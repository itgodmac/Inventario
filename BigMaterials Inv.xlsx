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 " sheetId="1" r:id="rId5"/>
    <sheet state="visible" name="Precios Nov-25" sheetId="2" r:id="rId6"/>
    <sheet state="visible" name="ED-Envio Cabos info" sheetId="3" r:id="rId7"/>
    <sheet state="visible" name="Envio Cabos Ervey VENTAS" sheetId="4" r:id="rId8"/>
    <sheet state="visible" name="Copy of Inventario 1" sheetId="5" r:id="rId9"/>
    <sheet state="visible" name="Sheet6" sheetId="6" r:id="rId10"/>
    <sheet state="visible" name="Analisis" sheetId="7" r:id="rId11"/>
    <sheet state="visible" name="Copy of Inventario" sheetId="8" r:id="rId12"/>
    <sheet state="visible" name="Inventario-backup" sheetId="9" r:id="rId13"/>
  </sheets>
  <definedNames>
    <definedName hidden="1" localSheetId="0" name="_xlnm._FilterDatabase">'Inventario '!$A$3:$X$1432</definedName>
    <definedName hidden="1" localSheetId="1" name="_xlnm._FilterDatabase">'Precios Nov-25'!$A$3:$F$189</definedName>
    <definedName hidden="1" localSheetId="2" name="_xlnm._FilterDatabase">'ED-Envio Cabos info'!$A$3:$Y$138</definedName>
    <definedName hidden="1" localSheetId="3" name="_xlnm._FilterDatabase">'Envio Cabos Ervey VENTAS'!$A$3:$T$140</definedName>
    <definedName hidden="1" localSheetId="4" name="_xlnm._FilterDatabase">'Copy of Inventario 1'!$A$3:$W$1518</definedName>
    <definedName hidden="1" localSheetId="7" name="_xlnm._FilterDatabase">'Copy of Inventario'!$A$3:$W$1518</definedName>
    <definedName hidden="1" localSheetId="8" name="_xlnm._FilterDatabase">'Inventario-backup'!$A$3:$W$1533</definedName>
  </definedNames>
  <calcPr/>
</workbook>
</file>

<file path=xl/sharedStrings.xml><?xml version="1.0" encoding="utf-8"?>
<sst xmlns="http://schemas.openxmlformats.org/spreadsheetml/2006/main" count="55145" uniqueCount="8200">
  <si>
    <t xml:space="preserve"> </t>
  </si>
  <si>
    <t>Dolar al dia</t>
  </si>
  <si>
    <t>% Desc Compe.</t>
  </si>
  <si>
    <t>IGI</t>
  </si>
  <si>
    <t>Imp y Flete</t>
  </si>
  <si>
    <t>Dll banca</t>
  </si>
  <si>
    <t>Descuento Ervey</t>
  </si>
  <si>
    <t>ID</t>
  </si>
  <si>
    <t>Barcode</t>
  </si>
  <si>
    <t>Foto URL</t>
  </si>
  <si>
    <t>Nombre Eng</t>
  </si>
  <si>
    <t>Nombre Esp</t>
  </si>
  <si>
    <t>Descripcion</t>
  </si>
  <si>
    <t>UVA Nombre</t>
  </si>
  <si>
    <t>Item Code</t>
  </si>
  <si>
    <t>Uni Code</t>
  </si>
  <si>
    <t>Categoria</t>
  </si>
  <si>
    <t>Montaje</t>
  </si>
  <si>
    <t>Tipo</t>
  </si>
  <si>
    <t>$ Venta</t>
  </si>
  <si>
    <t>Rotacion</t>
  </si>
  <si>
    <t>Stock</t>
  </si>
  <si>
    <t>Status</t>
  </si>
  <si>
    <t>Notes</t>
  </si>
  <si>
    <t xml:space="preserve">Pedido </t>
  </si>
  <si>
    <t>$ ZG</t>
  </si>
  <si>
    <t>$ Oth</t>
  </si>
  <si>
    <t>$ BM</t>
  </si>
  <si>
    <t>$ Ptij dll</t>
  </si>
  <si>
    <t>$ Ptij mxn</t>
  </si>
  <si>
    <t>Veces G</t>
  </si>
  <si>
    <t>PRECIO
OG</t>
  </si>
  <si>
    <t>PRECIO ERVEY</t>
  </si>
  <si>
    <t>VG CABOS</t>
  </si>
  <si>
    <t>PRECIO ESP
TIJUANA</t>
  </si>
  <si>
    <t>1266</t>
  </si>
  <si>
    <t>Putzmeister</t>
  </si>
  <si>
    <t>Sellos y retenes</t>
  </si>
  <si>
    <t>Sin Asignar</t>
  </si>
  <si>
    <t>borrar</t>
  </si>
  <si>
    <t>1595</t>
  </si>
  <si>
    <t>Guide ring DN200 / Anillo guía DN200</t>
  </si>
  <si>
    <t>SOM20117</t>
  </si>
  <si>
    <t>80794006</t>
  </si>
  <si>
    <t>1596</t>
  </si>
  <si>
    <t>Guide ring DN230 / Anillo guía DN230</t>
  </si>
  <si>
    <t>SOM20118</t>
  </si>
  <si>
    <t>80672005</t>
  </si>
  <si>
    <t>2530</t>
  </si>
  <si>
    <t>GUIDE RING Q230</t>
  </si>
  <si>
    <t>ANILLO GUIA RETEN DE PISTON Q230</t>
  </si>
  <si>
    <t>080672005</t>
  </si>
  <si>
    <t>SIN ASIGNAR</t>
  </si>
  <si>
    <t>2031</t>
  </si>
  <si>
    <t>75045880560</t>
  </si>
  <si>
    <t>WEAR PLATE DN250 CASTING</t>
  </si>
  <si>
    <t>ANTIFAZ DN250/ PLACA DE DESGASTE DN250 CASTING</t>
  </si>
  <si>
    <t>ANTIFAZ DN250 PARA BOMBA DE HORMIGON</t>
  </si>
  <si>
    <t>10181938</t>
  </si>
  <si>
    <t>Schwing</t>
  </si>
  <si>
    <t>BARRA V-ROCK</t>
  </si>
  <si>
    <t>Falta Ubicar</t>
  </si>
  <si>
    <t>2027</t>
  </si>
  <si>
    <t>75045880556</t>
  </si>
  <si>
    <t>WEAR PLATE DN200 CASTING</t>
  </si>
  <si>
    <t>ANTIFAZ DN200/PLACA DE DESGASTE DN200 CASTING</t>
  </si>
  <si>
    <t>ANTIFAZ DN200 PARA BOMBA DE HORMIGON</t>
  </si>
  <si>
    <t>10074767</t>
  </si>
  <si>
    <t>B</t>
  </si>
  <si>
    <t>2029</t>
  </si>
  <si>
    <t>75045880558</t>
  </si>
  <si>
    <t>WEAR PLATE DN230 CASTING</t>
  </si>
  <si>
    <t>ANTIFAZ DN230/PLACA DE DESGASTE DN230 CASTING</t>
  </si>
  <si>
    <t>ANTIFAZ DN230 PARA BOMBA DE HORMIGON</t>
  </si>
  <si>
    <t>10074768</t>
  </si>
  <si>
    <t>2099</t>
  </si>
  <si>
    <t>CUTTING RING DN210 CARBIDE</t>
  </si>
  <si>
    <t>ANILLO CORTE DN210 CARBIDE</t>
  </si>
  <si>
    <t>10063939</t>
  </si>
  <si>
    <t>A</t>
  </si>
  <si>
    <t>2453</t>
  </si>
  <si>
    <t>CUTTING RING DN210 CASTING</t>
  </si>
  <si>
    <t xml:space="preserve">ANILLO DE CORTE DN210 CASTING  </t>
  </si>
  <si>
    <t>10063939.</t>
  </si>
  <si>
    <t>ANILLOS METALICOS</t>
  </si>
  <si>
    <t>2030</t>
  </si>
  <si>
    <t>75045880559</t>
  </si>
  <si>
    <t>WEAR PLATE DN250 CARBIDE</t>
  </si>
  <si>
    <t>ANTIFAZ DN250/PLACA DE DESGASTE DN250 CARBIDE</t>
  </si>
  <si>
    <t>10181938.</t>
  </si>
  <si>
    <t>2026</t>
  </si>
  <si>
    <t>75045880555</t>
  </si>
  <si>
    <t>WEAR PLATE DN200 CARBIDE</t>
  </si>
  <si>
    <t>ANTIFAZ DN200/PLACA DE DESGASTE DN200 CARBIDE</t>
  </si>
  <si>
    <t>10074767.</t>
  </si>
  <si>
    <t>2028</t>
  </si>
  <si>
    <t>75045880557</t>
  </si>
  <si>
    <t>WEAR PLATE DN230 CARBIDE</t>
  </si>
  <si>
    <t>ANTIFAZ DN230/PLACA DE DESGASTE DN230 CARBIDE</t>
  </si>
  <si>
    <t>10074768.</t>
  </si>
  <si>
    <t>1412</t>
  </si>
  <si>
    <t>75045880355</t>
  </si>
  <si>
    <t>CLAMP 2BOLT DN125 SK148 MOUNTING</t>
  </si>
  <si>
    <t>ABRAZADERA 5" METRICA DOBLE TORNILLO CON BASE</t>
  </si>
  <si>
    <t>Tuberia</t>
  </si>
  <si>
    <t>Componentes estructurales y de montaje</t>
  </si>
  <si>
    <t>TUBOS</t>
  </si>
  <si>
    <t>In stock</t>
  </si>
  <si>
    <t>1621</t>
  </si>
  <si>
    <t>75045880501</t>
  </si>
  <si>
    <t xml:space="preserve">PISTON ROD 130x80 2300 </t>
  </si>
  <si>
    <t>PISTON ROD 130x80 2300</t>
  </si>
  <si>
    <t>VARILLA PISTÓN 80X130 PARA BOMBA DE HORMIGON</t>
  </si>
  <si>
    <t>87968000</t>
  </si>
  <si>
    <t>SISTEMA DE BOMBEO</t>
  </si>
  <si>
    <t>PISTONES</t>
  </si>
  <si>
    <t>1622</t>
  </si>
  <si>
    <t>75045880547</t>
  </si>
  <si>
    <t xml:space="preserve">PISTON 130 </t>
  </si>
  <si>
    <t>PISTON 130</t>
  </si>
  <si>
    <t>PISTON 130 PARA BOMBA DE HORMIGON</t>
  </si>
  <si>
    <t>259755009</t>
  </si>
  <si>
    <t>1834</t>
  </si>
  <si>
    <t>75045880328</t>
  </si>
  <si>
    <t>SOLENOID COIL 12V</t>
  </si>
  <si>
    <t>BOBINA 12V PARA VALVULA SELENOIDE</t>
  </si>
  <si>
    <t>BOBINA DE 12V PARA VALVULA SELENOIDE PARA BOMBA DE HORMIGON</t>
  </si>
  <si>
    <t>267378009</t>
  </si>
  <si>
    <t>1916</t>
  </si>
  <si>
    <t>75045880432</t>
  </si>
  <si>
    <t>UPPER HOUSING SEAL 80MM SERVICE KIT</t>
  </si>
  <si>
    <t>KIT DE SELLOS PARA GUIA DE ALOJAMIENTO 80MM</t>
  </si>
  <si>
    <t>KIT DE SELLOS PARA GUÍAS DE ALOJAMIENTO 80 MM PARA BOMBA DE HORMIGON</t>
  </si>
  <si>
    <t>401783-SK</t>
  </si>
  <si>
    <t>40183-SK</t>
  </si>
  <si>
    <t>EMPAQUES</t>
  </si>
  <si>
    <t>2456</t>
  </si>
  <si>
    <t>75045880575</t>
  </si>
  <si>
    <t>UPPER HOUSING SEAL 90MM SERVICE KIT</t>
  </si>
  <si>
    <t>KIT DE SELLOS PARA GUIA DE ALOJAMIENTO 90MM</t>
  </si>
  <si>
    <t>KIT DE SELLOS PARA GUÍAS DE ALOJAMIENTO 90 MM PARA BOMBA DE HORMIGON</t>
  </si>
  <si>
    <t>274893001-SK</t>
  </si>
  <si>
    <t>2162</t>
  </si>
  <si>
    <t>75045880396</t>
  </si>
  <si>
    <t xml:space="preserve">FILTER ELEMENT </t>
  </si>
  <si>
    <t xml:space="preserve">FILTRO HIDRAULICO </t>
  </si>
  <si>
    <t>30318961</t>
  </si>
  <si>
    <t>FILTROS</t>
  </si>
  <si>
    <t>2200</t>
  </si>
  <si>
    <t>75045880315</t>
  </si>
  <si>
    <t>O-RING 60X5</t>
  </si>
  <si>
    <t xml:space="preserve">SELLO O-RING 60X5 </t>
  </si>
  <si>
    <t>10000765</t>
  </si>
  <si>
    <t>2315</t>
  </si>
  <si>
    <t>75045880257</t>
  </si>
  <si>
    <t>FLANGE DN125 SK148MM</t>
  </si>
  <si>
    <t>BOQUILLA 5" MET. DN125 SK148</t>
  </si>
  <si>
    <t>BOQUILLA DE 5" METRICA DN125 PARA BOMBA DE HORMIGON</t>
  </si>
  <si>
    <t>10047281</t>
  </si>
  <si>
    <t>5MM</t>
  </si>
  <si>
    <t>TUBERIA ACERO</t>
  </si>
  <si>
    <t>2310</t>
  </si>
  <si>
    <t>CLAMP 2 BOLT DN125 SK148 5" MET. WITH BASE</t>
  </si>
  <si>
    <t>ABRAZADERA 5" MET. DN125 SK148 DOBLE TORNILLO CON BASE</t>
  </si>
  <si>
    <t>ABRAZADERA DE 5" METRICA DOBLE TORNILLO PARA BOMBA DE HORMIGON</t>
  </si>
  <si>
    <t>27709009</t>
  </si>
  <si>
    <t>2236</t>
  </si>
  <si>
    <t>75045880444</t>
  </si>
  <si>
    <t>PISTON ROD END EYE</t>
  </si>
  <si>
    <t>ROD EYE PUNTA PARA PISTON DE CAMBIO V-ROCK</t>
  </si>
  <si>
    <t>10017560</t>
  </si>
  <si>
    <t>1835</t>
  </si>
  <si>
    <t>75045880329</t>
  </si>
  <si>
    <t>SOLENOID COIL 24V</t>
  </si>
  <si>
    <t>BOBINA 24V PARA VALVULA SELENOIDE</t>
  </si>
  <si>
    <t>BOBINA 24V PARA VALVULA SELENOIDE PARA BOMBA DE HORMIGON</t>
  </si>
  <si>
    <t>267377000</t>
  </si>
  <si>
    <t>VALVULAS</t>
  </si>
  <si>
    <t>2327</t>
  </si>
  <si>
    <t>75045880258</t>
  </si>
  <si>
    <t>U CLAMP PLASTIC PLATE WHITE</t>
  </si>
  <si>
    <t>SOPORTE PLASTICO PARA ABRAZADERA EN U COLOR BLANCO</t>
  </si>
  <si>
    <t>10038880</t>
  </si>
  <si>
    <t>1846</t>
  </si>
  <si>
    <t>75045880426</t>
  </si>
  <si>
    <t>WEAR SLEEVE</t>
  </si>
  <si>
    <t>CASQUILLO DESGASTE</t>
  </si>
  <si>
    <t>228383004</t>
  </si>
  <si>
    <t>CASQUILLOS</t>
  </si>
  <si>
    <t>1887</t>
  </si>
  <si>
    <t>75045880397</t>
  </si>
  <si>
    <t>HYDRAULIC FILTER</t>
  </si>
  <si>
    <t>FILTRO HIDRAULICO</t>
  </si>
  <si>
    <t>534896</t>
  </si>
  <si>
    <t>2128</t>
  </si>
  <si>
    <t>75045880279</t>
  </si>
  <si>
    <t>DISC 3 HOLE 85x10</t>
  </si>
  <si>
    <t>DISCO CON 3 AGUJEROS 85x10</t>
  </si>
  <si>
    <t>DISCO CON 3 AGUJEROS PARA BOMBA DE HORMIGON</t>
  </si>
  <si>
    <t>10061081</t>
  </si>
  <si>
    <t>AGITADOR V-ROCK</t>
  </si>
  <si>
    <t>2159</t>
  </si>
  <si>
    <t>75045880394</t>
  </si>
  <si>
    <t>10155110</t>
  </si>
  <si>
    <t>1270</t>
  </si>
  <si>
    <t>75045880285</t>
  </si>
  <si>
    <t>THRUST RING DN230</t>
  </si>
  <si>
    <t>ANILLO DE EMPUJE DN230</t>
  </si>
  <si>
    <t>ANILLO DE EMPUJE DN230 PARA BOMBA DE HORMIGON</t>
  </si>
  <si>
    <t>252898002</t>
  </si>
  <si>
    <t>1888</t>
  </si>
  <si>
    <t>75045880576</t>
  </si>
  <si>
    <t>223192009</t>
  </si>
  <si>
    <t>2201</t>
  </si>
  <si>
    <t>75045880264</t>
  </si>
  <si>
    <t>O-RING 70X8 NBR 70</t>
  </si>
  <si>
    <t xml:space="preserve">SELLO O-RING 70X8 NBR 70 </t>
  </si>
  <si>
    <t>10017436</t>
  </si>
  <si>
    <t>2202</t>
  </si>
  <si>
    <t>75045880265</t>
  </si>
  <si>
    <t>O-RING 95X8 NBR 70</t>
  </si>
  <si>
    <t>SELLO O RING 95X8 NBR 70</t>
  </si>
  <si>
    <t>10016241</t>
  </si>
  <si>
    <t>1847</t>
  </si>
  <si>
    <t>75045880341</t>
  </si>
  <si>
    <t xml:space="preserve"> BALL CUP NYLON</t>
  </si>
  <si>
    <t>CASQUILLO PLASTICO PARA PALANCA OSCILANTE</t>
  </si>
  <si>
    <t>CASQUILLO DE PLÁSTICO PARA PALANCA OSCILANTE PARA BOMBA DE HORMIGON</t>
  </si>
  <si>
    <t>256300004</t>
  </si>
  <si>
    <t>2160</t>
  </si>
  <si>
    <t>75045880431</t>
  </si>
  <si>
    <t>10073397</t>
  </si>
  <si>
    <t>2163</t>
  </si>
  <si>
    <t>75045880430</t>
  </si>
  <si>
    <t>10190588</t>
  </si>
  <si>
    <t>1894</t>
  </si>
  <si>
    <t>75045880518</t>
  </si>
  <si>
    <t>UPPER HOUSING 80MM WITHOUT TEETH</t>
  </si>
  <si>
    <t>GUIA DE ALOJAMIENTO COMPLETA SIN DIENTES 80MM</t>
  </si>
  <si>
    <t>GUÍA DE ALOJAMIENTO COMPLETA 80MM PARA BOMBA DE HORMIGON</t>
  </si>
  <si>
    <t>401783</t>
  </si>
  <si>
    <t>458733</t>
  </si>
  <si>
    <t>1895</t>
  </si>
  <si>
    <t>75045880519</t>
  </si>
  <si>
    <t>UPPER HOUSING 90MM WITHOUT TEETH</t>
  </si>
  <si>
    <t>GUIA DE ALOJAMIENTO COMPLETA SIN DIENTES 90MM</t>
  </si>
  <si>
    <t>GUÍA DE ALOJAMIENTO COMPLETA 90MM PARA BOMBA DE HORMIGON</t>
  </si>
  <si>
    <t>274893001</t>
  </si>
  <si>
    <t>2298</t>
  </si>
  <si>
    <t>75045880354</t>
  </si>
  <si>
    <t>PTO CYLINDER</t>
  </si>
  <si>
    <t>VASO PARA ENQUINTAR</t>
  </si>
  <si>
    <t>VASE PARA ENQUINTAR PARA BOMBA DE HORMIGON</t>
  </si>
  <si>
    <t>10170730</t>
  </si>
  <si>
    <t>2181</t>
  </si>
  <si>
    <t>75045880533</t>
  </si>
  <si>
    <t>SLEWING PIVOT</t>
  </si>
  <si>
    <t>HORQUILLA PARA PISTON / SOPORTE CILINDRO BUZO</t>
  </si>
  <si>
    <t>10118218</t>
  </si>
  <si>
    <t>1913</t>
  </si>
  <si>
    <t>75045880383</t>
  </si>
  <si>
    <t>SEAL KIT FOR WATER PUMP 7560</t>
  </si>
  <si>
    <t xml:space="preserve">KIT DE REPARACIÓN BOMBA DE AGUA 7560: 8 RODILLOS, 2 RETENES, 2 BALEROS Y 1 O-RING </t>
  </si>
  <si>
    <t>018533006SK</t>
  </si>
  <si>
    <t>1926</t>
  </si>
  <si>
    <t>75045880467</t>
  </si>
  <si>
    <t>HIGH TORQUE B750</t>
  </si>
  <si>
    <t>MOTOR AGITADOR B750</t>
  </si>
  <si>
    <t>541970</t>
  </si>
  <si>
    <t>MOTORES</t>
  </si>
  <si>
    <t>1882</t>
  </si>
  <si>
    <t>75045880517</t>
  </si>
  <si>
    <t>ELECTRIC GREASE PUMP 24V</t>
  </si>
  <si>
    <t>ENGRASADORA AUTOMATICA 24V</t>
  </si>
  <si>
    <t>A026031-24</t>
  </si>
  <si>
    <t>2401127</t>
  </si>
  <si>
    <t>OTROS</t>
  </si>
  <si>
    <t>1037</t>
  </si>
  <si>
    <t>75045880361</t>
  </si>
  <si>
    <t>DRIVER CONTROL CABLE 716D 4mx1/4"x4"</t>
  </si>
  <si>
    <t>CABLE DE CONTROL DE MANDO 716D 4mx1/4"x4"</t>
  </si>
  <si>
    <t>CABLE DE ACELERACIÓN 4M 6MM/6MM PARA CAMION REVOLVEDOR</t>
  </si>
  <si>
    <t>760.4000.6.100</t>
  </si>
  <si>
    <t>Olla Revolvedora</t>
  </si>
  <si>
    <t>Transmisión mecánica</t>
  </si>
  <si>
    <t>CABLES</t>
  </si>
  <si>
    <t>1938</t>
  </si>
  <si>
    <t>75045880469</t>
  </si>
  <si>
    <t>MOUNTING BOLT</t>
  </si>
  <si>
    <t>PERNO SUJETADOR PARA CODO BISAGRA</t>
  </si>
  <si>
    <t>PERNO SUJETADOR PARA CODO BISAGRA PARA BOMBA DE HORMIGON</t>
  </si>
  <si>
    <t>262639002</t>
  </si>
  <si>
    <t xml:space="preserve">ACCESORIOS </t>
  </si>
  <si>
    <t>1915</t>
  </si>
  <si>
    <t>75045880521</t>
  </si>
  <si>
    <t>OUTER HOUSING SEAL KIT</t>
  </si>
  <si>
    <t>KIT DE SELLOS PARA GUÍA DE DESCARGA</t>
  </si>
  <si>
    <t>508064SK</t>
  </si>
  <si>
    <t>2295</t>
  </si>
  <si>
    <t>75045880482</t>
  </si>
  <si>
    <t>DBDH6P HYDRAULIC DIRECT CONTROLLED PRESSURE RELIEF VALVE/ VALVE - HYD, PRESSURE REDUCING FDR 5 DP.</t>
  </si>
  <si>
    <t xml:space="preserve">VALVULA PARA AJUSTE DE PRESION FDR SDP </t>
  </si>
  <si>
    <t>10008302</t>
  </si>
  <si>
    <t>2222</t>
  </si>
  <si>
    <t>75045880399</t>
  </si>
  <si>
    <t>BOLT V ROCK 34x68</t>
  </si>
  <si>
    <t>PERNO CON TOPE PARA HORQUILLA 34x68</t>
  </si>
  <si>
    <t>10058467</t>
  </si>
  <si>
    <t>1897</t>
  </si>
  <si>
    <t>75045880463</t>
  </si>
  <si>
    <t>SWITCH PTO FORK</t>
  </si>
  <si>
    <t>HORQUILLA PARA CAJA DE TRANSFERENCIA</t>
  </si>
  <si>
    <t>HORQUILLA PARA CAJA DE TRANSFERENCIA PARA BOMBA DE HORMIGON</t>
  </si>
  <si>
    <t>284946003</t>
  </si>
  <si>
    <t>1829</t>
  </si>
  <si>
    <t>75045880308</t>
  </si>
  <si>
    <t>THRUST RING DN200</t>
  </si>
  <si>
    <t>ANILLO DE EMPUJE DN200</t>
  </si>
  <si>
    <t>258569005</t>
  </si>
  <si>
    <t>269519002</t>
  </si>
  <si>
    <t>1841</t>
  </si>
  <si>
    <t>75045880513</t>
  </si>
  <si>
    <t>COMPLETE UPPER HOUSING ASSY 90MM ERGONIC</t>
  </si>
  <si>
    <t>BUJE ALOJAMIENTO COMPLETA 90MM NUEVA GENERACION</t>
  </si>
  <si>
    <t>BUJE DE ALOJAMIENTO COMPLETA 90MM NUEVA GENERACIÓN PARA BOMBA DE HORMIGON</t>
  </si>
  <si>
    <t>519127</t>
  </si>
  <si>
    <t>2320</t>
  </si>
  <si>
    <t>75045880564</t>
  </si>
  <si>
    <t>REDUCER PIPE HD3" TO HD2"x900MM WITH HANDLES</t>
  </si>
  <si>
    <t>REDUCTOR HD3" A HD2" x900mm CON ASAS</t>
  </si>
  <si>
    <t>REDUCTOR 3" A 2" A 900 MM PARA BOMBA DE HORMIGON</t>
  </si>
  <si>
    <t>RS302036D</t>
  </si>
  <si>
    <t>1845</t>
  </si>
  <si>
    <t>75045880340</t>
  </si>
  <si>
    <t>BALL CUP BRONZE 90MM</t>
  </si>
  <si>
    <t>CASQUILLO BRONCE PARA PALANCA OSCILANTE 90mm</t>
  </si>
  <si>
    <t>CASQUILLO DE BRONCE PARA PALANCA OSCILANTE 90 MM PARA BOMBA DE HORMIGON</t>
  </si>
  <si>
    <t>275694005</t>
  </si>
  <si>
    <t>2194</t>
  </si>
  <si>
    <t>7504589</t>
  </si>
  <si>
    <t>PUMP SEAL KIT FOR WHITE HYDRAULIC MOTOR 470</t>
  </si>
  <si>
    <t>KIT DE SELLOS PARA MOTOR AGITADOR 470</t>
  </si>
  <si>
    <t>30321012</t>
  </si>
  <si>
    <t>1914</t>
  </si>
  <si>
    <t>75045880465</t>
  </si>
  <si>
    <t>PLUNGER CYLINDER SEAL KIT 80MM</t>
  </si>
  <si>
    <t>KIT SELLOS PARA CILINDRO DE CAMBIO 80MM</t>
  </si>
  <si>
    <t>KIT DE SELLOS PARA CILINDRO DE CAMBIO - 80 MM PARA BOMBA DE HORMIGON</t>
  </si>
  <si>
    <t>262840008SK</t>
  </si>
  <si>
    <t>2161</t>
  </si>
  <si>
    <t>75045880395</t>
  </si>
  <si>
    <t>10002989</t>
  </si>
  <si>
    <t>1980</t>
  </si>
  <si>
    <t>75045880343</t>
  </si>
  <si>
    <t>PROXIMITY SWITCH SENSOR</t>
  </si>
  <si>
    <t>SENSOR DE PROXIMIDAD</t>
  </si>
  <si>
    <t>270321001</t>
  </si>
  <si>
    <t>1937</t>
  </si>
  <si>
    <t>75045880524</t>
  </si>
  <si>
    <t>SWING LEVER 90MM</t>
  </si>
  <si>
    <t>PALANCA OSCILANTE DE 90MM</t>
  </si>
  <si>
    <t>PALANCA OSCILANTE DE 90 MM PARA BOMBA DE HORMIGON</t>
  </si>
  <si>
    <t>274877001</t>
  </si>
  <si>
    <t>2036</t>
  </si>
  <si>
    <t>75045880478</t>
  </si>
  <si>
    <t>ARTICULATED BEARING GE45</t>
  </si>
  <si>
    <t>BALERO ARTICULADO GE45</t>
  </si>
  <si>
    <t>10019455</t>
  </si>
  <si>
    <t>BALEROS</t>
  </si>
  <si>
    <t>2004</t>
  </si>
  <si>
    <t>75045892004</t>
  </si>
  <si>
    <t>VALVE S 2318  LSP90mm</t>
  </si>
  <si>
    <t>VALVULA S 2318 90mm</t>
  </si>
  <si>
    <t>00179300</t>
  </si>
  <si>
    <t>2224</t>
  </si>
  <si>
    <t>75045880280</t>
  </si>
  <si>
    <t>PRESSURE SPRING DN210</t>
  </si>
  <si>
    <t>RESORTE DE PRESION DN210</t>
  </si>
  <si>
    <t>10064472</t>
  </si>
  <si>
    <t>2321</t>
  </si>
  <si>
    <t>75045880565</t>
  </si>
  <si>
    <t>REDUCER PIPE HD3" TO HD2.5"x700MM WITH HANDLES</t>
  </si>
  <si>
    <t>REDUCTOR HD3" A HD2.5" x700mm CON ASAS</t>
  </si>
  <si>
    <t>REDUCTOR 3" A 2.5" A 700 MM PARA BOMBA DE HORMIGON</t>
  </si>
  <si>
    <t>RS302528D</t>
  </si>
  <si>
    <t>1844</t>
  </si>
  <si>
    <t>75045880514</t>
  </si>
  <si>
    <t xml:space="preserve">BATTERY CHARGER  </t>
  </si>
  <si>
    <t xml:space="preserve">CARGADOR PARA BATERIA </t>
  </si>
  <si>
    <t>459061</t>
  </si>
  <si>
    <t>2231</t>
  </si>
  <si>
    <t>75045880536</t>
  </si>
  <si>
    <t>SLEWING LEVER</t>
  </si>
  <si>
    <t xml:space="preserve">RESORTERA </t>
  </si>
  <si>
    <t>10018071</t>
  </si>
  <si>
    <t>1768</t>
  </si>
  <si>
    <t>75045880503</t>
  </si>
  <si>
    <t>A-PAD CHARGE PUMP EATON 5423</t>
  </si>
  <si>
    <t>BOMBA DE PRECARGA EATON 5423</t>
  </si>
  <si>
    <t>BOMBA DE PRECARGA PARA CAMION REVOLVEDOR</t>
  </si>
  <si>
    <t>990355022</t>
  </si>
  <si>
    <t>5423-CHP</t>
  </si>
  <si>
    <t>Sistema de bombeo de concreto</t>
  </si>
  <si>
    <t>BOMBAS</t>
  </si>
  <si>
    <t>1036</t>
  </si>
  <si>
    <t>75045880360</t>
  </si>
  <si>
    <t>DRIVER CONTROL CABLE 716D 2.5mx1/4"x4"</t>
  </si>
  <si>
    <t>CABLE DE CONTROL DE MANDO 716D 2.5mx1/4"x4"</t>
  </si>
  <si>
    <t>CABLE DE ACELERACIÓN 2.5M 6MM/6MM PARA CAMION REVOLVEDOR</t>
  </si>
  <si>
    <t>760.2500.6.100</t>
  </si>
  <si>
    <t>2322</t>
  </si>
  <si>
    <t>75045880566</t>
  </si>
  <si>
    <t>REDUCER PIPE HD4" TO HD3"x900MM WITH HANDLES</t>
  </si>
  <si>
    <t>REDUCTOR HD4" A HD3" x900mm CON ASAS</t>
  </si>
  <si>
    <t>REDUCTOR 4" A 3" A 900 MM PARA BOMBA DE HORMIGON</t>
  </si>
  <si>
    <t>RS403036D</t>
  </si>
  <si>
    <t>2466</t>
  </si>
  <si>
    <t>75045880284</t>
  </si>
  <si>
    <t>CLAMP 2 BOLT BIG ZX125 5" MET. NO BASE</t>
  </si>
  <si>
    <t>ABRAZADERA 5" MET. ZX125 DOBLE TORNILLO GRANDE SIN BASE</t>
  </si>
  <si>
    <t>027707001</t>
  </si>
  <si>
    <t>426594</t>
  </si>
  <si>
    <t>1838</t>
  </si>
  <si>
    <t>75045880551</t>
  </si>
  <si>
    <t>HYDRAULIC PUMP 14cm3</t>
  </si>
  <si>
    <t>BOMBA HIDRAULICA R14cm3 PARA AGITADOR</t>
  </si>
  <si>
    <t>235383000</t>
  </si>
  <si>
    <t>HIDRAULICO</t>
  </si>
  <si>
    <t>2274</t>
  </si>
  <si>
    <t>75045880401</t>
  </si>
  <si>
    <t>SEALING COVER</t>
  </si>
  <si>
    <t xml:space="preserve">TAPA DE SELLADO CON 3 HOYOS </t>
  </si>
  <si>
    <t>TAPA DE 3 HOYOS PARA BARRA V-ROCK PARA BOMBA HORMIGON</t>
  </si>
  <si>
    <t>10018035</t>
  </si>
  <si>
    <t>1818</t>
  </si>
  <si>
    <t>75045880380</t>
  </si>
  <si>
    <t>OUTPUT SEALING COLLAR ZF142 BIG 123x165</t>
  </si>
  <si>
    <t>RETEN ZF142 GRANDE 125x180x13/49</t>
  </si>
  <si>
    <t>RETEN ZF 142 GRANDE PARA CAMION REVOLVEDOR</t>
  </si>
  <si>
    <t>0734307142</t>
  </si>
  <si>
    <t>REDUCTOR</t>
  </si>
  <si>
    <t>2186</t>
  </si>
  <si>
    <t>75045880282</t>
  </si>
  <si>
    <t>KIDNEY SEAL DN180</t>
  </si>
  <si>
    <t>EMPAQUE HULE RIÑON DN180</t>
  </si>
  <si>
    <t>10029138</t>
  </si>
  <si>
    <t>1928</t>
  </si>
  <si>
    <t>75045880502</t>
  </si>
  <si>
    <t>OUTRIGGER HYDRAULIC MOTOR OMP160</t>
  </si>
  <si>
    <t>MOTOR HIDRAULICO ESTABILIZADOR OMP160</t>
  </si>
  <si>
    <t>434196</t>
  </si>
  <si>
    <t>1836</t>
  </si>
  <si>
    <t>75045880382</t>
  </si>
  <si>
    <t>HYPRO 7560C ROLLER PUMP</t>
  </si>
  <si>
    <t>BOMBA DE AGUA 7560 COMPLETA 8 RODILLOS</t>
  </si>
  <si>
    <t>018533006</t>
  </si>
  <si>
    <t>1831</t>
  </si>
  <si>
    <t>75045880511</t>
  </si>
  <si>
    <t>SPLINED SHAFT G64</t>
  </si>
  <si>
    <t>BARRA PARA CAJA DE TRANSFERENCIA G64</t>
  </si>
  <si>
    <t>284948001</t>
  </si>
  <si>
    <t>2005</t>
  </si>
  <si>
    <t>75045880554</t>
  </si>
  <si>
    <t>VALVE S 2018N SR0479 80mm</t>
  </si>
  <si>
    <t>VALVULA S 2018 80mm</t>
  </si>
  <si>
    <t>251013008</t>
  </si>
  <si>
    <t>1035</t>
  </si>
  <si>
    <t>75045880357</t>
  </si>
  <si>
    <t>DRIVER CONTROL CABLE 716D 1.5mx1/4"x4"</t>
  </si>
  <si>
    <t>CABLE DE CONTROL DE MANDO 716D 1.5mx1/4"x4"</t>
  </si>
  <si>
    <t>CABLE DE ACELERACIÓN 1.5M 6MM/6MM PARA CAMION REVOLVEDOR</t>
  </si>
  <si>
    <t>760.1500.6.100</t>
  </si>
  <si>
    <t>1979</t>
  </si>
  <si>
    <t>75045880296</t>
  </si>
  <si>
    <t>RUBBER SEAL DISC 60mm SHAFT 140x56x8 LK120 6LD10</t>
  </si>
  <si>
    <t>SELLO PARA RODAMIENTO DE MEZCLADOR 140x56x8mm / 60mm</t>
  </si>
  <si>
    <t>SELLOS PARA RODAMIENTO DE MEZCLADOR PARA BOMBA DE HORMIGON</t>
  </si>
  <si>
    <t>242574006</t>
  </si>
  <si>
    <t>2313</t>
  </si>
  <si>
    <t>75045880266</t>
  </si>
  <si>
    <t>U CLAMP PLASTIC DN125</t>
  </si>
  <si>
    <t>ABRAZADERA PLASTICO U PARA PLUMA CON 2 TUERCAS</t>
  </si>
  <si>
    <t>ABRAZADERA EN U PARA PLUMA CON 2 TUERCAS PARA BOMBA DE HORMIGON</t>
  </si>
  <si>
    <t>30301108</t>
  </si>
  <si>
    <t>1936</t>
  </si>
  <si>
    <t>75045880552</t>
  </si>
  <si>
    <t>SWING LEVER 80MM</t>
  </si>
  <si>
    <t>PALANCA OSCILANTE DE 80MM</t>
  </si>
  <si>
    <t>PALANCA OSCILANTE DE 80 MM PARA BOMBA DE HORMIGON</t>
  </si>
  <si>
    <t>400493</t>
  </si>
  <si>
    <t>2253</t>
  </si>
  <si>
    <t>75045880351</t>
  </si>
  <si>
    <t>PUMP CLEANOUT SEAL DN250</t>
  </si>
  <si>
    <t>SELLO PARA COMPUERTA DN250</t>
  </si>
  <si>
    <t>SELLO PARA COMPUERTA DN250 PARA BOMBA DE HORMIGON</t>
  </si>
  <si>
    <t>10035783</t>
  </si>
  <si>
    <t>TOLVA</t>
  </si>
  <si>
    <t>2208</t>
  </si>
  <si>
    <t>75045880316</t>
  </si>
  <si>
    <t>AIR PISTON 40X10X8</t>
  </si>
  <si>
    <t>PISTON NEUMATICO 40X10X8</t>
  </si>
  <si>
    <t>PISTÓN NEUMÁTICO 40X10X8 PARA BOMBA DE HORMIGON</t>
  </si>
  <si>
    <t>10004951</t>
  </si>
  <si>
    <t>1927</t>
  </si>
  <si>
    <t>75045880433</t>
  </si>
  <si>
    <t>HYDRAULIC MOTOR OMH 500</t>
  </si>
  <si>
    <t>MOTOR AGITADOR OMH500</t>
  </si>
  <si>
    <t>MOTOR AGITADOR OMH500 PARA BOMBA DE HORMIGON</t>
  </si>
  <si>
    <t>238130001</t>
  </si>
  <si>
    <t>2319</t>
  </si>
  <si>
    <t>75045880563</t>
  </si>
  <si>
    <t>REDUCER PIPE HD3" TO HD2"x700MM WITH HANDLES</t>
  </si>
  <si>
    <t>REDUCTOR HD3" A HD2" x700mm CON ASAS</t>
  </si>
  <si>
    <t>REDUCTOR 3" A 2" A 700 MM PARA BOMBA DE HORMIGON</t>
  </si>
  <si>
    <t>RS302028D</t>
  </si>
  <si>
    <t>1038</t>
  </si>
  <si>
    <t>75045880359</t>
  </si>
  <si>
    <t>DRIVER CONTROL CABLE 716D 6mx1/4"x4"</t>
  </si>
  <si>
    <t>CABLE DE CONTROL DE MANDO 716D 6mx1/4"x4"</t>
  </si>
  <si>
    <t>CABLE DE ACELERACIÓN 6M 6MM/6MM PARA CAMION REVOLVEDOR</t>
  </si>
  <si>
    <t>760.6000.6.100</t>
  </si>
  <si>
    <t>2267</t>
  </si>
  <si>
    <t>75045880446</t>
  </si>
  <si>
    <t>PLATE 55mm RIGHT CLAMP</t>
  </si>
  <si>
    <t>SUJETADOR PARA COMPUERTA DE TOLVA LADO DERECHO</t>
  </si>
  <si>
    <t>SUJETADOR DE LA COMPUERTA DE LA TOLVA PARA BOMBA DE HORMIGON</t>
  </si>
  <si>
    <t>10032788</t>
  </si>
  <si>
    <t>2268</t>
  </si>
  <si>
    <t>75045880445</t>
  </si>
  <si>
    <t>PLATE 55mm LEFT CLAMP</t>
  </si>
  <si>
    <t>SUJETADOR PARA COMPUERTA DE TOLVA LADO IZQUIERDO</t>
  </si>
  <si>
    <t>10032789</t>
  </si>
  <si>
    <t>2158</t>
  </si>
  <si>
    <t>75045880393</t>
  </si>
  <si>
    <t>HIGH PRESSURE FILTER ELEMENT SHORT</t>
  </si>
  <si>
    <t>FILTRO HIDRAULICO ALTA PRESION CORTO</t>
  </si>
  <si>
    <t>10021810</t>
  </si>
  <si>
    <t>2309</t>
  </si>
  <si>
    <t>75045880320</t>
  </si>
  <si>
    <t>CLAMP 5" MET. 4 BOLTS NO BASE DN125 SK148</t>
  </si>
  <si>
    <t>ABRAZADERA 5" MET. 4 TORNILLOS SIN BASE DN125 SK148</t>
  </si>
  <si>
    <t>ABRAZADERA DE 5" METRICA CUATRO TORNILLOS SIN BASE PARA BOMBA DE HORMIGON</t>
  </si>
  <si>
    <t>550-10667</t>
  </si>
  <si>
    <t>1256</t>
  </si>
  <si>
    <t>75045880321</t>
  </si>
  <si>
    <t>MIXER SHAFT Q60</t>
  </si>
  <si>
    <t>BARRA MEZCLADORA Q60</t>
  </si>
  <si>
    <t>EJE MEZCLADOR PARA BOMBA DE HORMIGON</t>
  </si>
  <si>
    <t>275587002</t>
  </si>
  <si>
    <t>1983</t>
  </si>
  <si>
    <t>75045880346</t>
  </si>
  <si>
    <t>TEMPERATURE TRANSMITTER 90 DEGREE</t>
  </si>
  <si>
    <t>SENSOR DE TEMPERATURA 90 GRADOS</t>
  </si>
  <si>
    <t>283611009</t>
  </si>
  <si>
    <t>2588</t>
  </si>
  <si>
    <t>O-RING 195x7</t>
  </si>
  <si>
    <t>OR-195X7-NBR70</t>
  </si>
  <si>
    <t>2000</t>
  </si>
  <si>
    <t>75045880473</t>
  </si>
  <si>
    <t>HYDRAULIC CHECK VALVE 80BAR</t>
  </si>
  <si>
    <t>VALVULA DE CARTUCHO RETENCION HIDRAULICA 80BAR</t>
  </si>
  <si>
    <t>265686007</t>
  </si>
  <si>
    <t>1257</t>
  </si>
  <si>
    <t>75045880325</t>
  </si>
  <si>
    <t>BEARING FLANGE D60/ BEARING FLANGE Q60</t>
  </si>
  <si>
    <t>RODAMIENTO DE MEZCLADOR Q60</t>
  </si>
  <si>
    <t>RODAMIENTO DE MEZCLADOR PARA BOMBA DE HORMIGON</t>
  </si>
  <si>
    <t>242573007</t>
  </si>
  <si>
    <t>242572008</t>
  </si>
  <si>
    <t>2129</t>
  </si>
  <si>
    <t>75045880333</t>
  </si>
  <si>
    <t>BRONZE DISC 60/95 x 5</t>
  </si>
  <si>
    <t>DISCO BRONCE 60/95 x 5</t>
  </si>
  <si>
    <t>DISCO BRONCE PARA BOMBA DE HORMIGON</t>
  </si>
  <si>
    <t>10061083</t>
  </si>
  <si>
    <t>1040</t>
  </si>
  <si>
    <t>75045880358</t>
  </si>
  <si>
    <t>DRIVER CONTROL CABLE 716D 8mx1/4"x4"</t>
  </si>
  <si>
    <t>CABLE DE CONTROL DE MANDO 716D 8mx1/4"x4"</t>
  </si>
  <si>
    <t>CABLE DE ACELERACIÓN 8M 6MM/6MM PARA CAMION REVOLVEDOR</t>
  </si>
  <si>
    <t>760.8000.6.100</t>
  </si>
  <si>
    <t>2223</t>
  </si>
  <si>
    <t>75045880535</t>
  </si>
  <si>
    <t>BASE PLATE</t>
  </si>
  <si>
    <t>PORTA ANTIFAZ/ PLACA BASE</t>
  </si>
  <si>
    <t>10074769</t>
  </si>
  <si>
    <t>1039</t>
  </si>
  <si>
    <t>75045880362</t>
  </si>
  <si>
    <t>DRIVER CONTROL CABLE 716D 7mx1/4"x4"</t>
  </si>
  <si>
    <t>CABLE DE CONTROL DE MANDO 716D 7mx1/4"x4"</t>
  </si>
  <si>
    <t>CABLE DE ACELERACIÓN 7M 6MM/6MM PARA CAMION REVOLVEDOR</t>
  </si>
  <si>
    <t>760.7000.6.100</t>
  </si>
  <si>
    <t>2312</t>
  </si>
  <si>
    <t>75045880574</t>
  </si>
  <si>
    <t>SCHWING CLAMP 5" 2 BOLTS NO BASE</t>
  </si>
  <si>
    <t>ABRAZADERA 5" DOBLE TORNILLO SIN BASE</t>
  </si>
  <si>
    <t>10006587</t>
  </si>
  <si>
    <t>1692</t>
  </si>
  <si>
    <t>75045880461</t>
  </si>
  <si>
    <t>REMOTE CONTROL F24-60 24V</t>
  </si>
  <si>
    <t>CONTROL REMOTO F24-60 24V</t>
  </si>
  <si>
    <t>A053272</t>
  </si>
  <si>
    <t>Otro</t>
  </si>
  <si>
    <t>Componentes eléctricos</t>
  </si>
  <si>
    <t>1920</t>
  </si>
  <si>
    <t>75045880310</t>
  </si>
  <si>
    <t>PRESSURE GAUGE 0-400BAR</t>
  </si>
  <si>
    <t>MANOMETRO 0-400BAR</t>
  </si>
  <si>
    <t>MANOMETRO 0-400 BAR PARA BOMBA DE HORMIGON</t>
  </si>
  <si>
    <t>17250005</t>
  </si>
  <si>
    <t>MEDIDORES</t>
  </si>
  <si>
    <t>1730</t>
  </si>
  <si>
    <t>75045880452</t>
  </si>
  <si>
    <t>ACCUMULATOR BLADDER 4L</t>
  </si>
  <si>
    <t>VEJIGA ACUMULADORA 4L (BLADDER)</t>
  </si>
  <si>
    <t>0640200000</t>
  </si>
  <si>
    <t>V4</t>
  </si>
  <si>
    <t>2197</t>
  </si>
  <si>
    <t>AGITATOR MOTOR 470</t>
  </si>
  <si>
    <t>MOTOR HIDRAULICO AGITADOR 470</t>
  </si>
  <si>
    <t>10039180</t>
  </si>
  <si>
    <t>1808</t>
  </si>
  <si>
    <t>75045880377</t>
  </si>
  <si>
    <t>OUTPUT SEALING COLLAR ZF 418 SMALL 120x165</t>
  </si>
  <si>
    <t>RETEN ZF 418 CHICO 120x165</t>
  </si>
  <si>
    <t>RETEN ZF 418 CHICO PARA CAMION REVOLVEDOR</t>
  </si>
  <si>
    <t>0734307418</t>
  </si>
  <si>
    <t>1819</t>
  </si>
  <si>
    <t>75045880381</t>
  </si>
  <si>
    <t>OUTPUT SEALING COLLAR ZF251 SMALL 125x180</t>
  </si>
  <si>
    <t>RETEN ZF251 CHICO 125x180x12/15</t>
  </si>
  <si>
    <t>RETEN ZF 251 CHICO PARA CAMION REVOLVEDOR</t>
  </si>
  <si>
    <t>0750112251</t>
  </si>
  <si>
    <t>251</t>
  </si>
  <si>
    <t>2055</t>
  </si>
  <si>
    <t>75045880386</t>
  </si>
  <si>
    <t>BUJE 2.367in x 1.957in BRONZE</t>
  </si>
  <si>
    <t>BUJE CON TOPE 2.367in x 1.3957in BRONCE</t>
  </si>
  <si>
    <t>10061082</t>
  </si>
  <si>
    <t>2314</t>
  </si>
  <si>
    <t>75045880356</t>
  </si>
  <si>
    <t>SCHWING CUP TENSION CLAMP WEDGE MET. DN150 6"</t>
  </si>
  <si>
    <t>ABRAZADERA CON CUÑA MET. DN150 6"</t>
  </si>
  <si>
    <t>ABRAZADERA METRICA DN150 6" PARA BOMBA DE HORMIGON</t>
  </si>
  <si>
    <t>10043559</t>
  </si>
  <si>
    <t>2085</t>
  </si>
  <si>
    <t>75045880391</t>
  </si>
  <si>
    <t xml:space="preserve">COUPLING 31.5x50x50 PUMP A7VO80 </t>
  </si>
  <si>
    <t>COPLE PARA BOMBA HIDRAULICA A7VO80 31.5x50x50</t>
  </si>
  <si>
    <t>COPLE PARA BOMBA HIDRÁULICA A7VO80 PARA BOMBA DE HORMIGON</t>
  </si>
  <si>
    <t>10035156</t>
  </si>
  <si>
    <t>2180</t>
  </si>
  <si>
    <t>75045880480</t>
  </si>
  <si>
    <t>GEARSHIFT FORK W/SHIFTING ROD</t>
  </si>
  <si>
    <t>HORQUILLA CON BARRA PARA CAJA DE TRANSFERENCIA</t>
  </si>
  <si>
    <t>HORQUILLA CON BARRA PARA CAJA DE TRANSFERENCIA PARA BOMBA HORMIGON</t>
  </si>
  <si>
    <t>10012464</t>
  </si>
  <si>
    <t>1732</t>
  </si>
  <si>
    <t>75045880453</t>
  </si>
  <si>
    <t>ACCUMULATOR BLADDER 6L</t>
  </si>
  <si>
    <t>VEJIGA ACUMULADORA 6L (BLADDER)</t>
  </si>
  <si>
    <t>283868001</t>
  </si>
  <si>
    <t>V6</t>
  </si>
  <si>
    <t>1825</t>
  </si>
  <si>
    <t>75045880549</t>
  </si>
  <si>
    <t>NITROGEN ACCUMULATOR 4L (1 GALLON)</t>
  </si>
  <si>
    <t>ACUMULADOR DE NITROGENO 4L</t>
  </si>
  <si>
    <t>AT311944</t>
  </si>
  <si>
    <t>2040</t>
  </si>
  <si>
    <t>75045880384</t>
  </si>
  <si>
    <t>BAR SHAFT/ FLANGE HUB/ AGITATOR LEFT HANF</t>
  </si>
  <si>
    <t>BARRA PUNTA LADO MOTOR</t>
  </si>
  <si>
    <t>10061075</t>
  </si>
  <si>
    <t>2308</t>
  </si>
  <si>
    <t>75045880319</t>
  </si>
  <si>
    <t>CLAMP SNAP DN125 SK148 WITH BASE</t>
  </si>
  <si>
    <t>ABRAZADERA 5" MET. COLA DE RATA CON BASE</t>
  </si>
  <si>
    <t>ABRAZADERA DE 5" METRICA COLA DE RATA CON BASE PARA BOMBA DE HORMIGON</t>
  </si>
  <si>
    <t>534296</t>
  </si>
  <si>
    <t>1854</t>
  </si>
  <si>
    <t>75045880531</t>
  </si>
  <si>
    <t>HOPPER COVER SLIDE</t>
  </si>
  <si>
    <t>COMPUERTA DE LA TOLVA</t>
  </si>
  <si>
    <t>COMPUERTA DE LA TOLVA PARA BOMBA DE HORMIGON</t>
  </si>
  <si>
    <t>242334000</t>
  </si>
  <si>
    <t>2183</t>
  </si>
  <si>
    <t>75045880479</t>
  </si>
  <si>
    <t>HOUSING LINING DN180 OUTLET SIDE</t>
  </si>
  <si>
    <t>ESPEJO DN180</t>
  </si>
  <si>
    <t>ESPEJO DN180 PARA BOMBA DE HORMIGON</t>
  </si>
  <si>
    <t>10018046</t>
  </si>
  <si>
    <t>Componentes Estructurales y de Montaje</t>
  </si>
  <si>
    <t>2001</t>
  </si>
  <si>
    <t>75045880472</t>
  </si>
  <si>
    <t>FLOW CONTROL VALVE 350BAR</t>
  </si>
  <si>
    <t>VALVULA DE CARTUCHO 350BAR</t>
  </si>
  <si>
    <t>286970006</t>
  </si>
  <si>
    <t>1361</t>
  </si>
  <si>
    <t>75045880491</t>
  </si>
  <si>
    <t>VIBRATOR 1-PHASE 220V, 1PH, 3000RPM MVE100/3M FC:98KG</t>
  </si>
  <si>
    <t>VIBRADOR ELECTRICO 220V, 1PH, 3000RPM MVE100/3M FC:98KG</t>
  </si>
  <si>
    <t xml:space="preserve">MVE 100/3M </t>
  </si>
  <si>
    <t>WAM</t>
  </si>
  <si>
    <t>VIBRADORES</t>
  </si>
  <si>
    <t>1842</t>
  </si>
  <si>
    <t>75045880330</t>
  </si>
  <si>
    <t>BUSHING 60MM MIXER SHAFT</t>
  </si>
  <si>
    <t>BUJE DU60 60MM</t>
  </si>
  <si>
    <t>BUJE DU60 60MM PARA BOMBA DE HORMIGON</t>
  </si>
  <si>
    <t>222484006</t>
  </si>
  <si>
    <t>1435</t>
  </si>
  <si>
    <t>75045880454</t>
  </si>
  <si>
    <t>FLEXIBLE HOSE 4 LAYER MET. DN125 SK148 5"X4m DOUBLE END</t>
  </si>
  <si>
    <t>MANGUERA FLEXIBLE 4 CAPAS MET. DN125 SK148 5"X4m BOQUILLA DOBLE</t>
  </si>
  <si>
    <t>MANGUERA 4 CAPAS 5"x4m MET. BOQUILLA DOBLE</t>
  </si>
  <si>
    <t>MANGUERA FLEXIBLE 4M PARA BOMBA DE HORMIGON</t>
  </si>
  <si>
    <t>BMFH40002F</t>
  </si>
  <si>
    <t>TUBERIA FLEXIBLE</t>
  </si>
  <si>
    <t>2056</t>
  </si>
  <si>
    <t>75045880387</t>
  </si>
  <si>
    <t>SUPPORT BUSHING</t>
  </si>
  <si>
    <t>BUJE CON TOPE PARA BARRA V-ROCK</t>
  </si>
  <si>
    <t>BUJE CON TOPE PARA BARRA DE V-ROCK PARA BOMBA DE HORMIGON</t>
  </si>
  <si>
    <t>10018047</t>
  </si>
  <si>
    <t>1824</t>
  </si>
  <si>
    <t>75045880458</t>
  </si>
  <si>
    <t>CLAMP COUPLING 6" DN150</t>
  </si>
  <si>
    <t>ABRAZADERA 6" CON CUÑA DN150</t>
  </si>
  <si>
    <t>ABRAZADERA 6" CON CUÑA DN150 PARA BOMBA DE HORMIGON</t>
  </si>
  <si>
    <t>240948003</t>
  </si>
  <si>
    <t>1826</t>
  </si>
  <si>
    <t>75045880550</t>
  </si>
  <si>
    <t>NITROGEN ACCUMULATOR 6L (1.5 GALLON)</t>
  </si>
  <si>
    <t>ACUMULADOR DE NITROGENO 6L</t>
  </si>
  <si>
    <t>A025007</t>
  </si>
  <si>
    <t>2402</t>
  </si>
  <si>
    <t>75045880483</t>
  </si>
  <si>
    <t>PLUNGER CYLINDER SEAL KITS 60MM</t>
  </si>
  <si>
    <t>KIT SELLOS PARA CILINDRO DE CAMBIO 60MM</t>
  </si>
  <si>
    <t>KIT DE SELLOS PARA CILINDRO DE CAMBIO - 60 MM PARA BOMBA DE HORMIGON</t>
  </si>
  <si>
    <t>262840008/1</t>
  </si>
  <si>
    <t>J01806000</t>
  </si>
  <si>
    <t>1862</t>
  </si>
  <si>
    <t>75045880462</t>
  </si>
  <si>
    <t>WEDGE</t>
  </si>
  <si>
    <t>CUÑA PARA CODO DE BISAGRA</t>
  </si>
  <si>
    <t>CUÑA PARA CODO DE BISAGRA PARA BOMBA DE HORMIGON</t>
  </si>
  <si>
    <t>426793</t>
  </si>
  <si>
    <t>1827</t>
  </si>
  <si>
    <t>75045880540</t>
  </si>
  <si>
    <t>WEAR RING DN200 CARBIDE</t>
  </si>
  <si>
    <t>ANILLO DE DESGASTE DN200 CARBIDE</t>
  </si>
  <si>
    <t>ANILLO DE DESGASTE DN200 PARA BOMBA DE HORMIGON</t>
  </si>
  <si>
    <t>261123001</t>
  </si>
  <si>
    <t>1828</t>
  </si>
  <si>
    <t>75045880541</t>
  </si>
  <si>
    <t>WEAR RING DN200 CASTING</t>
  </si>
  <si>
    <t>ANILLO DE DESGASTE DN200 CASTING</t>
  </si>
  <si>
    <t>2058</t>
  </si>
  <si>
    <t>75045880389</t>
  </si>
  <si>
    <t>BEARING BUSHING D95/108X70</t>
  </si>
  <si>
    <t>BUJE GEMELO V-ROCK</t>
  </si>
  <si>
    <t>10018037</t>
  </si>
  <si>
    <t>1802</t>
  </si>
  <si>
    <t>75045880508</t>
  </si>
  <si>
    <t>REDUCER GEARBOX ZF P7300</t>
  </si>
  <si>
    <t>REDUCTOR ZF P7300</t>
  </si>
  <si>
    <t>REDUCTOR ZF-7300 PARA CAMION REVOLVEDOR</t>
  </si>
  <si>
    <t>P7300</t>
  </si>
  <si>
    <t>TRANSMISIONES</t>
  </si>
  <si>
    <t>1947</t>
  </si>
  <si>
    <t>75045880434</t>
  </si>
  <si>
    <t>STEP RELAY 12V 2 WECHS K238</t>
  </si>
  <si>
    <t>RELEVADOR 12V K238</t>
  </si>
  <si>
    <t>247108008</t>
  </si>
  <si>
    <t>RELAYS</t>
  </si>
  <si>
    <t>1364</t>
  </si>
  <si>
    <t>75045880488</t>
  </si>
  <si>
    <t>VIBRATOR 1-PHASE 220V, 1PH, 3000RPM MVE100/3M FC:98KG HIGH QUALITY</t>
  </si>
  <si>
    <t>VIBRADOR ELECTRICO 220V, 1PH, 3000RPM MVE100/3M FC:98KG HIGH QUALITY</t>
  </si>
  <si>
    <t>MVE 100/3M HQ</t>
  </si>
  <si>
    <t>1363</t>
  </si>
  <si>
    <t>75045880492</t>
  </si>
  <si>
    <t>VIBRATOR 1-PHASE 220V, 1PH, 3000RPM MVE200/3M FC:187KG</t>
  </si>
  <si>
    <t>VIBRADOR ELECTRICO 220V, 1PH, 3000RPM MVE200/3M FC:187KG</t>
  </si>
  <si>
    <t xml:space="preserve">MVE 200/3M </t>
  </si>
  <si>
    <t>2083</t>
  </si>
  <si>
    <t>75045880274</t>
  </si>
  <si>
    <t>SEAL-CONE 60MM</t>
  </si>
  <si>
    <t xml:space="preserve">CONO HERMETICO 60MM </t>
  </si>
  <si>
    <t>10061076</t>
  </si>
  <si>
    <t>2311</t>
  </si>
  <si>
    <t>75045880335</t>
  </si>
  <si>
    <t>SCHWING CLAMP SCREW STYLE 5" 2 BOLT WITH BASE MET. SK148</t>
  </si>
  <si>
    <t>ABRAZADERA 5" MET. SK148 DOBLE TORNILLO CON BASE</t>
  </si>
  <si>
    <t>ABRAZADERA DE 5" METRICA DOBLE TORNILLO CON BASE PARA BOMBA DE HORMIGON</t>
  </si>
  <si>
    <t>10133242</t>
  </si>
  <si>
    <t>1982</t>
  </si>
  <si>
    <t>75045880345</t>
  </si>
  <si>
    <t>TEMPERATURE TRANSMITTER 55 DEGREE</t>
  </si>
  <si>
    <t>SENSOR DE TEMPERATURA 55 GRADOS</t>
  </si>
  <si>
    <t>67860005</t>
  </si>
  <si>
    <t>2276</t>
  </si>
  <si>
    <t>75045880403</t>
  </si>
  <si>
    <t>ROD BUSHING / BEARING HOPPER</t>
  </si>
  <si>
    <t>TAPA DE AGITADOR / BASE LADO MOTOR</t>
  </si>
  <si>
    <t>10061074</t>
  </si>
  <si>
    <t>2306</t>
  </si>
  <si>
    <t>75045880318</t>
  </si>
  <si>
    <t>CLAMP 5" MET. DN125 SK148 ADJUSTABLE</t>
  </si>
  <si>
    <t>ABRAZADERA 5" MET. AJUSTABLE DN125 SK148</t>
  </si>
  <si>
    <t>ABRAZADERA DE 5" METRICA AJUSTABLE PARA BOMBA DE HORMIGON</t>
  </si>
  <si>
    <t>CL50MADJ</t>
  </si>
  <si>
    <t>1919</t>
  </si>
  <si>
    <t>75045880309</t>
  </si>
  <si>
    <t>PRESSURE GAUGE 0-250BAR</t>
  </si>
  <si>
    <t>MANOMETRO 0-250BAR</t>
  </si>
  <si>
    <t>MANOMETRO 0-250 BAR PARA BOMBA DE HORMIGON</t>
  </si>
  <si>
    <t>16373006</t>
  </si>
  <si>
    <t>2057</t>
  </si>
  <si>
    <t>75045880388</t>
  </si>
  <si>
    <t>BUSHING D60 60/68X23</t>
  </si>
  <si>
    <t>BUJE D60 60/68X23</t>
  </si>
  <si>
    <t>10061077</t>
  </si>
  <si>
    <t>1429</t>
  </si>
  <si>
    <t>75045880248</t>
  </si>
  <si>
    <t>SEAL COUPLING DN125 5-1/2" MET. WITH LIP</t>
  </si>
  <si>
    <t xml:space="preserve">EMPAQUE DN125 5-1/2" MET. CON CEJA </t>
  </si>
  <si>
    <t>EMPAQUE 5" MET. CON CEJA</t>
  </si>
  <si>
    <t>EMPAQUETADURA DE GOMA DN125 CON LABIO MEDIO PARA BOMBA DE HORMIGON</t>
  </si>
  <si>
    <t>81669004</t>
  </si>
  <si>
    <t>TUBERIA</t>
  </si>
  <si>
    <t>1430</t>
  </si>
  <si>
    <t>75045880247</t>
  </si>
  <si>
    <t>SEAL COUPLING DN125 5-1/2" MET. NO LIP</t>
  </si>
  <si>
    <t>EMPAQUE DN125 5-1/2" MET. SIN CEJA</t>
  </si>
  <si>
    <t>EMPAQUE 5" MET. SIN CEJA</t>
  </si>
  <si>
    <t>EMPAQUETADURA DE GOMA DN125 PARA BOMBA DE HORMIGON</t>
  </si>
  <si>
    <t>10002526</t>
  </si>
  <si>
    <t>1359</t>
  </si>
  <si>
    <t>75045880486</t>
  </si>
  <si>
    <t>VIBRADOR 1-PHASE 220V, 1PH, 3000RPM MVE300/3M FC:321KG</t>
  </si>
  <si>
    <t>VIBRADOR ELECTRICO 220V, 1PH, 3000RPM MVE300/3M FC:321KG</t>
  </si>
  <si>
    <t>MVE 300/3M</t>
  </si>
  <si>
    <t>2307</t>
  </si>
  <si>
    <t>75045880251</t>
  </si>
  <si>
    <t>CUP TYPE CLAMP DN125 SK148</t>
  </si>
  <si>
    <t>ABRAZADERA 5" MET. SK148 COLA DE RATA</t>
  </si>
  <si>
    <t>ABRAZADERA DE 5" METRICA COLA DE RATA PARA BOMBA DE HORMIGON</t>
  </si>
  <si>
    <t>10007018</t>
  </si>
  <si>
    <t>2077</t>
  </si>
  <si>
    <t>75045880460</t>
  </si>
  <si>
    <t>PUMP TRAP DOOR GATE DISCHARGE / CLOUSURE DN 250</t>
  </si>
  <si>
    <t>COMPUERTA PARA TOLVA</t>
  </si>
  <si>
    <t>10080782</t>
  </si>
  <si>
    <t>1992</t>
  </si>
  <si>
    <t>75045880347</t>
  </si>
  <si>
    <t>OUTRIGGER PLATE 24x24x2" PLASTIC</t>
  </si>
  <si>
    <t>SOPORTE PARA ESTABILIZADOR 24x24x2" PLASTICO</t>
  </si>
  <si>
    <t>296705009</t>
  </si>
  <si>
    <t>2587</t>
  </si>
  <si>
    <t>RUBBER PISTON DN200</t>
  </si>
  <si>
    <t>REPUESTO EMBOLO SECCIONADO DN200</t>
  </si>
  <si>
    <t>60054347</t>
  </si>
  <si>
    <t>SANY</t>
  </si>
  <si>
    <t>2094</t>
  </si>
  <si>
    <t>75045880532</t>
  </si>
  <si>
    <t>PUMP WEDGE</t>
  </si>
  <si>
    <t>CUÑA PARA PERNO</t>
  </si>
  <si>
    <t>CUÑA PARA PERNO PARA BOMBA DE HORMIGON</t>
  </si>
  <si>
    <t>10004709</t>
  </si>
  <si>
    <t>2041</t>
  </si>
  <si>
    <t>75045880435</t>
  </si>
  <si>
    <t>BAR ROUND 4.528in FLANGE RIGHT</t>
  </si>
  <si>
    <t>BARRA PUNTA LADO FIJO</t>
  </si>
  <si>
    <t>BARRA LADO MOTOR PARA BOMBA DE HORMIGON</t>
  </si>
  <si>
    <t>10061080</t>
  </si>
  <si>
    <t>2454</t>
  </si>
  <si>
    <t>CUTTING RING DN250 (DN230) CARBIDE</t>
  </si>
  <si>
    <t>ANILLO DE CORTE DN250 (DN230) CARBIDE</t>
  </si>
  <si>
    <t>10166890CARB</t>
  </si>
  <si>
    <t>2455</t>
  </si>
  <si>
    <t>CUTTING RING DN250 (DN230) CASTING</t>
  </si>
  <si>
    <t>ANILLO DE CORTE DN250 (DN230) CASTING</t>
  </si>
  <si>
    <t>10166890CAST</t>
  </si>
  <si>
    <t>2316</t>
  </si>
  <si>
    <t>75045880449</t>
  </si>
  <si>
    <t>CLAMP CUP WEDGE MET. DN180 7"</t>
  </si>
  <si>
    <t>ABRAZADERA CON CUNA MET. DN180 7"</t>
  </si>
  <si>
    <t>ABRAZADERA METRICA DDN 180 7" PARA BOMBA DE HORMIGON</t>
  </si>
  <si>
    <t>10043560</t>
  </si>
  <si>
    <t>2457</t>
  </si>
  <si>
    <t>75045880466</t>
  </si>
  <si>
    <t>HYDRAULIC MOTOR BRH B470</t>
  </si>
  <si>
    <t>MOTOR AGITADOR B470</t>
  </si>
  <si>
    <t>484279</t>
  </si>
  <si>
    <t>1209</t>
  </si>
  <si>
    <t>MAIN CYLINDER SEAL 80/100X40</t>
  </si>
  <si>
    <t xml:space="preserve">EMPAQUETADURA PARA VASTAGO DE BOMBA 80/100x40      </t>
  </si>
  <si>
    <t>10003421</t>
  </si>
  <si>
    <t>24160007</t>
  </si>
  <si>
    <t>2082</t>
  </si>
  <si>
    <t>75045880273</t>
  </si>
  <si>
    <t>SEAL-CONE 50MM</t>
  </si>
  <si>
    <t>CONO HERMETICO 50MM</t>
  </si>
  <si>
    <t>10061050</t>
  </si>
  <si>
    <t>2146</t>
  </si>
  <si>
    <t>75045880442</t>
  </si>
  <si>
    <t>PISTON RAM DN200 NO BASE</t>
  </si>
  <si>
    <t>EMBOLO DN200 SIN BASE</t>
  </si>
  <si>
    <t>ÉMBOLO DN200 SIN BASE PARA BOMBA DE HORMIGON</t>
  </si>
  <si>
    <t>10007908</t>
  </si>
  <si>
    <t>2318</t>
  </si>
  <si>
    <t>75045881172</t>
  </si>
  <si>
    <t>CLEANING BALL 5" SOFT DN125</t>
  </si>
  <si>
    <t>PELOTA LIMPIEZA 5" BLANDA DN125</t>
  </si>
  <si>
    <t>BOLA DE LIMPIEZA DE BOMBA DE HORMIGON</t>
  </si>
  <si>
    <t>CB501</t>
  </si>
  <si>
    <t>PELIM5</t>
  </si>
  <si>
    <t>LIMPIEZA</t>
  </si>
  <si>
    <t>1896</t>
  </si>
  <si>
    <t>75045880520</t>
  </si>
  <si>
    <t>OUTER HOUSING</t>
  </si>
  <si>
    <t xml:space="preserve">GUIA DE DESCARGA </t>
  </si>
  <si>
    <t>240391003</t>
  </si>
  <si>
    <t>2330</t>
  </si>
  <si>
    <t>75045880288</t>
  </si>
  <si>
    <t>NOZZLE</t>
  </si>
  <si>
    <t>AIREADOR TIPO BOQUILLA</t>
  </si>
  <si>
    <t>BVS1N</t>
  </si>
  <si>
    <t>BVSUS1N</t>
  </si>
  <si>
    <t>2184</t>
  </si>
  <si>
    <t>75045880313</t>
  </si>
  <si>
    <t>KIDNEY SEAL DN135</t>
  </si>
  <si>
    <t xml:space="preserve">EMPAQUE HULE RIÑON DN135 </t>
  </si>
  <si>
    <t>10032182</t>
  </si>
  <si>
    <t>1763</t>
  </si>
  <si>
    <t>75045880369</t>
  </si>
  <si>
    <t>FLEXIBLE HOSE 4 LAYER MET. DN125 SK148 5"X3m SINGLE END</t>
  </si>
  <si>
    <t>MANGUERA FLEXIBLE 4 CAPAS MET. DN125 SK148 5"X3m BOQUILLA SENCILLA</t>
  </si>
  <si>
    <t>MANGUERA 4 CAPAS 5"x3m MET. BOQUILLA SENCILLA</t>
  </si>
  <si>
    <t>MANGUERA FLEXIBLE 3M PARA BOMBA DE HORMIGON</t>
  </si>
  <si>
    <t>BMFH30001F</t>
  </si>
  <si>
    <t>2447</t>
  </si>
  <si>
    <t>HYDRAULIC VALVE HER 350BAR</t>
  </si>
  <si>
    <t xml:space="preserve">VALVULA HER 350BAR PARA EMBRAGUE ENQUINTAR </t>
  </si>
  <si>
    <t>10007779</t>
  </si>
  <si>
    <t>1810</t>
  </si>
  <si>
    <t>75045880283</t>
  </si>
  <si>
    <t>COMPLETE DRUM ROLLER ASSEMBLY LONDON 4-3/4"</t>
  </si>
  <si>
    <t>RODILLO LONDON COMPLETO 4-3/4"</t>
  </si>
  <si>
    <t>RODILLO LONDÓN COMPLETO 4-3/4" PARA CAMION REVOLVEDOR</t>
  </si>
  <si>
    <t>MD-32123</t>
  </si>
  <si>
    <t>RODILLOS</t>
  </si>
  <si>
    <t>1368</t>
  </si>
  <si>
    <t>75045880421</t>
  </si>
  <si>
    <t>ROTARY BALL VIBRATORS S13 DE15000 VIB/MIN - PNEUMATIC VIBRATOR S13 DE15000 VIB/MIN</t>
  </si>
  <si>
    <t>VIBRADOR NEUMATICO - S13 DE 15000 VIB/MIN</t>
  </si>
  <si>
    <t>S13</t>
  </si>
  <si>
    <t>1369</t>
  </si>
  <si>
    <t>75045880420</t>
  </si>
  <si>
    <t>ROTARY BALL VIBRATORS S16 DE13000 VIB/MIN - PNEUMATIC VIBRATOR S16 DE13000 VIB/MIN</t>
  </si>
  <si>
    <t>VIBRADOR NEUMATICO - S16 DE13000 VIB/MIN</t>
  </si>
  <si>
    <t>S16</t>
  </si>
  <si>
    <t>1365</t>
  </si>
  <si>
    <t>75045880490</t>
  </si>
  <si>
    <t>VIBRATOR 1-PHASE 220V, 1PH, 3000RPM MVE200/3M FC:187KG HIGH QUALITY</t>
  </si>
  <si>
    <t>VIBRADOR ELECTRICO 220V, 1PH, 3000RPM MVE200/3M FC:187KG HIGH QUALITY</t>
  </si>
  <si>
    <t>MVE 200/3M HQ</t>
  </si>
  <si>
    <t>2294</t>
  </si>
  <si>
    <t>75045880447</t>
  </si>
  <si>
    <t>HYDRAULIC RETENTION VALVE 320BAR</t>
  </si>
  <si>
    <t>VALVULA HIDRAULICA DE RETENCION 320BAR</t>
  </si>
  <si>
    <t>10049891</t>
  </si>
  <si>
    <t>1855</t>
  </si>
  <si>
    <t>75045880515</t>
  </si>
  <si>
    <t>SPACER CONNECTOR PISTON CONNECTOR</t>
  </si>
  <si>
    <t>CONECTOR EMBOLO ESPACIADOR</t>
  </si>
  <si>
    <t>CONECTOR EMBOLO PARA BOMBA DE HORMIGON</t>
  </si>
  <si>
    <t>401503</t>
  </si>
  <si>
    <t>2142</t>
  </si>
  <si>
    <t>75045880440</t>
  </si>
  <si>
    <t>PISTON RAM DN 250</t>
  </si>
  <si>
    <t xml:space="preserve">EMBOLO DN250 CON BASE </t>
  </si>
  <si>
    <t>ÉMBOLO CON BASE DN250 PARA BOMBA DE HORMIGON</t>
  </si>
  <si>
    <t>10161980</t>
  </si>
  <si>
    <t>1783</t>
  </si>
  <si>
    <t>75045880506</t>
  </si>
  <si>
    <t>LEVEL INDICATOR WITH PADDLE</t>
  </si>
  <si>
    <t>INDICADOR DE NIVEL</t>
  </si>
  <si>
    <t>ILTC2</t>
  </si>
  <si>
    <t>2277</t>
  </si>
  <si>
    <t>75045880404</t>
  </si>
  <si>
    <t>ALUMINUM COVER 1.22in</t>
  </si>
  <si>
    <t>TAPA DE ALUMINIO 1.22in</t>
  </si>
  <si>
    <t>10061079</t>
  </si>
  <si>
    <t>2463</t>
  </si>
  <si>
    <t>75045880339</t>
  </si>
  <si>
    <t>PISTON RAM DN230 CIFA</t>
  </si>
  <si>
    <t>EMBOLO DN230 CIFA</t>
  </si>
  <si>
    <t>EMBOLO DN230 PARA BOMBA DE HORMGON</t>
  </si>
  <si>
    <t>1016135</t>
  </si>
  <si>
    <t>CIFA</t>
  </si>
  <si>
    <t>2472</t>
  </si>
  <si>
    <t>75045892472</t>
  </si>
  <si>
    <t>ELBOW MET. SEAMLESS DN125 R1000 5"x90°</t>
  </si>
  <si>
    <t>CODO MET. SIN COSTURA DN125 R1000 5"x90° (BANANA)</t>
  </si>
  <si>
    <t>CODO DE 5" X 90° PARA BOMBA DE HORMIGON</t>
  </si>
  <si>
    <t>261402007</t>
  </si>
  <si>
    <t>2081</t>
  </si>
  <si>
    <t>75045880272</t>
  </si>
  <si>
    <t>SEAL-CONE 40MM</t>
  </si>
  <si>
    <t>CONO HERMETICO 40MM</t>
  </si>
  <si>
    <t>10061040</t>
  </si>
  <si>
    <t>1360</t>
  </si>
  <si>
    <t>75045880487</t>
  </si>
  <si>
    <t>VIBRATOR 1-PHASE 220V, 1PH, 3000RPM MVE300/3M FC:321KG HIGH QUALITY</t>
  </si>
  <si>
    <t>VIBRADOR ELECTRICO 220V, 1PH, 3000RPM MVE300/3M FC:321KG HIGH QUALITY</t>
  </si>
  <si>
    <t>MVE 300/3M HQ</t>
  </si>
  <si>
    <t>2143</t>
  </si>
  <si>
    <t>75045880405</t>
  </si>
  <si>
    <t>PISTON RAM DN 180 FLANGED TYPE</t>
  </si>
  <si>
    <t>EMBOLO CON BASE DN180</t>
  </si>
  <si>
    <t>10161781</t>
  </si>
  <si>
    <t>1849</t>
  </si>
  <si>
    <t>75045880342</t>
  </si>
  <si>
    <t>RUBBER BUFFER</t>
  </si>
  <si>
    <t>CHUMACERA</t>
  </si>
  <si>
    <t>CHUMACERA PARA BOMBA DE HORMIGON</t>
  </si>
  <si>
    <t>19137003</t>
  </si>
  <si>
    <t>2346</t>
  </si>
  <si>
    <t>75045880497</t>
  </si>
  <si>
    <t>12" SINGLE FLANGE BUTTERFLY VALVE CAST IRON DISK</t>
  </si>
  <si>
    <t>VALVULA MARIPOSA 12" BRIDA SIMPLE CASTING</t>
  </si>
  <si>
    <t>V1FS300GBB</t>
  </si>
  <si>
    <t>2147</t>
  </si>
  <si>
    <t>75045880441</t>
  </si>
  <si>
    <t>PISTON RAM DN 230</t>
  </si>
  <si>
    <t xml:space="preserve">EMBOLO DN230 CON BASE </t>
  </si>
  <si>
    <t>ÉMBOLO CON BASE DN230 PARA BOMBA DE HORMIGON</t>
  </si>
  <si>
    <t>10161634</t>
  </si>
  <si>
    <t>10043827</t>
  </si>
  <si>
    <t>2270</t>
  </si>
  <si>
    <t>75045880402</t>
  </si>
  <si>
    <t>BAR-MACHINED BUSHING BLIND SIDE</t>
  </si>
  <si>
    <t>TAPA AGITADOR BASE LADO FIJO</t>
  </si>
  <si>
    <t>10061078</t>
  </si>
  <si>
    <t>1879</t>
  </si>
  <si>
    <t>75045880429</t>
  </si>
  <si>
    <t>EMBOLO CON PISTON DN230</t>
  </si>
  <si>
    <t>EMBOLO DN230 PARA BOMBA DE HORMIGON</t>
  </si>
  <si>
    <t>262893000</t>
  </si>
  <si>
    <t>2328</t>
  </si>
  <si>
    <t>75045880493</t>
  </si>
  <si>
    <t xml:space="preserve">PNEUMATIC ACTUATOR FOR BUTTERFLY VALVE/ AIR ACTUATOR FOR 4IN TO 12IN BUTTERFLY VALVES </t>
  </si>
  <si>
    <t>ACTUADOR NEUMATICO PARA VALVULA MARIPOSA</t>
  </si>
  <si>
    <t>CP101</t>
  </si>
  <si>
    <t>2145</t>
  </si>
  <si>
    <t>75045880428</t>
  </si>
  <si>
    <t>PISTON RAM DN200</t>
  </si>
  <si>
    <t xml:space="preserve">EMBOLO DN200 CON BASE </t>
  </si>
  <si>
    <t>ÉMBOLO CON BASE DN200 PARA BOMBA DE HORMIGON</t>
  </si>
  <si>
    <t>10161754</t>
  </si>
  <si>
    <t>2305</t>
  </si>
  <si>
    <t>75045880255</t>
  </si>
  <si>
    <t>PIPE TWIN LAYER MET. DN125 SK148 5" 5x3000mm</t>
  </si>
  <si>
    <t>TUBO DOBLE CAPA MET. DN125 SK148 5" 5x3000mm</t>
  </si>
  <si>
    <t>TUBO MET. DOBLE CAPA5" 5x3000mm</t>
  </si>
  <si>
    <t>10004349</t>
  </si>
  <si>
    <t>2344</t>
  </si>
  <si>
    <t>75045880496</t>
  </si>
  <si>
    <t>CONCRETE PLANT SILO TOP PRESSURE RELIEF VALVE 10" STAINLESS COVER</t>
  </si>
  <si>
    <t>VALVULA DE ALIVIO PARA SILO 10"</t>
  </si>
  <si>
    <t>VCP2731C</t>
  </si>
  <si>
    <t>PSV2731A</t>
  </si>
  <si>
    <t>1238</t>
  </si>
  <si>
    <t>PLUNGER CYLINDER 160-60</t>
  </si>
  <si>
    <t>CILINDRO CAMBIO/GATO BUZO 160-60MM</t>
  </si>
  <si>
    <t>541668</t>
  </si>
  <si>
    <t>1546</t>
  </si>
  <si>
    <t>75045880423</t>
  </si>
  <si>
    <t>PLUNGER CYLINDER 160-80</t>
  </si>
  <si>
    <t>CILINDRO CAMBIO/ GATO BUZO 160-80</t>
  </si>
  <si>
    <t>C40224400</t>
  </si>
  <si>
    <t>2003</t>
  </si>
  <si>
    <t>75045880526</t>
  </si>
  <si>
    <t>MULTIWAY VALVE HEADWAY PLATE / QUANTITATIVE PUMP INPUT MODULE 24V</t>
  </si>
  <si>
    <t>VALVULA REGULADORA DE PRESION 24V</t>
  </si>
  <si>
    <t>254879003</t>
  </si>
  <si>
    <t>2345</t>
  </si>
  <si>
    <t>75045880544</t>
  </si>
  <si>
    <t>10" SINGLE FLANGE BUTTERFLY VALVE CAST IRON DISK HIGH QUALITY</t>
  </si>
  <si>
    <t>VALVULA MARIPOSA 10" BRIDA SIMPLE HIGH QUALITY</t>
  </si>
  <si>
    <t>V1FS250GBB.</t>
  </si>
  <si>
    <t>1809</t>
  </si>
  <si>
    <t>75045880259</t>
  </si>
  <si>
    <t>COMPLETE DRUM ROLLER ASSEMBLY MTM 3-7/8"</t>
  </si>
  <si>
    <t>RODILLO COMPLETO MTM 3-7/8"</t>
  </si>
  <si>
    <t>RODILLO COMPLETO MTM 3-7/8 PARA CAMION REVOLVEDOR</t>
  </si>
  <si>
    <t>150440</t>
  </si>
  <si>
    <t>75045880419</t>
  </si>
  <si>
    <t>10" SINGLE FLANGE BUTTERFLY VALVE CAST IRON DISK</t>
  </si>
  <si>
    <t>VALVULA MARIPOSA 10" BRIDA SIMPLE CASTING</t>
  </si>
  <si>
    <t>V1FS250GBB</t>
  </si>
  <si>
    <t>2002</t>
  </si>
  <si>
    <t>75045880474</t>
  </si>
  <si>
    <t>VALVE 12V FESTO with coil</t>
  </si>
  <si>
    <t>VALVULA FESTO 12V ORIGINAL</t>
  </si>
  <si>
    <t>VALVULA PUTZMEISTER 12V PARA BOMBA DE HORMIGON</t>
  </si>
  <si>
    <t>A052938</t>
  </si>
  <si>
    <t>1400</t>
  </si>
  <si>
    <t>75045880317</t>
  </si>
  <si>
    <t>\\MCA-S\mk\2_BM\0_BMat\08_PYM\Inventario\excel\Imagen de refacciones\Sistema tuberia\COOO DE 5_X 45°-METRICO</t>
  </si>
  <si>
    <t>ELBOW MET. TWIN WALL DN125 R275 5"x45° 80000m3</t>
  </si>
  <si>
    <t>CODO MET. DOBLE CAPA DN125 R275 5"x45° 80000m3</t>
  </si>
  <si>
    <t>CODO DE 5" X 45° PARA BOMBA DE HORMIGON</t>
  </si>
  <si>
    <t>10014526</t>
  </si>
  <si>
    <t>2348</t>
  </si>
  <si>
    <t>75045880498</t>
  </si>
  <si>
    <t>\\MCA-S\mk\2_BM\0_BMat\08_PYM\Inventario\excel\Imagen de refacciones\Wam\Válvula mariposa 8_ doble brida</t>
  </si>
  <si>
    <t>8" DOUBLE FLANGE BUTTERFLY VALVE CAST IRON DISK</t>
  </si>
  <si>
    <t>VALVULA MARIPOSA 8" DOBLE BRIDA CASTING</t>
  </si>
  <si>
    <t>V2FS200GBB</t>
  </si>
  <si>
    <t>1949</t>
  </si>
  <si>
    <t>\\MCA-S\mk\2_BM\0_BMat\08_PYM\Inventario\excel\Imagen de refacciones\Putzmeister\Relevador 24VDC</t>
  </si>
  <si>
    <t>STEP RELAY 24V; 2 WECHS</t>
  </si>
  <si>
    <t>RELEVADOR L2-24V 3A30VDC</t>
  </si>
  <si>
    <t>244371003</t>
  </si>
  <si>
    <t>AG322460</t>
  </si>
  <si>
    <t>1399</t>
  </si>
  <si>
    <t>75045880260</t>
  </si>
  <si>
    <t>\\MCA-S\mk\2_BM\0_BMat\08_PYM\Inventario\excel\Imagen de refacciones\Sistema tuberia\Codo de 5_ x 90° - metrico Twin wall</t>
  </si>
  <si>
    <t>ELBOW MET. TWIN WALL DN125 R275 5"x90° 80000m3</t>
  </si>
  <si>
    <t>CODO MET. DOBLE CAPA DN125 R275 5"x90° 80000m3</t>
  </si>
  <si>
    <t>10081212</t>
  </si>
  <si>
    <t>2059</t>
  </si>
  <si>
    <t>75045880349</t>
  </si>
  <si>
    <t>\\MCA-S\mk\2_BM\0_BMat\08_PYM\Inventario\excel\Imagen de refacciones\Schwing\Buje para horquilla</t>
  </si>
  <si>
    <t>BUSHING MB3530</t>
  </si>
  <si>
    <t>BUJE PARA HORQUILLA/BUJE MB3530</t>
  </si>
  <si>
    <t>10006726</t>
  </si>
  <si>
    <t>1005</t>
  </si>
  <si>
    <t>DISCHARGE HOPPER COLLECTOR CHUTE STANDARD</t>
  </si>
  <si>
    <t>tolva de carga  vampiro</t>
  </si>
  <si>
    <t>153330</t>
  </si>
  <si>
    <t>No Available</t>
  </si>
  <si>
    <t>1007</t>
  </si>
  <si>
    <t>Kit de 2 baleros con taza y 2 retenes para rodillo mtm 3-7/8"</t>
  </si>
  <si>
    <t>150440BK</t>
  </si>
  <si>
    <t>1012</t>
  </si>
  <si>
    <t>Perlilla negra para caja de control de cabina</t>
  </si>
  <si>
    <t>82485</t>
  </si>
  <si>
    <t>1020</t>
  </si>
  <si>
    <t>Rodillo para olla revolvedora foton</t>
  </si>
  <si>
    <t>Rodillo foton</t>
  </si>
  <si>
    <t>1021</t>
  </si>
  <si>
    <t>380.215810A</t>
  </si>
  <si>
    <t>1023</t>
  </si>
  <si>
    <t>380.00823A</t>
  </si>
  <si>
    <t>1024</t>
  </si>
  <si>
    <t>Cable de aceleración 27FT x1/4" X 4"</t>
  </si>
  <si>
    <t>380.215827A</t>
  </si>
  <si>
    <t>1025</t>
  </si>
  <si>
    <t>Cable de aceleración 30FT x1/4" X 4"</t>
  </si>
  <si>
    <t>380.00830A</t>
  </si>
  <si>
    <t>1026</t>
  </si>
  <si>
    <t>Cables de aceleración 30FT x1/4" X 4"</t>
  </si>
  <si>
    <t>380.215830A</t>
  </si>
  <si>
    <t>1027</t>
  </si>
  <si>
    <t>Cable de aceleración 5FT x1/4" X 4"</t>
  </si>
  <si>
    <t>380.215805A</t>
  </si>
  <si>
    <t>1028</t>
  </si>
  <si>
    <t>1029</t>
  </si>
  <si>
    <t>Cable de aceleración 33FT x1/4" X 4"</t>
  </si>
  <si>
    <t>380.215833A</t>
  </si>
  <si>
    <t>1030</t>
  </si>
  <si>
    <t>380.215814A</t>
  </si>
  <si>
    <t>1031</t>
  </si>
  <si>
    <t>1032</t>
  </si>
  <si>
    <t>1033</t>
  </si>
  <si>
    <t>380.215817A</t>
  </si>
  <si>
    <t>1034</t>
  </si>
  <si>
    <t>Cables de control para olla MCNEILUS</t>
  </si>
  <si>
    <t>380.00810</t>
  </si>
  <si>
    <t>1041</t>
  </si>
  <si>
    <t>Cables de control para olla mcneilus 33FT x1/4" x 3"</t>
  </si>
  <si>
    <t>380.00833</t>
  </si>
  <si>
    <t>1042</t>
  </si>
  <si>
    <t>Cables de control para olla mcneilus 26FT x1/4" x 4"</t>
  </si>
  <si>
    <t>380.215826</t>
  </si>
  <si>
    <t>1043</t>
  </si>
  <si>
    <t>Cables de control para olla mcneilus 30FT x1/4" x 3"</t>
  </si>
  <si>
    <t>380.00808</t>
  </si>
  <si>
    <t>1044</t>
  </si>
  <si>
    <t>Cables de control para olla mcneilus 27FT x1/4" x 3"</t>
  </si>
  <si>
    <t>380.00827</t>
  </si>
  <si>
    <t>1045</t>
  </si>
  <si>
    <t>1046</t>
  </si>
  <si>
    <t>Cables de control para olla mcneilus 6FT x1/4" x 4"</t>
  </si>
  <si>
    <t>380.215806</t>
  </si>
  <si>
    <t>1047</t>
  </si>
  <si>
    <t>Cables de control para olla mcneilus 19FT x1/4" x 4"</t>
  </si>
  <si>
    <t>380.215819</t>
  </si>
  <si>
    <t>1048</t>
  </si>
  <si>
    <t>Cables de control para olla mcneilus 23FT x1/4" x 4"</t>
  </si>
  <si>
    <t>380.215823</t>
  </si>
  <si>
    <t>1049</t>
  </si>
  <si>
    <t>Cables de control para olla mcneilus 11FT x1/4" x 3"</t>
  </si>
  <si>
    <t>380.00811</t>
  </si>
  <si>
    <t>1050</t>
  </si>
  <si>
    <t>Cables de control para olla mcneilus 11FT x1/4" x 4"</t>
  </si>
  <si>
    <t>380.00826</t>
  </si>
  <si>
    <t>1051</t>
  </si>
  <si>
    <t>Cables de control para olla mcneilus 21FT x1/4" x 3"</t>
  </si>
  <si>
    <t>1052</t>
  </si>
  <si>
    <t>Cables de control para olla mcneilus 21FT x1/4" x 4"</t>
  </si>
  <si>
    <t>380.215821</t>
  </si>
  <si>
    <t>1053</t>
  </si>
  <si>
    <t>Cables de control para olla mcneilus 19FT x1/4" x 3"</t>
  </si>
  <si>
    <t>380.00819</t>
  </si>
  <si>
    <t>1054</t>
  </si>
  <si>
    <t>Cables de control para olla mcneilus 6FT x1/4" x 3"</t>
  </si>
  <si>
    <t>380.00806</t>
  </si>
  <si>
    <t>1055</t>
  </si>
  <si>
    <t>Cables de control para olla mcneilus 10FT x1/4" x  4"</t>
  </si>
  <si>
    <t>1056</t>
  </si>
  <si>
    <t>Cables de control para olla mcneilus 10FT x1/4" x 4"</t>
  </si>
  <si>
    <t>1058</t>
  </si>
  <si>
    <t>Bomba hidraulica london hyd pump</t>
  </si>
  <si>
    <t>MA-31737</t>
  </si>
  <si>
    <t>Componentes hidráulicos</t>
  </si>
  <si>
    <t>1059</t>
  </si>
  <si>
    <t>Kit de Sellos para Eje de Bomba Eaton - Tipo Mecánico</t>
  </si>
  <si>
    <t>990231</t>
  </si>
  <si>
    <t>1062</t>
  </si>
  <si>
    <t>kit de sellos para transmisión zf</t>
  </si>
  <si>
    <t>PK-5300SK</t>
  </si>
  <si>
    <t>1065</t>
  </si>
  <si>
    <t>Interruptor electrico</t>
  </si>
  <si>
    <t>110256</t>
  </si>
  <si>
    <t>1069</t>
  </si>
  <si>
    <t>Bobina COIL HYDAC 12 VDC</t>
  </si>
  <si>
    <t>26COIL12VN</t>
  </si>
  <si>
    <t>1070</t>
  </si>
  <si>
    <t>Bobina coil hydraforce 12 VDC cromado - DGL</t>
  </si>
  <si>
    <t>26COIL12VC</t>
  </si>
  <si>
    <t>1082</t>
  </si>
  <si>
    <t>Balero para reductor ZF</t>
  </si>
  <si>
    <t>0750-116-227</t>
  </si>
  <si>
    <t>1085</t>
  </si>
  <si>
    <t>Balero rotula para reductor</t>
  </si>
  <si>
    <t>0635-285-014</t>
  </si>
  <si>
    <t>1096</t>
  </si>
  <si>
    <t>Bearing flange</t>
  </si>
  <si>
    <t>4108-303-292</t>
  </si>
  <si>
    <t>1097</t>
  </si>
  <si>
    <t>Sealing collar</t>
  </si>
  <si>
    <t>4108-306-102</t>
  </si>
  <si>
    <t>1098</t>
  </si>
  <si>
    <t>ring</t>
  </si>
  <si>
    <t>1099</t>
  </si>
  <si>
    <t>Thrust Disk</t>
  </si>
  <si>
    <t>0630-004-189</t>
  </si>
  <si>
    <t>1100</t>
  </si>
  <si>
    <t>Roller bearing</t>
  </si>
  <si>
    <t>0750 117-735</t>
  </si>
  <si>
    <t>1101</t>
  </si>
  <si>
    <t>Oil dipstick</t>
  </si>
  <si>
    <t>4108-203-149</t>
  </si>
  <si>
    <t>Elementos de medición y control</t>
  </si>
  <si>
    <t>1102</t>
  </si>
  <si>
    <t>Bearing Housing</t>
  </si>
  <si>
    <t>4108-203-154</t>
  </si>
  <si>
    <t>1103</t>
  </si>
  <si>
    <t>CLUTCH HOUSING</t>
  </si>
  <si>
    <t>4108-303-320</t>
  </si>
  <si>
    <t>1104</t>
  </si>
  <si>
    <t>SOLTTED NUT</t>
  </si>
  <si>
    <t>0737-7502-084</t>
  </si>
  <si>
    <t>1105</t>
  </si>
  <si>
    <t>RETAINING RING</t>
  </si>
  <si>
    <t>0630-501-031</t>
  </si>
  <si>
    <t>1107</t>
  </si>
  <si>
    <t>PLANETARY CARRIER</t>
  </si>
  <si>
    <t>4108 303-283</t>
  </si>
  <si>
    <t>1108</t>
  </si>
  <si>
    <t>PIN</t>
  </si>
  <si>
    <t>4108 303-289</t>
  </si>
  <si>
    <t>1109</t>
  </si>
  <si>
    <t>THRUST WASHER</t>
  </si>
  <si>
    <t>0730-102 684</t>
  </si>
  <si>
    <t>1110</t>
  </si>
  <si>
    <t>INTERMEDIATE WASHER</t>
  </si>
  <si>
    <t>0730-102-816</t>
  </si>
  <si>
    <t>1111</t>
  </si>
  <si>
    <t>PLANETARY GEAR</t>
  </si>
  <si>
    <t>4108-303-298</t>
  </si>
  <si>
    <t>1112</t>
  </si>
  <si>
    <t>NEEDLE BEARING</t>
  </si>
  <si>
    <t>0750 119-092</t>
  </si>
  <si>
    <t>1114</t>
  </si>
  <si>
    <t>SNAP RING</t>
  </si>
  <si>
    <t>0630 503-018</t>
  </si>
  <si>
    <t>1115</t>
  </si>
  <si>
    <t>BEARING COVER</t>
  </si>
  <si>
    <t>4108-301-293</t>
  </si>
  <si>
    <t>1116</t>
  </si>
  <si>
    <t>Planetary carrier</t>
  </si>
  <si>
    <t>4108-302-192</t>
  </si>
  <si>
    <t>1117</t>
  </si>
  <si>
    <t>Bearing plate</t>
  </si>
  <si>
    <t>4108-302-007</t>
  </si>
  <si>
    <t>1118</t>
  </si>
  <si>
    <t>BALL BEARING</t>
  </si>
  <si>
    <t>0750-116-343</t>
  </si>
  <si>
    <t>1119</t>
  </si>
  <si>
    <t>BEARING PIN</t>
  </si>
  <si>
    <t>4108-302-062</t>
  </si>
  <si>
    <t>1120</t>
  </si>
  <si>
    <t>4108-302-190</t>
  </si>
  <si>
    <t>1121</t>
  </si>
  <si>
    <t>0730 105-878</t>
  </si>
  <si>
    <t>1122</t>
  </si>
  <si>
    <t>0730-102-644</t>
  </si>
  <si>
    <t>1123</t>
  </si>
  <si>
    <t>0735-470 120</t>
  </si>
  <si>
    <t>1126</t>
  </si>
  <si>
    <t>HOUSING</t>
  </si>
  <si>
    <t>4108-201-279</t>
  </si>
  <si>
    <t>1127</t>
  </si>
  <si>
    <t>SEALING RING</t>
  </si>
  <si>
    <t>0634-80 057</t>
  </si>
  <si>
    <t>1128</t>
  </si>
  <si>
    <t>SCREW PLU</t>
  </si>
  <si>
    <t>4475-280-018</t>
  </si>
  <si>
    <t>1129</t>
  </si>
  <si>
    <t>NAME PIATE</t>
  </si>
  <si>
    <t>0730-365-127</t>
  </si>
  <si>
    <t>1130</t>
  </si>
  <si>
    <t>GROO VED PIN</t>
  </si>
  <si>
    <t>0631-311-009</t>
  </si>
  <si>
    <t>1131</t>
  </si>
  <si>
    <t>SOCKET HEAD CAP SCREW</t>
  </si>
  <si>
    <t>0636-101-073</t>
  </si>
  <si>
    <t>1132</t>
  </si>
  <si>
    <t>0636-101-071</t>
  </si>
  <si>
    <t>1133</t>
  </si>
  <si>
    <t>0630-531-064</t>
  </si>
  <si>
    <t>1136</t>
  </si>
  <si>
    <t>0630 502-039</t>
  </si>
  <si>
    <t>1137</t>
  </si>
  <si>
    <t>SHAFT SEAL</t>
  </si>
  <si>
    <t>0634-300-610</t>
  </si>
  <si>
    <t>1138</t>
  </si>
  <si>
    <t>GASKET</t>
  </si>
  <si>
    <t>4108-302-139</t>
  </si>
  <si>
    <t>1157</t>
  </si>
  <si>
    <t>Kit de reparación de motor agitador completo, barra cuña, sellos, retenes y baleros</t>
  </si>
  <si>
    <t>10039180-AK</t>
  </si>
  <si>
    <t>1183</t>
  </si>
  <si>
    <t>75045891183</t>
  </si>
  <si>
    <t>RING 100/91.4X3</t>
  </si>
  <si>
    <t>ANILLO CABEZA DE BRONCE 100/91.4X3</t>
  </si>
  <si>
    <t>1004225</t>
  </si>
  <si>
    <t>1185</t>
  </si>
  <si>
    <t>ÉMBOLO CON BASE DN180 PARA BOMBA DE HORMIGON</t>
  </si>
  <si>
    <t>1007943</t>
  </si>
  <si>
    <t>1203</t>
  </si>
  <si>
    <t>Reten 28X40X6</t>
  </si>
  <si>
    <t>1204</t>
  </si>
  <si>
    <t>Manguera hidráulica 3/8</t>
  </si>
  <si>
    <t>4014038</t>
  </si>
  <si>
    <t>1205</t>
  </si>
  <si>
    <t>Manguera hidráulica 1/2</t>
  </si>
  <si>
    <t>4014202</t>
  </si>
  <si>
    <t>1214</t>
  </si>
  <si>
    <t>Rascador (wisper/scrapper) medida 63/73 X 7</t>
  </si>
  <si>
    <t>10003870</t>
  </si>
  <si>
    <t>1223</t>
  </si>
  <si>
    <t>MANGUERA HIDRAULICA 60MM X 1M</t>
  </si>
  <si>
    <t>40160X1HID</t>
  </si>
  <si>
    <t>1224</t>
  </si>
  <si>
    <t>Mangueras hidráulicas 600 X 1.20 M</t>
  </si>
  <si>
    <t>40160X120H</t>
  </si>
  <si>
    <t>1234</t>
  </si>
  <si>
    <t>Lodera Schwing</t>
  </si>
  <si>
    <t>25172609L</t>
  </si>
  <si>
    <t>1236</t>
  </si>
  <si>
    <t>75045880510</t>
  </si>
  <si>
    <t>Anillo de desgaste</t>
  </si>
  <si>
    <t>251031066</t>
  </si>
  <si>
    <t>1271</t>
  </si>
  <si>
    <t>Cilindros de bombeo DN150 X 1099MM</t>
  </si>
  <si>
    <t>81123003</t>
  </si>
  <si>
    <t>1272</t>
  </si>
  <si>
    <t>Cilindros de bombeo DN180 X 1099MM</t>
  </si>
  <si>
    <t>88358004</t>
  </si>
  <si>
    <t>1273</t>
  </si>
  <si>
    <t>Cilindros de bombeo DN250 X 2310MM</t>
  </si>
  <si>
    <t>BCR00250X2310</t>
  </si>
  <si>
    <t>1274</t>
  </si>
  <si>
    <t>Cilindros de bombeo DN230 X 2100MM</t>
  </si>
  <si>
    <t>239867001</t>
  </si>
  <si>
    <t>1275</t>
  </si>
  <si>
    <t>Cilindros de bombeo DN230 X 2320MM</t>
  </si>
  <si>
    <t>239862320</t>
  </si>
  <si>
    <t>1277</t>
  </si>
  <si>
    <t>Filtro hidráulico</t>
  </si>
  <si>
    <t>23827007</t>
  </si>
  <si>
    <t>1283</t>
  </si>
  <si>
    <t>238627006</t>
  </si>
  <si>
    <t>1284</t>
  </si>
  <si>
    <t>Kit de sellos putzmeister</t>
  </si>
  <si>
    <t>225639007</t>
  </si>
  <si>
    <t>1303</t>
  </si>
  <si>
    <t>Kit de sellos para bomba hidráulica</t>
  </si>
  <si>
    <t>a4VG1 25-SK</t>
  </si>
  <si>
    <t>1304</t>
  </si>
  <si>
    <t>A4VG1 25-SK</t>
  </si>
  <si>
    <t>1315</t>
  </si>
  <si>
    <t>Limit swicht</t>
  </si>
  <si>
    <t>6763004</t>
  </si>
  <si>
    <t>1317</t>
  </si>
  <si>
    <t xml:space="preserve">CONTROL PRESS REDUCER </t>
  </si>
  <si>
    <t>258897007</t>
  </si>
  <si>
    <t>1320</t>
  </si>
  <si>
    <t>Caja de transferencia g64</t>
  </si>
  <si>
    <t>2780223000</t>
  </si>
  <si>
    <t>1324</t>
  </si>
  <si>
    <t>Regulador filtro de aire y lubricador ensamble</t>
  </si>
  <si>
    <t>P6186DG3</t>
  </si>
  <si>
    <t>Componentes neumáticos</t>
  </si>
  <si>
    <t>1329</t>
  </si>
  <si>
    <t>Válvula selenoide WAM</t>
  </si>
  <si>
    <t>VSVV40</t>
  </si>
  <si>
    <t>1333</t>
  </si>
  <si>
    <t>75045880417</t>
  </si>
  <si>
    <t>Electroválvula</t>
  </si>
  <si>
    <t>72452A</t>
  </si>
  <si>
    <t>1334</t>
  </si>
  <si>
    <t>ELECTROVALVULA</t>
  </si>
  <si>
    <t>P1220376</t>
  </si>
  <si>
    <t>1335</t>
  </si>
  <si>
    <t>Mangas rectas de hule para transportadora para silo 8* X 1/4'</t>
  </si>
  <si>
    <t>Componentes para silos</t>
  </si>
  <si>
    <t>1336</t>
  </si>
  <si>
    <t>Mangas rectas de hule para transportadora para silo 8-1/2* X 1/4'</t>
  </si>
  <si>
    <t>1337</t>
  </si>
  <si>
    <t>Mangas rectas de hule para transportadora para silo 10'X 1/4'</t>
  </si>
  <si>
    <t>10'X 1/4'</t>
  </si>
  <si>
    <t>1338</t>
  </si>
  <si>
    <t>Mangas rectas de hule para transportadora para silo 10-1/2* X 1/4'</t>
  </si>
  <si>
    <t>10-1/2* X 1/4'</t>
  </si>
  <si>
    <t>1339</t>
  </si>
  <si>
    <t>Mangas rectas de hule para transportadora para silo 11*X 1/4'</t>
  </si>
  <si>
    <t>11*X 1/4'</t>
  </si>
  <si>
    <t>1340</t>
  </si>
  <si>
    <t>Mangas rectas de hule para transportadora para silo 22'X 1/4'</t>
  </si>
  <si>
    <t>22'X 1/4'</t>
  </si>
  <si>
    <t>1341</t>
  </si>
  <si>
    <t>Mangas rectas de hule para transportadora para silo 23'X1/4'</t>
  </si>
  <si>
    <t>23'X1/4'</t>
  </si>
  <si>
    <t>1342</t>
  </si>
  <si>
    <t>Mangas rectas de hule para transportadora para silo 24* X 1/4'</t>
  </si>
  <si>
    <t>24* X 1/4'</t>
  </si>
  <si>
    <t>1343</t>
  </si>
  <si>
    <t>Mangas rectas de hule para transportadora para silo 26' X 1/4'</t>
  </si>
  <si>
    <t>26' X 1/4'</t>
  </si>
  <si>
    <t>1344</t>
  </si>
  <si>
    <t>Mangas rectas de hule para transportadora para silo 28* X 1/4'</t>
  </si>
  <si>
    <t>28* X 1/4'</t>
  </si>
  <si>
    <t>1353</t>
  </si>
  <si>
    <t>Colector de polvo de pulso WAM</t>
  </si>
  <si>
    <t>PFC.3J.24</t>
  </si>
  <si>
    <t>1367</t>
  </si>
  <si>
    <t>75045880408</t>
  </si>
  <si>
    <t>ROTARY BALL VIBRATORS S10 DE22500 VIB/MIN - PNEUMATIC VIBRATOR S10 DE22500 VIB/MIN</t>
  </si>
  <si>
    <t>VIBRADOR NEUMATICO - S10 DE22500 VIB/MIN</t>
  </si>
  <si>
    <t>S10</t>
  </si>
  <si>
    <t>1375</t>
  </si>
  <si>
    <t xml:space="preserve">BOQUILLA COLECTOR DE POLVOS </t>
  </si>
  <si>
    <t>VALVE PULSEJET</t>
  </si>
  <si>
    <t>1383</t>
  </si>
  <si>
    <t>Electroválvula WAM</t>
  </si>
  <si>
    <t>91220152</t>
  </si>
  <si>
    <t>1388</t>
  </si>
  <si>
    <t>Evaso lubricador con reguladorc</t>
  </si>
  <si>
    <t>AW300</t>
  </si>
  <si>
    <t>1389</t>
  </si>
  <si>
    <t>Electroválvula 3 WAM</t>
  </si>
  <si>
    <t>PL665392113MAC</t>
  </si>
  <si>
    <t>1390</t>
  </si>
  <si>
    <t>Electroválvula 4 WAM</t>
  </si>
  <si>
    <t>PAV-2626</t>
  </si>
  <si>
    <t>1392</t>
  </si>
  <si>
    <t>Tubo de 5" x3 metros- calibre 11 HD</t>
  </si>
  <si>
    <t>T5X3C7HD</t>
  </si>
  <si>
    <t>1395</t>
  </si>
  <si>
    <t>TUBO DE 5" X 4 METROS MMCAL7</t>
  </si>
  <si>
    <t>T5X4C7MM</t>
  </si>
  <si>
    <t>1396</t>
  </si>
  <si>
    <t>Tubo 5" x 6 metros 5mm</t>
  </si>
  <si>
    <t>T5X6C7MM</t>
  </si>
  <si>
    <t>1401</t>
  </si>
  <si>
    <t>COOO DE 5"X 90° - HD</t>
  </si>
  <si>
    <t>30316477</t>
  </si>
  <si>
    <t>1402</t>
  </si>
  <si>
    <t>CODO DE 5"X 30° MM</t>
  </si>
  <si>
    <t>258935008</t>
  </si>
  <si>
    <t>1403</t>
  </si>
  <si>
    <t>75045880366</t>
  </si>
  <si>
    <t>Codo de 3" x 45° HD</t>
  </si>
  <si>
    <t>303523X45</t>
  </si>
  <si>
    <t>1404</t>
  </si>
  <si>
    <t>75045880367</t>
  </si>
  <si>
    <t>COOO DE 3"X 90* HD</t>
  </si>
  <si>
    <t>303523X90</t>
  </si>
  <si>
    <t>1405</t>
  </si>
  <si>
    <t>75045880368</t>
  </si>
  <si>
    <t>CODO DE 3-X 90-HD RADIO LARGO (R30010)</t>
  </si>
  <si>
    <t>30316477RL</t>
  </si>
  <si>
    <t>1406</t>
  </si>
  <si>
    <t>75045880322</t>
  </si>
  <si>
    <t>REDUCTOR DE 6" X 5" X 1240 MM</t>
  </si>
  <si>
    <t>10011748</t>
  </si>
  <si>
    <t>1407</t>
  </si>
  <si>
    <t>75045880323</t>
  </si>
  <si>
    <t>REDUCTOR DE 6" X 5" HD X 1260MM</t>
  </si>
  <si>
    <t>10911842</t>
  </si>
  <si>
    <t>1408</t>
  </si>
  <si>
    <t>75045880324</t>
  </si>
  <si>
    <t>REDUCTOR DE 6" X 5" HD X 1000 MM</t>
  </si>
  <si>
    <t>30315815</t>
  </si>
  <si>
    <t>1409</t>
  </si>
  <si>
    <t>Cuerda de seguridad con y sin gancho</t>
  </si>
  <si>
    <t>30374306</t>
  </si>
  <si>
    <t>1413</t>
  </si>
  <si>
    <t>Soporte metalico con 2 abrazaderas tipo U</t>
  </si>
  <si>
    <t>1414</t>
  </si>
  <si>
    <t>Abrazadera de 1.5" HD</t>
  </si>
  <si>
    <t>BC15SD</t>
  </si>
  <si>
    <t>1416</t>
  </si>
  <si>
    <t>ABRAZADERA DE 2.5" HD no ajustable</t>
  </si>
  <si>
    <t>26101725</t>
  </si>
  <si>
    <t>1423</t>
  </si>
  <si>
    <t>Empaque de 6" HD</t>
  </si>
  <si>
    <t>CG60D</t>
  </si>
  <si>
    <t>1424</t>
  </si>
  <si>
    <t>Empaque de 1.5 HD</t>
  </si>
  <si>
    <t>CG15D</t>
  </si>
  <si>
    <t>1431</t>
  </si>
  <si>
    <t>end hose 5" 2 MT double flange / Manguera terminal doble brida</t>
  </si>
  <si>
    <t>SOM10003</t>
  </si>
  <si>
    <t>1432</t>
  </si>
  <si>
    <t>END HOSE 5" 3MT DOUBLE FLANGE</t>
  </si>
  <si>
    <t>MANGUERA TERMINAL 5" 3m DOBLE BRIDA</t>
  </si>
  <si>
    <t>TR4015X32BMM</t>
  </si>
  <si>
    <t>SOM10005</t>
  </si>
  <si>
    <t>1436</t>
  </si>
  <si>
    <t>End hose 5" 4 MT double flange / Manguera terminal 5" 4MT doble brida</t>
  </si>
  <si>
    <t>SOM10009</t>
  </si>
  <si>
    <t>1437</t>
  </si>
  <si>
    <t>End hose 5" 5 MT double flange / Manguera terminal 5" 5MT doble brida</t>
  </si>
  <si>
    <t>SOM10010</t>
  </si>
  <si>
    <t>1438</t>
  </si>
  <si>
    <t>SOM10011</t>
  </si>
  <si>
    <t>1441</t>
  </si>
  <si>
    <t>End hose 5" 6 MT double flange / Manguera terminal 5" 6MT doble brida</t>
  </si>
  <si>
    <t>SOM10019</t>
  </si>
  <si>
    <t>1442</t>
  </si>
  <si>
    <t>End hose 4" 3 MT single flange / Manguera terminal 4" 3 MT single brida</t>
  </si>
  <si>
    <t>SOM10020</t>
  </si>
  <si>
    <t>1443</t>
  </si>
  <si>
    <t>End hose 4" 3 MT double flange / Manguera terminal 4" 3MT doble brida</t>
  </si>
  <si>
    <t>SOM10021</t>
  </si>
  <si>
    <t>1444</t>
  </si>
  <si>
    <t>End hose 4" 4 MT double flange / Manguera terminal 4" 4 MT doble brida</t>
  </si>
  <si>
    <t>SOM10022</t>
  </si>
  <si>
    <t>1445</t>
  </si>
  <si>
    <t>SOM10023</t>
  </si>
  <si>
    <t>1446</t>
  </si>
  <si>
    <t>End hose 4" 5 MT single flange / Manguera terminal 4" 5 Mt single  brida</t>
  </si>
  <si>
    <t>SOM10024</t>
  </si>
  <si>
    <t>1447</t>
  </si>
  <si>
    <t>End hose 4" 5 MT double flange / Manguera terminal 4" 5 MT doble brida</t>
  </si>
  <si>
    <t>SOM10025</t>
  </si>
  <si>
    <t>1448</t>
  </si>
  <si>
    <t>End hose 4" 6 MT single flange / Manguera terminal 4" 6 MT single brida</t>
  </si>
  <si>
    <t>SOM10026</t>
  </si>
  <si>
    <t>1449</t>
  </si>
  <si>
    <t>End hose 4" 6 MT double flange / Manguera terminal 4" 6 MT doble brida</t>
  </si>
  <si>
    <t>SOM10091</t>
  </si>
  <si>
    <t>1450</t>
  </si>
  <si>
    <t>cone hose 5" - 4" 3,5 mt / Manguera cónica reductora 5" a 4" x 3.5 metros</t>
  </si>
  <si>
    <t>SOM10092</t>
  </si>
  <si>
    <t>1451</t>
  </si>
  <si>
    <t>SOM10093</t>
  </si>
  <si>
    <t>1452</t>
  </si>
  <si>
    <t>cone hose 4" - 3" 3 mt / Manguera cónica reductora 4" a 3" x 3 metros</t>
  </si>
  <si>
    <t>1453</t>
  </si>
  <si>
    <t>delivery hose handle / Asa/mango para mangueras</t>
  </si>
  <si>
    <t>SOM10094</t>
  </si>
  <si>
    <t>1454</t>
  </si>
  <si>
    <t>5,5" 30 degree twin wall elbow R275 / Codo de 5.5" a 30° Twin Wall (doble pared) R275</t>
  </si>
  <si>
    <t>SOM10095</t>
  </si>
  <si>
    <t>1455</t>
  </si>
  <si>
    <t>5,5" 45 degree twin wall elbow R275 / Codo de 5.5" a 45° Twin Wall (doble pared) R275</t>
  </si>
  <si>
    <t>SOM10096</t>
  </si>
  <si>
    <t>1456</t>
  </si>
  <si>
    <t>5,5" 90° degree twin wall elbow R275 / Codo de 5.5" a 90° Twin Wall (doble pared) R275</t>
  </si>
  <si>
    <t>SOM10097</t>
  </si>
  <si>
    <t>1457</t>
  </si>
  <si>
    <t>5,5" TWIN WALL PIPE 3 MT / Tubo Twin Wall (doble pared) de 5.5" x 3 metros</t>
  </si>
  <si>
    <t>SOM10098</t>
  </si>
  <si>
    <t>1458</t>
  </si>
  <si>
    <t>5,5" TWIN WALL PIPE 3 MT (EXTRA H.Q) / Tubo endurecido de 5.5" x 3 metros (Extra Alta Calidad)</t>
  </si>
  <si>
    <t>SOM10110</t>
  </si>
  <si>
    <t>1459</t>
  </si>
  <si>
    <t>5,5" ST-52 steel pipe 3 mt / Tubo de acero ST-52 de 5.5" (140mm) x 3 metros</t>
  </si>
  <si>
    <t>SOM10150</t>
  </si>
  <si>
    <t>1460</t>
  </si>
  <si>
    <t>4,5" pipe flange / Brida para tubería de 4.5"</t>
  </si>
  <si>
    <t>SOM10160</t>
  </si>
  <si>
    <t>1461</t>
  </si>
  <si>
    <t>5,5" pipe flange / Brida para tubería de 4.5"</t>
  </si>
  <si>
    <t>SOM10161</t>
  </si>
  <si>
    <t>1462</t>
  </si>
  <si>
    <t>5,5" pipe flange head type / Brida tipo "Head" de 5.5" (140mm)</t>
  </si>
  <si>
    <t>SOM10162</t>
  </si>
  <si>
    <t>1463</t>
  </si>
  <si>
    <t>5,5" 30 degree elbow R275 / Codo de 5.5" a 30° con radio R275</t>
  </si>
  <si>
    <t>SOM10163</t>
  </si>
  <si>
    <t>1464</t>
  </si>
  <si>
    <t>5,5" 45 degree elbow R275 / Codo de 5.5" a 45° con radio R275</t>
  </si>
  <si>
    <t>SOM10164</t>
  </si>
  <si>
    <t>1465</t>
  </si>
  <si>
    <t>5,5" 90 degree elbow R275 / Codo de 5.5" a 90° con radio R275</t>
  </si>
  <si>
    <t>SOM10165</t>
  </si>
  <si>
    <t>1466</t>
  </si>
  <si>
    <t>4,5" 90 degree elbow R275 / Codo de 4.5" a 90° con radio R275</t>
  </si>
  <si>
    <t>SOM10167</t>
  </si>
  <si>
    <t>1467</t>
  </si>
  <si>
    <t>4,5" ST-52 Steel pipe 3MT / Tubo de acero ST-52 de 4.5" (114.3mm) x 3 metros</t>
  </si>
  <si>
    <t>SOM10169</t>
  </si>
  <si>
    <t>1468</t>
  </si>
  <si>
    <t>5,5" clamp coupling / Acoplamiento de abrazadera de 5.5"</t>
  </si>
  <si>
    <t>SOM10176</t>
  </si>
  <si>
    <t>1469</t>
  </si>
  <si>
    <t>5,5" Allen coupling / Acoplamiento Allen de 5.5"</t>
  </si>
  <si>
    <t>SOM10177</t>
  </si>
  <si>
    <t>1470</t>
  </si>
  <si>
    <t>5,5" mounted Allen coupling / Acoplamiento Allen montado de 5.5"</t>
  </si>
  <si>
    <t>SOM10178</t>
  </si>
  <si>
    <t>1471</t>
  </si>
  <si>
    <t>5,5" m16 bolt clamp coupling / Acoplamiento de abrazadera de 5.5" con tornillos M16</t>
  </si>
  <si>
    <t>SOM10179</t>
  </si>
  <si>
    <t>1472</t>
  </si>
  <si>
    <t>5,5" Small mounted clamp coupling / Acoplamiento de abrazadera pequeño montado de 5.5"</t>
  </si>
  <si>
    <t>SOM10181</t>
  </si>
  <si>
    <t>1473</t>
  </si>
  <si>
    <t>5,5" long mounted clamp coupling / Acoplamiento de abrazadera largo montado de 5.5"</t>
  </si>
  <si>
    <t>SOM10183</t>
  </si>
  <si>
    <t>1474</t>
  </si>
  <si>
    <t>5,5" M16 BOLT clamp coupling / Acoplamiento de abrazadera de 5.5" con tornillos M16</t>
  </si>
  <si>
    <t>SOM10184</t>
  </si>
  <si>
    <t>1475</t>
  </si>
  <si>
    <t>5,5" M16 BOLT MOUNTED CLAMP COUPLING / Acoplamiento de abrazadera montado de 5.5" con tornillos M16</t>
  </si>
  <si>
    <t>SOM10185</t>
  </si>
  <si>
    <t>1476</t>
  </si>
  <si>
    <t>5,5" scew front fixing long mounted coupling /Acoplamiento largo montado de 5.5" con fijación frontal roscada</t>
  </si>
  <si>
    <t>SOM10186</t>
  </si>
  <si>
    <t>1477</t>
  </si>
  <si>
    <t>Round steel strip / Tira de acero redonda</t>
  </si>
  <si>
    <t>SOM10187</t>
  </si>
  <si>
    <t>Bombeo de concreto</t>
  </si>
  <si>
    <t>1478</t>
  </si>
  <si>
    <t>Round Steel Rubber / Junta tórica redonda de acero</t>
  </si>
  <si>
    <t>SOM10188</t>
  </si>
  <si>
    <t>1479</t>
  </si>
  <si>
    <t>Cleaning ball Q100 Medium / Cleaning ball Q100 Medium</t>
  </si>
  <si>
    <t>SOM10193</t>
  </si>
  <si>
    <t>1483</t>
  </si>
  <si>
    <t>Sealing 5,5" / Sello de 5.5"</t>
  </si>
  <si>
    <t>SOM10215</t>
  </si>
  <si>
    <t>1485</t>
  </si>
  <si>
    <t>Sealing 6" / Sello de 6"</t>
  </si>
  <si>
    <t>SOM10217</t>
  </si>
  <si>
    <t>1486</t>
  </si>
  <si>
    <t>Support plate 55 x 55 x 6 / Placa de soporte de 55x55x6 mm</t>
  </si>
  <si>
    <t>SOM10219</t>
  </si>
  <si>
    <t>1487</t>
  </si>
  <si>
    <t>Support plate 60 x 60 x 6 / Placa de soporte de 60 x 60 x6 mm</t>
  </si>
  <si>
    <t>SOM10220</t>
  </si>
  <si>
    <t>1488</t>
  </si>
  <si>
    <t>Shut Off valve 5,5" / Válvula de cierre (shut-off) de 5.5"</t>
  </si>
  <si>
    <t>SOM10222</t>
  </si>
  <si>
    <t>1489</t>
  </si>
  <si>
    <t>Shut off valve 4,5" / Válvula de cierre (shut-off) de 4.5"</t>
  </si>
  <si>
    <t>SOM10223</t>
  </si>
  <si>
    <t>1490</t>
  </si>
  <si>
    <t>Concrete pump hose placing steel disc / Disco de acero para mangueras de bombeo de concreto</t>
  </si>
  <si>
    <t>SOM10228</t>
  </si>
  <si>
    <t>1491</t>
  </si>
  <si>
    <t>4,5" 90° degree elbow R180 / Codo de 4.5" a 90° con radio R180</t>
  </si>
  <si>
    <t>SOM10254</t>
  </si>
  <si>
    <t>1492</t>
  </si>
  <si>
    <t>External shut off valve 5,5" / Válvula de cierre externa de 5.5"</t>
  </si>
  <si>
    <t>SOM10260</t>
  </si>
  <si>
    <t>1493</t>
  </si>
  <si>
    <t>5,5" degree elbow R275 - extra / Codo extra de 5.5" a 90° con radio R275</t>
  </si>
  <si>
    <t>SOM10261</t>
  </si>
  <si>
    <t>1494</t>
  </si>
  <si>
    <t>Q155 x 175 cylindrical sponge ball soft / Bola esponja cilíndrica suave Q155 x 175</t>
  </si>
  <si>
    <t>SOM10277</t>
  </si>
  <si>
    <t>1501</t>
  </si>
  <si>
    <t>Thrust ring without steel / Anillo de empuje sin acero</t>
  </si>
  <si>
    <t>SOM20006</t>
  </si>
  <si>
    <t>269380008</t>
  </si>
  <si>
    <t>1502</t>
  </si>
  <si>
    <t>Spacer Disc / Disco espaciador</t>
  </si>
  <si>
    <t>SOM20007</t>
  </si>
  <si>
    <t>284606000</t>
  </si>
  <si>
    <t>1504</t>
  </si>
  <si>
    <t>Securing plate / Placa de sujeción</t>
  </si>
  <si>
    <t>SOM20009</t>
  </si>
  <si>
    <t>254200000</t>
  </si>
  <si>
    <t>1505</t>
  </si>
  <si>
    <t>S valve shaft Q80 / Eje para válvula tipo S modelo Q80</t>
  </si>
  <si>
    <t>SOM20010</t>
  </si>
  <si>
    <t>242467003</t>
  </si>
  <si>
    <t>1506</t>
  </si>
  <si>
    <t>Hexagonal Nut / Tuerca hexagonal</t>
  </si>
  <si>
    <t>SOM20011</t>
  </si>
  <si>
    <t>33718000</t>
  </si>
  <si>
    <t>1508</t>
  </si>
  <si>
    <t>Collar disc / Disco de collar</t>
  </si>
  <si>
    <t>SOM20013</t>
  </si>
  <si>
    <t>66586005</t>
  </si>
  <si>
    <t>1509</t>
  </si>
  <si>
    <t>Wear sleeve Q80 / Camisa de desgaste Q80</t>
  </si>
  <si>
    <t>SOM20014</t>
  </si>
  <si>
    <t>27782000</t>
  </si>
  <si>
    <t>1510</t>
  </si>
  <si>
    <t>Support Flange Q80 / Brida de soporte Q80</t>
  </si>
  <si>
    <t>SOM200015</t>
  </si>
  <si>
    <t>27783009</t>
  </si>
  <si>
    <t>1511</t>
  </si>
  <si>
    <t>Lip seal ring / Anillo de sello de labio</t>
  </si>
  <si>
    <t>som20016</t>
  </si>
  <si>
    <t>42174004</t>
  </si>
  <si>
    <t>1514</t>
  </si>
  <si>
    <t>Discharge support / Soporte de descarga</t>
  </si>
  <si>
    <t>SOM20019</t>
  </si>
  <si>
    <t>240390004</t>
  </si>
  <si>
    <t>1516</t>
  </si>
  <si>
    <t>Plain compressión ring / Anillo de compresión liso</t>
  </si>
  <si>
    <t>SOM20021</t>
  </si>
  <si>
    <t>240421009</t>
  </si>
  <si>
    <t>1518</t>
  </si>
  <si>
    <t>G BAND / Junta tipo G</t>
  </si>
  <si>
    <t>SOM20023</t>
  </si>
  <si>
    <t>295355007</t>
  </si>
  <si>
    <t>1519</t>
  </si>
  <si>
    <t>O ring / junta tórica</t>
  </si>
  <si>
    <t>SOM20024</t>
  </si>
  <si>
    <t>43520000</t>
  </si>
  <si>
    <t>1520</t>
  </si>
  <si>
    <t>SCRAPER RING / Anillo rascador</t>
  </si>
  <si>
    <t>SOM20025</t>
  </si>
  <si>
    <t>238585009 / 437267</t>
  </si>
  <si>
    <t>1521</t>
  </si>
  <si>
    <t>Back up ring / Anillo de respaldo</t>
  </si>
  <si>
    <t>SOM20026</t>
  </si>
  <si>
    <t>263288009</t>
  </si>
  <si>
    <t>1522</t>
  </si>
  <si>
    <t>SEAL SET FOR OUTHER HOUSING / Juego de sellos para carcasa exterior</t>
  </si>
  <si>
    <t>SOM200027</t>
  </si>
  <si>
    <t>24039000KIT</t>
  </si>
  <si>
    <t>1523</t>
  </si>
  <si>
    <t>Hopper RS905 CPL / Tolva RS905 CPL</t>
  </si>
  <si>
    <t>SOM20028</t>
  </si>
  <si>
    <t>454413</t>
  </si>
  <si>
    <t>1524</t>
  </si>
  <si>
    <t>GRILL RS905 FOLDABLE / Rejilla plegable RS905</t>
  </si>
  <si>
    <t>SOM20029</t>
  </si>
  <si>
    <t>242456001 / 400915</t>
  </si>
  <si>
    <t>1526</t>
  </si>
  <si>
    <t>Rubber buffer / Amortiguador de goma</t>
  </si>
  <si>
    <t>SOM20034</t>
  </si>
  <si>
    <t>4587002 / 4266007</t>
  </si>
  <si>
    <t>1529</t>
  </si>
  <si>
    <t>Plunger tube Q160-60  / Tubo de émbolo Q160-60</t>
  </si>
  <si>
    <t>SOM20037</t>
  </si>
  <si>
    <t>254428001</t>
  </si>
  <si>
    <t>1530</t>
  </si>
  <si>
    <t>Piston ROD Q160-60 / Vástago de pistón Q160-60</t>
  </si>
  <si>
    <t>SOM20038</t>
  </si>
  <si>
    <t>254427002</t>
  </si>
  <si>
    <t>1533</t>
  </si>
  <si>
    <t>Ball cup 160/40 / Copa de bola 160/40</t>
  </si>
  <si>
    <t>SOM20041</t>
  </si>
  <si>
    <t>87079009</t>
  </si>
  <si>
    <t>1534</t>
  </si>
  <si>
    <t>S VALVE 2318N / Válvula tipo S modelo 2318N</t>
  </si>
  <si>
    <t>SOM20042</t>
  </si>
  <si>
    <t>434023</t>
  </si>
  <si>
    <t>1537</t>
  </si>
  <si>
    <t>DN230 THRUST RING WITH STEEL / Anillo de empuje DN230 con refuerzo de acero</t>
  </si>
  <si>
    <t>SOM20046</t>
  </si>
  <si>
    <t>458878 / 2695520004</t>
  </si>
  <si>
    <t>1538</t>
  </si>
  <si>
    <t>S VALVE SHAFT Q90 / Eje para válvula tipo S modelo Q90</t>
  </si>
  <si>
    <t>SOM20047</t>
  </si>
  <si>
    <t>1540</t>
  </si>
  <si>
    <t>COMPLETE UPPER HOUSING Q90 / Carcasa superior completa Q90</t>
  </si>
  <si>
    <t>SOM20049</t>
  </si>
  <si>
    <t>27483001</t>
  </si>
  <si>
    <t>1541</t>
  </si>
  <si>
    <t>COLLAR DISC / Disco de collar</t>
  </si>
  <si>
    <t>SOM20050</t>
  </si>
  <si>
    <t>427720</t>
  </si>
  <si>
    <t>1542</t>
  </si>
  <si>
    <t>Support flange Q90 /</t>
  </si>
  <si>
    <t>SOM20051</t>
  </si>
  <si>
    <t>274889002</t>
  </si>
  <si>
    <t>1543</t>
  </si>
  <si>
    <t>WEAR SLEEVE Q90 / Camisa de desgaste Q90</t>
  </si>
  <si>
    <t>SOM20052</t>
  </si>
  <si>
    <t>274884007</t>
  </si>
  <si>
    <t>1547</t>
  </si>
  <si>
    <t>Plunger tube Q160-80 / Tubo de émbolo Q160-80</t>
  </si>
  <si>
    <t>SOM20056</t>
  </si>
  <si>
    <t>247574001</t>
  </si>
  <si>
    <t>1548</t>
  </si>
  <si>
    <t>Piston Rod Q160-80 / Vástago de pistón Q160-80</t>
  </si>
  <si>
    <t>SOM20057</t>
  </si>
  <si>
    <t>247573002</t>
  </si>
  <si>
    <t>1549</t>
  </si>
  <si>
    <t>Seal set for plunger cylinder Q160-80 /Juego de sellos para cilindro de émbolo Q160-80</t>
  </si>
  <si>
    <t>som20058</t>
  </si>
  <si>
    <t>247093003kit</t>
  </si>
  <si>
    <t>1550</t>
  </si>
  <si>
    <t>Plunger cylinder Q200-80 / Cilindro de émbolo Q200-80</t>
  </si>
  <si>
    <t>SOM20063</t>
  </si>
  <si>
    <t>278901009</t>
  </si>
  <si>
    <t>1551</t>
  </si>
  <si>
    <t>Plunger tube Q200 - 80 / Tubo de émbolo Q200-80</t>
  </si>
  <si>
    <t>SOM20064</t>
  </si>
  <si>
    <t>278902008</t>
  </si>
  <si>
    <t>1552</t>
  </si>
  <si>
    <t>Piston Rod Q200-80 / Vástago de pistón Q200-80</t>
  </si>
  <si>
    <t>SOM20065</t>
  </si>
  <si>
    <t>278904006</t>
  </si>
  <si>
    <t>1553</t>
  </si>
  <si>
    <t>Plunger cylinder Cover Q200-80 / Tapa cilindro de émbolo Q200-80</t>
  </si>
  <si>
    <t>SOM20066</t>
  </si>
  <si>
    <t>278903007</t>
  </si>
  <si>
    <t>1554</t>
  </si>
  <si>
    <t>Juego de sellos para cilindro de émbolo Q200-80 / Seal set for plunger cyllinder Q200 - 80</t>
  </si>
  <si>
    <t>SOM20067</t>
  </si>
  <si>
    <t>278901009KIT</t>
  </si>
  <si>
    <t>1556</t>
  </si>
  <si>
    <t>Round cord / Cuerda redonda</t>
  </si>
  <si>
    <t>SOM20070</t>
  </si>
  <si>
    <t>233915001</t>
  </si>
  <si>
    <t>1557</t>
  </si>
  <si>
    <t>Bokc, Right Hand Side / Bloque, lado derecho</t>
  </si>
  <si>
    <t>SOM20071</t>
  </si>
  <si>
    <t>252842003</t>
  </si>
  <si>
    <t>1558</t>
  </si>
  <si>
    <t>Bock, left hand side / Bloque, lado izquierdo</t>
  </si>
  <si>
    <t>SOM20072</t>
  </si>
  <si>
    <t>252847004</t>
  </si>
  <si>
    <t>1562</t>
  </si>
  <si>
    <t>Torque support /Soporte de torque</t>
  </si>
  <si>
    <t>SOM20077</t>
  </si>
  <si>
    <t>258034006</t>
  </si>
  <si>
    <t>1564</t>
  </si>
  <si>
    <t>Flnage for bearing flange Q60 / Brida para soporte de rodamiento Q60</t>
  </si>
  <si>
    <t>SOM20080</t>
  </si>
  <si>
    <t>262133003</t>
  </si>
  <si>
    <t>1568</t>
  </si>
  <si>
    <t>Washer / Arandela</t>
  </si>
  <si>
    <t>SOM20084</t>
  </si>
  <si>
    <t>55916000</t>
  </si>
  <si>
    <t>1569</t>
  </si>
  <si>
    <t>Mixer shaft center part Q60 / Parte central del eje de mezcladora Q60</t>
  </si>
  <si>
    <t>SOM20085</t>
  </si>
  <si>
    <t>264020004</t>
  </si>
  <si>
    <t>1571</t>
  </si>
  <si>
    <t>Foldable elbow / Codo plegable</t>
  </si>
  <si>
    <t>SOM20088</t>
  </si>
  <si>
    <t>417730 / 22327004</t>
  </si>
  <si>
    <t>1573</t>
  </si>
  <si>
    <t>Reduction pipe 1200 mm / Tubo reductor de 1200 mm</t>
  </si>
  <si>
    <t>som20090</t>
  </si>
  <si>
    <t>277401005 / 438338</t>
  </si>
  <si>
    <t>1575</t>
  </si>
  <si>
    <t>6" Coupling with screw / Acoplamiento de 6" con tornillo</t>
  </si>
  <si>
    <t>SOM20093</t>
  </si>
  <si>
    <t>241292004</t>
  </si>
  <si>
    <t>1576</t>
  </si>
  <si>
    <t>SEALING COVER COUPLING / Cubierta de sellado para acoplamiento</t>
  </si>
  <si>
    <t>Som20094</t>
  </si>
  <si>
    <t>51342005</t>
  </si>
  <si>
    <t>1577</t>
  </si>
  <si>
    <t>Sealing cover / Cubierta de sellado</t>
  </si>
  <si>
    <t>SOM20095</t>
  </si>
  <si>
    <t>54720006</t>
  </si>
  <si>
    <t>1581</t>
  </si>
  <si>
    <t>Intermediate ring / Anillo intermedio</t>
  </si>
  <si>
    <t>SOM20099</t>
  </si>
  <si>
    <t>25220001</t>
  </si>
  <si>
    <t>1582</t>
  </si>
  <si>
    <t>SOM20100</t>
  </si>
  <si>
    <t>263330009</t>
  </si>
  <si>
    <t>1583</t>
  </si>
  <si>
    <t>Delivery cylinder 230X2100</t>
  </si>
  <si>
    <t>som20101</t>
  </si>
  <si>
    <t>1585</t>
  </si>
  <si>
    <t>Delivery cylinder 200X1400 /  Cilindro de entrega 200X1400</t>
  </si>
  <si>
    <t>SOM20103</t>
  </si>
  <si>
    <t>240112004</t>
  </si>
  <si>
    <t>1586</t>
  </si>
  <si>
    <t>Delivery cylinder 230X2100 /  Cilindro de entrega 230X2100</t>
  </si>
  <si>
    <t>SOM20104</t>
  </si>
  <si>
    <t>22051008</t>
  </si>
  <si>
    <t>1587</t>
  </si>
  <si>
    <t>Delivery cylinder 280x2355 / Cilindro de entrega 280x2355</t>
  </si>
  <si>
    <t>SOM20105</t>
  </si>
  <si>
    <t>231149002</t>
  </si>
  <si>
    <t>1588</t>
  </si>
  <si>
    <t>Delivery cylinder 250x2310 / Cilindro de entrega 250x2310</t>
  </si>
  <si>
    <t>SOM20106</t>
  </si>
  <si>
    <t>27483008</t>
  </si>
  <si>
    <t>1589</t>
  </si>
  <si>
    <t>DN180 PISTON RAM / Émbolo de pistón DN180</t>
  </si>
  <si>
    <t>SOM20107</t>
  </si>
  <si>
    <t>19033000</t>
  </si>
  <si>
    <t>1593</t>
  </si>
  <si>
    <t>DN 200 SEAL FOR RAM / Sello para vástago DN200</t>
  </si>
  <si>
    <t>SOM20115</t>
  </si>
  <si>
    <t>80372004</t>
  </si>
  <si>
    <t>1594</t>
  </si>
  <si>
    <t>DN 230 SEAL FOR RAM / Sello para vástago DN230</t>
  </si>
  <si>
    <t>SOM20116</t>
  </si>
  <si>
    <t>80373003</t>
  </si>
  <si>
    <t>1599</t>
  </si>
  <si>
    <t>Spacer flange / Brida espaciadora</t>
  </si>
  <si>
    <t>SOM20122</t>
  </si>
  <si>
    <t>243989001</t>
  </si>
  <si>
    <t>1601</t>
  </si>
  <si>
    <t>Spectacle wear plate elephant / Placa de desgaste tipo "espectáculo" Elephant</t>
  </si>
  <si>
    <t>SOM20124</t>
  </si>
  <si>
    <t>283353008</t>
  </si>
  <si>
    <t>1602</t>
  </si>
  <si>
    <t>Wear ring elephant / Anillo de desgaste Elephant</t>
  </si>
  <si>
    <t>SOM20125</t>
  </si>
  <si>
    <t>293151009 / 293397009</t>
  </si>
  <si>
    <t>1603</t>
  </si>
  <si>
    <t>SOM20126</t>
  </si>
  <si>
    <t>86287009 / 5242002</t>
  </si>
  <si>
    <t>1604</t>
  </si>
  <si>
    <t>SOM20127</t>
  </si>
  <si>
    <t>258486007</t>
  </si>
  <si>
    <t>1605</t>
  </si>
  <si>
    <t>SOM20128</t>
  </si>
  <si>
    <t>86219006 / 22042004</t>
  </si>
  <si>
    <t>1607</t>
  </si>
  <si>
    <t>Placa de desgaste tipo "espectáculo" Elephant / Spectacle wear plate elephant</t>
  </si>
  <si>
    <t>SOM20130</t>
  </si>
  <si>
    <t>28037000</t>
  </si>
  <si>
    <t>1608</t>
  </si>
  <si>
    <t>Wear strip / Banda de desgaste</t>
  </si>
  <si>
    <t>SOM20131</t>
  </si>
  <si>
    <t>258355002/ 278391004 / 28096009</t>
  </si>
  <si>
    <t>1610</t>
  </si>
  <si>
    <t>Pressure plate / placa de presión</t>
  </si>
  <si>
    <t>SOM20133</t>
  </si>
  <si>
    <t>259520001</t>
  </si>
  <si>
    <t>1611</t>
  </si>
  <si>
    <t>Wear plate / Placa de desgaste</t>
  </si>
  <si>
    <t>SOM20134</t>
  </si>
  <si>
    <t>269521001 / 259521000</t>
  </si>
  <si>
    <t>1615</t>
  </si>
  <si>
    <t>Piston / Pistón</t>
  </si>
  <si>
    <t>SOM20138</t>
  </si>
  <si>
    <t>2364009</t>
  </si>
  <si>
    <t>1619</t>
  </si>
  <si>
    <t>Hydraulic cylinder 130X80 2100 / Hydraulic cylinder 130X80 2100</t>
  </si>
  <si>
    <t>SOM20150</t>
  </si>
  <si>
    <t>262822000</t>
  </si>
  <si>
    <t>1620</t>
  </si>
  <si>
    <t>Cylinder barrel 130X80 2100 / Camisa de cilindro 130x80 2100</t>
  </si>
  <si>
    <t>1623</t>
  </si>
  <si>
    <t>Supporting ring / Anillo de soporte</t>
  </si>
  <si>
    <t>SOM20159</t>
  </si>
  <si>
    <t>259756008</t>
  </si>
  <si>
    <t>1624</t>
  </si>
  <si>
    <t>Head flange / Brida de cabeza</t>
  </si>
  <si>
    <t>SOM20163</t>
  </si>
  <si>
    <t>53680008</t>
  </si>
  <si>
    <t>1625</t>
  </si>
  <si>
    <t>Piston 130X80 2100 Complete assy / Pistón 130x80 2100 (ensamble completo)</t>
  </si>
  <si>
    <t>SOM20165</t>
  </si>
  <si>
    <t>259754000</t>
  </si>
  <si>
    <t>1626</t>
  </si>
  <si>
    <t>Trunk b2314 / Pistón tipo tronco B2314</t>
  </si>
  <si>
    <t>SOM20176</t>
  </si>
  <si>
    <t>237965002 / 265468005</t>
  </si>
  <si>
    <t>1627</t>
  </si>
  <si>
    <t>Trunk leve b2314 / Palanca de tronco B2314</t>
  </si>
  <si>
    <t>SOM20177</t>
  </si>
  <si>
    <t>239511001</t>
  </si>
  <si>
    <t>1628</t>
  </si>
  <si>
    <t>Trunnk b2614 / Soporte de muñón B2614</t>
  </si>
  <si>
    <t>SOM20178</t>
  </si>
  <si>
    <t>410180 / 269870000</t>
  </si>
  <si>
    <t>1629</t>
  </si>
  <si>
    <t>Trunk lever B2614 / Palanca de tronco B2614</t>
  </si>
  <si>
    <t>1630</t>
  </si>
  <si>
    <t>SOM20179</t>
  </si>
  <si>
    <t>247083000</t>
  </si>
  <si>
    <t>1631</t>
  </si>
  <si>
    <t>Pressure pipe / Tubería de presión</t>
  </si>
  <si>
    <t>SOM20183</t>
  </si>
  <si>
    <t>85770009</t>
  </si>
  <si>
    <t>1632</t>
  </si>
  <si>
    <t>SOM20181</t>
  </si>
  <si>
    <t>50288005</t>
  </si>
  <si>
    <t>1633</t>
  </si>
  <si>
    <t>Flange of pressure pipe / brida de tubería de presión</t>
  </si>
  <si>
    <t>SOM20182</t>
  </si>
  <si>
    <t>82320009</t>
  </si>
  <si>
    <t>1634</t>
  </si>
  <si>
    <t>Hydraulic cylinder / Cilindro hidráulico</t>
  </si>
  <si>
    <t>1635</t>
  </si>
  <si>
    <t>Cylinder barrel / Camisa de cilindro</t>
  </si>
  <si>
    <t>SOM20184</t>
  </si>
  <si>
    <t>83637005</t>
  </si>
  <si>
    <t>1636</t>
  </si>
  <si>
    <t>Piston ROD / Vástago de pistón</t>
  </si>
  <si>
    <t>SOM20185</t>
  </si>
  <si>
    <t>83639003</t>
  </si>
  <si>
    <t>1637</t>
  </si>
  <si>
    <t>Join head complete / Cabeza de unión completa</t>
  </si>
  <si>
    <t>SOM20186</t>
  </si>
  <si>
    <t>56454008 / 54821002</t>
  </si>
  <si>
    <t>1638</t>
  </si>
  <si>
    <t>Guide bush / Buje guía</t>
  </si>
  <si>
    <t>SOM20188</t>
  </si>
  <si>
    <t>54219009</t>
  </si>
  <si>
    <t>1639</t>
  </si>
  <si>
    <t>Seal set for hydraulic cylinder / Juego de sellos para cilindro hidráulico</t>
  </si>
  <si>
    <t>SOM20189</t>
  </si>
  <si>
    <t>86677004</t>
  </si>
  <si>
    <t>1640</t>
  </si>
  <si>
    <t>Bearing flange closed Q40 / Brida de rodamiento cerrada Q40</t>
  </si>
  <si>
    <t>SOM20198</t>
  </si>
  <si>
    <t>202357001</t>
  </si>
  <si>
    <t>1642</t>
  </si>
  <si>
    <t>Rubber Disc Q50 / Disco de goma Q50</t>
  </si>
  <si>
    <t>SOM20200</t>
  </si>
  <si>
    <t>84013000</t>
  </si>
  <si>
    <t>1643</t>
  </si>
  <si>
    <t>PM conveying Worm Left / Tornillo sinfín izquierdo para transporte PM</t>
  </si>
  <si>
    <t>SOM20202</t>
  </si>
  <si>
    <t>249174001</t>
  </si>
  <si>
    <t>1644</t>
  </si>
  <si>
    <t>PM conveying worm right / Tornillo sinfín derecho para transporte PM</t>
  </si>
  <si>
    <t>SOM20203</t>
  </si>
  <si>
    <t>249175000</t>
  </si>
  <si>
    <t>1645</t>
  </si>
  <si>
    <t>Mixing paddle Right Hand / Paleta mezcladora lado derecho</t>
  </si>
  <si>
    <t>SOM20206</t>
  </si>
  <si>
    <t>264508005</t>
  </si>
  <si>
    <t>1646</t>
  </si>
  <si>
    <t>Mixing paddle left hand / Mezcla y homogeneiza concreto en bombas con rotación hacia la izquierda.</t>
  </si>
  <si>
    <t>SOM20207</t>
  </si>
  <si>
    <t>264507006</t>
  </si>
  <si>
    <t>1647</t>
  </si>
  <si>
    <t>Fork-G61 / Horquilla G61</t>
  </si>
  <si>
    <t>SOM20208</t>
  </si>
  <si>
    <t>62587008</t>
  </si>
  <si>
    <t>1648</t>
  </si>
  <si>
    <t>Sliding gear G61 / Engrane deslizante G61</t>
  </si>
  <si>
    <t>SOM20209</t>
  </si>
  <si>
    <t>62587009</t>
  </si>
  <si>
    <t>1657</t>
  </si>
  <si>
    <t>Tuería en S / s Pipe</t>
  </si>
  <si>
    <t>SOM20219</t>
  </si>
  <si>
    <t>27934009</t>
  </si>
  <si>
    <t>1658</t>
  </si>
  <si>
    <t>Elbow 90 degree R=1000 / Codo de 90° R=1000</t>
  </si>
  <si>
    <t>SOM20220</t>
  </si>
  <si>
    <t>223664003</t>
  </si>
  <si>
    <t>1659</t>
  </si>
  <si>
    <t>Reduction pipe 100MM / Tubo reductor 100MM</t>
  </si>
  <si>
    <t>SOM20221</t>
  </si>
  <si>
    <t>81027002</t>
  </si>
  <si>
    <t>1660</t>
  </si>
  <si>
    <t>Reduction pipe 200MM / Tubo reductor 200MM</t>
  </si>
  <si>
    <t>SOM20222</t>
  </si>
  <si>
    <t>81050008</t>
  </si>
  <si>
    <t>1661</t>
  </si>
  <si>
    <t>Screw coupling 5,5" / Acoplamiento roscado 5,5"</t>
  </si>
  <si>
    <t>SOM20223</t>
  </si>
  <si>
    <t>27707001 / 426594</t>
  </si>
  <si>
    <t>1663</t>
  </si>
  <si>
    <t>Screw coupling 5,5" - 4 bolt / Acoplamiento roscado 5,5" - 4 pernos</t>
  </si>
  <si>
    <t>SOM20225</t>
  </si>
  <si>
    <t>58102002</t>
  </si>
  <si>
    <t>1664</t>
  </si>
  <si>
    <t>Clamp coupling 5.5" / Acoplamiento de abrazadera 5,5"</t>
  </si>
  <si>
    <t>SOM20226</t>
  </si>
  <si>
    <t>417249 / 57153007</t>
  </si>
  <si>
    <t>1665</t>
  </si>
  <si>
    <t>Mounting coupling 5,5" / Acoplamiento de montaje 5,5"</t>
  </si>
  <si>
    <t>SOM20227</t>
  </si>
  <si>
    <t>57633006</t>
  </si>
  <si>
    <t>1666</t>
  </si>
  <si>
    <t>Tightening strap / Correa de ajuste</t>
  </si>
  <si>
    <t>SOM20228</t>
  </si>
  <si>
    <t>245103005</t>
  </si>
  <si>
    <t>1667</t>
  </si>
  <si>
    <t>CLAMP / Abrazadera</t>
  </si>
  <si>
    <t>SOM20229</t>
  </si>
  <si>
    <t>283846007 / 10181242</t>
  </si>
  <si>
    <t>1668</t>
  </si>
  <si>
    <t>SOM20230</t>
  </si>
  <si>
    <t>222709008</t>
  </si>
  <si>
    <t>1669</t>
  </si>
  <si>
    <t>PIPE SADDLE /</t>
  </si>
  <si>
    <t>SOM20231</t>
  </si>
  <si>
    <t>560747</t>
  </si>
  <si>
    <t>1670</t>
  </si>
  <si>
    <t>Sponge ball Q175 / Bola esponja Q175</t>
  </si>
  <si>
    <t>SOM20232</t>
  </si>
  <si>
    <t>26650007</t>
  </si>
  <si>
    <t>1671</t>
  </si>
  <si>
    <t>Sponge ball Q150 / Bola esponja Q150</t>
  </si>
  <si>
    <t>SOM20233</t>
  </si>
  <si>
    <t>18841002</t>
  </si>
  <si>
    <t>1672</t>
  </si>
  <si>
    <t>Sealing 5,5" / Sello 5,5"</t>
  </si>
  <si>
    <t>SOM20234</t>
  </si>
  <si>
    <t>55559001</t>
  </si>
  <si>
    <t>1673</t>
  </si>
  <si>
    <t>Sealing 6" / sello 6"</t>
  </si>
  <si>
    <t>SOM20236</t>
  </si>
  <si>
    <t>2231000</t>
  </si>
  <si>
    <t>1674</t>
  </si>
  <si>
    <t>Flange 5,5" / Brida 5,5"</t>
  </si>
  <si>
    <t>SOM20239</t>
  </si>
  <si>
    <t>56842008</t>
  </si>
  <si>
    <t>1675</t>
  </si>
  <si>
    <t>Flange 5,5" / brida 5,5</t>
  </si>
  <si>
    <t>SOM20240</t>
  </si>
  <si>
    <t>56852007</t>
  </si>
  <si>
    <t>1676</t>
  </si>
  <si>
    <t>Twin pipe 3 mt 5,5" / Tubería gemela 3 metros 5,5"</t>
  </si>
  <si>
    <t>SOM20241</t>
  </si>
  <si>
    <t>267522004</t>
  </si>
  <si>
    <t>1677</t>
  </si>
  <si>
    <t>Forward control valve 24V / Válvula de control de avance 24V</t>
  </si>
  <si>
    <t>SOM20242</t>
  </si>
  <si>
    <t>240888008</t>
  </si>
  <si>
    <t>1678</t>
  </si>
  <si>
    <t>HW BOOM VALVE / VÁLVULA DE PLUMA HW</t>
  </si>
  <si>
    <t>SOM20243</t>
  </si>
  <si>
    <t>255035008</t>
  </si>
  <si>
    <t>1679</t>
  </si>
  <si>
    <t>Control pressure regulator / Regulador de presión de control</t>
  </si>
  <si>
    <t>SOM20245</t>
  </si>
  <si>
    <t>283736007</t>
  </si>
  <si>
    <t>1680</t>
  </si>
  <si>
    <t>Valve 5/2 24VR  R1/4"/ Válvula 5/2 24V R1/4"</t>
  </si>
  <si>
    <t>SOM20246</t>
  </si>
  <si>
    <t>473835</t>
  </si>
  <si>
    <t>1681</t>
  </si>
  <si>
    <t>Control block / Bloque de control</t>
  </si>
  <si>
    <t>SOM232072000</t>
  </si>
  <si>
    <t>232072000</t>
  </si>
  <si>
    <t>1689</t>
  </si>
  <si>
    <t>Filter elemnt suction filter / Elemento filtrante para filtro de succión</t>
  </si>
  <si>
    <t>SOM20257</t>
  </si>
  <si>
    <t>5514796</t>
  </si>
  <si>
    <t>1691</t>
  </si>
  <si>
    <t>BOOM FILTER / Filtro de pluma</t>
  </si>
  <si>
    <t>SOM20259</t>
  </si>
  <si>
    <t>273927007</t>
  </si>
  <si>
    <t>1694</t>
  </si>
  <si>
    <t>Rubber cap / Tapa de goma</t>
  </si>
  <si>
    <t>SOM20264</t>
  </si>
  <si>
    <t>249520008</t>
  </si>
  <si>
    <t>1695</t>
  </si>
  <si>
    <t>BELLOW (NARROW MOUTH) / Fuelle (boca estrecha)</t>
  </si>
  <si>
    <t>SOM20265</t>
  </si>
  <si>
    <t>241436006</t>
  </si>
  <si>
    <t>1696</t>
  </si>
  <si>
    <t>Star handle swicht / Interruptor de palanca en estrella</t>
  </si>
  <si>
    <t>SOM20266</t>
  </si>
  <si>
    <t>292116003</t>
  </si>
  <si>
    <t>1698</t>
  </si>
  <si>
    <t>Battery 2100 amper / Batería 2100 AMPER</t>
  </si>
  <si>
    <t>SOM20271</t>
  </si>
  <si>
    <t>452017</t>
  </si>
  <si>
    <t>1699</t>
  </si>
  <si>
    <t>WEIST BELT 82-132 CM / Correa Weist 82-132 cm</t>
  </si>
  <si>
    <t>som20272</t>
  </si>
  <si>
    <t>288778002</t>
  </si>
  <si>
    <t>1700</t>
  </si>
  <si>
    <t>Remote aerials / Antenas remotas</t>
  </si>
  <si>
    <t>SOM20273</t>
  </si>
  <si>
    <t>280469005</t>
  </si>
  <si>
    <t>1701</t>
  </si>
  <si>
    <t>SOM20274</t>
  </si>
  <si>
    <t>406519</t>
  </si>
  <si>
    <t>1702</t>
  </si>
  <si>
    <t>SOM20275</t>
  </si>
  <si>
    <t>225696008</t>
  </si>
  <si>
    <t>1703</t>
  </si>
  <si>
    <t>Remote control cable 40 MT. (32 poles) / Cable para control remoto 40 metros (32 polos)</t>
  </si>
  <si>
    <t>som20276</t>
  </si>
  <si>
    <t>433776</t>
  </si>
  <si>
    <t>1710</t>
  </si>
  <si>
    <t>Proximity junction box 4-way cyl 1&amp;2 / Caja de unión de proximidad 4 vías para cilindros 1 y 2</t>
  </si>
  <si>
    <t>SOM20283</t>
  </si>
  <si>
    <t>462265</t>
  </si>
  <si>
    <t>1711</t>
  </si>
  <si>
    <t>Bush housing 32-pol / Alojamiento de buje 32 polos</t>
  </si>
  <si>
    <t>SOM20285</t>
  </si>
  <si>
    <t>243708004</t>
  </si>
  <si>
    <t>1712</t>
  </si>
  <si>
    <t>BUSH HOUSING 32/POL</t>
  </si>
  <si>
    <t>SOM20286</t>
  </si>
  <si>
    <t>243709003</t>
  </si>
  <si>
    <t>1713</t>
  </si>
  <si>
    <t>Pressure sensor 0-600 BAR / Sensor de presión 0-600 BAR</t>
  </si>
  <si>
    <t>SOM20289</t>
  </si>
  <si>
    <t>420220</t>
  </si>
  <si>
    <t>1714</t>
  </si>
  <si>
    <t>Emergency shut off / Parada de emergencia</t>
  </si>
  <si>
    <t>SOM20292</t>
  </si>
  <si>
    <t>405197</t>
  </si>
  <si>
    <t>1715</t>
  </si>
  <si>
    <t>OIL COOLER COMPLETE / Enfriador de aceite completo</t>
  </si>
  <si>
    <t>som20293</t>
  </si>
  <si>
    <t>277484006</t>
  </si>
  <si>
    <t>1716</t>
  </si>
  <si>
    <t>PM OIL RADIATOR / Radiador de aceite PM</t>
  </si>
  <si>
    <t>SOM20294</t>
  </si>
  <si>
    <t>66337005</t>
  </si>
  <si>
    <t>1717</t>
  </si>
  <si>
    <t>REPLACEMENT FAN FOR HYD OIL COOLER / Ventilador de repuesto para enfriador de aceite HYS</t>
  </si>
  <si>
    <t>SOM20296</t>
  </si>
  <si>
    <t>573969 / 409337</t>
  </si>
  <si>
    <t>1719</t>
  </si>
  <si>
    <t>Temperature transmitter 55 degree C / Transmisor de temperatura 55°C</t>
  </si>
  <si>
    <t>SOM20298</t>
  </si>
  <si>
    <t>6786005</t>
  </si>
  <si>
    <t>1722</t>
  </si>
  <si>
    <t>Control box 24 VDC for ZSK / Caja de control 24 VDC para ZSK</t>
  </si>
  <si>
    <t>SOM20304</t>
  </si>
  <si>
    <t>493715</t>
  </si>
  <si>
    <t>1723</t>
  </si>
  <si>
    <t>Swichtbox 24V / Caja de interruptores 24V</t>
  </si>
  <si>
    <t>SOM20305</t>
  </si>
  <si>
    <t>238390003</t>
  </si>
  <si>
    <t>1724</t>
  </si>
  <si>
    <t>Change / over relay 24 V / Relé de conmutación 24V</t>
  </si>
  <si>
    <t>SOM20306</t>
  </si>
  <si>
    <t>65034008</t>
  </si>
  <si>
    <t>1725</t>
  </si>
  <si>
    <t>Relay 24V / Relé 24V</t>
  </si>
  <si>
    <t>SOM20307</t>
  </si>
  <si>
    <t>225684007</t>
  </si>
  <si>
    <t>1726</t>
  </si>
  <si>
    <t>Relay module 24V / Módulo de relé 24V</t>
  </si>
  <si>
    <t>SOM20309</t>
  </si>
  <si>
    <t>244372002</t>
  </si>
  <si>
    <t>1727</t>
  </si>
  <si>
    <t>Step relay 24V / Relé escalonado 24V</t>
  </si>
  <si>
    <t>SOM20310</t>
  </si>
  <si>
    <t>27845007</t>
  </si>
  <si>
    <t>1728</t>
  </si>
  <si>
    <t>Poh reverse electronic 10-32V / Electrónico inversor POH 10/32V</t>
  </si>
  <si>
    <t>SOM20311</t>
  </si>
  <si>
    <t>555644</t>
  </si>
  <si>
    <t>1735</t>
  </si>
  <si>
    <t>HOSE CLIP / Abrazadera para manguera</t>
  </si>
  <si>
    <t>SOM20323</t>
  </si>
  <si>
    <t>16368008</t>
  </si>
  <si>
    <t>1736</t>
  </si>
  <si>
    <t>Pressure gauge 60 Bar / Manómetro 60 Bar</t>
  </si>
  <si>
    <t>SOM20324</t>
  </si>
  <si>
    <t>16372007</t>
  </si>
  <si>
    <t>1738</t>
  </si>
  <si>
    <t>Vacuum gauge / Manómetro de vacío</t>
  </si>
  <si>
    <t>SOM20326</t>
  </si>
  <si>
    <t>60440008</t>
  </si>
  <si>
    <t>1739</t>
  </si>
  <si>
    <t>Main pump A4VG125 / Bomba principal A4VG125</t>
  </si>
  <si>
    <t>SOM20327</t>
  </si>
  <si>
    <t>266680002</t>
  </si>
  <si>
    <t>1742</t>
  </si>
  <si>
    <t>Hydraulic pump L a7V28 (24) DR / Bomba hidráulica A7V28 (24) DR</t>
  </si>
  <si>
    <t>SOM20330</t>
  </si>
  <si>
    <t>276120002</t>
  </si>
  <si>
    <t>1743</t>
  </si>
  <si>
    <t>Hydraulic pump / Bomba hidráulica</t>
  </si>
  <si>
    <t>SOM20331</t>
  </si>
  <si>
    <t>279532008</t>
  </si>
  <si>
    <t>1744</t>
  </si>
  <si>
    <t>SOM20332</t>
  </si>
  <si>
    <t>6792005</t>
  </si>
  <si>
    <t>1746</t>
  </si>
  <si>
    <t>Flushing water pump with hydraulic pump / Bomba de agua de lavado con bomba hidráulica</t>
  </si>
  <si>
    <t>SOM20335</t>
  </si>
  <si>
    <t>231344001</t>
  </si>
  <si>
    <t>1747</t>
  </si>
  <si>
    <t>FLUSHING WATER PUMP WHITOUT HYDRAULIC PUMP / Bomba de agua de lavado (sin bomba hidráulica)</t>
  </si>
  <si>
    <t>SOM20336</t>
  </si>
  <si>
    <t>229179000</t>
  </si>
  <si>
    <t>1750</t>
  </si>
  <si>
    <t>Fork - G64 / Horquilla G64</t>
  </si>
  <si>
    <t>SOM20340</t>
  </si>
  <si>
    <t>28493006</t>
  </si>
  <si>
    <t>1751</t>
  </si>
  <si>
    <t>SOM20341</t>
  </si>
  <si>
    <t>28496003</t>
  </si>
  <si>
    <t>1753</t>
  </si>
  <si>
    <t>Coupling piece / Pieza de acoplamiento</t>
  </si>
  <si>
    <t>SOM20343</t>
  </si>
  <si>
    <t>258683004</t>
  </si>
  <si>
    <t>1754</t>
  </si>
  <si>
    <t>INPUT SHAFT / Eje de entrada</t>
  </si>
  <si>
    <t>SOM20346</t>
  </si>
  <si>
    <t>294940009</t>
  </si>
  <si>
    <t>1755</t>
  </si>
  <si>
    <t>Bush 275X280X077 DU NUT / Buje 275x280x077 DU NUT</t>
  </si>
  <si>
    <t>SOM20354</t>
  </si>
  <si>
    <t>58827002</t>
  </si>
  <si>
    <t>1756</t>
  </si>
  <si>
    <t>Buje 275x280x077 DU NUT / Bush 275X280X077 DU NUT</t>
  </si>
  <si>
    <t>1757</t>
  </si>
  <si>
    <t>Throat bushing / Buje de garganta</t>
  </si>
  <si>
    <t>SOM20355</t>
  </si>
  <si>
    <t>240046002</t>
  </si>
  <si>
    <t>1758</t>
  </si>
  <si>
    <t>Bush 350 X 355 X 077 DU-B NUT / Buje 350x355x077 DU/B NUT</t>
  </si>
  <si>
    <t>SOM20356</t>
  </si>
  <si>
    <t>58828001</t>
  </si>
  <si>
    <t>1759</t>
  </si>
  <si>
    <t>Buje 288x293x45 DU-B NUT</t>
  </si>
  <si>
    <t>SOM20358</t>
  </si>
  <si>
    <t>63732001</t>
  </si>
  <si>
    <t>1760</t>
  </si>
  <si>
    <t>Pressure plate / Placa de presión</t>
  </si>
  <si>
    <t>SOM20361</t>
  </si>
  <si>
    <t>87162000</t>
  </si>
  <si>
    <t>1762</t>
  </si>
  <si>
    <t>Seal set for MBC valve / Juego de sellos para válvula MBC</t>
  </si>
  <si>
    <t>SOM20363</t>
  </si>
  <si>
    <t>471710</t>
  </si>
  <si>
    <t>1766</t>
  </si>
  <si>
    <t>75045880338</t>
  </si>
  <si>
    <t>Balero y taza MTM</t>
  </si>
  <si>
    <t>82213/82215</t>
  </si>
  <si>
    <t>1782</t>
  </si>
  <si>
    <t>75045880256</t>
  </si>
  <si>
    <t>Horquilla 1/4" P/Cble de control o aceleración</t>
  </si>
  <si>
    <t>800</t>
  </si>
  <si>
    <t>1786</t>
  </si>
  <si>
    <t>75045880301</t>
  </si>
  <si>
    <t>KIT PARA BALERO PIVOTE TRASERO</t>
  </si>
  <si>
    <t>153310BK</t>
  </si>
  <si>
    <t>1820</t>
  </si>
  <si>
    <t>1821</t>
  </si>
  <si>
    <t>115/80 Seal Set / Juego de sellos 115/80</t>
  </si>
  <si>
    <t>SOM20412</t>
  </si>
  <si>
    <t>231238007 / 448478</t>
  </si>
  <si>
    <t>Sellos y Retenes</t>
  </si>
  <si>
    <t>1822</t>
  </si>
  <si>
    <t>4/3 Way Valve / Válvula de 4/3 Vías</t>
  </si>
  <si>
    <t>SOM20420</t>
  </si>
  <si>
    <t>295208002</t>
  </si>
  <si>
    <t>Componentes Hidráulicos</t>
  </si>
  <si>
    <t>1823</t>
  </si>
  <si>
    <t>5/2 Way Valve / Válvula de 5/2 Vías</t>
  </si>
  <si>
    <t>SOM20415</t>
  </si>
  <si>
    <t>463866 / 438955</t>
  </si>
  <si>
    <t>1830</t>
  </si>
  <si>
    <t>Assembly Kit Charge Pump 25 CM³ / Kit de Montaje Bomba de Carga 25 CM³</t>
  </si>
  <si>
    <t>SOM20554</t>
  </si>
  <si>
    <t>223763001</t>
  </si>
  <si>
    <t>Sistema de Bombeo de Concreto</t>
  </si>
  <si>
    <t>1833</t>
  </si>
  <si>
    <t>Bearing Flange Ergonic Q60 / Brida de Cojinete Ergonómica Q60</t>
  </si>
  <si>
    <t>SOM20413</t>
  </si>
  <si>
    <t>484731</t>
  </si>
  <si>
    <t>Transmisión Mecánica</t>
  </si>
  <si>
    <t>1840</t>
  </si>
  <si>
    <t>Brake RA10 / Freno RA10</t>
  </si>
  <si>
    <t>SOM20529</t>
  </si>
  <si>
    <t>294100042	/ 294327007</t>
  </si>
  <si>
    <t>1843</t>
  </si>
  <si>
    <t>Bush 100x105x60 DU-B (Ergonomic) / Casquillo 100x105x60 DU-B (Ergonómico)</t>
  </si>
  <si>
    <t>SOM20508</t>
  </si>
  <si>
    <t>455706</t>
  </si>
  <si>
    <t>1848</t>
  </si>
  <si>
    <t>Charge Pump DPV25 / Bomba de Carga DPV25</t>
  </si>
  <si>
    <t>SOM20557</t>
  </si>
  <si>
    <t>271548003</t>
  </si>
  <si>
    <t>1850</t>
  </si>
  <si>
    <t>75045880427</t>
  </si>
  <si>
    <t>Cilindro de cambio gato buzo 80mm</t>
  </si>
  <si>
    <t>C40224401</t>
  </si>
  <si>
    <t>1851</t>
  </si>
  <si>
    <t>Circlip / Anillo de Retención</t>
  </si>
  <si>
    <t>SOM20517</t>
  </si>
  <si>
    <t>18878004</t>
  </si>
  <si>
    <t>1852</t>
  </si>
  <si>
    <t>Clamp Flange / Brida de Sujeción</t>
  </si>
  <si>
    <t>SOM20545</t>
  </si>
  <si>
    <t>262325005</t>
  </si>
  <si>
    <t>1856</t>
  </si>
  <si>
    <t>CONTROLADOR DE CAMION DE BOMBA DE HORMIGON</t>
  </si>
  <si>
    <t>A053273</t>
  </si>
  <si>
    <t>1858</t>
  </si>
  <si>
    <t>Coupling / Acoplamiento</t>
  </si>
  <si>
    <t>SOM20505</t>
  </si>
  <si>
    <t>247929009</t>
  </si>
  <si>
    <t>1859</t>
  </si>
  <si>
    <t>Coupling 5,5" ND Mounted SK-HI25/5,5 / Acoplamiento 5,5" ND Montado SK-HI25/5,5</t>
  </si>
  <si>
    <t>SOM20444</t>
  </si>
  <si>
    <t>524946</t>
  </si>
  <si>
    <t>1860</t>
  </si>
  <si>
    <t>Coupling 5,5" ND Mounted SK-HI25/5,6 / Acoplamiento 5,5" ND Montado SK-HI25/5,6</t>
  </si>
  <si>
    <t>SOM20445</t>
  </si>
  <si>
    <t>534295</t>
  </si>
  <si>
    <t>1861</t>
  </si>
  <si>
    <t>Coupling Half ZX125/5,5 / Medio Acoplamiento ZX125/5,5</t>
  </si>
  <si>
    <t>SOM20573</t>
  </si>
  <si>
    <t>246419003</t>
  </si>
  <si>
    <t>1863</t>
  </si>
  <si>
    <t>Cylinder Kit for PV24 / Kit de Cilindro para PV24</t>
  </si>
  <si>
    <t>SOM20553</t>
  </si>
  <si>
    <t>429552</t>
  </si>
  <si>
    <t>1864</t>
  </si>
  <si>
    <t>Cylinder Tube Ø125 / Tubo de Cilindro Ø125</t>
  </si>
  <si>
    <t>SOM20524</t>
  </si>
  <si>
    <t>234993006</t>
  </si>
  <si>
    <t>1865</t>
  </si>
  <si>
    <t>Delivery Pipe Elbow ZX125 90º R=1000 / Codo de Tubería de Entrega ZX125 90º R=1000</t>
  </si>
  <si>
    <t>SOM20572</t>
  </si>
  <si>
    <t>51803009</t>
  </si>
  <si>
    <t>1866</t>
  </si>
  <si>
    <t>Direct. Contr. Block Left 5+V / Bloque de Control Directo Izq. 5+V</t>
  </si>
  <si>
    <t>SOM20563</t>
  </si>
  <si>
    <t>261049004</t>
  </si>
  <si>
    <t>1867</t>
  </si>
  <si>
    <t>Direct. Contr. Block Right 5+V / Bloque de Control Directo Der. 5+V</t>
  </si>
  <si>
    <t>SOM20564</t>
  </si>
  <si>
    <t>261048005</t>
  </si>
  <si>
    <t>1868</t>
  </si>
  <si>
    <t>DN 250 Piston Rubber and Ring Set / Juego de junta de pistón DN 250 y anillo</t>
  </si>
  <si>
    <t>SOM20400</t>
  </si>
  <si>
    <t>1869</t>
  </si>
  <si>
    <t>DN 280 Piston Rubber and Ring Set / Juego de goma y anillo de pistón DN 280</t>
  </si>
  <si>
    <t>SOM20408</t>
  </si>
  <si>
    <t>1870</t>
  </si>
  <si>
    <t>Double Boom Clamp / Abrazadera de Doble Pluma</t>
  </si>
  <si>
    <t>SOM20516</t>
  </si>
  <si>
    <t>295881005	 / 288303000</t>
  </si>
  <si>
    <t>1872</t>
  </si>
  <si>
    <t>Drive Shaft W. Feed, Pump SAE-B / Eje de Transmisión con Alimentación, Bomba SAE-B</t>
  </si>
  <si>
    <t>SOM20540</t>
  </si>
  <si>
    <t>242946003</t>
  </si>
  <si>
    <t>1873</t>
  </si>
  <si>
    <t>SOM20542</t>
  </si>
  <si>
    <t>262347002</t>
  </si>
  <si>
    <t>1874</t>
  </si>
  <si>
    <t>Drive Shaft W. Feed, Pump SAE-D / Eje de Transmisión con Alimentación, Bomba SAE-D</t>
  </si>
  <si>
    <t>SOM20543</t>
  </si>
  <si>
    <t>262146003</t>
  </si>
  <si>
    <t>1875</t>
  </si>
  <si>
    <t>Drive Shaft W. Feed, Pump SAE-E / Eje de Transmisión con Alimentación, Bomba SAE-E</t>
  </si>
  <si>
    <t>SOM20541</t>
  </si>
  <si>
    <t>242945004</t>
  </si>
  <si>
    <t>1876</t>
  </si>
  <si>
    <t>Elbow 45Degree Twin Wall 5.5" / Codo 45 Grados Doble Pared 5.5"</t>
  </si>
  <si>
    <t>SOM20448</t>
  </si>
  <si>
    <t>429752</t>
  </si>
  <si>
    <t>1877</t>
  </si>
  <si>
    <t>Elephant Cylinder Seal Set / Juego de Sellos de Cilindro de Elefante</t>
  </si>
  <si>
    <t>SOM20439</t>
  </si>
  <si>
    <t>54217001</t>
  </si>
  <si>
    <t>1883</t>
  </si>
  <si>
    <t>Erg Elbow 90 Degree Twin Wall - Procast / Codo Ergonómico 90 Grados Doble Pared - Procast</t>
  </si>
  <si>
    <t>SOM20405</t>
  </si>
  <si>
    <t>530217</t>
  </si>
  <si>
    <t>1885</t>
  </si>
  <si>
    <t>Filter Element / Elemento Filtrante</t>
  </si>
  <si>
    <t>SOM20417</t>
  </si>
  <si>
    <t>10181242</t>
  </si>
  <si>
    <t>Elementos de Medición y Control</t>
  </si>
  <si>
    <t>1886</t>
  </si>
  <si>
    <t>Filter Element Complete / Elemento Filtrante Completo</t>
  </si>
  <si>
    <t>SOM20416</t>
  </si>
  <si>
    <t>482073</t>
  </si>
  <si>
    <t>1889</t>
  </si>
  <si>
    <t>Flushing Valve / Válvula de Purga</t>
  </si>
  <si>
    <t>SOM20544</t>
  </si>
  <si>
    <t>284132002</t>
  </si>
  <si>
    <t>1890</t>
  </si>
  <si>
    <t>Forward Control Cable / Cable de Control Adelante</t>
  </si>
  <si>
    <t>SOM20422</t>
  </si>
  <si>
    <t>229254006</t>
  </si>
  <si>
    <t>Componentes Eléctricos</t>
  </si>
  <si>
    <t>1891</t>
  </si>
  <si>
    <t>Forward Control Valve / Válvula de Control Adelante</t>
  </si>
  <si>
    <t>SOM20421</t>
  </si>
  <si>
    <t>245745007</t>
  </si>
  <si>
    <t>1893</t>
  </si>
  <si>
    <t>Gear Weld Wheel Set for G-02 / Juego de Ruedas Soldadas de Engranaje para G-02</t>
  </si>
  <si>
    <t>SOM20521</t>
  </si>
  <si>
    <t>63589007</t>
  </si>
  <si>
    <t>1898</t>
  </si>
  <si>
    <t>Hose Clamp / Abrazadera de Manguera</t>
  </si>
  <si>
    <t>SOM20515</t>
  </si>
  <si>
    <t>276273003 /	288300068 / 512411</t>
  </si>
  <si>
    <t>1901</t>
  </si>
  <si>
    <t>Hydr Motor A2F16 / Motor Hidráulico A2F16</t>
  </si>
  <si>
    <t>SOM20409</t>
  </si>
  <si>
    <t>222864008</t>
  </si>
  <si>
    <t>1902</t>
  </si>
  <si>
    <t>Hydr. Control 24V, FFH / Control Hidr. 24V, FFH</t>
  </si>
  <si>
    <t>SOM20548</t>
  </si>
  <si>
    <t>244590004</t>
  </si>
  <si>
    <t>1903</t>
  </si>
  <si>
    <t>Hydr. Pump A4F028/32L / Bomba Hidr. A4F028/32L</t>
  </si>
  <si>
    <t>SOM20547</t>
  </si>
  <si>
    <t>331191</t>
  </si>
  <si>
    <t>1904</t>
  </si>
  <si>
    <t>Hydr. Pump R A4V125HD... / Bomba Hidr. R A4V125HD...</t>
  </si>
  <si>
    <t>SOM20538</t>
  </si>
  <si>
    <t>262497008</t>
  </si>
  <si>
    <t>1905</t>
  </si>
  <si>
    <t>Hydr. Pump R A4VG125EP / Bomba Hidr. R A4VG125EP</t>
  </si>
  <si>
    <t>SOM20539</t>
  </si>
  <si>
    <t>421418</t>
  </si>
  <si>
    <t>1906</t>
  </si>
  <si>
    <t>Hydr. Pump R A4VG180EP / Bomba Hidr. R A4VG180EP</t>
  </si>
  <si>
    <t>SOM20537</t>
  </si>
  <si>
    <t>410493</t>
  </si>
  <si>
    <t>1907</t>
  </si>
  <si>
    <t>Hydr. Pump R A4VG180HD / Bomba Hidr. R A4VG180HD</t>
  </si>
  <si>
    <t>SOM20535</t>
  </si>
  <si>
    <t>603720</t>
  </si>
  <si>
    <t>1908</t>
  </si>
  <si>
    <t>SOM20536</t>
  </si>
  <si>
    <t>284530002</t>
  </si>
  <si>
    <t>1909</t>
  </si>
  <si>
    <t>Hydraulic Cylinder / Cilindro Hidráulico</t>
  </si>
  <si>
    <t>SOM20532</t>
  </si>
  <si>
    <t>251409007</t>
  </si>
  <si>
    <t>1910</t>
  </si>
  <si>
    <t>Hydraulic Cylinder 282-80/63 / Cilindro Hidráulico 282-80/63</t>
  </si>
  <si>
    <t>SOM20534</t>
  </si>
  <si>
    <t>237048000</t>
  </si>
  <si>
    <t>1911</t>
  </si>
  <si>
    <t>Hydraulic Gate Valve ZXM125 / Válvula de Compuerta Hidráulica ZXM125</t>
  </si>
  <si>
    <t>SOM20577</t>
  </si>
  <si>
    <t>257083003</t>
  </si>
  <si>
    <t>1918</t>
  </si>
  <si>
    <t>Lubricant Distributor VSKV4-D / Distribuidor de Lubricante VSKV4-D</t>
  </si>
  <si>
    <t>SOM20551</t>
  </si>
  <si>
    <t>253913009</t>
  </si>
  <si>
    <t>1921</t>
  </si>
  <si>
    <t>Mechanical Gate Valve SK125 / Válvula de Compuerta Mecánica SK125</t>
  </si>
  <si>
    <t>SOM20576</t>
  </si>
  <si>
    <t>50319000</t>
  </si>
  <si>
    <t>1922</t>
  </si>
  <si>
    <t>Mixer Shaft Q60 X 250mm / Eje mezclador Q60 X 250mm</t>
  </si>
  <si>
    <t>SOM20402</t>
  </si>
  <si>
    <t>278096009</t>
  </si>
  <si>
    <t>1923</t>
  </si>
  <si>
    <t>Mixing Valve / Válvula Mezcladora</t>
  </si>
  <si>
    <t>SOM20426</t>
  </si>
  <si>
    <t>480299</t>
  </si>
  <si>
    <t>1930</t>
  </si>
  <si>
    <t>Operating Hours Meter 12/24V / Contador de Horas de Funcionamiento 12/24V</t>
  </si>
  <si>
    <t>SOM20569</t>
  </si>
  <si>
    <t>26034005</t>
  </si>
  <si>
    <t>1931</t>
  </si>
  <si>
    <t>O-Ring 148x6 DIN3771NBR70 / Anillo O 148x6 DIN3771NBR70</t>
  </si>
  <si>
    <t>SOM20487</t>
  </si>
  <si>
    <t>43017005</t>
  </si>
  <si>
    <t>1932</t>
  </si>
  <si>
    <t>O-Ring 210x8 DIN3771NBR70 / Anillo O 210x8 DIN3771NBR70</t>
  </si>
  <si>
    <t>SOM20458</t>
  </si>
  <si>
    <t>41468001</t>
  </si>
  <si>
    <t>1933</t>
  </si>
  <si>
    <t>Outher Housing (New-Ergonic Type) / Carcasa Exterior (Tipo Nueva Ergonómica)</t>
  </si>
  <si>
    <t>SOM20414</t>
  </si>
  <si>
    <t>576811 / 508064</t>
  </si>
  <si>
    <t>1934</t>
  </si>
  <si>
    <t>SOM20435</t>
  </si>
  <si>
    <t>240620004</t>
  </si>
  <si>
    <t>1935</t>
  </si>
  <si>
    <t>Outher Housing for Stationary Pump Complete / Carcasa Exterior para Bomba Estacionaria Completa</t>
  </si>
  <si>
    <t>SOM20479</t>
  </si>
  <si>
    <t>246433002</t>
  </si>
  <si>
    <t>1939</t>
  </si>
  <si>
    <t>Pipe Suspension / Suspensión de Tubería</t>
  </si>
  <si>
    <t>SOM20514</t>
  </si>
  <si>
    <t>277100005</t>
  </si>
  <si>
    <t>1940</t>
  </si>
  <si>
    <t>SOM20527</t>
  </si>
  <si>
    <t>234991008</t>
  </si>
  <si>
    <t>1942</t>
  </si>
  <si>
    <t>Power Take-Off Pinion / Piñón de Toma de Fuerza</t>
  </si>
  <si>
    <t>SOM20530</t>
  </si>
  <si>
    <t>231469009</t>
  </si>
  <si>
    <t>1943</t>
  </si>
  <si>
    <t>Pressure Limiting Valve / Válvula Limitadora de Presión</t>
  </si>
  <si>
    <t>SOM20549</t>
  </si>
  <si>
    <t>222180000</t>
  </si>
  <si>
    <t>1944</t>
  </si>
  <si>
    <t>SOM20552</t>
  </si>
  <si>
    <t>65917002</t>
  </si>
  <si>
    <t>1946</t>
  </si>
  <si>
    <t>Regulator / Regulador</t>
  </si>
  <si>
    <t>SOM20550</t>
  </si>
  <si>
    <t>246080009</t>
  </si>
  <si>
    <t>1950</t>
  </si>
  <si>
    <t>Rotary Kit DPV25 / Kit Rotatorio DPV25</t>
  </si>
  <si>
    <t>SOM20556</t>
  </si>
  <si>
    <t>431079</t>
  </si>
  <si>
    <t>1951</t>
  </si>
  <si>
    <t>Rotary Shaft Seal 55x90x7/5 / Sello de Eje Rotatorio 55x90x7/5</t>
  </si>
  <si>
    <t>SOM20561</t>
  </si>
  <si>
    <t>452159</t>
  </si>
  <si>
    <t>1952</t>
  </si>
  <si>
    <t>Rotary Shaft Seal 60x106x7/5 / Sello de Eje Rotatorio 60x106x7/5</t>
  </si>
  <si>
    <t>SOM20559</t>
  </si>
  <si>
    <t>450489</t>
  </si>
  <si>
    <t>1953</t>
  </si>
  <si>
    <t>S Pipe DN125X2X45DGR Twin Wall / Tubo S DN125X2X45GR Doble Pared</t>
  </si>
  <si>
    <t>SOM20429</t>
  </si>
  <si>
    <t>454426	/ 276717004</t>
  </si>
  <si>
    <t>1954</t>
  </si>
  <si>
    <t>S Valve 201BN (Hard Welded 62 HRC) / Válvula S 201BN (Soldadura Dura 62 HRC)</t>
  </si>
  <si>
    <t>SOM20462</t>
  </si>
  <si>
    <t>520286SHW</t>
  </si>
  <si>
    <t>1955</t>
  </si>
  <si>
    <t>S Valve 231BN (Hard Welded 62 HRC) / Válvula S 231BN (Soldadura Dura 62 HRC)</t>
  </si>
  <si>
    <t>SOM20463</t>
  </si>
  <si>
    <t>534023HW</t>
  </si>
  <si>
    <t>1956</t>
  </si>
  <si>
    <t>SAE Connection Block 1 1/4" / Bloque de Conexión SAE 1 1/4"</t>
  </si>
  <si>
    <t>SOM20546</t>
  </si>
  <si>
    <t>245344000</t>
  </si>
  <si>
    <t>1957</t>
  </si>
  <si>
    <t>Screw Coupling SK-S150-6 ND / Acoplamiento Roscado SK-S150-6 ND</t>
  </si>
  <si>
    <t>SOM20570</t>
  </si>
  <si>
    <t>81530007</t>
  </si>
  <si>
    <t>1958</t>
  </si>
  <si>
    <t>Screw Mounted Coupling 5,5"-4 Bolt / Acoplamiento atornillado 5,5"-4 tornillos</t>
  </si>
  <si>
    <t>SOM20403</t>
  </si>
  <si>
    <t>246984003</t>
  </si>
  <si>
    <t>1959</t>
  </si>
  <si>
    <t>Seal Set / Juego de sellos</t>
  </si>
  <si>
    <t>SOM20382</t>
  </si>
  <si>
    <t>245858000</t>
  </si>
  <si>
    <t>1960</t>
  </si>
  <si>
    <t>SOM20386</t>
  </si>
  <si>
    <t>23848009</t>
  </si>
  <si>
    <t>1961</t>
  </si>
  <si>
    <t>SOM20388</t>
  </si>
  <si>
    <t>50265002</t>
  </si>
  <si>
    <t>1962</t>
  </si>
  <si>
    <t>SOM20392</t>
  </si>
  <si>
    <t>87400005</t>
  </si>
  <si>
    <t>1964</t>
  </si>
  <si>
    <t>SOM20395</t>
  </si>
  <si>
    <t>50266001</t>
  </si>
  <si>
    <t>1965</t>
  </si>
  <si>
    <t>Seal Set / Juego de Sellos</t>
  </si>
  <si>
    <t>SOM20533</t>
  </si>
  <si>
    <t>241511008</t>
  </si>
  <si>
    <t>1967</t>
  </si>
  <si>
    <t>Seal Set 125/70 / Juego de sellos 125/70</t>
  </si>
  <si>
    <t>SOM20366</t>
  </si>
  <si>
    <t>445761</t>
  </si>
  <si>
    <t>1968</t>
  </si>
  <si>
    <t>Seal Set 165/105 / Juego de sellos 165/105</t>
  </si>
  <si>
    <t>SOM20369</t>
  </si>
  <si>
    <t>445766/279455004</t>
  </si>
  <si>
    <t>1969</t>
  </si>
  <si>
    <t>Seal Set 180/125 / Juego de sellos 180/125</t>
  </si>
  <si>
    <t>SOM20371</t>
  </si>
  <si>
    <t>445768</t>
  </si>
  <si>
    <t>1970</t>
  </si>
  <si>
    <t>Seal Set 225/125 / Juego de sellos 225/125</t>
  </si>
  <si>
    <t>SOM20378</t>
  </si>
  <si>
    <t>445777 / 27839800</t>
  </si>
  <si>
    <t>1971</t>
  </si>
  <si>
    <t>Seal Set 225/140 / Juego de sellos 225/140</t>
  </si>
  <si>
    <t>SOM20379</t>
  </si>
  <si>
    <t>445780</t>
  </si>
  <si>
    <t>1972</t>
  </si>
  <si>
    <t>Seal Set 260/180 / Juego de sellos 260/180</t>
  </si>
  <si>
    <t>SOM20381</t>
  </si>
  <si>
    <t>445782</t>
  </si>
  <si>
    <t>1973</t>
  </si>
  <si>
    <t>Seal Set for Outher Housing - Ergonic / Juego de Sellos para Carcasa Exterior - Ergonómico</t>
  </si>
  <si>
    <t>SOM20467</t>
  </si>
  <si>
    <t>576811KT</t>
  </si>
  <si>
    <t>1974</t>
  </si>
  <si>
    <t>Seal Set Q90 (Ergonomic) / Juego de Sellos Q90 (Ergonómico)</t>
  </si>
  <si>
    <t>SOM20509</t>
  </si>
  <si>
    <t>240620004K1T</t>
  </si>
  <si>
    <t>1975</t>
  </si>
  <si>
    <t>Sealing Cover / Tapa de Sellado</t>
  </si>
  <si>
    <t>SOM20512</t>
  </si>
  <si>
    <t>541915</t>
  </si>
  <si>
    <t>1976</t>
  </si>
  <si>
    <t>Securing Ring 106 X 4 / Anillo de Seguridad 106 X 4</t>
  </si>
  <si>
    <t>SOM20560</t>
  </si>
  <si>
    <t>450497</t>
  </si>
  <si>
    <t>1977</t>
  </si>
  <si>
    <t>Securing Ring 90 X 4 / Anillo de Seguridad 90 X 4</t>
  </si>
  <si>
    <t>SOM20562</t>
  </si>
  <si>
    <t>902600002</t>
  </si>
  <si>
    <t>1978</t>
  </si>
  <si>
    <t>75045880470</t>
  </si>
  <si>
    <t>Sello hermetico 60mm</t>
  </si>
  <si>
    <t>24254006</t>
  </si>
  <si>
    <t>1984</t>
  </si>
  <si>
    <t>Set of Seal D80/50 / Juego de sellos D80/50</t>
  </si>
  <si>
    <t>SOM20397</t>
  </si>
  <si>
    <t>64121006</t>
  </si>
  <si>
    <t>1986</t>
  </si>
  <si>
    <t>Shutoff Monobloc / Monobloque de Cierre</t>
  </si>
  <si>
    <t>SOM20567</t>
  </si>
  <si>
    <t>413422</t>
  </si>
  <si>
    <t>1987</t>
  </si>
  <si>
    <t>Slewing Unit Gear / Engranaje de Unidad de Giro</t>
  </si>
  <si>
    <t>SOM20528</t>
  </si>
  <si>
    <t>284236001</t>
  </si>
  <si>
    <t>1988</t>
  </si>
  <si>
    <t>SOM20531</t>
  </si>
  <si>
    <t>536110</t>
  </si>
  <si>
    <t>1989</t>
  </si>
  <si>
    <t>Sliding Piece / Pieza Deslizante</t>
  </si>
  <si>
    <t>SOM20526</t>
  </si>
  <si>
    <t>294728004</t>
  </si>
  <si>
    <t>1990</t>
  </si>
  <si>
    <t>Solenoid Coil / Bobina de Solenoide</t>
  </si>
  <si>
    <t>SOM20418</t>
  </si>
  <si>
    <t>245364006</t>
  </si>
  <si>
    <t>1993</t>
  </si>
  <si>
    <t>Support Flange (Ergonomic) / Brida de Soporte (Ergonómica)</t>
  </si>
  <si>
    <t>SOM20506</t>
  </si>
  <si>
    <t>519517</t>
  </si>
  <si>
    <t>1994</t>
  </si>
  <si>
    <t>Swingring Lever Ø90 (Ergonomic) / Palanca de Anillo Giratorio Ø90 (Ergonómico)</t>
  </si>
  <si>
    <t>SOM20510</t>
  </si>
  <si>
    <t>458703</t>
  </si>
  <si>
    <t>1995</t>
  </si>
  <si>
    <t>Switch Remote Sentence / Interruptor de Sentencia Remoto</t>
  </si>
  <si>
    <t>SOM20455</t>
  </si>
  <si>
    <t>487160</t>
  </si>
  <si>
    <t>1996</t>
  </si>
  <si>
    <t>Telethermometer 24V / Teletermómetro 24V</t>
  </si>
  <si>
    <t>SOM20568</t>
  </si>
  <si>
    <t>26033006</t>
  </si>
  <si>
    <t>1997</t>
  </si>
  <si>
    <t>Toothed Piece / Pieza Dentada</t>
  </si>
  <si>
    <t>SOM20525</t>
  </si>
  <si>
    <t>294727005</t>
  </si>
  <si>
    <t>1998</t>
  </si>
  <si>
    <t>Valve Plate DPV25 / Placa de Válvulas DPV25</t>
  </si>
  <si>
    <t>SOM20558</t>
  </si>
  <si>
    <t>429549</t>
  </si>
  <si>
    <t>1999</t>
  </si>
  <si>
    <t>Valve Right-Left / Válvula Derecha-Izquierda</t>
  </si>
  <si>
    <t>SOM20428</t>
  </si>
  <si>
    <t>262648006	/ 262649005</t>
  </si>
  <si>
    <t>2007</t>
  </si>
  <si>
    <t>Wear Sleeve (Ergonomic) / Manguito de Desgaste (Ergonómico)</t>
  </si>
  <si>
    <t>SOM20507</t>
  </si>
  <si>
    <t>458574</t>
  </si>
  <si>
    <t>2008</t>
  </si>
  <si>
    <t>Wear Sleeve / Manguito de Desgaste</t>
  </si>
  <si>
    <t>SOM20511</t>
  </si>
  <si>
    <t>261611005</t>
  </si>
  <si>
    <t>2009</t>
  </si>
  <si>
    <t>Wedge (New) / Cuña (Nueva)</t>
  </si>
  <si>
    <t>SOM20513</t>
  </si>
  <si>
    <t>522382</t>
  </si>
  <si>
    <t>2010</t>
  </si>
  <si>
    <t>Welding Ring ZX125-5 1/2 / Anillo de Soldadura ZX125-5 1/2</t>
  </si>
  <si>
    <t>SOM20574</t>
  </si>
  <si>
    <t>267037008</t>
  </si>
  <si>
    <t>2011</t>
  </si>
  <si>
    <t>SOM20575</t>
  </si>
  <si>
    <t>267833007</t>
  </si>
  <si>
    <t>2014</t>
  </si>
  <si>
    <t>2.0OUTLET ELBOW DN180 ZL GREEN</t>
  </si>
  <si>
    <t>6" Sealing DN 150/BF 4005 / Sello de 6" DN 150/BF 4005</t>
  </si>
  <si>
    <t>SOM30244</t>
  </si>
  <si>
    <t>10004761</t>
  </si>
  <si>
    <t>2019</t>
  </si>
  <si>
    <t>Agitator Complete - New Type / Agitador Completo - Nuevo Tipo</t>
  </si>
  <si>
    <t>SOM30356</t>
  </si>
  <si>
    <t>98347073</t>
  </si>
  <si>
    <t>2021</t>
  </si>
  <si>
    <t>Agitator Shaft / Eje Agitador</t>
  </si>
  <si>
    <t>SOM30156</t>
  </si>
  <si>
    <t>10162502</t>
  </si>
  <si>
    <t>2022</t>
  </si>
  <si>
    <t>SOM30157</t>
  </si>
  <si>
    <t>10052446</t>
  </si>
  <si>
    <t>2024</t>
  </si>
  <si>
    <t>ANILLO DE DESGASTE DN PARA BOMBA DE HORMIGON</t>
  </si>
  <si>
    <t>2025</t>
  </si>
  <si>
    <t>2034</t>
  </si>
  <si>
    <t>Back Up Ring DN 220 / Anillo de Respaldo DN 220</t>
  </si>
  <si>
    <t>SOM30045</t>
  </si>
  <si>
    <t>2042</t>
  </si>
  <si>
    <t>Base Plate / Placa Base</t>
  </si>
  <si>
    <t>SOM30001</t>
  </si>
  <si>
    <t>10074709</t>
  </si>
  <si>
    <t>2043</t>
  </si>
  <si>
    <t>SOM30002</t>
  </si>
  <si>
    <t>10166657</t>
  </si>
  <si>
    <t>2045</t>
  </si>
  <si>
    <t>Battery / Batería</t>
  </si>
  <si>
    <t>SOM30317</t>
  </si>
  <si>
    <t>2046</t>
  </si>
  <si>
    <t>SOM30318</t>
  </si>
  <si>
    <t>10167219</t>
  </si>
  <si>
    <t>2047</t>
  </si>
  <si>
    <t>Bearing Bushing / Casquillo de Cojinete</t>
  </si>
  <si>
    <t>SOM30193</t>
  </si>
  <si>
    <t>10001088</t>
  </si>
  <si>
    <t>2048</t>
  </si>
  <si>
    <t>Bearing Bushing D 70/85x57 / Casquillo de Cojinete D 70/85x57</t>
  </si>
  <si>
    <t>SOM30025</t>
  </si>
  <si>
    <t>10067810</t>
  </si>
  <si>
    <t>2050</t>
  </si>
  <si>
    <t>Bearing Bushing with Grease Groove / Casquillo de Cojinete con Ranura de Engrase</t>
  </si>
  <si>
    <t>SOM30023</t>
  </si>
  <si>
    <t>10018036</t>
  </si>
  <si>
    <t>2062</t>
  </si>
  <si>
    <t>Bushing / Casquillo</t>
  </si>
  <si>
    <t>SOM30237</t>
  </si>
  <si>
    <t>10004421</t>
  </si>
  <si>
    <t>2063</t>
  </si>
  <si>
    <t>SOM30238</t>
  </si>
  <si>
    <t>10004092</t>
  </si>
  <si>
    <t>2067</t>
  </si>
  <si>
    <t>75045880437</t>
  </si>
  <si>
    <t>cable de aceleración 17 ft</t>
  </si>
  <si>
    <t>10004712</t>
  </si>
  <si>
    <t>2070</t>
  </si>
  <si>
    <t>Cauldron Rubber Band 350 x 10 x 3000 mm / Banda de Goma para Caldero 350 x 10 x 3000 mm</t>
  </si>
  <si>
    <t>SOM30319</t>
  </si>
  <si>
    <t>2075</t>
  </si>
  <si>
    <t>Cleaning Ball DN 150 / Bola de Limpieza DN 150</t>
  </si>
  <si>
    <t>10107147</t>
  </si>
  <si>
    <t>2076</t>
  </si>
  <si>
    <t>Cleaning Ball DN 175 / Bola de Limpieza DN 175</t>
  </si>
  <si>
    <t>10107148</t>
  </si>
  <si>
    <t>2078</t>
  </si>
  <si>
    <t>Connection Bend DN 180 14 Degrees / Codo de Conexión DN 180 14 Grados</t>
  </si>
  <si>
    <t>SOM30239</t>
  </si>
  <si>
    <t>10026159</t>
  </si>
  <si>
    <t>2079</t>
  </si>
  <si>
    <t>Connection Piece / Pieza de Conexión</t>
  </si>
  <si>
    <t>SOM30096</t>
  </si>
  <si>
    <t>10159356</t>
  </si>
  <si>
    <t>2080</t>
  </si>
  <si>
    <t>SOM30097</t>
  </si>
  <si>
    <t>10187193</t>
  </si>
  <si>
    <t>2084</t>
  </si>
  <si>
    <t>75045880390</t>
  </si>
  <si>
    <t>cople para bomba hidráulica a2f013</t>
  </si>
  <si>
    <t>1033393</t>
  </si>
  <si>
    <t>2086</t>
  </si>
  <si>
    <t>SOM30197</t>
  </si>
  <si>
    <t>10004025</t>
  </si>
  <si>
    <t>2087</t>
  </si>
  <si>
    <t>Coupling 17.5X50X48 / Acoplamiento 17.5X50X48</t>
  </si>
  <si>
    <t>SOM30225</t>
  </si>
  <si>
    <t>10033393</t>
  </si>
  <si>
    <t>2088</t>
  </si>
  <si>
    <t>Coupling 22.5X50X48 / Acoplamiento 22.5X50X48</t>
  </si>
  <si>
    <t>SOM30226</t>
  </si>
  <si>
    <t>10033394</t>
  </si>
  <si>
    <t>2090</t>
  </si>
  <si>
    <t>Coupling 36X50X50 / Acoplamiento 36X50X50</t>
  </si>
  <si>
    <t>SOM30228</t>
  </si>
  <si>
    <t>10035157</t>
  </si>
  <si>
    <t>2092</t>
  </si>
  <si>
    <t>Cover Lining / Revestimiento de Cubierta</t>
  </si>
  <si>
    <t>SOM30029</t>
  </si>
  <si>
    <t>10018029</t>
  </si>
  <si>
    <t>2093</t>
  </si>
  <si>
    <t>Cover with Screw / Cubierta con Tornillo</t>
  </si>
  <si>
    <t>SOM30055</t>
  </si>
  <si>
    <t>10018073</t>
  </si>
  <si>
    <t>2097</t>
  </si>
  <si>
    <t>Cutting Ring DN 165 / Anillo de Corte DN 165</t>
  </si>
  <si>
    <t>SOM30007</t>
  </si>
  <si>
    <t>10063938</t>
  </si>
  <si>
    <t>2098</t>
  </si>
  <si>
    <t>Cutting Ring DN 180 / Anillo de Corte DN 180</t>
  </si>
  <si>
    <t>10140388</t>
  </si>
  <si>
    <t>2100</t>
  </si>
  <si>
    <t>Cutting Ring DN 220 / Anillo de Corte DN 220</t>
  </si>
  <si>
    <t>SOM30010</t>
  </si>
  <si>
    <t>10181040</t>
  </si>
  <si>
    <t>2101</t>
  </si>
  <si>
    <t>Cutting Ring DN 230 / Anillo de Corte DN 230</t>
  </si>
  <si>
    <t>SOM30011</t>
  </si>
  <si>
    <t>10181039</t>
  </si>
  <si>
    <t>2102</t>
  </si>
  <si>
    <t>CYL Weld 1200-2020-2023 / Soldadura de Cilindro 1200-2020-2023</t>
  </si>
  <si>
    <t>SOM30118</t>
  </si>
  <si>
    <t>10031419</t>
  </si>
  <si>
    <t>2103</t>
  </si>
  <si>
    <t>CYL Weld 2023 120X2000 / Soldadura de Cilindro 2023 120X2000</t>
  </si>
  <si>
    <t>SOM30117</t>
  </si>
  <si>
    <t>10164039 / 10031493</t>
  </si>
  <si>
    <t>2104</t>
  </si>
  <si>
    <t>CYL Weld 2023 130X2000 / Soldadura de Cilindro 2023 130X2000</t>
  </si>
  <si>
    <t>SOM30119</t>
  </si>
  <si>
    <t>10023480</t>
  </si>
  <si>
    <t>2105</t>
  </si>
  <si>
    <t>CYL Weld 2525 120X2500 / Soldadura de Cilindro 2525 120X2500</t>
  </si>
  <si>
    <t>SOM30120</t>
  </si>
  <si>
    <t>10164039</t>
  </si>
  <si>
    <t>2107</t>
  </si>
  <si>
    <t>Cylinder Block / Bloque de Cilindros</t>
  </si>
  <si>
    <t>SOM30116</t>
  </si>
  <si>
    <t>10023297</t>
  </si>
  <si>
    <t>2112</t>
  </si>
  <si>
    <t>Delivery Cylinder DN 180 X 1518 / Cilindro de Entrega DN 180 X 1518</t>
  </si>
  <si>
    <t>SOM30076</t>
  </si>
  <si>
    <t>10009770</t>
  </si>
  <si>
    <t>2114</t>
  </si>
  <si>
    <t>Delivery Cylinder DN 200 X 2125 / Cilindro de Entrega DN 200 X 2125</t>
  </si>
  <si>
    <t>SOM30077</t>
  </si>
  <si>
    <t>10025660</t>
  </si>
  <si>
    <t>2115</t>
  </si>
  <si>
    <t>Delivery Cylinder DN 230 X 2000 / Cilindro de Entrega DN 230 X 2000</t>
  </si>
  <si>
    <t>SOM30082</t>
  </si>
  <si>
    <t>10077052</t>
  </si>
  <si>
    <t>2116</t>
  </si>
  <si>
    <t>Delivery Cylinder DN 230 X 2133 / Cilindro de Entrega DN 230 X 2133</t>
  </si>
  <si>
    <t>SOM30079</t>
  </si>
  <si>
    <t>10019377 / 10202132</t>
  </si>
  <si>
    <t>2117</t>
  </si>
  <si>
    <t>Delivery Cylinder DN 250 X 2500 / Cilindro de Entrega DN 250 X 2500</t>
  </si>
  <si>
    <t>SOM30080</t>
  </si>
  <si>
    <t>10202132</t>
  </si>
  <si>
    <t>2118</t>
  </si>
  <si>
    <t>SOM30083</t>
  </si>
  <si>
    <t>10163541</t>
  </si>
  <si>
    <t>2120</t>
  </si>
  <si>
    <t>Delivery Tube DN 150 1600 MM / Tubo de Entrega DN 150 1600 MM</t>
  </si>
  <si>
    <t>SOM30260</t>
  </si>
  <si>
    <t>10116091</t>
  </si>
  <si>
    <t>2121</t>
  </si>
  <si>
    <t>Differential Cylinder 110/63 / Cilindro Diferencial 110/63</t>
  </si>
  <si>
    <t>SOM30115</t>
  </si>
  <si>
    <t>10023261</t>
  </si>
  <si>
    <t>2122</t>
  </si>
  <si>
    <t>Differential Cylinder 1200-2023 125/80 / Cilindro Diferencial 1200-2023 125/80</t>
  </si>
  <si>
    <t>SOM30112</t>
  </si>
  <si>
    <t>10031423</t>
  </si>
  <si>
    <t>2123</t>
  </si>
  <si>
    <t>Differential Cylinder 2023 120/80X2000 / Cilindro Diferencial 2023 120/80X2000</t>
  </si>
  <si>
    <t>SOM30111</t>
  </si>
  <si>
    <t>10031492</t>
  </si>
  <si>
    <t>2124</t>
  </si>
  <si>
    <t>Differential Cylinder 2023 130/80X2000 / Cilindro Diferencial 2023 130/80X2000</t>
  </si>
  <si>
    <t>SOM30113</t>
  </si>
  <si>
    <t>10023479</t>
  </si>
  <si>
    <t>2125</t>
  </si>
  <si>
    <t>Differential Cylinder 2525 120/85X2500 / Cilindro Diferencial 2525 120/85X2500</t>
  </si>
  <si>
    <t>SOM30114</t>
  </si>
  <si>
    <t>10164038</t>
  </si>
  <si>
    <t>2130</t>
  </si>
  <si>
    <t>Elbow 20 Degree 5,5" / Codo 20 Grados 5,5"</t>
  </si>
  <si>
    <t>SOM30267</t>
  </si>
  <si>
    <t>10002894</t>
  </si>
  <si>
    <t>2132</t>
  </si>
  <si>
    <t>ELBOW 32,5 DEGREE 6" R=230 ZL GREEN</t>
  </si>
  <si>
    <t>CODO 32.5 GRADOS 6" R=230 ZL VERDE</t>
  </si>
  <si>
    <t>SOM30273</t>
  </si>
  <si>
    <t>10215835</t>
  </si>
  <si>
    <t>2134</t>
  </si>
  <si>
    <t>Elbow 45 Degree 6" / Codo 45 Grados 6"</t>
  </si>
  <si>
    <t>SOM30271</t>
  </si>
  <si>
    <t>10116496</t>
  </si>
  <si>
    <t>2135</t>
  </si>
  <si>
    <t>Elbow 50 Degree 6" R=230 / Codo 50 Grados 6" R=230</t>
  </si>
  <si>
    <t>SOM30272</t>
  </si>
  <si>
    <t>10103894</t>
  </si>
  <si>
    <t>2136</t>
  </si>
  <si>
    <t>Elbow 90 Degree 5,5" R=275 / Codo 90 Grados 5,5" R=275</t>
  </si>
  <si>
    <t>SOM30270</t>
  </si>
  <si>
    <t>10010479</t>
  </si>
  <si>
    <t>2138</t>
  </si>
  <si>
    <t>Elbow 90 Degree with 14cm Extension 5,5" / Codo 90 Grados con Extensión de 14cm 5,5"</t>
  </si>
  <si>
    <t>SOM30352</t>
  </si>
  <si>
    <t>2148</t>
  </si>
  <si>
    <t>End Hose 4 MT Double Flange 5,5" / Manguera Final 4 MT Doble Brida 5,5"</t>
  </si>
  <si>
    <t>SOM30301</t>
  </si>
  <si>
    <t>10006573</t>
  </si>
  <si>
    <t>2149</t>
  </si>
  <si>
    <t>End Hose 4 MT Single Flange 5,5" / Manguera Final 4 MT Brida Simple 5,5"</t>
  </si>
  <si>
    <t>SOM30300</t>
  </si>
  <si>
    <t>10095720</t>
  </si>
  <si>
    <t>2151</t>
  </si>
  <si>
    <t>Extension 200 MM / Extensión 200 MM</t>
  </si>
  <si>
    <t>SOM30204</t>
  </si>
  <si>
    <t>10007497</t>
  </si>
  <si>
    <t>2155</t>
  </si>
  <si>
    <t>Filter Element / Elemento de Filtro</t>
  </si>
  <si>
    <t>SOM30288</t>
  </si>
  <si>
    <t>10072797</t>
  </si>
  <si>
    <t>2165</t>
  </si>
  <si>
    <t>Flange Coupling / Acoplamiento de Brida</t>
  </si>
  <si>
    <t>SOM30098</t>
  </si>
  <si>
    <t>10011849</t>
  </si>
  <si>
    <t>2166</t>
  </si>
  <si>
    <t>Flanged Bearing Closed / Cojinete con Brida Cerrado</t>
  </si>
  <si>
    <t>SOM30176</t>
  </si>
  <si>
    <t>10017747</t>
  </si>
  <si>
    <t>2167</t>
  </si>
  <si>
    <t>Flanged Bearing Open / Cojinete con Brida Abierto</t>
  </si>
  <si>
    <t>SOM30177</t>
  </si>
  <si>
    <t>10004182</t>
  </si>
  <si>
    <t>2169</t>
  </si>
  <si>
    <t>Flanged Shaft (Gear Side) / Eje con Brida (Lado del Engranaje)</t>
  </si>
  <si>
    <t>SOM30179</t>
  </si>
  <si>
    <t>10004173</t>
  </si>
  <si>
    <t>2173</t>
  </si>
  <si>
    <t>Guide Bushing / Casquillo Guía</t>
  </si>
  <si>
    <t>SOM30137</t>
  </si>
  <si>
    <t>10004874</t>
  </si>
  <si>
    <t>2175</t>
  </si>
  <si>
    <t>Guide Bushing 1200-2023 / Casquillo Guía 1200-2023</t>
  </si>
  <si>
    <t>SOM30135</t>
  </si>
  <si>
    <t>10165544</t>
  </si>
  <si>
    <t>2176</t>
  </si>
  <si>
    <t>Guide Bushing 2023 120/80 / Casquillo Guía 2023 120/80</t>
  </si>
  <si>
    <t>SOM30136</t>
  </si>
  <si>
    <t>10202071</t>
  </si>
  <si>
    <t>2182</t>
  </si>
  <si>
    <t>Housing Ling DN135 Outlet Side / Alojamiento Ling DN135 Lado de Salida</t>
  </si>
  <si>
    <t>SOM30027</t>
  </si>
  <si>
    <t>10025851</t>
  </si>
  <si>
    <t>2187</t>
  </si>
  <si>
    <t>Hydraulic Piston / Pistón Hidráulico</t>
  </si>
  <si>
    <t>SOM30126</t>
  </si>
  <si>
    <t>10003722</t>
  </si>
  <si>
    <t>2190</t>
  </si>
  <si>
    <t>Hydraulic Piston 130/80 / Pistón Hidráulico 130/80</t>
  </si>
  <si>
    <t>SOM30129</t>
  </si>
  <si>
    <t>10015414</t>
  </si>
  <si>
    <t>2191</t>
  </si>
  <si>
    <t>Hydraulic Pump A7VO107LH / Bomba Hidráulica A7VO107LH</t>
  </si>
  <si>
    <t>SOM30312</t>
  </si>
  <si>
    <t>10155096</t>
  </si>
  <si>
    <t>2192</t>
  </si>
  <si>
    <t>Hydraulic Pump A7VO80RLH1/63LH / Bomba Hidráulica A7VO80RLH1/63LH</t>
  </si>
  <si>
    <t>SOM30311</t>
  </si>
  <si>
    <t>10155094</t>
  </si>
  <si>
    <t>2196</t>
  </si>
  <si>
    <t>Locking Cap DN 250 / Tapa de Bloqueo DN 250</t>
  </si>
  <si>
    <t>SOM30047</t>
  </si>
  <si>
    <t>10060782</t>
  </si>
  <si>
    <t>2203</t>
  </si>
  <si>
    <t>Piston Bolt / Perno de Pistón</t>
  </si>
  <si>
    <t>SOM30192</t>
  </si>
  <si>
    <t>10001069</t>
  </si>
  <si>
    <t>2204</t>
  </si>
  <si>
    <t>Piston Bushing / Casquillo de Pistón</t>
  </si>
  <si>
    <t>SOM30190</t>
  </si>
  <si>
    <t>10001081</t>
  </si>
  <si>
    <t>2207</t>
  </si>
  <si>
    <t>Piston Disc / Disco de Pistón</t>
  </si>
  <si>
    <t>SOM30196</t>
  </si>
  <si>
    <t>10001075</t>
  </si>
  <si>
    <t>2209</t>
  </si>
  <si>
    <t>Piston Ram DN 180 New Type / Ariete de Pistón DN 180 Nuevo Tipo</t>
  </si>
  <si>
    <t>SOM30101</t>
  </si>
  <si>
    <t>10061781</t>
  </si>
  <si>
    <t>2210</t>
  </si>
  <si>
    <t>Piston Ram DN 200 / Ariete de Pistón DN 200</t>
  </si>
  <si>
    <t>SOM30105</t>
  </si>
  <si>
    <t>10043826</t>
  </si>
  <si>
    <t>2213</t>
  </si>
  <si>
    <t>Piston Ring / Anillo de Pistón</t>
  </si>
  <si>
    <t>SOM30130</t>
  </si>
  <si>
    <t>10007990</t>
  </si>
  <si>
    <t>2214</t>
  </si>
  <si>
    <t>Piston Ring 1203 / Anillo de Pistón 1203</t>
  </si>
  <si>
    <t>SOM30132</t>
  </si>
  <si>
    <t>10007052</t>
  </si>
  <si>
    <t>2217</t>
  </si>
  <si>
    <t>Piston Rod 2525 85x2792 / Vástago de Pistón 2525 85x2792</t>
  </si>
  <si>
    <t>SOM30123</t>
  </si>
  <si>
    <t>10164040</t>
  </si>
  <si>
    <t>2218</t>
  </si>
  <si>
    <t>Piston Rod 75x2292/16-50 / Vástago de Pistón 75x2292/16-50</t>
  </si>
  <si>
    <t>SOM30125</t>
  </si>
  <si>
    <t>10176360</t>
  </si>
  <si>
    <t>2220</t>
  </si>
  <si>
    <t>Plunger Housing / Alojamiento del Émbolo</t>
  </si>
  <si>
    <t>SOM30186</t>
  </si>
  <si>
    <t>10001231</t>
  </si>
  <si>
    <t>2221</t>
  </si>
  <si>
    <t>SOM30187</t>
  </si>
  <si>
    <t>10012975</t>
  </si>
  <si>
    <t>2228</t>
  </si>
  <si>
    <t>Reduction Piece DN250/220 / Pieza de Reducción DN250/220</t>
  </si>
  <si>
    <t>SOM30019</t>
  </si>
  <si>
    <t>2229</t>
  </si>
  <si>
    <t>Repair Kit for Hyproo Water Pump / Kit de Reparación para Bomba de Agua Hyproo</t>
  </si>
  <si>
    <t>SOM30215</t>
  </si>
  <si>
    <t>3430-511P</t>
  </si>
  <si>
    <t>2232</t>
  </si>
  <si>
    <t>Rock DN 210/180 - Extrta Welded / Rock DN 210/180 - Extra Soldado</t>
  </si>
  <si>
    <t>SOM30036</t>
  </si>
  <si>
    <t>10059467</t>
  </si>
  <si>
    <t>2234</t>
  </si>
  <si>
    <t>Rock Paddle / Paleta de Roca</t>
  </si>
  <si>
    <t>SOM30159</t>
  </si>
  <si>
    <t>2238</t>
  </si>
  <si>
    <t>Roller Water Pump / Bomba de Agua de Rodillos</t>
  </si>
  <si>
    <t>SOM30214</t>
  </si>
  <si>
    <t>10012942 / 10164399</t>
  </si>
  <si>
    <t>2239</t>
  </si>
  <si>
    <t>Round Steel Stirrup / Estribo de Acero Redondo</t>
  </si>
  <si>
    <t>SOM30282</t>
  </si>
  <si>
    <t>10010238</t>
  </si>
  <si>
    <t>2241</t>
  </si>
  <si>
    <t>Seal 6" / Sello de 6"</t>
  </si>
  <si>
    <t>SOM30245</t>
  </si>
  <si>
    <t>10006403</t>
  </si>
  <si>
    <t>2242</t>
  </si>
  <si>
    <t>Seal Kidney DN 150 / Sello Riñón DN 150</t>
  </si>
  <si>
    <t>SOM30042</t>
  </si>
  <si>
    <t>10140380</t>
  </si>
  <si>
    <t>2244</t>
  </si>
  <si>
    <t>Seal Set for Slewing Cylinder / Juego de Sellos para Cilindro de Giro</t>
  </si>
  <si>
    <t>SOM30075</t>
  </si>
  <si>
    <t>10064750</t>
  </si>
  <si>
    <t>2245</t>
  </si>
  <si>
    <t>Sealing 5,5" / Sellado 5,5"</t>
  </si>
  <si>
    <t>SOM30277</t>
  </si>
  <si>
    <t>2247</t>
  </si>
  <si>
    <t>Sealing Cone / Cono de Sellado</t>
  </si>
  <si>
    <t>SOM30168</t>
  </si>
  <si>
    <t>10004928</t>
  </si>
  <si>
    <t>2249</t>
  </si>
  <si>
    <t>Sealing Ring / Anillo de Sellado</t>
  </si>
  <si>
    <t>SOM30194</t>
  </si>
  <si>
    <t>10001102</t>
  </si>
  <si>
    <t>2255</t>
  </si>
  <si>
    <t>Setting Disc / Disco de Ajuste</t>
  </si>
  <si>
    <t>SOM30030</t>
  </si>
  <si>
    <t>10017396</t>
  </si>
  <si>
    <t>2260</t>
  </si>
  <si>
    <t>Slewing Lever DN 210/180 / Palanca de Giro DN 210/180</t>
  </si>
  <si>
    <t>SOM30046</t>
  </si>
  <si>
    <t>2263</t>
  </si>
  <si>
    <t>Slewing Shaft / Eje de Giro</t>
  </si>
  <si>
    <t>SOM30038</t>
  </si>
  <si>
    <t>10180090</t>
  </si>
  <si>
    <t>2266</t>
  </si>
  <si>
    <t>Spacing Ring / Anillo Espaciador</t>
  </si>
  <si>
    <t>SOM30195</t>
  </si>
  <si>
    <t>10001097</t>
  </si>
  <si>
    <t>2272</t>
  </si>
  <si>
    <t>Support Bushing / Casquillo de Soporte</t>
  </si>
  <si>
    <t>SOM30026</t>
  </si>
  <si>
    <t>10025626</t>
  </si>
  <si>
    <t>2280</t>
  </si>
  <si>
    <t>Tapered Tube DN 150-125 3000 MM / Tubo Cónico DN 150-125 3000 MM</t>
  </si>
  <si>
    <t>SOM30264</t>
  </si>
  <si>
    <t>10008470</t>
  </si>
  <si>
    <t>2281</t>
  </si>
  <si>
    <t>Tapered Tube DN 180-150 1500MM / Tubo Cónico DN 180-150 1500MM</t>
  </si>
  <si>
    <t>SOM30257</t>
  </si>
  <si>
    <t>10201401</t>
  </si>
  <si>
    <t>2285</t>
  </si>
  <si>
    <t>Tension Ring / Anillo de Tensión</t>
  </si>
  <si>
    <t>SOM30143</t>
  </si>
  <si>
    <t>10004877</t>
  </si>
  <si>
    <t>2286</t>
  </si>
  <si>
    <t>Tension Ring 120/85 / Anillo de Tensión 120/85</t>
  </si>
  <si>
    <t>SOM30145</t>
  </si>
  <si>
    <t>10205704</t>
  </si>
  <si>
    <t>2287</t>
  </si>
  <si>
    <t>Tension Ring 1200-2023 / Anillo de Tensión 1200-2023</t>
  </si>
  <si>
    <t>SOM30142</t>
  </si>
  <si>
    <t>10017497</t>
  </si>
  <si>
    <t>2288</t>
  </si>
  <si>
    <t>Tension Ring 2525 120/85 / Anillo de Tensión 2525 120/85</t>
  </si>
  <si>
    <t>SOM30144</t>
  </si>
  <si>
    <t>10164043</t>
  </si>
  <si>
    <t>2300</t>
  </si>
  <si>
    <t>Wearing Insert DN 180 / Inserto de Desgaste DN 180</t>
  </si>
  <si>
    <t>SOM30003</t>
  </si>
  <si>
    <t>10129807</t>
  </si>
  <si>
    <t>2301</t>
  </si>
  <si>
    <t>Wearing Insert DN 200 / Inserto de Desgaste DN 200</t>
  </si>
  <si>
    <t>SOM30004</t>
  </si>
  <si>
    <t>10074707</t>
  </si>
  <si>
    <t>2302</t>
  </si>
  <si>
    <t>Wearing Insert DN 230 / Inserto de Desgaste DN 230</t>
  </si>
  <si>
    <t>SOM30005</t>
  </si>
  <si>
    <t>10074708</t>
  </si>
  <si>
    <t>2303</t>
  </si>
  <si>
    <t>Wearing Insert DN 250 / Inserto de Desgaste DN 250</t>
  </si>
  <si>
    <t>SOM30006</t>
  </si>
  <si>
    <t>10138580</t>
  </si>
  <si>
    <t>2329</t>
  </si>
  <si>
    <t>75045880269</t>
  </si>
  <si>
    <t>Aerador para silo de cemento</t>
  </si>
  <si>
    <t>U0252</t>
  </si>
  <si>
    <t>2341</t>
  </si>
  <si>
    <t>P26007</t>
  </si>
  <si>
    <t>2342</t>
  </si>
  <si>
    <t>75045880418</t>
  </si>
  <si>
    <t>Horquilla de cilindro automático - avanzado</t>
  </si>
  <si>
    <t>PACY-3.5X8C</t>
  </si>
  <si>
    <t>2349</t>
  </si>
  <si>
    <t>75045880499</t>
  </si>
  <si>
    <t>vibrador eléctrico tipo houston</t>
  </si>
  <si>
    <t>VIB-46</t>
  </si>
  <si>
    <t>2353</t>
  </si>
  <si>
    <t>75045880500</t>
  </si>
  <si>
    <t>Viradores eléctricos 220V, 1Ph, 3000 RPM</t>
  </si>
  <si>
    <t>MVE 60/3M DE FC: 66KG</t>
  </si>
  <si>
    <t>2356</t>
  </si>
  <si>
    <t>2357</t>
  </si>
  <si>
    <t>2358</t>
  </si>
  <si>
    <t>Axiel Fan for Oil Cooler 10" / Ventilador Axial para Enfriador de Aceite 10"</t>
  </si>
  <si>
    <t>MIX10101</t>
  </si>
  <si>
    <t>2359</t>
  </si>
  <si>
    <t>Axiel Fan for Oil Cooler 11" / Ventilador Axial para Enfriador de Aceite 11"</t>
  </si>
  <si>
    <t>MIX10102</t>
  </si>
  <si>
    <t>2360</t>
  </si>
  <si>
    <t>Axiel Fan for Oil Cooler 12" / Ventilador Axial para Enfriador de Aceite 12"</t>
  </si>
  <si>
    <t>MIX10103</t>
  </si>
  <si>
    <t>2361</t>
  </si>
  <si>
    <t>Balance Ball / Bola de Equilibrio</t>
  </si>
  <si>
    <t>MIX10154</t>
  </si>
  <si>
    <t>Componentes de Transmisión</t>
  </si>
  <si>
    <t>2362</t>
  </si>
  <si>
    <t>Bearing 6305 / Rodamiento 6305</t>
  </si>
  <si>
    <t>MIX10011</t>
  </si>
  <si>
    <t>2363</t>
  </si>
  <si>
    <t>Cable 10 MT. / Cable 10 MT.</t>
  </si>
  <si>
    <t>MIX10043</t>
  </si>
  <si>
    <t>2364</t>
  </si>
  <si>
    <t>Cable 10,5 MT. / Cable 10,5 MT.</t>
  </si>
  <si>
    <t>MIX10044</t>
  </si>
  <si>
    <t>2365</t>
  </si>
  <si>
    <t>Cable 11 MT. / Cable 11 MT.</t>
  </si>
  <si>
    <t>MIX10045</t>
  </si>
  <si>
    <t>2366</t>
  </si>
  <si>
    <t>Cable 11,5 MT. / Cable 11,5 MT.</t>
  </si>
  <si>
    <t>MIX10046</t>
  </si>
  <si>
    <t>2367</t>
  </si>
  <si>
    <t>Cable 12 MT. / Cable 12 MT.</t>
  </si>
  <si>
    <t>MIX10047</t>
  </si>
  <si>
    <t>2368</t>
  </si>
  <si>
    <t>Cable 4 MT. / Cable 4 MT.</t>
  </si>
  <si>
    <t>MIX10031</t>
  </si>
  <si>
    <t>2369</t>
  </si>
  <si>
    <t>Cable 4,5 MT. / Cable 4,5 MT.</t>
  </si>
  <si>
    <t>MIX10032</t>
  </si>
  <si>
    <t>2370</t>
  </si>
  <si>
    <t>Cable 5 MT. / Cable 5 MT.</t>
  </si>
  <si>
    <t>MIX10033</t>
  </si>
  <si>
    <t>2371</t>
  </si>
  <si>
    <t>Cable 5,5 MT. / Cable 5,5 MT.</t>
  </si>
  <si>
    <t>MIX10034</t>
  </si>
  <si>
    <t>2372</t>
  </si>
  <si>
    <t>Cable 6 MT. / Cable 6 MT.</t>
  </si>
  <si>
    <t>MIX10035</t>
  </si>
  <si>
    <t>2373</t>
  </si>
  <si>
    <t>Cable 6,5 MT. / Cable 6,5 MT.</t>
  </si>
  <si>
    <t>MIX10036</t>
  </si>
  <si>
    <t>2374</t>
  </si>
  <si>
    <t>Cable 7 MT. / Cable 7 MT.</t>
  </si>
  <si>
    <t>MIX10037</t>
  </si>
  <si>
    <t>2375</t>
  </si>
  <si>
    <t>Cable 7,5 MT. / Cable 7,5 MT.</t>
  </si>
  <si>
    <t>MIX10038</t>
  </si>
  <si>
    <t>2376</t>
  </si>
  <si>
    <t>Cable 8 MT. / Cable 8 MT.</t>
  </si>
  <si>
    <t>MIX10039</t>
  </si>
  <si>
    <t>2377</t>
  </si>
  <si>
    <t>Cable 8,5 MT. / Cable 8,5 MT.</t>
  </si>
  <si>
    <t>MIX10040</t>
  </si>
  <si>
    <t>2378</t>
  </si>
  <si>
    <t>Cable 9 MT. / Cable 9 MT.</t>
  </si>
  <si>
    <t>MIX10041</t>
  </si>
  <si>
    <t>2379</t>
  </si>
  <si>
    <t>Cable 9,5 MT. / Cable 9,5 MT.</t>
  </si>
  <si>
    <t>MIX10042</t>
  </si>
  <si>
    <t>2380</t>
  </si>
  <si>
    <t>Chut Handle Mechanic / Mango Mecánico de Tolva</t>
  </si>
  <si>
    <t>MIX10099</t>
  </si>
  <si>
    <t>610000</t>
  </si>
  <si>
    <t>2381</t>
  </si>
  <si>
    <t>Chut Holder / Soporte de Tolva</t>
  </si>
  <si>
    <t>MIX10147</t>
  </si>
  <si>
    <t>Componentes de Descarga</t>
  </si>
  <si>
    <t>2382</t>
  </si>
  <si>
    <t>Chut Lock Set / Juego de Bloqueo de Tolva</t>
  </si>
  <si>
    <t>MIX10149</t>
  </si>
  <si>
    <t>Componentes de Bloqueo</t>
  </si>
  <si>
    <t>2383</t>
  </si>
  <si>
    <t>Chut Short LT Type / Tolva Corta Tipo LT</t>
  </si>
  <si>
    <t>MIX10135</t>
  </si>
  <si>
    <t>2384</t>
  </si>
  <si>
    <t>Chut Step for Sheet Iron / Escalón de Tolva para Chapa de Hierro</t>
  </si>
  <si>
    <t>MIX10148</t>
  </si>
  <si>
    <t>2385</t>
  </si>
  <si>
    <t>Chute Hydraulic Complete / Hidráulico de Tolva Completo</t>
  </si>
  <si>
    <t>MIX10087</t>
  </si>
  <si>
    <t>2386</t>
  </si>
  <si>
    <t>Control Box Double / Caja de Control Doble</t>
  </si>
  <si>
    <t>MIX10028</t>
  </si>
  <si>
    <t>2387</t>
  </si>
  <si>
    <t>Control Box Single / Caja de Control Simple</t>
  </si>
  <si>
    <t>MIX10027</t>
  </si>
  <si>
    <t>2388</t>
  </si>
  <si>
    <t>Discharge Chut Complete LT Type / Tolva de Descarga Completa Tipo LT</t>
  </si>
  <si>
    <t>MIX10118</t>
  </si>
  <si>
    <t>2389</t>
  </si>
  <si>
    <t>Drum Roller Plastic Cover Q280 / Cubierta de Plástico para Rodillo de Tambor Q280</t>
  </si>
  <si>
    <t>MIX10086</t>
  </si>
  <si>
    <t>2390</t>
  </si>
  <si>
    <t>Echo Lid Seal / Sello de Tapa Echo</t>
  </si>
  <si>
    <t>MIX10160</t>
  </si>
  <si>
    <t>2391</t>
  </si>
  <si>
    <t>Extension Chut LT Type / Extensión de Tolva Tipo LT</t>
  </si>
  <si>
    <t>MIX10136</t>
  </si>
  <si>
    <t>2392</t>
  </si>
  <si>
    <t>Fan for Oil Cooler 4 Wings / Ventilador para Enfriador de Aceite 4 Aspas</t>
  </si>
  <si>
    <t>MIX10104</t>
  </si>
  <si>
    <t>2393</t>
  </si>
  <si>
    <t>Filling Chut Complete / Tolva de Llenado Completa</t>
  </si>
  <si>
    <t>MIX10116</t>
  </si>
  <si>
    <t>2394</t>
  </si>
  <si>
    <t>Gear for C30 Water Pump / Engranaje para Bomba de Agua C30</t>
  </si>
  <si>
    <t>MIX10007</t>
  </si>
  <si>
    <t>LRCL0043J7</t>
  </si>
  <si>
    <t>2395</t>
  </si>
  <si>
    <t>Hydraulic Chut Hose / Manguera de Tolva Hidráulica</t>
  </si>
  <si>
    <t>MIX10094</t>
  </si>
  <si>
    <t>2396</t>
  </si>
  <si>
    <t>MIX10089</t>
  </si>
  <si>
    <t>2397</t>
  </si>
  <si>
    <t>Hydraulic Pump / Bomba Hidráulica</t>
  </si>
  <si>
    <t>MIX10090</t>
  </si>
  <si>
    <t>2398</t>
  </si>
  <si>
    <t>Hydraulic Tank 1LT / Tanque Hidráulico 1LT</t>
  </si>
  <si>
    <t>MIX10095</t>
  </si>
  <si>
    <t>2399</t>
  </si>
  <si>
    <t>Hydraulic Tank Handle / Asa de Tanque Hidráulico</t>
  </si>
  <si>
    <t>MIX10091</t>
  </si>
  <si>
    <t>2400</t>
  </si>
  <si>
    <t>Impeller C30 Water Pump / Impulsor Bomba de Agua C30</t>
  </si>
  <si>
    <t>MIX10006</t>
  </si>
  <si>
    <t>LRCL0043J3</t>
  </si>
  <si>
    <t>2401</t>
  </si>
  <si>
    <t>Impeller Shaft C30 Water Pump / Eje Impulsor Bomba de Agua C30</t>
  </si>
  <si>
    <t>MIX10005</t>
  </si>
  <si>
    <t>LRCL0042J6</t>
  </si>
  <si>
    <t>2403</t>
  </si>
  <si>
    <t>Long Fiber for Extension Chut / Fibra Larga para Extensión de Tolva</t>
  </si>
  <si>
    <t>MIX10145</t>
  </si>
  <si>
    <t>2404</t>
  </si>
  <si>
    <t>Metal Coupling for Balance Ball 23 Teeth / Acoplamiento Metálico para Bola de Equilibrio 23 Dientes</t>
  </si>
  <si>
    <t>MIX10155</t>
  </si>
  <si>
    <t>Componentes de Acoplamiento</t>
  </si>
  <si>
    <t>2405</t>
  </si>
  <si>
    <t>Mini Valve for C30 Water Pump / Mini Válvula para Bomba de Agua C30</t>
  </si>
  <si>
    <t>MIX10012</t>
  </si>
  <si>
    <t>2406</t>
  </si>
  <si>
    <t>Mixer Felt 125x180x13/49 / Fieltro Mezclador 125x180x13/49</t>
  </si>
  <si>
    <t>MIX10158</t>
  </si>
  <si>
    <t>2407</t>
  </si>
  <si>
    <t>Mixer Felt 145x215x14/65 / Fieltro Mezclador 145x215x14/65</t>
  </si>
  <si>
    <t>MIX10159</t>
  </si>
  <si>
    <t>2408</t>
  </si>
  <si>
    <t>Oil Cooler Complete / Enfriador de Aceite Completo</t>
  </si>
  <si>
    <t>MIX10100</t>
  </si>
  <si>
    <t>2409</t>
  </si>
  <si>
    <t>Oil Filter / Filtro de Aceite</t>
  </si>
  <si>
    <t>MIX10105</t>
  </si>
  <si>
    <t>2410</t>
  </si>
  <si>
    <t>P.T.O shaft L:63cm D.F:10cm (6 Hole) / Eje TDF L:63cm D.F:10cm (6 Agujeros)</t>
  </si>
  <si>
    <t>MIX10217</t>
  </si>
  <si>
    <t>2411</t>
  </si>
  <si>
    <t>P.T.O shaft L:72cm D.F:10cm (6 Hole) / Eje TDF L:72cm D.F:10cm (6 Agujeros)</t>
  </si>
  <si>
    <t>MIX10218</t>
  </si>
  <si>
    <t>2412</t>
  </si>
  <si>
    <t>Plastic Coupling Groove Type / Acoplamiento Plástico Tipo Ranura</t>
  </si>
  <si>
    <t>MIX10009</t>
  </si>
  <si>
    <t>851515</t>
  </si>
  <si>
    <t>2413</t>
  </si>
  <si>
    <t>Repair Kit of C30 Water Pump (L&amp;T Type) / Kit de Reparación de Bomba de Agua C30 (Tipo L&amp;T)</t>
  </si>
  <si>
    <t>MIX10002</t>
  </si>
  <si>
    <t>LRCL0048J0</t>
  </si>
  <si>
    <t>2414</t>
  </si>
  <si>
    <t>Roller (Q200 x 110 x 100) External / Rodillo (Q200 x 110 x 100) Externo</t>
  </si>
  <si>
    <t>MIX10071</t>
  </si>
  <si>
    <t>2415</t>
  </si>
  <si>
    <t>Roller (Q200 X 110 X 105) Complete / Rodillo (Q200 X 110 X 105) Completo</t>
  </si>
  <si>
    <t>MIX10055</t>
  </si>
  <si>
    <t>30517153000</t>
  </si>
  <si>
    <t>2416</t>
  </si>
  <si>
    <t>Roller (Q200 x 110 x 105) External / Rodillo (Q200 x 110 x 105) Externo</t>
  </si>
  <si>
    <t>MIX10067</t>
  </si>
  <si>
    <t>2417</t>
  </si>
  <si>
    <t>Roller (Q220 X 110 X 90) Complete / Rodillo (Q220 X 110 X 90) Completo</t>
  </si>
  <si>
    <t>MIX10050</t>
  </si>
  <si>
    <t>30317010000</t>
  </si>
  <si>
    <t>2418</t>
  </si>
  <si>
    <t>Roller (Q220 x 110 x 90) External / Rodillo (Q220 x 110 x 90) Externo</t>
  </si>
  <si>
    <t>MIX10062</t>
  </si>
  <si>
    <t>2419</t>
  </si>
  <si>
    <t>Roller (Q245 X 130 X 120) Complete / Rodillo (Q245 X 130 X 120) Completo</t>
  </si>
  <si>
    <t>MIX10056</t>
  </si>
  <si>
    <t>30817805000</t>
  </si>
  <si>
    <t>2420</t>
  </si>
  <si>
    <t>Roller (Q245 x 130 x 120) External / Rodillo (Q245 x 130 x 120) Externo</t>
  </si>
  <si>
    <t>MIX10068</t>
  </si>
  <si>
    <t>30817885000</t>
  </si>
  <si>
    <t>2421</t>
  </si>
  <si>
    <t>Roller (Q250 X 110 X 92) Complete / Rodillo (Q250 X 110 X 92) Completo</t>
  </si>
  <si>
    <t>MIX10053</t>
  </si>
  <si>
    <t>P10050019</t>
  </si>
  <si>
    <t>2422</t>
  </si>
  <si>
    <t>Roller (Q250 x 110 x 92) External / Rodillo (Q250 x 110 x 92) Externo</t>
  </si>
  <si>
    <t>MIX10065</t>
  </si>
  <si>
    <t>2423</t>
  </si>
  <si>
    <t>Roller (Q250 X 130 X 100) Complete / Rodillo (Q250 X 130 X 100) Completo</t>
  </si>
  <si>
    <t>MIX10058</t>
  </si>
  <si>
    <t>2424</t>
  </si>
  <si>
    <t>Roller (Q250 x 130 x 100) External / Rodillo (Q250 x 130 x 100) Externo</t>
  </si>
  <si>
    <t>MIX10072</t>
  </si>
  <si>
    <t>2425</t>
  </si>
  <si>
    <t>Roller (Q250 X 130 X 120) Complete / Rodillo (Q250 X 130 X 120) Completo</t>
  </si>
  <si>
    <t>MIX10052</t>
  </si>
  <si>
    <t>4191005</t>
  </si>
  <si>
    <t>2426</t>
  </si>
  <si>
    <t>Roller (Q250 x 130 x 120) External / Rodillo (Q250 x 130 x 120) Externo</t>
  </si>
  <si>
    <t>MIX10064</t>
  </si>
  <si>
    <t>941491805</t>
  </si>
  <si>
    <t>2427</t>
  </si>
  <si>
    <t>Roller (Q250 x 130 x 145) External / Rodillo (Q250 x 130 x 145) Externo</t>
  </si>
  <si>
    <t>MIX10070</t>
  </si>
  <si>
    <t>2428</t>
  </si>
  <si>
    <t>Roller (Q250 X 160 X 110) Complete / Rodillo (Q250 X 160 X 110) Completo</t>
  </si>
  <si>
    <t>MIX10051</t>
  </si>
  <si>
    <t>5320300</t>
  </si>
  <si>
    <t>2429</t>
  </si>
  <si>
    <t>Roller (Q250 x 160 x 110) External / Rodillo (Q250 x 160 x 110) Externo</t>
  </si>
  <si>
    <t>MIX10063</t>
  </si>
  <si>
    <t>60306854</t>
  </si>
  <si>
    <t>2430</t>
  </si>
  <si>
    <t>Roller (Q260 X 110 X 100) Complete / Rodillo (Q260 X 110 X 100) Completo</t>
  </si>
  <si>
    <t>MIX10059</t>
  </si>
  <si>
    <t>2431</t>
  </si>
  <si>
    <t>Roller (Q280 X 110 X 90) Complete / Rodillo (Q280 X 110 X 90) Completo</t>
  </si>
  <si>
    <t>MIX10048</t>
  </si>
  <si>
    <t>30917010000</t>
  </si>
  <si>
    <t>2432</t>
  </si>
  <si>
    <t>Roller (Q280 X 110 X 90) External / Rodillo (Q280 X 110 X 90) Externo</t>
  </si>
  <si>
    <t>MIX10060</t>
  </si>
  <si>
    <t>2433</t>
  </si>
  <si>
    <t>Roller (Q280 X 160 X 110) Complete / Rodillo (Q280 X 160 X 110) Completo</t>
  </si>
  <si>
    <t>MIX10054</t>
  </si>
  <si>
    <t>30317112000</t>
  </si>
  <si>
    <t>2434</t>
  </si>
  <si>
    <t>Roller (Q280 x 160 x 110) External / Rodillo (Q280 x 160 x 110) Externo</t>
  </si>
  <si>
    <t>MIX10066</t>
  </si>
  <si>
    <t>3031712000</t>
  </si>
  <si>
    <t>2435</t>
  </si>
  <si>
    <t>Roller (Q280 X 160 X 90) Complete / Rodillo (Q280 X 160 X 90) Completo</t>
  </si>
  <si>
    <t>MIX10049</t>
  </si>
  <si>
    <t>30617010000</t>
  </si>
  <si>
    <t>2436</t>
  </si>
  <si>
    <t>Roller (Q280 X 160 X 90) External / Rodillo (Q280 X 160 X 90) Externo</t>
  </si>
  <si>
    <t>MIX10061</t>
  </si>
  <si>
    <t>2437</t>
  </si>
  <si>
    <t>Roller Karde Type (Q180 X 130 X 100) Complete / Rodillo Tipo Karde (Q180 X 130 X 100) Completo</t>
  </si>
  <si>
    <t>MIX10057</t>
  </si>
  <si>
    <t>2438</t>
  </si>
  <si>
    <t>Roller Karde Type (Q180 x 130 x 100) External / Rodillo Tipo Karde (Q180 x 130 x 100) Externo</t>
  </si>
  <si>
    <t>MIX10069</t>
  </si>
  <si>
    <t>2439</t>
  </si>
  <si>
    <t>S HOSE 60 MM / Manguera S 60 MM</t>
  </si>
  <si>
    <t>MIX10204</t>
  </si>
  <si>
    <t>Componentes de Tuberías</t>
  </si>
  <si>
    <t>2440</t>
  </si>
  <si>
    <t>Seal for V Chut 168 / Sello para Tolva en V 168</t>
  </si>
  <si>
    <t>MIX10132</t>
  </si>
  <si>
    <t>2441</t>
  </si>
  <si>
    <t>Seal Set for C30 Water Pump / Juego de Sellos para Bomba de Agua C30</t>
  </si>
  <si>
    <t>MIX10008</t>
  </si>
  <si>
    <t>LRCL0042J5</t>
  </si>
  <si>
    <t>2442</t>
  </si>
  <si>
    <t>Short Fiber for Short Chut / Fibra Corta para Tolva Corta</t>
  </si>
  <si>
    <t>MIX30146</t>
  </si>
  <si>
    <t>2443</t>
  </si>
  <si>
    <t>Transmitter Cable Type 55 Degree / Cable de Transmisor Tipo 55 Grados</t>
  </si>
  <si>
    <t>MIX10108</t>
  </si>
  <si>
    <t>2444</t>
  </si>
  <si>
    <t>Transmitter Long Type 55 Degree / Transmisor Tipo Largo 55 Grados</t>
  </si>
  <si>
    <t>MIX10107</t>
  </si>
  <si>
    <t>2445</t>
  </si>
  <si>
    <t>Transmitter Short Type 55 Degree / Transmisor Tipo Corto 55 Grados</t>
  </si>
  <si>
    <t>MIX10106</t>
  </si>
  <si>
    <t>2446</t>
  </si>
  <si>
    <t>V Chut Complete / Tolva en V Completa</t>
  </si>
  <si>
    <t>MIX10117</t>
  </si>
  <si>
    <t>2448</t>
  </si>
  <si>
    <t>Water Hose Nozzle / Boquilla de Manguera de Agua</t>
  </si>
  <si>
    <t>MIX10201</t>
  </si>
  <si>
    <t>2449</t>
  </si>
  <si>
    <t>Water Pump C30 Double Bearing (L&amp;T Type) / Bomba de Agua C30 Doble Rodamiento (Tipo L&amp;T)</t>
  </si>
  <si>
    <t>MIX10001</t>
  </si>
  <si>
    <t>LRCL0048J9</t>
  </si>
  <si>
    <t>2450</t>
  </si>
  <si>
    <t>Water Pump CIFA Gear Type / Bomba de Agua Tipo Engranaje CIFA</t>
  </si>
  <si>
    <t>MIX10020</t>
  </si>
  <si>
    <t>28432300</t>
  </si>
  <si>
    <t>2451</t>
  </si>
  <si>
    <t>Water Pump Gear Type NSTII / Bomba de Agua Tipo Engranaje NSTII</t>
  </si>
  <si>
    <t>MIX10013</t>
  </si>
  <si>
    <t>78519</t>
  </si>
  <si>
    <t>2452</t>
  </si>
  <si>
    <t>Water Pump Shaft Type / Bomba de Agua Tipo Eje</t>
  </si>
  <si>
    <t>MIX10024</t>
  </si>
  <si>
    <t>75931</t>
  </si>
  <si>
    <t>2490</t>
  </si>
  <si>
    <t>2.5" CONCRETE WASHOUT BALL</t>
  </si>
  <si>
    <t>PELOTA DE LIMPIEZA 2.5"</t>
  </si>
  <si>
    <t>2111</t>
  </si>
  <si>
    <t>Delivery Cylinder DN 160 / Cilindro de Entrega DN 160</t>
  </si>
  <si>
    <t>SOM30081</t>
  </si>
  <si>
    <t>10006180</t>
  </si>
  <si>
    <t>2317</t>
  </si>
  <si>
    <t>75045880450</t>
  </si>
  <si>
    <t>Caja de lechada con 50 sobres - rinde 50 servicios</t>
  </si>
  <si>
    <t>BCPRIME</t>
  </si>
  <si>
    <t>Sold out</t>
  </si>
  <si>
    <t>1000</t>
  </si>
  <si>
    <t>MIRLLA/TUBO DE PLASTICO P/TANQUE DE AGUA</t>
  </si>
  <si>
    <t>4014174622</t>
  </si>
  <si>
    <t>To Re-purchase</t>
  </si>
  <si>
    <t>1001</t>
  </si>
  <si>
    <t xml:space="preserve">MAIN CHUTE </t>
  </si>
  <si>
    <t xml:space="preserve">CANALON PRINCIPAL MTM-TIPO NUEVO </t>
  </si>
  <si>
    <t>440.152625</t>
  </si>
  <si>
    <t>1002</t>
  </si>
  <si>
    <t xml:space="preserve">FOLDOVER CHUTE </t>
  </si>
  <si>
    <t>CANALON SECUNDARIO MTM- TIPO NUEVO</t>
  </si>
  <si>
    <t>440.152630</t>
  </si>
  <si>
    <t>1003</t>
  </si>
  <si>
    <t>PRIMERED STEEL CHUTE</t>
  </si>
  <si>
    <t>EXTENSION DE CANALON MTM-TIPO NUEVO</t>
  </si>
  <si>
    <t>440.82300</t>
  </si>
  <si>
    <t>1004</t>
  </si>
  <si>
    <t xml:space="preserve">STANDARD OR FLIP-UP CHARGE HOPPER </t>
  </si>
  <si>
    <t xml:space="preserve">CONO DE CARGA </t>
  </si>
  <si>
    <t>153370</t>
  </si>
  <si>
    <t>1006</t>
  </si>
  <si>
    <t>ALUMINUM CHUTE HOLD DOWN HANDLE WITH 10IN RUBBER STRAP</t>
  </si>
  <si>
    <t xml:space="preserve">ENSAMBLE DE LIGA Y GANCHO DE PLASTICO </t>
  </si>
  <si>
    <t>780.82629</t>
  </si>
  <si>
    <t>1008</t>
  </si>
  <si>
    <t>75045891008</t>
  </si>
  <si>
    <t xml:space="preserve">MCNEILUS MTM 3-7/8" DRUM ROLLER </t>
  </si>
  <si>
    <t xml:space="preserve">RODILLO SOLO MTM 3-7/8" </t>
  </si>
  <si>
    <t>150442</t>
  </si>
  <si>
    <t>1009</t>
  </si>
  <si>
    <t>75045891009</t>
  </si>
  <si>
    <t>DRUM ROLLER SHAFT 8IN OVERALL LENGTH</t>
  </si>
  <si>
    <t>BARRA DE RODILLO MTM 8"</t>
  </si>
  <si>
    <t>150443</t>
  </si>
  <si>
    <t>1010</t>
  </si>
  <si>
    <t>75045891010</t>
  </si>
  <si>
    <t>DRUM ROLLER LOCKNUT</t>
  </si>
  <si>
    <t>TUERCA DE SEGURIDAD MTM</t>
  </si>
  <si>
    <t>1030670</t>
  </si>
  <si>
    <t>1011</t>
  </si>
  <si>
    <t>75045891011</t>
  </si>
  <si>
    <t>LONDON DRUM ROLLER ASSEMBLY 4-3/4"</t>
  </si>
  <si>
    <t>RODILLO SOLO LONDON 4-3/4"</t>
  </si>
  <si>
    <t>28852-C</t>
  </si>
  <si>
    <t>1013</t>
  </si>
  <si>
    <t>75045891013</t>
  </si>
  <si>
    <t>REAR CONTROL BOX LEVER ARM</t>
  </si>
  <si>
    <t xml:space="preserve">PALANCA SIN AGARRADERA </t>
  </si>
  <si>
    <t>153885</t>
  </si>
  <si>
    <t>1014</t>
  </si>
  <si>
    <t>75045891014</t>
  </si>
  <si>
    <t>ELECTRICAL SWITCH W/PIGTAIL MOMENTARY</t>
  </si>
  <si>
    <t>SWITCH COLA DE RATA RETRACTIL</t>
  </si>
  <si>
    <t>85693HW</t>
  </si>
  <si>
    <t>1015</t>
  </si>
  <si>
    <t>75045891015</t>
  </si>
  <si>
    <t xml:space="preserve">ELECTRICAL SWITCH W/PIGTAIL </t>
  </si>
  <si>
    <t>SWITCH COLA DE RATA ESTATICO</t>
  </si>
  <si>
    <t>110195HW</t>
  </si>
  <si>
    <t>1016</t>
  </si>
  <si>
    <t>75045891016</t>
  </si>
  <si>
    <t>ELECTRIC TOGGLE SWITCH  ON/OFF/ON</t>
  </si>
  <si>
    <t>SWITCH ELECTRICO ON/OFF</t>
  </si>
  <si>
    <t>189135</t>
  </si>
  <si>
    <t>1017</t>
  </si>
  <si>
    <t>7504891017</t>
  </si>
  <si>
    <t>PRESSURE SWITCH</t>
  </si>
  <si>
    <t xml:space="preserve">SWITCH CONTROL ACELERACION  </t>
  </si>
  <si>
    <t>110215</t>
  </si>
  <si>
    <t xml:space="preserve">060.110215 </t>
  </si>
  <si>
    <t>1018</t>
  </si>
  <si>
    <t>7504891018</t>
  </si>
  <si>
    <t xml:space="preserve">FLECHA TRANSMISION DE OLLA 42" </t>
  </si>
  <si>
    <t>MTM0000740</t>
  </si>
  <si>
    <t>1019</t>
  </si>
  <si>
    <t>7504891019</t>
  </si>
  <si>
    <t>COMPLETE DTUM ROLLER ASSEMBLY</t>
  </si>
  <si>
    <t>RODILLO COMPLETO REX/CHALLENGE</t>
  </si>
  <si>
    <t>5002358</t>
  </si>
  <si>
    <t>1057</t>
  </si>
  <si>
    <t>7504891057</t>
  </si>
  <si>
    <t>HYDRAULIC OIL THERMOMETER SIGHT GAUGE</t>
  </si>
  <si>
    <t xml:space="preserve">MARCADOR TEMPERATURA REX  </t>
  </si>
  <si>
    <t>2980218156</t>
  </si>
  <si>
    <t>1060</t>
  </si>
  <si>
    <t>TYPE PUMP AND MOTOR SHAFT SEAL KIT</t>
  </si>
  <si>
    <t>KIT SELLOS PARA EJE DE BOMBA EATON / TIPO RETEN</t>
  </si>
  <si>
    <t>990709</t>
  </si>
  <si>
    <t>1061</t>
  </si>
  <si>
    <t>KIT SELLOS PARA PISTON CANALON</t>
  </si>
  <si>
    <t>25121</t>
  </si>
  <si>
    <t>1063</t>
  </si>
  <si>
    <t>7504891063</t>
  </si>
  <si>
    <t>START SWITCH BRACKET ASSEMBLY</t>
  </si>
  <si>
    <t>ENSAMBLE INTERRUPTOR DE ARRANQUE</t>
  </si>
  <si>
    <t>73412</t>
  </si>
  <si>
    <t>1064</t>
  </si>
  <si>
    <t>7504891064</t>
  </si>
  <si>
    <t xml:space="preserve">START SWITCH </t>
  </si>
  <si>
    <t>INTERRUPTOR ARRANQUE</t>
  </si>
  <si>
    <t>106784</t>
  </si>
  <si>
    <t>1066</t>
  </si>
  <si>
    <t>75045891066</t>
  </si>
  <si>
    <t>SOLENOID VALVE COIL 12V</t>
  </si>
  <si>
    <t>BOBINA LEVANTE DE CANALON (COIL)</t>
  </si>
  <si>
    <t>CAP012D</t>
  </si>
  <si>
    <t>1067</t>
  </si>
  <si>
    <t>75045891067</t>
  </si>
  <si>
    <t>BOBINA SUN HYDRAULICS 12VDC (COIL)</t>
  </si>
  <si>
    <t>760212</t>
  </si>
  <si>
    <t>1068</t>
  </si>
  <si>
    <t>BOBINA DYNACHUTE M-179</t>
  </si>
  <si>
    <t>106749</t>
  </si>
  <si>
    <t>70089</t>
  </si>
  <si>
    <t>1071</t>
  </si>
  <si>
    <t>BOBINA COMMAND CONTROLS E83758#E200N (COIL)</t>
  </si>
  <si>
    <t>1072</t>
  </si>
  <si>
    <t>75045891072</t>
  </si>
  <si>
    <t>SELENOIDE 3 POSTES DYNACHUTE M-719 TIPO VIEJO</t>
  </si>
  <si>
    <t>73336A</t>
  </si>
  <si>
    <t>1073</t>
  </si>
  <si>
    <t>75045891073</t>
  </si>
  <si>
    <t>SWITCH PRESION HIDRAULICA</t>
  </si>
  <si>
    <t>11021</t>
  </si>
  <si>
    <t>1074</t>
  </si>
  <si>
    <t>75045891074</t>
  </si>
  <si>
    <t xml:space="preserve">TEMPERATURE SENSOR </t>
  </si>
  <si>
    <t>SENSOR TEMPERATURA PARA ACEITE HIDRAULICO</t>
  </si>
  <si>
    <t>189134</t>
  </si>
  <si>
    <t>1075</t>
  </si>
  <si>
    <t>75045891075</t>
  </si>
  <si>
    <t>MIXER DOUBLE ACTING CHUTE LIFT CYLINDER</t>
  </si>
  <si>
    <t>PISTON CANALON ACCION DOBLE</t>
  </si>
  <si>
    <t>107596</t>
  </si>
  <si>
    <t>1076</t>
  </si>
  <si>
    <t>75045891076</t>
  </si>
  <si>
    <t>CUENTA LISTROS PARA OLLA DE 1" DIGITAL</t>
  </si>
  <si>
    <t>31801</t>
  </si>
  <si>
    <t>1077</t>
  </si>
  <si>
    <t>75045891077</t>
  </si>
  <si>
    <t>BREKE CHAMBER T30/30</t>
  </si>
  <si>
    <t>ROTO CHAMBER T30/30</t>
  </si>
  <si>
    <t>T30/30</t>
  </si>
  <si>
    <t>1078</t>
  </si>
  <si>
    <t>75045891078</t>
  </si>
  <si>
    <t>NTN MAIN BEARING WITH BRASS CAGE ZF</t>
  </si>
  <si>
    <t>BALERO SECCIONADO PARA REDUCTOR ZF</t>
  </si>
  <si>
    <t>2P2206</t>
  </si>
  <si>
    <t>1079</t>
  </si>
  <si>
    <t>75045891079</t>
  </si>
  <si>
    <t>CYLINDRICAL ROLLER BEARING</t>
  </si>
  <si>
    <t>BALERO REDUCTOR ZF</t>
  </si>
  <si>
    <t>F801806</t>
  </si>
  <si>
    <t>1080</t>
  </si>
  <si>
    <t>75045891080</t>
  </si>
  <si>
    <t>DRUM HATCH GASKET</t>
  </si>
  <si>
    <t>EMPAQUE ESCOTILLA RECTANGULAR</t>
  </si>
  <si>
    <t>215208</t>
  </si>
  <si>
    <t>1081</t>
  </si>
  <si>
    <t>75045891081</t>
  </si>
  <si>
    <t>MIXER DRUM DRIVE INPUT SHAFT ZF</t>
  </si>
  <si>
    <t>FLECHA REDUCTOR ZF</t>
  </si>
  <si>
    <t>4108-301-450</t>
  </si>
  <si>
    <t>4108301450</t>
  </si>
  <si>
    <t>1083</t>
  </si>
  <si>
    <t>75045891083</t>
  </si>
  <si>
    <t>GEARBOX GASKET</t>
  </si>
  <si>
    <t>EMPAQUE REDUCTOR ZF</t>
  </si>
  <si>
    <t>4108-306-172</t>
  </si>
  <si>
    <t>4108306172</t>
  </si>
  <si>
    <t>1084</t>
  </si>
  <si>
    <t>75045891084</t>
  </si>
  <si>
    <t>ZF SUNGEAR FOR P-7300</t>
  </si>
  <si>
    <t>BARRA DENTADA REDUCTOR ZF</t>
  </si>
  <si>
    <t>4108-303-296</t>
  </si>
  <si>
    <t>4108303296</t>
  </si>
  <si>
    <t>1086</t>
  </si>
  <si>
    <t>75045891086</t>
  </si>
  <si>
    <t>ZF 1.5748IN INNR DIAMETER BALL BUSHING</t>
  </si>
  <si>
    <t>BALERO ROTULA PARA REDUCTOR</t>
  </si>
  <si>
    <t>0635-285-013</t>
  </si>
  <si>
    <t>0635285013</t>
  </si>
  <si>
    <t>1087</t>
  </si>
  <si>
    <t>75045891087</t>
  </si>
  <si>
    <t>MANGUERA 3/4" PARA AGUA 8MTS</t>
  </si>
  <si>
    <t>A121045</t>
  </si>
  <si>
    <t>1088</t>
  </si>
  <si>
    <t>75045891088</t>
  </si>
  <si>
    <t>ZF GEARBOX MAIN SEAL RING</t>
  </si>
  <si>
    <t>ANILLO RESPALDO PARA REDUCTOR ZF</t>
  </si>
  <si>
    <t>1089</t>
  </si>
  <si>
    <t>75045891089</t>
  </si>
  <si>
    <t>CONTROL MTM 3 SWITCHES</t>
  </si>
  <si>
    <t>108052</t>
  </si>
  <si>
    <t>1090</t>
  </si>
  <si>
    <t>75045891090</t>
  </si>
  <si>
    <t>FOCO AUXILIAR</t>
  </si>
  <si>
    <t>10007247</t>
  </si>
  <si>
    <t>1091</t>
  </si>
  <si>
    <t>75045891091</t>
  </si>
  <si>
    <t>FOCO AUXILIAR LED</t>
  </si>
  <si>
    <t>L16-0069</t>
  </si>
  <si>
    <t>1092</t>
  </si>
  <si>
    <t>75045891092</t>
  </si>
  <si>
    <t>OLLA CAPACIDA 8MT3</t>
  </si>
  <si>
    <t>Olla</t>
  </si>
  <si>
    <t>1093</t>
  </si>
  <si>
    <t>75045891093</t>
  </si>
  <si>
    <t>WATER TANK 100GAL  ALUMINUM SF</t>
  </si>
  <si>
    <t>TANQUE AGUA 100GAL</t>
  </si>
  <si>
    <t>TANQUE 100GAL</t>
  </si>
  <si>
    <t>1094</t>
  </si>
  <si>
    <t>75045891094</t>
  </si>
  <si>
    <t>PEDESTAL TRASERO (NO INCLUYE ACCESORIOS)</t>
  </si>
  <si>
    <t>PEDESTAL TRASERO</t>
  </si>
  <si>
    <t>1095</t>
  </si>
  <si>
    <t>75045891095</t>
  </si>
  <si>
    <t>KIT CUENTA VUELTAS PARA OLLA</t>
  </si>
  <si>
    <t>1429581</t>
  </si>
  <si>
    <t>1113</t>
  </si>
  <si>
    <t>75045891113</t>
  </si>
  <si>
    <t>BALERO P/REDUCTOR ZF</t>
  </si>
  <si>
    <t>0750-116-322</t>
  </si>
  <si>
    <t>0750116322</t>
  </si>
  <si>
    <t>1125</t>
  </si>
  <si>
    <t>75045880305</t>
  </si>
  <si>
    <t>MIXER DRUM DRIVE GEARBOX SIGHT OIL PLUG</t>
  </si>
  <si>
    <t>MIRILLA PARA REDUCTOR ZF</t>
  </si>
  <si>
    <t>0632-610-066</t>
  </si>
  <si>
    <t>063261006</t>
  </si>
  <si>
    <t>1134</t>
  </si>
  <si>
    <t>75045891134</t>
  </si>
  <si>
    <t>ZF GEARBOX INPUT BALL BEARING</t>
  </si>
  <si>
    <t>0750-116-277</t>
  </si>
  <si>
    <t>0750116277</t>
  </si>
  <si>
    <t>1139</t>
  </si>
  <si>
    <t>75045891139</t>
  </si>
  <si>
    <t>ROCK VALVE DN 210/180</t>
  </si>
  <si>
    <t>VALVULA ROCK DN210/180</t>
  </si>
  <si>
    <t>1141</t>
  </si>
  <si>
    <t>75045891141</t>
  </si>
  <si>
    <t xml:space="preserve">FLANGED SHAFT BEARING SIDE </t>
  </si>
  <si>
    <t>BARRA CON TOPE</t>
  </si>
  <si>
    <t>10004178</t>
  </si>
  <si>
    <t>1142</t>
  </si>
  <si>
    <t>75045891142</t>
  </si>
  <si>
    <t>HEX HEAD CAP SCREW BOLT DIN931 M30x150-8.8-A3C</t>
  </si>
  <si>
    <t>TORNILLO VALVULA ROCK</t>
  </si>
  <si>
    <t>10001295</t>
  </si>
  <si>
    <t>1143</t>
  </si>
  <si>
    <t>75045891143</t>
  </si>
  <si>
    <t>LOCK WASHER SAFETY DISC, S 30, BURNISHED</t>
  </si>
  <si>
    <t>RONDANA PARA VALVULA ROCK</t>
  </si>
  <si>
    <t>10015401</t>
  </si>
  <si>
    <t>1144</t>
  </si>
  <si>
    <t>75045891144</t>
  </si>
  <si>
    <t>PISTON CONNECTION</t>
  </si>
  <si>
    <t>CONECTOR PARA EMBOLO PIVOTE</t>
  </si>
  <si>
    <t>10002325</t>
  </si>
  <si>
    <t>1145</t>
  </si>
  <si>
    <t>75045891145</t>
  </si>
  <si>
    <t>BASE PlLATE ASSEMBLY CPL</t>
  </si>
  <si>
    <t>PORTA INSERTOS</t>
  </si>
  <si>
    <t>10146062</t>
  </si>
  <si>
    <t>1146</t>
  </si>
  <si>
    <t>75045891146</t>
  </si>
  <si>
    <t>SMALL HARDENED WEAR PLATE PUMPKIT</t>
  </si>
  <si>
    <t>TRIANGULO CHICO</t>
  </si>
  <si>
    <t>10146064</t>
  </si>
  <si>
    <t>10183641</t>
  </si>
  <si>
    <t>1147</t>
  </si>
  <si>
    <t>75045891147</t>
  </si>
  <si>
    <t>VALVULE GATE 42X15.5</t>
  </si>
  <si>
    <t>DONA CORREDERA VALVULA GATE 42X15.5</t>
  </si>
  <si>
    <t>10004197</t>
  </si>
  <si>
    <t>1148</t>
  </si>
  <si>
    <t>75045891148</t>
  </si>
  <si>
    <t>FORM LACE RING 50X16</t>
  </si>
  <si>
    <t>DONA CORREDERA VALVULA GATE 50X16</t>
  </si>
  <si>
    <t>10001108</t>
  </si>
  <si>
    <t>1149</t>
  </si>
  <si>
    <t>75045891149</t>
  </si>
  <si>
    <t>FLAT GATE VALVE 210/55/30</t>
  </si>
  <si>
    <t>CORREA GRANDE VALVULA GATE</t>
  </si>
  <si>
    <t>10003037</t>
  </si>
  <si>
    <t>1150</t>
  </si>
  <si>
    <t>75045891150</t>
  </si>
  <si>
    <t>FLAT GATE VALVE 180/55/25</t>
  </si>
  <si>
    <t>CORREDERA CHICA VALVULA GATE</t>
  </si>
  <si>
    <t>10002348</t>
  </si>
  <si>
    <t>1151</t>
  </si>
  <si>
    <t>75045891151</t>
  </si>
  <si>
    <t>SHELL CUP BODY 210/55/30</t>
  </si>
  <si>
    <t>PERLA DN210VALVULA GATE</t>
  </si>
  <si>
    <t>10014012</t>
  </si>
  <si>
    <t>1152</t>
  </si>
  <si>
    <t>75045891152</t>
  </si>
  <si>
    <t>SHELL CUP BODY 180/55/25</t>
  </si>
  <si>
    <t>PERLA DN180 VALVULA GATE</t>
  </si>
  <si>
    <t>10014011</t>
  </si>
  <si>
    <t>1153</t>
  </si>
  <si>
    <t>75045891153</t>
  </si>
  <si>
    <t>GUIDE SLEEVE 70X55/68</t>
  </si>
  <si>
    <t>BUJE CORREDERA 70X55/68</t>
  </si>
  <si>
    <t>10013830</t>
  </si>
  <si>
    <t>1154</t>
  </si>
  <si>
    <t>75045891154</t>
  </si>
  <si>
    <t>SLEWING CYLINDER</t>
  </si>
  <si>
    <t>PISTON CAMBIO VALVULA ROCK</t>
  </si>
  <si>
    <t>10094569</t>
  </si>
  <si>
    <t>1155</t>
  </si>
  <si>
    <t>75045891155</t>
  </si>
  <si>
    <t>SEAL KIT FOR SLEWING CYL</t>
  </si>
  <si>
    <t>KIT SELLOS PISTON DE CAMBIO</t>
  </si>
  <si>
    <t>10064756</t>
  </si>
  <si>
    <t>1156</t>
  </si>
  <si>
    <t>75045891156</t>
  </si>
  <si>
    <t>PISTON ROD V-ROCK</t>
  </si>
  <si>
    <t>BARRA PISTON DE CAMBIO V-ROCK</t>
  </si>
  <si>
    <t>10017556</t>
  </si>
  <si>
    <t>1158</t>
  </si>
  <si>
    <t>75045891158</t>
  </si>
  <si>
    <t>SHAFT FOR HYDRAULIC MOTOR</t>
  </si>
  <si>
    <t>BARRA PARA MOTOR AGITADOR CON CUÑA</t>
  </si>
  <si>
    <t>30334088</t>
  </si>
  <si>
    <t>1159</t>
  </si>
  <si>
    <t>75045891159</t>
  </si>
  <si>
    <t>CONNECTION BEND 14 DEGREES</t>
  </si>
  <si>
    <t xml:space="preserve"> CODO 14" TRANSICION ENTRE TOLVA Y CODO BISAGRA</t>
  </si>
  <si>
    <t>1160</t>
  </si>
  <si>
    <t>75045891160</t>
  </si>
  <si>
    <t>TRANSITION PIECE DN 200/200</t>
  </si>
  <si>
    <t>CONECTOR DE TRANSICIONDN200</t>
  </si>
  <si>
    <t>10077886</t>
  </si>
  <si>
    <t>1161</t>
  </si>
  <si>
    <t>VIBRATOR , 24V</t>
  </si>
  <si>
    <t>VIBRADOR 24V PARRILLA PARA BOMBA</t>
  </si>
  <si>
    <t>10072108</t>
  </si>
  <si>
    <t>98416044</t>
  </si>
  <si>
    <t>1162</t>
  </si>
  <si>
    <t>75045891162</t>
  </si>
  <si>
    <t>PERNO SUJETADOR</t>
  </si>
  <si>
    <t>10002386</t>
  </si>
  <si>
    <t>1163</t>
  </si>
  <si>
    <t>75045891163</t>
  </si>
  <si>
    <t>TAPERED BEND DN 180/150</t>
  </si>
  <si>
    <t>CODO BISAGRA</t>
  </si>
  <si>
    <t>10017547</t>
  </si>
  <si>
    <t>1164</t>
  </si>
  <si>
    <t>75045891164</t>
  </si>
  <si>
    <t>SCREW DIN</t>
  </si>
  <si>
    <t>TORNILLO PERNO SUJETADOR SCHWING</t>
  </si>
  <si>
    <t>10018117</t>
  </si>
  <si>
    <t>1165</t>
  </si>
  <si>
    <t>75045891165</t>
  </si>
  <si>
    <t>ELBOW DN 150 M/F JOINT</t>
  </si>
  <si>
    <t>CODO SECUNDARIO 6"X90" CON EXTENSION</t>
  </si>
  <si>
    <t>10069521</t>
  </si>
  <si>
    <t>1166</t>
  </si>
  <si>
    <t>75045891166</t>
  </si>
  <si>
    <t>O-RING 200 x 10 NBR 70</t>
  </si>
  <si>
    <t>O-RING 200X10</t>
  </si>
  <si>
    <t>10000602</t>
  </si>
  <si>
    <t>1167</t>
  </si>
  <si>
    <t>75045891167</t>
  </si>
  <si>
    <t>D SEAL DN 150</t>
  </si>
  <si>
    <t>O-RING 6" DN150</t>
  </si>
  <si>
    <t>1168</t>
  </si>
  <si>
    <t>75045891168</t>
  </si>
  <si>
    <t>REDUCER 6"X6"X1600MM</t>
  </si>
  <si>
    <t>REDUCTOR 6"x5" x 1600MM</t>
  </si>
  <si>
    <t>10029635</t>
  </si>
  <si>
    <t>1169</t>
  </si>
  <si>
    <t>75045891169</t>
  </si>
  <si>
    <t>BUSHING</t>
  </si>
  <si>
    <t>BUJE FLUTACION HORQUILLA PARA CILINDRO DE ROSORTERA</t>
  </si>
  <si>
    <t>10060528</t>
  </si>
  <si>
    <t>1171</t>
  </si>
  <si>
    <t>75045891171</t>
  </si>
  <si>
    <t>GUIDE BUSHING D120/80</t>
  </si>
  <si>
    <t>BUJE D120/80 CILINDRO HIDRAULICO DE BOMBEO</t>
  </si>
  <si>
    <t>10102071</t>
  </si>
  <si>
    <t>1173</t>
  </si>
  <si>
    <t>CONCRETE PUMP CYLINDER DN200x1775</t>
  </si>
  <si>
    <t>CILINDRO BOMBEO DN200x1775</t>
  </si>
  <si>
    <t>10006084</t>
  </si>
  <si>
    <t>1174</t>
  </si>
  <si>
    <t>75045891174</t>
  </si>
  <si>
    <t>CONCRETE PUMP CYLINDER DN200x2125</t>
  </si>
  <si>
    <t>CILINDRO BOMBEO DN200x2125</t>
  </si>
  <si>
    <t>10027875</t>
  </si>
  <si>
    <t>1175</t>
  </si>
  <si>
    <t>75045891175</t>
  </si>
  <si>
    <t>CONCRETE PUMP CYLINDER DN250x2635</t>
  </si>
  <si>
    <t>CILINDRO BOMBEO DN250x2635</t>
  </si>
  <si>
    <t>10178873</t>
  </si>
  <si>
    <t>1176</t>
  </si>
  <si>
    <t>75045891176</t>
  </si>
  <si>
    <t>CONCRETE PUMP CYLINDER DN230X2000</t>
  </si>
  <si>
    <t>CILINDRO BOMBEO DN230x2000</t>
  </si>
  <si>
    <t>10019377</t>
  </si>
  <si>
    <t>1177</t>
  </si>
  <si>
    <t>75045891177</t>
  </si>
  <si>
    <t>TRANSITION PIECE DN 230/210</t>
  </si>
  <si>
    <t>INSERTO O AUMENTO CAÑON DN230</t>
  </si>
  <si>
    <t>10078435</t>
  </si>
  <si>
    <t>1178</t>
  </si>
  <si>
    <t>PISTON ROD 80</t>
  </si>
  <si>
    <t xml:space="preserve">VASTAGO DE BOMBEO DIAMETRO 80MM </t>
  </si>
  <si>
    <t>10015085</t>
  </si>
  <si>
    <t>1179</t>
  </si>
  <si>
    <t>75045891179</t>
  </si>
  <si>
    <t>RAM CONNECTION</t>
  </si>
  <si>
    <t xml:space="preserve">CONECTOR RAM PARA EMBOLO Y VASTAGO </t>
  </si>
  <si>
    <t>10011642</t>
  </si>
  <si>
    <t>1180</t>
  </si>
  <si>
    <t>75045891180</t>
  </si>
  <si>
    <t>RING 90/82.3X3</t>
  </si>
  <si>
    <t>ANILLO CABEZA DE BRONCE 90/82.3X3</t>
  </si>
  <si>
    <t>10007991</t>
  </si>
  <si>
    <t>1181</t>
  </si>
  <si>
    <t>75045891181</t>
  </si>
  <si>
    <t>RING 130/119.2X4</t>
  </si>
  <si>
    <t>ANILLO CABEZA DE BRONCE 130/119.2X4</t>
  </si>
  <si>
    <t>10007056</t>
  </si>
  <si>
    <t>1182</t>
  </si>
  <si>
    <t>75045891182</t>
  </si>
  <si>
    <t>RING 110/100.8X3</t>
  </si>
  <si>
    <t>ANILLO CABEZA DE BRONCE 110/100.8X3</t>
  </si>
  <si>
    <t>1184</t>
  </si>
  <si>
    <t>75045891184</t>
  </si>
  <si>
    <t>RING 125/114.6X4</t>
  </si>
  <si>
    <t>ANILLO CABEZA DE BRONCE 125/114.6X4</t>
  </si>
  <si>
    <t>10007054</t>
  </si>
  <si>
    <t>1186</t>
  </si>
  <si>
    <t>75045891186</t>
  </si>
  <si>
    <t>O-RING 220x3 NBR 70</t>
  </si>
  <si>
    <t>EMPAQUE TIPO O-RING CAÑON 220X3 NBR 70 PARA DN200</t>
  </si>
  <si>
    <t>10000630</t>
  </si>
  <si>
    <t>1187</t>
  </si>
  <si>
    <t>75045891187</t>
  </si>
  <si>
    <t>O-RING 207x3 NBR 70</t>
  </si>
  <si>
    <t>EMPAQUE TIPO O-RING CAÑON 207X3 NBR 70 PARA DN200</t>
  </si>
  <si>
    <t>10014002</t>
  </si>
  <si>
    <t>1188</t>
  </si>
  <si>
    <t>75045891188</t>
  </si>
  <si>
    <t>ORING 270 x 3 NBR 70</t>
  </si>
  <si>
    <t>EMPAQUE TIPO O-RING CAÑON 270X3 NBR  70 PARA DN230</t>
  </si>
  <si>
    <t>10000666</t>
  </si>
  <si>
    <t>1189</t>
  </si>
  <si>
    <t>75045891189</t>
  </si>
  <si>
    <t>ORING 240 x 3 NBR 70</t>
  </si>
  <si>
    <t>EMPAQUE TIPO O-RING CAÑON 240X3 NBR 70 PARA DN230</t>
  </si>
  <si>
    <t>10000650</t>
  </si>
  <si>
    <t>1190</t>
  </si>
  <si>
    <t>75045891190</t>
  </si>
  <si>
    <t>BATTERY 7,2V</t>
  </si>
  <si>
    <t>BATERIA EQUIPO BRASILEÑO</t>
  </si>
  <si>
    <t>10191556</t>
  </si>
  <si>
    <t>1191</t>
  </si>
  <si>
    <t>75045891191</t>
  </si>
  <si>
    <t>GEARBOX G61</t>
  </si>
  <si>
    <t>CAJA DE TRANSFERENCIA COMPLETA CON BOMBA HIDRAULICA RECOSTRUIDA</t>
  </si>
  <si>
    <t>280914000</t>
  </si>
  <si>
    <t>1192</t>
  </si>
  <si>
    <t>75045891192</t>
  </si>
  <si>
    <t>SHAFT FOR TRANSFER BOX 4193</t>
  </si>
  <si>
    <t>BARRA 4193 CAJA TRANSFERENCIA</t>
  </si>
  <si>
    <t>10013033</t>
  </si>
  <si>
    <t>1193</t>
  </si>
  <si>
    <t>75045891193</t>
  </si>
  <si>
    <t>MEGI CONE</t>
  </si>
  <si>
    <t>SOPORTE CAJA TRASFERENCIA- CONE MEGI</t>
  </si>
  <si>
    <t>10020465</t>
  </si>
  <si>
    <t>1194</t>
  </si>
  <si>
    <t>75045891194</t>
  </si>
  <si>
    <t>TORNILLO HUECO 1/2" CON REDONDAS</t>
  </si>
  <si>
    <t>10010282</t>
  </si>
  <si>
    <t>1195</t>
  </si>
  <si>
    <t>75045891195</t>
  </si>
  <si>
    <t>NIPPLES RECUTOR 22MM A 1/4"</t>
  </si>
  <si>
    <t>10008100</t>
  </si>
  <si>
    <t>1196</t>
  </si>
  <si>
    <t>75045891196</t>
  </si>
  <si>
    <t>HYD. FITTING</t>
  </si>
  <si>
    <t>CONECTOR HIDRAULICOS CODO 22MM</t>
  </si>
  <si>
    <t>10008084</t>
  </si>
  <si>
    <t>1197</t>
  </si>
  <si>
    <t>75045891197</t>
  </si>
  <si>
    <t xml:space="preserve">NIPPLE HIDRAULICO 65 12L 3/8" </t>
  </si>
  <si>
    <t>10008083</t>
  </si>
  <si>
    <t>1198</t>
  </si>
  <si>
    <t>75045891198</t>
  </si>
  <si>
    <t>SLIDING CLUTCH 4194/ GEAR BOX SLIDE COUPLING</t>
  </si>
  <si>
    <t>ENGRANE PARA HORQUILLA</t>
  </si>
  <si>
    <t>10004989</t>
  </si>
  <si>
    <t>1199</t>
  </si>
  <si>
    <t>75045891199</t>
  </si>
  <si>
    <t>PUMP HOLLOW PTO SHAFT/ SUPPORT CONCRETE PUMP INPUT GEAR SHAFT</t>
  </si>
  <si>
    <t>BARRA HUECA DENTADA D79/46X168</t>
  </si>
  <si>
    <t>10037454</t>
  </si>
  <si>
    <t>1201</t>
  </si>
  <si>
    <t>75045891201</t>
  </si>
  <si>
    <t>SHAFT COUPLING ASSEMBLY</t>
  </si>
  <si>
    <t>COPLE ENSAMBLE PARA BOMBA DE AGUA-GALLETA</t>
  </si>
  <si>
    <t>30355768</t>
  </si>
  <si>
    <t>1202</t>
  </si>
  <si>
    <t>75045891202</t>
  </si>
  <si>
    <t>RETENES 28X40X6</t>
  </si>
  <si>
    <t>30320067</t>
  </si>
  <si>
    <t>1206</t>
  </si>
  <si>
    <t>75045891206</t>
  </si>
  <si>
    <t>SEALING SET FOR  SLEWING CY</t>
  </si>
  <si>
    <t>SET SELLOS CILINDRO DE GIRO</t>
  </si>
  <si>
    <t>10011802</t>
  </si>
  <si>
    <t>1207</t>
  </si>
  <si>
    <t>75045891207</t>
  </si>
  <si>
    <t>SEAL GLAND SET 45/65x27.5</t>
  </si>
  <si>
    <t>EMPAQUETADURA VASTAGO DE BOMBEO 45/65 X 27.5</t>
  </si>
  <si>
    <t>10007414</t>
  </si>
  <si>
    <t>1208</t>
  </si>
  <si>
    <t xml:space="preserve">SEALING GLAND SET 63/83×37 </t>
  </si>
  <si>
    <t>EMPAQUETADURA VASTAGO DE BOMBEO 63/ 83X37</t>
  </si>
  <si>
    <t>10003423</t>
  </si>
  <si>
    <t>1210</t>
  </si>
  <si>
    <t>75045891210</t>
  </si>
  <si>
    <t>PUMP HYDRAULIC SAFETY VALVE</t>
  </si>
  <si>
    <t xml:space="preserve">VALVULA REGULADORA DE POTENCIA PARA BOMBEO </t>
  </si>
  <si>
    <t>10009673</t>
  </si>
  <si>
    <t>1211</t>
  </si>
  <si>
    <t>WISPER/SCRAPPER RING 45 x 55 x 7</t>
  </si>
  <si>
    <t>RASCADOR (WISPER/SCRAPPER) MEDIDAS 45/55X 7</t>
  </si>
  <si>
    <t>10006804</t>
  </si>
  <si>
    <t>1212</t>
  </si>
  <si>
    <t>WISPER/SCRAPPER RING 63/73x7</t>
  </si>
  <si>
    <t>RASCADOR (WISPER/SCRAPPER) MEDIDAS 63/73 X 7</t>
  </si>
  <si>
    <t>1213</t>
  </si>
  <si>
    <t>WISPER/SCRAPPER RING 80/92.2 X 12</t>
  </si>
  <si>
    <t>RASCADOR (WISPER/SCRAPPER) MEDIDAS 80/92.2 X 12</t>
  </si>
  <si>
    <t>10002329</t>
  </si>
  <si>
    <t>1216</t>
  </si>
  <si>
    <t>WISPER/SCRAPPER RING 55/62 X 7</t>
  </si>
  <si>
    <t>RASCADOR (WISPER/SCRAPPER) MEDIDAS 55/62 X 7</t>
  </si>
  <si>
    <t>10079310</t>
  </si>
  <si>
    <t>1217</t>
  </si>
  <si>
    <t>75045891217</t>
  </si>
  <si>
    <t>GAUGE - HYD, PRESSURE , 0-400 BAR</t>
  </si>
  <si>
    <t>MANOMETRO (GAUGES) PARA MEDIR  PRESION DEL SISTEMA HIDRAULICO 0-400BAR</t>
  </si>
  <si>
    <t>10004662</t>
  </si>
  <si>
    <t>1218</t>
  </si>
  <si>
    <t>75045891218</t>
  </si>
  <si>
    <t>GAUGE - HYD, PRESSURE , 0-250 BAR</t>
  </si>
  <si>
    <t>MANOMETRO (GAUGES) PARA MEDIR  PRESION DEL SISTEMA HIDRAULICO 0-250BAR</t>
  </si>
  <si>
    <t>10004663</t>
  </si>
  <si>
    <t>1219</t>
  </si>
  <si>
    <t>75045891219</t>
  </si>
  <si>
    <t>GAUGE - HYD, PRESSURE , 0-600 BAR</t>
  </si>
  <si>
    <t>MANOMETRO (GAUGES) PARA MEDIR  PRESION DEL SISTEMA HIDRAULICO 0-600BAR</t>
  </si>
  <si>
    <t>10004661</t>
  </si>
  <si>
    <t>1220</t>
  </si>
  <si>
    <t>75045891220</t>
  </si>
  <si>
    <t>KIT WEAR PART DBP-32-D-6/350</t>
  </si>
  <si>
    <t>KIT DE REPARCION VALVULA  REGULADORA DE POTENCIA</t>
  </si>
  <si>
    <t>10045633</t>
  </si>
  <si>
    <t>1221</t>
  </si>
  <si>
    <t>75045891221</t>
  </si>
  <si>
    <t>CYLINDER HEAD SMALL</t>
  </si>
  <si>
    <t>CABEZA PARA CILINDRO PISTON DE VR CHICO</t>
  </si>
  <si>
    <t>10094649</t>
  </si>
  <si>
    <t>10017558</t>
  </si>
  <si>
    <t>1222</t>
  </si>
  <si>
    <t>75045891222</t>
  </si>
  <si>
    <t>CYLINDER HEAD LARGE</t>
  </si>
  <si>
    <t>CABEZA PARA CILINDRO PISTON DE VR GRANDE</t>
  </si>
  <si>
    <t>10017555</t>
  </si>
  <si>
    <t>1226</t>
  </si>
  <si>
    <t>75045891226</t>
  </si>
  <si>
    <t>ORING 250 x 10 NBR 70</t>
  </si>
  <si>
    <t>EMPAQUE TIPO O-RING 250X10 NBR 70</t>
  </si>
  <si>
    <t>10000658</t>
  </si>
  <si>
    <t>1227</t>
  </si>
  <si>
    <t>75045891227</t>
  </si>
  <si>
    <t>ORING 29.2 x 3 NBR 90</t>
  </si>
  <si>
    <t xml:space="preserve">EMPAQUE TIPO O-RING  29.2X3 NBR 90 </t>
  </si>
  <si>
    <t>1000469</t>
  </si>
  <si>
    <t>1228</t>
  </si>
  <si>
    <t>75045891228</t>
  </si>
  <si>
    <t>ORING 70 x 5 NBR 70</t>
  </si>
  <si>
    <t>EMPAQUE TIPO O-RING 70X5 NBR 70</t>
  </si>
  <si>
    <t>10000927</t>
  </si>
  <si>
    <t>1229</t>
  </si>
  <si>
    <t>75045891229</t>
  </si>
  <si>
    <t>HYDRAULIC PISTON D120/80</t>
  </si>
  <si>
    <t>PISTON D120/80 VASTAGO DE BOMBEO</t>
  </si>
  <si>
    <t>10017529</t>
  </si>
  <si>
    <t>1230</t>
  </si>
  <si>
    <t>75045891230</t>
  </si>
  <si>
    <t>HYDRAULIC PISTON D125/80</t>
  </si>
  <si>
    <t>PISTON D125/80 VASTAGO DE BOMBEO</t>
  </si>
  <si>
    <t>10014343</t>
  </si>
  <si>
    <t>1235</t>
  </si>
  <si>
    <t>RUBBER PAD BOOM REST</t>
  </si>
  <si>
    <t>SOPORTE PARA PLUMA 4x 12x 2.5"</t>
  </si>
  <si>
    <t>10033863</t>
  </si>
  <si>
    <t>1237</t>
  </si>
  <si>
    <t>75045891237</t>
  </si>
  <si>
    <t>SPECTACLE WEAR PLATE</t>
  </si>
  <si>
    <t>PLACA DESGASTE</t>
  </si>
  <si>
    <t>229488005</t>
  </si>
  <si>
    <t>1239</t>
  </si>
  <si>
    <t>75045891239</t>
  </si>
  <si>
    <t>MECHANICAL LIMIT SWITCH</t>
  </si>
  <si>
    <t>INTERRUPTOR LIMITADOR</t>
  </si>
  <si>
    <t>63249002</t>
  </si>
  <si>
    <t>1240</t>
  </si>
  <si>
    <t>75045891240</t>
  </si>
  <si>
    <t>MIXER SHAFT</t>
  </si>
  <si>
    <t>BARRA EJE AGITADOR 37.4"</t>
  </si>
  <si>
    <t>243189005</t>
  </si>
  <si>
    <t>1241</t>
  </si>
  <si>
    <t>75045891241</t>
  </si>
  <si>
    <t>BUSH 90*95*60</t>
  </si>
  <si>
    <t>BUJE DE BRONCE PARA GUIA DE ALOJAMIENTO 80MM</t>
  </si>
  <si>
    <t>28550008</t>
  </si>
  <si>
    <t>1242</t>
  </si>
  <si>
    <t>75045891242</t>
  </si>
  <si>
    <t xml:space="preserve">PLASTIC BUSH </t>
  </si>
  <si>
    <t>BUJE PLASTICO</t>
  </si>
  <si>
    <t>235087005</t>
  </si>
  <si>
    <t>1243</t>
  </si>
  <si>
    <t>75045891243</t>
  </si>
  <si>
    <t xml:space="preserve">SEAL SET </t>
  </si>
  <si>
    <t>KIT EMPAQUE PARA CLILINDRO BUZO GIGANTE</t>
  </si>
  <si>
    <t>234994005</t>
  </si>
  <si>
    <t>1244</t>
  </si>
  <si>
    <t>75045891244</t>
  </si>
  <si>
    <t>MIXING PADDLE LEFT</t>
  </si>
  <si>
    <t>PLACA MEZCLADORA IZQUIERDA</t>
  </si>
  <si>
    <t>441541</t>
  </si>
  <si>
    <t>1245</t>
  </si>
  <si>
    <t>75045891245</t>
  </si>
  <si>
    <t>MIXING PADDLE RIGHT</t>
  </si>
  <si>
    <t>PLACA MEZCLADORA DERECHA</t>
  </si>
  <si>
    <t>441540</t>
  </si>
  <si>
    <t>1246</t>
  </si>
  <si>
    <t>75045891246</t>
  </si>
  <si>
    <t>REDUCTION ELBOW SR0342</t>
  </si>
  <si>
    <t>242327004</t>
  </si>
  <si>
    <t>1247</t>
  </si>
  <si>
    <t>75045891247</t>
  </si>
  <si>
    <t>TAPA PARA PUERTO DE BISAGRA</t>
  </si>
  <si>
    <t>1248</t>
  </si>
  <si>
    <t>75045891248</t>
  </si>
  <si>
    <t>ELBOW 6" 90 DEGREE</t>
  </si>
  <si>
    <t>CODO SECUNDARIO 6" x 90°</t>
  </si>
  <si>
    <t>292079001</t>
  </si>
  <si>
    <t>1249</t>
  </si>
  <si>
    <t>75045891249</t>
  </si>
  <si>
    <t>ELBOW 45 DEGREE LONG</t>
  </si>
  <si>
    <t>CODO 5"x 45° CON EXTENSIO</t>
  </si>
  <si>
    <t>427190</t>
  </si>
  <si>
    <t>1250</t>
  </si>
  <si>
    <t>75045891250</t>
  </si>
  <si>
    <t>TIE RID</t>
  </si>
  <si>
    <t>TORNILLO PARA PERNO SUJETADOR</t>
  </si>
  <si>
    <t>264392004</t>
  </si>
  <si>
    <t>1251</t>
  </si>
  <si>
    <t>75045891251</t>
  </si>
  <si>
    <t>COUPLING ASSEMBLY FOR WATER PUMP</t>
  </si>
  <si>
    <t>ENSAMBLE COMPLETO PARA BOMBA DE AGUA Y MOTOR  HIDRAULICO</t>
  </si>
  <si>
    <t>AT139288</t>
  </si>
  <si>
    <t>1252</t>
  </si>
  <si>
    <t>75045891252</t>
  </si>
  <si>
    <t>FLUSHING WATER PUMP</t>
  </si>
  <si>
    <t>BOMBA AGUA SUMERGIBLE</t>
  </si>
  <si>
    <t>404435</t>
  </si>
  <si>
    <t>1253</t>
  </si>
  <si>
    <t>75045891253</t>
  </si>
  <si>
    <t>HYDRAULIC MOTOR 5.5 CM3</t>
  </si>
  <si>
    <t>MOTOR HIDRAULICO 5.5cm3 BOMBA DE AGUA, SUMERGIBLE.</t>
  </si>
  <si>
    <t>229178001</t>
  </si>
  <si>
    <t>1254</t>
  </si>
  <si>
    <t>75045891254</t>
  </si>
  <si>
    <t>SEAL SET FOR HYDRAULIC MOTOR OMH 500</t>
  </si>
  <si>
    <t>KIT SELLO MOTOR AGITADOR OHM 500</t>
  </si>
  <si>
    <t>239696007</t>
  </si>
  <si>
    <t>1255</t>
  </si>
  <si>
    <t>75045891255</t>
  </si>
  <si>
    <t>SHAFT FOR HYDRAULICK MOTOR OMH 500</t>
  </si>
  <si>
    <t>BARRA CON CUÑA MOTOR AGITADOR OHM500 DE CODO CON BISAGRA</t>
  </si>
  <si>
    <t>23813001</t>
  </si>
  <si>
    <t>1259</t>
  </si>
  <si>
    <t>75045891259</t>
  </si>
  <si>
    <t>COUPLING PIECE G61</t>
  </si>
  <si>
    <t>ACOPLAMIENTO PARA CAJA Y COMBA G61</t>
  </si>
  <si>
    <t>258694006</t>
  </si>
  <si>
    <t>G61-F24</t>
  </si>
  <si>
    <t>1260</t>
  </si>
  <si>
    <t>75045891260</t>
  </si>
  <si>
    <t>BUSHING 40,7x60,5x40</t>
  </si>
  <si>
    <t>BUJE GUIA CONECTOR 40.7 X60.5 X 40</t>
  </si>
  <si>
    <t>205220009</t>
  </si>
  <si>
    <t>1261</t>
  </si>
  <si>
    <t>75045891261</t>
  </si>
  <si>
    <t>BALERO GRANDE PARA BOMBA HIDRAULICA A11VO260</t>
  </si>
  <si>
    <t>F207407</t>
  </si>
  <si>
    <t>1262</t>
  </si>
  <si>
    <t>75045891262</t>
  </si>
  <si>
    <t>RNU CYLINDRICAL ROLLER BEARING FOR HYDRAULIC PUMPS</t>
  </si>
  <si>
    <t>BALERO BOMBA HIDRAULICA  A11Vo260</t>
  </si>
  <si>
    <t>F204754 RNU</t>
  </si>
  <si>
    <t>1263</t>
  </si>
  <si>
    <t>75045891263</t>
  </si>
  <si>
    <t>RETEN 45x62x7 PARA BOMBA A7VO55</t>
  </si>
  <si>
    <t>30321870</t>
  </si>
  <si>
    <t>1264</t>
  </si>
  <si>
    <t>75045891264</t>
  </si>
  <si>
    <t>RETEN 50x72x7/7.5</t>
  </si>
  <si>
    <t>30310063</t>
  </si>
  <si>
    <t>1265</t>
  </si>
  <si>
    <t>75045891265</t>
  </si>
  <si>
    <t>RETEN 60x80x7</t>
  </si>
  <si>
    <t>30321872</t>
  </si>
  <si>
    <t>1267</t>
  </si>
  <si>
    <t>75045891267</t>
  </si>
  <si>
    <t>GUIDE RING Q200</t>
  </si>
  <si>
    <t>ANILLO GUIA RETEN DE PISTON DN200</t>
  </si>
  <si>
    <t>080794006</t>
  </si>
  <si>
    <t>1268</t>
  </si>
  <si>
    <t>75045891268</t>
  </si>
  <si>
    <t>DELIVERY PISTON SEAL Q230</t>
  </si>
  <si>
    <t>ANILLO GUIA RETEN DE PISTON DN230</t>
  </si>
  <si>
    <t>080373003</t>
  </si>
  <si>
    <t>1269</t>
  </si>
  <si>
    <t>75045891269</t>
  </si>
  <si>
    <t>LIP SEAL RING 220x240x15</t>
  </si>
  <si>
    <t>RETEN 220</t>
  </si>
  <si>
    <t>247565007</t>
  </si>
  <si>
    <t>1276</t>
  </si>
  <si>
    <t>75045891276</t>
  </si>
  <si>
    <t>FILTER ELEMENT</t>
  </si>
  <si>
    <t>416341</t>
  </si>
  <si>
    <t>1278</t>
  </si>
  <si>
    <t>75045891278</t>
  </si>
  <si>
    <t>248911003</t>
  </si>
  <si>
    <t>1279</t>
  </si>
  <si>
    <t>75045891279</t>
  </si>
  <si>
    <t>222895006</t>
  </si>
  <si>
    <t>1280</t>
  </si>
  <si>
    <t>75045891280</t>
  </si>
  <si>
    <t>BOMBA HIDRAULICA DE PISTON FIJO A2F12</t>
  </si>
  <si>
    <t>63927007</t>
  </si>
  <si>
    <t>1281</t>
  </si>
  <si>
    <t>75045891281</t>
  </si>
  <si>
    <t>HYDRAULIC PUMP A10VO28(13) DR</t>
  </si>
  <si>
    <t>BOMBA HIDRAULICA A10VO28</t>
  </si>
  <si>
    <t>067370003</t>
  </si>
  <si>
    <t>1282</t>
  </si>
  <si>
    <t>75045891282</t>
  </si>
  <si>
    <t>FILTRO PARA PLUMA 30" LG</t>
  </si>
  <si>
    <t>61127003</t>
  </si>
  <si>
    <t>1285</t>
  </si>
  <si>
    <t>75045891285</t>
  </si>
  <si>
    <t>SEAL SET FOR BOOM CYLINDER D115/70</t>
  </si>
  <si>
    <t>KIT SELLOS PARA CILINDRO HIDRAULICO D115/70</t>
  </si>
  <si>
    <t>445760</t>
  </si>
  <si>
    <t>1286</t>
  </si>
  <si>
    <t>75045891286</t>
  </si>
  <si>
    <t>SEAL SET FOR BOOM CYLINDER D200/125</t>
  </si>
  <si>
    <t>KIT SELLOS PARA CILINDRO HIDRAULICO D200/125</t>
  </si>
  <si>
    <t>445769</t>
  </si>
  <si>
    <t>1287</t>
  </si>
  <si>
    <t>75045891287</t>
  </si>
  <si>
    <t>SEAL SET FOR BOOM CYLINDER DN165/105</t>
  </si>
  <si>
    <t>KIT SELLOS PARA CILINDRO HIDRAULICO DN165/105</t>
  </si>
  <si>
    <t>445766</t>
  </si>
  <si>
    <t>1288</t>
  </si>
  <si>
    <t>75045891288</t>
  </si>
  <si>
    <t>SEAL SET FOR BOOM CYLINDER DN225/125</t>
  </si>
  <si>
    <t>KIT SELLOS PARA CILINDRO HIDRAULICO DN225/125</t>
  </si>
  <si>
    <t>445777</t>
  </si>
  <si>
    <t>1289</t>
  </si>
  <si>
    <t>75045891289</t>
  </si>
  <si>
    <t>OUTRIGGER HYDRAULIC CYLINDER SEAL KIT DN-150/DN250</t>
  </si>
  <si>
    <t>KIT SELLOS PARA PISTON ESTABILIZADOR DN-150/DN250</t>
  </si>
  <si>
    <t>088610001</t>
  </si>
  <si>
    <t>1290</t>
  </si>
  <si>
    <t>75045891290</t>
  </si>
  <si>
    <t>OUTRIGGER HYDRAULIC CYLINDER SEAL KIT DN50/40</t>
  </si>
  <si>
    <t>KIT SELLOS PARA PISTON ESTABILIZADOR  DN50/40</t>
  </si>
  <si>
    <t>086085007</t>
  </si>
  <si>
    <t>1291</t>
  </si>
  <si>
    <t>75045891291</t>
  </si>
  <si>
    <t>OUTRIGGER OIL CYLINDER SEAL KIT DN80/63</t>
  </si>
  <si>
    <t>KIT SELLOS PARA PISTON ESTABILIZADOR DN80/63</t>
  </si>
  <si>
    <t>251411008</t>
  </si>
  <si>
    <t>1293</t>
  </si>
  <si>
    <t>SHUTOFF MONOBLOC 310 BAR</t>
  </si>
  <si>
    <t>VALVULA RETENCION 310 BAR</t>
  </si>
  <si>
    <t>251779009</t>
  </si>
  <si>
    <t>1294</t>
  </si>
  <si>
    <t>SHUTOFF MONOBLOC 320 BAR</t>
  </si>
  <si>
    <t>VALVULA RETENCION 320 BAR</t>
  </si>
  <si>
    <t>415655</t>
  </si>
  <si>
    <t>1295</t>
  </si>
  <si>
    <t>SHUTOFF MONOBLOC 350 BAR</t>
  </si>
  <si>
    <t>VALVULA RETENCION 350 BAR</t>
  </si>
  <si>
    <t>412538</t>
  </si>
  <si>
    <t>1296</t>
  </si>
  <si>
    <t>SHUTOFF MONOBLOC 400 BAR</t>
  </si>
  <si>
    <t>VALVULA RETENCION 400 BAR</t>
  </si>
  <si>
    <t>25193000</t>
  </si>
  <si>
    <t>1297</t>
  </si>
  <si>
    <t>SHUTOFF MONOBLOC</t>
  </si>
  <si>
    <t>VALVULA RETENCION 330 BAR</t>
  </si>
  <si>
    <t>413445</t>
  </si>
  <si>
    <t>1298</t>
  </si>
  <si>
    <t>VALVULA RETENCION 360 BAR</t>
  </si>
  <si>
    <t>429736</t>
  </si>
  <si>
    <t>1299</t>
  </si>
  <si>
    <t>Tapon hidráulico</t>
  </si>
  <si>
    <t>54720066</t>
  </si>
  <si>
    <t>1300</t>
  </si>
  <si>
    <t>75045891300</t>
  </si>
  <si>
    <t>MANGUITO DE ACOPLAMIENTO PARA BOMBA HIDRAULICA</t>
  </si>
  <si>
    <t>62589006</t>
  </si>
  <si>
    <t>1301</t>
  </si>
  <si>
    <t>75045891301</t>
  </si>
  <si>
    <t xml:space="preserve">ENGRANE PARA MANGUITO </t>
  </si>
  <si>
    <t>66899006</t>
  </si>
  <si>
    <t>1302</t>
  </si>
  <si>
    <t>75045891302</t>
  </si>
  <si>
    <t>CLUTCH SHAFT</t>
  </si>
  <si>
    <t>FLECHA CAJA DE TRANSFERENCIA G64</t>
  </si>
  <si>
    <t>284949000</t>
  </si>
  <si>
    <t>1305</t>
  </si>
  <si>
    <t>75045891305</t>
  </si>
  <si>
    <t xml:space="preserve">SPLINED SHAFT </t>
  </si>
  <si>
    <t>BARRA DENTADA HUECA</t>
  </si>
  <si>
    <t>284940009</t>
  </si>
  <si>
    <t>1306</t>
  </si>
  <si>
    <t>75045891306</t>
  </si>
  <si>
    <t>REXROTH A4vg125 F69 CHARGE PUMP</t>
  </si>
  <si>
    <t>BOMBAS DE PRECARGA A4vg125 F69</t>
  </si>
  <si>
    <t>A4VG125-F69</t>
  </si>
  <si>
    <t>1307</t>
  </si>
  <si>
    <t>75045891307</t>
  </si>
  <si>
    <t>HYDRAULIC PUMP R A4V125HD</t>
  </si>
  <si>
    <t>BOMBA HIDRAULICA A4VG 125HD ROTACIÓN DERECHA</t>
  </si>
  <si>
    <t>1308</t>
  </si>
  <si>
    <t>75045891308</t>
  </si>
  <si>
    <t>SEAL SET</t>
  </si>
  <si>
    <t>KIT SELLOS</t>
  </si>
  <si>
    <t>445763</t>
  </si>
  <si>
    <t>1309</t>
  </si>
  <si>
    <t>75045891309</t>
  </si>
  <si>
    <t>445764</t>
  </si>
  <si>
    <t>1310</t>
  </si>
  <si>
    <t>75045891310</t>
  </si>
  <si>
    <t>SOLENOID PRESSURE CONTROL VALVE 12V</t>
  </si>
  <si>
    <t>ELECTRO VALVULA 12V / VALVULA SELENOIDE DE RETENCION HIDRAULICA PARA PLACA</t>
  </si>
  <si>
    <t>SWH-G02</t>
  </si>
  <si>
    <t>1311</t>
  </si>
  <si>
    <t>75045891311</t>
  </si>
  <si>
    <t>MUD FLAPS</t>
  </si>
  <si>
    <t>LODERAS</t>
  </si>
  <si>
    <t>441523</t>
  </si>
  <si>
    <t>1312</t>
  </si>
  <si>
    <t>75045891312</t>
  </si>
  <si>
    <t>PROXIMITY SWITCH CONNECTING CABLE 750cm/MULTIPLE PLUG 75CM</t>
  </si>
  <si>
    <t>CABLE SENSOR DE PROXIMIDAD 750cm</t>
  </si>
  <si>
    <t>259748003</t>
  </si>
  <si>
    <t>1313</t>
  </si>
  <si>
    <t>75045891313</t>
  </si>
  <si>
    <t>PROXIMITY SWITCH CONNECTING CABLE 2m/ MULTIPLE PLUG 2m</t>
  </si>
  <si>
    <t>CABLE SENSOR DE PROXIMIDAD 2m</t>
  </si>
  <si>
    <t>257562003</t>
  </si>
  <si>
    <t>1314</t>
  </si>
  <si>
    <t>75045891314</t>
  </si>
  <si>
    <t>PROXIMITY SWITCH CONNECTING CABLE 3m/MULTIPLE PLUG 3m</t>
  </si>
  <si>
    <t>CABLE SENSOR DE PROXIMIDAD 3m</t>
  </si>
  <si>
    <t>257563002</t>
  </si>
  <si>
    <t>1316</t>
  </si>
  <si>
    <t>75045891316</t>
  </si>
  <si>
    <t>SOLENOID 24V</t>
  </si>
  <si>
    <t>SELENOIDE 24V</t>
  </si>
  <si>
    <t>256078006</t>
  </si>
  <si>
    <t>1318</t>
  </si>
  <si>
    <t>75045891318</t>
  </si>
  <si>
    <t xml:space="preserve">TEETH CONCRETE PUMP TRUCK SPARE PARTS </t>
  </si>
  <si>
    <t>ENGRANE PARA CAJA DE TRANSFERENCIA 46T</t>
  </si>
  <si>
    <t>222199003</t>
  </si>
  <si>
    <t>1319</t>
  </si>
  <si>
    <t>75045891319</t>
  </si>
  <si>
    <t>BARRA DENTADA 18 DIENTES PARA CAJA G61</t>
  </si>
  <si>
    <t>66040004</t>
  </si>
  <si>
    <t>1321</t>
  </si>
  <si>
    <t>BUJE PARA BOMBA DE PRECARGA B12 Y F69</t>
  </si>
  <si>
    <t>BUJE B12/F69</t>
  </si>
  <si>
    <t>1322</t>
  </si>
  <si>
    <t>REGULADOR DE AIRE CON MARCADOR</t>
  </si>
  <si>
    <t>P6180731</t>
  </si>
  <si>
    <t>1323</t>
  </si>
  <si>
    <t xml:space="preserve">AIR REGULATOR AND FILTER </t>
  </si>
  <si>
    <t>REGULADOR, FILTRO AIRE Y LUBRICADOR ENSAMBLE</t>
  </si>
  <si>
    <t>NAL-4000-N04-3</t>
  </si>
  <si>
    <t>L32L-04</t>
  </si>
  <si>
    <t>1325</t>
  </si>
  <si>
    <t>75045891325</t>
  </si>
  <si>
    <t>FOUR CHANNEL JB4SS JUNCTION BOX</t>
  </si>
  <si>
    <t>CAJA DE UNION DE 4 CANALES AFTERMARKET</t>
  </si>
  <si>
    <t>BOX JB4S</t>
  </si>
  <si>
    <t>1326</t>
  </si>
  <si>
    <t>Tapón para polea transportadora lenta</t>
  </si>
  <si>
    <t>PM12L26</t>
  </si>
  <si>
    <t>1328</t>
  </si>
  <si>
    <t>BARRA DE 7" COMPLETA CHUMACERA</t>
  </si>
  <si>
    <t>PCA7-5651</t>
  </si>
  <si>
    <t>1330</t>
  </si>
  <si>
    <t>75045891330</t>
  </si>
  <si>
    <t>PRECISION BATCH PLANT IDLERS</t>
  </si>
  <si>
    <t>TRANSPORTADORA DE PRESICION CANALON LENTO</t>
  </si>
  <si>
    <t>PIDL-B4-20TE-30SB</t>
  </si>
  <si>
    <t>1331</t>
  </si>
  <si>
    <t>75045891331</t>
  </si>
  <si>
    <t>PRECISION PULLEY &amp; IDLER</t>
  </si>
  <si>
    <t>TRANSPORTADORA DE PRESION PLANO LENTO</t>
  </si>
  <si>
    <t>PIDL-B5-F-24SB-1</t>
  </si>
  <si>
    <t>1332</t>
  </si>
  <si>
    <t>75045891332</t>
  </si>
  <si>
    <t>SUPERIOR INDUSTRIES C5-20E-36 EQUAL IMPACT TROUGHING IDLER 20  DEDREE FOR 36"BELT</t>
  </si>
  <si>
    <t>TRANSPORTADOR SUPERIOR DE CANALON LENTO</t>
  </si>
  <si>
    <t>PIDL-2030</t>
  </si>
  <si>
    <t>1345</t>
  </si>
  <si>
    <t>BUTTERFLY VALVE 10"</t>
  </si>
  <si>
    <t>PBV-10BRAY</t>
  </si>
  <si>
    <t>1346</t>
  </si>
  <si>
    <t>75045880545</t>
  </si>
  <si>
    <t>2IN TURBO METER ONLY WITH PFT-4E SCALABLE</t>
  </si>
  <si>
    <t>MEDIDOR TURBO 2" CON PFT-4E ESCALABLE CON TRANSMISION</t>
  </si>
  <si>
    <t>258094</t>
  </si>
  <si>
    <t>WCM258094</t>
  </si>
  <si>
    <t>1347</t>
  </si>
  <si>
    <t>75045880406</t>
  </si>
  <si>
    <t>3IN TURBO METER ONLY WITH PFT-4E SCALABLE
PFT-4E Scalable Transmitter</t>
  </si>
  <si>
    <t xml:space="preserve">MEDIDOR TURBO 3" CON PFT-4E CON TRANSMISOR </t>
  </si>
  <si>
    <t>258095</t>
  </si>
  <si>
    <t>WCM258095</t>
  </si>
  <si>
    <t>1348</t>
  </si>
  <si>
    <t>75045880250</t>
  </si>
  <si>
    <t>4IN TURBO METER ONLY WITH PFT-4E SCALABLE</t>
  </si>
  <si>
    <t>MEDIDOR TURBO 4" CON PFT-4E ESCALABLE CON TRANSMISION</t>
  </si>
  <si>
    <t>258141</t>
  </si>
  <si>
    <t>WCM258141</t>
  </si>
  <si>
    <t>1349</t>
  </si>
  <si>
    <t>75045880286</t>
  </si>
  <si>
    <t>2IN TURBO METER ONLY NO TRANSMITTER</t>
  </si>
  <si>
    <t>MEDIDOR TURBO 2" SIN TRANSMISOR</t>
  </si>
  <si>
    <t>258013</t>
  </si>
  <si>
    <t>WCM258013</t>
  </si>
  <si>
    <t>1350</t>
  </si>
  <si>
    <t>75045880407</t>
  </si>
  <si>
    <t>LIMIT SWITCH FOR 4IN TO 16IN BUTTERFLY VALVES</t>
  </si>
  <si>
    <t>LIMPIADOR ACTUADOR NEUMATICO</t>
  </si>
  <si>
    <t>MIC23</t>
  </si>
  <si>
    <t>1352</t>
  </si>
  <si>
    <t>75045880287</t>
  </si>
  <si>
    <t>JET PULSE CARTRIDGE FILTER</t>
  </si>
  <si>
    <t>FILTRO COLECTOR DE POLVO</t>
  </si>
  <si>
    <t>P10245</t>
  </si>
  <si>
    <t>1354</t>
  </si>
  <si>
    <t>75045891354</t>
  </si>
  <si>
    <t xml:space="preserve">FILTER CARTRIDGE   </t>
  </si>
  <si>
    <t>FILTRO CILINDRICO 30X6" PARA SILO DE CEMENTO</t>
  </si>
  <si>
    <t>KFEC2001PP3JC</t>
  </si>
  <si>
    <t>1355</t>
  </si>
  <si>
    <t>75045891355</t>
  </si>
  <si>
    <t>FILTRO DE AIRE COMPACTO</t>
  </si>
  <si>
    <t>P6180618</t>
  </si>
  <si>
    <t>1356</t>
  </si>
  <si>
    <t>750458801356</t>
  </si>
  <si>
    <t>COMPRESSED AIR FILTER: PARTICULATE, 1/2 in NPT, 40 micron, 130 cfm, 150 psi Max Op Pressure</t>
  </si>
  <si>
    <t>FILTRO AIRE CON DRENADO AUTOMATICO</t>
  </si>
  <si>
    <t>07F36AC</t>
  </si>
  <si>
    <t>1357</t>
  </si>
  <si>
    <t>750458801357</t>
  </si>
  <si>
    <t>SILOTOP VENTING FILTER</t>
  </si>
  <si>
    <t>COLECTOR DE POLVO</t>
  </si>
  <si>
    <t>PR03</t>
  </si>
  <si>
    <t>1358</t>
  </si>
  <si>
    <t>75045891358</t>
  </si>
  <si>
    <t xml:space="preserve">TAPA COLECTOR DE POLVO PR03 </t>
  </si>
  <si>
    <t>TAPA PARA PR03</t>
  </si>
  <si>
    <t>1362</t>
  </si>
  <si>
    <t>75045880489</t>
  </si>
  <si>
    <t>VIBRATOR 1-PHASE 220V, 1PH, 3000RPM MVE60/3M FC:66KG</t>
  </si>
  <si>
    <t>VIBRADOR ELECTRICO 220V, 1PH, 3000RPM MVE60/3M FC:66KG</t>
  </si>
  <si>
    <t>MVE 60/3M</t>
  </si>
  <si>
    <t>1366</t>
  </si>
  <si>
    <t>75045891366</t>
  </si>
  <si>
    <t>ROTARY BALL VIBRATORS S8 DE25000 VIB/MIN - PNEUMATIC VIBRATOR S8 DE25000 VIB/MI</t>
  </si>
  <si>
    <t>VIBRADOR NEUMATICO - S8 DE25000 VIB/MIN</t>
  </si>
  <si>
    <t>S8</t>
  </si>
  <si>
    <t>1370</t>
  </si>
  <si>
    <t>75045880411</t>
  </si>
  <si>
    <t>ROTARY BALL VIBRATORS S20 DE10500 VIB/MIN - PNEUMATIC VIBRATOR S20 DE10500 VIB/MIN</t>
  </si>
  <si>
    <t>VIBRADOR NEUMATICO - S20 DE10500 VIB/MIN</t>
  </si>
  <si>
    <t>S20</t>
  </si>
  <si>
    <t>1371</t>
  </si>
  <si>
    <t>75045880412</t>
  </si>
  <si>
    <t>ROTARY BALL VIBRATORS S25 DE9200 VIB/MIN - PNEUMATIC VIBRATOR S25 DE9200 VIB/MIN</t>
  </si>
  <si>
    <t>VIBRADOR NEUMATICO - S25 DE9200 VIB/MIN</t>
  </si>
  <si>
    <t>S25</t>
  </si>
  <si>
    <t>1372</t>
  </si>
  <si>
    <t>75045880413</t>
  </si>
  <si>
    <t>ROTARY BALL VIBRATORS S30 DE7800  VIB/MIN - PNEUMATIC VIBRATOR S30 DE7800 VIB/MIN</t>
  </si>
  <si>
    <t>VIBRADOR NEUMATICO - S30 DE7800 VIB/MIN</t>
  </si>
  <si>
    <t>S30</t>
  </si>
  <si>
    <t>1373</t>
  </si>
  <si>
    <t>75045880414</t>
  </si>
  <si>
    <t>ROTARY BALL VIBRATORS S36 DE7300  VIB/MIN - PNEUMATIC VIBRATOR S36 DE7300 VIB/MIN</t>
  </si>
  <si>
    <t>VIBRADOR NEUMATICO - S36 DE7300 VIB/MIN</t>
  </si>
  <si>
    <t>S36</t>
  </si>
  <si>
    <t>1374</t>
  </si>
  <si>
    <t>75045891374</t>
  </si>
  <si>
    <t xml:space="preserve">SCALER BOARD </t>
  </si>
  <si>
    <t>TARJETA PARA CUENTA LITROS BADGER METER</t>
  </si>
  <si>
    <t>250256</t>
  </si>
  <si>
    <t>1376</t>
  </si>
  <si>
    <t>75045891376</t>
  </si>
  <si>
    <t>SOLENOID COIL 110V</t>
  </si>
  <si>
    <t>COIL VALVULA 110V</t>
  </si>
  <si>
    <t>BOB11050</t>
  </si>
  <si>
    <t>1377</t>
  </si>
  <si>
    <t>75045891377</t>
  </si>
  <si>
    <t>ELECTRIC OVER AIR SOLENOID VALVE</t>
  </si>
  <si>
    <t>BOBINA COLECTOR DE POLVOS</t>
  </si>
  <si>
    <t>NR0200</t>
  </si>
  <si>
    <t>1378</t>
  </si>
  <si>
    <t>75045891378</t>
  </si>
  <si>
    <t>AIREADOR TIPO PAD</t>
  </si>
  <si>
    <t>1100N</t>
  </si>
  <si>
    <t>I100N</t>
  </si>
  <si>
    <t>1379</t>
  </si>
  <si>
    <t>75045891379</t>
  </si>
  <si>
    <t xml:space="preserve">CEMENT SILO AERATION PAD ASSEMBLY RECTANGULAR </t>
  </si>
  <si>
    <t>KIT AIRADOR MONTAJE DE VENTILACION</t>
  </si>
  <si>
    <t>P101698</t>
  </si>
  <si>
    <t>1380</t>
  </si>
  <si>
    <t>LIMITADOR PARA ACTUADOR NEUMATICO</t>
  </si>
  <si>
    <t>P101376</t>
  </si>
  <si>
    <t>1381</t>
  </si>
  <si>
    <t>CELDA DE PODER 10,000 TIPE ARTECH</t>
  </si>
  <si>
    <t>P111010</t>
  </si>
  <si>
    <t>1382</t>
  </si>
  <si>
    <t>CONTROL DE GIRO</t>
  </si>
  <si>
    <t>P73911</t>
  </si>
  <si>
    <t>1384</t>
  </si>
  <si>
    <t>VFS4300-3FZ DOUBLE SOLENOID ELECTRIC OVER AIR VALVE</t>
  </si>
  <si>
    <t xml:space="preserve">Electroválvula 2 WAM </t>
  </si>
  <si>
    <t>PAV-4300-000</t>
  </si>
  <si>
    <t>1385</t>
  </si>
  <si>
    <t>CONJUNTO LUBRICADOR CON REGULADOR Y FILTRO WAM 1</t>
  </si>
  <si>
    <t>AC5000-06</t>
  </si>
  <si>
    <t>1386</t>
  </si>
  <si>
    <t>CONJUNTO LUBRICADOR CON REGULADOR Y FILTRO WAM 2</t>
  </si>
  <si>
    <t>AC4000-04</t>
  </si>
  <si>
    <t>1387</t>
  </si>
  <si>
    <t xml:space="preserve">REGULADOR FILTRO DE AIRE  </t>
  </si>
  <si>
    <t>AC3010-03</t>
  </si>
  <si>
    <t>1393</t>
  </si>
  <si>
    <t>Tubo de 4" x3 metros HD</t>
  </si>
  <si>
    <t>T4X3HD</t>
  </si>
  <si>
    <t>1394</t>
  </si>
  <si>
    <t>TUBO DE 3" X 3 METROS HD</t>
  </si>
  <si>
    <t>T3X3HD</t>
  </si>
  <si>
    <t>1397</t>
  </si>
  <si>
    <t>75045880365</t>
  </si>
  <si>
    <t>ELBOW 90DEGREE 5.5" R275 ZL GREEN</t>
  </si>
  <si>
    <t>CODO 5"X90° - METRICO</t>
  </si>
  <si>
    <t>1410</t>
  </si>
  <si>
    <t>75045891410</t>
  </si>
  <si>
    <t>ULTRASONIC THICKNESS GAUGE</t>
  </si>
  <si>
    <t>CHECADOR ULTRASONICO PARA CALIBRE DE TUBERIA</t>
  </si>
  <si>
    <t>MT150/GM100</t>
  </si>
  <si>
    <t>1411</t>
  </si>
  <si>
    <t>75045880546</t>
  </si>
  <si>
    <t>GO DEVILS D50 / 5"</t>
  </si>
  <si>
    <t>MGD50C</t>
  </si>
  <si>
    <t>1415</t>
  </si>
  <si>
    <t>ABRAZADERA 2"HD</t>
  </si>
  <si>
    <t>BC20SD</t>
  </si>
  <si>
    <t>1417</t>
  </si>
  <si>
    <t>CLAMP SNAP 3"</t>
  </si>
  <si>
    <t>ABRAZADERA 3" HD COLA DE RATA</t>
  </si>
  <si>
    <t>30372216</t>
  </si>
  <si>
    <t>1418</t>
  </si>
  <si>
    <t>75045891418</t>
  </si>
  <si>
    <t>CLAMP SNAP 4"</t>
  </si>
  <si>
    <t>ABRAZADERA 4" HD COLA DE RATA</t>
  </si>
  <si>
    <t>30372220</t>
  </si>
  <si>
    <t>1419</t>
  </si>
  <si>
    <t>75045891419</t>
  </si>
  <si>
    <t>CLAMP SNAP 5"</t>
  </si>
  <si>
    <t>ABRAZADERA 5" HD COLA DE RATA</t>
  </si>
  <si>
    <t>30372226</t>
  </si>
  <si>
    <t>1420</t>
  </si>
  <si>
    <t>75045891420</t>
  </si>
  <si>
    <t>SHOTCRETE NOZZLE ASSEMBLY 2" HD</t>
  </si>
  <si>
    <t>KIT BOQUILLA SCHOCRETE 2"HD</t>
  </si>
  <si>
    <t>30373440</t>
  </si>
  <si>
    <t>1421</t>
  </si>
  <si>
    <t>EMPAQUE 4" HD</t>
  </si>
  <si>
    <t>CG40D</t>
  </si>
  <si>
    <t>1422</t>
  </si>
  <si>
    <t>7504891422</t>
  </si>
  <si>
    <t xml:space="preserve">SEAL COUPLING 5" </t>
  </si>
  <si>
    <t>EMPAQUE 5"HD CON CEJA</t>
  </si>
  <si>
    <t>VCG148M-BX</t>
  </si>
  <si>
    <t>1425</t>
  </si>
  <si>
    <t>Empaque de 2" HD</t>
  </si>
  <si>
    <t>CG20D</t>
  </si>
  <si>
    <t>1427</t>
  </si>
  <si>
    <t>EMPAQUE 2.5" HD</t>
  </si>
  <si>
    <t>CG25D</t>
  </si>
  <si>
    <t>1428</t>
  </si>
  <si>
    <t>EMPAQUE 3" HD</t>
  </si>
  <si>
    <t>CG30D</t>
  </si>
  <si>
    <t>1433</t>
  </si>
  <si>
    <t>END HOSE 5" 3MT SINGLE FLANGE</t>
  </si>
  <si>
    <t>MANGUERA TERMINAL5" 3m SIMPLE BRIDA</t>
  </si>
  <si>
    <t>TR4015X31BMM</t>
  </si>
  <si>
    <t>SOM10004</t>
  </si>
  <si>
    <t>1498</t>
  </si>
  <si>
    <t>75045891498</t>
  </si>
  <si>
    <t>WEARING DURO 22</t>
  </si>
  <si>
    <t>ANILLO DESGASTE DURO22</t>
  </si>
  <si>
    <t>251031006</t>
  </si>
  <si>
    <t>1598</t>
  </si>
  <si>
    <t>PISTON ROD FLANGE</t>
  </si>
  <si>
    <t xml:space="preserve">BRIDA PARA VASTAGO DE PISTON </t>
  </si>
  <si>
    <t>52152003</t>
  </si>
  <si>
    <t>SOM20121</t>
  </si>
  <si>
    <t>1600</t>
  </si>
  <si>
    <t>SPECTACLE WEAR PLATE D22</t>
  </si>
  <si>
    <t>PLACA DE DESGASTE 540 D22</t>
  </si>
  <si>
    <t>261122002</t>
  </si>
  <si>
    <t>519314</t>
  </si>
  <si>
    <t>1612</t>
  </si>
  <si>
    <t>HYDRAULIC CYLINDER 110X63 1400</t>
  </si>
  <si>
    <t>CILINDRO DIFERENCIAL PARA BOMBEO 1400-110/63</t>
  </si>
  <si>
    <t>243625006</t>
  </si>
  <si>
    <t>SOM20135</t>
  </si>
  <si>
    <t>1613</t>
  </si>
  <si>
    <t>CYLINDER BARREL 110X63 1400</t>
  </si>
  <si>
    <t xml:space="preserve">BARRA DE CILINDRO 110x63 1400 </t>
  </si>
  <si>
    <t>243626005</t>
  </si>
  <si>
    <t>SOM20136</t>
  </si>
  <si>
    <t>1614</t>
  </si>
  <si>
    <t>PISTON ROD 110x63x1400</t>
  </si>
  <si>
    <t>VASTAGO DE PISTON 110x63 1400</t>
  </si>
  <si>
    <t>24270007</t>
  </si>
  <si>
    <t>OM20137</t>
  </si>
  <si>
    <t>1616</t>
  </si>
  <si>
    <t>GUIDE BUSH</t>
  </si>
  <si>
    <t xml:space="preserve">BUJE GUIA </t>
  </si>
  <si>
    <t>227856008</t>
  </si>
  <si>
    <t>SOM20139</t>
  </si>
  <si>
    <t>1617</t>
  </si>
  <si>
    <t>HEAD FLANGE</t>
  </si>
  <si>
    <t>BRIDA DE CABEZA</t>
  </si>
  <si>
    <t>53409001</t>
  </si>
  <si>
    <t>SOM20140</t>
  </si>
  <si>
    <t>1618</t>
  </si>
  <si>
    <t xml:space="preserve">SEAL SET FOR HYDRAULIC CYLINDER 110X63 </t>
  </si>
  <si>
    <t xml:space="preserve">JUEGO DE SELLOS PARA CILINDRO HIDRAULICO 110x63 </t>
  </si>
  <si>
    <t>243625006KIT</t>
  </si>
  <si>
    <t>SOM20149</t>
  </si>
  <si>
    <t>1649</t>
  </si>
  <si>
    <t xml:space="preserve">ELBOW 10 DEGREE 5.5" WHITE COLOR </t>
  </si>
  <si>
    <t xml:space="preserve">CODO DE 10° 5,5" COLOR BLANCO     </t>
  </si>
  <si>
    <t>234060007</t>
  </si>
  <si>
    <t>SOM20210</t>
  </si>
  <si>
    <t>1650</t>
  </si>
  <si>
    <t xml:space="preserve">ELBOW 15 DEGREE 5.5" WHITE COLOR </t>
  </si>
  <si>
    <t xml:space="preserve">CODO DE 15° 5,5" COLOR BLANCO </t>
  </si>
  <si>
    <t>57598002</t>
  </si>
  <si>
    <t>SOM20211</t>
  </si>
  <si>
    <t>1651</t>
  </si>
  <si>
    <t xml:space="preserve">ELBOW 20 DEGREE 5.5" WHITE COLOR </t>
  </si>
  <si>
    <t xml:space="preserve">CODO DE 20° 5,5" COLOR BLANCO   </t>
  </si>
  <si>
    <t>245484009</t>
  </si>
  <si>
    <t>SOM20212</t>
  </si>
  <si>
    <t>1652</t>
  </si>
  <si>
    <t xml:space="preserve">ELBOW 30 DEGREE 5.5" WHITE COLOR </t>
  </si>
  <si>
    <t xml:space="preserve">CODO DE 30° 5,5" COLOR BLANCO   </t>
  </si>
  <si>
    <t>57597003</t>
  </si>
  <si>
    <t>SOM20213</t>
  </si>
  <si>
    <t>1653</t>
  </si>
  <si>
    <t xml:space="preserve">ELBOW 45 DEGREE 5.5" WHITE COLOR </t>
  </si>
  <si>
    <t xml:space="preserve">CODO DE 45° 5,5" COLOR BLANCO    </t>
  </si>
  <si>
    <t>57596004</t>
  </si>
  <si>
    <t>SOM20214</t>
  </si>
  <si>
    <t>1655</t>
  </si>
  <si>
    <t xml:space="preserve">ELBOW 90 DEGREE R275 5.5" WHITE COLOR </t>
  </si>
  <si>
    <t xml:space="preserve">CODO DE 90° R275 5.5" COLOR BLANCO    </t>
  </si>
  <si>
    <t>55725000</t>
  </si>
  <si>
    <t>1656</t>
  </si>
  <si>
    <t>ELBOW 90 DEGREED R180 5.5" WHITE COLOR</t>
  </si>
  <si>
    <t>CODO DE 90° TIPO CORTO 5,5" (R180)</t>
  </si>
  <si>
    <t>422732</t>
  </si>
  <si>
    <t>SOM20217</t>
  </si>
  <si>
    <t>1682</t>
  </si>
  <si>
    <t>061678002</t>
  </si>
  <si>
    <t>1683</t>
  </si>
  <si>
    <t>4/2 WAY VALVE</t>
  </si>
  <si>
    <t>ELECTROVALVULA 4/2 VIAS 24V SENCILLA</t>
  </si>
  <si>
    <t>67344000</t>
  </si>
  <si>
    <t>1684</t>
  </si>
  <si>
    <t>4/3 WAY VALVE</t>
  </si>
  <si>
    <t>24V ELECTROVALVULA 4/3</t>
  </si>
  <si>
    <t>67346008</t>
  </si>
  <si>
    <t>557262</t>
  </si>
  <si>
    <t>1685</t>
  </si>
  <si>
    <t>ELEMENTO FILTRANTE</t>
  </si>
  <si>
    <t>294073005</t>
  </si>
  <si>
    <t>SOM20253</t>
  </si>
  <si>
    <t>1688</t>
  </si>
  <si>
    <t>FILTER ELEMENT ABSOLUT</t>
  </si>
  <si>
    <t>ELEMENTO FILTRANTE ABSOLUTO</t>
  </si>
  <si>
    <t>425836</t>
  </si>
  <si>
    <t>1693</t>
  </si>
  <si>
    <t>RUBBER CAP</t>
  </si>
  <si>
    <t xml:space="preserve">TAPA DE GOMA </t>
  </si>
  <si>
    <t>241416000</t>
  </si>
  <si>
    <t>SOM20263</t>
  </si>
  <si>
    <t>1707</t>
  </si>
  <si>
    <t>75045891707</t>
  </si>
  <si>
    <t>PROXIMITY LIMIT SWITCH</t>
  </si>
  <si>
    <t>INTERRUPTOR DE LIMITE / LIMIT SWITCH</t>
  </si>
  <si>
    <t>67638004</t>
  </si>
  <si>
    <t>1734</t>
  </si>
  <si>
    <t>ACCUMULATOR BLADDER 10L</t>
  </si>
  <si>
    <t>VEJIGA ACUMULADORA 10L (BLADDER)</t>
  </si>
  <si>
    <t>SOM20322</t>
  </si>
  <si>
    <t>64021009</t>
  </si>
  <si>
    <t>1749</t>
  </si>
  <si>
    <t>75045891749</t>
  </si>
  <si>
    <t>GEAR BOX G64</t>
  </si>
  <si>
    <t>CAJA TRANSFERENCIA G64</t>
  </si>
  <si>
    <t>278023000</t>
  </si>
  <si>
    <t>1752</t>
  </si>
  <si>
    <t>Embolo 40x10x8</t>
  </si>
  <si>
    <t>PISTON NEUMATICO 40X10X8 PARA ENQUINTAR</t>
  </si>
  <si>
    <t>222259008</t>
  </si>
  <si>
    <t>1765</t>
  </si>
  <si>
    <t>75045880370</t>
  </si>
  <si>
    <t>MIXER HYDRAULIC OIL COOLER FAN/MOTOR ASSEMBLY</t>
  </si>
  <si>
    <t>ABANICO 14" 12V</t>
  </si>
  <si>
    <t>LM-1022</t>
  </si>
  <si>
    <t>1767</t>
  </si>
  <si>
    <t>75045880371</t>
  </si>
  <si>
    <t>HYDRAULIC FILTER BASE</t>
  </si>
  <si>
    <t>BASE FILTRO PARA ACEITE HIDRAULICO</t>
  </si>
  <si>
    <t>XM-006691-00A</t>
  </si>
  <si>
    <t>XM00669100A</t>
  </si>
  <si>
    <t>1769</t>
  </si>
  <si>
    <t>75045880504</t>
  </si>
  <si>
    <t>CAJA DE CONTROL CABINA</t>
  </si>
  <si>
    <t>280.8248</t>
  </si>
  <si>
    <t>2808248</t>
  </si>
  <si>
    <t>1770</t>
  </si>
  <si>
    <t>75045880372</t>
  </si>
  <si>
    <t xml:space="preserve">SINGLE HANDLE REAR CONTROL BOX FOR THROTTLE  </t>
  </si>
  <si>
    <t>CAJA DE CONTROL 1 PALANCA</t>
  </si>
  <si>
    <t>153914</t>
  </si>
  <si>
    <t>280.153914</t>
  </si>
  <si>
    <t>1771</t>
  </si>
  <si>
    <t>75045880373</t>
  </si>
  <si>
    <t>TWO HANDLE REAR CONTROL BOX</t>
  </si>
  <si>
    <t>CAJA DE CONTROL DE 2 PALANCAS</t>
  </si>
  <si>
    <t>153880</t>
  </si>
  <si>
    <t>280.153880</t>
  </si>
  <si>
    <t>1772</t>
  </si>
  <si>
    <t>75045880297</t>
  </si>
  <si>
    <t>CARTUCHO DYNACHUTE M-719</t>
  </si>
  <si>
    <t>70262</t>
  </si>
  <si>
    <t>1773</t>
  </si>
  <si>
    <t>75045880298</t>
  </si>
  <si>
    <t>CONVERSION U-JOINT</t>
  </si>
  <si>
    <t>CRETA P/FLECHA CARDAN 1310-1350-MIXTA</t>
  </si>
  <si>
    <t>660.127510</t>
  </si>
  <si>
    <t>1774</t>
  </si>
  <si>
    <t>75045880374</t>
  </si>
  <si>
    <t>MONARCH ELECTRIC CHUTE LIFTER</t>
  </si>
  <si>
    <t>DYNACHUTE M-719 SENSILLO Y CON CONTROL</t>
  </si>
  <si>
    <t>520.106792</t>
  </si>
  <si>
    <t>106792</t>
  </si>
  <si>
    <t>1776</t>
  </si>
  <si>
    <t>75045880455</t>
  </si>
  <si>
    <t>ENFRIADOR COMPLETO PARA ACEITE HIDRAULICO</t>
  </si>
  <si>
    <t>108575</t>
  </si>
  <si>
    <t>1777</t>
  </si>
  <si>
    <t>75045880456</t>
  </si>
  <si>
    <t>ENFRIADOR DE AIRE/ACEITE (RADIADOR)</t>
  </si>
  <si>
    <t>10857526</t>
  </si>
  <si>
    <t>1778</t>
  </si>
  <si>
    <t>75045880299</t>
  </si>
  <si>
    <t>FILTRO ACEITE HIDRAULICO</t>
  </si>
  <si>
    <t>XM-006692-000</t>
  </si>
  <si>
    <t>1779</t>
  </si>
  <si>
    <t>75045880252</t>
  </si>
  <si>
    <t>CONCRETE MIXER CHUTE MOUNT CLIP ALUMINUM</t>
  </si>
  <si>
    <t>GANCHO DE ALUMINIO PARA CANALON</t>
  </si>
  <si>
    <t>1010273</t>
  </si>
  <si>
    <t>1780</t>
  </si>
  <si>
    <t>75045880253</t>
  </si>
  <si>
    <t>CHUTE MOUNT CLIP PLASTIC</t>
  </si>
  <si>
    <t>GANCHO PLASTICO PARA CANALON</t>
  </si>
  <si>
    <t>82650</t>
  </si>
  <si>
    <t>1781</t>
  </si>
  <si>
    <t>75045880261</t>
  </si>
  <si>
    <t>COLLECTOR CHUTE-DISCHARGE HOPPER BIB</t>
  </si>
  <si>
    <t>HAWAIANA DE 11 HOYOS PARA VAMPIRO</t>
  </si>
  <si>
    <t>115236</t>
  </si>
  <si>
    <t>1784</t>
  </si>
  <si>
    <t>75045880275</t>
  </si>
  <si>
    <t xml:space="preserve">SLUMP GAUGE WITH POINTERS 5000PSI </t>
  </si>
  <si>
    <t xml:space="preserve">INDICADOR DE REVENIMIENTO 0-5000 PSI  </t>
  </si>
  <si>
    <t>00461</t>
  </si>
  <si>
    <t>1785</t>
  </si>
  <si>
    <t>75045891785</t>
  </si>
  <si>
    <t xml:space="preserve">REAR CONTROL KNOB KIT </t>
  </si>
  <si>
    <t xml:space="preserve">JUEGO DE AGARRADERA VERDE O ROJA </t>
  </si>
  <si>
    <t>115920AK</t>
  </si>
  <si>
    <t>115921AK</t>
  </si>
  <si>
    <t>1787</t>
  </si>
  <si>
    <t>75045880507</t>
  </si>
  <si>
    <t>KIT SELLOS VALVULA EATON 5421</t>
  </si>
  <si>
    <t>KIT REPARACION BOMBA MODELO 5421</t>
  </si>
  <si>
    <t>5421-K</t>
  </si>
  <si>
    <t>1788</t>
  </si>
  <si>
    <t>75045880302</t>
  </si>
  <si>
    <t>HYDRAULIC PUMP SEAL AND GASKET KIT 54 SERIES</t>
  </si>
  <si>
    <t>KIT SELLOS BOMBA EATON-COMPLETO</t>
  </si>
  <si>
    <t>990090</t>
  </si>
  <si>
    <t>1789</t>
  </si>
  <si>
    <t>75045880303</t>
  </si>
  <si>
    <t>KIT SELLOS BOMBA EATON SERIE 24</t>
  </si>
  <si>
    <t>9510233</t>
  </si>
  <si>
    <t>1790</t>
  </si>
  <si>
    <t>75045880375</t>
  </si>
  <si>
    <t>CONTROL VALVE GASKET SEAL KIT</t>
  </si>
  <si>
    <t>KIT SELLOS VALVULA DE CONTROL EATON</t>
  </si>
  <si>
    <t>990287</t>
  </si>
  <si>
    <t>990287-000</t>
  </si>
  <si>
    <t>1793</t>
  </si>
  <si>
    <t>75045880254</t>
  </si>
  <si>
    <t>RUBBER CHUTE HOLD DOWN STRAP</t>
  </si>
  <si>
    <t>LIGA PARA CANALON</t>
  </si>
  <si>
    <t>82654</t>
  </si>
  <si>
    <t>1795</t>
  </si>
  <si>
    <t>75045880304</t>
  </si>
  <si>
    <t>VACUUM GAUGE 0-30 PSI</t>
  </si>
  <si>
    <t>MANOMETRO DE VACIO 0-30 PSI / MARCADOR</t>
  </si>
  <si>
    <t>422</t>
  </si>
  <si>
    <t>1797</t>
  </si>
  <si>
    <t>75045880306</t>
  </si>
  <si>
    <t>SIGHT GAUGE PLUG FOR HYDRAULIC TANKS 3/4"</t>
  </si>
  <si>
    <t>MIRILLA TANQUE HIDRAULICO 3/4"</t>
  </si>
  <si>
    <t>1170023</t>
  </si>
  <si>
    <t>1798</t>
  </si>
  <si>
    <t>75045880246</t>
  </si>
  <si>
    <t>BOLT V ROCK</t>
  </si>
  <si>
    <t>PERNO PISTON VALVULA ROCK</t>
  </si>
  <si>
    <t>10018069</t>
  </si>
  <si>
    <t xml:space="preserve"> B</t>
  </si>
  <si>
    <t>1799</t>
  </si>
  <si>
    <t>75045880262</t>
  </si>
  <si>
    <t>PISTOL  GRIP WASHOUT NOZZLE 2"</t>
  </si>
  <si>
    <t>PISTOLA DE LAVADO 2"</t>
  </si>
  <si>
    <t>1520002</t>
  </si>
  <si>
    <t>1800</t>
  </si>
  <si>
    <t>75045880326</t>
  </si>
  <si>
    <t>CHUTE CYLINDR SINGLE ACTING 7/8"</t>
  </si>
  <si>
    <t>PISTON PARA CANALON ACCION SENCILLA</t>
  </si>
  <si>
    <t>107615</t>
  </si>
  <si>
    <t>1801</t>
  </si>
  <si>
    <t>BAR_00000001</t>
  </si>
  <si>
    <t xml:space="preserve">CHUTE PIVOT-BEARING STYLE </t>
  </si>
  <si>
    <t xml:space="preserve">PIVOTE TRASERO- TIPO NUEVO </t>
  </si>
  <si>
    <t>152635</t>
  </si>
  <si>
    <t>1803</t>
  </si>
  <si>
    <t>75045880270</t>
  </si>
  <si>
    <t>AIR REGULATOR 0-60PSI</t>
  </si>
  <si>
    <t>REGULADOR DE AIRE 0-60PSI</t>
  </si>
  <si>
    <t>1521166A</t>
  </si>
  <si>
    <t>TANQUE DE AGUA</t>
  </si>
  <si>
    <t>1805</t>
  </si>
  <si>
    <t>75045880509</t>
  </si>
  <si>
    <t>PIVOT CLEVIS MTM</t>
  </si>
  <si>
    <t>RESORTERA PARA PIVOTE MTM</t>
  </si>
  <si>
    <t>151300</t>
  </si>
  <si>
    <t>CANALONES Y TOLVAS</t>
  </si>
  <si>
    <t>1806</t>
  </si>
  <si>
    <t>75045880376</t>
  </si>
  <si>
    <t>CHALLENGE COOK BROTHERS 3/4" NPT HYDRAULIC FILTER BREATHER CAP</t>
  </si>
  <si>
    <t>RESPIRADOR TANQUE ACEITE HIDRAULICO</t>
  </si>
  <si>
    <t>1690185</t>
  </si>
  <si>
    <t>1807</t>
  </si>
  <si>
    <t>75045880271</t>
  </si>
  <si>
    <t>RETEN PARA RODILLO MTM</t>
  </si>
  <si>
    <t>215250</t>
  </si>
  <si>
    <t>1811</t>
  </si>
  <si>
    <t>75045880378</t>
  </si>
  <si>
    <t>SEGURO PARA CANALON MTM</t>
  </si>
  <si>
    <t>00259</t>
  </si>
  <si>
    <t>1812</t>
  </si>
  <si>
    <t>75045880307</t>
  </si>
  <si>
    <t>SELENOIDE 3  POSTES DYNACHUTE M-719 TIPO NUEVO</t>
  </si>
  <si>
    <t>73336</t>
  </si>
  <si>
    <t>1813</t>
  </si>
  <si>
    <t>75045880379</t>
  </si>
  <si>
    <t xml:space="preserve">REX HYDRAULIC OIL FILLER STRAINER CAP ASSEMBLY </t>
  </si>
  <si>
    <t>TAPON ACEITE HIDRAULICO</t>
  </si>
  <si>
    <t>102-05250-10</t>
  </si>
  <si>
    <t>1020525010</t>
  </si>
  <si>
    <t>1814</t>
  </si>
  <si>
    <t>75045880327</t>
  </si>
  <si>
    <t>FLANGE YOKE 1310</t>
  </si>
  <si>
    <t>TOMA FUERZA 1310</t>
  </si>
  <si>
    <t>660.127503</t>
  </si>
  <si>
    <t>1650072</t>
  </si>
  <si>
    <t>1817</t>
  </si>
  <si>
    <t>75045880457</t>
  </si>
  <si>
    <t>LONDON HYDRAULIC DOUBLE ACTING CONTROL VALVE</t>
  </si>
  <si>
    <t>VALVULA LONDON COMPLETA</t>
  </si>
  <si>
    <t>MA-35899</t>
  </si>
  <si>
    <t>1832</t>
  </si>
  <si>
    <t>75045880425</t>
  </si>
  <si>
    <t>BATTERY PACK</t>
  </si>
  <si>
    <t>BATERIA AZUL CONTROL REMOTO</t>
  </si>
  <si>
    <t>471560</t>
  </si>
  <si>
    <t>1837</t>
  </si>
  <si>
    <t>75045880512</t>
  </si>
  <si>
    <t>HYDRAULIC PUMP L A2F16</t>
  </si>
  <si>
    <t>BOMBA HIDRAULICA A2F16</t>
  </si>
  <si>
    <t>67925005</t>
  </si>
  <si>
    <t>1857</t>
  </si>
  <si>
    <t>75045880516</t>
  </si>
  <si>
    <t>ERGONIC REMOTE CONTROL</t>
  </si>
  <si>
    <t>CONTROL REMOTO ROJO 3 BRAZOS</t>
  </si>
  <si>
    <t>PMNTU-FH</t>
  </si>
  <si>
    <t>1878</t>
  </si>
  <si>
    <t>75045891878</t>
  </si>
  <si>
    <t>PISTON RAM DN 200</t>
  </si>
  <si>
    <t>EMBOLO DN200</t>
  </si>
  <si>
    <t>19004000</t>
  </si>
  <si>
    <t>1917</t>
  </si>
  <si>
    <t>75045891917</t>
  </si>
  <si>
    <t>SWITCH LIMITADOR MECANICO</t>
  </si>
  <si>
    <t>452208</t>
  </si>
  <si>
    <t>1924</t>
  </si>
  <si>
    <t>75045880522</t>
  </si>
  <si>
    <t>MODULO RECEPTOR ELECTRICO</t>
  </si>
  <si>
    <t>263003006</t>
  </si>
  <si>
    <t>1929</t>
  </si>
  <si>
    <t>75045880468</t>
  </si>
  <si>
    <t>O RING 60*4</t>
  </si>
  <si>
    <t>O-RING 60mm x 4mm</t>
  </si>
  <si>
    <t>043909003</t>
  </si>
  <si>
    <t>1941</t>
  </si>
  <si>
    <t>PM DELIVERY PIPE 7.1 ZX/5.5 X 3000</t>
  </si>
  <si>
    <t>TUBERIA DE ENTREGA PM 7.1 ZX/5.5 X 3000</t>
  </si>
  <si>
    <t>51803007</t>
  </si>
  <si>
    <t>SOM20571</t>
  </si>
  <si>
    <t>1945</t>
  </si>
  <si>
    <t>75045880525</t>
  </si>
  <si>
    <t>1200MM LONG 6IN TO 5IN REDUCER PIPE</t>
  </si>
  <si>
    <t>REDUCTOR 6ZX A 1200MM</t>
  </si>
  <si>
    <t>115-11673H</t>
  </si>
  <si>
    <t>1948</t>
  </si>
  <si>
    <t>75045880331</t>
  </si>
  <si>
    <t>RELAY 24V</t>
  </si>
  <si>
    <t>REVELADOR 24V</t>
  </si>
  <si>
    <t>210857001</t>
  </si>
  <si>
    <t>1981</t>
  </si>
  <si>
    <t>75045880344</t>
  </si>
  <si>
    <t>018098004</t>
  </si>
  <si>
    <t>2012</t>
  </si>
  <si>
    <t>1.0OUTLET ELBOW DN180 ZL GREEN</t>
  </si>
  <si>
    <t>1.00 CODO DE SALIDA DN 180</t>
  </si>
  <si>
    <t>10181335</t>
  </si>
  <si>
    <t>2013</t>
  </si>
  <si>
    <t>2.00 CODO DE SALIDA DN 180</t>
  </si>
  <si>
    <t>10181333</t>
  </si>
  <si>
    <t>2017</t>
  </si>
  <si>
    <t>AGITATOR BEARING L</t>
  </si>
  <si>
    <t>COJINETE AGITADOR IZQ</t>
  </si>
  <si>
    <t>10061072</t>
  </si>
  <si>
    <t>2018</t>
  </si>
  <si>
    <t>AGITATOR BEARING R</t>
  </si>
  <si>
    <t>COJINETE AGITADOR DER</t>
  </si>
  <si>
    <t>10061073</t>
  </si>
  <si>
    <t>2020</t>
  </si>
  <si>
    <t>AGITADOR SHAFT</t>
  </si>
  <si>
    <t>EJE AGITADOR</t>
  </si>
  <si>
    <t>10167220</t>
  </si>
  <si>
    <t>2023</t>
  </si>
  <si>
    <t>75045880477</t>
  </si>
  <si>
    <t>CUTTING RING DN230</t>
  </si>
  <si>
    <t>ANILLO CORTE DN230</t>
  </si>
  <si>
    <t>10166890</t>
  </si>
  <si>
    <t>2033</t>
  </si>
  <si>
    <t>75045892033</t>
  </si>
  <si>
    <t>BACK UP RING DN 210</t>
  </si>
  <si>
    <t>ANILLO RESPALDO/ ARO PRESION DN210</t>
  </si>
  <si>
    <t>10158880</t>
  </si>
  <si>
    <t>2035</t>
  </si>
  <si>
    <t>75045880529</t>
  </si>
  <si>
    <t>ARTICULATED BEARING GE90</t>
  </si>
  <si>
    <t>BALERO ARTICULADO GE90</t>
  </si>
  <si>
    <t>10024099</t>
  </si>
  <si>
    <t>2037</t>
  </si>
  <si>
    <t>75045880348</t>
  </si>
  <si>
    <t>ARTICULATED GE 60 ES/GE 60 DO</t>
  </si>
  <si>
    <t>BALERO ARTICULADO GE60</t>
  </si>
  <si>
    <t>10002746</t>
  </si>
  <si>
    <t>2038</t>
  </si>
  <si>
    <t>75045880311</t>
  </si>
  <si>
    <t>BALL BEARING SEALED-HYPRO</t>
  </si>
  <si>
    <t>BALERO SELLADO BOMBA DE AGUA</t>
  </si>
  <si>
    <t>30302832</t>
  </si>
  <si>
    <t>ENGRANES</t>
  </si>
  <si>
    <t>2039</t>
  </si>
  <si>
    <t>75045880561</t>
  </si>
  <si>
    <t>SLEWING SHAFT V ROCK</t>
  </si>
  <si>
    <t>BARRA 2 TORNILLOS PARA VALVULA ROCK</t>
  </si>
  <si>
    <t>10064073</t>
  </si>
  <si>
    <t>2044</t>
  </si>
  <si>
    <t>75045880332</t>
  </si>
  <si>
    <t>CONTROL BATTERY 9.6V</t>
  </si>
  <si>
    <t>BATERIA PARA CONTROL 9.6V</t>
  </si>
  <si>
    <t>30343397</t>
  </si>
  <si>
    <t>2052</t>
  </si>
  <si>
    <t>BOLT</t>
  </si>
  <si>
    <t xml:space="preserve">PERNO ACERO </t>
  </si>
  <si>
    <t>10017553</t>
  </si>
  <si>
    <t>2054</t>
  </si>
  <si>
    <t>75045880312</t>
  </si>
  <si>
    <t>WATER PUMP HYPRO</t>
  </si>
  <si>
    <t>BOMBA DE AGUA 1502 COMPLRTS 6 RODILLOS</t>
  </si>
  <si>
    <t>30301745</t>
  </si>
  <si>
    <t>2061</t>
  </si>
  <si>
    <t>BUSHING SPLIT</t>
  </si>
  <si>
    <t>BUJE MEDIA LUNA</t>
  </si>
  <si>
    <t>10118219</t>
  </si>
  <si>
    <t>2064</t>
  </si>
  <si>
    <t>BUSHING D56 /D 45 X45</t>
  </si>
  <si>
    <t>CASQUILLO D 56/D 45 X45</t>
  </si>
  <si>
    <t>10007772</t>
  </si>
  <si>
    <t>2066</t>
  </si>
  <si>
    <t>75045880436</t>
  </si>
  <si>
    <t>CABLE ACELERACION 14FT</t>
  </si>
  <si>
    <t>10002336</t>
  </si>
  <si>
    <t>2068</t>
  </si>
  <si>
    <t>75045880562</t>
  </si>
  <si>
    <t>PUMP GEARBOX HOUSING</t>
  </si>
  <si>
    <t>CARCAZA CAJA DE TRANSFERENCIA</t>
  </si>
  <si>
    <t>10152978</t>
  </si>
  <si>
    <t>2069</t>
  </si>
  <si>
    <t>75045880530</t>
  </si>
  <si>
    <t>BATTERY CHARGER</t>
  </si>
  <si>
    <t>CARGADOR PARA BATERIA</t>
  </si>
  <si>
    <t>30355278</t>
  </si>
  <si>
    <t>2091</t>
  </si>
  <si>
    <t>COVER</t>
  </si>
  <si>
    <t xml:space="preserve">TAPA EXTERIOR </t>
  </si>
  <si>
    <t>10029441</t>
  </si>
  <si>
    <t>SOM30016</t>
  </si>
  <si>
    <t>2106</t>
  </si>
  <si>
    <t>CYLINDER TUBE</t>
  </si>
  <si>
    <t>CILINDRO</t>
  </si>
  <si>
    <t>10017557</t>
  </si>
  <si>
    <t>2110</t>
  </si>
  <si>
    <t>CYLINDER SUPPORT</t>
  </si>
  <si>
    <t>SOPORTE PARA PISTON DE V-ROCK</t>
  </si>
  <si>
    <t>10058466</t>
  </si>
  <si>
    <t>2131</t>
  </si>
  <si>
    <t>ELBOW 32,5 DEGREE 5,5"</t>
  </si>
  <si>
    <t>CODO DE 5.5"X32.5 HD</t>
  </si>
  <si>
    <t>10035756</t>
  </si>
  <si>
    <t>2137</t>
  </si>
  <si>
    <t>ELBOW 90 DEGREE WITH 10cm EXTENSION 5,5"</t>
  </si>
  <si>
    <t>CODO 90 GRADOS CON EXTENSION DE 10cm 5.5"</t>
  </si>
  <si>
    <t>10119116</t>
  </si>
  <si>
    <t>2139</t>
  </si>
  <si>
    <t>ELBOW 90 DEGREE WITH 34cm EXTENSION 5,5"</t>
  </si>
  <si>
    <t>CODO 90 GRADOS CON EXTENSION DE 34cm 5.5"</t>
  </si>
  <si>
    <t>10151721</t>
  </si>
  <si>
    <t>2141</t>
  </si>
  <si>
    <t>75045880350</t>
  </si>
  <si>
    <t>HYDRAULIC DIRECTIONAL VALVE</t>
  </si>
  <si>
    <t>ELECTROVALVULA 12V</t>
  </si>
  <si>
    <t>98316451</t>
  </si>
  <si>
    <t>2154</t>
  </si>
  <si>
    <t xml:space="preserve">HIGH PRESSURE FILTER ELEMENT HC 9800FK8H TALL </t>
  </si>
  <si>
    <t>FILTRO HIDRAULICO ALTA PRESION LARGO</t>
  </si>
  <si>
    <t>10072694</t>
  </si>
  <si>
    <t>2178</t>
  </si>
  <si>
    <t>HINGE</t>
  </si>
  <si>
    <t>TORNILLO BISAGRA CODO PRINCIPAL</t>
  </si>
  <si>
    <t>10018123</t>
  </si>
  <si>
    <t>2193</t>
  </si>
  <si>
    <t>75045880314</t>
  </si>
  <si>
    <t>SEAL KIT FOR WATER PUMP 1502C (LARGE)</t>
  </si>
  <si>
    <t>KIT REPARACION: 6 RODILLOS, 2 RETENES, 1 O-RING</t>
  </si>
  <si>
    <t>30302838</t>
  </si>
  <si>
    <t>2195</t>
  </si>
  <si>
    <t>75045880334</t>
  </si>
  <si>
    <t>VALVE HYD. SHUT-OFF DP- 1/4" BSP THREAD</t>
  </si>
  <si>
    <t>LLAVE DE PASO 1/4" BSP</t>
  </si>
  <si>
    <t>10004685</t>
  </si>
  <si>
    <t>2205</t>
  </si>
  <si>
    <t>10004225</t>
  </si>
  <si>
    <t>2225</t>
  </si>
  <si>
    <t>PRESSURE SPRING DN220</t>
  </si>
  <si>
    <t>RESORTE DE PRESION DN220</t>
  </si>
  <si>
    <t>10181917</t>
  </si>
  <si>
    <t>2226</t>
  </si>
  <si>
    <t>PRESSURE SPRING DN230</t>
  </si>
  <si>
    <t>RESORTE DE PRESION DN230</t>
  </si>
  <si>
    <t>10166975</t>
  </si>
  <si>
    <t>2227</t>
  </si>
  <si>
    <t>PROTECTING TUBE</t>
  </si>
  <si>
    <t>TUBO PROTECTOR</t>
  </si>
  <si>
    <t>10017554</t>
  </si>
  <si>
    <t>2230</t>
  </si>
  <si>
    <t>7504892230</t>
  </si>
  <si>
    <t>PRESSURE SPRING DN 165</t>
  </si>
  <si>
    <t>RESORTE DE PRESIÓN PARA DN165</t>
  </si>
  <si>
    <t>10064473</t>
  </si>
  <si>
    <t>2233</t>
  </si>
  <si>
    <t>ROCK VALVE DN 220/180</t>
  </si>
  <si>
    <t xml:space="preserve">VALVULA ROCK DN 220/180 </t>
  </si>
  <si>
    <t>10181912</t>
  </si>
  <si>
    <t>SOM30035</t>
  </si>
  <si>
    <t>2235</t>
  </si>
  <si>
    <t>ROCK PADDLE</t>
  </si>
  <si>
    <t>PALETA DE ROCA</t>
  </si>
  <si>
    <t>30311720</t>
  </si>
  <si>
    <t>2250</t>
  </si>
  <si>
    <t xml:space="preserve">Seal-Ring DN 180 </t>
  </si>
  <si>
    <t>ANILLO PARA COMPUERTA DN180</t>
  </si>
  <si>
    <t>10038704</t>
  </si>
  <si>
    <t>SOM30050</t>
  </si>
  <si>
    <t>2257</t>
  </si>
  <si>
    <t>Sheel DN 210 / Lámina DN 210</t>
  </si>
  <si>
    <t>SOM30184</t>
  </si>
  <si>
    <t>2258</t>
  </si>
  <si>
    <t>Slewing Cylinder / Cilindro de Giro</t>
  </si>
  <si>
    <t>SOM30060</t>
  </si>
  <si>
    <t>2259</t>
  </si>
  <si>
    <t xml:space="preserve">CILINDRO DE GIRO </t>
  </si>
  <si>
    <t>10017550</t>
  </si>
  <si>
    <t>2262</t>
  </si>
  <si>
    <t>PIVOTE DE GIRO</t>
  </si>
  <si>
    <t>10017552</t>
  </si>
  <si>
    <t>2279</t>
  </si>
  <si>
    <t>Reducer Tube DN150 (SK168mm)-DN125(SK148mm)X1500MM  ZL green</t>
  </si>
  <si>
    <t>TUBERIA CONICA DN150-125 1600mm</t>
  </si>
  <si>
    <t>10085710</t>
  </si>
  <si>
    <t>SOM30261</t>
  </si>
  <si>
    <t>2283</t>
  </si>
  <si>
    <t>TENSION NUT</t>
  </si>
  <si>
    <t>TUERCA TENSION</t>
  </si>
  <si>
    <t>10032581</t>
  </si>
  <si>
    <t>SOM30032</t>
  </si>
  <si>
    <t>2284</t>
  </si>
  <si>
    <t>TENSION RING</t>
  </si>
  <si>
    <t>ANILLO DE TENSION</t>
  </si>
  <si>
    <t>10017559</t>
  </si>
  <si>
    <t>2289</t>
  </si>
  <si>
    <t>TORQUE SUPPORT</t>
  </si>
  <si>
    <t>SOPORTE DE TORQUE</t>
  </si>
  <si>
    <t>98321615</t>
  </si>
  <si>
    <t>2293</t>
  </si>
  <si>
    <t>75045880537</t>
  </si>
  <si>
    <t>TUERCA DE TENSION</t>
  </si>
  <si>
    <t>10043980</t>
  </si>
  <si>
    <t>2297</t>
  </si>
  <si>
    <t>75045880448</t>
  </si>
  <si>
    <t>PUMP 12V AIR-HYDRAULIC WITHOUT CONNECTOR</t>
  </si>
  <si>
    <t xml:space="preserve">VALVULA SELENOIDE 12V, BLOQUE DE CONTROL   </t>
  </si>
  <si>
    <t>10037274</t>
  </si>
  <si>
    <t>2299</t>
  </si>
  <si>
    <t>75045880539</t>
  </si>
  <si>
    <t>VIBRATOR , 12V</t>
  </si>
  <si>
    <t>VIBRADOR 12V PARRILLA BOMBA</t>
  </si>
  <si>
    <t>10072107</t>
  </si>
  <si>
    <t>2323</t>
  </si>
  <si>
    <t>75045880567</t>
  </si>
  <si>
    <t>REDUCER PIPE HD4" TO HD3"x700MM WITH HANDLES</t>
  </si>
  <si>
    <t>REDUCTOR HD4" A HD3"x700MM CON ASAS</t>
  </si>
  <si>
    <t>RS403028D</t>
  </si>
  <si>
    <t>2324</t>
  </si>
  <si>
    <t>75045880569</t>
  </si>
  <si>
    <t>REDUCER PIPE HD5" TO HD4"x700MM WITH HANDLES</t>
  </si>
  <si>
    <t>REDUCTOR HD5" A HD4"x700mm CON ASAS</t>
  </si>
  <si>
    <t>RS504028D</t>
  </si>
  <si>
    <t>2331</t>
  </si>
  <si>
    <t>75045880289</t>
  </si>
  <si>
    <t>BASE CELDAS DE CARGA RUCELAKE</t>
  </si>
  <si>
    <t>P111301</t>
  </si>
  <si>
    <t>2332</t>
  </si>
  <si>
    <t>75045880290</t>
  </si>
  <si>
    <t>15K S-BEAM</t>
  </si>
  <si>
    <t>CELDA DE CARGA 15T</t>
  </si>
  <si>
    <t>21445</t>
  </si>
  <si>
    <t>2333</t>
  </si>
  <si>
    <t>75045880291</t>
  </si>
  <si>
    <t>3K S-BEAM LOAD CELL</t>
  </si>
  <si>
    <t>CELDA DE CARGA 3K S-BEAM 3T</t>
  </si>
  <si>
    <t>21442</t>
  </si>
  <si>
    <t>2334</t>
  </si>
  <si>
    <t>75045880292</t>
  </si>
  <si>
    <t>5K S-BEAM</t>
  </si>
  <si>
    <t>CELDA DE CARGA RL 20 000 SK 5-BEAM 5T</t>
  </si>
  <si>
    <t>21443</t>
  </si>
  <si>
    <t>2335</t>
  </si>
  <si>
    <t>75045880293</t>
  </si>
  <si>
    <t>10K S-BEAM</t>
  </si>
  <si>
    <t>CELDA DE CARGA RL20001-10T-10K S BEAM</t>
  </si>
  <si>
    <t>21411</t>
  </si>
  <si>
    <t>2336</t>
  </si>
  <si>
    <t>75045880294</t>
  </si>
  <si>
    <t>20K S-Beam</t>
  </si>
  <si>
    <t xml:space="preserve">CELDA DE CARGA SBM RL20001-T10-20K 20,000lb </t>
  </si>
  <si>
    <t>21413</t>
  </si>
  <si>
    <t>2337</t>
  </si>
  <si>
    <t>75045880295</t>
  </si>
  <si>
    <t>20K LOAD CELL</t>
  </si>
  <si>
    <t>CELDA DE PODER STYPERICE LIKE</t>
  </si>
  <si>
    <t>P111006</t>
  </si>
  <si>
    <t>2338</t>
  </si>
  <si>
    <t>75045880415</t>
  </si>
  <si>
    <t>CILINDRO NEUMATICO DE 4X10 PARA SILO DE CEMENTO</t>
  </si>
  <si>
    <t>260591-1</t>
  </si>
  <si>
    <t>CNPA-001</t>
  </si>
  <si>
    <t>2340</t>
  </si>
  <si>
    <t>75045880494</t>
  </si>
  <si>
    <t xml:space="preserve">DUST COLLECTOR WITH FILTER CARTRIDGES </t>
  </si>
  <si>
    <t>COLECTOR DE POLVO DE SILO WAM</t>
  </si>
  <si>
    <t>PDC50R01</t>
  </si>
  <si>
    <t>2352</t>
  </si>
  <si>
    <t>75045880422</t>
  </si>
  <si>
    <t>PNEUMATIC VIBRATOR 1.0 A 1.5Ns</t>
  </si>
  <si>
    <t>VIBRADOR NEUMATICO TIPO MARTILLO: FUERZA DE IMPACTO: 1.0 A 1.5Ns</t>
  </si>
  <si>
    <t>SK30</t>
  </si>
  <si>
    <t>B0CZF5XJTH</t>
  </si>
  <si>
    <t>REVISAR EXISTENCIA</t>
  </si>
  <si>
    <t>2464</t>
  </si>
  <si>
    <t>75045882005</t>
  </si>
  <si>
    <t>AIR REGULATOR 0-100PSI</t>
  </si>
  <si>
    <t>REGULADOR DE AIRE 0-100PSI</t>
  </si>
  <si>
    <t>1520987</t>
  </si>
  <si>
    <t>2465</t>
  </si>
  <si>
    <t>75045882006</t>
  </si>
  <si>
    <t>AIR REGULATOR 0-125PSI</t>
  </si>
  <si>
    <t>REGULADOR DE AIRE 0-125PSI</t>
  </si>
  <si>
    <t>87011</t>
  </si>
  <si>
    <t>2468</t>
  </si>
  <si>
    <t>75045892468</t>
  </si>
  <si>
    <t>WEAR INSERT DN200 (CARBIDE)</t>
  </si>
  <si>
    <t>INSERTOS DESGASTE DN200</t>
  </si>
  <si>
    <t>10081096</t>
  </si>
  <si>
    <t>2469</t>
  </si>
  <si>
    <t>75045892469</t>
  </si>
  <si>
    <t>LARGE HARDENED WEAR PLATE PUMPKIT</t>
  </si>
  <si>
    <t>TRIANGULO GRANDE</t>
  </si>
  <si>
    <t>10146063</t>
  </si>
  <si>
    <t>10183640</t>
  </si>
  <si>
    <t>2471</t>
  </si>
  <si>
    <t>75045892471</t>
  </si>
  <si>
    <t>MANGUERA HD2" 6M DOBLE BOQUILLA</t>
  </si>
  <si>
    <t>2473</t>
  </si>
  <si>
    <t>75045892473</t>
  </si>
  <si>
    <t>TUBO CONERTIDOR SK147MM (MET)-HD157MM 5"x5x500MM</t>
  </si>
  <si>
    <t>2474</t>
  </si>
  <si>
    <t>75045892474</t>
  </si>
  <si>
    <t>PISTON RAM DN180</t>
  </si>
  <si>
    <t>EMBOLO DN180 PIVOTE</t>
  </si>
  <si>
    <t>10007943</t>
  </si>
  <si>
    <t>2475</t>
  </si>
  <si>
    <t>75045892475</t>
  </si>
  <si>
    <t>COUPLING 17,5x50x48</t>
  </si>
  <si>
    <t>COPLE BOMBA HIDRAULICA A2FO12</t>
  </si>
  <si>
    <t>2476</t>
  </si>
  <si>
    <t>75045880538</t>
  </si>
  <si>
    <t>WAY VALVE 4/2</t>
  </si>
  <si>
    <t>VALVULA EMBRAGUE (ENQUINTAR) 4/2 VIAS</t>
  </si>
  <si>
    <t>10003149</t>
  </si>
  <si>
    <t>2477</t>
  </si>
  <si>
    <t>75045892477</t>
  </si>
  <si>
    <t>ELECTRIC GREASE PUMP 12V</t>
  </si>
  <si>
    <t>ENGRASADORA AUTOMATICA 12V</t>
  </si>
  <si>
    <t>A026031-12</t>
  </si>
  <si>
    <t>2478</t>
  </si>
  <si>
    <t>75045892478</t>
  </si>
  <si>
    <t>273827007</t>
  </si>
  <si>
    <t>2479</t>
  </si>
  <si>
    <t>75045892479</t>
  </si>
  <si>
    <t>HYDRAULIC PUMP A4VG180 HD</t>
  </si>
  <si>
    <t>BOMBA HIDRAULICA A4VG180 HD</t>
  </si>
  <si>
    <t>2480</t>
  </si>
  <si>
    <t>75045892480</t>
  </si>
  <si>
    <t>KIT SELLOS PARA BOMBA HIDRAULICA</t>
  </si>
  <si>
    <t>A4VG125-SK</t>
  </si>
  <si>
    <t>2481</t>
  </si>
  <si>
    <t>75045892481</t>
  </si>
  <si>
    <t>SLIDING CLUTCH</t>
  </si>
  <si>
    <t>ENGRANE HORQUILLA SINCRONIZADOR PARA TRANSMISION</t>
  </si>
  <si>
    <t>284943006</t>
  </si>
  <si>
    <t>2482</t>
  </si>
  <si>
    <t>75045892482</t>
  </si>
  <si>
    <t>PUMP SHAFT G61</t>
  </si>
  <si>
    <t>BARRA PARA CAJA DE TRANSFERENCIA MODELO G61</t>
  </si>
  <si>
    <t>221076004</t>
  </si>
  <si>
    <t>2483</t>
  </si>
  <si>
    <t>75045892483</t>
  </si>
  <si>
    <t>HOUSING FOR G61 GEAR BOX</t>
  </si>
  <si>
    <t>CAJA DE TRANSFERENCIA G61</t>
  </si>
  <si>
    <t>222255002</t>
  </si>
  <si>
    <t>2484</t>
  </si>
  <si>
    <t>75045892484</t>
  </si>
  <si>
    <t>SOLENOID VALVE PILOT OPERATED</t>
  </si>
  <si>
    <t xml:space="preserve">ELECTROVALVULA </t>
  </si>
  <si>
    <t>P26006</t>
  </si>
  <si>
    <t>WT8004A1</t>
  </si>
  <si>
    <t>2485</t>
  </si>
  <si>
    <t>75045892485</t>
  </si>
  <si>
    <t>DOUBLE FLANGE BUTTERFLY VALVE WITH CAST IRON DISK</t>
  </si>
  <si>
    <t xml:space="preserve">VALVULA MARIPOSA 10" DOBLE BRIDA </t>
  </si>
  <si>
    <t>V2FS250GBB</t>
  </si>
  <si>
    <t>2486</t>
  </si>
  <si>
    <t xml:space="preserve">VALVULA MARIPOSA 10" CON ACTUADOR </t>
  </si>
  <si>
    <t>PBV-101B</t>
  </si>
  <si>
    <t>2487</t>
  </si>
  <si>
    <t>75045892487</t>
  </si>
  <si>
    <t xml:space="preserve">8" SINGLE FLANGE BUTTERFLY VALVE </t>
  </si>
  <si>
    <t>VALVULA MARIPOSA 8"BRIDA SIMPLE</t>
  </si>
  <si>
    <t>V1FS200GBB</t>
  </si>
  <si>
    <t>2488</t>
  </si>
  <si>
    <t>75045892488</t>
  </si>
  <si>
    <t>U - FLUIDIZATION NOZZLES</t>
  </si>
  <si>
    <t>AIRADOR PARA SILO DE CEMENTO</t>
  </si>
  <si>
    <t>U0251</t>
  </si>
  <si>
    <t>2489</t>
  </si>
  <si>
    <t>75045892489</t>
  </si>
  <si>
    <t>6" MEDIUM WASH OUT BALL</t>
  </si>
  <si>
    <t>PELOTA DE LIMPIEZA 6"</t>
  </si>
  <si>
    <t>CB60M</t>
  </si>
  <si>
    <t>PELIM6</t>
  </si>
  <si>
    <t>2491</t>
  </si>
  <si>
    <t>75045892491</t>
  </si>
  <si>
    <t>PLANT SPRING LOADED SILO SAFETY RELIEF VALVE</t>
  </si>
  <si>
    <t xml:space="preserve">VALVULA DE ALIVIO 8" </t>
  </si>
  <si>
    <t>PSV43520</t>
  </si>
  <si>
    <t>2492</t>
  </si>
  <si>
    <t>75045892492</t>
  </si>
  <si>
    <t>FILTER DRYER</t>
  </si>
  <si>
    <t>FILTRO SEPARADOR Y SECADOR DE AIRE SKF</t>
  </si>
  <si>
    <t>P640150</t>
  </si>
  <si>
    <t>2493</t>
  </si>
  <si>
    <t>75045892493</t>
  </si>
  <si>
    <t>PNEUMATIC VIBRATOR  3.3 A 5.1Ns</t>
  </si>
  <si>
    <t>VIBRADOR NEUMATICO TIPO MARTILLO: FUERZA DE IMPACTO: 3.3 A 5.1Ns</t>
  </si>
  <si>
    <t>SK40</t>
  </si>
  <si>
    <t>B0CZF3RF44</t>
  </si>
  <si>
    <t>2494</t>
  </si>
  <si>
    <t>75045892494</t>
  </si>
  <si>
    <t>CLAMP COUPLING ZX-K5</t>
  </si>
  <si>
    <t>ABRAZADERA 5" MET. CON BASE DE UN TORNILLO ZX-K5/ ACOPLAMIENTO MANGUITO</t>
  </si>
  <si>
    <t>265984000</t>
  </si>
  <si>
    <t>2495</t>
  </si>
  <si>
    <t>75045892495</t>
  </si>
  <si>
    <t>COOLER FAN 12 VOLTS, 11"</t>
  </si>
  <si>
    <t>ABANICO PARA ENFRIADOR HODRAULICO 12V, 11"</t>
  </si>
  <si>
    <t>30394429</t>
  </si>
  <si>
    <t>2496</t>
  </si>
  <si>
    <t>75045892496</t>
  </si>
  <si>
    <t xml:space="preserve">UPPER GASKET SET </t>
  </si>
  <si>
    <t>KIT REPARACION SUPERIOR PARA CABEZA E7, MECANICO Y E7 TECH</t>
  </si>
  <si>
    <t>EGS-3856</t>
  </si>
  <si>
    <t>EGS-3889</t>
  </si>
  <si>
    <t>2497</t>
  </si>
  <si>
    <t>75045892497</t>
  </si>
  <si>
    <t>UNIT INJECTOR SYSTEM</t>
  </si>
  <si>
    <t>BOMBA UNITARIA PARA MOTOR</t>
  </si>
  <si>
    <t>EUP-8764</t>
  </si>
  <si>
    <t>2498</t>
  </si>
  <si>
    <t>75045892498</t>
  </si>
  <si>
    <t>CRACKING CHISEL</t>
  </si>
  <si>
    <t>ROMPETUERCAS</t>
  </si>
  <si>
    <t>30439</t>
  </si>
  <si>
    <t>TRITURADORAS</t>
  </si>
  <si>
    <t>2499</t>
  </si>
  <si>
    <t>75045892499</t>
  </si>
  <si>
    <t>FOUR-BOLT FLANGED HOUSING UNIT UCF 206</t>
  </si>
  <si>
    <t>CHUMACERA CUADRADA DE PARED</t>
  </si>
  <si>
    <t>UCFE.204-12</t>
  </si>
  <si>
    <t>2500</t>
  </si>
  <si>
    <t>75045892500</t>
  </si>
  <si>
    <t>FLANGED BALL BEARING UNIT</t>
  </si>
  <si>
    <t>CHUMACERA TIPO OVAL</t>
  </si>
  <si>
    <t>UCFL207</t>
  </si>
  <si>
    <t>2501</t>
  </si>
  <si>
    <t>75045892501</t>
  </si>
  <si>
    <t>UCP 207 PILLOW BLOCK BEARING</t>
  </si>
  <si>
    <t>CHUMACERA DE PISO</t>
  </si>
  <si>
    <t>UCP205-16</t>
  </si>
  <si>
    <t>2502</t>
  </si>
  <si>
    <t>75045892502</t>
  </si>
  <si>
    <t>100-TF MOUNTED BALL BEARING</t>
  </si>
  <si>
    <t>CHUMACERA 100-TF</t>
  </si>
  <si>
    <t>WSTU 100-TF</t>
  </si>
  <si>
    <t>2503</t>
  </si>
  <si>
    <t>75045892503</t>
  </si>
  <si>
    <t>DODGE TOQUEN-ARM (TXT)</t>
  </si>
  <si>
    <t xml:space="preserve">MOTOREDUCTOR TXT </t>
  </si>
  <si>
    <t>TXT</t>
  </si>
  <si>
    <t>2504</t>
  </si>
  <si>
    <t>75045892504</t>
  </si>
  <si>
    <t>QUICKFIT SCREW SYSTEM CONVEYOR BELT FASTENERS</t>
  </si>
  <si>
    <t>GRAPAS PARA BANDA DE 1 1/2 Y 2" PULGADAS</t>
  </si>
  <si>
    <t>ENG-3637-01</t>
  </si>
  <si>
    <t>697598</t>
  </si>
  <si>
    <t>2505</t>
  </si>
  <si>
    <t>750458925056</t>
  </si>
  <si>
    <t>FASTENER INSTALLATION TOOL</t>
  </si>
  <si>
    <t>LLAVE MANUAL PARA GRAPA</t>
  </si>
  <si>
    <t xml:space="preserve"> 30443</t>
  </si>
  <si>
    <t>2506</t>
  </si>
  <si>
    <t>75045892506</t>
  </si>
  <si>
    <t xml:space="preserve">BALL BEARINGS 6310 SKF </t>
  </si>
  <si>
    <t xml:space="preserve">BALERO 6310 SKF </t>
  </si>
  <si>
    <t>6310</t>
  </si>
  <si>
    <t>2507</t>
  </si>
  <si>
    <t>75045892507</t>
  </si>
  <si>
    <t>BALL BEARINGS 3212 ATN9</t>
  </si>
  <si>
    <t>BALERO 3212 ATN9</t>
  </si>
  <si>
    <t>3212 ATN9</t>
  </si>
  <si>
    <t>2508</t>
  </si>
  <si>
    <t>75045892508</t>
  </si>
  <si>
    <t>BALL BEARINGS 3212 ATN9 SKF</t>
  </si>
  <si>
    <t>BALERO 3212 ATN9 SKF</t>
  </si>
  <si>
    <t>3212 ATN9 SKF</t>
  </si>
  <si>
    <t>2509</t>
  </si>
  <si>
    <t>75045892509</t>
  </si>
  <si>
    <t xml:space="preserve">BALL BEARINGS 6312 SKF </t>
  </si>
  <si>
    <t xml:space="preserve">BALERO 6312 SKF </t>
  </si>
  <si>
    <t xml:space="preserve">6312 SKF </t>
  </si>
  <si>
    <t>2510</t>
  </si>
  <si>
    <t>BALL BEARINGS 6211 SYBR</t>
  </si>
  <si>
    <t>BALERO 6211 SYBR</t>
  </si>
  <si>
    <t>6211 SYBR</t>
  </si>
  <si>
    <t>2511</t>
  </si>
  <si>
    <t xml:space="preserve">BALL BEARINGS 21309 </t>
  </si>
  <si>
    <t xml:space="preserve">BALERO 21309 </t>
  </si>
  <si>
    <t xml:space="preserve">21309 </t>
  </si>
  <si>
    <t>2512</t>
  </si>
  <si>
    <t xml:space="preserve">BALL BEARINGS 6206 SYBR </t>
  </si>
  <si>
    <t xml:space="preserve">BALERO 6206 SYBR </t>
  </si>
  <si>
    <t xml:space="preserve">6206 SYBR </t>
  </si>
  <si>
    <t>2513</t>
  </si>
  <si>
    <t xml:space="preserve">BALL BEARINGS 6204 SYBR </t>
  </si>
  <si>
    <t xml:space="preserve">BALERO 6204 SYBR </t>
  </si>
  <si>
    <t xml:space="preserve">6204 SYBR </t>
  </si>
  <si>
    <t>2514</t>
  </si>
  <si>
    <t>BALL BEARINGS 6017-2Z SKF</t>
  </si>
  <si>
    <t>BALERO 6017-2Z SKF</t>
  </si>
  <si>
    <t>6017-2Z SKF</t>
  </si>
  <si>
    <t>2515</t>
  </si>
  <si>
    <t>BALL BEARINGS 3212A2Z</t>
  </si>
  <si>
    <t>BALERO 3212A2Z</t>
  </si>
  <si>
    <t>3212A2Z</t>
  </si>
  <si>
    <t>2516</t>
  </si>
  <si>
    <t xml:space="preserve">BALL BEARINGS 3212 A-2Z SKF (sellado) </t>
  </si>
  <si>
    <t xml:space="preserve">BALERO 3212 A-2Z SKF (sellado) </t>
  </si>
  <si>
    <t>3212 A-2Z SKF</t>
  </si>
  <si>
    <t>2517</t>
  </si>
  <si>
    <t>BALL BEARINGS 1614ZZ C3 (SELLADO)</t>
  </si>
  <si>
    <t>BALERO 1614ZZ C3 (SELLADO)</t>
  </si>
  <si>
    <t>1614ZZ C3</t>
  </si>
  <si>
    <t>2518</t>
  </si>
  <si>
    <t>Ball bearing UC207</t>
  </si>
  <si>
    <t>REPUESTO PARA CHUMACERA/ RODAMIENTO DE BOLAS INSERTO</t>
  </si>
  <si>
    <t>9902892082</t>
  </si>
  <si>
    <t>9902892121</t>
  </si>
  <si>
    <t>2519</t>
  </si>
  <si>
    <t>VALVULA CARTUCHO 280 BAR</t>
  </si>
  <si>
    <t>10010222</t>
  </si>
  <si>
    <t>2520</t>
  </si>
  <si>
    <t>COUPLING GEARBOX SHAFT A2FO23</t>
  </si>
  <si>
    <t>COPLE PARA BOMBA HIDRÁULICA A2FO23</t>
  </si>
  <si>
    <t>10035155</t>
  </si>
  <si>
    <t>2521</t>
  </si>
  <si>
    <t>BRIDA VASO BOMBA PLUMNA</t>
  </si>
  <si>
    <t>10170732</t>
  </si>
  <si>
    <t>2522</t>
  </si>
  <si>
    <t>FLANGE BEARING CLOSED</t>
  </si>
  <si>
    <t xml:space="preserve">GUIA DE APOYO </t>
  </si>
  <si>
    <t>10011747</t>
  </si>
  <si>
    <t>2523</t>
  </si>
  <si>
    <t>CONTROL BATTERY 7.2V</t>
  </si>
  <si>
    <t>BATERÍA CONTROL 7.2V</t>
  </si>
  <si>
    <t>98384265</t>
  </si>
  <si>
    <t>2524</t>
  </si>
  <si>
    <t>PADDLE LEFT HARD WELDED</t>
  </si>
  <si>
    <t>PLACA MEZCLADORA IZQUIERDA USO RUDO</t>
  </si>
  <si>
    <t>406795</t>
  </si>
  <si>
    <t>2525</t>
  </si>
  <si>
    <t>PADDLE RIGHT HARD WELDED</t>
  </si>
  <si>
    <t>PLACA MEZCLADORA DERECHA USO RUDO</t>
  </si>
  <si>
    <t>406796</t>
  </si>
  <si>
    <t>2526</t>
  </si>
  <si>
    <t>DISTRIBUTOR CASING</t>
  </si>
  <si>
    <t>CAJA DISTRIBUIDORA PARA 4 SENSORES 462265</t>
  </si>
  <si>
    <t>A052566</t>
  </si>
  <si>
    <t>2527</t>
  </si>
  <si>
    <t>CONTROL BLOCK 24V</t>
  </si>
  <si>
    <t>BLOCK HIDRAULICO 2 PALANCAS AGITADORES 24V</t>
  </si>
  <si>
    <t>274937006</t>
  </si>
  <si>
    <t>2528</t>
  </si>
  <si>
    <t>DELIVERY PISTON Q230</t>
  </si>
  <si>
    <t>ENSAMBLE EMBOLO SECCIONADO Q230</t>
  </si>
  <si>
    <t>085813005</t>
  </si>
  <si>
    <t>2529</t>
  </si>
  <si>
    <t>DELIVERY PISTON SEAL Q200</t>
  </si>
  <si>
    <t>SELLO DE EMBOLO Q200</t>
  </si>
  <si>
    <t>080372004</t>
  </si>
  <si>
    <t>2531</t>
  </si>
  <si>
    <t>SELLO DE EMBOLO Q230</t>
  </si>
  <si>
    <t>2532</t>
  </si>
  <si>
    <t>PRESSURE GAUGE 0-60BAR</t>
  </si>
  <si>
    <t>MANOMETRO 0-600BAR</t>
  </si>
  <si>
    <t>527005</t>
  </si>
  <si>
    <t>2533</t>
  </si>
  <si>
    <t>PRESSURE GAUGE 0-600BAR</t>
  </si>
  <si>
    <t>MANOMETRO 0-60BAR</t>
  </si>
  <si>
    <t>404741</t>
  </si>
  <si>
    <t>2534</t>
  </si>
  <si>
    <t>FILTRO HIDRAULICO DE SUCCION</t>
  </si>
  <si>
    <t>551476</t>
  </si>
  <si>
    <t>2535</t>
  </si>
  <si>
    <t>BATTERY</t>
  </si>
  <si>
    <t>BATERIA ROJA</t>
  </si>
  <si>
    <t>458017</t>
  </si>
  <si>
    <t>2536</t>
  </si>
  <si>
    <t>REMOTE CONTROL UNIT 24V</t>
  </si>
  <si>
    <t>CONTROL REMOTO 4 BRAZOS</t>
  </si>
  <si>
    <t>293020004</t>
  </si>
  <si>
    <t>2537</t>
  </si>
  <si>
    <t>SOLENOID VALVE REPAIR KIT</t>
  </si>
  <si>
    <t>VALVULA SELENOIDE 24V COLECTOR DE POLVOS</t>
  </si>
  <si>
    <t>12020250A</t>
  </si>
  <si>
    <t>2538</t>
  </si>
  <si>
    <t>ELECTRIC SOLENOID VALVE 101V OUTLET</t>
  </si>
  <si>
    <t>VALVULA SOLENOIDE 110V</t>
  </si>
  <si>
    <t>4V410-15</t>
  </si>
  <si>
    <t>2539</t>
  </si>
  <si>
    <t>PNEUMATIC SOLENOID VALVE 1.5-8kfg</t>
  </si>
  <si>
    <t>VALVULA SOLENOIDE DOBLE 110V</t>
  </si>
  <si>
    <t>4V230C-08</t>
  </si>
  <si>
    <t>2540</t>
  </si>
  <si>
    <t>KIT DIAFRAGMA Y VALVULA COLECTOR PR03 24/12V</t>
  </si>
  <si>
    <t>KEVN02450A</t>
  </si>
  <si>
    <t>2541</t>
  </si>
  <si>
    <t>4X10 AIRTAC STANDARD PNEUMATIC CYLINDER</t>
  </si>
  <si>
    <t>CILINDRO NEUMATICO 4X10 SILO DE CEMENTO</t>
  </si>
  <si>
    <t>SC100X250-S-Y</t>
  </si>
  <si>
    <t>PACY4X10RR</t>
  </si>
  <si>
    <t>2542</t>
  </si>
  <si>
    <t>100X300 AIRTAC STANDARD PNEUMATIC CYLINDER</t>
  </si>
  <si>
    <t>CILINDRO NEUMATICO 100X300 SILO DE CEMENTO</t>
  </si>
  <si>
    <t>SC100X300</t>
  </si>
  <si>
    <t>2543</t>
  </si>
  <si>
    <t>4X11 AIRTAC STANDARD PNEUMATIC CYLINDER</t>
  </si>
  <si>
    <t>CILINDRO NEUMATICO 4X11 SILO DE CEMENTO</t>
  </si>
  <si>
    <t>C-6023-PK</t>
  </si>
  <si>
    <t>2544</t>
  </si>
  <si>
    <t>80X300 AIRTAC STANDARD PNEUMATIC CYLINDER</t>
  </si>
  <si>
    <t>CILINDRO NEUMATICO 80X300 SILO DE CEMENTO</t>
  </si>
  <si>
    <t>SC80X300</t>
  </si>
  <si>
    <t>2545</t>
  </si>
  <si>
    <t>8IN BUTTERFLY VALVE AND ACTUADOR ASSEMBLY</t>
  </si>
  <si>
    <t>VALVULA MARIPOSA TIPO BRAY 8"</t>
  </si>
  <si>
    <t>BRAY-8B</t>
  </si>
  <si>
    <t>2546</t>
  </si>
  <si>
    <t>BUTTERFLY VALVE DUCTILE IRON</t>
  </si>
  <si>
    <t>VALVULA MARIPOSA TIPO BRAY CON PALANCA</t>
  </si>
  <si>
    <t>BRAY4SSD</t>
  </si>
  <si>
    <t>2547</t>
  </si>
  <si>
    <t>MANUAL LEVER FOR 4IN TO 12IN BUTTERFLY VALVES</t>
  </si>
  <si>
    <t>PALANCA DE MANIJA DOBLADA</t>
  </si>
  <si>
    <t>CM4</t>
  </si>
  <si>
    <t>2548</t>
  </si>
  <si>
    <t>VIBRATOR 1-PHASE 220V, 1PH, 3000RPM MVE400/3M DE FC: 407Kg</t>
  </si>
  <si>
    <t>VIBRADOR ELECTRICO 220V, 1PH, 3000RPM MVE400/3M DE FC: 407Kg</t>
  </si>
  <si>
    <t>MVE400/3M</t>
  </si>
  <si>
    <t>2549</t>
  </si>
  <si>
    <t>VIBRATOR 1-PHASE 220V, 1PH, 3000RPM MVE400/3M DE FC: 407Kg HQ</t>
  </si>
  <si>
    <t>VIBRADOR ELECTRICO 220V, 1PH, 3000RPM MVE400/3M DE FC: 407Kg HQ</t>
  </si>
  <si>
    <t>MVE400/3M HQ</t>
  </si>
  <si>
    <t>2550</t>
  </si>
  <si>
    <t>VIBRATOR 1-PHASE 220V, 1PH, 3000RPM MVE700/3M DE FC: 758Kg</t>
  </si>
  <si>
    <t>VIBRADOR ELECTRICO 220V, 1PH, 3000RPM MVE700/3M DE FC: 758Kg</t>
  </si>
  <si>
    <t>MVE700/3M</t>
  </si>
  <si>
    <t>2551</t>
  </si>
  <si>
    <t>VIBRADOR ELECTRICO 220V, 1PH, 3000RPM MVE700/3M DE FC: 758Kg HQ</t>
  </si>
  <si>
    <t>MVE700/3M HQ</t>
  </si>
  <si>
    <t>2552</t>
  </si>
  <si>
    <t>VIBRATOR 1-PHASE 220V, 1PH, 3000RPM MVE800/3M DE FC: 794 Kg</t>
  </si>
  <si>
    <t>VIBRADOR ELECTRICO 220V, 1PH, 3000RPM MVE800/3M DE FC: 794Kg</t>
  </si>
  <si>
    <t>MVE800/3M</t>
  </si>
  <si>
    <t>2553</t>
  </si>
  <si>
    <t>VIBRATOR 1-PHASE 220V, 1PH, 3000RPM MVE800/3M DE FC: 794Kg MVE800/3M DE FC: 794Kg HQ</t>
  </si>
  <si>
    <t>VIBRADOR ELECTRICO 220V, 1PH, 3000RPM MVE800/3M DE FC: 794Kg HQ</t>
  </si>
  <si>
    <t>MVE800/3M HQ</t>
  </si>
  <si>
    <t>2554</t>
  </si>
  <si>
    <t>LOAD CELL-RL20000-15K S-Beam</t>
  </si>
  <si>
    <t>CELDA DE CARGA DE 15T</t>
  </si>
  <si>
    <t>2555</t>
  </si>
  <si>
    <t>STAINLESS STEEL SHEAR BEAM LOAD CELL 3T</t>
  </si>
  <si>
    <t>CELDA DE CARGA TIPO BARRA 3T</t>
  </si>
  <si>
    <t>CCQ3T</t>
  </si>
  <si>
    <t>SK30X-3ton</t>
  </si>
  <si>
    <t>2556</t>
  </si>
  <si>
    <t>STAINLESS STEEL SHEAR BEAM LOAD CELL 5T</t>
  </si>
  <si>
    <t>CELDA DE CARGA TIPO BARRA 5T</t>
  </si>
  <si>
    <t>NSQC-AST04</t>
  </si>
  <si>
    <t>SK30X-5ton</t>
  </si>
  <si>
    <t>2557</t>
  </si>
  <si>
    <t>TAZA VALERO DE PIVOTE</t>
  </si>
  <si>
    <t>183112</t>
  </si>
  <si>
    <t>2558</t>
  </si>
  <si>
    <t>BALERO PIVOTE MTM</t>
  </si>
  <si>
    <t>183111</t>
  </si>
  <si>
    <t>2559</t>
  </si>
  <si>
    <t xml:space="preserve">RETEN PIVOTE TRASERO </t>
  </si>
  <si>
    <t>215252</t>
  </si>
  <si>
    <t>2560</t>
  </si>
  <si>
    <t>CONTROL CON 2 SWITCH PARA DYNACHUTE</t>
  </si>
  <si>
    <t>PU-WCS-001</t>
  </si>
  <si>
    <t>2561</t>
  </si>
  <si>
    <t>VALVE PLATE R</t>
  </si>
  <si>
    <t xml:space="preserve">PLATO VALVULA GIRACION R </t>
  </si>
  <si>
    <t>5423-R</t>
  </si>
  <si>
    <t>5423-VP</t>
  </si>
  <si>
    <t>2562</t>
  </si>
  <si>
    <t>PLATO APOYO</t>
  </si>
  <si>
    <t>5423-BP</t>
  </si>
  <si>
    <t>2563</t>
  </si>
  <si>
    <t>UNIVERSAL JOINT GREASEABLE 1310</t>
  </si>
  <si>
    <t>CRUCETA 1310 5-153X460</t>
  </si>
  <si>
    <t>S2171</t>
  </si>
  <si>
    <t>2564</t>
  </si>
  <si>
    <t>UNIVERSAL JOINT GREASEABLE 1350</t>
  </si>
  <si>
    <t>CRUCETA 1350 5-178X</t>
  </si>
  <si>
    <t>S7027</t>
  </si>
  <si>
    <t>2565</t>
  </si>
  <si>
    <t>CRUCETA MIXTA 127510</t>
  </si>
  <si>
    <t>S21091</t>
  </si>
  <si>
    <t>2566</t>
  </si>
  <si>
    <t>FLANGE YOKE 1350</t>
  </si>
  <si>
    <t>TOMA FUERZA 1350</t>
  </si>
  <si>
    <t>3-2-119</t>
  </si>
  <si>
    <t>2567</t>
  </si>
  <si>
    <t>CUTTING RING DN220</t>
  </si>
  <si>
    <t>ANILLO CORTE DN220</t>
  </si>
  <si>
    <t>10181916</t>
  </si>
  <si>
    <t>2568</t>
  </si>
  <si>
    <t>ABANICO 24V 11"</t>
  </si>
  <si>
    <t>10329108</t>
  </si>
  <si>
    <t>10221465</t>
  </si>
  <si>
    <t>2569</t>
  </si>
  <si>
    <t>98380243</t>
  </si>
  <si>
    <t>2570</t>
  </si>
  <si>
    <t>30326195</t>
  </si>
  <si>
    <t>2571</t>
  </si>
  <si>
    <t>FILTRO HIDRAULICO CON ROSCA</t>
  </si>
  <si>
    <t>98333016</t>
  </si>
  <si>
    <t>2572</t>
  </si>
  <si>
    <t>10206209</t>
  </si>
  <si>
    <t>2573</t>
  </si>
  <si>
    <t>THRUST RING DN180</t>
  </si>
  <si>
    <t>ANILLO EMPUJE DN180</t>
  </si>
  <si>
    <t>249304004</t>
  </si>
  <si>
    <t>2574</t>
  </si>
  <si>
    <t>PROXIMITY SENSOR WITH CONNECTOR</t>
  </si>
  <si>
    <t xml:space="preserve">SENSOR DE PROXIMIDAD </t>
  </si>
  <si>
    <t>A052222</t>
  </si>
  <si>
    <t>2575</t>
  </si>
  <si>
    <t xml:space="preserve">SOLENOID VALVE </t>
  </si>
  <si>
    <t xml:space="preserve">VALVULA SELENOIDE </t>
  </si>
  <si>
    <t>V5VV40</t>
  </si>
  <si>
    <t>2576</t>
  </si>
  <si>
    <t>CAJA DISTRIBUIDORA PARA 6 SENSORES</t>
  </si>
  <si>
    <t>A056073</t>
  </si>
  <si>
    <t>2577</t>
  </si>
  <si>
    <t>DISTRIBUTOR CASING 8-PIN PLUG</t>
  </si>
  <si>
    <t>CAJA DISTRIBUIDORA PARA 4 SENSORES 8 PIN</t>
  </si>
  <si>
    <t>273465003</t>
  </si>
  <si>
    <t>2578</t>
  </si>
  <si>
    <t>FILTRO HIDRAULICO K-10</t>
  </si>
  <si>
    <t>AT308867</t>
  </si>
  <si>
    <t>2579</t>
  </si>
  <si>
    <t>FILTRO HIDRAULICO K-25</t>
  </si>
  <si>
    <t>AT308940</t>
  </si>
  <si>
    <t>2580</t>
  </si>
  <si>
    <t>NOZZLE TIP SHOTCRETE 2"</t>
  </si>
  <si>
    <t>BOQUILLA SOLA PARA LANZADORA DE CONCRETO PLASTICO</t>
  </si>
  <si>
    <t>30352532</t>
  </si>
  <si>
    <t>2581</t>
  </si>
  <si>
    <t>SHOTCRETE NOZZLE ASSEMBLY 2.5" HD</t>
  </si>
  <si>
    <t>KIT BOQUILLA SCHOCRETE 2.5"HD</t>
  </si>
  <si>
    <t>30373440-2.5</t>
  </si>
  <si>
    <t>2582</t>
  </si>
  <si>
    <t>PROFESSIONALCONCRETE SOLUTIONS</t>
  </si>
  <si>
    <t>CAJA DELECHADA CON 50 SOBRES - EN POLVO</t>
  </si>
  <si>
    <t>LUBE-PRIME</t>
  </si>
  <si>
    <t>2583</t>
  </si>
  <si>
    <t>MANGUERA DESCARGA 2"X 15m DOBLE BOQUILLA HD</t>
  </si>
  <si>
    <t>56010923</t>
  </si>
  <si>
    <t>4012X15HD</t>
  </si>
  <si>
    <t>2584</t>
  </si>
  <si>
    <t>MANGUERA DESCARGA 2"X 7m DOBLE BOQUILLA HD</t>
  </si>
  <si>
    <t>4012X7HD</t>
  </si>
  <si>
    <t>2585</t>
  </si>
  <si>
    <t>MANGUERA DESCARGA 2.5"X 7m DOBLE BOQUILLA HD</t>
  </si>
  <si>
    <t>4015X7HD</t>
  </si>
  <si>
    <t>2589</t>
  </si>
  <si>
    <t xml:space="preserve">SPACER FLANGE </t>
  </si>
  <si>
    <t>BRIDA ESPACIADORA</t>
  </si>
  <si>
    <t>261795002</t>
  </si>
  <si>
    <t>2590</t>
  </si>
  <si>
    <t>CONCRETE MIXER CONTROL CABLE  1.5 4”x1/4”</t>
  </si>
  <si>
    <t>CABLE CONTROL PARA MEZCLADORA DE CONCRETO 1.5 4”x1/4”</t>
  </si>
  <si>
    <t>CL1500.6.100</t>
  </si>
  <si>
    <t>2591</t>
  </si>
  <si>
    <t>CONCRETE MIXER CONTROL CABLE  2.5m 4”x1/4”</t>
  </si>
  <si>
    <t>CABLE CONTROL PARA MEZCLADORA DE CONCRETO 2.5m 4”x1/4”</t>
  </si>
  <si>
    <t>CL2500.6.100</t>
  </si>
  <si>
    <t>2592</t>
  </si>
  <si>
    <t>CONCRETE MIXER CONTROL CABLE  4m  4”x1/4”</t>
  </si>
  <si>
    <t>CABLE CONTROL PARA MEZCLADORA DE CONCRETO 4m  4”x1/4”</t>
  </si>
  <si>
    <t>CL4000.6.100</t>
  </si>
  <si>
    <t>2593</t>
  </si>
  <si>
    <t>CONCRETE MIXER CONTROL CABLE  5m  4”x1/4”</t>
  </si>
  <si>
    <t>CABLE CONTROL PARA MEZCLADORA DE CONCRETO 5m  4”x1/4”</t>
  </si>
  <si>
    <t>CL5000.6.100</t>
  </si>
  <si>
    <t>2594</t>
  </si>
  <si>
    <t>CONCRETE MIXER CONTROL CABLE  6m  4”x1/4”</t>
  </si>
  <si>
    <t>CABLE CONTROL PARA MEZCLADORA DE CONCRETO 6m  4”x1/4”</t>
  </si>
  <si>
    <t>CL6000.6.100</t>
  </si>
  <si>
    <t>2595</t>
  </si>
  <si>
    <t>CONCRETE MIXER CONTROL CABLE  7m  4”x1/4”</t>
  </si>
  <si>
    <t>CABLE CONTROL PARA MEZCLADORA DE CONCRETO 7m  4”x1/4”</t>
  </si>
  <si>
    <t>CL7000.6.100</t>
  </si>
  <si>
    <t>2596</t>
  </si>
  <si>
    <t>CONCRETE MIXER CONTROL CABLE  8m  4”x1/4”</t>
  </si>
  <si>
    <t>CABLE CONTROL PARA MEZCLADORA DE CONCRETO 8m  4”x1/4”</t>
  </si>
  <si>
    <t>CL8000.6.100</t>
  </si>
  <si>
    <t>2597</t>
  </si>
  <si>
    <t>INTERMEDIATE RING</t>
  </si>
  <si>
    <t>ANILLO INTERMEDIO</t>
  </si>
  <si>
    <t>252200001</t>
  </si>
  <si>
    <t>2598</t>
  </si>
  <si>
    <t>26333009</t>
  </si>
  <si>
    <t>2599</t>
  </si>
  <si>
    <t xml:space="preserve">S Pipe WHITE COLOR </t>
  </si>
  <si>
    <t>TUBO S COLOR BLANCO</t>
  </si>
  <si>
    <t>279340009</t>
  </si>
  <si>
    <t>2600</t>
  </si>
  <si>
    <t>CLAMP SNAP  2.5" SK73mm</t>
  </si>
  <si>
    <t>ACOPLAMIENTODE ABRAZADERA A PRESION 2.5" SK-125</t>
  </si>
  <si>
    <t>026142007</t>
  </si>
  <si>
    <t>2601</t>
  </si>
  <si>
    <t>CLAMP SNAP  2.5" HD82.5mm</t>
  </si>
  <si>
    <t>ACOPLAMIENTODE ABRAZADERA A PRESION 2.5" HD82.5mm</t>
  </si>
  <si>
    <t>2602</t>
  </si>
  <si>
    <t>CLAMP SNAP  2" HD</t>
  </si>
  <si>
    <t>ABRAZADERA DE 2" HD</t>
  </si>
  <si>
    <t>32302036</t>
  </si>
  <si>
    <t>2603</t>
  </si>
  <si>
    <t>CLEANING BALL DN125(OD150) HARD</t>
  </si>
  <si>
    <t>PELOTA LIMPIEZA 5" DURA DN125</t>
  </si>
  <si>
    <t>2604</t>
  </si>
  <si>
    <t>CLEANING BALL DN125(OD150) MEDIUM</t>
  </si>
  <si>
    <t>BOLA DE LIMPIEZA 5"  DUREZA MEDIA DN125</t>
  </si>
  <si>
    <t>2605</t>
  </si>
  <si>
    <t>10182402</t>
  </si>
  <si>
    <t>2606</t>
  </si>
  <si>
    <t>ELBOW 20DEGREE 5.5" ZL GREEN</t>
  </si>
  <si>
    <t>CODO DE 5.5"X20 ZL VERDE</t>
  </si>
  <si>
    <t>10002854</t>
  </si>
  <si>
    <t>2607</t>
  </si>
  <si>
    <t>ELBOW 45DEGREE 6" ZL GREEN</t>
  </si>
  <si>
    <t>CODO DE 6"X45 ZL VERDE</t>
  </si>
  <si>
    <t>10116089</t>
  </si>
  <si>
    <t>2608</t>
  </si>
  <si>
    <t>ELBOW 50DEGREE 6" R230 ZL GREEN</t>
  </si>
  <si>
    <t>CODO DE 6"X50 R230 ZL VERDE</t>
  </si>
  <si>
    <t>10188894</t>
  </si>
  <si>
    <t>1434</t>
  </si>
  <si>
    <t>FLEXIBLE HOSE 4 LAYER MET. DN125 SK148 5"X4m SINGLE END</t>
  </si>
  <si>
    <t>MANGUERA FLEXIBLE 4 CAPAS MET. DN125 SK148 5"X4m BOQUILLA SENCILLA</t>
  </si>
  <si>
    <t>MANGUERA 4 CAPAS 5"x4m MET. BOQUILLA SENCILLA</t>
  </si>
  <si>
    <t>BMFH40001F</t>
  </si>
  <si>
    <t>1816</t>
  </si>
  <si>
    <t>75045880268</t>
  </si>
  <si>
    <t>AIR SAFETY VALVE</t>
  </si>
  <si>
    <t>VALVULA DE ALIVIO</t>
  </si>
  <si>
    <t>82407</t>
  </si>
  <si>
    <t>1439</t>
  </si>
  <si>
    <t>FLEXIBLE HOSE 4 LAYER MET. DN125 SK148 5"X7m SINGLE END</t>
  </si>
  <si>
    <t>MANGUERA FLEXIBLE 4 CAPAS MET. DN125 SK148 5"X7m BOQUILLA SENCILLA</t>
  </si>
  <si>
    <t>MANGUERA 4 CAPAS 5"x7m MET. BOQUILLA SENCILLA</t>
  </si>
  <si>
    <t>BMFH70001F</t>
  </si>
  <si>
    <t>1440</t>
  </si>
  <si>
    <t>FLEXIBLE HOSE 4 LAYER MET. DN125 SK148 5"X7m DOUBLE END</t>
  </si>
  <si>
    <t>MANGUERA FLEXIBLE 4 CAPAS MET. DN125 SK148 5"X7m BOQUILLA DOBLE</t>
  </si>
  <si>
    <t>MANGUERA 4 CAPAS 5"x7m MET. BOQUILLA DOBLE</t>
  </si>
  <si>
    <t>BMFH70002F</t>
  </si>
  <si>
    <t>1764</t>
  </si>
  <si>
    <t>FLEXIBLE HOSE 4 LAYER MET. DN125 SK148 5"X3m DOUBLE END</t>
  </si>
  <si>
    <t>MANGUERA FLEXIBLE 4 CAPAS MET. DN125 SK148 5"X3m BOQUILLA DOBLE</t>
  </si>
  <si>
    <t>MANGUERA 4 CAPAS 5"x3m MET. BOQUILLA DOBLE</t>
  </si>
  <si>
    <t>BMFH30002F</t>
  </si>
  <si>
    <t>1804</t>
  </si>
  <si>
    <t>75045880278</t>
  </si>
  <si>
    <t>WATER TANK FLAPPER SPRING MTM</t>
  </si>
  <si>
    <t>RESORTE PARA LENGUETA MTM</t>
  </si>
  <si>
    <t>115184</t>
  </si>
  <si>
    <t>1775</t>
  </si>
  <si>
    <t>75045880505</t>
  </si>
  <si>
    <t>GASKET, WATER TANK FLAPPER MTM</t>
  </si>
  <si>
    <t>EMPAQUE BASE LENGUETA MTM</t>
  </si>
  <si>
    <t>115212</t>
  </si>
  <si>
    <t>1170</t>
  </si>
  <si>
    <t>75045880353</t>
  </si>
  <si>
    <t>RUBBER BUFFER 75x55</t>
  </si>
  <si>
    <t>SOPORTE PARA PARRILLA DEL AGITADOR 75x55</t>
  </si>
  <si>
    <t>10007599</t>
  </si>
  <si>
    <t>1792</t>
  </si>
  <si>
    <t>75045880277</t>
  </si>
  <si>
    <t>WATER TANK RUBBER FLAPPER MTM</t>
  </si>
  <si>
    <t>LENGUETA MTM COMPLETO</t>
  </si>
  <si>
    <t>150830</t>
  </si>
  <si>
    <t>1794</t>
  </si>
  <si>
    <t>75045880267</t>
  </si>
  <si>
    <t>CENTER BACK MOUNT 2 INCH AIR GAUGE 0-100PSI</t>
  </si>
  <si>
    <t>MANOMETRO DE 0-100PSI</t>
  </si>
  <si>
    <t>1170013</t>
  </si>
  <si>
    <t>2347</t>
  </si>
  <si>
    <t>75045880451</t>
  </si>
  <si>
    <t>12" DOUBLE FLANGE BUTTERFLY VALVE CAST IRON DISK</t>
  </si>
  <si>
    <t>VALVULA MARIPOSA 12" DOBLE BRIDA CASTING</t>
  </si>
  <si>
    <t>V2FS300GBB.</t>
  </si>
  <si>
    <t>1815</t>
  </si>
  <si>
    <t>75045880263</t>
  </si>
  <si>
    <t>3 WAY VALVE 3/8"</t>
  </si>
  <si>
    <t>VALVULA DE 3 VIAS 3/8"</t>
  </si>
  <si>
    <t>1520020</t>
  </si>
  <si>
    <t>1791</t>
  </si>
  <si>
    <t>75045880276</t>
  </si>
  <si>
    <t>MTM FLAPPER</t>
  </si>
  <si>
    <t>LENGUETA MTM</t>
  </si>
  <si>
    <t>150831</t>
  </si>
  <si>
    <t>2460</t>
  </si>
  <si>
    <t>75045882002</t>
  </si>
  <si>
    <t>FLAPPER CHALLENGE REX</t>
  </si>
  <si>
    <t>LENGUETA CHALLENGE REX</t>
  </si>
  <si>
    <t>5054169</t>
  </si>
  <si>
    <t>2461</t>
  </si>
  <si>
    <t>75045882003</t>
  </si>
  <si>
    <t>FLAPPER PLASTIC 5"</t>
  </si>
  <si>
    <t>LENGUETA PLASTICO 5"</t>
  </si>
  <si>
    <t>9292092</t>
  </si>
  <si>
    <t>2462</t>
  </si>
  <si>
    <t>75045882004</t>
  </si>
  <si>
    <t>FLAPPER PLASTIC LONDON 4-1/4"</t>
  </si>
  <si>
    <t>LENGUETA PLASTICO LONDON 4-1/4"</t>
  </si>
  <si>
    <t>4HD260</t>
  </si>
  <si>
    <t>2343</t>
  </si>
  <si>
    <t>75045880495</t>
  </si>
  <si>
    <t xml:space="preserve">SILOTOP DUST COLLECTOR FILTER CARTRIDGE SET OF 7 </t>
  </si>
  <si>
    <t xml:space="preserve">SET DE 7 FILTROS POLYPLEAT RECTANGULAR PARA SILO DE CEMENTO  </t>
  </si>
  <si>
    <t>KFEW3007PPEV-K</t>
  </si>
  <si>
    <t>PDC50R01CK</t>
  </si>
  <si>
    <t>2458</t>
  </si>
  <si>
    <t>75045882000</t>
  </si>
  <si>
    <t>\\MCA-S\mk\2_BM\0_BMat\08_PYM\Inventario\excel\Imagen de refacciones\Ollas revolvedoras\Resorte para lengüeta MTM</t>
  </si>
  <si>
    <t>SMALL WATER TANK FLAPPER VALVE SPRING</t>
  </si>
  <si>
    <t>RESORTE PARA LENGUETA CHICA LONDON O CHALLENGE</t>
  </si>
  <si>
    <t>1070063</t>
  </si>
  <si>
    <t>2459</t>
  </si>
  <si>
    <t>75045882001</t>
  </si>
  <si>
    <t>\\MCA-S\mk\2_BM\0_BMat\08_PYM\Inventario\excel\Imagen de refacciones\Ollas revolvedoras\Lengüeta MTM - Lengüeta london - lengüeta challenge_rex - Lengüeta de plastico 5_ - lengüeta de plastico london 4_1_4_</t>
  </si>
  <si>
    <t>FLAPPER LONDON</t>
  </si>
  <si>
    <t>LENGUETA LONDON</t>
  </si>
  <si>
    <t>2182800</t>
  </si>
  <si>
    <t>2586</t>
  </si>
  <si>
    <t>MANGUERA DESCARGA 2.5"X 15m DOBLE BOQUILLA HD</t>
  </si>
  <si>
    <t>BIG MACHINES</t>
  </si>
  <si>
    <t>$ Venta
Pesos</t>
  </si>
  <si>
    <t>$ Venta
Dolares</t>
  </si>
  <si>
    <t>$ Comp
Dolares</t>
  </si>
  <si>
    <t>EMPAQUETADURA VASTAGO DE BOMBEO 80X100X7</t>
  </si>
  <si>
    <t>1001871</t>
  </si>
  <si>
    <t>$ inversion</t>
  </si>
  <si>
    <t>$ comercial</t>
  </si>
  <si>
    <t>\\MCA-S\mk\2_BM\0_BMat\08_PYM\Inventario\excel\Imagen de refacciones\Ollas revolvedoras\Bomba de precarga eaton 5424</t>
  </si>
  <si>
    <t>\\MCA-S\mk\2_BM\0_BMat\08_PYM\Inventario\Imagen de refacciones\Wam\indicador de nivel - lever indicator</t>
  </si>
  <si>
    <t>\\MCA-S\mk\2_BM\0_BMat\08_PYM\Inventario\excel\Imagen de refacciones\Ollas revolvedoras\Reten ZF 418 Chico - Reten ZF 142 (grande) - Reten ZF 251 (Chico)</t>
  </si>
  <si>
    <t>RETEN ZF142 GRANDE 123x165</t>
  </si>
  <si>
    <t>RETEN ZF251 CHICO 125x180</t>
  </si>
  <si>
    <t>\\MCA-S\mk\2_BM\0_BMat\08_PYM\Inventario\excel\Imagen de refacciones\Putzmeister\Radio remote control 24VDC prop _ Control remoto por radio 24VDC PROP</t>
  </si>
  <si>
    <t>\\MCA-S\mk\2_BM\0_BMat\08_PYM\Inventario\excel\Imagen de refacciones\Putzmeister\cilindro de cambio gato buzo 80MM (1)</t>
  </si>
  <si>
    <t>\\MCA-S\mk\2_BM\0_BMat\08_PYM\Inventario\excel\Imagen de refacciones\Putzmeister\Plunger cylinder Q160-80 _ Cilindro de émbolo Q160-80</t>
  </si>
  <si>
    <t>\\MCA-S\mk\2_BM\0_BMat\08_PYM\Inventario\excel\Imagen de refacciones\Putzmeister\Bladder 4LT _ vejiga para acumulador 4 litros</t>
  </si>
  <si>
    <t>\\MCA-S\mk\2_BM\0_BMat\08_PYM\Inventario\excel\Imagen de refacciones\Putzmeister\Bladder 6LT _ Vejiga para acumulador 6 litros</t>
  </si>
  <si>
    <t>\\MCA-S\mk\2_BM\0_BMat\08_PYM\Inventario\excel\Imagen de refacciones\Putzmeister\Bobina 24V para válvula selenoide</t>
  </si>
  <si>
    <t>\\MCA-S\mk\2_BM\0_BMat\08_PYM\Inventario\excel\Imagen de refacciones\Putzmeister\Bomba de agua 7560 completa 8 rodillos</t>
  </si>
  <si>
    <t>\\MCA-S\mk\2_BM\0_BMat\08_PYM\Inventario\excel\Imagen de refacciones\Putzmeister\Casquillo de desgaste</t>
  </si>
  <si>
    <t>\\MCA-S\mk\2_BM\0_BMat\08_PYM\Inventario\excel\Imagen de refacciones\Putzmeister\Chumacera (Rubber Buffer)</t>
  </si>
  <si>
    <t>\\MCA-S\mk\2_BM\0_BMat\08_PYM\Inventario\excel\Imagen de refacciones\Putzmeister\Compuerta de la tolva</t>
  </si>
  <si>
    <t>\\MCA-S\mk\2_BM\0_BMat\08_PYM\Inventario\excel\Imagen de refacciones\Putzmeister\Cuña para codo de bisgra</t>
  </si>
  <si>
    <t>\\MCA-S\mk\2_BM\0_BMat\08_PYM\Inventario\excel\Imagen de refacciones\Putzmeister\Filtro hidráiulico</t>
  </si>
  <si>
    <t>\\MCA-S\mk\2_BM\0_BMat\08_PYM\Inventario\excel\Imagen de refacciones\Putzmeister\Filtro hidráulico</t>
  </si>
  <si>
    <t>\\MCA-S\mk\2_BM\0_BMat\08_PYM\Inventario\excel\Imagen de refacciones\Putzmeister\Horquila para caja de transferencia</t>
  </si>
  <si>
    <t>\\MCA-S\mk\2_BM\0_BMat\08_PYM\Inventario\excel\Imagen de refacciones\Putzmeister\Kit de reparación_ 8 rodillos, 2 reteners, 2 baleros y 1 o -ring</t>
  </si>
  <si>
    <t>Empaques</t>
  </si>
  <si>
    <t>\\MCA-S\mk\2_BM\0_BMat\08_PYM\Inventario\excel\Imagen de refacciones\Putzmeister\Kit de sellos para cilindro de cambio - 80mm</t>
  </si>
  <si>
    <t>\\MCA-S\mk\2_BM\0_BMat\08_PYM\Inventario\excel\Imagen de refacciones\Putzmeister\kit de sellos para guías de alojamiento 80mm y 90mm</t>
  </si>
  <si>
    <t>\\MCA-S\mk\2_BM\0_BMat\08_PYM\Inventario\excel\Imagen de refacciones\Putzmeister\motor agitador b750 nueva generación</t>
  </si>
  <si>
    <t>\\MCA-S\mk\2_BM\0_BMat\08_PYM\Inventario\excel\Imagen de refacciones\Putzmeister\Motor agitador OMH 501</t>
  </si>
  <si>
    <t>\\MCA-S\mk\2_BM\0_BMat\08_PYM\Inventario\excel\Imagen de refacciones\Putzmeister\perno sujetador para codo bisgra</t>
  </si>
  <si>
    <t>\\MCA-S\mk\2_BM\0_BMat\08_PYM\Inventario\excel\Imagen de refacciones\Putzmeister\Relevador 12V</t>
  </si>
  <si>
    <t>\\MCA-S\mk\2_BM\0_BMat\08_PYM\Inventario\excel\Imagen de refacciones\Putzmeister\Sensor de proximidad</t>
  </si>
  <si>
    <t>\\MCA-S\mk\2_BM\0_BMat\08_PYM\Inventario\excel\Imagen de refacciones\Putzmeister\sensor de temperatura  (1)</t>
  </si>
  <si>
    <t>\\MCA-S\mk\2_BM\0_BMat\08_PYM\Inventario\excel\Imagen de refacciones\Putzmeister\sensor de temperatura  (2)</t>
  </si>
  <si>
    <t>\\MCA-S\mk\2_BM\0_BMat\08_PYM\Inventario\excel\Imagen de refacciones\Putzmeister\Válvula cartucho</t>
  </si>
  <si>
    <t>\\MCA-S\mk\2_BM\0_BMat\08_PYM\Inventario\excel\Imagen de refacciones\Putzmeister\Válvula cartucho  (1)</t>
  </si>
  <si>
    <t>\\MCA-S\mk\2_BM\0_BMat\08_PYM\Inventario\excel\Imagen de refacciones\Putzmeister\Válvula putzmeister 12V</t>
  </si>
  <si>
    <t>\\MCA-S\mk\2_BM\0_BMat\08_PYM\Inventario\excel\Imagen de refacciones\Schwing\Balero Articulado Ge46</t>
  </si>
  <si>
    <t>\\MCA-S\mk\2_BM\0_BMat\08_PYM\Inventario\excel\Imagen de refacciones\Schwing\Barra Lado motor</t>
  </si>
  <si>
    <t>\\MCA-S\mk\2_BM\0_BMat\08_PYM\Inventario\excel\Imagen de refacciones\Schwing\Base lado fijo</t>
  </si>
  <si>
    <t>\\MCA-S\mk\2_BM\0_BMat\08_PYM\Inventario\excel\Imagen de refacciones\Schwing\Buje con tope 2.367_ x 1.3957_</t>
  </si>
  <si>
    <t>\\MCA-S\mk\2_BM\0_BMat\08_PYM\Inventario\excel\Imagen de refacciones\Schwing\Buje D60 60_68X24</t>
  </si>
  <si>
    <t>\\MCA-S\mk\2_BM\0_BMat\08_PYM\Inventario\excel\Imagen de refacciones\Schwing\cople para bomba hidráulica a7vo81</t>
  </si>
  <si>
    <t>\\MCA-S\mk\2_BM\0_BMat\08_PYM\Inventario\excel\Imagen de refacciones\Schwing\Disco de bronce</t>
  </si>
  <si>
    <t>\\MCA-S\mk\2_BM\0_BMat\08_PYM\Inventario\excel\Imagen de refacciones\Schwing\Filtro hidráilocp alta presión corto</t>
  </si>
  <si>
    <t>\\MCA-S\mk\2_BM\0_BMat\08_PYM\Inventario\excel\Imagen de refacciones\Schwing\Filtro hidráulica</t>
  </si>
  <si>
    <t>\\MCA-S\mk\2_BM\0_BMat\08_PYM\Inventario\excel\Imagen de refacciones\Schwing\filtro hidráulico</t>
  </si>
  <si>
    <t>\\MCA-S\mk\2_BM\0_BMat\08_PYM\Inventario\excel\Imagen de refacciones\Schwing\filtro hidráulico  (1)</t>
  </si>
  <si>
    <t>\\MCA-S\mk\2_BM\0_BMat\08_PYM\Inventario\excel\Imagen de refacciones\Schwing\filtro hidráulico  (2)</t>
  </si>
  <si>
    <t>\\MCA-S\mk\2_BM\0_BMat\08_PYM\Inventario\excel\Imagen de refacciones\Schwing\filtro hidráulico  (3)</t>
  </si>
  <si>
    <t>-----</t>
  </si>
  <si>
    <t>\\MCA-S\mk\2_BM\0_BMat\08_PYM\Inventario\excel\Imagen de refacciones\Schwing\Horquilla con barra para caja de transferencia</t>
  </si>
  <si>
    <t>\\MCA-S\mk\2_BM\0_BMat\08_PYM\Inventario\excel\Imagen de refacciones\Schwing\Housing Ling DN180 Outlet Side _ Alojamiento Ling DN180 Lado de Salida</t>
  </si>
  <si>
    <t>\\MCA-S\mk\2_BM\0_BMat\08_PYM\Inventario\excel\Imagen de refacciones\Schwing\Kit de sellos para motor agitador</t>
  </si>
  <si>
    <t>\\MCA-S\mk\2_BM\0_BMat\08_PYM\Inventario\excel\Imagen de refacciones\Schwing\Motor Agitador Roller Strator</t>
  </si>
  <si>
    <t>\\MCA-S\mk\2_BM\0_BMat\08_PYM\Inventario\excel\Imagen de refacciones\Schwing\Rod Eye - punta para P_pistón de cambio de V-Rock</t>
  </si>
  <si>
    <t>\\MCA-S\mk\2_BM\0_BMat\08_PYM\Inventario\excel\Imagen de refacciones\Schwing\Sujetador de la compuerta de la tova</t>
  </si>
  <si>
    <t>\\MCA-S\mk\2_BM\0_BMat\08_PYM\Inventario\excel\Imagen de refacciones\Schwing\Support _ Soporte (1)</t>
  </si>
  <si>
    <t>\\MCA-S\mk\2_BM\0_BMat\08_PYM\Inventario\excel\Imagen de refacciones\Schwing\Tapa de agitador (Lado motor)</t>
  </si>
  <si>
    <t>\\MCA-S\mk\2_BM\0_BMat\08_PYM\Inventario\excel\Imagen de refacciones\Schwing\Tapa de aluminio</t>
  </si>
  <si>
    <t>\\MCA-S\mk\2_BM\0_BMat\08_PYM\Inventario\excel\Imagen de refacciones\Schwing\Valvula para ajuste de presión fdr sdp</t>
  </si>
  <si>
    <t>\\MCA-S\mk\2_BM\0_BMat\08_PYM\Inventario\excel\Imagen de refacciones\Schwing\Válvula para embrague enquintar 4_2 vias</t>
  </si>
  <si>
    <t>\\MCA-S\mk\2_BM\0_BMat\08_PYM\Inventario\excel\Imagen de refacciones\Bombeo de concreto\End hose 5_ 4 MT double flange DN125 _ Manguera terminal 5_ 4MT doble brida DN125</t>
  </si>
  <si>
    <t>\\MCA-S\mk\2_BM\0_BMat\08_PYM\Inventario\excel\Imagen de refacciones\Sistemas de tubería\Abrazadera de 5_ metrica doble tornillo con base</t>
  </si>
  <si>
    <t>\\MCA-S\mk\2_BM\0_BMat\08_PYM\Inventario\excel\Imagen de refacciones\Sistemas de tubería\Abrazadera de 5_ metrica doble tornillo sin base</t>
  </si>
  <si>
    <t>\\MCA-S\mk\2_BM\0_BMat\08_PYM\Inventario\excel\Imagen de refacciones\Sistemas de tubería\Abrazadera metrica dn1507</t>
  </si>
  <si>
    <t>\\MCA-S\mk\2_BM\0_BMat\08_PYM\Inventario\excel\Imagen de refacciones\WAM\Vibradores eléctricos 220V, 1Ph, 3000 RPM 66Kg</t>
  </si>
  <si>
    <t>\\MCA-S\mk\2_BM\0_BMat\08_PYM\Inventario\excel\Imagen de refacciones\WAM\Vibradores eléctricos 220V, 1Ph, 3000 RPM 98 Kg</t>
  </si>
  <si>
    <t>\\MCA-S\mk\2_BM\0_BMat\08_PYM\Inventario\excel\Imagen de refacciones\WAM\Vibradores eléctricos 220V, 1Ph, 3000 RPM 187 Kg</t>
  </si>
  <si>
    <t>\\MCA-S\mk\2_BM\0_BMat\08_PYM\Inventario\excel\Imagen de refacciones\WAM\Vibradores eléctricos 220V, 1Ph, 3000 RPM 407 Kg</t>
  </si>
  <si>
    <t>\\MCA-S\mk\2_BM\0_BMat\08_PYM\Inventario\excel\Imagen de refacciones\WAM\Vibradores eléctricos 220V, 1Ph, 3000 RPM 758 Kg</t>
  </si>
  <si>
    <t>\\MCA-S\mk\2_BM\0_BMat\08_PYM\Inventario\excel\Imagen de refacciones\WAM\Vibradores eléctricos 220V, 1Ph, 3000 RPM 794 Kg</t>
  </si>
  <si>
    <t>\\MCA-S\mk\2_BM\0_BMat\08_PYM\Inventario\excel\Imagen de refacciones\WAM\Vibradores neumáticos de 15,000 VIB_MIN</t>
  </si>
  <si>
    <t>\\MCA-S\mk\2_BM\0_BMat\08_PYM\Inventario\excel\Imagen de refacciones\WAM\Vibradores neumáticos de 13,000 VIB_MIN</t>
  </si>
  <si>
    <t>\\MCA-S\mk\2_BM\0_BMat\08_PYM\Inventario\excel\Imagen de refacciones\Wam\Actuador neumatico para válvula mariposa</t>
  </si>
  <si>
    <t>\\MCA-S\mk\2_BM\0_BMat\08_PYM\Inventario\excel\Imagen de refacciones\Wam\Válvula de alivio 10_ wam</t>
  </si>
  <si>
    <t>\\MCA-S\mk\2_BM\0_BMat\08_PYM\Inventario\excel\Imagen de refacciones\Wam\Válvula mariposa 10_ brida simple</t>
  </si>
  <si>
    <t>\\MCA-S\mk\2_BM\0_BMat\08_PYM\Inventario\excel\Imagen de refacciones\Wam\Válvula mariposa 12_ brida simple</t>
  </si>
  <si>
    <t>\\MCA-S\mk\2_BM\0_BMat\08_PYM\Inventario\excel\Imagen de refacciones\Putzmeister\Soporte p_estabilizador de 24_x24_x2_</t>
  </si>
  <si>
    <t>\\MCA-S\mk\2_BM\0_BMat\08_PYM\Inventario\excel\Imagen de refacciones\Putzmeister\Barra mezcladora</t>
  </si>
  <si>
    <t>\\MCA-S\mk\2_BM\0_BMat\08_PYM\Inventario\excel\Imagen de refacciones\Putzmeister\Guia de apoyo 60mm</t>
  </si>
  <si>
    <t>\\MCA-S\mk\2_BM\0_BMat\08_PYM\Inventario\excel\Imagen de refacciones\Putzmeister\Anillo de empuje dn200 y dn230</t>
  </si>
  <si>
    <t>\\MCA-S\mk\2_BM\0_BMat\08_PYM\Inventario\excel\Imagen de refacciones\Putzmeister\Bobina 12V para válvula selenoide</t>
  </si>
  <si>
    <t>\\MCA-S\mk\2_BM\0_BMat\08_PYM\Inventario\excel\Imagen de refacciones\Putzmeister\buje du60 - 60mm</t>
  </si>
  <si>
    <t>\\MCA-S\mk\2_BM\0_BMat\08_PYM\Inventario\excel\Imagen de refacciones\Putzmeister\Casquillo de bronce para palanca oscilante 90mm - chica</t>
  </si>
  <si>
    <t>\\MCA-S\mk\2_BM\0_BMat\08_PYM\Inventario\excel\Imagen de refacciones\Putzmeister\casquillo de plástico para palanca oscilante</t>
  </si>
  <si>
    <t>\\MCA-S\mk\2_BM\0_BMat\08_PYM\Inventario\excel\Imagen de refacciones\Schwing\émbolo dn230 con base</t>
  </si>
  <si>
    <t>\\MCA-S\mk\2_BM\0_BMat\08_PYM\Inventario\excel\Imagen de refacciones\Putzmeister\manómetro 0-250 BAR</t>
  </si>
  <si>
    <t>\\MCA-S\mk\2_BM\0_BMat\08_PYM\Inventario\excel\Imagen de refacciones\Putzmeister\manómetro 0-400 BAR</t>
  </si>
  <si>
    <t>\\MCA-S\mk\2_BM\0_BMat\08_PYM\Inventario\excel\Imagen de refacciones\Putzmeister\sello hermetico rubber disc</t>
  </si>
  <si>
    <t>\\MCA-S\mk\2_BM\0_BMat\08_PYM\Inventario\excel\Imagen de refacciones\Schwing\Empaquetadura para vástago de bombeo 80_100X7</t>
  </si>
  <si>
    <t>MAIN CYLINDER SEAL 80/100X7</t>
  </si>
  <si>
    <t>\\MCA-S\mk\2_BM\0_BMat\08_PYM\Inventario\excel\Imagen de refacciones\Schwing\Buje con tope para barra de V-Rock</t>
  </si>
  <si>
    <t>\\MCA-S\mk\2_BM\0_BMat\08_PYM\Inventario\excel\Imagen de refacciones\Schwing\Buje gemelo para barra de V-rock</t>
  </si>
  <si>
    <t>\\MCA-S\mk\2_BM\0_BMat\08_PYM\Inventario\excel\Imagen de refacciones\Schwing\émbol dn251</t>
  </si>
  <si>
    <t>\\MCA-S\mk\2_BM\0_BMat\08_PYM\Inventario\excel\Imagen de refacciones\Schwing\émbolo con base dn181</t>
  </si>
  <si>
    <t>\\MCA-S\mk\2_BM\0_BMat\08_PYM\Inventario\excel\Imagen de refacciones\Schwing\émbolo dn200 con base</t>
  </si>
  <si>
    <t>\\MCA-S\mk\2_BM\0_BMat\08_PYM\Inventario\excel\Imagen de refacciones\Schwing\émbolo dn200 sin base</t>
  </si>
  <si>
    <t>\\MCA-S\mk\2_BM\0_BMat\08_PYM\Inventario\excel\Imagen de refacciones\Schwing\pistón neumatico 40x10xb para enquintar</t>
  </si>
  <si>
    <t>\\MCA-S\mk\2_BM\0_BMat\08_PYM\Inventario\excel\Imagen de refacciones\Schwing\PIN Perdno con tope para horquilla</t>
  </si>
  <si>
    <t>PIN PERNO CON TOPE PARA HORQUILLA 34x68</t>
  </si>
  <si>
    <t>\\MCA-S\mk\2_BM\0_BMat\08_PYM\Inventario\excel\Imagen de refacciones\Schwing\Sello para compuerta DN251</t>
  </si>
  <si>
    <t>\\MCA-S\mk\2_BM\0_BMat\08_PYM\Inventario\excel\Imagen de refacciones\Schwing\Tapa de 3 hoyos para barra de V-rock</t>
  </si>
  <si>
    <t>\\MCA-S\mk\2_BM\0_BMat\08_PYM\Inventario\excel\Imagen de refacciones\Schwing\vaso para enquintar</t>
  </si>
  <si>
    <t>\\MCA-S\mk\2_BM\0_BMat\08_PYM\Inventario\excel\Imagen de refacciones\Sistemas de tubería\Manguera flexible 3M brida simple -  Flexible Hose 3M Best one flange</t>
  </si>
  <si>
    <t>\\MCA-S\mk\2_BM\0_BMat\08_PYM\Inventario\excel\Imagen de refacciones\Sistemas de tubería\Abrazadera de 5_ metrica ajustable</t>
  </si>
  <si>
    <t>\\MCA-S\mk\2_BM\0_BMat\08_PYM\Inventario\excel\Imagen de refacciones\Sistemas de tubería\Abrazadera de 5_ metrica cola derata con base</t>
  </si>
  <si>
    <t>\\MCA-S\mk\2_BM\0_BMat\08_PYM\Inventario\excel\Imagen de refacciones\Sistemas de tubería\Abrazadera de 5_ metrica doble tornillo</t>
  </si>
  <si>
    <t>\\MCA-S\mk\2_BM\0_BMat\08_PYM\Inventario\excel\Imagen de refacciones\Sistemas de tubería\Abrazadera de 5_ metrica cuatro tornillos sin base</t>
  </si>
  <si>
    <t>\\MCA-S\mk\2_BM\0_BMat\08_PYM\Inventario\excel\Imagen de refacciones\Ollas revolvedoras\Rodillo londón completo 4-3_4_</t>
  </si>
  <si>
    <t>\\MCA-S\mk\2_BM\0_BMat\08_PYM\Inventario\excel\Imagen de refacciones\Schwing\O-Ring 60XS</t>
  </si>
  <si>
    <t>\\MCA-S\mk\2_BM\0_BMat\08_PYM\Inventario\excel\Imagen de refacciones\Wam\AERADOR TIPO BOQUILLA</t>
  </si>
  <si>
    <t>AERADOR TIPO BOQUILLA</t>
  </si>
  <si>
    <t>\\MCA-S\mk\2_BM\0_BMat\08_PYM\Inventario\excel\Imagen de refacciones\Schwing\Cono hermético 40mm</t>
  </si>
  <si>
    <t>\\MCA-S\mk\2_BM\0_BMat\08_PYM\Inventario\excel\Imagen de refacciones\Schwing\Cono hermético 60mm</t>
  </si>
  <si>
    <t>\\MCA-S\mk\2_BM\0_BMat\08_PYM\Inventario\excel\Imagen de refacciones\Schwing\Disco con 3 agujeros</t>
  </si>
  <si>
    <t>\\MCA-S\mk\2_BM\0_BMat\08_PYM\Inventario\excel\Imagen de refacciones\Schwing\Hule riñon Dn 136</t>
  </si>
  <si>
    <t>\\MCA-S\mk\2_BM\0_BMat\08_PYM\Inventario\excel\Imagen de refacciones\Schwing\Hule riñón DN181</t>
  </si>
  <si>
    <t>\\MCA-S\mk\2_BM\0_BMat\08_PYM\Inventario\excel\Imagen de refacciones\Schwing\Pressure Spring DN 210 _ Resorte de Presión DN 210</t>
  </si>
  <si>
    <t>PRESSURE RING DN210</t>
  </si>
  <si>
    <t>\\MCA-S\mk\2_BM\0_BMat\08_PYM\Inventario\excel\Imagen de refacciones\Sistemas de tubería\Abrazadera en u para pluma con 2 tuercas</t>
  </si>
  <si>
    <t>\\MCA-S\mk\2_BM\0_BMat\08_PYM\Inventario\excel\Imagen de refacciones\Schwing\O-ring 70X8 NBR 71</t>
  </si>
  <si>
    <t>\\MCA-S\mk\2_BM\0_BMat\08_PYM\Inventario\excel\Imagen de refacciones\Schwing\O-ring 95x8 NBR 71</t>
  </si>
  <si>
    <t>\\MCA-S\mk\2_BM\0_BMat\08_PYM\Inventario\excel\Imagen de refacciones\Sistemas de tubería\Boquilla de 5_ metrica</t>
  </si>
  <si>
    <t>\\MCA-S\mk\2_BM\0_BMat\08_PYM\Inventario\excel\Imagen de refacciones\Sistemas de tubería\Soporte de plastico para abrazadera en u</t>
  </si>
  <si>
    <t>\\MCA-S\mk\2_BM\0_BMat\08_PYM\Inventario\excel\Imagen de refacciones\Ollas revolvedoras\Rodillo completo MTM 3-7_8_</t>
  </si>
  <si>
    <t>\\MCA-S\mk\2_BM\0_BMat\08_PYM\Inventario\excel\Imagen de refacciones\Sistema tuberia\Tubo de 5_ x3 metros- calibre 7 metrico</t>
  </si>
  <si>
    <t>\\MCA-S\mk\2_BM\0_BMat\08_PYM\Inventario\excel\Imagen de refacciones\Sistemas de tubería\Abrazadera de 5_ metrica cola de rata</t>
  </si>
  <si>
    <t>\\MCA-S\mk\2_BM\0_BMat\08_PYM\Inventario\excel\Imagen de refacciones\Sistemas de tubería\Pelims pelota de limpieza de 5_</t>
  </si>
  <si>
    <t>\\MCA-S\mk\2_BM\0_BMat\08_PYM\Inventario\excel\Imagen de refacciones\Sistema tuberia\EMPAQUE DE 5_ - METRICO CON CEJA</t>
  </si>
  <si>
    <t>\\MCA-S\mk\2_BM\0_BMat\08_PYM\Inventario\excel\Imagen de refacciones\Sistema tuberia\Empaque de 5_ - metrico sin ceja</t>
  </si>
  <si>
    <t>$ Venta Sugerida</t>
  </si>
  <si>
    <t>$ dll Competencia</t>
  </si>
  <si>
    <t>$ dll BM Venta</t>
  </si>
  <si>
    <t>$ mxn Venta</t>
  </si>
  <si>
    <t>$ mxn descuento Ervey</t>
  </si>
  <si>
    <t>$ Esp</t>
  </si>
  <si>
    <t>Valor Total Mercancia</t>
  </si>
  <si>
    <t>Column 17</t>
  </si>
  <si>
    <t>Vendidos</t>
  </si>
  <si>
    <t>Fecha</t>
  </si>
  <si>
    <t>Column 20</t>
  </si>
  <si>
    <t>Column 19</t>
  </si>
  <si>
    <t>556</t>
  </si>
  <si>
    <t>TOTAL</t>
  </si>
  <si>
    <t>\\MCA-S\mk\2_BM\0_BMat\08_PYM\Inventario\excel\Imagen de refacciones\Ollas revolvedoras\MIRLLA_TUBO DE PLASTICO P_TANQUE DE AGUA</t>
  </si>
  <si>
    <t>\\MCA-S\mk\2_BM\0_BMat\08_PYM\Inventario\excel\Imagen de refacciones\Ollas revolvedoras\canalon principal mtm - tipo nuevo</t>
  </si>
  <si>
    <t>\\MCA-S\mk\2_BM\0_BMat\08_PYM\Inventario\excel\Imagen de refacciones\Ollas revolvedoras\Canalon secundario mtm - tipo nuevo</t>
  </si>
  <si>
    <t>\\MCA-S\mk\2_BM\0_BMat\08_PYM\Inventario\excel\Imagen de refacciones\Ollas revolvedoras\Extensión de canalon mtm - tipo nuevo</t>
  </si>
  <si>
    <t>\\MCA-S\mk\2_BM\0_BMat\08_PYM\Inventario\excel\Imagen de refacciones\Ollas revolvedoras\Cono de carga</t>
  </si>
  <si>
    <t>\\MCA-S\mk\2_BM\0_BMat\08_PYM\Inventario\excel\Imagen de refacciones\Ollas revolvedoras\tolva de carga  vampiro</t>
  </si>
  <si>
    <t>\\MCA-S\mk\2_BM\0_BMat\08_PYM\Inventario\excel\Imagen de refacciones\Ollas revolvedoras\Ensamble de liga y gancho de plastico</t>
  </si>
  <si>
    <t>\\MCA-S\mk\2_BM\0_BMat\08_PYM\Inventario\excel\Imagen de refacciones\Ollas revolvedoras\Kit de 2 baleros con taza y 2 retenes para rodillo mtm 3-7_8_</t>
  </si>
  <si>
    <t>\\MCA-S\mk\2_BM\0_BMat\08_PYM\Inventario\excel\Imagen de refacciones\Ollas revolvedoras\Rodillo solo MTM 3-7_8_</t>
  </si>
  <si>
    <t>\\MCA-S\mk\2_BM\0_BMat\08_PYM\Inventario\excel\Imagen de refacciones\Ollas revolvedoras\Barra de rodillo mtm 8_</t>
  </si>
  <si>
    <t>\\MCA-S\mk\2_BM\0_BMat\08_PYM\Inventario\excel\Imagen de refacciones\Ollas revolvedoras\Tuerca de seguridad mtm</t>
  </si>
  <si>
    <t>\\MCA-S\mk\2_BM\0_BMat\08_PYM\Inventario\excel\Imagen de refacciones\Ollas revolvedoras\Rodillo solo london 4-3_4_</t>
  </si>
  <si>
    <t>\\MCA-S\mk\2_BM\0_BMat\08_PYM\Inventario\excel\Imagen de refacciones\Ollas revolvedoras\Perlilla negra para caja de control de cabina</t>
  </si>
  <si>
    <t>\\MCA-S\mk\2_BM\0_BMat\08_PYM\Inventario\excel\Imagen de refacciones\Ollas revolvedoras\Palanca sin agarradera</t>
  </si>
  <si>
    <t>\\MCA-S\mk\2_BM\0_BMat\08_PYM\Inventario\excel\Imagen de refacciones\Ollas revolvedoras\Switch cola de rata - retractril</t>
  </si>
  <si>
    <t>\\MCA-S\mk\2_BM\0_BMat\08_PYM\Inventario\excel\Imagen de refacciones\Ollas revolvedoras\Swithc cola de rata - estático</t>
  </si>
  <si>
    <t>\\MCA-S\mk\2_BM\0_BMat\08_PYM\Inventario\excel\Imagen de refacciones\Ollas revolvedoras\Swithc eléctrico on_off</t>
  </si>
  <si>
    <t>\\MCA-S\mk\2_BM\0_BMat\08_PYM\Inventario\excel\Imagen de refacciones\Ollas revolvedoras\Switch control aceleración</t>
  </si>
  <si>
    <t>\\MCA-S\mk\2_BM\0_BMat\08_PYM\Inventario\excel\Imagen de refacciones\Ollas revolvedoras\flecha de transmisión de olla de 42_</t>
  </si>
  <si>
    <t>\\MCA-S\mk\2_BM\0_BMat\08_PYM\Inventario\excel\Imagen de refacciones\Ollas revolvedoras\Rodillo completo Rex_Challenge</t>
  </si>
  <si>
    <t>\\MCA-S\mk\2_BM\0_BMat\08_PYM\Inventario\excel\Imagen de refacciones\Ollas revolvedoras\Rodillo para olla revolvedora foton</t>
  </si>
  <si>
    <t>\\MCA-S\mk\2_BM\0_BMat\08_PYM\Inventario\excel\Imagen de refacciones\Ollas revolvedoras\Cable de aceleración 10FT x1_4_ X 4_</t>
  </si>
  <si>
    <t>1022</t>
  </si>
  <si>
    <t>\\MCA-S\mk\2_BM\0_BMat\08_PYM\Inventario\excel\Imagen de refacciones\Ollas revolvedoras\Cables de aceleración 23FT x 1_4_ x 4_</t>
  </si>
  <si>
    <t>Cables de aceleración 23FT x 1/4" x 4"</t>
  </si>
  <si>
    <t>\\MCA-S\mk\2_BM\0_BMat\08_PYM\Inventario\excel\Imagen de refacciones\Ollas revolvedoras\Cable de aceleración 23FT x1_4_ X 3_</t>
  </si>
  <si>
    <t>\\MCA-S\mk\2_BM\0_BMat\08_PYM\Inventario\excel\Imagen de refacciones\Ollas revolvedoras\Cable de aceleración 27FT x1_4_ X 4_</t>
  </si>
  <si>
    <t>\\MCA-S\mk\2_BM\0_BMat\08_PYM\Inventario\excel\Imagen de refacciones\Ollas revolvedoras\Cable de aceleración 30FT x1_4_ X 4_</t>
  </si>
  <si>
    <t>\\MCA-S\mk\2_BM\0_BMat\08_PYM\Inventario\excel\Imagen de refacciones\Ollas revolvedoras\Cables de aceleración 30FT x1_4_ X 4_</t>
  </si>
  <si>
    <t>\\MCA-S\mk\2_BM\0_BMat\08_PYM\Inventario\excel\Imagen de refacciones\Ollas revolvedoras\Cable de aceleración 5FT x1_4_ X 4_</t>
  </si>
  <si>
    <t>\\MCA-S\mk\2_BM\0_BMat\08_PYM\Inventario\excel\Imagen de refacciones\Ollas revolvedoras\Cable de aceleración 5FT x1_4_ X 4_ (1)</t>
  </si>
  <si>
    <t>\\MCA-S\mk\2_BM\0_BMat\08_PYM\Inventario\excel\Imagen de refacciones\Ollas revolvedoras\Cable de aceleración 33FT x1_4_ X 4_</t>
  </si>
  <si>
    <t>\\MCA-S\mk\2_BM\0_BMat\08_PYM\Inventario\excel\Imagen de refacciones\Ollas revolvedoras\Cable de aceleración 16FT x1_4_ X 4_</t>
  </si>
  <si>
    <t>\\MCA-S\mk\2_BM\0_BMat\08_PYM\Inventario\excel\Imagen de refacciones\Ollas revolvedoras\Cable de aceleración 14FT x1_4_ X 4_</t>
  </si>
  <si>
    <t>\\MCA-S\mk\2_BM\0_BMat\08_PYM\Inventario\excel\Imagen de refacciones\Ollas revolvedoras\Cable de aceleración 14FT x1_4_ X 4_ (1)</t>
  </si>
  <si>
    <t>\\MCA-S\mk\2_BM\0_BMat\08_PYM\Inventario\excel\Imagen de refacciones\Ollas revolvedoras\Cable de aceleración 17FT x1_4_ X 4_</t>
  </si>
  <si>
    <t>\\MCA-S\mk\2_BM\0_BMat\08_PYM\Inventario\excel\Imagen de refacciones\Ollas revolvedoras\Cables de control para olla MCNEILUS</t>
  </si>
  <si>
    <t>\\MCA-S\mk\2_BM\0_BMat\08_PYM\Inventario\excel\Imagen de refacciones\Ollas revolvedoras\Cables de control para olla mcneilus 10FT x1_4_ x 3_</t>
  </si>
  <si>
    <t>\\MCA-S\mk\2_BM\0_BMat\08_PYM\Inventario\excel\Imagen de refacciones\Ollas revolvedoras\Cables de control para olla mcneilus 10FT x1_4_ x 4_</t>
  </si>
  <si>
    <t>\\MCA-S\mk\2_BM\0_BMat\08_PYM\Inventario\excel\Imagen de refacciones\Ollas revolvedoras\Cables de control para olla mcneilus 16FT x1_4_ x 3_</t>
  </si>
  <si>
    <t>\\MCA-S\mk\2_BM\0_BMat\08_PYM\Inventario\excel\Imagen de refacciones\Ollas revolvedoras\Cables de control para olla mcneilus 16FT x1_4_ x 3_ (1)</t>
  </si>
  <si>
    <t>\\MCA-S\mk\2_BM\0_BMat\08_PYM\Inventario\excel\Imagen de refacciones\Ollas revolvedoras\Cables de control para olla mcneilus 16FT x1_4_ x 4_</t>
  </si>
  <si>
    <t>\\MCA-S\mk\2_BM\0_BMat\08_PYM\Inventario\excel\Imagen de refacciones\Ollas revolvedoras\Cables de control para olla mcneilus 30FT x1_4_ x 4_</t>
  </si>
  <si>
    <t>\\MCA-S\mk\2_BM\0_BMat\08_PYM\Inventario\excel\Imagen de refacciones\Ollas revolvedoras\Cables de control para olla mcneilus 33FT x1_4_ x 3_</t>
  </si>
  <si>
    <t>\\MCA-S\mk\2_BM\0_BMat\08_PYM\Inventario\excel\Imagen de refacciones\Ollas revolvedoras\Cables de control para olla mcneilus 26FT x1_4_ x 4_</t>
  </si>
  <si>
    <t>\\MCA-S\mk\2_BM\0_BMat\08_PYM\Inventario\excel\Imagen de refacciones\Ollas revolvedoras\Cables de control para olla mcneilus 30FT x1_4_ x 3_</t>
  </si>
  <si>
    <t>\\MCA-S\mk\2_BM\0_BMat\08_PYM\Inventario\excel\Imagen de refacciones\Ollas revolvedoras\Cables de control para olla mcneilus 27FT x1_4_ x 3_</t>
  </si>
  <si>
    <t>\\MCA-S\mk\2_BM\0_BMat\08_PYM\Inventario\excel\Imagen de refacciones\Ollas revolvedoras\Cables de control para olla mcneilus 33FT x1_4_ x 3_ (1)</t>
  </si>
  <si>
    <t>\\MCA-S\mk\2_BM\0_BMat\08_PYM\Inventario\excel\Imagen de refacciones\Ollas revolvedoras\Cables de control para olla mcneilus 6FT x1_4_ x 4_</t>
  </si>
  <si>
    <t>\\MCA-S\mk\2_BM\0_BMat\08_PYM\Inventario\excel\Imagen de refacciones\Ollas revolvedoras\Cables de control para olla mcneilus 19FT x1_4_ x 4_</t>
  </si>
  <si>
    <t>\\MCA-S\mk\2_BM\0_BMat\08_PYM\Inventario\excel\Imagen de refacciones\Ollas revolvedoras\Cables de control para olla mcneilus 23FT x1_4_ x 4_</t>
  </si>
  <si>
    <t>\\MCA-S\mk\2_BM\0_BMat\08_PYM\Inventario\excel\Imagen de refacciones\Ollas revolvedoras\Cables de control para olla mcneilus 11FT x1_4_ x 3_</t>
  </si>
  <si>
    <t>\\MCA-S\mk\2_BM\0_BMat\08_PYM\Inventario\excel\Imagen de refacciones\Ollas revolvedoras\Cables de control para olla mcneilus 11FT x1_4_ x 4_</t>
  </si>
  <si>
    <t>\\MCA-S\mk\2_BM\0_BMat\08_PYM\Inventario\excel\Imagen de refacciones\Ollas revolvedoras\Cables de control para olla mcneilus 21FT x1_4_ x 3_</t>
  </si>
  <si>
    <t>\\MCA-S\mk\2_BM\0_BMat\08_PYM\Inventario\excel\Imagen de refacciones\Ollas revolvedoras\Cables de control para olla mcneilus 21FT x1_4_ x 4_</t>
  </si>
  <si>
    <t>\\MCA-S\mk\2_BM\0_BMat\08_PYM\Inventario\excel\Imagen de refacciones\Ollas revolvedoras\Cables de control para olla mcneilus 19FT x1_4_ x 3_</t>
  </si>
  <si>
    <t>\\MCA-S\mk\2_BM\0_BMat\08_PYM\Inventario\excel\Imagen de refacciones\Ollas revolvedoras\Cables de control para olla mcneilus 6FT x1_4_ x 3_</t>
  </si>
  <si>
    <t>\\MCA-S\mk\2_BM\0_BMat\08_PYM\Inventario\excel\Imagen de refacciones\Ollas revolvedoras\Cables de control para olla mcneilus 10FT x1_4_ x  4_</t>
  </si>
  <si>
    <t>\\MCA-S\mk\2_BM\0_BMat\08_PYM\Inventario\excel\Imagen de refacciones\Ollas revolvedoras\Cables de control para olla mcneilus 10FT x1_4_ x 4_ (1)</t>
  </si>
  <si>
    <t>\\MCA-S\mk\2_BM\0_BMat\08_PYM\Inventario\excel\Imagen de refacciones\Ollas revolvedoras\Marcador temperatura rex</t>
  </si>
  <si>
    <t>\\MCA-S\mk\2_BM\0_BMat\08_PYM\Inventario\excel\Imagen de refacciones\Ollas revolvedoras\Bomba hidraulica london hyd pump</t>
  </si>
  <si>
    <t>\\MCA-S\mk\2_BM\0_BMat\08_PYM\Inventario\excel\Imagen de refacciones\Ollas revolvedoras\Kit de Sellos para Eje de Bomba Eaton - Tipo Mecánico</t>
  </si>
  <si>
    <t>\\MCA-S\mk\2_BM\0_BMat\08_PYM\Inventario\excel\Imagen de refacciones\Ollas revolvedoras\kit de sellos para eje de bomba eaton - tipo retén</t>
  </si>
  <si>
    <t>kit de sellos para eje de bomba eaton - tipo retén</t>
  </si>
  <si>
    <t>\\MCA-S\mk\2_BM\0_BMat\08_PYM\Inventario\excel\Imagen de refacciones\Ollas revolvedoras\kit de sellos para piston canalón</t>
  </si>
  <si>
    <t>kit de sellos para piston canalón</t>
  </si>
  <si>
    <t>\\MCA-S\mk\2_BM\0_BMat\08_PYM\Inventario\excel\Imagen de refacciones\Ollas revolvedoras\kit de sellos para transmisión zf</t>
  </si>
  <si>
    <t>\\MCA-S\mk\2_BM\0_BMat\08_PYM\Inventario\excel\Imagen de refacciones\Ollas revolvedoras\Ensamble interruptor de arranque</t>
  </si>
  <si>
    <t>\\MCA-S\mk\2_BM\0_BMat\08_PYM\Inventario\excel\Imagen de refacciones\Ollas revolvedoras\Interruptor de arranque</t>
  </si>
  <si>
    <t>\\MCA-S\mk\2_BM\0_BMat\08_PYM\Inventario\excel\Imagen de refacciones\Ollas revolvedoras\Interruptor electrico</t>
  </si>
  <si>
    <t>\\MCA-S\mk\2_BM\0_BMat\08_PYM\Inventario\excel\Imagen de refacciones\Ollas revolvedoras\Bobina para levante de canalón (COIL)</t>
  </si>
  <si>
    <t>\\MCA-S\mk\2_BM\0_BMat\08_PYM\Inventario\excel\Imagen de refacciones\Ollas revolvedoras\760212</t>
  </si>
  <si>
    <t>\\MCA-S\mk\2_BM\0_BMat\08_PYM\Inventario\excel\Imagen de refacciones\Ollas revolvedoras\Bobina para dynachute m-179</t>
  </si>
  <si>
    <t>Bobina para dynachute m-179</t>
  </si>
  <si>
    <t>\\MCA-S\mk\2_BM\0_BMat\08_PYM\Inventario\excel\Imagen de refacciones\Ollas revolvedoras\Bobina COIL HYDAC 12 VDC</t>
  </si>
  <si>
    <t>\\MCA-S\mk\2_BM\0_BMat\08_PYM\Inventario\excel\Imagen de refacciones\Ollas revolvedoras\Bobina coil hydraforce 12 VDC cromado - DGL</t>
  </si>
  <si>
    <t>\\MCA-S\mk\2_BM\0_BMat\08_PYM\Inventario\excel\Imagen de refacciones\Ollas revolvedoras\Bobina command con- trols e83758#E200N (COIL)</t>
  </si>
  <si>
    <t>\\MCA-S\mk\2_BM\0_BMat\08_PYM\Inventario\excel\Imagen de refacciones\Ollas revolvedoras\Selenoide de 3 postes para dynachute M-719 tipo vijeo</t>
  </si>
  <si>
    <t>\\MCA-S\mk\2_BM\0_BMat\08_PYM\Inventario\excel\Imagen de refacciones\Ollas revolvedoras\Switch de presión hidraulica</t>
  </si>
  <si>
    <t>\\MCA-S\mk\2_BM\0_BMat\08_PYM\Inventario\excel\Imagen de refacciones\Ollas revolvedoras\Sensor de temperatura para aceite hidráulico</t>
  </si>
  <si>
    <t>\\MCA-S\mk\2_BM\0_BMat\08_PYM\Inventario\excel\Imagen de refacciones\Ollas revolvedoras\Piston para canalon acción doble</t>
  </si>
  <si>
    <t>\\MCA-S\mk\2_BM\0_BMat\08_PYM\Inventario\excel\Imagen de refacciones\Ollas revolvedoras\cuenta litros para olla de 1° - digital</t>
  </si>
  <si>
    <t>\\MCA-S\mk\2_BM\0_BMat\08_PYM\Inventario\excel\Imagen de refacciones\Ollas revolvedoras\Roto chamber t30_30</t>
  </si>
  <si>
    <t>\\MCA-S\mk\2_BM\0_BMat\08_PYM\Inventario\excel\Imagen de refacciones\Ollas revolvedoras\Balero seccionado para reductor ZF</t>
  </si>
  <si>
    <t>\\MCA-S\mk\2_BM\0_BMat\08_PYM\Inventario\excel\Imagen de refacciones\Ollas revolvedoras\Balero para reductor ZF</t>
  </si>
  <si>
    <t>\\MCA-S\mk\2_BM\0_BMat\08_PYM\Inventario\excel\Imagen de refacciones\Ollas revolvedoras\Empaque para escotilla - ractangular</t>
  </si>
  <si>
    <t>\\MCA-S\mk\2_BM\0_BMat\08_PYM\Inventario\excel\Imagen de refacciones\Ollas revolvedoras\Flecha para reductor ZF</t>
  </si>
  <si>
    <t>\\MCA-S\mk\2_BM\0_BMat\08_PYM\Inventario\excel\Imagen de refacciones\Ollas revolvedoras\Balero para reductor ZF (1)</t>
  </si>
  <si>
    <t>\\MCA-S\mk\2_BM\0_BMat\08_PYM\Inventario\excel\Imagen de refacciones\Ollas revolvedoras\Empaque para reductor ZF</t>
  </si>
  <si>
    <t>\\MCA-S\mk\2_BM\0_BMat\08_PYM\Inventario\excel\Imagen de refacciones\Ollas revolvedoras\barra dentada de reductor ZF</t>
  </si>
  <si>
    <t>\\MCA-S\mk\2_BM\0_BMat\08_PYM\Inventario\excel\Imagen de refacciones\Ollas revolvedoras\Balero rotula para reductor</t>
  </si>
  <si>
    <t>\\MCA-S\mk\2_BM\0_BMat\08_PYM\Inventario\excel\Imagen de refacciones\Ollas revolvedoras\Balero rotula para reductor (1)</t>
  </si>
  <si>
    <t>\\MCA-S\mk\2_BM\0_BMat\08_PYM\Inventario\excel\Imagen de refacciones\Ollas revolvedoras\Manguera de 3_4 para agua 8 mts</t>
  </si>
  <si>
    <t>\\MCA-S\mk\2_BM\0_BMat\08_PYM\Inventario\excel\Imagen de refacciones\Ollas revolvedoras\Anillo de respaldo para redictpr ZF</t>
  </si>
  <si>
    <t>\\MCA-S\mk\2_BM\0_BMat\08_PYM\Inventario\excel\Imagen de refacciones\Ollas revolvedoras\control mtm con 3 switches</t>
  </si>
  <si>
    <t>\\MCA-S\mk\2_BM\0_BMat\08_PYM\Inventario\excel\Imagen de refacciones\Ollas revolvedoras\Foco auxiliar</t>
  </si>
  <si>
    <t>\\MCA-S\mk\2_BM\0_BMat\08_PYM\Inventario\excel\Imagen de refacciones\Ollas revolvedoras\Foco auxiliar LED</t>
  </si>
  <si>
    <t>\\MCA-S\mk\2_BM\0_BMat\08_PYM\Inventario\excel\Imagen de refacciones\Ollas revolvedoras\Olla con capacidad de 8 mt3</t>
  </si>
  <si>
    <t>\\MCA-S\mk\2_BM\0_BMat\08_PYM\Inventario\excel\Imagen de refacciones\Ollas revolvedoras\Tanque de agua 100 GAL</t>
  </si>
  <si>
    <t>\\MCA-S\mk\2_BM\0_BMat\08_PYM\Inventario\excel\Imagen de refacciones\Ollas revolvedoras\Pedestal trasero (no incluye accesorios)</t>
  </si>
  <si>
    <t>\\MCA-S\mk\2_BM\0_BMat\08_PYM\Inventario\excel\Imagen de refacciones\Ollas revolvedoras\Kit de cuenta vueltas para olla</t>
  </si>
  <si>
    <t>\\MCA-S\mk\2_BM\0_BMat\08_PYM\Inventario\excel\Imagen de refacciones\Ollas revolvedoras\Bearing flange</t>
  </si>
  <si>
    <t>\\MCA-S\mk\2_BM\0_BMat\08_PYM\Inventario\excel\Imagen de refacciones\Ollas revolvedoras\Sealing collar</t>
  </si>
  <si>
    <t>\\MCA-S\mk\2_BM\0_BMat\08_PYM\Inventario\excel\Imagen de refacciones\Ollas revolvedoras\ring</t>
  </si>
  <si>
    <t>\\MCA-S\mk\2_BM\0_BMat\08_PYM\Inventario\excel\Imagen de refacciones\Ollas revolvedoras\Thrust Disk</t>
  </si>
  <si>
    <t>\\MCA-S\mk\2_BM\0_BMat\08_PYM\Inventario\excel\Imagen de refacciones\Ollas revolvedoras\Roller bearing</t>
  </si>
  <si>
    <t>\\MCA-S\mk\2_BM\0_BMat\08_PYM\Inventario\excel\Imagen de refacciones\Ollas revolvedoras\Oil dipstick</t>
  </si>
  <si>
    <t>\\MCA-S\mk\2_BM\0_BMat\08_PYM\Inventario\excel\Imagen de refacciones\Ollas revolvedoras\Bearing Housing</t>
  </si>
  <si>
    <t>\\MCA-S\mk\2_BM\0_BMat\08_PYM\Inventario\excel\Imagen de refacciones\Ollas revolvedoras\CLUTCH HOUSING</t>
  </si>
  <si>
    <t>\\MCA-S\mk\2_BM\0_BMat\08_PYM\Inventario\excel\Imagen de refacciones\Ollas revolvedoras\SOLTTED NUT</t>
  </si>
  <si>
    <t>\\MCA-S\mk\2_BM\0_BMat\08_PYM\Inventario\excel\Imagen de refacciones\Ollas revolvedoras\RETAINING RING</t>
  </si>
  <si>
    <t>1106</t>
  </si>
  <si>
    <t>\\MCA-S\mk\2_BM\0_BMat\08_PYM\Inventario\excel\Imagen de refacciones\Ollas revolvedoras\JOINT BEARING</t>
  </si>
  <si>
    <t>JOINT BEARING</t>
  </si>
  <si>
    <t>\\MCA-S\mk\2_BM\0_BMat\08_PYM\Inventario\excel\Imagen de refacciones\Ollas revolvedoras\PLANETARY CARRIER</t>
  </si>
  <si>
    <t>\\MCA-S\mk\2_BM\0_BMat\08_PYM\Inventario\excel\Imagen de refacciones\Ollas revolvedoras\PIN</t>
  </si>
  <si>
    <t>\\MCA-S\mk\2_BM\0_BMat\08_PYM\Inventario\excel\Imagen de refacciones\Ollas revolvedoras\THRUST WASHER</t>
  </si>
  <si>
    <t>\\MCA-S\mk\2_BM\0_BMat\08_PYM\Inventario\excel\Imagen de refacciones\Ollas revolvedoras\INTERMEDIATE WASHER</t>
  </si>
  <si>
    <t>\\MCA-S\mk\2_BM\0_BMat\08_PYM\Inventario\excel\Imagen de refacciones\Ollas revolvedoras\PLANETARY GEAR</t>
  </si>
  <si>
    <t>\\MCA-S\mk\2_BM\0_BMat\08_PYM\Inventario\excel\Imagen de refacciones\Ollas revolvedoras\NEEDLE BEARING</t>
  </si>
  <si>
    <t>\\MCA-S\mk\2_BM\0_BMat\08_PYM\Inventario\excel\Imagen de refacciones\Ollas revolvedoras\Ball Bearing</t>
  </si>
  <si>
    <t>\\MCA-S\mk\2_BM\0_BMat\08_PYM\Inventario\excel\Imagen de refacciones\Ollas revolvedoras\SNAP RING</t>
  </si>
  <si>
    <t>\\MCA-S\mk\2_BM\0_BMat\08_PYM\Inventario\excel\Imagen de refacciones\Ollas revolvedoras\BEARING COVER</t>
  </si>
  <si>
    <t>\\MCA-S\mk\2_BM\0_BMat\08_PYM\Inventario\excel\Imagen de refacciones\Ollas revolvedoras\Planetary carrier (1)</t>
  </si>
  <si>
    <t>\\MCA-S\mk\2_BM\0_BMat\08_PYM\Inventario\excel\Imagen de refacciones\Ollas revolvedoras\Bearing plate</t>
  </si>
  <si>
    <t>\\MCA-S\mk\2_BM\0_BMat\08_PYM\Inventario\excel\Imagen de refacciones\Ollas revolvedoras\BALL BEARING (1)</t>
  </si>
  <si>
    <t>\\MCA-S\mk\2_BM\0_BMat\08_PYM\Inventario\excel\Imagen de refacciones\Ollas revolvedoras\BEARING PIN</t>
  </si>
  <si>
    <t>\\MCA-S\mk\2_BM\0_BMat\08_PYM\Inventario\excel\Imagen de refacciones\Ollas revolvedoras\PLANETARY GEAR (1)</t>
  </si>
  <si>
    <t>\\MCA-S\mk\2_BM\0_BMat\08_PYM\Inventario\excel\Imagen de refacciones\Ollas revolvedoras\THRUST WASHER (1)</t>
  </si>
  <si>
    <t>\\MCA-S\mk\2_BM\0_BMat\08_PYM\Inventario\excel\Imagen de refacciones\Ollas revolvedoras\INTERMEDIATE WASHER (1)</t>
  </si>
  <si>
    <t>\\MCA-S\mk\2_BM\0_BMat\08_PYM\Inventario\excel\Imagen de refacciones\Ollas revolvedoras\NEEDLE BEARING (1)</t>
  </si>
  <si>
    <t>1124</t>
  </si>
  <si>
    <t>\\MCA-S\mk\2_BM\0_BMat\08_PYM\Inventario\excel\Imagen de refacciones\Ollas revolvedoras\GASKET</t>
  </si>
  <si>
    <t>\\MCA-S\mk\2_BM\0_BMat\08_PYM\Inventario\excel\Imagen de refacciones\Ollas revolvedoras\OILSIGHT GLASS</t>
  </si>
  <si>
    <t>\\MCA-S\mk\2_BM\0_BMat\08_PYM\Inventario\excel\Imagen de refacciones\Ollas revolvedoras\HOUSING</t>
  </si>
  <si>
    <t>\\MCA-S\mk\2_BM\0_BMat\08_PYM\Inventario\excel\Imagen de refacciones\Ollas revolvedoras\SEALING RING</t>
  </si>
  <si>
    <t>\\MCA-S\mk\2_BM\0_BMat\08_PYM\Inventario\excel\Imagen de refacciones\Ollas revolvedoras\SCREW PLU</t>
  </si>
  <si>
    <t>\\MCA-S\mk\2_BM\0_BMat\08_PYM\Inventario\excel\Imagen de refacciones\Ollas revolvedoras\NAME PIATE</t>
  </si>
  <si>
    <t>\\MCA-S\mk\2_BM\0_BMat\08_PYM\Inventario\excel\Imagen de refacciones\Ollas revolvedoras\GROO VED PIN</t>
  </si>
  <si>
    <t>\\MCA-S\mk\2_BM\0_BMat\08_PYM\Inventario\excel\Imagen de refacciones\Ollas revolvedoras\SOCKET HEAD CAP SCREW</t>
  </si>
  <si>
    <t>\\MCA-S\mk\2_BM\0_BMat\08_PYM\Inventario\excel\Imagen de refacciones\Ollas revolvedoras\SOCKET HEAD CAP SCREW (1)</t>
  </si>
  <si>
    <t>\\MCA-S\mk\2_BM\0_BMat\08_PYM\Inventario\excel\Imagen de refacciones\Ollas revolvedoras\RETAINING RING (1)</t>
  </si>
  <si>
    <t>\\MCA-S\mk\2_BM\0_BMat\08_PYM\Inventario\excel\Imagen de refacciones\Ollas revolvedoras\BALL BEARING (2)</t>
  </si>
  <si>
    <t>1135</t>
  </si>
  <si>
    <t>\\MCA-S\mk\2_BM\0_BMat\08_PYM\Inventario\excel\Imagen de refacciones\Ollas revolvedoras\INPUT SHAFT-21 SPUNE</t>
  </si>
  <si>
    <t>INPUT SHAFT-21 SPUNE</t>
  </si>
  <si>
    <t>\\MCA-S\mk\2_BM\0_BMat\08_PYM\Inventario\excel\Imagen de refacciones\Ollas revolvedoras\RETAINING RING (2)</t>
  </si>
  <si>
    <t>\\MCA-S\mk\2_BM\0_BMat\08_PYM\Inventario\excel\Imagen de refacciones\Ollas revolvedoras\SHAFT SEAL</t>
  </si>
  <si>
    <t>\\MCA-S\mk\2_BM\0_BMat\08_PYM\Inventario\excel\Imagen de refacciones\Ollas revolvedoras\GASKET (1)</t>
  </si>
  <si>
    <t>\\MCA-S\mk\2_BM\0_BMat\08_PYM\Inventario\excel\Imagen de refacciones\Ollas revolvedoras\Valvula Rock</t>
  </si>
  <si>
    <t>1140</t>
  </si>
  <si>
    <t>\\MCA-S\mk\2_BM\0_BMat\08_PYM\Inventario\excel\Imagen de refacciones\Ollas revolvedoras\Perno piston valvula rock</t>
  </si>
  <si>
    <t>Perno piston valvula rock</t>
  </si>
  <si>
    <t>\\MCA-S\mk\2_BM\0_BMat\08_PYM\Inventario\excel\Imagen de refacciones\Ollas revolvedoras\Barra con tope</t>
  </si>
  <si>
    <t>FLANGED SHAFT BEARING SIDE</t>
  </si>
  <si>
    <t>\\MCA-S\mk\2_BM\0_BMat\08_PYM\Inventario\excel\Imagen de refacciones\Ollas revolvedoras\Tornillos para valvula rock</t>
  </si>
  <si>
    <t>\\MCA-S\mk\2_BM\0_BMat\08_PYM\Inventario\excel\Imagen de refacciones\Ollas revolvedoras\Rondana para valvula rock</t>
  </si>
  <si>
    <t>\\MCA-S\mk\2_BM\0_BMat\08_PYM\Inventario\excel\Imagen de refacciones\Ollas revolvedoras\Conector para embolo pivote</t>
  </si>
  <si>
    <t>\\MCA-S\mk\2_BM\0_BMat\08_PYM\Inventario\excel\Imagen de refacciones\Schwing\Porta insertos</t>
  </si>
  <si>
    <t>\\MCA-S\mk\2_BM\0_BMat\08_PYM\Inventario\excel\Imagen de refacciones\Schwing\Triangulo (chico y grande)</t>
  </si>
  <si>
    <t>\\MCA-S\mk\2_BM\0_BMat\08_PYM\Inventario\excel\Imagen de refacciones\Schwing\dona para corredera valvula gate 42x15.5</t>
  </si>
  <si>
    <t>\\MCA-S\mk\2_BM\0_BMat\08_PYM\Inventario\excel\Imagen de refacciones\Ollas revolvedoras\dona para corredera valvula gate 50x16</t>
  </si>
  <si>
    <t>\\MCA-S\mk\2_BM\0_BMat\08_PYM\Inventario\excel\Imagen de refacciones\Schwing\Corredera Grande para Válvula Gate</t>
  </si>
  <si>
    <t>\\MCA-S\mk\2_BM\0_BMat\08_PYM\Inventario\excel\Imagen de refacciones\Schwing\corredera chica - valvula gate</t>
  </si>
  <si>
    <t>\\MCA-S\mk\2_BM\0_BMat\08_PYM\Inventario\excel\Imagen de refacciones\Schwing\Perla DN210 para Válvula Gate</t>
  </si>
  <si>
    <t>\\MCA-S\mk\2_BM\0_BMat\08_PYM\Inventario\excel\Imagen de refacciones\Schwing\Perla DN180 Válvula gate</t>
  </si>
  <si>
    <t>\\MCA-S\mk\2_BM\0_BMat\08_PYM\Inventario\excel\Imagen de refacciones\Schwing\Buje para Corredera 70×55_68</t>
  </si>
  <si>
    <t>\\MCA-S\mk\2_BM\0_BMat\08_PYM\Inventario\excel\Imagen de refacciones\Schwing\Pistón de cambio para válvula rock</t>
  </si>
  <si>
    <t>\\MCA-S\mk\2_BM\0_BMat\08_PYM\Inventario\excel\Imagen de refacciones\Schwing\Kit de Sellos para Pistón de Cambio</t>
  </si>
  <si>
    <t>100064756</t>
  </si>
  <si>
    <t>\\MCA-S\mk\2_BM\0_BMat\08_PYM\Inventario\excel\Imagen de refacciones\Schwing\Barra para piston de cambio de v-rock</t>
  </si>
  <si>
    <t>\\MCA-S\mk\2_BM\0_BMat\08_PYM\Inventario\excel\Imagen de refacciones\Schwing\Kit de reparación de motor agitador completo, barra cuña, sellos, retenes y baleros</t>
  </si>
  <si>
    <t>\\MCA-S\mk\2_BM\0_BMat\08_PYM\Inventario\excel\Imagen de refacciones\Schwing\Barra para motor agitador con cuña</t>
  </si>
  <si>
    <t>\\MCA-S\mk\2_BM\0_BMat\08_PYM\Inventario\excel\Imagen de refacciones\Schwing\Codo de 14_ de transición entre tolva y codo bisagra</t>
  </si>
  <si>
    <t>10226159</t>
  </si>
  <si>
    <t>\\MCA-S\mk\2_BM\0_BMat\08_PYM\Inventario\excel\Imagen de refacciones\Schwing\Conector de transición DN200</t>
  </si>
  <si>
    <t>\\MCA-S\mk\2_BM\0_BMat\08_PYM\Inventario\excel\Imagen de refacciones\Schwing\Vibrador de 24 V para parrilla de la bomba</t>
  </si>
  <si>
    <t>\\MCA-S\mk\2_BM\0_BMat\08_PYM\Inventario\excel\Imagen de refacciones\Schwing\Perno sujetador</t>
  </si>
  <si>
    <t>\\MCA-S\mk\2_BM\0_BMat\08_PYM\Inventario\excel\Imagen de refacciones\Schwing\Codo bisagra</t>
  </si>
  <si>
    <t>\\MCA-S\mk\2_BM\0_BMat\08_PYM\Inventario\excel\Imagen de refacciones\Schwing\tornillo para perno sujetador schwing</t>
  </si>
  <si>
    <t>\\MCA-S\mk\2_BM\0_BMat\08_PYM\Inventario\excel\Imagen de refacciones\Schwing\codo secundario 6_x90_ con extension</t>
  </si>
  <si>
    <t>\\MCA-S\mk\2_BM\0_BMat\08_PYM\Inventario\excel\Imagen de refacciones\Schwing\O-Ring 200 X 10</t>
  </si>
  <si>
    <t>\\MCA-S\mk\2_BM\0_BMat\08_PYM\Inventario\excel\Imagen de refacciones\Schwing\O-Ring 6_ - DN150</t>
  </si>
  <si>
    <t>\\MCA-S\mk\2_BM\0_BMat\08_PYM\Inventario\excel\Imagen de refacciones\Schwing\Reductor de 6_x5_ x 1600MM</t>
  </si>
  <si>
    <t>\\MCA-S\mk\2_BM\0_BMat\08_PYM\Inventario\excel\Imagen de refacciones\Schwing\Buje de flotación para horquilla de cilindro de resortera</t>
  </si>
  <si>
    <t>\\MCA-S\mk\2_BM\0_BMat\08_PYM\Inventario\excel\Imagen de refacciones\Schwing\Soporte para parrilla del agitador</t>
  </si>
  <si>
    <t>\\MCA-S\mk\2_BM\0_BMat\08_PYM\Inventario\excel\Imagen de refacciones\Schwing\Buje 120_80 para cilindro hidraulico de bombeo</t>
  </si>
  <si>
    <t>1172</t>
  </si>
  <si>
    <t>75045891172</t>
  </si>
  <si>
    <t>\\MCA-S\mk\2_BM\0_BMat\08_PYM\Inventario\excel\Imagen de refacciones\Schwing\Cilindro de bombeo DN200x1600</t>
  </si>
  <si>
    <t>CONCRETE PUMP CYLINDER DN200x1600</t>
  </si>
  <si>
    <t>CILINDRO BOMBEO DN200x1600</t>
  </si>
  <si>
    <t>75045891173</t>
  </si>
  <si>
    <t>\\MCA-S\mk\2_BM\0_BMat\08_PYM\Inventario\excel\Imagen de refacciones\Schwing\Cilindro de bombeo DN200x1775</t>
  </si>
  <si>
    <t>1002001775</t>
  </si>
  <si>
    <t>\\MCA-S\mk\2_BM\0_BMat\08_PYM\Inventario\excel\Imagen de refacciones\Schwing\Cilindro de bombeo DN200x2125</t>
  </si>
  <si>
    <t>\\MCA-S\mk\2_BM\0_BMat\08_PYM\Inventario\excel\Imagen de refacciones\Schwing\Cilindro de bombeo DN250x2500</t>
  </si>
  <si>
    <t>CONCRETE PUMP CYLINDER DN250x2500</t>
  </si>
  <si>
    <t>CILINDRO BOMBEO DN250x2500</t>
  </si>
  <si>
    <t>\\MCA-S\mk\2_BM\0_BMat\08_PYM\Inventario\excel\Imagen de refacciones\Schwing\Cilindro de bombeo DN230x2125</t>
  </si>
  <si>
    <t>CONCRETE PUMP CYLINDER DN230X2125</t>
  </si>
  <si>
    <t>CILINDRO BOMBEO DN230x2125</t>
  </si>
  <si>
    <t>\\MCA-S\mk\2_BM\0_BMat\08_PYM\Inventario\excel\Imagen de refacciones\Schwing\Inserto o aumento de cañon DN230</t>
  </si>
  <si>
    <t>\\MCA-S\mk\2_BM\0_BMat\08_PYM\Inventario\excel\Imagen de refacciones\Schwing\Vastago de bombeo 80mm de diametro</t>
  </si>
  <si>
    <t>\\MCA-S\mk\2_BM\0_BMat\08_PYM\Inventario\excel\Imagen de refacciones\Schwing\Conector RAM para émbolo y vástago</t>
  </si>
  <si>
    <t>\\MCA-S\mk\2_BM\0_BMat\08_PYM\Inventario\excel\Imagen de refacciones\Schwing\Anillo para cabezal de bronce 90_82.3X3</t>
  </si>
  <si>
    <t>\\MCA-S\mk\2_BM\0_BMat\08_PYM\Inventario\excel\Imagen de refacciones\Schwing\Anillo para cabezal de bronce 130_119.2X4</t>
  </si>
  <si>
    <t>\\MCA-S\mk\2_BM\0_BMat\08_PYM\Inventario\excel\Imagen de refacciones\Schwing\Anillo para cabezal de bronce 110_100.8X3</t>
  </si>
  <si>
    <t>\\MCA-S\mk\2_BM\0_BMat\08_PYM\Inventario\excel\Imagen de refacciones\Schwing\Anillo para cabezal de bronce 100_91.4X3</t>
  </si>
  <si>
    <t>\\MCA-S\mk\2_BM\0_BMat\08_PYM\Inventario\excel\Imagen de refacciones\Schwing\Anillo para cabezal de bronce 125_114.6X4</t>
  </si>
  <si>
    <t>\\MCA-S\mk\2_BM\0_BMat\08_PYM\Inventario\excel\Imagen de refacciones\Schwing\émbolo DN180 con pivote</t>
  </si>
  <si>
    <t>\\MCA-S\mk\2_BM\0_BMat\08_PYM\Inventario\excel\Imagen de refacciones\Schwing\Empaques tipo o-ring para cañon 220X3 NBR 70 para DN200</t>
  </si>
  <si>
    <t>\\MCA-S\mk\2_BM\0_BMat\08_PYM\Inventario\excel\Imagen de refacciones\Schwing\Empaques tipo o-ring para cañon 207X3 NBR 70 para DN200</t>
  </si>
  <si>
    <t>\\MCA-S\mk\2_BM\0_BMat\08_PYM\Inventario\excel\Imagen de refacciones\Schwing\Empaques tipo o-ring para cañon 270X3 NBR  70 para DN230</t>
  </si>
  <si>
    <t>\\MCA-S\mk\2_BM\0_BMat\08_PYM\Inventario\excel\Imagen de refacciones\Schwing\Empaques tipo o-ring para cañon 240X3 NBR 70 para DN230</t>
  </si>
  <si>
    <t>\\MCA-S\mk\2_BM\0_BMat\08_PYM\Inventario\excel\Imagen de refacciones\Schwing\Batería para equipo brasileño</t>
  </si>
  <si>
    <t>\\MCA-S\mk\2_BM\0_BMat\08_PYM\Inventario\excel\Imagen de refacciones\Schwing\Caja de transferencia completa con bombas hidráulicas reconstruidas</t>
  </si>
  <si>
    <t>\\MCA-S\mk\2_BM\0_BMat\08_PYM\Inventario\excel\Imagen de refacciones\Schwing\Barra 4193 para caja de transferencia</t>
  </si>
  <si>
    <t>\\MCA-S\mk\2_BM\0_BMat\08_PYM\Inventario\excel\Imagen de refacciones\Schwing\Soporte para caja de transferencia - cone megi</t>
  </si>
  <si>
    <t>\\MCA-S\mk\2_BM\0_BMat\08_PYM\Inventario\excel\Imagen de refacciones\Schwing\Tornillo hueco 1_2_ con rondanas</t>
  </si>
  <si>
    <t>\\MCA-S\mk\2_BM\0_BMat\08_PYM\Inventario\excel\Imagen de refacciones\Schwing\Nipples reductor de 22mm a 1_4</t>
  </si>
  <si>
    <t>\\MCA-S\mk\2_BM\0_BMat\08_PYM\Inventario\excel\Imagen de refacciones\Schwing\Conector hidráulico codo 22mm</t>
  </si>
  <si>
    <t>\\MCA-S\mk\2_BM\0_BMat\08_PYM\Inventario\excel\Imagen de refacciones\Schwing\Nipple hidráulico 65 12L 3_8_</t>
  </si>
  <si>
    <t>\\MCA-S\mk\2_BM\0_BMat\08_PYM\Inventario\excel\Imagen de refacciones\Schwing\Engrane para horquilla</t>
  </si>
  <si>
    <t>SLIDING CLUTCH 4194</t>
  </si>
  <si>
    <t>\\MCA-S\mk\2_BM\0_BMat\08_PYM\Inventario\excel\Imagen de refacciones\Schwing\Barra hueca dentada d79_46x168</t>
  </si>
  <si>
    <t>PUMP HOLLOW PTO SHAFT</t>
  </si>
  <si>
    <t>1200</t>
  </si>
  <si>
    <t>\\MCA-S\mk\2_BM\0_BMat\08_PYM\Inventario\excel\Imagen de refacciones\Schwing\Barra dentada para caja de transferencia</t>
  </si>
  <si>
    <t>Barra dentada para caja de transferencia</t>
  </si>
  <si>
    <t>\\MCA-S\mk\2_BM\0_BMat\08_PYM\Inventario\excel\Imagen de refacciones\Schwing\Cople de ensamble para bomba de agua -galleta</t>
  </si>
  <si>
    <t>\\MCA-S\mk\2_BM\0_BMat\08_PYM\Inventario\excel\Imagen de refacciones\Schwing\Retenes 28X40X6</t>
  </si>
  <si>
    <t>\\MCA-S\mk\2_BM\0_BMat\08_PYM\Inventario\excel\Imagen de refacciones\Schwing\Reten 28X40X6</t>
  </si>
  <si>
    <t>\\MCA-S\mk\2_BM\0_BMat\08_PYM\Inventario\excel\Imagen de refacciones\Schwing\Manguera hidráulica 3_8</t>
  </si>
  <si>
    <t>\\MCA-S\mk\2_BM\0_BMat\08_PYM\Inventario\excel\Imagen de refacciones\Schwing\Manguera hidráulica 1_2</t>
  </si>
  <si>
    <t>\\MCA-S\mk\2_BM\0_BMat\08_PYM\Inventario\excel\Imagen de refacciones\Schwing\Set de sellos para cilindro de giro</t>
  </si>
  <si>
    <t>\\MCA-S\mk\2_BM\0_BMat\08_PYM\Inventario\excel\Imagen de refacciones\Schwing\Empaquetadura para vástago de bombeo 45_65 X 27.5</t>
  </si>
  <si>
    <t>EMPAQUEDURA VASTAGO DE BOMBEO 45/65 X 27.5</t>
  </si>
  <si>
    <t>\\MCA-S\mk\2_BM\0_BMat\08_PYM\Inventario\excel\Imagen de refacciones\Schwing\Empaquetadura para vástago de bombeo 63_ 83X37</t>
  </si>
  <si>
    <t>Empaquetadura para vástago de bombeo 63/ 83X37</t>
  </si>
  <si>
    <t>EMPAQUETADURA PARA VÁSTAGO DE BOMBEO 80X100X7</t>
  </si>
  <si>
    <t>\\MCA-S\mk\2_BM\0_BMat\08_PYM\Inventario\excel\Imagen de refacciones\Schwing\Valvula reguladora de potencia de bombeo</t>
  </si>
  <si>
    <t>\\MCA-S\mk\2_BM\0_BMat\08_PYM\Inventario\excel\Imagen de refacciones\Schwing\Rascador (wisper_scrapper) medida 45_55X 7</t>
  </si>
  <si>
    <t>Rascador (wisper/scrapper) medida 45/55X 7</t>
  </si>
  <si>
    <t>\\MCA-S\mk\2_BM\0_BMat\08_PYM\Inventario\excel\Imagen de refacciones\Schwing\Rascador (wisper_scrapper) medida 63_73 X 7</t>
  </si>
  <si>
    <t>\\MCA-S\mk\2_BM\0_BMat\08_PYM\Inventario\excel\Imagen de refacciones\Schwing\Rascador (wisper_scrapper) medida 80_92.2 X 12</t>
  </si>
  <si>
    <t>Rascador (wisper/scrapper) medida 80/92.2 X 12</t>
  </si>
  <si>
    <t>\\MCA-S\mk\2_BM\0_BMat\08_PYM\Inventario\excel\Imagen de refacciones\Schwing\Rascador (wisper_scrapper) medida 63_73 X 7 (1)</t>
  </si>
  <si>
    <t>1215</t>
  </si>
  <si>
    <t>\\MCA-S\mk\2_BM\0_BMat\08_PYM\Inventario\excel\Imagen de refacciones\Schwing\Rascador (wisper_scrapper) medida 80_92.2 X 12 (1)</t>
  </si>
  <si>
    <t>\\MCA-S\mk\2_BM\0_BMat\08_PYM\Inventario\excel\Imagen de refacciones\Schwing\Rascador (wisper_scrapper) medida 55_62 X 7</t>
  </si>
  <si>
    <t>Rascador (wisper/scrapper) medida 55/62 X 7</t>
  </si>
  <si>
    <t>\\MCA-S\mk\2_BM\0_BMat\08_PYM\Inventario\excel\Imagen de refacciones\Schwing\Manometro (gauses) para medir presión del sistema hidráulico 0 - 400 BAR</t>
  </si>
  <si>
    <t>\\MCA-S\mk\2_BM\0_BMat\08_PYM\Inventario\excel\Imagen de refacciones\Schwing\Manometro (gauses) para medir presión del sistema hidráulico 0 - 250 BAR</t>
  </si>
  <si>
    <t>\\MCA-S\mk\2_BM\0_BMat\08_PYM\Inventario\excel\Imagen de refacciones\Schwing\Manometro (gauses) para medir presión del sistema hidráulico 0 - 600 BAR</t>
  </si>
  <si>
    <t>\\MCA-S\mk\2_BM\0_BMat\08_PYM\Inventario\excel\Imagen de refacciones\Schwing\kit de reparación para válvula reguladora de potencia</t>
  </si>
  <si>
    <t>\\MCA-S\mk\2_BM\0_BMat\08_PYM\Inventario\excel\Imagen de refacciones\Schwing\Cabezal para cilindro piston de VR chico</t>
  </si>
  <si>
    <t>\\MCA-S\mk\2_BM\0_BMat\08_PYM\Inventario\excel\Imagen de refacciones\Schwing\Cabezal para cilindro piston de VR grande</t>
  </si>
  <si>
    <t>\\MCA-S\mk\2_BM\0_BMat\08_PYM\Inventario\excel\Imagen de refacciones\Schwing\Mangueras hidráulicas 60MM X 1 M</t>
  </si>
  <si>
    <t>\\MCA-S\mk\2_BM\0_BMat\08_PYM\Inventario\excel\Imagen de refacciones\Schwing\Mangueras hidráulicas 600 X 1.20 M</t>
  </si>
  <si>
    <t>1225</t>
  </si>
  <si>
    <t>\\MCA-S\mk\2_BM\0_BMat\08_PYM\Inventario\excel\Imagen de refacciones\Schwing\O - RING 240 X 3 NBR 70</t>
  </si>
  <si>
    <t>O - RING 240 X 3 NBR 70</t>
  </si>
  <si>
    <t>\\MCA-S\mk\2_BM\0_BMat\08_PYM\Inventario\excel\Imagen de refacciones\Schwing\O ring - 250 X 10 NBR 70</t>
  </si>
  <si>
    <t>\\MCA-S\mk\2_BM\0_BMat\08_PYM\Inventario\excel\Imagen de refacciones\Schwing\O Ring - 29.2 X 3 NBR 90</t>
  </si>
  <si>
    <t>\\MCA-S\mk\2_BM\0_BMat\08_PYM\Inventario\excel\Imagen de refacciones\Schwing\O ring 70X5 NBR 70</t>
  </si>
  <si>
    <t>ORing 70 x 5 NBR 70</t>
  </si>
  <si>
    <t>\\MCA-S\mk\2_BM\0_BMat\08_PYM\Inventario\excel\Imagen de refacciones\Schwing\Piston d120_8 para vástago de bombeo</t>
  </si>
  <si>
    <t>\\MCA-S\mk\2_BM\0_BMat\08_PYM\Inventario\excel\Imagen de refacciones\Schwing\Pistón d125_8 para vástago de bombeo</t>
  </si>
  <si>
    <t>1231</t>
  </si>
  <si>
    <t>\\MCA-S\mk\2_BM\0_BMat\08_PYM\Inventario\excel\Imagen de refacciones\Schwing\electroválvula 12v (1)</t>
  </si>
  <si>
    <t>electroválvula 12v</t>
  </si>
  <si>
    <t>1232</t>
  </si>
  <si>
    <t>\\MCA-S\mk\2_BM\0_BMat\08_PYM\Inventario\excel\Imagen de refacciones\Schwing\Balero articulado GE60</t>
  </si>
  <si>
    <t>1233</t>
  </si>
  <si>
    <t>\\MCA-S\mk\2_BM\0_BMat\08_PYM\Inventario\excel\Imagen de refacciones\Schwing\balero articulado 90GE (1)</t>
  </si>
  <si>
    <t>balero articulado 90GE</t>
  </si>
  <si>
    <t>100240099</t>
  </si>
  <si>
    <t>\\MCA-S\mk\2_BM\0_BMat\08_PYM\Inventario\excel\Imagen de refacciones\Schwing\Lodera Schwing</t>
  </si>
  <si>
    <t>\\MCA-S\mk\2_BM\0_BMat\08_PYM\Inventario\excel\Imagen de refacciones\Schwing\Soporte para pluma 4_ x 12_ x 2.5_</t>
  </si>
  <si>
    <t>Soporte para pluma 4" x 12" x 2.5"</t>
  </si>
  <si>
    <t>\\MCA-S\mk\2_BM\0_BMat\08_PYM\Inventario\excel\Imagen de refacciones\Putzmeister\Anillo de desgaste</t>
  </si>
  <si>
    <t>\\MCA-S\mk\2_BM\0_BMat\08_PYM\Inventario\excel\Imagen de refacciones\Putzmeister\Placa de desgaste</t>
  </si>
  <si>
    <t>CILINDRO CAMBIO/GATO BUZO 60MM</t>
  </si>
  <si>
    <t>\\MCA-S\mk\2_BM\0_BMat\08_PYM\Inventario\excel\Imagen de refacciones\Putzmeister\Interruptor limitador</t>
  </si>
  <si>
    <t>\\MCA-S\mk\2_BM\0_BMat\08_PYM\Inventario\excel\Imagen de refacciones\Putzmeister\Barra del eje agitador 37.4_</t>
  </si>
  <si>
    <t>\\MCA-S\mk\2_BM\0_BMat\08_PYM\Inventario\excel\Imagen de refacciones\Putzmeister\Buje de bronce para guia de alojamiento de 80MM</t>
  </si>
  <si>
    <t>\\MCA-S\mk\2_BM\0_BMat\08_PYM\Inventario\excel\Imagen de refacciones\Putzmeister\Buje de plástico</t>
  </si>
  <si>
    <t>\\MCA-S\mk\2_BM\0_BMat\08_PYM\Inventario\excel\Imagen de refacciones\Putzmeister\kit de empaques para cilindro buzo gigante</t>
  </si>
  <si>
    <t>\\MCA-S\mk\2_BM\0_BMat\08_PYM\Inventario\excel\Imagen de refacciones\Putzmeister\Placa mezcladora izquierda</t>
  </si>
  <si>
    <t>\\MCA-S\mk\2_BM\0_BMat\08_PYM\Inventario\excel\Imagen de refacciones\Putzmeister\Placa mezcladora derecha</t>
  </si>
  <si>
    <t>\\MCA-S\mk\2_BM\0_BMat\08_PYM\Inventario\excel\Imagen de refacciones\Putzmeister\Codo bisagra</t>
  </si>
  <si>
    <t>\\MCA-S\mk\2_BM\0_BMat\08_PYM\Inventario\excel\Imagen de refacciones\Putzmeister\Tapa para puerto de codo bisagra</t>
  </si>
  <si>
    <t>\\MCA-S\mk\2_BM\0_BMat\08_PYM\Inventario\excel\Imagen de refacciones\Putzmeister\Codo secundario 6_ x 90°</t>
  </si>
  <si>
    <t>\\MCA-S\mk\2_BM\0_BMat\08_PYM\Inventario\excel\Imagen de refacciones\Putzmeister\Codo 5_ x 45° con extensión</t>
  </si>
  <si>
    <t>\\MCA-S\mk\2_BM\0_BMat\08_PYM\Inventario\excel\Imagen de refacciones\Putzmeister\Tornillo para perno sujetador</t>
  </si>
  <si>
    <t>\\MCA-S\mk\2_BM\0_BMat\08_PYM\Inventario\excel\Imagen de refacciones\Putzmeister\Ensabmble completa para bomba de agua y motor hidráulico</t>
  </si>
  <si>
    <t>\\MCA-S\mk\2_BM\0_BMat\08_PYM\Inventario\excel\Imagen de refacciones\Putzmeister\Bomba de agua sumergible</t>
  </si>
  <si>
    <t>\\MCA-S\mk\2_BM\0_BMat\08_PYM\Inventario\excel\Imagen de refacciones\Putzmeister\Motor hidraulico 5.5 cm3 para bomba de agua, sumergible</t>
  </si>
  <si>
    <t>\\MCA-S\mk\2_BM\0_BMat\08_PYM\Inventario\excel\Imagen de refacciones\Putzmeister\Kit de sellos para motor agitador OHM 500</t>
  </si>
  <si>
    <t>\\MCA-S\mk\2_BM\0_BMat\08_PYM\Inventario\excel\Imagen de refacciones\Putzmeister\Barra con cuña para motor agitador OHM 500 de codo bisagra</t>
  </si>
  <si>
    <t>1258</t>
  </si>
  <si>
    <t>\\MCA-S\mk\2_BM\0_BMat\08_PYM\Inventario\excel\Imagen de refacciones\Putzmeister\Buje guia 50mm</t>
  </si>
  <si>
    <t>Buje guia 50mm</t>
  </si>
  <si>
    <t>\\MCA-S\mk\2_BM\0_BMat\08_PYM\Inventario\excel\Imagen de refacciones\Putzmeister\acoplamiento para caja y bomba g61</t>
  </si>
  <si>
    <t>\\MCA-S\mk\2_BM\0_BMat\08_PYM\Inventario\excel\Imagen de refacciones\Putzmeister\Buje guía conector 40.7 X60.5 X 40</t>
  </si>
  <si>
    <t>\\MCA-S\mk\2_BM\0_BMat\08_PYM\Inventario\excel\Imagen de refacciones\Putzmeister\Balero grande para bomba hidráulica A11VO260</t>
  </si>
  <si>
    <t>\\MCA-S\mk\2_BM\0_BMat\08_PYM\Inventario\excel\Imagen de refacciones\Putzmeister\Balero chico para bomba hidráulica A11Vo260</t>
  </si>
  <si>
    <t>\\MCA-S\mk\2_BM\0_BMat\08_PYM\Inventario\excel\Imagen de refacciones\Putzmeister\Réten 45 X 62 X 7 para bomba A7VO55</t>
  </si>
  <si>
    <t>Réten 45 X 62 X 7 para bomba A7VO55</t>
  </si>
  <si>
    <t>\\MCA-S\mk\2_BM\0_BMat\08_PYM\Inventario\excel\Imagen de refacciones\Putzmeister\RETEN 50 X 72 X 7_7.5</t>
  </si>
  <si>
    <t>RETEN 50 X 72 X 7/7.5</t>
  </si>
  <si>
    <t>\\MCA-S\mk\2_BM\0_BMat\08_PYM\Inventario\excel\Imagen de refacciones\Putzmeister\Reten 60 X 80 X 7</t>
  </si>
  <si>
    <t>Reten 60 X 80 X 7</t>
  </si>
  <si>
    <t>75045880336</t>
  </si>
  <si>
    <t>\\MCA-S\mk\2_BM\0_BMat\08_PYM\Inventario\excel\Imagen de refacciones\Putzmeister\Empaquetadura para vastago de bombeo 80_100 X 40</t>
  </si>
  <si>
    <t>Empaquetadura para vastago de bombeo 80/100 X 40 - Main Cylinder Seal 80/100</t>
  </si>
  <si>
    <t>\\MCA-S\mk\2_BM\0_BMat\08_PYM\Inventario\excel\Imagen de refacciones\Putzmeister\anillo guía de reten de pistón DN200</t>
  </si>
  <si>
    <t>\\MCA-S\mk\2_BM\0_BMat\08_PYM\Inventario\excel\Imagen de refacciones\Putzmeister\anillo guía de reten de pistón DN230</t>
  </si>
  <si>
    <t>\\MCA-S\mk\2_BM\0_BMat\08_PYM\Inventario\excel\Imagen de refacciones\Putzmeister\Retén 220</t>
  </si>
  <si>
    <t>\\MCA-S\mk\2_BM\0_BMat\08_PYM\Inventario\excel\Imagen de refacciones\Putzmeister\Cilindros de bombeo DN150 X 1099MM</t>
  </si>
  <si>
    <t>\\MCA-S\mk\2_BM\0_BMat\08_PYM\Inventario\excel\Imagen de refacciones\Putzmeister\Cilindros de bombeo DN180 X 1099MM</t>
  </si>
  <si>
    <t>\\MCA-S\mk\2_BM\0_BMat\08_PYM\Inventario\excel\Imagen de refacciones\Putzmeister\Cilindros de bombeo DN250 X 2310MM</t>
  </si>
  <si>
    <t>\\MCA-S\mk\2_BM\0_BMat\08_PYM\Inventario\excel\Imagen de refacciones\Putzmeister\Cilindros de bombeo DN230 X 2100MM</t>
  </si>
  <si>
    <t>\\MCA-S\mk\2_BM\0_BMat\08_PYM\Inventario\excel\Imagen de refacciones\Putzmeister\Cilindros de bombeo DN230 X 2320MM</t>
  </si>
  <si>
    <t>\\MCA-S\mk\2_BM\0_BMat\08_PYM\Inventario\excel\Imagen de refacciones\Putzmeister\Filtro hidraulico</t>
  </si>
  <si>
    <t>\\MCA-S\mk\2_BM\0_BMat\08_PYM\Inventario\excel\Imagen de refacciones\Putzmeister\Filtro hidráulico (1)</t>
  </si>
  <si>
    <t>\\MCA-S\mk\2_BM\0_BMat\08_PYM\Inventario\excel\Imagen de refacciones\Putzmeister\Filtro hidráulico (2)</t>
  </si>
  <si>
    <t>\\MCA-S\mk\2_BM\0_BMat\08_PYM\Inventario\excel\Imagen de refacciones\Putzmeister\Filtro hidráulico (3)</t>
  </si>
  <si>
    <t>\\MCA-S\mk\2_BM\0_BMat\08_PYM\Inventario\excel\Imagen de refacciones\Putzmeister\Bomba hidráulica A2F12</t>
  </si>
  <si>
    <t>\\MCA-S\mk\2_BM\0_BMat\08_PYM\Inventario\excel\Imagen de refacciones\Putzmeister\Bomba hidráulica a10vo28</t>
  </si>
  <si>
    <t>67370003</t>
  </si>
  <si>
    <t>\\MCA-S\mk\2_BM\0_BMat\08_PYM\Inventario\excel\Imagen de refacciones\Putzmeister\Filtro para pluma 30_ LG</t>
  </si>
  <si>
    <t>\\MCA-S\mk\2_BM\0_BMat\08_PYM\Inventario\excel\Imagen de refacciones\Putzmeister\Filtro hidráulico (4)</t>
  </si>
  <si>
    <t>\\MCA-S\mk\2_BM\0_BMat\08_PYM\Inventario\excel\Imagen de refacciones\Putzmeister\Kit de sellos putzmeister</t>
  </si>
  <si>
    <t>\\MCA-S\mk\2_BM\0_BMat\08_PYM\Inventario\excel\Imagen de refacciones\Putzmeister\Kit de sellos para cilindro hidráulico D115_70</t>
  </si>
  <si>
    <t>\\MCA-S\mk\2_BM\0_BMat\08_PYM\Inventario\excel\Imagen de refacciones\Putzmeister\Kit de sellos para cilindro hidráulico D200_125</t>
  </si>
  <si>
    <t>\\MCA-S\mk\2_BM\0_BMat\08_PYM\Inventario\excel\Imagen de refacciones\Putzmeister\Kit de sellos para cilindro hidráulico DN165_105</t>
  </si>
  <si>
    <t>\\MCA-S\mk\2_BM\0_BMat\08_PYM\Inventario\excel\Imagen de refacciones\Putzmeister\Kit de sellos para cilindro hidráulico DN225_125</t>
  </si>
  <si>
    <t>\\MCA-S\mk\2_BM\0_BMat\08_PYM\Inventario\excel\Imagen de refacciones\Putzmeister\Kit de sellos para piston estabilizador dn-150 dn250</t>
  </si>
  <si>
    <t>\\MCA-S\mk\2_BM\0_BMat\08_PYM\Inventario\excel\Imagen de refacciones\Putzmeister\Kit de sellos para piston estabilizador  d50_40</t>
  </si>
  <si>
    <t>\\MCA-S\mk\2_BM\0_BMat\08_PYM\Inventario\excel\Imagen de refacciones\Putzmeister\Kit de sellos para piston estabilizador d80_63</t>
  </si>
  <si>
    <t>1292</t>
  </si>
  <si>
    <t>\\MCA-S\mk\2_BM\0_BMat\08_PYM\Inventario\excel\Imagen de refacciones\Putzmeister\Valvula de retención</t>
  </si>
  <si>
    <t>Valvula de retención</t>
  </si>
  <si>
    <t>\\MCA-S\mk\2_BM\0_BMat\08_PYM\Inventario\excel\Imagen de refacciones\Putzmeister\Valvula de retención de 310 BAR</t>
  </si>
  <si>
    <t>\\MCA-S\mk\2_BM\0_BMat\08_PYM\Inventario\excel\Imagen de refacciones\Putzmeister\Valvula de retención de 320 BAR</t>
  </si>
  <si>
    <t>Valvula de retención de 320 BAR</t>
  </si>
  <si>
    <t>\\MCA-S\mk\2_BM\0_BMat\08_PYM\Inventario\excel\Imagen de refacciones\Putzmeister\Valvula de retención de 350 BAR</t>
  </si>
  <si>
    <t>Valvula de retención de 350 BAR</t>
  </si>
  <si>
    <t>\\MCA-S\mk\2_BM\0_BMat\08_PYM\Inventario\excel\Imagen de refacciones\Putzmeister\Válvulas de retención de 400 BAR</t>
  </si>
  <si>
    <t>Válvulas de retención de 400 BAR</t>
  </si>
  <si>
    <t>\\MCA-S\mk\2_BM\0_BMat\08_PYM\Inventario\excel\Imagen de refacciones\Putzmeister\Valvula de retención de 330 BAR</t>
  </si>
  <si>
    <t>Valvula de retención de 330 BAR</t>
  </si>
  <si>
    <t>\\MCA-S\mk\2_BM\0_BMat\08_PYM\Inventario\excel\Imagen de refacciones\Putzmeister\Valvula de retención de 360 BAR</t>
  </si>
  <si>
    <t>Valvula de retención de 360 BAR</t>
  </si>
  <si>
    <t>\\MCA-S\mk\2_BM\0_BMat\08_PYM\Inventario\excel\Imagen de refacciones\Putzmeister\Tapon hidráulico</t>
  </si>
  <si>
    <t>\\MCA-S\mk\2_BM\0_BMat\08_PYM\Inventario\excel\Imagen de refacciones\Putzmeister\Manguito de acoplamiento para bomba hidráulica</t>
  </si>
  <si>
    <t>\\MCA-S\mk\2_BM\0_BMat\08_PYM\Inventario\excel\Imagen de refacciones\Putzmeister\Engrane para manguito</t>
  </si>
  <si>
    <t>\\MCA-S\mk\2_BM\0_BMat\08_PYM\Inventario\excel\Imagen de refacciones\Putzmeister\Flecha para caja de transferencia G64</t>
  </si>
  <si>
    <t>\\MCA-S\mk\2_BM\0_BMat\08_PYM\Inventario\excel\Imagen de refacciones\Putzmeister\Kit de sellos para bomba hidráulica</t>
  </si>
  <si>
    <t>\\MCA-S\mk\2_BM\0_BMat\08_PYM\Inventario\excel\Imagen de refacciones\Putzmeister\Kit de sellos para bomba hidráulica (1)</t>
  </si>
  <si>
    <t>\\MCA-S\mk\2_BM\0_BMat\08_PYM\Inventario\excel\Imagen de refacciones\Putzmeister\BARRA DENTADA HUECA</t>
  </si>
  <si>
    <t>\\MCA-S\mk\2_BM\0_BMat\08_PYM\Inventario\excel\Imagen de refacciones\Putzmeister\BOMBAS DE PRECARGA</t>
  </si>
  <si>
    <t>BOMBAS DE PRECARGA</t>
  </si>
  <si>
    <t>\\MCA-S\mk\2_BM\0_BMat\08_PYM\Inventario\excel\Imagen de refacciones\Putzmeister\Bomba hidráulica A4VG 125HD ROTACIÓN DERECHA</t>
  </si>
  <si>
    <t>\\MCA-S\mk\2_BM\0_BMat\08_PYM\Inventario\excel\Imagen de refacciones\Putzmeister\Kit de sellos</t>
  </si>
  <si>
    <t>\\MCA-S\mk\2_BM\0_BMat\08_PYM\Inventario\excel\Imagen de refacciones\Putzmeister\Kit de sellos putzmeister  (1)</t>
  </si>
  <si>
    <t>\\MCA-S\mk\2_BM\0_BMat\08_PYM\Inventario\excel\Imagen de refacciones\Putzmeister\Electro válvula 12V</t>
  </si>
  <si>
    <t>\\MCA-S\mk\2_BM\0_BMat\08_PYM\Inventario\excel\Imagen de refacciones\Putzmeister\Loderas putzmeister</t>
  </si>
  <si>
    <t>\\MCA-S\mk\2_BM\0_BMat\08_PYM\Inventario\excel\Imagen de refacciones\Putzmeister\Cable para sensor de proximidad 750m</t>
  </si>
  <si>
    <t>Cable para sensor de proximidad 750m</t>
  </si>
  <si>
    <t>\\MCA-S\mk\2_BM\0_BMat\08_PYM\Inventario\excel\Imagen de refacciones\Putzmeister\Cable para sensor de proximidad 2 mts</t>
  </si>
  <si>
    <t>Cable para sensor de proximidad 2 mts</t>
  </si>
  <si>
    <t>\\MCA-S\mk\2_BM\0_BMat\08_PYM\Inventario\excel\Imagen de refacciones\Putzmeister\Cable para sensor de proximidad 3mts</t>
  </si>
  <si>
    <t>Cable para sensor de proximidad 3mts</t>
  </si>
  <si>
    <t>\\MCA-S\mk\2_BM\0_BMat\08_PYM\Inventario\excel\Imagen de refacciones\Putzmeister\Limit swicht</t>
  </si>
  <si>
    <t>\\MCA-S\mk\2_BM\0_BMat\08_PYM\Inventario\excel\Imagen de refacciones\Putzmeister\selenoide 24V</t>
  </si>
  <si>
    <t>selenoide 24V</t>
  </si>
  <si>
    <t>\\MCA-S\mk\2_BM\0_BMat\08_PYM\Inventario\excel\Imagen de refacciones\Putzmeister\Control press reducer</t>
  </si>
  <si>
    <t>Control press reducer</t>
  </si>
  <si>
    <t>\\MCA-S\mk\2_BM\0_BMat\08_PYM\Inventario\excel\Imagen de refacciones\Putzmeister\Engrane para caja de transferencia 46T</t>
  </si>
  <si>
    <t>Engrane para caja de transferencia 46T</t>
  </si>
  <si>
    <t>\\MCA-S\mk\2_BM\0_BMat\08_PYM\Inventario\excel\Imagen de refacciones\Putzmeister\Interruptor dentada 18 dientes para caja G61</t>
  </si>
  <si>
    <t>Interruptor dentada 18 dientes para caja G61</t>
  </si>
  <si>
    <t>\\MCA-S\mk\2_BM\0_BMat\08_PYM\Inventario\excel\Imagen de refacciones\Putzmeister\Caja de transferencia g64</t>
  </si>
  <si>
    <t>\\MCA-S\mk\2_BM\0_BMat\08_PYM\Inventario\excel\Imagen de refacciones\Putzmeister\Buje para bomba de precarga B12 Y F69</t>
  </si>
  <si>
    <t>Buje para bomba de precarga B12 Y F69</t>
  </si>
  <si>
    <t>\\MCA-S\mk\2_BM\0_BMat\08_PYM\Inventario\excel\Imagen de refacciones\WAM\Regulador de aire con marcador</t>
  </si>
  <si>
    <t>Regulador de aire con marcador</t>
  </si>
  <si>
    <t>\\MCA-S\mk\2_BM\0_BMat\08_PYM\Inventario\excel\Imagen de refacciones\WAM\Regulador filtro de aire y lubricador ensamble</t>
  </si>
  <si>
    <t>NAL-4000-NOT-3</t>
  </si>
  <si>
    <t>\\MCA-S\mk\2_BM\0_BMat\08_PYM\Inventario\excel\Imagen de refacciones\WAM\Regulador filtro de aire y lubricador ensamble (1)</t>
  </si>
  <si>
    <t>\\MCA-S\mk\2_BM\0_BMat\08_PYM\Inventario\excel\Imagen de refacciones\WAM\CAJA DE UNION DE 4 CANALES AFTERMARKET</t>
  </si>
  <si>
    <t>BOX JB45</t>
  </si>
  <si>
    <t>\\MCA-S\mk\2_BM\0_BMat\08_PYM\Inventario\excel\Imagen de refacciones\WAM\Tapón para polea transportadora lenta</t>
  </si>
  <si>
    <t>1327</t>
  </si>
  <si>
    <t>\\MCA-S\mk\2_BM\0_BMat\08_PYM\Inventario\excel\Imagen de refacciones\WAM\Bobina de 24V para colector de polvos</t>
  </si>
  <si>
    <t>Bobina de 24V para colector de polvos</t>
  </si>
  <si>
    <t>\\MCA-S\mk\2_BM\0_BMat\08_PYM\Inventario\excel\Imagen de refacciones\WAM\BARRA DE 7_ COMPLETA CHUMACERA</t>
  </si>
  <si>
    <t>\\MCA-S\mk\2_BM\0_BMat\08_PYM\Inventario\excel\Imagen de refacciones\WAM\Válvula selenoide WAM</t>
  </si>
  <si>
    <t>\\MCA-S\mk\2_BM\0_BMat\08_PYM\Inventario\excel\Imagen de refacciones\WAM\Transportadora de presición de canalón lento</t>
  </si>
  <si>
    <t>Transportadora de presición de canalón lento</t>
  </si>
  <si>
    <t>\\MCA-S\mk\2_BM\0_BMat\08_PYM\Inventario\excel\Imagen de refacciones\WAM\Transportadora de presición plano lento</t>
  </si>
  <si>
    <t>Transportadora de presición plano lento</t>
  </si>
  <si>
    <t>\\MCA-S\mk\2_BM\0_BMat\08_PYM\Inventario\excel\Imagen de refacciones\WAM\Transportador superior de canalón lento</t>
  </si>
  <si>
    <t>Transportador superior de canalón lento</t>
  </si>
  <si>
    <t>\\MCA-S\mk\2_BM\0_BMat\08_PYM\Inventario\excel\Imagen de refacciones\WAM\Electroválvula (1)</t>
  </si>
  <si>
    <t>\\MCA-S\mk\2_BM\0_BMat\08_PYM\Inventario\excel\Imagen de refacciones\WAM\Electroválvula (2)</t>
  </si>
  <si>
    <t>\\MCA-S\mk\2_BM\0_BMat\08_PYM\Inventario\excel\Imagen de refacciones\WAM\Mangas rectas de hule para transportadora para silo 8_ X 1_4'</t>
  </si>
  <si>
    <t>\\MCA-S\mk\2_BM\0_BMat\08_PYM\Inventario\excel\Imagen de refacciones\WAM\Mangas rectas de hule para transportadora para silo 8-1_2_ X 1_4'</t>
  </si>
  <si>
    <t>\\MCA-S\mk\2_BM\0_BMat\08_PYM\Inventario\excel\Imagen de refacciones\WAM\Mangas rectas de hule para transportadora para silo 10'X 1_4'</t>
  </si>
  <si>
    <t>\\MCA-S\mk\2_BM\0_BMat\08_PYM\Inventario\excel\Imagen de refacciones\WAM\Mangas rectas de hule para transportadora para silo 10-1_2_ X 1_4'</t>
  </si>
  <si>
    <t>\\MCA-S\mk\2_BM\0_BMat\08_PYM\Inventario\excel\Imagen de refacciones\WAM\Mangas rectas de hule para transportadora para silo 11_X 1_4'</t>
  </si>
  <si>
    <t>\\MCA-S\mk\2_BM\0_BMat\08_PYM\Inventario\excel\Imagen de refacciones\WAM\Mangas rectas de hule para transportadora para silo 22'X 1_4'</t>
  </si>
  <si>
    <t>\\MCA-S\mk\2_BM\0_BMat\08_PYM\Inventario\excel\Imagen de refacciones\WAM\Mangas rectas de hule para transportadora para silo 23'X1_4'</t>
  </si>
  <si>
    <t>\\MCA-S\mk\2_BM\0_BMat\08_PYM\Inventario\excel\Imagen de refacciones\WAM\Mangas rectas de hule para transportadora para silo 24_ X 1_4'</t>
  </si>
  <si>
    <t>\\MCA-S\mk\2_BM\0_BMat\08_PYM\Inventario\excel\Imagen de refacciones\WAM\Mangas rectas de hule para transportadora para silo 26' X 1_4'</t>
  </si>
  <si>
    <t>\\MCA-S\mk\2_BM\0_BMat\08_PYM\Inventario\excel\Imagen de refacciones\WAM\Mangas rectas de hule para transportadora para silo 28_ X 1_4'</t>
  </si>
  <si>
    <t>\\MCA-S\mk\2_BM\0_BMat\08_PYM\Inventario\excel\Imagen de refacciones\WAM\Válvula mariposa 10_</t>
  </si>
  <si>
    <t>Válvula mariposa 10" - Butterfly Valve 10"</t>
  </si>
  <si>
    <t>\\MCA-S\mk\2_BM\0_BMat\08_PYM\Inventario\excel\Imagen de refacciones\WAM\Medidor de turbo 2_ con PFT -4E escalable con transmisión</t>
  </si>
  <si>
    <t>Medidor de turbo 2" con PFT -4E escalable con transmisión</t>
  </si>
  <si>
    <t>\\MCA-S\mk\2_BM\0_BMat\08_PYM\Inventario\excel\Imagen de refacciones\WAM\Medidor de turbo 3_ con PFT - 4E escalable con transmisor</t>
  </si>
  <si>
    <t>Medidor de turbo 3" con PFT - 4E escalable con transmisor</t>
  </si>
  <si>
    <t>\\MCA-S\mk\2_BM\0_BMat\08_PYM\Inventario\excel\Imagen de refacciones\WAM\Medidor de turbo 4_ con pft -4E escalable con transmisor</t>
  </si>
  <si>
    <t>Medidor de turbo 4" con pft -4E escalable con transmisor</t>
  </si>
  <si>
    <t>\\MCA-S\mk\2_BM\0_BMat\08_PYM\Inventario\excel\Imagen de refacciones\WAM\Medidor de turbo 2_ sin transmisor</t>
  </si>
  <si>
    <t>Medidor de turbo 2" sin transmisor</t>
  </si>
  <si>
    <t>\\MCA-S\mk\2_BM\0_BMat\08_PYM\Inventario\excel\Imagen de refacciones\WAM\Limitador para actuador neumático</t>
  </si>
  <si>
    <t>Limitador para actuador neumático</t>
  </si>
  <si>
    <t>1351</t>
  </si>
  <si>
    <t>75045880485</t>
  </si>
  <si>
    <t>\\MCA-S\mk\2_BM\0_BMat\08_PYM\Inventario\excel\Imagen de refacciones\WAM\Set de filtros colectores (7 filtros)</t>
  </si>
  <si>
    <t>Set de filtros colectores (7 filtros)</t>
  </si>
  <si>
    <t>PDC50R0CK</t>
  </si>
  <si>
    <t>\\MCA-S\mk\2_BM\0_BMat\08_PYM\Inventario\excel\Imagen de refacciones\WAM\Filtro colector de polvo</t>
  </si>
  <si>
    <t>Filtro colector de polvo</t>
  </si>
  <si>
    <t>\\MCA-S\mk\2_BM\0_BMat\08_PYM\Inventario\excel\Imagen de refacciones\WAM\Colector de polvo de pulso WAM</t>
  </si>
  <si>
    <t>\\MCA-S\mk\2_BM\0_BMat\08_PYM\Inventario\excel\Imagen de refacciones\WAM\Filtro cilíndrico 30_X 6_ para silo de cemento</t>
  </si>
  <si>
    <t>Filtro cilíndrico 30"X 6" para silo de cemento</t>
  </si>
  <si>
    <t>\\MCA-S\mk\2_BM\0_BMat\08_PYM\Inventario\excel\Imagen de refacciones\WAM\Filtro de aire compacto</t>
  </si>
  <si>
    <t>Filtro de aire compacto</t>
  </si>
  <si>
    <t>p6180618</t>
  </si>
  <si>
    <t>\\MCA-S\mk\2_BM\0_BMat\08_PYM\Inventario\excel\Imagen de refacciones\WAM\Filtro de aire con drenado automático</t>
  </si>
  <si>
    <t>Filtro de aire con drenado automático</t>
  </si>
  <si>
    <t>\\MCA-S\mk\2_BM\0_BMat\08_PYM\Inventario\excel\Imagen de refacciones\WAM\Colector de polvo</t>
  </si>
  <si>
    <t>Colector de polvo</t>
  </si>
  <si>
    <t>\\MCA-S\mk\2_BM\0_BMat\08_PYM\Inventario\excel\Imagen de refacciones\WAM\Tapa de colector de polvo PR03</t>
  </si>
  <si>
    <t>Tapa de colector de polvo PR03</t>
  </si>
  <si>
    <t>\\MCA-S\mk\2_BM\0_BMat\08_PYM\Inventario\excel\Imagen de refacciones\WAM\Vibradores eléctricos 220V, 1Ph, 3000 RPM_ 321 Kg</t>
  </si>
  <si>
    <t>\\MCA-S\mk\2_BM\0_BMat\08_PYM\Inventario\excel\Imagen de refacciones\WAM\Vibradores neumáticos de 25,000 VIB_MIN</t>
  </si>
  <si>
    <t>Vibradores neumáticos de 25,000 VIB/MIN</t>
  </si>
  <si>
    <t>\\MCA-S\mk\2_BM\0_BMat\08_PYM\Inventario\excel\Imagen de refacciones\WAM\Vibradores neumáticos de22,500 VIB_MIN</t>
  </si>
  <si>
    <t>Vibradores neumáticos de 22,500 VIB/MIN</t>
  </si>
  <si>
    <t>\\MCA-S\mk\2_BM\0_BMat\08_PYM\Inventario\excel\Imagen de refacciones\WAM\Vibradores neumáticos de 10,500 VIB_MIN</t>
  </si>
  <si>
    <t>Vibradores neumáticos de 10,500 VIB/MIN</t>
  </si>
  <si>
    <t>\\MCA-S\mk\2_BM\0_BMat\08_PYM\Inventario\excel\Imagen de refacciones\WAM\Vibradores neumáticos de 9,200 VIB_MIN</t>
  </si>
  <si>
    <t>Vibradores neumáticos de 9,200 VIB/MIN</t>
  </si>
  <si>
    <t>\\MCA-S\mk\2_BM\0_BMat\08_PYM\Inventario\excel\Imagen de refacciones\WAM\Vibradores neumáticos de 7,800 VIB_MIN</t>
  </si>
  <si>
    <t>Vibradores neumáticos de 7,800 VIB/MIN</t>
  </si>
  <si>
    <t>\\MCA-S\mk\2_BM\0_BMat\08_PYM\Inventario\excel\Imagen de refacciones\WAM\Vibradores neumáticos de 7,300 VIB_MIN</t>
  </si>
  <si>
    <t>Vibradores neumáticos de 7,300 VIB/MIN</t>
  </si>
  <si>
    <t>\\MCA-S\mk\2_BM\0_BMat\08_PYM\Inventario\excel\Imagen de refacciones\WAM\Tarjeta para cuenta litros badger meter</t>
  </si>
  <si>
    <t>Tarjeta para cuenta litros badger meter</t>
  </si>
  <si>
    <t>\\MCA-S\mk\2_BM\0_BMat\08_PYM\Inventario\excel\Imagen de refacciones\WAM\Boquilla para colector de polvos</t>
  </si>
  <si>
    <t>Boquilla para colector de polvos</t>
  </si>
  <si>
    <t>\\MCA-S\mk\2_BM\0_BMat\08_PYM\Inventario\excel\Imagen de refacciones\WAM\Coil para válvula WAM 110V</t>
  </si>
  <si>
    <t>Coil para válvula WAM 110V</t>
  </si>
  <si>
    <t>\\MCA-S\mk\2_BM\0_BMat\08_PYM\Inventario\excel\Imagen de refacciones\WAM\Bobina para colector de polvos WAM</t>
  </si>
  <si>
    <t>Bobina para colector de polvos WAM</t>
  </si>
  <si>
    <t>\\MCA-S\mk\2_BM\0_BMat\08_PYM\Inventario\excel\Imagen de refacciones\WAM\Aerador tipo PAD</t>
  </si>
  <si>
    <t>Aerador tipo PAD</t>
  </si>
  <si>
    <t>\\MCA-S\mk\2_BM\0_BMat\08_PYM\Inventario\excel\Imagen de refacciones\WAM\Kit airador de montaje de ventilación</t>
  </si>
  <si>
    <t>Kit airador de montaje de ventilación</t>
  </si>
  <si>
    <t>\\MCA-S\mk\2_BM\0_BMat\08_PYM\Inventario\excel\Imagen de refacciones\WAM\Limitador para actuador neumático (1)</t>
  </si>
  <si>
    <t>\\MCA-S\mk\2_BM\0_BMat\08_PYM\Inventario\excel\Imagen de refacciones\WAM\Celda de poder 10,000- triple artech</t>
  </si>
  <si>
    <t>Celda de poder 10,000- triple artech</t>
  </si>
  <si>
    <t>\\MCA-S\mk\2_BM\0_BMat\08_PYM\Inventario\excel\Imagen de refacciones\WAM\Control de giro</t>
  </si>
  <si>
    <t>Control de giro</t>
  </si>
  <si>
    <t>\\MCA-S\mk\2_BM\0_BMat\08_PYM\Inventario\excel\Imagen de refacciones\WAM\Electroválvula WAM</t>
  </si>
  <si>
    <t>\\MCA-S\mk\2_BM\0_BMat\08_PYM\Inventario\excel\Imagen de refacciones\WAM\Electroválvula 2 WAM</t>
  </si>
  <si>
    <t xml:space="preserve">Electroválvula 2 WAM 
</t>
  </si>
  <si>
    <t>\\MCA-S\mk\2_BM\0_BMat\08_PYM\Inventario\excel\Imagen de refacciones\WAM\Conjunto lubricador con regulador y filtro WAM 1</t>
  </si>
  <si>
    <t>Conjunto lubricador con regulador y filtro WAM 1</t>
  </si>
  <si>
    <t>\\MCA-S\mk\2_BM\0_BMat\08_PYM\Inventario\excel\Imagen de refacciones\WAM\Conjunto lubricador con regulador y filtro WAM 2</t>
  </si>
  <si>
    <t>Conjunto lubricador con regulador y filtro WAM 2</t>
  </si>
  <si>
    <t>AC400-04</t>
  </si>
  <si>
    <t>\\MCA-S\mk\2_BM\0_BMat\08_PYM\Inventario\excel\Imagen de refacciones\WAM\Conjunto lubricador con regulador y filtro WAM 3</t>
  </si>
  <si>
    <t>Conjunto lubricador con regulador y filtro WAM 3</t>
  </si>
  <si>
    <t>\\MCA-S\mk\2_BM\0_BMat\08_PYM\Inventario\excel\Imagen de refacciones\WAM\Evaso lubricador con reguladorc</t>
  </si>
  <si>
    <t>\\MCA-S\mk\2_BM\0_BMat\08_PYM\Inventario\excel\Imagen de refacciones\WAM\Electroválvula 3 WAM</t>
  </si>
  <si>
    <t>\\MCA-S\mk\2_BM\0_BMat\08_PYM\Inventario\excel\Imagen de refacciones\WAM\Electroválvula 4 WAM</t>
  </si>
  <si>
    <t>1391</t>
  </si>
  <si>
    <t>Tubo de 5" x3 metros- calibre 7 metrico</t>
  </si>
  <si>
    <t>\\MCA-S\mk\2_BM\0_BMat\08_PYM\Inventario\excel\Imagen de refacciones\Sistema tuberia\Tubo de 5_ x3 metros- calibre 11 HD</t>
  </si>
  <si>
    <t>\\MCA-S\mk\2_BM\0_BMat\08_PYM\Inventario\excel\Imagen de refacciones\Sistema tuberia\Tubo de 4_ x3 metros HD</t>
  </si>
  <si>
    <t>\\MCA-S\mk\2_BM\0_BMat\08_PYM\Inventario\excel\Imagen de refacciones\Sistema tuberia\TUBO DE 3_ X 3 METROS HD</t>
  </si>
  <si>
    <t>\\MCA-S\mk\2_BM\0_BMat\08_PYM\Inventario\excel\Imagen de refacciones\Sistema tuberia\TUBO DE 5_ X 4 METROS MMCAL7</t>
  </si>
  <si>
    <t>\\MCA-S\mk\2_BM\0_BMat\08_PYM\Inventario\excel\Imagen de refacciones\Sistema tuberia\Tubo 5_ x 6 metros 5mm</t>
  </si>
  <si>
    <t>\\MCA-S\mk\2_BM\0_BMat\08_PYM\Inventario\excel\Imagen de refacciones\Sistema tuberia\Codo de 5_ x 90° - metrico</t>
  </si>
  <si>
    <t>Codo de 5" x 90° - metrico</t>
  </si>
  <si>
    <t>1398</t>
  </si>
  <si>
    <t>\\MCA-S\mk\2_BM\0_BMat\08_PYM\Inventario\excel\Imagen de refacciones\Sistema tuberia\CODO DE 5_X 90° METRICO</t>
  </si>
  <si>
    <t>\\MCA-S\mk\2_BM\0_BMat\08_PYM\Inventario\excel\Imagen de refacciones\Sistema tuberia\COOO DE 5_X 90° - HD</t>
  </si>
  <si>
    <t>\\MCA-S\mk\2_BM\0_BMat\08_PYM\Inventario\excel\Imagen de refacciones\Sistema tuberia\CODO DE 5_X 30° MM</t>
  </si>
  <si>
    <t>\\MCA-S\mk\2_BM\0_BMat\08_PYM\Inventario\excel\Imagen de refacciones\Sistema tuberia\Codo de 3_ x 45° HD</t>
  </si>
  <si>
    <t>\\MCA-S\mk\2_BM\0_BMat\08_PYM\Inventario\excel\Imagen de refacciones\Sistema tuberia\COOO DE 3_X 90_ HD</t>
  </si>
  <si>
    <t>\\MCA-S\mk\2_BM\0_BMat\08_PYM\Inventario\excel\Imagen de refacciones\Sistema tuberia\CODO DE 3-X 90-HD RADIO LARGO (R30010)</t>
  </si>
  <si>
    <t>\\MCA-S\mk\2_BM\0_BMat\08_PYM\Inventario\excel\Imagen de refacciones\Sistema tuberia\REDUCTOR DE 6_ X 5_ X 1240 MM</t>
  </si>
  <si>
    <t>\\MCA-S\mk\2_BM\0_BMat\08_PYM\Inventario\excel\Imagen de refacciones\Sistema tuberia\REDUCTOR DE 6_ X 5_ HD X 1260MM</t>
  </si>
  <si>
    <t>\\MCA-S\mk\2_BM\0_BMat\08_PYM\Inventario\excel\Imagen de refacciones\Sistema tuberia\REDUCTOR DE 6_ X 5_ HD X 1000 MM</t>
  </si>
  <si>
    <t>\\MCA-S\mk\2_BM\0_BMat\08_PYM\Inventario\excel\Imagen de refacciones\Sistema tuberia\Cuerda de seguridad con y sin gancho</t>
  </si>
  <si>
    <t>\\MCA-S\mk\2_BM\0_BMat\08_PYM\Inventario\excel\Imagen de refacciones\Sistema tuberia\checador ultrasonico de calibre para tuberia</t>
  </si>
  <si>
    <t>checador ultrasonico de calibre para tuberia</t>
  </si>
  <si>
    <t>\\MCA-S\mk\2_BM\0_BMat\08_PYM\Inventario\excel\Imagen de refacciones\Sistema tuberia\GO DEVILS</t>
  </si>
  <si>
    <t>GO DEVILS</t>
  </si>
  <si>
    <t>\\MCA-S\mk\2_BM\0_BMat\08_PYM\Inventario\excel\Imagen de refacciones\Sistema tuberia\Abrazadera de 5_ metrica con base de un tornillo zk-k 5</t>
  </si>
  <si>
    <t>\\MCA-S\mk\2_BM\0_BMat\08_PYM\Inventario\excel\Imagen de refacciones\Sistema tuberia\Soporte metalico con 2 abrazaderas tipo U</t>
  </si>
  <si>
    <t>\\MCA-S\mk\2_BM\0_BMat\08_PYM\Inventario\excel\Imagen de refacciones\Sistema tuberia\Abrazadera de 1.5_ HD</t>
  </si>
  <si>
    <t>\\MCA-S\mk\2_BM\0_BMat\08_PYM\Inventario\excel\Imagen de refacciones\Sistema tuberia\Abrazadera de 2_ HD</t>
  </si>
  <si>
    <t>Abrazadera de 2" HD</t>
  </si>
  <si>
    <t>\\MCA-S\mk\2_BM\0_BMat\08_PYM\Inventario\excel\Imagen de refacciones\Sistema tuberia\ABRAZADERA DE 2.5_ HD no ajustable</t>
  </si>
  <si>
    <t>\\MCA-S\mk\2_BM\0_BMat\08_PYM\Inventario\excel\Imagen de refacciones\Sistema tuberia\Abrazadera de 3_ HD</t>
  </si>
  <si>
    <t>7504891418</t>
  </si>
  <si>
    <t>\\MCA-S\mk\2_BM\0_BMat\08_PYM\Inventario\excel\Imagen de refacciones\Sistema tuberia\ABRAZADERA DE 4_ HD</t>
  </si>
  <si>
    <t>7504891419</t>
  </si>
  <si>
    <t>\\MCA-S\mk\2_BM\0_BMat\08_PYM\Inventario\excel\Imagen de refacciones\Sistema tuberia\ABRAZADERA DE 5 HD</t>
  </si>
  <si>
    <t>\\MCA-S\mk\2_BM\0_BMat\08_PYM\Inventario\excel\Imagen de refacciones\Sistema tuberia\Kit boquilla choscrete de 2_ HD</t>
  </si>
  <si>
    <t>Kit boquilla choscrete de 2" HD</t>
  </si>
  <si>
    <t>\\MCA-S\mk\2_BM\0_BMat\08_PYM\Inventario\excel\Imagen de refacciones\Sistema tuberia\Empaque de 4_ HD</t>
  </si>
  <si>
    <t>Empaque de 4" HD</t>
  </si>
  <si>
    <t>\\MCA-S\mk\2_BM\0_BMat\08_PYM\Inventario\excel\Imagen de refacciones\Sistema tuberia\Empaque de 5_ HD</t>
  </si>
  <si>
    <t>\\MCA-S\mk\2_BM\0_BMat\08_PYM\Inventario\excel\Imagen de refacciones\Sistema tuberia\Empaque de 6_ HD</t>
  </si>
  <si>
    <t>\\MCA-S\mk\2_BM\0_BMat\08_PYM\Inventario\excel\Imagen de refacciones\Sistema tuberia\Empaque de 1.5 HD</t>
  </si>
  <si>
    <t>\\MCA-S\mk\2_BM\0_BMat\08_PYM\Inventario\excel\Imagen de refacciones\Sistema tuberia\Empaque de 2_ HD</t>
  </si>
  <si>
    <t>1426</t>
  </si>
  <si>
    <t>\\MCA-S\mk\2_BM\0_BMat\08_PYM\Inventario\excel\Imagen de refacciones\Sistema tuberia\Empaque de 2_ HD (1)</t>
  </si>
  <si>
    <t>\\MCA-S\mk\2_BM\0_BMat\08_PYM\Inventario\excel\Imagen de refacciones\Sistema tuberia\Empaque 2.5_ HD</t>
  </si>
  <si>
    <t>Empaque 2.5" HD</t>
  </si>
  <si>
    <t>\\MCA-S\mk\2_BM\0_BMat\08_PYM\Inventario\excel\Imagen de refacciones\Sistema tuberia\Empague 3_ HD</t>
  </si>
  <si>
    <t>Empague 3" HD</t>
  </si>
  <si>
    <t>\\MCA-S\mk\2_BM\0_BMat\08_PYM\Inventario\excel\Imagen de refacciones\Bombeo de concreto\end hose 5_ 2 MT double flange _ Manguera terminal doble brida</t>
  </si>
  <si>
    <t>\\MCA-S\mk\2_BM\0_BMat\08_PYM\Inventario\excel\Imagen de refacciones\Bombeo de concreto\End hose 5_ 3 MT double flange _ Manguera terminal 5_ 3MT doble brida</t>
  </si>
  <si>
    <t>End hose 5" 3 MT double flange / Manguera terminal 5" 3MT doble brida</t>
  </si>
  <si>
    <t>\\MCA-S\mk\2_BM\0_BMat\08_PYM\Inventario\excel\Imagen de refacciones\Bombeo de concreto\End hose 5_ 3 MT single flange _ Manguera terminal 5_ 3MT simple brida</t>
  </si>
  <si>
    <t>End hose 5" 3 MT single flange / Manguera terminal 5" 3MT simple brida</t>
  </si>
  <si>
    <t>\\MCA-S\mk\2_BM\0_BMat\08_PYM\Inventario\excel\Imagen de refacciones\Bombeo de concreto\End hose 5_ 4 MT single flange DN 125_ Manguera terminal 5_ 4MT doble brida DN 125</t>
  </si>
  <si>
    <t>\\MCA-S\mk\2_BM\0_BMat\08_PYM\Inventario\excel\Imagen de refacciones\Bombeo de concreto\End hose 5_ 4 MT double flange _ Manguera terminal 5_ 4MT doble brida</t>
  </si>
  <si>
    <t>\\MCA-S\mk\2_BM\0_BMat\08_PYM\Inventario\excel\Imagen de refacciones\Sistema tuberia\End hose 5_ 5 MT double flange _ Manguera terminal 5_ 5MT doble brida</t>
  </si>
  <si>
    <t>\\MCA-S\mk\2_BM\0_BMat\08_PYM\Inventario\excel\Imagen de refacciones\Bombeo de concreto\End hose 5_ 5 MT double flange _ Manguera terminal 5_ 5MT doble brida</t>
  </si>
  <si>
    <t>\\MCA-S\mk\2_BM\0_BMat\08_PYM\Inventario\excel\Imagen de refacciones\Bombeo de concreto\End hose 5_ 6 MT double flange _ Manguera terminal 5_ 6MT doble brida</t>
  </si>
  <si>
    <t>\\MCA-S\mk\2_BM\0_BMat\08_PYM\Inventario\excel\Imagen de refacciones\Bombeo de concreto\End hose 5_ 6 MT single flange _ Manguera terminal 5_ 6MT single brida</t>
  </si>
  <si>
    <t>\\MCA-S\mk\2_BM\0_BMat\08_PYM\Inventario\excel\Imagen de refacciones\Bombeo de concreto\End hose 5_ 6 MT double flange _ Manguera terminal 5_ 6MT doble brida (1)</t>
  </si>
  <si>
    <t>\\MCA-S\mk\2_BM\0_BMat\08_PYM\Inventario\excel\Imagen de refacciones\Bombeo de concreto\End hose 4_ 3 MT single flange _ Manguera terminal 4_ 3 MT single brida</t>
  </si>
  <si>
    <t>\\MCA-S\mk\2_BM\0_BMat\08_PYM\Inventario\excel\Imagen de refacciones\Bombeo de concreto\End hose 4_ 3 MT double flange _ Manguera terminal 4_ 3MT doble brida</t>
  </si>
  <si>
    <t>\\MCA-S\mk\2_BM\0_BMat\08_PYM\Inventario\excel\Imagen de refacciones\Bombeo de concreto\End hose 4_ 4 MT double flange _ Manguera terminal 4_ 4 MT doble brida</t>
  </si>
  <si>
    <t>\\MCA-S\mk\2_BM\0_BMat\08_PYM\Inventario\excel\Imagen de refacciones\Bombeo de concreto\End hose 4_ 4 MT double flange _ Manguera terminal 4_ 4 MT doble brida (1)</t>
  </si>
  <si>
    <t>\\MCA-S\mk\2_BM\0_BMat\08_PYM\Inventario\excel\Imagen de refacciones\Bombeo de concreto\End hose 4_ 5 MT single flange _ Manguera terminal 4_ 5 Mt single  brida</t>
  </si>
  <si>
    <t>\\MCA-S\mk\2_BM\0_BMat\08_PYM\Inventario\excel\Imagen de refacciones\Bombeo de concreto\End hose 4_ 5 MT double flange _ Manguera terminal 4_ 5 MT doble brida</t>
  </si>
  <si>
    <t>\\MCA-S\mk\2_BM\0_BMat\08_PYM\Inventario\excel\Imagen de refacciones\Bombeo de concreto\End hose 4_ 6 MT single flange _ Manguera terminal 4_ 6 MT single brida</t>
  </si>
  <si>
    <t>\\MCA-S\mk\2_BM\0_BMat\08_PYM\Inventario\excel\Imagen de refacciones\Bombeo de concreto\End hose 4_ 6 MT double flange _ Manguera terminal 4_ 6 MT doble brida</t>
  </si>
  <si>
    <t>\\MCA-S\mk\2_BM\0_BMat\08_PYM\Inventario\excel\Imagen de refacciones\Bombeo de concreto\cone hose 5_ - 4_ 3,5 mt _ Manguera cónica reductora 5_ a 4_ x 3.5 metros</t>
  </si>
  <si>
    <t>\\MCA-S\mk\2_BM\0_BMat\08_PYM\Inventario\excel\Imagen de refacciones\Bombeo de concreto\cone hose 5_ - 4_ 3,5 mt _ Manguera cónica reductora 5_ a 4_ x 3.5 metros (1)</t>
  </si>
  <si>
    <t>\\MCA-S\mk\2_BM\0_BMat\08_PYM\Inventario\excel\Imagen de refacciones\Bombeo de concreto\cone hose 4_ - 3_ 3 mt _ Manguera cónica reductora 4_ a 3_ x 3 metros</t>
  </si>
  <si>
    <t>\\MCA-S\mk\2_BM\0_BMat\08_PYM\Inventario\excel\Imagen de refacciones\Bombeo de concreto\delivery hose handle _ Asa_mango para mangueras</t>
  </si>
  <si>
    <t>\\MCA-S\mk\2_BM\0_BMat\08_PYM\Inventario\excel\Imagen de refacciones\Bombeo de concreto\5,5_ 30 degree twin wall elbow R275 _ Codo de 5.5_ a 30° Twin Wall (doble pared) R275</t>
  </si>
  <si>
    <t>\\MCA-S\mk\2_BM\0_BMat\08_PYM\Inventario\excel\Imagen de refacciones\Bombeo de concreto\5,5_ 45 degree twin wall elbow R275 _ Codo de 5.5_ a 45° Twin Wall (doble pared) R275</t>
  </si>
  <si>
    <t>\\MCA-S\mk\2_BM\0_BMat\08_PYM\Inventario\excel\Imagen de refacciones\Bombeo de concreto\5,5_ 90° degree twin wall elbow R275 _ Codo de 5.5_ a 90° Twin Wall (doble pared) R275</t>
  </si>
  <si>
    <t>\\MCA-S\mk\2_BM\0_BMat\08_PYM\Inventario\excel\Imagen de refacciones\Bombeo de concreto\5,5_ TWIN WALL PIPE 3 MT _ Tubo Twin Wall (doble pared) de 5.5_ x 3 metros</t>
  </si>
  <si>
    <t>\\MCA-S\mk\2_BM\0_BMat\08_PYM\Inventario\excel\Imagen de refacciones\Bombeo de concreto\5,5_ TWIN WALL PIPE 3 MT (EXTRA H.Q) _ Tubo endurecido de 5.5_ x 3 metros (Extra Alta Calidad)</t>
  </si>
  <si>
    <t>\\MCA-S\mk\2_BM\0_BMat\08_PYM\Inventario\excel\Imagen de refacciones\Bombeo de concreto\5,5_ ST-52 steel pipe 3 mt _ Tubo de acero ST-52 de 5.5_ (140mm) x 3 metros</t>
  </si>
  <si>
    <t>\\MCA-S\mk\2_BM\0_BMat\08_PYM\Inventario\excel\Imagen de refacciones\Bombeo de concreto\4,5_ pipe flange _ Brida para tubería de 4.5_</t>
  </si>
  <si>
    <t>\\MCA-S\mk\2_BM\0_BMat\08_PYM\Inventario\excel\Imagen de refacciones\Bombeo de concreto\5,5_ pipe flange _ Brida para tubería de 4.5_</t>
  </si>
  <si>
    <t>\\MCA-S\mk\2_BM\0_BMat\08_PYM\Inventario\excel\Imagen de refacciones\Bombeo de concreto\5,5_ pipe flange head type _ Brida tipo _Head_ de 5.5_ (140mm)</t>
  </si>
  <si>
    <t>\\MCA-S\mk\2_BM\0_BMat\08_PYM\Inventario\excel\Imagen de refacciones\Bombeo de concreto\5,5_ 30 degree elbow R275 _ Codo de 5.5_ a 30° con radio R275</t>
  </si>
  <si>
    <t>\\MCA-S\mk\2_BM\0_BMat\08_PYM\Inventario\excel\Imagen de refacciones\Bombeo de concreto\5,5_ 45 degree elbow R275 _ Codo de 5.5_ a 45° con radio R275</t>
  </si>
  <si>
    <t>\\MCA-S\mk\2_BM\0_BMat\08_PYM\Inventario\excel\Imagen de refacciones\Bombeo de concreto\5,5_ 90 degree elbow R275 _ Codo de 5.5_ a 90° con radio R275</t>
  </si>
  <si>
    <t>\\MCA-S\mk\2_BM\0_BMat\08_PYM\Inventario\excel\Imagen de refacciones\Bombeo de concreto\4,5_ 90 degree elbow R275 _ Codo de 4.5_ a 90° con radio R275</t>
  </si>
  <si>
    <t>\\MCA-S\mk\2_BM\0_BMat\08_PYM\Inventario\excel\Imagen de refacciones\Bombeo de concreto\4,5_ ST-52 Steel pipe 3MT _ Tubo de acero ST-52 de 4.5_ (114.3mm) x 3 metros</t>
  </si>
  <si>
    <t>\\MCA-S\mk\2_BM\0_BMat\08_PYM\Inventario\excel\Imagen de refacciones\Bombeo de concreto\5,5_ clamp coupling _ Acoplamiento de abrazadera de 5.5_</t>
  </si>
  <si>
    <t>\\MCA-S\mk\2_BM\0_BMat\08_PYM\Inventario\excel\Imagen de refacciones\Bombeo de concreto\5,5_ Allen coupling _ Acoplamiento Allen de 5.5_</t>
  </si>
  <si>
    <t>\\MCA-S\mk\2_BM\0_BMat\08_PYM\Inventario\excel\Imagen de refacciones\Bombeo de concreto\5,5_ mounted Allen coupling _ Acoplamiento Allen montado de 5.5_</t>
  </si>
  <si>
    <t>\\MCA-S\mk\2_BM\0_BMat\08_PYM\Inventario\excel\Imagen de refacciones\Bombeo de concreto\5,5_ m16 bolt clamp coupling _ Acoplamiento de abrazadera de 5.5_ con tornillos M16</t>
  </si>
  <si>
    <t>\\MCA-S\mk\2_BM\0_BMat\08_PYM\Inventario\excel\Imagen de refacciones\Bombeo de concreto\5,5_ Small mounted clamp coupling _ Acoplamiento de abrazadera pequeño montado de 5.5_</t>
  </si>
  <si>
    <t>\\MCA-S\mk\2_BM\0_BMat\08_PYM\Inventario\excel\Imagen de refacciones\Bombeo de concreto\5,5_ long mounted clamp coupling _ Acoplamiento de abrazadera largo montado de 5.5_</t>
  </si>
  <si>
    <t>\\MCA-S\mk\2_BM\0_BMat\08_PYM\Inventario\excel\Imagen de refacciones\Bombeo de concreto\5,5_ M16 BOLT clamp coupling _ Acoplamiento de abrazadera de 5.5_ con tornillos M16  (1)</t>
  </si>
  <si>
    <t>\\MCA-S\mk\2_BM\0_BMat\08_PYM\Inventario\excel\Imagen de refacciones\Bombeo de concreto\5,5_ M16 BOLT MOUNTED CLAMP COUPLING _ Acoplamiento de abrazadera montado de 5.5_ con tornillos M16</t>
  </si>
  <si>
    <t>\\MCA-S\mk\2_BM\0_BMat\08_PYM\Inventario\excel\Imagen de refacciones\Bombeo de concreto\5,5_ scew front fixing long mounted coupling _Acoplamiento largo montado de 5.5_ con fijación frontal roscada</t>
  </si>
  <si>
    <t>\\MCA-S\mk\2_BM\0_BMat\08_PYM\Inventario\excel\Imagen de refacciones\Bombeo de concreto\Round steel strip _ Tira de acero redonda</t>
  </si>
  <si>
    <t>\\MCA-S\mk\2_BM\0_BMat\08_PYM\Inventario\excel\Imagen de refacciones\Bombeo de concreto\Round Steel Rubber _ Junta tórica redonda de acero</t>
  </si>
  <si>
    <t>\\MCA-S\mk\2_BM\0_BMat\08_PYM\Inventario\excel\Imagen de refacciones\Bombeo de concreto\Cleaning ball Q100 Medium _ Cleaning ball Q100 Medium</t>
  </si>
  <si>
    <t>1480</t>
  </si>
  <si>
    <t>\\MCA-S\mk\2_BM\0_BMat\08_PYM\Inventario\excel\Imagen de refacciones\Bombeo de concreto\Cleaning ball Q125 Medium _ Bola de limpieza Q125 Medium</t>
  </si>
  <si>
    <t>SOM10196</t>
  </si>
  <si>
    <t>1481</t>
  </si>
  <si>
    <t>\\MCA-S\mk\2_BM\0_BMat\08_PYM\Inventario\excel\Imagen de refacciones\Bombeo de concreto\Cleaning ball Q150 Medium _ Bola de limpieza Q150 Medium</t>
  </si>
  <si>
    <t>Cleaning ball Q150 Medium / Bola de limpieza Q150 Medium</t>
  </si>
  <si>
    <t>SOM10199</t>
  </si>
  <si>
    <t>1482</t>
  </si>
  <si>
    <t>\\MCA-S\mk\2_BM\0_BMat\08_PYM\Inventario\excel\Imagen de refacciones\Bombeo de concreto\Cleaning ball Q175 Medium _ Bola de limpieza Q175 Medium</t>
  </si>
  <si>
    <t>Cleaning ball Q175 Medium / Bola de limpieza Q175 Medium</t>
  </si>
  <si>
    <t>SOM10202</t>
  </si>
  <si>
    <t>\\MCA-S\mk\2_BM\0_BMat\08_PYM\Inventario\excel\Imagen de refacciones\Bombeo de concreto\Sealing 5,5_ _ Sello de 5.5_</t>
  </si>
  <si>
    <t>1484</t>
  </si>
  <si>
    <t>\\MCA-S\mk\2_BM\0_BMat\08_PYM\Inventario\excel\Imagen de refacciones\Bombeo de concreto\Sealing 5,5_ with lip _ Sello laberinto de 5.5_ con labio</t>
  </si>
  <si>
    <t>Sealing 5,5" with lip / Sello laberinto de 5.5" con labio</t>
  </si>
  <si>
    <t>SOM10216</t>
  </si>
  <si>
    <t>\\MCA-S\mk\2_BM\0_BMat\08_PYM\Inventario\excel\Imagen de refacciones\Bombeo de concreto\Sealing 6_ _ Sello de 6_</t>
  </si>
  <si>
    <t>\\MCA-S\mk\2_BM\0_BMat\08_PYM\Inventario\excel\Imagen de refacciones\Bombeo de concreto\Support plate 55 x 55 x 6 _ Placa de soporte de 55x55x6 mm</t>
  </si>
  <si>
    <t>\\MCA-S\mk\2_BM\0_BMat\08_PYM\Inventario\excel\Imagen de refacciones\Bombeo de concreto\Support plate 60 x 60 x 6 _ Placa de soporte de 60 x 60 x6 mm</t>
  </si>
  <si>
    <t>\\MCA-S\mk\2_BM\0_BMat\08_PYM\Inventario\excel\Imagen de refacciones\Bombeo de concreto\Shut Off valve 5,5_ _ Válvula de cierre (shut-off) de 5.5_</t>
  </si>
  <si>
    <t>\\MCA-S\mk\2_BM\0_BMat\08_PYM\Inventario\excel\Imagen de refacciones\Bombeo de concreto\Shut off valve 4,5_ _ Válvula de cierre (shut-off) de 4.5_</t>
  </si>
  <si>
    <t>\\MCA-S\mk\2_BM\0_BMat\08_PYM\Inventario\excel\Imagen de refacciones\Bombeo de concreto\Concrete pump hose placing steel disc _ Disco de acero para mangueras de bombeo de concreto</t>
  </si>
  <si>
    <t>\\MCA-S\mk\2_BM\0_BMat\08_PYM\Inventario\excel\Imagen de refacciones\Bombeo de concreto\4,5_ 90° degree elbow R180 _ Codo de 4.5_ a 90° con radio R180</t>
  </si>
  <si>
    <t>\\MCA-S\mk\2_BM\0_BMat\08_PYM\Inventario\excel\Imagen de refacciones\Bombeo de concreto\External shut off valve 5,5_ _ Válvula de cierre externa de 5.5_</t>
  </si>
  <si>
    <t>\\MCA-S\mk\2_BM\0_BMat\08_PYM\Inventario\excel\Imagen de refacciones\Bombeo de concreto\5,5_ degree elbow R275 - extra _ Codo extra de 5.5_ a 90° con radio R275</t>
  </si>
  <si>
    <t>\\MCA-S\mk\2_BM\0_BMat\08_PYM\Inventario\excel\Imagen de refacciones\Bombeo de concreto\Q155 x 175 cylindrical sponge ball soft _ Bola esponja cilíndrica suave Q155 x 175</t>
  </si>
  <si>
    <t>1495</t>
  </si>
  <si>
    <t>\\MCA-S\mk\2_BM\0_BMat\08_PYM\Inventario\excel\Imagen de refacciones\Putzmeister\S valve 2018N _ Válvula tipo S modelo 2018N</t>
  </si>
  <si>
    <t>S valve 2018N / Válvula tipo S modelo 2018N</t>
  </si>
  <si>
    <t>SOM20001</t>
  </si>
  <si>
    <t>251013008 / 402865</t>
  </si>
  <si>
    <t>1496</t>
  </si>
  <si>
    <t>\\MCA-S\mk\2_BM\0_BMat\08_PYM\Inventario\excel\Imagen de refacciones\Putzmeister\Wear sleeve _ camisa de desgaste</t>
  </si>
  <si>
    <t>Wear sleeve / camisa de desgaste</t>
  </si>
  <si>
    <t>SOM20002</t>
  </si>
  <si>
    <t>1497</t>
  </si>
  <si>
    <t>\\MCA-S\mk\2_BM\0_BMat\08_PYM\Inventario\excel\Imagen de refacciones\Putzmeister\Spectacle wear plate duro 22 _ Placa de desgaste tipo espectáculo Duro 22</t>
  </si>
  <si>
    <t>Spectacle wear plate duro 22 / Placa de desgaste tipo espectáculo Duro 22</t>
  </si>
  <si>
    <t>SOM20003</t>
  </si>
  <si>
    <t>240111005 / 229488005</t>
  </si>
  <si>
    <t>\\MCA-S\mk\2_BM\0_BMat\08_PYM\Inventario\excel\Imagen de refacciones\Putzmeister\Wear ring duro 22 _ Anillo de desgaste Duro 22</t>
  </si>
  <si>
    <t>CUTTING /WEAR RING</t>
  </si>
  <si>
    <t>ANILLO DE DESGASTE/ CORTE (FALTA DIAMETRO)</t>
  </si>
  <si>
    <t>1499</t>
  </si>
  <si>
    <t>\\MCA-S\mk\2_BM\0_BMat\08_PYM\Inventario\excel\Imagen de refacciones\Putzmeister\Thrust ring whit steel _ Anillo de empuje con acero</t>
  </si>
  <si>
    <t>Thrust ring whit steel / Anillo de empuje con acero</t>
  </si>
  <si>
    <t>SOM20005</t>
  </si>
  <si>
    <t>1500</t>
  </si>
  <si>
    <t>\\MCA-S\mk\2_BM\0_BMat\08_PYM\Inventario\excel\Imagen de refacciones\Putzmeister\Spectacle wear plate duro 22 _ Placa de desgaste tipo _espectáculo_ Duro 22</t>
  </si>
  <si>
    <t>Spectacle wear plate duro 22 / Placa de desgaste tipo "espectáculo" Duro 22</t>
  </si>
  <si>
    <t>\\MCA-S\mk\2_BM\0_BMat\08_PYM\Inventario\excel\Imagen de refacciones\Putzmeister\Thrust ring without steel _ Anillo de empuje sin acero</t>
  </si>
  <si>
    <t>\\MCA-S\mk\2_BM\0_BMat\08_PYM\Inventario\excel\Imagen de refacciones\Putzmeister\Spacer Disc _ Disco espaciador</t>
  </si>
  <si>
    <t>1503</t>
  </si>
  <si>
    <t>\\MCA-S\mk\2_BM\0_BMat\08_PYM\Inventario\excel\Imagen de refacciones\Putzmeister\Slewing lever Q80 _ Palanca giratoria Q80</t>
  </si>
  <si>
    <t>Slewing lever Q80 / Palanca giratoria Q80</t>
  </si>
  <si>
    <t>SOM20008</t>
  </si>
  <si>
    <t>254424005 / 458733</t>
  </si>
  <si>
    <t>\\MCA-S\mk\2_BM\0_BMat\08_PYM\Inventario\excel\Imagen de refacciones\Putzmeister\Securing plate _ Placa de sujeción</t>
  </si>
  <si>
    <t>\\MCA-S\mk\2_BM\0_BMat\08_PYM\Inventario\excel\Imagen de refacciones\Putzmeister\S valve shaft Q80 _ Eje para válvula tipo S modelo Q80</t>
  </si>
  <si>
    <t>\\MCA-S\mk\2_BM\0_BMat\08_PYM\Inventario\excel\Imagen de refacciones\Putzmeister\Hexagonal Nut _ Tuerca hexagonal</t>
  </si>
  <si>
    <t>1507</t>
  </si>
  <si>
    <t>\\MCA-S\mk\2_BM\0_BMat\08_PYM\Inventario\excel\Imagen de refacciones\Putzmeister\Complete upper housing q80 _ Carcasa superior completa Q80  Descripción de uso_</t>
  </si>
  <si>
    <t>Complete upper housing q80 / Carcasa superior completa Q80</t>
  </si>
  <si>
    <t>SOM20012</t>
  </si>
  <si>
    <t>401783 / 27864009</t>
  </si>
  <si>
    <t>\\MCA-S\mk\2_BM\0_BMat\08_PYM\Inventario\excel\Imagen de refacciones\Putzmeister\Collar disc _ Disco de collar</t>
  </si>
  <si>
    <t>\\MCA-S\mk\2_BM\0_BMat\08_PYM\Inventario\excel\Imagen de refacciones\Putzmeister\Wear sleeve Q80 _ Camisa de desgaste Q80</t>
  </si>
  <si>
    <t>\\MCA-S\mk\2_BM\0_BMat\08_PYM\Inventario\excel\Imagen de refacciones\Putzmeister\Support Flange Q80 _ Brida de soporte Q80</t>
  </si>
  <si>
    <t>\\MCA-S\mk\2_BM\0_BMat\08_PYM\Inventario\excel\Imagen de refacciones\Putzmeister\Lip seal ring _ Anillo de sello de labio</t>
  </si>
  <si>
    <t>1512</t>
  </si>
  <si>
    <t>\\MCA-S\mk\2_BM\0_BMat\08_PYM\Inventario\excel\Imagen de refacciones\Putzmeister\Bush _ Buje</t>
  </si>
  <si>
    <t>Bush / Buje</t>
  </si>
  <si>
    <t>SOM20017</t>
  </si>
  <si>
    <t>1513</t>
  </si>
  <si>
    <t>\\MCA-S\mk\2_BM\0_BMat\08_PYM\Inventario\excel\Imagen de refacciones\Putzmeister\Seal set for upper housing Q80 _ Juego de sellos para carcasa superior Q80</t>
  </si>
  <si>
    <t>SOM20018</t>
  </si>
  <si>
    <t>401783KIT</t>
  </si>
  <si>
    <t>\\MCA-S\mk\2_BM\0_BMat\08_PYM\Inventario\excel\Imagen de refacciones\Putzmeister\Discharge support _ Soporte de descarga</t>
  </si>
  <si>
    <t>1515</t>
  </si>
  <si>
    <t>\\MCA-S\mk\2_BM\0_BMat\08_PYM\Inventario\excel\Imagen de refacciones\Putzmeister\Outher housing _ Carcasa exterior</t>
  </si>
  <si>
    <t>Outher housing / Carcasa exterior</t>
  </si>
  <si>
    <t>SOM20020</t>
  </si>
  <si>
    <t>\\MCA-S\mk\2_BM\0_BMat\08_PYM\Inventario\excel\Imagen de refacciones\Putzmeister\Plain compressión ring _ Anillo de compresión liso</t>
  </si>
  <si>
    <t>1517</t>
  </si>
  <si>
    <t>\\MCA-S\mk\2_BM\0_BMat\08_PYM\Inventario\excel\Imagen de refacciones\Putzmeister\Lip seal ring _Anillo de sello de labio</t>
  </si>
  <si>
    <t>Lip seal ring /Anillo de sello de labio</t>
  </si>
  <si>
    <t>SOM20022</t>
  </si>
  <si>
    <t>247565007 / 228577001</t>
  </si>
  <si>
    <t>\\MCA-S\mk\2_BM\0_BMat\08_PYM\Inventario\excel\Imagen de refacciones\Putzmeister\G BAND _ Junta tipo G</t>
  </si>
  <si>
    <t>\\MCA-S\mk\2_BM\0_BMat\08_PYM\Inventario\excel\Imagen de refacciones\Putzmeister\O ring _ junta tórica</t>
  </si>
  <si>
    <t>\\MCA-S\mk\2_BM\0_BMat\08_PYM\Inventario\excel\Imagen de refacciones\Putzmeister\SCRAPER RING _ Anillo rascador</t>
  </si>
  <si>
    <t>\\MCA-S\mk\2_BM\0_BMat\08_PYM\Inventario\excel\Imagen de refacciones\Putzmeister\Back up ring _ Anillo de respaldo</t>
  </si>
  <si>
    <t>\\MCA-S\mk\2_BM\0_BMat\08_PYM\Inventario\excel\Imagen de refacciones\Putzmeister\SEAL SET FOR OUTHER HOUSING _ Juego de sellos para carcasa exterior</t>
  </si>
  <si>
    <t>\\MCA-S\mk\2_BM\0_BMat\08_PYM\Inventario\excel\Imagen de refacciones\Putzmeister\Hopper RS905 CPL _ Tolva RS905 CPL</t>
  </si>
  <si>
    <t>\\MCA-S\mk\2_BM\0_BMat\08_PYM\Inventario\excel\Imagen de refacciones\Putzmeister\GRILL RS905 FOLDABLE _ Rejilla plegable RS905</t>
  </si>
  <si>
    <t>1525</t>
  </si>
  <si>
    <t>\\MCA-S\mk\2_BM\0_BMat\08_PYM\Inventario\excel\Imagen de refacciones\Putzmeister\Rubber buffer u part _ Amortiguador de goma en forma de u</t>
  </si>
  <si>
    <t>Rubber buffer u part / Amortiguador de goma en forma de u</t>
  </si>
  <si>
    <t>som20033</t>
  </si>
  <si>
    <t>\\MCA-S\mk\2_BM\0_BMat\08_PYM\Inventario\excel\Imagen de refacciones\Putzmeister\Rubber buffer _ Amortiguador de goma</t>
  </si>
  <si>
    <t>1527</t>
  </si>
  <si>
    <t>\\MCA-S\mk\2_BM\0_BMat\08_PYM\Inventario\excel\Imagen de refacciones\Putzmeister\Pluger cylinder Q160 - 60 _ Cilindro de émbolo Q160 - 60</t>
  </si>
  <si>
    <t>Pluger cylinder Q160 - 60 / Cilindro de émbolo Q160 - 60</t>
  </si>
  <si>
    <t>SOM20035</t>
  </si>
  <si>
    <t>26840008</t>
  </si>
  <si>
    <t>1528</t>
  </si>
  <si>
    <t>\\MCA-S\mk\2_BM\0_BMat\08_PYM\Inventario\excel\Imagen de refacciones\Putzmeister\Plunger cylinder single hole 160-60 _ Cilindro de émbolo de orificio simple 160-60</t>
  </si>
  <si>
    <t>CILINDRO DE CAMBIO GATO BUZO 80 MM PARA BOMBA DE HORMIGON</t>
  </si>
  <si>
    <t>SOM20036</t>
  </si>
  <si>
    <t>\\MCA-S\mk\2_BM\0_BMat\08_PYM\Inventario\excel\Imagen de refacciones\Putzmeister\Plunger tube Q160-60  _ Tubo de émbolo Q160-60</t>
  </si>
  <si>
    <t>\\MCA-S\mk\2_BM\0_BMat\08_PYM\Inventario\excel\Imagen de refacciones\Putzmeister\Piston ROD Q160-60 _ Vástago de pistón Q160-60</t>
  </si>
  <si>
    <t>1531</t>
  </si>
  <si>
    <t>75045880424</t>
  </si>
  <si>
    <t>\\MCA-S\mk\2_BM\0_BMat\08_PYM\Inventario\excel\Imagen de refacciones\Putzmeister\SEAL SET FOR PLUNGERY CYLINDER Q160-60 _Juego de sellos para cilindro de émbolo Q160-60</t>
  </si>
  <si>
    <t>0</t>
  </si>
  <si>
    <t>SEAL SET FOR PLUNGERY CYLINDER Q160-60 /Juego de sellos para cilindro de émbolo Q160-60</t>
  </si>
  <si>
    <t>SOM20039</t>
  </si>
  <si>
    <t>262840008KIT</t>
  </si>
  <si>
    <t>1532</t>
  </si>
  <si>
    <t>\\MCA-S\mk\2_BM\0_BMat\08_PYM\Inventario\excel\Imagen de refacciones\Putzmeister\Ball cup 160_60 _</t>
  </si>
  <si>
    <t>Ball cup 160/60 /</t>
  </si>
  <si>
    <t>SOM20040</t>
  </si>
  <si>
    <t>\\MCA-S\mk\2_BM\0_BMat\08_PYM\Inventario\excel\Imagen de refacciones\Putzmeister\Ball cup 160_40 _ Copa de bola 160_40</t>
  </si>
  <si>
    <t>\\MCA-S\mk\2_BM\0_BMat\08_PYM\Inventario\excel\Imagen de refacciones\Putzmeister\S VALVE 2318N _ Válvula tipo S modelo 2318N</t>
  </si>
  <si>
    <t>1535</t>
  </si>
  <si>
    <t>\\MCA-S\mk\2_BM\0_BMat\08_PYM\Inventario\excel\Imagen de refacciones\Putzmeister\SPECTACLE WEAR PLATE DURO 22 _ Placa de desgaste tipo _espectáculo_ Duro 22 (1)</t>
  </si>
  <si>
    <t>SPECTACLE WEAR PLATE DURO 22 / Placa de desgaste tipo "espectáculo" Duro 22</t>
  </si>
  <si>
    <t>som20043</t>
  </si>
  <si>
    <t>1536</t>
  </si>
  <si>
    <t>\\MCA-S\mk\2_BM\0_BMat\08_PYM\Inventario\excel\Imagen de refacciones\Putzmeister\wear ring duro 22 _ Anillo de desgaste Duro 22 (1)</t>
  </si>
  <si>
    <t>wear ring duro 22 / Anillo de desgaste Duro 22</t>
  </si>
  <si>
    <t>SOM20044</t>
  </si>
  <si>
    <t>261123001 / 285180004 / 269866001</t>
  </si>
  <si>
    <t>\\MCA-S\mk\2_BM\0_BMat\08_PYM\Inventario\excel\Imagen de refacciones\Putzmeister\DN230 THRUST RING WITH STEEL _ Anillo de empuje DN230 con refuerzo de acero</t>
  </si>
  <si>
    <t>\\MCA-S\mk\2_BM\0_BMat\08_PYM\Inventario\excel\Imagen de refacciones\Putzmeister\S VALVE SHAFT Q90 _ Eje para válvula tipo S modelo Q90</t>
  </si>
  <si>
    <t>1539</t>
  </si>
  <si>
    <t>\\MCA-S\mk\2_BM\0_BMat\08_PYM\Inventario\excel\Imagen de refacciones\Putzmeister\SLEWING LEVER Q90 _ Palanca giratoria Q90</t>
  </si>
  <si>
    <t>SLEWING LEVER Q90 / Palanca giratoria Q90</t>
  </si>
  <si>
    <t>SOM20048</t>
  </si>
  <si>
    <t>\\MCA-S\mk\2_BM\0_BMat\08_PYM\Inventario\excel\Imagen de refacciones\Putzmeister\COMPLETE UPPER HOUSING Q90 _ Carcasa superior completa Q90</t>
  </si>
  <si>
    <t>\\MCA-S\mk\2_BM\0_BMat\08_PYM\Inventario\excel\Imagen de refacciones\Putzmeister\COLLAR DISC _ Disco de collar (1)</t>
  </si>
  <si>
    <t>\\MCA-S\mk\2_BM\0_BMat\08_PYM\Inventario\excel\Imagen de refacciones\Putzmeister\Support flange Q90 _</t>
  </si>
  <si>
    <t>\\MCA-S\mk\2_BM\0_BMat\08_PYM\Inventario\excel\Imagen de refacciones\Putzmeister\WEAR SLEEVE Q90 _ Camisa de desgaste Q90</t>
  </si>
  <si>
    <t>1544</t>
  </si>
  <si>
    <t>75045880573</t>
  </si>
  <si>
    <t>\\MCA-S\mk\2_BM\0_BMat\08_PYM\Inventario\excel\Imagen de refacciones\Putzmeister\SEAL SET FOR UPPER HOUSING Q90 _ Juego de sellos para carcasa superior Q90</t>
  </si>
  <si>
    <t>SOM20053</t>
  </si>
  <si>
    <t>274893001KIT</t>
  </si>
  <si>
    <t>1545</t>
  </si>
  <si>
    <t>\\MCA-S\mk\2_BM\0_BMat\08_PYM\Inventario\excel\Imagen de refacciones\Putzmeister\Complete upper housing Q90 New type _ Carcasa superior completa Q90 (nuevo modelo)</t>
  </si>
  <si>
    <t>Complete upper housing Q90 New type / Carcasa superior completa Q90 (nuevo modelo)</t>
  </si>
  <si>
    <t>SOM20054</t>
  </si>
  <si>
    <t>PLUNGER CYLINDER 80MM</t>
  </si>
  <si>
    <t>\\MCA-S\mk\2_BM\0_BMat\08_PYM\Inventario\excel\Imagen de refacciones\Putzmeister\Plunger tube Q160-80 _ Tubo de émbolo Q160-80</t>
  </si>
  <si>
    <t>\\MCA-S\mk\2_BM\0_BMat\08_PYM\Inventario\excel\Imagen de refacciones\Putzmeister\Piston Rod Q160-80 _ Vástago de pistón Q160-80</t>
  </si>
  <si>
    <t>\\MCA-S\mk\2_BM\0_BMat\08_PYM\Inventario\excel\Imagen de refacciones\Putzmeister\Seal set for plunger cylinder Q160-80 _Juego de sellos para cilindro de émbolo Q160-80</t>
  </si>
  <si>
    <t>\\MCA-S\mk\2_BM\0_BMat\08_PYM\Inventario\excel\Imagen de refacciones\Putzmeister\Plunger cylinder Q200-80 _ Cilindro de émbolo Q200-80</t>
  </si>
  <si>
    <t>\\MCA-S\mk\2_BM\0_BMat\08_PYM\Inventario\excel\Imagen de refacciones\Putzmeister\Plunger tube Q200 - 80 _ Tubo de émbolo Q200-80</t>
  </si>
  <si>
    <t>\\MCA-S\mk\2_BM\0_BMat\08_PYM\Inventario\excel\Imagen de refacciones\Putzmeister\Piston Rod Q200-80 _ Vástago de pistón Q200-80</t>
  </si>
  <si>
    <t>\\MCA-S\mk\2_BM\0_BMat\08_PYM\Inventario\excel\Imagen de refacciones\Putzmeister\Plunger cylinder Cover Q200-80 _ Tapa cilindro de émbolo Q200-80</t>
  </si>
  <si>
    <t>\\MCA-S\mk\2_BM\0_BMat\08_PYM\Inventario\excel\Imagen de refacciones\Putzmeister\Juego de sellos para cilindro de émbolo Q200-80 _ Seal set for plunger cyllinder Q200 - 80</t>
  </si>
  <si>
    <t>1555</t>
  </si>
  <si>
    <t>\\MCA-S\mk\2_BM\0_BMat\08_PYM\Inventario\excel\Imagen de refacciones\Putzmeister\SLIDE _ Guía deslizante</t>
  </si>
  <si>
    <t>SLIDE / Guía deslizante</t>
  </si>
  <si>
    <t>SOM20069</t>
  </si>
  <si>
    <t>\\MCA-S\mk\2_BM\0_BMat\08_PYM\Inventario\excel\Imagen de refacciones\Putzmeister\Round cord _ Cuerda redonda</t>
  </si>
  <si>
    <t>\\MCA-S\mk\2_BM\0_BMat\08_PYM\Inventario\excel\Imagen de refacciones\Putzmeister\Bokc, Right Hand Side _ Bloque, lado derecho</t>
  </si>
  <si>
    <t>\\MCA-S\mk\2_BM\0_BMat\08_PYM\Inventario\excel\Imagen de refacciones\Putzmeister\Bock, left hand side _ Bloque, lado izquierdo</t>
  </si>
  <si>
    <t>1559</t>
  </si>
  <si>
    <t>\\MCA-S\mk\2_BM\0_BMat\08_PYM\Inventario\excel\Imagen de refacciones\Putzmeister\Hydraulic motor OMH 500 (BS500) _ Motor hidráulico OMH 500 (BS500)</t>
  </si>
  <si>
    <t>Hydraulic motor OMH 500 (BS500) / Motor hidráulico OMH 500 (BS500)</t>
  </si>
  <si>
    <t>SOM20074</t>
  </si>
  <si>
    <t>1560</t>
  </si>
  <si>
    <t>\\MCA-S\mk\2_BM\0_BMat\08_PYM\Inventario\excel\Imagen de refacciones\Putzmeister\Shaft for hydraulic motor omh 500 _ Eje para motor hidráulico OMH 500</t>
  </si>
  <si>
    <t>Shaft for hydraulic motor omh 500 / Eje para motor hidráulico OMH 500</t>
  </si>
  <si>
    <t>som20075</t>
  </si>
  <si>
    <t>1561</t>
  </si>
  <si>
    <t>\\MCA-S\mk\2_BM\0_BMat\08_PYM\Inventario\excel\Imagen de refacciones\Putzmeister\SEAL SET FOR HYDRAULIC MOTOR OMH 500 _ Juego de sellos para motor hidráulico OMH 500</t>
  </si>
  <si>
    <t>SEAL SET FOR HYDRAULIC MOTOR OMH 500 / Juego de sellos para motor hidráulico OMH 500</t>
  </si>
  <si>
    <t>SOM20076</t>
  </si>
  <si>
    <t>\\MCA-S\mk\2_BM\0_BMat\08_PYM\Inventario\excel\Imagen de refacciones\Putzmeister\Torque support _Soporte de torque</t>
  </si>
  <si>
    <t>1563</t>
  </si>
  <si>
    <t>\\MCA-S\mk\2_BM\0_BMat\08_PYM\Inventario\excel\Imagen de refacciones\Putzmeister\Bearing flange Q60 _ Brida para rodamiento Q60</t>
  </si>
  <si>
    <t>SOM20079</t>
  </si>
  <si>
    <t>\\MCA-S\mk\2_BM\0_BMat\08_PYM\Inventario\excel\Imagen de refacciones\Putzmeister\Flnage for bearing flange Q60 _ Brida para soporte de rodamiento Q60</t>
  </si>
  <si>
    <t>1565</t>
  </si>
  <si>
    <t>\\MCA-S\mk\2_BM\0_BMat\08_PYM\Inventario\excel\Imagen de refacciones\Putzmeister\Bush _ Buje (1)</t>
  </si>
  <si>
    <t>SOM20081</t>
  </si>
  <si>
    <t>1566</t>
  </si>
  <si>
    <t>\\MCA-S\mk\2_BM\0_BMat\08_PYM\Inventario\excel\Imagen de refacciones\Putzmeister\Rubeer disc Q60 _ Disco de goma Q60</t>
  </si>
  <si>
    <t>SOM20082</t>
  </si>
  <si>
    <t>1567</t>
  </si>
  <si>
    <t>\\MCA-S\mk\2_BM\0_BMat\08_PYM\Inventario\excel\Imagen de refacciones\Putzmeister\MIXER SHAFT Q60 X 285mm _ Eje de mezcladora Q60 x 285mm</t>
  </si>
  <si>
    <t>SOM20083</t>
  </si>
  <si>
    <t>\\MCA-S\mk\2_BM\0_BMat\08_PYM\Inventario\excel\Imagen de refacciones\Putzmeister\Washer _ Arandela</t>
  </si>
  <si>
    <t>\\MCA-S\mk\2_BM\0_BMat\08_PYM\Inventario\excel\Imagen de refacciones\Putzmeister\Mixer shaft center part Q60 _ Parte central del eje de mezcladora Q60</t>
  </si>
  <si>
    <t>1570</t>
  </si>
  <si>
    <t>\\MCA-S\mk\2_BM\0_BMat\08_PYM\Inventario\excel\Imagen de refacciones\Putzmeister\Paddle left _ Paleta izquierda</t>
  </si>
  <si>
    <t>Paddle left / Paleta izquierda</t>
  </si>
  <si>
    <t>SOM20086</t>
  </si>
  <si>
    <t>\\MCA-S\mk\2_BM\0_BMat\08_PYM\Inventario\excel\Imagen de refacciones\Putzmeister\Foldable elbow _ Codo plegable</t>
  </si>
  <si>
    <t>1572</t>
  </si>
  <si>
    <t>\\MCA-S\mk\2_BM\0_BMat\08_PYM\Inventario\excel\Imagen de refacciones\Putzmeister\6_ Elbow ZXM_ZXF _ Codo de 6_ ZXM_ZXF</t>
  </si>
  <si>
    <t>6" Elbow ZXM/ZXF / Codo de 6" ZXM/ZXF</t>
  </si>
  <si>
    <t>SOM20089</t>
  </si>
  <si>
    <t>\\MCA-S\mk\2_BM\0_BMat\08_PYM\Inventario\excel\Imagen de refacciones\Putzmeister\Reduction pipe 1200 mm _ Tubo reductor de 1200 mm</t>
  </si>
  <si>
    <t>1574</t>
  </si>
  <si>
    <t>\\MCA-S\mk\2_BM\0_BMat\08_PYM\Inventario\excel\Imagen de refacciones\Putzmeister\6_ COUPLING WITH EDGE _ Acoplamiento de 6_ con reborde</t>
  </si>
  <si>
    <t>6" COUPLING WITH EDGE / Acoplamiento de 6" con reborde</t>
  </si>
  <si>
    <t>SOM20091</t>
  </si>
  <si>
    <t>\\MCA-S\mk\2_BM\0_BMat\08_PYM\Inventario\excel\Imagen de refacciones\Putzmeister\6_ Coupling with screw _ Acoplamiento de 6_ con tornillo</t>
  </si>
  <si>
    <t>\\MCA-S\mk\2_BM\0_BMat\08_PYM\Inventario\excel\Imagen de refacciones\Putzmeister\SEALING COVER COUPLING _ Cubierta de sellado para acoplamiento</t>
  </si>
  <si>
    <t>\\MCA-S\mk\2_BM\0_BMat\08_PYM\Inventario\excel\Imagen de refacciones\Putzmeister\Sealing cover _ Cubierta de sellado</t>
  </si>
  <si>
    <t>1578</t>
  </si>
  <si>
    <t>\\MCA-S\mk\2_BM\0_BMat\08_PYM\Inventario\excel\Imagen de refacciones\Putzmeister\Wedge _ Cuña</t>
  </si>
  <si>
    <t>Wedge / Cuña</t>
  </si>
  <si>
    <t>SOM20096</t>
  </si>
  <si>
    <t>1579</t>
  </si>
  <si>
    <t>\\MCA-S\mk\2_BM\0_BMat\08_PYM\Inventario\excel\Imagen de refacciones\Putzmeister\Mounting (eye) Bolt _ Perno de montaje (con ojo)</t>
  </si>
  <si>
    <t>Mounting (eye) Bolt / Perno de montaje (con ojo)</t>
  </si>
  <si>
    <t>SOM20097</t>
  </si>
  <si>
    <t>1580</t>
  </si>
  <si>
    <t>\\MCA-S\mk\2_BM\0_BMat\08_PYM\Inventario\excel\Imagen de refacciones\Putzmeister\Tie rod _ Tirante</t>
  </si>
  <si>
    <t>Tie rod / Tirante</t>
  </si>
  <si>
    <t>SOM20098</t>
  </si>
  <si>
    <t>\\MCA-S\mk\2_BM\0_BMat\08_PYM\Inventario\excel\Imagen de refacciones\Putzmeister\Intermediate ring _ Anillo intermedio</t>
  </si>
  <si>
    <t>\\MCA-S\mk\2_BM\0_BMat\08_PYM\Inventario\excel\Imagen de refacciones\Putzmeister\Intermediate ring _ Anillo intermedio (1)</t>
  </si>
  <si>
    <t>\\MCA-S\mk\2_BM\0_BMat\08_PYM\Inventario\excel\Imagen de refacciones\Putzmeister\Delivery cylinder 230X2100</t>
  </si>
  <si>
    <t>1584</t>
  </si>
  <si>
    <t>\\MCA-S\mk\2_BM\0_BMat\08_PYM\Inventario\excel\Imagen de refacciones\Putzmeister\Delivery cylinder 230X2100 _ Cilindro de entrega 230x2100</t>
  </si>
  <si>
    <t>SOM20102</t>
  </si>
  <si>
    <t>261520002</t>
  </si>
  <si>
    <t>\\MCA-S\mk\2_BM\0_BMat\08_PYM\Inventario\excel\Imagen de refacciones\Putzmeister\Delivery cylinder 200X1400 _  Cilindro de entrega 200X1400</t>
  </si>
  <si>
    <t>\\MCA-S\mk\2_BM\0_BMat\08_PYM\Inventario\excel\Imagen de refacciones\Putzmeister\Delivery cylinder 230X2100 _  Cilindro de entrega 230X2100</t>
  </si>
  <si>
    <t>\\MCA-S\mk\2_BM\0_BMat\08_PYM\Inventario\excel\Imagen de refacciones\Putzmeister\Delivery cylinder 280x2355 _ Cilindro de entrega 280x2355</t>
  </si>
  <si>
    <t>\\MCA-S\mk\2_BM\0_BMat\08_PYM\Inventario\excel\Imagen de refacciones\Putzmeister\Delivery cylinder 250x2310 _ Cilindro de entrega 250x2310</t>
  </si>
  <si>
    <t>\\MCA-S\mk\2_BM\0_BMat\08_PYM\Inventario\excel\Imagen de refacciones\Putzmeister\DN180 PISTON RAM _ Émbolo de pistón DN180</t>
  </si>
  <si>
    <t>1590</t>
  </si>
  <si>
    <t>\\MCA-S\mk\2_BM\0_BMat\08_PYM\Inventario\excel\Imagen de refacciones\Putzmeister\DN 200 PISTON RAM _ Émbolo de pistón DN200</t>
  </si>
  <si>
    <t>DN 200 PISTON RAM / Émbolo de pistón DN200</t>
  </si>
  <si>
    <t>SOM20109</t>
  </si>
  <si>
    <t>1591</t>
  </si>
  <si>
    <t>\\MCA-S\mk\2_BM\0_BMat\08_PYM\Inventario\excel\Imagen de refacciones\Putzmeister\DN230 PISTON RAM 2 HOLE _ Émbolo de pistón DN230 con 2 agujeros</t>
  </si>
  <si>
    <t>DN230 PISTON RAM 2 HOLE / Émbolo de pistón DN230 con 2 agujeros</t>
  </si>
  <si>
    <t>SOM20111</t>
  </si>
  <si>
    <t>262893000 / 19003001</t>
  </si>
  <si>
    <t>1592</t>
  </si>
  <si>
    <t>\\MCA-S\mk\2_BM\0_BMat\08_PYM\Inventario\excel\Imagen de refacciones\Putzmeister\DN 230 Piston Ram 4 hole _ Émbolo de pistón DN230 con 4 agujeros</t>
  </si>
  <si>
    <t>DN 230 Piston Ram 4 hole / Émbolo de pistón DN230 con 4 agujeros</t>
  </si>
  <si>
    <t>SO20113</t>
  </si>
  <si>
    <t>\\MCA-S\mk\2_BM\0_BMat\08_PYM\Inventario\excel\Imagen de refacciones\Putzmeister\DN 200 SEAL FOR RAM _ Sello para vástago DN200</t>
  </si>
  <si>
    <t>\\MCA-S\mk\2_BM\0_BMat\08_PYM\Inventario\excel\Imagen de refacciones\Putzmeister\DN 230 SEAL FOR RAM _ Sello para vástago DN230</t>
  </si>
  <si>
    <t>\\MCA-S\mk\2_BM\0_BMat\08_PYM\Inventario\excel\Imagen de refacciones\Putzmeister\Guide ring DN200 _ Anillo guía DN200</t>
  </si>
  <si>
    <t>\\MCA-S\mk\2_BM\0_BMat\08_PYM\Inventario\excel\Imagen de refacciones\Putzmeister\Guide ring DN230 _ Anillo guía DN230</t>
  </si>
  <si>
    <t>1597</t>
  </si>
  <si>
    <t>\\MCA-S\mk\2_BM\0_BMat\08_PYM\Inventario\excel\Imagen de refacciones\Putzmeister\Brida espaciadora</t>
  </si>
  <si>
    <t>Brida espaciadora</t>
  </si>
  <si>
    <t>SOM20119</t>
  </si>
  <si>
    <t>\\MCA-S\mk\2_BM\0_BMat\08_PYM\Inventario\excel\Imagen de refacciones\Putzmeister\Piston rod flange _ Brida para vástago de pistón</t>
  </si>
  <si>
    <t>Piston rod flange / Brida para vástago de pistón</t>
  </si>
  <si>
    <t>\\MCA-S\mk\2_BM\0_BMat\08_PYM\Inventario\excel\Imagen de refacciones\Putzmeister\Spacer flange _ Brida espaciadora</t>
  </si>
  <si>
    <t>\\MCA-S\mk\2_BM\0_BMat\08_PYM\Inventario\excel\Imagen de refacciones\Putzmeister\Spectacle wear plate duro 22 new type _ Placa de desgaste tipo _espectáculo_ Duro 22 (nuevo modelo)</t>
  </si>
  <si>
    <t>Spectacle wear plate duro 22 new type / Placa de desgaste tipo "espectáculo" Duro 22 (nuevo modelo)</t>
  </si>
  <si>
    <t>SOM20123</t>
  </si>
  <si>
    <t>\\MCA-S\mk\2_BM\0_BMat\08_PYM\Inventario\excel\Imagen de refacciones\Putzmeister\Spectacle wear plate elephant _ Placa de desgaste tipo _espectáculo_ Elephant</t>
  </si>
  <si>
    <t>\\MCA-S\mk\2_BM\0_BMat\08_PYM\Inventario\excel\Imagen de refacciones\Putzmeister\Wear ring elephant _ Anillo de desgaste Elephant</t>
  </si>
  <si>
    <t>\\MCA-S\mk\2_BM\0_BMat\08_PYM\Inventario\excel\Imagen de refacciones\Putzmeister\Spectacle wear plate elephant _ Placa de desgaste tipo _espectáculo_ Elephant (1)</t>
  </si>
  <si>
    <t>\\MCA-S\mk\2_BM\0_BMat\08_PYM\Inventario\excel\Imagen de refacciones\Putzmeister\Wear ring elephant _ Anillo de desgaste Elephant (1)</t>
  </si>
  <si>
    <t>\\MCA-S\mk\2_BM\0_BMat\08_PYM\Inventario\excel\Imagen de refacciones\Putzmeister\Wear ring elephant _ Anillo de desgaste Elephant (2)</t>
  </si>
  <si>
    <t>1606</t>
  </si>
  <si>
    <t>\\MCA-S\mk\2_BM\0_BMat\08_PYM\Inventario\excel\Imagen de refacciones\Putzmeister\DN 200 Thrust Ring _ Anillo de empuje DN200</t>
  </si>
  <si>
    <t>DN 200 Thrust Ring / Anillo de empuje DN200</t>
  </si>
  <si>
    <t>\\MCA-S\mk\2_BM\0_BMat\08_PYM\Inventario\excel\Imagen de refacciones\Putzmeister\Placa de desgaste tipo _espectáculo_ Elephant _ Spectacle wear plate elephant</t>
  </si>
  <si>
    <t>\\MCA-S\mk\2_BM\0_BMat\08_PYM\Inventario\excel\Imagen de refacciones\Putzmeister\Wear strip _ Banda de desgaste</t>
  </si>
  <si>
    <t>1609</t>
  </si>
  <si>
    <t>\\MCA-S\mk\2_BM\0_BMat\08_PYM\Inventario\excel\Imagen de refacciones\Putzmeister\wear plate _ Placa de desgaste</t>
  </si>
  <si>
    <t>wear plate / Placa de desgaste</t>
  </si>
  <si>
    <t>SOM20132</t>
  </si>
  <si>
    <t>258569005 / 269519002</t>
  </si>
  <si>
    <t>\\MCA-S\mk\2_BM\0_BMat\08_PYM\Inventario\excel\Imagen de refacciones\Putzmeister\Pressure plate _ placa de presión</t>
  </si>
  <si>
    <t>\\MCA-S\mk\2_BM\0_BMat\08_PYM\Inventario\excel\Imagen de refacciones\Putzmeister\Wear plate _ Placa de desgaste  (1)</t>
  </si>
  <si>
    <t>\\MCA-S\mk\2_BM\0_BMat\08_PYM\Inventario\excel\Imagen de refacciones\Putzmeister\Hydraulic cylinder 110X63 1400 _ Hydraulic cylinder 110X63 1400</t>
  </si>
  <si>
    <t>Hydraulic cylinder 110X63 1400 / Hydraulic cylinder 110X63 1400</t>
  </si>
  <si>
    <t>\\MCA-S\mk\2_BM\0_BMat\08_PYM\Inventario\excel\Imagen de refacciones\Putzmeister\Cylinder barrel 110X63 1400 _ barra de cilindro 110x63 1400</t>
  </si>
  <si>
    <t>Cylinder barrel 110X63 1400 / barra de cilindro 110x63 1400</t>
  </si>
  <si>
    <t>\\MCA-S\mk\2_BM\0_BMat\08_PYM\Inventario\excel\Imagen de refacciones\Putzmeister\Piston rod 110X63 1400 _ Vástago de pistón 110x63 1400</t>
  </si>
  <si>
    <t>Piston rod 110X63 1400 / Vástago de pistón 110x63 1400</t>
  </si>
  <si>
    <t>SOM20137</t>
  </si>
  <si>
    <t>\\MCA-S\mk\2_BM\0_BMat\08_PYM\Inventario\excel\Imagen de refacciones\Putzmeister\Piston _ Pistón</t>
  </si>
  <si>
    <t>\\MCA-S\mk\2_BM\0_BMat\08_PYM\Inventario\excel\Imagen de refacciones\Putzmeister\Guide bush _ Buje guia</t>
  </si>
  <si>
    <t>Guide bush / Buje guia</t>
  </si>
  <si>
    <t>\\MCA-S\mk\2_BM\0_BMat\08_PYM\Inventario\excel\Imagen de refacciones\Putzmeister\head flange _ Brida de cabeza</t>
  </si>
  <si>
    <t>head flange / Brida de cabeza</t>
  </si>
  <si>
    <t>\\MCA-S\mk\2_BM\0_BMat\08_PYM\Inventario\excel\Imagen de refacciones\Putzmeister\Seal set for hydraulic cylinder 110X63 1400 _ Juego de sellos para cilindro hidráulico 110x63 1400</t>
  </si>
  <si>
    <t>Seal set for hydraulic cylinder 110X63 1400 / Juego de sellos para cilindro hidráulico 110x63 1400</t>
  </si>
  <si>
    <t>\\MCA-S\mk\2_BM\0_BMat\08_PYM\Inventario\excel\Imagen de refacciones\Putzmeister\Hydraulic cylinder 130X80 2100 _ Hydraulic cylinder 130X80 2100</t>
  </si>
  <si>
    <t>\\MCA-S\mk\2_BM\0_BMat\08_PYM\Inventario\excel\Imagen de refacciones\Putzmeister\Cylinder barrel 130X80 2100 _ Camisa de cilindro 130x80 2100</t>
  </si>
  <si>
    <t>\\MCA-S\mk\2_BM\0_BMat\08_PYM\Inventario\excel\Imagen de refacciones\Putzmeister\Piston rod 130x80 2300 _ Vástago de pistón 130x80 2300</t>
  </si>
  <si>
    <t>\\MCA-S\mk\2_BM\0_BMat\08_PYM\Inventario\excel\Imagen de refacciones\Putzmeister\Piston _ Pistón (1)</t>
  </si>
  <si>
    <t>\\MCA-S\mk\2_BM\0_BMat\08_PYM\Inventario\excel\Imagen de refacciones\Putzmeister\Supporting ring _ Anillo de soporte</t>
  </si>
  <si>
    <t>\\MCA-S\mk\2_BM\0_BMat\08_PYM\Inventario\excel\Imagen de refacciones\Putzmeister\Head flange _ Brida de cabeza (1)</t>
  </si>
  <si>
    <t>\\MCA-S\mk\2_BM\0_BMat\08_PYM\Inventario\excel\Imagen de refacciones\Putzmeister\Piston 130X80 2100 Complete assy _ Pistón 130x80 2100 (ensamble completo)</t>
  </si>
  <si>
    <t>\\MCA-S\mk\2_BM\0_BMat\08_PYM\Inventario\excel\Imagen de refacciones\Putzmeister\Trunk b2314 _ Pistón tipo tronco B2314</t>
  </si>
  <si>
    <t>\\MCA-S\mk\2_BM\0_BMat\08_PYM\Inventario\excel\Imagen de refacciones\Putzmeister\Trunk leve b2314 _ Palanca de tronco B2314</t>
  </si>
  <si>
    <t>\\MCA-S\mk\2_BM\0_BMat\08_PYM\Inventario\excel\Imagen de refacciones\Putzmeister\Trunnk b2614 _ Soporte de muñón B2614</t>
  </si>
  <si>
    <t>\\MCA-S\mk\2_BM\0_BMat\08_PYM\Inventario\excel\Imagen de refacciones\Putzmeister\Trunk lever B2614 _ Palanca de tronco B2614</t>
  </si>
  <si>
    <t>\\MCA-S\mk\2_BM\0_BMat\08_PYM\Inventario\excel\Imagen de refacciones\Putzmeister\Trunk lever B2614 _ Palanca de tronco B2614 (1)</t>
  </si>
  <si>
    <t>\\MCA-S\mk\2_BM\0_BMat\08_PYM\Inventario\excel\Imagen de refacciones\Putzmeister\Pressure pipe _ Tubería de presión</t>
  </si>
  <si>
    <t>\\MCA-S\mk\2_BM\0_BMat\08_PYM\Inventario\excel\Imagen de refacciones\Putzmeister\Pressure pipe _ Tubería de presión (1)</t>
  </si>
  <si>
    <t>\\MCA-S\mk\2_BM\0_BMat\08_PYM\Inventario\excel\Imagen de refacciones\Putzmeister\Flange of pressure pipe _ brida de tubería de presión</t>
  </si>
  <si>
    <t>\\MCA-S\mk\2_BM\0_BMat\08_PYM\Inventario\excel\Imagen de refacciones\Putzmeister\Hydraulic cylinder _ Cilindro hidráulico</t>
  </si>
  <si>
    <t>\\MCA-S\mk\2_BM\0_BMat\08_PYM\Inventario\excel\Imagen de refacciones\Putzmeister\Cylinder barrel _ Camisa de cilindro</t>
  </si>
  <si>
    <t>\\MCA-S\mk\2_BM\0_BMat\08_PYM\Inventario\excel\Imagen de refacciones\Putzmeister\Piston ROD _ Vástago de pistón</t>
  </si>
  <si>
    <t>\\MCA-S\mk\2_BM\0_BMat\08_PYM\Inventario\excel\Imagen de refacciones\Putzmeister\Join head complete _ Cabeza de unión completa</t>
  </si>
  <si>
    <t>\\MCA-S\mk\2_BM\0_BMat\08_PYM\Inventario\excel\Imagen de refacciones\Putzmeister\Guide bush _ Buje guía</t>
  </si>
  <si>
    <t>\\MCA-S\mk\2_BM\0_BMat\08_PYM\Inventario\excel\Imagen de refacciones\Putzmeister\Seal set for hydraulic cylinder _ Juego de sellos para cilindro hidráulico</t>
  </si>
  <si>
    <t>\\MCA-S\mk\2_BM\0_BMat\08_PYM\Inventario\excel\Imagen de refacciones\Putzmeister\Bearing flange closed Q40 _ Brida de rodamiento cerrada Q40</t>
  </si>
  <si>
    <t>1641</t>
  </si>
  <si>
    <t>\\MCA-S\mk\2_BM\0_BMat\08_PYM\Inventario\excel\Imagen de refacciones\Putzmeister\Bush Q50 _ Buje Q50</t>
  </si>
  <si>
    <t>Bush Q50 / Buje Q50</t>
  </si>
  <si>
    <t>SOM20199</t>
  </si>
  <si>
    <t>\\MCA-S\mk\2_BM\0_BMat\08_PYM\Inventario\excel\Imagen de refacciones\Putzmeister\Rubber Disc Q50 _ Disco de goma Q50</t>
  </si>
  <si>
    <t>\\MCA-S\mk\2_BM\0_BMat\08_PYM\Inventario\excel\Imagen de refacciones\Putzmeister\PM conveying Worm Left _ Tornillo sinfín izquierdo para transporte PM</t>
  </si>
  <si>
    <t>\\MCA-S\mk\2_BM\0_BMat\08_PYM\Inventario\excel\Imagen de refacciones\Putzmeister\PM conveying worm right _ Tornillo sinfín derecho para transporte PM</t>
  </si>
  <si>
    <t>\\MCA-S\mk\2_BM\0_BMat\08_PYM\Inventario\excel\Imagen de refacciones\Putzmeister\Mixing paddle Right Hand _ Paleta mezcladora lado derecho</t>
  </si>
  <si>
    <t>\\MCA-S\mk\2_BM\0_BMat\08_PYM\Inventario\excel\Imagen de refacciones\Putzmeister\Mixing paddle left hand _ Mezcla y homogeneiza concreto en bombas con rotación hacia la izquierda.</t>
  </si>
  <si>
    <t>\\MCA-S\mk\2_BM\0_BMat\08_PYM\Inventario\excel\Imagen de refacciones\Putzmeister\Fork-G61 _ Horquilla G61</t>
  </si>
  <si>
    <t>\\MCA-S\mk\2_BM\0_BMat\08_PYM\Inventario\excel\Imagen de refacciones\Putzmeister\Sliding gear G61 _ Engrane deslizante G61</t>
  </si>
  <si>
    <t>\\MCA-S\mk\2_BM\0_BMat\08_PYM\Inventario\excel\Imagen de refacciones\Putzmeister\Elbow 10 Degree 5,5_ _ Codo de 10° 5,5_</t>
  </si>
  <si>
    <t>Elbow 10 Degree 5,5" / Codo de 10° 5,5"</t>
  </si>
  <si>
    <t>23060007</t>
  </si>
  <si>
    <t>\\MCA-S\mk\2_BM\0_BMat\08_PYM\Inventario\excel\Imagen de refacciones\Putzmeister\Elbow 15 degree 5,5_ _ Codo de 15° 5,5_</t>
  </si>
  <si>
    <t>Elbow 15 degree 5,5" / Codo de 15° 5,5"</t>
  </si>
  <si>
    <t>\\MCA-S\mk\2_BM\0_BMat\08_PYM\Inventario\excel\Imagen de refacciones\Putzmeister\Elbow 20 degree 5,5_ _ Codo de 20° 5,5_</t>
  </si>
  <si>
    <t>Elbow 20 degree 5,5" / Codo de 20° 5,5"</t>
  </si>
  <si>
    <t>\\MCA-S\mk\2_BM\0_BMat\08_PYM\Inventario\excel\Imagen de refacciones\Putzmeister\Elbow 30 degree 5,5_ _ Codo de 30° 5,5_</t>
  </si>
  <si>
    <t>Elbow 30 degree 5,5" / Codo de 30° 5,5"</t>
  </si>
  <si>
    <t>\\MCA-S\mk\2_BM\0_BMat\08_PYM\Inventario\excel\Imagen de refacciones\Putzmeister\Elbow 45 degree 5,5_ _ Codo de 45° 5,5_</t>
  </si>
  <si>
    <t>Elbow 45 degree 5,5" / Codo de 45° 5,5"</t>
  </si>
  <si>
    <t>1654</t>
  </si>
  <si>
    <t>\\MCA-S\mk\2_BM\0_BMat\08_PYM\Inventario\excel\Imagen de refacciones\Putzmeister\Elbow 45 degree long 5,5_ _ Codo largo de 45° 5,5_</t>
  </si>
  <si>
    <t>Elbow 45 degree long 5,5" / Codo largo de 45° 5,5"</t>
  </si>
  <si>
    <t>SOM20215</t>
  </si>
  <si>
    <t>\\MCA-S\mk\2_BM\0_BMat\08_PYM\Inventario\excel\Imagen de refacciones\Putzmeister\Elbow 90 degree 5,5_ _ Codo de 90° 5,5_</t>
  </si>
  <si>
    <t>Elbow 90 degree 5,5" / Codo de 90° 5,5"</t>
  </si>
  <si>
    <t>SOM20216</t>
  </si>
  <si>
    <t>261402007 / 55725000</t>
  </si>
  <si>
    <t>\\MCA-S\mk\2_BM\0_BMat\08_PYM\Inventario\excel\Imagen de refacciones\Putzmeister\5,5_ Elbow 90 degree short type (r180) _ Codo de 90° tipo corto 5,5_ (R180)</t>
  </si>
  <si>
    <t>5,5" Elbow 90 degree short type (r180) / Codo de 90° tipo corto 5,5" (R180)</t>
  </si>
  <si>
    <t>\\MCA-S\mk\2_BM\0_BMat\08_PYM\Inventario\excel\Imagen de refacciones\Putzmeister\Tuería en S _ s Pipe</t>
  </si>
  <si>
    <t>\\MCA-S\mk\2_BM\0_BMat\08_PYM\Inventario\excel\Imagen de refacciones\Putzmeister\Elbow 90 degree R=1000 _ Codo de 90° R=1000</t>
  </si>
  <si>
    <t>\\MCA-S\mk\2_BM\0_BMat\08_PYM\Inventario\excel\Imagen de refacciones\Putzmeister\Reduction pipe 100MM _ Tubo reductor 100MM</t>
  </si>
  <si>
    <t>\\MCA-S\mk\2_BM\0_BMat\08_PYM\Inventario\excel\Imagen de refacciones\Putzmeister\Reduction pipe 200MM _ Tubo reductor 200MM</t>
  </si>
  <si>
    <t>\\MCA-S\mk\2_BM\0_BMat\08_PYM\Inventario\excel\Imagen de refacciones\Putzmeister\Screw coupling 5,5_ _ Acoplamiento roscado 5,5_</t>
  </si>
  <si>
    <t>1662</t>
  </si>
  <si>
    <t>\\MCA-S\mk\2_BM\0_BMat\08_PYM\Inventario\excel\Imagen de refacciones\Putzmeister\Screw mounting coupling 5,5_ _ Acoplamiento de montaje roscado 5,5_</t>
  </si>
  <si>
    <t>Screw mounting coupling 5,5" / Acoplamiento de montaje roscado 5,5"</t>
  </si>
  <si>
    <t>SOM20224</t>
  </si>
  <si>
    <t>27709009 / 430241</t>
  </si>
  <si>
    <t>\\MCA-S\mk\2_BM\0_BMat\08_PYM\Inventario\excel\Imagen de refacciones\Putzmeister\Screw coupling 5,5_ - 4 bolt _ Acoplamiento roscado 5,5_ - 4 pernos</t>
  </si>
  <si>
    <t>\\MCA-S\mk\2_BM\0_BMat\08_PYM\Inventario\excel\Imagen de refacciones\Putzmeister\Clamp coupling 5.5_ _ Acoplamiento de abrazadera 5,5_</t>
  </si>
  <si>
    <t>\\MCA-S\mk\2_BM\0_BMat\08_PYM\Inventario\excel\Imagen de refacciones\Putzmeister\Mounting coupling 5,5_ _ Acoplamiento de montaje 5,5_</t>
  </si>
  <si>
    <t>\\MCA-S\mk\2_BM\0_BMat\08_PYM\Inventario\excel\Imagen de refacciones\Putzmeister\Tightening strap _ Correa de ajuste</t>
  </si>
  <si>
    <t>\\MCA-S\mk\2_BM\0_BMat\08_PYM\Inventario\excel\Imagen de refacciones\Putzmeister\CLAMP _ Abrazadera</t>
  </si>
  <si>
    <t>\\MCA-S\mk\2_BM\0_BMat\08_PYM\Inventario\excel\Imagen de refacciones\Putzmeister\U CLAMP _ Abrazadera en U</t>
  </si>
  <si>
    <t>\\MCA-S\mk\2_BM\0_BMat\08_PYM\Inventario\excel\Imagen de refacciones\Putzmeister\PIPE SADDLE _</t>
  </si>
  <si>
    <t>\\MCA-S\mk\2_BM\0_BMat\08_PYM\Inventario\excel\Imagen de refacciones\Putzmeister\Sponge ball Q175 _ Bola esponja Q175</t>
  </si>
  <si>
    <t>\\MCA-S\mk\2_BM\0_BMat\08_PYM\Inventario\excel\Imagen de refacciones\Putzmeister\Sponge ball Q150 _ Bola esponja Q150</t>
  </si>
  <si>
    <t>\\MCA-S\mk\2_BM\0_BMat\08_PYM\Inventario\excel\Imagen de refacciones\Putzmeister\Sealing 5,5_ _ Sello 5,5_</t>
  </si>
  <si>
    <t>\\MCA-S\mk\2_BM\0_BMat\08_PYM\Inventario\excel\Imagen de refacciones\Putzmeister\Sealing 6_ _ sello 6_</t>
  </si>
  <si>
    <t>\\MCA-S\mk\2_BM\0_BMat\08_PYM\Inventario\excel\Imagen de refacciones\Putzmeister\Flange 5,5_ _ Brida 5,5_</t>
  </si>
  <si>
    <t>\\MCA-S\mk\2_BM\0_BMat\08_PYM\Inventario\excel\Imagen de refacciones\Putzmeister\Flange 5,5_ _ brida 5,5</t>
  </si>
  <si>
    <t>\\MCA-S\mk\2_BM\0_BMat\08_PYM\Inventario\excel\Imagen de refacciones\Putzmeister\Twin pipe 3 mt 5,5_ _ Tubería gemela 3 metros 5,5_</t>
  </si>
  <si>
    <t>\\MCA-S\mk\2_BM\0_BMat\08_PYM\Inventario\excel\Imagen de refacciones\Putzmeister\Forward control valve 24V _ Válvula de control de avance 24V</t>
  </si>
  <si>
    <t>\\MCA-S\mk\2_BM\0_BMat\08_PYM\Inventario\excel\Imagen de refacciones\Putzmeister\HW BOOM VALVE _ VÁLVULA DE PLUMA HW</t>
  </si>
  <si>
    <t>\\MCA-S\mk\2_BM\0_BMat\08_PYM\Inventario\excel\Imagen de refacciones\Putzmeister\Control pressure regulator _ Regulador de presión de control</t>
  </si>
  <si>
    <t>\\MCA-S\mk\2_BM\0_BMat\08_PYM\Inventario\excel\Imagen de refacciones\Putzmeister\Valve 5_2 24VR  R1_4__ Válvula 5_2 24V R1_4_</t>
  </si>
  <si>
    <t>\\MCA-S\mk\2_BM\0_BMat\08_PYM\Inventario\excel\Imagen de refacciones\Putzmeister\Control block _ Bloque de control</t>
  </si>
  <si>
    <t>\\MCA-S\mk\2_BM\0_BMat\08_PYM\Inventario\excel\Imagen de refacciones\Putzmeister\Selenoid 24V _ Solenoide 24V</t>
  </si>
  <si>
    <t>Selenoid 24V / Solenoide 24V</t>
  </si>
  <si>
    <t>SOM20248</t>
  </si>
  <si>
    <t>61678002</t>
  </si>
  <si>
    <t>\\MCA-S\mk\2_BM\0_BMat\08_PYM\Inventario\excel\Imagen de refacciones\Putzmeister\4_2 WAY VALVE 24V _ Válvula 4_2 vías 24V</t>
  </si>
  <si>
    <t>4/2 WAY VALVE 24V / Válvula 4/2 vías 24V</t>
  </si>
  <si>
    <t>SOM20251</t>
  </si>
  <si>
    <t>\\MCA-S\mk\2_BM\0_BMat\08_PYM\Inventario\excel\Imagen de refacciones\Putzmeister\4_3 WAY VALVE 24V _ Válvula 4_3 vías 24V</t>
  </si>
  <si>
    <t>4/3 WAY VALVE 24V / Válvula 4/3 vías 24V</t>
  </si>
  <si>
    <t>SOM20252</t>
  </si>
  <si>
    <t>\\MCA-S\mk\2_BM\0_BMat\08_PYM\Inventario\excel\Imagen de refacciones\Putzmeister\filter element _ Elemento filtrante</t>
  </si>
  <si>
    <t>filter element / Elemento filtrante</t>
  </si>
  <si>
    <t>1686</t>
  </si>
  <si>
    <t>\\MCA-S\mk\2_BM\0_BMat\08_PYM\Inventario\excel\Imagen de refacciones\Putzmeister\Filter element _ Elemento de filtro</t>
  </si>
  <si>
    <t>Filter element / Elemento de filtro</t>
  </si>
  <si>
    <t>SOM20254</t>
  </si>
  <si>
    <t>1687</t>
  </si>
  <si>
    <t>\\MCA-S\mk\2_BM\0_BMat\08_PYM\Inventario\excel\Imagen de refacciones\Putzmeister\Filter element _ Elemento filtrante (1)</t>
  </si>
  <si>
    <t>Filter element / Elemento filtrante</t>
  </si>
  <si>
    <t>SOM20255</t>
  </si>
  <si>
    <t>\\MCA-S\mk\2_BM\0_BMat\08_PYM\Inventario\excel\Imagen de refacciones\Putzmeister\Filter elemnt absolut _ Elemento filtrante absoluto</t>
  </si>
  <si>
    <t>Filter elemnt absolut / Elemento filtrante absoluto</t>
  </si>
  <si>
    <t>SOM20256</t>
  </si>
  <si>
    <t>425836 / 10181242</t>
  </si>
  <si>
    <t>\\MCA-S\mk\2_BM\0_BMat\08_PYM\Inventario\excel\Imagen de refacciones\Putzmeister\Filter elemnt suction filter _ Elemento filtrante para filtro de succión</t>
  </si>
  <si>
    <t>1690</t>
  </si>
  <si>
    <t>\\MCA-S\mk\2_BM\0_BMat\08_PYM\Inventario\excel\Imagen de refacciones\Putzmeister\Filter element F_return suct filter _ Elemento filtrante para filtro de retorno_succión</t>
  </si>
  <si>
    <t>Filter element F/return suct filter / Elemento filtrante para filtro de retorno/succión</t>
  </si>
  <si>
    <t>SOM20258</t>
  </si>
  <si>
    <t>\\MCA-S\mk\2_BM\0_BMat\08_PYM\Inventario\excel\Imagen de refacciones\Putzmeister\BOOM FILTER _ Filtro de pluma</t>
  </si>
  <si>
    <t>\\MCA-S\mk\2_BM\0_BMat\08_PYM\Inventario\excel\Imagen de refacciones\Putzmeister\Rubber cap _ Tapa de goma</t>
  </si>
  <si>
    <t>\\MCA-S\mk\2_BM\0_BMat\08_PYM\Inventario\excel\Imagen de refacciones\Putzmeister\Rubber cap _ Tapa de goma (1)</t>
  </si>
  <si>
    <t>\\MCA-S\mk\2_BM\0_BMat\08_PYM\Inventario\excel\Imagen de refacciones\Putzmeister\BELLOW (NARROW MOUTH) _ Fuelle (boca estrecha)</t>
  </si>
  <si>
    <t>\\MCA-S\mk\2_BM\0_BMat\08_PYM\Inventario\excel\Imagen de refacciones\Putzmeister\Star handle swicht _ Interruptor de palanca en estrella</t>
  </si>
  <si>
    <t>1697</t>
  </si>
  <si>
    <t>\\MCA-S\mk\2_BM\0_BMat\08_PYM\Inventario\excel\Imagen de refacciones\Putzmeister\Battery _ Batería</t>
  </si>
  <si>
    <t>SOPORTE PARA ESTABILIZADOR PARA BOMBA DE HORMIGON</t>
  </si>
  <si>
    <t>67335006 / 262269004</t>
  </si>
  <si>
    <t>\\MCA-S\mk\2_BM\0_BMat\08_PYM\Inventario\excel\Imagen de refacciones\Putzmeister\Battery 2100 amper _ Batería 2100 AMPER</t>
  </si>
  <si>
    <t>\\MCA-S\mk\2_BM\0_BMat\08_PYM\Inventario\excel\Imagen de refacciones\Putzmeister\WEIST BELT 82-132 CM _ Correa Weist 82-132 cm</t>
  </si>
  <si>
    <t>\\MCA-S\mk\2_BM\0_BMat\08_PYM\Inventario\excel\Imagen de refacciones\Putzmeister\Remote aerials _ Antenas remotas</t>
  </si>
  <si>
    <t>\\MCA-S\mk\2_BM\0_BMat\08_PYM\Inventario\excel\Imagen de refacciones\Putzmeister\Remote aerials _ Antenas remotas (1)</t>
  </si>
  <si>
    <t>\\MCA-S\mk\2_BM\0_BMat\08_PYM\Inventario\excel\Imagen de refacciones\Putzmeister\Remote aerials _ Antenas remotas (2)</t>
  </si>
  <si>
    <t>\\MCA-S\mk\2_BM\0_BMat\08_PYM\Inventario\excel\Imagen de refacciones\Putzmeister\Remote control cable 40 MT. (32 poles) _ Cable para control remoto 40 metros (32 polos)</t>
  </si>
  <si>
    <t>1704</t>
  </si>
  <si>
    <t>\\MCA-S\mk\2_BM\0_BMat\08_PYM\Inventario\excel\Imagen de refacciones\Putzmeister\Multiple plug 3M _ Enchufe múltiple 3M</t>
  </si>
  <si>
    <t>Multiple plug 3M / Enchufe múltiple 3M</t>
  </si>
  <si>
    <t>SOM20277</t>
  </si>
  <si>
    <t>1705</t>
  </si>
  <si>
    <t>\\MCA-S\mk\2_BM\0_BMat\08_PYM\Inventario\excel\Imagen de refacciones\Putzmeister\Multiple plug 2M _ Enchufe múltiple 2M</t>
  </si>
  <si>
    <t>Multiple plug 2M / Enchufe múltiple 2M</t>
  </si>
  <si>
    <t>SOM20278</t>
  </si>
  <si>
    <t>1706</t>
  </si>
  <si>
    <t>\\MCA-S\mk\2_BM\0_BMat\08_PYM\Inventario\excel\Imagen de refacciones\Putzmeister\Multple plug 75cm _ Enchufe múltiple 75 cm</t>
  </si>
  <si>
    <t>Multple plug 75cm / Enchufe múltiple 75 cm</t>
  </si>
  <si>
    <t>SOM20279</t>
  </si>
  <si>
    <t>\\MCA-S\mk\2_BM\0_BMat\08_PYM\Inventario\excel\Imagen de refacciones\Putzmeister\Limit switch _ Interruptor de límite</t>
  </si>
  <si>
    <t>Limit switch / Interruptor de límite</t>
  </si>
  <si>
    <t>SOM20280</t>
  </si>
  <si>
    <t>1708</t>
  </si>
  <si>
    <t>\\MCA-S\mk\2_BM\0_BMat\08_PYM\Inventario\excel\Imagen de refacciones\Putzmeister\Magnetic switch M12X1 _ Interruptor magnético M12x1</t>
  </si>
  <si>
    <t>Magnetic switch M12X1 / Interruptor magnético M12x1</t>
  </si>
  <si>
    <t>SOM20281</t>
  </si>
  <si>
    <t>1709</t>
  </si>
  <si>
    <t>\\MCA-S\mk\2_BM\0_BMat\08_PYM\Inventario\excel\Imagen de refacciones\Putzmeister\Limit swicht _ Interruptor de límite</t>
  </si>
  <si>
    <t>Limit swicht / Interruptor de límite</t>
  </si>
  <si>
    <t>SOM20282</t>
  </si>
  <si>
    <t>\\MCA-S\mk\2_BM\0_BMat\08_PYM\Inventario\excel\Imagen de refacciones\Putzmeister\Proximity junction box 4-way cyl 1&amp;2 _ Caja de unión de proximidad 4 vías para cilindros 1 y 2</t>
  </si>
  <si>
    <t>\\MCA-S\mk\2_BM\0_BMat\08_PYM\Inventario\excel\Imagen de refacciones\Putzmeister\Bush housing 32-pol _ Alojamiento de buje 32 polos</t>
  </si>
  <si>
    <t>\\MCA-S\mk\2_BM\0_BMat\08_PYM\Inventario\excel\Imagen de refacciones\Putzmeister\BUSH HOUSING 32_POL</t>
  </si>
  <si>
    <t>\\MCA-S\mk\2_BM\0_BMat\08_PYM\Inventario\excel\Imagen de refacciones\Putzmeister\Pressure sensor 0-600 BAR _ Sensor de presión 0-600 BAR</t>
  </si>
  <si>
    <t>\\MCA-S\mk\2_BM\0_BMat\08_PYM\Inventario\excel\Imagen de refacciones\Putzmeister\Emergency shut off _ Parada de emergencia</t>
  </si>
  <si>
    <t>\\MCA-S\mk\2_BM\0_BMat\08_PYM\Inventario\excel\Imagen de refacciones\Putzmeister\OIL COOLER COMPLETE _ Enfriador de aceite completo</t>
  </si>
  <si>
    <t>\\MCA-S\mk\2_BM\0_BMat\08_PYM\Inventario\excel\Imagen de refacciones\Putzmeister\PM OIL RADIATOR _ Radiador de aceite PM</t>
  </si>
  <si>
    <t>\\MCA-S\mk\2_BM\0_BMat\08_PYM\Inventario\excel\Imagen de refacciones\Putzmeister\REPLACEMENT FAN FOR HYD OIL COOLER _ Ventilador de repuesto para enfriador de aceite HYS</t>
  </si>
  <si>
    <t>1718</t>
  </si>
  <si>
    <t>\\MCA-S\mk\2_BM\0_BMat\08_PYM\Inventario\excel\Imagen de refacciones\Putzmeister\Electric motor 24 V _ Motor eléctrico 24V</t>
  </si>
  <si>
    <t>ENGRASADORA AUTOMÁTICA PARA BOMBA DE HORMIGON</t>
  </si>
  <si>
    <t>SOM20297</t>
  </si>
  <si>
    <t>66355003</t>
  </si>
  <si>
    <t>\\MCA-S\mk\2_BM\0_BMat\08_PYM\Inventario\excel\Imagen de refacciones\Putzmeister\Temperature transmitter 55 degree C _ Transmisor de temperatura 55°C</t>
  </si>
  <si>
    <t>1720</t>
  </si>
  <si>
    <t>\\MCA-S\mk\2_BM\0_BMat\08_PYM\Inventario\excel\Imagen de refacciones\Putzmeister\temperature transmitter 90 degree c _ Transmisor de temperatura 90°C</t>
  </si>
  <si>
    <t>temperature transmitter 90 degree c / Transmisor de temperatura 90°C</t>
  </si>
  <si>
    <t>SOM20300</t>
  </si>
  <si>
    <t>1721</t>
  </si>
  <si>
    <t>\\MCA-S\mk\2_BM\0_BMat\08_PYM\Inventario\excel\Imagen de refacciones\Putzmeister\Temperature transmitter _ Transmisor de temperatura</t>
  </si>
  <si>
    <t>Temperature transmitter / Transmisor de temperatura</t>
  </si>
  <si>
    <t>SOM20302</t>
  </si>
  <si>
    <t>18098004</t>
  </si>
  <si>
    <t>\\MCA-S\mk\2_BM\0_BMat\08_PYM\Inventario\excel\Imagen de refacciones\Putzmeister\Control box 24 VDC for ZSK _ Caja de control 24 VDC para ZSK</t>
  </si>
  <si>
    <t>\\MCA-S\mk\2_BM\0_BMat\08_PYM\Inventario\excel\Imagen de refacciones\Putzmeister\Swichtbox 24V _ Caja de interruptores 24V</t>
  </si>
  <si>
    <t>\\MCA-S\mk\2_BM\0_BMat\08_PYM\Inventario\excel\Imagen de refacciones\Putzmeister\Change _ over relay 24 V _ Relé de conmutación 24V</t>
  </si>
  <si>
    <t>\\MCA-S\mk\2_BM\0_BMat\08_PYM\Inventario\excel\Imagen de refacciones\Putzmeister\Relay 24V _ Relé 24V</t>
  </si>
  <si>
    <t>\\MCA-S\mk\2_BM\0_BMat\08_PYM\Inventario\excel\Imagen de refacciones\Putzmeister\Relay module 24V _ Módulo de relé 24V</t>
  </si>
  <si>
    <t>\\MCA-S\mk\2_BM\0_BMat\08_PYM\Inventario\excel\Imagen de refacciones\Putzmeister\Step relay 24V _ Relé escalonado 24V</t>
  </si>
  <si>
    <t>\\MCA-S\mk\2_BM\0_BMat\08_PYM\Inventario\excel\Imagen de refacciones\Putzmeister\Poh reverse electronic 10-32V _ Electrónico inversor POH 10_32V</t>
  </si>
  <si>
    <t>1729</t>
  </si>
  <si>
    <t>\\MCA-S\mk\2_BM\0_BMat\08_PYM\Inventario\excel\Imagen de refacciones\Putzmeister\Accumulator 4lt _ Acumulador 4 litros</t>
  </si>
  <si>
    <t>ACCUMULATOR 4lt</t>
  </si>
  <si>
    <t>ACUMULADOR 4LITROS</t>
  </si>
  <si>
    <t>SOM20317</t>
  </si>
  <si>
    <t>6660004</t>
  </si>
  <si>
    <t>1731</t>
  </si>
  <si>
    <t>\\MCA-S\mk\2_BM\0_BMat\08_PYM\Inventario\excel\Imagen de refacciones\Putzmeister\Accumulator 6LT _ Acumulador 6 litros</t>
  </si>
  <si>
    <t>Accumulator 6LT / Acumulador 6 litros</t>
  </si>
  <si>
    <t>SOM20319</t>
  </si>
  <si>
    <t>273962001</t>
  </si>
  <si>
    <t>1733</t>
  </si>
  <si>
    <t>\\MCA-S\mk\2_BM\0_BMat\08_PYM\Inventario\excel\Imagen de refacciones\Putzmeister\Accumulator 10Lt _ acumulador de 10 lt</t>
  </si>
  <si>
    <t>Accumulator 10Lt / acumulador de 10 lt</t>
  </si>
  <si>
    <t>SOM20321</t>
  </si>
  <si>
    <t>64028002</t>
  </si>
  <si>
    <t>\\MCA-S\mk\2_BM\0_BMat\08_PYM\Inventario\excel\Imagen de refacciones\Putzmeister\Bladder 10 Lt _ vejiga 10 lt</t>
  </si>
  <si>
    <t>\\MCA-S\mk\2_BM\0_BMat\08_PYM\Inventario\excel\Imagen de refacciones\Putzmeister\HOSE CLIP _ Abrazadera para manguera</t>
  </si>
  <si>
    <t>\\MCA-S\mk\2_BM\0_BMat\08_PYM\Inventario\excel\Imagen de refacciones\Putzmeister\Pressure gauge 60 Bar _ Manómetro 60 Bar</t>
  </si>
  <si>
    <t>1737</t>
  </si>
  <si>
    <t>\\MCA-S\mk\2_BM\0_BMat\08_PYM\Inventario\excel\Imagen de refacciones\Putzmeister\Pressure gauge 400 bar _ Manómetro 400 bar</t>
  </si>
  <si>
    <t>Pressure gauge 400 bar / Manómetro 400 bar</t>
  </si>
  <si>
    <t>SOM20325</t>
  </si>
  <si>
    <t>\\MCA-S\mk\2_BM\0_BMat\08_PYM\Inventario\excel\Imagen de refacciones\Putzmeister\Vacuum gauge _ Manómetro de vacío</t>
  </si>
  <si>
    <t>\\MCA-S\mk\2_BM\0_BMat\08_PYM\Inventario\excel\Imagen de refacciones\Putzmeister\Main pump A4VG125 _ Bomba principal A4VG125</t>
  </si>
  <si>
    <t>1740</t>
  </si>
  <si>
    <t>\\MCA-S\mk\2_BM\0_BMat\08_PYM\Inventario\excel\Imagen de refacciones\Putzmeister\Hydraulic pump _ Bomba hidráulica</t>
  </si>
  <si>
    <t>SOM20328</t>
  </si>
  <si>
    <t>1741</t>
  </si>
  <si>
    <t>75045880548</t>
  </si>
  <si>
    <t>\\MCA-S\mk\2_BM\0_BMat\08_PYM\Inventario\excel\Imagen de refacciones\Putzmeister\Hydraulic pumo r 14 CM _ Bomba hidráulica R 14 CM</t>
  </si>
  <si>
    <t>Hydraulic pump r 14 CM / Bomba hidráulica R 14 CM</t>
  </si>
  <si>
    <t>SOM20329</t>
  </si>
  <si>
    <t>\\MCA-S\mk\2_BM\0_BMat\08_PYM\Inventario\excel\Imagen de refacciones\Putzmeister\Hydraulic pump L a7V28 (24) DR _ Bomba hidráulica A7V28 (24) DR</t>
  </si>
  <si>
    <t>\\MCA-S\mk\2_BM\0_BMat\08_PYM\Inventario\excel\Imagen de refacciones\Putzmeister\Hydraulic pump _ Bomba hidráulica (1)</t>
  </si>
  <si>
    <t>\\MCA-S\mk\2_BM\0_BMat\08_PYM\Inventario\excel\Imagen de refacciones\Putzmeister\Hydraulic pump _ Bomba hidráulica (2)</t>
  </si>
  <si>
    <t>1745</t>
  </si>
  <si>
    <t>\\MCA-S\mk\2_BM\0_BMat\08_PYM\Inventario\excel\Imagen de refacciones\Putzmeister\Hydraulic motor 160 _ Motor hidráulico 160</t>
  </si>
  <si>
    <t>MOTOR AGITADOR OMP160 PARA BOMBA DE HORMIGON</t>
  </si>
  <si>
    <t>SOM20334</t>
  </si>
  <si>
    <t>434196 /67094004</t>
  </si>
  <si>
    <t>\\MCA-S\mk\2_BM\0_BMat\08_PYM\Inventario\excel\Imagen de refacciones\Putzmeister\Flushing water pump with hydraulic pump _ Bomba de agua de lavado con bomba hidráulica</t>
  </si>
  <si>
    <t>\\MCA-S\mk\2_BM\0_BMat\08_PYM\Inventario\excel\Imagen de refacciones\Putzmeister\FLUSHING WATER PUMP WHITOUT HYDRAULIC PUMP _ Bomba de agua de lavado (sin bomba hidráulica)</t>
  </si>
  <si>
    <t>1748</t>
  </si>
  <si>
    <t>\\MCA-S\mk\2_BM\0_BMat\08_PYM\Inventario\excel\Imagen de refacciones\Putzmeister\Hydraulic motor _ Motor hidráulico</t>
  </si>
  <si>
    <t>Hydraulic motor / Motor hidráulico</t>
  </si>
  <si>
    <t>SOM20337</t>
  </si>
  <si>
    <t>2291780001 / 404435</t>
  </si>
  <si>
    <t>\\MCA-S\mk\2_BM\0_BMat\08_PYM\Inventario\excel\Imagen de refacciones\Putzmeister\Distributor gear box G64 _ Caja de engranajes distribuidora G64</t>
  </si>
  <si>
    <t>Distributor gear box G64 / Caja de engranajes distribuidora G64</t>
  </si>
  <si>
    <t>SOM20339</t>
  </si>
  <si>
    <t>\\MCA-S\mk\2_BM\0_BMat\08_PYM\Inventario\excel\Imagen de refacciones\Putzmeister\Fork - G64 _ Horquilla G64</t>
  </si>
  <si>
    <t>\\MCA-S\mk\2_BM\0_BMat\08_PYM\Inventario\excel\Imagen de refacciones\Putzmeister\Fork - G64 _ Horquilla G64 (1)</t>
  </si>
  <si>
    <t>\\MCA-S\mk\2_BM\0_BMat\08_PYM\Inventario\excel\Imagen de refacciones\Putzmeister\Piton _ piston</t>
  </si>
  <si>
    <t>Piton / piston</t>
  </si>
  <si>
    <t>SOM20342</t>
  </si>
  <si>
    <t>\\MCA-S\mk\2_BM\0_BMat\08_PYM\Inventario\excel\Imagen de refacciones\Putzmeister\Coupling piece _ Pieza de acoplamiento</t>
  </si>
  <si>
    <t>\\MCA-S\mk\2_BM\0_BMat\08_PYM\Inventario\excel\Imagen de refacciones\Putzmeister\INPUT SHAFT _ Eje de entrada</t>
  </si>
  <si>
    <t>\\MCA-S\mk\2_BM\0_BMat\08_PYM\Inventario\excel\Imagen de refacciones\Putzmeister\Bush 275X280X077 DU NUT _ Buje 275x280x077 DU NUT</t>
  </si>
  <si>
    <t>\\MCA-S\mk\2_BM\0_BMat\08_PYM\Inventario\excel\Imagen de refacciones\Putzmeister\Buje 275x280x077 DU NUT _ Bush 275X280X077 DU NUT</t>
  </si>
  <si>
    <t>\\MCA-S\mk\2_BM\0_BMat\08_PYM\Inventario\excel\Imagen de refacciones\Putzmeister\Throat bushing _ Buje de garganta</t>
  </si>
  <si>
    <t>\\MCA-S\mk\2_BM\0_BMat\08_PYM\Inventario\excel\Imagen de refacciones\Putzmeister\Bush 350 X 355 X 077 DU-B NUT _ Buje 350x355x077 DU_B NUT</t>
  </si>
  <si>
    <t>\\MCA-S\mk\2_BM\0_BMat\08_PYM\Inventario\excel\Imagen de refacciones\Putzmeister\Buje 288x293x45 DU-B NUT</t>
  </si>
  <si>
    <t>\\MCA-S\mk\2_BM\0_BMat\08_PYM\Inventario\excel\Imagen de refacciones\Putzmeister\Pressure plate _ Placa de presión (1)</t>
  </si>
  <si>
    <t>1761</t>
  </si>
  <si>
    <t>\\MCA-S\mk\2_BM\0_BMat\08_PYM\Inventario\excel\Imagen de refacciones\Putzmeister\Support plate _ placa de soporte</t>
  </si>
  <si>
    <t>Support plate / placa de soporte</t>
  </si>
  <si>
    <t>SOM20362</t>
  </si>
  <si>
    <t>570943 / 296705009</t>
  </si>
  <si>
    <t>\\MCA-S\mk\2_BM\0_BMat\08_PYM\Inventario\excel\Imagen de refacciones\Putzmeister\Seal set for MBC valve _ Juego de sellos para válvula MBC</t>
  </si>
  <si>
    <t>\\MCA-S\mk\2_BM\0_BMat\08_PYM\Inventario\excel\Imagen de refacciones\Sistemas de tubería\Manguera flexible 4M brida doble - Flexible Hose 4M Best two flanges</t>
  </si>
  <si>
    <t>\\MCA-S\mk\2_BM\0_BMat\08_PYM\Inventario\excel\Imagen de refacciones\Ollas revolvedoras\Abanico de 14_ - 12V</t>
  </si>
  <si>
    <t>\\MCA-S\mk\2_BM\0_BMat\08_PYM\Inventario\excel\Imagen de refacciones\Ollas revolvedoras\Balero y taza MTM</t>
  </si>
  <si>
    <t>\\MCA-S\mk\2_BM\0_BMat\08_PYM\Inventario\excel\Imagen de refacciones\Ollas revolvedoras\Base para filtro de aceite hidráulico</t>
  </si>
  <si>
    <t>\\MCA-S\mk\2_BM\0_BMat\08_PYM\Inventario\excel\Imagen de refacciones\Ollas revolvedoras\Caja de control cabina</t>
  </si>
  <si>
    <t>\\MCA-S\mk\2_BM\0_BMat\08_PYM\Inventario\excel\Imagen de refacciones\Ollas revolvedoras\Caja de control de 1 palanca</t>
  </si>
  <si>
    <t>\\MCA-S\mk\2_BM\0_BMat\08_PYM\Inventario\excel\Imagen de refacciones\Ollas revolvedoras\Caja de control de 2 palancas</t>
  </si>
  <si>
    <t>\\MCA-S\mk\2_BM\0_BMat\08_PYM\Inventario\excel\Imagen de refacciones\Ollas revolvedoras\Cartucho para dyna-chute M-720</t>
  </si>
  <si>
    <t>\\MCA-S\mk\2_BM\0_BMat\08_PYM\Inventario\excel\Imagen de refacciones\Ollas revolvedoras\Creta p_flehca cardan 1310-1350- mixta</t>
  </si>
  <si>
    <t>\\MCA-S\mk\2_BM\0_BMat\08_PYM\Inventario\excel\Imagen de refacciones\Ollas revolvedoras\Dynachute M-719 sencillo y con control</t>
  </si>
  <si>
    <t>Dynachute M-719 sencillo y con control</t>
  </si>
  <si>
    <t>\\MCA-S\mk\2_BM\0_BMat\08_PYM\Inventario\excel\Imagen de refacciones\Ollas revolvedoras\Empaque p_base Lengüeta MTM</t>
  </si>
  <si>
    <t>\\MCA-S\mk\2_BM\0_BMat\08_PYM\Inventario\excel\Imagen de refacciones\Ollas revolvedoras\Enfriador completo para aceite hidráulico</t>
  </si>
  <si>
    <t>\\MCA-S\mk\2_BM\0_BMat\08_PYM\Inventario\excel\Imagen de refacciones\Ollas revolvedoras\Enfriador de aire_aceite (radiador)</t>
  </si>
  <si>
    <t>\\MCA-S\mk\2_BM\0_BMat\08_PYM\Inventario\excel\Imagen de refacciones\Ollas revolvedoras\Filtro de aceite hidráulico</t>
  </si>
  <si>
    <t>\\MCA-S\mk\2_BM\0_BMat\08_PYM\Inventario\excel\Imagen de refacciones\Ollas revolvedoras\Gancho de aluminio para canalón</t>
  </si>
  <si>
    <t>\\MCA-S\mk\2_BM\0_BMat\08_PYM\Inventario\excel\Imagen de refacciones\Ollas revolvedoras\Gancho de plástico para canalón</t>
  </si>
  <si>
    <t>\\MCA-S\mk\2_BM\0_BMat\08_PYM\Inventario\excel\Imagen de refacciones\Ollas revolvedoras\Hawainana de 11 hoyos para vampiro</t>
  </si>
  <si>
    <t>\\MCA-S\mk\2_BM\0_BMat\08_PYM\Inventario\excel\Imagen de refacciones\Ollas revolvedoras\Horquilla 1_4_ P_Cble de control o aceleración</t>
  </si>
  <si>
    <t>LEVEL INDICATOR</t>
  </si>
  <si>
    <t>\\MCA-S\mk\2_BM\0_BMat\08_PYM\Inventario\excel\Imagen de refacciones\Ollas revolvedoras\Indicador de revenimnimiento 0-5000 PSI</t>
  </si>
  <si>
    <t>\\MCA-S\mk\2_BM\0_BMat\08_PYM\Inventario\excel\Imagen de refacciones\Ollas revolvedoras\Juego de agarradera - color verde y roja</t>
  </si>
  <si>
    <t>\\MCA-S\mk\2_BM\0_BMat\08_PYM\Inventario\excel\Imagen de refacciones\Ollas revolvedoras\Kit de balero para pivote trasero</t>
  </si>
  <si>
    <t>\\MCA-S\mk\2_BM\0_BMat\08_PYM\Inventario\excel\Imagen de refacciones\Ollas revolvedoras\Kit de reparación para bomba eaton modelo 5422</t>
  </si>
  <si>
    <t>\\MCA-S\mk\2_BM\0_BMat\08_PYM\Inventario\excel\Imagen de refacciones\Ollas revolvedoras\Kit de sellos para bomba eaton - completo</t>
  </si>
  <si>
    <t>\\MCA-S\mk\2_BM\0_BMat\08_PYM\Inventario\excel\Imagen de refacciones\Ollas revolvedoras\Kit de sellos para bomba eaton serie 24</t>
  </si>
  <si>
    <t>\\MCA-S\mk\2_BM\0_BMat\08_PYM\Inventario\excel\Imagen de refacciones\Ollas revolvedoras\Kit de sellos para válvula de control eaton</t>
  </si>
  <si>
    <t>\\MCA-S\mk\2_BM\0_BMat\08_PYM\Inventario\excel\Imagen de refacciones\Ollas revolvedoras\Lengüeta MTM completa</t>
  </si>
  <si>
    <t>\\MCA-S\mk\2_BM\0_BMat\08_PYM\Inventario\excel\Imagen de refacciones\Ollas revolvedoras\Liga para canalón</t>
  </si>
  <si>
    <t>\\MCA-S\mk\2_BM\0_BMat\08_PYM\Inventario\excel\Imagen de refacciones\Ollas revolvedoras\Manómetro de 0-100PSI</t>
  </si>
  <si>
    <t>\\MCA-S\mk\2_BM\0_BMat\08_PYM\Inventario\excel\Imagen de refacciones\Ollas revolvedoras\manómetro de vacío 0-30 PSI</t>
  </si>
  <si>
    <t>MANOMETRO DE VACIO 0-30 PSI</t>
  </si>
  <si>
    <t>1796</t>
  </si>
  <si>
    <t>\\MCA-S\mk\2_BM\0_BMat\08_PYM\Inventario\excel\Imagen de refacciones\Ollas revolvedoras\Mirilla para reductor ZF</t>
  </si>
  <si>
    <t>Mirilla para reductor ZF</t>
  </si>
  <si>
    <t>0632-610-067</t>
  </si>
  <si>
    <t>\\MCA-S\mk\2_BM\0_BMat\08_PYM\Inventario\excel\Imagen de refacciones\Ollas revolvedoras\Mirilla para tanque hidráulico 3_5</t>
  </si>
  <si>
    <t>\\MCA-S\mk\2_BM\0_BMat\08_PYM\Inventario\excel\Imagen de refacciones\Ollas revolvedoras\Perno pistón válvula rock</t>
  </si>
  <si>
    <t>\\MCA-S\mk\2_BM\0_BMat\08_PYM\Inventario\excel\Imagen de refacciones\Ollas revolvedoras\Pistola de lavado</t>
  </si>
  <si>
    <t>\\MCA-S\mk\2_BM\0_BMat\08_PYM\Inventario\excel\Imagen de refacciones\Ollas revolvedoras\Pistón para canalón - acción sencilla</t>
  </si>
  <si>
    <t>\\MCA-S\mk\2_BM\0_BMat\08_PYM\Inventario\excel\Imagen de refacciones\Ollas revolvedoras\Pivote trasero - tipo nuevo</t>
  </si>
  <si>
    <t>\\MCA-S\mk\2_BM\0_BMat\08_PYM\Inventario\excel\Imagen de refacciones\Ollas revolvedoras\Reductor ZF-7301</t>
  </si>
  <si>
    <t>\\MCA-S\mk\2_BM\0_BMat\08_PYM\Inventario\excel\Imagen de refacciones\Ollas revolvedoras\Regulador de aire 0-60PSI</t>
  </si>
  <si>
    <t>\\MCA-S\mk\2_BM\0_BMat\08_PYM\Inventario\excel\Imagen de refacciones\Ollas revolvedoras\Resortera para pivote</t>
  </si>
  <si>
    <t>\\MCA-S\mk\2_BM\0_BMat\08_PYM\Inventario\excel\Imagen de refacciones\Ollas revolvedoras\Respirador para tanque de aceite hidráulico</t>
  </si>
  <si>
    <t>\\MCA-S\mk\2_BM\0_BMat\08_PYM\Inventario\excel\Imagen de refacciones\Ollas revolvedoras\Retén para rodillo MTM</t>
  </si>
  <si>
    <t>\\MCA-S\mk\2_BM\0_BMat\08_PYM\Inventario\excel\Imagen de refacciones\Ollas revolvedoras\Seguro para canalón MTM</t>
  </si>
  <si>
    <t>\\MCA-S\mk\2_BM\0_BMat\08_PYM\Inventario\excel\Imagen de refacciones\Ollas revolvedoras\Solenoide de 3 postes para dynachute m-719 tipo nuevo</t>
  </si>
  <si>
    <t>\\MCA-S\mk\2_BM\0_BMat\08_PYM\Inventario\excel\Imagen de refacciones\Ollas revolvedoras\Tapón para aceite hidráulico</t>
  </si>
  <si>
    <t>\\MCA-S\mk\2_BM\0_BMat\08_PYM\Inventario\excel\Imagen de refacciones\Ollas revolvedoras\Toma de fuerza 1310-1350 base chica</t>
  </si>
  <si>
    <t>FLANGE YOKE</t>
  </si>
  <si>
    <t>TOMA FUERZA 1310-1350 BASE CHICA</t>
  </si>
  <si>
    <t>\\MCA-S\mk\2_BM\0_BMat\08_PYM\Inventario\excel\Imagen de refacciones\Ollas revolvedoras\Válvula de 3 vías 3_9</t>
  </si>
  <si>
    <t>\\MCA-S\mk\2_BM\0_BMat\08_PYM\Inventario\excel\Imagen de refacciones\Ollas revolvedoras\Válvula de seguridad</t>
  </si>
  <si>
    <t>\\MCA-S\mk\2_BM\0_BMat\08_PYM\Inventario\excel\Imagen de refacciones\Ollas revolvedoras\Válvula london completa</t>
  </si>
  <si>
    <t>\\MCA-S\mk\2_BM\0_BMat\08_PYM\Inventario\excel\Imagen de refacciones\Putzmeister\émbolo DN200 o DN231</t>
  </si>
  <si>
    <t>\\MCA-S\mk\2_BM\0_BMat\08_PYM\Inventario\excel\Imagen de refacciones\Putzmeister\115_80 Seal Set _ Juego de sellos 115_80</t>
  </si>
  <si>
    <t>\\MCA-S\mk\2_BM\0_BMat\08_PYM\Inventario\excel\Imagen de refacciones\Putzmeister\4_3 Way Valve _ Válvula de 4_3 Vías</t>
  </si>
  <si>
    <t>\\MCA-S\mk\2_BM\0_BMat\08_PYM\Inventario\excel\Imagen de refacciones\Putzmeister\5_2 Way Valve _ Válvula de 5_2 Vías</t>
  </si>
  <si>
    <t>\\MCA-S\mk\2_BM\0_BMat\08_PYM\Inventario\excel\Imagen de refacciones\Putzmeister\abrazadera 6_ con cuña Dn151</t>
  </si>
  <si>
    <t>\\MCA-S\mk\2_BM\0_BMat\08_PYM\Inventario\excel\Imagen de refacciones\Putzmeister\Acumulador de nitrógeno de 4 litros</t>
  </si>
  <si>
    <t>\\MCA-S\mk\2_BM\0_BMat\08_PYM\Inventario\excel\Imagen de refacciones\Putzmeister\Acumulador de nitrógeno de 6 litros</t>
  </si>
  <si>
    <t>\\MCA-S\mk\2_BM\0_BMat\08_PYM\Inventario\excel\Imagen de refacciones\Putzmeister\anillo de desgaste DN 230L</t>
  </si>
  <si>
    <t>\\MCA-S\mk\2_BM\0_BMat\08_PYM\Inventario\excel\Imagen de refacciones\Putzmeister\Assembly Kit Charge Pump 25 CM³ _ Kit de Montaje Bomba de Carga 25 CM³</t>
  </si>
  <si>
    <t>\\MCA-S\mk\2_BM\0_BMat\08_PYM\Inventario\excel\Imagen de refacciones\Putzmeister\Barra para caja de transferencia G65</t>
  </si>
  <si>
    <t>\\MCA-S\mk\2_BM\0_BMat\08_PYM\Inventario\excel\Imagen de refacciones\Putzmeister\Bateria azul para control remoto</t>
  </si>
  <si>
    <t>\\MCA-S\mk\2_BM\0_BMat\08_PYM\Inventario\excel\Imagen de refacciones\Putzmeister\Bearing Flange Ergonic Q60 _ Brida de Cojinete Ergonómica Q60</t>
  </si>
  <si>
    <t>\\MCA-S\mk\2_BM\0_BMat\08_PYM\Inventario\excel\Imagen de refacciones\Putzmeister\Bomba hidráulica A2f17</t>
  </si>
  <si>
    <t>\\MCA-S\mk\2_BM\0_BMat\08_PYM\Inventario\excel\Imagen de refacciones\Putzmeister\Bomba hidráulica R 14 Cm3 P_agitador</t>
  </si>
  <si>
    <t>1839</t>
  </si>
  <si>
    <t>75045880459</t>
  </si>
  <si>
    <t>\\MCA-S\mk\2_BM\0_BMat\08_PYM\Inventario\excel\Imagen de refacciones\Putzmeister\Brake Control Valve _ Válvula de Control de Freno</t>
  </si>
  <si>
    <t>Brake Control Valve / Válvula de Control de Freno  - PM 286970006</t>
  </si>
  <si>
    <t>SOM20423</t>
  </si>
  <si>
    <t>\\MCA-S\mk\2_BM\0_BMat\08_PYM\Inventario\excel\Imagen de refacciones\Putzmeister\Brake RA10 _ Freno RA10</t>
  </si>
  <si>
    <t>\\MCA-S\mk\2_BM\0_BMat\08_PYM\Inventario\excel\Imagen de refacciones\Putzmeister\Buje alojamiento completa 90 nueva generación</t>
  </si>
  <si>
    <t>\\MCA-S\mk\2_BM\0_BMat\08_PYM\Inventario\excel\Imagen de refacciones\Putzmeister\Bush 100x105x60 DU-B (Ergonomic) _ Casquillo 100x105x60 DU-B (Ergonómico)</t>
  </si>
  <si>
    <t>\\MCA-S\mk\2_BM\0_BMat\08_PYM\Inventario\excel\Imagen de refacciones\Putzmeister\Cargador para bateria putzmeister</t>
  </si>
  <si>
    <t xml:space="preserve">BATTERY CHARGER </t>
  </si>
  <si>
    <t>\\MCA-S\mk\2_BM\0_BMat\08_PYM\Inventario\excel\Imagen de refacciones\Putzmeister\Charge Pump DPV25 _ Bomba de Carga DPV25</t>
  </si>
  <si>
    <t>\\MCA-S\mk\2_BM\0_BMat\08_PYM\Inventario\excel\Imagen de refacciones\Putzmeister\Cilindro de cambio gato buzo 80mm</t>
  </si>
  <si>
    <t>\\MCA-S\mk\2_BM\0_BMat\08_PYM\Inventario\excel\Imagen de refacciones\Putzmeister\Circlip _ Anillo de Retención</t>
  </si>
  <si>
    <t>\\MCA-S\mk\2_BM\0_BMat\08_PYM\Inventario\excel\Imagen de refacciones\Putzmeister\Clamp Flange _ Brida de Sujeción</t>
  </si>
  <si>
    <t>1853</t>
  </si>
  <si>
    <t xml:space="preserve">COMPUERTA DE LA TOLVA </t>
  </si>
  <si>
    <t>\\MCA-S\mk\2_BM\0_BMat\08_PYM\Inventario\excel\Imagen de refacciones\Putzmeister\conector émbolo</t>
  </si>
  <si>
    <t>\\MCA-S\mk\2_BM\0_BMat\08_PYM\Inventario\excel\Imagen de refacciones\Putzmeister\Control remoto amarillo de 4 brazos</t>
  </si>
  <si>
    <t>\\MCA-S\mk\2_BM\0_BMat\08_PYM\Inventario\excel\Imagen de refacciones\Putzmeister\Control remoto rojo de 3 brazos</t>
  </si>
  <si>
    <t>\\MCA-S\mk\2_BM\0_BMat\08_PYM\Inventario\excel\Imagen de refacciones\Putzmeister\Coupling _ Acoplamiento</t>
  </si>
  <si>
    <t>\\MCA-S\mk\2_BM\0_BMat\08_PYM\Inventario\excel\Imagen de refacciones\Putzmeister\Coupling 5,5_ ND Mounted SK-HI25_5,5 _ Acoplamiento 5,5_ ND Montado SK-HI25_5,5</t>
  </si>
  <si>
    <t>\\MCA-S\mk\2_BM\0_BMat\08_PYM\Inventario\excel\Imagen de refacciones\Putzmeister\Coupling 5,5_ ND Mounted SK-HI25_5,6 _ Acoplamiento 5,5_ ND Montado SK-HI25_5,6</t>
  </si>
  <si>
    <t>\\MCA-S\mk\2_BM\0_BMat\08_PYM\Inventario\excel\Imagen de refacciones\Putzmeister\Coupling Half ZX125_5,5 _ Medio Acoplamiento ZX125_5,5</t>
  </si>
  <si>
    <t>\\MCA-S\mk\2_BM\0_BMat\08_PYM\Inventario\excel\Imagen de refacciones\Putzmeister\Cylinder Kit for PV24 _ Kit de Cilindro para PV24</t>
  </si>
  <si>
    <t>\\MCA-S\mk\2_BM\0_BMat\08_PYM\Inventario\excel\Imagen de refacciones\Putzmeister\Cylinder Tube Ø125 _ Tubo de Cilindro Ø125</t>
  </si>
  <si>
    <t>\\MCA-S\mk\2_BM\0_BMat\08_PYM\Inventario\excel\Imagen de refacciones\Putzmeister\Delivery Pipe Elbow ZX125 90º R=1000 _ Codo de Tubería de Entrega ZX125 90º R=1000</t>
  </si>
  <si>
    <t>\\MCA-S\mk\2_BM\0_BMat\08_PYM\Inventario\excel\Imagen de refacciones\Putzmeister\Direct. Contr. Block Left 5+V _ Bloque de Control Directo Izq. 5+V</t>
  </si>
  <si>
    <t>\\MCA-S\mk\2_BM\0_BMat\08_PYM\Inventario\excel\Imagen de refacciones\Putzmeister\Direct. Contr. Block Right 5+V _ Bloque de Control Directo Der. 5+V</t>
  </si>
  <si>
    <t>\\MCA-S\mk\2_BM\0_BMat\08_PYM\Inventario\excel\Imagen de refacciones\Putzmeister\DN 250 Piston Rubber and Ring Set _ Juego de junta de pistón DN 250 y anillo</t>
  </si>
  <si>
    <t>\\MCA-S\mk\2_BM\0_BMat\08_PYM\Inventario\excel\Imagen de refacciones\Putzmeister\DN 280 Piston Rubber and Ring Set _ Juego de goma y anillo de pistón DN 280</t>
  </si>
  <si>
    <t>\\MCA-S\mk\2_BM\0_BMat\08_PYM\Inventario\excel\Imagen de refacciones\Putzmeister\Double Boom Clamp _ Abrazadera de Doble Pluma</t>
  </si>
  <si>
    <t>1871</t>
  </si>
  <si>
    <t>\\MCA-S\mk\2_BM\0_BMat\08_PYM\Inventario\excel\Imagen de refacciones\Putzmeister\Double Flow Control Valve 180 Bar _ Válvula de Control de Doble Flujo 180 Bar</t>
  </si>
  <si>
    <t>Double Flow Control Valve 180 Bar / Válvula de Control de Doble Flujo 180 Bar</t>
  </si>
  <si>
    <t>SOM20566</t>
  </si>
  <si>
    <t>291412009</t>
  </si>
  <si>
    <t>\\MCA-S\mk\2_BM\0_BMat\08_PYM\Inventario\excel\Imagen de refacciones\Putzmeister\Drive Shaft W. Feed, Pump SAE-B _ Eje de Transmisión con Alimentación, Bomba SAE-B</t>
  </si>
  <si>
    <t>\\MCA-S\mk\2_BM\0_BMat\08_PYM\Inventario\excel\Imagen de refacciones\Putzmeister\Drive Shaft W. Feed, Pump SAE-B _ Eje de Transmisión con Alimentación, Bomba SAE-B (1)</t>
  </si>
  <si>
    <t>\\MCA-S\mk\2_BM\0_BMat\08_PYM\Inventario\excel\Imagen de refacciones\Putzmeister\Drive Shaft W. Feed, Pump SAE-D _ Eje de Transmisión con Alimentación, Bomba SAE-D</t>
  </si>
  <si>
    <t>\\MCA-S\mk\2_BM\0_BMat\08_PYM\Inventario\excel\Imagen de refacciones\Putzmeister\Drive Shaft W. Feed, Pump SAE-E _ Eje de Transmisión con Alimentación, Bomba SAE-E</t>
  </si>
  <si>
    <t>\\MCA-S\mk\2_BM\0_BMat\08_PYM\Inventario\excel\Imagen de refacciones\Putzmeister\Elbow 45Degree Twin Wall 5.5_ _ Codo 45 Grados Doble Pared 5.5_</t>
  </si>
  <si>
    <t>\\MCA-S\mk\2_BM\0_BMat\08_PYM\Inventario\excel\Imagen de refacciones\Putzmeister\Elephant Cylinder Seal Set _ Juego de Sellos de Cilindro de Elefante</t>
  </si>
  <si>
    <t>1880</t>
  </si>
  <si>
    <t>1881</t>
  </si>
  <si>
    <t>\\MCA-S\mk\2_BM\0_BMat\08_PYM\Inventario\excel\Imagen de refacciones\Putzmeister\engrasadora automatica</t>
  </si>
  <si>
    <t>\\MCA-S\mk\2_BM\0_BMat\08_PYM\Inventario\excel\Imagen de refacciones\Putzmeister\Erg Elbow 90 Degree Twin Wall - Procast _ Codo Ergonómico 90 Grados Doble Pared - Procast</t>
  </si>
  <si>
    <t>1884</t>
  </si>
  <si>
    <t>\\MCA-S\mk\2_BM\0_BMat\08_PYM\Inventario\excel\Imagen de refacciones\Putzmeister\Filter Element _ Elemento Filtrante (2)</t>
  </si>
  <si>
    <t>SOM20406</t>
  </si>
  <si>
    <t>\\MCA-S\mk\2_BM\0_BMat\08_PYM\Inventario\excel\Imagen de refacciones\Putzmeister\Filter Element _ Elemento Filtrante (3)</t>
  </si>
  <si>
    <t>\\MCA-S\mk\2_BM\0_BMat\08_PYM\Inventario\excel\Imagen de refacciones\Putzmeister\Filter Element Complete _ Elemento Filtrante Completo</t>
  </si>
  <si>
    <t>\\MCA-S\mk\2_BM\0_BMat\08_PYM\Inventario\excel\Imagen de refacciones\Putzmeister\Flushing Valve _ Válvula de Purga</t>
  </si>
  <si>
    <t>\\MCA-S\mk\2_BM\0_BMat\08_PYM\Inventario\excel\Imagen de refacciones\Putzmeister\Forward Control Cable _ Cable de Control Adelante</t>
  </si>
  <si>
    <t>\\MCA-S\mk\2_BM\0_BMat\08_PYM\Inventario\excel\Imagen de refacciones\Putzmeister\Forward Control Valve _ Válvula de Control Adelante</t>
  </si>
  <si>
    <t>1892</t>
  </si>
  <si>
    <t>\\MCA-S\mk\2_BM\0_BMat\08_PYM\Inventario\excel\Imagen de refacciones\Putzmeister\Gasket Set _ Juego de Juntas</t>
  </si>
  <si>
    <t>Gasket Set / Juego de Juntas</t>
  </si>
  <si>
    <t>SOM20431</t>
  </si>
  <si>
    <t>\\MCA-S\mk\2_BM\0_BMat\08_PYM\Inventario\excel\Imagen de refacciones\Putzmeister\Gear Weld Wheel Set for G-02 _ Juego de Ruedas Soldadas de Engranaje para G-02</t>
  </si>
  <si>
    <t>\\MCA-S\mk\2_BM\0_BMat\08_PYM\Inventario\excel\Imagen de refacciones\Putzmeister\Guía de alojamiento completa 80mm</t>
  </si>
  <si>
    <t>\\MCA-S\mk\2_BM\0_BMat\08_PYM\Inventario\excel\Imagen de refacciones\Putzmeister\Guía de alojamiento completa 90mm</t>
  </si>
  <si>
    <t>\\MCA-S\mk\2_BM\0_BMat\08_PYM\Inventario\excel\Imagen de refacciones\Putzmeister\Guía de descarga</t>
  </si>
  <si>
    <t>\\MCA-S\mk\2_BM\0_BMat\08_PYM\Inventario\excel\Imagen de refacciones\Putzmeister\Hose Clamp _ Abrazadera de Manguera</t>
  </si>
  <si>
    <t>1899</t>
  </si>
  <si>
    <t>\\MCA-S\mk\2_BM\0_BMat\08_PYM\Inventario\excel\Imagen de refacciones\Putzmeister\HW Boom Safety Valve _ Válvula de Seguridad de Pluma HW</t>
  </si>
  <si>
    <t>HW Boom Safety Valve / Válvula de Seguridad de Pluma HW</t>
  </si>
  <si>
    <t>SOM20425</t>
  </si>
  <si>
    <t>254879003 /	10181242</t>
  </si>
  <si>
    <t>1900</t>
  </si>
  <si>
    <t>\\MCA-S\mk\2_BM\0_BMat\08_PYM\Inventario\excel\Imagen de refacciones\Putzmeister\HW Valve Coil _ Bobina de Válvula HW</t>
  </si>
  <si>
    <t>HW Valve Coil / Bobina de Válvula HW</t>
  </si>
  <si>
    <t>SOM20419</t>
  </si>
  <si>
    <t>\\MCA-S\mk\2_BM\0_BMat\08_PYM\Inventario\excel\Imagen de refacciones\Putzmeister\Hydr Motor A2F16 _ Motor Hidráulico A2F16</t>
  </si>
  <si>
    <t>\\MCA-S\mk\2_BM\0_BMat\08_PYM\Inventario\excel\Imagen de refacciones\Putzmeister\Hydr. Control 24V, FFH _ Control Hidr. 24V, FFH</t>
  </si>
  <si>
    <t>\\MCA-S\mk\2_BM\0_BMat\08_PYM\Inventario\excel\Imagen de refacciones\Putzmeister\Hydr. Pump A4F028_32L _ Bomba Hidr. A4F028_32L</t>
  </si>
  <si>
    <t>\\MCA-S\mk\2_BM\0_BMat\08_PYM\Inventario\excel\Imagen de refacciones\Putzmeister\Hydr. Pump R A4V125HD... _ Bomba Hidr. R A4V125HD...</t>
  </si>
  <si>
    <t>\\MCA-S\mk\2_BM\0_BMat\08_PYM\Inventario\excel\Imagen de refacciones\Putzmeister\Hydr. Pump R A4VG125EP _ Bomba Hidr. R A4VG125EP</t>
  </si>
  <si>
    <t>\\MCA-S\mk\2_BM\0_BMat\08_PYM\Inventario\excel\Imagen de refacciones\Putzmeister\Hydr. Pump R A4VG180EP _ Bomba Hidr. R A4VG180EP</t>
  </si>
  <si>
    <t>\\MCA-S\mk\2_BM\0_BMat\08_PYM\Inventario\excel\Imagen de refacciones\Putzmeister\Hydr. Pump R A4VG180HD _ Bomba Hidr. R A4VG180HD</t>
  </si>
  <si>
    <t>\\MCA-S\mk\2_BM\0_BMat\08_PYM\Inventario\excel\Imagen de refacciones\Putzmeister\Hydr. Pump R A4VG180HD _ Bomba Hidr. R A4VG180HD (1)</t>
  </si>
  <si>
    <t>\\MCA-S\mk\2_BM\0_BMat\08_PYM\Inventario\excel\Imagen de refacciones\Putzmeister\Hydraulic Cylinder _ Cilindro Hidráulico (1)</t>
  </si>
  <si>
    <t>\\MCA-S\mk\2_BM\0_BMat\08_PYM\Inventario\excel\Imagen de refacciones\Putzmeister\Hydraulic Cylinder 282-80_63 _ Cilindro Hidráulico 282-80_63</t>
  </si>
  <si>
    <t>\\MCA-S\mk\2_BM\0_BMat\08_PYM\Inventario\excel\Imagen de refacciones\Putzmeister\Hydraulic Gate Valve ZXM125 _ Válvula de Compuerta Hidráulica ZXM125</t>
  </si>
  <si>
    <t>1912</t>
  </si>
  <si>
    <t>75045880464</t>
  </si>
  <si>
    <t>\\MCA-S\mk\2_BM\0_BMat\08_PYM\Inventario\excel\Imagen de refacciones\Putzmeister\Hydraulic Valve _ Válvula Hidráulica</t>
  </si>
  <si>
    <t>Hydraulic Valve / Válvula Hidráulica</t>
  </si>
  <si>
    <t>SOM20424</t>
  </si>
  <si>
    <t>265686007 /        66290003</t>
  </si>
  <si>
    <t>\\MCA-S\mk\2_BM\0_BMat\08_PYM\Inventario\excel\Imagen de refacciones\Putzmeister\Kit de sellos para guía de descargarl</t>
  </si>
  <si>
    <t>\\MCA-S\mk\2_BM\0_BMat\08_PYM\Inventario\excel\Imagen de refacciones\Putzmeister\Limit Switch _ Interruptor de Límite (1)</t>
  </si>
  <si>
    <t>Limit Switch / Interruptor de Límite</t>
  </si>
  <si>
    <t>SOM20427</t>
  </si>
  <si>
    <t>\\MCA-S\mk\2_BM\0_BMat\08_PYM\Inventario\excel\Imagen de refacciones\Putzmeister\Lubricant Distributor VSKV4-D _ Distribuidor de Lubricante VSKV4-D</t>
  </si>
  <si>
    <t>\\MCA-S\mk\2_BM\0_BMat\08_PYM\Inventario\excel\Imagen de refacciones\Putzmeister\Mechanical Gate Valve SK125 _ Válvula de Compuerta Mecánica SK125</t>
  </si>
  <si>
    <t>\\MCA-S\mk\2_BM\0_BMat\08_PYM\Inventario\excel\Imagen de refacciones\Putzmeister\Mixer Shaft Q60 X 250mm _ Eje mezclador Q60 X 250mm</t>
  </si>
  <si>
    <t>\\MCA-S\mk\2_BM\0_BMat\08_PYM\Inventario\excel\Imagen de refacciones\Putzmeister\Mixing Valve _ Válvula Mezcladora</t>
  </si>
  <si>
    <t>\\MCA-S\mk\2_BM\0_BMat\08_PYM\Inventario\excel\Imagen de refacciones\Putzmeister\Módulo receptor eléctrico</t>
  </si>
  <si>
    <t>Módulo receptor eléctrico</t>
  </si>
  <si>
    <t>Cargador para batería putmeister</t>
  </si>
  <si>
    <t>\\MCA-S\mk\2_BM\0_BMat\08_PYM\Inventario\excel\Imagen de refacciones\Putzmeister\Motor hidráulico OMP161</t>
  </si>
  <si>
    <t>\\MCA-S\mk\2_BM\0_BMat\08_PYM\Inventario\excel\Imagen de refacciones\Putzmeister\o -ring 60mm x 4mm</t>
  </si>
  <si>
    <t>43909003</t>
  </si>
  <si>
    <t>\\MCA-S\mk\2_BM\0_BMat\08_PYM\Inventario\excel\Imagen de refacciones\Putzmeister\Operating Hours Meter 12_24V _ Contador de Horas de Funcionamiento 12_24V</t>
  </si>
  <si>
    <t>\\MCA-S\mk\2_BM\0_BMat\08_PYM\Inventario\excel\Imagen de refacciones\Putzmeister\O-Ring 148x6 DIN3771NBR70 _ Anillo O 148x6 DIN3771NBR70</t>
  </si>
  <si>
    <t>\\MCA-S\mk\2_BM\0_BMat\08_PYM\Inventario\excel\Imagen de refacciones\Putzmeister\O-Ring 210x8 DIN3771NBR70 _ Anillo O 210x8 DIN3771NBR70</t>
  </si>
  <si>
    <t>\\MCA-S\mk\2_BM\0_BMat\08_PYM\Inventario\excel\Imagen de refacciones\Putzmeister\Outher Housing (New-Ergonic Type) _ Carcasa Exterior (Tipo Nueva Ergonómica)</t>
  </si>
  <si>
    <t>\\MCA-S\mk\2_BM\0_BMat\08_PYM\Inventario\excel\Imagen de refacciones\Putzmeister\Outher Housing (New-Ergonic Type) _ Carcasa Exterior (Tipo Nueva Ergonómica) (1)</t>
  </si>
  <si>
    <t>\\MCA-S\mk\2_BM\0_BMat\08_PYM\Inventario\excel\Imagen de refacciones\Putzmeister\Outher Housing for Stationary Pump Complete _ Carcasa Exterior para Bomba Estacionaria Completa</t>
  </si>
  <si>
    <t>\\MCA-S\mk\2_BM\0_BMat\08_PYM\Inventario\excel\Imagen de refacciones\Putzmeister\Palanca oscilante de 80mm</t>
  </si>
  <si>
    <t>\\MCA-S\mk\2_BM\0_BMat\08_PYM\Inventario\excel\Imagen de refacciones\Putzmeister\palanca oscilante de 90mm</t>
  </si>
  <si>
    <t>\\MCA-S\mk\2_BM\0_BMat\08_PYM\Inventario\excel\Imagen de refacciones\Putzmeister\Pipe Suspension _ Suspensión de Tubería</t>
  </si>
  <si>
    <t>\\MCA-S\mk\2_BM\0_BMat\08_PYM\Inventario\excel\Imagen de refacciones\Putzmeister\Piston _ Pistón (2)</t>
  </si>
  <si>
    <t>\\MCA-S\mk\2_BM\0_BMat\08_PYM\Inventario\excel\Imagen de refacciones\Putzmeister\PM Delivery Pipe 7.1 ZX_5.5 X 3000 _ Tubería de Entrega PM 7.1 ZX_5.5 X 3000</t>
  </si>
  <si>
    <t>PM Delivery Pipe 7.1 ZX/5.5 X 3000 / Tubería de Entrega PM 7.1 ZX/5.5 X 3000</t>
  </si>
  <si>
    <t>\\MCA-S\mk\2_BM\0_BMat\08_PYM\Inventario\excel\Imagen de refacciones\Putzmeister\Power Take-Off Pinion _ Piñón de Toma de Fuerza</t>
  </si>
  <si>
    <t>\\MCA-S\mk\2_BM\0_BMat\08_PYM\Inventario\excel\Imagen de refacciones\Putzmeister\Pressure Limiting Valve _ Válvula Limitadora de Presión</t>
  </si>
  <si>
    <t>\\MCA-S\mk\2_BM\0_BMat\08_PYM\Inventario\excel\Imagen de refacciones\Putzmeister\Pressure Limiting Valve _ Válvula Limitadora de Presión (1)</t>
  </si>
  <si>
    <t>\\MCA-S\mk\2_BM\0_BMat\08_PYM\Inventario\excel\Imagen de refacciones\Putzmeister\Reductor de 6ZX a 1200MM</t>
  </si>
  <si>
    <t>\\MCA-S\mk\2_BM\0_BMat\08_PYM\Inventario\excel\Imagen de refacciones\Putzmeister\Regulator _ Regulador</t>
  </si>
  <si>
    <t>\\MCA-S\mk\2_BM\0_BMat\08_PYM\Inventario\excel\Imagen de refacciones\Putzmeister\Relevador 24V</t>
  </si>
  <si>
    <t>\\MCA-S\mk\2_BM\0_BMat\08_PYM\Inventario\excel\Imagen de refacciones\Putzmeister\Rotary Kit DPV25 _ Kit Rotatorio DPV25</t>
  </si>
  <si>
    <t>\\MCA-S\mk\2_BM\0_BMat\08_PYM\Inventario\excel\Imagen de refacciones\Putzmeister\Rotary Shaft Seal 55x90x7_5 _ Sello de Eje Rotatorio 55x90x7_5</t>
  </si>
  <si>
    <t>\\MCA-S\mk\2_BM\0_BMat\08_PYM\Inventario\excel\Imagen de refacciones\Putzmeister\Rotary Shaft Seal 60x106x7_5 _ Sello de Eje Rotatorio 60x106x7_5</t>
  </si>
  <si>
    <t>\\MCA-S\mk\2_BM\0_BMat\08_PYM\Inventario\excel\Imagen de refacciones\Putzmeister\S Pipe DN125X2X45DGR Twin Wall _ Tubo S DN125X2X45GR Doble Pared</t>
  </si>
  <si>
    <t>\\MCA-S\mk\2_BM\0_BMat\08_PYM\Inventario\excel\Imagen de refacciones\Putzmeister\S Valve 201BN (Hard Welded 62 HRC) _ Válvula S 201BN (Soldadura Dura 62 HRC)</t>
  </si>
  <si>
    <t>\\MCA-S\mk\2_BM\0_BMat\08_PYM\Inventario\excel\Imagen de refacciones\Putzmeister\S Valve 231BN (Hard Welded 62 HRC) _ Válvula S 231BN (Soldadura Dura 62 HRC)</t>
  </si>
  <si>
    <t>\\MCA-S\mk\2_BM\0_BMat\08_PYM\Inventario\excel\Imagen de refacciones\Putzmeister\SAE Connection Block 1 1_4_ _ Bloque de Conexión SAE 1 1_4_</t>
  </si>
  <si>
    <t>\\MCA-S\mk\2_BM\0_BMat\08_PYM\Inventario\excel\Imagen de refacciones\Putzmeister\Screw Coupling SK-S150-6 ND _ Acoplamiento Roscado SK-S150-6 ND</t>
  </si>
  <si>
    <t>\\MCA-S\mk\2_BM\0_BMat\08_PYM\Inventario\excel\Imagen de refacciones\Putzmeister\Screw Mounted Coupling 5,5_-4 Bolt _ Acoplamiento atornillado 5,5_-4 tornillos</t>
  </si>
  <si>
    <t>\\MCA-S\mk\2_BM\0_BMat\08_PYM\Inventario\excel\Imagen de refacciones\Putzmeister\Seal Set _ Juego de sellos</t>
  </si>
  <si>
    <t>\\MCA-S\mk\2_BM\0_BMat\08_PYM\Inventario\excel\Imagen de refacciones\Putzmeister\Seal Set _ Juego de sellos (1)</t>
  </si>
  <si>
    <t>\\MCA-S\mk\2_BM\0_BMat\08_PYM\Inventario\excel\Imagen de refacciones\Putzmeister\Seal Set _ Juego de sellos (2)</t>
  </si>
  <si>
    <t>\\MCA-S\mk\2_BM\0_BMat\08_PYM\Inventario\excel\Imagen de refacciones\Putzmeister\Seal Set _ Juego de sellos (3)</t>
  </si>
  <si>
    <t>1963</t>
  </si>
  <si>
    <t>\\MCA-S\mk\2_BM\0_BMat\08_PYM\Inventario\excel\Imagen de refacciones\Putzmeister\Seal Set _ Juego de sellos (4)</t>
  </si>
  <si>
    <t>SOM20394</t>
  </si>
  <si>
    <t>86085007</t>
  </si>
  <si>
    <t>\\MCA-S\mk\2_BM\0_BMat\08_PYM\Inventario\excel\Imagen de refacciones\Putzmeister\Seal Set _ Juego de sellos (5)</t>
  </si>
  <si>
    <t>\\MCA-S\mk\2_BM\0_BMat\08_PYM\Inventario\excel\Imagen de refacciones\Putzmeister\Seal Set _ Juego de Sellos (6)</t>
  </si>
  <si>
    <t>1966</t>
  </si>
  <si>
    <t>\\MCA-S\mk\2_BM\0_BMat\08_PYM\Inventario\excel\Imagen de refacciones\Putzmeister\Seal Set 115_70 _ Juego de sellos 115_70</t>
  </si>
  <si>
    <t>Seal Set 115/70 / Juego de sellos 115/70</t>
  </si>
  <si>
    <t>SOM20365</t>
  </si>
  <si>
    <t>445760 / 28948004</t>
  </si>
  <si>
    <t>\\MCA-S\mk\2_BM\0_BMat\08_PYM\Inventario\excel\Imagen de refacciones\Putzmeister\Seal Set 125_70 _ Juego de sellos 125_70</t>
  </si>
  <si>
    <t>\\MCA-S\mk\2_BM\0_BMat\08_PYM\Inventario\excel\Imagen de refacciones\Putzmeister\Seal Set 165_105 _ Juego de sellos 165_105</t>
  </si>
  <si>
    <t>\\MCA-S\mk\2_BM\0_BMat\08_PYM\Inventario\excel\Imagen de refacciones\Putzmeister\Seal Set 180_125 _ Juego de sellos 180_125</t>
  </si>
  <si>
    <t>\\MCA-S\mk\2_BM\0_BMat\08_PYM\Inventario\excel\Imagen de refacciones\Putzmeister\Seal Set 225_125 _ Juego de sellos 225_125</t>
  </si>
  <si>
    <t>\\MCA-S\mk\2_BM\0_BMat\08_PYM\Inventario\excel\Imagen de refacciones\Putzmeister\Seal Set 225_140 _ Juego de sellos 225_140</t>
  </si>
  <si>
    <t>\\MCA-S\mk\2_BM\0_BMat\08_PYM\Inventario\excel\Imagen de refacciones\Putzmeister\Seal Set 260_180 _ Juego de sellos 260_180</t>
  </si>
  <si>
    <t>\\MCA-S\mk\2_BM\0_BMat\08_PYM\Inventario\excel\Imagen de refacciones\Putzmeister\Seal Set for Outher Housing - Ergonic _ Juego de Sellos para Carcasa Exterior - Ergonómico</t>
  </si>
  <si>
    <t>\\MCA-S\mk\2_BM\0_BMat\08_PYM\Inventario\excel\Imagen de refacciones\Putzmeister\Seal Set Q90 (Ergonomic) _ Juego de Sellos Q90 (Ergonómico)</t>
  </si>
  <si>
    <t>\\MCA-S\mk\2_BM\0_BMat\08_PYM\Inventario\excel\Imagen de refacciones\Putzmeister\Sealing Cover _ Tapa de Sellado</t>
  </si>
  <si>
    <t>\\MCA-S\mk\2_BM\0_BMat\08_PYM\Inventario\excel\Imagen de refacciones\Putzmeister\Securing Ring 106 X 4 _ Anillo de Seguridad 106 X 4</t>
  </si>
  <si>
    <t>\\MCA-S\mk\2_BM\0_BMat\08_PYM\Inventario\excel\Imagen de refacciones\Putzmeister\Securing Ring 90 X 4 _ Anillo de Seguridad 90 X 4</t>
  </si>
  <si>
    <t>\\MCA-S\mk\2_BM\0_BMat\08_PYM\Inventario\excel\Imagen de refacciones\Putzmeister\Sello hermetico 60mm</t>
  </si>
  <si>
    <t>\\MCA-S\mk\2_BM\0_BMat\08_PYM\Inventario\excel\Imagen de refacciones\Putzmeister\Sensor de temperatura</t>
  </si>
  <si>
    <t>Sensor de temperatura</t>
  </si>
  <si>
    <t>\\MCA-S\mk\2_BM\0_BMat\08_PYM\Inventario\excel\Imagen de refacciones\Putzmeister\Set of Seal D80_50 _ Juego de sellos D80_50</t>
  </si>
  <si>
    <t>1985</t>
  </si>
  <si>
    <t>\\MCA-S\mk\2_BM\0_BMat\08_PYM\Inventario\excel\Imagen de refacciones\Putzmeister\Shaft _ Eje</t>
  </si>
  <si>
    <t>Shaft / Eje</t>
  </si>
  <si>
    <t>SOM20504</t>
  </si>
  <si>
    <t>\\MCA-S\mk\2_BM\0_BMat\08_PYM\Inventario\excel\Imagen de refacciones\Putzmeister\Shutoff Monobloc _ Monobloque de Cierre</t>
  </si>
  <si>
    <t>\\MCA-S\mk\2_BM\0_BMat\08_PYM\Inventario\excel\Imagen de refacciones\Putzmeister\Slewing Unit Gear _ Engranaje de Unidad de Giro</t>
  </si>
  <si>
    <t>\\MCA-S\mk\2_BM\0_BMat\08_PYM\Inventario\excel\Imagen de refacciones\Putzmeister\Slewing Unit Gear _ Engranaje de Unidad de Giro (1)</t>
  </si>
  <si>
    <t>\\MCA-S\mk\2_BM\0_BMat\08_PYM\Inventario\excel\Imagen de refacciones\Putzmeister\Sliding Piece _ Pieza Deslizante</t>
  </si>
  <si>
    <t>\\MCA-S\mk\2_BM\0_BMat\08_PYM\Inventario\excel\Imagen de refacciones\Putzmeister\Solenoid Coil _ Bobina de Solenoide</t>
  </si>
  <si>
    <t>1991</t>
  </si>
  <si>
    <t>\\MCA-S\mk\2_BM\0_BMat\08_PYM\Inventario\excel\Imagen de refacciones\Putzmeister\Solenoid Coil _ Bobina de Solenoide (1)</t>
  </si>
  <si>
    <t>SOM20443</t>
  </si>
  <si>
    <t>\\MCA-S\mk\2_BM\0_BMat\08_PYM\Inventario\excel\Imagen de refacciones\Putzmeister\Support Flange (Ergonomic) _ Brida de Soporte (Ergonómica)</t>
  </si>
  <si>
    <t>\\MCA-S\mk\2_BM\0_BMat\08_PYM\Inventario\excel\Imagen de refacciones\Putzmeister\Swingring Lever Ø90 (Ergonomic) _ Palanca de Anillo Giratorio Ø90 (Ergonómico)</t>
  </si>
  <si>
    <t>\\MCA-S\mk\2_BM\0_BMat\08_PYM\Inventario\excel\Imagen de refacciones\Putzmeister\Switch Remote Sentence _ Interruptor de Sentencia Remoto</t>
  </si>
  <si>
    <t>\\MCA-S\mk\2_BM\0_BMat\08_PYM\Inventario\excel\Imagen de refacciones\Putzmeister\Telethermometer 24V _ Teletermómetro 24V</t>
  </si>
  <si>
    <t>\\MCA-S\mk\2_BM\0_BMat\08_PYM\Inventario\excel\Imagen de refacciones\Putzmeister\Toothed Piece _ Pieza Dentada</t>
  </si>
  <si>
    <t>\\MCA-S\mk\2_BM\0_BMat\08_PYM\Inventario\excel\Imagen de refacciones\Putzmeister\Valve Plate DPV25 _ Placa de Válvulas DPV25</t>
  </si>
  <si>
    <t>\\MCA-S\mk\2_BM\0_BMat\08_PYM\Inventario\excel\Imagen de refacciones\Putzmeister\Valve Right-Left _ Válvula Derecha-Izquierda</t>
  </si>
  <si>
    <t>VALVE 12V FESTO</t>
  </si>
  <si>
    <t>\\MCA-S\mk\2_BM\0_BMat\08_PYM\Inventario\excel\Imagen de refacciones\Putzmeister\Válvula reguladora 24V</t>
  </si>
  <si>
    <t>\\MCA-S\mk\2_BM\0_BMat\08_PYM\Inventario\excel\Imagen de refacciones\Putzmeister\Válvula S -2318 90mm - chica</t>
  </si>
  <si>
    <t>\\MCA-S\mk\2_BM\0_BMat\08_PYM\Inventario\excel\Imagen de refacciones\Putzmeister\Válvulas - 2018 80 mm - chica</t>
  </si>
  <si>
    <t>2006</t>
  </si>
  <si>
    <t>75045880245</t>
  </si>
  <si>
    <t>\\MCA-S\mk\2_BM\0_BMat\08_PYM\Inventario\excel\Imagen de refacciones\Putzmeister\Viejiga de 4 litros (bladder) vejiga de 6 litros (bladder)</t>
  </si>
  <si>
    <t>Viejiga de 4 litros (bladder) vejiga de 6 litros (bladder)</t>
  </si>
  <si>
    <t>64020000</t>
  </si>
  <si>
    <t>\\MCA-S\mk\2_BM\0_BMat\08_PYM\Inventario\excel\Imagen de refacciones\Putzmeister\Wear Sleeve (Ergonomic) _ Manguito de Desgaste (Ergonómico)</t>
  </si>
  <si>
    <t>\\MCA-S\mk\2_BM\0_BMat\08_PYM\Inventario\excel\Imagen de refacciones\Putzmeister\Wear Sleeve _ Manguito de Desgaste</t>
  </si>
  <si>
    <t>\\MCA-S\mk\2_BM\0_BMat\08_PYM\Inventario\excel\Imagen de refacciones\Putzmeister\Wedge (New) _ Cuña (Nueva)</t>
  </si>
  <si>
    <t>\\MCA-S\mk\2_BM\0_BMat\08_PYM\Inventario\excel\Imagen de refacciones\Putzmeister\Welding Ring ZX125-5 1_2 _ Anillo de Soldadura ZX125-5 1_2</t>
  </si>
  <si>
    <t>\\MCA-S\mk\2_BM\0_BMat\08_PYM\Inventario\excel\Imagen de refacciones\Putzmeister\Welding Ring ZX125-5 1_2 _ Anillo de Soldadura ZX125-5 1_2 (1)</t>
  </si>
  <si>
    <t>\\MCA-S\mk\2_BM\0_BMat\08_PYM\Inventario\excel\Imagen de refacciones\Schwing\1.Outlet Elbow DN 180 _ 1.Codo de Salida DN 180</t>
  </si>
  <si>
    <t>1.Outlet Elbow DN 180 / 1.Codo de Salida DN 180</t>
  </si>
  <si>
    <t>SOM30242</t>
  </si>
  <si>
    <t>\\MCA-S\mk\2_BM\0_BMat\08_PYM\Inventario\excel\Imagen de refacciones\Schwing\2.Outlet Elbow DN 180 _ 2.Codo de Salida DN 180</t>
  </si>
  <si>
    <t>2.Outlet Elbow DN 180 / 2.Codo de Salida DN 180</t>
  </si>
  <si>
    <t>SOM30243</t>
  </si>
  <si>
    <t>\\MCA-S\mk\2_BM\0_BMat\08_PYM\Inventario\excel\Imagen de refacciones\Schwing\6_ Sealing DN 150_BF 4005 _ Sello de 6_ DN 150_BF 4005</t>
  </si>
  <si>
    <t>2015</t>
  </si>
  <si>
    <t>75045880475</t>
  </si>
  <si>
    <t>\\MCA-S\mk\2_BM\0_BMat\08_PYM\Inventario\excel\Imagen de refacciones\Schwing\abanico p_enfriador hidráulico 12v ,11_</t>
  </si>
  <si>
    <t xml:space="preserve">ABANICO P/ENFRIADOR HIDRAULICO 12V, 11" </t>
  </si>
  <si>
    <t>2016</t>
  </si>
  <si>
    <t>\\MCA-S\mk\2_BM\0_BMat\08_PYM\Inventario\excel\Imagen de refacciones\Schwing\Abrazadera 6_ DN150 con cuña</t>
  </si>
  <si>
    <t>SCHWING CLAMP WEDGE MET. DN150 6"</t>
  </si>
  <si>
    <t>ABRAZADERA CON CUNA MET. DN150 6"</t>
  </si>
  <si>
    <t>\\MCA-S\mk\2_BM\0_BMat\08_PYM\Inventario\excel\Imagen de refacciones\Schwing\Agitator Bearing L _ Cojinete Agitador L</t>
  </si>
  <si>
    <t>Agitator Bearing L / Cojinete Agitador L</t>
  </si>
  <si>
    <t>SOM30163</t>
  </si>
  <si>
    <t>\\MCA-S\mk\2_BM\0_BMat\08_PYM\Inventario\excel\Imagen de refacciones\Schwing\Agitator Bearing R _ Cojinete Agitador R</t>
  </si>
  <si>
    <t>Agitator Bearing R / Cojinete Agitador R</t>
  </si>
  <si>
    <t>SOM30164</t>
  </si>
  <si>
    <t>\\MCA-S\mk\2_BM\0_BMat\08_PYM\Inventario\excel\Imagen de refacciones\Schwing\Agitator Complete - New Type _ Agitador Completo - Nuevo Tipo</t>
  </si>
  <si>
    <t>\\MCA-S\mk\2_BM\0_BMat\08_PYM\Inventario\excel\Imagen de refacciones\Schwing\Agitator Shaft _ Eje Agitador</t>
  </si>
  <si>
    <t>SOM30155</t>
  </si>
  <si>
    <t>\\MCA-S\mk\2_BM\0_BMat\08_PYM\Inventario\excel\Imagen de refacciones\Schwing\Agitator Shaft _ Eje Agitador (1)</t>
  </si>
  <si>
    <t>\\MCA-S\mk\2_BM\0_BMat\08_PYM\Inventario\excel\Imagen de refacciones\Schwing\Agitator Shaft _ Eje Agitador (2)</t>
  </si>
  <si>
    <t>\\MCA-S\mk\2_BM\0_BMat\08_PYM\Inventario\excel\Imagen de refacciones\Schwing\Anillo de corte DN231</t>
  </si>
  <si>
    <t>\\MCA-S\mk\2_BM\0_BMat\08_PYM\Inventario\excel\Imagen de refacciones\Schwing\Antifaz DN200</t>
  </si>
  <si>
    <t>\\MCA-S\mk\2_BM\0_BMat\08_PYM\Inventario\excel\Imagen de refacciones\Schwing\Antifaz DN230</t>
  </si>
  <si>
    <t>\\MCA-S\mk\2_BM\0_BMat\08_PYM\Inventario\excel\Imagen de refacciones\Schwing\Antifaz DN250</t>
  </si>
  <si>
    <t>2032</t>
  </si>
  <si>
    <t>\\MCA-S\mk\2_BM\0_BMat\08_PYM\Inventario\excel\Imagen de refacciones\Schwing\Articulated Bearing _ Cojinete Articulado</t>
  </si>
  <si>
    <t>Articulated Bearing / Cojinete Articulado</t>
  </si>
  <si>
    <t>SOM30074</t>
  </si>
  <si>
    <t>\\MCA-S\mk\2_BM\0_BMat\08_PYM\Inventario\excel\Imagen de refacciones\Schwing\Back Up Ring DN 210 _ Anillo de Respaldo DN 210</t>
  </si>
  <si>
    <t>ANILLO RESPALDO/ PRESION DN210</t>
  </si>
  <si>
    <t>\\MCA-S\mk\2_BM\0_BMat\08_PYM\Inventario\excel\Imagen de refacciones\Schwing\Back Up Ring DN 220 _ Anillo de Respaldo DN 220</t>
  </si>
  <si>
    <t>\\MCA-S\mk\2_BM\0_BMat\08_PYM\Inventario\excel\Imagen de refacciones\Schwing\Balero articulado 90GE</t>
  </si>
  <si>
    <t>\\MCA-S\mk\2_BM\0_BMat\08_PYM\Inventario\excel\Imagen de refacciones\Schwing\Balero articulado GE61</t>
  </si>
  <si>
    <t>\\MCA-S\mk\2_BM\0_BMat\08_PYM\Inventario\excel\Imagen de refacciones\Schwing\Balero sellado para bomba de agua</t>
  </si>
  <si>
    <t>\\MCA-S\mk\2_BM\0_BMat\08_PYM\Inventario\excel\Imagen de refacciones\Schwing\Barra de 2 tortnillos para válvula rock</t>
  </si>
  <si>
    <t>\\MCA-S\mk\2_BM\0_BMat\08_PYM\Inventario\excel\Imagen de refacciones\Schwing\Base Plate _ Placa Base</t>
  </si>
  <si>
    <t>\\MCA-S\mk\2_BM\0_BMat\08_PYM\Inventario\excel\Imagen de refacciones\Schwing\Base Plate _ Placa Base (1)</t>
  </si>
  <si>
    <t>\\MCA-S\mk\2_BM\0_BMat\08_PYM\Inventario\excel\Imagen de refacciones\Schwing\Batería control Shwing 9.6V</t>
  </si>
  <si>
    <t>\\MCA-S\mk\2_BM\0_BMat\08_PYM\Inventario\excel\Imagen de refacciones\Schwing\Battery _ Batería</t>
  </si>
  <si>
    <t>\\MCA-S\mk\2_BM\0_BMat\08_PYM\Inventario\excel\Imagen de refacciones\Schwing\Battery _ Batería (1)</t>
  </si>
  <si>
    <t>\\MCA-S\mk\2_BM\0_BMat\08_PYM\Inventario\excel\Imagen de refacciones\Schwing\Bearing Bushing _ Casquillo de Cojinete</t>
  </si>
  <si>
    <t>\\MCA-S\mk\2_BM\0_BMat\08_PYM\Inventario\excel\Imagen de refacciones\Schwing\Bearing Bushing D 70_85x57 _ Casquillo de Cojinete D 70_85x57</t>
  </si>
  <si>
    <t>2049</t>
  </si>
  <si>
    <t>\\MCA-S\mk\2_BM\0_BMat\08_PYM\Inventario\excel\Imagen de refacciones\Schwing\Bearing Bushing D 95_108X70 _ Casquillo de Cojinete D 95_108X70</t>
  </si>
  <si>
    <t>Bearing Bushing D 95/108X70 / Casquillo de Cojinete D 95/108X70</t>
  </si>
  <si>
    <t>SOM30022</t>
  </si>
  <si>
    <t>\\MCA-S\mk\2_BM\0_BMat\08_PYM\Inventario\excel\Imagen de refacciones\Schwing\Bearing Bushing with Grease Groove _ Casquillo de Cojinete con Ranura de Engrase</t>
  </si>
  <si>
    <t>2051</t>
  </si>
  <si>
    <t>\\MCA-S\mk\2_BM\0_BMat\08_PYM\Inventario\excel\Imagen de refacciones\Schwing\Bolt _ Perno</t>
  </si>
  <si>
    <t>Bolt / Perno</t>
  </si>
  <si>
    <t>SOM30065</t>
  </si>
  <si>
    <t>\\MCA-S\mk\2_BM\0_BMat\08_PYM\Inventario\excel\Imagen de refacciones\Schwing\Bolt _ Perno (1)</t>
  </si>
  <si>
    <t>SOM30068</t>
  </si>
  <si>
    <t>2053</t>
  </si>
  <si>
    <t>\\MCA-S\mk\2_BM\0_BMat\08_PYM\Inventario\excel\Imagen de refacciones\Schwing\Bolt 45x124 _ Perno 45x124</t>
  </si>
  <si>
    <t>Bolt 45x124 / Perno 45x124</t>
  </si>
  <si>
    <t>SOM30054</t>
  </si>
  <si>
    <t>\\MCA-S\mk\2_BM\0_BMat\08_PYM\Inventario\excel\Imagen de refacciones\Schwing\Bomba de agua 1502 completa 6 rodillos</t>
  </si>
  <si>
    <t>2060</t>
  </si>
  <si>
    <t>\\MCA-S\mk\2_BM\0_BMat\08_PYM\Inventario\excel\Imagen de refacciones\Schwing\Bushing _ Casquillo</t>
  </si>
  <si>
    <t>SOM30017</t>
  </si>
  <si>
    <t>\\MCA-S\mk\2_BM\0_BMat\08_PYM\Inventario\excel\Imagen de refacciones\Schwing\Bushing _ Casquillo (1)</t>
  </si>
  <si>
    <t>SOM30059</t>
  </si>
  <si>
    <t>\\MCA-S\mk\2_BM\0_BMat\08_PYM\Inventario\excel\Imagen de refacciones\Schwing\Bushing _ Casquillo (2)</t>
  </si>
  <si>
    <t>\\MCA-S\mk\2_BM\0_BMat\08_PYM\Inventario\excel\Imagen de refacciones\Schwing\Bushing _ Casquillo (3)</t>
  </si>
  <si>
    <t>\\MCA-S\mk\2_BM\0_BMat\08_PYM\Inventario\excel\Imagen de refacciones\Schwing\Bushing D 56_D 45 X45 _ Casquillo D 56_D 45 X45</t>
  </si>
  <si>
    <t>Bushing D 56/D 45 X45 / Casquillo D 56/D 45 X45</t>
  </si>
  <si>
    <t>SOM30180</t>
  </si>
  <si>
    <t>2065</t>
  </si>
  <si>
    <t>\\MCA-S\mk\2_BM\0_BMat\08_PYM\Inventario\excel\Imagen de refacciones\Schwing\Bushing D 60_68X23 _ Casquillo D 60_68X23</t>
  </si>
  <si>
    <t>Bushing D 60/68X23 / Casquillo D 60/68X23</t>
  </si>
  <si>
    <t>SOM30169</t>
  </si>
  <si>
    <t>\\MCA-S\mk\2_BM\0_BMat\08_PYM\Inventario\excel\Imagen de refacciones\Schwing\cable de aceleración 14 FT</t>
  </si>
  <si>
    <t>\\MCA-S\mk\2_BM\0_BMat\08_PYM\Inventario\excel\Imagen de refacciones\Schwing\cable de aceleración 17 ft</t>
  </si>
  <si>
    <t>\\MCA-S\mk\2_BM\0_BMat\08_PYM\Inventario\excel\Imagen de refacciones\Schwing\Carcaza para caja de tran-ferencia</t>
  </si>
  <si>
    <t>\\MCA-S\mk\2_BM\0_BMat\08_PYM\Inventario\excel\Imagen de refacciones\Schwing\Cargador para batería schwing</t>
  </si>
  <si>
    <t>\\MCA-S\mk\2_BM\0_BMat\08_PYM\Inventario\excel\Imagen de refacciones\Schwing\Cauldron Rubber Band 350 x 10 x 3000 mm _ Banda de Goma para Caldero 350 x 10 x 3000 mm</t>
  </si>
  <si>
    <t>2071</t>
  </si>
  <si>
    <t>\\MCA-S\mk\2_BM\0_BMat\08_PYM\Inventario\excel\Imagen de refacciones\Schwing\Clamp 5,5_ with Support _ Abrazadera 5,5_ con Soporte</t>
  </si>
  <si>
    <t>Clamp 5,5" with Support / Abrazadera 5,5" con Soporte</t>
  </si>
  <si>
    <t>SOM30280</t>
  </si>
  <si>
    <t>2072</t>
  </si>
  <si>
    <t>\\MCA-S\mk\2_BM\0_BMat\08_PYM\Inventario\excel\Imagen de refacciones\Schwing\Clamp Piece Left _ Pieza de Sujeción Izquierda</t>
  </si>
  <si>
    <t>Clamp Piece Left / Pieza de Sujeción Izquierda</t>
  </si>
  <si>
    <t>SOM30053</t>
  </si>
  <si>
    <t>2073</t>
  </si>
  <si>
    <t>\\MCA-S\mk\2_BM\0_BMat\08_PYM\Inventario\excel\Imagen de refacciones\Schwing\Clamp Piece Right _ Pieza de Sujeción Derecha</t>
  </si>
  <si>
    <t>Clamp Piece Right / Pieza de Sujeción Derecha</t>
  </si>
  <si>
    <t>SOM30052</t>
  </si>
  <si>
    <t>2074</t>
  </si>
  <si>
    <t>\\MCA-S\mk\2_BM\0_BMat\08_PYM\Inventario\excel\Imagen de refacciones\Schwing\Clamp Type Coupling 5,5_ _ Acoplamiento Tipo Abrazadera 5,5_</t>
  </si>
  <si>
    <t>Clamp Type Coupling 5,5" / Acoplamiento Tipo Abrazadera 5,5"</t>
  </si>
  <si>
    <t>SOM30278</t>
  </si>
  <si>
    <t>\\MCA-S\mk\2_BM\0_BMat\08_PYM\Inventario\excel\Imagen de refacciones\Schwing\Cleaning Ball DN 150 _ Bola de Limpieza DN 150</t>
  </si>
  <si>
    <t>\\MCA-S\mk\2_BM\0_BMat\08_PYM\Inventario\excel\Imagen de refacciones\Schwing\Cleaning Ball DN 175 _ Bola de Limpieza DN 175</t>
  </si>
  <si>
    <t>\\MCA-S\mk\2_BM\0_BMat\08_PYM\Inventario\excel\Imagen de refacciones\Schwing\Compuerta para tolva</t>
  </si>
  <si>
    <t>\\MCA-S\mk\2_BM\0_BMat\08_PYM\Inventario\excel\Imagen de refacciones\Schwing\Connection Bend DN 180 14 Degrees _ Codo de Conexión DN 180 14 Grados</t>
  </si>
  <si>
    <t>\\MCA-S\mk\2_BM\0_BMat\08_PYM\Inventario\excel\Imagen de refacciones\Schwing\Connection Piece _ Pieza de Conexión</t>
  </si>
  <si>
    <t>\\MCA-S\mk\2_BM\0_BMat\08_PYM\Inventario\excel\Imagen de refacciones\Schwing\Connection Piece _ Pieza de Conexión (1)</t>
  </si>
  <si>
    <t>\\MCA-S\mk\2_BM\0_BMat\08_PYM\Inventario\excel\Imagen de refacciones\Schwing\Cono hermético 50mm</t>
  </si>
  <si>
    <t>\\MCA-S\mk\2_BM\0_BMat\08_PYM\Inventario\excel\Imagen de refacciones\Schwing\cople para bomba hidráulica a2f013</t>
  </si>
  <si>
    <t>COUPLING 31.5x50x50 PUMP A7VO80</t>
  </si>
  <si>
    <t>\\MCA-S\mk\2_BM\0_BMat\08_PYM\Inventario\excel\Imagen de refacciones\Schwing\Coupling _ Acoplamiento</t>
  </si>
  <si>
    <t>\\MCA-S\mk\2_BM\0_BMat\08_PYM\Inventario\excel\Imagen de refacciones\Schwing\Coupling 17.5X50X48 _ Acoplamiento 17.5X50X48</t>
  </si>
  <si>
    <t>\\MCA-S\mk\2_BM\0_BMat\08_PYM\Inventario\excel\Imagen de refacciones\Schwing\Coupling 22.5X50X48 _ Acoplamiento 22.5X50X48</t>
  </si>
  <si>
    <t>2089</t>
  </si>
  <si>
    <t>\\MCA-S\mk\2_BM\0_BMat\08_PYM\Inventario\excel\Imagen de refacciones\Schwing\Coupling 31.5X50X50 _ Acoplamiento 31.5X50X50</t>
  </si>
  <si>
    <t>Coupling 31.5X50X50 / Acoplamiento 31.5X50X50</t>
  </si>
  <si>
    <t>SOM30227</t>
  </si>
  <si>
    <t>\\MCA-S\mk\2_BM\0_BMat\08_PYM\Inventario\excel\Imagen de refacciones\Schwing\Coupling 36X50X50 _ Acoplamiento 36X50X50</t>
  </si>
  <si>
    <t>\\MCA-S\mk\2_BM\0_BMat\08_PYM\Inventario\excel\Imagen de refacciones\Schwing\Cover _ Cubierta</t>
  </si>
  <si>
    <t>Cover / Cubierta</t>
  </si>
  <si>
    <t>\\MCA-S\mk\2_BM\0_BMat\08_PYM\Inventario\excel\Imagen de refacciones\Schwing\Cover Lining _ Revestimiento de Cubierta</t>
  </si>
  <si>
    <t>\\MCA-S\mk\2_BM\0_BMat\08_PYM\Inventario\excel\Imagen de refacciones\Schwing\Cover with Screw _ Cubierta con Tornillo</t>
  </si>
  <si>
    <t>\\MCA-S\mk\2_BM\0_BMat\08_PYM\Inventario\excel\Imagen de refacciones\Schwing\Cuña para perno</t>
  </si>
  <si>
    <t>2095</t>
  </si>
  <si>
    <t>\\MCA-S\mk\2_BM\0_BMat\08_PYM\Inventario\excel\Imagen de refacciones\Schwing\Cup Type Coupling DN 180 _ Acoplamiento Tipo Copa DN 180</t>
  </si>
  <si>
    <t>Cup Type Coupling DN 180 / Acoplamiento Tipo Copa DN 180</t>
  </si>
  <si>
    <t>SOM30247</t>
  </si>
  <si>
    <t>2096</t>
  </si>
  <si>
    <t>\\MCA-S\mk\2_BM\0_BMat\08_PYM\Inventario\excel\Imagen de refacciones\Schwing\Cup-Tension Clamp DN 150 with Wedge _ Abrazadera de Tensión Tipo Copa DN 150 con Cuña</t>
  </si>
  <si>
    <t>Cup-Tension Clamp DN 150 with Wedge / Abrazadera de Tensión Tipo Copa DN 150 con Cuña</t>
  </si>
  <si>
    <t>SOM30246</t>
  </si>
  <si>
    <t>\\MCA-S\mk\2_BM\0_BMat\08_PYM\Inventario\excel\Imagen de refacciones\Schwing\Cutting Ring DN 165 _ Anillo de Corte DN 165</t>
  </si>
  <si>
    <t>\\MCA-S\mk\2_BM\0_BMat\08_PYM\Inventario\excel\Imagen de refacciones\Schwing\Cutting Ring DN 180 _ Anillo de Corte DN 180</t>
  </si>
  <si>
    <t>\\MCA-S\mk\2_BM\0_BMat\08_PYM\Inventario\excel\Imagen de refacciones\Schwing\Cutting Ring DN 210 _ Anillo de Corte DN 210</t>
  </si>
  <si>
    <t>\\MCA-S\mk\2_BM\0_BMat\08_PYM\Inventario\excel\Imagen de refacciones\Schwing\Cutting Ring DN 220 _ Anillo de Corte DN 220</t>
  </si>
  <si>
    <t>\\MCA-S\mk\2_BM\0_BMat\08_PYM\Inventario\excel\Imagen de refacciones\Schwing\Cutting Ring DN 230 _ Anillo de Corte DN 230</t>
  </si>
  <si>
    <t>\\MCA-S\mk\2_BM\0_BMat\08_PYM\Inventario\excel\Imagen de refacciones\Schwing\CYL Weld 1200-2020-2023 _ Soldadura de Cilindro 1200-2020-2023</t>
  </si>
  <si>
    <t>\\MCA-S\mk\2_BM\0_BMat\08_PYM\Inventario\excel\Imagen de refacciones\Schwing\CYL Weld 2023 120X2000 _ Soldadura de Cilindro 2023 120X2000</t>
  </si>
  <si>
    <t>\\MCA-S\mk\2_BM\0_BMat\08_PYM\Inventario\excel\Imagen de refacciones\Schwing\CYL Weld 2023 130X2000 _ Soldadura de Cilindro 2023 130X2000</t>
  </si>
  <si>
    <t>\\MCA-S\mk\2_BM\0_BMat\08_PYM\Inventario\excel\Imagen de refacciones\Schwing\CYL Weld 2525 120X2500 _ Soldadura de Cilindro 2525 120X2500</t>
  </si>
  <si>
    <t>\\MCA-S\mk\2_BM\0_BMat\08_PYM\Inventario\excel\Imagen de refacciones\Schwing\Cylinder _ Cilindro</t>
  </si>
  <si>
    <t>Cylinder / Cilindro</t>
  </si>
  <si>
    <t>SOM30066</t>
  </si>
  <si>
    <t>\\MCA-S\mk\2_BM\0_BMat\08_PYM\Inventario\excel\Imagen de refacciones\Schwing\Cylinder Block _ Bloque de Cilindros</t>
  </si>
  <si>
    <t>2108</t>
  </si>
  <si>
    <t>\\MCA-S\mk\2_BM\0_BMat\08_PYM\Inventario\excel\Imagen de refacciones\Schwing\Cylinder Head _ Cabeza de Cilindro</t>
  </si>
  <si>
    <t>Cylinder Head / Cabeza de Cilindro</t>
  </si>
  <si>
    <t>SOM30069</t>
  </si>
  <si>
    <t>2109</t>
  </si>
  <si>
    <t>\\MCA-S\mk\2_BM\0_BMat\08_PYM\Inventario\excel\Imagen de refacciones\Schwing\Cylinder Head _ Cabeza de Cilindro (1)</t>
  </si>
  <si>
    <t>SOM30070</t>
  </si>
  <si>
    <t>10094649 / 10017558</t>
  </si>
  <si>
    <t>\\MCA-S\mk\2_BM\0_BMat\08_PYM\Inventario\excel\Imagen de refacciones\Schwing\Cylinder Support _ Soporte de Cilindro</t>
  </si>
  <si>
    <t>Cylinder Support / Soporte de Cilindro</t>
  </si>
  <si>
    <t>SOM30062</t>
  </si>
  <si>
    <t>\\MCA-S\mk\2_BM\0_BMat\08_PYM\Inventario\excel\Imagen de refacciones\Schwing\Delivery Cylinder DN 160 _ Cilindro de Entrega DN 160</t>
  </si>
  <si>
    <t>\\MCA-S\mk\2_BM\0_BMat\08_PYM\Inventario\excel\Imagen de refacciones\Schwing\Delivery Cylinder DN 180 X 1518 _ Cilindro de Entrega DN 180 X 1518</t>
  </si>
  <si>
    <t>2113</t>
  </si>
  <si>
    <t>\\MCA-S\mk\2_BM\0_BMat\08_PYM\Inventario\excel\Imagen de refacciones\Schwing\Delivery Cylinder DN 200 X 1600 _ Cilindro de Entrega DN 200 X 1600</t>
  </si>
  <si>
    <t>Delivery Cylinder DN 200 X 1600 / Cilindro de Entrega DN 200 X 1600</t>
  </si>
  <si>
    <t>SOM30078</t>
  </si>
  <si>
    <t>\\MCA-S\mk\2_BM\0_BMat\08_PYM\Inventario\excel\Imagen de refacciones\Schwing\Delivery Cylinder DN 200 X 2125 _ Cilindro de Entrega DN 200 X 2125</t>
  </si>
  <si>
    <t>\\MCA-S\mk\2_BM\0_BMat\08_PYM\Inventario\excel\Imagen de refacciones\Schwing\Delivery Cylinder DN 230 X 2000 _ Cilindro de Entrega DN 230 X 2000</t>
  </si>
  <si>
    <t>\\MCA-S\mk\2_BM\0_BMat\08_PYM\Inventario\excel\Imagen de refacciones\Schwing\Delivery Cylinder DN 230 X 2133 _ Cilindro de Entrega DN 230 X 2133</t>
  </si>
  <si>
    <t>\\MCA-S\mk\2_BM\0_BMat\08_PYM\Inventario\excel\Imagen de refacciones\Schwing\Delivery Cylinder DN 250 X 2500 _ Cilindro de Entrega DN 250 X 2500</t>
  </si>
  <si>
    <t>\\MCA-S\mk\2_BM\0_BMat\08_PYM\Inventario\excel\Imagen de refacciones\Schwing\Delivery Cylinder DN 250 X 2500 _ Cilindro de Entrega DN 250 X 2500 (1)</t>
  </si>
  <si>
    <t>2119</t>
  </si>
  <si>
    <t>\\MCA-S\mk\2_BM\0_BMat\08_PYM\Inventario\excel\Imagen de refacciones\Schwing\Delivery Pipe 3 MT 5,5_ _ Tubería de Entrega 3 MT 5,5_</t>
  </si>
  <si>
    <t>Delivery Pipe 3 MT 5,5" / Tubería de Entrega 3 MT 5,5"</t>
  </si>
  <si>
    <t>SOM30276</t>
  </si>
  <si>
    <t>\\MCA-S\mk\2_BM\0_BMat\08_PYM\Inventario\excel\Imagen de refacciones\Schwing\Delivery Tube DN 150 1600 MM _ Tubo de Entrega DN 150 1600 MM</t>
  </si>
  <si>
    <t>\\MCA-S\mk\2_BM\0_BMat\08_PYM\Inventario\excel\Imagen de refacciones\Schwing\Differential Cylinder 110_63 _ Cilindro Diferencial 110_63</t>
  </si>
  <si>
    <t>\\MCA-S\mk\2_BM\0_BMat\08_PYM\Inventario\excel\Imagen de refacciones\Schwing\Differential Cylinder 1200-2023 125_80 _ Cilindro Diferencial 1200-2023 125_80</t>
  </si>
  <si>
    <t>\\MCA-S\mk\2_BM\0_BMat\08_PYM\Inventario\excel\Imagen de refacciones\Schwing\Differential Cylinder 2023 120_80X2000 _ Cilindro Diferencial 2023 120_80X2000</t>
  </si>
  <si>
    <t>\\MCA-S\mk\2_BM\0_BMat\08_PYM\Inventario\excel\Imagen de refacciones\Schwing\Differential Cylinder 2023 130_80X2000 _ Cilindro Diferencial 2023 130_80X2000</t>
  </si>
  <si>
    <t>\\MCA-S\mk\2_BM\0_BMat\08_PYM\Inventario\excel\Imagen de refacciones\Schwing\Differential Cylinder 2525 120_85X2500 _ Cilindro Diferencial 2525 120_85X2500</t>
  </si>
  <si>
    <t>2126</t>
  </si>
  <si>
    <t>\\MCA-S\mk\2_BM\0_BMat\08_PYM\Inventario\excel\Imagen de refacciones\Schwing\Disc 85x10 _ Disco 85x10</t>
  </si>
  <si>
    <t>Disc 85x10 / Disco 85x10</t>
  </si>
  <si>
    <t>SOM30173</t>
  </si>
  <si>
    <t>2127</t>
  </si>
  <si>
    <t>\\MCA-S\mk\2_BM\0_BMat\08_PYM\Inventario\excel\Imagen de refacciones\Schwing\Disc D 60_95 X 5 _ Disco D 60_95 X 5</t>
  </si>
  <si>
    <t>Disc D 60/95 X 5 / Disco D 60/95 X 5</t>
  </si>
  <si>
    <t>SOM30175</t>
  </si>
  <si>
    <t>\\MCA-S\mk\2_BM\0_BMat\08_PYM\Inventario\excel\Imagen de refacciones\Schwing\Elbow 20 Degree 5,5_ _ Codo 20 Grados 5,5_</t>
  </si>
  <si>
    <t>\\MCA-S\mk\2_BM\0_BMat\08_PYM\Inventario\excel\Imagen de refacciones\Schwing\Elbow 32,5 Degree 5,5_ _ Codo 32,5 Grados 5,5_</t>
  </si>
  <si>
    <t>Elbow 32,5 Degree 5,5" / Codo 32,5 Grados 5,5"</t>
  </si>
  <si>
    <t>SOM30268</t>
  </si>
  <si>
    <t>\\MCA-S\mk\2_BM\0_BMat\08_PYM\Inventario\excel\Imagen de refacciones\Schwing\Elbow 32,5 Degree 6_ R=230 _ Codo 32,5 Grados 6_ R=230</t>
  </si>
  <si>
    <t>Elbow 32,5 Degree 6" R=230 / Codo 32,5 Grados 6" R=230</t>
  </si>
  <si>
    <t>2133</t>
  </si>
  <si>
    <t>\\MCA-S\mk\2_BM\0_BMat\08_PYM\Inventario\excel\Imagen de refacciones\Schwing\Elbow 45 Degree 5,5_ _ Codo 45 Grados 5,5_</t>
  </si>
  <si>
    <t>Elbow 45 Degree 5,5" / Codo 45 Grados 5,5"</t>
  </si>
  <si>
    <t>SOM30269</t>
  </si>
  <si>
    <t>\\MCA-S\mk\2_BM\0_BMat\08_PYM\Inventario\excel\Imagen de refacciones\Schwing\Elbow 45 Degree 6_ _ Codo 45 Grados 6_</t>
  </si>
  <si>
    <t>\\MCA-S\mk\2_BM\0_BMat\08_PYM\Inventario\excel\Imagen de refacciones\Schwing\Elbow 50 Degree 6_ R=230 _ Codo 50 Grados 6_ R=230</t>
  </si>
  <si>
    <t>\\MCA-S\mk\2_BM\0_BMat\08_PYM\Inventario\excel\Imagen de refacciones\Schwing\Elbow 90 Degree 5,5_ R=275 _ Codo 90 Grados 5,5_ R=275</t>
  </si>
  <si>
    <t>\\MCA-S\mk\2_BM\0_BMat\08_PYM\Inventario\excel\Imagen de refacciones\Schwing\Elbow 90 Degree with 10cm Extension 5,5_ _ Codo 90 Grados con Extensión de 10cm 5,5_</t>
  </si>
  <si>
    <t>Elbow 90 Degree with 10cm Extension 5,5" / Codo 90 Grados con Extensión de 10cm 5,5"</t>
  </si>
  <si>
    <t>SOM30274</t>
  </si>
  <si>
    <t>\\MCA-S\mk\2_BM\0_BMat\08_PYM\Inventario\excel\Imagen de refacciones\Schwing\Elbow 90 Degree with 14cm Extension 5,5_ _ Codo 90 Grados con Extensión de 14cm 5,5_</t>
  </si>
  <si>
    <t>\\MCA-S\mk\2_BM\0_BMat\08_PYM\Inventario\excel\Imagen de refacciones\Schwing\Elbow 90 Degree with 34cm Extension 5,5_ _ Codo 90 Grados con Extensión de 34cm 5,5_</t>
  </si>
  <si>
    <t>Elbow 90 Degree with 34cm Extension 5,5" / Codo 90 Grados con Extensión de 34cm 5,5"</t>
  </si>
  <si>
    <t>SOM30275</t>
  </si>
  <si>
    <t>2140</t>
  </si>
  <si>
    <t>\\MCA-S\mk\2_BM\0_BMat\08_PYM\Inventario\excel\Imagen de refacciones\Schwing\Elbow DN 150 Degrees M_F Joint _ Codo DN 150 Grados Junta M_F</t>
  </si>
  <si>
    <t>Elbow DN 150 Degrees M/F Joint / Codo DN 150 Grados Junta M/F</t>
  </si>
  <si>
    <t>SOM30241</t>
  </si>
  <si>
    <t>\\MCA-S\mk\2_BM\0_BMat\08_PYM\Inventario\excel\Imagen de refacciones\Schwing\Electroválvula 12V</t>
  </si>
  <si>
    <t>2144</t>
  </si>
  <si>
    <t>émbolo con base DN250 - Schwing Piston DN250</t>
  </si>
  <si>
    <t>\\MCA-S\mk\2_BM\0_BMat\08_PYM\Inventario\excel\Imagen de refacciones\Schwing\End Hose 4 MT Double Flange 5,5_ _ Manguera Final 4 MT Doble Brida 5,5_</t>
  </si>
  <si>
    <t>\\MCA-S\mk\2_BM\0_BMat\08_PYM\Inventario\excel\Imagen de refacciones\Schwing\End Hose 4 MT Single Flange 5,5_ _ Manguera Final 4 MT Brida Simple 5,5_</t>
  </si>
  <si>
    <t>2150</t>
  </si>
  <si>
    <t>\\MCA-S\mk\2_BM\0_BMat\08_PYM\Inventario\excel\Imagen de refacciones\Schwing\Espejo DN181</t>
  </si>
  <si>
    <t>\\MCA-S\mk\2_BM\0_BMat\08_PYM\Inventario\excel\Imagen de refacciones\Schwing\Extension 200 MM _ Extensión 200 MM</t>
  </si>
  <si>
    <t>2152</t>
  </si>
  <si>
    <t>\\MCA-S\mk\2_BM\0_BMat\08_PYM\Inventario\excel\Imagen de refacciones\Schwing\Filter Element _ Elemento de Filtro</t>
  </si>
  <si>
    <t>SOM30285</t>
  </si>
  <si>
    <t>2153</t>
  </si>
  <si>
    <t>\\MCA-S\mk\2_BM\0_BMat\08_PYM\Inventario\excel\Imagen de refacciones\Schwing\Filter Element _ Elemento de Filtro (1)</t>
  </si>
  <si>
    <t>SOM30286</t>
  </si>
  <si>
    <t>\\MCA-S\mk\2_BM\0_BMat\08_PYM\Inventario\excel\Imagen de refacciones\Schwing\Filter Element _ Elemento de Filtro (2)</t>
  </si>
  <si>
    <t>\\MCA-S\mk\2_BM\0_BMat\08_PYM\Inventario\excel\Imagen de refacciones\Schwing\Filter Element _ Elemento de Filtro (3)</t>
  </si>
  <si>
    <t>2156</t>
  </si>
  <si>
    <t>\\MCA-S\mk\2_BM\0_BMat\08_PYM\Inventario\excel\Imagen de refacciones\Schwing\Filter Element _ Elemento de Filtro (4)</t>
  </si>
  <si>
    <t>SOM30290</t>
  </si>
  <si>
    <t>2157</t>
  </si>
  <si>
    <t>\\MCA-S\mk\2_BM\0_BMat\08_PYM\Inventario\excel\Imagen de refacciones\Schwing\Filter Element _ Elemento de Filtro (5)</t>
  </si>
  <si>
    <t xml:space="preserve">Filter Element </t>
  </si>
  <si>
    <t>SOM30291</t>
  </si>
  <si>
    <t>2164</t>
  </si>
  <si>
    <t>\\MCA-S\mk\2_BM\0_BMat\08_PYM\Inventario\excel\Imagen de refacciones\Schwing\Flange Bushing D60_72_85 X 50_6 _ Casquillo de Brida D60_72_85 X 50_6</t>
  </si>
  <si>
    <t>Flange Bushing D60/72/85 X 50/6 / Casquillo de Brida D60/72/85 X 50/6</t>
  </si>
  <si>
    <t>SOM30174</t>
  </si>
  <si>
    <t>\\MCA-S\mk\2_BM\0_BMat\08_PYM\Inventario\excel\Imagen de refacciones\Schwing\Flange Coupling _ Acoplamiento de Brida</t>
  </si>
  <si>
    <t>\\MCA-S\mk\2_BM\0_BMat\08_PYM\Inventario\excel\Imagen de refacciones\Schwing\Flanged Bearing Closed _ Cojinete con Brida Cerrado</t>
  </si>
  <si>
    <t>\\MCA-S\mk\2_BM\0_BMat\08_PYM\Inventario\excel\Imagen de refacciones\Schwing\Flanged Bearing Open _ Cojinete con Brida Abierto</t>
  </si>
  <si>
    <t>2168</t>
  </si>
  <si>
    <t>\\MCA-S\mk\2_BM\0_BMat\08_PYM\Inventario\excel\Imagen de refacciones\Schwing\Flanged Shaft (Bearing Side) _ Eje con Brida (Lado del Cojinete)</t>
  </si>
  <si>
    <t>Flanged Shaft (Bearing Side) / Eje con Brida (Lado del Cojinete)</t>
  </si>
  <si>
    <t>SOM30178</t>
  </si>
  <si>
    <t>\\MCA-S\mk\2_BM\0_BMat\08_PYM\Inventario\excel\Imagen de refacciones\Schwing\Flanged Shaft (Gear Side) _ Eje con Brida (Lado del Engranaje)</t>
  </si>
  <si>
    <t>2170</t>
  </si>
  <si>
    <t>\\MCA-S\mk\2_BM\0_BMat\08_PYM\Inventario\excel\Imagen de refacciones\Schwing\Flanged Shaft _ Eje con Brida</t>
  </si>
  <si>
    <t>Flanged Shaft / Eje con Brida</t>
  </si>
  <si>
    <t>SOM30166</t>
  </si>
  <si>
    <t>2171</t>
  </si>
  <si>
    <t>\\MCA-S\mk\2_BM\0_BMat\08_PYM\Inventario\excel\Imagen de refacciones\Schwing\Flanged Shaft _ Eje con Brida (1)</t>
  </si>
  <si>
    <t>SOM30172</t>
  </si>
  <si>
    <t>2172</t>
  </si>
  <si>
    <t>\\MCA-S\mk\2_BM\0_BMat\08_PYM\Inventario\excel\Imagen de refacciones\Schwing\Flat Gate Valve 180_55_25 _ Válvula de Compuerta Plana 180_55_25</t>
  </si>
  <si>
    <t>Flat Gate Valve 180/55/25 / Válvula de Compuerta Plana 180/55/25</t>
  </si>
  <si>
    <t>SOM30181</t>
  </si>
  <si>
    <t>\\MCA-S\mk\2_BM\0_BMat\08_PYM\Inventario\excel\Imagen de refacciones\Schwing\Guide Bushing _ Casquillo Guía</t>
  </si>
  <si>
    <t>2174</t>
  </si>
  <si>
    <t>\\MCA-S\mk\2_BM\0_BMat\08_PYM\Inventario\excel\Imagen de refacciones\Schwing\Guide Bushing _ Casquillo Guía (1)</t>
  </si>
  <si>
    <t>SOM30185</t>
  </si>
  <si>
    <t>\\MCA-S\mk\2_BM\0_BMat\08_PYM\Inventario\excel\Imagen de refacciones\Schwing\Guide Bushing 1200-2023 _ Casquillo Guía 1200-2023</t>
  </si>
  <si>
    <t>\\MCA-S\mk\2_BM\0_BMat\08_PYM\Inventario\excel\Imagen de refacciones\Schwing\Guide Bushing 2023 120_80 _ Casquillo Guía 2023 120_80</t>
  </si>
  <si>
    <t>2177</t>
  </si>
  <si>
    <t>\\MCA-S\mk\2_BM\0_BMat\08_PYM\Inventario\excel\Imagen de refacciones\Schwing\Hexagon Head Bolt DIN 931 _ Perno de Cabeza Hexagonal DIN 931</t>
  </si>
  <si>
    <t>Hexagon Head Bolt DIN 931 / Perno de Cabeza Hexagonal DIN 931</t>
  </si>
  <si>
    <t>SOM30033</t>
  </si>
  <si>
    <t>\\MCA-S\mk\2_BM\0_BMat\08_PYM\Inventario\excel\Imagen de refacciones\Schwing\Hinge _ Bisagra</t>
  </si>
  <si>
    <t>Hinge / Bisagra</t>
  </si>
  <si>
    <t>SOM30252</t>
  </si>
  <si>
    <t>2179</t>
  </si>
  <si>
    <t>\\MCA-S\mk\2_BM\0_BMat\08_PYM\Inventario\excel\Imagen de refacciones\Schwing\Hollow Shaft _ Eje Hueco</t>
  </si>
  <si>
    <t>Hollow Shaft / Eje Hueco</t>
  </si>
  <si>
    <t>SOM30223</t>
  </si>
  <si>
    <t xml:space="preserve">GEARSHIFT FORK </t>
  </si>
  <si>
    <t>\\MCA-S\mk\2_BM\0_BMat\08_PYM\Inventario\excel\Imagen de refacciones\Schwing\Horquilla para pistón de Cambio de V-rock</t>
  </si>
  <si>
    <t>\\MCA-S\mk\2_BM\0_BMat\08_PYM\Inventario\excel\Imagen de refacciones\Schwing\Housing Ling DN135 Outlet Side _ Alojamiento Ling DN135 Lado de Salida</t>
  </si>
  <si>
    <t>2185</t>
  </si>
  <si>
    <t>HULE RIÑON DN180 PARA BOMBA DE HORMIGON</t>
  </si>
  <si>
    <t>\\MCA-S\mk\2_BM\0_BMat\08_PYM\Inventario\excel\Imagen de refacciones\Schwing\Hydraulic Piston _ Pistón Hidráulico</t>
  </si>
  <si>
    <t>2188</t>
  </si>
  <si>
    <t>\\MCA-S\mk\2_BM\0_BMat\08_PYM\Inventario\excel\Imagen de refacciones\Schwing\Hydraulic Piston 120_80 _ Pistón Hidráulico 120_80</t>
  </si>
  <si>
    <t>Hydraulic Piston 120/80 / Pistón Hidráulico 120/80</t>
  </si>
  <si>
    <t>SOM30127</t>
  </si>
  <si>
    <t>2189</t>
  </si>
  <si>
    <t>\\MCA-S\mk\2_BM\0_BMat\08_PYM\Inventario\excel\Imagen de refacciones\Schwing\Hydraulic Piston 125_80 _ Pistón Hidráulico 125_80</t>
  </si>
  <si>
    <t>Hydraulic Piston 125/80 / Pistón Hidráulico 125/80</t>
  </si>
  <si>
    <t>SOM30128</t>
  </si>
  <si>
    <t>\\MCA-S\mk\2_BM\0_BMat\08_PYM\Inventario\excel\Imagen de refacciones\Schwing\Hydraulic Piston 130_80 _ Pistón Hidráulico 130_80</t>
  </si>
  <si>
    <t>\\MCA-S\mk\2_BM\0_BMat\08_PYM\Inventario\excel\Imagen de refacciones\Schwing\Hydraulic Pump A7VO107LH _ Bomba Hidráulica A7VO107LH</t>
  </si>
  <si>
    <t>\\MCA-S\mk\2_BM\0_BMat\08_PYM\Inventario\excel\Imagen de refacciones\Schwing\Hydraulic Pump A7VO80RLH1_63LH _ Bomba Hidráulica A7VO80RLH1_63LH</t>
  </si>
  <si>
    <t>\\MCA-S\mk\2_BM\0_BMat\08_PYM\Inventario\excel\Imagen de refacciones\Schwing\Kit de reparación_ 6 rodillos, 2 retenes y 1 o-ring</t>
  </si>
  <si>
    <t>\\MCA-S\mk\2_BM\0_BMat\08_PYM\Inventario\excel\Imagen de refacciones\Schwing\Llave de paso 1_4_ BSP</t>
  </si>
  <si>
    <t>\\MCA-S\mk\2_BM\0_BMat\08_PYM\Inventario\excel\Imagen de refacciones\Schwing\Locking Cap DN 250 _ Tapa de Bloqueo DN 250</t>
  </si>
  <si>
    <t>2198</t>
  </si>
  <si>
    <t>\\MCA-S\mk\2_BM\0_BMat\08_PYM\Inventario\excel\Imagen de refacciones\Schwing\OEM Hydraulic Motor _ Motor Hidráulico OEM</t>
  </si>
  <si>
    <t>OEM Hydraulic Motor / Motor Hidráulico OEM</t>
  </si>
  <si>
    <t>SOM30161</t>
  </si>
  <si>
    <t>2199</t>
  </si>
  <si>
    <t>\\MCA-S\mk\2_BM\0_BMat\08_PYM\Inventario\excel\Imagen de refacciones\Schwing\O-Ring 200X10 _ Junta Tórica 200X10</t>
  </si>
  <si>
    <t>O-Ring 200X10 / Junta Tórica 200X10</t>
  </si>
  <si>
    <t>SOM30253</t>
  </si>
  <si>
    <t>\\MCA-S\mk\2_BM\0_BMat\08_PYM\Inventario\excel\Imagen de refacciones\Schwing\Piston Bolt _ Perno de Pistón</t>
  </si>
  <si>
    <t>\\MCA-S\mk\2_BM\0_BMat\08_PYM\Inventario\excel\Imagen de refacciones\Schwing\Piston Bushing _ Casquillo de Pistón</t>
  </si>
  <si>
    <t>\\MCA-S\mk\2_BM\0_BMat\08_PYM\Inventario\excel\Imagen de refacciones\Schwing\Piston Connection _ Conexión de Pistón</t>
  </si>
  <si>
    <t>Piston Connection / Conexión de Pistón</t>
  </si>
  <si>
    <t>SOM30201</t>
  </si>
  <si>
    <t>2206</t>
  </si>
  <si>
    <t>75045880534</t>
  </si>
  <si>
    <t>\\MCA-S\mk\2_BM\0_BMat\08_PYM\Inventario\excel\Imagen de refacciones\Schwing\Pistón D125 para vástago de bombeo</t>
  </si>
  <si>
    <t>Pistón D125 para vástago de bombeo</t>
  </si>
  <si>
    <t>\\MCA-S\mk\2_BM\0_BMat\08_PYM\Inventario\excel\Imagen de refacciones\Schwing\Piston Disc _ Disco de Pistón</t>
  </si>
  <si>
    <t>\\MCA-S\mk\2_BM\0_BMat\08_PYM\Inventario\excel\Imagen de refacciones\Schwing\Piston Ram DN 180 New Type _ Ariete de Pistón DN 180 Nuevo Tipo</t>
  </si>
  <si>
    <t>\\MCA-S\mk\2_BM\0_BMat\08_PYM\Inventario\excel\Imagen de refacciones\Schwing\Piston Ram DN 200 _ Ariete de Pistón DN 200</t>
  </si>
  <si>
    <t>2211</t>
  </si>
  <si>
    <t>\\MCA-S\mk\2_BM\0_BMat\08_PYM\Inventario\excel\Imagen de refacciones\Schwing\Piston Ram DN 230 _ Ariete de Pistón DN 230</t>
  </si>
  <si>
    <t>Piston Ram DN 230 / Ariete de Pistón DN 230</t>
  </si>
  <si>
    <t>SOM30107</t>
  </si>
  <si>
    <t>10043827 / 10161034</t>
  </si>
  <si>
    <t>2212</t>
  </si>
  <si>
    <t>\\MCA-S\mk\2_BM\0_BMat\08_PYM\Inventario\excel\Imagen de refacciones\Schwing\Piston Ram DN 250 _ Ariete de Pistón DN 250</t>
  </si>
  <si>
    <t>Piston Ram DN 250 / Ariete de Pistón DN 250</t>
  </si>
  <si>
    <t>SOM30109</t>
  </si>
  <si>
    <t>\\MCA-S\mk\2_BM\0_BMat\08_PYM\Inventario\excel\Imagen de refacciones\Schwing\Piston Ring _ Anillo de Pistón</t>
  </si>
  <si>
    <t>\\MCA-S\mk\2_BM\0_BMat\08_PYM\Inventario\excel\Imagen de refacciones\Schwing\Piston Ring 1203 _ Anillo de Pistón 1203</t>
  </si>
  <si>
    <t>2215</t>
  </si>
  <si>
    <t>\\MCA-S\mk\2_BM\0_BMat\08_PYM\Inventario\excel\Imagen de refacciones\Schwing\Piston Rod _ Vástago de Pistón</t>
  </si>
  <si>
    <t>Piston Rod / Vástago de Pistón</t>
  </si>
  <si>
    <t>SOM30072</t>
  </si>
  <si>
    <t>10017556 / 10161754</t>
  </si>
  <si>
    <t>2216</t>
  </si>
  <si>
    <t>\\MCA-S\mk\2_BM\0_BMat\08_PYM\Inventario\excel\Imagen de refacciones\Schwing\Piston Rod 1200-2020-23 80 _ Vástago de Pistón 1200-2020-23 80</t>
  </si>
  <si>
    <t>PISTON ROD iston Rod 1200-2020-23 80</t>
  </si>
  <si>
    <t xml:space="preserve"> / Vástago de Pistón 1200-2020-23 80</t>
  </si>
  <si>
    <t>\\MCA-S\mk\2_BM\0_BMat\08_PYM\Inventario\excel\Imagen de refacciones\Schwing\Piston Rod 2525 85x2792 _ Vástago de Pistón 2525 85x2792</t>
  </si>
  <si>
    <t>\\MCA-S\mk\2_BM\0_BMat\08_PYM\Inventario\excel\Imagen de refacciones\Schwing\Piston Rod 75x2292_16-50 _ Vástago de Pistón 75x2292_16-50</t>
  </si>
  <si>
    <t>2219</t>
  </si>
  <si>
    <t>\\MCA-S\mk\2_BM\0_BMat\08_PYM\Inventario\excel\Imagen de refacciones\Schwing\Piston Rod 80x1892_16-50 _ Vástago de Pistón 80x1892_16-50</t>
  </si>
  <si>
    <t>SOM30121</t>
  </si>
  <si>
    <t>10013157</t>
  </si>
  <si>
    <t>\\MCA-S\mk\2_BM\0_BMat\08_PYM\Inventario\excel\Imagen de refacciones\Schwing\Plunger Housing _ Alojamiento del Émbolo</t>
  </si>
  <si>
    <t>\\MCA-S\mk\2_BM\0_BMat\08_PYM\Inventario\excel\Imagen de refacciones\Schwing\Plunger Housing _ Alojamiento del Émbolo (1)</t>
  </si>
  <si>
    <t>\\MCA-S\mk\2_BM\0_BMat\08_PYM\Inventario\excel\Imagen de refacciones\Schwing\Porta Antifaz</t>
  </si>
  <si>
    <t>\\MCA-S\mk\2_BM\0_BMat\08_PYM\Inventario\excel\Imagen de refacciones\Schwing\Pressure Spring DN 220 _ Resorte de Presión DN 220</t>
  </si>
  <si>
    <t>Pressure Spring DN 220 / Resorte de Presión DN 220</t>
  </si>
  <si>
    <t>SOM30014</t>
  </si>
  <si>
    <t>\\MCA-S\mk\2_BM\0_BMat\08_PYM\Inventario\excel\Imagen de refacciones\Schwing\Pressure Spring DN 230 _ Resorte de Presión DN 230</t>
  </si>
  <si>
    <t>Pressure Spring DN 230 / Resorte de Presión DN 230</t>
  </si>
  <si>
    <t>SOM30015</t>
  </si>
  <si>
    <t>\\MCA-S\mk\2_BM\0_BMat\08_PYM\Inventario\excel\Imagen de refacciones\Schwing\Protecting Tube _ Tubo Protector</t>
  </si>
  <si>
    <t>Protecting Tube / Tubo Protector</t>
  </si>
  <si>
    <t>SOM30067</t>
  </si>
  <si>
    <t>\\MCA-S\mk\2_BM\0_BMat\08_PYM\Inventario\excel\Imagen de refacciones\Schwing\Reduction Piece DN250_220 _ Pieza de Reducción DN250_220</t>
  </si>
  <si>
    <t>\\MCA-S\mk\2_BM\0_BMat\08_PYM\Inventario\excel\Imagen de refacciones\Schwing\Repair Kit for Hyproo Water Pump _ Kit de Reparación para Bomba de Agua Hyproo</t>
  </si>
  <si>
    <t>\\MCA-S\mk\2_BM\0_BMat\08_PYM\Inventario\excel\Imagen de refacciones\Schwing\Resorte de presión Dn 166</t>
  </si>
  <si>
    <t>\\MCA-S\mk\2_BM\0_BMat\08_PYM\Inventario\excel\Imagen de refacciones\Schwing\Resortera</t>
  </si>
  <si>
    <t>\\MCA-S\mk\2_BM\0_BMat\08_PYM\Inventario\excel\Imagen de refacciones\Schwing\Rock DN 210_180 - Extrta Welded _ Rock DN 210_180 - Extra Soldado</t>
  </si>
  <si>
    <t>\\MCA-S\mk\2_BM\0_BMat\08_PYM\Inventario\excel\Imagen de refacciones\Schwing\Rock DN 220_180 - Extrta Welded _ Rock DN 220_180 - Extra Soldado</t>
  </si>
  <si>
    <t>Rock DN 220/180 - Extrta Welded / Rock DN 220/180 - Extra Soldado</t>
  </si>
  <si>
    <t>\\MCA-S\mk\2_BM\0_BMat\08_PYM\Inventario\excel\Imagen de refacciones\Schwing\Rock Paddle _ Paleta de Roca</t>
  </si>
  <si>
    <t>\\MCA-S\mk\2_BM\0_BMat\08_PYM\Inventario\excel\Imagen de refacciones\Schwing\Rock Paddle _ Paleta de Roca (1)</t>
  </si>
  <si>
    <t>SOM30160</t>
  </si>
  <si>
    <t>2237</t>
  </si>
  <si>
    <t>\\MCA-S\mk\2_BM\0_BMat\08_PYM\Inventario\excel\Imagen de refacciones\Schwing\Rod Eye _ Ojo de Varilla</t>
  </si>
  <si>
    <t>Rod Eye / Ojo de Varilla</t>
  </si>
  <si>
    <t>SOM30073</t>
  </si>
  <si>
    <t>\\MCA-S\mk\2_BM\0_BMat\08_PYM\Inventario\excel\Imagen de refacciones\Schwing\Roller Water Pump _ Bomba de Agua de Rodillos</t>
  </si>
  <si>
    <t>\\MCA-S\mk\2_BM\0_BMat\08_PYM\Inventario\excel\Imagen de refacciones\Schwing\Round Steel Stirrup _ Estribo de Acero Redondo</t>
  </si>
  <si>
    <t>2240</t>
  </si>
  <si>
    <t>\\MCA-S\mk\2_BM\0_BMat\08_PYM\Inventario\excel\Imagen de refacciones\Schwing\Screw Type Coupling 5,5_ _ Acoplamiento Tipo Tornillo 5,5_</t>
  </si>
  <si>
    <t>Screw Type Coupling 5,5" / Acoplamiento Tipo Tornillo 5,5"</t>
  </si>
  <si>
    <t>SOM30279</t>
  </si>
  <si>
    <t>\\MCA-S\mk\2_BM\0_BMat\08_PYM\Inventario\excel\Imagen de refacciones\Schwing\Seal 6_ _ Sello de 6_</t>
  </si>
  <si>
    <t>\\MCA-S\mk\2_BM\0_BMat\08_PYM\Inventario\excel\Imagen de refacciones\Schwing\Seal Kidney DN 150 _ Sello Riñón DN 150</t>
  </si>
  <si>
    <t>2243</t>
  </si>
  <si>
    <t>\\MCA-S\mk\2_BM\0_BMat\08_PYM\Inventario\excel\Imagen de refacciones\Schwing\Seal Kidney DN 180 _ Sello Riñón DN 180</t>
  </si>
  <si>
    <t>Seal Kidney DN 180 / Sello Riñón DN 180</t>
  </si>
  <si>
    <t>SOM30041</t>
  </si>
  <si>
    <t>\\MCA-S\mk\2_BM\0_BMat\08_PYM\Inventario\excel\Imagen de refacciones\Schwing\Seal Set for Slewing Cylinder _ Juego de Sellos para Cilindro de Giro</t>
  </si>
  <si>
    <t>\\MCA-S\mk\2_BM\0_BMat\08_PYM\Inventario\excel\Imagen de refacciones\Schwing\Sealing 5,5_ _ Sellado 5,5_</t>
  </si>
  <si>
    <t>2246</t>
  </si>
  <si>
    <t>\\MCA-S\mk\2_BM\0_BMat\08_PYM\Inventario\excel\Imagen de refacciones\Schwing\Sealing Cone _ Cono de Sellado</t>
  </si>
  <si>
    <t>SOM30167</t>
  </si>
  <si>
    <t>\\MCA-S\mk\2_BM\0_BMat\08_PYM\Inventario\excel\Imagen de refacciones\Schwing\Sealing Cone _ Cono de Sellado (1)</t>
  </si>
  <si>
    <t>2248</t>
  </si>
  <si>
    <t>\\MCA-S\mk\2_BM\0_BMat\08_PYM\Inventario\excel\Imagen de refacciones\Schwing\Sealing Cover _ Tapa de Sellado</t>
  </si>
  <si>
    <t>SOM30018</t>
  </si>
  <si>
    <t>\\MCA-S\mk\2_BM\0_BMat\08_PYM\Inventario\excel\Imagen de refacciones\Schwing\Sealing Ring _ Anillo de Sellado</t>
  </si>
  <si>
    <t>\\MCA-S\mk\2_BM\0_BMat\08_PYM\Inventario\excel\Imagen de refacciones\Schwing\Seal-Ring DN 180 _ Anillo de Sello DN 180</t>
  </si>
  <si>
    <t>Seal-Ring DN 180 / Anillo de Sello DN 180</t>
  </si>
  <si>
    <t>2251</t>
  </si>
  <si>
    <t>\\MCA-S\mk\2_BM\0_BMat\08_PYM\Inventario\excel\Imagen de refacciones\Schwing\Seal-Ring DN 250 _ Anillo de Sello DN 250</t>
  </si>
  <si>
    <t>Seal-Ring DN 250 / Anillo de Sello DN 250</t>
  </si>
  <si>
    <t>SOM30048</t>
  </si>
  <si>
    <t>2252</t>
  </si>
  <si>
    <t>SELLO DE MOTOR 470 PARA BOMBA DE HORMIGON</t>
  </si>
  <si>
    <t>2254</t>
  </si>
  <si>
    <t>75045880352</t>
  </si>
  <si>
    <t>\\MCA-S\mk\2_BM\0_BMat\08_PYM\Inventario\excel\Imagen de refacciones\Schwing\set de sellos para cilindro de giro medida 80_100x8</t>
  </si>
  <si>
    <t>set de sellos para cilindro de giro medida 80/100x8</t>
  </si>
  <si>
    <t>\\MCA-S\mk\2_BM\0_BMat\08_PYM\Inventario\excel\Imagen de refacciones\Schwing\Setting Disc _ Disco de Ajuste</t>
  </si>
  <si>
    <t>2256</t>
  </si>
  <si>
    <t>\\MCA-S\mk\2_BM\0_BMat\08_PYM\Inventario\excel\Imagen de refacciones\Schwing\Sheel 180_55_25 _ Lámina 180_55_25</t>
  </si>
  <si>
    <t>Sheel 180/55/25 / Lámina 180/55/25</t>
  </si>
  <si>
    <t>SOM30183</t>
  </si>
  <si>
    <t>\\MCA-S\mk\2_BM\0_BMat\08_PYM\Inventario\excel\Imagen de refacciones\Schwing\Sheel DN 210 _ Lámina DN 210</t>
  </si>
  <si>
    <t>\\MCA-S\mk\2_BM\0_BMat\08_PYM\Inventario\excel\Imagen de refacciones\Schwing\Slewing Cylinder _ Cilindro de Giro</t>
  </si>
  <si>
    <t>\\MCA-S\mk\2_BM\0_BMat\08_PYM\Inventario\excel\Imagen de refacciones\Schwing\Slewing Cylinder _ Cilindro de Giro (1)</t>
  </si>
  <si>
    <t>SOM30061</t>
  </si>
  <si>
    <t>\\MCA-S\mk\2_BM\0_BMat\08_PYM\Inventario\excel\Imagen de refacciones\Schwing\Slewing Lever DN 210_180 _ Palanca de Giro DN 210_180</t>
  </si>
  <si>
    <t>2261</t>
  </si>
  <si>
    <t>\\MCA-S\mk\2_BM\0_BMat\08_PYM\Inventario\excel\Imagen de refacciones\Schwing\Slewing Pivot _ Pivote de Giro</t>
  </si>
  <si>
    <t>Slewing Pivot / Pivote de Giro</t>
  </si>
  <si>
    <t>SOM30063</t>
  </si>
  <si>
    <t>\\MCA-S\mk\2_BM\0_BMat\08_PYM\Inventario\excel\Imagen de refacciones\Schwing\Slewing Pivot _ Pivote de Giro (1)</t>
  </si>
  <si>
    <t>SOM30064</t>
  </si>
  <si>
    <t>\\MCA-S\mk\2_BM\0_BMat\08_PYM\Inventario\excel\Imagen de refacciones\Schwing\Slewing Shaft _ Eje de Giro</t>
  </si>
  <si>
    <t>2264</t>
  </si>
  <si>
    <t>\\MCA-S\mk\2_BM\0_BMat\08_PYM\Inventario\excel\Imagen de refacciones\Schwing\Slewing Shaft _ Eje de Giro (1)</t>
  </si>
  <si>
    <t>SOM30039</t>
  </si>
  <si>
    <t>2265</t>
  </si>
  <si>
    <t>\\MCA-S\mk\2_BM\0_BMat\08_PYM\Inventario\excel\Imagen de refacciones\Schwing\Soporte p_parrilla del agitador</t>
  </si>
  <si>
    <t>Soporte p/parrilla del agitador</t>
  </si>
  <si>
    <t>\\MCA-S\mk\2_BM\0_BMat\08_PYM\Inventario\excel\Imagen de refacciones\Schwing\Spacing Ring _ Anillo Espaciador</t>
  </si>
  <si>
    <t>2269</t>
  </si>
  <si>
    <t>\\MCA-S\mk\2_BM\0_BMat\08_PYM\Inventario\excel\Imagen de refacciones\Schwing\Support _ Soporte</t>
  </si>
  <si>
    <t>ROD-BUSHING/BEARING</t>
  </si>
  <si>
    <t>BUJE MECANIZADO CON BASE/BASE LADO FIJO</t>
  </si>
  <si>
    <t>2271</t>
  </si>
  <si>
    <t>\\MCA-S\mk\2_BM\0_BMat\08_PYM\Inventario\excel\Imagen de refacciones\Schwing\Support Bushing _ Casquillo de Soporte</t>
  </si>
  <si>
    <t>SOM30024</t>
  </si>
  <si>
    <t>\\MCA-S\mk\2_BM\0_BMat\08_PYM\Inventario\excel\Imagen de refacciones\Schwing\Support Bushing _ Casquillo de Soporte (1)</t>
  </si>
  <si>
    <t>2273</t>
  </si>
  <si>
    <t>\\MCA-S\mk\2_BM\0_BMat\08_PYM\Inventario\excel\Imagen de refacciones\Schwing\Supporting Cover _ Cubierta de Soporte</t>
  </si>
  <si>
    <t>Supporting Cover / Cubierta de Soporte</t>
  </si>
  <si>
    <t>2275</t>
  </si>
  <si>
    <t>\\MCA-S\mk\2_BM\0_BMat\08_PYM\Inventario\excel\Imagen de refacciones\Schwing\Tapa de agitador (Lado fijo)</t>
  </si>
  <si>
    <t>TAPA DE AGITADOR LADO FIJO PARA BOMBA DE HORMIGON</t>
  </si>
  <si>
    <t>2278</t>
  </si>
  <si>
    <t>\\MCA-S\mk\2_BM\0_BMat\08_PYM\Inventario\excel\Imagen de refacciones\Schwing\Tapered Bend DN 180_150 90 Degrees _ Codo Cónico DN 180_150 90 Grados</t>
  </si>
  <si>
    <t>Tapered Bend DN 180/150 90 Degrees / Codo Cónico DN 180/150 90 Grados</t>
  </si>
  <si>
    <t>SOM30240</t>
  </si>
  <si>
    <t>\\MCA-S\mk\2_BM\0_BMat\08_PYM\Inventario\excel\Imagen de refacciones\Schwing\Tapered Pipe DN 150-125 1600 MM _ Tubería Cónica DN 150-125 1600 MM</t>
  </si>
  <si>
    <t>Tapered Pipe DN 150-125 1600 MM / Tubería Cónica DN 150-125 1600 MM</t>
  </si>
  <si>
    <t>\\MCA-S\mk\2_BM\0_BMat\08_PYM\Inventario\excel\Imagen de refacciones\Schwing\Tapered Tube DN 150-125 3000 MM _ Tubo Cónico DN 150-125 3000 MM</t>
  </si>
  <si>
    <t>\\MCA-S\mk\2_BM\0_BMat\08_PYM\Inventario\excel\Imagen de refacciones\Schwing\Tapered Tube DN 180-150 1500MM _ Tubo Cónico DN 180-150 1500MM</t>
  </si>
  <si>
    <t>2282</t>
  </si>
  <si>
    <t>\\MCA-S\mk\2_BM\0_BMat\08_PYM\Inventario\excel\Imagen de refacciones\Schwing\Tension Nut _ Tuerca de Tensión</t>
  </si>
  <si>
    <t>Tension Nut / Tuerca de Tensión</t>
  </si>
  <si>
    <t>SOM30031</t>
  </si>
  <si>
    <t>\\MCA-S\mk\2_BM\0_BMat\08_PYM\Inventario\excel\Imagen de refacciones\Schwing\Tension Nut New _ Tuerca de Tensión Nueva</t>
  </si>
  <si>
    <t>Tension Nut New / Tuerca de Tensión Nueva</t>
  </si>
  <si>
    <t>\\MCA-S\mk\2_BM\0_BMat\08_PYM\Inventario\excel\Imagen de refacciones\Schwing\Tension Ring _ Anillo de Tensión</t>
  </si>
  <si>
    <t>SOM30071</t>
  </si>
  <si>
    <t>\\MCA-S\mk\2_BM\0_BMat\08_PYM\Inventario\excel\Imagen de refacciones\Schwing\Tension Ring _ Anillo de Tensión (1)</t>
  </si>
  <si>
    <t>\\MCA-S\mk\2_BM\0_BMat\08_PYM\Inventario\excel\Imagen de refacciones\Schwing\Tension Ring 120_85 _ Anillo de Tensión 120_85</t>
  </si>
  <si>
    <t>\\MCA-S\mk\2_BM\0_BMat\08_PYM\Inventario\excel\Imagen de refacciones\Schwing\Tension Ring 1200-2023 _ Anillo de Tensión 1200-2023</t>
  </si>
  <si>
    <t>\\MCA-S\mk\2_BM\0_BMat\08_PYM\Inventario\excel\Imagen de refacciones\Schwing\Tension Ring 2525 120_85 _ Anillo de Tensión 2525 120_85</t>
  </si>
  <si>
    <t>\\MCA-S\mk\2_BM\0_BMat\08_PYM\Inventario\excel\Imagen de refacciones\Schwing\Torque Support _ Soporte de Par</t>
  </si>
  <si>
    <t>Torque Support / Soporte de Par</t>
  </si>
  <si>
    <t>SOM30162</t>
  </si>
  <si>
    <t>2290</t>
  </si>
  <si>
    <t>\\MCA-S\mk\2_BM\0_BMat\08_PYM\Inventario\excel\Imagen de refacciones\Schwing\Transition Piece with Collar DN200_200 _ Pieza de Transición con Collar DN200_200</t>
  </si>
  <si>
    <t>Transition Piece with Collar DN200/200 / Pieza de Transición con Collar DN200/200</t>
  </si>
  <si>
    <t>SOM30021</t>
  </si>
  <si>
    <t>2291</t>
  </si>
  <si>
    <t>\\MCA-S\mk\2_BM\0_BMat\08_PYM\Inventario\excel\Imagen de refacciones\Schwing\Transition Piece with Collar DN230_210 _ Pieza de Transición con Collar DN230_210</t>
  </si>
  <si>
    <t>Transition Piece with Collar DN230/210 / Pieza de Transición con Collar DN230/210</t>
  </si>
  <si>
    <t>SOM30020</t>
  </si>
  <si>
    <t>2292</t>
  </si>
  <si>
    <t>\\MCA-S\mk\2_BM\0_BMat\08_PYM\Inventario\excel\Imagen de refacciones\Schwing\Tube Support _ Soporte de Tubo</t>
  </si>
  <si>
    <t>Tube Support / Soporte de Tubo</t>
  </si>
  <si>
    <t>SOM30283</t>
  </si>
  <si>
    <t>\\MCA-S\mk\2_BM\0_BMat\08_PYM\Inventario\excel\Imagen de refacciones\Schwing\Tuerca de tensión</t>
  </si>
  <si>
    <t>\\MCA-S\mk\2_BM\0_BMat\08_PYM\Inventario\excel\Imagen de refacciones\Schwing\Válvula de retención 320 bar para brazo</t>
  </si>
  <si>
    <t xml:space="preserve">VÁLVULA PARA AJUSTE DE PRESION FDR SDP </t>
  </si>
  <si>
    <t>2296</t>
  </si>
  <si>
    <t>75045880484</t>
  </si>
  <si>
    <t>VÁLVULA PARA EMBRAGUE ENQUINTAR 4/2 VIAS</t>
  </si>
  <si>
    <t>\\MCA-S\mk\2_BM\0_BMat\08_PYM\Inventario\excel\Imagen de refacciones\Schwing\Válvula solenoide de 12V para bloque de control</t>
  </si>
  <si>
    <t>\\MCA-S\mk\2_BM\0_BMat\08_PYM\Inventario\excel\Imagen de refacciones\Schwing\Vibrador de 12V para parrilla de bomba</t>
  </si>
  <si>
    <t>\\MCA-S\mk\2_BM\0_BMat\08_PYM\Inventario\excel\Imagen de refacciones\Schwing\Wearing Insert DN 180 _ Inserto de Desgaste DN 180</t>
  </si>
  <si>
    <t>\\MCA-S\mk\2_BM\0_BMat\08_PYM\Inventario\excel\Imagen de refacciones\Schwing\Wearing Insert DN 200 _ Inserto de Desgaste DN 200</t>
  </si>
  <si>
    <t>\\MCA-S\mk\2_BM\0_BMat\08_PYM\Inventario\excel\Imagen de refacciones\Schwing\Wearing Insert DN 230 _ Inserto de Desgaste DN 230</t>
  </si>
  <si>
    <t>\\MCA-S\mk\2_BM\0_BMat\08_PYM\Inventario\excel\Imagen de refacciones\Schwing\Wearing Insert DN 250 _ Inserto de Desgaste DN 250</t>
  </si>
  <si>
    <t>2304</t>
  </si>
  <si>
    <t>\\MCA-S\mk\2_BM\0_BMat\08_PYM\Inventario\excel\Imagen de refacciones\Sistemas de tubería\Brazadera metrica dn1807_</t>
  </si>
  <si>
    <t>\\MCA-S\mk\2_BM\0_BMat\08_PYM\Inventario\excel\Imagen de refacciones\Sistemas de tubería\Caja de lechada con 50 sobres - rinde 50 servicios</t>
  </si>
  <si>
    <t>\\MCA-S\mk\2_BM\0_BMat\08_PYM\Inventario\excel\Imagen de refacciones\Sistemas de tubería\Reductor de 3_ x 2.5_ x 28_ HD</t>
  </si>
  <si>
    <t>\\MCA-S\mk\2_BM\0_BMat\08_PYM\Inventario\excel\Imagen de refacciones\Sistemas de tubería\Reductor de 3_ x 2_ HD x 36_ HD</t>
  </si>
  <si>
    <t>\\MCA-S\mk\2_BM\0_BMat\08_PYM\Inventario\excel\Imagen de refacciones\Sistemas de tubería\Reductor de 3_ x 2_ x 28_ HD</t>
  </si>
  <si>
    <t>2325</t>
  </si>
  <si>
    <t>2326</t>
  </si>
  <si>
    <t>\\MCA-S\mk\2_BM\0_BMat\08_PYM\Inventario\excel\Imagen de refacciones\Sistemas de tubería\Reductor de 4_ x 3_ x 36_ HD</t>
  </si>
  <si>
    <t>Reductor de 4" x 3" x 36" HD</t>
  </si>
  <si>
    <t>PNEUMATIC ACTUATOR FOR BUTTERFLY VALVE</t>
  </si>
  <si>
    <t>\\MCA-S\mk\2_BM\0_BMat\08_PYM\Inventario\excel\Imagen de refacciones\Wam\Aerador para silo de cemento</t>
  </si>
  <si>
    <t>\\MCA-S\mk\2_BM\0_BMat\08_PYM\Inventario\excel\Imagen de refacciones\Wam\Base para celdas de carga rucelake</t>
  </si>
  <si>
    <t>Base para celdas de carga rucelake</t>
  </si>
  <si>
    <t>\\MCA-S\mk\2_BM\0_BMat\08_PYM\Inventario\excel\Imagen de refacciones\Wam\Celda de carga 15T</t>
  </si>
  <si>
    <t>Celda de carga 15T</t>
  </si>
  <si>
    <t>21446</t>
  </si>
  <si>
    <t>\\MCA-S\mk\2_BM\0_BMat\08_PYM\Inventario\excel\Imagen de refacciones\Wam\Celda de carga 3K s-bean</t>
  </si>
  <si>
    <t>Celda de carga 3K s-bean</t>
  </si>
  <si>
    <t>\\MCA-S\mk\2_BM\0_BMat\08_PYM\Inventario\excel\Imagen de refacciones\Wam\Celda de carga RL20000 SK 5-Bean</t>
  </si>
  <si>
    <t>Celda de carga RL20000 SK 5-Bean</t>
  </si>
  <si>
    <t>\\MCA-S\mk\2_BM\0_BMat\08_PYM\Inventario\excel\Imagen de refacciones\Wam\Celda de carga RL20001-10T-10K S-Beam</t>
  </si>
  <si>
    <t>Celda de carga RL20001-10T-10K S-Beam</t>
  </si>
  <si>
    <t>\\MCA-S\mk\2_BM\0_BMat\08_PYM\Inventario\excel\Imagen de refacciones\Wam\Celda de carga SBM RL20001-T10-20 20,000 lb</t>
  </si>
  <si>
    <t>Celda de carga SBM RL20001-T10-20 20,000 lb</t>
  </si>
  <si>
    <t>\\MCA-S\mk\2_BM\0_BMat\08_PYM\Inventario\excel\Imagen de refacciones\Wam\Celda de poder styperice like</t>
  </si>
  <si>
    <t>Celda de poder styperice like</t>
  </si>
  <si>
    <t>\\MCA-S\mk\2_BM\0_BMat\08_PYM\Inventario\excel\Imagen de refacciones\Wam\Cilindro naumatico de 4x10 para silo de cemento</t>
  </si>
  <si>
    <t>Cilindro naumatico de 4x10 para silo de cemento</t>
  </si>
  <si>
    <t>2339</t>
  </si>
  <si>
    <t>75045880416</t>
  </si>
  <si>
    <t>\\MCA-S\mk\2_BM\0_BMat\08_PYM\Inventario\excel\Imagen de refacciones\Wam\Cilindro neumatico de 4x10 para silo de cemento</t>
  </si>
  <si>
    <t>Cilindro neumatico de 4x10 para silo de cemento</t>
  </si>
  <si>
    <t>\\MCA-S\mk\2_BM\0_BMat\08_PYM\Inventario\excel\Imagen de refacciones\Wam\Colector de polvo de silo WAM</t>
  </si>
  <si>
    <t>Colector de polvo de silo WAM</t>
  </si>
  <si>
    <t>PDC50R02</t>
  </si>
  <si>
    <t>\\MCA-S\mk\2_BM\0_BMat\08_PYM\Inventario\excel\Imagen de refacciones\Wam\Electroválvula</t>
  </si>
  <si>
    <t>\\MCA-S\mk\2_BM\0_BMat\08_PYM\Inventario\excel\Imagen de refacciones\Wam\Horquilla de cilindro automático - avanzado</t>
  </si>
  <si>
    <t>\\MCA-S\mk\2_BM\0_BMat\08_PYM\Inventario\excel\Imagen de refacciones\Wam\Set de 7 filtros polypleat rectangular para silo de cemento</t>
  </si>
  <si>
    <t>RELIEF VALVE 10"</t>
  </si>
  <si>
    <t>VALVULA DE ALIVIO 10"</t>
  </si>
  <si>
    <t>\\MCA-S\mk\2_BM\0_BMat\08_PYM\Inventario\excel\Imagen de refacciones\Wam\Válvula mariposa 12_ doble brida</t>
  </si>
  <si>
    <t>V2FS300GBB</t>
  </si>
  <si>
    <t>\\MCA-S\mk\2_BM\0_BMat\08_PYM\Inventario\excel\Imagen de refacciones\Wam\vibrador eléctrico tipo houston</t>
  </si>
  <si>
    <t>2350</t>
  </si>
  <si>
    <t>75045880410</t>
  </si>
  <si>
    <t>\\MCA-S\mk\2_BM\0_BMat\08_PYM\Inventario\excel\Imagen de refacciones\Wam\vibradores neumáticos</t>
  </si>
  <si>
    <t>VIBRADOR NEUMATICO - S8 DE 25000 VIB/MIN</t>
  </si>
  <si>
    <t>S16 DE 13,000 VIB/MIN</t>
  </si>
  <si>
    <t>2351</t>
  </si>
  <si>
    <t>VIBRADOR NEUMATICO S13 DE15000 VIB/MIN</t>
  </si>
  <si>
    <t>S13 DE 15,000 VIB/MIN</t>
  </si>
  <si>
    <t>\\MCA-S\mk\2_BM\0_BMat\08_PYM\Inventario\excel\Imagen de refacciones\Wam\Vibradores neumáticos tipo martillo</t>
  </si>
  <si>
    <t>Vibradores neumáticos tipo martillo</t>
  </si>
  <si>
    <t>SK31</t>
  </si>
  <si>
    <t>\\MCA-S\mk\2_BM\0_BMat\08_PYM\Inventario\excel\Imagen de refacciones\Wam\Viradores eléctricos 220V, 1Ph, 3000 RPM</t>
  </si>
  <si>
    <t>2354</t>
  </si>
  <si>
    <t>Anillo de desgaste DN200  - Schwing Wear Ring DN200</t>
  </si>
  <si>
    <t>2355</t>
  </si>
  <si>
    <t>Anillo de desgaste DN200 fundicion - Schwing Wear Ring DN200 Casting</t>
  </si>
  <si>
    <t>\\MCA-S\mk\2_BM\0_BMat\08_PYM\Inventario\excel\Imagen de refacciones\Ollas revolvedoras\Axiel Fan for Oil Cooler 10_ _ Ventilador Axial para Enfriador de Aceite 10_</t>
  </si>
  <si>
    <t>\\MCA-S\mk\2_BM\0_BMat\08_PYM\Inventario\excel\Imagen de refacciones\Ollas revolvedoras\Axiel Fan for Oil Cooler 11_ _ Ventilador Axial para Enfriador de Aceite 11_</t>
  </si>
  <si>
    <t>\\MCA-S\mk\2_BM\0_BMat\08_PYM\Inventario\excel\Imagen de refacciones\Ollas revolvedoras\Axiel Fan for Oil Cooler 12_ _ Ventilador Axial para Enfriador de Aceite 12_</t>
  </si>
  <si>
    <t>\\MCA-S\mk\2_BM\0_BMat\08_PYM\Inventario\excel\Imagen de refacciones\Ollas revolvedoras\Balance Ball _ Bola de Equilibrio</t>
  </si>
  <si>
    <t>\\MCA-S\mk\2_BM\0_BMat\08_PYM\Inventario\excel\Imagen de refacciones\Ollas revolvedoras\Bearing 6305 _ Rodamiento 6305</t>
  </si>
  <si>
    <t>\\MCA-S\mk\2_BM\0_BMat\08_PYM\Inventario\excel\Imagen de refacciones\Ollas revolvedoras\Cable 10 MT. _ Cable 10 MT.</t>
  </si>
  <si>
    <t>\\MCA-S\mk\2_BM\0_BMat\08_PYM\Inventario\excel\Imagen de refacciones\Ollas revolvedoras\Cable 10,5 MT. _ Cable 10,5 MT.</t>
  </si>
  <si>
    <t>\\MCA-S\mk\2_BM\0_BMat\08_PYM\Inventario\excel\Imagen de refacciones\Ollas revolvedoras\Cable 11 MT. _ Cable 11 MT.</t>
  </si>
  <si>
    <t>\\MCA-S\mk\2_BM\0_BMat\08_PYM\Inventario\excel\Imagen de refacciones\Ollas revolvedoras\Cable 11,5 MT. _ Cable 11,5 MT.</t>
  </si>
  <si>
    <t>\\MCA-S\mk\2_BM\0_BMat\08_PYM\Inventario\excel\Imagen de refacciones\Ollas revolvedoras\Cable 12 MT. _ Cable 12 MT.</t>
  </si>
  <si>
    <t>\\MCA-S\mk\2_BM\0_BMat\08_PYM\Inventario\excel\Imagen de refacciones\Ollas revolvedoras\Cable 4 MT. _ Cable 4 MT.</t>
  </si>
  <si>
    <t>\\MCA-S\mk\2_BM\0_BMat\08_PYM\Inventario\excel\Imagen de refacciones\Ollas revolvedoras\Cable 4,5 MT. _ Cable 4,5 MT.</t>
  </si>
  <si>
    <t>\\MCA-S\mk\2_BM\0_BMat\08_PYM\Inventario\excel\Imagen de refacciones\Ollas revolvedoras\Cable 5 MT. _ Cable 5 MT.</t>
  </si>
  <si>
    <t>\\MCA-S\mk\2_BM\0_BMat\08_PYM\Inventario\excel\Imagen de refacciones\Ollas revolvedoras\Cable 5,5 MT. _ Cable 5,5 MT.</t>
  </si>
  <si>
    <t>\\MCA-S\mk\2_BM\0_BMat\08_PYM\Inventario\excel\Imagen de refacciones\Ollas revolvedoras\Cable 6 MT. _ Cable 6 MT.</t>
  </si>
  <si>
    <t>\\MCA-S\mk\2_BM\0_BMat\08_PYM\Inventario\excel\Imagen de refacciones\Ollas revolvedoras\Cable 6,5 MT. _ Cable 6,5 MT.</t>
  </si>
  <si>
    <t>\\MCA-S\mk\2_BM\0_BMat\08_PYM\Inventario\excel\Imagen de refacciones\Ollas revolvedoras\Cable 7 MT. _ Cable 7 MT.</t>
  </si>
  <si>
    <t>\\MCA-S\mk\2_BM\0_BMat\08_PYM\Inventario\excel\Imagen de refacciones\Ollas revolvedoras\Cable 7,5 MT. _ Cable 7,5 MT.</t>
  </si>
  <si>
    <t>\\MCA-S\mk\2_BM\0_BMat\08_PYM\Inventario\excel\Imagen de refacciones\Ollas revolvedoras\Cable 8 MT. _ Cable 8 MT.</t>
  </si>
  <si>
    <t>\\MCA-S\mk\2_BM\0_BMat\08_PYM\Inventario\excel\Imagen de refacciones\Ollas revolvedoras\Cable 8,5 MT. _ Cable 8,5 MT.</t>
  </si>
  <si>
    <t>\\MCA-S\mk\2_BM\0_BMat\08_PYM\Inventario\excel\Imagen de refacciones\Ollas revolvedoras\Cable 9 MT. _ Cable 9 MT.</t>
  </si>
  <si>
    <t>\\MCA-S\mk\2_BM\0_BMat\08_PYM\Inventario\excel\Imagen de refacciones\Ollas revolvedoras\Cable 9,5 MT. _ Cable 9,5 MT.</t>
  </si>
  <si>
    <t>\\MCA-S\mk\2_BM\0_BMat\08_PYM\Inventario\excel\Imagen de refacciones\Ollas revolvedoras\Chut Handle Mechanic _ Mango Mecánico de Tolva</t>
  </si>
  <si>
    <t>\\MCA-S\mk\2_BM\0_BMat\08_PYM\Inventario\excel\Imagen de refacciones\Ollas revolvedoras\Chut Holder _ Soporte de Tolva</t>
  </si>
  <si>
    <t>\\MCA-S\mk\2_BM\0_BMat\08_PYM\Inventario\excel\Imagen de refacciones\Ollas revolvedoras\Chut Lock Set _ Juego de Bloqueo de Tolva</t>
  </si>
  <si>
    <t>\\MCA-S\mk\2_BM\0_BMat\08_PYM\Inventario\excel\Imagen de refacciones\Ollas revolvedoras\Chut Short LT Type _ Tolva Corta Tipo LT</t>
  </si>
  <si>
    <t>\\MCA-S\mk\2_BM\0_BMat\08_PYM\Inventario\excel\Imagen de refacciones\Ollas revolvedoras\Chut Step for Sheet Iron _ Escalón de Tolva para Chapa de Hierro</t>
  </si>
  <si>
    <t>\\MCA-S\mk\2_BM\0_BMat\08_PYM\Inventario\excel\Imagen de refacciones\Ollas revolvedoras\Chute Hydraulic Complete _ Hidráulico de Tolva Completo</t>
  </si>
  <si>
    <t>\\MCA-S\mk\2_BM\0_BMat\08_PYM\Inventario\excel\Imagen de refacciones\Ollas revolvedoras\Control Box Double _ Caja de Control Doble</t>
  </si>
  <si>
    <t>\\MCA-S\mk\2_BM\0_BMat\08_PYM\Inventario\excel\Imagen de refacciones\Ollas revolvedoras\Control Box Single _ Caja de Control Simple</t>
  </si>
  <si>
    <t>\\MCA-S\mk\2_BM\0_BMat\08_PYM\Inventario\excel\Imagen de refacciones\Ollas revolvedoras\Discharge Chut Complete LT Type _ Tolva de Descarga Completa Tipo LT</t>
  </si>
  <si>
    <t>\\MCA-S\mk\2_BM\0_BMat\08_PYM\Inventario\excel\Imagen de refacciones\Ollas revolvedoras\Drum Roller Plastic Cover Q280 _ Cubierta de Plástico para Rodillo de Tambor Q280</t>
  </si>
  <si>
    <t>\\MCA-S\mk\2_BM\0_BMat\08_PYM\Inventario\excel\Imagen de refacciones\Ollas revolvedoras\Echo Lid Seal _ Sello de Tapa Echo</t>
  </si>
  <si>
    <t>\\MCA-S\mk\2_BM\0_BMat\08_PYM\Inventario\excel\Imagen de refacciones\Ollas revolvedoras\Extension Chut LT Type _ Extensión de Tolva Tipo LT</t>
  </si>
  <si>
    <t>\\MCA-S\mk\2_BM\0_BMat\08_PYM\Inventario\excel\Imagen de refacciones\Ollas revolvedoras\Fan for Oil Cooler 4 Wings _ Ventilador para Enfriador de Aceite 4 Aspas</t>
  </si>
  <si>
    <t>\\MCA-S\mk\2_BM\0_BMat\08_PYM\Inventario\excel\Imagen de refacciones\Ollas revolvedoras\Filling Chut Complete _ Tolva de Llenado Completa</t>
  </si>
  <si>
    <t>\\MCA-S\mk\2_BM\0_BMat\08_PYM\Inventario\excel\Imagen de refacciones\Ollas revolvedoras\Gear for C30 Water Pump _ Engranaje para Bomba de Agua C30</t>
  </si>
  <si>
    <t>\\MCA-S\mk\2_BM\0_BMat\08_PYM\Inventario\excel\Imagen de refacciones\Ollas revolvedoras\Hydraulic Chut Hose _ Manguera de Tolva Hidráulica</t>
  </si>
  <si>
    <t>\\MCA-S\mk\2_BM\0_BMat\08_PYM\Inventario\excel\Imagen de refacciones\Ollas revolvedoras\Hydraulic Cylinder _ Cilindro Hidráulico</t>
  </si>
  <si>
    <t>\\MCA-S\mk\2_BM\0_BMat\08_PYM\Inventario\excel\Imagen de refacciones\Ollas revolvedoras\Hydraulic Pump _ Bomba Hidráulica</t>
  </si>
  <si>
    <t>\\MCA-S\mk\2_BM\0_BMat\08_PYM\Inventario\excel\Imagen de refacciones\Ollas revolvedoras\Hydraulic Tank 1LT _ Tanque Hidráulico 1LT</t>
  </si>
  <si>
    <t>\\MCA-S\mk\2_BM\0_BMat\08_PYM\Inventario\excel\Imagen de refacciones\Ollas revolvedoras\Hydraulic Tank Handle _ Asa de Tanque Hidráulico</t>
  </si>
  <si>
    <t>\\MCA-S\mk\2_BM\0_BMat\08_PYM\Inventario\excel\Imagen de refacciones\Ollas revolvedoras\Impeller C30 Water Pump _ Impulsor Bomba de Agua C30</t>
  </si>
  <si>
    <t>\\MCA-S\mk\2_BM\0_BMat\08_PYM\Inventario\excel\Imagen de refacciones\Ollas revolvedoras\Impeller Shaft C30 Water Pump _ Eje Impulsor Bomba de Agua C30</t>
  </si>
  <si>
    <t>\\MCA-S\mk\2_BM\0_BMat\08_PYM\Inventario\excel\Imagen de refacciones\Ollas revolvedoras\Long Fiber for Extension Chut _ Fibra Larga para Extensión de Tolva</t>
  </si>
  <si>
    <t>\\MCA-S\mk\2_BM\0_BMat\08_PYM\Inventario\excel\Imagen de refacciones\Ollas revolvedoras\Metal Coupling for Balance Ball 23 Teeth _ Acoplamiento Metálico para Bola de Equilibrio 23 Dientes</t>
  </si>
  <si>
    <t>\\MCA-S\mk\2_BM\0_BMat\08_PYM\Inventario\excel\Imagen de refacciones\Ollas revolvedoras\Mini Valve for C30 Water Pump _ Mini Válvula para Bomba de Agua C30</t>
  </si>
  <si>
    <t>\\MCA-S\mk\2_BM\0_BMat\08_PYM\Inventario\excel\Imagen de refacciones\Ollas revolvedoras\Mixer Felt 125x180x13_49 _ Fieltro Mezclador 125x180x13_49</t>
  </si>
  <si>
    <t>\\MCA-S\mk\2_BM\0_BMat\08_PYM\Inventario\excel\Imagen de refacciones\Ollas revolvedoras\Mixer Felt 145x215x14_65 _ Fieltro Mezclador 145x215x14_65</t>
  </si>
  <si>
    <t>\\MCA-S\mk\2_BM\0_BMat\08_PYM\Inventario\excel\Imagen de refacciones\Ollas revolvedoras\Oil Cooler Complete _ Enfriador de Aceite Completo</t>
  </si>
  <si>
    <t>\\MCA-S\mk\2_BM\0_BMat\08_PYM\Inventario\excel\Imagen de refacciones\Ollas revolvedoras\Oil Filter _ Filtro de Aceite</t>
  </si>
  <si>
    <t>\\MCA-S\mk\2_BM\0_BMat\08_PYM\Inventario\excel\Imagen de refacciones\Ollas revolvedoras\P.T.O shaft L_63cm D.F_10cm (6 Hole) _ Eje TDF L_63cm D.F_10cm (6 Agujeros)</t>
  </si>
  <si>
    <t>\\MCA-S\mk\2_BM\0_BMat\08_PYM\Inventario\excel\Imagen de refacciones\Ollas revolvedoras\P.T.O shaft L_72cm D.F_10cm (6 Hole) _ Eje TDF L_72cm D.F_10cm (6 Agujeros)</t>
  </si>
  <si>
    <t>\\MCA-S\mk\2_BM\0_BMat\08_PYM\Inventario\excel\Imagen de refacciones\Ollas revolvedoras\Plastic Coupling Groove Type _ Acoplamiento Plástico Tipo Ranura</t>
  </si>
  <si>
    <t>\\MCA-S\mk\2_BM\0_BMat\08_PYM\Inventario\excel\Imagen de refacciones\Ollas revolvedoras\Repair Kit of C30 Water Pump (L&amp;T Type) _ Kit de Reparación de Bomba de Agua C30 (Tipo L&amp;T)</t>
  </si>
  <si>
    <t>\\MCA-S\mk\2_BM\0_BMat\08_PYM\Inventario\excel\Imagen de refacciones\Ollas revolvedoras\Roller (Q200 x 110 x 100) External _ Rodillo (Q200 x 110 x 100) Externo</t>
  </si>
  <si>
    <t>\\MCA-S\mk\2_BM\0_BMat\08_PYM\Inventario\excel\Imagen de refacciones\Ollas revolvedoras\Roller (Q200 X 110 X 105) Complete _ Rodillo (Q200 X 110 X 105) Completo</t>
  </si>
  <si>
    <t>\\MCA-S\mk\2_BM\0_BMat\08_PYM\Inventario\excel\Imagen de refacciones\Ollas revolvedoras\Roller (Q200 x 110 x 105) External _ Rodillo (Q200 x 110 x 105) Externo</t>
  </si>
  <si>
    <t>\\MCA-S\mk\2_BM\0_BMat\08_PYM\Inventario\excel\Imagen de refacciones\Ollas revolvedoras\Roller (Q220 X 110 X 90) Complete _ Rodillo (Q220 X 110 X 90) Completo</t>
  </si>
  <si>
    <t>\\MCA-S\mk\2_BM\0_BMat\08_PYM\Inventario\excel\Imagen de refacciones\Ollas revolvedoras\Roller (Q220 x 110 x 90) External _ Rodillo (Q220 x 110 x 90) Externo</t>
  </si>
  <si>
    <t>\\MCA-S\mk\2_BM\0_BMat\08_PYM\Inventario\excel\Imagen de refacciones\Ollas revolvedoras\Roller (Q245 X 130 X 120) Complete _ Rodillo (Q245 X 130 X 120) Completo</t>
  </si>
  <si>
    <t>\\MCA-S\mk\2_BM\0_BMat\08_PYM\Inventario\excel\Imagen de refacciones\Ollas revolvedoras\Roller (Q245 x 130 x 120) External _ Rodillo (Q245 x 130 x 120) Externo</t>
  </si>
  <si>
    <t>\\MCA-S\mk\2_BM\0_BMat\08_PYM\Inventario\excel\Imagen de refacciones\Ollas revolvedoras\Roller (Q250 X 110 X 92) Complete _ Rodillo (Q250 X 110 X 92) Completo</t>
  </si>
  <si>
    <t>\\MCA-S\mk\2_BM\0_BMat\08_PYM\Inventario\excel\Imagen de refacciones\Ollas revolvedoras\Roller (Q250 x 110 x 92) External _ Rodillo (Q250 x 110 x 92) Externo</t>
  </si>
  <si>
    <t>\\MCA-S\mk\2_BM\0_BMat\08_PYM\Inventario\excel\Imagen de refacciones\Ollas revolvedoras\Roller (Q250 X 130 X 100) Complete _ Rodillo (Q250 X 130 X 100) Completo</t>
  </si>
  <si>
    <t>\\MCA-S\mk\2_BM\0_BMat\08_PYM\Inventario\excel\Imagen de refacciones\Ollas revolvedoras\Roller (Q250 x 130 x 100) External _ Rodillo (Q250 x 130 x 100) Externo</t>
  </si>
  <si>
    <t>\\MCA-S\mk\2_BM\0_BMat\08_PYM\Inventario\excel\Imagen de refacciones\Ollas revolvedoras\Roller (Q250 X 130 X 120) Complete _ Rodillo (Q250 X 130 X 120) Completo</t>
  </si>
  <si>
    <t>\\MCA-S\mk\2_BM\0_BMat\08_PYM\Inventario\excel\Imagen de refacciones\Ollas revolvedoras\Roller (Q250 x 130 x 120) External _ Rodillo (Q250 x 130 x 120) Externo</t>
  </si>
  <si>
    <t>\\MCA-S\mk\2_BM\0_BMat\08_PYM\Inventario\excel\Imagen de refacciones\Ollas revolvedoras\Roller (Q250 x 130 x 145) External _ Rodillo (Q250 x 130 x 145) Externo</t>
  </si>
  <si>
    <t>\\MCA-S\mk\2_BM\0_BMat\08_PYM\Inventario\excel\Imagen de refacciones\Ollas revolvedoras\Roller (Q250 X 160 X 110) Complete _ Rodillo (Q250 X 160 X 110) Completo</t>
  </si>
  <si>
    <t>\\MCA-S\mk\2_BM\0_BMat\08_PYM\Inventario\excel\Imagen de refacciones\Ollas revolvedoras\Roller (Q250 x 160 x 110) External _ Rodillo (Q250 x 160 x 110) Externo</t>
  </si>
  <si>
    <t>\\MCA-S\mk\2_BM\0_BMat\08_PYM\Inventario\excel\Imagen de refacciones\Ollas revolvedoras\Roller (Q260 X 110 X 100) Complete _ Rodillo (Q260 X 110 X 100) Completo</t>
  </si>
  <si>
    <t>\\MCA-S\mk\2_BM\0_BMat\08_PYM\Inventario\excel\Imagen de refacciones\Ollas revolvedoras\Roller (Q280 X 110 X 90) Complete _ Rodillo (Q280 X 110 X 90) Completo</t>
  </si>
  <si>
    <t>\\MCA-S\mk\2_BM\0_BMat\08_PYM\Inventario\excel\Imagen de refacciones\Ollas revolvedoras\Roller (Q280 X 110 X 90) External _ Rodillo (Q280 X 110 X 90) Externo</t>
  </si>
  <si>
    <t>\\MCA-S\mk\2_BM\0_BMat\08_PYM\Inventario\excel\Imagen de refacciones\Ollas revolvedoras\Roller (Q280 X 160 X 110) Complete _ Rodillo (Q280 X 160 X 110) Completo</t>
  </si>
  <si>
    <t>\\MCA-S\mk\2_BM\0_BMat\08_PYM\Inventario\excel\Imagen de refacciones\Ollas revolvedoras\Roller (Q280 x 160 x 110) External _ Rodillo (Q280 x 160 x 110) Externo</t>
  </si>
  <si>
    <t>\\MCA-S\mk\2_BM\0_BMat\08_PYM\Inventario\excel\Imagen de refacciones\Ollas revolvedoras\Roller (Q280 X 160 X 90) Complete _ Rodillo (Q280 X 160 X 90) Completo</t>
  </si>
  <si>
    <t>\\MCA-S\mk\2_BM\0_BMat\08_PYM\Inventario\excel\Imagen de refacciones\Ollas revolvedoras\Roller (Q280 X 160 X 90) External _ Rodillo (Q280 X 160 X 90) Externo</t>
  </si>
  <si>
    <t>\\MCA-S\mk\2_BM\0_BMat\08_PYM\Inventario\excel\Imagen de refacciones\Ollas revolvedoras\Roller Karde Type (Q180 X 130 X 100) Complete _ Rodillo Tipo Karde (Q180 X 130 X 100) Completo</t>
  </si>
  <si>
    <t>\\MCA-S\mk\2_BM\0_BMat\08_PYM\Inventario\excel\Imagen de refacciones\Ollas revolvedoras\Roller Karde Type (Q180 x 130 x 100) External _ Rodillo Tipo Karde (Q180 x 130 x 100) Externo</t>
  </si>
  <si>
    <t>\\MCA-S\mk\2_BM\0_BMat\08_PYM\Inventario\excel\Imagen de refacciones\Ollas revolvedoras\S HOSE 60 MM _ Manguera S 60 MM</t>
  </si>
  <si>
    <t>\\MCA-S\mk\2_BM\0_BMat\08_PYM\Inventario\excel\Imagen de refacciones\Ollas revolvedoras\Seal for V Chut 168 _ Sello para Tolva en V 168</t>
  </si>
  <si>
    <t>\\MCA-S\mk\2_BM\0_BMat\08_PYM\Inventario\excel\Imagen de refacciones\Ollas revolvedoras\Seal Set for C30 Water Pump _ Juego de Sellos para Bomba de Agua C30</t>
  </si>
  <si>
    <t>\\MCA-S\mk\2_BM\0_BMat\08_PYM\Inventario\excel\Imagen de refacciones\Ollas revolvedoras\Short Fiber for Short Chut _ Fibra Corta para Tolva Corta</t>
  </si>
  <si>
    <t>\\MCA-S\mk\2_BM\0_BMat\08_PYM\Inventario\excel\Imagen de refacciones\Ollas revolvedoras\Transmitter Cable Type 55 Degree _ Cable de Transmisor Tipo 55 Grados</t>
  </si>
  <si>
    <t>\\MCA-S\mk\2_BM\0_BMat\08_PYM\Inventario\excel\Imagen de refacciones\Ollas revolvedoras\Transmitter Long Type 55 Degree _ Transmisor Tipo Largo 55 Grados</t>
  </si>
  <si>
    <t>\\MCA-S\mk\2_BM\0_BMat\08_PYM\Inventario\excel\Imagen de refacciones\Ollas revolvedoras\Transmitter Short Type 55 Degree _ Transmisor Tipo Corto 55 Grados</t>
  </si>
  <si>
    <t>\\MCA-S\mk\2_BM\0_BMat\08_PYM\Inventario\excel\Imagen de refacciones\Ollas revolvedoras\V Chut Complete _ Tolva en V Completa</t>
  </si>
  <si>
    <t>\\MCA-S\mk\2_BM\0_BMat\08_PYM\Inventario\excel\Imagen de refacciones\Ollas revolvedoras\Water Hose Nozzle _ Boquilla de Manguera de Agua</t>
  </si>
  <si>
    <t>\\MCA-S\mk\2_BM\0_BMat\08_PYM\Inventario\excel\Imagen de refacciones\Ollas revolvedoras\Water Pump C30 Double Bearing (L&amp;T Type) _ Bomba de Agua C30 Doble Rodamiento (Tipo L&amp;T)</t>
  </si>
  <si>
    <t>\\MCA-S\mk\2_BM\0_BMat\08_PYM\Inventario\excel\Imagen de refacciones\Ollas revolvedoras\Water Pump CIFA Gear Type _ Bomba de Agua Tipo Engranaje CIFA</t>
  </si>
  <si>
    <t>\\MCA-S\mk\2_BM\0_BMat\08_PYM\Inventario\excel\Imagen de refacciones\Ollas revolvedoras\Water Pump Gear Type NSTII _ Bomba de Agua Tipo Engranaje NSTII</t>
  </si>
  <si>
    <t>\\MCA-S\mk\2_BM\0_BMat\08_PYM\Inventario\excel\Imagen de refacciones\Ollas revolvedoras\Water Pump Shaft Type _ Bomba de Agua Tipo Eje</t>
  </si>
  <si>
    <t>2470</t>
  </si>
  <si>
    <t>PISTOLA DE LANZADO</t>
  </si>
  <si>
    <t>CODO MET. SEAMLESS DN125 R1000 5"x90° (banana)</t>
  </si>
  <si>
    <t>AT311945</t>
  </si>
  <si>
    <t>STEP RELAY 24V 2 WECHS</t>
  </si>
  <si>
    <t>RELEVADOR -L2-24V 3A30VDC</t>
  </si>
  <si>
    <t>Electro válvula 12V</t>
  </si>
  <si>
    <t>Loderas putzmeister</t>
  </si>
  <si>
    <t>CODO MET. SEAMLESS DN125 R1000 5"x90°</t>
  </si>
  <si>
    <t>SOM20270</t>
  </si>
  <si>
    <t>471560 / 67335006 / 262269004</t>
  </si>
  <si>
    <t>Bateria azul para control remoto</t>
  </si>
  <si>
    <t>471561</t>
  </si>
  <si>
    <t>Control remoto rojo de 3 brazos</t>
  </si>
  <si>
    <t>BOLT V-ROCK</t>
  </si>
  <si>
    <t>MAIN CYLINDER SEAL 80/100</t>
  </si>
  <si>
    <t>PROXIMITY SWITCH CONNECTING CABLE 750cm</t>
  </si>
  <si>
    <t>PROXIMITY SWITCH CONNECTING CABLE 2m</t>
  </si>
  <si>
    <t>PROXIMITY SWITCH CONNECTING CABLE 3m</t>
  </si>
  <si>
    <t>75045891327</t>
  </si>
  <si>
    <t>BOBINA 24V PARA COLECTOR DE POLVOS</t>
  </si>
  <si>
    <t>DUST COLLECTOR FILTER CARTRIDGE SET OF 7</t>
  </si>
  <si>
    <t>SET FILTROS COLECTORES (7 FILTROS)</t>
  </si>
  <si>
    <t>AIRADOR TIPO PAD</t>
  </si>
  <si>
    <t>KIT BOQUILLA CHOSCRETE DE 2"HD</t>
  </si>
  <si>
    <t>VALVULA PARA EMBRAGUE ENQUINTAR 4/2 VIAS</t>
  </si>
  <si>
    <t>CELDA DE CARGA 3K S-BEAM</t>
  </si>
  <si>
    <t>CELDA DE CARGA RL 20 000 SK 5-BEAM</t>
  </si>
  <si>
    <t>Schwing Wear Ring DN200</t>
  </si>
  <si>
    <t>Anillo de desgaste DN200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</si>
</sst>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color rgb="FFFF00FF"/>
      <name val="Arial"/>
      <scheme val="minor"/>
    </font>
    <font>
      <color rgb="FF434343"/>
      <name val="Roboto"/>
    </font>
    <font>
      <color rgb="FF4D4D4D"/>
      <name val="Roboto"/>
    </font>
    <font>
      <sz val="11.0"/>
      <color rgb="FF555555"/>
      <name val="Lato"/>
    </font>
    <font>
      <color rgb="FFFFFFFF"/>
      <name val="Arial"/>
      <scheme val="minor"/>
    </font>
    <font>
      <color rgb="FF263741"/>
      <name val="Roboto"/>
    </font>
    <font>
      <color rgb="FFFFC8AA"/>
      <name val="Roboto"/>
    </font>
    <font>
      <color rgb="FF952D33"/>
      <name val="Roboto"/>
    </font>
    <font>
      <b/>
      <sz val="13.0"/>
      <color theme="1"/>
      <name val="Arial"/>
      <scheme val="minor"/>
    </font>
    <font>
      <b/>
      <color rgb="FF434343"/>
      <name val="Roboto"/>
    </font>
    <font>
      <sz val="9.0"/>
      <color rgb="FF494949"/>
      <name val="Menlo"/>
    </font>
  </fonts>
  <fills count="10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2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/>
    </xf>
    <xf borderId="0" fillId="4" fontId="6" numFmtId="49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5" fontId="1" numFmtId="0" xfId="0" applyAlignment="1" applyFill="1" applyFont="1">
      <alignment readingOrder="0"/>
    </xf>
    <xf borderId="0" fillId="5" fontId="1" numFmtId="164" xfId="0" applyFont="1" applyNumberFormat="1"/>
    <xf borderId="0" fillId="5" fontId="1" numFmtId="0" xfId="0" applyFont="1"/>
    <xf borderId="0" fillId="4" fontId="7" numFmtId="49" xfId="0" applyAlignment="1" applyFill="1" applyFont="1" applyNumberFormat="1">
      <alignment horizontal="left" readingOrder="0" shrinkToFit="0" vertical="center" wrapText="0"/>
    </xf>
    <xf borderId="0" fillId="4" fontId="8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6" fontId="1" numFmtId="0" xfId="0" applyAlignment="1" applyFill="1" applyFont="1">
      <alignment readingOrder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49" xfId="0" applyAlignment="1" applyBorder="1" applyFont="1" applyNumberFormat="1">
      <alignment shrinkToFit="0" vertical="center" wrapText="0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vertical="bottom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4" fontId="6" numFmtId="49" xfId="0" applyAlignment="1" applyFont="1" applyNumberFormat="1">
      <alignment shrinkToFit="0" vertical="center" wrapText="0"/>
    </xf>
    <xf borderId="0" fillId="4" fontId="3" numFmtId="49" xfId="0" applyAlignment="1" applyFont="1" applyNumberFormat="1">
      <alignment shrinkToFit="0" vertical="center" wrapText="0"/>
    </xf>
    <xf borderId="0" fillId="4" fontId="10" numFmtId="0" xfId="0" applyAlignment="1" applyFont="1">
      <alignment shrinkToFit="0" vertical="center" wrapText="0"/>
    </xf>
    <xf borderId="0" fillId="4" fontId="11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0" fillId="4" fontId="6" numFmtId="164" xfId="0" applyAlignment="1" applyFont="1" applyNumberFormat="1">
      <alignment horizontal="right" shrinkToFit="0" vertical="center" wrapText="0"/>
    </xf>
    <xf borderId="0" fillId="4" fontId="12" numFmtId="0" xfId="0" applyAlignment="1" applyFont="1">
      <alignment shrinkToFit="0" vertical="center" wrapText="0"/>
    </xf>
    <xf borderId="0" fillId="4" fontId="6" numFmtId="0" xfId="0" applyAlignment="1" applyFont="1">
      <alignment horizontal="right" shrinkToFit="0" vertical="center" wrapText="0"/>
    </xf>
    <xf borderId="0" fillId="4" fontId="6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7" fontId="13" numFmtId="0" xfId="0" applyAlignment="1" applyFill="1" applyFont="1">
      <alignment horizontal="center"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8" fontId="2" numFmtId="0" xfId="0" applyAlignment="1" applyFill="1" applyFont="1">
      <alignment horizontal="center" readingOrder="0" shrinkToFit="0" wrapText="1"/>
    </xf>
    <xf borderId="0" fillId="9" fontId="1" numFmtId="0" xfId="0" applyAlignment="1" applyFill="1" applyFont="1">
      <alignment horizontal="left" readingOrder="0" shrinkToFit="0" vertical="center" wrapText="1"/>
    </xf>
    <xf borderId="0" fillId="0" fontId="1" numFmtId="0" xfId="0" applyFont="1"/>
    <xf borderId="0" fillId="8" fontId="1" numFmtId="0" xfId="0" applyAlignment="1" applyFont="1">
      <alignment readingOrder="0" shrinkToFit="0" vertical="center" wrapText="0"/>
    </xf>
    <xf borderId="0" fillId="8" fontId="1" numFmtId="164" xfId="0" applyAlignment="1" applyFont="1" applyNumberFormat="1">
      <alignment shrinkToFit="0" vertical="center" wrapText="0"/>
    </xf>
    <xf borderId="0" fillId="8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4" numFmtId="2" xfId="0" applyAlignment="1" applyBorder="1" applyFont="1" applyNumberFormat="1">
      <alignment shrinkToFit="0" vertical="center" wrapText="0"/>
    </xf>
    <xf borderId="1" fillId="4" fontId="6" numFmtId="49" xfId="0" applyAlignment="1" applyBorder="1" applyFont="1" applyNumberFormat="1">
      <alignment readingOrder="0" shrinkToFit="0" vertical="center" wrapText="0"/>
    </xf>
    <xf borderId="0" fillId="4" fontId="14" numFmtId="2" xfId="0" applyAlignment="1" applyFont="1" applyNumberFormat="1">
      <alignment horizontal="right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5" numFmtId="0" xfId="0" applyFont="1"/>
    <xf borderId="0" fillId="0" fontId="1" numFmtId="164" xfId="0" applyFont="1" applyNumberFormat="1"/>
    <xf borderId="0" fillId="0" fontId="1" numFmtId="2" xfId="0" applyFont="1" applyNumberFormat="1"/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8DBDE"/>
          <bgColor rgb="FFD8DBDE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>
        <i/>
        <color rgb="FFB7B7B7"/>
      </font>
      <fill>
        <patternFill patternType="none"/>
      </fill>
      <border/>
    </dxf>
  </dxfs>
  <tableStyles count="8">
    <tableStyle count="5" pivot="0" name="Inventario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Precios Nov-25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ED-Envio Cabos inf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Envio Cabos Ervey VENTA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Copy of Inventario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heet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5" pivot="0" name="Copy of Inventari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Inventario-backup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3:X1432" displayName="Inventory_tracker_6" name="Inventory_tracker_6" id="1">
  <autoFilter ref="$A$3:$X$1432"/>
  <tableColumns count="24">
    <tableColumn totalsRowLabel="2541" name="ID" id="1"/>
    <tableColumn name="Barcode" id="2"/>
    <tableColumn name="Foto URL" id="3"/>
    <tableColumn name="Nombre Eng" id="4"/>
    <tableColumn name="Nombre Esp" id="5"/>
    <tableColumn name="Descripcion" id="6"/>
    <tableColumn name="UVA Nombre" id="7"/>
    <tableColumn name="Item Code" id="8"/>
    <tableColumn name="Uni Code" id="9"/>
    <tableColumn name="Categoria" id="10"/>
    <tableColumn name="Montaje" id="11"/>
    <tableColumn name="Tipo" id="12"/>
    <tableColumn totalsRowFunction="custom" name="$ Venta" id="13"/>
    <tableColumn name="Rotacion" id="14"/>
    <tableColumn totalsRowFunction="custom" name="Stock" id="15"/>
    <tableColumn name="Status" id="16"/>
    <tableColumn name="Notes" id="17"/>
    <tableColumn name="Pedido " id="18"/>
    <tableColumn totalsRowFunction="custom" name="$ ZG" id="19"/>
    <tableColumn totalsRowFunction="custom" name="$ Oth" id="20"/>
    <tableColumn totalsRowFunction="custom" name="$ BM" id="21"/>
    <tableColumn totalsRowFunction="custom" name="$ Ptij dll" id="22"/>
    <tableColumn totalsRowFunction="custom" name="$ Ptij mxn" id="23"/>
    <tableColumn name="Veces G" id="24"/>
  </tableColumns>
  <tableStyleInfo name="Inventario -style" showColumnStripes="0" showFirstColumn="1" showLastColumn="1" showRowStripes="1"/>
</table>
</file>

<file path=xl/tables/table2.xml><?xml version="1.0" encoding="utf-8"?>
<table xmlns="http://schemas.openxmlformats.org/spreadsheetml/2006/main" ref="A3:F189" displayName="Inventory_tracker_7" name="Inventory_tracker_7" id="2">
  <autoFilter ref="$A$3:$F$189"/>
  <tableColumns count="6">
    <tableColumn name="Nombre Esp" id="1"/>
    <tableColumn name="Item Code" id="2"/>
    <tableColumn name="Categoria" id="3"/>
    <tableColumn name="$ Venta_x000a_Pesos" id="4"/>
    <tableColumn name="$ Venta_x000a_Dolares" id="5"/>
    <tableColumn name="$ Comp_x000a_Dolares" id="6"/>
  </tableColumns>
  <tableStyleInfo name="Precios Nov-25-style" showColumnStripes="0" showFirstColumn="1" showLastColumn="1" showRowStripes="1"/>
</table>
</file>

<file path=xl/tables/table3.xml><?xml version="1.0" encoding="utf-8"?>
<table xmlns="http://schemas.openxmlformats.org/spreadsheetml/2006/main" totalsRowCount="1" ref="A3:Y138" displayName="Inventory_tracker_4" name="Inventory_tracker_4" id="3">
  <autoFilter ref="$A$3:$Y$138"/>
  <tableColumns count="25">
    <tableColumn name="ID" id="1"/>
    <tableColumn name="Barcode" id="2"/>
    <tableColumn name="Foto URL" id="3"/>
    <tableColumn name="Nombre Eng" id="4"/>
    <tableColumn name="Nombre Esp" id="5"/>
    <tableColumn name="Descripcion" id="6"/>
    <tableColumn name="UVA Nombre" id="7"/>
    <tableColumn name="Item Code" id="8"/>
    <tableColumn name="Uni Code" id="9"/>
    <tableColumn name="Categoria" id="10"/>
    <tableColumn name="Montaje" id="11"/>
    <tableColumn name="Tipo" id="12"/>
    <tableColumn totalsRowFunction="custom" name="$ Venta" id="13"/>
    <tableColumn totalsRowFunction="custom" name="Stock" id="14"/>
    <tableColumn name="Status" id="15"/>
    <tableColumn name="Notes" id="16"/>
    <tableColumn name="Pedido " id="17"/>
    <tableColumn totalsRowFunction="custom" name="$ ZG" id="18"/>
    <tableColumn totalsRowFunction="custom" name="$ Oth" id="19"/>
    <tableColumn totalsRowFunction="custom" name="$ BM" id="20"/>
    <tableColumn totalsRowFunction="custom" name="$ Ptij dll" id="21"/>
    <tableColumn totalsRowFunction="custom" name="$ Ptij mxn" id="22"/>
    <tableColumn name="Veces G" id="23"/>
    <tableColumn totalsRowFunction="custom" name="$ inversion" id="24"/>
    <tableColumn totalsRowFunction="custom" name="$ comercial" id="25"/>
  </tableColumns>
  <tableStyleInfo name="ED-Envio Cabos info-style" showColumnStripes="0" showFirstColumn="1" showLastColumn="1" showRowStripes="1"/>
</table>
</file>

<file path=xl/tables/table4.xml><?xml version="1.0" encoding="utf-8"?>
<table xmlns="http://schemas.openxmlformats.org/spreadsheetml/2006/main" totalsRowCount="1" ref="A3:T140" displayName="Inventory_tracker_5" name="Inventory_tracker_5" id="4">
  <autoFilter ref="$A$3:$T$140"/>
  <tableColumns count="20">
    <tableColumn name="Nombre Eng" id="1"/>
    <tableColumn name="Nombre Esp" id="2"/>
    <tableColumn name="Item Code" id="3"/>
    <tableColumn name="Categoria" id="4"/>
    <tableColumn name="Montaje" id="5"/>
    <tableColumn name="Tipo" id="6"/>
    <tableColumn totalsRowLabel="556" name="Stock" id="7"/>
    <tableColumn name="Status" id="8"/>
    <tableColumn name="Notes" id="9"/>
    <tableColumn name="$ dll Competencia" id="10"/>
    <tableColumn name="$ dll BM Venta" id="11"/>
    <tableColumn name="$ mxn Venta" id="12"/>
    <tableColumn name="$ mxn descuento Ervey" id="13"/>
    <tableColumn totalsRowLabel="TOTAL" name="$ Esp" id="14"/>
    <tableColumn totalsRowFunction="custom" name="Valor Total Mercancia" id="15"/>
    <tableColumn name="Column 17" id="16"/>
    <tableColumn name="Vendidos" id="17"/>
    <tableColumn name="Fecha" id="18"/>
    <tableColumn name="Column 20" id="19"/>
    <tableColumn name="Column 19" id="20"/>
  </tableColumns>
  <tableStyleInfo name="Envio Cabos Ervey VENTAS-style" showColumnStripes="0" showFirstColumn="1" showLastColumn="1" showRowStripes="1"/>
</table>
</file>

<file path=xl/tables/table5.xml><?xml version="1.0" encoding="utf-8"?>
<table xmlns="http://schemas.openxmlformats.org/spreadsheetml/2006/main" totalsRowCount="1" ref="A3:W1518" displayName="Inventory_tracker_3" name="Inventory_tracker_3" id="5">
  <autoFilter ref="$A$3:$W$1518">
    <filterColumn colId="14">
      <filters>
        <filter val="In stock"/>
      </filters>
    </filterColumn>
  </autoFilter>
  <tableColumns count="23">
    <tableColumn name="ID" id="1"/>
    <tableColumn name="Barcode" id="2"/>
    <tableColumn name="Foto URL" id="3"/>
    <tableColumn name="Nombre Eng" id="4"/>
    <tableColumn name="Nombre Esp" id="5"/>
    <tableColumn name="Descripcion" id="6"/>
    <tableColumn name="UVA Nombre" id="7"/>
    <tableColumn name="Item Code" id="8"/>
    <tableColumn name="Uni Code" id="9"/>
    <tableColumn name="Categoria" id="10"/>
    <tableColumn name="Montaje" id="11"/>
    <tableColumn name="Tipo" id="12"/>
    <tableColumn totalsRowFunction="custom" name="$ Venta" id="13"/>
    <tableColumn totalsRowFunction="custom" name="Stock" id="14"/>
    <tableColumn name="Status" id="15"/>
    <tableColumn name="Notes" id="16"/>
    <tableColumn name="Pedido " id="17"/>
    <tableColumn totalsRowFunction="custom" name="$ ZG" id="18"/>
    <tableColumn totalsRowFunction="custom" name="$ Oth" id="19"/>
    <tableColumn totalsRowFunction="custom" name="$ BM" id="20"/>
    <tableColumn totalsRowFunction="custom" name="$ Ptij dll" id="21"/>
    <tableColumn totalsRowFunction="custom" name="$ Ptij mxn" id="22"/>
    <tableColumn name="Veces G" id="23"/>
  </tableColumns>
  <tableStyleInfo name="Copy of Inventario 1-style" showColumnStripes="0" showFirstColumn="1" showLastColumn="1" showRowStripes="1"/>
</table>
</file>

<file path=xl/tables/table6.xml><?xml version="1.0" encoding="utf-8"?>
<table xmlns="http://schemas.openxmlformats.org/spreadsheetml/2006/main" ref="A3:W6" displayName="Table1" name="Table1" id="6">
  <tableColumns count="23">
    <tableColumn name="ID" id="1"/>
    <tableColumn name="Barcode" id="2"/>
    <tableColumn name="Foto URL" id="3"/>
    <tableColumn name="Nombre Eng" id="4"/>
    <tableColumn name="Nombre Esp" id="5"/>
    <tableColumn name="Descripcion" id="6"/>
    <tableColumn name="UVA Nombre" id="7"/>
    <tableColumn name="Item Code" id="8"/>
    <tableColumn name="Uni Code" id="9"/>
    <tableColumn name="Categoria" id="10"/>
    <tableColumn name="Montaje" id="11"/>
    <tableColumn name="Tipo" id="12"/>
    <tableColumn name="$ Venta" id="13"/>
    <tableColumn name="Stock" id="14"/>
    <tableColumn name="Status" id="15"/>
    <tableColumn name="Notes" id="16"/>
    <tableColumn name="Pedido " id="17"/>
    <tableColumn name="$ ZG" id="18"/>
    <tableColumn name="$ Oth" id="19"/>
    <tableColumn name="$ BM" id="20"/>
    <tableColumn name="$ Ptij dll" id="21"/>
    <tableColumn name="$ Ptij mxn" id="22"/>
    <tableColumn name="Veces G" id="23"/>
  </tableColumns>
  <tableStyleInfo name="Sheet6-style" showColumnStripes="0" showFirstColumn="1" showLastColumn="1" showRowStripes="1"/>
</table>
</file>

<file path=xl/tables/table7.xml><?xml version="1.0" encoding="utf-8"?>
<table xmlns="http://schemas.openxmlformats.org/spreadsheetml/2006/main" totalsRowCount="1" ref="A3:W1518" displayName="Inventory_tracker_2" name="Inventory_tracker_2" id="7">
  <autoFilter ref="$A$3:$W$1518">
    <filterColumn colId="14">
      <filters>
        <filter val="To Re-purchase"/>
        <filter val="In stock"/>
      </filters>
    </filterColumn>
  </autoFilter>
  <tableColumns count="23">
    <tableColumn name="ID" id="1"/>
    <tableColumn name="Barcode" id="2"/>
    <tableColumn name="Foto URL" id="3"/>
    <tableColumn name="Nombre Eng" id="4"/>
    <tableColumn name="Nombre Esp" id="5"/>
    <tableColumn name="Descripcion" id="6"/>
    <tableColumn name="UVA Nombre" id="7"/>
    <tableColumn name="Item Code" id="8"/>
    <tableColumn name="Uni Code" id="9"/>
    <tableColumn name="Categoria" id="10"/>
    <tableColumn name="Montaje" id="11"/>
    <tableColumn name="Tipo" id="12"/>
    <tableColumn totalsRowFunction="custom" name="$ Venta" id="13"/>
    <tableColumn totalsRowFunction="custom" name="Stock" id="14"/>
    <tableColumn name="Status" id="15"/>
    <tableColumn name="Notes" id="16"/>
    <tableColumn name="Pedido " id="17"/>
    <tableColumn totalsRowFunction="custom" name="$ ZG" id="18"/>
    <tableColumn totalsRowFunction="custom" name="$ Oth" id="19"/>
    <tableColumn totalsRowFunction="custom" name="$ BM" id="20"/>
    <tableColumn totalsRowFunction="custom" name="$ Ptij dll" id="21"/>
    <tableColumn totalsRowFunction="custom" name="$ Ptij mxn" id="22"/>
    <tableColumn name="Veces G" id="23"/>
  </tableColumns>
  <tableStyleInfo name="Copy of Inventario-style" showColumnStripes="0" showFirstColumn="1" showLastColumn="1" showRowStripes="1"/>
</table>
</file>

<file path=xl/tables/table8.xml><?xml version="1.0" encoding="utf-8"?>
<table xmlns="http://schemas.openxmlformats.org/spreadsheetml/2006/main" totalsRowCount="1" ref="A3:W1533" displayName="Inventory_tracker" name="Inventory_tracker" id="8">
  <autoFilter ref="$A$3:$W$1533"/>
  <tableColumns count="23">
    <tableColumn name="ID" id="1"/>
    <tableColumn name="Barcode" id="2"/>
    <tableColumn name="Foto URL" id="3"/>
    <tableColumn name="Nombre Eng" id="4"/>
    <tableColumn name="Nombre Esp" id="5"/>
    <tableColumn name="Descripcion" id="6"/>
    <tableColumn name="UVA Nombre" id="7"/>
    <tableColumn name="Item Code" id="8"/>
    <tableColumn name="Uni Code" id="9"/>
    <tableColumn name="Categoria" id="10"/>
    <tableColumn name="Montaje" id="11"/>
    <tableColumn name="Tipo" id="12"/>
    <tableColumn totalsRowFunction="custom" name="$ Venta" id="13"/>
    <tableColumn totalsRowFunction="custom" name="Stock" id="14"/>
    <tableColumn name="Status" id="15"/>
    <tableColumn name="Notes" id="16"/>
    <tableColumn name="Pedido " id="17"/>
    <tableColumn totalsRowFunction="custom" name="$ ZG" id="18"/>
    <tableColumn totalsRowFunction="custom" name="$ Oth" id="19"/>
    <tableColumn totalsRowFunction="custom" name="$ BM" id="20"/>
    <tableColumn totalsRowFunction="custom" name="$ Ptij dll" id="21"/>
    <tableColumn totalsRowFunction="custom" name="$ Ptij mxn" id="22"/>
    <tableColumn name="Veces G" id="23"/>
  </tableColumns>
  <tableStyleInfo name="Inventario-backu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1" width="6.0"/>
    <col customWidth="1" min="2" max="2" width="12.25"/>
    <col customWidth="1" min="3" max="3" width="11.13" outlineLevel="1"/>
    <col customWidth="1" min="4" max="4" width="28.63"/>
    <col customWidth="1" min="5" max="5" width="55.38"/>
    <col customWidth="1" min="6" max="6" width="13.13" outlineLevel="1"/>
    <col customWidth="1" min="7" max="7" width="12.75"/>
    <col customWidth="1" min="8" max="8" width="13.25"/>
    <col customWidth="1" min="9" max="9" width="12.5"/>
    <col customWidth="1" min="10" max="10" width="13.38" outlineLevel="1"/>
    <col customWidth="1" min="11" max="11" width="20.25" outlineLevel="1"/>
    <col customWidth="1" min="12" max="12" width="13.38" outlineLevel="1"/>
    <col customWidth="1" min="13" max="13" width="10.13"/>
    <col customWidth="1" min="14" max="15" width="9.25"/>
    <col customWidth="1" min="16" max="16" width="13.5"/>
    <col customWidth="1" min="17" max="17" width="9.0" outlineLevel="1"/>
    <col customWidth="1" min="18" max="18" width="11.63" outlineLevel="1"/>
    <col customWidth="1" min="19" max="19" width="8.0"/>
    <col customWidth="1" min="20" max="20" width="8.75"/>
    <col customWidth="1" min="21" max="21" width="8.5"/>
    <col customWidth="1" min="22" max="22" width="8.13"/>
    <col customWidth="1" min="23" max="23" width="9.5"/>
    <col customWidth="1" min="24" max="24" width="7.75"/>
    <col customWidth="1" min="25" max="26" width="9.13"/>
  </cols>
  <sheetData>
    <row r="1">
      <c r="A1" s="1" t="s">
        <v>0</v>
      </c>
      <c r="B1" s="2"/>
      <c r="C1" s="2"/>
      <c r="D1" s="2"/>
      <c r="E1" s="1"/>
      <c r="F1" s="2"/>
      <c r="G1" s="2"/>
      <c r="H1" s="3" t="s">
        <v>1</v>
      </c>
      <c r="I1" s="4">
        <v>18.5</v>
      </c>
      <c r="J1" s="2"/>
      <c r="K1" s="3" t="s">
        <v>2</v>
      </c>
      <c r="L1" s="5">
        <v>0.96</v>
      </c>
      <c r="M1" s="6"/>
      <c r="N1" s="3" t="s">
        <v>3</v>
      </c>
      <c r="O1" s="5">
        <v>0.0</v>
      </c>
      <c r="P1" s="3" t="s">
        <v>4</v>
      </c>
      <c r="Q1" s="5">
        <v>0.225</v>
      </c>
      <c r="R1" s="3" t="s">
        <v>5</v>
      </c>
      <c r="S1" s="7">
        <v>18.75</v>
      </c>
      <c r="Z1" s="3" t="s">
        <v>6</v>
      </c>
      <c r="AA1" s="8">
        <v>0.14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9"/>
      <c r="O2" s="2"/>
      <c r="P2" s="2"/>
      <c r="Q2" s="2"/>
      <c r="R2" s="2"/>
      <c r="S2" s="2"/>
      <c r="T2" s="2"/>
      <c r="U2" s="2"/>
      <c r="V2" s="2"/>
      <c r="W2" s="2"/>
      <c r="X2" s="10"/>
    </row>
    <row r="3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2" t="s">
        <v>20</v>
      </c>
      <c r="O3" s="11" t="s">
        <v>21</v>
      </c>
      <c r="P3" s="11" t="s">
        <v>22</v>
      </c>
      <c r="Q3" s="11" t="s">
        <v>23</v>
      </c>
      <c r="R3" s="11" t="s">
        <v>24</v>
      </c>
      <c r="S3" s="11" t="s">
        <v>25</v>
      </c>
      <c r="T3" s="11" t="s">
        <v>26</v>
      </c>
      <c r="U3" s="11" t="s">
        <v>27</v>
      </c>
      <c r="V3" s="11" t="s">
        <v>28</v>
      </c>
      <c r="W3" s="11" t="s">
        <v>29</v>
      </c>
      <c r="X3" s="13" t="s">
        <v>30</v>
      </c>
      <c r="Z3" s="14" t="s">
        <v>31</v>
      </c>
      <c r="AA3" s="14" t="s">
        <v>32</v>
      </c>
      <c r="AB3" s="14" t="s">
        <v>33</v>
      </c>
      <c r="AF3" s="14" t="s">
        <v>34</v>
      </c>
    </row>
    <row r="4">
      <c r="A4" s="15" t="s">
        <v>35</v>
      </c>
      <c r="B4" s="15"/>
      <c r="C4" s="16" t="str">
        <f>IMAGE("https://i.ibb.co/qMyhWjvd/1266.png")</f>
        <v/>
      </c>
      <c r="D4" s="15"/>
      <c r="E4" s="17"/>
      <c r="F4" s="18"/>
      <c r="G4" s="18"/>
      <c r="H4" s="15"/>
      <c r="I4" s="18"/>
      <c r="J4" s="19" t="s">
        <v>36</v>
      </c>
      <c r="K4" s="19" t="s">
        <v>37</v>
      </c>
      <c r="L4" s="19" t="s">
        <v>38</v>
      </c>
      <c r="M4" s="20">
        <f t="shared" ref="M4:M1431" si="1">U4*$I$1</f>
        <v>0</v>
      </c>
      <c r="N4" s="21"/>
      <c r="O4" s="22"/>
      <c r="P4" s="19" t="s">
        <v>39</v>
      </c>
      <c r="Q4" s="18"/>
      <c r="R4" s="18"/>
      <c r="S4" s="23">
        <v>0.0</v>
      </c>
      <c r="T4" s="23">
        <v>0.0</v>
      </c>
      <c r="U4" s="23">
        <f t="shared" ref="U4:U1431" si="2">T4*$L$1</f>
        <v>0</v>
      </c>
      <c r="V4" s="23">
        <f t="shared" ref="V4:V1431" si="3">S4+((S4*$O$1)+(S4*$Q$1))</f>
        <v>0</v>
      </c>
      <c r="W4" s="23">
        <f t="shared" ref="W4:W1431" si="4">V4*$S$1</f>
        <v>0</v>
      </c>
      <c r="X4" s="24" t="str">
        <f t="shared" ref="X4:X1431" si="5">U4/V4</f>
        <v>#DIV/0!</v>
      </c>
    </row>
    <row r="5">
      <c r="A5" s="15" t="s">
        <v>40</v>
      </c>
      <c r="B5" s="18"/>
      <c r="C5" s="16" t="str">
        <f>IMAGE("https://i.ibb.co/MkKzzTYm/1595.png")</f>
        <v/>
      </c>
      <c r="D5" s="18"/>
      <c r="E5" s="17" t="s">
        <v>41</v>
      </c>
      <c r="F5" s="18"/>
      <c r="G5" s="18"/>
      <c r="H5" s="15" t="s">
        <v>42</v>
      </c>
      <c r="I5" s="15" t="s">
        <v>43</v>
      </c>
      <c r="J5" s="19" t="s">
        <v>36</v>
      </c>
      <c r="K5" s="19" t="s">
        <v>37</v>
      </c>
      <c r="L5" s="19" t="s">
        <v>38</v>
      </c>
      <c r="M5" s="20">
        <f t="shared" si="1"/>
        <v>0</v>
      </c>
      <c r="N5" s="21"/>
      <c r="O5" s="22"/>
      <c r="P5" s="19" t="s">
        <v>39</v>
      </c>
      <c r="Q5" s="18"/>
      <c r="R5" s="18"/>
      <c r="S5" s="23">
        <v>0.0</v>
      </c>
      <c r="T5" s="23">
        <v>0.0</v>
      </c>
      <c r="U5" s="23">
        <f t="shared" si="2"/>
        <v>0</v>
      </c>
      <c r="V5" s="23">
        <f t="shared" si="3"/>
        <v>0</v>
      </c>
      <c r="W5" s="23">
        <f t="shared" si="4"/>
        <v>0</v>
      </c>
      <c r="X5" s="24" t="str">
        <f t="shared" si="5"/>
        <v>#DIV/0!</v>
      </c>
    </row>
    <row r="6">
      <c r="A6" s="15" t="s">
        <v>44</v>
      </c>
      <c r="B6" s="18"/>
      <c r="C6" s="16" t="str">
        <f>IMAGE("https://i.ibb.co/rfsvr6sg/1596.png")</f>
        <v/>
      </c>
      <c r="D6" s="18"/>
      <c r="E6" s="17" t="s">
        <v>45</v>
      </c>
      <c r="F6" s="18"/>
      <c r="G6" s="18"/>
      <c r="H6" s="15" t="s">
        <v>46</v>
      </c>
      <c r="I6" s="15" t="s">
        <v>47</v>
      </c>
      <c r="J6" s="19" t="s">
        <v>36</v>
      </c>
      <c r="K6" s="19" t="s">
        <v>37</v>
      </c>
      <c r="L6" s="19" t="s">
        <v>38</v>
      </c>
      <c r="M6" s="20">
        <f t="shared" si="1"/>
        <v>0</v>
      </c>
      <c r="N6" s="21"/>
      <c r="O6" s="22"/>
      <c r="P6" s="19" t="s">
        <v>39</v>
      </c>
      <c r="Q6" s="18"/>
      <c r="R6" s="18"/>
      <c r="S6" s="23">
        <v>0.0</v>
      </c>
      <c r="T6" s="23">
        <v>0.0</v>
      </c>
      <c r="U6" s="23">
        <f t="shared" si="2"/>
        <v>0</v>
      </c>
      <c r="V6" s="23">
        <f t="shared" si="3"/>
        <v>0</v>
      </c>
      <c r="W6" s="23">
        <f t="shared" si="4"/>
        <v>0</v>
      </c>
      <c r="X6" s="24" t="str">
        <f t="shared" si="5"/>
        <v>#DIV/0!</v>
      </c>
    </row>
    <row r="7">
      <c r="A7" s="15" t="s">
        <v>48</v>
      </c>
      <c r="B7" s="18" t="str">
        <f>CONCATENATE(7504589, A7)</f>
        <v>75045892530</v>
      </c>
      <c r="C7" s="16"/>
      <c r="D7" s="25" t="s">
        <v>49</v>
      </c>
      <c r="E7" s="25" t="s">
        <v>50</v>
      </c>
      <c r="F7" s="26"/>
      <c r="G7" s="26"/>
      <c r="H7" s="25" t="s">
        <v>51</v>
      </c>
      <c r="I7" s="26"/>
      <c r="J7" s="27" t="s">
        <v>36</v>
      </c>
      <c r="K7" s="27" t="s">
        <v>52</v>
      </c>
      <c r="L7" s="27" t="s">
        <v>52</v>
      </c>
      <c r="M7" s="20">
        <f t="shared" si="1"/>
        <v>0</v>
      </c>
      <c r="N7" s="28"/>
      <c r="O7" s="29"/>
      <c r="P7" s="27" t="s">
        <v>39</v>
      </c>
      <c r="Q7" s="26"/>
      <c r="R7" s="26"/>
      <c r="S7" s="23">
        <v>0.0</v>
      </c>
      <c r="T7" s="23">
        <v>0.0</v>
      </c>
      <c r="U7" s="23">
        <f t="shared" si="2"/>
        <v>0</v>
      </c>
      <c r="V7" s="23">
        <f t="shared" si="3"/>
        <v>0</v>
      </c>
      <c r="W7" s="23">
        <f t="shared" si="4"/>
        <v>0</v>
      </c>
      <c r="X7" s="24" t="str">
        <f t="shared" si="5"/>
        <v>#DIV/0!</v>
      </c>
    </row>
    <row r="8">
      <c r="A8" s="15" t="s">
        <v>53</v>
      </c>
      <c r="B8" s="15" t="s">
        <v>54</v>
      </c>
      <c r="C8" s="16"/>
      <c r="D8" s="15" t="s">
        <v>55</v>
      </c>
      <c r="E8" s="17" t="s">
        <v>56</v>
      </c>
      <c r="F8" s="18"/>
      <c r="G8" s="15" t="s">
        <v>57</v>
      </c>
      <c r="H8" s="15" t="s">
        <v>58</v>
      </c>
      <c r="I8" s="18"/>
      <c r="J8" s="19" t="s">
        <v>59</v>
      </c>
      <c r="K8" s="19" t="s">
        <v>60</v>
      </c>
      <c r="L8" s="19" t="s">
        <v>38</v>
      </c>
      <c r="M8" s="20">
        <f t="shared" si="1"/>
        <v>8880</v>
      </c>
      <c r="N8" s="30"/>
      <c r="O8" s="31">
        <v>1.0</v>
      </c>
      <c r="P8" s="19" t="s">
        <v>61</v>
      </c>
      <c r="Q8" s="18"/>
      <c r="R8" s="18"/>
      <c r="S8" s="23">
        <v>120.0</v>
      </c>
      <c r="T8" s="23">
        <v>500.0</v>
      </c>
      <c r="U8" s="23">
        <f t="shared" si="2"/>
        <v>480</v>
      </c>
      <c r="V8" s="23">
        <f t="shared" si="3"/>
        <v>147</v>
      </c>
      <c r="W8" s="23">
        <f t="shared" si="4"/>
        <v>2756.25</v>
      </c>
      <c r="X8" s="24">
        <f t="shared" si="5"/>
        <v>3.265306122</v>
      </c>
    </row>
    <row r="9">
      <c r="A9" s="15" t="s">
        <v>62</v>
      </c>
      <c r="B9" s="15" t="s">
        <v>63</v>
      </c>
      <c r="C9" s="16"/>
      <c r="D9" s="15" t="s">
        <v>64</v>
      </c>
      <c r="E9" s="17" t="s">
        <v>65</v>
      </c>
      <c r="F9" s="18"/>
      <c r="G9" s="15" t="s">
        <v>66</v>
      </c>
      <c r="H9" s="15" t="s">
        <v>67</v>
      </c>
      <c r="I9" s="18"/>
      <c r="J9" s="19" t="s">
        <v>59</v>
      </c>
      <c r="K9" s="19" t="s">
        <v>60</v>
      </c>
      <c r="L9" s="19" t="s">
        <v>38</v>
      </c>
      <c r="M9" s="20">
        <f t="shared" si="1"/>
        <v>7548</v>
      </c>
      <c r="N9" s="30" t="s">
        <v>68</v>
      </c>
      <c r="O9" s="31">
        <v>1.0</v>
      </c>
      <c r="P9" s="19" t="s">
        <v>61</v>
      </c>
      <c r="Q9" s="18"/>
      <c r="R9" s="18"/>
      <c r="S9" s="23">
        <v>110.0</v>
      </c>
      <c r="T9" s="23">
        <v>425.0</v>
      </c>
      <c r="U9" s="23">
        <f t="shared" si="2"/>
        <v>408</v>
      </c>
      <c r="V9" s="23">
        <f t="shared" si="3"/>
        <v>134.75</v>
      </c>
      <c r="W9" s="23">
        <f t="shared" si="4"/>
        <v>2526.5625</v>
      </c>
      <c r="X9" s="24">
        <f t="shared" si="5"/>
        <v>3.027829314</v>
      </c>
    </row>
    <row r="10">
      <c r="A10" s="15" t="s">
        <v>69</v>
      </c>
      <c r="B10" s="15" t="s">
        <v>70</v>
      </c>
      <c r="C10" s="16"/>
      <c r="D10" s="15" t="s">
        <v>71</v>
      </c>
      <c r="E10" s="17" t="s">
        <v>72</v>
      </c>
      <c r="F10" s="18"/>
      <c r="G10" s="15" t="s">
        <v>73</v>
      </c>
      <c r="H10" s="15" t="s">
        <v>74</v>
      </c>
      <c r="I10" s="18"/>
      <c r="J10" s="19" t="s">
        <v>59</v>
      </c>
      <c r="K10" s="19" t="s">
        <v>60</v>
      </c>
      <c r="L10" s="19" t="s">
        <v>52</v>
      </c>
      <c r="M10" s="20">
        <f t="shared" si="1"/>
        <v>7992</v>
      </c>
      <c r="N10" s="30" t="s">
        <v>68</v>
      </c>
      <c r="O10" s="31">
        <v>1.0</v>
      </c>
      <c r="P10" s="19" t="s">
        <v>61</v>
      </c>
      <c r="Q10" s="18"/>
      <c r="R10" s="18"/>
      <c r="S10" s="23">
        <v>120.0</v>
      </c>
      <c r="T10" s="23">
        <v>450.0</v>
      </c>
      <c r="U10" s="23">
        <f t="shared" si="2"/>
        <v>432</v>
      </c>
      <c r="V10" s="23">
        <f t="shared" si="3"/>
        <v>147</v>
      </c>
      <c r="W10" s="23">
        <f t="shared" si="4"/>
        <v>2756.25</v>
      </c>
      <c r="X10" s="24">
        <f t="shared" si="5"/>
        <v>2.93877551</v>
      </c>
    </row>
    <row r="11">
      <c r="A11" s="15" t="s">
        <v>75</v>
      </c>
      <c r="B11" s="18" t="str">
        <f t="shared" ref="B11:B12" si="6">CONCATENATE(7504589,A11)</f>
        <v>75045892099</v>
      </c>
      <c r="C11" s="16"/>
      <c r="D11" s="15" t="s">
        <v>76</v>
      </c>
      <c r="E11" s="17" t="s">
        <v>77</v>
      </c>
      <c r="F11" s="18"/>
      <c r="G11" s="18"/>
      <c r="H11" s="15" t="s">
        <v>78</v>
      </c>
      <c r="I11" s="15"/>
      <c r="J11" s="19" t="s">
        <v>59</v>
      </c>
      <c r="K11" s="19" t="s">
        <v>60</v>
      </c>
      <c r="L11" s="19" t="s">
        <v>52</v>
      </c>
      <c r="M11" s="20">
        <f t="shared" si="1"/>
        <v>3818.4</v>
      </c>
      <c r="N11" s="30" t="s">
        <v>79</v>
      </c>
      <c r="O11" s="31">
        <v>2.0</v>
      </c>
      <c r="P11" s="19" t="s">
        <v>61</v>
      </c>
      <c r="Q11" s="18"/>
      <c r="R11" s="18"/>
      <c r="S11" s="23">
        <v>60.0</v>
      </c>
      <c r="T11" s="23">
        <v>215.0</v>
      </c>
      <c r="U11" s="23">
        <f t="shared" si="2"/>
        <v>206.4</v>
      </c>
      <c r="V11" s="23">
        <f t="shared" si="3"/>
        <v>73.5</v>
      </c>
      <c r="W11" s="23">
        <f t="shared" si="4"/>
        <v>1378.125</v>
      </c>
      <c r="X11" s="24">
        <f t="shared" si="5"/>
        <v>2.808163265</v>
      </c>
    </row>
    <row r="12">
      <c r="A12" s="15" t="s">
        <v>80</v>
      </c>
      <c r="B12" s="18" t="str">
        <f t="shared" si="6"/>
        <v>75045892453</v>
      </c>
      <c r="C12" s="16"/>
      <c r="D12" s="15" t="s">
        <v>81</v>
      </c>
      <c r="E12" s="17" t="s">
        <v>82</v>
      </c>
      <c r="F12" s="18"/>
      <c r="G12" s="18"/>
      <c r="H12" s="15" t="s">
        <v>83</v>
      </c>
      <c r="I12" s="18"/>
      <c r="J12" s="19" t="s">
        <v>59</v>
      </c>
      <c r="K12" s="19" t="s">
        <v>60</v>
      </c>
      <c r="L12" s="19" t="s">
        <v>84</v>
      </c>
      <c r="M12" s="20">
        <f t="shared" si="1"/>
        <v>2504.16</v>
      </c>
      <c r="N12" s="30" t="s">
        <v>79</v>
      </c>
      <c r="O12" s="31">
        <v>2.0</v>
      </c>
      <c r="P12" s="19" t="s">
        <v>61</v>
      </c>
      <c r="Q12" s="18"/>
      <c r="R12" s="18"/>
      <c r="S12" s="23">
        <v>40.0</v>
      </c>
      <c r="T12" s="23">
        <v>141.0</v>
      </c>
      <c r="U12" s="23">
        <f t="shared" si="2"/>
        <v>135.36</v>
      </c>
      <c r="V12" s="23">
        <f t="shared" si="3"/>
        <v>49</v>
      </c>
      <c r="W12" s="23">
        <f t="shared" si="4"/>
        <v>918.75</v>
      </c>
      <c r="X12" s="24">
        <f t="shared" si="5"/>
        <v>2.76244898</v>
      </c>
    </row>
    <row r="13">
      <c r="A13" s="15" t="s">
        <v>85</v>
      </c>
      <c r="B13" s="15" t="s">
        <v>86</v>
      </c>
      <c r="C13" s="16"/>
      <c r="D13" s="15" t="s">
        <v>87</v>
      </c>
      <c r="E13" s="17" t="s">
        <v>88</v>
      </c>
      <c r="F13" s="18"/>
      <c r="G13" s="15" t="s">
        <v>57</v>
      </c>
      <c r="H13" s="15" t="s">
        <v>89</v>
      </c>
      <c r="I13" s="18"/>
      <c r="J13" s="19" t="s">
        <v>59</v>
      </c>
      <c r="K13" s="19" t="s">
        <v>60</v>
      </c>
      <c r="L13" s="19" t="s">
        <v>52</v>
      </c>
      <c r="M13" s="20">
        <f t="shared" si="1"/>
        <v>10727.04</v>
      </c>
      <c r="N13" s="30"/>
      <c r="O13" s="31">
        <v>1.0</v>
      </c>
      <c r="P13" s="19" t="s">
        <v>61</v>
      </c>
      <c r="Q13" s="18"/>
      <c r="R13" s="18"/>
      <c r="S13" s="23">
        <v>180.0</v>
      </c>
      <c r="T13" s="23">
        <v>604.0</v>
      </c>
      <c r="U13" s="23">
        <f t="shared" si="2"/>
        <v>579.84</v>
      </c>
      <c r="V13" s="23">
        <f t="shared" si="3"/>
        <v>220.5</v>
      </c>
      <c r="W13" s="23">
        <f t="shared" si="4"/>
        <v>4134.375</v>
      </c>
      <c r="X13" s="24">
        <f t="shared" si="5"/>
        <v>2.629659864</v>
      </c>
    </row>
    <row r="14">
      <c r="A14" s="15" t="s">
        <v>90</v>
      </c>
      <c r="B14" s="15" t="s">
        <v>91</v>
      </c>
      <c r="C14" s="16"/>
      <c r="D14" s="15" t="s">
        <v>92</v>
      </c>
      <c r="E14" s="17" t="s">
        <v>93</v>
      </c>
      <c r="F14" s="15" t="s">
        <v>66</v>
      </c>
      <c r="G14" s="15" t="s">
        <v>66</v>
      </c>
      <c r="H14" s="15" t="s">
        <v>94</v>
      </c>
      <c r="I14" s="18"/>
      <c r="J14" s="19" t="s">
        <v>59</v>
      </c>
      <c r="K14" s="19" t="s">
        <v>60</v>
      </c>
      <c r="L14" s="19" t="s">
        <v>38</v>
      </c>
      <c r="M14" s="20">
        <f t="shared" si="1"/>
        <v>8968.8</v>
      </c>
      <c r="N14" s="30" t="s">
        <v>68</v>
      </c>
      <c r="O14" s="31">
        <v>1.0</v>
      </c>
      <c r="P14" s="19" t="s">
        <v>61</v>
      </c>
      <c r="Q14" s="18"/>
      <c r="R14" s="18"/>
      <c r="S14" s="23">
        <v>160.0</v>
      </c>
      <c r="T14" s="32">
        <v>505.0</v>
      </c>
      <c r="U14" s="23">
        <f t="shared" si="2"/>
        <v>484.8</v>
      </c>
      <c r="V14" s="23">
        <f t="shared" si="3"/>
        <v>196</v>
      </c>
      <c r="W14" s="23">
        <f t="shared" si="4"/>
        <v>3675</v>
      </c>
      <c r="X14" s="24">
        <f t="shared" si="5"/>
        <v>2.473469388</v>
      </c>
    </row>
    <row r="15">
      <c r="A15" s="15" t="s">
        <v>95</v>
      </c>
      <c r="B15" s="15" t="s">
        <v>96</v>
      </c>
      <c r="C15" s="16"/>
      <c r="D15" s="15" t="s">
        <v>97</v>
      </c>
      <c r="E15" s="17" t="s">
        <v>98</v>
      </c>
      <c r="F15" s="18"/>
      <c r="G15" s="15" t="s">
        <v>73</v>
      </c>
      <c r="H15" s="15" t="s">
        <v>99</v>
      </c>
      <c r="I15" s="18"/>
      <c r="J15" s="19" t="s">
        <v>59</v>
      </c>
      <c r="K15" s="19" t="s">
        <v>60</v>
      </c>
      <c r="L15" s="19" t="s">
        <v>52</v>
      </c>
      <c r="M15" s="20">
        <f t="shared" si="1"/>
        <v>8968.8</v>
      </c>
      <c r="N15" s="30" t="s">
        <v>68</v>
      </c>
      <c r="O15" s="31">
        <v>1.0</v>
      </c>
      <c r="P15" s="19" t="s">
        <v>61</v>
      </c>
      <c r="Q15" s="18"/>
      <c r="R15" s="18"/>
      <c r="S15" s="23">
        <v>180.0</v>
      </c>
      <c r="T15" s="23">
        <v>505.0</v>
      </c>
      <c r="U15" s="23">
        <f t="shared" si="2"/>
        <v>484.8</v>
      </c>
      <c r="V15" s="23">
        <f t="shared" si="3"/>
        <v>220.5</v>
      </c>
      <c r="W15" s="23">
        <f t="shared" si="4"/>
        <v>4134.375</v>
      </c>
      <c r="X15" s="24">
        <f t="shared" si="5"/>
        <v>2.198639456</v>
      </c>
    </row>
    <row r="16" ht="39.0" customHeight="1">
      <c r="A16" s="15" t="s">
        <v>100</v>
      </c>
      <c r="B16" s="15" t="s">
        <v>101</v>
      </c>
      <c r="C16" s="16"/>
      <c r="D16" s="15" t="s">
        <v>102</v>
      </c>
      <c r="E16" s="17" t="s">
        <v>103</v>
      </c>
      <c r="F16" s="18"/>
      <c r="G16" s="18"/>
      <c r="H16" s="18"/>
      <c r="I16" s="18"/>
      <c r="J16" s="19" t="s">
        <v>104</v>
      </c>
      <c r="K16" s="19" t="s">
        <v>105</v>
      </c>
      <c r="L16" s="19" t="s">
        <v>106</v>
      </c>
      <c r="M16" s="20">
        <f t="shared" si="1"/>
        <v>0</v>
      </c>
      <c r="N16" s="30"/>
      <c r="O16" s="31">
        <v>10.0</v>
      </c>
      <c r="P16" s="19" t="s">
        <v>107</v>
      </c>
      <c r="Q16" s="18"/>
      <c r="R16" s="18"/>
      <c r="S16" s="23">
        <v>0.0</v>
      </c>
      <c r="T16" s="23">
        <v>0.0</v>
      </c>
      <c r="U16" s="23">
        <f t="shared" si="2"/>
        <v>0</v>
      </c>
      <c r="V16" s="23">
        <f t="shared" si="3"/>
        <v>0</v>
      </c>
      <c r="W16" s="23">
        <f t="shared" si="4"/>
        <v>0</v>
      </c>
      <c r="X16" s="24" t="str">
        <f t="shared" si="5"/>
        <v>#DIV/0!</v>
      </c>
    </row>
    <row r="17" ht="39.0" customHeight="1">
      <c r="A17" s="15" t="s">
        <v>108</v>
      </c>
      <c r="B17" s="15" t="s">
        <v>109</v>
      </c>
      <c r="C17" s="16"/>
      <c r="D17" s="15" t="s">
        <v>110</v>
      </c>
      <c r="E17" s="17" t="s">
        <v>111</v>
      </c>
      <c r="F17" s="18"/>
      <c r="G17" s="15" t="s">
        <v>112</v>
      </c>
      <c r="H17" s="15" t="s">
        <v>113</v>
      </c>
      <c r="I17" s="15"/>
      <c r="J17" s="19" t="s">
        <v>36</v>
      </c>
      <c r="K17" s="19" t="s">
        <v>114</v>
      </c>
      <c r="L17" s="19" t="s">
        <v>115</v>
      </c>
      <c r="M17" s="20">
        <f t="shared" si="1"/>
        <v>0</v>
      </c>
      <c r="N17" s="30"/>
      <c r="O17" s="31">
        <v>2.0</v>
      </c>
      <c r="P17" s="19" t="s">
        <v>107</v>
      </c>
      <c r="Q17" s="18"/>
      <c r="R17" s="18"/>
      <c r="S17" s="23">
        <v>0.0</v>
      </c>
      <c r="T17" s="23">
        <v>0.0</v>
      </c>
      <c r="U17" s="23">
        <f t="shared" si="2"/>
        <v>0</v>
      </c>
      <c r="V17" s="23">
        <f t="shared" si="3"/>
        <v>0</v>
      </c>
      <c r="W17" s="23">
        <f t="shared" si="4"/>
        <v>0</v>
      </c>
      <c r="X17" s="24" t="str">
        <f t="shared" si="5"/>
        <v>#DIV/0!</v>
      </c>
    </row>
    <row r="18" ht="39.0" customHeight="1">
      <c r="A18" s="15" t="s">
        <v>116</v>
      </c>
      <c r="B18" s="15" t="s">
        <v>117</v>
      </c>
      <c r="C18" s="16"/>
      <c r="D18" s="15" t="s">
        <v>118</v>
      </c>
      <c r="E18" s="17" t="s">
        <v>119</v>
      </c>
      <c r="F18" s="18"/>
      <c r="G18" s="15" t="s">
        <v>120</v>
      </c>
      <c r="H18" s="15" t="s">
        <v>121</v>
      </c>
      <c r="I18" s="15"/>
      <c r="J18" s="19" t="s">
        <v>36</v>
      </c>
      <c r="K18" s="19" t="s">
        <v>114</v>
      </c>
      <c r="L18" s="19" t="s">
        <v>115</v>
      </c>
      <c r="M18" s="20">
        <f t="shared" si="1"/>
        <v>0</v>
      </c>
      <c r="N18" s="30"/>
      <c r="O18" s="31">
        <v>1.0</v>
      </c>
      <c r="P18" s="19" t="s">
        <v>107</v>
      </c>
      <c r="Q18" s="18"/>
      <c r="R18" s="18"/>
      <c r="S18" s="23">
        <v>0.0</v>
      </c>
      <c r="T18" s="23">
        <v>0.0</v>
      </c>
      <c r="U18" s="23">
        <f t="shared" si="2"/>
        <v>0</v>
      </c>
      <c r="V18" s="23">
        <f t="shared" si="3"/>
        <v>0</v>
      </c>
      <c r="W18" s="23">
        <f t="shared" si="4"/>
        <v>0</v>
      </c>
      <c r="X18" s="24" t="str">
        <f t="shared" si="5"/>
        <v>#DIV/0!</v>
      </c>
    </row>
    <row r="19" ht="39.0" customHeight="1">
      <c r="A19" s="15" t="s">
        <v>122</v>
      </c>
      <c r="B19" s="15" t="s">
        <v>123</v>
      </c>
      <c r="C19" s="16"/>
      <c r="D19" s="15" t="s">
        <v>124</v>
      </c>
      <c r="E19" s="17" t="s">
        <v>125</v>
      </c>
      <c r="F19" s="18"/>
      <c r="G19" s="15" t="s">
        <v>126</v>
      </c>
      <c r="H19" s="15" t="s">
        <v>127</v>
      </c>
      <c r="I19" s="18"/>
      <c r="J19" s="19" t="s">
        <v>36</v>
      </c>
      <c r="K19" s="19" t="s">
        <v>60</v>
      </c>
      <c r="L19" s="19" t="s">
        <v>38</v>
      </c>
      <c r="M19" s="20">
        <f t="shared" si="1"/>
        <v>3125.76</v>
      </c>
      <c r="N19" s="30"/>
      <c r="O19" s="31">
        <v>8.0</v>
      </c>
      <c r="P19" s="19" t="s">
        <v>107</v>
      </c>
      <c r="Q19" s="18"/>
      <c r="R19" s="18"/>
      <c r="S19" s="23">
        <v>7.0</v>
      </c>
      <c r="T19" s="23">
        <v>176.0</v>
      </c>
      <c r="U19" s="23">
        <f t="shared" si="2"/>
        <v>168.96</v>
      </c>
      <c r="V19" s="23">
        <f t="shared" si="3"/>
        <v>8.575</v>
      </c>
      <c r="W19" s="23">
        <f t="shared" si="4"/>
        <v>160.78125</v>
      </c>
      <c r="X19" s="24">
        <f t="shared" si="5"/>
        <v>19.70379009</v>
      </c>
    </row>
    <row r="20" ht="39.0" customHeight="1">
      <c r="A20" s="15" t="s">
        <v>128</v>
      </c>
      <c r="B20" s="15" t="s">
        <v>129</v>
      </c>
      <c r="C20" s="16"/>
      <c r="D20" s="15" t="s">
        <v>130</v>
      </c>
      <c r="E20" s="17" t="s">
        <v>131</v>
      </c>
      <c r="F20" s="18"/>
      <c r="G20" s="15" t="s">
        <v>132</v>
      </c>
      <c r="H20" s="15" t="s">
        <v>133</v>
      </c>
      <c r="I20" s="15" t="s">
        <v>134</v>
      </c>
      <c r="J20" s="19" t="s">
        <v>36</v>
      </c>
      <c r="K20" s="19" t="s">
        <v>60</v>
      </c>
      <c r="L20" s="19" t="s">
        <v>135</v>
      </c>
      <c r="M20" s="20">
        <f t="shared" si="1"/>
        <v>1651.68</v>
      </c>
      <c r="N20" s="30"/>
      <c r="O20" s="31">
        <v>4.0</v>
      </c>
      <c r="P20" s="19" t="s">
        <v>107</v>
      </c>
      <c r="Q20" s="18"/>
      <c r="R20" s="18"/>
      <c r="S20" s="23">
        <v>4.0</v>
      </c>
      <c r="T20" s="23">
        <v>93.0</v>
      </c>
      <c r="U20" s="23">
        <f t="shared" si="2"/>
        <v>89.28</v>
      </c>
      <c r="V20" s="23">
        <f t="shared" si="3"/>
        <v>4.9</v>
      </c>
      <c r="W20" s="23">
        <f t="shared" si="4"/>
        <v>91.875</v>
      </c>
      <c r="X20" s="24">
        <f t="shared" si="5"/>
        <v>18.22040816</v>
      </c>
    </row>
    <row r="21" ht="39.0" customHeight="1">
      <c r="A21" s="15" t="s">
        <v>136</v>
      </c>
      <c r="B21" s="15" t="s">
        <v>137</v>
      </c>
      <c r="C21" s="16"/>
      <c r="D21" s="15" t="s">
        <v>138</v>
      </c>
      <c r="E21" s="17" t="s">
        <v>139</v>
      </c>
      <c r="F21" s="18"/>
      <c r="G21" s="15" t="s">
        <v>140</v>
      </c>
      <c r="H21" s="15" t="s">
        <v>141</v>
      </c>
      <c r="I21" s="18"/>
      <c r="J21" s="19" t="s">
        <v>36</v>
      </c>
      <c r="K21" s="19" t="s">
        <v>60</v>
      </c>
      <c r="L21" s="19" t="s">
        <v>135</v>
      </c>
      <c r="M21" s="20">
        <f t="shared" si="1"/>
        <v>1651.68</v>
      </c>
      <c r="N21" s="30"/>
      <c r="O21" s="31">
        <v>4.0</v>
      </c>
      <c r="P21" s="19" t="s">
        <v>107</v>
      </c>
      <c r="Q21" s="18"/>
      <c r="R21" s="18"/>
      <c r="S21" s="23">
        <v>4.0</v>
      </c>
      <c r="T21" s="23">
        <v>93.0</v>
      </c>
      <c r="U21" s="23">
        <f t="shared" si="2"/>
        <v>89.28</v>
      </c>
      <c r="V21" s="23">
        <f t="shared" si="3"/>
        <v>4.9</v>
      </c>
      <c r="W21" s="23">
        <f t="shared" si="4"/>
        <v>91.875</v>
      </c>
      <c r="X21" s="24">
        <f t="shared" si="5"/>
        <v>18.22040816</v>
      </c>
    </row>
    <row r="22" ht="39.0" customHeight="1">
      <c r="A22" s="15" t="s">
        <v>142</v>
      </c>
      <c r="B22" s="15" t="s">
        <v>143</v>
      </c>
      <c r="C22" s="16"/>
      <c r="D22" s="15" t="s">
        <v>144</v>
      </c>
      <c r="E22" s="17" t="s">
        <v>145</v>
      </c>
      <c r="F22" s="18"/>
      <c r="G22" s="18"/>
      <c r="H22" s="15" t="s">
        <v>146</v>
      </c>
      <c r="I22" s="18"/>
      <c r="J22" s="19" t="s">
        <v>59</v>
      </c>
      <c r="K22" s="19" t="s">
        <v>52</v>
      </c>
      <c r="L22" s="19" t="s">
        <v>147</v>
      </c>
      <c r="M22" s="20">
        <f t="shared" si="1"/>
        <v>6553.44</v>
      </c>
      <c r="N22" s="30" t="s">
        <v>68</v>
      </c>
      <c r="O22" s="31">
        <v>8.0</v>
      </c>
      <c r="P22" s="19" t="s">
        <v>107</v>
      </c>
      <c r="Q22" s="18"/>
      <c r="R22" s="18"/>
      <c r="S22" s="23">
        <v>22.0</v>
      </c>
      <c r="T22" s="23">
        <v>369.0</v>
      </c>
      <c r="U22" s="23">
        <f t="shared" si="2"/>
        <v>354.24</v>
      </c>
      <c r="V22" s="23">
        <f t="shared" si="3"/>
        <v>26.95</v>
      </c>
      <c r="W22" s="23">
        <f t="shared" si="4"/>
        <v>505.3125</v>
      </c>
      <c r="X22" s="24">
        <f t="shared" si="5"/>
        <v>13.14434137</v>
      </c>
    </row>
    <row r="23" ht="39.0" customHeight="1">
      <c r="A23" s="15" t="s">
        <v>148</v>
      </c>
      <c r="B23" s="15" t="s">
        <v>149</v>
      </c>
      <c r="C23" s="16" t="str">
        <f>IMAGE("https://i.ibb.co/vCGJ1QyK/1835.png")</f>
        <v/>
      </c>
      <c r="D23" s="15" t="s">
        <v>150</v>
      </c>
      <c r="E23" s="17" t="s">
        <v>151</v>
      </c>
      <c r="F23" s="18"/>
      <c r="G23" s="18"/>
      <c r="H23" s="15" t="s">
        <v>152</v>
      </c>
      <c r="I23" s="18"/>
      <c r="J23" s="19" t="s">
        <v>59</v>
      </c>
      <c r="K23" s="19" t="s">
        <v>52</v>
      </c>
      <c r="L23" s="19" t="s">
        <v>135</v>
      </c>
      <c r="M23" s="20">
        <f t="shared" si="1"/>
        <v>88.8</v>
      </c>
      <c r="N23" s="30" t="s">
        <v>79</v>
      </c>
      <c r="O23" s="31">
        <v>10.0</v>
      </c>
      <c r="P23" s="19" t="s">
        <v>107</v>
      </c>
      <c r="Q23" s="18"/>
      <c r="R23" s="18"/>
      <c r="S23" s="23">
        <v>0.3</v>
      </c>
      <c r="T23" s="23">
        <v>5.0</v>
      </c>
      <c r="U23" s="23">
        <f t="shared" si="2"/>
        <v>4.8</v>
      </c>
      <c r="V23" s="23">
        <f t="shared" si="3"/>
        <v>0.3675</v>
      </c>
      <c r="W23" s="23">
        <f t="shared" si="4"/>
        <v>6.890625</v>
      </c>
      <c r="X23" s="24">
        <f t="shared" si="5"/>
        <v>13.06122449</v>
      </c>
    </row>
    <row r="24" ht="39.0" customHeight="1">
      <c r="A24" s="15" t="s">
        <v>153</v>
      </c>
      <c r="B24" s="15" t="s">
        <v>154</v>
      </c>
      <c r="C24" s="16"/>
      <c r="D24" s="15" t="s">
        <v>155</v>
      </c>
      <c r="E24" s="17" t="s">
        <v>156</v>
      </c>
      <c r="F24" s="18"/>
      <c r="G24" s="15" t="s">
        <v>157</v>
      </c>
      <c r="H24" s="15" t="s">
        <v>158</v>
      </c>
      <c r="I24" s="15" t="s">
        <v>159</v>
      </c>
      <c r="J24" s="19" t="s">
        <v>104</v>
      </c>
      <c r="K24" s="19" t="s">
        <v>160</v>
      </c>
      <c r="L24" s="19" t="s">
        <v>106</v>
      </c>
      <c r="M24" s="20">
        <f t="shared" si="1"/>
        <v>444</v>
      </c>
      <c r="N24" s="30" t="s">
        <v>79</v>
      </c>
      <c r="O24" s="31">
        <v>36.0</v>
      </c>
      <c r="P24" s="19" t="s">
        <v>107</v>
      </c>
      <c r="Q24" s="18"/>
      <c r="R24" s="18"/>
      <c r="S24" s="23">
        <v>1.5</v>
      </c>
      <c r="T24" s="23">
        <v>25.0</v>
      </c>
      <c r="U24" s="23">
        <f t="shared" si="2"/>
        <v>24</v>
      </c>
      <c r="V24" s="23">
        <f t="shared" si="3"/>
        <v>1.8375</v>
      </c>
      <c r="W24" s="23">
        <f t="shared" si="4"/>
        <v>34.453125</v>
      </c>
      <c r="X24" s="24">
        <f t="shared" si="5"/>
        <v>13.06122449</v>
      </c>
    </row>
    <row r="25" ht="39.0" customHeight="1">
      <c r="A25" s="15" t="s">
        <v>161</v>
      </c>
      <c r="B25" s="18" t="str">
        <f>CONCATENATE(7504589,A25)</f>
        <v>75045892310</v>
      </c>
      <c r="C25" s="16" t="str">
        <f>IMAGE("https://i.ibb.co/vvfrbk20/1846.png")</f>
        <v/>
      </c>
      <c r="D25" s="15" t="s">
        <v>162</v>
      </c>
      <c r="E25" s="17" t="s">
        <v>163</v>
      </c>
      <c r="F25" s="18"/>
      <c r="G25" s="15" t="s">
        <v>164</v>
      </c>
      <c r="H25" s="15" t="s">
        <v>165</v>
      </c>
      <c r="I25" s="18"/>
      <c r="J25" s="19" t="s">
        <v>104</v>
      </c>
      <c r="K25" s="19" t="s">
        <v>160</v>
      </c>
      <c r="L25" s="19" t="s">
        <v>106</v>
      </c>
      <c r="M25" s="20">
        <f t="shared" si="1"/>
        <v>3711.84</v>
      </c>
      <c r="N25" s="30"/>
      <c r="O25" s="31">
        <v>10.0</v>
      </c>
      <c r="P25" s="19" t="s">
        <v>107</v>
      </c>
      <c r="Q25" s="18"/>
      <c r="R25" s="18"/>
      <c r="S25" s="23">
        <v>13.5</v>
      </c>
      <c r="T25" s="23">
        <v>209.0</v>
      </c>
      <c r="U25" s="23">
        <f t="shared" si="2"/>
        <v>200.64</v>
      </c>
      <c r="V25" s="23">
        <f t="shared" si="3"/>
        <v>16.5375</v>
      </c>
      <c r="W25" s="23">
        <f t="shared" si="4"/>
        <v>310.078125</v>
      </c>
      <c r="X25" s="24">
        <f t="shared" si="5"/>
        <v>12.1324263</v>
      </c>
    </row>
    <row r="26" ht="39.0" customHeight="1">
      <c r="A26" s="15" t="s">
        <v>166</v>
      </c>
      <c r="B26" s="15" t="s">
        <v>167</v>
      </c>
      <c r="C26" s="16"/>
      <c r="D26" s="15" t="s">
        <v>168</v>
      </c>
      <c r="E26" s="17" t="s">
        <v>169</v>
      </c>
      <c r="F26" s="18"/>
      <c r="G26" s="18"/>
      <c r="H26" s="15" t="s">
        <v>170</v>
      </c>
      <c r="I26" s="18"/>
      <c r="J26" s="19" t="s">
        <v>59</v>
      </c>
      <c r="K26" s="19" t="s">
        <v>60</v>
      </c>
      <c r="L26" s="19" t="s">
        <v>115</v>
      </c>
      <c r="M26" s="20">
        <f t="shared" si="1"/>
        <v>5256.96</v>
      </c>
      <c r="N26" s="30" t="s">
        <v>68</v>
      </c>
      <c r="O26" s="31">
        <v>4.0</v>
      </c>
      <c r="P26" s="19" t="s">
        <v>107</v>
      </c>
      <c r="Q26" s="18"/>
      <c r="R26" s="18"/>
      <c r="S26" s="23">
        <v>21.0</v>
      </c>
      <c r="T26" s="23">
        <v>296.0</v>
      </c>
      <c r="U26" s="23">
        <f t="shared" si="2"/>
        <v>284.16</v>
      </c>
      <c r="V26" s="23">
        <f t="shared" si="3"/>
        <v>25.725</v>
      </c>
      <c r="W26" s="23">
        <f t="shared" si="4"/>
        <v>482.34375</v>
      </c>
      <c r="X26" s="24">
        <f t="shared" si="5"/>
        <v>11.04606414</v>
      </c>
    </row>
    <row r="27" ht="39.0" customHeight="1">
      <c r="A27" s="15" t="s">
        <v>171</v>
      </c>
      <c r="B27" s="15" t="s">
        <v>172</v>
      </c>
      <c r="C27" s="16"/>
      <c r="D27" s="15" t="s">
        <v>173</v>
      </c>
      <c r="E27" s="17" t="s">
        <v>174</v>
      </c>
      <c r="F27" s="18"/>
      <c r="G27" s="15" t="s">
        <v>175</v>
      </c>
      <c r="H27" s="15" t="s">
        <v>176</v>
      </c>
      <c r="I27" s="18"/>
      <c r="J27" s="19" t="s">
        <v>36</v>
      </c>
      <c r="K27" s="19" t="s">
        <v>60</v>
      </c>
      <c r="L27" s="19" t="s">
        <v>177</v>
      </c>
      <c r="M27" s="20">
        <f t="shared" si="1"/>
        <v>1740.48</v>
      </c>
      <c r="N27" s="30"/>
      <c r="O27" s="31">
        <v>6.0</v>
      </c>
      <c r="P27" s="19" t="s">
        <v>107</v>
      </c>
      <c r="Q27" s="18"/>
      <c r="R27" s="18"/>
      <c r="S27" s="23">
        <v>7.0</v>
      </c>
      <c r="T27" s="23">
        <v>98.0</v>
      </c>
      <c r="U27" s="23">
        <f t="shared" si="2"/>
        <v>94.08</v>
      </c>
      <c r="V27" s="23">
        <f t="shared" si="3"/>
        <v>8.575</v>
      </c>
      <c r="W27" s="23">
        <f t="shared" si="4"/>
        <v>160.78125</v>
      </c>
      <c r="X27" s="24">
        <f t="shared" si="5"/>
        <v>10.97142857</v>
      </c>
    </row>
    <row r="28" ht="39.0" customHeight="1">
      <c r="A28" s="15" t="s">
        <v>178</v>
      </c>
      <c r="B28" s="15" t="s">
        <v>179</v>
      </c>
      <c r="C28" s="16"/>
      <c r="D28" s="15" t="s">
        <v>180</v>
      </c>
      <c r="E28" s="17" t="s">
        <v>181</v>
      </c>
      <c r="F28" s="18"/>
      <c r="G28" s="18"/>
      <c r="H28" s="15" t="s">
        <v>182</v>
      </c>
      <c r="I28" s="18"/>
      <c r="J28" s="19" t="s">
        <v>104</v>
      </c>
      <c r="K28" s="19" t="s">
        <v>160</v>
      </c>
      <c r="L28" s="19" t="s">
        <v>106</v>
      </c>
      <c r="M28" s="20">
        <f t="shared" si="1"/>
        <v>124.32</v>
      </c>
      <c r="N28" s="30"/>
      <c r="O28" s="31">
        <v>40.0</v>
      </c>
      <c r="P28" s="19" t="s">
        <v>107</v>
      </c>
      <c r="Q28" s="18"/>
      <c r="R28" s="18"/>
      <c r="S28" s="23">
        <v>0.5</v>
      </c>
      <c r="T28" s="23">
        <v>7.0</v>
      </c>
      <c r="U28" s="23">
        <f t="shared" si="2"/>
        <v>6.72</v>
      </c>
      <c r="V28" s="23">
        <f t="shared" si="3"/>
        <v>0.6125</v>
      </c>
      <c r="W28" s="23">
        <f t="shared" si="4"/>
        <v>11.484375</v>
      </c>
      <c r="X28" s="24">
        <f t="shared" si="5"/>
        <v>10.97142857</v>
      </c>
    </row>
    <row r="29" ht="39.0" customHeight="1">
      <c r="A29" s="15" t="s">
        <v>183</v>
      </c>
      <c r="B29" s="15" t="s">
        <v>184</v>
      </c>
      <c r="C29" s="16" t="str">
        <f>IMAGE("https://i.ibb.co/LXmRn7g6/1270.png")</f>
        <v/>
      </c>
      <c r="D29" s="15" t="s">
        <v>185</v>
      </c>
      <c r="E29" s="17" t="s">
        <v>186</v>
      </c>
      <c r="F29" s="18"/>
      <c r="G29" s="18"/>
      <c r="H29" s="15" t="s">
        <v>187</v>
      </c>
      <c r="I29" s="18"/>
      <c r="J29" s="19" t="s">
        <v>36</v>
      </c>
      <c r="K29" s="19" t="s">
        <v>60</v>
      </c>
      <c r="L29" s="19" t="s">
        <v>188</v>
      </c>
      <c r="M29" s="20">
        <f t="shared" si="1"/>
        <v>3090.24</v>
      </c>
      <c r="N29" s="30" t="s">
        <v>79</v>
      </c>
      <c r="O29" s="31">
        <v>4.0</v>
      </c>
      <c r="P29" s="19" t="s">
        <v>107</v>
      </c>
      <c r="Q29" s="18"/>
      <c r="R29" s="18"/>
      <c r="S29" s="23">
        <v>14.0</v>
      </c>
      <c r="T29" s="23">
        <v>174.0</v>
      </c>
      <c r="U29" s="23">
        <f t="shared" si="2"/>
        <v>167.04</v>
      </c>
      <c r="V29" s="23">
        <f t="shared" si="3"/>
        <v>17.15</v>
      </c>
      <c r="W29" s="23">
        <f t="shared" si="4"/>
        <v>321.5625</v>
      </c>
      <c r="X29" s="24">
        <f t="shared" si="5"/>
        <v>9.739941691</v>
      </c>
    </row>
    <row r="30" ht="39.0" customHeight="1">
      <c r="A30" s="15" t="s">
        <v>189</v>
      </c>
      <c r="B30" s="15" t="s">
        <v>190</v>
      </c>
      <c r="C30" s="16"/>
      <c r="D30" s="15" t="s">
        <v>191</v>
      </c>
      <c r="E30" s="17" t="s">
        <v>192</v>
      </c>
      <c r="F30" s="18"/>
      <c r="G30" s="18"/>
      <c r="H30" s="15" t="s">
        <v>193</v>
      </c>
      <c r="I30" s="18"/>
      <c r="J30" s="19" t="s">
        <v>36</v>
      </c>
      <c r="K30" s="19" t="s">
        <v>52</v>
      </c>
      <c r="L30" s="19" t="s">
        <v>147</v>
      </c>
      <c r="M30" s="20">
        <f t="shared" si="1"/>
        <v>5434.56</v>
      </c>
      <c r="N30" s="30" t="s">
        <v>68</v>
      </c>
      <c r="O30" s="31">
        <v>4.0</v>
      </c>
      <c r="P30" s="19" t="s">
        <v>107</v>
      </c>
      <c r="Q30" s="18"/>
      <c r="R30" s="18"/>
      <c r="S30" s="23">
        <v>26.0</v>
      </c>
      <c r="T30" s="23">
        <v>306.0</v>
      </c>
      <c r="U30" s="23">
        <f t="shared" si="2"/>
        <v>293.76</v>
      </c>
      <c r="V30" s="23">
        <f t="shared" si="3"/>
        <v>31.85</v>
      </c>
      <c r="W30" s="23">
        <f t="shared" si="4"/>
        <v>597.1875</v>
      </c>
      <c r="X30" s="24">
        <f t="shared" si="5"/>
        <v>9.223233909</v>
      </c>
    </row>
    <row r="31" ht="39.0" customHeight="1">
      <c r="A31" s="15" t="s">
        <v>194</v>
      </c>
      <c r="B31" s="15" t="s">
        <v>195</v>
      </c>
      <c r="C31" s="16"/>
      <c r="D31" s="15" t="s">
        <v>196</v>
      </c>
      <c r="E31" s="17" t="s">
        <v>197</v>
      </c>
      <c r="F31" s="18"/>
      <c r="G31" s="15" t="s">
        <v>198</v>
      </c>
      <c r="H31" s="15" t="s">
        <v>199</v>
      </c>
      <c r="I31" s="18"/>
      <c r="J31" s="19" t="s">
        <v>59</v>
      </c>
      <c r="K31" s="19" t="s">
        <v>200</v>
      </c>
      <c r="L31" s="19" t="s">
        <v>38</v>
      </c>
      <c r="M31" s="20">
        <f t="shared" si="1"/>
        <v>532.8</v>
      </c>
      <c r="N31" s="30" t="s">
        <v>68</v>
      </c>
      <c r="O31" s="31">
        <v>15.0</v>
      </c>
      <c r="P31" s="19" t="s">
        <v>107</v>
      </c>
      <c r="Q31" s="18"/>
      <c r="R31" s="18"/>
      <c r="S31" s="23">
        <v>2.7</v>
      </c>
      <c r="T31" s="23">
        <v>30.0</v>
      </c>
      <c r="U31" s="23">
        <f t="shared" si="2"/>
        <v>28.8</v>
      </c>
      <c r="V31" s="23">
        <f t="shared" si="3"/>
        <v>3.3075</v>
      </c>
      <c r="W31" s="23">
        <f t="shared" si="4"/>
        <v>62.015625</v>
      </c>
      <c r="X31" s="24">
        <f t="shared" si="5"/>
        <v>8.707482993</v>
      </c>
    </row>
    <row r="32" ht="39.0" customHeight="1">
      <c r="A32" s="15" t="s">
        <v>201</v>
      </c>
      <c r="B32" s="15" t="s">
        <v>202</v>
      </c>
      <c r="C32" s="16"/>
      <c r="D32" s="15" t="s">
        <v>144</v>
      </c>
      <c r="E32" s="17" t="s">
        <v>145</v>
      </c>
      <c r="F32" s="18"/>
      <c r="G32" s="18"/>
      <c r="H32" s="15" t="s">
        <v>203</v>
      </c>
      <c r="I32" s="18"/>
      <c r="J32" s="19" t="s">
        <v>59</v>
      </c>
      <c r="K32" s="19" t="s">
        <v>52</v>
      </c>
      <c r="L32" s="19" t="s">
        <v>147</v>
      </c>
      <c r="M32" s="20">
        <f t="shared" si="1"/>
        <v>3747.36</v>
      </c>
      <c r="N32" s="30" t="s">
        <v>68</v>
      </c>
      <c r="O32" s="31">
        <v>6.0</v>
      </c>
      <c r="P32" s="19" t="s">
        <v>107</v>
      </c>
      <c r="Q32" s="18"/>
      <c r="R32" s="18"/>
      <c r="S32" s="23">
        <v>21.0</v>
      </c>
      <c r="T32" s="23">
        <v>211.0</v>
      </c>
      <c r="U32" s="23">
        <f t="shared" si="2"/>
        <v>202.56</v>
      </c>
      <c r="V32" s="23">
        <f t="shared" si="3"/>
        <v>25.725</v>
      </c>
      <c r="W32" s="23">
        <f t="shared" si="4"/>
        <v>482.34375</v>
      </c>
      <c r="X32" s="24">
        <f t="shared" si="5"/>
        <v>7.874052478</v>
      </c>
    </row>
    <row r="33" ht="39.0" customHeight="1">
      <c r="A33" s="15" t="s">
        <v>204</v>
      </c>
      <c r="B33" s="15" t="s">
        <v>205</v>
      </c>
      <c r="C33" s="16" t="str">
        <f>IMAGE("https://i.ibb.co/dw90smMc/1847.png")</f>
        <v/>
      </c>
      <c r="D33" s="15" t="s">
        <v>206</v>
      </c>
      <c r="E33" s="17" t="s">
        <v>207</v>
      </c>
      <c r="F33" s="18"/>
      <c r="G33" s="15" t="s">
        <v>208</v>
      </c>
      <c r="H33" s="15" t="s">
        <v>209</v>
      </c>
      <c r="I33" s="18"/>
      <c r="J33" s="19" t="s">
        <v>36</v>
      </c>
      <c r="K33" s="19" t="s">
        <v>52</v>
      </c>
      <c r="L33" s="19" t="s">
        <v>52</v>
      </c>
      <c r="M33" s="20">
        <f t="shared" si="1"/>
        <v>532.8</v>
      </c>
      <c r="N33" s="30" t="s">
        <v>68</v>
      </c>
      <c r="O33" s="31">
        <v>10.0</v>
      </c>
      <c r="P33" s="19" t="s">
        <v>107</v>
      </c>
      <c r="Q33" s="18"/>
      <c r="R33" s="18"/>
      <c r="S33" s="23">
        <v>3.0</v>
      </c>
      <c r="T33" s="23">
        <v>30.0</v>
      </c>
      <c r="U33" s="23">
        <f t="shared" si="2"/>
        <v>28.8</v>
      </c>
      <c r="V33" s="23">
        <f t="shared" si="3"/>
        <v>3.675</v>
      </c>
      <c r="W33" s="23">
        <f t="shared" si="4"/>
        <v>68.90625</v>
      </c>
      <c r="X33" s="24">
        <f t="shared" si="5"/>
        <v>7.836734694</v>
      </c>
    </row>
    <row r="34" ht="39.0" customHeight="1">
      <c r="A34" s="15" t="s">
        <v>210</v>
      </c>
      <c r="B34" s="15" t="s">
        <v>211</v>
      </c>
      <c r="C34" s="16"/>
      <c r="D34" s="15" t="s">
        <v>191</v>
      </c>
      <c r="E34" s="17" t="s">
        <v>192</v>
      </c>
      <c r="F34" s="18"/>
      <c r="G34" s="18"/>
      <c r="H34" s="15" t="s">
        <v>212</v>
      </c>
      <c r="I34" s="18"/>
      <c r="J34" s="19" t="s">
        <v>36</v>
      </c>
      <c r="K34" s="33"/>
      <c r="L34" s="19" t="s">
        <v>147</v>
      </c>
      <c r="M34" s="20">
        <f t="shared" si="1"/>
        <v>1154.4</v>
      </c>
      <c r="N34" s="30" t="s">
        <v>68</v>
      </c>
      <c r="O34" s="31">
        <v>4.0</v>
      </c>
      <c r="P34" s="19" t="s">
        <v>107</v>
      </c>
      <c r="Q34" s="18"/>
      <c r="R34" s="18"/>
      <c r="S34" s="23">
        <v>6.5</v>
      </c>
      <c r="T34" s="23">
        <v>65.0</v>
      </c>
      <c r="U34" s="23">
        <f t="shared" si="2"/>
        <v>62.4</v>
      </c>
      <c r="V34" s="23">
        <f t="shared" si="3"/>
        <v>7.9625</v>
      </c>
      <c r="W34" s="23">
        <f t="shared" si="4"/>
        <v>149.296875</v>
      </c>
      <c r="X34" s="24">
        <f t="shared" si="5"/>
        <v>7.836734694</v>
      </c>
    </row>
    <row r="35" ht="39.0" customHeight="1">
      <c r="A35" s="15" t="s">
        <v>213</v>
      </c>
      <c r="B35" s="15" t="s">
        <v>214</v>
      </c>
      <c r="C35" s="16"/>
      <c r="D35" s="15" t="s">
        <v>215</v>
      </c>
      <c r="E35" s="17" t="s">
        <v>216</v>
      </c>
      <c r="F35" s="18"/>
      <c r="G35" s="18"/>
      <c r="H35" s="15" t="s">
        <v>217</v>
      </c>
      <c r="I35" s="18"/>
      <c r="J35" s="19" t="s">
        <v>59</v>
      </c>
      <c r="K35" s="19" t="s">
        <v>60</v>
      </c>
      <c r="L35" s="19" t="s">
        <v>52</v>
      </c>
      <c r="M35" s="20">
        <f t="shared" si="1"/>
        <v>53.28</v>
      </c>
      <c r="N35" s="30" t="s">
        <v>79</v>
      </c>
      <c r="O35" s="31">
        <v>30.0</v>
      </c>
      <c r="P35" s="19" t="s">
        <v>107</v>
      </c>
      <c r="Q35" s="18"/>
      <c r="R35" s="18"/>
      <c r="S35" s="23">
        <v>0.3</v>
      </c>
      <c r="T35" s="23">
        <v>3.0</v>
      </c>
      <c r="U35" s="23">
        <f t="shared" si="2"/>
        <v>2.88</v>
      </c>
      <c r="V35" s="23">
        <f t="shared" si="3"/>
        <v>0.3675</v>
      </c>
      <c r="W35" s="23">
        <f t="shared" si="4"/>
        <v>6.890625</v>
      </c>
      <c r="X35" s="24">
        <f t="shared" si="5"/>
        <v>7.836734694</v>
      </c>
    </row>
    <row r="36" ht="39.0" customHeight="1">
      <c r="A36" s="15" t="s">
        <v>218</v>
      </c>
      <c r="B36" s="15" t="s">
        <v>219</v>
      </c>
      <c r="C36" s="16" t="str">
        <f>IMAGE("https://i.ibb.co/dsD8Yb9v/1894.png")</f>
        <v/>
      </c>
      <c r="D36" s="15" t="s">
        <v>220</v>
      </c>
      <c r="E36" s="17" t="s">
        <v>221</v>
      </c>
      <c r="F36" s="18"/>
      <c r="G36" s="18"/>
      <c r="H36" s="15" t="s">
        <v>222</v>
      </c>
      <c r="I36" s="18"/>
      <c r="J36" s="19" t="s">
        <v>59</v>
      </c>
      <c r="K36" s="19" t="s">
        <v>60</v>
      </c>
      <c r="L36" s="19" t="s">
        <v>52</v>
      </c>
      <c r="M36" s="20">
        <f t="shared" si="1"/>
        <v>53.28</v>
      </c>
      <c r="N36" s="30" t="s">
        <v>79</v>
      </c>
      <c r="O36" s="31">
        <v>30.0</v>
      </c>
      <c r="P36" s="19" t="s">
        <v>107</v>
      </c>
      <c r="Q36" s="18"/>
      <c r="R36" s="18"/>
      <c r="S36" s="23">
        <v>0.3</v>
      </c>
      <c r="T36" s="23">
        <v>3.0</v>
      </c>
      <c r="U36" s="23">
        <f t="shared" si="2"/>
        <v>2.88</v>
      </c>
      <c r="V36" s="23">
        <f t="shared" si="3"/>
        <v>0.3675</v>
      </c>
      <c r="W36" s="23">
        <f t="shared" si="4"/>
        <v>6.890625</v>
      </c>
      <c r="X36" s="24">
        <f t="shared" si="5"/>
        <v>7.836734694</v>
      </c>
    </row>
    <row r="37" ht="39.0" customHeight="1">
      <c r="A37" s="15" t="s">
        <v>223</v>
      </c>
      <c r="B37" s="15" t="s">
        <v>224</v>
      </c>
      <c r="C37" s="16" t="str">
        <f>IMAGE("https://i.ibb.co/hx7rn5dL/1895.png")</f>
        <v/>
      </c>
      <c r="D37" s="15" t="s">
        <v>225</v>
      </c>
      <c r="E37" s="17" t="s">
        <v>226</v>
      </c>
      <c r="F37" s="18"/>
      <c r="G37" s="15" t="s">
        <v>227</v>
      </c>
      <c r="H37" s="15" t="s">
        <v>228</v>
      </c>
      <c r="I37" s="18"/>
      <c r="J37" s="19" t="s">
        <v>36</v>
      </c>
      <c r="K37" s="19" t="s">
        <v>60</v>
      </c>
      <c r="L37" s="19" t="s">
        <v>188</v>
      </c>
      <c r="M37" s="20">
        <f t="shared" si="1"/>
        <v>355.2</v>
      </c>
      <c r="N37" s="30" t="s">
        <v>68</v>
      </c>
      <c r="O37" s="31">
        <v>6.0</v>
      </c>
      <c r="P37" s="19" t="s">
        <v>107</v>
      </c>
      <c r="Q37" s="18"/>
      <c r="R37" s="18"/>
      <c r="S37" s="23">
        <v>2.0</v>
      </c>
      <c r="T37" s="23">
        <v>20.0</v>
      </c>
      <c r="U37" s="23">
        <f t="shared" si="2"/>
        <v>19.2</v>
      </c>
      <c r="V37" s="23">
        <f t="shared" si="3"/>
        <v>2.45</v>
      </c>
      <c r="W37" s="23">
        <f t="shared" si="4"/>
        <v>45.9375</v>
      </c>
      <c r="X37" s="24">
        <f t="shared" si="5"/>
        <v>7.836734694</v>
      </c>
    </row>
    <row r="38" ht="39.0" customHeight="1">
      <c r="A38" s="15" t="s">
        <v>229</v>
      </c>
      <c r="B38" s="15" t="s">
        <v>230</v>
      </c>
      <c r="C38" s="16"/>
      <c r="D38" s="15" t="s">
        <v>144</v>
      </c>
      <c r="E38" s="17" t="s">
        <v>145</v>
      </c>
      <c r="F38" s="18"/>
      <c r="G38" s="18"/>
      <c r="H38" s="15" t="s">
        <v>231</v>
      </c>
      <c r="I38" s="18"/>
      <c r="J38" s="19" t="s">
        <v>59</v>
      </c>
      <c r="K38" s="19" t="s">
        <v>52</v>
      </c>
      <c r="L38" s="19" t="s">
        <v>147</v>
      </c>
      <c r="M38" s="20">
        <f t="shared" si="1"/>
        <v>2042.4</v>
      </c>
      <c r="N38" s="30" t="s">
        <v>68</v>
      </c>
      <c r="O38" s="31">
        <v>5.0</v>
      </c>
      <c r="P38" s="19" t="s">
        <v>107</v>
      </c>
      <c r="Q38" s="18"/>
      <c r="R38" s="18"/>
      <c r="S38" s="23">
        <v>12.0</v>
      </c>
      <c r="T38" s="23">
        <v>115.0</v>
      </c>
      <c r="U38" s="23">
        <f t="shared" si="2"/>
        <v>110.4</v>
      </c>
      <c r="V38" s="23">
        <f t="shared" si="3"/>
        <v>14.7</v>
      </c>
      <c r="W38" s="23">
        <f t="shared" si="4"/>
        <v>275.625</v>
      </c>
      <c r="X38" s="24">
        <f t="shared" si="5"/>
        <v>7.510204082</v>
      </c>
    </row>
    <row r="39" ht="39.0" customHeight="1">
      <c r="A39" s="15" t="s">
        <v>232</v>
      </c>
      <c r="B39" s="15" t="s">
        <v>233</v>
      </c>
      <c r="C39" s="16"/>
      <c r="D39" s="15" t="s">
        <v>144</v>
      </c>
      <c r="E39" s="17" t="s">
        <v>145</v>
      </c>
      <c r="F39" s="18"/>
      <c r="G39" s="18"/>
      <c r="H39" s="15" t="s">
        <v>234</v>
      </c>
      <c r="I39" s="18"/>
      <c r="J39" s="19" t="s">
        <v>59</v>
      </c>
      <c r="K39" s="19" t="s">
        <v>52</v>
      </c>
      <c r="L39" s="19" t="s">
        <v>147</v>
      </c>
      <c r="M39" s="20">
        <f t="shared" si="1"/>
        <v>2042.4</v>
      </c>
      <c r="N39" s="30" t="s">
        <v>68</v>
      </c>
      <c r="O39" s="31">
        <v>6.0</v>
      </c>
      <c r="P39" s="19" t="s">
        <v>107</v>
      </c>
      <c r="Q39" s="18"/>
      <c r="R39" s="18"/>
      <c r="S39" s="23">
        <v>12.0</v>
      </c>
      <c r="T39" s="23">
        <v>115.0</v>
      </c>
      <c r="U39" s="23">
        <f t="shared" si="2"/>
        <v>110.4</v>
      </c>
      <c r="V39" s="23">
        <f t="shared" si="3"/>
        <v>14.7</v>
      </c>
      <c r="W39" s="23">
        <f t="shared" si="4"/>
        <v>275.625</v>
      </c>
      <c r="X39" s="24">
        <f t="shared" si="5"/>
        <v>7.510204082</v>
      </c>
    </row>
    <row r="40" ht="39.0" customHeight="1">
      <c r="A40" s="15" t="s">
        <v>235</v>
      </c>
      <c r="B40" s="15" t="s">
        <v>236</v>
      </c>
      <c r="C40" s="16" t="str">
        <f>IMAGE("https://i.ibb.co/B5cVf85v/1913.png")</f>
        <v/>
      </c>
      <c r="D40" s="15" t="s">
        <v>237</v>
      </c>
      <c r="E40" s="17" t="s">
        <v>238</v>
      </c>
      <c r="F40" s="18"/>
      <c r="G40" s="15" t="s">
        <v>239</v>
      </c>
      <c r="H40" s="15" t="s">
        <v>240</v>
      </c>
      <c r="I40" s="15" t="s">
        <v>241</v>
      </c>
      <c r="J40" s="19" t="s">
        <v>36</v>
      </c>
      <c r="K40" s="19" t="s">
        <v>60</v>
      </c>
      <c r="L40" s="19" t="s">
        <v>84</v>
      </c>
      <c r="M40" s="20">
        <f t="shared" si="1"/>
        <v>6695.52</v>
      </c>
      <c r="N40" s="30" t="s">
        <v>68</v>
      </c>
      <c r="O40" s="31">
        <v>2.0</v>
      </c>
      <c r="P40" s="19" t="s">
        <v>107</v>
      </c>
      <c r="Q40" s="18"/>
      <c r="R40" s="18"/>
      <c r="S40" s="23">
        <v>40.0</v>
      </c>
      <c r="T40" s="23">
        <v>377.0</v>
      </c>
      <c r="U40" s="23">
        <f t="shared" si="2"/>
        <v>361.92</v>
      </c>
      <c r="V40" s="23">
        <f t="shared" si="3"/>
        <v>49</v>
      </c>
      <c r="W40" s="23">
        <f t="shared" si="4"/>
        <v>918.75</v>
      </c>
      <c r="X40" s="24">
        <f t="shared" si="5"/>
        <v>7.386122449</v>
      </c>
    </row>
    <row r="41" ht="39.0" customHeight="1">
      <c r="A41" s="15" t="s">
        <v>242</v>
      </c>
      <c r="B41" s="15" t="s">
        <v>243</v>
      </c>
      <c r="C41" s="16" t="str">
        <f>IMAGE("https://i.ibb.co/dJpzbFz1/1926.png")</f>
        <v/>
      </c>
      <c r="D41" s="15" t="s">
        <v>244</v>
      </c>
      <c r="E41" s="17" t="s">
        <v>245</v>
      </c>
      <c r="F41" s="18"/>
      <c r="G41" s="15" t="s">
        <v>246</v>
      </c>
      <c r="H41" s="15" t="s">
        <v>247</v>
      </c>
      <c r="I41" s="18"/>
      <c r="J41" s="19" t="s">
        <v>36</v>
      </c>
      <c r="K41" s="19" t="s">
        <v>60</v>
      </c>
      <c r="L41" s="19" t="s">
        <v>52</v>
      </c>
      <c r="M41" s="20">
        <f t="shared" si="1"/>
        <v>6695.52</v>
      </c>
      <c r="N41" s="30"/>
      <c r="O41" s="31">
        <v>2.0</v>
      </c>
      <c r="P41" s="19" t="s">
        <v>107</v>
      </c>
      <c r="Q41" s="18"/>
      <c r="R41" s="18"/>
      <c r="S41" s="23">
        <v>40.0</v>
      </c>
      <c r="T41" s="23">
        <v>377.0</v>
      </c>
      <c r="U41" s="23">
        <f t="shared" si="2"/>
        <v>361.92</v>
      </c>
      <c r="V41" s="23">
        <f t="shared" si="3"/>
        <v>49</v>
      </c>
      <c r="W41" s="23">
        <f t="shared" si="4"/>
        <v>918.75</v>
      </c>
      <c r="X41" s="24">
        <f t="shared" si="5"/>
        <v>7.386122449</v>
      </c>
    </row>
    <row r="42" ht="39.0" customHeight="1">
      <c r="A42" s="15" t="s">
        <v>248</v>
      </c>
      <c r="B42" s="15" t="s">
        <v>249</v>
      </c>
      <c r="C42" s="16"/>
      <c r="D42" s="15" t="s">
        <v>250</v>
      </c>
      <c r="E42" s="17" t="s">
        <v>251</v>
      </c>
      <c r="F42" s="18"/>
      <c r="G42" s="15" t="s">
        <v>252</v>
      </c>
      <c r="H42" s="15" t="s">
        <v>253</v>
      </c>
      <c r="I42" s="18"/>
      <c r="J42" s="19" t="s">
        <v>59</v>
      </c>
      <c r="K42" s="33"/>
      <c r="L42" s="19" t="s">
        <v>38</v>
      </c>
      <c r="M42" s="20">
        <f t="shared" si="1"/>
        <v>2823.84</v>
      </c>
      <c r="N42" s="30" t="s">
        <v>68</v>
      </c>
      <c r="O42" s="31">
        <v>6.0</v>
      </c>
      <c r="P42" s="19" t="s">
        <v>107</v>
      </c>
      <c r="Q42" s="18"/>
      <c r="R42" s="18"/>
      <c r="S42" s="23">
        <v>17.0</v>
      </c>
      <c r="T42" s="23">
        <v>159.0</v>
      </c>
      <c r="U42" s="23">
        <f t="shared" si="2"/>
        <v>152.64</v>
      </c>
      <c r="V42" s="23">
        <f t="shared" si="3"/>
        <v>20.825</v>
      </c>
      <c r="W42" s="23">
        <f t="shared" si="4"/>
        <v>390.46875</v>
      </c>
      <c r="X42" s="24">
        <f t="shared" si="5"/>
        <v>7.329651861</v>
      </c>
    </row>
    <row r="43" ht="39.0" customHeight="1">
      <c r="A43" s="15" t="s">
        <v>254</v>
      </c>
      <c r="B43" s="15" t="s">
        <v>255</v>
      </c>
      <c r="C43" s="16" t="str">
        <f>IMAGE("https://i.ibb.co/4ZGfCgB2/1035.jpg")</f>
        <v/>
      </c>
      <c r="D43" s="15" t="s">
        <v>256</v>
      </c>
      <c r="E43" s="17" t="s">
        <v>257</v>
      </c>
      <c r="F43" s="18"/>
      <c r="G43" s="18"/>
      <c r="H43" s="15" t="s">
        <v>258</v>
      </c>
      <c r="I43" s="18"/>
      <c r="J43" s="19" t="s">
        <v>59</v>
      </c>
      <c r="K43" s="19" t="s">
        <v>60</v>
      </c>
      <c r="L43" s="19" t="s">
        <v>52</v>
      </c>
      <c r="M43" s="20">
        <f t="shared" si="1"/>
        <v>11988</v>
      </c>
      <c r="N43" s="30"/>
      <c r="O43" s="31">
        <v>2.0</v>
      </c>
      <c r="P43" s="19" t="s">
        <v>107</v>
      </c>
      <c r="Q43" s="18"/>
      <c r="R43" s="18"/>
      <c r="S43" s="23">
        <v>75.0</v>
      </c>
      <c r="T43" s="23">
        <v>675.0</v>
      </c>
      <c r="U43" s="23">
        <f t="shared" si="2"/>
        <v>648</v>
      </c>
      <c r="V43" s="23">
        <f t="shared" si="3"/>
        <v>91.875</v>
      </c>
      <c r="W43" s="23">
        <f t="shared" si="4"/>
        <v>1722.65625</v>
      </c>
      <c r="X43" s="24">
        <f t="shared" si="5"/>
        <v>7.053061224</v>
      </c>
    </row>
    <row r="44" ht="39.0" customHeight="1">
      <c r="A44" s="15" t="s">
        <v>259</v>
      </c>
      <c r="B44" s="15" t="s">
        <v>260</v>
      </c>
      <c r="C44" s="16" t="str">
        <f>IMAGE("https://i.ibb.co/qLy3gLKv/1938.png")</f>
        <v/>
      </c>
      <c r="D44" s="15" t="s">
        <v>261</v>
      </c>
      <c r="E44" s="17" t="s">
        <v>262</v>
      </c>
      <c r="F44" s="18"/>
      <c r="G44" s="18"/>
      <c r="H44" s="15" t="s">
        <v>263</v>
      </c>
      <c r="I44" s="18"/>
      <c r="J44" s="19" t="s">
        <v>36</v>
      </c>
      <c r="K44" s="19" t="s">
        <v>60</v>
      </c>
      <c r="L44" s="19" t="s">
        <v>52</v>
      </c>
      <c r="M44" s="20">
        <f t="shared" si="1"/>
        <v>1687.2</v>
      </c>
      <c r="N44" s="30" t="s">
        <v>79</v>
      </c>
      <c r="O44" s="31">
        <v>5.0</v>
      </c>
      <c r="P44" s="19" t="s">
        <v>107</v>
      </c>
      <c r="Q44" s="18"/>
      <c r="R44" s="18"/>
      <c r="S44" s="23">
        <v>11.0</v>
      </c>
      <c r="T44" s="23">
        <v>95.0</v>
      </c>
      <c r="U44" s="23">
        <f t="shared" si="2"/>
        <v>91.2</v>
      </c>
      <c r="V44" s="23">
        <f t="shared" si="3"/>
        <v>13.475</v>
      </c>
      <c r="W44" s="23">
        <f t="shared" si="4"/>
        <v>252.65625</v>
      </c>
      <c r="X44" s="24">
        <f t="shared" si="5"/>
        <v>6.768089054</v>
      </c>
    </row>
    <row r="45" ht="39.0" customHeight="1">
      <c r="A45" s="15" t="s">
        <v>264</v>
      </c>
      <c r="B45" s="15" t="s">
        <v>265</v>
      </c>
      <c r="C45" s="16" t="str">
        <f>IMAGE("https://i.ibb.co/jvf0GNv5/1915.png")</f>
        <v/>
      </c>
      <c r="D45" s="15" t="s">
        <v>266</v>
      </c>
      <c r="E45" s="17" t="s">
        <v>267</v>
      </c>
      <c r="F45" s="18"/>
      <c r="G45" s="18"/>
      <c r="H45" s="15" t="s">
        <v>268</v>
      </c>
      <c r="I45" s="18"/>
      <c r="J45" s="19" t="s">
        <v>36</v>
      </c>
      <c r="K45" s="19" t="s">
        <v>200</v>
      </c>
      <c r="L45" s="19" t="s">
        <v>269</v>
      </c>
      <c r="M45" s="20">
        <f t="shared" si="1"/>
        <v>15309.12</v>
      </c>
      <c r="N45" s="30"/>
      <c r="O45" s="31">
        <v>3.0</v>
      </c>
      <c r="P45" s="19" t="s">
        <v>107</v>
      </c>
      <c r="Q45" s="18"/>
      <c r="R45" s="18"/>
      <c r="S45" s="23">
        <v>100.0</v>
      </c>
      <c r="T45" s="23">
        <v>862.0</v>
      </c>
      <c r="U45" s="23">
        <f t="shared" si="2"/>
        <v>827.52</v>
      </c>
      <c r="V45" s="23">
        <f t="shared" si="3"/>
        <v>122.5</v>
      </c>
      <c r="W45" s="23">
        <f t="shared" si="4"/>
        <v>2296.875</v>
      </c>
      <c r="X45" s="24">
        <f t="shared" si="5"/>
        <v>6.755265306</v>
      </c>
      <c r="AF45" s="34"/>
    </row>
    <row r="46" ht="39.0" customHeight="1">
      <c r="A46" s="15" t="s">
        <v>270</v>
      </c>
      <c r="B46" s="15" t="s">
        <v>271</v>
      </c>
      <c r="C46" s="16"/>
      <c r="D46" s="15" t="s">
        <v>272</v>
      </c>
      <c r="E46" s="17" t="s">
        <v>273</v>
      </c>
      <c r="F46" s="18"/>
      <c r="G46" s="18"/>
      <c r="H46" s="15" t="s">
        <v>274</v>
      </c>
      <c r="I46" s="15" t="s">
        <v>275</v>
      </c>
      <c r="J46" s="19" t="s">
        <v>36</v>
      </c>
      <c r="K46" s="19" t="s">
        <v>276</v>
      </c>
      <c r="L46" s="19" t="s">
        <v>52</v>
      </c>
      <c r="M46" s="20">
        <f t="shared" si="1"/>
        <v>17937.6</v>
      </c>
      <c r="N46" s="30"/>
      <c r="O46" s="31">
        <v>2.0</v>
      </c>
      <c r="P46" s="19" t="s">
        <v>107</v>
      </c>
      <c r="Q46" s="18"/>
      <c r="R46" s="18"/>
      <c r="S46" s="23">
        <v>120.0</v>
      </c>
      <c r="T46" s="23">
        <v>1010.0</v>
      </c>
      <c r="U46" s="23">
        <f t="shared" si="2"/>
        <v>969.6</v>
      </c>
      <c r="V46" s="23">
        <f t="shared" si="3"/>
        <v>147</v>
      </c>
      <c r="W46" s="23">
        <f t="shared" si="4"/>
        <v>2756.25</v>
      </c>
      <c r="X46" s="24">
        <f t="shared" si="5"/>
        <v>6.595918367</v>
      </c>
      <c r="AF46" s="34"/>
    </row>
    <row r="47" ht="39.0" customHeight="1">
      <c r="A47" s="15" t="s">
        <v>277</v>
      </c>
      <c r="B47" s="15" t="s">
        <v>278</v>
      </c>
      <c r="C47" s="16"/>
      <c r="D47" s="15" t="s">
        <v>279</v>
      </c>
      <c r="E47" s="17" t="s">
        <v>280</v>
      </c>
      <c r="F47" s="18"/>
      <c r="G47" s="15" t="s">
        <v>281</v>
      </c>
      <c r="H47" s="15" t="s">
        <v>282</v>
      </c>
      <c r="I47" s="18"/>
      <c r="J47" s="19" t="s">
        <v>283</v>
      </c>
      <c r="K47" s="19" t="s">
        <v>284</v>
      </c>
      <c r="L47" s="19" t="s">
        <v>285</v>
      </c>
      <c r="M47" s="20">
        <f t="shared" si="1"/>
        <v>888</v>
      </c>
      <c r="N47" s="30"/>
      <c r="O47" s="31">
        <v>5.0</v>
      </c>
      <c r="P47" s="19" t="s">
        <v>107</v>
      </c>
      <c r="Q47" s="18"/>
      <c r="R47" s="18"/>
      <c r="S47" s="23">
        <v>6.0</v>
      </c>
      <c r="T47" s="23">
        <v>50.0</v>
      </c>
      <c r="U47" s="23">
        <f t="shared" si="2"/>
        <v>48</v>
      </c>
      <c r="V47" s="23">
        <f t="shared" si="3"/>
        <v>7.35</v>
      </c>
      <c r="W47" s="23">
        <f t="shared" si="4"/>
        <v>137.8125</v>
      </c>
      <c r="X47" s="24">
        <f t="shared" si="5"/>
        <v>6.530612245</v>
      </c>
    </row>
    <row r="48" ht="39.0" customHeight="1">
      <c r="A48" s="15" t="s">
        <v>286</v>
      </c>
      <c r="B48" s="15" t="s">
        <v>287</v>
      </c>
      <c r="C48" s="16" t="str">
        <f>IMAGE("https://i.ibb.co/VcvZCXkz/1897.png")</f>
        <v/>
      </c>
      <c r="D48" s="15" t="s">
        <v>288</v>
      </c>
      <c r="E48" s="17" t="s">
        <v>289</v>
      </c>
      <c r="F48" s="18"/>
      <c r="G48" s="15" t="s">
        <v>290</v>
      </c>
      <c r="H48" s="15" t="s">
        <v>291</v>
      </c>
      <c r="I48" s="18"/>
      <c r="J48" s="19" t="s">
        <v>36</v>
      </c>
      <c r="K48" s="19" t="s">
        <v>60</v>
      </c>
      <c r="L48" s="19" t="s">
        <v>292</v>
      </c>
      <c r="M48" s="20">
        <f t="shared" si="1"/>
        <v>1172.16</v>
      </c>
      <c r="N48" s="30"/>
      <c r="O48" s="31">
        <v>3.0</v>
      </c>
      <c r="P48" s="19" t="s">
        <v>107</v>
      </c>
      <c r="Q48" s="18"/>
      <c r="R48" s="18"/>
      <c r="S48" s="23">
        <v>8.0</v>
      </c>
      <c r="T48" s="23">
        <v>66.0</v>
      </c>
      <c r="U48" s="23">
        <f t="shared" si="2"/>
        <v>63.36</v>
      </c>
      <c r="V48" s="23">
        <f t="shared" si="3"/>
        <v>9.8</v>
      </c>
      <c r="W48" s="23">
        <f t="shared" si="4"/>
        <v>183.75</v>
      </c>
      <c r="X48" s="24">
        <f t="shared" si="5"/>
        <v>6.465306122</v>
      </c>
    </row>
    <row r="49" ht="39.0" customHeight="1">
      <c r="A49" s="15" t="s">
        <v>293</v>
      </c>
      <c r="B49" s="15" t="s">
        <v>294</v>
      </c>
      <c r="C49" s="16"/>
      <c r="D49" s="15" t="s">
        <v>295</v>
      </c>
      <c r="E49" s="17" t="s">
        <v>296</v>
      </c>
      <c r="F49" s="18"/>
      <c r="G49" s="18"/>
      <c r="H49" s="15" t="s">
        <v>297</v>
      </c>
      <c r="I49" s="18"/>
      <c r="J49" s="19" t="s">
        <v>36</v>
      </c>
      <c r="K49" s="19" t="s">
        <v>60</v>
      </c>
      <c r="L49" s="19" t="s">
        <v>135</v>
      </c>
      <c r="M49" s="20">
        <f t="shared" si="1"/>
        <v>1243.2</v>
      </c>
      <c r="N49" s="30" t="s">
        <v>79</v>
      </c>
      <c r="O49" s="31">
        <v>2.0</v>
      </c>
      <c r="P49" s="19" t="s">
        <v>107</v>
      </c>
      <c r="Q49" s="18"/>
      <c r="R49" s="18"/>
      <c r="S49" s="23">
        <v>8.5</v>
      </c>
      <c r="T49" s="23">
        <v>70.0</v>
      </c>
      <c r="U49" s="23">
        <f t="shared" si="2"/>
        <v>67.2</v>
      </c>
      <c r="V49" s="23">
        <f t="shared" si="3"/>
        <v>10.4125</v>
      </c>
      <c r="W49" s="23">
        <f t="shared" si="4"/>
        <v>195.234375</v>
      </c>
      <c r="X49" s="24">
        <f t="shared" si="5"/>
        <v>6.453781513</v>
      </c>
    </row>
    <row r="50" ht="39.0" customHeight="1">
      <c r="A50" s="15" t="s">
        <v>298</v>
      </c>
      <c r="B50" s="15" t="s">
        <v>299</v>
      </c>
      <c r="C50" s="16" t="str">
        <f>IMAGE("https://i.ibb.co/zVJP4ZNR/1841.png")</f>
        <v/>
      </c>
      <c r="D50" s="15" t="s">
        <v>300</v>
      </c>
      <c r="E50" s="17" t="s">
        <v>301</v>
      </c>
      <c r="F50" s="18"/>
      <c r="G50" s="18"/>
      <c r="H50" s="15" t="s">
        <v>302</v>
      </c>
      <c r="I50" s="18"/>
      <c r="J50" s="19" t="s">
        <v>59</v>
      </c>
      <c r="K50" s="19" t="s">
        <v>60</v>
      </c>
      <c r="L50" s="19" t="s">
        <v>177</v>
      </c>
      <c r="M50" s="20">
        <f t="shared" si="1"/>
        <v>14580.96</v>
      </c>
      <c r="N50" s="30"/>
      <c r="O50" s="31">
        <v>3.0</v>
      </c>
      <c r="P50" s="19" t="s">
        <v>107</v>
      </c>
      <c r="Q50" s="18"/>
      <c r="R50" s="18"/>
      <c r="S50" s="23">
        <v>100.0</v>
      </c>
      <c r="T50" s="23">
        <v>821.0</v>
      </c>
      <c r="U50" s="23">
        <f t="shared" si="2"/>
        <v>788.16</v>
      </c>
      <c r="V50" s="23">
        <f t="shared" si="3"/>
        <v>122.5</v>
      </c>
      <c r="W50" s="23">
        <f t="shared" si="4"/>
        <v>2296.875</v>
      </c>
      <c r="X50" s="24">
        <f t="shared" si="5"/>
        <v>6.433959184</v>
      </c>
    </row>
    <row r="51" ht="39.0" customHeight="1">
      <c r="A51" s="15" t="s">
        <v>303</v>
      </c>
      <c r="B51" s="15" t="s">
        <v>304</v>
      </c>
      <c r="C51" s="16"/>
      <c r="D51" s="15" t="s">
        <v>305</v>
      </c>
      <c r="E51" s="17" t="s">
        <v>306</v>
      </c>
      <c r="F51" s="18"/>
      <c r="G51" s="18"/>
      <c r="H51" s="15" t="s">
        <v>307</v>
      </c>
      <c r="I51" s="18"/>
      <c r="J51" s="19" t="s">
        <v>59</v>
      </c>
      <c r="K51" s="19" t="s">
        <v>60</v>
      </c>
      <c r="L51" s="19" t="s">
        <v>52</v>
      </c>
      <c r="M51" s="20">
        <f t="shared" si="1"/>
        <v>1012.32</v>
      </c>
      <c r="N51" s="30" t="s">
        <v>68</v>
      </c>
      <c r="O51" s="31">
        <v>5.0</v>
      </c>
      <c r="P51" s="19" t="s">
        <v>107</v>
      </c>
      <c r="Q51" s="18"/>
      <c r="R51" s="18"/>
      <c r="S51" s="23">
        <v>7.0</v>
      </c>
      <c r="T51" s="23">
        <v>57.0</v>
      </c>
      <c r="U51" s="23">
        <f t="shared" si="2"/>
        <v>54.72</v>
      </c>
      <c r="V51" s="23">
        <f t="shared" si="3"/>
        <v>8.575</v>
      </c>
      <c r="W51" s="23">
        <f t="shared" si="4"/>
        <v>160.78125</v>
      </c>
      <c r="X51" s="24">
        <f t="shared" si="5"/>
        <v>6.381341108</v>
      </c>
    </row>
    <row r="52" ht="39.0" customHeight="1">
      <c r="A52" s="15" t="s">
        <v>308</v>
      </c>
      <c r="B52" s="15" t="s">
        <v>309</v>
      </c>
      <c r="C52" s="16" t="str">
        <f>IMAGE("https://i.ibb.co/cXCMGcfT/1845.png")</f>
        <v/>
      </c>
      <c r="D52" s="15" t="s">
        <v>310</v>
      </c>
      <c r="E52" s="17" t="s">
        <v>311</v>
      </c>
      <c r="F52" s="18"/>
      <c r="G52" s="15" t="s">
        <v>312</v>
      </c>
      <c r="H52" s="15" t="s">
        <v>313</v>
      </c>
      <c r="I52" s="18"/>
      <c r="J52" s="19" t="s">
        <v>36</v>
      </c>
      <c r="K52" s="19" t="s">
        <v>52</v>
      </c>
      <c r="L52" s="19" t="s">
        <v>52</v>
      </c>
      <c r="M52" s="20">
        <f t="shared" si="1"/>
        <v>3996</v>
      </c>
      <c r="N52" s="30" t="s">
        <v>68</v>
      </c>
      <c r="O52" s="31">
        <v>3.0</v>
      </c>
      <c r="P52" s="19" t="s">
        <v>107</v>
      </c>
      <c r="Q52" s="18"/>
      <c r="R52" s="18"/>
      <c r="S52" s="23">
        <v>28.0</v>
      </c>
      <c r="T52" s="23">
        <v>225.0</v>
      </c>
      <c r="U52" s="23">
        <f t="shared" si="2"/>
        <v>216</v>
      </c>
      <c r="V52" s="23">
        <f t="shared" si="3"/>
        <v>34.3</v>
      </c>
      <c r="W52" s="23">
        <f t="shared" si="4"/>
        <v>643.125</v>
      </c>
      <c r="X52" s="24">
        <f t="shared" si="5"/>
        <v>6.297376093</v>
      </c>
    </row>
    <row r="53" ht="39.0" customHeight="1">
      <c r="A53" s="15" t="s">
        <v>314</v>
      </c>
      <c r="B53" s="15" t="s">
        <v>315</v>
      </c>
      <c r="C53" s="16"/>
      <c r="D53" s="15" t="s">
        <v>316</v>
      </c>
      <c r="E53" s="17" t="s">
        <v>317</v>
      </c>
      <c r="F53" s="18"/>
      <c r="G53" s="18"/>
      <c r="H53" s="15" t="s">
        <v>318</v>
      </c>
      <c r="I53" s="15" t="s">
        <v>319</v>
      </c>
      <c r="J53" s="19" t="s">
        <v>36</v>
      </c>
      <c r="K53" s="19" t="s">
        <v>37</v>
      </c>
      <c r="L53" s="19" t="s">
        <v>38</v>
      </c>
      <c r="M53" s="20">
        <f t="shared" si="1"/>
        <v>426.24</v>
      </c>
      <c r="N53" s="30"/>
      <c r="O53" s="31">
        <v>10.0</v>
      </c>
      <c r="P53" s="19" t="s">
        <v>107</v>
      </c>
      <c r="Q53" s="18"/>
      <c r="R53" s="18"/>
      <c r="S53" s="23">
        <v>3.0</v>
      </c>
      <c r="T53" s="23">
        <v>24.0</v>
      </c>
      <c r="U53" s="23">
        <f t="shared" si="2"/>
        <v>23.04</v>
      </c>
      <c r="V53" s="23">
        <f t="shared" si="3"/>
        <v>3.675</v>
      </c>
      <c r="W53" s="23">
        <f t="shared" si="4"/>
        <v>68.90625</v>
      </c>
      <c r="X53" s="24">
        <f t="shared" si="5"/>
        <v>6.269387755</v>
      </c>
    </row>
    <row r="54" ht="39.0" customHeight="1">
      <c r="A54" s="15" t="s">
        <v>320</v>
      </c>
      <c r="B54" s="15" t="s">
        <v>321</v>
      </c>
      <c r="C54" s="16" t="str">
        <f>IMAGE("https://i.ibb.co/Mxx4JkQt/1914.png")</f>
        <v/>
      </c>
      <c r="D54" s="15" t="s">
        <v>322</v>
      </c>
      <c r="E54" s="17" t="s">
        <v>323</v>
      </c>
      <c r="F54" s="18"/>
      <c r="G54" s="15" t="s">
        <v>324</v>
      </c>
      <c r="H54" s="15" t="s">
        <v>325</v>
      </c>
      <c r="I54" s="18"/>
      <c r="J54" s="19" t="s">
        <v>36</v>
      </c>
      <c r="K54" s="19" t="s">
        <v>60</v>
      </c>
      <c r="L54" s="19" t="s">
        <v>52</v>
      </c>
      <c r="M54" s="20">
        <f t="shared" si="1"/>
        <v>8453.76</v>
      </c>
      <c r="N54" s="30" t="s">
        <v>68</v>
      </c>
      <c r="O54" s="31">
        <v>2.0</v>
      </c>
      <c r="P54" s="19" t="s">
        <v>107</v>
      </c>
      <c r="Q54" s="18"/>
      <c r="R54" s="18"/>
      <c r="S54" s="23">
        <v>60.0</v>
      </c>
      <c r="T54" s="23">
        <v>476.0</v>
      </c>
      <c r="U54" s="23">
        <f t="shared" si="2"/>
        <v>456.96</v>
      </c>
      <c r="V54" s="23">
        <f t="shared" si="3"/>
        <v>73.5</v>
      </c>
      <c r="W54" s="23">
        <f t="shared" si="4"/>
        <v>1378.125</v>
      </c>
      <c r="X54" s="24">
        <f t="shared" si="5"/>
        <v>6.217142857</v>
      </c>
    </row>
    <row r="55" ht="39.0" customHeight="1">
      <c r="A55" s="15" t="s">
        <v>326</v>
      </c>
      <c r="B55" s="15" t="s">
        <v>327</v>
      </c>
      <c r="C55" s="16"/>
      <c r="D55" s="15" t="s">
        <v>328</v>
      </c>
      <c r="E55" s="17" t="s">
        <v>329</v>
      </c>
      <c r="F55" s="18"/>
      <c r="G55" s="15" t="s">
        <v>330</v>
      </c>
      <c r="H55" s="15" t="s">
        <v>331</v>
      </c>
      <c r="I55" s="18"/>
      <c r="J55" s="19" t="s">
        <v>104</v>
      </c>
      <c r="K55" s="19" t="s">
        <v>160</v>
      </c>
      <c r="L55" s="19" t="s">
        <v>106</v>
      </c>
      <c r="M55" s="20">
        <f t="shared" si="1"/>
        <v>3658.56</v>
      </c>
      <c r="N55" s="30"/>
      <c r="O55" s="31">
        <v>1.0</v>
      </c>
      <c r="P55" s="19" t="s">
        <v>107</v>
      </c>
      <c r="Q55" s="18"/>
      <c r="R55" s="18"/>
      <c r="S55" s="23">
        <v>26.0</v>
      </c>
      <c r="T55" s="23">
        <v>206.0</v>
      </c>
      <c r="U55" s="23">
        <f t="shared" si="2"/>
        <v>197.76</v>
      </c>
      <c r="V55" s="23">
        <f t="shared" si="3"/>
        <v>31.85</v>
      </c>
      <c r="W55" s="23">
        <f t="shared" si="4"/>
        <v>597.1875</v>
      </c>
      <c r="X55" s="24">
        <f t="shared" si="5"/>
        <v>6.209105181</v>
      </c>
    </row>
    <row r="56" ht="39.0" customHeight="1">
      <c r="A56" s="15" t="s">
        <v>332</v>
      </c>
      <c r="B56" s="15" t="s">
        <v>333</v>
      </c>
      <c r="C56" s="16" t="str">
        <f>IMAGE("https://i.ibb.co/ynqsJq42/1980.png")</f>
        <v/>
      </c>
      <c r="D56" s="15" t="s">
        <v>334</v>
      </c>
      <c r="E56" s="17" t="s">
        <v>335</v>
      </c>
      <c r="F56" s="18"/>
      <c r="G56" s="15" t="s">
        <v>336</v>
      </c>
      <c r="H56" s="15" t="s">
        <v>337</v>
      </c>
      <c r="I56" s="18"/>
      <c r="J56" s="19" t="s">
        <v>36</v>
      </c>
      <c r="K56" s="19" t="s">
        <v>60</v>
      </c>
      <c r="L56" s="19" t="s">
        <v>188</v>
      </c>
      <c r="M56" s="20">
        <f t="shared" si="1"/>
        <v>1260.96</v>
      </c>
      <c r="N56" s="30"/>
      <c r="O56" s="31">
        <v>6.0</v>
      </c>
      <c r="P56" s="19" t="s">
        <v>107</v>
      </c>
      <c r="Q56" s="18"/>
      <c r="R56" s="18"/>
      <c r="S56" s="23">
        <v>9.0</v>
      </c>
      <c r="T56" s="23">
        <v>71.0</v>
      </c>
      <c r="U56" s="23">
        <f t="shared" si="2"/>
        <v>68.16</v>
      </c>
      <c r="V56" s="23">
        <f t="shared" si="3"/>
        <v>11.025</v>
      </c>
      <c r="W56" s="23">
        <f t="shared" si="4"/>
        <v>206.71875</v>
      </c>
      <c r="X56" s="24">
        <f t="shared" si="5"/>
        <v>6.182312925</v>
      </c>
    </row>
    <row r="57" ht="39.0" customHeight="1">
      <c r="A57" s="15" t="s">
        <v>338</v>
      </c>
      <c r="B57" s="15" t="s">
        <v>339</v>
      </c>
      <c r="C57" s="16" t="str">
        <f>IMAGE("https://i.ibb.co/Xxb84THx/1937.png")</f>
        <v/>
      </c>
      <c r="D57" s="15" t="s">
        <v>340</v>
      </c>
      <c r="E57" s="17" t="s">
        <v>341</v>
      </c>
      <c r="F57" s="18"/>
      <c r="G57" s="18"/>
      <c r="H57" s="15" t="s">
        <v>342</v>
      </c>
      <c r="I57" s="18"/>
      <c r="J57" s="19" t="s">
        <v>59</v>
      </c>
      <c r="K57" s="33"/>
      <c r="L57" s="19" t="s">
        <v>135</v>
      </c>
      <c r="M57" s="20">
        <f t="shared" si="1"/>
        <v>1243.2</v>
      </c>
      <c r="N57" s="30"/>
      <c r="O57" s="31">
        <v>5.0</v>
      </c>
      <c r="P57" s="19" t="s">
        <v>107</v>
      </c>
      <c r="Q57" s="18"/>
      <c r="R57" s="18"/>
      <c r="S57" s="23">
        <v>9.0</v>
      </c>
      <c r="T57" s="23">
        <v>70.0</v>
      </c>
      <c r="U57" s="23">
        <f t="shared" si="2"/>
        <v>67.2</v>
      </c>
      <c r="V57" s="23">
        <f t="shared" si="3"/>
        <v>11.025</v>
      </c>
      <c r="W57" s="23">
        <f t="shared" si="4"/>
        <v>206.71875</v>
      </c>
      <c r="X57" s="24">
        <f t="shared" si="5"/>
        <v>6.095238095</v>
      </c>
    </row>
    <row r="58" ht="39.0" customHeight="1">
      <c r="A58" s="15" t="s">
        <v>343</v>
      </c>
      <c r="B58" s="15" t="s">
        <v>344</v>
      </c>
      <c r="C58" s="16"/>
      <c r="D58" s="15" t="s">
        <v>345</v>
      </c>
      <c r="E58" s="17" t="s">
        <v>346</v>
      </c>
      <c r="F58" s="18"/>
      <c r="G58" s="15" t="s">
        <v>347</v>
      </c>
      <c r="H58" s="15" t="s">
        <v>348</v>
      </c>
      <c r="I58" s="18"/>
      <c r="J58" s="19" t="s">
        <v>36</v>
      </c>
      <c r="K58" s="19" t="s">
        <v>60</v>
      </c>
      <c r="L58" s="19" t="s">
        <v>135</v>
      </c>
      <c r="M58" s="20">
        <f t="shared" si="1"/>
        <v>1651.68</v>
      </c>
      <c r="N58" s="30"/>
      <c r="O58" s="31">
        <v>3.0</v>
      </c>
      <c r="P58" s="19" t="s">
        <v>107</v>
      </c>
      <c r="Q58" s="18"/>
      <c r="R58" s="18"/>
      <c r="S58" s="23">
        <v>12.0</v>
      </c>
      <c r="T58" s="23">
        <v>93.0</v>
      </c>
      <c r="U58" s="23">
        <f t="shared" si="2"/>
        <v>89.28</v>
      </c>
      <c r="V58" s="23">
        <f t="shared" si="3"/>
        <v>14.7</v>
      </c>
      <c r="W58" s="23">
        <f t="shared" si="4"/>
        <v>275.625</v>
      </c>
      <c r="X58" s="24">
        <f t="shared" si="5"/>
        <v>6.073469388</v>
      </c>
    </row>
    <row r="59" ht="39.0" customHeight="1">
      <c r="A59" s="15" t="s">
        <v>349</v>
      </c>
      <c r="B59" s="15" t="s">
        <v>350</v>
      </c>
      <c r="C59" s="16" t="str">
        <f>IMAGE("https://i.ibb.co/q3PGWg71/2004.png")</f>
        <v/>
      </c>
      <c r="D59" s="15" t="s">
        <v>144</v>
      </c>
      <c r="E59" s="17" t="s">
        <v>145</v>
      </c>
      <c r="F59" s="18"/>
      <c r="G59" s="18"/>
      <c r="H59" s="15" t="s">
        <v>351</v>
      </c>
      <c r="I59" s="18"/>
      <c r="J59" s="19" t="s">
        <v>59</v>
      </c>
      <c r="K59" s="19" t="s">
        <v>52</v>
      </c>
      <c r="L59" s="19" t="s">
        <v>147</v>
      </c>
      <c r="M59" s="20">
        <f t="shared" si="1"/>
        <v>1633.92</v>
      </c>
      <c r="N59" s="30" t="s">
        <v>68</v>
      </c>
      <c r="O59" s="31">
        <v>5.0</v>
      </c>
      <c r="P59" s="19" t="s">
        <v>107</v>
      </c>
      <c r="Q59" s="18"/>
      <c r="R59" s="18"/>
      <c r="S59" s="23">
        <v>12.0</v>
      </c>
      <c r="T59" s="23">
        <v>92.0</v>
      </c>
      <c r="U59" s="23">
        <f t="shared" si="2"/>
        <v>88.32</v>
      </c>
      <c r="V59" s="23">
        <f t="shared" si="3"/>
        <v>14.7</v>
      </c>
      <c r="W59" s="23">
        <f t="shared" si="4"/>
        <v>275.625</v>
      </c>
      <c r="X59" s="24">
        <f t="shared" si="5"/>
        <v>6.008163265</v>
      </c>
    </row>
    <row r="60" ht="39.0" customHeight="1">
      <c r="A60" s="15" t="s">
        <v>352</v>
      </c>
      <c r="B60" s="15" t="s">
        <v>353</v>
      </c>
      <c r="C60" s="16"/>
      <c r="D60" s="15" t="s">
        <v>354</v>
      </c>
      <c r="E60" s="17" t="s">
        <v>355</v>
      </c>
      <c r="F60" s="18"/>
      <c r="G60" s="18"/>
      <c r="H60" s="15" t="s">
        <v>356</v>
      </c>
      <c r="I60" s="18"/>
      <c r="J60" s="19" t="s">
        <v>36</v>
      </c>
      <c r="K60" s="19" t="s">
        <v>52</v>
      </c>
      <c r="L60" s="19" t="s">
        <v>52</v>
      </c>
      <c r="M60" s="20">
        <f t="shared" si="1"/>
        <v>4759.68</v>
      </c>
      <c r="N60" s="30" t="s">
        <v>68</v>
      </c>
      <c r="O60" s="31">
        <v>6.0</v>
      </c>
      <c r="P60" s="19" t="s">
        <v>107</v>
      </c>
      <c r="Q60" s="18"/>
      <c r="R60" s="18"/>
      <c r="S60" s="23">
        <v>35.0</v>
      </c>
      <c r="T60" s="23">
        <v>268.0</v>
      </c>
      <c r="U60" s="23">
        <f t="shared" si="2"/>
        <v>257.28</v>
      </c>
      <c r="V60" s="23">
        <f t="shared" si="3"/>
        <v>42.875</v>
      </c>
      <c r="W60" s="23">
        <f t="shared" si="4"/>
        <v>803.90625</v>
      </c>
      <c r="X60" s="24">
        <f t="shared" si="5"/>
        <v>6.000699708</v>
      </c>
    </row>
    <row r="61" ht="39.0" customHeight="1">
      <c r="A61" s="15" t="s">
        <v>357</v>
      </c>
      <c r="B61" s="15" t="s">
        <v>358</v>
      </c>
      <c r="C61" s="16"/>
      <c r="D61" s="15" t="s">
        <v>359</v>
      </c>
      <c r="E61" s="17" t="s">
        <v>360</v>
      </c>
      <c r="F61" s="18"/>
      <c r="G61" s="15" t="s">
        <v>361</v>
      </c>
      <c r="H61" s="15" t="s">
        <v>362</v>
      </c>
      <c r="I61" s="18"/>
      <c r="J61" s="19" t="s">
        <v>36</v>
      </c>
      <c r="K61" s="19" t="s">
        <v>60</v>
      </c>
      <c r="L61" s="19" t="s">
        <v>52</v>
      </c>
      <c r="M61" s="20">
        <f t="shared" si="1"/>
        <v>7743.36</v>
      </c>
      <c r="N61" s="30"/>
      <c r="O61" s="31">
        <v>1.0</v>
      </c>
      <c r="P61" s="19" t="s">
        <v>107</v>
      </c>
      <c r="Q61" s="18"/>
      <c r="R61" s="18"/>
      <c r="S61" s="23">
        <v>57.0</v>
      </c>
      <c r="T61" s="23">
        <v>436.0</v>
      </c>
      <c r="U61" s="23">
        <f t="shared" si="2"/>
        <v>418.56</v>
      </c>
      <c r="V61" s="23">
        <f t="shared" si="3"/>
        <v>69.825</v>
      </c>
      <c r="W61" s="23">
        <f t="shared" si="4"/>
        <v>1309.21875</v>
      </c>
      <c r="X61" s="24">
        <f t="shared" si="5"/>
        <v>5.994414608</v>
      </c>
    </row>
    <row r="62" ht="39.0" customHeight="1">
      <c r="A62" s="15" t="s">
        <v>363</v>
      </c>
      <c r="B62" s="15" t="s">
        <v>364</v>
      </c>
      <c r="C62" s="16" t="str">
        <f>IMAGE("https://i.ibb.co/m5SdF3hK/1844.png")</f>
        <v/>
      </c>
      <c r="D62" s="15" t="s">
        <v>365</v>
      </c>
      <c r="E62" s="17" t="s">
        <v>366</v>
      </c>
      <c r="F62" s="18"/>
      <c r="G62" s="18"/>
      <c r="H62" s="15" t="s">
        <v>367</v>
      </c>
      <c r="I62" s="18"/>
      <c r="J62" s="19" t="s">
        <v>59</v>
      </c>
      <c r="K62" s="19" t="s">
        <v>60</v>
      </c>
      <c r="L62" s="19" t="s">
        <v>368</v>
      </c>
      <c r="M62" s="20">
        <f t="shared" si="1"/>
        <v>745.92</v>
      </c>
      <c r="N62" s="30" t="s">
        <v>68</v>
      </c>
      <c r="O62" s="31">
        <v>3.0</v>
      </c>
      <c r="P62" s="19" t="s">
        <v>107</v>
      </c>
      <c r="Q62" s="18"/>
      <c r="R62" s="18"/>
      <c r="S62" s="23">
        <v>5.5</v>
      </c>
      <c r="T62" s="23">
        <v>42.0</v>
      </c>
      <c r="U62" s="23">
        <f t="shared" si="2"/>
        <v>40.32</v>
      </c>
      <c r="V62" s="23">
        <f t="shared" si="3"/>
        <v>6.7375</v>
      </c>
      <c r="W62" s="23">
        <f t="shared" si="4"/>
        <v>126.328125</v>
      </c>
      <c r="X62" s="24">
        <f t="shared" si="5"/>
        <v>5.984415584</v>
      </c>
    </row>
    <row r="63" ht="39.0" customHeight="1">
      <c r="A63" s="15" t="s">
        <v>369</v>
      </c>
      <c r="B63" s="15" t="s">
        <v>370</v>
      </c>
      <c r="C63" s="16"/>
      <c r="D63" s="15" t="s">
        <v>371</v>
      </c>
      <c r="E63" s="17" t="s">
        <v>372</v>
      </c>
      <c r="F63" s="18"/>
      <c r="G63" s="18"/>
      <c r="H63" s="15" t="s">
        <v>373</v>
      </c>
      <c r="I63" s="18"/>
      <c r="J63" s="19" t="s">
        <v>36</v>
      </c>
      <c r="K63" s="19" t="s">
        <v>60</v>
      </c>
      <c r="L63" s="19" t="s">
        <v>177</v>
      </c>
      <c r="M63" s="20">
        <f t="shared" si="1"/>
        <v>34999.632</v>
      </c>
      <c r="N63" s="30"/>
      <c r="O63" s="31">
        <v>1.0</v>
      </c>
      <c r="P63" s="19" t="s">
        <v>107</v>
      </c>
      <c r="Q63" s="18"/>
      <c r="R63" s="18"/>
      <c r="S63" s="23">
        <v>260.0</v>
      </c>
      <c r="T63" s="23">
        <v>1970.7</v>
      </c>
      <c r="U63" s="23">
        <f t="shared" si="2"/>
        <v>1891.872</v>
      </c>
      <c r="V63" s="23">
        <f t="shared" si="3"/>
        <v>318.5</v>
      </c>
      <c r="W63" s="23">
        <f t="shared" si="4"/>
        <v>5971.875</v>
      </c>
      <c r="X63" s="24">
        <f t="shared" si="5"/>
        <v>5.939943485</v>
      </c>
    </row>
    <row r="64" ht="39.0" customHeight="1">
      <c r="A64" s="15" t="s">
        <v>374</v>
      </c>
      <c r="B64" s="15" t="s">
        <v>375</v>
      </c>
      <c r="C64" s="16" t="str">
        <f>IMAGE("https://i.ibb.co/YBWkGfb5/1768.png")</f>
        <v/>
      </c>
      <c r="D64" s="15" t="s">
        <v>376</v>
      </c>
      <c r="E64" s="17" t="s">
        <v>377</v>
      </c>
      <c r="F64" s="18"/>
      <c r="G64" s="18"/>
      <c r="H64" s="15" t="s">
        <v>378</v>
      </c>
      <c r="I64" s="15"/>
      <c r="J64" s="19" t="s">
        <v>59</v>
      </c>
      <c r="K64" s="19" t="s">
        <v>60</v>
      </c>
      <c r="L64" s="19" t="s">
        <v>52</v>
      </c>
      <c r="M64" s="20">
        <f t="shared" si="1"/>
        <v>444</v>
      </c>
      <c r="N64" s="30" t="s">
        <v>79</v>
      </c>
      <c r="O64" s="31">
        <v>15.0</v>
      </c>
      <c r="P64" s="19" t="s">
        <v>107</v>
      </c>
      <c r="Q64" s="18"/>
      <c r="R64" s="18"/>
      <c r="S64" s="23">
        <v>3.3</v>
      </c>
      <c r="T64" s="23">
        <v>25.0</v>
      </c>
      <c r="U64" s="23">
        <f t="shared" si="2"/>
        <v>24</v>
      </c>
      <c r="V64" s="23">
        <f t="shared" si="3"/>
        <v>4.0425</v>
      </c>
      <c r="W64" s="23">
        <f t="shared" si="4"/>
        <v>75.796875</v>
      </c>
      <c r="X64" s="24">
        <f t="shared" si="5"/>
        <v>5.936920223</v>
      </c>
    </row>
    <row r="65" ht="39.0" customHeight="1">
      <c r="A65" s="15" t="s">
        <v>379</v>
      </c>
      <c r="B65" s="15" t="s">
        <v>380</v>
      </c>
      <c r="C65" s="16" t="str">
        <f>IMAGE("https://i.ibb.co/4ZGfCgB2/1035.jpg")</f>
        <v/>
      </c>
      <c r="D65" s="15" t="s">
        <v>381</v>
      </c>
      <c r="E65" s="17" t="s">
        <v>382</v>
      </c>
      <c r="F65" s="18"/>
      <c r="G65" s="15" t="s">
        <v>383</v>
      </c>
      <c r="H65" s="15" t="s">
        <v>384</v>
      </c>
      <c r="I65" s="18"/>
      <c r="J65" s="19" t="s">
        <v>104</v>
      </c>
      <c r="K65" s="19" t="s">
        <v>160</v>
      </c>
      <c r="L65" s="19" t="s">
        <v>106</v>
      </c>
      <c r="M65" s="20">
        <f t="shared" si="1"/>
        <v>3338.88</v>
      </c>
      <c r="N65" s="30"/>
      <c r="O65" s="31">
        <v>1.0</v>
      </c>
      <c r="P65" s="19" t="s">
        <v>107</v>
      </c>
      <c r="Q65" s="18"/>
      <c r="R65" s="18"/>
      <c r="S65" s="23">
        <v>25.0</v>
      </c>
      <c r="T65" s="23">
        <v>188.0</v>
      </c>
      <c r="U65" s="23">
        <f t="shared" si="2"/>
        <v>180.48</v>
      </c>
      <c r="V65" s="23">
        <f t="shared" si="3"/>
        <v>30.625</v>
      </c>
      <c r="W65" s="23">
        <f t="shared" si="4"/>
        <v>574.21875</v>
      </c>
      <c r="X65" s="24">
        <f t="shared" si="5"/>
        <v>5.89322449</v>
      </c>
    </row>
    <row r="66" ht="39.0" customHeight="1">
      <c r="A66" s="15" t="s">
        <v>385</v>
      </c>
      <c r="B66" s="15" t="s">
        <v>386</v>
      </c>
      <c r="C66" s="16"/>
      <c r="D66" s="15" t="s">
        <v>387</v>
      </c>
      <c r="E66" s="17" t="s">
        <v>388</v>
      </c>
      <c r="F66" s="18"/>
      <c r="G66" s="18"/>
      <c r="H66" s="15" t="s">
        <v>389</v>
      </c>
      <c r="I66" s="18"/>
      <c r="J66" s="19" t="s">
        <v>36</v>
      </c>
      <c r="K66" s="19" t="s">
        <v>52</v>
      </c>
      <c r="L66" s="19" t="s">
        <v>52</v>
      </c>
      <c r="M66" s="20">
        <f t="shared" si="1"/>
        <v>9252.96</v>
      </c>
      <c r="N66" s="30" t="s">
        <v>68</v>
      </c>
      <c r="O66" s="31">
        <v>2.0</v>
      </c>
      <c r="P66" s="19" t="s">
        <v>107</v>
      </c>
      <c r="Q66" s="18"/>
      <c r="R66" s="18"/>
      <c r="S66" s="23">
        <v>70.0</v>
      </c>
      <c r="T66" s="23">
        <v>521.0</v>
      </c>
      <c r="U66" s="23">
        <f t="shared" si="2"/>
        <v>500.16</v>
      </c>
      <c r="V66" s="23">
        <f t="shared" si="3"/>
        <v>85.75</v>
      </c>
      <c r="W66" s="23">
        <f t="shared" si="4"/>
        <v>1607.8125</v>
      </c>
      <c r="X66" s="24">
        <f t="shared" si="5"/>
        <v>5.832769679</v>
      </c>
    </row>
    <row r="67" ht="39.0" customHeight="1">
      <c r="A67" s="15" t="s">
        <v>390</v>
      </c>
      <c r="B67" s="15" t="s">
        <v>391</v>
      </c>
      <c r="C67" s="16"/>
      <c r="D67" s="15" t="s">
        <v>392</v>
      </c>
      <c r="E67" s="17" t="s">
        <v>393</v>
      </c>
      <c r="F67" s="18"/>
      <c r="G67" s="18"/>
      <c r="H67" s="15" t="s">
        <v>394</v>
      </c>
      <c r="I67" s="18"/>
      <c r="J67" s="19" t="s">
        <v>59</v>
      </c>
      <c r="K67" s="19" t="s">
        <v>60</v>
      </c>
      <c r="L67" s="19" t="s">
        <v>38</v>
      </c>
      <c r="M67" s="20">
        <f t="shared" si="1"/>
        <v>10478.4</v>
      </c>
      <c r="N67" s="30"/>
      <c r="O67" s="31">
        <v>2.0</v>
      </c>
      <c r="P67" s="19" t="s">
        <v>107</v>
      </c>
      <c r="Q67" s="18"/>
      <c r="R67" s="18"/>
      <c r="S67" s="23">
        <v>80.0</v>
      </c>
      <c r="T67" s="23">
        <v>590.0</v>
      </c>
      <c r="U67" s="23">
        <f t="shared" si="2"/>
        <v>566.4</v>
      </c>
      <c r="V67" s="23">
        <f t="shared" si="3"/>
        <v>98</v>
      </c>
      <c r="W67" s="23">
        <f t="shared" si="4"/>
        <v>1837.5</v>
      </c>
      <c r="X67" s="24">
        <f t="shared" si="5"/>
        <v>5.779591837</v>
      </c>
    </row>
    <row r="68" ht="39.0" customHeight="1">
      <c r="A68" s="15" t="s">
        <v>395</v>
      </c>
      <c r="B68" s="15" t="s">
        <v>396</v>
      </c>
      <c r="C68" s="16" t="str">
        <f>IMAGE("https://i.ibb.co/ZyGb5kd/1838.png")</f>
        <v/>
      </c>
      <c r="D68" s="15" t="s">
        <v>397</v>
      </c>
      <c r="E68" s="17" t="s">
        <v>398</v>
      </c>
      <c r="F68" s="18"/>
      <c r="G68" s="15" t="s">
        <v>399</v>
      </c>
      <c r="H68" s="15" t="s">
        <v>400</v>
      </c>
      <c r="I68" s="15" t="s">
        <v>401</v>
      </c>
      <c r="J68" s="19" t="s">
        <v>283</v>
      </c>
      <c r="K68" s="19" t="s">
        <v>402</v>
      </c>
      <c r="L68" s="19" t="s">
        <v>403</v>
      </c>
      <c r="M68" s="20">
        <f t="shared" si="1"/>
        <v>10158.72</v>
      </c>
      <c r="N68" s="30"/>
      <c r="O68" s="31">
        <v>2.0</v>
      </c>
      <c r="P68" s="19" t="s">
        <v>107</v>
      </c>
      <c r="Q68" s="18"/>
      <c r="R68" s="18"/>
      <c r="S68" s="23">
        <v>78.0</v>
      </c>
      <c r="T68" s="23">
        <v>572.0</v>
      </c>
      <c r="U68" s="23">
        <f t="shared" si="2"/>
        <v>549.12</v>
      </c>
      <c r="V68" s="23">
        <f t="shared" si="3"/>
        <v>95.55</v>
      </c>
      <c r="W68" s="23">
        <f t="shared" si="4"/>
        <v>1791.5625</v>
      </c>
      <c r="X68" s="24">
        <f t="shared" si="5"/>
        <v>5.746938776</v>
      </c>
    </row>
    <row r="69" ht="39.0" customHeight="1">
      <c r="A69" s="15" t="s">
        <v>404</v>
      </c>
      <c r="B69" s="15" t="s">
        <v>405</v>
      </c>
      <c r="C69" s="16"/>
      <c r="D69" s="15" t="s">
        <v>406</v>
      </c>
      <c r="E69" s="17" t="s">
        <v>407</v>
      </c>
      <c r="F69" s="18"/>
      <c r="G69" s="15" t="s">
        <v>408</v>
      </c>
      <c r="H69" s="15" t="s">
        <v>409</v>
      </c>
      <c r="I69" s="18"/>
      <c r="J69" s="19" t="s">
        <v>283</v>
      </c>
      <c r="K69" s="19" t="s">
        <v>284</v>
      </c>
      <c r="L69" s="19" t="s">
        <v>285</v>
      </c>
      <c r="M69" s="20">
        <f t="shared" si="1"/>
        <v>781.44</v>
      </c>
      <c r="N69" s="30"/>
      <c r="O69" s="31">
        <v>5.0</v>
      </c>
      <c r="P69" s="19" t="s">
        <v>107</v>
      </c>
      <c r="Q69" s="18"/>
      <c r="R69" s="18"/>
      <c r="S69" s="23">
        <v>6.0</v>
      </c>
      <c r="T69" s="23">
        <v>44.0</v>
      </c>
      <c r="U69" s="23">
        <f t="shared" si="2"/>
        <v>42.24</v>
      </c>
      <c r="V69" s="23">
        <f t="shared" si="3"/>
        <v>7.35</v>
      </c>
      <c r="W69" s="23">
        <f t="shared" si="4"/>
        <v>137.8125</v>
      </c>
      <c r="X69" s="24">
        <f t="shared" si="5"/>
        <v>5.746938776</v>
      </c>
    </row>
    <row r="70" ht="39.0" customHeight="1">
      <c r="A70" s="15" t="s">
        <v>410</v>
      </c>
      <c r="B70" s="15" t="s">
        <v>411</v>
      </c>
      <c r="C70" s="16"/>
      <c r="D70" s="15" t="s">
        <v>412</v>
      </c>
      <c r="E70" s="17" t="s">
        <v>413</v>
      </c>
      <c r="F70" s="18"/>
      <c r="G70" s="15" t="s">
        <v>414</v>
      </c>
      <c r="H70" s="15" t="s">
        <v>415</v>
      </c>
      <c r="I70" s="18"/>
      <c r="J70" s="19" t="s">
        <v>104</v>
      </c>
      <c r="K70" s="19" t="s">
        <v>160</v>
      </c>
      <c r="L70" s="19" t="s">
        <v>106</v>
      </c>
      <c r="M70" s="20">
        <f t="shared" si="1"/>
        <v>3587.52</v>
      </c>
      <c r="N70" s="30"/>
      <c r="O70" s="31">
        <v>1.0</v>
      </c>
      <c r="P70" s="19" t="s">
        <v>107</v>
      </c>
      <c r="Q70" s="18"/>
      <c r="R70" s="18"/>
      <c r="S70" s="23">
        <v>28.0</v>
      </c>
      <c r="T70" s="23">
        <v>202.0</v>
      </c>
      <c r="U70" s="23">
        <f t="shared" si="2"/>
        <v>193.92</v>
      </c>
      <c r="V70" s="23">
        <f t="shared" si="3"/>
        <v>34.3</v>
      </c>
      <c r="W70" s="23">
        <f t="shared" si="4"/>
        <v>643.125</v>
      </c>
      <c r="X70" s="24">
        <f t="shared" si="5"/>
        <v>5.653644315</v>
      </c>
    </row>
    <row r="71" ht="39.0" customHeight="1">
      <c r="A71" s="15" t="s">
        <v>416</v>
      </c>
      <c r="B71" s="35" t="s">
        <v>417</v>
      </c>
      <c r="C71" s="16"/>
      <c r="D71" s="15" t="s">
        <v>418</v>
      </c>
      <c r="E71" s="17" t="s">
        <v>419</v>
      </c>
      <c r="F71" s="18"/>
      <c r="G71" s="15" t="s">
        <v>164</v>
      </c>
      <c r="H71" s="15" t="s">
        <v>420</v>
      </c>
      <c r="I71" s="15" t="s">
        <v>421</v>
      </c>
      <c r="J71" s="19" t="s">
        <v>104</v>
      </c>
      <c r="K71" s="19" t="s">
        <v>160</v>
      </c>
      <c r="L71" s="19" t="s">
        <v>106</v>
      </c>
      <c r="M71" s="20">
        <f t="shared" si="1"/>
        <v>1918.08</v>
      </c>
      <c r="N71" s="30"/>
      <c r="O71" s="31">
        <v>12.0</v>
      </c>
      <c r="P71" s="19" t="s">
        <v>107</v>
      </c>
      <c r="Q71" s="18"/>
      <c r="R71" s="18"/>
      <c r="S71" s="23">
        <v>15.0</v>
      </c>
      <c r="T71" s="23">
        <v>108.0</v>
      </c>
      <c r="U71" s="23">
        <f t="shared" si="2"/>
        <v>103.68</v>
      </c>
      <c r="V71" s="23">
        <f t="shared" si="3"/>
        <v>18.375</v>
      </c>
      <c r="W71" s="23">
        <f t="shared" si="4"/>
        <v>344.53125</v>
      </c>
      <c r="X71" s="24">
        <f t="shared" si="5"/>
        <v>5.64244898</v>
      </c>
    </row>
    <row r="72" ht="39.0" customHeight="1">
      <c r="A72" s="15" t="s">
        <v>422</v>
      </c>
      <c r="B72" s="15" t="s">
        <v>423</v>
      </c>
      <c r="C72" s="16"/>
      <c r="D72" s="15" t="s">
        <v>424</v>
      </c>
      <c r="E72" s="17" t="s">
        <v>425</v>
      </c>
      <c r="F72" s="18"/>
      <c r="G72" s="18"/>
      <c r="H72" s="15" t="s">
        <v>426</v>
      </c>
      <c r="I72" s="18"/>
      <c r="J72" s="19" t="s">
        <v>36</v>
      </c>
      <c r="K72" s="19" t="s">
        <v>427</v>
      </c>
      <c r="L72" s="19" t="s">
        <v>403</v>
      </c>
      <c r="M72" s="20">
        <f t="shared" si="1"/>
        <v>8205.12</v>
      </c>
      <c r="N72" s="30"/>
      <c r="O72" s="31">
        <v>1.0</v>
      </c>
      <c r="P72" s="19" t="s">
        <v>107</v>
      </c>
      <c r="Q72" s="18"/>
      <c r="R72" s="18"/>
      <c r="S72" s="23">
        <v>65.0</v>
      </c>
      <c r="T72" s="23">
        <v>462.0</v>
      </c>
      <c r="U72" s="23">
        <f t="shared" si="2"/>
        <v>443.52</v>
      </c>
      <c r="V72" s="23">
        <f t="shared" si="3"/>
        <v>79.625</v>
      </c>
      <c r="W72" s="23">
        <f t="shared" si="4"/>
        <v>1492.96875</v>
      </c>
      <c r="X72" s="24">
        <f t="shared" si="5"/>
        <v>5.57010989</v>
      </c>
    </row>
    <row r="73" ht="39.0" customHeight="1">
      <c r="A73" s="15" t="s">
        <v>428</v>
      </c>
      <c r="B73" s="15" t="s">
        <v>429</v>
      </c>
      <c r="C73" s="16"/>
      <c r="D73" s="15" t="s">
        <v>430</v>
      </c>
      <c r="E73" s="17" t="s">
        <v>431</v>
      </c>
      <c r="F73" s="18"/>
      <c r="G73" s="15" t="s">
        <v>432</v>
      </c>
      <c r="H73" s="15" t="s">
        <v>433</v>
      </c>
      <c r="I73" s="18"/>
      <c r="J73" s="19" t="s">
        <v>59</v>
      </c>
      <c r="K73" s="19" t="s">
        <v>60</v>
      </c>
      <c r="L73" s="19" t="s">
        <v>52</v>
      </c>
      <c r="M73" s="20">
        <f t="shared" si="1"/>
        <v>1935.84</v>
      </c>
      <c r="N73" s="30" t="s">
        <v>68</v>
      </c>
      <c r="O73" s="31">
        <v>5.0</v>
      </c>
      <c r="P73" s="19" t="s">
        <v>107</v>
      </c>
      <c r="Q73" s="18"/>
      <c r="R73" s="18"/>
      <c r="S73" s="23">
        <v>15.5</v>
      </c>
      <c r="T73" s="23">
        <v>109.0</v>
      </c>
      <c r="U73" s="23">
        <f t="shared" si="2"/>
        <v>104.64</v>
      </c>
      <c r="V73" s="23">
        <f t="shared" si="3"/>
        <v>18.9875</v>
      </c>
      <c r="W73" s="23">
        <f t="shared" si="4"/>
        <v>356.015625</v>
      </c>
      <c r="X73" s="24">
        <f t="shared" si="5"/>
        <v>5.510994075</v>
      </c>
    </row>
    <row r="74" ht="39.0" customHeight="1">
      <c r="A74" s="15" t="s">
        <v>434</v>
      </c>
      <c r="B74" s="15" t="s">
        <v>435</v>
      </c>
      <c r="C74" s="16" t="str">
        <f>IMAGE("https://i.ibb.co/WvDcs1Dy/1831.png")</f>
        <v/>
      </c>
      <c r="D74" s="15" t="s">
        <v>436</v>
      </c>
      <c r="E74" s="17" t="s">
        <v>437</v>
      </c>
      <c r="F74" s="18"/>
      <c r="G74" s="15" t="s">
        <v>438</v>
      </c>
      <c r="H74" s="15" t="s">
        <v>439</v>
      </c>
      <c r="I74" s="18"/>
      <c r="J74" s="19" t="s">
        <v>283</v>
      </c>
      <c r="K74" s="19" t="s">
        <v>440</v>
      </c>
      <c r="L74" s="19" t="s">
        <v>135</v>
      </c>
      <c r="M74" s="20">
        <f t="shared" si="1"/>
        <v>745.92</v>
      </c>
      <c r="N74" s="30" t="s">
        <v>68</v>
      </c>
      <c r="O74" s="31">
        <v>5.0</v>
      </c>
      <c r="P74" s="19" t="s">
        <v>107</v>
      </c>
      <c r="Q74" s="18"/>
      <c r="R74" s="18"/>
      <c r="S74" s="23">
        <v>6.0</v>
      </c>
      <c r="T74" s="23">
        <v>42.0</v>
      </c>
      <c r="U74" s="23">
        <f t="shared" si="2"/>
        <v>40.32</v>
      </c>
      <c r="V74" s="23">
        <f t="shared" si="3"/>
        <v>7.35</v>
      </c>
      <c r="W74" s="23">
        <f t="shared" si="4"/>
        <v>137.8125</v>
      </c>
      <c r="X74" s="24">
        <f t="shared" si="5"/>
        <v>5.485714286</v>
      </c>
    </row>
    <row r="75" ht="39.0" customHeight="1">
      <c r="A75" s="15" t="s">
        <v>441</v>
      </c>
      <c r="B75" s="15" t="s">
        <v>442</v>
      </c>
      <c r="C75" s="16"/>
      <c r="D75" s="15" t="s">
        <v>443</v>
      </c>
      <c r="E75" s="17" t="s">
        <v>444</v>
      </c>
      <c r="F75" s="18"/>
      <c r="G75" s="18"/>
      <c r="H75" s="15" t="s">
        <v>445</v>
      </c>
      <c r="I75" s="18"/>
      <c r="J75" s="19" t="s">
        <v>59</v>
      </c>
      <c r="K75" s="19" t="s">
        <v>60</v>
      </c>
      <c r="L75" s="19" t="s">
        <v>38</v>
      </c>
      <c r="M75" s="20">
        <f t="shared" si="1"/>
        <v>1243.2</v>
      </c>
      <c r="N75" s="30" t="s">
        <v>79</v>
      </c>
      <c r="O75" s="31">
        <v>13.0</v>
      </c>
      <c r="P75" s="19" t="s">
        <v>107</v>
      </c>
      <c r="Q75" s="18"/>
      <c r="R75" s="18"/>
      <c r="S75" s="23">
        <v>10.0</v>
      </c>
      <c r="T75" s="23">
        <v>70.0</v>
      </c>
      <c r="U75" s="23">
        <f t="shared" si="2"/>
        <v>67.2</v>
      </c>
      <c r="V75" s="23">
        <f t="shared" si="3"/>
        <v>12.25</v>
      </c>
      <c r="W75" s="23">
        <f t="shared" si="4"/>
        <v>229.6875</v>
      </c>
      <c r="X75" s="24">
        <f t="shared" si="5"/>
        <v>5.485714286</v>
      </c>
    </row>
    <row r="76" ht="39.0" customHeight="1">
      <c r="A76" s="15" t="s">
        <v>446</v>
      </c>
      <c r="B76" s="15" t="s">
        <v>447</v>
      </c>
      <c r="C76" s="16" t="str">
        <f>IMAGE("https://i.ibb.co/4ZGfCgB2/1035.jpg")</f>
        <v/>
      </c>
      <c r="D76" s="15" t="s">
        <v>448</v>
      </c>
      <c r="E76" s="17" t="s">
        <v>449</v>
      </c>
      <c r="F76" s="18"/>
      <c r="G76" s="18"/>
      <c r="H76" s="15" t="s">
        <v>450</v>
      </c>
      <c r="I76" s="18"/>
      <c r="J76" s="19" t="s">
        <v>36</v>
      </c>
      <c r="K76" s="19" t="s">
        <v>427</v>
      </c>
      <c r="L76" s="19" t="s">
        <v>269</v>
      </c>
      <c r="M76" s="20">
        <f t="shared" si="1"/>
        <v>7920.96</v>
      </c>
      <c r="N76" s="30"/>
      <c r="O76" s="31">
        <v>2.0</v>
      </c>
      <c r="P76" s="19" t="s">
        <v>107</v>
      </c>
      <c r="Q76" s="18"/>
      <c r="R76" s="18"/>
      <c r="S76" s="23">
        <v>65.0</v>
      </c>
      <c r="T76" s="23">
        <v>446.0</v>
      </c>
      <c r="U76" s="23">
        <f t="shared" si="2"/>
        <v>428.16</v>
      </c>
      <c r="V76" s="23">
        <f t="shared" si="3"/>
        <v>79.625</v>
      </c>
      <c r="W76" s="23">
        <f t="shared" si="4"/>
        <v>1492.96875</v>
      </c>
      <c r="X76" s="24">
        <f t="shared" si="5"/>
        <v>5.377205651</v>
      </c>
    </row>
    <row r="77" ht="39.0" customHeight="1">
      <c r="A77" s="15" t="s">
        <v>451</v>
      </c>
      <c r="B77" s="15" t="s">
        <v>452</v>
      </c>
      <c r="C77" s="16" t="str">
        <f>IMAGE("https://i.ibb.co/tTJ8H5nf/1979.png")</f>
        <v/>
      </c>
      <c r="D77" s="15" t="s">
        <v>453</v>
      </c>
      <c r="E77" s="17" t="s">
        <v>454</v>
      </c>
      <c r="F77" s="18"/>
      <c r="G77" s="18"/>
      <c r="H77" s="15" t="s">
        <v>455</v>
      </c>
      <c r="I77" s="18"/>
      <c r="J77" s="19" t="s">
        <v>36</v>
      </c>
      <c r="K77" s="19" t="s">
        <v>60</v>
      </c>
      <c r="L77" s="19" t="s">
        <v>403</v>
      </c>
      <c r="M77" s="20">
        <f t="shared" si="1"/>
        <v>8453.76</v>
      </c>
      <c r="N77" s="30" t="s">
        <v>79</v>
      </c>
      <c r="O77" s="31">
        <v>5.0</v>
      </c>
      <c r="P77" s="19" t="s">
        <v>107</v>
      </c>
      <c r="Q77" s="18"/>
      <c r="R77" s="18"/>
      <c r="S77" s="23">
        <v>70.0</v>
      </c>
      <c r="T77" s="23">
        <v>476.0</v>
      </c>
      <c r="U77" s="23">
        <f t="shared" si="2"/>
        <v>456.96</v>
      </c>
      <c r="V77" s="23">
        <f t="shared" si="3"/>
        <v>85.75</v>
      </c>
      <c r="W77" s="23">
        <f t="shared" si="4"/>
        <v>1607.8125</v>
      </c>
      <c r="X77" s="24">
        <f t="shared" si="5"/>
        <v>5.328979592</v>
      </c>
    </row>
    <row r="78" ht="39.0" customHeight="1">
      <c r="A78" s="15" t="s">
        <v>456</v>
      </c>
      <c r="B78" s="15" t="s">
        <v>457</v>
      </c>
      <c r="C78" s="16"/>
      <c r="D78" s="15" t="s">
        <v>458</v>
      </c>
      <c r="E78" s="17" t="s">
        <v>459</v>
      </c>
      <c r="F78" s="18"/>
      <c r="G78" s="18"/>
      <c r="H78" s="15" t="s">
        <v>460</v>
      </c>
      <c r="I78" s="18"/>
      <c r="J78" s="19" t="s">
        <v>36</v>
      </c>
      <c r="K78" s="19" t="s">
        <v>52</v>
      </c>
      <c r="L78" s="19" t="s">
        <v>52</v>
      </c>
      <c r="M78" s="20">
        <f t="shared" si="1"/>
        <v>11437.44</v>
      </c>
      <c r="N78" s="30"/>
      <c r="O78" s="31">
        <v>2.0</v>
      </c>
      <c r="P78" s="19" t="s">
        <v>107</v>
      </c>
      <c r="Q78" s="18"/>
      <c r="R78" s="18"/>
      <c r="S78" s="23">
        <v>95.0</v>
      </c>
      <c r="T78" s="23">
        <v>644.0</v>
      </c>
      <c r="U78" s="23">
        <f t="shared" si="2"/>
        <v>618.24</v>
      </c>
      <c r="V78" s="23">
        <f t="shared" si="3"/>
        <v>116.375</v>
      </c>
      <c r="W78" s="23">
        <f t="shared" si="4"/>
        <v>2182.03125</v>
      </c>
      <c r="X78" s="24">
        <f t="shared" si="5"/>
        <v>5.312481203</v>
      </c>
    </row>
    <row r="79" ht="39.0" customHeight="1">
      <c r="A79" s="15" t="s">
        <v>461</v>
      </c>
      <c r="B79" s="15" t="s">
        <v>462</v>
      </c>
      <c r="C79" s="16"/>
      <c r="D79" s="15" t="s">
        <v>463</v>
      </c>
      <c r="E79" s="17" t="s">
        <v>464</v>
      </c>
      <c r="F79" s="18"/>
      <c r="G79" s="18"/>
      <c r="H79" s="15" t="s">
        <v>465</v>
      </c>
      <c r="I79" s="15"/>
      <c r="J79" s="19" t="s">
        <v>36</v>
      </c>
      <c r="K79" s="19" t="s">
        <v>60</v>
      </c>
      <c r="L79" s="19" t="s">
        <v>177</v>
      </c>
      <c r="M79" s="20">
        <f t="shared" si="1"/>
        <v>29999.304</v>
      </c>
      <c r="N79" s="30"/>
      <c r="O79" s="31">
        <v>1.0</v>
      </c>
      <c r="P79" s="19" t="s">
        <v>107</v>
      </c>
      <c r="Q79" s="18"/>
      <c r="R79" s="18"/>
      <c r="S79" s="23">
        <v>250.0</v>
      </c>
      <c r="T79" s="23">
        <v>1689.15</v>
      </c>
      <c r="U79" s="23">
        <f t="shared" si="2"/>
        <v>1621.584</v>
      </c>
      <c r="V79" s="23">
        <f t="shared" si="3"/>
        <v>306.25</v>
      </c>
      <c r="W79" s="23">
        <f t="shared" si="4"/>
        <v>5742.1875</v>
      </c>
      <c r="X79" s="24">
        <f t="shared" si="5"/>
        <v>5.294968163</v>
      </c>
    </row>
    <row r="80" ht="39.0" customHeight="1">
      <c r="A80" s="15" t="s">
        <v>466</v>
      </c>
      <c r="B80" s="15" t="s">
        <v>467</v>
      </c>
      <c r="C80" s="16"/>
      <c r="D80" s="15" t="s">
        <v>468</v>
      </c>
      <c r="E80" s="17" t="s">
        <v>469</v>
      </c>
      <c r="F80" s="18"/>
      <c r="G80" s="15" t="s">
        <v>470</v>
      </c>
      <c r="H80" s="15" t="s">
        <v>471</v>
      </c>
      <c r="I80" s="18"/>
      <c r="J80" s="19" t="s">
        <v>283</v>
      </c>
      <c r="K80" s="19" t="s">
        <v>284</v>
      </c>
      <c r="L80" s="19" t="s">
        <v>285</v>
      </c>
      <c r="M80" s="20">
        <f t="shared" si="1"/>
        <v>710.4</v>
      </c>
      <c r="N80" s="30"/>
      <c r="O80" s="31">
        <v>5.0</v>
      </c>
      <c r="P80" s="19" t="s">
        <v>107</v>
      </c>
      <c r="Q80" s="18"/>
      <c r="R80" s="18"/>
      <c r="S80" s="23">
        <v>6.0</v>
      </c>
      <c r="T80" s="23">
        <v>40.0</v>
      </c>
      <c r="U80" s="23">
        <f t="shared" si="2"/>
        <v>38.4</v>
      </c>
      <c r="V80" s="23">
        <f t="shared" si="3"/>
        <v>7.35</v>
      </c>
      <c r="W80" s="23">
        <f t="shared" si="4"/>
        <v>137.8125</v>
      </c>
      <c r="X80" s="24">
        <f t="shared" si="5"/>
        <v>5.224489796</v>
      </c>
    </row>
    <row r="81" ht="39.0" customHeight="1">
      <c r="A81" s="15" t="s">
        <v>472</v>
      </c>
      <c r="B81" s="15" t="s">
        <v>473</v>
      </c>
      <c r="C81" s="16"/>
      <c r="D81" s="15" t="s">
        <v>474</v>
      </c>
      <c r="E81" s="17" t="s">
        <v>475</v>
      </c>
      <c r="F81" s="18"/>
      <c r="G81" s="15" t="s">
        <v>476</v>
      </c>
      <c r="H81" s="15" t="s">
        <v>477</v>
      </c>
      <c r="I81" s="18"/>
      <c r="J81" s="19" t="s">
        <v>36</v>
      </c>
      <c r="K81" s="19" t="s">
        <v>52</v>
      </c>
      <c r="L81" s="19" t="s">
        <v>52</v>
      </c>
      <c r="M81" s="20">
        <f t="shared" si="1"/>
        <v>355.2</v>
      </c>
      <c r="N81" s="30" t="s">
        <v>79</v>
      </c>
      <c r="O81" s="31">
        <v>10.0</v>
      </c>
      <c r="P81" s="19" t="s">
        <v>107</v>
      </c>
      <c r="Q81" s="18"/>
      <c r="R81" s="18"/>
      <c r="S81" s="23">
        <v>3.0</v>
      </c>
      <c r="T81" s="23">
        <v>20.0</v>
      </c>
      <c r="U81" s="23">
        <f t="shared" si="2"/>
        <v>19.2</v>
      </c>
      <c r="V81" s="23">
        <f t="shared" si="3"/>
        <v>3.675</v>
      </c>
      <c r="W81" s="23">
        <f t="shared" si="4"/>
        <v>68.90625</v>
      </c>
      <c r="X81" s="24">
        <f t="shared" si="5"/>
        <v>5.224489796</v>
      </c>
    </row>
    <row r="82" ht="39.0" customHeight="1">
      <c r="A82" s="15" t="s">
        <v>478</v>
      </c>
      <c r="B82" s="15" t="s">
        <v>479</v>
      </c>
      <c r="C82" s="16"/>
      <c r="D82" s="15" t="s">
        <v>480</v>
      </c>
      <c r="E82" s="17" t="s">
        <v>481</v>
      </c>
      <c r="F82" s="18"/>
      <c r="G82" s="15" t="s">
        <v>482</v>
      </c>
      <c r="H82" s="15" t="s">
        <v>483</v>
      </c>
      <c r="I82" s="18"/>
      <c r="J82" s="19" t="s">
        <v>104</v>
      </c>
      <c r="K82" s="19" t="s">
        <v>160</v>
      </c>
      <c r="L82" s="19" t="s">
        <v>106</v>
      </c>
      <c r="M82" s="20">
        <f t="shared" si="1"/>
        <v>177.6</v>
      </c>
      <c r="N82" s="30"/>
      <c r="O82" s="31">
        <v>30.0</v>
      </c>
      <c r="P82" s="19" t="s">
        <v>107</v>
      </c>
      <c r="Q82" s="18"/>
      <c r="R82" s="18"/>
      <c r="S82" s="23">
        <v>1.5</v>
      </c>
      <c r="T82" s="23">
        <v>10.0</v>
      </c>
      <c r="U82" s="23">
        <f t="shared" si="2"/>
        <v>9.6</v>
      </c>
      <c r="V82" s="23">
        <f t="shared" si="3"/>
        <v>1.8375</v>
      </c>
      <c r="W82" s="23">
        <f t="shared" si="4"/>
        <v>34.453125</v>
      </c>
      <c r="X82" s="24">
        <f t="shared" si="5"/>
        <v>5.224489796</v>
      </c>
    </row>
    <row r="83" ht="39.0" customHeight="1">
      <c r="A83" s="15" t="s">
        <v>484</v>
      </c>
      <c r="B83" s="15" t="s">
        <v>485</v>
      </c>
      <c r="C83" s="16"/>
      <c r="D83" s="15" t="s">
        <v>486</v>
      </c>
      <c r="E83" s="17" t="s">
        <v>487</v>
      </c>
      <c r="F83" s="18"/>
      <c r="G83" s="15" t="s">
        <v>488</v>
      </c>
      <c r="H83" s="15" t="s">
        <v>489</v>
      </c>
      <c r="I83" s="18"/>
      <c r="J83" s="19" t="s">
        <v>36</v>
      </c>
      <c r="K83" s="19" t="s">
        <v>60</v>
      </c>
      <c r="L83" s="19" t="s">
        <v>52</v>
      </c>
      <c r="M83" s="20">
        <f t="shared" si="1"/>
        <v>6695.52</v>
      </c>
      <c r="N83" s="30"/>
      <c r="O83" s="31">
        <v>1.0</v>
      </c>
      <c r="P83" s="19" t="s">
        <v>107</v>
      </c>
      <c r="Q83" s="18"/>
      <c r="R83" s="18"/>
      <c r="S83" s="23">
        <v>57.0</v>
      </c>
      <c r="T83" s="23">
        <v>377.0</v>
      </c>
      <c r="U83" s="23">
        <f t="shared" si="2"/>
        <v>361.92</v>
      </c>
      <c r="V83" s="23">
        <f t="shared" si="3"/>
        <v>69.825</v>
      </c>
      <c r="W83" s="23">
        <f t="shared" si="4"/>
        <v>1309.21875</v>
      </c>
      <c r="X83" s="24">
        <f t="shared" si="5"/>
        <v>5.183243824</v>
      </c>
    </row>
    <row r="84" ht="39.0" customHeight="1">
      <c r="A84" s="15" t="s">
        <v>490</v>
      </c>
      <c r="B84" s="15" t="s">
        <v>491</v>
      </c>
      <c r="C84" s="16" t="str">
        <f>IMAGE("https://i.ibb.co/4ZGfCgB2/1035.jpg")</f>
        <v/>
      </c>
      <c r="D84" s="15" t="s">
        <v>492</v>
      </c>
      <c r="E84" s="17" t="s">
        <v>493</v>
      </c>
      <c r="F84" s="18"/>
      <c r="G84" s="15" t="s">
        <v>494</v>
      </c>
      <c r="H84" s="15" t="s">
        <v>495</v>
      </c>
      <c r="I84" s="18"/>
      <c r="J84" s="19" t="s">
        <v>59</v>
      </c>
      <c r="K84" s="19" t="s">
        <v>496</v>
      </c>
      <c r="L84" s="19" t="s">
        <v>292</v>
      </c>
      <c r="M84" s="20">
        <f t="shared" si="1"/>
        <v>2575.2</v>
      </c>
      <c r="N84" s="30"/>
      <c r="O84" s="31">
        <v>6.0</v>
      </c>
      <c r="P84" s="19" t="s">
        <v>107</v>
      </c>
      <c r="Q84" s="18"/>
      <c r="R84" s="18"/>
      <c r="S84" s="23">
        <v>22.0</v>
      </c>
      <c r="T84" s="23">
        <v>145.0</v>
      </c>
      <c r="U84" s="23">
        <f t="shared" si="2"/>
        <v>139.2</v>
      </c>
      <c r="V84" s="23">
        <f t="shared" si="3"/>
        <v>26.95</v>
      </c>
      <c r="W84" s="23">
        <f t="shared" si="4"/>
        <v>505.3125</v>
      </c>
      <c r="X84" s="24">
        <f t="shared" si="5"/>
        <v>5.165120594</v>
      </c>
    </row>
    <row r="85" ht="39.0" customHeight="1">
      <c r="A85" s="15" t="s">
        <v>497</v>
      </c>
      <c r="B85" s="15" t="s">
        <v>498</v>
      </c>
      <c r="C85" s="16"/>
      <c r="D85" s="15" t="s">
        <v>499</v>
      </c>
      <c r="E85" s="17" t="s">
        <v>500</v>
      </c>
      <c r="F85" s="18"/>
      <c r="G85" s="15" t="s">
        <v>501</v>
      </c>
      <c r="H85" s="15" t="s">
        <v>502</v>
      </c>
      <c r="I85" s="15"/>
      <c r="J85" s="19" t="s">
        <v>59</v>
      </c>
      <c r="K85" s="19" t="s">
        <v>52</v>
      </c>
      <c r="L85" s="19" t="s">
        <v>115</v>
      </c>
      <c r="M85" s="20">
        <f t="shared" si="1"/>
        <v>692.64</v>
      </c>
      <c r="N85" s="30" t="s">
        <v>68</v>
      </c>
      <c r="O85" s="31">
        <v>10.0</v>
      </c>
      <c r="P85" s="19" t="s">
        <v>107</v>
      </c>
      <c r="Q85" s="18"/>
      <c r="R85" s="18"/>
      <c r="S85" s="23">
        <v>6.0</v>
      </c>
      <c r="T85" s="23">
        <v>39.0</v>
      </c>
      <c r="U85" s="23">
        <f t="shared" si="2"/>
        <v>37.44</v>
      </c>
      <c r="V85" s="23">
        <f t="shared" si="3"/>
        <v>7.35</v>
      </c>
      <c r="W85" s="23">
        <f t="shared" si="4"/>
        <v>137.8125</v>
      </c>
      <c r="X85" s="24">
        <f t="shared" si="5"/>
        <v>5.093877551</v>
      </c>
    </row>
    <row r="86" ht="39.0" customHeight="1">
      <c r="A86" s="15" t="s">
        <v>503</v>
      </c>
      <c r="B86" s="15" t="s">
        <v>504</v>
      </c>
      <c r="C86" s="16"/>
      <c r="D86" s="15" t="s">
        <v>505</v>
      </c>
      <c r="E86" s="17" t="s">
        <v>506</v>
      </c>
      <c r="F86" s="18"/>
      <c r="G86" s="15" t="s">
        <v>507</v>
      </c>
      <c r="H86" s="15" t="s">
        <v>508</v>
      </c>
      <c r="I86" s="18"/>
      <c r="J86" s="19" t="s">
        <v>36</v>
      </c>
      <c r="K86" s="19" t="s">
        <v>427</v>
      </c>
      <c r="L86" s="19" t="s">
        <v>269</v>
      </c>
      <c r="M86" s="20">
        <f t="shared" si="1"/>
        <v>8631.36</v>
      </c>
      <c r="N86" s="30" t="s">
        <v>79</v>
      </c>
      <c r="O86" s="31">
        <v>4.0</v>
      </c>
      <c r="P86" s="19" t="s">
        <v>107</v>
      </c>
      <c r="Q86" s="18"/>
      <c r="R86" s="18"/>
      <c r="S86" s="23">
        <v>75.0</v>
      </c>
      <c r="T86" s="23">
        <v>486.0</v>
      </c>
      <c r="U86" s="23">
        <f t="shared" si="2"/>
        <v>466.56</v>
      </c>
      <c r="V86" s="23">
        <f t="shared" si="3"/>
        <v>91.875</v>
      </c>
      <c r="W86" s="23">
        <f t="shared" si="4"/>
        <v>1722.65625</v>
      </c>
      <c r="X86" s="24">
        <f t="shared" si="5"/>
        <v>5.078204082</v>
      </c>
    </row>
    <row r="87" ht="39.0" customHeight="1">
      <c r="A87" s="15" t="s">
        <v>509</v>
      </c>
      <c r="B87" s="15" t="s">
        <v>510</v>
      </c>
      <c r="C87" s="16"/>
      <c r="D87" s="15" t="s">
        <v>511</v>
      </c>
      <c r="E87" s="17" t="s">
        <v>512</v>
      </c>
      <c r="F87" s="18"/>
      <c r="G87" s="15" t="s">
        <v>513</v>
      </c>
      <c r="H87" s="15" t="s">
        <v>514</v>
      </c>
      <c r="I87" s="18"/>
      <c r="J87" s="19" t="s">
        <v>104</v>
      </c>
      <c r="K87" s="19" t="s">
        <v>160</v>
      </c>
      <c r="L87" s="19" t="s">
        <v>106</v>
      </c>
      <c r="M87" s="20">
        <f t="shared" si="1"/>
        <v>2788.32</v>
      </c>
      <c r="N87" s="30"/>
      <c r="O87" s="31">
        <v>1.0</v>
      </c>
      <c r="P87" s="19" t="s">
        <v>107</v>
      </c>
      <c r="Q87" s="18"/>
      <c r="R87" s="18"/>
      <c r="S87" s="23">
        <v>25.0</v>
      </c>
      <c r="T87" s="23">
        <v>157.0</v>
      </c>
      <c r="U87" s="23">
        <f t="shared" si="2"/>
        <v>150.72</v>
      </c>
      <c r="V87" s="23">
        <f t="shared" si="3"/>
        <v>30.625</v>
      </c>
      <c r="W87" s="23">
        <f t="shared" si="4"/>
        <v>574.21875</v>
      </c>
      <c r="X87" s="24">
        <f t="shared" si="5"/>
        <v>4.921469388</v>
      </c>
    </row>
    <row r="88" ht="39.0" customHeight="1">
      <c r="A88" s="15" t="s">
        <v>515</v>
      </c>
      <c r="B88" s="15" t="s">
        <v>516</v>
      </c>
      <c r="C88" s="16"/>
      <c r="D88" s="15" t="s">
        <v>517</v>
      </c>
      <c r="E88" s="17" t="s">
        <v>518</v>
      </c>
      <c r="F88" s="18"/>
      <c r="G88" s="15" t="s">
        <v>519</v>
      </c>
      <c r="H88" s="15" t="s">
        <v>520</v>
      </c>
      <c r="I88" s="18"/>
      <c r="J88" s="19" t="s">
        <v>283</v>
      </c>
      <c r="K88" s="19" t="s">
        <v>284</v>
      </c>
      <c r="L88" s="19" t="s">
        <v>285</v>
      </c>
      <c r="M88" s="20">
        <f t="shared" si="1"/>
        <v>888</v>
      </c>
      <c r="N88" s="30"/>
      <c r="O88" s="31">
        <v>5.0</v>
      </c>
      <c r="P88" s="19" t="s">
        <v>107</v>
      </c>
      <c r="Q88" s="18"/>
      <c r="R88" s="18"/>
      <c r="S88" s="23">
        <v>8.0</v>
      </c>
      <c r="T88" s="23">
        <v>50.0</v>
      </c>
      <c r="U88" s="23">
        <f t="shared" si="2"/>
        <v>48</v>
      </c>
      <c r="V88" s="23">
        <f t="shared" si="3"/>
        <v>9.8</v>
      </c>
      <c r="W88" s="23">
        <f t="shared" si="4"/>
        <v>183.75</v>
      </c>
      <c r="X88" s="24">
        <f t="shared" si="5"/>
        <v>4.897959184</v>
      </c>
    </row>
    <row r="89" ht="39.0" customHeight="1">
      <c r="A89" s="15" t="s">
        <v>521</v>
      </c>
      <c r="B89" s="15" t="s">
        <v>522</v>
      </c>
      <c r="C89" s="16" t="str">
        <f>IMAGE("https://i.ibb.co/N6ZCKNCt/1256.png")</f>
        <v/>
      </c>
      <c r="D89" s="15" t="s">
        <v>523</v>
      </c>
      <c r="E89" s="17" t="s">
        <v>524</v>
      </c>
      <c r="F89" s="18"/>
      <c r="G89" s="15" t="s">
        <v>525</v>
      </c>
      <c r="H89" s="15" t="s">
        <v>526</v>
      </c>
      <c r="I89" s="18"/>
      <c r="J89" s="19" t="s">
        <v>59</v>
      </c>
      <c r="K89" s="19" t="s">
        <v>496</v>
      </c>
      <c r="L89" s="19" t="s">
        <v>292</v>
      </c>
      <c r="M89" s="20">
        <f t="shared" si="1"/>
        <v>941.28</v>
      </c>
      <c r="N89" s="30"/>
      <c r="O89" s="31">
        <v>4.0</v>
      </c>
      <c r="P89" s="19" t="s">
        <v>107</v>
      </c>
      <c r="Q89" s="18"/>
      <c r="R89" s="18"/>
      <c r="S89" s="23">
        <v>8.5</v>
      </c>
      <c r="T89" s="23">
        <v>53.0</v>
      </c>
      <c r="U89" s="23">
        <f t="shared" si="2"/>
        <v>50.88</v>
      </c>
      <c r="V89" s="23">
        <f t="shared" si="3"/>
        <v>10.4125</v>
      </c>
      <c r="W89" s="23">
        <f t="shared" si="4"/>
        <v>195.234375</v>
      </c>
      <c r="X89" s="24">
        <f t="shared" si="5"/>
        <v>4.886434574</v>
      </c>
    </row>
    <row r="90" ht="39.0" customHeight="1">
      <c r="A90" s="15" t="s">
        <v>527</v>
      </c>
      <c r="B90" s="15" t="s">
        <v>528</v>
      </c>
      <c r="C90" s="16"/>
      <c r="D90" s="15" t="s">
        <v>529</v>
      </c>
      <c r="E90" s="17" t="s">
        <v>530</v>
      </c>
      <c r="F90" s="18"/>
      <c r="G90" s="15" t="s">
        <v>525</v>
      </c>
      <c r="H90" s="15" t="s">
        <v>531</v>
      </c>
      <c r="I90" s="18"/>
      <c r="J90" s="19" t="s">
        <v>59</v>
      </c>
      <c r="K90" s="19" t="s">
        <v>496</v>
      </c>
      <c r="L90" s="19" t="s">
        <v>292</v>
      </c>
      <c r="M90" s="20">
        <f t="shared" si="1"/>
        <v>941.28</v>
      </c>
      <c r="N90" s="30"/>
      <c r="O90" s="31">
        <v>4.0</v>
      </c>
      <c r="P90" s="19" t="s">
        <v>107</v>
      </c>
      <c r="Q90" s="18"/>
      <c r="R90" s="18"/>
      <c r="S90" s="23">
        <v>8.5</v>
      </c>
      <c r="T90" s="23">
        <v>53.0</v>
      </c>
      <c r="U90" s="23">
        <f t="shared" si="2"/>
        <v>50.88</v>
      </c>
      <c r="V90" s="23">
        <f t="shared" si="3"/>
        <v>10.4125</v>
      </c>
      <c r="W90" s="23">
        <f t="shared" si="4"/>
        <v>195.234375</v>
      </c>
      <c r="X90" s="24">
        <f t="shared" si="5"/>
        <v>4.886434574</v>
      </c>
    </row>
    <row r="91" ht="39.0" customHeight="1">
      <c r="A91" s="15" t="s">
        <v>532</v>
      </c>
      <c r="B91" s="15" t="s">
        <v>533</v>
      </c>
      <c r="C91" s="16"/>
      <c r="D91" s="15" t="s">
        <v>534</v>
      </c>
      <c r="E91" s="17" t="s">
        <v>535</v>
      </c>
      <c r="F91" s="18"/>
      <c r="G91" s="18"/>
      <c r="H91" s="15" t="s">
        <v>536</v>
      </c>
      <c r="I91" s="18"/>
      <c r="J91" s="19" t="s">
        <v>59</v>
      </c>
      <c r="K91" s="19" t="s">
        <v>52</v>
      </c>
      <c r="L91" s="19" t="s">
        <v>147</v>
      </c>
      <c r="M91" s="20">
        <f t="shared" si="1"/>
        <v>710.4</v>
      </c>
      <c r="N91" s="30" t="s">
        <v>68</v>
      </c>
      <c r="O91" s="31">
        <v>5.0</v>
      </c>
      <c r="P91" s="19" t="s">
        <v>107</v>
      </c>
      <c r="Q91" s="18"/>
      <c r="R91" s="18"/>
      <c r="S91" s="23">
        <v>6.5</v>
      </c>
      <c r="T91" s="23">
        <v>40.0</v>
      </c>
      <c r="U91" s="23">
        <f t="shared" si="2"/>
        <v>38.4</v>
      </c>
      <c r="V91" s="23">
        <f t="shared" si="3"/>
        <v>7.9625</v>
      </c>
      <c r="W91" s="23">
        <f t="shared" si="4"/>
        <v>149.296875</v>
      </c>
      <c r="X91" s="24">
        <f t="shared" si="5"/>
        <v>4.822605965</v>
      </c>
    </row>
    <row r="92" ht="39.0" customHeight="1">
      <c r="A92" s="15" t="s">
        <v>537</v>
      </c>
      <c r="B92" s="15" t="s">
        <v>538</v>
      </c>
      <c r="C92" s="16"/>
      <c r="D92" s="15" t="s">
        <v>539</v>
      </c>
      <c r="E92" s="17" t="s">
        <v>540</v>
      </c>
      <c r="F92" s="18"/>
      <c r="G92" s="15" t="s">
        <v>541</v>
      </c>
      <c r="H92" s="15" t="s">
        <v>542</v>
      </c>
      <c r="I92" s="18"/>
      <c r="J92" s="19" t="s">
        <v>104</v>
      </c>
      <c r="K92" s="19" t="s">
        <v>160</v>
      </c>
      <c r="L92" s="19" t="s">
        <v>106</v>
      </c>
      <c r="M92" s="20">
        <f t="shared" si="1"/>
        <v>1278.72</v>
      </c>
      <c r="N92" s="30"/>
      <c r="O92" s="31">
        <v>10.0</v>
      </c>
      <c r="P92" s="19" t="s">
        <v>107</v>
      </c>
      <c r="Q92" s="18"/>
      <c r="R92" s="18"/>
      <c r="S92" s="23">
        <v>12.0</v>
      </c>
      <c r="T92" s="23">
        <v>72.0</v>
      </c>
      <c r="U92" s="23">
        <f t="shared" si="2"/>
        <v>69.12</v>
      </c>
      <c r="V92" s="23">
        <f t="shared" si="3"/>
        <v>14.7</v>
      </c>
      <c r="W92" s="23">
        <f t="shared" si="4"/>
        <v>275.625</v>
      </c>
      <c r="X92" s="24">
        <f t="shared" si="5"/>
        <v>4.702040816</v>
      </c>
    </row>
    <row r="93" ht="39.0" customHeight="1">
      <c r="A93" s="15" t="s">
        <v>543</v>
      </c>
      <c r="B93" s="15" t="s">
        <v>544</v>
      </c>
      <c r="C93" s="16"/>
      <c r="D93" s="15" t="s">
        <v>545</v>
      </c>
      <c r="E93" s="17" t="s">
        <v>546</v>
      </c>
      <c r="F93" s="18"/>
      <c r="G93" s="15" t="s">
        <v>547</v>
      </c>
      <c r="H93" s="15" t="s">
        <v>548</v>
      </c>
      <c r="I93" s="18"/>
      <c r="J93" s="19" t="s">
        <v>36</v>
      </c>
      <c r="K93" s="19" t="s">
        <v>105</v>
      </c>
      <c r="L93" s="19" t="s">
        <v>38</v>
      </c>
      <c r="M93" s="20">
        <f t="shared" si="1"/>
        <v>1918.08</v>
      </c>
      <c r="N93" s="30" t="s">
        <v>79</v>
      </c>
      <c r="O93" s="31">
        <v>8.0</v>
      </c>
      <c r="P93" s="19" t="s">
        <v>107</v>
      </c>
      <c r="Q93" s="18"/>
      <c r="R93" s="18"/>
      <c r="S93" s="23">
        <v>18.0</v>
      </c>
      <c r="T93" s="23">
        <v>108.0</v>
      </c>
      <c r="U93" s="23">
        <f t="shared" si="2"/>
        <v>103.68</v>
      </c>
      <c r="V93" s="23">
        <f t="shared" si="3"/>
        <v>22.05</v>
      </c>
      <c r="W93" s="23">
        <f t="shared" si="4"/>
        <v>413.4375</v>
      </c>
      <c r="X93" s="24">
        <f t="shared" si="5"/>
        <v>4.702040816</v>
      </c>
    </row>
    <row r="94" ht="39.0" customHeight="1">
      <c r="A94" s="15" t="s">
        <v>549</v>
      </c>
      <c r="B94" s="15" t="s">
        <v>550</v>
      </c>
      <c r="C94" s="16"/>
      <c r="D94" s="15" t="s">
        <v>551</v>
      </c>
      <c r="E94" s="17" t="s">
        <v>552</v>
      </c>
      <c r="F94" s="18"/>
      <c r="G94" s="18"/>
      <c r="H94" s="15" t="s">
        <v>553</v>
      </c>
      <c r="I94" s="18"/>
      <c r="J94" s="19" t="s">
        <v>36</v>
      </c>
      <c r="K94" s="19" t="s">
        <v>52</v>
      </c>
      <c r="L94" s="19" t="s">
        <v>52</v>
      </c>
      <c r="M94" s="20">
        <f t="shared" si="1"/>
        <v>1598.4</v>
      </c>
      <c r="N94" s="30"/>
      <c r="O94" s="31">
        <v>6.0</v>
      </c>
      <c r="P94" s="19" t="s">
        <v>107</v>
      </c>
      <c r="Q94" s="18"/>
      <c r="R94" s="18"/>
      <c r="S94" s="23">
        <v>15.0</v>
      </c>
      <c r="T94" s="23">
        <v>90.0</v>
      </c>
      <c r="U94" s="23">
        <f t="shared" si="2"/>
        <v>86.4</v>
      </c>
      <c r="V94" s="23">
        <f t="shared" si="3"/>
        <v>18.375</v>
      </c>
      <c r="W94" s="23">
        <f t="shared" si="4"/>
        <v>344.53125</v>
      </c>
      <c r="X94" s="24">
        <f t="shared" si="5"/>
        <v>4.702040816</v>
      </c>
    </row>
    <row r="95" ht="39.0" customHeight="1">
      <c r="A95" s="15" t="s">
        <v>554</v>
      </c>
      <c r="B95" s="18" t="str">
        <f>CONCATENATE(7504589, A95)</f>
        <v>75045892588</v>
      </c>
      <c r="C95" s="16" t="str">
        <f>IMAGE("https://i.ibb.co/4ZGfCgB2/1035.jpg")</f>
        <v/>
      </c>
      <c r="D95" s="26"/>
      <c r="E95" s="25" t="s">
        <v>555</v>
      </c>
      <c r="F95" s="26"/>
      <c r="G95" s="26"/>
      <c r="H95" s="25" t="s">
        <v>556</v>
      </c>
      <c r="I95" s="26"/>
      <c r="J95" s="27" t="s">
        <v>104</v>
      </c>
      <c r="K95" s="27" t="s">
        <v>160</v>
      </c>
      <c r="L95" s="27" t="s">
        <v>135</v>
      </c>
      <c r="M95" s="20">
        <f t="shared" si="1"/>
        <v>106.56</v>
      </c>
      <c r="N95" s="28"/>
      <c r="O95" s="36">
        <v>8.0</v>
      </c>
      <c r="P95" s="27" t="s">
        <v>107</v>
      </c>
      <c r="Q95" s="26"/>
      <c r="R95" s="26"/>
      <c r="S95" s="23">
        <v>1.0</v>
      </c>
      <c r="T95" s="23">
        <v>6.0</v>
      </c>
      <c r="U95" s="23">
        <f t="shared" si="2"/>
        <v>5.76</v>
      </c>
      <c r="V95" s="23">
        <f t="shared" si="3"/>
        <v>1.225</v>
      </c>
      <c r="W95" s="23">
        <f t="shared" si="4"/>
        <v>22.96875</v>
      </c>
      <c r="X95" s="24">
        <f t="shared" si="5"/>
        <v>4.702040816</v>
      </c>
    </row>
    <row r="96" ht="39.0" customHeight="1">
      <c r="A96" s="15" t="s">
        <v>557</v>
      </c>
      <c r="B96" s="15" t="s">
        <v>558</v>
      </c>
      <c r="C96" s="16"/>
      <c r="D96" s="15" t="s">
        <v>559</v>
      </c>
      <c r="E96" s="17" t="s">
        <v>560</v>
      </c>
      <c r="F96" s="18"/>
      <c r="G96" s="18"/>
      <c r="H96" s="15" t="s">
        <v>561</v>
      </c>
      <c r="I96" s="18"/>
      <c r="J96" s="19" t="s">
        <v>36</v>
      </c>
      <c r="K96" s="19" t="s">
        <v>427</v>
      </c>
      <c r="L96" s="19" t="s">
        <v>177</v>
      </c>
      <c r="M96" s="20">
        <f t="shared" si="1"/>
        <v>2504.16</v>
      </c>
      <c r="N96" s="30"/>
      <c r="O96" s="31">
        <v>3.0</v>
      </c>
      <c r="P96" s="19" t="s">
        <v>107</v>
      </c>
      <c r="Q96" s="18"/>
      <c r="R96" s="18"/>
      <c r="S96" s="23">
        <v>24.0</v>
      </c>
      <c r="T96" s="23">
        <v>141.0</v>
      </c>
      <c r="U96" s="23">
        <f t="shared" si="2"/>
        <v>135.36</v>
      </c>
      <c r="V96" s="23">
        <f t="shared" si="3"/>
        <v>29.4</v>
      </c>
      <c r="W96" s="23">
        <f t="shared" si="4"/>
        <v>551.25</v>
      </c>
      <c r="X96" s="24">
        <f t="shared" si="5"/>
        <v>4.604081633</v>
      </c>
    </row>
    <row r="97" ht="39.0" customHeight="1">
      <c r="A97" s="15" t="s">
        <v>562</v>
      </c>
      <c r="B97" s="15" t="s">
        <v>563</v>
      </c>
      <c r="C97" s="16" t="str">
        <f>IMAGE("https://i.ibb.co/4ZGfCgB2/1035.jpg")</f>
        <v/>
      </c>
      <c r="D97" s="15" t="s">
        <v>564</v>
      </c>
      <c r="E97" s="17" t="s">
        <v>565</v>
      </c>
      <c r="F97" s="18"/>
      <c r="G97" s="15" t="s">
        <v>566</v>
      </c>
      <c r="H97" s="15" t="s">
        <v>567</v>
      </c>
      <c r="I97" s="15" t="s">
        <v>568</v>
      </c>
      <c r="J97" s="19" t="s">
        <v>36</v>
      </c>
      <c r="K97" s="19" t="s">
        <v>52</v>
      </c>
      <c r="L97" s="19" t="s">
        <v>52</v>
      </c>
      <c r="M97" s="20">
        <f t="shared" si="1"/>
        <v>1243.2</v>
      </c>
      <c r="N97" s="30" t="s">
        <v>79</v>
      </c>
      <c r="O97" s="31">
        <v>8.0</v>
      </c>
      <c r="P97" s="19" t="s">
        <v>107</v>
      </c>
      <c r="Q97" s="18"/>
      <c r="R97" s="18"/>
      <c r="S97" s="23">
        <v>12.0</v>
      </c>
      <c r="T97" s="23">
        <v>70.0</v>
      </c>
      <c r="U97" s="23">
        <f t="shared" si="2"/>
        <v>67.2</v>
      </c>
      <c r="V97" s="23">
        <f t="shared" si="3"/>
        <v>14.7</v>
      </c>
      <c r="W97" s="23">
        <f t="shared" si="4"/>
        <v>275.625</v>
      </c>
      <c r="X97" s="24">
        <f t="shared" si="5"/>
        <v>4.571428571</v>
      </c>
    </row>
    <row r="98" ht="39.0" customHeight="1">
      <c r="A98" s="15" t="s">
        <v>569</v>
      </c>
      <c r="B98" s="15" t="s">
        <v>570</v>
      </c>
      <c r="C98" s="16"/>
      <c r="D98" s="15" t="s">
        <v>571</v>
      </c>
      <c r="E98" s="17" t="s">
        <v>572</v>
      </c>
      <c r="F98" s="18"/>
      <c r="G98" s="15" t="s">
        <v>573</v>
      </c>
      <c r="H98" s="15" t="s">
        <v>574</v>
      </c>
      <c r="I98" s="18"/>
      <c r="J98" s="19" t="s">
        <v>59</v>
      </c>
      <c r="K98" s="19" t="s">
        <v>200</v>
      </c>
      <c r="L98" s="19" t="s">
        <v>38</v>
      </c>
      <c r="M98" s="20">
        <f t="shared" si="1"/>
        <v>355.2</v>
      </c>
      <c r="N98" s="30" t="s">
        <v>68</v>
      </c>
      <c r="O98" s="31">
        <v>8.0</v>
      </c>
      <c r="P98" s="19" t="s">
        <v>107</v>
      </c>
      <c r="Q98" s="18"/>
      <c r="R98" s="18"/>
      <c r="S98" s="23">
        <v>3.5</v>
      </c>
      <c r="T98" s="23">
        <v>20.0</v>
      </c>
      <c r="U98" s="23">
        <f t="shared" si="2"/>
        <v>19.2</v>
      </c>
      <c r="V98" s="23">
        <f t="shared" si="3"/>
        <v>4.2875</v>
      </c>
      <c r="W98" s="23">
        <f t="shared" si="4"/>
        <v>80.390625</v>
      </c>
      <c r="X98" s="24">
        <f t="shared" si="5"/>
        <v>4.478134111</v>
      </c>
    </row>
    <row r="99" ht="39.0" customHeight="1">
      <c r="A99" s="15" t="s">
        <v>575</v>
      </c>
      <c r="B99" s="15" t="s">
        <v>576</v>
      </c>
      <c r="C99" s="16"/>
      <c r="D99" s="15" t="s">
        <v>577</v>
      </c>
      <c r="E99" s="17" t="s">
        <v>578</v>
      </c>
      <c r="F99" s="18"/>
      <c r="G99" s="15" t="s">
        <v>579</v>
      </c>
      <c r="H99" s="15" t="s">
        <v>580</v>
      </c>
      <c r="I99" s="18"/>
      <c r="J99" s="19" t="s">
        <v>283</v>
      </c>
      <c r="K99" s="19" t="s">
        <v>284</v>
      </c>
      <c r="L99" s="19" t="s">
        <v>285</v>
      </c>
      <c r="M99" s="20">
        <f t="shared" si="1"/>
        <v>1012.32</v>
      </c>
      <c r="N99" s="30"/>
      <c r="O99" s="31">
        <v>5.0</v>
      </c>
      <c r="P99" s="19" t="s">
        <v>107</v>
      </c>
      <c r="Q99" s="18"/>
      <c r="R99" s="18"/>
      <c r="S99" s="23">
        <v>10.0</v>
      </c>
      <c r="T99" s="23">
        <v>57.0</v>
      </c>
      <c r="U99" s="23">
        <f t="shared" si="2"/>
        <v>54.72</v>
      </c>
      <c r="V99" s="23">
        <f t="shared" si="3"/>
        <v>12.25</v>
      </c>
      <c r="W99" s="23">
        <f t="shared" si="4"/>
        <v>229.6875</v>
      </c>
      <c r="X99" s="24">
        <f t="shared" si="5"/>
        <v>4.466938776</v>
      </c>
    </row>
    <row r="100" ht="39.0" customHeight="1">
      <c r="A100" s="15" t="s">
        <v>581</v>
      </c>
      <c r="B100" s="15" t="s">
        <v>582</v>
      </c>
      <c r="C100" s="16" t="str">
        <f>IMAGE("https://i.ibb.co/BVSQ6y3g/1920.png")</f>
        <v/>
      </c>
      <c r="D100" s="15" t="s">
        <v>583</v>
      </c>
      <c r="E100" s="17" t="s">
        <v>584</v>
      </c>
      <c r="F100" s="18"/>
      <c r="G100" s="18"/>
      <c r="H100" s="15" t="s">
        <v>585</v>
      </c>
      <c r="I100" s="18"/>
      <c r="J100" s="19" t="s">
        <v>59</v>
      </c>
      <c r="K100" s="19" t="s">
        <v>60</v>
      </c>
      <c r="L100" s="19" t="s">
        <v>52</v>
      </c>
      <c r="M100" s="20">
        <f t="shared" si="1"/>
        <v>14492.16</v>
      </c>
      <c r="N100" s="30" t="s">
        <v>68</v>
      </c>
      <c r="O100" s="31">
        <v>2.0</v>
      </c>
      <c r="P100" s="19" t="s">
        <v>107</v>
      </c>
      <c r="Q100" s="18"/>
      <c r="R100" s="18"/>
      <c r="S100" s="23">
        <v>145.0</v>
      </c>
      <c r="T100" s="23">
        <v>816.0</v>
      </c>
      <c r="U100" s="23">
        <f t="shared" si="2"/>
        <v>783.36</v>
      </c>
      <c r="V100" s="23">
        <f t="shared" si="3"/>
        <v>177.625</v>
      </c>
      <c r="W100" s="23">
        <f t="shared" si="4"/>
        <v>3330.46875</v>
      </c>
      <c r="X100" s="24">
        <f t="shared" si="5"/>
        <v>4.410190007</v>
      </c>
    </row>
    <row r="101" ht="39.0" customHeight="1">
      <c r="A101" s="15" t="s">
        <v>586</v>
      </c>
      <c r="B101" s="15" t="s">
        <v>587</v>
      </c>
      <c r="C101" s="16" t="str">
        <f>IMAGE("https://i.ibb.co/JFd1bsbB/1730.png")</f>
        <v/>
      </c>
      <c r="D101" s="15" t="s">
        <v>588</v>
      </c>
      <c r="E101" s="17" t="s">
        <v>589</v>
      </c>
      <c r="F101" s="18"/>
      <c r="G101" s="15" t="s">
        <v>590</v>
      </c>
      <c r="H101" s="15" t="s">
        <v>591</v>
      </c>
      <c r="I101" s="18"/>
      <c r="J101" s="19" t="s">
        <v>283</v>
      </c>
      <c r="K101" s="19" t="s">
        <v>284</v>
      </c>
      <c r="L101" s="19" t="s">
        <v>285</v>
      </c>
      <c r="M101" s="20">
        <f t="shared" si="1"/>
        <v>888</v>
      </c>
      <c r="N101" s="30"/>
      <c r="O101" s="31">
        <v>5.0</v>
      </c>
      <c r="P101" s="19" t="s">
        <v>107</v>
      </c>
      <c r="Q101" s="18"/>
      <c r="R101" s="18"/>
      <c r="S101" s="23">
        <v>9.0</v>
      </c>
      <c r="T101" s="23">
        <v>50.0</v>
      </c>
      <c r="U101" s="23">
        <f t="shared" si="2"/>
        <v>48</v>
      </c>
      <c r="V101" s="23">
        <f t="shared" si="3"/>
        <v>11.025</v>
      </c>
      <c r="W101" s="23">
        <f t="shared" si="4"/>
        <v>206.71875</v>
      </c>
      <c r="X101" s="24">
        <f t="shared" si="5"/>
        <v>4.353741497</v>
      </c>
    </row>
    <row r="102" ht="39.0" customHeight="1">
      <c r="A102" s="15" t="s">
        <v>592</v>
      </c>
      <c r="B102" s="15" t="s">
        <v>593</v>
      </c>
      <c r="C102" s="16"/>
      <c r="D102" s="15" t="s">
        <v>594</v>
      </c>
      <c r="E102" s="17" t="s">
        <v>595</v>
      </c>
      <c r="F102" s="18"/>
      <c r="G102" s="15" t="s">
        <v>164</v>
      </c>
      <c r="H102" s="15" t="s">
        <v>596</v>
      </c>
      <c r="I102" s="18"/>
      <c r="J102" s="19" t="s">
        <v>104</v>
      </c>
      <c r="K102" s="19" t="s">
        <v>160</v>
      </c>
      <c r="L102" s="19" t="s">
        <v>106</v>
      </c>
      <c r="M102" s="20">
        <f t="shared" si="1"/>
        <v>976.8</v>
      </c>
      <c r="N102" s="30"/>
      <c r="O102" s="31">
        <v>6.0</v>
      </c>
      <c r="P102" s="19" t="s">
        <v>107</v>
      </c>
      <c r="Q102" s="18"/>
      <c r="R102" s="18"/>
      <c r="S102" s="23">
        <v>10.0</v>
      </c>
      <c r="T102" s="23">
        <v>55.0</v>
      </c>
      <c r="U102" s="23">
        <f t="shared" si="2"/>
        <v>52.8</v>
      </c>
      <c r="V102" s="23">
        <f t="shared" si="3"/>
        <v>12.25</v>
      </c>
      <c r="W102" s="23">
        <f t="shared" si="4"/>
        <v>229.6875</v>
      </c>
      <c r="X102" s="24">
        <f t="shared" si="5"/>
        <v>4.310204082</v>
      </c>
    </row>
    <row r="103" ht="39.0" customHeight="1">
      <c r="A103" s="15" t="s">
        <v>597</v>
      </c>
      <c r="B103" s="15" t="s">
        <v>598</v>
      </c>
      <c r="C103" s="16"/>
      <c r="D103" s="15" t="s">
        <v>599</v>
      </c>
      <c r="E103" s="17" t="s">
        <v>600</v>
      </c>
      <c r="F103" s="18"/>
      <c r="G103" s="18"/>
      <c r="H103" s="15" t="s">
        <v>601</v>
      </c>
      <c r="I103" s="15"/>
      <c r="J103" s="19" t="s">
        <v>602</v>
      </c>
      <c r="K103" s="19" t="s">
        <v>603</v>
      </c>
      <c r="L103" s="19" t="s">
        <v>292</v>
      </c>
      <c r="M103" s="20">
        <f t="shared" si="1"/>
        <v>23088</v>
      </c>
      <c r="N103" s="30"/>
      <c r="O103" s="31">
        <v>3.0</v>
      </c>
      <c r="P103" s="19" t="s">
        <v>107</v>
      </c>
      <c r="Q103" s="18"/>
      <c r="R103" s="18"/>
      <c r="S103" s="23">
        <v>240.0</v>
      </c>
      <c r="T103" s="23">
        <v>1300.0</v>
      </c>
      <c r="U103" s="23">
        <f t="shared" si="2"/>
        <v>1248</v>
      </c>
      <c r="V103" s="23">
        <f t="shared" si="3"/>
        <v>294</v>
      </c>
      <c r="W103" s="23">
        <f t="shared" si="4"/>
        <v>5512.5</v>
      </c>
      <c r="X103" s="24">
        <f t="shared" si="5"/>
        <v>4.244897959</v>
      </c>
    </row>
    <row r="104" ht="39.0" customHeight="1">
      <c r="A104" s="15" t="s">
        <v>604</v>
      </c>
      <c r="B104" s="15" t="s">
        <v>605</v>
      </c>
      <c r="C104" s="16"/>
      <c r="D104" s="15" t="s">
        <v>606</v>
      </c>
      <c r="E104" s="17" t="s">
        <v>607</v>
      </c>
      <c r="F104" s="18"/>
      <c r="G104" s="15" t="s">
        <v>608</v>
      </c>
      <c r="H104" s="15" t="s">
        <v>609</v>
      </c>
      <c r="I104" s="18"/>
      <c r="J104" s="19" t="s">
        <v>36</v>
      </c>
      <c r="K104" s="19" t="s">
        <v>427</v>
      </c>
      <c r="L104" s="19" t="s">
        <v>610</v>
      </c>
      <c r="M104" s="20">
        <f t="shared" si="1"/>
        <v>1154.4</v>
      </c>
      <c r="N104" s="30"/>
      <c r="O104" s="31">
        <v>10.0</v>
      </c>
      <c r="P104" s="19" t="s">
        <v>107</v>
      </c>
      <c r="Q104" s="18"/>
      <c r="R104" s="18"/>
      <c r="S104" s="23">
        <v>12.0</v>
      </c>
      <c r="T104" s="23">
        <v>65.0</v>
      </c>
      <c r="U104" s="23">
        <f t="shared" si="2"/>
        <v>62.4</v>
      </c>
      <c r="V104" s="23">
        <f t="shared" si="3"/>
        <v>14.7</v>
      </c>
      <c r="W104" s="23">
        <f t="shared" si="4"/>
        <v>275.625</v>
      </c>
      <c r="X104" s="24">
        <f t="shared" si="5"/>
        <v>4.244897959</v>
      </c>
    </row>
    <row r="105" ht="39.0" customHeight="1">
      <c r="A105" s="15" t="s">
        <v>611</v>
      </c>
      <c r="B105" s="15" t="s">
        <v>612</v>
      </c>
      <c r="C105" s="16" t="str">
        <f>IMAGE("https://i.ibb.co/5WTCFCXK/1434.png")</f>
        <v/>
      </c>
      <c r="D105" s="15" t="s">
        <v>613</v>
      </c>
      <c r="E105" s="17" t="s">
        <v>614</v>
      </c>
      <c r="F105" s="18"/>
      <c r="G105" s="18"/>
      <c r="H105" s="15" t="s">
        <v>615</v>
      </c>
      <c r="I105" s="15" t="s">
        <v>616</v>
      </c>
      <c r="J105" s="19" t="s">
        <v>36</v>
      </c>
      <c r="K105" s="19" t="s">
        <v>52</v>
      </c>
      <c r="L105" s="19" t="s">
        <v>52</v>
      </c>
      <c r="M105" s="20">
        <f t="shared" si="1"/>
        <v>2113.44</v>
      </c>
      <c r="N105" s="30" t="s">
        <v>68</v>
      </c>
      <c r="O105" s="31">
        <v>3.0</v>
      </c>
      <c r="P105" s="19" t="s">
        <v>107</v>
      </c>
      <c r="Q105" s="18"/>
      <c r="R105" s="18"/>
      <c r="S105" s="23">
        <v>22.0</v>
      </c>
      <c r="T105" s="23">
        <v>119.0</v>
      </c>
      <c r="U105" s="23">
        <f t="shared" si="2"/>
        <v>114.24</v>
      </c>
      <c r="V105" s="23">
        <f t="shared" si="3"/>
        <v>26.95</v>
      </c>
      <c r="W105" s="23">
        <f t="shared" si="4"/>
        <v>505.3125</v>
      </c>
      <c r="X105" s="24">
        <f t="shared" si="5"/>
        <v>4.238961039</v>
      </c>
    </row>
    <row r="106" ht="39.0" customHeight="1">
      <c r="A106" s="15" t="s">
        <v>617</v>
      </c>
      <c r="B106" s="18" t="str">
        <f>CONCATENATE(7504589,A106)</f>
        <v>75045892197</v>
      </c>
      <c r="C106" s="16"/>
      <c r="D106" s="15" t="s">
        <v>618</v>
      </c>
      <c r="E106" s="17" t="s">
        <v>619</v>
      </c>
      <c r="F106" s="18"/>
      <c r="G106" s="18"/>
      <c r="H106" s="15" t="s">
        <v>620</v>
      </c>
      <c r="I106" s="15"/>
      <c r="J106" s="19" t="s">
        <v>59</v>
      </c>
      <c r="K106" s="19" t="s">
        <v>60</v>
      </c>
      <c r="L106" s="19" t="s">
        <v>38</v>
      </c>
      <c r="M106" s="20">
        <f t="shared" si="1"/>
        <v>8453.76</v>
      </c>
      <c r="N106" s="30" t="s">
        <v>79</v>
      </c>
      <c r="O106" s="31">
        <v>3.0</v>
      </c>
      <c r="P106" s="19" t="s">
        <v>107</v>
      </c>
      <c r="Q106" s="18"/>
      <c r="R106" s="18"/>
      <c r="S106" s="23">
        <v>88.0</v>
      </c>
      <c r="T106" s="23">
        <v>476.0</v>
      </c>
      <c r="U106" s="23">
        <f t="shared" si="2"/>
        <v>456.96</v>
      </c>
      <c r="V106" s="23">
        <f t="shared" si="3"/>
        <v>107.8</v>
      </c>
      <c r="W106" s="23">
        <f t="shared" si="4"/>
        <v>2021.25</v>
      </c>
      <c r="X106" s="24">
        <f t="shared" si="5"/>
        <v>4.238961039</v>
      </c>
    </row>
    <row r="107" ht="39.0" customHeight="1">
      <c r="A107" s="15" t="s">
        <v>621</v>
      </c>
      <c r="B107" s="15" t="s">
        <v>622</v>
      </c>
      <c r="C107" s="16"/>
      <c r="D107" s="15" t="s">
        <v>623</v>
      </c>
      <c r="E107" s="17" t="s">
        <v>624</v>
      </c>
      <c r="F107" s="18"/>
      <c r="G107" s="15" t="s">
        <v>625</v>
      </c>
      <c r="H107" s="15" t="s">
        <v>626</v>
      </c>
      <c r="I107" s="18"/>
      <c r="J107" s="19" t="s">
        <v>283</v>
      </c>
      <c r="K107" s="19" t="s">
        <v>440</v>
      </c>
      <c r="L107" s="19" t="s">
        <v>135</v>
      </c>
      <c r="M107" s="20">
        <f t="shared" si="1"/>
        <v>568.32</v>
      </c>
      <c r="N107" s="30"/>
      <c r="O107" s="31">
        <v>5.0</v>
      </c>
      <c r="P107" s="19" t="s">
        <v>107</v>
      </c>
      <c r="Q107" s="18"/>
      <c r="R107" s="18"/>
      <c r="S107" s="23">
        <v>6.0</v>
      </c>
      <c r="T107" s="23">
        <v>32.0</v>
      </c>
      <c r="U107" s="23">
        <f t="shared" si="2"/>
        <v>30.72</v>
      </c>
      <c r="V107" s="23">
        <f t="shared" si="3"/>
        <v>7.35</v>
      </c>
      <c r="W107" s="23">
        <f t="shared" si="4"/>
        <v>137.8125</v>
      </c>
      <c r="X107" s="24">
        <f t="shared" si="5"/>
        <v>4.179591837</v>
      </c>
    </row>
    <row r="108" ht="39.0" customHeight="1">
      <c r="A108" s="15" t="s">
        <v>627</v>
      </c>
      <c r="B108" s="15" t="s">
        <v>628</v>
      </c>
      <c r="C108" s="16"/>
      <c r="D108" s="15" t="s">
        <v>629</v>
      </c>
      <c r="E108" s="17" t="s">
        <v>630</v>
      </c>
      <c r="F108" s="18"/>
      <c r="G108" s="15" t="s">
        <v>631</v>
      </c>
      <c r="H108" s="15" t="s">
        <v>632</v>
      </c>
      <c r="I108" s="15" t="s">
        <v>633</v>
      </c>
      <c r="J108" s="19" t="s">
        <v>283</v>
      </c>
      <c r="K108" s="19" t="s">
        <v>440</v>
      </c>
      <c r="L108" s="19" t="s">
        <v>135</v>
      </c>
      <c r="M108" s="20">
        <f t="shared" si="1"/>
        <v>568.32</v>
      </c>
      <c r="N108" s="30" t="s">
        <v>68</v>
      </c>
      <c r="O108" s="31">
        <v>5.0</v>
      </c>
      <c r="P108" s="19" t="s">
        <v>107</v>
      </c>
      <c r="Q108" s="18"/>
      <c r="R108" s="18"/>
      <c r="S108" s="23">
        <v>6.0</v>
      </c>
      <c r="T108" s="23">
        <v>32.0</v>
      </c>
      <c r="U108" s="23">
        <f t="shared" si="2"/>
        <v>30.72</v>
      </c>
      <c r="V108" s="23">
        <f t="shared" si="3"/>
        <v>7.35</v>
      </c>
      <c r="W108" s="23">
        <f t="shared" si="4"/>
        <v>137.8125</v>
      </c>
      <c r="X108" s="24">
        <f t="shared" si="5"/>
        <v>4.179591837</v>
      </c>
    </row>
    <row r="109" ht="39.0" customHeight="1">
      <c r="A109" s="15" t="s">
        <v>634</v>
      </c>
      <c r="B109" s="15" t="s">
        <v>635</v>
      </c>
      <c r="C109" s="16" t="str">
        <f>IMAGE("https://i.ibb.co/JFd1bsbB/1730.png")</f>
        <v/>
      </c>
      <c r="D109" s="15" t="s">
        <v>636</v>
      </c>
      <c r="E109" s="17" t="s">
        <v>637</v>
      </c>
      <c r="F109" s="18"/>
      <c r="G109" s="18"/>
      <c r="H109" s="15" t="s">
        <v>638</v>
      </c>
      <c r="I109" s="18"/>
      <c r="J109" s="19" t="s">
        <v>59</v>
      </c>
      <c r="K109" s="19" t="s">
        <v>200</v>
      </c>
      <c r="L109" s="19" t="s">
        <v>292</v>
      </c>
      <c r="M109" s="20">
        <f t="shared" si="1"/>
        <v>745.92</v>
      </c>
      <c r="N109" s="30" t="s">
        <v>79</v>
      </c>
      <c r="O109" s="31">
        <v>5.0</v>
      </c>
      <c r="P109" s="19" t="s">
        <v>107</v>
      </c>
      <c r="Q109" s="18"/>
      <c r="R109" s="18"/>
      <c r="S109" s="23">
        <v>8.0</v>
      </c>
      <c r="T109" s="23">
        <v>42.0</v>
      </c>
      <c r="U109" s="23">
        <f t="shared" si="2"/>
        <v>40.32</v>
      </c>
      <c r="V109" s="23">
        <f t="shared" si="3"/>
        <v>9.8</v>
      </c>
      <c r="W109" s="23">
        <f t="shared" si="4"/>
        <v>183.75</v>
      </c>
      <c r="X109" s="24">
        <f t="shared" si="5"/>
        <v>4.114285714</v>
      </c>
    </row>
    <row r="110" ht="39.0" customHeight="1">
      <c r="A110" s="15" t="s">
        <v>639</v>
      </c>
      <c r="B110" s="15" t="s">
        <v>640</v>
      </c>
      <c r="C110" s="16" t="str">
        <f>IMAGE("https://i.ibb.co/DgT1PJmT/1825.png")</f>
        <v/>
      </c>
      <c r="D110" s="15" t="s">
        <v>641</v>
      </c>
      <c r="E110" s="17" t="s">
        <v>642</v>
      </c>
      <c r="F110" s="18"/>
      <c r="G110" s="15" t="s">
        <v>643</v>
      </c>
      <c r="H110" s="15" t="s">
        <v>644</v>
      </c>
      <c r="I110" s="18"/>
      <c r="J110" s="19" t="s">
        <v>104</v>
      </c>
      <c r="K110" s="19" t="s">
        <v>160</v>
      </c>
      <c r="L110" s="19" t="s">
        <v>106</v>
      </c>
      <c r="M110" s="20">
        <f t="shared" si="1"/>
        <v>1864.8</v>
      </c>
      <c r="N110" s="30"/>
      <c r="O110" s="31">
        <v>6.0</v>
      </c>
      <c r="P110" s="19" t="s">
        <v>107</v>
      </c>
      <c r="Q110" s="18"/>
      <c r="R110" s="18"/>
      <c r="S110" s="23">
        <v>20.0</v>
      </c>
      <c r="T110" s="23">
        <v>105.0</v>
      </c>
      <c r="U110" s="23">
        <f t="shared" si="2"/>
        <v>100.8</v>
      </c>
      <c r="V110" s="23">
        <f t="shared" si="3"/>
        <v>24.5</v>
      </c>
      <c r="W110" s="23">
        <f t="shared" si="4"/>
        <v>459.375</v>
      </c>
      <c r="X110" s="24">
        <f t="shared" si="5"/>
        <v>4.114285714</v>
      </c>
    </row>
    <row r="111" ht="39.0" customHeight="1">
      <c r="A111" s="15" t="s">
        <v>645</v>
      </c>
      <c r="B111" s="15" t="s">
        <v>646</v>
      </c>
      <c r="C111" s="16"/>
      <c r="D111" s="15" t="s">
        <v>647</v>
      </c>
      <c r="E111" s="17" t="s">
        <v>648</v>
      </c>
      <c r="F111" s="18"/>
      <c r="G111" s="15" t="s">
        <v>649</v>
      </c>
      <c r="H111" s="15" t="s">
        <v>650</v>
      </c>
      <c r="I111" s="18"/>
      <c r="J111" s="19" t="s">
        <v>59</v>
      </c>
      <c r="K111" s="19" t="s">
        <v>427</v>
      </c>
      <c r="L111" s="19" t="s">
        <v>292</v>
      </c>
      <c r="M111" s="20">
        <f t="shared" si="1"/>
        <v>1669.44</v>
      </c>
      <c r="N111" s="30"/>
      <c r="O111" s="31">
        <v>5.0</v>
      </c>
      <c r="P111" s="19" t="s">
        <v>107</v>
      </c>
      <c r="Q111" s="18"/>
      <c r="R111" s="18"/>
      <c r="S111" s="23">
        <v>18.0</v>
      </c>
      <c r="T111" s="23">
        <v>94.0</v>
      </c>
      <c r="U111" s="23">
        <f t="shared" si="2"/>
        <v>90.24</v>
      </c>
      <c r="V111" s="23">
        <f t="shared" si="3"/>
        <v>22.05</v>
      </c>
      <c r="W111" s="23">
        <f t="shared" si="4"/>
        <v>413.4375</v>
      </c>
      <c r="X111" s="24">
        <f t="shared" si="5"/>
        <v>4.092517007</v>
      </c>
    </row>
    <row r="112" ht="39.0" customHeight="1">
      <c r="A112" s="15" t="s">
        <v>651</v>
      </c>
      <c r="B112" s="15" t="s">
        <v>652</v>
      </c>
      <c r="C112" s="16"/>
      <c r="D112" s="15" t="s">
        <v>653</v>
      </c>
      <c r="E112" s="17" t="s">
        <v>654</v>
      </c>
      <c r="F112" s="18"/>
      <c r="G112" s="15" t="s">
        <v>655</v>
      </c>
      <c r="H112" s="15" t="s">
        <v>656</v>
      </c>
      <c r="I112" s="18"/>
      <c r="J112" s="19" t="s">
        <v>59</v>
      </c>
      <c r="K112" s="33"/>
      <c r="L112" s="19" t="s">
        <v>292</v>
      </c>
      <c r="M112" s="20">
        <f t="shared" si="1"/>
        <v>3694.08</v>
      </c>
      <c r="N112" s="30"/>
      <c r="O112" s="31">
        <v>3.0</v>
      </c>
      <c r="P112" s="19" t="s">
        <v>107</v>
      </c>
      <c r="Q112" s="18"/>
      <c r="R112" s="18"/>
      <c r="S112" s="23">
        <v>40.0</v>
      </c>
      <c r="T112" s="23">
        <v>208.0</v>
      </c>
      <c r="U112" s="23">
        <f t="shared" si="2"/>
        <v>199.68</v>
      </c>
      <c r="V112" s="23">
        <f t="shared" si="3"/>
        <v>49</v>
      </c>
      <c r="W112" s="23">
        <f t="shared" si="4"/>
        <v>918.75</v>
      </c>
      <c r="X112" s="24">
        <f t="shared" si="5"/>
        <v>4.075102041</v>
      </c>
    </row>
    <row r="113" ht="39.0" customHeight="1">
      <c r="A113" s="15" t="s">
        <v>657</v>
      </c>
      <c r="B113" s="15" t="s">
        <v>658</v>
      </c>
      <c r="C113" s="16" t="str">
        <f>IMAGE("https://i.ibb.co/NdgVDpPX/1854.png")</f>
        <v/>
      </c>
      <c r="D113" s="15" t="s">
        <v>659</v>
      </c>
      <c r="E113" s="17" t="s">
        <v>660</v>
      </c>
      <c r="F113" s="18"/>
      <c r="G113" s="18"/>
      <c r="H113" s="15" t="s">
        <v>661</v>
      </c>
      <c r="I113" s="15" t="s">
        <v>662</v>
      </c>
      <c r="J113" s="19" t="s">
        <v>36</v>
      </c>
      <c r="K113" s="19" t="s">
        <v>52</v>
      </c>
      <c r="L113" s="19" t="s">
        <v>52</v>
      </c>
      <c r="M113" s="20">
        <f t="shared" si="1"/>
        <v>2291.04</v>
      </c>
      <c r="N113" s="30" t="s">
        <v>68</v>
      </c>
      <c r="O113" s="31">
        <v>3.0</v>
      </c>
      <c r="P113" s="19" t="s">
        <v>107</v>
      </c>
      <c r="Q113" s="18"/>
      <c r="R113" s="18"/>
      <c r="S113" s="23">
        <v>25.0</v>
      </c>
      <c r="T113" s="23">
        <v>129.0</v>
      </c>
      <c r="U113" s="23">
        <f t="shared" si="2"/>
        <v>123.84</v>
      </c>
      <c r="V113" s="23">
        <f t="shared" si="3"/>
        <v>30.625</v>
      </c>
      <c r="W113" s="23">
        <f t="shared" si="4"/>
        <v>574.21875</v>
      </c>
      <c r="X113" s="24">
        <f t="shared" si="5"/>
        <v>4.043755102</v>
      </c>
    </row>
    <row r="114" ht="39.0" customHeight="1">
      <c r="A114" s="15" t="s">
        <v>663</v>
      </c>
      <c r="B114" s="15" t="s">
        <v>664</v>
      </c>
      <c r="C114" s="16"/>
      <c r="D114" s="15" t="s">
        <v>665</v>
      </c>
      <c r="E114" s="17" t="s">
        <v>666</v>
      </c>
      <c r="F114" s="18"/>
      <c r="G114" s="18"/>
      <c r="H114" s="15" t="s">
        <v>667</v>
      </c>
      <c r="I114" s="18"/>
      <c r="J114" s="19" t="s">
        <v>36</v>
      </c>
      <c r="K114" s="19" t="s">
        <v>52</v>
      </c>
      <c r="L114" s="19" t="s">
        <v>52</v>
      </c>
      <c r="M114" s="20">
        <f t="shared" si="1"/>
        <v>16676.64</v>
      </c>
      <c r="N114" s="30"/>
      <c r="O114" s="31">
        <v>1.0</v>
      </c>
      <c r="P114" s="19" t="s">
        <v>107</v>
      </c>
      <c r="Q114" s="18"/>
      <c r="R114" s="18"/>
      <c r="S114" s="23">
        <v>182.0</v>
      </c>
      <c r="T114" s="23">
        <v>939.0</v>
      </c>
      <c r="U114" s="23">
        <f t="shared" si="2"/>
        <v>901.44</v>
      </c>
      <c r="V114" s="23">
        <f t="shared" si="3"/>
        <v>222.95</v>
      </c>
      <c r="W114" s="23">
        <f t="shared" si="4"/>
        <v>4180.3125</v>
      </c>
      <c r="X114" s="24">
        <f t="shared" si="5"/>
        <v>4.043238394</v>
      </c>
    </row>
    <row r="115" ht="39.0" customHeight="1">
      <c r="A115" s="15" t="s">
        <v>668</v>
      </c>
      <c r="B115" s="15" t="s">
        <v>669</v>
      </c>
      <c r="C115" s="16"/>
      <c r="D115" s="15" t="s">
        <v>670</v>
      </c>
      <c r="E115" s="17" t="s">
        <v>671</v>
      </c>
      <c r="F115" s="18"/>
      <c r="G115" s="18"/>
      <c r="H115" s="15" t="s">
        <v>672</v>
      </c>
      <c r="I115" s="18"/>
      <c r="J115" s="19" t="s">
        <v>59</v>
      </c>
      <c r="K115" s="19" t="s">
        <v>200</v>
      </c>
      <c r="L115" s="19" t="s">
        <v>38</v>
      </c>
      <c r="M115" s="20">
        <f t="shared" si="1"/>
        <v>1456.32</v>
      </c>
      <c r="N115" s="30" t="s">
        <v>79</v>
      </c>
      <c r="O115" s="31">
        <v>5.0</v>
      </c>
      <c r="P115" s="19" t="s">
        <v>107</v>
      </c>
      <c r="Q115" s="18"/>
      <c r="R115" s="18"/>
      <c r="S115" s="23">
        <v>16.0</v>
      </c>
      <c r="T115" s="23">
        <v>82.0</v>
      </c>
      <c r="U115" s="23">
        <f t="shared" si="2"/>
        <v>78.72</v>
      </c>
      <c r="V115" s="23">
        <f t="shared" si="3"/>
        <v>19.6</v>
      </c>
      <c r="W115" s="23">
        <f t="shared" si="4"/>
        <v>367.5</v>
      </c>
      <c r="X115" s="24">
        <f t="shared" si="5"/>
        <v>4.016326531</v>
      </c>
    </row>
    <row r="116" ht="39.0" customHeight="1">
      <c r="A116" s="15" t="s">
        <v>673</v>
      </c>
      <c r="B116" s="15" t="s">
        <v>674</v>
      </c>
      <c r="C116" s="16"/>
      <c r="D116" s="15" t="s">
        <v>675</v>
      </c>
      <c r="E116" s="17" t="s">
        <v>676</v>
      </c>
      <c r="F116" s="18"/>
      <c r="G116" s="15" t="s">
        <v>677</v>
      </c>
      <c r="H116" s="15" t="s">
        <v>678</v>
      </c>
      <c r="I116" s="18"/>
      <c r="J116" s="19" t="s">
        <v>104</v>
      </c>
      <c r="K116" s="19" t="s">
        <v>160</v>
      </c>
      <c r="L116" s="19" t="s">
        <v>106</v>
      </c>
      <c r="M116" s="20">
        <f t="shared" si="1"/>
        <v>1225.44</v>
      </c>
      <c r="N116" s="30"/>
      <c r="O116" s="31">
        <v>10.0</v>
      </c>
      <c r="P116" s="19" t="s">
        <v>107</v>
      </c>
      <c r="Q116" s="18"/>
      <c r="R116" s="18"/>
      <c r="S116" s="23">
        <v>13.5</v>
      </c>
      <c r="T116" s="23">
        <v>69.0</v>
      </c>
      <c r="U116" s="23">
        <f t="shared" si="2"/>
        <v>66.24</v>
      </c>
      <c r="V116" s="23">
        <f t="shared" si="3"/>
        <v>16.5375</v>
      </c>
      <c r="W116" s="23">
        <f t="shared" si="4"/>
        <v>310.078125</v>
      </c>
      <c r="X116" s="24">
        <f t="shared" si="5"/>
        <v>4.005442177</v>
      </c>
    </row>
    <row r="117" ht="39.0" customHeight="1">
      <c r="A117" s="15" t="s">
        <v>679</v>
      </c>
      <c r="B117" s="15" t="s">
        <v>680</v>
      </c>
      <c r="C117" s="16"/>
      <c r="D117" s="15" t="s">
        <v>681</v>
      </c>
      <c r="E117" s="17" t="s">
        <v>682</v>
      </c>
      <c r="F117" s="18"/>
      <c r="G117" s="15" t="s">
        <v>683</v>
      </c>
      <c r="H117" s="15" t="s">
        <v>684</v>
      </c>
      <c r="I117" s="18"/>
      <c r="J117" s="19" t="s">
        <v>36</v>
      </c>
      <c r="K117" s="19" t="s">
        <v>60</v>
      </c>
      <c r="L117" s="19" t="s">
        <v>292</v>
      </c>
      <c r="M117" s="20">
        <f t="shared" si="1"/>
        <v>4475.52</v>
      </c>
      <c r="N117" s="30"/>
      <c r="O117" s="31">
        <v>3.0</v>
      </c>
      <c r="P117" s="19" t="s">
        <v>107</v>
      </c>
      <c r="Q117" s="18"/>
      <c r="R117" s="18"/>
      <c r="S117" s="23">
        <v>50.0</v>
      </c>
      <c r="T117" s="23">
        <v>252.0</v>
      </c>
      <c r="U117" s="23">
        <f t="shared" si="2"/>
        <v>241.92</v>
      </c>
      <c r="V117" s="23">
        <f t="shared" si="3"/>
        <v>61.25</v>
      </c>
      <c r="W117" s="23">
        <f t="shared" si="4"/>
        <v>1148.4375</v>
      </c>
      <c r="X117" s="24">
        <f t="shared" si="5"/>
        <v>3.949714286</v>
      </c>
    </row>
    <row r="118" ht="39.0" customHeight="1">
      <c r="A118" s="15" t="s">
        <v>685</v>
      </c>
      <c r="B118" s="15" t="s">
        <v>686</v>
      </c>
      <c r="C118" s="16" t="str">
        <f>IMAGE("https://i.ibb.co/39khBzXb/1435.png")</f>
        <v/>
      </c>
      <c r="D118" s="15" t="s">
        <v>687</v>
      </c>
      <c r="E118" s="17" t="s">
        <v>688</v>
      </c>
      <c r="F118" s="18"/>
      <c r="G118" s="15" t="s">
        <v>689</v>
      </c>
      <c r="H118" s="15" t="s">
        <v>690</v>
      </c>
      <c r="I118" s="15"/>
      <c r="J118" s="19" t="s">
        <v>59</v>
      </c>
      <c r="K118" s="19" t="s">
        <v>691</v>
      </c>
      <c r="L118" s="19" t="s">
        <v>38</v>
      </c>
      <c r="M118" s="20">
        <f t="shared" si="1"/>
        <v>10283.04</v>
      </c>
      <c r="N118" s="30" t="s">
        <v>68</v>
      </c>
      <c r="O118" s="31">
        <v>3.0</v>
      </c>
      <c r="P118" s="19" t="s">
        <v>107</v>
      </c>
      <c r="Q118" s="18"/>
      <c r="R118" s="18"/>
      <c r="S118" s="23">
        <v>115.0</v>
      </c>
      <c r="T118" s="23">
        <v>579.0</v>
      </c>
      <c r="U118" s="23">
        <f t="shared" si="2"/>
        <v>555.84</v>
      </c>
      <c r="V118" s="23">
        <f t="shared" si="3"/>
        <v>140.875</v>
      </c>
      <c r="W118" s="23">
        <f t="shared" si="4"/>
        <v>2641.40625</v>
      </c>
      <c r="X118" s="24">
        <f t="shared" si="5"/>
        <v>3.945625555</v>
      </c>
    </row>
    <row r="119" ht="39.0" customHeight="1">
      <c r="A119" s="15" t="s">
        <v>692</v>
      </c>
      <c r="B119" s="15" t="s">
        <v>693</v>
      </c>
      <c r="C119" s="16"/>
      <c r="D119" s="15" t="s">
        <v>694</v>
      </c>
      <c r="E119" s="17" t="s">
        <v>695</v>
      </c>
      <c r="F119" s="18"/>
      <c r="G119" s="18"/>
      <c r="H119" s="15" t="s">
        <v>696</v>
      </c>
      <c r="I119" s="18"/>
      <c r="J119" s="19" t="s">
        <v>36</v>
      </c>
      <c r="K119" s="19" t="s">
        <v>427</v>
      </c>
      <c r="L119" s="19" t="s">
        <v>177</v>
      </c>
      <c r="M119" s="20">
        <f t="shared" si="1"/>
        <v>3214.56</v>
      </c>
      <c r="N119" s="30"/>
      <c r="O119" s="31">
        <v>3.0</v>
      </c>
      <c r="P119" s="19" t="s">
        <v>107</v>
      </c>
      <c r="Q119" s="18"/>
      <c r="R119" s="18"/>
      <c r="S119" s="23">
        <v>36.0</v>
      </c>
      <c r="T119" s="23">
        <v>181.0</v>
      </c>
      <c r="U119" s="23">
        <f t="shared" si="2"/>
        <v>173.76</v>
      </c>
      <c r="V119" s="23">
        <f t="shared" si="3"/>
        <v>44.1</v>
      </c>
      <c r="W119" s="23">
        <f t="shared" si="4"/>
        <v>826.875</v>
      </c>
      <c r="X119" s="24">
        <f t="shared" si="5"/>
        <v>3.940136054</v>
      </c>
    </row>
    <row r="120" ht="39.0" customHeight="1">
      <c r="A120" s="15" t="s">
        <v>697</v>
      </c>
      <c r="B120" s="15" t="s">
        <v>698</v>
      </c>
      <c r="C120" s="16" t="str">
        <f>IMAGE("https://i.ibb.co/HDrD9zQ5/1824.png")</f>
        <v/>
      </c>
      <c r="D120" s="15" t="s">
        <v>699</v>
      </c>
      <c r="E120" s="17" t="s">
        <v>700</v>
      </c>
      <c r="F120" s="18"/>
      <c r="G120" s="18"/>
      <c r="H120" s="15" t="s">
        <v>701</v>
      </c>
      <c r="I120" s="18"/>
      <c r="J120" s="19" t="s">
        <v>702</v>
      </c>
      <c r="K120" s="19" t="s">
        <v>52</v>
      </c>
      <c r="L120" s="19" t="s">
        <v>703</v>
      </c>
      <c r="M120" s="20">
        <f t="shared" si="1"/>
        <v>3996</v>
      </c>
      <c r="N120" s="30"/>
      <c r="O120" s="31">
        <v>2.0</v>
      </c>
      <c r="P120" s="19" t="s">
        <v>107</v>
      </c>
      <c r="Q120" s="18"/>
      <c r="R120" s="18"/>
      <c r="S120" s="23">
        <v>45.0</v>
      </c>
      <c r="T120" s="23">
        <v>225.0</v>
      </c>
      <c r="U120" s="23">
        <f t="shared" si="2"/>
        <v>216</v>
      </c>
      <c r="V120" s="23">
        <f t="shared" si="3"/>
        <v>55.125</v>
      </c>
      <c r="W120" s="23">
        <f t="shared" si="4"/>
        <v>1033.59375</v>
      </c>
      <c r="X120" s="24">
        <f t="shared" si="5"/>
        <v>3.918367347</v>
      </c>
    </row>
    <row r="121" ht="39.0" customHeight="1">
      <c r="A121" s="15" t="s">
        <v>704</v>
      </c>
      <c r="B121" s="15" t="s">
        <v>705</v>
      </c>
      <c r="C121" s="16" t="str">
        <f>IMAGE("https://i.ibb.co/Kp7wJYdv/1826.png")</f>
        <v/>
      </c>
      <c r="D121" s="15" t="s">
        <v>706</v>
      </c>
      <c r="E121" s="17" t="s">
        <v>707</v>
      </c>
      <c r="F121" s="18"/>
      <c r="G121" s="15" t="s">
        <v>708</v>
      </c>
      <c r="H121" s="15" t="s">
        <v>709</v>
      </c>
      <c r="I121" s="18"/>
      <c r="J121" s="19" t="s">
        <v>36</v>
      </c>
      <c r="K121" s="19" t="s">
        <v>52</v>
      </c>
      <c r="L121" s="19" t="s">
        <v>52</v>
      </c>
      <c r="M121" s="20">
        <f t="shared" si="1"/>
        <v>177.6</v>
      </c>
      <c r="N121" s="30" t="s">
        <v>79</v>
      </c>
      <c r="O121" s="31">
        <v>8.0</v>
      </c>
      <c r="P121" s="19" t="s">
        <v>107</v>
      </c>
      <c r="Q121" s="18"/>
      <c r="R121" s="18"/>
      <c r="S121" s="23">
        <v>2.0</v>
      </c>
      <c r="T121" s="23">
        <v>10.0</v>
      </c>
      <c r="U121" s="23">
        <f t="shared" si="2"/>
        <v>9.6</v>
      </c>
      <c r="V121" s="23">
        <f t="shared" si="3"/>
        <v>2.45</v>
      </c>
      <c r="W121" s="23">
        <f t="shared" si="4"/>
        <v>45.9375</v>
      </c>
      <c r="X121" s="24">
        <f t="shared" si="5"/>
        <v>3.918367347</v>
      </c>
    </row>
    <row r="122" ht="39.0" customHeight="1">
      <c r="A122" s="15" t="s">
        <v>710</v>
      </c>
      <c r="B122" s="15" t="s">
        <v>711</v>
      </c>
      <c r="C122" s="16"/>
      <c r="D122" s="15" t="s">
        <v>712</v>
      </c>
      <c r="E122" s="17" t="s">
        <v>713</v>
      </c>
      <c r="F122" s="15" t="s">
        <v>714</v>
      </c>
      <c r="G122" s="15" t="s">
        <v>715</v>
      </c>
      <c r="H122" s="15" t="s">
        <v>716</v>
      </c>
      <c r="I122" s="18"/>
      <c r="J122" s="19" t="s">
        <v>104</v>
      </c>
      <c r="K122" s="19" t="s">
        <v>717</v>
      </c>
      <c r="L122" s="19" t="s">
        <v>106</v>
      </c>
      <c r="M122" s="20">
        <f t="shared" si="1"/>
        <v>9999.9456</v>
      </c>
      <c r="N122" s="30"/>
      <c r="O122" s="31">
        <v>3.0</v>
      </c>
      <c r="P122" s="19" t="s">
        <v>107</v>
      </c>
      <c r="Q122" s="18"/>
      <c r="R122" s="18"/>
      <c r="S122" s="23">
        <v>143.0</v>
      </c>
      <c r="T122" s="23">
        <v>563.06</v>
      </c>
      <c r="U122" s="23">
        <f t="shared" si="2"/>
        <v>540.5376</v>
      </c>
      <c r="V122" s="23">
        <f t="shared" si="3"/>
        <v>175.175</v>
      </c>
      <c r="W122" s="23">
        <f t="shared" si="4"/>
        <v>3284.53125</v>
      </c>
      <c r="X122" s="24">
        <f t="shared" si="5"/>
        <v>3.085700585</v>
      </c>
    </row>
    <row r="123" ht="39.0" customHeight="1">
      <c r="A123" s="15" t="s">
        <v>718</v>
      </c>
      <c r="B123" s="15" t="s">
        <v>719</v>
      </c>
      <c r="C123" s="16" t="str">
        <f>IMAGE("https://i.ibb.co/N2gQpYyd/1862.png")</f>
        <v/>
      </c>
      <c r="D123" s="15" t="s">
        <v>720</v>
      </c>
      <c r="E123" s="17" t="s">
        <v>721</v>
      </c>
      <c r="F123" s="18"/>
      <c r="G123" s="15" t="s">
        <v>722</v>
      </c>
      <c r="H123" s="15" t="s">
        <v>723</v>
      </c>
      <c r="I123" s="18"/>
      <c r="J123" s="19" t="s">
        <v>59</v>
      </c>
      <c r="K123" s="19" t="s">
        <v>60</v>
      </c>
      <c r="L123" s="19" t="s">
        <v>52</v>
      </c>
      <c r="M123" s="20">
        <f t="shared" si="1"/>
        <v>2592.96</v>
      </c>
      <c r="N123" s="30" t="s">
        <v>79</v>
      </c>
      <c r="O123" s="31">
        <v>5.0</v>
      </c>
      <c r="P123" s="19" t="s">
        <v>107</v>
      </c>
      <c r="Q123" s="18"/>
      <c r="R123" s="18"/>
      <c r="S123" s="23">
        <v>30.0</v>
      </c>
      <c r="T123" s="23">
        <v>146.0</v>
      </c>
      <c r="U123" s="23">
        <f t="shared" si="2"/>
        <v>140.16</v>
      </c>
      <c r="V123" s="23">
        <f t="shared" si="3"/>
        <v>36.75</v>
      </c>
      <c r="W123" s="23">
        <f t="shared" si="4"/>
        <v>689.0625</v>
      </c>
      <c r="X123" s="24">
        <f t="shared" si="5"/>
        <v>3.813877551</v>
      </c>
    </row>
    <row r="124" ht="39.0" customHeight="1">
      <c r="A124" s="15" t="s">
        <v>724</v>
      </c>
      <c r="B124" s="15" t="s">
        <v>725</v>
      </c>
      <c r="C124" s="16" t="str">
        <f>IMAGE("https://i.ibb.co/yBggBXhR/1827.png")</f>
        <v/>
      </c>
      <c r="D124" s="15" t="s">
        <v>726</v>
      </c>
      <c r="E124" s="17" t="s">
        <v>727</v>
      </c>
      <c r="F124" s="18"/>
      <c r="G124" s="15" t="s">
        <v>728</v>
      </c>
      <c r="H124" s="15" t="s">
        <v>729</v>
      </c>
      <c r="I124" s="18"/>
      <c r="J124" s="19" t="s">
        <v>36</v>
      </c>
      <c r="K124" s="19" t="s">
        <v>60</v>
      </c>
      <c r="L124" s="19" t="s">
        <v>106</v>
      </c>
      <c r="M124" s="20">
        <f t="shared" si="1"/>
        <v>2930.4</v>
      </c>
      <c r="N124" s="30"/>
      <c r="O124" s="31">
        <v>3.0</v>
      </c>
      <c r="P124" s="19" t="s">
        <v>107</v>
      </c>
      <c r="Q124" s="18"/>
      <c r="R124" s="18"/>
      <c r="S124" s="23">
        <v>34.0</v>
      </c>
      <c r="T124" s="23">
        <v>165.0</v>
      </c>
      <c r="U124" s="23">
        <f t="shared" si="2"/>
        <v>158.4</v>
      </c>
      <c r="V124" s="23">
        <f t="shared" si="3"/>
        <v>41.65</v>
      </c>
      <c r="W124" s="23">
        <f t="shared" si="4"/>
        <v>780.9375</v>
      </c>
      <c r="X124" s="24">
        <f t="shared" si="5"/>
        <v>3.803121248</v>
      </c>
    </row>
    <row r="125" ht="39.0" customHeight="1">
      <c r="A125" s="15" t="s">
        <v>730</v>
      </c>
      <c r="B125" s="15" t="s">
        <v>731</v>
      </c>
      <c r="C125" s="16"/>
      <c r="D125" s="15" t="s">
        <v>732</v>
      </c>
      <c r="E125" s="17" t="s">
        <v>733</v>
      </c>
      <c r="F125" s="18"/>
      <c r="G125" s="18"/>
      <c r="H125" s="15" t="s">
        <v>734</v>
      </c>
      <c r="I125" s="18"/>
      <c r="J125" s="19" t="s">
        <v>36</v>
      </c>
      <c r="K125" s="19" t="s">
        <v>52</v>
      </c>
      <c r="L125" s="19" t="s">
        <v>52</v>
      </c>
      <c r="M125" s="20">
        <f t="shared" si="1"/>
        <v>19145.28</v>
      </c>
      <c r="N125" s="30"/>
      <c r="O125" s="31">
        <v>1.0</v>
      </c>
      <c r="P125" s="19" t="s">
        <v>107</v>
      </c>
      <c r="Q125" s="18"/>
      <c r="R125" s="18"/>
      <c r="S125" s="23">
        <v>225.0</v>
      </c>
      <c r="T125" s="23">
        <v>1078.0</v>
      </c>
      <c r="U125" s="23">
        <f t="shared" si="2"/>
        <v>1034.88</v>
      </c>
      <c r="V125" s="23">
        <f t="shared" si="3"/>
        <v>275.625</v>
      </c>
      <c r="W125" s="23">
        <f t="shared" si="4"/>
        <v>5167.96875</v>
      </c>
      <c r="X125" s="24">
        <f t="shared" si="5"/>
        <v>3.754666667</v>
      </c>
    </row>
    <row r="126" ht="39.0" customHeight="1">
      <c r="A126" s="15" t="s">
        <v>735</v>
      </c>
      <c r="B126" s="15" t="s">
        <v>736</v>
      </c>
      <c r="C126" s="16"/>
      <c r="D126" s="15" t="s">
        <v>737</v>
      </c>
      <c r="E126" s="17" t="s">
        <v>738</v>
      </c>
      <c r="F126" s="18"/>
      <c r="G126" s="15" t="s">
        <v>739</v>
      </c>
      <c r="H126" s="15" t="s">
        <v>740</v>
      </c>
      <c r="I126" s="15" t="s">
        <v>741</v>
      </c>
      <c r="J126" s="19" t="s">
        <v>36</v>
      </c>
      <c r="K126" s="19" t="s">
        <v>60</v>
      </c>
      <c r="L126" s="19" t="s">
        <v>135</v>
      </c>
      <c r="M126" s="20">
        <f t="shared" si="1"/>
        <v>1012.32</v>
      </c>
      <c r="N126" s="30"/>
      <c r="O126" s="31">
        <v>3.0</v>
      </c>
      <c r="P126" s="19" t="s">
        <v>107</v>
      </c>
      <c r="Q126" s="18"/>
      <c r="R126" s="18"/>
      <c r="S126" s="23">
        <v>12.0</v>
      </c>
      <c r="T126" s="23">
        <v>57.0</v>
      </c>
      <c r="U126" s="23">
        <f t="shared" si="2"/>
        <v>54.72</v>
      </c>
      <c r="V126" s="23">
        <f t="shared" si="3"/>
        <v>14.7</v>
      </c>
      <c r="W126" s="23">
        <f t="shared" si="4"/>
        <v>275.625</v>
      </c>
      <c r="X126" s="24">
        <f t="shared" si="5"/>
        <v>3.72244898</v>
      </c>
    </row>
    <row r="127" ht="39.0" customHeight="1">
      <c r="A127" s="15" t="s">
        <v>742</v>
      </c>
      <c r="B127" s="15" t="s">
        <v>743</v>
      </c>
      <c r="C127" s="16"/>
      <c r="D127" s="15" t="s">
        <v>744</v>
      </c>
      <c r="E127" s="17" t="s">
        <v>745</v>
      </c>
      <c r="F127" s="18"/>
      <c r="G127" s="15" t="s">
        <v>746</v>
      </c>
      <c r="H127" s="15" t="s">
        <v>747</v>
      </c>
      <c r="I127" s="18"/>
      <c r="J127" s="19" t="s">
        <v>36</v>
      </c>
      <c r="K127" s="19" t="s">
        <v>60</v>
      </c>
      <c r="L127" s="19" t="s">
        <v>292</v>
      </c>
      <c r="M127" s="20">
        <f t="shared" si="1"/>
        <v>674.88</v>
      </c>
      <c r="N127" s="30"/>
      <c r="O127" s="31">
        <v>3.0</v>
      </c>
      <c r="P127" s="19" t="s">
        <v>107</v>
      </c>
      <c r="Q127" s="18"/>
      <c r="R127" s="18"/>
      <c r="S127" s="23">
        <v>8.0</v>
      </c>
      <c r="T127" s="23">
        <v>38.0</v>
      </c>
      <c r="U127" s="23">
        <f t="shared" si="2"/>
        <v>36.48</v>
      </c>
      <c r="V127" s="23">
        <f t="shared" si="3"/>
        <v>9.8</v>
      </c>
      <c r="W127" s="23">
        <f t="shared" si="4"/>
        <v>183.75</v>
      </c>
      <c r="X127" s="24">
        <f t="shared" si="5"/>
        <v>3.72244898</v>
      </c>
    </row>
    <row r="128" ht="39.0" customHeight="1">
      <c r="A128" s="15" t="s">
        <v>748</v>
      </c>
      <c r="B128" s="15" t="s">
        <v>749</v>
      </c>
      <c r="C128" s="16" t="str">
        <f>IMAGE("https://i.ibb.co/pvMv3fMR/1816.png")</f>
        <v/>
      </c>
      <c r="D128" s="15" t="s">
        <v>750</v>
      </c>
      <c r="E128" s="17" t="s">
        <v>751</v>
      </c>
      <c r="F128" s="18"/>
      <c r="G128" s="15" t="s">
        <v>752</v>
      </c>
      <c r="H128" s="15" t="s">
        <v>753</v>
      </c>
      <c r="I128" s="18"/>
      <c r="J128" s="19" t="s">
        <v>36</v>
      </c>
      <c r="K128" s="19" t="s">
        <v>60</v>
      </c>
      <c r="L128" s="19" t="s">
        <v>84</v>
      </c>
      <c r="M128" s="20">
        <f t="shared" si="1"/>
        <v>4617.6</v>
      </c>
      <c r="N128" s="30" t="s">
        <v>79</v>
      </c>
      <c r="O128" s="31">
        <v>2.0</v>
      </c>
      <c r="P128" s="19" t="s">
        <v>107</v>
      </c>
      <c r="Q128" s="18"/>
      <c r="R128" s="18"/>
      <c r="S128" s="23">
        <v>55.0</v>
      </c>
      <c r="T128" s="23">
        <v>260.0</v>
      </c>
      <c r="U128" s="23">
        <f t="shared" si="2"/>
        <v>249.6</v>
      </c>
      <c r="V128" s="23">
        <f t="shared" si="3"/>
        <v>67.375</v>
      </c>
      <c r="W128" s="23">
        <f t="shared" si="4"/>
        <v>1263.28125</v>
      </c>
      <c r="X128" s="24">
        <f t="shared" si="5"/>
        <v>3.704638219</v>
      </c>
    </row>
    <row r="129" ht="39.0" customHeight="1">
      <c r="A129" s="15" t="s">
        <v>754</v>
      </c>
      <c r="B129" s="15" t="s">
        <v>755</v>
      </c>
      <c r="C129" s="16" t="str">
        <f>IMAGE("https://i.ibb.co/JFrJFfGJ/1439.png")</f>
        <v/>
      </c>
      <c r="D129" s="15" t="s">
        <v>756</v>
      </c>
      <c r="E129" s="17" t="s">
        <v>757</v>
      </c>
      <c r="F129" s="18"/>
      <c r="G129" s="15" t="s">
        <v>752</v>
      </c>
      <c r="H129" s="15" t="s">
        <v>753</v>
      </c>
      <c r="I129" s="18"/>
      <c r="J129" s="19" t="s">
        <v>36</v>
      </c>
      <c r="K129" s="19" t="s">
        <v>60</v>
      </c>
      <c r="L129" s="19" t="s">
        <v>84</v>
      </c>
      <c r="M129" s="20">
        <f t="shared" si="1"/>
        <v>3356.64</v>
      </c>
      <c r="N129" s="30"/>
      <c r="O129" s="31">
        <v>2.0</v>
      </c>
      <c r="P129" s="19" t="s">
        <v>107</v>
      </c>
      <c r="Q129" s="18"/>
      <c r="R129" s="18"/>
      <c r="S129" s="23">
        <v>40.0</v>
      </c>
      <c r="T129" s="23">
        <v>189.0</v>
      </c>
      <c r="U129" s="23">
        <f t="shared" si="2"/>
        <v>181.44</v>
      </c>
      <c r="V129" s="23">
        <f t="shared" si="3"/>
        <v>49</v>
      </c>
      <c r="W129" s="23">
        <f t="shared" si="4"/>
        <v>918.75</v>
      </c>
      <c r="X129" s="24">
        <f t="shared" si="5"/>
        <v>3.702857143</v>
      </c>
    </row>
    <row r="130" ht="39.0" customHeight="1">
      <c r="A130" s="15" t="s">
        <v>758</v>
      </c>
      <c r="B130" s="15" t="s">
        <v>759</v>
      </c>
      <c r="C130" s="16" t="str">
        <f>IMAGE("https://i.ibb.co/SwNv9bCc/1947.png")</f>
        <v/>
      </c>
      <c r="D130" s="15" t="s">
        <v>760</v>
      </c>
      <c r="E130" s="17" t="s">
        <v>761</v>
      </c>
      <c r="F130" s="18"/>
      <c r="G130" s="18"/>
      <c r="H130" s="15" t="s">
        <v>762</v>
      </c>
      <c r="I130" s="18"/>
      <c r="J130" s="19" t="s">
        <v>59</v>
      </c>
      <c r="K130" s="19" t="s">
        <v>60</v>
      </c>
      <c r="L130" s="19" t="s">
        <v>52</v>
      </c>
      <c r="M130" s="20">
        <f t="shared" si="1"/>
        <v>1172.16</v>
      </c>
      <c r="N130" s="30" t="s">
        <v>79</v>
      </c>
      <c r="O130" s="31">
        <v>5.0</v>
      </c>
      <c r="P130" s="19" t="s">
        <v>107</v>
      </c>
      <c r="Q130" s="18"/>
      <c r="R130" s="18"/>
      <c r="S130" s="23">
        <v>14.0</v>
      </c>
      <c r="T130" s="23">
        <v>66.0</v>
      </c>
      <c r="U130" s="23">
        <f t="shared" si="2"/>
        <v>63.36</v>
      </c>
      <c r="V130" s="23">
        <f t="shared" si="3"/>
        <v>17.15</v>
      </c>
      <c r="W130" s="23">
        <f t="shared" si="4"/>
        <v>321.5625</v>
      </c>
      <c r="X130" s="24">
        <f t="shared" si="5"/>
        <v>3.694460641</v>
      </c>
    </row>
    <row r="131" ht="39.0" customHeight="1">
      <c r="A131" s="15" t="s">
        <v>763</v>
      </c>
      <c r="B131" s="15" t="s">
        <v>764</v>
      </c>
      <c r="C131" s="16"/>
      <c r="D131" s="15" t="s">
        <v>765</v>
      </c>
      <c r="E131" s="17" t="s">
        <v>766</v>
      </c>
      <c r="F131" s="18"/>
      <c r="G131" s="15" t="s">
        <v>767</v>
      </c>
      <c r="H131" s="15" t="s">
        <v>768</v>
      </c>
      <c r="I131" s="18"/>
      <c r="J131" s="19" t="s">
        <v>283</v>
      </c>
      <c r="K131" s="19" t="s">
        <v>440</v>
      </c>
      <c r="L131" s="19" t="s">
        <v>769</v>
      </c>
      <c r="M131" s="20">
        <f t="shared" si="1"/>
        <v>41647.2</v>
      </c>
      <c r="N131" s="30"/>
      <c r="O131" s="31">
        <v>2.0</v>
      </c>
      <c r="P131" s="19" t="s">
        <v>107</v>
      </c>
      <c r="Q131" s="18"/>
      <c r="R131" s="18"/>
      <c r="S131" s="23">
        <v>500.0</v>
      </c>
      <c r="T131" s="23">
        <v>2345.0</v>
      </c>
      <c r="U131" s="23">
        <f t="shared" si="2"/>
        <v>2251.2</v>
      </c>
      <c r="V131" s="23">
        <f t="shared" si="3"/>
        <v>612.5</v>
      </c>
      <c r="W131" s="23">
        <f t="shared" si="4"/>
        <v>11484.375</v>
      </c>
      <c r="X131" s="24">
        <f t="shared" si="5"/>
        <v>3.675428571</v>
      </c>
    </row>
    <row r="132" ht="39.0" customHeight="1">
      <c r="A132" s="15" t="s">
        <v>770</v>
      </c>
      <c r="B132" s="15" t="s">
        <v>771</v>
      </c>
      <c r="C132" s="16" t="str">
        <f>IMAGE("https://i.ibb.co/BHKCY6X5/1440.png")</f>
        <v/>
      </c>
      <c r="D132" s="15" t="s">
        <v>772</v>
      </c>
      <c r="E132" s="17" t="s">
        <v>773</v>
      </c>
      <c r="F132" s="18"/>
      <c r="G132" s="18"/>
      <c r="H132" s="15" t="s">
        <v>774</v>
      </c>
      <c r="I132" s="18"/>
      <c r="J132" s="19" t="s">
        <v>36</v>
      </c>
      <c r="K132" s="19" t="s">
        <v>52</v>
      </c>
      <c r="L132" s="19" t="s">
        <v>775</v>
      </c>
      <c r="M132" s="20">
        <f t="shared" si="1"/>
        <v>1420.8</v>
      </c>
      <c r="N132" s="30"/>
      <c r="O132" s="31">
        <v>4.0</v>
      </c>
      <c r="P132" s="19" t="s">
        <v>107</v>
      </c>
      <c r="Q132" s="18"/>
      <c r="R132" s="18"/>
      <c r="S132" s="23">
        <v>17.5</v>
      </c>
      <c r="T132" s="23">
        <v>80.0</v>
      </c>
      <c r="U132" s="23">
        <f t="shared" si="2"/>
        <v>76.8</v>
      </c>
      <c r="V132" s="23">
        <f t="shared" si="3"/>
        <v>21.4375</v>
      </c>
      <c r="W132" s="23">
        <f t="shared" si="4"/>
        <v>401.953125</v>
      </c>
      <c r="X132" s="24">
        <f t="shared" si="5"/>
        <v>3.582507289</v>
      </c>
    </row>
    <row r="133" ht="39.0" customHeight="1">
      <c r="A133" s="15" t="s">
        <v>776</v>
      </c>
      <c r="B133" s="15" t="s">
        <v>777</v>
      </c>
      <c r="C133" s="16"/>
      <c r="D133" s="15" t="s">
        <v>778</v>
      </c>
      <c r="E133" s="17" t="s">
        <v>779</v>
      </c>
      <c r="F133" s="18"/>
      <c r="G133" s="18"/>
      <c r="H133" s="15" t="s">
        <v>780</v>
      </c>
      <c r="I133" s="18"/>
      <c r="J133" s="19" t="s">
        <v>702</v>
      </c>
      <c r="K133" s="19" t="s">
        <v>52</v>
      </c>
      <c r="L133" s="19" t="s">
        <v>703</v>
      </c>
      <c r="M133" s="20">
        <f t="shared" si="1"/>
        <v>4457.76</v>
      </c>
      <c r="N133" s="30"/>
      <c r="O133" s="31">
        <v>2.0</v>
      </c>
      <c r="P133" s="19" t="s">
        <v>107</v>
      </c>
      <c r="Q133" s="18"/>
      <c r="R133" s="18"/>
      <c r="S133" s="23">
        <v>55.0</v>
      </c>
      <c r="T133" s="23">
        <v>251.0</v>
      </c>
      <c r="U133" s="23">
        <f t="shared" si="2"/>
        <v>240.96</v>
      </c>
      <c r="V133" s="23">
        <f t="shared" si="3"/>
        <v>67.375</v>
      </c>
      <c r="W133" s="23">
        <f t="shared" si="4"/>
        <v>1263.28125</v>
      </c>
      <c r="X133" s="24">
        <f t="shared" si="5"/>
        <v>3.576400742</v>
      </c>
    </row>
    <row r="134" ht="39.0" customHeight="1">
      <c r="A134" s="15" t="s">
        <v>781</v>
      </c>
      <c r="B134" s="15" t="s">
        <v>782</v>
      </c>
      <c r="C134" s="16"/>
      <c r="D134" s="15" t="s">
        <v>783</v>
      </c>
      <c r="E134" s="17" t="s">
        <v>784</v>
      </c>
      <c r="F134" s="18"/>
      <c r="G134" s="18"/>
      <c r="H134" s="15" t="s">
        <v>785</v>
      </c>
      <c r="I134" s="18"/>
      <c r="J134" s="19" t="s">
        <v>702</v>
      </c>
      <c r="K134" s="19" t="s">
        <v>52</v>
      </c>
      <c r="L134" s="19" t="s">
        <v>703</v>
      </c>
      <c r="M134" s="20">
        <f t="shared" si="1"/>
        <v>4440</v>
      </c>
      <c r="N134" s="30"/>
      <c r="O134" s="31">
        <v>2.0</v>
      </c>
      <c r="P134" s="19" t="s">
        <v>107</v>
      </c>
      <c r="Q134" s="18"/>
      <c r="R134" s="18"/>
      <c r="S134" s="23">
        <v>55.0</v>
      </c>
      <c r="T134" s="23">
        <v>250.0</v>
      </c>
      <c r="U134" s="23">
        <f t="shared" si="2"/>
        <v>240</v>
      </c>
      <c r="V134" s="23">
        <f t="shared" si="3"/>
        <v>67.375</v>
      </c>
      <c r="W134" s="23">
        <f t="shared" si="4"/>
        <v>1263.28125</v>
      </c>
      <c r="X134" s="24">
        <f t="shared" si="5"/>
        <v>3.562152134</v>
      </c>
    </row>
    <row r="135" ht="39.0" customHeight="1">
      <c r="A135" s="15" t="s">
        <v>786</v>
      </c>
      <c r="B135" s="15" t="s">
        <v>787</v>
      </c>
      <c r="C135" s="16"/>
      <c r="D135" s="15" t="s">
        <v>788</v>
      </c>
      <c r="E135" s="17" t="s">
        <v>789</v>
      </c>
      <c r="F135" s="18"/>
      <c r="G135" s="18"/>
      <c r="H135" s="15" t="s">
        <v>790</v>
      </c>
      <c r="I135" s="18"/>
      <c r="J135" s="19" t="s">
        <v>59</v>
      </c>
      <c r="K135" s="19" t="s">
        <v>200</v>
      </c>
      <c r="L135" s="19" t="s">
        <v>135</v>
      </c>
      <c r="M135" s="20">
        <f t="shared" si="1"/>
        <v>159.84</v>
      </c>
      <c r="N135" s="30" t="s">
        <v>79</v>
      </c>
      <c r="O135" s="31">
        <v>16.0</v>
      </c>
      <c r="P135" s="19" t="s">
        <v>107</v>
      </c>
      <c r="Q135" s="18"/>
      <c r="R135" s="18"/>
      <c r="S135" s="23">
        <v>2.0</v>
      </c>
      <c r="T135" s="23">
        <v>9.0</v>
      </c>
      <c r="U135" s="23">
        <f t="shared" si="2"/>
        <v>8.64</v>
      </c>
      <c r="V135" s="23">
        <f t="shared" si="3"/>
        <v>2.45</v>
      </c>
      <c r="W135" s="23">
        <f t="shared" si="4"/>
        <v>45.9375</v>
      </c>
      <c r="X135" s="24">
        <f t="shared" si="5"/>
        <v>3.526530612</v>
      </c>
    </row>
    <row r="136" ht="39.0" customHeight="1">
      <c r="A136" s="15" t="s">
        <v>791</v>
      </c>
      <c r="B136" s="15" t="s">
        <v>792</v>
      </c>
      <c r="C136" s="16"/>
      <c r="D136" s="15" t="s">
        <v>793</v>
      </c>
      <c r="E136" s="17" t="s">
        <v>794</v>
      </c>
      <c r="F136" s="18"/>
      <c r="G136" s="15" t="s">
        <v>795</v>
      </c>
      <c r="H136" s="15" t="s">
        <v>796</v>
      </c>
      <c r="I136" s="18"/>
      <c r="J136" s="19" t="s">
        <v>104</v>
      </c>
      <c r="K136" s="19" t="s">
        <v>160</v>
      </c>
      <c r="L136" s="19" t="s">
        <v>106</v>
      </c>
      <c r="M136" s="20">
        <f t="shared" si="1"/>
        <v>1065.6</v>
      </c>
      <c r="N136" s="30"/>
      <c r="O136" s="31">
        <v>8.0</v>
      </c>
      <c r="P136" s="19" t="s">
        <v>107</v>
      </c>
      <c r="Q136" s="18"/>
      <c r="R136" s="18"/>
      <c r="S136" s="23">
        <v>13.5</v>
      </c>
      <c r="T136" s="23">
        <v>60.0</v>
      </c>
      <c r="U136" s="23">
        <f t="shared" si="2"/>
        <v>57.6</v>
      </c>
      <c r="V136" s="23">
        <f t="shared" si="3"/>
        <v>16.5375</v>
      </c>
      <c r="W136" s="23">
        <f t="shared" si="4"/>
        <v>310.078125</v>
      </c>
      <c r="X136" s="24">
        <f t="shared" si="5"/>
        <v>3.482993197</v>
      </c>
    </row>
    <row r="137" ht="39.0" customHeight="1">
      <c r="A137" s="15" t="s">
        <v>797</v>
      </c>
      <c r="B137" s="15" t="s">
        <v>798</v>
      </c>
      <c r="C137" s="16" t="str">
        <f>IMAGE("https://i.ibb.co/wFRTn5hZ/1919.png")</f>
        <v/>
      </c>
      <c r="D137" s="15" t="s">
        <v>799</v>
      </c>
      <c r="E137" s="17" t="s">
        <v>800</v>
      </c>
      <c r="F137" s="18"/>
      <c r="G137" s="18"/>
      <c r="H137" s="15" t="s">
        <v>801</v>
      </c>
      <c r="I137" s="18"/>
      <c r="J137" s="19" t="s">
        <v>36</v>
      </c>
      <c r="K137" s="19" t="s">
        <v>52</v>
      </c>
      <c r="L137" s="19" t="s">
        <v>52</v>
      </c>
      <c r="M137" s="20">
        <f t="shared" si="1"/>
        <v>1172.16</v>
      </c>
      <c r="N137" s="30"/>
      <c r="O137" s="31">
        <v>6.0</v>
      </c>
      <c r="P137" s="19" t="s">
        <v>107</v>
      </c>
      <c r="Q137" s="18"/>
      <c r="R137" s="18"/>
      <c r="S137" s="23">
        <v>15.0</v>
      </c>
      <c r="T137" s="23">
        <v>66.0</v>
      </c>
      <c r="U137" s="23">
        <f t="shared" si="2"/>
        <v>63.36</v>
      </c>
      <c r="V137" s="23">
        <f t="shared" si="3"/>
        <v>18.375</v>
      </c>
      <c r="W137" s="23">
        <f t="shared" si="4"/>
        <v>344.53125</v>
      </c>
      <c r="X137" s="24">
        <f t="shared" si="5"/>
        <v>3.448163265</v>
      </c>
    </row>
    <row r="138" ht="39.0" customHeight="1">
      <c r="A138" s="15" t="s">
        <v>802</v>
      </c>
      <c r="B138" s="15" t="s">
        <v>803</v>
      </c>
      <c r="C138" s="16"/>
      <c r="D138" s="15" t="s">
        <v>804</v>
      </c>
      <c r="E138" s="17" t="s">
        <v>805</v>
      </c>
      <c r="F138" s="18"/>
      <c r="G138" s="18"/>
      <c r="H138" s="15" t="s">
        <v>806</v>
      </c>
      <c r="I138" s="18"/>
      <c r="J138" s="19" t="s">
        <v>59</v>
      </c>
      <c r="K138" s="19" t="s">
        <v>52</v>
      </c>
      <c r="L138" s="19" t="s">
        <v>52</v>
      </c>
      <c r="M138" s="20">
        <f t="shared" si="1"/>
        <v>1562.88</v>
      </c>
      <c r="N138" s="30" t="s">
        <v>79</v>
      </c>
      <c r="O138" s="31">
        <v>5.0</v>
      </c>
      <c r="P138" s="19" t="s">
        <v>107</v>
      </c>
      <c r="Q138" s="18"/>
      <c r="R138" s="18"/>
      <c r="S138" s="23">
        <v>20.0</v>
      </c>
      <c r="T138" s="23">
        <v>88.0</v>
      </c>
      <c r="U138" s="23">
        <f t="shared" si="2"/>
        <v>84.48</v>
      </c>
      <c r="V138" s="23">
        <f t="shared" si="3"/>
        <v>24.5</v>
      </c>
      <c r="W138" s="23">
        <f t="shared" si="4"/>
        <v>459.375</v>
      </c>
      <c r="X138" s="24">
        <f t="shared" si="5"/>
        <v>3.448163265</v>
      </c>
    </row>
    <row r="139" ht="39.0" customHeight="1">
      <c r="A139" s="15" t="s">
        <v>807</v>
      </c>
      <c r="B139" s="15" t="s">
        <v>808</v>
      </c>
      <c r="C139" s="16"/>
      <c r="D139" s="15" t="s">
        <v>809</v>
      </c>
      <c r="E139" s="17" t="s">
        <v>810</v>
      </c>
      <c r="F139" s="18"/>
      <c r="G139" s="15" t="s">
        <v>811</v>
      </c>
      <c r="H139" s="15" t="s">
        <v>812</v>
      </c>
      <c r="I139" s="18"/>
      <c r="J139" s="19" t="s">
        <v>104</v>
      </c>
      <c r="K139" s="19" t="s">
        <v>160</v>
      </c>
      <c r="L139" s="19" t="s">
        <v>106</v>
      </c>
      <c r="M139" s="20">
        <f t="shared" si="1"/>
        <v>1083.36</v>
      </c>
      <c r="N139" s="30"/>
      <c r="O139" s="31">
        <v>10.0</v>
      </c>
      <c r="P139" s="19" t="s">
        <v>107</v>
      </c>
      <c r="Q139" s="18"/>
      <c r="R139" s="18"/>
      <c r="S139" s="23">
        <v>14.0</v>
      </c>
      <c r="T139" s="23">
        <v>61.0</v>
      </c>
      <c r="U139" s="23">
        <f t="shared" si="2"/>
        <v>58.56</v>
      </c>
      <c r="V139" s="23">
        <f t="shared" si="3"/>
        <v>17.15</v>
      </c>
      <c r="W139" s="23">
        <f t="shared" si="4"/>
        <v>321.5625</v>
      </c>
      <c r="X139" s="24">
        <f t="shared" si="5"/>
        <v>3.414577259</v>
      </c>
    </row>
    <row r="140" ht="39.0" customHeight="1">
      <c r="A140" s="15" t="s">
        <v>813</v>
      </c>
      <c r="B140" s="15" t="s">
        <v>814</v>
      </c>
      <c r="C140" s="16"/>
      <c r="D140" s="15" t="s">
        <v>815</v>
      </c>
      <c r="E140" s="17" t="s">
        <v>816</v>
      </c>
      <c r="F140" s="18"/>
      <c r="G140" s="15" t="s">
        <v>817</v>
      </c>
      <c r="H140" s="15" t="s">
        <v>818</v>
      </c>
      <c r="I140" s="18"/>
      <c r="J140" s="19" t="s">
        <v>36</v>
      </c>
      <c r="K140" s="19" t="s">
        <v>427</v>
      </c>
      <c r="L140" s="19" t="s">
        <v>610</v>
      </c>
      <c r="M140" s="20">
        <f t="shared" si="1"/>
        <v>923.52</v>
      </c>
      <c r="N140" s="30"/>
      <c r="O140" s="31">
        <v>10.0</v>
      </c>
      <c r="P140" s="19" t="s">
        <v>107</v>
      </c>
      <c r="Q140" s="18"/>
      <c r="R140" s="18"/>
      <c r="S140" s="23">
        <v>12.0</v>
      </c>
      <c r="T140" s="23">
        <v>52.0</v>
      </c>
      <c r="U140" s="23">
        <f t="shared" si="2"/>
        <v>49.92</v>
      </c>
      <c r="V140" s="23">
        <f t="shared" si="3"/>
        <v>14.7</v>
      </c>
      <c r="W140" s="23">
        <f t="shared" si="4"/>
        <v>275.625</v>
      </c>
      <c r="X140" s="24">
        <f t="shared" si="5"/>
        <v>3.395918367</v>
      </c>
    </row>
    <row r="141" ht="39.0" customHeight="1">
      <c r="A141" s="15" t="s">
        <v>819</v>
      </c>
      <c r="B141" s="15" t="s">
        <v>820</v>
      </c>
      <c r="C141" s="16"/>
      <c r="D141" s="15" t="s">
        <v>821</v>
      </c>
      <c r="E141" s="17" t="s">
        <v>822</v>
      </c>
      <c r="F141" s="18"/>
      <c r="G141" s="18"/>
      <c r="H141" s="15" t="s">
        <v>823</v>
      </c>
      <c r="I141" s="18"/>
      <c r="J141" s="19" t="s">
        <v>59</v>
      </c>
      <c r="K141" s="19" t="s">
        <v>200</v>
      </c>
      <c r="L141" s="19" t="s">
        <v>38</v>
      </c>
      <c r="M141" s="20">
        <f t="shared" si="1"/>
        <v>230.88</v>
      </c>
      <c r="N141" s="30" t="s">
        <v>79</v>
      </c>
      <c r="O141" s="31">
        <v>5.0</v>
      </c>
      <c r="P141" s="19" t="s">
        <v>107</v>
      </c>
      <c r="Q141" s="18"/>
      <c r="R141" s="18"/>
      <c r="S141" s="23">
        <v>3.0</v>
      </c>
      <c r="T141" s="23">
        <v>13.0</v>
      </c>
      <c r="U141" s="23">
        <f t="shared" si="2"/>
        <v>12.48</v>
      </c>
      <c r="V141" s="23">
        <f t="shared" si="3"/>
        <v>3.675</v>
      </c>
      <c r="W141" s="23">
        <f t="shared" si="4"/>
        <v>68.90625</v>
      </c>
      <c r="X141" s="24">
        <f t="shared" si="5"/>
        <v>3.395918367</v>
      </c>
    </row>
    <row r="142" ht="39.0" customHeight="1">
      <c r="A142" s="15" t="s">
        <v>824</v>
      </c>
      <c r="B142" s="15" t="s">
        <v>825</v>
      </c>
      <c r="C142" s="16"/>
      <c r="D142" s="15" t="s">
        <v>826</v>
      </c>
      <c r="E142" s="17" t="s">
        <v>827</v>
      </c>
      <c r="F142" s="15" t="s">
        <v>828</v>
      </c>
      <c r="G142" s="15" t="s">
        <v>829</v>
      </c>
      <c r="H142" s="15" t="s">
        <v>830</v>
      </c>
      <c r="I142" s="18"/>
      <c r="J142" s="19" t="s">
        <v>104</v>
      </c>
      <c r="K142" s="19" t="s">
        <v>831</v>
      </c>
      <c r="L142" s="19" t="s">
        <v>135</v>
      </c>
      <c r="M142" s="20">
        <f t="shared" si="1"/>
        <v>53.28</v>
      </c>
      <c r="N142" s="30" t="s">
        <v>79</v>
      </c>
      <c r="O142" s="31">
        <v>250.0</v>
      </c>
      <c r="P142" s="19" t="s">
        <v>107</v>
      </c>
      <c r="Q142" s="18"/>
      <c r="R142" s="18"/>
      <c r="S142" s="23">
        <v>0.7</v>
      </c>
      <c r="T142" s="23">
        <v>3.0</v>
      </c>
      <c r="U142" s="23">
        <f t="shared" si="2"/>
        <v>2.88</v>
      </c>
      <c r="V142" s="23">
        <f t="shared" si="3"/>
        <v>0.8575</v>
      </c>
      <c r="W142" s="23">
        <f t="shared" si="4"/>
        <v>16.078125</v>
      </c>
      <c r="X142" s="24">
        <f t="shared" si="5"/>
        <v>3.358600583</v>
      </c>
    </row>
    <row r="143" ht="39.0" customHeight="1">
      <c r="A143" s="15" t="s">
        <v>832</v>
      </c>
      <c r="B143" s="15" t="s">
        <v>833</v>
      </c>
      <c r="C143" s="16" t="str">
        <f>IMAGE("https://i.ibb.co/MHHQc0K/1992.png")</f>
        <v/>
      </c>
      <c r="D143" s="15" t="s">
        <v>834</v>
      </c>
      <c r="E143" s="17" t="s">
        <v>835</v>
      </c>
      <c r="F143" s="15" t="s">
        <v>836</v>
      </c>
      <c r="G143" s="15" t="s">
        <v>837</v>
      </c>
      <c r="H143" s="15" t="s">
        <v>838</v>
      </c>
      <c r="I143" s="18"/>
      <c r="J143" s="19" t="s">
        <v>104</v>
      </c>
      <c r="K143" s="19" t="s">
        <v>831</v>
      </c>
      <c r="L143" s="19" t="s">
        <v>135</v>
      </c>
      <c r="M143" s="20">
        <f t="shared" si="1"/>
        <v>53.28</v>
      </c>
      <c r="N143" s="30" t="s">
        <v>79</v>
      </c>
      <c r="O143" s="31">
        <v>250.0</v>
      </c>
      <c r="P143" s="19" t="s">
        <v>107</v>
      </c>
      <c r="Q143" s="18"/>
      <c r="R143" s="18"/>
      <c r="S143" s="23">
        <v>0.7</v>
      </c>
      <c r="T143" s="23">
        <v>3.0</v>
      </c>
      <c r="U143" s="23">
        <f t="shared" si="2"/>
        <v>2.88</v>
      </c>
      <c r="V143" s="23">
        <f t="shared" si="3"/>
        <v>0.8575</v>
      </c>
      <c r="W143" s="23">
        <f t="shared" si="4"/>
        <v>16.078125</v>
      </c>
      <c r="X143" s="24">
        <f t="shared" si="5"/>
        <v>3.358600583</v>
      </c>
    </row>
    <row r="144" ht="39.0" customHeight="1">
      <c r="A144" s="15" t="s">
        <v>839</v>
      </c>
      <c r="B144" s="15" t="s">
        <v>840</v>
      </c>
      <c r="C144" s="16"/>
      <c r="D144" s="15" t="s">
        <v>841</v>
      </c>
      <c r="E144" s="17" t="s">
        <v>842</v>
      </c>
      <c r="F144" s="18"/>
      <c r="G144" s="18"/>
      <c r="H144" s="15" t="s">
        <v>843</v>
      </c>
      <c r="I144" s="18"/>
      <c r="J144" s="19" t="s">
        <v>702</v>
      </c>
      <c r="K144" s="19" t="s">
        <v>52</v>
      </c>
      <c r="L144" s="19" t="s">
        <v>703</v>
      </c>
      <c r="M144" s="20">
        <f t="shared" si="1"/>
        <v>4884</v>
      </c>
      <c r="N144" s="30"/>
      <c r="O144" s="31">
        <v>2.0</v>
      </c>
      <c r="P144" s="19" t="s">
        <v>107</v>
      </c>
      <c r="Q144" s="18"/>
      <c r="R144" s="18"/>
      <c r="S144" s="23">
        <v>65.0</v>
      </c>
      <c r="T144" s="23">
        <v>275.0</v>
      </c>
      <c r="U144" s="23">
        <f t="shared" si="2"/>
        <v>264</v>
      </c>
      <c r="V144" s="23">
        <f t="shared" si="3"/>
        <v>79.625</v>
      </c>
      <c r="W144" s="23">
        <f t="shared" si="4"/>
        <v>1492.96875</v>
      </c>
      <c r="X144" s="24">
        <f t="shared" si="5"/>
        <v>3.315541601</v>
      </c>
    </row>
    <row r="145" ht="39.0" customHeight="1">
      <c r="A145" s="15" t="s">
        <v>844</v>
      </c>
      <c r="B145" s="15" t="s">
        <v>845</v>
      </c>
      <c r="C145" s="16"/>
      <c r="D145" s="15" t="s">
        <v>846</v>
      </c>
      <c r="E145" s="17" t="s">
        <v>847</v>
      </c>
      <c r="F145" s="18"/>
      <c r="G145" s="15" t="s">
        <v>848</v>
      </c>
      <c r="H145" s="15" t="s">
        <v>849</v>
      </c>
      <c r="I145" s="18"/>
      <c r="J145" s="19" t="s">
        <v>104</v>
      </c>
      <c r="K145" s="19" t="s">
        <v>160</v>
      </c>
      <c r="L145" s="19" t="s">
        <v>106</v>
      </c>
      <c r="M145" s="20">
        <f t="shared" si="1"/>
        <v>750.0048</v>
      </c>
      <c r="N145" s="30" t="s">
        <v>68</v>
      </c>
      <c r="O145" s="31">
        <v>70.0</v>
      </c>
      <c r="P145" s="19" t="s">
        <v>107</v>
      </c>
      <c r="Q145" s="18"/>
      <c r="R145" s="18"/>
      <c r="S145" s="23">
        <v>10.0</v>
      </c>
      <c r="T145" s="23">
        <v>42.23</v>
      </c>
      <c r="U145" s="23">
        <f t="shared" si="2"/>
        <v>40.5408</v>
      </c>
      <c r="V145" s="23">
        <f t="shared" si="3"/>
        <v>12.25</v>
      </c>
      <c r="W145" s="23">
        <f t="shared" si="4"/>
        <v>229.6875</v>
      </c>
      <c r="X145" s="24">
        <f t="shared" si="5"/>
        <v>3.309453061</v>
      </c>
    </row>
    <row r="146" ht="39.0" customHeight="1">
      <c r="A146" s="15" t="s">
        <v>850</v>
      </c>
      <c r="B146" s="15" t="s">
        <v>851</v>
      </c>
      <c r="C146" s="16"/>
      <c r="D146" s="15" t="s">
        <v>852</v>
      </c>
      <c r="E146" s="17" t="s">
        <v>853</v>
      </c>
      <c r="F146" s="18"/>
      <c r="G146" s="15" t="s">
        <v>683</v>
      </c>
      <c r="H146" s="15" t="s">
        <v>854</v>
      </c>
      <c r="I146" s="18"/>
      <c r="J146" s="19" t="s">
        <v>59</v>
      </c>
      <c r="K146" s="19" t="s">
        <v>60</v>
      </c>
      <c r="L146" s="19" t="s">
        <v>292</v>
      </c>
      <c r="M146" s="20">
        <f t="shared" si="1"/>
        <v>3516.48</v>
      </c>
      <c r="N146" s="30"/>
      <c r="O146" s="31">
        <v>2.0</v>
      </c>
      <c r="P146" s="19" t="s">
        <v>107</v>
      </c>
      <c r="Q146" s="18"/>
      <c r="R146" s="18"/>
      <c r="S146" s="23">
        <v>47.0</v>
      </c>
      <c r="T146" s="23">
        <v>198.0</v>
      </c>
      <c r="U146" s="23">
        <f t="shared" si="2"/>
        <v>190.08</v>
      </c>
      <c r="V146" s="23">
        <f t="shared" si="3"/>
        <v>57.575</v>
      </c>
      <c r="W146" s="23">
        <f t="shared" si="4"/>
        <v>1079.53125</v>
      </c>
      <c r="X146" s="24">
        <f t="shared" si="5"/>
        <v>3.301432914</v>
      </c>
    </row>
    <row r="147" ht="39.0" customHeight="1">
      <c r="A147" s="15" t="s">
        <v>855</v>
      </c>
      <c r="B147" s="15" t="s">
        <v>856</v>
      </c>
      <c r="C147" s="16"/>
      <c r="D147" s="15" t="s">
        <v>857</v>
      </c>
      <c r="E147" s="17" t="s">
        <v>858</v>
      </c>
      <c r="F147" s="18"/>
      <c r="G147" s="18"/>
      <c r="H147" s="15" t="s">
        <v>859</v>
      </c>
      <c r="I147" s="18"/>
      <c r="J147" s="19" t="s">
        <v>602</v>
      </c>
      <c r="K147" s="19" t="s">
        <v>52</v>
      </c>
      <c r="L147" s="19" t="s">
        <v>52</v>
      </c>
      <c r="M147" s="20">
        <f t="shared" si="1"/>
        <v>2468.64</v>
      </c>
      <c r="N147" s="30"/>
      <c r="O147" s="31">
        <v>6.0</v>
      </c>
      <c r="P147" s="19" t="s">
        <v>107</v>
      </c>
      <c r="Q147" s="18"/>
      <c r="R147" s="18"/>
      <c r="S147" s="23">
        <v>33.0</v>
      </c>
      <c r="T147" s="23">
        <v>139.0</v>
      </c>
      <c r="U147" s="23">
        <f t="shared" si="2"/>
        <v>133.44</v>
      </c>
      <c r="V147" s="23">
        <f t="shared" si="3"/>
        <v>40.425</v>
      </c>
      <c r="W147" s="23">
        <f t="shared" si="4"/>
        <v>757.96875</v>
      </c>
      <c r="X147" s="24">
        <f t="shared" si="5"/>
        <v>3.300927644</v>
      </c>
    </row>
    <row r="148" ht="39.0" customHeight="1">
      <c r="A148" s="15" t="s">
        <v>860</v>
      </c>
      <c r="B148" s="18" t="str">
        <f>CONCATENATE(7504589, A148)</f>
        <v>75045892587</v>
      </c>
      <c r="C148" s="16"/>
      <c r="D148" s="25" t="s">
        <v>861</v>
      </c>
      <c r="E148" s="25" t="s">
        <v>862</v>
      </c>
      <c r="F148" s="26"/>
      <c r="G148" s="26"/>
      <c r="H148" s="25" t="s">
        <v>863</v>
      </c>
      <c r="I148" s="26"/>
      <c r="J148" s="27" t="s">
        <v>864</v>
      </c>
      <c r="K148" s="27" t="s">
        <v>114</v>
      </c>
      <c r="L148" s="27" t="s">
        <v>115</v>
      </c>
      <c r="M148" s="20">
        <f t="shared" si="1"/>
        <v>3889.44</v>
      </c>
      <c r="N148" s="28"/>
      <c r="O148" s="36">
        <v>4.0</v>
      </c>
      <c r="P148" s="27" t="s">
        <v>107</v>
      </c>
      <c r="Q148" s="26"/>
      <c r="R148" s="26"/>
      <c r="S148" s="23">
        <v>52.0</v>
      </c>
      <c r="T148" s="23">
        <v>219.0</v>
      </c>
      <c r="U148" s="23">
        <f t="shared" si="2"/>
        <v>210.24</v>
      </c>
      <c r="V148" s="23">
        <f t="shared" si="3"/>
        <v>63.7</v>
      </c>
      <c r="W148" s="23">
        <f t="shared" si="4"/>
        <v>1194.375</v>
      </c>
      <c r="X148" s="24">
        <f t="shared" si="5"/>
        <v>3.300470958</v>
      </c>
    </row>
    <row r="149" ht="39.0" customHeight="1">
      <c r="A149" s="15" t="s">
        <v>865</v>
      </c>
      <c r="B149" s="15" t="s">
        <v>866</v>
      </c>
      <c r="C149" s="16"/>
      <c r="D149" s="15" t="s">
        <v>867</v>
      </c>
      <c r="E149" s="17" t="s">
        <v>868</v>
      </c>
      <c r="F149" s="18"/>
      <c r="G149" s="15" t="s">
        <v>869</v>
      </c>
      <c r="H149" s="15" t="s">
        <v>870</v>
      </c>
      <c r="I149" s="18"/>
      <c r="J149" s="19" t="s">
        <v>59</v>
      </c>
      <c r="K149" s="19" t="s">
        <v>496</v>
      </c>
      <c r="L149" s="19" t="s">
        <v>292</v>
      </c>
      <c r="M149" s="20">
        <f t="shared" si="1"/>
        <v>515.04</v>
      </c>
      <c r="N149" s="30" t="s">
        <v>68</v>
      </c>
      <c r="O149" s="31">
        <v>2.0</v>
      </c>
      <c r="P149" s="19" t="s">
        <v>107</v>
      </c>
      <c r="Q149" s="18"/>
      <c r="R149" s="18"/>
      <c r="S149" s="23">
        <v>7.0</v>
      </c>
      <c r="T149" s="23">
        <v>29.0</v>
      </c>
      <c r="U149" s="23">
        <f t="shared" si="2"/>
        <v>27.84</v>
      </c>
      <c r="V149" s="23">
        <f t="shared" si="3"/>
        <v>8.575</v>
      </c>
      <c r="W149" s="23">
        <f t="shared" si="4"/>
        <v>160.78125</v>
      </c>
      <c r="X149" s="24">
        <f t="shared" si="5"/>
        <v>3.24664723</v>
      </c>
    </row>
    <row r="150" ht="39.0" customHeight="1">
      <c r="A150" s="15" t="s">
        <v>871</v>
      </c>
      <c r="B150" s="15" t="s">
        <v>872</v>
      </c>
      <c r="C150" s="16" t="str">
        <f>IMAGE("https://i.ibb.co/nNvWqSyT/2457.png")</f>
        <v/>
      </c>
      <c r="D150" s="15" t="s">
        <v>873</v>
      </c>
      <c r="E150" s="17" t="s">
        <v>874</v>
      </c>
      <c r="F150" s="18"/>
      <c r="G150" s="15" t="s">
        <v>875</v>
      </c>
      <c r="H150" s="15" t="s">
        <v>876</v>
      </c>
      <c r="I150" s="18"/>
      <c r="J150" s="19" t="s">
        <v>59</v>
      </c>
      <c r="K150" s="19" t="s">
        <v>200</v>
      </c>
      <c r="L150" s="19" t="s">
        <v>292</v>
      </c>
      <c r="M150" s="20">
        <f t="shared" si="1"/>
        <v>1243.2</v>
      </c>
      <c r="N150" s="30" t="s">
        <v>79</v>
      </c>
      <c r="O150" s="31">
        <v>5.0</v>
      </c>
      <c r="P150" s="19" t="s">
        <v>107</v>
      </c>
      <c r="Q150" s="18"/>
      <c r="R150" s="18"/>
      <c r="S150" s="23">
        <v>17.0</v>
      </c>
      <c r="T150" s="23">
        <v>70.0</v>
      </c>
      <c r="U150" s="23">
        <f t="shared" si="2"/>
        <v>67.2</v>
      </c>
      <c r="V150" s="23">
        <f t="shared" si="3"/>
        <v>20.825</v>
      </c>
      <c r="W150" s="23">
        <f t="shared" si="4"/>
        <v>390.46875</v>
      </c>
      <c r="X150" s="24">
        <f t="shared" si="5"/>
        <v>3.226890756</v>
      </c>
    </row>
    <row r="151" ht="39.0" customHeight="1">
      <c r="A151" s="15" t="s">
        <v>877</v>
      </c>
      <c r="B151" s="18" t="str">
        <f t="shared" ref="B151:B152" si="7">CONCATENATE(7504589,A151)</f>
        <v>75045892454</v>
      </c>
      <c r="C151" s="16"/>
      <c r="D151" s="15" t="s">
        <v>878</v>
      </c>
      <c r="E151" s="17" t="s">
        <v>879</v>
      </c>
      <c r="F151" s="18"/>
      <c r="G151" s="18"/>
      <c r="H151" s="15" t="s">
        <v>880</v>
      </c>
      <c r="I151" s="18"/>
      <c r="J151" s="19" t="s">
        <v>59</v>
      </c>
      <c r="K151" s="19" t="s">
        <v>60</v>
      </c>
      <c r="L151" s="19" t="s">
        <v>84</v>
      </c>
      <c r="M151" s="20">
        <f t="shared" si="1"/>
        <v>4972.8</v>
      </c>
      <c r="N151" s="30"/>
      <c r="O151" s="31">
        <v>2.0</v>
      </c>
      <c r="P151" s="19" t="s">
        <v>107</v>
      </c>
      <c r="Q151" s="18"/>
      <c r="R151" s="18"/>
      <c r="S151" s="23">
        <v>68.0</v>
      </c>
      <c r="T151" s="23">
        <v>280.0</v>
      </c>
      <c r="U151" s="23">
        <f t="shared" si="2"/>
        <v>268.8</v>
      </c>
      <c r="V151" s="23">
        <f t="shared" si="3"/>
        <v>83.3</v>
      </c>
      <c r="W151" s="23">
        <f t="shared" si="4"/>
        <v>1561.875</v>
      </c>
      <c r="X151" s="24">
        <f t="shared" si="5"/>
        <v>3.226890756</v>
      </c>
    </row>
    <row r="152" ht="39.0" customHeight="1">
      <c r="A152" s="15" t="s">
        <v>881</v>
      </c>
      <c r="B152" s="18" t="str">
        <f t="shared" si="7"/>
        <v>75045892455</v>
      </c>
      <c r="C152" s="16"/>
      <c r="D152" s="15" t="s">
        <v>882</v>
      </c>
      <c r="E152" s="17" t="s">
        <v>883</v>
      </c>
      <c r="F152" s="18"/>
      <c r="G152" s="18"/>
      <c r="H152" s="15" t="s">
        <v>884</v>
      </c>
      <c r="I152" s="18"/>
      <c r="J152" s="19" t="s">
        <v>59</v>
      </c>
      <c r="K152" s="19" t="s">
        <v>60</v>
      </c>
      <c r="L152" s="19" t="s">
        <v>84</v>
      </c>
      <c r="M152" s="20">
        <f t="shared" si="1"/>
        <v>3285.6</v>
      </c>
      <c r="N152" s="30"/>
      <c r="O152" s="31">
        <v>2.0</v>
      </c>
      <c r="P152" s="19" t="s">
        <v>107</v>
      </c>
      <c r="Q152" s="18"/>
      <c r="R152" s="18"/>
      <c r="S152" s="23">
        <v>45.0</v>
      </c>
      <c r="T152" s="23">
        <v>185.0</v>
      </c>
      <c r="U152" s="23">
        <f t="shared" si="2"/>
        <v>177.6</v>
      </c>
      <c r="V152" s="23">
        <f t="shared" si="3"/>
        <v>55.125</v>
      </c>
      <c r="W152" s="23">
        <f t="shared" si="4"/>
        <v>1033.59375</v>
      </c>
      <c r="X152" s="24">
        <f t="shared" si="5"/>
        <v>3.221768707</v>
      </c>
    </row>
    <row r="153" ht="39.0" customHeight="1">
      <c r="A153" s="15" t="s">
        <v>885</v>
      </c>
      <c r="B153" s="15" t="s">
        <v>886</v>
      </c>
      <c r="C153" s="16"/>
      <c r="D153" s="15" t="s">
        <v>887</v>
      </c>
      <c r="E153" s="17" t="s">
        <v>888</v>
      </c>
      <c r="F153" s="18"/>
      <c r="G153" s="15" t="s">
        <v>889</v>
      </c>
      <c r="H153" s="15" t="s">
        <v>890</v>
      </c>
      <c r="I153" s="18"/>
      <c r="J153" s="19" t="s">
        <v>104</v>
      </c>
      <c r="K153" s="19" t="s">
        <v>160</v>
      </c>
      <c r="L153" s="19" t="s">
        <v>106</v>
      </c>
      <c r="M153" s="20">
        <f t="shared" si="1"/>
        <v>2379.84</v>
      </c>
      <c r="N153" s="30"/>
      <c r="O153" s="31">
        <v>4.0</v>
      </c>
      <c r="P153" s="19" t="s">
        <v>107</v>
      </c>
      <c r="Q153" s="18"/>
      <c r="R153" s="18"/>
      <c r="S153" s="23">
        <v>33.0</v>
      </c>
      <c r="T153" s="23">
        <v>134.0</v>
      </c>
      <c r="U153" s="23">
        <f t="shared" si="2"/>
        <v>128.64</v>
      </c>
      <c r="V153" s="23">
        <f t="shared" si="3"/>
        <v>40.425</v>
      </c>
      <c r="W153" s="23">
        <f t="shared" si="4"/>
        <v>757.96875</v>
      </c>
      <c r="X153" s="24">
        <f t="shared" si="5"/>
        <v>3.182189239</v>
      </c>
    </row>
    <row r="154" ht="39.0" customHeight="1">
      <c r="A154" s="15" t="s">
        <v>891</v>
      </c>
      <c r="B154" s="15" t="s">
        <v>892</v>
      </c>
      <c r="C154" s="16"/>
      <c r="D154" s="15" t="s">
        <v>893</v>
      </c>
      <c r="E154" s="17" t="s">
        <v>894</v>
      </c>
      <c r="F154" s="18"/>
      <c r="G154" s="18"/>
      <c r="H154" s="15" t="s">
        <v>895</v>
      </c>
      <c r="I154" s="18"/>
      <c r="J154" s="19" t="s">
        <v>36</v>
      </c>
      <c r="K154" s="33"/>
      <c r="L154" s="19" t="s">
        <v>269</v>
      </c>
      <c r="M154" s="20">
        <f t="shared" si="1"/>
        <v>10034.4</v>
      </c>
      <c r="N154" s="30"/>
      <c r="O154" s="31">
        <v>3.0</v>
      </c>
      <c r="P154" s="19" t="s">
        <v>107</v>
      </c>
      <c r="Q154" s="18"/>
      <c r="R154" s="18"/>
      <c r="S154" s="23">
        <v>140.0</v>
      </c>
      <c r="T154" s="23">
        <v>565.0</v>
      </c>
      <c r="U154" s="23">
        <f t="shared" si="2"/>
        <v>542.4</v>
      </c>
      <c r="V154" s="23">
        <f t="shared" si="3"/>
        <v>171.5</v>
      </c>
      <c r="W154" s="23">
        <f t="shared" si="4"/>
        <v>3215.625</v>
      </c>
      <c r="X154" s="24">
        <f t="shared" si="5"/>
        <v>3.162682216</v>
      </c>
    </row>
    <row r="155" ht="39.0" customHeight="1">
      <c r="A155" s="15" t="s">
        <v>896</v>
      </c>
      <c r="B155" s="18" t="str">
        <f>CONCATENATE(7504589,A155)</f>
        <v>75045891209</v>
      </c>
      <c r="C155" s="16" t="str">
        <f>IMAGE("https://i.ibb.co/HDKXgwmk/1804.png")</f>
        <v/>
      </c>
      <c r="D155" s="15" t="s">
        <v>897</v>
      </c>
      <c r="E155" s="17" t="s">
        <v>898</v>
      </c>
      <c r="F155" s="18"/>
      <c r="G155" s="18"/>
      <c r="H155" s="15" t="s">
        <v>899</v>
      </c>
      <c r="I155" s="15" t="s">
        <v>900</v>
      </c>
      <c r="J155" s="19" t="s">
        <v>59</v>
      </c>
      <c r="K155" s="19" t="s">
        <v>60</v>
      </c>
      <c r="L155" s="19" t="s">
        <v>135</v>
      </c>
      <c r="M155" s="20">
        <f t="shared" si="1"/>
        <v>710.4</v>
      </c>
      <c r="N155" s="30" t="s">
        <v>79</v>
      </c>
      <c r="O155" s="31">
        <v>6.0</v>
      </c>
      <c r="P155" s="19" t="s">
        <v>107</v>
      </c>
      <c r="Q155" s="18"/>
      <c r="R155" s="18"/>
      <c r="S155" s="23">
        <v>10.0</v>
      </c>
      <c r="T155" s="23">
        <v>40.0</v>
      </c>
      <c r="U155" s="23">
        <f t="shared" si="2"/>
        <v>38.4</v>
      </c>
      <c r="V155" s="23">
        <f t="shared" si="3"/>
        <v>12.25</v>
      </c>
      <c r="W155" s="23">
        <f t="shared" si="4"/>
        <v>229.6875</v>
      </c>
      <c r="X155" s="24">
        <f t="shared" si="5"/>
        <v>3.134693878</v>
      </c>
    </row>
    <row r="156" ht="39.0" customHeight="1">
      <c r="A156" s="15" t="s">
        <v>901</v>
      </c>
      <c r="B156" s="15" t="s">
        <v>902</v>
      </c>
      <c r="C156" s="16" t="str">
        <f>IMAGE("https://i.ibb.co/1GfN2V0m/1896.png")</f>
        <v/>
      </c>
      <c r="D156" s="15" t="s">
        <v>903</v>
      </c>
      <c r="E156" s="17" t="s">
        <v>904</v>
      </c>
      <c r="F156" s="18"/>
      <c r="G156" s="18"/>
      <c r="H156" s="15" t="s">
        <v>905</v>
      </c>
      <c r="I156" s="18"/>
      <c r="J156" s="19" t="s">
        <v>59</v>
      </c>
      <c r="K156" s="19" t="s">
        <v>200</v>
      </c>
      <c r="L156" s="19" t="s">
        <v>135</v>
      </c>
      <c r="M156" s="20">
        <f t="shared" si="1"/>
        <v>142.08</v>
      </c>
      <c r="N156" s="30"/>
      <c r="O156" s="31">
        <v>16.0</v>
      </c>
      <c r="P156" s="19" t="s">
        <v>107</v>
      </c>
      <c r="Q156" s="18"/>
      <c r="R156" s="18"/>
      <c r="S156" s="23">
        <v>2.0</v>
      </c>
      <c r="T156" s="23">
        <v>8.0</v>
      </c>
      <c r="U156" s="23">
        <f t="shared" si="2"/>
        <v>7.68</v>
      </c>
      <c r="V156" s="23">
        <f t="shared" si="3"/>
        <v>2.45</v>
      </c>
      <c r="W156" s="23">
        <f t="shared" si="4"/>
        <v>45.9375</v>
      </c>
      <c r="X156" s="24">
        <f t="shared" si="5"/>
        <v>3.134693878</v>
      </c>
    </row>
    <row r="157" ht="39.0" customHeight="1">
      <c r="A157" s="15" t="s">
        <v>906</v>
      </c>
      <c r="B157" s="15" t="s">
        <v>907</v>
      </c>
      <c r="C157" s="16"/>
      <c r="D157" s="15" t="s">
        <v>908</v>
      </c>
      <c r="E157" s="17" t="s">
        <v>909</v>
      </c>
      <c r="F157" s="18"/>
      <c r="G157" s="15" t="s">
        <v>910</v>
      </c>
      <c r="H157" s="15" t="s">
        <v>911</v>
      </c>
      <c r="I157" s="18"/>
      <c r="J157" s="19" t="s">
        <v>59</v>
      </c>
      <c r="K157" s="19" t="s">
        <v>114</v>
      </c>
      <c r="L157" s="19" t="s">
        <v>115</v>
      </c>
      <c r="M157" s="20">
        <f t="shared" si="1"/>
        <v>3907.2</v>
      </c>
      <c r="N157" s="30"/>
      <c r="O157" s="31">
        <v>4.0</v>
      </c>
      <c r="P157" s="19" t="s">
        <v>107</v>
      </c>
      <c r="Q157" s="18"/>
      <c r="R157" s="18"/>
      <c r="S157" s="23">
        <v>55.0</v>
      </c>
      <c r="T157" s="23">
        <v>220.0</v>
      </c>
      <c r="U157" s="23">
        <f t="shared" si="2"/>
        <v>211.2</v>
      </c>
      <c r="V157" s="23">
        <f t="shared" si="3"/>
        <v>67.375</v>
      </c>
      <c r="W157" s="23">
        <f t="shared" si="4"/>
        <v>1263.28125</v>
      </c>
      <c r="X157" s="24">
        <f t="shared" si="5"/>
        <v>3.134693878</v>
      </c>
    </row>
    <row r="158" ht="39.0" customHeight="1">
      <c r="A158" s="15" t="s">
        <v>912</v>
      </c>
      <c r="B158" s="15" t="s">
        <v>913</v>
      </c>
      <c r="C158" s="16"/>
      <c r="D158" s="15" t="s">
        <v>914</v>
      </c>
      <c r="E158" s="17" t="s">
        <v>915</v>
      </c>
      <c r="F158" s="18"/>
      <c r="G158" s="15" t="s">
        <v>916</v>
      </c>
      <c r="H158" s="15" t="s">
        <v>917</v>
      </c>
      <c r="I158" s="15" t="s">
        <v>918</v>
      </c>
      <c r="J158" s="19" t="s">
        <v>104</v>
      </c>
      <c r="K158" s="19" t="s">
        <v>160</v>
      </c>
      <c r="L158" s="19" t="s">
        <v>919</v>
      </c>
      <c r="M158" s="20">
        <f t="shared" si="1"/>
        <v>106.56</v>
      </c>
      <c r="N158" s="30" t="s">
        <v>79</v>
      </c>
      <c r="O158" s="31">
        <v>150.0</v>
      </c>
      <c r="P158" s="19" t="s">
        <v>107</v>
      </c>
      <c r="Q158" s="18"/>
      <c r="R158" s="18"/>
      <c r="S158" s="23">
        <v>1.5</v>
      </c>
      <c r="T158" s="23">
        <v>6.0</v>
      </c>
      <c r="U158" s="23">
        <f t="shared" si="2"/>
        <v>5.76</v>
      </c>
      <c r="V158" s="23">
        <f t="shared" si="3"/>
        <v>1.8375</v>
      </c>
      <c r="W158" s="23">
        <f t="shared" si="4"/>
        <v>34.453125</v>
      </c>
      <c r="X158" s="24">
        <f t="shared" si="5"/>
        <v>3.134693878</v>
      </c>
    </row>
    <row r="159" ht="39.0" customHeight="1">
      <c r="A159" s="15" t="s">
        <v>920</v>
      </c>
      <c r="B159" s="15" t="s">
        <v>921</v>
      </c>
      <c r="C159" s="16"/>
      <c r="D159" s="15" t="s">
        <v>922</v>
      </c>
      <c r="E159" s="17" t="s">
        <v>923</v>
      </c>
      <c r="F159" s="18"/>
      <c r="G159" s="18"/>
      <c r="H159" s="15" t="s">
        <v>924</v>
      </c>
      <c r="I159" s="18"/>
      <c r="J159" s="19" t="s">
        <v>36</v>
      </c>
      <c r="K159" s="19" t="s">
        <v>60</v>
      </c>
      <c r="L159" s="19" t="s">
        <v>52</v>
      </c>
      <c r="M159" s="20">
        <f t="shared" si="1"/>
        <v>4582.08</v>
      </c>
      <c r="N159" s="30" t="s">
        <v>79</v>
      </c>
      <c r="O159" s="31">
        <v>2.0</v>
      </c>
      <c r="P159" s="19" t="s">
        <v>107</v>
      </c>
      <c r="Q159" s="18"/>
      <c r="R159" s="18"/>
      <c r="S159" s="23">
        <v>65.0</v>
      </c>
      <c r="T159" s="23">
        <v>258.0</v>
      </c>
      <c r="U159" s="23">
        <f t="shared" si="2"/>
        <v>247.68</v>
      </c>
      <c r="V159" s="23">
        <f t="shared" si="3"/>
        <v>79.625</v>
      </c>
      <c r="W159" s="23">
        <f t="shared" si="4"/>
        <v>1492.96875</v>
      </c>
      <c r="X159" s="24">
        <f t="shared" si="5"/>
        <v>3.110580848</v>
      </c>
    </row>
    <row r="160" ht="39.0" customHeight="1">
      <c r="A160" s="15" t="s">
        <v>925</v>
      </c>
      <c r="B160" s="15" t="s">
        <v>926</v>
      </c>
      <c r="C160" s="16"/>
      <c r="D160" s="15" t="s">
        <v>927</v>
      </c>
      <c r="E160" s="17" t="s">
        <v>928</v>
      </c>
      <c r="F160" s="18"/>
      <c r="G160" s="18"/>
      <c r="H160" s="15" t="s">
        <v>929</v>
      </c>
      <c r="I160" s="15" t="s">
        <v>930</v>
      </c>
      <c r="J160" s="19" t="s">
        <v>702</v>
      </c>
      <c r="K160" s="19" t="s">
        <v>52</v>
      </c>
      <c r="L160" s="19" t="s">
        <v>52</v>
      </c>
      <c r="M160" s="20">
        <f t="shared" si="1"/>
        <v>692.64</v>
      </c>
      <c r="N160" s="30"/>
      <c r="O160" s="31">
        <v>10.0</v>
      </c>
      <c r="P160" s="19" t="s">
        <v>107</v>
      </c>
      <c r="Q160" s="18"/>
      <c r="R160" s="18"/>
      <c r="S160" s="23">
        <v>10.0</v>
      </c>
      <c r="T160" s="23">
        <v>39.0</v>
      </c>
      <c r="U160" s="23">
        <f t="shared" si="2"/>
        <v>37.44</v>
      </c>
      <c r="V160" s="23">
        <f t="shared" si="3"/>
        <v>12.25</v>
      </c>
      <c r="W160" s="23">
        <f t="shared" si="4"/>
        <v>229.6875</v>
      </c>
      <c r="X160" s="24">
        <f t="shared" si="5"/>
        <v>3.056326531</v>
      </c>
    </row>
    <row r="161" ht="39.0" customHeight="1">
      <c r="A161" s="15" t="s">
        <v>931</v>
      </c>
      <c r="B161" s="15" t="s">
        <v>932</v>
      </c>
      <c r="C161" s="16"/>
      <c r="D161" s="15" t="s">
        <v>933</v>
      </c>
      <c r="E161" s="17" t="s">
        <v>934</v>
      </c>
      <c r="F161" s="18"/>
      <c r="G161" s="18"/>
      <c r="H161" s="15" t="s">
        <v>935</v>
      </c>
      <c r="I161" s="18"/>
      <c r="J161" s="19" t="s">
        <v>59</v>
      </c>
      <c r="K161" s="19" t="s">
        <v>60</v>
      </c>
      <c r="L161" s="19" t="s">
        <v>38</v>
      </c>
      <c r="M161" s="20">
        <f t="shared" si="1"/>
        <v>745.92</v>
      </c>
      <c r="N161" s="30"/>
      <c r="O161" s="31">
        <v>10.0</v>
      </c>
      <c r="P161" s="19" t="s">
        <v>107</v>
      </c>
      <c r="Q161" s="18"/>
      <c r="R161" s="18"/>
      <c r="S161" s="23">
        <v>11.0</v>
      </c>
      <c r="T161" s="23">
        <v>42.0</v>
      </c>
      <c r="U161" s="23">
        <f t="shared" si="2"/>
        <v>40.32</v>
      </c>
      <c r="V161" s="23">
        <f t="shared" si="3"/>
        <v>13.475</v>
      </c>
      <c r="W161" s="23">
        <f t="shared" si="4"/>
        <v>252.65625</v>
      </c>
      <c r="X161" s="24">
        <f t="shared" si="5"/>
        <v>2.992207792</v>
      </c>
    </row>
    <row r="162" ht="39.0" customHeight="1">
      <c r="A162" s="15" t="s">
        <v>936</v>
      </c>
      <c r="B162" s="15" t="s">
        <v>937</v>
      </c>
      <c r="C162" s="16"/>
      <c r="D162" s="15" t="s">
        <v>938</v>
      </c>
      <c r="E162" s="17" t="s">
        <v>939</v>
      </c>
      <c r="F162" s="15" t="s">
        <v>940</v>
      </c>
      <c r="G162" s="15" t="s">
        <v>941</v>
      </c>
      <c r="H162" s="15" t="s">
        <v>942</v>
      </c>
      <c r="I162" s="18"/>
      <c r="J162" s="19" t="s">
        <v>104</v>
      </c>
      <c r="K162" s="19" t="s">
        <v>717</v>
      </c>
      <c r="L162" s="19" t="s">
        <v>106</v>
      </c>
      <c r="M162" s="20">
        <f t="shared" si="1"/>
        <v>7104</v>
      </c>
      <c r="N162" s="30"/>
      <c r="O162" s="31">
        <v>5.0</v>
      </c>
      <c r="P162" s="19" t="s">
        <v>107</v>
      </c>
      <c r="Q162" s="18"/>
      <c r="R162" s="18"/>
      <c r="S162" s="23">
        <v>106.0</v>
      </c>
      <c r="T162" s="23">
        <v>400.0</v>
      </c>
      <c r="U162" s="23">
        <f t="shared" si="2"/>
        <v>384</v>
      </c>
      <c r="V162" s="23">
        <f t="shared" si="3"/>
        <v>129.85</v>
      </c>
      <c r="W162" s="23">
        <f t="shared" si="4"/>
        <v>2434.6875</v>
      </c>
      <c r="X162" s="24">
        <f t="shared" si="5"/>
        <v>2.957258375</v>
      </c>
    </row>
    <row r="163" ht="39.0" customHeight="1">
      <c r="A163" s="15" t="s">
        <v>943</v>
      </c>
      <c r="B163" s="18" t="str">
        <f>CONCATENATE(7504589,A163)</f>
        <v>75045892447</v>
      </c>
      <c r="C163" s="16"/>
      <c r="D163" s="15" t="s">
        <v>944</v>
      </c>
      <c r="E163" s="17" t="s">
        <v>945</v>
      </c>
      <c r="F163" s="18"/>
      <c r="G163" s="18"/>
      <c r="H163" s="15" t="s">
        <v>946</v>
      </c>
      <c r="I163" s="18"/>
      <c r="J163" s="19" t="s">
        <v>59</v>
      </c>
      <c r="K163" s="19" t="s">
        <v>60</v>
      </c>
      <c r="L163" s="19" t="s">
        <v>177</v>
      </c>
      <c r="M163" s="20">
        <f t="shared" si="1"/>
        <v>6482.4</v>
      </c>
      <c r="N163" s="30"/>
      <c r="O163" s="31">
        <v>3.0</v>
      </c>
      <c r="P163" s="19" t="s">
        <v>107</v>
      </c>
      <c r="Q163" s="18"/>
      <c r="R163" s="18"/>
      <c r="S163" s="23">
        <v>140.0</v>
      </c>
      <c r="T163" s="23">
        <v>365.0</v>
      </c>
      <c r="U163" s="23">
        <f t="shared" si="2"/>
        <v>350.4</v>
      </c>
      <c r="V163" s="23">
        <f t="shared" si="3"/>
        <v>171.5</v>
      </c>
      <c r="W163" s="23">
        <f t="shared" si="4"/>
        <v>3215.625</v>
      </c>
      <c r="X163" s="24">
        <f t="shared" si="5"/>
        <v>2.043148688</v>
      </c>
    </row>
    <row r="164" ht="39.0" customHeight="1">
      <c r="A164" s="15" t="s">
        <v>947</v>
      </c>
      <c r="B164" s="15" t="s">
        <v>948</v>
      </c>
      <c r="C164" s="16"/>
      <c r="D164" s="15" t="s">
        <v>949</v>
      </c>
      <c r="E164" s="17" t="s">
        <v>950</v>
      </c>
      <c r="F164" s="18"/>
      <c r="G164" s="15" t="s">
        <v>951</v>
      </c>
      <c r="H164" s="15" t="s">
        <v>952</v>
      </c>
      <c r="I164" s="18"/>
      <c r="J164" s="19" t="s">
        <v>283</v>
      </c>
      <c r="K164" s="19" t="s">
        <v>105</v>
      </c>
      <c r="L164" s="19" t="s">
        <v>953</v>
      </c>
      <c r="M164" s="20">
        <f t="shared" si="1"/>
        <v>5434.56</v>
      </c>
      <c r="N164" s="30"/>
      <c r="O164" s="31">
        <v>10.0</v>
      </c>
      <c r="P164" s="19" t="s">
        <v>107</v>
      </c>
      <c r="Q164" s="18"/>
      <c r="R164" s="18"/>
      <c r="S164" s="23">
        <v>82.0</v>
      </c>
      <c r="T164" s="23">
        <v>306.0</v>
      </c>
      <c r="U164" s="23">
        <f t="shared" si="2"/>
        <v>293.76</v>
      </c>
      <c r="V164" s="23">
        <f t="shared" si="3"/>
        <v>100.45</v>
      </c>
      <c r="W164" s="23">
        <f t="shared" si="4"/>
        <v>1883.4375</v>
      </c>
      <c r="X164" s="24">
        <f t="shared" si="5"/>
        <v>2.92444002</v>
      </c>
    </row>
    <row r="165" ht="39.0" customHeight="1">
      <c r="A165" s="15" t="s">
        <v>954</v>
      </c>
      <c r="B165" s="15" t="s">
        <v>955</v>
      </c>
      <c r="C165" s="16" t="str">
        <f>IMAGE("https://i.ibb.co/kgLBCR76/1855.png")</f>
        <v/>
      </c>
      <c r="D165" s="15" t="s">
        <v>956</v>
      </c>
      <c r="E165" s="17" t="s">
        <v>957</v>
      </c>
      <c r="F165" s="18"/>
      <c r="G165" s="18"/>
      <c r="H165" s="15" t="s">
        <v>958</v>
      </c>
      <c r="I165" s="18"/>
      <c r="J165" s="19" t="s">
        <v>702</v>
      </c>
      <c r="K165" s="19" t="s">
        <v>52</v>
      </c>
      <c r="L165" s="19" t="s">
        <v>703</v>
      </c>
      <c r="M165" s="20">
        <f t="shared" si="1"/>
        <v>1651.68</v>
      </c>
      <c r="N165" s="30"/>
      <c r="O165" s="31">
        <v>4.0</v>
      </c>
      <c r="P165" s="19" t="s">
        <v>107</v>
      </c>
      <c r="Q165" s="18"/>
      <c r="R165" s="18"/>
      <c r="S165" s="23">
        <v>25.0</v>
      </c>
      <c r="T165" s="23">
        <v>93.0</v>
      </c>
      <c r="U165" s="23">
        <f t="shared" si="2"/>
        <v>89.28</v>
      </c>
      <c r="V165" s="23">
        <f t="shared" si="3"/>
        <v>30.625</v>
      </c>
      <c r="W165" s="23">
        <f t="shared" si="4"/>
        <v>574.21875</v>
      </c>
      <c r="X165" s="24">
        <f t="shared" si="5"/>
        <v>2.915265306</v>
      </c>
    </row>
    <row r="166" ht="39.0" customHeight="1">
      <c r="A166" s="15" t="s">
        <v>959</v>
      </c>
      <c r="B166" s="15" t="s">
        <v>960</v>
      </c>
      <c r="C166" s="16"/>
      <c r="D166" s="15" t="s">
        <v>961</v>
      </c>
      <c r="E166" s="17" t="s">
        <v>962</v>
      </c>
      <c r="F166" s="18"/>
      <c r="G166" s="18"/>
      <c r="H166" s="15" t="s">
        <v>963</v>
      </c>
      <c r="I166" s="18"/>
      <c r="J166" s="19" t="s">
        <v>702</v>
      </c>
      <c r="K166" s="19" t="s">
        <v>52</v>
      </c>
      <c r="L166" s="19" t="s">
        <v>703</v>
      </c>
      <c r="M166" s="20">
        <f t="shared" si="1"/>
        <v>1651.68</v>
      </c>
      <c r="N166" s="30"/>
      <c r="O166" s="31">
        <v>4.0</v>
      </c>
      <c r="P166" s="19" t="s">
        <v>107</v>
      </c>
      <c r="Q166" s="18"/>
      <c r="R166" s="18"/>
      <c r="S166" s="23">
        <v>25.0</v>
      </c>
      <c r="T166" s="23">
        <v>93.0</v>
      </c>
      <c r="U166" s="23">
        <f t="shared" si="2"/>
        <v>89.28</v>
      </c>
      <c r="V166" s="23">
        <f t="shared" si="3"/>
        <v>30.625</v>
      </c>
      <c r="W166" s="23">
        <f t="shared" si="4"/>
        <v>574.21875</v>
      </c>
      <c r="X166" s="24">
        <f t="shared" si="5"/>
        <v>2.915265306</v>
      </c>
    </row>
    <row r="167" ht="39.0" customHeight="1">
      <c r="A167" s="15" t="s">
        <v>964</v>
      </c>
      <c r="B167" s="15" t="s">
        <v>965</v>
      </c>
      <c r="C167" s="16" t="str">
        <f>IMAGE("https://i.ibb.co/cXSNnjTF/1783.png")</f>
        <v/>
      </c>
      <c r="D167" s="15" t="s">
        <v>966</v>
      </c>
      <c r="E167" s="17" t="s">
        <v>967</v>
      </c>
      <c r="F167" s="18"/>
      <c r="G167" s="18"/>
      <c r="H167" s="15" t="s">
        <v>968</v>
      </c>
      <c r="I167" s="18"/>
      <c r="J167" s="19" t="s">
        <v>702</v>
      </c>
      <c r="K167" s="19" t="s">
        <v>52</v>
      </c>
      <c r="L167" s="19" t="s">
        <v>703</v>
      </c>
      <c r="M167" s="20">
        <f t="shared" si="1"/>
        <v>4955.04</v>
      </c>
      <c r="N167" s="30"/>
      <c r="O167" s="31">
        <v>2.0</v>
      </c>
      <c r="P167" s="19" t="s">
        <v>107</v>
      </c>
      <c r="Q167" s="18"/>
      <c r="R167" s="18"/>
      <c r="S167" s="23">
        <v>75.0</v>
      </c>
      <c r="T167" s="23">
        <v>279.0</v>
      </c>
      <c r="U167" s="23">
        <f t="shared" si="2"/>
        <v>267.84</v>
      </c>
      <c r="V167" s="23">
        <f t="shared" si="3"/>
        <v>91.875</v>
      </c>
      <c r="W167" s="23">
        <f t="shared" si="4"/>
        <v>1722.65625</v>
      </c>
      <c r="X167" s="24">
        <f t="shared" si="5"/>
        <v>2.915265306</v>
      </c>
    </row>
    <row r="168" ht="39.0" customHeight="1">
      <c r="A168" s="15" t="s">
        <v>969</v>
      </c>
      <c r="B168" s="15" t="s">
        <v>970</v>
      </c>
      <c r="C168" s="16"/>
      <c r="D168" s="15" t="s">
        <v>971</v>
      </c>
      <c r="E168" s="17" t="s">
        <v>972</v>
      </c>
      <c r="F168" s="18"/>
      <c r="G168" s="18"/>
      <c r="H168" s="15" t="s">
        <v>973</v>
      </c>
      <c r="I168" s="18"/>
      <c r="J168" s="19" t="s">
        <v>59</v>
      </c>
      <c r="K168" s="19" t="s">
        <v>60</v>
      </c>
      <c r="L168" s="19" t="s">
        <v>177</v>
      </c>
      <c r="M168" s="20">
        <f t="shared" si="1"/>
        <v>13852.8</v>
      </c>
      <c r="N168" s="30"/>
      <c r="O168" s="31">
        <v>2.0</v>
      </c>
      <c r="P168" s="19" t="s">
        <v>107</v>
      </c>
      <c r="Q168" s="18"/>
      <c r="R168" s="18"/>
      <c r="S168" s="23">
        <v>210.0</v>
      </c>
      <c r="T168" s="23">
        <v>780.0</v>
      </c>
      <c r="U168" s="23">
        <f t="shared" si="2"/>
        <v>748.8</v>
      </c>
      <c r="V168" s="23">
        <f t="shared" si="3"/>
        <v>257.25</v>
      </c>
      <c r="W168" s="23">
        <f t="shared" si="4"/>
        <v>4823.4375</v>
      </c>
      <c r="X168" s="24">
        <f t="shared" si="5"/>
        <v>2.910787172</v>
      </c>
    </row>
    <row r="169" ht="39.0" customHeight="1">
      <c r="A169" s="15" t="s">
        <v>974</v>
      </c>
      <c r="B169" s="15" t="s">
        <v>975</v>
      </c>
      <c r="C169" s="16"/>
      <c r="D169" s="15" t="s">
        <v>976</v>
      </c>
      <c r="E169" s="17" t="s">
        <v>977</v>
      </c>
      <c r="F169" s="18"/>
      <c r="G169" s="15" t="s">
        <v>978</v>
      </c>
      <c r="H169" s="15" t="s">
        <v>979</v>
      </c>
      <c r="I169" s="18"/>
      <c r="J169" s="19" t="s">
        <v>36</v>
      </c>
      <c r="K169" s="19" t="s">
        <v>114</v>
      </c>
      <c r="L169" s="19" t="s">
        <v>115</v>
      </c>
      <c r="M169" s="20">
        <f t="shared" si="1"/>
        <v>2504.16</v>
      </c>
      <c r="N169" s="30"/>
      <c r="O169" s="31">
        <v>2.0</v>
      </c>
      <c r="P169" s="19" t="s">
        <v>107</v>
      </c>
      <c r="Q169" s="18"/>
      <c r="R169" s="18"/>
      <c r="S169" s="23">
        <v>38.0</v>
      </c>
      <c r="T169" s="23">
        <v>141.0</v>
      </c>
      <c r="U169" s="23">
        <f t="shared" si="2"/>
        <v>135.36</v>
      </c>
      <c r="V169" s="23">
        <f t="shared" si="3"/>
        <v>46.55</v>
      </c>
      <c r="W169" s="23">
        <f t="shared" si="4"/>
        <v>872.8125</v>
      </c>
      <c r="X169" s="24">
        <f t="shared" si="5"/>
        <v>2.907841031</v>
      </c>
    </row>
    <row r="170" ht="39.0" customHeight="1">
      <c r="A170" s="15" t="s">
        <v>980</v>
      </c>
      <c r="B170" s="15" t="s">
        <v>981</v>
      </c>
      <c r="C170" s="16"/>
      <c r="D170" s="15" t="s">
        <v>982</v>
      </c>
      <c r="E170" s="17" t="s">
        <v>983</v>
      </c>
      <c r="F170" s="18"/>
      <c r="G170" s="15" t="s">
        <v>984</v>
      </c>
      <c r="H170" s="15" t="s">
        <v>985</v>
      </c>
      <c r="I170" s="18"/>
      <c r="J170" s="19" t="s">
        <v>59</v>
      </c>
      <c r="K170" s="19" t="s">
        <v>114</v>
      </c>
      <c r="L170" s="19" t="s">
        <v>115</v>
      </c>
      <c r="M170" s="20">
        <f t="shared" si="1"/>
        <v>4582.08</v>
      </c>
      <c r="N170" s="30"/>
      <c r="O170" s="31">
        <v>4.0</v>
      </c>
      <c r="P170" s="19" t="s">
        <v>107</v>
      </c>
      <c r="Q170" s="18"/>
      <c r="R170" s="18"/>
      <c r="S170" s="23">
        <v>70.0</v>
      </c>
      <c r="T170" s="23">
        <v>258.0</v>
      </c>
      <c r="U170" s="23">
        <f t="shared" si="2"/>
        <v>247.68</v>
      </c>
      <c r="V170" s="23">
        <f t="shared" si="3"/>
        <v>85.75</v>
      </c>
      <c r="W170" s="23">
        <f t="shared" si="4"/>
        <v>1607.8125</v>
      </c>
      <c r="X170" s="24">
        <f t="shared" si="5"/>
        <v>2.888396501</v>
      </c>
    </row>
    <row r="171" ht="39.0" customHeight="1">
      <c r="A171" s="15" t="s">
        <v>986</v>
      </c>
      <c r="B171" s="15" t="s">
        <v>987</v>
      </c>
      <c r="C171" s="16"/>
      <c r="D171" s="15" t="s">
        <v>988</v>
      </c>
      <c r="E171" s="17" t="s">
        <v>989</v>
      </c>
      <c r="F171" s="18"/>
      <c r="G171" s="18"/>
      <c r="H171" s="15" t="s">
        <v>990</v>
      </c>
      <c r="I171" s="18"/>
      <c r="J171" s="19" t="s">
        <v>283</v>
      </c>
      <c r="K171" s="19" t="s">
        <v>52</v>
      </c>
      <c r="L171" s="19" t="s">
        <v>52</v>
      </c>
      <c r="M171" s="20">
        <f t="shared" si="1"/>
        <v>2610.72</v>
      </c>
      <c r="N171" s="30"/>
      <c r="O171" s="31">
        <v>3.0</v>
      </c>
      <c r="P171" s="19" t="s">
        <v>107</v>
      </c>
      <c r="Q171" s="18"/>
      <c r="R171" s="18"/>
      <c r="S171" s="23">
        <v>40.0</v>
      </c>
      <c r="T171" s="23">
        <v>147.0</v>
      </c>
      <c r="U171" s="23">
        <f t="shared" si="2"/>
        <v>141.12</v>
      </c>
      <c r="V171" s="23">
        <f t="shared" si="3"/>
        <v>49</v>
      </c>
      <c r="W171" s="23">
        <f t="shared" si="4"/>
        <v>918.75</v>
      </c>
      <c r="X171" s="24">
        <f t="shared" si="5"/>
        <v>2.88</v>
      </c>
    </row>
    <row r="172" ht="39.0" customHeight="1">
      <c r="A172" s="15" t="s">
        <v>991</v>
      </c>
      <c r="B172" s="15" t="s">
        <v>992</v>
      </c>
      <c r="C172" s="16"/>
      <c r="D172" s="15" t="s">
        <v>993</v>
      </c>
      <c r="E172" s="17" t="s">
        <v>994</v>
      </c>
      <c r="F172" s="18"/>
      <c r="G172" s="18"/>
      <c r="H172" s="15" t="s">
        <v>995</v>
      </c>
      <c r="I172" s="18"/>
      <c r="J172" s="19" t="s">
        <v>59</v>
      </c>
      <c r="K172" s="33"/>
      <c r="L172" s="19" t="s">
        <v>38</v>
      </c>
      <c r="M172" s="20">
        <f t="shared" si="1"/>
        <v>888</v>
      </c>
      <c r="N172" s="30"/>
      <c r="O172" s="31">
        <v>5.0</v>
      </c>
      <c r="P172" s="19" t="s">
        <v>107</v>
      </c>
      <c r="Q172" s="18"/>
      <c r="R172" s="18"/>
      <c r="S172" s="23">
        <v>14.0</v>
      </c>
      <c r="T172" s="23">
        <v>50.0</v>
      </c>
      <c r="U172" s="23">
        <f t="shared" si="2"/>
        <v>48</v>
      </c>
      <c r="V172" s="23">
        <f t="shared" si="3"/>
        <v>17.15</v>
      </c>
      <c r="W172" s="23">
        <f t="shared" si="4"/>
        <v>321.5625</v>
      </c>
      <c r="X172" s="24">
        <f t="shared" si="5"/>
        <v>2.798833819</v>
      </c>
    </row>
    <row r="173" ht="39.0" customHeight="1">
      <c r="A173" s="15" t="s">
        <v>996</v>
      </c>
      <c r="B173" s="15" t="s">
        <v>997</v>
      </c>
      <c r="C173" s="16"/>
      <c r="D173" s="15" t="s">
        <v>998</v>
      </c>
      <c r="E173" s="17" t="s">
        <v>999</v>
      </c>
      <c r="F173" s="18"/>
      <c r="G173" s="15" t="s">
        <v>1000</v>
      </c>
      <c r="H173" s="15" t="s">
        <v>1001</v>
      </c>
      <c r="I173" s="18"/>
      <c r="J173" s="19" t="s">
        <v>1002</v>
      </c>
      <c r="K173" s="19" t="s">
        <v>114</v>
      </c>
      <c r="L173" s="19" t="s">
        <v>115</v>
      </c>
      <c r="M173" s="20">
        <f t="shared" si="1"/>
        <v>3907.2</v>
      </c>
      <c r="N173" s="30"/>
      <c r="O173" s="31">
        <v>6.0</v>
      </c>
      <c r="P173" s="19" t="s">
        <v>107</v>
      </c>
      <c r="Q173" s="18"/>
      <c r="R173" s="18"/>
      <c r="S173" s="23">
        <v>62.0</v>
      </c>
      <c r="T173" s="23">
        <v>220.0</v>
      </c>
      <c r="U173" s="23">
        <f t="shared" si="2"/>
        <v>211.2</v>
      </c>
      <c r="V173" s="23">
        <f t="shared" si="3"/>
        <v>75.95</v>
      </c>
      <c r="W173" s="23">
        <f t="shared" si="4"/>
        <v>1424.0625</v>
      </c>
      <c r="X173" s="24">
        <f t="shared" si="5"/>
        <v>2.780776827</v>
      </c>
    </row>
    <row r="174" ht="39.0" customHeight="1">
      <c r="A174" s="15" t="s">
        <v>1003</v>
      </c>
      <c r="B174" s="15" t="s">
        <v>1004</v>
      </c>
      <c r="C174" s="16"/>
      <c r="D174" s="15" t="s">
        <v>1005</v>
      </c>
      <c r="E174" s="17" t="s">
        <v>1006</v>
      </c>
      <c r="F174" s="18"/>
      <c r="G174" s="15" t="s">
        <v>1007</v>
      </c>
      <c r="H174" s="15" t="s">
        <v>1008</v>
      </c>
      <c r="I174" s="18"/>
      <c r="J174" s="19" t="s">
        <v>104</v>
      </c>
      <c r="K174" s="19" t="s">
        <v>160</v>
      </c>
      <c r="L174" s="19" t="s">
        <v>106</v>
      </c>
      <c r="M174" s="20">
        <f t="shared" si="1"/>
        <v>3374.4</v>
      </c>
      <c r="N174" s="30"/>
      <c r="O174" s="31">
        <v>2.0</v>
      </c>
      <c r="P174" s="19" t="s">
        <v>107</v>
      </c>
      <c r="Q174" s="18"/>
      <c r="R174" s="18"/>
      <c r="S174" s="23">
        <v>54.0</v>
      </c>
      <c r="T174" s="23">
        <v>190.0</v>
      </c>
      <c r="U174" s="23">
        <f t="shared" si="2"/>
        <v>182.4</v>
      </c>
      <c r="V174" s="23">
        <f t="shared" si="3"/>
        <v>66.15</v>
      </c>
      <c r="W174" s="23">
        <f t="shared" si="4"/>
        <v>1240.3125</v>
      </c>
      <c r="X174" s="24">
        <f t="shared" si="5"/>
        <v>2.757369615</v>
      </c>
    </row>
    <row r="175" ht="39.0" customHeight="1">
      <c r="A175" s="15" t="s">
        <v>1009</v>
      </c>
      <c r="B175" s="15" t="s">
        <v>1010</v>
      </c>
      <c r="C175" s="16"/>
      <c r="D175" s="15" t="s">
        <v>1011</v>
      </c>
      <c r="E175" s="17" t="s">
        <v>1012</v>
      </c>
      <c r="F175" s="18"/>
      <c r="G175" s="18"/>
      <c r="H175" s="15" t="s">
        <v>1013</v>
      </c>
      <c r="I175" s="18"/>
      <c r="J175" s="19" t="s">
        <v>59</v>
      </c>
      <c r="K175" s="19" t="s">
        <v>200</v>
      </c>
      <c r="L175" s="19" t="s">
        <v>135</v>
      </c>
      <c r="M175" s="20">
        <f t="shared" si="1"/>
        <v>124.32</v>
      </c>
      <c r="N175" s="30"/>
      <c r="O175" s="31">
        <v>16.0</v>
      </c>
      <c r="P175" s="19" t="s">
        <v>107</v>
      </c>
      <c r="Q175" s="18"/>
      <c r="R175" s="18"/>
      <c r="S175" s="23">
        <v>2.0</v>
      </c>
      <c r="T175" s="23">
        <v>7.0</v>
      </c>
      <c r="U175" s="23">
        <f t="shared" si="2"/>
        <v>6.72</v>
      </c>
      <c r="V175" s="23">
        <f t="shared" si="3"/>
        <v>2.45</v>
      </c>
      <c r="W175" s="23">
        <f t="shared" si="4"/>
        <v>45.9375</v>
      </c>
      <c r="X175" s="24">
        <f t="shared" si="5"/>
        <v>2.742857143</v>
      </c>
    </row>
    <row r="176" ht="39.0" customHeight="1">
      <c r="A176" s="15" t="s">
        <v>1014</v>
      </c>
      <c r="B176" s="15" t="s">
        <v>1015</v>
      </c>
      <c r="C176" s="16" t="str">
        <f>IMAGE("https://i.ibb.co/bDzJh8r/1792.png")</f>
        <v/>
      </c>
      <c r="D176" s="15" t="s">
        <v>1016</v>
      </c>
      <c r="E176" s="17" t="s">
        <v>1017</v>
      </c>
      <c r="F176" s="18"/>
      <c r="G176" s="18"/>
      <c r="H176" s="15" t="s">
        <v>1018</v>
      </c>
      <c r="I176" s="18"/>
      <c r="J176" s="19" t="s">
        <v>702</v>
      </c>
      <c r="K176" s="19" t="s">
        <v>52</v>
      </c>
      <c r="L176" s="19" t="s">
        <v>703</v>
      </c>
      <c r="M176" s="20">
        <f t="shared" si="1"/>
        <v>5256.96</v>
      </c>
      <c r="N176" s="30"/>
      <c r="O176" s="31">
        <v>2.0</v>
      </c>
      <c r="P176" s="19" t="s">
        <v>107</v>
      </c>
      <c r="Q176" s="18"/>
      <c r="R176" s="18"/>
      <c r="S176" s="23">
        <v>85.0</v>
      </c>
      <c r="T176" s="23">
        <v>296.0</v>
      </c>
      <c r="U176" s="23">
        <f t="shared" si="2"/>
        <v>284.16</v>
      </c>
      <c r="V176" s="23">
        <f t="shared" si="3"/>
        <v>104.125</v>
      </c>
      <c r="W176" s="23">
        <f t="shared" si="4"/>
        <v>1952.34375</v>
      </c>
      <c r="X176" s="24">
        <f t="shared" si="5"/>
        <v>2.729027611</v>
      </c>
    </row>
    <row r="177" ht="39.0" customHeight="1">
      <c r="A177" s="15" t="s">
        <v>1019</v>
      </c>
      <c r="B177" s="15" t="s">
        <v>1020</v>
      </c>
      <c r="C177" s="16"/>
      <c r="D177" s="15" t="s">
        <v>1021</v>
      </c>
      <c r="E177" s="17" t="s">
        <v>1022</v>
      </c>
      <c r="F177" s="18"/>
      <c r="G177" s="18"/>
      <c r="H177" s="15" t="s">
        <v>1023</v>
      </c>
      <c r="I177" s="18"/>
      <c r="J177" s="19" t="s">
        <v>59</v>
      </c>
      <c r="K177" s="19" t="s">
        <v>114</v>
      </c>
      <c r="L177" s="19" t="s">
        <v>115</v>
      </c>
      <c r="M177" s="20">
        <f t="shared" si="1"/>
        <v>3392.16</v>
      </c>
      <c r="N177" s="30"/>
      <c r="O177" s="31">
        <v>4.0</v>
      </c>
      <c r="P177" s="19" t="s">
        <v>107</v>
      </c>
      <c r="Q177" s="18"/>
      <c r="R177" s="18"/>
      <c r="S177" s="23">
        <v>55.0</v>
      </c>
      <c r="T177" s="23">
        <v>191.0</v>
      </c>
      <c r="U177" s="23">
        <f t="shared" si="2"/>
        <v>183.36</v>
      </c>
      <c r="V177" s="23">
        <f t="shared" si="3"/>
        <v>67.375</v>
      </c>
      <c r="W177" s="23">
        <f t="shared" si="4"/>
        <v>1263.28125</v>
      </c>
      <c r="X177" s="24">
        <f t="shared" si="5"/>
        <v>2.72148423</v>
      </c>
    </row>
    <row r="178" ht="39.0" customHeight="1">
      <c r="A178" s="15" t="s">
        <v>1024</v>
      </c>
      <c r="B178" s="15" t="s">
        <v>1025</v>
      </c>
      <c r="C178" s="16"/>
      <c r="D178" s="15" t="s">
        <v>1026</v>
      </c>
      <c r="E178" s="17" t="s">
        <v>1027</v>
      </c>
      <c r="F178" s="18"/>
      <c r="G178" s="15" t="s">
        <v>1028</v>
      </c>
      <c r="H178" s="15" t="s">
        <v>1029</v>
      </c>
      <c r="I178" s="18"/>
      <c r="J178" s="19" t="s">
        <v>36</v>
      </c>
      <c r="K178" s="19" t="s">
        <v>52</v>
      </c>
      <c r="L178" s="19" t="s">
        <v>52</v>
      </c>
      <c r="M178" s="20">
        <f t="shared" si="1"/>
        <v>390.72</v>
      </c>
      <c r="N178" s="30"/>
      <c r="O178" s="31">
        <v>6.0</v>
      </c>
      <c r="P178" s="19" t="s">
        <v>107</v>
      </c>
      <c r="Q178" s="18"/>
      <c r="R178" s="18"/>
      <c r="S178" s="23">
        <v>6.5</v>
      </c>
      <c r="T178" s="23">
        <v>22.0</v>
      </c>
      <c r="U178" s="23">
        <f t="shared" si="2"/>
        <v>21.12</v>
      </c>
      <c r="V178" s="23">
        <f t="shared" si="3"/>
        <v>7.9625</v>
      </c>
      <c r="W178" s="23">
        <f t="shared" si="4"/>
        <v>149.296875</v>
      </c>
      <c r="X178" s="24">
        <f t="shared" si="5"/>
        <v>2.652433281</v>
      </c>
    </row>
    <row r="179" ht="39.0" customHeight="1">
      <c r="A179" s="15" t="s">
        <v>1030</v>
      </c>
      <c r="B179" s="15" t="s">
        <v>1031</v>
      </c>
      <c r="C179" s="16"/>
      <c r="D179" s="15" t="s">
        <v>1032</v>
      </c>
      <c r="E179" s="17" t="s">
        <v>1033</v>
      </c>
      <c r="F179" s="18"/>
      <c r="G179" s="18"/>
      <c r="H179" s="15" t="s">
        <v>1034</v>
      </c>
      <c r="I179" s="18"/>
      <c r="J179" s="19" t="s">
        <v>702</v>
      </c>
      <c r="K179" s="19" t="s">
        <v>52</v>
      </c>
      <c r="L179" s="19" t="s">
        <v>177</v>
      </c>
      <c r="M179" s="20">
        <f t="shared" si="1"/>
        <v>4741.92</v>
      </c>
      <c r="N179" s="30"/>
      <c r="O179" s="31">
        <v>2.0</v>
      </c>
      <c r="P179" s="19" t="s">
        <v>107</v>
      </c>
      <c r="Q179" s="18"/>
      <c r="R179" s="18"/>
      <c r="S179" s="23">
        <v>80.0</v>
      </c>
      <c r="T179" s="23">
        <v>267.0</v>
      </c>
      <c r="U179" s="23">
        <f t="shared" si="2"/>
        <v>256.32</v>
      </c>
      <c r="V179" s="23">
        <f t="shared" si="3"/>
        <v>98</v>
      </c>
      <c r="W179" s="23">
        <f t="shared" si="4"/>
        <v>1837.5</v>
      </c>
      <c r="X179" s="24">
        <f t="shared" si="5"/>
        <v>2.615510204</v>
      </c>
    </row>
    <row r="180" ht="39.0" customHeight="1">
      <c r="A180" s="15" t="s">
        <v>1035</v>
      </c>
      <c r="B180" s="15" t="s">
        <v>1036</v>
      </c>
      <c r="C180" s="16"/>
      <c r="D180" s="15" t="s">
        <v>1037</v>
      </c>
      <c r="E180" s="17" t="s">
        <v>1038</v>
      </c>
      <c r="F180" s="18"/>
      <c r="G180" s="15" t="s">
        <v>1039</v>
      </c>
      <c r="H180" s="15" t="s">
        <v>1040</v>
      </c>
      <c r="I180" s="15" t="s">
        <v>1041</v>
      </c>
      <c r="J180" s="19" t="s">
        <v>59</v>
      </c>
      <c r="K180" s="19" t="s">
        <v>114</v>
      </c>
      <c r="L180" s="19" t="s">
        <v>115</v>
      </c>
      <c r="M180" s="20">
        <f t="shared" si="1"/>
        <v>3463.2</v>
      </c>
      <c r="N180" s="30" t="s">
        <v>79</v>
      </c>
      <c r="O180" s="31">
        <v>4.0</v>
      </c>
      <c r="P180" s="19" t="s">
        <v>107</v>
      </c>
      <c r="Q180" s="18"/>
      <c r="R180" s="18"/>
      <c r="S180" s="23">
        <v>60.0</v>
      </c>
      <c r="T180" s="23">
        <v>195.0</v>
      </c>
      <c r="U180" s="23">
        <f t="shared" si="2"/>
        <v>187.2</v>
      </c>
      <c r="V180" s="23">
        <f t="shared" si="3"/>
        <v>73.5</v>
      </c>
      <c r="W180" s="23">
        <f t="shared" si="4"/>
        <v>1378.125</v>
      </c>
      <c r="X180" s="24">
        <f t="shared" si="5"/>
        <v>2.546938776</v>
      </c>
    </row>
    <row r="181" ht="39.0" customHeight="1">
      <c r="A181" s="15" t="s">
        <v>1042</v>
      </c>
      <c r="B181" s="15" t="s">
        <v>1043</v>
      </c>
      <c r="C181" s="16" t="str">
        <f>IMAGE("https://i.ibb.co/LD5njzQb/1794.png")</f>
        <v/>
      </c>
      <c r="D181" s="15" t="s">
        <v>1044</v>
      </c>
      <c r="E181" s="17" t="s">
        <v>1045</v>
      </c>
      <c r="F181" s="18"/>
      <c r="G181" s="18"/>
      <c r="H181" s="15" t="s">
        <v>1046</v>
      </c>
      <c r="I181" s="15"/>
      <c r="J181" s="19" t="s">
        <v>59</v>
      </c>
      <c r="K181" s="19" t="s">
        <v>60</v>
      </c>
      <c r="L181" s="19" t="s">
        <v>38</v>
      </c>
      <c r="M181" s="20">
        <f t="shared" si="1"/>
        <v>1154.4</v>
      </c>
      <c r="N181" s="30" t="s">
        <v>79</v>
      </c>
      <c r="O181" s="31">
        <v>5.0</v>
      </c>
      <c r="P181" s="19" t="s">
        <v>107</v>
      </c>
      <c r="Q181" s="18"/>
      <c r="R181" s="18"/>
      <c r="S181" s="23">
        <v>20.0</v>
      </c>
      <c r="T181" s="23">
        <v>65.0</v>
      </c>
      <c r="U181" s="23">
        <f t="shared" si="2"/>
        <v>62.4</v>
      </c>
      <c r="V181" s="23">
        <f t="shared" si="3"/>
        <v>24.5</v>
      </c>
      <c r="W181" s="23">
        <f t="shared" si="4"/>
        <v>459.375</v>
      </c>
      <c r="X181" s="24">
        <f t="shared" si="5"/>
        <v>2.546938776</v>
      </c>
    </row>
    <row r="182" ht="39.0" customHeight="1">
      <c r="A182" s="15" t="s">
        <v>1047</v>
      </c>
      <c r="B182" s="15" t="s">
        <v>1048</v>
      </c>
      <c r="C182" s="16"/>
      <c r="D182" s="15" t="s">
        <v>1037</v>
      </c>
      <c r="E182" s="17" t="s">
        <v>1049</v>
      </c>
      <c r="F182" s="18"/>
      <c r="G182" s="15" t="s">
        <v>1050</v>
      </c>
      <c r="H182" s="15" t="s">
        <v>1051</v>
      </c>
      <c r="I182" s="18"/>
      <c r="J182" s="19" t="s">
        <v>36</v>
      </c>
      <c r="K182" s="19" t="s">
        <v>114</v>
      </c>
      <c r="L182" s="19" t="s">
        <v>115</v>
      </c>
      <c r="M182" s="20">
        <f t="shared" si="1"/>
        <v>3427.68</v>
      </c>
      <c r="N182" s="30" t="s">
        <v>79</v>
      </c>
      <c r="O182" s="31">
        <v>4.0</v>
      </c>
      <c r="P182" s="19" t="s">
        <v>107</v>
      </c>
      <c r="Q182" s="18"/>
      <c r="R182" s="18"/>
      <c r="S182" s="23">
        <v>60.0</v>
      </c>
      <c r="T182" s="23">
        <v>193.0</v>
      </c>
      <c r="U182" s="23">
        <f t="shared" si="2"/>
        <v>185.28</v>
      </c>
      <c r="V182" s="23">
        <f t="shared" si="3"/>
        <v>73.5</v>
      </c>
      <c r="W182" s="23">
        <f t="shared" si="4"/>
        <v>1378.125</v>
      </c>
      <c r="X182" s="24">
        <f t="shared" si="5"/>
        <v>2.520816327</v>
      </c>
    </row>
    <row r="183" ht="39.0" customHeight="1">
      <c r="A183" s="15" t="s">
        <v>1052</v>
      </c>
      <c r="B183" s="15" t="s">
        <v>1053</v>
      </c>
      <c r="C183" s="16"/>
      <c r="D183" s="15" t="s">
        <v>1054</v>
      </c>
      <c r="E183" s="17" t="s">
        <v>1055</v>
      </c>
      <c r="F183" s="18"/>
      <c r="G183" s="18"/>
      <c r="H183" s="15" t="s">
        <v>1056</v>
      </c>
      <c r="I183" s="18"/>
      <c r="J183" s="19" t="s">
        <v>702</v>
      </c>
      <c r="K183" s="19" t="s">
        <v>52</v>
      </c>
      <c r="L183" s="19" t="s">
        <v>52</v>
      </c>
      <c r="M183" s="20">
        <f t="shared" si="1"/>
        <v>3356.64</v>
      </c>
      <c r="N183" s="30"/>
      <c r="O183" s="31">
        <v>2.0</v>
      </c>
      <c r="P183" s="19" t="s">
        <v>107</v>
      </c>
      <c r="Q183" s="18"/>
      <c r="R183" s="18"/>
      <c r="S183" s="23">
        <v>60.0</v>
      </c>
      <c r="T183" s="23">
        <v>189.0</v>
      </c>
      <c r="U183" s="23">
        <f t="shared" si="2"/>
        <v>181.44</v>
      </c>
      <c r="V183" s="23">
        <f t="shared" si="3"/>
        <v>73.5</v>
      </c>
      <c r="W183" s="23">
        <f t="shared" si="4"/>
        <v>1378.125</v>
      </c>
      <c r="X183" s="24">
        <f t="shared" si="5"/>
        <v>2.468571429</v>
      </c>
    </row>
    <row r="184" ht="39.0" customHeight="1">
      <c r="A184" s="15" t="s">
        <v>1057</v>
      </c>
      <c r="B184" s="15" t="s">
        <v>1058</v>
      </c>
      <c r="C184" s="16" t="str">
        <f>IMAGE("https://i.ibb.co/KzWTFYMb/1238.png")</f>
        <v/>
      </c>
      <c r="D184" s="15" t="s">
        <v>1059</v>
      </c>
      <c r="E184" s="17" t="s">
        <v>1060</v>
      </c>
      <c r="F184" s="18"/>
      <c r="G184" s="15" t="s">
        <v>1061</v>
      </c>
      <c r="H184" s="15" t="s">
        <v>1062</v>
      </c>
      <c r="I184" s="18"/>
      <c r="J184" s="19" t="s">
        <v>59</v>
      </c>
      <c r="K184" s="19" t="s">
        <v>114</v>
      </c>
      <c r="L184" s="19" t="s">
        <v>115</v>
      </c>
      <c r="M184" s="20">
        <f t="shared" si="1"/>
        <v>2912.64</v>
      </c>
      <c r="N184" s="30"/>
      <c r="O184" s="31">
        <v>4.0</v>
      </c>
      <c r="P184" s="19" t="s">
        <v>107</v>
      </c>
      <c r="Q184" s="18"/>
      <c r="R184" s="18"/>
      <c r="S184" s="23">
        <v>55.0</v>
      </c>
      <c r="T184" s="23">
        <v>164.0</v>
      </c>
      <c r="U184" s="23">
        <f t="shared" si="2"/>
        <v>157.44</v>
      </c>
      <c r="V184" s="23">
        <f t="shared" si="3"/>
        <v>67.375</v>
      </c>
      <c r="W184" s="23">
        <f t="shared" si="4"/>
        <v>1263.28125</v>
      </c>
      <c r="X184" s="24">
        <f t="shared" si="5"/>
        <v>2.3367718</v>
      </c>
    </row>
    <row r="185" ht="39.0" customHeight="1">
      <c r="A185" s="15" t="s">
        <v>1063</v>
      </c>
      <c r="B185" s="15" t="s">
        <v>1064</v>
      </c>
      <c r="C185" s="16"/>
      <c r="D185" s="15" t="s">
        <v>1065</v>
      </c>
      <c r="E185" s="17" t="s">
        <v>1066</v>
      </c>
      <c r="F185" s="15" t="s">
        <v>1067</v>
      </c>
      <c r="G185" s="15" t="s">
        <v>1067</v>
      </c>
      <c r="H185" s="15" t="s">
        <v>1068</v>
      </c>
      <c r="I185" s="18"/>
      <c r="J185" s="19" t="s">
        <v>104</v>
      </c>
      <c r="K185" s="19" t="s">
        <v>831</v>
      </c>
      <c r="L185" s="19" t="s">
        <v>106</v>
      </c>
      <c r="M185" s="20">
        <f t="shared" si="1"/>
        <v>3250.08</v>
      </c>
      <c r="N185" s="30" t="s">
        <v>79</v>
      </c>
      <c r="O185" s="31">
        <v>50.0</v>
      </c>
      <c r="P185" s="19" t="s">
        <v>107</v>
      </c>
      <c r="Q185" s="18"/>
      <c r="R185" s="18"/>
      <c r="S185" s="23">
        <v>62.0</v>
      </c>
      <c r="T185" s="23">
        <v>183.0</v>
      </c>
      <c r="U185" s="23">
        <f t="shared" si="2"/>
        <v>175.68</v>
      </c>
      <c r="V185" s="23">
        <f t="shared" si="3"/>
        <v>75.95</v>
      </c>
      <c r="W185" s="23">
        <f t="shared" si="4"/>
        <v>1424.0625</v>
      </c>
      <c r="X185" s="24">
        <f t="shared" si="5"/>
        <v>2.313100724</v>
      </c>
    </row>
    <row r="186" ht="39.0" customHeight="1">
      <c r="A186" s="15" t="s">
        <v>1069</v>
      </c>
      <c r="B186" s="15" t="s">
        <v>1070</v>
      </c>
      <c r="C186" s="16"/>
      <c r="D186" s="15" t="s">
        <v>1071</v>
      </c>
      <c r="E186" s="17" t="s">
        <v>1072</v>
      </c>
      <c r="F186" s="18"/>
      <c r="G186" s="18"/>
      <c r="H186" s="15" t="s">
        <v>1073</v>
      </c>
      <c r="I186" s="15" t="s">
        <v>1074</v>
      </c>
      <c r="J186" s="19" t="s">
        <v>702</v>
      </c>
      <c r="K186" s="19" t="s">
        <v>52</v>
      </c>
      <c r="L186" s="19" t="s">
        <v>52</v>
      </c>
      <c r="M186" s="20">
        <f t="shared" si="1"/>
        <v>5470.08</v>
      </c>
      <c r="N186" s="30"/>
      <c r="O186" s="31">
        <v>2.0</v>
      </c>
      <c r="P186" s="19" t="s">
        <v>107</v>
      </c>
      <c r="Q186" s="18"/>
      <c r="R186" s="18"/>
      <c r="S186" s="23">
        <v>105.0</v>
      </c>
      <c r="T186" s="23">
        <v>308.0</v>
      </c>
      <c r="U186" s="23">
        <f t="shared" si="2"/>
        <v>295.68</v>
      </c>
      <c r="V186" s="23">
        <f t="shared" si="3"/>
        <v>128.625</v>
      </c>
      <c r="W186" s="23">
        <f t="shared" si="4"/>
        <v>2411.71875</v>
      </c>
      <c r="X186" s="24">
        <f t="shared" si="5"/>
        <v>2.29877551</v>
      </c>
    </row>
    <row r="187" ht="39.0" customHeight="1">
      <c r="A187" s="15" t="s">
        <v>1075</v>
      </c>
      <c r="B187" s="18" t="str">
        <f>CONCATENATE(7504589,A187)</f>
        <v>75045891238</v>
      </c>
      <c r="C187" s="16"/>
      <c r="D187" s="15" t="s">
        <v>1076</v>
      </c>
      <c r="E187" s="17" t="s">
        <v>1077</v>
      </c>
      <c r="F187" s="18"/>
      <c r="G187" s="18"/>
      <c r="H187" s="15" t="s">
        <v>1078</v>
      </c>
      <c r="I187" s="18"/>
      <c r="J187" s="19" t="s">
        <v>36</v>
      </c>
      <c r="K187" s="19" t="s">
        <v>60</v>
      </c>
      <c r="L187" s="19" t="s">
        <v>115</v>
      </c>
      <c r="M187" s="20">
        <f t="shared" si="1"/>
        <v>4138.08</v>
      </c>
      <c r="N187" s="30"/>
      <c r="O187" s="31">
        <v>4.0</v>
      </c>
      <c r="P187" s="19" t="s">
        <v>107</v>
      </c>
      <c r="Q187" s="18"/>
      <c r="R187" s="18"/>
      <c r="S187" s="23">
        <v>80.0</v>
      </c>
      <c r="T187" s="23">
        <v>233.0</v>
      </c>
      <c r="U187" s="23">
        <f t="shared" si="2"/>
        <v>223.68</v>
      </c>
      <c r="V187" s="23">
        <f t="shared" si="3"/>
        <v>98</v>
      </c>
      <c r="W187" s="23">
        <f t="shared" si="4"/>
        <v>1837.5</v>
      </c>
      <c r="X187" s="24">
        <f t="shared" si="5"/>
        <v>2.28244898</v>
      </c>
    </row>
    <row r="188" ht="39.0" customHeight="1">
      <c r="A188" s="15" t="s">
        <v>1079</v>
      </c>
      <c r="B188" s="15" t="s">
        <v>1080</v>
      </c>
      <c r="C188" s="16"/>
      <c r="D188" s="15" t="s">
        <v>1081</v>
      </c>
      <c r="E188" s="17" t="s">
        <v>1082</v>
      </c>
      <c r="F188" s="18"/>
      <c r="G188" s="18"/>
      <c r="H188" s="15" t="s">
        <v>1083</v>
      </c>
      <c r="I188" s="15"/>
      <c r="J188" s="19" t="s">
        <v>36</v>
      </c>
      <c r="K188" s="19" t="s">
        <v>60</v>
      </c>
      <c r="L188" s="19" t="s">
        <v>115</v>
      </c>
      <c r="M188" s="20">
        <f t="shared" si="1"/>
        <v>4138.08</v>
      </c>
      <c r="N188" s="30"/>
      <c r="O188" s="31">
        <v>4.0</v>
      </c>
      <c r="P188" s="19" t="s">
        <v>107</v>
      </c>
      <c r="Q188" s="18"/>
      <c r="R188" s="18"/>
      <c r="S188" s="23">
        <v>80.0</v>
      </c>
      <c r="T188" s="23">
        <v>233.0</v>
      </c>
      <c r="U188" s="23">
        <f t="shared" si="2"/>
        <v>223.68</v>
      </c>
      <c r="V188" s="23">
        <f t="shared" si="3"/>
        <v>98</v>
      </c>
      <c r="W188" s="23">
        <f t="shared" si="4"/>
        <v>1837.5</v>
      </c>
      <c r="X188" s="24">
        <f t="shared" si="5"/>
        <v>2.28244898</v>
      </c>
    </row>
    <row r="189" ht="39.0" customHeight="1">
      <c r="A189" s="15" t="s">
        <v>1084</v>
      </c>
      <c r="B189" s="15" t="s">
        <v>1085</v>
      </c>
      <c r="C189" s="16"/>
      <c r="D189" s="15" t="s">
        <v>1086</v>
      </c>
      <c r="E189" s="17" t="s">
        <v>1087</v>
      </c>
      <c r="F189" s="18"/>
      <c r="G189" s="18"/>
      <c r="H189" s="15" t="s">
        <v>1088</v>
      </c>
      <c r="I189" s="18"/>
      <c r="J189" s="19" t="s">
        <v>36</v>
      </c>
      <c r="K189" s="19" t="s">
        <v>52</v>
      </c>
      <c r="L189" s="19" t="s">
        <v>177</v>
      </c>
      <c r="M189" s="20">
        <f t="shared" si="1"/>
        <v>27385.92</v>
      </c>
      <c r="N189" s="30"/>
      <c r="O189" s="31">
        <v>2.0</v>
      </c>
      <c r="P189" s="19" t="s">
        <v>107</v>
      </c>
      <c r="Q189" s="18"/>
      <c r="R189" s="18"/>
      <c r="S189" s="23">
        <v>530.0</v>
      </c>
      <c r="T189" s="23">
        <v>1542.0</v>
      </c>
      <c r="U189" s="23">
        <f t="shared" si="2"/>
        <v>1480.32</v>
      </c>
      <c r="V189" s="23">
        <f t="shared" si="3"/>
        <v>649.25</v>
      </c>
      <c r="W189" s="23">
        <f t="shared" si="4"/>
        <v>12173.4375</v>
      </c>
      <c r="X189" s="24">
        <f t="shared" si="5"/>
        <v>2.280046207</v>
      </c>
    </row>
    <row r="190" ht="39.0" customHeight="1">
      <c r="A190" s="15" t="s">
        <v>1089</v>
      </c>
      <c r="B190" s="35" t="s">
        <v>1090</v>
      </c>
      <c r="C190" s="16"/>
      <c r="D190" s="15" t="s">
        <v>1091</v>
      </c>
      <c r="E190" s="17" t="s">
        <v>1092</v>
      </c>
      <c r="F190" s="18"/>
      <c r="G190" s="18"/>
      <c r="H190" s="15" t="s">
        <v>1093</v>
      </c>
      <c r="I190" s="18"/>
      <c r="J190" s="19" t="s">
        <v>702</v>
      </c>
      <c r="K190" s="19" t="s">
        <v>52</v>
      </c>
      <c r="L190" s="19" t="s">
        <v>177</v>
      </c>
      <c r="M190" s="20">
        <f t="shared" si="1"/>
        <v>3996</v>
      </c>
      <c r="N190" s="30"/>
      <c r="O190" s="31">
        <v>1.0</v>
      </c>
      <c r="P190" s="19" t="s">
        <v>107</v>
      </c>
      <c r="Q190" s="18"/>
      <c r="R190" s="18"/>
      <c r="S190" s="23">
        <v>80.0</v>
      </c>
      <c r="T190" s="23">
        <v>225.0</v>
      </c>
      <c r="U190" s="23">
        <f t="shared" si="2"/>
        <v>216</v>
      </c>
      <c r="V190" s="23">
        <f t="shared" si="3"/>
        <v>98</v>
      </c>
      <c r="W190" s="23">
        <f t="shared" si="4"/>
        <v>1837.5</v>
      </c>
      <c r="X190" s="24">
        <f t="shared" si="5"/>
        <v>2.204081633</v>
      </c>
    </row>
    <row r="191" ht="39.0" customHeight="1">
      <c r="A191" s="15" t="s">
        <v>1094</v>
      </c>
      <c r="B191" s="15" t="s">
        <v>1095</v>
      </c>
      <c r="C191" s="16"/>
      <c r="D191" s="15" t="s">
        <v>1096</v>
      </c>
      <c r="E191" s="17" t="s">
        <v>1097</v>
      </c>
      <c r="F191" s="18"/>
      <c r="G191" s="15" t="s">
        <v>1098</v>
      </c>
      <c r="H191" s="15" t="s">
        <v>1099</v>
      </c>
      <c r="I191" s="18"/>
      <c r="J191" s="19" t="s">
        <v>283</v>
      </c>
      <c r="K191" s="19" t="s">
        <v>105</v>
      </c>
      <c r="L191" s="19" t="s">
        <v>953</v>
      </c>
      <c r="M191" s="20">
        <f t="shared" si="1"/>
        <v>3950.0016</v>
      </c>
      <c r="N191" s="30" t="s">
        <v>79</v>
      </c>
      <c r="O191" s="31">
        <v>30.0</v>
      </c>
      <c r="P191" s="19" t="s">
        <v>107</v>
      </c>
      <c r="Q191" s="18"/>
      <c r="R191" s="18"/>
      <c r="S191" s="23">
        <v>80.0</v>
      </c>
      <c r="T191" s="23">
        <v>222.41</v>
      </c>
      <c r="U191" s="23">
        <f t="shared" si="2"/>
        <v>213.5136</v>
      </c>
      <c r="V191" s="23">
        <f t="shared" si="3"/>
        <v>98</v>
      </c>
      <c r="W191" s="23">
        <f t="shared" si="4"/>
        <v>1837.5</v>
      </c>
      <c r="X191" s="24">
        <f t="shared" si="5"/>
        <v>2.178710204</v>
      </c>
    </row>
    <row r="192" ht="39.0" customHeight="1">
      <c r="A192" s="15" t="s">
        <v>1089</v>
      </c>
      <c r="B192" s="15" t="s">
        <v>1100</v>
      </c>
      <c r="C192" s="16"/>
      <c r="D192" s="15" t="s">
        <v>1101</v>
      </c>
      <c r="E192" s="17" t="s">
        <v>1102</v>
      </c>
      <c r="F192" s="18"/>
      <c r="G192" s="18"/>
      <c r="H192" s="15" t="s">
        <v>1103</v>
      </c>
      <c r="I192" s="18"/>
      <c r="J192" s="19" t="s">
        <v>702</v>
      </c>
      <c r="K192" s="19" t="s">
        <v>52</v>
      </c>
      <c r="L192" s="19" t="s">
        <v>177</v>
      </c>
      <c r="M192" s="20">
        <f t="shared" si="1"/>
        <v>3356.64</v>
      </c>
      <c r="N192" s="30"/>
      <c r="O192" s="31">
        <v>2.0</v>
      </c>
      <c r="P192" s="19" t="s">
        <v>107</v>
      </c>
      <c r="Q192" s="18"/>
      <c r="R192" s="18"/>
      <c r="S192" s="23">
        <v>70.0</v>
      </c>
      <c r="T192" s="23">
        <v>189.0</v>
      </c>
      <c r="U192" s="23">
        <f t="shared" si="2"/>
        <v>181.44</v>
      </c>
      <c r="V192" s="23">
        <f t="shared" si="3"/>
        <v>85.75</v>
      </c>
      <c r="W192" s="23">
        <f t="shared" si="4"/>
        <v>1607.8125</v>
      </c>
      <c r="X192" s="24">
        <f t="shared" si="5"/>
        <v>2.115918367</v>
      </c>
    </row>
    <row r="193" ht="39.0" customHeight="1">
      <c r="A193" s="15" t="s">
        <v>1104</v>
      </c>
      <c r="B193" s="15" t="s">
        <v>1105</v>
      </c>
      <c r="C193" s="16"/>
      <c r="D193" s="15" t="s">
        <v>1106</v>
      </c>
      <c r="E193" s="17" t="s">
        <v>1107</v>
      </c>
      <c r="F193" s="18"/>
      <c r="G193" s="15" t="s">
        <v>1108</v>
      </c>
      <c r="H193" s="15" t="s">
        <v>1109</v>
      </c>
      <c r="I193" s="18"/>
      <c r="J193" s="19" t="s">
        <v>36</v>
      </c>
      <c r="K193" s="19" t="s">
        <v>60</v>
      </c>
      <c r="L193" s="19" t="s">
        <v>177</v>
      </c>
      <c r="M193" s="20">
        <f t="shared" si="1"/>
        <v>3853.92</v>
      </c>
      <c r="N193" s="30"/>
      <c r="O193" s="31">
        <v>3.0</v>
      </c>
      <c r="P193" s="19" t="s">
        <v>107</v>
      </c>
      <c r="Q193" s="18"/>
      <c r="R193" s="18"/>
      <c r="S193" s="23">
        <v>82.0</v>
      </c>
      <c r="T193" s="23">
        <v>217.0</v>
      </c>
      <c r="U193" s="23">
        <f t="shared" si="2"/>
        <v>208.32</v>
      </c>
      <c r="V193" s="23">
        <f t="shared" si="3"/>
        <v>100.45</v>
      </c>
      <c r="W193" s="23">
        <f t="shared" si="4"/>
        <v>1883.4375</v>
      </c>
      <c r="X193" s="24">
        <f t="shared" si="5"/>
        <v>2.073867596</v>
      </c>
    </row>
    <row r="194" ht="39.0" customHeight="1">
      <c r="A194" s="15" t="s">
        <v>1110</v>
      </c>
      <c r="B194" s="15" t="s">
        <v>1111</v>
      </c>
      <c r="C194" s="15" t="s">
        <v>1112</v>
      </c>
      <c r="D194" s="15" t="s">
        <v>1113</v>
      </c>
      <c r="E194" s="17" t="s">
        <v>1114</v>
      </c>
      <c r="F194" s="18"/>
      <c r="G194" s="15" t="s">
        <v>1115</v>
      </c>
      <c r="H194" s="15" t="s">
        <v>1116</v>
      </c>
      <c r="I194" s="18"/>
      <c r="J194" s="19" t="s">
        <v>104</v>
      </c>
      <c r="K194" s="19" t="s">
        <v>160</v>
      </c>
      <c r="L194" s="19" t="s">
        <v>106</v>
      </c>
      <c r="M194" s="20">
        <f t="shared" si="1"/>
        <v>1154.4</v>
      </c>
      <c r="N194" s="30" t="s">
        <v>79</v>
      </c>
      <c r="O194" s="31">
        <v>10.0</v>
      </c>
      <c r="P194" s="19" t="s">
        <v>107</v>
      </c>
      <c r="Q194" s="18"/>
      <c r="R194" s="18"/>
      <c r="S194" s="23">
        <v>25.0</v>
      </c>
      <c r="T194" s="23">
        <v>65.0</v>
      </c>
      <c r="U194" s="23">
        <f t="shared" si="2"/>
        <v>62.4</v>
      </c>
      <c r="V194" s="23">
        <f t="shared" si="3"/>
        <v>30.625</v>
      </c>
      <c r="W194" s="23">
        <f t="shared" si="4"/>
        <v>574.21875</v>
      </c>
      <c r="X194" s="24">
        <f t="shared" si="5"/>
        <v>2.03755102</v>
      </c>
    </row>
    <row r="195" ht="39.0" customHeight="1">
      <c r="A195" s="15" t="s">
        <v>1117</v>
      </c>
      <c r="B195" s="15" t="s">
        <v>1118</v>
      </c>
      <c r="C195" s="15" t="s">
        <v>1119</v>
      </c>
      <c r="D195" s="15" t="s">
        <v>1120</v>
      </c>
      <c r="E195" s="17" t="s">
        <v>1121</v>
      </c>
      <c r="F195" s="18"/>
      <c r="G195" s="18"/>
      <c r="H195" s="15" t="s">
        <v>1122</v>
      </c>
      <c r="I195" s="18"/>
      <c r="J195" s="19" t="s">
        <v>702</v>
      </c>
      <c r="K195" s="19" t="s">
        <v>52</v>
      </c>
      <c r="L195" s="19" t="s">
        <v>177</v>
      </c>
      <c r="M195" s="20">
        <f t="shared" si="1"/>
        <v>3090.24</v>
      </c>
      <c r="N195" s="30"/>
      <c r="O195" s="31">
        <v>2.0</v>
      </c>
      <c r="P195" s="19" t="s">
        <v>107</v>
      </c>
      <c r="Q195" s="18"/>
      <c r="R195" s="18"/>
      <c r="S195" s="23">
        <v>70.0</v>
      </c>
      <c r="T195" s="23">
        <v>174.0</v>
      </c>
      <c r="U195" s="23">
        <f t="shared" si="2"/>
        <v>167.04</v>
      </c>
      <c r="V195" s="23">
        <f t="shared" si="3"/>
        <v>85.75</v>
      </c>
      <c r="W195" s="23">
        <f t="shared" si="4"/>
        <v>1607.8125</v>
      </c>
      <c r="X195" s="24">
        <f t="shared" si="5"/>
        <v>1.947988338</v>
      </c>
    </row>
    <row r="196" ht="39.0" customHeight="1">
      <c r="A196" s="15" t="s">
        <v>1123</v>
      </c>
      <c r="B196" s="18" t="str">
        <f>CONCATENATE(7504589,A196)</f>
        <v>75045891949</v>
      </c>
      <c r="C196" s="15" t="s">
        <v>1124</v>
      </c>
      <c r="D196" s="15" t="s">
        <v>1125</v>
      </c>
      <c r="E196" s="17" t="s">
        <v>1126</v>
      </c>
      <c r="F196" s="18"/>
      <c r="G196" s="18"/>
      <c r="H196" s="15" t="s">
        <v>1127</v>
      </c>
      <c r="I196" s="15" t="s">
        <v>1128</v>
      </c>
      <c r="J196" s="19" t="s">
        <v>36</v>
      </c>
      <c r="K196" s="19" t="s">
        <v>52</v>
      </c>
      <c r="L196" s="19" t="s">
        <v>775</v>
      </c>
      <c r="M196" s="20">
        <f t="shared" si="1"/>
        <v>923.52</v>
      </c>
      <c r="N196" s="30"/>
      <c r="O196" s="31">
        <v>4.0</v>
      </c>
      <c r="P196" s="19" t="s">
        <v>107</v>
      </c>
      <c r="Q196" s="18"/>
      <c r="R196" s="18"/>
      <c r="S196" s="23">
        <v>22.0</v>
      </c>
      <c r="T196" s="23">
        <v>52.0</v>
      </c>
      <c r="U196" s="23">
        <f t="shared" si="2"/>
        <v>49.92</v>
      </c>
      <c r="V196" s="23">
        <f t="shared" si="3"/>
        <v>26.95</v>
      </c>
      <c r="W196" s="23">
        <f t="shared" si="4"/>
        <v>505.3125</v>
      </c>
      <c r="X196" s="24">
        <f t="shared" si="5"/>
        <v>1.852319109</v>
      </c>
    </row>
    <row r="197" ht="39.0" customHeight="1">
      <c r="A197" s="15" t="s">
        <v>1129</v>
      </c>
      <c r="B197" s="15" t="s">
        <v>1130</v>
      </c>
      <c r="C197" s="15" t="s">
        <v>1131</v>
      </c>
      <c r="D197" s="15" t="s">
        <v>1132</v>
      </c>
      <c r="E197" s="17" t="s">
        <v>1133</v>
      </c>
      <c r="F197" s="18"/>
      <c r="G197" s="15" t="s">
        <v>1007</v>
      </c>
      <c r="H197" s="15" t="s">
        <v>1134</v>
      </c>
      <c r="I197" s="18"/>
      <c r="J197" s="19" t="s">
        <v>104</v>
      </c>
      <c r="K197" s="19" t="s">
        <v>160</v>
      </c>
      <c r="L197" s="19" t="s">
        <v>106</v>
      </c>
      <c r="M197" s="20">
        <f t="shared" si="1"/>
        <v>1545.12</v>
      </c>
      <c r="N197" s="30"/>
      <c r="O197" s="31">
        <v>30.0</v>
      </c>
      <c r="P197" s="19" t="s">
        <v>107</v>
      </c>
      <c r="Q197" s="18"/>
      <c r="R197" s="18"/>
      <c r="S197" s="23">
        <v>38.0</v>
      </c>
      <c r="T197" s="23">
        <v>87.0</v>
      </c>
      <c r="U197" s="23">
        <f t="shared" si="2"/>
        <v>83.52</v>
      </c>
      <c r="V197" s="23">
        <f t="shared" si="3"/>
        <v>46.55</v>
      </c>
      <c r="W197" s="23">
        <f t="shared" si="4"/>
        <v>872.8125</v>
      </c>
      <c r="X197" s="24">
        <f t="shared" si="5"/>
        <v>1.794199785</v>
      </c>
    </row>
    <row r="198" ht="39.0" customHeight="1">
      <c r="A198" s="15" t="s">
        <v>1135</v>
      </c>
      <c r="B198" s="15" t="s">
        <v>1136</v>
      </c>
      <c r="C198" s="15" t="s">
        <v>1137</v>
      </c>
      <c r="D198" s="15" t="s">
        <v>1138</v>
      </c>
      <c r="E198" s="17" t="s">
        <v>1139</v>
      </c>
      <c r="F198" s="18"/>
      <c r="G198" s="18"/>
      <c r="H198" s="15" t="s">
        <v>1140</v>
      </c>
      <c r="I198" s="18"/>
      <c r="J198" s="19" t="s">
        <v>59</v>
      </c>
      <c r="K198" s="19" t="s">
        <v>52</v>
      </c>
      <c r="L198" s="19" t="s">
        <v>52</v>
      </c>
      <c r="M198" s="20">
        <f t="shared" si="1"/>
        <v>177.6</v>
      </c>
      <c r="N198" s="30" t="s">
        <v>68</v>
      </c>
      <c r="O198" s="31">
        <v>6.0</v>
      </c>
      <c r="P198" s="19" t="s">
        <v>107</v>
      </c>
      <c r="Q198" s="18"/>
      <c r="R198" s="18"/>
      <c r="S198" s="23">
        <v>5.0</v>
      </c>
      <c r="T198" s="23">
        <v>10.0</v>
      </c>
      <c r="U198" s="23">
        <f t="shared" si="2"/>
        <v>9.6</v>
      </c>
      <c r="V198" s="23">
        <f t="shared" si="3"/>
        <v>6.125</v>
      </c>
      <c r="W198" s="23">
        <f t="shared" si="4"/>
        <v>114.84375</v>
      </c>
      <c r="X198" s="24">
        <f t="shared" si="5"/>
        <v>1.567346939</v>
      </c>
    </row>
    <row r="199">
      <c r="A199" s="15" t="s">
        <v>1141</v>
      </c>
      <c r="B199" s="18"/>
      <c r="C199" s="16" t="str">
        <f>IMAGE("https://i.ibb.co/SD2n2ppY/1005.png")</f>
        <v/>
      </c>
      <c r="D199" s="15" t="s">
        <v>1142</v>
      </c>
      <c r="E199" s="17" t="s">
        <v>1143</v>
      </c>
      <c r="F199" s="18"/>
      <c r="G199" s="18"/>
      <c r="H199" s="15" t="s">
        <v>1144</v>
      </c>
      <c r="I199" s="18"/>
      <c r="J199" s="19" t="s">
        <v>283</v>
      </c>
      <c r="K199" s="19" t="s">
        <v>402</v>
      </c>
      <c r="L199" s="19" t="s">
        <v>38</v>
      </c>
      <c r="M199" s="20">
        <f t="shared" si="1"/>
        <v>0</v>
      </c>
      <c r="N199" s="21"/>
      <c r="O199" s="22"/>
      <c r="P199" s="19" t="s">
        <v>1145</v>
      </c>
      <c r="Q199" s="18"/>
      <c r="R199" s="18"/>
      <c r="S199" s="23">
        <v>0.0</v>
      </c>
      <c r="T199" s="23">
        <v>0.0</v>
      </c>
      <c r="U199" s="23">
        <f t="shared" si="2"/>
        <v>0</v>
      </c>
      <c r="V199" s="23">
        <f t="shared" si="3"/>
        <v>0</v>
      </c>
      <c r="W199" s="23">
        <f t="shared" si="4"/>
        <v>0</v>
      </c>
      <c r="X199" s="24" t="str">
        <f t="shared" si="5"/>
        <v>#DIV/0!</v>
      </c>
    </row>
    <row r="200">
      <c r="A200" s="15" t="s">
        <v>1146</v>
      </c>
      <c r="B200" s="18"/>
      <c r="C200" s="16" t="str">
        <f>IMAGE("https://i.ibb.co/PvSs61zQ/1007.png")</f>
        <v/>
      </c>
      <c r="D200" s="18"/>
      <c r="E200" s="17" t="s">
        <v>1147</v>
      </c>
      <c r="F200" s="18"/>
      <c r="G200" s="18"/>
      <c r="H200" s="15" t="s">
        <v>1148</v>
      </c>
      <c r="I200" s="18"/>
      <c r="J200" s="19" t="s">
        <v>283</v>
      </c>
      <c r="K200" s="19" t="s">
        <v>284</v>
      </c>
      <c r="L200" s="19" t="s">
        <v>38</v>
      </c>
      <c r="M200" s="20">
        <f t="shared" si="1"/>
        <v>0</v>
      </c>
      <c r="N200" s="21"/>
      <c r="O200" s="22"/>
      <c r="P200" s="19" t="s">
        <v>1145</v>
      </c>
      <c r="Q200" s="18"/>
      <c r="R200" s="18"/>
      <c r="S200" s="23">
        <v>0.0</v>
      </c>
      <c r="T200" s="23">
        <v>0.0</v>
      </c>
      <c r="U200" s="23">
        <f t="shared" si="2"/>
        <v>0</v>
      </c>
      <c r="V200" s="23">
        <f t="shared" si="3"/>
        <v>0</v>
      </c>
      <c r="W200" s="23">
        <f t="shared" si="4"/>
        <v>0</v>
      </c>
      <c r="X200" s="24" t="str">
        <f t="shared" si="5"/>
        <v>#DIV/0!</v>
      </c>
    </row>
    <row r="201">
      <c r="A201" s="15" t="s">
        <v>1149</v>
      </c>
      <c r="B201" s="18"/>
      <c r="C201" s="16" t="str">
        <f>IMAGE("https://i.ibb.co/9khnFDvj/1012.png")</f>
        <v/>
      </c>
      <c r="D201" s="18"/>
      <c r="E201" s="17" t="s">
        <v>1150</v>
      </c>
      <c r="F201" s="18"/>
      <c r="G201" s="18"/>
      <c r="H201" s="15" t="s">
        <v>1151</v>
      </c>
      <c r="I201" s="18"/>
      <c r="J201" s="19" t="s">
        <v>283</v>
      </c>
      <c r="K201" s="19" t="s">
        <v>603</v>
      </c>
      <c r="L201" s="19" t="s">
        <v>38</v>
      </c>
      <c r="M201" s="20">
        <f t="shared" si="1"/>
        <v>0</v>
      </c>
      <c r="N201" s="21"/>
      <c r="O201" s="22"/>
      <c r="P201" s="19" t="s">
        <v>1145</v>
      </c>
      <c r="Q201" s="18"/>
      <c r="R201" s="18"/>
      <c r="S201" s="23">
        <v>0.0</v>
      </c>
      <c r="T201" s="23">
        <v>0.0</v>
      </c>
      <c r="U201" s="23">
        <f t="shared" si="2"/>
        <v>0</v>
      </c>
      <c r="V201" s="23">
        <f t="shared" si="3"/>
        <v>0</v>
      </c>
      <c r="W201" s="23">
        <f t="shared" si="4"/>
        <v>0</v>
      </c>
      <c r="X201" s="24" t="str">
        <f t="shared" si="5"/>
        <v>#DIV/0!</v>
      </c>
    </row>
    <row r="202">
      <c r="A202" s="15" t="s">
        <v>1152</v>
      </c>
      <c r="B202" s="18"/>
      <c r="C202" s="16" t="str">
        <f>IMAGE("https://i.ibb.co/hFky13Jz/1020.png")</f>
        <v/>
      </c>
      <c r="D202" s="18"/>
      <c r="E202" s="17" t="s">
        <v>1153</v>
      </c>
      <c r="F202" s="18"/>
      <c r="G202" s="18"/>
      <c r="H202" s="15" t="s">
        <v>1154</v>
      </c>
      <c r="I202" s="18"/>
      <c r="J202" s="19" t="s">
        <v>283</v>
      </c>
      <c r="K202" s="19" t="s">
        <v>105</v>
      </c>
      <c r="L202" s="19" t="s">
        <v>38</v>
      </c>
      <c r="M202" s="20">
        <f t="shared" si="1"/>
        <v>0</v>
      </c>
      <c r="N202" s="21"/>
      <c r="O202" s="22"/>
      <c r="P202" s="19" t="s">
        <v>1145</v>
      </c>
      <c r="Q202" s="18"/>
      <c r="R202" s="18"/>
      <c r="S202" s="23">
        <v>0.0</v>
      </c>
      <c r="T202" s="23">
        <v>0.0</v>
      </c>
      <c r="U202" s="23">
        <f t="shared" si="2"/>
        <v>0</v>
      </c>
      <c r="V202" s="23">
        <f t="shared" si="3"/>
        <v>0</v>
      </c>
      <c r="W202" s="23">
        <f t="shared" si="4"/>
        <v>0</v>
      </c>
      <c r="X202" s="24" t="str">
        <f t="shared" si="5"/>
        <v>#DIV/0!</v>
      </c>
    </row>
    <row r="203">
      <c r="A203" s="15" t="s">
        <v>1155</v>
      </c>
      <c r="B203" s="18"/>
      <c r="C203" s="16" t="str">
        <f t="shared" ref="C203:C214" si="8">IMAGE("https://i.ibb.co/Fb0c7zTm/1022.png")</f>
        <v/>
      </c>
      <c r="D203" s="18"/>
      <c r="E203" s="17" t="s">
        <v>470</v>
      </c>
      <c r="F203" s="18"/>
      <c r="G203" s="18"/>
      <c r="H203" s="15" t="s">
        <v>1156</v>
      </c>
      <c r="I203" s="18"/>
      <c r="J203" s="19" t="s">
        <v>283</v>
      </c>
      <c r="K203" s="19" t="s">
        <v>284</v>
      </c>
      <c r="L203" s="19" t="s">
        <v>38</v>
      </c>
      <c r="M203" s="20">
        <f t="shared" si="1"/>
        <v>0</v>
      </c>
      <c r="N203" s="30"/>
      <c r="O203" s="31">
        <v>5.0</v>
      </c>
      <c r="P203" s="19" t="s">
        <v>1145</v>
      </c>
      <c r="Q203" s="18"/>
      <c r="R203" s="18"/>
      <c r="S203" s="23">
        <v>0.0</v>
      </c>
      <c r="T203" s="23">
        <v>0.0</v>
      </c>
      <c r="U203" s="23">
        <f t="shared" si="2"/>
        <v>0</v>
      </c>
      <c r="V203" s="23">
        <f t="shared" si="3"/>
        <v>0</v>
      </c>
      <c r="W203" s="23">
        <f t="shared" si="4"/>
        <v>0</v>
      </c>
      <c r="X203" s="24" t="str">
        <f t="shared" si="5"/>
        <v>#DIV/0!</v>
      </c>
    </row>
    <row r="204">
      <c r="A204" s="15" t="s">
        <v>1157</v>
      </c>
      <c r="B204" s="18"/>
      <c r="C204" s="16" t="str">
        <f t="shared" si="8"/>
        <v/>
      </c>
      <c r="D204" s="18"/>
      <c r="E204" s="17" t="s">
        <v>579</v>
      </c>
      <c r="F204" s="18"/>
      <c r="G204" s="18"/>
      <c r="H204" s="15" t="s">
        <v>1158</v>
      </c>
      <c r="I204" s="18"/>
      <c r="J204" s="19" t="s">
        <v>283</v>
      </c>
      <c r="K204" s="19" t="s">
        <v>284</v>
      </c>
      <c r="L204" s="19" t="s">
        <v>38</v>
      </c>
      <c r="M204" s="20">
        <f t="shared" si="1"/>
        <v>0</v>
      </c>
      <c r="N204" s="21"/>
      <c r="O204" s="22"/>
      <c r="P204" s="19" t="s">
        <v>1145</v>
      </c>
      <c r="Q204" s="18"/>
      <c r="R204" s="18"/>
      <c r="S204" s="23">
        <v>0.0</v>
      </c>
      <c r="T204" s="23">
        <v>0.0</v>
      </c>
      <c r="U204" s="23">
        <f t="shared" si="2"/>
        <v>0</v>
      </c>
      <c r="V204" s="23">
        <f t="shared" si="3"/>
        <v>0</v>
      </c>
      <c r="W204" s="23">
        <f t="shared" si="4"/>
        <v>0</v>
      </c>
      <c r="X204" s="24" t="str">
        <f t="shared" si="5"/>
        <v>#DIV/0!</v>
      </c>
    </row>
    <row r="205">
      <c r="A205" s="15" t="s">
        <v>1159</v>
      </c>
      <c r="B205" s="18"/>
      <c r="C205" s="16" t="str">
        <f t="shared" si="8"/>
        <v/>
      </c>
      <c r="D205" s="18"/>
      <c r="E205" s="17" t="s">
        <v>1160</v>
      </c>
      <c r="F205" s="18"/>
      <c r="G205" s="18"/>
      <c r="H205" s="15" t="s">
        <v>1161</v>
      </c>
      <c r="I205" s="18"/>
      <c r="J205" s="19" t="s">
        <v>283</v>
      </c>
      <c r="K205" s="19" t="s">
        <v>284</v>
      </c>
      <c r="L205" s="19" t="s">
        <v>38</v>
      </c>
      <c r="M205" s="20">
        <f t="shared" si="1"/>
        <v>0</v>
      </c>
      <c r="N205" s="21"/>
      <c r="O205" s="22"/>
      <c r="P205" s="19" t="s">
        <v>1145</v>
      </c>
      <c r="Q205" s="18"/>
      <c r="R205" s="18"/>
      <c r="S205" s="23">
        <v>0.0</v>
      </c>
      <c r="T205" s="23">
        <v>0.0</v>
      </c>
      <c r="U205" s="23">
        <f t="shared" si="2"/>
        <v>0</v>
      </c>
      <c r="V205" s="23">
        <f t="shared" si="3"/>
        <v>0</v>
      </c>
      <c r="W205" s="23">
        <f t="shared" si="4"/>
        <v>0</v>
      </c>
      <c r="X205" s="24" t="str">
        <f t="shared" si="5"/>
        <v>#DIV/0!</v>
      </c>
    </row>
    <row r="206">
      <c r="A206" s="15" t="s">
        <v>1162</v>
      </c>
      <c r="B206" s="18"/>
      <c r="C206" s="16" t="str">
        <f t="shared" si="8"/>
        <v/>
      </c>
      <c r="D206" s="18"/>
      <c r="E206" s="17" t="s">
        <v>1163</v>
      </c>
      <c r="F206" s="18"/>
      <c r="G206" s="18"/>
      <c r="H206" s="15" t="s">
        <v>1164</v>
      </c>
      <c r="I206" s="18"/>
      <c r="J206" s="19" t="s">
        <v>283</v>
      </c>
      <c r="K206" s="19" t="s">
        <v>284</v>
      </c>
      <c r="L206" s="19" t="s">
        <v>38</v>
      </c>
      <c r="M206" s="20">
        <f t="shared" si="1"/>
        <v>0</v>
      </c>
      <c r="N206" s="21"/>
      <c r="O206" s="22"/>
      <c r="P206" s="19" t="s">
        <v>1145</v>
      </c>
      <c r="Q206" s="18"/>
      <c r="R206" s="18"/>
      <c r="S206" s="23">
        <v>0.0</v>
      </c>
      <c r="T206" s="23">
        <v>0.0</v>
      </c>
      <c r="U206" s="23">
        <f t="shared" si="2"/>
        <v>0</v>
      </c>
      <c r="V206" s="23">
        <f t="shared" si="3"/>
        <v>0</v>
      </c>
      <c r="W206" s="23">
        <f t="shared" si="4"/>
        <v>0</v>
      </c>
      <c r="X206" s="24" t="str">
        <f t="shared" si="5"/>
        <v>#DIV/0!</v>
      </c>
    </row>
    <row r="207">
      <c r="A207" s="15" t="s">
        <v>1165</v>
      </c>
      <c r="B207" s="18"/>
      <c r="C207" s="16" t="str">
        <f t="shared" si="8"/>
        <v/>
      </c>
      <c r="D207" s="18"/>
      <c r="E207" s="17" t="s">
        <v>1166</v>
      </c>
      <c r="F207" s="18"/>
      <c r="G207" s="18"/>
      <c r="H207" s="15" t="s">
        <v>1167</v>
      </c>
      <c r="I207" s="18"/>
      <c r="J207" s="19" t="s">
        <v>283</v>
      </c>
      <c r="K207" s="19" t="s">
        <v>284</v>
      </c>
      <c r="L207" s="19" t="s">
        <v>38</v>
      </c>
      <c r="M207" s="20">
        <f t="shared" si="1"/>
        <v>0</v>
      </c>
      <c r="N207" s="21"/>
      <c r="O207" s="22"/>
      <c r="P207" s="19" t="s">
        <v>1145</v>
      </c>
      <c r="Q207" s="18"/>
      <c r="R207" s="18"/>
      <c r="S207" s="23">
        <v>0.0</v>
      </c>
      <c r="T207" s="23">
        <v>0.0</v>
      </c>
      <c r="U207" s="23">
        <f t="shared" si="2"/>
        <v>0</v>
      </c>
      <c r="V207" s="23">
        <f t="shared" si="3"/>
        <v>0</v>
      </c>
      <c r="W207" s="23">
        <f t="shared" si="4"/>
        <v>0</v>
      </c>
      <c r="X207" s="24" t="str">
        <f t="shared" si="5"/>
        <v>#DIV/0!</v>
      </c>
    </row>
    <row r="208">
      <c r="A208" s="15" t="s">
        <v>1168</v>
      </c>
      <c r="B208" s="18"/>
      <c r="C208" s="16" t="str">
        <f t="shared" si="8"/>
        <v/>
      </c>
      <c r="D208" s="18"/>
      <c r="E208" s="17" t="s">
        <v>1169</v>
      </c>
      <c r="F208" s="18"/>
      <c r="G208" s="18"/>
      <c r="H208" s="15" t="s">
        <v>1170</v>
      </c>
      <c r="I208" s="18"/>
      <c r="J208" s="19" t="s">
        <v>283</v>
      </c>
      <c r="K208" s="19" t="s">
        <v>284</v>
      </c>
      <c r="L208" s="19" t="s">
        <v>38</v>
      </c>
      <c r="M208" s="20">
        <f t="shared" si="1"/>
        <v>0</v>
      </c>
      <c r="N208" s="21"/>
      <c r="O208" s="22"/>
      <c r="P208" s="19" t="s">
        <v>1145</v>
      </c>
      <c r="Q208" s="18"/>
      <c r="R208" s="18"/>
      <c r="S208" s="23">
        <v>0.0</v>
      </c>
      <c r="T208" s="23">
        <v>0.0</v>
      </c>
      <c r="U208" s="23">
        <f t="shared" si="2"/>
        <v>0</v>
      </c>
      <c r="V208" s="23">
        <f t="shared" si="3"/>
        <v>0</v>
      </c>
      <c r="W208" s="23">
        <f t="shared" si="4"/>
        <v>0</v>
      </c>
      <c r="X208" s="24" t="str">
        <f t="shared" si="5"/>
        <v>#DIV/0!</v>
      </c>
    </row>
    <row r="209">
      <c r="A209" s="15" t="s">
        <v>1171</v>
      </c>
      <c r="B209" s="18"/>
      <c r="C209" s="16" t="str">
        <f t="shared" si="8"/>
        <v/>
      </c>
      <c r="D209" s="18"/>
      <c r="E209" s="17" t="s">
        <v>1169</v>
      </c>
      <c r="F209" s="18"/>
      <c r="G209" s="18"/>
      <c r="H209" s="15" t="s">
        <v>1167</v>
      </c>
      <c r="I209" s="18"/>
      <c r="J209" s="19" t="s">
        <v>283</v>
      </c>
      <c r="K209" s="19" t="s">
        <v>284</v>
      </c>
      <c r="L209" s="19" t="s">
        <v>38</v>
      </c>
      <c r="M209" s="20">
        <f t="shared" si="1"/>
        <v>0</v>
      </c>
      <c r="N209" s="21"/>
      <c r="O209" s="22"/>
      <c r="P209" s="19" t="s">
        <v>1145</v>
      </c>
      <c r="Q209" s="18"/>
      <c r="R209" s="18"/>
      <c r="S209" s="23">
        <v>0.0</v>
      </c>
      <c r="T209" s="23">
        <v>0.0</v>
      </c>
      <c r="U209" s="23">
        <f t="shared" si="2"/>
        <v>0</v>
      </c>
      <c r="V209" s="23">
        <f t="shared" si="3"/>
        <v>0</v>
      </c>
      <c r="W209" s="23">
        <f t="shared" si="4"/>
        <v>0</v>
      </c>
      <c r="X209" s="24" t="str">
        <f t="shared" si="5"/>
        <v>#DIV/0!</v>
      </c>
    </row>
    <row r="210">
      <c r="A210" s="15" t="s">
        <v>1172</v>
      </c>
      <c r="B210" s="18"/>
      <c r="C210" s="16" t="str">
        <f t="shared" si="8"/>
        <v/>
      </c>
      <c r="D210" s="18"/>
      <c r="E210" s="17" t="s">
        <v>1173</v>
      </c>
      <c r="F210" s="18"/>
      <c r="G210" s="18"/>
      <c r="H210" s="15" t="s">
        <v>1174</v>
      </c>
      <c r="I210" s="18"/>
      <c r="J210" s="19" t="s">
        <v>283</v>
      </c>
      <c r="K210" s="19" t="s">
        <v>284</v>
      </c>
      <c r="L210" s="19" t="s">
        <v>38</v>
      </c>
      <c r="M210" s="20">
        <f t="shared" si="1"/>
        <v>0</v>
      </c>
      <c r="N210" s="21"/>
      <c r="O210" s="22"/>
      <c r="P210" s="19" t="s">
        <v>1145</v>
      </c>
      <c r="Q210" s="18"/>
      <c r="R210" s="18"/>
      <c r="S210" s="23">
        <v>0.0</v>
      </c>
      <c r="T210" s="23">
        <v>0.0</v>
      </c>
      <c r="U210" s="23">
        <f t="shared" si="2"/>
        <v>0</v>
      </c>
      <c r="V210" s="23">
        <f t="shared" si="3"/>
        <v>0</v>
      </c>
      <c r="W210" s="23">
        <f t="shared" si="4"/>
        <v>0</v>
      </c>
      <c r="X210" s="24" t="str">
        <f t="shared" si="5"/>
        <v>#DIV/0!</v>
      </c>
    </row>
    <row r="211">
      <c r="A211" s="15" t="s">
        <v>1175</v>
      </c>
      <c r="B211" s="18"/>
      <c r="C211" s="16" t="str">
        <f t="shared" si="8"/>
        <v/>
      </c>
      <c r="D211" s="18"/>
      <c r="E211" s="17" t="s">
        <v>519</v>
      </c>
      <c r="F211" s="18"/>
      <c r="G211" s="18"/>
      <c r="H211" s="15" t="s">
        <v>1176</v>
      </c>
      <c r="I211" s="18"/>
      <c r="J211" s="19" t="s">
        <v>283</v>
      </c>
      <c r="K211" s="19" t="s">
        <v>284</v>
      </c>
      <c r="L211" s="19" t="s">
        <v>38</v>
      </c>
      <c r="M211" s="20">
        <f t="shared" si="1"/>
        <v>0</v>
      </c>
      <c r="N211" s="21"/>
      <c r="O211" s="22"/>
      <c r="P211" s="19" t="s">
        <v>1145</v>
      </c>
      <c r="Q211" s="18"/>
      <c r="R211" s="18"/>
      <c r="S211" s="23">
        <v>0.0</v>
      </c>
      <c r="T211" s="23">
        <v>0.0</v>
      </c>
      <c r="U211" s="23">
        <f t="shared" si="2"/>
        <v>0</v>
      </c>
      <c r="V211" s="23">
        <f t="shared" si="3"/>
        <v>0</v>
      </c>
      <c r="W211" s="23">
        <f t="shared" si="4"/>
        <v>0</v>
      </c>
      <c r="X211" s="24" t="str">
        <f t="shared" si="5"/>
        <v>#DIV/0!</v>
      </c>
    </row>
    <row r="212">
      <c r="A212" s="15" t="s">
        <v>1177</v>
      </c>
      <c r="B212" s="18"/>
      <c r="C212" s="16" t="str">
        <f t="shared" si="8"/>
        <v/>
      </c>
      <c r="D212" s="18"/>
      <c r="E212" s="17" t="s">
        <v>408</v>
      </c>
      <c r="F212" s="18"/>
      <c r="G212" s="18"/>
      <c r="H212" s="15" t="s">
        <v>1176</v>
      </c>
      <c r="I212" s="18"/>
      <c r="J212" s="19" t="s">
        <v>283</v>
      </c>
      <c r="K212" s="19" t="s">
        <v>284</v>
      </c>
      <c r="L212" s="19" t="s">
        <v>38</v>
      </c>
      <c r="M212" s="20">
        <f t="shared" si="1"/>
        <v>0</v>
      </c>
      <c r="N212" s="21"/>
      <c r="O212" s="22"/>
      <c r="P212" s="19" t="s">
        <v>1145</v>
      </c>
      <c r="Q212" s="18"/>
      <c r="R212" s="18"/>
      <c r="S212" s="23">
        <v>0.0</v>
      </c>
      <c r="T212" s="23">
        <v>0.0</v>
      </c>
      <c r="U212" s="23">
        <f t="shared" si="2"/>
        <v>0</v>
      </c>
      <c r="V212" s="23">
        <f t="shared" si="3"/>
        <v>0</v>
      </c>
      <c r="W212" s="23">
        <f t="shared" si="4"/>
        <v>0</v>
      </c>
      <c r="X212" s="24" t="str">
        <f t="shared" si="5"/>
        <v>#DIV/0!</v>
      </c>
    </row>
    <row r="213">
      <c r="A213" s="15" t="s">
        <v>1178</v>
      </c>
      <c r="B213" s="18"/>
      <c r="C213" s="16" t="str">
        <f t="shared" si="8"/>
        <v/>
      </c>
      <c r="D213" s="18"/>
      <c r="E213" s="17" t="s">
        <v>281</v>
      </c>
      <c r="F213" s="18"/>
      <c r="G213" s="18"/>
      <c r="H213" s="15" t="s">
        <v>1176</v>
      </c>
      <c r="I213" s="18"/>
      <c r="J213" s="19" t="s">
        <v>283</v>
      </c>
      <c r="K213" s="19" t="s">
        <v>284</v>
      </c>
      <c r="L213" s="19" t="s">
        <v>38</v>
      </c>
      <c r="M213" s="20">
        <f t="shared" si="1"/>
        <v>0</v>
      </c>
      <c r="N213" s="21"/>
      <c r="O213" s="22"/>
      <c r="P213" s="19" t="s">
        <v>1145</v>
      </c>
      <c r="Q213" s="18"/>
      <c r="R213" s="18"/>
      <c r="S213" s="23">
        <v>0.0</v>
      </c>
      <c r="T213" s="23">
        <v>0.0</v>
      </c>
      <c r="U213" s="23">
        <f t="shared" si="2"/>
        <v>0</v>
      </c>
      <c r="V213" s="23">
        <f t="shared" si="3"/>
        <v>0</v>
      </c>
      <c r="W213" s="23">
        <f t="shared" si="4"/>
        <v>0</v>
      </c>
      <c r="X213" s="24" t="str">
        <f t="shared" si="5"/>
        <v>#DIV/0!</v>
      </c>
    </row>
    <row r="214">
      <c r="A214" s="15" t="s">
        <v>1179</v>
      </c>
      <c r="B214" s="18"/>
      <c r="C214" s="16" t="str">
        <f t="shared" si="8"/>
        <v/>
      </c>
      <c r="D214" s="18"/>
      <c r="E214" s="17" t="s">
        <v>590</v>
      </c>
      <c r="F214" s="18"/>
      <c r="G214" s="18"/>
      <c r="H214" s="15" t="s">
        <v>1180</v>
      </c>
      <c r="I214" s="18"/>
      <c r="J214" s="19" t="s">
        <v>283</v>
      </c>
      <c r="K214" s="19" t="s">
        <v>284</v>
      </c>
      <c r="L214" s="19" t="s">
        <v>38</v>
      </c>
      <c r="M214" s="20">
        <f t="shared" si="1"/>
        <v>0</v>
      </c>
      <c r="N214" s="21"/>
      <c r="O214" s="22"/>
      <c r="P214" s="19" t="s">
        <v>1145</v>
      </c>
      <c r="Q214" s="18"/>
      <c r="R214" s="18"/>
      <c r="S214" s="23">
        <v>0.0</v>
      </c>
      <c r="T214" s="23">
        <v>0.0</v>
      </c>
      <c r="U214" s="23">
        <f t="shared" si="2"/>
        <v>0</v>
      </c>
      <c r="V214" s="23">
        <f t="shared" si="3"/>
        <v>0</v>
      </c>
      <c r="W214" s="23">
        <f t="shared" si="4"/>
        <v>0</v>
      </c>
      <c r="X214" s="24" t="str">
        <f t="shared" si="5"/>
        <v>#DIV/0!</v>
      </c>
    </row>
    <row r="215">
      <c r="A215" s="15" t="s">
        <v>1181</v>
      </c>
      <c r="B215" s="18"/>
      <c r="C215" s="16" t="str">
        <f>IMAGE("https://i.ibb.co/hRVdC3bP/1034.png")</f>
        <v/>
      </c>
      <c r="D215" s="18"/>
      <c r="E215" s="17" t="s">
        <v>1182</v>
      </c>
      <c r="F215" s="18"/>
      <c r="G215" s="18"/>
      <c r="H215" s="15" t="s">
        <v>1183</v>
      </c>
      <c r="I215" s="18"/>
      <c r="J215" s="19" t="s">
        <v>283</v>
      </c>
      <c r="K215" s="19" t="s">
        <v>284</v>
      </c>
      <c r="L215" s="19" t="s">
        <v>38</v>
      </c>
      <c r="M215" s="20">
        <f t="shared" si="1"/>
        <v>0</v>
      </c>
      <c r="N215" s="21"/>
      <c r="O215" s="22"/>
      <c r="P215" s="19" t="s">
        <v>1145</v>
      </c>
      <c r="Q215" s="18"/>
      <c r="R215" s="18"/>
      <c r="S215" s="23">
        <v>0.0</v>
      </c>
      <c r="T215" s="23">
        <v>0.0</v>
      </c>
      <c r="U215" s="23">
        <f t="shared" si="2"/>
        <v>0</v>
      </c>
      <c r="V215" s="23">
        <f t="shared" si="3"/>
        <v>0</v>
      </c>
      <c r="W215" s="23">
        <f t="shared" si="4"/>
        <v>0</v>
      </c>
      <c r="X215" s="24" t="str">
        <f t="shared" si="5"/>
        <v>#DIV/0!</v>
      </c>
    </row>
    <row r="216">
      <c r="A216" s="15" t="s">
        <v>1184</v>
      </c>
      <c r="B216" s="18"/>
      <c r="C216" s="16" t="str">
        <f>IMAGE("https://i.ibb.co/CKYrrDYy/1041.png")</f>
        <v/>
      </c>
      <c r="D216" s="18"/>
      <c r="E216" s="17" t="s">
        <v>1185</v>
      </c>
      <c r="F216" s="18"/>
      <c r="G216" s="18"/>
      <c r="H216" s="15" t="s">
        <v>1186</v>
      </c>
      <c r="I216" s="18"/>
      <c r="J216" s="19" t="s">
        <v>283</v>
      </c>
      <c r="K216" s="19" t="s">
        <v>284</v>
      </c>
      <c r="L216" s="19" t="s">
        <v>38</v>
      </c>
      <c r="M216" s="20">
        <f t="shared" si="1"/>
        <v>0</v>
      </c>
      <c r="N216" s="21"/>
      <c r="O216" s="22"/>
      <c r="P216" s="19" t="s">
        <v>1145</v>
      </c>
      <c r="Q216" s="18"/>
      <c r="R216" s="18"/>
      <c r="S216" s="23">
        <v>0.0</v>
      </c>
      <c r="T216" s="23">
        <v>0.0</v>
      </c>
      <c r="U216" s="23">
        <f t="shared" si="2"/>
        <v>0</v>
      </c>
      <c r="V216" s="23">
        <f t="shared" si="3"/>
        <v>0</v>
      </c>
      <c r="W216" s="23">
        <f t="shared" si="4"/>
        <v>0</v>
      </c>
      <c r="X216" s="24" t="str">
        <f t="shared" si="5"/>
        <v>#DIV/0!</v>
      </c>
    </row>
    <row r="217">
      <c r="A217" s="15" t="s">
        <v>1187</v>
      </c>
      <c r="B217" s="18"/>
      <c r="C217" s="16" t="str">
        <f t="shared" ref="C217:C231" si="9">IMAGE("https://i.ibb.co/VcfxSbvD/1042.png")</f>
        <v/>
      </c>
      <c r="D217" s="18"/>
      <c r="E217" s="17" t="s">
        <v>1188</v>
      </c>
      <c r="F217" s="18"/>
      <c r="G217" s="18"/>
      <c r="H217" s="15" t="s">
        <v>1189</v>
      </c>
      <c r="I217" s="18"/>
      <c r="J217" s="19" t="s">
        <v>283</v>
      </c>
      <c r="K217" s="19" t="s">
        <v>284</v>
      </c>
      <c r="L217" s="19" t="s">
        <v>38</v>
      </c>
      <c r="M217" s="20">
        <f t="shared" si="1"/>
        <v>0</v>
      </c>
      <c r="N217" s="21"/>
      <c r="O217" s="22"/>
      <c r="P217" s="19" t="s">
        <v>1145</v>
      </c>
      <c r="Q217" s="18"/>
      <c r="R217" s="18"/>
      <c r="S217" s="23">
        <v>0.0</v>
      </c>
      <c r="T217" s="23">
        <v>0.0</v>
      </c>
      <c r="U217" s="23">
        <f t="shared" si="2"/>
        <v>0</v>
      </c>
      <c r="V217" s="23">
        <f t="shared" si="3"/>
        <v>0</v>
      </c>
      <c r="W217" s="23">
        <f t="shared" si="4"/>
        <v>0</v>
      </c>
      <c r="X217" s="24" t="str">
        <f t="shared" si="5"/>
        <v>#DIV/0!</v>
      </c>
    </row>
    <row r="218">
      <c r="A218" s="15" t="s">
        <v>1190</v>
      </c>
      <c r="B218" s="18"/>
      <c r="C218" s="16" t="str">
        <f t="shared" si="9"/>
        <v/>
      </c>
      <c r="D218" s="18"/>
      <c r="E218" s="17" t="s">
        <v>1191</v>
      </c>
      <c r="F218" s="18"/>
      <c r="G218" s="18"/>
      <c r="H218" s="15" t="s">
        <v>1192</v>
      </c>
      <c r="I218" s="18"/>
      <c r="J218" s="19" t="s">
        <v>283</v>
      </c>
      <c r="K218" s="19" t="s">
        <v>284</v>
      </c>
      <c r="L218" s="19" t="s">
        <v>38</v>
      </c>
      <c r="M218" s="20">
        <f t="shared" si="1"/>
        <v>0</v>
      </c>
      <c r="N218" s="21"/>
      <c r="O218" s="22"/>
      <c r="P218" s="19" t="s">
        <v>1145</v>
      </c>
      <c r="Q218" s="18"/>
      <c r="R218" s="18"/>
      <c r="S218" s="23">
        <v>0.0</v>
      </c>
      <c r="T218" s="23">
        <v>0.0</v>
      </c>
      <c r="U218" s="23">
        <f t="shared" si="2"/>
        <v>0</v>
      </c>
      <c r="V218" s="23">
        <f t="shared" si="3"/>
        <v>0</v>
      </c>
      <c r="W218" s="23">
        <f t="shared" si="4"/>
        <v>0</v>
      </c>
      <c r="X218" s="24" t="str">
        <f t="shared" si="5"/>
        <v>#DIV/0!</v>
      </c>
    </row>
    <row r="219">
      <c r="A219" s="15" t="s">
        <v>1193</v>
      </c>
      <c r="B219" s="18"/>
      <c r="C219" s="16" t="str">
        <f t="shared" si="9"/>
        <v/>
      </c>
      <c r="D219" s="18"/>
      <c r="E219" s="17" t="s">
        <v>1194</v>
      </c>
      <c r="F219" s="18"/>
      <c r="G219" s="18"/>
      <c r="H219" s="15" t="s">
        <v>1195</v>
      </c>
      <c r="I219" s="18"/>
      <c r="J219" s="19" t="s">
        <v>283</v>
      </c>
      <c r="K219" s="19" t="s">
        <v>284</v>
      </c>
      <c r="L219" s="19" t="s">
        <v>38</v>
      </c>
      <c r="M219" s="20">
        <f t="shared" si="1"/>
        <v>0</v>
      </c>
      <c r="N219" s="21"/>
      <c r="O219" s="22"/>
      <c r="P219" s="19" t="s">
        <v>1145</v>
      </c>
      <c r="Q219" s="18"/>
      <c r="R219" s="18"/>
      <c r="S219" s="23">
        <v>0.0</v>
      </c>
      <c r="T219" s="23">
        <v>0.0</v>
      </c>
      <c r="U219" s="23">
        <f t="shared" si="2"/>
        <v>0</v>
      </c>
      <c r="V219" s="23">
        <f t="shared" si="3"/>
        <v>0</v>
      </c>
      <c r="W219" s="23">
        <f t="shared" si="4"/>
        <v>0</v>
      </c>
      <c r="X219" s="24" t="str">
        <f t="shared" si="5"/>
        <v>#DIV/0!</v>
      </c>
    </row>
    <row r="220">
      <c r="A220" s="15" t="s">
        <v>1196</v>
      </c>
      <c r="B220" s="18"/>
      <c r="C220" s="16" t="str">
        <f t="shared" si="9"/>
        <v/>
      </c>
      <c r="D220" s="18"/>
      <c r="E220" s="17" t="s">
        <v>1185</v>
      </c>
      <c r="F220" s="18"/>
      <c r="G220" s="18"/>
      <c r="H220" s="15" t="s">
        <v>1186</v>
      </c>
      <c r="I220" s="18"/>
      <c r="J220" s="19" t="s">
        <v>283</v>
      </c>
      <c r="K220" s="19" t="s">
        <v>284</v>
      </c>
      <c r="L220" s="19" t="s">
        <v>38</v>
      </c>
      <c r="M220" s="20">
        <f t="shared" si="1"/>
        <v>0</v>
      </c>
      <c r="N220" s="21"/>
      <c r="O220" s="22"/>
      <c r="P220" s="19" t="s">
        <v>1145</v>
      </c>
      <c r="Q220" s="18"/>
      <c r="R220" s="18"/>
      <c r="S220" s="23">
        <v>0.0</v>
      </c>
      <c r="T220" s="23">
        <v>0.0</v>
      </c>
      <c r="U220" s="23">
        <f t="shared" si="2"/>
        <v>0</v>
      </c>
      <c r="V220" s="23">
        <f t="shared" si="3"/>
        <v>0</v>
      </c>
      <c r="W220" s="23">
        <f t="shared" si="4"/>
        <v>0</v>
      </c>
      <c r="X220" s="24" t="str">
        <f t="shared" si="5"/>
        <v>#DIV/0!</v>
      </c>
    </row>
    <row r="221">
      <c r="A221" s="15" t="s">
        <v>1197</v>
      </c>
      <c r="B221" s="18"/>
      <c r="C221" s="16" t="str">
        <f t="shared" si="9"/>
        <v/>
      </c>
      <c r="D221" s="18"/>
      <c r="E221" s="17" t="s">
        <v>1198</v>
      </c>
      <c r="F221" s="18"/>
      <c r="G221" s="18"/>
      <c r="H221" s="15" t="s">
        <v>1199</v>
      </c>
      <c r="I221" s="18"/>
      <c r="J221" s="19" t="s">
        <v>283</v>
      </c>
      <c r="K221" s="19" t="s">
        <v>284</v>
      </c>
      <c r="L221" s="19" t="s">
        <v>38</v>
      </c>
      <c r="M221" s="20">
        <f t="shared" si="1"/>
        <v>0</v>
      </c>
      <c r="N221" s="21"/>
      <c r="O221" s="22"/>
      <c r="P221" s="19" t="s">
        <v>1145</v>
      </c>
      <c r="Q221" s="18"/>
      <c r="R221" s="18"/>
      <c r="S221" s="23">
        <v>0.0</v>
      </c>
      <c r="T221" s="23">
        <v>0.0</v>
      </c>
      <c r="U221" s="23">
        <f t="shared" si="2"/>
        <v>0</v>
      </c>
      <c r="V221" s="23">
        <f t="shared" si="3"/>
        <v>0</v>
      </c>
      <c r="W221" s="23">
        <f t="shared" si="4"/>
        <v>0</v>
      </c>
      <c r="X221" s="24" t="str">
        <f t="shared" si="5"/>
        <v>#DIV/0!</v>
      </c>
    </row>
    <row r="222">
      <c r="A222" s="15" t="s">
        <v>1200</v>
      </c>
      <c r="B222" s="18"/>
      <c r="C222" s="16" t="str">
        <f t="shared" si="9"/>
        <v/>
      </c>
      <c r="D222" s="18"/>
      <c r="E222" s="17" t="s">
        <v>1201</v>
      </c>
      <c r="F222" s="18"/>
      <c r="G222" s="18"/>
      <c r="H222" s="15" t="s">
        <v>1202</v>
      </c>
      <c r="I222" s="18"/>
      <c r="J222" s="19" t="s">
        <v>283</v>
      </c>
      <c r="K222" s="19" t="s">
        <v>284</v>
      </c>
      <c r="L222" s="19" t="s">
        <v>38</v>
      </c>
      <c r="M222" s="20">
        <f t="shared" si="1"/>
        <v>0</v>
      </c>
      <c r="N222" s="21"/>
      <c r="O222" s="22"/>
      <c r="P222" s="19" t="s">
        <v>1145</v>
      </c>
      <c r="Q222" s="18"/>
      <c r="R222" s="18"/>
      <c r="S222" s="23">
        <v>0.0</v>
      </c>
      <c r="T222" s="23">
        <v>0.0</v>
      </c>
      <c r="U222" s="23">
        <f t="shared" si="2"/>
        <v>0</v>
      </c>
      <c r="V222" s="23">
        <f t="shared" si="3"/>
        <v>0</v>
      </c>
      <c r="W222" s="23">
        <f t="shared" si="4"/>
        <v>0</v>
      </c>
      <c r="X222" s="24" t="str">
        <f t="shared" si="5"/>
        <v>#DIV/0!</v>
      </c>
    </row>
    <row r="223">
      <c r="A223" s="15" t="s">
        <v>1203</v>
      </c>
      <c r="B223" s="18"/>
      <c r="C223" s="16" t="str">
        <f t="shared" si="9"/>
        <v/>
      </c>
      <c r="D223" s="18"/>
      <c r="E223" s="17" t="s">
        <v>1204</v>
      </c>
      <c r="F223" s="18"/>
      <c r="G223" s="18"/>
      <c r="H223" s="15" t="s">
        <v>1205</v>
      </c>
      <c r="I223" s="18"/>
      <c r="J223" s="19" t="s">
        <v>283</v>
      </c>
      <c r="K223" s="19" t="s">
        <v>284</v>
      </c>
      <c r="L223" s="19" t="s">
        <v>38</v>
      </c>
      <c r="M223" s="20">
        <f t="shared" si="1"/>
        <v>0</v>
      </c>
      <c r="N223" s="21"/>
      <c r="O223" s="22"/>
      <c r="P223" s="19" t="s">
        <v>1145</v>
      </c>
      <c r="Q223" s="18"/>
      <c r="R223" s="18"/>
      <c r="S223" s="23">
        <v>0.0</v>
      </c>
      <c r="T223" s="23">
        <v>0.0</v>
      </c>
      <c r="U223" s="23">
        <f t="shared" si="2"/>
        <v>0</v>
      </c>
      <c r="V223" s="23">
        <f t="shared" si="3"/>
        <v>0</v>
      </c>
      <c r="W223" s="23">
        <f t="shared" si="4"/>
        <v>0</v>
      </c>
      <c r="X223" s="24" t="str">
        <f t="shared" si="5"/>
        <v>#DIV/0!</v>
      </c>
    </row>
    <row r="224">
      <c r="A224" s="15" t="s">
        <v>1206</v>
      </c>
      <c r="B224" s="18"/>
      <c r="C224" s="16" t="str">
        <f t="shared" si="9"/>
        <v/>
      </c>
      <c r="D224" s="18"/>
      <c r="E224" s="17" t="s">
        <v>1207</v>
      </c>
      <c r="F224" s="18"/>
      <c r="G224" s="18"/>
      <c r="H224" s="15" t="s">
        <v>1208</v>
      </c>
      <c r="I224" s="18"/>
      <c r="J224" s="19" t="s">
        <v>283</v>
      </c>
      <c r="K224" s="19" t="s">
        <v>284</v>
      </c>
      <c r="L224" s="19" t="s">
        <v>38</v>
      </c>
      <c r="M224" s="20">
        <f t="shared" si="1"/>
        <v>0</v>
      </c>
      <c r="N224" s="21"/>
      <c r="O224" s="22"/>
      <c r="P224" s="19" t="s">
        <v>1145</v>
      </c>
      <c r="Q224" s="18"/>
      <c r="R224" s="18"/>
      <c r="S224" s="23">
        <v>0.0</v>
      </c>
      <c r="T224" s="23">
        <v>0.0</v>
      </c>
      <c r="U224" s="23">
        <f t="shared" si="2"/>
        <v>0</v>
      </c>
      <c r="V224" s="23">
        <f t="shared" si="3"/>
        <v>0</v>
      </c>
      <c r="W224" s="23">
        <f t="shared" si="4"/>
        <v>0</v>
      </c>
      <c r="X224" s="24" t="str">
        <f t="shared" si="5"/>
        <v>#DIV/0!</v>
      </c>
    </row>
    <row r="225">
      <c r="A225" s="15" t="s">
        <v>1209</v>
      </c>
      <c r="B225" s="18"/>
      <c r="C225" s="16" t="str">
        <f t="shared" si="9"/>
        <v/>
      </c>
      <c r="D225" s="18"/>
      <c r="E225" s="17" t="s">
        <v>1210</v>
      </c>
      <c r="F225" s="18"/>
      <c r="G225" s="18"/>
      <c r="H225" s="15" t="s">
        <v>1211</v>
      </c>
      <c r="I225" s="18"/>
      <c r="J225" s="19" t="s">
        <v>283</v>
      </c>
      <c r="K225" s="19" t="s">
        <v>284</v>
      </c>
      <c r="L225" s="19" t="s">
        <v>38</v>
      </c>
      <c r="M225" s="20">
        <f t="shared" si="1"/>
        <v>0</v>
      </c>
      <c r="N225" s="21"/>
      <c r="O225" s="22"/>
      <c r="P225" s="19" t="s">
        <v>1145</v>
      </c>
      <c r="Q225" s="18"/>
      <c r="R225" s="18"/>
      <c r="S225" s="23">
        <v>0.0</v>
      </c>
      <c r="T225" s="23">
        <v>0.0</v>
      </c>
      <c r="U225" s="23">
        <f t="shared" si="2"/>
        <v>0</v>
      </c>
      <c r="V225" s="23">
        <f t="shared" si="3"/>
        <v>0</v>
      </c>
      <c r="W225" s="23">
        <f t="shared" si="4"/>
        <v>0</v>
      </c>
      <c r="X225" s="24" t="str">
        <f t="shared" si="5"/>
        <v>#DIV/0!</v>
      </c>
    </row>
    <row r="226">
      <c r="A226" s="15" t="s">
        <v>1212</v>
      </c>
      <c r="B226" s="18"/>
      <c r="C226" s="16" t="str">
        <f t="shared" si="9"/>
        <v/>
      </c>
      <c r="D226" s="18"/>
      <c r="E226" s="17" t="s">
        <v>1213</v>
      </c>
      <c r="F226" s="18"/>
      <c r="G226" s="18"/>
      <c r="H226" s="18"/>
      <c r="I226" s="18"/>
      <c r="J226" s="19" t="s">
        <v>283</v>
      </c>
      <c r="K226" s="19" t="s">
        <v>284</v>
      </c>
      <c r="L226" s="19" t="s">
        <v>38</v>
      </c>
      <c r="M226" s="20">
        <f t="shared" si="1"/>
        <v>0</v>
      </c>
      <c r="N226" s="21"/>
      <c r="O226" s="22"/>
      <c r="P226" s="19" t="s">
        <v>1145</v>
      </c>
      <c r="Q226" s="18"/>
      <c r="R226" s="18"/>
      <c r="S226" s="23">
        <v>0.0</v>
      </c>
      <c r="T226" s="23">
        <v>0.0</v>
      </c>
      <c r="U226" s="23">
        <f t="shared" si="2"/>
        <v>0</v>
      </c>
      <c r="V226" s="23">
        <f t="shared" si="3"/>
        <v>0</v>
      </c>
      <c r="W226" s="23">
        <f t="shared" si="4"/>
        <v>0</v>
      </c>
      <c r="X226" s="24" t="str">
        <f t="shared" si="5"/>
        <v>#DIV/0!</v>
      </c>
    </row>
    <row r="227">
      <c r="A227" s="15" t="s">
        <v>1214</v>
      </c>
      <c r="B227" s="18"/>
      <c r="C227" s="16" t="str">
        <f t="shared" si="9"/>
        <v/>
      </c>
      <c r="D227" s="18"/>
      <c r="E227" s="17" t="s">
        <v>1215</v>
      </c>
      <c r="F227" s="18"/>
      <c r="G227" s="18"/>
      <c r="H227" s="15" t="s">
        <v>1216</v>
      </c>
      <c r="I227" s="18"/>
      <c r="J227" s="19" t="s">
        <v>283</v>
      </c>
      <c r="K227" s="19" t="s">
        <v>284</v>
      </c>
      <c r="L227" s="19" t="s">
        <v>38</v>
      </c>
      <c r="M227" s="20">
        <f t="shared" si="1"/>
        <v>0</v>
      </c>
      <c r="N227" s="21"/>
      <c r="O227" s="22"/>
      <c r="P227" s="19" t="s">
        <v>1145</v>
      </c>
      <c r="Q227" s="18"/>
      <c r="R227" s="18"/>
      <c r="S227" s="23">
        <v>0.0</v>
      </c>
      <c r="T227" s="23">
        <v>0.0</v>
      </c>
      <c r="U227" s="23">
        <f t="shared" si="2"/>
        <v>0</v>
      </c>
      <c r="V227" s="23">
        <f t="shared" si="3"/>
        <v>0</v>
      </c>
      <c r="W227" s="23">
        <f t="shared" si="4"/>
        <v>0</v>
      </c>
      <c r="X227" s="24" t="str">
        <f t="shared" si="5"/>
        <v>#DIV/0!</v>
      </c>
    </row>
    <row r="228">
      <c r="A228" s="15" t="s">
        <v>1217</v>
      </c>
      <c r="B228" s="18"/>
      <c r="C228" s="16" t="str">
        <f t="shared" si="9"/>
        <v/>
      </c>
      <c r="D228" s="18"/>
      <c r="E228" s="17" t="s">
        <v>1218</v>
      </c>
      <c r="F228" s="18"/>
      <c r="G228" s="18"/>
      <c r="H228" s="15" t="s">
        <v>1219</v>
      </c>
      <c r="I228" s="18"/>
      <c r="J228" s="19" t="s">
        <v>283</v>
      </c>
      <c r="K228" s="19" t="s">
        <v>284</v>
      </c>
      <c r="L228" s="19" t="s">
        <v>38</v>
      </c>
      <c r="M228" s="20">
        <f t="shared" si="1"/>
        <v>0</v>
      </c>
      <c r="N228" s="21"/>
      <c r="O228" s="22"/>
      <c r="P228" s="19" t="s">
        <v>1145</v>
      </c>
      <c r="Q228" s="18"/>
      <c r="R228" s="18"/>
      <c r="S228" s="23">
        <v>0.0</v>
      </c>
      <c r="T228" s="23">
        <v>0.0</v>
      </c>
      <c r="U228" s="23">
        <f t="shared" si="2"/>
        <v>0</v>
      </c>
      <c r="V228" s="23">
        <f t="shared" si="3"/>
        <v>0</v>
      </c>
      <c r="W228" s="23">
        <f t="shared" si="4"/>
        <v>0</v>
      </c>
      <c r="X228" s="24" t="str">
        <f t="shared" si="5"/>
        <v>#DIV/0!</v>
      </c>
    </row>
    <row r="229">
      <c r="A229" s="15" t="s">
        <v>1220</v>
      </c>
      <c r="B229" s="18"/>
      <c r="C229" s="16" t="str">
        <f t="shared" si="9"/>
        <v/>
      </c>
      <c r="D229" s="18"/>
      <c r="E229" s="17" t="s">
        <v>1221</v>
      </c>
      <c r="F229" s="18"/>
      <c r="G229" s="18"/>
      <c r="H229" s="15" t="s">
        <v>1222</v>
      </c>
      <c r="I229" s="18"/>
      <c r="J229" s="19" t="s">
        <v>283</v>
      </c>
      <c r="K229" s="19" t="s">
        <v>284</v>
      </c>
      <c r="L229" s="19" t="s">
        <v>38</v>
      </c>
      <c r="M229" s="20">
        <f t="shared" si="1"/>
        <v>0</v>
      </c>
      <c r="N229" s="21"/>
      <c r="O229" s="22"/>
      <c r="P229" s="19" t="s">
        <v>1145</v>
      </c>
      <c r="Q229" s="18"/>
      <c r="R229" s="18"/>
      <c r="S229" s="23">
        <v>0.0</v>
      </c>
      <c r="T229" s="23">
        <v>0.0</v>
      </c>
      <c r="U229" s="23">
        <f t="shared" si="2"/>
        <v>0</v>
      </c>
      <c r="V229" s="23">
        <f t="shared" si="3"/>
        <v>0</v>
      </c>
      <c r="W229" s="23">
        <f t="shared" si="4"/>
        <v>0</v>
      </c>
      <c r="X229" s="24" t="str">
        <f t="shared" si="5"/>
        <v>#DIV/0!</v>
      </c>
    </row>
    <row r="230">
      <c r="A230" s="15" t="s">
        <v>1223</v>
      </c>
      <c r="B230" s="18"/>
      <c r="C230" s="16" t="str">
        <f t="shared" si="9"/>
        <v/>
      </c>
      <c r="D230" s="18"/>
      <c r="E230" s="17" t="s">
        <v>1224</v>
      </c>
      <c r="F230" s="18"/>
      <c r="G230" s="18"/>
      <c r="H230" s="15" t="s">
        <v>1156</v>
      </c>
      <c r="I230" s="18"/>
      <c r="J230" s="19" t="s">
        <v>283</v>
      </c>
      <c r="K230" s="19" t="s">
        <v>284</v>
      </c>
      <c r="L230" s="19" t="s">
        <v>38</v>
      </c>
      <c r="M230" s="20">
        <f t="shared" si="1"/>
        <v>0</v>
      </c>
      <c r="N230" s="21"/>
      <c r="O230" s="22"/>
      <c r="P230" s="19" t="s">
        <v>1145</v>
      </c>
      <c r="Q230" s="18"/>
      <c r="R230" s="18"/>
      <c r="S230" s="23">
        <v>0.0</v>
      </c>
      <c r="T230" s="23">
        <v>0.0</v>
      </c>
      <c r="U230" s="23">
        <f t="shared" si="2"/>
        <v>0</v>
      </c>
      <c r="V230" s="23">
        <f t="shared" si="3"/>
        <v>0</v>
      </c>
      <c r="W230" s="23">
        <f t="shared" si="4"/>
        <v>0</v>
      </c>
      <c r="X230" s="24" t="str">
        <f t="shared" si="5"/>
        <v>#DIV/0!</v>
      </c>
    </row>
    <row r="231">
      <c r="A231" s="15" t="s">
        <v>1225</v>
      </c>
      <c r="B231" s="18"/>
      <c r="C231" s="16" t="str">
        <f t="shared" si="9"/>
        <v/>
      </c>
      <c r="D231" s="18"/>
      <c r="E231" s="17" t="s">
        <v>1226</v>
      </c>
      <c r="F231" s="18"/>
      <c r="G231" s="18"/>
      <c r="H231" s="15" t="s">
        <v>1156</v>
      </c>
      <c r="I231" s="18"/>
      <c r="J231" s="19" t="s">
        <v>283</v>
      </c>
      <c r="K231" s="19" t="s">
        <v>284</v>
      </c>
      <c r="L231" s="19" t="s">
        <v>38</v>
      </c>
      <c r="M231" s="20">
        <f t="shared" si="1"/>
        <v>0</v>
      </c>
      <c r="N231" s="21"/>
      <c r="O231" s="22"/>
      <c r="P231" s="19" t="s">
        <v>1145</v>
      </c>
      <c r="Q231" s="18"/>
      <c r="R231" s="18"/>
      <c r="S231" s="23">
        <v>0.0</v>
      </c>
      <c r="T231" s="23">
        <v>0.0</v>
      </c>
      <c r="U231" s="23">
        <f t="shared" si="2"/>
        <v>0</v>
      </c>
      <c r="V231" s="23">
        <f t="shared" si="3"/>
        <v>0</v>
      </c>
      <c r="W231" s="23">
        <f t="shared" si="4"/>
        <v>0</v>
      </c>
      <c r="X231" s="24" t="str">
        <f t="shared" si="5"/>
        <v>#DIV/0!</v>
      </c>
    </row>
    <row r="232">
      <c r="A232" s="15" t="s">
        <v>1227</v>
      </c>
      <c r="B232" s="18"/>
      <c r="C232" s="16" t="str">
        <f>IMAGE("https://i.ibb.co/CKLH5rG5/1058.png")</f>
        <v/>
      </c>
      <c r="D232" s="18"/>
      <c r="E232" s="17" t="s">
        <v>1228</v>
      </c>
      <c r="F232" s="18"/>
      <c r="G232" s="18"/>
      <c r="H232" s="15" t="s">
        <v>1229</v>
      </c>
      <c r="I232" s="18"/>
      <c r="J232" s="19" t="s">
        <v>283</v>
      </c>
      <c r="K232" s="19" t="s">
        <v>1230</v>
      </c>
      <c r="L232" s="19" t="s">
        <v>38</v>
      </c>
      <c r="M232" s="20">
        <f t="shared" si="1"/>
        <v>0</v>
      </c>
      <c r="N232" s="21"/>
      <c r="O232" s="22"/>
      <c r="P232" s="19" t="s">
        <v>1145</v>
      </c>
      <c r="Q232" s="18"/>
      <c r="R232" s="18"/>
      <c r="S232" s="23">
        <v>0.0</v>
      </c>
      <c r="T232" s="23">
        <v>0.0</v>
      </c>
      <c r="U232" s="23">
        <f t="shared" si="2"/>
        <v>0</v>
      </c>
      <c r="V232" s="23">
        <f t="shared" si="3"/>
        <v>0</v>
      </c>
      <c r="W232" s="23">
        <f t="shared" si="4"/>
        <v>0</v>
      </c>
      <c r="X232" s="24" t="str">
        <f t="shared" si="5"/>
        <v>#DIV/0!</v>
      </c>
    </row>
    <row r="233">
      <c r="A233" s="15" t="s">
        <v>1231</v>
      </c>
      <c r="B233" s="18"/>
      <c r="C233" s="16" t="str">
        <f>IMAGE("https://i.ibb.co/fdz6CkD0/1059.png")</f>
        <v/>
      </c>
      <c r="D233" s="18"/>
      <c r="E233" s="17" t="s">
        <v>1232</v>
      </c>
      <c r="F233" s="18"/>
      <c r="G233" s="18"/>
      <c r="H233" s="15" t="s">
        <v>1233</v>
      </c>
      <c r="I233" s="18"/>
      <c r="J233" s="19" t="s">
        <v>283</v>
      </c>
      <c r="K233" s="19" t="s">
        <v>37</v>
      </c>
      <c r="L233" s="19" t="s">
        <v>38</v>
      </c>
      <c r="M233" s="20">
        <f t="shared" si="1"/>
        <v>0</v>
      </c>
      <c r="N233" s="21"/>
      <c r="O233" s="22"/>
      <c r="P233" s="19" t="s">
        <v>1145</v>
      </c>
      <c r="Q233" s="18"/>
      <c r="R233" s="18"/>
      <c r="S233" s="23">
        <v>0.0</v>
      </c>
      <c r="T233" s="23">
        <v>0.0</v>
      </c>
      <c r="U233" s="23">
        <f t="shared" si="2"/>
        <v>0</v>
      </c>
      <c r="V233" s="23">
        <f t="shared" si="3"/>
        <v>0</v>
      </c>
      <c r="W233" s="23">
        <f t="shared" si="4"/>
        <v>0</v>
      </c>
      <c r="X233" s="24" t="str">
        <f t="shared" si="5"/>
        <v>#DIV/0!</v>
      </c>
    </row>
    <row r="234">
      <c r="A234" s="15" t="s">
        <v>1234</v>
      </c>
      <c r="B234" s="18"/>
      <c r="C234" s="16" t="str">
        <f>IMAGE("https://i.ibb.co/tw0ZM4bT/1062.png")</f>
        <v/>
      </c>
      <c r="D234" s="18"/>
      <c r="E234" s="17" t="s">
        <v>1235</v>
      </c>
      <c r="F234" s="18"/>
      <c r="G234" s="18"/>
      <c r="H234" s="15" t="s">
        <v>1236</v>
      </c>
      <c r="I234" s="18"/>
      <c r="J234" s="19" t="s">
        <v>283</v>
      </c>
      <c r="K234" s="19" t="s">
        <v>37</v>
      </c>
      <c r="L234" s="19" t="s">
        <v>38</v>
      </c>
      <c r="M234" s="20">
        <f t="shared" si="1"/>
        <v>0</v>
      </c>
      <c r="N234" s="21"/>
      <c r="O234" s="22"/>
      <c r="P234" s="19" t="s">
        <v>1145</v>
      </c>
      <c r="Q234" s="18"/>
      <c r="R234" s="18"/>
      <c r="S234" s="23">
        <v>0.0</v>
      </c>
      <c r="T234" s="23">
        <v>0.0</v>
      </c>
      <c r="U234" s="23">
        <f t="shared" si="2"/>
        <v>0</v>
      </c>
      <c r="V234" s="23">
        <f t="shared" si="3"/>
        <v>0</v>
      </c>
      <c r="W234" s="23">
        <f t="shared" si="4"/>
        <v>0</v>
      </c>
      <c r="X234" s="24" t="str">
        <f t="shared" si="5"/>
        <v>#DIV/0!</v>
      </c>
    </row>
    <row r="235">
      <c r="A235" s="15" t="s">
        <v>1237</v>
      </c>
      <c r="B235" s="18"/>
      <c r="C235" s="16" t="str">
        <f>IMAGE("https://i.ibb.co/84Mb1kTb/1065.png")</f>
        <v/>
      </c>
      <c r="D235" s="18"/>
      <c r="E235" s="17" t="s">
        <v>1238</v>
      </c>
      <c r="F235" s="18"/>
      <c r="G235" s="18"/>
      <c r="H235" s="15" t="s">
        <v>1239</v>
      </c>
      <c r="I235" s="18"/>
      <c r="J235" s="19" t="s">
        <v>283</v>
      </c>
      <c r="K235" s="19" t="s">
        <v>603</v>
      </c>
      <c r="L235" s="19" t="s">
        <v>38</v>
      </c>
      <c r="M235" s="20">
        <f t="shared" si="1"/>
        <v>0</v>
      </c>
      <c r="N235" s="21"/>
      <c r="O235" s="22"/>
      <c r="P235" s="19" t="s">
        <v>1145</v>
      </c>
      <c r="Q235" s="18"/>
      <c r="R235" s="18"/>
      <c r="S235" s="23">
        <v>0.0</v>
      </c>
      <c r="T235" s="23">
        <v>0.0</v>
      </c>
      <c r="U235" s="23">
        <f t="shared" si="2"/>
        <v>0</v>
      </c>
      <c r="V235" s="23">
        <f t="shared" si="3"/>
        <v>0</v>
      </c>
      <c r="W235" s="23">
        <f t="shared" si="4"/>
        <v>0</v>
      </c>
      <c r="X235" s="24" t="str">
        <f t="shared" si="5"/>
        <v>#DIV/0!</v>
      </c>
    </row>
    <row r="236">
      <c r="A236" s="15" t="s">
        <v>1240</v>
      </c>
      <c r="B236" s="18"/>
      <c r="C236" s="16" t="str">
        <f>IMAGE("https://i.ibb.co/zhCYfrPV/1069.png")</f>
        <v/>
      </c>
      <c r="D236" s="18"/>
      <c r="E236" s="17" t="s">
        <v>1241</v>
      </c>
      <c r="F236" s="18"/>
      <c r="G236" s="18"/>
      <c r="H236" s="15" t="s">
        <v>1242</v>
      </c>
      <c r="I236" s="18"/>
      <c r="J236" s="19" t="s">
        <v>283</v>
      </c>
      <c r="K236" s="19" t="s">
        <v>1230</v>
      </c>
      <c r="L236" s="19" t="s">
        <v>38</v>
      </c>
      <c r="M236" s="20">
        <f t="shared" si="1"/>
        <v>0</v>
      </c>
      <c r="N236" s="21"/>
      <c r="O236" s="22"/>
      <c r="P236" s="19" t="s">
        <v>1145</v>
      </c>
      <c r="Q236" s="18"/>
      <c r="R236" s="18"/>
      <c r="S236" s="23">
        <v>0.0</v>
      </c>
      <c r="T236" s="23">
        <v>0.0</v>
      </c>
      <c r="U236" s="23">
        <f t="shared" si="2"/>
        <v>0</v>
      </c>
      <c r="V236" s="23">
        <f t="shared" si="3"/>
        <v>0</v>
      </c>
      <c r="W236" s="23">
        <f t="shared" si="4"/>
        <v>0</v>
      </c>
      <c r="X236" s="24" t="str">
        <f t="shared" si="5"/>
        <v>#DIV/0!</v>
      </c>
    </row>
    <row r="237">
      <c r="A237" s="15" t="s">
        <v>1243</v>
      </c>
      <c r="B237" s="18"/>
      <c r="C237" s="16" t="str">
        <f>IMAGE("https://i.ibb.co/8LPYTp7T/1070.png")</f>
        <v/>
      </c>
      <c r="D237" s="18"/>
      <c r="E237" s="17" t="s">
        <v>1244</v>
      </c>
      <c r="F237" s="18"/>
      <c r="G237" s="18"/>
      <c r="H237" s="15" t="s">
        <v>1245</v>
      </c>
      <c r="I237" s="18"/>
      <c r="J237" s="19" t="s">
        <v>283</v>
      </c>
      <c r="K237" s="19" t="s">
        <v>1230</v>
      </c>
      <c r="L237" s="19" t="s">
        <v>38</v>
      </c>
      <c r="M237" s="20">
        <f t="shared" si="1"/>
        <v>0</v>
      </c>
      <c r="N237" s="21"/>
      <c r="O237" s="22"/>
      <c r="P237" s="19" t="s">
        <v>1145</v>
      </c>
      <c r="Q237" s="18"/>
      <c r="R237" s="18"/>
      <c r="S237" s="23">
        <v>0.0</v>
      </c>
      <c r="T237" s="23">
        <v>0.0</v>
      </c>
      <c r="U237" s="23">
        <f t="shared" si="2"/>
        <v>0</v>
      </c>
      <c r="V237" s="23">
        <f t="shared" si="3"/>
        <v>0</v>
      </c>
      <c r="W237" s="23">
        <f t="shared" si="4"/>
        <v>0</v>
      </c>
      <c r="X237" s="24" t="str">
        <f t="shared" si="5"/>
        <v>#DIV/0!</v>
      </c>
    </row>
    <row r="238">
      <c r="A238" s="15" t="s">
        <v>1246</v>
      </c>
      <c r="B238" s="18"/>
      <c r="C238" s="16" t="str">
        <f>IMAGE("https://i.ibb.co/GfLXg4mB/1082.png")</f>
        <v/>
      </c>
      <c r="D238" s="18"/>
      <c r="E238" s="17" t="s">
        <v>1247</v>
      </c>
      <c r="F238" s="18"/>
      <c r="G238" s="18"/>
      <c r="H238" s="15" t="s">
        <v>1248</v>
      </c>
      <c r="I238" s="18"/>
      <c r="J238" s="19" t="s">
        <v>283</v>
      </c>
      <c r="K238" s="19" t="s">
        <v>284</v>
      </c>
      <c r="L238" s="19" t="s">
        <v>38</v>
      </c>
      <c r="M238" s="20">
        <f t="shared" si="1"/>
        <v>0</v>
      </c>
      <c r="N238" s="21"/>
      <c r="O238" s="22"/>
      <c r="P238" s="19" t="s">
        <v>1145</v>
      </c>
      <c r="Q238" s="18"/>
      <c r="R238" s="18"/>
      <c r="S238" s="23">
        <v>0.0</v>
      </c>
      <c r="T238" s="23">
        <v>0.0</v>
      </c>
      <c r="U238" s="23">
        <f t="shared" si="2"/>
        <v>0</v>
      </c>
      <c r="V238" s="23">
        <f t="shared" si="3"/>
        <v>0</v>
      </c>
      <c r="W238" s="23">
        <f t="shared" si="4"/>
        <v>0</v>
      </c>
      <c r="X238" s="24" t="str">
        <f t="shared" si="5"/>
        <v>#DIV/0!</v>
      </c>
    </row>
    <row r="239">
      <c r="A239" s="15" t="s">
        <v>1249</v>
      </c>
      <c r="B239" s="18"/>
      <c r="C239" s="16" t="str">
        <f>IMAGE("https://i.ibb.co/WvsfppGs/1085.png")</f>
        <v/>
      </c>
      <c r="D239" s="18"/>
      <c r="E239" s="17" t="s">
        <v>1250</v>
      </c>
      <c r="F239" s="18"/>
      <c r="G239" s="18"/>
      <c r="H239" s="15" t="s">
        <v>1251</v>
      </c>
      <c r="I239" s="18"/>
      <c r="J239" s="19" t="s">
        <v>283</v>
      </c>
      <c r="K239" s="19" t="s">
        <v>284</v>
      </c>
      <c r="L239" s="19" t="s">
        <v>38</v>
      </c>
      <c r="M239" s="20">
        <f t="shared" si="1"/>
        <v>0</v>
      </c>
      <c r="N239" s="21"/>
      <c r="O239" s="22"/>
      <c r="P239" s="19" t="s">
        <v>1145</v>
      </c>
      <c r="Q239" s="18"/>
      <c r="R239" s="18"/>
      <c r="S239" s="23">
        <v>0.0</v>
      </c>
      <c r="T239" s="23">
        <v>0.0</v>
      </c>
      <c r="U239" s="23">
        <f t="shared" si="2"/>
        <v>0</v>
      </c>
      <c r="V239" s="23">
        <f t="shared" si="3"/>
        <v>0</v>
      </c>
      <c r="W239" s="23">
        <f t="shared" si="4"/>
        <v>0</v>
      </c>
      <c r="X239" s="24" t="str">
        <f t="shared" si="5"/>
        <v>#DIV/0!</v>
      </c>
    </row>
    <row r="240">
      <c r="A240" s="15" t="s">
        <v>1252</v>
      </c>
      <c r="B240" s="18"/>
      <c r="C240" s="16"/>
      <c r="D240" s="18"/>
      <c r="E240" s="17" t="s">
        <v>1253</v>
      </c>
      <c r="F240" s="18"/>
      <c r="G240" s="18"/>
      <c r="H240" s="15" t="s">
        <v>1254</v>
      </c>
      <c r="I240" s="18"/>
      <c r="J240" s="19" t="s">
        <v>283</v>
      </c>
      <c r="K240" s="19" t="s">
        <v>105</v>
      </c>
      <c r="L240" s="19" t="s">
        <v>38</v>
      </c>
      <c r="M240" s="20">
        <f t="shared" si="1"/>
        <v>0</v>
      </c>
      <c r="N240" s="21"/>
      <c r="O240" s="22"/>
      <c r="P240" s="19" t="s">
        <v>1145</v>
      </c>
      <c r="Q240" s="18"/>
      <c r="R240" s="18"/>
      <c r="S240" s="23">
        <v>0.0</v>
      </c>
      <c r="T240" s="23">
        <v>0.0</v>
      </c>
      <c r="U240" s="23">
        <f t="shared" si="2"/>
        <v>0</v>
      </c>
      <c r="V240" s="23">
        <f t="shared" si="3"/>
        <v>0</v>
      </c>
      <c r="W240" s="23">
        <f t="shared" si="4"/>
        <v>0</v>
      </c>
      <c r="X240" s="24" t="str">
        <f t="shared" si="5"/>
        <v>#DIV/0!</v>
      </c>
    </row>
    <row r="241">
      <c r="A241" s="15" t="s">
        <v>1255</v>
      </c>
      <c r="B241" s="18"/>
      <c r="C241" s="16" t="str">
        <f>IMAGE("https://i.ibb.co/99QvHWTn/1097.jpg")</f>
        <v/>
      </c>
      <c r="D241" s="18"/>
      <c r="E241" s="17" t="s">
        <v>1256</v>
      </c>
      <c r="F241" s="18"/>
      <c r="G241" s="18"/>
      <c r="H241" s="15" t="s">
        <v>1257</v>
      </c>
      <c r="I241" s="18"/>
      <c r="J241" s="19" t="s">
        <v>283</v>
      </c>
      <c r="K241" s="19" t="s">
        <v>37</v>
      </c>
      <c r="L241" s="19" t="s">
        <v>38</v>
      </c>
      <c r="M241" s="20">
        <f t="shared" si="1"/>
        <v>0</v>
      </c>
      <c r="N241" s="21"/>
      <c r="O241" s="22"/>
      <c r="P241" s="19" t="s">
        <v>1145</v>
      </c>
      <c r="Q241" s="18"/>
      <c r="R241" s="18"/>
      <c r="S241" s="23">
        <v>0.0</v>
      </c>
      <c r="T241" s="23">
        <v>0.0</v>
      </c>
      <c r="U241" s="23">
        <f t="shared" si="2"/>
        <v>0</v>
      </c>
      <c r="V241" s="23">
        <f t="shared" si="3"/>
        <v>0</v>
      </c>
      <c r="W241" s="23">
        <f t="shared" si="4"/>
        <v>0</v>
      </c>
      <c r="X241" s="24" t="str">
        <f t="shared" si="5"/>
        <v>#DIV/0!</v>
      </c>
    </row>
    <row r="242">
      <c r="A242" s="15" t="s">
        <v>1258</v>
      </c>
      <c r="B242" s="18"/>
      <c r="C242" s="16" t="str">
        <f>IMAGE("https://i.ibb.co/qLCPHYsf/1098.jpg")</f>
        <v/>
      </c>
      <c r="D242" s="18"/>
      <c r="E242" s="17" t="s">
        <v>1259</v>
      </c>
      <c r="F242" s="18"/>
      <c r="G242" s="18"/>
      <c r="H242" s="15" t="s">
        <v>1257</v>
      </c>
      <c r="I242" s="18"/>
      <c r="J242" s="19" t="s">
        <v>283</v>
      </c>
      <c r="K242" s="19" t="s">
        <v>105</v>
      </c>
      <c r="L242" s="19" t="s">
        <v>38</v>
      </c>
      <c r="M242" s="20">
        <f t="shared" si="1"/>
        <v>0</v>
      </c>
      <c r="N242" s="21"/>
      <c r="O242" s="22"/>
      <c r="P242" s="19" t="s">
        <v>1145</v>
      </c>
      <c r="Q242" s="18"/>
      <c r="R242" s="18"/>
      <c r="S242" s="23">
        <v>0.0</v>
      </c>
      <c r="T242" s="23">
        <v>0.0</v>
      </c>
      <c r="U242" s="23">
        <f t="shared" si="2"/>
        <v>0</v>
      </c>
      <c r="V242" s="23">
        <f t="shared" si="3"/>
        <v>0</v>
      </c>
      <c r="W242" s="23">
        <f t="shared" si="4"/>
        <v>0</v>
      </c>
      <c r="X242" s="24" t="str">
        <f t="shared" si="5"/>
        <v>#DIV/0!</v>
      </c>
    </row>
    <row r="243">
      <c r="A243" s="15" t="s">
        <v>1260</v>
      </c>
      <c r="B243" s="18"/>
      <c r="C243" s="16" t="str">
        <f>IMAGE("https://i.ibb.co/FbCNnvyt/1099.jpg")</f>
        <v/>
      </c>
      <c r="D243" s="18"/>
      <c r="E243" s="17" t="s">
        <v>1261</v>
      </c>
      <c r="F243" s="18"/>
      <c r="G243" s="18"/>
      <c r="H243" s="15" t="s">
        <v>1262</v>
      </c>
      <c r="I243" s="18"/>
      <c r="J243" s="19" t="s">
        <v>283</v>
      </c>
      <c r="K243" s="19" t="s">
        <v>284</v>
      </c>
      <c r="L243" s="19" t="s">
        <v>38</v>
      </c>
      <c r="M243" s="20">
        <f t="shared" si="1"/>
        <v>0</v>
      </c>
      <c r="N243" s="21"/>
      <c r="O243" s="22"/>
      <c r="P243" s="19" t="s">
        <v>1145</v>
      </c>
      <c r="Q243" s="18"/>
      <c r="R243" s="18"/>
      <c r="S243" s="23">
        <v>0.0</v>
      </c>
      <c r="T243" s="23">
        <v>0.0</v>
      </c>
      <c r="U243" s="23">
        <f t="shared" si="2"/>
        <v>0</v>
      </c>
      <c r="V243" s="23">
        <f t="shared" si="3"/>
        <v>0</v>
      </c>
      <c r="W243" s="23">
        <f t="shared" si="4"/>
        <v>0</v>
      </c>
      <c r="X243" s="24" t="str">
        <f t="shared" si="5"/>
        <v>#DIV/0!</v>
      </c>
    </row>
    <row r="244">
      <c r="A244" s="15" t="s">
        <v>1263</v>
      </c>
      <c r="B244" s="18"/>
      <c r="C244" s="16" t="str">
        <f>IMAGE("https://i.ibb.co/s9pvCjs5/1100.jpg")</f>
        <v/>
      </c>
      <c r="D244" s="18"/>
      <c r="E244" s="17" t="s">
        <v>1264</v>
      </c>
      <c r="F244" s="18"/>
      <c r="G244" s="18"/>
      <c r="H244" s="15" t="s">
        <v>1265</v>
      </c>
      <c r="I244" s="18"/>
      <c r="J244" s="19" t="s">
        <v>283</v>
      </c>
      <c r="K244" s="19" t="s">
        <v>284</v>
      </c>
      <c r="L244" s="19" t="s">
        <v>38</v>
      </c>
      <c r="M244" s="20">
        <f t="shared" si="1"/>
        <v>0</v>
      </c>
      <c r="N244" s="21"/>
      <c r="O244" s="22"/>
      <c r="P244" s="19" t="s">
        <v>1145</v>
      </c>
      <c r="Q244" s="18"/>
      <c r="R244" s="18"/>
      <c r="S244" s="23">
        <v>0.0</v>
      </c>
      <c r="T244" s="23">
        <v>0.0</v>
      </c>
      <c r="U244" s="23">
        <f t="shared" si="2"/>
        <v>0</v>
      </c>
      <c r="V244" s="23">
        <f t="shared" si="3"/>
        <v>0</v>
      </c>
      <c r="W244" s="23">
        <f t="shared" si="4"/>
        <v>0</v>
      </c>
      <c r="X244" s="24" t="str">
        <f t="shared" si="5"/>
        <v>#DIV/0!</v>
      </c>
    </row>
    <row r="245">
      <c r="A245" s="15" t="s">
        <v>1266</v>
      </c>
      <c r="B245" s="18"/>
      <c r="C245" s="16" t="str">
        <f>IMAGE("https://i.ibb.co/RptYtfk1/1101.jpg")</f>
        <v/>
      </c>
      <c r="D245" s="18"/>
      <c r="E245" s="17" t="s">
        <v>1267</v>
      </c>
      <c r="F245" s="18"/>
      <c r="G245" s="18"/>
      <c r="H245" s="15" t="s">
        <v>1268</v>
      </c>
      <c r="I245" s="18"/>
      <c r="J245" s="19" t="s">
        <v>283</v>
      </c>
      <c r="K245" s="19" t="s">
        <v>1269</v>
      </c>
      <c r="L245" s="19" t="s">
        <v>38</v>
      </c>
      <c r="M245" s="20">
        <f t="shared" si="1"/>
        <v>0</v>
      </c>
      <c r="N245" s="21"/>
      <c r="O245" s="22"/>
      <c r="P245" s="19" t="s">
        <v>1145</v>
      </c>
      <c r="Q245" s="18"/>
      <c r="R245" s="18"/>
      <c r="S245" s="23">
        <v>0.0</v>
      </c>
      <c r="T245" s="23">
        <v>0.0</v>
      </c>
      <c r="U245" s="23">
        <f t="shared" si="2"/>
        <v>0</v>
      </c>
      <c r="V245" s="23">
        <f t="shared" si="3"/>
        <v>0</v>
      </c>
      <c r="W245" s="23">
        <f t="shared" si="4"/>
        <v>0</v>
      </c>
      <c r="X245" s="24" t="str">
        <f t="shared" si="5"/>
        <v>#DIV/0!</v>
      </c>
    </row>
    <row r="246">
      <c r="A246" s="15" t="s">
        <v>1270</v>
      </c>
      <c r="B246" s="18"/>
      <c r="C246" s="16"/>
      <c r="D246" s="18"/>
      <c r="E246" s="17" t="s">
        <v>1271</v>
      </c>
      <c r="F246" s="18"/>
      <c r="G246" s="18"/>
      <c r="H246" s="15" t="s">
        <v>1272</v>
      </c>
      <c r="I246" s="18"/>
      <c r="J246" s="19" t="s">
        <v>283</v>
      </c>
      <c r="K246" s="19" t="s">
        <v>105</v>
      </c>
      <c r="L246" s="19" t="s">
        <v>38</v>
      </c>
      <c r="M246" s="20">
        <f t="shared" si="1"/>
        <v>0</v>
      </c>
      <c r="N246" s="21"/>
      <c r="O246" s="22"/>
      <c r="P246" s="19" t="s">
        <v>1145</v>
      </c>
      <c r="Q246" s="18"/>
      <c r="R246" s="18"/>
      <c r="S246" s="23">
        <v>0.0</v>
      </c>
      <c r="T246" s="23">
        <v>0.0</v>
      </c>
      <c r="U246" s="23">
        <f t="shared" si="2"/>
        <v>0</v>
      </c>
      <c r="V246" s="23">
        <f t="shared" si="3"/>
        <v>0</v>
      </c>
      <c r="W246" s="23">
        <f t="shared" si="4"/>
        <v>0</v>
      </c>
      <c r="X246" s="24" t="str">
        <f t="shared" si="5"/>
        <v>#DIV/0!</v>
      </c>
    </row>
    <row r="247">
      <c r="A247" s="15" t="s">
        <v>1273</v>
      </c>
      <c r="B247" s="18"/>
      <c r="C247" s="16"/>
      <c r="D247" s="18"/>
      <c r="E247" s="17" t="s">
        <v>1274</v>
      </c>
      <c r="F247" s="18"/>
      <c r="G247" s="18"/>
      <c r="H247" s="15" t="s">
        <v>1275</v>
      </c>
      <c r="I247" s="18"/>
      <c r="J247" s="19" t="s">
        <v>283</v>
      </c>
      <c r="K247" s="19" t="s">
        <v>284</v>
      </c>
      <c r="L247" s="19" t="s">
        <v>38</v>
      </c>
      <c r="M247" s="20">
        <f t="shared" si="1"/>
        <v>0</v>
      </c>
      <c r="N247" s="21"/>
      <c r="O247" s="22"/>
      <c r="P247" s="19" t="s">
        <v>1145</v>
      </c>
      <c r="Q247" s="18"/>
      <c r="R247" s="18"/>
      <c r="S247" s="23">
        <v>0.0</v>
      </c>
      <c r="T247" s="23">
        <v>0.0</v>
      </c>
      <c r="U247" s="23">
        <f t="shared" si="2"/>
        <v>0</v>
      </c>
      <c r="V247" s="23">
        <f t="shared" si="3"/>
        <v>0</v>
      </c>
      <c r="W247" s="23">
        <f t="shared" si="4"/>
        <v>0</v>
      </c>
      <c r="X247" s="24" t="str">
        <f t="shared" si="5"/>
        <v>#DIV/0!</v>
      </c>
    </row>
    <row r="248">
      <c r="A248" s="15" t="s">
        <v>1276</v>
      </c>
      <c r="B248" s="18"/>
      <c r="C248" s="16"/>
      <c r="D248" s="18"/>
      <c r="E248" s="17" t="s">
        <v>1277</v>
      </c>
      <c r="F248" s="18"/>
      <c r="G248" s="18"/>
      <c r="H248" s="15" t="s">
        <v>1278</v>
      </c>
      <c r="I248" s="18"/>
      <c r="J248" s="19" t="s">
        <v>283</v>
      </c>
      <c r="K248" s="19" t="s">
        <v>105</v>
      </c>
      <c r="L248" s="19" t="s">
        <v>38</v>
      </c>
      <c r="M248" s="20">
        <f t="shared" si="1"/>
        <v>0</v>
      </c>
      <c r="N248" s="21"/>
      <c r="O248" s="22"/>
      <c r="P248" s="19" t="s">
        <v>1145</v>
      </c>
      <c r="Q248" s="18"/>
      <c r="R248" s="18"/>
      <c r="S248" s="23">
        <v>0.0</v>
      </c>
      <c r="T248" s="23">
        <v>0.0</v>
      </c>
      <c r="U248" s="23">
        <f t="shared" si="2"/>
        <v>0</v>
      </c>
      <c r="V248" s="23">
        <f t="shared" si="3"/>
        <v>0</v>
      </c>
      <c r="W248" s="23">
        <f t="shared" si="4"/>
        <v>0</v>
      </c>
      <c r="X248" s="24" t="str">
        <f t="shared" si="5"/>
        <v>#DIV/0!</v>
      </c>
    </row>
    <row r="249">
      <c r="A249" s="15" t="s">
        <v>1279</v>
      </c>
      <c r="B249" s="18"/>
      <c r="C249" s="16"/>
      <c r="D249" s="18"/>
      <c r="E249" s="17" t="s">
        <v>1280</v>
      </c>
      <c r="F249" s="18"/>
      <c r="G249" s="18"/>
      <c r="H249" s="15" t="s">
        <v>1281</v>
      </c>
      <c r="I249" s="18"/>
      <c r="J249" s="19" t="s">
        <v>283</v>
      </c>
      <c r="K249" s="19" t="s">
        <v>284</v>
      </c>
      <c r="L249" s="19" t="s">
        <v>38</v>
      </c>
      <c r="M249" s="20">
        <f t="shared" si="1"/>
        <v>0</v>
      </c>
      <c r="N249" s="21"/>
      <c r="O249" s="22"/>
      <c r="P249" s="19" t="s">
        <v>1145</v>
      </c>
      <c r="Q249" s="18"/>
      <c r="R249" s="18"/>
      <c r="S249" s="23">
        <v>0.0</v>
      </c>
      <c r="T249" s="23">
        <v>0.0</v>
      </c>
      <c r="U249" s="23">
        <f t="shared" si="2"/>
        <v>0</v>
      </c>
      <c r="V249" s="23">
        <f t="shared" si="3"/>
        <v>0</v>
      </c>
      <c r="W249" s="23">
        <f t="shared" si="4"/>
        <v>0</v>
      </c>
      <c r="X249" s="24" t="str">
        <f t="shared" si="5"/>
        <v>#DIV/0!</v>
      </c>
    </row>
    <row r="250">
      <c r="A250" s="15" t="s">
        <v>1282</v>
      </c>
      <c r="B250" s="18"/>
      <c r="C250" s="16"/>
      <c r="D250" s="18"/>
      <c r="E250" s="17" t="s">
        <v>1283</v>
      </c>
      <c r="F250" s="18"/>
      <c r="G250" s="18"/>
      <c r="H250" s="15" t="s">
        <v>1284</v>
      </c>
      <c r="I250" s="18"/>
      <c r="J250" s="19" t="s">
        <v>283</v>
      </c>
      <c r="K250" s="19" t="s">
        <v>284</v>
      </c>
      <c r="L250" s="19" t="s">
        <v>38</v>
      </c>
      <c r="M250" s="20">
        <f t="shared" si="1"/>
        <v>0</v>
      </c>
      <c r="N250" s="21"/>
      <c r="O250" s="22"/>
      <c r="P250" s="19" t="s">
        <v>1145</v>
      </c>
      <c r="Q250" s="18"/>
      <c r="R250" s="18"/>
      <c r="S250" s="23">
        <v>0.0</v>
      </c>
      <c r="T250" s="23">
        <v>0.0</v>
      </c>
      <c r="U250" s="23">
        <f t="shared" si="2"/>
        <v>0</v>
      </c>
      <c r="V250" s="23">
        <f t="shared" si="3"/>
        <v>0</v>
      </c>
      <c r="W250" s="23">
        <f t="shared" si="4"/>
        <v>0</v>
      </c>
      <c r="X250" s="24" t="str">
        <f t="shared" si="5"/>
        <v>#DIV/0!</v>
      </c>
    </row>
    <row r="251">
      <c r="A251" s="15" t="s">
        <v>1285</v>
      </c>
      <c r="B251" s="18"/>
      <c r="C251" s="16"/>
      <c r="D251" s="18"/>
      <c r="E251" s="17" t="s">
        <v>1286</v>
      </c>
      <c r="F251" s="18"/>
      <c r="G251" s="18"/>
      <c r="H251" s="15" t="s">
        <v>1287</v>
      </c>
      <c r="I251" s="18"/>
      <c r="J251" s="19" t="s">
        <v>283</v>
      </c>
      <c r="K251" s="19" t="s">
        <v>105</v>
      </c>
      <c r="L251" s="19" t="s">
        <v>38</v>
      </c>
      <c r="M251" s="20">
        <f t="shared" si="1"/>
        <v>0</v>
      </c>
      <c r="N251" s="21"/>
      <c r="O251" s="22"/>
      <c r="P251" s="19" t="s">
        <v>1145</v>
      </c>
      <c r="Q251" s="18"/>
      <c r="R251" s="18"/>
      <c r="S251" s="23">
        <v>0.0</v>
      </c>
      <c r="T251" s="23">
        <v>0.0</v>
      </c>
      <c r="U251" s="23">
        <f t="shared" si="2"/>
        <v>0</v>
      </c>
      <c r="V251" s="23">
        <f t="shared" si="3"/>
        <v>0</v>
      </c>
      <c r="W251" s="23">
        <f t="shared" si="4"/>
        <v>0</v>
      </c>
      <c r="X251" s="24" t="str">
        <f t="shared" si="5"/>
        <v>#DIV/0!</v>
      </c>
    </row>
    <row r="252">
      <c r="A252" s="15" t="s">
        <v>1288</v>
      </c>
      <c r="B252" s="18"/>
      <c r="C252" s="16"/>
      <c r="D252" s="18"/>
      <c r="E252" s="17" t="s">
        <v>1289</v>
      </c>
      <c r="F252" s="18"/>
      <c r="G252" s="18"/>
      <c r="H252" s="15" t="s">
        <v>1290</v>
      </c>
      <c r="I252" s="18"/>
      <c r="J252" s="19" t="s">
        <v>283</v>
      </c>
      <c r="K252" s="19" t="s">
        <v>105</v>
      </c>
      <c r="L252" s="19" t="s">
        <v>38</v>
      </c>
      <c r="M252" s="20">
        <f t="shared" si="1"/>
        <v>0</v>
      </c>
      <c r="N252" s="21"/>
      <c r="O252" s="22"/>
      <c r="P252" s="19" t="s">
        <v>1145</v>
      </c>
      <c r="Q252" s="18"/>
      <c r="R252" s="18"/>
      <c r="S252" s="23">
        <v>0.0</v>
      </c>
      <c r="T252" s="23">
        <v>0.0</v>
      </c>
      <c r="U252" s="23">
        <f t="shared" si="2"/>
        <v>0</v>
      </c>
      <c r="V252" s="23">
        <f t="shared" si="3"/>
        <v>0</v>
      </c>
      <c r="W252" s="23">
        <f t="shared" si="4"/>
        <v>0</v>
      </c>
      <c r="X252" s="24" t="str">
        <f t="shared" si="5"/>
        <v>#DIV/0!</v>
      </c>
    </row>
    <row r="253">
      <c r="A253" s="15" t="s">
        <v>1291</v>
      </c>
      <c r="B253" s="18"/>
      <c r="C253" s="16"/>
      <c r="D253" s="18"/>
      <c r="E253" s="17" t="s">
        <v>1292</v>
      </c>
      <c r="F253" s="18"/>
      <c r="G253" s="18"/>
      <c r="H253" s="15" t="s">
        <v>1293</v>
      </c>
      <c r="I253" s="18"/>
      <c r="J253" s="19" t="s">
        <v>283</v>
      </c>
      <c r="K253" s="19" t="s">
        <v>105</v>
      </c>
      <c r="L253" s="19" t="s">
        <v>38</v>
      </c>
      <c r="M253" s="20">
        <f t="shared" si="1"/>
        <v>0</v>
      </c>
      <c r="N253" s="21"/>
      <c r="O253" s="22"/>
      <c r="P253" s="19" t="s">
        <v>1145</v>
      </c>
      <c r="Q253" s="18"/>
      <c r="R253" s="18"/>
      <c r="S253" s="23">
        <v>0.0</v>
      </c>
      <c r="T253" s="23">
        <v>0.0</v>
      </c>
      <c r="U253" s="23">
        <f t="shared" si="2"/>
        <v>0</v>
      </c>
      <c r="V253" s="23">
        <f t="shared" si="3"/>
        <v>0</v>
      </c>
      <c r="W253" s="23">
        <f t="shared" si="4"/>
        <v>0</v>
      </c>
      <c r="X253" s="24" t="str">
        <f t="shared" si="5"/>
        <v>#DIV/0!</v>
      </c>
    </row>
    <row r="254">
      <c r="A254" s="15" t="s">
        <v>1294</v>
      </c>
      <c r="B254" s="18"/>
      <c r="C254" s="16"/>
      <c r="D254" s="18"/>
      <c r="E254" s="17" t="s">
        <v>1295</v>
      </c>
      <c r="F254" s="18"/>
      <c r="G254" s="18"/>
      <c r="H254" s="15" t="s">
        <v>1296</v>
      </c>
      <c r="I254" s="18"/>
      <c r="J254" s="19" t="s">
        <v>283</v>
      </c>
      <c r="K254" s="19" t="s">
        <v>284</v>
      </c>
      <c r="L254" s="19" t="s">
        <v>38</v>
      </c>
      <c r="M254" s="20">
        <f t="shared" si="1"/>
        <v>0</v>
      </c>
      <c r="N254" s="21"/>
      <c r="O254" s="22"/>
      <c r="P254" s="19" t="s">
        <v>1145</v>
      </c>
      <c r="Q254" s="18"/>
      <c r="R254" s="18"/>
      <c r="S254" s="23">
        <v>0.0</v>
      </c>
      <c r="T254" s="23">
        <v>0.0</v>
      </c>
      <c r="U254" s="23">
        <f t="shared" si="2"/>
        <v>0</v>
      </c>
      <c r="V254" s="23">
        <f t="shared" si="3"/>
        <v>0</v>
      </c>
      <c r="W254" s="23">
        <f t="shared" si="4"/>
        <v>0</v>
      </c>
      <c r="X254" s="24" t="str">
        <f t="shared" si="5"/>
        <v>#DIV/0!</v>
      </c>
    </row>
    <row r="255">
      <c r="A255" s="15" t="s">
        <v>1297</v>
      </c>
      <c r="B255" s="18"/>
      <c r="C255" s="16"/>
      <c r="D255" s="18"/>
      <c r="E255" s="17" t="s">
        <v>1298</v>
      </c>
      <c r="F255" s="18"/>
      <c r="G255" s="18"/>
      <c r="H255" s="15" t="s">
        <v>1299</v>
      </c>
      <c r="I255" s="18"/>
      <c r="J255" s="19" t="s">
        <v>283</v>
      </c>
      <c r="K255" s="19" t="s">
        <v>284</v>
      </c>
      <c r="L255" s="19" t="s">
        <v>38</v>
      </c>
      <c r="M255" s="20">
        <f t="shared" si="1"/>
        <v>0</v>
      </c>
      <c r="N255" s="21"/>
      <c r="O255" s="22"/>
      <c r="P255" s="19" t="s">
        <v>1145</v>
      </c>
      <c r="Q255" s="18"/>
      <c r="R255" s="18"/>
      <c r="S255" s="23">
        <v>0.0</v>
      </c>
      <c r="T255" s="23">
        <v>0.0</v>
      </c>
      <c r="U255" s="23">
        <f t="shared" si="2"/>
        <v>0</v>
      </c>
      <c r="V255" s="23">
        <f t="shared" si="3"/>
        <v>0</v>
      </c>
      <c r="W255" s="23">
        <f t="shared" si="4"/>
        <v>0</v>
      </c>
      <c r="X255" s="24" t="str">
        <f t="shared" si="5"/>
        <v>#DIV/0!</v>
      </c>
    </row>
    <row r="256">
      <c r="A256" s="15" t="s">
        <v>1300</v>
      </c>
      <c r="B256" s="18"/>
      <c r="C256" s="16"/>
      <c r="D256" s="18"/>
      <c r="E256" s="17" t="s">
        <v>1301</v>
      </c>
      <c r="F256" s="18"/>
      <c r="G256" s="18"/>
      <c r="H256" s="15" t="s">
        <v>1302</v>
      </c>
      <c r="I256" s="18"/>
      <c r="J256" s="19" t="s">
        <v>283</v>
      </c>
      <c r="K256" s="19" t="s">
        <v>105</v>
      </c>
      <c r="L256" s="19" t="s">
        <v>38</v>
      </c>
      <c r="M256" s="20">
        <f t="shared" si="1"/>
        <v>0</v>
      </c>
      <c r="N256" s="21"/>
      <c r="O256" s="22"/>
      <c r="P256" s="19" t="s">
        <v>1145</v>
      </c>
      <c r="Q256" s="18"/>
      <c r="R256" s="18"/>
      <c r="S256" s="23">
        <v>0.0</v>
      </c>
      <c r="T256" s="23">
        <v>0.0</v>
      </c>
      <c r="U256" s="23">
        <f t="shared" si="2"/>
        <v>0</v>
      </c>
      <c r="V256" s="23">
        <f t="shared" si="3"/>
        <v>0</v>
      </c>
      <c r="W256" s="23">
        <f t="shared" si="4"/>
        <v>0</v>
      </c>
      <c r="X256" s="24" t="str">
        <f t="shared" si="5"/>
        <v>#DIV/0!</v>
      </c>
    </row>
    <row r="257">
      <c r="A257" s="15" t="s">
        <v>1303</v>
      </c>
      <c r="B257" s="18"/>
      <c r="C257" s="16"/>
      <c r="D257" s="18"/>
      <c r="E257" s="17" t="s">
        <v>1304</v>
      </c>
      <c r="F257" s="18"/>
      <c r="G257" s="18"/>
      <c r="H257" s="15" t="s">
        <v>1305</v>
      </c>
      <c r="I257" s="18"/>
      <c r="J257" s="19" t="s">
        <v>283</v>
      </c>
      <c r="K257" s="19" t="s">
        <v>105</v>
      </c>
      <c r="L257" s="19" t="s">
        <v>38</v>
      </c>
      <c r="M257" s="20">
        <f t="shared" si="1"/>
        <v>0</v>
      </c>
      <c r="N257" s="21"/>
      <c r="O257" s="22"/>
      <c r="P257" s="19" t="s">
        <v>1145</v>
      </c>
      <c r="Q257" s="18"/>
      <c r="R257" s="18"/>
      <c r="S257" s="23">
        <v>0.0</v>
      </c>
      <c r="T257" s="23">
        <v>0.0</v>
      </c>
      <c r="U257" s="23">
        <f t="shared" si="2"/>
        <v>0</v>
      </c>
      <c r="V257" s="23">
        <f t="shared" si="3"/>
        <v>0</v>
      </c>
      <c r="W257" s="23">
        <f t="shared" si="4"/>
        <v>0</v>
      </c>
      <c r="X257" s="24" t="str">
        <f t="shared" si="5"/>
        <v>#DIV/0!</v>
      </c>
    </row>
    <row r="258">
      <c r="A258" s="15" t="s">
        <v>1306</v>
      </c>
      <c r="B258" s="18"/>
      <c r="C258" s="16"/>
      <c r="D258" s="18"/>
      <c r="E258" s="17" t="s">
        <v>1307</v>
      </c>
      <c r="F258" s="18"/>
      <c r="G258" s="18"/>
      <c r="H258" s="15" t="s">
        <v>1308</v>
      </c>
      <c r="I258" s="18"/>
      <c r="J258" s="19" t="s">
        <v>283</v>
      </c>
      <c r="K258" s="19" t="s">
        <v>284</v>
      </c>
      <c r="L258" s="19" t="s">
        <v>38</v>
      </c>
      <c r="M258" s="20">
        <f t="shared" si="1"/>
        <v>0</v>
      </c>
      <c r="N258" s="21"/>
      <c r="O258" s="22"/>
      <c r="P258" s="19" t="s">
        <v>1145</v>
      </c>
      <c r="Q258" s="18"/>
      <c r="R258" s="18"/>
      <c r="S258" s="23">
        <v>0.0</v>
      </c>
      <c r="T258" s="23">
        <v>0.0</v>
      </c>
      <c r="U258" s="23">
        <f t="shared" si="2"/>
        <v>0</v>
      </c>
      <c r="V258" s="23">
        <f t="shared" si="3"/>
        <v>0</v>
      </c>
      <c r="W258" s="23">
        <f t="shared" si="4"/>
        <v>0</v>
      </c>
      <c r="X258" s="24" t="str">
        <f t="shared" si="5"/>
        <v>#DIV/0!</v>
      </c>
    </row>
    <row r="259">
      <c r="A259" s="15" t="s">
        <v>1309</v>
      </c>
      <c r="B259" s="18"/>
      <c r="C259" s="16"/>
      <c r="D259" s="18"/>
      <c r="E259" s="17" t="s">
        <v>1310</v>
      </c>
      <c r="F259" s="18"/>
      <c r="G259" s="18"/>
      <c r="H259" s="15" t="s">
        <v>1311</v>
      </c>
      <c r="I259" s="18"/>
      <c r="J259" s="19" t="s">
        <v>283</v>
      </c>
      <c r="K259" s="19" t="s">
        <v>105</v>
      </c>
      <c r="L259" s="19" t="s">
        <v>38</v>
      </c>
      <c r="M259" s="20">
        <f t="shared" si="1"/>
        <v>0</v>
      </c>
      <c r="N259" s="21"/>
      <c r="O259" s="22"/>
      <c r="P259" s="19" t="s">
        <v>1145</v>
      </c>
      <c r="Q259" s="18"/>
      <c r="R259" s="18"/>
      <c r="S259" s="23">
        <v>0.0</v>
      </c>
      <c r="T259" s="23">
        <v>0.0</v>
      </c>
      <c r="U259" s="23">
        <f t="shared" si="2"/>
        <v>0</v>
      </c>
      <c r="V259" s="23">
        <f t="shared" si="3"/>
        <v>0</v>
      </c>
      <c r="W259" s="23">
        <f t="shared" si="4"/>
        <v>0</v>
      </c>
      <c r="X259" s="24" t="str">
        <f t="shared" si="5"/>
        <v>#DIV/0!</v>
      </c>
    </row>
    <row r="260">
      <c r="A260" s="15" t="s">
        <v>1312</v>
      </c>
      <c r="B260" s="18"/>
      <c r="C260" s="16"/>
      <c r="D260" s="18"/>
      <c r="E260" s="17" t="s">
        <v>1313</v>
      </c>
      <c r="F260" s="18"/>
      <c r="G260" s="18"/>
      <c r="H260" s="15" t="s">
        <v>1314</v>
      </c>
      <c r="I260" s="18"/>
      <c r="J260" s="19" t="s">
        <v>283</v>
      </c>
      <c r="K260" s="19" t="s">
        <v>284</v>
      </c>
      <c r="L260" s="19" t="s">
        <v>38</v>
      </c>
      <c r="M260" s="20">
        <f t="shared" si="1"/>
        <v>0</v>
      </c>
      <c r="N260" s="21"/>
      <c r="O260" s="22"/>
      <c r="P260" s="19" t="s">
        <v>1145</v>
      </c>
      <c r="Q260" s="18"/>
      <c r="R260" s="18"/>
      <c r="S260" s="23">
        <v>0.0</v>
      </c>
      <c r="T260" s="23">
        <v>0.0</v>
      </c>
      <c r="U260" s="23">
        <f t="shared" si="2"/>
        <v>0</v>
      </c>
      <c r="V260" s="23">
        <f t="shared" si="3"/>
        <v>0</v>
      </c>
      <c r="W260" s="23">
        <f t="shared" si="4"/>
        <v>0</v>
      </c>
      <c r="X260" s="24" t="str">
        <f t="shared" si="5"/>
        <v>#DIV/0!</v>
      </c>
    </row>
    <row r="261">
      <c r="A261" s="15" t="s">
        <v>1315</v>
      </c>
      <c r="B261" s="18"/>
      <c r="C261" s="16"/>
      <c r="D261" s="18"/>
      <c r="E261" s="17" t="s">
        <v>1316</v>
      </c>
      <c r="F261" s="18"/>
      <c r="G261" s="18"/>
      <c r="H261" s="15" t="s">
        <v>1317</v>
      </c>
      <c r="I261" s="18"/>
      <c r="J261" s="19" t="s">
        <v>283</v>
      </c>
      <c r="K261" s="19" t="s">
        <v>284</v>
      </c>
      <c r="L261" s="19" t="s">
        <v>38</v>
      </c>
      <c r="M261" s="20">
        <f t="shared" si="1"/>
        <v>0</v>
      </c>
      <c r="N261" s="21"/>
      <c r="O261" s="22"/>
      <c r="P261" s="19" t="s">
        <v>1145</v>
      </c>
      <c r="Q261" s="18"/>
      <c r="R261" s="18"/>
      <c r="S261" s="23">
        <v>0.0</v>
      </c>
      <c r="T261" s="23">
        <v>0.0</v>
      </c>
      <c r="U261" s="23">
        <f t="shared" si="2"/>
        <v>0</v>
      </c>
      <c r="V261" s="23">
        <f t="shared" si="3"/>
        <v>0</v>
      </c>
      <c r="W261" s="23">
        <f t="shared" si="4"/>
        <v>0</v>
      </c>
      <c r="X261" s="24" t="str">
        <f t="shared" si="5"/>
        <v>#DIV/0!</v>
      </c>
    </row>
    <row r="262">
      <c r="A262" s="15" t="s">
        <v>1318</v>
      </c>
      <c r="B262" s="18"/>
      <c r="C262" s="16"/>
      <c r="D262" s="18"/>
      <c r="E262" s="17" t="s">
        <v>1295</v>
      </c>
      <c r="F262" s="18"/>
      <c r="G262" s="18"/>
      <c r="H262" s="15" t="s">
        <v>1319</v>
      </c>
      <c r="I262" s="18"/>
      <c r="J262" s="19" t="s">
        <v>283</v>
      </c>
      <c r="K262" s="19" t="s">
        <v>284</v>
      </c>
      <c r="L262" s="19" t="s">
        <v>38</v>
      </c>
      <c r="M262" s="20">
        <f t="shared" si="1"/>
        <v>0</v>
      </c>
      <c r="N262" s="21"/>
      <c r="O262" s="22"/>
      <c r="P262" s="19" t="s">
        <v>1145</v>
      </c>
      <c r="Q262" s="18"/>
      <c r="R262" s="18"/>
      <c r="S262" s="23">
        <v>0.0</v>
      </c>
      <c r="T262" s="23">
        <v>0.0</v>
      </c>
      <c r="U262" s="23">
        <f t="shared" si="2"/>
        <v>0</v>
      </c>
      <c r="V262" s="23">
        <f t="shared" si="3"/>
        <v>0</v>
      </c>
      <c r="W262" s="23">
        <f t="shared" si="4"/>
        <v>0</v>
      </c>
      <c r="X262" s="24" t="str">
        <f t="shared" si="5"/>
        <v>#DIV/0!</v>
      </c>
    </row>
    <row r="263">
      <c r="A263" s="15" t="s">
        <v>1320</v>
      </c>
      <c r="B263" s="18"/>
      <c r="C263" s="16"/>
      <c r="D263" s="18"/>
      <c r="E263" s="17" t="s">
        <v>1289</v>
      </c>
      <c r="F263" s="18"/>
      <c r="G263" s="18"/>
      <c r="H263" s="15" t="s">
        <v>1321</v>
      </c>
      <c r="I263" s="18"/>
      <c r="J263" s="19" t="s">
        <v>283</v>
      </c>
      <c r="K263" s="19" t="s">
        <v>105</v>
      </c>
      <c r="L263" s="19" t="s">
        <v>38</v>
      </c>
      <c r="M263" s="20">
        <f t="shared" si="1"/>
        <v>0</v>
      </c>
      <c r="N263" s="21"/>
      <c r="O263" s="22"/>
      <c r="P263" s="19" t="s">
        <v>1145</v>
      </c>
      <c r="Q263" s="18"/>
      <c r="R263" s="18"/>
      <c r="S263" s="23">
        <v>0.0</v>
      </c>
      <c r="T263" s="23">
        <v>0.0</v>
      </c>
      <c r="U263" s="23">
        <f t="shared" si="2"/>
        <v>0</v>
      </c>
      <c r="V263" s="23">
        <f t="shared" si="3"/>
        <v>0</v>
      </c>
      <c r="W263" s="23">
        <f t="shared" si="4"/>
        <v>0</v>
      </c>
      <c r="X263" s="24" t="str">
        <f t="shared" si="5"/>
        <v>#DIV/0!</v>
      </c>
    </row>
    <row r="264">
      <c r="A264" s="15" t="s">
        <v>1322</v>
      </c>
      <c r="B264" s="18"/>
      <c r="C264" s="16"/>
      <c r="D264" s="18"/>
      <c r="E264" s="17" t="s">
        <v>1292</v>
      </c>
      <c r="F264" s="18"/>
      <c r="G264" s="18"/>
      <c r="H264" s="15" t="s">
        <v>1323</v>
      </c>
      <c r="I264" s="18"/>
      <c r="J264" s="19" t="s">
        <v>283</v>
      </c>
      <c r="K264" s="19" t="s">
        <v>105</v>
      </c>
      <c r="L264" s="19" t="s">
        <v>38</v>
      </c>
      <c r="M264" s="20">
        <f t="shared" si="1"/>
        <v>0</v>
      </c>
      <c r="N264" s="21"/>
      <c r="O264" s="22"/>
      <c r="P264" s="19" t="s">
        <v>1145</v>
      </c>
      <c r="Q264" s="18"/>
      <c r="R264" s="18"/>
      <c r="S264" s="23">
        <v>0.0</v>
      </c>
      <c r="T264" s="23">
        <v>0.0</v>
      </c>
      <c r="U264" s="23">
        <f t="shared" si="2"/>
        <v>0</v>
      </c>
      <c r="V264" s="23">
        <f t="shared" si="3"/>
        <v>0</v>
      </c>
      <c r="W264" s="23">
        <f t="shared" si="4"/>
        <v>0</v>
      </c>
      <c r="X264" s="24" t="str">
        <f t="shared" si="5"/>
        <v>#DIV/0!</v>
      </c>
    </row>
    <row r="265">
      <c r="A265" s="15" t="s">
        <v>1324</v>
      </c>
      <c r="B265" s="18"/>
      <c r="C265" s="16"/>
      <c r="D265" s="18"/>
      <c r="E265" s="17" t="s">
        <v>1298</v>
      </c>
      <c r="F265" s="18"/>
      <c r="G265" s="18"/>
      <c r="H265" s="15" t="s">
        <v>1325</v>
      </c>
      <c r="I265" s="18"/>
      <c r="J265" s="19" t="s">
        <v>283</v>
      </c>
      <c r="K265" s="19" t="s">
        <v>284</v>
      </c>
      <c r="L265" s="19" t="s">
        <v>38</v>
      </c>
      <c r="M265" s="20">
        <f t="shared" si="1"/>
        <v>0</v>
      </c>
      <c r="N265" s="21"/>
      <c r="O265" s="22"/>
      <c r="P265" s="19" t="s">
        <v>1145</v>
      </c>
      <c r="Q265" s="18"/>
      <c r="R265" s="18"/>
      <c r="S265" s="23">
        <v>0.0</v>
      </c>
      <c r="T265" s="23">
        <v>0.0</v>
      </c>
      <c r="U265" s="23">
        <f t="shared" si="2"/>
        <v>0</v>
      </c>
      <c r="V265" s="23">
        <f t="shared" si="3"/>
        <v>0</v>
      </c>
      <c r="W265" s="23">
        <f t="shared" si="4"/>
        <v>0</v>
      </c>
      <c r="X265" s="24" t="str">
        <f t="shared" si="5"/>
        <v>#DIV/0!</v>
      </c>
    </row>
    <row r="266">
      <c r="A266" s="15" t="s">
        <v>1326</v>
      </c>
      <c r="B266" s="18"/>
      <c r="C266" s="16"/>
      <c r="D266" s="18"/>
      <c r="E266" s="17" t="s">
        <v>1327</v>
      </c>
      <c r="F266" s="18"/>
      <c r="G266" s="18"/>
      <c r="H266" s="15" t="s">
        <v>1328</v>
      </c>
      <c r="I266" s="18"/>
      <c r="J266" s="19" t="s">
        <v>283</v>
      </c>
      <c r="K266" s="19" t="s">
        <v>105</v>
      </c>
      <c r="L266" s="19" t="s">
        <v>38</v>
      </c>
      <c r="M266" s="20">
        <f t="shared" si="1"/>
        <v>0</v>
      </c>
      <c r="N266" s="21"/>
      <c r="O266" s="22"/>
      <c r="P266" s="19" t="s">
        <v>1145</v>
      </c>
      <c r="Q266" s="18"/>
      <c r="R266" s="18"/>
      <c r="S266" s="23">
        <v>0.0</v>
      </c>
      <c r="T266" s="23">
        <v>0.0</v>
      </c>
      <c r="U266" s="23">
        <f t="shared" si="2"/>
        <v>0</v>
      </c>
      <c r="V266" s="23">
        <f t="shared" si="3"/>
        <v>0</v>
      </c>
      <c r="W266" s="23">
        <f t="shared" si="4"/>
        <v>0</v>
      </c>
      <c r="X266" s="24" t="str">
        <f t="shared" si="5"/>
        <v>#DIV/0!</v>
      </c>
    </row>
    <row r="267">
      <c r="A267" s="15" t="s">
        <v>1329</v>
      </c>
      <c r="B267" s="18"/>
      <c r="C267" s="16"/>
      <c r="D267" s="18"/>
      <c r="E267" s="17" t="s">
        <v>1330</v>
      </c>
      <c r="F267" s="18"/>
      <c r="G267" s="18"/>
      <c r="H267" s="15" t="s">
        <v>1331</v>
      </c>
      <c r="I267" s="18"/>
      <c r="J267" s="19" t="s">
        <v>283</v>
      </c>
      <c r="K267" s="19" t="s">
        <v>37</v>
      </c>
      <c r="L267" s="19" t="s">
        <v>38</v>
      </c>
      <c r="M267" s="20">
        <f t="shared" si="1"/>
        <v>0</v>
      </c>
      <c r="N267" s="21"/>
      <c r="O267" s="22"/>
      <c r="P267" s="19" t="s">
        <v>1145</v>
      </c>
      <c r="Q267" s="18"/>
      <c r="R267" s="18"/>
      <c r="S267" s="23">
        <v>0.0</v>
      </c>
      <c r="T267" s="23">
        <v>0.0</v>
      </c>
      <c r="U267" s="23">
        <f t="shared" si="2"/>
        <v>0</v>
      </c>
      <c r="V267" s="23">
        <f t="shared" si="3"/>
        <v>0</v>
      </c>
      <c r="W267" s="23">
        <f t="shared" si="4"/>
        <v>0</v>
      </c>
      <c r="X267" s="24" t="str">
        <f t="shared" si="5"/>
        <v>#DIV/0!</v>
      </c>
    </row>
    <row r="268">
      <c r="A268" s="15" t="s">
        <v>1332</v>
      </c>
      <c r="B268" s="18"/>
      <c r="C268" s="16"/>
      <c r="D268" s="18"/>
      <c r="E268" s="17" t="s">
        <v>1333</v>
      </c>
      <c r="F268" s="18"/>
      <c r="G268" s="18"/>
      <c r="H268" s="15" t="s">
        <v>1334</v>
      </c>
      <c r="I268" s="18"/>
      <c r="J268" s="19" t="s">
        <v>283</v>
      </c>
      <c r="K268" s="19" t="s">
        <v>105</v>
      </c>
      <c r="L268" s="19" t="s">
        <v>38</v>
      </c>
      <c r="M268" s="20">
        <f t="shared" si="1"/>
        <v>0</v>
      </c>
      <c r="N268" s="21"/>
      <c r="O268" s="22"/>
      <c r="P268" s="19" t="s">
        <v>1145</v>
      </c>
      <c r="Q268" s="18"/>
      <c r="R268" s="18"/>
      <c r="S268" s="23">
        <v>0.0</v>
      </c>
      <c r="T268" s="23">
        <v>0.0</v>
      </c>
      <c r="U268" s="23">
        <f t="shared" si="2"/>
        <v>0</v>
      </c>
      <c r="V268" s="23">
        <f t="shared" si="3"/>
        <v>0</v>
      </c>
      <c r="W268" s="23">
        <f t="shared" si="4"/>
        <v>0</v>
      </c>
      <c r="X268" s="24" t="str">
        <f t="shared" si="5"/>
        <v>#DIV/0!</v>
      </c>
    </row>
    <row r="269">
      <c r="A269" s="15" t="s">
        <v>1335</v>
      </c>
      <c r="B269" s="18"/>
      <c r="C269" s="16"/>
      <c r="D269" s="18"/>
      <c r="E269" s="17" t="s">
        <v>1336</v>
      </c>
      <c r="F269" s="18"/>
      <c r="G269" s="18"/>
      <c r="H269" s="15" t="s">
        <v>1337</v>
      </c>
      <c r="I269" s="18"/>
      <c r="J269" s="19" t="s">
        <v>283</v>
      </c>
      <c r="K269" s="19" t="s">
        <v>105</v>
      </c>
      <c r="L269" s="19" t="s">
        <v>38</v>
      </c>
      <c r="M269" s="20">
        <f t="shared" si="1"/>
        <v>0</v>
      </c>
      <c r="N269" s="21"/>
      <c r="O269" s="22"/>
      <c r="P269" s="19" t="s">
        <v>1145</v>
      </c>
      <c r="Q269" s="18"/>
      <c r="R269" s="18"/>
      <c r="S269" s="23">
        <v>0.0</v>
      </c>
      <c r="T269" s="23">
        <v>0.0</v>
      </c>
      <c r="U269" s="23">
        <f t="shared" si="2"/>
        <v>0</v>
      </c>
      <c r="V269" s="23">
        <f t="shared" si="3"/>
        <v>0</v>
      </c>
      <c r="W269" s="23">
        <f t="shared" si="4"/>
        <v>0</v>
      </c>
      <c r="X269" s="24" t="str">
        <f t="shared" si="5"/>
        <v>#DIV/0!</v>
      </c>
    </row>
    <row r="270">
      <c r="A270" s="15" t="s">
        <v>1338</v>
      </c>
      <c r="B270" s="18"/>
      <c r="C270" s="16"/>
      <c r="D270" s="18"/>
      <c r="E270" s="17" t="s">
        <v>1339</v>
      </c>
      <c r="F270" s="18"/>
      <c r="G270" s="18"/>
      <c r="H270" s="15" t="s">
        <v>1340</v>
      </c>
      <c r="I270" s="18"/>
      <c r="J270" s="19" t="s">
        <v>283</v>
      </c>
      <c r="K270" s="19" t="s">
        <v>105</v>
      </c>
      <c r="L270" s="19" t="s">
        <v>38</v>
      </c>
      <c r="M270" s="20">
        <f t="shared" si="1"/>
        <v>0</v>
      </c>
      <c r="N270" s="21"/>
      <c r="O270" s="22"/>
      <c r="P270" s="19" t="s">
        <v>1145</v>
      </c>
      <c r="Q270" s="18"/>
      <c r="R270" s="18"/>
      <c r="S270" s="23">
        <v>0.0</v>
      </c>
      <c r="T270" s="23">
        <v>0.0</v>
      </c>
      <c r="U270" s="23">
        <f t="shared" si="2"/>
        <v>0</v>
      </c>
      <c r="V270" s="23">
        <f t="shared" si="3"/>
        <v>0</v>
      </c>
      <c r="W270" s="23">
        <f t="shared" si="4"/>
        <v>0</v>
      </c>
      <c r="X270" s="24" t="str">
        <f t="shared" si="5"/>
        <v>#DIV/0!</v>
      </c>
    </row>
    <row r="271">
      <c r="A271" s="15" t="s">
        <v>1341</v>
      </c>
      <c r="B271" s="18"/>
      <c r="C271" s="16"/>
      <c r="D271" s="18"/>
      <c r="E271" s="17" t="s">
        <v>1342</v>
      </c>
      <c r="F271" s="18"/>
      <c r="G271" s="18"/>
      <c r="H271" s="15" t="s">
        <v>1343</v>
      </c>
      <c r="I271" s="18"/>
      <c r="J271" s="19" t="s">
        <v>283</v>
      </c>
      <c r="K271" s="19" t="s">
        <v>284</v>
      </c>
      <c r="L271" s="19" t="s">
        <v>38</v>
      </c>
      <c r="M271" s="20">
        <f t="shared" si="1"/>
        <v>0</v>
      </c>
      <c r="N271" s="21"/>
      <c r="O271" s="22"/>
      <c r="P271" s="19" t="s">
        <v>1145</v>
      </c>
      <c r="Q271" s="18"/>
      <c r="R271" s="18"/>
      <c r="S271" s="23">
        <v>0.0</v>
      </c>
      <c r="T271" s="23">
        <v>0.0</v>
      </c>
      <c r="U271" s="23">
        <f t="shared" si="2"/>
        <v>0</v>
      </c>
      <c r="V271" s="23">
        <f t="shared" si="3"/>
        <v>0</v>
      </c>
      <c r="W271" s="23">
        <f t="shared" si="4"/>
        <v>0</v>
      </c>
      <c r="X271" s="24" t="str">
        <f t="shared" si="5"/>
        <v>#DIV/0!</v>
      </c>
    </row>
    <row r="272">
      <c r="A272" s="15" t="s">
        <v>1344</v>
      </c>
      <c r="B272" s="18"/>
      <c r="C272" s="16"/>
      <c r="D272" s="18"/>
      <c r="E272" s="17" t="s">
        <v>1342</v>
      </c>
      <c r="F272" s="18"/>
      <c r="G272" s="18"/>
      <c r="H272" s="15" t="s">
        <v>1345</v>
      </c>
      <c r="I272" s="18"/>
      <c r="J272" s="19" t="s">
        <v>283</v>
      </c>
      <c r="K272" s="19" t="s">
        <v>284</v>
      </c>
      <c r="L272" s="19" t="s">
        <v>38</v>
      </c>
      <c r="M272" s="20">
        <f t="shared" si="1"/>
        <v>0</v>
      </c>
      <c r="N272" s="21"/>
      <c r="O272" s="22"/>
      <c r="P272" s="19" t="s">
        <v>1145</v>
      </c>
      <c r="Q272" s="18"/>
      <c r="R272" s="18"/>
      <c r="S272" s="23">
        <v>0.0</v>
      </c>
      <c r="T272" s="23">
        <v>0.0</v>
      </c>
      <c r="U272" s="23">
        <f t="shared" si="2"/>
        <v>0</v>
      </c>
      <c r="V272" s="23">
        <f t="shared" si="3"/>
        <v>0</v>
      </c>
      <c r="W272" s="23">
        <f t="shared" si="4"/>
        <v>0</v>
      </c>
      <c r="X272" s="24" t="str">
        <f t="shared" si="5"/>
        <v>#DIV/0!</v>
      </c>
    </row>
    <row r="273">
      <c r="A273" s="15" t="s">
        <v>1346</v>
      </c>
      <c r="B273" s="18"/>
      <c r="C273" s="16"/>
      <c r="D273" s="18"/>
      <c r="E273" s="17" t="s">
        <v>1280</v>
      </c>
      <c r="F273" s="18"/>
      <c r="G273" s="18"/>
      <c r="H273" s="15" t="s">
        <v>1347</v>
      </c>
      <c r="I273" s="18"/>
      <c r="J273" s="19" t="s">
        <v>283</v>
      </c>
      <c r="K273" s="19" t="s">
        <v>37</v>
      </c>
      <c r="L273" s="19" t="s">
        <v>38</v>
      </c>
      <c r="M273" s="20">
        <f t="shared" si="1"/>
        <v>0</v>
      </c>
      <c r="N273" s="21"/>
      <c r="O273" s="22"/>
      <c r="P273" s="19" t="s">
        <v>1145</v>
      </c>
      <c r="Q273" s="18"/>
      <c r="R273" s="18"/>
      <c r="S273" s="23">
        <v>0.0</v>
      </c>
      <c r="T273" s="23">
        <v>0.0</v>
      </c>
      <c r="U273" s="23">
        <f t="shared" si="2"/>
        <v>0</v>
      </c>
      <c r="V273" s="23">
        <f t="shared" si="3"/>
        <v>0</v>
      </c>
      <c r="W273" s="23">
        <f t="shared" si="4"/>
        <v>0</v>
      </c>
      <c r="X273" s="24" t="str">
        <f t="shared" si="5"/>
        <v>#DIV/0!</v>
      </c>
    </row>
    <row r="274">
      <c r="A274" s="15" t="s">
        <v>1348</v>
      </c>
      <c r="B274" s="18"/>
      <c r="C274" s="16"/>
      <c r="D274" s="18"/>
      <c r="E274" s="17" t="s">
        <v>1280</v>
      </c>
      <c r="F274" s="18"/>
      <c r="G274" s="18"/>
      <c r="H274" s="15" t="s">
        <v>1349</v>
      </c>
      <c r="I274" s="18"/>
      <c r="J274" s="19" t="s">
        <v>283</v>
      </c>
      <c r="K274" s="19" t="s">
        <v>37</v>
      </c>
      <c r="L274" s="19" t="s">
        <v>38</v>
      </c>
      <c r="M274" s="20">
        <f t="shared" si="1"/>
        <v>0</v>
      </c>
      <c r="N274" s="21"/>
      <c r="O274" s="22"/>
      <c r="P274" s="19" t="s">
        <v>1145</v>
      </c>
      <c r="Q274" s="18"/>
      <c r="R274" s="18"/>
      <c r="S274" s="23">
        <v>0.0</v>
      </c>
      <c r="T274" s="23">
        <v>0.0</v>
      </c>
      <c r="U274" s="23">
        <f t="shared" si="2"/>
        <v>0</v>
      </c>
      <c r="V274" s="23">
        <f t="shared" si="3"/>
        <v>0</v>
      </c>
      <c r="W274" s="23">
        <f t="shared" si="4"/>
        <v>0</v>
      </c>
      <c r="X274" s="24" t="str">
        <f t="shared" si="5"/>
        <v>#DIV/0!</v>
      </c>
    </row>
    <row r="275">
      <c r="A275" s="15" t="s">
        <v>1350</v>
      </c>
      <c r="B275" s="18"/>
      <c r="C275" s="16"/>
      <c r="D275" s="18"/>
      <c r="E275" s="17" t="s">
        <v>1351</v>
      </c>
      <c r="F275" s="18"/>
      <c r="G275" s="18"/>
      <c r="H275" s="15" t="s">
        <v>1352</v>
      </c>
      <c r="I275" s="18"/>
      <c r="J275" s="19" t="s">
        <v>283</v>
      </c>
      <c r="K275" s="19" t="s">
        <v>37</v>
      </c>
      <c r="L275" s="19" t="s">
        <v>38</v>
      </c>
      <c r="M275" s="20">
        <f t="shared" si="1"/>
        <v>0</v>
      </c>
      <c r="N275" s="21"/>
      <c r="O275" s="22"/>
      <c r="P275" s="19" t="s">
        <v>1145</v>
      </c>
      <c r="Q275" s="18"/>
      <c r="R275" s="18"/>
      <c r="S275" s="23">
        <v>0.0</v>
      </c>
      <c r="T275" s="23">
        <v>0.0</v>
      </c>
      <c r="U275" s="23">
        <f t="shared" si="2"/>
        <v>0</v>
      </c>
      <c r="V275" s="23">
        <f t="shared" si="3"/>
        <v>0</v>
      </c>
      <c r="W275" s="23">
        <f t="shared" si="4"/>
        <v>0</v>
      </c>
      <c r="X275" s="24" t="str">
        <f t="shared" si="5"/>
        <v>#DIV/0!</v>
      </c>
    </row>
    <row r="276">
      <c r="A276" s="15" t="s">
        <v>1353</v>
      </c>
      <c r="B276" s="18"/>
      <c r="C276" s="16"/>
      <c r="D276" s="18"/>
      <c r="E276" s="17" t="s">
        <v>1354</v>
      </c>
      <c r="F276" s="18"/>
      <c r="G276" s="18"/>
      <c r="H276" s="15" t="s">
        <v>1355</v>
      </c>
      <c r="I276" s="18"/>
      <c r="J276" s="19" t="s">
        <v>283</v>
      </c>
      <c r="K276" s="19" t="s">
        <v>37</v>
      </c>
      <c r="L276" s="19" t="s">
        <v>38</v>
      </c>
      <c r="M276" s="20">
        <f t="shared" si="1"/>
        <v>0</v>
      </c>
      <c r="N276" s="21"/>
      <c r="O276" s="22"/>
      <c r="P276" s="19" t="s">
        <v>1145</v>
      </c>
      <c r="Q276" s="18"/>
      <c r="R276" s="18"/>
      <c r="S276" s="23">
        <v>0.0</v>
      </c>
      <c r="T276" s="23">
        <v>0.0</v>
      </c>
      <c r="U276" s="23">
        <f t="shared" si="2"/>
        <v>0</v>
      </c>
      <c r="V276" s="23">
        <f t="shared" si="3"/>
        <v>0</v>
      </c>
      <c r="W276" s="23">
        <f t="shared" si="4"/>
        <v>0</v>
      </c>
      <c r="X276" s="24" t="str">
        <f t="shared" si="5"/>
        <v>#DIV/0!</v>
      </c>
    </row>
    <row r="277">
      <c r="A277" s="15" t="s">
        <v>1356</v>
      </c>
      <c r="B277" s="18"/>
      <c r="C277" s="16"/>
      <c r="D277" s="18"/>
      <c r="E277" s="17" t="s">
        <v>1357</v>
      </c>
      <c r="F277" s="18"/>
      <c r="G277" s="18"/>
      <c r="H277" s="15" t="s">
        <v>1358</v>
      </c>
      <c r="I277" s="18"/>
      <c r="J277" s="19" t="s">
        <v>59</v>
      </c>
      <c r="K277" s="19" t="s">
        <v>402</v>
      </c>
      <c r="L277" s="19" t="s">
        <v>38</v>
      </c>
      <c r="M277" s="20">
        <f t="shared" si="1"/>
        <v>0</v>
      </c>
      <c r="N277" s="21"/>
      <c r="O277" s="22"/>
      <c r="P277" s="19" t="s">
        <v>1145</v>
      </c>
      <c r="Q277" s="18"/>
      <c r="R277" s="18"/>
      <c r="S277" s="23">
        <v>0.0</v>
      </c>
      <c r="T277" s="23">
        <v>0.0</v>
      </c>
      <c r="U277" s="23">
        <f t="shared" si="2"/>
        <v>0</v>
      </c>
      <c r="V277" s="23">
        <f t="shared" si="3"/>
        <v>0</v>
      </c>
      <c r="W277" s="23">
        <f t="shared" si="4"/>
        <v>0</v>
      </c>
      <c r="X277" s="24" t="str">
        <f t="shared" si="5"/>
        <v>#DIV/0!</v>
      </c>
    </row>
    <row r="278">
      <c r="A278" s="15" t="s">
        <v>1359</v>
      </c>
      <c r="B278" s="15" t="s">
        <v>1360</v>
      </c>
      <c r="C278" s="16"/>
      <c r="D278" s="15" t="s">
        <v>1361</v>
      </c>
      <c r="E278" s="17" t="s">
        <v>1362</v>
      </c>
      <c r="F278" s="18"/>
      <c r="G278" s="18"/>
      <c r="H278" s="15" t="s">
        <v>1363</v>
      </c>
      <c r="I278" s="18"/>
      <c r="J278" s="19" t="s">
        <v>59</v>
      </c>
      <c r="K278" s="19" t="s">
        <v>37</v>
      </c>
      <c r="L278" s="19" t="s">
        <v>38</v>
      </c>
      <c r="M278" s="20">
        <f t="shared" si="1"/>
        <v>0</v>
      </c>
      <c r="N278" s="21"/>
      <c r="O278" s="22"/>
      <c r="P278" s="19" t="s">
        <v>1145</v>
      </c>
      <c r="Q278" s="18"/>
      <c r="R278" s="18"/>
      <c r="S278" s="23">
        <v>0.0</v>
      </c>
      <c r="T278" s="23">
        <v>0.0</v>
      </c>
      <c r="U278" s="23">
        <f t="shared" si="2"/>
        <v>0</v>
      </c>
      <c r="V278" s="23">
        <f t="shared" si="3"/>
        <v>0</v>
      </c>
      <c r="W278" s="23">
        <f t="shared" si="4"/>
        <v>0</v>
      </c>
      <c r="X278" s="24" t="str">
        <f t="shared" si="5"/>
        <v>#DIV/0!</v>
      </c>
    </row>
    <row r="279">
      <c r="A279" s="15" t="s">
        <v>1364</v>
      </c>
      <c r="B279" s="18"/>
      <c r="C279" s="16"/>
      <c r="D279" s="18"/>
      <c r="E279" s="17" t="s">
        <v>1365</v>
      </c>
      <c r="F279" s="18"/>
      <c r="G279" s="15" t="s">
        <v>1365</v>
      </c>
      <c r="H279" s="15" t="s">
        <v>1366</v>
      </c>
      <c r="I279" s="18"/>
      <c r="J279" s="19" t="s">
        <v>59</v>
      </c>
      <c r="K279" s="19" t="s">
        <v>402</v>
      </c>
      <c r="L279" s="19" t="s">
        <v>38</v>
      </c>
      <c r="M279" s="20">
        <f t="shared" si="1"/>
        <v>0</v>
      </c>
      <c r="N279" s="21"/>
      <c r="O279" s="22"/>
      <c r="P279" s="19" t="s">
        <v>1145</v>
      </c>
      <c r="Q279" s="18"/>
      <c r="R279" s="18"/>
      <c r="S279" s="23">
        <v>0.0</v>
      </c>
      <c r="T279" s="23">
        <v>0.0</v>
      </c>
      <c r="U279" s="23">
        <f t="shared" si="2"/>
        <v>0</v>
      </c>
      <c r="V279" s="23">
        <f t="shared" si="3"/>
        <v>0</v>
      </c>
      <c r="W279" s="23">
        <f t="shared" si="4"/>
        <v>0</v>
      </c>
      <c r="X279" s="24" t="str">
        <f t="shared" si="5"/>
        <v>#DIV/0!</v>
      </c>
    </row>
    <row r="280">
      <c r="A280" s="15" t="s">
        <v>1367</v>
      </c>
      <c r="B280" s="18"/>
      <c r="C280" s="16"/>
      <c r="D280" s="18"/>
      <c r="E280" s="17" t="s">
        <v>1368</v>
      </c>
      <c r="F280" s="18"/>
      <c r="G280" s="18"/>
      <c r="H280" s="15"/>
      <c r="I280" s="18"/>
      <c r="J280" s="19" t="s">
        <v>59</v>
      </c>
      <c r="K280" s="19" t="s">
        <v>37</v>
      </c>
      <c r="L280" s="19" t="s">
        <v>38</v>
      </c>
      <c r="M280" s="20">
        <f t="shared" si="1"/>
        <v>0</v>
      </c>
      <c r="N280" s="21"/>
      <c r="O280" s="22"/>
      <c r="P280" s="19" t="s">
        <v>1145</v>
      </c>
      <c r="Q280" s="18"/>
      <c r="R280" s="18"/>
      <c r="S280" s="23">
        <v>0.0</v>
      </c>
      <c r="T280" s="23">
        <v>0.0</v>
      </c>
      <c r="U280" s="23">
        <f t="shared" si="2"/>
        <v>0</v>
      </c>
      <c r="V280" s="23">
        <f t="shared" si="3"/>
        <v>0</v>
      </c>
      <c r="W280" s="23">
        <f t="shared" si="4"/>
        <v>0</v>
      </c>
      <c r="X280" s="24" t="str">
        <f t="shared" si="5"/>
        <v>#DIV/0!</v>
      </c>
    </row>
    <row r="281">
      <c r="A281" s="15" t="s">
        <v>1369</v>
      </c>
      <c r="B281" s="18"/>
      <c r="C281" s="16"/>
      <c r="D281" s="18"/>
      <c r="E281" s="17" t="s">
        <v>1370</v>
      </c>
      <c r="F281" s="18"/>
      <c r="G281" s="18"/>
      <c r="H281" s="15" t="s">
        <v>1371</v>
      </c>
      <c r="I281" s="18"/>
      <c r="J281" s="19" t="s">
        <v>59</v>
      </c>
      <c r="K281" s="19" t="s">
        <v>37</v>
      </c>
      <c r="L281" s="19" t="s">
        <v>38</v>
      </c>
      <c r="M281" s="20">
        <f t="shared" si="1"/>
        <v>0</v>
      </c>
      <c r="N281" s="21"/>
      <c r="O281" s="22"/>
      <c r="P281" s="19" t="s">
        <v>1145</v>
      </c>
      <c r="Q281" s="18"/>
      <c r="R281" s="18"/>
      <c r="S281" s="23">
        <v>0.0</v>
      </c>
      <c r="T281" s="23">
        <v>0.0</v>
      </c>
      <c r="U281" s="23">
        <f t="shared" si="2"/>
        <v>0</v>
      </c>
      <c r="V281" s="23">
        <f t="shared" si="3"/>
        <v>0</v>
      </c>
      <c r="W281" s="23">
        <f t="shared" si="4"/>
        <v>0</v>
      </c>
      <c r="X281" s="24" t="str">
        <f t="shared" si="5"/>
        <v>#DIV/0!</v>
      </c>
    </row>
    <row r="282">
      <c r="A282" s="15" t="s">
        <v>1372</v>
      </c>
      <c r="B282" s="18"/>
      <c r="C282" s="16"/>
      <c r="D282" s="18"/>
      <c r="E282" s="17" t="s">
        <v>1373</v>
      </c>
      <c r="F282" s="18"/>
      <c r="G282" s="18"/>
      <c r="H282" s="15" t="s">
        <v>1374</v>
      </c>
      <c r="I282" s="18"/>
      <c r="J282" s="19" t="s">
        <v>59</v>
      </c>
      <c r="K282" s="19" t="s">
        <v>1230</v>
      </c>
      <c r="L282" s="19" t="s">
        <v>38</v>
      </c>
      <c r="M282" s="20">
        <f t="shared" si="1"/>
        <v>0</v>
      </c>
      <c r="N282" s="21"/>
      <c r="O282" s="22"/>
      <c r="P282" s="19" t="s">
        <v>1145</v>
      </c>
      <c r="Q282" s="18"/>
      <c r="R282" s="18"/>
      <c r="S282" s="23">
        <v>0.0</v>
      </c>
      <c r="T282" s="23">
        <v>0.0</v>
      </c>
      <c r="U282" s="23">
        <f t="shared" si="2"/>
        <v>0</v>
      </c>
      <c r="V282" s="23">
        <f t="shared" si="3"/>
        <v>0</v>
      </c>
      <c r="W282" s="23">
        <f t="shared" si="4"/>
        <v>0</v>
      </c>
      <c r="X282" s="24" t="str">
        <f t="shared" si="5"/>
        <v>#DIV/0!</v>
      </c>
    </row>
    <row r="283">
      <c r="A283" s="15" t="s">
        <v>1375</v>
      </c>
      <c r="B283" s="18" t="str">
        <f>CONCATENATE(7504589,A283)</f>
        <v>75045891214</v>
      </c>
      <c r="C283" s="16"/>
      <c r="D283" s="18"/>
      <c r="E283" s="17" t="s">
        <v>1376</v>
      </c>
      <c r="F283" s="18"/>
      <c r="G283" s="18"/>
      <c r="H283" s="15" t="s">
        <v>1377</v>
      </c>
      <c r="I283" s="18"/>
      <c r="J283" s="19" t="s">
        <v>59</v>
      </c>
      <c r="K283" s="19" t="s">
        <v>37</v>
      </c>
      <c r="L283" s="19" t="s">
        <v>38</v>
      </c>
      <c r="M283" s="20">
        <f t="shared" si="1"/>
        <v>0</v>
      </c>
      <c r="N283" s="21"/>
      <c r="O283" s="22"/>
      <c r="P283" s="19" t="s">
        <v>1145</v>
      </c>
      <c r="Q283" s="18"/>
      <c r="R283" s="18"/>
      <c r="S283" s="23">
        <v>0.0</v>
      </c>
      <c r="T283" s="23">
        <v>0.0</v>
      </c>
      <c r="U283" s="23">
        <f t="shared" si="2"/>
        <v>0</v>
      </c>
      <c r="V283" s="23">
        <f t="shared" si="3"/>
        <v>0</v>
      </c>
      <c r="W283" s="23">
        <f t="shared" si="4"/>
        <v>0</v>
      </c>
      <c r="X283" s="24" t="str">
        <f t="shared" si="5"/>
        <v>#DIV/0!</v>
      </c>
    </row>
    <row r="284">
      <c r="A284" s="15" t="s">
        <v>1378</v>
      </c>
      <c r="B284" s="18"/>
      <c r="C284" s="16"/>
      <c r="D284" s="18"/>
      <c r="E284" s="17" t="s">
        <v>1379</v>
      </c>
      <c r="F284" s="18"/>
      <c r="G284" s="18"/>
      <c r="H284" s="15" t="s">
        <v>1380</v>
      </c>
      <c r="I284" s="18"/>
      <c r="J284" s="19" t="s">
        <v>59</v>
      </c>
      <c r="K284" s="19" t="s">
        <v>1230</v>
      </c>
      <c r="L284" s="19" t="s">
        <v>38</v>
      </c>
      <c r="M284" s="20">
        <f t="shared" si="1"/>
        <v>0</v>
      </c>
      <c r="N284" s="21"/>
      <c r="O284" s="22"/>
      <c r="P284" s="19" t="s">
        <v>1145</v>
      </c>
      <c r="Q284" s="18"/>
      <c r="R284" s="18"/>
      <c r="S284" s="23">
        <v>0.0</v>
      </c>
      <c r="T284" s="23">
        <v>0.0</v>
      </c>
      <c r="U284" s="23">
        <f t="shared" si="2"/>
        <v>0</v>
      </c>
      <c r="V284" s="23">
        <f t="shared" si="3"/>
        <v>0</v>
      </c>
      <c r="W284" s="23">
        <f t="shared" si="4"/>
        <v>0</v>
      </c>
      <c r="X284" s="24" t="str">
        <f t="shared" si="5"/>
        <v>#DIV/0!</v>
      </c>
    </row>
    <row r="285">
      <c r="A285" s="15" t="s">
        <v>1381</v>
      </c>
      <c r="B285" s="18"/>
      <c r="C285" s="16"/>
      <c r="D285" s="18"/>
      <c r="E285" s="17" t="s">
        <v>1382</v>
      </c>
      <c r="F285" s="18"/>
      <c r="G285" s="18"/>
      <c r="H285" s="15" t="s">
        <v>1383</v>
      </c>
      <c r="I285" s="18"/>
      <c r="J285" s="19" t="s">
        <v>59</v>
      </c>
      <c r="K285" s="19" t="s">
        <v>1230</v>
      </c>
      <c r="L285" s="19" t="s">
        <v>38</v>
      </c>
      <c r="M285" s="20">
        <f t="shared" si="1"/>
        <v>0</v>
      </c>
      <c r="N285" s="21"/>
      <c r="O285" s="22"/>
      <c r="P285" s="19" t="s">
        <v>1145</v>
      </c>
      <c r="Q285" s="18"/>
      <c r="R285" s="18"/>
      <c r="S285" s="23">
        <v>0.0</v>
      </c>
      <c r="T285" s="23">
        <v>0.0</v>
      </c>
      <c r="U285" s="23">
        <f t="shared" si="2"/>
        <v>0</v>
      </c>
      <c r="V285" s="23">
        <f t="shared" si="3"/>
        <v>0</v>
      </c>
      <c r="W285" s="23">
        <f t="shared" si="4"/>
        <v>0</v>
      </c>
      <c r="X285" s="24" t="str">
        <f t="shared" si="5"/>
        <v>#DIV/0!</v>
      </c>
    </row>
    <row r="286">
      <c r="A286" s="15" t="s">
        <v>1384</v>
      </c>
      <c r="B286" s="18"/>
      <c r="C286" s="16"/>
      <c r="D286" s="18"/>
      <c r="E286" s="17" t="s">
        <v>1385</v>
      </c>
      <c r="F286" s="18"/>
      <c r="G286" s="18"/>
      <c r="H286" s="15" t="s">
        <v>1386</v>
      </c>
      <c r="I286" s="18"/>
      <c r="J286" s="19" t="s">
        <v>59</v>
      </c>
      <c r="K286" s="19" t="s">
        <v>105</v>
      </c>
      <c r="L286" s="19" t="s">
        <v>38</v>
      </c>
      <c r="M286" s="20">
        <f t="shared" si="1"/>
        <v>0</v>
      </c>
      <c r="N286" s="21"/>
      <c r="O286" s="22"/>
      <c r="P286" s="19" t="s">
        <v>1145</v>
      </c>
      <c r="Q286" s="18"/>
      <c r="R286" s="18"/>
      <c r="S286" s="23">
        <v>0.0</v>
      </c>
      <c r="T286" s="23">
        <v>0.0</v>
      </c>
      <c r="U286" s="23">
        <f t="shared" si="2"/>
        <v>0</v>
      </c>
      <c r="V286" s="23">
        <f t="shared" si="3"/>
        <v>0</v>
      </c>
      <c r="W286" s="23">
        <f t="shared" si="4"/>
        <v>0</v>
      </c>
      <c r="X286" s="24" t="str">
        <f t="shared" si="5"/>
        <v>#DIV/0!</v>
      </c>
    </row>
    <row r="287">
      <c r="A287" s="15" t="s">
        <v>1387</v>
      </c>
      <c r="B287" s="15" t="s">
        <v>1388</v>
      </c>
      <c r="C287" s="16" t="str">
        <f>IMAGE("https://i.ibb.co/TxkQsNvB/1236.png")</f>
        <v/>
      </c>
      <c r="D287" s="18"/>
      <c r="E287" s="17" t="s">
        <v>1389</v>
      </c>
      <c r="F287" s="18"/>
      <c r="G287" s="18"/>
      <c r="H287" s="15" t="s">
        <v>1390</v>
      </c>
      <c r="I287" s="18"/>
      <c r="J287" s="19" t="s">
        <v>36</v>
      </c>
      <c r="K287" s="19" t="s">
        <v>402</v>
      </c>
      <c r="L287" s="19" t="s">
        <v>38</v>
      </c>
      <c r="M287" s="20">
        <f t="shared" si="1"/>
        <v>0</v>
      </c>
      <c r="N287" s="21"/>
      <c r="O287" s="22"/>
      <c r="P287" s="19" t="s">
        <v>1145</v>
      </c>
      <c r="Q287" s="18"/>
      <c r="R287" s="18"/>
      <c r="S287" s="23">
        <v>0.0</v>
      </c>
      <c r="T287" s="23">
        <v>0.0</v>
      </c>
      <c r="U287" s="23">
        <f t="shared" si="2"/>
        <v>0</v>
      </c>
      <c r="V287" s="23">
        <f t="shared" si="3"/>
        <v>0</v>
      </c>
      <c r="W287" s="23">
        <f t="shared" si="4"/>
        <v>0</v>
      </c>
      <c r="X287" s="24" t="str">
        <f t="shared" si="5"/>
        <v>#DIV/0!</v>
      </c>
    </row>
    <row r="288">
      <c r="A288" s="15" t="s">
        <v>1391</v>
      </c>
      <c r="B288" s="18"/>
      <c r="C288" s="16" t="str">
        <f>IMAGE("https://i.ibb.co/cSm2mzcx/1271.png")</f>
        <v/>
      </c>
      <c r="D288" s="18"/>
      <c r="E288" s="17" t="s">
        <v>1392</v>
      </c>
      <c r="F288" s="18"/>
      <c r="G288" s="18"/>
      <c r="H288" s="15" t="s">
        <v>1393</v>
      </c>
      <c r="I288" s="18"/>
      <c r="J288" s="19" t="s">
        <v>36</v>
      </c>
      <c r="K288" s="19" t="s">
        <v>1230</v>
      </c>
      <c r="L288" s="19" t="s">
        <v>38</v>
      </c>
      <c r="M288" s="20">
        <f t="shared" si="1"/>
        <v>0</v>
      </c>
      <c r="N288" s="21"/>
      <c r="O288" s="22"/>
      <c r="P288" s="19" t="s">
        <v>1145</v>
      </c>
      <c r="Q288" s="18"/>
      <c r="R288" s="18"/>
      <c r="S288" s="23">
        <v>0.0</v>
      </c>
      <c r="T288" s="23">
        <v>0.0</v>
      </c>
      <c r="U288" s="23">
        <f t="shared" si="2"/>
        <v>0</v>
      </c>
      <c r="V288" s="23">
        <f t="shared" si="3"/>
        <v>0</v>
      </c>
      <c r="W288" s="23">
        <f t="shared" si="4"/>
        <v>0</v>
      </c>
      <c r="X288" s="24" t="str">
        <f t="shared" si="5"/>
        <v>#DIV/0!</v>
      </c>
    </row>
    <row r="289">
      <c r="A289" s="15" t="s">
        <v>1394</v>
      </c>
      <c r="B289" s="18"/>
      <c r="C289" s="16"/>
      <c r="D289" s="18"/>
      <c r="E289" s="17" t="s">
        <v>1395</v>
      </c>
      <c r="F289" s="18"/>
      <c r="G289" s="18"/>
      <c r="H289" s="15" t="s">
        <v>1396</v>
      </c>
      <c r="I289" s="18"/>
      <c r="J289" s="19" t="s">
        <v>36</v>
      </c>
      <c r="K289" s="19" t="s">
        <v>1230</v>
      </c>
      <c r="L289" s="19" t="s">
        <v>38</v>
      </c>
      <c r="M289" s="20">
        <f t="shared" si="1"/>
        <v>0</v>
      </c>
      <c r="N289" s="21"/>
      <c r="O289" s="22"/>
      <c r="P289" s="19" t="s">
        <v>1145</v>
      </c>
      <c r="Q289" s="18"/>
      <c r="R289" s="18"/>
      <c r="S289" s="23">
        <v>0.0</v>
      </c>
      <c r="T289" s="23">
        <v>0.0</v>
      </c>
      <c r="U289" s="23">
        <f t="shared" si="2"/>
        <v>0</v>
      </c>
      <c r="V289" s="23">
        <f t="shared" si="3"/>
        <v>0</v>
      </c>
      <c r="W289" s="23">
        <f t="shared" si="4"/>
        <v>0</v>
      </c>
      <c r="X289" s="24" t="str">
        <f t="shared" si="5"/>
        <v>#DIV/0!</v>
      </c>
    </row>
    <row r="290">
      <c r="A290" s="15" t="s">
        <v>1397</v>
      </c>
      <c r="B290" s="18"/>
      <c r="C290" s="16" t="str">
        <f>IMAGE("https://i.ibb.co/hnSMG5K/1273.png")</f>
        <v/>
      </c>
      <c r="D290" s="18"/>
      <c r="E290" s="17" t="s">
        <v>1398</v>
      </c>
      <c r="F290" s="18"/>
      <c r="G290" s="18"/>
      <c r="H290" s="15" t="s">
        <v>1399</v>
      </c>
      <c r="I290" s="18"/>
      <c r="J290" s="19" t="s">
        <v>36</v>
      </c>
      <c r="K290" s="19" t="s">
        <v>1230</v>
      </c>
      <c r="L290" s="19" t="s">
        <v>38</v>
      </c>
      <c r="M290" s="20">
        <f t="shared" si="1"/>
        <v>0</v>
      </c>
      <c r="N290" s="21"/>
      <c r="O290" s="22"/>
      <c r="P290" s="19" t="s">
        <v>1145</v>
      </c>
      <c r="Q290" s="18"/>
      <c r="R290" s="18"/>
      <c r="S290" s="23">
        <v>0.0</v>
      </c>
      <c r="T290" s="23">
        <v>0.0</v>
      </c>
      <c r="U290" s="23">
        <f t="shared" si="2"/>
        <v>0</v>
      </c>
      <c r="V290" s="23">
        <f t="shared" si="3"/>
        <v>0</v>
      </c>
      <c r="W290" s="23">
        <f t="shared" si="4"/>
        <v>0</v>
      </c>
      <c r="X290" s="24" t="str">
        <f t="shared" si="5"/>
        <v>#DIV/0!</v>
      </c>
    </row>
    <row r="291">
      <c r="A291" s="15" t="s">
        <v>1400</v>
      </c>
      <c r="B291" s="18"/>
      <c r="C291" s="16"/>
      <c r="D291" s="18"/>
      <c r="E291" s="17" t="s">
        <v>1401</v>
      </c>
      <c r="F291" s="18"/>
      <c r="G291" s="18"/>
      <c r="H291" s="15" t="s">
        <v>1402</v>
      </c>
      <c r="I291" s="18"/>
      <c r="J291" s="19" t="s">
        <v>36</v>
      </c>
      <c r="K291" s="19" t="s">
        <v>1230</v>
      </c>
      <c r="L291" s="19" t="s">
        <v>38</v>
      </c>
      <c r="M291" s="20">
        <f t="shared" si="1"/>
        <v>0</v>
      </c>
      <c r="N291" s="21"/>
      <c r="O291" s="22"/>
      <c r="P291" s="19" t="s">
        <v>1145</v>
      </c>
      <c r="Q291" s="18"/>
      <c r="R291" s="18"/>
      <c r="S291" s="23">
        <v>0.0</v>
      </c>
      <c r="T291" s="23">
        <v>0.0</v>
      </c>
      <c r="U291" s="23">
        <f t="shared" si="2"/>
        <v>0</v>
      </c>
      <c r="V291" s="23">
        <f t="shared" si="3"/>
        <v>0</v>
      </c>
      <c r="W291" s="23">
        <f t="shared" si="4"/>
        <v>0</v>
      </c>
      <c r="X291" s="24" t="str">
        <f t="shared" si="5"/>
        <v>#DIV/0!</v>
      </c>
    </row>
    <row r="292">
      <c r="A292" s="15" t="s">
        <v>1403</v>
      </c>
      <c r="B292" s="18"/>
      <c r="C292" s="16" t="str">
        <f>IMAGE("https://i.ibb.co/8L130Fhz/1275.png")</f>
        <v/>
      </c>
      <c r="D292" s="18"/>
      <c r="E292" s="17" t="s">
        <v>1404</v>
      </c>
      <c r="F292" s="18"/>
      <c r="G292" s="18"/>
      <c r="H292" s="15" t="s">
        <v>1405</v>
      </c>
      <c r="I292" s="18"/>
      <c r="J292" s="19" t="s">
        <v>36</v>
      </c>
      <c r="K292" s="19" t="s">
        <v>1230</v>
      </c>
      <c r="L292" s="19" t="s">
        <v>38</v>
      </c>
      <c r="M292" s="20">
        <f t="shared" si="1"/>
        <v>0</v>
      </c>
      <c r="N292" s="21"/>
      <c r="O292" s="22"/>
      <c r="P292" s="19" t="s">
        <v>1145</v>
      </c>
      <c r="Q292" s="18"/>
      <c r="R292" s="18"/>
      <c r="S292" s="23">
        <v>0.0</v>
      </c>
      <c r="T292" s="23">
        <v>0.0</v>
      </c>
      <c r="U292" s="23">
        <f t="shared" si="2"/>
        <v>0</v>
      </c>
      <c r="V292" s="23">
        <f t="shared" si="3"/>
        <v>0</v>
      </c>
      <c r="W292" s="23">
        <f t="shared" si="4"/>
        <v>0</v>
      </c>
      <c r="X292" s="24" t="str">
        <f t="shared" si="5"/>
        <v>#DIV/0!</v>
      </c>
    </row>
    <row r="293">
      <c r="A293" s="15" t="s">
        <v>1406</v>
      </c>
      <c r="B293" s="15" t="s">
        <v>230</v>
      </c>
      <c r="C293" s="16"/>
      <c r="D293" s="18"/>
      <c r="E293" s="17" t="s">
        <v>1407</v>
      </c>
      <c r="F293" s="18"/>
      <c r="G293" s="18"/>
      <c r="H293" s="15" t="s">
        <v>1408</v>
      </c>
      <c r="I293" s="18"/>
      <c r="J293" s="19" t="s">
        <v>36</v>
      </c>
      <c r="K293" s="19" t="s">
        <v>1230</v>
      </c>
      <c r="L293" s="19" t="s">
        <v>38</v>
      </c>
      <c r="M293" s="20">
        <f t="shared" si="1"/>
        <v>0</v>
      </c>
      <c r="N293" s="21"/>
      <c r="O293" s="22"/>
      <c r="P293" s="19" t="s">
        <v>1145</v>
      </c>
      <c r="Q293" s="18"/>
      <c r="R293" s="18"/>
      <c r="S293" s="23">
        <v>0.0</v>
      </c>
      <c r="T293" s="23">
        <v>0.0</v>
      </c>
      <c r="U293" s="23">
        <f t="shared" si="2"/>
        <v>0</v>
      </c>
      <c r="V293" s="23">
        <f t="shared" si="3"/>
        <v>0</v>
      </c>
      <c r="W293" s="23">
        <f t="shared" si="4"/>
        <v>0</v>
      </c>
      <c r="X293" s="24" t="str">
        <f t="shared" si="5"/>
        <v>#DIV/0!</v>
      </c>
    </row>
    <row r="294">
      <c r="A294" s="15" t="s">
        <v>1409</v>
      </c>
      <c r="B294" s="15" t="s">
        <v>230</v>
      </c>
      <c r="C294" s="16"/>
      <c r="D294" s="18"/>
      <c r="E294" s="17" t="s">
        <v>1407</v>
      </c>
      <c r="F294" s="18"/>
      <c r="G294" s="18"/>
      <c r="H294" s="15" t="s">
        <v>1410</v>
      </c>
      <c r="I294" s="18"/>
      <c r="J294" s="19" t="s">
        <v>36</v>
      </c>
      <c r="K294" s="19" t="s">
        <v>1230</v>
      </c>
      <c r="L294" s="19" t="s">
        <v>38</v>
      </c>
      <c r="M294" s="20">
        <f t="shared" si="1"/>
        <v>0</v>
      </c>
      <c r="N294" s="21"/>
      <c r="O294" s="22"/>
      <c r="P294" s="19" t="s">
        <v>1145</v>
      </c>
      <c r="Q294" s="18"/>
      <c r="R294" s="18"/>
      <c r="S294" s="23">
        <v>0.0</v>
      </c>
      <c r="T294" s="23">
        <v>0.0</v>
      </c>
      <c r="U294" s="23">
        <f t="shared" si="2"/>
        <v>0</v>
      </c>
      <c r="V294" s="23">
        <f t="shared" si="3"/>
        <v>0</v>
      </c>
      <c r="W294" s="23">
        <f t="shared" si="4"/>
        <v>0</v>
      </c>
      <c r="X294" s="24" t="str">
        <f t="shared" si="5"/>
        <v>#DIV/0!</v>
      </c>
    </row>
    <row r="295">
      <c r="A295" s="15" t="s">
        <v>1411</v>
      </c>
      <c r="B295" s="18"/>
      <c r="C295" s="16"/>
      <c r="D295" s="18"/>
      <c r="E295" s="17" t="s">
        <v>1412</v>
      </c>
      <c r="F295" s="18"/>
      <c r="G295" s="18"/>
      <c r="H295" s="15" t="s">
        <v>1413</v>
      </c>
      <c r="I295" s="18"/>
      <c r="J295" s="19" t="s">
        <v>36</v>
      </c>
      <c r="K295" s="19" t="s">
        <v>37</v>
      </c>
      <c r="L295" s="19" t="s">
        <v>38</v>
      </c>
      <c r="M295" s="20">
        <f t="shared" si="1"/>
        <v>0</v>
      </c>
      <c r="N295" s="21"/>
      <c r="O295" s="22"/>
      <c r="P295" s="19" t="s">
        <v>1145</v>
      </c>
      <c r="Q295" s="18"/>
      <c r="R295" s="18"/>
      <c r="S295" s="23">
        <v>0.0</v>
      </c>
      <c r="T295" s="23">
        <v>0.0</v>
      </c>
      <c r="U295" s="23">
        <f t="shared" si="2"/>
        <v>0</v>
      </c>
      <c r="V295" s="23">
        <f t="shared" si="3"/>
        <v>0</v>
      </c>
      <c r="W295" s="23">
        <f t="shared" si="4"/>
        <v>0</v>
      </c>
      <c r="X295" s="24" t="str">
        <f t="shared" si="5"/>
        <v>#DIV/0!</v>
      </c>
    </row>
    <row r="296">
      <c r="A296" s="15" t="s">
        <v>1414</v>
      </c>
      <c r="B296" s="18"/>
      <c r="C296" s="16"/>
      <c r="D296" s="18"/>
      <c r="E296" s="17" t="s">
        <v>1415</v>
      </c>
      <c r="F296" s="18"/>
      <c r="G296" s="18"/>
      <c r="H296" s="15" t="s">
        <v>1416</v>
      </c>
      <c r="I296" s="18"/>
      <c r="J296" s="19" t="s">
        <v>36</v>
      </c>
      <c r="K296" s="19" t="s">
        <v>37</v>
      </c>
      <c r="L296" s="19" t="s">
        <v>38</v>
      </c>
      <c r="M296" s="20">
        <f t="shared" si="1"/>
        <v>0</v>
      </c>
      <c r="N296" s="21"/>
      <c r="O296" s="22"/>
      <c r="P296" s="19" t="s">
        <v>1145</v>
      </c>
      <c r="Q296" s="18"/>
      <c r="R296" s="18"/>
      <c r="S296" s="23">
        <v>0.0</v>
      </c>
      <c r="T296" s="23">
        <v>0.0</v>
      </c>
      <c r="U296" s="23">
        <f t="shared" si="2"/>
        <v>0</v>
      </c>
      <c r="V296" s="23">
        <f t="shared" si="3"/>
        <v>0</v>
      </c>
      <c r="W296" s="23">
        <f t="shared" si="4"/>
        <v>0</v>
      </c>
      <c r="X296" s="24" t="str">
        <f t="shared" si="5"/>
        <v>#DIV/0!</v>
      </c>
    </row>
    <row r="297">
      <c r="A297" s="15" t="s">
        <v>1417</v>
      </c>
      <c r="B297" s="18"/>
      <c r="C297" s="16"/>
      <c r="D297" s="18"/>
      <c r="E297" s="17" t="s">
        <v>1415</v>
      </c>
      <c r="F297" s="18"/>
      <c r="G297" s="18"/>
      <c r="H297" s="15" t="s">
        <v>1418</v>
      </c>
      <c r="I297" s="18"/>
      <c r="J297" s="19" t="s">
        <v>36</v>
      </c>
      <c r="K297" s="19" t="s">
        <v>37</v>
      </c>
      <c r="L297" s="19" t="s">
        <v>38</v>
      </c>
      <c r="M297" s="20">
        <f t="shared" si="1"/>
        <v>0</v>
      </c>
      <c r="N297" s="21"/>
      <c r="O297" s="22"/>
      <c r="P297" s="19" t="s">
        <v>1145</v>
      </c>
      <c r="Q297" s="18"/>
      <c r="R297" s="18"/>
      <c r="S297" s="23">
        <v>0.0</v>
      </c>
      <c r="T297" s="23">
        <v>0.0</v>
      </c>
      <c r="U297" s="23">
        <f t="shared" si="2"/>
        <v>0</v>
      </c>
      <c r="V297" s="23">
        <f t="shared" si="3"/>
        <v>0</v>
      </c>
      <c r="W297" s="23">
        <f t="shared" si="4"/>
        <v>0</v>
      </c>
      <c r="X297" s="24" t="str">
        <f t="shared" si="5"/>
        <v>#DIV/0!</v>
      </c>
    </row>
    <row r="298">
      <c r="A298" s="15" t="s">
        <v>1419</v>
      </c>
      <c r="B298" s="18"/>
      <c r="C298" s="16"/>
      <c r="D298" s="18"/>
      <c r="E298" s="17" t="s">
        <v>1420</v>
      </c>
      <c r="F298" s="18"/>
      <c r="G298" s="18"/>
      <c r="H298" s="15" t="s">
        <v>1421</v>
      </c>
      <c r="I298" s="18"/>
      <c r="J298" s="19" t="s">
        <v>36</v>
      </c>
      <c r="K298" s="19" t="s">
        <v>603</v>
      </c>
      <c r="L298" s="19" t="s">
        <v>38</v>
      </c>
      <c r="M298" s="20">
        <f t="shared" si="1"/>
        <v>0</v>
      </c>
      <c r="N298" s="21"/>
      <c r="O298" s="22"/>
      <c r="P298" s="19" t="s">
        <v>1145</v>
      </c>
      <c r="Q298" s="18"/>
      <c r="R298" s="18"/>
      <c r="S298" s="23">
        <v>0.0</v>
      </c>
      <c r="T298" s="23">
        <v>0.0</v>
      </c>
      <c r="U298" s="23">
        <f t="shared" si="2"/>
        <v>0</v>
      </c>
      <c r="V298" s="23">
        <f t="shared" si="3"/>
        <v>0</v>
      </c>
      <c r="W298" s="23">
        <f t="shared" si="4"/>
        <v>0</v>
      </c>
      <c r="X298" s="24" t="str">
        <f t="shared" si="5"/>
        <v>#DIV/0!</v>
      </c>
    </row>
    <row r="299">
      <c r="A299" s="15" t="s">
        <v>1422</v>
      </c>
      <c r="B299" s="18"/>
      <c r="C299" s="16"/>
      <c r="D299" s="18"/>
      <c r="E299" s="17" t="s">
        <v>1423</v>
      </c>
      <c r="F299" s="18"/>
      <c r="G299" s="18"/>
      <c r="H299" s="15" t="s">
        <v>1424</v>
      </c>
      <c r="I299" s="18"/>
      <c r="J299" s="19" t="s">
        <v>36</v>
      </c>
      <c r="K299" s="19" t="s">
        <v>1269</v>
      </c>
      <c r="L299" s="19" t="s">
        <v>38</v>
      </c>
      <c r="M299" s="20">
        <f t="shared" si="1"/>
        <v>0</v>
      </c>
      <c r="N299" s="21"/>
      <c r="O299" s="22"/>
      <c r="P299" s="19" t="s">
        <v>1145</v>
      </c>
      <c r="Q299" s="18"/>
      <c r="R299" s="18"/>
      <c r="S299" s="23">
        <v>0.0</v>
      </c>
      <c r="T299" s="23">
        <v>0.0</v>
      </c>
      <c r="U299" s="23">
        <f t="shared" si="2"/>
        <v>0</v>
      </c>
      <c r="V299" s="23">
        <f t="shared" si="3"/>
        <v>0</v>
      </c>
      <c r="W299" s="23">
        <f t="shared" si="4"/>
        <v>0</v>
      </c>
      <c r="X299" s="24" t="str">
        <f t="shared" si="5"/>
        <v>#DIV/0!</v>
      </c>
    </row>
    <row r="300">
      <c r="A300" s="15" t="s">
        <v>1425</v>
      </c>
      <c r="B300" s="18"/>
      <c r="C300" s="16"/>
      <c r="D300" s="18"/>
      <c r="E300" s="17" t="s">
        <v>1426</v>
      </c>
      <c r="F300" s="18"/>
      <c r="G300" s="18"/>
      <c r="H300" s="15" t="s">
        <v>1427</v>
      </c>
      <c r="I300" s="18"/>
      <c r="J300" s="19" t="s">
        <v>36</v>
      </c>
      <c r="K300" s="19" t="s">
        <v>284</v>
      </c>
      <c r="L300" s="19" t="s">
        <v>38</v>
      </c>
      <c r="M300" s="20">
        <f t="shared" si="1"/>
        <v>0</v>
      </c>
      <c r="N300" s="21"/>
      <c r="O300" s="22"/>
      <c r="P300" s="19" t="s">
        <v>1145</v>
      </c>
      <c r="Q300" s="18"/>
      <c r="R300" s="18"/>
      <c r="S300" s="23">
        <v>0.0</v>
      </c>
      <c r="T300" s="23">
        <v>0.0</v>
      </c>
      <c r="U300" s="23">
        <f t="shared" si="2"/>
        <v>0</v>
      </c>
      <c r="V300" s="23">
        <f t="shared" si="3"/>
        <v>0</v>
      </c>
      <c r="W300" s="23">
        <f t="shared" si="4"/>
        <v>0</v>
      </c>
      <c r="X300" s="24" t="str">
        <f t="shared" si="5"/>
        <v>#DIV/0!</v>
      </c>
    </row>
    <row r="301">
      <c r="A301" s="15" t="s">
        <v>1428</v>
      </c>
      <c r="B301" s="18"/>
      <c r="C301" s="16"/>
      <c r="D301" s="18"/>
      <c r="E301" s="17" t="s">
        <v>1429</v>
      </c>
      <c r="F301" s="18"/>
      <c r="G301" s="18"/>
      <c r="H301" s="15" t="s">
        <v>1430</v>
      </c>
      <c r="I301" s="18"/>
      <c r="J301" s="19" t="s">
        <v>702</v>
      </c>
      <c r="K301" s="19" t="s">
        <v>1431</v>
      </c>
      <c r="L301" s="19" t="s">
        <v>38</v>
      </c>
      <c r="M301" s="20">
        <f t="shared" si="1"/>
        <v>0</v>
      </c>
      <c r="N301" s="21"/>
      <c r="O301" s="22"/>
      <c r="P301" s="19" t="s">
        <v>1145</v>
      </c>
      <c r="Q301" s="18"/>
      <c r="R301" s="18"/>
      <c r="S301" s="23">
        <v>0.0</v>
      </c>
      <c r="T301" s="23">
        <v>0.0</v>
      </c>
      <c r="U301" s="23">
        <f t="shared" si="2"/>
        <v>0</v>
      </c>
      <c r="V301" s="23">
        <f t="shared" si="3"/>
        <v>0</v>
      </c>
      <c r="W301" s="23">
        <f t="shared" si="4"/>
        <v>0</v>
      </c>
      <c r="X301" s="24" t="str">
        <f t="shared" si="5"/>
        <v>#DIV/0!</v>
      </c>
    </row>
    <row r="302">
      <c r="A302" s="15" t="s">
        <v>1432</v>
      </c>
      <c r="B302" s="18"/>
      <c r="C302" s="16"/>
      <c r="D302" s="18"/>
      <c r="E302" s="17" t="s">
        <v>1433</v>
      </c>
      <c r="F302" s="18"/>
      <c r="G302" s="18"/>
      <c r="H302" s="15" t="s">
        <v>1434</v>
      </c>
      <c r="I302" s="18"/>
      <c r="J302" s="19" t="s">
        <v>702</v>
      </c>
      <c r="K302" s="19" t="s">
        <v>603</v>
      </c>
      <c r="L302" s="19" t="s">
        <v>38</v>
      </c>
      <c r="M302" s="20">
        <f t="shared" si="1"/>
        <v>0</v>
      </c>
      <c r="N302" s="21"/>
      <c r="O302" s="22"/>
      <c r="P302" s="19" t="s">
        <v>1145</v>
      </c>
      <c r="Q302" s="18"/>
      <c r="R302" s="18"/>
      <c r="S302" s="23">
        <v>0.0</v>
      </c>
      <c r="T302" s="23">
        <v>0.0</v>
      </c>
      <c r="U302" s="23">
        <f t="shared" si="2"/>
        <v>0</v>
      </c>
      <c r="V302" s="23">
        <f t="shared" si="3"/>
        <v>0</v>
      </c>
      <c r="W302" s="23">
        <f t="shared" si="4"/>
        <v>0</v>
      </c>
      <c r="X302" s="24" t="str">
        <f t="shared" si="5"/>
        <v>#DIV/0!</v>
      </c>
    </row>
    <row r="303">
      <c r="A303" s="15" t="s">
        <v>1435</v>
      </c>
      <c r="B303" s="15" t="s">
        <v>1436</v>
      </c>
      <c r="C303" s="16"/>
      <c r="D303" s="18"/>
      <c r="E303" s="17" t="s">
        <v>1437</v>
      </c>
      <c r="F303" s="18"/>
      <c r="G303" s="18"/>
      <c r="H303" s="15" t="s">
        <v>1438</v>
      </c>
      <c r="I303" s="18"/>
      <c r="J303" s="19" t="s">
        <v>702</v>
      </c>
      <c r="K303" s="19" t="s">
        <v>603</v>
      </c>
      <c r="L303" s="19" t="s">
        <v>38</v>
      </c>
      <c r="M303" s="20">
        <f t="shared" si="1"/>
        <v>0</v>
      </c>
      <c r="N303" s="21"/>
      <c r="O303" s="22"/>
      <c r="P303" s="19" t="s">
        <v>1145</v>
      </c>
      <c r="Q303" s="18"/>
      <c r="R303" s="18"/>
      <c r="S303" s="23">
        <v>0.0</v>
      </c>
      <c r="T303" s="23">
        <v>0.0</v>
      </c>
      <c r="U303" s="23">
        <f t="shared" si="2"/>
        <v>0</v>
      </c>
      <c r="V303" s="23">
        <f t="shared" si="3"/>
        <v>0</v>
      </c>
      <c r="W303" s="23">
        <f t="shared" si="4"/>
        <v>0</v>
      </c>
      <c r="X303" s="24" t="str">
        <f t="shared" si="5"/>
        <v>#DIV/0!</v>
      </c>
    </row>
    <row r="304">
      <c r="A304" s="15" t="s">
        <v>1439</v>
      </c>
      <c r="B304" s="15" t="s">
        <v>1436</v>
      </c>
      <c r="C304" s="16"/>
      <c r="D304" s="18"/>
      <c r="E304" s="17" t="s">
        <v>1440</v>
      </c>
      <c r="F304" s="18"/>
      <c r="G304" s="18"/>
      <c r="H304" s="15" t="s">
        <v>1441</v>
      </c>
      <c r="I304" s="18"/>
      <c r="J304" s="19" t="s">
        <v>702</v>
      </c>
      <c r="K304" s="19" t="s">
        <v>603</v>
      </c>
      <c r="L304" s="19" t="s">
        <v>38</v>
      </c>
      <c r="M304" s="20">
        <f t="shared" si="1"/>
        <v>0</v>
      </c>
      <c r="N304" s="21"/>
      <c r="O304" s="22"/>
      <c r="P304" s="19" t="s">
        <v>1145</v>
      </c>
      <c r="Q304" s="18"/>
      <c r="R304" s="18"/>
      <c r="S304" s="23">
        <v>0.0</v>
      </c>
      <c r="T304" s="23">
        <v>0.0</v>
      </c>
      <c r="U304" s="23">
        <f t="shared" si="2"/>
        <v>0</v>
      </c>
      <c r="V304" s="23">
        <f t="shared" si="3"/>
        <v>0</v>
      </c>
      <c r="W304" s="23">
        <f t="shared" si="4"/>
        <v>0</v>
      </c>
      <c r="X304" s="24" t="str">
        <f t="shared" si="5"/>
        <v>#DIV/0!</v>
      </c>
    </row>
    <row r="305">
      <c r="A305" s="15" t="s">
        <v>1442</v>
      </c>
      <c r="B305" s="18"/>
      <c r="C305" s="16"/>
      <c r="D305" s="18"/>
      <c r="E305" s="17" t="s">
        <v>1443</v>
      </c>
      <c r="F305" s="18"/>
      <c r="G305" s="18"/>
      <c r="H305" s="18"/>
      <c r="I305" s="18"/>
      <c r="J305" s="19" t="s">
        <v>702</v>
      </c>
      <c r="K305" s="19" t="s">
        <v>1444</v>
      </c>
      <c r="L305" s="19" t="s">
        <v>38</v>
      </c>
      <c r="M305" s="20">
        <f t="shared" si="1"/>
        <v>0</v>
      </c>
      <c r="N305" s="21"/>
      <c r="O305" s="22"/>
      <c r="P305" s="19" t="s">
        <v>1145</v>
      </c>
      <c r="Q305" s="18"/>
      <c r="R305" s="18"/>
      <c r="S305" s="23">
        <v>0.0</v>
      </c>
      <c r="T305" s="23">
        <v>0.0</v>
      </c>
      <c r="U305" s="23">
        <f t="shared" si="2"/>
        <v>0</v>
      </c>
      <c r="V305" s="23">
        <f t="shared" si="3"/>
        <v>0</v>
      </c>
      <c r="W305" s="23">
        <f t="shared" si="4"/>
        <v>0</v>
      </c>
      <c r="X305" s="24" t="str">
        <f t="shared" si="5"/>
        <v>#DIV/0!</v>
      </c>
    </row>
    <row r="306">
      <c r="A306" s="15" t="s">
        <v>1445</v>
      </c>
      <c r="B306" s="18"/>
      <c r="C306" s="16"/>
      <c r="D306" s="18"/>
      <c r="E306" s="17" t="s">
        <v>1446</v>
      </c>
      <c r="F306" s="18"/>
      <c r="G306" s="18"/>
      <c r="H306" s="18"/>
      <c r="I306" s="18"/>
      <c r="J306" s="19" t="s">
        <v>702</v>
      </c>
      <c r="K306" s="19" t="s">
        <v>1444</v>
      </c>
      <c r="L306" s="19" t="s">
        <v>38</v>
      </c>
      <c r="M306" s="20">
        <f t="shared" si="1"/>
        <v>0</v>
      </c>
      <c r="N306" s="21"/>
      <c r="O306" s="22"/>
      <c r="P306" s="19" t="s">
        <v>1145</v>
      </c>
      <c r="Q306" s="18"/>
      <c r="R306" s="18"/>
      <c r="S306" s="23">
        <v>0.0</v>
      </c>
      <c r="T306" s="23">
        <v>0.0</v>
      </c>
      <c r="U306" s="23">
        <f t="shared" si="2"/>
        <v>0</v>
      </c>
      <c r="V306" s="23">
        <f t="shared" si="3"/>
        <v>0</v>
      </c>
      <c r="W306" s="23">
        <f t="shared" si="4"/>
        <v>0</v>
      </c>
      <c r="X306" s="24" t="str">
        <f t="shared" si="5"/>
        <v>#DIV/0!</v>
      </c>
    </row>
    <row r="307">
      <c r="A307" s="15" t="s">
        <v>1447</v>
      </c>
      <c r="B307" s="18"/>
      <c r="C307" s="16"/>
      <c r="D307" s="18"/>
      <c r="E307" s="17" t="s">
        <v>1448</v>
      </c>
      <c r="F307" s="18"/>
      <c r="G307" s="18"/>
      <c r="H307" s="15" t="s">
        <v>1449</v>
      </c>
      <c r="I307" s="18"/>
      <c r="J307" s="19" t="s">
        <v>702</v>
      </c>
      <c r="K307" s="19" t="s">
        <v>1444</v>
      </c>
      <c r="L307" s="19" t="s">
        <v>38</v>
      </c>
      <c r="M307" s="20">
        <f t="shared" si="1"/>
        <v>0</v>
      </c>
      <c r="N307" s="21"/>
      <c r="O307" s="22"/>
      <c r="P307" s="19" t="s">
        <v>1145</v>
      </c>
      <c r="Q307" s="18"/>
      <c r="R307" s="18"/>
      <c r="S307" s="23">
        <v>0.0</v>
      </c>
      <c r="T307" s="23">
        <v>0.0</v>
      </c>
      <c r="U307" s="23">
        <f t="shared" si="2"/>
        <v>0</v>
      </c>
      <c r="V307" s="23">
        <f t="shared" si="3"/>
        <v>0</v>
      </c>
      <c r="W307" s="23">
        <f t="shared" si="4"/>
        <v>0</v>
      </c>
      <c r="X307" s="24" t="str">
        <f t="shared" si="5"/>
        <v>#DIV/0!</v>
      </c>
    </row>
    <row r="308">
      <c r="A308" s="15" t="s">
        <v>1450</v>
      </c>
      <c r="B308" s="18"/>
      <c r="C308" s="16"/>
      <c r="D308" s="18"/>
      <c r="E308" s="17" t="s">
        <v>1451</v>
      </c>
      <c r="F308" s="18"/>
      <c r="G308" s="18"/>
      <c r="H308" s="15" t="s">
        <v>1452</v>
      </c>
      <c r="I308" s="18"/>
      <c r="J308" s="19" t="s">
        <v>702</v>
      </c>
      <c r="K308" s="19" t="s">
        <v>1444</v>
      </c>
      <c r="L308" s="19" t="s">
        <v>38</v>
      </c>
      <c r="M308" s="20">
        <f t="shared" si="1"/>
        <v>0</v>
      </c>
      <c r="N308" s="21"/>
      <c r="O308" s="22"/>
      <c r="P308" s="19" t="s">
        <v>1145</v>
      </c>
      <c r="Q308" s="18"/>
      <c r="R308" s="18"/>
      <c r="S308" s="23">
        <v>0.0</v>
      </c>
      <c r="T308" s="23">
        <v>0.0</v>
      </c>
      <c r="U308" s="23">
        <f t="shared" si="2"/>
        <v>0</v>
      </c>
      <c r="V308" s="23">
        <f t="shared" si="3"/>
        <v>0</v>
      </c>
      <c r="W308" s="23">
        <f t="shared" si="4"/>
        <v>0</v>
      </c>
      <c r="X308" s="24" t="str">
        <f t="shared" si="5"/>
        <v>#DIV/0!</v>
      </c>
    </row>
    <row r="309">
      <c r="A309" s="15" t="s">
        <v>1453</v>
      </c>
      <c r="B309" s="18"/>
      <c r="C309" s="16"/>
      <c r="D309" s="18"/>
      <c r="E309" s="17" t="s">
        <v>1454</v>
      </c>
      <c r="F309" s="18"/>
      <c r="G309" s="18"/>
      <c r="H309" s="15" t="s">
        <v>1455</v>
      </c>
      <c r="I309" s="18"/>
      <c r="J309" s="19" t="s">
        <v>702</v>
      </c>
      <c r="K309" s="19" t="s">
        <v>1444</v>
      </c>
      <c r="L309" s="19" t="s">
        <v>38</v>
      </c>
      <c r="M309" s="20">
        <f t="shared" si="1"/>
        <v>0</v>
      </c>
      <c r="N309" s="21"/>
      <c r="O309" s="22"/>
      <c r="P309" s="19" t="s">
        <v>1145</v>
      </c>
      <c r="Q309" s="18"/>
      <c r="R309" s="18"/>
      <c r="S309" s="23">
        <v>0.0</v>
      </c>
      <c r="T309" s="23">
        <v>0.0</v>
      </c>
      <c r="U309" s="23">
        <f t="shared" si="2"/>
        <v>0</v>
      </c>
      <c r="V309" s="23">
        <f t="shared" si="3"/>
        <v>0</v>
      </c>
      <c r="W309" s="23">
        <f t="shared" si="4"/>
        <v>0</v>
      </c>
      <c r="X309" s="24" t="str">
        <f t="shared" si="5"/>
        <v>#DIV/0!</v>
      </c>
    </row>
    <row r="310">
      <c r="A310" s="15" t="s">
        <v>1456</v>
      </c>
      <c r="B310" s="18"/>
      <c r="C310" s="16"/>
      <c r="D310" s="18"/>
      <c r="E310" s="17" t="s">
        <v>1457</v>
      </c>
      <c r="F310" s="18"/>
      <c r="G310" s="18"/>
      <c r="H310" s="15" t="s">
        <v>1458</v>
      </c>
      <c r="I310" s="18"/>
      <c r="J310" s="19" t="s">
        <v>702</v>
      </c>
      <c r="K310" s="19" t="s">
        <v>1444</v>
      </c>
      <c r="L310" s="19" t="s">
        <v>38</v>
      </c>
      <c r="M310" s="20">
        <f t="shared" si="1"/>
        <v>0</v>
      </c>
      <c r="N310" s="21"/>
      <c r="O310" s="22"/>
      <c r="P310" s="19" t="s">
        <v>1145</v>
      </c>
      <c r="Q310" s="18"/>
      <c r="R310" s="18"/>
      <c r="S310" s="23">
        <v>0.0</v>
      </c>
      <c r="T310" s="23">
        <v>0.0</v>
      </c>
      <c r="U310" s="23">
        <f t="shared" si="2"/>
        <v>0</v>
      </c>
      <c r="V310" s="23">
        <f t="shared" si="3"/>
        <v>0</v>
      </c>
      <c r="W310" s="23">
        <f t="shared" si="4"/>
        <v>0</v>
      </c>
      <c r="X310" s="24" t="str">
        <f t="shared" si="5"/>
        <v>#DIV/0!</v>
      </c>
    </row>
    <row r="311">
      <c r="A311" s="15" t="s">
        <v>1459</v>
      </c>
      <c r="B311" s="18"/>
      <c r="C311" s="16"/>
      <c r="D311" s="18"/>
      <c r="E311" s="17" t="s">
        <v>1460</v>
      </c>
      <c r="F311" s="18"/>
      <c r="G311" s="18"/>
      <c r="H311" s="15" t="s">
        <v>1461</v>
      </c>
      <c r="I311" s="18"/>
      <c r="J311" s="19" t="s">
        <v>702</v>
      </c>
      <c r="K311" s="19" t="s">
        <v>1444</v>
      </c>
      <c r="L311" s="19" t="s">
        <v>38</v>
      </c>
      <c r="M311" s="20">
        <f t="shared" si="1"/>
        <v>0</v>
      </c>
      <c r="N311" s="21"/>
      <c r="O311" s="22"/>
      <c r="P311" s="19" t="s">
        <v>1145</v>
      </c>
      <c r="Q311" s="18"/>
      <c r="R311" s="18"/>
      <c r="S311" s="23">
        <v>0.0</v>
      </c>
      <c r="T311" s="23">
        <v>0.0</v>
      </c>
      <c r="U311" s="23">
        <f t="shared" si="2"/>
        <v>0</v>
      </c>
      <c r="V311" s="23">
        <f t="shared" si="3"/>
        <v>0</v>
      </c>
      <c r="W311" s="23">
        <f t="shared" si="4"/>
        <v>0</v>
      </c>
      <c r="X311" s="24" t="str">
        <f t="shared" si="5"/>
        <v>#DIV/0!</v>
      </c>
    </row>
    <row r="312">
      <c r="A312" s="15" t="s">
        <v>1462</v>
      </c>
      <c r="B312" s="18"/>
      <c r="C312" s="16"/>
      <c r="D312" s="18"/>
      <c r="E312" s="17" t="s">
        <v>1463</v>
      </c>
      <c r="F312" s="18"/>
      <c r="G312" s="18"/>
      <c r="H312" s="15" t="s">
        <v>1464</v>
      </c>
      <c r="I312" s="18"/>
      <c r="J312" s="19" t="s">
        <v>702</v>
      </c>
      <c r="K312" s="19" t="s">
        <v>1444</v>
      </c>
      <c r="L312" s="19" t="s">
        <v>38</v>
      </c>
      <c r="M312" s="20">
        <f t="shared" si="1"/>
        <v>0</v>
      </c>
      <c r="N312" s="21"/>
      <c r="O312" s="22"/>
      <c r="P312" s="19" t="s">
        <v>1145</v>
      </c>
      <c r="Q312" s="18"/>
      <c r="R312" s="18"/>
      <c r="S312" s="23">
        <v>0.0</v>
      </c>
      <c r="T312" s="23">
        <v>0.0</v>
      </c>
      <c r="U312" s="23">
        <f t="shared" si="2"/>
        <v>0</v>
      </c>
      <c r="V312" s="23">
        <f t="shared" si="3"/>
        <v>0</v>
      </c>
      <c r="W312" s="23">
        <f t="shared" si="4"/>
        <v>0</v>
      </c>
      <c r="X312" s="24" t="str">
        <f t="shared" si="5"/>
        <v>#DIV/0!</v>
      </c>
    </row>
    <row r="313">
      <c r="A313" s="15" t="s">
        <v>1465</v>
      </c>
      <c r="B313" s="18"/>
      <c r="C313" s="16"/>
      <c r="D313" s="18"/>
      <c r="E313" s="17" t="s">
        <v>1466</v>
      </c>
      <c r="F313" s="18"/>
      <c r="G313" s="18"/>
      <c r="H313" s="15" t="s">
        <v>1467</v>
      </c>
      <c r="I313" s="18"/>
      <c r="J313" s="19" t="s">
        <v>702</v>
      </c>
      <c r="K313" s="19" t="s">
        <v>1444</v>
      </c>
      <c r="L313" s="19" t="s">
        <v>38</v>
      </c>
      <c r="M313" s="20">
        <f t="shared" si="1"/>
        <v>0</v>
      </c>
      <c r="N313" s="21"/>
      <c r="O313" s="22"/>
      <c r="P313" s="19" t="s">
        <v>1145</v>
      </c>
      <c r="Q313" s="18"/>
      <c r="R313" s="18"/>
      <c r="S313" s="23">
        <v>0.0</v>
      </c>
      <c r="T313" s="23">
        <v>0.0</v>
      </c>
      <c r="U313" s="23">
        <f t="shared" si="2"/>
        <v>0</v>
      </c>
      <c r="V313" s="23">
        <f t="shared" si="3"/>
        <v>0</v>
      </c>
      <c r="W313" s="23">
        <f t="shared" si="4"/>
        <v>0</v>
      </c>
      <c r="X313" s="24" t="str">
        <f t="shared" si="5"/>
        <v>#DIV/0!</v>
      </c>
    </row>
    <row r="314">
      <c r="A314" s="15" t="s">
        <v>1468</v>
      </c>
      <c r="B314" s="18"/>
      <c r="C314" s="16"/>
      <c r="D314" s="18"/>
      <c r="E314" s="17" t="s">
        <v>1469</v>
      </c>
      <c r="F314" s="18"/>
      <c r="G314" s="18"/>
      <c r="H314" s="15" t="s">
        <v>1470</v>
      </c>
      <c r="I314" s="18"/>
      <c r="J314" s="19" t="s">
        <v>702</v>
      </c>
      <c r="K314" s="19" t="s">
        <v>1444</v>
      </c>
      <c r="L314" s="19" t="s">
        <v>38</v>
      </c>
      <c r="M314" s="20">
        <f t="shared" si="1"/>
        <v>0</v>
      </c>
      <c r="N314" s="21"/>
      <c r="O314" s="22"/>
      <c r="P314" s="19" t="s">
        <v>1145</v>
      </c>
      <c r="Q314" s="18"/>
      <c r="R314" s="18"/>
      <c r="S314" s="23">
        <v>0.0</v>
      </c>
      <c r="T314" s="23">
        <v>0.0</v>
      </c>
      <c r="U314" s="23">
        <f t="shared" si="2"/>
        <v>0</v>
      </c>
      <c r="V314" s="23">
        <f t="shared" si="3"/>
        <v>0</v>
      </c>
      <c r="W314" s="23">
        <f t="shared" si="4"/>
        <v>0</v>
      </c>
      <c r="X314" s="24" t="str">
        <f t="shared" si="5"/>
        <v>#DIV/0!</v>
      </c>
    </row>
    <row r="315">
      <c r="A315" s="15" t="s">
        <v>1471</v>
      </c>
      <c r="B315" s="18"/>
      <c r="C315" s="16"/>
      <c r="D315" s="18"/>
      <c r="E315" s="17" t="s">
        <v>1472</v>
      </c>
      <c r="F315" s="18"/>
      <c r="G315" s="18"/>
      <c r="H315" s="15" t="s">
        <v>1473</v>
      </c>
      <c r="I315" s="18"/>
      <c r="J315" s="19" t="s">
        <v>702</v>
      </c>
      <c r="K315" s="19" t="s">
        <v>1444</v>
      </c>
      <c r="L315" s="19" t="s">
        <v>38</v>
      </c>
      <c r="M315" s="20">
        <f t="shared" si="1"/>
        <v>0</v>
      </c>
      <c r="N315" s="21"/>
      <c r="O315" s="22"/>
      <c r="P315" s="19" t="s">
        <v>1145</v>
      </c>
      <c r="Q315" s="18"/>
      <c r="R315" s="18"/>
      <c r="S315" s="23">
        <v>0.0</v>
      </c>
      <c r="T315" s="23">
        <v>0.0</v>
      </c>
      <c r="U315" s="23">
        <f t="shared" si="2"/>
        <v>0</v>
      </c>
      <c r="V315" s="23">
        <f t="shared" si="3"/>
        <v>0</v>
      </c>
      <c r="W315" s="23">
        <f t="shared" si="4"/>
        <v>0</v>
      </c>
      <c r="X315" s="24" t="str">
        <f t="shared" si="5"/>
        <v>#DIV/0!</v>
      </c>
    </row>
    <row r="316">
      <c r="A316" s="15" t="s">
        <v>1474</v>
      </c>
      <c r="B316" s="15" t="s">
        <v>1475</v>
      </c>
      <c r="C316" s="16"/>
      <c r="D316" s="15" t="s">
        <v>1476</v>
      </c>
      <c r="E316" s="17" t="s">
        <v>1477</v>
      </c>
      <c r="F316" s="18"/>
      <c r="G316" s="18"/>
      <c r="H316" s="15" t="s">
        <v>1478</v>
      </c>
      <c r="I316" s="18"/>
      <c r="J316" s="19" t="s">
        <v>702</v>
      </c>
      <c r="K316" s="19" t="s">
        <v>52</v>
      </c>
      <c r="L316" s="19" t="s">
        <v>703</v>
      </c>
      <c r="M316" s="20">
        <f t="shared" si="1"/>
        <v>0</v>
      </c>
      <c r="N316" s="21"/>
      <c r="O316" s="22"/>
      <c r="P316" s="19" t="s">
        <v>1145</v>
      </c>
      <c r="Q316" s="18"/>
      <c r="R316" s="18"/>
      <c r="S316" s="23">
        <v>0.0</v>
      </c>
      <c r="T316" s="23">
        <v>0.0</v>
      </c>
      <c r="U316" s="23">
        <f t="shared" si="2"/>
        <v>0</v>
      </c>
      <c r="V316" s="23">
        <f t="shared" si="3"/>
        <v>0</v>
      </c>
      <c r="W316" s="23">
        <f t="shared" si="4"/>
        <v>0</v>
      </c>
      <c r="X316" s="24" t="str">
        <f t="shared" si="5"/>
        <v>#DIV/0!</v>
      </c>
    </row>
    <row r="317">
      <c r="A317" s="15" t="s">
        <v>1479</v>
      </c>
      <c r="B317" s="18"/>
      <c r="C317" s="16"/>
      <c r="D317" s="18"/>
      <c r="E317" s="17" t="s">
        <v>1480</v>
      </c>
      <c r="F317" s="18"/>
      <c r="G317" s="18"/>
      <c r="H317" s="15" t="s">
        <v>1481</v>
      </c>
      <c r="I317" s="18"/>
      <c r="J317" s="19" t="s">
        <v>702</v>
      </c>
      <c r="K317" s="19" t="s">
        <v>1444</v>
      </c>
      <c r="L317" s="19" t="s">
        <v>38</v>
      </c>
      <c r="M317" s="20">
        <f t="shared" si="1"/>
        <v>0</v>
      </c>
      <c r="N317" s="21"/>
      <c r="O317" s="22"/>
      <c r="P317" s="19" t="s">
        <v>1145</v>
      </c>
      <c r="Q317" s="18"/>
      <c r="R317" s="18"/>
      <c r="S317" s="23">
        <v>0.0</v>
      </c>
      <c r="T317" s="23">
        <v>0.0</v>
      </c>
      <c r="U317" s="23">
        <f t="shared" si="2"/>
        <v>0</v>
      </c>
      <c r="V317" s="23">
        <f t="shared" si="3"/>
        <v>0</v>
      </c>
      <c r="W317" s="23">
        <f t="shared" si="4"/>
        <v>0</v>
      </c>
      <c r="X317" s="24" t="str">
        <f t="shared" si="5"/>
        <v>#DIV/0!</v>
      </c>
    </row>
    <row r="318">
      <c r="A318" s="15" t="s">
        <v>1482</v>
      </c>
      <c r="B318" s="18"/>
      <c r="C318" s="16"/>
      <c r="D318" s="18"/>
      <c r="E318" s="17" t="s">
        <v>1483</v>
      </c>
      <c r="F318" s="18"/>
      <c r="G318" s="18"/>
      <c r="H318" s="15" t="s">
        <v>1484</v>
      </c>
      <c r="I318" s="18"/>
      <c r="J318" s="19" t="s">
        <v>702</v>
      </c>
      <c r="K318" s="19" t="s">
        <v>603</v>
      </c>
      <c r="L318" s="19" t="s">
        <v>38</v>
      </c>
      <c r="M318" s="20">
        <f t="shared" si="1"/>
        <v>0</v>
      </c>
      <c r="N318" s="21"/>
      <c r="O318" s="22"/>
      <c r="P318" s="19" t="s">
        <v>1145</v>
      </c>
      <c r="Q318" s="18"/>
      <c r="R318" s="18"/>
      <c r="S318" s="23">
        <v>0.0</v>
      </c>
      <c r="T318" s="23">
        <v>0.0</v>
      </c>
      <c r="U318" s="23">
        <f t="shared" si="2"/>
        <v>0</v>
      </c>
      <c r="V318" s="23">
        <f t="shared" si="3"/>
        <v>0</v>
      </c>
      <c r="W318" s="23">
        <f t="shared" si="4"/>
        <v>0</v>
      </c>
      <c r="X318" s="24" t="str">
        <f t="shared" si="5"/>
        <v>#DIV/0!</v>
      </c>
    </row>
    <row r="319">
      <c r="A319" s="15" t="s">
        <v>1485</v>
      </c>
      <c r="B319" s="18"/>
      <c r="C319" s="16"/>
      <c r="D319" s="18"/>
      <c r="E319" s="17" t="s">
        <v>1486</v>
      </c>
      <c r="F319" s="18"/>
      <c r="G319" s="18"/>
      <c r="H319" s="15" t="s">
        <v>1487</v>
      </c>
      <c r="I319" s="18"/>
      <c r="J319" s="19" t="s">
        <v>702</v>
      </c>
      <c r="K319" s="19" t="s">
        <v>1431</v>
      </c>
      <c r="L319" s="19" t="s">
        <v>38</v>
      </c>
      <c r="M319" s="20">
        <f t="shared" si="1"/>
        <v>0</v>
      </c>
      <c r="N319" s="21"/>
      <c r="O319" s="22"/>
      <c r="P319" s="19" t="s">
        <v>1145</v>
      </c>
      <c r="Q319" s="18"/>
      <c r="R319" s="18"/>
      <c r="S319" s="23">
        <v>0.0</v>
      </c>
      <c r="T319" s="23">
        <v>0.0</v>
      </c>
      <c r="U319" s="23">
        <f t="shared" si="2"/>
        <v>0</v>
      </c>
      <c r="V319" s="23">
        <f t="shared" si="3"/>
        <v>0</v>
      </c>
      <c r="W319" s="23">
        <f t="shared" si="4"/>
        <v>0</v>
      </c>
      <c r="X319" s="24" t="str">
        <f t="shared" si="5"/>
        <v>#DIV/0!</v>
      </c>
    </row>
    <row r="320">
      <c r="A320" s="15" t="s">
        <v>1488</v>
      </c>
      <c r="B320" s="18"/>
      <c r="C320" s="16"/>
      <c r="D320" s="18"/>
      <c r="E320" s="17" t="s">
        <v>1489</v>
      </c>
      <c r="F320" s="18"/>
      <c r="G320" s="18"/>
      <c r="H320" s="15" t="s">
        <v>1490</v>
      </c>
      <c r="I320" s="18"/>
      <c r="J320" s="19" t="s">
        <v>702</v>
      </c>
      <c r="K320" s="19" t="s">
        <v>603</v>
      </c>
      <c r="L320" s="19" t="s">
        <v>38</v>
      </c>
      <c r="M320" s="20">
        <f t="shared" si="1"/>
        <v>0</v>
      </c>
      <c r="N320" s="21"/>
      <c r="O320" s="22"/>
      <c r="P320" s="19" t="s">
        <v>1145</v>
      </c>
      <c r="Q320" s="18"/>
      <c r="R320" s="18"/>
      <c r="S320" s="23">
        <v>0.0</v>
      </c>
      <c r="T320" s="23">
        <v>0.0</v>
      </c>
      <c r="U320" s="23">
        <f t="shared" si="2"/>
        <v>0</v>
      </c>
      <c r="V320" s="23">
        <f t="shared" si="3"/>
        <v>0</v>
      </c>
      <c r="W320" s="23">
        <f t="shared" si="4"/>
        <v>0</v>
      </c>
      <c r="X320" s="24" t="str">
        <f t="shared" si="5"/>
        <v>#DIV/0!</v>
      </c>
    </row>
    <row r="321">
      <c r="A321" s="15" t="s">
        <v>1491</v>
      </c>
      <c r="B321" s="18"/>
      <c r="C321" s="16"/>
      <c r="D321" s="18"/>
      <c r="E321" s="17" t="s">
        <v>1492</v>
      </c>
      <c r="F321" s="18"/>
      <c r="G321" s="18"/>
      <c r="H321" s="15" t="s">
        <v>1493</v>
      </c>
      <c r="I321" s="18"/>
      <c r="J321" s="19" t="s">
        <v>702</v>
      </c>
      <c r="K321" s="19" t="s">
        <v>603</v>
      </c>
      <c r="L321" s="19" t="s">
        <v>38</v>
      </c>
      <c r="M321" s="20">
        <f t="shared" si="1"/>
        <v>0</v>
      </c>
      <c r="N321" s="21"/>
      <c r="O321" s="22"/>
      <c r="P321" s="19" t="s">
        <v>1145</v>
      </c>
      <c r="Q321" s="18"/>
      <c r="R321" s="18"/>
      <c r="S321" s="23">
        <v>0.0</v>
      </c>
      <c r="T321" s="23">
        <v>0.0</v>
      </c>
      <c r="U321" s="23">
        <f t="shared" si="2"/>
        <v>0</v>
      </c>
      <c r="V321" s="23">
        <f t="shared" si="3"/>
        <v>0</v>
      </c>
      <c r="W321" s="23">
        <f t="shared" si="4"/>
        <v>0</v>
      </c>
      <c r="X321" s="24" t="str">
        <f t="shared" si="5"/>
        <v>#DIV/0!</v>
      </c>
    </row>
    <row r="322">
      <c r="A322" s="15" t="s">
        <v>1494</v>
      </c>
      <c r="B322" s="18"/>
      <c r="C322" s="16"/>
      <c r="D322" s="18"/>
      <c r="E322" s="17" t="s">
        <v>1495</v>
      </c>
      <c r="F322" s="18"/>
      <c r="G322" s="18"/>
      <c r="H322" s="15" t="s">
        <v>1496</v>
      </c>
      <c r="I322" s="18"/>
      <c r="J322" s="19" t="s">
        <v>104</v>
      </c>
      <c r="K322" s="19" t="s">
        <v>105</v>
      </c>
      <c r="L322" s="19" t="s">
        <v>38</v>
      </c>
      <c r="M322" s="20">
        <f t="shared" si="1"/>
        <v>0</v>
      </c>
      <c r="N322" s="21"/>
      <c r="O322" s="22"/>
      <c r="P322" s="19" t="s">
        <v>1145</v>
      </c>
      <c r="Q322" s="18"/>
      <c r="R322" s="18"/>
      <c r="S322" s="23">
        <v>0.0</v>
      </c>
      <c r="T322" s="23">
        <v>0.0</v>
      </c>
      <c r="U322" s="23">
        <f t="shared" si="2"/>
        <v>0</v>
      </c>
      <c r="V322" s="23">
        <f t="shared" si="3"/>
        <v>0</v>
      </c>
      <c r="W322" s="23">
        <f t="shared" si="4"/>
        <v>0</v>
      </c>
      <c r="X322" s="24" t="str">
        <f t="shared" si="5"/>
        <v>#DIV/0!</v>
      </c>
    </row>
    <row r="323">
      <c r="A323" s="15" t="s">
        <v>1497</v>
      </c>
      <c r="B323" s="18"/>
      <c r="C323" s="16"/>
      <c r="D323" s="18"/>
      <c r="E323" s="17" t="s">
        <v>1498</v>
      </c>
      <c r="F323" s="18"/>
      <c r="G323" s="18"/>
      <c r="H323" s="15" t="s">
        <v>1499</v>
      </c>
      <c r="I323" s="18"/>
      <c r="J323" s="19" t="s">
        <v>104</v>
      </c>
      <c r="K323" s="19" t="s">
        <v>105</v>
      </c>
      <c r="L323" s="19" t="s">
        <v>38</v>
      </c>
      <c r="M323" s="20">
        <f t="shared" si="1"/>
        <v>0</v>
      </c>
      <c r="N323" s="21"/>
      <c r="O323" s="22"/>
      <c r="P323" s="19" t="s">
        <v>1145</v>
      </c>
      <c r="Q323" s="18"/>
      <c r="R323" s="18"/>
      <c r="S323" s="23">
        <v>0.0</v>
      </c>
      <c r="T323" s="23">
        <v>0.0</v>
      </c>
      <c r="U323" s="23">
        <f t="shared" si="2"/>
        <v>0</v>
      </c>
      <c r="V323" s="23">
        <f t="shared" si="3"/>
        <v>0</v>
      </c>
      <c r="W323" s="23">
        <f t="shared" si="4"/>
        <v>0</v>
      </c>
      <c r="X323" s="24" t="str">
        <f t="shared" si="5"/>
        <v>#DIV/0!</v>
      </c>
    </row>
    <row r="324">
      <c r="A324" s="15" t="s">
        <v>1500</v>
      </c>
      <c r="B324" s="18"/>
      <c r="C324" s="16"/>
      <c r="D324" s="18"/>
      <c r="E324" s="17" t="s">
        <v>1501</v>
      </c>
      <c r="F324" s="18"/>
      <c r="G324" s="18"/>
      <c r="H324" s="15" t="s">
        <v>1502</v>
      </c>
      <c r="I324" s="18"/>
      <c r="J324" s="19" t="s">
        <v>104</v>
      </c>
      <c r="K324" s="19" t="s">
        <v>105</v>
      </c>
      <c r="L324" s="19" t="s">
        <v>38</v>
      </c>
      <c r="M324" s="20">
        <f t="shared" si="1"/>
        <v>0</v>
      </c>
      <c r="N324" s="21"/>
      <c r="O324" s="22"/>
      <c r="P324" s="19" t="s">
        <v>1145</v>
      </c>
      <c r="Q324" s="18"/>
      <c r="R324" s="18"/>
      <c r="S324" s="23">
        <v>0.0</v>
      </c>
      <c r="T324" s="23">
        <v>0.0</v>
      </c>
      <c r="U324" s="23">
        <f t="shared" si="2"/>
        <v>0</v>
      </c>
      <c r="V324" s="23">
        <f t="shared" si="3"/>
        <v>0</v>
      </c>
      <c r="W324" s="23">
        <f t="shared" si="4"/>
        <v>0</v>
      </c>
      <c r="X324" s="24" t="str">
        <f t="shared" si="5"/>
        <v>#DIV/0!</v>
      </c>
    </row>
    <row r="325">
      <c r="A325" s="15" t="s">
        <v>1503</v>
      </c>
      <c r="B325" s="18"/>
      <c r="C325" s="16"/>
      <c r="D325" s="18"/>
      <c r="E325" s="17" t="s">
        <v>1504</v>
      </c>
      <c r="F325" s="18"/>
      <c r="G325" s="18"/>
      <c r="H325" s="15" t="s">
        <v>1505</v>
      </c>
      <c r="I325" s="18"/>
      <c r="J325" s="19" t="s">
        <v>104</v>
      </c>
      <c r="K325" s="19" t="s">
        <v>105</v>
      </c>
      <c r="L325" s="19" t="s">
        <v>38</v>
      </c>
      <c r="M325" s="20">
        <f t="shared" si="1"/>
        <v>0</v>
      </c>
      <c r="N325" s="21"/>
      <c r="O325" s="22"/>
      <c r="P325" s="19" t="s">
        <v>1145</v>
      </c>
      <c r="Q325" s="18"/>
      <c r="R325" s="18"/>
      <c r="S325" s="23">
        <v>0.0</v>
      </c>
      <c r="T325" s="23">
        <v>0.0</v>
      </c>
      <c r="U325" s="23">
        <f t="shared" si="2"/>
        <v>0</v>
      </c>
      <c r="V325" s="23">
        <f t="shared" si="3"/>
        <v>0</v>
      </c>
      <c r="W325" s="23">
        <f t="shared" si="4"/>
        <v>0</v>
      </c>
      <c r="X325" s="24" t="str">
        <f t="shared" si="5"/>
        <v>#DIV/0!</v>
      </c>
    </row>
    <row r="326">
      <c r="A326" s="15" t="s">
        <v>1506</v>
      </c>
      <c r="B326" s="18"/>
      <c r="C326" s="16"/>
      <c r="D326" s="18"/>
      <c r="E326" s="17" t="s">
        <v>1507</v>
      </c>
      <c r="F326" s="18"/>
      <c r="G326" s="18"/>
      <c r="H326" s="15" t="s">
        <v>1508</v>
      </c>
      <c r="I326" s="18"/>
      <c r="J326" s="19" t="s">
        <v>104</v>
      </c>
      <c r="K326" s="19" t="s">
        <v>105</v>
      </c>
      <c r="L326" s="19" t="s">
        <v>38</v>
      </c>
      <c r="M326" s="20">
        <f t="shared" si="1"/>
        <v>0</v>
      </c>
      <c r="N326" s="21"/>
      <c r="O326" s="22"/>
      <c r="P326" s="19" t="s">
        <v>1145</v>
      </c>
      <c r="Q326" s="18"/>
      <c r="R326" s="18"/>
      <c r="S326" s="23">
        <v>0.0</v>
      </c>
      <c r="T326" s="23">
        <v>0.0</v>
      </c>
      <c r="U326" s="23">
        <f t="shared" si="2"/>
        <v>0</v>
      </c>
      <c r="V326" s="23">
        <f t="shared" si="3"/>
        <v>0</v>
      </c>
      <c r="W326" s="23">
        <f t="shared" si="4"/>
        <v>0</v>
      </c>
      <c r="X326" s="24" t="str">
        <f t="shared" si="5"/>
        <v>#DIV/0!</v>
      </c>
    </row>
    <row r="327">
      <c r="A327" s="15" t="s">
        <v>1509</v>
      </c>
      <c r="B327" s="15" t="s">
        <v>1510</v>
      </c>
      <c r="C327" s="16"/>
      <c r="D327" s="18"/>
      <c r="E327" s="17" t="s">
        <v>1511</v>
      </c>
      <c r="F327" s="18"/>
      <c r="G327" s="18"/>
      <c r="H327" s="15" t="s">
        <v>1512</v>
      </c>
      <c r="I327" s="18"/>
      <c r="J327" s="19" t="s">
        <v>104</v>
      </c>
      <c r="K327" s="19" t="s">
        <v>105</v>
      </c>
      <c r="L327" s="19" t="s">
        <v>38</v>
      </c>
      <c r="M327" s="20">
        <f t="shared" si="1"/>
        <v>0</v>
      </c>
      <c r="N327" s="21"/>
      <c r="O327" s="22"/>
      <c r="P327" s="19" t="s">
        <v>1145</v>
      </c>
      <c r="Q327" s="18"/>
      <c r="R327" s="18"/>
      <c r="S327" s="23">
        <v>0.0</v>
      </c>
      <c r="T327" s="23">
        <v>0.0</v>
      </c>
      <c r="U327" s="23">
        <f t="shared" si="2"/>
        <v>0</v>
      </c>
      <c r="V327" s="23">
        <f t="shared" si="3"/>
        <v>0</v>
      </c>
      <c r="W327" s="23">
        <f t="shared" si="4"/>
        <v>0</v>
      </c>
      <c r="X327" s="24" t="str">
        <f t="shared" si="5"/>
        <v>#DIV/0!</v>
      </c>
    </row>
    <row r="328">
      <c r="A328" s="15" t="s">
        <v>1513</v>
      </c>
      <c r="B328" s="15" t="s">
        <v>1514</v>
      </c>
      <c r="C328" s="16"/>
      <c r="D328" s="18"/>
      <c r="E328" s="17" t="s">
        <v>1515</v>
      </c>
      <c r="F328" s="18"/>
      <c r="G328" s="18"/>
      <c r="H328" s="15" t="s">
        <v>1516</v>
      </c>
      <c r="I328" s="18"/>
      <c r="J328" s="19" t="s">
        <v>104</v>
      </c>
      <c r="K328" s="19" t="s">
        <v>105</v>
      </c>
      <c r="L328" s="19" t="s">
        <v>38</v>
      </c>
      <c r="M328" s="20">
        <f t="shared" si="1"/>
        <v>0</v>
      </c>
      <c r="N328" s="21"/>
      <c r="O328" s="22"/>
      <c r="P328" s="19" t="s">
        <v>1145</v>
      </c>
      <c r="Q328" s="18"/>
      <c r="R328" s="18"/>
      <c r="S328" s="23">
        <v>0.0</v>
      </c>
      <c r="T328" s="23">
        <v>0.0</v>
      </c>
      <c r="U328" s="23">
        <f t="shared" si="2"/>
        <v>0</v>
      </c>
      <c r="V328" s="23">
        <f t="shared" si="3"/>
        <v>0</v>
      </c>
      <c r="W328" s="23">
        <f t="shared" si="4"/>
        <v>0</v>
      </c>
      <c r="X328" s="24" t="str">
        <f t="shared" si="5"/>
        <v>#DIV/0!</v>
      </c>
    </row>
    <row r="329">
      <c r="A329" s="15" t="s">
        <v>1517</v>
      </c>
      <c r="B329" s="15" t="s">
        <v>1518</v>
      </c>
      <c r="C329" s="16"/>
      <c r="D329" s="18"/>
      <c r="E329" s="17" t="s">
        <v>1519</v>
      </c>
      <c r="F329" s="18"/>
      <c r="G329" s="18"/>
      <c r="H329" s="15" t="s">
        <v>1520</v>
      </c>
      <c r="I329" s="18"/>
      <c r="J329" s="19" t="s">
        <v>104</v>
      </c>
      <c r="K329" s="19" t="s">
        <v>105</v>
      </c>
      <c r="L329" s="19" t="s">
        <v>38</v>
      </c>
      <c r="M329" s="20">
        <f t="shared" si="1"/>
        <v>0</v>
      </c>
      <c r="N329" s="21"/>
      <c r="O329" s="22"/>
      <c r="P329" s="19" t="s">
        <v>1145</v>
      </c>
      <c r="Q329" s="18"/>
      <c r="R329" s="18"/>
      <c r="S329" s="23">
        <v>0.0</v>
      </c>
      <c r="T329" s="23">
        <v>0.0</v>
      </c>
      <c r="U329" s="23">
        <f t="shared" si="2"/>
        <v>0</v>
      </c>
      <c r="V329" s="23">
        <f t="shared" si="3"/>
        <v>0</v>
      </c>
      <c r="W329" s="23">
        <f t="shared" si="4"/>
        <v>0</v>
      </c>
      <c r="X329" s="24" t="str">
        <f t="shared" si="5"/>
        <v>#DIV/0!</v>
      </c>
    </row>
    <row r="330">
      <c r="A330" s="15" t="s">
        <v>1521</v>
      </c>
      <c r="B330" s="15" t="s">
        <v>1522</v>
      </c>
      <c r="C330" s="16"/>
      <c r="D330" s="18"/>
      <c r="E330" s="17" t="s">
        <v>1523</v>
      </c>
      <c r="F330" s="18"/>
      <c r="G330" s="18"/>
      <c r="H330" s="15" t="s">
        <v>1524</v>
      </c>
      <c r="I330" s="18"/>
      <c r="J330" s="19" t="s">
        <v>104</v>
      </c>
      <c r="K330" s="19" t="s">
        <v>105</v>
      </c>
      <c r="L330" s="19" t="s">
        <v>38</v>
      </c>
      <c r="M330" s="20">
        <f t="shared" si="1"/>
        <v>0</v>
      </c>
      <c r="N330" s="21"/>
      <c r="O330" s="22"/>
      <c r="P330" s="19" t="s">
        <v>1145</v>
      </c>
      <c r="Q330" s="18"/>
      <c r="R330" s="18"/>
      <c r="S330" s="23">
        <v>0.0</v>
      </c>
      <c r="T330" s="23">
        <v>0.0</v>
      </c>
      <c r="U330" s="23">
        <f t="shared" si="2"/>
        <v>0</v>
      </c>
      <c r="V330" s="23">
        <f t="shared" si="3"/>
        <v>0</v>
      </c>
      <c r="W330" s="23">
        <f t="shared" si="4"/>
        <v>0</v>
      </c>
      <c r="X330" s="24" t="str">
        <f t="shared" si="5"/>
        <v>#DIV/0!</v>
      </c>
    </row>
    <row r="331">
      <c r="A331" s="15" t="s">
        <v>1525</v>
      </c>
      <c r="B331" s="15" t="s">
        <v>1526</v>
      </c>
      <c r="C331" s="16"/>
      <c r="D331" s="18"/>
      <c r="E331" s="17" t="s">
        <v>1527</v>
      </c>
      <c r="F331" s="18"/>
      <c r="G331" s="18"/>
      <c r="H331" s="15" t="s">
        <v>1528</v>
      </c>
      <c r="I331" s="18"/>
      <c r="J331" s="19" t="s">
        <v>104</v>
      </c>
      <c r="K331" s="19" t="s">
        <v>105</v>
      </c>
      <c r="L331" s="19" t="s">
        <v>38</v>
      </c>
      <c r="M331" s="20">
        <f t="shared" si="1"/>
        <v>0</v>
      </c>
      <c r="N331" s="21"/>
      <c r="O331" s="22"/>
      <c r="P331" s="19" t="s">
        <v>1145</v>
      </c>
      <c r="Q331" s="18"/>
      <c r="R331" s="18"/>
      <c r="S331" s="23">
        <v>0.0</v>
      </c>
      <c r="T331" s="23">
        <v>0.0</v>
      </c>
      <c r="U331" s="23">
        <f t="shared" si="2"/>
        <v>0</v>
      </c>
      <c r="V331" s="23">
        <f t="shared" si="3"/>
        <v>0</v>
      </c>
      <c r="W331" s="23">
        <f t="shared" si="4"/>
        <v>0</v>
      </c>
      <c r="X331" s="24" t="str">
        <f t="shared" si="5"/>
        <v>#DIV/0!</v>
      </c>
    </row>
    <row r="332">
      <c r="A332" s="15" t="s">
        <v>1529</v>
      </c>
      <c r="B332" s="15" t="s">
        <v>1530</v>
      </c>
      <c r="C332" s="16"/>
      <c r="D332" s="18"/>
      <c r="E332" s="17" t="s">
        <v>1531</v>
      </c>
      <c r="F332" s="18"/>
      <c r="G332" s="18"/>
      <c r="H332" s="15" t="s">
        <v>1532</v>
      </c>
      <c r="I332" s="18"/>
      <c r="J332" s="19" t="s">
        <v>104</v>
      </c>
      <c r="K332" s="19" t="s">
        <v>105</v>
      </c>
      <c r="L332" s="19" t="s">
        <v>38</v>
      </c>
      <c r="M332" s="20">
        <f t="shared" si="1"/>
        <v>0</v>
      </c>
      <c r="N332" s="21"/>
      <c r="O332" s="22"/>
      <c r="P332" s="19" t="s">
        <v>1145</v>
      </c>
      <c r="Q332" s="18"/>
      <c r="R332" s="18"/>
      <c r="S332" s="23">
        <v>0.0</v>
      </c>
      <c r="T332" s="23">
        <v>0.0</v>
      </c>
      <c r="U332" s="23">
        <f t="shared" si="2"/>
        <v>0</v>
      </c>
      <c r="V332" s="23">
        <f t="shared" si="3"/>
        <v>0</v>
      </c>
      <c r="W332" s="23">
        <f t="shared" si="4"/>
        <v>0</v>
      </c>
      <c r="X332" s="24" t="str">
        <f t="shared" si="5"/>
        <v>#DIV/0!</v>
      </c>
    </row>
    <row r="333">
      <c r="A333" s="15" t="s">
        <v>1533</v>
      </c>
      <c r="B333" s="18"/>
      <c r="C333" s="16"/>
      <c r="D333" s="18"/>
      <c r="E333" s="17" t="s">
        <v>1534</v>
      </c>
      <c r="F333" s="18"/>
      <c r="G333" s="18"/>
      <c r="H333" s="15" t="s">
        <v>1535</v>
      </c>
      <c r="I333" s="18"/>
      <c r="J333" s="19" t="s">
        <v>104</v>
      </c>
      <c r="K333" s="19" t="s">
        <v>105</v>
      </c>
      <c r="L333" s="19" t="s">
        <v>38</v>
      </c>
      <c r="M333" s="20">
        <f t="shared" si="1"/>
        <v>0</v>
      </c>
      <c r="N333" s="21"/>
      <c r="O333" s="22"/>
      <c r="P333" s="19" t="s">
        <v>1145</v>
      </c>
      <c r="Q333" s="18"/>
      <c r="R333" s="18"/>
      <c r="S333" s="23">
        <v>0.0</v>
      </c>
      <c r="T333" s="23">
        <v>0.0</v>
      </c>
      <c r="U333" s="23">
        <f t="shared" si="2"/>
        <v>0</v>
      </c>
      <c r="V333" s="23">
        <f t="shared" si="3"/>
        <v>0</v>
      </c>
      <c r="W333" s="23">
        <f t="shared" si="4"/>
        <v>0</v>
      </c>
      <c r="X333" s="24" t="str">
        <f t="shared" si="5"/>
        <v>#DIV/0!</v>
      </c>
    </row>
    <row r="334">
      <c r="A334" s="15" t="s">
        <v>1536</v>
      </c>
      <c r="B334" s="18"/>
      <c r="C334" s="16"/>
      <c r="D334" s="18"/>
      <c r="E334" s="17" t="s">
        <v>1537</v>
      </c>
      <c r="F334" s="18"/>
      <c r="G334" s="18"/>
      <c r="H334" s="18"/>
      <c r="I334" s="18"/>
      <c r="J334" s="19" t="s">
        <v>104</v>
      </c>
      <c r="K334" s="19" t="s">
        <v>105</v>
      </c>
      <c r="L334" s="19" t="s">
        <v>38</v>
      </c>
      <c r="M334" s="20">
        <f t="shared" si="1"/>
        <v>0</v>
      </c>
      <c r="N334" s="21"/>
      <c r="O334" s="22"/>
      <c r="P334" s="19" t="s">
        <v>1145</v>
      </c>
      <c r="Q334" s="18"/>
      <c r="R334" s="18"/>
      <c r="S334" s="23">
        <v>0.0</v>
      </c>
      <c r="T334" s="23">
        <v>0.0</v>
      </c>
      <c r="U334" s="23">
        <f t="shared" si="2"/>
        <v>0</v>
      </c>
      <c r="V334" s="23">
        <f t="shared" si="3"/>
        <v>0</v>
      </c>
      <c r="W334" s="23">
        <f t="shared" si="4"/>
        <v>0</v>
      </c>
      <c r="X334" s="24" t="str">
        <f t="shared" si="5"/>
        <v>#DIV/0!</v>
      </c>
    </row>
    <row r="335">
      <c r="A335" s="15" t="s">
        <v>1538</v>
      </c>
      <c r="B335" s="18"/>
      <c r="C335" s="16"/>
      <c r="D335" s="18"/>
      <c r="E335" s="17" t="s">
        <v>1539</v>
      </c>
      <c r="F335" s="18"/>
      <c r="G335" s="18"/>
      <c r="H335" s="15" t="s">
        <v>1540</v>
      </c>
      <c r="I335" s="18"/>
      <c r="J335" s="19" t="s">
        <v>104</v>
      </c>
      <c r="K335" s="19" t="s">
        <v>105</v>
      </c>
      <c r="L335" s="19" t="s">
        <v>38</v>
      </c>
      <c r="M335" s="20">
        <f t="shared" si="1"/>
        <v>0</v>
      </c>
      <c r="N335" s="21"/>
      <c r="O335" s="22"/>
      <c r="P335" s="19" t="s">
        <v>1145</v>
      </c>
      <c r="Q335" s="18"/>
      <c r="R335" s="18"/>
      <c r="S335" s="23">
        <v>0.0</v>
      </c>
      <c r="T335" s="23">
        <v>0.0</v>
      </c>
      <c r="U335" s="23">
        <f t="shared" si="2"/>
        <v>0</v>
      </c>
      <c r="V335" s="23">
        <f t="shared" si="3"/>
        <v>0</v>
      </c>
      <c r="W335" s="23">
        <f t="shared" si="4"/>
        <v>0</v>
      </c>
      <c r="X335" s="24" t="str">
        <f t="shared" si="5"/>
        <v>#DIV/0!</v>
      </c>
    </row>
    <row r="336">
      <c r="A336" s="15" t="s">
        <v>1541</v>
      </c>
      <c r="B336" s="18"/>
      <c r="C336" s="16"/>
      <c r="D336" s="18"/>
      <c r="E336" s="17" t="s">
        <v>1542</v>
      </c>
      <c r="F336" s="18"/>
      <c r="G336" s="18"/>
      <c r="H336" s="15" t="s">
        <v>1543</v>
      </c>
      <c r="I336" s="18"/>
      <c r="J336" s="19" t="s">
        <v>104</v>
      </c>
      <c r="K336" s="19" t="s">
        <v>105</v>
      </c>
      <c r="L336" s="19" t="s">
        <v>38</v>
      </c>
      <c r="M336" s="20">
        <f t="shared" si="1"/>
        <v>0</v>
      </c>
      <c r="N336" s="21"/>
      <c r="O336" s="22"/>
      <c r="P336" s="19" t="s">
        <v>1145</v>
      </c>
      <c r="Q336" s="18"/>
      <c r="R336" s="18"/>
      <c r="S336" s="23">
        <v>0.0</v>
      </c>
      <c r="T336" s="23">
        <v>0.0</v>
      </c>
      <c r="U336" s="23">
        <f t="shared" si="2"/>
        <v>0</v>
      </c>
      <c r="V336" s="23">
        <f t="shared" si="3"/>
        <v>0</v>
      </c>
      <c r="W336" s="23">
        <f t="shared" si="4"/>
        <v>0</v>
      </c>
      <c r="X336" s="24" t="str">
        <f t="shared" si="5"/>
        <v>#DIV/0!</v>
      </c>
    </row>
    <row r="337">
      <c r="A337" s="15" t="s">
        <v>1544</v>
      </c>
      <c r="B337" s="18"/>
      <c r="C337" s="16"/>
      <c r="D337" s="18"/>
      <c r="E337" s="17" t="s">
        <v>1545</v>
      </c>
      <c r="F337" s="18"/>
      <c r="G337" s="18"/>
      <c r="H337" s="15" t="s">
        <v>1546</v>
      </c>
      <c r="I337" s="18"/>
      <c r="J337" s="19" t="s">
        <v>104</v>
      </c>
      <c r="K337" s="19" t="s">
        <v>37</v>
      </c>
      <c r="L337" s="19" t="s">
        <v>38</v>
      </c>
      <c r="M337" s="20">
        <f t="shared" si="1"/>
        <v>0</v>
      </c>
      <c r="N337" s="21"/>
      <c r="O337" s="22"/>
      <c r="P337" s="19" t="s">
        <v>1145</v>
      </c>
      <c r="Q337" s="18"/>
      <c r="R337" s="18"/>
      <c r="S337" s="23">
        <v>0.0</v>
      </c>
      <c r="T337" s="23">
        <v>0.0</v>
      </c>
      <c r="U337" s="23">
        <f t="shared" si="2"/>
        <v>0</v>
      </c>
      <c r="V337" s="23">
        <f t="shared" si="3"/>
        <v>0</v>
      </c>
      <c r="W337" s="23">
        <f t="shared" si="4"/>
        <v>0</v>
      </c>
      <c r="X337" s="24" t="str">
        <f t="shared" si="5"/>
        <v>#DIV/0!</v>
      </c>
    </row>
    <row r="338">
      <c r="A338" s="15" t="s">
        <v>1547</v>
      </c>
      <c r="B338" s="18"/>
      <c r="C338" s="16"/>
      <c r="D338" s="18"/>
      <c r="E338" s="17" t="s">
        <v>1548</v>
      </c>
      <c r="F338" s="18"/>
      <c r="G338" s="18"/>
      <c r="H338" s="15" t="s">
        <v>1549</v>
      </c>
      <c r="I338" s="18"/>
      <c r="J338" s="19" t="s">
        <v>104</v>
      </c>
      <c r="K338" s="19" t="s">
        <v>37</v>
      </c>
      <c r="L338" s="19" t="s">
        <v>38</v>
      </c>
      <c r="M338" s="20">
        <f t="shared" si="1"/>
        <v>0</v>
      </c>
      <c r="N338" s="21"/>
      <c r="O338" s="22"/>
      <c r="P338" s="19" t="s">
        <v>1145</v>
      </c>
      <c r="Q338" s="18"/>
      <c r="R338" s="18"/>
      <c r="S338" s="23">
        <v>0.0</v>
      </c>
      <c r="T338" s="23">
        <v>0.0</v>
      </c>
      <c r="U338" s="23">
        <f t="shared" si="2"/>
        <v>0</v>
      </c>
      <c r="V338" s="23">
        <f t="shared" si="3"/>
        <v>0</v>
      </c>
      <c r="W338" s="23">
        <f t="shared" si="4"/>
        <v>0</v>
      </c>
      <c r="X338" s="24" t="str">
        <f t="shared" si="5"/>
        <v>#DIV/0!</v>
      </c>
    </row>
    <row r="339">
      <c r="A339" s="15" t="s">
        <v>1550</v>
      </c>
      <c r="B339" s="18"/>
      <c r="C339" s="16" t="str">
        <f>IMAGE("https://i.ibb.co/Z6BdVvkR/1431.png")</f>
        <v/>
      </c>
      <c r="D339" s="18"/>
      <c r="E339" s="17" t="s">
        <v>1551</v>
      </c>
      <c r="F339" s="18"/>
      <c r="G339" s="18"/>
      <c r="H339" s="15" t="s">
        <v>1552</v>
      </c>
      <c r="I339" s="18"/>
      <c r="J339" s="19" t="s">
        <v>104</v>
      </c>
      <c r="K339" s="19" t="s">
        <v>402</v>
      </c>
      <c r="L339" s="19" t="s">
        <v>38</v>
      </c>
      <c r="M339" s="20">
        <f t="shared" si="1"/>
        <v>0</v>
      </c>
      <c r="N339" s="21"/>
      <c r="O339" s="22"/>
      <c r="P339" s="19" t="s">
        <v>1145</v>
      </c>
      <c r="Q339" s="18"/>
      <c r="R339" s="18"/>
      <c r="S339" s="23">
        <v>0.0</v>
      </c>
      <c r="T339" s="23">
        <v>0.0</v>
      </c>
      <c r="U339" s="23">
        <f t="shared" si="2"/>
        <v>0</v>
      </c>
      <c r="V339" s="23">
        <f t="shared" si="3"/>
        <v>0</v>
      </c>
      <c r="W339" s="23">
        <f t="shared" si="4"/>
        <v>0</v>
      </c>
      <c r="X339" s="24" t="str">
        <f t="shared" si="5"/>
        <v>#DIV/0!</v>
      </c>
    </row>
    <row r="340">
      <c r="A340" s="15" t="s">
        <v>1553</v>
      </c>
      <c r="B340" s="18" t="str">
        <f>CONCATENATE(7504589,A340)</f>
        <v>75045891432</v>
      </c>
      <c r="C340" s="16" t="str">
        <f>IMAGE("https://i.ibb.co/wF3Xzn65/1432.png")</f>
        <v/>
      </c>
      <c r="D340" s="15" t="s">
        <v>1554</v>
      </c>
      <c r="E340" s="17" t="s">
        <v>1555</v>
      </c>
      <c r="F340" s="18"/>
      <c r="G340" s="18"/>
      <c r="H340" s="15" t="s">
        <v>1556</v>
      </c>
      <c r="I340" s="15" t="s">
        <v>1557</v>
      </c>
      <c r="J340" s="19" t="s">
        <v>104</v>
      </c>
      <c r="K340" s="19" t="s">
        <v>402</v>
      </c>
      <c r="L340" s="19" t="s">
        <v>38</v>
      </c>
      <c r="M340" s="20">
        <f t="shared" si="1"/>
        <v>0</v>
      </c>
      <c r="N340" s="37" t="s">
        <v>68</v>
      </c>
      <c r="O340" s="22"/>
      <c r="P340" s="19" t="s">
        <v>1145</v>
      </c>
      <c r="Q340" s="18"/>
      <c r="R340" s="18"/>
      <c r="S340" s="23">
        <v>0.0</v>
      </c>
      <c r="T340" s="23">
        <v>0.0</v>
      </c>
      <c r="U340" s="23">
        <f t="shared" si="2"/>
        <v>0</v>
      </c>
      <c r="V340" s="23">
        <f t="shared" si="3"/>
        <v>0</v>
      </c>
      <c r="W340" s="23">
        <f t="shared" si="4"/>
        <v>0</v>
      </c>
      <c r="X340" s="24" t="str">
        <f t="shared" si="5"/>
        <v>#DIV/0!</v>
      </c>
    </row>
    <row r="341">
      <c r="A341" s="15" t="s">
        <v>1558</v>
      </c>
      <c r="B341" s="18"/>
      <c r="C341" s="16" t="str">
        <f>IMAGE("https://i.ibb.co/gFtkP9Nz/1436.png")</f>
        <v/>
      </c>
      <c r="D341" s="18"/>
      <c r="E341" s="17" t="s">
        <v>1559</v>
      </c>
      <c r="F341" s="18"/>
      <c r="G341" s="18"/>
      <c r="H341" s="15" t="s">
        <v>1560</v>
      </c>
      <c r="I341" s="18"/>
      <c r="J341" s="19" t="s">
        <v>104</v>
      </c>
      <c r="K341" s="19" t="s">
        <v>402</v>
      </c>
      <c r="L341" s="19" t="s">
        <v>38</v>
      </c>
      <c r="M341" s="20">
        <f t="shared" si="1"/>
        <v>0</v>
      </c>
      <c r="N341" s="21"/>
      <c r="O341" s="22"/>
      <c r="P341" s="19" t="s">
        <v>1145</v>
      </c>
      <c r="Q341" s="18"/>
      <c r="R341" s="18"/>
      <c r="S341" s="23">
        <v>0.0</v>
      </c>
      <c r="T341" s="23">
        <v>0.0</v>
      </c>
      <c r="U341" s="23">
        <f t="shared" si="2"/>
        <v>0</v>
      </c>
      <c r="V341" s="23">
        <f t="shared" si="3"/>
        <v>0</v>
      </c>
      <c r="W341" s="23">
        <f t="shared" si="4"/>
        <v>0</v>
      </c>
      <c r="X341" s="24" t="str">
        <f t="shared" si="5"/>
        <v>#DIV/0!</v>
      </c>
    </row>
    <row r="342">
      <c r="A342" s="15" t="s">
        <v>1561</v>
      </c>
      <c r="B342" s="18"/>
      <c r="C342" s="16" t="str">
        <f>IMAGE("https://i.ibb.co/JwPx4tR9/1437.png")</f>
        <v/>
      </c>
      <c r="D342" s="18"/>
      <c r="E342" s="17" t="s">
        <v>1562</v>
      </c>
      <c r="F342" s="18"/>
      <c r="G342" s="18"/>
      <c r="H342" s="15" t="s">
        <v>1563</v>
      </c>
      <c r="I342" s="18"/>
      <c r="J342" s="19" t="s">
        <v>104</v>
      </c>
      <c r="K342" s="19" t="s">
        <v>402</v>
      </c>
      <c r="L342" s="19" t="s">
        <v>38</v>
      </c>
      <c r="M342" s="20">
        <f t="shared" si="1"/>
        <v>0</v>
      </c>
      <c r="N342" s="21"/>
      <c r="O342" s="22"/>
      <c r="P342" s="19" t="s">
        <v>1145</v>
      </c>
      <c r="Q342" s="18"/>
      <c r="R342" s="18"/>
      <c r="S342" s="23">
        <v>0.0</v>
      </c>
      <c r="T342" s="23">
        <v>0.0</v>
      </c>
      <c r="U342" s="23">
        <f t="shared" si="2"/>
        <v>0</v>
      </c>
      <c r="V342" s="23">
        <f t="shared" si="3"/>
        <v>0</v>
      </c>
      <c r="W342" s="23">
        <f t="shared" si="4"/>
        <v>0</v>
      </c>
      <c r="X342" s="24" t="str">
        <f t="shared" si="5"/>
        <v>#DIV/0!</v>
      </c>
    </row>
    <row r="343">
      <c r="A343" s="15" t="s">
        <v>1564</v>
      </c>
      <c r="B343" s="18"/>
      <c r="C343" s="16" t="str">
        <f>IMAGE("https://i.ibb.co/Kzjwy19J/1438.png")</f>
        <v/>
      </c>
      <c r="D343" s="18"/>
      <c r="E343" s="17" t="s">
        <v>1562</v>
      </c>
      <c r="F343" s="18"/>
      <c r="G343" s="18"/>
      <c r="H343" s="15" t="s">
        <v>1565</v>
      </c>
      <c r="I343" s="18"/>
      <c r="J343" s="19" t="s">
        <v>104</v>
      </c>
      <c r="K343" s="19" t="s">
        <v>402</v>
      </c>
      <c r="L343" s="19" t="s">
        <v>38</v>
      </c>
      <c r="M343" s="20">
        <f t="shared" si="1"/>
        <v>0</v>
      </c>
      <c r="N343" s="21"/>
      <c r="O343" s="22"/>
      <c r="P343" s="19" t="s">
        <v>1145</v>
      </c>
      <c r="Q343" s="18"/>
      <c r="R343" s="18"/>
      <c r="S343" s="23">
        <v>0.0</v>
      </c>
      <c r="T343" s="23">
        <v>0.0</v>
      </c>
      <c r="U343" s="23">
        <f t="shared" si="2"/>
        <v>0</v>
      </c>
      <c r="V343" s="23">
        <f t="shared" si="3"/>
        <v>0</v>
      </c>
      <c r="W343" s="23">
        <f t="shared" si="4"/>
        <v>0</v>
      </c>
      <c r="X343" s="24" t="str">
        <f t="shared" si="5"/>
        <v>#DIV/0!</v>
      </c>
    </row>
    <row r="344">
      <c r="A344" s="15" t="s">
        <v>1566</v>
      </c>
      <c r="B344" s="18"/>
      <c r="C344" s="16" t="str">
        <f>IMAGE("https://i.ibb.co/hJhJJDHS/1441.png")</f>
        <v/>
      </c>
      <c r="D344" s="18"/>
      <c r="E344" s="17" t="s">
        <v>1567</v>
      </c>
      <c r="F344" s="18"/>
      <c r="G344" s="18"/>
      <c r="H344" s="15" t="s">
        <v>1568</v>
      </c>
      <c r="I344" s="18"/>
      <c r="J344" s="19" t="s">
        <v>104</v>
      </c>
      <c r="K344" s="19" t="s">
        <v>402</v>
      </c>
      <c r="L344" s="19" t="s">
        <v>38</v>
      </c>
      <c r="M344" s="20">
        <f t="shared" si="1"/>
        <v>0</v>
      </c>
      <c r="N344" s="21"/>
      <c r="O344" s="22"/>
      <c r="P344" s="19" t="s">
        <v>1145</v>
      </c>
      <c r="Q344" s="18"/>
      <c r="R344" s="18"/>
      <c r="S344" s="23">
        <v>0.0</v>
      </c>
      <c r="T344" s="23">
        <v>0.0</v>
      </c>
      <c r="U344" s="23">
        <f t="shared" si="2"/>
        <v>0</v>
      </c>
      <c r="V344" s="23">
        <f t="shared" si="3"/>
        <v>0</v>
      </c>
      <c r="W344" s="23">
        <f t="shared" si="4"/>
        <v>0</v>
      </c>
      <c r="X344" s="24" t="str">
        <f t="shared" si="5"/>
        <v>#DIV/0!</v>
      </c>
    </row>
    <row r="345">
      <c r="A345" s="15" t="s">
        <v>1569</v>
      </c>
      <c r="B345" s="18"/>
      <c r="C345" s="16" t="str">
        <f>IMAGE("https://i.ibb.co/21sM2YhT/1442.png")</f>
        <v/>
      </c>
      <c r="D345" s="18"/>
      <c r="E345" s="17" t="s">
        <v>1570</v>
      </c>
      <c r="F345" s="18"/>
      <c r="G345" s="18"/>
      <c r="H345" s="15" t="s">
        <v>1571</v>
      </c>
      <c r="I345" s="18"/>
      <c r="J345" s="19" t="s">
        <v>104</v>
      </c>
      <c r="K345" s="19" t="s">
        <v>402</v>
      </c>
      <c r="L345" s="19" t="s">
        <v>38</v>
      </c>
      <c r="M345" s="20">
        <f t="shared" si="1"/>
        <v>0</v>
      </c>
      <c r="N345" s="21"/>
      <c r="O345" s="22"/>
      <c r="P345" s="19" t="s">
        <v>1145</v>
      </c>
      <c r="Q345" s="18"/>
      <c r="R345" s="18"/>
      <c r="S345" s="23">
        <v>0.0</v>
      </c>
      <c r="T345" s="23">
        <v>0.0</v>
      </c>
      <c r="U345" s="23">
        <f t="shared" si="2"/>
        <v>0</v>
      </c>
      <c r="V345" s="23">
        <f t="shared" si="3"/>
        <v>0</v>
      </c>
      <c r="W345" s="23">
        <f t="shared" si="4"/>
        <v>0</v>
      </c>
      <c r="X345" s="24" t="str">
        <f t="shared" si="5"/>
        <v>#DIV/0!</v>
      </c>
    </row>
    <row r="346">
      <c r="A346" s="15" t="s">
        <v>1572</v>
      </c>
      <c r="B346" s="18"/>
      <c r="C346" s="16" t="str">
        <f>IMAGE("https://i.ibb.co/b5vS0qCJ/1443.png")</f>
        <v/>
      </c>
      <c r="D346" s="18"/>
      <c r="E346" s="17" t="s">
        <v>1573</v>
      </c>
      <c r="F346" s="18"/>
      <c r="G346" s="18"/>
      <c r="H346" s="15" t="s">
        <v>1574</v>
      </c>
      <c r="I346" s="18"/>
      <c r="J346" s="19" t="s">
        <v>104</v>
      </c>
      <c r="K346" s="19" t="s">
        <v>402</v>
      </c>
      <c r="L346" s="19" t="s">
        <v>38</v>
      </c>
      <c r="M346" s="20">
        <f t="shared" si="1"/>
        <v>0</v>
      </c>
      <c r="N346" s="21"/>
      <c r="O346" s="22"/>
      <c r="P346" s="19" t="s">
        <v>1145</v>
      </c>
      <c r="Q346" s="18"/>
      <c r="R346" s="18"/>
      <c r="S346" s="23">
        <v>0.0</v>
      </c>
      <c r="T346" s="23">
        <v>0.0</v>
      </c>
      <c r="U346" s="23">
        <f t="shared" si="2"/>
        <v>0</v>
      </c>
      <c r="V346" s="23">
        <f t="shared" si="3"/>
        <v>0</v>
      </c>
      <c r="W346" s="23">
        <f t="shared" si="4"/>
        <v>0</v>
      </c>
      <c r="X346" s="24" t="str">
        <f t="shared" si="5"/>
        <v>#DIV/0!</v>
      </c>
    </row>
    <row r="347">
      <c r="A347" s="15" t="s">
        <v>1575</v>
      </c>
      <c r="B347" s="18"/>
      <c r="C347" s="16" t="str">
        <f>IMAGE("https://i.ibb.co/DDVsdFbd/1444.png")</f>
        <v/>
      </c>
      <c r="D347" s="18"/>
      <c r="E347" s="17" t="s">
        <v>1576</v>
      </c>
      <c r="F347" s="18"/>
      <c r="G347" s="18"/>
      <c r="H347" s="15" t="s">
        <v>1577</v>
      </c>
      <c r="I347" s="18"/>
      <c r="J347" s="19" t="s">
        <v>104</v>
      </c>
      <c r="K347" s="19" t="s">
        <v>402</v>
      </c>
      <c r="L347" s="19" t="s">
        <v>38</v>
      </c>
      <c r="M347" s="20">
        <f t="shared" si="1"/>
        <v>0</v>
      </c>
      <c r="N347" s="21"/>
      <c r="O347" s="22"/>
      <c r="P347" s="19" t="s">
        <v>1145</v>
      </c>
      <c r="Q347" s="18"/>
      <c r="R347" s="18"/>
      <c r="S347" s="23">
        <v>0.0</v>
      </c>
      <c r="T347" s="23">
        <v>0.0</v>
      </c>
      <c r="U347" s="23">
        <f t="shared" si="2"/>
        <v>0</v>
      </c>
      <c r="V347" s="23">
        <f t="shared" si="3"/>
        <v>0</v>
      </c>
      <c r="W347" s="23">
        <f t="shared" si="4"/>
        <v>0</v>
      </c>
      <c r="X347" s="24" t="str">
        <f t="shared" si="5"/>
        <v>#DIV/0!</v>
      </c>
    </row>
    <row r="348">
      <c r="A348" s="15" t="s">
        <v>1578</v>
      </c>
      <c r="B348" s="18"/>
      <c r="C348" s="16" t="str">
        <f>IMAGE("https://i.ibb.co/LXG7zshB/1445.png")</f>
        <v/>
      </c>
      <c r="D348" s="18"/>
      <c r="E348" s="17" t="s">
        <v>1576</v>
      </c>
      <c r="F348" s="18"/>
      <c r="G348" s="18"/>
      <c r="H348" s="15" t="s">
        <v>1579</v>
      </c>
      <c r="I348" s="18"/>
      <c r="J348" s="19" t="s">
        <v>104</v>
      </c>
      <c r="K348" s="19" t="s">
        <v>402</v>
      </c>
      <c r="L348" s="19" t="s">
        <v>38</v>
      </c>
      <c r="M348" s="20">
        <f t="shared" si="1"/>
        <v>0</v>
      </c>
      <c r="N348" s="21"/>
      <c r="O348" s="22"/>
      <c r="P348" s="19" t="s">
        <v>1145</v>
      </c>
      <c r="Q348" s="18"/>
      <c r="R348" s="18"/>
      <c r="S348" s="23">
        <v>0.0</v>
      </c>
      <c r="T348" s="23">
        <v>0.0</v>
      </c>
      <c r="U348" s="23">
        <f t="shared" si="2"/>
        <v>0</v>
      </c>
      <c r="V348" s="23">
        <f t="shared" si="3"/>
        <v>0</v>
      </c>
      <c r="W348" s="23">
        <f t="shared" si="4"/>
        <v>0</v>
      </c>
      <c r="X348" s="24" t="str">
        <f t="shared" si="5"/>
        <v>#DIV/0!</v>
      </c>
    </row>
    <row r="349">
      <c r="A349" s="15" t="s">
        <v>1580</v>
      </c>
      <c r="B349" s="18"/>
      <c r="C349" s="16" t="str">
        <f>IMAGE("https://i.ibb.co/TxjMS251/1446.png")</f>
        <v/>
      </c>
      <c r="D349" s="18"/>
      <c r="E349" s="17" t="s">
        <v>1581</v>
      </c>
      <c r="F349" s="18"/>
      <c r="G349" s="18"/>
      <c r="H349" s="15" t="s">
        <v>1582</v>
      </c>
      <c r="I349" s="18"/>
      <c r="J349" s="19" t="s">
        <v>104</v>
      </c>
      <c r="K349" s="19" t="s">
        <v>402</v>
      </c>
      <c r="L349" s="19" t="s">
        <v>38</v>
      </c>
      <c r="M349" s="20">
        <f t="shared" si="1"/>
        <v>0</v>
      </c>
      <c r="N349" s="21"/>
      <c r="O349" s="22"/>
      <c r="P349" s="19" t="s">
        <v>1145</v>
      </c>
      <c r="Q349" s="18"/>
      <c r="R349" s="18"/>
      <c r="S349" s="23">
        <v>0.0</v>
      </c>
      <c r="T349" s="23">
        <v>0.0</v>
      </c>
      <c r="U349" s="23">
        <f t="shared" si="2"/>
        <v>0</v>
      </c>
      <c r="V349" s="23">
        <f t="shared" si="3"/>
        <v>0</v>
      </c>
      <c r="W349" s="23">
        <f t="shared" si="4"/>
        <v>0</v>
      </c>
      <c r="X349" s="24" t="str">
        <f t="shared" si="5"/>
        <v>#DIV/0!</v>
      </c>
    </row>
    <row r="350">
      <c r="A350" s="15" t="s">
        <v>1583</v>
      </c>
      <c r="B350" s="18"/>
      <c r="C350" s="16" t="str">
        <f>IMAGE("https://i.ibb.co/VYTtFvSM/1447.png")</f>
        <v/>
      </c>
      <c r="D350" s="18"/>
      <c r="E350" s="17" t="s">
        <v>1584</v>
      </c>
      <c r="F350" s="18"/>
      <c r="G350" s="18"/>
      <c r="H350" s="15" t="s">
        <v>1585</v>
      </c>
      <c r="I350" s="18"/>
      <c r="J350" s="19" t="s">
        <v>104</v>
      </c>
      <c r="K350" s="19" t="s">
        <v>402</v>
      </c>
      <c r="L350" s="19" t="s">
        <v>38</v>
      </c>
      <c r="M350" s="20">
        <f t="shared" si="1"/>
        <v>0</v>
      </c>
      <c r="N350" s="21"/>
      <c r="O350" s="22"/>
      <c r="P350" s="19" t="s">
        <v>1145</v>
      </c>
      <c r="Q350" s="18"/>
      <c r="R350" s="18"/>
      <c r="S350" s="23">
        <v>0.0</v>
      </c>
      <c r="T350" s="23">
        <v>0.0</v>
      </c>
      <c r="U350" s="23">
        <f t="shared" si="2"/>
        <v>0</v>
      </c>
      <c r="V350" s="23">
        <f t="shared" si="3"/>
        <v>0</v>
      </c>
      <c r="W350" s="23">
        <f t="shared" si="4"/>
        <v>0</v>
      </c>
      <c r="X350" s="24" t="str">
        <f t="shared" si="5"/>
        <v>#DIV/0!</v>
      </c>
    </row>
    <row r="351">
      <c r="A351" s="15" t="s">
        <v>1586</v>
      </c>
      <c r="B351" s="18"/>
      <c r="C351" s="16" t="str">
        <f>IMAGE("https://i.ibb.co/9kqNfPsN/1448.png")</f>
        <v/>
      </c>
      <c r="D351" s="18"/>
      <c r="E351" s="17" t="s">
        <v>1587</v>
      </c>
      <c r="F351" s="18"/>
      <c r="G351" s="18"/>
      <c r="H351" s="15" t="s">
        <v>1588</v>
      </c>
      <c r="I351" s="18"/>
      <c r="J351" s="19" t="s">
        <v>104</v>
      </c>
      <c r="K351" s="19" t="s">
        <v>402</v>
      </c>
      <c r="L351" s="19" t="s">
        <v>38</v>
      </c>
      <c r="M351" s="20">
        <f t="shared" si="1"/>
        <v>0</v>
      </c>
      <c r="N351" s="21"/>
      <c r="O351" s="22"/>
      <c r="P351" s="19" t="s">
        <v>1145</v>
      </c>
      <c r="Q351" s="18"/>
      <c r="R351" s="18"/>
      <c r="S351" s="23">
        <v>0.0</v>
      </c>
      <c r="T351" s="23">
        <v>0.0</v>
      </c>
      <c r="U351" s="23">
        <f t="shared" si="2"/>
        <v>0</v>
      </c>
      <c r="V351" s="23">
        <f t="shared" si="3"/>
        <v>0</v>
      </c>
      <c r="W351" s="23">
        <f t="shared" si="4"/>
        <v>0</v>
      </c>
      <c r="X351" s="24" t="str">
        <f t="shared" si="5"/>
        <v>#DIV/0!</v>
      </c>
    </row>
    <row r="352">
      <c r="A352" s="15" t="s">
        <v>1589</v>
      </c>
      <c r="B352" s="18"/>
      <c r="C352" s="16" t="str">
        <f>IMAGE("https://i.ibb.co/DPv9LjWj/1449.png")</f>
        <v/>
      </c>
      <c r="D352" s="18"/>
      <c r="E352" s="17" t="s">
        <v>1590</v>
      </c>
      <c r="F352" s="18"/>
      <c r="G352" s="18"/>
      <c r="H352" s="15" t="s">
        <v>1591</v>
      </c>
      <c r="I352" s="18"/>
      <c r="J352" s="19" t="s">
        <v>104</v>
      </c>
      <c r="K352" s="19" t="s">
        <v>402</v>
      </c>
      <c r="L352" s="19" t="s">
        <v>38</v>
      </c>
      <c r="M352" s="20">
        <f t="shared" si="1"/>
        <v>0</v>
      </c>
      <c r="N352" s="21"/>
      <c r="O352" s="22"/>
      <c r="P352" s="19" t="s">
        <v>1145</v>
      </c>
      <c r="Q352" s="18"/>
      <c r="R352" s="18"/>
      <c r="S352" s="23">
        <v>0.0</v>
      </c>
      <c r="T352" s="23">
        <v>0.0</v>
      </c>
      <c r="U352" s="23">
        <f t="shared" si="2"/>
        <v>0</v>
      </c>
      <c r="V352" s="23">
        <f t="shared" si="3"/>
        <v>0</v>
      </c>
      <c r="W352" s="23">
        <f t="shared" si="4"/>
        <v>0</v>
      </c>
      <c r="X352" s="24" t="str">
        <f t="shared" si="5"/>
        <v>#DIV/0!</v>
      </c>
    </row>
    <row r="353">
      <c r="A353" s="15" t="s">
        <v>1592</v>
      </c>
      <c r="B353" s="18"/>
      <c r="C353" s="16" t="str">
        <f>IMAGE("https://i.ibb.co/dsBXMDxT/1450.png")</f>
        <v/>
      </c>
      <c r="D353" s="18"/>
      <c r="E353" s="17" t="s">
        <v>1593</v>
      </c>
      <c r="F353" s="18"/>
      <c r="G353" s="18"/>
      <c r="H353" s="15" t="s">
        <v>1594</v>
      </c>
      <c r="I353" s="18"/>
      <c r="J353" s="19" t="s">
        <v>104</v>
      </c>
      <c r="K353" s="19" t="s">
        <v>402</v>
      </c>
      <c r="L353" s="19" t="s">
        <v>38</v>
      </c>
      <c r="M353" s="20">
        <f t="shared" si="1"/>
        <v>0</v>
      </c>
      <c r="N353" s="21"/>
      <c r="O353" s="22"/>
      <c r="P353" s="19" t="s">
        <v>1145</v>
      </c>
      <c r="Q353" s="18"/>
      <c r="R353" s="18"/>
      <c r="S353" s="23">
        <v>0.0</v>
      </c>
      <c r="T353" s="23">
        <v>0.0</v>
      </c>
      <c r="U353" s="23">
        <f t="shared" si="2"/>
        <v>0</v>
      </c>
      <c r="V353" s="23">
        <f t="shared" si="3"/>
        <v>0</v>
      </c>
      <c r="W353" s="23">
        <f t="shared" si="4"/>
        <v>0</v>
      </c>
      <c r="X353" s="24" t="str">
        <f t="shared" si="5"/>
        <v>#DIV/0!</v>
      </c>
    </row>
    <row r="354">
      <c r="A354" s="15" t="s">
        <v>1595</v>
      </c>
      <c r="B354" s="18"/>
      <c r="C354" s="16" t="str">
        <f>IMAGE("https://i.ibb.co/yn4YYPns/1451.png")</f>
        <v/>
      </c>
      <c r="D354" s="18"/>
      <c r="E354" s="17" t="s">
        <v>1593</v>
      </c>
      <c r="F354" s="18"/>
      <c r="G354" s="18"/>
      <c r="H354" s="15" t="s">
        <v>1596</v>
      </c>
      <c r="I354" s="18"/>
      <c r="J354" s="19" t="s">
        <v>104</v>
      </c>
      <c r="K354" s="19" t="s">
        <v>402</v>
      </c>
      <c r="L354" s="19" t="s">
        <v>38</v>
      </c>
      <c r="M354" s="20">
        <f t="shared" si="1"/>
        <v>0</v>
      </c>
      <c r="N354" s="21"/>
      <c r="O354" s="22"/>
      <c r="P354" s="19" t="s">
        <v>1145</v>
      </c>
      <c r="Q354" s="18"/>
      <c r="R354" s="18"/>
      <c r="S354" s="23">
        <v>0.0</v>
      </c>
      <c r="T354" s="23">
        <v>0.0</v>
      </c>
      <c r="U354" s="23">
        <f t="shared" si="2"/>
        <v>0</v>
      </c>
      <c r="V354" s="23">
        <f t="shared" si="3"/>
        <v>0</v>
      </c>
      <c r="W354" s="23">
        <f t="shared" si="4"/>
        <v>0</v>
      </c>
      <c r="X354" s="24" t="str">
        <f t="shared" si="5"/>
        <v>#DIV/0!</v>
      </c>
    </row>
    <row r="355">
      <c r="A355" s="15" t="s">
        <v>1597</v>
      </c>
      <c r="B355" s="18"/>
      <c r="C355" s="16" t="str">
        <f>IMAGE("https://i.ibb.co/ZzYW32Xz/1452.png")</f>
        <v/>
      </c>
      <c r="D355" s="18"/>
      <c r="E355" s="17" t="s">
        <v>1598</v>
      </c>
      <c r="F355" s="18"/>
      <c r="G355" s="18"/>
      <c r="H355" s="15" t="s">
        <v>1596</v>
      </c>
      <c r="I355" s="18"/>
      <c r="J355" s="19" t="s">
        <v>104</v>
      </c>
      <c r="K355" s="19" t="s">
        <v>402</v>
      </c>
      <c r="L355" s="19" t="s">
        <v>38</v>
      </c>
      <c r="M355" s="20">
        <f t="shared" si="1"/>
        <v>0</v>
      </c>
      <c r="N355" s="21"/>
      <c r="O355" s="22"/>
      <c r="P355" s="19" t="s">
        <v>1145</v>
      </c>
      <c r="Q355" s="18"/>
      <c r="R355" s="18"/>
      <c r="S355" s="23">
        <v>0.0</v>
      </c>
      <c r="T355" s="23">
        <v>0.0</v>
      </c>
      <c r="U355" s="23">
        <f t="shared" si="2"/>
        <v>0</v>
      </c>
      <c r="V355" s="23">
        <f t="shared" si="3"/>
        <v>0</v>
      </c>
      <c r="W355" s="23">
        <f t="shared" si="4"/>
        <v>0</v>
      </c>
      <c r="X355" s="24" t="str">
        <f t="shared" si="5"/>
        <v>#DIV/0!</v>
      </c>
    </row>
    <row r="356">
      <c r="A356" s="15" t="s">
        <v>1599</v>
      </c>
      <c r="B356" s="18"/>
      <c r="C356" s="16" t="str">
        <f>IMAGE("https://i.ibb.co/21DpZwGC/1453.png")</f>
        <v/>
      </c>
      <c r="D356" s="18"/>
      <c r="E356" s="17" t="s">
        <v>1600</v>
      </c>
      <c r="F356" s="18"/>
      <c r="G356" s="18"/>
      <c r="H356" s="15" t="s">
        <v>1601</v>
      </c>
      <c r="I356" s="18"/>
      <c r="J356" s="19" t="s">
        <v>104</v>
      </c>
      <c r="K356" s="19" t="s">
        <v>402</v>
      </c>
      <c r="L356" s="19" t="s">
        <v>38</v>
      </c>
      <c r="M356" s="20">
        <f t="shared" si="1"/>
        <v>0</v>
      </c>
      <c r="N356" s="21"/>
      <c r="O356" s="22"/>
      <c r="P356" s="19" t="s">
        <v>1145</v>
      </c>
      <c r="Q356" s="18"/>
      <c r="R356" s="18"/>
      <c r="S356" s="23">
        <v>0.0</v>
      </c>
      <c r="T356" s="23">
        <v>0.0</v>
      </c>
      <c r="U356" s="23">
        <f t="shared" si="2"/>
        <v>0</v>
      </c>
      <c r="V356" s="23">
        <f t="shared" si="3"/>
        <v>0</v>
      </c>
      <c r="W356" s="23">
        <f t="shared" si="4"/>
        <v>0</v>
      </c>
      <c r="X356" s="24" t="str">
        <f t="shared" si="5"/>
        <v>#DIV/0!</v>
      </c>
    </row>
    <row r="357">
      <c r="A357" s="15" t="s">
        <v>1602</v>
      </c>
      <c r="B357" s="18"/>
      <c r="C357" s="16"/>
      <c r="D357" s="18"/>
      <c r="E357" s="17" t="s">
        <v>1603</v>
      </c>
      <c r="F357" s="18"/>
      <c r="G357" s="18"/>
      <c r="H357" s="15" t="s">
        <v>1604</v>
      </c>
      <c r="I357" s="18"/>
      <c r="J357" s="19" t="s">
        <v>104</v>
      </c>
      <c r="K357" s="19" t="s">
        <v>105</v>
      </c>
      <c r="L357" s="19" t="s">
        <v>38</v>
      </c>
      <c r="M357" s="20">
        <f t="shared" si="1"/>
        <v>0</v>
      </c>
      <c r="N357" s="21"/>
      <c r="O357" s="22"/>
      <c r="P357" s="19" t="s">
        <v>1145</v>
      </c>
      <c r="Q357" s="18"/>
      <c r="R357" s="18"/>
      <c r="S357" s="23">
        <v>0.0</v>
      </c>
      <c r="T357" s="23">
        <v>0.0</v>
      </c>
      <c r="U357" s="23">
        <f t="shared" si="2"/>
        <v>0</v>
      </c>
      <c r="V357" s="23">
        <f t="shared" si="3"/>
        <v>0</v>
      </c>
      <c r="W357" s="23">
        <f t="shared" si="4"/>
        <v>0</v>
      </c>
      <c r="X357" s="24" t="str">
        <f t="shared" si="5"/>
        <v>#DIV/0!</v>
      </c>
    </row>
    <row r="358">
      <c r="A358" s="15" t="s">
        <v>1605</v>
      </c>
      <c r="B358" s="18"/>
      <c r="C358" s="16" t="str">
        <f>IMAGE("https://i.ibb.co/8LpwrRNN/1455.png")</f>
        <v/>
      </c>
      <c r="D358" s="18"/>
      <c r="E358" s="17" t="s">
        <v>1606</v>
      </c>
      <c r="F358" s="18"/>
      <c r="G358" s="18"/>
      <c r="H358" s="15" t="s">
        <v>1607</v>
      </c>
      <c r="I358" s="18"/>
      <c r="J358" s="19" t="s">
        <v>104</v>
      </c>
      <c r="K358" s="19" t="s">
        <v>402</v>
      </c>
      <c r="L358" s="19" t="s">
        <v>38</v>
      </c>
      <c r="M358" s="20">
        <f t="shared" si="1"/>
        <v>0</v>
      </c>
      <c r="N358" s="21"/>
      <c r="O358" s="22"/>
      <c r="P358" s="19" t="s">
        <v>1145</v>
      </c>
      <c r="Q358" s="18"/>
      <c r="R358" s="18"/>
      <c r="S358" s="23">
        <v>0.0</v>
      </c>
      <c r="T358" s="23">
        <v>0.0</v>
      </c>
      <c r="U358" s="23">
        <f t="shared" si="2"/>
        <v>0</v>
      </c>
      <c r="V358" s="23">
        <f t="shared" si="3"/>
        <v>0</v>
      </c>
      <c r="W358" s="23">
        <f t="shared" si="4"/>
        <v>0</v>
      </c>
      <c r="X358" s="24" t="str">
        <f t="shared" si="5"/>
        <v>#DIV/0!</v>
      </c>
    </row>
    <row r="359">
      <c r="A359" s="15" t="s">
        <v>1608</v>
      </c>
      <c r="B359" s="18"/>
      <c r="C359" s="16" t="str">
        <f>IMAGE("https://i.ibb.co/JWw5NRRn/1456.png")</f>
        <v/>
      </c>
      <c r="D359" s="18"/>
      <c r="E359" s="17" t="s">
        <v>1609</v>
      </c>
      <c r="F359" s="18"/>
      <c r="G359" s="18"/>
      <c r="H359" s="15" t="s">
        <v>1610</v>
      </c>
      <c r="I359" s="18"/>
      <c r="J359" s="19" t="s">
        <v>104</v>
      </c>
      <c r="K359" s="19" t="s">
        <v>105</v>
      </c>
      <c r="L359" s="19" t="s">
        <v>38</v>
      </c>
      <c r="M359" s="20">
        <f t="shared" si="1"/>
        <v>0</v>
      </c>
      <c r="N359" s="21"/>
      <c r="O359" s="22"/>
      <c r="P359" s="19" t="s">
        <v>1145</v>
      </c>
      <c r="Q359" s="18"/>
      <c r="R359" s="18"/>
      <c r="S359" s="23">
        <v>0.0</v>
      </c>
      <c r="T359" s="23">
        <v>0.0</v>
      </c>
      <c r="U359" s="23">
        <f t="shared" si="2"/>
        <v>0</v>
      </c>
      <c r="V359" s="23">
        <f t="shared" si="3"/>
        <v>0</v>
      </c>
      <c r="W359" s="23">
        <f t="shared" si="4"/>
        <v>0</v>
      </c>
      <c r="X359" s="24" t="str">
        <f t="shared" si="5"/>
        <v>#DIV/0!</v>
      </c>
    </row>
    <row r="360">
      <c r="A360" s="15" t="s">
        <v>1611</v>
      </c>
      <c r="B360" s="18"/>
      <c r="C360" s="16" t="str">
        <f>IMAGE("https://i.ibb.co/nVhmNgX/1457.png")</f>
        <v/>
      </c>
      <c r="D360" s="18"/>
      <c r="E360" s="17" t="s">
        <v>1612</v>
      </c>
      <c r="F360" s="18"/>
      <c r="G360" s="18"/>
      <c r="H360" s="15" t="s">
        <v>1613</v>
      </c>
      <c r="I360" s="18"/>
      <c r="J360" s="19" t="s">
        <v>104</v>
      </c>
      <c r="K360" s="19" t="s">
        <v>402</v>
      </c>
      <c r="L360" s="19" t="s">
        <v>38</v>
      </c>
      <c r="M360" s="20">
        <f t="shared" si="1"/>
        <v>0</v>
      </c>
      <c r="N360" s="21"/>
      <c r="O360" s="22"/>
      <c r="P360" s="19" t="s">
        <v>1145</v>
      </c>
      <c r="Q360" s="18"/>
      <c r="R360" s="18"/>
      <c r="S360" s="23">
        <v>0.0</v>
      </c>
      <c r="T360" s="23">
        <v>0.0</v>
      </c>
      <c r="U360" s="23">
        <f t="shared" si="2"/>
        <v>0</v>
      </c>
      <c r="V360" s="23">
        <f t="shared" si="3"/>
        <v>0</v>
      </c>
      <c r="W360" s="23">
        <f t="shared" si="4"/>
        <v>0</v>
      </c>
      <c r="X360" s="24" t="str">
        <f t="shared" si="5"/>
        <v>#DIV/0!</v>
      </c>
    </row>
    <row r="361">
      <c r="A361" s="15" t="s">
        <v>1614</v>
      </c>
      <c r="B361" s="18"/>
      <c r="C361" s="16" t="str">
        <f>IMAGE("https://i.ibb.co/FqJZt3RS/1458.png")</f>
        <v/>
      </c>
      <c r="D361" s="18"/>
      <c r="E361" s="17" t="s">
        <v>1615</v>
      </c>
      <c r="F361" s="18"/>
      <c r="G361" s="18"/>
      <c r="H361" s="15" t="s">
        <v>1616</v>
      </c>
      <c r="I361" s="18"/>
      <c r="J361" s="19" t="s">
        <v>104</v>
      </c>
      <c r="K361" s="19" t="s">
        <v>105</v>
      </c>
      <c r="L361" s="19" t="s">
        <v>38</v>
      </c>
      <c r="M361" s="20">
        <f t="shared" si="1"/>
        <v>0</v>
      </c>
      <c r="N361" s="21"/>
      <c r="O361" s="22"/>
      <c r="P361" s="19" t="s">
        <v>1145</v>
      </c>
      <c r="Q361" s="18"/>
      <c r="R361" s="18"/>
      <c r="S361" s="23">
        <v>0.0</v>
      </c>
      <c r="T361" s="23">
        <v>0.0</v>
      </c>
      <c r="U361" s="23">
        <f t="shared" si="2"/>
        <v>0</v>
      </c>
      <c r="V361" s="23">
        <f t="shared" si="3"/>
        <v>0</v>
      </c>
      <c r="W361" s="23">
        <f t="shared" si="4"/>
        <v>0</v>
      </c>
      <c r="X361" s="24" t="str">
        <f t="shared" si="5"/>
        <v>#DIV/0!</v>
      </c>
    </row>
    <row r="362">
      <c r="A362" s="15" t="s">
        <v>1617</v>
      </c>
      <c r="B362" s="18"/>
      <c r="C362" s="16" t="str">
        <f>IMAGE("https://i.ibb.co/RkDHNCq5/1459.png")</f>
        <v/>
      </c>
      <c r="D362" s="18"/>
      <c r="E362" s="17" t="s">
        <v>1618</v>
      </c>
      <c r="F362" s="18"/>
      <c r="G362" s="18"/>
      <c r="H362" s="15" t="s">
        <v>1619</v>
      </c>
      <c r="I362" s="18"/>
      <c r="J362" s="19" t="s">
        <v>104</v>
      </c>
      <c r="K362" s="19" t="s">
        <v>105</v>
      </c>
      <c r="L362" s="19" t="s">
        <v>38</v>
      </c>
      <c r="M362" s="20">
        <f t="shared" si="1"/>
        <v>0</v>
      </c>
      <c r="N362" s="21"/>
      <c r="O362" s="22"/>
      <c r="P362" s="19" t="s">
        <v>1145</v>
      </c>
      <c r="Q362" s="18"/>
      <c r="R362" s="18"/>
      <c r="S362" s="23">
        <v>0.0</v>
      </c>
      <c r="T362" s="23">
        <v>0.0</v>
      </c>
      <c r="U362" s="23">
        <f t="shared" si="2"/>
        <v>0</v>
      </c>
      <c r="V362" s="23">
        <f t="shared" si="3"/>
        <v>0</v>
      </c>
      <c r="W362" s="23">
        <f t="shared" si="4"/>
        <v>0</v>
      </c>
      <c r="X362" s="24" t="str">
        <f t="shared" si="5"/>
        <v>#DIV/0!</v>
      </c>
    </row>
    <row r="363">
      <c r="A363" s="15" t="s">
        <v>1620</v>
      </c>
      <c r="B363" s="18"/>
      <c r="C363" s="16" t="str">
        <f>IMAGE("https://i.ibb.co/6cq45Jpf/1460.png")</f>
        <v/>
      </c>
      <c r="D363" s="18"/>
      <c r="E363" s="17" t="s">
        <v>1621</v>
      </c>
      <c r="F363" s="18"/>
      <c r="G363" s="18"/>
      <c r="H363" s="15" t="s">
        <v>1622</v>
      </c>
      <c r="I363" s="18"/>
      <c r="J363" s="19" t="s">
        <v>104</v>
      </c>
      <c r="K363" s="19" t="s">
        <v>105</v>
      </c>
      <c r="L363" s="19" t="s">
        <v>38</v>
      </c>
      <c r="M363" s="20">
        <f t="shared" si="1"/>
        <v>0</v>
      </c>
      <c r="N363" s="21"/>
      <c r="O363" s="22"/>
      <c r="P363" s="19" t="s">
        <v>1145</v>
      </c>
      <c r="Q363" s="18"/>
      <c r="R363" s="18"/>
      <c r="S363" s="23">
        <v>0.0</v>
      </c>
      <c r="T363" s="23">
        <v>0.0</v>
      </c>
      <c r="U363" s="23">
        <f t="shared" si="2"/>
        <v>0</v>
      </c>
      <c r="V363" s="23">
        <f t="shared" si="3"/>
        <v>0</v>
      </c>
      <c r="W363" s="23">
        <f t="shared" si="4"/>
        <v>0</v>
      </c>
      <c r="X363" s="24" t="str">
        <f t="shared" si="5"/>
        <v>#DIV/0!</v>
      </c>
    </row>
    <row r="364">
      <c r="A364" s="15" t="s">
        <v>1623</v>
      </c>
      <c r="B364" s="18"/>
      <c r="C364" s="16" t="str">
        <f>IMAGE("https://i.ibb.co/PvnVvw24/1461.png")</f>
        <v/>
      </c>
      <c r="D364" s="18"/>
      <c r="E364" s="17" t="s">
        <v>1624</v>
      </c>
      <c r="F364" s="18"/>
      <c r="G364" s="18"/>
      <c r="H364" s="15" t="s">
        <v>1625</v>
      </c>
      <c r="I364" s="18"/>
      <c r="J364" s="19" t="s">
        <v>104</v>
      </c>
      <c r="K364" s="19" t="s">
        <v>105</v>
      </c>
      <c r="L364" s="19" t="s">
        <v>38</v>
      </c>
      <c r="M364" s="20">
        <f t="shared" si="1"/>
        <v>0</v>
      </c>
      <c r="N364" s="21"/>
      <c r="O364" s="22"/>
      <c r="P364" s="19" t="s">
        <v>1145</v>
      </c>
      <c r="Q364" s="18"/>
      <c r="R364" s="18"/>
      <c r="S364" s="23">
        <v>0.0</v>
      </c>
      <c r="T364" s="23">
        <v>0.0</v>
      </c>
      <c r="U364" s="23">
        <f t="shared" si="2"/>
        <v>0</v>
      </c>
      <c r="V364" s="23">
        <f t="shared" si="3"/>
        <v>0</v>
      </c>
      <c r="W364" s="23">
        <f t="shared" si="4"/>
        <v>0</v>
      </c>
      <c r="X364" s="24" t="str">
        <f t="shared" si="5"/>
        <v>#DIV/0!</v>
      </c>
    </row>
    <row r="365">
      <c r="A365" s="15" t="s">
        <v>1626</v>
      </c>
      <c r="B365" s="18"/>
      <c r="C365" s="16" t="str">
        <f>IMAGE("https://i.ibb.co/yF7mFths/1462.png")</f>
        <v/>
      </c>
      <c r="D365" s="18"/>
      <c r="E365" s="17" t="s">
        <v>1627</v>
      </c>
      <c r="F365" s="18"/>
      <c r="G365" s="18"/>
      <c r="H365" s="15" t="s">
        <v>1628</v>
      </c>
      <c r="I365" s="18"/>
      <c r="J365" s="19" t="s">
        <v>104</v>
      </c>
      <c r="K365" s="19" t="s">
        <v>105</v>
      </c>
      <c r="L365" s="19" t="s">
        <v>38</v>
      </c>
      <c r="M365" s="20">
        <f t="shared" si="1"/>
        <v>0</v>
      </c>
      <c r="N365" s="21"/>
      <c r="O365" s="22"/>
      <c r="P365" s="19" t="s">
        <v>1145</v>
      </c>
      <c r="Q365" s="18"/>
      <c r="R365" s="18"/>
      <c r="S365" s="23">
        <v>0.0</v>
      </c>
      <c r="T365" s="23">
        <v>0.0</v>
      </c>
      <c r="U365" s="23">
        <f t="shared" si="2"/>
        <v>0</v>
      </c>
      <c r="V365" s="23">
        <f t="shared" si="3"/>
        <v>0</v>
      </c>
      <c r="W365" s="23">
        <f t="shared" si="4"/>
        <v>0</v>
      </c>
      <c r="X365" s="24" t="str">
        <f t="shared" si="5"/>
        <v>#DIV/0!</v>
      </c>
    </row>
    <row r="366">
      <c r="A366" s="15" t="s">
        <v>1629</v>
      </c>
      <c r="B366" s="18"/>
      <c r="C366" s="16" t="str">
        <f>IMAGE("https://i.ibb.co/YBbtCWJQ/1463.png")</f>
        <v/>
      </c>
      <c r="D366" s="18"/>
      <c r="E366" s="17" t="s">
        <v>1630</v>
      </c>
      <c r="F366" s="18"/>
      <c r="G366" s="18"/>
      <c r="H366" s="15" t="s">
        <v>1631</v>
      </c>
      <c r="I366" s="18"/>
      <c r="J366" s="19" t="s">
        <v>104</v>
      </c>
      <c r="K366" s="19" t="s">
        <v>105</v>
      </c>
      <c r="L366" s="19" t="s">
        <v>38</v>
      </c>
      <c r="M366" s="20">
        <f t="shared" si="1"/>
        <v>0</v>
      </c>
      <c r="N366" s="21"/>
      <c r="O366" s="22"/>
      <c r="P366" s="19" t="s">
        <v>1145</v>
      </c>
      <c r="Q366" s="18"/>
      <c r="R366" s="18"/>
      <c r="S366" s="23">
        <v>0.0</v>
      </c>
      <c r="T366" s="23">
        <v>0.0</v>
      </c>
      <c r="U366" s="23">
        <f t="shared" si="2"/>
        <v>0</v>
      </c>
      <c r="V366" s="23">
        <f t="shared" si="3"/>
        <v>0</v>
      </c>
      <c r="W366" s="23">
        <f t="shared" si="4"/>
        <v>0</v>
      </c>
      <c r="X366" s="24" t="str">
        <f t="shared" si="5"/>
        <v>#DIV/0!</v>
      </c>
    </row>
    <row r="367">
      <c r="A367" s="15" t="s">
        <v>1632</v>
      </c>
      <c r="B367" s="18"/>
      <c r="C367" s="16" t="str">
        <f>IMAGE("https://i.ibb.co/RGtxpf75/1464.png")</f>
        <v/>
      </c>
      <c r="D367" s="18"/>
      <c r="E367" s="17" t="s">
        <v>1633</v>
      </c>
      <c r="F367" s="18"/>
      <c r="G367" s="18"/>
      <c r="H367" s="15" t="s">
        <v>1634</v>
      </c>
      <c r="I367" s="18"/>
      <c r="J367" s="19" t="s">
        <v>104</v>
      </c>
      <c r="K367" s="19" t="s">
        <v>105</v>
      </c>
      <c r="L367" s="19" t="s">
        <v>38</v>
      </c>
      <c r="M367" s="20">
        <f t="shared" si="1"/>
        <v>0</v>
      </c>
      <c r="N367" s="21"/>
      <c r="O367" s="22"/>
      <c r="P367" s="19" t="s">
        <v>1145</v>
      </c>
      <c r="Q367" s="18"/>
      <c r="R367" s="18"/>
      <c r="S367" s="23">
        <v>0.0</v>
      </c>
      <c r="T367" s="23">
        <v>0.0</v>
      </c>
      <c r="U367" s="23">
        <f t="shared" si="2"/>
        <v>0</v>
      </c>
      <c r="V367" s="23">
        <f t="shared" si="3"/>
        <v>0</v>
      </c>
      <c r="W367" s="23">
        <f t="shared" si="4"/>
        <v>0</v>
      </c>
      <c r="X367" s="24" t="str">
        <f t="shared" si="5"/>
        <v>#DIV/0!</v>
      </c>
    </row>
    <row r="368">
      <c r="A368" s="15" t="s">
        <v>1635</v>
      </c>
      <c r="B368" s="18"/>
      <c r="C368" s="16" t="str">
        <f>IMAGE("https://i.ibb.co/V0N2X3dX/1465.png")</f>
        <v/>
      </c>
      <c r="D368" s="18"/>
      <c r="E368" s="17" t="s">
        <v>1636</v>
      </c>
      <c r="F368" s="18"/>
      <c r="G368" s="18"/>
      <c r="H368" s="15" t="s">
        <v>1637</v>
      </c>
      <c r="I368" s="18"/>
      <c r="J368" s="19" t="s">
        <v>104</v>
      </c>
      <c r="K368" s="19" t="s">
        <v>105</v>
      </c>
      <c r="L368" s="19" t="s">
        <v>38</v>
      </c>
      <c r="M368" s="20">
        <f t="shared" si="1"/>
        <v>0</v>
      </c>
      <c r="N368" s="21"/>
      <c r="O368" s="22"/>
      <c r="P368" s="19" t="s">
        <v>1145</v>
      </c>
      <c r="Q368" s="18"/>
      <c r="R368" s="18"/>
      <c r="S368" s="23">
        <v>0.0</v>
      </c>
      <c r="T368" s="23">
        <v>0.0</v>
      </c>
      <c r="U368" s="23">
        <f t="shared" si="2"/>
        <v>0</v>
      </c>
      <c r="V368" s="23">
        <f t="shared" si="3"/>
        <v>0</v>
      </c>
      <c r="W368" s="23">
        <f t="shared" si="4"/>
        <v>0</v>
      </c>
      <c r="X368" s="24" t="str">
        <f t="shared" si="5"/>
        <v>#DIV/0!</v>
      </c>
    </row>
    <row r="369">
      <c r="A369" s="15" t="s">
        <v>1638</v>
      </c>
      <c r="B369" s="18"/>
      <c r="C369" s="16" t="str">
        <f>IMAGE("https://i.ibb.co/W4DLHrfd/1466.png")</f>
        <v/>
      </c>
      <c r="D369" s="18"/>
      <c r="E369" s="17" t="s">
        <v>1639</v>
      </c>
      <c r="F369" s="18"/>
      <c r="G369" s="18"/>
      <c r="H369" s="15" t="s">
        <v>1640</v>
      </c>
      <c r="I369" s="18"/>
      <c r="J369" s="19" t="s">
        <v>104</v>
      </c>
      <c r="K369" s="19" t="s">
        <v>105</v>
      </c>
      <c r="L369" s="19" t="s">
        <v>38</v>
      </c>
      <c r="M369" s="20">
        <f t="shared" si="1"/>
        <v>0</v>
      </c>
      <c r="N369" s="21"/>
      <c r="O369" s="22"/>
      <c r="P369" s="19" t="s">
        <v>1145</v>
      </c>
      <c r="Q369" s="18"/>
      <c r="R369" s="18"/>
      <c r="S369" s="23">
        <v>0.0</v>
      </c>
      <c r="T369" s="23">
        <v>0.0</v>
      </c>
      <c r="U369" s="23">
        <f t="shared" si="2"/>
        <v>0</v>
      </c>
      <c r="V369" s="23">
        <f t="shared" si="3"/>
        <v>0</v>
      </c>
      <c r="W369" s="23">
        <f t="shared" si="4"/>
        <v>0</v>
      </c>
      <c r="X369" s="24" t="str">
        <f t="shared" si="5"/>
        <v>#DIV/0!</v>
      </c>
    </row>
    <row r="370">
      <c r="A370" s="15" t="s">
        <v>1641</v>
      </c>
      <c r="B370" s="18"/>
      <c r="C370" s="16" t="str">
        <f>IMAGE("https://i.ibb.co/VcCxWNtk/1467.png")</f>
        <v/>
      </c>
      <c r="D370" s="18"/>
      <c r="E370" s="17" t="s">
        <v>1642</v>
      </c>
      <c r="F370" s="18"/>
      <c r="G370" s="18"/>
      <c r="H370" s="15" t="s">
        <v>1643</v>
      </c>
      <c r="I370" s="18"/>
      <c r="J370" s="19" t="s">
        <v>104</v>
      </c>
      <c r="K370" s="19" t="s">
        <v>105</v>
      </c>
      <c r="L370" s="19" t="s">
        <v>38</v>
      </c>
      <c r="M370" s="20">
        <f t="shared" si="1"/>
        <v>0</v>
      </c>
      <c r="N370" s="21"/>
      <c r="O370" s="22"/>
      <c r="P370" s="19" t="s">
        <v>1145</v>
      </c>
      <c r="Q370" s="18"/>
      <c r="R370" s="18"/>
      <c r="S370" s="23">
        <v>0.0</v>
      </c>
      <c r="T370" s="23">
        <v>0.0</v>
      </c>
      <c r="U370" s="23">
        <f t="shared" si="2"/>
        <v>0</v>
      </c>
      <c r="V370" s="23">
        <f t="shared" si="3"/>
        <v>0</v>
      </c>
      <c r="W370" s="23">
        <f t="shared" si="4"/>
        <v>0</v>
      </c>
      <c r="X370" s="24" t="str">
        <f t="shared" si="5"/>
        <v>#DIV/0!</v>
      </c>
    </row>
    <row r="371">
      <c r="A371" s="15" t="s">
        <v>1644</v>
      </c>
      <c r="B371" s="18"/>
      <c r="C371" s="16" t="str">
        <f>IMAGE("https://i.ibb.co/VY2h7hx8/1468.png")</f>
        <v/>
      </c>
      <c r="D371" s="18"/>
      <c r="E371" s="17" t="s">
        <v>1645</v>
      </c>
      <c r="F371" s="18"/>
      <c r="G371" s="18"/>
      <c r="H371" s="15" t="s">
        <v>1646</v>
      </c>
      <c r="I371" s="18"/>
      <c r="J371" s="19" t="s">
        <v>104</v>
      </c>
      <c r="K371" s="19" t="s">
        <v>105</v>
      </c>
      <c r="L371" s="19" t="s">
        <v>38</v>
      </c>
      <c r="M371" s="20">
        <f t="shared" si="1"/>
        <v>0</v>
      </c>
      <c r="N371" s="21"/>
      <c r="O371" s="22"/>
      <c r="P371" s="19" t="s">
        <v>1145</v>
      </c>
      <c r="Q371" s="18"/>
      <c r="R371" s="18"/>
      <c r="S371" s="23">
        <v>0.0</v>
      </c>
      <c r="T371" s="23">
        <v>0.0</v>
      </c>
      <c r="U371" s="23">
        <f t="shared" si="2"/>
        <v>0</v>
      </c>
      <c r="V371" s="23">
        <f t="shared" si="3"/>
        <v>0</v>
      </c>
      <c r="W371" s="23">
        <f t="shared" si="4"/>
        <v>0</v>
      </c>
      <c r="X371" s="24" t="str">
        <f t="shared" si="5"/>
        <v>#DIV/0!</v>
      </c>
    </row>
    <row r="372">
      <c r="A372" s="15" t="s">
        <v>1647</v>
      </c>
      <c r="B372" s="18"/>
      <c r="C372" s="16" t="str">
        <f>IMAGE("https://i.ibb.co/PGy8m9Xz/1469.png")</f>
        <v/>
      </c>
      <c r="D372" s="18"/>
      <c r="E372" s="17" t="s">
        <v>1648</v>
      </c>
      <c r="F372" s="18"/>
      <c r="G372" s="18"/>
      <c r="H372" s="15" t="s">
        <v>1649</v>
      </c>
      <c r="I372" s="18"/>
      <c r="J372" s="19" t="s">
        <v>104</v>
      </c>
      <c r="K372" s="19" t="s">
        <v>105</v>
      </c>
      <c r="L372" s="19" t="s">
        <v>38</v>
      </c>
      <c r="M372" s="20">
        <f t="shared" si="1"/>
        <v>0</v>
      </c>
      <c r="N372" s="21"/>
      <c r="O372" s="22"/>
      <c r="P372" s="19" t="s">
        <v>1145</v>
      </c>
      <c r="Q372" s="18"/>
      <c r="R372" s="18"/>
      <c r="S372" s="23">
        <v>0.0</v>
      </c>
      <c r="T372" s="23">
        <v>0.0</v>
      </c>
      <c r="U372" s="23">
        <f t="shared" si="2"/>
        <v>0</v>
      </c>
      <c r="V372" s="23">
        <f t="shared" si="3"/>
        <v>0</v>
      </c>
      <c r="W372" s="23">
        <f t="shared" si="4"/>
        <v>0</v>
      </c>
      <c r="X372" s="24" t="str">
        <f t="shared" si="5"/>
        <v>#DIV/0!</v>
      </c>
    </row>
    <row r="373">
      <c r="A373" s="15" t="s">
        <v>1650</v>
      </c>
      <c r="B373" s="18"/>
      <c r="C373" s="16" t="str">
        <f>IMAGE("https://i.ibb.co/FbvDGKnD/1470.png")</f>
        <v/>
      </c>
      <c r="D373" s="18"/>
      <c r="E373" s="17" t="s">
        <v>1651</v>
      </c>
      <c r="F373" s="18"/>
      <c r="G373" s="18"/>
      <c r="H373" s="15" t="s">
        <v>1652</v>
      </c>
      <c r="I373" s="18"/>
      <c r="J373" s="19" t="s">
        <v>104</v>
      </c>
      <c r="K373" s="19" t="s">
        <v>105</v>
      </c>
      <c r="L373" s="19" t="s">
        <v>38</v>
      </c>
      <c r="M373" s="20">
        <f t="shared" si="1"/>
        <v>0</v>
      </c>
      <c r="N373" s="21"/>
      <c r="O373" s="22"/>
      <c r="P373" s="19" t="s">
        <v>1145</v>
      </c>
      <c r="Q373" s="18"/>
      <c r="R373" s="18"/>
      <c r="S373" s="23">
        <v>0.0</v>
      </c>
      <c r="T373" s="23">
        <v>0.0</v>
      </c>
      <c r="U373" s="23">
        <f t="shared" si="2"/>
        <v>0</v>
      </c>
      <c r="V373" s="23">
        <f t="shared" si="3"/>
        <v>0</v>
      </c>
      <c r="W373" s="23">
        <f t="shared" si="4"/>
        <v>0</v>
      </c>
      <c r="X373" s="24" t="str">
        <f t="shared" si="5"/>
        <v>#DIV/0!</v>
      </c>
    </row>
    <row r="374">
      <c r="A374" s="15" t="s">
        <v>1653</v>
      </c>
      <c r="B374" s="18"/>
      <c r="C374" s="16" t="str">
        <f>IMAGE("https://i.ibb.co/nNvVYzrC/1471.png")</f>
        <v/>
      </c>
      <c r="D374" s="18"/>
      <c r="E374" s="17" t="s">
        <v>1654</v>
      </c>
      <c r="F374" s="18"/>
      <c r="G374" s="18"/>
      <c r="H374" s="15" t="s">
        <v>1655</v>
      </c>
      <c r="I374" s="18"/>
      <c r="J374" s="19" t="s">
        <v>104</v>
      </c>
      <c r="K374" s="19" t="s">
        <v>105</v>
      </c>
      <c r="L374" s="19" t="s">
        <v>38</v>
      </c>
      <c r="M374" s="20">
        <f t="shared" si="1"/>
        <v>0</v>
      </c>
      <c r="N374" s="21"/>
      <c r="O374" s="22"/>
      <c r="P374" s="19" t="s">
        <v>1145</v>
      </c>
      <c r="Q374" s="18"/>
      <c r="R374" s="18"/>
      <c r="S374" s="23">
        <v>0.0</v>
      </c>
      <c r="T374" s="23">
        <v>0.0</v>
      </c>
      <c r="U374" s="23">
        <f t="shared" si="2"/>
        <v>0</v>
      </c>
      <c r="V374" s="23">
        <f t="shared" si="3"/>
        <v>0</v>
      </c>
      <c r="W374" s="23">
        <f t="shared" si="4"/>
        <v>0</v>
      </c>
      <c r="X374" s="24" t="str">
        <f t="shared" si="5"/>
        <v>#DIV/0!</v>
      </c>
    </row>
    <row r="375">
      <c r="A375" s="15" t="s">
        <v>1656</v>
      </c>
      <c r="B375" s="18"/>
      <c r="C375" s="16" t="str">
        <f>IMAGE("https://i.ibb.co/HD40F9KR/1472.png")</f>
        <v/>
      </c>
      <c r="D375" s="18"/>
      <c r="E375" s="17" t="s">
        <v>1657</v>
      </c>
      <c r="F375" s="18"/>
      <c r="G375" s="18"/>
      <c r="H375" s="15" t="s">
        <v>1658</v>
      </c>
      <c r="I375" s="18"/>
      <c r="J375" s="19" t="s">
        <v>104</v>
      </c>
      <c r="K375" s="19" t="s">
        <v>105</v>
      </c>
      <c r="L375" s="19" t="s">
        <v>38</v>
      </c>
      <c r="M375" s="20">
        <f t="shared" si="1"/>
        <v>0</v>
      </c>
      <c r="N375" s="21"/>
      <c r="O375" s="22"/>
      <c r="P375" s="19" t="s">
        <v>1145</v>
      </c>
      <c r="Q375" s="18"/>
      <c r="R375" s="18"/>
      <c r="S375" s="23">
        <v>0.0</v>
      </c>
      <c r="T375" s="23">
        <v>0.0</v>
      </c>
      <c r="U375" s="23">
        <f t="shared" si="2"/>
        <v>0</v>
      </c>
      <c r="V375" s="23">
        <f t="shared" si="3"/>
        <v>0</v>
      </c>
      <c r="W375" s="23">
        <f t="shared" si="4"/>
        <v>0</v>
      </c>
      <c r="X375" s="24" t="str">
        <f t="shared" si="5"/>
        <v>#DIV/0!</v>
      </c>
    </row>
    <row r="376">
      <c r="A376" s="15" t="s">
        <v>1659</v>
      </c>
      <c r="B376" s="18"/>
      <c r="C376" s="16" t="str">
        <f>IMAGE("https://i.ibb.co/8gr3CpYZ/1473.png")</f>
        <v/>
      </c>
      <c r="D376" s="18"/>
      <c r="E376" s="17" t="s">
        <v>1660</v>
      </c>
      <c r="F376" s="18"/>
      <c r="G376" s="18"/>
      <c r="H376" s="15" t="s">
        <v>1661</v>
      </c>
      <c r="I376" s="18"/>
      <c r="J376" s="19" t="s">
        <v>104</v>
      </c>
      <c r="K376" s="19" t="s">
        <v>105</v>
      </c>
      <c r="L376" s="19" t="s">
        <v>38</v>
      </c>
      <c r="M376" s="20">
        <f t="shared" si="1"/>
        <v>0</v>
      </c>
      <c r="N376" s="21"/>
      <c r="O376" s="22"/>
      <c r="P376" s="19" t="s">
        <v>1145</v>
      </c>
      <c r="Q376" s="18"/>
      <c r="R376" s="18"/>
      <c r="S376" s="23">
        <v>0.0</v>
      </c>
      <c r="T376" s="23">
        <v>0.0</v>
      </c>
      <c r="U376" s="23">
        <f t="shared" si="2"/>
        <v>0</v>
      </c>
      <c r="V376" s="23">
        <f t="shared" si="3"/>
        <v>0</v>
      </c>
      <c r="W376" s="23">
        <f t="shared" si="4"/>
        <v>0</v>
      </c>
      <c r="X376" s="24" t="str">
        <f t="shared" si="5"/>
        <v>#DIV/0!</v>
      </c>
    </row>
    <row r="377">
      <c r="A377" s="15" t="s">
        <v>1662</v>
      </c>
      <c r="B377" s="18"/>
      <c r="C377" s="16" t="str">
        <f>IMAGE("https://i.ibb.co/Cp7SbxPx/1474.png")</f>
        <v/>
      </c>
      <c r="D377" s="18"/>
      <c r="E377" s="17" t="s">
        <v>1663</v>
      </c>
      <c r="F377" s="18"/>
      <c r="G377" s="18"/>
      <c r="H377" s="15" t="s">
        <v>1664</v>
      </c>
      <c r="I377" s="18"/>
      <c r="J377" s="19" t="s">
        <v>104</v>
      </c>
      <c r="K377" s="19" t="s">
        <v>105</v>
      </c>
      <c r="L377" s="19" t="s">
        <v>38</v>
      </c>
      <c r="M377" s="20">
        <f t="shared" si="1"/>
        <v>0</v>
      </c>
      <c r="N377" s="21"/>
      <c r="O377" s="22"/>
      <c r="P377" s="19" t="s">
        <v>1145</v>
      </c>
      <c r="Q377" s="18"/>
      <c r="R377" s="18"/>
      <c r="S377" s="23">
        <v>0.0</v>
      </c>
      <c r="T377" s="23">
        <v>0.0</v>
      </c>
      <c r="U377" s="23">
        <f t="shared" si="2"/>
        <v>0</v>
      </c>
      <c r="V377" s="23">
        <f t="shared" si="3"/>
        <v>0</v>
      </c>
      <c r="W377" s="23">
        <f t="shared" si="4"/>
        <v>0</v>
      </c>
      <c r="X377" s="24" t="str">
        <f t="shared" si="5"/>
        <v>#DIV/0!</v>
      </c>
    </row>
    <row r="378">
      <c r="A378" s="15" t="s">
        <v>1665</v>
      </c>
      <c r="B378" s="18"/>
      <c r="C378" s="16" t="str">
        <f>IMAGE("https://i.ibb.co/WvSB5qQm/1475.png")</f>
        <v/>
      </c>
      <c r="D378" s="18"/>
      <c r="E378" s="17" t="s">
        <v>1666</v>
      </c>
      <c r="F378" s="18"/>
      <c r="G378" s="18"/>
      <c r="H378" s="15" t="s">
        <v>1667</v>
      </c>
      <c r="I378" s="18"/>
      <c r="J378" s="19" t="s">
        <v>104</v>
      </c>
      <c r="K378" s="19" t="s">
        <v>105</v>
      </c>
      <c r="L378" s="19" t="s">
        <v>38</v>
      </c>
      <c r="M378" s="20">
        <f t="shared" si="1"/>
        <v>0</v>
      </c>
      <c r="N378" s="21"/>
      <c r="O378" s="22"/>
      <c r="P378" s="19" t="s">
        <v>1145</v>
      </c>
      <c r="Q378" s="18"/>
      <c r="R378" s="18"/>
      <c r="S378" s="23">
        <v>0.0</v>
      </c>
      <c r="T378" s="23">
        <v>0.0</v>
      </c>
      <c r="U378" s="23">
        <f t="shared" si="2"/>
        <v>0</v>
      </c>
      <c r="V378" s="23">
        <f t="shared" si="3"/>
        <v>0</v>
      </c>
      <c r="W378" s="23">
        <f t="shared" si="4"/>
        <v>0</v>
      </c>
      <c r="X378" s="24" t="str">
        <f t="shared" si="5"/>
        <v>#DIV/0!</v>
      </c>
    </row>
    <row r="379">
      <c r="A379" s="15" t="s">
        <v>1668</v>
      </c>
      <c r="B379" s="18"/>
      <c r="C379" s="16" t="str">
        <f>IMAGE("https://i.ibb.co/DPSNTyt0/1476.png")</f>
        <v/>
      </c>
      <c r="D379" s="18"/>
      <c r="E379" s="17" t="s">
        <v>1669</v>
      </c>
      <c r="F379" s="18"/>
      <c r="G379" s="18"/>
      <c r="H379" s="15" t="s">
        <v>1670</v>
      </c>
      <c r="I379" s="18"/>
      <c r="J379" s="19" t="s">
        <v>104</v>
      </c>
      <c r="K379" s="19" t="s">
        <v>105</v>
      </c>
      <c r="L379" s="19" t="s">
        <v>38</v>
      </c>
      <c r="M379" s="20">
        <f t="shared" si="1"/>
        <v>0</v>
      </c>
      <c r="N379" s="21"/>
      <c r="O379" s="22"/>
      <c r="P379" s="19" t="s">
        <v>1145</v>
      </c>
      <c r="Q379" s="18"/>
      <c r="R379" s="18"/>
      <c r="S379" s="23">
        <v>0.0</v>
      </c>
      <c r="T379" s="23">
        <v>0.0</v>
      </c>
      <c r="U379" s="23">
        <f t="shared" si="2"/>
        <v>0</v>
      </c>
      <c r="V379" s="23">
        <f t="shared" si="3"/>
        <v>0</v>
      </c>
      <c r="W379" s="23">
        <f t="shared" si="4"/>
        <v>0</v>
      </c>
      <c r="X379" s="24" t="str">
        <f t="shared" si="5"/>
        <v>#DIV/0!</v>
      </c>
    </row>
    <row r="380">
      <c r="A380" s="15" t="s">
        <v>1671</v>
      </c>
      <c r="B380" s="18"/>
      <c r="C380" s="16" t="str">
        <f>IMAGE("https://i.ibb.co/zh17rTvf/1477.png")</f>
        <v/>
      </c>
      <c r="D380" s="18"/>
      <c r="E380" s="17" t="s">
        <v>1672</v>
      </c>
      <c r="F380" s="18"/>
      <c r="G380" s="18"/>
      <c r="H380" s="15" t="s">
        <v>1673</v>
      </c>
      <c r="I380" s="18"/>
      <c r="J380" s="19" t="s">
        <v>1674</v>
      </c>
      <c r="K380" s="19" t="s">
        <v>105</v>
      </c>
      <c r="L380" s="19" t="s">
        <v>38</v>
      </c>
      <c r="M380" s="20">
        <f t="shared" si="1"/>
        <v>0</v>
      </c>
      <c r="N380" s="21"/>
      <c r="O380" s="22"/>
      <c r="P380" s="19" t="s">
        <v>1145</v>
      </c>
      <c r="Q380" s="18"/>
      <c r="R380" s="18"/>
      <c r="S380" s="23">
        <v>0.0</v>
      </c>
      <c r="T380" s="23">
        <v>0.0</v>
      </c>
      <c r="U380" s="23">
        <f t="shared" si="2"/>
        <v>0</v>
      </c>
      <c r="V380" s="23">
        <f t="shared" si="3"/>
        <v>0</v>
      </c>
      <c r="W380" s="23">
        <f t="shared" si="4"/>
        <v>0</v>
      </c>
      <c r="X380" s="24" t="str">
        <f t="shared" si="5"/>
        <v>#DIV/0!</v>
      </c>
    </row>
    <row r="381">
      <c r="A381" s="15" t="s">
        <v>1675</v>
      </c>
      <c r="B381" s="18"/>
      <c r="C381" s="16" t="str">
        <f>IMAGE("https://i.ibb.co/5gfP4kZX/1478.png")</f>
        <v/>
      </c>
      <c r="D381" s="18"/>
      <c r="E381" s="17" t="s">
        <v>1676</v>
      </c>
      <c r="F381" s="18"/>
      <c r="G381" s="18"/>
      <c r="H381" s="15" t="s">
        <v>1677</v>
      </c>
      <c r="I381" s="18"/>
      <c r="J381" s="19" t="s">
        <v>1674</v>
      </c>
      <c r="K381" s="19" t="s">
        <v>37</v>
      </c>
      <c r="L381" s="19" t="s">
        <v>38</v>
      </c>
      <c r="M381" s="20">
        <f t="shared" si="1"/>
        <v>0</v>
      </c>
      <c r="N381" s="21"/>
      <c r="O381" s="22"/>
      <c r="P381" s="19" t="s">
        <v>1145</v>
      </c>
      <c r="Q381" s="18"/>
      <c r="R381" s="18"/>
      <c r="S381" s="23">
        <v>0.0</v>
      </c>
      <c r="T381" s="23">
        <v>0.0</v>
      </c>
      <c r="U381" s="23">
        <f t="shared" si="2"/>
        <v>0</v>
      </c>
      <c r="V381" s="23">
        <f t="shared" si="3"/>
        <v>0</v>
      </c>
      <c r="W381" s="23">
        <f t="shared" si="4"/>
        <v>0</v>
      </c>
      <c r="X381" s="24" t="str">
        <f t="shared" si="5"/>
        <v>#DIV/0!</v>
      </c>
    </row>
    <row r="382">
      <c r="A382" s="15" t="s">
        <v>1678</v>
      </c>
      <c r="B382" s="18"/>
      <c r="C382" s="16" t="str">
        <f>IMAGE("https://i.ibb.co/q3PCcp95/1479.png")</f>
        <v/>
      </c>
      <c r="D382" s="18"/>
      <c r="E382" s="17" t="s">
        <v>1679</v>
      </c>
      <c r="F382" s="18"/>
      <c r="G382" s="18"/>
      <c r="H382" s="15" t="s">
        <v>1680</v>
      </c>
      <c r="I382" s="18"/>
      <c r="J382" s="19" t="s">
        <v>1674</v>
      </c>
      <c r="K382" s="19" t="s">
        <v>402</v>
      </c>
      <c r="L382" s="19" t="s">
        <v>38</v>
      </c>
      <c r="M382" s="20">
        <f t="shared" si="1"/>
        <v>0</v>
      </c>
      <c r="N382" s="21"/>
      <c r="O382" s="22"/>
      <c r="P382" s="19" t="s">
        <v>1145</v>
      </c>
      <c r="Q382" s="18"/>
      <c r="R382" s="18"/>
      <c r="S382" s="23">
        <v>0.0</v>
      </c>
      <c r="T382" s="23">
        <v>0.0</v>
      </c>
      <c r="U382" s="23">
        <f t="shared" si="2"/>
        <v>0</v>
      </c>
      <c r="V382" s="23">
        <f t="shared" si="3"/>
        <v>0</v>
      </c>
      <c r="W382" s="23">
        <f t="shared" si="4"/>
        <v>0</v>
      </c>
      <c r="X382" s="24" t="str">
        <f t="shared" si="5"/>
        <v>#DIV/0!</v>
      </c>
    </row>
    <row r="383">
      <c r="A383" s="15" t="s">
        <v>1681</v>
      </c>
      <c r="B383" s="18"/>
      <c r="C383" s="16" t="str">
        <f>IMAGE("https://i.ibb.co/bMSPdkXQ/1483.png")</f>
        <v/>
      </c>
      <c r="D383" s="18"/>
      <c r="E383" s="17" t="s">
        <v>1682</v>
      </c>
      <c r="F383" s="18"/>
      <c r="G383" s="18"/>
      <c r="H383" s="15" t="s">
        <v>1683</v>
      </c>
      <c r="I383" s="18"/>
      <c r="J383" s="19" t="s">
        <v>1674</v>
      </c>
      <c r="K383" s="19" t="s">
        <v>37</v>
      </c>
      <c r="L383" s="19" t="s">
        <v>38</v>
      </c>
      <c r="M383" s="20">
        <f t="shared" si="1"/>
        <v>0</v>
      </c>
      <c r="N383" s="21"/>
      <c r="O383" s="22"/>
      <c r="P383" s="19" t="s">
        <v>1145</v>
      </c>
      <c r="Q383" s="18"/>
      <c r="R383" s="18"/>
      <c r="S383" s="23">
        <v>0.0</v>
      </c>
      <c r="T383" s="23">
        <v>0.0</v>
      </c>
      <c r="U383" s="23">
        <f t="shared" si="2"/>
        <v>0</v>
      </c>
      <c r="V383" s="23">
        <f t="shared" si="3"/>
        <v>0</v>
      </c>
      <c r="W383" s="23">
        <f t="shared" si="4"/>
        <v>0</v>
      </c>
      <c r="X383" s="24" t="str">
        <f t="shared" si="5"/>
        <v>#DIV/0!</v>
      </c>
    </row>
    <row r="384">
      <c r="A384" s="15" t="s">
        <v>1684</v>
      </c>
      <c r="B384" s="18"/>
      <c r="C384" s="16" t="str">
        <f>IMAGE("https://i.ibb.co/4RzpXtr9/1485.png")</f>
        <v/>
      </c>
      <c r="D384" s="18"/>
      <c r="E384" s="17" t="s">
        <v>1685</v>
      </c>
      <c r="F384" s="18"/>
      <c r="G384" s="18"/>
      <c r="H384" s="15" t="s">
        <v>1686</v>
      </c>
      <c r="I384" s="18"/>
      <c r="J384" s="19" t="s">
        <v>1674</v>
      </c>
      <c r="K384" s="19" t="s">
        <v>37</v>
      </c>
      <c r="L384" s="19" t="s">
        <v>38</v>
      </c>
      <c r="M384" s="20">
        <f t="shared" si="1"/>
        <v>0</v>
      </c>
      <c r="N384" s="21"/>
      <c r="O384" s="22"/>
      <c r="P384" s="19" t="s">
        <v>1145</v>
      </c>
      <c r="Q384" s="18"/>
      <c r="R384" s="18"/>
      <c r="S384" s="23">
        <v>0.0</v>
      </c>
      <c r="T384" s="23">
        <v>0.0</v>
      </c>
      <c r="U384" s="23">
        <f t="shared" si="2"/>
        <v>0</v>
      </c>
      <c r="V384" s="23">
        <f t="shared" si="3"/>
        <v>0</v>
      </c>
      <c r="W384" s="23">
        <f t="shared" si="4"/>
        <v>0</v>
      </c>
      <c r="X384" s="24" t="str">
        <f t="shared" si="5"/>
        <v>#DIV/0!</v>
      </c>
    </row>
    <row r="385">
      <c r="A385" s="15" t="s">
        <v>1687</v>
      </c>
      <c r="B385" s="18"/>
      <c r="C385" s="16" t="str">
        <f>IMAGE("https://i.ibb.co/237RNHtJ/1486.png")</f>
        <v/>
      </c>
      <c r="D385" s="18"/>
      <c r="E385" s="17" t="s">
        <v>1688</v>
      </c>
      <c r="F385" s="18"/>
      <c r="G385" s="18"/>
      <c r="H385" s="15" t="s">
        <v>1689</v>
      </c>
      <c r="I385" s="18"/>
      <c r="J385" s="19" t="s">
        <v>1674</v>
      </c>
      <c r="K385" s="19" t="s">
        <v>105</v>
      </c>
      <c r="L385" s="19" t="s">
        <v>38</v>
      </c>
      <c r="M385" s="20">
        <f t="shared" si="1"/>
        <v>0</v>
      </c>
      <c r="N385" s="21"/>
      <c r="O385" s="22"/>
      <c r="P385" s="19" t="s">
        <v>1145</v>
      </c>
      <c r="Q385" s="18"/>
      <c r="R385" s="18"/>
      <c r="S385" s="23">
        <v>0.0</v>
      </c>
      <c r="T385" s="23">
        <v>0.0</v>
      </c>
      <c r="U385" s="23">
        <f t="shared" si="2"/>
        <v>0</v>
      </c>
      <c r="V385" s="23">
        <f t="shared" si="3"/>
        <v>0</v>
      </c>
      <c r="W385" s="23">
        <f t="shared" si="4"/>
        <v>0</v>
      </c>
      <c r="X385" s="24" t="str">
        <f t="shared" si="5"/>
        <v>#DIV/0!</v>
      </c>
      <c r="Z385" s="38">
        <v>95.0</v>
      </c>
      <c r="AA385" s="39">
        <f>M385/(1+$AA$1)</f>
        <v>0</v>
      </c>
      <c r="AB385" s="40" t="str">
        <f>AA385/W385</f>
        <v>#DIV/0!</v>
      </c>
      <c r="AD385" s="34">
        <v>1542.0</v>
      </c>
    </row>
    <row r="386">
      <c r="A386" s="15" t="s">
        <v>1690</v>
      </c>
      <c r="B386" s="18"/>
      <c r="C386" s="16" t="str">
        <f>IMAGE("https://i.ibb.co/BHx29YXH/1487.png")</f>
        <v/>
      </c>
      <c r="D386" s="18"/>
      <c r="E386" s="17" t="s">
        <v>1691</v>
      </c>
      <c r="F386" s="18"/>
      <c r="G386" s="18"/>
      <c r="H386" s="15" t="s">
        <v>1692</v>
      </c>
      <c r="I386" s="18"/>
      <c r="J386" s="19" t="s">
        <v>1674</v>
      </c>
      <c r="K386" s="19" t="s">
        <v>105</v>
      </c>
      <c r="L386" s="19" t="s">
        <v>38</v>
      </c>
      <c r="M386" s="20">
        <f t="shared" si="1"/>
        <v>0</v>
      </c>
      <c r="N386" s="21"/>
      <c r="O386" s="22"/>
      <c r="P386" s="19" t="s">
        <v>1145</v>
      </c>
      <c r="Q386" s="18"/>
      <c r="R386" s="18"/>
      <c r="S386" s="23">
        <v>0.0</v>
      </c>
      <c r="T386" s="23">
        <v>0.0</v>
      </c>
      <c r="U386" s="23">
        <f t="shared" si="2"/>
        <v>0</v>
      </c>
      <c r="V386" s="23">
        <f t="shared" si="3"/>
        <v>0</v>
      </c>
      <c r="W386" s="23">
        <f t="shared" si="4"/>
        <v>0</v>
      </c>
      <c r="X386" s="24" t="str">
        <f t="shared" si="5"/>
        <v>#DIV/0!</v>
      </c>
    </row>
    <row r="387">
      <c r="A387" s="15" t="s">
        <v>1693</v>
      </c>
      <c r="B387" s="18"/>
      <c r="C387" s="16" t="str">
        <f>IMAGE("https://i.ibb.co/yBmgV9Qh/1488.png")</f>
        <v/>
      </c>
      <c r="D387" s="18"/>
      <c r="E387" s="17" t="s">
        <v>1694</v>
      </c>
      <c r="F387" s="18"/>
      <c r="G387" s="18"/>
      <c r="H387" s="15" t="s">
        <v>1695</v>
      </c>
      <c r="I387" s="18"/>
      <c r="J387" s="19" t="s">
        <v>1674</v>
      </c>
      <c r="K387" s="19" t="s">
        <v>1230</v>
      </c>
      <c r="L387" s="19" t="s">
        <v>38</v>
      </c>
      <c r="M387" s="20">
        <f t="shared" si="1"/>
        <v>0</v>
      </c>
      <c r="N387" s="21"/>
      <c r="O387" s="22"/>
      <c r="P387" s="19" t="s">
        <v>1145</v>
      </c>
      <c r="Q387" s="18"/>
      <c r="R387" s="18"/>
      <c r="S387" s="23">
        <v>0.0</v>
      </c>
      <c r="T387" s="23">
        <v>0.0</v>
      </c>
      <c r="U387" s="23">
        <f t="shared" si="2"/>
        <v>0</v>
      </c>
      <c r="V387" s="23">
        <f t="shared" si="3"/>
        <v>0</v>
      </c>
      <c r="W387" s="23">
        <f t="shared" si="4"/>
        <v>0</v>
      </c>
      <c r="X387" s="24" t="str">
        <f t="shared" si="5"/>
        <v>#DIV/0!</v>
      </c>
    </row>
    <row r="388">
      <c r="A388" s="15" t="s">
        <v>1696</v>
      </c>
      <c r="B388" s="18"/>
      <c r="C388" s="16" t="str">
        <f>IMAGE("https://i.ibb.co/yntxtrBh/1489.png")</f>
        <v/>
      </c>
      <c r="D388" s="18"/>
      <c r="E388" s="17" t="s">
        <v>1697</v>
      </c>
      <c r="F388" s="18"/>
      <c r="G388" s="18"/>
      <c r="H388" s="15" t="s">
        <v>1698</v>
      </c>
      <c r="I388" s="18"/>
      <c r="J388" s="19" t="s">
        <v>1674</v>
      </c>
      <c r="K388" s="19" t="s">
        <v>1230</v>
      </c>
      <c r="L388" s="19" t="s">
        <v>38</v>
      </c>
      <c r="M388" s="20">
        <f t="shared" si="1"/>
        <v>0</v>
      </c>
      <c r="N388" s="21"/>
      <c r="O388" s="22"/>
      <c r="P388" s="19" t="s">
        <v>1145</v>
      </c>
      <c r="Q388" s="18"/>
      <c r="R388" s="18"/>
      <c r="S388" s="23">
        <v>0.0</v>
      </c>
      <c r="T388" s="23">
        <v>0.0</v>
      </c>
      <c r="U388" s="23">
        <f t="shared" si="2"/>
        <v>0</v>
      </c>
      <c r="V388" s="23">
        <f t="shared" si="3"/>
        <v>0</v>
      </c>
      <c r="W388" s="23">
        <f t="shared" si="4"/>
        <v>0</v>
      </c>
      <c r="X388" s="24" t="str">
        <f t="shared" si="5"/>
        <v>#DIV/0!</v>
      </c>
    </row>
    <row r="389">
      <c r="A389" s="15" t="s">
        <v>1699</v>
      </c>
      <c r="B389" s="18"/>
      <c r="C389" s="16" t="str">
        <f>IMAGE("https://i.ibb.co/Jw4PLvpZ/1490.png")</f>
        <v/>
      </c>
      <c r="D389" s="18"/>
      <c r="E389" s="17" t="s">
        <v>1700</v>
      </c>
      <c r="F389" s="18"/>
      <c r="G389" s="18"/>
      <c r="H389" s="15" t="s">
        <v>1701</v>
      </c>
      <c r="I389" s="18"/>
      <c r="J389" s="19" t="s">
        <v>1674</v>
      </c>
      <c r="K389" s="19" t="s">
        <v>402</v>
      </c>
      <c r="L389" s="19" t="s">
        <v>38</v>
      </c>
      <c r="M389" s="20">
        <f t="shared" si="1"/>
        <v>0</v>
      </c>
      <c r="N389" s="21"/>
      <c r="O389" s="22"/>
      <c r="P389" s="19" t="s">
        <v>1145</v>
      </c>
      <c r="Q389" s="18"/>
      <c r="R389" s="18"/>
      <c r="S389" s="23">
        <v>0.0</v>
      </c>
      <c r="T389" s="23">
        <v>0.0</v>
      </c>
      <c r="U389" s="23">
        <f t="shared" si="2"/>
        <v>0</v>
      </c>
      <c r="V389" s="23">
        <f t="shared" si="3"/>
        <v>0</v>
      </c>
      <c r="W389" s="23">
        <f t="shared" si="4"/>
        <v>0</v>
      </c>
      <c r="X389" s="24" t="str">
        <f t="shared" si="5"/>
        <v>#DIV/0!</v>
      </c>
    </row>
    <row r="390">
      <c r="A390" s="15" t="s">
        <v>1702</v>
      </c>
      <c r="B390" s="18"/>
      <c r="C390" s="16" t="str">
        <f>IMAGE("https://i.ibb.co/5XTD0Ts4/1491.png")</f>
        <v/>
      </c>
      <c r="D390" s="18"/>
      <c r="E390" s="17" t="s">
        <v>1703</v>
      </c>
      <c r="F390" s="18"/>
      <c r="G390" s="18"/>
      <c r="H390" s="15" t="s">
        <v>1704</v>
      </c>
      <c r="I390" s="18"/>
      <c r="J390" s="19" t="s">
        <v>1674</v>
      </c>
      <c r="K390" s="19" t="s">
        <v>105</v>
      </c>
      <c r="L390" s="19" t="s">
        <v>38</v>
      </c>
      <c r="M390" s="20">
        <f t="shared" si="1"/>
        <v>0</v>
      </c>
      <c r="N390" s="21"/>
      <c r="O390" s="22"/>
      <c r="P390" s="19" t="s">
        <v>1145</v>
      </c>
      <c r="Q390" s="18"/>
      <c r="R390" s="18"/>
      <c r="S390" s="23">
        <v>0.0</v>
      </c>
      <c r="T390" s="23">
        <v>0.0</v>
      </c>
      <c r="U390" s="23">
        <f t="shared" si="2"/>
        <v>0</v>
      </c>
      <c r="V390" s="23">
        <f t="shared" si="3"/>
        <v>0</v>
      </c>
      <c r="W390" s="23">
        <f t="shared" si="4"/>
        <v>0</v>
      </c>
      <c r="X390" s="24" t="str">
        <f t="shared" si="5"/>
        <v>#DIV/0!</v>
      </c>
    </row>
    <row r="391">
      <c r="A391" s="15" t="s">
        <v>1705</v>
      </c>
      <c r="B391" s="18"/>
      <c r="C391" s="16" t="str">
        <f>IMAGE("https://i.ibb.co/RGpGdpRV/1492.png")</f>
        <v/>
      </c>
      <c r="D391" s="18"/>
      <c r="E391" s="17" t="s">
        <v>1706</v>
      </c>
      <c r="F391" s="18"/>
      <c r="G391" s="18"/>
      <c r="H391" s="15" t="s">
        <v>1707</v>
      </c>
      <c r="I391" s="18"/>
      <c r="J391" s="19" t="s">
        <v>1674</v>
      </c>
      <c r="K391" s="19" t="s">
        <v>1230</v>
      </c>
      <c r="L391" s="19" t="s">
        <v>38</v>
      </c>
      <c r="M391" s="20">
        <f t="shared" si="1"/>
        <v>0</v>
      </c>
      <c r="N391" s="21"/>
      <c r="O391" s="22"/>
      <c r="P391" s="19" t="s">
        <v>1145</v>
      </c>
      <c r="Q391" s="18"/>
      <c r="R391" s="18"/>
      <c r="S391" s="23">
        <v>0.0</v>
      </c>
      <c r="T391" s="23">
        <v>0.0</v>
      </c>
      <c r="U391" s="23">
        <f t="shared" si="2"/>
        <v>0</v>
      </c>
      <c r="V391" s="23">
        <f t="shared" si="3"/>
        <v>0</v>
      </c>
      <c r="W391" s="23">
        <f t="shared" si="4"/>
        <v>0</v>
      </c>
      <c r="X391" s="24" t="str">
        <f t="shared" si="5"/>
        <v>#DIV/0!</v>
      </c>
    </row>
    <row r="392">
      <c r="A392" s="15" t="s">
        <v>1708</v>
      </c>
      <c r="B392" s="18"/>
      <c r="C392" s="16"/>
      <c r="D392" s="18"/>
      <c r="E392" s="17" t="s">
        <v>1709</v>
      </c>
      <c r="F392" s="18"/>
      <c r="G392" s="18"/>
      <c r="H392" s="15" t="s">
        <v>1710</v>
      </c>
      <c r="I392" s="18"/>
      <c r="J392" s="19" t="s">
        <v>1674</v>
      </c>
      <c r="K392" s="19" t="s">
        <v>105</v>
      </c>
      <c r="L392" s="19" t="s">
        <v>38</v>
      </c>
      <c r="M392" s="20">
        <f t="shared" si="1"/>
        <v>0</v>
      </c>
      <c r="N392" s="21"/>
      <c r="O392" s="22"/>
      <c r="P392" s="19" t="s">
        <v>1145</v>
      </c>
      <c r="Q392" s="18"/>
      <c r="R392" s="18"/>
      <c r="S392" s="23">
        <v>0.0</v>
      </c>
      <c r="T392" s="23">
        <v>0.0</v>
      </c>
      <c r="U392" s="23">
        <f t="shared" si="2"/>
        <v>0</v>
      </c>
      <c r="V392" s="23">
        <f t="shared" si="3"/>
        <v>0</v>
      </c>
      <c r="W392" s="23">
        <f t="shared" si="4"/>
        <v>0</v>
      </c>
      <c r="X392" s="24" t="str">
        <f t="shared" si="5"/>
        <v>#DIV/0!</v>
      </c>
    </row>
    <row r="393">
      <c r="A393" s="15" t="s">
        <v>1711</v>
      </c>
      <c r="B393" s="18"/>
      <c r="C393" s="16" t="str">
        <f>IMAGE("https://i.ibb.co/5XfG5Rg6/1494.png")</f>
        <v/>
      </c>
      <c r="D393" s="18"/>
      <c r="E393" s="17" t="s">
        <v>1712</v>
      </c>
      <c r="F393" s="18"/>
      <c r="G393" s="18"/>
      <c r="H393" s="15" t="s">
        <v>1713</v>
      </c>
      <c r="I393" s="18"/>
      <c r="J393" s="19" t="s">
        <v>1674</v>
      </c>
      <c r="K393" s="19" t="s">
        <v>402</v>
      </c>
      <c r="L393" s="19" t="s">
        <v>38</v>
      </c>
      <c r="M393" s="20">
        <f t="shared" si="1"/>
        <v>0</v>
      </c>
      <c r="N393" s="21"/>
      <c r="O393" s="22"/>
      <c r="P393" s="19" t="s">
        <v>1145</v>
      </c>
      <c r="Q393" s="18"/>
      <c r="R393" s="18"/>
      <c r="S393" s="23">
        <v>0.0</v>
      </c>
      <c r="T393" s="23">
        <v>0.0</v>
      </c>
      <c r="U393" s="23">
        <f t="shared" si="2"/>
        <v>0</v>
      </c>
      <c r="V393" s="23">
        <f t="shared" si="3"/>
        <v>0</v>
      </c>
      <c r="W393" s="23">
        <f t="shared" si="4"/>
        <v>0</v>
      </c>
      <c r="X393" s="24" t="str">
        <f t="shared" si="5"/>
        <v>#DIV/0!</v>
      </c>
    </row>
    <row r="394">
      <c r="A394" s="15" t="s">
        <v>1714</v>
      </c>
      <c r="B394" s="18"/>
      <c r="C394" s="16" t="str">
        <f>IMAGE("https://i.ibb.co/39mXGtkz/1501.png")</f>
        <v/>
      </c>
      <c r="D394" s="18"/>
      <c r="E394" s="17" t="s">
        <v>1715</v>
      </c>
      <c r="F394" s="18"/>
      <c r="G394" s="18"/>
      <c r="H394" s="15" t="s">
        <v>1716</v>
      </c>
      <c r="I394" s="15" t="s">
        <v>1717</v>
      </c>
      <c r="J394" s="19" t="s">
        <v>36</v>
      </c>
      <c r="K394" s="19" t="s">
        <v>37</v>
      </c>
      <c r="L394" s="19" t="s">
        <v>38</v>
      </c>
      <c r="M394" s="20">
        <f t="shared" si="1"/>
        <v>0</v>
      </c>
      <c r="N394" s="21"/>
      <c r="O394" s="22"/>
      <c r="P394" s="19" t="s">
        <v>1145</v>
      </c>
      <c r="Q394" s="18"/>
      <c r="R394" s="18"/>
      <c r="S394" s="23">
        <v>0.0</v>
      </c>
      <c r="T394" s="23">
        <v>0.0</v>
      </c>
      <c r="U394" s="23">
        <f t="shared" si="2"/>
        <v>0</v>
      </c>
      <c r="V394" s="23">
        <f t="shared" si="3"/>
        <v>0</v>
      </c>
      <c r="W394" s="23">
        <f t="shared" si="4"/>
        <v>0</v>
      </c>
      <c r="X394" s="24" t="str">
        <f t="shared" si="5"/>
        <v>#DIV/0!</v>
      </c>
    </row>
    <row r="395">
      <c r="A395" s="15" t="s">
        <v>1718</v>
      </c>
      <c r="B395" s="18"/>
      <c r="C395" s="16" t="str">
        <f>IMAGE("https://i.ibb.co/4nXhvtxf/1502.png")</f>
        <v/>
      </c>
      <c r="D395" s="18"/>
      <c r="E395" s="17" t="s">
        <v>1719</v>
      </c>
      <c r="F395" s="18"/>
      <c r="G395" s="18"/>
      <c r="H395" s="15" t="s">
        <v>1720</v>
      </c>
      <c r="I395" s="15" t="s">
        <v>1721</v>
      </c>
      <c r="J395" s="19" t="s">
        <v>36</v>
      </c>
      <c r="K395" s="19" t="s">
        <v>105</v>
      </c>
      <c r="L395" s="19" t="s">
        <v>38</v>
      </c>
      <c r="M395" s="20">
        <f t="shared" si="1"/>
        <v>0</v>
      </c>
      <c r="N395" s="21"/>
      <c r="O395" s="22"/>
      <c r="P395" s="19" t="s">
        <v>1145</v>
      </c>
      <c r="Q395" s="18"/>
      <c r="R395" s="18"/>
      <c r="S395" s="23">
        <v>0.0</v>
      </c>
      <c r="T395" s="23">
        <v>0.0</v>
      </c>
      <c r="U395" s="23">
        <f t="shared" si="2"/>
        <v>0</v>
      </c>
      <c r="V395" s="23">
        <f t="shared" si="3"/>
        <v>0</v>
      </c>
      <c r="W395" s="23">
        <f t="shared" si="4"/>
        <v>0</v>
      </c>
      <c r="X395" s="24" t="str">
        <f t="shared" si="5"/>
        <v>#DIV/0!</v>
      </c>
    </row>
    <row r="396">
      <c r="A396" s="15" t="s">
        <v>1722</v>
      </c>
      <c r="B396" s="18"/>
      <c r="C396" s="16" t="str">
        <f>IMAGE("https://i.ibb.co/tPXBCCxM/1504.png")</f>
        <v/>
      </c>
      <c r="D396" s="18"/>
      <c r="E396" s="17" t="s">
        <v>1723</v>
      </c>
      <c r="F396" s="18"/>
      <c r="G396" s="18"/>
      <c r="H396" s="15" t="s">
        <v>1724</v>
      </c>
      <c r="I396" s="15" t="s">
        <v>1725</v>
      </c>
      <c r="J396" s="19" t="s">
        <v>36</v>
      </c>
      <c r="K396" s="19" t="s">
        <v>105</v>
      </c>
      <c r="L396" s="19" t="s">
        <v>38</v>
      </c>
      <c r="M396" s="20">
        <f t="shared" si="1"/>
        <v>0</v>
      </c>
      <c r="N396" s="21"/>
      <c r="O396" s="22"/>
      <c r="P396" s="19" t="s">
        <v>1145</v>
      </c>
      <c r="Q396" s="18"/>
      <c r="R396" s="18"/>
      <c r="S396" s="23">
        <v>0.0</v>
      </c>
      <c r="T396" s="23">
        <v>0.0</v>
      </c>
      <c r="U396" s="23">
        <f t="shared" si="2"/>
        <v>0</v>
      </c>
      <c r="V396" s="23">
        <f t="shared" si="3"/>
        <v>0</v>
      </c>
      <c r="W396" s="23">
        <f t="shared" si="4"/>
        <v>0</v>
      </c>
      <c r="X396" s="24" t="str">
        <f t="shared" si="5"/>
        <v>#DIV/0!</v>
      </c>
    </row>
    <row r="397">
      <c r="A397" s="15" t="s">
        <v>1726</v>
      </c>
      <c r="B397" s="18"/>
      <c r="C397" s="16" t="str">
        <f>IMAGE("https://i.ibb.co/GvfZhtGx/1505.png")</f>
        <v/>
      </c>
      <c r="D397" s="18"/>
      <c r="E397" s="17" t="s">
        <v>1727</v>
      </c>
      <c r="F397" s="18"/>
      <c r="G397" s="18"/>
      <c r="H397" s="15" t="s">
        <v>1728</v>
      </c>
      <c r="I397" s="15" t="s">
        <v>1729</v>
      </c>
      <c r="J397" s="19" t="s">
        <v>36</v>
      </c>
      <c r="K397" s="19" t="s">
        <v>1230</v>
      </c>
      <c r="L397" s="19" t="s">
        <v>38</v>
      </c>
      <c r="M397" s="20">
        <f t="shared" si="1"/>
        <v>0</v>
      </c>
      <c r="N397" s="21"/>
      <c r="O397" s="22"/>
      <c r="P397" s="19" t="s">
        <v>1145</v>
      </c>
      <c r="Q397" s="18"/>
      <c r="R397" s="18"/>
      <c r="S397" s="23">
        <v>0.0</v>
      </c>
      <c r="T397" s="23">
        <v>0.0</v>
      </c>
      <c r="U397" s="23">
        <f t="shared" si="2"/>
        <v>0</v>
      </c>
      <c r="V397" s="23">
        <f t="shared" si="3"/>
        <v>0</v>
      </c>
      <c r="W397" s="23">
        <f t="shared" si="4"/>
        <v>0</v>
      </c>
      <c r="X397" s="24" t="str">
        <f t="shared" si="5"/>
        <v>#DIV/0!</v>
      </c>
    </row>
    <row r="398">
      <c r="A398" s="15" t="s">
        <v>1730</v>
      </c>
      <c r="B398" s="18"/>
      <c r="C398" s="16" t="str">
        <f>IMAGE("https://i.ibb.co/0RXj3KrM/1506.png")</f>
        <v/>
      </c>
      <c r="D398" s="18"/>
      <c r="E398" s="17" t="s">
        <v>1731</v>
      </c>
      <c r="F398" s="18"/>
      <c r="G398" s="18"/>
      <c r="H398" s="15" t="s">
        <v>1732</v>
      </c>
      <c r="I398" s="15" t="s">
        <v>1733</v>
      </c>
      <c r="J398" s="19" t="s">
        <v>36</v>
      </c>
      <c r="K398" s="19" t="s">
        <v>105</v>
      </c>
      <c r="L398" s="19" t="s">
        <v>38</v>
      </c>
      <c r="M398" s="20">
        <f t="shared" si="1"/>
        <v>0</v>
      </c>
      <c r="N398" s="21"/>
      <c r="O398" s="22"/>
      <c r="P398" s="19" t="s">
        <v>1145</v>
      </c>
      <c r="Q398" s="18"/>
      <c r="R398" s="18"/>
      <c r="S398" s="23">
        <v>0.0</v>
      </c>
      <c r="T398" s="23">
        <v>0.0</v>
      </c>
      <c r="U398" s="23">
        <f t="shared" si="2"/>
        <v>0</v>
      </c>
      <c r="V398" s="23">
        <f t="shared" si="3"/>
        <v>0</v>
      </c>
      <c r="W398" s="23">
        <f t="shared" si="4"/>
        <v>0</v>
      </c>
      <c r="X398" s="24" t="str">
        <f t="shared" si="5"/>
        <v>#DIV/0!</v>
      </c>
    </row>
    <row r="399">
      <c r="A399" s="15" t="s">
        <v>1734</v>
      </c>
      <c r="B399" s="18"/>
      <c r="C399" s="16" t="str">
        <f>IMAGE("https://i.ibb.co/4RhRzChk/1508.png")</f>
        <v/>
      </c>
      <c r="D399" s="18"/>
      <c r="E399" s="17" t="s">
        <v>1735</v>
      </c>
      <c r="F399" s="18"/>
      <c r="G399" s="18"/>
      <c r="H399" s="15" t="s">
        <v>1736</v>
      </c>
      <c r="I399" s="15" t="s">
        <v>1737</v>
      </c>
      <c r="J399" s="19" t="s">
        <v>36</v>
      </c>
      <c r="K399" s="19" t="s">
        <v>105</v>
      </c>
      <c r="L399" s="19" t="s">
        <v>38</v>
      </c>
      <c r="M399" s="20">
        <f t="shared" si="1"/>
        <v>0</v>
      </c>
      <c r="N399" s="21"/>
      <c r="O399" s="22"/>
      <c r="P399" s="19" t="s">
        <v>1145</v>
      </c>
      <c r="Q399" s="18"/>
      <c r="R399" s="18"/>
      <c r="S399" s="23">
        <v>0.0</v>
      </c>
      <c r="T399" s="23">
        <v>0.0</v>
      </c>
      <c r="U399" s="23">
        <f t="shared" si="2"/>
        <v>0</v>
      </c>
      <c r="V399" s="23">
        <f t="shared" si="3"/>
        <v>0</v>
      </c>
      <c r="W399" s="23">
        <f t="shared" si="4"/>
        <v>0</v>
      </c>
      <c r="X399" s="24" t="str">
        <f t="shared" si="5"/>
        <v>#DIV/0!</v>
      </c>
    </row>
    <row r="400">
      <c r="A400" s="15" t="s">
        <v>1738</v>
      </c>
      <c r="B400" s="18"/>
      <c r="C400" s="16" t="str">
        <f>IMAGE("https://i.ibb.co/4RZjpYrb/1509.png")</f>
        <v/>
      </c>
      <c r="D400" s="18"/>
      <c r="E400" s="17" t="s">
        <v>1739</v>
      </c>
      <c r="F400" s="18"/>
      <c r="G400" s="18"/>
      <c r="H400" s="15" t="s">
        <v>1740</v>
      </c>
      <c r="I400" s="15" t="s">
        <v>1741</v>
      </c>
      <c r="J400" s="19" t="s">
        <v>36</v>
      </c>
      <c r="K400" s="19" t="s">
        <v>37</v>
      </c>
      <c r="L400" s="19" t="s">
        <v>38</v>
      </c>
      <c r="M400" s="20">
        <f t="shared" si="1"/>
        <v>0</v>
      </c>
      <c r="N400" s="21"/>
      <c r="O400" s="22"/>
      <c r="P400" s="19" t="s">
        <v>1145</v>
      </c>
      <c r="Q400" s="18"/>
      <c r="R400" s="18"/>
      <c r="S400" s="23">
        <v>0.0</v>
      </c>
      <c r="T400" s="23">
        <v>0.0</v>
      </c>
      <c r="U400" s="23">
        <f t="shared" si="2"/>
        <v>0</v>
      </c>
      <c r="V400" s="23">
        <f t="shared" si="3"/>
        <v>0</v>
      </c>
      <c r="W400" s="23">
        <f t="shared" si="4"/>
        <v>0</v>
      </c>
      <c r="X400" s="24" t="str">
        <f t="shared" si="5"/>
        <v>#DIV/0!</v>
      </c>
    </row>
    <row r="401">
      <c r="A401" s="15" t="s">
        <v>1742</v>
      </c>
      <c r="B401" s="18"/>
      <c r="C401" s="16" t="str">
        <f>IMAGE("https://i.ibb.co/7J5mNXPJ/1510.png")</f>
        <v/>
      </c>
      <c r="D401" s="18"/>
      <c r="E401" s="17" t="s">
        <v>1743</v>
      </c>
      <c r="F401" s="18"/>
      <c r="G401" s="18"/>
      <c r="H401" s="15" t="s">
        <v>1744</v>
      </c>
      <c r="I401" s="15" t="s">
        <v>1745</v>
      </c>
      <c r="J401" s="19" t="s">
        <v>36</v>
      </c>
      <c r="K401" s="19" t="s">
        <v>105</v>
      </c>
      <c r="L401" s="19" t="s">
        <v>38</v>
      </c>
      <c r="M401" s="20">
        <f t="shared" si="1"/>
        <v>0</v>
      </c>
      <c r="N401" s="21"/>
      <c r="O401" s="22"/>
      <c r="P401" s="19" t="s">
        <v>1145</v>
      </c>
      <c r="Q401" s="18"/>
      <c r="R401" s="18"/>
      <c r="S401" s="23">
        <v>0.0</v>
      </c>
      <c r="T401" s="23">
        <v>0.0</v>
      </c>
      <c r="U401" s="23">
        <f t="shared" si="2"/>
        <v>0</v>
      </c>
      <c r="V401" s="23">
        <f t="shared" si="3"/>
        <v>0</v>
      </c>
      <c r="W401" s="23">
        <f t="shared" si="4"/>
        <v>0</v>
      </c>
      <c r="X401" s="24" t="str">
        <f t="shared" si="5"/>
        <v>#DIV/0!</v>
      </c>
    </row>
    <row r="402">
      <c r="A402" s="15" t="s">
        <v>1746</v>
      </c>
      <c r="B402" s="18"/>
      <c r="C402" s="16" t="str">
        <f>IMAGE("https://i.ibb.co/hRwdbbFQ/1511.png")</f>
        <v/>
      </c>
      <c r="D402" s="18"/>
      <c r="E402" s="17" t="s">
        <v>1747</v>
      </c>
      <c r="F402" s="18"/>
      <c r="G402" s="18"/>
      <c r="H402" s="15" t="s">
        <v>1748</v>
      </c>
      <c r="I402" s="15" t="s">
        <v>1749</v>
      </c>
      <c r="J402" s="19" t="s">
        <v>36</v>
      </c>
      <c r="K402" s="19" t="s">
        <v>37</v>
      </c>
      <c r="L402" s="19" t="s">
        <v>38</v>
      </c>
      <c r="M402" s="20">
        <f t="shared" si="1"/>
        <v>0</v>
      </c>
      <c r="N402" s="21"/>
      <c r="O402" s="22"/>
      <c r="P402" s="19" t="s">
        <v>1145</v>
      </c>
      <c r="Q402" s="18"/>
      <c r="R402" s="18"/>
      <c r="S402" s="23">
        <v>0.0</v>
      </c>
      <c r="T402" s="23">
        <v>0.0</v>
      </c>
      <c r="U402" s="23">
        <f t="shared" si="2"/>
        <v>0</v>
      </c>
      <c r="V402" s="23">
        <f t="shared" si="3"/>
        <v>0</v>
      </c>
      <c r="W402" s="23">
        <f t="shared" si="4"/>
        <v>0</v>
      </c>
      <c r="X402" s="24" t="str">
        <f t="shared" si="5"/>
        <v>#DIV/0!</v>
      </c>
    </row>
    <row r="403">
      <c r="A403" s="15" t="s">
        <v>1750</v>
      </c>
      <c r="B403" s="18"/>
      <c r="C403" s="16" t="str">
        <f>IMAGE("https://i.ibb.co/FLMgkTWG/1514.png")</f>
        <v/>
      </c>
      <c r="D403" s="18"/>
      <c r="E403" s="17" t="s">
        <v>1751</v>
      </c>
      <c r="F403" s="18"/>
      <c r="G403" s="18"/>
      <c r="H403" s="15" t="s">
        <v>1752</v>
      </c>
      <c r="I403" s="15" t="s">
        <v>1753</v>
      </c>
      <c r="J403" s="19" t="s">
        <v>36</v>
      </c>
      <c r="K403" s="19" t="s">
        <v>105</v>
      </c>
      <c r="L403" s="19" t="s">
        <v>38</v>
      </c>
      <c r="M403" s="20">
        <f t="shared" si="1"/>
        <v>0</v>
      </c>
      <c r="N403" s="21"/>
      <c r="O403" s="22"/>
      <c r="P403" s="19" t="s">
        <v>1145</v>
      </c>
      <c r="Q403" s="18"/>
      <c r="R403" s="18"/>
      <c r="S403" s="23">
        <v>0.0</v>
      </c>
      <c r="T403" s="23">
        <v>0.0</v>
      </c>
      <c r="U403" s="23">
        <f t="shared" si="2"/>
        <v>0</v>
      </c>
      <c r="V403" s="23">
        <f t="shared" si="3"/>
        <v>0</v>
      </c>
      <c r="W403" s="23">
        <f t="shared" si="4"/>
        <v>0</v>
      </c>
      <c r="X403" s="24" t="str">
        <f t="shared" si="5"/>
        <v>#DIV/0!</v>
      </c>
    </row>
    <row r="404">
      <c r="A404" s="15" t="s">
        <v>1754</v>
      </c>
      <c r="B404" s="18"/>
      <c r="C404" s="16" t="str">
        <f>IMAGE("https://i.ibb.co/j94V8PSD/1516.png")</f>
        <v/>
      </c>
      <c r="D404" s="18"/>
      <c r="E404" s="17" t="s">
        <v>1755</v>
      </c>
      <c r="F404" s="18"/>
      <c r="G404" s="18"/>
      <c r="H404" s="15" t="s">
        <v>1756</v>
      </c>
      <c r="I404" s="15" t="s">
        <v>1757</v>
      </c>
      <c r="J404" s="19" t="s">
        <v>36</v>
      </c>
      <c r="K404" s="19" t="s">
        <v>37</v>
      </c>
      <c r="L404" s="19" t="s">
        <v>38</v>
      </c>
      <c r="M404" s="20">
        <f t="shared" si="1"/>
        <v>0</v>
      </c>
      <c r="N404" s="21"/>
      <c r="O404" s="22"/>
      <c r="P404" s="19" t="s">
        <v>1145</v>
      </c>
      <c r="Q404" s="18"/>
      <c r="R404" s="18"/>
      <c r="S404" s="23">
        <v>0.0</v>
      </c>
      <c r="T404" s="23">
        <v>0.0</v>
      </c>
      <c r="U404" s="23">
        <f t="shared" si="2"/>
        <v>0</v>
      </c>
      <c r="V404" s="23">
        <f t="shared" si="3"/>
        <v>0</v>
      </c>
      <c r="W404" s="23">
        <f t="shared" si="4"/>
        <v>0</v>
      </c>
      <c r="X404" s="24" t="str">
        <f t="shared" si="5"/>
        <v>#DIV/0!</v>
      </c>
    </row>
    <row r="405">
      <c r="A405" s="15" t="s">
        <v>1758</v>
      </c>
      <c r="B405" s="18"/>
      <c r="C405" s="16" t="str">
        <f>IMAGE("https://i.ibb.co/6cZQHQGM/1518.png")</f>
        <v/>
      </c>
      <c r="D405" s="18"/>
      <c r="E405" s="17" t="s">
        <v>1759</v>
      </c>
      <c r="F405" s="18"/>
      <c r="G405" s="18"/>
      <c r="H405" s="15" t="s">
        <v>1760</v>
      </c>
      <c r="I405" s="15" t="s">
        <v>1761</v>
      </c>
      <c r="J405" s="19" t="s">
        <v>36</v>
      </c>
      <c r="K405" s="19" t="s">
        <v>37</v>
      </c>
      <c r="L405" s="19" t="s">
        <v>38</v>
      </c>
      <c r="M405" s="20">
        <f t="shared" si="1"/>
        <v>0</v>
      </c>
      <c r="N405" s="21"/>
      <c r="O405" s="22"/>
      <c r="P405" s="19" t="s">
        <v>1145</v>
      </c>
      <c r="Q405" s="18"/>
      <c r="R405" s="18"/>
      <c r="S405" s="23">
        <v>0.0</v>
      </c>
      <c r="T405" s="23">
        <v>0.0</v>
      </c>
      <c r="U405" s="23">
        <f t="shared" si="2"/>
        <v>0</v>
      </c>
      <c r="V405" s="23">
        <f t="shared" si="3"/>
        <v>0</v>
      </c>
      <c r="W405" s="23">
        <f t="shared" si="4"/>
        <v>0</v>
      </c>
      <c r="X405" s="24" t="str">
        <f t="shared" si="5"/>
        <v>#DIV/0!</v>
      </c>
    </row>
    <row r="406">
      <c r="A406" s="15" t="s">
        <v>1762</v>
      </c>
      <c r="B406" s="18"/>
      <c r="C406" s="16" t="str">
        <f>IMAGE("https://i.ibb.co/G4fptcV1/1519.png")</f>
        <v/>
      </c>
      <c r="D406" s="18"/>
      <c r="E406" s="17" t="s">
        <v>1763</v>
      </c>
      <c r="F406" s="18"/>
      <c r="G406" s="18"/>
      <c r="H406" s="15" t="s">
        <v>1764</v>
      </c>
      <c r="I406" s="15" t="s">
        <v>1765</v>
      </c>
      <c r="J406" s="19" t="s">
        <v>36</v>
      </c>
      <c r="K406" s="19" t="s">
        <v>37</v>
      </c>
      <c r="L406" s="19" t="s">
        <v>38</v>
      </c>
      <c r="M406" s="20">
        <f t="shared" si="1"/>
        <v>0</v>
      </c>
      <c r="N406" s="21"/>
      <c r="O406" s="22"/>
      <c r="P406" s="19" t="s">
        <v>1145</v>
      </c>
      <c r="Q406" s="18"/>
      <c r="R406" s="18"/>
      <c r="S406" s="23">
        <v>0.0</v>
      </c>
      <c r="T406" s="23">
        <v>0.0</v>
      </c>
      <c r="U406" s="23">
        <f t="shared" si="2"/>
        <v>0</v>
      </c>
      <c r="V406" s="23">
        <f t="shared" si="3"/>
        <v>0</v>
      </c>
      <c r="W406" s="23">
        <f t="shared" si="4"/>
        <v>0</v>
      </c>
      <c r="X406" s="24" t="str">
        <f t="shared" si="5"/>
        <v>#DIV/0!</v>
      </c>
    </row>
    <row r="407">
      <c r="A407" s="15" t="s">
        <v>1766</v>
      </c>
      <c r="B407" s="18"/>
      <c r="C407" s="16" t="str">
        <f>IMAGE("https://i.ibb.co/Y7NHmKzC/1520.png")</f>
        <v/>
      </c>
      <c r="D407" s="18"/>
      <c r="E407" s="17" t="s">
        <v>1767</v>
      </c>
      <c r="F407" s="18"/>
      <c r="G407" s="18"/>
      <c r="H407" s="15" t="s">
        <v>1768</v>
      </c>
      <c r="I407" s="15" t="s">
        <v>1769</v>
      </c>
      <c r="J407" s="19" t="s">
        <v>36</v>
      </c>
      <c r="K407" s="19" t="s">
        <v>37</v>
      </c>
      <c r="L407" s="19" t="s">
        <v>38</v>
      </c>
      <c r="M407" s="20">
        <f t="shared" si="1"/>
        <v>0</v>
      </c>
      <c r="N407" s="21"/>
      <c r="O407" s="22"/>
      <c r="P407" s="19" t="s">
        <v>1145</v>
      </c>
      <c r="Q407" s="18"/>
      <c r="R407" s="18"/>
      <c r="S407" s="23">
        <v>0.0</v>
      </c>
      <c r="T407" s="23">
        <v>0.0</v>
      </c>
      <c r="U407" s="23">
        <f t="shared" si="2"/>
        <v>0</v>
      </c>
      <c r="V407" s="23">
        <f t="shared" si="3"/>
        <v>0</v>
      </c>
      <c r="W407" s="23">
        <f t="shared" si="4"/>
        <v>0</v>
      </c>
      <c r="X407" s="24" t="str">
        <f t="shared" si="5"/>
        <v>#DIV/0!</v>
      </c>
    </row>
    <row r="408">
      <c r="A408" s="15" t="s">
        <v>1770</v>
      </c>
      <c r="B408" s="18"/>
      <c r="C408" s="16" t="str">
        <f>IMAGE("https://i.ibb.co/DHVsNLnS/1521.png")</f>
        <v/>
      </c>
      <c r="D408" s="18"/>
      <c r="E408" s="17" t="s">
        <v>1771</v>
      </c>
      <c r="F408" s="18"/>
      <c r="G408" s="18"/>
      <c r="H408" s="15" t="s">
        <v>1772</v>
      </c>
      <c r="I408" s="15" t="s">
        <v>1773</v>
      </c>
      <c r="J408" s="19" t="s">
        <v>36</v>
      </c>
      <c r="K408" s="19" t="s">
        <v>37</v>
      </c>
      <c r="L408" s="19" t="s">
        <v>38</v>
      </c>
      <c r="M408" s="20">
        <f t="shared" si="1"/>
        <v>0</v>
      </c>
      <c r="N408" s="21"/>
      <c r="O408" s="22"/>
      <c r="P408" s="19" t="s">
        <v>1145</v>
      </c>
      <c r="Q408" s="18"/>
      <c r="R408" s="18"/>
      <c r="S408" s="23">
        <v>0.0</v>
      </c>
      <c r="T408" s="23">
        <v>0.0</v>
      </c>
      <c r="U408" s="23">
        <f t="shared" si="2"/>
        <v>0</v>
      </c>
      <c r="V408" s="23">
        <f t="shared" si="3"/>
        <v>0</v>
      </c>
      <c r="W408" s="23">
        <f t="shared" si="4"/>
        <v>0</v>
      </c>
      <c r="X408" s="24" t="str">
        <f t="shared" si="5"/>
        <v>#DIV/0!</v>
      </c>
    </row>
    <row r="409">
      <c r="A409" s="15" t="s">
        <v>1774</v>
      </c>
      <c r="B409" s="18"/>
      <c r="C409" s="16" t="str">
        <f>IMAGE("https://i.ibb.co/jkQf1787/1522.png")</f>
        <v/>
      </c>
      <c r="D409" s="18"/>
      <c r="E409" s="17" t="s">
        <v>1775</v>
      </c>
      <c r="F409" s="18"/>
      <c r="G409" s="18"/>
      <c r="H409" s="15" t="s">
        <v>1776</v>
      </c>
      <c r="I409" s="15" t="s">
        <v>1777</v>
      </c>
      <c r="J409" s="19" t="s">
        <v>36</v>
      </c>
      <c r="K409" s="19" t="s">
        <v>37</v>
      </c>
      <c r="L409" s="19" t="s">
        <v>38</v>
      </c>
      <c r="M409" s="20">
        <f t="shared" si="1"/>
        <v>0</v>
      </c>
      <c r="N409" s="21"/>
      <c r="O409" s="22"/>
      <c r="P409" s="19" t="s">
        <v>1145</v>
      </c>
      <c r="Q409" s="18"/>
      <c r="R409" s="18"/>
      <c r="S409" s="23">
        <v>0.0</v>
      </c>
      <c r="T409" s="23">
        <v>0.0</v>
      </c>
      <c r="U409" s="23">
        <f t="shared" si="2"/>
        <v>0</v>
      </c>
      <c r="V409" s="23">
        <f t="shared" si="3"/>
        <v>0</v>
      </c>
      <c r="W409" s="23">
        <f t="shared" si="4"/>
        <v>0</v>
      </c>
      <c r="X409" s="24" t="str">
        <f t="shared" si="5"/>
        <v>#DIV/0!</v>
      </c>
    </row>
    <row r="410">
      <c r="A410" s="15" t="s">
        <v>1778</v>
      </c>
      <c r="B410" s="18"/>
      <c r="C410" s="16" t="str">
        <f>IMAGE("https://i.ibb.co/jc2ysDL/1523.png")</f>
        <v/>
      </c>
      <c r="D410" s="18"/>
      <c r="E410" s="17" t="s">
        <v>1779</v>
      </c>
      <c r="F410" s="18"/>
      <c r="G410" s="18"/>
      <c r="H410" s="15" t="s">
        <v>1780</v>
      </c>
      <c r="I410" s="15" t="s">
        <v>1781</v>
      </c>
      <c r="J410" s="19" t="s">
        <v>36</v>
      </c>
      <c r="K410" s="19" t="s">
        <v>1444</v>
      </c>
      <c r="L410" s="19" t="s">
        <v>38</v>
      </c>
      <c r="M410" s="20">
        <f t="shared" si="1"/>
        <v>0</v>
      </c>
      <c r="N410" s="21"/>
      <c r="O410" s="22"/>
      <c r="P410" s="19" t="s">
        <v>1145</v>
      </c>
      <c r="Q410" s="18"/>
      <c r="R410" s="18"/>
      <c r="S410" s="23">
        <v>0.0</v>
      </c>
      <c r="T410" s="23">
        <v>0.0</v>
      </c>
      <c r="U410" s="23">
        <f t="shared" si="2"/>
        <v>0</v>
      </c>
      <c r="V410" s="23">
        <f t="shared" si="3"/>
        <v>0</v>
      </c>
      <c r="W410" s="23">
        <f t="shared" si="4"/>
        <v>0</v>
      </c>
      <c r="X410" s="24" t="str">
        <f t="shared" si="5"/>
        <v>#DIV/0!</v>
      </c>
    </row>
    <row r="411">
      <c r="A411" s="15" t="s">
        <v>1782</v>
      </c>
      <c r="B411" s="18"/>
      <c r="C411" s="16" t="str">
        <f>IMAGE("https://i.ibb.co/yB56TQ85/1524.png")</f>
        <v/>
      </c>
      <c r="D411" s="18"/>
      <c r="E411" s="17" t="s">
        <v>1783</v>
      </c>
      <c r="F411" s="18"/>
      <c r="G411" s="18"/>
      <c r="H411" s="15" t="s">
        <v>1784</v>
      </c>
      <c r="I411" s="15" t="s">
        <v>1785</v>
      </c>
      <c r="J411" s="19" t="s">
        <v>36</v>
      </c>
      <c r="K411" s="19" t="s">
        <v>1444</v>
      </c>
      <c r="L411" s="19" t="s">
        <v>38</v>
      </c>
      <c r="M411" s="20">
        <f t="shared" si="1"/>
        <v>0</v>
      </c>
      <c r="N411" s="21"/>
      <c r="O411" s="22"/>
      <c r="P411" s="19" t="s">
        <v>1145</v>
      </c>
      <c r="Q411" s="18"/>
      <c r="R411" s="18"/>
      <c r="S411" s="23">
        <v>0.0</v>
      </c>
      <c r="T411" s="23">
        <v>0.0</v>
      </c>
      <c r="U411" s="23">
        <f t="shared" si="2"/>
        <v>0</v>
      </c>
      <c r="V411" s="23">
        <f t="shared" si="3"/>
        <v>0</v>
      </c>
      <c r="W411" s="23">
        <f t="shared" si="4"/>
        <v>0</v>
      </c>
      <c r="X411" s="24" t="str">
        <f t="shared" si="5"/>
        <v>#DIV/0!</v>
      </c>
    </row>
    <row r="412">
      <c r="A412" s="15" t="s">
        <v>1786</v>
      </c>
      <c r="B412" s="18"/>
      <c r="C412" s="16" t="str">
        <f>IMAGE("https://i.ibb.co/TxTpH2wS/1526.png")</f>
        <v/>
      </c>
      <c r="D412" s="18"/>
      <c r="E412" s="17" t="s">
        <v>1787</v>
      </c>
      <c r="F412" s="18"/>
      <c r="G412" s="18"/>
      <c r="H412" s="15" t="s">
        <v>1788</v>
      </c>
      <c r="I412" s="15" t="s">
        <v>1789</v>
      </c>
      <c r="J412" s="19" t="s">
        <v>36</v>
      </c>
      <c r="K412" s="19" t="s">
        <v>105</v>
      </c>
      <c r="L412" s="19" t="s">
        <v>38</v>
      </c>
      <c r="M412" s="20">
        <f t="shared" si="1"/>
        <v>0</v>
      </c>
      <c r="N412" s="21"/>
      <c r="O412" s="22"/>
      <c r="P412" s="19" t="s">
        <v>1145</v>
      </c>
      <c r="Q412" s="18"/>
      <c r="R412" s="18"/>
      <c r="S412" s="23">
        <v>0.0</v>
      </c>
      <c r="T412" s="23">
        <v>0.0</v>
      </c>
      <c r="U412" s="23">
        <f t="shared" si="2"/>
        <v>0</v>
      </c>
      <c r="V412" s="23">
        <f t="shared" si="3"/>
        <v>0</v>
      </c>
      <c r="W412" s="23">
        <f t="shared" si="4"/>
        <v>0</v>
      </c>
      <c r="X412" s="24" t="str">
        <f t="shared" si="5"/>
        <v>#DIV/0!</v>
      </c>
    </row>
    <row r="413">
      <c r="A413" s="15" t="s">
        <v>1790</v>
      </c>
      <c r="B413" s="18"/>
      <c r="C413" s="16" t="str">
        <f>IMAGE("https://i.ibb.co/xtJp6NZF/1529.png")</f>
        <v/>
      </c>
      <c r="D413" s="18"/>
      <c r="E413" s="17" t="s">
        <v>1791</v>
      </c>
      <c r="F413" s="18"/>
      <c r="G413" s="18"/>
      <c r="H413" s="15" t="s">
        <v>1792</v>
      </c>
      <c r="I413" s="15" t="s">
        <v>1793</v>
      </c>
      <c r="J413" s="19" t="s">
        <v>36</v>
      </c>
      <c r="K413" s="19" t="s">
        <v>1230</v>
      </c>
      <c r="L413" s="19" t="s">
        <v>38</v>
      </c>
      <c r="M413" s="20">
        <f t="shared" si="1"/>
        <v>0</v>
      </c>
      <c r="N413" s="21"/>
      <c r="O413" s="22"/>
      <c r="P413" s="19" t="s">
        <v>1145</v>
      </c>
      <c r="Q413" s="18"/>
      <c r="R413" s="18"/>
      <c r="S413" s="23">
        <v>0.0</v>
      </c>
      <c r="T413" s="23">
        <v>0.0</v>
      </c>
      <c r="U413" s="23">
        <f t="shared" si="2"/>
        <v>0</v>
      </c>
      <c r="V413" s="23">
        <f t="shared" si="3"/>
        <v>0</v>
      </c>
      <c r="W413" s="23">
        <f t="shared" si="4"/>
        <v>0</v>
      </c>
      <c r="X413" s="24" t="str">
        <f t="shared" si="5"/>
        <v>#DIV/0!</v>
      </c>
    </row>
    <row r="414">
      <c r="A414" s="15" t="s">
        <v>1794</v>
      </c>
      <c r="B414" s="18"/>
      <c r="C414" s="16" t="str">
        <f>IMAGE("https://i.ibb.co/nMwV9M5W/1530.png")</f>
        <v/>
      </c>
      <c r="D414" s="18"/>
      <c r="E414" s="17" t="s">
        <v>1795</v>
      </c>
      <c r="F414" s="18"/>
      <c r="G414" s="18"/>
      <c r="H414" s="15" t="s">
        <v>1796</v>
      </c>
      <c r="I414" s="15" t="s">
        <v>1797</v>
      </c>
      <c r="J414" s="19" t="s">
        <v>36</v>
      </c>
      <c r="K414" s="19" t="s">
        <v>1230</v>
      </c>
      <c r="L414" s="19" t="s">
        <v>38</v>
      </c>
      <c r="M414" s="20">
        <f t="shared" si="1"/>
        <v>0</v>
      </c>
      <c r="N414" s="21"/>
      <c r="O414" s="22"/>
      <c r="P414" s="19" t="s">
        <v>1145</v>
      </c>
      <c r="Q414" s="18"/>
      <c r="R414" s="18"/>
      <c r="S414" s="23">
        <v>0.0</v>
      </c>
      <c r="T414" s="23">
        <v>0.0</v>
      </c>
      <c r="U414" s="23">
        <f t="shared" si="2"/>
        <v>0</v>
      </c>
      <c r="V414" s="23">
        <f t="shared" si="3"/>
        <v>0</v>
      </c>
      <c r="W414" s="23">
        <f t="shared" si="4"/>
        <v>0</v>
      </c>
      <c r="X414" s="24" t="str">
        <f t="shared" si="5"/>
        <v>#DIV/0!</v>
      </c>
    </row>
    <row r="415">
      <c r="A415" s="15" t="s">
        <v>1798</v>
      </c>
      <c r="B415" s="18"/>
      <c r="C415" s="16" t="str">
        <f>IMAGE("https://i.ibb.co/yct49Y4t/1533.png")</f>
        <v/>
      </c>
      <c r="D415" s="18"/>
      <c r="E415" s="17" t="s">
        <v>1799</v>
      </c>
      <c r="F415" s="18"/>
      <c r="G415" s="18"/>
      <c r="H415" s="15" t="s">
        <v>1800</v>
      </c>
      <c r="I415" s="15" t="s">
        <v>1801</v>
      </c>
      <c r="J415" s="19" t="s">
        <v>36</v>
      </c>
      <c r="K415" s="19" t="s">
        <v>1230</v>
      </c>
      <c r="L415" s="19" t="s">
        <v>38</v>
      </c>
      <c r="M415" s="20">
        <f t="shared" si="1"/>
        <v>0</v>
      </c>
      <c r="N415" s="21"/>
      <c r="O415" s="22"/>
      <c r="P415" s="19" t="s">
        <v>1145</v>
      </c>
      <c r="Q415" s="18"/>
      <c r="R415" s="18"/>
      <c r="S415" s="23">
        <v>0.0</v>
      </c>
      <c r="T415" s="23">
        <v>0.0</v>
      </c>
      <c r="U415" s="23">
        <f t="shared" si="2"/>
        <v>0</v>
      </c>
      <c r="V415" s="23">
        <f t="shared" si="3"/>
        <v>0</v>
      </c>
      <c r="W415" s="23">
        <f t="shared" si="4"/>
        <v>0</v>
      </c>
      <c r="X415" s="24" t="str">
        <f t="shared" si="5"/>
        <v>#DIV/0!</v>
      </c>
    </row>
    <row r="416">
      <c r="A416" s="15" t="s">
        <v>1802</v>
      </c>
      <c r="B416" s="18"/>
      <c r="C416" s="16" t="str">
        <f>IMAGE("https://i.ibb.co/rf4DXQdP/1534.png")</f>
        <v/>
      </c>
      <c r="D416" s="18"/>
      <c r="E416" s="17" t="s">
        <v>1803</v>
      </c>
      <c r="F416" s="18"/>
      <c r="G416" s="18"/>
      <c r="H416" s="15" t="s">
        <v>1804</v>
      </c>
      <c r="I416" s="15" t="s">
        <v>1805</v>
      </c>
      <c r="J416" s="19" t="s">
        <v>36</v>
      </c>
      <c r="K416" s="19" t="s">
        <v>1230</v>
      </c>
      <c r="L416" s="19" t="s">
        <v>38</v>
      </c>
      <c r="M416" s="20">
        <f t="shared" si="1"/>
        <v>0</v>
      </c>
      <c r="N416" s="21"/>
      <c r="O416" s="22"/>
      <c r="P416" s="19" t="s">
        <v>1145</v>
      </c>
      <c r="Q416" s="18"/>
      <c r="R416" s="18"/>
      <c r="S416" s="23">
        <v>0.0</v>
      </c>
      <c r="T416" s="23">
        <v>0.0</v>
      </c>
      <c r="U416" s="23">
        <f t="shared" si="2"/>
        <v>0</v>
      </c>
      <c r="V416" s="23">
        <f t="shared" si="3"/>
        <v>0</v>
      </c>
      <c r="W416" s="23">
        <f t="shared" si="4"/>
        <v>0</v>
      </c>
      <c r="X416" s="24" t="str">
        <f t="shared" si="5"/>
        <v>#DIV/0!</v>
      </c>
    </row>
    <row r="417">
      <c r="A417" s="15" t="s">
        <v>1806</v>
      </c>
      <c r="B417" s="18"/>
      <c r="C417" s="16" t="str">
        <f>IMAGE("https://i.ibb.co/b5KTVFzx/1537.png")</f>
        <v/>
      </c>
      <c r="D417" s="18"/>
      <c r="E417" s="17" t="s">
        <v>1807</v>
      </c>
      <c r="F417" s="18"/>
      <c r="G417" s="18"/>
      <c r="H417" s="15" t="s">
        <v>1808</v>
      </c>
      <c r="I417" s="15" t="s">
        <v>1809</v>
      </c>
      <c r="J417" s="19" t="s">
        <v>36</v>
      </c>
      <c r="K417" s="19" t="s">
        <v>105</v>
      </c>
      <c r="L417" s="19" t="s">
        <v>38</v>
      </c>
      <c r="M417" s="20">
        <f t="shared" si="1"/>
        <v>0</v>
      </c>
      <c r="N417" s="21"/>
      <c r="O417" s="22"/>
      <c r="P417" s="19" t="s">
        <v>1145</v>
      </c>
      <c r="Q417" s="18"/>
      <c r="R417" s="18"/>
      <c r="S417" s="23">
        <v>0.0</v>
      </c>
      <c r="T417" s="23">
        <v>0.0</v>
      </c>
      <c r="U417" s="23">
        <f t="shared" si="2"/>
        <v>0</v>
      </c>
      <c r="V417" s="23">
        <f t="shared" si="3"/>
        <v>0</v>
      </c>
      <c r="W417" s="23">
        <f t="shared" si="4"/>
        <v>0</v>
      </c>
      <c r="X417" s="24" t="str">
        <f t="shared" si="5"/>
        <v>#DIV/0!</v>
      </c>
    </row>
    <row r="418">
      <c r="A418" s="15" t="s">
        <v>1810</v>
      </c>
      <c r="B418" s="18"/>
      <c r="C418" s="16" t="str">
        <f>IMAGE("https://i.ibb.co/jk424Wy4/1538.png")</f>
        <v/>
      </c>
      <c r="D418" s="18"/>
      <c r="E418" s="17" t="s">
        <v>1811</v>
      </c>
      <c r="F418" s="18"/>
      <c r="G418" s="18"/>
      <c r="H418" s="15" t="s">
        <v>1812</v>
      </c>
      <c r="I418" s="18"/>
      <c r="J418" s="19" t="s">
        <v>36</v>
      </c>
      <c r="K418" s="19" t="s">
        <v>1230</v>
      </c>
      <c r="L418" s="19" t="s">
        <v>38</v>
      </c>
      <c r="M418" s="20">
        <f t="shared" si="1"/>
        <v>0</v>
      </c>
      <c r="N418" s="21"/>
      <c r="O418" s="22"/>
      <c r="P418" s="19" t="s">
        <v>1145</v>
      </c>
      <c r="Q418" s="18"/>
      <c r="R418" s="18"/>
      <c r="S418" s="23">
        <v>0.0</v>
      </c>
      <c r="T418" s="23">
        <v>0.0</v>
      </c>
      <c r="U418" s="23">
        <f t="shared" si="2"/>
        <v>0</v>
      </c>
      <c r="V418" s="23">
        <f t="shared" si="3"/>
        <v>0</v>
      </c>
      <c r="W418" s="23">
        <f t="shared" si="4"/>
        <v>0</v>
      </c>
      <c r="X418" s="24" t="str">
        <f t="shared" si="5"/>
        <v>#DIV/0!</v>
      </c>
    </row>
    <row r="419">
      <c r="A419" s="15" t="s">
        <v>1813</v>
      </c>
      <c r="B419" s="18"/>
      <c r="C419" s="16" t="str">
        <f>IMAGE("https://i.ibb.co/B2QBcJ8X/1540.png")</f>
        <v/>
      </c>
      <c r="D419" s="18"/>
      <c r="E419" s="17" t="s">
        <v>1814</v>
      </c>
      <c r="F419" s="18"/>
      <c r="G419" s="18"/>
      <c r="H419" s="15" t="s">
        <v>1815</v>
      </c>
      <c r="I419" s="15" t="s">
        <v>1816</v>
      </c>
      <c r="J419" s="19" t="s">
        <v>36</v>
      </c>
      <c r="K419" s="19" t="s">
        <v>105</v>
      </c>
      <c r="L419" s="19" t="s">
        <v>38</v>
      </c>
      <c r="M419" s="20">
        <f t="shared" si="1"/>
        <v>0</v>
      </c>
      <c r="N419" s="21"/>
      <c r="O419" s="22"/>
      <c r="P419" s="19" t="s">
        <v>1145</v>
      </c>
      <c r="Q419" s="18"/>
      <c r="R419" s="18"/>
      <c r="S419" s="23">
        <v>0.0</v>
      </c>
      <c r="T419" s="23">
        <v>0.0</v>
      </c>
      <c r="U419" s="23">
        <f t="shared" si="2"/>
        <v>0</v>
      </c>
      <c r="V419" s="23">
        <f t="shared" si="3"/>
        <v>0</v>
      </c>
      <c r="W419" s="23">
        <f t="shared" si="4"/>
        <v>0</v>
      </c>
      <c r="X419" s="24" t="str">
        <f t="shared" si="5"/>
        <v>#DIV/0!</v>
      </c>
    </row>
    <row r="420">
      <c r="A420" s="15" t="s">
        <v>1817</v>
      </c>
      <c r="B420" s="18"/>
      <c r="C420" s="16" t="str">
        <f>IMAGE("https://i.ibb.co/B2sZQQ7F/1541.png")</f>
        <v/>
      </c>
      <c r="D420" s="18"/>
      <c r="E420" s="17" t="s">
        <v>1818</v>
      </c>
      <c r="F420" s="18"/>
      <c r="G420" s="18"/>
      <c r="H420" s="15" t="s">
        <v>1819</v>
      </c>
      <c r="I420" s="15" t="s">
        <v>1820</v>
      </c>
      <c r="J420" s="19" t="s">
        <v>36</v>
      </c>
      <c r="K420" s="19" t="s">
        <v>105</v>
      </c>
      <c r="L420" s="19" t="s">
        <v>38</v>
      </c>
      <c r="M420" s="20">
        <f t="shared" si="1"/>
        <v>0</v>
      </c>
      <c r="N420" s="21"/>
      <c r="O420" s="22"/>
      <c r="P420" s="19" t="s">
        <v>1145</v>
      </c>
      <c r="Q420" s="18"/>
      <c r="R420" s="18"/>
      <c r="S420" s="23">
        <v>0.0</v>
      </c>
      <c r="T420" s="23">
        <v>0.0</v>
      </c>
      <c r="U420" s="23">
        <f t="shared" si="2"/>
        <v>0</v>
      </c>
      <c r="V420" s="23">
        <f t="shared" si="3"/>
        <v>0</v>
      </c>
      <c r="W420" s="23">
        <f t="shared" si="4"/>
        <v>0</v>
      </c>
      <c r="X420" s="24" t="str">
        <f t="shared" si="5"/>
        <v>#DIV/0!</v>
      </c>
    </row>
    <row r="421">
      <c r="A421" s="15" t="s">
        <v>1821</v>
      </c>
      <c r="B421" s="18"/>
      <c r="C421" s="16" t="str">
        <f>IMAGE("https://i.ibb.co/395CyzDL/1542.png")</f>
        <v/>
      </c>
      <c r="D421" s="18"/>
      <c r="E421" s="17" t="s">
        <v>1822</v>
      </c>
      <c r="F421" s="18"/>
      <c r="G421" s="18"/>
      <c r="H421" s="15" t="s">
        <v>1823</v>
      </c>
      <c r="I421" s="15" t="s">
        <v>1824</v>
      </c>
      <c r="J421" s="19" t="s">
        <v>36</v>
      </c>
      <c r="K421" s="19" t="s">
        <v>105</v>
      </c>
      <c r="L421" s="19" t="s">
        <v>38</v>
      </c>
      <c r="M421" s="20">
        <f t="shared" si="1"/>
        <v>0</v>
      </c>
      <c r="N421" s="21"/>
      <c r="O421" s="22"/>
      <c r="P421" s="19" t="s">
        <v>1145</v>
      </c>
      <c r="Q421" s="18"/>
      <c r="R421" s="18"/>
      <c r="S421" s="23">
        <v>0.0</v>
      </c>
      <c r="T421" s="23">
        <v>0.0</v>
      </c>
      <c r="U421" s="23">
        <f t="shared" si="2"/>
        <v>0</v>
      </c>
      <c r="V421" s="23">
        <f t="shared" si="3"/>
        <v>0</v>
      </c>
      <c r="W421" s="23">
        <f t="shared" si="4"/>
        <v>0</v>
      </c>
      <c r="X421" s="24" t="str">
        <f t="shared" si="5"/>
        <v>#DIV/0!</v>
      </c>
    </row>
    <row r="422">
      <c r="A422" s="15" t="s">
        <v>1825</v>
      </c>
      <c r="B422" s="18"/>
      <c r="C422" s="16" t="str">
        <f>IMAGE("https://i.ibb.co/6jpXHVG/1543.png")</f>
        <v/>
      </c>
      <c r="D422" s="18"/>
      <c r="E422" s="17" t="s">
        <v>1826</v>
      </c>
      <c r="F422" s="18"/>
      <c r="G422" s="18"/>
      <c r="H422" s="15" t="s">
        <v>1827</v>
      </c>
      <c r="I422" s="15" t="s">
        <v>1828</v>
      </c>
      <c r="J422" s="19" t="s">
        <v>36</v>
      </c>
      <c r="K422" s="19" t="s">
        <v>37</v>
      </c>
      <c r="L422" s="19" t="s">
        <v>38</v>
      </c>
      <c r="M422" s="20">
        <f t="shared" si="1"/>
        <v>0</v>
      </c>
      <c r="N422" s="21"/>
      <c r="O422" s="22"/>
      <c r="P422" s="19" t="s">
        <v>1145</v>
      </c>
      <c r="Q422" s="18"/>
      <c r="R422" s="18"/>
      <c r="S422" s="23">
        <v>0.0</v>
      </c>
      <c r="T422" s="23">
        <v>0.0</v>
      </c>
      <c r="U422" s="23">
        <f t="shared" si="2"/>
        <v>0</v>
      </c>
      <c r="V422" s="23">
        <f t="shared" si="3"/>
        <v>0</v>
      </c>
      <c r="W422" s="23">
        <f t="shared" si="4"/>
        <v>0</v>
      </c>
      <c r="X422" s="24" t="str">
        <f t="shared" si="5"/>
        <v>#DIV/0!</v>
      </c>
    </row>
    <row r="423">
      <c r="A423" s="15" t="s">
        <v>1829</v>
      </c>
      <c r="B423" s="18"/>
      <c r="C423" s="16" t="str">
        <f>IMAGE("https://i.ibb.co/FbS2Jj7v/1547.png")</f>
        <v/>
      </c>
      <c r="D423" s="18"/>
      <c r="E423" s="17" t="s">
        <v>1830</v>
      </c>
      <c r="F423" s="18"/>
      <c r="G423" s="18"/>
      <c r="H423" s="15" t="s">
        <v>1831</v>
      </c>
      <c r="I423" s="15" t="s">
        <v>1832</v>
      </c>
      <c r="J423" s="19" t="s">
        <v>36</v>
      </c>
      <c r="K423" s="19" t="s">
        <v>1230</v>
      </c>
      <c r="L423" s="19" t="s">
        <v>38</v>
      </c>
      <c r="M423" s="20">
        <f t="shared" si="1"/>
        <v>0</v>
      </c>
      <c r="N423" s="21"/>
      <c r="O423" s="22"/>
      <c r="P423" s="19" t="s">
        <v>1145</v>
      </c>
      <c r="Q423" s="18"/>
      <c r="R423" s="18"/>
      <c r="S423" s="23">
        <v>0.0</v>
      </c>
      <c r="T423" s="23">
        <v>0.0</v>
      </c>
      <c r="U423" s="23">
        <f t="shared" si="2"/>
        <v>0</v>
      </c>
      <c r="V423" s="23">
        <f t="shared" si="3"/>
        <v>0</v>
      </c>
      <c r="W423" s="23">
        <f t="shared" si="4"/>
        <v>0</v>
      </c>
      <c r="X423" s="24" t="str">
        <f t="shared" si="5"/>
        <v>#DIV/0!</v>
      </c>
    </row>
    <row r="424">
      <c r="A424" s="15" t="s">
        <v>1833</v>
      </c>
      <c r="B424" s="18"/>
      <c r="C424" s="16" t="str">
        <f>IMAGE("https://i.ibb.co/SwTptWqZ/1548.png")</f>
        <v/>
      </c>
      <c r="D424" s="18"/>
      <c r="E424" s="17" t="s">
        <v>1834</v>
      </c>
      <c r="F424" s="18"/>
      <c r="G424" s="18"/>
      <c r="H424" s="15" t="s">
        <v>1835</v>
      </c>
      <c r="I424" s="15" t="s">
        <v>1836</v>
      </c>
      <c r="J424" s="19" t="s">
        <v>36</v>
      </c>
      <c r="K424" s="19" t="s">
        <v>1230</v>
      </c>
      <c r="L424" s="19" t="s">
        <v>38</v>
      </c>
      <c r="M424" s="20">
        <f t="shared" si="1"/>
        <v>0</v>
      </c>
      <c r="N424" s="21"/>
      <c r="O424" s="22"/>
      <c r="P424" s="19" t="s">
        <v>1145</v>
      </c>
      <c r="Q424" s="18"/>
      <c r="R424" s="18"/>
      <c r="S424" s="23">
        <v>0.0</v>
      </c>
      <c r="T424" s="23">
        <v>0.0</v>
      </c>
      <c r="U424" s="23">
        <f t="shared" si="2"/>
        <v>0</v>
      </c>
      <c r="V424" s="23">
        <f t="shared" si="3"/>
        <v>0</v>
      </c>
      <c r="W424" s="23">
        <f t="shared" si="4"/>
        <v>0</v>
      </c>
      <c r="X424" s="24" t="str">
        <f t="shared" si="5"/>
        <v>#DIV/0!</v>
      </c>
    </row>
    <row r="425">
      <c r="A425" s="15" t="s">
        <v>1837</v>
      </c>
      <c r="B425" s="18"/>
      <c r="C425" s="16" t="str">
        <f>IMAGE("https://i.ibb.co/NGXTLYH/1549.png")</f>
        <v/>
      </c>
      <c r="D425" s="18"/>
      <c r="E425" s="17" t="s">
        <v>1838</v>
      </c>
      <c r="F425" s="18"/>
      <c r="G425" s="18"/>
      <c r="H425" s="15" t="s">
        <v>1839</v>
      </c>
      <c r="I425" s="15" t="s">
        <v>1840</v>
      </c>
      <c r="J425" s="19" t="s">
        <v>36</v>
      </c>
      <c r="K425" s="19" t="s">
        <v>37</v>
      </c>
      <c r="L425" s="19" t="s">
        <v>38</v>
      </c>
      <c r="M425" s="20">
        <f t="shared" si="1"/>
        <v>0</v>
      </c>
      <c r="N425" s="21"/>
      <c r="O425" s="22"/>
      <c r="P425" s="19" t="s">
        <v>1145</v>
      </c>
      <c r="Q425" s="18"/>
      <c r="R425" s="18"/>
      <c r="S425" s="23">
        <v>0.0</v>
      </c>
      <c r="T425" s="23">
        <v>0.0</v>
      </c>
      <c r="U425" s="23">
        <f t="shared" si="2"/>
        <v>0</v>
      </c>
      <c r="V425" s="23">
        <f t="shared" si="3"/>
        <v>0</v>
      </c>
      <c r="W425" s="23">
        <f t="shared" si="4"/>
        <v>0</v>
      </c>
      <c r="X425" s="24" t="str">
        <f t="shared" si="5"/>
        <v>#DIV/0!</v>
      </c>
    </row>
    <row r="426">
      <c r="A426" s="15" t="s">
        <v>1841</v>
      </c>
      <c r="B426" s="18"/>
      <c r="C426" s="16" t="str">
        <f>IMAGE("https://i.ibb.co/CpYfhjT4/1550.png")</f>
        <v/>
      </c>
      <c r="D426" s="18"/>
      <c r="E426" s="17" t="s">
        <v>1842</v>
      </c>
      <c r="F426" s="18"/>
      <c r="G426" s="18"/>
      <c r="H426" s="15" t="s">
        <v>1843</v>
      </c>
      <c r="I426" s="15" t="s">
        <v>1844</v>
      </c>
      <c r="J426" s="19" t="s">
        <v>36</v>
      </c>
      <c r="K426" s="19" t="s">
        <v>1230</v>
      </c>
      <c r="L426" s="19" t="s">
        <v>38</v>
      </c>
      <c r="M426" s="20">
        <f t="shared" si="1"/>
        <v>0</v>
      </c>
      <c r="N426" s="21"/>
      <c r="O426" s="22"/>
      <c r="P426" s="19" t="s">
        <v>1145</v>
      </c>
      <c r="Q426" s="18"/>
      <c r="R426" s="18"/>
      <c r="S426" s="23">
        <v>0.0</v>
      </c>
      <c r="T426" s="23">
        <v>0.0</v>
      </c>
      <c r="U426" s="23">
        <f t="shared" si="2"/>
        <v>0</v>
      </c>
      <c r="V426" s="23">
        <f t="shared" si="3"/>
        <v>0</v>
      </c>
      <c r="W426" s="23">
        <f t="shared" si="4"/>
        <v>0</v>
      </c>
      <c r="X426" s="24" t="str">
        <f t="shared" si="5"/>
        <v>#DIV/0!</v>
      </c>
    </row>
    <row r="427">
      <c r="A427" s="15" t="s">
        <v>1845</v>
      </c>
      <c r="B427" s="18"/>
      <c r="C427" s="16" t="str">
        <f>IMAGE("https://i.ibb.co/cKLMzvBn/1551.png")</f>
        <v/>
      </c>
      <c r="D427" s="18"/>
      <c r="E427" s="17" t="s">
        <v>1846</v>
      </c>
      <c r="F427" s="18"/>
      <c r="G427" s="18"/>
      <c r="H427" s="15" t="s">
        <v>1847</v>
      </c>
      <c r="I427" s="15" t="s">
        <v>1848</v>
      </c>
      <c r="J427" s="19" t="s">
        <v>36</v>
      </c>
      <c r="K427" s="19" t="s">
        <v>1230</v>
      </c>
      <c r="L427" s="19" t="s">
        <v>38</v>
      </c>
      <c r="M427" s="20">
        <f t="shared" si="1"/>
        <v>0</v>
      </c>
      <c r="N427" s="21"/>
      <c r="O427" s="22"/>
      <c r="P427" s="19" t="s">
        <v>1145</v>
      </c>
      <c r="Q427" s="18"/>
      <c r="R427" s="18"/>
      <c r="S427" s="23">
        <v>0.0</v>
      </c>
      <c r="T427" s="23">
        <v>0.0</v>
      </c>
      <c r="U427" s="23">
        <f t="shared" si="2"/>
        <v>0</v>
      </c>
      <c r="V427" s="23">
        <f t="shared" si="3"/>
        <v>0</v>
      </c>
      <c r="W427" s="23">
        <f t="shared" si="4"/>
        <v>0</v>
      </c>
      <c r="X427" s="24" t="str">
        <f t="shared" si="5"/>
        <v>#DIV/0!</v>
      </c>
    </row>
    <row r="428">
      <c r="A428" s="15" t="s">
        <v>1849</v>
      </c>
      <c r="B428" s="18"/>
      <c r="C428" s="16" t="str">
        <f>IMAGE("https://i.ibb.co/TDhYHc6B/1552.png")</f>
        <v/>
      </c>
      <c r="D428" s="18"/>
      <c r="E428" s="17" t="s">
        <v>1850</v>
      </c>
      <c r="F428" s="18"/>
      <c r="G428" s="18"/>
      <c r="H428" s="15" t="s">
        <v>1851</v>
      </c>
      <c r="I428" s="15" t="s">
        <v>1852</v>
      </c>
      <c r="J428" s="19" t="s">
        <v>36</v>
      </c>
      <c r="K428" s="19" t="s">
        <v>1230</v>
      </c>
      <c r="L428" s="19" t="s">
        <v>38</v>
      </c>
      <c r="M428" s="20">
        <f t="shared" si="1"/>
        <v>0</v>
      </c>
      <c r="N428" s="21"/>
      <c r="O428" s="22"/>
      <c r="P428" s="19" t="s">
        <v>1145</v>
      </c>
      <c r="Q428" s="18"/>
      <c r="R428" s="18"/>
      <c r="S428" s="23">
        <v>0.0</v>
      </c>
      <c r="T428" s="23">
        <v>0.0</v>
      </c>
      <c r="U428" s="23">
        <f t="shared" si="2"/>
        <v>0</v>
      </c>
      <c r="V428" s="23">
        <f t="shared" si="3"/>
        <v>0</v>
      </c>
      <c r="W428" s="23">
        <f t="shared" si="4"/>
        <v>0</v>
      </c>
      <c r="X428" s="24" t="str">
        <f t="shared" si="5"/>
        <v>#DIV/0!</v>
      </c>
    </row>
    <row r="429">
      <c r="A429" s="15" t="s">
        <v>1853</v>
      </c>
      <c r="B429" s="18"/>
      <c r="C429" s="16" t="str">
        <f>IMAGE("https://i.ibb.co/cXFWmYhM/1553.png")</f>
        <v/>
      </c>
      <c r="D429" s="18"/>
      <c r="E429" s="17" t="s">
        <v>1854</v>
      </c>
      <c r="F429" s="18"/>
      <c r="G429" s="18"/>
      <c r="H429" s="15" t="s">
        <v>1855</v>
      </c>
      <c r="I429" s="15" t="s">
        <v>1856</v>
      </c>
      <c r="J429" s="19" t="s">
        <v>36</v>
      </c>
      <c r="K429" s="19" t="s">
        <v>1230</v>
      </c>
      <c r="L429" s="19" t="s">
        <v>38</v>
      </c>
      <c r="M429" s="20">
        <f t="shared" si="1"/>
        <v>0</v>
      </c>
      <c r="N429" s="21"/>
      <c r="O429" s="22"/>
      <c r="P429" s="19" t="s">
        <v>1145</v>
      </c>
      <c r="Q429" s="18"/>
      <c r="R429" s="18"/>
      <c r="S429" s="23">
        <v>0.0</v>
      </c>
      <c r="T429" s="23">
        <v>0.0</v>
      </c>
      <c r="U429" s="23">
        <f t="shared" si="2"/>
        <v>0</v>
      </c>
      <c r="V429" s="23">
        <f t="shared" si="3"/>
        <v>0</v>
      </c>
      <c r="W429" s="23">
        <f t="shared" si="4"/>
        <v>0</v>
      </c>
      <c r="X429" s="24" t="str">
        <f t="shared" si="5"/>
        <v>#DIV/0!</v>
      </c>
    </row>
    <row r="430">
      <c r="A430" s="15" t="s">
        <v>1857</v>
      </c>
      <c r="B430" s="18"/>
      <c r="C430" s="16" t="str">
        <f>IMAGE("https://i.ibb.co/Q7Fy7xjf/1554.png")</f>
        <v/>
      </c>
      <c r="D430" s="18"/>
      <c r="E430" s="17" t="s">
        <v>1858</v>
      </c>
      <c r="F430" s="18"/>
      <c r="G430" s="18"/>
      <c r="H430" s="15" t="s">
        <v>1859</v>
      </c>
      <c r="I430" s="15" t="s">
        <v>1860</v>
      </c>
      <c r="J430" s="19" t="s">
        <v>36</v>
      </c>
      <c r="K430" s="19" t="s">
        <v>37</v>
      </c>
      <c r="L430" s="19" t="s">
        <v>38</v>
      </c>
      <c r="M430" s="20">
        <f t="shared" si="1"/>
        <v>0</v>
      </c>
      <c r="N430" s="21"/>
      <c r="O430" s="22"/>
      <c r="P430" s="19" t="s">
        <v>1145</v>
      </c>
      <c r="Q430" s="18"/>
      <c r="R430" s="18"/>
      <c r="S430" s="23">
        <v>0.0</v>
      </c>
      <c r="T430" s="23">
        <v>0.0</v>
      </c>
      <c r="U430" s="23">
        <f t="shared" si="2"/>
        <v>0</v>
      </c>
      <c r="V430" s="23">
        <f t="shared" si="3"/>
        <v>0</v>
      </c>
      <c r="W430" s="23">
        <f t="shared" si="4"/>
        <v>0</v>
      </c>
      <c r="X430" s="24" t="str">
        <f t="shared" si="5"/>
        <v>#DIV/0!</v>
      </c>
    </row>
    <row r="431">
      <c r="A431" s="15" t="s">
        <v>1861</v>
      </c>
      <c r="B431" s="18"/>
      <c r="C431" s="16" t="str">
        <f>IMAGE("https://i.ibb.co/pv2B6VYy/1556.png")</f>
        <v/>
      </c>
      <c r="D431" s="18"/>
      <c r="E431" s="17" t="s">
        <v>1862</v>
      </c>
      <c r="F431" s="18"/>
      <c r="G431" s="18"/>
      <c r="H431" s="15" t="s">
        <v>1863</v>
      </c>
      <c r="I431" s="15" t="s">
        <v>1864</v>
      </c>
      <c r="J431" s="19" t="s">
        <v>36</v>
      </c>
      <c r="K431" s="19" t="s">
        <v>105</v>
      </c>
      <c r="L431" s="19" t="s">
        <v>38</v>
      </c>
      <c r="M431" s="20">
        <f t="shared" si="1"/>
        <v>0</v>
      </c>
      <c r="N431" s="21"/>
      <c r="O431" s="22"/>
      <c r="P431" s="19" t="s">
        <v>1145</v>
      </c>
      <c r="Q431" s="18"/>
      <c r="R431" s="18"/>
      <c r="S431" s="23">
        <v>0.0</v>
      </c>
      <c r="T431" s="23">
        <v>0.0</v>
      </c>
      <c r="U431" s="23">
        <f t="shared" si="2"/>
        <v>0</v>
      </c>
      <c r="V431" s="23">
        <f t="shared" si="3"/>
        <v>0</v>
      </c>
      <c r="W431" s="23">
        <f t="shared" si="4"/>
        <v>0</v>
      </c>
      <c r="X431" s="24" t="str">
        <f t="shared" si="5"/>
        <v>#DIV/0!</v>
      </c>
    </row>
    <row r="432">
      <c r="A432" s="15" t="s">
        <v>1865</v>
      </c>
      <c r="B432" s="18"/>
      <c r="C432" s="16" t="str">
        <f>IMAGE("https://i.ibb.co/ch86dtmC/1557.png")</f>
        <v/>
      </c>
      <c r="D432" s="18"/>
      <c r="E432" s="17" t="s">
        <v>1866</v>
      </c>
      <c r="F432" s="18"/>
      <c r="G432" s="18"/>
      <c r="H432" s="15" t="s">
        <v>1867</v>
      </c>
      <c r="I432" s="15" t="s">
        <v>1868</v>
      </c>
      <c r="J432" s="19" t="s">
        <v>36</v>
      </c>
      <c r="K432" s="19" t="s">
        <v>105</v>
      </c>
      <c r="L432" s="19" t="s">
        <v>38</v>
      </c>
      <c r="M432" s="20">
        <f t="shared" si="1"/>
        <v>0</v>
      </c>
      <c r="N432" s="21"/>
      <c r="O432" s="22"/>
      <c r="P432" s="19" t="s">
        <v>1145</v>
      </c>
      <c r="Q432" s="18"/>
      <c r="R432" s="18"/>
      <c r="S432" s="23">
        <v>0.0</v>
      </c>
      <c r="T432" s="23">
        <v>0.0</v>
      </c>
      <c r="U432" s="23">
        <f t="shared" si="2"/>
        <v>0</v>
      </c>
      <c r="V432" s="23">
        <f t="shared" si="3"/>
        <v>0</v>
      </c>
      <c r="W432" s="23">
        <f t="shared" si="4"/>
        <v>0</v>
      </c>
      <c r="X432" s="24" t="str">
        <f t="shared" si="5"/>
        <v>#DIV/0!</v>
      </c>
    </row>
    <row r="433">
      <c r="A433" s="15" t="s">
        <v>1869</v>
      </c>
      <c r="B433" s="18"/>
      <c r="C433" s="16" t="str">
        <f>IMAGE("https://i.ibb.co/HL1Q2v9W/1558.png")</f>
        <v/>
      </c>
      <c r="D433" s="18"/>
      <c r="E433" s="17" t="s">
        <v>1870</v>
      </c>
      <c r="F433" s="18"/>
      <c r="G433" s="18"/>
      <c r="H433" s="15" t="s">
        <v>1871</v>
      </c>
      <c r="I433" s="15" t="s">
        <v>1872</v>
      </c>
      <c r="J433" s="19" t="s">
        <v>36</v>
      </c>
      <c r="K433" s="19" t="s">
        <v>105</v>
      </c>
      <c r="L433" s="19" t="s">
        <v>38</v>
      </c>
      <c r="M433" s="20">
        <f t="shared" si="1"/>
        <v>0</v>
      </c>
      <c r="N433" s="21"/>
      <c r="O433" s="22"/>
      <c r="P433" s="19" t="s">
        <v>1145</v>
      </c>
      <c r="Q433" s="18"/>
      <c r="R433" s="18"/>
      <c r="S433" s="23">
        <v>0.0</v>
      </c>
      <c r="T433" s="23">
        <v>0.0</v>
      </c>
      <c r="U433" s="23">
        <f t="shared" si="2"/>
        <v>0</v>
      </c>
      <c r="V433" s="23">
        <f t="shared" si="3"/>
        <v>0</v>
      </c>
      <c r="W433" s="23">
        <f t="shared" si="4"/>
        <v>0</v>
      </c>
      <c r="X433" s="24" t="str">
        <f t="shared" si="5"/>
        <v>#DIV/0!</v>
      </c>
    </row>
    <row r="434">
      <c r="A434" s="15" t="s">
        <v>1873</v>
      </c>
      <c r="B434" s="18"/>
      <c r="C434" s="16" t="str">
        <f>IMAGE("https://i.ibb.co/q2pM0Dq/1562.png")</f>
        <v/>
      </c>
      <c r="D434" s="18"/>
      <c r="E434" s="17" t="s">
        <v>1874</v>
      </c>
      <c r="F434" s="18"/>
      <c r="G434" s="18"/>
      <c r="H434" s="15" t="s">
        <v>1875</v>
      </c>
      <c r="I434" s="15" t="s">
        <v>1876</v>
      </c>
      <c r="J434" s="19" t="s">
        <v>36</v>
      </c>
      <c r="K434" s="19" t="s">
        <v>105</v>
      </c>
      <c r="L434" s="19" t="s">
        <v>38</v>
      </c>
      <c r="M434" s="20">
        <f t="shared" si="1"/>
        <v>0</v>
      </c>
      <c r="N434" s="21"/>
      <c r="O434" s="22"/>
      <c r="P434" s="19" t="s">
        <v>1145</v>
      </c>
      <c r="Q434" s="18"/>
      <c r="R434" s="18"/>
      <c r="S434" s="23">
        <v>0.0</v>
      </c>
      <c r="T434" s="23">
        <v>0.0</v>
      </c>
      <c r="U434" s="23">
        <f t="shared" si="2"/>
        <v>0</v>
      </c>
      <c r="V434" s="23">
        <f t="shared" si="3"/>
        <v>0</v>
      </c>
      <c r="W434" s="23">
        <f t="shared" si="4"/>
        <v>0</v>
      </c>
      <c r="X434" s="24" t="str">
        <f t="shared" si="5"/>
        <v>#DIV/0!</v>
      </c>
    </row>
    <row r="435">
      <c r="A435" s="15" t="s">
        <v>1877</v>
      </c>
      <c r="B435" s="18"/>
      <c r="C435" s="16" t="str">
        <f>IMAGE("https://i.ibb.co/xKHkQBTJ/1564.png")</f>
        <v/>
      </c>
      <c r="D435" s="18"/>
      <c r="E435" s="17" t="s">
        <v>1878</v>
      </c>
      <c r="F435" s="18"/>
      <c r="G435" s="18"/>
      <c r="H435" s="15" t="s">
        <v>1879</v>
      </c>
      <c r="I435" s="15" t="s">
        <v>1880</v>
      </c>
      <c r="J435" s="19" t="s">
        <v>36</v>
      </c>
      <c r="K435" s="19" t="s">
        <v>105</v>
      </c>
      <c r="L435" s="19" t="s">
        <v>38</v>
      </c>
      <c r="M435" s="20">
        <f t="shared" si="1"/>
        <v>0</v>
      </c>
      <c r="N435" s="21"/>
      <c r="O435" s="22"/>
      <c r="P435" s="19" t="s">
        <v>1145</v>
      </c>
      <c r="Q435" s="18"/>
      <c r="R435" s="18"/>
      <c r="S435" s="23">
        <v>0.0</v>
      </c>
      <c r="T435" s="23">
        <v>0.0</v>
      </c>
      <c r="U435" s="23">
        <f t="shared" si="2"/>
        <v>0</v>
      </c>
      <c r="V435" s="23">
        <f t="shared" si="3"/>
        <v>0</v>
      </c>
      <c r="W435" s="23">
        <f t="shared" si="4"/>
        <v>0</v>
      </c>
      <c r="X435" s="24" t="str">
        <f t="shared" si="5"/>
        <v>#DIV/0!</v>
      </c>
    </row>
    <row r="436">
      <c r="A436" s="15" t="s">
        <v>1881</v>
      </c>
      <c r="B436" s="18"/>
      <c r="C436" s="16" t="str">
        <f>IMAGE("https://i.ibb.co/ZpNX5kRN/1568.png")</f>
        <v/>
      </c>
      <c r="D436" s="18"/>
      <c r="E436" s="17" t="s">
        <v>1882</v>
      </c>
      <c r="F436" s="18"/>
      <c r="G436" s="18"/>
      <c r="H436" s="15" t="s">
        <v>1883</v>
      </c>
      <c r="I436" s="15" t="s">
        <v>1884</v>
      </c>
      <c r="J436" s="19" t="s">
        <v>36</v>
      </c>
      <c r="K436" s="19" t="s">
        <v>105</v>
      </c>
      <c r="L436" s="19" t="s">
        <v>38</v>
      </c>
      <c r="M436" s="20">
        <f t="shared" si="1"/>
        <v>0</v>
      </c>
      <c r="N436" s="21"/>
      <c r="O436" s="22"/>
      <c r="P436" s="19" t="s">
        <v>1145</v>
      </c>
      <c r="Q436" s="18"/>
      <c r="R436" s="18"/>
      <c r="S436" s="23">
        <v>0.0</v>
      </c>
      <c r="T436" s="23">
        <v>0.0</v>
      </c>
      <c r="U436" s="23">
        <f t="shared" si="2"/>
        <v>0</v>
      </c>
      <c r="V436" s="23">
        <f t="shared" si="3"/>
        <v>0</v>
      </c>
      <c r="W436" s="23">
        <f t="shared" si="4"/>
        <v>0</v>
      </c>
      <c r="X436" s="24" t="str">
        <f t="shared" si="5"/>
        <v>#DIV/0!</v>
      </c>
    </row>
    <row r="437">
      <c r="A437" s="15" t="s">
        <v>1885</v>
      </c>
      <c r="B437" s="18"/>
      <c r="C437" s="16" t="str">
        <f>IMAGE("https://i.ibb.co/pjCbMNJW/1569.png")</f>
        <v/>
      </c>
      <c r="D437" s="18"/>
      <c r="E437" s="17" t="s">
        <v>1886</v>
      </c>
      <c r="F437" s="18"/>
      <c r="G437" s="18"/>
      <c r="H437" s="15" t="s">
        <v>1887</v>
      </c>
      <c r="I437" s="15" t="s">
        <v>1888</v>
      </c>
      <c r="J437" s="19" t="s">
        <v>36</v>
      </c>
      <c r="K437" s="19" t="s">
        <v>105</v>
      </c>
      <c r="L437" s="19" t="s">
        <v>38</v>
      </c>
      <c r="M437" s="20">
        <f t="shared" si="1"/>
        <v>0</v>
      </c>
      <c r="N437" s="21"/>
      <c r="O437" s="22"/>
      <c r="P437" s="19" t="s">
        <v>1145</v>
      </c>
      <c r="Q437" s="18"/>
      <c r="R437" s="18"/>
      <c r="S437" s="23">
        <v>0.0</v>
      </c>
      <c r="T437" s="23">
        <v>0.0</v>
      </c>
      <c r="U437" s="23">
        <f t="shared" si="2"/>
        <v>0</v>
      </c>
      <c r="V437" s="23">
        <f t="shared" si="3"/>
        <v>0</v>
      </c>
      <c r="W437" s="23">
        <f t="shared" si="4"/>
        <v>0</v>
      </c>
      <c r="X437" s="24" t="str">
        <f t="shared" si="5"/>
        <v>#DIV/0!</v>
      </c>
    </row>
    <row r="438">
      <c r="A438" s="15" t="s">
        <v>1889</v>
      </c>
      <c r="B438" s="18"/>
      <c r="C438" s="16" t="str">
        <f>IMAGE("https://i.ibb.co/jPsrbhKX/1571.png")</f>
        <v/>
      </c>
      <c r="D438" s="18"/>
      <c r="E438" s="17" t="s">
        <v>1890</v>
      </c>
      <c r="F438" s="18"/>
      <c r="G438" s="18"/>
      <c r="H438" s="15" t="s">
        <v>1891</v>
      </c>
      <c r="I438" s="15" t="s">
        <v>1892</v>
      </c>
      <c r="J438" s="19" t="s">
        <v>36</v>
      </c>
      <c r="K438" s="19" t="s">
        <v>105</v>
      </c>
      <c r="L438" s="19" t="s">
        <v>38</v>
      </c>
      <c r="M438" s="20">
        <f t="shared" si="1"/>
        <v>0</v>
      </c>
      <c r="N438" s="21"/>
      <c r="O438" s="22"/>
      <c r="P438" s="19" t="s">
        <v>1145</v>
      </c>
      <c r="Q438" s="18"/>
      <c r="R438" s="18"/>
      <c r="S438" s="23">
        <v>0.0</v>
      </c>
      <c r="T438" s="23">
        <v>0.0</v>
      </c>
      <c r="U438" s="23">
        <f t="shared" si="2"/>
        <v>0</v>
      </c>
      <c r="V438" s="23">
        <f t="shared" si="3"/>
        <v>0</v>
      </c>
      <c r="W438" s="23">
        <f t="shared" si="4"/>
        <v>0</v>
      </c>
      <c r="X438" s="24" t="str">
        <f t="shared" si="5"/>
        <v>#DIV/0!</v>
      </c>
    </row>
    <row r="439">
      <c r="A439" s="15" t="s">
        <v>1893</v>
      </c>
      <c r="B439" s="18"/>
      <c r="C439" s="16" t="str">
        <f>IMAGE("https://i.ibb.co/3gGvjH6/1573.png")</f>
        <v/>
      </c>
      <c r="D439" s="18"/>
      <c r="E439" s="17" t="s">
        <v>1894</v>
      </c>
      <c r="F439" s="18"/>
      <c r="G439" s="18"/>
      <c r="H439" s="15" t="s">
        <v>1895</v>
      </c>
      <c r="I439" s="15" t="s">
        <v>1896</v>
      </c>
      <c r="J439" s="19" t="s">
        <v>36</v>
      </c>
      <c r="K439" s="19" t="s">
        <v>105</v>
      </c>
      <c r="L439" s="19" t="s">
        <v>38</v>
      </c>
      <c r="M439" s="20">
        <f t="shared" si="1"/>
        <v>0</v>
      </c>
      <c r="N439" s="21"/>
      <c r="O439" s="22"/>
      <c r="P439" s="19" t="s">
        <v>1145</v>
      </c>
      <c r="Q439" s="18"/>
      <c r="R439" s="18"/>
      <c r="S439" s="23">
        <v>0.0</v>
      </c>
      <c r="T439" s="23">
        <v>0.0</v>
      </c>
      <c r="U439" s="23">
        <f t="shared" si="2"/>
        <v>0</v>
      </c>
      <c r="V439" s="23">
        <f t="shared" si="3"/>
        <v>0</v>
      </c>
      <c r="W439" s="23">
        <f t="shared" si="4"/>
        <v>0</v>
      </c>
      <c r="X439" s="24" t="str">
        <f t="shared" si="5"/>
        <v>#DIV/0!</v>
      </c>
    </row>
    <row r="440">
      <c r="A440" s="15" t="s">
        <v>1897</v>
      </c>
      <c r="B440" s="18"/>
      <c r="C440" s="16" t="str">
        <f>IMAGE("https://i.ibb.co/GjfWGt3/1575.png")</f>
        <v/>
      </c>
      <c r="D440" s="18"/>
      <c r="E440" s="17" t="s">
        <v>1898</v>
      </c>
      <c r="F440" s="18"/>
      <c r="G440" s="18"/>
      <c r="H440" s="15" t="s">
        <v>1899</v>
      </c>
      <c r="I440" s="15" t="s">
        <v>1900</v>
      </c>
      <c r="J440" s="19" t="s">
        <v>36</v>
      </c>
      <c r="K440" s="19" t="s">
        <v>105</v>
      </c>
      <c r="L440" s="19" t="s">
        <v>38</v>
      </c>
      <c r="M440" s="20">
        <f t="shared" si="1"/>
        <v>0</v>
      </c>
      <c r="N440" s="21"/>
      <c r="O440" s="22"/>
      <c r="P440" s="19" t="s">
        <v>1145</v>
      </c>
      <c r="Q440" s="18"/>
      <c r="R440" s="18"/>
      <c r="S440" s="23">
        <v>0.0</v>
      </c>
      <c r="T440" s="23">
        <v>0.0</v>
      </c>
      <c r="U440" s="23">
        <f t="shared" si="2"/>
        <v>0</v>
      </c>
      <c r="V440" s="23">
        <f t="shared" si="3"/>
        <v>0</v>
      </c>
      <c r="W440" s="23">
        <f t="shared" si="4"/>
        <v>0</v>
      </c>
      <c r="X440" s="24" t="str">
        <f t="shared" si="5"/>
        <v>#DIV/0!</v>
      </c>
    </row>
    <row r="441">
      <c r="A441" s="15" t="s">
        <v>1901</v>
      </c>
      <c r="B441" s="18"/>
      <c r="C441" s="16" t="str">
        <f>IMAGE("https://i.ibb.co/qLQfbsKW/1576.png")</f>
        <v/>
      </c>
      <c r="D441" s="18"/>
      <c r="E441" s="17" t="s">
        <v>1902</v>
      </c>
      <c r="F441" s="18"/>
      <c r="G441" s="18"/>
      <c r="H441" s="15" t="s">
        <v>1903</v>
      </c>
      <c r="I441" s="15" t="s">
        <v>1904</v>
      </c>
      <c r="J441" s="19" t="s">
        <v>36</v>
      </c>
      <c r="K441" s="19" t="s">
        <v>37</v>
      </c>
      <c r="L441" s="19" t="s">
        <v>38</v>
      </c>
      <c r="M441" s="20">
        <f t="shared" si="1"/>
        <v>0</v>
      </c>
      <c r="N441" s="21"/>
      <c r="O441" s="22"/>
      <c r="P441" s="19" t="s">
        <v>1145</v>
      </c>
      <c r="Q441" s="18"/>
      <c r="R441" s="18"/>
      <c r="S441" s="23">
        <v>0.0</v>
      </c>
      <c r="T441" s="23">
        <v>0.0</v>
      </c>
      <c r="U441" s="23">
        <f t="shared" si="2"/>
        <v>0</v>
      </c>
      <c r="V441" s="23">
        <f t="shared" si="3"/>
        <v>0</v>
      </c>
      <c r="W441" s="23">
        <f t="shared" si="4"/>
        <v>0</v>
      </c>
      <c r="X441" s="24" t="str">
        <f t="shared" si="5"/>
        <v>#DIV/0!</v>
      </c>
    </row>
    <row r="442">
      <c r="A442" s="15" t="s">
        <v>1905</v>
      </c>
      <c r="B442" s="18"/>
      <c r="C442" s="16" t="str">
        <f>IMAGE("https://i.ibb.co/RpBmVx20/1577.png")</f>
        <v/>
      </c>
      <c r="D442" s="18"/>
      <c r="E442" s="17" t="s">
        <v>1906</v>
      </c>
      <c r="F442" s="18"/>
      <c r="G442" s="18"/>
      <c r="H442" s="15" t="s">
        <v>1907</v>
      </c>
      <c r="I442" s="15" t="s">
        <v>1908</v>
      </c>
      <c r="J442" s="19" t="s">
        <v>36</v>
      </c>
      <c r="K442" s="19" t="s">
        <v>37</v>
      </c>
      <c r="L442" s="19" t="s">
        <v>38</v>
      </c>
      <c r="M442" s="20">
        <f t="shared" si="1"/>
        <v>0</v>
      </c>
      <c r="N442" s="21"/>
      <c r="O442" s="22"/>
      <c r="P442" s="19" t="s">
        <v>1145</v>
      </c>
      <c r="Q442" s="18"/>
      <c r="R442" s="18"/>
      <c r="S442" s="23">
        <v>0.0</v>
      </c>
      <c r="T442" s="23">
        <v>0.0</v>
      </c>
      <c r="U442" s="23">
        <f t="shared" si="2"/>
        <v>0</v>
      </c>
      <c r="V442" s="23">
        <f t="shared" si="3"/>
        <v>0</v>
      </c>
      <c r="W442" s="23">
        <f t="shared" si="4"/>
        <v>0</v>
      </c>
      <c r="X442" s="24" t="str">
        <f t="shared" si="5"/>
        <v>#DIV/0!</v>
      </c>
    </row>
    <row r="443">
      <c r="A443" s="15" t="s">
        <v>1909</v>
      </c>
      <c r="B443" s="18"/>
      <c r="C443" s="16" t="str">
        <f>IMAGE("https://i.ibb.co/0VhL0F16/1581.png")</f>
        <v/>
      </c>
      <c r="D443" s="18"/>
      <c r="E443" s="17" t="s">
        <v>1910</v>
      </c>
      <c r="F443" s="18"/>
      <c r="G443" s="18"/>
      <c r="H443" s="15" t="s">
        <v>1911</v>
      </c>
      <c r="I443" s="15" t="s">
        <v>1912</v>
      </c>
      <c r="J443" s="19" t="s">
        <v>36</v>
      </c>
      <c r="K443" s="19" t="s">
        <v>105</v>
      </c>
      <c r="L443" s="19" t="s">
        <v>38</v>
      </c>
      <c r="M443" s="20">
        <f t="shared" si="1"/>
        <v>0</v>
      </c>
      <c r="N443" s="21"/>
      <c r="O443" s="22"/>
      <c r="P443" s="19" t="s">
        <v>1145</v>
      </c>
      <c r="Q443" s="18"/>
      <c r="R443" s="18"/>
      <c r="S443" s="23">
        <v>0.0</v>
      </c>
      <c r="T443" s="23">
        <v>0.0</v>
      </c>
      <c r="U443" s="23">
        <f t="shared" si="2"/>
        <v>0</v>
      </c>
      <c r="V443" s="23">
        <f t="shared" si="3"/>
        <v>0</v>
      </c>
      <c r="W443" s="23">
        <f t="shared" si="4"/>
        <v>0</v>
      </c>
      <c r="X443" s="24" t="str">
        <f t="shared" si="5"/>
        <v>#DIV/0!</v>
      </c>
    </row>
    <row r="444">
      <c r="A444" s="15" t="s">
        <v>1913</v>
      </c>
      <c r="B444" s="18"/>
      <c r="C444" s="16" t="str">
        <f>IMAGE("https://i.ibb.co/TM7sQzqb/1582.png")</f>
        <v/>
      </c>
      <c r="D444" s="18"/>
      <c r="E444" s="17" t="s">
        <v>1910</v>
      </c>
      <c r="F444" s="18"/>
      <c r="G444" s="18"/>
      <c r="H444" s="15" t="s">
        <v>1914</v>
      </c>
      <c r="I444" s="15" t="s">
        <v>1915</v>
      </c>
      <c r="J444" s="19" t="s">
        <v>36</v>
      </c>
      <c r="K444" s="19" t="s">
        <v>105</v>
      </c>
      <c r="L444" s="19" t="s">
        <v>38</v>
      </c>
      <c r="M444" s="20">
        <f t="shared" si="1"/>
        <v>0</v>
      </c>
      <c r="N444" s="21"/>
      <c r="O444" s="22"/>
      <c r="P444" s="19" t="s">
        <v>1145</v>
      </c>
      <c r="Q444" s="18"/>
      <c r="R444" s="18"/>
      <c r="S444" s="23">
        <v>0.0</v>
      </c>
      <c r="T444" s="23">
        <v>0.0</v>
      </c>
      <c r="U444" s="23">
        <f t="shared" si="2"/>
        <v>0</v>
      </c>
      <c r="V444" s="23">
        <f t="shared" si="3"/>
        <v>0</v>
      </c>
      <c r="W444" s="23">
        <f t="shared" si="4"/>
        <v>0</v>
      </c>
      <c r="X444" s="24" t="str">
        <f t="shared" si="5"/>
        <v>#DIV/0!</v>
      </c>
    </row>
    <row r="445">
      <c r="A445" s="15" t="s">
        <v>1916</v>
      </c>
      <c r="B445" s="18"/>
      <c r="C445" s="16" t="str">
        <f>IMAGE("https://i.ibb.co/wh7QjBDf/1583.png")</f>
        <v/>
      </c>
      <c r="D445" s="18"/>
      <c r="E445" s="17" t="s">
        <v>1917</v>
      </c>
      <c r="F445" s="18"/>
      <c r="G445" s="18"/>
      <c r="H445" s="15" t="s">
        <v>1918</v>
      </c>
      <c r="I445" s="15" t="s">
        <v>1402</v>
      </c>
      <c r="J445" s="19" t="s">
        <v>36</v>
      </c>
      <c r="K445" s="19" t="s">
        <v>1230</v>
      </c>
      <c r="L445" s="19" t="s">
        <v>38</v>
      </c>
      <c r="M445" s="20">
        <f t="shared" si="1"/>
        <v>0</v>
      </c>
      <c r="N445" s="21"/>
      <c r="O445" s="22"/>
      <c r="P445" s="19" t="s">
        <v>1145</v>
      </c>
      <c r="Q445" s="18"/>
      <c r="R445" s="18"/>
      <c r="S445" s="23">
        <v>0.0</v>
      </c>
      <c r="T445" s="23">
        <v>0.0</v>
      </c>
      <c r="U445" s="23">
        <f t="shared" si="2"/>
        <v>0</v>
      </c>
      <c r="V445" s="23">
        <f t="shared" si="3"/>
        <v>0</v>
      </c>
      <c r="W445" s="23">
        <f t="shared" si="4"/>
        <v>0</v>
      </c>
      <c r="X445" s="24" t="str">
        <f t="shared" si="5"/>
        <v>#DIV/0!</v>
      </c>
    </row>
    <row r="446">
      <c r="A446" s="15" t="s">
        <v>1919</v>
      </c>
      <c r="B446" s="18"/>
      <c r="C446" s="16" t="str">
        <f>IMAGE("https://i.ibb.co/pjrTjD4Z/1585.png")</f>
        <v/>
      </c>
      <c r="D446" s="18"/>
      <c r="E446" s="17" t="s">
        <v>1920</v>
      </c>
      <c r="F446" s="18"/>
      <c r="G446" s="18"/>
      <c r="H446" s="15" t="s">
        <v>1921</v>
      </c>
      <c r="I446" s="15" t="s">
        <v>1922</v>
      </c>
      <c r="J446" s="19" t="s">
        <v>36</v>
      </c>
      <c r="K446" s="19" t="s">
        <v>1230</v>
      </c>
      <c r="L446" s="19" t="s">
        <v>38</v>
      </c>
      <c r="M446" s="20">
        <f t="shared" si="1"/>
        <v>0</v>
      </c>
      <c r="N446" s="21"/>
      <c r="O446" s="22"/>
      <c r="P446" s="19" t="s">
        <v>1145</v>
      </c>
      <c r="Q446" s="18"/>
      <c r="R446" s="18"/>
      <c r="S446" s="23">
        <v>0.0</v>
      </c>
      <c r="T446" s="23">
        <v>0.0</v>
      </c>
      <c r="U446" s="23">
        <f t="shared" si="2"/>
        <v>0</v>
      </c>
      <c r="V446" s="23">
        <f t="shared" si="3"/>
        <v>0</v>
      </c>
      <c r="W446" s="23">
        <f t="shared" si="4"/>
        <v>0</v>
      </c>
      <c r="X446" s="24" t="str">
        <f t="shared" si="5"/>
        <v>#DIV/0!</v>
      </c>
    </row>
    <row r="447">
      <c r="A447" s="15" t="s">
        <v>1923</v>
      </c>
      <c r="B447" s="18"/>
      <c r="C447" s="16" t="str">
        <f>IMAGE("https://i.ibb.co/pryJRMgd/1586.png")</f>
        <v/>
      </c>
      <c r="D447" s="18"/>
      <c r="E447" s="17" t="s">
        <v>1924</v>
      </c>
      <c r="F447" s="18"/>
      <c r="G447" s="18"/>
      <c r="H447" s="15" t="s">
        <v>1925</v>
      </c>
      <c r="I447" s="15" t="s">
        <v>1926</v>
      </c>
      <c r="J447" s="19" t="s">
        <v>36</v>
      </c>
      <c r="K447" s="19" t="s">
        <v>1230</v>
      </c>
      <c r="L447" s="19" t="s">
        <v>38</v>
      </c>
      <c r="M447" s="20">
        <f t="shared" si="1"/>
        <v>0</v>
      </c>
      <c r="N447" s="21"/>
      <c r="O447" s="22"/>
      <c r="P447" s="19" t="s">
        <v>1145</v>
      </c>
      <c r="Q447" s="18"/>
      <c r="R447" s="18"/>
      <c r="S447" s="23">
        <v>0.0</v>
      </c>
      <c r="T447" s="23">
        <v>0.0</v>
      </c>
      <c r="U447" s="23">
        <f t="shared" si="2"/>
        <v>0</v>
      </c>
      <c r="V447" s="23">
        <f t="shared" si="3"/>
        <v>0</v>
      </c>
      <c r="W447" s="23">
        <f t="shared" si="4"/>
        <v>0</v>
      </c>
      <c r="X447" s="24" t="str">
        <f t="shared" si="5"/>
        <v>#DIV/0!</v>
      </c>
    </row>
    <row r="448">
      <c r="A448" s="15" t="s">
        <v>1927</v>
      </c>
      <c r="B448" s="18"/>
      <c r="C448" s="16" t="str">
        <f>IMAGE("https://i.ibb.co/CKTKp32j/1587.png")</f>
        <v/>
      </c>
      <c r="D448" s="18"/>
      <c r="E448" s="17" t="s">
        <v>1928</v>
      </c>
      <c r="F448" s="18"/>
      <c r="G448" s="18"/>
      <c r="H448" s="15" t="s">
        <v>1929</v>
      </c>
      <c r="I448" s="15" t="s">
        <v>1930</v>
      </c>
      <c r="J448" s="19" t="s">
        <v>36</v>
      </c>
      <c r="K448" s="19" t="s">
        <v>1230</v>
      </c>
      <c r="L448" s="19" t="s">
        <v>38</v>
      </c>
      <c r="M448" s="20">
        <f t="shared" si="1"/>
        <v>0</v>
      </c>
      <c r="N448" s="21"/>
      <c r="O448" s="22"/>
      <c r="P448" s="19" t="s">
        <v>1145</v>
      </c>
      <c r="Q448" s="18"/>
      <c r="R448" s="18"/>
      <c r="S448" s="23">
        <v>0.0</v>
      </c>
      <c r="T448" s="23">
        <v>0.0</v>
      </c>
      <c r="U448" s="23">
        <f t="shared" si="2"/>
        <v>0</v>
      </c>
      <c r="V448" s="23">
        <f t="shared" si="3"/>
        <v>0</v>
      </c>
      <c r="W448" s="23">
        <f t="shared" si="4"/>
        <v>0</v>
      </c>
      <c r="X448" s="24" t="str">
        <f t="shared" si="5"/>
        <v>#DIV/0!</v>
      </c>
    </row>
    <row r="449">
      <c r="A449" s="15" t="s">
        <v>1931</v>
      </c>
      <c r="B449" s="18"/>
      <c r="C449" s="16" t="str">
        <f>IMAGE("https://i.ibb.co/zTT61wrM/1588.png")</f>
        <v/>
      </c>
      <c r="D449" s="18"/>
      <c r="E449" s="17" t="s">
        <v>1932</v>
      </c>
      <c r="F449" s="18"/>
      <c r="G449" s="18"/>
      <c r="H449" s="15" t="s">
        <v>1933</v>
      </c>
      <c r="I449" s="15" t="s">
        <v>1934</v>
      </c>
      <c r="J449" s="19" t="s">
        <v>36</v>
      </c>
      <c r="K449" s="19" t="s">
        <v>1230</v>
      </c>
      <c r="L449" s="19" t="s">
        <v>38</v>
      </c>
      <c r="M449" s="20">
        <f t="shared" si="1"/>
        <v>0</v>
      </c>
      <c r="N449" s="21"/>
      <c r="O449" s="22"/>
      <c r="P449" s="19" t="s">
        <v>1145</v>
      </c>
      <c r="Q449" s="18"/>
      <c r="R449" s="18"/>
      <c r="S449" s="23">
        <v>0.0</v>
      </c>
      <c r="T449" s="23">
        <v>0.0</v>
      </c>
      <c r="U449" s="23">
        <f t="shared" si="2"/>
        <v>0</v>
      </c>
      <c r="V449" s="23">
        <f t="shared" si="3"/>
        <v>0</v>
      </c>
      <c r="W449" s="23">
        <f t="shared" si="4"/>
        <v>0</v>
      </c>
      <c r="X449" s="24" t="str">
        <f t="shared" si="5"/>
        <v>#DIV/0!</v>
      </c>
    </row>
    <row r="450">
      <c r="A450" s="15" t="s">
        <v>1935</v>
      </c>
      <c r="B450" s="18"/>
      <c r="C450" s="16" t="str">
        <f>IMAGE("https://i.ibb.co/8HxP8dR/1589.png")</f>
        <v/>
      </c>
      <c r="D450" s="18"/>
      <c r="E450" s="17" t="s">
        <v>1936</v>
      </c>
      <c r="F450" s="18"/>
      <c r="G450" s="18"/>
      <c r="H450" s="15" t="s">
        <v>1937</v>
      </c>
      <c r="I450" s="15" t="s">
        <v>1938</v>
      </c>
      <c r="J450" s="19" t="s">
        <v>36</v>
      </c>
      <c r="K450" s="19" t="s">
        <v>1230</v>
      </c>
      <c r="L450" s="19" t="s">
        <v>38</v>
      </c>
      <c r="M450" s="20">
        <f t="shared" si="1"/>
        <v>0</v>
      </c>
      <c r="N450" s="21"/>
      <c r="O450" s="22"/>
      <c r="P450" s="19" t="s">
        <v>1145</v>
      </c>
      <c r="Q450" s="18"/>
      <c r="R450" s="18"/>
      <c r="S450" s="23">
        <v>0.0</v>
      </c>
      <c r="T450" s="23">
        <v>0.0</v>
      </c>
      <c r="U450" s="23">
        <f t="shared" si="2"/>
        <v>0</v>
      </c>
      <c r="V450" s="23">
        <f t="shared" si="3"/>
        <v>0</v>
      </c>
      <c r="W450" s="23">
        <f t="shared" si="4"/>
        <v>0</v>
      </c>
      <c r="X450" s="24" t="str">
        <f t="shared" si="5"/>
        <v>#DIV/0!</v>
      </c>
    </row>
    <row r="451">
      <c r="A451" s="15" t="s">
        <v>1939</v>
      </c>
      <c r="B451" s="18"/>
      <c r="C451" s="16" t="str">
        <f>IMAGE("https://i.ibb.co/pv7Hdg8Q/1593.png")</f>
        <v/>
      </c>
      <c r="D451" s="18"/>
      <c r="E451" s="17" t="s">
        <v>1940</v>
      </c>
      <c r="F451" s="18"/>
      <c r="G451" s="18"/>
      <c r="H451" s="15" t="s">
        <v>1941</v>
      </c>
      <c r="I451" s="15" t="s">
        <v>1942</v>
      </c>
      <c r="J451" s="19" t="s">
        <v>36</v>
      </c>
      <c r="K451" s="19" t="s">
        <v>1230</v>
      </c>
      <c r="L451" s="19" t="s">
        <v>38</v>
      </c>
      <c r="M451" s="20">
        <f t="shared" si="1"/>
        <v>0</v>
      </c>
      <c r="N451" s="21"/>
      <c r="O451" s="22"/>
      <c r="P451" s="19" t="s">
        <v>1145</v>
      </c>
      <c r="Q451" s="18"/>
      <c r="R451" s="18"/>
      <c r="S451" s="23">
        <v>0.0</v>
      </c>
      <c r="T451" s="23">
        <v>0.0</v>
      </c>
      <c r="U451" s="23">
        <f t="shared" si="2"/>
        <v>0</v>
      </c>
      <c r="V451" s="23">
        <f t="shared" si="3"/>
        <v>0</v>
      </c>
      <c r="W451" s="23">
        <f t="shared" si="4"/>
        <v>0</v>
      </c>
      <c r="X451" s="24" t="str">
        <f t="shared" si="5"/>
        <v>#DIV/0!</v>
      </c>
    </row>
    <row r="452">
      <c r="A452" s="15" t="s">
        <v>1943</v>
      </c>
      <c r="B452" s="18"/>
      <c r="C452" s="16" t="str">
        <f>IMAGE("https://i.ibb.co/VWTNszQg/1594.png")</f>
        <v/>
      </c>
      <c r="D452" s="18"/>
      <c r="E452" s="17" t="s">
        <v>1944</v>
      </c>
      <c r="F452" s="18"/>
      <c r="G452" s="18"/>
      <c r="H452" s="15" t="s">
        <v>1945</v>
      </c>
      <c r="I452" s="15" t="s">
        <v>1946</v>
      </c>
      <c r="J452" s="19" t="s">
        <v>36</v>
      </c>
      <c r="K452" s="19" t="s">
        <v>37</v>
      </c>
      <c r="L452" s="19" t="s">
        <v>38</v>
      </c>
      <c r="M452" s="20">
        <f t="shared" si="1"/>
        <v>0</v>
      </c>
      <c r="N452" s="21"/>
      <c r="O452" s="22"/>
      <c r="P452" s="19" t="s">
        <v>1145</v>
      </c>
      <c r="Q452" s="18"/>
      <c r="R452" s="18"/>
      <c r="S452" s="23">
        <v>0.0</v>
      </c>
      <c r="T452" s="23">
        <v>0.0</v>
      </c>
      <c r="U452" s="23">
        <f t="shared" si="2"/>
        <v>0</v>
      </c>
      <c r="V452" s="23">
        <f t="shared" si="3"/>
        <v>0</v>
      </c>
      <c r="W452" s="23">
        <f t="shared" si="4"/>
        <v>0</v>
      </c>
      <c r="X452" s="24" t="str">
        <f t="shared" si="5"/>
        <v>#DIV/0!</v>
      </c>
    </row>
    <row r="453">
      <c r="A453" s="15" t="s">
        <v>1947</v>
      </c>
      <c r="B453" s="18"/>
      <c r="C453" s="16" t="str">
        <f>IMAGE("https://i.ibb.co/67zbtQZX/1599.png")</f>
        <v/>
      </c>
      <c r="D453" s="18"/>
      <c r="E453" s="17" t="s">
        <v>1948</v>
      </c>
      <c r="F453" s="18"/>
      <c r="G453" s="18"/>
      <c r="H453" s="15" t="s">
        <v>1949</v>
      </c>
      <c r="I453" s="15" t="s">
        <v>1950</v>
      </c>
      <c r="J453" s="19" t="s">
        <v>36</v>
      </c>
      <c r="K453" s="19" t="s">
        <v>105</v>
      </c>
      <c r="L453" s="19" t="s">
        <v>38</v>
      </c>
      <c r="M453" s="20">
        <f t="shared" si="1"/>
        <v>0</v>
      </c>
      <c r="N453" s="21"/>
      <c r="O453" s="22"/>
      <c r="P453" s="19" t="s">
        <v>1145</v>
      </c>
      <c r="Q453" s="18"/>
      <c r="R453" s="18"/>
      <c r="S453" s="23">
        <v>0.0</v>
      </c>
      <c r="T453" s="23">
        <v>0.0</v>
      </c>
      <c r="U453" s="23">
        <f t="shared" si="2"/>
        <v>0</v>
      </c>
      <c r="V453" s="23">
        <f t="shared" si="3"/>
        <v>0</v>
      </c>
      <c r="W453" s="23">
        <f t="shared" si="4"/>
        <v>0</v>
      </c>
      <c r="X453" s="24" t="str">
        <f t="shared" si="5"/>
        <v>#DIV/0!</v>
      </c>
    </row>
    <row r="454">
      <c r="A454" s="15" t="s">
        <v>1951</v>
      </c>
      <c r="B454" s="18"/>
      <c r="C454" s="16" t="str">
        <f>IMAGE("https://i.ibb.co/KRdZN1T/1601.png")</f>
        <v/>
      </c>
      <c r="D454" s="18"/>
      <c r="E454" s="17" t="s">
        <v>1952</v>
      </c>
      <c r="F454" s="18"/>
      <c r="G454" s="18"/>
      <c r="H454" s="15" t="s">
        <v>1953</v>
      </c>
      <c r="I454" s="15" t="s">
        <v>1954</v>
      </c>
      <c r="J454" s="19" t="s">
        <v>36</v>
      </c>
      <c r="K454" s="19" t="s">
        <v>105</v>
      </c>
      <c r="L454" s="19" t="s">
        <v>38</v>
      </c>
      <c r="M454" s="20">
        <f t="shared" si="1"/>
        <v>0</v>
      </c>
      <c r="N454" s="21"/>
      <c r="O454" s="22"/>
      <c r="P454" s="19" t="s">
        <v>1145</v>
      </c>
      <c r="Q454" s="18"/>
      <c r="R454" s="18"/>
      <c r="S454" s="23">
        <v>0.0</v>
      </c>
      <c r="T454" s="23">
        <v>0.0</v>
      </c>
      <c r="U454" s="23">
        <f t="shared" si="2"/>
        <v>0</v>
      </c>
      <c r="V454" s="23">
        <f t="shared" si="3"/>
        <v>0</v>
      </c>
      <c r="W454" s="23">
        <f t="shared" si="4"/>
        <v>0</v>
      </c>
      <c r="X454" s="24" t="str">
        <f t="shared" si="5"/>
        <v>#DIV/0!</v>
      </c>
    </row>
    <row r="455">
      <c r="A455" s="15" t="s">
        <v>1955</v>
      </c>
      <c r="B455" s="18"/>
      <c r="C455" s="16" t="str">
        <f>IMAGE("https://i.ibb.co/gLhzNHRG/1602.png")</f>
        <v/>
      </c>
      <c r="D455" s="18"/>
      <c r="E455" s="17" t="s">
        <v>1956</v>
      </c>
      <c r="F455" s="18"/>
      <c r="G455" s="18"/>
      <c r="H455" s="15" t="s">
        <v>1957</v>
      </c>
      <c r="I455" s="15" t="s">
        <v>1958</v>
      </c>
      <c r="J455" s="19" t="s">
        <v>36</v>
      </c>
      <c r="K455" s="19" t="s">
        <v>37</v>
      </c>
      <c r="L455" s="19" t="s">
        <v>38</v>
      </c>
      <c r="M455" s="20">
        <f t="shared" si="1"/>
        <v>0</v>
      </c>
      <c r="N455" s="21"/>
      <c r="O455" s="22"/>
      <c r="P455" s="19" t="s">
        <v>1145</v>
      </c>
      <c r="Q455" s="18"/>
      <c r="R455" s="18"/>
      <c r="S455" s="23">
        <v>0.0</v>
      </c>
      <c r="T455" s="23">
        <v>0.0</v>
      </c>
      <c r="U455" s="23">
        <f t="shared" si="2"/>
        <v>0</v>
      </c>
      <c r="V455" s="23">
        <f t="shared" si="3"/>
        <v>0</v>
      </c>
      <c r="W455" s="23">
        <f t="shared" si="4"/>
        <v>0</v>
      </c>
      <c r="X455" s="24" t="str">
        <f t="shared" si="5"/>
        <v>#DIV/0!</v>
      </c>
    </row>
    <row r="456">
      <c r="A456" s="15" t="s">
        <v>1959</v>
      </c>
      <c r="B456" s="18"/>
      <c r="C456" s="16" t="str">
        <f>IMAGE("https://i.ibb.co/JR6xZwhz/1603.png")</f>
        <v/>
      </c>
      <c r="D456" s="18"/>
      <c r="E456" s="17" t="s">
        <v>1952</v>
      </c>
      <c r="F456" s="18"/>
      <c r="G456" s="18"/>
      <c r="H456" s="15" t="s">
        <v>1960</v>
      </c>
      <c r="I456" s="15" t="s">
        <v>1961</v>
      </c>
      <c r="J456" s="19" t="s">
        <v>36</v>
      </c>
      <c r="K456" s="19" t="s">
        <v>105</v>
      </c>
      <c r="L456" s="19" t="s">
        <v>38</v>
      </c>
      <c r="M456" s="20">
        <f t="shared" si="1"/>
        <v>0</v>
      </c>
      <c r="N456" s="21"/>
      <c r="O456" s="22"/>
      <c r="P456" s="19" t="s">
        <v>1145</v>
      </c>
      <c r="Q456" s="18"/>
      <c r="R456" s="18"/>
      <c r="S456" s="23">
        <v>0.0</v>
      </c>
      <c r="T456" s="23">
        <v>0.0</v>
      </c>
      <c r="U456" s="23">
        <f t="shared" si="2"/>
        <v>0</v>
      </c>
      <c r="V456" s="23">
        <f t="shared" si="3"/>
        <v>0</v>
      </c>
      <c r="W456" s="23">
        <f t="shared" si="4"/>
        <v>0</v>
      </c>
      <c r="X456" s="24" t="str">
        <f t="shared" si="5"/>
        <v>#DIV/0!</v>
      </c>
    </row>
    <row r="457">
      <c r="A457" s="15" t="s">
        <v>1962</v>
      </c>
      <c r="B457" s="18"/>
      <c r="C457" s="16" t="str">
        <f>IMAGE("https://i.ibb.co/R8nTRH1/1604.png")</f>
        <v/>
      </c>
      <c r="D457" s="18"/>
      <c r="E457" s="17" t="s">
        <v>1956</v>
      </c>
      <c r="F457" s="18"/>
      <c r="G457" s="18"/>
      <c r="H457" s="15" t="s">
        <v>1963</v>
      </c>
      <c r="I457" s="15" t="s">
        <v>1964</v>
      </c>
      <c r="J457" s="19" t="s">
        <v>36</v>
      </c>
      <c r="K457" s="19" t="s">
        <v>37</v>
      </c>
      <c r="L457" s="19" t="s">
        <v>38</v>
      </c>
      <c r="M457" s="20">
        <f t="shared" si="1"/>
        <v>0</v>
      </c>
      <c r="N457" s="21"/>
      <c r="O457" s="22"/>
      <c r="P457" s="19" t="s">
        <v>1145</v>
      </c>
      <c r="Q457" s="18"/>
      <c r="R457" s="18"/>
      <c r="S457" s="23">
        <v>0.0</v>
      </c>
      <c r="T457" s="23">
        <v>0.0</v>
      </c>
      <c r="U457" s="23">
        <f t="shared" si="2"/>
        <v>0</v>
      </c>
      <c r="V457" s="23">
        <f t="shared" si="3"/>
        <v>0</v>
      </c>
      <c r="W457" s="23">
        <f t="shared" si="4"/>
        <v>0</v>
      </c>
      <c r="X457" s="24" t="str">
        <f t="shared" si="5"/>
        <v>#DIV/0!</v>
      </c>
    </row>
    <row r="458">
      <c r="A458" s="15" t="s">
        <v>1965</v>
      </c>
      <c r="B458" s="18"/>
      <c r="C458" s="16" t="str">
        <f>IMAGE("https://i.ibb.co/Y7VSD8fW/1605.png")</f>
        <v/>
      </c>
      <c r="D458" s="18"/>
      <c r="E458" s="17" t="s">
        <v>1956</v>
      </c>
      <c r="F458" s="18"/>
      <c r="G458" s="18"/>
      <c r="H458" s="15" t="s">
        <v>1966</v>
      </c>
      <c r="I458" s="15" t="s">
        <v>1967</v>
      </c>
      <c r="J458" s="19" t="s">
        <v>36</v>
      </c>
      <c r="K458" s="19" t="s">
        <v>37</v>
      </c>
      <c r="L458" s="19" t="s">
        <v>38</v>
      </c>
      <c r="M458" s="20">
        <f t="shared" si="1"/>
        <v>0</v>
      </c>
      <c r="N458" s="21"/>
      <c r="O458" s="22"/>
      <c r="P458" s="19" t="s">
        <v>1145</v>
      </c>
      <c r="Q458" s="18"/>
      <c r="R458" s="18"/>
      <c r="S458" s="23">
        <v>0.0</v>
      </c>
      <c r="T458" s="23">
        <v>0.0</v>
      </c>
      <c r="U458" s="23">
        <f t="shared" si="2"/>
        <v>0</v>
      </c>
      <c r="V458" s="23">
        <f t="shared" si="3"/>
        <v>0</v>
      </c>
      <c r="W458" s="23">
        <f t="shared" si="4"/>
        <v>0</v>
      </c>
      <c r="X458" s="24" t="str">
        <f t="shared" si="5"/>
        <v>#DIV/0!</v>
      </c>
    </row>
    <row r="459">
      <c r="A459" s="15" t="s">
        <v>1968</v>
      </c>
      <c r="B459" s="18"/>
      <c r="C459" s="16" t="str">
        <f>IMAGE("https://i.ibb.co/kgHswdKL/1607.png")</f>
        <v/>
      </c>
      <c r="D459" s="18"/>
      <c r="E459" s="17" t="s">
        <v>1969</v>
      </c>
      <c r="F459" s="18"/>
      <c r="G459" s="18"/>
      <c r="H459" s="15" t="s">
        <v>1970</v>
      </c>
      <c r="I459" s="15" t="s">
        <v>1971</v>
      </c>
      <c r="J459" s="19" t="s">
        <v>36</v>
      </c>
      <c r="K459" s="19" t="s">
        <v>105</v>
      </c>
      <c r="L459" s="19" t="s">
        <v>38</v>
      </c>
      <c r="M459" s="20">
        <f t="shared" si="1"/>
        <v>0</v>
      </c>
      <c r="N459" s="21"/>
      <c r="O459" s="22"/>
      <c r="P459" s="19" t="s">
        <v>1145</v>
      </c>
      <c r="Q459" s="18"/>
      <c r="R459" s="18"/>
      <c r="S459" s="23">
        <v>0.0</v>
      </c>
      <c r="T459" s="23">
        <v>0.0</v>
      </c>
      <c r="U459" s="23">
        <f t="shared" si="2"/>
        <v>0</v>
      </c>
      <c r="V459" s="23">
        <f t="shared" si="3"/>
        <v>0</v>
      </c>
      <c r="W459" s="23">
        <f t="shared" si="4"/>
        <v>0</v>
      </c>
      <c r="X459" s="24" t="str">
        <f t="shared" si="5"/>
        <v>#DIV/0!</v>
      </c>
    </row>
    <row r="460">
      <c r="A460" s="15" t="s">
        <v>1972</v>
      </c>
      <c r="B460" s="18"/>
      <c r="C460" s="16" t="str">
        <f>IMAGE("https://i.ibb.co/3YThK0vQ/1608.png")</f>
        <v/>
      </c>
      <c r="D460" s="18"/>
      <c r="E460" s="17" t="s">
        <v>1973</v>
      </c>
      <c r="F460" s="18"/>
      <c r="G460" s="18"/>
      <c r="H460" s="15" t="s">
        <v>1974</v>
      </c>
      <c r="I460" s="15" t="s">
        <v>1975</v>
      </c>
      <c r="J460" s="19" t="s">
        <v>36</v>
      </c>
      <c r="K460" s="19" t="s">
        <v>105</v>
      </c>
      <c r="L460" s="19" t="s">
        <v>38</v>
      </c>
      <c r="M460" s="20">
        <f t="shared" si="1"/>
        <v>0</v>
      </c>
      <c r="N460" s="21"/>
      <c r="O460" s="22"/>
      <c r="P460" s="19" t="s">
        <v>1145</v>
      </c>
      <c r="Q460" s="18"/>
      <c r="R460" s="18"/>
      <c r="S460" s="23">
        <v>0.0</v>
      </c>
      <c r="T460" s="23">
        <v>0.0</v>
      </c>
      <c r="U460" s="23">
        <f t="shared" si="2"/>
        <v>0</v>
      </c>
      <c r="V460" s="23">
        <f t="shared" si="3"/>
        <v>0</v>
      </c>
      <c r="W460" s="23">
        <f t="shared" si="4"/>
        <v>0</v>
      </c>
      <c r="X460" s="24" t="str">
        <f t="shared" si="5"/>
        <v>#DIV/0!</v>
      </c>
    </row>
    <row r="461">
      <c r="A461" s="15" t="s">
        <v>1976</v>
      </c>
      <c r="B461" s="18"/>
      <c r="C461" s="16" t="str">
        <f>IMAGE("https://i.ibb.co/XrZ26d1g/1610.png")</f>
        <v/>
      </c>
      <c r="D461" s="18"/>
      <c r="E461" s="17" t="s">
        <v>1977</v>
      </c>
      <c r="F461" s="18"/>
      <c r="G461" s="18"/>
      <c r="H461" s="15" t="s">
        <v>1978</v>
      </c>
      <c r="I461" s="15" t="s">
        <v>1979</v>
      </c>
      <c r="J461" s="19" t="s">
        <v>36</v>
      </c>
      <c r="K461" s="19" t="s">
        <v>1230</v>
      </c>
      <c r="L461" s="19" t="s">
        <v>38</v>
      </c>
      <c r="M461" s="20">
        <f t="shared" si="1"/>
        <v>0</v>
      </c>
      <c r="N461" s="21"/>
      <c r="O461" s="22"/>
      <c r="P461" s="19" t="s">
        <v>1145</v>
      </c>
      <c r="Q461" s="18"/>
      <c r="R461" s="18"/>
      <c r="S461" s="23">
        <v>0.0</v>
      </c>
      <c r="T461" s="23">
        <v>0.0</v>
      </c>
      <c r="U461" s="23">
        <f t="shared" si="2"/>
        <v>0</v>
      </c>
      <c r="V461" s="23">
        <f t="shared" si="3"/>
        <v>0</v>
      </c>
      <c r="W461" s="23">
        <f t="shared" si="4"/>
        <v>0</v>
      </c>
      <c r="X461" s="24" t="str">
        <f t="shared" si="5"/>
        <v>#DIV/0!</v>
      </c>
    </row>
    <row r="462">
      <c r="A462" s="15" t="s">
        <v>1980</v>
      </c>
      <c r="B462" s="18"/>
      <c r="C462" s="16" t="str">
        <f>IMAGE("https://i.ibb.co/RpXP8YCK/1611.png")</f>
        <v/>
      </c>
      <c r="D462" s="18"/>
      <c r="E462" s="17" t="s">
        <v>1981</v>
      </c>
      <c r="F462" s="18"/>
      <c r="G462" s="18"/>
      <c r="H462" s="15" t="s">
        <v>1982</v>
      </c>
      <c r="I462" s="15" t="s">
        <v>1983</v>
      </c>
      <c r="J462" s="19" t="s">
        <v>36</v>
      </c>
      <c r="K462" s="19" t="s">
        <v>105</v>
      </c>
      <c r="L462" s="19" t="s">
        <v>38</v>
      </c>
      <c r="M462" s="20">
        <f t="shared" si="1"/>
        <v>0</v>
      </c>
      <c r="N462" s="21"/>
      <c r="O462" s="22"/>
      <c r="P462" s="19" t="s">
        <v>1145</v>
      </c>
      <c r="Q462" s="18"/>
      <c r="R462" s="18"/>
      <c r="S462" s="23">
        <v>0.0</v>
      </c>
      <c r="T462" s="23">
        <v>0.0</v>
      </c>
      <c r="U462" s="23">
        <f t="shared" si="2"/>
        <v>0</v>
      </c>
      <c r="V462" s="23">
        <f t="shared" si="3"/>
        <v>0</v>
      </c>
      <c r="W462" s="23">
        <f t="shared" si="4"/>
        <v>0</v>
      </c>
      <c r="X462" s="24" t="str">
        <f t="shared" si="5"/>
        <v>#DIV/0!</v>
      </c>
    </row>
    <row r="463">
      <c r="A463" s="15" t="s">
        <v>1984</v>
      </c>
      <c r="B463" s="18"/>
      <c r="C463" s="16" t="str">
        <f>IMAGE("https://i.ibb.co/JXGJSFV/1615.png")</f>
        <v/>
      </c>
      <c r="D463" s="18"/>
      <c r="E463" s="17" t="s">
        <v>1985</v>
      </c>
      <c r="F463" s="18"/>
      <c r="G463" s="18"/>
      <c r="H463" s="15" t="s">
        <v>1986</v>
      </c>
      <c r="I463" s="15" t="s">
        <v>1987</v>
      </c>
      <c r="J463" s="19" t="s">
        <v>36</v>
      </c>
      <c r="K463" s="19" t="s">
        <v>1230</v>
      </c>
      <c r="L463" s="19" t="s">
        <v>38</v>
      </c>
      <c r="M463" s="20">
        <f t="shared" si="1"/>
        <v>0</v>
      </c>
      <c r="N463" s="21"/>
      <c r="O463" s="22"/>
      <c r="P463" s="19" t="s">
        <v>1145</v>
      </c>
      <c r="Q463" s="18"/>
      <c r="R463" s="18"/>
      <c r="S463" s="23">
        <v>0.0</v>
      </c>
      <c r="T463" s="23">
        <v>0.0</v>
      </c>
      <c r="U463" s="23">
        <f t="shared" si="2"/>
        <v>0</v>
      </c>
      <c r="V463" s="23">
        <f t="shared" si="3"/>
        <v>0</v>
      </c>
      <c r="W463" s="23">
        <f t="shared" si="4"/>
        <v>0</v>
      </c>
      <c r="X463" s="24" t="str">
        <f t="shared" si="5"/>
        <v>#DIV/0!</v>
      </c>
    </row>
    <row r="464">
      <c r="A464" s="15" t="s">
        <v>1988</v>
      </c>
      <c r="B464" s="18"/>
      <c r="C464" s="16" t="str">
        <f>IMAGE("https://i.ibb.co/tpyRYGDC/1619.png")</f>
        <v/>
      </c>
      <c r="D464" s="18"/>
      <c r="E464" s="17" t="s">
        <v>1989</v>
      </c>
      <c r="F464" s="18"/>
      <c r="G464" s="18"/>
      <c r="H464" s="15" t="s">
        <v>1990</v>
      </c>
      <c r="I464" s="15" t="s">
        <v>1991</v>
      </c>
      <c r="J464" s="19" t="s">
        <v>36</v>
      </c>
      <c r="K464" s="19" t="s">
        <v>1230</v>
      </c>
      <c r="L464" s="19" t="s">
        <v>38</v>
      </c>
      <c r="M464" s="20">
        <f t="shared" si="1"/>
        <v>0</v>
      </c>
      <c r="N464" s="21"/>
      <c r="O464" s="22"/>
      <c r="P464" s="19" t="s">
        <v>1145</v>
      </c>
      <c r="Q464" s="18"/>
      <c r="R464" s="18"/>
      <c r="S464" s="23">
        <v>0.0</v>
      </c>
      <c r="T464" s="23">
        <v>0.0</v>
      </c>
      <c r="U464" s="23">
        <f t="shared" si="2"/>
        <v>0</v>
      </c>
      <c r="V464" s="23">
        <f t="shared" si="3"/>
        <v>0</v>
      </c>
      <c r="W464" s="23">
        <f t="shared" si="4"/>
        <v>0</v>
      </c>
      <c r="X464" s="24" t="str">
        <f t="shared" si="5"/>
        <v>#DIV/0!</v>
      </c>
    </row>
    <row r="465">
      <c r="A465" s="15" t="s">
        <v>1992</v>
      </c>
      <c r="B465" s="18"/>
      <c r="C465" s="16" t="str">
        <f>IMAGE("https://i.ibb.co/Z1WBpK6d/1620.png")</f>
        <v/>
      </c>
      <c r="D465" s="18"/>
      <c r="E465" s="17" t="s">
        <v>1993</v>
      </c>
      <c r="F465" s="18"/>
      <c r="G465" s="18"/>
      <c r="H465" s="15" t="s">
        <v>1990</v>
      </c>
      <c r="I465" s="15" t="s">
        <v>1991</v>
      </c>
      <c r="J465" s="19" t="s">
        <v>36</v>
      </c>
      <c r="K465" s="19" t="s">
        <v>1230</v>
      </c>
      <c r="L465" s="19" t="s">
        <v>38</v>
      </c>
      <c r="M465" s="20">
        <f t="shared" si="1"/>
        <v>0</v>
      </c>
      <c r="N465" s="21"/>
      <c r="O465" s="22"/>
      <c r="P465" s="19" t="s">
        <v>1145</v>
      </c>
      <c r="Q465" s="18"/>
      <c r="R465" s="18"/>
      <c r="S465" s="23">
        <v>0.0</v>
      </c>
      <c r="T465" s="23">
        <v>0.0</v>
      </c>
      <c r="U465" s="23">
        <f t="shared" si="2"/>
        <v>0</v>
      </c>
      <c r="V465" s="23">
        <f t="shared" si="3"/>
        <v>0</v>
      </c>
      <c r="W465" s="23">
        <f t="shared" si="4"/>
        <v>0</v>
      </c>
      <c r="X465" s="24" t="str">
        <f t="shared" si="5"/>
        <v>#DIV/0!</v>
      </c>
    </row>
    <row r="466">
      <c r="A466" s="15" t="s">
        <v>1994</v>
      </c>
      <c r="B466" s="18"/>
      <c r="C466" s="16" t="str">
        <f>IMAGE("https://i.ibb.co/PzcPSbk1/1623.png")</f>
        <v/>
      </c>
      <c r="D466" s="18"/>
      <c r="E466" s="17" t="s">
        <v>1995</v>
      </c>
      <c r="F466" s="18"/>
      <c r="G466" s="18"/>
      <c r="H466" s="15" t="s">
        <v>1996</v>
      </c>
      <c r="I466" s="15" t="s">
        <v>1997</v>
      </c>
      <c r="J466" s="19" t="s">
        <v>36</v>
      </c>
      <c r="K466" s="19" t="s">
        <v>1230</v>
      </c>
      <c r="L466" s="19" t="s">
        <v>38</v>
      </c>
      <c r="M466" s="20">
        <f t="shared" si="1"/>
        <v>0</v>
      </c>
      <c r="N466" s="21"/>
      <c r="O466" s="22"/>
      <c r="P466" s="19" t="s">
        <v>1145</v>
      </c>
      <c r="Q466" s="18"/>
      <c r="R466" s="18"/>
      <c r="S466" s="23">
        <v>0.0</v>
      </c>
      <c r="T466" s="23">
        <v>0.0</v>
      </c>
      <c r="U466" s="23">
        <f t="shared" si="2"/>
        <v>0</v>
      </c>
      <c r="V466" s="23">
        <f t="shared" si="3"/>
        <v>0</v>
      </c>
      <c r="W466" s="23">
        <f t="shared" si="4"/>
        <v>0</v>
      </c>
      <c r="X466" s="24" t="str">
        <f t="shared" si="5"/>
        <v>#DIV/0!</v>
      </c>
    </row>
    <row r="467">
      <c r="A467" s="15" t="s">
        <v>1998</v>
      </c>
      <c r="B467" s="18"/>
      <c r="C467" s="16" t="str">
        <f>IMAGE("https://i.ibb.co/x8KxSqTF/1624.png")</f>
        <v/>
      </c>
      <c r="D467" s="18"/>
      <c r="E467" s="17" t="s">
        <v>1999</v>
      </c>
      <c r="F467" s="18"/>
      <c r="G467" s="18"/>
      <c r="H467" s="15" t="s">
        <v>2000</v>
      </c>
      <c r="I467" s="15" t="s">
        <v>2001</v>
      </c>
      <c r="J467" s="19" t="s">
        <v>36</v>
      </c>
      <c r="K467" s="19" t="s">
        <v>1230</v>
      </c>
      <c r="L467" s="19" t="s">
        <v>38</v>
      </c>
      <c r="M467" s="20">
        <f t="shared" si="1"/>
        <v>0</v>
      </c>
      <c r="N467" s="21"/>
      <c r="O467" s="22"/>
      <c r="P467" s="19" t="s">
        <v>1145</v>
      </c>
      <c r="Q467" s="18"/>
      <c r="R467" s="18"/>
      <c r="S467" s="23">
        <v>0.0</v>
      </c>
      <c r="T467" s="23">
        <v>0.0</v>
      </c>
      <c r="U467" s="23">
        <f t="shared" si="2"/>
        <v>0</v>
      </c>
      <c r="V467" s="23">
        <f t="shared" si="3"/>
        <v>0</v>
      </c>
      <c r="W467" s="23">
        <f t="shared" si="4"/>
        <v>0</v>
      </c>
      <c r="X467" s="24" t="str">
        <f t="shared" si="5"/>
        <v>#DIV/0!</v>
      </c>
    </row>
    <row r="468">
      <c r="A468" s="15" t="s">
        <v>2002</v>
      </c>
      <c r="B468" s="18"/>
      <c r="C468" s="16" t="str">
        <f>IMAGE("https://i.ibb.co/W7d7zbg/1625.png")</f>
        <v/>
      </c>
      <c r="D468" s="18"/>
      <c r="E468" s="17" t="s">
        <v>2003</v>
      </c>
      <c r="F468" s="18"/>
      <c r="G468" s="18"/>
      <c r="H468" s="15" t="s">
        <v>2004</v>
      </c>
      <c r="I468" s="15" t="s">
        <v>2005</v>
      </c>
      <c r="J468" s="19" t="s">
        <v>36</v>
      </c>
      <c r="K468" s="19" t="s">
        <v>1230</v>
      </c>
      <c r="L468" s="19" t="s">
        <v>38</v>
      </c>
      <c r="M468" s="20">
        <f t="shared" si="1"/>
        <v>0</v>
      </c>
      <c r="N468" s="21"/>
      <c r="O468" s="22"/>
      <c r="P468" s="19" t="s">
        <v>1145</v>
      </c>
      <c r="Q468" s="18"/>
      <c r="R468" s="18"/>
      <c r="S468" s="23">
        <v>0.0</v>
      </c>
      <c r="T468" s="23">
        <v>0.0</v>
      </c>
      <c r="U468" s="23">
        <f t="shared" si="2"/>
        <v>0</v>
      </c>
      <c r="V468" s="23">
        <f t="shared" si="3"/>
        <v>0</v>
      </c>
      <c r="W468" s="23">
        <f t="shared" si="4"/>
        <v>0</v>
      </c>
      <c r="X468" s="24" t="str">
        <f t="shared" si="5"/>
        <v>#DIV/0!</v>
      </c>
    </row>
    <row r="469">
      <c r="A469" s="15" t="s">
        <v>2006</v>
      </c>
      <c r="B469" s="18"/>
      <c r="C469" s="16" t="str">
        <f>IMAGE("https://i.ibb.co/TDvTJ9jt/1626.png")</f>
        <v/>
      </c>
      <c r="D469" s="18"/>
      <c r="E469" s="17" t="s">
        <v>2007</v>
      </c>
      <c r="F469" s="18"/>
      <c r="G469" s="18"/>
      <c r="H469" s="15" t="s">
        <v>2008</v>
      </c>
      <c r="I469" s="15" t="s">
        <v>2009</v>
      </c>
      <c r="J469" s="19" t="s">
        <v>36</v>
      </c>
      <c r="K469" s="19" t="s">
        <v>1230</v>
      </c>
      <c r="L469" s="19" t="s">
        <v>38</v>
      </c>
      <c r="M469" s="20">
        <f t="shared" si="1"/>
        <v>0</v>
      </c>
      <c r="N469" s="21"/>
      <c r="O469" s="22"/>
      <c r="P469" s="19" t="s">
        <v>1145</v>
      </c>
      <c r="Q469" s="18"/>
      <c r="R469" s="18"/>
      <c r="S469" s="23">
        <v>0.0</v>
      </c>
      <c r="T469" s="23">
        <v>0.0</v>
      </c>
      <c r="U469" s="23">
        <f t="shared" si="2"/>
        <v>0</v>
      </c>
      <c r="V469" s="23">
        <f t="shared" si="3"/>
        <v>0</v>
      </c>
      <c r="W469" s="23">
        <f t="shared" si="4"/>
        <v>0</v>
      </c>
      <c r="X469" s="24" t="str">
        <f t="shared" si="5"/>
        <v>#DIV/0!</v>
      </c>
    </row>
    <row r="470">
      <c r="A470" s="15" t="s">
        <v>2010</v>
      </c>
      <c r="B470" s="18"/>
      <c r="C470" s="16" t="str">
        <f>IMAGE("https://i.ibb.co/qMZmQLNq/1627.png")</f>
        <v/>
      </c>
      <c r="D470" s="18"/>
      <c r="E470" s="17" t="s">
        <v>2011</v>
      </c>
      <c r="F470" s="18"/>
      <c r="G470" s="18"/>
      <c r="H470" s="15" t="s">
        <v>2012</v>
      </c>
      <c r="I470" s="15" t="s">
        <v>2013</v>
      </c>
      <c r="J470" s="19" t="s">
        <v>36</v>
      </c>
      <c r="K470" s="19" t="s">
        <v>1230</v>
      </c>
      <c r="L470" s="19" t="s">
        <v>38</v>
      </c>
      <c r="M470" s="20">
        <f t="shared" si="1"/>
        <v>0</v>
      </c>
      <c r="N470" s="21"/>
      <c r="O470" s="22"/>
      <c r="P470" s="19" t="s">
        <v>1145</v>
      </c>
      <c r="Q470" s="18"/>
      <c r="R470" s="18"/>
      <c r="S470" s="23">
        <v>0.0</v>
      </c>
      <c r="T470" s="23">
        <v>0.0</v>
      </c>
      <c r="U470" s="23">
        <f t="shared" si="2"/>
        <v>0</v>
      </c>
      <c r="V470" s="23">
        <f t="shared" si="3"/>
        <v>0</v>
      </c>
      <c r="W470" s="23">
        <f t="shared" si="4"/>
        <v>0</v>
      </c>
      <c r="X470" s="24" t="str">
        <f t="shared" si="5"/>
        <v>#DIV/0!</v>
      </c>
    </row>
    <row r="471">
      <c r="A471" s="15" t="s">
        <v>2014</v>
      </c>
      <c r="B471" s="18"/>
      <c r="C471" s="16" t="str">
        <f>IMAGE("https://i.ibb.co/ns5Nh1K4/1628.png")</f>
        <v/>
      </c>
      <c r="D471" s="18"/>
      <c r="E471" s="17" t="s">
        <v>2015</v>
      </c>
      <c r="F471" s="18"/>
      <c r="G471" s="18"/>
      <c r="H471" s="15" t="s">
        <v>2016</v>
      </c>
      <c r="I471" s="15" t="s">
        <v>2017</v>
      </c>
      <c r="J471" s="19" t="s">
        <v>36</v>
      </c>
      <c r="K471" s="19" t="s">
        <v>1230</v>
      </c>
      <c r="L471" s="19" t="s">
        <v>38</v>
      </c>
      <c r="M471" s="20">
        <f t="shared" si="1"/>
        <v>0</v>
      </c>
      <c r="N471" s="21"/>
      <c r="O471" s="22"/>
      <c r="P471" s="19" t="s">
        <v>1145</v>
      </c>
      <c r="Q471" s="18"/>
      <c r="R471" s="18"/>
      <c r="S471" s="23">
        <v>0.0</v>
      </c>
      <c r="T471" s="23">
        <v>0.0</v>
      </c>
      <c r="U471" s="23">
        <f t="shared" si="2"/>
        <v>0</v>
      </c>
      <c r="V471" s="23">
        <f t="shared" si="3"/>
        <v>0</v>
      </c>
      <c r="W471" s="23">
        <f t="shared" si="4"/>
        <v>0</v>
      </c>
      <c r="X471" s="24" t="str">
        <f t="shared" si="5"/>
        <v>#DIV/0!</v>
      </c>
    </row>
    <row r="472">
      <c r="A472" s="15" t="s">
        <v>2018</v>
      </c>
      <c r="B472" s="18"/>
      <c r="C472" s="16"/>
      <c r="D472" s="18"/>
      <c r="E472" s="17" t="s">
        <v>2019</v>
      </c>
      <c r="F472" s="18"/>
      <c r="G472" s="18"/>
      <c r="H472" s="15" t="s">
        <v>2016</v>
      </c>
      <c r="I472" s="15" t="s">
        <v>2017</v>
      </c>
      <c r="J472" s="19" t="s">
        <v>36</v>
      </c>
      <c r="K472" s="19" t="s">
        <v>1230</v>
      </c>
      <c r="L472" s="19" t="s">
        <v>38</v>
      </c>
      <c r="M472" s="20">
        <f t="shared" si="1"/>
        <v>0</v>
      </c>
      <c r="N472" s="21"/>
      <c r="O472" s="22"/>
      <c r="P472" s="19" t="s">
        <v>1145</v>
      </c>
      <c r="Q472" s="18"/>
      <c r="R472" s="18"/>
      <c r="S472" s="23">
        <v>0.0</v>
      </c>
      <c r="T472" s="23">
        <v>0.0</v>
      </c>
      <c r="U472" s="23">
        <f t="shared" si="2"/>
        <v>0</v>
      </c>
      <c r="V472" s="23">
        <f t="shared" si="3"/>
        <v>0</v>
      </c>
      <c r="W472" s="23">
        <f t="shared" si="4"/>
        <v>0</v>
      </c>
      <c r="X472" s="24" t="str">
        <f t="shared" si="5"/>
        <v>#DIV/0!</v>
      </c>
    </row>
    <row r="473">
      <c r="A473" s="15" t="s">
        <v>2020</v>
      </c>
      <c r="B473" s="18"/>
      <c r="C473" s="16" t="str">
        <f>IMAGE("https://i.ibb.co/VYy0d3pW/1630.png")</f>
        <v/>
      </c>
      <c r="D473" s="18"/>
      <c r="E473" s="17" t="s">
        <v>2019</v>
      </c>
      <c r="F473" s="18"/>
      <c r="G473" s="18"/>
      <c r="H473" s="15" t="s">
        <v>2021</v>
      </c>
      <c r="I473" s="15" t="s">
        <v>2022</v>
      </c>
      <c r="J473" s="19" t="s">
        <v>36</v>
      </c>
      <c r="K473" s="19" t="s">
        <v>1230</v>
      </c>
      <c r="L473" s="19" t="s">
        <v>38</v>
      </c>
      <c r="M473" s="20">
        <f t="shared" si="1"/>
        <v>0</v>
      </c>
      <c r="N473" s="21"/>
      <c r="O473" s="22"/>
      <c r="P473" s="19" t="s">
        <v>1145</v>
      </c>
      <c r="Q473" s="18"/>
      <c r="R473" s="18"/>
      <c r="S473" s="23">
        <v>0.0</v>
      </c>
      <c r="T473" s="23">
        <v>0.0</v>
      </c>
      <c r="U473" s="23">
        <f t="shared" si="2"/>
        <v>0</v>
      </c>
      <c r="V473" s="23">
        <f t="shared" si="3"/>
        <v>0</v>
      </c>
      <c r="W473" s="23">
        <f t="shared" si="4"/>
        <v>0</v>
      </c>
      <c r="X473" s="24" t="str">
        <f t="shared" si="5"/>
        <v>#DIV/0!</v>
      </c>
    </row>
    <row r="474">
      <c r="A474" s="15" t="s">
        <v>2023</v>
      </c>
      <c r="B474" s="18"/>
      <c r="C474" s="16" t="str">
        <f>IMAGE("https://i.ibb.co/DP28NjQg/1631.png")</f>
        <v/>
      </c>
      <c r="D474" s="18"/>
      <c r="E474" s="17" t="s">
        <v>2024</v>
      </c>
      <c r="F474" s="18"/>
      <c r="G474" s="18"/>
      <c r="H474" s="15" t="s">
        <v>2025</v>
      </c>
      <c r="I474" s="15" t="s">
        <v>2026</v>
      </c>
      <c r="J474" s="19" t="s">
        <v>36</v>
      </c>
      <c r="K474" s="19" t="s">
        <v>1230</v>
      </c>
      <c r="L474" s="19" t="s">
        <v>38</v>
      </c>
      <c r="M474" s="20">
        <f t="shared" si="1"/>
        <v>0</v>
      </c>
      <c r="N474" s="21"/>
      <c r="O474" s="22"/>
      <c r="P474" s="19" t="s">
        <v>1145</v>
      </c>
      <c r="Q474" s="18"/>
      <c r="R474" s="18"/>
      <c r="S474" s="23">
        <v>0.0</v>
      </c>
      <c r="T474" s="23">
        <v>0.0</v>
      </c>
      <c r="U474" s="23">
        <f t="shared" si="2"/>
        <v>0</v>
      </c>
      <c r="V474" s="23">
        <f t="shared" si="3"/>
        <v>0</v>
      </c>
      <c r="W474" s="23">
        <f t="shared" si="4"/>
        <v>0</v>
      </c>
      <c r="X474" s="24" t="str">
        <f t="shared" si="5"/>
        <v>#DIV/0!</v>
      </c>
    </row>
    <row r="475">
      <c r="A475" s="15" t="s">
        <v>2027</v>
      </c>
      <c r="B475" s="18"/>
      <c r="C475" s="16" t="str">
        <f>IMAGE("https://i.ibb.co/gLVdvTqS/1632.png")</f>
        <v/>
      </c>
      <c r="D475" s="18"/>
      <c r="E475" s="17" t="s">
        <v>2024</v>
      </c>
      <c r="F475" s="18"/>
      <c r="G475" s="18"/>
      <c r="H475" s="15" t="s">
        <v>2028</v>
      </c>
      <c r="I475" s="15" t="s">
        <v>2029</v>
      </c>
      <c r="J475" s="19" t="s">
        <v>36</v>
      </c>
      <c r="K475" s="19" t="s">
        <v>1230</v>
      </c>
      <c r="L475" s="19" t="s">
        <v>38</v>
      </c>
      <c r="M475" s="20">
        <f t="shared" si="1"/>
        <v>0</v>
      </c>
      <c r="N475" s="21"/>
      <c r="O475" s="22"/>
      <c r="P475" s="19" t="s">
        <v>1145</v>
      </c>
      <c r="Q475" s="18"/>
      <c r="R475" s="18"/>
      <c r="S475" s="23">
        <v>0.0</v>
      </c>
      <c r="T475" s="23">
        <v>0.0</v>
      </c>
      <c r="U475" s="23">
        <f t="shared" si="2"/>
        <v>0</v>
      </c>
      <c r="V475" s="23">
        <f t="shared" si="3"/>
        <v>0</v>
      </c>
      <c r="W475" s="23">
        <f t="shared" si="4"/>
        <v>0</v>
      </c>
      <c r="X475" s="24" t="str">
        <f t="shared" si="5"/>
        <v>#DIV/0!</v>
      </c>
    </row>
    <row r="476">
      <c r="A476" s="15" t="s">
        <v>2030</v>
      </c>
      <c r="B476" s="18"/>
      <c r="C476" s="16" t="str">
        <f>IMAGE("https://i.ibb.co/ZRkzqKHr/1633.png")</f>
        <v/>
      </c>
      <c r="D476" s="18"/>
      <c r="E476" s="17" t="s">
        <v>2031</v>
      </c>
      <c r="F476" s="18"/>
      <c r="G476" s="18"/>
      <c r="H476" s="15" t="s">
        <v>2032</v>
      </c>
      <c r="I476" s="15" t="s">
        <v>2033</v>
      </c>
      <c r="J476" s="19" t="s">
        <v>36</v>
      </c>
      <c r="K476" s="19" t="s">
        <v>1230</v>
      </c>
      <c r="L476" s="19" t="s">
        <v>38</v>
      </c>
      <c r="M476" s="20">
        <f t="shared" si="1"/>
        <v>0</v>
      </c>
      <c r="N476" s="21"/>
      <c r="O476" s="22"/>
      <c r="P476" s="19" t="s">
        <v>1145</v>
      </c>
      <c r="Q476" s="18"/>
      <c r="R476" s="18"/>
      <c r="S476" s="23">
        <v>0.0</v>
      </c>
      <c r="T476" s="23">
        <v>0.0</v>
      </c>
      <c r="U476" s="23">
        <f t="shared" si="2"/>
        <v>0</v>
      </c>
      <c r="V476" s="23">
        <f t="shared" si="3"/>
        <v>0</v>
      </c>
      <c r="W476" s="23">
        <f t="shared" si="4"/>
        <v>0</v>
      </c>
      <c r="X476" s="24" t="str">
        <f t="shared" si="5"/>
        <v>#DIV/0!</v>
      </c>
    </row>
    <row r="477">
      <c r="A477" s="15" t="s">
        <v>2034</v>
      </c>
      <c r="B477" s="18"/>
      <c r="C477" s="16" t="str">
        <f>IMAGE("https://i.ibb.co/FktWBqX5/1634.png")</f>
        <v/>
      </c>
      <c r="D477" s="18"/>
      <c r="E477" s="17" t="s">
        <v>2035</v>
      </c>
      <c r="F477" s="18"/>
      <c r="G477" s="18"/>
      <c r="H477" s="15" t="s">
        <v>2025</v>
      </c>
      <c r="I477" s="15" t="s">
        <v>2026</v>
      </c>
      <c r="J477" s="19" t="s">
        <v>36</v>
      </c>
      <c r="K477" s="19" t="s">
        <v>1230</v>
      </c>
      <c r="L477" s="19" t="s">
        <v>38</v>
      </c>
      <c r="M477" s="20">
        <f t="shared" si="1"/>
        <v>0</v>
      </c>
      <c r="N477" s="21"/>
      <c r="O477" s="22"/>
      <c r="P477" s="19" t="s">
        <v>1145</v>
      </c>
      <c r="Q477" s="18"/>
      <c r="R477" s="18"/>
      <c r="S477" s="23">
        <v>0.0</v>
      </c>
      <c r="T477" s="23">
        <v>0.0</v>
      </c>
      <c r="U477" s="23">
        <f t="shared" si="2"/>
        <v>0</v>
      </c>
      <c r="V477" s="23">
        <f t="shared" si="3"/>
        <v>0</v>
      </c>
      <c r="W477" s="23">
        <f t="shared" si="4"/>
        <v>0</v>
      </c>
      <c r="X477" s="24" t="str">
        <f t="shared" si="5"/>
        <v>#DIV/0!</v>
      </c>
    </row>
    <row r="478">
      <c r="A478" s="15" t="s">
        <v>2036</v>
      </c>
      <c r="B478" s="18"/>
      <c r="C478" s="16" t="str">
        <f>IMAGE("https://i.ibb.co/twJYPqr3/1635.png")</f>
        <v/>
      </c>
      <c r="D478" s="18"/>
      <c r="E478" s="17" t="s">
        <v>2037</v>
      </c>
      <c r="F478" s="18"/>
      <c r="G478" s="18"/>
      <c r="H478" s="15" t="s">
        <v>2038</v>
      </c>
      <c r="I478" s="15" t="s">
        <v>2039</v>
      </c>
      <c r="J478" s="19" t="s">
        <v>36</v>
      </c>
      <c r="K478" s="19" t="s">
        <v>1230</v>
      </c>
      <c r="L478" s="19" t="s">
        <v>38</v>
      </c>
      <c r="M478" s="20">
        <f t="shared" si="1"/>
        <v>0</v>
      </c>
      <c r="N478" s="21"/>
      <c r="O478" s="22"/>
      <c r="P478" s="19" t="s">
        <v>1145</v>
      </c>
      <c r="Q478" s="18"/>
      <c r="R478" s="18"/>
      <c r="S478" s="23">
        <v>0.0</v>
      </c>
      <c r="T478" s="23">
        <v>0.0</v>
      </c>
      <c r="U478" s="23">
        <f t="shared" si="2"/>
        <v>0</v>
      </c>
      <c r="V478" s="23">
        <f t="shared" si="3"/>
        <v>0</v>
      </c>
      <c r="W478" s="23">
        <f t="shared" si="4"/>
        <v>0</v>
      </c>
      <c r="X478" s="24" t="str">
        <f t="shared" si="5"/>
        <v>#DIV/0!</v>
      </c>
    </row>
    <row r="479">
      <c r="A479" s="15" t="s">
        <v>2040</v>
      </c>
      <c r="B479" s="18"/>
      <c r="C479" s="16" t="str">
        <f>IMAGE("https://i.ibb.co/3mcp9yfC/1636.png")</f>
        <v/>
      </c>
      <c r="D479" s="18"/>
      <c r="E479" s="17" t="s">
        <v>2041</v>
      </c>
      <c r="F479" s="18"/>
      <c r="G479" s="18"/>
      <c r="H479" s="15" t="s">
        <v>2042</v>
      </c>
      <c r="I479" s="15" t="s">
        <v>2043</v>
      </c>
      <c r="J479" s="19" t="s">
        <v>36</v>
      </c>
      <c r="K479" s="19" t="s">
        <v>1230</v>
      </c>
      <c r="L479" s="19" t="s">
        <v>38</v>
      </c>
      <c r="M479" s="20">
        <f t="shared" si="1"/>
        <v>0</v>
      </c>
      <c r="N479" s="21"/>
      <c r="O479" s="22"/>
      <c r="P479" s="19" t="s">
        <v>1145</v>
      </c>
      <c r="Q479" s="18"/>
      <c r="R479" s="18"/>
      <c r="S479" s="23">
        <v>0.0</v>
      </c>
      <c r="T479" s="23">
        <v>0.0</v>
      </c>
      <c r="U479" s="23">
        <f t="shared" si="2"/>
        <v>0</v>
      </c>
      <c r="V479" s="23">
        <f t="shared" si="3"/>
        <v>0</v>
      </c>
      <c r="W479" s="23">
        <f t="shared" si="4"/>
        <v>0</v>
      </c>
      <c r="X479" s="24" t="str">
        <f t="shared" si="5"/>
        <v>#DIV/0!</v>
      </c>
    </row>
    <row r="480">
      <c r="A480" s="15" t="s">
        <v>2044</v>
      </c>
      <c r="B480" s="18"/>
      <c r="C480" s="16" t="str">
        <f>IMAGE("https://i.ibb.co/b5T0yCYH/1637.png")</f>
        <v/>
      </c>
      <c r="D480" s="18"/>
      <c r="E480" s="17" t="s">
        <v>2045</v>
      </c>
      <c r="F480" s="18"/>
      <c r="G480" s="18"/>
      <c r="H480" s="15" t="s">
        <v>2046</v>
      </c>
      <c r="I480" s="15" t="s">
        <v>2047</v>
      </c>
      <c r="J480" s="19" t="s">
        <v>36</v>
      </c>
      <c r="K480" s="19" t="s">
        <v>1230</v>
      </c>
      <c r="L480" s="19" t="s">
        <v>38</v>
      </c>
      <c r="M480" s="20">
        <f t="shared" si="1"/>
        <v>0</v>
      </c>
      <c r="N480" s="21"/>
      <c r="O480" s="22"/>
      <c r="P480" s="19" t="s">
        <v>1145</v>
      </c>
      <c r="Q480" s="18"/>
      <c r="R480" s="18"/>
      <c r="S480" s="23">
        <v>0.0</v>
      </c>
      <c r="T480" s="23">
        <v>0.0</v>
      </c>
      <c r="U480" s="23">
        <f t="shared" si="2"/>
        <v>0</v>
      </c>
      <c r="V480" s="23">
        <f t="shared" si="3"/>
        <v>0</v>
      </c>
      <c r="W480" s="23">
        <f t="shared" si="4"/>
        <v>0</v>
      </c>
      <c r="X480" s="24" t="str">
        <f t="shared" si="5"/>
        <v>#DIV/0!</v>
      </c>
    </row>
    <row r="481">
      <c r="A481" s="15" t="s">
        <v>2048</v>
      </c>
      <c r="B481" s="18"/>
      <c r="C481" s="16" t="str">
        <f>IMAGE("https://i.ibb.co/zW9gqh4Z/1638.png")</f>
        <v/>
      </c>
      <c r="D481" s="18"/>
      <c r="E481" s="17" t="s">
        <v>2049</v>
      </c>
      <c r="F481" s="18"/>
      <c r="G481" s="18"/>
      <c r="H481" s="15" t="s">
        <v>2050</v>
      </c>
      <c r="I481" s="15" t="s">
        <v>2051</v>
      </c>
      <c r="J481" s="19" t="s">
        <v>36</v>
      </c>
      <c r="K481" s="19" t="s">
        <v>1230</v>
      </c>
      <c r="L481" s="19" t="s">
        <v>38</v>
      </c>
      <c r="M481" s="20">
        <f t="shared" si="1"/>
        <v>0</v>
      </c>
      <c r="N481" s="21"/>
      <c r="O481" s="22"/>
      <c r="P481" s="19" t="s">
        <v>1145</v>
      </c>
      <c r="Q481" s="18"/>
      <c r="R481" s="18"/>
      <c r="S481" s="23">
        <v>0.0</v>
      </c>
      <c r="T481" s="23">
        <v>0.0</v>
      </c>
      <c r="U481" s="23">
        <f t="shared" si="2"/>
        <v>0</v>
      </c>
      <c r="V481" s="23">
        <f t="shared" si="3"/>
        <v>0</v>
      </c>
      <c r="W481" s="23">
        <f t="shared" si="4"/>
        <v>0</v>
      </c>
      <c r="X481" s="24" t="str">
        <f t="shared" si="5"/>
        <v>#DIV/0!</v>
      </c>
    </row>
    <row r="482">
      <c r="A482" s="15" t="s">
        <v>2052</v>
      </c>
      <c r="B482" s="18"/>
      <c r="C482" s="16" t="str">
        <f>IMAGE("https://i.ibb.co/9mcy3fpT/1639.png")</f>
        <v/>
      </c>
      <c r="D482" s="18"/>
      <c r="E482" s="17" t="s">
        <v>2053</v>
      </c>
      <c r="F482" s="18"/>
      <c r="G482" s="18"/>
      <c r="H482" s="15" t="s">
        <v>2054</v>
      </c>
      <c r="I482" s="15" t="s">
        <v>2055</v>
      </c>
      <c r="J482" s="19" t="s">
        <v>36</v>
      </c>
      <c r="K482" s="19" t="s">
        <v>37</v>
      </c>
      <c r="L482" s="19" t="s">
        <v>38</v>
      </c>
      <c r="M482" s="20">
        <f t="shared" si="1"/>
        <v>0</v>
      </c>
      <c r="N482" s="21"/>
      <c r="O482" s="22"/>
      <c r="P482" s="19" t="s">
        <v>1145</v>
      </c>
      <c r="Q482" s="18"/>
      <c r="R482" s="18"/>
      <c r="S482" s="23">
        <v>0.0</v>
      </c>
      <c r="T482" s="23">
        <v>0.0</v>
      </c>
      <c r="U482" s="23">
        <f t="shared" si="2"/>
        <v>0</v>
      </c>
      <c r="V482" s="23">
        <f t="shared" si="3"/>
        <v>0</v>
      </c>
      <c r="W482" s="23">
        <f t="shared" si="4"/>
        <v>0</v>
      </c>
      <c r="X482" s="24" t="str">
        <f t="shared" si="5"/>
        <v>#DIV/0!</v>
      </c>
    </row>
    <row r="483">
      <c r="A483" s="15" t="s">
        <v>2056</v>
      </c>
      <c r="B483" s="18"/>
      <c r="C483" s="16" t="str">
        <f>IMAGE("https://i.ibb.co/vvdJy66m/1640.png")</f>
        <v/>
      </c>
      <c r="D483" s="18"/>
      <c r="E483" s="17" t="s">
        <v>2057</v>
      </c>
      <c r="F483" s="18"/>
      <c r="G483" s="18"/>
      <c r="H483" s="15" t="s">
        <v>2058</v>
      </c>
      <c r="I483" s="15" t="s">
        <v>2059</v>
      </c>
      <c r="J483" s="19" t="s">
        <v>36</v>
      </c>
      <c r="K483" s="19" t="s">
        <v>105</v>
      </c>
      <c r="L483" s="19" t="s">
        <v>38</v>
      </c>
      <c r="M483" s="20">
        <f t="shared" si="1"/>
        <v>0</v>
      </c>
      <c r="N483" s="21"/>
      <c r="O483" s="22"/>
      <c r="P483" s="19" t="s">
        <v>1145</v>
      </c>
      <c r="Q483" s="18"/>
      <c r="R483" s="18"/>
      <c r="S483" s="23">
        <v>0.0</v>
      </c>
      <c r="T483" s="23">
        <v>0.0</v>
      </c>
      <c r="U483" s="23">
        <f t="shared" si="2"/>
        <v>0</v>
      </c>
      <c r="V483" s="23">
        <f t="shared" si="3"/>
        <v>0</v>
      </c>
      <c r="W483" s="23">
        <f t="shared" si="4"/>
        <v>0</v>
      </c>
      <c r="X483" s="24" t="str">
        <f t="shared" si="5"/>
        <v>#DIV/0!</v>
      </c>
    </row>
    <row r="484">
      <c r="A484" s="15" t="s">
        <v>2060</v>
      </c>
      <c r="B484" s="18"/>
      <c r="C484" s="16" t="str">
        <f>IMAGE("https://i.ibb.co/Jj4DL9tF/1642.png")</f>
        <v/>
      </c>
      <c r="D484" s="18"/>
      <c r="E484" s="17" t="s">
        <v>2061</v>
      </c>
      <c r="F484" s="18"/>
      <c r="G484" s="18"/>
      <c r="H484" s="15" t="s">
        <v>2062</v>
      </c>
      <c r="I484" s="15" t="s">
        <v>2063</v>
      </c>
      <c r="J484" s="19" t="s">
        <v>36</v>
      </c>
      <c r="K484" s="19" t="s">
        <v>105</v>
      </c>
      <c r="L484" s="19" t="s">
        <v>38</v>
      </c>
      <c r="M484" s="20">
        <f t="shared" si="1"/>
        <v>0</v>
      </c>
      <c r="N484" s="21"/>
      <c r="O484" s="22"/>
      <c r="P484" s="19" t="s">
        <v>1145</v>
      </c>
      <c r="Q484" s="18"/>
      <c r="R484" s="18"/>
      <c r="S484" s="23">
        <v>0.0</v>
      </c>
      <c r="T484" s="23">
        <v>0.0</v>
      </c>
      <c r="U484" s="23">
        <f t="shared" si="2"/>
        <v>0</v>
      </c>
      <c r="V484" s="23">
        <f t="shared" si="3"/>
        <v>0</v>
      </c>
      <c r="W484" s="23">
        <f t="shared" si="4"/>
        <v>0</v>
      </c>
      <c r="X484" s="24" t="str">
        <f t="shared" si="5"/>
        <v>#DIV/0!</v>
      </c>
    </row>
    <row r="485">
      <c r="A485" s="15" t="s">
        <v>2064</v>
      </c>
      <c r="B485" s="18"/>
      <c r="C485" s="16" t="str">
        <f>IMAGE("https://i.ibb.co/tr2607D/1643.png")</f>
        <v/>
      </c>
      <c r="D485" s="18"/>
      <c r="E485" s="17" t="s">
        <v>2065</v>
      </c>
      <c r="F485" s="18"/>
      <c r="G485" s="18"/>
      <c r="H485" s="15" t="s">
        <v>2066</v>
      </c>
      <c r="I485" s="15" t="s">
        <v>2067</v>
      </c>
      <c r="J485" s="19" t="s">
        <v>36</v>
      </c>
      <c r="K485" s="19" t="s">
        <v>402</v>
      </c>
      <c r="L485" s="19" t="s">
        <v>38</v>
      </c>
      <c r="M485" s="20">
        <f t="shared" si="1"/>
        <v>0</v>
      </c>
      <c r="N485" s="21"/>
      <c r="O485" s="22"/>
      <c r="P485" s="19" t="s">
        <v>1145</v>
      </c>
      <c r="Q485" s="18"/>
      <c r="R485" s="18"/>
      <c r="S485" s="23">
        <v>0.0</v>
      </c>
      <c r="T485" s="23">
        <v>0.0</v>
      </c>
      <c r="U485" s="23">
        <f t="shared" si="2"/>
        <v>0</v>
      </c>
      <c r="V485" s="23">
        <f t="shared" si="3"/>
        <v>0</v>
      </c>
      <c r="W485" s="23">
        <f t="shared" si="4"/>
        <v>0</v>
      </c>
      <c r="X485" s="24" t="str">
        <f t="shared" si="5"/>
        <v>#DIV/0!</v>
      </c>
    </row>
    <row r="486">
      <c r="A486" s="15" t="s">
        <v>2068</v>
      </c>
      <c r="B486" s="18"/>
      <c r="C486" s="16" t="str">
        <f>IMAGE("https://i.ibb.co/20skXp40/1644.png")</f>
        <v/>
      </c>
      <c r="D486" s="18"/>
      <c r="E486" s="17" t="s">
        <v>2069</v>
      </c>
      <c r="F486" s="18"/>
      <c r="G486" s="18"/>
      <c r="H486" s="15" t="s">
        <v>2070</v>
      </c>
      <c r="I486" s="15" t="s">
        <v>2071</v>
      </c>
      <c r="J486" s="19" t="s">
        <v>36</v>
      </c>
      <c r="K486" s="19" t="s">
        <v>402</v>
      </c>
      <c r="L486" s="19" t="s">
        <v>38</v>
      </c>
      <c r="M486" s="20">
        <f t="shared" si="1"/>
        <v>0</v>
      </c>
      <c r="N486" s="21"/>
      <c r="O486" s="22"/>
      <c r="P486" s="19" t="s">
        <v>1145</v>
      </c>
      <c r="Q486" s="18"/>
      <c r="R486" s="18"/>
      <c r="S486" s="23">
        <v>0.0</v>
      </c>
      <c r="T486" s="23">
        <v>0.0</v>
      </c>
      <c r="U486" s="23">
        <f t="shared" si="2"/>
        <v>0</v>
      </c>
      <c r="V486" s="23">
        <f t="shared" si="3"/>
        <v>0</v>
      </c>
      <c r="W486" s="23">
        <f t="shared" si="4"/>
        <v>0</v>
      </c>
      <c r="X486" s="24" t="str">
        <f t="shared" si="5"/>
        <v>#DIV/0!</v>
      </c>
    </row>
    <row r="487">
      <c r="A487" s="15" t="s">
        <v>2072</v>
      </c>
      <c r="B487" s="18"/>
      <c r="C487" s="16" t="str">
        <f>IMAGE("https://i.ibb.co/1fRsdDsb/1645.png")</f>
        <v/>
      </c>
      <c r="D487" s="18"/>
      <c r="E487" s="17" t="s">
        <v>2073</v>
      </c>
      <c r="F487" s="18"/>
      <c r="G487" s="18"/>
      <c r="H487" s="15" t="s">
        <v>2074</v>
      </c>
      <c r="I487" s="15" t="s">
        <v>2075</v>
      </c>
      <c r="J487" s="19" t="s">
        <v>36</v>
      </c>
      <c r="K487" s="19" t="s">
        <v>402</v>
      </c>
      <c r="L487" s="19" t="s">
        <v>38</v>
      </c>
      <c r="M487" s="20">
        <f t="shared" si="1"/>
        <v>0</v>
      </c>
      <c r="N487" s="21"/>
      <c r="O487" s="22"/>
      <c r="P487" s="19" t="s">
        <v>1145</v>
      </c>
      <c r="Q487" s="18"/>
      <c r="R487" s="18"/>
      <c r="S487" s="23">
        <v>0.0</v>
      </c>
      <c r="T487" s="23">
        <v>0.0</v>
      </c>
      <c r="U487" s="23">
        <f t="shared" si="2"/>
        <v>0</v>
      </c>
      <c r="V487" s="23">
        <f t="shared" si="3"/>
        <v>0</v>
      </c>
      <c r="W487" s="23">
        <f t="shared" si="4"/>
        <v>0</v>
      </c>
      <c r="X487" s="24" t="str">
        <f t="shared" si="5"/>
        <v>#DIV/0!</v>
      </c>
    </row>
    <row r="488">
      <c r="A488" s="15" t="s">
        <v>2076</v>
      </c>
      <c r="B488" s="18"/>
      <c r="C488" s="16" t="str">
        <f>IMAGE("https://i.ibb.co/zTB68Tvv/1646.png")</f>
        <v/>
      </c>
      <c r="D488" s="18"/>
      <c r="E488" s="17" t="s">
        <v>2077</v>
      </c>
      <c r="F488" s="18"/>
      <c r="G488" s="18"/>
      <c r="H488" s="15" t="s">
        <v>2078</v>
      </c>
      <c r="I488" s="15" t="s">
        <v>2079</v>
      </c>
      <c r="J488" s="19" t="s">
        <v>36</v>
      </c>
      <c r="K488" s="19" t="s">
        <v>402</v>
      </c>
      <c r="L488" s="19" t="s">
        <v>38</v>
      </c>
      <c r="M488" s="20">
        <f t="shared" si="1"/>
        <v>0</v>
      </c>
      <c r="N488" s="21"/>
      <c r="O488" s="22"/>
      <c r="P488" s="19" t="s">
        <v>1145</v>
      </c>
      <c r="Q488" s="18"/>
      <c r="R488" s="18"/>
      <c r="S488" s="23">
        <v>0.0</v>
      </c>
      <c r="T488" s="23">
        <v>0.0</v>
      </c>
      <c r="U488" s="23">
        <f t="shared" si="2"/>
        <v>0</v>
      </c>
      <c r="V488" s="23">
        <f t="shared" si="3"/>
        <v>0</v>
      </c>
      <c r="W488" s="23">
        <f t="shared" si="4"/>
        <v>0</v>
      </c>
      <c r="X488" s="24" t="str">
        <f t="shared" si="5"/>
        <v>#DIV/0!</v>
      </c>
    </row>
    <row r="489">
      <c r="A489" s="15" t="s">
        <v>2080</v>
      </c>
      <c r="B489" s="18"/>
      <c r="C489" s="16" t="str">
        <f>IMAGE("https://i.ibb.co/5h5QDLh1/1647.png")</f>
        <v/>
      </c>
      <c r="D489" s="18"/>
      <c r="E489" s="17" t="s">
        <v>2081</v>
      </c>
      <c r="F489" s="18"/>
      <c r="G489" s="18"/>
      <c r="H489" s="15" t="s">
        <v>2082</v>
      </c>
      <c r="I489" s="15" t="s">
        <v>2083</v>
      </c>
      <c r="J489" s="19" t="s">
        <v>36</v>
      </c>
      <c r="K489" s="19" t="s">
        <v>105</v>
      </c>
      <c r="L489" s="19" t="s">
        <v>38</v>
      </c>
      <c r="M489" s="20">
        <f t="shared" si="1"/>
        <v>0</v>
      </c>
      <c r="N489" s="21"/>
      <c r="O489" s="22"/>
      <c r="P489" s="19" t="s">
        <v>1145</v>
      </c>
      <c r="Q489" s="18"/>
      <c r="R489" s="18"/>
      <c r="S489" s="23">
        <v>0.0</v>
      </c>
      <c r="T489" s="23">
        <v>0.0</v>
      </c>
      <c r="U489" s="23">
        <f t="shared" si="2"/>
        <v>0</v>
      </c>
      <c r="V489" s="23">
        <f t="shared" si="3"/>
        <v>0</v>
      </c>
      <c r="W489" s="23">
        <f t="shared" si="4"/>
        <v>0</v>
      </c>
      <c r="X489" s="24" t="str">
        <f t="shared" si="5"/>
        <v>#DIV/0!</v>
      </c>
    </row>
    <row r="490">
      <c r="A490" s="15" t="s">
        <v>2084</v>
      </c>
      <c r="B490" s="18"/>
      <c r="C490" s="16" t="str">
        <f>IMAGE("https://i.ibb.co/7xPkP30f/1648.png")</f>
        <v/>
      </c>
      <c r="D490" s="18"/>
      <c r="E490" s="17" t="s">
        <v>2085</v>
      </c>
      <c r="F490" s="18"/>
      <c r="G490" s="18"/>
      <c r="H490" s="15" t="s">
        <v>2086</v>
      </c>
      <c r="I490" s="15" t="s">
        <v>2087</v>
      </c>
      <c r="J490" s="19" t="s">
        <v>36</v>
      </c>
      <c r="K490" s="19" t="s">
        <v>284</v>
      </c>
      <c r="L490" s="19" t="s">
        <v>38</v>
      </c>
      <c r="M490" s="20">
        <f t="shared" si="1"/>
        <v>0</v>
      </c>
      <c r="N490" s="21"/>
      <c r="O490" s="22"/>
      <c r="P490" s="19" t="s">
        <v>1145</v>
      </c>
      <c r="Q490" s="18"/>
      <c r="R490" s="18"/>
      <c r="S490" s="23">
        <v>0.0</v>
      </c>
      <c r="T490" s="23">
        <v>0.0</v>
      </c>
      <c r="U490" s="23">
        <f t="shared" si="2"/>
        <v>0</v>
      </c>
      <c r="V490" s="23">
        <f t="shared" si="3"/>
        <v>0</v>
      </c>
      <c r="W490" s="23">
        <f t="shared" si="4"/>
        <v>0</v>
      </c>
      <c r="X490" s="24" t="str">
        <f t="shared" si="5"/>
        <v>#DIV/0!</v>
      </c>
    </row>
    <row r="491">
      <c r="A491" s="15" t="s">
        <v>2088</v>
      </c>
      <c r="B491" s="18"/>
      <c r="C491" s="16" t="str">
        <f>IMAGE("https://i.ibb.co/tP243sjf/1657.png")</f>
        <v/>
      </c>
      <c r="D491" s="18"/>
      <c r="E491" s="17" t="s">
        <v>2089</v>
      </c>
      <c r="F491" s="18"/>
      <c r="G491" s="18"/>
      <c r="H491" s="15" t="s">
        <v>2090</v>
      </c>
      <c r="I491" s="15" t="s">
        <v>2091</v>
      </c>
      <c r="J491" s="19" t="s">
        <v>36</v>
      </c>
      <c r="K491" s="19" t="s">
        <v>105</v>
      </c>
      <c r="L491" s="19" t="s">
        <v>38</v>
      </c>
      <c r="M491" s="20">
        <f t="shared" si="1"/>
        <v>0</v>
      </c>
      <c r="N491" s="21"/>
      <c r="O491" s="22"/>
      <c r="P491" s="19" t="s">
        <v>1145</v>
      </c>
      <c r="Q491" s="18"/>
      <c r="R491" s="18"/>
      <c r="S491" s="23">
        <v>0.0</v>
      </c>
      <c r="T491" s="23">
        <v>0.0</v>
      </c>
      <c r="U491" s="23">
        <f t="shared" si="2"/>
        <v>0</v>
      </c>
      <c r="V491" s="23">
        <f t="shared" si="3"/>
        <v>0</v>
      </c>
      <c r="W491" s="23">
        <f t="shared" si="4"/>
        <v>0</v>
      </c>
      <c r="X491" s="24" t="str">
        <f t="shared" si="5"/>
        <v>#DIV/0!</v>
      </c>
    </row>
    <row r="492">
      <c r="A492" s="15" t="s">
        <v>2092</v>
      </c>
      <c r="B492" s="18"/>
      <c r="C492" s="16" t="str">
        <f>IMAGE("https://i.ibb.co/gZ92WBdD/1658.png")</f>
        <v/>
      </c>
      <c r="D492" s="18"/>
      <c r="E492" s="17" t="s">
        <v>2093</v>
      </c>
      <c r="F492" s="18"/>
      <c r="G492" s="18"/>
      <c r="H492" s="15" t="s">
        <v>2094</v>
      </c>
      <c r="I492" s="15" t="s">
        <v>2095</v>
      </c>
      <c r="J492" s="19" t="s">
        <v>36</v>
      </c>
      <c r="K492" s="19" t="s">
        <v>105</v>
      </c>
      <c r="L492" s="19" t="s">
        <v>38</v>
      </c>
      <c r="M492" s="20">
        <f t="shared" si="1"/>
        <v>0</v>
      </c>
      <c r="N492" s="21"/>
      <c r="O492" s="22"/>
      <c r="P492" s="19" t="s">
        <v>1145</v>
      </c>
      <c r="Q492" s="18"/>
      <c r="R492" s="18"/>
      <c r="S492" s="23">
        <v>0.0</v>
      </c>
      <c r="T492" s="23">
        <v>0.0</v>
      </c>
      <c r="U492" s="23">
        <f t="shared" si="2"/>
        <v>0</v>
      </c>
      <c r="V492" s="23">
        <f t="shared" si="3"/>
        <v>0</v>
      </c>
      <c r="W492" s="23">
        <f t="shared" si="4"/>
        <v>0</v>
      </c>
      <c r="X492" s="24" t="str">
        <f t="shared" si="5"/>
        <v>#DIV/0!</v>
      </c>
    </row>
    <row r="493">
      <c r="A493" s="15" t="s">
        <v>2096</v>
      </c>
      <c r="B493" s="18"/>
      <c r="C493" s="16" t="str">
        <f>IMAGE("https://i.ibb.co/JjrxZV7d/1659.png")</f>
        <v/>
      </c>
      <c r="D493" s="18"/>
      <c r="E493" s="17" t="s">
        <v>2097</v>
      </c>
      <c r="F493" s="18"/>
      <c r="G493" s="18"/>
      <c r="H493" s="15" t="s">
        <v>2098</v>
      </c>
      <c r="I493" s="15" t="s">
        <v>2099</v>
      </c>
      <c r="J493" s="19" t="s">
        <v>36</v>
      </c>
      <c r="K493" s="19" t="s">
        <v>105</v>
      </c>
      <c r="L493" s="19" t="s">
        <v>38</v>
      </c>
      <c r="M493" s="20">
        <f t="shared" si="1"/>
        <v>0</v>
      </c>
      <c r="N493" s="21"/>
      <c r="O493" s="22"/>
      <c r="P493" s="19" t="s">
        <v>1145</v>
      </c>
      <c r="Q493" s="18"/>
      <c r="R493" s="18"/>
      <c r="S493" s="23">
        <v>0.0</v>
      </c>
      <c r="T493" s="23">
        <v>0.0</v>
      </c>
      <c r="U493" s="23">
        <f t="shared" si="2"/>
        <v>0</v>
      </c>
      <c r="V493" s="23">
        <f t="shared" si="3"/>
        <v>0</v>
      </c>
      <c r="W493" s="23">
        <f t="shared" si="4"/>
        <v>0</v>
      </c>
      <c r="X493" s="24" t="str">
        <f t="shared" si="5"/>
        <v>#DIV/0!</v>
      </c>
    </row>
    <row r="494">
      <c r="A494" s="15" t="s">
        <v>2100</v>
      </c>
      <c r="B494" s="18"/>
      <c r="C494" s="16" t="str">
        <f>IMAGE("https://i.ibb.co/t0vBfq6/1660.png")</f>
        <v/>
      </c>
      <c r="D494" s="18"/>
      <c r="E494" s="17" t="s">
        <v>2101</v>
      </c>
      <c r="F494" s="18"/>
      <c r="G494" s="18"/>
      <c r="H494" s="15" t="s">
        <v>2102</v>
      </c>
      <c r="I494" s="15" t="s">
        <v>2103</v>
      </c>
      <c r="J494" s="19" t="s">
        <v>36</v>
      </c>
      <c r="K494" s="19" t="s">
        <v>105</v>
      </c>
      <c r="L494" s="19" t="s">
        <v>38</v>
      </c>
      <c r="M494" s="20">
        <f t="shared" si="1"/>
        <v>0</v>
      </c>
      <c r="N494" s="21"/>
      <c r="O494" s="22"/>
      <c r="P494" s="19" t="s">
        <v>1145</v>
      </c>
      <c r="Q494" s="18"/>
      <c r="R494" s="18"/>
      <c r="S494" s="23">
        <v>0.0</v>
      </c>
      <c r="T494" s="23">
        <v>0.0</v>
      </c>
      <c r="U494" s="23">
        <f t="shared" si="2"/>
        <v>0</v>
      </c>
      <c r="V494" s="23">
        <f t="shared" si="3"/>
        <v>0</v>
      </c>
      <c r="W494" s="23">
        <f t="shared" si="4"/>
        <v>0</v>
      </c>
      <c r="X494" s="24" t="str">
        <f t="shared" si="5"/>
        <v>#DIV/0!</v>
      </c>
    </row>
    <row r="495">
      <c r="A495" s="15" t="s">
        <v>2104</v>
      </c>
      <c r="B495" s="18"/>
      <c r="C495" s="16" t="str">
        <f>IMAGE("https://i.ibb.co/JF3NR947/1661.png")</f>
        <v/>
      </c>
      <c r="D495" s="18"/>
      <c r="E495" s="17" t="s">
        <v>2105</v>
      </c>
      <c r="F495" s="18"/>
      <c r="G495" s="18"/>
      <c r="H495" s="15" t="s">
        <v>2106</v>
      </c>
      <c r="I495" s="15" t="s">
        <v>2107</v>
      </c>
      <c r="J495" s="19" t="s">
        <v>36</v>
      </c>
      <c r="K495" s="19" t="s">
        <v>105</v>
      </c>
      <c r="L495" s="19" t="s">
        <v>38</v>
      </c>
      <c r="M495" s="20">
        <f t="shared" si="1"/>
        <v>0</v>
      </c>
      <c r="N495" s="21"/>
      <c r="O495" s="22"/>
      <c r="P495" s="19" t="s">
        <v>1145</v>
      </c>
      <c r="Q495" s="18"/>
      <c r="R495" s="18"/>
      <c r="S495" s="23">
        <v>0.0</v>
      </c>
      <c r="T495" s="23">
        <v>0.0</v>
      </c>
      <c r="U495" s="23">
        <f t="shared" si="2"/>
        <v>0</v>
      </c>
      <c r="V495" s="23">
        <f t="shared" si="3"/>
        <v>0</v>
      </c>
      <c r="W495" s="23">
        <f t="shared" si="4"/>
        <v>0</v>
      </c>
      <c r="X495" s="24" t="str">
        <f t="shared" si="5"/>
        <v>#DIV/0!</v>
      </c>
    </row>
    <row r="496">
      <c r="A496" s="15" t="s">
        <v>2108</v>
      </c>
      <c r="B496" s="18"/>
      <c r="C496" s="16" t="str">
        <f>IMAGE("https://i.ibb.co/7hHSCRn/1663.png")</f>
        <v/>
      </c>
      <c r="D496" s="18"/>
      <c r="E496" s="17" t="s">
        <v>2109</v>
      </c>
      <c r="F496" s="18"/>
      <c r="G496" s="18"/>
      <c r="H496" s="15" t="s">
        <v>2110</v>
      </c>
      <c r="I496" s="15" t="s">
        <v>2111</v>
      </c>
      <c r="J496" s="19" t="s">
        <v>36</v>
      </c>
      <c r="K496" s="19" t="s">
        <v>105</v>
      </c>
      <c r="L496" s="19" t="s">
        <v>38</v>
      </c>
      <c r="M496" s="20">
        <f t="shared" si="1"/>
        <v>0</v>
      </c>
      <c r="N496" s="21"/>
      <c r="O496" s="22"/>
      <c r="P496" s="19" t="s">
        <v>1145</v>
      </c>
      <c r="Q496" s="18"/>
      <c r="R496" s="18"/>
      <c r="S496" s="23">
        <v>0.0</v>
      </c>
      <c r="T496" s="23">
        <v>0.0</v>
      </c>
      <c r="U496" s="23">
        <f t="shared" si="2"/>
        <v>0</v>
      </c>
      <c r="V496" s="23">
        <f t="shared" si="3"/>
        <v>0</v>
      </c>
      <c r="W496" s="23">
        <f t="shared" si="4"/>
        <v>0</v>
      </c>
      <c r="X496" s="24" t="str">
        <f t="shared" si="5"/>
        <v>#DIV/0!</v>
      </c>
    </row>
    <row r="497">
      <c r="A497" s="15" t="s">
        <v>2112</v>
      </c>
      <c r="B497" s="18"/>
      <c r="C497" s="16" t="str">
        <f>IMAGE("https://i.ibb.co/Rp0KX1m3/1664.png")</f>
        <v/>
      </c>
      <c r="D497" s="18"/>
      <c r="E497" s="17" t="s">
        <v>2113</v>
      </c>
      <c r="F497" s="18"/>
      <c r="G497" s="18"/>
      <c r="H497" s="15" t="s">
        <v>2114</v>
      </c>
      <c r="I497" s="15" t="s">
        <v>2115</v>
      </c>
      <c r="J497" s="19" t="s">
        <v>36</v>
      </c>
      <c r="K497" s="19" t="s">
        <v>105</v>
      </c>
      <c r="L497" s="19" t="s">
        <v>38</v>
      </c>
      <c r="M497" s="20">
        <f t="shared" si="1"/>
        <v>0</v>
      </c>
      <c r="N497" s="21"/>
      <c r="O497" s="22"/>
      <c r="P497" s="19" t="s">
        <v>1145</v>
      </c>
      <c r="Q497" s="18"/>
      <c r="R497" s="18"/>
      <c r="S497" s="23">
        <v>0.0</v>
      </c>
      <c r="T497" s="23">
        <v>0.0</v>
      </c>
      <c r="U497" s="23">
        <f t="shared" si="2"/>
        <v>0</v>
      </c>
      <c r="V497" s="23">
        <f t="shared" si="3"/>
        <v>0</v>
      </c>
      <c r="W497" s="23">
        <f t="shared" si="4"/>
        <v>0</v>
      </c>
      <c r="X497" s="24" t="str">
        <f t="shared" si="5"/>
        <v>#DIV/0!</v>
      </c>
    </row>
    <row r="498">
      <c r="A498" s="15" t="s">
        <v>2116</v>
      </c>
      <c r="B498" s="18"/>
      <c r="C498" s="16" t="str">
        <f>IMAGE("https://i.ibb.co/WpPZxkRw/1665.png")</f>
        <v/>
      </c>
      <c r="D498" s="18"/>
      <c r="E498" s="17" t="s">
        <v>2117</v>
      </c>
      <c r="F498" s="18"/>
      <c r="G498" s="18"/>
      <c r="H498" s="15" t="s">
        <v>2118</v>
      </c>
      <c r="I498" s="15" t="s">
        <v>2119</v>
      </c>
      <c r="J498" s="19" t="s">
        <v>36</v>
      </c>
      <c r="K498" s="19" t="s">
        <v>105</v>
      </c>
      <c r="L498" s="19" t="s">
        <v>38</v>
      </c>
      <c r="M498" s="20">
        <f t="shared" si="1"/>
        <v>0</v>
      </c>
      <c r="N498" s="21"/>
      <c r="O498" s="22"/>
      <c r="P498" s="19" t="s">
        <v>1145</v>
      </c>
      <c r="Q498" s="18"/>
      <c r="R498" s="18"/>
      <c r="S498" s="23">
        <v>0.0</v>
      </c>
      <c r="T498" s="23">
        <v>0.0</v>
      </c>
      <c r="U498" s="23">
        <f t="shared" si="2"/>
        <v>0</v>
      </c>
      <c r="V498" s="23">
        <f t="shared" si="3"/>
        <v>0</v>
      </c>
      <c r="W498" s="23">
        <f t="shared" si="4"/>
        <v>0</v>
      </c>
      <c r="X498" s="24" t="str">
        <f t="shared" si="5"/>
        <v>#DIV/0!</v>
      </c>
    </row>
    <row r="499">
      <c r="A499" s="15" t="s">
        <v>2120</v>
      </c>
      <c r="B499" s="18"/>
      <c r="C499" s="16" t="str">
        <f>IMAGE("https://i.ibb.co/FLhybJ8F/1666.png")</f>
        <v/>
      </c>
      <c r="D499" s="18"/>
      <c r="E499" s="17" t="s">
        <v>2121</v>
      </c>
      <c r="F499" s="18"/>
      <c r="G499" s="18"/>
      <c r="H499" s="15" t="s">
        <v>2122</v>
      </c>
      <c r="I499" s="15" t="s">
        <v>2123</v>
      </c>
      <c r="J499" s="19" t="s">
        <v>36</v>
      </c>
      <c r="K499" s="19" t="s">
        <v>105</v>
      </c>
      <c r="L499" s="19" t="s">
        <v>38</v>
      </c>
      <c r="M499" s="20">
        <f t="shared" si="1"/>
        <v>0</v>
      </c>
      <c r="N499" s="21"/>
      <c r="O499" s="22"/>
      <c r="P499" s="19" t="s">
        <v>1145</v>
      </c>
      <c r="Q499" s="18"/>
      <c r="R499" s="18"/>
      <c r="S499" s="23">
        <v>0.0</v>
      </c>
      <c r="T499" s="23">
        <v>0.0</v>
      </c>
      <c r="U499" s="23">
        <f t="shared" si="2"/>
        <v>0</v>
      </c>
      <c r="V499" s="23">
        <f t="shared" si="3"/>
        <v>0</v>
      </c>
      <c r="W499" s="23">
        <f t="shared" si="4"/>
        <v>0</v>
      </c>
      <c r="X499" s="24" t="str">
        <f t="shared" si="5"/>
        <v>#DIV/0!</v>
      </c>
    </row>
    <row r="500">
      <c r="A500" s="15" t="s">
        <v>2124</v>
      </c>
      <c r="B500" s="18"/>
      <c r="C500" s="16" t="str">
        <f>IMAGE("https://i.ibb.co/dZqQ35N/1667.png")</f>
        <v/>
      </c>
      <c r="D500" s="18"/>
      <c r="E500" s="17" t="s">
        <v>2125</v>
      </c>
      <c r="F500" s="18"/>
      <c r="G500" s="18"/>
      <c r="H500" s="15" t="s">
        <v>2126</v>
      </c>
      <c r="I500" s="15" t="s">
        <v>2127</v>
      </c>
      <c r="J500" s="19" t="s">
        <v>36</v>
      </c>
      <c r="K500" s="19" t="s">
        <v>105</v>
      </c>
      <c r="L500" s="19" t="s">
        <v>38</v>
      </c>
      <c r="M500" s="20">
        <f t="shared" si="1"/>
        <v>0</v>
      </c>
      <c r="N500" s="21"/>
      <c r="O500" s="22"/>
      <c r="P500" s="19" t="s">
        <v>1145</v>
      </c>
      <c r="Q500" s="18"/>
      <c r="R500" s="18"/>
      <c r="S500" s="23">
        <v>0.0</v>
      </c>
      <c r="T500" s="23">
        <v>0.0</v>
      </c>
      <c r="U500" s="23">
        <f t="shared" si="2"/>
        <v>0</v>
      </c>
      <c r="V500" s="23">
        <f t="shared" si="3"/>
        <v>0</v>
      </c>
      <c r="W500" s="23">
        <f t="shared" si="4"/>
        <v>0</v>
      </c>
      <c r="X500" s="24" t="str">
        <f t="shared" si="5"/>
        <v>#DIV/0!</v>
      </c>
    </row>
    <row r="501">
      <c r="A501" s="15" t="s">
        <v>2128</v>
      </c>
      <c r="B501" s="18"/>
      <c r="C501" s="16" t="str">
        <f>IMAGE("https://i.ibb.co/kVK7xn5X/1668.png")</f>
        <v/>
      </c>
      <c r="D501" s="18"/>
      <c r="E501" s="17" t="s">
        <v>482</v>
      </c>
      <c r="F501" s="18"/>
      <c r="G501" s="18"/>
      <c r="H501" s="15" t="s">
        <v>2129</v>
      </c>
      <c r="I501" s="15" t="s">
        <v>2130</v>
      </c>
      <c r="J501" s="19" t="s">
        <v>36</v>
      </c>
      <c r="K501" s="19" t="s">
        <v>105</v>
      </c>
      <c r="L501" s="19" t="s">
        <v>38</v>
      </c>
      <c r="M501" s="20">
        <f t="shared" si="1"/>
        <v>0</v>
      </c>
      <c r="N501" s="21"/>
      <c r="O501" s="22"/>
      <c r="P501" s="19" t="s">
        <v>1145</v>
      </c>
      <c r="Q501" s="18"/>
      <c r="R501" s="18"/>
      <c r="S501" s="23">
        <v>0.0</v>
      </c>
      <c r="T501" s="23">
        <v>0.0</v>
      </c>
      <c r="U501" s="23">
        <f t="shared" si="2"/>
        <v>0</v>
      </c>
      <c r="V501" s="23">
        <f t="shared" si="3"/>
        <v>0</v>
      </c>
      <c r="W501" s="23">
        <f t="shared" si="4"/>
        <v>0</v>
      </c>
      <c r="X501" s="24" t="str">
        <f t="shared" si="5"/>
        <v>#DIV/0!</v>
      </c>
    </row>
    <row r="502">
      <c r="A502" s="15" t="s">
        <v>2131</v>
      </c>
      <c r="B502" s="18"/>
      <c r="C502" s="16" t="str">
        <f>IMAGE("https://i.ibb.co/Hfw3Yr5D/1669.png")</f>
        <v/>
      </c>
      <c r="D502" s="18"/>
      <c r="E502" s="17" t="s">
        <v>2132</v>
      </c>
      <c r="F502" s="18"/>
      <c r="G502" s="18"/>
      <c r="H502" s="15" t="s">
        <v>2133</v>
      </c>
      <c r="I502" s="15" t="s">
        <v>2134</v>
      </c>
      <c r="J502" s="19" t="s">
        <v>36</v>
      </c>
      <c r="K502" s="19" t="s">
        <v>105</v>
      </c>
      <c r="L502" s="19" t="s">
        <v>38</v>
      </c>
      <c r="M502" s="20">
        <f t="shared" si="1"/>
        <v>0</v>
      </c>
      <c r="N502" s="21"/>
      <c r="O502" s="22"/>
      <c r="P502" s="19" t="s">
        <v>1145</v>
      </c>
      <c r="Q502" s="18"/>
      <c r="R502" s="18"/>
      <c r="S502" s="23">
        <v>0.0</v>
      </c>
      <c r="T502" s="23">
        <v>0.0</v>
      </c>
      <c r="U502" s="23">
        <f t="shared" si="2"/>
        <v>0</v>
      </c>
      <c r="V502" s="23">
        <f t="shared" si="3"/>
        <v>0</v>
      </c>
      <c r="W502" s="23">
        <f t="shared" si="4"/>
        <v>0</v>
      </c>
      <c r="X502" s="24" t="str">
        <f t="shared" si="5"/>
        <v>#DIV/0!</v>
      </c>
    </row>
    <row r="503">
      <c r="A503" s="15" t="s">
        <v>2135</v>
      </c>
      <c r="B503" s="18"/>
      <c r="C503" s="16" t="str">
        <f t="shared" ref="C503:C504" si="10">IMAGE("https://i.ibb.co/9kJvZ1hS/1671.png")</f>
        <v/>
      </c>
      <c r="D503" s="18"/>
      <c r="E503" s="17" t="s">
        <v>2136</v>
      </c>
      <c r="F503" s="18"/>
      <c r="G503" s="18"/>
      <c r="H503" s="15" t="s">
        <v>2137</v>
      </c>
      <c r="I503" s="15" t="s">
        <v>2138</v>
      </c>
      <c r="J503" s="19" t="s">
        <v>36</v>
      </c>
      <c r="K503" s="19" t="s">
        <v>402</v>
      </c>
      <c r="L503" s="19" t="s">
        <v>38</v>
      </c>
      <c r="M503" s="20">
        <f t="shared" si="1"/>
        <v>0</v>
      </c>
      <c r="N503" s="21"/>
      <c r="O503" s="22"/>
      <c r="P503" s="19" t="s">
        <v>1145</v>
      </c>
      <c r="Q503" s="18"/>
      <c r="R503" s="18"/>
      <c r="S503" s="23">
        <v>0.0</v>
      </c>
      <c r="T503" s="23">
        <v>0.0</v>
      </c>
      <c r="U503" s="23">
        <f t="shared" si="2"/>
        <v>0</v>
      </c>
      <c r="V503" s="23">
        <f t="shared" si="3"/>
        <v>0</v>
      </c>
      <c r="W503" s="23">
        <f t="shared" si="4"/>
        <v>0</v>
      </c>
      <c r="X503" s="24" t="str">
        <f t="shared" si="5"/>
        <v>#DIV/0!</v>
      </c>
    </row>
    <row r="504">
      <c r="A504" s="15" t="s">
        <v>2139</v>
      </c>
      <c r="B504" s="18"/>
      <c r="C504" s="16" t="str">
        <f t="shared" si="10"/>
        <v/>
      </c>
      <c r="D504" s="18"/>
      <c r="E504" s="17" t="s">
        <v>2140</v>
      </c>
      <c r="F504" s="18"/>
      <c r="G504" s="18"/>
      <c r="H504" s="15" t="s">
        <v>2141</v>
      </c>
      <c r="I504" s="15" t="s">
        <v>2142</v>
      </c>
      <c r="J504" s="19" t="s">
        <v>36</v>
      </c>
      <c r="K504" s="19" t="s">
        <v>402</v>
      </c>
      <c r="L504" s="19" t="s">
        <v>38</v>
      </c>
      <c r="M504" s="20">
        <f t="shared" si="1"/>
        <v>0</v>
      </c>
      <c r="N504" s="21"/>
      <c r="O504" s="22"/>
      <c r="P504" s="19" t="s">
        <v>1145</v>
      </c>
      <c r="Q504" s="18"/>
      <c r="R504" s="18"/>
      <c r="S504" s="23">
        <v>0.0</v>
      </c>
      <c r="T504" s="23">
        <v>0.0</v>
      </c>
      <c r="U504" s="23">
        <f t="shared" si="2"/>
        <v>0</v>
      </c>
      <c r="V504" s="23">
        <f t="shared" si="3"/>
        <v>0</v>
      </c>
      <c r="W504" s="23">
        <f t="shared" si="4"/>
        <v>0</v>
      </c>
      <c r="X504" s="24" t="str">
        <f t="shared" si="5"/>
        <v>#DIV/0!</v>
      </c>
    </row>
    <row r="505">
      <c r="A505" s="15" t="s">
        <v>2143</v>
      </c>
      <c r="B505" s="18"/>
      <c r="C505" s="16" t="str">
        <f>IMAGE("https://i.ibb.co/zWRd54Jj/1672.png")</f>
        <v/>
      </c>
      <c r="D505" s="18"/>
      <c r="E505" s="17" t="s">
        <v>2144</v>
      </c>
      <c r="F505" s="18"/>
      <c r="G505" s="18"/>
      <c r="H505" s="15" t="s">
        <v>2145</v>
      </c>
      <c r="I505" s="15" t="s">
        <v>2146</v>
      </c>
      <c r="J505" s="19" t="s">
        <v>36</v>
      </c>
      <c r="K505" s="19" t="s">
        <v>37</v>
      </c>
      <c r="L505" s="19" t="s">
        <v>38</v>
      </c>
      <c r="M505" s="20">
        <f t="shared" si="1"/>
        <v>0</v>
      </c>
      <c r="N505" s="21"/>
      <c r="O505" s="22"/>
      <c r="P505" s="19" t="s">
        <v>1145</v>
      </c>
      <c r="Q505" s="18"/>
      <c r="R505" s="18"/>
      <c r="S505" s="23">
        <v>0.0</v>
      </c>
      <c r="T505" s="23">
        <v>0.0</v>
      </c>
      <c r="U505" s="23">
        <f t="shared" si="2"/>
        <v>0</v>
      </c>
      <c r="V505" s="23">
        <f t="shared" si="3"/>
        <v>0</v>
      </c>
      <c r="W505" s="23">
        <f t="shared" si="4"/>
        <v>0</v>
      </c>
      <c r="X505" s="24" t="str">
        <f t="shared" si="5"/>
        <v>#DIV/0!</v>
      </c>
    </row>
    <row r="506">
      <c r="A506" s="15" t="s">
        <v>2147</v>
      </c>
      <c r="B506" s="18"/>
      <c r="C506" s="16" t="str">
        <f>IMAGE("https://i.ibb.co/jvdZfZC0/1673.png")</f>
        <v/>
      </c>
      <c r="D506" s="18"/>
      <c r="E506" s="17" t="s">
        <v>2148</v>
      </c>
      <c r="F506" s="18"/>
      <c r="G506" s="18"/>
      <c r="H506" s="15" t="s">
        <v>2149</v>
      </c>
      <c r="I506" s="15" t="s">
        <v>2150</v>
      </c>
      <c r="J506" s="19" t="s">
        <v>36</v>
      </c>
      <c r="K506" s="19" t="s">
        <v>37</v>
      </c>
      <c r="L506" s="19" t="s">
        <v>38</v>
      </c>
      <c r="M506" s="20">
        <f t="shared" si="1"/>
        <v>0</v>
      </c>
      <c r="N506" s="21"/>
      <c r="O506" s="22"/>
      <c r="P506" s="19" t="s">
        <v>1145</v>
      </c>
      <c r="Q506" s="18"/>
      <c r="R506" s="18"/>
      <c r="S506" s="23">
        <v>0.0</v>
      </c>
      <c r="T506" s="23">
        <v>0.0</v>
      </c>
      <c r="U506" s="23">
        <f t="shared" si="2"/>
        <v>0</v>
      </c>
      <c r="V506" s="23">
        <f t="shared" si="3"/>
        <v>0</v>
      </c>
      <c r="W506" s="23">
        <f t="shared" si="4"/>
        <v>0</v>
      </c>
      <c r="X506" s="24" t="str">
        <f t="shared" si="5"/>
        <v>#DIV/0!</v>
      </c>
    </row>
    <row r="507">
      <c r="A507" s="15" t="s">
        <v>2151</v>
      </c>
      <c r="B507" s="18"/>
      <c r="C507" s="16" t="str">
        <f>IMAGE("https://i.ibb.co/XgM1zMK/1674.png")</f>
        <v/>
      </c>
      <c r="D507" s="18"/>
      <c r="E507" s="17" t="s">
        <v>2152</v>
      </c>
      <c r="F507" s="18"/>
      <c r="G507" s="18"/>
      <c r="H507" s="15" t="s">
        <v>2153</v>
      </c>
      <c r="I507" s="15" t="s">
        <v>2154</v>
      </c>
      <c r="J507" s="19" t="s">
        <v>36</v>
      </c>
      <c r="K507" s="19" t="s">
        <v>105</v>
      </c>
      <c r="L507" s="19" t="s">
        <v>38</v>
      </c>
      <c r="M507" s="20">
        <f t="shared" si="1"/>
        <v>0</v>
      </c>
      <c r="N507" s="21"/>
      <c r="O507" s="22"/>
      <c r="P507" s="19" t="s">
        <v>1145</v>
      </c>
      <c r="Q507" s="18"/>
      <c r="R507" s="18"/>
      <c r="S507" s="23">
        <v>0.0</v>
      </c>
      <c r="T507" s="23">
        <v>0.0</v>
      </c>
      <c r="U507" s="23">
        <f t="shared" si="2"/>
        <v>0</v>
      </c>
      <c r="V507" s="23">
        <f t="shared" si="3"/>
        <v>0</v>
      </c>
      <c r="W507" s="23">
        <f t="shared" si="4"/>
        <v>0</v>
      </c>
      <c r="X507" s="24" t="str">
        <f t="shared" si="5"/>
        <v>#DIV/0!</v>
      </c>
    </row>
    <row r="508">
      <c r="A508" s="15" t="s">
        <v>2155</v>
      </c>
      <c r="B508" s="18"/>
      <c r="C508" s="16" t="str">
        <f>IMAGE("https://i.ibb.co/bj1GJj8X/1675.png")</f>
        <v/>
      </c>
      <c r="D508" s="18"/>
      <c r="E508" s="17" t="s">
        <v>2156</v>
      </c>
      <c r="F508" s="18"/>
      <c r="G508" s="18"/>
      <c r="H508" s="15" t="s">
        <v>2157</v>
      </c>
      <c r="I508" s="15" t="s">
        <v>2158</v>
      </c>
      <c r="J508" s="19" t="s">
        <v>36</v>
      </c>
      <c r="K508" s="19" t="s">
        <v>105</v>
      </c>
      <c r="L508" s="19" t="s">
        <v>38</v>
      </c>
      <c r="M508" s="20">
        <f t="shared" si="1"/>
        <v>0</v>
      </c>
      <c r="N508" s="21"/>
      <c r="O508" s="22"/>
      <c r="P508" s="19" t="s">
        <v>1145</v>
      </c>
      <c r="Q508" s="18"/>
      <c r="R508" s="18"/>
      <c r="S508" s="23">
        <v>0.0</v>
      </c>
      <c r="T508" s="23">
        <v>0.0</v>
      </c>
      <c r="U508" s="23">
        <f t="shared" si="2"/>
        <v>0</v>
      </c>
      <c r="V508" s="23">
        <f t="shared" si="3"/>
        <v>0</v>
      </c>
      <c r="W508" s="23">
        <f t="shared" si="4"/>
        <v>0</v>
      </c>
      <c r="X508" s="24" t="str">
        <f t="shared" si="5"/>
        <v>#DIV/0!</v>
      </c>
    </row>
    <row r="509">
      <c r="A509" s="15" t="s">
        <v>2159</v>
      </c>
      <c r="B509" s="18"/>
      <c r="C509" s="16" t="str">
        <f>IMAGE("https://i.ibb.co/1G4D5rhP/1676.png")</f>
        <v/>
      </c>
      <c r="D509" s="18"/>
      <c r="E509" s="17" t="s">
        <v>2160</v>
      </c>
      <c r="F509" s="18"/>
      <c r="G509" s="18"/>
      <c r="H509" s="15" t="s">
        <v>2161</v>
      </c>
      <c r="I509" s="15" t="s">
        <v>2162</v>
      </c>
      <c r="J509" s="19" t="s">
        <v>36</v>
      </c>
      <c r="K509" s="19" t="s">
        <v>105</v>
      </c>
      <c r="L509" s="19" t="s">
        <v>38</v>
      </c>
      <c r="M509" s="20">
        <f t="shared" si="1"/>
        <v>0</v>
      </c>
      <c r="N509" s="21"/>
      <c r="O509" s="22"/>
      <c r="P509" s="19" t="s">
        <v>1145</v>
      </c>
      <c r="Q509" s="18"/>
      <c r="R509" s="18"/>
      <c r="S509" s="23">
        <v>0.0</v>
      </c>
      <c r="T509" s="23">
        <v>0.0</v>
      </c>
      <c r="U509" s="23">
        <f t="shared" si="2"/>
        <v>0</v>
      </c>
      <c r="V509" s="23">
        <f t="shared" si="3"/>
        <v>0</v>
      </c>
      <c r="W509" s="23">
        <f t="shared" si="4"/>
        <v>0</v>
      </c>
      <c r="X509" s="24" t="str">
        <f t="shared" si="5"/>
        <v>#DIV/0!</v>
      </c>
    </row>
    <row r="510">
      <c r="A510" s="15" t="s">
        <v>2163</v>
      </c>
      <c r="B510" s="18"/>
      <c r="C510" s="16" t="str">
        <f>IMAGE("https://i.ibb.co/s9TzPscv/1677.png")</f>
        <v/>
      </c>
      <c r="D510" s="18"/>
      <c r="E510" s="17" t="s">
        <v>2164</v>
      </c>
      <c r="F510" s="18"/>
      <c r="G510" s="18"/>
      <c r="H510" s="15" t="s">
        <v>2165</v>
      </c>
      <c r="I510" s="15" t="s">
        <v>2166</v>
      </c>
      <c r="J510" s="19" t="s">
        <v>36</v>
      </c>
      <c r="K510" s="19" t="s">
        <v>603</v>
      </c>
      <c r="L510" s="19" t="s">
        <v>38</v>
      </c>
      <c r="M510" s="20">
        <f t="shared" si="1"/>
        <v>0</v>
      </c>
      <c r="N510" s="21"/>
      <c r="O510" s="22"/>
      <c r="P510" s="19" t="s">
        <v>1145</v>
      </c>
      <c r="Q510" s="18"/>
      <c r="R510" s="18"/>
      <c r="S510" s="23">
        <v>0.0</v>
      </c>
      <c r="T510" s="23">
        <v>0.0</v>
      </c>
      <c r="U510" s="23">
        <f t="shared" si="2"/>
        <v>0</v>
      </c>
      <c r="V510" s="23">
        <f t="shared" si="3"/>
        <v>0</v>
      </c>
      <c r="W510" s="23">
        <f t="shared" si="4"/>
        <v>0</v>
      </c>
      <c r="X510" s="24" t="str">
        <f t="shared" si="5"/>
        <v>#DIV/0!</v>
      </c>
    </row>
    <row r="511">
      <c r="A511" s="15" t="s">
        <v>2167</v>
      </c>
      <c r="B511" s="18"/>
      <c r="C511" s="16" t="str">
        <f>IMAGE("https://i.ibb.co/d0cksrJ1/1678.png")</f>
        <v/>
      </c>
      <c r="D511" s="18"/>
      <c r="E511" s="17" t="s">
        <v>2168</v>
      </c>
      <c r="F511" s="18"/>
      <c r="G511" s="18"/>
      <c r="H511" s="15" t="s">
        <v>2169</v>
      </c>
      <c r="I511" s="15" t="s">
        <v>2170</v>
      </c>
      <c r="J511" s="19" t="s">
        <v>36</v>
      </c>
      <c r="K511" s="19" t="s">
        <v>1230</v>
      </c>
      <c r="L511" s="19" t="s">
        <v>38</v>
      </c>
      <c r="M511" s="20">
        <f t="shared" si="1"/>
        <v>0</v>
      </c>
      <c r="N511" s="21"/>
      <c r="O511" s="22"/>
      <c r="P511" s="19" t="s">
        <v>1145</v>
      </c>
      <c r="Q511" s="18"/>
      <c r="R511" s="18"/>
      <c r="S511" s="23">
        <v>0.0</v>
      </c>
      <c r="T511" s="23">
        <v>0.0</v>
      </c>
      <c r="U511" s="23">
        <f t="shared" si="2"/>
        <v>0</v>
      </c>
      <c r="V511" s="23">
        <f t="shared" si="3"/>
        <v>0</v>
      </c>
      <c r="W511" s="23">
        <f t="shared" si="4"/>
        <v>0</v>
      </c>
      <c r="X511" s="24" t="str">
        <f t="shared" si="5"/>
        <v>#DIV/0!</v>
      </c>
    </row>
    <row r="512">
      <c r="A512" s="15" t="s">
        <v>2171</v>
      </c>
      <c r="B512" s="18"/>
      <c r="C512" s="16" t="str">
        <f>IMAGE("https://i.ibb.co/bgRpK7kV/1679.png")</f>
        <v/>
      </c>
      <c r="D512" s="18"/>
      <c r="E512" s="17" t="s">
        <v>2172</v>
      </c>
      <c r="F512" s="18"/>
      <c r="G512" s="18"/>
      <c r="H512" s="15" t="s">
        <v>2173</v>
      </c>
      <c r="I512" s="15" t="s">
        <v>2174</v>
      </c>
      <c r="J512" s="19" t="s">
        <v>36</v>
      </c>
      <c r="K512" s="19" t="s">
        <v>1269</v>
      </c>
      <c r="L512" s="19" t="s">
        <v>38</v>
      </c>
      <c r="M512" s="20">
        <f t="shared" si="1"/>
        <v>0</v>
      </c>
      <c r="N512" s="21"/>
      <c r="O512" s="22"/>
      <c r="P512" s="19" t="s">
        <v>1145</v>
      </c>
      <c r="Q512" s="18"/>
      <c r="R512" s="18"/>
      <c r="S512" s="23">
        <v>0.0</v>
      </c>
      <c r="T512" s="23">
        <v>0.0</v>
      </c>
      <c r="U512" s="23">
        <f t="shared" si="2"/>
        <v>0</v>
      </c>
      <c r="V512" s="23">
        <f t="shared" si="3"/>
        <v>0</v>
      </c>
      <c r="W512" s="23">
        <f t="shared" si="4"/>
        <v>0</v>
      </c>
      <c r="X512" s="24" t="str">
        <f t="shared" si="5"/>
        <v>#DIV/0!</v>
      </c>
    </row>
    <row r="513">
      <c r="A513" s="15" t="s">
        <v>2175</v>
      </c>
      <c r="B513" s="18"/>
      <c r="C513" s="16" t="str">
        <f>IMAGE("https://i.ibb.co/B1ntGgk/1680.png")</f>
        <v/>
      </c>
      <c r="D513" s="18"/>
      <c r="E513" s="17" t="s">
        <v>2176</v>
      </c>
      <c r="F513" s="18"/>
      <c r="G513" s="18"/>
      <c r="H513" s="15" t="s">
        <v>2177</v>
      </c>
      <c r="I513" s="15" t="s">
        <v>2178</v>
      </c>
      <c r="J513" s="19" t="s">
        <v>36</v>
      </c>
      <c r="K513" s="19" t="s">
        <v>1431</v>
      </c>
      <c r="L513" s="19" t="s">
        <v>38</v>
      </c>
      <c r="M513" s="20">
        <f t="shared" si="1"/>
        <v>0</v>
      </c>
      <c r="N513" s="21"/>
      <c r="O513" s="22"/>
      <c r="P513" s="19" t="s">
        <v>1145</v>
      </c>
      <c r="Q513" s="18"/>
      <c r="R513" s="18"/>
      <c r="S513" s="23">
        <v>0.0</v>
      </c>
      <c r="T513" s="23">
        <v>0.0</v>
      </c>
      <c r="U513" s="23">
        <f t="shared" si="2"/>
        <v>0</v>
      </c>
      <c r="V513" s="23">
        <f t="shared" si="3"/>
        <v>0</v>
      </c>
      <c r="W513" s="23">
        <f t="shared" si="4"/>
        <v>0</v>
      </c>
      <c r="X513" s="24" t="str">
        <f t="shared" si="5"/>
        <v>#DIV/0!</v>
      </c>
    </row>
    <row r="514">
      <c r="A514" s="15" t="s">
        <v>2179</v>
      </c>
      <c r="B514" s="18"/>
      <c r="C514" s="16" t="str">
        <f>IMAGE("https://i.ibb.co/VcjV7CrY/1681.png")</f>
        <v/>
      </c>
      <c r="D514" s="18"/>
      <c r="E514" s="17" t="s">
        <v>2180</v>
      </c>
      <c r="F514" s="18"/>
      <c r="G514" s="18"/>
      <c r="H514" s="15" t="s">
        <v>2181</v>
      </c>
      <c r="I514" s="15" t="s">
        <v>2182</v>
      </c>
      <c r="J514" s="19" t="s">
        <v>36</v>
      </c>
      <c r="K514" s="19" t="s">
        <v>1230</v>
      </c>
      <c r="L514" s="19" t="s">
        <v>38</v>
      </c>
      <c r="M514" s="20">
        <f t="shared" si="1"/>
        <v>0</v>
      </c>
      <c r="N514" s="21"/>
      <c r="O514" s="22"/>
      <c r="P514" s="19" t="s">
        <v>1145</v>
      </c>
      <c r="Q514" s="18"/>
      <c r="R514" s="18"/>
      <c r="S514" s="23">
        <v>0.0</v>
      </c>
      <c r="T514" s="23">
        <v>0.0</v>
      </c>
      <c r="U514" s="23">
        <f t="shared" si="2"/>
        <v>0</v>
      </c>
      <c r="V514" s="23">
        <f t="shared" si="3"/>
        <v>0</v>
      </c>
      <c r="W514" s="23">
        <f t="shared" si="4"/>
        <v>0</v>
      </c>
      <c r="X514" s="24" t="str">
        <f t="shared" si="5"/>
        <v>#DIV/0!</v>
      </c>
    </row>
    <row r="515">
      <c r="A515" s="15" t="s">
        <v>2183</v>
      </c>
      <c r="B515" s="18"/>
      <c r="C515" s="16" t="str">
        <f>IMAGE("https://i.ibb.co/BKtNH3Pz/1689.png")</f>
        <v/>
      </c>
      <c r="D515" s="18"/>
      <c r="E515" s="17" t="s">
        <v>2184</v>
      </c>
      <c r="F515" s="18"/>
      <c r="G515" s="18"/>
      <c r="H515" s="15" t="s">
        <v>2185</v>
      </c>
      <c r="I515" s="15" t="s">
        <v>2186</v>
      </c>
      <c r="J515" s="19" t="s">
        <v>36</v>
      </c>
      <c r="K515" s="19" t="s">
        <v>1230</v>
      </c>
      <c r="L515" s="19" t="s">
        <v>38</v>
      </c>
      <c r="M515" s="20">
        <f t="shared" si="1"/>
        <v>0</v>
      </c>
      <c r="N515" s="21"/>
      <c r="O515" s="22"/>
      <c r="P515" s="19" t="s">
        <v>1145</v>
      </c>
      <c r="Q515" s="18"/>
      <c r="R515" s="18"/>
      <c r="S515" s="23">
        <v>0.0</v>
      </c>
      <c r="T515" s="23">
        <v>0.0</v>
      </c>
      <c r="U515" s="23">
        <f t="shared" si="2"/>
        <v>0</v>
      </c>
      <c r="V515" s="23">
        <f t="shared" si="3"/>
        <v>0</v>
      </c>
      <c r="W515" s="23">
        <f t="shared" si="4"/>
        <v>0</v>
      </c>
      <c r="X515" s="24" t="str">
        <f t="shared" si="5"/>
        <v>#DIV/0!</v>
      </c>
    </row>
    <row r="516">
      <c r="A516" s="15" t="s">
        <v>2187</v>
      </c>
      <c r="B516" s="18"/>
      <c r="C516" s="16" t="str">
        <f>IMAGE("https://i.ibb.co/0pHdwwF1/1691.png")</f>
        <v/>
      </c>
      <c r="D516" s="18"/>
      <c r="E516" s="17" t="s">
        <v>2188</v>
      </c>
      <c r="F516" s="18"/>
      <c r="G516" s="18"/>
      <c r="H516" s="15" t="s">
        <v>2189</v>
      </c>
      <c r="I516" s="15" t="s">
        <v>2190</v>
      </c>
      <c r="J516" s="19" t="s">
        <v>36</v>
      </c>
      <c r="K516" s="19" t="s">
        <v>1230</v>
      </c>
      <c r="L516" s="19" t="s">
        <v>38</v>
      </c>
      <c r="M516" s="20">
        <f t="shared" si="1"/>
        <v>0</v>
      </c>
      <c r="N516" s="21"/>
      <c r="O516" s="22"/>
      <c r="P516" s="19" t="s">
        <v>1145</v>
      </c>
      <c r="Q516" s="18"/>
      <c r="R516" s="18"/>
      <c r="S516" s="23">
        <v>0.0</v>
      </c>
      <c r="T516" s="23">
        <v>0.0</v>
      </c>
      <c r="U516" s="23">
        <f t="shared" si="2"/>
        <v>0</v>
      </c>
      <c r="V516" s="23">
        <f t="shared" si="3"/>
        <v>0</v>
      </c>
      <c r="W516" s="23">
        <f t="shared" si="4"/>
        <v>0</v>
      </c>
      <c r="X516" s="24" t="str">
        <f t="shared" si="5"/>
        <v>#DIV/0!</v>
      </c>
    </row>
    <row r="517">
      <c r="A517" s="15" t="s">
        <v>2191</v>
      </c>
      <c r="B517" s="18"/>
      <c r="C517" s="16" t="str">
        <f>IMAGE("https://i.ibb.co/dsBBgVyd/1694.png")</f>
        <v/>
      </c>
      <c r="D517" s="18"/>
      <c r="E517" s="17" t="s">
        <v>2192</v>
      </c>
      <c r="F517" s="18"/>
      <c r="G517" s="18"/>
      <c r="H517" s="15" t="s">
        <v>2193</v>
      </c>
      <c r="I517" s="15" t="s">
        <v>2194</v>
      </c>
      <c r="J517" s="19" t="s">
        <v>36</v>
      </c>
      <c r="K517" s="19" t="s">
        <v>37</v>
      </c>
      <c r="L517" s="19" t="s">
        <v>38</v>
      </c>
      <c r="M517" s="20">
        <f t="shared" si="1"/>
        <v>0</v>
      </c>
      <c r="N517" s="21"/>
      <c r="O517" s="22"/>
      <c r="P517" s="19" t="s">
        <v>1145</v>
      </c>
      <c r="Q517" s="18"/>
      <c r="R517" s="18"/>
      <c r="S517" s="23">
        <v>0.0</v>
      </c>
      <c r="T517" s="23">
        <v>0.0</v>
      </c>
      <c r="U517" s="23">
        <f t="shared" si="2"/>
        <v>0</v>
      </c>
      <c r="V517" s="23">
        <f t="shared" si="3"/>
        <v>0</v>
      </c>
      <c r="W517" s="23">
        <f t="shared" si="4"/>
        <v>0</v>
      </c>
      <c r="X517" s="24" t="str">
        <f t="shared" si="5"/>
        <v>#DIV/0!</v>
      </c>
    </row>
    <row r="518">
      <c r="A518" s="15" t="s">
        <v>2195</v>
      </c>
      <c r="B518" s="18"/>
      <c r="C518" s="16" t="str">
        <f>IMAGE("https://i.ibb.co/Q3TrPkn3/1695.png")</f>
        <v/>
      </c>
      <c r="D518" s="18"/>
      <c r="E518" s="17" t="s">
        <v>2196</v>
      </c>
      <c r="F518" s="18"/>
      <c r="G518" s="18"/>
      <c r="H518" s="15" t="s">
        <v>2197</v>
      </c>
      <c r="I518" s="15" t="s">
        <v>2198</v>
      </c>
      <c r="J518" s="19" t="s">
        <v>36</v>
      </c>
      <c r="K518" s="19" t="s">
        <v>37</v>
      </c>
      <c r="L518" s="19" t="s">
        <v>38</v>
      </c>
      <c r="M518" s="20">
        <f t="shared" si="1"/>
        <v>0</v>
      </c>
      <c r="N518" s="21"/>
      <c r="O518" s="22"/>
      <c r="P518" s="19" t="s">
        <v>1145</v>
      </c>
      <c r="Q518" s="18"/>
      <c r="R518" s="18"/>
      <c r="S518" s="23">
        <v>0.0</v>
      </c>
      <c r="T518" s="23">
        <v>0.0</v>
      </c>
      <c r="U518" s="23">
        <f t="shared" si="2"/>
        <v>0</v>
      </c>
      <c r="V518" s="23">
        <f t="shared" si="3"/>
        <v>0</v>
      </c>
      <c r="W518" s="23">
        <f t="shared" si="4"/>
        <v>0</v>
      </c>
      <c r="X518" s="24" t="str">
        <f t="shared" si="5"/>
        <v>#DIV/0!</v>
      </c>
    </row>
    <row r="519">
      <c r="A519" s="15" t="s">
        <v>2199</v>
      </c>
      <c r="B519" s="18"/>
      <c r="C519" s="16" t="str">
        <f>IMAGE("https://i.ibb.co/yFrKdDJH/1696.png")</f>
        <v/>
      </c>
      <c r="D519" s="18"/>
      <c r="E519" s="17" t="s">
        <v>2200</v>
      </c>
      <c r="F519" s="18"/>
      <c r="G519" s="18"/>
      <c r="H519" s="15" t="s">
        <v>2201</v>
      </c>
      <c r="I519" s="15" t="s">
        <v>2202</v>
      </c>
      <c r="J519" s="19" t="s">
        <v>36</v>
      </c>
      <c r="K519" s="19" t="s">
        <v>603</v>
      </c>
      <c r="L519" s="19" t="s">
        <v>38</v>
      </c>
      <c r="M519" s="20">
        <f t="shared" si="1"/>
        <v>0</v>
      </c>
      <c r="N519" s="21"/>
      <c r="O519" s="22"/>
      <c r="P519" s="19" t="s">
        <v>1145</v>
      </c>
      <c r="Q519" s="18"/>
      <c r="R519" s="18"/>
      <c r="S519" s="23">
        <v>0.0</v>
      </c>
      <c r="T519" s="23">
        <v>0.0</v>
      </c>
      <c r="U519" s="23">
        <f t="shared" si="2"/>
        <v>0</v>
      </c>
      <c r="V519" s="23">
        <f t="shared" si="3"/>
        <v>0</v>
      </c>
      <c r="W519" s="23">
        <f t="shared" si="4"/>
        <v>0</v>
      </c>
      <c r="X519" s="24" t="str">
        <f t="shared" si="5"/>
        <v>#DIV/0!</v>
      </c>
    </row>
    <row r="520">
      <c r="A520" s="15" t="s">
        <v>2203</v>
      </c>
      <c r="B520" s="18"/>
      <c r="C520" s="16" t="str">
        <f>IMAGE("https://i.ibb.co/TMRzDM8W/1698.png")</f>
        <v/>
      </c>
      <c r="D520" s="18"/>
      <c r="E520" s="17" t="s">
        <v>2204</v>
      </c>
      <c r="F520" s="18"/>
      <c r="G520" s="18"/>
      <c r="H520" s="15" t="s">
        <v>2205</v>
      </c>
      <c r="I520" s="15" t="s">
        <v>2206</v>
      </c>
      <c r="J520" s="19" t="s">
        <v>36</v>
      </c>
      <c r="K520" s="19" t="s">
        <v>603</v>
      </c>
      <c r="L520" s="19" t="s">
        <v>38</v>
      </c>
      <c r="M520" s="20">
        <f t="shared" si="1"/>
        <v>0</v>
      </c>
      <c r="N520" s="21"/>
      <c r="O520" s="22"/>
      <c r="P520" s="19" t="s">
        <v>1145</v>
      </c>
      <c r="Q520" s="18"/>
      <c r="R520" s="18"/>
      <c r="S520" s="23">
        <v>0.0</v>
      </c>
      <c r="T520" s="23">
        <v>0.0</v>
      </c>
      <c r="U520" s="23">
        <f t="shared" si="2"/>
        <v>0</v>
      </c>
      <c r="V520" s="23">
        <f t="shared" si="3"/>
        <v>0</v>
      </c>
      <c r="W520" s="23">
        <f t="shared" si="4"/>
        <v>0</v>
      </c>
      <c r="X520" s="24" t="str">
        <f t="shared" si="5"/>
        <v>#DIV/0!</v>
      </c>
    </row>
    <row r="521">
      <c r="A521" s="15" t="s">
        <v>2207</v>
      </c>
      <c r="B521" s="18"/>
      <c r="C521" s="16" t="str">
        <f>IMAGE("https://i.ibb.co/1tfwqLnM/1699.png")</f>
        <v/>
      </c>
      <c r="D521" s="18"/>
      <c r="E521" s="17" t="s">
        <v>2208</v>
      </c>
      <c r="F521" s="18"/>
      <c r="G521" s="18"/>
      <c r="H521" s="15" t="s">
        <v>2209</v>
      </c>
      <c r="I521" s="15" t="s">
        <v>2210</v>
      </c>
      <c r="J521" s="19" t="s">
        <v>36</v>
      </c>
      <c r="K521" s="19" t="s">
        <v>105</v>
      </c>
      <c r="L521" s="19" t="s">
        <v>38</v>
      </c>
      <c r="M521" s="20">
        <f t="shared" si="1"/>
        <v>0</v>
      </c>
      <c r="N521" s="21"/>
      <c r="O521" s="22"/>
      <c r="P521" s="19" t="s">
        <v>1145</v>
      </c>
      <c r="Q521" s="18"/>
      <c r="R521" s="18"/>
      <c r="S521" s="23">
        <v>0.0</v>
      </c>
      <c r="T521" s="23">
        <v>0.0</v>
      </c>
      <c r="U521" s="23">
        <f t="shared" si="2"/>
        <v>0</v>
      </c>
      <c r="V521" s="23">
        <f t="shared" si="3"/>
        <v>0</v>
      </c>
      <c r="W521" s="23">
        <f t="shared" si="4"/>
        <v>0</v>
      </c>
      <c r="X521" s="24" t="str">
        <f t="shared" si="5"/>
        <v>#DIV/0!</v>
      </c>
    </row>
    <row r="522">
      <c r="A522" s="15" t="s">
        <v>2211</v>
      </c>
      <c r="B522" s="18"/>
      <c r="C522" s="16" t="str">
        <f>IMAGE("https://i.ibb.co/0jT4j8qb/1700.png")</f>
        <v/>
      </c>
      <c r="D522" s="18"/>
      <c r="E522" s="17" t="s">
        <v>2212</v>
      </c>
      <c r="F522" s="18"/>
      <c r="G522" s="18"/>
      <c r="H522" s="15" t="s">
        <v>2213</v>
      </c>
      <c r="I522" s="15" t="s">
        <v>2214</v>
      </c>
      <c r="J522" s="19" t="s">
        <v>36</v>
      </c>
      <c r="K522" s="19" t="s">
        <v>603</v>
      </c>
      <c r="L522" s="19" t="s">
        <v>38</v>
      </c>
      <c r="M522" s="20">
        <f t="shared" si="1"/>
        <v>0</v>
      </c>
      <c r="N522" s="21"/>
      <c r="O522" s="22"/>
      <c r="P522" s="19" t="s">
        <v>1145</v>
      </c>
      <c r="Q522" s="18"/>
      <c r="R522" s="18"/>
      <c r="S522" s="23">
        <v>0.0</v>
      </c>
      <c r="T522" s="23">
        <v>0.0</v>
      </c>
      <c r="U522" s="23">
        <f t="shared" si="2"/>
        <v>0</v>
      </c>
      <c r="V522" s="23">
        <f t="shared" si="3"/>
        <v>0</v>
      </c>
      <c r="W522" s="23">
        <f t="shared" si="4"/>
        <v>0</v>
      </c>
      <c r="X522" s="24" t="str">
        <f t="shared" si="5"/>
        <v>#DIV/0!</v>
      </c>
    </row>
    <row r="523">
      <c r="A523" s="15" t="s">
        <v>2215</v>
      </c>
      <c r="B523" s="18"/>
      <c r="C523" s="16" t="str">
        <f>IMAGE("https://i.ibb.co/NdTbQ9YJ/1701.png")</f>
        <v/>
      </c>
      <c r="D523" s="18"/>
      <c r="E523" s="17" t="s">
        <v>2212</v>
      </c>
      <c r="F523" s="18"/>
      <c r="G523" s="18"/>
      <c r="H523" s="15" t="s">
        <v>2216</v>
      </c>
      <c r="I523" s="15" t="s">
        <v>2217</v>
      </c>
      <c r="J523" s="19" t="s">
        <v>36</v>
      </c>
      <c r="K523" s="19" t="s">
        <v>603</v>
      </c>
      <c r="L523" s="19" t="s">
        <v>38</v>
      </c>
      <c r="M523" s="20">
        <f t="shared" si="1"/>
        <v>0</v>
      </c>
      <c r="N523" s="21"/>
      <c r="O523" s="22"/>
      <c r="P523" s="19" t="s">
        <v>1145</v>
      </c>
      <c r="Q523" s="18"/>
      <c r="R523" s="18"/>
      <c r="S523" s="23">
        <v>0.0</v>
      </c>
      <c r="T523" s="23">
        <v>0.0</v>
      </c>
      <c r="U523" s="23">
        <f t="shared" si="2"/>
        <v>0</v>
      </c>
      <c r="V523" s="23">
        <f t="shared" si="3"/>
        <v>0</v>
      </c>
      <c r="W523" s="23">
        <f t="shared" si="4"/>
        <v>0</v>
      </c>
      <c r="X523" s="24" t="str">
        <f t="shared" si="5"/>
        <v>#DIV/0!</v>
      </c>
    </row>
    <row r="524">
      <c r="A524" s="15" t="s">
        <v>2218</v>
      </c>
      <c r="B524" s="18"/>
      <c r="C524" s="16" t="str">
        <f>IMAGE("https://i.ibb.co/DPWc7kVc/1702.png")</f>
        <v/>
      </c>
      <c r="D524" s="18"/>
      <c r="E524" s="17" t="s">
        <v>2212</v>
      </c>
      <c r="F524" s="18"/>
      <c r="G524" s="18"/>
      <c r="H524" s="15" t="s">
        <v>2219</v>
      </c>
      <c r="I524" s="15" t="s">
        <v>2220</v>
      </c>
      <c r="J524" s="19" t="s">
        <v>36</v>
      </c>
      <c r="K524" s="19" t="s">
        <v>603</v>
      </c>
      <c r="L524" s="19" t="s">
        <v>38</v>
      </c>
      <c r="M524" s="20">
        <f t="shared" si="1"/>
        <v>0</v>
      </c>
      <c r="N524" s="21"/>
      <c r="O524" s="22"/>
      <c r="P524" s="19" t="s">
        <v>1145</v>
      </c>
      <c r="Q524" s="18"/>
      <c r="R524" s="18"/>
      <c r="S524" s="23">
        <v>0.0</v>
      </c>
      <c r="T524" s="23">
        <v>0.0</v>
      </c>
      <c r="U524" s="23">
        <f t="shared" si="2"/>
        <v>0</v>
      </c>
      <c r="V524" s="23">
        <f t="shared" si="3"/>
        <v>0</v>
      </c>
      <c r="W524" s="23">
        <f t="shared" si="4"/>
        <v>0</v>
      </c>
      <c r="X524" s="24" t="str">
        <f t="shared" si="5"/>
        <v>#DIV/0!</v>
      </c>
    </row>
    <row r="525">
      <c r="A525" s="15" t="s">
        <v>2221</v>
      </c>
      <c r="B525" s="18"/>
      <c r="C525" s="16" t="str">
        <f>IMAGE("https://i.ibb.co/1YMcKs5m/1703.png")</f>
        <v/>
      </c>
      <c r="D525" s="18"/>
      <c r="E525" s="17" t="s">
        <v>2222</v>
      </c>
      <c r="F525" s="18"/>
      <c r="G525" s="18"/>
      <c r="H525" s="15" t="s">
        <v>2223</v>
      </c>
      <c r="I525" s="15" t="s">
        <v>2224</v>
      </c>
      <c r="J525" s="19" t="s">
        <v>36</v>
      </c>
      <c r="K525" s="19" t="s">
        <v>603</v>
      </c>
      <c r="L525" s="19" t="s">
        <v>38</v>
      </c>
      <c r="M525" s="20">
        <f t="shared" si="1"/>
        <v>0</v>
      </c>
      <c r="N525" s="21"/>
      <c r="O525" s="22"/>
      <c r="P525" s="19" t="s">
        <v>1145</v>
      </c>
      <c r="Q525" s="18"/>
      <c r="R525" s="18"/>
      <c r="S525" s="23">
        <v>0.0</v>
      </c>
      <c r="T525" s="23">
        <v>0.0</v>
      </c>
      <c r="U525" s="23">
        <f t="shared" si="2"/>
        <v>0</v>
      </c>
      <c r="V525" s="23">
        <f t="shared" si="3"/>
        <v>0</v>
      </c>
      <c r="W525" s="23">
        <f t="shared" si="4"/>
        <v>0</v>
      </c>
      <c r="X525" s="24" t="str">
        <f t="shared" si="5"/>
        <v>#DIV/0!</v>
      </c>
    </row>
    <row r="526">
      <c r="A526" s="15" t="s">
        <v>2225</v>
      </c>
      <c r="B526" s="18"/>
      <c r="C526" s="16" t="str">
        <f>IMAGE("https://i.ibb.co/Kz3Lqgjd/1710.png")</f>
        <v/>
      </c>
      <c r="D526" s="18"/>
      <c r="E526" s="17" t="s">
        <v>2226</v>
      </c>
      <c r="F526" s="18"/>
      <c r="G526" s="18"/>
      <c r="H526" s="15" t="s">
        <v>2227</v>
      </c>
      <c r="I526" s="15" t="s">
        <v>2228</v>
      </c>
      <c r="J526" s="19" t="s">
        <v>36</v>
      </c>
      <c r="K526" s="19" t="s">
        <v>603</v>
      </c>
      <c r="L526" s="19" t="s">
        <v>38</v>
      </c>
      <c r="M526" s="20">
        <f t="shared" si="1"/>
        <v>0</v>
      </c>
      <c r="N526" s="21"/>
      <c r="O526" s="22"/>
      <c r="P526" s="19" t="s">
        <v>1145</v>
      </c>
      <c r="Q526" s="18"/>
      <c r="R526" s="18"/>
      <c r="S526" s="23">
        <v>0.0</v>
      </c>
      <c r="T526" s="23">
        <v>0.0</v>
      </c>
      <c r="U526" s="23">
        <f t="shared" si="2"/>
        <v>0</v>
      </c>
      <c r="V526" s="23">
        <f t="shared" si="3"/>
        <v>0</v>
      </c>
      <c r="W526" s="23">
        <f t="shared" si="4"/>
        <v>0</v>
      </c>
      <c r="X526" s="24" t="str">
        <f t="shared" si="5"/>
        <v>#DIV/0!</v>
      </c>
    </row>
    <row r="527">
      <c r="A527" s="15" t="s">
        <v>2229</v>
      </c>
      <c r="B527" s="18"/>
      <c r="C527" s="16" t="str">
        <f>IMAGE("https://i.ibb.co/27c0jmBB/1711.png")</f>
        <v/>
      </c>
      <c r="D527" s="18"/>
      <c r="E527" s="17" t="s">
        <v>2230</v>
      </c>
      <c r="F527" s="18"/>
      <c r="G527" s="18"/>
      <c r="H527" s="15" t="s">
        <v>2231</v>
      </c>
      <c r="I527" s="15" t="s">
        <v>2232</v>
      </c>
      <c r="J527" s="19" t="s">
        <v>36</v>
      </c>
      <c r="K527" s="19" t="s">
        <v>105</v>
      </c>
      <c r="L527" s="19" t="s">
        <v>38</v>
      </c>
      <c r="M527" s="20">
        <f t="shared" si="1"/>
        <v>0</v>
      </c>
      <c r="N527" s="21"/>
      <c r="O527" s="22"/>
      <c r="P527" s="19" t="s">
        <v>1145</v>
      </c>
      <c r="Q527" s="18"/>
      <c r="R527" s="18"/>
      <c r="S527" s="23">
        <v>0.0</v>
      </c>
      <c r="T527" s="23">
        <v>0.0</v>
      </c>
      <c r="U527" s="23">
        <f t="shared" si="2"/>
        <v>0</v>
      </c>
      <c r="V527" s="23">
        <f t="shared" si="3"/>
        <v>0</v>
      </c>
      <c r="W527" s="23">
        <f t="shared" si="4"/>
        <v>0</v>
      </c>
      <c r="X527" s="24" t="str">
        <f t="shared" si="5"/>
        <v>#DIV/0!</v>
      </c>
    </row>
    <row r="528">
      <c r="A528" s="15" t="s">
        <v>2233</v>
      </c>
      <c r="B528" s="18"/>
      <c r="C528" s="16" t="str">
        <f>IMAGE("https://i.ibb.co/Y7FhC4Jp/1712.png")</f>
        <v/>
      </c>
      <c r="D528" s="18"/>
      <c r="E528" s="17" t="s">
        <v>2234</v>
      </c>
      <c r="F528" s="18"/>
      <c r="G528" s="18"/>
      <c r="H528" s="15" t="s">
        <v>2235</v>
      </c>
      <c r="I528" s="15" t="s">
        <v>2236</v>
      </c>
      <c r="J528" s="19" t="s">
        <v>36</v>
      </c>
      <c r="K528" s="19" t="s">
        <v>105</v>
      </c>
      <c r="L528" s="19" t="s">
        <v>38</v>
      </c>
      <c r="M528" s="20">
        <f t="shared" si="1"/>
        <v>0</v>
      </c>
      <c r="N528" s="21"/>
      <c r="O528" s="22"/>
      <c r="P528" s="19" t="s">
        <v>1145</v>
      </c>
      <c r="Q528" s="18"/>
      <c r="R528" s="18"/>
      <c r="S528" s="23">
        <v>0.0</v>
      </c>
      <c r="T528" s="23">
        <v>0.0</v>
      </c>
      <c r="U528" s="23">
        <f t="shared" si="2"/>
        <v>0</v>
      </c>
      <c r="V528" s="23">
        <f t="shared" si="3"/>
        <v>0</v>
      </c>
      <c r="W528" s="23">
        <f t="shared" si="4"/>
        <v>0</v>
      </c>
      <c r="X528" s="24" t="str">
        <f t="shared" si="5"/>
        <v>#DIV/0!</v>
      </c>
    </row>
    <row r="529">
      <c r="A529" s="15" t="s">
        <v>2237</v>
      </c>
      <c r="B529" s="18"/>
      <c r="C529" s="16" t="str">
        <f>IMAGE("https://i.ibb.co/nMMmwS2Q/1713.png")</f>
        <v/>
      </c>
      <c r="D529" s="18"/>
      <c r="E529" s="17" t="s">
        <v>2238</v>
      </c>
      <c r="F529" s="18"/>
      <c r="G529" s="18"/>
      <c r="H529" s="15" t="s">
        <v>2239</v>
      </c>
      <c r="I529" s="15" t="s">
        <v>2240</v>
      </c>
      <c r="J529" s="19" t="s">
        <v>36</v>
      </c>
      <c r="K529" s="19" t="s">
        <v>1269</v>
      </c>
      <c r="L529" s="19" t="s">
        <v>38</v>
      </c>
      <c r="M529" s="20">
        <f t="shared" si="1"/>
        <v>0</v>
      </c>
      <c r="N529" s="21"/>
      <c r="O529" s="22"/>
      <c r="P529" s="19" t="s">
        <v>1145</v>
      </c>
      <c r="Q529" s="18"/>
      <c r="R529" s="18"/>
      <c r="S529" s="23">
        <v>0.0</v>
      </c>
      <c r="T529" s="23">
        <v>0.0</v>
      </c>
      <c r="U529" s="23">
        <f t="shared" si="2"/>
        <v>0</v>
      </c>
      <c r="V529" s="23">
        <f t="shared" si="3"/>
        <v>0</v>
      </c>
      <c r="W529" s="23">
        <f t="shared" si="4"/>
        <v>0</v>
      </c>
      <c r="X529" s="24" t="str">
        <f t="shared" si="5"/>
        <v>#DIV/0!</v>
      </c>
    </row>
    <row r="530">
      <c r="A530" s="15" t="s">
        <v>2241</v>
      </c>
      <c r="B530" s="18"/>
      <c r="C530" s="16" t="str">
        <f>IMAGE("https://i.ibb.co/sv26J9wk/1714.png")</f>
        <v/>
      </c>
      <c r="D530" s="18"/>
      <c r="E530" s="17" t="s">
        <v>2242</v>
      </c>
      <c r="F530" s="18"/>
      <c r="G530" s="18"/>
      <c r="H530" s="15" t="s">
        <v>2243</v>
      </c>
      <c r="I530" s="15" t="s">
        <v>2244</v>
      </c>
      <c r="J530" s="19" t="s">
        <v>36</v>
      </c>
      <c r="K530" s="19" t="s">
        <v>603</v>
      </c>
      <c r="L530" s="19" t="s">
        <v>38</v>
      </c>
      <c r="M530" s="20">
        <f t="shared" si="1"/>
        <v>0</v>
      </c>
      <c r="N530" s="21"/>
      <c r="O530" s="22"/>
      <c r="P530" s="19" t="s">
        <v>1145</v>
      </c>
      <c r="Q530" s="18"/>
      <c r="R530" s="18"/>
      <c r="S530" s="23">
        <v>0.0</v>
      </c>
      <c r="T530" s="23">
        <v>0.0</v>
      </c>
      <c r="U530" s="23">
        <f t="shared" si="2"/>
        <v>0</v>
      </c>
      <c r="V530" s="23">
        <f t="shared" si="3"/>
        <v>0</v>
      </c>
      <c r="W530" s="23">
        <f t="shared" si="4"/>
        <v>0</v>
      </c>
      <c r="X530" s="24" t="str">
        <f t="shared" si="5"/>
        <v>#DIV/0!</v>
      </c>
    </row>
    <row r="531">
      <c r="A531" s="15" t="s">
        <v>2245</v>
      </c>
      <c r="B531" s="18"/>
      <c r="C531" s="16" t="str">
        <f>IMAGE("https://i.ibb.co/F4W20JSD/1715.png")</f>
        <v/>
      </c>
      <c r="D531" s="18"/>
      <c r="E531" s="17" t="s">
        <v>2246</v>
      </c>
      <c r="F531" s="18"/>
      <c r="G531" s="18"/>
      <c r="H531" s="15" t="s">
        <v>2247</v>
      </c>
      <c r="I531" s="15" t="s">
        <v>2248</v>
      </c>
      <c r="J531" s="19" t="s">
        <v>36</v>
      </c>
      <c r="K531" s="19" t="s">
        <v>1230</v>
      </c>
      <c r="L531" s="19" t="s">
        <v>38</v>
      </c>
      <c r="M531" s="20">
        <f t="shared" si="1"/>
        <v>0</v>
      </c>
      <c r="N531" s="21"/>
      <c r="O531" s="22"/>
      <c r="P531" s="19" t="s">
        <v>1145</v>
      </c>
      <c r="Q531" s="18"/>
      <c r="R531" s="18"/>
      <c r="S531" s="23">
        <v>0.0</v>
      </c>
      <c r="T531" s="23">
        <v>0.0</v>
      </c>
      <c r="U531" s="23">
        <f t="shared" si="2"/>
        <v>0</v>
      </c>
      <c r="V531" s="23">
        <f t="shared" si="3"/>
        <v>0</v>
      </c>
      <c r="W531" s="23">
        <f t="shared" si="4"/>
        <v>0</v>
      </c>
      <c r="X531" s="24" t="str">
        <f t="shared" si="5"/>
        <v>#DIV/0!</v>
      </c>
    </row>
    <row r="532">
      <c r="A532" s="15" t="s">
        <v>2249</v>
      </c>
      <c r="B532" s="18"/>
      <c r="C532" s="16" t="str">
        <f>IMAGE("https://i.ibb.co/rKLQB3s1/1716.png")</f>
        <v/>
      </c>
      <c r="D532" s="18"/>
      <c r="E532" s="17" t="s">
        <v>2250</v>
      </c>
      <c r="F532" s="18"/>
      <c r="G532" s="18"/>
      <c r="H532" s="15" t="s">
        <v>2251</v>
      </c>
      <c r="I532" s="15" t="s">
        <v>2252</v>
      </c>
      <c r="J532" s="19" t="s">
        <v>36</v>
      </c>
      <c r="K532" s="19" t="s">
        <v>1230</v>
      </c>
      <c r="L532" s="19" t="s">
        <v>38</v>
      </c>
      <c r="M532" s="20">
        <f t="shared" si="1"/>
        <v>0</v>
      </c>
      <c r="N532" s="21"/>
      <c r="O532" s="22"/>
      <c r="P532" s="19" t="s">
        <v>1145</v>
      </c>
      <c r="Q532" s="18"/>
      <c r="R532" s="18"/>
      <c r="S532" s="23">
        <v>0.0</v>
      </c>
      <c r="T532" s="23">
        <v>0.0</v>
      </c>
      <c r="U532" s="23">
        <f t="shared" si="2"/>
        <v>0</v>
      </c>
      <c r="V532" s="23">
        <f t="shared" si="3"/>
        <v>0</v>
      </c>
      <c r="W532" s="23">
        <f t="shared" si="4"/>
        <v>0</v>
      </c>
      <c r="X532" s="24" t="str">
        <f t="shared" si="5"/>
        <v>#DIV/0!</v>
      </c>
    </row>
    <row r="533">
      <c r="A533" s="15" t="s">
        <v>2253</v>
      </c>
      <c r="B533" s="18"/>
      <c r="C533" s="16" t="str">
        <f>IMAGE("https://i.ibb.co/ycVxQNkY/1717.png")</f>
        <v/>
      </c>
      <c r="D533" s="18"/>
      <c r="E533" s="17" t="s">
        <v>2254</v>
      </c>
      <c r="F533" s="18"/>
      <c r="G533" s="18"/>
      <c r="H533" s="15" t="s">
        <v>2255</v>
      </c>
      <c r="I533" s="15" t="s">
        <v>2256</v>
      </c>
      <c r="J533" s="19" t="s">
        <v>36</v>
      </c>
      <c r="K533" s="19" t="s">
        <v>1230</v>
      </c>
      <c r="L533" s="19" t="s">
        <v>38</v>
      </c>
      <c r="M533" s="20">
        <f t="shared" si="1"/>
        <v>0</v>
      </c>
      <c r="N533" s="21"/>
      <c r="O533" s="22"/>
      <c r="P533" s="19" t="s">
        <v>1145</v>
      </c>
      <c r="Q533" s="18"/>
      <c r="R533" s="18"/>
      <c r="S533" s="23">
        <v>0.0</v>
      </c>
      <c r="T533" s="23">
        <v>0.0</v>
      </c>
      <c r="U533" s="23">
        <f t="shared" si="2"/>
        <v>0</v>
      </c>
      <c r="V533" s="23">
        <f t="shared" si="3"/>
        <v>0</v>
      </c>
      <c r="W533" s="23">
        <f t="shared" si="4"/>
        <v>0</v>
      </c>
      <c r="X533" s="24" t="str">
        <f t="shared" si="5"/>
        <v>#DIV/0!</v>
      </c>
    </row>
    <row r="534">
      <c r="A534" s="15" t="s">
        <v>2257</v>
      </c>
      <c r="B534" s="18"/>
      <c r="C534" s="16" t="str">
        <f>IMAGE("https://i.ibb.co/Tq2sBY1W/1719.png")</f>
        <v/>
      </c>
      <c r="D534" s="18"/>
      <c r="E534" s="17" t="s">
        <v>2258</v>
      </c>
      <c r="F534" s="18"/>
      <c r="G534" s="18"/>
      <c r="H534" s="15" t="s">
        <v>2259</v>
      </c>
      <c r="I534" s="15" t="s">
        <v>2260</v>
      </c>
      <c r="J534" s="19" t="s">
        <v>36</v>
      </c>
      <c r="K534" s="19" t="s">
        <v>1269</v>
      </c>
      <c r="L534" s="19" t="s">
        <v>38</v>
      </c>
      <c r="M534" s="20">
        <f t="shared" si="1"/>
        <v>0</v>
      </c>
      <c r="N534" s="21"/>
      <c r="O534" s="22"/>
      <c r="P534" s="19" t="s">
        <v>1145</v>
      </c>
      <c r="Q534" s="18"/>
      <c r="R534" s="18"/>
      <c r="S534" s="23">
        <v>0.0</v>
      </c>
      <c r="T534" s="23">
        <v>0.0</v>
      </c>
      <c r="U534" s="23">
        <f t="shared" si="2"/>
        <v>0</v>
      </c>
      <c r="V534" s="23">
        <f t="shared" si="3"/>
        <v>0</v>
      </c>
      <c r="W534" s="23">
        <f t="shared" si="4"/>
        <v>0</v>
      </c>
      <c r="X534" s="24" t="str">
        <f t="shared" si="5"/>
        <v>#DIV/0!</v>
      </c>
    </row>
    <row r="535">
      <c r="A535" s="15" t="s">
        <v>2261</v>
      </c>
      <c r="B535" s="18"/>
      <c r="C535" s="16" t="str">
        <f>IMAGE("https://i.ibb.co/DgWqKsJj/1722.png")</f>
        <v/>
      </c>
      <c r="D535" s="18"/>
      <c r="E535" s="17" t="s">
        <v>2262</v>
      </c>
      <c r="F535" s="18"/>
      <c r="G535" s="18"/>
      <c r="H535" s="15" t="s">
        <v>2263</v>
      </c>
      <c r="I535" s="15" t="s">
        <v>2264</v>
      </c>
      <c r="J535" s="19" t="s">
        <v>36</v>
      </c>
      <c r="K535" s="19" t="s">
        <v>603</v>
      </c>
      <c r="L535" s="19" t="s">
        <v>38</v>
      </c>
      <c r="M535" s="20">
        <f t="shared" si="1"/>
        <v>0</v>
      </c>
      <c r="N535" s="21"/>
      <c r="O535" s="22"/>
      <c r="P535" s="19" t="s">
        <v>1145</v>
      </c>
      <c r="Q535" s="18"/>
      <c r="R535" s="18"/>
      <c r="S535" s="23">
        <v>0.0</v>
      </c>
      <c r="T535" s="23">
        <v>0.0</v>
      </c>
      <c r="U535" s="23">
        <f t="shared" si="2"/>
        <v>0</v>
      </c>
      <c r="V535" s="23">
        <f t="shared" si="3"/>
        <v>0</v>
      </c>
      <c r="W535" s="23">
        <f t="shared" si="4"/>
        <v>0</v>
      </c>
      <c r="X535" s="24" t="str">
        <f t="shared" si="5"/>
        <v>#DIV/0!</v>
      </c>
    </row>
    <row r="536">
      <c r="A536" s="15" t="s">
        <v>2265</v>
      </c>
      <c r="B536" s="18"/>
      <c r="C536" s="16" t="str">
        <f>IMAGE("https://i.ibb.co/Pv4hX7Fj/1723.png")</f>
        <v/>
      </c>
      <c r="D536" s="18"/>
      <c r="E536" s="17" t="s">
        <v>2266</v>
      </c>
      <c r="F536" s="18"/>
      <c r="G536" s="18"/>
      <c r="H536" s="15" t="s">
        <v>2267</v>
      </c>
      <c r="I536" s="15" t="s">
        <v>2268</v>
      </c>
      <c r="J536" s="19" t="s">
        <v>36</v>
      </c>
      <c r="K536" s="19" t="s">
        <v>603</v>
      </c>
      <c r="L536" s="19" t="s">
        <v>38</v>
      </c>
      <c r="M536" s="20">
        <f t="shared" si="1"/>
        <v>0</v>
      </c>
      <c r="N536" s="21"/>
      <c r="O536" s="22"/>
      <c r="P536" s="19" t="s">
        <v>1145</v>
      </c>
      <c r="Q536" s="18"/>
      <c r="R536" s="18"/>
      <c r="S536" s="23">
        <v>0.0</v>
      </c>
      <c r="T536" s="23">
        <v>0.0</v>
      </c>
      <c r="U536" s="23">
        <f t="shared" si="2"/>
        <v>0</v>
      </c>
      <c r="V536" s="23">
        <f t="shared" si="3"/>
        <v>0</v>
      </c>
      <c r="W536" s="23">
        <f t="shared" si="4"/>
        <v>0</v>
      </c>
      <c r="X536" s="24" t="str">
        <f t="shared" si="5"/>
        <v>#DIV/0!</v>
      </c>
    </row>
    <row r="537">
      <c r="A537" s="15" t="s">
        <v>2269</v>
      </c>
      <c r="B537" s="18"/>
      <c r="C537" s="16" t="str">
        <f>IMAGE("https://i.ibb.co/KcdP0M7n/1724.png")</f>
        <v/>
      </c>
      <c r="D537" s="18"/>
      <c r="E537" s="17" t="s">
        <v>2270</v>
      </c>
      <c r="F537" s="18"/>
      <c r="G537" s="18"/>
      <c r="H537" s="15" t="s">
        <v>2271</v>
      </c>
      <c r="I537" s="15" t="s">
        <v>2272</v>
      </c>
      <c r="J537" s="19" t="s">
        <v>36</v>
      </c>
      <c r="K537" s="19" t="s">
        <v>603</v>
      </c>
      <c r="L537" s="19" t="s">
        <v>38</v>
      </c>
      <c r="M537" s="20">
        <f t="shared" si="1"/>
        <v>0</v>
      </c>
      <c r="N537" s="21"/>
      <c r="O537" s="22"/>
      <c r="P537" s="19" t="s">
        <v>1145</v>
      </c>
      <c r="Q537" s="18"/>
      <c r="R537" s="18"/>
      <c r="S537" s="23">
        <v>0.0</v>
      </c>
      <c r="T537" s="23">
        <v>0.0</v>
      </c>
      <c r="U537" s="23">
        <f t="shared" si="2"/>
        <v>0</v>
      </c>
      <c r="V537" s="23">
        <f t="shared" si="3"/>
        <v>0</v>
      </c>
      <c r="W537" s="23">
        <f t="shared" si="4"/>
        <v>0</v>
      </c>
      <c r="X537" s="24" t="str">
        <f t="shared" si="5"/>
        <v>#DIV/0!</v>
      </c>
    </row>
    <row r="538">
      <c r="A538" s="15" t="s">
        <v>2273</v>
      </c>
      <c r="B538" s="18"/>
      <c r="C538" s="16" t="str">
        <f>IMAGE("https://i.ibb.co/vxJtWn2X/1725.png")</f>
        <v/>
      </c>
      <c r="D538" s="18"/>
      <c r="E538" s="17" t="s">
        <v>2274</v>
      </c>
      <c r="F538" s="18"/>
      <c r="G538" s="18"/>
      <c r="H538" s="15" t="s">
        <v>2275</v>
      </c>
      <c r="I538" s="15" t="s">
        <v>2276</v>
      </c>
      <c r="J538" s="19" t="s">
        <v>36</v>
      </c>
      <c r="K538" s="19" t="s">
        <v>603</v>
      </c>
      <c r="L538" s="19" t="s">
        <v>38</v>
      </c>
      <c r="M538" s="20">
        <f t="shared" si="1"/>
        <v>0</v>
      </c>
      <c r="N538" s="21"/>
      <c r="O538" s="22"/>
      <c r="P538" s="19" t="s">
        <v>1145</v>
      </c>
      <c r="Q538" s="18"/>
      <c r="R538" s="18"/>
      <c r="S538" s="23">
        <v>0.0</v>
      </c>
      <c r="T538" s="23">
        <v>0.0</v>
      </c>
      <c r="U538" s="23">
        <f t="shared" si="2"/>
        <v>0</v>
      </c>
      <c r="V538" s="23">
        <f t="shared" si="3"/>
        <v>0</v>
      </c>
      <c r="W538" s="23">
        <f t="shared" si="4"/>
        <v>0</v>
      </c>
      <c r="X538" s="24" t="str">
        <f t="shared" si="5"/>
        <v>#DIV/0!</v>
      </c>
    </row>
    <row r="539">
      <c r="A539" s="15" t="s">
        <v>2277</v>
      </c>
      <c r="B539" s="18"/>
      <c r="C539" s="16" t="str">
        <f>IMAGE("https://i.ibb.co/4nRTQQJL/1726.png")</f>
        <v/>
      </c>
      <c r="D539" s="18"/>
      <c r="E539" s="17" t="s">
        <v>2278</v>
      </c>
      <c r="F539" s="18"/>
      <c r="G539" s="18"/>
      <c r="H539" s="15" t="s">
        <v>2279</v>
      </c>
      <c r="I539" s="15" t="s">
        <v>2280</v>
      </c>
      <c r="J539" s="19" t="s">
        <v>36</v>
      </c>
      <c r="K539" s="19" t="s">
        <v>603</v>
      </c>
      <c r="L539" s="19" t="s">
        <v>38</v>
      </c>
      <c r="M539" s="20">
        <f t="shared" si="1"/>
        <v>0</v>
      </c>
      <c r="N539" s="21"/>
      <c r="O539" s="22"/>
      <c r="P539" s="19" t="s">
        <v>1145</v>
      </c>
      <c r="Q539" s="18"/>
      <c r="R539" s="18"/>
      <c r="S539" s="23">
        <v>0.0</v>
      </c>
      <c r="T539" s="23">
        <v>0.0</v>
      </c>
      <c r="U539" s="23">
        <f t="shared" si="2"/>
        <v>0</v>
      </c>
      <c r="V539" s="23">
        <f t="shared" si="3"/>
        <v>0</v>
      </c>
      <c r="W539" s="23">
        <f t="shared" si="4"/>
        <v>0</v>
      </c>
      <c r="X539" s="24" t="str">
        <f t="shared" si="5"/>
        <v>#DIV/0!</v>
      </c>
    </row>
    <row r="540">
      <c r="A540" s="15" t="s">
        <v>2281</v>
      </c>
      <c r="B540" s="18"/>
      <c r="C540" s="16" t="str">
        <f>IMAGE("https://i.ibb.co/M5BSDVYB/1727.png")</f>
        <v/>
      </c>
      <c r="D540" s="18"/>
      <c r="E540" s="17" t="s">
        <v>2282</v>
      </c>
      <c r="F540" s="18"/>
      <c r="G540" s="18"/>
      <c r="H540" s="15" t="s">
        <v>2283</v>
      </c>
      <c r="I540" s="15" t="s">
        <v>2284</v>
      </c>
      <c r="J540" s="19" t="s">
        <v>36</v>
      </c>
      <c r="K540" s="19" t="s">
        <v>603</v>
      </c>
      <c r="L540" s="19" t="s">
        <v>38</v>
      </c>
      <c r="M540" s="20">
        <f t="shared" si="1"/>
        <v>0</v>
      </c>
      <c r="N540" s="21"/>
      <c r="O540" s="22"/>
      <c r="P540" s="19" t="s">
        <v>1145</v>
      </c>
      <c r="Q540" s="18"/>
      <c r="R540" s="18"/>
      <c r="S540" s="23">
        <v>0.0</v>
      </c>
      <c r="T540" s="23">
        <v>0.0</v>
      </c>
      <c r="U540" s="23">
        <f t="shared" si="2"/>
        <v>0</v>
      </c>
      <c r="V540" s="23">
        <f t="shared" si="3"/>
        <v>0</v>
      </c>
      <c r="W540" s="23">
        <f t="shared" si="4"/>
        <v>0</v>
      </c>
      <c r="X540" s="24" t="str">
        <f t="shared" si="5"/>
        <v>#DIV/0!</v>
      </c>
    </row>
    <row r="541">
      <c r="A541" s="15" t="s">
        <v>2285</v>
      </c>
      <c r="B541" s="18"/>
      <c r="C541" s="16" t="str">
        <f>IMAGE("https://i.ibb.co/5hXFV5Np/1728.png")</f>
        <v/>
      </c>
      <c r="D541" s="18"/>
      <c r="E541" s="17" t="s">
        <v>2286</v>
      </c>
      <c r="F541" s="18"/>
      <c r="G541" s="18"/>
      <c r="H541" s="15" t="s">
        <v>2287</v>
      </c>
      <c r="I541" s="15" t="s">
        <v>2288</v>
      </c>
      <c r="J541" s="19" t="s">
        <v>36</v>
      </c>
      <c r="K541" s="19" t="s">
        <v>603</v>
      </c>
      <c r="L541" s="19" t="s">
        <v>38</v>
      </c>
      <c r="M541" s="20">
        <f t="shared" si="1"/>
        <v>0</v>
      </c>
      <c r="N541" s="21"/>
      <c r="O541" s="22"/>
      <c r="P541" s="19" t="s">
        <v>1145</v>
      </c>
      <c r="Q541" s="18"/>
      <c r="R541" s="18"/>
      <c r="S541" s="23">
        <v>0.0</v>
      </c>
      <c r="T541" s="23">
        <v>0.0</v>
      </c>
      <c r="U541" s="23">
        <f t="shared" si="2"/>
        <v>0</v>
      </c>
      <c r="V541" s="23">
        <f t="shared" si="3"/>
        <v>0</v>
      </c>
      <c r="W541" s="23">
        <f t="shared" si="4"/>
        <v>0</v>
      </c>
      <c r="X541" s="24" t="str">
        <f t="shared" si="5"/>
        <v>#DIV/0!</v>
      </c>
    </row>
    <row r="542">
      <c r="A542" s="15" t="s">
        <v>2289</v>
      </c>
      <c r="B542" s="18"/>
      <c r="C542" s="16" t="str">
        <f>IMAGE("https://i.ibb.co/DHgsdkD0/1735.png")</f>
        <v/>
      </c>
      <c r="D542" s="18"/>
      <c r="E542" s="17" t="s">
        <v>2290</v>
      </c>
      <c r="F542" s="18"/>
      <c r="G542" s="18"/>
      <c r="H542" s="15" t="s">
        <v>2291</v>
      </c>
      <c r="I542" s="15" t="s">
        <v>2292</v>
      </c>
      <c r="J542" s="19" t="s">
        <v>36</v>
      </c>
      <c r="K542" s="19" t="s">
        <v>105</v>
      </c>
      <c r="L542" s="19" t="s">
        <v>38</v>
      </c>
      <c r="M542" s="20">
        <f t="shared" si="1"/>
        <v>0</v>
      </c>
      <c r="N542" s="21"/>
      <c r="O542" s="22"/>
      <c r="P542" s="19" t="s">
        <v>1145</v>
      </c>
      <c r="Q542" s="18"/>
      <c r="R542" s="18"/>
      <c r="S542" s="23">
        <v>0.0</v>
      </c>
      <c r="T542" s="23">
        <v>0.0</v>
      </c>
      <c r="U542" s="23">
        <f t="shared" si="2"/>
        <v>0</v>
      </c>
      <c r="V542" s="23">
        <f t="shared" si="3"/>
        <v>0</v>
      </c>
      <c r="W542" s="23">
        <f t="shared" si="4"/>
        <v>0</v>
      </c>
      <c r="X542" s="24" t="str">
        <f t="shared" si="5"/>
        <v>#DIV/0!</v>
      </c>
    </row>
    <row r="543">
      <c r="A543" s="15" t="s">
        <v>2293</v>
      </c>
      <c r="B543" s="18"/>
      <c r="C543" s="16" t="str">
        <f>IMAGE("https://i.ibb.co/W4RkCDwH/1736.png")</f>
        <v/>
      </c>
      <c r="D543" s="18"/>
      <c r="E543" s="17" t="s">
        <v>2294</v>
      </c>
      <c r="F543" s="18"/>
      <c r="G543" s="18"/>
      <c r="H543" s="15" t="s">
        <v>2295</v>
      </c>
      <c r="I543" s="15" t="s">
        <v>2296</v>
      </c>
      <c r="J543" s="19" t="s">
        <v>36</v>
      </c>
      <c r="K543" s="19" t="s">
        <v>1269</v>
      </c>
      <c r="L543" s="19" t="s">
        <v>38</v>
      </c>
      <c r="M543" s="20">
        <f t="shared" si="1"/>
        <v>0</v>
      </c>
      <c r="N543" s="21"/>
      <c r="O543" s="22"/>
      <c r="P543" s="19" t="s">
        <v>1145</v>
      </c>
      <c r="Q543" s="18"/>
      <c r="R543" s="18"/>
      <c r="S543" s="23">
        <v>0.0</v>
      </c>
      <c r="T543" s="23">
        <v>0.0</v>
      </c>
      <c r="U543" s="23">
        <f t="shared" si="2"/>
        <v>0</v>
      </c>
      <c r="V543" s="23">
        <f t="shared" si="3"/>
        <v>0</v>
      </c>
      <c r="W543" s="23">
        <f t="shared" si="4"/>
        <v>0</v>
      </c>
      <c r="X543" s="24" t="str">
        <f t="shared" si="5"/>
        <v>#DIV/0!</v>
      </c>
    </row>
    <row r="544">
      <c r="A544" s="15" t="s">
        <v>2297</v>
      </c>
      <c r="B544" s="18"/>
      <c r="C544" s="16" t="str">
        <f>IMAGE("https://i.ibb.co/Z6B22WGd/1738.png")</f>
        <v/>
      </c>
      <c r="D544" s="18"/>
      <c r="E544" s="17" t="s">
        <v>2298</v>
      </c>
      <c r="F544" s="18"/>
      <c r="G544" s="18"/>
      <c r="H544" s="15" t="s">
        <v>2299</v>
      </c>
      <c r="I544" s="15" t="s">
        <v>2300</v>
      </c>
      <c r="J544" s="19" t="s">
        <v>36</v>
      </c>
      <c r="K544" s="19" t="s">
        <v>1269</v>
      </c>
      <c r="L544" s="19" t="s">
        <v>38</v>
      </c>
      <c r="M544" s="20">
        <f t="shared" si="1"/>
        <v>0</v>
      </c>
      <c r="N544" s="21"/>
      <c r="O544" s="22"/>
      <c r="P544" s="19" t="s">
        <v>1145</v>
      </c>
      <c r="Q544" s="18"/>
      <c r="R544" s="18"/>
      <c r="S544" s="23">
        <v>0.0</v>
      </c>
      <c r="T544" s="23">
        <v>0.0</v>
      </c>
      <c r="U544" s="23">
        <f t="shared" si="2"/>
        <v>0</v>
      </c>
      <c r="V544" s="23">
        <f t="shared" si="3"/>
        <v>0</v>
      </c>
      <c r="W544" s="23">
        <f t="shared" si="4"/>
        <v>0</v>
      </c>
      <c r="X544" s="24" t="str">
        <f t="shared" si="5"/>
        <v>#DIV/0!</v>
      </c>
    </row>
    <row r="545">
      <c r="A545" s="15" t="s">
        <v>2301</v>
      </c>
      <c r="B545" s="18"/>
      <c r="C545" s="16" t="str">
        <f>IMAGE("https://i.ibb.co/nNntRmj3/1739.png")</f>
        <v/>
      </c>
      <c r="D545" s="18"/>
      <c r="E545" s="17" t="s">
        <v>2302</v>
      </c>
      <c r="F545" s="18"/>
      <c r="G545" s="18"/>
      <c r="H545" s="15" t="s">
        <v>2303</v>
      </c>
      <c r="I545" s="15" t="s">
        <v>2304</v>
      </c>
      <c r="J545" s="19" t="s">
        <v>36</v>
      </c>
      <c r="K545" s="19" t="s">
        <v>1230</v>
      </c>
      <c r="L545" s="19" t="s">
        <v>38</v>
      </c>
      <c r="M545" s="20">
        <f t="shared" si="1"/>
        <v>0</v>
      </c>
      <c r="N545" s="21"/>
      <c r="O545" s="22"/>
      <c r="P545" s="19" t="s">
        <v>1145</v>
      </c>
      <c r="Q545" s="18"/>
      <c r="R545" s="18"/>
      <c r="S545" s="23">
        <v>0.0</v>
      </c>
      <c r="T545" s="23">
        <v>0.0</v>
      </c>
      <c r="U545" s="23">
        <f t="shared" si="2"/>
        <v>0</v>
      </c>
      <c r="V545" s="23">
        <f t="shared" si="3"/>
        <v>0</v>
      </c>
      <c r="W545" s="23">
        <f t="shared" si="4"/>
        <v>0</v>
      </c>
      <c r="X545" s="24" t="str">
        <f t="shared" si="5"/>
        <v>#DIV/0!</v>
      </c>
    </row>
    <row r="546">
      <c r="A546" s="15" t="s">
        <v>2305</v>
      </c>
      <c r="B546" s="18"/>
      <c r="C546" s="16" t="str">
        <f>IMAGE("https://i.ibb.co/3btkm67/1742.png")</f>
        <v/>
      </c>
      <c r="D546" s="18"/>
      <c r="E546" s="17" t="s">
        <v>2306</v>
      </c>
      <c r="F546" s="18"/>
      <c r="G546" s="18"/>
      <c r="H546" s="15" t="s">
        <v>2307</v>
      </c>
      <c r="I546" s="15" t="s">
        <v>2308</v>
      </c>
      <c r="J546" s="19" t="s">
        <v>36</v>
      </c>
      <c r="K546" s="19" t="s">
        <v>1230</v>
      </c>
      <c r="L546" s="19" t="s">
        <v>38</v>
      </c>
      <c r="M546" s="20">
        <f t="shared" si="1"/>
        <v>0</v>
      </c>
      <c r="N546" s="21"/>
      <c r="O546" s="22"/>
      <c r="P546" s="19" t="s">
        <v>1145</v>
      </c>
      <c r="Q546" s="18"/>
      <c r="R546" s="18"/>
      <c r="S546" s="23">
        <v>0.0</v>
      </c>
      <c r="T546" s="23">
        <v>0.0</v>
      </c>
      <c r="U546" s="23">
        <f t="shared" si="2"/>
        <v>0</v>
      </c>
      <c r="V546" s="23">
        <f t="shared" si="3"/>
        <v>0</v>
      </c>
      <c r="W546" s="23">
        <f t="shared" si="4"/>
        <v>0</v>
      </c>
      <c r="X546" s="24" t="str">
        <f t="shared" si="5"/>
        <v>#DIV/0!</v>
      </c>
    </row>
    <row r="547">
      <c r="A547" s="15" t="s">
        <v>2309</v>
      </c>
      <c r="B547" s="18"/>
      <c r="C547" s="16" t="str">
        <f>IMAGE("https://i.ibb.co/fdmdMH9r/1743.png")</f>
        <v/>
      </c>
      <c r="D547" s="18"/>
      <c r="E547" s="17" t="s">
        <v>2310</v>
      </c>
      <c r="F547" s="18"/>
      <c r="G547" s="18"/>
      <c r="H547" s="15" t="s">
        <v>2311</v>
      </c>
      <c r="I547" s="15" t="s">
        <v>2312</v>
      </c>
      <c r="J547" s="19" t="s">
        <v>36</v>
      </c>
      <c r="K547" s="19" t="s">
        <v>1230</v>
      </c>
      <c r="L547" s="19" t="s">
        <v>38</v>
      </c>
      <c r="M547" s="20">
        <f t="shared" si="1"/>
        <v>0</v>
      </c>
      <c r="N547" s="21"/>
      <c r="O547" s="22"/>
      <c r="P547" s="19" t="s">
        <v>1145</v>
      </c>
      <c r="Q547" s="18"/>
      <c r="R547" s="18"/>
      <c r="S547" s="23">
        <v>0.0</v>
      </c>
      <c r="T547" s="23">
        <v>0.0</v>
      </c>
      <c r="U547" s="23">
        <f t="shared" si="2"/>
        <v>0</v>
      </c>
      <c r="V547" s="23">
        <f t="shared" si="3"/>
        <v>0</v>
      </c>
      <c r="W547" s="23">
        <f t="shared" si="4"/>
        <v>0</v>
      </c>
      <c r="X547" s="24" t="str">
        <f t="shared" si="5"/>
        <v>#DIV/0!</v>
      </c>
    </row>
    <row r="548">
      <c r="A548" s="15" t="s">
        <v>2313</v>
      </c>
      <c r="B548" s="18"/>
      <c r="C548" s="16" t="str">
        <f>IMAGE("https://i.ibb.co/kgwMTyYN/1744.png")</f>
        <v/>
      </c>
      <c r="D548" s="18"/>
      <c r="E548" s="17" t="s">
        <v>2310</v>
      </c>
      <c r="F548" s="18"/>
      <c r="G548" s="18"/>
      <c r="H548" s="15" t="s">
        <v>2314</v>
      </c>
      <c r="I548" s="15" t="s">
        <v>2315</v>
      </c>
      <c r="J548" s="19" t="s">
        <v>36</v>
      </c>
      <c r="K548" s="19" t="s">
        <v>1230</v>
      </c>
      <c r="L548" s="19" t="s">
        <v>38</v>
      </c>
      <c r="M548" s="20">
        <f t="shared" si="1"/>
        <v>0</v>
      </c>
      <c r="N548" s="21"/>
      <c r="O548" s="22"/>
      <c r="P548" s="19" t="s">
        <v>1145</v>
      </c>
      <c r="Q548" s="18"/>
      <c r="R548" s="18"/>
      <c r="S548" s="23">
        <v>0.0</v>
      </c>
      <c r="T548" s="23">
        <v>0.0</v>
      </c>
      <c r="U548" s="23">
        <f t="shared" si="2"/>
        <v>0</v>
      </c>
      <c r="V548" s="23">
        <f t="shared" si="3"/>
        <v>0</v>
      </c>
      <c r="W548" s="23">
        <f t="shared" si="4"/>
        <v>0</v>
      </c>
      <c r="X548" s="24" t="str">
        <f t="shared" si="5"/>
        <v>#DIV/0!</v>
      </c>
    </row>
    <row r="549">
      <c r="A549" s="15" t="s">
        <v>2316</v>
      </c>
      <c r="B549" s="18"/>
      <c r="C549" s="16" t="str">
        <f>IMAGE("https://i.ibb.co/HDcH7NFq/1746.png")</f>
        <v/>
      </c>
      <c r="D549" s="18"/>
      <c r="E549" s="17" t="s">
        <v>2317</v>
      </c>
      <c r="F549" s="18"/>
      <c r="G549" s="18"/>
      <c r="H549" s="15" t="s">
        <v>2318</v>
      </c>
      <c r="I549" s="15" t="s">
        <v>2319</v>
      </c>
      <c r="J549" s="19" t="s">
        <v>36</v>
      </c>
      <c r="K549" s="19" t="s">
        <v>402</v>
      </c>
      <c r="L549" s="19" t="s">
        <v>38</v>
      </c>
      <c r="M549" s="20">
        <f t="shared" si="1"/>
        <v>0</v>
      </c>
      <c r="N549" s="21"/>
      <c r="O549" s="22"/>
      <c r="P549" s="19" t="s">
        <v>1145</v>
      </c>
      <c r="Q549" s="18"/>
      <c r="R549" s="18"/>
      <c r="S549" s="23">
        <v>0.0</v>
      </c>
      <c r="T549" s="23">
        <v>0.0</v>
      </c>
      <c r="U549" s="23">
        <f t="shared" si="2"/>
        <v>0</v>
      </c>
      <c r="V549" s="23">
        <f t="shared" si="3"/>
        <v>0</v>
      </c>
      <c r="W549" s="23">
        <f t="shared" si="4"/>
        <v>0</v>
      </c>
      <c r="X549" s="24" t="str">
        <f t="shared" si="5"/>
        <v>#DIV/0!</v>
      </c>
    </row>
    <row r="550">
      <c r="A550" s="15" t="s">
        <v>2320</v>
      </c>
      <c r="B550" s="18"/>
      <c r="C550" s="16" t="str">
        <f>IMAGE("https://i.ibb.co/nMBvzDHZ/1747.png")</f>
        <v/>
      </c>
      <c r="D550" s="18"/>
      <c r="E550" s="17" t="s">
        <v>2321</v>
      </c>
      <c r="F550" s="18"/>
      <c r="G550" s="18"/>
      <c r="H550" s="15" t="s">
        <v>2322</v>
      </c>
      <c r="I550" s="15" t="s">
        <v>2323</v>
      </c>
      <c r="J550" s="19" t="s">
        <v>36</v>
      </c>
      <c r="K550" s="19" t="s">
        <v>402</v>
      </c>
      <c r="L550" s="19" t="s">
        <v>38</v>
      </c>
      <c r="M550" s="20">
        <f t="shared" si="1"/>
        <v>0</v>
      </c>
      <c r="N550" s="21"/>
      <c r="O550" s="22"/>
      <c r="P550" s="19" t="s">
        <v>1145</v>
      </c>
      <c r="Q550" s="18"/>
      <c r="R550" s="18"/>
      <c r="S550" s="23">
        <v>0.0</v>
      </c>
      <c r="T550" s="23">
        <v>0.0</v>
      </c>
      <c r="U550" s="23">
        <f t="shared" si="2"/>
        <v>0</v>
      </c>
      <c r="V550" s="23">
        <f t="shared" si="3"/>
        <v>0</v>
      </c>
      <c r="W550" s="23">
        <f t="shared" si="4"/>
        <v>0</v>
      </c>
      <c r="X550" s="24" t="str">
        <f t="shared" si="5"/>
        <v>#DIV/0!</v>
      </c>
    </row>
    <row r="551">
      <c r="A551" s="15" t="s">
        <v>2324</v>
      </c>
      <c r="B551" s="18"/>
      <c r="C551" s="16" t="str">
        <f>IMAGE("https://i.ibb.co/KzsBgKzC/1750.png")</f>
        <v/>
      </c>
      <c r="D551" s="18"/>
      <c r="E551" s="17" t="s">
        <v>2325</v>
      </c>
      <c r="F551" s="18"/>
      <c r="G551" s="18"/>
      <c r="H551" s="15" t="s">
        <v>2326</v>
      </c>
      <c r="I551" s="15" t="s">
        <v>2327</v>
      </c>
      <c r="J551" s="19" t="s">
        <v>36</v>
      </c>
      <c r="K551" s="19" t="s">
        <v>105</v>
      </c>
      <c r="L551" s="19" t="s">
        <v>38</v>
      </c>
      <c r="M551" s="20">
        <f t="shared" si="1"/>
        <v>0</v>
      </c>
      <c r="N551" s="21"/>
      <c r="O551" s="22"/>
      <c r="P551" s="19" t="s">
        <v>1145</v>
      </c>
      <c r="Q551" s="18"/>
      <c r="R551" s="18"/>
      <c r="S551" s="23">
        <v>0.0</v>
      </c>
      <c r="T551" s="23">
        <v>0.0</v>
      </c>
      <c r="U551" s="23">
        <f t="shared" si="2"/>
        <v>0</v>
      </c>
      <c r="V551" s="23">
        <f t="shared" si="3"/>
        <v>0</v>
      </c>
      <c r="W551" s="23">
        <f t="shared" si="4"/>
        <v>0</v>
      </c>
      <c r="X551" s="24" t="str">
        <f t="shared" si="5"/>
        <v>#DIV/0!</v>
      </c>
    </row>
    <row r="552">
      <c r="A552" s="15" t="s">
        <v>2328</v>
      </c>
      <c r="B552" s="18"/>
      <c r="C552" s="16" t="str">
        <f>IMAGE("https://i.ibb.co/pv2w35SN/1751.png")</f>
        <v/>
      </c>
      <c r="D552" s="18"/>
      <c r="E552" s="17" t="s">
        <v>2325</v>
      </c>
      <c r="F552" s="18"/>
      <c r="G552" s="18"/>
      <c r="H552" s="15" t="s">
        <v>2329</v>
      </c>
      <c r="I552" s="15" t="s">
        <v>2330</v>
      </c>
      <c r="J552" s="19" t="s">
        <v>36</v>
      </c>
      <c r="K552" s="19" t="s">
        <v>105</v>
      </c>
      <c r="L552" s="19" t="s">
        <v>38</v>
      </c>
      <c r="M552" s="20">
        <f t="shared" si="1"/>
        <v>0</v>
      </c>
      <c r="N552" s="21"/>
      <c r="O552" s="22"/>
      <c r="P552" s="19" t="s">
        <v>1145</v>
      </c>
      <c r="Q552" s="18"/>
      <c r="R552" s="18"/>
      <c r="S552" s="23">
        <v>0.0</v>
      </c>
      <c r="T552" s="23">
        <v>0.0</v>
      </c>
      <c r="U552" s="23">
        <f t="shared" si="2"/>
        <v>0</v>
      </c>
      <c r="V552" s="23">
        <f t="shared" si="3"/>
        <v>0</v>
      </c>
      <c r="W552" s="23">
        <f t="shared" si="4"/>
        <v>0</v>
      </c>
      <c r="X552" s="24" t="str">
        <f t="shared" si="5"/>
        <v>#DIV/0!</v>
      </c>
    </row>
    <row r="553">
      <c r="A553" s="15" t="s">
        <v>2331</v>
      </c>
      <c r="B553" s="18"/>
      <c r="C553" s="16" t="str">
        <f>IMAGE("https://i.ibb.co/LD2NZwPB/1753.png")</f>
        <v/>
      </c>
      <c r="D553" s="18"/>
      <c r="E553" s="17" t="s">
        <v>2332</v>
      </c>
      <c r="F553" s="18"/>
      <c r="G553" s="18"/>
      <c r="H553" s="15" t="s">
        <v>2333</v>
      </c>
      <c r="I553" s="15" t="s">
        <v>2334</v>
      </c>
      <c r="J553" s="19" t="s">
        <v>36</v>
      </c>
      <c r="K553" s="19" t="s">
        <v>105</v>
      </c>
      <c r="L553" s="19" t="s">
        <v>38</v>
      </c>
      <c r="M553" s="20">
        <f t="shared" si="1"/>
        <v>0</v>
      </c>
      <c r="N553" s="21"/>
      <c r="O553" s="22"/>
      <c r="P553" s="19" t="s">
        <v>1145</v>
      </c>
      <c r="Q553" s="18"/>
      <c r="R553" s="18"/>
      <c r="S553" s="23">
        <v>0.0</v>
      </c>
      <c r="T553" s="23">
        <v>0.0</v>
      </c>
      <c r="U553" s="23">
        <f t="shared" si="2"/>
        <v>0</v>
      </c>
      <c r="V553" s="23">
        <f t="shared" si="3"/>
        <v>0</v>
      </c>
      <c r="W553" s="23">
        <f t="shared" si="4"/>
        <v>0</v>
      </c>
      <c r="X553" s="24" t="str">
        <f t="shared" si="5"/>
        <v>#DIV/0!</v>
      </c>
    </row>
    <row r="554">
      <c r="A554" s="15" t="s">
        <v>2335</v>
      </c>
      <c r="B554" s="18"/>
      <c r="C554" s="16" t="str">
        <f>IMAGE("https://i.ibb.co/1JPmnMH0/1754.png")</f>
        <v/>
      </c>
      <c r="D554" s="18"/>
      <c r="E554" s="17" t="s">
        <v>2336</v>
      </c>
      <c r="F554" s="18"/>
      <c r="G554" s="18"/>
      <c r="H554" s="15" t="s">
        <v>2337</v>
      </c>
      <c r="I554" s="15" t="s">
        <v>2338</v>
      </c>
      <c r="J554" s="19" t="s">
        <v>36</v>
      </c>
      <c r="K554" s="19" t="s">
        <v>284</v>
      </c>
      <c r="L554" s="19" t="s">
        <v>38</v>
      </c>
      <c r="M554" s="20">
        <f t="shared" si="1"/>
        <v>0</v>
      </c>
      <c r="N554" s="21"/>
      <c r="O554" s="22"/>
      <c r="P554" s="19" t="s">
        <v>1145</v>
      </c>
      <c r="Q554" s="18"/>
      <c r="R554" s="18"/>
      <c r="S554" s="23">
        <v>0.0</v>
      </c>
      <c r="T554" s="23">
        <v>0.0</v>
      </c>
      <c r="U554" s="23">
        <f t="shared" si="2"/>
        <v>0</v>
      </c>
      <c r="V554" s="23">
        <f t="shared" si="3"/>
        <v>0</v>
      </c>
      <c r="W554" s="23">
        <f t="shared" si="4"/>
        <v>0</v>
      </c>
      <c r="X554" s="24" t="str">
        <f t="shared" si="5"/>
        <v>#DIV/0!</v>
      </c>
    </row>
    <row r="555">
      <c r="A555" s="15" t="s">
        <v>2339</v>
      </c>
      <c r="B555" s="18"/>
      <c r="C555" s="16" t="str">
        <f t="shared" ref="C555:C556" si="11">IMAGE("https://i.ibb.co/pBsZ0PyH/1755.png")</f>
        <v/>
      </c>
      <c r="D555" s="18"/>
      <c r="E555" s="17" t="s">
        <v>2340</v>
      </c>
      <c r="F555" s="18"/>
      <c r="G555" s="18"/>
      <c r="H555" s="15" t="s">
        <v>2341</v>
      </c>
      <c r="I555" s="15" t="s">
        <v>2342</v>
      </c>
      <c r="J555" s="19" t="s">
        <v>36</v>
      </c>
      <c r="K555" s="19" t="s">
        <v>105</v>
      </c>
      <c r="L555" s="19" t="s">
        <v>38</v>
      </c>
      <c r="M555" s="20">
        <f t="shared" si="1"/>
        <v>0</v>
      </c>
      <c r="N555" s="21"/>
      <c r="O555" s="22"/>
      <c r="P555" s="19" t="s">
        <v>1145</v>
      </c>
      <c r="Q555" s="18"/>
      <c r="R555" s="18"/>
      <c r="S555" s="23">
        <v>0.0</v>
      </c>
      <c r="T555" s="23">
        <v>0.0</v>
      </c>
      <c r="U555" s="23">
        <f t="shared" si="2"/>
        <v>0</v>
      </c>
      <c r="V555" s="23">
        <f t="shared" si="3"/>
        <v>0</v>
      </c>
      <c r="W555" s="23">
        <f t="shared" si="4"/>
        <v>0</v>
      </c>
      <c r="X555" s="24" t="str">
        <f t="shared" si="5"/>
        <v>#DIV/0!</v>
      </c>
    </row>
    <row r="556">
      <c r="A556" s="15" t="s">
        <v>2343</v>
      </c>
      <c r="B556" s="18"/>
      <c r="C556" s="16" t="str">
        <f t="shared" si="11"/>
        <v/>
      </c>
      <c r="D556" s="18"/>
      <c r="E556" s="17" t="s">
        <v>2344</v>
      </c>
      <c r="F556" s="18"/>
      <c r="G556" s="18"/>
      <c r="H556" s="15" t="s">
        <v>2341</v>
      </c>
      <c r="I556" s="15" t="s">
        <v>2342</v>
      </c>
      <c r="J556" s="19" t="s">
        <v>36</v>
      </c>
      <c r="K556" s="19" t="s">
        <v>105</v>
      </c>
      <c r="L556" s="19" t="s">
        <v>38</v>
      </c>
      <c r="M556" s="20">
        <f t="shared" si="1"/>
        <v>0</v>
      </c>
      <c r="N556" s="21"/>
      <c r="O556" s="22"/>
      <c r="P556" s="19" t="s">
        <v>1145</v>
      </c>
      <c r="Q556" s="18"/>
      <c r="R556" s="18"/>
      <c r="S556" s="23">
        <v>0.0</v>
      </c>
      <c r="T556" s="23">
        <v>0.0</v>
      </c>
      <c r="U556" s="23">
        <f t="shared" si="2"/>
        <v>0</v>
      </c>
      <c r="V556" s="23">
        <f t="shared" si="3"/>
        <v>0</v>
      </c>
      <c r="W556" s="23">
        <f t="shared" si="4"/>
        <v>0</v>
      </c>
      <c r="X556" s="24" t="str">
        <f t="shared" si="5"/>
        <v>#DIV/0!</v>
      </c>
    </row>
    <row r="557">
      <c r="A557" s="15" t="s">
        <v>2345</v>
      </c>
      <c r="B557" s="18"/>
      <c r="C557" s="16" t="str">
        <f>IMAGE("https://i.ibb.co/354Rs4vw/1757.png")</f>
        <v/>
      </c>
      <c r="D557" s="18"/>
      <c r="E557" s="17" t="s">
        <v>2346</v>
      </c>
      <c r="F557" s="18"/>
      <c r="G557" s="18"/>
      <c r="H557" s="15" t="s">
        <v>2347</v>
      </c>
      <c r="I557" s="15" t="s">
        <v>2348</v>
      </c>
      <c r="J557" s="19" t="s">
        <v>36</v>
      </c>
      <c r="K557" s="19" t="s">
        <v>105</v>
      </c>
      <c r="L557" s="19" t="s">
        <v>38</v>
      </c>
      <c r="M557" s="20">
        <f t="shared" si="1"/>
        <v>0</v>
      </c>
      <c r="N557" s="21"/>
      <c r="O557" s="22"/>
      <c r="P557" s="19" t="s">
        <v>1145</v>
      </c>
      <c r="Q557" s="18"/>
      <c r="R557" s="18"/>
      <c r="S557" s="23">
        <v>0.0</v>
      </c>
      <c r="T557" s="23">
        <v>0.0</v>
      </c>
      <c r="U557" s="23">
        <f t="shared" si="2"/>
        <v>0</v>
      </c>
      <c r="V557" s="23">
        <f t="shared" si="3"/>
        <v>0</v>
      </c>
      <c r="W557" s="23">
        <f t="shared" si="4"/>
        <v>0</v>
      </c>
      <c r="X557" s="24" t="str">
        <f t="shared" si="5"/>
        <v>#DIV/0!</v>
      </c>
    </row>
    <row r="558">
      <c r="A558" s="15" t="s">
        <v>2349</v>
      </c>
      <c r="B558" s="18"/>
      <c r="C558" s="16" t="str">
        <f>IMAGE("https://i.ibb.co/k2B8G5Jy/1758.png")</f>
        <v/>
      </c>
      <c r="D558" s="18"/>
      <c r="E558" s="17" t="s">
        <v>2350</v>
      </c>
      <c r="F558" s="18"/>
      <c r="G558" s="18"/>
      <c r="H558" s="15" t="s">
        <v>2351</v>
      </c>
      <c r="I558" s="15" t="s">
        <v>2352</v>
      </c>
      <c r="J558" s="19" t="s">
        <v>36</v>
      </c>
      <c r="K558" s="19" t="s">
        <v>105</v>
      </c>
      <c r="L558" s="19" t="s">
        <v>38</v>
      </c>
      <c r="M558" s="20">
        <f t="shared" si="1"/>
        <v>0</v>
      </c>
      <c r="N558" s="21"/>
      <c r="O558" s="22"/>
      <c r="P558" s="19" t="s">
        <v>1145</v>
      </c>
      <c r="Q558" s="18"/>
      <c r="R558" s="18"/>
      <c r="S558" s="23">
        <v>0.0</v>
      </c>
      <c r="T558" s="23">
        <v>0.0</v>
      </c>
      <c r="U558" s="23">
        <f t="shared" si="2"/>
        <v>0</v>
      </c>
      <c r="V558" s="23">
        <f t="shared" si="3"/>
        <v>0</v>
      </c>
      <c r="W558" s="23">
        <f t="shared" si="4"/>
        <v>0</v>
      </c>
      <c r="X558" s="24" t="str">
        <f t="shared" si="5"/>
        <v>#DIV/0!</v>
      </c>
    </row>
    <row r="559">
      <c r="A559" s="15" t="s">
        <v>2353</v>
      </c>
      <c r="B559" s="18"/>
      <c r="C559" s="16" t="str">
        <f>IMAGE("https://i.ibb.co/RJh6BPp/1759.png")</f>
        <v/>
      </c>
      <c r="D559" s="18"/>
      <c r="E559" s="17" t="s">
        <v>2354</v>
      </c>
      <c r="F559" s="18"/>
      <c r="G559" s="18"/>
      <c r="H559" s="15" t="s">
        <v>2355</v>
      </c>
      <c r="I559" s="15" t="s">
        <v>2356</v>
      </c>
      <c r="J559" s="19" t="s">
        <v>36</v>
      </c>
      <c r="K559" s="19" t="s">
        <v>105</v>
      </c>
      <c r="L559" s="19" t="s">
        <v>38</v>
      </c>
      <c r="M559" s="20">
        <f t="shared" si="1"/>
        <v>0</v>
      </c>
      <c r="N559" s="21"/>
      <c r="O559" s="22"/>
      <c r="P559" s="19" t="s">
        <v>1145</v>
      </c>
      <c r="Q559" s="18"/>
      <c r="R559" s="18"/>
      <c r="S559" s="23">
        <v>0.0</v>
      </c>
      <c r="T559" s="23">
        <v>0.0</v>
      </c>
      <c r="U559" s="23">
        <f t="shared" si="2"/>
        <v>0</v>
      </c>
      <c r="V559" s="23">
        <f t="shared" si="3"/>
        <v>0</v>
      </c>
      <c r="W559" s="23">
        <f t="shared" si="4"/>
        <v>0</v>
      </c>
      <c r="X559" s="24" t="str">
        <f t="shared" si="5"/>
        <v>#DIV/0!</v>
      </c>
    </row>
    <row r="560">
      <c r="A560" s="15" t="s">
        <v>2357</v>
      </c>
      <c r="B560" s="18"/>
      <c r="C560" s="16" t="str">
        <f>IMAGE("https://i.ibb.co/CKB58CBX/1760.png")</f>
        <v/>
      </c>
      <c r="D560" s="18"/>
      <c r="E560" s="17" t="s">
        <v>2358</v>
      </c>
      <c r="F560" s="18"/>
      <c r="G560" s="18"/>
      <c r="H560" s="15" t="s">
        <v>2359</v>
      </c>
      <c r="I560" s="15" t="s">
        <v>2360</v>
      </c>
      <c r="J560" s="19" t="s">
        <v>36</v>
      </c>
      <c r="K560" s="19" t="s">
        <v>1230</v>
      </c>
      <c r="L560" s="19" t="s">
        <v>38</v>
      </c>
      <c r="M560" s="20">
        <f t="shared" si="1"/>
        <v>0</v>
      </c>
      <c r="N560" s="21"/>
      <c r="O560" s="22"/>
      <c r="P560" s="19" t="s">
        <v>1145</v>
      </c>
      <c r="Q560" s="18"/>
      <c r="R560" s="18"/>
      <c r="S560" s="23">
        <v>0.0</v>
      </c>
      <c r="T560" s="23">
        <v>0.0</v>
      </c>
      <c r="U560" s="23">
        <f t="shared" si="2"/>
        <v>0</v>
      </c>
      <c r="V560" s="23">
        <f t="shared" si="3"/>
        <v>0</v>
      </c>
      <c r="W560" s="23">
        <f t="shared" si="4"/>
        <v>0</v>
      </c>
      <c r="X560" s="24" t="str">
        <f t="shared" si="5"/>
        <v>#DIV/0!</v>
      </c>
    </row>
    <row r="561">
      <c r="A561" s="15" t="s">
        <v>2361</v>
      </c>
      <c r="B561" s="18"/>
      <c r="C561" s="16" t="str">
        <f>IMAGE("https://i.ibb.co/WWFGFHTR/1762.png")</f>
        <v/>
      </c>
      <c r="D561" s="18"/>
      <c r="E561" s="17" t="s">
        <v>2362</v>
      </c>
      <c r="F561" s="18"/>
      <c r="G561" s="18"/>
      <c r="H561" s="15" t="s">
        <v>2363</v>
      </c>
      <c r="I561" s="15" t="s">
        <v>2364</v>
      </c>
      <c r="J561" s="19" t="s">
        <v>36</v>
      </c>
      <c r="K561" s="19" t="s">
        <v>37</v>
      </c>
      <c r="L561" s="19" t="s">
        <v>38</v>
      </c>
      <c r="M561" s="20">
        <f t="shared" si="1"/>
        <v>0</v>
      </c>
      <c r="N561" s="21"/>
      <c r="O561" s="22"/>
      <c r="P561" s="19" t="s">
        <v>1145</v>
      </c>
      <c r="Q561" s="18"/>
      <c r="R561" s="18"/>
      <c r="S561" s="23">
        <v>0.0</v>
      </c>
      <c r="T561" s="23">
        <v>0.0</v>
      </c>
      <c r="U561" s="23">
        <f t="shared" si="2"/>
        <v>0</v>
      </c>
      <c r="V561" s="23">
        <f t="shared" si="3"/>
        <v>0</v>
      </c>
      <c r="W561" s="23">
        <f t="shared" si="4"/>
        <v>0</v>
      </c>
      <c r="X561" s="24" t="str">
        <f t="shared" si="5"/>
        <v>#DIV/0!</v>
      </c>
    </row>
    <row r="562">
      <c r="A562" s="15" t="s">
        <v>2365</v>
      </c>
      <c r="B562" s="15" t="s">
        <v>2366</v>
      </c>
      <c r="C562" s="16" t="str">
        <f>IMAGE("https://i.ibb.co/JWphj9vJ/1766.png")</f>
        <v/>
      </c>
      <c r="D562" s="18"/>
      <c r="E562" s="17" t="s">
        <v>2367</v>
      </c>
      <c r="F562" s="18"/>
      <c r="G562" s="18"/>
      <c r="H562" s="15" t="s">
        <v>2368</v>
      </c>
      <c r="I562" s="18"/>
      <c r="J562" s="19" t="s">
        <v>283</v>
      </c>
      <c r="K562" s="33"/>
      <c r="L562" s="19" t="s">
        <v>38</v>
      </c>
      <c r="M562" s="20">
        <f t="shared" si="1"/>
        <v>0</v>
      </c>
      <c r="N562" s="21"/>
      <c r="O562" s="22"/>
      <c r="P562" s="19" t="s">
        <v>1145</v>
      </c>
      <c r="Q562" s="18"/>
      <c r="R562" s="18"/>
      <c r="S562" s="23">
        <v>0.0</v>
      </c>
      <c r="T562" s="23">
        <v>0.0</v>
      </c>
      <c r="U562" s="23">
        <f t="shared" si="2"/>
        <v>0</v>
      </c>
      <c r="V562" s="23">
        <f t="shared" si="3"/>
        <v>0</v>
      </c>
      <c r="W562" s="23">
        <f t="shared" si="4"/>
        <v>0</v>
      </c>
      <c r="X562" s="24" t="str">
        <f t="shared" si="5"/>
        <v>#DIV/0!</v>
      </c>
    </row>
    <row r="563">
      <c r="A563" s="15" t="s">
        <v>2369</v>
      </c>
      <c r="B563" s="15" t="s">
        <v>2370</v>
      </c>
      <c r="C563" s="16" t="str">
        <f>IMAGE("https://i.ibb.co/jZM964nv/1782.png")</f>
        <v/>
      </c>
      <c r="D563" s="18"/>
      <c r="E563" s="17" t="s">
        <v>2371</v>
      </c>
      <c r="F563" s="18"/>
      <c r="G563" s="18"/>
      <c r="H563" s="15" t="s">
        <v>2372</v>
      </c>
      <c r="I563" s="18"/>
      <c r="J563" s="19" t="s">
        <v>283</v>
      </c>
      <c r="K563" s="33"/>
      <c r="L563" s="19" t="s">
        <v>38</v>
      </c>
      <c r="M563" s="20">
        <f t="shared" si="1"/>
        <v>0</v>
      </c>
      <c r="N563" s="21"/>
      <c r="O563" s="22"/>
      <c r="P563" s="19" t="s">
        <v>1145</v>
      </c>
      <c r="Q563" s="18"/>
      <c r="R563" s="18"/>
      <c r="S563" s="23">
        <v>0.0</v>
      </c>
      <c r="T563" s="23">
        <v>0.0</v>
      </c>
      <c r="U563" s="23">
        <f t="shared" si="2"/>
        <v>0</v>
      </c>
      <c r="V563" s="23">
        <f t="shared" si="3"/>
        <v>0</v>
      </c>
      <c r="W563" s="23">
        <f t="shared" si="4"/>
        <v>0</v>
      </c>
      <c r="X563" s="24" t="str">
        <f t="shared" si="5"/>
        <v>#DIV/0!</v>
      </c>
    </row>
    <row r="564">
      <c r="A564" s="15" t="s">
        <v>2373</v>
      </c>
      <c r="B564" s="15" t="s">
        <v>2374</v>
      </c>
      <c r="C564" s="16" t="str">
        <f>IMAGE("https://i.ibb.co/d0gKYXzV/1786.png")</f>
        <v/>
      </c>
      <c r="D564" s="18"/>
      <c r="E564" s="17" t="s">
        <v>2375</v>
      </c>
      <c r="F564" s="18"/>
      <c r="G564" s="18"/>
      <c r="H564" s="15" t="s">
        <v>2376</v>
      </c>
      <c r="I564" s="18"/>
      <c r="J564" s="19" t="s">
        <v>283</v>
      </c>
      <c r="K564" s="33"/>
      <c r="L564" s="19" t="s">
        <v>38</v>
      </c>
      <c r="M564" s="20">
        <f t="shared" si="1"/>
        <v>0</v>
      </c>
      <c r="N564" s="21"/>
      <c r="O564" s="22"/>
      <c r="P564" s="19" t="s">
        <v>1145</v>
      </c>
      <c r="Q564" s="18"/>
      <c r="R564" s="18"/>
      <c r="S564" s="23">
        <v>0.0</v>
      </c>
      <c r="T564" s="23">
        <v>0.0</v>
      </c>
      <c r="U564" s="23">
        <f t="shared" si="2"/>
        <v>0</v>
      </c>
      <c r="V564" s="23">
        <f t="shared" si="3"/>
        <v>0</v>
      </c>
      <c r="W564" s="23">
        <f t="shared" si="4"/>
        <v>0</v>
      </c>
      <c r="X564" s="24" t="str">
        <f t="shared" si="5"/>
        <v>#DIV/0!</v>
      </c>
    </row>
    <row r="565">
      <c r="A565" s="15" t="s">
        <v>2377</v>
      </c>
      <c r="B565" s="18"/>
      <c r="C565" s="16" t="str">
        <f>IMAGE("https://i.ibb.co/rRs0p2JK/1820.png")</f>
        <v/>
      </c>
      <c r="D565" s="18"/>
      <c r="E565" s="17" t="s">
        <v>1050</v>
      </c>
      <c r="F565" s="18"/>
      <c r="G565" s="18"/>
      <c r="H565" s="18"/>
      <c r="I565" s="18"/>
      <c r="J565" s="19" t="s">
        <v>283</v>
      </c>
      <c r="K565" s="33"/>
      <c r="L565" s="19" t="s">
        <v>38</v>
      </c>
      <c r="M565" s="20">
        <f t="shared" si="1"/>
        <v>0</v>
      </c>
      <c r="N565" s="21"/>
      <c r="O565" s="22"/>
      <c r="P565" s="19" t="s">
        <v>1145</v>
      </c>
      <c r="Q565" s="18"/>
      <c r="R565" s="18"/>
      <c r="S565" s="23">
        <v>0.0</v>
      </c>
      <c r="T565" s="23">
        <v>0.0</v>
      </c>
      <c r="U565" s="23">
        <f t="shared" si="2"/>
        <v>0</v>
      </c>
      <c r="V565" s="23">
        <f t="shared" si="3"/>
        <v>0</v>
      </c>
      <c r="W565" s="23">
        <f t="shared" si="4"/>
        <v>0</v>
      </c>
      <c r="X565" s="24" t="str">
        <f t="shared" si="5"/>
        <v>#DIV/0!</v>
      </c>
    </row>
    <row r="566">
      <c r="A566" s="15" t="s">
        <v>2378</v>
      </c>
      <c r="B566" s="18"/>
      <c r="C566" s="16"/>
      <c r="D566" s="18"/>
      <c r="E566" s="17" t="s">
        <v>2379</v>
      </c>
      <c r="F566" s="18"/>
      <c r="G566" s="18"/>
      <c r="H566" s="15" t="s">
        <v>2380</v>
      </c>
      <c r="I566" s="15" t="s">
        <v>2381</v>
      </c>
      <c r="J566" s="19" t="s">
        <v>36</v>
      </c>
      <c r="K566" s="19" t="s">
        <v>2382</v>
      </c>
      <c r="L566" s="19" t="s">
        <v>38</v>
      </c>
      <c r="M566" s="20">
        <f t="shared" si="1"/>
        <v>0</v>
      </c>
      <c r="N566" s="21"/>
      <c r="O566" s="22"/>
      <c r="P566" s="19" t="s">
        <v>1145</v>
      </c>
      <c r="Q566" s="18"/>
      <c r="R566" s="18"/>
      <c r="S566" s="23">
        <v>0.0</v>
      </c>
      <c r="T566" s="23">
        <v>0.0</v>
      </c>
      <c r="U566" s="23">
        <f t="shared" si="2"/>
        <v>0</v>
      </c>
      <c r="V566" s="23">
        <f t="shared" si="3"/>
        <v>0</v>
      </c>
      <c r="W566" s="23">
        <f t="shared" si="4"/>
        <v>0</v>
      </c>
      <c r="X566" s="24" t="str">
        <f t="shared" si="5"/>
        <v>#DIV/0!</v>
      </c>
    </row>
    <row r="567">
      <c r="A567" s="15" t="s">
        <v>2383</v>
      </c>
      <c r="B567" s="18"/>
      <c r="C567" s="16"/>
      <c r="D567" s="18"/>
      <c r="E567" s="17" t="s">
        <v>2384</v>
      </c>
      <c r="F567" s="18"/>
      <c r="G567" s="18"/>
      <c r="H567" s="15" t="s">
        <v>2385</v>
      </c>
      <c r="I567" s="15" t="s">
        <v>2386</v>
      </c>
      <c r="J567" s="19" t="s">
        <v>36</v>
      </c>
      <c r="K567" s="19" t="s">
        <v>2387</v>
      </c>
      <c r="L567" s="19" t="s">
        <v>38</v>
      </c>
      <c r="M567" s="20">
        <f t="shared" si="1"/>
        <v>0</v>
      </c>
      <c r="N567" s="21"/>
      <c r="O567" s="22"/>
      <c r="P567" s="19" t="s">
        <v>1145</v>
      </c>
      <c r="Q567" s="18"/>
      <c r="R567" s="18"/>
      <c r="S567" s="23">
        <v>0.0</v>
      </c>
      <c r="T567" s="23">
        <v>0.0</v>
      </c>
      <c r="U567" s="23">
        <f t="shared" si="2"/>
        <v>0</v>
      </c>
      <c r="V567" s="23">
        <f t="shared" si="3"/>
        <v>0</v>
      </c>
      <c r="W567" s="23">
        <f t="shared" si="4"/>
        <v>0</v>
      </c>
      <c r="X567" s="24" t="str">
        <f t="shared" si="5"/>
        <v>#DIV/0!</v>
      </c>
    </row>
    <row r="568">
      <c r="A568" s="15" t="s">
        <v>2388</v>
      </c>
      <c r="B568" s="18"/>
      <c r="C568" s="16"/>
      <c r="D568" s="18"/>
      <c r="E568" s="17" t="s">
        <v>2389</v>
      </c>
      <c r="F568" s="18"/>
      <c r="G568" s="18"/>
      <c r="H568" s="15" t="s">
        <v>2390</v>
      </c>
      <c r="I568" s="15" t="s">
        <v>2391</v>
      </c>
      <c r="J568" s="19" t="s">
        <v>36</v>
      </c>
      <c r="K568" s="19" t="s">
        <v>2387</v>
      </c>
      <c r="L568" s="19" t="s">
        <v>38</v>
      </c>
      <c r="M568" s="20">
        <f t="shared" si="1"/>
        <v>0</v>
      </c>
      <c r="N568" s="21"/>
      <c r="O568" s="22"/>
      <c r="P568" s="19" t="s">
        <v>1145</v>
      </c>
      <c r="Q568" s="18"/>
      <c r="R568" s="18"/>
      <c r="S568" s="23">
        <v>0.0</v>
      </c>
      <c r="T568" s="23">
        <v>0.0</v>
      </c>
      <c r="U568" s="23">
        <f t="shared" si="2"/>
        <v>0</v>
      </c>
      <c r="V568" s="23">
        <f t="shared" si="3"/>
        <v>0</v>
      </c>
      <c r="W568" s="23">
        <f t="shared" si="4"/>
        <v>0</v>
      </c>
      <c r="X568" s="24" t="str">
        <f t="shared" si="5"/>
        <v>#DIV/0!</v>
      </c>
    </row>
    <row r="569">
      <c r="A569" s="15" t="s">
        <v>2392</v>
      </c>
      <c r="B569" s="18"/>
      <c r="C569" s="16"/>
      <c r="D569" s="18"/>
      <c r="E569" s="17" t="s">
        <v>2393</v>
      </c>
      <c r="F569" s="18"/>
      <c r="G569" s="18"/>
      <c r="H569" s="15" t="s">
        <v>2394</v>
      </c>
      <c r="I569" s="15" t="s">
        <v>2395</v>
      </c>
      <c r="J569" s="19" t="s">
        <v>36</v>
      </c>
      <c r="K569" s="19" t="s">
        <v>2396</v>
      </c>
      <c r="L569" s="19" t="s">
        <v>38</v>
      </c>
      <c r="M569" s="20">
        <f t="shared" si="1"/>
        <v>0</v>
      </c>
      <c r="N569" s="21"/>
      <c r="O569" s="22"/>
      <c r="P569" s="19" t="s">
        <v>1145</v>
      </c>
      <c r="Q569" s="18"/>
      <c r="R569" s="18"/>
      <c r="S569" s="23">
        <v>0.0</v>
      </c>
      <c r="T569" s="23">
        <v>0.0</v>
      </c>
      <c r="U569" s="23">
        <f t="shared" si="2"/>
        <v>0</v>
      </c>
      <c r="V569" s="23">
        <f t="shared" si="3"/>
        <v>0</v>
      </c>
      <c r="W569" s="23">
        <f t="shared" si="4"/>
        <v>0</v>
      </c>
      <c r="X569" s="24" t="str">
        <f t="shared" si="5"/>
        <v>#DIV/0!</v>
      </c>
    </row>
    <row r="570">
      <c r="A570" s="15" t="s">
        <v>2397</v>
      </c>
      <c r="B570" s="18"/>
      <c r="C570" s="16"/>
      <c r="D570" s="18"/>
      <c r="E570" s="17" t="s">
        <v>2398</v>
      </c>
      <c r="F570" s="18"/>
      <c r="G570" s="18"/>
      <c r="H570" s="15" t="s">
        <v>2399</v>
      </c>
      <c r="I570" s="15" t="s">
        <v>2400</v>
      </c>
      <c r="J570" s="19" t="s">
        <v>36</v>
      </c>
      <c r="K570" s="19" t="s">
        <v>2401</v>
      </c>
      <c r="L570" s="19" t="s">
        <v>38</v>
      </c>
      <c r="M570" s="20">
        <f t="shared" si="1"/>
        <v>0</v>
      </c>
      <c r="N570" s="21"/>
      <c r="O570" s="22"/>
      <c r="P570" s="19" t="s">
        <v>1145</v>
      </c>
      <c r="Q570" s="18"/>
      <c r="R570" s="18"/>
      <c r="S570" s="23">
        <v>0.0</v>
      </c>
      <c r="T570" s="23">
        <v>0.0</v>
      </c>
      <c r="U570" s="23">
        <f t="shared" si="2"/>
        <v>0</v>
      </c>
      <c r="V570" s="23">
        <f t="shared" si="3"/>
        <v>0</v>
      </c>
      <c r="W570" s="23">
        <f t="shared" si="4"/>
        <v>0</v>
      </c>
      <c r="X570" s="24" t="str">
        <f t="shared" si="5"/>
        <v>#DIV/0!</v>
      </c>
    </row>
    <row r="571">
      <c r="A571" s="15" t="s">
        <v>2402</v>
      </c>
      <c r="B571" s="18"/>
      <c r="C571" s="16"/>
      <c r="D571" s="18"/>
      <c r="E571" s="17" t="s">
        <v>2403</v>
      </c>
      <c r="F571" s="18"/>
      <c r="G571" s="18"/>
      <c r="H571" s="15" t="s">
        <v>2404</v>
      </c>
      <c r="I571" s="15" t="s">
        <v>2405</v>
      </c>
      <c r="J571" s="19" t="s">
        <v>36</v>
      </c>
      <c r="K571" s="19" t="s">
        <v>2401</v>
      </c>
      <c r="L571" s="19" t="s">
        <v>38</v>
      </c>
      <c r="M571" s="20">
        <f t="shared" si="1"/>
        <v>0</v>
      </c>
      <c r="N571" s="21"/>
      <c r="O571" s="22"/>
      <c r="P571" s="19" t="s">
        <v>1145</v>
      </c>
      <c r="Q571" s="18"/>
      <c r="R571" s="18"/>
      <c r="S571" s="23">
        <v>0.0</v>
      </c>
      <c r="T571" s="23">
        <v>0.0</v>
      </c>
      <c r="U571" s="23">
        <f t="shared" si="2"/>
        <v>0</v>
      </c>
      <c r="V571" s="23">
        <f t="shared" si="3"/>
        <v>0</v>
      </c>
      <c r="W571" s="23">
        <f t="shared" si="4"/>
        <v>0</v>
      </c>
      <c r="X571" s="24" t="str">
        <f t="shared" si="5"/>
        <v>#DIV/0!</v>
      </c>
    </row>
    <row r="572">
      <c r="A572" s="15" t="s">
        <v>2406</v>
      </c>
      <c r="B572" s="18"/>
      <c r="C572" s="16"/>
      <c r="D572" s="18"/>
      <c r="E572" s="17" t="s">
        <v>2407</v>
      </c>
      <c r="F572" s="18"/>
      <c r="G572" s="18"/>
      <c r="H572" s="15" t="s">
        <v>2408</v>
      </c>
      <c r="I572" s="15" t="s">
        <v>2409</v>
      </c>
      <c r="J572" s="19" t="s">
        <v>36</v>
      </c>
      <c r="K572" s="19" t="s">
        <v>2401</v>
      </c>
      <c r="L572" s="19" t="s">
        <v>38</v>
      </c>
      <c r="M572" s="20">
        <f t="shared" si="1"/>
        <v>0</v>
      </c>
      <c r="N572" s="21"/>
      <c r="O572" s="22"/>
      <c r="P572" s="19" t="s">
        <v>1145</v>
      </c>
      <c r="Q572" s="18"/>
      <c r="R572" s="18"/>
      <c r="S572" s="23">
        <v>0.0</v>
      </c>
      <c r="T572" s="23">
        <v>0.0</v>
      </c>
      <c r="U572" s="23">
        <f t="shared" si="2"/>
        <v>0</v>
      </c>
      <c r="V572" s="23">
        <f t="shared" si="3"/>
        <v>0</v>
      </c>
      <c r="W572" s="23">
        <f t="shared" si="4"/>
        <v>0</v>
      </c>
      <c r="X572" s="24" t="str">
        <f t="shared" si="5"/>
        <v>#DIV/0!</v>
      </c>
    </row>
    <row r="573">
      <c r="A573" s="15" t="s">
        <v>2410</v>
      </c>
      <c r="B573" s="18"/>
      <c r="C573" s="16"/>
      <c r="D573" s="18"/>
      <c r="E573" s="17" t="s">
        <v>2411</v>
      </c>
      <c r="F573" s="18"/>
      <c r="G573" s="18"/>
      <c r="H573" s="15" t="s">
        <v>2412</v>
      </c>
      <c r="I573" s="15" t="s">
        <v>2413</v>
      </c>
      <c r="J573" s="19" t="s">
        <v>36</v>
      </c>
      <c r="K573" s="19" t="s">
        <v>2396</v>
      </c>
      <c r="L573" s="19" t="s">
        <v>38</v>
      </c>
      <c r="M573" s="20">
        <f t="shared" si="1"/>
        <v>0</v>
      </c>
      <c r="N573" s="21"/>
      <c r="O573" s="22"/>
      <c r="P573" s="19" t="s">
        <v>1145</v>
      </c>
      <c r="Q573" s="18"/>
      <c r="R573" s="18"/>
      <c r="S573" s="23">
        <v>0.0</v>
      </c>
      <c r="T573" s="23">
        <v>0.0</v>
      </c>
      <c r="U573" s="23">
        <f t="shared" si="2"/>
        <v>0</v>
      </c>
      <c r="V573" s="23">
        <f t="shared" si="3"/>
        <v>0</v>
      </c>
      <c r="W573" s="23">
        <f t="shared" si="4"/>
        <v>0</v>
      </c>
      <c r="X573" s="24" t="str">
        <f t="shared" si="5"/>
        <v>#DIV/0!</v>
      </c>
    </row>
    <row r="574">
      <c r="A574" s="15" t="s">
        <v>2414</v>
      </c>
      <c r="B574" s="15" t="s">
        <v>2415</v>
      </c>
      <c r="C574" s="16"/>
      <c r="D574" s="18"/>
      <c r="E574" s="17" t="s">
        <v>2416</v>
      </c>
      <c r="F574" s="18"/>
      <c r="G574" s="18"/>
      <c r="H574" s="15" t="s">
        <v>2417</v>
      </c>
      <c r="I574" s="18"/>
      <c r="J574" s="19" t="s">
        <v>36</v>
      </c>
      <c r="K574" s="33"/>
      <c r="L574" s="19" t="s">
        <v>38</v>
      </c>
      <c r="M574" s="20">
        <f t="shared" si="1"/>
        <v>0</v>
      </c>
      <c r="N574" s="21"/>
      <c r="O574" s="22"/>
      <c r="P574" s="19" t="s">
        <v>1145</v>
      </c>
      <c r="Q574" s="18"/>
      <c r="R574" s="18"/>
      <c r="S574" s="23">
        <v>0.0</v>
      </c>
      <c r="T574" s="23">
        <v>0.0</v>
      </c>
      <c r="U574" s="23">
        <f t="shared" si="2"/>
        <v>0</v>
      </c>
      <c r="V574" s="23">
        <f t="shared" si="3"/>
        <v>0</v>
      </c>
      <c r="W574" s="23">
        <f t="shared" si="4"/>
        <v>0</v>
      </c>
      <c r="X574" s="24" t="str">
        <f t="shared" si="5"/>
        <v>#DIV/0!</v>
      </c>
    </row>
    <row r="575">
      <c r="A575" s="15" t="s">
        <v>2418</v>
      </c>
      <c r="B575" s="18"/>
      <c r="C575" s="16"/>
      <c r="D575" s="18"/>
      <c r="E575" s="17" t="s">
        <v>2419</v>
      </c>
      <c r="F575" s="18"/>
      <c r="G575" s="18"/>
      <c r="H575" s="15" t="s">
        <v>2420</v>
      </c>
      <c r="I575" s="15" t="s">
        <v>2421</v>
      </c>
      <c r="J575" s="19" t="s">
        <v>36</v>
      </c>
      <c r="K575" s="19" t="s">
        <v>691</v>
      </c>
      <c r="L575" s="19" t="s">
        <v>38</v>
      </c>
      <c r="M575" s="20">
        <f t="shared" si="1"/>
        <v>0</v>
      </c>
      <c r="N575" s="21"/>
      <c r="O575" s="22"/>
      <c r="P575" s="19" t="s">
        <v>1145</v>
      </c>
      <c r="Q575" s="18"/>
      <c r="R575" s="18"/>
      <c r="S575" s="23">
        <v>0.0</v>
      </c>
      <c r="T575" s="23">
        <v>0.0</v>
      </c>
      <c r="U575" s="23">
        <f t="shared" si="2"/>
        <v>0</v>
      </c>
      <c r="V575" s="23">
        <f t="shared" si="3"/>
        <v>0</v>
      </c>
      <c r="W575" s="23">
        <f t="shared" si="4"/>
        <v>0</v>
      </c>
      <c r="X575" s="24" t="str">
        <f t="shared" si="5"/>
        <v>#DIV/0!</v>
      </c>
    </row>
    <row r="576">
      <c r="A576" s="15" t="s">
        <v>2422</v>
      </c>
      <c r="B576" s="18"/>
      <c r="C576" s="16"/>
      <c r="D576" s="18"/>
      <c r="E576" s="17" t="s">
        <v>2423</v>
      </c>
      <c r="F576" s="18"/>
      <c r="G576" s="18"/>
      <c r="H576" s="15" t="s">
        <v>2424</v>
      </c>
      <c r="I576" s="15" t="s">
        <v>2425</v>
      </c>
      <c r="J576" s="19" t="s">
        <v>36</v>
      </c>
      <c r="K576" s="19" t="s">
        <v>691</v>
      </c>
      <c r="L576" s="19" t="s">
        <v>38</v>
      </c>
      <c r="M576" s="20">
        <f t="shared" si="1"/>
        <v>0</v>
      </c>
      <c r="N576" s="21"/>
      <c r="O576" s="22"/>
      <c r="P576" s="19" t="s">
        <v>1145</v>
      </c>
      <c r="Q576" s="18"/>
      <c r="R576" s="18"/>
      <c r="S576" s="23">
        <v>0.0</v>
      </c>
      <c r="T576" s="23">
        <v>0.0</v>
      </c>
      <c r="U576" s="23">
        <f t="shared" si="2"/>
        <v>0</v>
      </c>
      <c r="V576" s="23">
        <f t="shared" si="3"/>
        <v>0</v>
      </c>
      <c r="W576" s="23">
        <f t="shared" si="4"/>
        <v>0</v>
      </c>
      <c r="X576" s="24" t="str">
        <f t="shared" si="5"/>
        <v>#DIV/0!</v>
      </c>
    </row>
    <row r="577">
      <c r="A577" s="15" t="s">
        <v>2426</v>
      </c>
      <c r="B577" s="18"/>
      <c r="C577" s="16"/>
      <c r="D577" s="18"/>
      <c r="E577" s="17" t="s">
        <v>2427</v>
      </c>
      <c r="F577" s="18"/>
      <c r="G577" s="18"/>
      <c r="H577" s="15" t="s">
        <v>2428</v>
      </c>
      <c r="I577" s="18"/>
      <c r="J577" s="19" t="s">
        <v>36</v>
      </c>
      <c r="K577" s="33"/>
      <c r="L577" s="19" t="s">
        <v>38</v>
      </c>
      <c r="M577" s="20">
        <f t="shared" si="1"/>
        <v>0</v>
      </c>
      <c r="N577" s="21"/>
      <c r="O577" s="22"/>
      <c r="P577" s="19" t="s">
        <v>1145</v>
      </c>
      <c r="Q577" s="18"/>
      <c r="R577" s="18"/>
      <c r="S577" s="23">
        <v>0.0</v>
      </c>
      <c r="T577" s="23">
        <v>0.0</v>
      </c>
      <c r="U577" s="23">
        <f t="shared" si="2"/>
        <v>0</v>
      </c>
      <c r="V577" s="23">
        <f t="shared" si="3"/>
        <v>0</v>
      </c>
      <c r="W577" s="23">
        <f t="shared" si="4"/>
        <v>0</v>
      </c>
      <c r="X577" s="24" t="str">
        <f t="shared" si="5"/>
        <v>#DIV/0!</v>
      </c>
    </row>
    <row r="578">
      <c r="A578" s="15" t="s">
        <v>2429</v>
      </c>
      <c r="B578" s="18"/>
      <c r="C578" s="16"/>
      <c r="D578" s="18"/>
      <c r="E578" s="17" t="s">
        <v>2430</v>
      </c>
      <c r="F578" s="18"/>
      <c r="G578" s="18"/>
      <c r="H578" s="15" t="s">
        <v>2431</v>
      </c>
      <c r="I578" s="15" t="s">
        <v>2432</v>
      </c>
      <c r="J578" s="19" t="s">
        <v>36</v>
      </c>
      <c r="K578" s="19" t="s">
        <v>691</v>
      </c>
      <c r="L578" s="19" t="s">
        <v>38</v>
      </c>
      <c r="M578" s="20">
        <f t="shared" si="1"/>
        <v>0</v>
      </c>
      <c r="N578" s="21"/>
      <c r="O578" s="22"/>
      <c r="P578" s="19" t="s">
        <v>1145</v>
      </c>
      <c r="Q578" s="18"/>
      <c r="R578" s="18"/>
      <c r="S578" s="23">
        <v>0.0</v>
      </c>
      <c r="T578" s="23">
        <v>0.0</v>
      </c>
      <c r="U578" s="23">
        <f t="shared" si="2"/>
        <v>0</v>
      </c>
      <c r="V578" s="23">
        <f t="shared" si="3"/>
        <v>0</v>
      </c>
      <c r="W578" s="23">
        <f t="shared" si="4"/>
        <v>0</v>
      </c>
      <c r="X578" s="24" t="str">
        <f t="shared" si="5"/>
        <v>#DIV/0!</v>
      </c>
    </row>
    <row r="579">
      <c r="A579" s="15" t="s">
        <v>2433</v>
      </c>
      <c r="B579" s="18"/>
      <c r="C579" s="16"/>
      <c r="D579" s="18"/>
      <c r="E579" s="17" t="s">
        <v>2434</v>
      </c>
      <c r="F579" s="18"/>
      <c r="G579" s="18"/>
      <c r="H579" s="15" t="s">
        <v>2435</v>
      </c>
      <c r="I579" s="15" t="s">
        <v>2436</v>
      </c>
      <c r="J579" s="19" t="s">
        <v>36</v>
      </c>
      <c r="K579" s="19" t="s">
        <v>691</v>
      </c>
      <c r="L579" s="19" t="s">
        <v>38</v>
      </c>
      <c r="M579" s="20">
        <f t="shared" si="1"/>
        <v>0</v>
      </c>
      <c r="N579" s="21"/>
      <c r="O579" s="22"/>
      <c r="P579" s="19" t="s">
        <v>1145</v>
      </c>
      <c r="Q579" s="18"/>
      <c r="R579" s="18"/>
      <c r="S579" s="23">
        <v>0.0</v>
      </c>
      <c r="T579" s="23">
        <v>0.0</v>
      </c>
      <c r="U579" s="23">
        <f t="shared" si="2"/>
        <v>0</v>
      </c>
      <c r="V579" s="23">
        <f t="shared" si="3"/>
        <v>0</v>
      </c>
      <c r="W579" s="23">
        <f t="shared" si="4"/>
        <v>0</v>
      </c>
      <c r="X579" s="24" t="str">
        <f t="shared" si="5"/>
        <v>#DIV/0!</v>
      </c>
    </row>
    <row r="580">
      <c r="A580" s="15" t="s">
        <v>2437</v>
      </c>
      <c r="B580" s="18"/>
      <c r="C580" s="16"/>
      <c r="D580" s="18"/>
      <c r="E580" s="17" t="s">
        <v>2438</v>
      </c>
      <c r="F580" s="18"/>
      <c r="G580" s="18"/>
      <c r="H580" s="15" t="s">
        <v>2439</v>
      </c>
      <c r="I580" s="15" t="s">
        <v>2440</v>
      </c>
      <c r="J580" s="19" t="s">
        <v>36</v>
      </c>
      <c r="K580" s="19" t="s">
        <v>691</v>
      </c>
      <c r="L580" s="19" t="s">
        <v>38</v>
      </c>
      <c r="M580" s="20">
        <f t="shared" si="1"/>
        <v>0</v>
      </c>
      <c r="N580" s="21"/>
      <c r="O580" s="22"/>
      <c r="P580" s="19" t="s">
        <v>1145</v>
      </c>
      <c r="Q580" s="18"/>
      <c r="R580" s="18"/>
      <c r="S580" s="23">
        <v>0.0</v>
      </c>
      <c r="T580" s="23">
        <v>0.0</v>
      </c>
      <c r="U580" s="23">
        <f t="shared" si="2"/>
        <v>0</v>
      </c>
      <c r="V580" s="23">
        <f t="shared" si="3"/>
        <v>0</v>
      </c>
      <c r="W580" s="23">
        <f t="shared" si="4"/>
        <v>0</v>
      </c>
      <c r="X580" s="24" t="str">
        <f t="shared" si="5"/>
        <v>#DIV/0!</v>
      </c>
    </row>
    <row r="581">
      <c r="A581" s="15" t="s">
        <v>2441</v>
      </c>
      <c r="B581" s="18"/>
      <c r="C581" s="16"/>
      <c r="D581" s="18"/>
      <c r="E581" s="17" t="s">
        <v>2442</v>
      </c>
      <c r="F581" s="18"/>
      <c r="G581" s="18"/>
      <c r="H581" s="15" t="s">
        <v>2443</v>
      </c>
      <c r="I581" s="15" t="s">
        <v>2444</v>
      </c>
      <c r="J581" s="19" t="s">
        <v>36</v>
      </c>
      <c r="K581" s="19" t="s">
        <v>2396</v>
      </c>
      <c r="L581" s="19" t="s">
        <v>38</v>
      </c>
      <c r="M581" s="20">
        <f t="shared" si="1"/>
        <v>0</v>
      </c>
      <c r="N581" s="21"/>
      <c r="O581" s="22"/>
      <c r="P581" s="19" t="s">
        <v>1145</v>
      </c>
      <c r="Q581" s="18"/>
      <c r="R581" s="18"/>
      <c r="S581" s="23">
        <v>0.0</v>
      </c>
      <c r="T581" s="23">
        <v>0.0</v>
      </c>
      <c r="U581" s="23">
        <f t="shared" si="2"/>
        <v>0</v>
      </c>
      <c r="V581" s="23">
        <f t="shared" si="3"/>
        <v>0</v>
      </c>
      <c r="W581" s="23">
        <f t="shared" si="4"/>
        <v>0</v>
      </c>
      <c r="X581" s="24" t="str">
        <f t="shared" si="5"/>
        <v>#DIV/0!</v>
      </c>
    </row>
    <row r="582">
      <c r="A582" s="15" t="s">
        <v>2445</v>
      </c>
      <c r="B582" s="18"/>
      <c r="C582" s="16"/>
      <c r="D582" s="18"/>
      <c r="E582" s="17" t="s">
        <v>2446</v>
      </c>
      <c r="F582" s="18"/>
      <c r="G582" s="18"/>
      <c r="H582" s="15" t="s">
        <v>2447</v>
      </c>
      <c r="I582" s="15" t="s">
        <v>2448</v>
      </c>
      <c r="J582" s="19" t="s">
        <v>36</v>
      </c>
      <c r="K582" s="19" t="s">
        <v>2396</v>
      </c>
      <c r="L582" s="19" t="s">
        <v>38</v>
      </c>
      <c r="M582" s="20">
        <f t="shared" si="1"/>
        <v>0</v>
      </c>
      <c r="N582" s="21"/>
      <c r="O582" s="22"/>
      <c r="P582" s="19" t="s">
        <v>1145</v>
      </c>
      <c r="Q582" s="18"/>
      <c r="R582" s="18"/>
      <c r="S582" s="23">
        <v>0.0</v>
      </c>
      <c r="T582" s="23">
        <v>0.0</v>
      </c>
      <c r="U582" s="23">
        <f t="shared" si="2"/>
        <v>0</v>
      </c>
      <c r="V582" s="23">
        <f t="shared" si="3"/>
        <v>0</v>
      </c>
      <c r="W582" s="23">
        <f t="shared" si="4"/>
        <v>0</v>
      </c>
      <c r="X582" s="24" t="str">
        <f t="shared" si="5"/>
        <v>#DIV/0!</v>
      </c>
    </row>
    <row r="583">
      <c r="A583" s="15" t="s">
        <v>2449</v>
      </c>
      <c r="B583" s="18"/>
      <c r="C583" s="16"/>
      <c r="D583" s="18"/>
      <c r="E583" s="17" t="s">
        <v>2450</v>
      </c>
      <c r="F583" s="18"/>
      <c r="G583" s="18"/>
      <c r="H583" s="15" t="s">
        <v>2451</v>
      </c>
      <c r="I583" s="15" t="s">
        <v>2452</v>
      </c>
      <c r="J583" s="19" t="s">
        <v>36</v>
      </c>
      <c r="K583" s="19" t="s">
        <v>2387</v>
      </c>
      <c r="L583" s="19" t="s">
        <v>38</v>
      </c>
      <c r="M583" s="20">
        <f t="shared" si="1"/>
        <v>0</v>
      </c>
      <c r="N583" s="21"/>
      <c r="O583" s="22"/>
      <c r="P583" s="19" t="s">
        <v>1145</v>
      </c>
      <c r="Q583" s="18"/>
      <c r="R583" s="18"/>
      <c r="S583" s="23">
        <v>0.0</v>
      </c>
      <c r="T583" s="23">
        <v>0.0</v>
      </c>
      <c r="U583" s="23">
        <f t="shared" si="2"/>
        <v>0</v>
      </c>
      <c r="V583" s="23">
        <f t="shared" si="3"/>
        <v>0</v>
      </c>
      <c r="W583" s="23">
        <f t="shared" si="4"/>
        <v>0</v>
      </c>
      <c r="X583" s="24" t="str">
        <f t="shared" si="5"/>
        <v>#DIV/0!</v>
      </c>
    </row>
    <row r="584">
      <c r="A584" s="15" t="s">
        <v>2453</v>
      </c>
      <c r="B584" s="18"/>
      <c r="C584" s="16"/>
      <c r="D584" s="18"/>
      <c r="E584" s="17" t="s">
        <v>2454</v>
      </c>
      <c r="F584" s="18"/>
      <c r="G584" s="18"/>
      <c r="H584" s="15" t="s">
        <v>2455</v>
      </c>
      <c r="I584" s="15" t="s">
        <v>2456</v>
      </c>
      <c r="J584" s="19" t="s">
        <v>36</v>
      </c>
      <c r="K584" s="19" t="s">
        <v>2396</v>
      </c>
      <c r="L584" s="19" t="s">
        <v>38</v>
      </c>
      <c r="M584" s="20">
        <f t="shared" si="1"/>
        <v>0</v>
      </c>
      <c r="N584" s="21"/>
      <c r="O584" s="22"/>
      <c r="P584" s="19" t="s">
        <v>1145</v>
      </c>
      <c r="Q584" s="18"/>
      <c r="R584" s="18"/>
      <c r="S584" s="23">
        <v>0.0</v>
      </c>
      <c r="T584" s="23">
        <v>0.0</v>
      </c>
      <c r="U584" s="23">
        <f t="shared" si="2"/>
        <v>0</v>
      </c>
      <c r="V584" s="23">
        <f t="shared" si="3"/>
        <v>0</v>
      </c>
      <c r="W584" s="23">
        <f t="shared" si="4"/>
        <v>0</v>
      </c>
      <c r="X584" s="24" t="str">
        <f t="shared" si="5"/>
        <v>#DIV/0!</v>
      </c>
    </row>
    <row r="585">
      <c r="A585" s="15" t="s">
        <v>2457</v>
      </c>
      <c r="B585" s="18"/>
      <c r="C585" s="16"/>
      <c r="D585" s="18"/>
      <c r="E585" s="17" t="s">
        <v>2458</v>
      </c>
      <c r="F585" s="18"/>
      <c r="G585" s="18"/>
      <c r="H585" s="15" t="s">
        <v>2459</v>
      </c>
      <c r="I585" s="15" t="s">
        <v>2460</v>
      </c>
      <c r="J585" s="19" t="s">
        <v>36</v>
      </c>
      <c r="K585" s="19" t="s">
        <v>2387</v>
      </c>
      <c r="L585" s="19" t="s">
        <v>38</v>
      </c>
      <c r="M585" s="20">
        <f t="shared" si="1"/>
        <v>0</v>
      </c>
      <c r="N585" s="21"/>
      <c r="O585" s="22"/>
      <c r="P585" s="19" t="s">
        <v>1145</v>
      </c>
      <c r="Q585" s="18"/>
      <c r="R585" s="18"/>
      <c r="S585" s="23">
        <v>0.0</v>
      </c>
      <c r="T585" s="23">
        <v>0.0</v>
      </c>
      <c r="U585" s="23">
        <f t="shared" si="2"/>
        <v>0</v>
      </c>
      <c r="V585" s="23">
        <f t="shared" si="3"/>
        <v>0</v>
      </c>
      <c r="W585" s="23">
        <f t="shared" si="4"/>
        <v>0</v>
      </c>
      <c r="X585" s="24" t="str">
        <f t="shared" si="5"/>
        <v>#DIV/0!</v>
      </c>
    </row>
    <row r="586">
      <c r="A586" s="15" t="s">
        <v>2461</v>
      </c>
      <c r="B586" s="18"/>
      <c r="C586" s="16"/>
      <c r="D586" s="18"/>
      <c r="E586" s="17" t="s">
        <v>2462</v>
      </c>
      <c r="F586" s="18"/>
      <c r="G586" s="18"/>
      <c r="H586" s="15" t="s">
        <v>2463</v>
      </c>
      <c r="I586" s="15" t="s">
        <v>2464</v>
      </c>
      <c r="J586" s="19" t="s">
        <v>36</v>
      </c>
      <c r="K586" s="19" t="s">
        <v>2387</v>
      </c>
      <c r="L586" s="19" t="s">
        <v>38</v>
      </c>
      <c r="M586" s="20">
        <f t="shared" si="1"/>
        <v>0</v>
      </c>
      <c r="N586" s="21"/>
      <c r="O586" s="22"/>
      <c r="P586" s="19" t="s">
        <v>1145</v>
      </c>
      <c r="Q586" s="18"/>
      <c r="R586" s="18"/>
      <c r="S586" s="23">
        <v>0.0</v>
      </c>
      <c r="T586" s="23">
        <v>0.0</v>
      </c>
      <c r="U586" s="23">
        <f t="shared" si="2"/>
        <v>0</v>
      </c>
      <c r="V586" s="23">
        <f t="shared" si="3"/>
        <v>0</v>
      </c>
      <c r="W586" s="23">
        <f t="shared" si="4"/>
        <v>0</v>
      </c>
      <c r="X586" s="24" t="str">
        <f t="shared" si="5"/>
        <v>#DIV/0!</v>
      </c>
    </row>
    <row r="587">
      <c r="A587" s="15" t="s">
        <v>2465</v>
      </c>
      <c r="B587" s="18"/>
      <c r="C587" s="16"/>
      <c r="D587" s="18"/>
      <c r="E587" s="17" t="s">
        <v>2466</v>
      </c>
      <c r="F587" s="18"/>
      <c r="G587" s="18"/>
      <c r="H587" s="15" t="s">
        <v>2467</v>
      </c>
      <c r="I587" s="18"/>
      <c r="J587" s="19" t="s">
        <v>36</v>
      </c>
      <c r="K587" s="19" t="s">
        <v>2382</v>
      </c>
      <c r="L587" s="19" t="s">
        <v>38</v>
      </c>
      <c r="M587" s="20">
        <f t="shared" si="1"/>
        <v>0</v>
      </c>
      <c r="N587" s="21"/>
      <c r="O587" s="22"/>
      <c r="P587" s="19" t="s">
        <v>1145</v>
      </c>
      <c r="Q587" s="18"/>
      <c r="R587" s="18"/>
      <c r="S587" s="23">
        <v>0.0</v>
      </c>
      <c r="T587" s="23">
        <v>0.0</v>
      </c>
      <c r="U587" s="23">
        <f t="shared" si="2"/>
        <v>0</v>
      </c>
      <c r="V587" s="23">
        <f t="shared" si="3"/>
        <v>0</v>
      </c>
      <c r="W587" s="23">
        <f t="shared" si="4"/>
        <v>0</v>
      </c>
      <c r="X587" s="24" t="str">
        <f t="shared" si="5"/>
        <v>#DIV/0!</v>
      </c>
    </row>
    <row r="588">
      <c r="A588" s="15" t="s">
        <v>2468</v>
      </c>
      <c r="B588" s="18"/>
      <c r="C588" s="16"/>
      <c r="D588" s="18"/>
      <c r="E588" s="17" t="s">
        <v>2469</v>
      </c>
      <c r="F588" s="18"/>
      <c r="G588" s="18"/>
      <c r="H588" s="15" t="s">
        <v>2470</v>
      </c>
      <c r="I588" s="18"/>
      <c r="J588" s="19" t="s">
        <v>36</v>
      </c>
      <c r="K588" s="19" t="s">
        <v>2382</v>
      </c>
      <c r="L588" s="19" t="s">
        <v>38</v>
      </c>
      <c r="M588" s="20">
        <f t="shared" si="1"/>
        <v>0</v>
      </c>
      <c r="N588" s="21"/>
      <c r="O588" s="22"/>
      <c r="P588" s="19" t="s">
        <v>1145</v>
      </c>
      <c r="Q588" s="18"/>
      <c r="R588" s="18"/>
      <c r="S588" s="23">
        <v>0.0</v>
      </c>
      <c r="T588" s="23">
        <v>0.0</v>
      </c>
      <c r="U588" s="23">
        <f t="shared" si="2"/>
        <v>0</v>
      </c>
      <c r="V588" s="23">
        <f t="shared" si="3"/>
        <v>0</v>
      </c>
      <c r="W588" s="23">
        <f t="shared" si="4"/>
        <v>0</v>
      </c>
      <c r="X588" s="24" t="str">
        <f t="shared" si="5"/>
        <v>#DIV/0!</v>
      </c>
    </row>
    <row r="589">
      <c r="A589" s="15" t="s">
        <v>2471</v>
      </c>
      <c r="B589" s="18"/>
      <c r="C589" s="16"/>
      <c r="D589" s="18"/>
      <c r="E589" s="17" t="s">
        <v>2472</v>
      </c>
      <c r="F589" s="18"/>
      <c r="G589" s="18"/>
      <c r="H589" s="15" t="s">
        <v>2473</v>
      </c>
      <c r="I589" s="15" t="s">
        <v>2474</v>
      </c>
      <c r="J589" s="19" t="s">
        <v>36</v>
      </c>
      <c r="K589" s="19" t="s">
        <v>691</v>
      </c>
      <c r="L589" s="19" t="s">
        <v>38</v>
      </c>
      <c r="M589" s="20">
        <f t="shared" si="1"/>
        <v>0</v>
      </c>
      <c r="N589" s="21"/>
      <c r="O589" s="22"/>
      <c r="P589" s="19" t="s">
        <v>1145</v>
      </c>
      <c r="Q589" s="18"/>
      <c r="R589" s="18"/>
      <c r="S589" s="23">
        <v>0.0</v>
      </c>
      <c r="T589" s="23">
        <v>0.0</v>
      </c>
      <c r="U589" s="23">
        <f t="shared" si="2"/>
        <v>0</v>
      </c>
      <c r="V589" s="23">
        <f t="shared" si="3"/>
        <v>0</v>
      </c>
      <c r="W589" s="23">
        <f t="shared" si="4"/>
        <v>0</v>
      </c>
      <c r="X589" s="24" t="str">
        <f t="shared" si="5"/>
        <v>#DIV/0!</v>
      </c>
    </row>
    <row r="590">
      <c r="A590" s="15" t="s">
        <v>2475</v>
      </c>
      <c r="B590" s="18"/>
      <c r="C590" s="16"/>
      <c r="D590" s="18"/>
      <c r="E590" s="17" t="s">
        <v>2476</v>
      </c>
      <c r="F590" s="18"/>
      <c r="G590" s="18"/>
      <c r="H590" s="15" t="s">
        <v>2477</v>
      </c>
      <c r="I590" s="15" t="s">
        <v>2478</v>
      </c>
      <c r="J590" s="19" t="s">
        <v>36</v>
      </c>
      <c r="K590" s="19" t="s">
        <v>2401</v>
      </c>
      <c r="L590" s="19" t="s">
        <v>38</v>
      </c>
      <c r="M590" s="20">
        <f t="shared" si="1"/>
        <v>0</v>
      </c>
      <c r="N590" s="21"/>
      <c r="O590" s="22"/>
      <c r="P590" s="19" t="s">
        <v>1145</v>
      </c>
      <c r="Q590" s="18"/>
      <c r="R590" s="18"/>
      <c r="S590" s="23">
        <v>0.0</v>
      </c>
      <c r="T590" s="23">
        <v>0.0</v>
      </c>
      <c r="U590" s="23">
        <f t="shared" si="2"/>
        <v>0</v>
      </c>
      <c r="V590" s="23">
        <f t="shared" si="3"/>
        <v>0</v>
      </c>
      <c r="W590" s="23">
        <f t="shared" si="4"/>
        <v>0</v>
      </c>
      <c r="X590" s="24" t="str">
        <f t="shared" si="5"/>
        <v>#DIV/0!</v>
      </c>
    </row>
    <row r="591">
      <c r="A591" s="15" t="s">
        <v>2479</v>
      </c>
      <c r="B591" s="18"/>
      <c r="C591" s="16"/>
      <c r="D591" s="18"/>
      <c r="E591" s="17" t="s">
        <v>2476</v>
      </c>
      <c r="F591" s="18"/>
      <c r="G591" s="18"/>
      <c r="H591" s="15" t="s">
        <v>2480</v>
      </c>
      <c r="I591" s="15" t="s">
        <v>2481</v>
      </c>
      <c r="J591" s="19" t="s">
        <v>36</v>
      </c>
      <c r="K591" s="19" t="s">
        <v>2401</v>
      </c>
      <c r="L591" s="19" t="s">
        <v>38</v>
      </c>
      <c r="M591" s="20">
        <f t="shared" si="1"/>
        <v>0</v>
      </c>
      <c r="N591" s="21"/>
      <c r="O591" s="22"/>
      <c r="P591" s="19" t="s">
        <v>1145</v>
      </c>
      <c r="Q591" s="18"/>
      <c r="R591" s="18"/>
      <c r="S591" s="23">
        <v>0.0</v>
      </c>
      <c r="T591" s="23">
        <v>0.0</v>
      </c>
      <c r="U591" s="23">
        <f t="shared" si="2"/>
        <v>0</v>
      </c>
      <c r="V591" s="23">
        <f t="shared" si="3"/>
        <v>0</v>
      </c>
      <c r="W591" s="23">
        <f t="shared" si="4"/>
        <v>0</v>
      </c>
      <c r="X591" s="24" t="str">
        <f t="shared" si="5"/>
        <v>#DIV/0!</v>
      </c>
    </row>
    <row r="592">
      <c r="A592" s="15" t="s">
        <v>2482</v>
      </c>
      <c r="B592" s="18"/>
      <c r="C592" s="16"/>
      <c r="D592" s="18"/>
      <c r="E592" s="17" t="s">
        <v>2483</v>
      </c>
      <c r="F592" s="18"/>
      <c r="G592" s="18"/>
      <c r="H592" s="15" t="s">
        <v>2484</v>
      </c>
      <c r="I592" s="15" t="s">
        <v>2485</v>
      </c>
      <c r="J592" s="19" t="s">
        <v>36</v>
      </c>
      <c r="K592" s="19" t="s">
        <v>2401</v>
      </c>
      <c r="L592" s="19" t="s">
        <v>38</v>
      </c>
      <c r="M592" s="20">
        <f t="shared" si="1"/>
        <v>0</v>
      </c>
      <c r="N592" s="21"/>
      <c r="O592" s="22"/>
      <c r="P592" s="19" t="s">
        <v>1145</v>
      </c>
      <c r="Q592" s="18"/>
      <c r="R592" s="18"/>
      <c r="S592" s="23">
        <v>0.0</v>
      </c>
      <c r="T592" s="23">
        <v>0.0</v>
      </c>
      <c r="U592" s="23">
        <f t="shared" si="2"/>
        <v>0</v>
      </c>
      <c r="V592" s="23">
        <f t="shared" si="3"/>
        <v>0</v>
      </c>
      <c r="W592" s="23">
        <f t="shared" si="4"/>
        <v>0</v>
      </c>
      <c r="X592" s="24" t="str">
        <f t="shared" si="5"/>
        <v>#DIV/0!</v>
      </c>
    </row>
    <row r="593">
      <c r="A593" s="15" t="s">
        <v>2486</v>
      </c>
      <c r="B593" s="18"/>
      <c r="C593" s="16"/>
      <c r="D593" s="18"/>
      <c r="E593" s="17" t="s">
        <v>2487</v>
      </c>
      <c r="F593" s="18"/>
      <c r="G593" s="18"/>
      <c r="H593" s="15" t="s">
        <v>2488</v>
      </c>
      <c r="I593" s="15" t="s">
        <v>2489</v>
      </c>
      <c r="J593" s="19" t="s">
        <v>36</v>
      </c>
      <c r="K593" s="19" t="s">
        <v>2401</v>
      </c>
      <c r="L593" s="19" t="s">
        <v>38</v>
      </c>
      <c r="M593" s="20">
        <f t="shared" si="1"/>
        <v>0</v>
      </c>
      <c r="N593" s="21"/>
      <c r="O593" s="22"/>
      <c r="P593" s="19" t="s">
        <v>1145</v>
      </c>
      <c r="Q593" s="18"/>
      <c r="R593" s="18"/>
      <c r="S593" s="23">
        <v>0.0</v>
      </c>
      <c r="T593" s="23">
        <v>0.0</v>
      </c>
      <c r="U593" s="23">
        <f t="shared" si="2"/>
        <v>0</v>
      </c>
      <c r="V593" s="23">
        <f t="shared" si="3"/>
        <v>0</v>
      </c>
      <c r="W593" s="23">
        <f t="shared" si="4"/>
        <v>0</v>
      </c>
      <c r="X593" s="24" t="str">
        <f t="shared" si="5"/>
        <v>#DIV/0!</v>
      </c>
    </row>
    <row r="594">
      <c r="A594" s="15" t="s">
        <v>2490</v>
      </c>
      <c r="B594" s="18"/>
      <c r="C594" s="16"/>
      <c r="D594" s="18"/>
      <c r="E594" s="17" t="s">
        <v>2491</v>
      </c>
      <c r="F594" s="18"/>
      <c r="G594" s="18"/>
      <c r="H594" s="15" t="s">
        <v>2492</v>
      </c>
      <c r="I594" s="15" t="s">
        <v>2493</v>
      </c>
      <c r="J594" s="19" t="s">
        <v>36</v>
      </c>
      <c r="K594" s="19" t="s">
        <v>2396</v>
      </c>
      <c r="L594" s="19" t="s">
        <v>38</v>
      </c>
      <c r="M594" s="20">
        <f t="shared" si="1"/>
        <v>0</v>
      </c>
      <c r="N594" s="21"/>
      <c r="O594" s="22"/>
      <c r="P594" s="19" t="s">
        <v>1145</v>
      </c>
      <c r="Q594" s="18"/>
      <c r="R594" s="18"/>
      <c r="S594" s="23">
        <v>0.0</v>
      </c>
      <c r="T594" s="23">
        <v>0.0</v>
      </c>
      <c r="U594" s="23">
        <f t="shared" si="2"/>
        <v>0</v>
      </c>
      <c r="V594" s="23">
        <f t="shared" si="3"/>
        <v>0</v>
      </c>
      <c r="W594" s="23">
        <f t="shared" si="4"/>
        <v>0</v>
      </c>
      <c r="X594" s="24" t="str">
        <f t="shared" si="5"/>
        <v>#DIV/0!</v>
      </c>
    </row>
    <row r="595">
      <c r="A595" s="15" t="s">
        <v>2494</v>
      </c>
      <c r="B595" s="18"/>
      <c r="C595" s="16"/>
      <c r="D595" s="18"/>
      <c r="E595" s="17" t="s">
        <v>2495</v>
      </c>
      <c r="F595" s="18"/>
      <c r="G595" s="18"/>
      <c r="H595" s="15" t="s">
        <v>2496</v>
      </c>
      <c r="I595" s="15" t="s">
        <v>2497</v>
      </c>
      <c r="J595" s="19" t="s">
        <v>36</v>
      </c>
      <c r="K595" s="19" t="s">
        <v>2382</v>
      </c>
      <c r="L595" s="19" t="s">
        <v>38</v>
      </c>
      <c r="M595" s="20">
        <f t="shared" si="1"/>
        <v>0</v>
      </c>
      <c r="N595" s="21"/>
      <c r="O595" s="22"/>
      <c r="P595" s="19" t="s">
        <v>1145</v>
      </c>
      <c r="Q595" s="18"/>
      <c r="R595" s="18"/>
      <c r="S595" s="23">
        <v>0.0</v>
      </c>
      <c r="T595" s="23">
        <v>0.0</v>
      </c>
      <c r="U595" s="23">
        <f t="shared" si="2"/>
        <v>0</v>
      </c>
      <c r="V595" s="23">
        <f t="shared" si="3"/>
        <v>0</v>
      </c>
      <c r="W595" s="23">
        <f t="shared" si="4"/>
        <v>0</v>
      </c>
      <c r="X595" s="24" t="str">
        <f t="shared" si="5"/>
        <v>#DIV/0!</v>
      </c>
    </row>
    <row r="596">
      <c r="A596" s="15" t="s">
        <v>2498</v>
      </c>
      <c r="B596" s="18"/>
      <c r="C596" s="16"/>
      <c r="D596" s="18"/>
      <c r="E596" s="17" t="s">
        <v>2499</v>
      </c>
      <c r="F596" s="18"/>
      <c r="G596" s="18"/>
      <c r="H596" s="15" t="s">
        <v>2500</v>
      </c>
      <c r="I596" s="15" t="s">
        <v>2501</v>
      </c>
      <c r="J596" s="19" t="s">
        <v>36</v>
      </c>
      <c r="K596" s="19" t="s">
        <v>2396</v>
      </c>
      <c r="L596" s="19" t="s">
        <v>38</v>
      </c>
      <c r="M596" s="20">
        <f t="shared" si="1"/>
        <v>0</v>
      </c>
      <c r="N596" s="21"/>
      <c r="O596" s="22"/>
      <c r="P596" s="19" t="s">
        <v>1145</v>
      </c>
      <c r="Q596" s="18"/>
      <c r="R596" s="18"/>
      <c r="S596" s="23">
        <v>0.0</v>
      </c>
      <c r="T596" s="23">
        <v>0.0</v>
      </c>
      <c r="U596" s="23">
        <f t="shared" si="2"/>
        <v>0</v>
      </c>
      <c r="V596" s="23">
        <f t="shared" si="3"/>
        <v>0</v>
      </c>
      <c r="W596" s="23">
        <f t="shared" si="4"/>
        <v>0</v>
      </c>
      <c r="X596" s="24" t="str">
        <f t="shared" si="5"/>
        <v>#DIV/0!</v>
      </c>
    </row>
    <row r="597">
      <c r="A597" s="15" t="s">
        <v>2502</v>
      </c>
      <c r="B597" s="18"/>
      <c r="C597" s="16"/>
      <c r="D597" s="18"/>
      <c r="E597" s="17" t="s">
        <v>2503</v>
      </c>
      <c r="F597" s="18"/>
      <c r="G597" s="18"/>
      <c r="H597" s="15" t="s">
        <v>2504</v>
      </c>
      <c r="I597" s="15" t="s">
        <v>2505</v>
      </c>
      <c r="J597" s="19" t="s">
        <v>36</v>
      </c>
      <c r="K597" s="19" t="s">
        <v>2506</v>
      </c>
      <c r="L597" s="19" t="s">
        <v>38</v>
      </c>
      <c r="M597" s="20">
        <f t="shared" si="1"/>
        <v>0</v>
      </c>
      <c r="N597" s="21"/>
      <c r="O597" s="22"/>
      <c r="P597" s="19" t="s">
        <v>1145</v>
      </c>
      <c r="Q597" s="18"/>
      <c r="R597" s="18"/>
      <c r="S597" s="23">
        <v>0.0</v>
      </c>
      <c r="T597" s="23">
        <v>0.0</v>
      </c>
      <c r="U597" s="23">
        <f t="shared" si="2"/>
        <v>0</v>
      </c>
      <c r="V597" s="23">
        <f t="shared" si="3"/>
        <v>0</v>
      </c>
      <c r="W597" s="23">
        <f t="shared" si="4"/>
        <v>0</v>
      </c>
      <c r="X597" s="24" t="str">
        <f t="shared" si="5"/>
        <v>#DIV/0!</v>
      </c>
    </row>
    <row r="598">
      <c r="A598" s="15" t="s">
        <v>2507</v>
      </c>
      <c r="B598" s="18"/>
      <c r="C598" s="16"/>
      <c r="D598" s="18"/>
      <c r="E598" s="17" t="s">
        <v>2508</v>
      </c>
      <c r="F598" s="18"/>
      <c r="G598" s="18"/>
      <c r="H598" s="15" t="s">
        <v>2509</v>
      </c>
      <c r="I598" s="15" t="s">
        <v>2510</v>
      </c>
      <c r="J598" s="19" t="s">
        <v>36</v>
      </c>
      <c r="K598" s="19" t="s">
        <v>2506</v>
      </c>
      <c r="L598" s="19" t="s">
        <v>38</v>
      </c>
      <c r="M598" s="20">
        <f t="shared" si="1"/>
        <v>0</v>
      </c>
      <c r="N598" s="21"/>
      <c r="O598" s="22"/>
      <c r="P598" s="19" t="s">
        <v>1145</v>
      </c>
      <c r="Q598" s="18"/>
      <c r="R598" s="18"/>
      <c r="S598" s="23">
        <v>0.0</v>
      </c>
      <c r="T598" s="23">
        <v>0.0</v>
      </c>
      <c r="U598" s="23">
        <f t="shared" si="2"/>
        <v>0</v>
      </c>
      <c r="V598" s="23">
        <f t="shared" si="3"/>
        <v>0</v>
      </c>
      <c r="W598" s="23">
        <f t="shared" si="4"/>
        <v>0</v>
      </c>
      <c r="X598" s="24" t="str">
        <f t="shared" si="5"/>
        <v>#DIV/0!</v>
      </c>
    </row>
    <row r="599">
      <c r="A599" s="15" t="s">
        <v>2511</v>
      </c>
      <c r="B599" s="18"/>
      <c r="C599" s="16"/>
      <c r="D599" s="18"/>
      <c r="E599" s="17" t="s">
        <v>2512</v>
      </c>
      <c r="F599" s="18"/>
      <c r="G599" s="18"/>
      <c r="H599" s="15" t="s">
        <v>2513</v>
      </c>
      <c r="I599" s="15" t="s">
        <v>2514</v>
      </c>
      <c r="J599" s="19" t="s">
        <v>36</v>
      </c>
      <c r="K599" s="19" t="s">
        <v>2387</v>
      </c>
      <c r="L599" s="19" t="s">
        <v>38</v>
      </c>
      <c r="M599" s="20">
        <f t="shared" si="1"/>
        <v>0</v>
      </c>
      <c r="N599" s="21"/>
      <c r="O599" s="22"/>
      <c r="P599" s="19" t="s">
        <v>1145</v>
      </c>
      <c r="Q599" s="18"/>
      <c r="R599" s="18"/>
      <c r="S599" s="23">
        <v>0.0</v>
      </c>
      <c r="T599" s="23">
        <v>0.0</v>
      </c>
      <c r="U599" s="23">
        <f t="shared" si="2"/>
        <v>0</v>
      </c>
      <c r="V599" s="23">
        <f t="shared" si="3"/>
        <v>0</v>
      </c>
      <c r="W599" s="23">
        <f t="shared" si="4"/>
        <v>0</v>
      </c>
      <c r="X599" s="24" t="str">
        <f t="shared" si="5"/>
        <v>#DIV/0!</v>
      </c>
    </row>
    <row r="600">
      <c r="A600" s="15" t="s">
        <v>2515</v>
      </c>
      <c r="B600" s="18"/>
      <c r="C600" s="16"/>
      <c r="D600" s="18"/>
      <c r="E600" s="17" t="s">
        <v>2516</v>
      </c>
      <c r="F600" s="18"/>
      <c r="G600" s="18"/>
      <c r="H600" s="15" t="s">
        <v>2517</v>
      </c>
      <c r="I600" s="15" t="s">
        <v>2518</v>
      </c>
      <c r="J600" s="19" t="s">
        <v>36</v>
      </c>
      <c r="K600" s="19" t="s">
        <v>2519</v>
      </c>
      <c r="L600" s="19" t="s">
        <v>38</v>
      </c>
      <c r="M600" s="20">
        <f t="shared" si="1"/>
        <v>0</v>
      </c>
      <c r="N600" s="21"/>
      <c r="O600" s="22"/>
      <c r="P600" s="19" t="s">
        <v>1145</v>
      </c>
      <c r="Q600" s="18"/>
      <c r="R600" s="18"/>
      <c r="S600" s="23">
        <v>0.0</v>
      </c>
      <c r="T600" s="23">
        <v>0.0</v>
      </c>
      <c r="U600" s="23">
        <f t="shared" si="2"/>
        <v>0</v>
      </c>
      <c r="V600" s="23">
        <f t="shared" si="3"/>
        <v>0</v>
      </c>
      <c r="W600" s="23">
        <f t="shared" si="4"/>
        <v>0</v>
      </c>
      <c r="X600" s="24" t="str">
        <f t="shared" si="5"/>
        <v>#DIV/0!</v>
      </c>
    </row>
    <row r="601">
      <c r="A601" s="15" t="s">
        <v>2520</v>
      </c>
      <c r="B601" s="18"/>
      <c r="C601" s="16"/>
      <c r="D601" s="18"/>
      <c r="E601" s="17" t="s">
        <v>2521</v>
      </c>
      <c r="F601" s="18"/>
      <c r="G601" s="18"/>
      <c r="H601" s="15" t="s">
        <v>2522</v>
      </c>
      <c r="I601" s="15" t="s">
        <v>2523</v>
      </c>
      <c r="J601" s="19" t="s">
        <v>36</v>
      </c>
      <c r="K601" s="19" t="s">
        <v>2387</v>
      </c>
      <c r="L601" s="19" t="s">
        <v>38</v>
      </c>
      <c r="M601" s="20">
        <f t="shared" si="1"/>
        <v>0</v>
      </c>
      <c r="N601" s="21"/>
      <c r="O601" s="22"/>
      <c r="P601" s="19" t="s">
        <v>1145</v>
      </c>
      <c r="Q601" s="18"/>
      <c r="R601" s="18"/>
      <c r="S601" s="23">
        <v>0.0</v>
      </c>
      <c r="T601" s="23">
        <v>0.0</v>
      </c>
      <c r="U601" s="23">
        <f t="shared" si="2"/>
        <v>0</v>
      </c>
      <c r="V601" s="23">
        <f t="shared" si="3"/>
        <v>0</v>
      </c>
      <c r="W601" s="23">
        <f t="shared" si="4"/>
        <v>0</v>
      </c>
      <c r="X601" s="24" t="str">
        <f t="shared" si="5"/>
        <v>#DIV/0!</v>
      </c>
    </row>
    <row r="602">
      <c r="A602" s="15" t="s">
        <v>2524</v>
      </c>
      <c r="B602" s="18"/>
      <c r="C602" s="16"/>
      <c r="D602" s="18"/>
      <c r="E602" s="17" t="s">
        <v>2525</v>
      </c>
      <c r="F602" s="18"/>
      <c r="G602" s="18"/>
      <c r="H602" s="15" t="s">
        <v>2526</v>
      </c>
      <c r="I602" s="15" t="s">
        <v>2527</v>
      </c>
      <c r="J602" s="19" t="s">
        <v>36</v>
      </c>
      <c r="K602" s="19" t="s">
        <v>2401</v>
      </c>
      <c r="L602" s="19" t="s">
        <v>38</v>
      </c>
      <c r="M602" s="20">
        <f t="shared" si="1"/>
        <v>0</v>
      </c>
      <c r="N602" s="21"/>
      <c r="O602" s="22"/>
      <c r="P602" s="19" t="s">
        <v>1145</v>
      </c>
      <c r="Q602" s="18"/>
      <c r="R602" s="18"/>
      <c r="S602" s="23">
        <v>0.0</v>
      </c>
      <c r="T602" s="23">
        <v>0.0</v>
      </c>
      <c r="U602" s="23">
        <f t="shared" si="2"/>
        <v>0</v>
      </c>
      <c r="V602" s="23">
        <f t="shared" si="3"/>
        <v>0</v>
      </c>
      <c r="W602" s="23">
        <f t="shared" si="4"/>
        <v>0</v>
      </c>
      <c r="X602" s="24" t="str">
        <f t="shared" si="5"/>
        <v>#DIV/0!</v>
      </c>
    </row>
    <row r="603">
      <c r="A603" s="15" t="s">
        <v>2528</v>
      </c>
      <c r="B603" s="18"/>
      <c r="C603" s="16"/>
      <c r="D603" s="18"/>
      <c r="E603" s="17" t="s">
        <v>2529</v>
      </c>
      <c r="F603" s="18"/>
      <c r="G603" s="18"/>
      <c r="H603" s="15" t="s">
        <v>2530</v>
      </c>
      <c r="I603" s="15" t="s">
        <v>2531</v>
      </c>
      <c r="J603" s="19" t="s">
        <v>36</v>
      </c>
      <c r="K603" s="19" t="s">
        <v>691</v>
      </c>
      <c r="L603" s="19" t="s">
        <v>38</v>
      </c>
      <c r="M603" s="20">
        <f t="shared" si="1"/>
        <v>0</v>
      </c>
      <c r="N603" s="21"/>
      <c r="O603" s="22"/>
      <c r="P603" s="19" t="s">
        <v>1145</v>
      </c>
      <c r="Q603" s="18"/>
      <c r="R603" s="18"/>
      <c r="S603" s="23">
        <v>0.0</v>
      </c>
      <c r="T603" s="23">
        <v>0.0</v>
      </c>
      <c r="U603" s="23">
        <f t="shared" si="2"/>
        <v>0</v>
      </c>
      <c r="V603" s="23">
        <f t="shared" si="3"/>
        <v>0</v>
      </c>
      <c r="W603" s="23">
        <f t="shared" si="4"/>
        <v>0</v>
      </c>
      <c r="X603" s="24" t="str">
        <f t="shared" si="5"/>
        <v>#DIV/0!</v>
      </c>
    </row>
    <row r="604">
      <c r="A604" s="15" t="s">
        <v>2532</v>
      </c>
      <c r="B604" s="18"/>
      <c r="C604" s="16"/>
      <c r="D604" s="18"/>
      <c r="E604" s="17" t="s">
        <v>2533</v>
      </c>
      <c r="F604" s="18"/>
      <c r="G604" s="18"/>
      <c r="H604" s="15" t="s">
        <v>2534</v>
      </c>
      <c r="I604" s="15" t="s">
        <v>2535</v>
      </c>
      <c r="J604" s="19" t="s">
        <v>36</v>
      </c>
      <c r="K604" s="19" t="s">
        <v>2387</v>
      </c>
      <c r="L604" s="19" t="s">
        <v>38</v>
      </c>
      <c r="M604" s="20">
        <f t="shared" si="1"/>
        <v>0</v>
      </c>
      <c r="N604" s="21"/>
      <c r="O604" s="22"/>
      <c r="P604" s="19" t="s">
        <v>1145</v>
      </c>
      <c r="Q604" s="18"/>
      <c r="R604" s="18"/>
      <c r="S604" s="23">
        <v>0.0</v>
      </c>
      <c r="T604" s="23">
        <v>0.0</v>
      </c>
      <c r="U604" s="23">
        <f t="shared" si="2"/>
        <v>0</v>
      </c>
      <c r="V604" s="23">
        <f t="shared" si="3"/>
        <v>0</v>
      </c>
      <c r="W604" s="23">
        <f t="shared" si="4"/>
        <v>0</v>
      </c>
      <c r="X604" s="24" t="str">
        <f t="shared" si="5"/>
        <v>#DIV/0!</v>
      </c>
    </row>
    <row r="605">
      <c r="A605" s="15" t="s">
        <v>2536</v>
      </c>
      <c r="B605" s="18"/>
      <c r="C605" s="16"/>
      <c r="D605" s="18"/>
      <c r="E605" s="17" t="s">
        <v>2537</v>
      </c>
      <c r="F605" s="18"/>
      <c r="G605" s="18"/>
      <c r="H605" s="15" t="s">
        <v>2538</v>
      </c>
      <c r="I605" s="15" t="s">
        <v>2539</v>
      </c>
      <c r="J605" s="19" t="s">
        <v>36</v>
      </c>
      <c r="K605" s="19" t="s">
        <v>2387</v>
      </c>
      <c r="L605" s="19" t="s">
        <v>38</v>
      </c>
      <c r="M605" s="20">
        <f t="shared" si="1"/>
        <v>0</v>
      </c>
      <c r="N605" s="21"/>
      <c r="O605" s="22"/>
      <c r="P605" s="19" t="s">
        <v>1145</v>
      </c>
      <c r="Q605" s="18"/>
      <c r="R605" s="18"/>
      <c r="S605" s="23">
        <v>0.0</v>
      </c>
      <c r="T605" s="23">
        <v>0.0</v>
      </c>
      <c r="U605" s="23">
        <f t="shared" si="2"/>
        <v>0</v>
      </c>
      <c r="V605" s="23">
        <f t="shared" si="3"/>
        <v>0</v>
      </c>
      <c r="W605" s="23">
        <f t="shared" si="4"/>
        <v>0</v>
      </c>
      <c r="X605" s="24" t="str">
        <f t="shared" si="5"/>
        <v>#DIV/0!</v>
      </c>
    </row>
    <row r="606">
      <c r="A606" s="15" t="s">
        <v>2540</v>
      </c>
      <c r="B606" s="18"/>
      <c r="C606" s="16"/>
      <c r="D606" s="18"/>
      <c r="E606" s="17" t="s">
        <v>2541</v>
      </c>
      <c r="F606" s="18"/>
      <c r="G606" s="18"/>
      <c r="H606" s="15" t="s">
        <v>2542</v>
      </c>
      <c r="I606" s="15" t="s">
        <v>2543</v>
      </c>
      <c r="J606" s="19" t="s">
        <v>36</v>
      </c>
      <c r="K606" s="19" t="s">
        <v>2387</v>
      </c>
      <c r="L606" s="19" t="s">
        <v>38</v>
      </c>
      <c r="M606" s="20">
        <f t="shared" si="1"/>
        <v>0</v>
      </c>
      <c r="N606" s="21"/>
      <c r="O606" s="22"/>
      <c r="P606" s="19" t="s">
        <v>1145</v>
      </c>
      <c r="Q606" s="18"/>
      <c r="R606" s="18"/>
      <c r="S606" s="23">
        <v>0.0</v>
      </c>
      <c r="T606" s="23">
        <v>0.0</v>
      </c>
      <c r="U606" s="23">
        <f t="shared" si="2"/>
        <v>0</v>
      </c>
      <c r="V606" s="23">
        <f t="shared" si="3"/>
        <v>0</v>
      </c>
      <c r="W606" s="23">
        <f t="shared" si="4"/>
        <v>0</v>
      </c>
      <c r="X606" s="24" t="str">
        <f t="shared" si="5"/>
        <v>#DIV/0!</v>
      </c>
    </row>
    <row r="607">
      <c r="A607" s="15" t="s">
        <v>2544</v>
      </c>
      <c r="B607" s="18"/>
      <c r="C607" s="16"/>
      <c r="D607" s="18"/>
      <c r="E607" s="17" t="s">
        <v>2545</v>
      </c>
      <c r="F607" s="18"/>
      <c r="G607" s="18"/>
      <c r="H607" s="15" t="s">
        <v>2546</v>
      </c>
      <c r="I607" s="15" t="s">
        <v>2547</v>
      </c>
      <c r="J607" s="19" t="s">
        <v>36</v>
      </c>
      <c r="K607" s="19" t="s">
        <v>2387</v>
      </c>
      <c r="L607" s="19" t="s">
        <v>38</v>
      </c>
      <c r="M607" s="20">
        <f t="shared" si="1"/>
        <v>0</v>
      </c>
      <c r="N607" s="21"/>
      <c r="O607" s="22"/>
      <c r="P607" s="19" t="s">
        <v>1145</v>
      </c>
      <c r="Q607" s="18"/>
      <c r="R607" s="18"/>
      <c r="S607" s="23">
        <v>0.0</v>
      </c>
      <c r="T607" s="23">
        <v>0.0</v>
      </c>
      <c r="U607" s="23">
        <f t="shared" si="2"/>
        <v>0</v>
      </c>
      <c r="V607" s="23">
        <f t="shared" si="3"/>
        <v>0</v>
      </c>
      <c r="W607" s="23">
        <f t="shared" si="4"/>
        <v>0</v>
      </c>
      <c r="X607" s="24" t="str">
        <f t="shared" si="5"/>
        <v>#DIV/0!</v>
      </c>
    </row>
    <row r="608">
      <c r="A608" s="15" t="s">
        <v>2548</v>
      </c>
      <c r="B608" s="18"/>
      <c r="C608" s="16"/>
      <c r="D608" s="18"/>
      <c r="E608" s="17" t="s">
        <v>2549</v>
      </c>
      <c r="F608" s="18"/>
      <c r="G608" s="18"/>
      <c r="H608" s="15" t="s">
        <v>2550</v>
      </c>
      <c r="I608" s="15" t="s">
        <v>2551</v>
      </c>
      <c r="J608" s="19" t="s">
        <v>36</v>
      </c>
      <c r="K608" s="19" t="s">
        <v>2387</v>
      </c>
      <c r="L608" s="19" t="s">
        <v>38</v>
      </c>
      <c r="M608" s="20">
        <f t="shared" si="1"/>
        <v>0</v>
      </c>
      <c r="N608" s="21"/>
      <c r="O608" s="22"/>
      <c r="P608" s="19" t="s">
        <v>1145</v>
      </c>
      <c r="Q608" s="18"/>
      <c r="R608" s="18"/>
      <c r="S608" s="23">
        <v>0.0</v>
      </c>
      <c r="T608" s="23">
        <v>0.0</v>
      </c>
      <c r="U608" s="23">
        <f t="shared" si="2"/>
        <v>0</v>
      </c>
      <c r="V608" s="23">
        <f t="shared" si="3"/>
        <v>0</v>
      </c>
      <c r="W608" s="23">
        <f t="shared" si="4"/>
        <v>0</v>
      </c>
      <c r="X608" s="24" t="str">
        <f t="shared" si="5"/>
        <v>#DIV/0!</v>
      </c>
    </row>
    <row r="609">
      <c r="A609" s="15" t="s">
        <v>2552</v>
      </c>
      <c r="B609" s="18"/>
      <c r="C609" s="16"/>
      <c r="D609" s="18"/>
      <c r="E609" s="17" t="s">
        <v>2553</v>
      </c>
      <c r="F609" s="18"/>
      <c r="G609" s="18"/>
      <c r="H609" s="15" t="s">
        <v>2554</v>
      </c>
      <c r="I609" s="15" t="s">
        <v>2555</v>
      </c>
      <c r="J609" s="19" t="s">
        <v>36</v>
      </c>
      <c r="K609" s="19" t="s">
        <v>2387</v>
      </c>
      <c r="L609" s="19" t="s">
        <v>38</v>
      </c>
      <c r="M609" s="20">
        <f t="shared" si="1"/>
        <v>0</v>
      </c>
      <c r="N609" s="21"/>
      <c r="O609" s="22"/>
      <c r="P609" s="19" t="s">
        <v>1145</v>
      </c>
      <c r="Q609" s="18"/>
      <c r="R609" s="18"/>
      <c r="S609" s="23">
        <v>0.0</v>
      </c>
      <c r="T609" s="23">
        <v>0.0</v>
      </c>
      <c r="U609" s="23">
        <f t="shared" si="2"/>
        <v>0</v>
      </c>
      <c r="V609" s="23">
        <f t="shared" si="3"/>
        <v>0</v>
      </c>
      <c r="W609" s="23">
        <f t="shared" si="4"/>
        <v>0</v>
      </c>
      <c r="X609" s="24" t="str">
        <f t="shared" si="5"/>
        <v>#DIV/0!</v>
      </c>
    </row>
    <row r="610">
      <c r="A610" s="15" t="s">
        <v>2556</v>
      </c>
      <c r="B610" s="18"/>
      <c r="C610" s="16"/>
      <c r="D610" s="18"/>
      <c r="E610" s="17" t="s">
        <v>2557</v>
      </c>
      <c r="F610" s="18"/>
      <c r="G610" s="18"/>
      <c r="H610" s="15" t="s">
        <v>2558</v>
      </c>
      <c r="I610" s="15" t="s">
        <v>2559</v>
      </c>
      <c r="J610" s="19" t="s">
        <v>36</v>
      </c>
      <c r="K610" s="19" t="s">
        <v>2387</v>
      </c>
      <c r="L610" s="19" t="s">
        <v>38</v>
      </c>
      <c r="M610" s="20">
        <f t="shared" si="1"/>
        <v>0</v>
      </c>
      <c r="N610" s="21"/>
      <c r="O610" s="22"/>
      <c r="P610" s="19" t="s">
        <v>1145</v>
      </c>
      <c r="Q610" s="18"/>
      <c r="R610" s="18"/>
      <c r="S610" s="23">
        <v>0.0</v>
      </c>
      <c r="T610" s="23">
        <v>0.0</v>
      </c>
      <c r="U610" s="23">
        <f t="shared" si="2"/>
        <v>0</v>
      </c>
      <c r="V610" s="23">
        <f t="shared" si="3"/>
        <v>0</v>
      </c>
      <c r="W610" s="23">
        <f t="shared" si="4"/>
        <v>0</v>
      </c>
      <c r="X610" s="24" t="str">
        <f t="shared" si="5"/>
        <v>#DIV/0!</v>
      </c>
    </row>
    <row r="611">
      <c r="A611" s="15" t="s">
        <v>2560</v>
      </c>
      <c r="B611" s="18"/>
      <c r="C611" s="16"/>
      <c r="D611" s="18"/>
      <c r="E611" s="17" t="s">
        <v>2557</v>
      </c>
      <c r="F611" s="18"/>
      <c r="G611" s="18"/>
      <c r="H611" s="15" t="s">
        <v>2561</v>
      </c>
      <c r="I611" s="15" t="s">
        <v>2562</v>
      </c>
      <c r="J611" s="19" t="s">
        <v>36</v>
      </c>
      <c r="K611" s="19" t="s">
        <v>2387</v>
      </c>
      <c r="L611" s="19" t="s">
        <v>38</v>
      </c>
      <c r="M611" s="20">
        <f t="shared" si="1"/>
        <v>0</v>
      </c>
      <c r="N611" s="21"/>
      <c r="O611" s="22"/>
      <c r="P611" s="19" t="s">
        <v>1145</v>
      </c>
      <c r="Q611" s="18"/>
      <c r="R611" s="18"/>
      <c r="S611" s="23">
        <v>0.0</v>
      </c>
      <c r="T611" s="23">
        <v>0.0</v>
      </c>
      <c r="U611" s="23">
        <f t="shared" si="2"/>
        <v>0</v>
      </c>
      <c r="V611" s="23">
        <f t="shared" si="3"/>
        <v>0</v>
      </c>
      <c r="W611" s="23">
        <f t="shared" si="4"/>
        <v>0</v>
      </c>
      <c r="X611" s="24" t="str">
        <f t="shared" si="5"/>
        <v>#DIV/0!</v>
      </c>
    </row>
    <row r="612">
      <c r="A612" s="15" t="s">
        <v>2563</v>
      </c>
      <c r="B612" s="18"/>
      <c r="C612" s="16"/>
      <c r="D612" s="18"/>
      <c r="E612" s="17" t="s">
        <v>2564</v>
      </c>
      <c r="F612" s="18"/>
      <c r="G612" s="18"/>
      <c r="H612" s="15" t="s">
        <v>2565</v>
      </c>
      <c r="I612" s="15" t="s">
        <v>2566</v>
      </c>
      <c r="J612" s="19" t="s">
        <v>36</v>
      </c>
      <c r="K612" s="19" t="s">
        <v>2387</v>
      </c>
      <c r="L612" s="19" t="s">
        <v>38</v>
      </c>
      <c r="M612" s="20">
        <f t="shared" si="1"/>
        <v>0</v>
      </c>
      <c r="N612" s="21"/>
      <c r="O612" s="22"/>
      <c r="P612" s="19" t="s">
        <v>1145</v>
      </c>
      <c r="Q612" s="18"/>
      <c r="R612" s="18"/>
      <c r="S612" s="23">
        <v>0.0</v>
      </c>
      <c r="T612" s="23">
        <v>0.0</v>
      </c>
      <c r="U612" s="23">
        <f t="shared" si="2"/>
        <v>0</v>
      </c>
      <c r="V612" s="23">
        <f t="shared" si="3"/>
        <v>0</v>
      </c>
      <c r="W612" s="23">
        <f t="shared" si="4"/>
        <v>0</v>
      </c>
      <c r="X612" s="24" t="str">
        <f t="shared" si="5"/>
        <v>#DIV/0!</v>
      </c>
    </row>
    <row r="613">
      <c r="A613" s="15" t="s">
        <v>2567</v>
      </c>
      <c r="B613" s="18"/>
      <c r="C613" s="16"/>
      <c r="D613" s="18"/>
      <c r="E613" s="17" t="s">
        <v>2568</v>
      </c>
      <c r="F613" s="18"/>
      <c r="G613" s="18"/>
      <c r="H613" s="15" t="s">
        <v>2569</v>
      </c>
      <c r="I613" s="15" t="s">
        <v>2570</v>
      </c>
      <c r="J613" s="19" t="s">
        <v>36</v>
      </c>
      <c r="K613" s="19" t="s">
        <v>2387</v>
      </c>
      <c r="L613" s="19" t="s">
        <v>38</v>
      </c>
      <c r="M613" s="20">
        <f t="shared" si="1"/>
        <v>0</v>
      </c>
      <c r="N613" s="21"/>
      <c r="O613" s="22"/>
      <c r="P613" s="19" t="s">
        <v>1145</v>
      </c>
      <c r="Q613" s="18"/>
      <c r="R613" s="18"/>
      <c r="S613" s="23">
        <v>0.0</v>
      </c>
      <c r="T613" s="23">
        <v>0.0</v>
      </c>
      <c r="U613" s="23">
        <f t="shared" si="2"/>
        <v>0</v>
      </c>
      <c r="V613" s="23">
        <f t="shared" si="3"/>
        <v>0</v>
      </c>
      <c r="W613" s="23">
        <f t="shared" si="4"/>
        <v>0</v>
      </c>
      <c r="X613" s="24" t="str">
        <f t="shared" si="5"/>
        <v>#DIV/0!</v>
      </c>
    </row>
    <row r="614">
      <c r="A614" s="15" t="s">
        <v>2571</v>
      </c>
      <c r="B614" s="18"/>
      <c r="C614" s="16"/>
      <c r="D614" s="18"/>
      <c r="E614" s="17" t="s">
        <v>2572</v>
      </c>
      <c r="F614" s="18"/>
      <c r="G614" s="18"/>
      <c r="H614" s="15" t="s">
        <v>2573</v>
      </c>
      <c r="I614" s="15" t="s">
        <v>2574</v>
      </c>
      <c r="J614" s="19" t="s">
        <v>36</v>
      </c>
      <c r="K614" s="19" t="s">
        <v>2387</v>
      </c>
      <c r="L614" s="19" t="s">
        <v>38</v>
      </c>
      <c r="M614" s="20">
        <f t="shared" si="1"/>
        <v>0</v>
      </c>
      <c r="N614" s="21"/>
      <c r="O614" s="22"/>
      <c r="P614" s="19" t="s">
        <v>1145</v>
      </c>
      <c r="Q614" s="18"/>
      <c r="R614" s="18"/>
      <c r="S614" s="23">
        <v>0.0</v>
      </c>
      <c r="T614" s="23">
        <v>0.0</v>
      </c>
      <c r="U614" s="23">
        <f t="shared" si="2"/>
        <v>0</v>
      </c>
      <c r="V614" s="23">
        <f t="shared" si="3"/>
        <v>0</v>
      </c>
      <c r="W614" s="23">
        <f t="shared" si="4"/>
        <v>0</v>
      </c>
      <c r="X614" s="24" t="str">
        <f t="shared" si="5"/>
        <v>#DIV/0!</v>
      </c>
    </row>
    <row r="615">
      <c r="A615" s="15" t="s">
        <v>2575</v>
      </c>
      <c r="B615" s="18"/>
      <c r="C615" s="16"/>
      <c r="D615" s="18"/>
      <c r="E615" s="17" t="s">
        <v>2576</v>
      </c>
      <c r="F615" s="18"/>
      <c r="G615" s="18"/>
      <c r="H615" s="15" t="s">
        <v>2577</v>
      </c>
      <c r="I615" s="15" t="s">
        <v>2578</v>
      </c>
      <c r="J615" s="19" t="s">
        <v>36</v>
      </c>
      <c r="K615" s="19" t="s">
        <v>2387</v>
      </c>
      <c r="L615" s="19" t="s">
        <v>38</v>
      </c>
      <c r="M615" s="20">
        <f t="shared" si="1"/>
        <v>0</v>
      </c>
      <c r="N615" s="21"/>
      <c r="O615" s="22"/>
      <c r="P615" s="19" t="s">
        <v>1145</v>
      </c>
      <c r="Q615" s="18"/>
      <c r="R615" s="18"/>
      <c r="S615" s="23">
        <v>0.0</v>
      </c>
      <c r="T615" s="23">
        <v>0.0</v>
      </c>
      <c r="U615" s="23">
        <f t="shared" si="2"/>
        <v>0</v>
      </c>
      <c r="V615" s="23">
        <f t="shared" si="3"/>
        <v>0</v>
      </c>
      <c r="W615" s="23">
        <f t="shared" si="4"/>
        <v>0</v>
      </c>
      <c r="X615" s="24" t="str">
        <f t="shared" si="5"/>
        <v>#DIV/0!</v>
      </c>
    </row>
    <row r="616">
      <c r="A616" s="15" t="s">
        <v>2579</v>
      </c>
      <c r="B616" s="18"/>
      <c r="C616" s="16"/>
      <c r="D616" s="18"/>
      <c r="E616" s="17" t="s">
        <v>2580</v>
      </c>
      <c r="F616" s="18"/>
      <c r="G616" s="18"/>
      <c r="H616" s="15" t="s">
        <v>2581</v>
      </c>
      <c r="I616" s="15" t="s">
        <v>2582</v>
      </c>
      <c r="J616" s="19" t="s">
        <v>36</v>
      </c>
      <c r="K616" s="19" t="s">
        <v>691</v>
      </c>
      <c r="L616" s="19" t="s">
        <v>38</v>
      </c>
      <c r="M616" s="20">
        <f t="shared" si="1"/>
        <v>0</v>
      </c>
      <c r="N616" s="21"/>
      <c r="O616" s="22"/>
      <c r="P616" s="19" t="s">
        <v>1145</v>
      </c>
      <c r="Q616" s="18"/>
      <c r="R616" s="18"/>
      <c r="S616" s="23">
        <v>0.0</v>
      </c>
      <c r="T616" s="23">
        <v>0.0</v>
      </c>
      <c r="U616" s="23">
        <f t="shared" si="2"/>
        <v>0</v>
      </c>
      <c r="V616" s="23">
        <f t="shared" si="3"/>
        <v>0</v>
      </c>
      <c r="W616" s="23">
        <f t="shared" si="4"/>
        <v>0</v>
      </c>
      <c r="X616" s="24" t="str">
        <f t="shared" si="5"/>
        <v>#DIV/0!</v>
      </c>
    </row>
    <row r="617">
      <c r="A617" s="15" t="s">
        <v>2583</v>
      </c>
      <c r="B617" s="18"/>
      <c r="C617" s="16"/>
      <c r="D617" s="18"/>
      <c r="E617" s="17" t="s">
        <v>2584</v>
      </c>
      <c r="F617" s="18"/>
      <c r="G617" s="18"/>
      <c r="H617" s="15" t="s">
        <v>2585</v>
      </c>
      <c r="I617" s="15" t="s">
        <v>2586</v>
      </c>
      <c r="J617" s="19" t="s">
        <v>36</v>
      </c>
      <c r="K617" s="19" t="s">
        <v>2401</v>
      </c>
      <c r="L617" s="19" t="s">
        <v>38</v>
      </c>
      <c r="M617" s="20">
        <f t="shared" si="1"/>
        <v>0</v>
      </c>
      <c r="N617" s="21"/>
      <c r="O617" s="22"/>
      <c r="P617" s="19" t="s">
        <v>1145</v>
      </c>
      <c r="Q617" s="18"/>
      <c r="R617" s="18"/>
      <c r="S617" s="23">
        <v>0.0</v>
      </c>
      <c r="T617" s="23">
        <v>0.0</v>
      </c>
      <c r="U617" s="23">
        <f t="shared" si="2"/>
        <v>0</v>
      </c>
      <c r="V617" s="23">
        <f t="shared" si="3"/>
        <v>0</v>
      </c>
      <c r="W617" s="23">
        <f t="shared" si="4"/>
        <v>0</v>
      </c>
      <c r="X617" s="24" t="str">
        <f t="shared" si="5"/>
        <v>#DIV/0!</v>
      </c>
    </row>
    <row r="618">
      <c r="A618" s="15" t="s">
        <v>2587</v>
      </c>
      <c r="B618" s="18"/>
      <c r="C618" s="16"/>
      <c r="D618" s="18"/>
      <c r="E618" s="17" t="s">
        <v>2588</v>
      </c>
      <c r="F618" s="18"/>
      <c r="G618" s="18"/>
      <c r="H618" s="15" t="s">
        <v>2589</v>
      </c>
      <c r="I618" s="15" t="s">
        <v>2590</v>
      </c>
      <c r="J618" s="19" t="s">
        <v>36</v>
      </c>
      <c r="K618" s="19" t="s">
        <v>2387</v>
      </c>
      <c r="L618" s="19" t="s">
        <v>38</v>
      </c>
      <c r="M618" s="20">
        <f t="shared" si="1"/>
        <v>0</v>
      </c>
      <c r="N618" s="21"/>
      <c r="O618" s="22"/>
      <c r="P618" s="19" t="s">
        <v>1145</v>
      </c>
      <c r="Q618" s="18"/>
      <c r="R618" s="18"/>
      <c r="S618" s="23">
        <v>0.0</v>
      </c>
      <c r="T618" s="23">
        <v>0.0</v>
      </c>
      <c r="U618" s="23">
        <f t="shared" si="2"/>
        <v>0</v>
      </c>
      <c r="V618" s="23">
        <f t="shared" si="3"/>
        <v>0</v>
      </c>
      <c r="W618" s="23">
        <f t="shared" si="4"/>
        <v>0</v>
      </c>
      <c r="X618" s="24" t="str">
        <f t="shared" si="5"/>
        <v>#DIV/0!</v>
      </c>
    </row>
    <row r="619">
      <c r="A619" s="15" t="s">
        <v>2591</v>
      </c>
      <c r="B619" s="18"/>
      <c r="C619" s="16"/>
      <c r="D619" s="18"/>
      <c r="E619" s="17" t="s">
        <v>2592</v>
      </c>
      <c r="F619" s="18"/>
      <c r="G619" s="18"/>
      <c r="H619" s="15" t="s">
        <v>2593</v>
      </c>
      <c r="I619" s="15" t="s">
        <v>2594</v>
      </c>
      <c r="J619" s="19" t="s">
        <v>36</v>
      </c>
      <c r="K619" s="19" t="s">
        <v>2506</v>
      </c>
      <c r="L619" s="19" t="s">
        <v>38</v>
      </c>
      <c r="M619" s="20">
        <f t="shared" si="1"/>
        <v>0</v>
      </c>
      <c r="N619" s="21"/>
      <c r="O619" s="22"/>
      <c r="P619" s="19" t="s">
        <v>1145</v>
      </c>
      <c r="Q619" s="18"/>
      <c r="R619" s="18"/>
      <c r="S619" s="23">
        <v>0.0</v>
      </c>
      <c r="T619" s="23">
        <v>0.0</v>
      </c>
      <c r="U619" s="23">
        <f t="shared" si="2"/>
        <v>0</v>
      </c>
      <c r="V619" s="23">
        <f t="shared" si="3"/>
        <v>0</v>
      </c>
      <c r="W619" s="23">
        <f t="shared" si="4"/>
        <v>0</v>
      </c>
      <c r="X619" s="24" t="str">
        <f t="shared" si="5"/>
        <v>#DIV/0!</v>
      </c>
    </row>
    <row r="620">
      <c r="A620" s="15" t="s">
        <v>2595</v>
      </c>
      <c r="B620" s="18"/>
      <c r="C620" s="16"/>
      <c r="D620" s="18"/>
      <c r="E620" s="17" t="s">
        <v>2596</v>
      </c>
      <c r="F620" s="18"/>
      <c r="G620" s="18"/>
      <c r="H620" s="15" t="s">
        <v>2597</v>
      </c>
      <c r="I620" s="15" t="s">
        <v>2598</v>
      </c>
      <c r="J620" s="19" t="s">
        <v>36</v>
      </c>
      <c r="K620" s="19" t="s">
        <v>2382</v>
      </c>
      <c r="L620" s="19" t="s">
        <v>38</v>
      </c>
      <c r="M620" s="20">
        <f t="shared" si="1"/>
        <v>0</v>
      </c>
      <c r="N620" s="21"/>
      <c r="O620" s="22"/>
      <c r="P620" s="19" t="s">
        <v>1145</v>
      </c>
      <c r="Q620" s="18"/>
      <c r="R620" s="18"/>
      <c r="S620" s="23">
        <v>0.0</v>
      </c>
      <c r="T620" s="23">
        <v>0.0</v>
      </c>
      <c r="U620" s="23">
        <f t="shared" si="2"/>
        <v>0</v>
      </c>
      <c r="V620" s="23">
        <f t="shared" si="3"/>
        <v>0</v>
      </c>
      <c r="W620" s="23">
        <f t="shared" si="4"/>
        <v>0</v>
      </c>
      <c r="X620" s="24" t="str">
        <f t="shared" si="5"/>
        <v>#DIV/0!</v>
      </c>
    </row>
    <row r="621">
      <c r="A621" s="15" t="s">
        <v>2599</v>
      </c>
      <c r="B621" s="18"/>
      <c r="C621" s="16"/>
      <c r="D621" s="18"/>
      <c r="E621" s="17" t="s">
        <v>2600</v>
      </c>
      <c r="F621" s="18"/>
      <c r="G621" s="18"/>
      <c r="H621" s="15" t="s">
        <v>2601</v>
      </c>
      <c r="I621" s="15" t="s">
        <v>2602</v>
      </c>
      <c r="J621" s="19" t="s">
        <v>36</v>
      </c>
      <c r="K621" s="19" t="s">
        <v>2382</v>
      </c>
      <c r="L621" s="19" t="s">
        <v>38</v>
      </c>
      <c r="M621" s="20">
        <f t="shared" si="1"/>
        <v>0</v>
      </c>
      <c r="N621" s="21"/>
      <c r="O621" s="22"/>
      <c r="P621" s="19" t="s">
        <v>1145</v>
      </c>
      <c r="Q621" s="18"/>
      <c r="R621" s="18"/>
      <c r="S621" s="23">
        <v>0.0</v>
      </c>
      <c r="T621" s="23">
        <v>0.0</v>
      </c>
      <c r="U621" s="23">
        <f t="shared" si="2"/>
        <v>0</v>
      </c>
      <c r="V621" s="23">
        <f t="shared" si="3"/>
        <v>0</v>
      </c>
      <c r="W621" s="23">
        <f t="shared" si="4"/>
        <v>0</v>
      </c>
      <c r="X621" s="24" t="str">
        <f t="shared" si="5"/>
        <v>#DIV/0!</v>
      </c>
    </row>
    <row r="622">
      <c r="A622" s="15" t="s">
        <v>2603</v>
      </c>
      <c r="B622" s="18"/>
      <c r="C622" s="16"/>
      <c r="D622" s="18"/>
      <c r="E622" s="17" t="s">
        <v>2604</v>
      </c>
      <c r="F622" s="18"/>
      <c r="G622" s="18"/>
      <c r="H622" s="15" t="s">
        <v>2605</v>
      </c>
      <c r="I622" s="15" t="s">
        <v>2606</v>
      </c>
      <c r="J622" s="19" t="s">
        <v>36</v>
      </c>
      <c r="K622" s="19" t="s">
        <v>691</v>
      </c>
      <c r="L622" s="19" t="s">
        <v>38</v>
      </c>
      <c r="M622" s="20">
        <f t="shared" si="1"/>
        <v>0</v>
      </c>
      <c r="N622" s="21"/>
      <c r="O622" s="22"/>
      <c r="P622" s="19" t="s">
        <v>1145</v>
      </c>
      <c r="Q622" s="18"/>
      <c r="R622" s="18"/>
      <c r="S622" s="23">
        <v>0.0</v>
      </c>
      <c r="T622" s="23">
        <v>0.0</v>
      </c>
      <c r="U622" s="23">
        <f t="shared" si="2"/>
        <v>0</v>
      </c>
      <c r="V622" s="23">
        <f t="shared" si="3"/>
        <v>0</v>
      </c>
      <c r="W622" s="23">
        <f t="shared" si="4"/>
        <v>0</v>
      </c>
      <c r="X622" s="24" t="str">
        <f t="shared" si="5"/>
        <v>#DIV/0!</v>
      </c>
    </row>
    <row r="623">
      <c r="A623" s="15" t="s">
        <v>2607</v>
      </c>
      <c r="B623" s="18"/>
      <c r="C623" s="16"/>
      <c r="D623" s="18"/>
      <c r="E623" s="17" t="s">
        <v>2604</v>
      </c>
      <c r="F623" s="18"/>
      <c r="G623" s="18"/>
      <c r="H623" s="15" t="s">
        <v>2608</v>
      </c>
      <c r="I623" s="15" t="s">
        <v>2609</v>
      </c>
      <c r="J623" s="19" t="s">
        <v>36</v>
      </c>
      <c r="K623" s="19" t="s">
        <v>691</v>
      </c>
      <c r="L623" s="19" t="s">
        <v>38</v>
      </c>
      <c r="M623" s="20">
        <f t="shared" si="1"/>
        <v>0</v>
      </c>
      <c r="N623" s="21"/>
      <c r="O623" s="22"/>
      <c r="P623" s="19" t="s">
        <v>1145</v>
      </c>
      <c r="Q623" s="18"/>
      <c r="R623" s="18"/>
      <c r="S623" s="23">
        <v>0.0</v>
      </c>
      <c r="T623" s="23">
        <v>0.0</v>
      </c>
      <c r="U623" s="23">
        <f t="shared" si="2"/>
        <v>0</v>
      </c>
      <c r="V623" s="23">
        <f t="shared" si="3"/>
        <v>0</v>
      </c>
      <c r="W623" s="23">
        <f t="shared" si="4"/>
        <v>0</v>
      </c>
      <c r="X623" s="24" t="str">
        <f t="shared" si="5"/>
        <v>#DIV/0!</v>
      </c>
    </row>
    <row r="624">
      <c r="A624" s="15" t="s">
        <v>2610</v>
      </c>
      <c r="B624" s="18"/>
      <c r="C624" s="16"/>
      <c r="D624" s="18"/>
      <c r="E624" s="17" t="s">
        <v>2611</v>
      </c>
      <c r="F624" s="18"/>
      <c r="G624" s="18"/>
      <c r="H624" s="15" t="s">
        <v>2612</v>
      </c>
      <c r="I624" s="15" t="s">
        <v>2613</v>
      </c>
      <c r="J624" s="19" t="s">
        <v>36</v>
      </c>
      <c r="K624" s="19" t="s">
        <v>691</v>
      </c>
      <c r="L624" s="19" t="s">
        <v>38</v>
      </c>
      <c r="M624" s="20">
        <f t="shared" si="1"/>
        <v>0</v>
      </c>
      <c r="N624" s="21"/>
      <c r="O624" s="22"/>
      <c r="P624" s="19" t="s">
        <v>1145</v>
      </c>
      <c r="Q624" s="18"/>
      <c r="R624" s="18"/>
      <c r="S624" s="23">
        <v>0.0</v>
      </c>
      <c r="T624" s="23">
        <v>0.0</v>
      </c>
      <c r="U624" s="23">
        <f t="shared" si="2"/>
        <v>0</v>
      </c>
      <c r="V624" s="23">
        <f t="shared" si="3"/>
        <v>0</v>
      </c>
      <c r="W624" s="23">
        <f t="shared" si="4"/>
        <v>0</v>
      </c>
      <c r="X624" s="24" t="str">
        <f t="shared" si="5"/>
        <v>#DIV/0!</v>
      </c>
    </row>
    <row r="625">
      <c r="A625" s="15" t="s">
        <v>2614</v>
      </c>
      <c r="B625" s="18"/>
      <c r="C625" s="16"/>
      <c r="D625" s="18"/>
      <c r="E625" s="17" t="s">
        <v>2615</v>
      </c>
      <c r="F625" s="18"/>
      <c r="G625" s="18"/>
      <c r="H625" s="15" t="s">
        <v>2616</v>
      </c>
      <c r="I625" s="15" t="s">
        <v>2617</v>
      </c>
      <c r="J625" s="19" t="s">
        <v>36</v>
      </c>
      <c r="K625" s="19" t="s">
        <v>691</v>
      </c>
      <c r="L625" s="19" t="s">
        <v>38</v>
      </c>
      <c r="M625" s="20">
        <f t="shared" si="1"/>
        <v>0</v>
      </c>
      <c r="N625" s="21"/>
      <c r="O625" s="22"/>
      <c r="P625" s="19" t="s">
        <v>1145</v>
      </c>
      <c r="Q625" s="18"/>
      <c r="R625" s="18"/>
      <c r="S625" s="23">
        <v>0.0</v>
      </c>
      <c r="T625" s="23">
        <v>0.0</v>
      </c>
      <c r="U625" s="23">
        <f t="shared" si="2"/>
        <v>0</v>
      </c>
      <c r="V625" s="23">
        <f t="shared" si="3"/>
        <v>0</v>
      </c>
      <c r="W625" s="23">
        <f t="shared" si="4"/>
        <v>0</v>
      </c>
      <c r="X625" s="24" t="str">
        <f t="shared" si="5"/>
        <v>#DIV/0!</v>
      </c>
    </row>
    <row r="626">
      <c r="A626" s="15" t="s">
        <v>2618</v>
      </c>
      <c r="B626" s="18"/>
      <c r="C626" s="16"/>
      <c r="D626" s="18"/>
      <c r="E626" s="17" t="s">
        <v>1985</v>
      </c>
      <c r="F626" s="18"/>
      <c r="G626" s="18"/>
      <c r="H626" s="15" t="s">
        <v>2619</v>
      </c>
      <c r="I626" s="15" t="s">
        <v>2620</v>
      </c>
      <c r="J626" s="19" t="s">
        <v>36</v>
      </c>
      <c r="K626" s="19" t="s">
        <v>2387</v>
      </c>
      <c r="L626" s="19" t="s">
        <v>38</v>
      </c>
      <c r="M626" s="20">
        <f t="shared" si="1"/>
        <v>0</v>
      </c>
      <c r="N626" s="21"/>
      <c r="O626" s="22"/>
      <c r="P626" s="19" t="s">
        <v>1145</v>
      </c>
      <c r="Q626" s="18"/>
      <c r="R626" s="18"/>
      <c r="S626" s="23">
        <v>0.0</v>
      </c>
      <c r="T626" s="23">
        <v>0.0</v>
      </c>
      <c r="U626" s="23">
        <f t="shared" si="2"/>
        <v>0</v>
      </c>
      <c r="V626" s="23">
        <f t="shared" si="3"/>
        <v>0</v>
      </c>
      <c r="W626" s="23">
        <f t="shared" si="4"/>
        <v>0</v>
      </c>
      <c r="X626" s="24" t="str">
        <f t="shared" si="5"/>
        <v>#DIV/0!</v>
      </c>
    </row>
    <row r="627">
      <c r="A627" s="15" t="s">
        <v>2621</v>
      </c>
      <c r="B627" s="18"/>
      <c r="C627" s="16"/>
      <c r="D627" s="18"/>
      <c r="E627" s="17" t="s">
        <v>2622</v>
      </c>
      <c r="F627" s="18"/>
      <c r="G627" s="18"/>
      <c r="H627" s="15" t="s">
        <v>2623</v>
      </c>
      <c r="I627" s="15" t="s">
        <v>2624</v>
      </c>
      <c r="J627" s="19" t="s">
        <v>36</v>
      </c>
      <c r="K627" s="19" t="s">
        <v>2401</v>
      </c>
      <c r="L627" s="19" t="s">
        <v>38</v>
      </c>
      <c r="M627" s="20">
        <f t="shared" si="1"/>
        <v>0</v>
      </c>
      <c r="N627" s="21"/>
      <c r="O627" s="22"/>
      <c r="P627" s="19" t="s">
        <v>1145</v>
      </c>
      <c r="Q627" s="18"/>
      <c r="R627" s="18"/>
      <c r="S627" s="23">
        <v>0.0</v>
      </c>
      <c r="T627" s="23">
        <v>0.0</v>
      </c>
      <c r="U627" s="23">
        <f t="shared" si="2"/>
        <v>0</v>
      </c>
      <c r="V627" s="23">
        <f t="shared" si="3"/>
        <v>0</v>
      </c>
      <c r="W627" s="23">
        <f t="shared" si="4"/>
        <v>0</v>
      </c>
      <c r="X627" s="24" t="str">
        <f t="shared" si="5"/>
        <v>#DIV/0!</v>
      </c>
    </row>
    <row r="628">
      <c r="A628" s="15" t="s">
        <v>2625</v>
      </c>
      <c r="B628" s="18"/>
      <c r="C628" s="16"/>
      <c r="D628" s="18"/>
      <c r="E628" s="17" t="s">
        <v>2626</v>
      </c>
      <c r="F628" s="18"/>
      <c r="G628" s="18"/>
      <c r="H628" s="15" t="s">
        <v>2627</v>
      </c>
      <c r="I628" s="15" t="s">
        <v>2628</v>
      </c>
      <c r="J628" s="19" t="s">
        <v>36</v>
      </c>
      <c r="K628" s="19" t="s">
        <v>2387</v>
      </c>
      <c r="L628" s="19" t="s">
        <v>38</v>
      </c>
      <c r="M628" s="20">
        <f t="shared" si="1"/>
        <v>0</v>
      </c>
      <c r="N628" s="21"/>
      <c r="O628" s="22"/>
      <c r="P628" s="19" t="s">
        <v>1145</v>
      </c>
      <c r="Q628" s="18"/>
      <c r="R628" s="18"/>
      <c r="S628" s="23">
        <v>0.0</v>
      </c>
      <c r="T628" s="23">
        <v>0.0</v>
      </c>
      <c r="U628" s="23">
        <f t="shared" si="2"/>
        <v>0</v>
      </c>
      <c r="V628" s="23">
        <f t="shared" si="3"/>
        <v>0</v>
      </c>
      <c r="W628" s="23">
        <f t="shared" si="4"/>
        <v>0</v>
      </c>
      <c r="X628" s="24" t="str">
        <f t="shared" si="5"/>
        <v>#DIV/0!</v>
      </c>
    </row>
    <row r="629">
      <c r="A629" s="15" t="s">
        <v>2629</v>
      </c>
      <c r="B629" s="18"/>
      <c r="C629" s="16"/>
      <c r="D629" s="18"/>
      <c r="E629" s="17" t="s">
        <v>2626</v>
      </c>
      <c r="F629" s="18"/>
      <c r="G629" s="18"/>
      <c r="H629" s="15" t="s">
        <v>2630</v>
      </c>
      <c r="I629" s="15" t="s">
        <v>2631</v>
      </c>
      <c r="J629" s="19" t="s">
        <v>36</v>
      </c>
      <c r="K629" s="19" t="s">
        <v>2387</v>
      </c>
      <c r="L629" s="19" t="s">
        <v>38</v>
      </c>
      <c r="M629" s="20">
        <f t="shared" si="1"/>
        <v>0</v>
      </c>
      <c r="N629" s="21"/>
      <c r="O629" s="22"/>
      <c r="P629" s="19" t="s">
        <v>1145</v>
      </c>
      <c r="Q629" s="18"/>
      <c r="R629" s="18"/>
      <c r="S629" s="23">
        <v>0.0</v>
      </c>
      <c r="T629" s="23">
        <v>0.0</v>
      </c>
      <c r="U629" s="23">
        <f t="shared" si="2"/>
        <v>0</v>
      </c>
      <c r="V629" s="23">
        <f t="shared" si="3"/>
        <v>0</v>
      </c>
      <c r="W629" s="23">
        <f t="shared" si="4"/>
        <v>0</v>
      </c>
      <c r="X629" s="24" t="str">
        <f t="shared" si="5"/>
        <v>#DIV/0!</v>
      </c>
    </row>
    <row r="630">
      <c r="A630" s="15" t="s">
        <v>2632</v>
      </c>
      <c r="B630" s="18"/>
      <c r="C630" s="16"/>
      <c r="D630" s="18"/>
      <c r="E630" s="17" t="s">
        <v>2633</v>
      </c>
      <c r="F630" s="18"/>
      <c r="G630" s="18"/>
      <c r="H630" s="15" t="s">
        <v>2634</v>
      </c>
      <c r="I630" s="15" t="s">
        <v>2635</v>
      </c>
      <c r="J630" s="19" t="s">
        <v>36</v>
      </c>
      <c r="K630" s="19" t="s">
        <v>2506</v>
      </c>
      <c r="L630" s="19" t="s">
        <v>38</v>
      </c>
      <c r="M630" s="20">
        <f t="shared" si="1"/>
        <v>0</v>
      </c>
      <c r="N630" s="21"/>
      <c r="O630" s="22"/>
      <c r="P630" s="19" t="s">
        <v>1145</v>
      </c>
      <c r="Q630" s="18"/>
      <c r="R630" s="18"/>
      <c r="S630" s="23">
        <v>0.0</v>
      </c>
      <c r="T630" s="23">
        <v>0.0</v>
      </c>
      <c r="U630" s="23">
        <f t="shared" si="2"/>
        <v>0</v>
      </c>
      <c r="V630" s="23">
        <f t="shared" si="3"/>
        <v>0</v>
      </c>
      <c r="W630" s="23">
        <f t="shared" si="4"/>
        <v>0</v>
      </c>
      <c r="X630" s="24" t="str">
        <f t="shared" si="5"/>
        <v>#DIV/0!</v>
      </c>
    </row>
    <row r="631">
      <c r="A631" s="15" t="s">
        <v>2636</v>
      </c>
      <c r="B631" s="18"/>
      <c r="C631" s="16"/>
      <c r="D631" s="18"/>
      <c r="E631" s="17" t="s">
        <v>2637</v>
      </c>
      <c r="F631" s="18"/>
      <c r="G631" s="18"/>
      <c r="H631" s="15" t="s">
        <v>2638</v>
      </c>
      <c r="I631" s="15" t="s">
        <v>2639</v>
      </c>
      <c r="J631" s="19" t="s">
        <v>36</v>
      </c>
      <c r="K631" s="19" t="s">
        <v>2396</v>
      </c>
      <c r="L631" s="19" t="s">
        <v>38</v>
      </c>
      <c r="M631" s="20">
        <f t="shared" si="1"/>
        <v>0</v>
      </c>
      <c r="N631" s="21"/>
      <c r="O631" s="22"/>
      <c r="P631" s="19" t="s">
        <v>1145</v>
      </c>
      <c r="Q631" s="18"/>
      <c r="R631" s="18"/>
      <c r="S631" s="23">
        <v>0.0</v>
      </c>
      <c r="T631" s="23">
        <v>0.0</v>
      </c>
      <c r="U631" s="23">
        <f t="shared" si="2"/>
        <v>0</v>
      </c>
      <c r="V631" s="23">
        <f t="shared" si="3"/>
        <v>0</v>
      </c>
      <c r="W631" s="23">
        <f t="shared" si="4"/>
        <v>0</v>
      </c>
      <c r="X631" s="24" t="str">
        <f t="shared" si="5"/>
        <v>#DIV/0!</v>
      </c>
    </row>
    <row r="632">
      <c r="A632" s="15" t="s">
        <v>2640</v>
      </c>
      <c r="B632" s="18"/>
      <c r="C632" s="16"/>
      <c r="D632" s="18"/>
      <c r="E632" s="17" t="s">
        <v>2641</v>
      </c>
      <c r="F632" s="18"/>
      <c r="G632" s="18"/>
      <c r="H632" s="15" t="s">
        <v>2642</v>
      </c>
      <c r="I632" s="15" t="s">
        <v>2643</v>
      </c>
      <c r="J632" s="19" t="s">
        <v>36</v>
      </c>
      <c r="K632" s="19" t="s">
        <v>2382</v>
      </c>
      <c r="L632" s="19" t="s">
        <v>38</v>
      </c>
      <c r="M632" s="20">
        <f t="shared" si="1"/>
        <v>0</v>
      </c>
      <c r="N632" s="21"/>
      <c r="O632" s="22"/>
      <c r="P632" s="19" t="s">
        <v>1145</v>
      </c>
      <c r="Q632" s="18"/>
      <c r="R632" s="18"/>
      <c r="S632" s="23">
        <v>0.0</v>
      </c>
      <c r="T632" s="23">
        <v>0.0</v>
      </c>
      <c r="U632" s="23">
        <f t="shared" si="2"/>
        <v>0</v>
      </c>
      <c r="V632" s="23">
        <f t="shared" si="3"/>
        <v>0</v>
      </c>
      <c r="W632" s="23">
        <f t="shared" si="4"/>
        <v>0</v>
      </c>
      <c r="X632" s="24" t="str">
        <f t="shared" si="5"/>
        <v>#DIV/0!</v>
      </c>
    </row>
    <row r="633">
      <c r="A633" s="15" t="s">
        <v>2644</v>
      </c>
      <c r="B633" s="18"/>
      <c r="C633" s="16"/>
      <c r="D633" s="18"/>
      <c r="E633" s="17" t="s">
        <v>2645</v>
      </c>
      <c r="F633" s="18"/>
      <c r="G633" s="18"/>
      <c r="H633" s="15" t="s">
        <v>2646</v>
      </c>
      <c r="I633" s="15" t="s">
        <v>2647</v>
      </c>
      <c r="J633" s="19" t="s">
        <v>36</v>
      </c>
      <c r="K633" s="19" t="s">
        <v>2382</v>
      </c>
      <c r="L633" s="19" t="s">
        <v>38</v>
      </c>
      <c r="M633" s="20">
        <f t="shared" si="1"/>
        <v>0</v>
      </c>
      <c r="N633" s="21"/>
      <c r="O633" s="22"/>
      <c r="P633" s="19" t="s">
        <v>1145</v>
      </c>
      <c r="Q633" s="18"/>
      <c r="R633" s="18"/>
      <c r="S633" s="23">
        <v>0.0</v>
      </c>
      <c r="T633" s="23">
        <v>0.0</v>
      </c>
      <c r="U633" s="23">
        <f t="shared" si="2"/>
        <v>0</v>
      </c>
      <c r="V633" s="23">
        <f t="shared" si="3"/>
        <v>0</v>
      </c>
      <c r="W633" s="23">
        <f t="shared" si="4"/>
        <v>0</v>
      </c>
      <c r="X633" s="24" t="str">
        <f t="shared" si="5"/>
        <v>#DIV/0!</v>
      </c>
    </row>
    <row r="634">
      <c r="A634" s="15" t="s">
        <v>2648</v>
      </c>
      <c r="B634" s="18"/>
      <c r="C634" s="16"/>
      <c r="D634" s="18"/>
      <c r="E634" s="17" t="s">
        <v>2649</v>
      </c>
      <c r="F634" s="18"/>
      <c r="G634" s="18"/>
      <c r="H634" s="15" t="s">
        <v>2650</v>
      </c>
      <c r="I634" s="15" t="s">
        <v>2651</v>
      </c>
      <c r="J634" s="19" t="s">
        <v>36</v>
      </c>
      <c r="K634" s="19" t="s">
        <v>2396</v>
      </c>
      <c r="L634" s="19" t="s">
        <v>38</v>
      </c>
      <c r="M634" s="20">
        <f t="shared" si="1"/>
        <v>0</v>
      </c>
      <c r="N634" s="21"/>
      <c r="O634" s="22"/>
      <c r="P634" s="19" t="s">
        <v>1145</v>
      </c>
      <c r="Q634" s="18"/>
      <c r="R634" s="18"/>
      <c r="S634" s="23">
        <v>0.0</v>
      </c>
      <c r="T634" s="23">
        <v>0.0</v>
      </c>
      <c r="U634" s="23">
        <f t="shared" si="2"/>
        <v>0</v>
      </c>
      <c r="V634" s="23">
        <f t="shared" si="3"/>
        <v>0</v>
      </c>
      <c r="W634" s="23">
        <f t="shared" si="4"/>
        <v>0</v>
      </c>
      <c r="X634" s="24" t="str">
        <f t="shared" si="5"/>
        <v>#DIV/0!</v>
      </c>
    </row>
    <row r="635">
      <c r="A635" s="15" t="s">
        <v>2652</v>
      </c>
      <c r="B635" s="18"/>
      <c r="C635" s="16"/>
      <c r="D635" s="18"/>
      <c r="E635" s="17" t="s">
        <v>2653</v>
      </c>
      <c r="F635" s="18"/>
      <c r="G635" s="18"/>
      <c r="H635" s="15" t="s">
        <v>2654</v>
      </c>
      <c r="I635" s="15" t="s">
        <v>2655</v>
      </c>
      <c r="J635" s="19" t="s">
        <v>36</v>
      </c>
      <c r="K635" s="19" t="s">
        <v>2396</v>
      </c>
      <c r="L635" s="19" t="s">
        <v>38</v>
      </c>
      <c r="M635" s="20">
        <f t="shared" si="1"/>
        <v>0</v>
      </c>
      <c r="N635" s="21"/>
      <c r="O635" s="22"/>
      <c r="P635" s="19" t="s">
        <v>1145</v>
      </c>
      <c r="Q635" s="18"/>
      <c r="R635" s="18"/>
      <c r="S635" s="23">
        <v>0.0</v>
      </c>
      <c r="T635" s="23">
        <v>0.0</v>
      </c>
      <c r="U635" s="23">
        <f t="shared" si="2"/>
        <v>0</v>
      </c>
      <c r="V635" s="23">
        <f t="shared" si="3"/>
        <v>0</v>
      </c>
      <c r="W635" s="23">
        <f t="shared" si="4"/>
        <v>0</v>
      </c>
      <c r="X635" s="24" t="str">
        <f t="shared" si="5"/>
        <v>#DIV/0!</v>
      </c>
    </row>
    <row r="636">
      <c r="A636" s="15" t="s">
        <v>2656</v>
      </c>
      <c r="B636" s="18"/>
      <c r="C636" s="16"/>
      <c r="D636" s="18"/>
      <c r="E636" s="17" t="s">
        <v>2657</v>
      </c>
      <c r="F636" s="18"/>
      <c r="G636" s="18"/>
      <c r="H636" s="15" t="s">
        <v>2658</v>
      </c>
      <c r="I636" s="15" t="s">
        <v>2659</v>
      </c>
      <c r="J636" s="19" t="s">
        <v>36</v>
      </c>
      <c r="K636" s="19" t="s">
        <v>2396</v>
      </c>
      <c r="L636" s="19" t="s">
        <v>38</v>
      </c>
      <c r="M636" s="20">
        <f t="shared" si="1"/>
        <v>0</v>
      </c>
      <c r="N636" s="21"/>
      <c r="O636" s="22"/>
      <c r="P636" s="19" t="s">
        <v>1145</v>
      </c>
      <c r="Q636" s="18"/>
      <c r="R636" s="18"/>
      <c r="S636" s="23">
        <v>0.0</v>
      </c>
      <c r="T636" s="23">
        <v>0.0</v>
      </c>
      <c r="U636" s="23">
        <f t="shared" si="2"/>
        <v>0</v>
      </c>
      <c r="V636" s="23">
        <f t="shared" si="3"/>
        <v>0</v>
      </c>
      <c r="W636" s="23">
        <f t="shared" si="4"/>
        <v>0</v>
      </c>
      <c r="X636" s="24" t="str">
        <f t="shared" si="5"/>
        <v>#DIV/0!</v>
      </c>
    </row>
    <row r="637">
      <c r="A637" s="15" t="s">
        <v>2660</v>
      </c>
      <c r="B637" s="18"/>
      <c r="C637" s="16"/>
      <c r="D637" s="18"/>
      <c r="E637" s="17" t="s">
        <v>2661</v>
      </c>
      <c r="F637" s="18"/>
      <c r="G637" s="18"/>
      <c r="H637" s="15" t="s">
        <v>2662</v>
      </c>
      <c r="I637" s="15" t="s">
        <v>2663</v>
      </c>
      <c r="J637" s="19" t="s">
        <v>36</v>
      </c>
      <c r="K637" s="19" t="s">
        <v>691</v>
      </c>
      <c r="L637" s="19" t="s">
        <v>38</v>
      </c>
      <c r="M637" s="20">
        <f t="shared" si="1"/>
        <v>0</v>
      </c>
      <c r="N637" s="21"/>
      <c r="O637" s="22"/>
      <c r="P637" s="19" t="s">
        <v>1145</v>
      </c>
      <c r="Q637" s="18"/>
      <c r="R637" s="18"/>
      <c r="S637" s="23">
        <v>0.0</v>
      </c>
      <c r="T637" s="23">
        <v>0.0</v>
      </c>
      <c r="U637" s="23">
        <f t="shared" si="2"/>
        <v>0</v>
      </c>
      <c r="V637" s="23">
        <f t="shared" si="3"/>
        <v>0</v>
      </c>
      <c r="W637" s="23">
        <f t="shared" si="4"/>
        <v>0</v>
      </c>
      <c r="X637" s="24" t="str">
        <f t="shared" si="5"/>
        <v>#DIV/0!</v>
      </c>
    </row>
    <row r="638">
      <c r="A638" s="15" t="s">
        <v>2664</v>
      </c>
      <c r="B638" s="18"/>
      <c r="C638" s="16"/>
      <c r="D638" s="18"/>
      <c r="E638" s="17" t="s">
        <v>2665</v>
      </c>
      <c r="F638" s="18"/>
      <c r="G638" s="18"/>
      <c r="H638" s="15" t="s">
        <v>2666</v>
      </c>
      <c r="I638" s="15" t="s">
        <v>2667</v>
      </c>
      <c r="J638" s="19" t="s">
        <v>36</v>
      </c>
      <c r="K638" s="19" t="s">
        <v>2396</v>
      </c>
      <c r="L638" s="19" t="s">
        <v>38</v>
      </c>
      <c r="M638" s="20">
        <f t="shared" si="1"/>
        <v>0</v>
      </c>
      <c r="N638" s="21"/>
      <c r="O638" s="22"/>
      <c r="P638" s="19" t="s">
        <v>1145</v>
      </c>
      <c r="Q638" s="18"/>
      <c r="R638" s="18"/>
      <c r="S638" s="23">
        <v>0.0</v>
      </c>
      <c r="T638" s="23">
        <v>0.0</v>
      </c>
      <c r="U638" s="23">
        <f t="shared" si="2"/>
        <v>0</v>
      </c>
      <c r="V638" s="23">
        <f t="shared" si="3"/>
        <v>0</v>
      </c>
      <c r="W638" s="23">
        <f t="shared" si="4"/>
        <v>0</v>
      </c>
      <c r="X638" s="24" t="str">
        <f t="shared" si="5"/>
        <v>#DIV/0!</v>
      </c>
    </row>
    <row r="639">
      <c r="A639" s="15" t="s">
        <v>2668</v>
      </c>
      <c r="B639" s="18"/>
      <c r="C639" s="16"/>
      <c r="D639" s="18"/>
      <c r="E639" s="17" t="s">
        <v>2669</v>
      </c>
      <c r="F639" s="18"/>
      <c r="G639" s="18"/>
      <c r="H639" s="15" t="s">
        <v>2670</v>
      </c>
      <c r="I639" s="15" t="s">
        <v>2671</v>
      </c>
      <c r="J639" s="19" t="s">
        <v>36</v>
      </c>
      <c r="K639" s="19" t="s">
        <v>691</v>
      </c>
      <c r="L639" s="19" t="s">
        <v>38</v>
      </c>
      <c r="M639" s="20">
        <f t="shared" si="1"/>
        <v>0</v>
      </c>
      <c r="N639" s="21"/>
      <c r="O639" s="22"/>
      <c r="P639" s="19" t="s">
        <v>1145</v>
      </c>
      <c r="Q639" s="18"/>
      <c r="R639" s="18"/>
      <c r="S639" s="23">
        <v>0.0</v>
      </c>
      <c r="T639" s="23">
        <v>0.0</v>
      </c>
      <c r="U639" s="23">
        <f t="shared" si="2"/>
        <v>0</v>
      </c>
      <c r="V639" s="23">
        <f t="shared" si="3"/>
        <v>0</v>
      </c>
      <c r="W639" s="23">
        <f t="shared" si="4"/>
        <v>0</v>
      </c>
      <c r="X639" s="24" t="str">
        <f t="shared" si="5"/>
        <v>#DIV/0!</v>
      </c>
    </row>
    <row r="640">
      <c r="A640" s="15" t="s">
        <v>2672</v>
      </c>
      <c r="B640" s="18"/>
      <c r="C640" s="16"/>
      <c r="D640" s="18"/>
      <c r="E640" s="17" t="s">
        <v>2673</v>
      </c>
      <c r="F640" s="18"/>
      <c r="G640" s="18"/>
      <c r="H640" s="15" t="s">
        <v>2674</v>
      </c>
      <c r="I640" s="15" t="s">
        <v>2675</v>
      </c>
      <c r="J640" s="19" t="s">
        <v>36</v>
      </c>
      <c r="K640" s="19" t="s">
        <v>2382</v>
      </c>
      <c r="L640" s="19" t="s">
        <v>38</v>
      </c>
      <c r="M640" s="20">
        <f t="shared" si="1"/>
        <v>0</v>
      </c>
      <c r="N640" s="21"/>
      <c r="O640" s="22"/>
      <c r="P640" s="19" t="s">
        <v>1145</v>
      </c>
      <c r="Q640" s="18"/>
      <c r="R640" s="18"/>
      <c r="S640" s="23">
        <v>0.0</v>
      </c>
      <c r="T640" s="23">
        <v>0.0</v>
      </c>
      <c r="U640" s="23">
        <f t="shared" si="2"/>
        <v>0</v>
      </c>
      <c r="V640" s="23">
        <f t="shared" si="3"/>
        <v>0</v>
      </c>
      <c r="W640" s="23">
        <f t="shared" si="4"/>
        <v>0</v>
      </c>
      <c r="X640" s="24" t="str">
        <f t="shared" si="5"/>
        <v>#DIV/0!</v>
      </c>
    </row>
    <row r="641">
      <c r="A641" s="15" t="s">
        <v>2676</v>
      </c>
      <c r="B641" s="18"/>
      <c r="C641" s="16"/>
      <c r="D641" s="18"/>
      <c r="E641" s="17" t="s">
        <v>2673</v>
      </c>
      <c r="F641" s="18"/>
      <c r="G641" s="18"/>
      <c r="H641" s="15" t="s">
        <v>2677</v>
      </c>
      <c r="I641" s="15" t="s">
        <v>2678</v>
      </c>
      <c r="J641" s="19" t="s">
        <v>36</v>
      </c>
      <c r="K641" s="19" t="s">
        <v>2382</v>
      </c>
      <c r="L641" s="19" t="s">
        <v>38</v>
      </c>
      <c r="M641" s="20">
        <f t="shared" si="1"/>
        <v>0</v>
      </c>
      <c r="N641" s="21"/>
      <c r="O641" s="22"/>
      <c r="P641" s="19" t="s">
        <v>1145</v>
      </c>
      <c r="Q641" s="18"/>
      <c r="R641" s="18"/>
      <c r="S641" s="23">
        <v>0.0</v>
      </c>
      <c r="T641" s="23">
        <v>0.0</v>
      </c>
      <c r="U641" s="23">
        <f t="shared" si="2"/>
        <v>0</v>
      </c>
      <c r="V641" s="23">
        <f t="shared" si="3"/>
        <v>0</v>
      </c>
      <c r="W641" s="23">
        <f t="shared" si="4"/>
        <v>0</v>
      </c>
      <c r="X641" s="24" t="str">
        <f t="shared" si="5"/>
        <v>#DIV/0!</v>
      </c>
    </row>
    <row r="642">
      <c r="A642" s="15" t="s">
        <v>2679</v>
      </c>
      <c r="B642" s="18"/>
      <c r="C642" s="16"/>
      <c r="D642" s="18"/>
      <c r="E642" s="17" t="s">
        <v>2673</v>
      </c>
      <c r="F642" s="18"/>
      <c r="G642" s="18"/>
      <c r="H642" s="15" t="s">
        <v>2680</v>
      </c>
      <c r="I642" s="15" t="s">
        <v>2681</v>
      </c>
      <c r="J642" s="19" t="s">
        <v>36</v>
      </c>
      <c r="K642" s="19" t="s">
        <v>2382</v>
      </c>
      <c r="L642" s="19" t="s">
        <v>38</v>
      </c>
      <c r="M642" s="20">
        <f t="shared" si="1"/>
        <v>0</v>
      </c>
      <c r="N642" s="21"/>
      <c r="O642" s="22"/>
      <c r="P642" s="19" t="s">
        <v>1145</v>
      </c>
      <c r="Q642" s="18"/>
      <c r="R642" s="18"/>
      <c r="S642" s="23">
        <v>0.0</v>
      </c>
      <c r="T642" s="23">
        <v>0.0</v>
      </c>
      <c r="U642" s="23">
        <f t="shared" si="2"/>
        <v>0</v>
      </c>
      <c r="V642" s="23">
        <f t="shared" si="3"/>
        <v>0</v>
      </c>
      <c r="W642" s="23">
        <f t="shared" si="4"/>
        <v>0</v>
      </c>
      <c r="X642" s="24" t="str">
        <f t="shared" si="5"/>
        <v>#DIV/0!</v>
      </c>
    </row>
    <row r="643">
      <c r="A643" s="15" t="s">
        <v>2682</v>
      </c>
      <c r="B643" s="18"/>
      <c r="C643" s="16"/>
      <c r="D643" s="18"/>
      <c r="E643" s="17" t="s">
        <v>2673</v>
      </c>
      <c r="F643" s="18"/>
      <c r="G643" s="18"/>
      <c r="H643" s="15" t="s">
        <v>2683</v>
      </c>
      <c r="I643" s="15" t="s">
        <v>2684</v>
      </c>
      <c r="J643" s="19" t="s">
        <v>36</v>
      </c>
      <c r="K643" s="19" t="s">
        <v>2382</v>
      </c>
      <c r="L643" s="19" t="s">
        <v>38</v>
      </c>
      <c r="M643" s="20">
        <f t="shared" si="1"/>
        <v>0</v>
      </c>
      <c r="N643" s="21"/>
      <c r="O643" s="22"/>
      <c r="P643" s="19" t="s">
        <v>1145</v>
      </c>
      <c r="Q643" s="18"/>
      <c r="R643" s="18"/>
      <c r="S643" s="23">
        <v>0.0</v>
      </c>
      <c r="T643" s="23">
        <v>0.0</v>
      </c>
      <c r="U643" s="23">
        <f t="shared" si="2"/>
        <v>0</v>
      </c>
      <c r="V643" s="23">
        <f t="shared" si="3"/>
        <v>0</v>
      </c>
      <c r="W643" s="23">
        <f t="shared" si="4"/>
        <v>0</v>
      </c>
      <c r="X643" s="24" t="str">
        <f t="shared" si="5"/>
        <v>#DIV/0!</v>
      </c>
    </row>
    <row r="644">
      <c r="A644" s="15" t="s">
        <v>2685</v>
      </c>
      <c r="B644" s="18"/>
      <c r="C644" s="16"/>
      <c r="D644" s="18"/>
      <c r="E644" s="17" t="s">
        <v>2673</v>
      </c>
      <c r="F644" s="18"/>
      <c r="G644" s="18"/>
      <c r="H644" s="15" t="s">
        <v>2686</v>
      </c>
      <c r="I644" s="15" t="s">
        <v>2687</v>
      </c>
      <c r="J644" s="19" t="s">
        <v>36</v>
      </c>
      <c r="K644" s="19" t="s">
        <v>2382</v>
      </c>
      <c r="L644" s="19" t="s">
        <v>38</v>
      </c>
      <c r="M644" s="20">
        <f t="shared" si="1"/>
        <v>0</v>
      </c>
      <c r="N644" s="21"/>
      <c r="O644" s="22"/>
      <c r="P644" s="19" t="s">
        <v>1145</v>
      </c>
      <c r="Q644" s="18"/>
      <c r="R644" s="18"/>
      <c r="S644" s="23">
        <v>0.0</v>
      </c>
      <c r="T644" s="23">
        <v>0.0</v>
      </c>
      <c r="U644" s="23">
        <f t="shared" si="2"/>
        <v>0</v>
      </c>
      <c r="V644" s="23">
        <f t="shared" si="3"/>
        <v>0</v>
      </c>
      <c r="W644" s="23">
        <f t="shared" si="4"/>
        <v>0</v>
      </c>
      <c r="X644" s="24" t="str">
        <f t="shared" si="5"/>
        <v>#DIV/0!</v>
      </c>
    </row>
    <row r="645">
      <c r="A645" s="15" t="s">
        <v>2688</v>
      </c>
      <c r="B645" s="18"/>
      <c r="C645" s="16"/>
      <c r="D645" s="18"/>
      <c r="E645" s="17" t="s">
        <v>2689</v>
      </c>
      <c r="F645" s="18"/>
      <c r="G645" s="18"/>
      <c r="H645" s="15" t="s">
        <v>2690</v>
      </c>
      <c r="I645" s="15" t="s">
        <v>2691</v>
      </c>
      <c r="J645" s="19" t="s">
        <v>36</v>
      </c>
      <c r="K645" s="19" t="s">
        <v>2382</v>
      </c>
      <c r="L645" s="19" t="s">
        <v>38</v>
      </c>
      <c r="M645" s="20">
        <f t="shared" si="1"/>
        <v>0</v>
      </c>
      <c r="N645" s="21"/>
      <c r="O645" s="22"/>
      <c r="P645" s="19" t="s">
        <v>1145</v>
      </c>
      <c r="Q645" s="18"/>
      <c r="R645" s="18"/>
      <c r="S645" s="23">
        <v>0.0</v>
      </c>
      <c r="T645" s="23">
        <v>0.0</v>
      </c>
      <c r="U645" s="23">
        <f t="shared" si="2"/>
        <v>0</v>
      </c>
      <c r="V645" s="23">
        <f t="shared" si="3"/>
        <v>0</v>
      </c>
      <c r="W645" s="23">
        <f t="shared" si="4"/>
        <v>0</v>
      </c>
      <c r="X645" s="24" t="str">
        <f t="shared" si="5"/>
        <v>#DIV/0!</v>
      </c>
    </row>
    <row r="646">
      <c r="A646" s="15" t="s">
        <v>2692</v>
      </c>
      <c r="B646" s="18"/>
      <c r="C646" s="16"/>
      <c r="D646" s="18"/>
      <c r="E646" s="17" t="s">
        <v>2693</v>
      </c>
      <c r="F646" s="18"/>
      <c r="G646" s="18"/>
      <c r="H646" s="15" t="s">
        <v>2694</v>
      </c>
      <c r="I646" s="15" t="s">
        <v>2695</v>
      </c>
      <c r="J646" s="19" t="s">
        <v>36</v>
      </c>
      <c r="K646" s="19" t="s">
        <v>2382</v>
      </c>
      <c r="L646" s="19" t="s">
        <v>38</v>
      </c>
      <c r="M646" s="20">
        <f t="shared" si="1"/>
        <v>0</v>
      </c>
      <c r="N646" s="21"/>
      <c r="O646" s="22"/>
      <c r="P646" s="19" t="s">
        <v>1145</v>
      </c>
      <c r="Q646" s="18"/>
      <c r="R646" s="18"/>
      <c r="S646" s="23">
        <v>0.0</v>
      </c>
      <c r="T646" s="23">
        <v>0.0</v>
      </c>
      <c r="U646" s="23">
        <f t="shared" si="2"/>
        <v>0</v>
      </c>
      <c r="V646" s="23">
        <f t="shared" si="3"/>
        <v>0</v>
      </c>
      <c r="W646" s="23">
        <f t="shared" si="4"/>
        <v>0</v>
      </c>
      <c r="X646" s="24" t="str">
        <f t="shared" si="5"/>
        <v>#DIV/0!</v>
      </c>
    </row>
    <row r="647">
      <c r="A647" s="15" t="s">
        <v>2696</v>
      </c>
      <c r="B647" s="18"/>
      <c r="C647" s="16"/>
      <c r="D647" s="18"/>
      <c r="E647" s="17" t="s">
        <v>2697</v>
      </c>
      <c r="F647" s="18"/>
      <c r="G647" s="18"/>
      <c r="H647" s="15" t="s">
        <v>2698</v>
      </c>
      <c r="I647" s="15" t="s">
        <v>2699</v>
      </c>
      <c r="J647" s="19" t="s">
        <v>36</v>
      </c>
      <c r="K647" s="19" t="s">
        <v>2382</v>
      </c>
      <c r="L647" s="19" t="s">
        <v>38</v>
      </c>
      <c r="M647" s="20">
        <f t="shared" si="1"/>
        <v>0</v>
      </c>
      <c r="N647" s="21"/>
      <c r="O647" s="22"/>
      <c r="P647" s="19" t="s">
        <v>1145</v>
      </c>
      <c r="Q647" s="18"/>
      <c r="R647" s="18"/>
      <c r="S647" s="23">
        <v>0.0</v>
      </c>
      <c r="T647" s="23">
        <v>0.0</v>
      </c>
      <c r="U647" s="23">
        <f t="shared" si="2"/>
        <v>0</v>
      </c>
      <c r="V647" s="23">
        <f t="shared" si="3"/>
        <v>0</v>
      </c>
      <c r="W647" s="23">
        <f t="shared" si="4"/>
        <v>0</v>
      </c>
      <c r="X647" s="24" t="str">
        <f t="shared" si="5"/>
        <v>#DIV/0!</v>
      </c>
    </row>
    <row r="648">
      <c r="A648" s="15" t="s">
        <v>2700</v>
      </c>
      <c r="B648" s="18"/>
      <c r="C648" s="16"/>
      <c r="D648" s="18"/>
      <c r="E648" s="17" t="s">
        <v>2701</v>
      </c>
      <c r="F648" s="18"/>
      <c r="G648" s="18"/>
      <c r="H648" s="15" t="s">
        <v>2702</v>
      </c>
      <c r="I648" s="15" t="s">
        <v>2703</v>
      </c>
      <c r="J648" s="19" t="s">
        <v>36</v>
      </c>
      <c r="K648" s="19" t="s">
        <v>2382</v>
      </c>
      <c r="L648" s="19" t="s">
        <v>38</v>
      </c>
      <c r="M648" s="20">
        <f t="shared" si="1"/>
        <v>0</v>
      </c>
      <c r="N648" s="21"/>
      <c r="O648" s="22"/>
      <c r="P648" s="19" t="s">
        <v>1145</v>
      </c>
      <c r="Q648" s="18"/>
      <c r="R648" s="18"/>
      <c r="S648" s="23">
        <v>0.0</v>
      </c>
      <c r="T648" s="23">
        <v>0.0</v>
      </c>
      <c r="U648" s="23">
        <f t="shared" si="2"/>
        <v>0</v>
      </c>
      <c r="V648" s="23">
        <f t="shared" si="3"/>
        <v>0</v>
      </c>
      <c r="W648" s="23">
        <f t="shared" si="4"/>
        <v>0</v>
      </c>
      <c r="X648" s="24" t="str">
        <f t="shared" si="5"/>
        <v>#DIV/0!</v>
      </c>
    </row>
    <row r="649">
      <c r="A649" s="15" t="s">
        <v>2704</v>
      </c>
      <c r="B649" s="18"/>
      <c r="C649" s="16"/>
      <c r="D649" s="18"/>
      <c r="E649" s="17" t="s">
        <v>2705</v>
      </c>
      <c r="F649" s="18"/>
      <c r="G649" s="18"/>
      <c r="H649" s="15" t="s">
        <v>2706</v>
      </c>
      <c r="I649" s="15" t="s">
        <v>2707</v>
      </c>
      <c r="J649" s="19" t="s">
        <v>36</v>
      </c>
      <c r="K649" s="19" t="s">
        <v>2382</v>
      </c>
      <c r="L649" s="19" t="s">
        <v>38</v>
      </c>
      <c r="M649" s="20">
        <f t="shared" si="1"/>
        <v>0</v>
      </c>
      <c r="N649" s="21"/>
      <c r="O649" s="22"/>
      <c r="P649" s="19" t="s">
        <v>1145</v>
      </c>
      <c r="Q649" s="18"/>
      <c r="R649" s="18"/>
      <c r="S649" s="23">
        <v>0.0</v>
      </c>
      <c r="T649" s="23">
        <v>0.0</v>
      </c>
      <c r="U649" s="23">
        <f t="shared" si="2"/>
        <v>0</v>
      </c>
      <c r="V649" s="23">
        <f t="shared" si="3"/>
        <v>0</v>
      </c>
      <c r="W649" s="23">
        <f t="shared" si="4"/>
        <v>0</v>
      </c>
      <c r="X649" s="24" t="str">
        <f t="shared" si="5"/>
        <v>#DIV/0!</v>
      </c>
    </row>
    <row r="650">
      <c r="A650" s="15" t="s">
        <v>2708</v>
      </c>
      <c r="B650" s="18"/>
      <c r="C650" s="16"/>
      <c r="D650" s="18"/>
      <c r="E650" s="17" t="s">
        <v>2709</v>
      </c>
      <c r="F650" s="18"/>
      <c r="G650" s="18"/>
      <c r="H650" s="15" t="s">
        <v>2710</v>
      </c>
      <c r="I650" s="15" t="s">
        <v>2711</v>
      </c>
      <c r="J650" s="19" t="s">
        <v>36</v>
      </c>
      <c r="K650" s="19" t="s">
        <v>2382</v>
      </c>
      <c r="L650" s="19" t="s">
        <v>38</v>
      </c>
      <c r="M650" s="20">
        <f t="shared" si="1"/>
        <v>0</v>
      </c>
      <c r="N650" s="21"/>
      <c r="O650" s="22"/>
      <c r="P650" s="19" t="s">
        <v>1145</v>
      </c>
      <c r="Q650" s="18"/>
      <c r="R650" s="18"/>
      <c r="S650" s="23">
        <v>0.0</v>
      </c>
      <c r="T650" s="23">
        <v>0.0</v>
      </c>
      <c r="U650" s="23">
        <f t="shared" si="2"/>
        <v>0</v>
      </c>
      <c r="V650" s="23">
        <f t="shared" si="3"/>
        <v>0</v>
      </c>
      <c r="W650" s="23">
        <f t="shared" si="4"/>
        <v>0</v>
      </c>
      <c r="X650" s="24" t="str">
        <f t="shared" si="5"/>
        <v>#DIV/0!</v>
      </c>
    </row>
    <row r="651">
      <c r="A651" s="15" t="s">
        <v>2712</v>
      </c>
      <c r="B651" s="18"/>
      <c r="C651" s="16"/>
      <c r="D651" s="18"/>
      <c r="E651" s="17" t="s">
        <v>2713</v>
      </c>
      <c r="F651" s="18"/>
      <c r="G651" s="18"/>
      <c r="H651" s="15" t="s">
        <v>2714</v>
      </c>
      <c r="I651" s="15" t="s">
        <v>2715</v>
      </c>
      <c r="J651" s="19" t="s">
        <v>36</v>
      </c>
      <c r="K651" s="19" t="s">
        <v>2382</v>
      </c>
      <c r="L651" s="19" t="s">
        <v>38</v>
      </c>
      <c r="M651" s="20">
        <f t="shared" si="1"/>
        <v>0</v>
      </c>
      <c r="N651" s="21"/>
      <c r="O651" s="22"/>
      <c r="P651" s="19" t="s">
        <v>1145</v>
      </c>
      <c r="Q651" s="18"/>
      <c r="R651" s="18"/>
      <c r="S651" s="23">
        <v>0.0</v>
      </c>
      <c r="T651" s="23">
        <v>0.0</v>
      </c>
      <c r="U651" s="23">
        <f t="shared" si="2"/>
        <v>0</v>
      </c>
      <c r="V651" s="23">
        <f t="shared" si="3"/>
        <v>0</v>
      </c>
      <c r="W651" s="23">
        <f t="shared" si="4"/>
        <v>0</v>
      </c>
      <c r="X651" s="24" t="str">
        <f t="shared" si="5"/>
        <v>#DIV/0!</v>
      </c>
    </row>
    <row r="652">
      <c r="A652" s="15" t="s">
        <v>2716</v>
      </c>
      <c r="B652" s="18"/>
      <c r="C652" s="16"/>
      <c r="D652" s="18"/>
      <c r="E652" s="17" t="s">
        <v>2717</v>
      </c>
      <c r="F652" s="18"/>
      <c r="G652" s="18"/>
      <c r="H652" s="15" t="s">
        <v>2718</v>
      </c>
      <c r="I652" s="15" t="s">
        <v>2719</v>
      </c>
      <c r="J652" s="19" t="s">
        <v>36</v>
      </c>
      <c r="K652" s="19" t="s">
        <v>2382</v>
      </c>
      <c r="L652" s="19" t="s">
        <v>38</v>
      </c>
      <c r="M652" s="20">
        <f t="shared" si="1"/>
        <v>0</v>
      </c>
      <c r="N652" s="21"/>
      <c r="O652" s="22"/>
      <c r="P652" s="19" t="s">
        <v>1145</v>
      </c>
      <c r="Q652" s="18"/>
      <c r="R652" s="18"/>
      <c r="S652" s="23">
        <v>0.0</v>
      </c>
      <c r="T652" s="23">
        <v>0.0</v>
      </c>
      <c r="U652" s="23">
        <f t="shared" si="2"/>
        <v>0</v>
      </c>
      <c r="V652" s="23">
        <f t="shared" si="3"/>
        <v>0</v>
      </c>
      <c r="W652" s="23">
        <f t="shared" si="4"/>
        <v>0</v>
      </c>
      <c r="X652" s="24" t="str">
        <f t="shared" si="5"/>
        <v>#DIV/0!</v>
      </c>
    </row>
    <row r="653">
      <c r="A653" s="15" t="s">
        <v>2720</v>
      </c>
      <c r="B653" s="18"/>
      <c r="C653" s="16"/>
      <c r="D653" s="18"/>
      <c r="E653" s="17" t="s">
        <v>2721</v>
      </c>
      <c r="F653" s="18"/>
      <c r="G653" s="18"/>
      <c r="H653" s="15" t="s">
        <v>2722</v>
      </c>
      <c r="I653" s="15" t="s">
        <v>2723</v>
      </c>
      <c r="J653" s="19" t="s">
        <v>36</v>
      </c>
      <c r="K653" s="19" t="s">
        <v>2382</v>
      </c>
      <c r="L653" s="19" t="s">
        <v>38</v>
      </c>
      <c r="M653" s="20">
        <f t="shared" si="1"/>
        <v>0</v>
      </c>
      <c r="N653" s="21"/>
      <c r="O653" s="22"/>
      <c r="P653" s="19" t="s">
        <v>1145</v>
      </c>
      <c r="Q653" s="18"/>
      <c r="R653" s="18"/>
      <c r="S653" s="23">
        <v>0.0</v>
      </c>
      <c r="T653" s="23">
        <v>0.0</v>
      </c>
      <c r="U653" s="23">
        <f t="shared" si="2"/>
        <v>0</v>
      </c>
      <c r="V653" s="23">
        <f t="shared" si="3"/>
        <v>0</v>
      </c>
      <c r="W653" s="23">
        <f t="shared" si="4"/>
        <v>0</v>
      </c>
      <c r="X653" s="24" t="str">
        <f t="shared" si="5"/>
        <v>#DIV/0!</v>
      </c>
    </row>
    <row r="654">
      <c r="A654" s="15" t="s">
        <v>2724</v>
      </c>
      <c r="B654" s="18"/>
      <c r="C654" s="16"/>
      <c r="D654" s="18"/>
      <c r="E654" s="17" t="s">
        <v>2725</v>
      </c>
      <c r="F654" s="18"/>
      <c r="G654" s="18"/>
      <c r="H654" s="15" t="s">
        <v>2726</v>
      </c>
      <c r="I654" s="15" t="s">
        <v>2727</v>
      </c>
      <c r="J654" s="19" t="s">
        <v>36</v>
      </c>
      <c r="K654" s="19" t="s">
        <v>691</v>
      </c>
      <c r="L654" s="19" t="s">
        <v>38</v>
      </c>
      <c r="M654" s="20">
        <f t="shared" si="1"/>
        <v>0</v>
      </c>
      <c r="N654" s="21"/>
      <c r="O654" s="22"/>
      <c r="P654" s="19" t="s">
        <v>1145</v>
      </c>
      <c r="Q654" s="18"/>
      <c r="R654" s="18"/>
      <c r="S654" s="23">
        <v>0.0</v>
      </c>
      <c r="T654" s="23">
        <v>0.0</v>
      </c>
      <c r="U654" s="23">
        <f t="shared" si="2"/>
        <v>0</v>
      </c>
      <c r="V654" s="23">
        <f t="shared" si="3"/>
        <v>0</v>
      </c>
      <c r="W654" s="23">
        <f t="shared" si="4"/>
        <v>0</v>
      </c>
      <c r="X654" s="24" t="str">
        <f t="shared" si="5"/>
        <v>#DIV/0!</v>
      </c>
    </row>
    <row r="655">
      <c r="A655" s="15" t="s">
        <v>2728</v>
      </c>
      <c r="B655" s="18"/>
      <c r="C655" s="16"/>
      <c r="D655" s="18"/>
      <c r="E655" s="17" t="s">
        <v>2729</v>
      </c>
      <c r="F655" s="18"/>
      <c r="G655" s="18"/>
      <c r="H655" s="15" t="s">
        <v>2730</v>
      </c>
      <c r="I655" s="15" t="s">
        <v>2731</v>
      </c>
      <c r="J655" s="19" t="s">
        <v>36</v>
      </c>
      <c r="K655" s="19" t="s">
        <v>2382</v>
      </c>
      <c r="L655" s="19" t="s">
        <v>38</v>
      </c>
      <c r="M655" s="20">
        <f t="shared" si="1"/>
        <v>0</v>
      </c>
      <c r="N655" s="21"/>
      <c r="O655" s="22"/>
      <c r="P655" s="19" t="s">
        <v>1145</v>
      </c>
      <c r="Q655" s="18"/>
      <c r="R655" s="18"/>
      <c r="S655" s="23">
        <v>0.0</v>
      </c>
      <c r="T655" s="23">
        <v>0.0</v>
      </c>
      <c r="U655" s="23">
        <f t="shared" si="2"/>
        <v>0</v>
      </c>
      <c r="V655" s="23">
        <f t="shared" si="3"/>
        <v>0</v>
      </c>
      <c r="W655" s="23">
        <f t="shared" si="4"/>
        <v>0</v>
      </c>
      <c r="X655" s="24" t="str">
        <f t="shared" si="5"/>
        <v>#DIV/0!</v>
      </c>
    </row>
    <row r="656">
      <c r="A656" s="15" t="s">
        <v>2732</v>
      </c>
      <c r="B656" s="18"/>
      <c r="C656" s="16"/>
      <c r="D656" s="18"/>
      <c r="E656" s="17" t="s">
        <v>2733</v>
      </c>
      <c r="F656" s="18"/>
      <c r="G656" s="18"/>
      <c r="H656" s="15" t="s">
        <v>2734</v>
      </c>
      <c r="I656" s="15" t="s">
        <v>2735</v>
      </c>
      <c r="J656" s="19" t="s">
        <v>36</v>
      </c>
      <c r="K656" s="19" t="s">
        <v>2382</v>
      </c>
      <c r="L656" s="19" t="s">
        <v>38</v>
      </c>
      <c r="M656" s="20">
        <f t="shared" si="1"/>
        <v>0</v>
      </c>
      <c r="N656" s="21"/>
      <c r="O656" s="22"/>
      <c r="P656" s="19" t="s">
        <v>1145</v>
      </c>
      <c r="Q656" s="18"/>
      <c r="R656" s="18"/>
      <c r="S656" s="23">
        <v>0.0</v>
      </c>
      <c r="T656" s="23">
        <v>0.0</v>
      </c>
      <c r="U656" s="23">
        <f t="shared" si="2"/>
        <v>0</v>
      </c>
      <c r="V656" s="23">
        <f t="shared" si="3"/>
        <v>0</v>
      </c>
      <c r="W656" s="23">
        <f t="shared" si="4"/>
        <v>0</v>
      </c>
      <c r="X656" s="24" t="str">
        <f t="shared" si="5"/>
        <v>#DIV/0!</v>
      </c>
    </row>
    <row r="657">
      <c r="A657" s="15" t="s">
        <v>2736</v>
      </c>
      <c r="B657" s="15" t="s">
        <v>2737</v>
      </c>
      <c r="C657" s="16"/>
      <c r="D657" s="18"/>
      <c r="E657" s="17" t="s">
        <v>2738</v>
      </c>
      <c r="F657" s="18"/>
      <c r="G657" s="18"/>
      <c r="H657" s="15" t="s">
        <v>2739</v>
      </c>
      <c r="I657" s="18"/>
      <c r="J657" s="19" t="s">
        <v>36</v>
      </c>
      <c r="K657" s="33"/>
      <c r="L657" s="19" t="s">
        <v>38</v>
      </c>
      <c r="M657" s="20">
        <f t="shared" si="1"/>
        <v>0</v>
      </c>
      <c r="N657" s="21"/>
      <c r="O657" s="22"/>
      <c r="P657" s="19" t="s">
        <v>1145</v>
      </c>
      <c r="Q657" s="18"/>
      <c r="R657" s="18"/>
      <c r="S657" s="23">
        <v>0.0</v>
      </c>
      <c r="T657" s="23">
        <v>0.0</v>
      </c>
      <c r="U657" s="23">
        <f t="shared" si="2"/>
        <v>0</v>
      </c>
      <c r="V657" s="23">
        <f t="shared" si="3"/>
        <v>0</v>
      </c>
      <c r="W657" s="23">
        <f t="shared" si="4"/>
        <v>0</v>
      </c>
      <c r="X657" s="24" t="str">
        <f t="shared" si="5"/>
        <v>#DIV/0!</v>
      </c>
    </row>
    <row r="658">
      <c r="A658" s="15" t="s">
        <v>2740</v>
      </c>
      <c r="B658" s="18"/>
      <c r="C658" s="16"/>
      <c r="D658" s="18"/>
      <c r="E658" s="17" t="s">
        <v>2741</v>
      </c>
      <c r="F658" s="18"/>
      <c r="G658" s="18"/>
      <c r="H658" s="15" t="s">
        <v>2742</v>
      </c>
      <c r="I658" s="15" t="s">
        <v>2743</v>
      </c>
      <c r="J658" s="19" t="s">
        <v>36</v>
      </c>
      <c r="K658" s="19" t="s">
        <v>2382</v>
      </c>
      <c r="L658" s="19" t="s">
        <v>38</v>
      </c>
      <c r="M658" s="20">
        <f t="shared" si="1"/>
        <v>0</v>
      </c>
      <c r="N658" s="21"/>
      <c r="O658" s="22"/>
      <c r="P658" s="19" t="s">
        <v>1145</v>
      </c>
      <c r="Q658" s="18"/>
      <c r="R658" s="18"/>
      <c r="S658" s="23">
        <v>0.0</v>
      </c>
      <c r="T658" s="23">
        <v>0.0</v>
      </c>
      <c r="U658" s="23">
        <f t="shared" si="2"/>
        <v>0</v>
      </c>
      <c r="V658" s="23">
        <f t="shared" si="3"/>
        <v>0</v>
      </c>
      <c r="W658" s="23">
        <f t="shared" si="4"/>
        <v>0</v>
      </c>
      <c r="X658" s="24" t="str">
        <f t="shared" si="5"/>
        <v>#DIV/0!</v>
      </c>
    </row>
    <row r="659">
      <c r="A659" s="15" t="s">
        <v>2744</v>
      </c>
      <c r="B659" s="18"/>
      <c r="C659" s="16"/>
      <c r="D659" s="18"/>
      <c r="E659" s="17" t="s">
        <v>2745</v>
      </c>
      <c r="F659" s="18"/>
      <c r="G659" s="18"/>
      <c r="H659" s="15" t="s">
        <v>2746</v>
      </c>
      <c r="I659" s="15" t="s">
        <v>2747</v>
      </c>
      <c r="J659" s="19" t="s">
        <v>36</v>
      </c>
      <c r="K659" s="19" t="s">
        <v>2387</v>
      </c>
      <c r="L659" s="19" t="s">
        <v>38</v>
      </c>
      <c r="M659" s="20">
        <f t="shared" si="1"/>
        <v>0</v>
      </c>
      <c r="N659" s="21"/>
      <c r="O659" s="22"/>
      <c r="P659" s="19" t="s">
        <v>1145</v>
      </c>
      <c r="Q659" s="18"/>
      <c r="R659" s="18"/>
      <c r="S659" s="23">
        <v>0.0</v>
      </c>
      <c r="T659" s="23">
        <v>0.0</v>
      </c>
      <c r="U659" s="23">
        <f t="shared" si="2"/>
        <v>0</v>
      </c>
      <c r="V659" s="23">
        <f t="shared" si="3"/>
        <v>0</v>
      </c>
      <c r="W659" s="23">
        <f t="shared" si="4"/>
        <v>0</v>
      </c>
      <c r="X659" s="24" t="str">
        <f t="shared" si="5"/>
        <v>#DIV/0!</v>
      </c>
    </row>
    <row r="660">
      <c r="A660" s="15" t="s">
        <v>2748</v>
      </c>
      <c r="B660" s="18"/>
      <c r="C660" s="16"/>
      <c r="D660" s="18"/>
      <c r="E660" s="17" t="s">
        <v>2749</v>
      </c>
      <c r="F660" s="18"/>
      <c r="G660" s="18"/>
      <c r="H660" s="15" t="s">
        <v>2750</v>
      </c>
      <c r="I660" s="15" t="s">
        <v>2751</v>
      </c>
      <c r="J660" s="19" t="s">
        <v>36</v>
      </c>
      <c r="K660" s="19" t="s">
        <v>2401</v>
      </c>
      <c r="L660" s="19" t="s">
        <v>38</v>
      </c>
      <c r="M660" s="20">
        <f t="shared" si="1"/>
        <v>0</v>
      </c>
      <c r="N660" s="21"/>
      <c r="O660" s="22"/>
      <c r="P660" s="19" t="s">
        <v>1145</v>
      </c>
      <c r="Q660" s="18"/>
      <c r="R660" s="18"/>
      <c r="S660" s="23">
        <v>0.0</v>
      </c>
      <c r="T660" s="23">
        <v>0.0</v>
      </c>
      <c r="U660" s="23">
        <f t="shared" si="2"/>
        <v>0</v>
      </c>
      <c r="V660" s="23">
        <f t="shared" si="3"/>
        <v>0</v>
      </c>
      <c r="W660" s="23">
        <f t="shared" si="4"/>
        <v>0</v>
      </c>
      <c r="X660" s="24" t="str">
        <f t="shared" si="5"/>
        <v>#DIV/0!</v>
      </c>
    </row>
    <row r="661">
      <c r="A661" s="15" t="s">
        <v>2752</v>
      </c>
      <c r="B661" s="18"/>
      <c r="C661" s="16"/>
      <c r="D661" s="18"/>
      <c r="E661" s="17" t="s">
        <v>2749</v>
      </c>
      <c r="F661" s="18"/>
      <c r="G661" s="18"/>
      <c r="H661" s="15" t="s">
        <v>2753</v>
      </c>
      <c r="I661" s="15" t="s">
        <v>2754</v>
      </c>
      <c r="J661" s="19" t="s">
        <v>36</v>
      </c>
      <c r="K661" s="19" t="s">
        <v>2401</v>
      </c>
      <c r="L661" s="19" t="s">
        <v>38</v>
      </c>
      <c r="M661" s="20">
        <f t="shared" si="1"/>
        <v>0</v>
      </c>
      <c r="N661" s="21"/>
      <c r="O661" s="22"/>
      <c r="P661" s="19" t="s">
        <v>1145</v>
      </c>
      <c r="Q661" s="18"/>
      <c r="R661" s="18"/>
      <c r="S661" s="23">
        <v>0.0</v>
      </c>
      <c r="T661" s="23">
        <v>0.0</v>
      </c>
      <c r="U661" s="23">
        <f t="shared" si="2"/>
        <v>0</v>
      </c>
      <c r="V661" s="23">
        <f t="shared" si="3"/>
        <v>0</v>
      </c>
      <c r="W661" s="23">
        <f t="shared" si="4"/>
        <v>0</v>
      </c>
      <c r="X661" s="24" t="str">
        <f t="shared" si="5"/>
        <v>#DIV/0!</v>
      </c>
    </row>
    <row r="662">
      <c r="A662" s="15" t="s">
        <v>2755</v>
      </c>
      <c r="B662" s="18"/>
      <c r="C662" s="16"/>
      <c r="D662" s="18"/>
      <c r="E662" s="17" t="s">
        <v>2756</v>
      </c>
      <c r="F662" s="18"/>
      <c r="G662" s="18"/>
      <c r="H662" s="15" t="s">
        <v>2757</v>
      </c>
      <c r="I662" s="15" t="s">
        <v>2758</v>
      </c>
      <c r="J662" s="19" t="s">
        <v>36</v>
      </c>
      <c r="K662" s="19" t="s">
        <v>691</v>
      </c>
      <c r="L662" s="19" t="s">
        <v>38</v>
      </c>
      <c r="M662" s="20">
        <f t="shared" si="1"/>
        <v>0</v>
      </c>
      <c r="N662" s="21"/>
      <c r="O662" s="22"/>
      <c r="P662" s="19" t="s">
        <v>1145</v>
      </c>
      <c r="Q662" s="18"/>
      <c r="R662" s="18"/>
      <c r="S662" s="23">
        <v>0.0</v>
      </c>
      <c r="T662" s="23">
        <v>0.0</v>
      </c>
      <c r="U662" s="23">
        <f t="shared" si="2"/>
        <v>0</v>
      </c>
      <c r="V662" s="23">
        <f t="shared" si="3"/>
        <v>0</v>
      </c>
      <c r="W662" s="23">
        <f t="shared" si="4"/>
        <v>0</v>
      </c>
      <c r="X662" s="24" t="str">
        <f t="shared" si="5"/>
        <v>#DIV/0!</v>
      </c>
    </row>
    <row r="663">
      <c r="A663" s="15" t="s">
        <v>2759</v>
      </c>
      <c r="B663" s="18"/>
      <c r="C663" s="16"/>
      <c r="D663" s="18"/>
      <c r="E663" s="17" t="s">
        <v>2760</v>
      </c>
      <c r="F663" s="18"/>
      <c r="G663" s="18"/>
      <c r="H663" s="15" t="s">
        <v>2761</v>
      </c>
      <c r="I663" s="15" t="s">
        <v>2762</v>
      </c>
      <c r="J663" s="19" t="s">
        <v>36</v>
      </c>
      <c r="K663" s="19" t="s">
        <v>2519</v>
      </c>
      <c r="L663" s="19" t="s">
        <v>38</v>
      </c>
      <c r="M663" s="20">
        <f t="shared" si="1"/>
        <v>0</v>
      </c>
      <c r="N663" s="21"/>
      <c r="O663" s="22"/>
      <c r="P663" s="19" t="s">
        <v>1145</v>
      </c>
      <c r="Q663" s="18"/>
      <c r="R663" s="18"/>
      <c r="S663" s="23">
        <v>0.0</v>
      </c>
      <c r="T663" s="23">
        <v>0.0</v>
      </c>
      <c r="U663" s="23">
        <f t="shared" si="2"/>
        <v>0</v>
      </c>
      <c r="V663" s="23">
        <f t="shared" si="3"/>
        <v>0</v>
      </c>
      <c r="W663" s="23">
        <f t="shared" si="4"/>
        <v>0</v>
      </c>
      <c r="X663" s="24" t="str">
        <f t="shared" si="5"/>
        <v>#DIV/0!</v>
      </c>
    </row>
    <row r="664">
      <c r="A664" s="15" t="s">
        <v>2763</v>
      </c>
      <c r="B664" s="18"/>
      <c r="C664" s="16"/>
      <c r="D664" s="18"/>
      <c r="E664" s="17" t="s">
        <v>2764</v>
      </c>
      <c r="F664" s="18"/>
      <c r="G664" s="18"/>
      <c r="H664" s="15" t="s">
        <v>2765</v>
      </c>
      <c r="I664" s="15" t="s">
        <v>2766</v>
      </c>
      <c r="J664" s="19" t="s">
        <v>36</v>
      </c>
      <c r="K664" s="19" t="s">
        <v>691</v>
      </c>
      <c r="L664" s="19" t="s">
        <v>38</v>
      </c>
      <c r="M664" s="20">
        <f t="shared" si="1"/>
        <v>0</v>
      </c>
      <c r="N664" s="21"/>
      <c r="O664" s="22"/>
      <c r="P664" s="19" t="s">
        <v>1145</v>
      </c>
      <c r="Q664" s="18"/>
      <c r="R664" s="18"/>
      <c r="S664" s="23">
        <v>0.0</v>
      </c>
      <c r="T664" s="23">
        <v>0.0</v>
      </c>
      <c r="U664" s="23">
        <f t="shared" si="2"/>
        <v>0</v>
      </c>
      <c r="V664" s="23">
        <f t="shared" si="3"/>
        <v>0</v>
      </c>
      <c r="W664" s="23">
        <f t="shared" si="4"/>
        <v>0</v>
      </c>
      <c r="X664" s="24" t="str">
        <f t="shared" si="5"/>
        <v>#DIV/0!</v>
      </c>
    </row>
    <row r="665">
      <c r="A665" s="15" t="s">
        <v>2767</v>
      </c>
      <c r="B665" s="18"/>
      <c r="C665" s="16"/>
      <c r="D665" s="18"/>
      <c r="E665" s="17" t="s">
        <v>2768</v>
      </c>
      <c r="F665" s="18"/>
      <c r="G665" s="18"/>
      <c r="H665" s="15" t="s">
        <v>2769</v>
      </c>
      <c r="I665" s="15" t="s">
        <v>2770</v>
      </c>
      <c r="J665" s="19" t="s">
        <v>36</v>
      </c>
      <c r="K665" s="19" t="s">
        <v>2401</v>
      </c>
      <c r="L665" s="19" t="s">
        <v>38</v>
      </c>
      <c r="M665" s="20">
        <f t="shared" si="1"/>
        <v>0</v>
      </c>
      <c r="N665" s="21"/>
      <c r="O665" s="22"/>
      <c r="P665" s="19" t="s">
        <v>1145</v>
      </c>
      <c r="Q665" s="18"/>
      <c r="R665" s="18"/>
      <c r="S665" s="23">
        <v>0.0</v>
      </c>
      <c r="T665" s="23">
        <v>0.0</v>
      </c>
      <c r="U665" s="23">
        <f t="shared" si="2"/>
        <v>0</v>
      </c>
      <c r="V665" s="23">
        <f t="shared" si="3"/>
        <v>0</v>
      </c>
      <c r="W665" s="23">
        <f t="shared" si="4"/>
        <v>0</v>
      </c>
      <c r="X665" s="24" t="str">
        <f t="shared" si="5"/>
        <v>#DIV/0!</v>
      </c>
    </row>
    <row r="666">
      <c r="A666" s="15" t="s">
        <v>2771</v>
      </c>
      <c r="B666" s="18"/>
      <c r="C666" s="16"/>
      <c r="D666" s="18"/>
      <c r="E666" s="17" t="s">
        <v>2772</v>
      </c>
      <c r="F666" s="18"/>
      <c r="G666" s="18"/>
      <c r="H666" s="15" t="s">
        <v>2773</v>
      </c>
      <c r="I666" s="15" t="s">
        <v>2774</v>
      </c>
      <c r="J666" s="19" t="s">
        <v>36</v>
      </c>
      <c r="K666" s="19" t="s">
        <v>2519</v>
      </c>
      <c r="L666" s="19" t="s">
        <v>38</v>
      </c>
      <c r="M666" s="20">
        <f t="shared" si="1"/>
        <v>0</v>
      </c>
      <c r="N666" s="21"/>
      <c r="O666" s="22"/>
      <c r="P666" s="19" t="s">
        <v>1145</v>
      </c>
      <c r="Q666" s="18"/>
      <c r="R666" s="18"/>
      <c r="S666" s="23">
        <v>0.0</v>
      </c>
      <c r="T666" s="23">
        <v>0.0</v>
      </c>
      <c r="U666" s="23">
        <f t="shared" si="2"/>
        <v>0</v>
      </c>
      <c r="V666" s="23">
        <f t="shared" si="3"/>
        <v>0</v>
      </c>
      <c r="W666" s="23">
        <f t="shared" si="4"/>
        <v>0</v>
      </c>
      <c r="X666" s="24" t="str">
        <f t="shared" si="5"/>
        <v>#DIV/0!</v>
      </c>
    </row>
    <row r="667">
      <c r="A667" s="15" t="s">
        <v>2775</v>
      </c>
      <c r="B667" s="18"/>
      <c r="C667" s="16"/>
      <c r="D667" s="18"/>
      <c r="E667" s="17" t="s">
        <v>2776</v>
      </c>
      <c r="F667" s="18"/>
      <c r="G667" s="18"/>
      <c r="H667" s="15" t="s">
        <v>2777</v>
      </c>
      <c r="I667" s="15" t="s">
        <v>2778</v>
      </c>
      <c r="J667" s="19" t="s">
        <v>36</v>
      </c>
      <c r="K667" s="19" t="s">
        <v>2506</v>
      </c>
      <c r="L667" s="19" t="s">
        <v>38</v>
      </c>
      <c r="M667" s="20">
        <f t="shared" si="1"/>
        <v>0</v>
      </c>
      <c r="N667" s="21"/>
      <c r="O667" s="22"/>
      <c r="P667" s="19" t="s">
        <v>1145</v>
      </c>
      <c r="Q667" s="18"/>
      <c r="R667" s="18"/>
      <c r="S667" s="23">
        <v>0.0</v>
      </c>
      <c r="T667" s="23">
        <v>0.0</v>
      </c>
      <c r="U667" s="23">
        <f t="shared" si="2"/>
        <v>0</v>
      </c>
      <c r="V667" s="23">
        <f t="shared" si="3"/>
        <v>0</v>
      </c>
      <c r="W667" s="23">
        <f t="shared" si="4"/>
        <v>0</v>
      </c>
      <c r="X667" s="24" t="str">
        <f t="shared" si="5"/>
        <v>#DIV/0!</v>
      </c>
    </row>
    <row r="668">
      <c r="A668" s="15" t="s">
        <v>2779</v>
      </c>
      <c r="B668" s="18"/>
      <c r="C668" s="16"/>
      <c r="D668" s="18"/>
      <c r="E668" s="17" t="s">
        <v>2780</v>
      </c>
      <c r="F668" s="18"/>
      <c r="G668" s="18"/>
      <c r="H668" s="15" t="s">
        <v>2781</v>
      </c>
      <c r="I668" s="15" t="s">
        <v>2782</v>
      </c>
      <c r="J668" s="19" t="s">
        <v>36</v>
      </c>
      <c r="K668" s="19" t="s">
        <v>691</v>
      </c>
      <c r="L668" s="19" t="s">
        <v>38</v>
      </c>
      <c r="M668" s="20">
        <f t="shared" si="1"/>
        <v>0</v>
      </c>
      <c r="N668" s="21"/>
      <c r="O668" s="22"/>
      <c r="P668" s="19" t="s">
        <v>1145</v>
      </c>
      <c r="Q668" s="18"/>
      <c r="R668" s="18"/>
      <c r="S668" s="23">
        <v>0.0</v>
      </c>
      <c r="T668" s="23">
        <v>0.0</v>
      </c>
      <c r="U668" s="23">
        <f t="shared" si="2"/>
        <v>0</v>
      </c>
      <c r="V668" s="23">
        <f t="shared" si="3"/>
        <v>0</v>
      </c>
      <c r="W668" s="23">
        <f t="shared" si="4"/>
        <v>0</v>
      </c>
      <c r="X668" s="24" t="str">
        <f t="shared" si="5"/>
        <v>#DIV/0!</v>
      </c>
    </row>
    <row r="669">
      <c r="A669" s="15" t="s">
        <v>2783</v>
      </c>
      <c r="B669" s="18"/>
      <c r="C669" s="16"/>
      <c r="D669" s="18"/>
      <c r="E669" s="17" t="s">
        <v>2784</v>
      </c>
      <c r="F669" s="18"/>
      <c r="G669" s="18"/>
      <c r="H669" s="15" t="s">
        <v>2785</v>
      </c>
      <c r="I669" s="15" t="s">
        <v>2786</v>
      </c>
      <c r="J669" s="19" t="s">
        <v>36</v>
      </c>
      <c r="K669" s="19" t="s">
        <v>2396</v>
      </c>
      <c r="L669" s="19" t="s">
        <v>38</v>
      </c>
      <c r="M669" s="20">
        <f t="shared" si="1"/>
        <v>0</v>
      </c>
      <c r="N669" s="21"/>
      <c r="O669" s="22"/>
      <c r="P669" s="19" t="s">
        <v>1145</v>
      </c>
      <c r="Q669" s="18"/>
      <c r="R669" s="18"/>
      <c r="S669" s="23">
        <v>0.0</v>
      </c>
      <c r="T669" s="23">
        <v>0.0</v>
      </c>
      <c r="U669" s="23">
        <f t="shared" si="2"/>
        <v>0</v>
      </c>
      <c r="V669" s="23">
        <f t="shared" si="3"/>
        <v>0</v>
      </c>
      <c r="W669" s="23">
        <f t="shared" si="4"/>
        <v>0</v>
      </c>
      <c r="X669" s="24" t="str">
        <f t="shared" si="5"/>
        <v>#DIV/0!</v>
      </c>
    </row>
    <row r="670">
      <c r="A670" s="15" t="s">
        <v>2787</v>
      </c>
      <c r="B670" s="18"/>
      <c r="C670" s="16"/>
      <c r="D670" s="18"/>
      <c r="E670" s="17" t="s">
        <v>2788</v>
      </c>
      <c r="F670" s="18"/>
      <c r="G670" s="18"/>
      <c r="H670" s="15" t="s">
        <v>2789</v>
      </c>
      <c r="I670" s="15" t="s">
        <v>2790</v>
      </c>
      <c r="J670" s="19" t="s">
        <v>36</v>
      </c>
      <c r="K670" s="19" t="s">
        <v>2387</v>
      </c>
      <c r="L670" s="19" t="s">
        <v>38</v>
      </c>
      <c r="M670" s="20">
        <f t="shared" si="1"/>
        <v>0</v>
      </c>
      <c r="N670" s="21"/>
      <c r="O670" s="22"/>
      <c r="P670" s="19" t="s">
        <v>1145</v>
      </c>
      <c r="Q670" s="18"/>
      <c r="R670" s="18"/>
      <c r="S670" s="23">
        <v>0.0</v>
      </c>
      <c r="T670" s="23">
        <v>0.0</v>
      </c>
      <c r="U670" s="23">
        <f t="shared" si="2"/>
        <v>0</v>
      </c>
      <c r="V670" s="23">
        <f t="shared" si="3"/>
        <v>0</v>
      </c>
      <c r="W670" s="23">
        <f t="shared" si="4"/>
        <v>0</v>
      </c>
      <c r="X670" s="24" t="str">
        <f t="shared" si="5"/>
        <v>#DIV/0!</v>
      </c>
    </row>
    <row r="671">
      <c r="A671" s="15" t="s">
        <v>2791</v>
      </c>
      <c r="B671" s="18"/>
      <c r="C671" s="16"/>
      <c r="D671" s="18"/>
      <c r="E671" s="17" t="s">
        <v>2792</v>
      </c>
      <c r="F671" s="18"/>
      <c r="G671" s="18"/>
      <c r="H671" s="15" t="s">
        <v>2793</v>
      </c>
      <c r="I671" s="15" t="s">
        <v>2794</v>
      </c>
      <c r="J671" s="19" t="s">
        <v>36</v>
      </c>
      <c r="K671" s="19" t="s">
        <v>691</v>
      </c>
      <c r="L671" s="19" t="s">
        <v>38</v>
      </c>
      <c r="M671" s="20">
        <f t="shared" si="1"/>
        <v>0</v>
      </c>
      <c r="N671" s="21"/>
      <c r="O671" s="22"/>
      <c r="P671" s="19" t="s">
        <v>1145</v>
      </c>
      <c r="Q671" s="18"/>
      <c r="R671" s="18"/>
      <c r="S671" s="23">
        <v>0.0</v>
      </c>
      <c r="T671" s="23">
        <v>0.0</v>
      </c>
      <c r="U671" s="23">
        <f t="shared" si="2"/>
        <v>0</v>
      </c>
      <c r="V671" s="23">
        <f t="shared" si="3"/>
        <v>0</v>
      </c>
      <c r="W671" s="23">
        <f t="shared" si="4"/>
        <v>0</v>
      </c>
      <c r="X671" s="24" t="str">
        <f t="shared" si="5"/>
        <v>#DIV/0!</v>
      </c>
    </row>
    <row r="672">
      <c r="A672" s="15" t="s">
        <v>2795</v>
      </c>
      <c r="B672" s="18"/>
      <c r="C672" s="16"/>
      <c r="D672" s="18"/>
      <c r="E672" s="17" t="s">
        <v>2796</v>
      </c>
      <c r="F672" s="18"/>
      <c r="G672" s="18"/>
      <c r="H672" s="15" t="s">
        <v>2797</v>
      </c>
      <c r="I672" s="15" t="s">
        <v>2798</v>
      </c>
      <c r="J672" s="19" t="s">
        <v>36</v>
      </c>
      <c r="K672" s="19" t="s">
        <v>691</v>
      </c>
      <c r="L672" s="19" t="s">
        <v>38</v>
      </c>
      <c r="M672" s="20">
        <f t="shared" si="1"/>
        <v>0</v>
      </c>
      <c r="N672" s="21"/>
      <c r="O672" s="22"/>
      <c r="P672" s="19" t="s">
        <v>1145</v>
      </c>
      <c r="Q672" s="18"/>
      <c r="R672" s="18"/>
      <c r="S672" s="23">
        <v>0.0</v>
      </c>
      <c r="T672" s="23">
        <v>0.0</v>
      </c>
      <c r="U672" s="23">
        <f t="shared" si="2"/>
        <v>0</v>
      </c>
      <c r="V672" s="23">
        <f t="shared" si="3"/>
        <v>0</v>
      </c>
      <c r="W672" s="23">
        <f t="shared" si="4"/>
        <v>0</v>
      </c>
      <c r="X672" s="24" t="str">
        <f t="shared" si="5"/>
        <v>#DIV/0!</v>
      </c>
    </row>
    <row r="673">
      <c r="A673" s="15" t="s">
        <v>2799</v>
      </c>
      <c r="B673" s="18"/>
      <c r="C673" s="16"/>
      <c r="D673" s="18"/>
      <c r="E673" s="17" t="s">
        <v>2800</v>
      </c>
      <c r="F673" s="18"/>
      <c r="G673" s="18"/>
      <c r="H673" s="15" t="s">
        <v>2801</v>
      </c>
      <c r="I673" s="15" t="s">
        <v>2802</v>
      </c>
      <c r="J673" s="19" t="s">
        <v>36</v>
      </c>
      <c r="K673" s="19" t="s">
        <v>691</v>
      </c>
      <c r="L673" s="19" t="s">
        <v>38</v>
      </c>
      <c r="M673" s="20">
        <f t="shared" si="1"/>
        <v>0</v>
      </c>
      <c r="N673" s="21"/>
      <c r="O673" s="22"/>
      <c r="P673" s="19" t="s">
        <v>1145</v>
      </c>
      <c r="Q673" s="18"/>
      <c r="R673" s="18"/>
      <c r="S673" s="23">
        <v>0.0</v>
      </c>
      <c r="T673" s="23">
        <v>0.0</v>
      </c>
      <c r="U673" s="23">
        <f t="shared" si="2"/>
        <v>0</v>
      </c>
      <c r="V673" s="23">
        <f t="shared" si="3"/>
        <v>0</v>
      </c>
      <c r="W673" s="23">
        <f t="shared" si="4"/>
        <v>0</v>
      </c>
      <c r="X673" s="24" t="str">
        <f t="shared" si="5"/>
        <v>#DIV/0!</v>
      </c>
    </row>
    <row r="674">
      <c r="A674" s="15" t="s">
        <v>2803</v>
      </c>
      <c r="B674" s="18"/>
      <c r="C674" s="16"/>
      <c r="D674" s="18"/>
      <c r="E674" s="17" t="s">
        <v>2804</v>
      </c>
      <c r="F674" s="18"/>
      <c r="G674" s="18"/>
      <c r="H674" s="15" t="s">
        <v>2805</v>
      </c>
      <c r="I674" s="15" t="s">
        <v>2806</v>
      </c>
      <c r="J674" s="19" t="s">
        <v>36</v>
      </c>
      <c r="K674" s="19" t="s">
        <v>2396</v>
      </c>
      <c r="L674" s="19" t="s">
        <v>38</v>
      </c>
      <c r="M674" s="20">
        <f t="shared" si="1"/>
        <v>0</v>
      </c>
      <c r="N674" s="21"/>
      <c r="O674" s="22"/>
      <c r="P674" s="19" t="s">
        <v>1145</v>
      </c>
      <c r="Q674" s="18"/>
      <c r="R674" s="18"/>
      <c r="S674" s="23">
        <v>0.0</v>
      </c>
      <c r="T674" s="23">
        <v>0.0</v>
      </c>
      <c r="U674" s="23">
        <f t="shared" si="2"/>
        <v>0</v>
      </c>
      <c r="V674" s="23">
        <f t="shared" si="3"/>
        <v>0</v>
      </c>
      <c r="W674" s="23">
        <f t="shared" si="4"/>
        <v>0</v>
      </c>
      <c r="X674" s="24" t="str">
        <f t="shared" si="5"/>
        <v>#DIV/0!</v>
      </c>
    </row>
    <row r="675">
      <c r="A675" s="15" t="s">
        <v>2807</v>
      </c>
      <c r="B675" s="18"/>
      <c r="C675" s="16"/>
      <c r="D675" s="18"/>
      <c r="E675" s="17" t="s">
        <v>2804</v>
      </c>
      <c r="F675" s="18"/>
      <c r="G675" s="18"/>
      <c r="H675" s="15" t="s">
        <v>2808</v>
      </c>
      <c r="I675" s="15" t="s">
        <v>2809</v>
      </c>
      <c r="J675" s="19" t="s">
        <v>36</v>
      </c>
      <c r="K675" s="19" t="s">
        <v>2396</v>
      </c>
      <c r="L675" s="19" t="s">
        <v>38</v>
      </c>
      <c r="M675" s="20">
        <f t="shared" si="1"/>
        <v>0</v>
      </c>
      <c r="N675" s="21"/>
      <c r="O675" s="22"/>
      <c r="P675" s="19" t="s">
        <v>1145</v>
      </c>
      <c r="Q675" s="18"/>
      <c r="R675" s="18"/>
      <c r="S675" s="23">
        <v>0.0</v>
      </c>
      <c r="T675" s="23">
        <v>0.0</v>
      </c>
      <c r="U675" s="23">
        <f t="shared" si="2"/>
        <v>0</v>
      </c>
      <c r="V675" s="23">
        <f t="shared" si="3"/>
        <v>0</v>
      </c>
      <c r="W675" s="23">
        <f t="shared" si="4"/>
        <v>0</v>
      </c>
      <c r="X675" s="24" t="str">
        <f t="shared" si="5"/>
        <v>#DIV/0!</v>
      </c>
    </row>
    <row r="676">
      <c r="A676" s="15" t="s">
        <v>2810</v>
      </c>
      <c r="B676" s="18" t="str">
        <f>CONCATENATE(7504589,A676)</f>
        <v>75045892014</v>
      </c>
      <c r="C676" s="16"/>
      <c r="D676" s="15" t="s">
        <v>2811</v>
      </c>
      <c r="E676" s="17" t="s">
        <v>2812</v>
      </c>
      <c r="F676" s="18"/>
      <c r="G676" s="18"/>
      <c r="H676" s="15" t="s">
        <v>2813</v>
      </c>
      <c r="I676" s="15" t="s">
        <v>2814</v>
      </c>
      <c r="J676" s="19" t="s">
        <v>59</v>
      </c>
      <c r="K676" s="19" t="s">
        <v>2382</v>
      </c>
      <c r="L676" s="19" t="s">
        <v>38</v>
      </c>
      <c r="M676" s="20">
        <f t="shared" si="1"/>
        <v>0</v>
      </c>
      <c r="N676" s="21"/>
      <c r="O676" s="22"/>
      <c r="P676" s="19" t="s">
        <v>1145</v>
      </c>
      <c r="Q676" s="18"/>
      <c r="R676" s="18"/>
      <c r="S676" s="23">
        <v>0.0</v>
      </c>
      <c r="T676" s="23">
        <v>0.0</v>
      </c>
      <c r="U676" s="23">
        <f t="shared" si="2"/>
        <v>0</v>
      </c>
      <c r="V676" s="23">
        <f t="shared" si="3"/>
        <v>0</v>
      </c>
      <c r="W676" s="23">
        <f t="shared" si="4"/>
        <v>0</v>
      </c>
      <c r="X676" s="24" t="str">
        <f t="shared" si="5"/>
        <v>#DIV/0!</v>
      </c>
    </row>
    <row r="677">
      <c r="A677" s="15" t="s">
        <v>2815</v>
      </c>
      <c r="B677" s="18"/>
      <c r="C677" s="16"/>
      <c r="D677" s="18"/>
      <c r="E677" s="17" t="s">
        <v>2816</v>
      </c>
      <c r="F677" s="18"/>
      <c r="G677" s="18"/>
      <c r="H677" s="15" t="s">
        <v>2817</v>
      </c>
      <c r="I677" s="15" t="s">
        <v>2818</v>
      </c>
      <c r="J677" s="19" t="s">
        <v>59</v>
      </c>
      <c r="K677" s="19" t="s">
        <v>2396</v>
      </c>
      <c r="L677" s="19" t="s">
        <v>38</v>
      </c>
      <c r="M677" s="20">
        <f t="shared" si="1"/>
        <v>0</v>
      </c>
      <c r="N677" s="21"/>
      <c r="O677" s="22"/>
      <c r="P677" s="19" t="s">
        <v>1145</v>
      </c>
      <c r="Q677" s="18"/>
      <c r="R677" s="18"/>
      <c r="S677" s="23">
        <v>0.0</v>
      </c>
      <c r="T677" s="23">
        <v>0.0</v>
      </c>
      <c r="U677" s="23">
        <f t="shared" si="2"/>
        <v>0</v>
      </c>
      <c r="V677" s="23">
        <f t="shared" si="3"/>
        <v>0</v>
      </c>
      <c r="W677" s="23">
        <f t="shared" si="4"/>
        <v>0</v>
      </c>
      <c r="X677" s="24" t="str">
        <f t="shared" si="5"/>
        <v>#DIV/0!</v>
      </c>
    </row>
    <row r="678">
      <c r="A678" s="15" t="s">
        <v>2819</v>
      </c>
      <c r="B678" s="18"/>
      <c r="C678" s="16"/>
      <c r="D678" s="18"/>
      <c r="E678" s="17" t="s">
        <v>2820</v>
      </c>
      <c r="F678" s="18"/>
      <c r="G678" s="18"/>
      <c r="H678" s="15" t="s">
        <v>2821</v>
      </c>
      <c r="I678" s="15" t="s">
        <v>2822</v>
      </c>
      <c r="J678" s="19" t="s">
        <v>59</v>
      </c>
      <c r="K678" s="19" t="s">
        <v>2396</v>
      </c>
      <c r="L678" s="19" t="s">
        <v>38</v>
      </c>
      <c r="M678" s="20">
        <f t="shared" si="1"/>
        <v>0</v>
      </c>
      <c r="N678" s="21"/>
      <c r="O678" s="22"/>
      <c r="P678" s="19" t="s">
        <v>1145</v>
      </c>
      <c r="Q678" s="18"/>
      <c r="R678" s="18"/>
      <c r="S678" s="23">
        <v>0.0</v>
      </c>
      <c r="T678" s="23">
        <v>0.0</v>
      </c>
      <c r="U678" s="23">
        <f t="shared" si="2"/>
        <v>0</v>
      </c>
      <c r="V678" s="23">
        <f t="shared" si="3"/>
        <v>0</v>
      </c>
      <c r="W678" s="23">
        <f t="shared" si="4"/>
        <v>0</v>
      </c>
      <c r="X678" s="24" t="str">
        <f t="shared" si="5"/>
        <v>#DIV/0!</v>
      </c>
      <c r="Z678" s="38">
        <v>499.0</v>
      </c>
      <c r="AA678" s="39">
        <f>M678/(1+$AA$1)</f>
        <v>0</v>
      </c>
      <c r="AB678" s="40" t="str">
        <f>AA678/W678</f>
        <v>#DIV/0!</v>
      </c>
      <c r="AD678" s="34">
        <v>7163.0</v>
      </c>
    </row>
    <row r="679">
      <c r="A679" s="15" t="s">
        <v>2823</v>
      </c>
      <c r="B679" s="18"/>
      <c r="C679" s="16"/>
      <c r="D679" s="18"/>
      <c r="E679" s="17" t="s">
        <v>2820</v>
      </c>
      <c r="F679" s="18"/>
      <c r="G679" s="18"/>
      <c r="H679" s="15" t="s">
        <v>2824</v>
      </c>
      <c r="I679" s="15" t="s">
        <v>2825</v>
      </c>
      <c r="J679" s="19" t="s">
        <v>59</v>
      </c>
      <c r="K679" s="19" t="s">
        <v>2396</v>
      </c>
      <c r="L679" s="19" t="s">
        <v>38</v>
      </c>
      <c r="M679" s="20">
        <f t="shared" si="1"/>
        <v>0</v>
      </c>
      <c r="N679" s="21"/>
      <c r="O679" s="22"/>
      <c r="P679" s="19" t="s">
        <v>1145</v>
      </c>
      <c r="Q679" s="18"/>
      <c r="R679" s="18"/>
      <c r="S679" s="23">
        <v>0.0</v>
      </c>
      <c r="T679" s="23">
        <v>0.0</v>
      </c>
      <c r="U679" s="23">
        <f t="shared" si="2"/>
        <v>0</v>
      </c>
      <c r="V679" s="23">
        <f t="shared" si="3"/>
        <v>0</v>
      </c>
      <c r="W679" s="23">
        <f t="shared" si="4"/>
        <v>0</v>
      </c>
      <c r="X679" s="24" t="str">
        <f t="shared" si="5"/>
        <v>#DIV/0!</v>
      </c>
    </row>
    <row r="680">
      <c r="A680" s="15" t="s">
        <v>2826</v>
      </c>
      <c r="B680" s="18"/>
      <c r="C680" s="16"/>
      <c r="D680" s="18"/>
      <c r="E680" s="17" t="s">
        <v>2827</v>
      </c>
      <c r="F680" s="18"/>
      <c r="G680" s="18"/>
      <c r="H680" s="18"/>
      <c r="I680" s="18"/>
      <c r="J680" s="19" t="s">
        <v>59</v>
      </c>
      <c r="K680" s="33"/>
      <c r="L680" s="19" t="s">
        <v>38</v>
      </c>
      <c r="M680" s="20">
        <f t="shared" si="1"/>
        <v>0</v>
      </c>
      <c r="N680" s="21"/>
      <c r="O680" s="22"/>
      <c r="P680" s="19" t="s">
        <v>1145</v>
      </c>
      <c r="Q680" s="18"/>
      <c r="R680" s="18"/>
      <c r="S680" s="23">
        <v>0.0</v>
      </c>
      <c r="T680" s="23">
        <v>0.0</v>
      </c>
      <c r="U680" s="23">
        <f t="shared" si="2"/>
        <v>0</v>
      </c>
      <c r="V680" s="23">
        <f t="shared" si="3"/>
        <v>0</v>
      </c>
      <c r="W680" s="23">
        <f t="shared" si="4"/>
        <v>0</v>
      </c>
      <c r="X680" s="24" t="str">
        <f t="shared" si="5"/>
        <v>#DIV/0!</v>
      </c>
    </row>
    <row r="681">
      <c r="A681" s="15" t="s">
        <v>2828</v>
      </c>
      <c r="B681" s="18"/>
      <c r="C681" s="16"/>
      <c r="D681" s="18"/>
      <c r="E681" s="17" t="s">
        <v>2827</v>
      </c>
      <c r="F681" s="18"/>
      <c r="G681" s="18"/>
      <c r="H681" s="18"/>
      <c r="I681" s="18"/>
      <c r="J681" s="19" t="s">
        <v>59</v>
      </c>
      <c r="K681" s="33"/>
      <c r="L681" s="19" t="s">
        <v>38</v>
      </c>
      <c r="M681" s="20">
        <f t="shared" si="1"/>
        <v>0</v>
      </c>
      <c r="N681" s="21"/>
      <c r="O681" s="22"/>
      <c r="P681" s="19" t="s">
        <v>1145</v>
      </c>
      <c r="Q681" s="18"/>
      <c r="R681" s="18"/>
      <c r="S681" s="23">
        <v>0.0</v>
      </c>
      <c r="T681" s="23">
        <v>0.0</v>
      </c>
      <c r="U681" s="23">
        <f t="shared" si="2"/>
        <v>0</v>
      </c>
      <c r="V681" s="23">
        <f t="shared" si="3"/>
        <v>0</v>
      </c>
      <c r="W681" s="23">
        <f t="shared" si="4"/>
        <v>0</v>
      </c>
      <c r="X681" s="24" t="str">
        <f t="shared" si="5"/>
        <v>#DIV/0!</v>
      </c>
    </row>
    <row r="682">
      <c r="A682" s="15" t="s">
        <v>2829</v>
      </c>
      <c r="B682" s="18"/>
      <c r="C682" s="16"/>
      <c r="D682" s="18"/>
      <c r="E682" s="17" t="s">
        <v>2830</v>
      </c>
      <c r="F682" s="18"/>
      <c r="G682" s="18"/>
      <c r="H682" s="15" t="s">
        <v>2831</v>
      </c>
      <c r="I682" s="15" t="s">
        <v>394</v>
      </c>
      <c r="J682" s="19" t="s">
        <v>59</v>
      </c>
      <c r="K682" s="19" t="s">
        <v>2382</v>
      </c>
      <c r="L682" s="19" t="s">
        <v>38</v>
      </c>
      <c r="M682" s="20">
        <f t="shared" si="1"/>
        <v>0</v>
      </c>
      <c r="N682" s="21"/>
      <c r="O682" s="22"/>
      <c r="P682" s="19" t="s">
        <v>1145</v>
      </c>
      <c r="Q682" s="18"/>
      <c r="R682" s="18"/>
      <c r="S682" s="23">
        <v>0.0</v>
      </c>
      <c r="T682" s="23">
        <v>0.0</v>
      </c>
      <c r="U682" s="23">
        <f t="shared" si="2"/>
        <v>0</v>
      </c>
      <c r="V682" s="23">
        <f t="shared" si="3"/>
        <v>0</v>
      </c>
      <c r="W682" s="23">
        <f t="shared" si="4"/>
        <v>0</v>
      </c>
      <c r="X682" s="24" t="str">
        <f t="shared" si="5"/>
        <v>#DIV/0!</v>
      </c>
    </row>
    <row r="683">
      <c r="A683" s="15" t="s">
        <v>2832</v>
      </c>
      <c r="B683" s="18"/>
      <c r="C683" s="16"/>
      <c r="D683" s="18"/>
      <c r="E683" s="17" t="s">
        <v>2833</v>
      </c>
      <c r="F683" s="18"/>
      <c r="G683" s="18"/>
      <c r="H683" s="15" t="s">
        <v>2834</v>
      </c>
      <c r="I683" s="15" t="s">
        <v>2835</v>
      </c>
      <c r="J683" s="19" t="s">
        <v>59</v>
      </c>
      <c r="K683" s="19" t="s">
        <v>691</v>
      </c>
      <c r="L683" s="19" t="s">
        <v>38</v>
      </c>
      <c r="M683" s="20">
        <f t="shared" si="1"/>
        <v>0</v>
      </c>
      <c r="N683" s="21"/>
      <c r="O683" s="22"/>
      <c r="P683" s="19" t="s">
        <v>1145</v>
      </c>
      <c r="Q683" s="18"/>
      <c r="R683" s="18"/>
      <c r="S683" s="23">
        <v>0.0</v>
      </c>
      <c r="T683" s="23">
        <v>0.0</v>
      </c>
      <c r="U683" s="23">
        <f t="shared" si="2"/>
        <v>0</v>
      </c>
      <c r="V683" s="23">
        <f t="shared" si="3"/>
        <v>0</v>
      </c>
      <c r="W683" s="23">
        <f t="shared" si="4"/>
        <v>0</v>
      </c>
      <c r="X683" s="24" t="str">
        <f t="shared" si="5"/>
        <v>#DIV/0!</v>
      </c>
    </row>
    <row r="684">
      <c r="A684" s="15" t="s">
        <v>2836</v>
      </c>
      <c r="B684" s="18"/>
      <c r="C684" s="16"/>
      <c r="D684" s="18"/>
      <c r="E684" s="17" t="s">
        <v>2833</v>
      </c>
      <c r="F684" s="18"/>
      <c r="G684" s="18"/>
      <c r="H684" s="15" t="s">
        <v>2837</v>
      </c>
      <c r="I684" s="15" t="s">
        <v>2838</v>
      </c>
      <c r="J684" s="19" t="s">
        <v>59</v>
      </c>
      <c r="K684" s="19" t="s">
        <v>691</v>
      </c>
      <c r="L684" s="19" t="s">
        <v>38</v>
      </c>
      <c r="M684" s="20">
        <f t="shared" si="1"/>
        <v>0</v>
      </c>
      <c r="N684" s="21"/>
      <c r="O684" s="22"/>
      <c r="P684" s="19" t="s">
        <v>1145</v>
      </c>
      <c r="Q684" s="18"/>
      <c r="R684" s="18"/>
      <c r="S684" s="23">
        <v>0.0</v>
      </c>
      <c r="T684" s="23">
        <v>0.0</v>
      </c>
      <c r="U684" s="23">
        <f t="shared" si="2"/>
        <v>0</v>
      </c>
      <c r="V684" s="23">
        <f t="shared" si="3"/>
        <v>0</v>
      </c>
      <c r="W684" s="23">
        <f t="shared" si="4"/>
        <v>0</v>
      </c>
      <c r="X684" s="24" t="str">
        <f t="shared" si="5"/>
        <v>#DIV/0!</v>
      </c>
    </row>
    <row r="685">
      <c r="A685" s="15" t="s">
        <v>2839</v>
      </c>
      <c r="B685" s="18"/>
      <c r="C685" s="16"/>
      <c r="D685" s="18"/>
      <c r="E685" s="17" t="s">
        <v>2840</v>
      </c>
      <c r="F685" s="18"/>
      <c r="G685" s="18"/>
      <c r="H685" s="15" t="s">
        <v>2841</v>
      </c>
      <c r="I685" s="15" t="s">
        <v>2825</v>
      </c>
      <c r="J685" s="19" t="s">
        <v>59</v>
      </c>
      <c r="K685" s="19" t="s">
        <v>2519</v>
      </c>
      <c r="L685" s="19" t="s">
        <v>38</v>
      </c>
      <c r="M685" s="20">
        <f t="shared" si="1"/>
        <v>0</v>
      </c>
      <c r="N685" s="21"/>
      <c r="O685" s="22"/>
      <c r="P685" s="19" t="s">
        <v>1145</v>
      </c>
      <c r="Q685" s="18"/>
      <c r="R685" s="18"/>
      <c r="S685" s="23">
        <v>0.0</v>
      </c>
      <c r="T685" s="23">
        <v>0.0</v>
      </c>
      <c r="U685" s="23">
        <f t="shared" si="2"/>
        <v>0</v>
      </c>
      <c r="V685" s="23">
        <f t="shared" si="3"/>
        <v>0</v>
      </c>
      <c r="W685" s="23">
        <f t="shared" si="4"/>
        <v>0</v>
      </c>
      <c r="X685" s="24" t="str">
        <f t="shared" si="5"/>
        <v>#DIV/0!</v>
      </c>
    </row>
    <row r="686">
      <c r="A686" s="15" t="s">
        <v>2842</v>
      </c>
      <c r="B686" s="18"/>
      <c r="C686" s="16"/>
      <c r="D686" s="18"/>
      <c r="E686" s="17" t="s">
        <v>2840</v>
      </c>
      <c r="F686" s="18"/>
      <c r="G686" s="18"/>
      <c r="H686" s="15" t="s">
        <v>2843</v>
      </c>
      <c r="I686" s="15" t="s">
        <v>2844</v>
      </c>
      <c r="J686" s="19" t="s">
        <v>59</v>
      </c>
      <c r="K686" s="19" t="s">
        <v>2519</v>
      </c>
      <c r="L686" s="19" t="s">
        <v>38</v>
      </c>
      <c r="M686" s="20">
        <f t="shared" si="1"/>
        <v>0</v>
      </c>
      <c r="N686" s="21"/>
      <c r="O686" s="22"/>
      <c r="P686" s="19" t="s">
        <v>1145</v>
      </c>
      <c r="Q686" s="18"/>
      <c r="R686" s="18"/>
      <c r="S686" s="23">
        <v>0.0</v>
      </c>
      <c r="T686" s="23">
        <v>0.0</v>
      </c>
      <c r="U686" s="23">
        <f t="shared" si="2"/>
        <v>0</v>
      </c>
      <c r="V686" s="23">
        <f t="shared" si="3"/>
        <v>0</v>
      </c>
      <c r="W686" s="23">
        <f t="shared" si="4"/>
        <v>0</v>
      </c>
      <c r="X686" s="24" t="str">
        <f t="shared" si="5"/>
        <v>#DIV/0!</v>
      </c>
    </row>
    <row r="687">
      <c r="A687" s="15" t="s">
        <v>2845</v>
      </c>
      <c r="B687" s="18"/>
      <c r="C687" s="16"/>
      <c r="D687" s="18"/>
      <c r="E687" s="17" t="s">
        <v>2846</v>
      </c>
      <c r="F687" s="18"/>
      <c r="G687" s="18"/>
      <c r="H687" s="15" t="s">
        <v>2847</v>
      </c>
      <c r="I687" s="15" t="s">
        <v>2848</v>
      </c>
      <c r="J687" s="19" t="s">
        <v>59</v>
      </c>
      <c r="K687" s="19" t="s">
        <v>2401</v>
      </c>
      <c r="L687" s="19" t="s">
        <v>38</v>
      </c>
      <c r="M687" s="20">
        <f t="shared" si="1"/>
        <v>0</v>
      </c>
      <c r="N687" s="21"/>
      <c r="O687" s="22"/>
      <c r="P687" s="19" t="s">
        <v>1145</v>
      </c>
      <c r="Q687" s="18"/>
      <c r="R687" s="18"/>
      <c r="S687" s="23">
        <v>0.0</v>
      </c>
      <c r="T687" s="23">
        <v>0.0</v>
      </c>
      <c r="U687" s="23">
        <f t="shared" si="2"/>
        <v>0</v>
      </c>
      <c r="V687" s="23">
        <f t="shared" si="3"/>
        <v>0</v>
      </c>
      <c r="W687" s="23">
        <f t="shared" si="4"/>
        <v>0</v>
      </c>
      <c r="X687" s="24" t="str">
        <f t="shared" si="5"/>
        <v>#DIV/0!</v>
      </c>
    </row>
    <row r="688">
      <c r="A688" s="15" t="s">
        <v>2849</v>
      </c>
      <c r="B688" s="18"/>
      <c r="C688" s="16"/>
      <c r="D688" s="18"/>
      <c r="E688" s="17" t="s">
        <v>2850</v>
      </c>
      <c r="F688" s="18"/>
      <c r="G688" s="18"/>
      <c r="H688" s="15" t="s">
        <v>2851</v>
      </c>
      <c r="I688" s="15" t="s">
        <v>2852</v>
      </c>
      <c r="J688" s="19" t="s">
        <v>59</v>
      </c>
      <c r="K688" s="19" t="s">
        <v>2401</v>
      </c>
      <c r="L688" s="19" t="s">
        <v>38</v>
      </c>
      <c r="M688" s="20">
        <f t="shared" si="1"/>
        <v>0</v>
      </c>
      <c r="N688" s="21"/>
      <c r="O688" s="22"/>
      <c r="P688" s="19" t="s">
        <v>1145</v>
      </c>
      <c r="Q688" s="18"/>
      <c r="R688" s="18"/>
      <c r="S688" s="23">
        <v>0.0</v>
      </c>
      <c r="T688" s="23">
        <v>0.0</v>
      </c>
      <c r="U688" s="23">
        <f t="shared" si="2"/>
        <v>0</v>
      </c>
      <c r="V688" s="23">
        <f t="shared" si="3"/>
        <v>0</v>
      </c>
      <c r="W688" s="23">
        <f t="shared" si="4"/>
        <v>0</v>
      </c>
      <c r="X688" s="24" t="str">
        <f t="shared" si="5"/>
        <v>#DIV/0!</v>
      </c>
    </row>
    <row r="689">
      <c r="A689" s="15" t="s">
        <v>2853</v>
      </c>
      <c r="B689" s="18"/>
      <c r="C689" s="16"/>
      <c r="D689" s="18"/>
      <c r="E689" s="17" t="s">
        <v>2854</v>
      </c>
      <c r="F689" s="18"/>
      <c r="G689" s="18"/>
      <c r="H689" s="15" t="s">
        <v>2855</v>
      </c>
      <c r="I689" s="15" t="s">
        <v>2856</v>
      </c>
      <c r="J689" s="19" t="s">
        <v>59</v>
      </c>
      <c r="K689" s="19" t="s">
        <v>2401</v>
      </c>
      <c r="L689" s="19" t="s">
        <v>38</v>
      </c>
      <c r="M689" s="20">
        <f t="shared" si="1"/>
        <v>0</v>
      </c>
      <c r="N689" s="21"/>
      <c r="O689" s="22"/>
      <c r="P689" s="19" t="s">
        <v>1145</v>
      </c>
      <c r="Q689" s="18"/>
      <c r="R689" s="18"/>
      <c r="S689" s="23">
        <v>0.0</v>
      </c>
      <c r="T689" s="23">
        <v>0.0</v>
      </c>
      <c r="U689" s="23">
        <f t="shared" si="2"/>
        <v>0</v>
      </c>
      <c r="V689" s="23">
        <f t="shared" si="3"/>
        <v>0</v>
      </c>
      <c r="W689" s="23">
        <f t="shared" si="4"/>
        <v>0</v>
      </c>
      <c r="X689" s="24" t="str">
        <f t="shared" si="5"/>
        <v>#DIV/0!</v>
      </c>
    </row>
    <row r="690">
      <c r="A690" s="15" t="s">
        <v>2857</v>
      </c>
      <c r="B690" s="18"/>
      <c r="C690" s="16"/>
      <c r="D690" s="18"/>
      <c r="E690" s="17" t="s">
        <v>2858</v>
      </c>
      <c r="F690" s="18"/>
      <c r="G690" s="18"/>
      <c r="H690" s="15" t="s">
        <v>2859</v>
      </c>
      <c r="I690" s="15" t="s">
        <v>2860</v>
      </c>
      <c r="J690" s="19" t="s">
        <v>59</v>
      </c>
      <c r="K690" s="19" t="s">
        <v>2401</v>
      </c>
      <c r="L690" s="19" t="s">
        <v>38</v>
      </c>
      <c r="M690" s="20">
        <f t="shared" si="1"/>
        <v>0</v>
      </c>
      <c r="N690" s="21"/>
      <c r="O690" s="22"/>
      <c r="P690" s="19" t="s">
        <v>1145</v>
      </c>
      <c r="Q690" s="18"/>
      <c r="R690" s="18"/>
      <c r="S690" s="23">
        <v>0.0</v>
      </c>
      <c r="T690" s="23">
        <v>0.0</v>
      </c>
      <c r="U690" s="23">
        <f t="shared" si="2"/>
        <v>0</v>
      </c>
      <c r="V690" s="23">
        <f t="shared" si="3"/>
        <v>0</v>
      </c>
      <c r="W690" s="23">
        <f t="shared" si="4"/>
        <v>0</v>
      </c>
      <c r="X690" s="24" t="str">
        <f t="shared" si="5"/>
        <v>#DIV/0!</v>
      </c>
    </row>
    <row r="691">
      <c r="A691" s="15" t="s">
        <v>2861</v>
      </c>
      <c r="B691" s="18"/>
      <c r="C691" s="16"/>
      <c r="D691" s="18"/>
      <c r="E691" s="17" t="s">
        <v>2858</v>
      </c>
      <c r="F691" s="18"/>
      <c r="G691" s="18"/>
      <c r="H691" s="15" t="s">
        <v>2862</v>
      </c>
      <c r="I691" s="15" t="s">
        <v>2863</v>
      </c>
      <c r="J691" s="19" t="s">
        <v>59</v>
      </c>
      <c r="K691" s="19" t="s">
        <v>2401</v>
      </c>
      <c r="L691" s="19" t="s">
        <v>38</v>
      </c>
      <c r="M691" s="20">
        <f t="shared" si="1"/>
        <v>0</v>
      </c>
      <c r="N691" s="21"/>
      <c r="O691" s="22"/>
      <c r="P691" s="19" t="s">
        <v>1145</v>
      </c>
      <c r="Q691" s="18"/>
      <c r="R691" s="18"/>
      <c r="S691" s="23">
        <v>0.0</v>
      </c>
      <c r="T691" s="23">
        <v>0.0</v>
      </c>
      <c r="U691" s="23">
        <f t="shared" si="2"/>
        <v>0</v>
      </c>
      <c r="V691" s="23">
        <f t="shared" si="3"/>
        <v>0</v>
      </c>
      <c r="W691" s="23">
        <f t="shared" si="4"/>
        <v>0</v>
      </c>
      <c r="X691" s="24" t="str">
        <f t="shared" si="5"/>
        <v>#DIV/0!</v>
      </c>
    </row>
    <row r="692">
      <c r="A692" s="15" t="s">
        <v>2864</v>
      </c>
      <c r="B692" s="15" t="s">
        <v>2865</v>
      </c>
      <c r="C692" s="16"/>
      <c r="D692" s="18"/>
      <c r="E692" s="17" t="s">
        <v>2866</v>
      </c>
      <c r="F692" s="18"/>
      <c r="G692" s="18"/>
      <c r="H692" s="15" t="s">
        <v>2867</v>
      </c>
      <c r="I692" s="18"/>
      <c r="J692" s="19" t="s">
        <v>59</v>
      </c>
      <c r="K692" s="33"/>
      <c r="L692" s="19" t="s">
        <v>38</v>
      </c>
      <c r="M692" s="20">
        <f t="shared" si="1"/>
        <v>0</v>
      </c>
      <c r="N692" s="21"/>
      <c r="O692" s="22"/>
      <c r="P692" s="19" t="s">
        <v>1145</v>
      </c>
      <c r="Q692" s="18"/>
      <c r="R692" s="18"/>
      <c r="S692" s="23">
        <v>0.0</v>
      </c>
      <c r="T692" s="23">
        <v>0.0</v>
      </c>
      <c r="U692" s="23">
        <f t="shared" si="2"/>
        <v>0</v>
      </c>
      <c r="V692" s="23">
        <f t="shared" si="3"/>
        <v>0</v>
      </c>
      <c r="W692" s="23">
        <f t="shared" si="4"/>
        <v>0</v>
      </c>
      <c r="X692" s="24" t="str">
        <f t="shared" si="5"/>
        <v>#DIV/0!</v>
      </c>
    </row>
    <row r="693">
      <c r="A693" s="15" t="s">
        <v>2868</v>
      </c>
      <c r="B693" s="18"/>
      <c r="C693" s="16"/>
      <c r="D693" s="18"/>
      <c r="E693" s="17" t="s">
        <v>2869</v>
      </c>
      <c r="F693" s="18"/>
      <c r="G693" s="18"/>
      <c r="H693" s="15" t="s">
        <v>2870</v>
      </c>
      <c r="I693" s="18"/>
      <c r="J693" s="19" t="s">
        <v>59</v>
      </c>
      <c r="K693" s="19" t="s">
        <v>691</v>
      </c>
      <c r="L693" s="19" t="s">
        <v>38</v>
      </c>
      <c r="M693" s="20">
        <f t="shared" si="1"/>
        <v>0</v>
      </c>
      <c r="N693" s="21"/>
      <c r="O693" s="22"/>
      <c r="P693" s="19" t="s">
        <v>1145</v>
      </c>
      <c r="Q693" s="18"/>
      <c r="R693" s="18"/>
      <c r="S693" s="23">
        <v>0.0</v>
      </c>
      <c r="T693" s="23">
        <v>0.0</v>
      </c>
      <c r="U693" s="23">
        <f t="shared" si="2"/>
        <v>0</v>
      </c>
      <c r="V693" s="23">
        <f t="shared" si="3"/>
        <v>0</v>
      </c>
      <c r="W693" s="23">
        <f t="shared" si="4"/>
        <v>0</v>
      </c>
      <c r="X693" s="24" t="str">
        <f t="shared" si="5"/>
        <v>#DIV/0!</v>
      </c>
    </row>
    <row r="694">
      <c r="A694" s="15" t="s">
        <v>2871</v>
      </c>
      <c r="B694" s="18"/>
      <c r="C694" s="16"/>
      <c r="D694" s="18"/>
      <c r="E694" s="17" t="s">
        <v>2872</v>
      </c>
      <c r="F694" s="18"/>
      <c r="G694" s="18"/>
      <c r="H694" s="15"/>
      <c r="I694" s="15" t="s">
        <v>2873</v>
      </c>
      <c r="J694" s="19" t="s">
        <v>59</v>
      </c>
      <c r="K694" s="19" t="s">
        <v>2396</v>
      </c>
      <c r="L694" s="19" t="s">
        <v>38</v>
      </c>
      <c r="M694" s="20">
        <f t="shared" si="1"/>
        <v>0</v>
      </c>
      <c r="N694" s="21"/>
      <c r="O694" s="22"/>
      <c r="P694" s="19" t="s">
        <v>1145</v>
      </c>
      <c r="Q694" s="18"/>
      <c r="R694" s="18"/>
      <c r="S694" s="23">
        <v>0.0</v>
      </c>
      <c r="T694" s="23">
        <v>0.0</v>
      </c>
      <c r="U694" s="23">
        <f t="shared" si="2"/>
        <v>0</v>
      </c>
      <c r="V694" s="23">
        <f t="shared" si="3"/>
        <v>0</v>
      </c>
      <c r="W694" s="23">
        <f t="shared" si="4"/>
        <v>0</v>
      </c>
      <c r="X694" s="24" t="str">
        <f t="shared" si="5"/>
        <v>#DIV/0!</v>
      </c>
    </row>
    <row r="695">
      <c r="A695" s="15" t="s">
        <v>2874</v>
      </c>
      <c r="B695" s="18"/>
      <c r="C695" s="16"/>
      <c r="D695" s="18"/>
      <c r="E695" s="17" t="s">
        <v>2875</v>
      </c>
      <c r="F695" s="18"/>
      <c r="G695" s="18"/>
      <c r="H695" s="15"/>
      <c r="I695" s="15" t="s">
        <v>2876</v>
      </c>
      <c r="J695" s="19" t="s">
        <v>59</v>
      </c>
      <c r="K695" s="19" t="s">
        <v>2396</v>
      </c>
      <c r="L695" s="19" t="s">
        <v>38</v>
      </c>
      <c r="M695" s="20">
        <f t="shared" si="1"/>
        <v>0</v>
      </c>
      <c r="N695" s="21"/>
      <c r="O695" s="22"/>
      <c r="P695" s="19" t="s">
        <v>1145</v>
      </c>
      <c r="Q695" s="18"/>
      <c r="R695" s="18"/>
      <c r="S695" s="23">
        <v>0.0</v>
      </c>
      <c r="T695" s="23">
        <v>0.0</v>
      </c>
      <c r="U695" s="23">
        <f t="shared" si="2"/>
        <v>0</v>
      </c>
      <c r="V695" s="23">
        <f t="shared" si="3"/>
        <v>0</v>
      </c>
      <c r="W695" s="23">
        <f t="shared" si="4"/>
        <v>0</v>
      </c>
      <c r="X695" s="24" t="str">
        <f t="shared" si="5"/>
        <v>#DIV/0!</v>
      </c>
    </row>
    <row r="696">
      <c r="A696" s="15" t="s">
        <v>2877</v>
      </c>
      <c r="B696" s="18"/>
      <c r="C696" s="16"/>
      <c r="D696" s="18"/>
      <c r="E696" s="17" t="s">
        <v>2878</v>
      </c>
      <c r="F696" s="18"/>
      <c r="G696" s="18"/>
      <c r="H696" s="15" t="s">
        <v>2879</v>
      </c>
      <c r="I696" s="15" t="s">
        <v>2880</v>
      </c>
      <c r="J696" s="19" t="s">
        <v>59</v>
      </c>
      <c r="K696" s="19" t="s">
        <v>2396</v>
      </c>
      <c r="L696" s="19" t="s">
        <v>38</v>
      </c>
      <c r="M696" s="20">
        <f t="shared" si="1"/>
        <v>0</v>
      </c>
      <c r="N696" s="21"/>
      <c r="O696" s="22"/>
      <c r="P696" s="19" t="s">
        <v>1145</v>
      </c>
      <c r="Q696" s="18"/>
      <c r="R696" s="18"/>
      <c r="S696" s="23">
        <v>0.0</v>
      </c>
      <c r="T696" s="23">
        <v>0.0</v>
      </c>
      <c r="U696" s="23">
        <f t="shared" si="2"/>
        <v>0</v>
      </c>
      <c r="V696" s="23">
        <f t="shared" si="3"/>
        <v>0</v>
      </c>
      <c r="W696" s="23">
        <f t="shared" si="4"/>
        <v>0</v>
      </c>
      <c r="X696" s="24" t="str">
        <f t="shared" si="5"/>
        <v>#DIV/0!</v>
      </c>
    </row>
    <row r="697">
      <c r="A697" s="15" t="s">
        <v>2881</v>
      </c>
      <c r="B697" s="18"/>
      <c r="C697" s="16"/>
      <c r="D697" s="18"/>
      <c r="E697" s="17" t="s">
        <v>2882</v>
      </c>
      <c r="F697" s="18"/>
      <c r="G697" s="18"/>
      <c r="H697" s="15" t="s">
        <v>2883</v>
      </c>
      <c r="I697" s="15" t="s">
        <v>2884</v>
      </c>
      <c r="J697" s="19" t="s">
        <v>59</v>
      </c>
      <c r="K697" s="19" t="s">
        <v>2401</v>
      </c>
      <c r="L697" s="19" t="s">
        <v>38</v>
      </c>
      <c r="M697" s="20">
        <f t="shared" si="1"/>
        <v>0</v>
      </c>
      <c r="N697" s="21"/>
      <c r="O697" s="22"/>
      <c r="P697" s="19" t="s">
        <v>1145</v>
      </c>
      <c r="Q697" s="18"/>
      <c r="R697" s="18"/>
      <c r="S697" s="23">
        <v>0.0</v>
      </c>
      <c r="T697" s="23">
        <v>0.0</v>
      </c>
      <c r="U697" s="23">
        <f t="shared" si="2"/>
        <v>0</v>
      </c>
      <c r="V697" s="23">
        <f t="shared" si="3"/>
        <v>0</v>
      </c>
      <c r="W697" s="23">
        <f t="shared" si="4"/>
        <v>0</v>
      </c>
      <c r="X697" s="24" t="str">
        <f t="shared" si="5"/>
        <v>#DIV/0!</v>
      </c>
    </row>
    <row r="698">
      <c r="A698" s="15" t="s">
        <v>2885</v>
      </c>
      <c r="B698" s="18"/>
      <c r="C698" s="16"/>
      <c r="D698" s="18"/>
      <c r="E698" s="17" t="s">
        <v>2882</v>
      </c>
      <c r="F698" s="18"/>
      <c r="G698" s="18"/>
      <c r="H698" s="15" t="s">
        <v>2886</v>
      </c>
      <c r="I698" s="15" t="s">
        <v>2887</v>
      </c>
      <c r="J698" s="19" t="s">
        <v>59</v>
      </c>
      <c r="K698" s="19" t="s">
        <v>2401</v>
      </c>
      <c r="L698" s="19" t="s">
        <v>38</v>
      </c>
      <c r="M698" s="20">
        <f t="shared" si="1"/>
        <v>0</v>
      </c>
      <c r="N698" s="21"/>
      <c r="O698" s="22"/>
      <c r="P698" s="19" t="s">
        <v>1145</v>
      </c>
      <c r="Q698" s="18"/>
      <c r="R698" s="18"/>
      <c r="S698" s="23">
        <v>0.0</v>
      </c>
      <c r="T698" s="23">
        <v>0.0</v>
      </c>
      <c r="U698" s="23">
        <f t="shared" si="2"/>
        <v>0</v>
      </c>
      <c r="V698" s="23">
        <f t="shared" si="3"/>
        <v>0</v>
      </c>
      <c r="W698" s="23">
        <f t="shared" si="4"/>
        <v>0</v>
      </c>
      <c r="X698" s="24" t="str">
        <f t="shared" si="5"/>
        <v>#DIV/0!</v>
      </c>
    </row>
    <row r="699">
      <c r="A699" s="15" t="s">
        <v>2888</v>
      </c>
      <c r="B699" s="15" t="s">
        <v>2889</v>
      </c>
      <c r="C699" s="16"/>
      <c r="D699" s="18"/>
      <c r="E699" s="17" t="s">
        <v>2890</v>
      </c>
      <c r="F699" s="18"/>
      <c r="G699" s="18"/>
      <c r="H699" s="15" t="s">
        <v>2891</v>
      </c>
      <c r="I699" s="18"/>
      <c r="J699" s="19" t="s">
        <v>59</v>
      </c>
      <c r="K699" s="33"/>
      <c r="L699" s="19" t="s">
        <v>38</v>
      </c>
      <c r="M699" s="20">
        <f t="shared" si="1"/>
        <v>0</v>
      </c>
      <c r="N699" s="21"/>
      <c r="O699" s="22"/>
      <c r="P699" s="19" t="s">
        <v>1145</v>
      </c>
      <c r="Q699" s="18"/>
      <c r="R699" s="18"/>
      <c r="S699" s="23">
        <v>0.0</v>
      </c>
      <c r="T699" s="23">
        <v>0.0</v>
      </c>
      <c r="U699" s="23">
        <f t="shared" si="2"/>
        <v>0</v>
      </c>
      <c r="V699" s="23">
        <f t="shared" si="3"/>
        <v>0</v>
      </c>
      <c r="W699" s="23">
        <f t="shared" si="4"/>
        <v>0</v>
      </c>
      <c r="X699" s="24" t="str">
        <f t="shared" si="5"/>
        <v>#DIV/0!</v>
      </c>
    </row>
    <row r="700">
      <c r="A700" s="15" t="s">
        <v>2892</v>
      </c>
      <c r="B700" s="18"/>
      <c r="C700" s="16"/>
      <c r="D700" s="18"/>
      <c r="E700" s="17" t="s">
        <v>2430</v>
      </c>
      <c r="F700" s="18"/>
      <c r="G700" s="18"/>
      <c r="H700" s="15" t="s">
        <v>2893</v>
      </c>
      <c r="I700" s="15" t="s">
        <v>2894</v>
      </c>
      <c r="J700" s="19" t="s">
        <v>59</v>
      </c>
      <c r="K700" s="19" t="s">
        <v>691</v>
      </c>
      <c r="L700" s="19" t="s">
        <v>38</v>
      </c>
      <c r="M700" s="20">
        <f t="shared" si="1"/>
        <v>0</v>
      </c>
      <c r="N700" s="21"/>
      <c r="O700" s="22"/>
      <c r="P700" s="19" t="s">
        <v>1145</v>
      </c>
      <c r="Q700" s="18"/>
      <c r="R700" s="18"/>
      <c r="S700" s="23">
        <v>0.0</v>
      </c>
      <c r="T700" s="23">
        <v>0.0</v>
      </c>
      <c r="U700" s="23">
        <f t="shared" si="2"/>
        <v>0</v>
      </c>
      <c r="V700" s="23">
        <f t="shared" si="3"/>
        <v>0</v>
      </c>
      <c r="W700" s="23">
        <f t="shared" si="4"/>
        <v>0</v>
      </c>
      <c r="X700" s="24" t="str">
        <f t="shared" si="5"/>
        <v>#DIV/0!</v>
      </c>
    </row>
    <row r="701">
      <c r="A701" s="15" t="s">
        <v>2895</v>
      </c>
      <c r="B701" s="18"/>
      <c r="C701" s="16"/>
      <c r="D701" s="18"/>
      <c r="E701" s="17" t="s">
        <v>2896</v>
      </c>
      <c r="F701" s="18"/>
      <c r="G701" s="18"/>
      <c r="H701" s="15" t="s">
        <v>2897</v>
      </c>
      <c r="I701" s="15" t="s">
        <v>2898</v>
      </c>
      <c r="J701" s="19" t="s">
        <v>59</v>
      </c>
      <c r="K701" s="19" t="s">
        <v>691</v>
      </c>
      <c r="L701" s="19" t="s">
        <v>38</v>
      </c>
      <c r="M701" s="20">
        <f t="shared" si="1"/>
        <v>0</v>
      </c>
      <c r="N701" s="21"/>
      <c r="O701" s="22"/>
      <c r="P701" s="19" t="s">
        <v>1145</v>
      </c>
      <c r="Q701" s="18"/>
      <c r="R701" s="18"/>
      <c r="S701" s="23">
        <v>0.0</v>
      </c>
      <c r="T701" s="23">
        <v>0.0</v>
      </c>
      <c r="U701" s="23">
        <f t="shared" si="2"/>
        <v>0</v>
      </c>
      <c r="V701" s="23">
        <f t="shared" si="3"/>
        <v>0</v>
      </c>
      <c r="W701" s="23">
        <f t="shared" si="4"/>
        <v>0</v>
      </c>
      <c r="X701" s="24" t="str">
        <f t="shared" si="5"/>
        <v>#DIV/0!</v>
      </c>
    </row>
    <row r="702">
      <c r="A702" s="15" t="s">
        <v>2899</v>
      </c>
      <c r="B702" s="18"/>
      <c r="C702" s="16"/>
      <c r="D702" s="18"/>
      <c r="E702" s="17" t="s">
        <v>2900</v>
      </c>
      <c r="F702" s="18"/>
      <c r="G702" s="18"/>
      <c r="H702" s="15" t="s">
        <v>2901</v>
      </c>
      <c r="I702" s="15" t="s">
        <v>2902</v>
      </c>
      <c r="J702" s="19" t="s">
        <v>59</v>
      </c>
      <c r="K702" s="19" t="s">
        <v>691</v>
      </c>
      <c r="L702" s="19" t="s">
        <v>38</v>
      </c>
      <c r="M702" s="20">
        <f t="shared" si="1"/>
        <v>0</v>
      </c>
      <c r="N702" s="21"/>
      <c r="O702" s="22"/>
      <c r="P702" s="19" t="s">
        <v>1145</v>
      </c>
      <c r="Q702" s="18"/>
      <c r="R702" s="18"/>
      <c r="S702" s="23">
        <v>0.0</v>
      </c>
      <c r="T702" s="23">
        <v>0.0</v>
      </c>
      <c r="U702" s="23">
        <f t="shared" si="2"/>
        <v>0</v>
      </c>
      <c r="V702" s="23">
        <f t="shared" si="3"/>
        <v>0</v>
      </c>
      <c r="W702" s="23">
        <f t="shared" si="4"/>
        <v>0</v>
      </c>
      <c r="X702" s="24" t="str">
        <f t="shared" si="5"/>
        <v>#DIV/0!</v>
      </c>
    </row>
    <row r="703">
      <c r="A703" s="15" t="s">
        <v>2903</v>
      </c>
      <c r="B703" s="18"/>
      <c r="C703" s="16"/>
      <c r="D703" s="18"/>
      <c r="E703" s="17" t="s">
        <v>2904</v>
      </c>
      <c r="F703" s="18"/>
      <c r="G703" s="18"/>
      <c r="H703" s="15" t="s">
        <v>2905</v>
      </c>
      <c r="I703" s="15" t="s">
        <v>2906</v>
      </c>
      <c r="J703" s="19" t="s">
        <v>59</v>
      </c>
      <c r="K703" s="19" t="s">
        <v>691</v>
      </c>
      <c r="L703" s="19" t="s">
        <v>38</v>
      </c>
      <c r="M703" s="20">
        <f t="shared" si="1"/>
        <v>0</v>
      </c>
      <c r="N703" s="21"/>
      <c r="O703" s="22"/>
      <c r="P703" s="19" t="s">
        <v>1145</v>
      </c>
      <c r="Q703" s="18"/>
      <c r="R703" s="18"/>
      <c r="S703" s="23">
        <v>0.0</v>
      </c>
      <c r="T703" s="23">
        <v>0.0</v>
      </c>
      <c r="U703" s="23">
        <f t="shared" si="2"/>
        <v>0</v>
      </c>
      <c r="V703" s="23">
        <f t="shared" si="3"/>
        <v>0</v>
      </c>
      <c r="W703" s="23">
        <f t="shared" si="4"/>
        <v>0</v>
      </c>
      <c r="X703" s="24" t="str">
        <f t="shared" si="5"/>
        <v>#DIV/0!</v>
      </c>
    </row>
    <row r="704">
      <c r="A704" s="15" t="s">
        <v>2907</v>
      </c>
      <c r="B704" s="18"/>
      <c r="C704" s="16"/>
      <c r="D704" s="18"/>
      <c r="E704" s="17" t="s">
        <v>2908</v>
      </c>
      <c r="F704" s="18"/>
      <c r="G704" s="18"/>
      <c r="H704" s="15" t="s">
        <v>2909</v>
      </c>
      <c r="I704" s="15" t="s">
        <v>2910</v>
      </c>
      <c r="J704" s="19" t="s">
        <v>59</v>
      </c>
      <c r="K704" s="19" t="s">
        <v>2382</v>
      </c>
      <c r="L704" s="19" t="s">
        <v>38</v>
      </c>
      <c r="M704" s="20">
        <f t="shared" si="1"/>
        <v>0</v>
      </c>
      <c r="N704" s="21"/>
      <c r="O704" s="22"/>
      <c r="P704" s="19" t="s">
        <v>1145</v>
      </c>
      <c r="Q704" s="18"/>
      <c r="R704" s="18"/>
      <c r="S704" s="23">
        <v>0.0</v>
      </c>
      <c r="T704" s="23">
        <v>0.0</v>
      </c>
      <c r="U704" s="23">
        <f t="shared" si="2"/>
        <v>0</v>
      </c>
      <c r="V704" s="23">
        <f t="shared" si="3"/>
        <v>0</v>
      </c>
      <c r="W704" s="23">
        <f t="shared" si="4"/>
        <v>0</v>
      </c>
      <c r="X704" s="24" t="str">
        <f t="shared" si="5"/>
        <v>#DIV/0!</v>
      </c>
    </row>
    <row r="705">
      <c r="A705" s="15" t="s">
        <v>2911</v>
      </c>
      <c r="B705" s="18"/>
      <c r="C705" s="16"/>
      <c r="D705" s="18"/>
      <c r="E705" s="17" t="s">
        <v>2912</v>
      </c>
      <c r="F705" s="18"/>
      <c r="G705" s="18"/>
      <c r="H705" s="15" t="s">
        <v>2913</v>
      </c>
      <c r="I705" s="15" t="s">
        <v>2914</v>
      </c>
      <c r="J705" s="19" t="s">
        <v>59</v>
      </c>
      <c r="K705" s="19" t="s">
        <v>60</v>
      </c>
      <c r="L705" s="19" t="s">
        <v>38</v>
      </c>
      <c r="M705" s="20">
        <f t="shared" si="1"/>
        <v>0</v>
      </c>
      <c r="N705" s="30"/>
      <c r="O705" s="31"/>
      <c r="P705" s="19" t="s">
        <v>1145</v>
      </c>
      <c r="Q705" s="18"/>
      <c r="R705" s="18"/>
      <c r="S705" s="23">
        <v>0.0</v>
      </c>
      <c r="T705" s="23">
        <v>0.0</v>
      </c>
      <c r="U705" s="23">
        <f t="shared" si="2"/>
        <v>0</v>
      </c>
      <c r="V705" s="23">
        <f t="shared" si="3"/>
        <v>0</v>
      </c>
      <c r="W705" s="23">
        <f t="shared" si="4"/>
        <v>0</v>
      </c>
      <c r="X705" s="24" t="str">
        <f t="shared" si="5"/>
        <v>#DIV/0!</v>
      </c>
    </row>
    <row r="706">
      <c r="A706" s="15" t="s">
        <v>2915</v>
      </c>
      <c r="B706" s="18"/>
      <c r="C706" s="16"/>
      <c r="D706" s="18"/>
      <c r="E706" s="17" t="s">
        <v>2916</v>
      </c>
      <c r="F706" s="18"/>
      <c r="G706" s="18"/>
      <c r="H706" s="15" t="s">
        <v>2917</v>
      </c>
      <c r="I706" s="15" t="s">
        <v>2918</v>
      </c>
      <c r="J706" s="19" t="s">
        <v>59</v>
      </c>
      <c r="K706" s="19" t="s">
        <v>2396</v>
      </c>
      <c r="L706" s="19" t="s">
        <v>38</v>
      </c>
      <c r="M706" s="20">
        <f t="shared" si="1"/>
        <v>0</v>
      </c>
      <c r="N706" s="21"/>
      <c r="O706" s="22"/>
      <c r="P706" s="19" t="s">
        <v>1145</v>
      </c>
      <c r="Q706" s="18"/>
      <c r="R706" s="18"/>
      <c r="S706" s="23">
        <v>0.0</v>
      </c>
      <c r="T706" s="23">
        <v>0.0</v>
      </c>
      <c r="U706" s="23">
        <f t="shared" si="2"/>
        <v>0</v>
      </c>
      <c r="V706" s="23">
        <f t="shared" si="3"/>
        <v>0</v>
      </c>
      <c r="W706" s="23">
        <f t="shared" si="4"/>
        <v>0</v>
      </c>
      <c r="X706" s="24" t="str">
        <f t="shared" si="5"/>
        <v>#DIV/0!</v>
      </c>
    </row>
    <row r="707">
      <c r="A707" s="15" t="s">
        <v>2919</v>
      </c>
      <c r="B707" s="18"/>
      <c r="C707" s="16"/>
      <c r="D707" s="18"/>
      <c r="E707" s="17" t="s">
        <v>2920</v>
      </c>
      <c r="F707" s="18"/>
      <c r="G707" s="18"/>
      <c r="H707" s="15" t="s">
        <v>2921</v>
      </c>
      <c r="I707" s="15"/>
      <c r="J707" s="19" t="s">
        <v>59</v>
      </c>
      <c r="K707" s="19" t="s">
        <v>2396</v>
      </c>
      <c r="L707" s="19" t="s">
        <v>38</v>
      </c>
      <c r="M707" s="20">
        <f t="shared" si="1"/>
        <v>0</v>
      </c>
      <c r="N707" s="21"/>
      <c r="O707" s="22"/>
      <c r="P707" s="19" t="s">
        <v>1145</v>
      </c>
      <c r="Q707" s="18"/>
      <c r="R707" s="18"/>
      <c r="S707" s="23">
        <v>0.0</v>
      </c>
      <c r="T707" s="23">
        <v>0.0</v>
      </c>
      <c r="U707" s="23">
        <f t="shared" si="2"/>
        <v>0</v>
      </c>
      <c r="V707" s="23">
        <f t="shared" si="3"/>
        <v>0</v>
      </c>
      <c r="W707" s="23">
        <f t="shared" si="4"/>
        <v>0</v>
      </c>
      <c r="X707" s="24" t="str">
        <f t="shared" si="5"/>
        <v>#DIV/0!</v>
      </c>
    </row>
    <row r="708">
      <c r="A708" s="15" t="s">
        <v>2922</v>
      </c>
      <c r="B708" s="18"/>
      <c r="C708" s="16"/>
      <c r="D708" s="18"/>
      <c r="E708" s="17" t="s">
        <v>2923</v>
      </c>
      <c r="F708" s="18"/>
      <c r="G708" s="18"/>
      <c r="H708" s="15" t="s">
        <v>2924</v>
      </c>
      <c r="I708" s="15" t="s">
        <v>2925</v>
      </c>
      <c r="J708" s="19" t="s">
        <v>59</v>
      </c>
      <c r="K708" s="19" t="s">
        <v>2396</v>
      </c>
      <c r="L708" s="19" t="s">
        <v>38</v>
      </c>
      <c r="M708" s="20">
        <f t="shared" si="1"/>
        <v>0</v>
      </c>
      <c r="N708" s="21"/>
      <c r="O708" s="22"/>
      <c r="P708" s="19" t="s">
        <v>1145</v>
      </c>
      <c r="Q708" s="18"/>
      <c r="R708" s="18"/>
      <c r="S708" s="23">
        <v>0.0</v>
      </c>
      <c r="T708" s="23">
        <v>0.0</v>
      </c>
      <c r="U708" s="23">
        <f t="shared" si="2"/>
        <v>0</v>
      </c>
      <c r="V708" s="23">
        <f t="shared" si="3"/>
        <v>0</v>
      </c>
      <c r="W708" s="23">
        <f t="shared" si="4"/>
        <v>0</v>
      </c>
      <c r="X708" s="24" t="str">
        <f t="shared" si="5"/>
        <v>#DIV/0!</v>
      </c>
    </row>
    <row r="709">
      <c r="A709" s="15" t="s">
        <v>2926</v>
      </c>
      <c r="B709" s="18"/>
      <c r="C709" s="16"/>
      <c r="D709" s="18"/>
      <c r="E709" s="17" t="s">
        <v>2927</v>
      </c>
      <c r="F709" s="18"/>
      <c r="G709" s="18"/>
      <c r="H709" s="15" t="s">
        <v>2928</v>
      </c>
      <c r="I709" s="15" t="s">
        <v>2929</v>
      </c>
      <c r="J709" s="19" t="s">
        <v>59</v>
      </c>
      <c r="K709" s="19" t="s">
        <v>2396</v>
      </c>
      <c r="L709" s="19" t="s">
        <v>38</v>
      </c>
      <c r="M709" s="20">
        <f t="shared" si="1"/>
        <v>0</v>
      </c>
      <c r="N709" s="21"/>
      <c r="O709" s="22"/>
      <c r="P709" s="19" t="s">
        <v>1145</v>
      </c>
      <c r="Q709" s="18"/>
      <c r="R709" s="18"/>
      <c r="S709" s="23">
        <v>0.0</v>
      </c>
      <c r="T709" s="23">
        <v>0.0</v>
      </c>
      <c r="U709" s="23">
        <f t="shared" si="2"/>
        <v>0</v>
      </c>
      <c r="V709" s="23">
        <f t="shared" si="3"/>
        <v>0</v>
      </c>
      <c r="W709" s="23">
        <f t="shared" si="4"/>
        <v>0</v>
      </c>
      <c r="X709" s="24" t="str">
        <f t="shared" si="5"/>
        <v>#DIV/0!</v>
      </c>
    </row>
    <row r="710">
      <c r="A710" s="15" t="s">
        <v>2930</v>
      </c>
      <c r="B710" s="18"/>
      <c r="C710" s="16"/>
      <c r="D710" s="18"/>
      <c r="E710" s="17" t="s">
        <v>2931</v>
      </c>
      <c r="F710" s="18"/>
      <c r="G710" s="18"/>
      <c r="H710" s="15" t="s">
        <v>2932</v>
      </c>
      <c r="I710" s="15" t="s">
        <v>2933</v>
      </c>
      <c r="J710" s="19" t="s">
        <v>59</v>
      </c>
      <c r="K710" s="19" t="s">
        <v>2396</v>
      </c>
      <c r="L710" s="19" t="s">
        <v>38</v>
      </c>
      <c r="M710" s="20">
        <f t="shared" si="1"/>
        <v>0</v>
      </c>
      <c r="N710" s="21"/>
      <c r="O710" s="22"/>
      <c r="P710" s="19" t="s">
        <v>1145</v>
      </c>
      <c r="Q710" s="18"/>
      <c r="R710" s="18"/>
      <c r="S710" s="23">
        <v>0.0</v>
      </c>
      <c r="T710" s="23">
        <v>0.0</v>
      </c>
      <c r="U710" s="23">
        <f t="shared" si="2"/>
        <v>0</v>
      </c>
      <c r="V710" s="23">
        <f t="shared" si="3"/>
        <v>0</v>
      </c>
      <c r="W710" s="23">
        <f t="shared" si="4"/>
        <v>0</v>
      </c>
      <c r="X710" s="24" t="str">
        <f t="shared" si="5"/>
        <v>#DIV/0!</v>
      </c>
    </row>
    <row r="711">
      <c r="A711" s="15" t="s">
        <v>2934</v>
      </c>
      <c r="B711" s="18"/>
      <c r="C711" s="16"/>
      <c r="D711" s="18"/>
      <c r="E711" s="17" t="s">
        <v>2935</v>
      </c>
      <c r="F711" s="18"/>
      <c r="G711" s="18"/>
      <c r="H711" s="15" t="s">
        <v>2936</v>
      </c>
      <c r="I711" s="15" t="s">
        <v>2937</v>
      </c>
      <c r="J711" s="19" t="s">
        <v>59</v>
      </c>
      <c r="K711" s="19" t="s">
        <v>2396</v>
      </c>
      <c r="L711" s="19" t="s">
        <v>38</v>
      </c>
      <c r="M711" s="20">
        <f t="shared" si="1"/>
        <v>0</v>
      </c>
      <c r="N711" s="21"/>
      <c r="O711" s="22"/>
      <c r="P711" s="19" t="s">
        <v>1145</v>
      </c>
      <c r="Q711" s="18"/>
      <c r="R711" s="18"/>
      <c r="S711" s="23">
        <v>0.0</v>
      </c>
      <c r="T711" s="23">
        <v>0.0</v>
      </c>
      <c r="U711" s="23">
        <f t="shared" si="2"/>
        <v>0</v>
      </c>
      <c r="V711" s="23">
        <f t="shared" si="3"/>
        <v>0</v>
      </c>
      <c r="W711" s="23">
        <f t="shared" si="4"/>
        <v>0</v>
      </c>
      <c r="X711" s="24" t="str">
        <f t="shared" si="5"/>
        <v>#DIV/0!</v>
      </c>
    </row>
    <row r="712">
      <c r="A712" s="15" t="s">
        <v>2938</v>
      </c>
      <c r="B712" s="18"/>
      <c r="C712" s="16"/>
      <c r="D712" s="18"/>
      <c r="E712" s="17" t="s">
        <v>2939</v>
      </c>
      <c r="F712" s="18"/>
      <c r="G712" s="18"/>
      <c r="H712" s="15" t="s">
        <v>2940</v>
      </c>
      <c r="I712" s="15" t="s">
        <v>2941</v>
      </c>
      <c r="J712" s="19" t="s">
        <v>59</v>
      </c>
      <c r="K712" s="19" t="s">
        <v>2396</v>
      </c>
      <c r="L712" s="19" t="s">
        <v>38</v>
      </c>
      <c r="M712" s="20">
        <f t="shared" si="1"/>
        <v>0</v>
      </c>
      <c r="N712" s="21"/>
      <c r="O712" s="22"/>
      <c r="P712" s="19" t="s">
        <v>1145</v>
      </c>
      <c r="Q712" s="18"/>
      <c r="R712" s="18"/>
      <c r="S712" s="23">
        <v>0.0</v>
      </c>
      <c r="T712" s="23">
        <v>0.0</v>
      </c>
      <c r="U712" s="23">
        <f t="shared" si="2"/>
        <v>0</v>
      </c>
      <c r="V712" s="23">
        <f t="shared" si="3"/>
        <v>0</v>
      </c>
      <c r="W712" s="23">
        <f t="shared" si="4"/>
        <v>0</v>
      </c>
      <c r="X712" s="24" t="str">
        <f t="shared" si="5"/>
        <v>#DIV/0!</v>
      </c>
    </row>
    <row r="713">
      <c r="A713" s="15" t="s">
        <v>2942</v>
      </c>
      <c r="B713" s="18"/>
      <c r="C713" s="16"/>
      <c r="D713" s="18"/>
      <c r="E713" s="17" t="s">
        <v>2943</v>
      </c>
      <c r="F713" s="18"/>
      <c r="G713" s="18"/>
      <c r="H713" s="15" t="s">
        <v>2944</v>
      </c>
      <c r="I713" s="15" t="s">
        <v>2945</v>
      </c>
      <c r="J713" s="19" t="s">
        <v>59</v>
      </c>
      <c r="K713" s="19" t="s">
        <v>2396</v>
      </c>
      <c r="L713" s="19" t="s">
        <v>38</v>
      </c>
      <c r="M713" s="20">
        <f t="shared" si="1"/>
        <v>0</v>
      </c>
      <c r="N713" s="21"/>
      <c r="O713" s="22"/>
      <c r="P713" s="19" t="s">
        <v>1145</v>
      </c>
      <c r="Q713" s="18"/>
      <c r="R713" s="18"/>
      <c r="S713" s="23">
        <v>0.0</v>
      </c>
      <c r="T713" s="23">
        <v>0.0</v>
      </c>
      <c r="U713" s="23">
        <f t="shared" si="2"/>
        <v>0</v>
      </c>
      <c r="V713" s="23">
        <f t="shared" si="3"/>
        <v>0</v>
      </c>
      <c r="W713" s="23">
        <f t="shared" si="4"/>
        <v>0</v>
      </c>
      <c r="X713" s="24" t="str">
        <f t="shared" si="5"/>
        <v>#DIV/0!</v>
      </c>
    </row>
    <row r="714">
      <c r="A714" s="15" t="s">
        <v>2946</v>
      </c>
      <c r="B714" s="18"/>
      <c r="C714" s="16"/>
      <c r="D714" s="18"/>
      <c r="E714" s="17" t="s">
        <v>2947</v>
      </c>
      <c r="F714" s="18"/>
      <c r="G714" s="18"/>
      <c r="H714" s="15" t="s">
        <v>2948</v>
      </c>
      <c r="I714" s="15" t="s">
        <v>2949</v>
      </c>
      <c r="J714" s="19" t="s">
        <v>59</v>
      </c>
      <c r="K714" s="19" t="s">
        <v>691</v>
      </c>
      <c r="L714" s="19" t="s">
        <v>38</v>
      </c>
      <c r="M714" s="20">
        <f t="shared" si="1"/>
        <v>0</v>
      </c>
      <c r="N714" s="21"/>
      <c r="O714" s="22"/>
      <c r="P714" s="19" t="s">
        <v>1145</v>
      </c>
      <c r="Q714" s="18"/>
      <c r="R714" s="18"/>
      <c r="S714" s="23">
        <v>0.0</v>
      </c>
      <c r="T714" s="23">
        <v>0.0</v>
      </c>
      <c r="U714" s="23">
        <f t="shared" si="2"/>
        <v>0</v>
      </c>
      <c r="V714" s="23">
        <f t="shared" si="3"/>
        <v>0</v>
      </c>
      <c r="W714" s="23">
        <f t="shared" si="4"/>
        <v>0</v>
      </c>
      <c r="X714" s="24" t="str">
        <f t="shared" si="5"/>
        <v>#DIV/0!</v>
      </c>
    </row>
    <row r="715">
      <c r="A715" s="15" t="s">
        <v>2950</v>
      </c>
      <c r="B715" s="18"/>
      <c r="C715" s="16"/>
      <c r="D715" s="18"/>
      <c r="E715" s="17" t="s">
        <v>2951</v>
      </c>
      <c r="F715" s="18"/>
      <c r="G715" s="18"/>
      <c r="H715" s="15" t="s">
        <v>2952</v>
      </c>
      <c r="I715" s="15" t="s">
        <v>2953</v>
      </c>
      <c r="J715" s="19" t="s">
        <v>59</v>
      </c>
      <c r="K715" s="19" t="s">
        <v>2396</v>
      </c>
      <c r="L715" s="19" t="s">
        <v>38</v>
      </c>
      <c r="M715" s="20">
        <f t="shared" si="1"/>
        <v>0</v>
      </c>
      <c r="N715" s="21"/>
      <c r="O715" s="22"/>
      <c r="P715" s="19" t="s">
        <v>1145</v>
      </c>
      <c r="Q715" s="18"/>
      <c r="R715" s="18"/>
      <c r="S715" s="23">
        <v>0.0</v>
      </c>
      <c r="T715" s="23">
        <v>0.0</v>
      </c>
      <c r="U715" s="23">
        <f t="shared" si="2"/>
        <v>0</v>
      </c>
      <c r="V715" s="23">
        <f t="shared" si="3"/>
        <v>0</v>
      </c>
      <c r="W715" s="23">
        <f t="shared" si="4"/>
        <v>0</v>
      </c>
      <c r="X715" s="24" t="str">
        <f t="shared" si="5"/>
        <v>#DIV/0!</v>
      </c>
    </row>
    <row r="716">
      <c r="A716" s="15" t="s">
        <v>2954</v>
      </c>
      <c r="B716" s="18"/>
      <c r="C716" s="16"/>
      <c r="D716" s="18"/>
      <c r="E716" s="17" t="s">
        <v>2955</v>
      </c>
      <c r="F716" s="18"/>
      <c r="G716" s="18"/>
      <c r="H716" s="15" t="s">
        <v>2956</v>
      </c>
      <c r="I716" s="15" t="s">
        <v>2957</v>
      </c>
      <c r="J716" s="19" t="s">
        <v>59</v>
      </c>
      <c r="K716" s="19" t="s">
        <v>2396</v>
      </c>
      <c r="L716" s="19" t="s">
        <v>38</v>
      </c>
      <c r="M716" s="20">
        <f t="shared" si="1"/>
        <v>0</v>
      </c>
      <c r="N716" s="21"/>
      <c r="O716" s="22"/>
      <c r="P716" s="19" t="s">
        <v>1145</v>
      </c>
      <c r="Q716" s="18"/>
      <c r="R716" s="18"/>
      <c r="S716" s="23">
        <v>0.0</v>
      </c>
      <c r="T716" s="23">
        <v>0.0</v>
      </c>
      <c r="U716" s="23">
        <f t="shared" si="2"/>
        <v>0</v>
      </c>
      <c r="V716" s="23">
        <f t="shared" si="3"/>
        <v>0</v>
      </c>
      <c r="W716" s="23">
        <f t="shared" si="4"/>
        <v>0</v>
      </c>
      <c r="X716" s="24" t="str">
        <f t="shared" si="5"/>
        <v>#DIV/0!</v>
      </c>
    </row>
    <row r="717">
      <c r="A717" s="15" t="s">
        <v>2958</v>
      </c>
      <c r="B717" s="18"/>
      <c r="C717" s="16"/>
      <c r="D717" s="18"/>
      <c r="E717" s="17" t="s">
        <v>2959</v>
      </c>
      <c r="F717" s="18"/>
      <c r="G717" s="18"/>
      <c r="H717" s="15" t="s">
        <v>2960</v>
      </c>
      <c r="I717" s="15" t="s">
        <v>2961</v>
      </c>
      <c r="J717" s="19" t="s">
        <v>59</v>
      </c>
      <c r="K717" s="19" t="s">
        <v>2396</v>
      </c>
      <c r="L717" s="19" t="s">
        <v>38</v>
      </c>
      <c r="M717" s="20">
        <f t="shared" si="1"/>
        <v>0</v>
      </c>
      <c r="N717" s="21"/>
      <c r="O717" s="22"/>
      <c r="P717" s="19" t="s">
        <v>1145</v>
      </c>
      <c r="Q717" s="18"/>
      <c r="R717" s="18"/>
      <c r="S717" s="23">
        <v>0.0</v>
      </c>
      <c r="T717" s="23">
        <v>0.0</v>
      </c>
      <c r="U717" s="23">
        <f t="shared" si="2"/>
        <v>0</v>
      </c>
      <c r="V717" s="23">
        <f t="shared" si="3"/>
        <v>0</v>
      </c>
      <c r="W717" s="23">
        <f t="shared" si="4"/>
        <v>0</v>
      </c>
      <c r="X717" s="24" t="str">
        <f t="shared" si="5"/>
        <v>#DIV/0!</v>
      </c>
    </row>
    <row r="718">
      <c r="A718" s="15" t="s">
        <v>2962</v>
      </c>
      <c r="B718" s="18"/>
      <c r="C718" s="16"/>
      <c r="D718" s="18"/>
      <c r="E718" s="17" t="s">
        <v>2963</v>
      </c>
      <c r="F718" s="18"/>
      <c r="G718" s="18"/>
      <c r="H718" s="15" t="s">
        <v>2964</v>
      </c>
      <c r="I718" s="15" t="s">
        <v>2965</v>
      </c>
      <c r="J718" s="19" t="s">
        <v>59</v>
      </c>
      <c r="K718" s="19" t="s">
        <v>2396</v>
      </c>
      <c r="L718" s="19" t="s">
        <v>38</v>
      </c>
      <c r="M718" s="20">
        <f t="shared" si="1"/>
        <v>0</v>
      </c>
      <c r="N718" s="21"/>
      <c r="O718" s="22"/>
      <c r="P718" s="19" t="s">
        <v>1145</v>
      </c>
      <c r="Q718" s="18"/>
      <c r="R718" s="18"/>
      <c r="S718" s="23">
        <v>0.0</v>
      </c>
      <c r="T718" s="23">
        <v>0.0</v>
      </c>
      <c r="U718" s="23">
        <f t="shared" si="2"/>
        <v>0</v>
      </c>
      <c r="V718" s="23">
        <f t="shared" si="3"/>
        <v>0</v>
      </c>
      <c r="W718" s="23">
        <f t="shared" si="4"/>
        <v>0</v>
      </c>
      <c r="X718" s="24" t="str">
        <f t="shared" si="5"/>
        <v>#DIV/0!</v>
      </c>
    </row>
    <row r="719">
      <c r="A719" s="15" t="s">
        <v>2966</v>
      </c>
      <c r="B719" s="18"/>
      <c r="C719" s="16"/>
      <c r="D719" s="18"/>
      <c r="E719" s="17" t="s">
        <v>2967</v>
      </c>
      <c r="F719" s="18"/>
      <c r="G719" s="18"/>
      <c r="H719" s="15" t="s">
        <v>2968</v>
      </c>
      <c r="I719" s="15" t="s">
        <v>2969</v>
      </c>
      <c r="J719" s="19" t="s">
        <v>59</v>
      </c>
      <c r="K719" s="19" t="s">
        <v>2396</v>
      </c>
      <c r="L719" s="19" t="s">
        <v>38</v>
      </c>
      <c r="M719" s="20">
        <f t="shared" si="1"/>
        <v>0</v>
      </c>
      <c r="N719" s="21"/>
      <c r="O719" s="22"/>
      <c r="P719" s="19" t="s">
        <v>1145</v>
      </c>
      <c r="Q719" s="18"/>
      <c r="R719" s="18"/>
      <c r="S719" s="23">
        <v>0.0</v>
      </c>
      <c r="T719" s="23">
        <v>0.0</v>
      </c>
      <c r="U719" s="23">
        <f t="shared" si="2"/>
        <v>0</v>
      </c>
      <c r="V719" s="23">
        <f t="shared" si="3"/>
        <v>0</v>
      </c>
      <c r="W719" s="23">
        <f t="shared" si="4"/>
        <v>0</v>
      </c>
      <c r="X719" s="24" t="str">
        <f t="shared" si="5"/>
        <v>#DIV/0!</v>
      </c>
    </row>
    <row r="720">
      <c r="A720" s="15" t="s">
        <v>2970</v>
      </c>
      <c r="B720" s="18"/>
      <c r="C720" s="16"/>
      <c r="D720" s="18"/>
      <c r="E720" s="17" t="s">
        <v>2967</v>
      </c>
      <c r="F720" s="18"/>
      <c r="G720" s="18"/>
      <c r="H720" s="15" t="s">
        <v>2971</v>
      </c>
      <c r="I720" s="15" t="s">
        <v>2972</v>
      </c>
      <c r="J720" s="19" t="s">
        <v>59</v>
      </c>
      <c r="K720" s="19" t="s">
        <v>2396</v>
      </c>
      <c r="L720" s="19" t="s">
        <v>38</v>
      </c>
      <c r="M720" s="20">
        <f t="shared" si="1"/>
        <v>0</v>
      </c>
      <c r="N720" s="21"/>
      <c r="O720" s="22"/>
      <c r="P720" s="19" t="s">
        <v>1145</v>
      </c>
      <c r="Q720" s="18"/>
      <c r="R720" s="18"/>
      <c r="S720" s="23">
        <v>0.0</v>
      </c>
      <c r="T720" s="23">
        <v>0.0</v>
      </c>
      <c r="U720" s="23">
        <f t="shared" si="2"/>
        <v>0</v>
      </c>
      <c r="V720" s="23">
        <f t="shared" si="3"/>
        <v>0</v>
      </c>
      <c r="W720" s="23">
        <f t="shared" si="4"/>
        <v>0</v>
      </c>
      <c r="X720" s="24" t="str">
        <f t="shared" si="5"/>
        <v>#DIV/0!</v>
      </c>
    </row>
    <row r="721">
      <c r="A721" s="15" t="s">
        <v>2973</v>
      </c>
      <c r="B721" s="18"/>
      <c r="C721" s="16"/>
      <c r="D721" s="18"/>
      <c r="E721" s="17" t="s">
        <v>2974</v>
      </c>
      <c r="F721" s="18"/>
      <c r="G721" s="18"/>
      <c r="H721" s="15" t="s">
        <v>2975</v>
      </c>
      <c r="I721" s="15" t="s">
        <v>2976</v>
      </c>
      <c r="J721" s="19" t="s">
        <v>59</v>
      </c>
      <c r="K721" s="19" t="s">
        <v>2396</v>
      </c>
      <c r="L721" s="19" t="s">
        <v>38</v>
      </c>
      <c r="M721" s="20">
        <f t="shared" si="1"/>
        <v>0</v>
      </c>
      <c r="N721" s="21"/>
      <c r="O721" s="22"/>
      <c r="P721" s="19" t="s">
        <v>1145</v>
      </c>
      <c r="Q721" s="18"/>
      <c r="R721" s="18"/>
      <c r="S721" s="23">
        <v>0.0</v>
      </c>
      <c r="T721" s="23">
        <v>0.0</v>
      </c>
      <c r="U721" s="23">
        <f t="shared" si="2"/>
        <v>0</v>
      </c>
      <c r="V721" s="23">
        <f t="shared" si="3"/>
        <v>0</v>
      </c>
      <c r="W721" s="23">
        <f t="shared" si="4"/>
        <v>0</v>
      </c>
      <c r="X721" s="24" t="str">
        <f t="shared" si="5"/>
        <v>#DIV/0!</v>
      </c>
    </row>
    <row r="722">
      <c r="A722" s="15" t="s">
        <v>2977</v>
      </c>
      <c r="B722" s="18"/>
      <c r="C722" s="16"/>
      <c r="D722" s="18"/>
      <c r="E722" s="17" t="s">
        <v>2978</v>
      </c>
      <c r="F722" s="18"/>
      <c r="G722" s="18"/>
      <c r="H722" s="15" t="s">
        <v>2979</v>
      </c>
      <c r="I722" s="15" t="s">
        <v>2980</v>
      </c>
      <c r="J722" s="19" t="s">
        <v>59</v>
      </c>
      <c r="K722" s="19" t="s">
        <v>2396</v>
      </c>
      <c r="L722" s="19" t="s">
        <v>38</v>
      </c>
      <c r="M722" s="20">
        <f t="shared" si="1"/>
        <v>0</v>
      </c>
      <c r="N722" s="21"/>
      <c r="O722" s="22"/>
      <c r="P722" s="19" t="s">
        <v>1145</v>
      </c>
      <c r="Q722" s="18"/>
      <c r="R722" s="18"/>
      <c r="S722" s="23">
        <v>0.0</v>
      </c>
      <c r="T722" s="23">
        <v>0.0</v>
      </c>
      <c r="U722" s="23">
        <f t="shared" si="2"/>
        <v>0</v>
      </c>
      <c r="V722" s="23">
        <f t="shared" si="3"/>
        <v>0</v>
      </c>
      <c r="W722" s="23">
        <f t="shared" si="4"/>
        <v>0</v>
      </c>
      <c r="X722" s="24" t="str">
        <f t="shared" si="5"/>
        <v>#DIV/0!</v>
      </c>
    </row>
    <row r="723">
      <c r="A723" s="15" t="s">
        <v>2981</v>
      </c>
      <c r="B723" s="18"/>
      <c r="C723" s="16"/>
      <c r="D723" s="18"/>
      <c r="E723" s="17" t="s">
        <v>2982</v>
      </c>
      <c r="F723" s="18"/>
      <c r="G723" s="18"/>
      <c r="H723" s="15" t="s">
        <v>2983</v>
      </c>
      <c r="I723" s="15" t="s">
        <v>2984</v>
      </c>
      <c r="J723" s="19" t="s">
        <v>59</v>
      </c>
      <c r="K723" s="19" t="s">
        <v>2396</v>
      </c>
      <c r="L723" s="19" t="s">
        <v>38</v>
      </c>
      <c r="M723" s="20">
        <f t="shared" si="1"/>
        <v>0</v>
      </c>
      <c r="N723" s="21"/>
      <c r="O723" s="22"/>
      <c r="P723" s="19" t="s">
        <v>1145</v>
      </c>
      <c r="Q723" s="18"/>
      <c r="R723" s="18"/>
      <c r="S723" s="23">
        <v>0.0</v>
      </c>
      <c r="T723" s="23">
        <v>0.0</v>
      </c>
      <c r="U723" s="23">
        <f t="shared" si="2"/>
        <v>0</v>
      </c>
      <c r="V723" s="23">
        <f t="shared" si="3"/>
        <v>0</v>
      </c>
      <c r="W723" s="23">
        <f t="shared" si="4"/>
        <v>0</v>
      </c>
      <c r="X723" s="24" t="str">
        <f t="shared" si="5"/>
        <v>#DIV/0!</v>
      </c>
      <c r="Z723" s="38">
        <v>306.0</v>
      </c>
      <c r="AA723" s="39">
        <f>M723/(1+$AA$1)</f>
        <v>0</v>
      </c>
      <c r="AB723" s="40" t="str">
        <f>AA723/W723</f>
        <v>#DIV/0!</v>
      </c>
      <c r="AD723" s="34">
        <v>4400.0</v>
      </c>
    </row>
    <row r="724">
      <c r="A724" s="15" t="s">
        <v>2985</v>
      </c>
      <c r="B724" s="18"/>
      <c r="C724" s="16"/>
      <c r="D724" s="18"/>
      <c r="E724" s="17" t="s">
        <v>2986</v>
      </c>
      <c r="F724" s="18"/>
      <c r="G724" s="18"/>
      <c r="H724" s="15" t="s">
        <v>2987</v>
      </c>
      <c r="I724" s="15" t="s">
        <v>2988</v>
      </c>
      <c r="J724" s="19" t="s">
        <v>59</v>
      </c>
      <c r="K724" s="19" t="s">
        <v>2396</v>
      </c>
      <c r="L724" s="19" t="s">
        <v>38</v>
      </c>
      <c r="M724" s="20">
        <f t="shared" si="1"/>
        <v>0</v>
      </c>
      <c r="N724" s="21"/>
      <c r="O724" s="22"/>
      <c r="P724" s="19" t="s">
        <v>1145</v>
      </c>
      <c r="Q724" s="18"/>
      <c r="R724" s="18"/>
      <c r="S724" s="23">
        <v>0.0</v>
      </c>
      <c r="T724" s="23">
        <v>0.0</v>
      </c>
      <c r="U724" s="23">
        <f t="shared" si="2"/>
        <v>0</v>
      </c>
      <c r="V724" s="23">
        <f t="shared" si="3"/>
        <v>0</v>
      </c>
      <c r="W724" s="23">
        <f t="shared" si="4"/>
        <v>0</v>
      </c>
      <c r="X724" s="24" t="str">
        <f t="shared" si="5"/>
        <v>#DIV/0!</v>
      </c>
    </row>
    <row r="725">
      <c r="A725" s="15" t="s">
        <v>2989</v>
      </c>
      <c r="B725" s="18"/>
      <c r="C725" s="16"/>
      <c r="D725" s="18"/>
      <c r="E725" s="17" t="s">
        <v>2990</v>
      </c>
      <c r="F725" s="18"/>
      <c r="G725" s="18"/>
      <c r="H725" s="15" t="s">
        <v>2991</v>
      </c>
      <c r="I725" s="15" t="s">
        <v>2992</v>
      </c>
      <c r="J725" s="19" t="s">
        <v>59</v>
      </c>
      <c r="K725" s="19" t="s">
        <v>2396</v>
      </c>
      <c r="L725" s="19" t="s">
        <v>38</v>
      </c>
      <c r="M725" s="20">
        <f t="shared" si="1"/>
        <v>0</v>
      </c>
      <c r="N725" s="21"/>
      <c r="O725" s="22"/>
      <c r="P725" s="19" t="s">
        <v>1145</v>
      </c>
      <c r="Q725" s="18"/>
      <c r="R725" s="18"/>
      <c r="S725" s="23">
        <v>0.0</v>
      </c>
      <c r="T725" s="23">
        <v>0.0</v>
      </c>
      <c r="U725" s="23">
        <f t="shared" si="2"/>
        <v>0</v>
      </c>
      <c r="V725" s="23">
        <f t="shared" si="3"/>
        <v>0</v>
      </c>
      <c r="W725" s="23">
        <f t="shared" si="4"/>
        <v>0</v>
      </c>
      <c r="X725" s="24" t="str">
        <f t="shared" si="5"/>
        <v>#DIV/0!</v>
      </c>
    </row>
    <row r="726">
      <c r="A726" s="15" t="s">
        <v>2993</v>
      </c>
      <c r="B726" s="18"/>
      <c r="C726" s="16"/>
      <c r="D726" s="18"/>
      <c r="E726" s="17" t="s">
        <v>2994</v>
      </c>
      <c r="F726" s="18"/>
      <c r="G726" s="18"/>
      <c r="H726" s="15" t="s">
        <v>2995</v>
      </c>
      <c r="I726" s="15" t="s">
        <v>2996</v>
      </c>
      <c r="J726" s="19" t="s">
        <v>59</v>
      </c>
      <c r="K726" s="19" t="s">
        <v>2396</v>
      </c>
      <c r="L726" s="19" t="s">
        <v>38</v>
      </c>
      <c r="M726" s="20">
        <f t="shared" si="1"/>
        <v>0</v>
      </c>
      <c r="N726" s="21"/>
      <c r="O726" s="22"/>
      <c r="P726" s="19" t="s">
        <v>1145</v>
      </c>
      <c r="Q726" s="18"/>
      <c r="R726" s="18"/>
      <c r="S726" s="23">
        <v>0.0</v>
      </c>
      <c r="T726" s="23">
        <v>0.0</v>
      </c>
      <c r="U726" s="23">
        <f t="shared" si="2"/>
        <v>0</v>
      </c>
      <c r="V726" s="23">
        <f t="shared" si="3"/>
        <v>0</v>
      </c>
      <c r="W726" s="23">
        <f t="shared" si="4"/>
        <v>0</v>
      </c>
      <c r="X726" s="24" t="str">
        <f t="shared" si="5"/>
        <v>#DIV/0!</v>
      </c>
    </row>
    <row r="727">
      <c r="A727" s="15" t="s">
        <v>2997</v>
      </c>
      <c r="B727" s="18"/>
      <c r="C727" s="16"/>
      <c r="D727" s="18"/>
      <c r="E727" s="17" t="s">
        <v>2998</v>
      </c>
      <c r="F727" s="18"/>
      <c r="G727" s="18"/>
      <c r="H727" s="15" t="s">
        <v>2999</v>
      </c>
      <c r="I727" s="15" t="s">
        <v>3000</v>
      </c>
      <c r="J727" s="19" t="s">
        <v>59</v>
      </c>
      <c r="K727" s="19" t="s">
        <v>2396</v>
      </c>
      <c r="L727" s="19" t="s">
        <v>38</v>
      </c>
      <c r="M727" s="20">
        <f t="shared" si="1"/>
        <v>0</v>
      </c>
      <c r="N727" s="21"/>
      <c r="O727" s="22"/>
      <c r="P727" s="19" t="s">
        <v>1145</v>
      </c>
      <c r="Q727" s="18"/>
      <c r="R727" s="18"/>
      <c r="S727" s="23">
        <v>0.0</v>
      </c>
      <c r="T727" s="23">
        <v>0.0</v>
      </c>
      <c r="U727" s="23">
        <f t="shared" si="2"/>
        <v>0</v>
      </c>
      <c r="V727" s="23">
        <f t="shared" si="3"/>
        <v>0</v>
      </c>
      <c r="W727" s="23">
        <f t="shared" si="4"/>
        <v>0</v>
      </c>
      <c r="X727" s="24" t="str">
        <f t="shared" si="5"/>
        <v>#DIV/0!</v>
      </c>
    </row>
    <row r="728">
      <c r="A728" s="15" t="s">
        <v>3001</v>
      </c>
      <c r="B728" s="18" t="str">
        <f>CONCATENATE(7504589,A728)</f>
        <v>75045892132</v>
      </c>
      <c r="C728" s="16"/>
      <c r="D728" s="15" t="s">
        <v>3002</v>
      </c>
      <c r="E728" s="17" t="s">
        <v>3003</v>
      </c>
      <c r="F728" s="18"/>
      <c r="G728" s="18"/>
      <c r="H728" s="15" t="s">
        <v>3004</v>
      </c>
      <c r="I728" s="15" t="s">
        <v>3005</v>
      </c>
      <c r="J728" s="19" t="s">
        <v>59</v>
      </c>
      <c r="K728" s="19" t="s">
        <v>2396</v>
      </c>
      <c r="L728" s="19" t="s">
        <v>38</v>
      </c>
      <c r="M728" s="20">
        <f t="shared" si="1"/>
        <v>0</v>
      </c>
      <c r="N728" s="21"/>
      <c r="O728" s="22"/>
      <c r="P728" s="19" t="s">
        <v>1145</v>
      </c>
      <c r="Q728" s="18"/>
      <c r="R728" s="18"/>
      <c r="S728" s="23">
        <v>0.0</v>
      </c>
      <c r="T728" s="23">
        <v>0.0</v>
      </c>
      <c r="U728" s="23">
        <f t="shared" si="2"/>
        <v>0</v>
      </c>
      <c r="V728" s="23">
        <f t="shared" si="3"/>
        <v>0</v>
      </c>
      <c r="W728" s="23">
        <f t="shared" si="4"/>
        <v>0</v>
      </c>
      <c r="X728" s="24" t="str">
        <f t="shared" si="5"/>
        <v>#DIV/0!</v>
      </c>
    </row>
    <row r="729">
      <c r="A729" s="15" t="s">
        <v>3006</v>
      </c>
      <c r="B729" s="18"/>
      <c r="C729" s="16"/>
      <c r="D729" s="18"/>
      <c r="E729" s="17" t="s">
        <v>3007</v>
      </c>
      <c r="F729" s="18"/>
      <c r="G729" s="18"/>
      <c r="H729" s="15" t="s">
        <v>3008</v>
      </c>
      <c r="I729" s="15" t="s">
        <v>3009</v>
      </c>
      <c r="J729" s="19" t="s">
        <v>59</v>
      </c>
      <c r="K729" s="19" t="s">
        <v>2396</v>
      </c>
      <c r="L729" s="19" t="s">
        <v>38</v>
      </c>
      <c r="M729" s="20">
        <f t="shared" si="1"/>
        <v>0</v>
      </c>
      <c r="N729" s="21"/>
      <c r="O729" s="22"/>
      <c r="P729" s="19" t="s">
        <v>1145</v>
      </c>
      <c r="Q729" s="18"/>
      <c r="R729" s="18"/>
      <c r="S729" s="23">
        <v>0.0</v>
      </c>
      <c r="T729" s="23">
        <v>0.0</v>
      </c>
      <c r="U729" s="23">
        <f t="shared" si="2"/>
        <v>0</v>
      </c>
      <c r="V729" s="23">
        <f t="shared" si="3"/>
        <v>0</v>
      </c>
      <c r="W729" s="23">
        <f t="shared" si="4"/>
        <v>0</v>
      </c>
      <c r="X729" s="24" t="str">
        <f t="shared" si="5"/>
        <v>#DIV/0!</v>
      </c>
    </row>
    <row r="730">
      <c r="A730" s="15" t="s">
        <v>3010</v>
      </c>
      <c r="B730" s="18"/>
      <c r="C730" s="16"/>
      <c r="D730" s="18"/>
      <c r="E730" s="17" t="s">
        <v>3011</v>
      </c>
      <c r="F730" s="18"/>
      <c r="G730" s="18"/>
      <c r="H730" s="15" t="s">
        <v>3012</v>
      </c>
      <c r="I730" s="15" t="s">
        <v>3013</v>
      </c>
      <c r="J730" s="19" t="s">
        <v>59</v>
      </c>
      <c r="K730" s="19" t="s">
        <v>2396</v>
      </c>
      <c r="L730" s="19" t="s">
        <v>38</v>
      </c>
      <c r="M730" s="20">
        <f t="shared" si="1"/>
        <v>0</v>
      </c>
      <c r="N730" s="21"/>
      <c r="O730" s="22"/>
      <c r="P730" s="19" t="s">
        <v>1145</v>
      </c>
      <c r="Q730" s="18"/>
      <c r="R730" s="18"/>
      <c r="S730" s="23">
        <v>0.0</v>
      </c>
      <c r="T730" s="23">
        <v>0.0</v>
      </c>
      <c r="U730" s="23">
        <f t="shared" si="2"/>
        <v>0</v>
      </c>
      <c r="V730" s="23">
        <f t="shared" si="3"/>
        <v>0</v>
      </c>
      <c r="W730" s="23">
        <f t="shared" si="4"/>
        <v>0</v>
      </c>
      <c r="X730" s="24" t="str">
        <f t="shared" si="5"/>
        <v>#DIV/0!</v>
      </c>
    </row>
    <row r="731">
      <c r="A731" s="15" t="s">
        <v>3014</v>
      </c>
      <c r="B731" s="18"/>
      <c r="C731" s="16"/>
      <c r="D731" s="18"/>
      <c r="E731" s="17" t="s">
        <v>3015</v>
      </c>
      <c r="F731" s="18"/>
      <c r="G731" s="18"/>
      <c r="H731" s="15" t="s">
        <v>3016</v>
      </c>
      <c r="I731" s="15" t="s">
        <v>3017</v>
      </c>
      <c r="J731" s="19" t="s">
        <v>59</v>
      </c>
      <c r="K731" s="19" t="s">
        <v>2396</v>
      </c>
      <c r="L731" s="19" t="s">
        <v>38</v>
      </c>
      <c r="M731" s="20">
        <f t="shared" si="1"/>
        <v>0</v>
      </c>
      <c r="N731" s="21"/>
      <c r="O731" s="22"/>
      <c r="P731" s="19" t="s">
        <v>1145</v>
      </c>
      <c r="Q731" s="18"/>
      <c r="R731" s="18"/>
      <c r="S731" s="23">
        <v>0.0</v>
      </c>
      <c r="T731" s="23">
        <v>0.0</v>
      </c>
      <c r="U731" s="23">
        <f t="shared" si="2"/>
        <v>0</v>
      </c>
      <c r="V731" s="23">
        <f t="shared" si="3"/>
        <v>0</v>
      </c>
      <c r="W731" s="23">
        <f t="shared" si="4"/>
        <v>0</v>
      </c>
      <c r="X731" s="24" t="str">
        <f t="shared" si="5"/>
        <v>#DIV/0!</v>
      </c>
    </row>
    <row r="732">
      <c r="A732" s="15" t="s">
        <v>3018</v>
      </c>
      <c r="B732" s="18"/>
      <c r="C732" s="16"/>
      <c r="D732" s="18"/>
      <c r="E732" s="17" t="s">
        <v>3019</v>
      </c>
      <c r="F732" s="18"/>
      <c r="G732" s="18"/>
      <c r="H732" s="15" t="s">
        <v>3020</v>
      </c>
      <c r="I732" s="18"/>
      <c r="J732" s="19" t="s">
        <v>59</v>
      </c>
      <c r="K732" s="19" t="s">
        <v>2396</v>
      </c>
      <c r="L732" s="19" t="s">
        <v>38</v>
      </c>
      <c r="M732" s="20">
        <f t="shared" si="1"/>
        <v>0</v>
      </c>
      <c r="N732" s="21"/>
      <c r="O732" s="22"/>
      <c r="P732" s="19" t="s">
        <v>1145</v>
      </c>
      <c r="Q732" s="18"/>
      <c r="R732" s="18"/>
      <c r="S732" s="23">
        <v>0.0</v>
      </c>
      <c r="T732" s="23">
        <v>0.0</v>
      </c>
      <c r="U732" s="23">
        <f t="shared" si="2"/>
        <v>0</v>
      </c>
      <c r="V732" s="23">
        <f t="shared" si="3"/>
        <v>0</v>
      </c>
      <c r="W732" s="23">
        <f t="shared" si="4"/>
        <v>0</v>
      </c>
      <c r="X732" s="24" t="str">
        <f t="shared" si="5"/>
        <v>#DIV/0!</v>
      </c>
    </row>
    <row r="733">
      <c r="A733" s="15" t="s">
        <v>3021</v>
      </c>
      <c r="B733" s="18"/>
      <c r="C733" s="16"/>
      <c r="D733" s="18"/>
      <c r="E733" s="17" t="s">
        <v>3022</v>
      </c>
      <c r="F733" s="18"/>
      <c r="G733" s="18"/>
      <c r="H733" s="15" t="s">
        <v>3023</v>
      </c>
      <c r="I733" s="15" t="s">
        <v>3024</v>
      </c>
      <c r="J733" s="19" t="s">
        <v>59</v>
      </c>
      <c r="K733" s="19" t="s">
        <v>2387</v>
      </c>
      <c r="L733" s="19" t="s">
        <v>38</v>
      </c>
      <c r="M733" s="20">
        <f t="shared" si="1"/>
        <v>0</v>
      </c>
      <c r="N733" s="21"/>
      <c r="O733" s="22"/>
      <c r="P733" s="19" t="s">
        <v>1145</v>
      </c>
      <c r="Q733" s="18"/>
      <c r="R733" s="18"/>
      <c r="S733" s="23">
        <v>0.0</v>
      </c>
      <c r="T733" s="23">
        <v>0.0</v>
      </c>
      <c r="U733" s="23">
        <f t="shared" si="2"/>
        <v>0</v>
      </c>
      <c r="V733" s="23">
        <f t="shared" si="3"/>
        <v>0</v>
      </c>
      <c r="W733" s="23">
        <f t="shared" si="4"/>
        <v>0</v>
      </c>
      <c r="X733" s="24" t="str">
        <f t="shared" si="5"/>
        <v>#DIV/0!</v>
      </c>
    </row>
    <row r="734">
      <c r="A734" s="15" t="s">
        <v>3025</v>
      </c>
      <c r="B734" s="18"/>
      <c r="C734" s="16"/>
      <c r="D734" s="18"/>
      <c r="E734" s="17" t="s">
        <v>3026</v>
      </c>
      <c r="F734" s="18"/>
      <c r="G734" s="18"/>
      <c r="H734" s="15" t="s">
        <v>3027</v>
      </c>
      <c r="I734" s="15" t="s">
        <v>3028</v>
      </c>
      <c r="J734" s="19" t="s">
        <v>59</v>
      </c>
      <c r="K734" s="19" t="s">
        <v>2387</v>
      </c>
      <c r="L734" s="19" t="s">
        <v>38</v>
      </c>
      <c r="M734" s="20">
        <f t="shared" si="1"/>
        <v>0</v>
      </c>
      <c r="N734" s="21"/>
      <c r="O734" s="22"/>
      <c r="P734" s="19" t="s">
        <v>1145</v>
      </c>
      <c r="Q734" s="18"/>
      <c r="R734" s="18"/>
      <c r="S734" s="23">
        <v>0.0</v>
      </c>
      <c r="T734" s="23">
        <v>0.0</v>
      </c>
      <c r="U734" s="23">
        <f t="shared" si="2"/>
        <v>0</v>
      </c>
      <c r="V734" s="23">
        <f t="shared" si="3"/>
        <v>0</v>
      </c>
      <c r="W734" s="23">
        <f t="shared" si="4"/>
        <v>0</v>
      </c>
      <c r="X734" s="24" t="str">
        <f t="shared" si="5"/>
        <v>#DIV/0!</v>
      </c>
    </row>
    <row r="735">
      <c r="A735" s="15" t="s">
        <v>3029</v>
      </c>
      <c r="B735" s="18"/>
      <c r="C735" s="16"/>
      <c r="D735" s="18"/>
      <c r="E735" s="17" t="s">
        <v>3030</v>
      </c>
      <c r="F735" s="18"/>
      <c r="G735" s="18"/>
      <c r="H735" s="15" t="s">
        <v>3031</v>
      </c>
      <c r="I735" s="15" t="s">
        <v>3032</v>
      </c>
      <c r="J735" s="19" t="s">
        <v>59</v>
      </c>
      <c r="K735" s="19" t="s">
        <v>691</v>
      </c>
      <c r="L735" s="19" t="s">
        <v>38</v>
      </c>
      <c r="M735" s="20">
        <f t="shared" si="1"/>
        <v>0</v>
      </c>
      <c r="N735" s="21"/>
      <c r="O735" s="22"/>
      <c r="P735" s="19" t="s">
        <v>1145</v>
      </c>
      <c r="Q735" s="18"/>
      <c r="R735" s="18"/>
      <c r="S735" s="23">
        <v>0.0</v>
      </c>
      <c r="T735" s="23">
        <v>0.0</v>
      </c>
      <c r="U735" s="23">
        <f t="shared" si="2"/>
        <v>0</v>
      </c>
      <c r="V735" s="23">
        <f t="shared" si="3"/>
        <v>0</v>
      </c>
      <c r="W735" s="23">
        <f t="shared" si="4"/>
        <v>0</v>
      </c>
      <c r="X735" s="24" t="str">
        <f t="shared" si="5"/>
        <v>#DIV/0!</v>
      </c>
    </row>
    <row r="736">
      <c r="A736" s="15" t="s">
        <v>3033</v>
      </c>
      <c r="B736" s="18"/>
      <c r="C736" s="16"/>
      <c r="D736" s="18"/>
      <c r="E736" s="17" t="s">
        <v>3034</v>
      </c>
      <c r="F736" s="18"/>
      <c r="G736" s="18"/>
      <c r="H736" s="15" t="s">
        <v>3035</v>
      </c>
      <c r="I736" s="15" t="s">
        <v>3036</v>
      </c>
      <c r="J736" s="19" t="s">
        <v>59</v>
      </c>
      <c r="K736" s="19" t="s">
        <v>2387</v>
      </c>
      <c r="L736" s="19" t="s">
        <v>38</v>
      </c>
      <c r="M736" s="20">
        <f t="shared" si="1"/>
        <v>0</v>
      </c>
      <c r="N736" s="21"/>
      <c r="O736" s="22"/>
      <c r="P736" s="19" t="s">
        <v>1145</v>
      </c>
      <c r="Q736" s="18"/>
      <c r="R736" s="18"/>
      <c r="S736" s="23">
        <v>0.0</v>
      </c>
      <c r="T736" s="23">
        <v>0.0</v>
      </c>
      <c r="U736" s="23">
        <f t="shared" si="2"/>
        <v>0</v>
      </c>
      <c r="V736" s="23">
        <f t="shared" si="3"/>
        <v>0</v>
      </c>
      <c r="W736" s="23">
        <f t="shared" si="4"/>
        <v>0</v>
      </c>
      <c r="X736" s="24" t="str">
        <f t="shared" si="5"/>
        <v>#DIV/0!</v>
      </c>
    </row>
    <row r="737">
      <c r="A737" s="15" t="s">
        <v>3037</v>
      </c>
      <c r="B737" s="18"/>
      <c r="C737" s="16"/>
      <c r="D737" s="18"/>
      <c r="E737" s="17" t="s">
        <v>3038</v>
      </c>
      <c r="F737" s="18"/>
      <c r="G737" s="18"/>
      <c r="H737" s="15" t="s">
        <v>3039</v>
      </c>
      <c r="I737" s="15" t="s">
        <v>3040</v>
      </c>
      <c r="J737" s="19" t="s">
        <v>59</v>
      </c>
      <c r="K737" s="19" t="s">
        <v>691</v>
      </c>
      <c r="L737" s="19" t="s">
        <v>38</v>
      </c>
      <c r="M737" s="20">
        <f t="shared" si="1"/>
        <v>0</v>
      </c>
      <c r="N737" s="21"/>
      <c r="O737" s="22"/>
      <c r="P737" s="19" t="s">
        <v>1145</v>
      </c>
      <c r="Q737" s="18"/>
      <c r="R737" s="18"/>
      <c r="S737" s="23">
        <v>0.0</v>
      </c>
      <c r="T737" s="23">
        <v>0.0</v>
      </c>
      <c r="U737" s="23">
        <f t="shared" si="2"/>
        <v>0</v>
      </c>
      <c r="V737" s="23">
        <f t="shared" si="3"/>
        <v>0</v>
      </c>
      <c r="W737" s="23">
        <f t="shared" si="4"/>
        <v>0</v>
      </c>
      <c r="X737" s="24" t="str">
        <f t="shared" si="5"/>
        <v>#DIV/0!</v>
      </c>
    </row>
    <row r="738">
      <c r="A738" s="15" t="s">
        <v>3041</v>
      </c>
      <c r="B738" s="18"/>
      <c r="C738" s="16"/>
      <c r="D738" s="18"/>
      <c r="E738" s="17" t="s">
        <v>3042</v>
      </c>
      <c r="F738" s="18"/>
      <c r="G738" s="18"/>
      <c r="H738" s="15" t="s">
        <v>3043</v>
      </c>
      <c r="I738" s="15" t="s">
        <v>3044</v>
      </c>
      <c r="J738" s="19" t="s">
        <v>59</v>
      </c>
      <c r="K738" s="19" t="s">
        <v>2401</v>
      </c>
      <c r="L738" s="19" t="s">
        <v>38</v>
      </c>
      <c r="M738" s="20">
        <f t="shared" si="1"/>
        <v>0</v>
      </c>
      <c r="N738" s="21"/>
      <c r="O738" s="22"/>
      <c r="P738" s="19" t="s">
        <v>1145</v>
      </c>
      <c r="Q738" s="18"/>
      <c r="R738" s="18"/>
      <c r="S738" s="23">
        <v>0.0</v>
      </c>
      <c r="T738" s="23">
        <v>0.0</v>
      </c>
      <c r="U738" s="23">
        <f t="shared" si="2"/>
        <v>0</v>
      </c>
      <c r="V738" s="23">
        <f t="shared" si="3"/>
        <v>0</v>
      </c>
      <c r="W738" s="23">
        <f t="shared" si="4"/>
        <v>0</v>
      </c>
      <c r="X738" s="24" t="str">
        <f t="shared" si="5"/>
        <v>#DIV/0!</v>
      </c>
    </row>
    <row r="739">
      <c r="A739" s="15" t="s">
        <v>3045</v>
      </c>
      <c r="B739" s="18"/>
      <c r="C739" s="16"/>
      <c r="D739" s="18"/>
      <c r="E739" s="17" t="s">
        <v>3046</v>
      </c>
      <c r="F739" s="18"/>
      <c r="G739" s="18"/>
      <c r="H739" s="15" t="s">
        <v>3047</v>
      </c>
      <c r="I739" s="15" t="s">
        <v>3048</v>
      </c>
      <c r="J739" s="19" t="s">
        <v>59</v>
      </c>
      <c r="K739" s="19" t="s">
        <v>2401</v>
      </c>
      <c r="L739" s="19" t="s">
        <v>38</v>
      </c>
      <c r="M739" s="20">
        <f t="shared" si="1"/>
        <v>0</v>
      </c>
      <c r="N739" s="21"/>
      <c r="O739" s="22"/>
      <c r="P739" s="19" t="s">
        <v>1145</v>
      </c>
      <c r="Q739" s="18"/>
      <c r="R739" s="18"/>
      <c r="S739" s="23">
        <v>0.0</v>
      </c>
      <c r="T739" s="23">
        <v>0.0</v>
      </c>
      <c r="U739" s="23">
        <f t="shared" si="2"/>
        <v>0</v>
      </c>
      <c r="V739" s="23">
        <f t="shared" si="3"/>
        <v>0</v>
      </c>
      <c r="W739" s="23">
        <f t="shared" si="4"/>
        <v>0</v>
      </c>
      <c r="X739" s="24" t="str">
        <f t="shared" si="5"/>
        <v>#DIV/0!</v>
      </c>
    </row>
    <row r="740">
      <c r="A740" s="15" t="s">
        <v>3049</v>
      </c>
      <c r="B740" s="18"/>
      <c r="C740" s="16"/>
      <c r="D740" s="18"/>
      <c r="E740" s="17" t="s">
        <v>3050</v>
      </c>
      <c r="F740" s="18"/>
      <c r="G740" s="18"/>
      <c r="H740" s="15" t="s">
        <v>3051</v>
      </c>
      <c r="I740" s="15" t="s">
        <v>3052</v>
      </c>
      <c r="J740" s="19" t="s">
        <v>59</v>
      </c>
      <c r="K740" s="19" t="s">
        <v>2401</v>
      </c>
      <c r="L740" s="19" t="s">
        <v>38</v>
      </c>
      <c r="M740" s="20">
        <f t="shared" si="1"/>
        <v>0</v>
      </c>
      <c r="N740" s="21"/>
      <c r="O740" s="22"/>
      <c r="P740" s="19" t="s">
        <v>1145</v>
      </c>
      <c r="Q740" s="18"/>
      <c r="R740" s="18"/>
      <c r="S740" s="23">
        <v>0.0</v>
      </c>
      <c r="T740" s="23">
        <v>0.0</v>
      </c>
      <c r="U740" s="23">
        <f t="shared" si="2"/>
        <v>0</v>
      </c>
      <c r="V740" s="23">
        <f t="shared" si="3"/>
        <v>0</v>
      </c>
      <c r="W740" s="23">
        <f t="shared" si="4"/>
        <v>0</v>
      </c>
      <c r="X740" s="24" t="str">
        <f t="shared" si="5"/>
        <v>#DIV/0!</v>
      </c>
    </row>
    <row r="741">
      <c r="A741" s="15" t="s">
        <v>3053</v>
      </c>
      <c r="B741" s="18"/>
      <c r="C741" s="16"/>
      <c r="D741" s="18"/>
      <c r="E741" s="17" t="s">
        <v>3054</v>
      </c>
      <c r="F741" s="18"/>
      <c r="G741" s="18"/>
      <c r="H741" s="15" t="s">
        <v>3055</v>
      </c>
      <c r="I741" s="15" t="s">
        <v>3056</v>
      </c>
      <c r="J741" s="19" t="s">
        <v>59</v>
      </c>
      <c r="K741" s="19" t="s">
        <v>2401</v>
      </c>
      <c r="L741" s="19" t="s">
        <v>38</v>
      </c>
      <c r="M741" s="20">
        <f t="shared" si="1"/>
        <v>0</v>
      </c>
      <c r="N741" s="21"/>
      <c r="O741" s="22"/>
      <c r="P741" s="19" t="s">
        <v>1145</v>
      </c>
      <c r="Q741" s="18"/>
      <c r="R741" s="18"/>
      <c r="S741" s="23">
        <v>0.0</v>
      </c>
      <c r="T741" s="23">
        <v>0.0</v>
      </c>
      <c r="U741" s="23">
        <f t="shared" si="2"/>
        <v>0</v>
      </c>
      <c r="V741" s="23">
        <f t="shared" si="3"/>
        <v>0</v>
      </c>
      <c r="W741" s="23">
        <f t="shared" si="4"/>
        <v>0</v>
      </c>
      <c r="X741" s="24" t="str">
        <f t="shared" si="5"/>
        <v>#DIV/0!</v>
      </c>
    </row>
    <row r="742">
      <c r="A742" s="15" t="s">
        <v>3057</v>
      </c>
      <c r="B742" s="18"/>
      <c r="C742" s="16"/>
      <c r="D742" s="18"/>
      <c r="E742" s="17" t="s">
        <v>3058</v>
      </c>
      <c r="F742" s="18"/>
      <c r="G742" s="18"/>
      <c r="H742" s="15" t="s">
        <v>3059</v>
      </c>
      <c r="I742" s="15" t="s">
        <v>3060</v>
      </c>
      <c r="J742" s="19" t="s">
        <v>59</v>
      </c>
      <c r="K742" s="19" t="s">
        <v>2401</v>
      </c>
      <c r="L742" s="19" t="s">
        <v>38</v>
      </c>
      <c r="M742" s="20">
        <f t="shared" si="1"/>
        <v>0</v>
      </c>
      <c r="N742" s="21"/>
      <c r="O742" s="22"/>
      <c r="P742" s="19" t="s">
        <v>1145</v>
      </c>
      <c r="Q742" s="18"/>
      <c r="R742" s="18"/>
      <c r="S742" s="23">
        <v>0.0</v>
      </c>
      <c r="T742" s="23">
        <v>0.0</v>
      </c>
      <c r="U742" s="23">
        <f t="shared" si="2"/>
        <v>0</v>
      </c>
      <c r="V742" s="23">
        <f t="shared" si="3"/>
        <v>0</v>
      </c>
      <c r="W742" s="23">
        <f t="shared" si="4"/>
        <v>0</v>
      </c>
      <c r="X742" s="24" t="str">
        <f t="shared" si="5"/>
        <v>#DIV/0!</v>
      </c>
    </row>
    <row r="743">
      <c r="A743" s="15" t="s">
        <v>3061</v>
      </c>
      <c r="B743" s="18"/>
      <c r="C743" s="16"/>
      <c r="D743" s="18"/>
      <c r="E743" s="17" t="s">
        <v>3062</v>
      </c>
      <c r="F743" s="18"/>
      <c r="G743" s="18"/>
      <c r="H743" s="15" t="s">
        <v>3063</v>
      </c>
      <c r="I743" s="15" t="s">
        <v>3064</v>
      </c>
      <c r="J743" s="19" t="s">
        <v>59</v>
      </c>
      <c r="K743" s="19" t="s">
        <v>2401</v>
      </c>
      <c r="L743" s="19" t="s">
        <v>38</v>
      </c>
      <c r="M743" s="20">
        <f t="shared" si="1"/>
        <v>0</v>
      </c>
      <c r="N743" s="21"/>
      <c r="O743" s="22"/>
      <c r="P743" s="19" t="s">
        <v>1145</v>
      </c>
      <c r="Q743" s="18"/>
      <c r="R743" s="18"/>
      <c r="S743" s="23">
        <v>0.0</v>
      </c>
      <c r="T743" s="23">
        <v>0.0</v>
      </c>
      <c r="U743" s="23">
        <f t="shared" si="2"/>
        <v>0</v>
      </c>
      <c r="V743" s="23">
        <f t="shared" si="3"/>
        <v>0</v>
      </c>
      <c r="W743" s="23">
        <f t="shared" si="4"/>
        <v>0</v>
      </c>
      <c r="X743" s="24" t="str">
        <f t="shared" si="5"/>
        <v>#DIV/0!</v>
      </c>
    </row>
    <row r="744">
      <c r="A744" s="15" t="s">
        <v>3065</v>
      </c>
      <c r="B744" s="18"/>
      <c r="C744" s="16"/>
      <c r="D744" s="18"/>
      <c r="E744" s="17" t="s">
        <v>3066</v>
      </c>
      <c r="F744" s="18"/>
      <c r="G744" s="18"/>
      <c r="H744" s="15" t="s">
        <v>3067</v>
      </c>
      <c r="I744" s="15" t="s">
        <v>3068</v>
      </c>
      <c r="J744" s="19" t="s">
        <v>59</v>
      </c>
      <c r="K744" s="19" t="s">
        <v>691</v>
      </c>
      <c r="L744" s="19" t="s">
        <v>38</v>
      </c>
      <c r="M744" s="20">
        <f t="shared" si="1"/>
        <v>0</v>
      </c>
      <c r="N744" s="21"/>
      <c r="O744" s="22"/>
      <c r="P744" s="19" t="s">
        <v>1145</v>
      </c>
      <c r="Q744" s="18"/>
      <c r="R744" s="18"/>
      <c r="S744" s="23">
        <v>0.0</v>
      </c>
      <c r="T744" s="23">
        <v>0.0</v>
      </c>
      <c r="U744" s="23">
        <f t="shared" si="2"/>
        <v>0</v>
      </c>
      <c r="V744" s="23">
        <f t="shared" si="3"/>
        <v>0</v>
      </c>
      <c r="W744" s="23">
        <f t="shared" si="4"/>
        <v>0</v>
      </c>
      <c r="X744" s="24" t="str">
        <f t="shared" si="5"/>
        <v>#DIV/0!</v>
      </c>
    </row>
    <row r="745">
      <c r="A745" s="15" t="s">
        <v>3069</v>
      </c>
      <c r="B745" s="18"/>
      <c r="C745" s="16"/>
      <c r="D745" s="18"/>
      <c r="E745" s="17" t="s">
        <v>3070</v>
      </c>
      <c r="F745" s="18"/>
      <c r="G745" s="18"/>
      <c r="H745" s="15" t="s">
        <v>3071</v>
      </c>
      <c r="I745" s="15" t="s">
        <v>3072</v>
      </c>
      <c r="J745" s="19" t="s">
        <v>59</v>
      </c>
      <c r="K745" s="19" t="s">
        <v>2387</v>
      </c>
      <c r="L745" s="19" t="s">
        <v>38</v>
      </c>
      <c r="M745" s="20">
        <f t="shared" si="1"/>
        <v>0</v>
      </c>
      <c r="N745" s="21"/>
      <c r="O745" s="22"/>
      <c r="P745" s="19" t="s">
        <v>1145</v>
      </c>
      <c r="Q745" s="18"/>
      <c r="R745" s="18"/>
      <c r="S745" s="23">
        <v>0.0</v>
      </c>
      <c r="T745" s="23">
        <v>0.0</v>
      </c>
      <c r="U745" s="23">
        <f t="shared" si="2"/>
        <v>0</v>
      </c>
      <c r="V745" s="23">
        <f t="shared" si="3"/>
        <v>0</v>
      </c>
      <c r="W745" s="23">
        <f t="shared" si="4"/>
        <v>0</v>
      </c>
      <c r="X745" s="24" t="str">
        <f t="shared" si="5"/>
        <v>#DIV/0!</v>
      </c>
    </row>
    <row r="746">
      <c r="A746" s="15" t="s">
        <v>3073</v>
      </c>
      <c r="B746" s="18"/>
      <c r="C746" s="16"/>
      <c r="D746" s="18"/>
      <c r="E746" s="17" t="s">
        <v>3074</v>
      </c>
      <c r="F746" s="18"/>
      <c r="G746" s="18"/>
      <c r="H746" s="15" t="s">
        <v>3075</v>
      </c>
      <c r="I746" s="15" t="s">
        <v>3076</v>
      </c>
      <c r="J746" s="19" t="s">
        <v>59</v>
      </c>
      <c r="K746" s="19" t="s">
        <v>2387</v>
      </c>
      <c r="L746" s="19" t="s">
        <v>38</v>
      </c>
      <c r="M746" s="20">
        <f t="shared" si="1"/>
        <v>0</v>
      </c>
      <c r="N746" s="21"/>
      <c r="O746" s="22"/>
      <c r="P746" s="19" t="s">
        <v>1145</v>
      </c>
      <c r="Q746" s="18"/>
      <c r="R746" s="18"/>
      <c r="S746" s="23">
        <v>0.0</v>
      </c>
      <c r="T746" s="23">
        <v>0.0</v>
      </c>
      <c r="U746" s="23">
        <f t="shared" si="2"/>
        <v>0</v>
      </c>
      <c r="V746" s="23">
        <f t="shared" si="3"/>
        <v>0</v>
      </c>
      <c r="W746" s="23">
        <f t="shared" si="4"/>
        <v>0</v>
      </c>
      <c r="X746" s="24" t="str">
        <f t="shared" si="5"/>
        <v>#DIV/0!</v>
      </c>
    </row>
    <row r="747">
      <c r="A747" s="15" t="s">
        <v>3077</v>
      </c>
      <c r="B747" s="18"/>
      <c r="C747" s="16"/>
      <c r="D747" s="18"/>
      <c r="E747" s="17" t="s">
        <v>3078</v>
      </c>
      <c r="F747" s="18"/>
      <c r="G747" s="18"/>
      <c r="H747" s="15" t="s">
        <v>3079</v>
      </c>
      <c r="I747" s="15" t="s">
        <v>3080</v>
      </c>
      <c r="J747" s="19" t="s">
        <v>59</v>
      </c>
      <c r="K747" s="19" t="s">
        <v>2387</v>
      </c>
      <c r="L747" s="19" t="s">
        <v>38</v>
      </c>
      <c r="M747" s="20">
        <f t="shared" si="1"/>
        <v>0</v>
      </c>
      <c r="N747" s="21"/>
      <c r="O747" s="22"/>
      <c r="P747" s="19" t="s">
        <v>1145</v>
      </c>
      <c r="Q747" s="18"/>
      <c r="R747" s="18"/>
      <c r="S747" s="23">
        <v>0.0</v>
      </c>
      <c r="T747" s="23">
        <v>0.0</v>
      </c>
      <c r="U747" s="23">
        <f t="shared" si="2"/>
        <v>0</v>
      </c>
      <c r="V747" s="23">
        <f t="shared" si="3"/>
        <v>0</v>
      </c>
      <c r="W747" s="23">
        <f t="shared" si="4"/>
        <v>0</v>
      </c>
      <c r="X747" s="24" t="str">
        <f t="shared" si="5"/>
        <v>#DIV/0!</v>
      </c>
    </row>
    <row r="748">
      <c r="A748" s="15" t="s">
        <v>3081</v>
      </c>
      <c r="B748" s="18"/>
      <c r="C748" s="16"/>
      <c r="D748" s="18"/>
      <c r="E748" s="17" t="s">
        <v>3082</v>
      </c>
      <c r="F748" s="18"/>
      <c r="G748" s="18"/>
      <c r="H748" s="15" t="s">
        <v>3083</v>
      </c>
      <c r="I748" s="15" t="s">
        <v>3084</v>
      </c>
      <c r="J748" s="19" t="s">
        <v>59</v>
      </c>
      <c r="K748" s="19" t="s">
        <v>2387</v>
      </c>
      <c r="L748" s="19" t="s">
        <v>38</v>
      </c>
      <c r="M748" s="20">
        <f t="shared" si="1"/>
        <v>0</v>
      </c>
      <c r="N748" s="21"/>
      <c r="O748" s="22"/>
      <c r="P748" s="19" t="s">
        <v>1145</v>
      </c>
      <c r="Q748" s="18"/>
      <c r="R748" s="18"/>
      <c r="S748" s="23">
        <v>0.0</v>
      </c>
      <c r="T748" s="23">
        <v>0.0</v>
      </c>
      <c r="U748" s="23">
        <f t="shared" si="2"/>
        <v>0</v>
      </c>
      <c r="V748" s="23">
        <f t="shared" si="3"/>
        <v>0</v>
      </c>
      <c r="W748" s="23">
        <f t="shared" si="4"/>
        <v>0</v>
      </c>
      <c r="X748" s="24" t="str">
        <f t="shared" si="5"/>
        <v>#DIV/0!</v>
      </c>
    </row>
    <row r="749">
      <c r="A749" s="15" t="s">
        <v>3085</v>
      </c>
      <c r="B749" s="18"/>
      <c r="C749" s="16"/>
      <c r="D749" s="18"/>
      <c r="E749" s="17" t="s">
        <v>3086</v>
      </c>
      <c r="F749" s="18"/>
      <c r="G749" s="18"/>
      <c r="H749" s="15" t="s">
        <v>3087</v>
      </c>
      <c r="I749" s="15" t="s">
        <v>3088</v>
      </c>
      <c r="J749" s="19" t="s">
        <v>59</v>
      </c>
      <c r="K749" s="19" t="s">
        <v>691</v>
      </c>
      <c r="L749" s="19" t="s">
        <v>38</v>
      </c>
      <c r="M749" s="20">
        <f t="shared" si="1"/>
        <v>0</v>
      </c>
      <c r="N749" s="21"/>
      <c r="O749" s="22"/>
      <c r="P749" s="19" t="s">
        <v>1145</v>
      </c>
      <c r="Q749" s="18"/>
      <c r="R749" s="18"/>
      <c r="S749" s="23">
        <v>0.0</v>
      </c>
      <c r="T749" s="23">
        <v>0.0</v>
      </c>
      <c r="U749" s="23">
        <f t="shared" si="2"/>
        <v>0</v>
      </c>
      <c r="V749" s="23">
        <f t="shared" si="3"/>
        <v>0</v>
      </c>
      <c r="W749" s="23">
        <f t="shared" si="4"/>
        <v>0</v>
      </c>
      <c r="X749" s="24" t="str">
        <f t="shared" si="5"/>
        <v>#DIV/0!</v>
      </c>
    </row>
    <row r="750">
      <c r="A750" s="15" t="s">
        <v>3089</v>
      </c>
      <c r="B750" s="18"/>
      <c r="C750" s="16"/>
      <c r="D750" s="18"/>
      <c r="E750" s="17" t="s">
        <v>3090</v>
      </c>
      <c r="F750" s="18"/>
      <c r="G750" s="18"/>
      <c r="H750" s="15" t="s">
        <v>3091</v>
      </c>
      <c r="I750" s="15" t="s">
        <v>3092</v>
      </c>
      <c r="J750" s="19" t="s">
        <v>59</v>
      </c>
      <c r="K750" s="19" t="s">
        <v>691</v>
      </c>
      <c r="L750" s="19" t="s">
        <v>38</v>
      </c>
      <c r="M750" s="20">
        <f t="shared" si="1"/>
        <v>0</v>
      </c>
      <c r="N750" s="21"/>
      <c r="O750" s="22"/>
      <c r="P750" s="19" t="s">
        <v>1145</v>
      </c>
      <c r="Q750" s="18"/>
      <c r="R750" s="18"/>
      <c r="S750" s="23">
        <v>0.0</v>
      </c>
      <c r="T750" s="23">
        <v>0.0</v>
      </c>
      <c r="U750" s="23">
        <f t="shared" si="2"/>
        <v>0</v>
      </c>
      <c r="V750" s="23">
        <f t="shared" si="3"/>
        <v>0</v>
      </c>
      <c r="W750" s="23">
        <f t="shared" si="4"/>
        <v>0</v>
      </c>
      <c r="X750" s="24" t="str">
        <f t="shared" si="5"/>
        <v>#DIV/0!</v>
      </c>
    </row>
    <row r="751">
      <c r="A751" s="15" t="s">
        <v>3093</v>
      </c>
      <c r="B751" s="18"/>
      <c r="C751" s="16"/>
      <c r="D751" s="18"/>
      <c r="E751" s="17" t="s">
        <v>3094</v>
      </c>
      <c r="F751" s="18"/>
      <c r="G751" s="18"/>
      <c r="H751" s="15" t="s">
        <v>3095</v>
      </c>
      <c r="I751" s="15" t="s">
        <v>3096</v>
      </c>
      <c r="J751" s="19" t="s">
        <v>59</v>
      </c>
      <c r="K751" s="19" t="s">
        <v>2401</v>
      </c>
      <c r="L751" s="19" t="s">
        <v>38</v>
      </c>
      <c r="M751" s="20">
        <f t="shared" si="1"/>
        <v>0</v>
      </c>
      <c r="N751" s="21"/>
      <c r="O751" s="22"/>
      <c r="P751" s="19" t="s">
        <v>1145</v>
      </c>
      <c r="Q751" s="18"/>
      <c r="R751" s="18"/>
      <c r="S751" s="23">
        <v>0.0</v>
      </c>
      <c r="T751" s="23">
        <v>0.0</v>
      </c>
      <c r="U751" s="23">
        <f t="shared" si="2"/>
        <v>0</v>
      </c>
      <c r="V751" s="23">
        <f t="shared" si="3"/>
        <v>0</v>
      </c>
      <c r="W751" s="23">
        <f t="shared" si="4"/>
        <v>0</v>
      </c>
      <c r="X751" s="24" t="str">
        <f t="shared" si="5"/>
        <v>#DIV/0!</v>
      </c>
    </row>
    <row r="752">
      <c r="A752" s="15" t="s">
        <v>3097</v>
      </c>
      <c r="B752" s="18"/>
      <c r="C752" s="16"/>
      <c r="D752" s="18"/>
      <c r="E752" s="17" t="s">
        <v>3098</v>
      </c>
      <c r="F752" s="18"/>
      <c r="G752" s="18"/>
      <c r="H752" s="15" t="s">
        <v>3099</v>
      </c>
      <c r="I752" s="15" t="s">
        <v>3100</v>
      </c>
      <c r="J752" s="19" t="s">
        <v>59</v>
      </c>
      <c r="K752" s="19" t="s">
        <v>2401</v>
      </c>
      <c r="L752" s="19" t="s">
        <v>38</v>
      </c>
      <c r="M752" s="20">
        <f t="shared" si="1"/>
        <v>0</v>
      </c>
      <c r="N752" s="21"/>
      <c r="O752" s="22"/>
      <c r="P752" s="19" t="s">
        <v>1145</v>
      </c>
      <c r="Q752" s="18"/>
      <c r="R752" s="18"/>
      <c r="S752" s="23">
        <v>0.0</v>
      </c>
      <c r="T752" s="23">
        <v>0.0</v>
      </c>
      <c r="U752" s="23">
        <f t="shared" si="2"/>
        <v>0</v>
      </c>
      <c r="V752" s="23">
        <f t="shared" si="3"/>
        <v>0</v>
      </c>
      <c r="W752" s="23">
        <f t="shared" si="4"/>
        <v>0</v>
      </c>
      <c r="X752" s="24" t="str">
        <f t="shared" si="5"/>
        <v>#DIV/0!</v>
      </c>
    </row>
    <row r="753">
      <c r="A753" s="15" t="s">
        <v>3101</v>
      </c>
      <c r="B753" s="18"/>
      <c r="C753" s="16"/>
      <c r="D753" s="18"/>
      <c r="E753" s="17" t="s">
        <v>3102</v>
      </c>
      <c r="F753" s="18"/>
      <c r="G753" s="18"/>
      <c r="H753" s="15" t="s">
        <v>3103</v>
      </c>
      <c r="I753" s="15" t="s">
        <v>3104</v>
      </c>
      <c r="J753" s="19" t="s">
        <v>59</v>
      </c>
      <c r="K753" s="19" t="s">
        <v>2396</v>
      </c>
      <c r="L753" s="19" t="s">
        <v>38</v>
      </c>
      <c r="M753" s="20">
        <f t="shared" si="1"/>
        <v>0</v>
      </c>
      <c r="N753" s="21"/>
      <c r="O753" s="22"/>
      <c r="P753" s="19" t="s">
        <v>1145</v>
      </c>
      <c r="Q753" s="18"/>
      <c r="R753" s="18"/>
      <c r="S753" s="23">
        <v>0.0</v>
      </c>
      <c r="T753" s="23">
        <v>0.0</v>
      </c>
      <c r="U753" s="23">
        <f t="shared" si="2"/>
        <v>0</v>
      </c>
      <c r="V753" s="23">
        <f t="shared" si="3"/>
        <v>0</v>
      </c>
      <c r="W753" s="23">
        <f t="shared" si="4"/>
        <v>0</v>
      </c>
      <c r="X753" s="24" t="str">
        <f t="shared" si="5"/>
        <v>#DIV/0!</v>
      </c>
    </row>
    <row r="754">
      <c r="A754" s="15" t="s">
        <v>3105</v>
      </c>
      <c r="B754" s="18"/>
      <c r="C754" s="16"/>
      <c r="D754" s="18"/>
      <c r="E754" s="17" t="s">
        <v>3106</v>
      </c>
      <c r="F754" s="18"/>
      <c r="G754" s="18"/>
      <c r="H754" s="15" t="s">
        <v>3107</v>
      </c>
      <c r="I754" s="15" t="s">
        <v>3108</v>
      </c>
      <c r="J754" s="19" t="s">
        <v>59</v>
      </c>
      <c r="K754" s="19" t="s">
        <v>2396</v>
      </c>
      <c r="L754" s="19" t="s">
        <v>38</v>
      </c>
      <c r="M754" s="20">
        <f t="shared" si="1"/>
        <v>0</v>
      </c>
      <c r="N754" s="21"/>
      <c r="O754" s="22"/>
      <c r="P754" s="19" t="s">
        <v>1145</v>
      </c>
      <c r="Q754" s="18"/>
      <c r="R754" s="18"/>
      <c r="S754" s="23">
        <v>0.0</v>
      </c>
      <c r="T754" s="23">
        <v>0.0</v>
      </c>
      <c r="U754" s="23">
        <f t="shared" si="2"/>
        <v>0</v>
      </c>
      <c r="V754" s="23">
        <f t="shared" si="3"/>
        <v>0</v>
      </c>
      <c r="W754" s="23">
        <f t="shared" si="4"/>
        <v>0</v>
      </c>
      <c r="X754" s="24" t="str">
        <f t="shared" si="5"/>
        <v>#DIV/0!</v>
      </c>
    </row>
    <row r="755">
      <c r="A755" s="15" t="s">
        <v>3109</v>
      </c>
      <c r="B755" s="18"/>
      <c r="C755" s="16"/>
      <c r="D755" s="18"/>
      <c r="E755" s="17" t="s">
        <v>3110</v>
      </c>
      <c r="F755" s="18"/>
      <c r="G755" s="18"/>
      <c r="H755" s="15" t="s">
        <v>3111</v>
      </c>
      <c r="I755" s="15" t="s">
        <v>3112</v>
      </c>
      <c r="J755" s="19" t="s">
        <v>59</v>
      </c>
      <c r="K755" s="19" t="s">
        <v>2382</v>
      </c>
      <c r="L755" s="19" t="s">
        <v>38</v>
      </c>
      <c r="M755" s="20">
        <f t="shared" si="1"/>
        <v>0</v>
      </c>
      <c r="N755" s="21"/>
      <c r="O755" s="22"/>
      <c r="P755" s="19" t="s">
        <v>1145</v>
      </c>
      <c r="Q755" s="18"/>
      <c r="R755" s="18"/>
      <c r="S755" s="23">
        <v>0.0</v>
      </c>
      <c r="T755" s="23">
        <v>0.0</v>
      </c>
      <c r="U755" s="23">
        <f t="shared" si="2"/>
        <v>0</v>
      </c>
      <c r="V755" s="23">
        <f t="shared" si="3"/>
        <v>0</v>
      </c>
      <c r="W755" s="23">
        <f t="shared" si="4"/>
        <v>0</v>
      </c>
      <c r="X755" s="24" t="str">
        <f t="shared" si="5"/>
        <v>#DIV/0!</v>
      </c>
    </row>
    <row r="756">
      <c r="A756" s="15" t="s">
        <v>3113</v>
      </c>
      <c r="B756" s="18"/>
      <c r="C756" s="16"/>
      <c r="D756" s="18"/>
      <c r="E756" s="17" t="s">
        <v>3114</v>
      </c>
      <c r="F756" s="18"/>
      <c r="G756" s="18"/>
      <c r="H756" s="15" t="s">
        <v>3115</v>
      </c>
      <c r="I756" s="15" t="s">
        <v>3116</v>
      </c>
      <c r="J756" s="19" t="s">
        <v>59</v>
      </c>
      <c r="K756" s="19" t="s">
        <v>2382</v>
      </c>
      <c r="L756" s="19" t="s">
        <v>38</v>
      </c>
      <c r="M756" s="20">
        <f t="shared" si="1"/>
        <v>0</v>
      </c>
      <c r="N756" s="21"/>
      <c r="O756" s="22"/>
      <c r="P756" s="19" t="s">
        <v>1145</v>
      </c>
      <c r="Q756" s="18"/>
      <c r="R756" s="18"/>
      <c r="S756" s="23">
        <v>0.0</v>
      </c>
      <c r="T756" s="23">
        <v>0.0</v>
      </c>
      <c r="U756" s="23">
        <f t="shared" si="2"/>
        <v>0</v>
      </c>
      <c r="V756" s="23">
        <f t="shared" si="3"/>
        <v>0</v>
      </c>
      <c r="W756" s="23">
        <f t="shared" si="4"/>
        <v>0</v>
      </c>
      <c r="X756" s="24" t="str">
        <f t="shared" si="5"/>
        <v>#DIV/0!</v>
      </c>
    </row>
    <row r="757">
      <c r="A757" s="15" t="s">
        <v>3117</v>
      </c>
      <c r="B757" s="18"/>
      <c r="C757" s="16"/>
      <c r="D757" s="18"/>
      <c r="E757" s="17" t="s">
        <v>3118</v>
      </c>
      <c r="F757" s="18"/>
      <c r="G757" s="18"/>
      <c r="H757" s="15" t="s">
        <v>3119</v>
      </c>
      <c r="I757" s="15" t="s">
        <v>3120</v>
      </c>
      <c r="J757" s="19" t="s">
        <v>59</v>
      </c>
      <c r="K757" s="19" t="s">
        <v>2387</v>
      </c>
      <c r="L757" s="19" t="s">
        <v>38</v>
      </c>
      <c r="M757" s="20">
        <f t="shared" si="1"/>
        <v>0</v>
      </c>
      <c r="N757" s="21"/>
      <c r="O757" s="22"/>
      <c r="P757" s="19" t="s">
        <v>1145</v>
      </c>
      <c r="Q757" s="18"/>
      <c r="R757" s="18"/>
      <c r="S757" s="23">
        <v>0.0</v>
      </c>
      <c r="T757" s="23">
        <v>0.0</v>
      </c>
      <c r="U757" s="23">
        <f t="shared" si="2"/>
        <v>0</v>
      </c>
      <c r="V757" s="23">
        <f t="shared" si="3"/>
        <v>0</v>
      </c>
      <c r="W757" s="23">
        <f t="shared" si="4"/>
        <v>0</v>
      </c>
      <c r="X757" s="24" t="str">
        <f t="shared" si="5"/>
        <v>#DIV/0!</v>
      </c>
    </row>
    <row r="758">
      <c r="A758" s="15" t="s">
        <v>3121</v>
      </c>
      <c r="B758" s="18"/>
      <c r="C758" s="16"/>
      <c r="D758" s="18"/>
      <c r="E758" s="17" t="s">
        <v>3122</v>
      </c>
      <c r="F758" s="18"/>
      <c r="G758" s="18"/>
      <c r="H758" s="15" t="s">
        <v>3123</v>
      </c>
      <c r="I758" s="15" t="s">
        <v>3124</v>
      </c>
      <c r="J758" s="19" t="s">
        <v>59</v>
      </c>
      <c r="K758" s="19" t="s">
        <v>2387</v>
      </c>
      <c r="L758" s="19" t="s">
        <v>38</v>
      </c>
      <c r="M758" s="20">
        <f t="shared" si="1"/>
        <v>0</v>
      </c>
      <c r="N758" s="21"/>
      <c r="O758" s="22"/>
      <c r="P758" s="19" t="s">
        <v>1145</v>
      </c>
      <c r="Q758" s="18"/>
      <c r="R758" s="18"/>
      <c r="S758" s="23">
        <v>0.0</v>
      </c>
      <c r="T758" s="23">
        <v>0.0</v>
      </c>
      <c r="U758" s="23">
        <f t="shared" si="2"/>
        <v>0</v>
      </c>
      <c r="V758" s="23">
        <f t="shared" si="3"/>
        <v>0</v>
      </c>
      <c r="W758" s="23">
        <f t="shared" si="4"/>
        <v>0</v>
      </c>
      <c r="X758" s="24" t="str">
        <f t="shared" si="5"/>
        <v>#DIV/0!</v>
      </c>
    </row>
    <row r="759">
      <c r="A759" s="15" t="s">
        <v>3125</v>
      </c>
      <c r="B759" s="18"/>
      <c r="C759" s="16"/>
      <c r="D759" s="18"/>
      <c r="E759" s="17" t="s">
        <v>3126</v>
      </c>
      <c r="F759" s="18"/>
      <c r="G759" s="18"/>
      <c r="H759" s="15" t="s">
        <v>3127</v>
      </c>
      <c r="I759" s="15" t="s">
        <v>3128</v>
      </c>
      <c r="J759" s="19" t="s">
        <v>59</v>
      </c>
      <c r="K759" s="19" t="s">
        <v>2401</v>
      </c>
      <c r="L759" s="19" t="s">
        <v>38</v>
      </c>
      <c r="M759" s="20">
        <f t="shared" si="1"/>
        <v>0</v>
      </c>
      <c r="N759" s="21"/>
      <c r="O759" s="22"/>
      <c r="P759" s="19" t="s">
        <v>1145</v>
      </c>
      <c r="Q759" s="18"/>
      <c r="R759" s="18"/>
      <c r="S759" s="23">
        <v>0.0</v>
      </c>
      <c r="T759" s="23">
        <v>0.0</v>
      </c>
      <c r="U759" s="23">
        <f t="shared" si="2"/>
        <v>0</v>
      </c>
      <c r="V759" s="23">
        <f t="shared" si="3"/>
        <v>0</v>
      </c>
      <c r="W759" s="23">
        <f t="shared" si="4"/>
        <v>0</v>
      </c>
      <c r="X759" s="24" t="str">
        <f t="shared" si="5"/>
        <v>#DIV/0!</v>
      </c>
    </row>
    <row r="760">
      <c r="A760" s="15" t="s">
        <v>3129</v>
      </c>
      <c r="B760" s="18"/>
      <c r="C760" s="16"/>
      <c r="D760" s="18"/>
      <c r="E760" s="17" t="s">
        <v>3126</v>
      </c>
      <c r="F760" s="18"/>
      <c r="G760" s="18"/>
      <c r="H760" s="15" t="s">
        <v>3130</v>
      </c>
      <c r="I760" s="15" t="s">
        <v>3131</v>
      </c>
      <c r="J760" s="19" t="s">
        <v>59</v>
      </c>
      <c r="K760" s="19" t="s">
        <v>2401</v>
      </c>
      <c r="L760" s="19" t="s">
        <v>38</v>
      </c>
      <c r="M760" s="20">
        <f t="shared" si="1"/>
        <v>0</v>
      </c>
      <c r="N760" s="21"/>
      <c r="O760" s="22"/>
      <c r="P760" s="19" t="s">
        <v>1145</v>
      </c>
      <c r="Q760" s="18"/>
      <c r="R760" s="18"/>
      <c r="S760" s="23">
        <v>0.0</v>
      </c>
      <c r="T760" s="23">
        <v>0.0</v>
      </c>
      <c r="U760" s="23">
        <f t="shared" si="2"/>
        <v>0</v>
      </c>
      <c r="V760" s="23">
        <f t="shared" si="3"/>
        <v>0</v>
      </c>
      <c r="W760" s="23">
        <f t="shared" si="4"/>
        <v>0</v>
      </c>
      <c r="X760" s="24" t="str">
        <f t="shared" si="5"/>
        <v>#DIV/0!</v>
      </c>
    </row>
    <row r="761">
      <c r="A761" s="15" t="s">
        <v>3132</v>
      </c>
      <c r="B761" s="18"/>
      <c r="C761" s="16"/>
      <c r="D761" s="18"/>
      <c r="E761" s="17" t="s">
        <v>3133</v>
      </c>
      <c r="F761" s="18"/>
      <c r="G761" s="18"/>
      <c r="H761" s="15" t="s">
        <v>3134</v>
      </c>
      <c r="I761" s="15" t="s">
        <v>2505</v>
      </c>
      <c r="J761" s="19" t="s">
        <v>59</v>
      </c>
      <c r="K761" s="19" t="s">
        <v>691</v>
      </c>
      <c r="L761" s="19" t="s">
        <v>38</v>
      </c>
      <c r="M761" s="20">
        <f t="shared" si="1"/>
        <v>0</v>
      </c>
      <c r="N761" s="21"/>
      <c r="O761" s="22"/>
      <c r="P761" s="19" t="s">
        <v>1145</v>
      </c>
      <c r="Q761" s="18"/>
      <c r="R761" s="18"/>
      <c r="S761" s="23">
        <v>0.0</v>
      </c>
      <c r="T761" s="23">
        <v>0.0</v>
      </c>
      <c r="U761" s="23">
        <f t="shared" si="2"/>
        <v>0</v>
      </c>
      <c r="V761" s="23">
        <f t="shared" si="3"/>
        <v>0</v>
      </c>
      <c r="W761" s="23">
        <f t="shared" si="4"/>
        <v>0</v>
      </c>
      <c r="X761" s="24" t="str">
        <f t="shared" si="5"/>
        <v>#DIV/0!</v>
      </c>
    </row>
    <row r="762">
      <c r="A762" s="15" t="s">
        <v>3135</v>
      </c>
      <c r="B762" s="18"/>
      <c r="C762" s="16"/>
      <c r="D762" s="18"/>
      <c r="E762" s="17" t="s">
        <v>3136</v>
      </c>
      <c r="F762" s="18"/>
      <c r="G762" s="18"/>
      <c r="H762" s="15" t="s">
        <v>3137</v>
      </c>
      <c r="I762" s="15" t="s">
        <v>3138</v>
      </c>
      <c r="J762" s="19" t="s">
        <v>59</v>
      </c>
      <c r="K762" s="19" t="s">
        <v>2382</v>
      </c>
      <c r="L762" s="19" t="s">
        <v>38</v>
      </c>
      <c r="M762" s="20">
        <f t="shared" si="1"/>
        <v>0</v>
      </c>
      <c r="N762" s="21"/>
      <c r="O762" s="22"/>
      <c r="P762" s="19" t="s">
        <v>1145</v>
      </c>
      <c r="Q762" s="18"/>
      <c r="R762" s="18"/>
      <c r="S762" s="23">
        <v>0.0</v>
      </c>
      <c r="T762" s="23">
        <v>0.0</v>
      </c>
      <c r="U762" s="23">
        <f t="shared" si="2"/>
        <v>0</v>
      </c>
      <c r="V762" s="23">
        <f t="shared" si="3"/>
        <v>0</v>
      </c>
      <c r="W762" s="23">
        <f t="shared" si="4"/>
        <v>0</v>
      </c>
      <c r="X762" s="24" t="str">
        <f t="shared" si="5"/>
        <v>#DIV/0!</v>
      </c>
    </row>
    <row r="763">
      <c r="A763" s="15" t="s">
        <v>3139</v>
      </c>
      <c r="B763" s="18"/>
      <c r="C763" s="16"/>
      <c r="D763" s="18"/>
      <c r="E763" s="17" t="s">
        <v>3140</v>
      </c>
      <c r="F763" s="18"/>
      <c r="G763" s="18"/>
      <c r="H763" s="15" t="s">
        <v>3141</v>
      </c>
      <c r="I763" s="15" t="s">
        <v>3142</v>
      </c>
      <c r="J763" s="19" t="s">
        <v>59</v>
      </c>
      <c r="K763" s="19" t="s">
        <v>2396</v>
      </c>
      <c r="L763" s="19" t="s">
        <v>38</v>
      </c>
      <c r="M763" s="20">
        <f t="shared" si="1"/>
        <v>0</v>
      </c>
      <c r="N763" s="21"/>
      <c r="O763" s="22"/>
      <c r="P763" s="19" t="s">
        <v>1145</v>
      </c>
      <c r="Q763" s="18"/>
      <c r="R763" s="18"/>
      <c r="S763" s="23">
        <v>0.0</v>
      </c>
      <c r="T763" s="23">
        <v>0.0</v>
      </c>
      <c r="U763" s="23">
        <f t="shared" si="2"/>
        <v>0</v>
      </c>
      <c r="V763" s="23">
        <f t="shared" si="3"/>
        <v>0</v>
      </c>
      <c r="W763" s="23">
        <f t="shared" si="4"/>
        <v>0</v>
      </c>
      <c r="X763" s="24" t="str">
        <f t="shared" si="5"/>
        <v>#DIV/0!</v>
      </c>
    </row>
    <row r="764">
      <c r="A764" s="15" t="s">
        <v>3143</v>
      </c>
      <c r="B764" s="18"/>
      <c r="C764" s="16"/>
      <c r="D764" s="18"/>
      <c r="E764" s="17" t="s">
        <v>3144</v>
      </c>
      <c r="F764" s="18"/>
      <c r="G764" s="18"/>
      <c r="H764" s="15" t="s">
        <v>3145</v>
      </c>
      <c r="I764" s="15" t="s">
        <v>2844</v>
      </c>
      <c r="J764" s="19" t="s">
        <v>59</v>
      </c>
      <c r="K764" s="19" t="s">
        <v>2396</v>
      </c>
      <c r="L764" s="19" t="s">
        <v>38</v>
      </c>
      <c r="M764" s="20">
        <f t="shared" si="1"/>
        <v>0</v>
      </c>
      <c r="N764" s="21"/>
      <c r="O764" s="22"/>
      <c r="P764" s="19" t="s">
        <v>1145</v>
      </c>
      <c r="Q764" s="18"/>
      <c r="R764" s="18"/>
      <c r="S764" s="23">
        <v>0.0</v>
      </c>
      <c r="T764" s="23">
        <v>0.0</v>
      </c>
      <c r="U764" s="23">
        <f t="shared" si="2"/>
        <v>0</v>
      </c>
      <c r="V764" s="23">
        <f t="shared" si="3"/>
        <v>0</v>
      </c>
      <c r="W764" s="23">
        <f t="shared" si="4"/>
        <v>0</v>
      </c>
      <c r="X764" s="24" t="str">
        <f t="shared" si="5"/>
        <v>#DIV/0!</v>
      </c>
    </row>
    <row r="765">
      <c r="A765" s="15" t="s">
        <v>3146</v>
      </c>
      <c r="B765" s="18"/>
      <c r="C765" s="16"/>
      <c r="D765" s="18"/>
      <c r="E765" s="17" t="s">
        <v>3147</v>
      </c>
      <c r="F765" s="18"/>
      <c r="G765" s="18"/>
      <c r="H765" s="15" t="s">
        <v>3148</v>
      </c>
      <c r="I765" s="15" t="s">
        <v>3149</v>
      </c>
      <c r="J765" s="19" t="s">
        <v>59</v>
      </c>
      <c r="K765" s="19" t="s">
        <v>2387</v>
      </c>
      <c r="L765" s="19" t="s">
        <v>38</v>
      </c>
      <c r="M765" s="20">
        <f t="shared" si="1"/>
        <v>0</v>
      </c>
      <c r="N765" s="21"/>
      <c r="O765" s="22"/>
      <c r="P765" s="19" t="s">
        <v>1145</v>
      </c>
      <c r="Q765" s="18"/>
      <c r="R765" s="18"/>
      <c r="S765" s="23">
        <v>0.0</v>
      </c>
      <c r="T765" s="23">
        <v>0.0</v>
      </c>
      <c r="U765" s="23">
        <f t="shared" si="2"/>
        <v>0</v>
      </c>
      <c r="V765" s="23">
        <f t="shared" si="3"/>
        <v>0</v>
      </c>
      <c r="W765" s="23">
        <f t="shared" si="4"/>
        <v>0</v>
      </c>
      <c r="X765" s="24" t="str">
        <f t="shared" si="5"/>
        <v>#DIV/0!</v>
      </c>
    </row>
    <row r="766">
      <c r="A766" s="15" t="s">
        <v>3150</v>
      </c>
      <c r="B766" s="18"/>
      <c r="C766" s="16"/>
      <c r="D766" s="18"/>
      <c r="E766" s="17" t="s">
        <v>3151</v>
      </c>
      <c r="F766" s="18"/>
      <c r="G766" s="18"/>
      <c r="H766" s="15" t="s">
        <v>3152</v>
      </c>
      <c r="I766" s="15" t="s">
        <v>3153</v>
      </c>
      <c r="J766" s="19" t="s">
        <v>59</v>
      </c>
      <c r="K766" s="19" t="s">
        <v>691</v>
      </c>
      <c r="L766" s="19" t="s">
        <v>38</v>
      </c>
      <c r="M766" s="20">
        <f t="shared" si="1"/>
        <v>0</v>
      </c>
      <c r="N766" s="21"/>
      <c r="O766" s="22"/>
      <c r="P766" s="19" t="s">
        <v>1145</v>
      </c>
      <c r="Q766" s="18"/>
      <c r="R766" s="18"/>
      <c r="S766" s="23">
        <v>0.0</v>
      </c>
      <c r="T766" s="23">
        <v>0.0</v>
      </c>
      <c r="U766" s="23">
        <f t="shared" si="2"/>
        <v>0</v>
      </c>
      <c r="V766" s="23">
        <f t="shared" si="3"/>
        <v>0</v>
      </c>
      <c r="W766" s="23">
        <f t="shared" si="4"/>
        <v>0</v>
      </c>
      <c r="X766" s="24" t="str">
        <f t="shared" si="5"/>
        <v>#DIV/0!</v>
      </c>
    </row>
    <row r="767">
      <c r="A767" s="15" t="s">
        <v>3154</v>
      </c>
      <c r="B767" s="18"/>
      <c r="C767" s="16"/>
      <c r="D767" s="18"/>
      <c r="E767" s="17" t="s">
        <v>3155</v>
      </c>
      <c r="F767" s="18"/>
      <c r="G767" s="18"/>
      <c r="H767" s="15" t="s">
        <v>3156</v>
      </c>
      <c r="I767" s="15" t="s">
        <v>3157</v>
      </c>
      <c r="J767" s="19" t="s">
        <v>59</v>
      </c>
      <c r="K767" s="19" t="s">
        <v>2382</v>
      </c>
      <c r="L767" s="19" t="s">
        <v>38</v>
      </c>
      <c r="M767" s="20">
        <f t="shared" si="1"/>
        <v>0</v>
      </c>
      <c r="N767" s="21"/>
      <c r="O767" s="22"/>
      <c r="P767" s="19" t="s">
        <v>1145</v>
      </c>
      <c r="Q767" s="18"/>
      <c r="R767" s="18"/>
      <c r="S767" s="23">
        <v>0.0</v>
      </c>
      <c r="T767" s="23">
        <v>0.0</v>
      </c>
      <c r="U767" s="23">
        <f t="shared" si="2"/>
        <v>0</v>
      </c>
      <c r="V767" s="23">
        <f t="shared" si="3"/>
        <v>0</v>
      </c>
      <c r="W767" s="23">
        <f t="shared" si="4"/>
        <v>0</v>
      </c>
      <c r="X767" s="24" t="str">
        <f t="shared" si="5"/>
        <v>#DIV/0!</v>
      </c>
    </row>
    <row r="768">
      <c r="A768" s="15" t="s">
        <v>3158</v>
      </c>
      <c r="B768" s="18"/>
      <c r="C768" s="16"/>
      <c r="D768" s="18"/>
      <c r="E768" s="17" t="s">
        <v>3159</v>
      </c>
      <c r="F768" s="18"/>
      <c r="G768" s="18"/>
      <c r="H768" s="15" t="s">
        <v>3160</v>
      </c>
      <c r="I768" s="15" t="s">
        <v>3161</v>
      </c>
      <c r="J768" s="19" t="s">
        <v>59</v>
      </c>
      <c r="K768" s="19" t="s">
        <v>2382</v>
      </c>
      <c r="L768" s="19" t="s">
        <v>38</v>
      </c>
      <c r="M768" s="20">
        <f t="shared" si="1"/>
        <v>0</v>
      </c>
      <c r="N768" s="21"/>
      <c r="O768" s="22"/>
      <c r="P768" s="19" t="s">
        <v>1145</v>
      </c>
      <c r="Q768" s="18"/>
      <c r="R768" s="18"/>
      <c r="S768" s="23">
        <v>0.0</v>
      </c>
      <c r="T768" s="23">
        <v>0.0</v>
      </c>
      <c r="U768" s="23">
        <f t="shared" si="2"/>
        <v>0</v>
      </c>
      <c r="V768" s="23">
        <f t="shared" si="3"/>
        <v>0</v>
      </c>
      <c r="W768" s="23">
        <f t="shared" si="4"/>
        <v>0</v>
      </c>
      <c r="X768" s="24" t="str">
        <f t="shared" si="5"/>
        <v>#DIV/0!</v>
      </c>
    </row>
    <row r="769">
      <c r="A769" s="15" t="s">
        <v>3162</v>
      </c>
      <c r="B769" s="18"/>
      <c r="C769" s="16"/>
      <c r="D769" s="18"/>
      <c r="E769" s="17" t="s">
        <v>3163</v>
      </c>
      <c r="F769" s="18"/>
      <c r="G769" s="18"/>
      <c r="H769" s="15" t="s">
        <v>3164</v>
      </c>
      <c r="I769" s="15" t="s">
        <v>3165</v>
      </c>
      <c r="J769" s="19" t="s">
        <v>59</v>
      </c>
      <c r="K769" s="19" t="s">
        <v>2382</v>
      </c>
      <c r="L769" s="19" t="s">
        <v>38</v>
      </c>
      <c r="M769" s="20">
        <f t="shared" si="1"/>
        <v>0</v>
      </c>
      <c r="N769" s="21"/>
      <c r="O769" s="22"/>
      <c r="P769" s="19" t="s">
        <v>1145</v>
      </c>
      <c r="Q769" s="18"/>
      <c r="R769" s="18"/>
      <c r="S769" s="23">
        <v>0.0</v>
      </c>
      <c r="T769" s="23">
        <v>0.0</v>
      </c>
      <c r="U769" s="23">
        <f t="shared" si="2"/>
        <v>0</v>
      </c>
      <c r="V769" s="23">
        <f t="shared" si="3"/>
        <v>0</v>
      </c>
      <c r="W769" s="23">
        <f t="shared" si="4"/>
        <v>0</v>
      </c>
      <c r="X769" s="24" t="str">
        <f t="shared" si="5"/>
        <v>#DIV/0!</v>
      </c>
    </row>
    <row r="770">
      <c r="A770" s="15" t="s">
        <v>3166</v>
      </c>
      <c r="B770" s="18"/>
      <c r="C770" s="16"/>
      <c r="D770" s="18"/>
      <c r="E770" s="17" t="s">
        <v>3167</v>
      </c>
      <c r="F770" s="18"/>
      <c r="G770" s="18"/>
      <c r="H770" s="15" t="s">
        <v>3168</v>
      </c>
      <c r="I770" s="15" t="s">
        <v>838</v>
      </c>
      <c r="J770" s="19" t="s">
        <v>59</v>
      </c>
      <c r="K770" s="19" t="s">
        <v>2382</v>
      </c>
      <c r="L770" s="19" t="s">
        <v>38</v>
      </c>
      <c r="M770" s="20">
        <f t="shared" si="1"/>
        <v>0</v>
      </c>
      <c r="N770" s="21"/>
      <c r="O770" s="22"/>
      <c r="P770" s="19" t="s">
        <v>1145</v>
      </c>
      <c r="Q770" s="18"/>
      <c r="R770" s="18"/>
      <c r="S770" s="23">
        <v>0.0</v>
      </c>
      <c r="T770" s="23">
        <v>0.0</v>
      </c>
      <c r="U770" s="23">
        <f t="shared" si="2"/>
        <v>0</v>
      </c>
      <c r="V770" s="23">
        <f t="shared" si="3"/>
        <v>0</v>
      </c>
      <c r="W770" s="23">
        <f t="shared" si="4"/>
        <v>0</v>
      </c>
      <c r="X770" s="24" t="str">
        <f t="shared" si="5"/>
        <v>#DIV/0!</v>
      </c>
    </row>
    <row r="771">
      <c r="A771" s="15" t="s">
        <v>3169</v>
      </c>
      <c r="B771" s="18"/>
      <c r="C771" s="16"/>
      <c r="D771" s="18"/>
      <c r="E771" s="17" t="s">
        <v>3170</v>
      </c>
      <c r="F771" s="18"/>
      <c r="G771" s="18"/>
      <c r="H771" s="15" t="s">
        <v>3171</v>
      </c>
      <c r="I771" s="15" t="s">
        <v>3172</v>
      </c>
      <c r="J771" s="19" t="s">
        <v>59</v>
      </c>
      <c r="K771" s="19" t="s">
        <v>2382</v>
      </c>
      <c r="L771" s="19" t="s">
        <v>38</v>
      </c>
      <c r="M771" s="20">
        <f t="shared" si="1"/>
        <v>0</v>
      </c>
      <c r="N771" s="21"/>
      <c r="O771" s="22"/>
      <c r="P771" s="19" t="s">
        <v>1145</v>
      </c>
      <c r="Q771" s="18"/>
      <c r="R771" s="18"/>
      <c r="S771" s="23">
        <v>0.0</v>
      </c>
      <c r="T771" s="23">
        <v>0.0</v>
      </c>
      <c r="U771" s="23">
        <f t="shared" si="2"/>
        <v>0</v>
      </c>
      <c r="V771" s="23">
        <f t="shared" si="3"/>
        <v>0</v>
      </c>
      <c r="W771" s="23">
        <f t="shared" si="4"/>
        <v>0</v>
      </c>
      <c r="X771" s="24" t="str">
        <f t="shared" si="5"/>
        <v>#DIV/0!</v>
      </c>
    </row>
    <row r="772">
      <c r="A772" s="15" t="s">
        <v>3173</v>
      </c>
      <c r="B772" s="18"/>
      <c r="C772" s="16"/>
      <c r="D772" s="18"/>
      <c r="E772" s="17" t="s">
        <v>3174</v>
      </c>
      <c r="F772" s="18"/>
      <c r="G772" s="18"/>
      <c r="H772" s="15" t="s">
        <v>3175</v>
      </c>
      <c r="I772" s="15" t="s">
        <v>3176</v>
      </c>
      <c r="J772" s="19" t="s">
        <v>59</v>
      </c>
      <c r="K772" s="19" t="s">
        <v>2382</v>
      </c>
      <c r="L772" s="19" t="s">
        <v>38</v>
      </c>
      <c r="M772" s="20">
        <f t="shared" si="1"/>
        <v>0</v>
      </c>
      <c r="N772" s="21"/>
      <c r="O772" s="22"/>
      <c r="P772" s="19" t="s">
        <v>1145</v>
      </c>
      <c r="Q772" s="18"/>
      <c r="R772" s="18"/>
      <c r="S772" s="23">
        <v>0.0</v>
      </c>
      <c r="T772" s="23">
        <v>0.0</v>
      </c>
      <c r="U772" s="23">
        <f t="shared" si="2"/>
        <v>0</v>
      </c>
      <c r="V772" s="23">
        <f t="shared" si="3"/>
        <v>0</v>
      </c>
      <c r="W772" s="23">
        <f t="shared" si="4"/>
        <v>0</v>
      </c>
      <c r="X772" s="24" t="str">
        <f t="shared" si="5"/>
        <v>#DIV/0!</v>
      </c>
    </row>
    <row r="773">
      <c r="A773" s="15" t="s">
        <v>3177</v>
      </c>
      <c r="B773" s="18"/>
      <c r="C773" s="16"/>
      <c r="D773" s="18"/>
      <c r="E773" s="17" t="s">
        <v>3178</v>
      </c>
      <c r="F773" s="18"/>
      <c r="G773" s="18"/>
      <c r="H773" s="15" t="s">
        <v>3179</v>
      </c>
      <c r="I773" s="15" t="s">
        <v>3180</v>
      </c>
      <c r="J773" s="19" t="s">
        <v>59</v>
      </c>
      <c r="K773" s="19" t="s">
        <v>2401</v>
      </c>
      <c r="L773" s="19" t="s">
        <v>38</v>
      </c>
      <c r="M773" s="20">
        <f t="shared" si="1"/>
        <v>0</v>
      </c>
      <c r="N773" s="21"/>
      <c r="O773" s="22"/>
      <c r="P773" s="19" t="s">
        <v>1145</v>
      </c>
      <c r="Q773" s="18"/>
      <c r="R773" s="18"/>
      <c r="S773" s="23">
        <v>0.0</v>
      </c>
      <c r="T773" s="23">
        <v>0.0</v>
      </c>
      <c r="U773" s="23">
        <f t="shared" si="2"/>
        <v>0</v>
      </c>
      <c r="V773" s="23">
        <f t="shared" si="3"/>
        <v>0</v>
      </c>
      <c r="W773" s="23">
        <f t="shared" si="4"/>
        <v>0</v>
      </c>
      <c r="X773" s="24" t="str">
        <f t="shared" si="5"/>
        <v>#DIV/0!</v>
      </c>
    </row>
    <row r="774">
      <c r="A774" s="15" t="s">
        <v>3181</v>
      </c>
      <c r="B774" s="18"/>
      <c r="C774" s="16"/>
      <c r="D774" s="18"/>
      <c r="E774" s="17" t="s">
        <v>3182</v>
      </c>
      <c r="F774" s="18"/>
      <c r="G774" s="18"/>
      <c r="H774" s="15" t="s">
        <v>3183</v>
      </c>
      <c r="I774" s="15" t="s">
        <v>394</v>
      </c>
      <c r="J774" s="19" t="s">
        <v>59</v>
      </c>
      <c r="K774" s="19" t="s">
        <v>2401</v>
      </c>
      <c r="L774" s="19" t="s">
        <v>38</v>
      </c>
      <c r="M774" s="20">
        <f t="shared" si="1"/>
        <v>0</v>
      </c>
      <c r="N774" s="21"/>
      <c r="O774" s="22"/>
      <c r="P774" s="19" t="s">
        <v>1145</v>
      </c>
      <c r="Q774" s="18"/>
      <c r="R774" s="18"/>
      <c r="S774" s="23">
        <v>0.0</v>
      </c>
      <c r="T774" s="23">
        <v>0.0</v>
      </c>
      <c r="U774" s="23">
        <f t="shared" si="2"/>
        <v>0</v>
      </c>
      <c r="V774" s="23">
        <f t="shared" si="3"/>
        <v>0</v>
      </c>
      <c r="W774" s="23">
        <f t="shared" si="4"/>
        <v>0</v>
      </c>
      <c r="X774" s="24" t="str">
        <f t="shared" si="5"/>
        <v>#DIV/0!</v>
      </c>
    </row>
    <row r="775">
      <c r="A775" s="15" t="s">
        <v>3184</v>
      </c>
      <c r="B775" s="18"/>
      <c r="C775" s="16"/>
      <c r="D775" s="18"/>
      <c r="E775" s="17" t="s">
        <v>3185</v>
      </c>
      <c r="F775" s="18"/>
      <c r="G775" s="18"/>
      <c r="H775" s="15" t="s">
        <v>3186</v>
      </c>
      <c r="I775" s="15" t="s">
        <v>3187</v>
      </c>
      <c r="J775" s="19" t="s">
        <v>59</v>
      </c>
      <c r="K775" s="19" t="s">
        <v>2401</v>
      </c>
      <c r="L775" s="19" t="s">
        <v>38</v>
      </c>
      <c r="M775" s="20">
        <f t="shared" si="1"/>
        <v>0</v>
      </c>
      <c r="N775" s="21"/>
      <c r="O775" s="22"/>
      <c r="P775" s="19" t="s">
        <v>1145</v>
      </c>
      <c r="Q775" s="18"/>
      <c r="R775" s="18"/>
      <c r="S775" s="23">
        <v>0.0</v>
      </c>
      <c r="T775" s="23">
        <v>0.0</v>
      </c>
      <c r="U775" s="23">
        <f t="shared" si="2"/>
        <v>0</v>
      </c>
      <c r="V775" s="23">
        <f t="shared" si="3"/>
        <v>0</v>
      </c>
      <c r="W775" s="23">
        <f t="shared" si="4"/>
        <v>0</v>
      </c>
      <c r="X775" s="24" t="str">
        <f t="shared" si="5"/>
        <v>#DIV/0!</v>
      </c>
    </row>
    <row r="776">
      <c r="A776" s="15" t="s">
        <v>3188</v>
      </c>
      <c r="B776" s="18"/>
      <c r="C776" s="16"/>
      <c r="D776" s="18"/>
      <c r="E776" s="17" t="s">
        <v>3189</v>
      </c>
      <c r="F776" s="18"/>
      <c r="G776" s="18"/>
      <c r="H776" s="15" t="s">
        <v>3190</v>
      </c>
      <c r="I776" s="15" t="s">
        <v>3191</v>
      </c>
      <c r="J776" s="19" t="s">
        <v>59</v>
      </c>
      <c r="K776" s="19" t="s">
        <v>691</v>
      </c>
      <c r="L776" s="19" t="s">
        <v>38</v>
      </c>
      <c r="M776" s="20">
        <f t="shared" si="1"/>
        <v>0</v>
      </c>
      <c r="N776" s="21"/>
      <c r="O776" s="22"/>
      <c r="P776" s="19" t="s">
        <v>1145</v>
      </c>
      <c r="Q776" s="18"/>
      <c r="R776" s="18"/>
      <c r="S776" s="23">
        <v>0.0</v>
      </c>
      <c r="T776" s="23">
        <v>0.0</v>
      </c>
      <c r="U776" s="23">
        <f t="shared" si="2"/>
        <v>0</v>
      </c>
      <c r="V776" s="23">
        <f t="shared" si="3"/>
        <v>0</v>
      </c>
      <c r="W776" s="23">
        <f t="shared" si="4"/>
        <v>0</v>
      </c>
      <c r="X776" s="24" t="str">
        <f t="shared" si="5"/>
        <v>#DIV/0!</v>
      </c>
    </row>
    <row r="777">
      <c r="A777" s="15" t="s">
        <v>3192</v>
      </c>
      <c r="B777" s="18"/>
      <c r="C777" s="16"/>
      <c r="D777" s="18"/>
      <c r="E777" s="17" t="s">
        <v>3193</v>
      </c>
      <c r="F777" s="18"/>
      <c r="G777" s="18"/>
      <c r="H777" s="15" t="s">
        <v>3194</v>
      </c>
      <c r="I777" s="15" t="s">
        <v>3195</v>
      </c>
      <c r="J777" s="19" t="s">
        <v>59</v>
      </c>
      <c r="K777" s="19" t="s">
        <v>2401</v>
      </c>
      <c r="L777" s="19" t="s">
        <v>38</v>
      </c>
      <c r="M777" s="20">
        <f t="shared" si="1"/>
        <v>0</v>
      </c>
      <c r="N777" s="21"/>
      <c r="O777" s="22"/>
      <c r="P777" s="19" t="s">
        <v>1145</v>
      </c>
      <c r="Q777" s="18"/>
      <c r="R777" s="18"/>
      <c r="S777" s="23">
        <v>0.0</v>
      </c>
      <c r="T777" s="23">
        <v>0.0</v>
      </c>
      <c r="U777" s="23">
        <f t="shared" si="2"/>
        <v>0</v>
      </c>
      <c r="V777" s="23">
        <f t="shared" si="3"/>
        <v>0</v>
      </c>
      <c r="W777" s="23">
        <f t="shared" si="4"/>
        <v>0</v>
      </c>
      <c r="X777" s="24" t="str">
        <f t="shared" si="5"/>
        <v>#DIV/0!</v>
      </c>
    </row>
    <row r="778">
      <c r="A778" s="15" t="s">
        <v>3196</v>
      </c>
      <c r="B778" s="18"/>
      <c r="C778" s="16"/>
      <c r="D778" s="18"/>
      <c r="E778" s="17" t="s">
        <v>3197</v>
      </c>
      <c r="F778" s="18"/>
      <c r="G778" s="18"/>
      <c r="H778" s="15" t="s">
        <v>3198</v>
      </c>
      <c r="I778" s="15" t="s">
        <v>3199</v>
      </c>
      <c r="J778" s="19" t="s">
        <v>59</v>
      </c>
      <c r="K778" s="19" t="s">
        <v>2396</v>
      </c>
      <c r="L778" s="19" t="s">
        <v>38</v>
      </c>
      <c r="M778" s="20">
        <f t="shared" si="1"/>
        <v>0</v>
      </c>
      <c r="N778" s="21"/>
      <c r="O778" s="22"/>
      <c r="P778" s="19" t="s">
        <v>1145</v>
      </c>
      <c r="Q778" s="18"/>
      <c r="R778" s="18"/>
      <c r="S778" s="23">
        <v>0.0</v>
      </c>
      <c r="T778" s="23">
        <v>0.0</v>
      </c>
      <c r="U778" s="23">
        <f t="shared" si="2"/>
        <v>0</v>
      </c>
      <c r="V778" s="23">
        <f t="shared" si="3"/>
        <v>0</v>
      </c>
      <c r="W778" s="23">
        <f t="shared" si="4"/>
        <v>0</v>
      </c>
      <c r="X778" s="24" t="str">
        <f t="shared" si="5"/>
        <v>#DIV/0!</v>
      </c>
    </row>
    <row r="779">
      <c r="A779" s="15" t="s">
        <v>3200</v>
      </c>
      <c r="B779" s="18"/>
      <c r="C779" s="16"/>
      <c r="D779" s="18"/>
      <c r="E779" s="17" t="s">
        <v>3201</v>
      </c>
      <c r="F779" s="18"/>
      <c r="G779" s="18"/>
      <c r="H779" s="15" t="s">
        <v>3202</v>
      </c>
      <c r="I779" s="15" t="s">
        <v>3203</v>
      </c>
      <c r="J779" s="19" t="s">
        <v>59</v>
      </c>
      <c r="K779" s="19" t="s">
        <v>2396</v>
      </c>
      <c r="L779" s="19" t="s">
        <v>38</v>
      </c>
      <c r="M779" s="20">
        <f t="shared" si="1"/>
        <v>0</v>
      </c>
      <c r="N779" s="21"/>
      <c r="O779" s="22"/>
      <c r="P779" s="19" t="s">
        <v>1145</v>
      </c>
      <c r="Q779" s="18"/>
      <c r="R779" s="18"/>
      <c r="S779" s="23">
        <v>0.0</v>
      </c>
      <c r="T779" s="23">
        <v>0.0</v>
      </c>
      <c r="U779" s="23">
        <f t="shared" si="2"/>
        <v>0</v>
      </c>
      <c r="V779" s="23">
        <f t="shared" si="3"/>
        <v>0</v>
      </c>
      <c r="W779" s="23">
        <f t="shared" si="4"/>
        <v>0</v>
      </c>
      <c r="X779" s="24" t="str">
        <f t="shared" si="5"/>
        <v>#DIV/0!</v>
      </c>
    </row>
    <row r="780">
      <c r="A780" s="15" t="s">
        <v>3204</v>
      </c>
      <c r="B780" s="18"/>
      <c r="C780" s="16"/>
      <c r="D780" s="18"/>
      <c r="E780" s="17" t="s">
        <v>3205</v>
      </c>
      <c r="F780" s="18"/>
      <c r="G780" s="18"/>
      <c r="H780" s="15" t="s">
        <v>3206</v>
      </c>
      <c r="I780" s="15" t="s">
        <v>3207</v>
      </c>
      <c r="J780" s="19" t="s">
        <v>59</v>
      </c>
      <c r="K780" s="19" t="s">
        <v>2382</v>
      </c>
      <c r="L780" s="19" t="s">
        <v>38</v>
      </c>
      <c r="M780" s="20">
        <f t="shared" si="1"/>
        <v>0</v>
      </c>
      <c r="N780" s="21"/>
      <c r="O780" s="22"/>
      <c r="P780" s="19" t="s">
        <v>1145</v>
      </c>
      <c r="Q780" s="18"/>
      <c r="R780" s="18"/>
      <c r="S780" s="23">
        <v>0.0</v>
      </c>
      <c r="T780" s="23">
        <v>0.0</v>
      </c>
      <c r="U780" s="23">
        <f t="shared" si="2"/>
        <v>0</v>
      </c>
      <c r="V780" s="23">
        <f t="shared" si="3"/>
        <v>0</v>
      </c>
      <c r="W780" s="23">
        <f t="shared" si="4"/>
        <v>0</v>
      </c>
      <c r="X780" s="24" t="str">
        <f t="shared" si="5"/>
        <v>#DIV/0!</v>
      </c>
    </row>
    <row r="781">
      <c r="A781" s="15" t="s">
        <v>3208</v>
      </c>
      <c r="B781" s="18"/>
      <c r="C781" s="16"/>
      <c r="D781" s="18"/>
      <c r="E781" s="17" t="s">
        <v>3209</v>
      </c>
      <c r="F781" s="18"/>
      <c r="G781" s="18"/>
      <c r="H781" s="15" t="s">
        <v>3210</v>
      </c>
      <c r="I781" s="15" t="s">
        <v>3211</v>
      </c>
      <c r="J781" s="19" t="s">
        <v>59</v>
      </c>
      <c r="K781" s="19" t="s">
        <v>2382</v>
      </c>
      <c r="L781" s="19" t="s">
        <v>38</v>
      </c>
      <c r="M781" s="20">
        <f t="shared" si="1"/>
        <v>0</v>
      </c>
      <c r="N781" s="21"/>
      <c r="O781" s="22"/>
      <c r="P781" s="19" t="s">
        <v>1145</v>
      </c>
      <c r="Q781" s="18"/>
      <c r="R781" s="18"/>
      <c r="S781" s="23">
        <v>0.0</v>
      </c>
      <c r="T781" s="23">
        <v>0.0</v>
      </c>
      <c r="U781" s="23">
        <f t="shared" si="2"/>
        <v>0</v>
      </c>
      <c r="V781" s="23">
        <f t="shared" si="3"/>
        <v>0</v>
      </c>
      <c r="W781" s="23">
        <f t="shared" si="4"/>
        <v>0</v>
      </c>
      <c r="X781" s="24" t="str">
        <f t="shared" si="5"/>
        <v>#DIV/0!</v>
      </c>
    </row>
    <row r="782">
      <c r="A782" s="15" t="s">
        <v>3212</v>
      </c>
      <c r="B782" s="18"/>
      <c r="C782" s="16"/>
      <c r="D782" s="18"/>
      <c r="E782" s="17" t="s">
        <v>3213</v>
      </c>
      <c r="F782" s="18"/>
      <c r="G782" s="18"/>
      <c r="H782" s="15" t="s">
        <v>3214</v>
      </c>
      <c r="I782" s="15" t="s">
        <v>3215</v>
      </c>
      <c r="J782" s="19" t="s">
        <v>59</v>
      </c>
      <c r="K782" s="19" t="s">
        <v>2382</v>
      </c>
      <c r="L782" s="19" t="s">
        <v>38</v>
      </c>
      <c r="M782" s="20">
        <f t="shared" si="1"/>
        <v>0</v>
      </c>
      <c r="N782" s="21"/>
      <c r="O782" s="22"/>
      <c r="P782" s="19" t="s">
        <v>1145</v>
      </c>
      <c r="Q782" s="18"/>
      <c r="R782" s="18"/>
      <c r="S782" s="23">
        <v>0.0</v>
      </c>
      <c r="T782" s="23">
        <v>0.0</v>
      </c>
      <c r="U782" s="23">
        <f t="shared" si="2"/>
        <v>0</v>
      </c>
      <c r="V782" s="23">
        <f t="shared" si="3"/>
        <v>0</v>
      </c>
      <c r="W782" s="23">
        <f t="shared" si="4"/>
        <v>0</v>
      </c>
      <c r="X782" s="24" t="str">
        <f t="shared" si="5"/>
        <v>#DIV/0!</v>
      </c>
    </row>
    <row r="783">
      <c r="A783" s="15" t="s">
        <v>3216</v>
      </c>
      <c r="B783" s="18"/>
      <c r="C783" s="16"/>
      <c r="D783" s="18"/>
      <c r="E783" s="17" t="s">
        <v>3217</v>
      </c>
      <c r="F783" s="18"/>
      <c r="G783" s="18"/>
      <c r="H783" s="15" t="s">
        <v>3218</v>
      </c>
      <c r="I783" s="15" t="s">
        <v>3219</v>
      </c>
      <c r="J783" s="19" t="s">
        <v>59</v>
      </c>
      <c r="K783" s="19" t="s">
        <v>2382</v>
      </c>
      <c r="L783" s="19" t="s">
        <v>38</v>
      </c>
      <c r="M783" s="20">
        <f t="shared" si="1"/>
        <v>0</v>
      </c>
      <c r="N783" s="21"/>
      <c r="O783" s="22"/>
      <c r="P783" s="19" t="s">
        <v>1145</v>
      </c>
      <c r="Q783" s="18"/>
      <c r="R783" s="18"/>
      <c r="S783" s="23">
        <v>0.0</v>
      </c>
      <c r="T783" s="23">
        <v>0.0</v>
      </c>
      <c r="U783" s="23">
        <f t="shared" si="2"/>
        <v>0</v>
      </c>
      <c r="V783" s="23">
        <f t="shared" si="3"/>
        <v>0</v>
      </c>
      <c r="W783" s="23">
        <f t="shared" si="4"/>
        <v>0</v>
      </c>
      <c r="X783" s="24" t="str">
        <f t="shared" si="5"/>
        <v>#DIV/0!</v>
      </c>
    </row>
    <row r="784">
      <c r="A784" s="15" t="s">
        <v>3220</v>
      </c>
      <c r="B784" s="18"/>
      <c r="C784" s="16"/>
      <c r="D784" s="18"/>
      <c r="E784" s="17" t="s">
        <v>3221</v>
      </c>
      <c r="F784" s="18"/>
      <c r="G784" s="18"/>
      <c r="H784" s="15" t="s">
        <v>3222</v>
      </c>
      <c r="I784" s="15" t="s">
        <v>3223</v>
      </c>
      <c r="J784" s="19" t="s">
        <v>59</v>
      </c>
      <c r="K784" s="19" t="s">
        <v>2396</v>
      </c>
      <c r="L784" s="19" t="s">
        <v>38</v>
      </c>
      <c r="M784" s="20">
        <f t="shared" si="1"/>
        <v>0</v>
      </c>
      <c r="N784" s="21"/>
      <c r="O784" s="22"/>
      <c r="P784" s="19" t="s">
        <v>1145</v>
      </c>
      <c r="Q784" s="18"/>
      <c r="R784" s="18"/>
      <c r="S784" s="23">
        <v>0.0</v>
      </c>
      <c r="T784" s="23">
        <v>0.0</v>
      </c>
      <c r="U784" s="23">
        <f t="shared" si="2"/>
        <v>0</v>
      </c>
      <c r="V784" s="23">
        <f t="shared" si="3"/>
        <v>0</v>
      </c>
      <c r="W784" s="23">
        <f t="shared" si="4"/>
        <v>0</v>
      </c>
      <c r="X784" s="24" t="str">
        <f t="shared" si="5"/>
        <v>#DIV/0!</v>
      </c>
    </row>
    <row r="785">
      <c r="A785" s="15" t="s">
        <v>3224</v>
      </c>
      <c r="B785" s="18"/>
      <c r="C785" s="16"/>
      <c r="D785" s="18"/>
      <c r="E785" s="17" t="s">
        <v>3225</v>
      </c>
      <c r="F785" s="18"/>
      <c r="G785" s="18"/>
      <c r="H785" s="15" t="s">
        <v>3226</v>
      </c>
      <c r="I785" s="15" t="s">
        <v>3227</v>
      </c>
      <c r="J785" s="19" t="s">
        <v>59</v>
      </c>
      <c r="K785" s="19" t="s">
        <v>2396</v>
      </c>
      <c r="L785" s="19" t="s">
        <v>38</v>
      </c>
      <c r="M785" s="20">
        <f t="shared" si="1"/>
        <v>0</v>
      </c>
      <c r="N785" s="21"/>
      <c r="O785" s="22"/>
      <c r="P785" s="19" t="s">
        <v>1145</v>
      </c>
      <c r="Q785" s="18"/>
      <c r="R785" s="18"/>
      <c r="S785" s="23">
        <v>0.0</v>
      </c>
      <c r="T785" s="23">
        <v>0.0</v>
      </c>
      <c r="U785" s="23">
        <f t="shared" si="2"/>
        <v>0</v>
      </c>
      <c r="V785" s="23">
        <f t="shared" si="3"/>
        <v>0</v>
      </c>
      <c r="W785" s="23">
        <f t="shared" si="4"/>
        <v>0</v>
      </c>
      <c r="X785" s="24" t="str">
        <f t="shared" si="5"/>
        <v>#DIV/0!</v>
      </c>
    </row>
    <row r="786">
      <c r="A786" s="15" t="s">
        <v>3228</v>
      </c>
      <c r="B786" s="18"/>
      <c r="C786" s="16"/>
      <c r="D786" s="18"/>
      <c r="E786" s="17" t="s">
        <v>3229</v>
      </c>
      <c r="F786" s="18"/>
      <c r="G786" s="18"/>
      <c r="H786" s="15" t="s">
        <v>3230</v>
      </c>
      <c r="I786" s="15" t="s">
        <v>3231</v>
      </c>
      <c r="J786" s="19" t="s">
        <v>59</v>
      </c>
      <c r="K786" s="19" t="s">
        <v>2396</v>
      </c>
      <c r="L786" s="19" t="s">
        <v>38</v>
      </c>
      <c r="M786" s="20">
        <f t="shared" si="1"/>
        <v>0</v>
      </c>
      <c r="N786" s="21"/>
      <c r="O786" s="22"/>
      <c r="P786" s="19" t="s">
        <v>1145</v>
      </c>
      <c r="Q786" s="18"/>
      <c r="R786" s="18"/>
      <c r="S786" s="23">
        <v>0.0</v>
      </c>
      <c r="T786" s="23">
        <v>0.0</v>
      </c>
      <c r="U786" s="23">
        <f t="shared" si="2"/>
        <v>0</v>
      </c>
      <c r="V786" s="23">
        <f t="shared" si="3"/>
        <v>0</v>
      </c>
      <c r="W786" s="23">
        <f t="shared" si="4"/>
        <v>0</v>
      </c>
      <c r="X786" s="24" t="str">
        <f t="shared" si="5"/>
        <v>#DIV/0!</v>
      </c>
    </row>
    <row r="787">
      <c r="A787" s="15" t="s">
        <v>3232</v>
      </c>
      <c r="B787" s="18"/>
      <c r="C787" s="16"/>
      <c r="D787" s="18"/>
      <c r="E787" s="17" t="s">
        <v>3233</v>
      </c>
      <c r="F787" s="18"/>
      <c r="G787" s="18"/>
      <c r="H787" s="15" t="s">
        <v>3234</v>
      </c>
      <c r="I787" s="15" t="s">
        <v>3235</v>
      </c>
      <c r="J787" s="19" t="s">
        <v>59</v>
      </c>
      <c r="K787" s="19" t="s">
        <v>2396</v>
      </c>
      <c r="L787" s="19" t="s">
        <v>38</v>
      </c>
      <c r="M787" s="20">
        <f t="shared" si="1"/>
        <v>0</v>
      </c>
      <c r="N787" s="21"/>
      <c r="O787" s="22"/>
      <c r="P787" s="19" t="s">
        <v>1145</v>
      </c>
      <c r="Q787" s="18"/>
      <c r="R787" s="18"/>
      <c r="S787" s="23">
        <v>0.0</v>
      </c>
      <c r="T787" s="23">
        <v>0.0</v>
      </c>
      <c r="U787" s="23">
        <f t="shared" si="2"/>
        <v>0</v>
      </c>
      <c r="V787" s="23">
        <f t="shared" si="3"/>
        <v>0</v>
      </c>
      <c r="W787" s="23">
        <f t="shared" si="4"/>
        <v>0</v>
      </c>
      <c r="X787" s="24" t="str">
        <f t="shared" si="5"/>
        <v>#DIV/0!</v>
      </c>
    </row>
    <row r="788">
      <c r="A788" s="15" t="s">
        <v>3236</v>
      </c>
      <c r="B788" s="15" t="s">
        <v>3237</v>
      </c>
      <c r="C788" s="16"/>
      <c r="D788" s="18"/>
      <c r="E788" s="17" t="s">
        <v>3238</v>
      </c>
      <c r="F788" s="18"/>
      <c r="G788" s="18"/>
      <c r="H788" s="15" t="s">
        <v>3239</v>
      </c>
      <c r="I788" s="18"/>
      <c r="J788" s="19" t="s">
        <v>702</v>
      </c>
      <c r="K788" s="19" t="s">
        <v>1444</v>
      </c>
      <c r="L788" s="19" t="s">
        <v>38</v>
      </c>
      <c r="M788" s="20">
        <f t="shared" si="1"/>
        <v>0</v>
      </c>
      <c r="N788" s="21"/>
      <c r="O788" s="22"/>
      <c r="P788" s="19" t="s">
        <v>1145</v>
      </c>
      <c r="Q788" s="18"/>
      <c r="R788" s="18"/>
      <c r="S788" s="23">
        <v>0.0</v>
      </c>
      <c r="T788" s="23">
        <v>0.0</v>
      </c>
      <c r="U788" s="23">
        <f t="shared" si="2"/>
        <v>0</v>
      </c>
      <c r="V788" s="23">
        <f t="shared" si="3"/>
        <v>0</v>
      </c>
      <c r="W788" s="23">
        <f t="shared" si="4"/>
        <v>0</v>
      </c>
      <c r="X788" s="24" t="str">
        <f t="shared" si="5"/>
        <v>#DIV/0!</v>
      </c>
    </row>
    <row r="789">
      <c r="A789" s="15" t="s">
        <v>3240</v>
      </c>
      <c r="B789" s="15" t="s">
        <v>1436</v>
      </c>
      <c r="C789" s="16"/>
      <c r="D789" s="18"/>
      <c r="E789" s="17" t="s">
        <v>1437</v>
      </c>
      <c r="F789" s="18"/>
      <c r="G789" s="18"/>
      <c r="H789" s="15" t="s">
        <v>3241</v>
      </c>
      <c r="I789" s="18"/>
      <c r="J789" s="19" t="s">
        <v>702</v>
      </c>
      <c r="K789" s="19" t="s">
        <v>603</v>
      </c>
      <c r="L789" s="19" t="s">
        <v>38</v>
      </c>
      <c r="M789" s="20">
        <f t="shared" si="1"/>
        <v>0</v>
      </c>
      <c r="N789" s="21"/>
      <c r="O789" s="22"/>
      <c r="P789" s="19" t="s">
        <v>1145</v>
      </c>
      <c r="Q789" s="18"/>
      <c r="R789" s="18"/>
      <c r="S789" s="23">
        <v>0.0</v>
      </c>
      <c r="T789" s="23">
        <v>0.0</v>
      </c>
      <c r="U789" s="23">
        <f t="shared" si="2"/>
        <v>0</v>
      </c>
      <c r="V789" s="23">
        <f t="shared" si="3"/>
        <v>0</v>
      </c>
      <c r="W789" s="23">
        <f t="shared" si="4"/>
        <v>0</v>
      </c>
      <c r="X789" s="24" t="str">
        <f t="shared" si="5"/>
        <v>#DIV/0!</v>
      </c>
    </row>
    <row r="790">
      <c r="A790" s="15" t="s">
        <v>3242</v>
      </c>
      <c r="B790" s="15" t="s">
        <v>3243</v>
      </c>
      <c r="C790" s="16"/>
      <c r="D790" s="18"/>
      <c r="E790" s="17" t="s">
        <v>3244</v>
      </c>
      <c r="F790" s="18"/>
      <c r="G790" s="18"/>
      <c r="H790" s="15" t="s">
        <v>3245</v>
      </c>
      <c r="I790" s="18"/>
      <c r="J790" s="19" t="s">
        <v>702</v>
      </c>
      <c r="K790" s="33"/>
      <c r="L790" s="19" t="s">
        <v>38</v>
      </c>
      <c r="M790" s="20">
        <f t="shared" si="1"/>
        <v>0</v>
      </c>
      <c r="N790" s="21"/>
      <c r="O790" s="22"/>
      <c r="P790" s="19" t="s">
        <v>1145</v>
      </c>
      <c r="Q790" s="18"/>
      <c r="R790" s="18"/>
      <c r="S790" s="23">
        <v>0.0</v>
      </c>
      <c r="T790" s="23">
        <v>0.0</v>
      </c>
      <c r="U790" s="23">
        <f t="shared" si="2"/>
        <v>0</v>
      </c>
      <c r="V790" s="23">
        <f t="shared" si="3"/>
        <v>0</v>
      </c>
      <c r="W790" s="23">
        <f t="shared" si="4"/>
        <v>0</v>
      </c>
      <c r="X790" s="24" t="str">
        <f t="shared" si="5"/>
        <v>#DIV/0!</v>
      </c>
    </row>
    <row r="791">
      <c r="A791" s="15" t="s">
        <v>3246</v>
      </c>
      <c r="B791" s="15" t="s">
        <v>3247</v>
      </c>
      <c r="C791" s="16"/>
      <c r="D791" s="18"/>
      <c r="E791" s="17" t="s">
        <v>3248</v>
      </c>
      <c r="F791" s="18"/>
      <c r="G791" s="18"/>
      <c r="H791" s="15" t="s">
        <v>3249</v>
      </c>
      <c r="I791" s="18"/>
      <c r="J791" s="19" t="s">
        <v>702</v>
      </c>
      <c r="K791" s="19" t="s">
        <v>603</v>
      </c>
      <c r="L791" s="19" t="s">
        <v>38</v>
      </c>
      <c r="M791" s="20">
        <f t="shared" si="1"/>
        <v>0</v>
      </c>
      <c r="N791" s="21"/>
      <c r="O791" s="22"/>
      <c r="P791" s="19" t="s">
        <v>1145</v>
      </c>
      <c r="Q791" s="18"/>
      <c r="R791" s="18"/>
      <c r="S791" s="23">
        <v>0.0</v>
      </c>
      <c r="T791" s="23">
        <v>0.0</v>
      </c>
      <c r="U791" s="23">
        <f t="shared" si="2"/>
        <v>0</v>
      </c>
      <c r="V791" s="23">
        <f t="shared" si="3"/>
        <v>0</v>
      </c>
      <c r="W791" s="23">
        <f t="shared" si="4"/>
        <v>0</v>
      </c>
      <c r="X791" s="24" t="str">
        <f t="shared" si="5"/>
        <v>#DIV/0!</v>
      </c>
    </row>
    <row r="792">
      <c r="A792" s="15" t="s">
        <v>3250</v>
      </c>
      <c r="B792" s="15" t="s">
        <v>3251</v>
      </c>
      <c r="C792" s="16"/>
      <c r="D792" s="18"/>
      <c r="E792" s="17" t="s">
        <v>3252</v>
      </c>
      <c r="F792" s="18"/>
      <c r="G792" s="18"/>
      <c r="H792" s="15" t="s">
        <v>3253</v>
      </c>
      <c r="I792" s="18"/>
      <c r="J792" s="19" t="s">
        <v>702</v>
      </c>
      <c r="K792" s="19" t="s">
        <v>1431</v>
      </c>
      <c r="L792" s="19" t="s">
        <v>38</v>
      </c>
      <c r="M792" s="20">
        <f t="shared" si="1"/>
        <v>0</v>
      </c>
      <c r="N792" s="21"/>
      <c r="O792" s="22"/>
      <c r="P792" s="19" t="s">
        <v>1145</v>
      </c>
      <c r="Q792" s="18"/>
      <c r="R792" s="18"/>
      <c r="S792" s="23">
        <v>0.0</v>
      </c>
      <c r="T792" s="23">
        <v>0.0</v>
      </c>
      <c r="U792" s="23">
        <f t="shared" si="2"/>
        <v>0</v>
      </c>
      <c r="V792" s="23">
        <f t="shared" si="3"/>
        <v>0</v>
      </c>
      <c r="W792" s="23">
        <f t="shared" si="4"/>
        <v>0</v>
      </c>
      <c r="X792" s="24" t="str">
        <f t="shared" si="5"/>
        <v>#DIV/0!</v>
      </c>
    </row>
    <row r="793">
      <c r="A793" s="15" t="s">
        <v>3254</v>
      </c>
      <c r="B793" s="18"/>
      <c r="C793" s="16"/>
      <c r="D793" s="18"/>
      <c r="E793" s="17" t="s">
        <v>2827</v>
      </c>
      <c r="F793" s="18"/>
      <c r="G793" s="18"/>
      <c r="H793" s="18"/>
      <c r="I793" s="18"/>
      <c r="J793" s="33"/>
      <c r="K793" s="33"/>
      <c r="L793" s="19" t="s">
        <v>38</v>
      </c>
      <c r="M793" s="20">
        <f t="shared" si="1"/>
        <v>0</v>
      </c>
      <c r="N793" s="21"/>
      <c r="O793" s="22"/>
      <c r="P793" s="19" t="s">
        <v>1145</v>
      </c>
      <c r="Q793" s="18"/>
      <c r="R793" s="18"/>
      <c r="S793" s="23">
        <v>0.0</v>
      </c>
      <c r="T793" s="23">
        <v>0.0</v>
      </c>
      <c r="U793" s="23">
        <f t="shared" si="2"/>
        <v>0</v>
      </c>
      <c r="V793" s="23">
        <f t="shared" si="3"/>
        <v>0</v>
      </c>
      <c r="W793" s="23">
        <f t="shared" si="4"/>
        <v>0</v>
      </c>
      <c r="X793" s="24" t="str">
        <f t="shared" si="5"/>
        <v>#DIV/0!</v>
      </c>
    </row>
    <row r="794">
      <c r="A794" s="15" t="s">
        <v>3255</v>
      </c>
      <c r="B794" s="18"/>
      <c r="C794" s="16"/>
      <c r="D794" s="18"/>
      <c r="E794" s="17" t="s">
        <v>2827</v>
      </c>
      <c r="F794" s="18"/>
      <c r="G794" s="18"/>
      <c r="H794" s="18"/>
      <c r="I794" s="18"/>
      <c r="J794" s="33"/>
      <c r="K794" s="33"/>
      <c r="L794" s="19" t="s">
        <v>38</v>
      </c>
      <c r="M794" s="20">
        <f t="shared" si="1"/>
        <v>0</v>
      </c>
      <c r="N794" s="21"/>
      <c r="O794" s="22"/>
      <c r="P794" s="19" t="s">
        <v>1145</v>
      </c>
      <c r="Q794" s="18"/>
      <c r="R794" s="18"/>
      <c r="S794" s="23">
        <v>0.0</v>
      </c>
      <c r="T794" s="23">
        <v>0.0</v>
      </c>
      <c r="U794" s="23">
        <f t="shared" si="2"/>
        <v>0</v>
      </c>
      <c r="V794" s="23">
        <f t="shared" si="3"/>
        <v>0</v>
      </c>
      <c r="W794" s="23">
        <f t="shared" si="4"/>
        <v>0</v>
      </c>
      <c r="X794" s="24" t="str">
        <f t="shared" si="5"/>
        <v>#DIV/0!</v>
      </c>
    </row>
    <row r="795">
      <c r="A795" s="15" t="s">
        <v>3256</v>
      </c>
      <c r="B795" s="18"/>
      <c r="C795" s="16"/>
      <c r="D795" s="18"/>
      <c r="E795" s="17" t="s">
        <v>3257</v>
      </c>
      <c r="F795" s="18"/>
      <c r="G795" s="18"/>
      <c r="H795" s="15" t="s">
        <v>3258</v>
      </c>
      <c r="I795" s="18"/>
      <c r="J795" s="33"/>
      <c r="K795" s="19" t="s">
        <v>2387</v>
      </c>
      <c r="L795" s="19" t="s">
        <v>38</v>
      </c>
      <c r="M795" s="20">
        <f t="shared" si="1"/>
        <v>0</v>
      </c>
      <c r="N795" s="21"/>
      <c r="O795" s="22"/>
      <c r="P795" s="19" t="s">
        <v>1145</v>
      </c>
      <c r="Q795" s="18"/>
      <c r="R795" s="18"/>
      <c r="S795" s="23">
        <v>0.0</v>
      </c>
      <c r="T795" s="23">
        <v>0.0</v>
      </c>
      <c r="U795" s="23">
        <f t="shared" si="2"/>
        <v>0</v>
      </c>
      <c r="V795" s="23">
        <f t="shared" si="3"/>
        <v>0</v>
      </c>
      <c r="W795" s="23">
        <f t="shared" si="4"/>
        <v>0</v>
      </c>
      <c r="X795" s="24" t="str">
        <f t="shared" si="5"/>
        <v>#DIV/0!</v>
      </c>
    </row>
    <row r="796">
      <c r="A796" s="15" t="s">
        <v>3259</v>
      </c>
      <c r="B796" s="18"/>
      <c r="C796" s="16"/>
      <c r="D796" s="18"/>
      <c r="E796" s="17" t="s">
        <v>3260</v>
      </c>
      <c r="F796" s="18"/>
      <c r="G796" s="18"/>
      <c r="H796" s="15" t="s">
        <v>3261</v>
      </c>
      <c r="I796" s="18"/>
      <c r="J796" s="33"/>
      <c r="K796" s="19" t="s">
        <v>2387</v>
      </c>
      <c r="L796" s="19" t="s">
        <v>38</v>
      </c>
      <c r="M796" s="20">
        <f t="shared" si="1"/>
        <v>0</v>
      </c>
      <c r="N796" s="21"/>
      <c r="O796" s="22"/>
      <c r="P796" s="19" t="s">
        <v>1145</v>
      </c>
      <c r="Q796" s="18"/>
      <c r="R796" s="18"/>
      <c r="S796" s="23">
        <v>0.0</v>
      </c>
      <c r="T796" s="23">
        <v>0.0</v>
      </c>
      <c r="U796" s="23">
        <f t="shared" si="2"/>
        <v>0</v>
      </c>
      <c r="V796" s="23">
        <f t="shared" si="3"/>
        <v>0</v>
      </c>
      <c r="W796" s="23">
        <f t="shared" si="4"/>
        <v>0</v>
      </c>
      <c r="X796" s="24" t="str">
        <f t="shared" si="5"/>
        <v>#DIV/0!</v>
      </c>
    </row>
    <row r="797">
      <c r="A797" s="15" t="s">
        <v>3262</v>
      </c>
      <c r="B797" s="18"/>
      <c r="C797" s="16"/>
      <c r="D797" s="18"/>
      <c r="E797" s="17" t="s">
        <v>3263</v>
      </c>
      <c r="F797" s="18"/>
      <c r="G797" s="18"/>
      <c r="H797" s="15" t="s">
        <v>3264</v>
      </c>
      <c r="I797" s="18"/>
      <c r="J797" s="33"/>
      <c r="K797" s="19" t="s">
        <v>2387</v>
      </c>
      <c r="L797" s="19" t="s">
        <v>38</v>
      </c>
      <c r="M797" s="20">
        <f t="shared" si="1"/>
        <v>0</v>
      </c>
      <c r="N797" s="21"/>
      <c r="O797" s="22"/>
      <c r="P797" s="19" t="s">
        <v>1145</v>
      </c>
      <c r="Q797" s="18"/>
      <c r="R797" s="18"/>
      <c r="S797" s="23">
        <v>0.0</v>
      </c>
      <c r="T797" s="23">
        <v>0.0</v>
      </c>
      <c r="U797" s="23">
        <f t="shared" si="2"/>
        <v>0</v>
      </c>
      <c r="V797" s="23">
        <f t="shared" si="3"/>
        <v>0</v>
      </c>
      <c r="W797" s="23">
        <f t="shared" si="4"/>
        <v>0</v>
      </c>
      <c r="X797" s="24" t="str">
        <f t="shared" si="5"/>
        <v>#DIV/0!</v>
      </c>
    </row>
    <row r="798">
      <c r="A798" s="15" t="s">
        <v>3265</v>
      </c>
      <c r="B798" s="18"/>
      <c r="C798" s="16"/>
      <c r="D798" s="18"/>
      <c r="E798" s="17" t="s">
        <v>3266</v>
      </c>
      <c r="F798" s="18"/>
      <c r="G798" s="18"/>
      <c r="H798" s="15" t="s">
        <v>3267</v>
      </c>
      <c r="I798" s="18"/>
      <c r="J798" s="33"/>
      <c r="K798" s="19" t="s">
        <v>3268</v>
      </c>
      <c r="L798" s="19" t="s">
        <v>38</v>
      </c>
      <c r="M798" s="20">
        <f t="shared" si="1"/>
        <v>0</v>
      </c>
      <c r="N798" s="21"/>
      <c r="O798" s="22"/>
      <c r="P798" s="19" t="s">
        <v>1145</v>
      </c>
      <c r="Q798" s="18"/>
      <c r="R798" s="18"/>
      <c r="S798" s="23">
        <v>0.0</v>
      </c>
      <c r="T798" s="23">
        <v>0.0</v>
      </c>
      <c r="U798" s="23">
        <f t="shared" si="2"/>
        <v>0</v>
      </c>
      <c r="V798" s="23">
        <f t="shared" si="3"/>
        <v>0</v>
      </c>
      <c r="W798" s="23">
        <f t="shared" si="4"/>
        <v>0</v>
      </c>
      <c r="X798" s="24" t="str">
        <f t="shared" si="5"/>
        <v>#DIV/0!</v>
      </c>
    </row>
    <row r="799">
      <c r="A799" s="15" t="s">
        <v>3269</v>
      </c>
      <c r="B799" s="18"/>
      <c r="C799" s="16"/>
      <c r="D799" s="18"/>
      <c r="E799" s="17" t="s">
        <v>3270</v>
      </c>
      <c r="F799" s="18"/>
      <c r="G799" s="18"/>
      <c r="H799" s="15" t="s">
        <v>3271</v>
      </c>
      <c r="I799" s="18"/>
      <c r="J799" s="33"/>
      <c r="K799" s="19" t="s">
        <v>2401</v>
      </c>
      <c r="L799" s="19" t="s">
        <v>38</v>
      </c>
      <c r="M799" s="20">
        <f t="shared" si="1"/>
        <v>0</v>
      </c>
      <c r="N799" s="21"/>
      <c r="O799" s="22"/>
      <c r="P799" s="19" t="s">
        <v>1145</v>
      </c>
      <c r="Q799" s="18"/>
      <c r="R799" s="18"/>
      <c r="S799" s="23">
        <v>0.0</v>
      </c>
      <c r="T799" s="23">
        <v>0.0</v>
      </c>
      <c r="U799" s="23">
        <f t="shared" si="2"/>
        <v>0</v>
      </c>
      <c r="V799" s="23">
        <f t="shared" si="3"/>
        <v>0</v>
      </c>
      <c r="W799" s="23">
        <f t="shared" si="4"/>
        <v>0</v>
      </c>
      <c r="X799" s="24" t="str">
        <f t="shared" si="5"/>
        <v>#DIV/0!</v>
      </c>
    </row>
    <row r="800">
      <c r="A800" s="15" t="s">
        <v>3272</v>
      </c>
      <c r="B800" s="18"/>
      <c r="C800" s="16"/>
      <c r="D800" s="18"/>
      <c r="E800" s="17" t="s">
        <v>3273</v>
      </c>
      <c r="F800" s="18"/>
      <c r="G800" s="18"/>
      <c r="H800" s="15" t="s">
        <v>3274</v>
      </c>
      <c r="I800" s="18"/>
      <c r="J800" s="33"/>
      <c r="K800" s="19" t="s">
        <v>2519</v>
      </c>
      <c r="L800" s="19" t="s">
        <v>38</v>
      </c>
      <c r="M800" s="20">
        <f t="shared" si="1"/>
        <v>0</v>
      </c>
      <c r="N800" s="21"/>
      <c r="O800" s="22"/>
      <c r="P800" s="19" t="s">
        <v>1145</v>
      </c>
      <c r="Q800" s="18"/>
      <c r="R800" s="18"/>
      <c r="S800" s="23">
        <v>0.0</v>
      </c>
      <c r="T800" s="23">
        <v>0.0</v>
      </c>
      <c r="U800" s="23">
        <f t="shared" si="2"/>
        <v>0</v>
      </c>
      <c r="V800" s="23">
        <f t="shared" si="3"/>
        <v>0</v>
      </c>
      <c r="W800" s="23">
        <f t="shared" si="4"/>
        <v>0</v>
      </c>
      <c r="X800" s="24" t="str">
        <f t="shared" si="5"/>
        <v>#DIV/0!</v>
      </c>
    </row>
    <row r="801">
      <c r="A801" s="15" t="s">
        <v>3275</v>
      </c>
      <c r="B801" s="18"/>
      <c r="C801" s="16"/>
      <c r="D801" s="18"/>
      <c r="E801" s="17" t="s">
        <v>3276</v>
      </c>
      <c r="F801" s="18"/>
      <c r="G801" s="18"/>
      <c r="H801" s="15" t="s">
        <v>3277</v>
      </c>
      <c r="I801" s="18"/>
      <c r="J801" s="33"/>
      <c r="K801" s="19" t="s">
        <v>2519</v>
      </c>
      <c r="L801" s="19" t="s">
        <v>38</v>
      </c>
      <c r="M801" s="20">
        <f t="shared" si="1"/>
        <v>0</v>
      </c>
      <c r="N801" s="21"/>
      <c r="O801" s="22"/>
      <c r="P801" s="19" t="s">
        <v>1145</v>
      </c>
      <c r="Q801" s="18"/>
      <c r="R801" s="18"/>
      <c r="S801" s="23">
        <v>0.0</v>
      </c>
      <c r="T801" s="23">
        <v>0.0</v>
      </c>
      <c r="U801" s="23">
        <f t="shared" si="2"/>
        <v>0</v>
      </c>
      <c r="V801" s="23">
        <f t="shared" si="3"/>
        <v>0</v>
      </c>
      <c r="W801" s="23">
        <f t="shared" si="4"/>
        <v>0</v>
      </c>
      <c r="X801" s="24" t="str">
        <f t="shared" si="5"/>
        <v>#DIV/0!</v>
      </c>
    </row>
    <row r="802">
      <c r="A802" s="15" t="s">
        <v>3278</v>
      </c>
      <c r="B802" s="18"/>
      <c r="C802" s="16"/>
      <c r="D802" s="18"/>
      <c r="E802" s="17" t="s">
        <v>3279</v>
      </c>
      <c r="F802" s="18"/>
      <c r="G802" s="18"/>
      <c r="H802" s="15" t="s">
        <v>3280</v>
      </c>
      <c r="I802" s="18"/>
      <c r="J802" s="33"/>
      <c r="K802" s="19" t="s">
        <v>2519</v>
      </c>
      <c r="L802" s="19" t="s">
        <v>38</v>
      </c>
      <c r="M802" s="20">
        <f t="shared" si="1"/>
        <v>0</v>
      </c>
      <c r="N802" s="21"/>
      <c r="O802" s="22"/>
      <c r="P802" s="19" t="s">
        <v>1145</v>
      </c>
      <c r="Q802" s="18"/>
      <c r="R802" s="18"/>
      <c r="S802" s="23">
        <v>0.0</v>
      </c>
      <c r="T802" s="23">
        <v>0.0</v>
      </c>
      <c r="U802" s="23">
        <f t="shared" si="2"/>
        <v>0</v>
      </c>
      <c r="V802" s="23">
        <f t="shared" si="3"/>
        <v>0</v>
      </c>
      <c r="W802" s="23">
        <f t="shared" si="4"/>
        <v>0</v>
      </c>
      <c r="X802" s="24" t="str">
        <f t="shared" si="5"/>
        <v>#DIV/0!</v>
      </c>
    </row>
    <row r="803">
      <c r="A803" s="15" t="s">
        <v>3281</v>
      </c>
      <c r="B803" s="18"/>
      <c r="C803" s="16"/>
      <c r="D803" s="18"/>
      <c r="E803" s="17" t="s">
        <v>3282</v>
      </c>
      <c r="F803" s="18"/>
      <c r="G803" s="18"/>
      <c r="H803" s="15" t="s">
        <v>3283</v>
      </c>
      <c r="I803" s="18"/>
      <c r="J803" s="33"/>
      <c r="K803" s="19" t="s">
        <v>2519</v>
      </c>
      <c r="L803" s="19" t="s">
        <v>38</v>
      </c>
      <c r="M803" s="20">
        <f t="shared" si="1"/>
        <v>0</v>
      </c>
      <c r="N803" s="21"/>
      <c r="O803" s="22"/>
      <c r="P803" s="19" t="s">
        <v>1145</v>
      </c>
      <c r="Q803" s="18"/>
      <c r="R803" s="18"/>
      <c r="S803" s="23">
        <v>0.0</v>
      </c>
      <c r="T803" s="23">
        <v>0.0</v>
      </c>
      <c r="U803" s="23">
        <f t="shared" si="2"/>
        <v>0</v>
      </c>
      <c r="V803" s="23">
        <f t="shared" si="3"/>
        <v>0</v>
      </c>
      <c r="W803" s="23">
        <f t="shared" si="4"/>
        <v>0</v>
      </c>
      <c r="X803" s="24" t="str">
        <f t="shared" si="5"/>
        <v>#DIV/0!</v>
      </c>
    </row>
    <row r="804">
      <c r="A804" s="15" t="s">
        <v>3284</v>
      </c>
      <c r="B804" s="18"/>
      <c r="C804" s="16"/>
      <c r="D804" s="18"/>
      <c r="E804" s="17" t="s">
        <v>3285</v>
      </c>
      <c r="F804" s="18"/>
      <c r="G804" s="18"/>
      <c r="H804" s="15" t="s">
        <v>3286</v>
      </c>
      <c r="I804" s="18"/>
      <c r="J804" s="33"/>
      <c r="K804" s="19" t="s">
        <v>2519</v>
      </c>
      <c r="L804" s="19" t="s">
        <v>38</v>
      </c>
      <c r="M804" s="20">
        <f t="shared" si="1"/>
        <v>0</v>
      </c>
      <c r="N804" s="21"/>
      <c r="O804" s="22"/>
      <c r="P804" s="19" t="s">
        <v>1145</v>
      </c>
      <c r="Q804" s="18"/>
      <c r="R804" s="18"/>
      <c r="S804" s="23">
        <v>0.0</v>
      </c>
      <c r="T804" s="23">
        <v>0.0</v>
      </c>
      <c r="U804" s="23">
        <f t="shared" si="2"/>
        <v>0</v>
      </c>
      <c r="V804" s="23">
        <f t="shared" si="3"/>
        <v>0</v>
      </c>
      <c r="W804" s="23">
        <f t="shared" si="4"/>
        <v>0</v>
      </c>
      <c r="X804" s="24" t="str">
        <f t="shared" si="5"/>
        <v>#DIV/0!</v>
      </c>
      <c r="Z804" s="14">
        <v>228.0</v>
      </c>
    </row>
    <row r="805">
      <c r="A805" s="15" t="s">
        <v>3287</v>
      </c>
      <c r="B805" s="18"/>
      <c r="C805" s="16"/>
      <c r="D805" s="18"/>
      <c r="E805" s="17" t="s">
        <v>3288</v>
      </c>
      <c r="F805" s="18"/>
      <c r="G805" s="18"/>
      <c r="H805" s="15" t="s">
        <v>3289</v>
      </c>
      <c r="I805" s="18"/>
      <c r="J805" s="33"/>
      <c r="K805" s="19" t="s">
        <v>2519</v>
      </c>
      <c r="L805" s="19" t="s">
        <v>38</v>
      </c>
      <c r="M805" s="20">
        <f t="shared" si="1"/>
        <v>0</v>
      </c>
      <c r="N805" s="21"/>
      <c r="O805" s="22"/>
      <c r="P805" s="19" t="s">
        <v>1145</v>
      </c>
      <c r="Q805" s="18"/>
      <c r="R805" s="18"/>
      <c r="S805" s="23">
        <v>0.0</v>
      </c>
      <c r="T805" s="23">
        <v>0.0</v>
      </c>
      <c r="U805" s="23">
        <f t="shared" si="2"/>
        <v>0</v>
      </c>
      <c r="V805" s="23">
        <f t="shared" si="3"/>
        <v>0</v>
      </c>
      <c r="W805" s="23">
        <f t="shared" si="4"/>
        <v>0</v>
      </c>
      <c r="X805" s="24" t="str">
        <f t="shared" si="5"/>
        <v>#DIV/0!</v>
      </c>
    </row>
    <row r="806">
      <c r="A806" s="15" t="s">
        <v>3290</v>
      </c>
      <c r="B806" s="18"/>
      <c r="C806" s="16"/>
      <c r="D806" s="18"/>
      <c r="E806" s="17" t="s">
        <v>3291</v>
      </c>
      <c r="F806" s="18"/>
      <c r="G806" s="18"/>
      <c r="H806" s="15" t="s">
        <v>3292</v>
      </c>
      <c r="I806" s="18"/>
      <c r="J806" s="33"/>
      <c r="K806" s="19" t="s">
        <v>2519</v>
      </c>
      <c r="L806" s="19" t="s">
        <v>38</v>
      </c>
      <c r="M806" s="20">
        <f t="shared" si="1"/>
        <v>0</v>
      </c>
      <c r="N806" s="21"/>
      <c r="O806" s="22"/>
      <c r="P806" s="19" t="s">
        <v>1145</v>
      </c>
      <c r="Q806" s="18"/>
      <c r="R806" s="18"/>
      <c r="S806" s="23">
        <v>0.0</v>
      </c>
      <c r="T806" s="23">
        <v>0.0</v>
      </c>
      <c r="U806" s="23">
        <f t="shared" si="2"/>
        <v>0</v>
      </c>
      <c r="V806" s="23">
        <f t="shared" si="3"/>
        <v>0</v>
      </c>
      <c r="W806" s="23">
        <f t="shared" si="4"/>
        <v>0</v>
      </c>
      <c r="X806" s="24" t="str">
        <f t="shared" si="5"/>
        <v>#DIV/0!</v>
      </c>
    </row>
    <row r="807">
      <c r="A807" s="15" t="s">
        <v>3293</v>
      </c>
      <c r="B807" s="18"/>
      <c r="C807" s="16"/>
      <c r="D807" s="18"/>
      <c r="E807" s="17" t="s">
        <v>3294</v>
      </c>
      <c r="F807" s="18"/>
      <c r="G807" s="18"/>
      <c r="H807" s="15" t="s">
        <v>3295</v>
      </c>
      <c r="I807" s="18"/>
      <c r="J807" s="33"/>
      <c r="K807" s="19" t="s">
        <v>2519</v>
      </c>
      <c r="L807" s="19" t="s">
        <v>38</v>
      </c>
      <c r="M807" s="20">
        <f t="shared" si="1"/>
        <v>0</v>
      </c>
      <c r="N807" s="21"/>
      <c r="O807" s="22"/>
      <c r="P807" s="19" t="s">
        <v>1145</v>
      </c>
      <c r="Q807" s="18"/>
      <c r="R807" s="18"/>
      <c r="S807" s="23">
        <v>0.0</v>
      </c>
      <c r="T807" s="23">
        <v>0.0</v>
      </c>
      <c r="U807" s="23">
        <f t="shared" si="2"/>
        <v>0</v>
      </c>
      <c r="V807" s="23">
        <f t="shared" si="3"/>
        <v>0</v>
      </c>
      <c r="W807" s="23">
        <f t="shared" si="4"/>
        <v>0</v>
      </c>
      <c r="X807" s="24" t="str">
        <f t="shared" si="5"/>
        <v>#DIV/0!</v>
      </c>
    </row>
    <row r="808">
      <c r="A808" s="15" t="s">
        <v>3296</v>
      </c>
      <c r="B808" s="18"/>
      <c r="C808" s="16"/>
      <c r="D808" s="18"/>
      <c r="E808" s="17" t="s">
        <v>3297</v>
      </c>
      <c r="F808" s="18"/>
      <c r="G808" s="18"/>
      <c r="H808" s="15" t="s">
        <v>3298</v>
      </c>
      <c r="I808" s="18"/>
      <c r="J808" s="33"/>
      <c r="K808" s="19" t="s">
        <v>2519</v>
      </c>
      <c r="L808" s="19" t="s">
        <v>38</v>
      </c>
      <c r="M808" s="20">
        <f t="shared" si="1"/>
        <v>0</v>
      </c>
      <c r="N808" s="21"/>
      <c r="O808" s="22"/>
      <c r="P808" s="19" t="s">
        <v>1145</v>
      </c>
      <c r="Q808" s="18"/>
      <c r="R808" s="18"/>
      <c r="S808" s="23">
        <v>0.0</v>
      </c>
      <c r="T808" s="23">
        <v>0.0</v>
      </c>
      <c r="U808" s="23">
        <f t="shared" si="2"/>
        <v>0</v>
      </c>
      <c r="V808" s="23">
        <f t="shared" si="3"/>
        <v>0</v>
      </c>
      <c r="W808" s="23">
        <f t="shared" si="4"/>
        <v>0</v>
      </c>
      <c r="X808" s="24" t="str">
        <f t="shared" si="5"/>
        <v>#DIV/0!</v>
      </c>
    </row>
    <row r="809">
      <c r="A809" s="15" t="s">
        <v>3299</v>
      </c>
      <c r="B809" s="18"/>
      <c r="C809" s="16"/>
      <c r="D809" s="18"/>
      <c r="E809" s="17" t="s">
        <v>3300</v>
      </c>
      <c r="F809" s="18"/>
      <c r="G809" s="18"/>
      <c r="H809" s="15" t="s">
        <v>3301</v>
      </c>
      <c r="I809" s="18"/>
      <c r="J809" s="33"/>
      <c r="K809" s="19" t="s">
        <v>2519</v>
      </c>
      <c r="L809" s="19" t="s">
        <v>38</v>
      </c>
      <c r="M809" s="20">
        <f t="shared" si="1"/>
        <v>0</v>
      </c>
      <c r="N809" s="21"/>
      <c r="O809" s="22"/>
      <c r="P809" s="19" t="s">
        <v>1145</v>
      </c>
      <c r="Q809" s="18"/>
      <c r="R809" s="18"/>
      <c r="S809" s="23">
        <v>0.0</v>
      </c>
      <c r="T809" s="23">
        <v>0.0</v>
      </c>
      <c r="U809" s="23">
        <f t="shared" si="2"/>
        <v>0</v>
      </c>
      <c r="V809" s="23">
        <f t="shared" si="3"/>
        <v>0</v>
      </c>
      <c r="W809" s="23">
        <f t="shared" si="4"/>
        <v>0</v>
      </c>
      <c r="X809" s="24" t="str">
        <f t="shared" si="5"/>
        <v>#DIV/0!</v>
      </c>
    </row>
    <row r="810">
      <c r="A810" s="15" t="s">
        <v>3302</v>
      </c>
      <c r="B810" s="18"/>
      <c r="C810" s="16"/>
      <c r="D810" s="18"/>
      <c r="E810" s="17" t="s">
        <v>3303</v>
      </c>
      <c r="F810" s="18"/>
      <c r="G810" s="18"/>
      <c r="H810" s="15" t="s">
        <v>3304</v>
      </c>
      <c r="I810" s="18"/>
      <c r="J810" s="33"/>
      <c r="K810" s="19" t="s">
        <v>2519</v>
      </c>
      <c r="L810" s="19" t="s">
        <v>38</v>
      </c>
      <c r="M810" s="20">
        <f t="shared" si="1"/>
        <v>0</v>
      </c>
      <c r="N810" s="21"/>
      <c r="O810" s="22"/>
      <c r="P810" s="19" t="s">
        <v>1145</v>
      </c>
      <c r="Q810" s="18"/>
      <c r="R810" s="18"/>
      <c r="S810" s="23">
        <v>0.0</v>
      </c>
      <c r="T810" s="23">
        <v>0.0</v>
      </c>
      <c r="U810" s="23">
        <f t="shared" si="2"/>
        <v>0</v>
      </c>
      <c r="V810" s="23">
        <f t="shared" si="3"/>
        <v>0</v>
      </c>
      <c r="W810" s="23">
        <f t="shared" si="4"/>
        <v>0</v>
      </c>
      <c r="X810" s="24" t="str">
        <f t="shared" si="5"/>
        <v>#DIV/0!</v>
      </c>
    </row>
    <row r="811">
      <c r="A811" s="15" t="s">
        <v>3305</v>
      </c>
      <c r="B811" s="18"/>
      <c r="C811" s="16"/>
      <c r="D811" s="18"/>
      <c r="E811" s="17" t="s">
        <v>3306</v>
      </c>
      <c r="F811" s="18"/>
      <c r="G811" s="18"/>
      <c r="H811" s="15" t="s">
        <v>3307</v>
      </c>
      <c r="I811" s="18"/>
      <c r="J811" s="33"/>
      <c r="K811" s="19" t="s">
        <v>2519</v>
      </c>
      <c r="L811" s="19" t="s">
        <v>38</v>
      </c>
      <c r="M811" s="20">
        <f t="shared" si="1"/>
        <v>0</v>
      </c>
      <c r="N811" s="21"/>
      <c r="O811" s="22"/>
      <c r="P811" s="19" t="s">
        <v>1145</v>
      </c>
      <c r="Q811" s="18"/>
      <c r="R811" s="18"/>
      <c r="S811" s="23">
        <v>0.0</v>
      </c>
      <c r="T811" s="23">
        <v>0.0</v>
      </c>
      <c r="U811" s="23">
        <f t="shared" si="2"/>
        <v>0</v>
      </c>
      <c r="V811" s="23">
        <f t="shared" si="3"/>
        <v>0</v>
      </c>
      <c r="W811" s="23">
        <f t="shared" si="4"/>
        <v>0</v>
      </c>
      <c r="X811" s="24" t="str">
        <f t="shared" si="5"/>
        <v>#DIV/0!</v>
      </c>
    </row>
    <row r="812">
      <c r="A812" s="15" t="s">
        <v>3308</v>
      </c>
      <c r="B812" s="18"/>
      <c r="C812" s="16"/>
      <c r="D812" s="18"/>
      <c r="E812" s="17" t="s">
        <v>3309</v>
      </c>
      <c r="F812" s="18"/>
      <c r="G812" s="18"/>
      <c r="H812" s="15" t="s">
        <v>3310</v>
      </c>
      <c r="I812" s="18"/>
      <c r="J812" s="33"/>
      <c r="K812" s="19" t="s">
        <v>2519</v>
      </c>
      <c r="L812" s="19" t="s">
        <v>38</v>
      </c>
      <c r="M812" s="20">
        <f t="shared" si="1"/>
        <v>0</v>
      </c>
      <c r="N812" s="21"/>
      <c r="O812" s="22"/>
      <c r="P812" s="19" t="s">
        <v>1145</v>
      </c>
      <c r="Q812" s="18"/>
      <c r="R812" s="18"/>
      <c r="S812" s="23">
        <v>0.0</v>
      </c>
      <c r="T812" s="23">
        <v>0.0</v>
      </c>
      <c r="U812" s="23">
        <f t="shared" si="2"/>
        <v>0</v>
      </c>
      <c r="V812" s="23">
        <f t="shared" si="3"/>
        <v>0</v>
      </c>
      <c r="W812" s="23">
        <f t="shared" si="4"/>
        <v>0</v>
      </c>
      <c r="X812" s="24" t="str">
        <f t="shared" si="5"/>
        <v>#DIV/0!</v>
      </c>
    </row>
    <row r="813">
      <c r="A813" s="15" t="s">
        <v>3311</v>
      </c>
      <c r="B813" s="18"/>
      <c r="C813" s="16"/>
      <c r="D813" s="18"/>
      <c r="E813" s="17" t="s">
        <v>3312</v>
      </c>
      <c r="F813" s="18"/>
      <c r="G813" s="18"/>
      <c r="H813" s="15" t="s">
        <v>3313</v>
      </c>
      <c r="I813" s="18"/>
      <c r="J813" s="33"/>
      <c r="K813" s="19" t="s">
        <v>2519</v>
      </c>
      <c r="L813" s="19" t="s">
        <v>38</v>
      </c>
      <c r="M813" s="20">
        <f t="shared" si="1"/>
        <v>0</v>
      </c>
      <c r="N813" s="21"/>
      <c r="O813" s="22"/>
      <c r="P813" s="19" t="s">
        <v>1145</v>
      </c>
      <c r="Q813" s="18"/>
      <c r="R813" s="18"/>
      <c r="S813" s="23">
        <v>0.0</v>
      </c>
      <c r="T813" s="23">
        <v>0.0</v>
      </c>
      <c r="U813" s="23">
        <f t="shared" si="2"/>
        <v>0</v>
      </c>
      <c r="V813" s="23">
        <f t="shared" si="3"/>
        <v>0</v>
      </c>
      <c r="W813" s="23">
        <f t="shared" si="4"/>
        <v>0</v>
      </c>
      <c r="X813" s="24" t="str">
        <f t="shared" si="5"/>
        <v>#DIV/0!</v>
      </c>
    </row>
    <row r="814">
      <c r="A814" s="15" t="s">
        <v>3314</v>
      </c>
      <c r="B814" s="18"/>
      <c r="C814" s="16"/>
      <c r="D814" s="18"/>
      <c r="E814" s="17" t="s">
        <v>3315</v>
      </c>
      <c r="F814" s="18"/>
      <c r="G814" s="18"/>
      <c r="H814" s="15" t="s">
        <v>3316</v>
      </c>
      <c r="I814" s="18"/>
      <c r="J814" s="33"/>
      <c r="K814" s="19" t="s">
        <v>2519</v>
      </c>
      <c r="L814" s="19" t="s">
        <v>38</v>
      </c>
      <c r="M814" s="20">
        <f t="shared" si="1"/>
        <v>0</v>
      </c>
      <c r="N814" s="21"/>
      <c r="O814" s="22"/>
      <c r="P814" s="19" t="s">
        <v>1145</v>
      </c>
      <c r="Q814" s="18"/>
      <c r="R814" s="18"/>
      <c r="S814" s="23">
        <v>0.0</v>
      </c>
      <c r="T814" s="23">
        <v>0.0</v>
      </c>
      <c r="U814" s="23">
        <f t="shared" si="2"/>
        <v>0</v>
      </c>
      <c r="V814" s="23">
        <f t="shared" si="3"/>
        <v>0</v>
      </c>
      <c r="W814" s="23">
        <f t="shared" si="4"/>
        <v>0</v>
      </c>
      <c r="X814" s="24" t="str">
        <f t="shared" si="5"/>
        <v>#DIV/0!</v>
      </c>
    </row>
    <row r="815">
      <c r="A815" s="15" t="s">
        <v>3317</v>
      </c>
      <c r="B815" s="18"/>
      <c r="C815" s="16"/>
      <c r="D815" s="18"/>
      <c r="E815" s="17" t="s">
        <v>3318</v>
      </c>
      <c r="F815" s="18"/>
      <c r="G815" s="18"/>
      <c r="H815" s="15" t="s">
        <v>3319</v>
      </c>
      <c r="I815" s="18"/>
      <c r="J815" s="33"/>
      <c r="K815" s="19" t="s">
        <v>2519</v>
      </c>
      <c r="L815" s="19" t="s">
        <v>38</v>
      </c>
      <c r="M815" s="20">
        <f t="shared" si="1"/>
        <v>0</v>
      </c>
      <c r="N815" s="21"/>
      <c r="O815" s="22"/>
      <c r="P815" s="19" t="s">
        <v>1145</v>
      </c>
      <c r="Q815" s="18"/>
      <c r="R815" s="18"/>
      <c r="S815" s="23">
        <v>0.0</v>
      </c>
      <c r="T815" s="23">
        <v>0.0</v>
      </c>
      <c r="U815" s="23">
        <f t="shared" si="2"/>
        <v>0</v>
      </c>
      <c r="V815" s="23">
        <f t="shared" si="3"/>
        <v>0</v>
      </c>
      <c r="W815" s="23">
        <f t="shared" si="4"/>
        <v>0</v>
      </c>
      <c r="X815" s="24" t="str">
        <f t="shared" si="5"/>
        <v>#DIV/0!</v>
      </c>
    </row>
    <row r="816">
      <c r="A816" s="15" t="s">
        <v>3320</v>
      </c>
      <c r="B816" s="18"/>
      <c r="C816" s="16"/>
      <c r="D816" s="18"/>
      <c r="E816" s="17" t="s">
        <v>3321</v>
      </c>
      <c r="F816" s="18"/>
      <c r="G816" s="18"/>
      <c r="H816" s="15" t="s">
        <v>3322</v>
      </c>
      <c r="I816" s="18"/>
      <c r="J816" s="33"/>
      <c r="K816" s="19" t="s">
        <v>2519</v>
      </c>
      <c r="L816" s="19" t="s">
        <v>38</v>
      </c>
      <c r="M816" s="20">
        <f t="shared" si="1"/>
        <v>0</v>
      </c>
      <c r="N816" s="21"/>
      <c r="O816" s="22"/>
      <c r="P816" s="19" t="s">
        <v>1145</v>
      </c>
      <c r="Q816" s="18"/>
      <c r="R816" s="18"/>
      <c r="S816" s="23">
        <v>0.0</v>
      </c>
      <c r="T816" s="23">
        <v>0.0</v>
      </c>
      <c r="U816" s="23">
        <f t="shared" si="2"/>
        <v>0</v>
      </c>
      <c r="V816" s="23">
        <f t="shared" si="3"/>
        <v>0</v>
      </c>
      <c r="W816" s="23">
        <f t="shared" si="4"/>
        <v>0</v>
      </c>
      <c r="X816" s="24" t="str">
        <f t="shared" si="5"/>
        <v>#DIV/0!</v>
      </c>
    </row>
    <row r="817">
      <c r="A817" s="15" t="s">
        <v>3323</v>
      </c>
      <c r="B817" s="18"/>
      <c r="C817" s="16"/>
      <c r="D817" s="18"/>
      <c r="E817" s="17" t="s">
        <v>3324</v>
      </c>
      <c r="F817" s="18"/>
      <c r="G817" s="18"/>
      <c r="H817" s="15" t="s">
        <v>3325</v>
      </c>
      <c r="I817" s="15" t="s">
        <v>3326</v>
      </c>
      <c r="J817" s="33"/>
      <c r="K817" s="19" t="s">
        <v>2401</v>
      </c>
      <c r="L817" s="19" t="s">
        <v>38</v>
      </c>
      <c r="M817" s="20">
        <f t="shared" si="1"/>
        <v>0</v>
      </c>
      <c r="N817" s="21"/>
      <c r="O817" s="22"/>
      <c r="P817" s="19" t="s">
        <v>1145</v>
      </c>
      <c r="Q817" s="18"/>
      <c r="R817" s="18"/>
      <c r="S817" s="23">
        <v>0.0</v>
      </c>
      <c r="T817" s="23">
        <v>0.0</v>
      </c>
      <c r="U817" s="23">
        <f t="shared" si="2"/>
        <v>0</v>
      </c>
      <c r="V817" s="23">
        <f t="shared" si="3"/>
        <v>0</v>
      </c>
      <c r="W817" s="23">
        <f t="shared" si="4"/>
        <v>0</v>
      </c>
      <c r="X817" s="24" t="str">
        <f t="shared" si="5"/>
        <v>#DIV/0!</v>
      </c>
    </row>
    <row r="818">
      <c r="A818" s="15" t="s">
        <v>3327</v>
      </c>
      <c r="B818" s="18"/>
      <c r="C818" s="16"/>
      <c r="D818" s="18"/>
      <c r="E818" s="17" t="s">
        <v>3328</v>
      </c>
      <c r="F818" s="18"/>
      <c r="G818" s="18"/>
      <c r="H818" s="15" t="s">
        <v>3329</v>
      </c>
      <c r="I818" s="18"/>
      <c r="J818" s="33"/>
      <c r="K818" s="19" t="s">
        <v>3330</v>
      </c>
      <c r="L818" s="19" t="s">
        <v>38</v>
      </c>
      <c r="M818" s="20">
        <f t="shared" si="1"/>
        <v>0</v>
      </c>
      <c r="N818" s="21"/>
      <c r="O818" s="22"/>
      <c r="P818" s="19" t="s">
        <v>1145</v>
      </c>
      <c r="Q818" s="18"/>
      <c r="R818" s="18"/>
      <c r="S818" s="23">
        <v>0.0</v>
      </c>
      <c r="T818" s="23">
        <v>0.0</v>
      </c>
      <c r="U818" s="23">
        <f t="shared" si="2"/>
        <v>0</v>
      </c>
      <c r="V818" s="23">
        <f t="shared" si="3"/>
        <v>0</v>
      </c>
      <c r="W818" s="23">
        <f t="shared" si="4"/>
        <v>0</v>
      </c>
      <c r="X818" s="24" t="str">
        <f t="shared" si="5"/>
        <v>#DIV/0!</v>
      </c>
    </row>
    <row r="819">
      <c r="A819" s="15" t="s">
        <v>3331</v>
      </c>
      <c r="B819" s="18"/>
      <c r="C819" s="16"/>
      <c r="D819" s="18"/>
      <c r="E819" s="17" t="s">
        <v>3332</v>
      </c>
      <c r="F819" s="18"/>
      <c r="G819" s="18"/>
      <c r="H819" s="15" t="s">
        <v>3333</v>
      </c>
      <c r="I819" s="18"/>
      <c r="J819" s="33"/>
      <c r="K819" s="19" t="s">
        <v>3334</v>
      </c>
      <c r="L819" s="19" t="s">
        <v>38</v>
      </c>
      <c r="M819" s="20">
        <f t="shared" si="1"/>
        <v>0</v>
      </c>
      <c r="N819" s="21"/>
      <c r="O819" s="22"/>
      <c r="P819" s="19" t="s">
        <v>1145</v>
      </c>
      <c r="Q819" s="18"/>
      <c r="R819" s="18"/>
      <c r="S819" s="23">
        <v>0.0</v>
      </c>
      <c r="T819" s="23">
        <v>0.0</v>
      </c>
      <c r="U819" s="23">
        <f t="shared" si="2"/>
        <v>0</v>
      </c>
      <c r="V819" s="23">
        <f t="shared" si="3"/>
        <v>0</v>
      </c>
      <c r="W819" s="23">
        <f t="shared" si="4"/>
        <v>0</v>
      </c>
      <c r="X819" s="24" t="str">
        <f t="shared" si="5"/>
        <v>#DIV/0!</v>
      </c>
    </row>
    <row r="820">
      <c r="A820" s="15" t="s">
        <v>3335</v>
      </c>
      <c r="B820" s="18"/>
      <c r="C820" s="16"/>
      <c r="D820" s="18"/>
      <c r="E820" s="17" t="s">
        <v>3336</v>
      </c>
      <c r="F820" s="18"/>
      <c r="G820" s="18"/>
      <c r="H820" s="15" t="s">
        <v>3337</v>
      </c>
      <c r="I820" s="18"/>
      <c r="J820" s="33"/>
      <c r="K820" s="19" t="s">
        <v>3330</v>
      </c>
      <c r="L820" s="19" t="s">
        <v>38</v>
      </c>
      <c r="M820" s="20">
        <f t="shared" si="1"/>
        <v>0</v>
      </c>
      <c r="N820" s="21"/>
      <c r="O820" s="22"/>
      <c r="P820" s="19" t="s">
        <v>1145</v>
      </c>
      <c r="Q820" s="18"/>
      <c r="R820" s="18"/>
      <c r="S820" s="23">
        <v>0.0</v>
      </c>
      <c r="T820" s="23">
        <v>0.0</v>
      </c>
      <c r="U820" s="23">
        <f t="shared" si="2"/>
        <v>0</v>
      </c>
      <c r="V820" s="23">
        <f t="shared" si="3"/>
        <v>0</v>
      </c>
      <c r="W820" s="23">
        <f t="shared" si="4"/>
        <v>0</v>
      </c>
      <c r="X820" s="24" t="str">
        <f t="shared" si="5"/>
        <v>#DIV/0!</v>
      </c>
    </row>
    <row r="821">
      <c r="A821" s="15" t="s">
        <v>3338</v>
      </c>
      <c r="B821" s="18"/>
      <c r="C821" s="16"/>
      <c r="D821" s="18"/>
      <c r="E821" s="17" t="s">
        <v>3339</v>
      </c>
      <c r="F821" s="18"/>
      <c r="G821" s="18"/>
      <c r="H821" s="15" t="s">
        <v>3340</v>
      </c>
      <c r="I821" s="18"/>
      <c r="J821" s="33"/>
      <c r="K821" s="19" t="s">
        <v>691</v>
      </c>
      <c r="L821" s="19" t="s">
        <v>38</v>
      </c>
      <c r="M821" s="20">
        <f t="shared" si="1"/>
        <v>0</v>
      </c>
      <c r="N821" s="21"/>
      <c r="O821" s="22"/>
      <c r="P821" s="19" t="s">
        <v>1145</v>
      </c>
      <c r="Q821" s="18"/>
      <c r="R821" s="18"/>
      <c r="S821" s="23">
        <v>0.0</v>
      </c>
      <c r="T821" s="23">
        <v>0.0</v>
      </c>
      <c r="U821" s="23">
        <f t="shared" si="2"/>
        <v>0</v>
      </c>
      <c r="V821" s="23">
        <f t="shared" si="3"/>
        <v>0</v>
      </c>
      <c r="W821" s="23">
        <f t="shared" si="4"/>
        <v>0</v>
      </c>
      <c r="X821" s="24" t="str">
        <f t="shared" si="5"/>
        <v>#DIV/0!</v>
      </c>
    </row>
    <row r="822">
      <c r="A822" s="15" t="s">
        <v>3341</v>
      </c>
      <c r="B822" s="18"/>
      <c r="C822" s="16"/>
      <c r="D822" s="18"/>
      <c r="E822" s="17" t="s">
        <v>3342</v>
      </c>
      <c r="F822" s="18"/>
      <c r="G822" s="18"/>
      <c r="H822" s="15" t="s">
        <v>3343</v>
      </c>
      <c r="I822" s="18"/>
      <c r="J822" s="33"/>
      <c r="K822" s="19" t="s">
        <v>2387</v>
      </c>
      <c r="L822" s="19" t="s">
        <v>38</v>
      </c>
      <c r="M822" s="20">
        <f t="shared" si="1"/>
        <v>0</v>
      </c>
      <c r="N822" s="21"/>
      <c r="O822" s="22"/>
      <c r="P822" s="19" t="s">
        <v>1145</v>
      </c>
      <c r="Q822" s="18"/>
      <c r="R822" s="18"/>
      <c r="S822" s="23">
        <v>0.0</v>
      </c>
      <c r="T822" s="23">
        <v>0.0</v>
      </c>
      <c r="U822" s="23">
        <f t="shared" si="2"/>
        <v>0</v>
      </c>
      <c r="V822" s="23">
        <f t="shared" si="3"/>
        <v>0</v>
      </c>
      <c r="W822" s="23">
        <f t="shared" si="4"/>
        <v>0</v>
      </c>
      <c r="X822" s="24" t="str">
        <f t="shared" si="5"/>
        <v>#DIV/0!</v>
      </c>
    </row>
    <row r="823">
      <c r="A823" s="15" t="s">
        <v>3344</v>
      </c>
      <c r="B823" s="18"/>
      <c r="C823" s="16"/>
      <c r="D823" s="18"/>
      <c r="E823" s="17" t="s">
        <v>3345</v>
      </c>
      <c r="F823" s="18"/>
      <c r="G823" s="18"/>
      <c r="H823" s="15" t="s">
        <v>3346</v>
      </c>
      <c r="I823" s="18"/>
      <c r="J823" s="33"/>
      <c r="K823" s="19" t="s">
        <v>2506</v>
      </c>
      <c r="L823" s="19" t="s">
        <v>38</v>
      </c>
      <c r="M823" s="20">
        <f t="shared" si="1"/>
        <v>0</v>
      </c>
      <c r="N823" s="21"/>
      <c r="O823" s="22"/>
      <c r="P823" s="19" t="s">
        <v>1145</v>
      </c>
      <c r="Q823" s="18"/>
      <c r="R823" s="18"/>
      <c r="S823" s="23">
        <v>0.0</v>
      </c>
      <c r="T823" s="23">
        <v>0.0</v>
      </c>
      <c r="U823" s="23">
        <f t="shared" si="2"/>
        <v>0</v>
      </c>
      <c r="V823" s="23">
        <f t="shared" si="3"/>
        <v>0</v>
      </c>
      <c r="W823" s="23">
        <f t="shared" si="4"/>
        <v>0</v>
      </c>
      <c r="X823" s="24" t="str">
        <f t="shared" si="5"/>
        <v>#DIV/0!</v>
      </c>
    </row>
    <row r="824">
      <c r="A824" s="15" t="s">
        <v>3347</v>
      </c>
      <c r="B824" s="18"/>
      <c r="C824" s="16"/>
      <c r="D824" s="18"/>
      <c r="E824" s="17" t="s">
        <v>3348</v>
      </c>
      <c r="F824" s="18"/>
      <c r="G824" s="18"/>
      <c r="H824" s="15" t="s">
        <v>3349</v>
      </c>
      <c r="I824" s="18"/>
      <c r="J824" s="33"/>
      <c r="K824" s="19" t="s">
        <v>2506</v>
      </c>
      <c r="L824" s="19" t="s">
        <v>38</v>
      </c>
      <c r="M824" s="20">
        <f t="shared" si="1"/>
        <v>0</v>
      </c>
      <c r="N824" s="21"/>
      <c r="O824" s="22"/>
      <c r="P824" s="19" t="s">
        <v>1145</v>
      </c>
      <c r="Q824" s="18"/>
      <c r="R824" s="18"/>
      <c r="S824" s="23">
        <v>0.0</v>
      </c>
      <c r="T824" s="23">
        <v>0.0</v>
      </c>
      <c r="U824" s="23">
        <f t="shared" si="2"/>
        <v>0</v>
      </c>
      <c r="V824" s="23">
        <f t="shared" si="3"/>
        <v>0</v>
      </c>
      <c r="W824" s="23">
        <f t="shared" si="4"/>
        <v>0</v>
      </c>
      <c r="X824" s="24" t="str">
        <f t="shared" si="5"/>
        <v>#DIV/0!</v>
      </c>
    </row>
    <row r="825">
      <c r="A825" s="15" t="s">
        <v>3350</v>
      </c>
      <c r="B825" s="18"/>
      <c r="C825" s="16"/>
      <c r="D825" s="18"/>
      <c r="E825" s="17" t="s">
        <v>3351</v>
      </c>
      <c r="F825" s="18"/>
      <c r="G825" s="18"/>
      <c r="H825" s="15" t="s">
        <v>3352</v>
      </c>
      <c r="I825" s="18"/>
      <c r="J825" s="33"/>
      <c r="K825" s="19" t="s">
        <v>3330</v>
      </c>
      <c r="L825" s="19" t="s">
        <v>38</v>
      </c>
      <c r="M825" s="20">
        <f t="shared" si="1"/>
        <v>0</v>
      </c>
      <c r="N825" s="21"/>
      <c r="O825" s="22"/>
      <c r="P825" s="19" t="s">
        <v>1145</v>
      </c>
      <c r="Q825" s="18"/>
      <c r="R825" s="18"/>
      <c r="S825" s="23">
        <v>0.0</v>
      </c>
      <c r="T825" s="23">
        <v>0.0</v>
      </c>
      <c r="U825" s="23">
        <f t="shared" si="2"/>
        <v>0</v>
      </c>
      <c r="V825" s="23">
        <f t="shared" si="3"/>
        <v>0</v>
      </c>
      <c r="W825" s="23">
        <f t="shared" si="4"/>
        <v>0</v>
      </c>
      <c r="X825" s="24" t="str">
        <f t="shared" si="5"/>
        <v>#DIV/0!</v>
      </c>
    </row>
    <row r="826">
      <c r="A826" s="15" t="s">
        <v>3353</v>
      </c>
      <c r="B826" s="18"/>
      <c r="C826" s="16"/>
      <c r="D826" s="18"/>
      <c r="E826" s="17" t="s">
        <v>3354</v>
      </c>
      <c r="F826" s="18"/>
      <c r="G826" s="18"/>
      <c r="H826" s="15" t="s">
        <v>3355</v>
      </c>
      <c r="I826" s="18"/>
      <c r="J826" s="33"/>
      <c r="K826" s="19" t="s">
        <v>691</v>
      </c>
      <c r="L826" s="19" t="s">
        <v>38</v>
      </c>
      <c r="M826" s="20">
        <f t="shared" si="1"/>
        <v>0</v>
      </c>
      <c r="N826" s="21"/>
      <c r="O826" s="22"/>
      <c r="P826" s="19" t="s">
        <v>1145</v>
      </c>
      <c r="Q826" s="18"/>
      <c r="R826" s="18"/>
      <c r="S826" s="23">
        <v>0.0</v>
      </c>
      <c r="T826" s="23">
        <v>0.0</v>
      </c>
      <c r="U826" s="23">
        <f t="shared" si="2"/>
        <v>0</v>
      </c>
      <c r="V826" s="23">
        <f t="shared" si="3"/>
        <v>0</v>
      </c>
      <c r="W826" s="23">
        <f t="shared" si="4"/>
        <v>0</v>
      </c>
      <c r="X826" s="24" t="str">
        <f t="shared" si="5"/>
        <v>#DIV/0!</v>
      </c>
    </row>
    <row r="827">
      <c r="A827" s="15" t="s">
        <v>3356</v>
      </c>
      <c r="B827" s="18"/>
      <c r="C827" s="16"/>
      <c r="D827" s="18"/>
      <c r="E827" s="17" t="s">
        <v>3357</v>
      </c>
      <c r="F827" s="18"/>
      <c r="G827" s="18"/>
      <c r="H827" s="15" t="s">
        <v>3358</v>
      </c>
      <c r="I827" s="18"/>
      <c r="J827" s="33"/>
      <c r="K827" s="19" t="s">
        <v>2382</v>
      </c>
      <c r="L827" s="19" t="s">
        <v>38</v>
      </c>
      <c r="M827" s="20">
        <f t="shared" si="1"/>
        <v>0</v>
      </c>
      <c r="N827" s="21"/>
      <c r="O827" s="22"/>
      <c r="P827" s="19" t="s">
        <v>1145</v>
      </c>
      <c r="Q827" s="18"/>
      <c r="R827" s="18"/>
      <c r="S827" s="23">
        <v>0.0</v>
      </c>
      <c r="T827" s="23">
        <v>0.0</v>
      </c>
      <c r="U827" s="23">
        <f t="shared" si="2"/>
        <v>0</v>
      </c>
      <c r="V827" s="23">
        <f t="shared" si="3"/>
        <v>0</v>
      </c>
      <c r="W827" s="23">
        <f t="shared" si="4"/>
        <v>0</v>
      </c>
      <c r="X827" s="24" t="str">
        <f t="shared" si="5"/>
        <v>#DIV/0!</v>
      </c>
    </row>
    <row r="828">
      <c r="A828" s="15" t="s">
        <v>3359</v>
      </c>
      <c r="B828" s="18"/>
      <c r="C828" s="16"/>
      <c r="D828" s="18"/>
      <c r="E828" s="17" t="s">
        <v>3360</v>
      </c>
      <c r="F828" s="18"/>
      <c r="G828" s="18"/>
      <c r="H828" s="15" t="s">
        <v>3361</v>
      </c>
      <c r="I828" s="18"/>
      <c r="J828" s="33"/>
      <c r="K828" s="19" t="s">
        <v>3330</v>
      </c>
      <c r="L828" s="19" t="s">
        <v>38</v>
      </c>
      <c r="M828" s="20">
        <f t="shared" si="1"/>
        <v>0</v>
      </c>
      <c r="N828" s="21"/>
      <c r="O828" s="22"/>
      <c r="P828" s="19" t="s">
        <v>1145</v>
      </c>
      <c r="Q828" s="18"/>
      <c r="R828" s="18"/>
      <c r="S828" s="23">
        <v>0.0</v>
      </c>
      <c r="T828" s="23">
        <v>0.0</v>
      </c>
      <c r="U828" s="23">
        <f t="shared" si="2"/>
        <v>0</v>
      </c>
      <c r="V828" s="23">
        <f t="shared" si="3"/>
        <v>0</v>
      </c>
      <c r="W828" s="23">
        <f t="shared" si="4"/>
        <v>0</v>
      </c>
      <c r="X828" s="24" t="str">
        <f t="shared" si="5"/>
        <v>#DIV/0!</v>
      </c>
    </row>
    <row r="829">
      <c r="A829" s="15" t="s">
        <v>3362</v>
      </c>
      <c r="B829" s="18"/>
      <c r="C829" s="16"/>
      <c r="D829" s="18"/>
      <c r="E829" s="17" t="s">
        <v>3363</v>
      </c>
      <c r="F829" s="18"/>
      <c r="G829" s="18"/>
      <c r="H829" s="15" t="s">
        <v>3364</v>
      </c>
      <c r="I829" s="18"/>
      <c r="J829" s="33"/>
      <c r="K829" s="19" t="s">
        <v>2387</v>
      </c>
      <c r="L829" s="19" t="s">
        <v>38</v>
      </c>
      <c r="M829" s="20">
        <f t="shared" si="1"/>
        <v>0</v>
      </c>
      <c r="N829" s="21"/>
      <c r="O829" s="22"/>
      <c r="P829" s="19" t="s">
        <v>1145</v>
      </c>
      <c r="Q829" s="18"/>
      <c r="R829" s="18"/>
      <c r="S829" s="23">
        <v>0.0</v>
      </c>
      <c r="T829" s="23">
        <v>0.0</v>
      </c>
      <c r="U829" s="23">
        <f t="shared" si="2"/>
        <v>0</v>
      </c>
      <c r="V829" s="23">
        <f t="shared" si="3"/>
        <v>0</v>
      </c>
      <c r="W829" s="23">
        <f t="shared" si="4"/>
        <v>0</v>
      </c>
      <c r="X829" s="24" t="str">
        <f t="shared" si="5"/>
        <v>#DIV/0!</v>
      </c>
    </row>
    <row r="830">
      <c r="A830" s="15" t="s">
        <v>3365</v>
      </c>
      <c r="B830" s="18"/>
      <c r="C830" s="16"/>
      <c r="D830" s="18"/>
      <c r="E830" s="17" t="s">
        <v>3366</v>
      </c>
      <c r="F830" s="18"/>
      <c r="G830" s="18"/>
      <c r="H830" s="15" t="s">
        <v>3367</v>
      </c>
      <c r="I830" s="18"/>
      <c r="J830" s="33"/>
      <c r="K830" s="19" t="s">
        <v>691</v>
      </c>
      <c r="L830" s="19" t="s">
        <v>38</v>
      </c>
      <c r="M830" s="20">
        <f t="shared" si="1"/>
        <v>0</v>
      </c>
      <c r="N830" s="21"/>
      <c r="O830" s="22"/>
      <c r="P830" s="19" t="s">
        <v>1145</v>
      </c>
      <c r="Q830" s="18"/>
      <c r="R830" s="18"/>
      <c r="S830" s="23">
        <v>0.0</v>
      </c>
      <c r="T830" s="23">
        <v>0.0</v>
      </c>
      <c r="U830" s="23">
        <f t="shared" si="2"/>
        <v>0</v>
      </c>
      <c r="V830" s="23">
        <f t="shared" si="3"/>
        <v>0</v>
      </c>
      <c r="W830" s="23">
        <f t="shared" si="4"/>
        <v>0</v>
      </c>
      <c r="X830" s="24" t="str">
        <f t="shared" si="5"/>
        <v>#DIV/0!</v>
      </c>
    </row>
    <row r="831">
      <c r="A831" s="15" t="s">
        <v>3368</v>
      </c>
      <c r="B831" s="18"/>
      <c r="C831" s="16"/>
      <c r="D831" s="18"/>
      <c r="E831" s="17" t="s">
        <v>3369</v>
      </c>
      <c r="F831" s="18"/>
      <c r="G831" s="18"/>
      <c r="H831" s="15" t="s">
        <v>3370</v>
      </c>
      <c r="I831" s="15" t="s">
        <v>3371</v>
      </c>
      <c r="J831" s="33"/>
      <c r="K831" s="19" t="s">
        <v>2401</v>
      </c>
      <c r="L831" s="19" t="s">
        <v>38</v>
      </c>
      <c r="M831" s="20">
        <f t="shared" si="1"/>
        <v>0</v>
      </c>
      <c r="N831" s="21"/>
      <c r="O831" s="22"/>
      <c r="P831" s="19" t="s">
        <v>1145</v>
      </c>
      <c r="Q831" s="18"/>
      <c r="R831" s="18"/>
      <c r="S831" s="23">
        <v>0.0</v>
      </c>
      <c r="T831" s="23">
        <v>0.0</v>
      </c>
      <c r="U831" s="23">
        <f t="shared" si="2"/>
        <v>0</v>
      </c>
      <c r="V831" s="23">
        <f t="shared" si="3"/>
        <v>0</v>
      </c>
      <c r="W831" s="23">
        <f t="shared" si="4"/>
        <v>0</v>
      </c>
      <c r="X831" s="24" t="str">
        <f t="shared" si="5"/>
        <v>#DIV/0!</v>
      </c>
    </row>
    <row r="832">
      <c r="A832" s="15" t="s">
        <v>3372</v>
      </c>
      <c r="B832" s="18"/>
      <c r="C832" s="16"/>
      <c r="D832" s="18"/>
      <c r="E832" s="17" t="s">
        <v>3373</v>
      </c>
      <c r="F832" s="18"/>
      <c r="G832" s="18"/>
      <c r="H832" s="15" t="s">
        <v>3374</v>
      </c>
      <c r="I832" s="18"/>
      <c r="J832" s="33"/>
      <c r="K832" s="19" t="s">
        <v>2387</v>
      </c>
      <c r="L832" s="19" t="s">
        <v>38</v>
      </c>
      <c r="M832" s="20">
        <f t="shared" si="1"/>
        <v>0</v>
      </c>
      <c r="N832" s="21"/>
      <c r="O832" s="22"/>
      <c r="P832" s="19" t="s">
        <v>1145</v>
      </c>
      <c r="Q832" s="18"/>
      <c r="R832" s="18"/>
      <c r="S832" s="23">
        <v>0.0</v>
      </c>
      <c r="T832" s="23">
        <v>0.0</v>
      </c>
      <c r="U832" s="23">
        <f t="shared" si="2"/>
        <v>0</v>
      </c>
      <c r="V832" s="23">
        <f t="shared" si="3"/>
        <v>0</v>
      </c>
      <c r="W832" s="23">
        <f t="shared" si="4"/>
        <v>0</v>
      </c>
      <c r="X832" s="24" t="str">
        <f t="shared" si="5"/>
        <v>#DIV/0!</v>
      </c>
    </row>
    <row r="833">
      <c r="A833" s="15" t="s">
        <v>3375</v>
      </c>
      <c r="B833" s="18"/>
      <c r="C833" s="16"/>
      <c r="D833" s="18"/>
      <c r="E833" s="17" t="s">
        <v>2564</v>
      </c>
      <c r="F833" s="18"/>
      <c r="G833" s="18"/>
      <c r="H833" s="15" t="s">
        <v>3376</v>
      </c>
      <c r="I833" s="18"/>
      <c r="J833" s="33"/>
      <c r="K833" s="19" t="s">
        <v>2387</v>
      </c>
      <c r="L833" s="19" t="s">
        <v>38</v>
      </c>
      <c r="M833" s="20">
        <f t="shared" si="1"/>
        <v>0</v>
      </c>
      <c r="N833" s="21"/>
      <c r="O833" s="22"/>
      <c r="P833" s="19" t="s">
        <v>1145</v>
      </c>
      <c r="Q833" s="18"/>
      <c r="R833" s="18"/>
      <c r="S833" s="23">
        <v>0.0</v>
      </c>
      <c r="T833" s="23">
        <v>0.0</v>
      </c>
      <c r="U833" s="23">
        <f t="shared" si="2"/>
        <v>0</v>
      </c>
      <c r="V833" s="23">
        <f t="shared" si="3"/>
        <v>0</v>
      </c>
      <c r="W833" s="23">
        <f t="shared" si="4"/>
        <v>0</v>
      </c>
      <c r="X833" s="24" t="str">
        <f t="shared" si="5"/>
        <v>#DIV/0!</v>
      </c>
    </row>
    <row r="834">
      <c r="A834" s="15" t="s">
        <v>3377</v>
      </c>
      <c r="B834" s="18"/>
      <c r="C834" s="16"/>
      <c r="D834" s="18"/>
      <c r="E834" s="17" t="s">
        <v>3378</v>
      </c>
      <c r="F834" s="18"/>
      <c r="G834" s="18"/>
      <c r="H834" s="15" t="s">
        <v>3379</v>
      </c>
      <c r="I834" s="18"/>
      <c r="J834" s="33"/>
      <c r="K834" s="19" t="s">
        <v>2387</v>
      </c>
      <c r="L834" s="19" t="s">
        <v>38</v>
      </c>
      <c r="M834" s="20">
        <f t="shared" si="1"/>
        <v>0</v>
      </c>
      <c r="N834" s="21"/>
      <c r="O834" s="22"/>
      <c r="P834" s="19" t="s">
        <v>1145</v>
      </c>
      <c r="Q834" s="18"/>
      <c r="R834" s="18"/>
      <c r="S834" s="23">
        <v>0.0</v>
      </c>
      <c r="T834" s="23">
        <v>0.0</v>
      </c>
      <c r="U834" s="23">
        <f t="shared" si="2"/>
        <v>0</v>
      </c>
      <c r="V834" s="23">
        <f t="shared" si="3"/>
        <v>0</v>
      </c>
      <c r="W834" s="23">
        <f t="shared" si="4"/>
        <v>0</v>
      </c>
      <c r="X834" s="24" t="str">
        <f t="shared" si="5"/>
        <v>#DIV/0!</v>
      </c>
    </row>
    <row r="835">
      <c r="A835" s="15" t="s">
        <v>3380</v>
      </c>
      <c r="B835" s="18"/>
      <c r="C835" s="16"/>
      <c r="D835" s="18"/>
      <c r="E835" s="17" t="s">
        <v>3381</v>
      </c>
      <c r="F835" s="18"/>
      <c r="G835" s="18"/>
      <c r="H835" s="15" t="s">
        <v>3382</v>
      </c>
      <c r="I835" s="18"/>
      <c r="J835" s="33"/>
      <c r="K835" s="19" t="s">
        <v>2387</v>
      </c>
      <c r="L835" s="19" t="s">
        <v>38</v>
      </c>
      <c r="M835" s="20">
        <f t="shared" si="1"/>
        <v>0</v>
      </c>
      <c r="N835" s="21"/>
      <c r="O835" s="22"/>
      <c r="P835" s="19" t="s">
        <v>1145</v>
      </c>
      <c r="Q835" s="18"/>
      <c r="R835" s="18"/>
      <c r="S835" s="23">
        <v>0.0</v>
      </c>
      <c r="T835" s="23">
        <v>0.0</v>
      </c>
      <c r="U835" s="23">
        <f t="shared" si="2"/>
        <v>0</v>
      </c>
      <c r="V835" s="23">
        <f t="shared" si="3"/>
        <v>0</v>
      </c>
      <c r="W835" s="23">
        <f t="shared" si="4"/>
        <v>0</v>
      </c>
      <c r="X835" s="24" t="str">
        <f t="shared" si="5"/>
        <v>#DIV/0!</v>
      </c>
    </row>
    <row r="836">
      <c r="A836" s="15" t="s">
        <v>3383</v>
      </c>
      <c r="B836" s="18"/>
      <c r="C836" s="16"/>
      <c r="D836" s="18"/>
      <c r="E836" s="17" t="s">
        <v>3384</v>
      </c>
      <c r="F836" s="18"/>
      <c r="G836" s="18"/>
      <c r="H836" s="15" t="s">
        <v>3385</v>
      </c>
      <c r="I836" s="18"/>
      <c r="J836" s="33"/>
      <c r="K836" s="19" t="s">
        <v>2387</v>
      </c>
      <c r="L836" s="19" t="s">
        <v>38</v>
      </c>
      <c r="M836" s="20">
        <f t="shared" si="1"/>
        <v>0</v>
      </c>
      <c r="N836" s="21"/>
      <c r="O836" s="22"/>
      <c r="P836" s="19" t="s">
        <v>1145</v>
      </c>
      <c r="Q836" s="18"/>
      <c r="R836" s="18"/>
      <c r="S836" s="23">
        <v>0.0</v>
      </c>
      <c r="T836" s="23">
        <v>0.0</v>
      </c>
      <c r="U836" s="23">
        <f t="shared" si="2"/>
        <v>0</v>
      </c>
      <c r="V836" s="23">
        <f t="shared" si="3"/>
        <v>0</v>
      </c>
      <c r="W836" s="23">
        <f t="shared" si="4"/>
        <v>0</v>
      </c>
      <c r="X836" s="24" t="str">
        <f t="shared" si="5"/>
        <v>#DIV/0!</v>
      </c>
    </row>
    <row r="837">
      <c r="A837" s="15" t="s">
        <v>3386</v>
      </c>
      <c r="B837" s="18"/>
      <c r="C837" s="16"/>
      <c r="D837" s="18"/>
      <c r="E837" s="17" t="s">
        <v>3387</v>
      </c>
      <c r="F837" s="18"/>
      <c r="G837" s="18"/>
      <c r="H837" s="15" t="s">
        <v>3388</v>
      </c>
      <c r="I837" s="15" t="s">
        <v>3389</v>
      </c>
      <c r="J837" s="33"/>
      <c r="K837" s="19" t="s">
        <v>2396</v>
      </c>
      <c r="L837" s="19" t="s">
        <v>38</v>
      </c>
      <c r="M837" s="20">
        <f t="shared" si="1"/>
        <v>0</v>
      </c>
      <c r="N837" s="21"/>
      <c r="O837" s="22"/>
      <c r="P837" s="19" t="s">
        <v>1145</v>
      </c>
      <c r="Q837" s="18"/>
      <c r="R837" s="18"/>
      <c r="S837" s="23">
        <v>0.0</v>
      </c>
      <c r="T837" s="23">
        <v>0.0</v>
      </c>
      <c r="U837" s="23">
        <f t="shared" si="2"/>
        <v>0</v>
      </c>
      <c r="V837" s="23">
        <f t="shared" si="3"/>
        <v>0</v>
      </c>
      <c r="W837" s="23">
        <f t="shared" si="4"/>
        <v>0</v>
      </c>
      <c r="X837" s="24" t="str">
        <f t="shared" si="5"/>
        <v>#DIV/0!</v>
      </c>
    </row>
    <row r="838">
      <c r="A838" s="15" t="s">
        <v>3390</v>
      </c>
      <c r="B838" s="18"/>
      <c r="C838" s="16"/>
      <c r="D838" s="18"/>
      <c r="E838" s="17" t="s">
        <v>3391</v>
      </c>
      <c r="F838" s="18"/>
      <c r="G838" s="18"/>
      <c r="H838" s="15" t="s">
        <v>3392</v>
      </c>
      <c r="I838" s="15" t="s">
        <v>3393</v>
      </c>
      <c r="J838" s="33"/>
      <c r="K838" s="19" t="s">
        <v>2396</v>
      </c>
      <c r="L838" s="19" t="s">
        <v>38</v>
      </c>
      <c r="M838" s="20">
        <f t="shared" si="1"/>
        <v>0</v>
      </c>
      <c r="N838" s="21"/>
      <c r="O838" s="22"/>
      <c r="P838" s="19" t="s">
        <v>1145</v>
      </c>
      <c r="Q838" s="18"/>
      <c r="R838" s="18"/>
      <c r="S838" s="23">
        <v>0.0</v>
      </c>
      <c r="T838" s="23">
        <v>0.0</v>
      </c>
      <c r="U838" s="23">
        <f t="shared" si="2"/>
        <v>0</v>
      </c>
      <c r="V838" s="23">
        <f t="shared" si="3"/>
        <v>0</v>
      </c>
      <c r="W838" s="23">
        <f t="shared" si="4"/>
        <v>0</v>
      </c>
      <c r="X838" s="24" t="str">
        <f t="shared" si="5"/>
        <v>#DIV/0!</v>
      </c>
    </row>
    <row r="839">
      <c r="A839" s="15" t="s">
        <v>3394</v>
      </c>
      <c r="B839" s="18"/>
      <c r="C839" s="16"/>
      <c r="D839" s="18"/>
      <c r="E839" s="17" t="s">
        <v>3395</v>
      </c>
      <c r="F839" s="18"/>
      <c r="G839" s="18"/>
      <c r="H839" s="15" t="s">
        <v>3396</v>
      </c>
      <c r="I839" s="18"/>
      <c r="J839" s="33"/>
      <c r="K839" s="19" t="s">
        <v>3330</v>
      </c>
      <c r="L839" s="19" t="s">
        <v>38</v>
      </c>
      <c r="M839" s="20">
        <f t="shared" si="1"/>
        <v>0</v>
      </c>
      <c r="N839" s="21"/>
      <c r="O839" s="22"/>
      <c r="P839" s="19" t="s">
        <v>1145</v>
      </c>
      <c r="Q839" s="18"/>
      <c r="R839" s="18"/>
      <c r="S839" s="23">
        <v>0.0</v>
      </c>
      <c r="T839" s="23">
        <v>0.0</v>
      </c>
      <c r="U839" s="23">
        <f t="shared" si="2"/>
        <v>0</v>
      </c>
      <c r="V839" s="23">
        <f t="shared" si="3"/>
        <v>0</v>
      </c>
      <c r="W839" s="23">
        <f t="shared" si="4"/>
        <v>0</v>
      </c>
      <c r="X839" s="24" t="str">
        <f t="shared" si="5"/>
        <v>#DIV/0!</v>
      </c>
    </row>
    <row r="840">
      <c r="A840" s="15" t="s">
        <v>3397</v>
      </c>
      <c r="B840" s="18"/>
      <c r="C840" s="16"/>
      <c r="D840" s="18"/>
      <c r="E840" s="17" t="s">
        <v>3398</v>
      </c>
      <c r="F840" s="18"/>
      <c r="G840" s="18"/>
      <c r="H840" s="15" t="s">
        <v>3399</v>
      </c>
      <c r="I840" s="18"/>
      <c r="J840" s="33"/>
      <c r="K840" s="19" t="s">
        <v>3400</v>
      </c>
      <c r="L840" s="19" t="s">
        <v>38</v>
      </c>
      <c r="M840" s="20">
        <f t="shared" si="1"/>
        <v>0</v>
      </c>
      <c r="N840" s="21"/>
      <c r="O840" s="22"/>
      <c r="P840" s="19" t="s">
        <v>1145</v>
      </c>
      <c r="Q840" s="18"/>
      <c r="R840" s="18"/>
      <c r="S840" s="23">
        <v>0.0</v>
      </c>
      <c r="T840" s="23">
        <v>0.0</v>
      </c>
      <c r="U840" s="23">
        <f t="shared" si="2"/>
        <v>0</v>
      </c>
      <c r="V840" s="23">
        <f t="shared" si="3"/>
        <v>0</v>
      </c>
      <c r="W840" s="23">
        <f t="shared" si="4"/>
        <v>0</v>
      </c>
      <c r="X840" s="24" t="str">
        <f t="shared" si="5"/>
        <v>#DIV/0!</v>
      </c>
    </row>
    <row r="841">
      <c r="A841" s="15" t="s">
        <v>3401</v>
      </c>
      <c r="B841" s="18"/>
      <c r="C841" s="16"/>
      <c r="D841" s="18"/>
      <c r="E841" s="17" t="s">
        <v>3402</v>
      </c>
      <c r="F841" s="18"/>
      <c r="G841" s="18"/>
      <c r="H841" s="15" t="s">
        <v>3403</v>
      </c>
      <c r="I841" s="18"/>
      <c r="J841" s="33"/>
      <c r="K841" s="19" t="s">
        <v>2387</v>
      </c>
      <c r="L841" s="19" t="s">
        <v>38</v>
      </c>
      <c r="M841" s="20">
        <f t="shared" si="1"/>
        <v>0</v>
      </c>
      <c r="N841" s="21"/>
      <c r="O841" s="22"/>
      <c r="P841" s="19" t="s">
        <v>1145</v>
      </c>
      <c r="Q841" s="18"/>
      <c r="R841" s="18"/>
      <c r="S841" s="23">
        <v>0.0</v>
      </c>
      <c r="T841" s="23">
        <v>0.0</v>
      </c>
      <c r="U841" s="23">
        <f t="shared" si="2"/>
        <v>0</v>
      </c>
      <c r="V841" s="23">
        <f t="shared" si="3"/>
        <v>0</v>
      </c>
      <c r="W841" s="23">
        <f t="shared" si="4"/>
        <v>0</v>
      </c>
      <c r="X841" s="24" t="str">
        <f t="shared" si="5"/>
        <v>#DIV/0!</v>
      </c>
    </row>
    <row r="842">
      <c r="A842" s="15" t="s">
        <v>3404</v>
      </c>
      <c r="B842" s="18"/>
      <c r="C842" s="16"/>
      <c r="D842" s="18"/>
      <c r="E842" s="17" t="s">
        <v>3405</v>
      </c>
      <c r="F842" s="18"/>
      <c r="G842" s="18"/>
      <c r="H842" s="15" t="s">
        <v>3406</v>
      </c>
      <c r="I842" s="18"/>
      <c r="J842" s="33"/>
      <c r="K842" s="19" t="s">
        <v>2382</v>
      </c>
      <c r="L842" s="19" t="s">
        <v>38</v>
      </c>
      <c r="M842" s="20">
        <f t="shared" si="1"/>
        <v>0</v>
      </c>
      <c r="N842" s="21"/>
      <c r="O842" s="22"/>
      <c r="P842" s="19" t="s">
        <v>1145</v>
      </c>
      <c r="Q842" s="18"/>
      <c r="R842" s="18"/>
      <c r="S842" s="23">
        <v>0.0</v>
      </c>
      <c r="T842" s="23">
        <v>0.0</v>
      </c>
      <c r="U842" s="23">
        <f t="shared" si="2"/>
        <v>0</v>
      </c>
      <c r="V842" s="23">
        <f t="shared" si="3"/>
        <v>0</v>
      </c>
      <c r="W842" s="23">
        <f t="shared" si="4"/>
        <v>0</v>
      </c>
      <c r="X842" s="24" t="str">
        <f t="shared" si="5"/>
        <v>#DIV/0!</v>
      </c>
    </row>
    <row r="843">
      <c r="A843" s="15" t="s">
        <v>3407</v>
      </c>
      <c r="B843" s="18"/>
      <c r="C843" s="16"/>
      <c r="D843" s="18"/>
      <c r="E843" s="17" t="s">
        <v>3408</v>
      </c>
      <c r="F843" s="18"/>
      <c r="G843" s="18"/>
      <c r="H843" s="15" t="s">
        <v>3409</v>
      </c>
      <c r="I843" s="18"/>
      <c r="J843" s="33"/>
      <c r="K843" s="19" t="s">
        <v>2382</v>
      </c>
      <c r="L843" s="19" t="s">
        <v>38</v>
      </c>
      <c r="M843" s="20">
        <f t="shared" si="1"/>
        <v>0</v>
      </c>
      <c r="N843" s="21"/>
      <c r="O843" s="22"/>
      <c r="P843" s="19" t="s">
        <v>1145</v>
      </c>
      <c r="Q843" s="18"/>
      <c r="R843" s="18"/>
      <c r="S843" s="23">
        <v>0.0</v>
      </c>
      <c r="T843" s="23">
        <v>0.0</v>
      </c>
      <c r="U843" s="23">
        <f t="shared" si="2"/>
        <v>0</v>
      </c>
      <c r="V843" s="23">
        <f t="shared" si="3"/>
        <v>0</v>
      </c>
      <c r="W843" s="23">
        <f t="shared" si="4"/>
        <v>0</v>
      </c>
      <c r="X843" s="24" t="str">
        <f t="shared" si="5"/>
        <v>#DIV/0!</v>
      </c>
    </row>
    <row r="844">
      <c r="A844" s="15" t="s">
        <v>3410</v>
      </c>
      <c r="B844" s="18"/>
      <c r="C844" s="16"/>
      <c r="D844" s="18"/>
      <c r="E844" s="17" t="s">
        <v>3411</v>
      </c>
      <c r="F844" s="18"/>
      <c r="G844" s="18"/>
      <c r="H844" s="15" t="s">
        <v>3412</v>
      </c>
      <c r="I844" s="18"/>
      <c r="J844" s="33"/>
      <c r="K844" s="19" t="s">
        <v>2387</v>
      </c>
      <c r="L844" s="19" t="s">
        <v>38</v>
      </c>
      <c r="M844" s="20">
        <f t="shared" si="1"/>
        <v>0</v>
      </c>
      <c r="N844" s="21"/>
      <c r="O844" s="22"/>
      <c r="P844" s="19" t="s">
        <v>1145</v>
      </c>
      <c r="Q844" s="18"/>
      <c r="R844" s="18"/>
      <c r="S844" s="23">
        <v>0.0</v>
      </c>
      <c r="T844" s="23">
        <v>0.0</v>
      </c>
      <c r="U844" s="23">
        <f t="shared" si="2"/>
        <v>0</v>
      </c>
      <c r="V844" s="23">
        <f t="shared" si="3"/>
        <v>0</v>
      </c>
      <c r="W844" s="23">
        <f t="shared" si="4"/>
        <v>0</v>
      </c>
      <c r="X844" s="24" t="str">
        <f t="shared" si="5"/>
        <v>#DIV/0!</v>
      </c>
    </row>
    <row r="845">
      <c r="A845" s="15" t="s">
        <v>3413</v>
      </c>
      <c r="B845" s="18"/>
      <c r="C845" s="16"/>
      <c r="D845" s="18"/>
      <c r="E845" s="17" t="s">
        <v>3414</v>
      </c>
      <c r="F845" s="18"/>
      <c r="G845" s="18"/>
      <c r="H845" s="15" t="s">
        <v>3415</v>
      </c>
      <c r="I845" s="18"/>
      <c r="J845" s="33"/>
      <c r="K845" s="19" t="s">
        <v>2506</v>
      </c>
      <c r="L845" s="19" t="s">
        <v>38</v>
      </c>
      <c r="M845" s="20">
        <f t="shared" si="1"/>
        <v>0</v>
      </c>
      <c r="N845" s="21"/>
      <c r="O845" s="22"/>
      <c r="P845" s="19" t="s">
        <v>1145</v>
      </c>
      <c r="Q845" s="18"/>
      <c r="R845" s="18"/>
      <c r="S845" s="23">
        <v>0.0</v>
      </c>
      <c r="T845" s="23">
        <v>0.0</v>
      </c>
      <c r="U845" s="23">
        <f t="shared" si="2"/>
        <v>0</v>
      </c>
      <c r="V845" s="23">
        <f t="shared" si="3"/>
        <v>0</v>
      </c>
      <c r="W845" s="23">
        <f t="shared" si="4"/>
        <v>0</v>
      </c>
      <c r="X845" s="24" t="str">
        <f t="shared" si="5"/>
        <v>#DIV/0!</v>
      </c>
    </row>
    <row r="846">
      <c r="A846" s="15" t="s">
        <v>3416</v>
      </c>
      <c r="B846" s="18"/>
      <c r="C846" s="16"/>
      <c r="D846" s="18"/>
      <c r="E846" s="17" t="s">
        <v>3417</v>
      </c>
      <c r="F846" s="18"/>
      <c r="G846" s="18"/>
      <c r="H846" s="15" t="s">
        <v>3418</v>
      </c>
      <c r="I846" s="18"/>
      <c r="J846" s="33"/>
      <c r="K846" s="19" t="s">
        <v>2401</v>
      </c>
      <c r="L846" s="19" t="s">
        <v>38</v>
      </c>
      <c r="M846" s="20">
        <f t="shared" si="1"/>
        <v>0</v>
      </c>
      <c r="N846" s="21"/>
      <c r="O846" s="22"/>
      <c r="P846" s="19" t="s">
        <v>1145</v>
      </c>
      <c r="Q846" s="18"/>
      <c r="R846" s="18"/>
      <c r="S846" s="23">
        <v>0.0</v>
      </c>
      <c r="T846" s="23">
        <v>0.0</v>
      </c>
      <c r="U846" s="23">
        <f t="shared" si="2"/>
        <v>0</v>
      </c>
      <c r="V846" s="23">
        <f t="shared" si="3"/>
        <v>0</v>
      </c>
      <c r="W846" s="23">
        <f t="shared" si="4"/>
        <v>0</v>
      </c>
      <c r="X846" s="24" t="str">
        <f t="shared" si="5"/>
        <v>#DIV/0!</v>
      </c>
    </row>
    <row r="847">
      <c r="A847" s="15" t="s">
        <v>3419</v>
      </c>
      <c r="B847" s="18"/>
      <c r="C847" s="16"/>
      <c r="D847" s="18"/>
      <c r="E847" s="17" t="s">
        <v>3420</v>
      </c>
      <c r="F847" s="18"/>
      <c r="G847" s="18"/>
      <c r="H847" s="15" t="s">
        <v>3421</v>
      </c>
      <c r="I847" s="18"/>
      <c r="J847" s="33"/>
      <c r="K847" s="19" t="s">
        <v>2401</v>
      </c>
      <c r="L847" s="19" t="s">
        <v>38</v>
      </c>
      <c r="M847" s="20">
        <f t="shared" si="1"/>
        <v>0</v>
      </c>
      <c r="N847" s="21"/>
      <c r="O847" s="22"/>
      <c r="P847" s="19" t="s">
        <v>1145</v>
      </c>
      <c r="Q847" s="18"/>
      <c r="R847" s="18"/>
      <c r="S847" s="23">
        <v>0.0</v>
      </c>
      <c r="T847" s="23">
        <v>0.0</v>
      </c>
      <c r="U847" s="23">
        <f t="shared" si="2"/>
        <v>0</v>
      </c>
      <c r="V847" s="23">
        <f t="shared" si="3"/>
        <v>0</v>
      </c>
      <c r="W847" s="23">
        <f t="shared" si="4"/>
        <v>0</v>
      </c>
      <c r="X847" s="24" t="str">
        <f t="shared" si="5"/>
        <v>#DIV/0!</v>
      </c>
    </row>
    <row r="848">
      <c r="A848" s="15" t="s">
        <v>3422</v>
      </c>
      <c r="B848" s="18"/>
      <c r="C848" s="16"/>
      <c r="D848" s="18"/>
      <c r="E848" s="17" t="s">
        <v>3423</v>
      </c>
      <c r="F848" s="18"/>
      <c r="G848" s="18"/>
      <c r="H848" s="15" t="s">
        <v>3424</v>
      </c>
      <c r="I848" s="15" t="s">
        <v>3425</v>
      </c>
      <c r="J848" s="33"/>
      <c r="K848" s="19" t="s">
        <v>691</v>
      </c>
      <c r="L848" s="19" t="s">
        <v>38</v>
      </c>
      <c r="M848" s="20">
        <f t="shared" si="1"/>
        <v>0</v>
      </c>
      <c r="N848" s="21"/>
      <c r="O848" s="22"/>
      <c r="P848" s="19" t="s">
        <v>1145</v>
      </c>
      <c r="Q848" s="18"/>
      <c r="R848" s="18"/>
      <c r="S848" s="23">
        <v>0.0</v>
      </c>
      <c r="T848" s="23">
        <v>0.0</v>
      </c>
      <c r="U848" s="23">
        <f t="shared" si="2"/>
        <v>0</v>
      </c>
      <c r="V848" s="23">
        <f t="shared" si="3"/>
        <v>0</v>
      </c>
      <c r="W848" s="23">
        <f t="shared" si="4"/>
        <v>0</v>
      </c>
      <c r="X848" s="24" t="str">
        <f t="shared" si="5"/>
        <v>#DIV/0!</v>
      </c>
    </row>
    <row r="849">
      <c r="A849" s="15" t="s">
        <v>3426</v>
      </c>
      <c r="B849" s="18"/>
      <c r="C849" s="16"/>
      <c r="D849" s="18"/>
      <c r="E849" s="17" t="s">
        <v>3427</v>
      </c>
      <c r="F849" s="18"/>
      <c r="G849" s="18"/>
      <c r="H849" s="15" t="s">
        <v>3428</v>
      </c>
      <c r="I849" s="15" t="s">
        <v>3429</v>
      </c>
      <c r="J849" s="33"/>
      <c r="K849" s="19" t="s">
        <v>2396</v>
      </c>
      <c r="L849" s="19" t="s">
        <v>38</v>
      </c>
      <c r="M849" s="20">
        <f t="shared" si="1"/>
        <v>0</v>
      </c>
      <c r="N849" s="21"/>
      <c r="O849" s="22"/>
      <c r="P849" s="19" t="s">
        <v>1145</v>
      </c>
      <c r="Q849" s="18"/>
      <c r="R849" s="18"/>
      <c r="S849" s="23">
        <v>0.0</v>
      </c>
      <c r="T849" s="23">
        <v>0.0</v>
      </c>
      <c r="U849" s="23">
        <f t="shared" si="2"/>
        <v>0</v>
      </c>
      <c r="V849" s="23">
        <f t="shared" si="3"/>
        <v>0</v>
      </c>
      <c r="W849" s="23">
        <f t="shared" si="4"/>
        <v>0</v>
      </c>
      <c r="X849" s="24" t="str">
        <f t="shared" si="5"/>
        <v>#DIV/0!</v>
      </c>
    </row>
    <row r="850">
      <c r="A850" s="15" t="s">
        <v>3430</v>
      </c>
      <c r="B850" s="18"/>
      <c r="C850" s="16"/>
      <c r="D850" s="18"/>
      <c r="E850" s="17" t="s">
        <v>3431</v>
      </c>
      <c r="F850" s="18"/>
      <c r="G850" s="18"/>
      <c r="H850" s="15" t="s">
        <v>3432</v>
      </c>
      <c r="I850" s="18"/>
      <c r="J850" s="33"/>
      <c r="K850" s="19" t="s">
        <v>2401</v>
      </c>
      <c r="L850" s="19" t="s">
        <v>38</v>
      </c>
      <c r="M850" s="20">
        <f t="shared" si="1"/>
        <v>0</v>
      </c>
      <c r="N850" s="21"/>
      <c r="O850" s="22"/>
      <c r="P850" s="19" t="s">
        <v>1145</v>
      </c>
      <c r="Q850" s="18"/>
      <c r="R850" s="18"/>
      <c r="S850" s="23">
        <v>0.0</v>
      </c>
      <c r="T850" s="23">
        <v>0.0</v>
      </c>
      <c r="U850" s="23">
        <f t="shared" si="2"/>
        <v>0</v>
      </c>
      <c r="V850" s="23">
        <f t="shared" si="3"/>
        <v>0</v>
      </c>
      <c r="W850" s="23">
        <f t="shared" si="4"/>
        <v>0</v>
      </c>
      <c r="X850" s="24" t="str">
        <f t="shared" si="5"/>
        <v>#DIV/0!</v>
      </c>
    </row>
    <row r="851">
      <c r="A851" s="15" t="s">
        <v>3433</v>
      </c>
      <c r="B851" s="18"/>
      <c r="C851" s="16"/>
      <c r="D851" s="18"/>
      <c r="E851" s="17" t="s">
        <v>3434</v>
      </c>
      <c r="F851" s="18"/>
      <c r="G851" s="18"/>
      <c r="H851" s="15" t="s">
        <v>3435</v>
      </c>
      <c r="I851" s="15" t="s">
        <v>3436</v>
      </c>
      <c r="J851" s="33"/>
      <c r="K851" s="19" t="s">
        <v>2401</v>
      </c>
      <c r="L851" s="19" t="s">
        <v>38</v>
      </c>
      <c r="M851" s="20">
        <f t="shared" si="1"/>
        <v>0</v>
      </c>
      <c r="N851" s="21"/>
      <c r="O851" s="22"/>
      <c r="P851" s="19" t="s">
        <v>1145</v>
      </c>
      <c r="Q851" s="18"/>
      <c r="R851" s="18"/>
      <c r="S851" s="23">
        <v>0.0</v>
      </c>
      <c r="T851" s="23">
        <v>0.0</v>
      </c>
      <c r="U851" s="23">
        <f t="shared" si="2"/>
        <v>0</v>
      </c>
      <c r="V851" s="23">
        <f t="shared" si="3"/>
        <v>0</v>
      </c>
      <c r="W851" s="23">
        <f t="shared" si="4"/>
        <v>0</v>
      </c>
      <c r="X851" s="24" t="str">
        <f t="shared" si="5"/>
        <v>#DIV/0!</v>
      </c>
    </row>
    <row r="852">
      <c r="A852" s="15" t="s">
        <v>3437</v>
      </c>
      <c r="B852" s="18"/>
      <c r="C852" s="16"/>
      <c r="D852" s="18"/>
      <c r="E852" s="17" t="s">
        <v>3438</v>
      </c>
      <c r="F852" s="18"/>
      <c r="G852" s="18"/>
      <c r="H852" s="15" t="s">
        <v>3439</v>
      </c>
      <c r="I852" s="15" t="s">
        <v>3436</v>
      </c>
      <c r="J852" s="33"/>
      <c r="K852" s="19" t="s">
        <v>2401</v>
      </c>
      <c r="L852" s="19" t="s">
        <v>38</v>
      </c>
      <c r="M852" s="20">
        <f t="shared" si="1"/>
        <v>0</v>
      </c>
      <c r="N852" s="21"/>
      <c r="O852" s="22"/>
      <c r="P852" s="19" t="s">
        <v>1145</v>
      </c>
      <c r="Q852" s="18"/>
      <c r="R852" s="18"/>
      <c r="S852" s="23">
        <v>0.0</v>
      </c>
      <c r="T852" s="23">
        <v>0.0</v>
      </c>
      <c r="U852" s="23">
        <f t="shared" si="2"/>
        <v>0</v>
      </c>
      <c r="V852" s="23">
        <f t="shared" si="3"/>
        <v>0</v>
      </c>
      <c r="W852" s="23">
        <f t="shared" si="4"/>
        <v>0</v>
      </c>
      <c r="X852" s="24" t="str">
        <f t="shared" si="5"/>
        <v>#DIV/0!</v>
      </c>
    </row>
    <row r="853">
      <c r="A853" s="15" t="s">
        <v>3440</v>
      </c>
      <c r="B853" s="18"/>
      <c r="C853" s="16"/>
      <c r="D853" s="18"/>
      <c r="E853" s="17" t="s">
        <v>3441</v>
      </c>
      <c r="F853" s="18"/>
      <c r="G853" s="18"/>
      <c r="H853" s="15" t="s">
        <v>3442</v>
      </c>
      <c r="I853" s="15" t="s">
        <v>3443</v>
      </c>
      <c r="J853" s="33"/>
      <c r="K853" s="19" t="s">
        <v>2401</v>
      </c>
      <c r="L853" s="19" t="s">
        <v>38</v>
      </c>
      <c r="M853" s="20">
        <f t="shared" si="1"/>
        <v>0</v>
      </c>
      <c r="N853" s="21"/>
      <c r="O853" s="22"/>
      <c r="P853" s="19" t="s">
        <v>1145</v>
      </c>
      <c r="Q853" s="18"/>
      <c r="R853" s="18"/>
      <c r="S853" s="23">
        <v>0.0</v>
      </c>
      <c r="T853" s="23">
        <v>0.0</v>
      </c>
      <c r="U853" s="23">
        <f t="shared" si="2"/>
        <v>0</v>
      </c>
      <c r="V853" s="23">
        <f t="shared" si="3"/>
        <v>0</v>
      </c>
      <c r="W853" s="23">
        <f t="shared" si="4"/>
        <v>0</v>
      </c>
      <c r="X853" s="24" t="str">
        <f t="shared" si="5"/>
        <v>#DIV/0!</v>
      </c>
    </row>
    <row r="854">
      <c r="A854" s="15" t="s">
        <v>3444</v>
      </c>
      <c r="B854" s="18"/>
      <c r="C854" s="16"/>
      <c r="D854" s="18"/>
      <c r="E854" s="17" t="s">
        <v>3445</v>
      </c>
      <c r="F854" s="18"/>
      <c r="G854" s="18"/>
      <c r="H854" s="15" t="s">
        <v>3446</v>
      </c>
      <c r="I854" s="15" t="s">
        <v>3443</v>
      </c>
      <c r="J854" s="33"/>
      <c r="K854" s="19" t="s">
        <v>2401</v>
      </c>
      <c r="L854" s="19" t="s">
        <v>38</v>
      </c>
      <c r="M854" s="20">
        <f t="shared" si="1"/>
        <v>0</v>
      </c>
      <c r="N854" s="21"/>
      <c r="O854" s="22"/>
      <c r="P854" s="19" t="s">
        <v>1145</v>
      </c>
      <c r="Q854" s="18"/>
      <c r="R854" s="18"/>
      <c r="S854" s="23">
        <v>0.0</v>
      </c>
      <c r="T854" s="23">
        <v>0.0</v>
      </c>
      <c r="U854" s="23">
        <f t="shared" si="2"/>
        <v>0</v>
      </c>
      <c r="V854" s="23">
        <f t="shared" si="3"/>
        <v>0</v>
      </c>
      <c r="W854" s="23">
        <f t="shared" si="4"/>
        <v>0</v>
      </c>
      <c r="X854" s="24" t="str">
        <f t="shared" si="5"/>
        <v>#DIV/0!</v>
      </c>
    </row>
    <row r="855">
      <c r="A855" s="15" t="s">
        <v>3447</v>
      </c>
      <c r="B855" s="18"/>
      <c r="C855" s="16"/>
      <c r="D855" s="18"/>
      <c r="E855" s="17" t="s">
        <v>3448</v>
      </c>
      <c r="F855" s="18"/>
      <c r="G855" s="18"/>
      <c r="H855" s="15" t="s">
        <v>3449</v>
      </c>
      <c r="I855" s="15" t="s">
        <v>3450</v>
      </c>
      <c r="J855" s="33"/>
      <c r="K855" s="19" t="s">
        <v>2401</v>
      </c>
      <c r="L855" s="19" t="s">
        <v>38</v>
      </c>
      <c r="M855" s="20">
        <f t="shared" si="1"/>
        <v>0</v>
      </c>
      <c r="N855" s="21"/>
      <c r="O855" s="22"/>
      <c r="P855" s="19" t="s">
        <v>1145</v>
      </c>
      <c r="Q855" s="18"/>
      <c r="R855" s="18"/>
      <c r="S855" s="23">
        <v>0.0</v>
      </c>
      <c r="T855" s="23">
        <v>0.0</v>
      </c>
      <c r="U855" s="23">
        <f t="shared" si="2"/>
        <v>0</v>
      </c>
      <c r="V855" s="23">
        <f t="shared" si="3"/>
        <v>0</v>
      </c>
      <c r="W855" s="23">
        <f t="shared" si="4"/>
        <v>0</v>
      </c>
      <c r="X855" s="24" t="str">
        <f t="shared" si="5"/>
        <v>#DIV/0!</v>
      </c>
    </row>
    <row r="856">
      <c r="A856" s="15" t="s">
        <v>3451</v>
      </c>
      <c r="B856" s="18"/>
      <c r="C856" s="16"/>
      <c r="D856" s="18"/>
      <c r="E856" s="17" t="s">
        <v>3452</v>
      </c>
      <c r="F856" s="18"/>
      <c r="G856" s="18"/>
      <c r="H856" s="15" t="s">
        <v>3453</v>
      </c>
      <c r="I856" s="15" t="s">
        <v>3454</v>
      </c>
      <c r="J856" s="33"/>
      <c r="K856" s="19" t="s">
        <v>2401</v>
      </c>
      <c r="L856" s="19" t="s">
        <v>38</v>
      </c>
      <c r="M856" s="20">
        <f t="shared" si="1"/>
        <v>0</v>
      </c>
      <c r="N856" s="21"/>
      <c r="O856" s="22"/>
      <c r="P856" s="19" t="s">
        <v>1145</v>
      </c>
      <c r="Q856" s="18"/>
      <c r="R856" s="18"/>
      <c r="S856" s="23">
        <v>0.0</v>
      </c>
      <c r="T856" s="23">
        <v>0.0</v>
      </c>
      <c r="U856" s="23">
        <f t="shared" si="2"/>
        <v>0</v>
      </c>
      <c r="V856" s="23">
        <f t="shared" si="3"/>
        <v>0</v>
      </c>
      <c r="W856" s="23">
        <f t="shared" si="4"/>
        <v>0</v>
      </c>
      <c r="X856" s="24" t="str">
        <f t="shared" si="5"/>
        <v>#DIV/0!</v>
      </c>
    </row>
    <row r="857">
      <c r="A857" s="15" t="s">
        <v>3455</v>
      </c>
      <c r="B857" s="18"/>
      <c r="C857" s="16"/>
      <c r="D857" s="18"/>
      <c r="E857" s="17" t="s">
        <v>3456</v>
      </c>
      <c r="F857" s="18"/>
      <c r="G857" s="18"/>
      <c r="H857" s="15" t="s">
        <v>3457</v>
      </c>
      <c r="I857" s="15" t="s">
        <v>3458</v>
      </c>
      <c r="J857" s="33"/>
      <c r="K857" s="19" t="s">
        <v>2401</v>
      </c>
      <c r="L857" s="19" t="s">
        <v>38</v>
      </c>
      <c r="M857" s="20">
        <f t="shared" si="1"/>
        <v>0</v>
      </c>
      <c r="N857" s="21"/>
      <c r="O857" s="22"/>
      <c r="P857" s="19" t="s">
        <v>1145</v>
      </c>
      <c r="Q857" s="18"/>
      <c r="R857" s="18"/>
      <c r="S857" s="23">
        <v>0.0</v>
      </c>
      <c r="T857" s="23">
        <v>0.0</v>
      </c>
      <c r="U857" s="23">
        <f t="shared" si="2"/>
        <v>0</v>
      </c>
      <c r="V857" s="23">
        <f t="shared" si="3"/>
        <v>0</v>
      </c>
      <c r="W857" s="23">
        <f t="shared" si="4"/>
        <v>0</v>
      </c>
      <c r="X857" s="24" t="str">
        <f t="shared" si="5"/>
        <v>#DIV/0!</v>
      </c>
    </row>
    <row r="858">
      <c r="A858" s="15" t="s">
        <v>3459</v>
      </c>
      <c r="B858" s="18"/>
      <c r="C858" s="16"/>
      <c r="D858" s="18"/>
      <c r="E858" s="17" t="s">
        <v>3460</v>
      </c>
      <c r="F858" s="18"/>
      <c r="G858" s="18"/>
      <c r="H858" s="15" t="s">
        <v>3461</v>
      </c>
      <c r="I858" s="15" t="s">
        <v>3458</v>
      </c>
      <c r="J858" s="33"/>
      <c r="K858" s="19" t="s">
        <v>2401</v>
      </c>
      <c r="L858" s="19" t="s">
        <v>38</v>
      </c>
      <c r="M858" s="20">
        <f t="shared" si="1"/>
        <v>0</v>
      </c>
      <c r="N858" s="21"/>
      <c r="O858" s="22"/>
      <c r="P858" s="19" t="s">
        <v>1145</v>
      </c>
      <c r="Q858" s="18"/>
      <c r="R858" s="18"/>
      <c r="S858" s="23">
        <v>0.0</v>
      </c>
      <c r="T858" s="23">
        <v>0.0</v>
      </c>
      <c r="U858" s="23">
        <f t="shared" si="2"/>
        <v>0</v>
      </c>
      <c r="V858" s="23">
        <f t="shared" si="3"/>
        <v>0</v>
      </c>
      <c r="W858" s="23">
        <f t="shared" si="4"/>
        <v>0</v>
      </c>
      <c r="X858" s="24" t="str">
        <f t="shared" si="5"/>
        <v>#DIV/0!</v>
      </c>
    </row>
    <row r="859">
      <c r="A859" s="15" t="s">
        <v>3462</v>
      </c>
      <c r="B859" s="18"/>
      <c r="C859" s="16"/>
      <c r="D859" s="18"/>
      <c r="E859" s="17" t="s">
        <v>3463</v>
      </c>
      <c r="F859" s="18"/>
      <c r="G859" s="18"/>
      <c r="H859" s="15" t="s">
        <v>3464</v>
      </c>
      <c r="I859" s="18"/>
      <c r="J859" s="33"/>
      <c r="K859" s="19" t="s">
        <v>2401</v>
      </c>
      <c r="L859" s="19" t="s">
        <v>38</v>
      </c>
      <c r="M859" s="20">
        <f t="shared" si="1"/>
        <v>0</v>
      </c>
      <c r="N859" s="21"/>
      <c r="O859" s="22"/>
      <c r="P859" s="19" t="s">
        <v>1145</v>
      </c>
      <c r="Q859" s="18"/>
      <c r="R859" s="18"/>
      <c r="S859" s="23">
        <v>0.0</v>
      </c>
      <c r="T859" s="23">
        <v>0.0</v>
      </c>
      <c r="U859" s="23">
        <f t="shared" si="2"/>
        <v>0</v>
      </c>
      <c r="V859" s="23">
        <f t="shared" si="3"/>
        <v>0</v>
      </c>
      <c r="W859" s="23">
        <f t="shared" si="4"/>
        <v>0</v>
      </c>
      <c r="X859" s="24" t="str">
        <f t="shared" si="5"/>
        <v>#DIV/0!</v>
      </c>
    </row>
    <row r="860">
      <c r="A860" s="15" t="s">
        <v>3465</v>
      </c>
      <c r="B860" s="18"/>
      <c r="C860" s="16"/>
      <c r="D860" s="18"/>
      <c r="E860" s="17" t="s">
        <v>3466</v>
      </c>
      <c r="F860" s="18"/>
      <c r="G860" s="18"/>
      <c r="H860" s="15" t="s">
        <v>3467</v>
      </c>
      <c r="I860" s="18"/>
      <c r="J860" s="33"/>
      <c r="K860" s="19" t="s">
        <v>2401</v>
      </c>
      <c r="L860" s="19" t="s">
        <v>38</v>
      </c>
      <c r="M860" s="20">
        <f t="shared" si="1"/>
        <v>0</v>
      </c>
      <c r="N860" s="21"/>
      <c r="O860" s="22"/>
      <c r="P860" s="19" t="s">
        <v>1145</v>
      </c>
      <c r="Q860" s="18"/>
      <c r="R860" s="18"/>
      <c r="S860" s="23">
        <v>0.0</v>
      </c>
      <c r="T860" s="23">
        <v>0.0</v>
      </c>
      <c r="U860" s="23">
        <f t="shared" si="2"/>
        <v>0</v>
      </c>
      <c r="V860" s="23">
        <f t="shared" si="3"/>
        <v>0</v>
      </c>
      <c r="W860" s="23">
        <f t="shared" si="4"/>
        <v>0</v>
      </c>
      <c r="X860" s="24" t="str">
        <f t="shared" si="5"/>
        <v>#DIV/0!</v>
      </c>
    </row>
    <row r="861">
      <c r="A861" s="15" t="s">
        <v>3468</v>
      </c>
      <c r="B861" s="18"/>
      <c r="C861" s="16"/>
      <c r="D861" s="18"/>
      <c r="E861" s="17" t="s">
        <v>3469</v>
      </c>
      <c r="F861" s="18"/>
      <c r="G861" s="18"/>
      <c r="H861" s="15" t="s">
        <v>3470</v>
      </c>
      <c r="I861" s="15" t="s">
        <v>3471</v>
      </c>
      <c r="J861" s="33"/>
      <c r="K861" s="19" t="s">
        <v>2401</v>
      </c>
      <c r="L861" s="19" t="s">
        <v>38</v>
      </c>
      <c r="M861" s="20">
        <f t="shared" si="1"/>
        <v>0</v>
      </c>
      <c r="N861" s="21"/>
      <c r="O861" s="22"/>
      <c r="P861" s="19" t="s">
        <v>1145</v>
      </c>
      <c r="Q861" s="18"/>
      <c r="R861" s="18"/>
      <c r="S861" s="23">
        <v>0.0</v>
      </c>
      <c r="T861" s="23">
        <v>0.0</v>
      </c>
      <c r="U861" s="23">
        <f t="shared" si="2"/>
        <v>0</v>
      </c>
      <c r="V861" s="23">
        <f t="shared" si="3"/>
        <v>0</v>
      </c>
      <c r="W861" s="23">
        <f t="shared" si="4"/>
        <v>0</v>
      </c>
      <c r="X861" s="24" t="str">
        <f t="shared" si="5"/>
        <v>#DIV/0!</v>
      </c>
    </row>
    <row r="862">
      <c r="A862" s="15" t="s">
        <v>3472</v>
      </c>
      <c r="B862" s="18"/>
      <c r="C862" s="16"/>
      <c r="D862" s="18"/>
      <c r="E862" s="17" t="s">
        <v>3473</v>
      </c>
      <c r="F862" s="18"/>
      <c r="G862" s="18"/>
      <c r="H862" s="15" t="s">
        <v>3474</v>
      </c>
      <c r="I862" s="15" t="s">
        <v>3475</v>
      </c>
      <c r="J862" s="33"/>
      <c r="K862" s="19" t="s">
        <v>2401</v>
      </c>
      <c r="L862" s="19" t="s">
        <v>38</v>
      </c>
      <c r="M862" s="20">
        <f t="shared" si="1"/>
        <v>0</v>
      </c>
      <c r="N862" s="21"/>
      <c r="O862" s="22"/>
      <c r="P862" s="19" t="s">
        <v>1145</v>
      </c>
      <c r="Q862" s="18"/>
      <c r="R862" s="18"/>
      <c r="S862" s="23">
        <v>0.0</v>
      </c>
      <c r="T862" s="23">
        <v>0.0</v>
      </c>
      <c r="U862" s="23">
        <f t="shared" si="2"/>
        <v>0</v>
      </c>
      <c r="V862" s="23">
        <f t="shared" si="3"/>
        <v>0</v>
      </c>
      <c r="W862" s="23">
        <f t="shared" si="4"/>
        <v>0</v>
      </c>
      <c r="X862" s="24" t="str">
        <f t="shared" si="5"/>
        <v>#DIV/0!</v>
      </c>
    </row>
    <row r="863">
      <c r="A863" s="15" t="s">
        <v>3476</v>
      </c>
      <c r="B863" s="18"/>
      <c r="C863" s="16"/>
      <c r="D863" s="18"/>
      <c r="E863" s="17" t="s">
        <v>3477</v>
      </c>
      <c r="F863" s="18"/>
      <c r="G863" s="18"/>
      <c r="H863" s="15" t="s">
        <v>3478</v>
      </c>
      <c r="I863" s="18"/>
      <c r="J863" s="33"/>
      <c r="K863" s="19" t="s">
        <v>2401</v>
      </c>
      <c r="L863" s="19" t="s">
        <v>38</v>
      </c>
      <c r="M863" s="20">
        <f t="shared" si="1"/>
        <v>0</v>
      </c>
      <c r="N863" s="21"/>
      <c r="O863" s="22"/>
      <c r="P863" s="19" t="s">
        <v>1145</v>
      </c>
      <c r="Q863" s="18"/>
      <c r="R863" s="18"/>
      <c r="S863" s="23">
        <v>0.0</v>
      </c>
      <c r="T863" s="23">
        <v>0.0</v>
      </c>
      <c r="U863" s="23">
        <f t="shared" si="2"/>
        <v>0</v>
      </c>
      <c r="V863" s="23">
        <f t="shared" si="3"/>
        <v>0</v>
      </c>
      <c r="W863" s="23">
        <f t="shared" si="4"/>
        <v>0</v>
      </c>
      <c r="X863" s="24" t="str">
        <f t="shared" si="5"/>
        <v>#DIV/0!</v>
      </c>
    </row>
    <row r="864">
      <c r="A864" s="15" t="s">
        <v>3479</v>
      </c>
      <c r="B864" s="18"/>
      <c r="C864" s="16"/>
      <c r="D864" s="18"/>
      <c r="E864" s="17" t="s">
        <v>3480</v>
      </c>
      <c r="F864" s="18"/>
      <c r="G864" s="18"/>
      <c r="H864" s="15" t="s">
        <v>3481</v>
      </c>
      <c r="I864" s="15" t="s">
        <v>3482</v>
      </c>
      <c r="J864" s="33"/>
      <c r="K864" s="19" t="s">
        <v>2401</v>
      </c>
      <c r="L864" s="19" t="s">
        <v>38</v>
      </c>
      <c r="M864" s="20">
        <f t="shared" si="1"/>
        <v>0</v>
      </c>
      <c r="N864" s="21"/>
      <c r="O864" s="22"/>
      <c r="P864" s="19" t="s">
        <v>1145</v>
      </c>
      <c r="Q864" s="18"/>
      <c r="R864" s="18"/>
      <c r="S864" s="23">
        <v>0.0</v>
      </c>
      <c r="T864" s="23">
        <v>0.0</v>
      </c>
      <c r="U864" s="23">
        <f t="shared" si="2"/>
        <v>0</v>
      </c>
      <c r="V864" s="23">
        <f t="shared" si="3"/>
        <v>0</v>
      </c>
      <c r="W864" s="23">
        <f t="shared" si="4"/>
        <v>0</v>
      </c>
      <c r="X864" s="24" t="str">
        <f t="shared" si="5"/>
        <v>#DIV/0!</v>
      </c>
    </row>
    <row r="865">
      <c r="A865" s="15" t="s">
        <v>3483</v>
      </c>
      <c r="B865" s="18"/>
      <c r="C865" s="16"/>
      <c r="D865" s="18"/>
      <c r="E865" s="17" t="s">
        <v>3484</v>
      </c>
      <c r="F865" s="18"/>
      <c r="G865" s="18"/>
      <c r="H865" s="15" t="s">
        <v>3485</v>
      </c>
      <c r="I865" s="15" t="s">
        <v>3486</v>
      </c>
      <c r="J865" s="33"/>
      <c r="K865" s="19" t="s">
        <v>2401</v>
      </c>
      <c r="L865" s="19" t="s">
        <v>38</v>
      </c>
      <c r="M865" s="20">
        <f t="shared" si="1"/>
        <v>0</v>
      </c>
      <c r="N865" s="21"/>
      <c r="O865" s="22"/>
      <c r="P865" s="19" t="s">
        <v>1145</v>
      </c>
      <c r="Q865" s="18"/>
      <c r="R865" s="18"/>
      <c r="S865" s="23">
        <v>0.0</v>
      </c>
      <c r="T865" s="23">
        <v>0.0</v>
      </c>
      <c r="U865" s="23">
        <f t="shared" si="2"/>
        <v>0</v>
      </c>
      <c r="V865" s="23">
        <f t="shared" si="3"/>
        <v>0</v>
      </c>
      <c r="W865" s="23">
        <f t="shared" si="4"/>
        <v>0</v>
      </c>
      <c r="X865" s="24" t="str">
        <f t="shared" si="5"/>
        <v>#DIV/0!</v>
      </c>
    </row>
    <row r="866">
      <c r="A866" s="15" t="s">
        <v>3487</v>
      </c>
      <c r="B866" s="18"/>
      <c r="C866" s="16"/>
      <c r="D866" s="18"/>
      <c r="E866" s="17" t="s">
        <v>3488</v>
      </c>
      <c r="F866" s="18"/>
      <c r="G866" s="18"/>
      <c r="H866" s="15" t="s">
        <v>3489</v>
      </c>
      <c r="I866" s="18"/>
      <c r="J866" s="33"/>
      <c r="K866" s="19" t="s">
        <v>2401</v>
      </c>
      <c r="L866" s="19" t="s">
        <v>38</v>
      </c>
      <c r="M866" s="20">
        <f t="shared" si="1"/>
        <v>0</v>
      </c>
      <c r="N866" s="21"/>
      <c r="O866" s="22"/>
      <c r="P866" s="19" t="s">
        <v>1145</v>
      </c>
      <c r="Q866" s="18"/>
      <c r="R866" s="18"/>
      <c r="S866" s="23">
        <v>0.0</v>
      </c>
      <c r="T866" s="23">
        <v>0.0</v>
      </c>
      <c r="U866" s="23">
        <f t="shared" si="2"/>
        <v>0</v>
      </c>
      <c r="V866" s="23">
        <f t="shared" si="3"/>
        <v>0</v>
      </c>
      <c r="W866" s="23">
        <f t="shared" si="4"/>
        <v>0</v>
      </c>
      <c r="X866" s="24" t="str">
        <f t="shared" si="5"/>
        <v>#DIV/0!</v>
      </c>
    </row>
    <row r="867">
      <c r="A867" s="15" t="s">
        <v>3490</v>
      </c>
      <c r="B867" s="18"/>
      <c r="C867" s="16"/>
      <c r="D867" s="18"/>
      <c r="E867" s="17" t="s">
        <v>3491</v>
      </c>
      <c r="F867" s="18"/>
      <c r="G867" s="18"/>
      <c r="H867" s="15" t="s">
        <v>3492</v>
      </c>
      <c r="I867" s="15" t="s">
        <v>3493</v>
      </c>
      <c r="J867" s="33"/>
      <c r="K867" s="19" t="s">
        <v>2401</v>
      </c>
      <c r="L867" s="19" t="s">
        <v>38</v>
      </c>
      <c r="M867" s="20">
        <f t="shared" si="1"/>
        <v>0</v>
      </c>
      <c r="N867" s="21"/>
      <c r="O867" s="22"/>
      <c r="P867" s="19" t="s">
        <v>1145</v>
      </c>
      <c r="Q867" s="18"/>
      <c r="R867" s="18"/>
      <c r="S867" s="23">
        <v>0.0</v>
      </c>
      <c r="T867" s="23">
        <v>0.0</v>
      </c>
      <c r="U867" s="23">
        <f t="shared" si="2"/>
        <v>0</v>
      </c>
      <c r="V867" s="23">
        <f t="shared" si="3"/>
        <v>0</v>
      </c>
      <c r="W867" s="23">
        <f t="shared" si="4"/>
        <v>0</v>
      </c>
      <c r="X867" s="24" t="str">
        <f t="shared" si="5"/>
        <v>#DIV/0!</v>
      </c>
    </row>
    <row r="868">
      <c r="A868" s="15" t="s">
        <v>3494</v>
      </c>
      <c r="B868" s="18"/>
      <c r="C868" s="16"/>
      <c r="D868" s="18"/>
      <c r="E868" s="17" t="s">
        <v>3495</v>
      </c>
      <c r="F868" s="18"/>
      <c r="G868" s="18"/>
      <c r="H868" s="15" t="s">
        <v>3496</v>
      </c>
      <c r="I868" s="15" t="s">
        <v>3493</v>
      </c>
      <c r="J868" s="33"/>
      <c r="K868" s="19" t="s">
        <v>2401</v>
      </c>
      <c r="L868" s="19" t="s">
        <v>38</v>
      </c>
      <c r="M868" s="20">
        <f t="shared" si="1"/>
        <v>0</v>
      </c>
      <c r="N868" s="21"/>
      <c r="O868" s="22"/>
      <c r="P868" s="19" t="s">
        <v>1145</v>
      </c>
      <c r="Q868" s="18"/>
      <c r="R868" s="18"/>
      <c r="S868" s="23">
        <v>0.0</v>
      </c>
      <c r="T868" s="23">
        <v>0.0</v>
      </c>
      <c r="U868" s="23">
        <f t="shared" si="2"/>
        <v>0</v>
      </c>
      <c r="V868" s="23">
        <f t="shared" si="3"/>
        <v>0</v>
      </c>
      <c r="W868" s="23">
        <f t="shared" si="4"/>
        <v>0</v>
      </c>
      <c r="X868" s="24" t="str">
        <f t="shared" si="5"/>
        <v>#DIV/0!</v>
      </c>
    </row>
    <row r="869">
      <c r="A869" s="15" t="s">
        <v>3497</v>
      </c>
      <c r="B869" s="18"/>
      <c r="C869" s="16"/>
      <c r="D869" s="18"/>
      <c r="E869" s="17" t="s">
        <v>3498</v>
      </c>
      <c r="F869" s="18"/>
      <c r="G869" s="18"/>
      <c r="H869" s="15" t="s">
        <v>3499</v>
      </c>
      <c r="I869" s="15" t="s">
        <v>3500</v>
      </c>
      <c r="J869" s="33"/>
      <c r="K869" s="19" t="s">
        <v>2401</v>
      </c>
      <c r="L869" s="19" t="s">
        <v>38</v>
      </c>
      <c r="M869" s="20">
        <f t="shared" si="1"/>
        <v>0</v>
      </c>
      <c r="N869" s="21"/>
      <c r="O869" s="22"/>
      <c r="P869" s="19" t="s">
        <v>1145</v>
      </c>
      <c r="Q869" s="18"/>
      <c r="R869" s="18"/>
      <c r="S869" s="23">
        <v>0.0</v>
      </c>
      <c r="T869" s="23">
        <v>0.0</v>
      </c>
      <c r="U869" s="23">
        <f t="shared" si="2"/>
        <v>0</v>
      </c>
      <c r="V869" s="23">
        <f t="shared" si="3"/>
        <v>0</v>
      </c>
      <c r="W869" s="23">
        <f t="shared" si="4"/>
        <v>0</v>
      </c>
      <c r="X869" s="24" t="str">
        <f t="shared" si="5"/>
        <v>#DIV/0!</v>
      </c>
    </row>
    <row r="870">
      <c r="A870" s="15" t="s">
        <v>3501</v>
      </c>
      <c r="B870" s="18"/>
      <c r="C870" s="16"/>
      <c r="D870" s="18"/>
      <c r="E870" s="17" t="s">
        <v>3502</v>
      </c>
      <c r="F870" s="18"/>
      <c r="G870" s="18"/>
      <c r="H870" s="15" t="s">
        <v>3503</v>
      </c>
      <c r="I870" s="15" t="s">
        <v>3504</v>
      </c>
      <c r="J870" s="33"/>
      <c r="K870" s="19" t="s">
        <v>2401</v>
      </c>
      <c r="L870" s="19" t="s">
        <v>38</v>
      </c>
      <c r="M870" s="20">
        <f t="shared" si="1"/>
        <v>0</v>
      </c>
      <c r="N870" s="21"/>
      <c r="O870" s="22"/>
      <c r="P870" s="19" t="s">
        <v>1145</v>
      </c>
      <c r="Q870" s="18"/>
      <c r="R870" s="18"/>
      <c r="S870" s="23">
        <v>0.0</v>
      </c>
      <c r="T870" s="23">
        <v>0.0</v>
      </c>
      <c r="U870" s="23">
        <f t="shared" si="2"/>
        <v>0</v>
      </c>
      <c r="V870" s="23">
        <f t="shared" si="3"/>
        <v>0</v>
      </c>
      <c r="W870" s="23">
        <f t="shared" si="4"/>
        <v>0</v>
      </c>
      <c r="X870" s="24" t="str">
        <f t="shared" si="5"/>
        <v>#DIV/0!</v>
      </c>
    </row>
    <row r="871">
      <c r="A871" s="15" t="s">
        <v>3505</v>
      </c>
      <c r="B871" s="18"/>
      <c r="C871" s="16"/>
      <c r="D871" s="18"/>
      <c r="E871" s="17" t="s">
        <v>3506</v>
      </c>
      <c r="F871" s="18"/>
      <c r="G871" s="18"/>
      <c r="H871" s="15" t="s">
        <v>3507</v>
      </c>
      <c r="I871" s="15" t="s">
        <v>3508</v>
      </c>
      <c r="J871" s="33"/>
      <c r="K871" s="19" t="s">
        <v>2401</v>
      </c>
      <c r="L871" s="19" t="s">
        <v>38</v>
      </c>
      <c r="M871" s="20">
        <f t="shared" si="1"/>
        <v>0</v>
      </c>
      <c r="N871" s="21"/>
      <c r="O871" s="22"/>
      <c r="P871" s="19" t="s">
        <v>1145</v>
      </c>
      <c r="Q871" s="18"/>
      <c r="R871" s="18"/>
      <c r="S871" s="23">
        <v>0.0</v>
      </c>
      <c r="T871" s="23">
        <v>0.0</v>
      </c>
      <c r="U871" s="23">
        <f t="shared" si="2"/>
        <v>0</v>
      </c>
      <c r="V871" s="23">
        <f t="shared" si="3"/>
        <v>0</v>
      </c>
      <c r="W871" s="23">
        <f t="shared" si="4"/>
        <v>0</v>
      </c>
      <c r="X871" s="24" t="str">
        <f t="shared" si="5"/>
        <v>#DIV/0!</v>
      </c>
    </row>
    <row r="872">
      <c r="A872" s="15" t="s">
        <v>3509</v>
      </c>
      <c r="B872" s="18"/>
      <c r="C872" s="16"/>
      <c r="D872" s="18"/>
      <c r="E872" s="17" t="s">
        <v>3510</v>
      </c>
      <c r="F872" s="18"/>
      <c r="G872" s="18"/>
      <c r="H872" s="15" t="s">
        <v>3511</v>
      </c>
      <c r="I872" s="15" t="s">
        <v>3508</v>
      </c>
      <c r="J872" s="33"/>
      <c r="K872" s="19" t="s">
        <v>2401</v>
      </c>
      <c r="L872" s="19" t="s">
        <v>38</v>
      </c>
      <c r="M872" s="20">
        <f t="shared" si="1"/>
        <v>0</v>
      </c>
      <c r="N872" s="21"/>
      <c r="O872" s="22"/>
      <c r="P872" s="19" t="s">
        <v>1145</v>
      </c>
      <c r="Q872" s="18"/>
      <c r="R872" s="18"/>
      <c r="S872" s="23">
        <v>0.0</v>
      </c>
      <c r="T872" s="23">
        <v>0.0</v>
      </c>
      <c r="U872" s="23">
        <f t="shared" si="2"/>
        <v>0</v>
      </c>
      <c r="V872" s="23">
        <f t="shared" si="3"/>
        <v>0</v>
      </c>
      <c r="W872" s="23">
        <f t="shared" si="4"/>
        <v>0</v>
      </c>
      <c r="X872" s="24" t="str">
        <f t="shared" si="5"/>
        <v>#DIV/0!</v>
      </c>
    </row>
    <row r="873">
      <c r="A873" s="15" t="s">
        <v>3512</v>
      </c>
      <c r="B873" s="18"/>
      <c r="C873" s="16"/>
      <c r="D873" s="18"/>
      <c r="E873" s="17" t="s">
        <v>3513</v>
      </c>
      <c r="F873" s="18"/>
      <c r="G873" s="18"/>
      <c r="H873" s="15" t="s">
        <v>3514</v>
      </c>
      <c r="I873" s="18"/>
      <c r="J873" s="33"/>
      <c r="K873" s="19" t="s">
        <v>2401</v>
      </c>
      <c r="L873" s="19" t="s">
        <v>38</v>
      </c>
      <c r="M873" s="20">
        <f t="shared" si="1"/>
        <v>0</v>
      </c>
      <c r="N873" s="21"/>
      <c r="O873" s="22"/>
      <c r="P873" s="19" t="s">
        <v>1145</v>
      </c>
      <c r="Q873" s="18"/>
      <c r="R873" s="18"/>
      <c r="S873" s="23">
        <v>0.0</v>
      </c>
      <c r="T873" s="23">
        <v>0.0</v>
      </c>
      <c r="U873" s="23">
        <f t="shared" si="2"/>
        <v>0</v>
      </c>
      <c r="V873" s="23">
        <f t="shared" si="3"/>
        <v>0</v>
      </c>
      <c r="W873" s="23">
        <f t="shared" si="4"/>
        <v>0</v>
      </c>
      <c r="X873" s="24" t="str">
        <f t="shared" si="5"/>
        <v>#DIV/0!</v>
      </c>
    </row>
    <row r="874">
      <c r="A874" s="15" t="s">
        <v>3515</v>
      </c>
      <c r="B874" s="18"/>
      <c r="C874" s="16"/>
      <c r="D874" s="18"/>
      <c r="E874" s="17" t="s">
        <v>3516</v>
      </c>
      <c r="F874" s="18"/>
      <c r="G874" s="18"/>
      <c r="H874" s="15" t="s">
        <v>3517</v>
      </c>
      <c r="I874" s="18"/>
      <c r="J874" s="33"/>
      <c r="K874" s="19" t="s">
        <v>2401</v>
      </c>
      <c r="L874" s="19" t="s">
        <v>38</v>
      </c>
      <c r="M874" s="20">
        <f t="shared" si="1"/>
        <v>0</v>
      </c>
      <c r="N874" s="21"/>
      <c r="O874" s="22"/>
      <c r="P874" s="19" t="s">
        <v>1145</v>
      </c>
      <c r="Q874" s="18"/>
      <c r="R874" s="18"/>
      <c r="S874" s="23">
        <v>0.0</v>
      </c>
      <c r="T874" s="23">
        <v>0.0</v>
      </c>
      <c r="U874" s="23">
        <f t="shared" si="2"/>
        <v>0</v>
      </c>
      <c r="V874" s="23">
        <f t="shared" si="3"/>
        <v>0</v>
      </c>
      <c r="W874" s="23">
        <f t="shared" si="4"/>
        <v>0</v>
      </c>
      <c r="X874" s="24" t="str">
        <f t="shared" si="5"/>
        <v>#DIV/0!</v>
      </c>
    </row>
    <row r="875">
      <c r="A875" s="15" t="s">
        <v>3518</v>
      </c>
      <c r="B875" s="18"/>
      <c r="C875" s="16"/>
      <c r="D875" s="18"/>
      <c r="E875" s="17" t="s">
        <v>3519</v>
      </c>
      <c r="F875" s="18"/>
      <c r="G875" s="18"/>
      <c r="H875" s="15" t="s">
        <v>3520</v>
      </c>
      <c r="I875" s="18"/>
      <c r="J875" s="33"/>
      <c r="K875" s="19" t="s">
        <v>3521</v>
      </c>
      <c r="L875" s="19" t="s">
        <v>38</v>
      </c>
      <c r="M875" s="20">
        <f t="shared" si="1"/>
        <v>0</v>
      </c>
      <c r="N875" s="21"/>
      <c r="O875" s="22"/>
      <c r="P875" s="19" t="s">
        <v>1145</v>
      </c>
      <c r="Q875" s="18"/>
      <c r="R875" s="18"/>
      <c r="S875" s="23">
        <v>0.0</v>
      </c>
      <c r="T875" s="23">
        <v>0.0</v>
      </c>
      <c r="U875" s="23">
        <f t="shared" si="2"/>
        <v>0</v>
      </c>
      <c r="V875" s="23">
        <f t="shared" si="3"/>
        <v>0</v>
      </c>
      <c r="W875" s="23">
        <f t="shared" si="4"/>
        <v>0</v>
      </c>
      <c r="X875" s="24" t="str">
        <f t="shared" si="5"/>
        <v>#DIV/0!</v>
      </c>
    </row>
    <row r="876">
      <c r="A876" s="15" t="s">
        <v>3522</v>
      </c>
      <c r="B876" s="18"/>
      <c r="C876" s="16"/>
      <c r="D876" s="18"/>
      <c r="E876" s="17" t="s">
        <v>3523</v>
      </c>
      <c r="F876" s="18"/>
      <c r="G876" s="18"/>
      <c r="H876" s="15" t="s">
        <v>3524</v>
      </c>
      <c r="I876" s="18"/>
      <c r="J876" s="33"/>
      <c r="K876" s="19" t="s">
        <v>2382</v>
      </c>
      <c r="L876" s="19" t="s">
        <v>38</v>
      </c>
      <c r="M876" s="20">
        <f t="shared" si="1"/>
        <v>0</v>
      </c>
      <c r="N876" s="21"/>
      <c r="O876" s="22"/>
      <c r="P876" s="19" t="s">
        <v>1145</v>
      </c>
      <c r="Q876" s="18"/>
      <c r="R876" s="18"/>
      <c r="S876" s="23">
        <v>0.0</v>
      </c>
      <c r="T876" s="23">
        <v>0.0</v>
      </c>
      <c r="U876" s="23">
        <f t="shared" si="2"/>
        <v>0</v>
      </c>
      <c r="V876" s="23">
        <f t="shared" si="3"/>
        <v>0</v>
      </c>
      <c r="W876" s="23">
        <f t="shared" si="4"/>
        <v>0</v>
      </c>
      <c r="X876" s="24" t="str">
        <f t="shared" si="5"/>
        <v>#DIV/0!</v>
      </c>
    </row>
    <row r="877">
      <c r="A877" s="15" t="s">
        <v>3525</v>
      </c>
      <c r="B877" s="18"/>
      <c r="C877" s="16"/>
      <c r="D877" s="18"/>
      <c r="E877" s="17" t="s">
        <v>3526</v>
      </c>
      <c r="F877" s="18"/>
      <c r="G877" s="18"/>
      <c r="H877" s="15" t="s">
        <v>3527</v>
      </c>
      <c r="I877" s="15" t="s">
        <v>3528</v>
      </c>
      <c r="J877" s="33"/>
      <c r="K877" s="19" t="s">
        <v>2382</v>
      </c>
      <c r="L877" s="19" t="s">
        <v>38</v>
      </c>
      <c r="M877" s="20">
        <f t="shared" si="1"/>
        <v>0</v>
      </c>
      <c r="N877" s="21"/>
      <c r="O877" s="22"/>
      <c r="P877" s="19" t="s">
        <v>1145</v>
      </c>
      <c r="Q877" s="18"/>
      <c r="R877" s="18"/>
      <c r="S877" s="23">
        <v>0.0</v>
      </c>
      <c r="T877" s="23">
        <v>0.0</v>
      </c>
      <c r="U877" s="23">
        <f t="shared" si="2"/>
        <v>0</v>
      </c>
      <c r="V877" s="23">
        <f t="shared" si="3"/>
        <v>0</v>
      </c>
      <c r="W877" s="23">
        <f t="shared" si="4"/>
        <v>0</v>
      </c>
      <c r="X877" s="24" t="str">
        <f t="shared" si="5"/>
        <v>#DIV/0!</v>
      </c>
    </row>
    <row r="878">
      <c r="A878" s="15" t="s">
        <v>3529</v>
      </c>
      <c r="B878" s="18"/>
      <c r="C878" s="16"/>
      <c r="D878" s="18"/>
      <c r="E878" s="17" t="s">
        <v>3530</v>
      </c>
      <c r="F878" s="18"/>
      <c r="G878" s="18"/>
      <c r="H878" s="15" t="s">
        <v>3531</v>
      </c>
      <c r="I878" s="18"/>
      <c r="J878" s="33"/>
      <c r="K878" s="19" t="s">
        <v>3330</v>
      </c>
      <c r="L878" s="19" t="s">
        <v>38</v>
      </c>
      <c r="M878" s="20">
        <f t="shared" si="1"/>
        <v>0</v>
      </c>
      <c r="N878" s="21"/>
      <c r="O878" s="22"/>
      <c r="P878" s="19" t="s">
        <v>1145</v>
      </c>
      <c r="Q878" s="18"/>
      <c r="R878" s="18"/>
      <c r="S878" s="23">
        <v>0.0</v>
      </c>
      <c r="T878" s="23">
        <v>0.0</v>
      </c>
      <c r="U878" s="23">
        <f t="shared" si="2"/>
        <v>0</v>
      </c>
      <c r="V878" s="23">
        <f t="shared" si="3"/>
        <v>0</v>
      </c>
      <c r="W878" s="23">
        <f t="shared" si="4"/>
        <v>0</v>
      </c>
      <c r="X878" s="24" t="str">
        <f t="shared" si="5"/>
        <v>#DIV/0!</v>
      </c>
    </row>
    <row r="879">
      <c r="A879" s="15" t="s">
        <v>3532</v>
      </c>
      <c r="B879" s="18"/>
      <c r="C879" s="16"/>
      <c r="D879" s="18"/>
      <c r="E879" s="17" t="s">
        <v>3533</v>
      </c>
      <c r="F879" s="18"/>
      <c r="G879" s="18"/>
      <c r="H879" s="15" t="s">
        <v>3534</v>
      </c>
      <c r="I879" s="18"/>
      <c r="J879" s="33"/>
      <c r="K879" s="19" t="s">
        <v>2506</v>
      </c>
      <c r="L879" s="19" t="s">
        <v>38</v>
      </c>
      <c r="M879" s="20">
        <f t="shared" si="1"/>
        <v>0</v>
      </c>
      <c r="N879" s="21"/>
      <c r="O879" s="22"/>
      <c r="P879" s="19" t="s">
        <v>1145</v>
      </c>
      <c r="Q879" s="18"/>
      <c r="R879" s="18"/>
      <c r="S879" s="23">
        <v>0.0</v>
      </c>
      <c r="T879" s="23">
        <v>0.0</v>
      </c>
      <c r="U879" s="23">
        <f t="shared" si="2"/>
        <v>0</v>
      </c>
      <c r="V879" s="23">
        <f t="shared" si="3"/>
        <v>0</v>
      </c>
      <c r="W879" s="23">
        <f t="shared" si="4"/>
        <v>0</v>
      </c>
      <c r="X879" s="24" t="str">
        <f t="shared" si="5"/>
        <v>#DIV/0!</v>
      </c>
    </row>
    <row r="880">
      <c r="A880" s="15" t="s">
        <v>3535</v>
      </c>
      <c r="B880" s="18"/>
      <c r="C880" s="16"/>
      <c r="D880" s="18"/>
      <c r="E880" s="17" t="s">
        <v>3536</v>
      </c>
      <c r="F880" s="18"/>
      <c r="G880" s="18"/>
      <c r="H880" s="15" t="s">
        <v>3537</v>
      </c>
      <c r="I880" s="18"/>
      <c r="J880" s="33"/>
      <c r="K880" s="19" t="s">
        <v>2506</v>
      </c>
      <c r="L880" s="19" t="s">
        <v>38</v>
      </c>
      <c r="M880" s="20">
        <f t="shared" si="1"/>
        <v>0</v>
      </c>
      <c r="N880" s="21"/>
      <c r="O880" s="22"/>
      <c r="P880" s="19" t="s">
        <v>1145</v>
      </c>
      <c r="Q880" s="18"/>
      <c r="R880" s="18"/>
      <c r="S880" s="23">
        <v>0.0</v>
      </c>
      <c r="T880" s="23">
        <v>0.0</v>
      </c>
      <c r="U880" s="23">
        <f t="shared" si="2"/>
        <v>0</v>
      </c>
      <c r="V880" s="23">
        <f t="shared" si="3"/>
        <v>0</v>
      </c>
      <c r="W880" s="23">
        <f t="shared" si="4"/>
        <v>0</v>
      </c>
      <c r="X880" s="24" t="str">
        <f t="shared" si="5"/>
        <v>#DIV/0!</v>
      </c>
    </row>
    <row r="881">
      <c r="A881" s="15" t="s">
        <v>3538</v>
      </c>
      <c r="B881" s="18"/>
      <c r="C881" s="16"/>
      <c r="D881" s="18"/>
      <c r="E881" s="17" t="s">
        <v>3539</v>
      </c>
      <c r="F881" s="18"/>
      <c r="G881" s="18"/>
      <c r="H881" s="15" t="s">
        <v>3540</v>
      </c>
      <c r="I881" s="18"/>
      <c r="J881" s="33"/>
      <c r="K881" s="19" t="s">
        <v>2506</v>
      </c>
      <c r="L881" s="19" t="s">
        <v>38</v>
      </c>
      <c r="M881" s="20">
        <f t="shared" si="1"/>
        <v>0</v>
      </c>
      <c r="N881" s="21"/>
      <c r="O881" s="22"/>
      <c r="P881" s="19" t="s">
        <v>1145</v>
      </c>
      <c r="Q881" s="18"/>
      <c r="R881" s="18"/>
      <c r="S881" s="23">
        <v>0.0</v>
      </c>
      <c r="T881" s="23">
        <v>0.0</v>
      </c>
      <c r="U881" s="23">
        <f t="shared" si="2"/>
        <v>0</v>
      </c>
      <c r="V881" s="23">
        <f t="shared" si="3"/>
        <v>0</v>
      </c>
      <c r="W881" s="23">
        <f t="shared" si="4"/>
        <v>0</v>
      </c>
      <c r="X881" s="24" t="str">
        <f t="shared" si="5"/>
        <v>#DIV/0!</v>
      </c>
    </row>
    <row r="882">
      <c r="A882" s="15" t="s">
        <v>3541</v>
      </c>
      <c r="B882" s="18"/>
      <c r="C882" s="16"/>
      <c r="D882" s="18"/>
      <c r="E882" s="17" t="s">
        <v>3542</v>
      </c>
      <c r="F882" s="18"/>
      <c r="G882" s="18"/>
      <c r="H882" s="15" t="s">
        <v>3543</v>
      </c>
      <c r="I882" s="18"/>
      <c r="J882" s="33"/>
      <c r="K882" s="19" t="s">
        <v>691</v>
      </c>
      <c r="L882" s="19" t="s">
        <v>38</v>
      </c>
      <c r="M882" s="20">
        <f t="shared" si="1"/>
        <v>0</v>
      </c>
      <c r="N882" s="21"/>
      <c r="O882" s="22"/>
      <c r="P882" s="19" t="s">
        <v>1145</v>
      </c>
      <c r="Q882" s="18"/>
      <c r="R882" s="18"/>
      <c r="S882" s="23">
        <v>0.0</v>
      </c>
      <c r="T882" s="23">
        <v>0.0</v>
      </c>
      <c r="U882" s="23">
        <f t="shared" si="2"/>
        <v>0</v>
      </c>
      <c r="V882" s="23">
        <f t="shared" si="3"/>
        <v>0</v>
      </c>
      <c r="W882" s="23">
        <f t="shared" si="4"/>
        <v>0</v>
      </c>
      <c r="X882" s="24" t="str">
        <f t="shared" si="5"/>
        <v>#DIV/0!</v>
      </c>
    </row>
    <row r="883">
      <c r="A883" s="15" t="s">
        <v>3544</v>
      </c>
      <c r="B883" s="18"/>
      <c r="C883" s="16"/>
      <c r="D883" s="18"/>
      <c r="E883" s="17" t="s">
        <v>3545</v>
      </c>
      <c r="F883" s="18"/>
      <c r="G883" s="18"/>
      <c r="H883" s="15" t="s">
        <v>3546</v>
      </c>
      <c r="I883" s="18"/>
      <c r="J883" s="33"/>
      <c r="K883" s="19" t="s">
        <v>3521</v>
      </c>
      <c r="L883" s="19" t="s">
        <v>38</v>
      </c>
      <c r="M883" s="20">
        <f t="shared" si="1"/>
        <v>0</v>
      </c>
      <c r="N883" s="21"/>
      <c r="O883" s="22"/>
      <c r="P883" s="19" t="s">
        <v>1145</v>
      </c>
      <c r="Q883" s="18"/>
      <c r="R883" s="18"/>
      <c r="S883" s="23">
        <v>0.0</v>
      </c>
      <c r="T883" s="23">
        <v>0.0</v>
      </c>
      <c r="U883" s="23">
        <f t="shared" si="2"/>
        <v>0</v>
      </c>
      <c r="V883" s="23">
        <f t="shared" si="3"/>
        <v>0</v>
      </c>
      <c r="W883" s="23">
        <f t="shared" si="4"/>
        <v>0</v>
      </c>
      <c r="X883" s="24" t="str">
        <f t="shared" si="5"/>
        <v>#DIV/0!</v>
      </c>
    </row>
    <row r="884">
      <c r="A884" s="15" t="s">
        <v>3547</v>
      </c>
      <c r="B884" s="18"/>
      <c r="C884" s="16"/>
      <c r="D884" s="18"/>
      <c r="E884" s="17" t="s">
        <v>3548</v>
      </c>
      <c r="F884" s="18"/>
      <c r="G884" s="18"/>
      <c r="H884" s="15" t="s">
        <v>3549</v>
      </c>
      <c r="I884" s="15" t="s">
        <v>3550</v>
      </c>
      <c r="J884" s="33"/>
      <c r="K884" s="19" t="s">
        <v>2396</v>
      </c>
      <c r="L884" s="19" t="s">
        <v>38</v>
      </c>
      <c r="M884" s="20">
        <f t="shared" si="1"/>
        <v>0</v>
      </c>
      <c r="N884" s="21"/>
      <c r="O884" s="22"/>
      <c r="P884" s="19" t="s">
        <v>1145</v>
      </c>
      <c r="Q884" s="18"/>
      <c r="R884" s="18"/>
      <c r="S884" s="23">
        <v>0.0</v>
      </c>
      <c r="T884" s="23">
        <v>0.0</v>
      </c>
      <c r="U884" s="23">
        <f t="shared" si="2"/>
        <v>0</v>
      </c>
      <c r="V884" s="23">
        <f t="shared" si="3"/>
        <v>0</v>
      </c>
      <c r="W884" s="23">
        <f t="shared" si="4"/>
        <v>0</v>
      </c>
      <c r="X884" s="24" t="str">
        <f t="shared" si="5"/>
        <v>#DIV/0!</v>
      </c>
    </row>
    <row r="885">
      <c r="A885" s="15" t="s">
        <v>3551</v>
      </c>
      <c r="B885" s="18"/>
      <c r="C885" s="16"/>
      <c r="D885" s="18"/>
      <c r="E885" s="17" t="s">
        <v>3552</v>
      </c>
      <c r="F885" s="18"/>
      <c r="G885" s="18"/>
      <c r="H885" s="15" t="s">
        <v>3553</v>
      </c>
      <c r="I885" s="15" t="s">
        <v>3554</v>
      </c>
      <c r="J885" s="33"/>
      <c r="K885" s="19" t="s">
        <v>2396</v>
      </c>
      <c r="L885" s="19" t="s">
        <v>38</v>
      </c>
      <c r="M885" s="20">
        <f t="shared" si="1"/>
        <v>0</v>
      </c>
      <c r="N885" s="21"/>
      <c r="O885" s="22"/>
      <c r="P885" s="19" t="s">
        <v>1145</v>
      </c>
      <c r="Q885" s="18"/>
      <c r="R885" s="18"/>
      <c r="S885" s="23">
        <v>0.0</v>
      </c>
      <c r="T885" s="23">
        <v>0.0</v>
      </c>
      <c r="U885" s="23">
        <f t="shared" si="2"/>
        <v>0</v>
      </c>
      <c r="V885" s="23">
        <f t="shared" si="3"/>
        <v>0</v>
      </c>
      <c r="W885" s="23">
        <f t="shared" si="4"/>
        <v>0</v>
      </c>
      <c r="X885" s="24" t="str">
        <f t="shared" si="5"/>
        <v>#DIV/0!</v>
      </c>
    </row>
    <row r="886">
      <c r="A886" s="15" t="s">
        <v>3555</v>
      </c>
      <c r="B886" s="18"/>
      <c r="C886" s="16"/>
      <c r="D886" s="18"/>
      <c r="E886" s="17" t="s">
        <v>3556</v>
      </c>
      <c r="F886" s="18"/>
      <c r="G886" s="18"/>
      <c r="H886" s="15" t="s">
        <v>3557</v>
      </c>
      <c r="I886" s="15" t="s">
        <v>3558</v>
      </c>
      <c r="J886" s="33"/>
      <c r="K886" s="19" t="s">
        <v>2396</v>
      </c>
      <c r="L886" s="19" t="s">
        <v>38</v>
      </c>
      <c r="M886" s="20">
        <f t="shared" si="1"/>
        <v>0</v>
      </c>
      <c r="N886" s="21"/>
      <c r="O886" s="22"/>
      <c r="P886" s="19" t="s">
        <v>1145</v>
      </c>
      <c r="Q886" s="18"/>
      <c r="R886" s="18"/>
      <c r="S886" s="23">
        <v>0.0</v>
      </c>
      <c r="T886" s="23">
        <v>0.0</v>
      </c>
      <c r="U886" s="23">
        <f t="shared" si="2"/>
        <v>0</v>
      </c>
      <c r="V886" s="23">
        <f t="shared" si="3"/>
        <v>0</v>
      </c>
      <c r="W886" s="23">
        <f t="shared" si="4"/>
        <v>0</v>
      </c>
      <c r="X886" s="24" t="str">
        <f t="shared" si="5"/>
        <v>#DIV/0!</v>
      </c>
    </row>
    <row r="887">
      <c r="A887" s="15" t="s">
        <v>3559</v>
      </c>
      <c r="B887" s="18"/>
      <c r="C887" s="16"/>
      <c r="D887" s="18"/>
      <c r="E887" s="17" t="s">
        <v>3560</v>
      </c>
      <c r="F887" s="18"/>
      <c r="G887" s="18"/>
      <c r="H887" s="15" t="s">
        <v>3561</v>
      </c>
      <c r="I887" s="15" t="s">
        <v>3562</v>
      </c>
      <c r="J887" s="33"/>
      <c r="K887" s="19" t="s">
        <v>2396</v>
      </c>
      <c r="L887" s="19" t="s">
        <v>38</v>
      </c>
      <c r="M887" s="20">
        <f t="shared" si="1"/>
        <v>0</v>
      </c>
      <c r="N887" s="21"/>
      <c r="O887" s="22"/>
      <c r="P887" s="19" t="s">
        <v>1145</v>
      </c>
      <c r="Q887" s="18"/>
      <c r="R887" s="18"/>
      <c r="S887" s="23">
        <v>0.0</v>
      </c>
      <c r="T887" s="23">
        <v>0.0</v>
      </c>
      <c r="U887" s="23">
        <f t="shared" si="2"/>
        <v>0</v>
      </c>
      <c r="V887" s="23">
        <f t="shared" si="3"/>
        <v>0</v>
      </c>
      <c r="W887" s="23">
        <f t="shared" si="4"/>
        <v>0</v>
      </c>
      <c r="X887" s="24" t="str">
        <f t="shared" si="5"/>
        <v>#DIV/0!</v>
      </c>
    </row>
    <row r="888">
      <c r="A888" s="15" t="s">
        <v>3563</v>
      </c>
      <c r="B888" s="18"/>
      <c r="C888" s="16"/>
      <c r="D888" s="15" t="s">
        <v>3564</v>
      </c>
      <c r="E888" s="17" t="s">
        <v>3565</v>
      </c>
      <c r="F888" s="18"/>
      <c r="G888" s="18"/>
      <c r="H888" s="18"/>
      <c r="I888" s="18"/>
      <c r="J888" s="33"/>
      <c r="K888" s="33"/>
      <c r="L888" s="19" t="s">
        <v>38</v>
      </c>
      <c r="M888" s="20">
        <f t="shared" si="1"/>
        <v>0</v>
      </c>
      <c r="N888" s="21"/>
      <c r="O888" s="22"/>
      <c r="P888" s="19" t="s">
        <v>1145</v>
      </c>
      <c r="Q888" s="18"/>
      <c r="R888" s="18"/>
      <c r="S888" s="23">
        <v>0.0</v>
      </c>
      <c r="T888" s="23">
        <v>0.0</v>
      </c>
      <c r="U888" s="23">
        <f t="shared" si="2"/>
        <v>0</v>
      </c>
      <c r="V888" s="23">
        <f t="shared" si="3"/>
        <v>0</v>
      </c>
      <c r="W888" s="23">
        <f t="shared" si="4"/>
        <v>0</v>
      </c>
      <c r="X888" s="24" t="str">
        <f t="shared" si="5"/>
        <v>#DIV/0!</v>
      </c>
    </row>
    <row r="889">
      <c r="A889" s="15" t="s">
        <v>3566</v>
      </c>
      <c r="B889" s="18"/>
      <c r="C889" s="16" t="str">
        <f>IMAGE("https://i.ibb.co/xqhKyvNj/1836.png")</f>
        <v/>
      </c>
      <c r="D889" s="18"/>
      <c r="E889" s="17" t="s">
        <v>3567</v>
      </c>
      <c r="F889" s="18"/>
      <c r="G889" s="18"/>
      <c r="H889" s="15" t="s">
        <v>3568</v>
      </c>
      <c r="I889" s="15" t="s">
        <v>3569</v>
      </c>
      <c r="J889" s="19" t="s">
        <v>59</v>
      </c>
      <c r="K889" s="19" t="s">
        <v>2396</v>
      </c>
      <c r="L889" s="19" t="s">
        <v>38</v>
      </c>
      <c r="M889" s="20">
        <f t="shared" si="1"/>
        <v>1935.84</v>
      </c>
      <c r="N889" s="21"/>
      <c r="O889" s="22"/>
      <c r="P889" s="19" t="s">
        <v>1145</v>
      </c>
      <c r="Q889" s="18"/>
      <c r="R889" s="18"/>
      <c r="S889" s="23">
        <v>15.5</v>
      </c>
      <c r="T889" s="23">
        <v>109.0</v>
      </c>
      <c r="U889" s="23">
        <f t="shared" si="2"/>
        <v>104.64</v>
      </c>
      <c r="V889" s="23">
        <f t="shared" si="3"/>
        <v>18.9875</v>
      </c>
      <c r="W889" s="23">
        <f t="shared" si="4"/>
        <v>356.015625</v>
      </c>
      <c r="X889" s="24">
        <f t="shared" si="5"/>
        <v>5.510994075</v>
      </c>
    </row>
    <row r="890">
      <c r="A890" s="15" t="s">
        <v>3570</v>
      </c>
      <c r="B890" s="15" t="s">
        <v>3571</v>
      </c>
      <c r="C890" s="16"/>
      <c r="D890" s="18"/>
      <c r="E890" s="17" t="s">
        <v>3572</v>
      </c>
      <c r="F890" s="18"/>
      <c r="G890" s="18"/>
      <c r="H890" s="15" t="s">
        <v>3573</v>
      </c>
      <c r="I890" s="18"/>
      <c r="J890" s="19" t="s">
        <v>104</v>
      </c>
      <c r="K890" s="33"/>
      <c r="L890" s="19" t="s">
        <v>38</v>
      </c>
      <c r="M890" s="20">
        <f t="shared" si="1"/>
        <v>0</v>
      </c>
      <c r="N890" s="21"/>
      <c r="O890" s="22"/>
      <c r="P890" s="19" t="s">
        <v>3574</v>
      </c>
      <c r="Q890" s="18"/>
      <c r="R890" s="18"/>
      <c r="S890" s="23">
        <v>0.0</v>
      </c>
      <c r="T890" s="23">
        <v>0.0</v>
      </c>
      <c r="U890" s="23">
        <f t="shared" si="2"/>
        <v>0</v>
      </c>
      <c r="V890" s="23">
        <f t="shared" si="3"/>
        <v>0</v>
      </c>
      <c r="W890" s="23">
        <f t="shared" si="4"/>
        <v>0</v>
      </c>
      <c r="X890" s="24" t="str">
        <f t="shared" si="5"/>
        <v>#DIV/0!</v>
      </c>
    </row>
    <row r="891">
      <c r="A891" s="15" t="s">
        <v>3575</v>
      </c>
      <c r="B891" s="18" t="str">
        <f t="shared" ref="B891:B896" si="12">CONCATENATE(7504589,A891)</f>
        <v>75045891000</v>
      </c>
      <c r="C891" s="16" t="str">
        <f>IMAGE("https://i.ibb.co/qMmL87x7/1000.png")</f>
        <v/>
      </c>
      <c r="D891" s="18"/>
      <c r="E891" s="17" t="s">
        <v>3576</v>
      </c>
      <c r="F891" s="18"/>
      <c r="G891" s="18"/>
      <c r="H891" s="15" t="s">
        <v>3577</v>
      </c>
      <c r="I891" s="18"/>
      <c r="J891" s="19" t="s">
        <v>283</v>
      </c>
      <c r="K891" s="19" t="s">
        <v>105</v>
      </c>
      <c r="L891" s="19" t="s">
        <v>38</v>
      </c>
      <c r="M891" s="20">
        <f t="shared" si="1"/>
        <v>0</v>
      </c>
      <c r="N891" s="21"/>
      <c r="O891" s="22"/>
      <c r="P891" s="19" t="s">
        <v>3578</v>
      </c>
      <c r="Q891" s="18"/>
      <c r="R891" s="18"/>
      <c r="S891" s="23">
        <v>0.0</v>
      </c>
      <c r="T891" s="23">
        <v>0.0</v>
      </c>
      <c r="U891" s="23">
        <f t="shared" si="2"/>
        <v>0</v>
      </c>
      <c r="V891" s="23">
        <f t="shared" si="3"/>
        <v>0</v>
      </c>
      <c r="W891" s="23">
        <f t="shared" si="4"/>
        <v>0</v>
      </c>
      <c r="X891" s="24" t="str">
        <f t="shared" si="5"/>
        <v>#DIV/0!</v>
      </c>
    </row>
    <row r="892">
      <c r="A892" s="15" t="s">
        <v>3579</v>
      </c>
      <c r="B892" s="18" t="str">
        <f t="shared" si="12"/>
        <v>75045891001</v>
      </c>
      <c r="C892" s="16" t="str">
        <f>IMAGE("https://i.ibb.co/xts2WhQb/1001.png")</f>
        <v/>
      </c>
      <c r="D892" s="15" t="s">
        <v>3580</v>
      </c>
      <c r="E892" s="17" t="s">
        <v>3581</v>
      </c>
      <c r="F892" s="18"/>
      <c r="G892" s="18"/>
      <c r="H892" s="15" t="s">
        <v>3582</v>
      </c>
      <c r="I892" s="18"/>
      <c r="J892" s="19" t="s">
        <v>283</v>
      </c>
      <c r="K892" s="19" t="s">
        <v>402</v>
      </c>
      <c r="L892" s="19" t="s">
        <v>38</v>
      </c>
      <c r="M892" s="20">
        <f t="shared" si="1"/>
        <v>0</v>
      </c>
      <c r="N892" s="21"/>
      <c r="O892" s="22"/>
      <c r="P892" s="19" t="s">
        <v>3578</v>
      </c>
      <c r="Q892" s="18"/>
      <c r="R892" s="18"/>
      <c r="S892" s="23">
        <v>0.0</v>
      </c>
      <c r="T892" s="23">
        <v>0.0</v>
      </c>
      <c r="U892" s="23">
        <f t="shared" si="2"/>
        <v>0</v>
      </c>
      <c r="V892" s="23">
        <f t="shared" si="3"/>
        <v>0</v>
      </c>
      <c r="W892" s="23">
        <f t="shared" si="4"/>
        <v>0</v>
      </c>
      <c r="X892" s="24" t="str">
        <f t="shared" si="5"/>
        <v>#DIV/0!</v>
      </c>
    </row>
    <row r="893">
      <c r="A893" s="15" t="s">
        <v>3583</v>
      </c>
      <c r="B893" s="18" t="str">
        <f t="shared" si="12"/>
        <v>75045891002</v>
      </c>
      <c r="C893" s="16" t="str">
        <f>IMAGE("https://i.ibb.co/ZpD3Yt6J/1002.png")</f>
        <v/>
      </c>
      <c r="D893" s="15" t="s">
        <v>3584</v>
      </c>
      <c r="E893" s="17" t="s">
        <v>3585</v>
      </c>
      <c r="F893" s="18"/>
      <c r="G893" s="18"/>
      <c r="H893" s="15" t="s">
        <v>3586</v>
      </c>
      <c r="I893" s="18"/>
      <c r="J893" s="19" t="s">
        <v>283</v>
      </c>
      <c r="K893" s="19" t="s">
        <v>105</v>
      </c>
      <c r="L893" s="19" t="s">
        <v>38</v>
      </c>
      <c r="M893" s="20">
        <f t="shared" si="1"/>
        <v>0</v>
      </c>
      <c r="N893" s="21"/>
      <c r="O893" s="22"/>
      <c r="P893" s="19" t="s">
        <v>3578</v>
      </c>
      <c r="Q893" s="18"/>
      <c r="R893" s="18"/>
      <c r="S893" s="23">
        <v>0.0</v>
      </c>
      <c r="T893" s="23">
        <v>0.0</v>
      </c>
      <c r="U893" s="23">
        <f t="shared" si="2"/>
        <v>0</v>
      </c>
      <c r="V893" s="23">
        <f t="shared" si="3"/>
        <v>0</v>
      </c>
      <c r="W893" s="23">
        <f t="shared" si="4"/>
        <v>0</v>
      </c>
      <c r="X893" s="24" t="str">
        <f t="shared" si="5"/>
        <v>#DIV/0!</v>
      </c>
    </row>
    <row r="894">
      <c r="A894" s="15" t="s">
        <v>3587</v>
      </c>
      <c r="B894" s="18" t="str">
        <f t="shared" si="12"/>
        <v>75045891003</v>
      </c>
      <c r="C894" s="16" t="str">
        <f>IMAGE("https://i.ibb.co/Ldj7r112/1003.png")</f>
        <v/>
      </c>
      <c r="D894" s="15" t="s">
        <v>3588</v>
      </c>
      <c r="E894" s="17" t="s">
        <v>3589</v>
      </c>
      <c r="F894" s="18"/>
      <c r="G894" s="18"/>
      <c r="H894" s="15" t="s">
        <v>3590</v>
      </c>
      <c r="I894" s="18"/>
      <c r="J894" s="19" t="s">
        <v>283</v>
      </c>
      <c r="K894" s="19" t="s">
        <v>402</v>
      </c>
      <c r="L894" s="19" t="s">
        <v>38</v>
      </c>
      <c r="M894" s="20">
        <f t="shared" si="1"/>
        <v>0</v>
      </c>
      <c r="N894" s="21"/>
      <c r="O894" s="22"/>
      <c r="P894" s="19" t="s">
        <v>3578</v>
      </c>
      <c r="Q894" s="18"/>
      <c r="R894" s="18"/>
      <c r="S894" s="23">
        <v>0.0</v>
      </c>
      <c r="T894" s="23">
        <v>0.0</v>
      </c>
      <c r="U894" s="23">
        <f t="shared" si="2"/>
        <v>0</v>
      </c>
      <c r="V894" s="23">
        <f t="shared" si="3"/>
        <v>0</v>
      </c>
      <c r="W894" s="23">
        <f t="shared" si="4"/>
        <v>0</v>
      </c>
      <c r="X894" s="24" t="str">
        <f t="shared" si="5"/>
        <v>#DIV/0!</v>
      </c>
    </row>
    <row r="895">
      <c r="A895" s="15" t="s">
        <v>3591</v>
      </c>
      <c r="B895" s="18" t="str">
        <f t="shared" si="12"/>
        <v>75045891004</v>
      </c>
      <c r="C895" s="16" t="str">
        <f>IMAGE("https://i.ibb.co/ch5qrm8M/1004.png")</f>
        <v/>
      </c>
      <c r="D895" s="41" t="s">
        <v>3592</v>
      </c>
      <c r="E895" s="17" t="s">
        <v>3593</v>
      </c>
      <c r="F895" s="18"/>
      <c r="G895" s="18"/>
      <c r="H895" s="15" t="s">
        <v>3594</v>
      </c>
      <c r="I895" s="18"/>
      <c r="J895" s="19" t="s">
        <v>283</v>
      </c>
      <c r="K895" s="19" t="s">
        <v>1444</v>
      </c>
      <c r="L895" s="19" t="s">
        <v>38</v>
      </c>
      <c r="M895" s="20">
        <f t="shared" si="1"/>
        <v>0</v>
      </c>
      <c r="N895" s="21"/>
      <c r="O895" s="22"/>
      <c r="P895" s="19" t="s">
        <v>3578</v>
      </c>
      <c r="Q895" s="18"/>
      <c r="R895" s="18"/>
      <c r="S895" s="23">
        <v>0.0</v>
      </c>
      <c r="T895" s="23">
        <v>0.0</v>
      </c>
      <c r="U895" s="23">
        <f t="shared" si="2"/>
        <v>0</v>
      </c>
      <c r="V895" s="23">
        <f t="shared" si="3"/>
        <v>0</v>
      </c>
      <c r="W895" s="23">
        <f t="shared" si="4"/>
        <v>0</v>
      </c>
      <c r="X895" s="24" t="str">
        <f t="shared" si="5"/>
        <v>#DIV/0!</v>
      </c>
    </row>
    <row r="896">
      <c r="A896" s="15" t="s">
        <v>3595</v>
      </c>
      <c r="B896" s="18" t="str">
        <f t="shared" si="12"/>
        <v>75045891006</v>
      </c>
      <c r="C896" s="16" t="str">
        <f>IMAGE("https://i.ibb.co/1hTRHKm/1006.png")</f>
        <v/>
      </c>
      <c r="D896" s="15" t="s">
        <v>3596</v>
      </c>
      <c r="E896" s="17" t="s">
        <v>3597</v>
      </c>
      <c r="F896" s="18"/>
      <c r="G896" s="18"/>
      <c r="H896" s="15" t="s">
        <v>3598</v>
      </c>
      <c r="I896" s="18"/>
      <c r="J896" s="19" t="s">
        <v>283</v>
      </c>
      <c r="K896" s="19" t="s">
        <v>105</v>
      </c>
      <c r="L896" s="19" t="s">
        <v>38</v>
      </c>
      <c r="M896" s="20">
        <f t="shared" si="1"/>
        <v>0</v>
      </c>
      <c r="N896" s="21"/>
      <c r="O896" s="22"/>
      <c r="P896" s="19" t="s">
        <v>3578</v>
      </c>
      <c r="Q896" s="18"/>
      <c r="R896" s="18"/>
      <c r="S896" s="23">
        <v>0.0</v>
      </c>
      <c r="T896" s="23">
        <v>0.0</v>
      </c>
      <c r="U896" s="23">
        <f t="shared" si="2"/>
        <v>0</v>
      </c>
      <c r="V896" s="23">
        <f t="shared" si="3"/>
        <v>0</v>
      </c>
      <c r="W896" s="23">
        <f t="shared" si="4"/>
        <v>0</v>
      </c>
      <c r="X896" s="24" t="str">
        <f t="shared" si="5"/>
        <v>#DIV/0!</v>
      </c>
    </row>
    <row r="897">
      <c r="A897" s="15" t="s">
        <v>3599</v>
      </c>
      <c r="B897" s="15" t="s">
        <v>3600</v>
      </c>
      <c r="C897" s="16" t="str">
        <f>IMAGE("https://i.ibb.co/FqfyVSMV/1008.png")</f>
        <v/>
      </c>
      <c r="D897" s="15" t="s">
        <v>3601</v>
      </c>
      <c r="E897" s="17" t="s">
        <v>3602</v>
      </c>
      <c r="F897" s="18"/>
      <c r="G897" s="18"/>
      <c r="H897" s="15" t="s">
        <v>3603</v>
      </c>
      <c r="I897" s="18"/>
      <c r="J897" s="19" t="s">
        <v>283</v>
      </c>
      <c r="K897" s="19" t="s">
        <v>105</v>
      </c>
      <c r="L897" s="19" t="s">
        <v>38</v>
      </c>
      <c r="M897" s="20">
        <f t="shared" si="1"/>
        <v>0</v>
      </c>
      <c r="N897" s="21"/>
      <c r="O897" s="22"/>
      <c r="P897" s="19" t="s">
        <v>3578</v>
      </c>
      <c r="Q897" s="18"/>
      <c r="R897" s="18"/>
      <c r="S897" s="23">
        <v>0.0</v>
      </c>
      <c r="T897" s="23">
        <v>0.0</v>
      </c>
      <c r="U897" s="23">
        <f t="shared" si="2"/>
        <v>0</v>
      </c>
      <c r="V897" s="23">
        <f t="shared" si="3"/>
        <v>0</v>
      </c>
      <c r="W897" s="23">
        <f t="shared" si="4"/>
        <v>0</v>
      </c>
      <c r="X897" s="24" t="str">
        <f t="shared" si="5"/>
        <v>#DIV/0!</v>
      </c>
    </row>
    <row r="898">
      <c r="A898" s="15" t="s">
        <v>3604</v>
      </c>
      <c r="B898" s="15" t="s">
        <v>3605</v>
      </c>
      <c r="C898" s="16" t="str">
        <f>IMAGE("https://i.ibb.co/DH8fNsrD/1009.png")</f>
        <v/>
      </c>
      <c r="D898" s="15" t="s">
        <v>3606</v>
      </c>
      <c r="E898" s="17" t="s">
        <v>3607</v>
      </c>
      <c r="F898" s="18"/>
      <c r="G898" s="18"/>
      <c r="H898" s="15" t="s">
        <v>3608</v>
      </c>
      <c r="I898" s="18"/>
      <c r="J898" s="19" t="s">
        <v>283</v>
      </c>
      <c r="K898" s="19" t="s">
        <v>105</v>
      </c>
      <c r="L898" s="19" t="s">
        <v>38</v>
      </c>
      <c r="M898" s="20">
        <f t="shared" si="1"/>
        <v>0</v>
      </c>
      <c r="N898" s="21"/>
      <c r="O898" s="22"/>
      <c r="P898" s="19" t="s">
        <v>3578</v>
      </c>
      <c r="Q898" s="18"/>
      <c r="R898" s="18"/>
      <c r="S898" s="23">
        <v>0.0</v>
      </c>
      <c r="T898" s="23">
        <v>0.0</v>
      </c>
      <c r="U898" s="23">
        <f t="shared" si="2"/>
        <v>0</v>
      </c>
      <c r="V898" s="23">
        <f t="shared" si="3"/>
        <v>0</v>
      </c>
      <c r="W898" s="23">
        <f t="shared" si="4"/>
        <v>0</v>
      </c>
      <c r="X898" s="24" t="str">
        <f t="shared" si="5"/>
        <v>#DIV/0!</v>
      </c>
    </row>
    <row r="899">
      <c r="A899" s="15" t="s">
        <v>3609</v>
      </c>
      <c r="B899" s="15" t="s">
        <v>3610</v>
      </c>
      <c r="C899" s="16" t="str">
        <f>IMAGE("https://i.ibb.co/8Ln6g44W/1010.png")</f>
        <v/>
      </c>
      <c r="D899" s="15" t="s">
        <v>3611</v>
      </c>
      <c r="E899" s="17" t="s">
        <v>3612</v>
      </c>
      <c r="F899" s="18"/>
      <c r="G899" s="18"/>
      <c r="H899" s="15" t="s">
        <v>3613</v>
      </c>
      <c r="I899" s="18"/>
      <c r="J899" s="19" t="s">
        <v>283</v>
      </c>
      <c r="K899" s="19" t="s">
        <v>105</v>
      </c>
      <c r="L899" s="19" t="s">
        <v>38</v>
      </c>
      <c r="M899" s="20">
        <f t="shared" si="1"/>
        <v>0</v>
      </c>
      <c r="N899" s="21"/>
      <c r="O899" s="22"/>
      <c r="P899" s="19" t="s">
        <v>3578</v>
      </c>
      <c r="Q899" s="18"/>
      <c r="R899" s="18"/>
      <c r="S899" s="23">
        <v>0.0</v>
      </c>
      <c r="T899" s="23">
        <v>0.0</v>
      </c>
      <c r="U899" s="23">
        <f t="shared" si="2"/>
        <v>0</v>
      </c>
      <c r="V899" s="23">
        <f t="shared" si="3"/>
        <v>0</v>
      </c>
      <c r="W899" s="23">
        <f t="shared" si="4"/>
        <v>0</v>
      </c>
      <c r="X899" s="24" t="str">
        <f t="shared" si="5"/>
        <v>#DIV/0!</v>
      </c>
    </row>
    <row r="900">
      <c r="A900" s="15" t="s">
        <v>3614</v>
      </c>
      <c r="B900" s="15" t="s">
        <v>3615</v>
      </c>
      <c r="C900" s="16" t="str">
        <f>IMAGE("https://i.ibb.co/9kF3Gbh6/1011.png")</f>
        <v/>
      </c>
      <c r="D900" s="15" t="s">
        <v>3616</v>
      </c>
      <c r="E900" s="17" t="s">
        <v>3617</v>
      </c>
      <c r="F900" s="18"/>
      <c r="G900" s="18"/>
      <c r="H900" s="15" t="s">
        <v>3618</v>
      </c>
      <c r="I900" s="18"/>
      <c r="J900" s="19" t="s">
        <v>283</v>
      </c>
      <c r="K900" s="19" t="s">
        <v>105</v>
      </c>
      <c r="L900" s="19" t="s">
        <v>38</v>
      </c>
      <c r="M900" s="20">
        <f t="shared" si="1"/>
        <v>0</v>
      </c>
      <c r="N900" s="21"/>
      <c r="O900" s="22"/>
      <c r="P900" s="19" t="s">
        <v>3578</v>
      </c>
      <c r="Q900" s="18"/>
      <c r="R900" s="18"/>
      <c r="S900" s="23">
        <v>0.0</v>
      </c>
      <c r="T900" s="23">
        <v>0.0</v>
      </c>
      <c r="U900" s="23">
        <f t="shared" si="2"/>
        <v>0</v>
      </c>
      <c r="V900" s="23">
        <f t="shared" si="3"/>
        <v>0</v>
      </c>
      <c r="W900" s="23">
        <f t="shared" si="4"/>
        <v>0</v>
      </c>
      <c r="X900" s="24" t="str">
        <f t="shared" si="5"/>
        <v>#DIV/0!</v>
      </c>
    </row>
    <row r="901">
      <c r="A901" s="15" t="s">
        <v>3619</v>
      </c>
      <c r="B901" s="15" t="s">
        <v>3620</v>
      </c>
      <c r="C901" s="16" t="str">
        <f>IMAGE("https://i.ibb.co/nqJXgFDW/1013.png")</f>
        <v/>
      </c>
      <c r="D901" s="15" t="s">
        <v>3621</v>
      </c>
      <c r="E901" s="17" t="s">
        <v>3622</v>
      </c>
      <c r="F901" s="18"/>
      <c r="G901" s="18"/>
      <c r="H901" s="15" t="s">
        <v>3623</v>
      </c>
      <c r="I901" s="18"/>
      <c r="J901" s="19" t="s">
        <v>283</v>
      </c>
      <c r="K901" s="19" t="s">
        <v>105</v>
      </c>
      <c r="L901" s="19" t="s">
        <v>38</v>
      </c>
      <c r="M901" s="20">
        <f t="shared" si="1"/>
        <v>0</v>
      </c>
      <c r="N901" s="21"/>
      <c r="O901" s="22"/>
      <c r="P901" s="19" t="s">
        <v>3578</v>
      </c>
      <c r="Q901" s="18"/>
      <c r="R901" s="18"/>
      <c r="S901" s="23">
        <v>0.0</v>
      </c>
      <c r="T901" s="23">
        <v>0.0</v>
      </c>
      <c r="U901" s="23">
        <f t="shared" si="2"/>
        <v>0</v>
      </c>
      <c r="V901" s="23">
        <f t="shared" si="3"/>
        <v>0</v>
      </c>
      <c r="W901" s="23">
        <f t="shared" si="4"/>
        <v>0</v>
      </c>
      <c r="X901" s="24" t="str">
        <f t="shared" si="5"/>
        <v>#DIV/0!</v>
      </c>
    </row>
    <row r="902">
      <c r="A902" s="15" t="s">
        <v>3624</v>
      </c>
      <c r="B902" s="15" t="s">
        <v>3625</v>
      </c>
      <c r="C902" s="16" t="str">
        <f t="shared" ref="C902:C904" si="13">IMAGE("https://i.ibb.co/SDG8KwQT/1016.png")</f>
        <v/>
      </c>
      <c r="D902" s="15" t="s">
        <v>3626</v>
      </c>
      <c r="E902" s="17" t="s">
        <v>3627</v>
      </c>
      <c r="F902" s="18"/>
      <c r="G902" s="18"/>
      <c r="H902" s="15" t="s">
        <v>3628</v>
      </c>
      <c r="I902" s="18"/>
      <c r="J902" s="19" t="s">
        <v>283</v>
      </c>
      <c r="K902" s="19" t="s">
        <v>52</v>
      </c>
      <c r="L902" s="19" t="s">
        <v>52</v>
      </c>
      <c r="M902" s="20">
        <f t="shared" si="1"/>
        <v>0</v>
      </c>
      <c r="N902" s="37" t="s">
        <v>79</v>
      </c>
      <c r="O902" s="22"/>
      <c r="P902" s="19" t="s">
        <v>3578</v>
      </c>
      <c r="Q902" s="18"/>
      <c r="R902" s="18"/>
      <c r="S902" s="23">
        <v>0.0</v>
      </c>
      <c r="T902" s="23">
        <v>0.0</v>
      </c>
      <c r="U902" s="23">
        <f t="shared" si="2"/>
        <v>0</v>
      </c>
      <c r="V902" s="23">
        <f t="shared" si="3"/>
        <v>0</v>
      </c>
      <c r="W902" s="23">
        <f t="shared" si="4"/>
        <v>0</v>
      </c>
      <c r="X902" s="24" t="str">
        <f t="shared" si="5"/>
        <v>#DIV/0!</v>
      </c>
    </row>
    <row r="903">
      <c r="A903" s="15" t="s">
        <v>3629</v>
      </c>
      <c r="B903" s="15" t="s">
        <v>3630</v>
      </c>
      <c r="C903" s="16" t="str">
        <f t="shared" si="13"/>
        <v/>
      </c>
      <c r="D903" s="15" t="s">
        <v>3631</v>
      </c>
      <c r="E903" s="17" t="s">
        <v>3632</v>
      </c>
      <c r="F903" s="18"/>
      <c r="G903" s="18"/>
      <c r="H903" s="15" t="s">
        <v>3633</v>
      </c>
      <c r="I903" s="18"/>
      <c r="J903" s="19" t="s">
        <v>283</v>
      </c>
      <c r="K903" s="19" t="s">
        <v>52</v>
      </c>
      <c r="L903" s="19" t="s">
        <v>52</v>
      </c>
      <c r="M903" s="20">
        <f t="shared" si="1"/>
        <v>0</v>
      </c>
      <c r="N903" s="37" t="s">
        <v>79</v>
      </c>
      <c r="O903" s="22"/>
      <c r="P903" s="19" t="s">
        <v>3578</v>
      </c>
      <c r="Q903" s="18"/>
      <c r="R903" s="18"/>
      <c r="S903" s="23">
        <v>0.0</v>
      </c>
      <c r="T903" s="23">
        <v>0.0</v>
      </c>
      <c r="U903" s="23">
        <f t="shared" si="2"/>
        <v>0</v>
      </c>
      <c r="V903" s="23">
        <f t="shared" si="3"/>
        <v>0</v>
      </c>
      <c r="W903" s="23">
        <f t="shared" si="4"/>
        <v>0</v>
      </c>
      <c r="X903" s="24" t="str">
        <f t="shared" si="5"/>
        <v>#DIV/0!</v>
      </c>
      <c r="Z903" s="38">
        <v>2376.0</v>
      </c>
      <c r="AA903" s="39">
        <f t="shared" ref="AA903:AA904" si="14">M903/(1+$AA$1)</f>
        <v>0</v>
      </c>
      <c r="AB903" s="40" t="str">
        <f t="shared" ref="AB903:AB904" si="15">AA903/W903</f>
        <v>#DIV/0!</v>
      </c>
      <c r="AD903" s="34"/>
    </row>
    <row r="904">
      <c r="A904" s="15" t="s">
        <v>3634</v>
      </c>
      <c r="B904" s="15" t="s">
        <v>3635</v>
      </c>
      <c r="C904" s="16" t="str">
        <f t="shared" si="13"/>
        <v/>
      </c>
      <c r="D904" s="15" t="s">
        <v>3636</v>
      </c>
      <c r="E904" s="17" t="s">
        <v>3637</v>
      </c>
      <c r="F904" s="18"/>
      <c r="G904" s="18"/>
      <c r="H904" s="15" t="s">
        <v>3638</v>
      </c>
      <c r="I904" s="18"/>
      <c r="J904" s="19" t="s">
        <v>283</v>
      </c>
      <c r="K904" s="19" t="s">
        <v>52</v>
      </c>
      <c r="L904" s="19" t="s">
        <v>52</v>
      </c>
      <c r="M904" s="20">
        <f t="shared" si="1"/>
        <v>0</v>
      </c>
      <c r="N904" s="37" t="s">
        <v>79</v>
      </c>
      <c r="O904" s="22"/>
      <c r="P904" s="19" t="s">
        <v>3578</v>
      </c>
      <c r="Q904" s="18"/>
      <c r="R904" s="18"/>
      <c r="S904" s="23">
        <v>0.0</v>
      </c>
      <c r="T904" s="23">
        <v>0.0</v>
      </c>
      <c r="U904" s="23">
        <f t="shared" si="2"/>
        <v>0</v>
      </c>
      <c r="V904" s="23">
        <f t="shared" si="3"/>
        <v>0</v>
      </c>
      <c r="W904" s="23">
        <f t="shared" si="4"/>
        <v>0</v>
      </c>
      <c r="X904" s="24" t="str">
        <f t="shared" si="5"/>
        <v>#DIV/0!</v>
      </c>
      <c r="Z904" s="38">
        <v>2178.0</v>
      </c>
      <c r="AA904" s="39">
        <f t="shared" si="14"/>
        <v>0</v>
      </c>
      <c r="AB904" s="40" t="str">
        <f t="shared" si="15"/>
        <v>#DIV/0!</v>
      </c>
      <c r="AD904" s="34">
        <v>30856.0</v>
      </c>
    </row>
    <row r="905">
      <c r="A905" s="15" t="s">
        <v>3639</v>
      </c>
      <c r="B905" s="15" t="s">
        <v>3640</v>
      </c>
      <c r="C905" s="16" t="str">
        <f>IMAGE("https://i.ibb.co/6Jq2BH9F/1017.png")</f>
        <v/>
      </c>
      <c r="D905" s="15" t="s">
        <v>3641</v>
      </c>
      <c r="E905" s="17" t="s">
        <v>3642</v>
      </c>
      <c r="F905" s="18"/>
      <c r="G905" s="18"/>
      <c r="H905" s="15" t="s">
        <v>3643</v>
      </c>
      <c r="I905" s="15" t="s">
        <v>3644</v>
      </c>
      <c r="J905" s="19" t="s">
        <v>283</v>
      </c>
      <c r="K905" s="19" t="s">
        <v>603</v>
      </c>
      <c r="L905" s="19" t="s">
        <v>38</v>
      </c>
      <c r="M905" s="20">
        <f t="shared" si="1"/>
        <v>0</v>
      </c>
      <c r="N905" s="21"/>
      <c r="O905" s="22"/>
      <c r="P905" s="19" t="s">
        <v>3578</v>
      </c>
      <c r="Q905" s="18"/>
      <c r="R905" s="18"/>
      <c r="S905" s="23">
        <v>0.0</v>
      </c>
      <c r="T905" s="23">
        <v>0.0</v>
      </c>
      <c r="U905" s="23">
        <f t="shared" si="2"/>
        <v>0</v>
      </c>
      <c r="V905" s="23">
        <f t="shared" si="3"/>
        <v>0</v>
      </c>
      <c r="W905" s="23">
        <f t="shared" si="4"/>
        <v>0</v>
      </c>
      <c r="X905" s="24" t="str">
        <f t="shared" si="5"/>
        <v>#DIV/0!</v>
      </c>
    </row>
    <row r="906">
      <c r="A906" s="15" t="s">
        <v>3645</v>
      </c>
      <c r="B906" s="15" t="s">
        <v>3646</v>
      </c>
      <c r="C906" s="16" t="str">
        <f>IMAGE("https://i.ibb.co/Fkm2vpMD/1018.png")</f>
        <v/>
      </c>
      <c r="D906" s="18"/>
      <c r="E906" s="17" t="s">
        <v>3647</v>
      </c>
      <c r="F906" s="18"/>
      <c r="G906" s="18"/>
      <c r="H906" s="15" t="s">
        <v>3648</v>
      </c>
      <c r="I906" s="18"/>
      <c r="J906" s="19" t="s">
        <v>283</v>
      </c>
      <c r="K906" s="19" t="s">
        <v>52</v>
      </c>
      <c r="L906" s="19" t="s">
        <v>52</v>
      </c>
      <c r="M906" s="20">
        <f t="shared" si="1"/>
        <v>0</v>
      </c>
      <c r="N906" s="37" t="s">
        <v>68</v>
      </c>
      <c r="O906" s="22"/>
      <c r="P906" s="19" t="s">
        <v>3578</v>
      </c>
      <c r="Q906" s="18"/>
      <c r="R906" s="18"/>
      <c r="S906" s="23">
        <v>0.0</v>
      </c>
      <c r="T906" s="23">
        <v>0.0</v>
      </c>
      <c r="U906" s="23">
        <f t="shared" si="2"/>
        <v>0</v>
      </c>
      <c r="V906" s="23">
        <f t="shared" si="3"/>
        <v>0</v>
      </c>
      <c r="W906" s="23">
        <f t="shared" si="4"/>
        <v>0</v>
      </c>
      <c r="X906" s="24" t="str">
        <f t="shared" si="5"/>
        <v>#DIV/0!</v>
      </c>
    </row>
    <row r="907">
      <c r="A907" s="15" t="s">
        <v>3649</v>
      </c>
      <c r="B907" s="15" t="s">
        <v>3650</v>
      </c>
      <c r="C907" s="16" t="str">
        <f>IMAGE("https://i.ibb.co/nKRQ3SY/1019.png")</f>
        <v/>
      </c>
      <c r="D907" s="15" t="s">
        <v>3651</v>
      </c>
      <c r="E907" s="17" t="s">
        <v>3652</v>
      </c>
      <c r="F907" s="18"/>
      <c r="G907" s="18"/>
      <c r="H907" s="15" t="s">
        <v>3653</v>
      </c>
      <c r="I907" s="18"/>
      <c r="J907" s="19" t="s">
        <v>283</v>
      </c>
      <c r="K907" s="19" t="s">
        <v>105</v>
      </c>
      <c r="L907" s="19" t="s">
        <v>38</v>
      </c>
      <c r="M907" s="20">
        <f t="shared" si="1"/>
        <v>0</v>
      </c>
      <c r="N907" s="21"/>
      <c r="O907" s="22"/>
      <c r="P907" s="19" t="s">
        <v>3578</v>
      </c>
      <c r="Q907" s="18"/>
      <c r="R907" s="18"/>
      <c r="S907" s="23">
        <v>0.0</v>
      </c>
      <c r="T907" s="23">
        <v>0.0</v>
      </c>
      <c r="U907" s="23">
        <f t="shared" si="2"/>
        <v>0</v>
      </c>
      <c r="V907" s="23">
        <f t="shared" si="3"/>
        <v>0</v>
      </c>
      <c r="W907" s="23">
        <f t="shared" si="4"/>
        <v>0</v>
      </c>
      <c r="X907" s="24" t="str">
        <f t="shared" si="5"/>
        <v>#DIV/0!</v>
      </c>
    </row>
    <row r="908">
      <c r="A908" s="15" t="s">
        <v>3654</v>
      </c>
      <c r="B908" s="15" t="s">
        <v>3655</v>
      </c>
      <c r="C908" s="16" t="str">
        <f>IMAGE("https://i.ibb.co/mVY4gQ4H/1057.png")</f>
        <v/>
      </c>
      <c r="D908" s="15" t="s">
        <v>3656</v>
      </c>
      <c r="E908" s="17" t="s">
        <v>3657</v>
      </c>
      <c r="F908" s="18"/>
      <c r="G908" s="18"/>
      <c r="H908" s="15" t="s">
        <v>3658</v>
      </c>
      <c r="I908" s="18"/>
      <c r="J908" s="19" t="s">
        <v>283</v>
      </c>
      <c r="K908" s="19" t="s">
        <v>1269</v>
      </c>
      <c r="L908" s="19" t="s">
        <v>38</v>
      </c>
      <c r="M908" s="20">
        <f t="shared" si="1"/>
        <v>0</v>
      </c>
      <c r="N908" s="21"/>
      <c r="O908" s="22"/>
      <c r="P908" s="19" t="s">
        <v>3578</v>
      </c>
      <c r="Q908" s="18"/>
      <c r="R908" s="18"/>
      <c r="S908" s="23">
        <v>0.0</v>
      </c>
      <c r="T908" s="23">
        <v>0.0</v>
      </c>
      <c r="U908" s="23">
        <f t="shared" si="2"/>
        <v>0</v>
      </c>
      <c r="V908" s="23">
        <f t="shared" si="3"/>
        <v>0</v>
      </c>
      <c r="W908" s="23">
        <f t="shared" si="4"/>
        <v>0</v>
      </c>
      <c r="X908" s="24" t="str">
        <f t="shared" si="5"/>
        <v>#DIV/0!</v>
      </c>
    </row>
    <row r="909">
      <c r="A909" s="15" t="s">
        <v>3659</v>
      </c>
      <c r="B909" s="18" t="str">
        <f>CONCATENATE(7504589, A909)</f>
        <v>75045891060</v>
      </c>
      <c r="C909" s="16" t="str">
        <f>IMAGE("https://i.ibb.co/27Z8BxHx/1060.png")</f>
        <v/>
      </c>
      <c r="D909" s="15" t="s">
        <v>3660</v>
      </c>
      <c r="E909" s="17" t="s">
        <v>3661</v>
      </c>
      <c r="F909" s="18"/>
      <c r="G909" s="18"/>
      <c r="H909" s="15" t="s">
        <v>3662</v>
      </c>
      <c r="I909" s="18"/>
      <c r="J909" s="19" t="s">
        <v>283</v>
      </c>
      <c r="K909" s="19" t="s">
        <v>37</v>
      </c>
      <c r="L909" s="19" t="s">
        <v>135</v>
      </c>
      <c r="M909" s="20">
        <f t="shared" si="1"/>
        <v>0</v>
      </c>
      <c r="N909" s="21"/>
      <c r="O909" s="22"/>
      <c r="P909" s="19" t="s">
        <v>3578</v>
      </c>
      <c r="Q909" s="18"/>
      <c r="R909" s="18"/>
      <c r="S909" s="23">
        <v>0.0</v>
      </c>
      <c r="T909" s="23">
        <v>0.0</v>
      </c>
      <c r="U909" s="23">
        <f t="shared" si="2"/>
        <v>0</v>
      </c>
      <c r="V909" s="23">
        <f t="shared" si="3"/>
        <v>0</v>
      </c>
      <c r="W909" s="23">
        <f t="shared" si="4"/>
        <v>0</v>
      </c>
      <c r="X909" s="24" t="str">
        <f t="shared" si="5"/>
        <v>#DIV/0!</v>
      </c>
    </row>
    <row r="910">
      <c r="A910" s="15" t="s">
        <v>3663</v>
      </c>
      <c r="B910" s="18" t="str">
        <f>CONCATENATE(7504589,A910)</f>
        <v>75045891061</v>
      </c>
      <c r="C910" s="16" t="str">
        <f>IMAGE("https://i.ibb.co/PG7sSVrf/1061.png")</f>
        <v/>
      </c>
      <c r="D910" s="18"/>
      <c r="E910" s="17" t="s">
        <v>3664</v>
      </c>
      <c r="F910" s="18"/>
      <c r="G910" s="18"/>
      <c r="H910" s="15" t="s">
        <v>3665</v>
      </c>
      <c r="I910" s="18"/>
      <c r="J910" s="19" t="s">
        <v>283</v>
      </c>
      <c r="K910" s="19" t="s">
        <v>52</v>
      </c>
      <c r="L910" s="19" t="s">
        <v>135</v>
      </c>
      <c r="M910" s="20">
        <f t="shared" si="1"/>
        <v>0</v>
      </c>
      <c r="N910" s="37" t="s">
        <v>68</v>
      </c>
      <c r="O910" s="22"/>
      <c r="P910" s="19" t="s">
        <v>3578</v>
      </c>
      <c r="Q910" s="18"/>
      <c r="R910" s="18"/>
      <c r="S910" s="23">
        <v>0.0</v>
      </c>
      <c r="T910" s="23">
        <v>0.0</v>
      </c>
      <c r="U910" s="23">
        <f t="shared" si="2"/>
        <v>0</v>
      </c>
      <c r="V910" s="23">
        <f t="shared" si="3"/>
        <v>0</v>
      </c>
      <c r="W910" s="23">
        <f t="shared" si="4"/>
        <v>0</v>
      </c>
      <c r="X910" s="24" t="str">
        <f t="shared" si="5"/>
        <v>#DIV/0!</v>
      </c>
    </row>
    <row r="911">
      <c r="A911" s="15" t="s">
        <v>3666</v>
      </c>
      <c r="B911" s="15" t="s">
        <v>3667</v>
      </c>
      <c r="C911" s="16" t="str">
        <f>IMAGE("https://i.ibb.co/Y40Sz6YM/1063.png")</f>
        <v/>
      </c>
      <c r="D911" s="15" t="s">
        <v>3668</v>
      </c>
      <c r="E911" s="17" t="s">
        <v>3669</v>
      </c>
      <c r="F911" s="18"/>
      <c r="G911" s="18"/>
      <c r="H911" s="15" t="s">
        <v>3670</v>
      </c>
      <c r="I911" s="18"/>
      <c r="J911" s="19" t="s">
        <v>283</v>
      </c>
      <c r="K911" s="19" t="s">
        <v>603</v>
      </c>
      <c r="L911" s="19" t="s">
        <v>38</v>
      </c>
      <c r="M911" s="20">
        <f t="shared" si="1"/>
        <v>0</v>
      </c>
      <c r="N911" s="21"/>
      <c r="O911" s="22"/>
      <c r="P911" s="19" t="s">
        <v>3578</v>
      </c>
      <c r="Q911" s="18"/>
      <c r="R911" s="18"/>
      <c r="S911" s="23">
        <v>0.0</v>
      </c>
      <c r="T911" s="23">
        <v>0.0</v>
      </c>
      <c r="U911" s="23">
        <f t="shared" si="2"/>
        <v>0</v>
      </c>
      <c r="V911" s="23">
        <f t="shared" si="3"/>
        <v>0</v>
      </c>
      <c r="W911" s="23">
        <f t="shared" si="4"/>
        <v>0</v>
      </c>
      <c r="X911" s="24" t="str">
        <f t="shared" si="5"/>
        <v>#DIV/0!</v>
      </c>
    </row>
    <row r="912">
      <c r="A912" s="15" t="s">
        <v>3671</v>
      </c>
      <c r="B912" s="15" t="s">
        <v>3672</v>
      </c>
      <c r="C912" s="16" t="str">
        <f>IMAGE("https://i.ibb.co/Cp3fMHc4/1064.png")</f>
        <v/>
      </c>
      <c r="D912" s="15" t="s">
        <v>3673</v>
      </c>
      <c r="E912" s="17" t="s">
        <v>3674</v>
      </c>
      <c r="F912" s="18"/>
      <c r="G912" s="18"/>
      <c r="H912" s="15" t="s">
        <v>3675</v>
      </c>
      <c r="I912" s="18"/>
      <c r="J912" s="19" t="s">
        <v>283</v>
      </c>
      <c r="K912" s="19" t="s">
        <v>603</v>
      </c>
      <c r="L912" s="19" t="s">
        <v>38</v>
      </c>
      <c r="M912" s="20">
        <f t="shared" si="1"/>
        <v>0</v>
      </c>
      <c r="N912" s="21"/>
      <c r="O912" s="22"/>
      <c r="P912" s="19" t="s">
        <v>3578</v>
      </c>
      <c r="Q912" s="18"/>
      <c r="R912" s="18"/>
      <c r="S912" s="23">
        <v>0.0</v>
      </c>
      <c r="T912" s="23">
        <v>0.0</v>
      </c>
      <c r="U912" s="23">
        <f t="shared" si="2"/>
        <v>0</v>
      </c>
      <c r="V912" s="23">
        <f t="shared" si="3"/>
        <v>0</v>
      </c>
      <c r="W912" s="23">
        <f t="shared" si="4"/>
        <v>0</v>
      </c>
      <c r="X912" s="24" t="str">
        <f t="shared" si="5"/>
        <v>#DIV/0!</v>
      </c>
    </row>
    <row r="913">
      <c r="A913" s="15" t="s">
        <v>3676</v>
      </c>
      <c r="B913" s="15" t="s">
        <v>3677</v>
      </c>
      <c r="C913" s="16" t="str">
        <f>IMAGE("https://i.ibb.co/JwbdBmdc/1066.png")</f>
        <v/>
      </c>
      <c r="D913" s="15" t="s">
        <v>3678</v>
      </c>
      <c r="E913" s="17" t="s">
        <v>3679</v>
      </c>
      <c r="F913" s="18"/>
      <c r="G913" s="18"/>
      <c r="H913" s="15" t="s">
        <v>3680</v>
      </c>
      <c r="I913" s="18"/>
      <c r="J913" s="19" t="s">
        <v>283</v>
      </c>
      <c r="K913" s="19" t="s">
        <v>603</v>
      </c>
      <c r="L913" s="19" t="s">
        <v>38</v>
      </c>
      <c r="M913" s="20">
        <f t="shared" si="1"/>
        <v>0</v>
      </c>
      <c r="N913" s="21"/>
      <c r="O913" s="22"/>
      <c r="P913" s="19" t="s">
        <v>3578</v>
      </c>
      <c r="Q913" s="18"/>
      <c r="R913" s="18"/>
      <c r="S913" s="23">
        <v>0.0</v>
      </c>
      <c r="T913" s="23">
        <v>0.0</v>
      </c>
      <c r="U913" s="23">
        <f t="shared" si="2"/>
        <v>0</v>
      </c>
      <c r="V913" s="23">
        <f t="shared" si="3"/>
        <v>0</v>
      </c>
      <c r="W913" s="23">
        <f t="shared" si="4"/>
        <v>0</v>
      </c>
      <c r="X913" s="24" t="str">
        <f t="shared" si="5"/>
        <v>#DIV/0!</v>
      </c>
    </row>
    <row r="914">
      <c r="A914" s="15" t="s">
        <v>3681</v>
      </c>
      <c r="B914" s="15" t="s">
        <v>3682</v>
      </c>
      <c r="C914" s="16" t="str">
        <f>IMAGE("https://i.ibb.co/prR01tKv/1067.png")</f>
        <v/>
      </c>
      <c r="D914" s="18"/>
      <c r="E914" s="17" t="s">
        <v>3683</v>
      </c>
      <c r="F914" s="18"/>
      <c r="G914" s="18"/>
      <c r="H914" s="15" t="s">
        <v>3684</v>
      </c>
      <c r="I914" s="18"/>
      <c r="J914" s="19" t="s">
        <v>283</v>
      </c>
      <c r="K914" s="19" t="s">
        <v>1230</v>
      </c>
      <c r="L914" s="19" t="s">
        <v>38</v>
      </c>
      <c r="M914" s="20">
        <f t="shared" si="1"/>
        <v>0</v>
      </c>
      <c r="N914" s="21"/>
      <c r="O914" s="22"/>
      <c r="P914" s="19" t="s">
        <v>3578</v>
      </c>
      <c r="Q914" s="18"/>
      <c r="R914" s="18"/>
      <c r="S914" s="23">
        <v>0.0</v>
      </c>
      <c r="T914" s="23">
        <v>0.0</v>
      </c>
      <c r="U914" s="23">
        <f t="shared" si="2"/>
        <v>0</v>
      </c>
      <c r="V914" s="23">
        <f t="shared" si="3"/>
        <v>0</v>
      </c>
      <c r="W914" s="23">
        <f t="shared" si="4"/>
        <v>0</v>
      </c>
      <c r="X914" s="24" t="str">
        <f t="shared" si="5"/>
        <v>#DIV/0!</v>
      </c>
    </row>
    <row r="915">
      <c r="A915" s="15" t="s">
        <v>3685</v>
      </c>
      <c r="B915" s="18" t="str">
        <f t="shared" ref="B915:B916" si="16">CONCATENATE(7504589,A915)</f>
        <v>75045891068</v>
      </c>
      <c r="C915" s="16" t="str">
        <f>IMAGE("https://i.ibb.co/dwsJBzGm/1068.png")</f>
        <v/>
      </c>
      <c r="D915" s="18"/>
      <c r="E915" s="17" t="s">
        <v>3686</v>
      </c>
      <c r="F915" s="18"/>
      <c r="G915" s="18"/>
      <c r="H915" s="15" t="s">
        <v>3687</v>
      </c>
      <c r="I915" s="15" t="s">
        <v>3688</v>
      </c>
      <c r="J915" s="19" t="s">
        <v>283</v>
      </c>
      <c r="K915" s="19" t="s">
        <v>52</v>
      </c>
      <c r="L915" s="19" t="s">
        <v>52</v>
      </c>
      <c r="M915" s="20">
        <f t="shared" si="1"/>
        <v>0</v>
      </c>
      <c r="N915" s="37" t="s">
        <v>68</v>
      </c>
      <c r="O915" s="22"/>
      <c r="P915" s="19" t="s">
        <v>3578</v>
      </c>
      <c r="Q915" s="18"/>
      <c r="R915" s="18"/>
      <c r="S915" s="23">
        <v>0.0</v>
      </c>
      <c r="T915" s="23">
        <v>0.0</v>
      </c>
      <c r="U915" s="23">
        <f t="shared" si="2"/>
        <v>0</v>
      </c>
      <c r="V915" s="23">
        <f t="shared" si="3"/>
        <v>0</v>
      </c>
      <c r="W915" s="23">
        <f t="shared" si="4"/>
        <v>0</v>
      </c>
      <c r="X915" s="24" t="str">
        <f t="shared" si="5"/>
        <v>#DIV/0!</v>
      </c>
    </row>
    <row r="916">
      <c r="A916" s="15" t="s">
        <v>3689</v>
      </c>
      <c r="B916" s="18" t="str">
        <f t="shared" si="16"/>
        <v>75045891071</v>
      </c>
      <c r="C916" s="16" t="str">
        <f>IMAGE("https://i.ibb.co/RGpc6rkr/1071.png")</f>
        <v/>
      </c>
      <c r="D916" s="18"/>
      <c r="E916" s="17" t="s">
        <v>3690</v>
      </c>
      <c r="F916" s="18"/>
      <c r="G916" s="18"/>
      <c r="H916" s="18"/>
      <c r="I916" s="18"/>
      <c r="J916" s="19" t="s">
        <v>283</v>
      </c>
      <c r="K916" s="19" t="s">
        <v>603</v>
      </c>
      <c r="L916" s="19" t="s">
        <v>38</v>
      </c>
      <c r="M916" s="20">
        <f t="shared" si="1"/>
        <v>0</v>
      </c>
      <c r="N916" s="21"/>
      <c r="O916" s="22"/>
      <c r="P916" s="19" t="s">
        <v>3578</v>
      </c>
      <c r="Q916" s="18"/>
      <c r="R916" s="18"/>
      <c r="S916" s="23">
        <v>0.0</v>
      </c>
      <c r="T916" s="23">
        <v>0.0</v>
      </c>
      <c r="U916" s="23">
        <f t="shared" si="2"/>
        <v>0</v>
      </c>
      <c r="V916" s="23">
        <f t="shared" si="3"/>
        <v>0</v>
      </c>
      <c r="W916" s="23">
        <f t="shared" si="4"/>
        <v>0</v>
      </c>
      <c r="X916" s="24" t="str">
        <f t="shared" si="5"/>
        <v>#DIV/0!</v>
      </c>
    </row>
    <row r="917">
      <c r="A917" s="15" t="s">
        <v>3691</v>
      </c>
      <c r="B917" s="15" t="s">
        <v>3692</v>
      </c>
      <c r="C917" s="16" t="str">
        <f>IMAGE("https://i.ibb.co/354xRN7g/1072.png")</f>
        <v/>
      </c>
      <c r="D917" s="18"/>
      <c r="E917" s="17" t="s">
        <v>3693</v>
      </c>
      <c r="F917" s="18"/>
      <c r="G917" s="18"/>
      <c r="H917" s="15" t="s">
        <v>3694</v>
      </c>
      <c r="I917" s="18"/>
      <c r="J917" s="19" t="s">
        <v>283</v>
      </c>
      <c r="K917" s="19" t="s">
        <v>603</v>
      </c>
      <c r="L917" s="19" t="s">
        <v>38</v>
      </c>
      <c r="M917" s="20">
        <f t="shared" si="1"/>
        <v>0</v>
      </c>
      <c r="N917" s="21"/>
      <c r="O917" s="22"/>
      <c r="P917" s="19" t="s">
        <v>3578</v>
      </c>
      <c r="Q917" s="18"/>
      <c r="R917" s="18"/>
      <c r="S917" s="23">
        <v>0.0</v>
      </c>
      <c r="T917" s="23">
        <v>0.0</v>
      </c>
      <c r="U917" s="23">
        <f t="shared" si="2"/>
        <v>0</v>
      </c>
      <c r="V917" s="23">
        <f t="shared" si="3"/>
        <v>0</v>
      </c>
      <c r="W917" s="23">
        <f t="shared" si="4"/>
        <v>0</v>
      </c>
      <c r="X917" s="24" t="str">
        <f t="shared" si="5"/>
        <v>#DIV/0!</v>
      </c>
    </row>
    <row r="918">
      <c r="A918" s="15" t="s">
        <v>3695</v>
      </c>
      <c r="B918" s="15" t="s">
        <v>3696</v>
      </c>
      <c r="C918" s="16" t="str">
        <f>IMAGE("https://i.ibb.co/vCHNsxDj/1073.png")</f>
        <v/>
      </c>
      <c r="D918" s="18"/>
      <c r="E918" s="17" t="s">
        <v>3697</v>
      </c>
      <c r="F918" s="18"/>
      <c r="G918" s="18"/>
      <c r="H918" s="15" t="s">
        <v>3698</v>
      </c>
      <c r="I918" s="18"/>
      <c r="J918" s="19" t="s">
        <v>283</v>
      </c>
      <c r="K918" s="19" t="s">
        <v>1269</v>
      </c>
      <c r="L918" s="19" t="s">
        <v>38</v>
      </c>
      <c r="M918" s="20">
        <f t="shared" si="1"/>
        <v>0</v>
      </c>
      <c r="N918" s="21"/>
      <c r="O918" s="22"/>
      <c r="P918" s="19" t="s">
        <v>3578</v>
      </c>
      <c r="Q918" s="18"/>
      <c r="R918" s="18"/>
      <c r="S918" s="23">
        <v>0.0</v>
      </c>
      <c r="T918" s="23">
        <v>0.0</v>
      </c>
      <c r="U918" s="23">
        <f t="shared" si="2"/>
        <v>0</v>
      </c>
      <c r="V918" s="23">
        <f t="shared" si="3"/>
        <v>0</v>
      </c>
      <c r="W918" s="23">
        <f t="shared" si="4"/>
        <v>0</v>
      </c>
      <c r="X918" s="24" t="str">
        <f t="shared" si="5"/>
        <v>#DIV/0!</v>
      </c>
    </row>
    <row r="919">
      <c r="A919" s="15" t="s">
        <v>3699</v>
      </c>
      <c r="B919" s="15" t="s">
        <v>3700</v>
      </c>
      <c r="C919" s="16" t="str">
        <f>IMAGE("https://i.ibb.co/LzL3VCbb/1074.png")</f>
        <v/>
      </c>
      <c r="D919" s="15" t="s">
        <v>3701</v>
      </c>
      <c r="E919" s="17" t="s">
        <v>3702</v>
      </c>
      <c r="F919" s="18"/>
      <c r="G919" s="18"/>
      <c r="H919" s="15" t="s">
        <v>3703</v>
      </c>
      <c r="I919" s="18"/>
      <c r="J919" s="19" t="s">
        <v>283</v>
      </c>
      <c r="K919" s="19" t="s">
        <v>1269</v>
      </c>
      <c r="L919" s="19" t="s">
        <v>38</v>
      </c>
      <c r="M919" s="20">
        <f t="shared" si="1"/>
        <v>0</v>
      </c>
      <c r="N919" s="21"/>
      <c r="O919" s="22"/>
      <c r="P919" s="19" t="s">
        <v>3578</v>
      </c>
      <c r="Q919" s="18"/>
      <c r="R919" s="18"/>
      <c r="S919" s="23">
        <v>0.0</v>
      </c>
      <c r="T919" s="23">
        <v>0.0</v>
      </c>
      <c r="U919" s="23">
        <f t="shared" si="2"/>
        <v>0</v>
      </c>
      <c r="V919" s="23">
        <f t="shared" si="3"/>
        <v>0</v>
      </c>
      <c r="W919" s="23">
        <f t="shared" si="4"/>
        <v>0</v>
      </c>
      <c r="X919" s="24" t="str">
        <f t="shared" si="5"/>
        <v>#DIV/0!</v>
      </c>
    </row>
    <row r="920">
      <c r="A920" s="15" t="s">
        <v>3704</v>
      </c>
      <c r="B920" s="15" t="s">
        <v>3705</v>
      </c>
      <c r="C920" s="16" t="str">
        <f>IMAGE("https://i.ibb.co/Y41gb4JL/1075.png")</f>
        <v/>
      </c>
      <c r="D920" s="15" t="s">
        <v>3706</v>
      </c>
      <c r="E920" s="17" t="s">
        <v>3707</v>
      </c>
      <c r="F920" s="18"/>
      <c r="G920" s="18"/>
      <c r="H920" s="15" t="s">
        <v>3708</v>
      </c>
      <c r="I920" s="18"/>
      <c r="J920" s="19" t="s">
        <v>283</v>
      </c>
      <c r="K920" s="19" t="s">
        <v>427</v>
      </c>
      <c r="L920" s="19" t="s">
        <v>115</v>
      </c>
      <c r="M920" s="20">
        <f t="shared" si="1"/>
        <v>0</v>
      </c>
      <c r="N920" s="37" t="s">
        <v>68</v>
      </c>
      <c r="O920" s="22"/>
      <c r="P920" s="19" t="s">
        <v>3578</v>
      </c>
      <c r="Q920" s="18"/>
      <c r="R920" s="18"/>
      <c r="S920" s="23">
        <v>0.0</v>
      </c>
      <c r="T920" s="23">
        <v>0.0</v>
      </c>
      <c r="U920" s="23">
        <f t="shared" si="2"/>
        <v>0</v>
      </c>
      <c r="V920" s="23">
        <f t="shared" si="3"/>
        <v>0</v>
      </c>
      <c r="W920" s="23">
        <f t="shared" si="4"/>
        <v>0</v>
      </c>
      <c r="X920" s="24" t="str">
        <f t="shared" si="5"/>
        <v>#DIV/0!</v>
      </c>
    </row>
    <row r="921">
      <c r="A921" s="15" t="s">
        <v>3709</v>
      </c>
      <c r="B921" s="15" t="s">
        <v>3710</v>
      </c>
      <c r="C921" s="16" t="str">
        <f>IMAGE("https://i.ibb.co/VYV3pNh8/1076.png")</f>
        <v/>
      </c>
      <c r="D921" s="18"/>
      <c r="E921" s="17" t="s">
        <v>3711</v>
      </c>
      <c r="F921" s="18"/>
      <c r="G921" s="18"/>
      <c r="H921" s="15" t="s">
        <v>3712</v>
      </c>
      <c r="I921" s="18"/>
      <c r="J921" s="19" t="s">
        <v>283</v>
      </c>
      <c r="K921" s="19" t="s">
        <v>427</v>
      </c>
      <c r="L921" s="19" t="s">
        <v>38</v>
      </c>
      <c r="M921" s="20">
        <f t="shared" si="1"/>
        <v>0</v>
      </c>
      <c r="N921" s="21"/>
      <c r="O921" s="22"/>
      <c r="P921" s="19" t="s">
        <v>3578</v>
      </c>
      <c r="Q921" s="18"/>
      <c r="R921" s="18"/>
      <c r="S921" s="23">
        <v>0.0</v>
      </c>
      <c r="T921" s="23">
        <v>0.0</v>
      </c>
      <c r="U921" s="23">
        <f t="shared" si="2"/>
        <v>0</v>
      </c>
      <c r="V921" s="23">
        <f t="shared" si="3"/>
        <v>0</v>
      </c>
      <c r="W921" s="23">
        <f t="shared" si="4"/>
        <v>0</v>
      </c>
      <c r="X921" s="24" t="str">
        <f t="shared" si="5"/>
        <v>#DIV/0!</v>
      </c>
    </row>
    <row r="922">
      <c r="A922" s="15" t="s">
        <v>3713</v>
      </c>
      <c r="B922" s="15" t="s">
        <v>3714</v>
      </c>
      <c r="C922" s="16" t="str">
        <f>IMAGE("https://i.ibb.co/5WfNdMMv/1077.png")</f>
        <v/>
      </c>
      <c r="D922" s="15" t="s">
        <v>3715</v>
      </c>
      <c r="E922" s="17" t="s">
        <v>3716</v>
      </c>
      <c r="F922" s="18"/>
      <c r="G922" s="18"/>
      <c r="H922" s="15" t="s">
        <v>3717</v>
      </c>
      <c r="I922" s="18"/>
      <c r="J922" s="19" t="s">
        <v>283</v>
      </c>
      <c r="K922" s="19" t="s">
        <v>402</v>
      </c>
      <c r="L922" s="19" t="s">
        <v>38</v>
      </c>
      <c r="M922" s="20">
        <f t="shared" si="1"/>
        <v>0</v>
      </c>
      <c r="N922" s="21"/>
      <c r="O922" s="22"/>
      <c r="P922" s="19" t="s">
        <v>3578</v>
      </c>
      <c r="Q922" s="18"/>
      <c r="R922" s="18"/>
      <c r="S922" s="23">
        <v>0.0</v>
      </c>
      <c r="T922" s="23">
        <v>0.0</v>
      </c>
      <c r="U922" s="23">
        <f t="shared" si="2"/>
        <v>0</v>
      </c>
      <c r="V922" s="23">
        <f t="shared" si="3"/>
        <v>0</v>
      </c>
      <c r="W922" s="23">
        <f t="shared" si="4"/>
        <v>0</v>
      </c>
      <c r="X922" s="24" t="str">
        <f t="shared" si="5"/>
        <v>#DIV/0!</v>
      </c>
    </row>
    <row r="923">
      <c r="A923" s="15" t="s">
        <v>3718</v>
      </c>
      <c r="B923" s="15" t="s">
        <v>3719</v>
      </c>
      <c r="C923" s="16" t="str">
        <f>IMAGE("https://i.ibb.co/8484fvmP/1078.png")</f>
        <v/>
      </c>
      <c r="D923" s="15" t="s">
        <v>3720</v>
      </c>
      <c r="E923" s="17" t="s">
        <v>3721</v>
      </c>
      <c r="F923" s="18"/>
      <c r="G923" s="18"/>
      <c r="H923" s="15" t="s">
        <v>3722</v>
      </c>
      <c r="I923" s="18"/>
      <c r="J923" s="19" t="s">
        <v>283</v>
      </c>
      <c r="K923" s="19" t="s">
        <v>284</v>
      </c>
      <c r="L923" s="19" t="s">
        <v>368</v>
      </c>
      <c r="M923" s="20">
        <f t="shared" si="1"/>
        <v>0</v>
      </c>
      <c r="N923" s="37" t="s">
        <v>68</v>
      </c>
      <c r="O923" s="22"/>
      <c r="P923" s="19" t="s">
        <v>3578</v>
      </c>
      <c r="Q923" s="18"/>
      <c r="R923" s="18"/>
      <c r="S923" s="23">
        <v>0.0</v>
      </c>
      <c r="T923" s="23">
        <v>0.0</v>
      </c>
      <c r="U923" s="23">
        <f t="shared" si="2"/>
        <v>0</v>
      </c>
      <c r="V923" s="23">
        <f t="shared" si="3"/>
        <v>0</v>
      </c>
      <c r="W923" s="23">
        <f t="shared" si="4"/>
        <v>0</v>
      </c>
      <c r="X923" s="24" t="str">
        <f t="shared" si="5"/>
        <v>#DIV/0!</v>
      </c>
    </row>
    <row r="924">
      <c r="A924" s="15" t="s">
        <v>3723</v>
      </c>
      <c r="B924" s="15" t="s">
        <v>3724</v>
      </c>
      <c r="C924" s="16" t="str">
        <f>IMAGE("https://i.ibb.co/CKHQ4Vct/1079.png")</f>
        <v/>
      </c>
      <c r="D924" s="15" t="s">
        <v>3725</v>
      </c>
      <c r="E924" s="17" t="s">
        <v>3726</v>
      </c>
      <c r="F924" s="18"/>
      <c r="G924" s="18"/>
      <c r="H924" s="15" t="s">
        <v>3727</v>
      </c>
      <c r="I924" s="18"/>
      <c r="J924" s="19" t="s">
        <v>283</v>
      </c>
      <c r="K924" s="19" t="s">
        <v>52</v>
      </c>
      <c r="L924" s="19" t="s">
        <v>368</v>
      </c>
      <c r="M924" s="20">
        <f t="shared" si="1"/>
        <v>0</v>
      </c>
      <c r="N924" s="37" t="s">
        <v>68</v>
      </c>
      <c r="O924" s="22"/>
      <c r="P924" s="19" t="s">
        <v>3578</v>
      </c>
      <c r="Q924" s="18"/>
      <c r="R924" s="18"/>
      <c r="S924" s="23">
        <v>0.0</v>
      </c>
      <c r="T924" s="23">
        <v>0.0</v>
      </c>
      <c r="U924" s="23">
        <f t="shared" si="2"/>
        <v>0</v>
      </c>
      <c r="V924" s="23">
        <f t="shared" si="3"/>
        <v>0</v>
      </c>
      <c r="W924" s="23">
        <f t="shared" si="4"/>
        <v>0</v>
      </c>
      <c r="X924" s="24" t="str">
        <f t="shared" si="5"/>
        <v>#DIV/0!</v>
      </c>
    </row>
    <row r="925">
      <c r="A925" s="15" t="s">
        <v>3728</v>
      </c>
      <c r="B925" s="15" t="s">
        <v>3729</v>
      </c>
      <c r="C925" s="16" t="str">
        <f>IMAGE("https://i.ibb.co/DfH6Qsvt/1080.png")</f>
        <v/>
      </c>
      <c r="D925" s="15" t="s">
        <v>3730</v>
      </c>
      <c r="E925" s="17" t="s">
        <v>3731</v>
      </c>
      <c r="F925" s="18"/>
      <c r="G925" s="18"/>
      <c r="H925" s="15" t="s">
        <v>3732</v>
      </c>
      <c r="I925" s="18"/>
      <c r="J925" s="19" t="s">
        <v>283</v>
      </c>
      <c r="K925" s="19" t="s">
        <v>37</v>
      </c>
      <c r="L925" s="19" t="s">
        <v>135</v>
      </c>
      <c r="M925" s="20">
        <f t="shared" si="1"/>
        <v>0</v>
      </c>
      <c r="N925" s="21"/>
      <c r="O925" s="22"/>
      <c r="P925" s="19" t="s">
        <v>3578</v>
      </c>
      <c r="Q925" s="18"/>
      <c r="R925" s="18"/>
      <c r="S925" s="23">
        <v>0.0</v>
      </c>
      <c r="T925" s="23">
        <v>0.0</v>
      </c>
      <c r="U925" s="23">
        <f t="shared" si="2"/>
        <v>0</v>
      </c>
      <c r="V925" s="23">
        <f t="shared" si="3"/>
        <v>0</v>
      </c>
      <c r="W925" s="23">
        <f t="shared" si="4"/>
        <v>0</v>
      </c>
      <c r="X925" s="24" t="str">
        <f t="shared" si="5"/>
        <v>#DIV/0!</v>
      </c>
    </row>
    <row r="926">
      <c r="A926" s="15" t="s">
        <v>3733</v>
      </c>
      <c r="B926" s="15" t="s">
        <v>3734</v>
      </c>
      <c r="C926" s="16" t="str">
        <f>IMAGE("https://i.ibb.co/kVKNrh8R/1081.png")</f>
        <v/>
      </c>
      <c r="D926" s="15" t="s">
        <v>3735</v>
      </c>
      <c r="E926" s="17" t="s">
        <v>3736</v>
      </c>
      <c r="F926" s="18"/>
      <c r="G926" s="18"/>
      <c r="H926" s="15" t="s">
        <v>3737</v>
      </c>
      <c r="I926" s="15" t="s">
        <v>3738</v>
      </c>
      <c r="J926" s="19" t="s">
        <v>283</v>
      </c>
      <c r="K926" s="19" t="s">
        <v>284</v>
      </c>
      <c r="L926" s="19" t="s">
        <v>38</v>
      </c>
      <c r="M926" s="20">
        <f t="shared" si="1"/>
        <v>0</v>
      </c>
      <c r="N926" s="21"/>
      <c r="O926" s="22"/>
      <c r="P926" s="19" t="s">
        <v>3578</v>
      </c>
      <c r="Q926" s="18"/>
      <c r="R926" s="18"/>
      <c r="S926" s="23">
        <v>0.0</v>
      </c>
      <c r="T926" s="23">
        <v>0.0</v>
      </c>
      <c r="U926" s="23">
        <f t="shared" si="2"/>
        <v>0</v>
      </c>
      <c r="V926" s="23">
        <f t="shared" si="3"/>
        <v>0</v>
      </c>
      <c r="W926" s="23">
        <f t="shared" si="4"/>
        <v>0</v>
      </c>
      <c r="X926" s="24" t="str">
        <f t="shared" si="5"/>
        <v>#DIV/0!</v>
      </c>
    </row>
    <row r="927">
      <c r="A927" s="15" t="s">
        <v>3739</v>
      </c>
      <c r="B927" s="15" t="s">
        <v>3740</v>
      </c>
      <c r="C927" s="16" t="str">
        <f>IMAGE("https://i.ibb.co/b5MGGhKm/1083.png")</f>
        <v/>
      </c>
      <c r="D927" s="41" t="s">
        <v>3741</v>
      </c>
      <c r="E927" s="17" t="s">
        <v>3742</v>
      </c>
      <c r="F927" s="18"/>
      <c r="G927" s="18"/>
      <c r="H927" s="15" t="s">
        <v>3743</v>
      </c>
      <c r="I927" s="15" t="s">
        <v>3744</v>
      </c>
      <c r="J927" s="19" t="s">
        <v>283</v>
      </c>
      <c r="K927" s="19" t="s">
        <v>427</v>
      </c>
      <c r="L927" s="19" t="s">
        <v>135</v>
      </c>
      <c r="M927" s="20">
        <f t="shared" si="1"/>
        <v>0</v>
      </c>
      <c r="N927" s="21"/>
      <c r="O927" s="22"/>
      <c r="P927" s="19" t="s">
        <v>3578</v>
      </c>
      <c r="Q927" s="18"/>
      <c r="R927" s="18"/>
      <c r="S927" s="23">
        <v>0.0</v>
      </c>
      <c r="T927" s="23">
        <v>0.0</v>
      </c>
      <c r="U927" s="23">
        <f t="shared" si="2"/>
        <v>0</v>
      </c>
      <c r="V927" s="23">
        <f t="shared" si="3"/>
        <v>0</v>
      </c>
      <c r="W927" s="23">
        <f t="shared" si="4"/>
        <v>0</v>
      </c>
      <c r="X927" s="24" t="str">
        <f t="shared" si="5"/>
        <v>#DIV/0!</v>
      </c>
    </row>
    <row r="928">
      <c r="A928" s="15" t="s">
        <v>3745</v>
      </c>
      <c r="B928" s="15" t="s">
        <v>3746</v>
      </c>
      <c r="C928" s="16" t="str">
        <f>IMAGE("https://i.ibb.co/3Y8pdsSZ/1084.png")</f>
        <v/>
      </c>
      <c r="D928" s="15" t="s">
        <v>3747</v>
      </c>
      <c r="E928" s="17" t="s">
        <v>3748</v>
      </c>
      <c r="F928" s="18"/>
      <c r="G928" s="18"/>
      <c r="H928" s="15" t="s">
        <v>3749</v>
      </c>
      <c r="I928" s="15" t="s">
        <v>3750</v>
      </c>
      <c r="J928" s="19" t="s">
        <v>283</v>
      </c>
      <c r="K928" s="19" t="s">
        <v>427</v>
      </c>
      <c r="L928" s="19" t="s">
        <v>38</v>
      </c>
      <c r="M928" s="20">
        <f t="shared" si="1"/>
        <v>0</v>
      </c>
      <c r="N928" s="21"/>
      <c r="O928" s="22"/>
      <c r="P928" s="19" t="s">
        <v>3578</v>
      </c>
      <c r="Q928" s="18"/>
      <c r="R928" s="18"/>
      <c r="S928" s="23">
        <v>0.0</v>
      </c>
      <c r="T928" s="23">
        <v>0.0</v>
      </c>
      <c r="U928" s="23">
        <f t="shared" si="2"/>
        <v>0</v>
      </c>
      <c r="V928" s="23">
        <f t="shared" si="3"/>
        <v>0</v>
      </c>
      <c r="W928" s="23">
        <f t="shared" si="4"/>
        <v>0</v>
      </c>
      <c r="X928" s="24" t="str">
        <f t="shared" si="5"/>
        <v>#DIV/0!</v>
      </c>
    </row>
    <row r="929">
      <c r="A929" s="15" t="s">
        <v>3751</v>
      </c>
      <c r="B929" s="15" t="s">
        <v>3752</v>
      </c>
      <c r="C929" s="16" t="str">
        <f>IMAGE("https://i.ibb.co/7xpW7F0b/1086.png")</f>
        <v/>
      </c>
      <c r="D929" s="15" t="s">
        <v>3753</v>
      </c>
      <c r="E929" s="17" t="s">
        <v>3754</v>
      </c>
      <c r="F929" s="18"/>
      <c r="G929" s="18"/>
      <c r="H929" s="15" t="s">
        <v>3755</v>
      </c>
      <c r="I929" s="15" t="s">
        <v>3756</v>
      </c>
      <c r="J929" s="19" t="s">
        <v>283</v>
      </c>
      <c r="K929" s="19" t="s">
        <v>284</v>
      </c>
      <c r="L929" s="19" t="s">
        <v>368</v>
      </c>
      <c r="M929" s="20">
        <f t="shared" si="1"/>
        <v>0</v>
      </c>
      <c r="N929" s="21"/>
      <c r="O929" s="22"/>
      <c r="P929" s="19" t="s">
        <v>3578</v>
      </c>
      <c r="Q929" s="18"/>
      <c r="R929" s="18"/>
      <c r="S929" s="23">
        <v>0.0</v>
      </c>
      <c r="T929" s="23">
        <v>0.0</v>
      </c>
      <c r="U929" s="23">
        <f t="shared" si="2"/>
        <v>0</v>
      </c>
      <c r="V929" s="23">
        <f t="shared" si="3"/>
        <v>0</v>
      </c>
      <c r="W929" s="23">
        <f t="shared" si="4"/>
        <v>0</v>
      </c>
      <c r="X929" s="24" t="str">
        <f t="shared" si="5"/>
        <v>#DIV/0!</v>
      </c>
    </row>
    <row r="930">
      <c r="A930" s="15" t="s">
        <v>3757</v>
      </c>
      <c r="B930" s="15" t="s">
        <v>3758</v>
      </c>
      <c r="C930" s="16" t="str">
        <f>IMAGE("https://i.ibb.co/YB5k5xF1/1087.png")</f>
        <v/>
      </c>
      <c r="D930" s="18"/>
      <c r="E930" s="17" t="s">
        <v>3759</v>
      </c>
      <c r="F930" s="18"/>
      <c r="G930" s="18"/>
      <c r="H930" s="15" t="s">
        <v>3760</v>
      </c>
      <c r="I930" s="18"/>
      <c r="J930" s="19" t="s">
        <v>283</v>
      </c>
      <c r="K930" s="19" t="s">
        <v>1230</v>
      </c>
      <c r="L930" s="19" t="s">
        <v>38</v>
      </c>
      <c r="M930" s="20">
        <f t="shared" si="1"/>
        <v>0</v>
      </c>
      <c r="N930" s="21"/>
      <c r="O930" s="22"/>
      <c r="P930" s="19" t="s">
        <v>3578</v>
      </c>
      <c r="Q930" s="18"/>
      <c r="R930" s="18"/>
      <c r="S930" s="23">
        <v>0.0</v>
      </c>
      <c r="T930" s="23">
        <v>0.0</v>
      </c>
      <c r="U930" s="23">
        <f t="shared" si="2"/>
        <v>0</v>
      </c>
      <c r="V930" s="23">
        <f t="shared" si="3"/>
        <v>0</v>
      </c>
      <c r="W930" s="23">
        <f t="shared" si="4"/>
        <v>0</v>
      </c>
      <c r="X930" s="24" t="str">
        <f t="shared" si="5"/>
        <v>#DIV/0!</v>
      </c>
    </row>
    <row r="931">
      <c r="A931" s="15" t="s">
        <v>3761</v>
      </c>
      <c r="B931" s="15" t="s">
        <v>3762</v>
      </c>
      <c r="C931" s="16" t="str">
        <f>IMAGE("https://i.ibb.co/5hvLJKnZ/1088.png")</f>
        <v/>
      </c>
      <c r="D931" s="15" t="s">
        <v>3763</v>
      </c>
      <c r="E931" s="17" t="s">
        <v>3764</v>
      </c>
      <c r="F931" s="18"/>
      <c r="G931" s="18"/>
      <c r="H931" s="15" t="s">
        <v>1257</v>
      </c>
      <c r="I931" s="18"/>
      <c r="J931" s="19" t="s">
        <v>283</v>
      </c>
      <c r="K931" s="19" t="s">
        <v>37</v>
      </c>
      <c r="L931" s="19" t="s">
        <v>38</v>
      </c>
      <c r="M931" s="20">
        <f t="shared" si="1"/>
        <v>0</v>
      </c>
      <c r="N931" s="21"/>
      <c r="O931" s="22"/>
      <c r="P931" s="19" t="s">
        <v>3578</v>
      </c>
      <c r="Q931" s="18"/>
      <c r="R931" s="18"/>
      <c r="S931" s="23">
        <v>0.0</v>
      </c>
      <c r="T931" s="23">
        <v>0.0</v>
      </c>
      <c r="U931" s="23">
        <f t="shared" si="2"/>
        <v>0</v>
      </c>
      <c r="V931" s="23">
        <f t="shared" si="3"/>
        <v>0</v>
      </c>
      <c r="W931" s="23">
        <f t="shared" si="4"/>
        <v>0</v>
      </c>
      <c r="X931" s="24" t="str">
        <f t="shared" si="5"/>
        <v>#DIV/0!</v>
      </c>
    </row>
    <row r="932">
      <c r="A932" s="15" t="s">
        <v>3765</v>
      </c>
      <c r="B932" s="15" t="s">
        <v>3766</v>
      </c>
      <c r="C932" s="16" t="str">
        <f>IMAGE("https://i.ibb.co/7JKqdqGw/1089.png")</f>
        <v/>
      </c>
      <c r="D932" s="18"/>
      <c r="E932" s="17" t="s">
        <v>3767</v>
      </c>
      <c r="F932" s="18"/>
      <c r="G932" s="18"/>
      <c r="H932" s="15" t="s">
        <v>3768</v>
      </c>
      <c r="I932" s="18"/>
      <c r="J932" s="19" t="s">
        <v>283</v>
      </c>
      <c r="K932" s="19" t="s">
        <v>603</v>
      </c>
      <c r="L932" s="19" t="s">
        <v>38</v>
      </c>
      <c r="M932" s="20">
        <f t="shared" si="1"/>
        <v>0</v>
      </c>
      <c r="N932" s="21"/>
      <c r="O932" s="22"/>
      <c r="P932" s="19" t="s">
        <v>3578</v>
      </c>
      <c r="Q932" s="18"/>
      <c r="R932" s="18"/>
      <c r="S932" s="23">
        <v>0.0</v>
      </c>
      <c r="T932" s="23">
        <v>0.0</v>
      </c>
      <c r="U932" s="23">
        <f t="shared" si="2"/>
        <v>0</v>
      </c>
      <c r="V932" s="23">
        <f t="shared" si="3"/>
        <v>0</v>
      </c>
      <c r="W932" s="23">
        <f t="shared" si="4"/>
        <v>0</v>
      </c>
      <c r="X932" s="24" t="str">
        <f t="shared" si="5"/>
        <v>#DIV/0!</v>
      </c>
    </row>
    <row r="933">
      <c r="A933" s="15" t="s">
        <v>3769</v>
      </c>
      <c r="B933" s="15" t="s">
        <v>3770</v>
      </c>
      <c r="C933" s="16" t="str">
        <f>IMAGE("https://i.ibb.co/ZzKF3R46/1090.png")</f>
        <v/>
      </c>
      <c r="D933" s="18"/>
      <c r="E933" s="17" t="s">
        <v>3771</v>
      </c>
      <c r="F933" s="18"/>
      <c r="G933" s="18"/>
      <c r="H933" s="15" t="s">
        <v>3772</v>
      </c>
      <c r="I933" s="18"/>
      <c r="J933" s="19" t="s">
        <v>283</v>
      </c>
      <c r="K933" s="19" t="s">
        <v>603</v>
      </c>
      <c r="L933" s="19" t="s">
        <v>38</v>
      </c>
      <c r="M933" s="20">
        <f t="shared" si="1"/>
        <v>0</v>
      </c>
      <c r="N933" s="21"/>
      <c r="O933" s="22"/>
      <c r="P933" s="19" t="s">
        <v>3578</v>
      </c>
      <c r="Q933" s="18"/>
      <c r="R933" s="18"/>
      <c r="S933" s="23">
        <v>0.0</v>
      </c>
      <c r="T933" s="23">
        <v>0.0</v>
      </c>
      <c r="U933" s="23">
        <f t="shared" si="2"/>
        <v>0</v>
      </c>
      <c r="V933" s="23">
        <f t="shared" si="3"/>
        <v>0</v>
      </c>
      <c r="W933" s="23">
        <f t="shared" si="4"/>
        <v>0</v>
      </c>
      <c r="X933" s="24" t="str">
        <f t="shared" si="5"/>
        <v>#DIV/0!</v>
      </c>
    </row>
    <row r="934">
      <c r="A934" s="15" t="s">
        <v>3773</v>
      </c>
      <c r="B934" s="15" t="s">
        <v>3774</v>
      </c>
      <c r="C934" s="16" t="str">
        <f>IMAGE("https://i.ibb.co/MQdpYhd/1091.png")</f>
        <v/>
      </c>
      <c r="D934" s="18"/>
      <c r="E934" s="17" t="s">
        <v>3775</v>
      </c>
      <c r="F934" s="18"/>
      <c r="G934" s="18"/>
      <c r="H934" s="15" t="s">
        <v>3776</v>
      </c>
      <c r="I934" s="18"/>
      <c r="J934" s="19" t="s">
        <v>283</v>
      </c>
      <c r="K934" s="19" t="s">
        <v>603</v>
      </c>
      <c r="L934" s="19" t="s">
        <v>38</v>
      </c>
      <c r="M934" s="20">
        <f t="shared" si="1"/>
        <v>0</v>
      </c>
      <c r="N934" s="21"/>
      <c r="O934" s="22"/>
      <c r="P934" s="19" t="s">
        <v>3578</v>
      </c>
      <c r="Q934" s="18"/>
      <c r="R934" s="18"/>
      <c r="S934" s="23">
        <v>0.0</v>
      </c>
      <c r="T934" s="23">
        <v>0.0</v>
      </c>
      <c r="U934" s="23">
        <f t="shared" si="2"/>
        <v>0</v>
      </c>
      <c r="V934" s="23">
        <f t="shared" si="3"/>
        <v>0</v>
      </c>
      <c r="W934" s="23">
        <f t="shared" si="4"/>
        <v>0</v>
      </c>
      <c r="X934" s="24" t="str">
        <f t="shared" si="5"/>
        <v>#DIV/0!</v>
      </c>
    </row>
    <row r="935">
      <c r="A935" s="15" t="s">
        <v>3777</v>
      </c>
      <c r="B935" s="15" t="s">
        <v>3778</v>
      </c>
      <c r="C935" s="16" t="str">
        <f>IMAGE("https://i.ibb.co/nMJqF8KZ/1092.png")</f>
        <v/>
      </c>
      <c r="D935" s="18"/>
      <c r="E935" s="17" t="s">
        <v>3779</v>
      </c>
      <c r="F935" s="18"/>
      <c r="G935" s="18"/>
      <c r="H935" s="15" t="s">
        <v>3780</v>
      </c>
      <c r="I935" s="18"/>
      <c r="J935" s="19" t="s">
        <v>283</v>
      </c>
      <c r="K935" s="19" t="s">
        <v>402</v>
      </c>
      <c r="L935" s="19" t="s">
        <v>38</v>
      </c>
      <c r="M935" s="20">
        <f t="shared" si="1"/>
        <v>0</v>
      </c>
      <c r="N935" s="21"/>
      <c r="O935" s="22"/>
      <c r="P935" s="19" t="s">
        <v>3578</v>
      </c>
      <c r="Q935" s="18"/>
      <c r="R935" s="18"/>
      <c r="S935" s="23">
        <v>0.0</v>
      </c>
      <c r="T935" s="23">
        <v>0.0</v>
      </c>
      <c r="U935" s="23">
        <f t="shared" si="2"/>
        <v>0</v>
      </c>
      <c r="V935" s="23">
        <f t="shared" si="3"/>
        <v>0</v>
      </c>
      <c r="W935" s="23">
        <f t="shared" si="4"/>
        <v>0</v>
      </c>
      <c r="X935" s="24" t="str">
        <f t="shared" si="5"/>
        <v>#DIV/0!</v>
      </c>
    </row>
    <row r="936">
      <c r="A936" s="15" t="s">
        <v>3781</v>
      </c>
      <c r="B936" s="15" t="s">
        <v>3782</v>
      </c>
      <c r="C936" s="16" t="str">
        <f>IMAGE("https://i.ibb.co/7JGCR78Y/1093.png")</f>
        <v/>
      </c>
      <c r="D936" s="15" t="s">
        <v>3783</v>
      </c>
      <c r="E936" s="17" t="s">
        <v>3784</v>
      </c>
      <c r="F936" s="18"/>
      <c r="G936" s="18"/>
      <c r="H936" s="15" t="s">
        <v>3785</v>
      </c>
      <c r="I936" s="18"/>
      <c r="J936" s="19" t="s">
        <v>283</v>
      </c>
      <c r="K936" s="19" t="s">
        <v>1230</v>
      </c>
      <c r="L936" s="19" t="s">
        <v>38</v>
      </c>
      <c r="M936" s="20">
        <f t="shared" si="1"/>
        <v>0</v>
      </c>
      <c r="N936" s="21"/>
      <c r="O936" s="22"/>
      <c r="P936" s="19" t="s">
        <v>3578</v>
      </c>
      <c r="Q936" s="18"/>
      <c r="R936" s="18"/>
      <c r="S936" s="23">
        <v>0.0</v>
      </c>
      <c r="T936" s="23">
        <v>0.0</v>
      </c>
      <c r="U936" s="23">
        <f t="shared" si="2"/>
        <v>0</v>
      </c>
      <c r="V936" s="23">
        <f t="shared" si="3"/>
        <v>0</v>
      </c>
      <c r="W936" s="23">
        <f t="shared" si="4"/>
        <v>0</v>
      </c>
      <c r="X936" s="24" t="str">
        <f t="shared" si="5"/>
        <v>#DIV/0!</v>
      </c>
    </row>
    <row r="937">
      <c r="A937" s="15" t="s">
        <v>3786</v>
      </c>
      <c r="B937" s="15" t="s">
        <v>3787</v>
      </c>
      <c r="C937" s="16" t="str">
        <f>IMAGE("https://i.ibb.co/7t1bkQV0/1094.png")</f>
        <v/>
      </c>
      <c r="D937" s="18"/>
      <c r="E937" s="17" t="s">
        <v>3788</v>
      </c>
      <c r="F937" s="18"/>
      <c r="G937" s="18"/>
      <c r="H937" s="15" t="s">
        <v>3789</v>
      </c>
      <c r="I937" s="18"/>
      <c r="J937" s="19" t="s">
        <v>283</v>
      </c>
      <c r="K937" s="19" t="s">
        <v>105</v>
      </c>
      <c r="L937" s="19" t="s">
        <v>38</v>
      </c>
      <c r="M937" s="20">
        <f t="shared" si="1"/>
        <v>0</v>
      </c>
      <c r="N937" s="21"/>
      <c r="O937" s="22"/>
      <c r="P937" s="19" t="s">
        <v>3578</v>
      </c>
      <c r="Q937" s="18"/>
      <c r="R937" s="18"/>
      <c r="S937" s="23">
        <v>0.0</v>
      </c>
      <c r="T937" s="23">
        <v>0.0</v>
      </c>
      <c r="U937" s="23">
        <f t="shared" si="2"/>
        <v>0</v>
      </c>
      <c r="V937" s="23">
        <f t="shared" si="3"/>
        <v>0</v>
      </c>
      <c r="W937" s="23">
        <f t="shared" si="4"/>
        <v>0</v>
      </c>
      <c r="X937" s="24" t="str">
        <f t="shared" si="5"/>
        <v>#DIV/0!</v>
      </c>
    </row>
    <row r="938">
      <c r="A938" s="15" t="s">
        <v>3790</v>
      </c>
      <c r="B938" s="15" t="s">
        <v>3791</v>
      </c>
      <c r="C938" s="16" t="str">
        <f>IMAGE("https://i.ibb.co/hFyRzQRN/1095.png")</f>
        <v/>
      </c>
      <c r="D938" s="18"/>
      <c r="E938" s="17" t="s">
        <v>3792</v>
      </c>
      <c r="F938" s="18"/>
      <c r="G938" s="18"/>
      <c r="H938" s="15" t="s">
        <v>3793</v>
      </c>
      <c r="I938" s="18"/>
      <c r="J938" s="19" t="s">
        <v>283</v>
      </c>
      <c r="K938" s="19" t="s">
        <v>1269</v>
      </c>
      <c r="L938" s="19" t="s">
        <v>38</v>
      </c>
      <c r="M938" s="20">
        <f t="shared" si="1"/>
        <v>0</v>
      </c>
      <c r="N938" s="21"/>
      <c r="O938" s="22"/>
      <c r="P938" s="19" t="s">
        <v>3578</v>
      </c>
      <c r="Q938" s="18"/>
      <c r="R938" s="18"/>
      <c r="S938" s="23">
        <v>0.0</v>
      </c>
      <c r="T938" s="23">
        <v>0.0</v>
      </c>
      <c r="U938" s="23">
        <f t="shared" si="2"/>
        <v>0</v>
      </c>
      <c r="V938" s="23">
        <f t="shared" si="3"/>
        <v>0</v>
      </c>
      <c r="W938" s="23">
        <f t="shared" si="4"/>
        <v>0</v>
      </c>
      <c r="X938" s="24" t="str">
        <f t="shared" si="5"/>
        <v>#DIV/0!</v>
      </c>
    </row>
    <row r="939">
      <c r="A939" s="15" t="s">
        <v>3794</v>
      </c>
      <c r="B939" s="15" t="s">
        <v>3795</v>
      </c>
      <c r="C939" s="16"/>
      <c r="D939" s="15" t="s">
        <v>1313</v>
      </c>
      <c r="E939" s="17" t="s">
        <v>3796</v>
      </c>
      <c r="F939" s="18"/>
      <c r="G939" s="18"/>
      <c r="H939" s="15" t="s">
        <v>3797</v>
      </c>
      <c r="I939" s="15" t="s">
        <v>3798</v>
      </c>
      <c r="J939" s="19" t="s">
        <v>283</v>
      </c>
      <c r="K939" s="19" t="s">
        <v>284</v>
      </c>
      <c r="L939" s="19" t="s">
        <v>368</v>
      </c>
      <c r="M939" s="20">
        <f t="shared" si="1"/>
        <v>0</v>
      </c>
      <c r="N939" s="21"/>
      <c r="O939" s="22"/>
      <c r="P939" s="19" t="s">
        <v>3578</v>
      </c>
      <c r="Q939" s="18"/>
      <c r="R939" s="18"/>
      <c r="S939" s="23">
        <v>0.0</v>
      </c>
      <c r="T939" s="23">
        <v>0.0</v>
      </c>
      <c r="U939" s="23">
        <f t="shared" si="2"/>
        <v>0</v>
      </c>
      <c r="V939" s="23">
        <f t="shared" si="3"/>
        <v>0</v>
      </c>
      <c r="W939" s="23">
        <f t="shared" si="4"/>
        <v>0</v>
      </c>
      <c r="X939" s="24" t="str">
        <f t="shared" si="5"/>
        <v>#DIV/0!</v>
      </c>
    </row>
    <row r="940">
      <c r="A940" s="15" t="s">
        <v>3799</v>
      </c>
      <c r="B940" s="15" t="s">
        <v>3800</v>
      </c>
      <c r="C940" s="16"/>
      <c r="D940" s="15" t="s">
        <v>3801</v>
      </c>
      <c r="E940" s="17" t="s">
        <v>3802</v>
      </c>
      <c r="F940" s="18"/>
      <c r="G940" s="18"/>
      <c r="H940" s="15" t="s">
        <v>3803</v>
      </c>
      <c r="I940" s="15" t="s">
        <v>3804</v>
      </c>
      <c r="J940" s="19" t="s">
        <v>283</v>
      </c>
      <c r="K940" s="19" t="s">
        <v>1269</v>
      </c>
      <c r="L940" s="19" t="s">
        <v>38</v>
      </c>
      <c r="M940" s="20">
        <f t="shared" si="1"/>
        <v>0</v>
      </c>
      <c r="N940" s="21"/>
      <c r="O940" s="22"/>
      <c r="P940" s="19" t="s">
        <v>3578</v>
      </c>
      <c r="Q940" s="18"/>
      <c r="R940" s="18"/>
      <c r="S940" s="23">
        <v>0.0</v>
      </c>
      <c r="T940" s="23">
        <v>0.0</v>
      </c>
      <c r="U940" s="23">
        <f t="shared" si="2"/>
        <v>0</v>
      </c>
      <c r="V940" s="23">
        <f t="shared" si="3"/>
        <v>0</v>
      </c>
      <c r="W940" s="23">
        <f t="shared" si="4"/>
        <v>0</v>
      </c>
      <c r="X940" s="24" t="str">
        <f t="shared" si="5"/>
        <v>#DIV/0!</v>
      </c>
    </row>
    <row r="941">
      <c r="A941" s="15" t="s">
        <v>3805</v>
      </c>
      <c r="B941" s="15" t="s">
        <v>3806</v>
      </c>
      <c r="C941" s="16"/>
      <c r="D941" s="15" t="s">
        <v>3807</v>
      </c>
      <c r="E941" s="17" t="s">
        <v>3796</v>
      </c>
      <c r="F941" s="18"/>
      <c r="G941" s="18"/>
      <c r="H941" s="15" t="s">
        <v>3808</v>
      </c>
      <c r="I941" s="15" t="s">
        <v>3809</v>
      </c>
      <c r="J941" s="19" t="s">
        <v>283</v>
      </c>
      <c r="K941" s="19" t="s">
        <v>284</v>
      </c>
      <c r="L941" s="19" t="s">
        <v>368</v>
      </c>
      <c r="M941" s="20">
        <f t="shared" si="1"/>
        <v>0</v>
      </c>
      <c r="N941" s="21"/>
      <c r="O941" s="22"/>
      <c r="P941" s="19" t="s">
        <v>3578</v>
      </c>
      <c r="Q941" s="18"/>
      <c r="R941" s="18"/>
      <c r="S941" s="23">
        <v>0.0</v>
      </c>
      <c r="T941" s="23">
        <v>0.0</v>
      </c>
      <c r="U941" s="23">
        <f t="shared" si="2"/>
        <v>0</v>
      </c>
      <c r="V941" s="23">
        <f t="shared" si="3"/>
        <v>0</v>
      </c>
      <c r="W941" s="23">
        <f t="shared" si="4"/>
        <v>0</v>
      </c>
      <c r="X941" s="24" t="str">
        <f t="shared" si="5"/>
        <v>#DIV/0!</v>
      </c>
    </row>
    <row r="942">
      <c r="A942" s="15" t="s">
        <v>3810</v>
      </c>
      <c r="B942" s="15" t="s">
        <v>3811</v>
      </c>
      <c r="C942" s="16" t="str">
        <f>IMAGE("https://i.ibb.co/5XWyG5v0/1139.png")</f>
        <v/>
      </c>
      <c r="D942" s="15" t="s">
        <v>3812</v>
      </c>
      <c r="E942" s="17" t="s">
        <v>3813</v>
      </c>
      <c r="F942" s="18"/>
      <c r="G942" s="18"/>
      <c r="H942" s="15" t="s">
        <v>3142</v>
      </c>
      <c r="I942" s="18"/>
      <c r="J942" s="19" t="s">
        <v>283</v>
      </c>
      <c r="K942" s="19" t="s">
        <v>402</v>
      </c>
      <c r="L942" s="19" t="s">
        <v>38</v>
      </c>
      <c r="M942" s="20">
        <f t="shared" si="1"/>
        <v>0</v>
      </c>
      <c r="N942" s="21"/>
      <c r="O942" s="22"/>
      <c r="P942" s="19" t="s">
        <v>3578</v>
      </c>
      <c r="Q942" s="18"/>
      <c r="R942" s="18"/>
      <c r="S942" s="23">
        <v>0.0</v>
      </c>
      <c r="T942" s="23">
        <v>0.0</v>
      </c>
      <c r="U942" s="23">
        <f t="shared" si="2"/>
        <v>0</v>
      </c>
      <c r="V942" s="23">
        <f t="shared" si="3"/>
        <v>0</v>
      </c>
      <c r="W942" s="23">
        <f t="shared" si="4"/>
        <v>0</v>
      </c>
      <c r="X942" s="24" t="str">
        <f t="shared" si="5"/>
        <v>#DIV/0!</v>
      </c>
    </row>
    <row r="943">
      <c r="A943" s="15" t="s">
        <v>3814</v>
      </c>
      <c r="B943" s="15" t="s">
        <v>3815</v>
      </c>
      <c r="C943" s="16" t="str">
        <f>IMAGE("https://i.ibb.co/27B7Cgxc/1141.png")</f>
        <v/>
      </c>
      <c r="D943" s="15" t="s">
        <v>3816</v>
      </c>
      <c r="E943" s="17" t="s">
        <v>3817</v>
      </c>
      <c r="F943" s="18"/>
      <c r="G943" s="18"/>
      <c r="H943" s="15" t="s">
        <v>3818</v>
      </c>
      <c r="I943" s="18"/>
      <c r="J943" s="19" t="s">
        <v>283</v>
      </c>
      <c r="K943" s="19" t="s">
        <v>60</v>
      </c>
      <c r="L943" s="19" t="s">
        <v>38</v>
      </c>
      <c r="M943" s="20">
        <f t="shared" si="1"/>
        <v>0</v>
      </c>
      <c r="N943" s="21"/>
      <c r="O943" s="22"/>
      <c r="P943" s="19" t="s">
        <v>3578</v>
      </c>
      <c r="Q943" s="18"/>
      <c r="R943" s="18"/>
      <c r="S943" s="23">
        <v>0.0</v>
      </c>
      <c r="T943" s="23">
        <v>0.0</v>
      </c>
      <c r="U943" s="23">
        <f t="shared" si="2"/>
        <v>0</v>
      </c>
      <c r="V943" s="23">
        <f t="shared" si="3"/>
        <v>0</v>
      </c>
      <c r="W943" s="23">
        <f t="shared" si="4"/>
        <v>0</v>
      </c>
      <c r="X943" s="24" t="str">
        <f t="shared" si="5"/>
        <v>#DIV/0!</v>
      </c>
    </row>
    <row r="944">
      <c r="A944" s="15" t="s">
        <v>3819</v>
      </c>
      <c r="B944" s="15" t="s">
        <v>3820</v>
      </c>
      <c r="C944" s="16"/>
      <c r="D944" s="41" t="s">
        <v>3821</v>
      </c>
      <c r="E944" s="17" t="s">
        <v>3822</v>
      </c>
      <c r="F944" s="18"/>
      <c r="G944" s="18"/>
      <c r="H944" s="15" t="s">
        <v>3823</v>
      </c>
      <c r="I944" s="18"/>
      <c r="J944" s="19" t="s">
        <v>283</v>
      </c>
      <c r="K944" s="19" t="s">
        <v>60</v>
      </c>
      <c r="L944" s="19" t="s">
        <v>38</v>
      </c>
      <c r="M944" s="20">
        <f t="shared" si="1"/>
        <v>0</v>
      </c>
      <c r="N944" s="21"/>
      <c r="O944" s="22"/>
      <c r="P944" s="19" t="s">
        <v>3578</v>
      </c>
      <c r="Q944" s="18"/>
      <c r="R944" s="18"/>
      <c r="S944" s="23">
        <v>0.0</v>
      </c>
      <c r="T944" s="23">
        <v>0.0</v>
      </c>
      <c r="U944" s="23">
        <f t="shared" si="2"/>
        <v>0</v>
      </c>
      <c r="V944" s="23">
        <f t="shared" si="3"/>
        <v>0</v>
      </c>
      <c r="W944" s="23">
        <f t="shared" si="4"/>
        <v>0</v>
      </c>
      <c r="X944" s="24" t="str">
        <f t="shared" si="5"/>
        <v>#DIV/0!</v>
      </c>
    </row>
    <row r="945">
      <c r="A945" s="15" t="s">
        <v>3824</v>
      </c>
      <c r="B945" s="15" t="s">
        <v>3825</v>
      </c>
      <c r="C945" s="16" t="str">
        <f>IMAGE("https://i.ibb.co/JFz4j5zF/1143.png")</f>
        <v/>
      </c>
      <c r="D945" s="15" t="s">
        <v>3826</v>
      </c>
      <c r="E945" s="17" t="s">
        <v>3827</v>
      </c>
      <c r="F945" s="18"/>
      <c r="G945" s="18"/>
      <c r="H945" s="15" t="s">
        <v>3828</v>
      </c>
      <c r="I945" s="18"/>
      <c r="J945" s="19" t="s">
        <v>283</v>
      </c>
      <c r="K945" s="19" t="s">
        <v>60</v>
      </c>
      <c r="L945" s="19" t="s">
        <v>38</v>
      </c>
      <c r="M945" s="20">
        <f t="shared" si="1"/>
        <v>0</v>
      </c>
      <c r="N945" s="21"/>
      <c r="O945" s="22"/>
      <c r="P945" s="19" t="s">
        <v>3578</v>
      </c>
      <c r="Q945" s="18"/>
      <c r="R945" s="18"/>
      <c r="S945" s="23">
        <v>0.0</v>
      </c>
      <c r="T945" s="23">
        <v>0.0</v>
      </c>
      <c r="U945" s="23">
        <f t="shared" si="2"/>
        <v>0</v>
      </c>
      <c r="V945" s="23">
        <f t="shared" si="3"/>
        <v>0</v>
      </c>
      <c r="W945" s="23">
        <f t="shared" si="4"/>
        <v>0</v>
      </c>
      <c r="X945" s="24" t="str">
        <f t="shared" si="5"/>
        <v>#DIV/0!</v>
      </c>
    </row>
    <row r="946">
      <c r="A946" s="15" t="s">
        <v>3829</v>
      </c>
      <c r="B946" s="15" t="s">
        <v>3830</v>
      </c>
      <c r="C946" s="16" t="str">
        <f>IMAGE("https://i.ibb.co/Hp3ysFTx/1144.png")</f>
        <v/>
      </c>
      <c r="D946" s="15" t="s">
        <v>3831</v>
      </c>
      <c r="E946" s="17" t="s">
        <v>3832</v>
      </c>
      <c r="F946" s="18"/>
      <c r="G946" s="18"/>
      <c r="H946" s="15" t="s">
        <v>3833</v>
      </c>
      <c r="I946" s="18"/>
      <c r="J946" s="19" t="s">
        <v>283</v>
      </c>
      <c r="K946" s="19" t="s">
        <v>402</v>
      </c>
      <c r="L946" s="19" t="s">
        <v>38</v>
      </c>
      <c r="M946" s="20">
        <f t="shared" si="1"/>
        <v>0</v>
      </c>
      <c r="N946" s="21"/>
      <c r="O946" s="22"/>
      <c r="P946" s="19" t="s">
        <v>3578</v>
      </c>
      <c r="Q946" s="18"/>
      <c r="R946" s="18"/>
      <c r="S946" s="23">
        <v>0.0</v>
      </c>
      <c r="T946" s="23">
        <v>0.0</v>
      </c>
      <c r="U946" s="23">
        <f t="shared" si="2"/>
        <v>0</v>
      </c>
      <c r="V946" s="23">
        <f t="shared" si="3"/>
        <v>0</v>
      </c>
      <c r="W946" s="23">
        <f t="shared" si="4"/>
        <v>0</v>
      </c>
      <c r="X946" s="24" t="str">
        <f t="shared" si="5"/>
        <v>#DIV/0!</v>
      </c>
    </row>
    <row r="947">
      <c r="A947" s="15" t="s">
        <v>3834</v>
      </c>
      <c r="B947" s="15" t="s">
        <v>3835</v>
      </c>
      <c r="C947" s="16"/>
      <c r="D947" s="15" t="s">
        <v>3836</v>
      </c>
      <c r="E947" s="17" t="s">
        <v>3837</v>
      </c>
      <c r="F947" s="18"/>
      <c r="G947" s="18"/>
      <c r="H947" s="15" t="s">
        <v>3838</v>
      </c>
      <c r="I947" s="18"/>
      <c r="J947" s="19" t="s">
        <v>59</v>
      </c>
      <c r="K947" s="19" t="s">
        <v>60</v>
      </c>
      <c r="L947" s="19" t="s">
        <v>52</v>
      </c>
      <c r="M947" s="20">
        <f t="shared" si="1"/>
        <v>0</v>
      </c>
      <c r="N947" s="21"/>
      <c r="O947" s="22"/>
      <c r="P947" s="19" t="s">
        <v>3578</v>
      </c>
      <c r="Q947" s="18"/>
      <c r="R947" s="18"/>
      <c r="S947" s="23">
        <v>0.0</v>
      </c>
      <c r="T947" s="23">
        <v>0.0</v>
      </c>
      <c r="U947" s="23">
        <f t="shared" si="2"/>
        <v>0</v>
      </c>
      <c r="V947" s="23">
        <f t="shared" si="3"/>
        <v>0</v>
      </c>
      <c r="W947" s="23">
        <f t="shared" si="4"/>
        <v>0</v>
      </c>
      <c r="X947" s="24" t="str">
        <f t="shared" si="5"/>
        <v>#DIV/0!</v>
      </c>
    </row>
    <row r="948">
      <c r="A948" s="15" t="s">
        <v>3839</v>
      </c>
      <c r="B948" s="15" t="s">
        <v>3840</v>
      </c>
      <c r="C948" s="16"/>
      <c r="D948" s="15" t="s">
        <v>3841</v>
      </c>
      <c r="E948" s="17" t="s">
        <v>3842</v>
      </c>
      <c r="F948" s="18"/>
      <c r="G948" s="18"/>
      <c r="H948" s="15" t="s">
        <v>3843</v>
      </c>
      <c r="I948" s="15" t="s">
        <v>3844</v>
      </c>
      <c r="J948" s="19" t="s">
        <v>59</v>
      </c>
      <c r="K948" s="19" t="s">
        <v>402</v>
      </c>
      <c r="L948" s="19" t="s">
        <v>52</v>
      </c>
      <c r="M948" s="20">
        <f t="shared" si="1"/>
        <v>0</v>
      </c>
      <c r="N948" s="21"/>
      <c r="O948" s="22"/>
      <c r="P948" s="19" t="s">
        <v>3578</v>
      </c>
      <c r="Q948" s="18"/>
      <c r="R948" s="18"/>
      <c r="S948" s="23">
        <v>0.0</v>
      </c>
      <c r="T948" s="23">
        <v>0.0</v>
      </c>
      <c r="U948" s="23">
        <f t="shared" si="2"/>
        <v>0</v>
      </c>
      <c r="V948" s="23">
        <f t="shared" si="3"/>
        <v>0</v>
      </c>
      <c r="W948" s="23">
        <f t="shared" si="4"/>
        <v>0</v>
      </c>
      <c r="X948" s="24" t="str">
        <f t="shared" si="5"/>
        <v>#DIV/0!</v>
      </c>
    </row>
    <row r="949">
      <c r="A949" s="15" t="s">
        <v>3845</v>
      </c>
      <c r="B949" s="15" t="s">
        <v>3846</v>
      </c>
      <c r="C949" s="16"/>
      <c r="D949" s="15" t="s">
        <v>3847</v>
      </c>
      <c r="E949" s="17" t="s">
        <v>3848</v>
      </c>
      <c r="F949" s="18"/>
      <c r="G949" s="18"/>
      <c r="H949" s="15" t="s">
        <v>3849</v>
      </c>
      <c r="I949" s="18"/>
      <c r="J949" s="19" t="s">
        <v>59</v>
      </c>
      <c r="K949" s="19" t="s">
        <v>52</v>
      </c>
      <c r="L949" s="19" t="s">
        <v>52</v>
      </c>
      <c r="M949" s="20">
        <f t="shared" si="1"/>
        <v>0</v>
      </c>
      <c r="N949" s="21"/>
      <c r="O949" s="22"/>
      <c r="P949" s="19" t="s">
        <v>3578</v>
      </c>
      <c r="Q949" s="18"/>
      <c r="R949" s="18"/>
      <c r="S949" s="23">
        <v>0.0</v>
      </c>
      <c r="T949" s="23">
        <v>0.0</v>
      </c>
      <c r="U949" s="23">
        <f t="shared" si="2"/>
        <v>0</v>
      </c>
      <c r="V949" s="23">
        <f t="shared" si="3"/>
        <v>0</v>
      </c>
      <c r="W949" s="23">
        <f t="shared" si="4"/>
        <v>0</v>
      </c>
      <c r="X949" s="24" t="str">
        <f t="shared" si="5"/>
        <v>#DIV/0!</v>
      </c>
    </row>
    <row r="950">
      <c r="A950" s="15" t="s">
        <v>3850</v>
      </c>
      <c r="B950" s="15" t="s">
        <v>3851</v>
      </c>
      <c r="C950" s="16" t="str">
        <f>IMAGE("https://i.ibb.co/GQ2zsJ9Q/1148.png")</f>
        <v/>
      </c>
      <c r="D950" s="15" t="s">
        <v>3852</v>
      </c>
      <c r="E950" s="17" t="s">
        <v>3853</v>
      </c>
      <c r="F950" s="18"/>
      <c r="G950" s="18"/>
      <c r="H950" s="15" t="s">
        <v>3854</v>
      </c>
      <c r="I950" s="18"/>
      <c r="J950" s="19" t="s">
        <v>283</v>
      </c>
      <c r="K950" s="19" t="s">
        <v>52</v>
      </c>
      <c r="L950" s="19" t="s">
        <v>177</v>
      </c>
      <c r="M950" s="20">
        <f t="shared" si="1"/>
        <v>0</v>
      </c>
      <c r="N950" s="21"/>
      <c r="O950" s="22"/>
      <c r="P950" s="19" t="s">
        <v>3578</v>
      </c>
      <c r="Q950" s="18"/>
      <c r="R950" s="18"/>
      <c r="S950" s="23">
        <v>0.0</v>
      </c>
      <c r="T950" s="23">
        <v>0.0</v>
      </c>
      <c r="U950" s="23">
        <f t="shared" si="2"/>
        <v>0</v>
      </c>
      <c r="V950" s="23">
        <f t="shared" si="3"/>
        <v>0</v>
      </c>
      <c r="W950" s="23">
        <f t="shared" si="4"/>
        <v>0</v>
      </c>
      <c r="X950" s="24" t="str">
        <f t="shared" si="5"/>
        <v>#DIV/0!</v>
      </c>
    </row>
    <row r="951">
      <c r="A951" s="15" t="s">
        <v>3855</v>
      </c>
      <c r="B951" s="15" t="s">
        <v>3856</v>
      </c>
      <c r="C951" s="16"/>
      <c r="D951" s="15" t="s">
        <v>3857</v>
      </c>
      <c r="E951" s="17" t="s">
        <v>3858</v>
      </c>
      <c r="F951" s="18"/>
      <c r="G951" s="18"/>
      <c r="H951" s="15" t="s">
        <v>3859</v>
      </c>
      <c r="I951" s="18"/>
      <c r="J951" s="19" t="s">
        <v>59</v>
      </c>
      <c r="K951" s="19" t="s">
        <v>402</v>
      </c>
      <c r="L951" s="19" t="s">
        <v>38</v>
      </c>
      <c r="M951" s="20">
        <f t="shared" si="1"/>
        <v>0</v>
      </c>
      <c r="N951" s="21"/>
      <c r="O951" s="22"/>
      <c r="P951" s="19" t="s">
        <v>3578</v>
      </c>
      <c r="Q951" s="18"/>
      <c r="R951" s="18"/>
      <c r="S951" s="23">
        <v>0.0</v>
      </c>
      <c r="T951" s="23">
        <v>0.0</v>
      </c>
      <c r="U951" s="23">
        <f t="shared" si="2"/>
        <v>0</v>
      </c>
      <c r="V951" s="23">
        <f t="shared" si="3"/>
        <v>0</v>
      </c>
      <c r="W951" s="23">
        <f t="shared" si="4"/>
        <v>0</v>
      </c>
      <c r="X951" s="24" t="str">
        <f t="shared" si="5"/>
        <v>#DIV/0!</v>
      </c>
    </row>
    <row r="952">
      <c r="A952" s="15" t="s">
        <v>3860</v>
      </c>
      <c r="B952" s="15" t="s">
        <v>3861</v>
      </c>
      <c r="C952" s="16"/>
      <c r="D952" s="15" t="s">
        <v>3862</v>
      </c>
      <c r="E952" s="17" t="s">
        <v>3863</v>
      </c>
      <c r="F952" s="18"/>
      <c r="G952" s="18"/>
      <c r="H952" s="15" t="s">
        <v>3864</v>
      </c>
      <c r="I952" s="18"/>
      <c r="J952" s="19" t="s">
        <v>59</v>
      </c>
      <c r="K952" s="19" t="s">
        <v>52</v>
      </c>
      <c r="L952" s="19" t="s">
        <v>177</v>
      </c>
      <c r="M952" s="20">
        <f t="shared" si="1"/>
        <v>0</v>
      </c>
      <c r="N952" s="21"/>
      <c r="O952" s="22"/>
      <c r="P952" s="19" t="s">
        <v>3578</v>
      </c>
      <c r="Q952" s="18"/>
      <c r="R952" s="18"/>
      <c r="S952" s="23">
        <v>0.0</v>
      </c>
      <c r="T952" s="23">
        <v>0.0</v>
      </c>
      <c r="U952" s="23">
        <f t="shared" si="2"/>
        <v>0</v>
      </c>
      <c r="V952" s="23">
        <f t="shared" si="3"/>
        <v>0</v>
      </c>
      <c r="W952" s="23">
        <f t="shared" si="4"/>
        <v>0</v>
      </c>
      <c r="X952" s="24" t="str">
        <f t="shared" si="5"/>
        <v>#DIV/0!</v>
      </c>
    </row>
    <row r="953">
      <c r="A953" s="15" t="s">
        <v>3865</v>
      </c>
      <c r="B953" s="15" t="s">
        <v>3866</v>
      </c>
      <c r="C953" s="16"/>
      <c r="D953" s="15" t="s">
        <v>3867</v>
      </c>
      <c r="E953" s="17" t="s">
        <v>3868</v>
      </c>
      <c r="F953" s="18"/>
      <c r="G953" s="18"/>
      <c r="H953" s="15" t="s">
        <v>3869</v>
      </c>
      <c r="I953" s="18"/>
      <c r="J953" s="19" t="s">
        <v>59</v>
      </c>
      <c r="K953" s="19" t="s">
        <v>52</v>
      </c>
      <c r="L953" s="19" t="s">
        <v>52</v>
      </c>
      <c r="M953" s="20">
        <f t="shared" si="1"/>
        <v>0</v>
      </c>
      <c r="N953" s="21"/>
      <c r="O953" s="22"/>
      <c r="P953" s="19" t="s">
        <v>3578</v>
      </c>
      <c r="Q953" s="18"/>
      <c r="R953" s="18"/>
      <c r="S953" s="23">
        <v>0.0</v>
      </c>
      <c r="T953" s="23">
        <v>0.0</v>
      </c>
      <c r="U953" s="23">
        <f t="shared" si="2"/>
        <v>0</v>
      </c>
      <c r="V953" s="23">
        <f t="shared" si="3"/>
        <v>0</v>
      </c>
      <c r="W953" s="23">
        <f t="shared" si="4"/>
        <v>0</v>
      </c>
      <c r="X953" s="24" t="str">
        <f t="shared" si="5"/>
        <v>#DIV/0!</v>
      </c>
    </row>
    <row r="954">
      <c r="A954" s="15" t="s">
        <v>3870</v>
      </c>
      <c r="B954" s="15" t="s">
        <v>3871</v>
      </c>
      <c r="C954" s="16"/>
      <c r="D954" s="15" t="s">
        <v>3872</v>
      </c>
      <c r="E954" s="17" t="s">
        <v>3873</v>
      </c>
      <c r="F954" s="18"/>
      <c r="G954" s="18"/>
      <c r="H954" s="15" t="s">
        <v>3874</v>
      </c>
      <c r="I954" s="18"/>
      <c r="J954" s="19" t="s">
        <v>59</v>
      </c>
      <c r="K954" s="19" t="s">
        <v>52</v>
      </c>
      <c r="L954" s="19" t="s">
        <v>52</v>
      </c>
      <c r="M954" s="20">
        <f t="shared" si="1"/>
        <v>0</v>
      </c>
      <c r="N954" s="21"/>
      <c r="O954" s="22"/>
      <c r="P954" s="19" t="s">
        <v>3578</v>
      </c>
      <c r="Q954" s="18"/>
      <c r="R954" s="18"/>
      <c r="S954" s="23">
        <v>0.0</v>
      </c>
      <c r="T954" s="23">
        <v>0.0</v>
      </c>
      <c r="U954" s="23">
        <f t="shared" si="2"/>
        <v>0</v>
      </c>
      <c r="V954" s="23">
        <f t="shared" si="3"/>
        <v>0</v>
      </c>
      <c r="W954" s="23">
        <f t="shared" si="4"/>
        <v>0</v>
      </c>
      <c r="X954" s="24" t="str">
        <f t="shared" si="5"/>
        <v>#DIV/0!</v>
      </c>
    </row>
    <row r="955">
      <c r="A955" s="15" t="s">
        <v>3875</v>
      </c>
      <c r="B955" s="15" t="s">
        <v>3876</v>
      </c>
      <c r="C955" s="16"/>
      <c r="D955" s="15" t="s">
        <v>3877</v>
      </c>
      <c r="E955" s="17" t="s">
        <v>3878</v>
      </c>
      <c r="F955" s="18"/>
      <c r="G955" s="18"/>
      <c r="H955" s="15" t="s">
        <v>3879</v>
      </c>
      <c r="I955" s="18"/>
      <c r="J955" s="19" t="s">
        <v>59</v>
      </c>
      <c r="K955" s="19" t="s">
        <v>52</v>
      </c>
      <c r="L955" s="19" t="s">
        <v>368</v>
      </c>
      <c r="M955" s="20">
        <f t="shared" si="1"/>
        <v>0</v>
      </c>
      <c r="N955" s="21"/>
      <c r="O955" s="22"/>
      <c r="P955" s="19" t="s">
        <v>3578</v>
      </c>
      <c r="Q955" s="18"/>
      <c r="R955" s="18"/>
      <c r="S955" s="23">
        <v>0.0</v>
      </c>
      <c r="T955" s="23">
        <v>0.0</v>
      </c>
      <c r="U955" s="23">
        <f t="shared" si="2"/>
        <v>0</v>
      </c>
      <c r="V955" s="23">
        <f t="shared" si="3"/>
        <v>0</v>
      </c>
      <c r="W955" s="23">
        <f t="shared" si="4"/>
        <v>0</v>
      </c>
      <c r="X955" s="24" t="str">
        <f t="shared" si="5"/>
        <v>#DIV/0!</v>
      </c>
    </row>
    <row r="956">
      <c r="A956" s="15" t="s">
        <v>3880</v>
      </c>
      <c r="B956" s="15" t="s">
        <v>3881</v>
      </c>
      <c r="C956" s="16"/>
      <c r="D956" s="15" t="s">
        <v>3882</v>
      </c>
      <c r="E956" s="17" t="s">
        <v>3883</v>
      </c>
      <c r="F956" s="18"/>
      <c r="G956" s="18"/>
      <c r="H956" s="15" t="s">
        <v>3884</v>
      </c>
      <c r="I956" s="18"/>
      <c r="J956" s="19" t="s">
        <v>59</v>
      </c>
      <c r="K956" s="19" t="s">
        <v>60</v>
      </c>
      <c r="L956" s="19" t="s">
        <v>115</v>
      </c>
      <c r="M956" s="20">
        <f t="shared" si="1"/>
        <v>0</v>
      </c>
      <c r="N956" s="21"/>
      <c r="O956" s="22"/>
      <c r="P956" s="19" t="s">
        <v>3578</v>
      </c>
      <c r="Q956" s="18"/>
      <c r="R956" s="18"/>
      <c r="S956" s="23">
        <v>0.0</v>
      </c>
      <c r="T956" s="23">
        <v>0.0</v>
      </c>
      <c r="U956" s="23">
        <f t="shared" si="2"/>
        <v>0</v>
      </c>
      <c r="V956" s="23">
        <f t="shared" si="3"/>
        <v>0</v>
      </c>
      <c r="W956" s="23">
        <f t="shared" si="4"/>
        <v>0</v>
      </c>
      <c r="X956" s="24" t="str">
        <f t="shared" si="5"/>
        <v>#DIV/0!</v>
      </c>
    </row>
    <row r="957">
      <c r="A957" s="15" t="s">
        <v>3885</v>
      </c>
      <c r="B957" s="15" t="s">
        <v>3886</v>
      </c>
      <c r="C957" s="16"/>
      <c r="D957" s="15" t="s">
        <v>3887</v>
      </c>
      <c r="E957" s="17" t="s">
        <v>3888</v>
      </c>
      <c r="F957" s="18"/>
      <c r="G957" s="18"/>
      <c r="H957" s="15" t="s">
        <v>3889</v>
      </c>
      <c r="I957" s="18"/>
      <c r="J957" s="19" t="s">
        <v>59</v>
      </c>
      <c r="K957" s="19" t="s">
        <v>284</v>
      </c>
      <c r="L957" s="19" t="s">
        <v>135</v>
      </c>
      <c r="M957" s="20">
        <f t="shared" si="1"/>
        <v>0</v>
      </c>
      <c r="N957" s="37" t="s">
        <v>68</v>
      </c>
      <c r="O957" s="22"/>
      <c r="P957" s="19" t="s">
        <v>3578</v>
      </c>
      <c r="Q957" s="18"/>
      <c r="R957" s="18"/>
      <c r="S957" s="23">
        <v>0.0</v>
      </c>
      <c r="T957" s="23">
        <v>0.0</v>
      </c>
      <c r="U957" s="23">
        <f t="shared" si="2"/>
        <v>0</v>
      </c>
      <c r="V957" s="23">
        <f t="shared" si="3"/>
        <v>0</v>
      </c>
      <c r="W957" s="23">
        <f t="shared" si="4"/>
        <v>0</v>
      </c>
      <c r="X957" s="24" t="str">
        <f t="shared" si="5"/>
        <v>#DIV/0!</v>
      </c>
    </row>
    <row r="958">
      <c r="A958" s="15" t="s">
        <v>3890</v>
      </c>
      <c r="B958" s="15" t="s">
        <v>3891</v>
      </c>
      <c r="C958" s="16"/>
      <c r="D958" s="15" t="s">
        <v>3892</v>
      </c>
      <c r="E958" s="17" t="s">
        <v>3893</v>
      </c>
      <c r="F958" s="18"/>
      <c r="G958" s="18"/>
      <c r="H958" s="15" t="s">
        <v>3894</v>
      </c>
      <c r="I958" s="18"/>
      <c r="J958" s="19" t="s">
        <v>59</v>
      </c>
      <c r="K958" s="19" t="s">
        <v>60</v>
      </c>
      <c r="L958" s="19" t="s">
        <v>115</v>
      </c>
      <c r="M958" s="20">
        <f t="shared" si="1"/>
        <v>0</v>
      </c>
      <c r="N958" s="21"/>
      <c r="O958" s="22"/>
      <c r="P958" s="19" t="s">
        <v>3578</v>
      </c>
      <c r="Q958" s="18"/>
      <c r="R958" s="18"/>
      <c r="S958" s="23">
        <v>0.0</v>
      </c>
      <c r="T958" s="23">
        <v>0.0</v>
      </c>
      <c r="U958" s="23">
        <f t="shared" si="2"/>
        <v>0</v>
      </c>
      <c r="V958" s="23">
        <f t="shared" si="3"/>
        <v>0</v>
      </c>
      <c r="W958" s="23">
        <f t="shared" si="4"/>
        <v>0</v>
      </c>
      <c r="X958" s="24" t="str">
        <f t="shared" si="5"/>
        <v>#DIV/0!</v>
      </c>
    </row>
    <row r="959">
      <c r="A959" s="15" t="s">
        <v>3895</v>
      </c>
      <c r="B959" s="15" t="s">
        <v>3896</v>
      </c>
      <c r="C959" s="16"/>
      <c r="D959" s="15" t="s">
        <v>3897</v>
      </c>
      <c r="E959" s="17" t="s">
        <v>3898</v>
      </c>
      <c r="F959" s="18"/>
      <c r="G959" s="18"/>
      <c r="H959" s="15" t="s">
        <v>3899</v>
      </c>
      <c r="I959" s="18"/>
      <c r="J959" s="19" t="s">
        <v>59</v>
      </c>
      <c r="K959" s="19" t="s">
        <v>402</v>
      </c>
      <c r="L959" s="19" t="s">
        <v>38</v>
      </c>
      <c r="M959" s="20">
        <f t="shared" si="1"/>
        <v>0</v>
      </c>
      <c r="N959" s="21"/>
      <c r="O959" s="22"/>
      <c r="P959" s="19" t="s">
        <v>3578</v>
      </c>
      <c r="Q959" s="18"/>
      <c r="R959" s="18"/>
      <c r="S959" s="23">
        <v>0.0</v>
      </c>
      <c r="T959" s="23">
        <v>0.0</v>
      </c>
      <c r="U959" s="23">
        <f t="shared" si="2"/>
        <v>0</v>
      </c>
      <c r="V959" s="23">
        <f t="shared" si="3"/>
        <v>0</v>
      </c>
      <c r="W959" s="23">
        <f t="shared" si="4"/>
        <v>0</v>
      </c>
      <c r="X959" s="24" t="str">
        <f t="shared" si="5"/>
        <v>#DIV/0!</v>
      </c>
    </row>
    <row r="960">
      <c r="A960" s="15" t="s">
        <v>3900</v>
      </c>
      <c r="B960" s="15" t="s">
        <v>3901</v>
      </c>
      <c r="C960" s="16"/>
      <c r="D960" s="15" t="s">
        <v>3902</v>
      </c>
      <c r="E960" s="17" t="s">
        <v>3903</v>
      </c>
      <c r="F960" s="18"/>
      <c r="G960" s="18"/>
      <c r="H960" s="15" t="s">
        <v>2880</v>
      </c>
      <c r="I960" s="18"/>
      <c r="J960" s="19" t="s">
        <v>59</v>
      </c>
      <c r="K960" s="19" t="s">
        <v>402</v>
      </c>
      <c r="L960" s="19" t="s">
        <v>38</v>
      </c>
      <c r="M960" s="20">
        <f t="shared" si="1"/>
        <v>0</v>
      </c>
      <c r="N960" s="21"/>
      <c r="O960" s="22"/>
      <c r="P960" s="19" t="s">
        <v>3578</v>
      </c>
      <c r="Q960" s="18"/>
      <c r="R960" s="18"/>
      <c r="S960" s="23">
        <v>0.0</v>
      </c>
      <c r="T960" s="23">
        <v>0.0</v>
      </c>
      <c r="U960" s="23">
        <f t="shared" si="2"/>
        <v>0</v>
      </c>
      <c r="V960" s="23">
        <f t="shared" si="3"/>
        <v>0</v>
      </c>
      <c r="W960" s="23">
        <f t="shared" si="4"/>
        <v>0</v>
      </c>
      <c r="X960" s="24" t="str">
        <f t="shared" si="5"/>
        <v>#DIV/0!</v>
      </c>
    </row>
    <row r="961">
      <c r="A961" s="15" t="s">
        <v>3904</v>
      </c>
      <c r="B961" s="15" t="s">
        <v>3905</v>
      </c>
      <c r="C961" s="16"/>
      <c r="D961" s="42" t="s">
        <v>3906</v>
      </c>
      <c r="E961" s="17" t="s">
        <v>3907</v>
      </c>
      <c r="F961" s="18"/>
      <c r="G961" s="18"/>
      <c r="H961" s="15" t="s">
        <v>3908</v>
      </c>
      <c r="I961" s="18"/>
      <c r="J961" s="19" t="s">
        <v>59</v>
      </c>
      <c r="K961" s="19" t="s">
        <v>402</v>
      </c>
      <c r="L961" s="19" t="s">
        <v>38</v>
      </c>
      <c r="M961" s="20">
        <f t="shared" si="1"/>
        <v>0</v>
      </c>
      <c r="N961" s="21"/>
      <c r="O961" s="22"/>
      <c r="P961" s="19" t="s">
        <v>3578</v>
      </c>
      <c r="Q961" s="18"/>
      <c r="R961" s="18"/>
      <c r="S961" s="23">
        <v>0.0</v>
      </c>
      <c r="T961" s="23">
        <v>0.0</v>
      </c>
      <c r="U961" s="23">
        <f t="shared" si="2"/>
        <v>0</v>
      </c>
      <c r="V961" s="23">
        <f t="shared" si="3"/>
        <v>0</v>
      </c>
      <c r="W961" s="23">
        <f t="shared" si="4"/>
        <v>0</v>
      </c>
      <c r="X961" s="24" t="str">
        <f t="shared" si="5"/>
        <v>#DIV/0!</v>
      </c>
    </row>
    <row r="962">
      <c r="A962" s="15" t="s">
        <v>3909</v>
      </c>
      <c r="B962" s="18" t="str">
        <f>CONCATENATE(7504589,A962)</f>
        <v>75045891161</v>
      </c>
      <c r="C962" s="16"/>
      <c r="D962" s="15" t="s">
        <v>3910</v>
      </c>
      <c r="E962" s="17" t="s">
        <v>3911</v>
      </c>
      <c r="F962" s="18"/>
      <c r="G962" s="18"/>
      <c r="H962" s="15" t="s">
        <v>3912</v>
      </c>
      <c r="I962" s="15" t="s">
        <v>3913</v>
      </c>
      <c r="J962" s="19" t="s">
        <v>59</v>
      </c>
      <c r="K962" s="19" t="s">
        <v>402</v>
      </c>
      <c r="L962" s="19" t="s">
        <v>38</v>
      </c>
      <c r="M962" s="20">
        <f t="shared" si="1"/>
        <v>0</v>
      </c>
      <c r="N962" s="21"/>
      <c r="O962" s="22"/>
      <c r="P962" s="19" t="s">
        <v>3578</v>
      </c>
      <c r="Q962" s="18"/>
      <c r="R962" s="18"/>
      <c r="S962" s="23">
        <v>0.0</v>
      </c>
      <c r="T962" s="23">
        <v>0.0</v>
      </c>
      <c r="U962" s="23">
        <f t="shared" si="2"/>
        <v>0</v>
      </c>
      <c r="V962" s="23">
        <f t="shared" si="3"/>
        <v>0</v>
      </c>
      <c r="W962" s="23">
        <f t="shared" si="4"/>
        <v>0</v>
      </c>
      <c r="X962" s="24" t="str">
        <f t="shared" si="5"/>
        <v>#DIV/0!</v>
      </c>
    </row>
    <row r="963">
      <c r="A963" s="15" t="s">
        <v>3914</v>
      </c>
      <c r="B963" s="15" t="s">
        <v>3915</v>
      </c>
      <c r="C963" s="16"/>
      <c r="D963" s="15" t="s">
        <v>288</v>
      </c>
      <c r="E963" s="17" t="s">
        <v>3916</v>
      </c>
      <c r="F963" s="18"/>
      <c r="G963" s="18"/>
      <c r="H963" s="15" t="s">
        <v>3917</v>
      </c>
      <c r="I963" s="18"/>
      <c r="J963" s="19" t="s">
        <v>59</v>
      </c>
      <c r="K963" s="19" t="s">
        <v>105</v>
      </c>
      <c r="L963" s="19" t="s">
        <v>38</v>
      </c>
      <c r="M963" s="20">
        <f t="shared" si="1"/>
        <v>0</v>
      </c>
      <c r="N963" s="21"/>
      <c r="O963" s="22"/>
      <c r="P963" s="19" t="s">
        <v>3578</v>
      </c>
      <c r="Q963" s="18"/>
      <c r="R963" s="18"/>
      <c r="S963" s="23">
        <v>0.0</v>
      </c>
      <c r="T963" s="23">
        <v>0.0</v>
      </c>
      <c r="U963" s="23">
        <f t="shared" si="2"/>
        <v>0</v>
      </c>
      <c r="V963" s="23">
        <f t="shared" si="3"/>
        <v>0</v>
      </c>
      <c r="W963" s="23">
        <f t="shared" si="4"/>
        <v>0</v>
      </c>
      <c r="X963" s="24" t="str">
        <f t="shared" si="5"/>
        <v>#DIV/0!</v>
      </c>
    </row>
    <row r="964">
      <c r="A964" s="15" t="s">
        <v>3918</v>
      </c>
      <c r="B964" s="15" t="s">
        <v>3919</v>
      </c>
      <c r="C964" s="16"/>
      <c r="D964" s="15" t="s">
        <v>3920</v>
      </c>
      <c r="E964" s="17" t="s">
        <v>3921</v>
      </c>
      <c r="F964" s="18"/>
      <c r="G964" s="18"/>
      <c r="H964" s="15" t="s">
        <v>3922</v>
      </c>
      <c r="I964" s="18"/>
      <c r="J964" s="19" t="s">
        <v>59</v>
      </c>
      <c r="K964" s="19" t="s">
        <v>402</v>
      </c>
      <c r="L964" s="19" t="s">
        <v>38</v>
      </c>
      <c r="M964" s="20">
        <f t="shared" si="1"/>
        <v>0</v>
      </c>
      <c r="N964" s="21"/>
      <c r="O964" s="22"/>
      <c r="P964" s="19" t="s">
        <v>3578</v>
      </c>
      <c r="Q964" s="18"/>
      <c r="R964" s="18"/>
      <c r="S964" s="23">
        <v>0.0</v>
      </c>
      <c r="T964" s="23">
        <v>0.0</v>
      </c>
      <c r="U964" s="23">
        <f t="shared" si="2"/>
        <v>0</v>
      </c>
      <c r="V964" s="23">
        <f t="shared" si="3"/>
        <v>0</v>
      </c>
      <c r="W964" s="23">
        <f t="shared" si="4"/>
        <v>0</v>
      </c>
      <c r="X964" s="24" t="str">
        <f t="shared" si="5"/>
        <v>#DIV/0!</v>
      </c>
    </row>
    <row r="965">
      <c r="A965" s="15" t="s">
        <v>3923</v>
      </c>
      <c r="B965" s="15" t="s">
        <v>3924</v>
      </c>
      <c r="C965" s="16"/>
      <c r="D965" s="15" t="s">
        <v>3925</v>
      </c>
      <c r="E965" s="17" t="s">
        <v>3926</v>
      </c>
      <c r="F965" s="18"/>
      <c r="G965" s="18"/>
      <c r="H965" s="15" t="s">
        <v>3927</v>
      </c>
      <c r="I965" s="18"/>
      <c r="J965" s="19" t="s">
        <v>59</v>
      </c>
      <c r="K965" s="19" t="s">
        <v>105</v>
      </c>
      <c r="L965" s="19" t="s">
        <v>38</v>
      </c>
      <c r="M965" s="20">
        <f t="shared" si="1"/>
        <v>0</v>
      </c>
      <c r="N965" s="21"/>
      <c r="O965" s="22"/>
      <c r="P965" s="19" t="s">
        <v>3578</v>
      </c>
      <c r="Q965" s="18"/>
      <c r="R965" s="18"/>
      <c r="S965" s="23">
        <v>0.0</v>
      </c>
      <c r="T965" s="23">
        <v>0.0</v>
      </c>
      <c r="U965" s="23">
        <f t="shared" si="2"/>
        <v>0</v>
      </c>
      <c r="V965" s="23">
        <f t="shared" si="3"/>
        <v>0</v>
      </c>
      <c r="W965" s="23">
        <f t="shared" si="4"/>
        <v>0</v>
      </c>
      <c r="X965" s="24" t="str">
        <f t="shared" si="5"/>
        <v>#DIV/0!</v>
      </c>
    </row>
    <row r="966">
      <c r="A966" s="15" t="s">
        <v>3928</v>
      </c>
      <c r="B966" s="15" t="s">
        <v>3929</v>
      </c>
      <c r="C966" s="16"/>
      <c r="D966" s="15" t="s">
        <v>3930</v>
      </c>
      <c r="E966" s="17" t="s">
        <v>3931</v>
      </c>
      <c r="F966" s="18"/>
      <c r="G966" s="18"/>
      <c r="H966" s="15" t="s">
        <v>3932</v>
      </c>
      <c r="I966" s="18"/>
      <c r="J966" s="19" t="s">
        <v>59</v>
      </c>
      <c r="K966" s="19" t="s">
        <v>402</v>
      </c>
      <c r="L966" s="19" t="s">
        <v>38</v>
      </c>
      <c r="M966" s="20">
        <f t="shared" si="1"/>
        <v>0</v>
      </c>
      <c r="N966" s="21"/>
      <c r="O966" s="22"/>
      <c r="P966" s="19" t="s">
        <v>3578</v>
      </c>
      <c r="Q966" s="18"/>
      <c r="R966" s="18"/>
      <c r="S966" s="23">
        <v>0.0</v>
      </c>
      <c r="T966" s="23">
        <v>0.0</v>
      </c>
      <c r="U966" s="23">
        <f t="shared" si="2"/>
        <v>0</v>
      </c>
      <c r="V966" s="23">
        <f t="shared" si="3"/>
        <v>0</v>
      </c>
      <c r="W966" s="23">
        <f t="shared" si="4"/>
        <v>0</v>
      </c>
      <c r="X966" s="24" t="str">
        <f t="shared" si="5"/>
        <v>#DIV/0!</v>
      </c>
    </row>
    <row r="967">
      <c r="A967" s="15" t="s">
        <v>3933</v>
      </c>
      <c r="B967" s="15" t="s">
        <v>3934</v>
      </c>
      <c r="C967" s="16"/>
      <c r="D967" s="15" t="s">
        <v>3935</v>
      </c>
      <c r="E967" s="17" t="s">
        <v>3936</v>
      </c>
      <c r="F967" s="18"/>
      <c r="G967" s="18"/>
      <c r="H967" s="15" t="s">
        <v>3937</v>
      </c>
      <c r="I967" s="18"/>
      <c r="J967" s="19" t="s">
        <v>59</v>
      </c>
      <c r="K967" s="19" t="s">
        <v>37</v>
      </c>
      <c r="L967" s="19" t="s">
        <v>38</v>
      </c>
      <c r="M967" s="20">
        <f t="shared" si="1"/>
        <v>0</v>
      </c>
      <c r="N967" s="21"/>
      <c r="O967" s="22"/>
      <c r="P967" s="19" t="s">
        <v>3578</v>
      </c>
      <c r="Q967" s="18"/>
      <c r="R967" s="18"/>
      <c r="S967" s="23">
        <v>0.0</v>
      </c>
      <c r="T967" s="23">
        <v>0.0</v>
      </c>
      <c r="U967" s="23">
        <f t="shared" si="2"/>
        <v>0</v>
      </c>
      <c r="V967" s="23">
        <f t="shared" si="3"/>
        <v>0</v>
      </c>
      <c r="W967" s="23">
        <f t="shared" si="4"/>
        <v>0</v>
      </c>
      <c r="X967" s="24" t="str">
        <f t="shared" si="5"/>
        <v>#DIV/0!</v>
      </c>
    </row>
    <row r="968">
      <c r="A968" s="15" t="s">
        <v>3938</v>
      </c>
      <c r="B968" s="15" t="s">
        <v>3939</v>
      </c>
      <c r="C968" s="16"/>
      <c r="D968" s="15" t="s">
        <v>3940</v>
      </c>
      <c r="E968" s="17" t="s">
        <v>3941</v>
      </c>
      <c r="F968" s="18"/>
      <c r="G968" s="18"/>
      <c r="H968" s="15" t="s">
        <v>2814</v>
      </c>
      <c r="I968" s="18"/>
      <c r="J968" s="19" t="s">
        <v>59</v>
      </c>
      <c r="K968" s="19" t="s">
        <v>37</v>
      </c>
      <c r="L968" s="19" t="s">
        <v>38</v>
      </c>
      <c r="M968" s="20">
        <f t="shared" si="1"/>
        <v>0</v>
      </c>
      <c r="N968" s="21"/>
      <c r="O968" s="22"/>
      <c r="P968" s="19" t="s">
        <v>3578</v>
      </c>
      <c r="Q968" s="18"/>
      <c r="R968" s="18"/>
      <c r="S968" s="23">
        <v>0.0</v>
      </c>
      <c r="T968" s="23">
        <v>0.0</v>
      </c>
      <c r="U968" s="23">
        <f t="shared" si="2"/>
        <v>0</v>
      </c>
      <c r="V968" s="23">
        <f t="shared" si="3"/>
        <v>0</v>
      </c>
      <c r="W968" s="23">
        <f t="shared" si="4"/>
        <v>0</v>
      </c>
      <c r="X968" s="24" t="str">
        <f t="shared" si="5"/>
        <v>#DIV/0!</v>
      </c>
    </row>
    <row r="969">
      <c r="A969" s="15" t="s">
        <v>3942</v>
      </c>
      <c r="B969" s="15" t="s">
        <v>3943</v>
      </c>
      <c r="C969" s="16"/>
      <c r="D969" s="15" t="s">
        <v>3944</v>
      </c>
      <c r="E969" s="17" t="s">
        <v>3945</v>
      </c>
      <c r="F969" s="18"/>
      <c r="G969" s="18"/>
      <c r="H969" s="15" t="s">
        <v>3946</v>
      </c>
      <c r="I969" s="18"/>
      <c r="J969" s="19" t="s">
        <v>59</v>
      </c>
      <c r="K969" s="19" t="s">
        <v>402</v>
      </c>
      <c r="L969" s="19" t="s">
        <v>38</v>
      </c>
      <c r="M969" s="20">
        <f t="shared" si="1"/>
        <v>0</v>
      </c>
      <c r="N969" s="21"/>
      <c r="O969" s="22"/>
      <c r="P969" s="19" t="s">
        <v>3578</v>
      </c>
      <c r="Q969" s="18"/>
      <c r="R969" s="18"/>
      <c r="S969" s="23">
        <v>0.0</v>
      </c>
      <c r="T969" s="23">
        <v>0.0</v>
      </c>
      <c r="U969" s="23">
        <f t="shared" si="2"/>
        <v>0</v>
      </c>
      <c r="V969" s="23">
        <f t="shared" si="3"/>
        <v>0</v>
      </c>
      <c r="W969" s="23">
        <f t="shared" si="4"/>
        <v>0</v>
      </c>
      <c r="X969" s="24" t="str">
        <f t="shared" si="5"/>
        <v>#DIV/0!</v>
      </c>
    </row>
    <row r="970">
      <c r="A970" s="15" t="s">
        <v>3947</v>
      </c>
      <c r="B970" s="15" t="s">
        <v>3948</v>
      </c>
      <c r="C970" s="16"/>
      <c r="D970" s="15" t="s">
        <v>3949</v>
      </c>
      <c r="E970" s="17" t="s">
        <v>3950</v>
      </c>
      <c r="F970" s="18"/>
      <c r="G970" s="18"/>
      <c r="H970" s="15" t="s">
        <v>3951</v>
      </c>
      <c r="I970" s="18"/>
      <c r="J970" s="19" t="s">
        <v>59</v>
      </c>
      <c r="K970" s="19" t="s">
        <v>402</v>
      </c>
      <c r="L970" s="19" t="s">
        <v>38</v>
      </c>
      <c r="M970" s="20">
        <f t="shared" si="1"/>
        <v>0</v>
      </c>
      <c r="N970" s="21"/>
      <c r="O970" s="22"/>
      <c r="P970" s="19" t="s">
        <v>3578</v>
      </c>
      <c r="Q970" s="18"/>
      <c r="R970" s="18"/>
      <c r="S970" s="23">
        <v>0.0</v>
      </c>
      <c r="T970" s="23">
        <v>0.0</v>
      </c>
      <c r="U970" s="23">
        <f t="shared" si="2"/>
        <v>0</v>
      </c>
      <c r="V970" s="23">
        <f t="shared" si="3"/>
        <v>0</v>
      </c>
      <c r="W970" s="23">
        <f t="shared" si="4"/>
        <v>0</v>
      </c>
      <c r="X970" s="24" t="str">
        <f t="shared" si="5"/>
        <v>#DIV/0!</v>
      </c>
    </row>
    <row r="971">
      <c r="A971" s="15" t="s">
        <v>3952</v>
      </c>
      <c r="B971" s="15" t="s">
        <v>3953</v>
      </c>
      <c r="C971" s="16"/>
      <c r="D971" s="15" t="s">
        <v>3954</v>
      </c>
      <c r="E971" s="17" t="s">
        <v>3955</v>
      </c>
      <c r="F971" s="18"/>
      <c r="G971" s="18"/>
      <c r="H971" s="15" t="s">
        <v>3956</v>
      </c>
      <c r="I971" s="18"/>
      <c r="J971" s="19" t="s">
        <v>59</v>
      </c>
      <c r="K971" s="19" t="s">
        <v>1230</v>
      </c>
      <c r="L971" s="19" t="s">
        <v>38</v>
      </c>
      <c r="M971" s="20">
        <f t="shared" si="1"/>
        <v>0</v>
      </c>
      <c r="N971" s="21"/>
      <c r="O971" s="22"/>
      <c r="P971" s="19" t="s">
        <v>3578</v>
      </c>
      <c r="Q971" s="18"/>
      <c r="R971" s="18"/>
      <c r="S971" s="23">
        <v>0.0</v>
      </c>
      <c r="T971" s="23">
        <v>0.0</v>
      </c>
      <c r="U971" s="23">
        <f t="shared" si="2"/>
        <v>0</v>
      </c>
      <c r="V971" s="23">
        <f t="shared" si="3"/>
        <v>0</v>
      </c>
      <c r="W971" s="23">
        <f t="shared" si="4"/>
        <v>0</v>
      </c>
      <c r="X971" s="24" t="str">
        <f t="shared" si="5"/>
        <v>#DIV/0!</v>
      </c>
    </row>
    <row r="972">
      <c r="A972" s="15" t="s">
        <v>3957</v>
      </c>
      <c r="B972" s="15" t="str">
        <f>CONCATENATE(7504589,A972)</f>
        <v>75045891173</v>
      </c>
      <c r="C972" s="16"/>
      <c r="D972" s="15" t="s">
        <v>3958</v>
      </c>
      <c r="E972" s="17" t="s">
        <v>3959</v>
      </c>
      <c r="F972" s="18"/>
      <c r="G972" s="18"/>
      <c r="H972" s="15" t="s">
        <v>3960</v>
      </c>
      <c r="I972" s="18"/>
      <c r="J972" s="19" t="s">
        <v>59</v>
      </c>
      <c r="K972" s="19" t="s">
        <v>402</v>
      </c>
      <c r="L972" s="19" t="s">
        <v>38</v>
      </c>
      <c r="M972" s="20">
        <f t="shared" si="1"/>
        <v>0</v>
      </c>
      <c r="N972" s="21"/>
      <c r="O972" s="22"/>
      <c r="P972" s="19" t="s">
        <v>3578</v>
      </c>
      <c r="Q972" s="18"/>
      <c r="R972" s="18"/>
      <c r="S972" s="23">
        <v>0.0</v>
      </c>
      <c r="T972" s="23">
        <v>0.0</v>
      </c>
      <c r="U972" s="23">
        <f t="shared" si="2"/>
        <v>0</v>
      </c>
      <c r="V972" s="23">
        <f t="shared" si="3"/>
        <v>0</v>
      </c>
      <c r="W972" s="23">
        <f t="shared" si="4"/>
        <v>0</v>
      </c>
      <c r="X972" s="24" t="str">
        <f t="shared" si="5"/>
        <v>#DIV/0!</v>
      </c>
    </row>
    <row r="973">
      <c r="A973" s="15" t="s">
        <v>3961</v>
      </c>
      <c r="B973" s="15" t="s">
        <v>3962</v>
      </c>
      <c r="C973" s="16"/>
      <c r="D973" s="15" t="s">
        <v>3963</v>
      </c>
      <c r="E973" s="17" t="s">
        <v>3964</v>
      </c>
      <c r="F973" s="18"/>
      <c r="G973" s="18"/>
      <c r="H973" s="15" t="s">
        <v>3965</v>
      </c>
      <c r="I973" s="18"/>
      <c r="J973" s="19" t="s">
        <v>59</v>
      </c>
      <c r="K973" s="19" t="s">
        <v>402</v>
      </c>
      <c r="L973" s="19" t="s">
        <v>38</v>
      </c>
      <c r="M973" s="20">
        <f t="shared" si="1"/>
        <v>0</v>
      </c>
      <c r="N973" s="21"/>
      <c r="O973" s="22"/>
      <c r="P973" s="19" t="s">
        <v>3578</v>
      </c>
      <c r="Q973" s="18"/>
      <c r="R973" s="18"/>
      <c r="S973" s="23">
        <v>0.0</v>
      </c>
      <c r="T973" s="23">
        <v>0.0</v>
      </c>
      <c r="U973" s="23">
        <f t="shared" si="2"/>
        <v>0</v>
      </c>
      <c r="V973" s="23">
        <f t="shared" si="3"/>
        <v>0</v>
      </c>
      <c r="W973" s="23">
        <f t="shared" si="4"/>
        <v>0</v>
      </c>
      <c r="X973" s="24" t="str">
        <f t="shared" si="5"/>
        <v>#DIV/0!</v>
      </c>
    </row>
    <row r="974">
      <c r="A974" s="15" t="s">
        <v>3966</v>
      </c>
      <c r="B974" s="15" t="s">
        <v>3967</v>
      </c>
      <c r="C974" s="16"/>
      <c r="D974" s="15" t="s">
        <v>3968</v>
      </c>
      <c r="E974" s="17" t="s">
        <v>3969</v>
      </c>
      <c r="F974" s="18"/>
      <c r="G974" s="18"/>
      <c r="H974" s="15" t="s">
        <v>3970</v>
      </c>
      <c r="I974" s="18"/>
      <c r="J974" s="19" t="s">
        <v>59</v>
      </c>
      <c r="K974" s="19" t="s">
        <v>402</v>
      </c>
      <c r="L974" s="19" t="s">
        <v>38</v>
      </c>
      <c r="M974" s="20">
        <f t="shared" si="1"/>
        <v>0</v>
      </c>
      <c r="N974" s="21"/>
      <c r="O974" s="22"/>
      <c r="P974" s="19" t="s">
        <v>3578</v>
      </c>
      <c r="Q974" s="18"/>
      <c r="R974" s="18"/>
      <c r="S974" s="23">
        <v>0.0</v>
      </c>
      <c r="T974" s="23">
        <v>0.0</v>
      </c>
      <c r="U974" s="23">
        <f t="shared" si="2"/>
        <v>0</v>
      </c>
      <c r="V974" s="23">
        <f t="shared" si="3"/>
        <v>0</v>
      </c>
      <c r="W974" s="23">
        <f t="shared" si="4"/>
        <v>0</v>
      </c>
      <c r="X974" s="24" t="str">
        <f t="shared" si="5"/>
        <v>#DIV/0!</v>
      </c>
    </row>
    <row r="975">
      <c r="A975" s="15" t="s">
        <v>3971</v>
      </c>
      <c r="B975" s="15" t="s">
        <v>3972</v>
      </c>
      <c r="C975" s="16"/>
      <c r="D975" s="15" t="s">
        <v>3973</v>
      </c>
      <c r="E975" s="17" t="s">
        <v>3974</v>
      </c>
      <c r="F975" s="18"/>
      <c r="G975" s="18"/>
      <c r="H975" s="15" t="s">
        <v>3975</v>
      </c>
      <c r="I975" s="18"/>
      <c r="J975" s="19" t="s">
        <v>59</v>
      </c>
      <c r="K975" s="19" t="s">
        <v>402</v>
      </c>
      <c r="L975" s="19" t="s">
        <v>38</v>
      </c>
      <c r="M975" s="20">
        <f t="shared" si="1"/>
        <v>0</v>
      </c>
      <c r="N975" s="21"/>
      <c r="O975" s="22"/>
      <c r="P975" s="19" t="s">
        <v>3578</v>
      </c>
      <c r="Q975" s="18"/>
      <c r="R975" s="18"/>
      <c r="S975" s="23">
        <v>0.0</v>
      </c>
      <c r="T975" s="23">
        <v>0.0</v>
      </c>
      <c r="U975" s="23">
        <f t="shared" si="2"/>
        <v>0</v>
      </c>
      <c r="V975" s="23">
        <f t="shared" si="3"/>
        <v>0</v>
      </c>
      <c r="W975" s="23">
        <f t="shared" si="4"/>
        <v>0</v>
      </c>
      <c r="X975" s="24" t="str">
        <f t="shared" si="5"/>
        <v>#DIV/0!</v>
      </c>
    </row>
    <row r="976">
      <c r="A976" s="15" t="s">
        <v>3976</v>
      </c>
      <c r="B976" s="15" t="s">
        <v>3977</v>
      </c>
      <c r="C976" s="16"/>
      <c r="D976" s="15" t="s">
        <v>3978</v>
      </c>
      <c r="E976" s="17" t="s">
        <v>3979</v>
      </c>
      <c r="F976" s="18"/>
      <c r="G976" s="18"/>
      <c r="H976" s="15" t="s">
        <v>3980</v>
      </c>
      <c r="I976" s="18"/>
      <c r="J976" s="19" t="s">
        <v>59</v>
      </c>
      <c r="K976" s="19" t="s">
        <v>402</v>
      </c>
      <c r="L976" s="19" t="s">
        <v>38</v>
      </c>
      <c r="M976" s="20">
        <f t="shared" si="1"/>
        <v>0</v>
      </c>
      <c r="N976" s="21"/>
      <c r="O976" s="22"/>
      <c r="P976" s="19" t="s">
        <v>3578</v>
      </c>
      <c r="Q976" s="18"/>
      <c r="R976" s="18"/>
      <c r="S976" s="23">
        <v>0.0</v>
      </c>
      <c r="T976" s="23">
        <v>0.0</v>
      </c>
      <c r="U976" s="23">
        <f t="shared" si="2"/>
        <v>0</v>
      </c>
      <c r="V976" s="23">
        <f t="shared" si="3"/>
        <v>0</v>
      </c>
      <c r="W976" s="23">
        <f t="shared" si="4"/>
        <v>0</v>
      </c>
      <c r="X976" s="24" t="str">
        <f t="shared" si="5"/>
        <v>#DIV/0!</v>
      </c>
    </row>
    <row r="977">
      <c r="A977" s="15" t="s">
        <v>3981</v>
      </c>
      <c r="B977" s="18" t="str">
        <f>CONCATENATE(7504589,A977)</f>
        <v>75045891178</v>
      </c>
      <c r="C977" s="16"/>
      <c r="D977" s="15" t="s">
        <v>3982</v>
      </c>
      <c r="E977" s="17" t="s">
        <v>3983</v>
      </c>
      <c r="F977" s="18"/>
      <c r="G977" s="18"/>
      <c r="H977" s="15" t="s">
        <v>3984</v>
      </c>
      <c r="I977" s="18"/>
      <c r="J977" s="19" t="s">
        <v>59</v>
      </c>
      <c r="K977" s="19" t="s">
        <v>402</v>
      </c>
      <c r="L977" s="19" t="s">
        <v>38</v>
      </c>
      <c r="M977" s="20">
        <f t="shared" si="1"/>
        <v>0</v>
      </c>
      <c r="N977" s="21"/>
      <c r="O977" s="22"/>
      <c r="P977" s="19" t="s">
        <v>3578</v>
      </c>
      <c r="Q977" s="18"/>
      <c r="R977" s="18"/>
      <c r="S977" s="23">
        <v>0.0</v>
      </c>
      <c r="T977" s="23">
        <v>0.0</v>
      </c>
      <c r="U977" s="23">
        <f t="shared" si="2"/>
        <v>0</v>
      </c>
      <c r="V977" s="23">
        <f t="shared" si="3"/>
        <v>0</v>
      </c>
      <c r="W977" s="23">
        <f t="shared" si="4"/>
        <v>0</v>
      </c>
      <c r="X977" s="24" t="str">
        <f t="shared" si="5"/>
        <v>#DIV/0!</v>
      </c>
    </row>
    <row r="978">
      <c r="A978" s="15" t="s">
        <v>3985</v>
      </c>
      <c r="B978" s="15" t="s">
        <v>3986</v>
      </c>
      <c r="C978" s="16"/>
      <c r="D978" s="15" t="s">
        <v>3987</v>
      </c>
      <c r="E978" s="17" t="s">
        <v>3988</v>
      </c>
      <c r="F978" s="18"/>
      <c r="G978" s="18"/>
      <c r="H978" s="15" t="s">
        <v>3989</v>
      </c>
      <c r="I978" s="18"/>
      <c r="J978" s="19" t="s">
        <v>59</v>
      </c>
      <c r="K978" s="19" t="s">
        <v>284</v>
      </c>
      <c r="L978" s="19" t="s">
        <v>38</v>
      </c>
      <c r="M978" s="20">
        <f t="shared" si="1"/>
        <v>0</v>
      </c>
      <c r="N978" s="21"/>
      <c r="O978" s="22"/>
      <c r="P978" s="19" t="s">
        <v>3578</v>
      </c>
      <c r="Q978" s="18"/>
      <c r="R978" s="18"/>
      <c r="S978" s="23">
        <v>0.0</v>
      </c>
      <c r="T978" s="23">
        <v>0.0</v>
      </c>
      <c r="U978" s="23">
        <f t="shared" si="2"/>
        <v>0</v>
      </c>
      <c r="V978" s="23">
        <f t="shared" si="3"/>
        <v>0</v>
      </c>
      <c r="W978" s="23">
        <f t="shared" si="4"/>
        <v>0</v>
      </c>
      <c r="X978" s="24" t="str">
        <f t="shared" si="5"/>
        <v>#DIV/0!</v>
      </c>
    </row>
    <row r="979">
      <c r="A979" s="15" t="s">
        <v>3990</v>
      </c>
      <c r="B979" s="15" t="s">
        <v>3991</v>
      </c>
      <c r="C979" s="16"/>
      <c r="D979" s="15" t="s">
        <v>3992</v>
      </c>
      <c r="E979" s="17" t="s">
        <v>3993</v>
      </c>
      <c r="F979" s="18"/>
      <c r="G979" s="18"/>
      <c r="H979" s="15" t="s">
        <v>3994</v>
      </c>
      <c r="I979" s="18"/>
      <c r="J979" s="19" t="s">
        <v>59</v>
      </c>
      <c r="K979" s="19" t="s">
        <v>37</v>
      </c>
      <c r="L979" s="19" t="s">
        <v>38</v>
      </c>
      <c r="M979" s="20">
        <f t="shared" si="1"/>
        <v>0</v>
      </c>
      <c r="N979" s="21"/>
      <c r="O979" s="22"/>
      <c r="P979" s="19" t="s">
        <v>3578</v>
      </c>
      <c r="Q979" s="18"/>
      <c r="R979" s="18"/>
      <c r="S979" s="23">
        <v>0.0</v>
      </c>
      <c r="T979" s="23">
        <v>0.0</v>
      </c>
      <c r="U979" s="23">
        <f t="shared" si="2"/>
        <v>0</v>
      </c>
      <c r="V979" s="23">
        <f t="shared" si="3"/>
        <v>0</v>
      </c>
      <c r="W979" s="23">
        <f t="shared" si="4"/>
        <v>0</v>
      </c>
      <c r="X979" s="24" t="str">
        <f t="shared" si="5"/>
        <v>#DIV/0!</v>
      </c>
    </row>
    <row r="980">
      <c r="A980" s="15" t="s">
        <v>3995</v>
      </c>
      <c r="B980" s="15" t="s">
        <v>3996</v>
      </c>
      <c r="C980" s="16"/>
      <c r="D980" s="15" t="s">
        <v>3997</v>
      </c>
      <c r="E980" s="17" t="s">
        <v>3998</v>
      </c>
      <c r="F980" s="18"/>
      <c r="G980" s="18"/>
      <c r="H980" s="15" t="s">
        <v>3999</v>
      </c>
      <c r="I980" s="18"/>
      <c r="J980" s="19" t="s">
        <v>59</v>
      </c>
      <c r="K980" s="19" t="s">
        <v>37</v>
      </c>
      <c r="L980" s="19" t="s">
        <v>38</v>
      </c>
      <c r="M980" s="20">
        <f t="shared" si="1"/>
        <v>0</v>
      </c>
      <c r="N980" s="21"/>
      <c r="O980" s="22"/>
      <c r="P980" s="19" t="s">
        <v>3578</v>
      </c>
      <c r="Q980" s="18"/>
      <c r="R980" s="18"/>
      <c r="S980" s="23">
        <v>0.0</v>
      </c>
      <c r="T980" s="23">
        <v>0.0</v>
      </c>
      <c r="U980" s="23">
        <f t="shared" si="2"/>
        <v>0</v>
      </c>
      <c r="V980" s="23">
        <f t="shared" si="3"/>
        <v>0</v>
      </c>
      <c r="W980" s="23">
        <f t="shared" si="4"/>
        <v>0</v>
      </c>
      <c r="X980" s="24" t="str">
        <f t="shared" si="5"/>
        <v>#DIV/0!</v>
      </c>
    </row>
    <row r="981">
      <c r="A981" s="15" t="s">
        <v>4000</v>
      </c>
      <c r="B981" s="15" t="s">
        <v>4001</v>
      </c>
      <c r="C981" s="16"/>
      <c r="D981" s="15" t="s">
        <v>4002</v>
      </c>
      <c r="E981" s="17" t="s">
        <v>4003</v>
      </c>
      <c r="F981" s="18"/>
      <c r="G981" s="18"/>
      <c r="H981" s="15" t="s">
        <v>3112</v>
      </c>
      <c r="I981" s="18"/>
      <c r="J981" s="19" t="s">
        <v>59</v>
      </c>
      <c r="K981" s="19" t="s">
        <v>37</v>
      </c>
      <c r="L981" s="19" t="s">
        <v>38</v>
      </c>
      <c r="M981" s="20">
        <f t="shared" si="1"/>
        <v>0</v>
      </c>
      <c r="N981" s="21"/>
      <c r="O981" s="22"/>
      <c r="P981" s="19" t="s">
        <v>3578</v>
      </c>
      <c r="Q981" s="18"/>
      <c r="R981" s="18"/>
      <c r="S981" s="23">
        <v>0.0</v>
      </c>
      <c r="T981" s="23">
        <v>0.0</v>
      </c>
      <c r="U981" s="23">
        <f t="shared" si="2"/>
        <v>0</v>
      </c>
      <c r="V981" s="23">
        <f t="shared" si="3"/>
        <v>0</v>
      </c>
      <c r="W981" s="23">
        <f t="shared" si="4"/>
        <v>0</v>
      </c>
      <c r="X981" s="24" t="str">
        <f t="shared" si="5"/>
        <v>#DIV/0!</v>
      </c>
    </row>
    <row r="982">
      <c r="A982" s="15" t="s">
        <v>4004</v>
      </c>
      <c r="B982" s="15" t="s">
        <v>4005</v>
      </c>
      <c r="C982" s="16"/>
      <c r="D982" s="15" t="s">
        <v>4006</v>
      </c>
      <c r="E982" s="17" t="s">
        <v>4007</v>
      </c>
      <c r="F982" s="18"/>
      <c r="G982" s="18"/>
      <c r="H982" s="15" t="s">
        <v>4008</v>
      </c>
      <c r="I982" s="18"/>
      <c r="J982" s="19" t="s">
        <v>59</v>
      </c>
      <c r="K982" s="19" t="s">
        <v>37</v>
      </c>
      <c r="L982" s="19" t="s">
        <v>38</v>
      </c>
      <c r="M982" s="20">
        <f t="shared" si="1"/>
        <v>0</v>
      </c>
      <c r="N982" s="21"/>
      <c r="O982" s="22"/>
      <c r="P982" s="19" t="s">
        <v>3578</v>
      </c>
      <c r="Q982" s="18"/>
      <c r="R982" s="18"/>
      <c r="S982" s="23">
        <v>0.0</v>
      </c>
      <c r="T982" s="23">
        <v>0.0</v>
      </c>
      <c r="U982" s="23">
        <f t="shared" si="2"/>
        <v>0</v>
      </c>
      <c r="V982" s="23">
        <f t="shared" si="3"/>
        <v>0</v>
      </c>
      <c r="W982" s="23">
        <f t="shared" si="4"/>
        <v>0</v>
      </c>
      <c r="X982" s="24" t="str">
        <f t="shared" si="5"/>
        <v>#DIV/0!</v>
      </c>
    </row>
    <row r="983">
      <c r="A983" s="15" t="s">
        <v>4009</v>
      </c>
      <c r="B983" s="15" t="s">
        <v>4010</v>
      </c>
      <c r="C983" s="16"/>
      <c r="D983" s="15" t="s">
        <v>4011</v>
      </c>
      <c r="E983" s="17" t="s">
        <v>4012</v>
      </c>
      <c r="F983" s="18"/>
      <c r="G983" s="18"/>
      <c r="H983" s="15" t="s">
        <v>4013</v>
      </c>
      <c r="I983" s="18"/>
      <c r="J983" s="19" t="s">
        <v>59</v>
      </c>
      <c r="K983" s="19" t="s">
        <v>37</v>
      </c>
      <c r="L983" s="19" t="s">
        <v>38</v>
      </c>
      <c r="M983" s="20">
        <f t="shared" si="1"/>
        <v>0</v>
      </c>
      <c r="N983" s="21"/>
      <c r="O983" s="22"/>
      <c r="P983" s="19" t="s">
        <v>3578</v>
      </c>
      <c r="Q983" s="18"/>
      <c r="R983" s="18"/>
      <c r="S983" s="23">
        <v>0.0</v>
      </c>
      <c r="T983" s="23">
        <v>0.0</v>
      </c>
      <c r="U983" s="23">
        <f t="shared" si="2"/>
        <v>0</v>
      </c>
      <c r="V983" s="23">
        <f t="shared" si="3"/>
        <v>0</v>
      </c>
      <c r="W983" s="23">
        <f t="shared" si="4"/>
        <v>0</v>
      </c>
      <c r="X983" s="24" t="str">
        <f t="shared" si="5"/>
        <v>#DIV/0!</v>
      </c>
    </row>
    <row r="984">
      <c r="A984" s="15" t="s">
        <v>4014</v>
      </c>
      <c r="B984" s="15" t="s">
        <v>4015</v>
      </c>
      <c r="C984" s="16"/>
      <c r="D984" s="15" t="s">
        <v>4016</v>
      </c>
      <c r="E984" s="17" t="s">
        <v>4017</v>
      </c>
      <c r="F984" s="18"/>
      <c r="G984" s="18"/>
      <c r="H984" s="15" t="s">
        <v>4018</v>
      </c>
      <c r="I984" s="18"/>
      <c r="J984" s="19" t="s">
        <v>59</v>
      </c>
      <c r="K984" s="19" t="s">
        <v>37</v>
      </c>
      <c r="L984" s="19" t="s">
        <v>38</v>
      </c>
      <c r="M984" s="20">
        <f t="shared" si="1"/>
        <v>0</v>
      </c>
      <c r="N984" s="21"/>
      <c r="O984" s="22"/>
      <c r="P984" s="19" t="s">
        <v>3578</v>
      </c>
      <c r="Q984" s="18"/>
      <c r="R984" s="18"/>
      <c r="S984" s="23">
        <v>0.0</v>
      </c>
      <c r="T984" s="23">
        <v>0.0</v>
      </c>
      <c r="U984" s="23">
        <f t="shared" si="2"/>
        <v>0</v>
      </c>
      <c r="V984" s="23">
        <f t="shared" si="3"/>
        <v>0</v>
      </c>
      <c r="W984" s="23">
        <f t="shared" si="4"/>
        <v>0</v>
      </c>
      <c r="X984" s="24" t="str">
        <f t="shared" si="5"/>
        <v>#DIV/0!</v>
      </c>
    </row>
    <row r="985">
      <c r="A985" s="15" t="s">
        <v>4019</v>
      </c>
      <c r="B985" s="15" t="s">
        <v>4020</v>
      </c>
      <c r="C985" s="16"/>
      <c r="D985" s="15" t="s">
        <v>4021</v>
      </c>
      <c r="E985" s="17" t="s">
        <v>4022</v>
      </c>
      <c r="F985" s="18"/>
      <c r="G985" s="18"/>
      <c r="H985" s="15" t="s">
        <v>4023</v>
      </c>
      <c r="I985" s="18"/>
      <c r="J985" s="19" t="s">
        <v>59</v>
      </c>
      <c r="K985" s="19" t="s">
        <v>37</v>
      </c>
      <c r="L985" s="19" t="s">
        <v>38</v>
      </c>
      <c r="M985" s="20">
        <f t="shared" si="1"/>
        <v>0</v>
      </c>
      <c r="N985" s="21"/>
      <c r="O985" s="22"/>
      <c r="P985" s="19" t="s">
        <v>3578</v>
      </c>
      <c r="Q985" s="18"/>
      <c r="R985" s="18"/>
      <c r="S985" s="23">
        <v>0.0</v>
      </c>
      <c r="T985" s="23">
        <v>0.0</v>
      </c>
      <c r="U985" s="23">
        <f t="shared" si="2"/>
        <v>0</v>
      </c>
      <c r="V985" s="23">
        <f t="shared" si="3"/>
        <v>0</v>
      </c>
      <c r="W985" s="23">
        <f t="shared" si="4"/>
        <v>0</v>
      </c>
      <c r="X985" s="24" t="str">
        <f t="shared" si="5"/>
        <v>#DIV/0!</v>
      </c>
    </row>
    <row r="986">
      <c r="A986" s="15" t="s">
        <v>4024</v>
      </c>
      <c r="B986" s="15" t="s">
        <v>4025</v>
      </c>
      <c r="C986" s="16"/>
      <c r="D986" s="15" t="s">
        <v>4026</v>
      </c>
      <c r="E986" s="17" t="s">
        <v>4027</v>
      </c>
      <c r="F986" s="18"/>
      <c r="G986" s="18"/>
      <c r="H986" s="15" t="s">
        <v>4028</v>
      </c>
      <c r="I986" s="18"/>
      <c r="J986" s="19" t="s">
        <v>59</v>
      </c>
      <c r="K986" s="19" t="s">
        <v>52</v>
      </c>
      <c r="L986" s="19" t="s">
        <v>135</v>
      </c>
      <c r="M986" s="20">
        <f t="shared" si="1"/>
        <v>0</v>
      </c>
      <c r="N986" s="21"/>
      <c r="O986" s="22"/>
      <c r="P986" s="19" t="s">
        <v>3578</v>
      </c>
      <c r="Q986" s="18"/>
      <c r="R986" s="18"/>
      <c r="S986" s="23">
        <v>0.0</v>
      </c>
      <c r="T986" s="23">
        <v>0.0</v>
      </c>
      <c r="U986" s="23">
        <f t="shared" si="2"/>
        <v>0</v>
      </c>
      <c r="V986" s="23">
        <f t="shared" si="3"/>
        <v>0</v>
      </c>
      <c r="W986" s="23">
        <f t="shared" si="4"/>
        <v>0</v>
      </c>
      <c r="X986" s="24" t="str">
        <f t="shared" si="5"/>
        <v>#DIV/0!</v>
      </c>
    </row>
    <row r="987">
      <c r="A987" s="15" t="s">
        <v>4029</v>
      </c>
      <c r="B987" s="15" t="s">
        <v>4030</v>
      </c>
      <c r="C987" s="16"/>
      <c r="D987" s="15" t="s">
        <v>4031</v>
      </c>
      <c r="E987" s="17" t="s">
        <v>4032</v>
      </c>
      <c r="F987" s="18"/>
      <c r="G987" s="18"/>
      <c r="H987" s="15" t="s">
        <v>4033</v>
      </c>
      <c r="I987" s="18"/>
      <c r="J987" s="19" t="s">
        <v>59</v>
      </c>
      <c r="K987" s="19" t="s">
        <v>603</v>
      </c>
      <c r="L987" s="19" t="s">
        <v>38</v>
      </c>
      <c r="M987" s="20">
        <f t="shared" si="1"/>
        <v>0</v>
      </c>
      <c r="N987" s="21"/>
      <c r="O987" s="22"/>
      <c r="P987" s="19" t="s">
        <v>3578</v>
      </c>
      <c r="Q987" s="18"/>
      <c r="R987" s="18"/>
      <c r="S987" s="23">
        <v>0.0</v>
      </c>
      <c r="T987" s="23">
        <v>0.0</v>
      </c>
      <c r="U987" s="23">
        <f t="shared" si="2"/>
        <v>0</v>
      </c>
      <c r="V987" s="23">
        <f t="shared" si="3"/>
        <v>0</v>
      </c>
      <c r="W987" s="23">
        <f t="shared" si="4"/>
        <v>0</v>
      </c>
      <c r="X987" s="24" t="str">
        <f t="shared" si="5"/>
        <v>#DIV/0!</v>
      </c>
    </row>
    <row r="988">
      <c r="A988" s="15" t="s">
        <v>4034</v>
      </c>
      <c r="B988" s="15" t="s">
        <v>4035</v>
      </c>
      <c r="C988" s="16"/>
      <c r="D988" s="15" t="s">
        <v>4036</v>
      </c>
      <c r="E988" s="17" t="s">
        <v>4037</v>
      </c>
      <c r="F988" s="18"/>
      <c r="G988" s="18"/>
      <c r="H988" s="15" t="s">
        <v>4038</v>
      </c>
      <c r="I988" s="18"/>
      <c r="J988" s="19" t="s">
        <v>59</v>
      </c>
      <c r="K988" s="19" t="s">
        <v>52</v>
      </c>
      <c r="L988" s="19" t="s">
        <v>52</v>
      </c>
      <c r="M988" s="20">
        <f t="shared" si="1"/>
        <v>0</v>
      </c>
      <c r="N988" s="21"/>
      <c r="O988" s="22"/>
      <c r="P988" s="19" t="s">
        <v>3578</v>
      </c>
      <c r="Q988" s="18"/>
      <c r="R988" s="18"/>
      <c r="S988" s="23">
        <v>0.0</v>
      </c>
      <c r="T988" s="23">
        <v>0.0</v>
      </c>
      <c r="U988" s="23">
        <f t="shared" si="2"/>
        <v>0</v>
      </c>
      <c r="V988" s="23">
        <f t="shared" si="3"/>
        <v>0</v>
      </c>
      <c r="W988" s="23">
        <f t="shared" si="4"/>
        <v>0</v>
      </c>
      <c r="X988" s="24" t="str">
        <f t="shared" si="5"/>
        <v>#DIV/0!</v>
      </c>
    </row>
    <row r="989">
      <c r="A989" s="15" t="s">
        <v>4039</v>
      </c>
      <c r="B989" s="15" t="s">
        <v>4040</v>
      </c>
      <c r="C989" s="16"/>
      <c r="D989" s="15" t="s">
        <v>4041</v>
      </c>
      <c r="E989" s="17" t="s">
        <v>4042</v>
      </c>
      <c r="F989" s="18"/>
      <c r="G989" s="18"/>
      <c r="H989" s="15" t="s">
        <v>4043</v>
      </c>
      <c r="I989" s="18"/>
      <c r="J989" s="19" t="s">
        <v>59</v>
      </c>
      <c r="K989" s="19" t="s">
        <v>284</v>
      </c>
      <c r="L989" s="19" t="s">
        <v>38</v>
      </c>
      <c r="M989" s="20">
        <f t="shared" si="1"/>
        <v>0</v>
      </c>
      <c r="N989" s="21"/>
      <c r="O989" s="22"/>
      <c r="P989" s="19" t="s">
        <v>3578</v>
      </c>
      <c r="Q989" s="18"/>
      <c r="R989" s="18"/>
      <c r="S989" s="23">
        <v>0.0</v>
      </c>
      <c r="T989" s="23">
        <v>0.0</v>
      </c>
      <c r="U989" s="23">
        <f t="shared" si="2"/>
        <v>0</v>
      </c>
      <c r="V989" s="23">
        <f t="shared" si="3"/>
        <v>0</v>
      </c>
      <c r="W989" s="23">
        <f t="shared" si="4"/>
        <v>0</v>
      </c>
      <c r="X989" s="24" t="str">
        <f t="shared" si="5"/>
        <v>#DIV/0!</v>
      </c>
    </row>
    <row r="990">
      <c r="A990" s="15" t="s">
        <v>4044</v>
      </c>
      <c r="B990" s="15" t="s">
        <v>4045</v>
      </c>
      <c r="C990" s="16"/>
      <c r="D990" s="15" t="s">
        <v>4046</v>
      </c>
      <c r="E990" s="17" t="s">
        <v>4047</v>
      </c>
      <c r="F990" s="18"/>
      <c r="G990" s="18"/>
      <c r="H990" s="15" t="s">
        <v>4048</v>
      </c>
      <c r="I990" s="18"/>
      <c r="J990" s="19" t="s">
        <v>59</v>
      </c>
      <c r="K990" s="19" t="s">
        <v>52</v>
      </c>
      <c r="L990" s="19" t="s">
        <v>52</v>
      </c>
      <c r="M990" s="20">
        <f t="shared" si="1"/>
        <v>0</v>
      </c>
      <c r="N990" s="21"/>
      <c r="O990" s="22"/>
      <c r="P990" s="19" t="s">
        <v>3578</v>
      </c>
      <c r="Q990" s="18"/>
      <c r="R990" s="18"/>
      <c r="S990" s="23">
        <v>0.0</v>
      </c>
      <c r="T990" s="23">
        <v>0.0</v>
      </c>
      <c r="U990" s="23">
        <f t="shared" si="2"/>
        <v>0</v>
      </c>
      <c r="V990" s="23">
        <f t="shared" si="3"/>
        <v>0</v>
      </c>
      <c r="W990" s="23">
        <f t="shared" si="4"/>
        <v>0</v>
      </c>
      <c r="X990" s="24" t="str">
        <f t="shared" si="5"/>
        <v>#DIV/0!</v>
      </c>
    </row>
    <row r="991">
      <c r="A991" s="15" t="s">
        <v>4049</v>
      </c>
      <c r="B991" s="15" t="s">
        <v>4050</v>
      </c>
      <c r="C991" s="16"/>
      <c r="D991" s="18"/>
      <c r="E991" s="17" t="s">
        <v>4051</v>
      </c>
      <c r="F991" s="18"/>
      <c r="G991" s="18"/>
      <c r="H991" s="15" t="s">
        <v>4052</v>
      </c>
      <c r="I991" s="18"/>
      <c r="J991" s="19" t="s">
        <v>59</v>
      </c>
      <c r="K991" s="19" t="s">
        <v>105</v>
      </c>
      <c r="L991" s="19" t="s">
        <v>38</v>
      </c>
      <c r="M991" s="20">
        <f t="shared" si="1"/>
        <v>0</v>
      </c>
      <c r="N991" s="21"/>
      <c r="O991" s="22"/>
      <c r="P991" s="19" t="s">
        <v>3578</v>
      </c>
      <c r="Q991" s="18"/>
      <c r="R991" s="18"/>
      <c r="S991" s="23">
        <v>0.0</v>
      </c>
      <c r="T991" s="23">
        <v>0.0</v>
      </c>
      <c r="U991" s="23">
        <f t="shared" si="2"/>
        <v>0</v>
      </c>
      <c r="V991" s="23">
        <f t="shared" si="3"/>
        <v>0</v>
      </c>
      <c r="W991" s="23">
        <f t="shared" si="4"/>
        <v>0</v>
      </c>
      <c r="X991" s="24" t="str">
        <f t="shared" si="5"/>
        <v>#DIV/0!</v>
      </c>
    </row>
    <row r="992">
      <c r="A992" s="15" t="s">
        <v>4053</v>
      </c>
      <c r="B992" s="15" t="s">
        <v>4054</v>
      </c>
      <c r="C992" s="16"/>
      <c r="D992" s="18"/>
      <c r="E992" s="17" t="s">
        <v>4055</v>
      </c>
      <c r="F992" s="18"/>
      <c r="G992" s="18"/>
      <c r="H992" s="15" t="s">
        <v>4056</v>
      </c>
      <c r="I992" s="18"/>
      <c r="J992" s="19" t="s">
        <v>59</v>
      </c>
      <c r="K992" s="19" t="s">
        <v>1230</v>
      </c>
      <c r="L992" s="19" t="s">
        <v>38</v>
      </c>
      <c r="M992" s="20">
        <f t="shared" si="1"/>
        <v>0</v>
      </c>
      <c r="N992" s="21"/>
      <c r="O992" s="22"/>
      <c r="P992" s="19" t="s">
        <v>3578</v>
      </c>
      <c r="Q992" s="18"/>
      <c r="R992" s="18"/>
      <c r="S992" s="23">
        <v>0.0</v>
      </c>
      <c r="T992" s="23">
        <v>0.0</v>
      </c>
      <c r="U992" s="23">
        <f t="shared" si="2"/>
        <v>0</v>
      </c>
      <c r="V992" s="23">
        <f t="shared" si="3"/>
        <v>0</v>
      </c>
      <c r="W992" s="23">
        <f t="shared" si="4"/>
        <v>0</v>
      </c>
      <c r="X992" s="24" t="str">
        <f t="shared" si="5"/>
        <v>#DIV/0!</v>
      </c>
    </row>
    <row r="993">
      <c r="A993" s="15" t="s">
        <v>4057</v>
      </c>
      <c r="B993" s="15" t="s">
        <v>4058</v>
      </c>
      <c r="C993" s="16"/>
      <c r="D993" s="15" t="s">
        <v>4059</v>
      </c>
      <c r="E993" s="17" t="s">
        <v>4060</v>
      </c>
      <c r="F993" s="18"/>
      <c r="G993" s="18"/>
      <c r="H993" s="15" t="s">
        <v>4061</v>
      </c>
      <c r="I993" s="18"/>
      <c r="J993" s="19" t="s">
        <v>59</v>
      </c>
      <c r="K993" s="19" t="s">
        <v>1230</v>
      </c>
      <c r="L993" s="19" t="s">
        <v>38</v>
      </c>
      <c r="M993" s="20">
        <f t="shared" si="1"/>
        <v>0</v>
      </c>
      <c r="N993" s="21"/>
      <c r="O993" s="22"/>
      <c r="P993" s="19" t="s">
        <v>3578</v>
      </c>
      <c r="Q993" s="18"/>
      <c r="R993" s="18"/>
      <c r="S993" s="23">
        <v>0.0</v>
      </c>
      <c r="T993" s="23">
        <v>0.0</v>
      </c>
      <c r="U993" s="23">
        <f t="shared" si="2"/>
        <v>0</v>
      </c>
      <c r="V993" s="23">
        <f t="shared" si="3"/>
        <v>0</v>
      </c>
      <c r="W993" s="23">
        <f t="shared" si="4"/>
        <v>0</v>
      </c>
      <c r="X993" s="24" t="str">
        <f t="shared" si="5"/>
        <v>#DIV/0!</v>
      </c>
    </row>
    <row r="994">
      <c r="A994" s="15" t="s">
        <v>4062</v>
      </c>
      <c r="B994" s="15" t="s">
        <v>4063</v>
      </c>
      <c r="C994" s="16"/>
      <c r="D994" s="18"/>
      <c r="E994" s="17" t="s">
        <v>4064</v>
      </c>
      <c r="F994" s="18"/>
      <c r="G994" s="18"/>
      <c r="H994" s="15" t="s">
        <v>4065</v>
      </c>
      <c r="I994" s="18"/>
      <c r="J994" s="19" t="s">
        <v>59</v>
      </c>
      <c r="K994" s="19" t="s">
        <v>1230</v>
      </c>
      <c r="L994" s="19" t="s">
        <v>38</v>
      </c>
      <c r="M994" s="20">
        <f t="shared" si="1"/>
        <v>0</v>
      </c>
      <c r="N994" s="21"/>
      <c r="O994" s="22"/>
      <c r="P994" s="19" t="s">
        <v>3578</v>
      </c>
      <c r="Q994" s="18"/>
      <c r="R994" s="18"/>
      <c r="S994" s="23">
        <v>0.0</v>
      </c>
      <c r="T994" s="23">
        <v>0.0</v>
      </c>
      <c r="U994" s="23">
        <f t="shared" si="2"/>
        <v>0</v>
      </c>
      <c r="V994" s="23">
        <f t="shared" si="3"/>
        <v>0</v>
      </c>
      <c r="W994" s="23">
        <f t="shared" si="4"/>
        <v>0</v>
      </c>
      <c r="X994" s="24" t="str">
        <f t="shared" si="5"/>
        <v>#DIV/0!</v>
      </c>
    </row>
    <row r="995">
      <c r="A995" s="15" t="s">
        <v>4066</v>
      </c>
      <c r="B995" s="15" t="s">
        <v>4067</v>
      </c>
      <c r="C995" s="16"/>
      <c r="D995" s="15" t="s">
        <v>4068</v>
      </c>
      <c r="E995" s="17" t="s">
        <v>4069</v>
      </c>
      <c r="F995" s="18"/>
      <c r="G995" s="18"/>
      <c r="H995" s="15" t="s">
        <v>4070</v>
      </c>
      <c r="I995" s="18"/>
      <c r="J995" s="19" t="s">
        <v>59</v>
      </c>
      <c r="K995" s="19" t="s">
        <v>284</v>
      </c>
      <c r="L995" s="19" t="s">
        <v>38</v>
      </c>
      <c r="M995" s="20">
        <f t="shared" si="1"/>
        <v>0</v>
      </c>
      <c r="N995" s="21"/>
      <c r="O995" s="22"/>
      <c r="P995" s="19" t="s">
        <v>3578</v>
      </c>
      <c r="Q995" s="18"/>
      <c r="R995" s="18"/>
      <c r="S995" s="23">
        <v>0.0</v>
      </c>
      <c r="T995" s="23">
        <v>0.0</v>
      </c>
      <c r="U995" s="23">
        <f t="shared" si="2"/>
        <v>0</v>
      </c>
      <c r="V995" s="23">
        <f t="shared" si="3"/>
        <v>0</v>
      </c>
      <c r="W995" s="23">
        <f t="shared" si="4"/>
        <v>0</v>
      </c>
      <c r="X995" s="24" t="str">
        <f t="shared" si="5"/>
        <v>#DIV/0!</v>
      </c>
    </row>
    <row r="996">
      <c r="A996" s="15" t="s">
        <v>4071</v>
      </c>
      <c r="B996" s="15" t="s">
        <v>4072</v>
      </c>
      <c r="C996" s="16"/>
      <c r="D996" s="15" t="s">
        <v>4073</v>
      </c>
      <c r="E996" s="17" t="s">
        <v>4074</v>
      </c>
      <c r="F996" s="18"/>
      <c r="G996" s="18"/>
      <c r="H996" s="15" t="s">
        <v>4075</v>
      </c>
      <c r="I996" s="18"/>
      <c r="J996" s="19" t="s">
        <v>59</v>
      </c>
      <c r="K996" s="19" t="s">
        <v>284</v>
      </c>
      <c r="L996" s="19" t="s">
        <v>38</v>
      </c>
      <c r="M996" s="20">
        <f t="shared" si="1"/>
        <v>0</v>
      </c>
      <c r="N996" s="21"/>
      <c r="O996" s="22"/>
      <c r="P996" s="19" t="s">
        <v>3578</v>
      </c>
      <c r="Q996" s="18"/>
      <c r="R996" s="18"/>
      <c r="S996" s="23">
        <v>0.0</v>
      </c>
      <c r="T996" s="23">
        <v>0.0</v>
      </c>
      <c r="U996" s="23">
        <f t="shared" si="2"/>
        <v>0</v>
      </c>
      <c r="V996" s="23">
        <f t="shared" si="3"/>
        <v>0</v>
      </c>
      <c r="W996" s="23">
        <f t="shared" si="4"/>
        <v>0</v>
      </c>
      <c r="X996" s="24" t="str">
        <f t="shared" si="5"/>
        <v>#DIV/0!</v>
      </c>
    </row>
    <row r="997">
      <c r="A997" s="15" t="s">
        <v>4076</v>
      </c>
      <c r="B997" s="15" t="s">
        <v>4077</v>
      </c>
      <c r="C997" s="16"/>
      <c r="D997" s="15" t="s">
        <v>4078</v>
      </c>
      <c r="E997" s="17" t="s">
        <v>4079</v>
      </c>
      <c r="F997" s="18"/>
      <c r="G997" s="18"/>
      <c r="H997" s="15" t="s">
        <v>4080</v>
      </c>
      <c r="I997" s="18"/>
      <c r="J997" s="19" t="s">
        <v>59</v>
      </c>
      <c r="K997" s="19" t="s">
        <v>52</v>
      </c>
      <c r="L997" s="19" t="s">
        <v>52</v>
      </c>
      <c r="M997" s="20">
        <f t="shared" si="1"/>
        <v>0</v>
      </c>
      <c r="N997" s="21"/>
      <c r="O997" s="22"/>
      <c r="P997" s="19" t="s">
        <v>3578</v>
      </c>
      <c r="Q997" s="18"/>
      <c r="R997" s="18"/>
      <c r="S997" s="23">
        <v>0.0</v>
      </c>
      <c r="T997" s="23">
        <v>0.0</v>
      </c>
      <c r="U997" s="23">
        <f t="shared" si="2"/>
        <v>0</v>
      </c>
      <c r="V997" s="23">
        <f t="shared" si="3"/>
        <v>0</v>
      </c>
      <c r="W997" s="23">
        <f t="shared" si="4"/>
        <v>0</v>
      </c>
      <c r="X997" s="24" t="str">
        <f t="shared" si="5"/>
        <v>#DIV/0!</v>
      </c>
    </row>
    <row r="998">
      <c r="A998" s="15" t="s">
        <v>4081</v>
      </c>
      <c r="B998" s="15" t="s">
        <v>4082</v>
      </c>
      <c r="C998" s="16"/>
      <c r="D998" s="18"/>
      <c r="E998" s="17" t="s">
        <v>4083</v>
      </c>
      <c r="F998" s="18"/>
      <c r="G998" s="18"/>
      <c r="H998" s="15" t="s">
        <v>4084</v>
      </c>
      <c r="I998" s="18"/>
      <c r="J998" s="19" t="s">
        <v>59</v>
      </c>
      <c r="K998" s="19" t="s">
        <v>52</v>
      </c>
      <c r="L998" s="19" t="s">
        <v>52</v>
      </c>
      <c r="M998" s="20">
        <f t="shared" si="1"/>
        <v>0</v>
      </c>
      <c r="N998" s="21"/>
      <c r="O998" s="22"/>
      <c r="P998" s="19" t="s">
        <v>3578</v>
      </c>
      <c r="Q998" s="18"/>
      <c r="R998" s="18"/>
      <c r="S998" s="23">
        <v>0.0</v>
      </c>
      <c r="T998" s="23">
        <v>0.0</v>
      </c>
      <c r="U998" s="23">
        <f t="shared" si="2"/>
        <v>0</v>
      </c>
      <c r="V998" s="23">
        <f t="shared" si="3"/>
        <v>0</v>
      </c>
      <c r="W998" s="23">
        <f t="shared" si="4"/>
        <v>0</v>
      </c>
      <c r="X998" s="24" t="str">
        <f t="shared" si="5"/>
        <v>#DIV/0!</v>
      </c>
    </row>
    <row r="999">
      <c r="A999" s="15" t="s">
        <v>4085</v>
      </c>
      <c r="B999" s="15" t="s">
        <v>4086</v>
      </c>
      <c r="C999" s="16"/>
      <c r="D999" s="15" t="s">
        <v>4087</v>
      </c>
      <c r="E999" s="17" t="s">
        <v>4088</v>
      </c>
      <c r="F999" s="18"/>
      <c r="G999" s="18"/>
      <c r="H999" s="15" t="s">
        <v>4089</v>
      </c>
      <c r="I999" s="18"/>
      <c r="J999" s="19" t="s">
        <v>59</v>
      </c>
      <c r="K999" s="19" t="s">
        <v>52</v>
      </c>
      <c r="L999" s="19" t="s">
        <v>135</v>
      </c>
      <c r="M999" s="20">
        <f t="shared" si="1"/>
        <v>0</v>
      </c>
      <c r="N999" s="21"/>
      <c r="O999" s="22"/>
      <c r="P999" s="19" t="s">
        <v>3578</v>
      </c>
      <c r="Q999" s="18"/>
      <c r="R999" s="18"/>
      <c r="S999" s="23">
        <v>0.0</v>
      </c>
      <c r="T999" s="23">
        <v>0.0</v>
      </c>
      <c r="U999" s="23">
        <f t="shared" si="2"/>
        <v>0</v>
      </c>
      <c r="V999" s="23">
        <f t="shared" si="3"/>
        <v>0</v>
      </c>
      <c r="W999" s="23">
        <f t="shared" si="4"/>
        <v>0</v>
      </c>
      <c r="X999" s="24" t="str">
        <f t="shared" si="5"/>
        <v>#DIV/0!</v>
      </c>
    </row>
    <row r="1000">
      <c r="A1000" s="15" t="s">
        <v>4090</v>
      </c>
      <c r="B1000" s="15" t="s">
        <v>4091</v>
      </c>
      <c r="C1000" s="16"/>
      <c r="D1000" s="15" t="s">
        <v>4092</v>
      </c>
      <c r="E1000" s="17" t="s">
        <v>4093</v>
      </c>
      <c r="F1000" s="18"/>
      <c r="G1000" s="18"/>
      <c r="H1000" s="15" t="s">
        <v>4094</v>
      </c>
      <c r="I1000" s="18"/>
      <c r="J1000" s="19" t="s">
        <v>59</v>
      </c>
      <c r="K1000" s="19" t="s">
        <v>60</v>
      </c>
      <c r="L1000" s="19" t="s">
        <v>135</v>
      </c>
      <c r="M1000" s="20">
        <f t="shared" si="1"/>
        <v>0</v>
      </c>
      <c r="N1000" s="21"/>
      <c r="O1000" s="22"/>
      <c r="P1000" s="19" t="s">
        <v>3578</v>
      </c>
      <c r="Q1000" s="18"/>
      <c r="R1000" s="18"/>
      <c r="S1000" s="23">
        <v>0.0</v>
      </c>
      <c r="T1000" s="23">
        <v>0.0</v>
      </c>
      <c r="U1000" s="23">
        <f t="shared" si="2"/>
        <v>0</v>
      </c>
      <c r="V1000" s="23">
        <f t="shared" si="3"/>
        <v>0</v>
      </c>
      <c r="W1000" s="23">
        <f t="shared" si="4"/>
        <v>0</v>
      </c>
      <c r="X1000" s="24" t="str">
        <f t="shared" si="5"/>
        <v>#DIV/0!</v>
      </c>
    </row>
    <row r="1001">
      <c r="A1001" s="15" t="s">
        <v>4095</v>
      </c>
      <c r="B1001" s="18" t="str">
        <f>CONCATENATE(7504589,A1001)</f>
        <v>75045891208</v>
      </c>
      <c r="C1001" s="16"/>
      <c r="D1001" s="15" t="s">
        <v>4096</v>
      </c>
      <c r="E1001" s="17" t="s">
        <v>4097</v>
      </c>
      <c r="F1001" s="18"/>
      <c r="G1001" s="18"/>
      <c r="H1001" s="15" t="s">
        <v>4098</v>
      </c>
      <c r="I1001" s="18"/>
      <c r="J1001" s="19" t="s">
        <v>59</v>
      </c>
      <c r="K1001" s="19" t="s">
        <v>60</v>
      </c>
      <c r="L1001" s="19" t="s">
        <v>135</v>
      </c>
      <c r="M1001" s="20">
        <f t="shared" si="1"/>
        <v>0</v>
      </c>
      <c r="N1001" s="21"/>
      <c r="O1001" s="22"/>
      <c r="P1001" s="19" t="s">
        <v>3578</v>
      </c>
      <c r="Q1001" s="18"/>
      <c r="R1001" s="18"/>
      <c r="S1001" s="23">
        <v>0.0</v>
      </c>
      <c r="T1001" s="23">
        <v>0.0</v>
      </c>
      <c r="U1001" s="23">
        <f t="shared" si="2"/>
        <v>0</v>
      </c>
      <c r="V1001" s="23">
        <f t="shared" si="3"/>
        <v>0</v>
      </c>
      <c r="W1001" s="23">
        <f t="shared" si="4"/>
        <v>0</v>
      </c>
      <c r="X1001" s="24" t="str">
        <f t="shared" si="5"/>
        <v>#DIV/0!</v>
      </c>
    </row>
    <row r="1002">
      <c r="A1002" s="15" t="s">
        <v>4099</v>
      </c>
      <c r="B1002" s="15" t="s">
        <v>4100</v>
      </c>
      <c r="C1002" s="16"/>
      <c r="D1002" s="15" t="s">
        <v>4101</v>
      </c>
      <c r="E1002" s="17" t="s">
        <v>4102</v>
      </c>
      <c r="F1002" s="18"/>
      <c r="G1002" s="18"/>
      <c r="H1002" s="15" t="s">
        <v>4103</v>
      </c>
      <c r="I1002" s="18"/>
      <c r="J1002" s="19" t="s">
        <v>59</v>
      </c>
      <c r="K1002" s="19" t="s">
        <v>52</v>
      </c>
      <c r="L1002" s="19" t="s">
        <v>52</v>
      </c>
      <c r="M1002" s="20">
        <f t="shared" si="1"/>
        <v>0</v>
      </c>
      <c r="N1002" s="21"/>
      <c r="O1002" s="22"/>
      <c r="P1002" s="19" t="s">
        <v>3578</v>
      </c>
      <c r="Q1002" s="18"/>
      <c r="R1002" s="18"/>
      <c r="S1002" s="23">
        <v>0.0</v>
      </c>
      <c r="T1002" s="23">
        <v>0.0</v>
      </c>
      <c r="U1002" s="23">
        <f t="shared" si="2"/>
        <v>0</v>
      </c>
      <c r="V1002" s="23">
        <f t="shared" si="3"/>
        <v>0</v>
      </c>
      <c r="W1002" s="23">
        <f t="shared" si="4"/>
        <v>0</v>
      </c>
      <c r="X1002" s="24" t="str">
        <f t="shared" si="5"/>
        <v>#DIV/0!</v>
      </c>
    </row>
    <row r="1003">
      <c r="A1003" s="15" t="s">
        <v>4104</v>
      </c>
      <c r="B1003" s="18" t="str">
        <f t="shared" ref="B1003:B1006" si="17">CONCATENATE(7504589,A1003)</f>
        <v>75045891211</v>
      </c>
      <c r="C1003" s="16"/>
      <c r="D1003" s="15" t="s">
        <v>4105</v>
      </c>
      <c r="E1003" s="17" t="s">
        <v>4106</v>
      </c>
      <c r="F1003" s="18"/>
      <c r="G1003" s="18"/>
      <c r="H1003" s="15" t="s">
        <v>4107</v>
      </c>
      <c r="I1003" s="18"/>
      <c r="J1003" s="19" t="s">
        <v>59</v>
      </c>
      <c r="K1003" s="19" t="s">
        <v>52</v>
      </c>
      <c r="L1003" s="19" t="s">
        <v>135</v>
      </c>
      <c r="M1003" s="20">
        <f t="shared" si="1"/>
        <v>0</v>
      </c>
      <c r="N1003" s="21"/>
      <c r="O1003" s="22"/>
      <c r="P1003" s="19" t="s">
        <v>3578</v>
      </c>
      <c r="Q1003" s="18"/>
      <c r="R1003" s="18"/>
      <c r="S1003" s="23">
        <v>0.0</v>
      </c>
      <c r="T1003" s="23">
        <v>0.0</v>
      </c>
      <c r="U1003" s="23">
        <f t="shared" si="2"/>
        <v>0</v>
      </c>
      <c r="V1003" s="23">
        <f t="shared" si="3"/>
        <v>0</v>
      </c>
      <c r="W1003" s="23">
        <f t="shared" si="4"/>
        <v>0</v>
      </c>
      <c r="X1003" s="24" t="str">
        <f t="shared" si="5"/>
        <v>#DIV/0!</v>
      </c>
    </row>
    <row r="1004">
      <c r="A1004" s="15" t="s">
        <v>4108</v>
      </c>
      <c r="B1004" s="18" t="str">
        <f t="shared" si="17"/>
        <v>75045891212</v>
      </c>
      <c r="C1004" s="16"/>
      <c r="D1004" s="15" t="s">
        <v>4109</v>
      </c>
      <c r="E1004" s="17" t="s">
        <v>4110</v>
      </c>
      <c r="F1004" s="18"/>
      <c r="G1004" s="18"/>
      <c r="H1004" s="15" t="s">
        <v>1377</v>
      </c>
      <c r="I1004" s="18"/>
      <c r="J1004" s="19" t="s">
        <v>59</v>
      </c>
      <c r="K1004" s="19" t="s">
        <v>52</v>
      </c>
      <c r="L1004" s="19" t="s">
        <v>135</v>
      </c>
      <c r="M1004" s="20">
        <f t="shared" si="1"/>
        <v>0</v>
      </c>
      <c r="N1004" s="21"/>
      <c r="O1004" s="22"/>
      <c r="P1004" s="19" t="s">
        <v>3578</v>
      </c>
      <c r="Q1004" s="18"/>
      <c r="R1004" s="18"/>
      <c r="S1004" s="23">
        <v>0.0</v>
      </c>
      <c r="T1004" s="23">
        <v>0.0</v>
      </c>
      <c r="U1004" s="23">
        <f t="shared" si="2"/>
        <v>0</v>
      </c>
      <c r="V1004" s="23">
        <f t="shared" si="3"/>
        <v>0</v>
      </c>
      <c r="W1004" s="23">
        <f t="shared" si="4"/>
        <v>0</v>
      </c>
      <c r="X1004" s="24" t="str">
        <f t="shared" si="5"/>
        <v>#DIV/0!</v>
      </c>
    </row>
    <row r="1005">
      <c r="A1005" s="15" t="s">
        <v>4111</v>
      </c>
      <c r="B1005" s="18" t="str">
        <f t="shared" si="17"/>
        <v>75045891213</v>
      </c>
      <c r="C1005" s="16"/>
      <c r="D1005" s="15" t="s">
        <v>4112</v>
      </c>
      <c r="E1005" s="17" t="s">
        <v>4113</v>
      </c>
      <c r="F1005" s="18"/>
      <c r="G1005" s="18"/>
      <c r="H1005" s="15" t="s">
        <v>4114</v>
      </c>
      <c r="I1005" s="18"/>
      <c r="J1005" s="19" t="s">
        <v>59</v>
      </c>
      <c r="K1005" s="19" t="s">
        <v>52</v>
      </c>
      <c r="L1005" s="19" t="s">
        <v>135</v>
      </c>
      <c r="M1005" s="20">
        <f t="shared" si="1"/>
        <v>0</v>
      </c>
      <c r="N1005" s="37" t="s">
        <v>79</v>
      </c>
      <c r="O1005" s="22"/>
      <c r="P1005" s="19" t="s">
        <v>3578</v>
      </c>
      <c r="Q1005" s="18"/>
      <c r="R1005" s="18"/>
      <c r="S1005" s="23">
        <v>0.0</v>
      </c>
      <c r="T1005" s="23">
        <v>0.0</v>
      </c>
      <c r="U1005" s="23">
        <f t="shared" si="2"/>
        <v>0</v>
      </c>
      <c r="V1005" s="23">
        <f t="shared" si="3"/>
        <v>0</v>
      </c>
      <c r="W1005" s="23">
        <f t="shared" si="4"/>
        <v>0</v>
      </c>
      <c r="X1005" s="24" t="str">
        <f t="shared" si="5"/>
        <v>#DIV/0!</v>
      </c>
    </row>
    <row r="1006">
      <c r="A1006" s="15" t="s">
        <v>4115</v>
      </c>
      <c r="B1006" s="18" t="str">
        <f t="shared" si="17"/>
        <v>75045891216</v>
      </c>
      <c r="C1006" s="16"/>
      <c r="D1006" s="15" t="s">
        <v>4116</v>
      </c>
      <c r="E1006" s="17" t="s">
        <v>4117</v>
      </c>
      <c r="F1006" s="18"/>
      <c r="G1006" s="18"/>
      <c r="H1006" s="15" t="s">
        <v>4118</v>
      </c>
      <c r="I1006" s="18"/>
      <c r="J1006" s="19" t="s">
        <v>59</v>
      </c>
      <c r="K1006" s="19" t="s">
        <v>52</v>
      </c>
      <c r="L1006" s="19" t="s">
        <v>135</v>
      </c>
      <c r="M1006" s="20">
        <f t="shared" si="1"/>
        <v>0</v>
      </c>
      <c r="N1006" s="21"/>
      <c r="O1006" s="22"/>
      <c r="P1006" s="19" t="s">
        <v>3578</v>
      </c>
      <c r="Q1006" s="18"/>
      <c r="R1006" s="18"/>
      <c r="S1006" s="23">
        <v>0.0</v>
      </c>
      <c r="T1006" s="23">
        <v>0.0</v>
      </c>
      <c r="U1006" s="23">
        <f t="shared" si="2"/>
        <v>0</v>
      </c>
      <c r="V1006" s="23">
        <f t="shared" si="3"/>
        <v>0</v>
      </c>
      <c r="W1006" s="23">
        <f t="shared" si="4"/>
        <v>0</v>
      </c>
      <c r="X1006" s="24" t="str">
        <f t="shared" si="5"/>
        <v>#DIV/0!</v>
      </c>
    </row>
    <row r="1007">
      <c r="A1007" s="15" t="s">
        <v>4119</v>
      </c>
      <c r="B1007" s="15" t="s">
        <v>4120</v>
      </c>
      <c r="C1007" s="16"/>
      <c r="D1007" s="15" t="s">
        <v>4121</v>
      </c>
      <c r="E1007" s="17" t="s">
        <v>4122</v>
      </c>
      <c r="F1007" s="18"/>
      <c r="G1007" s="18"/>
      <c r="H1007" s="15" t="s">
        <v>4123</v>
      </c>
      <c r="I1007" s="18"/>
      <c r="J1007" s="19" t="s">
        <v>59</v>
      </c>
      <c r="K1007" s="19" t="s">
        <v>52</v>
      </c>
      <c r="L1007" s="19" t="s">
        <v>52</v>
      </c>
      <c r="M1007" s="20">
        <f t="shared" si="1"/>
        <v>0</v>
      </c>
      <c r="N1007" s="21"/>
      <c r="O1007" s="22"/>
      <c r="P1007" s="19" t="s">
        <v>3578</v>
      </c>
      <c r="Q1007" s="18"/>
      <c r="R1007" s="18"/>
      <c r="S1007" s="23">
        <v>0.0</v>
      </c>
      <c r="T1007" s="23">
        <v>0.0</v>
      </c>
      <c r="U1007" s="23">
        <f t="shared" si="2"/>
        <v>0</v>
      </c>
      <c r="V1007" s="23">
        <f t="shared" si="3"/>
        <v>0</v>
      </c>
      <c r="W1007" s="23">
        <f t="shared" si="4"/>
        <v>0</v>
      </c>
      <c r="X1007" s="24" t="str">
        <f t="shared" si="5"/>
        <v>#DIV/0!</v>
      </c>
    </row>
    <row r="1008">
      <c r="A1008" s="15" t="s">
        <v>4124</v>
      </c>
      <c r="B1008" s="15" t="s">
        <v>4125</v>
      </c>
      <c r="C1008" s="16"/>
      <c r="D1008" s="15" t="s">
        <v>4126</v>
      </c>
      <c r="E1008" s="17" t="s">
        <v>4127</v>
      </c>
      <c r="F1008" s="18"/>
      <c r="G1008" s="18"/>
      <c r="H1008" s="15" t="s">
        <v>4128</v>
      </c>
      <c r="I1008" s="18"/>
      <c r="J1008" s="19" t="s">
        <v>59</v>
      </c>
      <c r="K1008" s="19" t="s">
        <v>52</v>
      </c>
      <c r="L1008" s="19" t="s">
        <v>52</v>
      </c>
      <c r="M1008" s="20">
        <f t="shared" si="1"/>
        <v>0</v>
      </c>
      <c r="N1008" s="21"/>
      <c r="O1008" s="22"/>
      <c r="P1008" s="19" t="s">
        <v>3578</v>
      </c>
      <c r="Q1008" s="18"/>
      <c r="R1008" s="18"/>
      <c r="S1008" s="23">
        <v>0.0</v>
      </c>
      <c r="T1008" s="23">
        <v>0.0</v>
      </c>
      <c r="U1008" s="23">
        <f t="shared" si="2"/>
        <v>0</v>
      </c>
      <c r="V1008" s="23">
        <f t="shared" si="3"/>
        <v>0</v>
      </c>
      <c r="W1008" s="23">
        <f t="shared" si="4"/>
        <v>0</v>
      </c>
      <c r="X1008" s="24" t="str">
        <f t="shared" si="5"/>
        <v>#DIV/0!</v>
      </c>
    </row>
    <row r="1009">
      <c r="A1009" s="15" t="s">
        <v>4129</v>
      </c>
      <c r="B1009" s="15" t="s">
        <v>4130</v>
      </c>
      <c r="C1009" s="16"/>
      <c r="D1009" s="15" t="s">
        <v>4131</v>
      </c>
      <c r="E1009" s="17" t="s">
        <v>4132</v>
      </c>
      <c r="F1009" s="18"/>
      <c r="G1009" s="18"/>
      <c r="H1009" s="15" t="s">
        <v>4133</v>
      </c>
      <c r="I1009" s="18"/>
      <c r="J1009" s="19" t="s">
        <v>59</v>
      </c>
      <c r="K1009" s="19" t="s">
        <v>52</v>
      </c>
      <c r="L1009" s="19" t="s">
        <v>52</v>
      </c>
      <c r="M1009" s="20">
        <f t="shared" si="1"/>
        <v>0</v>
      </c>
      <c r="N1009" s="21"/>
      <c r="O1009" s="22"/>
      <c r="P1009" s="19" t="s">
        <v>3578</v>
      </c>
      <c r="Q1009" s="18"/>
      <c r="R1009" s="18"/>
      <c r="S1009" s="23">
        <v>0.0</v>
      </c>
      <c r="T1009" s="23">
        <v>0.0</v>
      </c>
      <c r="U1009" s="23">
        <f t="shared" si="2"/>
        <v>0</v>
      </c>
      <c r="V1009" s="23">
        <f t="shared" si="3"/>
        <v>0</v>
      </c>
      <c r="W1009" s="23">
        <f t="shared" si="4"/>
        <v>0</v>
      </c>
      <c r="X1009" s="24" t="str">
        <f t="shared" si="5"/>
        <v>#DIV/0!</v>
      </c>
    </row>
    <row r="1010">
      <c r="A1010" s="15" t="s">
        <v>4134</v>
      </c>
      <c r="B1010" s="15" t="s">
        <v>4135</v>
      </c>
      <c r="C1010" s="16"/>
      <c r="D1010" s="15" t="s">
        <v>4136</v>
      </c>
      <c r="E1010" s="17" t="s">
        <v>4137</v>
      </c>
      <c r="F1010" s="18"/>
      <c r="G1010" s="18"/>
      <c r="H1010" s="15" t="s">
        <v>4138</v>
      </c>
      <c r="I1010" s="18"/>
      <c r="J1010" s="19" t="s">
        <v>59</v>
      </c>
      <c r="K1010" s="19" t="s">
        <v>52</v>
      </c>
      <c r="L1010" s="19" t="s">
        <v>52</v>
      </c>
      <c r="M1010" s="20">
        <f t="shared" si="1"/>
        <v>0</v>
      </c>
      <c r="N1010" s="21"/>
      <c r="O1010" s="22"/>
      <c r="P1010" s="19" t="s">
        <v>3578</v>
      </c>
      <c r="Q1010" s="18"/>
      <c r="R1010" s="18"/>
      <c r="S1010" s="23">
        <v>0.0</v>
      </c>
      <c r="T1010" s="23">
        <v>0.0</v>
      </c>
      <c r="U1010" s="23">
        <f t="shared" si="2"/>
        <v>0</v>
      </c>
      <c r="V1010" s="23">
        <f t="shared" si="3"/>
        <v>0</v>
      </c>
      <c r="W1010" s="23">
        <f t="shared" si="4"/>
        <v>0</v>
      </c>
      <c r="X1010" s="24" t="str">
        <f t="shared" si="5"/>
        <v>#DIV/0!</v>
      </c>
    </row>
    <row r="1011">
      <c r="A1011" s="15" t="s">
        <v>4139</v>
      </c>
      <c r="B1011" s="15" t="s">
        <v>4140</v>
      </c>
      <c r="C1011" s="16"/>
      <c r="D1011" s="15" t="s">
        <v>4141</v>
      </c>
      <c r="E1011" s="17" t="s">
        <v>4142</v>
      </c>
      <c r="F1011" s="18"/>
      <c r="G1011" s="18"/>
      <c r="H1011" s="15" t="s">
        <v>4143</v>
      </c>
      <c r="I1011" s="15" t="s">
        <v>4144</v>
      </c>
      <c r="J1011" s="19" t="s">
        <v>59</v>
      </c>
      <c r="K1011" s="19" t="s">
        <v>60</v>
      </c>
      <c r="L1011" s="19" t="s">
        <v>115</v>
      </c>
      <c r="M1011" s="20">
        <f t="shared" si="1"/>
        <v>0</v>
      </c>
      <c r="N1011" s="21"/>
      <c r="O1011" s="22"/>
      <c r="P1011" s="19" t="s">
        <v>3578</v>
      </c>
      <c r="Q1011" s="18"/>
      <c r="R1011" s="18"/>
      <c r="S1011" s="23">
        <v>0.0</v>
      </c>
      <c r="T1011" s="23">
        <v>0.0</v>
      </c>
      <c r="U1011" s="23">
        <f t="shared" si="2"/>
        <v>0</v>
      </c>
      <c r="V1011" s="23">
        <f t="shared" si="3"/>
        <v>0</v>
      </c>
      <c r="W1011" s="23">
        <f t="shared" si="4"/>
        <v>0</v>
      </c>
      <c r="X1011" s="24" t="str">
        <f t="shared" si="5"/>
        <v>#DIV/0!</v>
      </c>
    </row>
    <row r="1012">
      <c r="A1012" s="15" t="s">
        <v>4145</v>
      </c>
      <c r="B1012" s="15" t="s">
        <v>4146</v>
      </c>
      <c r="C1012" s="16"/>
      <c r="D1012" s="15" t="s">
        <v>4147</v>
      </c>
      <c r="E1012" s="17" t="s">
        <v>4148</v>
      </c>
      <c r="F1012" s="18"/>
      <c r="G1012" s="18"/>
      <c r="H1012" s="15" t="s">
        <v>4149</v>
      </c>
      <c r="I1012" s="18"/>
      <c r="J1012" s="19" t="s">
        <v>59</v>
      </c>
      <c r="K1012" s="19" t="s">
        <v>60</v>
      </c>
      <c r="L1012" s="19" t="s">
        <v>115</v>
      </c>
      <c r="M1012" s="20">
        <f t="shared" si="1"/>
        <v>0</v>
      </c>
      <c r="N1012" s="21"/>
      <c r="O1012" s="22"/>
      <c r="P1012" s="19" t="s">
        <v>3578</v>
      </c>
      <c r="Q1012" s="18"/>
      <c r="R1012" s="18"/>
      <c r="S1012" s="23">
        <v>0.0</v>
      </c>
      <c r="T1012" s="23">
        <v>0.0</v>
      </c>
      <c r="U1012" s="23">
        <f t="shared" si="2"/>
        <v>0</v>
      </c>
      <c r="V1012" s="23">
        <f t="shared" si="3"/>
        <v>0</v>
      </c>
      <c r="W1012" s="23">
        <f t="shared" si="4"/>
        <v>0</v>
      </c>
      <c r="X1012" s="24" t="str">
        <f t="shared" si="5"/>
        <v>#DIV/0!</v>
      </c>
    </row>
    <row r="1013">
      <c r="A1013" s="15" t="s">
        <v>4150</v>
      </c>
      <c r="B1013" s="15" t="s">
        <v>4151</v>
      </c>
      <c r="C1013" s="16"/>
      <c r="D1013" s="15" t="s">
        <v>4152</v>
      </c>
      <c r="E1013" s="17" t="s">
        <v>4153</v>
      </c>
      <c r="F1013" s="18"/>
      <c r="G1013" s="18"/>
      <c r="H1013" s="15" t="s">
        <v>4154</v>
      </c>
      <c r="I1013" s="18"/>
      <c r="J1013" s="19" t="s">
        <v>59</v>
      </c>
      <c r="K1013" s="19" t="s">
        <v>52</v>
      </c>
      <c r="L1013" s="19" t="s">
        <v>135</v>
      </c>
      <c r="M1013" s="20">
        <f t="shared" si="1"/>
        <v>0</v>
      </c>
      <c r="N1013" s="21"/>
      <c r="O1013" s="22"/>
      <c r="P1013" s="19" t="s">
        <v>3578</v>
      </c>
      <c r="Q1013" s="18"/>
      <c r="R1013" s="18"/>
      <c r="S1013" s="23">
        <v>0.0</v>
      </c>
      <c r="T1013" s="23">
        <v>0.0</v>
      </c>
      <c r="U1013" s="23">
        <f t="shared" si="2"/>
        <v>0</v>
      </c>
      <c r="V1013" s="23">
        <f t="shared" si="3"/>
        <v>0</v>
      </c>
      <c r="W1013" s="23">
        <f t="shared" si="4"/>
        <v>0</v>
      </c>
      <c r="X1013" s="24" t="str">
        <f t="shared" si="5"/>
        <v>#DIV/0!</v>
      </c>
    </row>
    <row r="1014">
      <c r="A1014" s="15" t="s">
        <v>4155</v>
      </c>
      <c r="B1014" s="15" t="s">
        <v>4156</v>
      </c>
      <c r="C1014" s="16"/>
      <c r="D1014" s="15" t="s">
        <v>4157</v>
      </c>
      <c r="E1014" s="17" t="s">
        <v>4158</v>
      </c>
      <c r="F1014" s="18"/>
      <c r="G1014" s="18"/>
      <c r="H1014" s="15" t="s">
        <v>4159</v>
      </c>
      <c r="I1014" s="18"/>
      <c r="J1014" s="19" t="s">
        <v>59</v>
      </c>
      <c r="K1014" s="19" t="s">
        <v>52</v>
      </c>
      <c r="L1014" s="19" t="s">
        <v>135</v>
      </c>
      <c r="M1014" s="20">
        <f t="shared" si="1"/>
        <v>0</v>
      </c>
      <c r="N1014" s="21"/>
      <c r="O1014" s="22"/>
      <c r="P1014" s="19" t="s">
        <v>3578</v>
      </c>
      <c r="Q1014" s="18"/>
      <c r="R1014" s="18"/>
      <c r="S1014" s="23">
        <v>0.0</v>
      </c>
      <c r="T1014" s="23">
        <v>0.0</v>
      </c>
      <c r="U1014" s="23">
        <f t="shared" si="2"/>
        <v>0</v>
      </c>
      <c r="V1014" s="23">
        <f t="shared" si="3"/>
        <v>0</v>
      </c>
      <c r="W1014" s="23">
        <f t="shared" si="4"/>
        <v>0</v>
      </c>
      <c r="X1014" s="24" t="str">
        <f t="shared" si="5"/>
        <v>#DIV/0!</v>
      </c>
    </row>
    <row r="1015">
      <c r="A1015" s="15" t="s">
        <v>4160</v>
      </c>
      <c r="B1015" s="15" t="s">
        <v>4161</v>
      </c>
      <c r="C1015" s="16"/>
      <c r="D1015" s="15" t="s">
        <v>4162</v>
      </c>
      <c r="E1015" s="17" t="s">
        <v>4163</v>
      </c>
      <c r="F1015" s="18"/>
      <c r="G1015" s="18"/>
      <c r="H1015" s="15" t="s">
        <v>4164</v>
      </c>
      <c r="I1015" s="18"/>
      <c r="J1015" s="19" t="s">
        <v>59</v>
      </c>
      <c r="K1015" s="19" t="s">
        <v>52</v>
      </c>
      <c r="L1015" s="19" t="s">
        <v>135</v>
      </c>
      <c r="M1015" s="20">
        <f t="shared" si="1"/>
        <v>0</v>
      </c>
      <c r="N1015" s="21"/>
      <c r="O1015" s="22"/>
      <c r="P1015" s="19" t="s">
        <v>3578</v>
      </c>
      <c r="Q1015" s="18"/>
      <c r="R1015" s="18"/>
      <c r="S1015" s="23">
        <v>0.0</v>
      </c>
      <c r="T1015" s="23">
        <v>0.0</v>
      </c>
      <c r="U1015" s="23">
        <f t="shared" si="2"/>
        <v>0</v>
      </c>
      <c r="V1015" s="23">
        <f t="shared" si="3"/>
        <v>0</v>
      </c>
      <c r="W1015" s="23">
        <f t="shared" si="4"/>
        <v>0</v>
      </c>
      <c r="X1015" s="24" t="str">
        <f t="shared" si="5"/>
        <v>#DIV/0!</v>
      </c>
    </row>
    <row r="1016">
      <c r="A1016" s="15" t="s">
        <v>4165</v>
      </c>
      <c r="B1016" s="15" t="s">
        <v>4166</v>
      </c>
      <c r="C1016" s="16"/>
      <c r="D1016" s="15" t="s">
        <v>4167</v>
      </c>
      <c r="E1016" s="17" t="s">
        <v>4168</v>
      </c>
      <c r="F1016" s="18"/>
      <c r="G1016" s="18"/>
      <c r="H1016" s="15" t="s">
        <v>4169</v>
      </c>
      <c r="I1016" s="18"/>
      <c r="J1016" s="19" t="s">
        <v>59</v>
      </c>
      <c r="K1016" s="19" t="s">
        <v>52</v>
      </c>
      <c r="L1016" s="19" t="s">
        <v>115</v>
      </c>
      <c r="M1016" s="20">
        <f t="shared" si="1"/>
        <v>0</v>
      </c>
      <c r="N1016" s="21"/>
      <c r="O1016" s="22"/>
      <c r="P1016" s="19" t="s">
        <v>3578</v>
      </c>
      <c r="Q1016" s="18"/>
      <c r="R1016" s="18"/>
      <c r="S1016" s="23">
        <v>0.0</v>
      </c>
      <c r="T1016" s="23">
        <v>0.0</v>
      </c>
      <c r="U1016" s="23">
        <f t="shared" si="2"/>
        <v>0</v>
      </c>
      <c r="V1016" s="23">
        <f t="shared" si="3"/>
        <v>0</v>
      </c>
      <c r="W1016" s="23">
        <f t="shared" si="4"/>
        <v>0</v>
      </c>
      <c r="X1016" s="24" t="str">
        <f t="shared" si="5"/>
        <v>#DIV/0!</v>
      </c>
    </row>
    <row r="1017">
      <c r="A1017" s="15" t="s">
        <v>4170</v>
      </c>
      <c r="B1017" s="15" t="s">
        <v>4171</v>
      </c>
      <c r="C1017" s="16"/>
      <c r="D1017" s="15" t="s">
        <v>4172</v>
      </c>
      <c r="E1017" s="17" t="s">
        <v>4173</v>
      </c>
      <c r="F1017" s="18"/>
      <c r="G1017" s="18"/>
      <c r="H1017" s="15" t="s">
        <v>4174</v>
      </c>
      <c r="I1017" s="18"/>
      <c r="J1017" s="19" t="s">
        <v>59</v>
      </c>
      <c r="K1017" s="19" t="s">
        <v>52</v>
      </c>
      <c r="L1017" s="19" t="s">
        <v>115</v>
      </c>
      <c r="M1017" s="20">
        <f t="shared" si="1"/>
        <v>0</v>
      </c>
      <c r="N1017" s="21"/>
      <c r="O1017" s="22"/>
      <c r="P1017" s="19" t="s">
        <v>3578</v>
      </c>
      <c r="Q1017" s="18"/>
      <c r="R1017" s="18"/>
      <c r="S1017" s="23">
        <v>0.0</v>
      </c>
      <c r="T1017" s="23">
        <v>0.0</v>
      </c>
      <c r="U1017" s="23">
        <f t="shared" si="2"/>
        <v>0</v>
      </c>
      <c r="V1017" s="23">
        <f t="shared" si="3"/>
        <v>0</v>
      </c>
      <c r="W1017" s="23">
        <f t="shared" si="4"/>
        <v>0</v>
      </c>
      <c r="X1017" s="24" t="str">
        <f t="shared" si="5"/>
        <v>#DIV/0!</v>
      </c>
    </row>
    <row r="1018">
      <c r="A1018" s="15" t="s">
        <v>4175</v>
      </c>
      <c r="B1018" s="18" t="str">
        <f>CONCATENATE(7504589, A1018)</f>
        <v>75045891235</v>
      </c>
      <c r="C1018" s="16"/>
      <c r="D1018" s="15" t="s">
        <v>4176</v>
      </c>
      <c r="E1018" s="17" t="s">
        <v>4177</v>
      </c>
      <c r="F1018" s="18"/>
      <c r="G1018" s="18"/>
      <c r="H1018" s="15" t="s">
        <v>4178</v>
      </c>
      <c r="I1018" s="18"/>
      <c r="J1018" s="19" t="s">
        <v>59</v>
      </c>
      <c r="K1018" s="19" t="s">
        <v>52</v>
      </c>
      <c r="L1018" s="19" t="s">
        <v>52</v>
      </c>
      <c r="M1018" s="20">
        <f t="shared" si="1"/>
        <v>0</v>
      </c>
      <c r="N1018" s="21"/>
      <c r="O1018" s="22"/>
      <c r="P1018" s="19" t="s">
        <v>3578</v>
      </c>
      <c r="Q1018" s="18"/>
      <c r="R1018" s="18"/>
      <c r="S1018" s="23">
        <v>0.0</v>
      </c>
      <c r="T1018" s="23">
        <v>0.0</v>
      </c>
      <c r="U1018" s="23">
        <f t="shared" si="2"/>
        <v>0</v>
      </c>
      <c r="V1018" s="23">
        <f t="shared" si="3"/>
        <v>0</v>
      </c>
      <c r="W1018" s="23">
        <f t="shared" si="4"/>
        <v>0</v>
      </c>
      <c r="X1018" s="24" t="str">
        <f t="shared" si="5"/>
        <v>#DIV/0!</v>
      </c>
    </row>
    <row r="1019">
      <c r="A1019" s="15" t="s">
        <v>4179</v>
      </c>
      <c r="B1019" s="15" t="s">
        <v>4180</v>
      </c>
      <c r="C1019" s="16" t="str">
        <f>IMAGE("https://i.ibb.co/3ySMrJQ8/1237.png")</f>
        <v/>
      </c>
      <c r="D1019" s="15" t="s">
        <v>4181</v>
      </c>
      <c r="E1019" s="17" t="s">
        <v>4182</v>
      </c>
      <c r="F1019" s="18"/>
      <c r="G1019" s="18"/>
      <c r="H1019" s="15" t="s">
        <v>4183</v>
      </c>
      <c r="I1019" s="18"/>
      <c r="J1019" s="19" t="s">
        <v>36</v>
      </c>
      <c r="K1019" s="19" t="s">
        <v>52</v>
      </c>
      <c r="L1019" s="19" t="s">
        <v>52</v>
      </c>
      <c r="M1019" s="20">
        <f t="shared" si="1"/>
        <v>0</v>
      </c>
      <c r="N1019" s="37" t="s">
        <v>68</v>
      </c>
      <c r="O1019" s="22"/>
      <c r="P1019" s="19" t="s">
        <v>3578</v>
      </c>
      <c r="Q1019" s="18"/>
      <c r="R1019" s="18"/>
      <c r="S1019" s="23">
        <v>0.0</v>
      </c>
      <c r="T1019" s="23">
        <v>0.0</v>
      </c>
      <c r="U1019" s="23">
        <f t="shared" si="2"/>
        <v>0</v>
      </c>
      <c r="V1019" s="23">
        <f t="shared" si="3"/>
        <v>0</v>
      </c>
      <c r="W1019" s="23">
        <f t="shared" si="4"/>
        <v>0</v>
      </c>
      <c r="X1019" s="24" t="str">
        <f t="shared" si="5"/>
        <v>#DIV/0!</v>
      </c>
    </row>
    <row r="1020">
      <c r="A1020" s="15" t="s">
        <v>4184</v>
      </c>
      <c r="B1020" s="15" t="s">
        <v>4185</v>
      </c>
      <c r="C1020" s="16" t="str">
        <f>IMAGE("https://i.ibb.co/9khZT5wh/1239.png")</f>
        <v/>
      </c>
      <c r="D1020" s="15" t="s">
        <v>4186</v>
      </c>
      <c r="E1020" s="17" t="s">
        <v>4187</v>
      </c>
      <c r="F1020" s="18"/>
      <c r="G1020" s="18"/>
      <c r="H1020" s="15" t="s">
        <v>4188</v>
      </c>
      <c r="I1020" s="18"/>
      <c r="J1020" s="19" t="s">
        <v>36</v>
      </c>
      <c r="K1020" s="19" t="s">
        <v>52</v>
      </c>
      <c r="L1020" s="19" t="s">
        <v>52</v>
      </c>
      <c r="M1020" s="20">
        <f t="shared" si="1"/>
        <v>0</v>
      </c>
      <c r="N1020" s="21"/>
      <c r="O1020" s="22"/>
      <c r="P1020" s="19" t="s">
        <v>3578</v>
      </c>
      <c r="Q1020" s="18"/>
      <c r="R1020" s="18"/>
      <c r="S1020" s="23">
        <v>0.0</v>
      </c>
      <c r="T1020" s="23">
        <v>0.0</v>
      </c>
      <c r="U1020" s="23">
        <f t="shared" si="2"/>
        <v>0</v>
      </c>
      <c r="V1020" s="23">
        <f t="shared" si="3"/>
        <v>0</v>
      </c>
      <c r="W1020" s="23">
        <f t="shared" si="4"/>
        <v>0</v>
      </c>
      <c r="X1020" s="24" t="str">
        <f t="shared" si="5"/>
        <v>#DIV/0!</v>
      </c>
    </row>
    <row r="1021">
      <c r="A1021" s="15" t="s">
        <v>4189</v>
      </c>
      <c r="B1021" s="15" t="s">
        <v>4190</v>
      </c>
      <c r="C1021" s="16" t="str">
        <f>IMAGE("https://i.ibb.co/9HPGPZXM/1240.png")</f>
        <v/>
      </c>
      <c r="D1021" s="15" t="s">
        <v>4191</v>
      </c>
      <c r="E1021" s="17" t="s">
        <v>4192</v>
      </c>
      <c r="F1021" s="18"/>
      <c r="G1021" s="18"/>
      <c r="H1021" s="15" t="s">
        <v>4193</v>
      </c>
      <c r="I1021" s="18"/>
      <c r="J1021" s="19" t="s">
        <v>36</v>
      </c>
      <c r="K1021" s="19" t="s">
        <v>52</v>
      </c>
      <c r="L1021" s="19" t="s">
        <v>52</v>
      </c>
      <c r="M1021" s="20">
        <f t="shared" si="1"/>
        <v>0</v>
      </c>
      <c r="N1021" s="21"/>
      <c r="O1021" s="22"/>
      <c r="P1021" s="19" t="s">
        <v>3578</v>
      </c>
      <c r="Q1021" s="18"/>
      <c r="R1021" s="18"/>
      <c r="S1021" s="23">
        <v>0.0</v>
      </c>
      <c r="T1021" s="23">
        <v>0.0</v>
      </c>
      <c r="U1021" s="23">
        <f t="shared" si="2"/>
        <v>0</v>
      </c>
      <c r="V1021" s="23">
        <f t="shared" si="3"/>
        <v>0</v>
      </c>
      <c r="W1021" s="23">
        <f t="shared" si="4"/>
        <v>0</v>
      </c>
      <c r="X1021" s="24" t="str">
        <f t="shared" si="5"/>
        <v>#DIV/0!</v>
      </c>
    </row>
    <row r="1022">
      <c r="A1022" s="15" t="s">
        <v>4194</v>
      </c>
      <c r="B1022" s="15" t="s">
        <v>4195</v>
      </c>
      <c r="C1022" s="16" t="str">
        <f>IMAGE("https://i.ibb.co/ycfq2NhV/1241.png")</f>
        <v/>
      </c>
      <c r="D1022" s="15" t="s">
        <v>4196</v>
      </c>
      <c r="E1022" s="17" t="s">
        <v>4197</v>
      </c>
      <c r="F1022" s="18"/>
      <c r="G1022" s="18"/>
      <c r="H1022" s="15" t="s">
        <v>4198</v>
      </c>
      <c r="I1022" s="18"/>
      <c r="J1022" s="19" t="s">
        <v>36</v>
      </c>
      <c r="K1022" s="19" t="s">
        <v>52</v>
      </c>
      <c r="L1022" s="19" t="s">
        <v>52</v>
      </c>
      <c r="M1022" s="20">
        <f t="shared" si="1"/>
        <v>0</v>
      </c>
      <c r="N1022" s="21"/>
      <c r="O1022" s="22"/>
      <c r="P1022" s="19" t="s">
        <v>3578</v>
      </c>
      <c r="Q1022" s="18"/>
      <c r="R1022" s="18"/>
      <c r="S1022" s="23">
        <v>0.0</v>
      </c>
      <c r="T1022" s="23">
        <v>0.0</v>
      </c>
      <c r="U1022" s="23">
        <f t="shared" si="2"/>
        <v>0</v>
      </c>
      <c r="V1022" s="23">
        <f t="shared" si="3"/>
        <v>0</v>
      </c>
      <c r="W1022" s="23">
        <f t="shared" si="4"/>
        <v>0</v>
      </c>
      <c r="X1022" s="24" t="str">
        <f t="shared" si="5"/>
        <v>#DIV/0!</v>
      </c>
    </row>
    <row r="1023">
      <c r="A1023" s="15" t="s">
        <v>4199</v>
      </c>
      <c r="B1023" s="15" t="s">
        <v>4200</v>
      </c>
      <c r="C1023" s="16" t="str">
        <f>IMAGE("https://i.ibb.co/tP3JJmQ9/1242.png")</f>
        <v/>
      </c>
      <c r="D1023" s="15" t="s">
        <v>4201</v>
      </c>
      <c r="E1023" s="17" t="s">
        <v>4202</v>
      </c>
      <c r="F1023" s="18"/>
      <c r="G1023" s="18"/>
      <c r="H1023" s="15" t="s">
        <v>4203</v>
      </c>
      <c r="I1023" s="18"/>
      <c r="J1023" s="19" t="s">
        <v>36</v>
      </c>
      <c r="K1023" s="19" t="s">
        <v>52</v>
      </c>
      <c r="L1023" s="19" t="s">
        <v>52</v>
      </c>
      <c r="M1023" s="20">
        <f t="shared" si="1"/>
        <v>0</v>
      </c>
      <c r="N1023" s="21"/>
      <c r="O1023" s="22"/>
      <c r="P1023" s="19" t="s">
        <v>3578</v>
      </c>
      <c r="Q1023" s="18"/>
      <c r="R1023" s="18"/>
      <c r="S1023" s="23">
        <v>0.0</v>
      </c>
      <c r="T1023" s="23">
        <v>0.0</v>
      </c>
      <c r="U1023" s="23">
        <f t="shared" si="2"/>
        <v>0</v>
      </c>
      <c r="V1023" s="23">
        <f t="shared" si="3"/>
        <v>0</v>
      </c>
      <c r="W1023" s="23">
        <f t="shared" si="4"/>
        <v>0</v>
      </c>
      <c r="X1023" s="24" t="str">
        <f t="shared" si="5"/>
        <v>#DIV/0!</v>
      </c>
    </row>
    <row r="1024">
      <c r="A1024" s="15" t="s">
        <v>4204</v>
      </c>
      <c r="B1024" s="15" t="s">
        <v>4205</v>
      </c>
      <c r="C1024" s="16" t="str">
        <f>IMAGE("https://i.ibb.co/208H86pv/1243.png")</f>
        <v/>
      </c>
      <c r="D1024" s="15" t="s">
        <v>4206</v>
      </c>
      <c r="E1024" s="17" t="s">
        <v>4207</v>
      </c>
      <c r="F1024" s="18"/>
      <c r="G1024" s="18"/>
      <c r="H1024" s="15" t="s">
        <v>4208</v>
      </c>
      <c r="I1024" s="18"/>
      <c r="J1024" s="19" t="s">
        <v>36</v>
      </c>
      <c r="K1024" s="19" t="s">
        <v>52</v>
      </c>
      <c r="L1024" s="19" t="s">
        <v>135</v>
      </c>
      <c r="M1024" s="20">
        <f t="shared" si="1"/>
        <v>0</v>
      </c>
      <c r="N1024" s="21"/>
      <c r="O1024" s="22"/>
      <c r="P1024" s="19" t="s">
        <v>3578</v>
      </c>
      <c r="Q1024" s="18"/>
      <c r="R1024" s="18"/>
      <c r="S1024" s="23">
        <v>0.0</v>
      </c>
      <c r="T1024" s="23">
        <v>0.0</v>
      </c>
      <c r="U1024" s="23">
        <f t="shared" si="2"/>
        <v>0</v>
      </c>
      <c r="V1024" s="23">
        <f t="shared" si="3"/>
        <v>0</v>
      </c>
      <c r="W1024" s="23">
        <f t="shared" si="4"/>
        <v>0</v>
      </c>
      <c r="X1024" s="24" t="str">
        <f t="shared" si="5"/>
        <v>#DIV/0!</v>
      </c>
    </row>
    <row r="1025">
      <c r="A1025" s="15" t="s">
        <v>4209</v>
      </c>
      <c r="B1025" s="15" t="s">
        <v>4210</v>
      </c>
      <c r="C1025" s="16" t="str">
        <f t="shared" ref="C1025:C1026" si="18">IMAGE("https://i.ibb.co/Zprx9wdB/1245.png")</f>
        <v/>
      </c>
      <c r="D1025" s="15" t="s">
        <v>4211</v>
      </c>
      <c r="E1025" s="17" t="s">
        <v>4212</v>
      </c>
      <c r="F1025" s="18"/>
      <c r="G1025" s="18"/>
      <c r="H1025" s="15" t="s">
        <v>4213</v>
      </c>
      <c r="I1025" s="15"/>
      <c r="J1025" s="19" t="s">
        <v>36</v>
      </c>
      <c r="K1025" s="19" t="s">
        <v>52</v>
      </c>
      <c r="L1025" s="19" t="s">
        <v>52</v>
      </c>
      <c r="M1025" s="20">
        <f t="shared" si="1"/>
        <v>0</v>
      </c>
      <c r="N1025" s="21"/>
      <c r="O1025" s="22"/>
      <c r="P1025" s="19" t="s">
        <v>3578</v>
      </c>
      <c r="Q1025" s="18"/>
      <c r="R1025" s="18"/>
      <c r="S1025" s="23">
        <v>0.0</v>
      </c>
      <c r="T1025" s="23">
        <v>0.0</v>
      </c>
      <c r="U1025" s="23">
        <f t="shared" si="2"/>
        <v>0</v>
      </c>
      <c r="V1025" s="23">
        <f t="shared" si="3"/>
        <v>0</v>
      </c>
      <c r="W1025" s="23">
        <f t="shared" si="4"/>
        <v>0</v>
      </c>
      <c r="X1025" s="24" t="str">
        <f t="shared" si="5"/>
        <v>#DIV/0!</v>
      </c>
    </row>
    <row r="1026">
      <c r="A1026" s="15" t="s">
        <v>4214</v>
      </c>
      <c r="B1026" s="15" t="s">
        <v>4215</v>
      </c>
      <c r="C1026" s="16" t="str">
        <f t="shared" si="18"/>
        <v/>
      </c>
      <c r="D1026" s="15" t="s">
        <v>4216</v>
      </c>
      <c r="E1026" s="17" t="s">
        <v>4217</v>
      </c>
      <c r="F1026" s="18"/>
      <c r="G1026" s="18"/>
      <c r="H1026" s="15" t="s">
        <v>4218</v>
      </c>
      <c r="I1026" s="15"/>
      <c r="J1026" s="19" t="s">
        <v>36</v>
      </c>
      <c r="K1026" s="19" t="s">
        <v>402</v>
      </c>
      <c r="L1026" s="19" t="s">
        <v>38</v>
      </c>
      <c r="M1026" s="20">
        <f t="shared" si="1"/>
        <v>0</v>
      </c>
      <c r="N1026" s="21"/>
      <c r="O1026" s="22"/>
      <c r="P1026" s="19" t="s">
        <v>3578</v>
      </c>
      <c r="Q1026" s="18"/>
      <c r="R1026" s="18"/>
      <c r="S1026" s="23">
        <v>0.0</v>
      </c>
      <c r="T1026" s="23">
        <v>0.0</v>
      </c>
      <c r="U1026" s="23">
        <f t="shared" si="2"/>
        <v>0</v>
      </c>
      <c r="V1026" s="23">
        <f t="shared" si="3"/>
        <v>0</v>
      </c>
      <c r="W1026" s="23">
        <f t="shared" si="4"/>
        <v>0</v>
      </c>
      <c r="X1026" s="24" t="str">
        <f t="shared" si="5"/>
        <v>#DIV/0!</v>
      </c>
    </row>
    <row r="1027">
      <c r="A1027" s="15" t="s">
        <v>4219</v>
      </c>
      <c r="B1027" s="15" t="s">
        <v>4220</v>
      </c>
      <c r="C1027" s="16" t="str">
        <f>IMAGE("https://i.ibb.co/VYh0xNVR/1246.png")</f>
        <v/>
      </c>
      <c r="D1027" s="15" t="s">
        <v>4221</v>
      </c>
      <c r="E1027" s="17" t="s">
        <v>3921</v>
      </c>
      <c r="F1027" s="18"/>
      <c r="G1027" s="18"/>
      <c r="H1027" s="15" t="s">
        <v>4222</v>
      </c>
      <c r="I1027" s="18"/>
      <c r="J1027" s="19" t="s">
        <v>36</v>
      </c>
      <c r="K1027" s="19" t="s">
        <v>52</v>
      </c>
      <c r="L1027" s="19" t="s">
        <v>52</v>
      </c>
      <c r="M1027" s="20">
        <f t="shared" si="1"/>
        <v>0</v>
      </c>
      <c r="N1027" s="21"/>
      <c r="O1027" s="22"/>
      <c r="P1027" s="19" t="s">
        <v>3578</v>
      </c>
      <c r="Q1027" s="18"/>
      <c r="R1027" s="18"/>
      <c r="S1027" s="23">
        <v>0.0</v>
      </c>
      <c r="T1027" s="23">
        <v>0.0</v>
      </c>
      <c r="U1027" s="23">
        <f t="shared" si="2"/>
        <v>0</v>
      </c>
      <c r="V1027" s="23">
        <f t="shared" si="3"/>
        <v>0</v>
      </c>
      <c r="W1027" s="23">
        <f t="shared" si="4"/>
        <v>0</v>
      </c>
      <c r="X1027" s="24" t="str">
        <f t="shared" si="5"/>
        <v>#DIV/0!</v>
      </c>
    </row>
    <row r="1028">
      <c r="A1028" s="15" t="s">
        <v>4223</v>
      </c>
      <c r="B1028" s="15" t="s">
        <v>4224</v>
      </c>
      <c r="C1028" s="16" t="str">
        <f>IMAGE("https://i.ibb.co/VWHtLwf2/1247.png")</f>
        <v/>
      </c>
      <c r="D1028" s="15" t="s">
        <v>430</v>
      </c>
      <c r="E1028" s="17" t="s">
        <v>4225</v>
      </c>
      <c r="F1028" s="18"/>
      <c r="G1028" s="18"/>
      <c r="H1028" s="15" t="s">
        <v>1908</v>
      </c>
      <c r="I1028" s="18"/>
      <c r="J1028" s="19" t="s">
        <v>36</v>
      </c>
      <c r="K1028" s="19" t="s">
        <v>52</v>
      </c>
      <c r="L1028" s="19" t="s">
        <v>52</v>
      </c>
      <c r="M1028" s="20">
        <f t="shared" si="1"/>
        <v>0</v>
      </c>
      <c r="N1028" s="21"/>
      <c r="O1028" s="22"/>
      <c r="P1028" s="19" t="s">
        <v>3578</v>
      </c>
      <c r="Q1028" s="18"/>
      <c r="R1028" s="18"/>
      <c r="S1028" s="23">
        <v>0.0</v>
      </c>
      <c r="T1028" s="23">
        <v>0.0</v>
      </c>
      <c r="U1028" s="23">
        <f t="shared" si="2"/>
        <v>0</v>
      </c>
      <c r="V1028" s="23">
        <f t="shared" si="3"/>
        <v>0</v>
      </c>
      <c r="W1028" s="23">
        <f t="shared" si="4"/>
        <v>0</v>
      </c>
      <c r="X1028" s="24" t="str">
        <f t="shared" si="5"/>
        <v>#DIV/0!</v>
      </c>
    </row>
    <row r="1029">
      <c r="A1029" s="15" t="s">
        <v>4226</v>
      </c>
      <c r="B1029" s="15" t="s">
        <v>4227</v>
      </c>
      <c r="C1029" s="16" t="str">
        <f>IMAGE("https://i.ibb.co/CpynmQJd/1248.png")</f>
        <v/>
      </c>
      <c r="D1029" s="15" t="s">
        <v>4228</v>
      </c>
      <c r="E1029" s="17" t="s">
        <v>4229</v>
      </c>
      <c r="F1029" s="18"/>
      <c r="G1029" s="18"/>
      <c r="H1029" s="15" t="s">
        <v>4230</v>
      </c>
      <c r="I1029" s="18"/>
      <c r="J1029" s="19" t="s">
        <v>36</v>
      </c>
      <c r="K1029" s="19" t="s">
        <v>52</v>
      </c>
      <c r="L1029" s="19" t="s">
        <v>52</v>
      </c>
      <c r="M1029" s="20">
        <f t="shared" si="1"/>
        <v>0</v>
      </c>
      <c r="N1029" s="21"/>
      <c r="O1029" s="22"/>
      <c r="P1029" s="19" t="s">
        <v>3578</v>
      </c>
      <c r="Q1029" s="18"/>
      <c r="R1029" s="18"/>
      <c r="S1029" s="23">
        <v>0.0</v>
      </c>
      <c r="T1029" s="23">
        <v>0.0</v>
      </c>
      <c r="U1029" s="23">
        <f t="shared" si="2"/>
        <v>0</v>
      </c>
      <c r="V1029" s="23">
        <f t="shared" si="3"/>
        <v>0</v>
      </c>
      <c r="W1029" s="23">
        <f t="shared" si="4"/>
        <v>0</v>
      </c>
      <c r="X1029" s="24" t="str">
        <f t="shared" si="5"/>
        <v>#DIV/0!</v>
      </c>
    </row>
    <row r="1030">
      <c r="A1030" s="15" t="s">
        <v>4231</v>
      </c>
      <c r="B1030" s="15" t="s">
        <v>4232</v>
      </c>
      <c r="C1030" s="16" t="str">
        <f>IMAGE("https://i.ibb.co/3Dv7Thq/1249.png")</f>
        <v/>
      </c>
      <c r="D1030" s="15" t="s">
        <v>4233</v>
      </c>
      <c r="E1030" s="17" t="s">
        <v>4234</v>
      </c>
      <c r="F1030" s="18"/>
      <c r="G1030" s="18"/>
      <c r="H1030" s="15" t="s">
        <v>4235</v>
      </c>
      <c r="I1030" s="18"/>
      <c r="J1030" s="19" t="s">
        <v>36</v>
      </c>
      <c r="K1030" s="19" t="s">
        <v>52</v>
      </c>
      <c r="L1030" s="19" t="s">
        <v>52</v>
      </c>
      <c r="M1030" s="20">
        <f t="shared" si="1"/>
        <v>0</v>
      </c>
      <c r="N1030" s="21"/>
      <c r="O1030" s="22"/>
      <c r="P1030" s="19" t="s">
        <v>3578</v>
      </c>
      <c r="Q1030" s="18"/>
      <c r="R1030" s="18"/>
      <c r="S1030" s="23">
        <v>0.0</v>
      </c>
      <c r="T1030" s="23">
        <v>0.0</v>
      </c>
      <c r="U1030" s="23">
        <f t="shared" si="2"/>
        <v>0</v>
      </c>
      <c r="V1030" s="23">
        <f t="shared" si="3"/>
        <v>0</v>
      </c>
      <c r="W1030" s="23">
        <f t="shared" si="4"/>
        <v>0</v>
      </c>
      <c r="X1030" s="24" t="str">
        <f t="shared" si="5"/>
        <v>#DIV/0!</v>
      </c>
    </row>
    <row r="1031">
      <c r="A1031" s="15" t="s">
        <v>4236</v>
      </c>
      <c r="B1031" s="15" t="s">
        <v>4237</v>
      </c>
      <c r="C1031" s="16" t="str">
        <f>IMAGE("https://i.ibb.co/Qvgm2B49/1250.png")</f>
        <v/>
      </c>
      <c r="D1031" s="15" t="s">
        <v>4238</v>
      </c>
      <c r="E1031" s="17" t="s">
        <v>4239</v>
      </c>
      <c r="F1031" s="18"/>
      <c r="G1031" s="18"/>
      <c r="H1031" s="15" t="s">
        <v>4240</v>
      </c>
      <c r="I1031" s="18"/>
      <c r="J1031" s="19" t="s">
        <v>36</v>
      </c>
      <c r="K1031" s="19" t="s">
        <v>52</v>
      </c>
      <c r="L1031" s="19" t="s">
        <v>52</v>
      </c>
      <c r="M1031" s="20">
        <f t="shared" si="1"/>
        <v>0</v>
      </c>
      <c r="N1031" s="21"/>
      <c r="O1031" s="22"/>
      <c r="P1031" s="19" t="s">
        <v>3578</v>
      </c>
      <c r="Q1031" s="18"/>
      <c r="R1031" s="18"/>
      <c r="S1031" s="23">
        <v>0.0</v>
      </c>
      <c r="T1031" s="23">
        <v>0.0</v>
      </c>
      <c r="U1031" s="23">
        <f t="shared" si="2"/>
        <v>0</v>
      </c>
      <c r="V1031" s="23">
        <f t="shared" si="3"/>
        <v>0</v>
      </c>
      <c r="W1031" s="23">
        <f t="shared" si="4"/>
        <v>0</v>
      </c>
      <c r="X1031" s="24" t="str">
        <f t="shared" si="5"/>
        <v>#DIV/0!</v>
      </c>
    </row>
    <row r="1032">
      <c r="A1032" s="15" t="s">
        <v>4241</v>
      </c>
      <c r="B1032" s="15" t="s">
        <v>4242</v>
      </c>
      <c r="C1032" s="16" t="str">
        <f>IMAGE("https://i.ibb.co/Z1Yb1rFR/1251.png")</f>
        <v/>
      </c>
      <c r="D1032" s="15" t="s">
        <v>4243</v>
      </c>
      <c r="E1032" s="17" t="s">
        <v>4244</v>
      </c>
      <c r="F1032" s="18"/>
      <c r="G1032" s="18"/>
      <c r="H1032" s="15" t="s">
        <v>4245</v>
      </c>
      <c r="I1032" s="18"/>
      <c r="J1032" s="19" t="s">
        <v>36</v>
      </c>
      <c r="K1032" s="19" t="s">
        <v>52</v>
      </c>
      <c r="L1032" s="19" t="s">
        <v>52</v>
      </c>
      <c r="M1032" s="20">
        <f t="shared" si="1"/>
        <v>0</v>
      </c>
      <c r="N1032" s="21"/>
      <c r="O1032" s="22"/>
      <c r="P1032" s="19" t="s">
        <v>3578</v>
      </c>
      <c r="Q1032" s="18"/>
      <c r="R1032" s="18"/>
      <c r="S1032" s="23">
        <v>0.0</v>
      </c>
      <c r="T1032" s="23">
        <v>0.0</v>
      </c>
      <c r="U1032" s="23">
        <f t="shared" si="2"/>
        <v>0</v>
      </c>
      <c r="V1032" s="23">
        <f t="shared" si="3"/>
        <v>0</v>
      </c>
      <c r="W1032" s="23">
        <f t="shared" si="4"/>
        <v>0</v>
      </c>
      <c r="X1032" s="24" t="str">
        <f t="shared" si="5"/>
        <v>#DIV/0!</v>
      </c>
    </row>
    <row r="1033">
      <c r="A1033" s="15" t="s">
        <v>4246</v>
      </c>
      <c r="B1033" s="15" t="s">
        <v>4247</v>
      </c>
      <c r="C1033" s="16" t="str">
        <f>IMAGE("https://i.ibb.co/fVzQ27pH/1252.png")</f>
        <v/>
      </c>
      <c r="D1033" s="15" t="s">
        <v>4248</v>
      </c>
      <c r="E1033" s="17" t="s">
        <v>4249</v>
      </c>
      <c r="F1033" s="18"/>
      <c r="G1033" s="18"/>
      <c r="H1033" s="15" t="s">
        <v>4250</v>
      </c>
      <c r="I1033" s="18"/>
      <c r="J1033" s="19" t="s">
        <v>36</v>
      </c>
      <c r="K1033" s="19" t="s">
        <v>402</v>
      </c>
      <c r="L1033" s="19" t="s">
        <v>38</v>
      </c>
      <c r="M1033" s="20">
        <f t="shared" si="1"/>
        <v>0</v>
      </c>
      <c r="N1033" s="21"/>
      <c r="O1033" s="22"/>
      <c r="P1033" s="19" t="s">
        <v>3578</v>
      </c>
      <c r="Q1033" s="18"/>
      <c r="R1033" s="18"/>
      <c r="S1033" s="23">
        <v>0.0</v>
      </c>
      <c r="T1033" s="23">
        <v>0.0</v>
      </c>
      <c r="U1033" s="23">
        <f t="shared" si="2"/>
        <v>0</v>
      </c>
      <c r="V1033" s="23">
        <f t="shared" si="3"/>
        <v>0</v>
      </c>
      <c r="W1033" s="23">
        <f t="shared" si="4"/>
        <v>0</v>
      </c>
      <c r="X1033" s="24" t="str">
        <f t="shared" si="5"/>
        <v>#DIV/0!</v>
      </c>
    </row>
    <row r="1034">
      <c r="A1034" s="15" t="s">
        <v>4251</v>
      </c>
      <c r="B1034" s="15" t="s">
        <v>4252</v>
      </c>
      <c r="C1034" s="16" t="str">
        <f>IMAGE("https://i.ibb.co/C5f0L3xj/1253.png")</f>
        <v/>
      </c>
      <c r="D1034" s="15" t="s">
        <v>4253</v>
      </c>
      <c r="E1034" s="17" t="s">
        <v>4254</v>
      </c>
      <c r="F1034" s="18"/>
      <c r="G1034" s="18"/>
      <c r="H1034" s="15" t="s">
        <v>4255</v>
      </c>
      <c r="I1034" s="18"/>
      <c r="J1034" s="19" t="s">
        <v>36</v>
      </c>
      <c r="K1034" s="19" t="s">
        <v>52</v>
      </c>
      <c r="L1034" s="19" t="s">
        <v>52</v>
      </c>
      <c r="M1034" s="20">
        <f t="shared" si="1"/>
        <v>0</v>
      </c>
      <c r="N1034" s="21"/>
      <c r="O1034" s="22"/>
      <c r="P1034" s="19" t="s">
        <v>3578</v>
      </c>
      <c r="Q1034" s="18"/>
      <c r="R1034" s="18"/>
      <c r="S1034" s="23">
        <v>0.0</v>
      </c>
      <c r="T1034" s="23">
        <v>0.0</v>
      </c>
      <c r="U1034" s="23">
        <f t="shared" si="2"/>
        <v>0</v>
      </c>
      <c r="V1034" s="23">
        <f t="shared" si="3"/>
        <v>0</v>
      </c>
      <c r="W1034" s="23">
        <f t="shared" si="4"/>
        <v>0</v>
      </c>
      <c r="X1034" s="24" t="str">
        <f t="shared" si="5"/>
        <v>#DIV/0!</v>
      </c>
    </row>
    <row r="1035">
      <c r="A1035" s="15" t="s">
        <v>4256</v>
      </c>
      <c r="B1035" s="15" t="s">
        <v>4257</v>
      </c>
      <c r="C1035" s="16" t="str">
        <f>IMAGE("https://i.ibb.co/FbJ72vMB/1254.png")</f>
        <v/>
      </c>
      <c r="D1035" s="15" t="s">
        <v>4258</v>
      </c>
      <c r="E1035" s="17" t="s">
        <v>4259</v>
      </c>
      <c r="F1035" s="18"/>
      <c r="G1035" s="18"/>
      <c r="H1035" s="15" t="s">
        <v>4260</v>
      </c>
      <c r="I1035" s="18"/>
      <c r="J1035" s="19" t="s">
        <v>36</v>
      </c>
      <c r="K1035" s="19" t="s">
        <v>52</v>
      </c>
      <c r="L1035" s="19" t="s">
        <v>52</v>
      </c>
      <c r="M1035" s="20">
        <f t="shared" si="1"/>
        <v>0</v>
      </c>
      <c r="N1035" s="21"/>
      <c r="O1035" s="22"/>
      <c r="P1035" s="19" t="s">
        <v>3578</v>
      </c>
      <c r="Q1035" s="18"/>
      <c r="R1035" s="18"/>
      <c r="S1035" s="23">
        <v>0.0</v>
      </c>
      <c r="T1035" s="23">
        <v>0.0</v>
      </c>
      <c r="U1035" s="23">
        <f t="shared" si="2"/>
        <v>0</v>
      </c>
      <c r="V1035" s="23">
        <f t="shared" si="3"/>
        <v>0</v>
      </c>
      <c r="W1035" s="23">
        <f t="shared" si="4"/>
        <v>0</v>
      </c>
      <c r="X1035" s="24" t="str">
        <f t="shared" si="5"/>
        <v>#DIV/0!</v>
      </c>
    </row>
    <row r="1036">
      <c r="A1036" s="15" t="s">
        <v>4261</v>
      </c>
      <c r="B1036" s="15" t="s">
        <v>4262</v>
      </c>
      <c r="C1036" s="16" t="str">
        <f>IMAGE("https://i.ibb.co/FkrgfkrK/1255.png")</f>
        <v/>
      </c>
      <c r="D1036" s="15" t="s">
        <v>4263</v>
      </c>
      <c r="E1036" s="17" t="s">
        <v>4264</v>
      </c>
      <c r="F1036" s="18"/>
      <c r="G1036" s="18"/>
      <c r="H1036" s="15" t="s">
        <v>4265</v>
      </c>
      <c r="I1036" s="18"/>
      <c r="J1036" s="19" t="s">
        <v>36</v>
      </c>
      <c r="K1036" s="19" t="s">
        <v>105</v>
      </c>
      <c r="L1036" s="19" t="s">
        <v>38</v>
      </c>
      <c r="M1036" s="20">
        <f t="shared" si="1"/>
        <v>0</v>
      </c>
      <c r="N1036" s="21"/>
      <c r="O1036" s="22"/>
      <c r="P1036" s="19" t="s">
        <v>3578</v>
      </c>
      <c r="Q1036" s="18"/>
      <c r="R1036" s="18"/>
      <c r="S1036" s="23">
        <v>0.0</v>
      </c>
      <c r="T1036" s="23">
        <v>0.0</v>
      </c>
      <c r="U1036" s="23">
        <f t="shared" si="2"/>
        <v>0</v>
      </c>
      <c r="V1036" s="23">
        <f t="shared" si="3"/>
        <v>0</v>
      </c>
      <c r="W1036" s="23">
        <f t="shared" si="4"/>
        <v>0</v>
      </c>
      <c r="X1036" s="24" t="str">
        <f t="shared" si="5"/>
        <v>#DIV/0!</v>
      </c>
    </row>
    <row r="1037">
      <c r="A1037" s="15" t="s">
        <v>4266</v>
      </c>
      <c r="B1037" s="15" t="s">
        <v>4267</v>
      </c>
      <c r="C1037" s="16" t="str">
        <f>IMAGE("https://i.ibb.co/0yS6vCrq/1259.png")</f>
        <v/>
      </c>
      <c r="D1037" s="15" t="s">
        <v>4268</v>
      </c>
      <c r="E1037" s="17" t="s">
        <v>4269</v>
      </c>
      <c r="F1037" s="18"/>
      <c r="G1037" s="18"/>
      <c r="H1037" s="15" t="s">
        <v>4270</v>
      </c>
      <c r="I1037" s="15" t="s">
        <v>4271</v>
      </c>
      <c r="J1037" s="19" t="s">
        <v>36</v>
      </c>
      <c r="K1037" s="19" t="s">
        <v>52</v>
      </c>
      <c r="L1037" s="19" t="s">
        <v>52</v>
      </c>
      <c r="M1037" s="20">
        <f t="shared" si="1"/>
        <v>0</v>
      </c>
      <c r="N1037" s="21"/>
      <c r="O1037" s="22"/>
      <c r="P1037" s="19" t="s">
        <v>3578</v>
      </c>
      <c r="Q1037" s="18"/>
      <c r="R1037" s="18"/>
      <c r="S1037" s="23">
        <v>0.0</v>
      </c>
      <c r="T1037" s="23">
        <v>0.0</v>
      </c>
      <c r="U1037" s="23">
        <f t="shared" si="2"/>
        <v>0</v>
      </c>
      <c r="V1037" s="23">
        <f t="shared" si="3"/>
        <v>0</v>
      </c>
      <c r="W1037" s="23">
        <f t="shared" si="4"/>
        <v>0</v>
      </c>
      <c r="X1037" s="24" t="str">
        <f t="shared" si="5"/>
        <v>#DIV/0!</v>
      </c>
    </row>
    <row r="1038">
      <c r="A1038" s="15" t="s">
        <v>4272</v>
      </c>
      <c r="B1038" s="15" t="s">
        <v>4273</v>
      </c>
      <c r="C1038" s="16" t="str">
        <f>IMAGE("https://i.ibb.co/dwCtd8Rn/1260.png")</f>
        <v/>
      </c>
      <c r="D1038" s="15" t="s">
        <v>4274</v>
      </c>
      <c r="E1038" s="17" t="s">
        <v>4275</v>
      </c>
      <c r="F1038" s="18"/>
      <c r="G1038" s="18"/>
      <c r="H1038" s="15" t="s">
        <v>4276</v>
      </c>
      <c r="I1038" s="18"/>
      <c r="J1038" s="19" t="s">
        <v>36</v>
      </c>
      <c r="K1038" s="19" t="s">
        <v>105</v>
      </c>
      <c r="L1038" s="19" t="s">
        <v>38</v>
      </c>
      <c r="M1038" s="20">
        <f t="shared" si="1"/>
        <v>0</v>
      </c>
      <c r="N1038" s="21"/>
      <c r="O1038" s="22"/>
      <c r="P1038" s="19" t="s">
        <v>3578</v>
      </c>
      <c r="Q1038" s="18"/>
      <c r="R1038" s="18"/>
      <c r="S1038" s="23">
        <v>0.0</v>
      </c>
      <c r="T1038" s="23">
        <v>0.0</v>
      </c>
      <c r="U1038" s="23">
        <f t="shared" si="2"/>
        <v>0</v>
      </c>
      <c r="V1038" s="23">
        <f t="shared" si="3"/>
        <v>0</v>
      </c>
      <c r="W1038" s="23">
        <f t="shared" si="4"/>
        <v>0</v>
      </c>
      <c r="X1038" s="24" t="str">
        <f t="shared" si="5"/>
        <v>#DIV/0!</v>
      </c>
    </row>
    <row r="1039">
      <c r="A1039" s="15" t="s">
        <v>4277</v>
      </c>
      <c r="B1039" s="15" t="s">
        <v>4278</v>
      </c>
      <c r="C1039" s="16" t="str">
        <f>IMAGE("https://i.ibb.co/b5wtRXPm/1261.png")</f>
        <v/>
      </c>
      <c r="D1039" s="15" t="s">
        <v>3725</v>
      </c>
      <c r="E1039" s="17" t="s">
        <v>4279</v>
      </c>
      <c r="F1039" s="18"/>
      <c r="G1039" s="18"/>
      <c r="H1039" s="15" t="s">
        <v>4280</v>
      </c>
      <c r="I1039" s="18"/>
      <c r="J1039" s="19" t="s">
        <v>36</v>
      </c>
      <c r="K1039" s="19" t="s">
        <v>1230</v>
      </c>
      <c r="L1039" s="19" t="s">
        <v>368</v>
      </c>
      <c r="M1039" s="20">
        <f t="shared" si="1"/>
        <v>0</v>
      </c>
      <c r="N1039" s="21"/>
      <c r="O1039" s="22"/>
      <c r="P1039" s="19" t="s">
        <v>3578</v>
      </c>
      <c r="Q1039" s="18"/>
      <c r="R1039" s="18"/>
      <c r="S1039" s="23">
        <v>0.0</v>
      </c>
      <c r="T1039" s="23">
        <v>0.0</v>
      </c>
      <c r="U1039" s="23">
        <f t="shared" si="2"/>
        <v>0</v>
      </c>
      <c r="V1039" s="23">
        <f t="shared" si="3"/>
        <v>0</v>
      </c>
      <c r="W1039" s="23">
        <f t="shared" si="4"/>
        <v>0</v>
      </c>
      <c r="X1039" s="24" t="str">
        <f t="shared" si="5"/>
        <v>#DIV/0!</v>
      </c>
    </row>
    <row r="1040">
      <c r="A1040" s="15" t="s">
        <v>4281</v>
      </c>
      <c r="B1040" s="15" t="s">
        <v>4282</v>
      </c>
      <c r="C1040" s="16" t="str">
        <f>IMAGE("https://i.ibb.co/5XkMFkW3/1262.png")</f>
        <v/>
      </c>
      <c r="D1040" s="15" t="s">
        <v>4283</v>
      </c>
      <c r="E1040" s="17" t="s">
        <v>4284</v>
      </c>
      <c r="F1040" s="18"/>
      <c r="G1040" s="18"/>
      <c r="H1040" s="15" t="s">
        <v>4285</v>
      </c>
      <c r="I1040" s="18"/>
      <c r="J1040" s="19" t="s">
        <v>36</v>
      </c>
      <c r="K1040" s="19" t="s">
        <v>1230</v>
      </c>
      <c r="L1040" s="19" t="s">
        <v>368</v>
      </c>
      <c r="M1040" s="20">
        <f t="shared" si="1"/>
        <v>0</v>
      </c>
      <c r="N1040" s="21"/>
      <c r="O1040" s="22"/>
      <c r="P1040" s="19" t="s">
        <v>3578</v>
      </c>
      <c r="Q1040" s="18"/>
      <c r="R1040" s="18"/>
      <c r="S1040" s="23">
        <v>0.0</v>
      </c>
      <c r="T1040" s="23">
        <v>0.0</v>
      </c>
      <c r="U1040" s="23">
        <f t="shared" si="2"/>
        <v>0</v>
      </c>
      <c r="V1040" s="23">
        <f t="shared" si="3"/>
        <v>0</v>
      </c>
      <c r="W1040" s="23">
        <f t="shared" si="4"/>
        <v>0</v>
      </c>
      <c r="X1040" s="24" t="str">
        <f t="shared" si="5"/>
        <v>#DIV/0!</v>
      </c>
    </row>
    <row r="1041">
      <c r="A1041" s="15" t="s">
        <v>4286</v>
      </c>
      <c r="B1041" s="15" t="s">
        <v>4287</v>
      </c>
      <c r="C1041" s="16" t="str">
        <f>IMAGE("https://i.ibb.co/tMS1PHkn/1263.png")</f>
        <v/>
      </c>
      <c r="D1041" s="18"/>
      <c r="E1041" s="17" t="s">
        <v>4288</v>
      </c>
      <c r="F1041" s="18"/>
      <c r="G1041" s="18"/>
      <c r="H1041" s="15" t="s">
        <v>4289</v>
      </c>
      <c r="I1041" s="18"/>
      <c r="J1041" s="19" t="s">
        <v>36</v>
      </c>
      <c r="K1041" s="19" t="s">
        <v>37</v>
      </c>
      <c r="L1041" s="19" t="s">
        <v>38</v>
      </c>
      <c r="M1041" s="20">
        <f t="shared" si="1"/>
        <v>0</v>
      </c>
      <c r="N1041" s="21"/>
      <c r="O1041" s="22"/>
      <c r="P1041" s="19" t="s">
        <v>3578</v>
      </c>
      <c r="Q1041" s="18"/>
      <c r="R1041" s="18"/>
      <c r="S1041" s="23">
        <v>0.0</v>
      </c>
      <c r="T1041" s="23">
        <v>0.0</v>
      </c>
      <c r="U1041" s="23">
        <f t="shared" si="2"/>
        <v>0</v>
      </c>
      <c r="V1041" s="23">
        <f t="shared" si="3"/>
        <v>0</v>
      </c>
      <c r="W1041" s="23">
        <f t="shared" si="4"/>
        <v>0</v>
      </c>
      <c r="X1041" s="24" t="str">
        <f t="shared" si="5"/>
        <v>#DIV/0!</v>
      </c>
    </row>
    <row r="1042">
      <c r="A1042" s="15" t="s">
        <v>4290</v>
      </c>
      <c r="B1042" s="15" t="s">
        <v>4291</v>
      </c>
      <c r="C1042" s="16" t="str">
        <f>IMAGE("https://i.ibb.co/hFF4ZvPD/1264.png")</f>
        <v/>
      </c>
      <c r="D1042" s="18"/>
      <c r="E1042" s="17" t="s">
        <v>4292</v>
      </c>
      <c r="F1042" s="18"/>
      <c r="G1042" s="18"/>
      <c r="H1042" s="15" t="s">
        <v>4293</v>
      </c>
      <c r="I1042" s="18"/>
      <c r="J1042" s="19" t="s">
        <v>36</v>
      </c>
      <c r="K1042" s="19" t="s">
        <v>37</v>
      </c>
      <c r="L1042" s="19" t="s">
        <v>38</v>
      </c>
      <c r="M1042" s="20">
        <f t="shared" si="1"/>
        <v>0</v>
      </c>
      <c r="N1042" s="21"/>
      <c r="O1042" s="22"/>
      <c r="P1042" s="19" t="s">
        <v>3578</v>
      </c>
      <c r="Q1042" s="18"/>
      <c r="R1042" s="18"/>
      <c r="S1042" s="23">
        <v>0.0</v>
      </c>
      <c r="T1042" s="23">
        <v>0.0</v>
      </c>
      <c r="U1042" s="23">
        <f t="shared" si="2"/>
        <v>0</v>
      </c>
      <c r="V1042" s="23">
        <f t="shared" si="3"/>
        <v>0</v>
      </c>
      <c r="W1042" s="23">
        <f t="shared" si="4"/>
        <v>0</v>
      </c>
      <c r="X1042" s="24" t="str">
        <f t="shared" si="5"/>
        <v>#DIV/0!</v>
      </c>
    </row>
    <row r="1043">
      <c r="A1043" s="15" t="s">
        <v>4294</v>
      </c>
      <c r="B1043" s="15" t="s">
        <v>4295</v>
      </c>
      <c r="C1043" s="16" t="str">
        <f>IMAGE("https://i.ibb.co/3mCS850p/1265.png")</f>
        <v/>
      </c>
      <c r="D1043" s="18"/>
      <c r="E1043" s="17" t="s">
        <v>4296</v>
      </c>
      <c r="F1043" s="18"/>
      <c r="G1043" s="18"/>
      <c r="H1043" s="15" t="s">
        <v>4297</v>
      </c>
      <c r="I1043" s="18"/>
      <c r="J1043" s="19" t="s">
        <v>36</v>
      </c>
      <c r="K1043" s="19" t="s">
        <v>37</v>
      </c>
      <c r="L1043" s="19" t="s">
        <v>38</v>
      </c>
      <c r="M1043" s="20">
        <f t="shared" si="1"/>
        <v>0</v>
      </c>
      <c r="N1043" s="21"/>
      <c r="O1043" s="22"/>
      <c r="P1043" s="19" t="s">
        <v>3578</v>
      </c>
      <c r="Q1043" s="18"/>
      <c r="R1043" s="18"/>
      <c r="S1043" s="23">
        <v>0.0</v>
      </c>
      <c r="T1043" s="23">
        <v>0.0</v>
      </c>
      <c r="U1043" s="23">
        <f t="shared" si="2"/>
        <v>0</v>
      </c>
      <c r="V1043" s="23">
        <f t="shared" si="3"/>
        <v>0</v>
      </c>
      <c r="W1043" s="23">
        <f t="shared" si="4"/>
        <v>0</v>
      </c>
      <c r="X1043" s="24" t="str">
        <f t="shared" si="5"/>
        <v>#DIV/0!</v>
      </c>
    </row>
    <row r="1044">
      <c r="A1044" s="15" t="s">
        <v>4298</v>
      </c>
      <c r="B1044" s="15" t="s">
        <v>4299</v>
      </c>
      <c r="C1044" s="16" t="str">
        <f>IMAGE("https://i.ibb.co/Xk3hD2zB/1267.png")</f>
        <v/>
      </c>
      <c r="D1044" s="15" t="s">
        <v>4300</v>
      </c>
      <c r="E1044" s="17" t="s">
        <v>4301</v>
      </c>
      <c r="F1044" s="18"/>
      <c r="G1044" s="18"/>
      <c r="H1044" s="15" t="s">
        <v>4302</v>
      </c>
      <c r="I1044" s="15"/>
      <c r="J1044" s="19" t="s">
        <v>36</v>
      </c>
      <c r="K1044" s="19" t="s">
        <v>52</v>
      </c>
      <c r="L1044" s="19" t="s">
        <v>52</v>
      </c>
      <c r="M1044" s="20">
        <f t="shared" si="1"/>
        <v>0</v>
      </c>
      <c r="N1044" s="21"/>
      <c r="O1044" s="22"/>
      <c r="P1044" s="19" t="s">
        <v>3578</v>
      </c>
      <c r="Q1044" s="18"/>
      <c r="R1044" s="18"/>
      <c r="S1044" s="23">
        <v>0.0</v>
      </c>
      <c r="T1044" s="23">
        <v>0.0</v>
      </c>
      <c r="U1044" s="23">
        <f t="shared" si="2"/>
        <v>0</v>
      </c>
      <c r="V1044" s="23">
        <f t="shared" si="3"/>
        <v>0</v>
      </c>
      <c r="W1044" s="23">
        <f t="shared" si="4"/>
        <v>0</v>
      </c>
      <c r="X1044" s="24" t="str">
        <f t="shared" si="5"/>
        <v>#DIV/0!</v>
      </c>
    </row>
    <row r="1045">
      <c r="A1045" s="15" t="s">
        <v>4303</v>
      </c>
      <c r="B1045" s="15" t="s">
        <v>4304</v>
      </c>
      <c r="C1045" s="16" t="str">
        <f>IMAGE("https://i.ibb.co/hN6n4Cw/1268.png")</f>
        <v/>
      </c>
      <c r="D1045" s="42" t="s">
        <v>4305</v>
      </c>
      <c r="E1045" s="17" t="s">
        <v>4306</v>
      </c>
      <c r="F1045" s="18"/>
      <c r="G1045" s="18"/>
      <c r="H1045" s="15" t="s">
        <v>47</v>
      </c>
      <c r="I1045" s="15" t="s">
        <v>4307</v>
      </c>
      <c r="J1045" s="19" t="s">
        <v>36</v>
      </c>
      <c r="K1045" s="19" t="s">
        <v>37</v>
      </c>
      <c r="L1045" s="19" t="s">
        <v>38</v>
      </c>
      <c r="M1045" s="20">
        <f t="shared" si="1"/>
        <v>0</v>
      </c>
      <c r="N1045" s="21"/>
      <c r="O1045" s="22"/>
      <c r="P1045" s="19" t="s">
        <v>3578</v>
      </c>
      <c r="Q1045" s="18"/>
      <c r="R1045" s="18"/>
      <c r="S1045" s="23">
        <v>0.0</v>
      </c>
      <c r="T1045" s="23">
        <v>0.0</v>
      </c>
      <c r="U1045" s="23">
        <f t="shared" si="2"/>
        <v>0</v>
      </c>
      <c r="V1045" s="23">
        <f t="shared" si="3"/>
        <v>0</v>
      </c>
      <c r="W1045" s="23">
        <f t="shared" si="4"/>
        <v>0</v>
      </c>
      <c r="X1045" s="24" t="str">
        <f t="shared" si="5"/>
        <v>#DIV/0!</v>
      </c>
    </row>
    <row r="1046">
      <c r="A1046" s="15" t="s">
        <v>4308</v>
      </c>
      <c r="B1046" s="15" t="s">
        <v>4309</v>
      </c>
      <c r="C1046" s="16" t="str">
        <f>IMAGE("https://i.ibb.co/99qNPy7D/1269.png")</f>
        <v/>
      </c>
      <c r="D1046" s="15" t="s">
        <v>4310</v>
      </c>
      <c r="E1046" s="17" t="s">
        <v>4311</v>
      </c>
      <c r="F1046" s="18"/>
      <c r="G1046" s="18"/>
      <c r="H1046" s="15" t="s">
        <v>4312</v>
      </c>
      <c r="I1046" s="18"/>
      <c r="J1046" s="19" t="s">
        <v>36</v>
      </c>
      <c r="K1046" s="19" t="s">
        <v>37</v>
      </c>
      <c r="L1046" s="19" t="s">
        <v>38</v>
      </c>
      <c r="M1046" s="20">
        <f t="shared" si="1"/>
        <v>0</v>
      </c>
      <c r="N1046" s="21"/>
      <c r="O1046" s="22"/>
      <c r="P1046" s="19" t="s">
        <v>3578</v>
      </c>
      <c r="Q1046" s="18"/>
      <c r="R1046" s="18"/>
      <c r="S1046" s="23">
        <v>0.0</v>
      </c>
      <c r="T1046" s="23">
        <v>0.0</v>
      </c>
      <c r="U1046" s="23">
        <f t="shared" si="2"/>
        <v>0</v>
      </c>
      <c r="V1046" s="23">
        <f t="shared" si="3"/>
        <v>0</v>
      </c>
      <c r="W1046" s="23">
        <f t="shared" si="4"/>
        <v>0</v>
      </c>
      <c r="X1046" s="24" t="str">
        <f t="shared" si="5"/>
        <v>#DIV/0!</v>
      </c>
    </row>
    <row r="1047">
      <c r="A1047" s="15" t="s">
        <v>4313</v>
      </c>
      <c r="B1047" s="15" t="s">
        <v>4314</v>
      </c>
      <c r="C1047" s="16"/>
      <c r="D1047" s="15" t="s">
        <v>4315</v>
      </c>
      <c r="E1047" s="17" t="s">
        <v>192</v>
      </c>
      <c r="F1047" s="18"/>
      <c r="G1047" s="18"/>
      <c r="H1047" s="15" t="s">
        <v>4316</v>
      </c>
      <c r="I1047" s="18"/>
      <c r="J1047" s="19" t="s">
        <v>36</v>
      </c>
      <c r="K1047" s="19" t="s">
        <v>1230</v>
      </c>
      <c r="L1047" s="19" t="s">
        <v>38</v>
      </c>
      <c r="M1047" s="20">
        <f t="shared" si="1"/>
        <v>0</v>
      </c>
      <c r="N1047" s="37" t="s">
        <v>68</v>
      </c>
      <c r="O1047" s="22"/>
      <c r="P1047" s="19" t="s">
        <v>3578</v>
      </c>
      <c r="Q1047" s="18"/>
      <c r="R1047" s="18"/>
      <c r="S1047" s="23">
        <v>0.0</v>
      </c>
      <c r="T1047" s="23">
        <v>0.0</v>
      </c>
      <c r="U1047" s="23">
        <f t="shared" si="2"/>
        <v>0</v>
      </c>
      <c r="V1047" s="23">
        <f t="shared" si="3"/>
        <v>0</v>
      </c>
      <c r="W1047" s="23">
        <f t="shared" si="4"/>
        <v>0</v>
      </c>
      <c r="X1047" s="24" t="str">
        <f t="shared" si="5"/>
        <v>#DIV/0!</v>
      </c>
    </row>
    <row r="1048">
      <c r="A1048" s="15" t="s">
        <v>4317</v>
      </c>
      <c r="B1048" s="15" t="s">
        <v>4318</v>
      </c>
      <c r="C1048" s="16"/>
      <c r="D1048" s="15" t="s">
        <v>4315</v>
      </c>
      <c r="E1048" s="17" t="s">
        <v>192</v>
      </c>
      <c r="F1048" s="18"/>
      <c r="G1048" s="18"/>
      <c r="H1048" s="15" t="s">
        <v>4319</v>
      </c>
      <c r="I1048" s="18"/>
      <c r="J1048" s="19" t="s">
        <v>36</v>
      </c>
      <c r="K1048" s="19" t="s">
        <v>52</v>
      </c>
      <c r="L1048" s="19" t="s">
        <v>147</v>
      </c>
      <c r="M1048" s="20">
        <f t="shared" si="1"/>
        <v>0</v>
      </c>
      <c r="N1048" s="37" t="s">
        <v>68</v>
      </c>
      <c r="O1048" s="22"/>
      <c r="P1048" s="19" t="s">
        <v>3578</v>
      </c>
      <c r="Q1048" s="18"/>
      <c r="R1048" s="18"/>
      <c r="S1048" s="23">
        <v>0.0</v>
      </c>
      <c r="T1048" s="23">
        <v>0.0</v>
      </c>
      <c r="U1048" s="23">
        <f t="shared" si="2"/>
        <v>0</v>
      </c>
      <c r="V1048" s="23">
        <f t="shared" si="3"/>
        <v>0</v>
      </c>
      <c r="W1048" s="23">
        <f t="shared" si="4"/>
        <v>0</v>
      </c>
      <c r="X1048" s="24" t="str">
        <f t="shared" si="5"/>
        <v>#DIV/0!</v>
      </c>
    </row>
    <row r="1049">
      <c r="A1049" s="15" t="s">
        <v>4320</v>
      </c>
      <c r="B1049" s="15" t="s">
        <v>4321</v>
      </c>
      <c r="C1049" s="16"/>
      <c r="D1049" s="15" t="s">
        <v>4315</v>
      </c>
      <c r="E1049" s="17" t="s">
        <v>192</v>
      </c>
      <c r="F1049" s="18"/>
      <c r="G1049" s="18"/>
      <c r="H1049" s="15" t="s">
        <v>4322</v>
      </c>
      <c r="I1049" s="18"/>
      <c r="J1049" s="19" t="s">
        <v>36</v>
      </c>
      <c r="K1049" s="19" t="s">
        <v>52</v>
      </c>
      <c r="L1049" s="19" t="s">
        <v>147</v>
      </c>
      <c r="M1049" s="20">
        <f t="shared" si="1"/>
        <v>0</v>
      </c>
      <c r="N1049" s="37" t="s">
        <v>68</v>
      </c>
      <c r="O1049" s="22"/>
      <c r="P1049" s="19" t="s">
        <v>3578</v>
      </c>
      <c r="Q1049" s="18"/>
      <c r="R1049" s="18"/>
      <c r="S1049" s="23">
        <v>0.0</v>
      </c>
      <c r="T1049" s="23">
        <v>0.0</v>
      </c>
      <c r="U1049" s="23">
        <f t="shared" si="2"/>
        <v>0</v>
      </c>
      <c r="V1049" s="23">
        <f t="shared" si="3"/>
        <v>0</v>
      </c>
      <c r="W1049" s="23">
        <f t="shared" si="4"/>
        <v>0</v>
      </c>
      <c r="X1049" s="24" t="str">
        <f t="shared" si="5"/>
        <v>#DIV/0!</v>
      </c>
    </row>
    <row r="1050">
      <c r="A1050" s="15" t="s">
        <v>4323</v>
      </c>
      <c r="B1050" s="15" t="s">
        <v>4324</v>
      </c>
      <c r="C1050" s="16" t="str">
        <f>IMAGE("https://i.ibb.co/gM8ffsqQ/1280.png")</f>
        <v/>
      </c>
      <c r="D1050" s="18"/>
      <c r="E1050" s="17" t="s">
        <v>4325</v>
      </c>
      <c r="F1050" s="18"/>
      <c r="G1050" s="18"/>
      <c r="H1050" s="15" t="s">
        <v>4326</v>
      </c>
      <c r="I1050" s="18"/>
      <c r="J1050" s="19" t="s">
        <v>36</v>
      </c>
      <c r="K1050" s="19" t="s">
        <v>1230</v>
      </c>
      <c r="L1050" s="19" t="s">
        <v>38</v>
      </c>
      <c r="M1050" s="20">
        <f t="shared" si="1"/>
        <v>0</v>
      </c>
      <c r="N1050" s="21"/>
      <c r="O1050" s="22"/>
      <c r="P1050" s="19" t="s">
        <v>3578</v>
      </c>
      <c r="Q1050" s="18"/>
      <c r="R1050" s="18"/>
      <c r="S1050" s="23">
        <v>0.0</v>
      </c>
      <c r="T1050" s="23">
        <v>0.0</v>
      </c>
      <c r="U1050" s="23">
        <f t="shared" si="2"/>
        <v>0</v>
      </c>
      <c r="V1050" s="23">
        <f t="shared" si="3"/>
        <v>0</v>
      </c>
      <c r="W1050" s="23">
        <f t="shared" si="4"/>
        <v>0</v>
      </c>
      <c r="X1050" s="24" t="str">
        <f t="shared" si="5"/>
        <v>#DIV/0!</v>
      </c>
    </row>
    <row r="1051">
      <c r="A1051" s="15" t="s">
        <v>4327</v>
      </c>
      <c r="B1051" s="15" t="s">
        <v>4328</v>
      </c>
      <c r="C1051" s="16" t="str">
        <f>IMAGE("https://i.ibb.co/cXv0tLLV/1281.png")</f>
        <v/>
      </c>
      <c r="D1051" s="15" t="s">
        <v>4329</v>
      </c>
      <c r="E1051" s="17" t="s">
        <v>4330</v>
      </c>
      <c r="F1051" s="18"/>
      <c r="G1051" s="18"/>
      <c r="H1051" s="15" t="s">
        <v>4331</v>
      </c>
      <c r="I1051" s="18"/>
      <c r="J1051" s="19" t="s">
        <v>36</v>
      </c>
      <c r="K1051" s="19" t="s">
        <v>427</v>
      </c>
      <c r="L1051" s="19" t="s">
        <v>403</v>
      </c>
      <c r="M1051" s="20">
        <f t="shared" si="1"/>
        <v>0</v>
      </c>
      <c r="N1051" s="21"/>
      <c r="O1051" s="22"/>
      <c r="P1051" s="19" t="s">
        <v>3578</v>
      </c>
      <c r="Q1051" s="18"/>
      <c r="R1051" s="18"/>
      <c r="S1051" s="23">
        <v>0.0</v>
      </c>
      <c r="T1051" s="23">
        <v>0.0</v>
      </c>
      <c r="U1051" s="23">
        <f t="shared" si="2"/>
        <v>0</v>
      </c>
      <c r="V1051" s="23">
        <f t="shared" si="3"/>
        <v>0</v>
      </c>
      <c r="W1051" s="23">
        <f t="shared" si="4"/>
        <v>0</v>
      </c>
      <c r="X1051" s="24" t="str">
        <f t="shared" si="5"/>
        <v>#DIV/0!</v>
      </c>
    </row>
    <row r="1052">
      <c r="A1052" s="15" t="s">
        <v>4332</v>
      </c>
      <c r="B1052" s="15" t="s">
        <v>4333</v>
      </c>
      <c r="C1052" s="16" t="str">
        <f>IMAGE("https://i.ibb.co/DHHZwYH6/1282.png")</f>
        <v/>
      </c>
      <c r="D1052" s="15" t="s">
        <v>4315</v>
      </c>
      <c r="E1052" s="17" t="s">
        <v>4334</v>
      </c>
      <c r="F1052" s="18"/>
      <c r="G1052" s="18"/>
      <c r="H1052" s="15" t="s">
        <v>4335</v>
      </c>
      <c r="I1052" s="18"/>
      <c r="J1052" s="19" t="s">
        <v>36</v>
      </c>
      <c r="K1052" s="19" t="s">
        <v>52</v>
      </c>
      <c r="L1052" s="19" t="s">
        <v>147</v>
      </c>
      <c r="M1052" s="20">
        <f t="shared" si="1"/>
        <v>0</v>
      </c>
      <c r="N1052" s="37" t="s">
        <v>68</v>
      </c>
      <c r="O1052" s="22"/>
      <c r="P1052" s="19" t="s">
        <v>3578</v>
      </c>
      <c r="Q1052" s="18"/>
      <c r="R1052" s="18"/>
      <c r="S1052" s="23">
        <v>0.0</v>
      </c>
      <c r="T1052" s="23">
        <v>0.0</v>
      </c>
      <c r="U1052" s="23">
        <f t="shared" si="2"/>
        <v>0</v>
      </c>
      <c r="V1052" s="23">
        <f t="shared" si="3"/>
        <v>0</v>
      </c>
      <c r="W1052" s="23">
        <f t="shared" si="4"/>
        <v>0</v>
      </c>
      <c r="X1052" s="24" t="str">
        <f t="shared" si="5"/>
        <v>#DIV/0!</v>
      </c>
    </row>
    <row r="1053">
      <c r="A1053" s="15" t="s">
        <v>4336</v>
      </c>
      <c r="B1053" s="15" t="s">
        <v>4337</v>
      </c>
      <c r="C1053" s="16" t="str">
        <f t="shared" ref="C1053:C1056" si="19">IMAGE("https://i.ibb.co/Ps5KsjdV/1285.png")</f>
        <v/>
      </c>
      <c r="D1053" s="15" t="s">
        <v>4338</v>
      </c>
      <c r="E1053" s="17" t="s">
        <v>4339</v>
      </c>
      <c r="F1053" s="18"/>
      <c r="G1053" s="18"/>
      <c r="H1053" s="15" t="s">
        <v>4340</v>
      </c>
      <c r="I1053" s="18"/>
      <c r="J1053" s="19" t="s">
        <v>36</v>
      </c>
      <c r="K1053" s="19" t="s">
        <v>52</v>
      </c>
      <c r="L1053" s="19" t="s">
        <v>135</v>
      </c>
      <c r="M1053" s="20">
        <f t="shared" si="1"/>
        <v>0</v>
      </c>
      <c r="N1053" s="21"/>
      <c r="O1053" s="22"/>
      <c r="P1053" s="19" t="s">
        <v>3578</v>
      </c>
      <c r="Q1053" s="18"/>
      <c r="R1053" s="18"/>
      <c r="S1053" s="23">
        <v>0.0</v>
      </c>
      <c r="T1053" s="23">
        <v>0.0</v>
      </c>
      <c r="U1053" s="23">
        <f t="shared" si="2"/>
        <v>0</v>
      </c>
      <c r="V1053" s="23">
        <f t="shared" si="3"/>
        <v>0</v>
      </c>
      <c r="W1053" s="23">
        <f t="shared" si="4"/>
        <v>0</v>
      </c>
      <c r="X1053" s="24" t="str">
        <f t="shared" si="5"/>
        <v>#DIV/0!</v>
      </c>
    </row>
    <row r="1054">
      <c r="A1054" s="15" t="s">
        <v>4341</v>
      </c>
      <c r="B1054" s="15" t="s">
        <v>4342</v>
      </c>
      <c r="C1054" s="16" t="str">
        <f t="shared" si="19"/>
        <v/>
      </c>
      <c r="D1054" s="15" t="s">
        <v>4343</v>
      </c>
      <c r="E1054" s="17" t="s">
        <v>4344</v>
      </c>
      <c r="F1054" s="18"/>
      <c r="G1054" s="18"/>
      <c r="H1054" s="15" t="s">
        <v>4345</v>
      </c>
      <c r="I1054" s="18"/>
      <c r="J1054" s="19" t="s">
        <v>36</v>
      </c>
      <c r="K1054" s="19" t="s">
        <v>52</v>
      </c>
      <c r="L1054" s="19" t="s">
        <v>135</v>
      </c>
      <c r="M1054" s="20">
        <f t="shared" si="1"/>
        <v>0</v>
      </c>
      <c r="N1054" s="21"/>
      <c r="O1054" s="22"/>
      <c r="P1054" s="19" t="s">
        <v>3578</v>
      </c>
      <c r="Q1054" s="18"/>
      <c r="R1054" s="18"/>
      <c r="S1054" s="23">
        <v>0.0</v>
      </c>
      <c r="T1054" s="23">
        <v>0.0</v>
      </c>
      <c r="U1054" s="23">
        <f t="shared" si="2"/>
        <v>0</v>
      </c>
      <c r="V1054" s="23">
        <f t="shared" si="3"/>
        <v>0</v>
      </c>
      <c r="W1054" s="23">
        <f t="shared" si="4"/>
        <v>0</v>
      </c>
      <c r="X1054" s="24" t="str">
        <f t="shared" si="5"/>
        <v>#DIV/0!</v>
      </c>
    </row>
    <row r="1055">
      <c r="A1055" s="15" t="s">
        <v>4346</v>
      </c>
      <c r="B1055" s="15" t="s">
        <v>4347</v>
      </c>
      <c r="C1055" s="16" t="str">
        <f t="shared" si="19"/>
        <v/>
      </c>
      <c r="D1055" s="15" t="s">
        <v>4348</v>
      </c>
      <c r="E1055" s="17" t="s">
        <v>4349</v>
      </c>
      <c r="F1055" s="18"/>
      <c r="G1055" s="18"/>
      <c r="H1055" s="15" t="s">
        <v>4350</v>
      </c>
      <c r="I1055" s="18"/>
      <c r="J1055" s="19" t="s">
        <v>36</v>
      </c>
      <c r="K1055" s="19" t="s">
        <v>52</v>
      </c>
      <c r="L1055" s="19" t="s">
        <v>135</v>
      </c>
      <c r="M1055" s="20">
        <f t="shared" si="1"/>
        <v>0</v>
      </c>
      <c r="N1055" s="21"/>
      <c r="O1055" s="22"/>
      <c r="P1055" s="19" t="s">
        <v>3578</v>
      </c>
      <c r="Q1055" s="18"/>
      <c r="R1055" s="18"/>
      <c r="S1055" s="23">
        <v>0.0</v>
      </c>
      <c r="T1055" s="23">
        <v>0.0</v>
      </c>
      <c r="U1055" s="23">
        <f t="shared" si="2"/>
        <v>0</v>
      </c>
      <c r="V1055" s="23">
        <f t="shared" si="3"/>
        <v>0</v>
      </c>
      <c r="W1055" s="23">
        <f t="shared" si="4"/>
        <v>0</v>
      </c>
      <c r="X1055" s="24" t="str">
        <f t="shared" si="5"/>
        <v>#DIV/0!</v>
      </c>
    </row>
    <row r="1056">
      <c r="A1056" s="15" t="s">
        <v>4351</v>
      </c>
      <c r="B1056" s="15" t="s">
        <v>4352</v>
      </c>
      <c r="C1056" s="16" t="str">
        <f t="shared" si="19"/>
        <v/>
      </c>
      <c r="D1056" s="15" t="s">
        <v>4353</v>
      </c>
      <c r="E1056" s="17" t="s">
        <v>4354</v>
      </c>
      <c r="F1056" s="18"/>
      <c r="G1056" s="18"/>
      <c r="H1056" s="15" t="s">
        <v>4355</v>
      </c>
      <c r="I1056" s="18"/>
      <c r="J1056" s="19" t="s">
        <v>36</v>
      </c>
      <c r="K1056" s="19" t="s">
        <v>52</v>
      </c>
      <c r="L1056" s="19" t="s">
        <v>135</v>
      </c>
      <c r="M1056" s="20">
        <f t="shared" si="1"/>
        <v>0</v>
      </c>
      <c r="N1056" s="21"/>
      <c r="O1056" s="22"/>
      <c r="P1056" s="19" t="s">
        <v>3578</v>
      </c>
      <c r="Q1056" s="18"/>
      <c r="R1056" s="18"/>
      <c r="S1056" s="23">
        <v>0.0</v>
      </c>
      <c r="T1056" s="23">
        <v>0.0</v>
      </c>
      <c r="U1056" s="23">
        <f t="shared" si="2"/>
        <v>0</v>
      </c>
      <c r="V1056" s="23">
        <f t="shared" si="3"/>
        <v>0</v>
      </c>
      <c r="W1056" s="23">
        <f t="shared" si="4"/>
        <v>0</v>
      </c>
      <c r="X1056" s="24" t="str">
        <f t="shared" si="5"/>
        <v>#DIV/0!</v>
      </c>
    </row>
    <row r="1057">
      <c r="A1057" s="15" t="s">
        <v>4356</v>
      </c>
      <c r="B1057" s="15" t="s">
        <v>4357</v>
      </c>
      <c r="C1057" s="16" t="str">
        <f t="shared" ref="C1057:C1058" si="20">IMAGE("https://i.ibb.co/LDS7mMx5/1289.png")</f>
        <v/>
      </c>
      <c r="D1057" s="15" t="s">
        <v>4358</v>
      </c>
      <c r="E1057" s="17" t="s">
        <v>4359</v>
      </c>
      <c r="F1057" s="18"/>
      <c r="G1057" s="18"/>
      <c r="H1057" s="15" t="s">
        <v>4360</v>
      </c>
      <c r="I1057" s="18"/>
      <c r="J1057" s="19" t="s">
        <v>36</v>
      </c>
      <c r="K1057" s="19" t="s">
        <v>52</v>
      </c>
      <c r="L1057" s="19" t="s">
        <v>135</v>
      </c>
      <c r="M1057" s="20">
        <f t="shared" si="1"/>
        <v>0</v>
      </c>
      <c r="N1057" s="21"/>
      <c r="O1057" s="22"/>
      <c r="P1057" s="19" t="s">
        <v>3578</v>
      </c>
      <c r="Q1057" s="18"/>
      <c r="R1057" s="18"/>
      <c r="S1057" s="23">
        <v>0.0</v>
      </c>
      <c r="T1057" s="23">
        <v>0.0</v>
      </c>
      <c r="U1057" s="23">
        <f t="shared" si="2"/>
        <v>0</v>
      </c>
      <c r="V1057" s="23">
        <f t="shared" si="3"/>
        <v>0</v>
      </c>
      <c r="W1057" s="23">
        <f t="shared" si="4"/>
        <v>0</v>
      </c>
      <c r="X1057" s="24" t="str">
        <f t="shared" si="5"/>
        <v>#DIV/0!</v>
      </c>
    </row>
    <row r="1058">
      <c r="A1058" s="15" t="s">
        <v>4361</v>
      </c>
      <c r="B1058" s="15" t="s">
        <v>4362</v>
      </c>
      <c r="C1058" s="16" t="str">
        <f t="shared" si="20"/>
        <v/>
      </c>
      <c r="D1058" s="15" t="s">
        <v>4363</v>
      </c>
      <c r="E1058" s="17" t="s">
        <v>4364</v>
      </c>
      <c r="F1058" s="18"/>
      <c r="G1058" s="18"/>
      <c r="H1058" s="15" t="s">
        <v>4365</v>
      </c>
      <c r="I1058" s="18"/>
      <c r="J1058" s="19" t="s">
        <v>36</v>
      </c>
      <c r="K1058" s="19" t="s">
        <v>52</v>
      </c>
      <c r="L1058" s="19" t="s">
        <v>135</v>
      </c>
      <c r="M1058" s="20">
        <f t="shared" si="1"/>
        <v>0</v>
      </c>
      <c r="N1058" s="21"/>
      <c r="O1058" s="22"/>
      <c r="P1058" s="19" t="s">
        <v>3578</v>
      </c>
      <c r="Q1058" s="18"/>
      <c r="R1058" s="18"/>
      <c r="S1058" s="23">
        <v>0.0</v>
      </c>
      <c r="T1058" s="23">
        <v>0.0</v>
      </c>
      <c r="U1058" s="23">
        <f t="shared" si="2"/>
        <v>0</v>
      </c>
      <c r="V1058" s="23">
        <f t="shared" si="3"/>
        <v>0</v>
      </c>
      <c r="W1058" s="23">
        <f t="shared" si="4"/>
        <v>0</v>
      </c>
      <c r="X1058" s="24" t="str">
        <f t="shared" si="5"/>
        <v>#DIV/0!</v>
      </c>
    </row>
    <row r="1059">
      <c r="A1059" s="15" t="s">
        <v>4366</v>
      </c>
      <c r="B1059" s="15" t="s">
        <v>4367</v>
      </c>
      <c r="C1059" s="16" t="str">
        <f>IMAGE("https://i.ibb.co/9m9CvQfB/1291.png")</f>
        <v/>
      </c>
      <c r="D1059" s="15" t="s">
        <v>4368</v>
      </c>
      <c r="E1059" s="17" t="s">
        <v>4369</v>
      </c>
      <c r="F1059" s="18"/>
      <c r="G1059" s="18"/>
      <c r="H1059" s="15" t="s">
        <v>4370</v>
      </c>
      <c r="I1059" s="18"/>
      <c r="J1059" s="19" t="s">
        <v>36</v>
      </c>
      <c r="K1059" s="19" t="s">
        <v>52</v>
      </c>
      <c r="L1059" s="19" t="s">
        <v>135</v>
      </c>
      <c r="M1059" s="20">
        <f t="shared" si="1"/>
        <v>0</v>
      </c>
      <c r="N1059" s="21"/>
      <c r="O1059" s="22"/>
      <c r="P1059" s="19" t="s">
        <v>3578</v>
      </c>
      <c r="Q1059" s="18"/>
      <c r="R1059" s="18"/>
      <c r="S1059" s="23">
        <v>0.0</v>
      </c>
      <c r="T1059" s="23">
        <v>0.0</v>
      </c>
      <c r="U1059" s="23">
        <f t="shared" si="2"/>
        <v>0</v>
      </c>
      <c r="V1059" s="23">
        <f t="shared" si="3"/>
        <v>0</v>
      </c>
      <c r="W1059" s="23">
        <f t="shared" si="4"/>
        <v>0</v>
      </c>
      <c r="X1059" s="24" t="str">
        <f t="shared" si="5"/>
        <v>#DIV/0!</v>
      </c>
    </row>
    <row r="1060">
      <c r="A1060" s="15" t="s">
        <v>4371</v>
      </c>
      <c r="B1060" s="18" t="str">
        <f t="shared" ref="B1060:B1065" si="21">CONCATENATE(7504589,A1060)</f>
        <v>75045891293</v>
      </c>
      <c r="C1060" s="16" t="str">
        <f t="shared" ref="C1060:C1065" si="22">IMAGE("https://i.ibb.co/d4S46ZsC/1293.png")</f>
        <v/>
      </c>
      <c r="D1060" s="15" t="s">
        <v>4372</v>
      </c>
      <c r="E1060" s="17" t="s">
        <v>4373</v>
      </c>
      <c r="F1060" s="18"/>
      <c r="G1060" s="18"/>
      <c r="H1060" s="15" t="s">
        <v>4374</v>
      </c>
      <c r="I1060" s="18"/>
      <c r="J1060" s="19" t="s">
        <v>36</v>
      </c>
      <c r="K1060" s="19" t="s">
        <v>52</v>
      </c>
      <c r="L1060" s="19" t="s">
        <v>177</v>
      </c>
      <c r="M1060" s="20">
        <f t="shared" si="1"/>
        <v>0</v>
      </c>
      <c r="N1060" s="21"/>
      <c r="O1060" s="22"/>
      <c r="P1060" s="19" t="s">
        <v>3578</v>
      </c>
      <c r="Q1060" s="18"/>
      <c r="R1060" s="18"/>
      <c r="S1060" s="23">
        <v>0.0</v>
      </c>
      <c r="T1060" s="23">
        <v>0.0</v>
      </c>
      <c r="U1060" s="23">
        <f t="shared" si="2"/>
        <v>0</v>
      </c>
      <c r="V1060" s="23">
        <f t="shared" si="3"/>
        <v>0</v>
      </c>
      <c r="W1060" s="23">
        <f t="shared" si="4"/>
        <v>0</v>
      </c>
      <c r="X1060" s="24" t="str">
        <f t="shared" si="5"/>
        <v>#DIV/0!</v>
      </c>
    </row>
    <row r="1061">
      <c r="A1061" s="15" t="s">
        <v>4375</v>
      </c>
      <c r="B1061" s="18" t="str">
        <f t="shared" si="21"/>
        <v>75045891294</v>
      </c>
      <c r="C1061" s="16" t="str">
        <f t="shared" si="22"/>
        <v/>
      </c>
      <c r="D1061" s="15" t="s">
        <v>4376</v>
      </c>
      <c r="E1061" s="17" t="s">
        <v>4377</v>
      </c>
      <c r="F1061" s="18"/>
      <c r="G1061" s="18"/>
      <c r="H1061" s="15" t="s">
        <v>4378</v>
      </c>
      <c r="I1061" s="18"/>
      <c r="J1061" s="19" t="s">
        <v>36</v>
      </c>
      <c r="K1061" s="19" t="s">
        <v>52</v>
      </c>
      <c r="L1061" s="19" t="s">
        <v>177</v>
      </c>
      <c r="M1061" s="20">
        <f t="shared" si="1"/>
        <v>0</v>
      </c>
      <c r="N1061" s="21"/>
      <c r="O1061" s="22"/>
      <c r="P1061" s="19" t="s">
        <v>3578</v>
      </c>
      <c r="Q1061" s="18"/>
      <c r="R1061" s="18"/>
      <c r="S1061" s="23">
        <v>0.0</v>
      </c>
      <c r="T1061" s="23">
        <v>0.0</v>
      </c>
      <c r="U1061" s="23">
        <f t="shared" si="2"/>
        <v>0</v>
      </c>
      <c r="V1061" s="23">
        <f t="shared" si="3"/>
        <v>0</v>
      </c>
      <c r="W1061" s="23">
        <f t="shared" si="4"/>
        <v>0</v>
      </c>
      <c r="X1061" s="24" t="str">
        <f t="shared" si="5"/>
        <v>#DIV/0!</v>
      </c>
    </row>
    <row r="1062">
      <c r="A1062" s="15" t="s">
        <v>4379</v>
      </c>
      <c r="B1062" s="18" t="str">
        <f t="shared" si="21"/>
        <v>75045891295</v>
      </c>
      <c r="C1062" s="16" t="str">
        <f t="shared" si="22"/>
        <v/>
      </c>
      <c r="D1062" s="15" t="s">
        <v>4380</v>
      </c>
      <c r="E1062" s="17" t="s">
        <v>4381</v>
      </c>
      <c r="F1062" s="18"/>
      <c r="G1062" s="18"/>
      <c r="H1062" s="15" t="s">
        <v>4382</v>
      </c>
      <c r="I1062" s="18"/>
      <c r="J1062" s="19" t="s">
        <v>36</v>
      </c>
      <c r="K1062" s="19" t="s">
        <v>52</v>
      </c>
      <c r="L1062" s="19" t="s">
        <v>177</v>
      </c>
      <c r="M1062" s="20">
        <f t="shared" si="1"/>
        <v>0</v>
      </c>
      <c r="N1062" s="21"/>
      <c r="O1062" s="22"/>
      <c r="P1062" s="19" t="s">
        <v>3578</v>
      </c>
      <c r="Q1062" s="18"/>
      <c r="R1062" s="18"/>
      <c r="S1062" s="23">
        <v>0.0</v>
      </c>
      <c r="T1062" s="23">
        <v>0.0</v>
      </c>
      <c r="U1062" s="23">
        <f t="shared" si="2"/>
        <v>0</v>
      </c>
      <c r="V1062" s="23">
        <f t="shared" si="3"/>
        <v>0</v>
      </c>
      <c r="W1062" s="23">
        <f t="shared" si="4"/>
        <v>0</v>
      </c>
      <c r="X1062" s="24" t="str">
        <f t="shared" si="5"/>
        <v>#DIV/0!</v>
      </c>
    </row>
    <row r="1063">
      <c r="A1063" s="15" t="s">
        <v>4383</v>
      </c>
      <c r="B1063" s="18" t="str">
        <f t="shared" si="21"/>
        <v>75045891296</v>
      </c>
      <c r="C1063" s="16" t="str">
        <f t="shared" si="22"/>
        <v/>
      </c>
      <c r="D1063" s="15" t="s">
        <v>4384</v>
      </c>
      <c r="E1063" s="17" t="s">
        <v>4385</v>
      </c>
      <c r="F1063" s="18"/>
      <c r="G1063" s="18"/>
      <c r="H1063" s="15" t="s">
        <v>4386</v>
      </c>
      <c r="I1063" s="18"/>
      <c r="J1063" s="19" t="s">
        <v>36</v>
      </c>
      <c r="K1063" s="19" t="s">
        <v>52</v>
      </c>
      <c r="L1063" s="19" t="s">
        <v>177</v>
      </c>
      <c r="M1063" s="20">
        <f t="shared" si="1"/>
        <v>0</v>
      </c>
      <c r="N1063" s="21"/>
      <c r="O1063" s="22"/>
      <c r="P1063" s="19" t="s">
        <v>3578</v>
      </c>
      <c r="Q1063" s="18"/>
      <c r="R1063" s="18"/>
      <c r="S1063" s="23">
        <v>0.0</v>
      </c>
      <c r="T1063" s="23">
        <v>0.0</v>
      </c>
      <c r="U1063" s="23">
        <f t="shared" si="2"/>
        <v>0</v>
      </c>
      <c r="V1063" s="23">
        <f t="shared" si="3"/>
        <v>0</v>
      </c>
      <c r="W1063" s="23">
        <f t="shared" si="4"/>
        <v>0</v>
      </c>
      <c r="X1063" s="24" t="str">
        <f t="shared" si="5"/>
        <v>#DIV/0!</v>
      </c>
    </row>
    <row r="1064">
      <c r="A1064" s="15" t="s">
        <v>4387</v>
      </c>
      <c r="B1064" s="18" t="str">
        <f t="shared" si="21"/>
        <v>75045891297</v>
      </c>
      <c r="C1064" s="16" t="str">
        <f t="shared" si="22"/>
        <v/>
      </c>
      <c r="D1064" s="15" t="s">
        <v>4388</v>
      </c>
      <c r="E1064" s="17" t="s">
        <v>4389</v>
      </c>
      <c r="F1064" s="18"/>
      <c r="G1064" s="18"/>
      <c r="H1064" s="15" t="s">
        <v>4390</v>
      </c>
      <c r="I1064" s="18"/>
      <c r="J1064" s="19" t="s">
        <v>36</v>
      </c>
      <c r="K1064" s="19" t="s">
        <v>52</v>
      </c>
      <c r="L1064" s="19" t="s">
        <v>177</v>
      </c>
      <c r="M1064" s="20">
        <f t="shared" si="1"/>
        <v>0</v>
      </c>
      <c r="N1064" s="21"/>
      <c r="O1064" s="22"/>
      <c r="P1064" s="19" t="s">
        <v>3578</v>
      </c>
      <c r="Q1064" s="18"/>
      <c r="R1064" s="18"/>
      <c r="S1064" s="23">
        <v>0.0</v>
      </c>
      <c r="T1064" s="23">
        <v>0.0</v>
      </c>
      <c r="U1064" s="23">
        <f t="shared" si="2"/>
        <v>0</v>
      </c>
      <c r="V1064" s="23">
        <f t="shared" si="3"/>
        <v>0</v>
      </c>
      <c r="W1064" s="23">
        <f t="shared" si="4"/>
        <v>0</v>
      </c>
      <c r="X1064" s="24" t="str">
        <f t="shared" si="5"/>
        <v>#DIV/0!</v>
      </c>
    </row>
    <row r="1065">
      <c r="A1065" s="15" t="s">
        <v>4391</v>
      </c>
      <c r="B1065" s="18" t="str">
        <f t="shared" si="21"/>
        <v>75045891298</v>
      </c>
      <c r="C1065" s="16" t="str">
        <f t="shared" si="22"/>
        <v/>
      </c>
      <c r="D1065" s="15" t="s">
        <v>4388</v>
      </c>
      <c r="E1065" s="17" t="s">
        <v>4392</v>
      </c>
      <c r="F1065" s="18"/>
      <c r="G1065" s="18"/>
      <c r="H1065" s="15" t="s">
        <v>4393</v>
      </c>
      <c r="I1065" s="18"/>
      <c r="J1065" s="19" t="s">
        <v>36</v>
      </c>
      <c r="K1065" s="19" t="s">
        <v>52</v>
      </c>
      <c r="L1065" s="19" t="s">
        <v>177</v>
      </c>
      <c r="M1065" s="20">
        <f t="shared" si="1"/>
        <v>0</v>
      </c>
      <c r="N1065" s="21"/>
      <c r="O1065" s="22"/>
      <c r="P1065" s="19" t="s">
        <v>3578</v>
      </c>
      <c r="Q1065" s="18"/>
      <c r="R1065" s="18"/>
      <c r="S1065" s="23">
        <v>0.0</v>
      </c>
      <c r="T1065" s="23">
        <v>0.0</v>
      </c>
      <c r="U1065" s="23">
        <f t="shared" si="2"/>
        <v>0</v>
      </c>
      <c r="V1065" s="23">
        <f t="shared" si="3"/>
        <v>0</v>
      </c>
      <c r="W1065" s="23">
        <f t="shared" si="4"/>
        <v>0</v>
      </c>
      <c r="X1065" s="24" t="str">
        <f t="shared" si="5"/>
        <v>#DIV/0!</v>
      </c>
    </row>
    <row r="1066">
      <c r="A1066" s="15" t="s">
        <v>4394</v>
      </c>
      <c r="B1066" s="18"/>
      <c r="C1066" s="16" t="str">
        <f>IMAGE("https://i.ibb.co/zhWMtY5Q/1299.png")</f>
        <v/>
      </c>
      <c r="D1066" s="18"/>
      <c r="E1066" s="17" t="s">
        <v>4395</v>
      </c>
      <c r="F1066" s="18"/>
      <c r="G1066" s="18"/>
      <c r="H1066" s="15" t="s">
        <v>4396</v>
      </c>
      <c r="I1066" s="18"/>
      <c r="J1066" s="19" t="s">
        <v>36</v>
      </c>
      <c r="K1066" s="19" t="s">
        <v>1230</v>
      </c>
      <c r="L1066" s="19" t="s">
        <v>38</v>
      </c>
      <c r="M1066" s="20">
        <f t="shared" si="1"/>
        <v>0</v>
      </c>
      <c r="N1066" s="21"/>
      <c r="O1066" s="22"/>
      <c r="P1066" s="19" t="s">
        <v>3578</v>
      </c>
      <c r="Q1066" s="18"/>
      <c r="R1066" s="18"/>
      <c r="S1066" s="23">
        <v>0.0</v>
      </c>
      <c r="T1066" s="23">
        <v>0.0</v>
      </c>
      <c r="U1066" s="23">
        <f t="shared" si="2"/>
        <v>0</v>
      </c>
      <c r="V1066" s="23">
        <f t="shared" si="3"/>
        <v>0</v>
      </c>
      <c r="W1066" s="23">
        <f t="shared" si="4"/>
        <v>0</v>
      </c>
      <c r="X1066" s="24" t="str">
        <f t="shared" si="5"/>
        <v>#DIV/0!</v>
      </c>
    </row>
    <row r="1067">
      <c r="A1067" s="15" t="s">
        <v>4397</v>
      </c>
      <c r="B1067" s="15" t="s">
        <v>4398</v>
      </c>
      <c r="C1067" s="16" t="str">
        <f>IMAGE("https://i.ibb.co/Xf0LjYtS/1300.png")</f>
        <v/>
      </c>
      <c r="D1067" s="18"/>
      <c r="E1067" s="17" t="s">
        <v>4399</v>
      </c>
      <c r="F1067" s="18"/>
      <c r="G1067" s="18"/>
      <c r="H1067" s="15" t="s">
        <v>4400</v>
      </c>
      <c r="I1067" s="18"/>
      <c r="J1067" s="19" t="s">
        <v>36</v>
      </c>
      <c r="K1067" s="19" t="s">
        <v>427</v>
      </c>
      <c r="L1067" s="19" t="s">
        <v>403</v>
      </c>
      <c r="M1067" s="20">
        <f t="shared" si="1"/>
        <v>0</v>
      </c>
      <c r="N1067" s="21"/>
      <c r="O1067" s="22"/>
      <c r="P1067" s="19" t="s">
        <v>3578</v>
      </c>
      <c r="Q1067" s="18"/>
      <c r="R1067" s="18"/>
      <c r="S1067" s="23">
        <v>0.0</v>
      </c>
      <c r="T1067" s="23">
        <v>0.0</v>
      </c>
      <c r="U1067" s="23">
        <f t="shared" si="2"/>
        <v>0</v>
      </c>
      <c r="V1067" s="23">
        <f t="shared" si="3"/>
        <v>0</v>
      </c>
      <c r="W1067" s="23">
        <f t="shared" si="4"/>
        <v>0</v>
      </c>
      <c r="X1067" s="24" t="str">
        <f t="shared" si="5"/>
        <v>#DIV/0!</v>
      </c>
    </row>
    <row r="1068">
      <c r="A1068" s="15" t="s">
        <v>4401</v>
      </c>
      <c r="B1068" s="15" t="s">
        <v>4402</v>
      </c>
      <c r="C1068" s="16" t="str">
        <f>IMAGE("https://i.ibb.co/SwswSQ70/1301.png")</f>
        <v/>
      </c>
      <c r="D1068" s="18"/>
      <c r="E1068" s="17" t="s">
        <v>4403</v>
      </c>
      <c r="F1068" s="18"/>
      <c r="G1068" s="18"/>
      <c r="H1068" s="15" t="s">
        <v>4404</v>
      </c>
      <c r="I1068" s="18"/>
      <c r="J1068" s="19" t="s">
        <v>36</v>
      </c>
      <c r="K1068" s="19" t="s">
        <v>52</v>
      </c>
      <c r="L1068" s="19" t="s">
        <v>52</v>
      </c>
      <c r="M1068" s="20">
        <f t="shared" si="1"/>
        <v>0</v>
      </c>
      <c r="N1068" s="21"/>
      <c r="O1068" s="22"/>
      <c r="P1068" s="19" t="s">
        <v>3578</v>
      </c>
      <c r="Q1068" s="18"/>
      <c r="R1068" s="18"/>
      <c r="S1068" s="23">
        <v>0.0</v>
      </c>
      <c r="T1068" s="23">
        <v>0.0</v>
      </c>
      <c r="U1068" s="23">
        <f t="shared" si="2"/>
        <v>0</v>
      </c>
      <c r="V1068" s="23">
        <f t="shared" si="3"/>
        <v>0</v>
      </c>
      <c r="W1068" s="23">
        <f t="shared" si="4"/>
        <v>0</v>
      </c>
      <c r="X1068" s="24" t="str">
        <f t="shared" si="5"/>
        <v>#DIV/0!</v>
      </c>
    </row>
    <row r="1069">
      <c r="A1069" s="15" t="s">
        <v>4405</v>
      </c>
      <c r="B1069" s="15" t="s">
        <v>4406</v>
      </c>
      <c r="C1069" s="16" t="str">
        <f>IMAGE("https://i.ibb.co/fGPD2tNw/1302.png")</f>
        <v/>
      </c>
      <c r="D1069" s="15" t="s">
        <v>4407</v>
      </c>
      <c r="E1069" s="17" t="s">
        <v>4408</v>
      </c>
      <c r="F1069" s="18"/>
      <c r="G1069" s="18"/>
      <c r="H1069" s="15" t="s">
        <v>4409</v>
      </c>
      <c r="I1069" s="18"/>
      <c r="J1069" s="19" t="s">
        <v>36</v>
      </c>
      <c r="K1069" s="19" t="s">
        <v>52</v>
      </c>
      <c r="L1069" s="19" t="s">
        <v>52</v>
      </c>
      <c r="M1069" s="20">
        <f t="shared" si="1"/>
        <v>0</v>
      </c>
      <c r="N1069" s="21"/>
      <c r="O1069" s="22"/>
      <c r="P1069" s="19" t="s">
        <v>3578</v>
      </c>
      <c r="Q1069" s="18"/>
      <c r="R1069" s="18"/>
      <c r="S1069" s="23">
        <v>0.0</v>
      </c>
      <c r="T1069" s="23">
        <v>0.0</v>
      </c>
      <c r="U1069" s="23">
        <f t="shared" si="2"/>
        <v>0</v>
      </c>
      <c r="V1069" s="23">
        <f t="shared" si="3"/>
        <v>0</v>
      </c>
      <c r="W1069" s="23">
        <f t="shared" si="4"/>
        <v>0</v>
      </c>
      <c r="X1069" s="24" t="str">
        <f t="shared" si="5"/>
        <v>#DIV/0!</v>
      </c>
    </row>
    <row r="1070">
      <c r="A1070" s="15" t="s">
        <v>4410</v>
      </c>
      <c r="B1070" s="15" t="s">
        <v>4411</v>
      </c>
      <c r="C1070" s="16" t="str">
        <f>IMAGE("https://i.ibb.co/Fds32BZ/1305.png")</f>
        <v/>
      </c>
      <c r="D1070" s="15" t="s">
        <v>4412</v>
      </c>
      <c r="E1070" s="17" t="s">
        <v>4413</v>
      </c>
      <c r="F1070" s="18"/>
      <c r="G1070" s="18"/>
      <c r="H1070" s="15" t="s">
        <v>4414</v>
      </c>
      <c r="I1070" s="18"/>
      <c r="J1070" s="19" t="s">
        <v>36</v>
      </c>
      <c r="K1070" s="19" t="s">
        <v>52</v>
      </c>
      <c r="L1070" s="19" t="s">
        <v>52</v>
      </c>
      <c r="M1070" s="20">
        <f t="shared" si="1"/>
        <v>0</v>
      </c>
      <c r="N1070" s="21"/>
      <c r="O1070" s="22"/>
      <c r="P1070" s="19" t="s">
        <v>3578</v>
      </c>
      <c r="Q1070" s="18"/>
      <c r="R1070" s="18"/>
      <c r="S1070" s="23">
        <v>0.0</v>
      </c>
      <c r="T1070" s="23">
        <v>0.0</v>
      </c>
      <c r="U1070" s="23">
        <f t="shared" si="2"/>
        <v>0</v>
      </c>
      <c r="V1070" s="23">
        <f t="shared" si="3"/>
        <v>0</v>
      </c>
      <c r="W1070" s="23">
        <f t="shared" si="4"/>
        <v>0</v>
      </c>
      <c r="X1070" s="24" t="str">
        <f t="shared" si="5"/>
        <v>#DIV/0!</v>
      </c>
    </row>
    <row r="1071">
      <c r="A1071" s="15" t="s">
        <v>4415</v>
      </c>
      <c r="B1071" s="15" t="s">
        <v>4416</v>
      </c>
      <c r="C1071" s="16" t="str">
        <f>IMAGE("https://i.ibb.co/d082dSLZ/1306.png")</f>
        <v/>
      </c>
      <c r="D1071" s="15" t="s">
        <v>4417</v>
      </c>
      <c r="E1071" s="17" t="s">
        <v>4418</v>
      </c>
      <c r="F1071" s="18"/>
      <c r="G1071" s="18"/>
      <c r="H1071" s="15" t="s">
        <v>4419</v>
      </c>
      <c r="I1071" s="15"/>
      <c r="J1071" s="19" t="s">
        <v>36</v>
      </c>
      <c r="K1071" s="19" t="s">
        <v>52</v>
      </c>
      <c r="L1071" s="19" t="s">
        <v>52</v>
      </c>
      <c r="M1071" s="20">
        <f t="shared" si="1"/>
        <v>0</v>
      </c>
      <c r="N1071" s="21"/>
      <c r="O1071" s="22"/>
      <c r="P1071" s="19" t="s">
        <v>3578</v>
      </c>
      <c r="Q1071" s="18"/>
      <c r="R1071" s="18"/>
      <c r="S1071" s="23">
        <v>0.0</v>
      </c>
      <c r="T1071" s="23">
        <v>0.0</v>
      </c>
      <c r="U1071" s="23">
        <f t="shared" si="2"/>
        <v>0</v>
      </c>
      <c r="V1071" s="23">
        <f t="shared" si="3"/>
        <v>0</v>
      </c>
      <c r="W1071" s="23">
        <f t="shared" si="4"/>
        <v>0</v>
      </c>
      <c r="X1071" s="24" t="str">
        <f t="shared" si="5"/>
        <v>#DIV/0!</v>
      </c>
    </row>
    <row r="1072">
      <c r="A1072" s="15" t="s">
        <v>4420</v>
      </c>
      <c r="B1072" s="15" t="s">
        <v>4421</v>
      </c>
      <c r="C1072" s="16" t="str">
        <f>IMAGE("https://i.ibb.co/SXxPs06Q/1307.png")</f>
        <v/>
      </c>
      <c r="D1072" s="15" t="s">
        <v>4422</v>
      </c>
      <c r="E1072" s="17" t="s">
        <v>4423</v>
      </c>
      <c r="F1072" s="18"/>
      <c r="G1072" s="18"/>
      <c r="H1072" s="15" t="s">
        <v>2304</v>
      </c>
      <c r="I1072" s="18"/>
      <c r="J1072" s="19" t="s">
        <v>36</v>
      </c>
      <c r="K1072" s="19" t="s">
        <v>1230</v>
      </c>
      <c r="L1072" s="19" t="s">
        <v>38</v>
      </c>
      <c r="M1072" s="20">
        <f t="shared" si="1"/>
        <v>0</v>
      </c>
      <c r="N1072" s="21"/>
      <c r="O1072" s="22"/>
      <c r="P1072" s="19" t="s">
        <v>3578</v>
      </c>
      <c r="Q1072" s="18"/>
      <c r="R1072" s="18"/>
      <c r="S1072" s="23">
        <v>0.0</v>
      </c>
      <c r="T1072" s="23">
        <v>0.0</v>
      </c>
      <c r="U1072" s="23">
        <f t="shared" si="2"/>
        <v>0</v>
      </c>
      <c r="V1072" s="23">
        <f t="shared" si="3"/>
        <v>0</v>
      </c>
      <c r="W1072" s="23">
        <f t="shared" si="4"/>
        <v>0</v>
      </c>
      <c r="X1072" s="24" t="str">
        <f t="shared" si="5"/>
        <v>#DIV/0!</v>
      </c>
    </row>
    <row r="1073">
      <c r="A1073" s="15" t="s">
        <v>4424</v>
      </c>
      <c r="B1073" s="15" t="s">
        <v>4425</v>
      </c>
      <c r="C1073" s="16"/>
      <c r="D1073" s="15" t="s">
        <v>4426</v>
      </c>
      <c r="E1073" s="17" t="s">
        <v>4427</v>
      </c>
      <c r="F1073" s="18"/>
      <c r="G1073" s="18"/>
      <c r="H1073" s="15" t="s">
        <v>4428</v>
      </c>
      <c r="I1073" s="18"/>
      <c r="J1073" s="19" t="s">
        <v>36</v>
      </c>
      <c r="K1073" s="19" t="s">
        <v>52</v>
      </c>
      <c r="L1073" s="19" t="s">
        <v>135</v>
      </c>
      <c r="M1073" s="20">
        <f t="shared" si="1"/>
        <v>0</v>
      </c>
      <c r="N1073" s="21"/>
      <c r="O1073" s="22"/>
      <c r="P1073" s="19" t="s">
        <v>3578</v>
      </c>
      <c r="Q1073" s="18"/>
      <c r="R1073" s="18"/>
      <c r="S1073" s="23">
        <v>0.0</v>
      </c>
      <c r="T1073" s="23">
        <v>0.0</v>
      </c>
      <c r="U1073" s="23">
        <f t="shared" si="2"/>
        <v>0</v>
      </c>
      <c r="V1073" s="23">
        <f t="shared" si="3"/>
        <v>0</v>
      </c>
      <c r="W1073" s="23">
        <f t="shared" si="4"/>
        <v>0</v>
      </c>
      <c r="X1073" s="24" t="str">
        <f t="shared" si="5"/>
        <v>#DIV/0!</v>
      </c>
    </row>
    <row r="1074">
      <c r="A1074" s="15" t="s">
        <v>4429</v>
      </c>
      <c r="B1074" s="15" t="s">
        <v>4430</v>
      </c>
      <c r="C1074" s="16"/>
      <c r="D1074" s="15" t="s">
        <v>4426</v>
      </c>
      <c r="E1074" s="17" t="s">
        <v>4427</v>
      </c>
      <c r="F1074" s="18"/>
      <c r="G1074" s="18"/>
      <c r="H1074" s="15" t="s">
        <v>4431</v>
      </c>
      <c r="I1074" s="18"/>
      <c r="J1074" s="19" t="s">
        <v>36</v>
      </c>
      <c r="K1074" s="19" t="s">
        <v>52</v>
      </c>
      <c r="L1074" s="19" t="s">
        <v>135</v>
      </c>
      <c r="M1074" s="20">
        <f t="shared" si="1"/>
        <v>0</v>
      </c>
      <c r="N1074" s="21"/>
      <c r="O1074" s="22"/>
      <c r="P1074" s="19" t="s">
        <v>3578</v>
      </c>
      <c r="Q1074" s="18"/>
      <c r="R1074" s="18"/>
      <c r="S1074" s="23">
        <v>0.0</v>
      </c>
      <c r="T1074" s="23">
        <v>0.0</v>
      </c>
      <c r="U1074" s="23">
        <f t="shared" si="2"/>
        <v>0</v>
      </c>
      <c r="V1074" s="23">
        <f t="shared" si="3"/>
        <v>0</v>
      </c>
      <c r="W1074" s="23">
        <f t="shared" si="4"/>
        <v>0</v>
      </c>
      <c r="X1074" s="24" t="str">
        <f t="shared" si="5"/>
        <v>#DIV/0!</v>
      </c>
    </row>
    <row r="1075">
      <c r="A1075" s="15" t="s">
        <v>4432</v>
      </c>
      <c r="B1075" s="15" t="s">
        <v>4433</v>
      </c>
      <c r="C1075" s="16"/>
      <c r="D1075" s="15" t="s">
        <v>4434</v>
      </c>
      <c r="E1075" s="17" t="s">
        <v>4435</v>
      </c>
      <c r="F1075" s="18"/>
      <c r="G1075" s="18"/>
      <c r="H1075" s="15" t="s">
        <v>4436</v>
      </c>
      <c r="I1075" s="18"/>
      <c r="J1075" s="19" t="s">
        <v>36</v>
      </c>
      <c r="K1075" s="19" t="s">
        <v>603</v>
      </c>
      <c r="L1075" s="19" t="s">
        <v>38</v>
      </c>
      <c r="M1075" s="20">
        <f t="shared" si="1"/>
        <v>0</v>
      </c>
      <c r="N1075" s="21"/>
      <c r="O1075" s="22"/>
      <c r="P1075" s="19" t="s">
        <v>3578</v>
      </c>
      <c r="Q1075" s="18"/>
      <c r="R1075" s="18"/>
      <c r="S1075" s="23">
        <v>0.0</v>
      </c>
      <c r="T1075" s="23">
        <v>0.0</v>
      </c>
      <c r="U1075" s="23">
        <f t="shared" si="2"/>
        <v>0</v>
      </c>
      <c r="V1075" s="23">
        <f t="shared" si="3"/>
        <v>0</v>
      </c>
      <c r="W1075" s="23">
        <f t="shared" si="4"/>
        <v>0</v>
      </c>
      <c r="X1075" s="24" t="str">
        <f t="shared" si="5"/>
        <v>#DIV/0!</v>
      </c>
    </row>
    <row r="1076">
      <c r="A1076" s="15" t="s">
        <v>4437</v>
      </c>
      <c r="B1076" s="15" t="s">
        <v>4438</v>
      </c>
      <c r="C1076" s="16" t="str">
        <f>IMAGE("https://i.ibb.co/VYYQQjpZ/1311.png")</f>
        <v/>
      </c>
      <c r="D1076" s="15" t="s">
        <v>4439</v>
      </c>
      <c r="E1076" s="17" t="s">
        <v>4440</v>
      </c>
      <c r="F1076" s="18"/>
      <c r="G1076" s="18"/>
      <c r="H1076" s="15" t="s">
        <v>4441</v>
      </c>
      <c r="I1076" s="18"/>
      <c r="J1076" s="19" t="s">
        <v>36</v>
      </c>
      <c r="K1076" s="19" t="s">
        <v>52</v>
      </c>
      <c r="L1076" s="19" t="s">
        <v>52</v>
      </c>
      <c r="M1076" s="20">
        <f t="shared" si="1"/>
        <v>0</v>
      </c>
      <c r="N1076" s="21"/>
      <c r="O1076" s="22"/>
      <c r="P1076" s="19" t="s">
        <v>3578</v>
      </c>
      <c r="Q1076" s="18"/>
      <c r="R1076" s="18"/>
      <c r="S1076" s="23">
        <v>0.0</v>
      </c>
      <c r="T1076" s="23">
        <v>0.0</v>
      </c>
      <c r="U1076" s="23">
        <f t="shared" si="2"/>
        <v>0</v>
      </c>
      <c r="V1076" s="23">
        <f t="shared" si="3"/>
        <v>0</v>
      </c>
      <c r="W1076" s="23">
        <f t="shared" si="4"/>
        <v>0</v>
      </c>
      <c r="X1076" s="24" t="str">
        <f t="shared" si="5"/>
        <v>#DIV/0!</v>
      </c>
    </row>
    <row r="1077">
      <c r="A1077" s="15" t="s">
        <v>4442</v>
      </c>
      <c r="B1077" s="15" t="s">
        <v>4443</v>
      </c>
      <c r="C1077" s="16" t="str">
        <f t="shared" ref="C1077:C1079" si="23">IMAGE("https://i.ibb.co/jkqvM174/1313.png")</f>
        <v/>
      </c>
      <c r="D1077" s="15" t="s">
        <v>4444</v>
      </c>
      <c r="E1077" s="17" t="s">
        <v>4445</v>
      </c>
      <c r="F1077" s="18"/>
      <c r="G1077" s="18"/>
      <c r="H1077" s="15" t="s">
        <v>4446</v>
      </c>
      <c r="I1077" s="18"/>
      <c r="J1077" s="19" t="s">
        <v>36</v>
      </c>
      <c r="K1077" s="19" t="s">
        <v>52</v>
      </c>
      <c r="L1077" s="19" t="s">
        <v>52</v>
      </c>
      <c r="M1077" s="20">
        <f t="shared" si="1"/>
        <v>0</v>
      </c>
      <c r="N1077" s="37" t="s">
        <v>68</v>
      </c>
      <c r="O1077" s="22"/>
      <c r="P1077" s="19" t="s">
        <v>3578</v>
      </c>
      <c r="Q1077" s="18"/>
      <c r="R1077" s="18"/>
      <c r="S1077" s="23">
        <v>0.0</v>
      </c>
      <c r="T1077" s="23">
        <v>0.0</v>
      </c>
      <c r="U1077" s="23">
        <f t="shared" si="2"/>
        <v>0</v>
      </c>
      <c r="V1077" s="23">
        <f t="shared" si="3"/>
        <v>0</v>
      </c>
      <c r="W1077" s="23">
        <f t="shared" si="4"/>
        <v>0</v>
      </c>
      <c r="X1077" s="24" t="str">
        <f t="shared" si="5"/>
        <v>#DIV/0!</v>
      </c>
    </row>
    <row r="1078">
      <c r="A1078" s="15" t="s">
        <v>4447</v>
      </c>
      <c r="B1078" s="15" t="s">
        <v>4448</v>
      </c>
      <c r="C1078" s="16" t="str">
        <f t="shared" si="23"/>
        <v/>
      </c>
      <c r="D1078" s="15" t="s">
        <v>4449</v>
      </c>
      <c r="E1078" s="17" t="s">
        <v>4450</v>
      </c>
      <c r="F1078" s="18"/>
      <c r="G1078" s="18"/>
      <c r="H1078" s="15" t="s">
        <v>4451</v>
      </c>
      <c r="I1078" s="18"/>
      <c r="J1078" s="19" t="s">
        <v>36</v>
      </c>
      <c r="K1078" s="19" t="s">
        <v>52</v>
      </c>
      <c r="L1078" s="19" t="s">
        <v>52</v>
      </c>
      <c r="M1078" s="20">
        <f t="shared" si="1"/>
        <v>0</v>
      </c>
      <c r="N1078" s="37" t="s">
        <v>68</v>
      </c>
      <c r="O1078" s="22"/>
      <c r="P1078" s="19" t="s">
        <v>3578</v>
      </c>
      <c r="Q1078" s="18"/>
      <c r="R1078" s="18"/>
      <c r="S1078" s="23">
        <v>0.0</v>
      </c>
      <c r="T1078" s="23">
        <v>0.0</v>
      </c>
      <c r="U1078" s="23">
        <f t="shared" si="2"/>
        <v>0</v>
      </c>
      <c r="V1078" s="23">
        <f t="shared" si="3"/>
        <v>0</v>
      </c>
      <c r="W1078" s="23">
        <f t="shared" si="4"/>
        <v>0</v>
      </c>
      <c r="X1078" s="24" t="str">
        <f t="shared" si="5"/>
        <v>#DIV/0!</v>
      </c>
    </row>
    <row r="1079">
      <c r="A1079" s="15" t="s">
        <v>4452</v>
      </c>
      <c r="B1079" s="15" t="s">
        <v>4453</v>
      </c>
      <c r="C1079" s="16" t="str">
        <f t="shared" si="23"/>
        <v/>
      </c>
      <c r="D1079" s="15" t="s">
        <v>4454</v>
      </c>
      <c r="E1079" s="17" t="s">
        <v>4455</v>
      </c>
      <c r="F1079" s="18"/>
      <c r="G1079" s="18"/>
      <c r="H1079" s="15" t="s">
        <v>4456</v>
      </c>
      <c r="I1079" s="18"/>
      <c r="J1079" s="19" t="s">
        <v>36</v>
      </c>
      <c r="K1079" s="19" t="s">
        <v>52</v>
      </c>
      <c r="L1079" s="19" t="s">
        <v>52</v>
      </c>
      <c r="M1079" s="20">
        <f t="shared" si="1"/>
        <v>0</v>
      </c>
      <c r="N1079" s="37" t="s">
        <v>68</v>
      </c>
      <c r="O1079" s="22"/>
      <c r="P1079" s="19" t="s">
        <v>3578</v>
      </c>
      <c r="Q1079" s="18"/>
      <c r="R1079" s="18"/>
      <c r="S1079" s="23">
        <v>0.0</v>
      </c>
      <c r="T1079" s="23">
        <v>0.0</v>
      </c>
      <c r="U1079" s="23">
        <f t="shared" si="2"/>
        <v>0</v>
      </c>
      <c r="V1079" s="23">
        <f t="shared" si="3"/>
        <v>0</v>
      </c>
      <c r="W1079" s="23">
        <f t="shared" si="4"/>
        <v>0</v>
      </c>
      <c r="X1079" s="24" t="str">
        <f t="shared" si="5"/>
        <v>#DIV/0!</v>
      </c>
    </row>
    <row r="1080">
      <c r="A1080" s="15" t="s">
        <v>4457</v>
      </c>
      <c r="B1080" s="15" t="s">
        <v>4458</v>
      </c>
      <c r="C1080" s="16"/>
      <c r="D1080" s="15" t="s">
        <v>4459</v>
      </c>
      <c r="E1080" s="17" t="s">
        <v>4460</v>
      </c>
      <c r="F1080" s="18"/>
      <c r="G1080" s="18"/>
      <c r="H1080" s="15" t="s">
        <v>4461</v>
      </c>
      <c r="I1080" s="18"/>
      <c r="J1080" s="19" t="s">
        <v>36</v>
      </c>
      <c r="K1080" s="19" t="s">
        <v>52</v>
      </c>
      <c r="L1080" s="19" t="s">
        <v>52</v>
      </c>
      <c r="M1080" s="20">
        <f t="shared" si="1"/>
        <v>0</v>
      </c>
      <c r="N1080" s="21"/>
      <c r="O1080" s="22"/>
      <c r="P1080" s="19" t="s">
        <v>3578</v>
      </c>
      <c r="Q1080" s="18"/>
      <c r="R1080" s="18"/>
      <c r="S1080" s="23">
        <v>0.0</v>
      </c>
      <c r="T1080" s="23">
        <v>0.0</v>
      </c>
      <c r="U1080" s="23">
        <f t="shared" si="2"/>
        <v>0</v>
      </c>
      <c r="V1080" s="23">
        <f t="shared" si="3"/>
        <v>0</v>
      </c>
      <c r="W1080" s="23">
        <f t="shared" si="4"/>
        <v>0</v>
      </c>
      <c r="X1080" s="24" t="str">
        <f t="shared" si="5"/>
        <v>#DIV/0!</v>
      </c>
    </row>
    <row r="1081">
      <c r="A1081" s="15" t="s">
        <v>4462</v>
      </c>
      <c r="B1081" s="15" t="s">
        <v>4463</v>
      </c>
      <c r="C1081" s="16"/>
      <c r="D1081" s="15" t="s">
        <v>4464</v>
      </c>
      <c r="E1081" s="17" t="s">
        <v>4465</v>
      </c>
      <c r="F1081" s="18"/>
      <c r="G1081" s="18"/>
      <c r="H1081" s="15" t="s">
        <v>4466</v>
      </c>
      <c r="I1081" s="18"/>
      <c r="J1081" s="19" t="s">
        <v>36</v>
      </c>
      <c r="K1081" s="19" t="s">
        <v>52</v>
      </c>
      <c r="L1081" s="19" t="s">
        <v>52</v>
      </c>
      <c r="M1081" s="20">
        <f t="shared" si="1"/>
        <v>0</v>
      </c>
      <c r="N1081" s="21"/>
      <c r="O1081" s="22"/>
      <c r="P1081" s="19" t="s">
        <v>3578</v>
      </c>
      <c r="Q1081" s="18"/>
      <c r="R1081" s="18"/>
      <c r="S1081" s="23">
        <v>0.0</v>
      </c>
      <c r="T1081" s="23">
        <v>0.0</v>
      </c>
      <c r="U1081" s="23">
        <f t="shared" si="2"/>
        <v>0</v>
      </c>
      <c r="V1081" s="23">
        <f t="shared" si="3"/>
        <v>0</v>
      </c>
      <c r="W1081" s="23">
        <f t="shared" si="4"/>
        <v>0</v>
      </c>
      <c r="X1081" s="24" t="str">
        <f t="shared" si="5"/>
        <v>#DIV/0!</v>
      </c>
    </row>
    <row r="1082">
      <c r="A1082" s="15" t="s">
        <v>4467</v>
      </c>
      <c r="B1082" s="15" t="s">
        <v>4468</v>
      </c>
      <c r="C1082" s="16"/>
      <c r="D1082" s="18"/>
      <c r="E1082" s="17" t="s">
        <v>4469</v>
      </c>
      <c r="F1082" s="18"/>
      <c r="G1082" s="18"/>
      <c r="H1082" s="15" t="s">
        <v>4470</v>
      </c>
      <c r="I1082" s="18"/>
      <c r="J1082" s="19" t="s">
        <v>36</v>
      </c>
      <c r="K1082" s="19" t="s">
        <v>52</v>
      </c>
      <c r="L1082" s="19" t="s">
        <v>52</v>
      </c>
      <c r="M1082" s="20">
        <f t="shared" si="1"/>
        <v>0</v>
      </c>
      <c r="N1082" s="21"/>
      <c r="O1082" s="22"/>
      <c r="P1082" s="19" t="s">
        <v>3578</v>
      </c>
      <c r="Q1082" s="18"/>
      <c r="R1082" s="18"/>
      <c r="S1082" s="23">
        <v>0.0</v>
      </c>
      <c r="T1082" s="23">
        <v>0.0</v>
      </c>
      <c r="U1082" s="23">
        <f t="shared" si="2"/>
        <v>0</v>
      </c>
      <c r="V1082" s="23">
        <f t="shared" si="3"/>
        <v>0</v>
      </c>
      <c r="W1082" s="23">
        <f t="shared" si="4"/>
        <v>0</v>
      </c>
      <c r="X1082" s="24" t="str">
        <f t="shared" si="5"/>
        <v>#DIV/0!</v>
      </c>
    </row>
    <row r="1083">
      <c r="A1083" s="15" t="s">
        <v>4471</v>
      </c>
      <c r="B1083" s="18"/>
      <c r="C1083" s="16"/>
      <c r="D1083" s="18"/>
      <c r="E1083" s="17" t="s">
        <v>4472</v>
      </c>
      <c r="F1083" s="18"/>
      <c r="G1083" s="18"/>
      <c r="H1083" s="15" t="s">
        <v>4473</v>
      </c>
      <c r="I1083" s="18"/>
      <c r="J1083" s="19" t="s">
        <v>36</v>
      </c>
      <c r="K1083" s="19" t="s">
        <v>1230</v>
      </c>
      <c r="L1083" s="19" t="s">
        <v>38</v>
      </c>
      <c r="M1083" s="20">
        <f t="shared" si="1"/>
        <v>0</v>
      </c>
      <c r="N1083" s="21"/>
      <c r="O1083" s="22"/>
      <c r="P1083" s="19" t="s">
        <v>3578</v>
      </c>
      <c r="Q1083" s="18"/>
      <c r="R1083" s="18"/>
      <c r="S1083" s="23">
        <v>0.0</v>
      </c>
      <c r="T1083" s="23">
        <v>0.0</v>
      </c>
      <c r="U1083" s="23">
        <f t="shared" si="2"/>
        <v>0</v>
      </c>
      <c r="V1083" s="23">
        <f t="shared" si="3"/>
        <v>0</v>
      </c>
      <c r="W1083" s="23">
        <f t="shared" si="4"/>
        <v>0</v>
      </c>
      <c r="X1083" s="24" t="str">
        <f t="shared" si="5"/>
        <v>#DIV/0!</v>
      </c>
    </row>
    <row r="1084">
      <c r="A1084" s="15" t="s">
        <v>4474</v>
      </c>
      <c r="B1084" s="18"/>
      <c r="C1084" s="16"/>
      <c r="D1084" s="18"/>
      <c r="E1084" s="17" t="s">
        <v>4475</v>
      </c>
      <c r="F1084" s="18"/>
      <c r="G1084" s="18"/>
      <c r="H1084" s="15" t="s">
        <v>4476</v>
      </c>
      <c r="I1084" s="18"/>
      <c r="J1084" s="19" t="s">
        <v>702</v>
      </c>
      <c r="K1084" s="19" t="s">
        <v>1269</v>
      </c>
      <c r="L1084" s="19" t="s">
        <v>38</v>
      </c>
      <c r="M1084" s="20">
        <f t="shared" si="1"/>
        <v>0</v>
      </c>
      <c r="N1084" s="21"/>
      <c r="O1084" s="22"/>
      <c r="P1084" s="19" t="s">
        <v>3578</v>
      </c>
      <c r="Q1084" s="18"/>
      <c r="R1084" s="18"/>
      <c r="S1084" s="23">
        <v>0.0</v>
      </c>
      <c r="T1084" s="23">
        <v>0.0</v>
      </c>
      <c r="U1084" s="23">
        <f t="shared" si="2"/>
        <v>0</v>
      </c>
      <c r="V1084" s="23">
        <f t="shared" si="3"/>
        <v>0</v>
      </c>
      <c r="W1084" s="23">
        <f t="shared" si="4"/>
        <v>0</v>
      </c>
      <c r="X1084" s="24" t="str">
        <f t="shared" si="5"/>
        <v>#DIV/0!</v>
      </c>
    </row>
    <row r="1085">
      <c r="A1085" s="15" t="s">
        <v>4477</v>
      </c>
      <c r="B1085" s="18" t="str">
        <f>CONCATENATE(7504589,A1085)</f>
        <v>75045891323</v>
      </c>
      <c r="C1085" s="16"/>
      <c r="D1085" s="15" t="s">
        <v>4478</v>
      </c>
      <c r="E1085" s="17" t="s">
        <v>4479</v>
      </c>
      <c r="F1085" s="18"/>
      <c r="G1085" s="18"/>
      <c r="H1085" s="15" t="s">
        <v>4480</v>
      </c>
      <c r="I1085" s="15" t="s">
        <v>4481</v>
      </c>
      <c r="J1085" s="19" t="s">
        <v>702</v>
      </c>
      <c r="K1085" s="19" t="s">
        <v>52</v>
      </c>
      <c r="L1085" s="19" t="s">
        <v>52</v>
      </c>
      <c r="M1085" s="20">
        <f t="shared" si="1"/>
        <v>0</v>
      </c>
      <c r="N1085" s="21"/>
      <c r="O1085" s="22"/>
      <c r="P1085" s="19" t="s">
        <v>3578</v>
      </c>
      <c r="Q1085" s="18"/>
      <c r="R1085" s="18"/>
      <c r="S1085" s="23">
        <v>0.0</v>
      </c>
      <c r="T1085" s="23">
        <v>0.0</v>
      </c>
      <c r="U1085" s="23">
        <f t="shared" si="2"/>
        <v>0</v>
      </c>
      <c r="V1085" s="23">
        <f t="shared" si="3"/>
        <v>0</v>
      </c>
      <c r="W1085" s="23">
        <f t="shared" si="4"/>
        <v>0</v>
      </c>
      <c r="X1085" s="24" t="str">
        <f t="shared" si="5"/>
        <v>#DIV/0!</v>
      </c>
    </row>
    <row r="1086">
      <c r="A1086" s="15" t="s">
        <v>4482</v>
      </c>
      <c r="B1086" s="15" t="s">
        <v>4483</v>
      </c>
      <c r="C1086" s="16"/>
      <c r="D1086" s="15" t="s">
        <v>4484</v>
      </c>
      <c r="E1086" s="17" t="s">
        <v>4485</v>
      </c>
      <c r="F1086" s="18"/>
      <c r="G1086" s="18"/>
      <c r="H1086" s="15" t="s">
        <v>4486</v>
      </c>
      <c r="I1086" s="18"/>
      <c r="J1086" s="19" t="s">
        <v>702</v>
      </c>
      <c r="K1086" s="19" t="s">
        <v>52</v>
      </c>
      <c r="L1086" s="19" t="s">
        <v>52</v>
      </c>
      <c r="M1086" s="20">
        <f t="shared" si="1"/>
        <v>0</v>
      </c>
      <c r="N1086" s="21"/>
      <c r="O1086" s="22"/>
      <c r="P1086" s="19" t="s">
        <v>3578</v>
      </c>
      <c r="Q1086" s="18"/>
      <c r="R1086" s="18"/>
      <c r="S1086" s="23">
        <v>0.0</v>
      </c>
      <c r="T1086" s="23">
        <v>0.0</v>
      </c>
      <c r="U1086" s="23">
        <f t="shared" si="2"/>
        <v>0</v>
      </c>
      <c r="V1086" s="23">
        <f t="shared" si="3"/>
        <v>0</v>
      </c>
      <c r="W1086" s="23">
        <f t="shared" si="4"/>
        <v>0</v>
      </c>
      <c r="X1086" s="24" t="str">
        <f t="shared" si="5"/>
        <v>#DIV/0!</v>
      </c>
    </row>
    <row r="1087">
      <c r="A1087" s="15" t="s">
        <v>4487</v>
      </c>
      <c r="B1087" s="18"/>
      <c r="C1087" s="16"/>
      <c r="D1087" s="18"/>
      <c r="E1087" s="17" t="s">
        <v>4488</v>
      </c>
      <c r="F1087" s="18"/>
      <c r="G1087" s="18"/>
      <c r="H1087" s="15" t="s">
        <v>4489</v>
      </c>
      <c r="I1087" s="18"/>
      <c r="J1087" s="19" t="s">
        <v>702</v>
      </c>
      <c r="K1087" s="19" t="s">
        <v>105</v>
      </c>
      <c r="L1087" s="19" t="s">
        <v>38</v>
      </c>
      <c r="M1087" s="20">
        <f t="shared" si="1"/>
        <v>0</v>
      </c>
      <c r="N1087" s="21"/>
      <c r="O1087" s="22"/>
      <c r="P1087" s="19" t="s">
        <v>3578</v>
      </c>
      <c r="Q1087" s="18"/>
      <c r="R1087" s="18"/>
      <c r="S1087" s="23">
        <v>0.0</v>
      </c>
      <c r="T1087" s="23">
        <v>0.0</v>
      </c>
      <c r="U1087" s="23">
        <f t="shared" si="2"/>
        <v>0</v>
      </c>
      <c r="V1087" s="23">
        <f t="shared" si="3"/>
        <v>0</v>
      </c>
      <c r="W1087" s="23">
        <f t="shared" si="4"/>
        <v>0</v>
      </c>
      <c r="X1087" s="24" t="str">
        <f t="shared" si="5"/>
        <v>#DIV/0!</v>
      </c>
    </row>
    <row r="1088">
      <c r="A1088" s="15" t="s">
        <v>4490</v>
      </c>
      <c r="B1088" s="18"/>
      <c r="C1088" s="16"/>
      <c r="D1088" s="18"/>
      <c r="E1088" s="17" t="s">
        <v>4491</v>
      </c>
      <c r="F1088" s="18"/>
      <c r="G1088" s="18"/>
      <c r="H1088" s="15" t="s">
        <v>4492</v>
      </c>
      <c r="I1088" s="18"/>
      <c r="J1088" s="19" t="s">
        <v>702</v>
      </c>
      <c r="K1088" s="19" t="s">
        <v>105</v>
      </c>
      <c r="L1088" s="19" t="s">
        <v>38</v>
      </c>
      <c r="M1088" s="20">
        <f t="shared" si="1"/>
        <v>0</v>
      </c>
      <c r="N1088" s="21"/>
      <c r="O1088" s="22"/>
      <c r="P1088" s="19" t="s">
        <v>3578</v>
      </c>
      <c r="Q1088" s="18"/>
      <c r="R1088" s="18"/>
      <c r="S1088" s="23">
        <v>0.0</v>
      </c>
      <c r="T1088" s="23">
        <v>0.0</v>
      </c>
      <c r="U1088" s="23">
        <f t="shared" si="2"/>
        <v>0</v>
      </c>
      <c r="V1088" s="23">
        <f t="shared" si="3"/>
        <v>0</v>
      </c>
      <c r="W1088" s="23">
        <f t="shared" si="4"/>
        <v>0</v>
      </c>
      <c r="X1088" s="24" t="str">
        <f t="shared" si="5"/>
        <v>#DIV/0!</v>
      </c>
    </row>
    <row r="1089">
      <c r="A1089" s="15" t="s">
        <v>4493</v>
      </c>
      <c r="B1089" s="15" t="s">
        <v>4494</v>
      </c>
      <c r="C1089" s="16"/>
      <c r="D1089" s="15" t="s">
        <v>4495</v>
      </c>
      <c r="E1089" s="17" t="s">
        <v>4496</v>
      </c>
      <c r="F1089" s="18"/>
      <c r="G1089" s="18"/>
      <c r="H1089" s="15" t="s">
        <v>4497</v>
      </c>
      <c r="I1089" s="18"/>
      <c r="J1089" s="19" t="s">
        <v>702</v>
      </c>
      <c r="K1089" s="19" t="s">
        <v>105</v>
      </c>
      <c r="L1089" s="19" t="s">
        <v>38</v>
      </c>
      <c r="M1089" s="20">
        <f t="shared" si="1"/>
        <v>0</v>
      </c>
      <c r="N1089" s="21"/>
      <c r="O1089" s="22"/>
      <c r="P1089" s="19" t="s">
        <v>3578</v>
      </c>
      <c r="Q1089" s="18"/>
      <c r="R1089" s="18"/>
      <c r="S1089" s="23">
        <v>0.0</v>
      </c>
      <c r="T1089" s="23">
        <v>0.0</v>
      </c>
      <c r="U1089" s="23">
        <f t="shared" si="2"/>
        <v>0</v>
      </c>
      <c r="V1089" s="23">
        <f t="shared" si="3"/>
        <v>0</v>
      </c>
      <c r="W1089" s="23">
        <f t="shared" si="4"/>
        <v>0</v>
      </c>
      <c r="X1089" s="24" t="str">
        <f t="shared" si="5"/>
        <v>#DIV/0!</v>
      </c>
    </row>
    <row r="1090">
      <c r="A1090" s="15" t="s">
        <v>4498</v>
      </c>
      <c r="B1090" s="15" t="s">
        <v>4499</v>
      </c>
      <c r="C1090" s="16"/>
      <c r="D1090" s="15" t="s">
        <v>4500</v>
      </c>
      <c r="E1090" s="17" t="s">
        <v>4501</v>
      </c>
      <c r="F1090" s="18"/>
      <c r="G1090" s="18"/>
      <c r="H1090" s="15" t="s">
        <v>4502</v>
      </c>
      <c r="I1090" s="18"/>
      <c r="J1090" s="19" t="s">
        <v>702</v>
      </c>
      <c r="K1090" s="19" t="s">
        <v>105</v>
      </c>
      <c r="L1090" s="19" t="s">
        <v>38</v>
      </c>
      <c r="M1090" s="20">
        <f t="shared" si="1"/>
        <v>0</v>
      </c>
      <c r="N1090" s="21"/>
      <c r="O1090" s="22"/>
      <c r="P1090" s="19" t="s">
        <v>3578</v>
      </c>
      <c r="Q1090" s="18"/>
      <c r="R1090" s="18"/>
      <c r="S1090" s="23">
        <v>0.0</v>
      </c>
      <c r="T1090" s="23">
        <v>0.0</v>
      </c>
      <c r="U1090" s="23">
        <f t="shared" si="2"/>
        <v>0</v>
      </c>
      <c r="V1090" s="23">
        <f t="shared" si="3"/>
        <v>0</v>
      </c>
      <c r="W1090" s="23">
        <f t="shared" si="4"/>
        <v>0</v>
      </c>
      <c r="X1090" s="24" t="str">
        <f t="shared" si="5"/>
        <v>#DIV/0!</v>
      </c>
    </row>
    <row r="1091">
      <c r="A1091" s="15" t="s">
        <v>4503</v>
      </c>
      <c r="B1091" s="15" t="s">
        <v>4504</v>
      </c>
      <c r="C1091" s="16"/>
      <c r="D1091" s="15" t="s">
        <v>4505</v>
      </c>
      <c r="E1091" s="17" t="s">
        <v>4506</v>
      </c>
      <c r="F1091" s="18"/>
      <c r="G1091" s="18"/>
      <c r="H1091" s="15" t="s">
        <v>4507</v>
      </c>
      <c r="I1091" s="18"/>
      <c r="J1091" s="19" t="s">
        <v>702</v>
      </c>
      <c r="K1091" s="19" t="s">
        <v>105</v>
      </c>
      <c r="L1091" s="19" t="s">
        <v>38</v>
      </c>
      <c r="M1091" s="20">
        <f t="shared" si="1"/>
        <v>0</v>
      </c>
      <c r="N1091" s="21"/>
      <c r="O1091" s="22"/>
      <c r="P1091" s="19" t="s">
        <v>3578</v>
      </c>
      <c r="Q1091" s="18"/>
      <c r="R1091" s="18"/>
      <c r="S1091" s="23">
        <v>0.0</v>
      </c>
      <c r="T1091" s="23">
        <v>0.0</v>
      </c>
      <c r="U1091" s="23">
        <f t="shared" si="2"/>
        <v>0</v>
      </c>
      <c r="V1091" s="23">
        <f t="shared" si="3"/>
        <v>0</v>
      </c>
      <c r="W1091" s="23">
        <f t="shared" si="4"/>
        <v>0</v>
      </c>
      <c r="X1091" s="24" t="str">
        <f t="shared" si="5"/>
        <v>#DIV/0!</v>
      </c>
    </row>
    <row r="1092">
      <c r="A1092" s="15" t="s">
        <v>4508</v>
      </c>
      <c r="B1092" s="15" t="s">
        <v>1090</v>
      </c>
      <c r="C1092" s="16"/>
      <c r="D1092" s="15" t="s">
        <v>4509</v>
      </c>
      <c r="E1092" s="17" t="s">
        <v>1092</v>
      </c>
      <c r="F1092" s="18"/>
      <c r="G1092" s="18"/>
      <c r="H1092" s="15" t="s">
        <v>4510</v>
      </c>
      <c r="I1092" s="18"/>
      <c r="J1092" s="19" t="s">
        <v>702</v>
      </c>
      <c r="K1092" s="19" t="s">
        <v>1230</v>
      </c>
      <c r="L1092" s="19" t="s">
        <v>38</v>
      </c>
      <c r="M1092" s="20">
        <f t="shared" si="1"/>
        <v>0</v>
      </c>
      <c r="N1092" s="21"/>
      <c r="O1092" s="22"/>
      <c r="P1092" s="19" t="s">
        <v>3578</v>
      </c>
      <c r="Q1092" s="18"/>
      <c r="R1092" s="18"/>
      <c r="S1092" s="23">
        <v>0.0</v>
      </c>
      <c r="T1092" s="23">
        <v>0.0</v>
      </c>
      <c r="U1092" s="23">
        <f t="shared" si="2"/>
        <v>0</v>
      </c>
      <c r="V1092" s="23">
        <f t="shared" si="3"/>
        <v>0</v>
      </c>
      <c r="W1092" s="23">
        <f t="shared" si="4"/>
        <v>0</v>
      </c>
      <c r="X1092" s="24" t="str">
        <f t="shared" si="5"/>
        <v>#DIV/0!</v>
      </c>
    </row>
    <row r="1093">
      <c r="A1093" s="15" t="s">
        <v>4511</v>
      </c>
      <c r="B1093" s="15" t="s">
        <v>4512</v>
      </c>
      <c r="C1093" s="16"/>
      <c r="D1093" s="15" t="s">
        <v>4513</v>
      </c>
      <c r="E1093" s="17" t="s">
        <v>4514</v>
      </c>
      <c r="F1093" s="18"/>
      <c r="G1093" s="18"/>
      <c r="H1093" s="15" t="s">
        <v>4515</v>
      </c>
      <c r="I1093" s="15" t="s">
        <v>4516</v>
      </c>
      <c r="J1093" s="19" t="s">
        <v>702</v>
      </c>
      <c r="K1093" s="19" t="s">
        <v>1269</v>
      </c>
      <c r="L1093" s="19" t="s">
        <v>38</v>
      </c>
      <c r="M1093" s="20">
        <f t="shared" si="1"/>
        <v>0</v>
      </c>
      <c r="N1093" s="21"/>
      <c r="O1093" s="22"/>
      <c r="P1093" s="19" t="s">
        <v>3578</v>
      </c>
      <c r="Q1093" s="18"/>
      <c r="R1093" s="18"/>
      <c r="S1093" s="23">
        <v>0.0</v>
      </c>
      <c r="T1093" s="23">
        <v>0.0</v>
      </c>
      <c r="U1093" s="23">
        <f t="shared" si="2"/>
        <v>0</v>
      </c>
      <c r="V1093" s="23">
        <f t="shared" si="3"/>
        <v>0</v>
      </c>
      <c r="W1093" s="23">
        <f t="shared" si="4"/>
        <v>0</v>
      </c>
      <c r="X1093" s="24" t="str">
        <f t="shared" si="5"/>
        <v>#DIV/0!</v>
      </c>
    </row>
    <row r="1094">
      <c r="A1094" s="15" t="s">
        <v>4517</v>
      </c>
      <c r="B1094" s="15" t="s">
        <v>4518</v>
      </c>
      <c r="C1094" s="16"/>
      <c r="D1094" s="15" t="s">
        <v>4519</v>
      </c>
      <c r="E1094" s="17" t="s">
        <v>4520</v>
      </c>
      <c r="F1094" s="18"/>
      <c r="G1094" s="18"/>
      <c r="H1094" s="15" t="s">
        <v>4521</v>
      </c>
      <c r="I1094" s="15" t="s">
        <v>4522</v>
      </c>
      <c r="J1094" s="19" t="s">
        <v>702</v>
      </c>
      <c r="K1094" s="19" t="s">
        <v>1269</v>
      </c>
      <c r="L1094" s="19" t="s">
        <v>38</v>
      </c>
      <c r="M1094" s="20">
        <f t="shared" si="1"/>
        <v>0</v>
      </c>
      <c r="N1094" s="21"/>
      <c r="O1094" s="22"/>
      <c r="P1094" s="19" t="s">
        <v>3578</v>
      </c>
      <c r="Q1094" s="18"/>
      <c r="R1094" s="18"/>
      <c r="S1094" s="23">
        <v>0.0</v>
      </c>
      <c r="T1094" s="23">
        <v>0.0</v>
      </c>
      <c r="U1094" s="23">
        <f t="shared" si="2"/>
        <v>0</v>
      </c>
      <c r="V1094" s="23">
        <f t="shared" si="3"/>
        <v>0</v>
      </c>
      <c r="W1094" s="23">
        <f t="shared" si="4"/>
        <v>0</v>
      </c>
      <c r="X1094" s="24" t="str">
        <f t="shared" si="5"/>
        <v>#DIV/0!</v>
      </c>
    </row>
    <row r="1095">
      <c r="A1095" s="15" t="s">
        <v>4523</v>
      </c>
      <c r="B1095" s="15" t="s">
        <v>4524</v>
      </c>
      <c r="C1095" s="16"/>
      <c r="D1095" s="15" t="s">
        <v>4525</v>
      </c>
      <c r="E1095" s="17" t="s">
        <v>4526</v>
      </c>
      <c r="F1095" s="18"/>
      <c r="G1095" s="18"/>
      <c r="H1095" s="15" t="s">
        <v>4527</v>
      </c>
      <c r="I1095" s="15" t="s">
        <v>4528</v>
      </c>
      <c r="J1095" s="19" t="s">
        <v>702</v>
      </c>
      <c r="K1095" s="19" t="s">
        <v>1269</v>
      </c>
      <c r="L1095" s="19" t="s">
        <v>38</v>
      </c>
      <c r="M1095" s="20">
        <f t="shared" si="1"/>
        <v>0</v>
      </c>
      <c r="N1095" s="21"/>
      <c r="O1095" s="22"/>
      <c r="P1095" s="19" t="s">
        <v>3578</v>
      </c>
      <c r="Q1095" s="18"/>
      <c r="R1095" s="18"/>
      <c r="S1095" s="23">
        <v>0.0</v>
      </c>
      <c r="T1095" s="23">
        <v>0.0</v>
      </c>
      <c r="U1095" s="23">
        <f t="shared" si="2"/>
        <v>0</v>
      </c>
      <c r="V1095" s="23">
        <f t="shared" si="3"/>
        <v>0</v>
      </c>
      <c r="W1095" s="23">
        <f t="shared" si="4"/>
        <v>0</v>
      </c>
      <c r="X1095" s="24" t="str">
        <f t="shared" si="5"/>
        <v>#DIV/0!</v>
      </c>
    </row>
    <row r="1096">
      <c r="A1096" s="15" t="s">
        <v>4529</v>
      </c>
      <c r="B1096" s="15" t="s">
        <v>4530</v>
      </c>
      <c r="C1096" s="16"/>
      <c r="D1096" s="25" t="s">
        <v>4531</v>
      </c>
      <c r="E1096" s="17" t="s">
        <v>4532</v>
      </c>
      <c r="F1096" s="18"/>
      <c r="G1096" s="18"/>
      <c r="H1096" s="15" t="s">
        <v>4533</v>
      </c>
      <c r="I1096" s="15" t="s">
        <v>4534</v>
      </c>
      <c r="J1096" s="19" t="s">
        <v>702</v>
      </c>
      <c r="K1096" s="19" t="s">
        <v>1269</v>
      </c>
      <c r="L1096" s="19" t="s">
        <v>38</v>
      </c>
      <c r="M1096" s="20">
        <f t="shared" si="1"/>
        <v>0</v>
      </c>
      <c r="N1096" s="21"/>
      <c r="O1096" s="22"/>
      <c r="P1096" s="19" t="s">
        <v>3578</v>
      </c>
      <c r="Q1096" s="18"/>
      <c r="R1096" s="18"/>
      <c r="S1096" s="23">
        <v>0.0</v>
      </c>
      <c r="T1096" s="23">
        <v>0.0</v>
      </c>
      <c r="U1096" s="23">
        <f t="shared" si="2"/>
        <v>0</v>
      </c>
      <c r="V1096" s="23">
        <f t="shared" si="3"/>
        <v>0</v>
      </c>
      <c r="W1096" s="23">
        <f t="shared" si="4"/>
        <v>0</v>
      </c>
      <c r="X1096" s="24" t="str">
        <f t="shared" si="5"/>
        <v>#DIV/0!</v>
      </c>
    </row>
    <row r="1097">
      <c r="A1097" s="15" t="s">
        <v>4535</v>
      </c>
      <c r="B1097" s="15" t="s">
        <v>4536</v>
      </c>
      <c r="C1097" s="16"/>
      <c r="D1097" s="15" t="s">
        <v>4537</v>
      </c>
      <c r="E1097" s="17" t="s">
        <v>4538</v>
      </c>
      <c r="F1097" s="18"/>
      <c r="G1097" s="18"/>
      <c r="H1097" s="15" t="s">
        <v>4539</v>
      </c>
      <c r="I1097" s="18"/>
      <c r="J1097" s="19" t="s">
        <v>702</v>
      </c>
      <c r="K1097" s="19" t="s">
        <v>52</v>
      </c>
      <c r="L1097" s="19" t="s">
        <v>52</v>
      </c>
      <c r="M1097" s="20">
        <f t="shared" si="1"/>
        <v>0</v>
      </c>
      <c r="N1097" s="21"/>
      <c r="O1097" s="22"/>
      <c r="P1097" s="19" t="s">
        <v>3578</v>
      </c>
      <c r="Q1097" s="18"/>
      <c r="R1097" s="18"/>
      <c r="S1097" s="23">
        <v>0.0</v>
      </c>
      <c r="T1097" s="23">
        <v>0.0</v>
      </c>
      <c r="U1097" s="23">
        <f t="shared" si="2"/>
        <v>0</v>
      </c>
      <c r="V1097" s="23">
        <f t="shared" si="3"/>
        <v>0</v>
      </c>
      <c r="W1097" s="23">
        <f t="shared" si="4"/>
        <v>0</v>
      </c>
      <c r="X1097" s="24" t="str">
        <f t="shared" si="5"/>
        <v>#DIV/0!</v>
      </c>
    </row>
    <row r="1098">
      <c r="A1098" s="15" t="s">
        <v>4540</v>
      </c>
      <c r="B1098" s="15" t="s">
        <v>4541</v>
      </c>
      <c r="C1098" s="16"/>
      <c r="D1098" s="15" t="s">
        <v>4542</v>
      </c>
      <c r="E1098" s="17" t="s">
        <v>4543</v>
      </c>
      <c r="F1098" s="18"/>
      <c r="G1098" s="18"/>
      <c r="H1098" s="15" t="s">
        <v>4544</v>
      </c>
      <c r="I1098" s="18"/>
      <c r="J1098" s="19" t="s">
        <v>702</v>
      </c>
      <c r="K1098" s="19" t="s">
        <v>1444</v>
      </c>
      <c r="L1098" s="19" t="s">
        <v>38</v>
      </c>
      <c r="M1098" s="20">
        <f t="shared" si="1"/>
        <v>0</v>
      </c>
      <c r="N1098" s="21"/>
      <c r="O1098" s="22"/>
      <c r="P1098" s="19" t="s">
        <v>3578</v>
      </c>
      <c r="Q1098" s="18"/>
      <c r="R1098" s="18"/>
      <c r="S1098" s="23">
        <v>0.0</v>
      </c>
      <c r="T1098" s="23">
        <v>0.0</v>
      </c>
      <c r="U1098" s="23">
        <f t="shared" si="2"/>
        <v>0</v>
      </c>
      <c r="V1098" s="23">
        <f t="shared" si="3"/>
        <v>0</v>
      </c>
      <c r="W1098" s="23">
        <f t="shared" si="4"/>
        <v>0</v>
      </c>
      <c r="X1098" s="24" t="str">
        <f t="shared" si="5"/>
        <v>#DIV/0!</v>
      </c>
    </row>
    <row r="1099">
      <c r="A1099" s="15" t="s">
        <v>4545</v>
      </c>
      <c r="B1099" s="15" t="s">
        <v>4546</v>
      </c>
      <c r="C1099" s="16"/>
      <c r="D1099" s="15" t="s">
        <v>4547</v>
      </c>
      <c r="E1099" s="17" t="s">
        <v>4548</v>
      </c>
      <c r="F1099" s="18"/>
      <c r="G1099" s="18"/>
      <c r="H1099" s="15" t="s">
        <v>4549</v>
      </c>
      <c r="I1099" s="18"/>
      <c r="J1099" s="19" t="s">
        <v>702</v>
      </c>
      <c r="K1099" s="19" t="s">
        <v>52</v>
      </c>
      <c r="L1099" s="19" t="s">
        <v>52</v>
      </c>
      <c r="M1099" s="20">
        <f t="shared" si="1"/>
        <v>0</v>
      </c>
      <c r="N1099" s="21"/>
      <c r="O1099" s="22"/>
      <c r="P1099" s="19" t="s">
        <v>3578</v>
      </c>
      <c r="Q1099" s="18"/>
      <c r="R1099" s="18"/>
      <c r="S1099" s="23">
        <v>0.0</v>
      </c>
      <c r="T1099" s="23">
        <v>0.0</v>
      </c>
      <c r="U1099" s="23">
        <f t="shared" si="2"/>
        <v>0</v>
      </c>
      <c r="V1099" s="23">
        <f t="shared" si="3"/>
        <v>0</v>
      </c>
      <c r="W1099" s="23">
        <f t="shared" si="4"/>
        <v>0</v>
      </c>
      <c r="X1099" s="24" t="str">
        <f t="shared" si="5"/>
        <v>#DIV/0!</v>
      </c>
    </row>
    <row r="1100">
      <c r="A1100" s="15" t="s">
        <v>4550</v>
      </c>
      <c r="B1100" s="15" t="s">
        <v>4551</v>
      </c>
      <c r="C1100" s="16"/>
      <c r="D1100" s="18"/>
      <c r="E1100" s="17" t="s">
        <v>4552</v>
      </c>
      <c r="F1100" s="18"/>
      <c r="G1100" s="18"/>
      <c r="H1100" s="15" t="s">
        <v>4553</v>
      </c>
      <c r="I1100" s="18"/>
      <c r="J1100" s="19" t="s">
        <v>702</v>
      </c>
      <c r="K1100" s="19" t="s">
        <v>1431</v>
      </c>
      <c r="L1100" s="19" t="s">
        <v>38</v>
      </c>
      <c r="M1100" s="20">
        <f t="shared" si="1"/>
        <v>0</v>
      </c>
      <c r="N1100" s="21"/>
      <c r="O1100" s="22"/>
      <c r="P1100" s="19" t="s">
        <v>3578</v>
      </c>
      <c r="Q1100" s="18"/>
      <c r="R1100" s="18"/>
      <c r="S1100" s="23">
        <v>0.0</v>
      </c>
      <c r="T1100" s="23">
        <v>0.0</v>
      </c>
      <c r="U1100" s="23">
        <f t="shared" si="2"/>
        <v>0</v>
      </c>
      <c r="V1100" s="23">
        <f t="shared" si="3"/>
        <v>0</v>
      </c>
      <c r="W1100" s="23">
        <f t="shared" si="4"/>
        <v>0</v>
      </c>
      <c r="X1100" s="24" t="str">
        <f t="shared" si="5"/>
        <v>#DIV/0!</v>
      </c>
    </row>
    <row r="1101">
      <c r="A1101" s="15" t="s">
        <v>4554</v>
      </c>
      <c r="B1101" s="15" t="s">
        <v>4555</v>
      </c>
      <c r="C1101" s="16"/>
      <c r="D1101" s="15" t="s">
        <v>4556</v>
      </c>
      <c r="E1101" s="17" t="s">
        <v>4557</v>
      </c>
      <c r="F1101" s="18"/>
      <c r="G1101" s="18"/>
      <c r="H1101" s="15" t="s">
        <v>4558</v>
      </c>
      <c r="I1101" s="18"/>
      <c r="J1101" s="19" t="s">
        <v>702</v>
      </c>
      <c r="K1101" s="19" t="s">
        <v>1431</v>
      </c>
      <c r="L1101" s="19" t="s">
        <v>38</v>
      </c>
      <c r="M1101" s="20">
        <f t="shared" si="1"/>
        <v>0</v>
      </c>
      <c r="N1101" s="21"/>
      <c r="O1101" s="22"/>
      <c r="P1101" s="19" t="s">
        <v>3578</v>
      </c>
      <c r="Q1101" s="18"/>
      <c r="R1101" s="18"/>
      <c r="S1101" s="23">
        <v>0.0</v>
      </c>
      <c r="T1101" s="23">
        <v>0.0</v>
      </c>
      <c r="U1101" s="23">
        <f t="shared" si="2"/>
        <v>0</v>
      </c>
      <c r="V1101" s="23">
        <f t="shared" si="3"/>
        <v>0</v>
      </c>
      <c r="W1101" s="23">
        <f t="shared" si="4"/>
        <v>0</v>
      </c>
      <c r="X1101" s="24" t="str">
        <f t="shared" si="5"/>
        <v>#DIV/0!</v>
      </c>
    </row>
    <row r="1102">
      <c r="A1102" s="15" t="s">
        <v>4559</v>
      </c>
      <c r="B1102" s="15" t="s">
        <v>4560</v>
      </c>
      <c r="C1102" s="16"/>
      <c r="D1102" s="15" t="s">
        <v>4561</v>
      </c>
      <c r="E1102" s="17" t="s">
        <v>4562</v>
      </c>
      <c r="F1102" s="18"/>
      <c r="G1102" s="18"/>
      <c r="H1102" s="15" t="s">
        <v>4563</v>
      </c>
      <c r="I1102" s="18"/>
      <c r="J1102" s="19" t="s">
        <v>702</v>
      </c>
      <c r="K1102" s="19" t="s">
        <v>52</v>
      </c>
      <c r="L1102" s="19" t="s">
        <v>52</v>
      </c>
      <c r="M1102" s="20">
        <f t="shared" si="1"/>
        <v>0</v>
      </c>
      <c r="N1102" s="21"/>
      <c r="O1102" s="22"/>
      <c r="P1102" s="19" t="s">
        <v>3578</v>
      </c>
      <c r="Q1102" s="18"/>
      <c r="R1102" s="18"/>
      <c r="S1102" s="23">
        <v>0.0</v>
      </c>
      <c r="T1102" s="23">
        <v>0.0</v>
      </c>
      <c r="U1102" s="23">
        <f t="shared" si="2"/>
        <v>0</v>
      </c>
      <c r="V1102" s="23">
        <f t="shared" si="3"/>
        <v>0</v>
      </c>
      <c r="W1102" s="23">
        <f t="shared" si="4"/>
        <v>0</v>
      </c>
      <c r="X1102" s="24" t="str">
        <f t="shared" si="5"/>
        <v>#DIV/0!</v>
      </c>
    </row>
    <row r="1103">
      <c r="A1103" s="15" t="s">
        <v>4564</v>
      </c>
      <c r="B1103" s="15" t="s">
        <v>4565</v>
      </c>
      <c r="C1103" s="16"/>
      <c r="D1103" s="18"/>
      <c r="E1103" s="17" t="s">
        <v>4566</v>
      </c>
      <c r="F1103" s="18"/>
      <c r="G1103" s="18"/>
      <c r="H1103" s="15" t="s">
        <v>4567</v>
      </c>
      <c r="I1103" s="18"/>
      <c r="J1103" s="19" t="s">
        <v>702</v>
      </c>
      <c r="K1103" s="19" t="s">
        <v>1444</v>
      </c>
      <c r="L1103" s="19" t="s">
        <v>38</v>
      </c>
      <c r="M1103" s="20">
        <f t="shared" si="1"/>
        <v>0</v>
      </c>
      <c r="N1103" s="21"/>
      <c r="O1103" s="22"/>
      <c r="P1103" s="19" t="s">
        <v>3578</v>
      </c>
      <c r="Q1103" s="18"/>
      <c r="R1103" s="18"/>
      <c r="S1103" s="23">
        <v>0.0</v>
      </c>
      <c r="T1103" s="23">
        <v>0.0</v>
      </c>
      <c r="U1103" s="23">
        <f t="shared" si="2"/>
        <v>0</v>
      </c>
      <c r="V1103" s="23">
        <f t="shared" si="3"/>
        <v>0</v>
      </c>
      <c r="W1103" s="23">
        <f t="shared" si="4"/>
        <v>0</v>
      </c>
      <c r="X1103" s="24" t="str">
        <f t="shared" si="5"/>
        <v>#DIV/0!</v>
      </c>
    </row>
    <row r="1104">
      <c r="A1104" s="15" t="s">
        <v>4568</v>
      </c>
      <c r="B1104" s="15" t="s">
        <v>4569</v>
      </c>
      <c r="C1104" s="16"/>
      <c r="D1104" s="15" t="s">
        <v>4570</v>
      </c>
      <c r="E1104" s="17" t="s">
        <v>4571</v>
      </c>
      <c r="F1104" s="18"/>
      <c r="G1104" s="18"/>
      <c r="H1104" s="15" t="s">
        <v>4572</v>
      </c>
      <c r="I1104" s="18"/>
      <c r="J1104" s="19" t="s">
        <v>702</v>
      </c>
      <c r="K1104" s="19" t="s">
        <v>52</v>
      </c>
      <c r="L1104" s="19" t="s">
        <v>703</v>
      </c>
      <c r="M1104" s="20">
        <f t="shared" si="1"/>
        <v>0</v>
      </c>
      <c r="N1104" s="21"/>
      <c r="O1104" s="22"/>
      <c r="P1104" s="19" t="s">
        <v>3578</v>
      </c>
      <c r="Q1104" s="18"/>
      <c r="R1104" s="18"/>
      <c r="S1104" s="23">
        <v>0.0</v>
      </c>
      <c r="T1104" s="23">
        <v>0.0</v>
      </c>
      <c r="U1104" s="23">
        <f t="shared" si="2"/>
        <v>0</v>
      </c>
      <c r="V1104" s="23">
        <f t="shared" si="3"/>
        <v>0</v>
      </c>
      <c r="W1104" s="23">
        <f t="shared" si="4"/>
        <v>0</v>
      </c>
      <c r="X1104" s="24" t="str">
        <f t="shared" si="5"/>
        <v>#DIV/0!</v>
      </c>
    </row>
    <row r="1105">
      <c r="A1105" s="15" t="s">
        <v>4573</v>
      </c>
      <c r="B1105" s="15" t="s">
        <v>4574</v>
      </c>
      <c r="C1105" s="16"/>
      <c r="D1105" s="15" t="s">
        <v>4575</v>
      </c>
      <c r="E1105" s="17" t="s">
        <v>4576</v>
      </c>
      <c r="F1105" s="18"/>
      <c r="G1105" s="18"/>
      <c r="H1105" s="15" t="s">
        <v>4577</v>
      </c>
      <c r="I1105" s="18"/>
      <c r="J1105" s="19" t="s">
        <v>702</v>
      </c>
      <c r="K1105" s="19" t="s">
        <v>52</v>
      </c>
      <c r="L1105" s="19" t="s">
        <v>703</v>
      </c>
      <c r="M1105" s="20">
        <f t="shared" si="1"/>
        <v>0</v>
      </c>
      <c r="N1105" s="21"/>
      <c r="O1105" s="22"/>
      <c r="P1105" s="19" t="s">
        <v>3578</v>
      </c>
      <c r="Q1105" s="18"/>
      <c r="R1105" s="18"/>
      <c r="S1105" s="23">
        <v>0.0</v>
      </c>
      <c r="T1105" s="23">
        <v>0.0</v>
      </c>
      <c r="U1105" s="23">
        <f t="shared" si="2"/>
        <v>0</v>
      </c>
      <c r="V1105" s="23">
        <f t="shared" si="3"/>
        <v>0</v>
      </c>
      <c r="W1105" s="23">
        <f t="shared" si="4"/>
        <v>0</v>
      </c>
      <c r="X1105" s="24" t="str">
        <f t="shared" si="5"/>
        <v>#DIV/0!</v>
      </c>
    </row>
    <row r="1106">
      <c r="A1106" s="15" t="s">
        <v>4578</v>
      </c>
      <c r="B1106" s="15" t="s">
        <v>4579</v>
      </c>
      <c r="C1106" s="16"/>
      <c r="D1106" s="15" t="s">
        <v>4580</v>
      </c>
      <c r="E1106" s="17" t="s">
        <v>4581</v>
      </c>
      <c r="F1106" s="18"/>
      <c r="G1106" s="18"/>
      <c r="H1106" s="15" t="s">
        <v>4582</v>
      </c>
      <c r="I1106" s="18"/>
      <c r="J1106" s="19" t="s">
        <v>702</v>
      </c>
      <c r="K1106" s="19" t="s">
        <v>52</v>
      </c>
      <c r="L1106" s="19" t="s">
        <v>703</v>
      </c>
      <c r="M1106" s="20">
        <f t="shared" si="1"/>
        <v>0</v>
      </c>
      <c r="N1106" s="21"/>
      <c r="O1106" s="22"/>
      <c r="P1106" s="19" t="s">
        <v>3578</v>
      </c>
      <c r="Q1106" s="18"/>
      <c r="R1106" s="18"/>
      <c r="S1106" s="23">
        <v>0.0</v>
      </c>
      <c r="T1106" s="23">
        <v>0.0</v>
      </c>
      <c r="U1106" s="23">
        <f t="shared" si="2"/>
        <v>0</v>
      </c>
      <c r="V1106" s="23">
        <f t="shared" si="3"/>
        <v>0</v>
      </c>
      <c r="W1106" s="23">
        <f t="shared" si="4"/>
        <v>0</v>
      </c>
      <c r="X1106" s="24" t="str">
        <f t="shared" si="5"/>
        <v>#DIV/0!</v>
      </c>
    </row>
    <row r="1107">
      <c r="A1107" s="15" t="s">
        <v>4583</v>
      </c>
      <c r="B1107" s="15" t="s">
        <v>4584</v>
      </c>
      <c r="C1107" s="16"/>
      <c r="D1107" s="15" t="s">
        <v>4585</v>
      </c>
      <c r="E1107" s="17" t="s">
        <v>4586</v>
      </c>
      <c r="F1107" s="18"/>
      <c r="G1107" s="18"/>
      <c r="H1107" s="15" t="s">
        <v>4587</v>
      </c>
      <c r="I1107" s="18"/>
      <c r="J1107" s="19" t="s">
        <v>702</v>
      </c>
      <c r="K1107" s="19" t="s">
        <v>52</v>
      </c>
      <c r="L1107" s="19" t="s">
        <v>703</v>
      </c>
      <c r="M1107" s="20">
        <f t="shared" si="1"/>
        <v>0</v>
      </c>
      <c r="N1107" s="21"/>
      <c r="O1107" s="22"/>
      <c r="P1107" s="19" t="s">
        <v>3578</v>
      </c>
      <c r="Q1107" s="18"/>
      <c r="R1107" s="18"/>
      <c r="S1107" s="23">
        <v>0.0</v>
      </c>
      <c r="T1107" s="23">
        <v>0.0</v>
      </c>
      <c r="U1107" s="23">
        <f t="shared" si="2"/>
        <v>0</v>
      </c>
      <c r="V1107" s="23">
        <f t="shared" si="3"/>
        <v>0</v>
      </c>
      <c r="W1107" s="23">
        <f t="shared" si="4"/>
        <v>0</v>
      </c>
      <c r="X1107" s="24" t="str">
        <f t="shared" si="5"/>
        <v>#DIV/0!</v>
      </c>
    </row>
    <row r="1108">
      <c r="A1108" s="15" t="s">
        <v>4588</v>
      </c>
      <c r="B1108" s="15" t="s">
        <v>4589</v>
      </c>
      <c r="C1108" s="16"/>
      <c r="D1108" s="15" t="s">
        <v>4590</v>
      </c>
      <c r="E1108" s="17" t="s">
        <v>4591</v>
      </c>
      <c r="F1108" s="18"/>
      <c r="G1108" s="18"/>
      <c r="H1108" s="15" t="s">
        <v>4592</v>
      </c>
      <c r="I1108" s="18"/>
      <c r="J1108" s="19" t="s">
        <v>702</v>
      </c>
      <c r="K1108" s="19" t="s">
        <v>52</v>
      </c>
      <c r="L1108" s="19" t="s">
        <v>703</v>
      </c>
      <c r="M1108" s="20">
        <f t="shared" si="1"/>
        <v>0</v>
      </c>
      <c r="N1108" s="21"/>
      <c r="O1108" s="22"/>
      <c r="P1108" s="19" t="s">
        <v>3578</v>
      </c>
      <c r="Q1108" s="18"/>
      <c r="R1108" s="18"/>
      <c r="S1108" s="23">
        <v>0.0</v>
      </c>
      <c r="T1108" s="23">
        <v>0.0</v>
      </c>
      <c r="U1108" s="23">
        <f t="shared" si="2"/>
        <v>0</v>
      </c>
      <c r="V1108" s="23">
        <f t="shared" si="3"/>
        <v>0</v>
      </c>
      <c r="W1108" s="23">
        <f t="shared" si="4"/>
        <v>0</v>
      </c>
      <c r="X1108" s="24" t="str">
        <f t="shared" si="5"/>
        <v>#DIV/0!</v>
      </c>
    </row>
    <row r="1109">
      <c r="A1109" s="15" t="s">
        <v>4593</v>
      </c>
      <c r="B1109" s="15" t="s">
        <v>4594</v>
      </c>
      <c r="C1109" s="16"/>
      <c r="D1109" s="15" t="s">
        <v>4595</v>
      </c>
      <c r="E1109" s="17" t="s">
        <v>4596</v>
      </c>
      <c r="F1109" s="18"/>
      <c r="G1109" s="18"/>
      <c r="H1109" s="15" t="s">
        <v>4597</v>
      </c>
      <c r="I1109" s="18"/>
      <c r="J1109" s="19" t="s">
        <v>702</v>
      </c>
      <c r="K1109" s="19" t="s">
        <v>52</v>
      </c>
      <c r="L1109" s="19" t="s">
        <v>703</v>
      </c>
      <c r="M1109" s="20">
        <f t="shared" si="1"/>
        <v>0</v>
      </c>
      <c r="N1109" s="21"/>
      <c r="O1109" s="22"/>
      <c r="P1109" s="19" t="s">
        <v>3578</v>
      </c>
      <c r="Q1109" s="18"/>
      <c r="R1109" s="18"/>
      <c r="S1109" s="23">
        <v>0.0</v>
      </c>
      <c r="T1109" s="23">
        <v>0.0</v>
      </c>
      <c r="U1109" s="23">
        <f t="shared" si="2"/>
        <v>0</v>
      </c>
      <c r="V1109" s="23">
        <f t="shared" si="3"/>
        <v>0</v>
      </c>
      <c r="W1109" s="23">
        <f t="shared" si="4"/>
        <v>0</v>
      </c>
      <c r="X1109" s="24" t="str">
        <f t="shared" si="5"/>
        <v>#DIV/0!</v>
      </c>
    </row>
    <row r="1110">
      <c r="A1110" s="15" t="s">
        <v>4598</v>
      </c>
      <c r="B1110" s="15" t="s">
        <v>4599</v>
      </c>
      <c r="C1110" s="16"/>
      <c r="D1110" s="15" t="s">
        <v>4600</v>
      </c>
      <c r="E1110" s="17" t="s">
        <v>4601</v>
      </c>
      <c r="F1110" s="18"/>
      <c r="G1110" s="18"/>
      <c r="H1110" s="15" t="s">
        <v>4602</v>
      </c>
      <c r="I1110" s="18"/>
      <c r="J1110" s="19" t="s">
        <v>702</v>
      </c>
      <c r="K1110" s="19" t="s">
        <v>1269</v>
      </c>
      <c r="L1110" s="19" t="s">
        <v>38</v>
      </c>
      <c r="M1110" s="20">
        <f t="shared" si="1"/>
        <v>0</v>
      </c>
      <c r="N1110" s="21"/>
      <c r="O1110" s="22"/>
      <c r="P1110" s="19" t="s">
        <v>3578</v>
      </c>
      <c r="Q1110" s="18"/>
      <c r="R1110" s="18"/>
      <c r="S1110" s="23">
        <v>0.0</v>
      </c>
      <c r="T1110" s="23">
        <v>0.0</v>
      </c>
      <c r="U1110" s="23">
        <f t="shared" si="2"/>
        <v>0</v>
      </c>
      <c r="V1110" s="23">
        <f t="shared" si="3"/>
        <v>0</v>
      </c>
      <c r="W1110" s="23">
        <f t="shared" si="4"/>
        <v>0</v>
      </c>
      <c r="X1110" s="24" t="str">
        <f t="shared" si="5"/>
        <v>#DIV/0!</v>
      </c>
    </row>
    <row r="1111">
      <c r="A1111" s="15" t="s">
        <v>4603</v>
      </c>
      <c r="B1111" s="15" t="s">
        <v>4604</v>
      </c>
      <c r="C1111" s="16"/>
      <c r="D1111" s="15" t="s">
        <v>4605</v>
      </c>
      <c r="E1111" s="17" t="s">
        <v>4606</v>
      </c>
      <c r="F1111" s="18"/>
      <c r="G1111" s="18"/>
      <c r="H1111" s="15" t="s">
        <v>4607</v>
      </c>
      <c r="I1111" s="18"/>
      <c r="J1111" s="19" t="s">
        <v>702</v>
      </c>
      <c r="K1111" s="19" t="s">
        <v>603</v>
      </c>
      <c r="L1111" s="19" t="s">
        <v>38</v>
      </c>
      <c r="M1111" s="20">
        <f t="shared" si="1"/>
        <v>0</v>
      </c>
      <c r="N1111" s="21"/>
      <c r="O1111" s="22"/>
      <c r="P1111" s="19" t="s">
        <v>3578</v>
      </c>
      <c r="Q1111" s="18"/>
      <c r="R1111" s="18"/>
      <c r="S1111" s="23">
        <v>0.0</v>
      </c>
      <c r="T1111" s="23">
        <v>0.0</v>
      </c>
      <c r="U1111" s="23">
        <f t="shared" si="2"/>
        <v>0</v>
      </c>
      <c r="V1111" s="23">
        <f t="shared" si="3"/>
        <v>0</v>
      </c>
      <c r="W1111" s="23">
        <f t="shared" si="4"/>
        <v>0</v>
      </c>
      <c r="X1111" s="24" t="str">
        <f t="shared" si="5"/>
        <v>#DIV/0!</v>
      </c>
    </row>
    <row r="1112">
      <c r="A1112" s="15" t="s">
        <v>4608</v>
      </c>
      <c r="B1112" s="15" t="s">
        <v>4609</v>
      </c>
      <c r="C1112" s="16"/>
      <c r="D1112" s="15" t="s">
        <v>4610</v>
      </c>
      <c r="E1112" s="17" t="s">
        <v>4611</v>
      </c>
      <c r="F1112" s="18"/>
      <c r="G1112" s="18"/>
      <c r="H1112" s="15" t="s">
        <v>4612</v>
      </c>
      <c r="I1112" s="18"/>
      <c r="J1112" s="19" t="s">
        <v>702</v>
      </c>
      <c r="K1112" s="19" t="s">
        <v>603</v>
      </c>
      <c r="L1112" s="19" t="s">
        <v>38</v>
      </c>
      <c r="M1112" s="20">
        <f t="shared" si="1"/>
        <v>0</v>
      </c>
      <c r="N1112" s="21"/>
      <c r="O1112" s="22"/>
      <c r="P1112" s="19" t="s">
        <v>3578</v>
      </c>
      <c r="Q1112" s="18"/>
      <c r="R1112" s="18"/>
      <c r="S1112" s="23">
        <v>0.0</v>
      </c>
      <c r="T1112" s="23">
        <v>0.0</v>
      </c>
      <c r="U1112" s="23">
        <f t="shared" si="2"/>
        <v>0</v>
      </c>
      <c r="V1112" s="23">
        <f t="shared" si="3"/>
        <v>0</v>
      </c>
      <c r="W1112" s="23">
        <f t="shared" si="4"/>
        <v>0</v>
      </c>
      <c r="X1112" s="24" t="str">
        <f t="shared" si="5"/>
        <v>#DIV/0!</v>
      </c>
    </row>
    <row r="1113">
      <c r="A1113" s="15" t="s">
        <v>4613</v>
      </c>
      <c r="B1113" s="15" t="s">
        <v>4614</v>
      </c>
      <c r="C1113" s="16"/>
      <c r="D1113" s="18"/>
      <c r="E1113" s="17" t="s">
        <v>4615</v>
      </c>
      <c r="F1113" s="18"/>
      <c r="G1113" s="18"/>
      <c r="H1113" s="15" t="s">
        <v>4616</v>
      </c>
      <c r="I1113" s="15" t="s">
        <v>4617</v>
      </c>
      <c r="J1113" s="19" t="s">
        <v>702</v>
      </c>
      <c r="K1113" s="19" t="s">
        <v>52</v>
      </c>
      <c r="L1113" s="19" t="s">
        <v>52</v>
      </c>
      <c r="M1113" s="20">
        <f t="shared" si="1"/>
        <v>0</v>
      </c>
      <c r="N1113" s="21"/>
      <c r="O1113" s="22"/>
      <c r="P1113" s="19" t="s">
        <v>3578</v>
      </c>
      <c r="Q1113" s="18"/>
      <c r="R1113" s="18"/>
      <c r="S1113" s="23">
        <v>0.0</v>
      </c>
      <c r="T1113" s="23">
        <v>0.0</v>
      </c>
      <c r="U1113" s="23">
        <f t="shared" si="2"/>
        <v>0</v>
      </c>
      <c r="V1113" s="23">
        <f t="shared" si="3"/>
        <v>0</v>
      </c>
      <c r="W1113" s="23">
        <f t="shared" si="4"/>
        <v>0</v>
      </c>
      <c r="X1113" s="24" t="str">
        <f t="shared" si="5"/>
        <v>#DIV/0!</v>
      </c>
    </row>
    <row r="1114">
      <c r="A1114" s="15" t="s">
        <v>4618</v>
      </c>
      <c r="B1114" s="15" t="s">
        <v>4619</v>
      </c>
      <c r="C1114" s="16"/>
      <c r="D1114" s="15" t="s">
        <v>4620</v>
      </c>
      <c r="E1114" s="17" t="s">
        <v>4621</v>
      </c>
      <c r="F1114" s="18"/>
      <c r="G1114" s="18"/>
      <c r="H1114" s="15" t="s">
        <v>4622</v>
      </c>
      <c r="I1114" s="18"/>
      <c r="J1114" s="19" t="s">
        <v>702</v>
      </c>
      <c r="K1114" s="19" t="s">
        <v>1444</v>
      </c>
      <c r="L1114" s="19" t="s">
        <v>38</v>
      </c>
      <c r="M1114" s="20">
        <f t="shared" si="1"/>
        <v>0</v>
      </c>
      <c r="N1114" s="21"/>
      <c r="O1114" s="22"/>
      <c r="P1114" s="19" t="s">
        <v>3578</v>
      </c>
      <c r="Q1114" s="18"/>
      <c r="R1114" s="18"/>
      <c r="S1114" s="23">
        <v>0.0</v>
      </c>
      <c r="T1114" s="23">
        <v>0.0</v>
      </c>
      <c r="U1114" s="23">
        <f t="shared" si="2"/>
        <v>0</v>
      </c>
      <c r="V1114" s="23">
        <f t="shared" si="3"/>
        <v>0</v>
      </c>
      <c r="W1114" s="23">
        <f t="shared" si="4"/>
        <v>0</v>
      </c>
      <c r="X1114" s="24" t="str">
        <f t="shared" si="5"/>
        <v>#DIV/0!</v>
      </c>
    </row>
    <row r="1115">
      <c r="A1115" s="15" t="s">
        <v>4623</v>
      </c>
      <c r="B1115" s="15" t="s">
        <v>4536</v>
      </c>
      <c r="C1115" s="16"/>
      <c r="D1115" s="18"/>
      <c r="E1115" s="17" t="s">
        <v>4624</v>
      </c>
      <c r="F1115" s="18"/>
      <c r="G1115" s="18"/>
      <c r="H1115" s="15" t="s">
        <v>4625</v>
      </c>
      <c r="I1115" s="18"/>
      <c r="J1115" s="19" t="s">
        <v>702</v>
      </c>
      <c r="K1115" s="19" t="s">
        <v>52</v>
      </c>
      <c r="L1115" s="19" t="s">
        <v>703</v>
      </c>
      <c r="M1115" s="20">
        <f t="shared" si="1"/>
        <v>0</v>
      </c>
      <c r="N1115" s="21"/>
      <c r="O1115" s="22"/>
      <c r="P1115" s="19" t="s">
        <v>3578</v>
      </c>
      <c r="Q1115" s="18"/>
      <c r="R1115" s="18"/>
      <c r="S1115" s="23">
        <v>0.0</v>
      </c>
      <c r="T1115" s="23">
        <v>0.0</v>
      </c>
      <c r="U1115" s="23">
        <f t="shared" si="2"/>
        <v>0</v>
      </c>
      <c r="V1115" s="23">
        <f t="shared" si="3"/>
        <v>0</v>
      </c>
      <c r="W1115" s="23">
        <f t="shared" si="4"/>
        <v>0</v>
      </c>
      <c r="X1115" s="24" t="str">
        <f t="shared" si="5"/>
        <v>#DIV/0!</v>
      </c>
    </row>
    <row r="1116">
      <c r="A1116" s="15" t="s">
        <v>4626</v>
      </c>
      <c r="B1116" s="18"/>
      <c r="C1116" s="16"/>
      <c r="D1116" s="18"/>
      <c r="E1116" s="17" t="s">
        <v>4627</v>
      </c>
      <c r="F1116" s="18"/>
      <c r="G1116" s="18"/>
      <c r="H1116" s="15" t="s">
        <v>4628</v>
      </c>
      <c r="I1116" s="18"/>
      <c r="J1116" s="19" t="s">
        <v>702</v>
      </c>
      <c r="K1116" s="19" t="s">
        <v>1269</v>
      </c>
      <c r="L1116" s="19" t="s">
        <v>38</v>
      </c>
      <c r="M1116" s="20">
        <f t="shared" si="1"/>
        <v>0</v>
      </c>
      <c r="N1116" s="21"/>
      <c r="O1116" s="22"/>
      <c r="P1116" s="19" t="s">
        <v>3578</v>
      </c>
      <c r="Q1116" s="18"/>
      <c r="R1116" s="18"/>
      <c r="S1116" s="23">
        <v>0.0</v>
      </c>
      <c r="T1116" s="23">
        <v>0.0</v>
      </c>
      <c r="U1116" s="23">
        <f t="shared" si="2"/>
        <v>0</v>
      </c>
      <c r="V1116" s="23">
        <f t="shared" si="3"/>
        <v>0</v>
      </c>
      <c r="W1116" s="23">
        <f t="shared" si="4"/>
        <v>0</v>
      </c>
      <c r="X1116" s="24" t="str">
        <f t="shared" si="5"/>
        <v>#DIV/0!</v>
      </c>
    </row>
    <row r="1117">
      <c r="A1117" s="15" t="s">
        <v>4629</v>
      </c>
      <c r="B1117" s="18"/>
      <c r="C1117" s="16"/>
      <c r="D1117" s="18"/>
      <c r="E1117" s="17" t="s">
        <v>4630</v>
      </c>
      <c r="F1117" s="18"/>
      <c r="G1117" s="18"/>
      <c r="H1117" s="15" t="s">
        <v>4631</v>
      </c>
      <c r="I1117" s="18"/>
      <c r="J1117" s="19" t="s">
        <v>702</v>
      </c>
      <c r="K1117" s="19" t="s">
        <v>1269</v>
      </c>
      <c r="L1117" s="19" t="s">
        <v>38</v>
      </c>
      <c r="M1117" s="20">
        <f t="shared" si="1"/>
        <v>0</v>
      </c>
      <c r="N1117" s="21"/>
      <c r="O1117" s="22"/>
      <c r="P1117" s="19" t="s">
        <v>3578</v>
      </c>
      <c r="Q1117" s="18"/>
      <c r="R1117" s="18"/>
      <c r="S1117" s="23">
        <v>0.0</v>
      </c>
      <c r="T1117" s="23">
        <v>0.0</v>
      </c>
      <c r="U1117" s="23">
        <f t="shared" si="2"/>
        <v>0</v>
      </c>
      <c r="V1117" s="23">
        <f t="shared" si="3"/>
        <v>0</v>
      </c>
      <c r="W1117" s="23">
        <f t="shared" si="4"/>
        <v>0</v>
      </c>
      <c r="X1117" s="24" t="str">
        <f t="shared" si="5"/>
        <v>#DIV/0!</v>
      </c>
    </row>
    <row r="1118">
      <c r="A1118" s="15" t="s">
        <v>4632</v>
      </c>
      <c r="B1118" s="18" t="str">
        <f t="shared" ref="B1118:B1121" si="24">CONCATENATE(7504589,A1118)</f>
        <v>75045891384</v>
      </c>
      <c r="C1118" s="16"/>
      <c r="D1118" s="15" t="s">
        <v>4633</v>
      </c>
      <c r="E1118" s="43" t="s">
        <v>4634</v>
      </c>
      <c r="F1118" s="18"/>
      <c r="G1118" s="18"/>
      <c r="H1118" s="15" t="s">
        <v>4635</v>
      </c>
      <c r="I1118" s="15"/>
      <c r="J1118" s="19" t="s">
        <v>702</v>
      </c>
      <c r="K1118" s="19" t="s">
        <v>52</v>
      </c>
      <c r="L1118" s="19" t="s">
        <v>177</v>
      </c>
      <c r="M1118" s="20">
        <f t="shared" si="1"/>
        <v>0</v>
      </c>
      <c r="N1118" s="21"/>
      <c r="O1118" s="22"/>
      <c r="P1118" s="19" t="s">
        <v>3578</v>
      </c>
      <c r="Q1118" s="18"/>
      <c r="R1118" s="18"/>
      <c r="S1118" s="23">
        <v>0.0</v>
      </c>
      <c r="T1118" s="23">
        <v>0.0</v>
      </c>
      <c r="U1118" s="23">
        <f t="shared" si="2"/>
        <v>0</v>
      </c>
      <c r="V1118" s="23">
        <f t="shared" si="3"/>
        <v>0</v>
      </c>
      <c r="W1118" s="23">
        <f t="shared" si="4"/>
        <v>0</v>
      </c>
      <c r="X1118" s="24" t="str">
        <f t="shared" si="5"/>
        <v>#DIV/0!</v>
      </c>
    </row>
    <row r="1119">
      <c r="A1119" s="15" t="s">
        <v>4636</v>
      </c>
      <c r="B1119" s="18" t="str">
        <f t="shared" si="24"/>
        <v>75045891385</v>
      </c>
      <c r="C1119" s="16"/>
      <c r="D1119" s="18"/>
      <c r="E1119" s="17" t="s">
        <v>4637</v>
      </c>
      <c r="F1119" s="18"/>
      <c r="G1119" s="18"/>
      <c r="H1119" s="15" t="s">
        <v>4638</v>
      </c>
      <c r="I1119" s="18"/>
      <c r="J1119" s="19" t="s">
        <v>702</v>
      </c>
      <c r="K1119" s="19" t="s">
        <v>1431</v>
      </c>
      <c r="L1119" s="19" t="s">
        <v>38</v>
      </c>
      <c r="M1119" s="20">
        <f t="shared" si="1"/>
        <v>0</v>
      </c>
      <c r="N1119" s="21"/>
      <c r="O1119" s="22"/>
      <c r="P1119" s="19" t="s">
        <v>3578</v>
      </c>
      <c r="Q1119" s="18"/>
      <c r="R1119" s="18"/>
      <c r="S1119" s="23">
        <v>0.0</v>
      </c>
      <c r="T1119" s="23">
        <v>0.0</v>
      </c>
      <c r="U1119" s="23">
        <f t="shared" si="2"/>
        <v>0</v>
      </c>
      <c r="V1119" s="23">
        <f t="shared" si="3"/>
        <v>0</v>
      </c>
      <c r="W1119" s="23">
        <f t="shared" si="4"/>
        <v>0</v>
      </c>
      <c r="X1119" s="24" t="str">
        <f t="shared" si="5"/>
        <v>#DIV/0!</v>
      </c>
    </row>
    <row r="1120">
      <c r="A1120" s="15" t="s">
        <v>4639</v>
      </c>
      <c r="B1120" s="18" t="str">
        <f t="shared" si="24"/>
        <v>75045891386</v>
      </c>
      <c r="C1120" s="16"/>
      <c r="D1120" s="18"/>
      <c r="E1120" s="17" t="s">
        <v>4640</v>
      </c>
      <c r="F1120" s="18"/>
      <c r="G1120" s="18"/>
      <c r="H1120" s="15" t="s">
        <v>4641</v>
      </c>
      <c r="I1120" s="18"/>
      <c r="J1120" s="19" t="s">
        <v>702</v>
      </c>
      <c r="K1120" s="19" t="s">
        <v>1431</v>
      </c>
      <c r="L1120" s="19" t="s">
        <v>38</v>
      </c>
      <c r="M1120" s="20">
        <f t="shared" si="1"/>
        <v>0</v>
      </c>
      <c r="N1120" s="21"/>
      <c r="O1120" s="22"/>
      <c r="P1120" s="19" t="s">
        <v>3578</v>
      </c>
      <c r="Q1120" s="18"/>
      <c r="R1120" s="18"/>
      <c r="S1120" s="23">
        <v>0.0</v>
      </c>
      <c r="T1120" s="23">
        <v>0.0</v>
      </c>
      <c r="U1120" s="23">
        <f t="shared" si="2"/>
        <v>0</v>
      </c>
      <c r="V1120" s="23">
        <f t="shared" si="3"/>
        <v>0</v>
      </c>
      <c r="W1120" s="23">
        <f t="shared" si="4"/>
        <v>0</v>
      </c>
      <c r="X1120" s="24" t="str">
        <f t="shared" si="5"/>
        <v>#DIV/0!</v>
      </c>
    </row>
    <row r="1121">
      <c r="A1121" s="15" t="s">
        <v>4642</v>
      </c>
      <c r="B1121" s="18" t="str">
        <f t="shared" si="24"/>
        <v>75045891387</v>
      </c>
      <c r="C1121" s="16"/>
      <c r="D1121" s="18"/>
      <c r="E1121" s="17" t="s">
        <v>4643</v>
      </c>
      <c r="F1121" s="18"/>
      <c r="G1121" s="18"/>
      <c r="H1121" s="15" t="s">
        <v>4644</v>
      </c>
      <c r="I1121" s="15" t="s">
        <v>1441</v>
      </c>
      <c r="J1121" s="19" t="s">
        <v>702</v>
      </c>
      <c r="K1121" s="19" t="s">
        <v>1431</v>
      </c>
      <c r="L1121" s="19" t="s">
        <v>38</v>
      </c>
      <c r="M1121" s="20">
        <f t="shared" si="1"/>
        <v>0</v>
      </c>
      <c r="N1121" s="21"/>
      <c r="O1121" s="22"/>
      <c r="P1121" s="19" t="s">
        <v>3578</v>
      </c>
      <c r="Q1121" s="18"/>
      <c r="R1121" s="18"/>
      <c r="S1121" s="23">
        <v>0.0</v>
      </c>
      <c r="T1121" s="23">
        <v>0.0</v>
      </c>
      <c r="U1121" s="23">
        <f t="shared" si="2"/>
        <v>0</v>
      </c>
      <c r="V1121" s="23">
        <f t="shared" si="3"/>
        <v>0</v>
      </c>
      <c r="W1121" s="23">
        <f t="shared" si="4"/>
        <v>0</v>
      </c>
      <c r="X1121" s="24" t="str">
        <f t="shared" si="5"/>
        <v>#DIV/0!</v>
      </c>
    </row>
    <row r="1122">
      <c r="A1122" s="15" t="s">
        <v>4645</v>
      </c>
      <c r="B1122" s="18" t="str">
        <f t="shared" ref="B1122:B1123" si="25">CONCATENATE(7504589, A1122)</f>
        <v>75045891393</v>
      </c>
      <c r="C1122" s="16"/>
      <c r="D1122" s="18"/>
      <c r="E1122" s="17" t="s">
        <v>4646</v>
      </c>
      <c r="F1122" s="18"/>
      <c r="G1122" s="18"/>
      <c r="H1122" s="15" t="s">
        <v>4647</v>
      </c>
      <c r="I1122" s="18"/>
      <c r="J1122" s="19" t="s">
        <v>104</v>
      </c>
      <c r="K1122" s="19" t="s">
        <v>105</v>
      </c>
      <c r="L1122" s="19" t="s">
        <v>38</v>
      </c>
      <c r="M1122" s="20">
        <f t="shared" si="1"/>
        <v>0</v>
      </c>
      <c r="N1122" s="37" t="s">
        <v>79</v>
      </c>
      <c r="O1122" s="22"/>
      <c r="P1122" s="19" t="s">
        <v>3578</v>
      </c>
      <c r="Q1122" s="18"/>
      <c r="R1122" s="18"/>
      <c r="S1122" s="23">
        <v>0.0</v>
      </c>
      <c r="T1122" s="23">
        <v>0.0</v>
      </c>
      <c r="U1122" s="23">
        <f t="shared" si="2"/>
        <v>0</v>
      </c>
      <c r="V1122" s="23">
        <f t="shared" si="3"/>
        <v>0</v>
      </c>
      <c r="W1122" s="23">
        <f t="shared" si="4"/>
        <v>0</v>
      </c>
      <c r="X1122" s="24" t="str">
        <f t="shared" si="5"/>
        <v>#DIV/0!</v>
      </c>
    </row>
    <row r="1123">
      <c r="A1123" s="15" t="s">
        <v>4648</v>
      </c>
      <c r="B1123" s="18" t="str">
        <f t="shared" si="25"/>
        <v>75045891394</v>
      </c>
      <c r="C1123" s="16"/>
      <c r="D1123" s="18"/>
      <c r="E1123" s="17" t="s">
        <v>4649</v>
      </c>
      <c r="F1123" s="18"/>
      <c r="G1123" s="18"/>
      <c r="H1123" s="15" t="s">
        <v>4650</v>
      </c>
      <c r="I1123" s="18"/>
      <c r="J1123" s="19" t="s">
        <v>104</v>
      </c>
      <c r="K1123" s="19" t="s">
        <v>105</v>
      </c>
      <c r="L1123" s="19" t="s">
        <v>38</v>
      </c>
      <c r="M1123" s="20">
        <f t="shared" si="1"/>
        <v>0</v>
      </c>
      <c r="N1123" s="37" t="s">
        <v>79</v>
      </c>
      <c r="O1123" s="22"/>
      <c r="P1123" s="19" t="s">
        <v>3578</v>
      </c>
      <c r="Q1123" s="18"/>
      <c r="R1123" s="18"/>
      <c r="S1123" s="23">
        <v>0.0</v>
      </c>
      <c r="T1123" s="23">
        <v>0.0</v>
      </c>
      <c r="U1123" s="23">
        <f t="shared" si="2"/>
        <v>0</v>
      </c>
      <c r="V1123" s="23">
        <f t="shared" si="3"/>
        <v>0</v>
      </c>
      <c r="W1123" s="23">
        <f t="shared" si="4"/>
        <v>0</v>
      </c>
      <c r="X1123" s="24" t="str">
        <f t="shared" si="5"/>
        <v>#DIV/0!</v>
      </c>
    </row>
    <row r="1124">
      <c r="A1124" s="15" t="s">
        <v>4651</v>
      </c>
      <c r="B1124" s="15" t="s">
        <v>4652</v>
      </c>
      <c r="C1124" s="16"/>
      <c r="D1124" s="15" t="s">
        <v>4653</v>
      </c>
      <c r="E1124" s="17" t="s">
        <v>4654</v>
      </c>
      <c r="F1124" s="18"/>
      <c r="G1124" s="18"/>
      <c r="H1124" s="15" t="s">
        <v>3017</v>
      </c>
      <c r="I1124" s="18"/>
      <c r="J1124" s="19" t="s">
        <v>104</v>
      </c>
      <c r="K1124" s="19" t="s">
        <v>105</v>
      </c>
      <c r="L1124" s="19" t="s">
        <v>38</v>
      </c>
      <c r="M1124" s="20">
        <f t="shared" si="1"/>
        <v>0</v>
      </c>
      <c r="N1124" s="37" t="s">
        <v>79</v>
      </c>
      <c r="O1124" s="22"/>
      <c r="P1124" s="19" t="s">
        <v>3578</v>
      </c>
      <c r="Q1124" s="18"/>
      <c r="R1124" s="18"/>
      <c r="S1124" s="23">
        <v>0.0</v>
      </c>
      <c r="T1124" s="23">
        <v>0.0</v>
      </c>
      <c r="U1124" s="23">
        <f t="shared" si="2"/>
        <v>0</v>
      </c>
      <c r="V1124" s="23">
        <f t="shared" si="3"/>
        <v>0</v>
      </c>
      <c r="W1124" s="23">
        <f t="shared" si="4"/>
        <v>0</v>
      </c>
      <c r="X1124" s="24" t="str">
        <f t="shared" si="5"/>
        <v>#DIV/0!</v>
      </c>
    </row>
    <row r="1125">
      <c r="A1125" s="15" t="s">
        <v>4655</v>
      </c>
      <c r="B1125" s="15" t="s">
        <v>4656</v>
      </c>
      <c r="C1125" s="16"/>
      <c r="D1125" s="15" t="s">
        <v>4657</v>
      </c>
      <c r="E1125" s="17" t="s">
        <v>4658</v>
      </c>
      <c r="F1125" s="18"/>
      <c r="G1125" s="18"/>
      <c r="H1125" s="15" t="s">
        <v>4659</v>
      </c>
      <c r="I1125" s="18"/>
      <c r="J1125" s="19" t="s">
        <v>104</v>
      </c>
      <c r="K1125" s="19" t="s">
        <v>1269</v>
      </c>
      <c r="L1125" s="19" t="s">
        <v>38</v>
      </c>
      <c r="M1125" s="20">
        <f t="shared" si="1"/>
        <v>0</v>
      </c>
      <c r="N1125" s="21"/>
      <c r="O1125" s="22"/>
      <c r="P1125" s="19" t="s">
        <v>3578</v>
      </c>
      <c r="Q1125" s="18"/>
      <c r="R1125" s="18"/>
      <c r="S1125" s="23">
        <v>0.0</v>
      </c>
      <c r="T1125" s="23">
        <v>0.0</v>
      </c>
      <c r="U1125" s="23">
        <f t="shared" si="2"/>
        <v>0</v>
      </c>
      <c r="V1125" s="23">
        <f t="shared" si="3"/>
        <v>0</v>
      </c>
      <c r="W1125" s="23">
        <f t="shared" si="4"/>
        <v>0</v>
      </c>
      <c r="X1125" s="24" t="str">
        <f t="shared" si="5"/>
        <v>#DIV/0!</v>
      </c>
    </row>
    <row r="1126">
      <c r="A1126" s="15" t="s">
        <v>4660</v>
      </c>
      <c r="B1126" s="15" t="s">
        <v>4661</v>
      </c>
      <c r="C1126" s="16"/>
      <c r="D1126" s="15" t="s">
        <v>4662</v>
      </c>
      <c r="E1126" s="17" t="s">
        <v>4662</v>
      </c>
      <c r="F1126" s="18"/>
      <c r="G1126" s="18"/>
      <c r="H1126" s="15" t="s">
        <v>4663</v>
      </c>
      <c r="I1126" s="18"/>
      <c r="J1126" s="19" t="s">
        <v>104</v>
      </c>
      <c r="K1126" s="19" t="s">
        <v>160</v>
      </c>
      <c r="L1126" s="19" t="s">
        <v>919</v>
      </c>
      <c r="M1126" s="20">
        <f t="shared" si="1"/>
        <v>0</v>
      </c>
      <c r="N1126" s="21"/>
      <c r="O1126" s="22"/>
      <c r="P1126" s="19" t="s">
        <v>3578</v>
      </c>
      <c r="Q1126" s="18"/>
      <c r="R1126" s="18"/>
      <c r="S1126" s="23">
        <v>0.0</v>
      </c>
      <c r="T1126" s="23">
        <v>0.0</v>
      </c>
      <c r="U1126" s="23">
        <f t="shared" si="2"/>
        <v>0</v>
      </c>
      <c r="V1126" s="23">
        <f t="shared" si="3"/>
        <v>0</v>
      </c>
      <c r="W1126" s="23">
        <f t="shared" si="4"/>
        <v>0</v>
      </c>
      <c r="X1126" s="24" t="str">
        <f t="shared" si="5"/>
        <v>#DIV/0!</v>
      </c>
    </row>
    <row r="1127">
      <c r="A1127" s="15" t="s">
        <v>4664</v>
      </c>
      <c r="B1127" s="18" t="str">
        <f t="shared" ref="B1127:B1128" si="26">CONCATENATE(7504589,A1127)</f>
        <v>75045891415</v>
      </c>
      <c r="C1127" s="16"/>
      <c r="D1127" s="18"/>
      <c r="E1127" s="17" t="s">
        <v>4665</v>
      </c>
      <c r="F1127" s="18"/>
      <c r="G1127" s="18"/>
      <c r="H1127" s="15" t="s">
        <v>4666</v>
      </c>
      <c r="I1127" s="18"/>
      <c r="J1127" s="19" t="s">
        <v>104</v>
      </c>
      <c r="K1127" s="19" t="s">
        <v>52</v>
      </c>
      <c r="L1127" s="19" t="s">
        <v>52</v>
      </c>
      <c r="M1127" s="20">
        <f t="shared" si="1"/>
        <v>0</v>
      </c>
      <c r="N1127" s="37" t="s">
        <v>68</v>
      </c>
      <c r="O1127" s="22"/>
      <c r="P1127" s="19" t="s">
        <v>3578</v>
      </c>
      <c r="Q1127" s="18"/>
      <c r="R1127" s="18"/>
      <c r="S1127" s="23">
        <v>0.0</v>
      </c>
      <c r="T1127" s="23">
        <v>0.0</v>
      </c>
      <c r="U1127" s="23">
        <f t="shared" si="2"/>
        <v>0</v>
      </c>
      <c r="V1127" s="23">
        <f t="shared" si="3"/>
        <v>0</v>
      </c>
      <c r="W1127" s="23">
        <f t="shared" si="4"/>
        <v>0</v>
      </c>
      <c r="X1127" s="24" t="str">
        <f t="shared" si="5"/>
        <v>#DIV/0!</v>
      </c>
    </row>
    <row r="1128">
      <c r="A1128" s="15" t="s">
        <v>4667</v>
      </c>
      <c r="B1128" s="18" t="str">
        <f t="shared" si="26"/>
        <v>75045891417</v>
      </c>
      <c r="C1128" s="16"/>
      <c r="D1128" s="15" t="s">
        <v>4668</v>
      </c>
      <c r="E1128" s="17" t="s">
        <v>4669</v>
      </c>
      <c r="F1128" s="18"/>
      <c r="G1128" s="18"/>
      <c r="H1128" s="15" t="s">
        <v>4670</v>
      </c>
      <c r="I1128" s="18"/>
      <c r="J1128" s="19" t="s">
        <v>104</v>
      </c>
      <c r="K1128" s="19" t="s">
        <v>160</v>
      </c>
      <c r="L1128" s="19" t="s">
        <v>106</v>
      </c>
      <c r="M1128" s="20">
        <f t="shared" si="1"/>
        <v>0</v>
      </c>
      <c r="N1128" s="21"/>
      <c r="O1128" s="22"/>
      <c r="P1128" s="19" t="s">
        <v>3578</v>
      </c>
      <c r="Q1128" s="18"/>
      <c r="R1128" s="18"/>
      <c r="S1128" s="23">
        <v>0.0</v>
      </c>
      <c r="T1128" s="23">
        <v>0.0</v>
      </c>
      <c r="U1128" s="23">
        <f t="shared" si="2"/>
        <v>0</v>
      </c>
      <c r="V1128" s="23">
        <f t="shared" si="3"/>
        <v>0</v>
      </c>
      <c r="W1128" s="23">
        <f t="shared" si="4"/>
        <v>0</v>
      </c>
      <c r="X1128" s="24" t="str">
        <f t="shared" si="5"/>
        <v>#DIV/0!</v>
      </c>
    </row>
    <row r="1129">
      <c r="A1129" s="15" t="s">
        <v>4671</v>
      </c>
      <c r="B1129" s="15" t="s">
        <v>4672</v>
      </c>
      <c r="C1129" s="16"/>
      <c r="D1129" s="15" t="s">
        <v>4673</v>
      </c>
      <c r="E1129" s="17" t="s">
        <v>4674</v>
      </c>
      <c r="F1129" s="18"/>
      <c r="G1129" s="18"/>
      <c r="H1129" s="15" t="s">
        <v>4675</v>
      </c>
      <c r="I1129" s="18"/>
      <c r="J1129" s="19" t="s">
        <v>104</v>
      </c>
      <c r="K1129" s="19" t="s">
        <v>160</v>
      </c>
      <c r="L1129" s="19" t="s">
        <v>106</v>
      </c>
      <c r="M1129" s="20">
        <f t="shared" si="1"/>
        <v>0</v>
      </c>
      <c r="N1129" s="37" t="s">
        <v>68</v>
      </c>
      <c r="O1129" s="22"/>
      <c r="P1129" s="19" t="s">
        <v>3578</v>
      </c>
      <c r="Q1129" s="18"/>
      <c r="R1129" s="18"/>
      <c r="S1129" s="23">
        <v>0.0</v>
      </c>
      <c r="T1129" s="23">
        <v>0.0</v>
      </c>
      <c r="U1129" s="23">
        <f t="shared" si="2"/>
        <v>0</v>
      </c>
      <c r="V1129" s="23">
        <f t="shared" si="3"/>
        <v>0</v>
      </c>
      <c r="W1129" s="23">
        <f t="shared" si="4"/>
        <v>0</v>
      </c>
      <c r="X1129" s="24" t="str">
        <f t="shared" si="5"/>
        <v>#DIV/0!</v>
      </c>
    </row>
    <row r="1130">
      <c r="A1130" s="15" t="s">
        <v>4676</v>
      </c>
      <c r="B1130" s="15" t="s">
        <v>4677</v>
      </c>
      <c r="C1130" s="16"/>
      <c r="D1130" s="15" t="s">
        <v>4678</v>
      </c>
      <c r="E1130" s="17" t="s">
        <v>4679</v>
      </c>
      <c r="F1130" s="18"/>
      <c r="G1130" s="18"/>
      <c r="H1130" s="15" t="s">
        <v>4680</v>
      </c>
      <c r="I1130" s="18"/>
      <c r="J1130" s="19" t="s">
        <v>104</v>
      </c>
      <c r="K1130" s="19" t="s">
        <v>160</v>
      </c>
      <c r="L1130" s="19" t="s">
        <v>106</v>
      </c>
      <c r="M1130" s="20">
        <f t="shared" si="1"/>
        <v>0</v>
      </c>
      <c r="N1130" s="21"/>
      <c r="O1130" s="22"/>
      <c r="P1130" s="19" t="s">
        <v>3578</v>
      </c>
      <c r="Q1130" s="18"/>
      <c r="R1130" s="18"/>
      <c r="S1130" s="23">
        <v>0.0</v>
      </c>
      <c r="T1130" s="23">
        <v>0.0</v>
      </c>
      <c r="U1130" s="23">
        <f t="shared" si="2"/>
        <v>0</v>
      </c>
      <c r="V1130" s="23">
        <f t="shared" si="3"/>
        <v>0</v>
      </c>
      <c r="W1130" s="23">
        <f t="shared" si="4"/>
        <v>0</v>
      </c>
      <c r="X1130" s="24" t="str">
        <f t="shared" si="5"/>
        <v>#DIV/0!</v>
      </c>
    </row>
    <row r="1131">
      <c r="A1131" s="15" t="s">
        <v>4681</v>
      </c>
      <c r="B1131" s="15" t="s">
        <v>4682</v>
      </c>
      <c r="C1131" s="16"/>
      <c r="D1131" s="15" t="s">
        <v>4683</v>
      </c>
      <c r="E1131" s="17" t="s">
        <v>4684</v>
      </c>
      <c r="F1131" s="18"/>
      <c r="G1131" s="18"/>
      <c r="H1131" s="15" t="s">
        <v>4685</v>
      </c>
      <c r="I1131" s="18"/>
      <c r="J1131" s="19" t="s">
        <v>104</v>
      </c>
      <c r="K1131" s="19" t="s">
        <v>402</v>
      </c>
      <c r="L1131" s="19" t="s">
        <v>38</v>
      </c>
      <c r="M1131" s="20">
        <f t="shared" si="1"/>
        <v>0</v>
      </c>
      <c r="N1131" s="37" t="s">
        <v>68</v>
      </c>
      <c r="O1131" s="22"/>
      <c r="P1131" s="19" t="s">
        <v>3578</v>
      </c>
      <c r="Q1131" s="18"/>
      <c r="R1131" s="18"/>
      <c r="S1131" s="23">
        <v>0.0</v>
      </c>
      <c r="T1131" s="23">
        <v>0.0</v>
      </c>
      <c r="U1131" s="23">
        <f t="shared" si="2"/>
        <v>0</v>
      </c>
      <c r="V1131" s="23">
        <f t="shared" si="3"/>
        <v>0</v>
      </c>
      <c r="W1131" s="23">
        <f t="shared" si="4"/>
        <v>0</v>
      </c>
      <c r="X1131" s="24" t="str">
        <f t="shared" si="5"/>
        <v>#DIV/0!</v>
      </c>
    </row>
    <row r="1132">
      <c r="A1132" s="15" t="s">
        <v>4686</v>
      </c>
      <c r="B1132" s="18" t="str">
        <f>CONCATENATE(7504589,A1132)</f>
        <v>75045891421</v>
      </c>
      <c r="C1132" s="16"/>
      <c r="D1132" s="18"/>
      <c r="E1132" s="17" t="s">
        <v>4687</v>
      </c>
      <c r="F1132" s="18"/>
      <c r="G1132" s="18"/>
      <c r="H1132" s="15" t="s">
        <v>4688</v>
      </c>
      <c r="I1132" s="18"/>
      <c r="J1132" s="19" t="s">
        <v>104</v>
      </c>
      <c r="K1132" s="19" t="s">
        <v>37</v>
      </c>
      <c r="L1132" s="19" t="s">
        <v>38</v>
      </c>
      <c r="M1132" s="20">
        <f t="shared" si="1"/>
        <v>0</v>
      </c>
      <c r="N1132" s="37" t="s">
        <v>68</v>
      </c>
      <c r="O1132" s="22"/>
      <c r="P1132" s="19" t="s">
        <v>3578</v>
      </c>
      <c r="Q1132" s="18"/>
      <c r="R1132" s="18"/>
      <c r="S1132" s="23">
        <v>0.0</v>
      </c>
      <c r="T1132" s="23">
        <v>0.0</v>
      </c>
      <c r="U1132" s="23">
        <f t="shared" si="2"/>
        <v>0</v>
      </c>
      <c r="V1132" s="23">
        <f t="shared" si="3"/>
        <v>0</v>
      </c>
      <c r="W1132" s="23">
        <f t="shared" si="4"/>
        <v>0</v>
      </c>
      <c r="X1132" s="24" t="str">
        <f t="shared" si="5"/>
        <v>#DIV/0!</v>
      </c>
      <c r="Z1132" s="38">
        <v>213.0</v>
      </c>
      <c r="AA1132" s="39">
        <f>M1132/(1+$AA$1)</f>
        <v>0</v>
      </c>
      <c r="AB1132" s="40" t="str">
        <f>AA1132/W1132</f>
        <v>#DIV/0!</v>
      </c>
      <c r="AD1132" s="34">
        <v>3195.0</v>
      </c>
      <c r="AF1132" s="34">
        <v>3249.0</v>
      </c>
    </row>
    <row r="1133">
      <c r="A1133" s="15" t="s">
        <v>4689</v>
      </c>
      <c r="B1133" s="15" t="s">
        <v>4690</v>
      </c>
      <c r="C1133" s="16"/>
      <c r="D1133" s="15" t="s">
        <v>4691</v>
      </c>
      <c r="E1133" s="17" t="s">
        <v>4692</v>
      </c>
      <c r="F1133" s="18"/>
      <c r="G1133" s="18"/>
      <c r="H1133" s="15" t="s">
        <v>830</v>
      </c>
      <c r="I1133" s="15" t="s">
        <v>4693</v>
      </c>
      <c r="J1133" s="19" t="s">
        <v>104</v>
      </c>
      <c r="K1133" s="19" t="s">
        <v>37</v>
      </c>
      <c r="L1133" s="19" t="s">
        <v>38</v>
      </c>
      <c r="M1133" s="20">
        <f t="shared" si="1"/>
        <v>0</v>
      </c>
      <c r="N1133" s="37" t="s">
        <v>79</v>
      </c>
      <c r="O1133" s="22"/>
      <c r="P1133" s="19" t="s">
        <v>3578</v>
      </c>
      <c r="Q1133" s="18"/>
      <c r="R1133" s="18"/>
      <c r="S1133" s="23">
        <v>0.0</v>
      </c>
      <c r="T1133" s="23">
        <v>0.0</v>
      </c>
      <c r="U1133" s="23">
        <f t="shared" si="2"/>
        <v>0</v>
      </c>
      <c r="V1133" s="23">
        <f t="shared" si="3"/>
        <v>0</v>
      </c>
      <c r="W1133" s="23">
        <f t="shared" si="4"/>
        <v>0</v>
      </c>
      <c r="X1133" s="24" t="str">
        <f t="shared" si="5"/>
        <v>#DIV/0!</v>
      </c>
    </row>
    <row r="1134">
      <c r="A1134" s="15" t="s">
        <v>4694</v>
      </c>
      <c r="B1134" s="18" t="str">
        <f t="shared" ref="B1134:B1137" si="27">CONCATENATE(7504589,A1134)</f>
        <v>75045891425</v>
      </c>
      <c r="C1134" s="16"/>
      <c r="D1134" s="18"/>
      <c r="E1134" s="17" t="s">
        <v>4695</v>
      </c>
      <c r="F1134" s="18"/>
      <c r="G1134" s="18"/>
      <c r="H1134" s="15" t="s">
        <v>4696</v>
      </c>
      <c r="I1134" s="18"/>
      <c r="J1134" s="19" t="s">
        <v>104</v>
      </c>
      <c r="K1134" s="19" t="s">
        <v>37</v>
      </c>
      <c r="L1134" s="19" t="s">
        <v>38</v>
      </c>
      <c r="M1134" s="20">
        <f t="shared" si="1"/>
        <v>0</v>
      </c>
      <c r="N1134" s="37" t="s">
        <v>68</v>
      </c>
      <c r="O1134" s="22"/>
      <c r="P1134" s="19" t="s">
        <v>3578</v>
      </c>
      <c r="Q1134" s="18"/>
      <c r="R1134" s="18"/>
      <c r="S1134" s="23">
        <v>0.0</v>
      </c>
      <c r="T1134" s="23">
        <v>0.0</v>
      </c>
      <c r="U1134" s="23">
        <f t="shared" si="2"/>
        <v>0</v>
      </c>
      <c r="V1134" s="23">
        <f t="shared" si="3"/>
        <v>0</v>
      </c>
      <c r="W1134" s="23">
        <f t="shared" si="4"/>
        <v>0</v>
      </c>
      <c r="X1134" s="24" t="str">
        <f t="shared" si="5"/>
        <v>#DIV/0!</v>
      </c>
      <c r="Z1134" s="38">
        <v>46.0</v>
      </c>
      <c r="AA1134" s="39">
        <f>M1134/(1+$AA$1)</f>
        <v>0</v>
      </c>
      <c r="AB1134" s="40" t="str">
        <f>AA1134/W1134</f>
        <v>#DIV/0!</v>
      </c>
      <c r="AD1134" s="34">
        <v>773.0</v>
      </c>
      <c r="AF1134" s="34">
        <v>749.0</v>
      </c>
    </row>
    <row r="1135">
      <c r="A1135" s="15" t="s">
        <v>4697</v>
      </c>
      <c r="B1135" s="18" t="str">
        <f t="shared" si="27"/>
        <v>75045891427</v>
      </c>
      <c r="C1135" s="16"/>
      <c r="D1135" s="18"/>
      <c r="E1135" s="17" t="s">
        <v>4698</v>
      </c>
      <c r="F1135" s="18"/>
      <c r="G1135" s="18"/>
      <c r="H1135" s="15" t="s">
        <v>4699</v>
      </c>
      <c r="I1135" s="18"/>
      <c r="J1135" s="19" t="s">
        <v>104</v>
      </c>
      <c r="K1135" s="19" t="s">
        <v>37</v>
      </c>
      <c r="L1135" s="19" t="s">
        <v>135</v>
      </c>
      <c r="M1135" s="20">
        <f t="shared" si="1"/>
        <v>0</v>
      </c>
      <c r="N1135" s="37" t="s">
        <v>68</v>
      </c>
      <c r="O1135" s="22"/>
      <c r="P1135" s="19" t="s">
        <v>3578</v>
      </c>
      <c r="Q1135" s="18"/>
      <c r="R1135" s="18"/>
      <c r="S1135" s="23">
        <v>0.0</v>
      </c>
      <c r="T1135" s="23">
        <v>0.0</v>
      </c>
      <c r="U1135" s="23">
        <f t="shared" si="2"/>
        <v>0</v>
      </c>
      <c r="V1135" s="23">
        <f t="shared" si="3"/>
        <v>0</v>
      </c>
      <c r="W1135" s="23">
        <f t="shared" si="4"/>
        <v>0</v>
      </c>
      <c r="X1135" s="24" t="str">
        <f t="shared" si="5"/>
        <v>#DIV/0!</v>
      </c>
    </row>
    <row r="1136">
      <c r="A1136" s="15" t="s">
        <v>4700</v>
      </c>
      <c r="B1136" s="18" t="str">
        <f t="shared" si="27"/>
        <v>75045891428</v>
      </c>
      <c r="C1136" s="16"/>
      <c r="D1136" s="18"/>
      <c r="E1136" s="17" t="s">
        <v>4701</v>
      </c>
      <c r="F1136" s="18"/>
      <c r="G1136" s="18"/>
      <c r="H1136" s="15" t="s">
        <v>4702</v>
      </c>
      <c r="I1136" s="18"/>
      <c r="J1136" s="19" t="s">
        <v>104</v>
      </c>
      <c r="K1136" s="19" t="s">
        <v>37</v>
      </c>
      <c r="L1136" s="19" t="s">
        <v>135</v>
      </c>
      <c r="M1136" s="20">
        <f t="shared" si="1"/>
        <v>0</v>
      </c>
      <c r="N1136" s="37" t="s">
        <v>68</v>
      </c>
      <c r="O1136" s="22"/>
      <c r="P1136" s="19" t="s">
        <v>3578</v>
      </c>
      <c r="Q1136" s="18"/>
      <c r="R1136" s="18"/>
      <c r="S1136" s="23">
        <v>0.0</v>
      </c>
      <c r="T1136" s="23">
        <v>0.0</v>
      </c>
      <c r="U1136" s="23">
        <f t="shared" si="2"/>
        <v>0</v>
      </c>
      <c r="V1136" s="23">
        <f t="shared" si="3"/>
        <v>0</v>
      </c>
      <c r="W1136" s="23">
        <f t="shared" si="4"/>
        <v>0</v>
      </c>
      <c r="X1136" s="24" t="str">
        <f t="shared" si="5"/>
        <v>#DIV/0!</v>
      </c>
    </row>
    <row r="1137">
      <c r="A1137" s="15" t="s">
        <v>4703</v>
      </c>
      <c r="B1137" s="18" t="str">
        <f t="shared" si="27"/>
        <v>75045891433</v>
      </c>
      <c r="C1137" s="16" t="str">
        <f>IMAGE("https://i.ibb.co/PvXv5Y4G/1433.png")</f>
        <v/>
      </c>
      <c r="D1137" s="15" t="s">
        <v>4704</v>
      </c>
      <c r="E1137" s="17" t="s">
        <v>4705</v>
      </c>
      <c r="F1137" s="18"/>
      <c r="G1137" s="18"/>
      <c r="H1137" s="15" t="s">
        <v>4706</v>
      </c>
      <c r="I1137" s="15" t="s">
        <v>4707</v>
      </c>
      <c r="J1137" s="19" t="s">
        <v>104</v>
      </c>
      <c r="K1137" s="19" t="s">
        <v>402</v>
      </c>
      <c r="L1137" s="19" t="s">
        <v>38</v>
      </c>
      <c r="M1137" s="20">
        <f t="shared" si="1"/>
        <v>0</v>
      </c>
      <c r="N1137" s="37" t="s">
        <v>68</v>
      </c>
      <c r="O1137" s="22"/>
      <c r="P1137" s="19" t="s">
        <v>3578</v>
      </c>
      <c r="Q1137" s="18"/>
      <c r="R1137" s="18"/>
      <c r="S1137" s="23">
        <v>0.0</v>
      </c>
      <c r="T1137" s="23">
        <v>0.0</v>
      </c>
      <c r="U1137" s="23">
        <f t="shared" si="2"/>
        <v>0</v>
      </c>
      <c r="V1137" s="23">
        <f t="shared" si="3"/>
        <v>0</v>
      </c>
      <c r="W1137" s="23">
        <f t="shared" si="4"/>
        <v>0</v>
      </c>
      <c r="X1137" s="24" t="str">
        <f t="shared" si="5"/>
        <v>#DIV/0!</v>
      </c>
    </row>
    <row r="1138">
      <c r="A1138" s="15" t="s">
        <v>4708</v>
      </c>
      <c r="B1138" s="15" t="s">
        <v>4709</v>
      </c>
      <c r="C1138" s="16" t="str">
        <f>IMAGE("https://i.ibb.co/S4pWc7FG/1498.png")</f>
        <v/>
      </c>
      <c r="D1138" s="15" t="s">
        <v>4710</v>
      </c>
      <c r="E1138" s="17" t="s">
        <v>4711</v>
      </c>
      <c r="F1138" s="18"/>
      <c r="G1138" s="18"/>
      <c r="H1138" s="15" t="s">
        <v>4712</v>
      </c>
      <c r="I1138" s="15"/>
      <c r="J1138" s="19" t="s">
        <v>36</v>
      </c>
      <c r="K1138" s="19" t="s">
        <v>52</v>
      </c>
      <c r="L1138" s="19" t="s">
        <v>84</v>
      </c>
      <c r="M1138" s="20">
        <f t="shared" si="1"/>
        <v>0</v>
      </c>
      <c r="N1138" s="37" t="s">
        <v>79</v>
      </c>
      <c r="O1138" s="22"/>
      <c r="P1138" s="19" t="s">
        <v>3578</v>
      </c>
      <c r="Q1138" s="18"/>
      <c r="R1138" s="18"/>
      <c r="S1138" s="23">
        <v>0.0</v>
      </c>
      <c r="T1138" s="23">
        <v>0.0</v>
      </c>
      <c r="U1138" s="23">
        <f t="shared" si="2"/>
        <v>0</v>
      </c>
      <c r="V1138" s="23">
        <f t="shared" si="3"/>
        <v>0</v>
      </c>
      <c r="W1138" s="23">
        <f t="shared" si="4"/>
        <v>0</v>
      </c>
      <c r="X1138" s="24" t="str">
        <f t="shared" si="5"/>
        <v>#DIV/0!</v>
      </c>
    </row>
    <row r="1139">
      <c r="A1139" s="15" t="s">
        <v>4713</v>
      </c>
      <c r="B1139" s="18" t="str">
        <f t="shared" ref="B1139:B1159" si="28">CONCATENATE(7504589,A1139)</f>
        <v>75045891598</v>
      </c>
      <c r="C1139" s="16"/>
      <c r="D1139" s="15" t="s">
        <v>4714</v>
      </c>
      <c r="E1139" s="17" t="s">
        <v>4715</v>
      </c>
      <c r="F1139" s="18"/>
      <c r="G1139" s="18"/>
      <c r="H1139" s="15" t="s">
        <v>4716</v>
      </c>
      <c r="I1139" s="15" t="s">
        <v>4717</v>
      </c>
      <c r="J1139" s="19" t="s">
        <v>36</v>
      </c>
      <c r="K1139" s="19" t="s">
        <v>105</v>
      </c>
      <c r="L1139" s="19" t="s">
        <v>38</v>
      </c>
      <c r="M1139" s="20">
        <f t="shared" si="1"/>
        <v>0</v>
      </c>
      <c r="N1139" s="21"/>
      <c r="O1139" s="22"/>
      <c r="P1139" s="19" t="s">
        <v>3578</v>
      </c>
      <c r="Q1139" s="18"/>
      <c r="R1139" s="18"/>
      <c r="S1139" s="23">
        <v>0.0</v>
      </c>
      <c r="T1139" s="23">
        <v>0.0</v>
      </c>
      <c r="U1139" s="23">
        <f t="shared" si="2"/>
        <v>0</v>
      </c>
      <c r="V1139" s="23">
        <f t="shared" si="3"/>
        <v>0</v>
      </c>
      <c r="W1139" s="23">
        <f t="shared" si="4"/>
        <v>0</v>
      </c>
      <c r="X1139" s="24" t="str">
        <f t="shared" si="5"/>
        <v>#DIV/0!</v>
      </c>
    </row>
    <row r="1140">
      <c r="A1140" s="15" t="s">
        <v>4718</v>
      </c>
      <c r="B1140" s="18" t="str">
        <f t="shared" si="28"/>
        <v>75045891600</v>
      </c>
      <c r="C1140" s="16" t="str">
        <f>IMAGE("https://i.ibb.co/BHD9rHSC/1600.png")</f>
        <v/>
      </c>
      <c r="D1140" s="15" t="s">
        <v>4719</v>
      </c>
      <c r="E1140" s="17" t="s">
        <v>4720</v>
      </c>
      <c r="F1140" s="18"/>
      <c r="G1140" s="18"/>
      <c r="H1140" s="15" t="s">
        <v>4721</v>
      </c>
      <c r="I1140" s="15" t="s">
        <v>4722</v>
      </c>
      <c r="J1140" s="19" t="s">
        <v>36</v>
      </c>
      <c r="K1140" s="19" t="s">
        <v>52</v>
      </c>
      <c r="L1140" s="19" t="s">
        <v>52</v>
      </c>
      <c r="M1140" s="20">
        <f t="shared" si="1"/>
        <v>0</v>
      </c>
      <c r="N1140" s="37" t="s">
        <v>68</v>
      </c>
      <c r="O1140" s="22"/>
      <c r="P1140" s="19" t="s">
        <v>3578</v>
      </c>
      <c r="Q1140" s="18"/>
      <c r="R1140" s="18"/>
      <c r="S1140" s="23">
        <v>0.0</v>
      </c>
      <c r="T1140" s="23">
        <v>0.0</v>
      </c>
      <c r="U1140" s="23">
        <f t="shared" si="2"/>
        <v>0</v>
      </c>
      <c r="V1140" s="23">
        <f t="shared" si="3"/>
        <v>0</v>
      </c>
      <c r="W1140" s="23">
        <f t="shared" si="4"/>
        <v>0</v>
      </c>
      <c r="X1140" s="24" t="str">
        <f t="shared" si="5"/>
        <v>#DIV/0!</v>
      </c>
    </row>
    <row r="1141">
      <c r="A1141" s="15" t="s">
        <v>4723</v>
      </c>
      <c r="B1141" s="18" t="str">
        <f t="shared" si="28"/>
        <v>75045891612</v>
      </c>
      <c r="C1141" s="16" t="str">
        <f>IMAGE("https://i.ibb.co/m5CCDvcb/1612.png")</f>
        <v/>
      </c>
      <c r="D1141" s="15" t="s">
        <v>4724</v>
      </c>
      <c r="E1141" s="17" t="s">
        <v>4725</v>
      </c>
      <c r="F1141" s="18"/>
      <c r="G1141" s="18"/>
      <c r="H1141" s="15" t="s">
        <v>4726</v>
      </c>
      <c r="I1141" s="15" t="s">
        <v>4727</v>
      </c>
      <c r="J1141" s="19" t="s">
        <v>36</v>
      </c>
      <c r="K1141" s="19" t="s">
        <v>1230</v>
      </c>
      <c r="L1141" s="19" t="s">
        <v>38</v>
      </c>
      <c r="M1141" s="20">
        <f t="shared" si="1"/>
        <v>0</v>
      </c>
      <c r="N1141" s="21"/>
      <c r="O1141" s="22"/>
      <c r="P1141" s="19" t="s">
        <v>3578</v>
      </c>
      <c r="Q1141" s="18"/>
      <c r="R1141" s="18"/>
      <c r="S1141" s="23">
        <v>0.0</v>
      </c>
      <c r="T1141" s="23">
        <v>0.0</v>
      </c>
      <c r="U1141" s="23">
        <f t="shared" si="2"/>
        <v>0</v>
      </c>
      <c r="V1141" s="23">
        <f t="shared" si="3"/>
        <v>0</v>
      </c>
      <c r="W1141" s="23">
        <f t="shared" si="4"/>
        <v>0</v>
      </c>
      <c r="X1141" s="24" t="str">
        <f t="shared" si="5"/>
        <v>#DIV/0!</v>
      </c>
    </row>
    <row r="1142">
      <c r="A1142" s="15" t="s">
        <v>4728</v>
      </c>
      <c r="B1142" s="18" t="str">
        <f t="shared" si="28"/>
        <v>75045891613</v>
      </c>
      <c r="C1142" s="16" t="str">
        <f>IMAGE("https://i.ibb.co/vnkZH13/1613.png")</f>
        <v/>
      </c>
      <c r="D1142" s="15" t="s">
        <v>4729</v>
      </c>
      <c r="E1142" s="17" t="s">
        <v>4730</v>
      </c>
      <c r="F1142" s="18"/>
      <c r="G1142" s="18"/>
      <c r="H1142" s="15" t="s">
        <v>4731</v>
      </c>
      <c r="I1142" s="15" t="s">
        <v>4732</v>
      </c>
      <c r="J1142" s="19" t="s">
        <v>36</v>
      </c>
      <c r="K1142" s="19" t="s">
        <v>1230</v>
      </c>
      <c r="L1142" s="19" t="s">
        <v>38</v>
      </c>
      <c r="M1142" s="20">
        <f t="shared" si="1"/>
        <v>0</v>
      </c>
      <c r="N1142" s="21"/>
      <c r="O1142" s="22"/>
      <c r="P1142" s="19" t="s">
        <v>3578</v>
      </c>
      <c r="Q1142" s="18"/>
      <c r="R1142" s="18"/>
      <c r="S1142" s="23">
        <v>0.0</v>
      </c>
      <c r="T1142" s="23">
        <v>0.0</v>
      </c>
      <c r="U1142" s="23">
        <f t="shared" si="2"/>
        <v>0</v>
      </c>
      <c r="V1142" s="23">
        <f t="shared" si="3"/>
        <v>0</v>
      </c>
      <c r="W1142" s="23">
        <f t="shared" si="4"/>
        <v>0</v>
      </c>
      <c r="X1142" s="24" t="str">
        <f t="shared" si="5"/>
        <v>#DIV/0!</v>
      </c>
    </row>
    <row r="1143">
      <c r="A1143" s="15" t="s">
        <v>4733</v>
      </c>
      <c r="B1143" s="18" t="str">
        <f t="shared" si="28"/>
        <v>75045891614</v>
      </c>
      <c r="C1143" s="16" t="str">
        <f>IMAGE("https://i.ibb.co/R4cYZV1C/1614.png")</f>
        <v/>
      </c>
      <c r="D1143" s="15" t="s">
        <v>4734</v>
      </c>
      <c r="E1143" s="17" t="s">
        <v>4735</v>
      </c>
      <c r="F1143" s="18"/>
      <c r="G1143" s="18"/>
      <c r="H1143" s="15" t="s">
        <v>4736</v>
      </c>
      <c r="I1143" s="15" t="s">
        <v>4737</v>
      </c>
      <c r="J1143" s="19" t="s">
        <v>36</v>
      </c>
      <c r="K1143" s="19" t="s">
        <v>1230</v>
      </c>
      <c r="L1143" s="19" t="s">
        <v>38</v>
      </c>
      <c r="M1143" s="20">
        <f t="shared" si="1"/>
        <v>0</v>
      </c>
      <c r="N1143" s="21"/>
      <c r="O1143" s="22"/>
      <c r="P1143" s="19" t="s">
        <v>3578</v>
      </c>
      <c r="Q1143" s="18"/>
      <c r="R1143" s="18"/>
      <c r="S1143" s="23">
        <v>0.0</v>
      </c>
      <c r="T1143" s="23">
        <v>0.0</v>
      </c>
      <c r="U1143" s="23">
        <f t="shared" si="2"/>
        <v>0</v>
      </c>
      <c r="V1143" s="23">
        <f t="shared" si="3"/>
        <v>0</v>
      </c>
      <c r="W1143" s="23">
        <f t="shared" si="4"/>
        <v>0</v>
      </c>
      <c r="X1143" s="24" t="str">
        <f t="shared" si="5"/>
        <v>#DIV/0!</v>
      </c>
    </row>
    <row r="1144">
      <c r="A1144" s="15" t="s">
        <v>4738</v>
      </c>
      <c r="B1144" s="18" t="str">
        <f t="shared" si="28"/>
        <v>75045891616</v>
      </c>
      <c r="C1144" s="16" t="str">
        <f>IMAGE("https://i.ibb.co/ymS5R8xv/1616.png")</f>
        <v/>
      </c>
      <c r="D1144" s="15" t="s">
        <v>4739</v>
      </c>
      <c r="E1144" s="17" t="s">
        <v>4740</v>
      </c>
      <c r="F1144" s="18"/>
      <c r="G1144" s="18"/>
      <c r="H1144" s="15" t="s">
        <v>4741</v>
      </c>
      <c r="I1144" s="15" t="s">
        <v>4742</v>
      </c>
      <c r="J1144" s="19" t="s">
        <v>36</v>
      </c>
      <c r="K1144" s="19" t="s">
        <v>1431</v>
      </c>
      <c r="L1144" s="19" t="s">
        <v>38</v>
      </c>
      <c r="M1144" s="20">
        <f t="shared" si="1"/>
        <v>0</v>
      </c>
      <c r="N1144" s="21"/>
      <c r="O1144" s="22"/>
      <c r="P1144" s="19" t="s">
        <v>3578</v>
      </c>
      <c r="Q1144" s="18"/>
      <c r="R1144" s="18"/>
      <c r="S1144" s="23">
        <v>0.0</v>
      </c>
      <c r="T1144" s="23">
        <v>0.0</v>
      </c>
      <c r="U1144" s="23">
        <f t="shared" si="2"/>
        <v>0</v>
      </c>
      <c r="V1144" s="23">
        <f t="shared" si="3"/>
        <v>0</v>
      </c>
      <c r="W1144" s="23">
        <f t="shared" si="4"/>
        <v>0</v>
      </c>
      <c r="X1144" s="24" t="str">
        <f t="shared" si="5"/>
        <v>#DIV/0!</v>
      </c>
    </row>
    <row r="1145">
      <c r="A1145" s="15" t="s">
        <v>4743</v>
      </c>
      <c r="B1145" s="18" t="str">
        <f t="shared" si="28"/>
        <v>75045891617</v>
      </c>
      <c r="C1145" s="16" t="str">
        <f>IMAGE("https://i.ibb.co/jPgKN1fK/1617.png")</f>
        <v/>
      </c>
      <c r="D1145" s="15" t="s">
        <v>4744</v>
      </c>
      <c r="E1145" s="17" t="s">
        <v>4745</v>
      </c>
      <c r="F1145" s="18"/>
      <c r="G1145" s="18"/>
      <c r="H1145" s="15" t="s">
        <v>4746</v>
      </c>
      <c r="I1145" s="15" t="s">
        <v>4747</v>
      </c>
      <c r="J1145" s="19" t="s">
        <v>36</v>
      </c>
      <c r="K1145" s="19" t="s">
        <v>1230</v>
      </c>
      <c r="L1145" s="19" t="s">
        <v>38</v>
      </c>
      <c r="M1145" s="20">
        <f t="shared" si="1"/>
        <v>0</v>
      </c>
      <c r="N1145" s="21"/>
      <c r="O1145" s="22"/>
      <c r="P1145" s="19" t="s">
        <v>3578</v>
      </c>
      <c r="Q1145" s="18"/>
      <c r="R1145" s="18"/>
      <c r="S1145" s="23">
        <v>0.0</v>
      </c>
      <c r="T1145" s="23">
        <v>0.0</v>
      </c>
      <c r="U1145" s="23">
        <f t="shared" si="2"/>
        <v>0</v>
      </c>
      <c r="V1145" s="23">
        <f t="shared" si="3"/>
        <v>0</v>
      </c>
      <c r="W1145" s="23">
        <f t="shared" si="4"/>
        <v>0</v>
      </c>
      <c r="X1145" s="24" t="str">
        <f t="shared" si="5"/>
        <v>#DIV/0!</v>
      </c>
    </row>
    <row r="1146">
      <c r="A1146" s="15" t="s">
        <v>4748</v>
      </c>
      <c r="B1146" s="18" t="str">
        <f t="shared" si="28"/>
        <v>75045891618</v>
      </c>
      <c r="C1146" s="16" t="str">
        <f>IMAGE("https://i.ibb.co/tpyRYGDC/1619.png")</f>
        <v/>
      </c>
      <c r="D1146" s="15" t="s">
        <v>4749</v>
      </c>
      <c r="E1146" s="17" t="s">
        <v>4750</v>
      </c>
      <c r="F1146" s="18"/>
      <c r="G1146" s="18"/>
      <c r="H1146" s="15" t="s">
        <v>4751</v>
      </c>
      <c r="I1146" s="15" t="s">
        <v>4752</v>
      </c>
      <c r="J1146" s="19" t="s">
        <v>36</v>
      </c>
      <c r="K1146" s="19" t="s">
        <v>37</v>
      </c>
      <c r="L1146" s="19" t="s">
        <v>38</v>
      </c>
      <c r="M1146" s="20">
        <f t="shared" si="1"/>
        <v>0</v>
      </c>
      <c r="N1146" s="21"/>
      <c r="O1146" s="22"/>
      <c r="P1146" s="19" t="s">
        <v>3578</v>
      </c>
      <c r="Q1146" s="18"/>
      <c r="R1146" s="18"/>
      <c r="S1146" s="23">
        <v>0.0</v>
      </c>
      <c r="T1146" s="23">
        <v>0.0</v>
      </c>
      <c r="U1146" s="23">
        <f t="shared" si="2"/>
        <v>0</v>
      </c>
      <c r="V1146" s="23">
        <f t="shared" si="3"/>
        <v>0</v>
      </c>
      <c r="W1146" s="23">
        <f t="shared" si="4"/>
        <v>0</v>
      </c>
      <c r="X1146" s="24" t="str">
        <f t="shared" si="5"/>
        <v>#DIV/0!</v>
      </c>
    </row>
    <row r="1147">
      <c r="A1147" s="15" t="s">
        <v>4753</v>
      </c>
      <c r="B1147" s="18" t="str">
        <f t="shared" si="28"/>
        <v>75045891649</v>
      </c>
      <c r="C1147" s="16" t="str">
        <f>IMAGE("https://i.ibb.co/RTQ5V8y5/1649.png")</f>
        <v/>
      </c>
      <c r="D1147" s="15" t="s">
        <v>4754</v>
      </c>
      <c r="E1147" s="17" t="s">
        <v>4755</v>
      </c>
      <c r="F1147" s="18"/>
      <c r="G1147" s="18"/>
      <c r="H1147" s="15" t="s">
        <v>4756</v>
      </c>
      <c r="I1147" s="15" t="s">
        <v>4757</v>
      </c>
      <c r="J1147" s="19" t="s">
        <v>36</v>
      </c>
      <c r="K1147" s="19" t="s">
        <v>105</v>
      </c>
      <c r="L1147" s="19" t="s">
        <v>38</v>
      </c>
      <c r="M1147" s="20">
        <f t="shared" si="1"/>
        <v>0</v>
      </c>
      <c r="N1147" s="21"/>
      <c r="O1147" s="22"/>
      <c r="P1147" s="19" t="s">
        <v>3578</v>
      </c>
      <c r="Q1147" s="18"/>
      <c r="R1147" s="18"/>
      <c r="S1147" s="23">
        <v>0.0</v>
      </c>
      <c r="T1147" s="23">
        <v>0.0</v>
      </c>
      <c r="U1147" s="23">
        <f t="shared" si="2"/>
        <v>0</v>
      </c>
      <c r="V1147" s="23">
        <f t="shared" si="3"/>
        <v>0</v>
      </c>
      <c r="W1147" s="23">
        <f t="shared" si="4"/>
        <v>0</v>
      </c>
      <c r="X1147" s="24" t="str">
        <f t="shared" si="5"/>
        <v>#DIV/0!</v>
      </c>
    </row>
    <row r="1148">
      <c r="A1148" s="15" t="s">
        <v>4758</v>
      </c>
      <c r="B1148" s="18" t="str">
        <f t="shared" si="28"/>
        <v>75045891650</v>
      </c>
      <c r="C1148" s="16" t="str">
        <f>IMAGE("https://i.ibb.co/MkB6fQc6/1650.png")</f>
        <v/>
      </c>
      <c r="D1148" s="15" t="s">
        <v>4759</v>
      </c>
      <c r="E1148" s="17" t="s">
        <v>4760</v>
      </c>
      <c r="F1148" s="18"/>
      <c r="G1148" s="18"/>
      <c r="H1148" s="15" t="s">
        <v>4761</v>
      </c>
      <c r="I1148" s="15" t="s">
        <v>4762</v>
      </c>
      <c r="J1148" s="19" t="s">
        <v>36</v>
      </c>
      <c r="K1148" s="19" t="s">
        <v>105</v>
      </c>
      <c r="L1148" s="19" t="s">
        <v>38</v>
      </c>
      <c r="M1148" s="20">
        <f t="shared" si="1"/>
        <v>0</v>
      </c>
      <c r="N1148" s="21"/>
      <c r="O1148" s="22"/>
      <c r="P1148" s="19" t="s">
        <v>3578</v>
      </c>
      <c r="Q1148" s="18"/>
      <c r="R1148" s="18"/>
      <c r="S1148" s="23">
        <v>0.0</v>
      </c>
      <c r="T1148" s="23">
        <v>0.0</v>
      </c>
      <c r="U1148" s="23">
        <f t="shared" si="2"/>
        <v>0</v>
      </c>
      <c r="V1148" s="23">
        <f t="shared" si="3"/>
        <v>0</v>
      </c>
      <c r="W1148" s="23">
        <f t="shared" si="4"/>
        <v>0</v>
      </c>
      <c r="X1148" s="24" t="str">
        <f t="shared" si="5"/>
        <v>#DIV/0!</v>
      </c>
    </row>
    <row r="1149">
      <c r="A1149" s="15" t="s">
        <v>4763</v>
      </c>
      <c r="B1149" s="18" t="str">
        <f t="shared" si="28"/>
        <v>75045891651</v>
      </c>
      <c r="C1149" s="16" t="str">
        <f>IMAGE("https://i.ibb.co/Y4Wqb3Wb/1651.png")</f>
        <v/>
      </c>
      <c r="D1149" s="15" t="s">
        <v>4764</v>
      </c>
      <c r="E1149" s="17" t="s">
        <v>4765</v>
      </c>
      <c r="F1149" s="18"/>
      <c r="G1149" s="18"/>
      <c r="H1149" s="15" t="s">
        <v>4766</v>
      </c>
      <c r="I1149" s="15" t="s">
        <v>4767</v>
      </c>
      <c r="J1149" s="19" t="s">
        <v>36</v>
      </c>
      <c r="K1149" s="19" t="s">
        <v>105</v>
      </c>
      <c r="L1149" s="19" t="s">
        <v>38</v>
      </c>
      <c r="M1149" s="20">
        <f t="shared" si="1"/>
        <v>0</v>
      </c>
      <c r="N1149" s="21"/>
      <c r="O1149" s="22"/>
      <c r="P1149" s="19" t="s">
        <v>3578</v>
      </c>
      <c r="Q1149" s="18"/>
      <c r="R1149" s="18"/>
      <c r="S1149" s="23">
        <v>0.0</v>
      </c>
      <c r="T1149" s="23">
        <v>0.0</v>
      </c>
      <c r="U1149" s="23">
        <f t="shared" si="2"/>
        <v>0</v>
      </c>
      <c r="V1149" s="23">
        <f t="shared" si="3"/>
        <v>0</v>
      </c>
      <c r="W1149" s="23">
        <f t="shared" si="4"/>
        <v>0</v>
      </c>
      <c r="X1149" s="24" t="str">
        <f t="shared" si="5"/>
        <v>#DIV/0!</v>
      </c>
    </row>
    <row r="1150">
      <c r="A1150" s="15" t="s">
        <v>4768</v>
      </c>
      <c r="B1150" s="18" t="str">
        <f t="shared" si="28"/>
        <v>75045891652</v>
      </c>
      <c r="C1150" s="16" t="str">
        <f>IMAGE("https://i.ibb.co/PvHw2JL0/1652.png")</f>
        <v/>
      </c>
      <c r="D1150" s="15" t="s">
        <v>4769</v>
      </c>
      <c r="E1150" s="17" t="s">
        <v>4770</v>
      </c>
      <c r="F1150" s="18"/>
      <c r="G1150" s="18"/>
      <c r="H1150" s="15" t="s">
        <v>4771</v>
      </c>
      <c r="I1150" s="15" t="s">
        <v>4772</v>
      </c>
      <c r="J1150" s="19" t="s">
        <v>36</v>
      </c>
      <c r="K1150" s="19" t="s">
        <v>105</v>
      </c>
      <c r="L1150" s="19" t="s">
        <v>38</v>
      </c>
      <c r="M1150" s="20">
        <f t="shared" si="1"/>
        <v>0</v>
      </c>
      <c r="N1150" s="21"/>
      <c r="O1150" s="22"/>
      <c r="P1150" s="19" t="s">
        <v>3578</v>
      </c>
      <c r="Q1150" s="18"/>
      <c r="R1150" s="18"/>
      <c r="S1150" s="23">
        <v>0.0</v>
      </c>
      <c r="T1150" s="23">
        <v>0.0</v>
      </c>
      <c r="U1150" s="23">
        <f t="shared" si="2"/>
        <v>0</v>
      </c>
      <c r="V1150" s="23">
        <f t="shared" si="3"/>
        <v>0</v>
      </c>
      <c r="W1150" s="23">
        <f t="shared" si="4"/>
        <v>0</v>
      </c>
      <c r="X1150" s="24" t="str">
        <f t="shared" si="5"/>
        <v>#DIV/0!</v>
      </c>
    </row>
    <row r="1151">
      <c r="A1151" s="15" t="s">
        <v>4773</v>
      </c>
      <c r="B1151" s="18" t="str">
        <f t="shared" si="28"/>
        <v>75045891653</v>
      </c>
      <c r="C1151" s="16" t="str">
        <f>IMAGE("https://i.ibb.co/6J1XXGS9/1653.png")</f>
        <v/>
      </c>
      <c r="D1151" s="15" t="s">
        <v>4774</v>
      </c>
      <c r="E1151" s="17" t="s">
        <v>4775</v>
      </c>
      <c r="F1151" s="18"/>
      <c r="G1151" s="18"/>
      <c r="H1151" s="15" t="s">
        <v>4776</v>
      </c>
      <c r="I1151" s="15" t="s">
        <v>4777</v>
      </c>
      <c r="J1151" s="19" t="s">
        <v>36</v>
      </c>
      <c r="K1151" s="19" t="s">
        <v>105</v>
      </c>
      <c r="L1151" s="19" t="s">
        <v>38</v>
      </c>
      <c r="M1151" s="20">
        <f t="shared" si="1"/>
        <v>0</v>
      </c>
      <c r="N1151" s="21"/>
      <c r="O1151" s="22"/>
      <c r="P1151" s="19" t="s">
        <v>3578</v>
      </c>
      <c r="Q1151" s="18"/>
      <c r="R1151" s="18"/>
      <c r="S1151" s="23">
        <v>0.0</v>
      </c>
      <c r="T1151" s="23">
        <v>0.0</v>
      </c>
      <c r="U1151" s="23">
        <f t="shared" si="2"/>
        <v>0</v>
      </c>
      <c r="V1151" s="23">
        <f t="shared" si="3"/>
        <v>0</v>
      </c>
      <c r="W1151" s="23">
        <f t="shared" si="4"/>
        <v>0</v>
      </c>
      <c r="X1151" s="24" t="str">
        <f t="shared" si="5"/>
        <v>#DIV/0!</v>
      </c>
    </row>
    <row r="1152">
      <c r="A1152" s="15" t="s">
        <v>4778</v>
      </c>
      <c r="B1152" s="18" t="str">
        <f t="shared" si="28"/>
        <v>75045891655</v>
      </c>
      <c r="C1152" s="16" t="str">
        <f>IMAGE("https://i.ibb.co/bjfj9bxJ/1655.png")</f>
        <v/>
      </c>
      <c r="D1152" s="15" t="s">
        <v>4779</v>
      </c>
      <c r="E1152" s="17" t="s">
        <v>4780</v>
      </c>
      <c r="F1152" s="18"/>
      <c r="G1152" s="18"/>
      <c r="H1152" s="15" t="s">
        <v>1008</v>
      </c>
      <c r="I1152" s="15" t="s">
        <v>4781</v>
      </c>
      <c r="J1152" s="19" t="s">
        <v>36</v>
      </c>
      <c r="K1152" s="19" t="s">
        <v>105</v>
      </c>
      <c r="L1152" s="19" t="s">
        <v>38</v>
      </c>
      <c r="M1152" s="20">
        <f t="shared" si="1"/>
        <v>0</v>
      </c>
      <c r="N1152" s="21"/>
      <c r="O1152" s="22"/>
      <c r="P1152" s="19" t="s">
        <v>3578</v>
      </c>
      <c r="Q1152" s="18"/>
      <c r="R1152" s="18"/>
      <c r="S1152" s="23">
        <v>0.0</v>
      </c>
      <c r="T1152" s="23">
        <v>0.0</v>
      </c>
      <c r="U1152" s="23">
        <f t="shared" si="2"/>
        <v>0</v>
      </c>
      <c r="V1152" s="23">
        <f t="shared" si="3"/>
        <v>0</v>
      </c>
      <c r="W1152" s="23">
        <f t="shared" si="4"/>
        <v>0</v>
      </c>
      <c r="X1152" s="24" t="str">
        <f t="shared" si="5"/>
        <v>#DIV/0!</v>
      </c>
    </row>
    <row r="1153">
      <c r="A1153" s="15" t="s">
        <v>4782</v>
      </c>
      <c r="B1153" s="18" t="str">
        <f t="shared" si="28"/>
        <v>75045891656</v>
      </c>
      <c r="C1153" s="16" t="str">
        <f>IMAGE("https://i.ibb.co/jvKqQmnY/1656.png")</f>
        <v/>
      </c>
      <c r="D1153" s="15" t="s">
        <v>4783</v>
      </c>
      <c r="E1153" s="17" t="s">
        <v>4784</v>
      </c>
      <c r="F1153" s="18"/>
      <c r="G1153" s="18"/>
      <c r="H1153" s="15" t="s">
        <v>4785</v>
      </c>
      <c r="I1153" s="15" t="s">
        <v>4786</v>
      </c>
      <c r="J1153" s="19" t="s">
        <v>36</v>
      </c>
      <c r="K1153" s="19" t="s">
        <v>105</v>
      </c>
      <c r="L1153" s="19" t="s">
        <v>38</v>
      </c>
      <c r="M1153" s="20">
        <f t="shared" si="1"/>
        <v>0</v>
      </c>
      <c r="N1153" s="21"/>
      <c r="O1153" s="22"/>
      <c r="P1153" s="19" t="s">
        <v>3578</v>
      </c>
      <c r="Q1153" s="18"/>
      <c r="R1153" s="18"/>
      <c r="S1153" s="23">
        <v>0.0</v>
      </c>
      <c r="T1153" s="23">
        <v>0.0</v>
      </c>
      <c r="U1153" s="23">
        <f t="shared" si="2"/>
        <v>0</v>
      </c>
      <c r="V1153" s="23">
        <f t="shared" si="3"/>
        <v>0</v>
      </c>
      <c r="W1153" s="23">
        <f t="shared" si="4"/>
        <v>0</v>
      </c>
      <c r="X1153" s="24" t="str">
        <f t="shared" si="5"/>
        <v>#DIV/0!</v>
      </c>
    </row>
    <row r="1154">
      <c r="A1154" s="15" t="s">
        <v>4787</v>
      </c>
      <c r="B1154" s="18" t="str">
        <f t="shared" si="28"/>
        <v>75045891682</v>
      </c>
      <c r="C1154" s="16" t="str">
        <f>IMAGE("https://i.ibb.co/TMG5hkns/1682.png")</f>
        <v/>
      </c>
      <c r="D1154" s="15" t="s">
        <v>4459</v>
      </c>
      <c r="E1154" s="17" t="s">
        <v>4460</v>
      </c>
      <c r="F1154" s="18"/>
      <c r="G1154" s="18"/>
      <c r="H1154" s="15" t="s">
        <v>4788</v>
      </c>
      <c r="I1154" s="15"/>
      <c r="J1154" s="19" t="s">
        <v>36</v>
      </c>
      <c r="K1154" s="19" t="s">
        <v>52</v>
      </c>
      <c r="L1154" s="19" t="s">
        <v>52</v>
      </c>
      <c r="M1154" s="20">
        <f t="shared" si="1"/>
        <v>0</v>
      </c>
      <c r="N1154" s="21"/>
      <c r="O1154" s="22"/>
      <c r="P1154" s="19" t="s">
        <v>3578</v>
      </c>
      <c r="Q1154" s="18"/>
      <c r="R1154" s="18"/>
      <c r="S1154" s="23">
        <v>0.0</v>
      </c>
      <c r="T1154" s="23">
        <v>0.0</v>
      </c>
      <c r="U1154" s="23">
        <f t="shared" si="2"/>
        <v>0</v>
      </c>
      <c r="V1154" s="23">
        <f t="shared" si="3"/>
        <v>0</v>
      </c>
      <c r="W1154" s="23">
        <f t="shared" si="4"/>
        <v>0</v>
      </c>
      <c r="X1154" s="24" t="str">
        <f t="shared" si="5"/>
        <v>#DIV/0!</v>
      </c>
    </row>
    <row r="1155">
      <c r="A1155" s="15" t="s">
        <v>4789</v>
      </c>
      <c r="B1155" s="18" t="str">
        <f t="shared" si="28"/>
        <v>75045891683</v>
      </c>
      <c r="C1155" s="16" t="str">
        <f>IMAGE("https://i.ibb.co/whNPsGmZ/1683.png")</f>
        <v/>
      </c>
      <c r="D1155" s="15" t="s">
        <v>4790</v>
      </c>
      <c r="E1155" s="17" t="s">
        <v>4791</v>
      </c>
      <c r="F1155" s="18"/>
      <c r="G1155" s="18"/>
      <c r="H1155" s="15" t="s">
        <v>4792</v>
      </c>
      <c r="I1155" s="15"/>
      <c r="J1155" s="19" t="s">
        <v>36</v>
      </c>
      <c r="K1155" s="19" t="s">
        <v>52</v>
      </c>
      <c r="L1155" s="19" t="s">
        <v>52</v>
      </c>
      <c r="M1155" s="20">
        <f t="shared" si="1"/>
        <v>0</v>
      </c>
      <c r="N1155" s="21"/>
      <c r="O1155" s="22"/>
      <c r="P1155" s="19" t="s">
        <v>3578</v>
      </c>
      <c r="Q1155" s="18"/>
      <c r="R1155" s="18"/>
      <c r="S1155" s="23">
        <v>0.0</v>
      </c>
      <c r="T1155" s="23">
        <v>0.0</v>
      </c>
      <c r="U1155" s="23">
        <f t="shared" si="2"/>
        <v>0</v>
      </c>
      <c r="V1155" s="23">
        <f t="shared" si="3"/>
        <v>0</v>
      </c>
      <c r="W1155" s="23">
        <f t="shared" si="4"/>
        <v>0</v>
      </c>
      <c r="X1155" s="24" t="str">
        <f t="shared" si="5"/>
        <v>#DIV/0!</v>
      </c>
    </row>
    <row r="1156">
      <c r="A1156" s="15" t="s">
        <v>4793</v>
      </c>
      <c r="B1156" s="18" t="str">
        <f t="shared" si="28"/>
        <v>75045891684</v>
      </c>
      <c r="C1156" s="16" t="str">
        <f>IMAGE("https://i.ibb.co/m33TzzV/1684.png")</f>
        <v/>
      </c>
      <c r="D1156" s="15" t="s">
        <v>4794</v>
      </c>
      <c r="E1156" s="17" t="s">
        <v>4795</v>
      </c>
      <c r="F1156" s="18"/>
      <c r="G1156" s="18"/>
      <c r="H1156" s="15" t="s">
        <v>4796</v>
      </c>
      <c r="I1156" s="15" t="s">
        <v>4797</v>
      </c>
      <c r="J1156" s="19" t="s">
        <v>36</v>
      </c>
      <c r="K1156" s="19" t="s">
        <v>52</v>
      </c>
      <c r="L1156" s="19" t="s">
        <v>52</v>
      </c>
      <c r="M1156" s="20">
        <f t="shared" si="1"/>
        <v>0</v>
      </c>
      <c r="N1156" s="21"/>
      <c r="O1156" s="22"/>
      <c r="P1156" s="19" t="s">
        <v>3578</v>
      </c>
      <c r="Q1156" s="18"/>
      <c r="R1156" s="18"/>
      <c r="S1156" s="23">
        <v>0.0</v>
      </c>
      <c r="T1156" s="23">
        <v>0.0</v>
      </c>
      <c r="U1156" s="23">
        <f t="shared" si="2"/>
        <v>0</v>
      </c>
      <c r="V1156" s="23">
        <f t="shared" si="3"/>
        <v>0</v>
      </c>
      <c r="W1156" s="23">
        <f t="shared" si="4"/>
        <v>0</v>
      </c>
      <c r="X1156" s="24" t="str">
        <f t="shared" si="5"/>
        <v>#DIV/0!</v>
      </c>
    </row>
    <row r="1157">
      <c r="A1157" s="15" t="s">
        <v>4798</v>
      </c>
      <c r="B1157" s="18" t="str">
        <f t="shared" si="28"/>
        <v>75045891685</v>
      </c>
      <c r="C1157" s="16" t="str">
        <f>IMAGE("https://i.ibb.co/Q3zn0SHg/1685.png")</f>
        <v/>
      </c>
      <c r="D1157" s="15" t="s">
        <v>4315</v>
      </c>
      <c r="E1157" s="17" t="s">
        <v>4799</v>
      </c>
      <c r="F1157" s="18"/>
      <c r="G1157" s="18"/>
      <c r="H1157" s="15" t="s">
        <v>4800</v>
      </c>
      <c r="I1157" s="15" t="s">
        <v>4801</v>
      </c>
      <c r="J1157" s="19" t="s">
        <v>36</v>
      </c>
      <c r="K1157" s="19" t="s">
        <v>1230</v>
      </c>
      <c r="L1157" s="19" t="s">
        <v>38</v>
      </c>
      <c r="M1157" s="20">
        <f t="shared" si="1"/>
        <v>0</v>
      </c>
      <c r="N1157" s="21"/>
      <c r="O1157" s="22"/>
      <c r="P1157" s="19" t="s">
        <v>3578</v>
      </c>
      <c r="Q1157" s="18"/>
      <c r="R1157" s="18"/>
      <c r="S1157" s="23">
        <v>0.0</v>
      </c>
      <c r="T1157" s="23">
        <v>0.0</v>
      </c>
      <c r="U1157" s="23">
        <f t="shared" si="2"/>
        <v>0</v>
      </c>
      <c r="V1157" s="23">
        <f t="shared" si="3"/>
        <v>0</v>
      </c>
      <c r="W1157" s="23">
        <f t="shared" si="4"/>
        <v>0</v>
      </c>
      <c r="X1157" s="24" t="str">
        <f t="shared" si="5"/>
        <v>#DIV/0!</v>
      </c>
    </row>
    <row r="1158">
      <c r="A1158" s="15" t="s">
        <v>4802</v>
      </c>
      <c r="B1158" s="18" t="str">
        <f t="shared" si="28"/>
        <v>75045891688</v>
      </c>
      <c r="C1158" s="16" t="str">
        <f>IMAGE("https://i.ibb.co/xSqYk9g4/1688.png")</f>
        <v/>
      </c>
      <c r="D1158" s="15" t="s">
        <v>4803</v>
      </c>
      <c r="E1158" s="17" t="s">
        <v>4804</v>
      </c>
      <c r="F1158" s="18"/>
      <c r="G1158" s="18"/>
      <c r="H1158" s="15" t="s">
        <v>4805</v>
      </c>
      <c r="I1158" s="15" t="s">
        <v>2505</v>
      </c>
      <c r="J1158" s="19" t="s">
        <v>36</v>
      </c>
      <c r="K1158" s="19" t="s">
        <v>1230</v>
      </c>
      <c r="L1158" s="19" t="s">
        <v>38</v>
      </c>
      <c r="M1158" s="20">
        <f t="shared" si="1"/>
        <v>0</v>
      </c>
      <c r="N1158" s="21"/>
      <c r="O1158" s="22"/>
      <c r="P1158" s="19" t="s">
        <v>3578</v>
      </c>
      <c r="Q1158" s="18"/>
      <c r="R1158" s="18"/>
      <c r="S1158" s="23">
        <v>0.0</v>
      </c>
      <c r="T1158" s="23">
        <v>0.0</v>
      </c>
      <c r="U1158" s="23">
        <f t="shared" si="2"/>
        <v>0</v>
      </c>
      <c r="V1158" s="23">
        <f t="shared" si="3"/>
        <v>0</v>
      </c>
      <c r="W1158" s="23">
        <f t="shared" si="4"/>
        <v>0</v>
      </c>
      <c r="X1158" s="24" t="str">
        <f t="shared" si="5"/>
        <v>#DIV/0!</v>
      </c>
    </row>
    <row r="1159">
      <c r="A1159" s="15" t="s">
        <v>4806</v>
      </c>
      <c r="B1159" s="18" t="str">
        <f t="shared" si="28"/>
        <v>75045891693</v>
      </c>
      <c r="C1159" s="16" t="str">
        <f>IMAGE("https://i.ibb.co/FbsWNxn7/1693.png")</f>
        <v/>
      </c>
      <c r="D1159" s="15" t="s">
        <v>4807</v>
      </c>
      <c r="E1159" s="17" t="s">
        <v>4808</v>
      </c>
      <c r="F1159" s="18"/>
      <c r="G1159" s="18"/>
      <c r="H1159" s="15" t="s">
        <v>4809</v>
      </c>
      <c r="I1159" s="15" t="s">
        <v>4810</v>
      </c>
      <c r="J1159" s="19" t="s">
        <v>36</v>
      </c>
      <c r="K1159" s="19" t="s">
        <v>37</v>
      </c>
      <c r="L1159" s="19" t="s">
        <v>38</v>
      </c>
      <c r="M1159" s="20">
        <f t="shared" si="1"/>
        <v>0</v>
      </c>
      <c r="N1159" s="21"/>
      <c r="O1159" s="22"/>
      <c r="P1159" s="19" t="s">
        <v>3578</v>
      </c>
      <c r="Q1159" s="18"/>
      <c r="R1159" s="18"/>
      <c r="S1159" s="23">
        <v>0.0</v>
      </c>
      <c r="T1159" s="23">
        <v>0.0</v>
      </c>
      <c r="U1159" s="23">
        <f t="shared" si="2"/>
        <v>0</v>
      </c>
      <c r="V1159" s="23">
        <f t="shared" si="3"/>
        <v>0</v>
      </c>
      <c r="W1159" s="23">
        <f t="shared" si="4"/>
        <v>0</v>
      </c>
      <c r="X1159" s="24" t="str">
        <f t="shared" si="5"/>
        <v>#DIV/0!</v>
      </c>
    </row>
    <row r="1160">
      <c r="A1160" s="15" t="s">
        <v>4811</v>
      </c>
      <c r="B1160" s="15" t="s">
        <v>4812</v>
      </c>
      <c r="C1160" s="16" t="str">
        <f>IMAGE("https://i.ibb.co/Tx6m0Vhj/1707.png")</f>
        <v/>
      </c>
      <c r="D1160" s="15" t="s">
        <v>4813</v>
      </c>
      <c r="E1160" s="17" t="s">
        <v>4814</v>
      </c>
      <c r="F1160" s="18"/>
      <c r="G1160" s="18"/>
      <c r="H1160" s="15" t="s">
        <v>4815</v>
      </c>
      <c r="I1160" s="15"/>
      <c r="J1160" s="19" t="s">
        <v>36</v>
      </c>
      <c r="K1160" s="19" t="s">
        <v>603</v>
      </c>
      <c r="L1160" s="19" t="s">
        <v>38</v>
      </c>
      <c r="M1160" s="20">
        <f t="shared" si="1"/>
        <v>0</v>
      </c>
      <c r="N1160" s="21"/>
      <c r="O1160" s="22"/>
      <c r="P1160" s="19" t="s">
        <v>3578</v>
      </c>
      <c r="Q1160" s="18"/>
      <c r="R1160" s="18"/>
      <c r="S1160" s="23">
        <v>0.0</v>
      </c>
      <c r="T1160" s="23">
        <v>0.0</v>
      </c>
      <c r="U1160" s="23">
        <f t="shared" si="2"/>
        <v>0</v>
      </c>
      <c r="V1160" s="23">
        <f t="shared" si="3"/>
        <v>0</v>
      </c>
      <c r="W1160" s="23">
        <f t="shared" si="4"/>
        <v>0</v>
      </c>
      <c r="X1160" s="24" t="str">
        <f t="shared" si="5"/>
        <v>#DIV/0!</v>
      </c>
    </row>
    <row r="1161">
      <c r="A1161" s="15" t="s">
        <v>4816</v>
      </c>
      <c r="B1161" s="18"/>
      <c r="C1161" s="16" t="str">
        <f>IMAGE("https://i.ibb.co/4nXvJQSJ/1734.png")</f>
        <v/>
      </c>
      <c r="D1161" s="15" t="s">
        <v>4817</v>
      </c>
      <c r="E1161" s="17" t="s">
        <v>4818</v>
      </c>
      <c r="F1161" s="18"/>
      <c r="G1161" s="18"/>
      <c r="H1161" s="15" t="s">
        <v>4819</v>
      </c>
      <c r="I1161" s="15" t="s">
        <v>4820</v>
      </c>
      <c r="J1161" s="19" t="s">
        <v>36</v>
      </c>
      <c r="K1161" s="19" t="s">
        <v>1230</v>
      </c>
      <c r="L1161" s="19" t="s">
        <v>38</v>
      </c>
      <c r="M1161" s="20">
        <f t="shared" si="1"/>
        <v>0</v>
      </c>
      <c r="N1161" s="21"/>
      <c r="O1161" s="22"/>
      <c r="P1161" s="19" t="s">
        <v>3578</v>
      </c>
      <c r="Q1161" s="18"/>
      <c r="R1161" s="18"/>
      <c r="S1161" s="23">
        <v>0.0</v>
      </c>
      <c r="T1161" s="23">
        <v>0.0</v>
      </c>
      <c r="U1161" s="23">
        <f t="shared" si="2"/>
        <v>0</v>
      </c>
      <c r="V1161" s="23">
        <f t="shared" si="3"/>
        <v>0</v>
      </c>
      <c r="W1161" s="23">
        <f t="shared" si="4"/>
        <v>0</v>
      </c>
      <c r="X1161" s="24" t="str">
        <f t="shared" si="5"/>
        <v>#DIV/0!</v>
      </c>
    </row>
    <row r="1162">
      <c r="A1162" s="15" t="s">
        <v>4821</v>
      </c>
      <c r="B1162" s="15" t="s">
        <v>4822</v>
      </c>
      <c r="C1162" s="16" t="str">
        <f>IMAGE("https://i.ibb.co/6RZ08RS4/1749.png")</f>
        <v/>
      </c>
      <c r="D1162" s="15" t="s">
        <v>4823</v>
      </c>
      <c r="E1162" s="17" t="s">
        <v>4824</v>
      </c>
      <c r="F1162" s="18"/>
      <c r="G1162" s="18"/>
      <c r="H1162" s="15" t="s">
        <v>4825</v>
      </c>
      <c r="I1162" s="15"/>
      <c r="J1162" s="19" t="s">
        <v>36</v>
      </c>
      <c r="K1162" s="19" t="s">
        <v>52</v>
      </c>
      <c r="L1162" s="19" t="s">
        <v>52</v>
      </c>
      <c r="M1162" s="20">
        <f t="shared" si="1"/>
        <v>0</v>
      </c>
      <c r="N1162" s="21"/>
      <c r="O1162" s="22"/>
      <c r="P1162" s="19" t="s">
        <v>3578</v>
      </c>
      <c r="Q1162" s="18"/>
      <c r="R1162" s="18"/>
      <c r="S1162" s="23">
        <v>0.0</v>
      </c>
      <c r="T1162" s="23">
        <v>0.0</v>
      </c>
      <c r="U1162" s="23">
        <f t="shared" si="2"/>
        <v>0</v>
      </c>
      <c r="V1162" s="23">
        <f t="shared" si="3"/>
        <v>0</v>
      </c>
      <c r="W1162" s="23">
        <f t="shared" si="4"/>
        <v>0</v>
      </c>
      <c r="X1162" s="24" t="str">
        <f t="shared" si="5"/>
        <v>#DIV/0!</v>
      </c>
    </row>
    <row r="1163">
      <c r="A1163" s="15" t="s">
        <v>4826</v>
      </c>
      <c r="B1163" s="18" t="str">
        <f>CONCATENATE(7504589,A1163)</f>
        <v>75045891752</v>
      </c>
      <c r="C1163" s="16" t="str">
        <f>IMAGE("https://i.ibb.co/5xGYW5wv/1752.png")</f>
        <v/>
      </c>
      <c r="D1163" s="15" t="s">
        <v>4827</v>
      </c>
      <c r="E1163" s="17" t="s">
        <v>4828</v>
      </c>
      <c r="F1163" s="18"/>
      <c r="G1163" s="18"/>
      <c r="H1163" s="15" t="s">
        <v>4829</v>
      </c>
      <c r="I1163" s="15"/>
      <c r="J1163" s="19" t="s">
        <v>36</v>
      </c>
      <c r="K1163" s="19" t="s">
        <v>1230</v>
      </c>
      <c r="L1163" s="19" t="s">
        <v>38</v>
      </c>
      <c r="M1163" s="20">
        <f t="shared" si="1"/>
        <v>0</v>
      </c>
      <c r="N1163" s="37" t="s">
        <v>68</v>
      </c>
      <c r="O1163" s="22"/>
      <c r="P1163" s="19" t="s">
        <v>3578</v>
      </c>
      <c r="Q1163" s="18"/>
      <c r="R1163" s="18"/>
      <c r="S1163" s="23">
        <v>0.0</v>
      </c>
      <c r="T1163" s="23">
        <v>0.0</v>
      </c>
      <c r="U1163" s="23">
        <f t="shared" si="2"/>
        <v>0</v>
      </c>
      <c r="V1163" s="23">
        <f t="shared" si="3"/>
        <v>0</v>
      </c>
      <c r="W1163" s="23">
        <f t="shared" si="4"/>
        <v>0</v>
      </c>
      <c r="X1163" s="24" t="str">
        <f t="shared" si="5"/>
        <v>#DIV/0!</v>
      </c>
    </row>
    <row r="1164">
      <c r="A1164" s="15" t="s">
        <v>4830</v>
      </c>
      <c r="B1164" s="15" t="s">
        <v>4831</v>
      </c>
      <c r="C1164" s="16" t="str">
        <f>IMAGE("https://i.ibb.co/rG8hZQDj/1765.png")</f>
        <v/>
      </c>
      <c r="D1164" s="15" t="s">
        <v>4832</v>
      </c>
      <c r="E1164" s="17" t="s">
        <v>4833</v>
      </c>
      <c r="F1164" s="18"/>
      <c r="G1164" s="18"/>
      <c r="H1164" s="15" t="s">
        <v>4834</v>
      </c>
      <c r="I1164" s="18"/>
      <c r="J1164" s="19" t="s">
        <v>283</v>
      </c>
      <c r="K1164" s="19" t="s">
        <v>52</v>
      </c>
      <c r="L1164" s="19" t="s">
        <v>52</v>
      </c>
      <c r="M1164" s="20">
        <f t="shared" si="1"/>
        <v>0</v>
      </c>
      <c r="N1164" s="37" t="s">
        <v>79</v>
      </c>
      <c r="O1164" s="22"/>
      <c r="P1164" s="19" t="s">
        <v>3578</v>
      </c>
      <c r="Q1164" s="18"/>
      <c r="R1164" s="18"/>
      <c r="S1164" s="23">
        <v>0.0</v>
      </c>
      <c r="T1164" s="23">
        <v>0.0</v>
      </c>
      <c r="U1164" s="23">
        <f t="shared" si="2"/>
        <v>0</v>
      </c>
      <c r="V1164" s="23">
        <f t="shared" si="3"/>
        <v>0</v>
      </c>
      <c r="W1164" s="23">
        <f t="shared" si="4"/>
        <v>0</v>
      </c>
      <c r="X1164" s="24" t="str">
        <f t="shared" si="5"/>
        <v>#DIV/0!</v>
      </c>
    </row>
    <row r="1165">
      <c r="A1165" s="15" t="s">
        <v>4835</v>
      </c>
      <c r="B1165" s="15" t="s">
        <v>4836</v>
      </c>
      <c r="C1165" s="16" t="str">
        <f>IMAGE("https://i.ibb.co/pj9yhwx8/1767.png")</f>
        <v/>
      </c>
      <c r="D1165" s="15" t="s">
        <v>4837</v>
      </c>
      <c r="E1165" s="17" t="s">
        <v>4838</v>
      </c>
      <c r="F1165" s="18"/>
      <c r="G1165" s="18"/>
      <c r="H1165" s="15" t="s">
        <v>4839</v>
      </c>
      <c r="I1165" s="15" t="s">
        <v>4840</v>
      </c>
      <c r="J1165" s="19" t="s">
        <v>283</v>
      </c>
      <c r="K1165" s="33"/>
      <c r="L1165" s="19" t="s">
        <v>38</v>
      </c>
      <c r="M1165" s="20">
        <f t="shared" si="1"/>
        <v>0</v>
      </c>
      <c r="N1165" s="21"/>
      <c r="O1165" s="22"/>
      <c r="P1165" s="19" t="s">
        <v>3578</v>
      </c>
      <c r="Q1165" s="18"/>
      <c r="R1165" s="18"/>
      <c r="S1165" s="23">
        <v>0.0</v>
      </c>
      <c r="T1165" s="23">
        <v>0.0</v>
      </c>
      <c r="U1165" s="23">
        <f t="shared" si="2"/>
        <v>0</v>
      </c>
      <c r="V1165" s="23">
        <f t="shared" si="3"/>
        <v>0</v>
      </c>
      <c r="W1165" s="23">
        <f t="shared" si="4"/>
        <v>0</v>
      </c>
      <c r="X1165" s="24" t="str">
        <f t="shared" si="5"/>
        <v>#DIV/0!</v>
      </c>
    </row>
    <row r="1166">
      <c r="A1166" s="15" t="s">
        <v>4841</v>
      </c>
      <c r="B1166" s="15" t="s">
        <v>4842</v>
      </c>
      <c r="C1166" s="16" t="str">
        <f>IMAGE("https://i.ibb.co/fVqbTQSg/1769.png")</f>
        <v/>
      </c>
      <c r="D1166" s="18"/>
      <c r="E1166" s="17" t="s">
        <v>4843</v>
      </c>
      <c r="F1166" s="18"/>
      <c r="G1166" s="18"/>
      <c r="H1166" s="15" t="s">
        <v>4844</v>
      </c>
      <c r="I1166" s="15" t="s">
        <v>4845</v>
      </c>
      <c r="J1166" s="19" t="s">
        <v>283</v>
      </c>
      <c r="K1166" s="19" t="s">
        <v>52</v>
      </c>
      <c r="L1166" s="19" t="s">
        <v>52</v>
      </c>
      <c r="M1166" s="20">
        <f t="shared" si="1"/>
        <v>0</v>
      </c>
      <c r="N1166" s="37" t="s">
        <v>68</v>
      </c>
      <c r="O1166" s="22"/>
      <c r="P1166" s="19" t="s">
        <v>3578</v>
      </c>
      <c r="Q1166" s="18"/>
      <c r="R1166" s="18"/>
      <c r="S1166" s="23">
        <v>0.0</v>
      </c>
      <c r="T1166" s="23">
        <v>0.0</v>
      </c>
      <c r="U1166" s="23">
        <f t="shared" si="2"/>
        <v>0</v>
      </c>
      <c r="V1166" s="23">
        <f t="shared" si="3"/>
        <v>0</v>
      </c>
      <c r="W1166" s="23">
        <f t="shared" si="4"/>
        <v>0</v>
      </c>
      <c r="X1166" s="24" t="str">
        <f t="shared" si="5"/>
        <v>#DIV/0!</v>
      </c>
    </row>
    <row r="1167">
      <c r="A1167" s="15" t="s">
        <v>4846</v>
      </c>
      <c r="B1167" s="15" t="s">
        <v>4847</v>
      </c>
      <c r="C1167" s="16" t="str">
        <f>IMAGE("https://i.ibb.co/G37LTVtq/1770.png")</f>
        <v/>
      </c>
      <c r="D1167" s="15" t="s">
        <v>4848</v>
      </c>
      <c r="E1167" s="17" t="s">
        <v>4849</v>
      </c>
      <c r="F1167" s="18"/>
      <c r="G1167" s="18"/>
      <c r="H1167" s="15" t="s">
        <v>4850</v>
      </c>
      <c r="I1167" s="15" t="s">
        <v>4851</v>
      </c>
      <c r="J1167" s="19" t="s">
        <v>283</v>
      </c>
      <c r="K1167" s="19" t="s">
        <v>52</v>
      </c>
      <c r="L1167" s="19" t="s">
        <v>52</v>
      </c>
      <c r="M1167" s="20">
        <f t="shared" si="1"/>
        <v>0</v>
      </c>
      <c r="N1167" s="37" t="s">
        <v>79</v>
      </c>
      <c r="O1167" s="22"/>
      <c r="P1167" s="19" t="s">
        <v>3578</v>
      </c>
      <c r="Q1167" s="18"/>
      <c r="R1167" s="18"/>
      <c r="S1167" s="23">
        <v>0.0</v>
      </c>
      <c r="T1167" s="23">
        <v>0.0</v>
      </c>
      <c r="U1167" s="23">
        <f t="shared" si="2"/>
        <v>0</v>
      </c>
      <c r="V1167" s="23">
        <f t="shared" si="3"/>
        <v>0</v>
      </c>
      <c r="W1167" s="23">
        <f t="shared" si="4"/>
        <v>0</v>
      </c>
      <c r="X1167" s="24" t="str">
        <f t="shared" si="5"/>
        <v>#DIV/0!</v>
      </c>
    </row>
    <row r="1168">
      <c r="A1168" s="15" t="s">
        <v>4852</v>
      </c>
      <c r="B1168" s="15" t="s">
        <v>4853</v>
      </c>
      <c r="C1168" s="16" t="str">
        <f>IMAGE("https://i.ibb.co/zVqmrnxy/1771.png")</f>
        <v/>
      </c>
      <c r="D1168" s="15" t="s">
        <v>4854</v>
      </c>
      <c r="E1168" s="17" t="s">
        <v>4855</v>
      </c>
      <c r="F1168" s="18"/>
      <c r="G1168" s="18"/>
      <c r="H1168" s="15" t="s">
        <v>4856</v>
      </c>
      <c r="I1168" s="15" t="s">
        <v>4857</v>
      </c>
      <c r="J1168" s="19" t="s">
        <v>283</v>
      </c>
      <c r="K1168" s="19" t="s">
        <v>52</v>
      </c>
      <c r="L1168" s="19" t="s">
        <v>52</v>
      </c>
      <c r="M1168" s="20">
        <f t="shared" si="1"/>
        <v>0</v>
      </c>
      <c r="N1168" s="37" t="s">
        <v>79</v>
      </c>
      <c r="O1168" s="22"/>
      <c r="P1168" s="19" t="s">
        <v>3578</v>
      </c>
      <c r="Q1168" s="18"/>
      <c r="R1168" s="18"/>
      <c r="S1168" s="23">
        <v>0.0</v>
      </c>
      <c r="T1168" s="23">
        <v>0.0</v>
      </c>
      <c r="U1168" s="23">
        <f t="shared" si="2"/>
        <v>0</v>
      </c>
      <c r="V1168" s="23">
        <f t="shared" si="3"/>
        <v>0</v>
      </c>
      <c r="W1168" s="23">
        <f t="shared" si="4"/>
        <v>0</v>
      </c>
      <c r="X1168" s="24" t="str">
        <f t="shared" si="5"/>
        <v>#DIV/0!</v>
      </c>
    </row>
    <row r="1169">
      <c r="A1169" s="15" t="s">
        <v>4858</v>
      </c>
      <c r="B1169" s="15" t="s">
        <v>4859</v>
      </c>
      <c r="C1169" s="16" t="str">
        <f>IMAGE("https://i.ibb.co/xtdq3p85/1772.png")</f>
        <v/>
      </c>
      <c r="D1169" s="18"/>
      <c r="E1169" s="17" t="s">
        <v>4860</v>
      </c>
      <c r="F1169" s="18"/>
      <c r="G1169" s="18"/>
      <c r="H1169" s="15" t="s">
        <v>4861</v>
      </c>
      <c r="I1169" s="18"/>
      <c r="J1169" s="19" t="s">
        <v>283</v>
      </c>
      <c r="K1169" s="33"/>
      <c r="L1169" s="19" t="s">
        <v>38</v>
      </c>
      <c r="M1169" s="20">
        <f t="shared" si="1"/>
        <v>0</v>
      </c>
      <c r="N1169" s="21"/>
      <c r="O1169" s="22"/>
      <c r="P1169" s="19" t="s">
        <v>3578</v>
      </c>
      <c r="Q1169" s="18"/>
      <c r="R1169" s="18"/>
      <c r="S1169" s="23">
        <v>0.0</v>
      </c>
      <c r="T1169" s="23">
        <v>0.0</v>
      </c>
      <c r="U1169" s="23">
        <f t="shared" si="2"/>
        <v>0</v>
      </c>
      <c r="V1169" s="23">
        <f t="shared" si="3"/>
        <v>0</v>
      </c>
      <c r="W1169" s="23">
        <f t="shared" si="4"/>
        <v>0</v>
      </c>
      <c r="X1169" s="24" t="str">
        <f t="shared" si="5"/>
        <v>#DIV/0!</v>
      </c>
    </row>
    <row r="1170">
      <c r="A1170" s="15" t="s">
        <v>4862</v>
      </c>
      <c r="B1170" s="15" t="s">
        <v>4863</v>
      </c>
      <c r="C1170" s="16" t="str">
        <f>IMAGE("https://i.ibb.co/zVXWNv5J/1773.png")</f>
        <v/>
      </c>
      <c r="D1170" s="15" t="s">
        <v>4864</v>
      </c>
      <c r="E1170" s="17" t="s">
        <v>4865</v>
      </c>
      <c r="F1170" s="18"/>
      <c r="G1170" s="18"/>
      <c r="H1170" s="15" t="s">
        <v>4866</v>
      </c>
      <c r="I1170" s="18"/>
      <c r="J1170" s="19" t="s">
        <v>283</v>
      </c>
      <c r="K1170" s="19" t="s">
        <v>52</v>
      </c>
      <c r="L1170" s="19" t="s">
        <v>52</v>
      </c>
      <c r="M1170" s="20">
        <f t="shared" si="1"/>
        <v>0</v>
      </c>
      <c r="N1170" s="37"/>
      <c r="O1170" s="22"/>
      <c r="P1170" s="19" t="s">
        <v>3578</v>
      </c>
      <c r="Q1170" s="18"/>
      <c r="R1170" s="18"/>
      <c r="S1170" s="23">
        <v>0.0</v>
      </c>
      <c r="T1170" s="23">
        <v>0.0</v>
      </c>
      <c r="U1170" s="23">
        <f t="shared" si="2"/>
        <v>0</v>
      </c>
      <c r="V1170" s="23">
        <f t="shared" si="3"/>
        <v>0</v>
      </c>
      <c r="W1170" s="23">
        <f t="shared" si="4"/>
        <v>0</v>
      </c>
      <c r="X1170" s="24" t="str">
        <f t="shared" si="5"/>
        <v>#DIV/0!</v>
      </c>
    </row>
    <row r="1171">
      <c r="A1171" s="15" t="s">
        <v>4867</v>
      </c>
      <c r="B1171" s="15" t="s">
        <v>4868</v>
      </c>
      <c r="C1171" s="16" t="str">
        <f>IMAGE("https://i.ibb.co/LzTNgQcC/1774.png")</f>
        <v/>
      </c>
      <c r="D1171" s="15" t="s">
        <v>4869</v>
      </c>
      <c r="E1171" s="17" t="s">
        <v>4870</v>
      </c>
      <c r="F1171" s="18"/>
      <c r="G1171" s="18"/>
      <c r="H1171" s="15" t="s">
        <v>4871</v>
      </c>
      <c r="I1171" s="15" t="s">
        <v>4872</v>
      </c>
      <c r="J1171" s="19" t="s">
        <v>283</v>
      </c>
      <c r="K1171" s="33"/>
      <c r="L1171" s="19" t="s">
        <v>38</v>
      </c>
      <c r="M1171" s="20">
        <f t="shared" si="1"/>
        <v>0</v>
      </c>
      <c r="N1171" s="37" t="s">
        <v>79</v>
      </c>
      <c r="O1171" s="22"/>
      <c r="P1171" s="19" t="s">
        <v>3578</v>
      </c>
      <c r="Q1171" s="18"/>
      <c r="R1171" s="18"/>
      <c r="S1171" s="23">
        <v>0.0</v>
      </c>
      <c r="T1171" s="23">
        <v>0.0</v>
      </c>
      <c r="U1171" s="23">
        <f t="shared" si="2"/>
        <v>0</v>
      </c>
      <c r="V1171" s="23">
        <f t="shared" si="3"/>
        <v>0</v>
      </c>
      <c r="W1171" s="23">
        <f t="shared" si="4"/>
        <v>0</v>
      </c>
      <c r="X1171" s="24" t="str">
        <f t="shared" si="5"/>
        <v>#DIV/0!</v>
      </c>
    </row>
    <row r="1172">
      <c r="A1172" s="15" t="s">
        <v>4873</v>
      </c>
      <c r="B1172" s="15" t="s">
        <v>4874</v>
      </c>
      <c r="C1172" s="16"/>
      <c r="D1172" s="18"/>
      <c r="E1172" s="17" t="s">
        <v>4875</v>
      </c>
      <c r="F1172" s="18"/>
      <c r="G1172" s="18"/>
      <c r="H1172" s="15" t="s">
        <v>4876</v>
      </c>
      <c r="I1172" s="18"/>
      <c r="J1172" s="19" t="s">
        <v>283</v>
      </c>
      <c r="K1172" s="33"/>
      <c r="L1172" s="19" t="s">
        <v>38</v>
      </c>
      <c r="M1172" s="20">
        <f t="shared" si="1"/>
        <v>0</v>
      </c>
      <c r="N1172" s="21"/>
      <c r="O1172" s="22"/>
      <c r="P1172" s="19" t="s">
        <v>3578</v>
      </c>
      <c r="Q1172" s="18"/>
      <c r="R1172" s="18"/>
      <c r="S1172" s="23">
        <v>0.0</v>
      </c>
      <c r="T1172" s="23">
        <v>0.0</v>
      </c>
      <c r="U1172" s="23">
        <f t="shared" si="2"/>
        <v>0</v>
      </c>
      <c r="V1172" s="23">
        <f t="shared" si="3"/>
        <v>0</v>
      </c>
      <c r="W1172" s="23">
        <f t="shared" si="4"/>
        <v>0</v>
      </c>
      <c r="X1172" s="24" t="str">
        <f t="shared" si="5"/>
        <v>#DIV/0!</v>
      </c>
    </row>
    <row r="1173">
      <c r="A1173" s="15" t="s">
        <v>4877</v>
      </c>
      <c r="B1173" s="15" t="s">
        <v>4878</v>
      </c>
      <c r="C1173" s="16" t="str">
        <f>IMAGE("https://i.ibb.co/nMYHmXDD/1777.png")</f>
        <v/>
      </c>
      <c r="D1173" s="18"/>
      <c r="E1173" s="17" t="s">
        <v>4879</v>
      </c>
      <c r="F1173" s="18"/>
      <c r="G1173" s="18"/>
      <c r="H1173" s="15" t="s">
        <v>4880</v>
      </c>
      <c r="I1173" s="18"/>
      <c r="J1173" s="19" t="s">
        <v>283</v>
      </c>
      <c r="K1173" s="33"/>
      <c r="L1173" s="19" t="s">
        <v>38</v>
      </c>
      <c r="M1173" s="20">
        <f t="shared" si="1"/>
        <v>0</v>
      </c>
      <c r="N1173" s="21"/>
      <c r="O1173" s="22"/>
      <c r="P1173" s="19" t="s">
        <v>3578</v>
      </c>
      <c r="Q1173" s="18"/>
      <c r="R1173" s="18"/>
      <c r="S1173" s="23">
        <v>0.0</v>
      </c>
      <c r="T1173" s="23">
        <v>0.0</v>
      </c>
      <c r="U1173" s="23">
        <f t="shared" si="2"/>
        <v>0</v>
      </c>
      <c r="V1173" s="23">
        <f t="shared" si="3"/>
        <v>0</v>
      </c>
      <c r="W1173" s="23">
        <f t="shared" si="4"/>
        <v>0</v>
      </c>
      <c r="X1173" s="24" t="str">
        <f t="shared" si="5"/>
        <v>#DIV/0!</v>
      </c>
    </row>
    <row r="1174">
      <c r="A1174" s="15" t="s">
        <v>4881</v>
      </c>
      <c r="B1174" s="15" t="s">
        <v>4882</v>
      </c>
      <c r="C1174" s="16" t="str">
        <f>IMAGE("https://i.ibb.co/9mpdPFdL/1778.png")</f>
        <v/>
      </c>
      <c r="D1174" s="15" t="s">
        <v>191</v>
      </c>
      <c r="E1174" s="17" t="s">
        <v>4883</v>
      </c>
      <c r="F1174" s="18"/>
      <c r="G1174" s="18"/>
      <c r="H1174" s="15" t="s">
        <v>4884</v>
      </c>
      <c r="I1174" s="18"/>
      <c r="J1174" s="19" t="s">
        <v>283</v>
      </c>
      <c r="K1174" s="19" t="s">
        <v>427</v>
      </c>
      <c r="L1174" s="19" t="s">
        <v>52</v>
      </c>
      <c r="M1174" s="20">
        <f t="shared" si="1"/>
        <v>0</v>
      </c>
      <c r="N1174" s="37" t="s">
        <v>79</v>
      </c>
      <c r="O1174" s="22"/>
      <c r="P1174" s="19" t="s">
        <v>3578</v>
      </c>
      <c r="Q1174" s="18"/>
      <c r="R1174" s="18"/>
      <c r="S1174" s="23">
        <v>0.0</v>
      </c>
      <c r="T1174" s="23">
        <v>0.0</v>
      </c>
      <c r="U1174" s="23">
        <f t="shared" si="2"/>
        <v>0</v>
      </c>
      <c r="V1174" s="23">
        <f t="shared" si="3"/>
        <v>0</v>
      </c>
      <c r="W1174" s="23">
        <f t="shared" si="4"/>
        <v>0</v>
      </c>
      <c r="X1174" s="24" t="str">
        <f t="shared" si="5"/>
        <v>#DIV/0!</v>
      </c>
    </row>
    <row r="1175">
      <c r="A1175" s="15" t="s">
        <v>4885</v>
      </c>
      <c r="B1175" s="15" t="s">
        <v>4886</v>
      </c>
      <c r="C1175" s="16" t="str">
        <f>IMAGE("https://i.ibb.co/C5kYjvHD/1779.png")</f>
        <v/>
      </c>
      <c r="D1175" s="15" t="s">
        <v>4887</v>
      </c>
      <c r="E1175" s="17" t="s">
        <v>4888</v>
      </c>
      <c r="F1175" s="18"/>
      <c r="G1175" s="18"/>
      <c r="H1175" s="15" t="s">
        <v>4889</v>
      </c>
      <c r="I1175" s="18"/>
      <c r="J1175" s="19" t="s">
        <v>283</v>
      </c>
      <c r="K1175" s="33"/>
      <c r="L1175" s="19" t="s">
        <v>38</v>
      </c>
      <c r="M1175" s="20">
        <f t="shared" si="1"/>
        <v>0</v>
      </c>
      <c r="N1175" s="21"/>
      <c r="O1175" s="22"/>
      <c r="P1175" s="19" t="s">
        <v>3578</v>
      </c>
      <c r="Q1175" s="18"/>
      <c r="R1175" s="18"/>
      <c r="S1175" s="23">
        <v>0.0</v>
      </c>
      <c r="T1175" s="23">
        <v>0.0</v>
      </c>
      <c r="U1175" s="23">
        <f t="shared" si="2"/>
        <v>0</v>
      </c>
      <c r="V1175" s="23">
        <f t="shared" si="3"/>
        <v>0</v>
      </c>
      <c r="W1175" s="23">
        <f t="shared" si="4"/>
        <v>0</v>
      </c>
      <c r="X1175" s="24" t="str">
        <f t="shared" si="5"/>
        <v>#DIV/0!</v>
      </c>
    </row>
    <row r="1176">
      <c r="A1176" s="15" t="s">
        <v>4890</v>
      </c>
      <c r="B1176" s="15" t="s">
        <v>4891</v>
      </c>
      <c r="C1176" s="16" t="str">
        <f>IMAGE("https://i.ibb.co/whtjHcBr/1780.png")</f>
        <v/>
      </c>
      <c r="D1176" s="15" t="s">
        <v>4892</v>
      </c>
      <c r="E1176" s="17" t="s">
        <v>4893</v>
      </c>
      <c r="F1176" s="18"/>
      <c r="G1176" s="18"/>
      <c r="H1176" s="15" t="s">
        <v>4894</v>
      </c>
      <c r="I1176" s="18"/>
      <c r="J1176" s="19" t="s">
        <v>283</v>
      </c>
      <c r="K1176" s="19" t="s">
        <v>52</v>
      </c>
      <c r="L1176" s="19" t="s">
        <v>52</v>
      </c>
      <c r="M1176" s="20">
        <f t="shared" si="1"/>
        <v>0</v>
      </c>
      <c r="N1176" s="37" t="s">
        <v>68</v>
      </c>
      <c r="O1176" s="22"/>
      <c r="P1176" s="19" t="s">
        <v>3578</v>
      </c>
      <c r="Q1176" s="18"/>
      <c r="R1176" s="18"/>
      <c r="S1176" s="23">
        <v>0.0</v>
      </c>
      <c r="T1176" s="23">
        <v>0.0</v>
      </c>
      <c r="U1176" s="23">
        <f t="shared" si="2"/>
        <v>0</v>
      </c>
      <c r="V1176" s="23">
        <f t="shared" si="3"/>
        <v>0</v>
      </c>
      <c r="W1176" s="23">
        <f t="shared" si="4"/>
        <v>0</v>
      </c>
      <c r="X1176" s="24" t="str">
        <f t="shared" si="5"/>
        <v>#DIV/0!</v>
      </c>
    </row>
    <row r="1177">
      <c r="A1177" s="15" t="s">
        <v>4895</v>
      </c>
      <c r="B1177" s="15" t="s">
        <v>4896</v>
      </c>
      <c r="C1177" s="16" t="str">
        <f>IMAGE("https://i.ibb.co/kgZFf7cg/1781.png")</f>
        <v/>
      </c>
      <c r="D1177" s="15" t="s">
        <v>4897</v>
      </c>
      <c r="E1177" s="17" t="s">
        <v>4898</v>
      </c>
      <c r="F1177" s="18"/>
      <c r="G1177" s="18"/>
      <c r="H1177" s="15" t="s">
        <v>4899</v>
      </c>
      <c r="I1177" s="18"/>
      <c r="J1177" s="19" t="s">
        <v>283</v>
      </c>
      <c r="K1177" s="19" t="s">
        <v>52</v>
      </c>
      <c r="L1177" s="19" t="s">
        <v>52</v>
      </c>
      <c r="M1177" s="20">
        <f t="shared" si="1"/>
        <v>0</v>
      </c>
      <c r="N1177" s="37" t="s">
        <v>79</v>
      </c>
      <c r="O1177" s="22"/>
      <c r="P1177" s="19" t="s">
        <v>3578</v>
      </c>
      <c r="Q1177" s="18"/>
      <c r="R1177" s="18"/>
      <c r="S1177" s="23">
        <v>0.0</v>
      </c>
      <c r="T1177" s="23">
        <v>0.0</v>
      </c>
      <c r="U1177" s="23">
        <f t="shared" si="2"/>
        <v>0</v>
      </c>
      <c r="V1177" s="23">
        <f t="shared" si="3"/>
        <v>0</v>
      </c>
      <c r="W1177" s="23">
        <f t="shared" si="4"/>
        <v>0</v>
      </c>
      <c r="X1177" s="24" t="str">
        <f t="shared" si="5"/>
        <v>#DIV/0!</v>
      </c>
    </row>
    <row r="1178">
      <c r="A1178" s="15" t="s">
        <v>4900</v>
      </c>
      <c r="B1178" s="15" t="s">
        <v>4901</v>
      </c>
      <c r="C1178" s="16" t="str">
        <f>IMAGE("https://i.ibb.co/yJp8bzh/1784.png")</f>
        <v/>
      </c>
      <c r="D1178" s="15" t="s">
        <v>4902</v>
      </c>
      <c r="E1178" s="17" t="s">
        <v>4903</v>
      </c>
      <c r="F1178" s="18"/>
      <c r="G1178" s="18"/>
      <c r="H1178" s="15" t="s">
        <v>4904</v>
      </c>
      <c r="I1178" s="18"/>
      <c r="J1178" s="19" t="s">
        <v>283</v>
      </c>
      <c r="K1178" s="19" t="s">
        <v>1269</v>
      </c>
      <c r="L1178" s="19" t="s">
        <v>38</v>
      </c>
      <c r="M1178" s="20">
        <f t="shared" si="1"/>
        <v>0</v>
      </c>
      <c r="N1178" s="37" t="s">
        <v>79</v>
      </c>
      <c r="O1178" s="22"/>
      <c r="P1178" s="19" t="s">
        <v>3578</v>
      </c>
      <c r="Q1178" s="18"/>
      <c r="R1178" s="18"/>
      <c r="S1178" s="23">
        <v>0.0</v>
      </c>
      <c r="T1178" s="23">
        <v>0.0</v>
      </c>
      <c r="U1178" s="23">
        <f t="shared" si="2"/>
        <v>0</v>
      </c>
      <c r="V1178" s="23">
        <f t="shared" si="3"/>
        <v>0</v>
      </c>
      <c r="W1178" s="23">
        <f t="shared" si="4"/>
        <v>0</v>
      </c>
      <c r="X1178" s="24" t="str">
        <f t="shared" si="5"/>
        <v>#DIV/0!</v>
      </c>
    </row>
    <row r="1179">
      <c r="A1179" s="15" t="s">
        <v>4905</v>
      </c>
      <c r="B1179" s="15" t="s">
        <v>4906</v>
      </c>
      <c r="C1179" s="16" t="str">
        <f>IMAGE("https://i.ibb.co/YBrxFHHr/1785.png")</f>
        <v/>
      </c>
      <c r="D1179" s="15" t="s">
        <v>4907</v>
      </c>
      <c r="E1179" s="17" t="s">
        <v>4908</v>
      </c>
      <c r="F1179" s="18"/>
      <c r="G1179" s="18"/>
      <c r="H1179" s="15" t="s">
        <v>4909</v>
      </c>
      <c r="I1179" s="15" t="s">
        <v>4910</v>
      </c>
      <c r="J1179" s="19" t="s">
        <v>283</v>
      </c>
      <c r="K1179" s="33"/>
      <c r="L1179" s="19" t="s">
        <v>38</v>
      </c>
      <c r="M1179" s="20">
        <f t="shared" si="1"/>
        <v>0</v>
      </c>
      <c r="N1179" s="21"/>
      <c r="O1179" s="22"/>
      <c r="P1179" s="19" t="s">
        <v>3578</v>
      </c>
      <c r="Q1179" s="18"/>
      <c r="R1179" s="18"/>
      <c r="S1179" s="23">
        <v>0.0</v>
      </c>
      <c r="T1179" s="23">
        <v>0.0</v>
      </c>
      <c r="U1179" s="23">
        <f t="shared" si="2"/>
        <v>0</v>
      </c>
      <c r="V1179" s="23">
        <f t="shared" si="3"/>
        <v>0</v>
      </c>
      <c r="W1179" s="23">
        <f t="shared" si="4"/>
        <v>0</v>
      </c>
      <c r="X1179" s="24" t="str">
        <f t="shared" si="5"/>
        <v>#DIV/0!</v>
      </c>
    </row>
    <row r="1180">
      <c r="A1180" s="15" t="s">
        <v>4911</v>
      </c>
      <c r="B1180" s="15" t="s">
        <v>4912</v>
      </c>
      <c r="C1180" s="16"/>
      <c r="D1180" s="15" t="s">
        <v>4913</v>
      </c>
      <c r="E1180" s="17" t="s">
        <v>4914</v>
      </c>
      <c r="F1180" s="18"/>
      <c r="G1180" s="18"/>
      <c r="H1180" s="15" t="s">
        <v>4915</v>
      </c>
      <c r="I1180" s="18"/>
      <c r="J1180" s="19" t="s">
        <v>283</v>
      </c>
      <c r="K1180" s="33"/>
      <c r="L1180" s="19" t="s">
        <v>38</v>
      </c>
      <c r="M1180" s="20">
        <f t="shared" si="1"/>
        <v>0</v>
      </c>
      <c r="N1180" s="21"/>
      <c r="O1180" s="22"/>
      <c r="P1180" s="19" t="s">
        <v>3578</v>
      </c>
      <c r="Q1180" s="18"/>
      <c r="R1180" s="18"/>
      <c r="S1180" s="23">
        <v>0.0</v>
      </c>
      <c r="T1180" s="23">
        <v>0.0</v>
      </c>
      <c r="U1180" s="23">
        <f t="shared" si="2"/>
        <v>0</v>
      </c>
      <c r="V1180" s="23">
        <f t="shared" si="3"/>
        <v>0</v>
      </c>
      <c r="W1180" s="23">
        <f t="shared" si="4"/>
        <v>0</v>
      </c>
      <c r="X1180" s="24" t="str">
        <f t="shared" si="5"/>
        <v>#DIV/0!</v>
      </c>
    </row>
    <row r="1181">
      <c r="A1181" s="15" t="s">
        <v>4916</v>
      </c>
      <c r="B1181" s="15" t="s">
        <v>4917</v>
      </c>
      <c r="C1181" s="16"/>
      <c r="D1181" s="15" t="s">
        <v>4918</v>
      </c>
      <c r="E1181" s="17" t="s">
        <v>4919</v>
      </c>
      <c r="F1181" s="18"/>
      <c r="G1181" s="18"/>
      <c r="H1181" s="15" t="s">
        <v>4920</v>
      </c>
      <c r="I1181" s="18"/>
      <c r="J1181" s="19" t="s">
        <v>283</v>
      </c>
      <c r="K1181" s="19" t="s">
        <v>114</v>
      </c>
      <c r="L1181" s="19" t="s">
        <v>135</v>
      </c>
      <c r="M1181" s="20">
        <f t="shared" si="1"/>
        <v>0</v>
      </c>
      <c r="N1181" s="37" t="s">
        <v>79</v>
      </c>
      <c r="O1181" s="22"/>
      <c r="P1181" s="19" t="s">
        <v>3578</v>
      </c>
      <c r="Q1181" s="18"/>
      <c r="R1181" s="18"/>
      <c r="S1181" s="23">
        <v>0.0</v>
      </c>
      <c r="T1181" s="23">
        <v>0.0</v>
      </c>
      <c r="U1181" s="23">
        <f t="shared" si="2"/>
        <v>0</v>
      </c>
      <c r="V1181" s="23">
        <f t="shared" si="3"/>
        <v>0</v>
      </c>
      <c r="W1181" s="23">
        <f t="shared" si="4"/>
        <v>0</v>
      </c>
      <c r="X1181" s="24" t="str">
        <f t="shared" si="5"/>
        <v>#DIV/0!</v>
      </c>
    </row>
    <row r="1182">
      <c r="A1182" s="15" t="s">
        <v>4921</v>
      </c>
      <c r="B1182" s="15" t="s">
        <v>4922</v>
      </c>
      <c r="C1182" s="16"/>
      <c r="D1182" s="18"/>
      <c r="E1182" s="17" t="s">
        <v>4923</v>
      </c>
      <c r="F1182" s="18"/>
      <c r="G1182" s="18"/>
      <c r="H1182" s="15" t="s">
        <v>4924</v>
      </c>
      <c r="I1182" s="18"/>
      <c r="J1182" s="19" t="s">
        <v>283</v>
      </c>
      <c r="K1182" s="33"/>
      <c r="L1182" s="19" t="s">
        <v>38</v>
      </c>
      <c r="M1182" s="20">
        <f t="shared" si="1"/>
        <v>0</v>
      </c>
      <c r="N1182" s="21"/>
      <c r="O1182" s="22"/>
      <c r="P1182" s="19" t="s">
        <v>3578</v>
      </c>
      <c r="Q1182" s="18"/>
      <c r="R1182" s="18"/>
      <c r="S1182" s="23">
        <v>0.0</v>
      </c>
      <c r="T1182" s="23">
        <v>0.0</v>
      </c>
      <c r="U1182" s="23">
        <f t="shared" si="2"/>
        <v>0</v>
      </c>
      <c r="V1182" s="23">
        <f t="shared" si="3"/>
        <v>0</v>
      </c>
      <c r="W1182" s="23">
        <f t="shared" si="4"/>
        <v>0</v>
      </c>
      <c r="X1182" s="24" t="str">
        <f t="shared" si="5"/>
        <v>#DIV/0!</v>
      </c>
    </row>
    <row r="1183">
      <c r="A1183" s="15" t="s">
        <v>4925</v>
      </c>
      <c r="B1183" s="15" t="s">
        <v>4926</v>
      </c>
      <c r="C1183" s="16" t="str">
        <f>IMAGE("https://i.ibb.co/Mk4zt7zT/1790.png")</f>
        <v/>
      </c>
      <c r="D1183" s="15" t="s">
        <v>4927</v>
      </c>
      <c r="E1183" s="17" t="s">
        <v>4928</v>
      </c>
      <c r="F1183" s="18"/>
      <c r="G1183" s="18"/>
      <c r="H1183" s="15" t="s">
        <v>4929</v>
      </c>
      <c r="I1183" s="15" t="s">
        <v>4930</v>
      </c>
      <c r="J1183" s="19" t="s">
        <v>283</v>
      </c>
      <c r="K1183" s="19" t="s">
        <v>52</v>
      </c>
      <c r="L1183" s="19" t="s">
        <v>135</v>
      </c>
      <c r="M1183" s="20">
        <f t="shared" si="1"/>
        <v>0</v>
      </c>
      <c r="N1183" s="37" t="s">
        <v>79</v>
      </c>
      <c r="O1183" s="22"/>
      <c r="P1183" s="19" t="s">
        <v>3578</v>
      </c>
      <c r="Q1183" s="18"/>
      <c r="R1183" s="18"/>
      <c r="S1183" s="23">
        <v>0.0</v>
      </c>
      <c r="T1183" s="23">
        <v>0.0</v>
      </c>
      <c r="U1183" s="23">
        <f t="shared" si="2"/>
        <v>0</v>
      </c>
      <c r="V1183" s="23">
        <f t="shared" si="3"/>
        <v>0</v>
      </c>
      <c r="W1183" s="23">
        <f t="shared" si="4"/>
        <v>0</v>
      </c>
      <c r="X1183" s="24" t="str">
        <f t="shared" si="5"/>
        <v>#DIV/0!</v>
      </c>
    </row>
    <row r="1184">
      <c r="A1184" s="15" t="s">
        <v>4931</v>
      </c>
      <c r="B1184" s="15" t="s">
        <v>4932</v>
      </c>
      <c r="C1184" s="16" t="str">
        <f>IMAGE("https://i.ibb.co/VW83HzWy/1793.png")</f>
        <v/>
      </c>
      <c r="D1184" s="15" t="s">
        <v>4933</v>
      </c>
      <c r="E1184" s="17" t="s">
        <v>4934</v>
      </c>
      <c r="F1184" s="18"/>
      <c r="G1184" s="18"/>
      <c r="H1184" s="15" t="s">
        <v>4935</v>
      </c>
      <c r="I1184" s="18"/>
      <c r="J1184" s="19" t="s">
        <v>283</v>
      </c>
      <c r="K1184" s="19" t="s">
        <v>52</v>
      </c>
      <c r="L1184" s="19" t="s">
        <v>52</v>
      </c>
      <c r="M1184" s="20">
        <f t="shared" si="1"/>
        <v>0</v>
      </c>
      <c r="N1184" s="37" t="s">
        <v>68</v>
      </c>
      <c r="O1184" s="22"/>
      <c r="P1184" s="19" t="s">
        <v>3578</v>
      </c>
      <c r="Q1184" s="18"/>
      <c r="R1184" s="18"/>
      <c r="S1184" s="23">
        <v>0.0</v>
      </c>
      <c r="T1184" s="23">
        <v>0.0</v>
      </c>
      <c r="U1184" s="23">
        <f t="shared" si="2"/>
        <v>0</v>
      </c>
      <c r="V1184" s="23">
        <f t="shared" si="3"/>
        <v>0</v>
      </c>
      <c r="W1184" s="23">
        <f t="shared" si="4"/>
        <v>0</v>
      </c>
      <c r="X1184" s="24" t="str">
        <f t="shared" si="5"/>
        <v>#DIV/0!</v>
      </c>
    </row>
    <row r="1185">
      <c r="A1185" s="15" t="s">
        <v>4936</v>
      </c>
      <c r="B1185" s="15" t="s">
        <v>4937</v>
      </c>
      <c r="C1185" s="16" t="str">
        <f>IMAGE("https://i.ibb.co/sJJZMX7S/1795.png")</f>
        <v/>
      </c>
      <c r="D1185" s="15" t="s">
        <v>4938</v>
      </c>
      <c r="E1185" s="17" t="s">
        <v>4939</v>
      </c>
      <c r="F1185" s="18"/>
      <c r="G1185" s="18"/>
      <c r="H1185" s="15" t="s">
        <v>4940</v>
      </c>
      <c r="I1185" s="18"/>
      <c r="J1185" s="19" t="s">
        <v>283</v>
      </c>
      <c r="K1185" s="33"/>
      <c r="L1185" s="19" t="s">
        <v>38</v>
      </c>
      <c r="M1185" s="20">
        <f t="shared" si="1"/>
        <v>0</v>
      </c>
      <c r="N1185" s="37" t="s">
        <v>79</v>
      </c>
      <c r="O1185" s="22"/>
      <c r="P1185" s="19" t="s">
        <v>3578</v>
      </c>
      <c r="Q1185" s="18"/>
      <c r="R1185" s="18"/>
      <c r="S1185" s="23">
        <v>0.0</v>
      </c>
      <c r="T1185" s="23">
        <v>0.0</v>
      </c>
      <c r="U1185" s="23">
        <f t="shared" si="2"/>
        <v>0</v>
      </c>
      <c r="V1185" s="23">
        <f t="shared" si="3"/>
        <v>0</v>
      </c>
      <c r="W1185" s="23">
        <f t="shared" si="4"/>
        <v>0</v>
      </c>
      <c r="X1185" s="24" t="str">
        <f t="shared" si="5"/>
        <v>#DIV/0!</v>
      </c>
    </row>
    <row r="1186">
      <c r="A1186" s="15" t="s">
        <v>4941</v>
      </c>
      <c r="B1186" s="15" t="s">
        <v>4942</v>
      </c>
      <c r="C1186" s="16" t="str">
        <f>IMAGE("https://i.ibb.co/QF35jsq2/1797.png")</f>
        <v/>
      </c>
      <c r="D1186" s="15" t="s">
        <v>4943</v>
      </c>
      <c r="E1186" s="17" t="s">
        <v>4944</v>
      </c>
      <c r="F1186" s="18"/>
      <c r="G1186" s="18"/>
      <c r="H1186" s="15" t="s">
        <v>4945</v>
      </c>
      <c r="I1186" s="18"/>
      <c r="J1186" s="19" t="s">
        <v>283</v>
      </c>
      <c r="K1186" s="19" t="s">
        <v>427</v>
      </c>
      <c r="L1186" s="19" t="s">
        <v>52</v>
      </c>
      <c r="M1186" s="20">
        <f t="shared" si="1"/>
        <v>0</v>
      </c>
      <c r="N1186" s="37" t="s">
        <v>68</v>
      </c>
      <c r="O1186" s="22"/>
      <c r="P1186" s="19" t="s">
        <v>3578</v>
      </c>
      <c r="Q1186" s="18"/>
      <c r="R1186" s="18"/>
      <c r="S1186" s="23">
        <v>0.0</v>
      </c>
      <c r="T1186" s="23">
        <v>0.0</v>
      </c>
      <c r="U1186" s="23">
        <f t="shared" si="2"/>
        <v>0</v>
      </c>
      <c r="V1186" s="23">
        <f t="shared" si="3"/>
        <v>0</v>
      </c>
      <c r="W1186" s="23">
        <f t="shared" si="4"/>
        <v>0</v>
      </c>
      <c r="X1186" s="24" t="str">
        <f t="shared" si="5"/>
        <v>#DIV/0!</v>
      </c>
    </row>
    <row r="1187">
      <c r="A1187" s="15" t="s">
        <v>4946</v>
      </c>
      <c r="B1187" s="15" t="s">
        <v>4947</v>
      </c>
      <c r="C1187" s="16" t="str">
        <f>IMAGE("https://i.ibb.co/pjvDP0M3/1140.png")</f>
        <v/>
      </c>
      <c r="D1187" s="15" t="s">
        <v>4948</v>
      </c>
      <c r="E1187" s="17" t="s">
        <v>4949</v>
      </c>
      <c r="F1187" s="18"/>
      <c r="G1187" s="18"/>
      <c r="H1187" s="15" t="s">
        <v>4950</v>
      </c>
      <c r="I1187" s="18"/>
      <c r="J1187" s="19" t="s">
        <v>283</v>
      </c>
      <c r="K1187" s="19" t="s">
        <v>60</v>
      </c>
      <c r="L1187" s="19" t="s">
        <v>52</v>
      </c>
      <c r="M1187" s="20">
        <f t="shared" si="1"/>
        <v>0</v>
      </c>
      <c r="N1187" s="37" t="s">
        <v>4951</v>
      </c>
      <c r="O1187" s="22"/>
      <c r="P1187" s="19" t="s">
        <v>3578</v>
      </c>
      <c r="Q1187" s="18"/>
      <c r="R1187" s="18"/>
      <c r="S1187" s="23">
        <v>0.0</v>
      </c>
      <c r="T1187" s="23">
        <v>0.0</v>
      </c>
      <c r="U1187" s="23">
        <f t="shared" si="2"/>
        <v>0</v>
      </c>
      <c r="V1187" s="23">
        <f t="shared" si="3"/>
        <v>0</v>
      </c>
      <c r="W1187" s="23">
        <f t="shared" si="4"/>
        <v>0</v>
      </c>
      <c r="X1187" s="24" t="str">
        <f t="shared" si="5"/>
        <v>#DIV/0!</v>
      </c>
    </row>
    <row r="1188">
      <c r="A1188" s="15" t="s">
        <v>4952</v>
      </c>
      <c r="B1188" s="15" t="s">
        <v>4953</v>
      </c>
      <c r="C1188" s="16" t="str">
        <f>IMAGE("https://i.ibb.co/6Rrt7xZn/1799.png")</f>
        <v/>
      </c>
      <c r="D1188" s="15" t="s">
        <v>4954</v>
      </c>
      <c r="E1188" s="17" t="s">
        <v>4955</v>
      </c>
      <c r="F1188" s="18"/>
      <c r="G1188" s="18"/>
      <c r="H1188" s="15" t="s">
        <v>4956</v>
      </c>
      <c r="I1188" s="18"/>
      <c r="J1188" s="19" t="s">
        <v>283</v>
      </c>
      <c r="K1188" s="33"/>
      <c r="L1188" s="19" t="s">
        <v>38</v>
      </c>
      <c r="M1188" s="20">
        <f t="shared" si="1"/>
        <v>0</v>
      </c>
      <c r="N1188" s="21"/>
      <c r="O1188" s="22"/>
      <c r="P1188" s="19" t="s">
        <v>3578</v>
      </c>
      <c r="Q1188" s="18"/>
      <c r="R1188" s="18"/>
      <c r="S1188" s="23">
        <v>0.0</v>
      </c>
      <c r="T1188" s="23">
        <v>0.0</v>
      </c>
      <c r="U1188" s="23">
        <f t="shared" si="2"/>
        <v>0</v>
      </c>
      <c r="V1188" s="23">
        <f t="shared" si="3"/>
        <v>0</v>
      </c>
      <c r="W1188" s="23">
        <f t="shared" si="4"/>
        <v>0</v>
      </c>
      <c r="X1188" s="24" t="str">
        <f t="shared" si="5"/>
        <v>#DIV/0!</v>
      </c>
    </row>
    <row r="1189">
      <c r="A1189" s="15" t="s">
        <v>4957</v>
      </c>
      <c r="B1189" s="15" t="s">
        <v>4958</v>
      </c>
      <c r="C1189" s="16" t="str">
        <f>IMAGE("https://i.ibb.co/SXYMXYjp/1800.png")</f>
        <v/>
      </c>
      <c r="D1189" s="15" t="s">
        <v>4959</v>
      </c>
      <c r="E1189" s="17" t="s">
        <v>4960</v>
      </c>
      <c r="F1189" s="18"/>
      <c r="G1189" s="18"/>
      <c r="H1189" s="15" t="s">
        <v>4961</v>
      </c>
      <c r="I1189" s="18"/>
      <c r="J1189" s="19" t="s">
        <v>283</v>
      </c>
      <c r="K1189" s="19" t="s">
        <v>427</v>
      </c>
      <c r="L1189" s="19" t="s">
        <v>115</v>
      </c>
      <c r="M1189" s="20">
        <f t="shared" si="1"/>
        <v>0</v>
      </c>
      <c r="N1189" s="37" t="s">
        <v>68</v>
      </c>
      <c r="O1189" s="22"/>
      <c r="P1189" s="19" t="s">
        <v>3578</v>
      </c>
      <c r="Q1189" s="18"/>
      <c r="R1189" s="18"/>
      <c r="S1189" s="23">
        <v>0.0</v>
      </c>
      <c r="T1189" s="23">
        <v>0.0</v>
      </c>
      <c r="U1189" s="23">
        <f t="shared" si="2"/>
        <v>0</v>
      </c>
      <c r="V1189" s="23">
        <f t="shared" si="3"/>
        <v>0</v>
      </c>
      <c r="W1189" s="23">
        <f t="shared" si="4"/>
        <v>0</v>
      </c>
      <c r="X1189" s="24" t="str">
        <f t="shared" si="5"/>
        <v>#DIV/0!</v>
      </c>
    </row>
    <row r="1190">
      <c r="A1190" s="15" t="s">
        <v>4962</v>
      </c>
      <c r="B1190" s="15" t="s">
        <v>4963</v>
      </c>
      <c r="C1190" s="16" t="str">
        <f>IMAGE("https://i.ibb.co/k2J87QCx/1801.png")</f>
        <v/>
      </c>
      <c r="D1190" s="15" t="s">
        <v>4964</v>
      </c>
      <c r="E1190" s="17" t="s">
        <v>4965</v>
      </c>
      <c r="F1190" s="18"/>
      <c r="G1190" s="18"/>
      <c r="H1190" s="15" t="s">
        <v>4966</v>
      </c>
      <c r="I1190" s="18"/>
      <c r="J1190" s="19" t="s">
        <v>283</v>
      </c>
      <c r="K1190" s="33"/>
      <c r="L1190" s="19" t="s">
        <v>38</v>
      </c>
      <c r="M1190" s="20">
        <f t="shared" si="1"/>
        <v>0</v>
      </c>
      <c r="N1190" s="21"/>
      <c r="O1190" s="22"/>
      <c r="P1190" s="19" t="s">
        <v>3578</v>
      </c>
      <c r="Q1190" s="18"/>
      <c r="R1190" s="18"/>
      <c r="S1190" s="23">
        <v>0.0</v>
      </c>
      <c r="T1190" s="23">
        <v>0.0</v>
      </c>
      <c r="U1190" s="23">
        <f t="shared" si="2"/>
        <v>0</v>
      </c>
      <c r="V1190" s="23">
        <f t="shared" si="3"/>
        <v>0</v>
      </c>
      <c r="W1190" s="23">
        <f t="shared" si="4"/>
        <v>0</v>
      </c>
      <c r="X1190" s="24" t="str">
        <f t="shared" si="5"/>
        <v>#DIV/0!</v>
      </c>
    </row>
    <row r="1191">
      <c r="A1191" s="15" t="s">
        <v>4967</v>
      </c>
      <c r="B1191" s="15" t="s">
        <v>4968</v>
      </c>
      <c r="C1191" s="16" t="str">
        <f>IMAGE("https://i.ibb.co/fzqvJrDc/2464.png")</f>
        <v/>
      </c>
      <c r="D1191" s="15" t="s">
        <v>4969</v>
      </c>
      <c r="E1191" s="17" t="s">
        <v>4970</v>
      </c>
      <c r="F1191" s="18"/>
      <c r="G1191" s="18"/>
      <c r="H1191" s="15" t="s">
        <v>4971</v>
      </c>
      <c r="I1191" s="18"/>
      <c r="J1191" s="19" t="s">
        <v>283</v>
      </c>
      <c r="K1191" s="19" t="s">
        <v>4972</v>
      </c>
      <c r="L1191" s="19" t="s">
        <v>38</v>
      </c>
      <c r="M1191" s="20">
        <f t="shared" si="1"/>
        <v>372.96</v>
      </c>
      <c r="N1191" s="37" t="s">
        <v>79</v>
      </c>
      <c r="O1191" s="22"/>
      <c r="P1191" s="19" t="s">
        <v>3578</v>
      </c>
      <c r="Q1191" s="18"/>
      <c r="R1191" s="18"/>
      <c r="S1191" s="23">
        <v>0.0</v>
      </c>
      <c r="T1191" s="23">
        <v>21.0</v>
      </c>
      <c r="U1191" s="23">
        <f t="shared" si="2"/>
        <v>20.16</v>
      </c>
      <c r="V1191" s="23">
        <f t="shared" si="3"/>
        <v>0</v>
      </c>
      <c r="W1191" s="23">
        <f t="shared" si="4"/>
        <v>0</v>
      </c>
      <c r="X1191" s="24" t="str">
        <f t="shared" si="5"/>
        <v>#DIV/0!</v>
      </c>
    </row>
    <row r="1192">
      <c r="A1192" s="15" t="s">
        <v>4973</v>
      </c>
      <c r="B1192" s="15" t="s">
        <v>4974</v>
      </c>
      <c r="C1192" s="16" t="str">
        <f>IMAGE("https://i.ibb.co/s9tRJTZM/1805.png")</f>
        <v/>
      </c>
      <c r="D1192" s="15" t="s">
        <v>4975</v>
      </c>
      <c r="E1192" s="17" t="s">
        <v>4976</v>
      </c>
      <c r="F1192" s="18"/>
      <c r="G1192" s="18"/>
      <c r="H1192" s="15" t="s">
        <v>4977</v>
      </c>
      <c r="I1192" s="18"/>
      <c r="J1192" s="19" t="s">
        <v>283</v>
      </c>
      <c r="K1192" s="19" t="s">
        <v>4978</v>
      </c>
      <c r="L1192" s="19" t="s">
        <v>38</v>
      </c>
      <c r="M1192" s="20">
        <f t="shared" si="1"/>
        <v>2024.64</v>
      </c>
      <c r="N1192" s="21"/>
      <c r="O1192" s="22"/>
      <c r="P1192" s="19" t="s">
        <v>3578</v>
      </c>
      <c r="Q1192" s="18"/>
      <c r="R1192" s="18"/>
      <c r="S1192" s="23">
        <v>0.0</v>
      </c>
      <c r="T1192" s="23">
        <v>114.0</v>
      </c>
      <c r="U1192" s="23">
        <f t="shared" si="2"/>
        <v>109.44</v>
      </c>
      <c r="V1192" s="23">
        <f t="shared" si="3"/>
        <v>0</v>
      </c>
      <c r="W1192" s="23">
        <f t="shared" si="4"/>
        <v>0</v>
      </c>
      <c r="X1192" s="24" t="str">
        <f t="shared" si="5"/>
        <v>#DIV/0!</v>
      </c>
    </row>
    <row r="1193">
      <c r="A1193" s="15" t="s">
        <v>4979</v>
      </c>
      <c r="B1193" s="15" t="s">
        <v>4980</v>
      </c>
      <c r="C1193" s="16" t="str">
        <f>IMAGE("https://i.ibb.co/bgqpPVV6/1806.png")</f>
        <v/>
      </c>
      <c r="D1193" s="15" t="s">
        <v>4981</v>
      </c>
      <c r="E1193" s="17" t="s">
        <v>4982</v>
      </c>
      <c r="F1193" s="18"/>
      <c r="G1193" s="18"/>
      <c r="H1193" s="15" t="s">
        <v>4983</v>
      </c>
      <c r="I1193" s="18"/>
      <c r="J1193" s="19" t="s">
        <v>283</v>
      </c>
      <c r="K1193" s="19" t="s">
        <v>427</v>
      </c>
      <c r="L1193" s="19" t="s">
        <v>38</v>
      </c>
      <c r="M1193" s="20">
        <f t="shared" si="1"/>
        <v>0</v>
      </c>
      <c r="N1193" s="21"/>
      <c r="O1193" s="22"/>
      <c r="P1193" s="19" t="s">
        <v>3578</v>
      </c>
      <c r="Q1193" s="18"/>
      <c r="R1193" s="18"/>
      <c r="S1193" s="23">
        <v>0.0</v>
      </c>
      <c r="T1193" s="23">
        <v>0.0</v>
      </c>
      <c r="U1193" s="23">
        <f t="shared" si="2"/>
        <v>0</v>
      </c>
      <c r="V1193" s="23">
        <f t="shared" si="3"/>
        <v>0</v>
      </c>
      <c r="W1193" s="23">
        <f t="shared" si="4"/>
        <v>0</v>
      </c>
      <c r="X1193" s="24" t="str">
        <f t="shared" si="5"/>
        <v>#DIV/0!</v>
      </c>
    </row>
    <row r="1194">
      <c r="A1194" s="15" t="s">
        <v>4984</v>
      </c>
      <c r="B1194" s="15" t="s">
        <v>4985</v>
      </c>
      <c r="C1194" s="16" t="str">
        <f>IMAGE("https://i.ibb.co/ymQdxJ24/1807.png")</f>
        <v/>
      </c>
      <c r="D1194" s="18"/>
      <c r="E1194" s="17" t="s">
        <v>4986</v>
      </c>
      <c r="F1194" s="18"/>
      <c r="G1194" s="18"/>
      <c r="H1194" s="15" t="s">
        <v>4987</v>
      </c>
      <c r="I1194" s="18"/>
      <c r="J1194" s="19" t="s">
        <v>283</v>
      </c>
      <c r="K1194" s="33"/>
      <c r="L1194" s="19" t="s">
        <v>38</v>
      </c>
      <c r="M1194" s="20">
        <f t="shared" si="1"/>
        <v>0</v>
      </c>
      <c r="N1194" s="21"/>
      <c r="O1194" s="22"/>
      <c r="P1194" s="19" t="s">
        <v>3578</v>
      </c>
      <c r="Q1194" s="18"/>
      <c r="R1194" s="18"/>
      <c r="S1194" s="23">
        <v>0.0</v>
      </c>
      <c r="T1194" s="23">
        <v>0.0</v>
      </c>
      <c r="U1194" s="23">
        <f t="shared" si="2"/>
        <v>0</v>
      </c>
      <c r="V1194" s="23">
        <f t="shared" si="3"/>
        <v>0</v>
      </c>
      <c r="W1194" s="23">
        <f t="shared" si="4"/>
        <v>0</v>
      </c>
      <c r="X1194" s="24" t="str">
        <f t="shared" si="5"/>
        <v>#DIV/0!</v>
      </c>
    </row>
    <row r="1195">
      <c r="A1195" s="15" t="s">
        <v>4988</v>
      </c>
      <c r="B1195" s="15" t="s">
        <v>4989</v>
      </c>
      <c r="C1195" s="16" t="str">
        <f>IMAGE("https://i.ibb.co/0VFX2W9w/1811.png")</f>
        <v/>
      </c>
      <c r="D1195" s="18"/>
      <c r="E1195" s="17" t="s">
        <v>4990</v>
      </c>
      <c r="F1195" s="18"/>
      <c r="G1195" s="18"/>
      <c r="H1195" s="15" t="s">
        <v>4991</v>
      </c>
      <c r="I1195" s="18"/>
      <c r="J1195" s="19" t="s">
        <v>283</v>
      </c>
      <c r="K1195" s="19" t="s">
        <v>52</v>
      </c>
      <c r="L1195" s="19" t="s">
        <v>52</v>
      </c>
      <c r="M1195" s="20">
        <f t="shared" si="1"/>
        <v>0</v>
      </c>
      <c r="N1195" s="37" t="s">
        <v>68</v>
      </c>
      <c r="O1195" s="22"/>
      <c r="P1195" s="19" t="s">
        <v>3578</v>
      </c>
      <c r="Q1195" s="18"/>
      <c r="R1195" s="18"/>
      <c r="S1195" s="23">
        <v>0.0</v>
      </c>
      <c r="T1195" s="23">
        <v>0.0</v>
      </c>
      <c r="U1195" s="23">
        <f t="shared" si="2"/>
        <v>0</v>
      </c>
      <c r="V1195" s="23">
        <f t="shared" si="3"/>
        <v>0</v>
      </c>
      <c r="W1195" s="23">
        <f t="shared" si="4"/>
        <v>0</v>
      </c>
      <c r="X1195" s="24" t="str">
        <f t="shared" si="5"/>
        <v>#DIV/0!</v>
      </c>
    </row>
    <row r="1196">
      <c r="A1196" s="15" t="s">
        <v>4992</v>
      </c>
      <c r="B1196" s="15" t="s">
        <v>4993</v>
      </c>
      <c r="C1196" s="16" t="str">
        <f>IMAGE("https://i.ibb.co/p6sPBmmw/1812.png")</f>
        <v/>
      </c>
      <c r="D1196" s="18"/>
      <c r="E1196" s="17" t="s">
        <v>4994</v>
      </c>
      <c r="F1196" s="18"/>
      <c r="G1196" s="18"/>
      <c r="H1196" s="15" t="s">
        <v>4995</v>
      </c>
      <c r="I1196" s="18"/>
      <c r="J1196" s="19" t="s">
        <v>283</v>
      </c>
      <c r="K1196" s="19" t="s">
        <v>52</v>
      </c>
      <c r="L1196" s="19" t="s">
        <v>52</v>
      </c>
      <c r="M1196" s="20">
        <f t="shared" si="1"/>
        <v>0</v>
      </c>
      <c r="N1196" s="37" t="s">
        <v>68</v>
      </c>
      <c r="O1196" s="22"/>
      <c r="P1196" s="19" t="s">
        <v>3578</v>
      </c>
      <c r="Q1196" s="18"/>
      <c r="R1196" s="18"/>
      <c r="S1196" s="23">
        <v>0.0</v>
      </c>
      <c r="T1196" s="23">
        <v>0.0</v>
      </c>
      <c r="U1196" s="23">
        <f t="shared" si="2"/>
        <v>0</v>
      </c>
      <c r="V1196" s="23">
        <f t="shared" si="3"/>
        <v>0</v>
      </c>
      <c r="W1196" s="23">
        <f t="shared" si="4"/>
        <v>0</v>
      </c>
      <c r="X1196" s="24" t="str">
        <f t="shared" si="5"/>
        <v>#DIV/0!</v>
      </c>
    </row>
    <row r="1197">
      <c r="A1197" s="15" t="s">
        <v>4996</v>
      </c>
      <c r="B1197" s="15" t="s">
        <v>4997</v>
      </c>
      <c r="C1197" s="16" t="str">
        <f>IMAGE("https://i.ibb.co/KpCBZ6fy/1813.png")</f>
        <v/>
      </c>
      <c r="D1197" s="15" t="s">
        <v>4998</v>
      </c>
      <c r="E1197" s="17" t="s">
        <v>4999</v>
      </c>
      <c r="F1197" s="18"/>
      <c r="G1197" s="18"/>
      <c r="H1197" s="15" t="s">
        <v>5000</v>
      </c>
      <c r="I1197" s="15" t="s">
        <v>5001</v>
      </c>
      <c r="J1197" s="19" t="s">
        <v>283</v>
      </c>
      <c r="K1197" s="19" t="s">
        <v>52</v>
      </c>
      <c r="L1197" s="19" t="s">
        <v>52</v>
      </c>
      <c r="M1197" s="20">
        <f t="shared" si="1"/>
        <v>0</v>
      </c>
      <c r="N1197" s="37" t="s">
        <v>79</v>
      </c>
      <c r="O1197" s="22"/>
      <c r="P1197" s="19" t="s">
        <v>3578</v>
      </c>
      <c r="Q1197" s="18"/>
      <c r="R1197" s="18"/>
      <c r="S1197" s="23">
        <v>0.0</v>
      </c>
      <c r="T1197" s="23">
        <v>0.0</v>
      </c>
      <c r="U1197" s="23">
        <f t="shared" si="2"/>
        <v>0</v>
      </c>
      <c r="V1197" s="23">
        <f t="shared" si="3"/>
        <v>0</v>
      </c>
      <c r="W1197" s="23">
        <f t="shared" si="4"/>
        <v>0</v>
      </c>
      <c r="X1197" s="24" t="str">
        <f t="shared" si="5"/>
        <v>#DIV/0!</v>
      </c>
    </row>
    <row r="1198">
      <c r="A1198" s="15" t="s">
        <v>5002</v>
      </c>
      <c r="B1198" s="15" t="s">
        <v>5003</v>
      </c>
      <c r="C1198" s="16" t="str">
        <f>IMAGE("https://i.ibb.co/zH7DNsj8/1814.png")</f>
        <v/>
      </c>
      <c r="D1198" s="15" t="s">
        <v>5004</v>
      </c>
      <c r="E1198" s="17" t="s">
        <v>5005</v>
      </c>
      <c r="F1198" s="18"/>
      <c r="G1198" s="18"/>
      <c r="H1198" s="15" t="s">
        <v>5006</v>
      </c>
      <c r="I1198" s="15" t="s">
        <v>5007</v>
      </c>
      <c r="J1198" s="19" t="s">
        <v>283</v>
      </c>
      <c r="K1198" s="19" t="s">
        <v>52</v>
      </c>
      <c r="L1198" s="19" t="s">
        <v>52</v>
      </c>
      <c r="M1198" s="20">
        <f t="shared" si="1"/>
        <v>0</v>
      </c>
      <c r="N1198" s="37" t="s">
        <v>68</v>
      </c>
      <c r="O1198" s="22"/>
      <c r="P1198" s="19" t="s">
        <v>3578</v>
      </c>
      <c r="Q1198" s="18"/>
      <c r="R1198" s="18"/>
      <c r="S1198" s="23">
        <v>0.0</v>
      </c>
      <c r="T1198" s="23">
        <v>0.0</v>
      </c>
      <c r="U1198" s="23">
        <f t="shared" si="2"/>
        <v>0</v>
      </c>
      <c r="V1198" s="23">
        <f t="shared" si="3"/>
        <v>0</v>
      </c>
      <c r="W1198" s="23">
        <f t="shared" si="4"/>
        <v>0</v>
      </c>
      <c r="X1198" s="24" t="str">
        <f t="shared" si="5"/>
        <v>#DIV/0!</v>
      </c>
    </row>
    <row r="1199">
      <c r="A1199" s="15" t="s">
        <v>5008</v>
      </c>
      <c r="B1199" s="15" t="s">
        <v>5009</v>
      </c>
      <c r="C1199" s="16" t="str">
        <f>IMAGE("https://i.ibb.co/DDFZfk0B/1817.png")</f>
        <v/>
      </c>
      <c r="D1199" s="15" t="s">
        <v>5010</v>
      </c>
      <c r="E1199" s="17" t="s">
        <v>5011</v>
      </c>
      <c r="F1199" s="18"/>
      <c r="G1199" s="18"/>
      <c r="H1199" s="15" t="s">
        <v>5012</v>
      </c>
      <c r="I1199" s="18"/>
      <c r="J1199" s="19" t="s">
        <v>283</v>
      </c>
      <c r="K1199" s="19" t="s">
        <v>427</v>
      </c>
      <c r="L1199" s="19" t="s">
        <v>177</v>
      </c>
      <c r="M1199" s="20">
        <f t="shared" si="1"/>
        <v>0</v>
      </c>
      <c r="N1199" s="21"/>
      <c r="O1199" s="22"/>
      <c r="P1199" s="19" t="s">
        <v>3578</v>
      </c>
      <c r="Q1199" s="18"/>
      <c r="R1199" s="18"/>
      <c r="S1199" s="23">
        <v>0.0</v>
      </c>
      <c r="T1199" s="23">
        <v>0.0</v>
      </c>
      <c r="U1199" s="23">
        <f t="shared" si="2"/>
        <v>0</v>
      </c>
      <c r="V1199" s="23">
        <f t="shared" si="3"/>
        <v>0</v>
      </c>
      <c r="W1199" s="23">
        <f t="shared" si="4"/>
        <v>0</v>
      </c>
      <c r="X1199" s="24" t="str">
        <f t="shared" si="5"/>
        <v>#DIV/0!</v>
      </c>
    </row>
    <row r="1200">
      <c r="A1200" s="15" t="s">
        <v>5013</v>
      </c>
      <c r="B1200" s="15" t="s">
        <v>5014</v>
      </c>
      <c r="C1200" s="16"/>
      <c r="D1200" s="15" t="s">
        <v>5015</v>
      </c>
      <c r="E1200" s="17" t="s">
        <v>5016</v>
      </c>
      <c r="F1200" s="18"/>
      <c r="G1200" s="18"/>
      <c r="H1200" s="15" t="s">
        <v>5017</v>
      </c>
      <c r="I1200" s="18"/>
      <c r="J1200" s="19" t="s">
        <v>36</v>
      </c>
      <c r="K1200" s="19" t="s">
        <v>52</v>
      </c>
      <c r="L1200" s="19" t="s">
        <v>52</v>
      </c>
      <c r="M1200" s="20">
        <f t="shared" si="1"/>
        <v>0</v>
      </c>
      <c r="N1200" s="37" t="s">
        <v>79</v>
      </c>
      <c r="O1200" s="22"/>
      <c r="P1200" s="19" t="s">
        <v>3578</v>
      </c>
      <c r="Q1200" s="18"/>
      <c r="R1200" s="18"/>
      <c r="S1200" s="23">
        <v>0.0</v>
      </c>
      <c r="T1200" s="23">
        <v>0.0</v>
      </c>
      <c r="U1200" s="23">
        <f t="shared" si="2"/>
        <v>0</v>
      </c>
      <c r="V1200" s="23">
        <f t="shared" si="3"/>
        <v>0</v>
      </c>
      <c r="W1200" s="23">
        <f t="shared" si="4"/>
        <v>0</v>
      </c>
      <c r="X1200" s="24" t="str">
        <f t="shared" si="5"/>
        <v>#DIV/0!</v>
      </c>
    </row>
    <row r="1201">
      <c r="A1201" s="15" t="s">
        <v>5018</v>
      </c>
      <c r="B1201" s="15" t="s">
        <v>5019</v>
      </c>
      <c r="C1201" s="16"/>
      <c r="D1201" s="15" t="s">
        <v>5020</v>
      </c>
      <c r="E1201" s="17" t="s">
        <v>5021</v>
      </c>
      <c r="F1201" s="18"/>
      <c r="G1201" s="18"/>
      <c r="H1201" s="15" t="s">
        <v>5022</v>
      </c>
      <c r="I1201" s="18"/>
      <c r="J1201" s="19" t="s">
        <v>36</v>
      </c>
      <c r="K1201" s="33"/>
      <c r="L1201" s="19" t="s">
        <v>38</v>
      </c>
      <c r="M1201" s="20">
        <f t="shared" si="1"/>
        <v>0</v>
      </c>
      <c r="N1201" s="21"/>
      <c r="O1201" s="22"/>
      <c r="P1201" s="19" t="s">
        <v>3578</v>
      </c>
      <c r="Q1201" s="18"/>
      <c r="R1201" s="18"/>
      <c r="S1201" s="23">
        <v>0.0</v>
      </c>
      <c r="T1201" s="23">
        <v>0.0</v>
      </c>
      <c r="U1201" s="23">
        <f t="shared" si="2"/>
        <v>0</v>
      </c>
      <c r="V1201" s="23">
        <f t="shared" si="3"/>
        <v>0</v>
      </c>
      <c r="W1201" s="23">
        <f t="shared" si="4"/>
        <v>0</v>
      </c>
      <c r="X1201" s="24" t="str">
        <f t="shared" si="5"/>
        <v>#DIV/0!</v>
      </c>
    </row>
    <row r="1202">
      <c r="A1202" s="15" t="s">
        <v>5023</v>
      </c>
      <c r="B1202" s="15" t="s">
        <v>5024</v>
      </c>
      <c r="C1202" s="16"/>
      <c r="D1202" s="15" t="s">
        <v>5025</v>
      </c>
      <c r="E1202" s="17" t="s">
        <v>5026</v>
      </c>
      <c r="F1202" s="18"/>
      <c r="G1202" s="18"/>
      <c r="H1202" s="15" t="s">
        <v>5027</v>
      </c>
      <c r="I1202" s="18"/>
      <c r="J1202" s="19" t="s">
        <v>36</v>
      </c>
      <c r="K1202" s="33"/>
      <c r="L1202" s="19" t="s">
        <v>38</v>
      </c>
      <c r="M1202" s="20">
        <f t="shared" si="1"/>
        <v>0</v>
      </c>
      <c r="N1202" s="21"/>
      <c r="O1202" s="22"/>
      <c r="P1202" s="19" t="s">
        <v>3578</v>
      </c>
      <c r="Q1202" s="18"/>
      <c r="R1202" s="18"/>
      <c r="S1202" s="23">
        <v>0.0</v>
      </c>
      <c r="T1202" s="23">
        <v>0.0</v>
      </c>
      <c r="U1202" s="23">
        <f t="shared" si="2"/>
        <v>0</v>
      </c>
      <c r="V1202" s="23">
        <f t="shared" si="3"/>
        <v>0</v>
      </c>
      <c r="W1202" s="23">
        <f t="shared" si="4"/>
        <v>0</v>
      </c>
      <c r="X1202" s="24" t="str">
        <f t="shared" si="5"/>
        <v>#DIV/0!</v>
      </c>
    </row>
    <row r="1203">
      <c r="A1203" s="15" t="s">
        <v>5028</v>
      </c>
      <c r="B1203" s="15" t="s">
        <v>5029</v>
      </c>
      <c r="C1203" s="16"/>
      <c r="D1203" s="15" t="s">
        <v>5030</v>
      </c>
      <c r="E1203" s="17" t="s">
        <v>5031</v>
      </c>
      <c r="F1203" s="18"/>
      <c r="G1203" s="18"/>
      <c r="H1203" s="15" t="s">
        <v>5032</v>
      </c>
      <c r="I1203" s="15"/>
      <c r="J1203" s="19" t="s">
        <v>36</v>
      </c>
      <c r="K1203" s="19" t="s">
        <v>52</v>
      </c>
      <c r="L1203" s="19" t="s">
        <v>52</v>
      </c>
      <c r="M1203" s="20">
        <f t="shared" si="1"/>
        <v>0</v>
      </c>
      <c r="N1203" s="21"/>
      <c r="O1203" s="22"/>
      <c r="P1203" s="19" t="s">
        <v>3578</v>
      </c>
      <c r="Q1203" s="18"/>
      <c r="R1203" s="18"/>
      <c r="S1203" s="23">
        <v>0.0</v>
      </c>
      <c r="T1203" s="23">
        <v>0.0</v>
      </c>
      <c r="U1203" s="23">
        <f t="shared" si="2"/>
        <v>0</v>
      </c>
      <c r="V1203" s="23">
        <f t="shared" si="3"/>
        <v>0</v>
      </c>
      <c r="W1203" s="23">
        <f t="shared" si="4"/>
        <v>0</v>
      </c>
      <c r="X1203" s="24" t="str">
        <f t="shared" si="5"/>
        <v>#DIV/0!</v>
      </c>
    </row>
    <row r="1204">
      <c r="A1204" s="15" t="s">
        <v>5033</v>
      </c>
      <c r="B1204" s="15" t="s">
        <v>5034</v>
      </c>
      <c r="C1204" s="16"/>
      <c r="D1204" s="15" t="s">
        <v>4186</v>
      </c>
      <c r="E1204" s="17" t="s">
        <v>5035</v>
      </c>
      <c r="F1204" s="18"/>
      <c r="G1204" s="18"/>
      <c r="H1204" s="15" t="s">
        <v>5036</v>
      </c>
      <c r="I1204" s="15"/>
      <c r="J1204" s="19" t="s">
        <v>36</v>
      </c>
      <c r="K1204" s="19" t="s">
        <v>2506</v>
      </c>
      <c r="L1204" s="19" t="s">
        <v>38</v>
      </c>
      <c r="M1204" s="20">
        <f t="shared" si="1"/>
        <v>0</v>
      </c>
      <c r="N1204" s="21"/>
      <c r="O1204" s="22"/>
      <c r="P1204" s="19" t="s">
        <v>3578</v>
      </c>
      <c r="Q1204" s="18"/>
      <c r="R1204" s="18"/>
      <c r="S1204" s="23">
        <v>0.0</v>
      </c>
      <c r="T1204" s="23">
        <v>0.0</v>
      </c>
      <c r="U1204" s="23">
        <f t="shared" si="2"/>
        <v>0</v>
      </c>
      <c r="V1204" s="23">
        <f t="shared" si="3"/>
        <v>0</v>
      </c>
      <c r="W1204" s="23">
        <f t="shared" si="4"/>
        <v>0</v>
      </c>
      <c r="X1204" s="24" t="str">
        <f t="shared" si="5"/>
        <v>#DIV/0!</v>
      </c>
    </row>
    <row r="1205">
      <c r="A1205" s="15" t="s">
        <v>5037</v>
      </c>
      <c r="B1205" s="15" t="s">
        <v>5038</v>
      </c>
      <c r="C1205" s="16"/>
      <c r="D1205" s="18"/>
      <c r="E1205" s="17" t="s">
        <v>5039</v>
      </c>
      <c r="F1205" s="18"/>
      <c r="G1205" s="18"/>
      <c r="H1205" s="15" t="s">
        <v>5040</v>
      </c>
      <c r="I1205" s="18"/>
      <c r="J1205" s="19" t="s">
        <v>36</v>
      </c>
      <c r="K1205" s="33"/>
      <c r="L1205" s="19" t="s">
        <v>38</v>
      </c>
      <c r="M1205" s="20">
        <f t="shared" si="1"/>
        <v>0</v>
      </c>
      <c r="N1205" s="21"/>
      <c r="O1205" s="22"/>
      <c r="P1205" s="19" t="s">
        <v>3578</v>
      </c>
      <c r="Q1205" s="18"/>
      <c r="R1205" s="18"/>
      <c r="S1205" s="23">
        <v>0.0</v>
      </c>
      <c r="T1205" s="23">
        <v>0.0</v>
      </c>
      <c r="U1205" s="23">
        <f t="shared" si="2"/>
        <v>0</v>
      </c>
      <c r="V1205" s="23">
        <f t="shared" si="3"/>
        <v>0</v>
      </c>
      <c r="W1205" s="23">
        <f t="shared" si="4"/>
        <v>0</v>
      </c>
      <c r="X1205" s="24" t="str">
        <f t="shared" si="5"/>
        <v>#DIV/0!</v>
      </c>
    </row>
    <row r="1206">
      <c r="A1206" s="15" t="s">
        <v>5041</v>
      </c>
      <c r="B1206" s="15" t="s">
        <v>5042</v>
      </c>
      <c r="C1206" s="16"/>
      <c r="D1206" s="15" t="s">
        <v>5043</v>
      </c>
      <c r="E1206" s="17" t="s">
        <v>5044</v>
      </c>
      <c r="F1206" s="18"/>
      <c r="G1206" s="18"/>
      <c r="H1206" s="15" t="s">
        <v>5045</v>
      </c>
      <c r="I1206" s="18"/>
      <c r="J1206" s="19" t="s">
        <v>36</v>
      </c>
      <c r="K1206" s="19" t="s">
        <v>52</v>
      </c>
      <c r="L1206" s="19" t="s">
        <v>52</v>
      </c>
      <c r="M1206" s="20">
        <f t="shared" si="1"/>
        <v>0</v>
      </c>
      <c r="N1206" s="37" t="s">
        <v>79</v>
      </c>
      <c r="O1206" s="22"/>
      <c r="P1206" s="19" t="s">
        <v>3578</v>
      </c>
      <c r="Q1206" s="18"/>
      <c r="R1206" s="18"/>
      <c r="S1206" s="23">
        <v>0.0</v>
      </c>
      <c r="T1206" s="23">
        <v>0.0</v>
      </c>
      <c r="U1206" s="23">
        <f t="shared" si="2"/>
        <v>0</v>
      </c>
      <c r="V1206" s="23">
        <f t="shared" si="3"/>
        <v>0</v>
      </c>
      <c r="W1206" s="23">
        <f t="shared" si="4"/>
        <v>0</v>
      </c>
      <c r="X1206" s="24" t="str">
        <f t="shared" si="5"/>
        <v>#DIV/0!</v>
      </c>
    </row>
    <row r="1207">
      <c r="A1207" s="15" t="s">
        <v>5046</v>
      </c>
      <c r="B1207" s="18" t="str">
        <f>CONCATENATE(7504589,A1207)</f>
        <v>75045891941</v>
      </c>
      <c r="C1207" s="16"/>
      <c r="D1207" s="15" t="s">
        <v>5047</v>
      </c>
      <c r="E1207" s="17" t="s">
        <v>5048</v>
      </c>
      <c r="F1207" s="18"/>
      <c r="G1207" s="18"/>
      <c r="H1207" s="15" t="s">
        <v>5049</v>
      </c>
      <c r="I1207" s="15" t="s">
        <v>5050</v>
      </c>
      <c r="J1207" s="19" t="s">
        <v>36</v>
      </c>
      <c r="K1207" s="19" t="s">
        <v>2396</v>
      </c>
      <c r="L1207" s="19" t="s">
        <v>38</v>
      </c>
      <c r="M1207" s="20">
        <f t="shared" si="1"/>
        <v>0</v>
      </c>
      <c r="N1207" s="21"/>
      <c r="O1207" s="22"/>
      <c r="P1207" s="19" t="s">
        <v>3578</v>
      </c>
      <c r="Q1207" s="18"/>
      <c r="R1207" s="18"/>
      <c r="S1207" s="23">
        <v>0.0</v>
      </c>
      <c r="T1207" s="23">
        <v>0.0</v>
      </c>
      <c r="U1207" s="23">
        <f t="shared" si="2"/>
        <v>0</v>
      </c>
      <c r="V1207" s="23">
        <f t="shared" si="3"/>
        <v>0</v>
      </c>
      <c r="W1207" s="23">
        <f t="shared" si="4"/>
        <v>0</v>
      </c>
      <c r="X1207" s="24" t="str">
        <f t="shared" si="5"/>
        <v>#DIV/0!</v>
      </c>
    </row>
    <row r="1208">
      <c r="A1208" s="15" t="s">
        <v>5051</v>
      </c>
      <c r="B1208" s="15" t="s">
        <v>5052</v>
      </c>
      <c r="C1208" s="16"/>
      <c r="D1208" s="15" t="s">
        <v>5053</v>
      </c>
      <c r="E1208" s="17" t="s">
        <v>5054</v>
      </c>
      <c r="F1208" s="18"/>
      <c r="G1208" s="18"/>
      <c r="H1208" s="15" t="s">
        <v>5055</v>
      </c>
      <c r="I1208" s="18"/>
      <c r="J1208" s="19" t="s">
        <v>36</v>
      </c>
      <c r="K1208" s="19" t="s">
        <v>52</v>
      </c>
      <c r="L1208" s="19" t="s">
        <v>52</v>
      </c>
      <c r="M1208" s="20">
        <f t="shared" si="1"/>
        <v>0</v>
      </c>
      <c r="N1208" s="21"/>
      <c r="O1208" s="22"/>
      <c r="P1208" s="19" t="s">
        <v>3578</v>
      </c>
      <c r="Q1208" s="18"/>
      <c r="R1208" s="18"/>
      <c r="S1208" s="23">
        <v>0.0</v>
      </c>
      <c r="T1208" s="23">
        <v>0.0</v>
      </c>
      <c r="U1208" s="23">
        <f t="shared" si="2"/>
        <v>0</v>
      </c>
      <c r="V1208" s="23">
        <f t="shared" si="3"/>
        <v>0</v>
      </c>
      <c r="W1208" s="23">
        <f t="shared" si="4"/>
        <v>0</v>
      </c>
      <c r="X1208" s="24" t="str">
        <f t="shared" si="5"/>
        <v>#DIV/0!</v>
      </c>
    </row>
    <row r="1209">
      <c r="A1209" s="15" t="s">
        <v>5056</v>
      </c>
      <c r="B1209" s="15" t="s">
        <v>5057</v>
      </c>
      <c r="C1209" s="16"/>
      <c r="D1209" s="15" t="s">
        <v>5058</v>
      </c>
      <c r="E1209" s="17" t="s">
        <v>5059</v>
      </c>
      <c r="F1209" s="18"/>
      <c r="G1209" s="18"/>
      <c r="H1209" s="15" t="s">
        <v>5060</v>
      </c>
      <c r="I1209" s="18"/>
      <c r="J1209" s="19" t="s">
        <v>36</v>
      </c>
      <c r="K1209" s="33"/>
      <c r="L1209" s="19" t="s">
        <v>38</v>
      </c>
      <c r="M1209" s="20">
        <f t="shared" si="1"/>
        <v>0</v>
      </c>
      <c r="N1209" s="21"/>
      <c r="O1209" s="22"/>
      <c r="P1209" s="19" t="s">
        <v>3578</v>
      </c>
      <c r="Q1209" s="18"/>
      <c r="R1209" s="18"/>
      <c r="S1209" s="23">
        <v>0.0</v>
      </c>
      <c r="T1209" s="23">
        <v>0.0</v>
      </c>
      <c r="U1209" s="23">
        <f t="shared" si="2"/>
        <v>0</v>
      </c>
      <c r="V1209" s="23">
        <f t="shared" si="3"/>
        <v>0</v>
      </c>
      <c r="W1209" s="23">
        <f t="shared" si="4"/>
        <v>0</v>
      </c>
      <c r="X1209" s="24" t="str">
        <f t="shared" si="5"/>
        <v>#DIV/0!</v>
      </c>
    </row>
    <row r="1210">
      <c r="A1210" s="15" t="s">
        <v>5061</v>
      </c>
      <c r="B1210" s="15" t="s">
        <v>5062</v>
      </c>
      <c r="C1210" s="16"/>
      <c r="D1210" s="15" t="s">
        <v>799</v>
      </c>
      <c r="E1210" s="17" t="s">
        <v>800</v>
      </c>
      <c r="F1210" s="18"/>
      <c r="G1210" s="18"/>
      <c r="H1210" s="15" t="s">
        <v>5063</v>
      </c>
      <c r="I1210" s="18"/>
      <c r="J1210" s="19" t="s">
        <v>36</v>
      </c>
      <c r="K1210" s="19" t="s">
        <v>1269</v>
      </c>
      <c r="L1210" s="19" t="s">
        <v>38</v>
      </c>
      <c r="M1210" s="20">
        <f t="shared" si="1"/>
        <v>0</v>
      </c>
      <c r="N1210" s="21"/>
      <c r="O1210" s="22"/>
      <c r="P1210" s="19" t="s">
        <v>3578</v>
      </c>
      <c r="Q1210" s="18"/>
      <c r="R1210" s="18"/>
      <c r="S1210" s="23">
        <v>0.0</v>
      </c>
      <c r="T1210" s="23">
        <v>0.0</v>
      </c>
      <c r="U1210" s="23">
        <f t="shared" si="2"/>
        <v>0</v>
      </c>
      <c r="V1210" s="23">
        <f t="shared" si="3"/>
        <v>0</v>
      </c>
      <c r="W1210" s="23">
        <f t="shared" si="4"/>
        <v>0</v>
      </c>
      <c r="X1210" s="24" t="str">
        <f t="shared" si="5"/>
        <v>#DIV/0!</v>
      </c>
    </row>
    <row r="1211">
      <c r="A1211" s="15" t="s">
        <v>5064</v>
      </c>
      <c r="B1211" s="18" t="str">
        <f t="shared" ref="B1211:B1215" si="29">CONCATENATE(7504589,A1211)</f>
        <v>75045892012</v>
      </c>
      <c r="C1211" s="16"/>
      <c r="D1211" s="15" t="s">
        <v>5065</v>
      </c>
      <c r="E1211" s="17" t="s">
        <v>5066</v>
      </c>
      <c r="F1211" s="18"/>
      <c r="G1211" s="18"/>
      <c r="H1211" s="15" t="s">
        <v>5067</v>
      </c>
      <c r="I1211" s="15"/>
      <c r="J1211" s="19" t="s">
        <v>59</v>
      </c>
      <c r="K1211" s="19" t="s">
        <v>2396</v>
      </c>
      <c r="L1211" s="19" t="s">
        <v>38</v>
      </c>
      <c r="M1211" s="20">
        <f t="shared" si="1"/>
        <v>0</v>
      </c>
      <c r="N1211" s="21"/>
      <c r="O1211" s="22"/>
      <c r="P1211" s="19" t="s">
        <v>3578</v>
      </c>
      <c r="Q1211" s="18"/>
      <c r="R1211" s="18"/>
      <c r="S1211" s="23">
        <v>0.0</v>
      </c>
      <c r="T1211" s="23">
        <v>0.0</v>
      </c>
      <c r="U1211" s="23">
        <f t="shared" si="2"/>
        <v>0</v>
      </c>
      <c r="V1211" s="23">
        <f t="shared" si="3"/>
        <v>0</v>
      </c>
      <c r="W1211" s="23">
        <f t="shared" si="4"/>
        <v>0</v>
      </c>
      <c r="X1211" s="24" t="str">
        <f t="shared" si="5"/>
        <v>#DIV/0!</v>
      </c>
    </row>
    <row r="1212">
      <c r="A1212" s="15" t="s">
        <v>5068</v>
      </c>
      <c r="B1212" s="18" t="str">
        <f t="shared" si="29"/>
        <v>75045892013</v>
      </c>
      <c r="C1212" s="16"/>
      <c r="D1212" s="15" t="s">
        <v>2811</v>
      </c>
      <c r="E1212" s="17" t="s">
        <v>5069</v>
      </c>
      <c r="F1212" s="18"/>
      <c r="G1212" s="18"/>
      <c r="H1212" s="15" t="s">
        <v>5070</v>
      </c>
      <c r="I1212" s="15"/>
      <c r="J1212" s="19" t="s">
        <v>59</v>
      </c>
      <c r="K1212" s="19" t="s">
        <v>2396</v>
      </c>
      <c r="L1212" s="19" t="s">
        <v>38</v>
      </c>
      <c r="M1212" s="20">
        <f t="shared" si="1"/>
        <v>0</v>
      </c>
      <c r="N1212" s="21"/>
      <c r="O1212" s="22"/>
      <c r="P1212" s="19" t="s">
        <v>3578</v>
      </c>
      <c r="Q1212" s="18"/>
      <c r="R1212" s="18"/>
      <c r="S1212" s="23">
        <v>0.0</v>
      </c>
      <c r="T1212" s="23">
        <v>0.0</v>
      </c>
      <c r="U1212" s="23">
        <f t="shared" si="2"/>
        <v>0</v>
      </c>
      <c r="V1212" s="23">
        <f t="shared" si="3"/>
        <v>0</v>
      </c>
      <c r="W1212" s="23">
        <f t="shared" si="4"/>
        <v>0</v>
      </c>
      <c r="X1212" s="24" t="str">
        <f t="shared" si="5"/>
        <v>#DIV/0!</v>
      </c>
    </row>
    <row r="1213">
      <c r="A1213" s="15" t="s">
        <v>5071</v>
      </c>
      <c r="B1213" s="18" t="str">
        <f t="shared" si="29"/>
        <v>75045892017</v>
      </c>
      <c r="C1213" s="16"/>
      <c r="D1213" s="15" t="s">
        <v>5072</v>
      </c>
      <c r="E1213" s="17" t="s">
        <v>5073</v>
      </c>
      <c r="F1213" s="18"/>
      <c r="G1213" s="18"/>
      <c r="H1213" s="15" t="s">
        <v>5074</v>
      </c>
      <c r="I1213" s="15"/>
      <c r="J1213" s="19" t="s">
        <v>59</v>
      </c>
      <c r="K1213" s="19" t="s">
        <v>60</v>
      </c>
      <c r="L1213" s="19" t="s">
        <v>52</v>
      </c>
      <c r="M1213" s="20">
        <f t="shared" si="1"/>
        <v>0</v>
      </c>
      <c r="N1213" s="21"/>
      <c r="O1213" s="22"/>
      <c r="P1213" s="19" t="s">
        <v>3578</v>
      </c>
      <c r="Q1213" s="18"/>
      <c r="R1213" s="18"/>
      <c r="S1213" s="23">
        <v>0.0</v>
      </c>
      <c r="T1213" s="23">
        <v>0.0</v>
      </c>
      <c r="U1213" s="23">
        <f t="shared" si="2"/>
        <v>0</v>
      </c>
      <c r="V1213" s="23">
        <f t="shared" si="3"/>
        <v>0</v>
      </c>
      <c r="W1213" s="23">
        <f t="shared" si="4"/>
        <v>0</v>
      </c>
      <c r="X1213" s="24" t="str">
        <f t="shared" si="5"/>
        <v>#DIV/0!</v>
      </c>
    </row>
    <row r="1214">
      <c r="A1214" s="15" t="s">
        <v>5075</v>
      </c>
      <c r="B1214" s="18" t="str">
        <f t="shared" si="29"/>
        <v>75045892018</v>
      </c>
      <c r="C1214" s="16"/>
      <c r="D1214" s="15" t="s">
        <v>5076</v>
      </c>
      <c r="E1214" s="17" t="s">
        <v>5077</v>
      </c>
      <c r="F1214" s="18"/>
      <c r="G1214" s="18"/>
      <c r="H1214" s="15" t="s">
        <v>5078</v>
      </c>
      <c r="I1214" s="15"/>
      <c r="J1214" s="19" t="s">
        <v>59</v>
      </c>
      <c r="K1214" s="19" t="s">
        <v>60</v>
      </c>
      <c r="L1214" s="19" t="s">
        <v>52</v>
      </c>
      <c r="M1214" s="20">
        <f t="shared" si="1"/>
        <v>0</v>
      </c>
      <c r="N1214" s="21"/>
      <c r="O1214" s="22"/>
      <c r="P1214" s="19" t="s">
        <v>3578</v>
      </c>
      <c r="Q1214" s="18"/>
      <c r="R1214" s="18"/>
      <c r="S1214" s="23">
        <v>0.0</v>
      </c>
      <c r="T1214" s="23">
        <v>0.0</v>
      </c>
      <c r="U1214" s="23">
        <f t="shared" si="2"/>
        <v>0</v>
      </c>
      <c r="V1214" s="23">
        <f t="shared" si="3"/>
        <v>0</v>
      </c>
      <c r="W1214" s="23">
        <f t="shared" si="4"/>
        <v>0</v>
      </c>
      <c r="X1214" s="24" t="str">
        <f t="shared" si="5"/>
        <v>#DIV/0!</v>
      </c>
    </row>
    <row r="1215">
      <c r="A1215" s="15" t="s">
        <v>5079</v>
      </c>
      <c r="B1215" s="18" t="str">
        <f t="shared" si="29"/>
        <v>75045892020</v>
      </c>
      <c r="C1215" s="16"/>
      <c r="D1215" s="15" t="s">
        <v>5080</v>
      </c>
      <c r="E1215" s="17" t="s">
        <v>5081</v>
      </c>
      <c r="F1215" s="18"/>
      <c r="G1215" s="18"/>
      <c r="H1215" s="15" t="s">
        <v>5082</v>
      </c>
      <c r="I1215" s="15"/>
      <c r="J1215" s="19" t="s">
        <v>59</v>
      </c>
      <c r="K1215" s="19" t="s">
        <v>2396</v>
      </c>
      <c r="L1215" s="19" t="s">
        <v>38</v>
      </c>
      <c r="M1215" s="20">
        <f t="shared" si="1"/>
        <v>0</v>
      </c>
      <c r="N1215" s="21"/>
      <c r="O1215" s="22"/>
      <c r="P1215" s="19" t="s">
        <v>3578</v>
      </c>
      <c r="Q1215" s="18"/>
      <c r="R1215" s="18"/>
      <c r="S1215" s="23">
        <v>0.0</v>
      </c>
      <c r="T1215" s="23">
        <v>0.0</v>
      </c>
      <c r="U1215" s="23">
        <f t="shared" si="2"/>
        <v>0</v>
      </c>
      <c r="V1215" s="23">
        <f t="shared" si="3"/>
        <v>0</v>
      </c>
      <c r="W1215" s="23">
        <f t="shared" si="4"/>
        <v>0</v>
      </c>
      <c r="X1215" s="24" t="str">
        <f t="shared" si="5"/>
        <v>#DIV/0!</v>
      </c>
    </row>
    <row r="1216">
      <c r="A1216" s="15" t="s">
        <v>5083</v>
      </c>
      <c r="B1216" s="15" t="s">
        <v>5084</v>
      </c>
      <c r="C1216" s="16"/>
      <c r="D1216" s="15" t="s">
        <v>5085</v>
      </c>
      <c r="E1216" s="17" t="s">
        <v>5086</v>
      </c>
      <c r="F1216" s="18"/>
      <c r="G1216" s="18"/>
      <c r="H1216" s="15" t="s">
        <v>5087</v>
      </c>
      <c r="I1216" s="18"/>
      <c r="J1216" s="19" t="s">
        <v>59</v>
      </c>
      <c r="K1216" s="19" t="s">
        <v>60</v>
      </c>
      <c r="L1216" s="19" t="s">
        <v>84</v>
      </c>
      <c r="M1216" s="20">
        <f t="shared" si="1"/>
        <v>0</v>
      </c>
      <c r="N1216" s="21"/>
      <c r="O1216" s="22"/>
      <c r="P1216" s="19" t="s">
        <v>3578</v>
      </c>
      <c r="Q1216" s="18"/>
      <c r="R1216" s="18"/>
      <c r="S1216" s="23">
        <v>0.0</v>
      </c>
      <c r="T1216" s="23">
        <v>0.0</v>
      </c>
      <c r="U1216" s="23">
        <f t="shared" si="2"/>
        <v>0</v>
      </c>
      <c r="V1216" s="23">
        <f t="shared" si="3"/>
        <v>0</v>
      </c>
      <c r="W1216" s="23">
        <f t="shared" si="4"/>
        <v>0</v>
      </c>
      <c r="X1216" s="24" t="str">
        <f t="shared" si="5"/>
        <v>#DIV/0!</v>
      </c>
    </row>
    <row r="1217">
      <c r="A1217" s="15" t="s">
        <v>5088</v>
      </c>
      <c r="B1217" s="15" t="s">
        <v>5089</v>
      </c>
      <c r="C1217" s="16"/>
      <c r="D1217" s="42" t="s">
        <v>5090</v>
      </c>
      <c r="E1217" s="17" t="s">
        <v>5091</v>
      </c>
      <c r="F1217" s="18"/>
      <c r="G1217" s="18"/>
      <c r="H1217" s="15" t="s">
        <v>5092</v>
      </c>
      <c r="I1217" s="15"/>
      <c r="J1217" s="19" t="s">
        <v>59</v>
      </c>
      <c r="K1217" s="19" t="s">
        <v>60</v>
      </c>
      <c r="L1217" s="19" t="s">
        <v>52</v>
      </c>
      <c r="M1217" s="20">
        <f t="shared" si="1"/>
        <v>0</v>
      </c>
      <c r="N1217" s="21"/>
      <c r="O1217" s="22"/>
      <c r="P1217" s="19" t="s">
        <v>3578</v>
      </c>
      <c r="Q1217" s="18"/>
      <c r="R1217" s="18"/>
      <c r="S1217" s="23">
        <v>0.0</v>
      </c>
      <c r="T1217" s="23">
        <v>0.0</v>
      </c>
      <c r="U1217" s="23">
        <f t="shared" si="2"/>
        <v>0</v>
      </c>
      <c r="V1217" s="23">
        <f t="shared" si="3"/>
        <v>0</v>
      </c>
      <c r="W1217" s="23">
        <f t="shared" si="4"/>
        <v>0</v>
      </c>
      <c r="X1217" s="24" t="str">
        <f t="shared" si="5"/>
        <v>#DIV/0!</v>
      </c>
    </row>
    <row r="1218">
      <c r="A1218" s="15" t="s">
        <v>5093</v>
      </c>
      <c r="B1218" s="15" t="s">
        <v>5094</v>
      </c>
      <c r="C1218" s="16"/>
      <c r="D1218" s="15" t="s">
        <v>5095</v>
      </c>
      <c r="E1218" s="17" t="s">
        <v>5096</v>
      </c>
      <c r="F1218" s="18"/>
      <c r="G1218" s="18"/>
      <c r="H1218" s="15" t="s">
        <v>5097</v>
      </c>
      <c r="I1218" s="18"/>
      <c r="J1218" s="19" t="s">
        <v>59</v>
      </c>
      <c r="K1218" s="19" t="s">
        <v>52</v>
      </c>
      <c r="L1218" s="19" t="s">
        <v>368</v>
      </c>
      <c r="M1218" s="20">
        <f t="shared" si="1"/>
        <v>0</v>
      </c>
      <c r="N1218" s="21"/>
      <c r="O1218" s="22"/>
      <c r="P1218" s="19" t="s">
        <v>3578</v>
      </c>
      <c r="Q1218" s="18"/>
      <c r="R1218" s="18"/>
      <c r="S1218" s="23">
        <v>0.0</v>
      </c>
      <c r="T1218" s="23">
        <v>0.0</v>
      </c>
      <c r="U1218" s="23">
        <f t="shared" si="2"/>
        <v>0</v>
      </c>
      <c r="V1218" s="23">
        <f t="shared" si="3"/>
        <v>0</v>
      </c>
      <c r="W1218" s="23">
        <f t="shared" si="4"/>
        <v>0</v>
      </c>
      <c r="X1218" s="24" t="str">
        <f t="shared" si="5"/>
        <v>#DIV/0!</v>
      </c>
    </row>
    <row r="1219">
      <c r="A1219" s="15" t="s">
        <v>5098</v>
      </c>
      <c r="B1219" s="15" t="s">
        <v>5099</v>
      </c>
      <c r="C1219" s="16"/>
      <c r="D1219" s="15" t="s">
        <v>5100</v>
      </c>
      <c r="E1219" s="17" t="s">
        <v>5101</v>
      </c>
      <c r="F1219" s="18"/>
      <c r="G1219" s="18"/>
      <c r="H1219" s="15" t="s">
        <v>5102</v>
      </c>
      <c r="I1219" s="18"/>
      <c r="J1219" s="19" t="s">
        <v>59</v>
      </c>
      <c r="K1219" s="19" t="s">
        <v>52</v>
      </c>
      <c r="L1219" s="19" t="s">
        <v>368</v>
      </c>
      <c r="M1219" s="20">
        <f t="shared" si="1"/>
        <v>0</v>
      </c>
      <c r="N1219" s="21"/>
      <c r="O1219" s="22"/>
      <c r="P1219" s="19" t="s">
        <v>3578</v>
      </c>
      <c r="Q1219" s="18"/>
      <c r="R1219" s="18"/>
      <c r="S1219" s="23">
        <v>0.0</v>
      </c>
      <c r="T1219" s="23">
        <v>0.0</v>
      </c>
      <c r="U1219" s="23">
        <f t="shared" si="2"/>
        <v>0</v>
      </c>
      <c r="V1219" s="23">
        <f t="shared" si="3"/>
        <v>0</v>
      </c>
      <c r="W1219" s="23">
        <f t="shared" si="4"/>
        <v>0</v>
      </c>
      <c r="X1219" s="24" t="str">
        <f t="shared" si="5"/>
        <v>#DIV/0!</v>
      </c>
    </row>
    <row r="1220">
      <c r="A1220" s="15" t="s">
        <v>5103</v>
      </c>
      <c r="B1220" s="15" t="s">
        <v>5104</v>
      </c>
      <c r="C1220" s="16"/>
      <c r="D1220" s="15" t="s">
        <v>5105</v>
      </c>
      <c r="E1220" s="17" t="s">
        <v>5106</v>
      </c>
      <c r="F1220" s="18"/>
      <c r="G1220" s="18"/>
      <c r="H1220" s="15" t="s">
        <v>5107</v>
      </c>
      <c r="I1220" s="18"/>
      <c r="J1220" s="19" t="s">
        <v>59</v>
      </c>
      <c r="K1220" s="19" t="s">
        <v>52</v>
      </c>
      <c r="L1220" s="19" t="s">
        <v>5108</v>
      </c>
      <c r="M1220" s="20">
        <f t="shared" si="1"/>
        <v>0</v>
      </c>
      <c r="N1220" s="21"/>
      <c r="O1220" s="22"/>
      <c r="P1220" s="19" t="s">
        <v>3578</v>
      </c>
      <c r="Q1220" s="18"/>
      <c r="R1220" s="18"/>
      <c r="S1220" s="23">
        <v>0.0</v>
      </c>
      <c r="T1220" s="23">
        <v>0.0</v>
      </c>
      <c r="U1220" s="23">
        <f t="shared" si="2"/>
        <v>0</v>
      </c>
      <c r="V1220" s="23">
        <f t="shared" si="3"/>
        <v>0</v>
      </c>
      <c r="W1220" s="23">
        <f t="shared" si="4"/>
        <v>0</v>
      </c>
      <c r="X1220" s="24" t="str">
        <f t="shared" si="5"/>
        <v>#DIV/0!</v>
      </c>
    </row>
    <row r="1221">
      <c r="A1221" s="15" t="s">
        <v>5109</v>
      </c>
      <c r="B1221" s="15" t="s">
        <v>5110</v>
      </c>
      <c r="C1221" s="16"/>
      <c r="D1221" s="15" t="s">
        <v>5111</v>
      </c>
      <c r="E1221" s="17" t="s">
        <v>5112</v>
      </c>
      <c r="F1221" s="18"/>
      <c r="G1221" s="18"/>
      <c r="H1221" s="15" t="s">
        <v>5113</v>
      </c>
      <c r="I1221" s="18"/>
      <c r="J1221" s="19" t="s">
        <v>59</v>
      </c>
      <c r="K1221" s="19" t="s">
        <v>60</v>
      </c>
      <c r="L1221" s="19" t="s">
        <v>177</v>
      </c>
      <c r="M1221" s="20">
        <f t="shared" si="1"/>
        <v>0</v>
      </c>
      <c r="N1221" s="21"/>
      <c r="O1221" s="22"/>
      <c r="P1221" s="19" t="s">
        <v>3578</v>
      </c>
      <c r="Q1221" s="18"/>
      <c r="R1221" s="18"/>
      <c r="S1221" s="23">
        <v>0.0</v>
      </c>
      <c r="T1221" s="23">
        <v>0.0</v>
      </c>
      <c r="U1221" s="23">
        <f t="shared" si="2"/>
        <v>0</v>
      </c>
      <c r="V1221" s="23">
        <f t="shared" si="3"/>
        <v>0</v>
      </c>
      <c r="W1221" s="23">
        <f t="shared" si="4"/>
        <v>0</v>
      </c>
      <c r="X1221" s="24" t="str">
        <f t="shared" si="5"/>
        <v>#DIV/0!</v>
      </c>
    </row>
    <row r="1222">
      <c r="A1222" s="15" t="s">
        <v>5114</v>
      </c>
      <c r="B1222" s="15" t="s">
        <v>5115</v>
      </c>
      <c r="C1222" s="16"/>
      <c r="D1222" s="15" t="s">
        <v>5116</v>
      </c>
      <c r="E1222" s="17" t="s">
        <v>5117</v>
      </c>
      <c r="F1222" s="18"/>
      <c r="G1222" s="18"/>
      <c r="H1222" s="15" t="s">
        <v>5118</v>
      </c>
      <c r="I1222" s="18"/>
      <c r="J1222" s="19" t="s">
        <v>59</v>
      </c>
      <c r="K1222" s="19" t="s">
        <v>52</v>
      </c>
      <c r="L1222" s="19" t="s">
        <v>135</v>
      </c>
      <c r="M1222" s="20">
        <f t="shared" si="1"/>
        <v>0</v>
      </c>
      <c r="N1222" s="21"/>
      <c r="O1222" s="22"/>
      <c r="P1222" s="19" t="s">
        <v>3578</v>
      </c>
      <c r="Q1222" s="18"/>
      <c r="R1222" s="18"/>
      <c r="S1222" s="23">
        <v>0.0</v>
      </c>
      <c r="T1222" s="23">
        <v>0.0</v>
      </c>
      <c r="U1222" s="23">
        <f t="shared" si="2"/>
        <v>0</v>
      </c>
      <c r="V1222" s="23">
        <f t="shared" si="3"/>
        <v>0</v>
      </c>
      <c r="W1222" s="23">
        <f t="shared" si="4"/>
        <v>0</v>
      </c>
      <c r="X1222" s="24" t="str">
        <f t="shared" si="5"/>
        <v>#DIV/0!</v>
      </c>
    </row>
    <row r="1223">
      <c r="A1223" s="15" t="s">
        <v>5119</v>
      </c>
      <c r="B1223" s="18" t="str">
        <f>CONCATENATE(7504589,A1223)</f>
        <v>75045892052</v>
      </c>
      <c r="C1223" s="16"/>
      <c r="D1223" s="15" t="s">
        <v>5120</v>
      </c>
      <c r="E1223" s="17" t="s">
        <v>5121</v>
      </c>
      <c r="F1223" s="18"/>
      <c r="G1223" s="18"/>
      <c r="H1223" s="15" t="s">
        <v>5122</v>
      </c>
      <c r="I1223" s="15"/>
      <c r="J1223" s="19" t="s">
        <v>59</v>
      </c>
      <c r="K1223" s="19" t="s">
        <v>691</v>
      </c>
      <c r="L1223" s="19" t="s">
        <v>38</v>
      </c>
      <c r="M1223" s="20">
        <f t="shared" si="1"/>
        <v>0</v>
      </c>
      <c r="N1223" s="21"/>
      <c r="O1223" s="22"/>
      <c r="P1223" s="19" t="s">
        <v>3578</v>
      </c>
      <c r="Q1223" s="18"/>
      <c r="R1223" s="18"/>
      <c r="S1223" s="23">
        <v>0.0</v>
      </c>
      <c r="T1223" s="23">
        <v>0.0</v>
      </c>
      <c r="U1223" s="23">
        <f t="shared" si="2"/>
        <v>0</v>
      </c>
      <c r="V1223" s="23">
        <f t="shared" si="3"/>
        <v>0</v>
      </c>
      <c r="W1223" s="23">
        <f t="shared" si="4"/>
        <v>0</v>
      </c>
      <c r="X1223" s="24" t="str">
        <f t="shared" si="5"/>
        <v>#DIV/0!</v>
      </c>
    </row>
    <row r="1224">
      <c r="A1224" s="15" t="s">
        <v>5123</v>
      </c>
      <c r="B1224" s="15" t="s">
        <v>5124</v>
      </c>
      <c r="C1224" s="16"/>
      <c r="D1224" s="15" t="s">
        <v>5125</v>
      </c>
      <c r="E1224" s="17" t="s">
        <v>5126</v>
      </c>
      <c r="F1224" s="18"/>
      <c r="G1224" s="18"/>
      <c r="H1224" s="15" t="s">
        <v>5127</v>
      </c>
      <c r="I1224" s="18"/>
      <c r="J1224" s="19" t="s">
        <v>59</v>
      </c>
      <c r="K1224" s="19" t="s">
        <v>52</v>
      </c>
      <c r="L1224" s="19" t="s">
        <v>52</v>
      </c>
      <c r="M1224" s="20">
        <f t="shared" si="1"/>
        <v>0</v>
      </c>
      <c r="N1224" s="21"/>
      <c r="O1224" s="22"/>
      <c r="P1224" s="19" t="s">
        <v>3578</v>
      </c>
      <c r="Q1224" s="18"/>
      <c r="R1224" s="18"/>
      <c r="S1224" s="23">
        <v>0.0</v>
      </c>
      <c r="T1224" s="23">
        <v>0.0</v>
      </c>
      <c r="U1224" s="23">
        <f t="shared" si="2"/>
        <v>0</v>
      </c>
      <c r="V1224" s="23">
        <f t="shared" si="3"/>
        <v>0</v>
      </c>
      <c r="W1224" s="23">
        <f t="shared" si="4"/>
        <v>0</v>
      </c>
      <c r="X1224" s="24" t="str">
        <f t="shared" si="5"/>
        <v>#DIV/0!</v>
      </c>
    </row>
    <row r="1225">
      <c r="A1225" s="15" t="s">
        <v>5128</v>
      </c>
      <c r="B1225" s="18" t="str">
        <f>CONCATENATE(7504589,A1225)</f>
        <v>75045892061</v>
      </c>
      <c r="C1225" s="16"/>
      <c r="D1225" s="15" t="s">
        <v>5129</v>
      </c>
      <c r="E1225" s="17" t="s">
        <v>5130</v>
      </c>
      <c r="F1225" s="18"/>
      <c r="G1225" s="18"/>
      <c r="H1225" s="15" t="s">
        <v>5131</v>
      </c>
      <c r="I1225" s="15"/>
      <c r="J1225" s="19" t="s">
        <v>59</v>
      </c>
      <c r="K1225" s="19" t="s">
        <v>2401</v>
      </c>
      <c r="L1225" s="19" t="s">
        <v>38</v>
      </c>
      <c r="M1225" s="20">
        <f t="shared" si="1"/>
        <v>0</v>
      </c>
      <c r="N1225" s="21"/>
      <c r="O1225" s="22"/>
      <c r="P1225" s="19" t="s">
        <v>3578</v>
      </c>
      <c r="Q1225" s="18"/>
      <c r="R1225" s="18"/>
      <c r="S1225" s="23">
        <v>0.0</v>
      </c>
      <c r="T1225" s="23">
        <v>0.0</v>
      </c>
      <c r="U1225" s="23">
        <f t="shared" si="2"/>
        <v>0</v>
      </c>
      <c r="V1225" s="23">
        <f t="shared" si="3"/>
        <v>0</v>
      </c>
      <c r="W1225" s="23">
        <f t="shared" si="4"/>
        <v>0</v>
      </c>
      <c r="X1225" s="24" t="str">
        <f t="shared" si="5"/>
        <v>#DIV/0!</v>
      </c>
    </row>
    <row r="1226">
      <c r="A1226" s="15" t="s">
        <v>5132</v>
      </c>
      <c r="B1226" s="18" t="str">
        <f>CONCATENATE(7504589, A1226)</f>
        <v>75045892064</v>
      </c>
      <c r="C1226" s="16"/>
      <c r="D1226" s="15" t="s">
        <v>5133</v>
      </c>
      <c r="E1226" s="17" t="s">
        <v>5134</v>
      </c>
      <c r="F1226" s="18"/>
      <c r="G1226" s="18"/>
      <c r="H1226" s="15" t="s">
        <v>5135</v>
      </c>
      <c r="I1226" s="15"/>
      <c r="J1226" s="19" t="s">
        <v>59</v>
      </c>
      <c r="K1226" s="19" t="s">
        <v>52</v>
      </c>
      <c r="L1226" s="19" t="s">
        <v>52</v>
      </c>
      <c r="M1226" s="20">
        <f t="shared" si="1"/>
        <v>0</v>
      </c>
      <c r="N1226" s="21"/>
      <c r="O1226" s="22"/>
      <c r="P1226" s="19" t="s">
        <v>3578</v>
      </c>
      <c r="Q1226" s="18"/>
      <c r="R1226" s="18"/>
      <c r="S1226" s="23">
        <v>0.0</v>
      </c>
      <c r="T1226" s="23">
        <v>0.0</v>
      </c>
      <c r="U1226" s="23">
        <f t="shared" si="2"/>
        <v>0</v>
      </c>
      <c r="V1226" s="23">
        <f t="shared" si="3"/>
        <v>0</v>
      </c>
      <c r="W1226" s="23">
        <f t="shared" si="4"/>
        <v>0</v>
      </c>
      <c r="X1226" s="24" t="str">
        <f t="shared" si="5"/>
        <v>#DIV/0!</v>
      </c>
    </row>
    <row r="1227">
      <c r="A1227" s="15" t="s">
        <v>5136</v>
      </c>
      <c r="B1227" s="15" t="s">
        <v>5137</v>
      </c>
      <c r="C1227" s="16"/>
      <c r="D1227" s="18"/>
      <c r="E1227" s="17" t="s">
        <v>5138</v>
      </c>
      <c r="F1227" s="18"/>
      <c r="G1227" s="18"/>
      <c r="H1227" s="15" t="s">
        <v>5139</v>
      </c>
      <c r="I1227" s="18"/>
      <c r="J1227" s="19" t="s">
        <v>59</v>
      </c>
      <c r="K1227" s="33"/>
      <c r="L1227" s="19" t="s">
        <v>38</v>
      </c>
      <c r="M1227" s="20">
        <f t="shared" si="1"/>
        <v>0</v>
      </c>
      <c r="N1227" s="21"/>
      <c r="O1227" s="22"/>
      <c r="P1227" s="19" t="s">
        <v>3578</v>
      </c>
      <c r="Q1227" s="18"/>
      <c r="R1227" s="18"/>
      <c r="S1227" s="23">
        <v>0.0</v>
      </c>
      <c r="T1227" s="23">
        <v>0.0</v>
      </c>
      <c r="U1227" s="23">
        <f t="shared" si="2"/>
        <v>0</v>
      </c>
      <c r="V1227" s="23">
        <f t="shared" si="3"/>
        <v>0</v>
      </c>
      <c r="W1227" s="23">
        <f t="shared" si="4"/>
        <v>0</v>
      </c>
      <c r="X1227" s="24" t="str">
        <f t="shared" si="5"/>
        <v>#DIV/0!</v>
      </c>
    </row>
    <row r="1228">
      <c r="A1228" s="15" t="s">
        <v>5140</v>
      </c>
      <c r="B1228" s="15" t="s">
        <v>5141</v>
      </c>
      <c r="C1228" s="16"/>
      <c r="D1228" s="15" t="s">
        <v>5142</v>
      </c>
      <c r="E1228" s="17" t="s">
        <v>5143</v>
      </c>
      <c r="F1228" s="18"/>
      <c r="G1228" s="18"/>
      <c r="H1228" s="15" t="s">
        <v>5144</v>
      </c>
      <c r="I1228" s="18"/>
      <c r="J1228" s="19" t="s">
        <v>59</v>
      </c>
      <c r="K1228" s="33"/>
      <c r="L1228" s="19" t="s">
        <v>38</v>
      </c>
      <c r="M1228" s="20">
        <f t="shared" si="1"/>
        <v>0</v>
      </c>
      <c r="N1228" s="21"/>
      <c r="O1228" s="22"/>
      <c r="P1228" s="19" t="s">
        <v>3578</v>
      </c>
      <c r="Q1228" s="18"/>
      <c r="R1228" s="18"/>
      <c r="S1228" s="23">
        <v>0.0</v>
      </c>
      <c r="T1228" s="23">
        <v>0.0</v>
      </c>
      <c r="U1228" s="23">
        <f t="shared" si="2"/>
        <v>0</v>
      </c>
      <c r="V1228" s="23">
        <f t="shared" si="3"/>
        <v>0</v>
      </c>
      <c r="W1228" s="23">
        <f t="shared" si="4"/>
        <v>0</v>
      </c>
      <c r="X1228" s="24" t="str">
        <f t="shared" si="5"/>
        <v>#DIV/0!</v>
      </c>
    </row>
    <row r="1229">
      <c r="A1229" s="15" t="s">
        <v>5145</v>
      </c>
      <c r="B1229" s="15" t="s">
        <v>5146</v>
      </c>
      <c r="C1229" s="16"/>
      <c r="D1229" s="15" t="s">
        <v>5147</v>
      </c>
      <c r="E1229" s="17" t="s">
        <v>5148</v>
      </c>
      <c r="F1229" s="18"/>
      <c r="G1229" s="18"/>
      <c r="H1229" s="15" t="s">
        <v>5149</v>
      </c>
      <c r="I1229" s="18"/>
      <c r="J1229" s="19" t="s">
        <v>59</v>
      </c>
      <c r="K1229" s="19" t="s">
        <v>52</v>
      </c>
      <c r="L1229" s="19" t="s">
        <v>52</v>
      </c>
      <c r="M1229" s="20">
        <f t="shared" si="1"/>
        <v>0</v>
      </c>
      <c r="N1229" s="21"/>
      <c r="O1229" s="22"/>
      <c r="P1229" s="19" t="s">
        <v>3578</v>
      </c>
      <c r="Q1229" s="18"/>
      <c r="R1229" s="18"/>
      <c r="S1229" s="23">
        <v>0.0</v>
      </c>
      <c r="T1229" s="23">
        <v>0.0</v>
      </c>
      <c r="U1229" s="23">
        <f t="shared" si="2"/>
        <v>0</v>
      </c>
      <c r="V1229" s="23">
        <f t="shared" si="3"/>
        <v>0</v>
      </c>
      <c r="W1229" s="23">
        <f t="shared" si="4"/>
        <v>0</v>
      </c>
      <c r="X1229" s="24" t="str">
        <f t="shared" si="5"/>
        <v>#DIV/0!</v>
      </c>
    </row>
    <row r="1230">
      <c r="A1230" s="15" t="s">
        <v>5150</v>
      </c>
      <c r="B1230" s="18" t="str">
        <f t="shared" ref="B1230:B1235" si="30">CONCATENATE(7504589,A1230)</f>
        <v>75045892091</v>
      </c>
      <c r="C1230" s="16"/>
      <c r="D1230" s="15" t="s">
        <v>5151</v>
      </c>
      <c r="E1230" s="17" t="s">
        <v>5152</v>
      </c>
      <c r="F1230" s="18"/>
      <c r="G1230" s="18"/>
      <c r="H1230" s="15" t="s">
        <v>5153</v>
      </c>
      <c r="I1230" s="15" t="s">
        <v>5154</v>
      </c>
      <c r="J1230" s="19" t="s">
        <v>59</v>
      </c>
      <c r="K1230" s="19" t="s">
        <v>2382</v>
      </c>
      <c r="L1230" s="19" t="s">
        <v>38</v>
      </c>
      <c r="M1230" s="20">
        <f t="shared" si="1"/>
        <v>0</v>
      </c>
      <c r="N1230" s="21"/>
      <c r="O1230" s="22"/>
      <c r="P1230" s="19" t="s">
        <v>3578</v>
      </c>
      <c r="Q1230" s="18"/>
      <c r="R1230" s="18"/>
      <c r="S1230" s="23">
        <v>0.0</v>
      </c>
      <c r="T1230" s="23">
        <v>0.0</v>
      </c>
      <c r="U1230" s="23">
        <f t="shared" si="2"/>
        <v>0</v>
      </c>
      <c r="V1230" s="23">
        <f t="shared" si="3"/>
        <v>0</v>
      </c>
      <c r="W1230" s="23">
        <f t="shared" si="4"/>
        <v>0</v>
      </c>
      <c r="X1230" s="24" t="str">
        <f t="shared" si="5"/>
        <v>#DIV/0!</v>
      </c>
    </row>
    <row r="1231">
      <c r="A1231" s="15" t="s">
        <v>5155</v>
      </c>
      <c r="B1231" s="18" t="str">
        <f t="shared" si="30"/>
        <v>75045892106</v>
      </c>
      <c r="C1231" s="16"/>
      <c r="D1231" s="15" t="s">
        <v>5156</v>
      </c>
      <c r="E1231" s="17" t="s">
        <v>5157</v>
      </c>
      <c r="F1231" s="18"/>
      <c r="G1231" s="18"/>
      <c r="H1231" s="15" t="s">
        <v>5158</v>
      </c>
      <c r="I1231" s="15"/>
      <c r="J1231" s="19" t="s">
        <v>59</v>
      </c>
      <c r="K1231" s="19" t="s">
        <v>691</v>
      </c>
      <c r="L1231" s="19" t="s">
        <v>38</v>
      </c>
      <c r="M1231" s="20">
        <f t="shared" si="1"/>
        <v>0</v>
      </c>
      <c r="N1231" s="21"/>
      <c r="O1231" s="22"/>
      <c r="P1231" s="19" t="s">
        <v>3578</v>
      </c>
      <c r="Q1231" s="18"/>
      <c r="R1231" s="18"/>
      <c r="S1231" s="23">
        <v>0.0</v>
      </c>
      <c r="T1231" s="23">
        <v>0.0</v>
      </c>
      <c r="U1231" s="23">
        <f t="shared" si="2"/>
        <v>0</v>
      </c>
      <c r="V1231" s="23">
        <f t="shared" si="3"/>
        <v>0</v>
      </c>
      <c r="W1231" s="23">
        <f t="shared" si="4"/>
        <v>0</v>
      </c>
      <c r="X1231" s="24" t="str">
        <f t="shared" si="5"/>
        <v>#DIV/0!</v>
      </c>
    </row>
    <row r="1232">
      <c r="A1232" s="15" t="s">
        <v>5159</v>
      </c>
      <c r="B1232" s="18" t="str">
        <f t="shared" si="30"/>
        <v>75045892110</v>
      </c>
      <c r="C1232" s="16"/>
      <c r="D1232" s="15" t="s">
        <v>5160</v>
      </c>
      <c r="E1232" s="17" t="s">
        <v>5161</v>
      </c>
      <c r="F1232" s="18"/>
      <c r="G1232" s="18"/>
      <c r="H1232" s="15" t="s">
        <v>5162</v>
      </c>
      <c r="I1232" s="15"/>
      <c r="J1232" s="19" t="s">
        <v>59</v>
      </c>
      <c r="K1232" s="19" t="s">
        <v>691</v>
      </c>
      <c r="L1232" s="19" t="s">
        <v>38</v>
      </c>
      <c r="M1232" s="20">
        <f t="shared" si="1"/>
        <v>0</v>
      </c>
      <c r="N1232" s="21"/>
      <c r="O1232" s="22"/>
      <c r="P1232" s="19" t="s">
        <v>3578</v>
      </c>
      <c r="Q1232" s="18"/>
      <c r="R1232" s="18"/>
      <c r="S1232" s="23">
        <v>0.0</v>
      </c>
      <c r="T1232" s="23">
        <v>0.0</v>
      </c>
      <c r="U1232" s="23">
        <f t="shared" si="2"/>
        <v>0</v>
      </c>
      <c r="V1232" s="23">
        <f t="shared" si="3"/>
        <v>0</v>
      </c>
      <c r="W1232" s="23">
        <f t="shared" si="4"/>
        <v>0</v>
      </c>
      <c r="X1232" s="24" t="str">
        <f t="shared" si="5"/>
        <v>#DIV/0!</v>
      </c>
    </row>
    <row r="1233">
      <c r="A1233" s="15" t="s">
        <v>5163</v>
      </c>
      <c r="B1233" s="18" t="str">
        <f t="shared" si="30"/>
        <v>75045892131</v>
      </c>
      <c r="C1233" s="16"/>
      <c r="D1233" s="15" t="s">
        <v>5164</v>
      </c>
      <c r="E1233" s="17" t="s">
        <v>5165</v>
      </c>
      <c r="F1233" s="18"/>
      <c r="G1233" s="18"/>
      <c r="H1233" s="15" t="s">
        <v>5166</v>
      </c>
      <c r="I1233" s="15"/>
      <c r="J1233" s="19" t="s">
        <v>59</v>
      </c>
      <c r="K1233" s="19" t="s">
        <v>2396</v>
      </c>
      <c r="L1233" s="19" t="s">
        <v>38</v>
      </c>
      <c r="M1233" s="20">
        <f t="shared" si="1"/>
        <v>0</v>
      </c>
      <c r="N1233" s="21"/>
      <c r="O1233" s="22"/>
      <c r="P1233" s="19" t="s">
        <v>3578</v>
      </c>
      <c r="Q1233" s="18"/>
      <c r="R1233" s="18"/>
      <c r="S1233" s="23">
        <v>0.0</v>
      </c>
      <c r="T1233" s="23">
        <v>0.0</v>
      </c>
      <c r="U1233" s="23">
        <f t="shared" si="2"/>
        <v>0</v>
      </c>
      <c r="V1233" s="23">
        <f t="shared" si="3"/>
        <v>0</v>
      </c>
      <c r="W1233" s="23">
        <f t="shared" si="4"/>
        <v>0</v>
      </c>
      <c r="X1233" s="24" t="str">
        <f t="shared" si="5"/>
        <v>#DIV/0!</v>
      </c>
    </row>
    <row r="1234">
      <c r="A1234" s="15" t="s">
        <v>5167</v>
      </c>
      <c r="B1234" s="18" t="str">
        <f t="shared" si="30"/>
        <v>75045892137</v>
      </c>
      <c r="C1234" s="16"/>
      <c r="D1234" s="15" t="s">
        <v>5168</v>
      </c>
      <c r="E1234" s="17" t="s">
        <v>5169</v>
      </c>
      <c r="F1234" s="18"/>
      <c r="G1234" s="18"/>
      <c r="H1234" s="15" t="s">
        <v>5170</v>
      </c>
      <c r="I1234" s="15"/>
      <c r="J1234" s="19" t="s">
        <v>59</v>
      </c>
      <c r="K1234" s="19" t="s">
        <v>2396</v>
      </c>
      <c r="L1234" s="19" t="s">
        <v>38</v>
      </c>
      <c r="M1234" s="20">
        <f t="shared" si="1"/>
        <v>0</v>
      </c>
      <c r="N1234" s="21"/>
      <c r="O1234" s="22"/>
      <c r="P1234" s="19" t="s">
        <v>3578</v>
      </c>
      <c r="Q1234" s="18"/>
      <c r="R1234" s="18"/>
      <c r="S1234" s="23">
        <v>0.0</v>
      </c>
      <c r="T1234" s="23">
        <v>0.0</v>
      </c>
      <c r="U1234" s="23">
        <f t="shared" si="2"/>
        <v>0</v>
      </c>
      <c r="V1234" s="23">
        <f t="shared" si="3"/>
        <v>0</v>
      </c>
      <c r="W1234" s="23">
        <f t="shared" si="4"/>
        <v>0</v>
      </c>
      <c r="X1234" s="24" t="str">
        <f t="shared" si="5"/>
        <v>#DIV/0!</v>
      </c>
    </row>
    <row r="1235">
      <c r="A1235" s="15" t="s">
        <v>5171</v>
      </c>
      <c r="B1235" s="18" t="str">
        <f t="shared" si="30"/>
        <v>75045892139</v>
      </c>
      <c r="C1235" s="16"/>
      <c r="D1235" s="15" t="s">
        <v>5172</v>
      </c>
      <c r="E1235" s="17" t="s">
        <v>5173</v>
      </c>
      <c r="F1235" s="18"/>
      <c r="G1235" s="18"/>
      <c r="H1235" s="15" t="s">
        <v>5174</v>
      </c>
      <c r="I1235" s="15"/>
      <c r="J1235" s="19" t="s">
        <v>59</v>
      </c>
      <c r="K1235" s="19" t="s">
        <v>2396</v>
      </c>
      <c r="L1235" s="19" t="s">
        <v>38</v>
      </c>
      <c r="M1235" s="20">
        <f t="shared" si="1"/>
        <v>0</v>
      </c>
      <c r="N1235" s="21"/>
      <c r="O1235" s="22"/>
      <c r="P1235" s="19" t="s">
        <v>3578</v>
      </c>
      <c r="Q1235" s="18"/>
      <c r="R1235" s="18"/>
      <c r="S1235" s="23">
        <v>0.0</v>
      </c>
      <c r="T1235" s="23">
        <v>0.0</v>
      </c>
      <c r="U1235" s="23">
        <f t="shared" si="2"/>
        <v>0</v>
      </c>
      <c r="V1235" s="23">
        <f t="shared" si="3"/>
        <v>0</v>
      </c>
      <c r="W1235" s="23">
        <f t="shared" si="4"/>
        <v>0</v>
      </c>
      <c r="X1235" s="24" t="str">
        <f t="shared" si="5"/>
        <v>#DIV/0!</v>
      </c>
    </row>
    <row r="1236">
      <c r="A1236" s="15" t="s">
        <v>5175</v>
      </c>
      <c r="B1236" s="15" t="s">
        <v>5176</v>
      </c>
      <c r="C1236" s="16"/>
      <c r="D1236" s="15" t="s">
        <v>5177</v>
      </c>
      <c r="E1236" s="17" t="s">
        <v>5178</v>
      </c>
      <c r="F1236" s="18"/>
      <c r="G1236" s="18"/>
      <c r="H1236" s="15" t="s">
        <v>5179</v>
      </c>
      <c r="I1236" s="18"/>
      <c r="J1236" s="19" t="s">
        <v>59</v>
      </c>
      <c r="K1236" s="33"/>
      <c r="L1236" s="19" t="s">
        <v>177</v>
      </c>
      <c r="M1236" s="20">
        <f t="shared" si="1"/>
        <v>0</v>
      </c>
      <c r="N1236" s="21"/>
      <c r="O1236" s="22"/>
      <c r="P1236" s="19" t="s">
        <v>3578</v>
      </c>
      <c r="Q1236" s="18"/>
      <c r="R1236" s="18"/>
      <c r="S1236" s="23">
        <v>0.0</v>
      </c>
      <c r="T1236" s="23">
        <v>0.0</v>
      </c>
      <c r="U1236" s="23">
        <f t="shared" si="2"/>
        <v>0</v>
      </c>
      <c r="V1236" s="23">
        <f t="shared" si="3"/>
        <v>0</v>
      </c>
      <c r="W1236" s="23">
        <f t="shared" si="4"/>
        <v>0</v>
      </c>
      <c r="X1236" s="24" t="str">
        <f t="shared" si="5"/>
        <v>#DIV/0!</v>
      </c>
    </row>
    <row r="1237">
      <c r="A1237" s="15" t="s">
        <v>5180</v>
      </c>
      <c r="B1237" s="15" t="str">
        <f t="shared" ref="B1237:B1238" si="31">CONCATENATE(7504589,A1237)</f>
        <v>75045892154</v>
      </c>
      <c r="C1237" s="16"/>
      <c r="D1237" s="15" t="s">
        <v>5181</v>
      </c>
      <c r="E1237" s="17" t="s">
        <v>5182</v>
      </c>
      <c r="F1237" s="18"/>
      <c r="G1237" s="18"/>
      <c r="H1237" s="15" t="s">
        <v>5183</v>
      </c>
      <c r="I1237" s="15"/>
      <c r="J1237" s="19" t="s">
        <v>59</v>
      </c>
      <c r="K1237" s="19" t="s">
        <v>52</v>
      </c>
      <c r="L1237" s="19" t="s">
        <v>147</v>
      </c>
      <c r="M1237" s="20">
        <f t="shared" si="1"/>
        <v>0</v>
      </c>
      <c r="N1237" s="37" t="s">
        <v>68</v>
      </c>
      <c r="O1237" s="22"/>
      <c r="P1237" s="19" t="s">
        <v>3578</v>
      </c>
      <c r="Q1237" s="18"/>
      <c r="R1237" s="18"/>
      <c r="S1237" s="23">
        <v>0.0</v>
      </c>
      <c r="T1237" s="23">
        <v>0.0</v>
      </c>
      <c r="U1237" s="23">
        <f t="shared" si="2"/>
        <v>0</v>
      </c>
      <c r="V1237" s="23">
        <f t="shared" si="3"/>
        <v>0</v>
      </c>
      <c r="W1237" s="23">
        <f t="shared" si="4"/>
        <v>0</v>
      </c>
      <c r="X1237" s="24" t="str">
        <f t="shared" si="5"/>
        <v>#DIV/0!</v>
      </c>
    </row>
    <row r="1238">
      <c r="A1238" s="15" t="s">
        <v>5184</v>
      </c>
      <c r="B1238" s="18" t="str">
        <f t="shared" si="31"/>
        <v>75045892178</v>
      </c>
      <c r="C1238" s="16"/>
      <c r="D1238" s="15" t="s">
        <v>5185</v>
      </c>
      <c r="E1238" s="17" t="s">
        <v>5186</v>
      </c>
      <c r="F1238" s="18"/>
      <c r="G1238" s="18"/>
      <c r="H1238" s="15" t="s">
        <v>5187</v>
      </c>
      <c r="I1238" s="15"/>
      <c r="J1238" s="19" t="s">
        <v>59</v>
      </c>
      <c r="K1238" s="19" t="s">
        <v>52</v>
      </c>
      <c r="L1238" s="19" t="s">
        <v>38</v>
      </c>
      <c r="M1238" s="20">
        <f t="shared" si="1"/>
        <v>0</v>
      </c>
      <c r="N1238" s="21"/>
      <c r="O1238" s="22"/>
      <c r="P1238" s="19" t="s">
        <v>3578</v>
      </c>
      <c r="Q1238" s="18"/>
      <c r="R1238" s="18"/>
      <c r="S1238" s="23">
        <v>0.0</v>
      </c>
      <c r="T1238" s="23">
        <v>0.0</v>
      </c>
      <c r="U1238" s="23">
        <f t="shared" si="2"/>
        <v>0</v>
      </c>
      <c r="V1238" s="23">
        <f t="shared" si="3"/>
        <v>0</v>
      </c>
      <c r="W1238" s="23">
        <f t="shared" si="4"/>
        <v>0</v>
      </c>
      <c r="X1238" s="24" t="str">
        <f t="shared" si="5"/>
        <v>#DIV/0!</v>
      </c>
    </row>
    <row r="1239">
      <c r="A1239" s="15" t="s">
        <v>5188</v>
      </c>
      <c r="B1239" s="15" t="s">
        <v>5189</v>
      </c>
      <c r="C1239" s="16"/>
      <c r="D1239" s="15" t="s">
        <v>5190</v>
      </c>
      <c r="E1239" s="17" t="s">
        <v>5191</v>
      </c>
      <c r="F1239" s="18"/>
      <c r="G1239" s="18"/>
      <c r="H1239" s="15" t="s">
        <v>5192</v>
      </c>
      <c r="I1239" s="18"/>
      <c r="J1239" s="19" t="s">
        <v>59</v>
      </c>
      <c r="K1239" s="19" t="s">
        <v>52</v>
      </c>
      <c r="L1239" s="19" t="s">
        <v>52</v>
      </c>
      <c r="M1239" s="20">
        <f t="shared" si="1"/>
        <v>0</v>
      </c>
      <c r="N1239" s="21"/>
      <c r="O1239" s="22"/>
      <c r="P1239" s="19" t="s">
        <v>3578</v>
      </c>
      <c r="Q1239" s="18"/>
      <c r="R1239" s="18"/>
      <c r="S1239" s="23">
        <v>0.0</v>
      </c>
      <c r="T1239" s="23">
        <v>0.0</v>
      </c>
      <c r="U1239" s="23">
        <f t="shared" si="2"/>
        <v>0</v>
      </c>
      <c r="V1239" s="23">
        <f t="shared" si="3"/>
        <v>0</v>
      </c>
      <c r="W1239" s="23">
        <f t="shared" si="4"/>
        <v>0</v>
      </c>
      <c r="X1239" s="24" t="str">
        <f t="shared" si="5"/>
        <v>#DIV/0!</v>
      </c>
    </row>
    <row r="1240">
      <c r="A1240" s="15" t="s">
        <v>5193</v>
      </c>
      <c r="B1240" s="15" t="s">
        <v>5194</v>
      </c>
      <c r="C1240" s="16"/>
      <c r="D1240" s="15" t="s">
        <v>5195</v>
      </c>
      <c r="E1240" s="17" t="s">
        <v>5196</v>
      </c>
      <c r="F1240" s="18"/>
      <c r="G1240" s="18"/>
      <c r="H1240" s="15" t="s">
        <v>5197</v>
      </c>
      <c r="I1240" s="18"/>
      <c r="J1240" s="19" t="s">
        <v>59</v>
      </c>
      <c r="K1240" s="19" t="s">
        <v>60</v>
      </c>
      <c r="L1240" s="19" t="s">
        <v>52</v>
      </c>
      <c r="M1240" s="20">
        <f t="shared" si="1"/>
        <v>0</v>
      </c>
      <c r="N1240" s="21"/>
      <c r="O1240" s="22"/>
      <c r="P1240" s="19" t="s">
        <v>3578</v>
      </c>
      <c r="Q1240" s="18"/>
      <c r="R1240" s="18"/>
      <c r="S1240" s="23">
        <v>0.0</v>
      </c>
      <c r="T1240" s="23">
        <v>0.0</v>
      </c>
      <c r="U1240" s="23">
        <f t="shared" si="2"/>
        <v>0</v>
      </c>
      <c r="V1240" s="23">
        <f t="shared" si="3"/>
        <v>0</v>
      </c>
      <c r="W1240" s="23">
        <f t="shared" si="4"/>
        <v>0</v>
      </c>
      <c r="X1240" s="24" t="str">
        <f t="shared" si="5"/>
        <v>#DIV/0!</v>
      </c>
    </row>
    <row r="1241">
      <c r="A1241" s="15" t="s">
        <v>5198</v>
      </c>
      <c r="B1241" s="18" t="str">
        <f>CONCATENATE(7504589, A1241)</f>
        <v>75045892205</v>
      </c>
      <c r="C1241" s="16"/>
      <c r="D1241" s="15" t="s">
        <v>1361</v>
      </c>
      <c r="E1241" s="17" t="s">
        <v>1362</v>
      </c>
      <c r="F1241" s="18"/>
      <c r="G1241" s="18"/>
      <c r="H1241" s="15" t="s">
        <v>5199</v>
      </c>
      <c r="I1241" s="15"/>
      <c r="J1241" s="19" t="s">
        <v>59</v>
      </c>
      <c r="K1241" s="19" t="s">
        <v>691</v>
      </c>
      <c r="L1241" s="19" t="s">
        <v>38</v>
      </c>
      <c r="M1241" s="20">
        <f t="shared" si="1"/>
        <v>0</v>
      </c>
      <c r="N1241" s="21"/>
      <c r="O1241" s="22"/>
      <c r="P1241" s="19" t="s">
        <v>3578</v>
      </c>
      <c r="Q1241" s="18"/>
      <c r="R1241" s="18"/>
      <c r="S1241" s="23">
        <v>0.0</v>
      </c>
      <c r="T1241" s="23">
        <v>0.0</v>
      </c>
      <c r="U1241" s="23">
        <f t="shared" si="2"/>
        <v>0</v>
      </c>
      <c r="V1241" s="23">
        <f t="shared" si="3"/>
        <v>0</v>
      </c>
      <c r="W1241" s="23">
        <f t="shared" si="4"/>
        <v>0</v>
      </c>
      <c r="X1241" s="24" t="str">
        <f t="shared" si="5"/>
        <v>#DIV/0!</v>
      </c>
    </row>
    <row r="1242">
      <c r="A1242" s="15" t="s">
        <v>5200</v>
      </c>
      <c r="B1242" s="18" t="str">
        <f t="shared" ref="B1242:B1244" si="32">CONCATENATE(7504589,A1242)</f>
        <v>75045892225</v>
      </c>
      <c r="C1242" s="16"/>
      <c r="D1242" s="15" t="s">
        <v>5201</v>
      </c>
      <c r="E1242" s="17" t="s">
        <v>5202</v>
      </c>
      <c r="F1242" s="18"/>
      <c r="G1242" s="18"/>
      <c r="H1242" s="15" t="s">
        <v>5203</v>
      </c>
      <c r="I1242" s="15"/>
      <c r="J1242" s="19" t="s">
        <v>59</v>
      </c>
      <c r="K1242" s="19" t="s">
        <v>2396</v>
      </c>
      <c r="L1242" s="19" t="s">
        <v>38</v>
      </c>
      <c r="M1242" s="20">
        <f t="shared" si="1"/>
        <v>0</v>
      </c>
      <c r="N1242" s="21"/>
      <c r="O1242" s="22"/>
      <c r="P1242" s="19" t="s">
        <v>3578</v>
      </c>
      <c r="Q1242" s="18"/>
      <c r="R1242" s="18"/>
      <c r="S1242" s="23">
        <v>0.0</v>
      </c>
      <c r="T1242" s="23">
        <v>0.0</v>
      </c>
      <c r="U1242" s="23">
        <f t="shared" si="2"/>
        <v>0</v>
      </c>
      <c r="V1242" s="23">
        <f t="shared" si="3"/>
        <v>0</v>
      </c>
      <c r="W1242" s="23">
        <f t="shared" si="4"/>
        <v>0</v>
      </c>
      <c r="X1242" s="24" t="str">
        <f t="shared" si="5"/>
        <v>#DIV/0!</v>
      </c>
    </row>
    <row r="1243">
      <c r="A1243" s="15" t="s">
        <v>5204</v>
      </c>
      <c r="B1243" s="18" t="str">
        <f t="shared" si="32"/>
        <v>75045892226</v>
      </c>
      <c r="C1243" s="16"/>
      <c r="D1243" s="15" t="s">
        <v>5205</v>
      </c>
      <c r="E1243" s="17" t="s">
        <v>5206</v>
      </c>
      <c r="F1243" s="18"/>
      <c r="G1243" s="18"/>
      <c r="H1243" s="15" t="s">
        <v>5207</v>
      </c>
      <c r="I1243" s="15"/>
      <c r="J1243" s="19" t="s">
        <v>59</v>
      </c>
      <c r="K1243" s="19" t="s">
        <v>2396</v>
      </c>
      <c r="L1243" s="19" t="s">
        <v>38</v>
      </c>
      <c r="M1243" s="20">
        <f t="shared" si="1"/>
        <v>0</v>
      </c>
      <c r="N1243" s="21"/>
      <c r="O1243" s="22"/>
      <c r="P1243" s="19" t="s">
        <v>3578</v>
      </c>
      <c r="Q1243" s="18"/>
      <c r="R1243" s="18"/>
      <c r="S1243" s="23">
        <v>0.0</v>
      </c>
      <c r="T1243" s="23">
        <v>0.0</v>
      </c>
      <c r="U1243" s="23">
        <f t="shared" si="2"/>
        <v>0</v>
      </c>
      <c r="V1243" s="23">
        <f t="shared" si="3"/>
        <v>0</v>
      </c>
      <c r="W1243" s="23">
        <f t="shared" si="4"/>
        <v>0</v>
      </c>
      <c r="X1243" s="24" t="str">
        <f t="shared" si="5"/>
        <v>#DIV/0!</v>
      </c>
    </row>
    <row r="1244">
      <c r="A1244" s="15" t="s">
        <v>5208</v>
      </c>
      <c r="B1244" s="18" t="str">
        <f t="shared" si="32"/>
        <v>75045892227</v>
      </c>
      <c r="C1244" s="16"/>
      <c r="D1244" s="15" t="s">
        <v>5209</v>
      </c>
      <c r="E1244" s="17" t="s">
        <v>5210</v>
      </c>
      <c r="F1244" s="18"/>
      <c r="G1244" s="18"/>
      <c r="H1244" s="15" t="s">
        <v>5211</v>
      </c>
      <c r="I1244" s="15"/>
      <c r="J1244" s="19" t="s">
        <v>59</v>
      </c>
      <c r="K1244" s="19" t="s">
        <v>691</v>
      </c>
      <c r="L1244" s="19" t="s">
        <v>38</v>
      </c>
      <c r="M1244" s="20">
        <f t="shared" si="1"/>
        <v>0</v>
      </c>
      <c r="N1244" s="21"/>
      <c r="O1244" s="22"/>
      <c r="P1244" s="19" t="s">
        <v>3578</v>
      </c>
      <c r="Q1244" s="18"/>
      <c r="R1244" s="18"/>
      <c r="S1244" s="23">
        <v>0.0</v>
      </c>
      <c r="T1244" s="23">
        <v>0.0</v>
      </c>
      <c r="U1244" s="23">
        <f t="shared" si="2"/>
        <v>0</v>
      </c>
      <c r="V1244" s="23">
        <f t="shared" si="3"/>
        <v>0</v>
      </c>
      <c r="W1244" s="23">
        <f t="shared" si="4"/>
        <v>0</v>
      </c>
      <c r="X1244" s="24" t="str">
        <f t="shared" si="5"/>
        <v>#DIV/0!</v>
      </c>
    </row>
    <row r="1245">
      <c r="A1245" s="15" t="s">
        <v>5212</v>
      </c>
      <c r="B1245" s="15" t="s">
        <v>5213</v>
      </c>
      <c r="C1245" s="16"/>
      <c r="D1245" s="15" t="s">
        <v>5214</v>
      </c>
      <c r="E1245" s="17" t="s">
        <v>5215</v>
      </c>
      <c r="F1245" s="18"/>
      <c r="G1245" s="18"/>
      <c r="H1245" s="15" t="s">
        <v>5216</v>
      </c>
      <c r="I1245" s="18"/>
      <c r="J1245" s="19" t="s">
        <v>59</v>
      </c>
      <c r="K1245" s="19" t="s">
        <v>60</v>
      </c>
      <c r="L1245" s="19" t="s">
        <v>52</v>
      </c>
      <c r="M1245" s="20">
        <f t="shared" si="1"/>
        <v>0</v>
      </c>
      <c r="N1245" s="21"/>
      <c r="O1245" s="22"/>
      <c r="P1245" s="19" t="s">
        <v>3578</v>
      </c>
      <c r="Q1245" s="18"/>
      <c r="R1245" s="18"/>
      <c r="S1245" s="23">
        <v>0.0</v>
      </c>
      <c r="T1245" s="23">
        <v>0.0</v>
      </c>
      <c r="U1245" s="23">
        <f t="shared" si="2"/>
        <v>0</v>
      </c>
      <c r="V1245" s="23">
        <f t="shared" si="3"/>
        <v>0</v>
      </c>
      <c r="W1245" s="23">
        <f t="shared" si="4"/>
        <v>0</v>
      </c>
      <c r="X1245" s="24" t="str">
        <f t="shared" si="5"/>
        <v>#DIV/0!</v>
      </c>
    </row>
    <row r="1246">
      <c r="A1246" s="15" t="s">
        <v>5217</v>
      </c>
      <c r="B1246" s="18" t="str">
        <f t="shared" ref="B1246:B1248" si="33">CONCATENATE(7504589,A1246)</f>
        <v>75045892233</v>
      </c>
      <c r="C1246" s="16"/>
      <c r="D1246" s="15" t="s">
        <v>5218</v>
      </c>
      <c r="E1246" s="17" t="s">
        <v>5219</v>
      </c>
      <c r="F1246" s="18"/>
      <c r="G1246" s="18"/>
      <c r="H1246" s="15" t="s">
        <v>5220</v>
      </c>
      <c r="I1246" s="15" t="s">
        <v>5221</v>
      </c>
      <c r="J1246" s="19" t="s">
        <v>59</v>
      </c>
      <c r="K1246" s="19" t="s">
        <v>2396</v>
      </c>
      <c r="L1246" s="19" t="s">
        <v>38</v>
      </c>
      <c r="M1246" s="20">
        <f t="shared" si="1"/>
        <v>0</v>
      </c>
      <c r="N1246" s="21"/>
      <c r="O1246" s="22"/>
      <c r="P1246" s="19" t="s">
        <v>3578</v>
      </c>
      <c r="Q1246" s="18"/>
      <c r="R1246" s="18"/>
      <c r="S1246" s="23">
        <v>0.0</v>
      </c>
      <c r="T1246" s="23">
        <v>0.0</v>
      </c>
      <c r="U1246" s="23">
        <f t="shared" si="2"/>
        <v>0</v>
      </c>
      <c r="V1246" s="23">
        <f t="shared" si="3"/>
        <v>0</v>
      </c>
      <c r="W1246" s="23">
        <f t="shared" si="4"/>
        <v>0</v>
      </c>
      <c r="X1246" s="24" t="str">
        <f t="shared" si="5"/>
        <v>#DIV/0!</v>
      </c>
    </row>
    <row r="1247">
      <c r="A1247" s="15" t="s">
        <v>5222</v>
      </c>
      <c r="B1247" s="18" t="str">
        <f t="shared" si="33"/>
        <v>75045892235</v>
      </c>
      <c r="C1247" s="16"/>
      <c r="D1247" s="15" t="s">
        <v>5223</v>
      </c>
      <c r="E1247" s="17" t="s">
        <v>5224</v>
      </c>
      <c r="F1247" s="18"/>
      <c r="G1247" s="18"/>
      <c r="H1247" s="15" t="s">
        <v>5225</v>
      </c>
      <c r="I1247" s="15"/>
      <c r="J1247" s="19" t="s">
        <v>59</v>
      </c>
      <c r="K1247" s="19" t="s">
        <v>2396</v>
      </c>
      <c r="L1247" s="19" t="s">
        <v>38</v>
      </c>
      <c r="M1247" s="20">
        <f t="shared" si="1"/>
        <v>0</v>
      </c>
      <c r="N1247" s="21"/>
      <c r="O1247" s="22"/>
      <c r="P1247" s="19" t="s">
        <v>3578</v>
      </c>
      <c r="Q1247" s="18"/>
      <c r="R1247" s="18"/>
      <c r="S1247" s="23">
        <v>0.0</v>
      </c>
      <c r="T1247" s="23">
        <v>0.0</v>
      </c>
      <c r="U1247" s="23">
        <f t="shared" si="2"/>
        <v>0</v>
      </c>
      <c r="V1247" s="23">
        <f t="shared" si="3"/>
        <v>0</v>
      </c>
      <c r="W1247" s="23">
        <f t="shared" si="4"/>
        <v>0</v>
      </c>
      <c r="X1247" s="24" t="str">
        <f t="shared" si="5"/>
        <v>#DIV/0!</v>
      </c>
    </row>
    <row r="1248">
      <c r="A1248" s="15" t="s">
        <v>5226</v>
      </c>
      <c r="B1248" s="18" t="str">
        <f t="shared" si="33"/>
        <v>75045892250</v>
      </c>
      <c r="C1248" s="16"/>
      <c r="D1248" s="15" t="s">
        <v>5227</v>
      </c>
      <c r="E1248" s="17" t="s">
        <v>5228</v>
      </c>
      <c r="F1248" s="18"/>
      <c r="G1248" s="18"/>
      <c r="H1248" s="15" t="s">
        <v>5229</v>
      </c>
      <c r="I1248" s="15" t="s">
        <v>5230</v>
      </c>
      <c r="J1248" s="19" t="s">
        <v>59</v>
      </c>
      <c r="K1248" s="19" t="s">
        <v>2401</v>
      </c>
      <c r="L1248" s="19" t="s">
        <v>38</v>
      </c>
      <c r="M1248" s="20">
        <f t="shared" si="1"/>
        <v>0</v>
      </c>
      <c r="N1248" s="21"/>
      <c r="O1248" s="22"/>
      <c r="P1248" s="19" t="s">
        <v>3578</v>
      </c>
      <c r="Q1248" s="18"/>
      <c r="R1248" s="18"/>
      <c r="S1248" s="23">
        <v>0.0</v>
      </c>
      <c r="T1248" s="23">
        <v>0.0</v>
      </c>
      <c r="U1248" s="23">
        <f t="shared" si="2"/>
        <v>0</v>
      </c>
      <c r="V1248" s="23">
        <f t="shared" si="3"/>
        <v>0</v>
      </c>
      <c r="W1248" s="23">
        <f t="shared" si="4"/>
        <v>0</v>
      </c>
      <c r="X1248" s="24" t="str">
        <f t="shared" si="5"/>
        <v>#DIV/0!</v>
      </c>
    </row>
    <row r="1249">
      <c r="A1249" s="15" t="s">
        <v>5231</v>
      </c>
      <c r="B1249" s="18"/>
      <c r="C1249" s="16"/>
      <c r="D1249" s="18"/>
      <c r="E1249" s="17" t="s">
        <v>5232</v>
      </c>
      <c r="F1249" s="18"/>
      <c r="G1249" s="18"/>
      <c r="H1249" s="15" t="s">
        <v>5233</v>
      </c>
      <c r="I1249" s="15" t="s">
        <v>3869</v>
      </c>
      <c r="J1249" s="19" t="s">
        <v>59</v>
      </c>
      <c r="K1249" s="19" t="s">
        <v>2396</v>
      </c>
      <c r="L1249" s="19" t="s">
        <v>38</v>
      </c>
      <c r="M1249" s="20">
        <f t="shared" si="1"/>
        <v>0</v>
      </c>
      <c r="N1249" s="21"/>
      <c r="O1249" s="22"/>
      <c r="P1249" s="19" t="s">
        <v>3578</v>
      </c>
      <c r="Q1249" s="18"/>
      <c r="R1249" s="18"/>
      <c r="S1249" s="23">
        <v>0.0</v>
      </c>
      <c r="T1249" s="23">
        <v>0.0</v>
      </c>
      <c r="U1249" s="23">
        <f t="shared" si="2"/>
        <v>0</v>
      </c>
      <c r="V1249" s="23">
        <f t="shared" si="3"/>
        <v>0</v>
      </c>
      <c r="W1249" s="23">
        <f t="shared" si="4"/>
        <v>0</v>
      </c>
      <c r="X1249" s="24" t="str">
        <f t="shared" si="5"/>
        <v>#DIV/0!</v>
      </c>
    </row>
    <row r="1250">
      <c r="A1250" s="15" t="s">
        <v>5234</v>
      </c>
      <c r="B1250" s="18"/>
      <c r="C1250" s="16"/>
      <c r="D1250" s="18"/>
      <c r="E1250" s="17" t="s">
        <v>5235</v>
      </c>
      <c r="F1250" s="18"/>
      <c r="G1250" s="18"/>
      <c r="H1250" s="15" t="s">
        <v>5236</v>
      </c>
      <c r="I1250" s="15" t="s">
        <v>3884</v>
      </c>
      <c r="J1250" s="19" t="s">
        <v>59</v>
      </c>
      <c r="K1250" s="19" t="s">
        <v>2401</v>
      </c>
      <c r="L1250" s="19" t="s">
        <v>38</v>
      </c>
      <c r="M1250" s="20">
        <f t="shared" si="1"/>
        <v>0</v>
      </c>
      <c r="N1250" s="21"/>
      <c r="O1250" s="22"/>
      <c r="P1250" s="19" t="s">
        <v>3578</v>
      </c>
      <c r="Q1250" s="18"/>
      <c r="R1250" s="18"/>
      <c r="S1250" s="23">
        <v>0.0</v>
      </c>
      <c r="T1250" s="23">
        <v>0.0</v>
      </c>
      <c r="U1250" s="23">
        <f t="shared" si="2"/>
        <v>0</v>
      </c>
      <c r="V1250" s="23">
        <f t="shared" si="3"/>
        <v>0</v>
      </c>
      <c r="W1250" s="23">
        <f t="shared" si="4"/>
        <v>0</v>
      </c>
      <c r="X1250" s="24" t="str">
        <f t="shared" si="5"/>
        <v>#DIV/0!</v>
      </c>
    </row>
    <row r="1251">
      <c r="A1251" s="15" t="s">
        <v>5237</v>
      </c>
      <c r="B1251" s="18" t="str">
        <f t="shared" ref="B1251:B1252" si="34">CONCATENATE(7504589,A1251)</f>
        <v>75045892259</v>
      </c>
      <c r="C1251" s="16"/>
      <c r="D1251" s="15" t="s">
        <v>3882</v>
      </c>
      <c r="E1251" s="17" t="s">
        <v>5238</v>
      </c>
      <c r="F1251" s="18"/>
      <c r="G1251" s="18"/>
      <c r="H1251" s="15" t="s">
        <v>5239</v>
      </c>
      <c r="I1251" s="15"/>
      <c r="J1251" s="19" t="s">
        <v>59</v>
      </c>
      <c r="K1251" s="19" t="s">
        <v>2401</v>
      </c>
      <c r="L1251" s="19" t="s">
        <v>38</v>
      </c>
      <c r="M1251" s="20">
        <f t="shared" si="1"/>
        <v>0</v>
      </c>
      <c r="N1251" s="21"/>
      <c r="O1251" s="22"/>
      <c r="P1251" s="19" t="s">
        <v>3578</v>
      </c>
      <c r="Q1251" s="18"/>
      <c r="R1251" s="18"/>
      <c r="S1251" s="23">
        <v>0.0</v>
      </c>
      <c r="T1251" s="23">
        <v>0.0</v>
      </c>
      <c r="U1251" s="23">
        <f t="shared" si="2"/>
        <v>0</v>
      </c>
      <c r="V1251" s="23">
        <f t="shared" si="3"/>
        <v>0</v>
      </c>
      <c r="W1251" s="23">
        <f t="shared" si="4"/>
        <v>0</v>
      </c>
      <c r="X1251" s="24" t="str">
        <f t="shared" si="5"/>
        <v>#DIV/0!</v>
      </c>
    </row>
    <row r="1252">
      <c r="A1252" s="15" t="s">
        <v>5240</v>
      </c>
      <c r="B1252" s="18" t="str">
        <f t="shared" si="34"/>
        <v>75045892262</v>
      </c>
      <c r="C1252" s="16"/>
      <c r="D1252" s="15" t="s">
        <v>256</v>
      </c>
      <c r="E1252" s="17" t="s">
        <v>5241</v>
      </c>
      <c r="F1252" s="18"/>
      <c r="G1252" s="18"/>
      <c r="H1252" s="15" t="s">
        <v>5242</v>
      </c>
      <c r="I1252" s="15"/>
      <c r="J1252" s="19" t="s">
        <v>59</v>
      </c>
      <c r="K1252" s="19" t="s">
        <v>2401</v>
      </c>
      <c r="L1252" s="19" t="s">
        <v>38</v>
      </c>
      <c r="M1252" s="20">
        <f t="shared" si="1"/>
        <v>0</v>
      </c>
      <c r="N1252" s="21"/>
      <c r="O1252" s="22"/>
      <c r="P1252" s="19" t="s">
        <v>3578</v>
      </c>
      <c r="Q1252" s="18"/>
      <c r="R1252" s="18"/>
      <c r="S1252" s="23">
        <v>0.0</v>
      </c>
      <c r="T1252" s="23">
        <v>0.0</v>
      </c>
      <c r="U1252" s="23">
        <f t="shared" si="2"/>
        <v>0</v>
      </c>
      <c r="V1252" s="23">
        <f t="shared" si="3"/>
        <v>0</v>
      </c>
      <c r="W1252" s="23">
        <f t="shared" si="4"/>
        <v>0</v>
      </c>
      <c r="X1252" s="24" t="str">
        <f t="shared" si="5"/>
        <v>#DIV/0!</v>
      </c>
    </row>
    <row r="1253">
      <c r="A1253" s="15" t="s">
        <v>5243</v>
      </c>
      <c r="B1253" s="18"/>
      <c r="C1253" s="16"/>
      <c r="D1253" s="15" t="s">
        <v>5244</v>
      </c>
      <c r="E1253" s="17" t="s">
        <v>5245</v>
      </c>
      <c r="F1253" s="18"/>
      <c r="G1253" s="18"/>
      <c r="H1253" s="15" t="s">
        <v>5246</v>
      </c>
      <c r="I1253" s="15" t="s">
        <v>5247</v>
      </c>
      <c r="J1253" s="19" t="s">
        <v>59</v>
      </c>
      <c r="K1253" s="19" t="s">
        <v>2396</v>
      </c>
      <c r="L1253" s="19" t="s">
        <v>38</v>
      </c>
      <c r="M1253" s="20">
        <f t="shared" si="1"/>
        <v>0</v>
      </c>
      <c r="N1253" s="21"/>
      <c r="O1253" s="22"/>
      <c r="P1253" s="19" t="s">
        <v>3578</v>
      </c>
      <c r="Q1253" s="18"/>
      <c r="R1253" s="18"/>
      <c r="S1253" s="23">
        <v>0.0</v>
      </c>
      <c r="T1253" s="23">
        <v>0.0</v>
      </c>
      <c r="U1253" s="23">
        <f t="shared" si="2"/>
        <v>0</v>
      </c>
      <c r="V1253" s="23">
        <f t="shared" si="3"/>
        <v>0</v>
      </c>
      <c r="W1253" s="23">
        <f t="shared" si="4"/>
        <v>0</v>
      </c>
      <c r="X1253" s="24" t="str">
        <f t="shared" si="5"/>
        <v>#DIV/0!</v>
      </c>
    </row>
    <row r="1254">
      <c r="A1254" s="15" t="s">
        <v>5248</v>
      </c>
      <c r="B1254" s="18" t="str">
        <f t="shared" ref="B1254:B1256" si="35">CONCATENATE(7504589,A1254)</f>
        <v>75045892283</v>
      </c>
      <c r="C1254" s="16"/>
      <c r="D1254" s="15" t="s">
        <v>5249</v>
      </c>
      <c r="E1254" s="17" t="s">
        <v>5250</v>
      </c>
      <c r="F1254" s="18"/>
      <c r="G1254" s="18"/>
      <c r="H1254" s="15" t="s">
        <v>5251</v>
      </c>
      <c r="I1254" s="15" t="s">
        <v>5252</v>
      </c>
      <c r="J1254" s="19" t="s">
        <v>59</v>
      </c>
      <c r="K1254" s="19" t="s">
        <v>691</v>
      </c>
      <c r="L1254" s="19" t="s">
        <v>38</v>
      </c>
      <c r="M1254" s="20">
        <f t="shared" si="1"/>
        <v>0</v>
      </c>
      <c r="N1254" s="21"/>
      <c r="O1254" s="22"/>
      <c r="P1254" s="19" t="s">
        <v>3578</v>
      </c>
      <c r="Q1254" s="18"/>
      <c r="R1254" s="18"/>
      <c r="S1254" s="23">
        <v>0.0</v>
      </c>
      <c r="T1254" s="23">
        <v>0.0</v>
      </c>
      <c r="U1254" s="23">
        <f t="shared" si="2"/>
        <v>0</v>
      </c>
      <c r="V1254" s="23">
        <f t="shared" si="3"/>
        <v>0</v>
      </c>
      <c r="W1254" s="23">
        <f t="shared" si="4"/>
        <v>0</v>
      </c>
      <c r="X1254" s="24" t="str">
        <f t="shared" si="5"/>
        <v>#DIV/0!</v>
      </c>
    </row>
    <row r="1255">
      <c r="A1255" s="15" t="s">
        <v>5253</v>
      </c>
      <c r="B1255" s="15" t="str">
        <f t="shared" si="35"/>
        <v>75045892284</v>
      </c>
      <c r="C1255" s="16"/>
      <c r="D1255" s="15" t="s">
        <v>5254</v>
      </c>
      <c r="E1255" s="17" t="s">
        <v>5255</v>
      </c>
      <c r="F1255" s="18"/>
      <c r="G1255" s="18"/>
      <c r="H1255" s="15" t="s">
        <v>5256</v>
      </c>
      <c r="I1255" s="15"/>
      <c r="J1255" s="19" t="s">
        <v>59</v>
      </c>
      <c r="K1255" s="19" t="s">
        <v>691</v>
      </c>
      <c r="L1255" s="19" t="s">
        <v>38</v>
      </c>
      <c r="M1255" s="20">
        <f t="shared" si="1"/>
        <v>0</v>
      </c>
      <c r="N1255" s="21"/>
      <c r="O1255" s="22"/>
      <c r="P1255" s="19" t="s">
        <v>3578</v>
      </c>
      <c r="Q1255" s="18"/>
      <c r="R1255" s="18"/>
      <c r="S1255" s="23">
        <v>0.0</v>
      </c>
      <c r="T1255" s="23">
        <v>0.0</v>
      </c>
      <c r="U1255" s="23">
        <f t="shared" si="2"/>
        <v>0</v>
      </c>
      <c r="V1255" s="23">
        <f t="shared" si="3"/>
        <v>0</v>
      </c>
      <c r="W1255" s="23">
        <f t="shared" si="4"/>
        <v>0</v>
      </c>
      <c r="X1255" s="24" t="str">
        <f t="shared" si="5"/>
        <v>#DIV/0!</v>
      </c>
    </row>
    <row r="1256">
      <c r="A1256" s="15" t="s">
        <v>5257</v>
      </c>
      <c r="B1256" s="18" t="str">
        <f t="shared" si="35"/>
        <v>75045892289</v>
      </c>
      <c r="C1256" s="16"/>
      <c r="D1256" s="15" t="s">
        <v>5258</v>
      </c>
      <c r="E1256" s="17" t="s">
        <v>5259</v>
      </c>
      <c r="F1256" s="18"/>
      <c r="G1256" s="18"/>
      <c r="H1256" s="15" t="s">
        <v>5260</v>
      </c>
      <c r="I1256" s="15"/>
      <c r="J1256" s="19" t="s">
        <v>59</v>
      </c>
      <c r="K1256" s="19" t="s">
        <v>2401</v>
      </c>
      <c r="L1256" s="19" t="s">
        <v>38</v>
      </c>
      <c r="M1256" s="20">
        <f t="shared" si="1"/>
        <v>0</v>
      </c>
      <c r="N1256" s="21"/>
      <c r="O1256" s="22"/>
      <c r="P1256" s="19" t="s">
        <v>3578</v>
      </c>
      <c r="Q1256" s="18"/>
      <c r="R1256" s="18"/>
      <c r="S1256" s="23">
        <v>0.0</v>
      </c>
      <c r="T1256" s="23">
        <v>0.0</v>
      </c>
      <c r="U1256" s="23">
        <f t="shared" si="2"/>
        <v>0</v>
      </c>
      <c r="V1256" s="23">
        <f t="shared" si="3"/>
        <v>0</v>
      </c>
      <c r="W1256" s="23">
        <f t="shared" si="4"/>
        <v>0</v>
      </c>
      <c r="X1256" s="24" t="str">
        <f t="shared" si="5"/>
        <v>#DIV/0!</v>
      </c>
    </row>
    <row r="1257">
      <c r="A1257" s="15" t="s">
        <v>5261</v>
      </c>
      <c r="B1257" s="15" t="s">
        <v>5262</v>
      </c>
      <c r="C1257" s="16"/>
      <c r="D1257" s="15" t="s">
        <v>5249</v>
      </c>
      <c r="E1257" s="17" t="s">
        <v>5263</v>
      </c>
      <c r="F1257" s="18"/>
      <c r="G1257" s="18"/>
      <c r="H1257" s="15" t="s">
        <v>5264</v>
      </c>
      <c r="I1257" s="18"/>
      <c r="J1257" s="19" t="s">
        <v>59</v>
      </c>
      <c r="K1257" s="19" t="s">
        <v>60</v>
      </c>
      <c r="L1257" s="19" t="s">
        <v>38</v>
      </c>
      <c r="M1257" s="20">
        <f t="shared" si="1"/>
        <v>0</v>
      </c>
      <c r="N1257" s="21"/>
      <c r="O1257" s="22"/>
      <c r="P1257" s="19" t="s">
        <v>3578</v>
      </c>
      <c r="Q1257" s="18"/>
      <c r="R1257" s="18"/>
      <c r="S1257" s="23">
        <v>0.0</v>
      </c>
      <c r="T1257" s="23">
        <v>0.0</v>
      </c>
      <c r="U1257" s="23">
        <f t="shared" si="2"/>
        <v>0</v>
      </c>
      <c r="V1257" s="23">
        <f t="shared" si="3"/>
        <v>0</v>
      </c>
      <c r="W1257" s="23">
        <f t="shared" si="4"/>
        <v>0</v>
      </c>
      <c r="X1257" s="24" t="str">
        <f t="shared" si="5"/>
        <v>#DIV/0!</v>
      </c>
    </row>
    <row r="1258">
      <c r="A1258" s="15" t="s">
        <v>5265</v>
      </c>
      <c r="B1258" s="15" t="s">
        <v>5266</v>
      </c>
      <c r="C1258" s="16"/>
      <c r="D1258" s="15" t="s">
        <v>5267</v>
      </c>
      <c r="E1258" s="17" t="s">
        <v>5268</v>
      </c>
      <c r="F1258" s="18"/>
      <c r="G1258" s="18"/>
      <c r="H1258" s="15" t="s">
        <v>5269</v>
      </c>
      <c r="I1258" s="18"/>
      <c r="J1258" s="19" t="s">
        <v>59</v>
      </c>
      <c r="K1258" s="19" t="s">
        <v>60</v>
      </c>
      <c r="L1258" s="19" t="s">
        <v>177</v>
      </c>
      <c r="M1258" s="20">
        <f t="shared" si="1"/>
        <v>0</v>
      </c>
      <c r="N1258" s="21"/>
      <c r="O1258" s="22"/>
      <c r="P1258" s="19" t="s">
        <v>3578</v>
      </c>
      <c r="Q1258" s="18"/>
      <c r="R1258" s="18"/>
      <c r="S1258" s="23">
        <v>0.0</v>
      </c>
      <c r="T1258" s="23">
        <v>0.0</v>
      </c>
      <c r="U1258" s="23">
        <f t="shared" si="2"/>
        <v>0</v>
      </c>
      <c r="V1258" s="23">
        <f t="shared" si="3"/>
        <v>0</v>
      </c>
      <c r="W1258" s="23">
        <f t="shared" si="4"/>
        <v>0</v>
      </c>
      <c r="X1258" s="24" t="str">
        <f t="shared" si="5"/>
        <v>#DIV/0!</v>
      </c>
    </row>
    <row r="1259">
      <c r="A1259" s="15" t="s">
        <v>5270</v>
      </c>
      <c r="B1259" s="15" t="s">
        <v>5271</v>
      </c>
      <c r="C1259" s="16"/>
      <c r="D1259" s="42" t="s">
        <v>5272</v>
      </c>
      <c r="E1259" s="17" t="s">
        <v>5273</v>
      </c>
      <c r="F1259" s="18"/>
      <c r="G1259" s="18"/>
      <c r="H1259" s="15" t="s">
        <v>5274</v>
      </c>
      <c r="I1259" s="15" t="s">
        <v>3912</v>
      </c>
      <c r="J1259" s="19" t="s">
        <v>59</v>
      </c>
      <c r="K1259" s="33"/>
      <c r="L1259" s="19" t="s">
        <v>38</v>
      </c>
      <c r="M1259" s="20">
        <f t="shared" si="1"/>
        <v>0</v>
      </c>
      <c r="N1259" s="21"/>
      <c r="O1259" s="22"/>
      <c r="P1259" s="19" t="s">
        <v>3578</v>
      </c>
      <c r="Q1259" s="18"/>
      <c r="R1259" s="18"/>
      <c r="S1259" s="23">
        <v>0.0</v>
      </c>
      <c r="T1259" s="23">
        <v>0.0</v>
      </c>
      <c r="U1259" s="23">
        <f t="shared" si="2"/>
        <v>0</v>
      </c>
      <c r="V1259" s="23">
        <f t="shared" si="3"/>
        <v>0</v>
      </c>
      <c r="W1259" s="23">
        <f t="shared" si="4"/>
        <v>0</v>
      </c>
      <c r="X1259" s="24" t="str">
        <f t="shared" si="5"/>
        <v>#DIV/0!</v>
      </c>
    </row>
    <row r="1260">
      <c r="A1260" s="15" t="s">
        <v>5275</v>
      </c>
      <c r="B1260" s="15" t="s">
        <v>5276</v>
      </c>
      <c r="C1260" s="16"/>
      <c r="D1260" s="15" t="s">
        <v>5277</v>
      </c>
      <c r="E1260" s="17" t="s">
        <v>5278</v>
      </c>
      <c r="F1260" s="18"/>
      <c r="G1260" s="18"/>
      <c r="H1260" s="15" t="s">
        <v>5279</v>
      </c>
      <c r="I1260" s="18"/>
      <c r="J1260" s="19" t="s">
        <v>104</v>
      </c>
      <c r="K1260" s="19" t="s">
        <v>160</v>
      </c>
      <c r="L1260" s="19" t="s">
        <v>106</v>
      </c>
      <c r="M1260" s="20">
        <f t="shared" si="1"/>
        <v>0</v>
      </c>
      <c r="N1260" s="21"/>
      <c r="O1260" s="22"/>
      <c r="P1260" s="19" t="s">
        <v>3578</v>
      </c>
      <c r="Q1260" s="18"/>
      <c r="R1260" s="18"/>
      <c r="S1260" s="23">
        <v>0.0</v>
      </c>
      <c r="T1260" s="23">
        <v>0.0</v>
      </c>
      <c r="U1260" s="23">
        <f t="shared" si="2"/>
        <v>0</v>
      </c>
      <c r="V1260" s="23">
        <f t="shared" si="3"/>
        <v>0</v>
      </c>
      <c r="W1260" s="23">
        <f t="shared" si="4"/>
        <v>0</v>
      </c>
      <c r="X1260" s="24" t="str">
        <f t="shared" si="5"/>
        <v>#DIV/0!</v>
      </c>
    </row>
    <row r="1261">
      <c r="A1261" s="15" t="s">
        <v>5280</v>
      </c>
      <c r="B1261" s="15" t="s">
        <v>5281</v>
      </c>
      <c r="C1261" s="16"/>
      <c r="D1261" s="15" t="s">
        <v>5282</v>
      </c>
      <c r="E1261" s="17" t="s">
        <v>5283</v>
      </c>
      <c r="F1261" s="18"/>
      <c r="G1261" s="18"/>
      <c r="H1261" s="15" t="s">
        <v>5284</v>
      </c>
      <c r="I1261" s="18"/>
      <c r="J1261" s="19" t="s">
        <v>104</v>
      </c>
      <c r="K1261" s="19" t="s">
        <v>160</v>
      </c>
      <c r="L1261" s="19" t="s">
        <v>106</v>
      </c>
      <c r="M1261" s="20">
        <f t="shared" si="1"/>
        <v>0</v>
      </c>
      <c r="N1261" s="21"/>
      <c r="O1261" s="22"/>
      <c r="P1261" s="19" t="s">
        <v>3578</v>
      </c>
      <c r="Q1261" s="18"/>
      <c r="R1261" s="18"/>
      <c r="S1261" s="23">
        <v>0.0</v>
      </c>
      <c r="T1261" s="23">
        <v>0.0</v>
      </c>
      <c r="U1261" s="23">
        <f t="shared" si="2"/>
        <v>0</v>
      </c>
      <c r="V1261" s="23">
        <f t="shared" si="3"/>
        <v>0</v>
      </c>
      <c r="W1261" s="23">
        <f t="shared" si="4"/>
        <v>0</v>
      </c>
      <c r="X1261" s="24" t="str">
        <f t="shared" si="5"/>
        <v>#DIV/0!</v>
      </c>
    </row>
    <row r="1262">
      <c r="A1262" s="15" t="s">
        <v>5285</v>
      </c>
      <c r="B1262" s="15" t="s">
        <v>5286</v>
      </c>
      <c r="C1262" s="16"/>
      <c r="D1262" s="18"/>
      <c r="E1262" s="17" t="s">
        <v>5287</v>
      </c>
      <c r="F1262" s="18"/>
      <c r="G1262" s="18"/>
      <c r="H1262" s="15" t="s">
        <v>5288</v>
      </c>
      <c r="I1262" s="18"/>
      <c r="J1262" s="19" t="s">
        <v>702</v>
      </c>
      <c r="K1262" s="19" t="s">
        <v>52</v>
      </c>
      <c r="L1262" s="19" t="s">
        <v>52</v>
      </c>
      <c r="M1262" s="20">
        <f t="shared" si="1"/>
        <v>0</v>
      </c>
      <c r="N1262" s="21"/>
      <c r="O1262" s="22"/>
      <c r="P1262" s="19" t="s">
        <v>3578</v>
      </c>
      <c r="Q1262" s="18"/>
      <c r="R1262" s="18"/>
      <c r="S1262" s="23">
        <v>0.0</v>
      </c>
      <c r="T1262" s="23">
        <v>0.0</v>
      </c>
      <c r="U1262" s="23">
        <f t="shared" si="2"/>
        <v>0</v>
      </c>
      <c r="V1262" s="23">
        <f t="shared" si="3"/>
        <v>0</v>
      </c>
      <c r="W1262" s="23">
        <f t="shared" si="4"/>
        <v>0</v>
      </c>
      <c r="X1262" s="24" t="str">
        <f t="shared" si="5"/>
        <v>#DIV/0!</v>
      </c>
    </row>
    <row r="1263">
      <c r="A1263" s="15" t="s">
        <v>5289</v>
      </c>
      <c r="B1263" s="15" t="s">
        <v>5290</v>
      </c>
      <c r="C1263" s="16"/>
      <c r="D1263" s="15" t="s">
        <v>5291</v>
      </c>
      <c r="E1263" s="17" t="s">
        <v>5292</v>
      </c>
      <c r="F1263" s="18"/>
      <c r="G1263" s="18"/>
      <c r="H1263" s="15" t="s">
        <v>5293</v>
      </c>
      <c r="I1263" s="18"/>
      <c r="J1263" s="19" t="s">
        <v>702</v>
      </c>
      <c r="K1263" s="19" t="s">
        <v>1269</v>
      </c>
      <c r="L1263" s="19" t="s">
        <v>38</v>
      </c>
      <c r="M1263" s="20">
        <f t="shared" si="1"/>
        <v>0</v>
      </c>
      <c r="N1263" s="21"/>
      <c r="O1263" s="22"/>
      <c r="P1263" s="19" t="s">
        <v>3578</v>
      </c>
      <c r="Q1263" s="18"/>
      <c r="R1263" s="18"/>
      <c r="S1263" s="23">
        <v>0.0</v>
      </c>
      <c r="T1263" s="23">
        <v>0.0</v>
      </c>
      <c r="U1263" s="23">
        <f t="shared" si="2"/>
        <v>0</v>
      </c>
      <c r="V1263" s="23">
        <f t="shared" si="3"/>
        <v>0</v>
      </c>
      <c r="W1263" s="23">
        <f t="shared" si="4"/>
        <v>0</v>
      </c>
      <c r="X1263" s="24" t="str">
        <f t="shared" si="5"/>
        <v>#DIV/0!</v>
      </c>
    </row>
    <row r="1264">
      <c r="A1264" s="15" t="s">
        <v>5294</v>
      </c>
      <c r="B1264" s="15" t="s">
        <v>5295</v>
      </c>
      <c r="C1264" s="16"/>
      <c r="D1264" s="15" t="s">
        <v>5296</v>
      </c>
      <c r="E1264" s="17" t="s">
        <v>5297</v>
      </c>
      <c r="F1264" s="18"/>
      <c r="G1264" s="18"/>
      <c r="H1264" s="15" t="s">
        <v>5298</v>
      </c>
      <c r="I1264" s="18"/>
      <c r="J1264" s="19" t="s">
        <v>702</v>
      </c>
      <c r="K1264" s="19" t="s">
        <v>52</v>
      </c>
      <c r="L1264" s="19" t="s">
        <v>52</v>
      </c>
      <c r="M1264" s="20">
        <f t="shared" si="1"/>
        <v>0</v>
      </c>
      <c r="N1264" s="21"/>
      <c r="O1264" s="22"/>
      <c r="P1264" s="19" t="s">
        <v>3578</v>
      </c>
      <c r="Q1264" s="18"/>
      <c r="R1264" s="18"/>
      <c r="S1264" s="23">
        <v>0.0</v>
      </c>
      <c r="T1264" s="23">
        <v>0.0</v>
      </c>
      <c r="U1264" s="23">
        <f t="shared" si="2"/>
        <v>0</v>
      </c>
      <c r="V1264" s="23">
        <f t="shared" si="3"/>
        <v>0</v>
      </c>
      <c r="W1264" s="23">
        <f t="shared" si="4"/>
        <v>0</v>
      </c>
      <c r="X1264" s="24" t="str">
        <f t="shared" si="5"/>
        <v>#DIV/0!</v>
      </c>
    </row>
    <row r="1265">
      <c r="A1265" s="15" t="s">
        <v>5299</v>
      </c>
      <c r="B1265" s="15" t="s">
        <v>5300</v>
      </c>
      <c r="C1265" s="16"/>
      <c r="D1265" s="15" t="s">
        <v>5301</v>
      </c>
      <c r="E1265" s="17" t="s">
        <v>5302</v>
      </c>
      <c r="F1265" s="18"/>
      <c r="G1265" s="18"/>
      <c r="H1265" s="15" t="s">
        <v>5303</v>
      </c>
      <c r="I1265" s="18"/>
      <c r="J1265" s="19" t="s">
        <v>702</v>
      </c>
      <c r="K1265" s="19" t="s">
        <v>52</v>
      </c>
      <c r="L1265" s="19" t="s">
        <v>52</v>
      </c>
      <c r="M1265" s="20">
        <f t="shared" si="1"/>
        <v>0</v>
      </c>
      <c r="N1265" s="21"/>
      <c r="O1265" s="22"/>
      <c r="P1265" s="19" t="s">
        <v>3578</v>
      </c>
      <c r="Q1265" s="18"/>
      <c r="R1265" s="18"/>
      <c r="S1265" s="23">
        <v>0.0</v>
      </c>
      <c r="T1265" s="23">
        <v>0.0</v>
      </c>
      <c r="U1265" s="23">
        <f t="shared" si="2"/>
        <v>0</v>
      </c>
      <c r="V1265" s="23">
        <f t="shared" si="3"/>
        <v>0</v>
      </c>
      <c r="W1265" s="23">
        <f t="shared" si="4"/>
        <v>0</v>
      </c>
      <c r="X1265" s="24" t="str">
        <f t="shared" si="5"/>
        <v>#DIV/0!</v>
      </c>
    </row>
    <row r="1266">
      <c r="A1266" s="15" t="s">
        <v>5304</v>
      </c>
      <c r="B1266" s="15" t="s">
        <v>5305</v>
      </c>
      <c r="C1266" s="16"/>
      <c r="D1266" s="15" t="s">
        <v>5306</v>
      </c>
      <c r="E1266" s="17" t="s">
        <v>5307</v>
      </c>
      <c r="F1266" s="18"/>
      <c r="G1266" s="18"/>
      <c r="H1266" s="15" t="s">
        <v>5308</v>
      </c>
      <c r="I1266" s="18"/>
      <c r="J1266" s="19" t="s">
        <v>702</v>
      </c>
      <c r="K1266" s="19" t="s">
        <v>1269</v>
      </c>
      <c r="L1266" s="19" t="s">
        <v>38</v>
      </c>
      <c r="M1266" s="20">
        <f t="shared" si="1"/>
        <v>0</v>
      </c>
      <c r="N1266" s="21"/>
      <c r="O1266" s="22"/>
      <c r="P1266" s="19" t="s">
        <v>3578</v>
      </c>
      <c r="Q1266" s="18"/>
      <c r="R1266" s="18"/>
      <c r="S1266" s="23">
        <v>0.0</v>
      </c>
      <c r="T1266" s="23">
        <v>0.0</v>
      </c>
      <c r="U1266" s="23">
        <f t="shared" si="2"/>
        <v>0</v>
      </c>
      <c r="V1266" s="23">
        <f t="shared" si="3"/>
        <v>0</v>
      </c>
      <c r="W1266" s="23">
        <f t="shared" si="4"/>
        <v>0</v>
      </c>
      <c r="X1266" s="24" t="str">
        <f t="shared" si="5"/>
        <v>#DIV/0!</v>
      </c>
    </row>
    <row r="1267">
      <c r="A1267" s="15" t="s">
        <v>5309</v>
      </c>
      <c r="B1267" s="15" t="s">
        <v>5310</v>
      </c>
      <c r="C1267" s="16"/>
      <c r="D1267" s="15" t="s">
        <v>5311</v>
      </c>
      <c r="E1267" s="17" t="s">
        <v>5312</v>
      </c>
      <c r="F1267" s="18"/>
      <c r="G1267" s="18"/>
      <c r="H1267" s="15" t="s">
        <v>5313</v>
      </c>
      <c r="I1267" s="18"/>
      <c r="J1267" s="19" t="s">
        <v>702</v>
      </c>
      <c r="K1267" s="19" t="s">
        <v>1269</v>
      </c>
      <c r="L1267" s="19" t="s">
        <v>38</v>
      </c>
      <c r="M1267" s="20">
        <f t="shared" si="1"/>
        <v>0</v>
      </c>
      <c r="N1267" s="21"/>
      <c r="O1267" s="22"/>
      <c r="P1267" s="19" t="s">
        <v>3578</v>
      </c>
      <c r="Q1267" s="18"/>
      <c r="R1267" s="18"/>
      <c r="S1267" s="23">
        <v>0.0</v>
      </c>
      <c r="T1267" s="23">
        <v>0.0</v>
      </c>
      <c r="U1267" s="23">
        <f t="shared" si="2"/>
        <v>0</v>
      </c>
      <c r="V1267" s="23">
        <f t="shared" si="3"/>
        <v>0</v>
      </c>
      <c r="W1267" s="23">
        <f t="shared" si="4"/>
        <v>0</v>
      </c>
      <c r="X1267" s="24" t="str">
        <f t="shared" si="5"/>
        <v>#DIV/0!</v>
      </c>
    </row>
    <row r="1268">
      <c r="A1268" s="15" t="s">
        <v>5314</v>
      </c>
      <c r="B1268" s="15" t="s">
        <v>5315</v>
      </c>
      <c r="C1268" s="16"/>
      <c r="D1268" s="15" t="s">
        <v>5316</v>
      </c>
      <c r="E1268" s="17" t="s">
        <v>5317</v>
      </c>
      <c r="F1268" s="18"/>
      <c r="G1268" s="18"/>
      <c r="H1268" s="15" t="s">
        <v>5318</v>
      </c>
      <c r="I1268" s="18"/>
      <c r="J1268" s="19" t="s">
        <v>702</v>
      </c>
      <c r="K1268" s="19" t="s">
        <v>52</v>
      </c>
      <c r="L1268" s="19" t="s">
        <v>703</v>
      </c>
      <c r="M1268" s="20">
        <f t="shared" si="1"/>
        <v>0</v>
      </c>
      <c r="N1268" s="21"/>
      <c r="O1268" s="22"/>
      <c r="P1268" s="19" t="s">
        <v>3578</v>
      </c>
      <c r="Q1268" s="18"/>
      <c r="R1268" s="18"/>
      <c r="S1268" s="23">
        <v>0.0</v>
      </c>
      <c r="T1268" s="23">
        <v>0.0</v>
      </c>
      <c r="U1268" s="23">
        <f t="shared" si="2"/>
        <v>0</v>
      </c>
      <c r="V1268" s="23">
        <f t="shared" si="3"/>
        <v>0</v>
      </c>
      <c r="W1268" s="23">
        <f t="shared" si="4"/>
        <v>0</v>
      </c>
      <c r="X1268" s="24" t="str">
        <f t="shared" si="5"/>
        <v>#DIV/0!</v>
      </c>
    </row>
    <row r="1269">
      <c r="A1269" s="15" t="s">
        <v>5319</v>
      </c>
      <c r="B1269" s="15" t="s">
        <v>5320</v>
      </c>
      <c r="C1269" s="16"/>
      <c r="D1269" s="18"/>
      <c r="E1269" s="17" t="s">
        <v>5321</v>
      </c>
      <c r="F1269" s="18"/>
      <c r="G1269" s="18"/>
      <c r="H1269" s="15" t="s">
        <v>5322</v>
      </c>
      <c r="I1269" s="15" t="s">
        <v>5323</v>
      </c>
      <c r="J1269" s="19" t="s">
        <v>702</v>
      </c>
      <c r="K1269" s="19" t="s">
        <v>1431</v>
      </c>
      <c r="L1269" s="19" t="s">
        <v>38</v>
      </c>
      <c r="M1269" s="20">
        <f t="shared" si="1"/>
        <v>0</v>
      </c>
      <c r="N1269" s="21"/>
      <c r="O1269" s="22"/>
      <c r="P1269" s="19" t="s">
        <v>3578</v>
      </c>
      <c r="Q1269" s="18"/>
      <c r="R1269" s="18"/>
      <c r="S1269" s="23">
        <v>0.0</v>
      </c>
      <c r="T1269" s="23">
        <v>0.0</v>
      </c>
      <c r="U1269" s="23">
        <f t="shared" si="2"/>
        <v>0</v>
      </c>
      <c r="V1269" s="23">
        <f t="shared" si="3"/>
        <v>0</v>
      </c>
      <c r="W1269" s="23">
        <f t="shared" si="4"/>
        <v>0</v>
      </c>
      <c r="X1269" s="24" t="str">
        <f t="shared" si="5"/>
        <v>#DIV/0!</v>
      </c>
    </row>
    <row r="1270">
      <c r="A1270" s="15" t="s">
        <v>5324</v>
      </c>
      <c r="B1270" s="15" t="s">
        <v>5325</v>
      </c>
      <c r="C1270" s="16"/>
      <c r="D1270" s="15" t="s">
        <v>5326</v>
      </c>
      <c r="E1270" s="17" t="s">
        <v>5327</v>
      </c>
      <c r="F1270" s="18"/>
      <c r="G1270" s="18"/>
      <c r="H1270" s="15" t="s">
        <v>5328</v>
      </c>
      <c r="I1270" s="18"/>
      <c r="J1270" s="19" t="s">
        <v>702</v>
      </c>
      <c r="K1270" s="19" t="s">
        <v>1444</v>
      </c>
      <c r="L1270" s="19" t="s">
        <v>38</v>
      </c>
      <c r="M1270" s="20">
        <f t="shared" si="1"/>
        <v>0</v>
      </c>
      <c r="N1270" s="21"/>
      <c r="O1270" s="22"/>
      <c r="P1270" s="19" t="s">
        <v>3578</v>
      </c>
      <c r="Q1270" s="18"/>
      <c r="R1270" s="18"/>
      <c r="S1270" s="23">
        <v>0.0</v>
      </c>
      <c r="T1270" s="23">
        <v>0.0</v>
      </c>
      <c r="U1270" s="23">
        <f t="shared" si="2"/>
        <v>0</v>
      </c>
      <c r="V1270" s="23">
        <f t="shared" si="3"/>
        <v>0</v>
      </c>
      <c r="W1270" s="23">
        <f t="shared" si="4"/>
        <v>0</v>
      </c>
      <c r="X1270" s="24" t="str">
        <f t="shared" si="5"/>
        <v>#DIV/0!</v>
      </c>
    </row>
    <row r="1271">
      <c r="A1271" s="15" t="s">
        <v>5329</v>
      </c>
      <c r="B1271" s="15" t="s">
        <v>5330</v>
      </c>
      <c r="C1271" s="16"/>
      <c r="D1271" s="15" t="s">
        <v>5331</v>
      </c>
      <c r="E1271" s="17" t="s">
        <v>5332</v>
      </c>
      <c r="F1271" s="18"/>
      <c r="G1271" s="18"/>
      <c r="H1271" s="15" t="s">
        <v>5333</v>
      </c>
      <c r="I1271" s="15" t="s">
        <v>5334</v>
      </c>
      <c r="J1271" s="19" t="s">
        <v>702</v>
      </c>
      <c r="K1271" s="19" t="s">
        <v>52</v>
      </c>
      <c r="L1271" s="19" t="s">
        <v>703</v>
      </c>
      <c r="M1271" s="20">
        <f t="shared" si="1"/>
        <v>0</v>
      </c>
      <c r="N1271" s="21"/>
      <c r="O1271" s="22"/>
      <c r="P1271" s="19" t="s">
        <v>3578</v>
      </c>
      <c r="Q1271" s="18"/>
      <c r="R1271" s="18"/>
      <c r="S1271" s="23">
        <v>0.0</v>
      </c>
      <c r="T1271" s="23">
        <v>0.0</v>
      </c>
      <c r="U1271" s="23">
        <f t="shared" si="2"/>
        <v>0</v>
      </c>
      <c r="V1271" s="23">
        <f t="shared" si="3"/>
        <v>0</v>
      </c>
      <c r="W1271" s="23">
        <f t="shared" si="4"/>
        <v>0</v>
      </c>
      <c r="X1271" s="24" t="str">
        <f t="shared" si="5"/>
        <v>#DIV/0!</v>
      </c>
      <c r="Z1271" s="44" t="s">
        <v>5335</v>
      </c>
    </row>
    <row r="1272">
      <c r="A1272" s="15" t="s">
        <v>5336</v>
      </c>
      <c r="B1272" s="35" t="s">
        <v>5337</v>
      </c>
      <c r="C1272" s="16" t="str">
        <f t="shared" ref="C1272:C1273" si="36">IMAGE("https://i.ibb.co/fzqvJrDc/2464.png")</f>
        <v/>
      </c>
      <c r="D1272" s="15" t="s">
        <v>5338</v>
      </c>
      <c r="E1272" s="17" t="s">
        <v>5339</v>
      </c>
      <c r="F1272" s="18"/>
      <c r="G1272" s="18"/>
      <c r="H1272" s="15" t="s">
        <v>5340</v>
      </c>
      <c r="I1272" s="18"/>
      <c r="J1272" s="19" t="s">
        <v>283</v>
      </c>
      <c r="K1272" s="19" t="s">
        <v>4972</v>
      </c>
      <c r="L1272" s="19" t="s">
        <v>38</v>
      </c>
      <c r="M1272" s="20">
        <f t="shared" si="1"/>
        <v>355.2</v>
      </c>
      <c r="N1272" s="21"/>
      <c r="O1272" s="22"/>
      <c r="P1272" s="19" t="s">
        <v>3578</v>
      </c>
      <c r="Q1272" s="18"/>
      <c r="R1272" s="18"/>
      <c r="S1272" s="23">
        <v>0.0</v>
      </c>
      <c r="T1272" s="23">
        <v>20.0</v>
      </c>
      <c r="U1272" s="23">
        <f t="shared" si="2"/>
        <v>19.2</v>
      </c>
      <c r="V1272" s="23">
        <f t="shared" si="3"/>
        <v>0</v>
      </c>
      <c r="W1272" s="23">
        <f t="shared" si="4"/>
        <v>0</v>
      </c>
      <c r="X1272" s="24" t="str">
        <f t="shared" si="5"/>
        <v>#DIV/0!</v>
      </c>
    </row>
    <row r="1273">
      <c r="A1273" s="15" t="s">
        <v>5341</v>
      </c>
      <c r="B1273" s="35" t="s">
        <v>5342</v>
      </c>
      <c r="C1273" s="16" t="str">
        <f t="shared" si="36"/>
        <v/>
      </c>
      <c r="D1273" s="15" t="s">
        <v>5343</v>
      </c>
      <c r="E1273" s="17" t="s">
        <v>5344</v>
      </c>
      <c r="F1273" s="18"/>
      <c r="G1273" s="18"/>
      <c r="H1273" s="15" t="s">
        <v>5345</v>
      </c>
      <c r="I1273" s="18"/>
      <c r="J1273" s="19" t="s">
        <v>283</v>
      </c>
      <c r="K1273" s="19" t="s">
        <v>4972</v>
      </c>
      <c r="L1273" s="19" t="s">
        <v>38</v>
      </c>
      <c r="M1273" s="20">
        <f t="shared" si="1"/>
        <v>532.8</v>
      </c>
      <c r="N1273" s="21"/>
      <c r="O1273" s="22"/>
      <c r="P1273" s="19" t="s">
        <v>3578</v>
      </c>
      <c r="Q1273" s="18"/>
      <c r="R1273" s="18"/>
      <c r="S1273" s="23">
        <v>0.0</v>
      </c>
      <c r="T1273" s="23">
        <v>30.0</v>
      </c>
      <c r="U1273" s="23">
        <f t="shared" si="2"/>
        <v>28.8</v>
      </c>
      <c r="V1273" s="23">
        <f t="shared" si="3"/>
        <v>0</v>
      </c>
      <c r="W1273" s="23">
        <f t="shared" si="4"/>
        <v>0</v>
      </c>
      <c r="X1273" s="24" t="str">
        <f t="shared" si="5"/>
        <v>#DIV/0!</v>
      </c>
    </row>
    <row r="1274">
      <c r="A1274" s="15" t="s">
        <v>5346</v>
      </c>
      <c r="B1274" s="15" t="s">
        <v>5347</v>
      </c>
      <c r="C1274" s="16"/>
      <c r="D1274" s="15" t="s">
        <v>5348</v>
      </c>
      <c r="E1274" s="17" t="s">
        <v>5349</v>
      </c>
      <c r="F1274" s="18"/>
      <c r="G1274" s="18"/>
      <c r="H1274" s="15" t="s">
        <v>5350</v>
      </c>
      <c r="I1274" s="18"/>
      <c r="J1274" s="19" t="s">
        <v>59</v>
      </c>
      <c r="K1274" s="19" t="s">
        <v>52</v>
      </c>
      <c r="L1274" s="19" t="s">
        <v>84</v>
      </c>
      <c r="M1274" s="20">
        <f t="shared" si="1"/>
        <v>0</v>
      </c>
      <c r="N1274" s="21"/>
      <c r="O1274" s="22"/>
      <c r="P1274" s="19" t="s">
        <v>3578</v>
      </c>
      <c r="Q1274" s="18"/>
      <c r="R1274" s="18"/>
      <c r="S1274" s="23">
        <v>0.0</v>
      </c>
      <c r="T1274" s="23">
        <v>0.0</v>
      </c>
      <c r="U1274" s="23">
        <f t="shared" si="2"/>
        <v>0</v>
      </c>
      <c r="V1274" s="23">
        <f t="shared" si="3"/>
        <v>0</v>
      </c>
      <c r="W1274" s="23">
        <f t="shared" si="4"/>
        <v>0</v>
      </c>
      <c r="X1274" s="24" t="str">
        <f t="shared" si="5"/>
        <v>#DIV/0!</v>
      </c>
    </row>
    <row r="1275">
      <c r="A1275" s="15" t="s">
        <v>5351</v>
      </c>
      <c r="B1275" s="15" t="s">
        <v>5352</v>
      </c>
      <c r="C1275" s="16"/>
      <c r="D1275" s="15" t="s">
        <v>5353</v>
      </c>
      <c r="E1275" s="17" t="s">
        <v>5354</v>
      </c>
      <c r="F1275" s="18"/>
      <c r="G1275" s="18"/>
      <c r="H1275" s="15" t="s">
        <v>5355</v>
      </c>
      <c r="I1275" s="15" t="s">
        <v>5356</v>
      </c>
      <c r="J1275" s="19" t="s">
        <v>59</v>
      </c>
      <c r="K1275" s="19" t="s">
        <v>52</v>
      </c>
      <c r="L1275" s="19" t="s">
        <v>52</v>
      </c>
      <c r="M1275" s="20">
        <f t="shared" si="1"/>
        <v>0</v>
      </c>
      <c r="N1275" s="21"/>
      <c r="O1275" s="22"/>
      <c r="P1275" s="19" t="s">
        <v>3578</v>
      </c>
      <c r="Q1275" s="18"/>
      <c r="R1275" s="18"/>
      <c r="S1275" s="23">
        <v>0.0</v>
      </c>
      <c r="T1275" s="23">
        <v>0.0</v>
      </c>
      <c r="U1275" s="23">
        <f t="shared" si="2"/>
        <v>0</v>
      </c>
      <c r="V1275" s="23">
        <f t="shared" si="3"/>
        <v>0</v>
      </c>
      <c r="W1275" s="23">
        <f t="shared" si="4"/>
        <v>0</v>
      </c>
      <c r="X1275" s="24" t="str">
        <f t="shared" si="5"/>
        <v>#DIV/0!</v>
      </c>
    </row>
    <row r="1276">
      <c r="A1276" s="15" t="s">
        <v>5357</v>
      </c>
      <c r="B1276" s="15" t="s">
        <v>5358</v>
      </c>
      <c r="C1276" s="16"/>
      <c r="D1276" s="18"/>
      <c r="E1276" s="17" t="s">
        <v>5359</v>
      </c>
      <c r="F1276" s="18"/>
      <c r="G1276" s="18"/>
      <c r="H1276" s="18"/>
      <c r="I1276" s="18"/>
      <c r="J1276" s="19" t="s">
        <v>104</v>
      </c>
      <c r="K1276" s="19" t="s">
        <v>717</v>
      </c>
      <c r="L1276" s="19" t="s">
        <v>106</v>
      </c>
      <c r="M1276" s="20">
        <f t="shared" si="1"/>
        <v>0</v>
      </c>
      <c r="N1276" s="21"/>
      <c r="O1276" s="22"/>
      <c r="P1276" s="19" t="s">
        <v>3578</v>
      </c>
      <c r="Q1276" s="18"/>
      <c r="R1276" s="18"/>
      <c r="S1276" s="23">
        <v>0.0</v>
      </c>
      <c r="T1276" s="23">
        <v>0.0</v>
      </c>
      <c r="U1276" s="23">
        <f t="shared" si="2"/>
        <v>0</v>
      </c>
      <c r="V1276" s="23">
        <f t="shared" si="3"/>
        <v>0</v>
      </c>
      <c r="W1276" s="23">
        <f t="shared" si="4"/>
        <v>0</v>
      </c>
      <c r="X1276" s="24" t="str">
        <f t="shared" si="5"/>
        <v>#DIV/0!</v>
      </c>
    </row>
    <row r="1277">
      <c r="A1277" s="15" t="s">
        <v>5360</v>
      </c>
      <c r="B1277" s="45" t="s">
        <v>5361</v>
      </c>
      <c r="C1277" s="16"/>
      <c r="D1277" s="46"/>
      <c r="E1277" s="47" t="s">
        <v>5362</v>
      </c>
      <c r="F1277" s="46"/>
      <c r="G1277" s="46"/>
      <c r="H1277" s="46"/>
      <c r="I1277" s="46"/>
      <c r="J1277" s="48" t="s">
        <v>104</v>
      </c>
      <c r="K1277" s="48" t="s">
        <v>160</v>
      </c>
      <c r="L1277" s="48" t="s">
        <v>106</v>
      </c>
      <c r="M1277" s="49">
        <f t="shared" si="1"/>
        <v>0</v>
      </c>
      <c r="N1277" s="21"/>
      <c r="O1277" s="22"/>
      <c r="P1277" s="48" t="s">
        <v>3578</v>
      </c>
      <c r="Q1277" s="46"/>
      <c r="R1277" s="46"/>
      <c r="S1277" s="50">
        <v>0.0</v>
      </c>
      <c r="T1277" s="50">
        <v>0.0</v>
      </c>
      <c r="U1277" s="50">
        <f t="shared" si="2"/>
        <v>0</v>
      </c>
      <c r="V1277" s="50">
        <f t="shared" si="3"/>
        <v>0</v>
      </c>
      <c r="W1277" s="50">
        <f t="shared" si="4"/>
        <v>0</v>
      </c>
      <c r="X1277" s="24" t="str">
        <f t="shared" si="5"/>
        <v>#DIV/0!</v>
      </c>
      <c r="Y1277" s="51"/>
      <c r="Z1277" s="51"/>
      <c r="AA1277" s="51"/>
      <c r="AB1277" s="51"/>
      <c r="AC1277" s="51"/>
      <c r="AD1277" s="51"/>
      <c r="AE1277" s="51"/>
      <c r="AF1277" s="51"/>
      <c r="AG1277" s="51"/>
      <c r="AH1277" s="51"/>
    </row>
    <row r="1278">
      <c r="A1278" s="15" t="s">
        <v>5363</v>
      </c>
      <c r="B1278" s="45" t="s">
        <v>5364</v>
      </c>
      <c r="C1278" s="16"/>
      <c r="D1278" s="15" t="s">
        <v>5365</v>
      </c>
      <c r="E1278" s="17" t="s">
        <v>5366</v>
      </c>
      <c r="F1278" s="18"/>
      <c r="G1278" s="18"/>
      <c r="H1278" s="15" t="s">
        <v>5367</v>
      </c>
      <c r="I1278" s="18"/>
      <c r="J1278" s="19" t="s">
        <v>59</v>
      </c>
      <c r="K1278" s="33"/>
      <c r="L1278" s="19" t="s">
        <v>38</v>
      </c>
      <c r="M1278" s="20">
        <f t="shared" si="1"/>
        <v>0</v>
      </c>
      <c r="N1278" s="21"/>
      <c r="O1278" s="22"/>
      <c r="P1278" s="19" t="s">
        <v>3578</v>
      </c>
      <c r="Q1278" s="18"/>
      <c r="R1278" s="18"/>
      <c r="S1278" s="23">
        <v>0.0</v>
      </c>
      <c r="T1278" s="23">
        <v>0.0</v>
      </c>
      <c r="U1278" s="23">
        <f t="shared" si="2"/>
        <v>0</v>
      </c>
      <c r="V1278" s="23">
        <f t="shared" si="3"/>
        <v>0</v>
      </c>
      <c r="W1278" s="23">
        <f t="shared" si="4"/>
        <v>0</v>
      </c>
      <c r="X1278" s="24" t="str">
        <f t="shared" si="5"/>
        <v>#DIV/0!</v>
      </c>
    </row>
    <row r="1279">
      <c r="A1279" s="15" t="s">
        <v>5368</v>
      </c>
      <c r="B1279" s="45" t="s">
        <v>5369</v>
      </c>
      <c r="C1279" s="16"/>
      <c r="D1279" s="15" t="s">
        <v>5370</v>
      </c>
      <c r="E1279" s="17" t="s">
        <v>5371</v>
      </c>
      <c r="F1279" s="18"/>
      <c r="G1279" s="18"/>
      <c r="H1279" s="15" t="s">
        <v>2898</v>
      </c>
      <c r="I1279" s="18"/>
      <c r="J1279" s="19" t="s">
        <v>59</v>
      </c>
      <c r="K1279" s="33"/>
      <c r="L1279" s="19" t="s">
        <v>38</v>
      </c>
      <c r="M1279" s="20">
        <f t="shared" si="1"/>
        <v>0</v>
      </c>
      <c r="N1279" s="21"/>
      <c r="O1279" s="22"/>
      <c r="P1279" s="19" t="s">
        <v>3578</v>
      </c>
      <c r="Q1279" s="18"/>
      <c r="R1279" s="18"/>
      <c r="S1279" s="23">
        <v>0.0</v>
      </c>
      <c r="T1279" s="23">
        <v>0.0</v>
      </c>
      <c r="U1279" s="23">
        <f t="shared" si="2"/>
        <v>0</v>
      </c>
      <c r="V1279" s="23">
        <f t="shared" si="3"/>
        <v>0</v>
      </c>
      <c r="W1279" s="23">
        <f t="shared" si="4"/>
        <v>0</v>
      </c>
      <c r="X1279" s="24" t="str">
        <f t="shared" si="5"/>
        <v>#DIV/0!</v>
      </c>
    </row>
    <row r="1280">
      <c r="A1280" s="15" t="s">
        <v>5372</v>
      </c>
      <c r="B1280" s="45" t="s">
        <v>5373</v>
      </c>
      <c r="C1280" s="16"/>
      <c r="D1280" s="15" t="s">
        <v>5374</v>
      </c>
      <c r="E1280" s="17" t="s">
        <v>5375</v>
      </c>
      <c r="F1280" s="18"/>
      <c r="G1280" s="18"/>
      <c r="H1280" s="15" t="s">
        <v>5376</v>
      </c>
      <c r="I1280" s="18"/>
      <c r="J1280" s="19" t="s">
        <v>59</v>
      </c>
      <c r="K1280" s="33"/>
      <c r="L1280" s="19" t="s">
        <v>38</v>
      </c>
      <c r="M1280" s="20">
        <f t="shared" si="1"/>
        <v>0</v>
      </c>
      <c r="N1280" s="21"/>
      <c r="O1280" s="22"/>
      <c r="P1280" s="19" t="s">
        <v>3578</v>
      </c>
      <c r="Q1280" s="18"/>
      <c r="R1280" s="18"/>
      <c r="S1280" s="23">
        <v>0.0</v>
      </c>
      <c r="T1280" s="23">
        <v>0.0</v>
      </c>
      <c r="U1280" s="23">
        <f t="shared" si="2"/>
        <v>0</v>
      </c>
      <c r="V1280" s="23">
        <f t="shared" si="3"/>
        <v>0</v>
      </c>
      <c r="W1280" s="23">
        <f t="shared" si="4"/>
        <v>0</v>
      </c>
      <c r="X1280" s="24" t="str">
        <f t="shared" si="5"/>
        <v>#DIV/0!</v>
      </c>
    </row>
    <row r="1281">
      <c r="A1281" s="15" t="s">
        <v>5377</v>
      </c>
      <c r="B1281" s="45" t="s">
        <v>5378</v>
      </c>
      <c r="C1281" s="16"/>
      <c r="D1281" s="15" t="s">
        <v>5379</v>
      </c>
      <c r="E1281" s="17" t="s">
        <v>5380</v>
      </c>
      <c r="F1281" s="18"/>
      <c r="G1281" s="18"/>
      <c r="H1281" s="15" t="s">
        <v>5381</v>
      </c>
      <c r="I1281" s="18"/>
      <c r="J1281" s="19" t="s">
        <v>36</v>
      </c>
      <c r="K1281" s="19" t="s">
        <v>52</v>
      </c>
      <c r="L1281" s="19" t="s">
        <v>52</v>
      </c>
      <c r="M1281" s="20">
        <f t="shared" si="1"/>
        <v>0</v>
      </c>
      <c r="N1281" s="21"/>
      <c r="O1281" s="22"/>
      <c r="P1281" s="19" t="s">
        <v>3578</v>
      </c>
      <c r="Q1281" s="18"/>
      <c r="R1281" s="18"/>
      <c r="S1281" s="23">
        <v>0.0</v>
      </c>
      <c r="T1281" s="23">
        <v>0.0</v>
      </c>
      <c r="U1281" s="23">
        <f t="shared" si="2"/>
        <v>0</v>
      </c>
      <c r="V1281" s="23">
        <f t="shared" si="3"/>
        <v>0</v>
      </c>
      <c r="W1281" s="23">
        <f t="shared" si="4"/>
        <v>0</v>
      </c>
      <c r="X1281" s="24" t="str">
        <f t="shared" si="5"/>
        <v>#DIV/0!</v>
      </c>
    </row>
    <row r="1282">
      <c r="A1282" s="15" t="s">
        <v>5382</v>
      </c>
      <c r="B1282" s="15" t="s">
        <v>5383</v>
      </c>
      <c r="C1282" s="16"/>
      <c r="D1282" s="15" t="s">
        <v>4315</v>
      </c>
      <c r="E1282" s="17" t="s">
        <v>192</v>
      </c>
      <c r="F1282" s="18"/>
      <c r="G1282" s="18"/>
      <c r="H1282" s="15" t="s">
        <v>5384</v>
      </c>
      <c r="I1282" s="18"/>
      <c r="J1282" s="19" t="s">
        <v>36</v>
      </c>
      <c r="K1282" s="19" t="s">
        <v>52</v>
      </c>
      <c r="L1282" s="19" t="s">
        <v>147</v>
      </c>
      <c r="M1282" s="20">
        <f t="shared" si="1"/>
        <v>0</v>
      </c>
      <c r="N1282" s="37" t="s">
        <v>68</v>
      </c>
      <c r="O1282" s="22"/>
      <c r="P1282" s="19" t="s">
        <v>3578</v>
      </c>
      <c r="Q1282" s="18"/>
      <c r="R1282" s="18"/>
      <c r="S1282" s="23">
        <v>0.0</v>
      </c>
      <c r="T1282" s="23">
        <v>0.0</v>
      </c>
      <c r="U1282" s="23">
        <f t="shared" si="2"/>
        <v>0</v>
      </c>
      <c r="V1282" s="23">
        <f t="shared" si="3"/>
        <v>0</v>
      </c>
      <c r="W1282" s="23">
        <f t="shared" si="4"/>
        <v>0</v>
      </c>
      <c r="X1282" s="24" t="str">
        <f t="shared" si="5"/>
        <v>#DIV/0!</v>
      </c>
    </row>
    <row r="1283">
      <c r="A1283" s="15" t="s">
        <v>5385</v>
      </c>
      <c r="B1283" s="45" t="s">
        <v>5386</v>
      </c>
      <c r="C1283" s="16"/>
      <c r="D1283" s="15" t="s">
        <v>5387</v>
      </c>
      <c r="E1283" s="17" t="s">
        <v>5388</v>
      </c>
      <c r="F1283" s="18"/>
      <c r="G1283" s="18"/>
      <c r="H1283" s="18"/>
      <c r="I1283" s="18"/>
      <c r="J1283" s="19" t="s">
        <v>36</v>
      </c>
      <c r="K1283" s="33"/>
      <c r="L1283" s="19" t="s">
        <v>38</v>
      </c>
      <c r="M1283" s="20">
        <f t="shared" si="1"/>
        <v>0</v>
      </c>
      <c r="N1283" s="21"/>
      <c r="O1283" s="22"/>
      <c r="P1283" s="19" t="s">
        <v>3578</v>
      </c>
      <c r="Q1283" s="18"/>
      <c r="R1283" s="18"/>
      <c r="S1283" s="23">
        <v>0.0</v>
      </c>
      <c r="T1283" s="23">
        <v>0.0</v>
      </c>
      <c r="U1283" s="23">
        <f t="shared" si="2"/>
        <v>0</v>
      </c>
      <c r="V1283" s="23">
        <f t="shared" si="3"/>
        <v>0</v>
      </c>
      <c r="W1283" s="23">
        <f t="shared" si="4"/>
        <v>0</v>
      </c>
      <c r="X1283" s="24" t="str">
        <f t="shared" si="5"/>
        <v>#DIV/0!</v>
      </c>
    </row>
    <row r="1284">
      <c r="A1284" s="15" t="s">
        <v>5389</v>
      </c>
      <c r="B1284" s="45" t="s">
        <v>5390</v>
      </c>
      <c r="C1284" s="16"/>
      <c r="D1284" s="18"/>
      <c r="E1284" s="17" t="s">
        <v>5391</v>
      </c>
      <c r="F1284" s="18"/>
      <c r="G1284" s="18"/>
      <c r="H1284" s="15" t="s">
        <v>5392</v>
      </c>
      <c r="I1284" s="18"/>
      <c r="J1284" s="19" t="s">
        <v>36</v>
      </c>
      <c r="K1284" s="33"/>
      <c r="L1284" s="19" t="s">
        <v>38</v>
      </c>
      <c r="M1284" s="20">
        <f t="shared" si="1"/>
        <v>0</v>
      </c>
      <c r="N1284" s="21"/>
      <c r="O1284" s="22"/>
      <c r="P1284" s="19" t="s">
        <v>3578</v>
      </c>
      <c r="Q1284" s="18"/>
      <c r="R1284" s="18"/>
      <c r="S1284" s="23">
        <v>0.0</v>
      </c>
      <c r="T1284" s="23">
        <v>0.0</v>
      </c>
      <c r="U1284" s="23">
        <f t="shared" si="2"/>
        <v>0</v>
      </c>
      <c r="V1284" s="23">
        <f t="shared" si="3"/>
        <v>0</v>
      </c>
      <c r="W1284" s="23">
        <f t="shared" si="4"/>
        <v>0</v>
      </c>
      <c r="X1284" s="24" t="str">
        <f t="shared" si="5"/>
        <v>#DIV/0!</v>
      </c>
    </row>
    <row r="1285">
      <c r="A1285" s="15" t="s">
        <v>5393</v>
      </c>
      <c r="B1285" s="45" t="s">
        <v>5394</v>
      </c>
      <c r="C1285" s="16"/>
      <c r="D1285" s="15" t="s">
        <v>5395</v>
      </c>
      <c r="E1285" s="17" t="s">
        <v>5396</v>
      </c>
      <c r="F1285" s="18"/>
      <c r="G1285" s="18"/>
      <c r="H1285" s="15" t="s">
        <v>5397</v>
      </c>
      <c r="I1285" s="18"/>
      <c r="J1285" s="19" t="s">
        <v>36</v>
      </c>
      <c r="K1285" s="19" t="s">
        <v>52</v>
      </c>
      <c r="L1285" s="19" t="s">
        <v>52</v>
      </c>
      <c r="M1285" s="20">
        <f t="shared" si="1"/>
        <v>0</v>
      </c>
      <c r="N1285" s="37" t="s">
        <v>68</v>
      </c>
      <c r="O1285" s="22"/>
      <c r="P1285" s="19" t="s">
        <v>3578</v>
      </c>
      <c r="Q1285" s="18"/>
      <c r="R1285" s="18"/>
      <c r="S1285" s="23">
        <v>0.0</v>
      </c>
      <c r="T1285" s="23">
        <v>0.0</v>
      </c>
      <c r="U1285" s="23">
        <f t="shared" si="2"/>
        <v>0</v>
      </c>
      <c r="V1285" s="23">
        <f t="shared" si="3"/>
        <v>0</v>
      </c>
      <c r="W1285" s="23">
        <f t="shared" si="4"/>
        <v>0</v>
      </c>
      <c r="X1285" s="24" t="str">
        <f t="shared" si="5"/>
        <v>#DIV/0!</v>
      </c>
    </row>
    <row r="1286">
      <c r="A1286" s="15" t="s">
        <v>5398</v>
      </c>
      <c r="B1286" s="45" t="s">
        <v>5399</v>
      </c>
      <c r="C1286" s="16"/>
      <c r="D1286" s="15" t="s">
        <v>5400</v>
      </c>
      <c r="E1286" s="17" t="s">
        <v>5401</v>
      </c>
      <c r="F1286" s="18"/>
      <c r="G1286" s="18"/>
      <c r="H1286" s="15" t="s">
        <v>5402</v>
      </c>
      <c r="I1286" s="18"/>
      <c r="J1286" s="19" t="s">
        <v>36</v>
      </c>
      <c r="K1286" s="19" t="s">
        <v>52</v>
      </c>
      <c r="L1286" s="19" t="s">
        <v>52</v>
      </c>
      <c r="M1286" s="20">
        <f t="shared" si="1"/>
        <v>0</v>
      </c>
      <c r="N1286" s="21"/>
      <c r="O1286" s="22"/>
      <c r="P1286" s="19" t="s">
        <v>3578</v>
      </c>
      <c r="Q1286" s="18"/>
      <c r="R1286" s="18"/>
      <c r="S1286" s="23">
        <v>0.0</v>
      </c>
      <c r="T1286" s="23">
        <v>0.0</v>
      </c>
      <c r="U1286" s="23">
        <f t="shared" si="2"/>
        <v>0</v>
      </c>
      <c r="V1286" s="23">
        <f t="shared" si="3"/>
        <v>0</v>
      </c>
      <c r="W1286" s="23">
        <f t="shared" si="4"/>
        <v>0</v>
      </c>
      <c r="X1286" s="24" t="str">
        <f t="shared" si="5"/>
        <v>#DIV/0!</v>
      </c>
    </row>
    <row r="1287">
      <c r="A1287" s="15" t="s">
        <v>5403</v>
      </c>
      <c r="B1287" s="15" t="s">
        <v>5404</v>
      </c>
      <c r="C1287" s="16"/>
      <c r="D1287" s="15" t="s">
        <v>5405</v>
      </c>
      <c r="E1287" s="17" t="s">
        <v>5406</v>
      </c>
      <c r="F1287" s="18"/>
      <c r="G1287" s="18"/>
      <c r="H1287" s="15" t="s">
        <v>5407</v>
      </c>
      <c r="I1287" s="18"/>
      <c r="J1287" s="19" t="s">
        <v>36</v>
      </c>
      <c r="K1287" s="33"/>
      <c r="L1287" s="19" t="s">
        <v>38</v>
      </c>
      <c r="M1287" s="20">
        <f t="shared" si="1"/>
        <v>0</v>
      </c>
      <c r="N1287" s="21"/>
      <c r="O1287" s="22"/>
      <c r="P1287" s="19" t="s">
        <v>3578</v>
      </c>
      <c r="Q1287" s="18"/>
      <c r="R1287" s="18"/>
      <c r="S1287" s="23">
        <v>0.0</v>
      </c>
      <c r="T1287" s="23">
        <v>0.0</v>
      </c>
      <c r="U1287" s="23">
        <f t="shared" si="2"/>
        <v>0</v>
      </c>
      <c r="V1287" s="23">
        <f t="shared" si="3"/>
        <v>0</v>
      </c>
      <c r="W1287" s="23">
        <f t="shared" si="4"/>
        <v>0</v>
      </c>
      <c r="X1287" s="24" t="str">
        <f t="shared" si="5"/>
        <v>#DIV/0!</v>
      </c>
    </row>
    <row r="1288">
      <c r="A1288" s="15" t="s">
        <v>5408</v>
      </c>
      <c r="B1288" s="15" t="s">
        <v>5409</v>
      </c>
      <c r="C1288" s="16"/>
      <c r="D1288" s="15" t="s">
        <v>5410</v>
      </c>
      <c r="E1288" s="17" t="s">
        <v>5411</v>
      </c>
      <c r="F1288" s="18"/>
      <c r="G1288" s="18"/>
      <c r="H1288" s="15" t="s">
        <v>5412</v>
      </c>
      <c r="I1288" s="15" t="s">
        <v>5413</v>
      </c>
      <c r="J1288" s="19" t="s">
        <v>702</v>
      </c>
      <c r="K1288" s="33"/>
      <c r="L1288" s="19" t="s">
        <v>177</v>
      </c>
      <c r="M1288" s="20">
        <f t="shared" si="1"/>
        <v>0</v>
      </c>
      <c r="N1288" s="21"/>
      <c r="O1288" s="22"/>
      <c r="P1288" s="19" t="s">
        <v>3578</v>
      </c>
      <c r="Q1288" s="18"/>
      <c r="R1288" s="18"/>
      <c r="S1288" s="23">
        <v>0.0</v>
      </c>
      <c r="T1288" s="23">
        <v>0.0</v>
      </c>
      <c r="U1288" s="23">
        <f t="shared" si="2"/>
        <v>0</v>
      </c>
      <c r="V1288" s="23">
        <f t="shared" si="3"/>
        <v>0</v>
      </c>
      <c r="W1288" s="23">
        <f t="shared" si="4"/>
        <v>0</v>
      </c>
      <c r="X1288" s="24" t="str">
        <f t="shared" si="5"/>
        <v>#DIV/0!</v>
      </c>
    </row>
    <row r="1289">
      <c r="A1289" s="15" t="s">
        <v>5414</v>
      </c>
      <c r="B1289" s="15" t="s">
        <v>5415</v>
      </c>
      <c r="C1289" s="16"/>
      <c r="D1289" s="15" t="s">
        <v>5416</v>
      </c>
      <c r="E1289" s="17" t="s">
        <v>5417</v>
      </c>
      <c r="F1289" s="18"/>
      <c r="G1289" s="18"/>
      <c r="H1289" s="41" t="s">
        <v>5418</v>
      </c>
      <c r="I1289" s="18"/>
      <c r="J1289" s="19" t="s">
        <v>702</v>
      </c>
      <c r="K1289" s="19" t="s">
        <v>52</v>
      </c>
      <c r="L1289" s="19" t="s">
        <v>177</v>
      </c>
      <c r="M1289" s="20">
        <f t="shared" si="1"/>
        <v>0</v>
      </c>
      <c r="N1289" s="21"/>
      <c r="O1289" s="22"/>
      <c r="P1289" s="19" t="s">
        <v>3578</v>
      </c>
      <c r="Q1289" s="18"/>
      <c r="R1289" s="18"/>
      <c r="S1289" s="23">
        <v>0.0</v>
      </c>
      <c r="T1289" s="23">
        <v>0.0</v>
      </c>
      <c r="U1289" s="23">
        <f t="shared" si="2"/>
        <v>0</v>
      </c>
      <c r="V1289" s="23">
        <f t="shared" si="3"/>
        <v>0</v>
      </c>
      <c r="W1289" s="23">
        <f t="shared" si="4"/>
        <v>0</v>
      </c>
      <c r="X1289" s="24" t="str">
        <f t="shared" si="5"/>
        <v>#DIV/0!</v>
      </c>
    </row>
    <row r="1290">
      <c r="A1290" s="15" t="s">
        <v>5419</v>
      </c>
      <c r="B1290" s="18"/>
      <c r="C1290" s="16"/>
      <c r="D1290" s="18"/>
      <c r="E1290" s="17" t="s">
        <v>5420</v>
      </c>
      <c r="F1290" s="18"/>
      <c r="G1290" s="18"/>
      <c r="H1290" s="15" t="s">
        <v>5421</v>
      </c>
      <c r="I1290" s="18"/>
      <c r="J1290" s="19" t="s">
        <v>702</v>
      </c>
      <c r="K1290" s="33"/>
      <c r="L1290" s="19" t="s">
        <v>177</v>
      </c>
      <c r="M1290" s="20">
        <f t="shared" si="1"/>
        <v>0</v>
      </c>
      <c r="N1290" s="21"/>
      <c r="O1290" s="22"/>
      <c r="P1290" s="19" t="s">
        <v>3578</v>
      </c>
      <c r="Q1290" s="18"/>
      <c r="R1290" s="18"/>
      <c r="S1290" s="23">
        <v>0.0</v>
      </c>
      <c r="T1290" s="23">
        <v>0.0</v>
      </c>
      <c r="U1290" s="23">
        <f t="shared" si="2"/>
        <v>0</v>
      </c>
      <c r="V1290" s="23">
        <f t="shared" si="3"/>
        <v>0</v>
      </c>
      <c r="W1290" s="23">
        <f t="shared" si="4"/>
        <v>0</v>
      </c>
      <c r="X1290" s="24" t="str">
        <f t="shared" si="5"/>
        <v>#DIV/0!</v>
      </c>
    </row>
    <row r="1291">
      <c r="A1291" s="15" t="s">
        <v>5422</v>
      </c>
      <c r="B1291" s="15" t="s">
        <v>5423</v>
      </c>
      <c r="C1291" s="16"/>
      <c r="D1291" s="15" t="s">
        <v>5424</v>
      </c>
      <c r="E1291" s="17" t="s">
        <v>5425</v>
      </c>
      <c r="F1291" s="18"/>
      <c r="G1291" s="18"/>
      <c r="H1291" s="15" t="s">
        <v>5426</v>
      </c>
      <c r="I1291" s="18"/>
      <c r="J1291" s="19" t="s">
        <v>702</v>
      </c>
      <c r="K1291" s="19" t="s">
        <v>52</v>
      </c>
      <c r="L1291" s="19" t="s">
        <v>177</v>
      </c>
      <c r="M1291" s="20">
        <f t="shared" si="1"/>
        <v>0</v>
      </c>
      <c r="N1291" s="21"/>
      <c r="O1291" s="22"/>
      <c r="P1291" s="19" t="s">
        <v>3578</v>
      </c>
      <c r="Q1291" s="18"/>
      <c r="R1291" s="18"/>
      <c r="S1291" s="23">
        <v>0.0</v>
      </c>
      <c r="T1291" s="23">
        <v>0.0</v>
      </c>
      <c r="U1291" s="23">
        <f t="shared" si="2"/>
        <v>0</v>
      </c>
      <c r="V1291" s="23">
        <f t="shared" si="3"/>
        <v>0</v>
      </c>
      <c r="W1291" s="23">
        <f t="shared" si="4"/>
        <v>0</v>
      </c>
      <c r="X1291" s="24" t="str">
        <f t="shared" si="5"/>
        <v>#DIV/0!</v>
      </c>
    </row>
    <row r="1292">
      <c r="A1292" s="15" t="s">
        <v>5427</v>
      </c>
      <c r="B1292" s="15" t="s">
        <v>5428</v>
      </c>
      <c r="C1292" s="16"/>
      <c r="D1292" s="15" t="s">
        <v>5429</v>
      </c>
      <c r="E1292" s="17" t="s">
        <v>5430</v>
      </c>
      <c r="F1292" s="18"/>
      <c r="G1292" s="18"/>
      <c r="H1292" s="15" t="s">
        <v>5431</v>
      </c>
      <c r="I1292" s="18"/>
      <c r="J1292" s="19" t="s">
        <v>702</v>
      </c>
      <c r="K1292" s="19" t="s">
        <v>52</v>
      </c>
      <c r="L1292" s="19" t="s">
        <v>52</v>
      </c>
      <c r="M1292" s="20">
        <f t="shared" si="1"/>
        <v>0</v>
      </c>
      <c r="N1292" s="21"/>
      <c r="O1292" s="22"/>
      <c r="P1292" s="19" t="s">
        <v>3578</v>
      </c>
      <c r="Q1292" s="18"/>
      <c r="R1292" s="18"/>
      <c r="S1292" s="23">
        <v>0.0</v>
      </c>
      <c r="T1292" s="23">
        <v>0.0</v>
      </c>
      <c r="U1292" s="23">
        <f t="shared" si="2"/>
        <v>0</v>
      </c>
      <c r="V1292" s="23">
        <f t="shared" si="3"/>
        <v>0</v>
      </c>
      <c r="W1292" s="23">
        <f t="shared" si="4"/>
        <v>0</v>
      </c>
      <c r="X1292" s="24" t="str">
        <f t="shared" si="5"/>
        <v>#DIV/0!</v>
      </c>
    </row>
    <row r="1293">
      <c r="A1293" s="15" t="s">
        <v>5432</v>
      </c>
      <c r="B1293" s="15" t="s">
        <v>5433</v>
      </c>
      <c r="C1293" s="16"/>
      <c r="D1293" s="15" t="s">
        <v>5434</v>
      </c>
      <c r="E1293" s="17" t="s">
        <v>5435</v>
      </c>
      <c r="F1293" s="18"/>
      <c r="G1293" s="18"/>
      <c r="H1293" s="15" t="s">
        <v>5436</v>
      </c>
      <c r="I1293" s="15" t="s">
        <v>5437</v>
      </c>
      <c r="J1293" s="19" t="s">
        <v>104</v>
      </c>
      <c r="K1293" s="19" t="s">
        <v>717</v>
      </c>
      <c r="L1293" s="19" t="s">
        <v>919</v>
      </c>
      <c r="M1293" s="20">
        <f t="shared" si="1"/>
        <v>0</v>
      </c>
      <c r="N1293" s="21"/>
      <c r="O1293" s="22"/>
      <c r="P1293" s="19" t="s">
        <v>3578</v>
      </c>
      <c r="Q1293" s="18"/>
      <c r="R1293" s="18"/>
      <c r="S1293" s="23">
        <v>0.0</v>
      </c>
      <c r="T1293" s="23">
        <v>0.0</v>
      </c>
      <c r="U1293" s="23">
        <f t="shared" si="2"/>
        <v>0</v>
      </c>
      <c r="V1293" s="23">
        <f t="shared" si="3"/>
        <v>0</v>
      </c>
      <c r="W1293" s="23">
        <f t="shared" si="4"/>
        <v>0</v>
      </c>
      <c r="X1293" s="24" t="str">
        <f t="shared" si="5"/>
        <v>#DIV/0!</v>
      </c>
    </row>
    <row r="1294">
      <c r="A1294" s="15" t="s">
        <v>5438</v>
      </c>
      <c r="B1294" s="15" t="s">
        <v>5439</v>
      </c>
      <c r="C1294" s="16"/>
      <c r="D1294" s="15" t="s">
        <v>5440</v>
      </c>
      <c r="E1294" s="17" t="s">
        <v>5441</v>
      </c>
      <c r="F1294" s="18"/>
      <c r="G1294" s="18"/>
      <c r="H1294" s="15" t="s">
        <v>5442</v>
      </c>
      <c r="I1294" s="18"/>
      <c r="J1294" s="19" t="s">
        <v>702</v>
      </c>
      <c r="K1294" s="33"/>
      <c r="L1294" s="19" t="s">
        <v>38</v>
      </c>
      <c r="M1294" s="20">
        <f t="shared" si="1"/>
        <v>0</v>
      </c>
      <c r="N1294" s="21"/>
      <c r="O1294" s="22"/>
      <c r="P1294" s="19" t="s">
        <v>3578</v>
      </c>
      <c r="Q1294" s="18"/>
      <c r="R1294" s="18"/>
      <c r="S1294" s="23">
        <v>0.0</v>
      </c>
      <c r="T1294" s="23">
        <v>0.0</v>
      </c>
      <c r="U1294" s="23">
        <f t="shared" si="2"/>
        <v>0</v>
      </c>
      <c r="V1294" s="23">
        <f t="shared" si="3"/>
        <v>0</v>
      </c>
      <c r="W1294" s="23">
        <f t="shared" si="4"/>
        <v>0</v>
      </c>
      <c r="X1294" s="24" t="str">
        <f t="shared" si="5"/>
        <v>#DIV/0!</v>
      </c>
    </row>
    <row r="1295">
      <c r="A1295" s="15" t="s">
        <v>5443</v>
      </c>
      <c r="B1295" s="15" t="s">
        <v>5444</v>
      </c>
      <c r="C1295" s="16"/>
      <c r="D1295" s="15" t="s">
        <v>5445</v>
      </c>
      <c r="E1295" s="17" t="s">
        <v>5446</v>
      </c>
      <c r="F1295" s="18"/>
      <c r="G1295" s="18"/>
      <c r="H1295" s="15" t="s">
        <v>5447</v>
      </c>
      <c r="I1295" s="18"/>
      <c r="J1295" s="19" t="s">
        <v>702</v>
      </c>
      <c r="K1295" s="33"/>
      <c r="L1295" s="19" t="s">
        <v>38</v>
      </c>
      <c r="M1295" s="20">
        <f t="shared" si="1"/>
        <v>0</v>
      </c>
      <c r="N1295" s="21"/>
      <c r="O1295" s="22"/>
      <c r="P1295" s="19" t="s">
        <v>3578</v>
      </c>
      <c r="Q1295" s="18"/>
      <c r="R1295" s="18"/>
      <c r="S1295" s="23">
        <v>0.0</v>
      </c>
      <c r="T1295" s="23">
        <v>0.0</v>
      </c>
      <c r="U1295" s="23">
        <f t="shared" si="2"/>
        <v>0</v>
      </c>
      <c r="V1295" s="23">
        <f t="shared" si="3"/>
        <v>0</v>
      </c>
      <c r="W1295" s="23">
        <f t="shared" si="4"/>
        <v>0</v>
      </c>
      <c r="X1295" s="24" t="str">
        <f t="shared" si="5"/>
        <v>#DIV/0!</v>
      </c>
    </row>
    <row r="1296">
      <c r="A1296" s="15" t="s">
        <v>5448</v>
      </c>
      <c r="B1296" s="15" t="s">
        <v>5449</v>
      </c>
      <c r="C1296" s="16"/>
      <c r="D1296" s="15" t="s">
        <v>5450</v>
      </c>
      <c r="E1296" s="17" t="s">
        <v>5451</v>
      </c>
      <c r="F1296" s="18"/>
      <c r="G1296" s="18"/>
      <c r="H1296" s="15" t="s">
        <v>5452</v>
      </c>
      <c r="I1296" s="15" t="s">
        <v>5453</v>
      </c>
      <c r="J1296" s="19" t="s">
        <v>702</v>
      </c>
      <c r="K1296" s="19" t="s">
        <v>52</v>
      </c>
      <c r="L1296" s="19" t="s">
        <v>703</v>
      </c>
      <c r="M1296" s="20">
        <f t="shared" si="1"/>
        <v>0</v>
      </c>
      <c r="N1296" s="21"/>
      <c r="O1296" s="22"/>
      <c r="P1296" s="19" t="s">
        <v>3578</v>
      </c>
      <c r="Q1296" s="18"/>
      <c r="R1296" s="18"/>
      <c r="S1296" s="23">
        <v>0.0</v>
      </c>
      <c r="T1296" s="23">
        <v>0.0</v>
      </c>
      <c r="U1296" s="23">
        <f t="shared" si="2"/>
        <v>0</v>
      </c>
      <c r="V1296" s="23">
        <f t="shared" si="3"/>
        <v>0</v>
      </c>
      <c r="W1296" s="23">
        <f t="shared" si="4"/>
        <v>0</v>
      </c>
      <c r="X1296" s="24" t="str">
        <f t="shared" si="5"/>
        <v>#DIV/0!</v>
      </c>
    </row>
    <row r="1297">
      <c r="A1297" s="15" t="s">
        <v>5454</v>
      </c>
      <c r="B1297" s="15" t="s">
        <v>5455</v>
      </c>
      <c r="C1297" s="16"/>
      <c r="D1297" s="15" t="s">
        <v>5456</v>
      </c>
      <c r="E1297" s="17" t="s">
        <v>5457</v>
      </c>
      <c r="F1297" s="18"/>
      <c r="G1297" s="18"/>
      <c r="H1297" s="15" t="s">
        <v>5458</v>
      </c>
      <c r="I1297" s="18"/>
      <c r="J1297" s="19" t="s">
        <v>104</v>
      </c>
      <c r="K1297" s="19" t="s">
        <v>160</v>
      </c>
      <c r="L1297" s="19" t="s">
        <v>106</v>
      </c>
      <c r="M1297" s="20">
        <f t="shared" si="1"/>
        <v>0</v>
      </c>
      <c r="N1297" s="21"/>
      <c r="O1297" s="22"/>
      <c r="P1297" s="19" t="s">
        <v>3578</v>
      </c>
      <c r="Q1297" s="18"/>
      <c r="R1297" s="18"/>
      <c r="S1297" s="23">
        <v>0.0</v>
      </c>
      <c r="T1297" s="23">
        <v>0.0</v>
      </c>
      <c r="U1297" s="23">
        <f t="shared" si="2"/>
        <v>0</v>
      </c>
      <c r="V1297" s="23">
        <f t="shared" si="3"/>
        <v>0</v>
      </c>
      <c r="W1297" s="23">
        <f t="shared" si="4"/>
        <v>0</v>
      </c>
      <c r="X1297" s="24" t="str">
        <f t="shared" si="5"/>
        <v>#DIV/0!</v>
      </c>
    </row>
    <row r="1298">
      <c r="A1298" s="15" t="s">
        <v>5459</v>
      </c>
      <c r="B1298" s="15" t="s">
        <v>5460</v>
      </c>
      <c r="C1298" s="16"/>
      <c r="D1298" s="15" t="s">
        <v>5461</v>
      </c>
      <c r="E1298" s="17" t="s">
        <v>5462</v>
      </c>
      <c r="F1298" s="18"/>
      <c r="G1298" s="18"/>
      <c r="H1298" s="15" t="s">
        <v>5463</v>
      </c>
      <c r="I1298" s="18"/>
      <c r="J1298" s="19" t="s">
        <v>59</v>
      </c>
      <c r="K1298" s="19" t="s">
        <v>52</v>
      </c>
      <c r="L1298" s="19" t="s">
        <v>52</v>
      </c>
      <c r="M1298" s="20">
        <f t="shared" si="1"/>
        <v>0</v>
      </c>
      <c r="N1298" s="37" t="s">
        <v>68</v>
      </c>
      <c r="O1298" s="22"/>
      <c r="P1298" s="19" t="s">
        <v>3578</v>
      </c>
      <c r="Q1298" s="18"/>
      <c r="R1298" s="18"/>
      <c r="S1298" s="23">
        <v>0.0</v>
      </c>
      <c r="T1298" s="23">
        <v>0.0</v>
      </c>
      <c r="U1298" s="23">
        <f t="shared" si="2"/>
        <v>0</v>
      </c>
      <c r="V1298" s="23">
        <f t="shared" si="3"/>
        <v>0</v>
      </c>
      <c r="W1298" s="23">
        <f t="shared" si="4"/>
        <v>0</v>
      </c>
      <c r="X1298" s="24" t="str">
        <f t="shared" si="5"/>
        <v>#DIV/0!</v>
      </c>
    </row>
    <row r="1299">
      <c r="A1299" s="15" t="s">
        <v>5464</v>
      </c>
      <c r="B1299" s="15" t="s">
        <v>5465</v>
      </c>
      <c r="C1299" s="16"/>
      <c r="D1299" s="15" t="s">
        <v>5466</v>
      </c>
      <c r="E1299" s="17" t="s">
        <v>5467</v>
      </c>
      <c r="F1299" s="18"/>
      <c r="G1299" s="18"/>
      <c r="H1299" s="15" t="s">
        <v>5468</v>
      </c>
      <c r="I1299" s="15" t="s">
        <v>5469</v>
      </c>
      <c r="J1299" s="19" t="s">
        <v>702</v>
      </c>
      <c r="K1299" s="33"/>
      <c r="L1299" s="19" t="s">
        <v>135</v>
      </c>
      <c r="M1299" s="20">
        <f t="shared" si="1"/>
        <v>0</v>
      </c>
      <c r="N1299" s="21"/>
      <c r="O1299" s="22"/>
      <c r="P1299" s="19" t="s">
        <v>3578</v>
      </c>
      <c r="Q1299" s="18"/>
      <c r="R1299" s="18"/>
      <c r="S1299" s="23">
        <v>0.0</v>
      </c>
      <c r="T1299" s="23">
        <v>0.0</v>
      </c>
      <c r="U1299" s="23">
        <f t="shared" si="2"/>
        <v>0</v>
      </c>
      <c r="V1299" s="23">
        <f t="shared" si="3"/>
        <v>0</v>
      </c>
      <c r="W1299" s="23">
        <f t="shared" si="4"/>
        <v>0</v>
      </c>
      <c r="X1299" s="24" t="str">
        <f t="shared" si="5"/>
        <v>#DIV/0!</v>
      </c>
    </row>
    <row r="1300">
      <c r="A1300" s="15" t="s">
        <v>5470</v>
      </c>
      <c r="B1300" s="15" t="s">
        <v>5471</v>
      </c>
      <c r="C1300" s="16"/>
      <c r="D1300" s="15" t="s">
        <v>5472</v>
      </c>
      <c r="E1300" s="17" t="s">
        <v>5473</v>
      </c>
      <c r="F1300" s="18"/>
      <c r="G1300" s="18"/>
      <c r="H1300" s="15" t="s">
        <v>5474</v>
      </c>
      <c r="I1300" s="18"/>
      <c r="J1300" s="19" t="s">
        <v>702</v>
      </c>
      <c r="K1300" s="33"/>
      <c r="L1300" s="19" t="s">
        <v>38</v>
      </c>
      <c r="M1300" s="20">
        <f t="shared" si="1"/>
        <v>0</v>
      </c>
      <c r="N1300" s="21"/>
      <c r="O1300" s="22"/>
      <c r="P1300" s="19" t="s">
        <v>3578</v>
      </c>
      <c r="Q1300" s="18"/>
      <c r="R1300" s="18"/>
      <c r="S1300" s="23">
        <v>0.0</v>
      </c>
      <c r="T1300" s="23">
        <v>0.0</v>
      </c>
      <c r="U1300" s="23">
        <f t="shared" si="2"/>
        <v>0</v>
      </c>
      <c r="V1300" s="23">
        <f t="shared" si="3"/>
        <v>0</v>
      </c>
      <c r="W1300" s="23">
        <f t="shared" si="4"/>
        <v>0</v>
      </c>
      <c r="X1300" s="24" t="str">
        <f t="shared" si="5"/>
        <v>#DIV/0!</v>
      </c>
    </row>
    <row r="1301">
      <c r="A1301" s="15" t="s">
        <v>5475</v>
      </c>
      <c r="B1301" s="15" t="s">
        <v>5476</v>
      </c>
      <c r="C1301" s="16"/>
      <c r="D1301" s="15" t="s">
        <v>5477</v>
      </c>
      <c r="E1301" s="17" t="s">
        <v>5478</v>
      </c>
      <c r="F1301" s="18"/>
      <c r="G1301" s="18"/>
      <c r="H1301" s="15" t="s">
        <v>5479</v>
      </c>
      <c r="I1301" s="18"/>
      <c r="J1301" s="52" t="s">
        <v>5480</v>
      </c>
      <c r="K1301" s="33"/>
      <c r="L1301" s="19" t="s">
        <v>38</v>
      </c>
      <c r="M1301" s="20">
        <f t="shared" si="1"/>
        <v>0</v>
      </c>
      <c r="N1301" s="21"/>
      <c r="O1301" s="22"/>
      <c r="P1301" s="19" t="s">
        <v>3578</v>
      </c>
      <c r="Q1301" s="18"/>
      <c r="R1301" s="18"/>
      <c r="S1301" s="23">
        <v>0.0</v>
      </c>
      <c r="T1301" s="23">
        <v>0.0</v>
      </c>
      <c r="U1301" s="23">
        <f t="shared" si="2"/>
        <v>0</v>
      </c>
      <c r="V1301" s="23">
        <f t="shared" si="3"/>
        <v>0</v>
      </c>
      <c r="W1301" s="23">
        <f t="shared" si="4"/>
        <v>0</v>
      </c>
      <c r="X1301" s="24" t="str">
        <f t="shared" si="5"/>
        <v>#DIV/0!</v>
      </c>
    </row>
    <row r="1302">
      <c r="A1302" s="15" t="s">
        <v>5481</v>
      </c>
      <c r="B1302" s="15" t="s">
        <v>5482</v>
      </c>
      <c r="C1302" s="16"/>
      <c r="D1302" s="15" t="s">
        <v>5483</v>
      </c>
      <c r="E1302" s="17" t="s">
        <v>5484</v>
      </c>
      <c r="F1302" s="18"/>
      <c r="G1302" s="18"/>
      <c r="H1302" s="15" t="s">
        <v>5485</v>
      </c>
      <c r="I1302" s="18"/>
      <c r="J1302" s="19" t="s">
        <v>5480</v>
      </c>
      <c r="K1302" s="33"/>
      <c r="L1302" s="19" t="s">
        <v>38</v>
      </c>
      <c r="M1302" s="20">
        <f t="shared" si="1"/>
        <v>0</v>
      </c>
      <c r="N1302" s="21"/>
      <c r="O1302" s="22"/>
      <c r="P1302" s="19" t="s">
        <v>3578</v>
      </c>
      <c r="Q1302" s="18"/>
      <c r="R1302" s="18"/>
      <c r="S1302" s="23">
        <v>0.0</v>
      </c>
      <c r="T1302" s="23">
        <v>0.0</v>
      </c>
      <c r="U1302" s="23">
        <f t="shared" si="2"/>
        <v>0</v>
      </c>
      <c r="V1302" s="23">
        <f t="shared" si="3"/>
        <v>0</v>
      </c>
      <c r="W1302" s="23">
        <f t="shared" si="4"/>
        <v>0</v>
      </c>
      <c r="X1302" s="24" t="str">
        <f t="shared" si="5"/>
        <v>#DIV/0!</v>
      </c>
    </row>
    <row r="1303">
      <c r="A1303" s="15" t="s">
        <v>5486</v>
      </c>
      <c r="B1303" s="15" t="s">
        <v>5487</v>
      </c>
      <c r="C1303" s="16"/>
      <c r="D1303" s="15" t="s">
        <v>5488</v>
      </c>
      <c r="E1303" s="17" t="s">
        <v>5489</v>
      </c>
      <c r="F1303" s="18"/>
      <c r="G1303" s="18"/>
      <c r="H1303" s="15" t="s">
        <v>5490</v>
      </c>
      <c r="I1303" s="18"/>
      <c r="J1303" s="19" t="s">
        <v>5480</v>
      </c>
      <c r="K1303" s="33"/>
      <c r="L1303" s="19" t="s">
        <v>38</v>
      </c>
      <c r="M1303" s="20">
        <f t="shared" si="1"/>
        <v>0</v>
      </c>
      <c r="N1303" s="21"/>
      <c r="O1303" s="22"/>
      <c r="P1303" s="19" t="s">
        <v>3578</v>
      </c>
      <c r="Q1303" s="18"/>
      <c r="R1303" s="18"/>
      <c r="S1303" s="23">
        <v>0.0</v>
      </c>
      <c r="T1303" s="23">
        <v>0.0</v>
      </c>
      <c r="U1303" s="23">
        <f t="shared" si="2"/>
        <v>0</v>
      </c>
      <c r="V1303" s="23">
        <f t="shared" si="3"/>
        <v>0</v>
      </c>
      <c r="W1303" s="23">
        <f t="shared" si="4"/>
        <v>0</v>
      </c>
      <c r="X1303" s="24" t="str">
        <f t="shared" si="5"/>
        <v>#DIV/0!</v>
      </c>
    </row>
    <row r="1304">
      <c r="A1304" s="15" t="s">
        <v>5491</v>
      </c>
      <c r="B1304" s="15" t="s">
        <v>5492</v>
      </c>
      <c r="C1304" s="16"/>
      <c r="D1304" s="15" t="s">
        <v>5493</v>
      </c>
      <c r="E1304" s="17" t="s">
        <v>5494</v>
      </c>
      <c r="F1304" s="18"/>
      <c r="G1304" s="18"/>
      <c r="H1304" s="15" t="s">
        <v>5495</v>
      </c>
      <c r="I1304" s="18"/>
      <c r="J1304" s="19" t="s">
        <v>5480</v>
      </c>
      <c r="K1304" s="33"/>
      <c r="L1304" s="19" t="s">
        <v>38</v>
      </c>
      <c r="M1304" s="20">
        <f t="shared" si="1"/>
        <v>0</v>
      </c>
      <c r="N1304" s="21"/>
      <c r="O1304" s="22"/>
      <c r="P1304" s="19" t="s">
        <v>3578</v>
      </c>
      <c r="Q1304" s="18"/>
      <c r="R1304" s="18"/>
      <c r="S1304" s="23">
        <v>0.0</v>
      </c>
      <c r="T1304" s="23">
        <v>0.0</v>
      </c>
      <c r="U1304" s="23">
        <f t="shared" si="2"/>
        <v>0</v>
      </c>
      <c r="V1304" s="23">
        <f t="shared" si="3"/>
        <v>0</v>
      </c>
      <c r="W1304" s="23">
        <f t="shared" si="4"/>
        <v>0</v>
      </c>
      <c r="X1304" s="24" t="str">
        <f t="shared" si="5"/>
        <v>#DIV/0!</v>
      </c>
    </row>
    <row r="1305">
      <c r="A1305" s="15" t="s">
        <v>5496</v>
      </c>
      <c r="B1305" s="15" t="s">
        <v>5497</v>
      </c>
      <c r="C1305" s="16"/>
      <c r="D1305" s="15" t="s">
        <v>5498</v>
      </c>
      <c r="E1305" s="17" t="s">
        <v>5499</v>
      </c>
      <c r="F1305" s="18"/>
      <c r="G1305" s="18"/>
      <c r="H1305" s="15" t="s">
        <v>5500</v>
      </c>
      <c r="I1305" s="18"/>
      <c r="J1305" s="19" t="s">
        <v>5480</v>
      </c>
      <c r="K1305" s="33"/>
      <c r="L1305" s="19" t="s">
        <v>38</v>
      </c>
      <c r="M1305" s="20">
        <f t="shared" si="1"/>
        <v>0</v>
      </c>
      <c r="N1305" s="21"/>
      <c r="O1305" s="22"/>
      <c r="P1305" s="19" t="s">
        <v>3578</v>
      </c>
      <c r="Q1305" s="18"/>
      <c r="R1305" s="18"/>
      <c r="S1305" s="23">
        <v>0.0</v>
      </c>
      <c r="T1305" s="23">
        <v>0.0</v>
      </c>
      <c r="U1305" s="23">
        <f t="shared" si="2"/>
        <v>0</v>
      </c>
      <c r="V1305" s="23">
        <f t="shared" si="3"/>
        <v>0</v>
      </c>
      <c r="W1305" s="23">
        <f t="shared" si="4"/>
        <v>0</v>
      </c>
      <c r="X1305" s="24" t="str">
        <f t="shared" si="5"/>
        <v>#DIV/0!</v>
      </c>
    </row>
    <row r="1306">
      <c r="A1306" s="15" t="s">
        <v>5501</v>
      </c>
      <c r="B1306" s="15" t="s">
        <v>5502</v>
      </c>
      <c r="C1306" s="16"/>
      <c r="D1306" s="15" t="s">
        <v>5503</v>
      </c>
      <c r="E1306" s="17" t="s">
        <v>5504</v>
      </c>
      <c r="F1306" s="18"/>
      <c r="G1306" s="18"/>
      <c r="H1306" s="15" t="s">
        <v>5505</v>
      </c>
      <c r="I1306" s="18"/>
      <c r="J1306" s="19" t="s">
        <v>5480</v>
      </c>
      <c r="K1306" s="33"/>
      <c r="L1306" s="19" t="s">
        <v>38</v>
      </c>
      <c r="M1306" s="20">
        <f t="shared" si="1"/>
        <v>0</v>
      </c>
      <c r="N1306" s="21"/>
      <c r="O1306" s="22"/>
      <c r="P1306" s="19" t="s">
        <v>3578</v>
      </c>
      <c r="Q1306" s="18"/>
      <c r="R1306" s="18"/>
      <c r="S1306" s="23">
        <v>0.0</v>
      </c>
      <c r="T1306" s="23">
        <v>0.0</v>
      </c>
      <c r="U1306" s="23">
        <f t="shared" si="2"/>
        <v>0</v>
      </c>
      <c r="V1306" s="23">
        <f t="shared" si="3"/>
        <v>0</v>
      </c>
      <c r="W1306" s="23">
        <f t="shared" si="4"/>
        <v>0</v>
      </c>
      <c r="X1306" s="24" t="str">
        <f t="shared" si="5"/>
        <v>#DIV/0!</v>
      </c>
    </row>
    <row r="1307">
      <c r="A1307" s="15" t="s">
        <v>5506</v>
      </c>
      <c r="B1307" s="15" t="s">
        <v>5507</v>
      </c>
      <c r="C1307" s="16"/>
      <c r="D1307" s="15" t="s">
        <v>5508</v>
      </c>
      <c r="E1307" s="17" t="s">
        <v>5509</v>
      </c>
      <c r="F1307" s="18"/>
      <c r="G1307" s="18"/>
      <c r="H1307" s="15" t="s">
        <v>5510</v>
      </c>
      <c r="I1307" s="15" t="s">
        <v>5511</v>
      </c>
      <c r="J1307" s="19" t="s">
        <v>5480</v>
      </c>
      <c r="K1307" s="19" t="s">
        <v>52</v>
      </c>
      <c r="L1307" s="19" t="s">
        <v>52</v>
      </c>
      <c r="M1307" s="20">
        <f t="shared" si="1"/>
        <v>0</v>
      </c>
      <c r="N1307" s="37" t="s">
        <v>79</v>
      </c>
      <c r="O1307" s="22"/>
      <c r="P1307" s="19" t="s">
        <v>3578</v>
      </c>
      <c r="Q1307" s="18"/>
      <c r="R1307" s="18"/>
      <c r="S1307" s="23">
        <v>0.0</v>
      </c>
      <c r="T1307" s="23">
        <v>0.0</v>
      </c>
      <c r="U1307" s="23">
        <f t="shared" si="2"/>
        <v>0</v>
      </c>
      <c r="V1307" s="23">
        <f t="shared" si="3"/>
        <v>0</v>
      </c>
      <c r="W1307" s="23">
        <f t="shared" si="4"/>
        <v>0</v>
      </c>
      <c r="X1307" s="24" t="str">
        <f t="shared" si="5"/>
        <v>#DIV/0!</v>
      </c>
    </row>
    <row r="1308">
      <c r="A1308" s="15" t="s">
        <v>5512</v>
      </c>
      <c r="B1308" s="15" t="s">
        <v>5513</v>
      </c>
      <c r="C1308" s="16"/>
      <c r="D1308" s="15" t="s">
        <v>5514</v>
      </c>
      <c r="E1308" s="17" t="s">
        <v>5515</v>
      </c>
      <c r="F1308" s="18"/>
      <c r="G1308" s="18"/>
      <c r="H1308" s="15" t="s">
        <v>5516</v>
      </c>
      <c r="I1308" s="18"/>
      <c r="J1308" s="19" t="s">
        <v>5480</v>
      </c>
      <c r="K1308" s="33"/>
      <c r="L1308" s="19" t="s">
        <v>38</v>
      </c>
      <c r="M1308" s="20">
        <f t="shared" si="1"/>
        <v>0</v>
      </c>
      <c r="N1308" s="21"/>
      <c r="O1308" s="22"/>
      <c r="P1308" s="19" t="s">
        <v>3578</v>
      </c>
      <c r="Q1308" s="18"/>
      <c r="R1308" s="18"/>
      <c r="S1308" s="23">
        <v>0.0</v>
      </c>
      <c r="T1308" s="23">
        <v>0.0</v>
      </c>
      <c r="U1308" s="23">
        <f t="shared" si="2"/>
        <v>0</v>
      </c>
      <c r="V1308" s="23">
        <f t="shared" si="3"/>
        <v>0</v>
      </c>
      <c r="W1308" s="23">
        <f t="shared" si="4"/>
        <v>0</v>
      </c>
      <c r="X1308" s="24" t="str">
        <f t="shared" si="5"/>
        <v>#DIV/0!</v>
      </c>
    </row>
    <row r="1309">
      <c r="A1309" s="15" t="s">
        <v>5517</v>
      </c>
      <c r="B1309" s="15" t="s">
        <v>5518</v>
      </c>
      <c r="C1309" s="16"/>
      <c r="D1309" s="15" t="s">
        <v>5519</v>
      </c>
      <c r="E1309" s="17" t="s">
        <v>5520</v>
      </c>
      <c r="F1309" s="18"/>
      <c r="G1309" s="18"/>
      <c r="H1309" s="15" t="s">
        <v>5521</v>
      </c>
      <c r="I1309" s="18"/>
      <c r="J1309" s="19" t="s">
        <v>5480</v>
      </c>
      <c r="K1309" s="19" t="s">
        <v>52</v>
      </c>
      <c r="L1309" s="19" t="s">
        <v>368</v>
      </c>
      <c r="M1309" s="20">
        <f t="shared" si="1"/>
        <v>0</v>
      </c>
      <c r="N1309" s="21"/>
      <c r="O1309" s="22"/>
      <c r="P1309" s="19" t="s">
        <v>3578</v>
      </c>
      <c r="Q1309" s="18"/>
      <c r="R1309" s="18"/>
      <c r="S1309" s="23">
        <v>0.0</v>
      </c>
      <c r="T1309" s="23">
        <v>0.0</v>
      </c>
      <c r="U1309" s="23">
        <f t="shared" si="2"/>
        <v>0</v>
      </c>
      <c r="V1309" s="23">
        <f t="shared" si="3"/>
        <v>0</v>
      </c>
      <c r="W1309" s="23">
        <f t="shared" si="4"/>
        <v>0</v>
      </c>
      <c r="X1309" s="24" t="str">
        <f t="shared" si="5"/>
        <v>#DIV/0!</v>
      </c>
    </row>
    <row r="1310">
      <c r="A1310" s="15" t="s">
        <v>5522</v>
      </c>
      <c r="B1310" s="15" t="s">
        <v>5523</v>
      </c>
      <c r="C1310" s="16"/>
      <c r="D1310" s="15" t="s">
        <v>5524</v>
      </c>
      <c r="E1310" s="17" t="s">
        <v>5525</v>
      </c>
      <c r="F1310" s="18"/>
      <c r="G1310" s="18"/>
      <c r="H1310" s="15" t="s">
        <v>5526</v>
      </c>
      <c r="I1310" s="18"/>
      <c r="J1310" s="19" t="s">
        <v>5480</v>
      </c>
      <c r="K1310" s="19" t="s">
        <v>52</v>
      </c>
      <c r="L1310" s="19" t="s">
        <v>368</v>
      </c>
      <c r="M1310" s="20">
        <f t="shared" si="1"/>
        <v>0</v>
      </c>
      <c r="N1310" s="21"/>
      <c r="O1310" s="22"/>
      <c r="P1310" s="19" t="s">
        <v>3578</v>
      </c>
      <c r="Q1310" s="18"/>
      <c r="R1310" s="18"/>
      <c r="S1310" s="23">
        <v>0.0</v>
      </c>
      <c r="T1310" s="23">
        <v>0.0</v>
      </c>
      <c r="U1310" s="23">
        <f t="shared" si="2"/>
        <v>0</v>
      </c>
      <c r="V1310" s="23">
        <f t="shared" si="3"/>
        <v>0</v>
      </c>
      <c r="W1310" s="23">
        <f t="shared" si="4"/>
        <v>0</v>
      </c>
      <c r="X1310" s="24" t="str">
        <f t="shared" si="5"/>
        <v>#DIV/0!</v>
      </c>
    </row>
    <row r="1311">
      <c r="A1311" s="15" t="s">
        <v>5527</v>
      </c>
      <c r="B1311" s="15" t="s">
        <v>5528</v>
      </c>
      <c r="C1311" s="16"/>
      <c r="D1311" s="15" t="s">
        <v>5529</v>
      </c>
      <c r="E1311" s="17" t="s">
        <v>5530</v>
      </c>
      <c r="F1311" s="18"/>
      <c r="G1311" s="18"/>
      <c r="H1311" s="15" t="s">
        <v>5531</v>
      </c>
      <c r="I1311" s="18"/>
      <c r="J1311" s="19" t="s">
        <v>5480</v>
      </c>
      <c r="K1311" s="19" t="s">
        <v>52</v>
      </c>
      <c r="L1311" s="19" t="s">
        <v>368</v>
      </c>
      <c r="M1311" s="20">
        <f t="shared" si="1"/>
        <v>0</v>
      </c>
      <c r="N1311" s="21"/>
      <c r="O1311" s="22"/>
      <c r="P1311" s="19" t="s">
        <v>3578</v>
      </c>
      <c r="Q1311" s="18"/>
      <c r="R1311" s="18"/>
      <c r="S1311" s="23">
        <v>0.0</v>
      </c>
      <c r="T1311" s="23">
        <v>0.0</v>
      </c>
      <c r="U1311" s="23">
        <f t="shared" si="2"/>
        <v>0</v>
      </c>
      <c r="V1311" s="23">
        <f t="shared" si="3"/>
        <v>0</v>
      </c>
      <c r="W1311" s="23">
        <f t="shared" si="4"/>
        <v>0</v>
      </c>
      <c r="X1311" s="24" t="str">
        <f t="shared" si="5"/>
        <v>#DIV/0!</v>
      </c>
    </row>
    <row r="1312">
      <c r="A1312" s="15" t="s">
        <v>5532</v>
      </c>
      <c r="B1312" s="15" t="s">
        <v>5533</v>
      </c>
      <c r="C1312" s="16"/>
      <c r="D1312" s="15" t="s">
        <v>5534</v>
      </c>
      <c r="E1312" s="17" t="s">
        <v>5535</v>
      </c>
      <c r="F1312" s="18"/>
      <c r="G1312" s="18"/>
      <c r="H1312" s="15" t="s">
        <v>5536</v>
      </c>
      <c r="I1312" s="18"/>
      <c r="J1312" s="19" t="s">
        <v>5480</v>
      </c>
      <c r="K1312" s="19" t="s">
        <v>52</v>
      </c>
      <c r="L1312" s="19" t="s">
        <v>368</v>
      </c>
      <c r="M1312" s="20">
        <f t="shared" si="1"/>
        <v>0</v>
      </c>
      <c r="N1312" s="21"/>
      <c r="O1312" s="22"/>
      <c r="P1312" s="19" t="s">
        <v>3578</v>
      </c>
      <c r="Q1312" s="18"/>
      <c r="R1312" s="18"/>
      <c r="S1312" s="23">
        <v>0.0</v>
      </c>
      <c r="T1312" s="23">
        <v>0.0</v>
      </c>
      <c r="U1312" s="23">
        <f t="shared" si="2"/>
        <v>0</v>
      </c>
      <c r="V1312" s="23">
        <f t="shared" si="3"/>
        <v>0</v>
      </c>
      <c r="W1312" s="23">
        <f t="shared" si="4"/>
        <v>0</v>
      </c>
      <c r="X1312" s="24" t="str">
        <f t="shared" si="5"/>
        <v>#DIV/0!</v>
      </c>
    </row>
    <row r="1313">
      <c r="A1313" s="15" t="s">
        <v>5537</v>
      </c>
      <c r="B1313" s="18" t="str">
        <f t="shared" ref="B1313:B1407" si="37">CONCATENATE(7504589, A1313)</f>
        <v>75045892510</v>
      </c>
      <c r="C1313" s="16"/>
      <c r="D1313" s="15" t="s">
        <v>5538</v>
      </c>
      <c r="E1313" s="17" t="s">
        <v>5539</v>
      </c>
      <c r="F1313" s="18"/>
      <c r="G1313" s="18"/>
      <c r="H1313" s="15" t="s">
        <v>5540</v>
      </c>
      <c r="I1313" s="18"/>
      <c r="J1313" s="19" t="s">
        <v>5480</v>
      </c>
      <c r="K1313" s="19" t="s">
        <v>52</v>
      </c>
      <c r="L1313" s="19" t="s">
        <v>368</v>
      </c>
      <c r="M1313" s="20">
        <f t="shared" si="1"/>
        <v>0</v>
      </c>
      <c r="N1313" s="21"/>
      <c r="O1313" s="22"/>
      <c r="P1313" s="19" t="s">
        <v>3578</v>
      </c>
      <c r="Q1313" s="18"/>
      <c r="R1313" s="18"/>
      <c r="S1313" s="23">
        <v>0.0</v>
      </c>
      <c r="T1313" s="23">
        <v>0.0</v>
      </c>
      <c r="U1313" s="23">
        <f t="shared" si="2"/>
        <v>0</v>
      </c>
      <c r="V1313" s="23">
        <f t="shared" si="3"/>
        <v>0</v>
      </c>
      <c r="W1313" s="23">
        <f t="shared" si="4"/>
        <v>0</v>
      </c>
      <c r="X1313" s="24" t="str">
        <f t="shared" si="5"/>
        <v>#DIV/0!</v>
      </c>
    </row>
    <row r="1314">
      <c r="A1314" s="15" t="s">
        <v>5541</v>
      </c>
      <c r="B1314" s="18" t="str">
        <f t="shared" si="37"/>
        <v>75045892511</v>
      </c>
      <c r="C1314" s="16"/>
      <c r="D1314" s="15" t="s">
        <v>5542</v>
      </c>
      <c r="E1314" s="17" t="s">
        <v>5543</v>
      </c>
      <c r="F1314" s="18"/>
      <c r="G1314" s="18"/>
      <c r="H1314" s="15" t="s">
        <v>5544</v>
      </c>
      <c r="I1314" s="18"/>
      <c r="J1314" s="19" t="s">
        <v>5480</v>
      </c>
      <c r="K1314" s="19" t="s">
        <v>52</v>
      </c>
      <c r="L1314" s="19" t="s">
        <v>368</v>
      </c>
      <c r="M1314" s="20">
        <f t="shared" si="1"/>
        <v>0</v>
      </c>
      <c r="N1314" s="21"/>
      <c r="O1314" s="22"/>
      <c r="P1314" s="19" t="s">
        <v>3578</v>
      </c>
      <c r="Q1314" s="18"/>
      <c r="R1314" s="18"/>
      <c r="S1314" s="23">
        <v>0.0</v>
      </c>
      <c r="T1314" s="23">
        <v>0.0</v>
      </c>
      <c r="U1314" s="23">
        <f t="shared" si="2"/>
        <v>0</v>
      </c>
      <c r="V1314" s="23">
        <f t="shared" si="3"/>
        <v>0</v>
      </c>
      <c r="W1314" s="23">
        <f t="shared" si="4"/>
        <v>0</v>
      </c>
      <c r="X1314" s="24" t="str">
        <f t="shared" si="5"/>
        <v>#DIV/0!</v>
      </c>
    </row>
    <row r="1315">
      <c r="A1315" s="15" t="s">
        <v>5545</v>
      </c>
      <c r="B1315" s="18" t="str">
        <f t="shared" si="37"/>
        <v>75045892512</v>
      </c>
      <c r="C1315" s="16"/>
      <c r="D1315" s="15" t="s">
        <v>5546</v>
      </c>
      <c r="E1315" s="17" t="s">
        <v>5547</v>
      </c>
      <c r="F1315" s="18"/>
      <c r="G1315" s="18"/>
      <c r="H1315" s="15" t="s">
        <v>5548</v>
      </c>
      <c r="I1315" s="18"/>
      <c r="J1315" s="19" t="s">
        <v>5480</v>
      </c>
      <c r="K1315" s="19" t="s">
        <v>52</v>
      </c>
      <c r="L1315" s="19" t="s">
        <v>368</v>
      </c>
      <c r="M1315" s="20">
        <f t="shared" si="1"/>
        <v>0</v>
      </c>
      <c r="N1315" s="21"/>
      <c r="O1315" s="22"/>
      <c r="P1315" s="19" t="s">
        <v>3578</v>
      </c>
      <c r="Q1315" s="18"/>
      <c r="R1315" s="18"/>
      <c r="S1315" s="23">
        <v>0.0</v>
      </c>
      <c r="T1315" s="23">
        <v>0.0</v>
      </c>
      <c r="U1315" s="23">
        <f t="shared" si="2"/>
        <v>0</v>
      </c>
      <c r="V1315" s="23">
        <f t="shared" si="3"/>
        <v>0</v>
      </c>
      <c r="W1315" s="23">
        <f t="shared" si="4"/>
        <v>0</v>
      </c>
      <c r="X1315" s="24" t="str">
        <f t="shared" si="5"/>
        <v>#DIV/0!</v>
      </c>
    </row>
    <row r="1316">
      <c r="A1316" s="15" t="s">
        <v>5549</v>
      </c>
      <c r="B1316" s="18" t="str">
        <f t="shared" si="37"/>
        <v>75045892513</v>
      </c>
      <c r="C1316" s="16"/>
      <c r="D1316" s="15" t="s">
        <v>5550</v>
      </c>
      <c r="E1316" s="17" t="s">
        <v>5551</v>
      </c>
      <c r="F1316" s="18"/>
      <c r="G1316" s="18"/>
      <c r="H1316" s="15" t="s">
        <v>5552</v>
      </c>
      <c r="I1316" s="18"/>
      <c r="J1316" s="19" t="s">
        <v>5480</v>
      </c>
      <c r="K1316" s="19" t="s">
        <v>52</v>
      </c>
      <c r="L1316" s="19" t="s">
        <v>368</v>
      </c>
      <c r="M1316" s="20">
        <f t="shared" si="1"/>
        <v>0</v>
      </c>
      <c r="N1316" s="21"/>
      <c r="O1316" s="22"/>
      <c r="P1316" s="19" t="s">
        <v>3578</v>
      </c>
      <c r="Q1316" s="18"/>
      <c r="R1316" s="18"/>
      <c r="S1316" s="23">
        <v>0.0</v>
      </c>
      <c r="T1316" s="23">
        <v>0.0</v>
      </c>
      <c r="U1316" s="23">
        <f t="shared" si="2"/>
        <v>0</v>
      </c>
      <c r="V1316" s="23">
        <f t="shared" si="3"/>
        <v>0</v>
      </c>
      <c r="W1316" s="23">
        <f t="shared" si="4"/>
        <v>0</v>
      </c>
      <c r="X1316" s="24" t="str">
        <f t="shared" si="5"/>
        <v>#DIV/0!</v>
      </c>
    </row>
    <row r="1317">
      <c r="A1317" s="15" t="s">
        <v>5553</v>
      </c>
      <c r="B1317" s="18" t="str">
        <f t="shared" si="37"/>
        <v>75045892514</v>
      </c>
      <c r="C1317" s="16"/>
      <c r="D1317" s="15" t="s">
        <v>5554</v>
      </c>
      <c r="E1317" s="17" t="s">
        <v>5555</v>
      </c>
      <c r="F1317" s="18"/>
      <c r="G1317" s="18"/>
      <c r="H1317" s="15" t="s">
        <v>5556</v>
      </c>
      <c r="I1317" s="18"/>
      <c r="J1317" s="19" t="s">
        <v>5480</v>
      </c>
      <c r="K1317" s="19" t="s">
        <v>52</v>
      </c>
      <c r="L1317" s="19" t="s">
        <v>368</v>
      </c>
      <c r="M1317" s="20">
        <f t="shared" si="1"/>
        <v>0</v>
      </c>
      <c r="N1317" s="21"/>
      <c r="O1317" s="22"/>
      <c r="P1317" s="19" t="s">
        <v>3578</v>
      </c>
      <c r="Q1317" s="18"/>
      <c r="R1317" s="18"/>
      <c r="S1317" s="23">
        <v>0.0</v>
      </c>
      <c r="T1317" s="23">
        <v>0.0</v>
      </c>
      <c r="U1317" s="23">
        <f t="shared" si="2"/>
        <v>0</v>
      </c>
      <c r="V1317" s="23">
        <f t="shared" si="3"/>
        <v>0</v>
      </c>
      <c r="W1317" s="23">
        <f t="shared" si="4"/>
        <v>0</v>
      </c>
      <c r="X1317" s="24" t="str">
        <f t="shared" si="5"/>
        <v>#DIV/0!</v>
      </c>
    </row>
    <row r="1318">
      <c r="A1318" s="15" t="s">
        <v>5557</v>
      </c>
      <c r="B1318" s="18" t="str">
        <f t="shared" si="37"/>
        <v>75045892515</v>
      </c>
      <c r="C1318" s="16"/>
      <c r="D1318" s="15" t="s">
        <v>5558</v>
      </c>
      <c r="E1318" s="17" t="s">
        <v>5559</v>
      </c>
      <c r="F1318" s="18"/>
      <c r="G1318" s="18"/>
      <c r="H1318" s="15" t="s">
        <v>5560</v>
      </c>
      <c r="I1318" s="18"/>
      <c r="J1318" s="19" t="s">
        <v>5480</v>
      </c>
      <c r="K1318" s="19" t="s">
        <v>52</v>
      </c>
      <c r="L1318" s="19" t="s">
        <v>368</v>
      </c>
      <c r="M1318" s="20">
        <f t="shared" si="1"/>
        <v>0</v>
      </c>
      <c r="N1318" s="21"/>
      <c r="O1318" s="22"/>
      <c r="P1318" s="19" t="s">
        <v>3578</v>
      </c>
      <c r="Q1318" s="18"/>
      <c r="R1318" s="18"/>
      <c r="S1318" s="23">
        <v>0.0</v>
      </c>
      <c r="T1318" s="23">
        <v>0.0</v>
      </c>
      <c r="U1318" s="23">
        <f t="shared" si="2"/>
        <v>0</v>
      </c>
      <c r="V1318" s="23">
        <f t="shared" si="3"/>
        <v>0</v>
      </c>
      <c r="W1318" s="23">
        <f t="shared" si="4"/>
        <v>0</v>
      </c>
      <c r="X1318" s="24" t="str">
        <f t="shared" si="5"/>
        <v>#DIV/0!</v>
      </c>
    </row>
    <row r="1319">
      <c r="A1319" s="15" t="s">
        <v>5561</v>
      </c>
      <c r="B1319" s="18" t="str">
        <f t="shared" si="37"/>
        <v>75045892516</v>
      </c>
      <c r="C1319" s="16"/>
      <c r="D1319" s="15" t="s">
        <v>5562</v>
      </c>
      <c r="E1319" s="17" t="s">
        <v>5563</v>
      </c>
      <c r="F1319" s="18"/>
      <c r="G1319" s="18"/>
      <c r="H1319" s="15" t="s">
        <v>5564</v>
      </c>
      <c r="I1319" s="18"/>
      <c r="J1319" s="19" t="s">
        <v>5480</v>
      </c>
      <c r="K1319" s="19" t="s">
        <v>52</v>
      </c>
      <c r="L1319" s="19" t="s">
        <v>368</v>
      </c>
      <c r="M1319" s="20">
        <f t="shared" si="1"/>
        <v>0</v>
      </c>
      <c r="N1319" s="21"/>
      <c r="O1319" s="22"/>
      <c r="P1319" s="19" t="s">
        <v>3578</v>
      </c>
      <c r="Q1319" s="18"/>
      <c r="R1319" s="18"/>
      <c r="S1319" s="23">
        <v>0.0</v>
      </c>
      <c r="T1319" s="23">
        <v>0.0</v>
      </c>
      <c r="U1319" s="23">
        <f t="shared" si="2"/>
        <v>0</v>
      </c>
      <c r="V1319" s="23">
        <f t="shared" si="3"/>
        <v>0</v>
      </c>
      <c r="W1319" s="23">
        <f t="shared" si="4"/>
        <v>0</v>
      </c>
      <c r="X1319" s="24" t="str">
        <f t="shared" si="5"/>
        <v>#DIV/0!</v>
      </c>
    </row>
    <row r="1320">
      <c r="A1320" s="15" t="s">
        <v>5565</v>
      </c>
      <c r="B1320" s="18" t="str">
        <f t="shared" si="37"/>
        <v>75045892517</v>
      </c>
      <c r="C1320" s="16"/>
      <c r="D1320" s="15" t="s">
        <v>5566</v>
      </c>
      <c r="E1320" s="17" t="s">
        <v>5567</v>
      </c>
      <c r="F1320" s="18"/>
      <c r="G1320" s="18"/>
      <c r="H1320" s="15" t="s">
        <v>5568</v>
      </c>
      <c r="I1320" s="18"/>
      <c r="J1320" s="19" t="s">
        <v>5480</v>
      </c>
      <c r="K1320" s="19" t="s">
        <v>52</v>
      </c>
      <c r="L1320" s="19" t="s">
        <v>368</v>
      </c>
      <c r="M1320" s="20">
        <f t="shared" si="1"/>
        <v>0</v>
      </c>
      <c r="N1320" s="21"/>
      <c r="O1320" s="22"/>
      <c r="P1320" s="19" t="s">
        <v>3578</v>
      </c>
      <c r="Q1320" s="18"/>
      <c r="R1320" s="18"/>
      <c r="S1320" s="23">
        <v>0.0</v>
      </c>
      <c r="T1320" s="23">
        <v>0.0</v>
      </c>
      <c r="U1320" s="23">
        <f t="shared" si="2"/>
        <v>0</v>
      </c>
      <c r="V1320" s="23">
        <f t="shared" si="3"/>
        <v>0</v>
      </c>
      <c r="W1320" s="23">
        <f t="shared" si="4"/>
        <v>0</v>
      </c>
      <c r="X1320" s="24" t="str">
        <f t="shared" si="5"/>
        <v>#DIV/0!</v>
      </c>
    </row>
    <row r="1321">
      <c r="A1321" s="15" t="s">
        <v>5569</v>
      </c>
      <c r="B1321" s="18" t="str">
        <f t="shared" si="37"/>
        <v>75045892518</v>
      </c>
      <c r="C1321" s="16"/>
      <c r="D1321" s="15" t="s">
        <v>5570</v>
      </c>
      <c r="E1321" s="25" t="s">
        <v>5571</v>
      </c>
      <c r="F1321" s="26"/>
      <c r="G1321" s="26"/>
      <c r="H1321" s="25" t="s">
        <v>5572</v>
      </c>
      <c r="I1321" s="25" t="s">
        <v>5573</v>
      </c>
      <c r="J1321" s="27" t="s">
        <v>5480</v>
      </c>
      <c r="K1321" s="27" t="s">
        <v>52</v>
      </c>
      <c r="L1321" s="27" t="s">
        <v>368</v>
      </c>
      <c r="M1321" s="20">
        <f t="shared" si="1"/>
        <v>0</v>
      </c>
      <c r="N1321" s="28"/>
      <c r="O1321" s="29"/>
      <c r="P1321" s="27" t="s">
        <v>3578</v>
      </c>
      <c r="Q1321" s="26"/>
      <c r="R1321" s="26"/>
      <c r="S1321" s="23">
        <v>0.0</v>
      </c>
      <c r="T1321" s="23">
        <v>0.0</v>
      </c>
      <c r="U1321" s="23">
        <f t="shared" si="2"/>
        <v>0</v>
      </c>
      <c r="V1321" s="23">
        <f t="shared" si="3"/>
        <v>0</v>
      </c>
      <c r="W1321" s="23">
        <f t="shared" si="4"/>
        <v>0</v>
      </c>
      <c r="X1321" s="24" t="str">
        <f t="shared" si="5"/>
        <v>#DIV/0!</v>
      </c>
    </row>
    <row r="1322">
      <c r="A1322" s="15" t="s">
        <v>5574</v>
      </c>
      <c r="B1322" s="18" t="str">
        <f t="shared" si="37"/>
        <v>75045892519</v>
      </c>
      <c r="C1322" s="16"/>
      <c r="D1322" s="26"/>
      <c r="E1322" s="25" t="s">
        <v>5575</v>
      </c>
      <c r="F1322" s="26"/>
      <c r="G1322" s="26"/>
      <c r="H1322" s="25" t="s">
        <v>5576</v>
      </c>
      <c r="I1322" s="26"/>
      <c r="J1322" s="27" t="s">
        <v>59</v>
      </c>
      <c r="K1322" s="27" t="s">
        <v>52</v>
      </c>
      <c r="L1322" s="27" t="s">
        <v>368</v>
      </c>
      <c r="M1322" s="20">
        <f t="shared" si="1"/>
        <v>0</v>
      </c>
      <c r="N1322" s="28"/>
      <c r="O1322" s="29"/>
      <c r="P1322" s="27" t="s">
        <v>3578</v>
      </c>
      <c r="Q1322" s="26"/>
      <c r="R1322" s="26"/>
      <c r="S1322" s="23">
        <v>0.0</v>
      </c>
      <c r="T1322" s="23">
        <v>0.0</v>
      </c>
      <c r="U1322" s="23">
        <f t="shared" si="2"/>
        <v>0</v>
      </c>
      <c r="V1322" s="23">
        <f t="shared" si="3"/>
        <v>0</v>
      </c>
      <c r="W1322" s="23">
        <f t="shared" si="4"/>
        <v>0</v>
      </c>
      <c r="X1322" s="24" t="str">
        <f t="shared" si="5"/>
        <v>#DIV/0!</v>
      </c>
    </row>
    <row r="1323">
      <c r="A1323" s="15" t="s">
        <v>5577</v>
      </c>
      <c r="B1323" s="18" t="str">
        <f t="shared" si="37"/>
        <v>75045892520</v>
      </c>
      <c r="C1323" s="16"/>
      <c r="D1323" s="25" t="s">
        <v>5578</v>
      </c>
      <c r="E1323" s="25" t="s">
        <v>5579</v>
      </c>
      <c r="F1323" s="26"/>
      <c r="G1323" s="26"/>
      <c r="H1323" s="25" t="s">
        <v>5580</v>
      </c>
      <c r="I1323" s="26"/>
      <c r="J1323" s="27" t="s">
        <v>59</v>
      </c>
      <c r="K1323" s="27" t="s">
        <v>427</v>
      </c>
      <c r="L1323" s="27" t="s">
        <v>52</v>
      </c>
      <c r="M1323" s="20">
        <f t="shared" si="1"/>
        <v>0</v>
      </c>
      <c r="N1323" s="28"/>
      <c r="O1323" s="29"/>
      <c r="P1323" s="27" t="s">
        <v>3578</v>
      </c>
      <c r="Q1323" s="26"/>
      <c r="R1323" s="26"/>
      <c r="S1323" s="23">
        <v>0.0</v>
      </c>
      <c r="T1323" s="23">
        <v>0.0</v>
      </c>
      <c r="U1323" s="23">
        <f t="shared" si="2"/>
        <v>0</v>
      </c>
      <c r="V1323" s="23">
        <f t="shared" si="3"/>
        <v>0</v>
      </c>
      <c r="W1323" s="23">
        <f t="shared" si="4"/>
        <v>0</v>
      </c>
      <c r="X1323" s="24" t="str">
        <f t="shared" si="5"/>
        <v>#DIV/0!</v>
      </c>
    </row>
    <row r="1324">
      <c r="A1324" s="15" t="s">
        <v>5581</v>
      </c>
      <c r="B1324" s="18" t="str">
        <f t="shared" si="37"/>
        <v>75045892521</v>
      </c>
      <c r="C1324" s="16"/>
      <c r="D1324" s="26"/>
      <c r="E1324" s="25" t="s">
        <v>5582</v>
      </c>
      <c r="F1324" s="26"/>
      <c r="G1324" s="26"/>
      <c r="H1324" s="25" t="s">
        <v>5583</v>
      </c>
      <c r="I1324" s="26"/>
      <c r="J1324" s="27" t="s">
        <v>59</v>
      </c>
      <c r="K1324" s="27" t="s">
        <v>52</v>
      </c>
      <c r="L1324" s="27" t="s">
        <v>52</v>
      </c>
      <c r="M1324" s="20">
        <f t="shared" si="1"/>
        <v>0</v>
      </c>
      <c r="N1324" s="28"/>
      <c r="O1324" s="29"/>
      <c r="P1324" s="27" t="s">
        <v>3578</v>
      </c>
      <c r="Q1324" s="26"/>
      <c r="R1324" s="26"/>
      <c r="S1324" s="23">
        <v>0.0</v>
      </c>
      <c r="T1324" s="23">
        <v>0.0</v>
      </c>
      <c r="U1324" s="23">
        <f t="shared" si="2"/>
        <v>0</v>
      </c>
      <c r="V1324" s="23">
        <f t="shared" si="3"/>
        <v>0</v>
      </c>
      <c r="W1324" s="23">
        <f t="shared" si="4"/>
        <v>0</v>
      </c>
      <c r="X1324" s="24" t="str">
        <f t="shared" si="5"/>
        <v>#DIV/0!</v>
      </c>
    </row>
    <row r="1325">
      <c r="A1325" s="15" t="s">
        <v>5584</v>
      </c>
      <c r="B1325" s="18" t="str">
        <f t="shared" si="37"/>
        <v>75045892522</v>
      </c>
      <c r="C1325" s="16"/>
      <c r="D1325" s="25" t="s">
        <v>5585</v>
      </c>
      <c r="E1325" s="25" t="s">
        <v>5586</v>
      </c>
      <c r="F1325" s="26"/>
      <c r="G1325" s="26"/>
      <c r="H1325" s="25" t="s">
        <v>5587</v>
      </c>
      <c r="I1325" s="26"/>
      <c r="J1325" s="27" t="s">
        <v>59</v>
      </c>
      <c r="K1325" s="27" t="s">
        <v>52</v>
      </c>
      <c r="L1325" s="27" t="s">
        <v>52</v>
      </c>
      <c r="M1325" s="20">
        <f t="shared" si="1"/>
        <v>0</v>
      </c>
      <c r="N1325" s="28"/>
      <c r="O1325" s="29"/>
      <c r="P1325" s="27" t="s">
        <v>3578</v>
      </c>
      <c r="Q1325" s="26"/>
      <c r="R1325" s="26"/>
      <c r="S1325" s="23">
        <v>0.0</v>
      </c>
      <c r="T1325" s="23">
        <v>0.0</v>
      </c>
      <c r="U1325" s="23">
        <f t="shared" si="2"/>
        <v>0</v>
      </c>
      <c r="V1325" s="23">
        <f t="shared" si="3"/>
        <v>0</v>
      </c>
      <c r="W1325" s="23">
        <f t="shared" si="4"/>
        <v>0</v>
      </c>
      <c r="X1325" s="24" t="str">
        <f t="shared" si="5"/>
        <v>#DIV/0!</v>
      </c>
    </row>
    <row r="1326">
      <c r="A1326" s="15" t="s">
        <v>5588</v>
      </c>
      <c r="B1326" s="18" t="str">
        <f t="shared" si="37"/>
        <v>75045892523</v>
      </c>
      <c r="C1326" s="16"/>
      <c r="D1326" s="25" t="s">
        <v>5589</v>
      </c>
      <c r="E1326" s="25" t="s">
        <v>5590</v>
      </c>
      <c r="F1326" s="26"/>
      <c r="G1326" s="26"/>
      <c r="H1326" s="25" t="s">
        <v>5591</v>
      </c>
      <c r="I1326" s="26"/>
      <c r="J1326" s="27" t="s">
        <v>59</v>
      </c>
      <c r="K1326" s="27" t="s">
        <v>52</v>
      </c>
      <c r="L1326" s="27" t="s">
        <v>52</v>
      </c>
      <c r="M1326" s="20">
        <f t="shared" si="1"/>
        <v>0</v>
      </c>
      <c r="N1326" s="28"/>
      <c r="O1326" s="29"/>
      <c r="P1326" s="27" t="s">
        <v>3578</v>
      </c>
      <c r="Q1326" s="26"/>
      <c r="R1326" s="26"/>
      <c r="S1326" s="23">
        <v>0.0</v>
      </c>
      <c r="T1326" s="23">
        <v>0.0</v>
      </c>
      <c r="U1326" s="23">
        <f t="shared" si="2"/>
        <v>0</v>
      </c>
      <c r="V1326" s="23">
        <f t="shared" si="3"/>
        <v>0</v>
      </c>
      <c r="W1326" s="23">
        <f t="shared" si="4"/>
        <v>0</v>
      </c>
      <c r="X1326" s="24" t="str">
        <f t="shared" si="5"/>
        <v>#DIV/0!</v>
      </c>
    </row>
    <row r="1327">
      <c r="A1327" s="15" t="s">
        <v>5592</v>
      </c>
      <c r="B1327" s="18" t="str">
        <f t="shared" si="37"/>
        <v>75045892524</v>
      </c>
      <c r="C1327" s="16"/>
      <c r="D1327" s="25" t="s">
        <v>5593</v>
      </c>
      <c r="E1327" s="25" t="s">
        <v>5594</v>
      </c>
      <c r="F1327" s="26"/>
      <c r="G1327" s="26"/>
      <c r="H1327" s="25" t="s">
        <v>5595</v>
      </c>
      <c r="I1327" s="26"/>
      <c r="J1327" s="27" t="s">
        <v>36</v>
      </c>
      <c r="K1327" s="27" t="s">
        <v>52</v>
      </c>
      <c r="L1327" s="27" t="s">
        <v>52</v>
      </c>
      <c r="M1327" s="20">
        <f t="shared" si="1"/>
        <v>0</v>
      </c>
      <c r="N1327" s="28"/>
      <c r="O1327" s="29"/>
      <c r="P1327" s="27" t="s">
        <v>3578</v>
      </c>
      <c r="Q1327" s="26"/>
      <c r="R1327" s="26"/>
      <c r="S1327" s="23">
        <v>0.0</v>
      </c>
      <c r="T1327" s="23">
        <v>0.0</v>
      </c>
      <c r="U1327" s="23">
        <f t="shared" si="2"/>
        <v>0</v>
      </c>
      <c r="V1327" s="23">
        <f t="shared" si="3"/>
        <v>0</v>
      </c>
      <c r="W1327" s="23">
        <f t="shared" si="4"/>
        <v>0</v>
      </c>
      <c r="X1327" s="24" t="str">
        <f t="shared" si="5"/>
        <v>#DIV/0!</v>
      </c>
    </row>
    <row r="1328">
      <c r="A1328" s="15" t="s">
        <v>5596</v>
      </c>
      <c r="B1328" s="18" t="str">
        <f t="shared" si="37"/>
        <v>75045892525</v>
      </c>
      <c r="C1328" s="16"/>
      <c r="D1328" s="25" t="s">
        <v>5597</v>
      </c>
      <c r="E1328" s="25" t="s">
        <v>5598</v>
      </c>
      <c r="F1328" s="26"/>
      <c r="G1328" s="26"/>
      <c r="H1328" s="25" t="s">
        <v>5599</v>
      </c>
      <c r="I1328" s="26"/>
      <c r="J1328" s="27" t="s">
        <v>36</v>
      </c>
      <c r="K1328" s="27" t="s">
        <v>52</v>
      </c>
      <c r="L1328" s="27" t="s">
        <v>52</v>
      </c>
      <c r="M1328" s="20">
        <f t="shared" si="1"/>
        <v>0</v>
      </c>
      <c r="N1328" s="28"/>
      <c r="O1328" s="29"/>
      <c r="P1328" s="27" t="s">
        <v>3578</v>
      </c>
      <c r="Q1328" s="26"/>
      <c r="R1328" s="26"/>
      <c r="S1328" s="23">
        <v>0.0</v>
      </c>
      <c r="T1328" s="23">
        <v>0.0</v>
      </c>
      <c r="U1328" s="23">
        <f t="shared" si="2"/>
        <v>0</v>
      </c>
      <c r="V1328" s="23">
        <f t="shared" si="3"/>
        <v>0</v>
      </c>
      <c r="W1328" s="23">
        <f t="shared" si="4"/>
        <v>0</v>
      </c>
      <c r="X1328" s="24" t="str">
        <f t="shared" si="5"/>
        <v>#DIV/0!</v>
      </c>
    </row>
    <row r="1329">
      <c r="A1329" s="15" t="s">
        <v>5600</v>
      </c>
      <c r="B1329" s="18" t="str">
        <f t="shared" si="37"/>
        <v>75045892526</v>
      </c>
      <c r="C1329" s="16"/>
      <c r="D1329" s="25" t="s">
        <v>5601</v>
      </c>
      <c r="E1329" s="25" t="s">
        <v>5602</v>
      </c>
      <c r="F1329" s="26"/>
      <c r="G1329" s="26"/>
      <c r="H1329" s="25" t="s">
        <v>5603</v>
      </c>
      <c r="I1329" s="25" t="s">
        <v>2228</v>
      </c>
      <c r="J1329" s="27" t="s">
        <v>36</v>
      </c>
      <c r="K1329" s="27" t="s">
        <v>52</v>
      </c>
      <c r="L1329" s="27" t="s">
        <v>52</v>
      </c>
      <c r="M1329" s="20">
        <f t="shared" si="1"/>
        <v>0</v>
      </c>
      <c r="N1329" s="53" t="s">
        <v>68</v>
      </c>
      <c r="O1329" s="29"/>
      <c r="P1329" s="27" t="s">
        <v>3578</v>
      </c>
      <c r="Q1329" s="26"/>
      <c r="R1329" s="26"/>
      <c r="S1329" s="23">
        <v>0.0</v>
      </c>
      <c r="T1329" s="23">
        <v>0.0</v>
      </c>
      <c r="U1329" s="23">
        <f t="shared" si="2"/>
        <v>0</v>
      </c>
      <c r="V1329" s="23">
        <f t="shared" si="3"/>
        <v>0</v>
      </c>
      <c r="W1329" s="23">
        <f t="shared" si="4"/>
        <v>0</v>
      </c>
      <c r="X1329" s="24" t="str">
        <f t="shared" si="5"/>
        <v>#DIV/0!</v>
      </c>
      <c r="Z1329" s="38">
        <v>713.0</v>
      </c>
      <c r="AA1329" s="39">
        <f>M1329/(1+$AA$1)</f>
        <v>0</v>
      </c>
      <c r="AB1329" s="40" t="str">
        <f>AA1329/W1329</f>
        <v>#DIV/0!</v>
      </c>
      <c r="AD1329" s="34">
        <v>9999.0</v>
      </c>
      <c r="AF1329" s="34">
        <v>9999.0</v>
      </c>
    </row>
    <row r="1330">
      <c r="A1330" s="15" t="s">
        <v>5604</v>
      </c>
      <c r="B1330" s="18" t="str">
        <f t="shared" si="37"/>
        <v>75045892527</v>
      </c>
      <c r="C1330" s="16"/>
      <c r="D1330" s="25" t="s">
        <v>5605</v>
      </c>
      <c r="E1330" s="25" t="s">
        <v>5606</v>
      </c>
      <c r="F1330" s="26"/>
      <c r="G1330" s="26"/>
      <c r="H1330" s="25" t="s">
        <v>5607</v>
      </c>
      <c r="I1330" s="26"/>
      <c r="J1330" s="27" t="s">
        <v>36</v>
      </c>
      <c r="K1330" s="27" t="s">
        <v>52</v>
      </c>
      <c r="L1330" s="27" t="s">
        <v>52</v>
      </c>
      <c r="M1330" s="20">
        <f t="shared" si="1"/>
        <v>0</v>
      </c>
      <c r="N1330" s="28"/>
      <c r="O1330" s="29"/>
      <c r="P1330" s="27" t="s">
        <v>3578</v>
      </c>
      <c r="Q1330" s="26"/>
      <c r="R1330" s="26"/>
      <c r="S1330" s="23">
        <v>0.0</v>
      </c>
      <c r="T1330" s="23">
        <v>0.0</v>
      </c>
      <c r="U1330" s="23">
        <f t="shared" si="2"/>
        <v>0</v>
      </c>
      <c r="V1330" s="23">
        <f t="shared" si="3"/>
        <v>0</v>
      </c>
      <c r="W1330" s="23">
        <f t="shared" si="4"/>
        <v>0</v>
      </c>
      <c r="X1330" s="24" t="str">
        <f t="shared" si="5"/>
        <v>#DIV/0!</v>
      </c>
    </row>
    <row r="1331">
      <c r="A1331" s="15" t="s">
        <v>5608</v>
      </c>
      <c r="B1331" s="18" t="str">
        <f t="shared" si="37"/>
        <v>75045892528</v>
      </c>
      <c r="C1331" s="16"/>
      <c r="D1331" s="25" t="s">
        <v>5609</v>
      </c>
      <c r="E1331" s="25" t="s">
        <v>5610</v>
      </c>
      <c r="F1331" s="26"/>
      <c r="G1331" s="26"/>
      <c r="H1331" s="25" t="s">
        <v>5611</v>
      </c>
      <c r="I1331" s="26"/>
      <c r="J1331" s="27" t="s">
        <v>36</v>
      </c>
      <c r="K1331" s="27" t="s">
        <v>52</v>
      </c>
      <c r="L1331" s="27" t="s">
        <v>52</v>
      </c>
      <c r="M1331" s="20">
        <f t="shared" si="1"/>
        <v>0</v>
      </c>
      <c r="N1331" s="28"/>
      <c r="O1331" s="29"/>
      <c r="P1331" s="27" t="s">
        <v>3578</v>
      </c>
      <c r="Q1331" s="26"/>
      <c r="R1331" s="26"/>
      <c r="S1331" s="23">
        <v>0.0</v>
      </c>
      <c r="T1331" s="23">
        <v>0.0</v>
      </c>
      <c r="U1331" s="23">
        <f t="shared" si="2"/>
        <v>0</v>
      </c>
      <c r="V1331" s="23">
        <f t="shared" si="3"/>
        <v>0</v>
      </c>
      <c r="W1331" s="23">
        <f t="shared" si="4"/>
        <v>0</v>
      </c>
      <c r="X1331" s="24" t="str">
        <f t="shared" si="5"/>
        <v>#DIV/0!</v>
      </c>
    </row>
    <row r="1332">
      <c r="A1332" s="15" t="s">
        <v>5612</v>
      </c>
      <c r="B1332" s="18" t="str">
        <f t="shared" si="37"/>
        <v>75045892529</v>
      </c>
      <c r="C1332" s="16"/>
      <c r="D1332" s="25" t="s">
        <v>5613</v>
      </c>
      <c r="E1332" s="25" t="s">
        <v>5614</v>
      </c>
      <c r="F1332" s="26"/>
      <c r="G1332" s="26"/>
      <c r="H1332" s="25" t="s">
        <v>5615</v>
      </c>
      <c r="I1332" s="26"/>
      <c r="J1332" s="27" t="s">
        <v>36</v>
      </c>
      <c r="K1332" s="27" t="s">
        <v>52</v>
      </c>
      <c r="L1332" s="27" t="s">
        <v>52</v>
      </c>
      <c r="M1332" s="20">
        <f t="shared" si="1"/>
        <v>0</v>
      </c>
      <c r="N1332" s="28"/>
      <c r="O1332" s="29"/>
      <c r="P1332" s="27" t="s">
        <v>3578</v>
      </c>
      <c r="Q1332" s="26"/>
      <c r="R1332" s="26"/>
      <c r="S1332" s="23">
        <v>0.0</v>
      </c>
      <c r="T1332" s="23">
        <v>0.0</v>
      </c>
      <c r="U1332" s="23">
        <f t="shared" si="2"/>
        <v>0</v>
      </c>
      <c r="V1332" s="23">
        <f t="shared" si="3"/>
        <v>0</v>
      </c>
      <c r="W1332" s="23">
        <f t="shared" si="4"/>
        <v>0</v>
      </c>
      <c r="X1332" s="24" t="str">
        <f t="shared" si="5"/>
        <v>#DIV/0!</v>
      </c>
    </row>
    <row r="1333">
      <c r="A1333" s="15" t="s">
        <v>5616</v>
      </c>
      <c r="B1333" s="18" t="str">
        <f t="shared" si="37"/>
        <v>75045892531</v>
      </c>
      <c r="C1333" s="16"/>
      <c r="D1333" s="25" t="s">
        <v>4305</v>
      </c>
      <c r="E1333" s="25" t="s">
        <v>5617</v>
      </c>
      <c r="F1333" s="26"/>
      <c r="G1333" s="26"/>
      <c r="H1333" s="25" t="s">
        <v>4307</v>
      </c>
      <c r="I1333" s="26"/>
      <c r="J1333" s="27" t="s">
        <v>36</v>
      </c>
      <c r="K1333" s="27" t="s">
        <v>52</v>
      </c>
      <c r="L1333" s="27" t="s">
        <v>52</v>
      </c>
      <c r="M1333" s="20">
        <f t="shared" si="1"/>
        <v>0</v>
      </c>
      <c r="N1333" s="28"/>
      <c r="O1333" s="29"/>
      <c r="P1333" s="27" t="s">
        <v>3578</v>
      </c>
      <c r="Q1333" s="26"/>
      <c r="R1333" s="26"/>
      <c r="S1333" s="23">
        <v>0.0</v>
      </c>
      <c r="T1333" s="23">
        <v>0.0</v>
      </c>
      <c r="U1333" s="23">
        <f t="shared" si="2"/>
        <v>0</v>
      </c>
      <c r="V1333" s="23">
        <f t="shared" si="3"/>
        <v>0</v>
      </c>
      <c r="W1333" s="23">
        <f t="shared" si="4"/>
        <v>0</v>
      </c>
      <c r="X1333" s="24" t="str">
        <f t="shared" si="5"/>
        <v>#DIV/0!</v>
      </c>
    </row>
    <row r="1334">
      <c r="A1334" s="15" t="s">
        <v>5618</v>
      </c>
      <c r="B1334" s="18" t="str">
        <f t="shared" si="37"/>
        <v>75045892532</v>
      </c>
      <c r="C1334" s="16"/>
      <c r="D1334" s="25" t="s">
        <v>5619</v>
      </c>
      <c r="E1334" s="25" t="s">
        <v>5620</v>
      </c>
      <c r="F1334" s="26"/>
      <c r="G1334" s="26"/>
      <c r="H1334" s="25" t="s">
        <v>5621</v>
      </c>
      <c r="I1334" s="26"/>
      <c r="J1334" s="27" t="s">
        <v>36</v>
      </c>
      <c r="K1334" s="27" t="s">
        <v>52</v>
      </c>
      <c r="L1334" s="27" t="s">
        <v>52</v>
      </c>
      <c r="M1334" s="20">
        <f t="shared" si="1"/>
        <v>0</v>
      </c>
      <c r="N1334" s="28"/>
      <c r="O1334" s="29"/>
      <c r="P1334" s="27" t="s">
        <v>3578</v>
      </c>
      <c r="Q1334" s="26"/>
      <c r="R1334" s="26"/>
      <c r="S1334" s="23">
        <v>0.0</v>
      </c>
      <c r="T1334" s="23">
        <v>0.0</v>
      </c>
      <c r="U1334" s="23">
        <f t="shared" si="2"/>
        <v>0</v>
      </c>
      <c r="V1334" s="23">
        <f t="shared" si="3"/>
        <v>0</v>
      </c>
      <c r="W1334" s="23">
        <f t="shared" si="4"/>
        <v>0</v>
      </c>
      <c r="X1334" s="24" t="str">
        <f t="shared" si="5"/>
        <v>#DIV/0!</v>
      </c>
    </row>
    <row r="1335">
      <c r="A1335" s="15" t="s">
        <v>5622</v>
      </c>
      <c r="B1335" s="18" t="str">
        <f t="shared" si="37"/>
        <v>75045892533</v>
      </c>
      <c r="C1335" s="16"/>
      <c r="D1335" s="25" t="s">
        <v>5623</v>
      </c>
      <c r="E1335" s="25" t="s">
        <v>5624</v>
      </c>
      <c r="F1335" s="26"/>
      <c r="G1335" s="26"/>
      <c r="H1335" s="25" t="s">
        <v>5625</v>
      </c>
      <c r="I1335" s="26"/>
      <c r="J1335" s="27" t="s">
        <v>36</v>
      </c>
      <c r="K1335" s="27" t="s">
        <v>52</v>
      </c>
      <c r="L1335" s="27" t="s">
        <v>52</v>
      </c>
      <c r="M1335" s="20">
        <f t="shared" si="1"/>
        <v>0</v>
      </c>
      <c r="N1335" s="28"/>
      <c r="O1335" s="29"/>
      <c r="P1335" s="27" t="s">
        <v>3578</v>
      </c>
      <c r="Q1335" s="26"/>
      <c r="R1335" s="26"/>
      <c r="S1335" s="23">
        <v>0.0</v>
      </c>
      <c r="T1335" s="23">
        <v>0.0</v>
      </c>
      <c r="U1335" s="23">
        <f t="shared" si="2"/>
        <v>0</v>
      </c>
      <c r="V1335" s="23">
        <f t="shared" si="3"/>
        <v>0</v>
      </c>
      <c r="W1335" s="23">
        <f t="shared" si="4"/>
        <v>0</v>
      </c>
      <c r="X1335" s="24" t="str">
        <f t="shared" si="5"/>
        <v>#DIV/0!</v>
      </c>
    </row>
    <row r="1336">
      <c r="A1336" s="15" t="s">
        <v>5626</v>
      </c>
      <c r="B1336" s="18" t="str">
        <f t="shared" si="37"/>
        <v>75045892534</v>
      </c>
      <c r="C1336" s="16"/>
      <c r="D1336" s="25" t="s">
        <v>4315</v>
      </c>
      <c r="E1336" s="25" t="s">
        <v>5627</v>
      </c>
      <c r="F1336" s="26"/>
      <c r="G1336" s="26"/>
      <c r="H1336" s="25" t="s">
        <v>5628</v>
      </c>
      <c r="I1336" s="26"/>
      <c r="J1336" s="27" t="s">
        <v>36</v>
      </c>
      <c r="K1336" s="27" t="s">
        <v>52</v>
      </c>
      <c r="L1336" s="27" t="s">
        <v>147</v>
      </c>
      <c r="M1336" s="20">
        <f t="shared" si="1"/>
        <v>0</v>
      </c>
      <c r="N1336" s="53" t="s">
        <v>68</v>
      </c>
      <c r="O1336" s="29"/>
      <c r="P1336" s="27" t="s">
        <v>3578</v>
      </c>
      <c r="Q1336" s="26"/>
      <c r="R1336" s="26"/>
      <c r="S1336" s="23">
        <v>0.0</v>
      </c>
      <c r="T1336" s="23">
        <v>0.0</v>
      </c>
      <c r="U1336" s="23">
        <f t="shared" si="2"/>
        <v>0</v>
      </c>
      <c r="V1336" s="23">
        <f t="shared" si="3"/>
        <v>0</v>
      </c>
      <c r="W1336" s="23">
        <f t="shared" si="4"/>
        <v>0</v>
      </c>
      <c r="X1336" s="24" t="str">
        <f t="shared" si="5"/>
        <v>#DIV/0!</v>
      </c>
    </row>
    <row r="1337">
      <c r="A1337" s="15" t="s">
        <v>5629</v>
      </c>
      <c r="B1337" s="18" t="str">
        <f t="shared" si="37"/>
        <v>75045892535</v>
      </c>
      <c r="C1337" s="16"/>
      <c r="D1337" s="25" t="s">
        <v>5630</v>
      </c>
      <c r="E1337" s="25" t="s">
        <v>5631</v>
      </c>
      <c r="F1337" s="26"/>
      <c r="G1337" s="26"/>
      <c r="H1337" s="25" t="s">
        <v>5632</v>
      </c>
      <c r="I1337" s="26"/>
      <c r="J1337" s="27" t="s">
        <v>36</v>
      </c>
      <c r="K1337" s="27" t="s">
        <v>52</v>
      </c>
      <c r="L1337" s="27" t="s">
        <v>52</v>
      </c>
      <c r="M1337" s="20">
        <f t="shared" si="1"/>
        <v>0</v>
      </c>
      <c r="N1337" s="53" t="s">
        <v>79</v>
      </c>
      <c r="O1337" s="29"/>
      <c r="P1337" s="27" t="s">
        <v>3578</v>
      </c>
      <c r="Q1337" s="26"/>
      <c r="R1337" s="26"/>
      <c r="S1337" s="23">
        <v>0.0</v>
      </c>
      <c r="T1337" s="23">
        <v>0.0</v>
      </c>
      <c r="U1337" s="23">
        <f t="shared" si="2"/>
        <v>0</v>
      </c>
      <c r="V1337" s="23">
        <f t="shared" si="3"/>
        <v>0</v>
      </c>
      <c r="W1337" s="23">
        <f t="shared" si="4"/>
        <v>0</v>
      </c>
      <c r="X1337" s="24" t="str">
        <f t="shared" si="5"/>
        <v>#DIV/0!</v>
      </c>
    </row>
    <row r="1338">
      <c r="A1338" s="15" t="s">
        <v>5633</v>
      </c>
      <c r="B1338" s="18" t="str">
        <f t="shared" si="37"/>
        <v>75045892536</v>
      </c>
      <c r="C1338" s="16"/>
      <c r="D1338" s="25" t="s">
        <v>5634</v>
      </c>
      <c r="E1338" s="25" t="s">
        <v>5635</v>
      </c>
      <c r="F1338" s="26"/>
      <c r="G1338" s="26"/>
      <c r="H1338" s="25" t="s">
        <v>5636</v>
      </c>
      <c r="I1338" s="26"/>
      <c r="J1338" s="27" t="s">
        <v>36</v>
      </c>
      <c r="K1338" s="27" t="s">
        <v>52</v>
      </c>
      <c r="L1338" s="27" t="s">
        <v>52</v>
      </c>
      <c r="M1338" s="20">
        <f t="shared" si="1"/>
        <v>0</v>
      </c>
      <c r="N1338" s="28"/>
      <c r="O1338" s="29"/>
      <c r="P1338" s="27" t="s">
        <v>3578</v>
      </c>
      <c r="Q1338" s="26"/>
      <c r="R1338" s="26"/>
      <c r="S1338" s="23">
        <v>0.0</v>
      </c>
      <c r="T1338" s="23">
        <v>0.0</v>
      </c>
      <c r="U1338" s="23">
        <f t="shared" si="2"/>
        <v>0</v>
      </c>
      <c r="V1338" s="23">
        <f t="shared" si="3"/>
        <v>0</v>
      </c>
      <c r="W1338" s="23">
        <f t="shared" si="4"/>
        <v>0</v>
      </c>
      <c r="X1338" s="24" t="str">
        <f t="shared" si="5"/>
        <v>#DIV/0!</v>
      </c>
    </row>
    <row r="1339">
      <c r="A1339" s="15" t="s">
        <v>5637</v>
      </c>
      <c r="B1339" s="18" t="str">
        <f t="shared" si="37"/>
        <v>75045892537</v>
      </c>
      <c r="C1339" s="16"/>
      <c r="D1339" s="25" t="s">
        <v>5638</v>
      </c>
      <c r="E1339" s="25" t="s">
        <v>5639</v>
      </c>
      <c r="F1339" s="26"/>
      <c r="G1339" s="26"/>
      <c r="H1339" s="25" t="s">
        <v>5640</v>
      </c>
      <c r="I1339" s="26"/>
      <c r="J1339" s="27" t="s">
        <v>702</v>
      </c>
      <c r="K1339" s="27" t="s">
        <v>52</v>
      </c>
      <c r="L1339" s="27" t="s">
        <v>52</v>
      </c>
      <c r="M1339" s="20">
        <f t="shared" si="1"/>
        <v>0</v>
      </c>
      <c r="N1339" s="28"/>
      <c r="O1339" s="29"/>
      <c r="P1339" s="27" t="s">
        <v>3578</v>
      </c>
      <c r="Q1339" s="26"/>
      <c r="R1339" s="26"/>
      <c r="S1339" s="23">
        <v>0.0</v>
      </c>
      <c r="T1339" s="23">
        <v>0.0</v>
      </c>
      <c r="U1339" s="23">
        <f t="shared" si="2"/>
        <v>0</v>
      </c>
      <c r="V1339" s="23">
        <f t="shared" si="3"/>
        <v>0</v>
      </c>
      <c r="W1339" s="23">
        <f t="shared" si="4"/>
        <v>0</v>
      </c>
      <c r="X1339" s="24" t="str">
        <f t="shared" si="5"/>
        <v>#DIV/0!</v>
      </c>
    </row>
    <row r="1340">
      <c r="A1340" s="15" t="s">
        <v>5641</v>
      </c>
      <c r="B1340" s="18" t="str">
        <f t="shared" si="37"/>
        <v>75045892538</v>
      </c>
      <c r="C1340" s="16"/>
      <c r="D1340" s="25" t="s">
        <v>5642</v>
      </c>
      <c r="E1340" s="25" t="s">
        <v>5643</v>
      </c>
      <c r="F1340" s="26"/>
      <c r="G1340" s="26"/>
      <c r="H1340" s="25" t="s">
        <v>5644</v>
      </c>
      <c r="I1340" s="26"/>
      <c r="J1340" s="27" t="s">
        <v>702</v>
      </c>
      <c r="K1340" s="27" t="s">
        <v>52</v>
      </c>
      <c r="L1340" s="27" t="s">
        <v>52</v>
      </c>
      <c r="M1340" s="20">
        <f t="shared" si="1"/>
        <v>0</v>
      </c>
      <c r="N1340" s="28"/>
      <c r="O1340" s="29"/>
      <c r="P1340" s="27" t="s">
        <v>3578</v>
      </c>
      <c r="Q1340" s="26"/>
      <c r="R1340" s="26"/>
      <c r="S1340" s="23">
        <v>0.0</v>
      </c>
      <c r="T1340" s="23">
        <v>0.0</v>
      </c>
      <c r="U1340" s="23">
        <f t="shared" si="2"/>
        <v>0</v>
      </c>
      <c r="V1340" s="23">
        <f t="shared" si="3"/>
        <v>0</v>
      </c>
      <c r="W1340" s="23">
        <f t="shared" si="4"/>
        <v>0</v>
      </c>
      <c r="X1340" s="24" t="str">
        <f t="shared" si="5"/>
        <v>#DIV/0!</v>
      </c>
    </row>
    <row r="1341">
      <c r="A1341" s="15" t="s">
        <v>5645</v>
      </c>
      <c r="B1341" s="18" t="str">
        <f t="shared" si="37"/>
        <v>75045892539</v>
      </c>
      <c r="C1341" s="16"/>
      <c r="D1341" s="25" t="s">
        <v>5646</v>
      </c>
      <c r="E1341" s="25" t="s">
        <v>5647</v>
      </c>
      <c r="F1341" s="26"/>
      <c r="G1341" s="26"/>
      <c r="H1341" s="25" t="s">
        <v>5648</v>
      </c>
      <c r="I1341" s="26"/>
      <c r="J1341" s="27" t="s">
        <v>702</v>
      </c>
      <c r="K1341" s="27" t="s">
        <v>52</v>
      </c>
      <c r="L1341" s="27" t="s">
        <v>52</v>
      </c>
      <c r="M1341" s="20">
        <f t="shared" si="1"/>
        <v>0</v>
      </c>
      <c r="N1341" s="28"/>
      <c r="O1341" s="29"/>
      <c r="P1341" s="27" t="s">
        <v>3578</v>
      </c>
      <c r="Q1341" s="26"/>
      <c r="R1341" s="26"/>
      <c r="S1341" s="23">
        <v>0.0</v>
      </c>
      <c r="T1341" s="23">
        <v>0.0</v>
      </c>
      <c r="U1341" s="23">
        <f t="shared" si="2"/>
        <v>0</v>
      </c>
      <c r="V1341" s="23">
        <f t="shared" si="3"/>
        <v>0</v>
      </c>
      <c r="W1341" s="23">
        <f t="shared" si="4"/>
        <v>0</v>
      </c>
      <c r="X1341" s="24" t="str">
        <f t="shared" si="5"/>
        <v>#DIV/0!</v>
      </c>
    </row>
    <row r="1342">
      <c r="A1342" s="15" t="s">
        <v>5649</v>
      </c>
      <c r="B1342" s="18" t="str">
        <f t="shared" si="37"/>
        <v>75045892540</v>
      </c>
      <c r="C1342" s="16"/>
      <c r="D1342" s="25" t="s">
        <v>4610</v>
      </c>
      <c r="E1342" s="25" t="s">
        <v>5650</v>
      </c>
      <c r="F1342" s="26"/>
      <c r="G1342" s="26"/>
      <c r="H1342" s="25" t="s">
        <v>5651</v>
      </c>
      <c r="I1342" s="26"/>
      <c r="J1342" s="27" t="s">
        <v>702</v>
      </c>
      <c r="K1342" s="27" t="s">
        <v>52</v>
      </c>
      <c r="L1342" s="27" t="s">
        <v>52</v>
      </c>
      <c r="M1342" s="20">
        <f t="shared" si="1"/>
        <v>0</v>
      </c>
      <c r="N1342" s="28"/>
      <c r="O1342" s="29"/>
      <c r="P1342" s="27" t="s">
        <v>3578</v>
      </c>
      <c r="Q1342" s="26"/>
      <c r="R1342" s="26"/>
      <c r="S1342" s="23">
        <v>0.0</v>
      </c>
      <c r="T1342" s="23">
        <v>0.0</v>
      </c>
      <c r="U1342" s="23">
        <f t="shared" si="2"/>
        <v>0</v>
      </c>
      <c r="V1342" s="23">
        <f t="shared" si="3"/>
        <v>0</v>
      </c>
      <c r="W1342" s="23">
        <f t="shared" si="4"/>
        <v>0</v>
      </c>
      <c r="X1342" s="24" t="str">
        <f t="shared" si="5"/>
        <v>#DIV/0!</v>
      </c>
    </row>
    <row r="1343">
      <c r="A1343" s="15" t="s">
        <v>5652</v>
      </c>
      <c r="B1343" s="18" t="str">
        <f t="shared" si="37"/>
        <v>75045892541</v>
      </c>
      <c r="C1343" s="16"/>
      <c r="D1343" s="25" t="s">
        <v>5653</v>
      </c>
      <c r="E1343" s="25" t="s">
        <v>5654</v>
      </c>
      <c r="F1343" s="26"/>
      <c r="G1343" s="26"/>
      <c r="H1343" s="25" t="s">
        <v>5655</v>
      </c>
      <c r="I1343" s="25" t="s">
        <v>5656</v>
      </c>
      <c r="J1343" s="27" t="s">
        <v>702</v>
      </c>
      <c r="K1343" s="27" t="s">
        <v>52</v>
      </c>
      <c r="L1343" s="27" t="s">
        <v>52</v>
      </c>
      <c r="M1343" s="20">
        <f t="shared" si="1"/>
        <v>0</v>
      </c>
      <c r="N1343" s="28"/>
      <c r="O1343" s="29"/>
      <c r="P1343" s="27" t="s">
        <v>3578</v>
      </c>
      <c r="Q1343" s="26"/>
      <c r="R1343" s="26"/>
      <c r="S1343" s="23">
        <v>0.0</v>
      </c>
      <c r="T1343" s="23">
        <v>0.0</v>
      </c>
      <c r="U1343" s="23">
        <f t="shared" si="2"/>
        <v>0</v>
      </c>
      <c r="V1343" s="23">
        <f t="shared" si="3"/>
        <v>0</v>
      </c>
      <c r="W1343" s="23">
        <f t="shared" si="4"/>
        <v>0</v>
      </c>
      <c r="X1343" s="24" t="str">
        <f t="shared" si="5"/>
        <v>#DIV/0!</v>
      </c>
    </row>
    <row r="1344">
      <c r="A1344" s="15" t="s">
        <v>5657</v>
      </c>
      <c r="B1344" s="18" t="str">
        <f t="shared" si="37"/>
        <v>75045892542</v>
      </c>
      <c r="C1344" s="16"/>
      <c r="D1344" s="25" t="s">
        <v>5658</v>
      </c>
      <c r="E1344" s="25" t="s">
        <v>5659</v>
      </c>
      <c r="F1344" s="26"/>
      <c r="G1344" s="26"/>
      <c r="H1344" s="25" t="s">
        <v>5660</v>
      </c>
      <c r="I1344" s="26"/>
      <c r="J1344" s="27" t="s">
        <v>702</v>
      </c>
      <c r="K1344" s="27" t="s">
        <v>52</v>
      </c>
      <c r="L1344" s="27" t="s">
        <v>52</v>
      </c>
      <c r="M1344" s="20">
        <f t="shared" si="1"/>
        <v>0</v>
      </c>
      <c r="N1344" s="28"/>
      <c r="O1344" s="29"/>
      <c r="P1344" s="27" t="s">
        <v>3578</v>
      </c>
      <c r="Q1344" s="26"/>
      <c r="R1344" s="26"/>
      <c r="S1344" s="23">
        <v>0.0</v>
      </c>
      <c r="T1344" s="23">
        <v>0.0</v>
      </c>
      <c r="U1344" s="23">
        <f t="shared" si="2"/>
        <v>0</v>
      </c>
      <c r="V1344" s="23">
        <f t="shared" si="3"/>
        <v>0</v>
      </c>
      <c r="W1344" s="23">
        <f t="shared" si="4"/>
        <v>0</v>
      </c>
      <c r="X1344" s="24" t="str">
        <f t="shared" si="5"/>
        <v>#DIV/0!</v>
      </c>
    </row>
    <row r="1345">
      <c r="A1345" s="15" t="s">
        <v>5661</v>
      </c>
      <c r="B1345" s="18" t="str">
        <f t="shared" si="37"/>
        <v>75045892543</v>
      </c>
      <c r="C1345" s="16"/>
      <c r="D1345" s="25" t="s">
        <v>5662</v>
      </c>
      <c r="E1345" s="25" t="s">
        <v>5663</v>
      </c>
      <c r="F1345" s="26"/>
      <c r="G1345" s="26"/>
      <c r="H1345" s="25" t="s">
        <v>5664</v>
      </c>
      <c r="I1345" s="26"/>
      <c r="J1345" s="27" t="s">
        <v>702</v>
      </c>
      <c r="K1345" s="27" t="s">
        <v>52</v>
      </c>
      <c r="L1345" s="27" t="s">
        <v>52</v>
      </c>
      <c r="M1345" s="20">
        <f t="shared" si="1"/>
        <v>0</v>
      </c>
      <c r="N1345" s="28"/>
      <c r="O1345" s="29"/>
      <c r="P1345" s="27" t="s">
        <v>3578</v>
      </c>
      <c r="Q1345" s="26"/>
      <c r="R1345" s="26"/>
      <c r="S1345" s="23">
        <v>0.0</v>
      </c>
      <c r="T1345" s="23">
        <v>0.0</v>
      </c>
      <c r="U1345" s="23">
        <f t="shared" si="2"/>
        <v>0</v>
      </c>
      <c r="V1345" s="23">
        <f t="shared" si="3"/>
        <v>0</v>
      </c>
      <c r="W1345" s="23">
        <f t="shared" si="4"/>
        <v>0</v>
      </c>
      <c r="X1345" s="24" t="str">
        <f t="shared" si="5"/>
        <v>#DIV/0!</v>
      </c>
      <c r="Z1345" s="38">
        <v>1089.0</v>
      </c>
      <c r="AA1345" s="39">
        <f>M1345/(1+$AA$1)</f>
        <v>0</v>
      </c>
      <c r="AB1345" s="40" t="str">
        <f>AA1345/W1345</f>
        <v>#DIV/0!</v>
      </c>
      <c r="AD1345" s="34">
        <v>9999.0</v>
      </c>
      <c r="AF1345" s="34">
        <v>16999.0</v>
      </c>
    </row>
    <row r="1346">
      <c r="A1346" s="15" t="s">
        <v>5665</v>
      </c>
      <c r="B1346" s="18" t="str">
        <f t="shared" si="37"/>
        <v>75045892544</v>
      </c>
      <c r="C1346" s="16"/>
      <c r="D1346" s="25" t="s">
        <v>5666</v>
      </c>
      <c r="E1346" s="25" t="s">
        <v>5667</v>
      </c>
      <c r="F1346" s="26"/>
      <c r="G1346" s="26"/>
      <c r="H1346" s="25" t="s">
        <v>5668</v>
      </c>
      <c r="I1346" s="26"/>
      <c r="J1346" s="27" t="s">
        <v>702</v>
      </c>
      <c r="K1346" s="27" t="s">
        <v>52</v>
      </c>
      <c r="L1346" s="27" t="s">
        <v>52</v>
      </c>
      <c r="M1346" s="20">
        <f t="shared" si="1"/>
        <v>0</v>
      </c>
      <c r="N1346" s="28"/>
      <c r="O1346" s="29"/>
      <c r="P1346" s="27" t="s">
        <v>3578</v>
      </c>
      <c r="Q1346" s="26"/>
      <c r="R1346" s="26"/>
      <c r="S1346" s="23">
        <v>0.0</v>
      </c>
      <c r="T1346" s="23">
        <v>0.0</v>
      </c>
      <c r="U1346" s="23">
        <f t="shared" si="2"/>
        <v>0</v>
      </c>
      <c r="V1346" s="23">
        <f t="shared" si="3"/>
        <v>0</v>
      </c>
      <c r="W1346" s="23">
        <f t="shared" si="4"/>
        <v>0</v>
      </c>
      <c r="X1346" s="24" t="str">
        <f t="shared" si="5"/>
        <v>#DIV/0!</v>
      </c>
    </row>
    <row r="1347">
      <c r="A1347" s="15" t="s">
        <v>5669</v>
      </c>
      <c r="B1347" s="18" t="str">
        <f t="shared" si="37"/>
        <v>75045892545</v>
      </c>
      <c r="C1347" s="16"/>
      <c r="D1347" s="25" t="s">
        <v>5670</v>
      </c>
      <c r="E1347" s="25" t="s">
        <v>5671</v>
      </c>
      <c r="F1347" s="26"/>
      <c r="G1347" s="26"/>
      <c r="H1347" s="25" t="s">
        <v>5672</v>
      </c>
      <c r="I1347" s="26"/>
      <c r="J1347" s="27" t="s">
        <v>702</v>
      </c>
      <c r="K1347" s="27" t="s">
        <v>52</v>
      </c>
      <c r="L1347" s="27" t="s">
        <v>52</v>
      </c>
      <c r="M1347" s="20">
        <f t="shared" si="1"/>
        <v>0</v>
      </c>
      <c r="N1347" s="28"/>
      <c r="O1347" s="29"/>
      <c r="P1347" s="27" t="s">
        <v>3578</v>
      </c>
      <c r="Q1347" s="26"/>
      <c r="R1347" s="26"/>
      <c r="S1347" s="23">
        <v>0.0</v>
      </c>
      <c r="T1347" s="23">
        <v>0.0</v>
      </c>
      <c r="U1347" s="23">
        <f t="shared" si="2"/>
        <v>0</v>
      </c>
      <c r="V1347" s="23">
        <f t="shared" si="3"/>
        <v>0</v>
      </c>
      <c r="W1347" s="23">
        <f t="shared" si="4"/>
        <v>0</v>
      </c>
      <c r="X1347" s="24" t="str">
        <f t="shared" si="5"/>
        <v>#DIV/0!</v>
      </c>
    </row>
    <row r="1348">
      <c r="A1348" s="15" t="s">
        <v>5673</v>
      </c>
      <c r="B1348" s="18" t="str">
        <f t="shared" si="37"/>
        <v>75045892546</v>
      </c>
      <c r="C1348" s="16"/>
      <c r="D1348" s="25" t="s">
        <v>5674</v>
      </c>
      <c r="E1348" s="25" t="s">
        <v>5675</v>
      </c>
      <c r="F1348" s="26"/>
      <c r="G1348" s="26"/>
      <c r="H1348" s="25" t="s">
        <v>5676</v>
      </c>
      <c r="I1348" s="26"/>
      <c r="J1348" s="27" t="s">
        <v>702</v>
      </c>
      <c r="K1348" s="27" t="s">
        <v>52</v>
      </c>
      <c r="L1348" s="27" t="s">
        <v>52</v>
      </c>
      <c r="M1348" s="20">
        <f t="shared" si="1"/>
        <v>0</v>
      </c>
      <c r="N1348" s="28"/>
      <c r="O1348" s="29"/>
      <c r="P1348" s="27" t="s">
        <v>3578</v>
      </c>
      <c r="Q1348" s="26"/>
      <c r="R1348" s="26"/>
      <c r="S1348" s="23">
        <v>0.0</v>
      </c>
      <c r="T1348" s="23">
        <v>0.0</v>
      </c>
      <c r="U1348" s="23">
        <f t="shared" si="2"/>
        <v>0</v>
      </c>
      <c r="V1348" s="23">
        <f t="shared" si="3"/>
        <v>0</v>
      </c>
      <c r="W1348" s="23">
        <f t="shared" si="4"/>
        <v>0</v>
      </c>
      <c r="X1348" s="24" t="str">
        <f t="shared" si="5"/>
        <v>#DIV/0!</v>
      </c>
    </row>
    <row r="1349">
      <c r="A1349" s="15" t="s">
        <v>5677</v>
      </c>
      <c r="B1349" s="18" t="str">
        <f t="shared" si="37"/>
        <v>75045892547</v>
      </c>
      <c r="C1349" s="16"/>
      <c r="D1349" s="25" t="s">
        <v>5678</v>
      </c>
      <c r="E1349" s="25" t="s">
        <v>5679</v>
      </c>
      <c r="F1349" s="26"/>
      <c r="G1349" s="26"/>
      <c r="H1349" s="25" t="s">
        <v>5680</v>
      </c>
      <c r="I1349" s="26"/>
      <c r="J1349" s="27" t="s">
        <v>702</v>
      </c>
      <c r="K1349" s="27" t="s">
        <v>52</v>
      </c>
      <c r="L1349" s="27" t="s">
        <v>52</v>
      </c>
      <c r="M1349" s="20">
        <f t="shared" si="1"/>
        <v>0</v>
      </c>
      <c r="N1349" s="28"/>
      <c r="O1349" s="29"/>
      <c r="P1349" s="27" t="s">
        <v>3578</v>
      </c>
      <c r="Q1349" s="26"/>
      <c r="R1349" s="26"/>
      <c r="S1349" s="23">
        <v>0.0</v>
      </c>
      <c r="T1349" s="23">
        <v>0.0</v>
      </c>
      <c r="U1349" s="23">
        <f t="shared" si="2"/>
        <v>0</v>
      </c>
      <c r="V1349" s="23">
        <f t="shared" si="3"/>
        <v>0</v>
      </c>
      <c r="W1349" s="23">
        <f t="shared" si="4"/>
        <v>0</v>
      </c>
      <c r="X1349" s="24" t="str">
        <f t="shared" si="5"/>
        <v>#DIV/0!</v>
      </c>
    </row>
    <row r="1350">
      <c r="A1350" s="15" t="s">
        <v>5681</v>
      </c>
      <c r="B1350" s="18" t="str">
        <f t="shared" si="37"/>
        <v>75045892548</v>
      </c>
      <c r="C1350" s="16"/>
      <c r="D1350" s="25" t="s">
        <v>5682</v>
      </c>
      <c r="E1350" s="25" t="s">
        <v>5683</v>
      </c>
      <c r="F1350" s="26"/>
      <c r="G1350" s="26"/>
      <c r="H1350" s="25" t="s">
        <v>5684</v>
      </c>
      <c r="I1350" s="26"/>
      <c r="J1350" s="27" t="s">
        <v>702</v>
      </c>
      <c r="K1350" s="27" t="s">
        <v>52</v>
      </c>
      <c r="L1350" s="27" t="s">
        <v>52</v>
      </c>
      <c r="M1350" s="20">
        <f t="shared" si="1"/>
        <v>0</v>
      </c>
      <c r="N1350" s="28"/>
      <c r="O1350" s="29"/>
      <c r="P1350" s="27" t="s">
        <v>3578</v>
      </c>
      <c r="Q1350" s="26"/>
      <c r="R1350" s="26"/>
      <c r="S1350" s="23">
        <v>0.0</v>
      </c>
      <c r="T1350" s="23">
        <v>0.0</v>
      </c>
      <c r="U1350" s="23">
        <f t="shared" si="2"/>
        <v>0</v>
      </c>
      <c r="V1350" s="23">
        <f t="shared" si="3"/>
        <v>0</v>
      </c>
      <c r="W1350" s="23">
        <f t="shared" si="4"/>
        <v>0</v>
      </c>
      <c r="X1350" s="24" t="str">
        <f t="shared" si="5"/>
        <v>#DIV/0!</v>
      </c>
      <c r="Z1350" s="38">
        <v>499.0</v>
      </c>
      <c r="AA1350" s="39">
        <f>M1350/(1+$AA$1)</f>
        <v>0</v>
      </c>
      <c r="AB1350" s="40" t="str">
        <f>AA1350/W1350</f>
        <v>#DIV/0!</v>
      </c>
      <c r="AD1350" s="34">
        <v>7999.0</v>
      </c>
      <c r="AF1350" s="34">
        <v>7999.0</v>
      </c>
    </row>
    <row r="1351">
      <c r="A1351" s="15" t="s">
        <v>5685</v>
      </c>
      <c r="B1351" s="18" t="str">
        <f t="shared" si="37"/>
        <v>75045892549</v>
      </c>
      <c r="C1351" s="16"/>
      <c r="D1351" s="25" t="s">
        <v>5686</v>
      </c>
      <c r="E1351" s="25" t="s">
        <v>5687</v>
      </c>
      <c r="F1351" s="26"/>
      <c r="G1351" s="26"/>
      <c r="H1351" s="25" t="s">
        <v>5688</v>
      </c>
      <c r="I1351" s="26"/>
      <c r="J1351" s="27" t="s">
        <v>702</v>
      </c>
      <c r="K1351" s="27" t="s">
        <v>52</v>
      </c>
      <c r="L1351" s="27" t="s">
        <v>52</v>
      </c>
      <c r="M1351" s="20">
        <f t="shared" si="1"/>
        <v>0</v>
      </c>
      <c r="N1351" s="28"/>
      <c r="O1351" s="29"/>
      <c r="P1351" s="27" t="s">
        <v>3578</v>
      </c>
      <c r="Q1351" s="26"/>
      <c r="R1351" s="26"/>
      <c r="S1351" s="23">
        <v>0.0</v>
      </c>
      <c r="T1351" s="23">
        <v>0.0</v>
      </c>
      <c r="U1351" s="23">
        <f t="shared" si="2"/>
        <v>0</v>
      </c>
      <c r="V1351" s="23">
        <f t="shared" si="3"/>
        <v>0</v>
      </c>
      <c r="W1351" s="23">
        <f t="shared" si="4"/>
        <v>0</v>
      </c>
      <c r="X1351" s="24" t="str">
        <f t="shared" si="5"/>
        <v>#DIV/0!</v>
      </c>
    </row>
    <row r="1352">
      <c r="A1352" s="15" t="s">
        <v>5689</v>
      </c>
      <c r="B1352" s="18" t="str">
        <f t="shared" si="37"/>
        <v>75045892550</v>
      </c>
      <c r="C1352" s="16"/>
      <c r="D1352" s="25" t="s">
        <v>5690</v>
      </c>
      <c r="E1352" s="25" t="s">
        <v>5691</v>
      </c>
      <c r="F1352" s="26"/>
      <c r="G1352" s="26"/>
      <c r="H1352" s="25" t="s">
        <v>5692</v>
      </c>
      <c r="I1352" s="26"/>
      <c r="J1352" s="27" t="s">
        <v>702</v>
      </c>
      <c r="K1352" s="27" t="s">
        <v>52</v>
      </c>
      <c r="L1352" s="27" t="s">
        <v>52</v>
      </c>
      <c r="M1352" s="20">
        <f t="shared" si="1"/>
        <v>0</v>
      </c>
      <c r="N1352" s="28"/>
      <c r="O1352" s="29"/>
      <c r="P1352" s="27" t="s">
        <v>3578</v>
      </c>
      <c r="Q1352" s="26"/>
      <c r="R1352" s="26"/>
      <c r="S1352" s="23">
        <v>0.0</v>
      </c>
      <c r="T1352" s="23">
        <v>0.0</v>
      </c>
      <c r="U1352" s="23">
        <f t="shared" si="2"/>
        <v>0</v>
      </c>
      <c r="V1352" s="23">
        <f t="shared" si="3"/>
        <v>0</v>
      </c>
      <c r="W1352" s="23">
        <f t="shared" si="4"/>
        <v>0</v>
      </c>
      <c r="X1352" s="24" t="str">
        <f t="shared" si="5"/>
        <v>#DIV/0!</v>
      </c>
    </row>
    <row r="1353">
      <c r="A1353" s="15" t="s">
        <v>5693</v>
      </c>
      <c r="B1353" s="18" t="str">
        <f t="shared" si="37"/>
        <v>75045892551</v>
      </c>
      <c r="C1353" s="16"/>
      <c r="D1353" s="25" t="s">
        <v>5690</v>
      </c>
      <c r="E1353" s="25" t="s">
        <v>5694</v>
      </c>
      <c r="F1353" s="26"/>
      <c r="G1353" s="26"/>
      <c r="H1353" s="25" t="s">
        <v>5695</v>
      </c>
      <c r="I1353" s="26"/>
      <c r="J1353" s="27" t="s">
        <v>702</v>
      </c>
      <c r="K1353" s="27" t="s">
        <v>52</v>
      </c>
      <c r="L1353" s="27" t="s">
        <v>52</v>
      </c>
      <c r="M1353" s="20">
        <f t="shared" si="1"/>
        <v>0</v>
      </c>
      <c r="N1353" s="28"/>
      <c r="O1353" s="29"/>
      <c r="P1353" s="27" t="s">
        <v>3578</v>
      </c>
      <c r="Q1353" s="26"/>
      <c r="R1353" s="26"/>
      <c r="S1353" s="23">
        <v>0.0</v>
      </c>
      <c r="T1353" s="23">
        <v>0.0</v>
      </c>
      <c r="U1353" s="23">
        <f t="shared" si="2"/>
        <v>0</v>
      </c>
      <c r="V1353" s="23">
        <f t="shared" si="3"/>
        <v>0</v>
      </c>
      <c r="W1353" s="23">
        <f t="shared" si="4"/>
        <v>0</v>
      </c>
      <c r="X1353" s="24" t="str">
        <f t="shared" si="5"/>
        <v>#DIV/0!</v>
      </c>
    </row>
    <row r="1354">
      <c r="A1354" s="15" t="s">
        <v>5696</v>
      </c>
      <c r="B1354" s="18" t="str">
        <f t="shared" si="37"/>
        <v>75045892552</v>
      </c>
      <c r="C1354" s="16"/>
      <c r="D1354" s="25" t="s">
        <v>5697</v>
      </c>
      <c r="E1354" s="25" t="s">
        <v>5698</v>
      </c>
      <c r="F1354" s="26"/>
      <c r="G1354" s="26"/>
      <c r="H1354" s="25" t="s">
        <v>5699</v>
      </c>
      <c r="I1354" s="26"/>
      <c r="J1354" s="27" t="s">
        <v>702</v>
      </c>
      <c r="K1354" s="27" t="s">
        <v>52</v>
      </c>
      <c r="L1354" s="27" t="s">
        <v>52</v>
      </c>
      <c r="M1354" s="20">
        <f t="shared" si="1"/>
        <v>0</v>
      </c>
      <c r="N1354" s="28"/>
      <c r="O1354" s="29"/>
      <c r="P1354" s="27" t="s">
        <v>3578</v>
      </c>
      <c r="Q1354" s="26"/>
      <c r="R1354" s="26"/>
      <c r="S1354" s="23">
        <v>0.0</v>
      </c>
      <c r="T1354" s="23">
        <v>0.0</v>
      </c>
      <c r="U1354" s="23">
        <f t="shared" si="2"/>
        <v>0</v>
      </c>
      <c r="V1354" s="23">
        <f t="shared" si="3"/>
        <v>0</v>
      </c>
      <c r="W1354" s="23">
        <f t="shared" si="4"/>
        <v>0</v>
      </c>
      <c r="X1354" s="24" t="str">
        <f t="shared" si="5"/>
        <v>#DIV/0!</v>
      </c>
    </row>
    <row r="1355">
      <c r="A1355" s="15" t="s">
        <v>5700</v>
      </c>
      <c r="B1355" s="18" t="str">
        <f t="shared" si="37"/>
        <v>75045892553</v>
      </c>
      <c r="C1355" s="16"/>
      <c r="D1355" s="25" t="s">
        <v>5701</v>
      </c>
      <c r="E1355" s="25" t="s">
        <v>5702</v>
      </c>
      <c r="F1355" s="26"/>
      <c r="G1355" s="26"/>
      <c r="H1355" s="25" t="s">
        <v>5703</v>
      </c>
      <c r="I1355" s="26"/>
      <c r="J1355" s="27" t="s">
        <v>702</v>
      </c>
      <c r="K1355" s="27" t="s">
        <v>52</v>
      </c>
      <c r="L1355" s="27" t="s">
        <v>52</v>
      </c>
      <c r="M1355" s="20">
        <f t="shared" si="1"/>
        <v>0</v>
      </c>
      <c r="N1355" s="28"/>
      <c r="O1355" s="29"/>
      <c r="P1355" s="27" t="s">
        <v>3578</v>
      </c>
      <c r="Q1355" s="26"/>
      <c r="R1355" s="26"/>
      <c r="S1355" s="23">
        <v>0.0</v>
      </c>
      <c r="T1355" s="23">
        <v>0.0</v>
      </c>
      <c r="U1355" s="23">
        <f t="shared" si="2"/>
        <v>0</v>
      </c>
      <c r="V1355" s="23">
        <f t="shared" si="3"/>
        <v>0</v>
      </c>
      <c r="W1355" s="23">
        <f t="shared" si="4"/>
        <v>0</v>
      </c>
      <c r="X1355" s="24" t="str">
        <f t="shared" si="5"/>
        <v>#DIV/0!</v>
      </c>
    </row>
    <row r="1356">
      <c r="A1356" s="15" t="s">
        <v>5704</v>
      </c>
      <c r="B1356" s="18" t="str">
        <f t="shared" si="37"/>
        <v>75045892554</v>
      </c>
      <c r="C1356" s="16"/>
      <c r="D1356" s="25" t="s">
        <v>5705</v>
      </c>
      <c r="E1356" s="25" t="s">
        <v>5706</v>
      </c>
      <c r="F1356" s="26"/>
      <c r="G1356" s="26"/>
      <c r="H1356" s="25" t="s">
        <v>5293</v>
      </c>
      <c r="I1356" s="26"/>
      <c r="J1356" s="27" t="s">
        <v>702</v>
      </c>
      <c r="K1356" s="27" t="s">
        <v>52</v>
      </c>
      <c r="L1356" s="27" t="s">
        <v>52</v>
      </c>
      <c r="M1356" s="20">
        <f t="shared" si="1"/>
        <v>0</v>
      </c>
      <c r="N1356" s="28"/>
      <c r="O1356" s="29"/>
      <c r="P1356" s="27" t="s">
        <v>3578</v>
      </c>
      <c r="Q1356" s="26"/>
      <c r="R1356" s="26"/>
      <c r="S1356" s="23">
        <v>0.0</v>
      </c>
      <c r="T1356" s="23">
        <v>0.0</v>
      </c>
      <c r="U1356" s="23">
        <f t="shared" si="2"/>
        <v>0</v>
      </c>
      <c r="V1356" s="23">
        <f t="shared" si="3"/>
        <v>0</v>
      </c>
      <c r="W1356" s="23">
        <f t="shared" si="4"/>
        <v>0</v>
      </c>
      <c r="X1356" s="24" t="str">
        <f t="shared" si="5"/>
        <v>#DIV/0!</v>
      </c>
    </row>
    <row r="1357">
      <c r="A1357" s="15" t="s">
        <v>5707</v>
      </c>
      <c r="B1357" s="18" t="str">
        <f t="shared" si="37"/>
        <v>75045892555</v>
      </c>
      <c r="C1357" s="16"/>
      <c r="D1357" s="25" t="s">
        <v>5708</v>
      </c>
      <c r="E1357" s="25" t="s">
        <v>5709</v>
      </c>
      <c r="F1357" s="26"/>
      <c r="G1357" s="26"/>
      <c r="H1357" s="25" t="s">
        <v>5710</v>
      </c>
      <c r="I1357" s="25" t="s">
        <v>5711</v>
      </c>
      <c r="J1357" s="27" t="s">
        <v>702</v>
      </c>
      <c r="K1357" s="27" t="s">
        <v>52</v>
      </c>
      <c r="L1357" s="27" t="s">
        <v>52</v>
      </c>
      <c r="M1357" s="20">
        <f t="shared" si="1"/>
        <v>0</v>
      </c>
      <c r="N1357" s="28"/>
      <c r="O1357" s="29"/>
      <c r="P1357" s="27" t="s">
        <v>3578</v>
      </c>
      <c r="Q1357" s="26"/>
      <c r="R1357" s="26"/>
      <c r="S1357" s="23">
        <v>0.0</v>
      </c>
      <c r="T1357" s="23">
        <v>0.0</v>
      </c>
      <c r="U1357" s="23">
        <f t="shared" si="2"/>
        <v>0</v>
      </c>
      <c r="V1357" s="23">
        <f t="shared" si="3"/>
        <v>0</v>
      </c>
      <c r="W1357" s="23">
        <f t="shared" si="4"/>
        <v>0</v>
      </c>
      <c r="X1357" s="24" t="str">
        <f t="shared" si="5"/>
        <v>#DIV/0!</v>
      </c>
    </row>
    <row r="1358">
      <c r="A1358" s="15" t="s">
        <v>5712</v>
      </c>
      <c r="B1358" s="18" t="str">
        <f t="shared" si="37"/>
        <v>75045892556</v>
      </c>
      <c r="C1358" s="16"/>
      <c r="D1358" s="25" t="s">
        <v>5713</v>
      </c>
      <c r="E1358" s="25" t="s">
        <v>5714</v>
      </c>
      <c r="F1358" s="26"/>
      <c r="G1358" s="26"/>
      <c r="H1358" s="25" t="s">
        <v>5715</v>
      </c>
      <c r="I1358" s="25" t="s">
        <v>5716</v>
      </c>
      <c r="J1358" s="27" t="s">
        <v>702</v>
      </c>
      <c r="K1358" s="27" t="s">
        <v>52</v>
      </c>
      <c r="L1358" s="27" t="s">
        <v>52</v>
      </c>
      <c r="M1358" s="20">
        <f t="shared" si="1"/>
        <v>0</v>
      </c>
      <c r="N1358" s="28"/>
      <c r="O1358" s="29"/>
      <c r="P1358" s="27" t="s">
        <v>3578</v>
      </c>
      <c r="Q1358" s="26"/>
      <c r="R1358" s="26"/>
      <c r="S1358" s="23">
        <v>0.0</v>
      </c>
      <c r="T1358" s="23">
        <v>0.0</v>
      </c>
      <c r="U1358" s="23">
        <f t="shared" si="2"/>
        <v>0</v>
      </c>
      <c r="V1358" s="23">
        <f t="shared" si="3"/>
        <v>0</v>
      </c>
      <c r="W1358" s="23">
        <f t="shared" si="4"/>
        <v>0</v>
      </c>
      <c r="X1358" s="24" t="str">
        <f t="shared" si="5"/>
        <v>#DIV/0!</v>
      </c>
    </row>
    <row r="1359">
      <c r="A1359" s="15" t="s">
        <v>5717</v>
      </c>
      <c r="B1359" s="18" t="str">
        <f t="shared" si="37"/>
        <v>75045892557</v>
      </c>
      <c r="C1359" s="16"/>
      <c r="D1359" s="26"/>
      <c r="E1359" s="25" t="s">
        <v>5718</v>
      </c>
      <c r="F1359" s="26"/>
      <c r="G1359" s="26"/>
      <c r="H1359" s="25" t="s">
        <v>5719</v>
      </c>
      <c r="I1359" s="26"/>
      <c r="J1359" s="27" t="s">
        <v>283</v>
      </c>
      <c r="K1359" s="27" t="s">
        <v>52</v>
      </c>
      <c r="L1359" s="27" t="s">
        <v>368</v>
      </c>
      <c r="M1359" s="20">
        <f t="shared" si="1"/>
        <v>0</v>
      </c>
      <c r="N1359" s="53" t="s">
        <v>68</v>
      </c>
      <c r="O1359" s="29"/>
      <c r="P1359" s="27" t="s">
        <v>3578</v>
      </c>
      <c r="Q1359" s="26"/>
      <c r="R1359" s="26"/>
      <c r="S1359" s="23">
        <v>0.0</v>
      </c>
      <c r="T1359" s="23">
        <v>0.0</v>
      </c>
      <c r="U1359" s="23">
        <f t="shared" si="2"/>
        <v>0</v>
      </c>
      <c r="V1359" s="23">
        <f t="shared" si="3"/>
        <v>0</v>
      </c>
      <c r="W1359" s="23">
        <f t="shared" si="4"/>
        <v>0</v>
      </c>
      <c r="X1359" s="24" t="str">
        <f t="shared" si="5"/>
        <v>#DIV/0!</v>
      </c>
    </row>
    <row r="1360">
      <c r="A1360" s="15" t="s">
        <v>5720</v>
      </c>
      <c r="B1360" s="18" t="str">
        <f t="shared" si="37"/>
        <v>75045892558</v>
      </c>
      <c r="C1360" s="16"/>
      <c r="D1360" s="26"/>
      <c r="E1360" s="25" t="s">
        <v>5721</v>
      </c>
      <c r="F1360" s="26"/>
      <c r="G1360" s="26"/>
      <c r="H1360" s="25" t="s">
        <v>5722</v>
      </c>
      <c r="I1360" s="26"/>
      <c r="J1360" s="27" t="s">
        <v>283</v>
      </c>
      <c r="K1360" s="27" t="s">
        <v>52</v>
      </c>
      <c r="L1360" s="27" t="s">
        <v>368</v>
      </c>
      <c r="M1360" s="20">
        <f t="shared" si="1"/>
        <v>0</v>
      </c>
      <c r="N1360" s="53" t="s">
        <v>68</v>
      </c>
      <c r="O1360" s="29"/>
      <c r="P1360" s="27" t="s">
        <v>3578</v>
      </c>
      <c r="Q1360" s="26"/>
      <c r="R1360" s="26"/>
      <c r="S1360" s="23">
        <v>0.0</v>
      </c>
      <c r="T1360" s="23">
        <v>0.0</v>
      </c>
      <c r="U1360" s="23">
        <f t="shared" si="2"/>
        <v>0</v>
      </c>
      <c r="V1360" s="23">
        <f t="shared" si="3"/>
        <v>0</v>
      </c>
      <c r="W1360" s="23">
        <f t="shared" si="4"/>
        <v>0</v>
      </c>
      <c r="X1360" s="24" t="str">
        <f t="shared" si="5"/>
        <v>#DIV/0!</v>
      </c>
    </row>
    <row r="1361">
      <c r="A1361" s="15" t="s">
        <v>5723</v>
      </c>
      <c r="B1361" s="18" t="str">
        <f t="shared" si="37"/>
        <v>75045892559</v>
      </c>
      <c r="C1361" s="16"/>
      <c r="D1361" s="26"/>
      <c r="E1361" s="25" t="s">
        <v>5724</v>
      </c>
      <c r="F1361" s="26"/>
      <c r="G1361" s="26"/>
      <c r="H1361" s="25" t="s">
        <v>5725</v>
      </c>
      <c r="I1361" s="26"/>
      <c r="J1361" s="27" t="s">
        <v>283</v>
      </c>
      <c r="K1361" s="27" t="s">
        <v>52</v>
      </c>
      <c r="L1361" s="27" t="s">
        <v>135</v>
      </c>
      <c r="M1361" s="20">
        <f t="shared" si="1"/>
        <v>0</v>
      </c>
      <c r="N1361" s="53" t="s">
        <v>68</v>
      </c>
      <c r="O1361" s="29"/>
      <c r="P1361" s="27" t="s">
        <v>3578</v>
      </c>
      <c r="Q1361" s="26"/>
      <c r="R1361" s="26"/>
      <c r="S1361" s="23">
        <v>0.0</v>
      </c>
      <c r="T1361" s="23">
        <v>0.0</v>
      </c>
      <c r="U1361" s="23">
        <f t="shared" si="2"/>
        <v>0</v>
      </c>
      <c r="V1361" s="23">
        <f t="shared" si="3"/>
        <v>0</v>
      </c>
      <c r="W1361" s="23">
        <f t="shared" si="4"/>
        <v>0</v>
      </c>
      <c r="X1361" s="24" t="str">
        <f t="shared" si="5"/>
        <v>#DIV/0!</v>
      </c>
    </row>
    <row r="1362">
      <c r="A1362" s="15" t="s">
        <v>5726</v>
      </c>
      <c r="B1362" s="18" t="str">
        <f t="shared" si="37"/>
        <v>75045892560</v>
      </c>
      <c r="C1362" s="16"/>
      <c r="D1362" s="26"/>
      <c r="E1362" s="25" t="s">
        <v>5727</v>
      </c>
      <c r="F1362" s="26"/>
      <c r="G1362" s="26"/>
      <c r="H1362" s="25" t="s">
        <v>5728</v>
      </c>
      <c r="I1362" s="26"/>
      <c r="J1362" s="27" t="s">
        <v>283</v>
      </c>
      <c r="K1362" s="27" t="s">
        <v>52</v>
      </c>
      <c r="L1362" s="27" t="s">
        <v>52</v>
      </c>
      <c r="M1362" s="20">
        <f t="shared" si="1"/>
        <v>0</v>
      </c>
      <c r="N1362" s="53" t="s">
        <v>68</v>
      </c>
      <c r="O1362" s="29"/>
      <c r="P1362" s="27" t="s">
        <v>3578</v>
      </c>
      <c r="Q1362" s="26"/>
      <c r="R1362" s="26"/>
      <c r="S1362" s="23">
        <v>0.0</v>
      </c>
      <c r="T1362" s="23">
        <v>0.0</v>
      </c>
      <c r="U1362" s="23">
        <f t="shared" si="2"/>
        <v>0</v>
      </c>
      <c r="V1362" s="23">
        <f t="shared" si="3"/>
        <v>0</v>
      </c>
      <c r="W1362" s="23">
        <f t="shared" si="4"/>
        <v>0</v>
      </c>
      <c r="X1362" s="24" t="str">
        <f t="shared" si="5"/>
        <v>#DIV/0!</v>
      </c>
    </row>
    <row r="1363">
      <c r="A1363" s="15" t="s">
        <v>5729</v>
      </c>
      <c r="B1363" s="18" t="str">
        <f t="shared" si="37"/>
        <v>75045892561</v>
      </c>
      <c r="C1363" s="16"/>
      <c r="D1363" s="25" t="s">
        <v>5730</v>
      </c>
      <c r="E1363" s="25" t="s">
        <v>5731</v>
      </c>
      <c r="F1363" s="26"/>
      <c r="G1363" s="26"/>
      <c r="H1363" s="25" t="s">
        <v>5732</v>
      </c>
      <c r="I1363" s="25" t="s">
        <v>5733</v>
      </c>
      <c r="J1363" s="27" t="s">
        <v>283</v>
      </c>
      <c r="K1363" s="27" t="s">
        <v>52</v>
      </c>
      <c r="L1363" s="27" t="s">
        <v>52</v>
      </c>
      <c r="M1363" s="20">
        <f t="shared" si="1"/>
        <v>0</v>
      </c>
      <c r="N1363" s="53" t="s">
        <v>68</v>
      </c>
      <c r="O1363" s="29"/>
      <c r="P1363" s="27" t="s">
        <v>3578</v>
      </c>
      <c r="Q1363" s="26"/>
      <c r="R1363" s="26"/>
      <c r="S1363" s="23">
        <v>0.0</v>
      </c>
      <c r="T1363" s="23">
        <v>0.0</v>
      </c>
      <c r="U1363" s="23">
        <f t="shared" si="2"/>
        <v>0</v>
      </c>
      <c r="V1363" s="23">
        <f t="shared" si="3"/>
        <v>0</v>
      </c>
      <c r="W1363" s="23">
        <f t="shared" si="4"/>
        <v>0</v>
      </c>
      <c r="X1363" s="24" t="str">
        <f t="shared" si="5"/>
        <v>#DIV/0!</v>
      </c>
    </row>
    <row r="1364">
      <c r="A1364" s="15" t="s">
        <v>5734</v>
      </c>
      <c r="B1364" s="18" t="str">
        <f t="shared" si="37"/>
        <v>75045892562</v>
      </c>
      <c r="C1364" s="16"/>
      <c r="D1364" s="26"/>
      <c r="E1364" s="25" t="s">
        <v>5735</v>
      </c>
      <c r="F1364" s="26"/>
      <c r="G1364" s="26"/>
      <c r="H1364" s="25" t="s">
        <v>5736</v>
      </c>
      <c r="I1364" s="26"/>
      <c r="J1364" s="27" t="s">
        <v>283</v>
      </c>
      <c r="K1364" s="27" t="s">
        <v>52</v>
      </c>
      <c r="L1364" s="27" t="s">
        <v>52</v>
      </c>
      <c r="M1364" s="20">
        <f t="shared" si="1"/>
        <v>0</v>
      </c>
      <c r="N1364" s="53" t="s">
        <v>68</v>
      </c>
      <c r="O1364" s="29"/>
      <c r="P1364" s="27" t="s">
        <v>3578</v>
      </c>
      <c r="Q1364" s="26"/>
      <c r="R1364" s="26"/>
      <c r="S1364" s="23">
        <v>0.0</v>
      </c>
      <c r="T1364" s="23">
        <v>0.0</v>
      </c>
      <c r="U1364" s="23">
        <f t="shared" si="2"/>
        <v>0</v>
      </c>
      <c r="V1364" s="23">
        <f t="shared" si="3"/>
        <v>0</v>
      </c>
      <c r="W1364" s="23">
        <f t="shared" si="4"/>
        <v>0</v>
      </c>
      <c r="X1364" s="24" t="str">
        <f t="shared" si="5"/>
        <v>#DIV/0!</v>
      </c>
    </row>
    <row r="1365">
      <c r="A1365" s="15" t="s">
        <v>5737</v>
      </c>
      <c r="B1365" s="18" t="str">
        <f t="shared" si="37"/>
        <v>75045892563</v>
      </c>
      <c r="C1365" s="16"/>
      <c r="D1365" s="25" t="s">
        <v>5738</v>
      </c>
      <c r="E1365" s="25" t="s">
        <v>5739</v>
      </c>
      <c r="F1365" s="26"/>
      <c r="G1365" s="26"/>
      <c r="H1365" s="25" t="s">
        <v>5740</v>
      </c>
      <c r="I1365" s="26"/>
      <c r="J1365" s="27" t="s">
        <v>283</v>
      </c>
      <c r="K1365" s="27" t="s">
        <v>52</v>
      </c>
      <c r="L1365" s="27" t="s">
        <v>52</v>
      </c>
      <c r="M1365" s="20">
        <f t="shared" si="1"/>
        <v>0</v>
      </c>
      <c r="N1365" s="53" t="s">
        <v>68</v>
      </c>
      <c r="O1365" s="29"/>
      <c r="P1365" s="27" t="s">
        <v>3578</v>
      </c>
      <c r="Q1365" s="26"/>
      <c r="R1365" s="26"/>
      <c r="S1365" s="23">
        <v>0.0</v>
      </c>
      <c r="T1365" s="23">
        <v>0.0</v>
      </c>
      <c r="U1365" s="23">
        <f t="shared" si="2"/>
        <v>0</v>
      </c>
      <c r="V1365" s="23">
        <f t="shared" si="3"/>
        <v>0</v>
      </c>
      <c r="W1365" s="23">
        <f t="shared" si="4"/>
        <v>0</v>
      </c>
      <c r="X1365" s="24" t="str">
        <f t="shared" si="5"/>
        <v>#DIV/0!</v>
      </c>
    </row>
    <row r="1366">
      <c r="A1366" s="15" t="s">
        <v>5741</v>
      </c>
      <c r="B1366" s="18" t="str">
        <f t="shared" si="37"/>
        <v>75045892564</v>
      </c>
      <c r="C1366" s="16"/>
      <c r="D1366" s="25" t="s">
        <v>5742</v>
      </c>
      <c r="E1366" s="25" t="s">
        <v>5743</v>
      </c>
      <c r="F1366" s="26"/>
      <c r="G1366" s="26"/>
      <c r="H1366" s="25" t="s">
        <v>5744</v>
      </c>
      <c r="I1366" s="26"/>
      <c r="J1366" s="27" t="s">
        <v>283</v>
      </c>
      <c r="K1366" s="27" t="s">
        <v>52</v>
      </c>
      <c r="L1366" s="27" t="s">
        <v>52</v>
      </c>
      <c r="M1366" s="20">
        <f t="shared" si="1"/>
        <v>0</v>
      </c>
      <c r="N1366" s="53" t="s">
        <v>68</v>
      </c>
      <c r="O1366" s="29"/>
      <c r="P1366" s="27" t="s">
        <v>3578</v>
      </c>
      <c r="Q1366" s="26"/>
      <c r="R1366" s="26"/>
      <c r="S1366" s="23">
        <v>0.0</v>
      </c>
      <c r="T1366" s="23">
        <v>0.0</v>
      </c>
      <c r="U1366" s="23">
        <f t="shared" si="2"/>
        <v>0</v>
      </c>
      <c r="V1366" s="23">
        <f t="shared" si="3"/>
        <v>0</v>
      </c>
      <c r="W1366" s="23">
        <f t="shared" si="4"/>
        <v>0</v>
      </c>
      <c r="X1366" s="24" t="str">
        <f t="shared" si="5"/>
        <v>#DIV/0!</v>
      </c>
    </row>
    <row r="1367">
      <c r="A1367" s="15" t="s">
        <v>5745</v>
      </c>
      <c r="B1367" s="18" t="str">
        <f t="shared" si="37"/>
        <v>75045892565</v>
      </c>
      <c r="C1367" s="16"/>
      <c r="D1367" s="26"/>
      <c r="E1367" s="25" t="s">
        <v>5746</v>
      </c>
      <c r="F1367" s="26"/>
      <c r="G1367" s="26"/>
      <c r="H1367" s="25" t="s">
        <v>5747</v>
      </c>
      <c r="I1367" s="26"/>
      <c r="J1367" s="27" t="s">
        <v>283</v>
      </c>
      <c r="K1367" s="27" t="s">
        <v>52</v>
      </c>
      <c r="L1367" s="27" t="s">
        <v>52</v>
      </c>
      <c r="M1367" s="20">
        <f t="shared" si="1"/>
        <v>0</v>
      </c>
      <c r="N1367" s="53" t="s">
        <v>68</v>
      </c>
      <c r="O1367" s="29"/>
      <c r="P1367" s="27" t="s">
        <v>3578</v>
      </c>
      <c r="Q1367" s="26"/>
      <c r="R1367" s="26"/>
      <c r="S1367" s="23">
        <v>0.0</v>
      </c>
      <c r="T1367" s="23">
        <v>0.0</v>
      </c>
      <c r="U1367" s="23">
        <f t="shared" si="2"/>
        <v>0</v>
      </c>
      <c r="V1367" s="23">
        <f t="shared" si="3"/>
        <v>0</v>
      </c>
      <c r="W1367" s="23">
        <f t="shared" si="4"/>
        <v>0</v>
      </c>
      <c r="X1367" s="24" t="str">
        <f t="shared" si="5"/>
        <v>#DIV/0!</v>
      </c>
    </row>
    <row r="1368">
      <c r="A1368" s="15" t="s">
        <v>5748</v>
      </c>
      <c r="B1368" s="18" t="str">
        <f t="shared" si="37"/>
        <v>75045892566</v>
      </c>
      <c r="C1368" s="16"/>
      <c r="D1368" s="25" t="s">
        <v>5749</v>
      </c>
      <c r="E1368" s="25" t="s">
        <v>5750</v>
      </c>
      <c r="F1368" s="26"/>
      <c r="G1368" s="26"/>
      <c r="H1368" s="25" t="s">
        <v>5751</v>
      </c>
      <c r="I1368" s="26"/>
      <c r="J1368" s="27" t="s">
        <v>283</v>
      </c>
      <c r="K1368" s="27" t="s">
        <v>52</v>
      </c>
      <c r="L1368" s="27" t="s">
        <v>52</v>
      </c>
      <c r="M1368" s="20">
        <f t="shared" si="1"/>
        <v>0</v>
      </c>
      <c r="N1368" s="53" t="s">
        <v>68</v>
      </c>
      <c r="O1368" s="29"/>
      <c r="P1368" s="27" t="s">
        <v>3578</v>
      </c>
      <c r="Q1368" s="26"/>
      <c r="R1368" s="26"/>
      <c r="S1368" s="23">
        <v>0.0</v>
      </c>
      <c r="T1368" s="23">
        <v>0.0</v>
      </c>
      <c r="U1368" s="23">
        <f t="shared" si="2"/>
        <v>0</v>
      </c>
      <c r="V1368" s="23">
        <f t="shared" si="3"/>
        <v>0</v>
      </c>
      <c r="W1368" s="23">
        <f t="shared" si="4"/>
        <v>0</v>
      </c>
      <c r="X1368" s="24" t="str">
        <f t="shared" si="5"/>
        <v>#DIV/0!</v>
      </c>
    </row>
    <row r="1369">
      <c r="A1369" s="15" t="s">
        <v>5752</v>
      </c>
      <c r="B1369" s="18" t="str">
        <f t="shared" si="37"/>
        <v>75045892567</v>
      </c>
      <c r="C1369" s="16"/>
      <c r="D1369" s="25" t="s">
        <v>5753</v>
      </c>
      <c r="E1369" s="25" t="s">
        <v>5754</v>
      </c>
      <c r="F1369" s="26"/>
      <c r="G1369" s="26"/>
      <c r="H1369" s="25" t="s">
        <v>5755</v>
      </c>
      <c r="I1369" s="26"/>
      <c r="J1369" s="27" t="s">
        <v>59</v>
      </c>
      <c r="K1369" s="27" t="s">
        <v>52</v>
      </c>
      <c r="L1369" s="27" t="s">
        <v>84</v>
      </c>
      <c r="M1369" s="20">
        <f t="shared" si="1"/>
        <v>0</v>
      </c>
      <c r="N1369" s="53" t="s">
        <v>79</v>
      </c>
      <c r="O1369" s="29"/>
      <c r="P1369" s="27" t="s">
        <v>3578</v>
      </c>
      <c r="Q1369" s="26"/>
      <c r="R1369" s="26"/>
      <c r="S1369" s="23">
        <v>0.0</v>
      </c>
      <c r="T1369" s="23">
        <v>0.0</v>
      </c>
      <c r="U1369" s="23">
        <f t="shared" si="2"/>
        <v>0</v>
      </c>
      <c r="V1369" s="23">
        <f t="shared" si="3"/>
        <v>0</v>
      </c>
      <c r="W1369" s="23">
        <f t="shared" si="4"/>
        <v>0</v>
      </c>
      <c r="X1369" s="24" t="str">
        <f t="shared" si="5"/>
        <v>#DIV/0!</v>
      </c>
    </row>
    <row r="1370">
      <c r="A1370" s="15" t="s">
        <v>5756</v>
      </c>
      <c r="B1370" s="18" t="str">
        <f t="shared" si="37"/>
        <v>75045892568</v>
      </c>
      <c r="C1370" s="16"/>
      <c r="D1370" s="26"/>
      <c r="E1370" s="25" t="s">
        <v>5757</v>
      </c>
      <c r="F1370" s="26"/>
      <c r="G1370" s="26"/>
      <c r="H1370" s="25" t="s">
        <v>5758</v>
      </c>
      <c r="I1370" s="25" t="s">
        <v>5759</v>
      </c>
      <c r="J1370" s="27" t="s">
        <v>59</v>
      </c>
      <c r="K1370" s="27" t="s">
        <v>52</v>
      </c>
      <c r="L1370" s="27" t="s">
        <v>52</v>
      </c>
      <c r="M1370" s="20">
        <f t="shared" si="1"/>
        <v>0</v>
      </c>
      <c r="N1370" s="53" t="s">
        <v>68</v>
      </c>
      <c r="O1370" s="29"/>
      <c r="P1370" s="27" t="s">
        <v>3578</v>
      </c>
      <c r="Q1370" s="26"/>
      <c r="R1370" s="26"/>
      <c r="S1370" s="23">
        <v>0.0</v>
      </c>
      <c r="T1370" s="23">
        <v>0.0</v>
      </c>
      <c r="U1370" s="23">
        <f t="shared" si="2"/>
        <v>0</v>
      </c>
      <c r="V1370" s="23">
        <f t="shared" si="3"/>
        <v>0</v>
      </c>
      <c r="W1370" s="23">
        <f t="shared" si="4"/>
        <v>0</v>
      </c>
      <c r="X1370" s="24" t="str">
        <f t="shared" si="5"/>
        <v>#DIV/0!</v>
      </c>
    </row>
    <row r="1371">
      <c r="A1371" s="15" t="s">
        <v>5760</v>
      </c>
      <c r="B1371" s="18" t="str">
        <f t="shared" si="37"/>
        <v>75045892569</v>
      </c>
      <c r="C1371" s="16"/>
      <c r="D1371" s="25" t="s">
        <v>4315</v>
      </c>
      <c r="E1371" s="25" t="s">
        <v>192</v>
      </c>
      <c r="F1371" s="26"/>
      <c r="G1371" s="26"/>
      <c r="H1371" s="25" t="s">
        <v>5761</v>
      </c>
      <c r="I1371" s="26"/>
      <c r="J1371" s="27" t="s">
        <v>59</v>
      </c>
      <c r="K1371" s="27" t="s">
        <v>52</v>
      </c>
      <c r="L1371" s="27" t="s">
        <v>52</v>
      </c>
      <c r="M1371" s="20">
        <f t="shared" si="1"/>
        <v>0</v>
      </c>
      <c r="N1371" s="53" t="s">
        <v>68</v>
      </c>
      <c r="O1371" s="29"/>
      <c r="P1371" s="27" t="s">
        <v>3578</v>
      </c>
      <c r="Q1371" s="26"/>
      <c r="R1371" s="26"/>
      <c r="S1371" s="23">
        <v>0.0</v>
      </c>
      <c r="T1371" s="23">
        <v>0.0</v>
      </c>
      <c r="U1371" s="23">
        <f t="shared" si="2"/>
        <v>0</v>
      </c>
      <c r="V1371" s="23">
        <f t="shared" si="3"/>
        <v>0</v>
      </c>
      <c r="W1371" s="23">
        <f t="shared" si="4"/>
        <v>0</v>
      </c>
      <c r="X1371" s="24" t="str">
        <f t="shared" si="5"/>
        <v>#DIV/0!</v>
      </c>
    </row>
    <row r="1372">
      <c r="A1372" s="15" t="s">
        <v>5762</v>
      </c>
      <c r="B1372" s="18" t="str">
        <f t="shared" si="37"/>
        <v>75045892570</v>
      </c>
      <c r="C1372" s="16"/>
      <c r="D1372" s="25" t="s">
        <v>4315</v>
      </c>
      <c r="E1372" s="25" t="s">
        <v>192</v>
      </c>
      <c r="F1372" s="26"/>
      <c r="G1372" s="26"/>
      <c r="H1372" s="25" t="s">
        <v>5763</v>
      </c>
      <c r="I1372" s="26"/>
      <c r="J1372" s="27" t="s">
        <v>59</v>
      </c>
      <c r="K1372" s="27" t="s">
        <v>52</v>
      </c>
      <c r="L1372" s="27" t="s">
        <v>52</v>
      </c>
      <c r="M1372" s="20">
        <f t="shared" si="1"/>
        <v>0</v>
      </c>
      <c r="N1372" s="53" t="s">
        <v>68</v>
      </c>
      <c r="O1372" s="29"/>
      <c r="P1372" s="27" t="s">
        <v>3578</v>
      </c>
      <c r="Q1372" s="26"/>
      <c r="R1372" s="26"/>
      <c r="S1372" s="23">
        <v>0.0</v>
      </c>
      <c r="T1372" s="23">
        <v>0.0</v>
      </c>
      <c r="U1372" s="23">
        <f t="shared" si="2"/>
        <v>0</v>
      </c>
      <c r="V1372" s="23">
        <f t="shared" si="3"/>
        <v>0</v>
      </c>
      <c r="W1372" s="23">
        <f t="shared" si="4"/>
        <v>0</v>
      </c>
      <c r="X1372" s="24" t="str">
        <f t="shared" si="5"/>
        <v>#DIV/0!</v>
      </c>
    </row>
    <row r="1373">
      <c r="A1373" s="15" t="s">
        <v>5764</v>
      </c>
      <c r="B1373" s="18" t="str">
        <f t="shared" si="37"/>
        <v>75045892571</v>
      </c>
      <c r="C1373" s="16"/>
      <c r="D1373" s="25" t="s">
        <v>4315</v>
      </c>
      <c r="E1373" s="25" t="s">
        <v>5765</v>
      </c>
      <c r="F1373" s="26"/>
      <c r="G1373" s="26"/>
      <c r="H1373" s="25" t="s">
        <v>5766</v>
      </c>
      <c r="I1373" s="26"/>
      <c r="J1373" s="27" t="s">
        <v>59</v>
      </c>
      <c r="K1373" s="27" t="s">
        <v>52</v>
      </c>
      <c r="L1373" s="27" t="s">
        <v>52</v>
      </c>
      <c r="M1373" s="20">
        <f t="shared" si="1"/>
        <v>0</v>
      </c>
      <c r="N1373" s="53" t="s">
        <v>68</v>
      </c>
      <c r="O1373" s="29"/>
      <c r="P1373" s="27" t="s">
        <v>3578</v>
      </c>
      <c r="Q1373" s="26"/>
      <c r="R1373" s="26"/>
      <c r="S1373" s="23">
        <v>0.0</v>
      </c>
      <c r="T1373" s="23">
        <v>0.0</v>
      </c>
      <c r="U1373" s="23">
        <f t="shared" si="2"/>
        <v>0</v>
      </c>
      <c r="V1373" s="23">
        <f t="shared" si="3"/>
        <v>0</v>
      </c>
      <c r="W1373" s="23">
        <f t="shared" si="4"/>
        <v>0</v>
      </c>
      <c r="X1373" s="24" t="str">
        <f t="shared" si="5"/>
        <v>#DIV/0!</v>
      </c>
    </row>
    <row r="1374">
      <c r="A1374" s="15" t="s">
        <v>5767</v>
      </c>
      <c r="B1374" s="18" t="str">
        <f t="shared" si="37"/>
        <v>75045892572</v>
      </c>
      <c r="C1374" s="16"/>
      <c r="D1374" s="25" t="s">
        <v>4315</v>
      </c>
      <c r="E1374" s="25" t="s">
        <v>192</v>
      </c>
      <c r="F1374" s="26"/>
      <c r="G1374" s="26"/>
      <c r="H1374" s="25" t="s">
        <v>5768</v>
      </c>
      <c r="I1374" s="26"/>
      <c r="J1374" s="27" t="s">
        <v>59</v>
      </c>
      <c r="K1374" s="27" t="s">
        <v>52</v>
      </c>
      <c r="L1374" s="27" t="s">
        <v>52</v>
      </c>
      <c r="M1374" s="20">
        <f t="shared" si="1"/>
        <v>0</v>
      </c>
      <c r="N1374" s="53" t="s">
        <v>68</v>
      </c>
      <c r="O1374" s="29"/>
      <c r="P1374" s="27" t="s">
        <v>3578</v>
      </c>
      <c r="Q1374" s="26"/>
      <c r="R1374" s="26"/>
      <c r="S1374" s="23">
        <v>0.0</v>
      </c>
      <c r="T1374" s="23">
        <v>0.0</v>
      </c>
      <c r="U1374" s="23">
        <f t="shared" si="2"/>
        <v>0</v>
      </c>
      <c r="V1374" s="23">
        <f t="shared" si="3"/>
        <v>0</v>
      </c>
      <c r="W1374" s="23">
        <f t="shared" si="4"/>
        <v>0</v>
      </c>
      <c r="X1374" s="24" t="str">
        <f t="shared" si="5"/>
        <v>#DIV/0!</v>
      </c>
    </row>
    <row r="1375">
      <c r="A1375" s="15" t="s">
        <v>5769</v>
      </c>
      <c r="B1375" s="18" t="str">
        <f t="shared" si="37"/>
        <v>75045892573</v>
      </c>
      <c r="C1375" s="16"/>
      <c r="D1375" s="25" t="s">
        <v>5770</v>
      </c>
      <c r="E1375" s="25" t="s">
        <v>5771</v>
      </c>
      <c r="F1375" s="26"/>
      <c r="G1375" s="26"/>
      <c r="H1375" s="25" t="s">
        <v>5772</v>
      </c>
      <c r="I1375" s="26"/>
      <c r="J1375" s="27" t="s">
        <v>36</v>
      </c>
      <c r="K1375" s="27" t="s">
        <v>52</v>
      </c>
      <c r="L1375" s="27" t="s">
        <v>84</v>
      </c>
      <c r="M1375" s="20">
        <f t="shared" si="1"/>
        <v>0</v>
      </c>
      <c r="N1375" s="53" t="s">
        <v>68</v>
      </c>
      <c r="O1375" s="29"/>
      <c r="P1375" s="27" t="s">
        <v>3578</v>
      </c>
      <c r="Q1375" s="26"/>
      <c r="R1375" s="26"/>
      <c r="S1375" s="23">
        <v>0.0</v>
      </c>
      <c r="T1375" s="23">
        <v>0.0</v>
      </c>
      <c r="U1375" s="23">
        <f t="shared" si="2"/>
        <v>0</v>
      </c>
      <c r="V1375" s="23">
        <f t="shared" si="3"/>
        <v>0</v>
      </c>
      <c r="W1375" s="23">
        <f t="shared" si="4"/>
        <v>0</v>
      </c>
      <c r="X1375" s="24" t="str">
        <f t="shared" si="5"/>
        <v>#DIV/0!</v>
      </c>
    </row>
    <row r="1376">
      <c r="A1376" s="15" t="s">
        <v>5773</v>
      </c>
      <c r="B1376" s="18" t="str">
        <f t="shared" si="37"/>
        <v>75045892574</v>
      </c>
      <c r="C1376" s="16"/>
      <c r="D1376" s="25" t="s">
        <v>5774</v>
      </c>
      <c r="E1376" s="25" t="s">
        <v>5775</v>
      </c>
      <c r="F1376" s="26"/>
      <c r="G1376" s="26"/>
      <c r="H1376" s="25" t="s">
        <v>5776</v>
      </c>
      <c r="I1376" s="26"/>
      <c r="J1376" s="27" t="s">
        <v>36</v>
      </c>
      <c r="K1376" s="54"/>
      <c r="L1376" s="54"/>
      <c r="M1376" s="20">
        <f t="shared" si="1"/>
        <v>0</v>
      </c>
      <c r="N1376" s="53" t="s">
        <v>68</v>
      </c>
      <c r="O1376" s="29"/>
      <c r="P1376" s="27" t="s">
        <v>3578</v>
      </c>
      <c r="Q1376" s="26"/>
      <c r="R1376" s="26"/>
      <c r="S1376" s="23">
        <v>0.0</v>
      </c>
      <c r="T1376" s="23">
        <v>0.0</v>
      </c>
      <c r="U1376" s="23">
        <f t="shared" si="2"/>
        <v>0</v>
      </c>
      <c r="V1376" s="23">
        <f t="shared" si="3"/>
        <v>0</v>
      </c>
      <c r="W1376" s="23">
        <f t="shared" si="4"/>
        <v>0</v>
      </c>
      <c r="X1376" s="24" t="str">
        <f t="shared" si="5"/>
        <v>#DIV/0!</v>
      </c>
    </row>
    <row r="1377">
      <c r="A1377" s="15" t="s">
        <v>5777</v>
      </c>
      <c r="B1377" s="18" t="str">
        <f t="shared" si="37"/>
        <v>75045892575</v>
      </c>
      <c r="C1377" s="16"/>
      <c r="D1377" s="25" t="s">
        <v>5778</v>
      </c>
      <c r="E1377" s="25" t="s">
        <v>5779</v>
      </c>
      <c r="F1377" s="26"/>
      <c r="G1377" s="26"/>
      <c r="H1377" s="25" t="s">
        <v>5780</v>
      </c>
      <c r="I1377" s="26"/>
      <c r="J1377" s="27" t="s">
        <v>702</v>
      </c>
      <c r="K1377" s="27" t="s">
        <v>52</v>
      </c>
      <c r="L1377" s="27" t="s">
        <v>52</v>
      </c>
      <c r="M1377" s="20">
        <f t="shared" si="1"/>
        <v>0</v>
      </c>
      <c r="N1377" s="28"/>
      <c r="O1377" s="29"/>
      <c r="P1377" s="27" t="s">
        <v>3578</v>
      </c>
      <c r="Q1377" s="26"/>
      <c r="R1377" s="26"/>
      <c r="S1377" s="23">
        <v>0.0</v>
      </c>
      <c r="T1377" s="23">
        <v>0.0</v>
      </c>
      <c r="U1377" s="23">
        <f t="shared" si="2"/>
        <v>0</v>
      </c>
      <c r="V1377" s="23">
        <f t="shared" si="3"/>
        <v>0</v>
      </c>
      <c r="W1377" s="23">
        <f t="shared" si="4"/>
        <v>0</v>
      </c>
      <c r="X1377" s="24" t="str">
        <f t="shared" si="5"/>
        <v>#DIV/0!</v>
      </c>
    </row>
    <row r="1378">
      <c r="A1378" s="15" t="s">
        <v>5781</v>
      </c>
      <c r="B1378" s="18" t="str">
        <f t="shared" si="37"/>
        <v>75045892576</v>
      </c>
      <c r="C1378" s="16"/>
      <c r="D1378" s="25" t="s">
        <v>5601</v>
      </c>
      <c r="E1378" s="25" t="s">
        <v>5782</v>
      </c>
      <c r="F1378" s="26"/>
      <c r="G1378" s="26"/>
      <c r="H1378" s="25" t="s">
        <v>5783</v>
      </c>
      <c r="I1378" s="26"/>
      <c r="J1378" s="27" t="s">
        <v>36</v>
      </c>
      <c r="K1378" s="54"/>
      <c r="L1378" s="54"/>
      <c r="M1378" s="20">
        <f t="shared" si="1"/>
        <v>0</v>
      </c>
      <c r="N1378" s="53" t="s">
        <v>68</v>
      </c>
      <c r="O1378" s="29"/>
      <c r="P1378" s="27" t="s">
        <v>3578</v>
      </c>
      <c r="Q1378" s="26"/>
      <c r="R1378" s="26"/>
      <c r="S1378" s="23">
        <v>0.0</v>
      </c>
      <c r="T1378" s="23">
        <v>0.0</v>
      </c>
      <c r="U1378" s="23">
        <f t="shared" si="2"/>
        <v>0</v>
      </c>
      <c r="V1378" s="23">
        <f t="shared" si="3"/>
        <v>0</v>
      </c>
      <c r="W1378" s="23">
        <f t="shared" si="4"/>
        <v>0</v>
      </c>
      <c r="X1378" s="24" t="str">
        <f t="shared" si="5"/>
        <v>#DIV/0!</v>
      </c>
    </row>
    <row r="1379">
      <c r="A1379" s="15" t="s">
        <v>5784</v>
      </c>
      <c r="B1379" s="18" t="str">
        <f t="shared" si="37"/>
        <v>75045892577</v>
      </c>
      <c r="C1379" s="16"/>
      <c r="D1379" s="25" t="s">
        <v>5785</v>
      </c>
      <c r="E1379" s="25" t="s">
        <v>5786</v>
      </c>
      <c r="F1379" s="26"/>
      <c r="G1379" s="26"/>
      <c r="H1379" s="25" t="s">
        <v>5787</v>
      </c>
      <c r="I1379" s="26"/>
      <c r="J1379" s="27" t="s">
        <v>36</v>
      </c>
      <c r="K1379" s="54"/>
      <c r="L1379" s="54"/>
      <c r="M1379" s="20">
        <f t="shared" si="1"/>
        <v>0</v>
      </c>
      <c r="N1379" s="53" t="s">
        <v>68</v>
      </c>
      <c r="O1379" s="29"/>
      <c r="P1379" s="27" t="s">
        <v>3578</v>
      </c>
      <c r="Q1379" s="26"/>
      <c r="R1379" s="26"/>
      <c r="S1379" s="23">
        <v>0.0</v>
      </c>
      <c r="T1379" s="23">
        <v>0.0</v>
      </c>
      <c r="U1379" s="23">
        <f t="shared" si="2"/>
        <v>0</v>
      </c>
      <c r="V1379" s="23">
        <f t="shared" si="3"/>
        <v>0</v>
      </c>
      <c r="W1379" s="23">
        <f t="shared" si="4"/>
        <v>0</v>
      </c>
      <c r="X1379" s="24" t="str">
        <f t="shared" si="5"/>
        <v>#DIV/0!</v>
      </c>
    </row>
    <row r="1380">
      <c r="A1380" s="15" t="s">
        <v>5788</v>
      </c>
      <c r="B1380" s="18" t="str">
        <f t="shared" si="37"/>
        <v>75045892578</v>
      </c>
      <c r="C1380" s="16"/>
      <c r="D1380" s="26"/>
      <c r="E1380" s="25" t="s">
        <v>5789</v>
      </c>
      <c r="F1380" s="26"/>
      <c r="G1380" s="26"/>
      <c r="H1380" s="25" t="s">
        <v>5790</v>
      </c>
      <c r="I1380" s="26"/>
      <c r="J1380" s="27" t="s">
        <v>36</v>
      </c>
      <c r="K1380" s="27" t="s">
        <v>52</v>
      </c>
      <c r="L1380" s="27" t="s">
        <v>147</v>
      </c>
      <c r="M1380" s="20">
        <f t="shared" si="1"/>
        <v>0</v>
      </c>
      <c r="N1380" s="53" t="s">
        <v>68</v>
      </c>
      <c r="O1380" s="29"/>
      <c r="P1380" s="27" t="s">
        <v>3578</v>
      </c>
      <c r="Q1380" s="26"/>
      <c r="R1380" s="26"/>
      <c r="S1380" s="23">
        <v>0.0</v>
      </c>
      <c r="T1380" s="23">
        <v>0.0</v>
      </c>
      <c r="U1380" s="23">
        <f t="shared" si="2"/>
        <v>0</v>
      </c>
      <c r="V1380" s="23">
        <f t="shared" si="3"/>
        <v>0</v>
      </c>
      <c r="W1380" s="23">
        <f t="shared" si="4"/>
        <v>0</v>
      </c>
      <c r="X1380" s="24" t="str">
        <f t="shared" si="5"/>
        <v>#DIV/0!</v>
      </c>
    </row>
    <row r="1381">
      <c r="A1381" s="15" t="s">
        <v>5791</v>
      </c>
      <c r="B1381" s="18" t="str">
        <f t="shared" si="37"/>
        <v>75045892579</v>
      </c>
      <c r="C1381" s="16"/>
      <c r="D1381" s="26"/>
      <c r="E1381" s="25" t="s">
        <v>5792</v>
      </c>
      <c r="F1381" s="26"/>
      <c r="G1381" s="26"/>
      <c r="H1381" s="25" t="s">
        <v>5793</v>
      </c>
      <c r="I1381" s="26"/>
      <c r="J1381" s="27" t="s">
        <v>36</v>
      </c>
      <c r="K1381" s="27" t="s">
        <v>52</v>
      </c>
      <c r="L1381" s="27" t="s">
        <v>147</v>
      </c>
      <c r="M1381" s="20">
        <f t="shared" si="1"/>
        <v>0</v>
      </c>
      <c r="N1381" s="53" t="s">
        <v>68</v>
      </c>
      <c r="O1381" s="29"/>
      <c r="P1381" s="27" t="s">
        <v>3578</v>
      </c>
      <c r="Q1381" s="26"/>
      <c r="R1381" s="26"/>
      <c r="S1381" s="23">
        <v>0.0</v>
      </c>
      <c r="T1381" s="23">
        <v>0.0</v>
      </c>
      <c r="U1381" s="23">
        <f t="shared" si="2"/>
        <v>0</v>
      </c>
      <c r="V1381" s="23">
        <f t="shared" si="3"/>
        <v>0</v>
      </c>
      <c r="W1381" s="23">
        <f t="shared" si="4"/>
        <v>0</v>
      </c>
      <c r="X1381" s="24" t="str">
        <f t="shared" si="5"/>
        <v>#DIV/0!</v>
      </c>
    </row>
    <row r="1382">
      <c r="A1382" s="15" t="s">
        <v>5794</v>
      </c>
      <c r="B1382" s="18" t="str">
        <f t="shared" si="37"/>
        <v>75045892580</v>
      </c>
      <c r="C1382" s="16"/>
      <c r="D1382" s="25" t="s">
        <v>5795</v>
      </c>
      <c r="E1382" s="25" t="s">
        <v>5796</v>
      </c>
      <c r="F1382" s="26"/>
      <c r="G1382" s="26"/>
      <c r="H1382" s="25" t="s">
        <v>5797</v>
      </c>
      <c r="I1382" s="26"/>
      <c r="J1382" s="27" t="s">
        <v>104</v>
      </c>
      <c r="K1382" s="27" t="s">
        <v>52</v>
      </c>
      <c r="L1382" s="27" t="s">
        <v>52</v>
      </c>
      <c r="M1382" s="20">
        <f t="shared" si="1"/>
        <v>0</v>
      </c>
      <c r="N1382" s="53" t="s">
        <v>68</v>
      </c>
      <c r="O1382" s="29"/>
      <c r="P1382" s="27" t="s">
        <v>3578</v>
      </c>
      <c r="Q1382" s="26"/>
      <c r="R1382" s="26"/>
      <c r="S1382" s="23">
        <v>0.0</v>
      </c>
      <c r="T1382" s="23">
        <v>0.0</v>
      </c>
      <c r="U1382" s="23">
        <f t="shared" si="2"/>
        <v>0</v>
      </c>
      <c r="V1382" s="23">
        <f t="shared" si="3"/>
        <v>0</v>
      </c>
      <c r="W1382" s="23">
        <f t="shared" si="4"/>
        <v>0</v>
      </c>
      <c r="X1382" s="24" t="str">
        <f t="shared" si="5"/>
        <v>#DIV/0!</v>
      </c>
    </row>
    <row r="1383">
      <c r="A1383" s="15" t="s">
        <v>5798</v>
      </c>
      <c r="B1383" s="18" t="str">
        <f t="shared" si="37"/>
        <v>75045892581</v>
      </c>
      <c r="C1383" s="16"/>
      <c r="D1383" s="25" t="s">
        <v>5799</v>
      </c>
      <c r="E1383" s="25" t="s">
        <v>5800</v>
      </c>
      <c r="F1383" s="26"/>
      <c r="G1383" s="26"/>
      <c r="H1383" s="25" t="s">
        <v>5801</v>
      </c>
      <c r="I1383" s="26"/>
      <c r="J1383" s="27" t="s">
        <v>104</v>
      </c>
      <c r="K1383" s="27" t="s">
        <v>52</v>
      </c>
      <c r="L1383" s="27" t="s">
        <v>52</v>
      </c>
      <c r="M1383" s="20">
        <f t="shared" si="1"/>
        <v>0</v>
      </c>
      <c r="N1383" s="53" t="s">
        <v>68</v>
      </c>
      <c r="O1383" s="29"/>
      <c r="P1383" s="27" t="s">
        <v>3578</v>
      </c>
      <c r="Q1383" s="26"/>
      <c r="R1383" s="26"/>
      <c r="S1383" s="23">
        <v>0.0</v>
      </c>
      <c r="T1383" s="23">
        <v>0.0</v>
      </c>
      <c r="U1383" s="23">
        <f t="shared" si="2"/>
        <v>0</v>
      </c>
      <c r="V1383" s="23">
        <f t="shared" si="3"/>
        <v>0</v>
      </c>
      <c r="W1383" s="23">
        <f t="shared" si="4"/>
        <v>0</v>
      </c>
      <c r="X1383" s="24" t="str">
        <f t="shared" si="5"/>
        <v>#DIV/0!</v>
      </c>
    </row>
    <row r="1384">
      <c r="A1384" s="15" t="s">
        <v>5802</v>
      </c>
      <c r="B1384" s="18" t="str">
        <f t="shared" si="37"/>
        <v>75045892582</v>
      </c>
      <c r="C1384" s="16"/>
      <c r="D1384" s="25" t="s">
        <v>5803</v>
      </c>
      <c r="E1384" s="25" t="s">
        <v>5804</v>
      </c>
      <c r="F1384" s="26"/>
      <c r="G1384" s="26"/>
      <c r="H1384" s="25" t="s">
        <v>5805</v>
      </c>
      <c r="I1384" s="26"/>
      <c r="J1384" s="27" t="s">
        <v>104</v>
      </c>
      <c r="K1384" s="27" t="s">
        <v>52</v>
      </c>
      <c r="L1384" s="27" t="s">
        <v>52</v>
      </c>
      <c r="M1384" s="20">
        <f t="shared" si="1"/>
        <v>0</v>
      </c>
      <c r="N1384" s="53" t="s">
        <v>68</v>
      </c>
      <c r="O1384" s="29"/>
      <c r="P1384" s="27" t="s">
        <v>3578</v>
      </c>
      <c r="Q1384" s="26"/>
      <c r="R1384" s="26"/>
      <c r="S1384" s="23">
        <v>0.0</v>
      </c>
      <c r="T1384" s="23">
        <v>0.0</v>
      </c>
      <c r="U1384" s="23">
        <f t="shared" si="2"/>
        <v>0</v>
      </c>
      <c r="V1384" s="23">
        <f t="shared" si="3"/>
        <v>0</v>
      </c>
      <c r="W1384" s="23">
        <f t="shared" si="4"/>
        <v>0</v>
      </c>
      <c r="X1384" s="24" t="str">
        <f t="shared" si="5"/>
        <v>#DIV/0!</v>
      </c>
    </row>
    <row r="1385">
      <c r="A1385" s="15" t="s">
        <v>5806</v>
      </c>
      <c r="B1385" s="18" t="str">
        <f t="shared" si="37"/>
        <v>75045892583</v>
      </c>
      <c r="C1385" s="16"/>
      <c r="D1385" s="26"/>
      <c r="E1385" s="25" t="s">
        <v>5807</v>
      </c>
      <c r="F1385" s="26"/>
      <c r="G1385" s="26"/>
      <c r="H1385" s="25" t="s">
        <v>5808</v>
      </c>
      <c r="I1385" s="25" t="s">
        <v>5809</v>
      </c>
      <c r="J1385" s="27" t="s">
        <v>104</v>
      </c>
      <c r="K1385" s="27" t="s">
        <v>52</v>
      </c>
      <c r="L1385" s="27" t="s">
        <v>52</v>
      </c>
      <c r="M1385" s="20">
        <f t="shared" si="1"/>
        <v>0</v>
      </c>
      <c r="N1385" s="53" t="s">
        <v>68</v>
      </c>
      <c r="O1385" s="29"/>
      <c r="P1385" s="27" t="s">
        <v>3578</v>
      </c>
      <c r="Q1385" s="26"/>
      <c r="R1385" s="26"/>
      <c r="S1385" s="23">
        <v>0.0</v>
      </c>
      <c r="T1385" s="23">
        <v>0.0</v>
      </c>
      <c r="U1385" s="23">
        <f t="shared" si="2"/>
        <v>0</v>
      </c>
      <c r="V1385" s="23">
        <f t="shared" si="3"/>
        <v>0</v>
      </c>
      <c r="W1385" s="23">
        <f t="shared" si="4"/>
        <v>0</v>
      </c>
      <c r="X1385" s="24" t="str">
        <f t="shared" si="5"/>
        <v>#DIV/0!</v>
      </c>
    </row>
    <row r="1386">
      <c r="A1386" s="15" t="s">
        <v>5810</v>
      </c>
      <c r="B1386" s="18" t="str">
        <f t="shared" si="37"/>
        <v>75045892584</v>
      </c>
      <c r="C1386" s="16"/>
      <c r="D1386" s="26"/>
      <c r="E1386" s="25" t="s">
        <v>5811</v>
      </c>
      <c r="F1386" s="26"/>
      <c r="G1386" s="26"/>
      <c r="H1386" s="25" t="s">
        <v>5812</v>
      </c>
      <c r="I1386" s="26"/>
      <c r="J1386" s="27" t="s">
        <v>104</v>
      </c>
      <c r="K1386" s="27" t="s">
        <v>52</v>
      </c>
      <c r="L1386" s="27" t="s">
        <v>52</v>
      </c>
      <c r="M1386" s="20">
        <f t="shared" si="1"/>
        <v>0</v>
      </c>
      <c r="N1386" s="53" t="s">
        <v>68</v>
      </c>
      <c r="O1386" s="29"/>
      <c r="P1386" s="27" t="s">
        <v>3578</v>
      </c>
      <c r="Q1386" s="26"/>
      <c r="R1386" s="26"/>
      <c r="S1386" s="23">
        <v>0.0</v>
      </c>
      <c r="T1386" s="23">
        <v>0.0</v>
      </c>
      <c r="U1386" s="23">
        <f t="shared" si="2"/>
        <v>0</v>
      </c>
      <c r="V1386" s="23">
        <f t="shared" si="3"/>
        <v>0</v>
      </c>
      <c r="W1386" s="23">
        <f t="shared" si="4"/>
        <v>0</v>
      </c>
      <c r="X1386" s="24" t="str">
        <f t="shared" si="5"/>
        <v>#DIV/0!</v>
      </c>
    </row>
    <row r="1387">
      <c r="A1387" s="15" t="s">
        <v>5813</v>
      </c>
      <c r="B1387" s="18" t="str">
        <f t="shared" si="37"/>
        <v>75045892585</v>
      </c>
      <c r="C1387" s="16"/>
      <c r="D1387" s="26"/>
      <c r="E1387" s="25" t="s">
        <v>5814</v>
      </c>
      <c r="F1387" s="26"/>
      <c r="G1387" s="26"/>
      <c r="H1387" s="25" t="s">
        <v>5815</v>
      </c>
      <c r="I1387" s="26"/>
      <c r="J1387" s="27" t="s">
        <v>104</v>
      </c>
      <c r="K1387" s="27" t="s">
        <v>52</v>
      </c>
      <c r="L1387" s="27" t="s">
        <v>52</v>
      </c>
      <c r="M1387" s="20">
        <f t="shared" si="1"/>
        <v>0</v>
      </c>
      <c r="N1387" s="53" t="s">
        <v>68</v>
      </c>
      <c r="O1387" s="29"/>
      <c r="P1387" s="27" t="s">
        <v>3578</v>
      </c>
      <c r="Q1387" s="26"/>
      <c r="R1387" s="26"/>
      <c r="S1387" s="23">
        <v>0.0</v>
      </c>
      <c r="T1387" s="23">
        <v>0.0</v>
      </c>
      <c r="U1387" s="23">
        <f t="shared" si="2"/>
        <v>0</v>
      </c>
      <c r="V1387" s="23">
        <f t="shared" si="3"/>
        <v>0</v>
      </c>
      <c r="W1387" s="23">
        <f t="shared" si="4"/>
        <v>0</v>
      </c>
      <c r="X1387" s="24" t="str">
        <f t="shared" si="5"/>
        <v>#DIV/0!</v>
      </c>
    </row>
    <row r="1388">
      <c r="A1388" s="15" t="s">
        <v>5816</v>
      </c>
      <c r="B1388" s="18" t="str">
        <f t="shared" si="37"/>
        <v>75045892589</v>
      </c>
      <c r="C1388" s="16"/>
      <c r="D1388" s="25" t="s">
        <v>5817</v>
      </c>
      <c r="E1388" s="25" t="s">
        <v>5818</v>
      </c>
      <c r="F1388" s="26"/>
      <c r="G1388" s="26"/>
      <c r="H1388" s="25" t="s">
        <v>5819</v>
      </c>
      <c r="I1388" s="26"/>
      <c r="J1388" s="54"/>
      <c r="K1388" s="54"/>
      <c r="L1388" s="54"/>
      <c r="M1388" s="20">
        <f t="shared" si="1"/>
        <v>0</v>
      </c>
      <c r="N1388" s="28"/>
      <c r="O1388" s="29"/>
      <c r="P1388" s="27" t="s">
        <v>3578</v>
      </c>
      <c r="Q1388" s="26"/>
      <c r="R1388" s="26"/>
      <c r="S1388" s="23"/>
      <c r="T1388" s="23"/>
      <c r="U1388" s="23">
        <f t="shared" si="2"/>
        <v>0</v>
      </c>
      <c r="V1388" s="23">
        <f t="shared" si="3"/>
        <v>0</v>
      </c>
      <c r="W1388" s="23">
        <f t="shared" si="4"/>
        <v>0</v>
      </c>
      <c r="X1388" s="24" t="str">
        <f t="shared" si="5"/>
        <v>#DIV/0!</v>
      </c>
    </row>
    <row r="1389">
      <c r="A1389" s="15" t="s">
        <v>5820</v>
      </c>
      <c r="B1389" s="18" t="str">
        <f t="shared" si="37"/>
        <v>75045892590</v>
      </c>
      <c r="C1389" s="16"/>
      <c r="D1389" s="25" t="s">
        <v>5821</v>
      </c>
      <c r="E1389" s="25" t="s">
        <v>5822</v>
      </c>
      <c r="F1389" s="26"/>
      <c r="G1389" s="26"/>
      <c r="H1389" s="25" t="s">
        <v>5823</v>
      </c>
      <c r="I1389" s="26"/>
      <c r="J1389" s="54"/>
      <c r="K1389" s="54"/>
      <c r="L1389" s="54"/>
      <c r="M1389" s="20">
        <f t="shared" si="1"/>
        <v>0</v>
      </c>
      <c r="N1389" s="28"/>
      <c r="O1389" s="29"/>
      <c r="P1389" s="27" t="s">
        <v>3578</v>
      </c>
      <c r="Q1389" s="26"/>
      <c r="R1389" s="26"/>
      <c r="S1389" s="23"/>
      <c r="T1389" s="23"/>
      <c r="U1389" s="23">
        <f t="shared" si="2"/>
        <v>0</v>
      </c>
      <c r="V1389" s="23">
        <f t="shared" si="3"/>
        <v>0</v>
      </c>
      <c r="W1389" s="23">
        <f t="shared" si="4"/>
        <v>0</v>
      </c>
      <c r="X1389" s="24" t="str">
        <f t="shared" si="5"/>
        <v>#DIV/0!</v>
      </c>
    </row>
    <row r="1390">
      <c r="A1390" s="15" t="s">
        <v>5824</v>
      </c>
      <c r="B1390" s="18" t="str">
        <f t="shared" si="37"/>
        <v>75045892591</v>
      </c>
      <c r="C1390" s="16"/>
      <c r="D1390" s="25" t="s">
        <v>5825</v>
      </c>
      <c r="E1390" s="25" t="s">
        <v>5826</v>
      </c>
      <c r="F1390" s="26"/>
      <c r="G1390" s="26"/>
      <c r="H1390" s="25" t="s">
        <v>5827</v>
      </c>
      <c r="I1390" s="26"/>
      <c r="J1390" s="54"/>
      <c r="K1390" s="54"/>
      <c r="L1390" s="54"/>
      <c r="M1390" s="20">
        <f t="shared" si="1"/>
        <v>0</v>
      </c>
      <c r="N1390" s="28"/>
      <c r="O1390" s="29"/>
      <c r="P1390" s="27" t="s">
        <v>3578</v>
      </c>
      <c r="Q1390" s="26"/>
      <c r="R1390" s="26"/>
      <c r="S1390" s="23"/>
      <c r="T1390" s="23"/>
      <c r="U1390" s="23">
        <f t="shared" si="2"/>
        <v>0</v>
      </c>
      <c r="V1390" s="23">
        <f t="shared" si="3"/>
        <v>0</v>
      </c>
      <c r="W1390" s="23">
        <f t="shared" si="4"/>
        <v>0</v>
      </c>
      <c r="X1390" s="24" t="str">
        <f t="shared" si="5"/>
        <v>#DIV/0!</v>
      </c>
    </row>
    <row r="1391">
      <c r="A1391" s="15" t="s">
        <v>5828</v>
      </c>
      <c r="B1391" s="18" t="str">
        <f t="shared" si="37"/>
        <v>75045892592</v>
      </c>
      <c r="C1391" s="16"/>
      <c r="D1391" s="25" t="s">
        <v>5829</v>
      </c>
      <c r="E1391" s="25" t="s">
        <v>5830</v>
      </c>
      <c r="F1391" s="26"/>
      <c r="G1391" s="26"/>
      <c r="H1391" s="25" t="s">
        <v>5831</v>
      </c>
      <c r="I1391" s="26"/>
      <c r="J1391" s="54"/>
      <c r="K1391" s="54"/>
      <c r="L1391" s="54"/>
      <c r="M1391" s="20">
        <f t="shared" si="1"/>
        <v>0</v>
      </c>
      <c r="N1391" s="28"/>
      <c r="O1391" s="29"/>
      <c r="P1391" s="27" t="s">
        <v>3578</v>
      </c>
      <c r="Q1391" s="26"/>
      <c r="R1391" s="26"/>
      <c r="S1391" s="23"/>
      <c r="T1391" s="23"/>
      <c r="U1391" s="23">
        <f t="shared" si="2"/>
        <v>0</v>
      </c>
      <c r="V1391" s="23">
        <f t="shared" si="3"/>
        <v>0</v>
      </c>
      <c r="W1391" s="23">
        <f t="shared" si="4"/>
        <v>0</v>
      </c>
      <c r="X1391" s="24" t="str">
        <f t="shared" si="5"/>
        <v>#DIV/0!</v>
      </c>
    </row>
    <row r="1392">
      <c r="A1392" s="15" t="s">
        <v>5832</v>
      </c>
      <c r="B1392" s="18" t="str">
        <f t="shared" si="37"/>
        <v>75045892593</v>
      </c>
      <c r="C1392" s="16"/>
      <c r="D1392" s="25" t="s">
        <v>5833</v>
      </c>
      <c r="E1392" s="25" t="s">
        <v>5834</v>
      </c>
      <c r="F1392" s="26"/>
      <c r="G1392" s="26"/>
      <c r="H1392" s="25" t="s">
        <v>5835</v>
      </c>
      <c r="I1392" s="26"/>
      <c r="J1392" s="54"/>
      <c r="K1392" s="54"/>
      <c r="L1392" s="54"/>
      <c r="M1392" s="20">
        <f t="shared" si="1"/>
        <v>0</v>
      </c>
      <c r="N1392" s="28"/>
      <c r="O1392" s="29"/>
      <c r="P1392" s="27" t="s">
        <v>3578</v>
      </c>
      <c r="Q1392" s="26"/>
      <c r="R1392" s="26"/>
      <c r="S1392" s="23"/>
      <c r="T1392" s="23"/>
      <c r="U1392" s="23">
        <f t="shared" si="2"/>
        <v>0</v>
      </c>
      <c r="V1392" s="23">
        <f t="shared" si="3"/>
        <v>0</v>
      </c>
      <c r="W1392" s="23">
        <f t="shared" si="4"/>
        <v>0</v>
      </c>
      <c r="X1392" s="24" t="str">
        <f t="shared" si="5"/>
        <v>#DIV/0!</v>
      </c>
    </row>
    <row r="1393">
      <c r="A1393" s="15" t="s">
        <v>5836</v>
      </c>
      <c r="B1393" s="18" t="str">
        <f t="shared" si="37"/>
        <v>75045892594</v>
      </c>
      <c r="C1393" s="16"/>
      <c r="D1393" s="25" t="s">
        <v>5837</v>
      </c>
      <c r="E1393" s="25" t="s">
        <v>5838</v>
      </c>
      <c r="F1393" s="26"/>
      <c r="G1393" s="26"/>
      <c r="H1393" s="25" t="s">
        <v>5839</v>
      </c>
      <c r="I1393" s="26"/>
      <c r="J1393" s="54"/>
      <c r="K1393" s="54"/>
      <c r="L1393" s="54"/>
      <c r="M1393" s="20">
        <f t="shared" si="1"/>
        <v>0</v>
      </c>
      <c r="N1393" s="28"/>
      <c r="O1393" s="29"/>
      <c r="P1393" s="27" t="s">
        <v>3578</v>
      </c>
      <c r="Q1393" s="26"/>
      <c r="R1393" s="26"/>
      <c r="S1393" s="23"/>
      <c r="T1393" s="23"/>
      <c r="U1393" s="23">
        <f t="shared" si="2"/>
        <v>0</v>
      </c>
      <c r="V1393" s="23">
        <f t="shared" si="3"/>
        <v>0</v>
      </c>
      <c r="W1393" s="23">
        <f t="shared" si="4"/>
        <v>0</v>
      </c>
      <c r="X1393" s="24" t="str">
        <f t="shared" si="5"/>
        <v>#DIV/0!</v>
      </c>
    </row>
    <row r="1394">
      <c r="A1394" s="15" t="s">
        <v>5840</v>
      </c>
      <c r="B1394" s="18" t="str">
        <f t="shared" si="37"/>
        <v>75045892595</v>
      </c>
      <c r="C1394" s="16"/>
      <c r="D1394" s="25" t="s">
        <v>5841</v>
      </c>
      <c r="E1394" s="25" t="s">
        <v>5842</v>
      </c>
      <c r="F1394" s="26"/>
      <c r="G1394" s="26"/>
      <c r="H1394" s="25" t="s">
        <v>5843</v>
      </c>
      <c r="I1394" s="26"/>
      <c r="J1394" s="54"/>
      <c r="K1394" s="54"/>
      <c r="L1394" s="54"/>
      <c r="M1394" s="20">
        <f t="shared" si="1"/>
        <v>0</v>
      </c>
      <c r="N1394" s="28"/>
      <c r="O1394" s="29"/>
      <c r="P1394" s="27" t="s">
        <v>3578</v>
      </c>
      <c r="Q1394" s="26"/>
      <c r="R1394" s="26"/>
      <c r="S1394" s="23"/>
      <c r="T1394" s="23"/>
      <c r="U1394" s="23">
        <f t="shared" si="2"/>
        <v>0</v>
      </c>
      <c r="V1394" s="23">
        <f t="shared" si="3"/>
        <v>0</v>
      </c>
      <c r="W1394" s="23">
        <f t="shared" si="4"/>
        <v>0</v>
      </c>
      <c r="X1394" s="24" t="str">
        <f t="shared" si="5"/>
        <v>#DIV/0!</v>
      </c>
    </row>
    <row r="1395">
      <c r="A1395" s="15" t="s">
        <v>5844</v>
      </c>
      <c r="B1395" s="18" t="str">
        <f t="shared" si="37"/>
        <v>75045892596</v>
      </c>
      <c r="C1395" s="16"/>
      <c r="D1395" s="25" t="s">
        <v>5845</v>
      </c>
      <c r="E1395" s="25" t="s">
        <v>5846</v>
      </c>
      <c r="F1395" s="26"/>
      <c r="G1395" s="26"/>
      <c r="H1395" s="25" t="s">
        <v>5847</v>
      </c>
      <c r="I1395" s="26"/>
      <c r="J1395" s="54"/>
      <c r="K1395" s="54"/>
      <c r="L1395" s="54"/>
      <c r="M1395" s="20">
        <f t="shared" si="1"/>
        <v>0</v>
      </c>
      <c r="N1395" s="28"/>
      <c r="O1395" s="29"/>
      <c r="P1395" s="27" t="s">
        <v>3578</v>
      </c>
      <c r="Q1395" s="26"/>
      <c r="R1395" s="26"/>
      <c r="S1395" s="23"/>
      <c r="T1395" s="23"/>
      <c r="U1395" s="23">
        <f t="shared" si="2"/>
        <v>0</v>
      </c>
      <c r="V1395" s="23">
        <f t="shared" si="3"/>
        <v>0</v>
      </c>
      <c r="W1395" s="23">
        <f t="shared" si="4"/>
        <v>0</v>
      </c>
      <c r="X1395" s="24" t="str">
        <f t="shared" si="5"/>
        <v>#DIV/0!</v>
      </c>
    </row>
    <row r="1396">
      <c r="A1396" s="15" t="s">
        <v>5848</v>
      </c>
      <c r="B1396" s="18" t="str">
        <f t="shared" si="37"/>
        <v>75045892597</v>
      </c>
      <c r="C1396" s="16"/>
      <c r="D1396" s="25" t="s">
        <v>5849</v>
      </c>
      <c r="E1396" s="25" t="s">
        <v>5850</v>
      </c>
      <c r="F1396" s="26"/>
      <c r="G1396" s="26"/>
      <c r="H1396" s="25" t="s">
        <v>5851</v>
      </c>
      <c r="I1396" s="26"/>
      <c r="J1396" s="54"/>
      <c r="K1396" s="54"/>
      <c r="L1396" s="54"/>
      <c r="M1396" s="20">
        <f t="shared" si="1"/>
        <v>0</v>
      </c>
      <c r="N1396" s="28"/>
      <c r="O1396" s="29"/>
      <c r="P1396" s="27" t="s">
        <v>3578</v>
      </c>
      <c r="Q1396" s="26"/>
      <c r="R1396" s="26"/>
      <c r="S1396" s="23"/>
      <c r="T1396" s="23"/>
      <c r="U1396" s="23">
        <f t="shared" si="2"/>
        <v>0</v>
      </c>
      <c r="V1396" s="23">
        <f t="shared" si="3"/>
        <v>0</v>
      </c>
      <c r="W1396" s="23">
        <f t="shared" si="4"/>
        <v>0</v>
      </c>
      <c r="X1396" s="24" t="str">
        <f t="shared" si="5"/>
        <v>#DIV/0!</v>
      </c>
    </row>
    <row r="1397">
      <c r="A1397" s="15" t="s">
        <v>5852</v>
      </c>
      <c r="B1397" s="18" t="str">
        <f t="shared" si="37"/>
        <v>75045892598</v>
      </c>
      <c r="C1397" s="16"/>
      <c r="D1397" s="25" t="s">
        <v>5849</v>
      </c>
      <c r="E1397" s="25" t="s">
        <v>5850</v>
      </c>
      <c r="F1397" s="26"/>
      <c r="G1397" s="26"/>
      <c r="H1397" s="25" t="s">
        <v>5853</v>
      </c>
      <c r="I1397" s="26"/>
      <c r="J1397" s="54"/>
      <c r="K1397" s="54"/>
      <c r="L1397" s="54"/>
      <c r="M1397" s="20">
        <f t="shared" si="1"/>
        <v>0</v>
      </c>
      <c r="N1397" s="28"/>
      <c r="O1397" s="29"/>
      <c r="P1397" s="27" t="s">
        <v>3578</v>
      </c>
      <c r="Q1397" s="26"/>
      <c r="R1397" s="26"/>
      <c r="S1397" s="23"/>
      <c r="T1397" s="23"/>
      <c r="U1397" s="23">
        <f t="shared" si="2"/>
        <v>0</v>
      </c>
      <c r="V1397" s="23">
        <f t="shared" si="3"/>
        <v>0</v>
      </c>
      <c r="W1397" s="23">
        <f t="shared" si="4"/>
        <v>0</v>
      </c>
      <c r="X1397" s="24" t="str">
        <f t="shared" si="5"/>
        <v>#DIV/0!</v>
      </c>
    </row>
    <row r="1398">
      <c r="A1398" s="15" t="s">
        <v>5854</v>
      </c>
      <c r="B1398" s="18" t="str">
        <f t="shared" si="37"/>
        <v>75045892599</v>
      </c>
      <c r="C1398" s="16"/>
      <c r="D1398" s="25" t="s">
        <v>5855</v>
      </c>
      <c r="E1398" s="25" t="s">
        <v>5856</v>
      </c>
      <c r="F1398" s="26"/>
      <c r="G1398" s="26"/>
      <c r="H1398" s="25" t="s">
        <v>5857</v>
      </c>
      <c r="I1398" s="26"/>
      <c r="J1398" s="54"/>
      <c r="K1398" s="54"/>
      <c r="L1398" s="54"/>
      <c r="M1398" s="20">
        <f t="shared" si="1"/>
        <v>0</v>
      </c>
      <c r="N1398" s="28"/>
      <c r="O1398" s="29"/>
      <c r="P1398" s="27" t="s">
        <v>3578</v>
      </c>
      <c r="Q1398" s="26"/>
      <c r="R1398" s="26"/>
      <c r="S1398" s="23"/>
      <c r="T1398" s="23"/>
      <c r="U1398" s="23">
        <f t="shared" si="2"/>
        <v>0</v>
      </c>
      <c r="V1398" s="23">
        <f t="shared" si="3"/>
        <v>0</v>
      </c>
      <c r="W1398" s="23">
        <f t="shared" si="4"/>
        <v>0</v>
      </c>
      <c r="X1398" s="24" t="str">
        <f t="shared" si="5"/>
        <v>#DIV/0!</v>
      </c>
    </row>
    <row r="1399">
      <c r="A1399" s="15" t="s">
        <v>5858</v>
      </c>
      <c r="B1399" s="18" t="str">
        <f t="shared" si="37"/>
        <v>75045892600</v>
      </c>
      <c r="C1399" s="16"/>
      <c r="D1399" s="25" t="s">
        <v>5859</v>
      </c>
      <c r="E1399" s="25" t="s">
        <v>5860</v>
      </c>
      <c r="F1399" s="26"/>
      <c r="G1399" s="26"/>
      <c r="H1399" s="25" t="s">
        <v>5861</v>
      </c>
      <c r="I1399" s="26"/>
      <c r="J1399" s="54"/>
      <c r="K1399" s="54"/>
      <c r="L1399" s="54"/>
      <c r="M1399" s="20">
        <f t="shared" si="1"/>
        <v>0</v>
      </c>
      <c r="N1399" s="28"/>
      <c r="O1399" s="29"/>
      <c r="P1399" s="27" t="s">
        <v>3578</v>
      </c>
      <c r="Q1399" s="26"/>
      <c r="R1399" s="26"/>
      <c r="S1399" s="23"/>
      <c r="T1399" s="23"/>
      <c r="U1399" s="23">
        <f t="shared" si="2"/>
        <v>0</v>
      </c>
      <c r="V1399" s="23">
        <f t="shared" si="3"/>
        <v>0</v>
      </c>
      <c r="W1399" s="23">
        <f t="shared" si="4"/>
        <v>0</v>
      </c>
      <c r="X1399" s="24" t="str">
        <f t="shared" si="5"/>
        <v>#DIV/0!</v>
      </c>
    </row>
    <row r="1400">
      <c r="A1400" s="15" t="s">
        <v>5862</v>
      </c>
      <c r="B1400" s="18" t="str">
        <f t="shared" si="37"/>
        <v>75045892601</v>
      </c>
      <c r="C1400" s="16"/>
      <c r="D1400" s="25" t="s">
        <v>5863</v>
      </c>
      <c r="E1400" s="25" t="s">
        <v>5864</v>
      </c>
      <c r="F1400" s="26"/>
      <c r="G1400" s="26"/>
      <c r="H1400" s="26"/>
      <c r="I1400" s="26"/>
      <c r="J1400" s="54"/>
      <c r="K1400" s="54"/>
      <c r="L1400" s="54"/>
      <c r="M1400" s="20">
        <f t="shared" si="1"/>
        <v>0</v>
      </c>
      <c r="N1400" s="28"/>
      <c r="O1400" s="29"/>
      <c r="P1400" s="27" t="s">
        <v>3578</v>
      </c>
      <c r="Q1400" s="26"/>
      <c r="R1400" s="26"/>
      <c r="S1400" s="23"/>
      <c r="T1400" s="23"/>
      <c r="U1400" s="23">
        <f t="shared" si="2"/>
        <v>0</v>
      </c>
      <c r="V1400" s="23">
        <f t="shared" si="3"/>
        <v>0</v>
      </c>
      <c r="W1400" s="23">
        <f t="shared" si="4"/>
        <v>0</v>
      </c>
      <c r="X1400" s="24" t="str">
        <f t="shared" si="5"/>
        <v>#DIV/0!</v>
      </c>
    </row>
    <row r="1401">
      <c r="A1401" s="15" t="s">
        <v>5865</v>
      </c>
      <c r="B1401" s="18" t="str">
        <f t="shared" si="37"/>
        <v>75045892602</v>
      </c>
      <c r="C1401" s="16"/>
      <c r="D1401" s="25" t="s">
        <v>5866</v>
      </c>
      <c r="E1401" s="25" t="s">
        <v>5867</v>
      </c>
      <c r="F1401" s="26"/>
      <c r="G1401" s="26"/>
      <c r="H1401" s="25" t="s">
        <v>5868</v>
      </c>
      <c r="I1401" s="26"/>
      <c r="J1401" s="54"/>
      <c r="K1401" s="54"/>
      <c r="L1401" s="54"/>
      <c r="M1401" s="20">
        <f t="shared" si="1"/>
        <v>0</v>
      </c>
      <c r="N1401" s="28"/>
      <c r="O1401" s="29"/>
      <c r="P1401" s="27" t="s">
        <v>3578</v>
      </c>
      <c r="Q1401" s="26"/>
      <c r="R1401" s="26"/>
      <c r="S1401" s="23"/>
      <c r="T1401" s="23"/>
      <c r="U1401" s="23">
        <f t="shared" si="2"/>
        <v>0</v>
      </c>
      <c r="V1401" s="23">
        <f t="shared" si="3"/>
        <v>0</v>
      </c>
      <c r="W1401" s="23">
        <f t="shared" si="4"/>
        <v>0</v>
      </c>
      <c r="X1401" s="24" t="str">
        <f t="shared" si="5"/>
        <v>#DIV/0!</v>
      </c>
    </row>
    <row r="1402" ht="14.25" customHeight="1">
      <c r="A1402" s="15" t="s">
        <v>5869</v>
      </c>
      <c r="B1402" s="18" t="str">
        <f t="shared" si="37"/>
        <v>75045892603</v>
      </c>
      <c r="C1402" s="16"/>
      <c r="D1402" s="25" t="s">
        <v>5870</v>
      </c>
      <c r="E1402" s="25" t="s">
        <v>5871</v>
      </c>
      <c r="F1402" s="26"/>
      <c r="G1402" s="26"/>
      <c r="H1402" s="26"/>
      <c r="I1402" s="26"/>
      <c r="J1402" s="54"/>
      <c r="K1402" s="54"/>
      <c r="L1402" s="54"/>
      <c r="M1402" s="20">
        <f t="shared" si="1"/>
        <v>0</v>
      </c>
      <c r="N1402" s="28"/>
      <c r="O1402" s="29"/>
      <c r="P1402" s="27" t="s">
        <v>3578</v>
      </c>
      <c r="Q1402" s="26"/>
      <c r="R1402" s="26"/>
      <c r="S1402" s="23"/>
      <c r="T1402" s="23"/>
      <c r="U1402" s="23">
        <f t="shared" si="2"/>
        <v>0</v>
      </c>
      <c r="V1402" s="23">
        <f t="shared" si="3"/>
        <v>0</v>
      </c>
      <c r="W1402" s="23">
        <f t="shared" si="4"/>
        <v>0</v>
      </c>
      <c r="X1402" s="24" t="str">
        <f t="shared" si="5"/>
        <v>#DIV/0!</v>
      </c>
    </row>
    <row r="1403">
      <c r="A1403" s="15" t="s">
        <v>5872</v>
      </c>
      <c r="B1403" s="18" t="str">
        <f t="shared" si="37"/>
        <v>75045892604</v>
      </c>
      <c r="C1403" s="16"/>
      <c r="D1403" s="25" t="s">
        <v>5873</v>
      </c>
      <c r="E1403" s="25" t="s">
        <v>5874</v>
      </c>
      <c r="F1403" s="26"/>
      <c r="G1403" s="26"/>
      <c r="H1403" s="26"/>
      <c r="I1403" s="26"/>
      <c r="J1403" s="54"/>
      <c r="K1403" s="54"/>
      <c r="L1403" s="54"/>
      <c r="M1403" s="20">
        <f t="shared" si="1"/>
        <v>0</v>
      </c>
      <c r="N1403" s="28"/>
      <c r="O1403" s="29"/>
      <c r="P1403" s="27" t="s">
        <v>3578</v>
      </c>
      <c r="Q1403" s="26"/>
      <c r="R1403" s="26"/>
      <c r="S1403" s="23"/>
      <c r="T1403" s="23"/>
      <c r="U1403" s="23">
        <f t="shared" si="2"/>
        <v>0</v>
      </c>
      <c r="V1403" s="23">
        <f t="shared" si="3"/>
        <v>0</v>
      </c>
      <c r="W1403" s="23">
        <f t="shared" si="4"/>
        <v>0</v>
      </c>
      <c r="X1403" s="24" t="str">
        <f t="shared" si="5"/>
        <v>#DIV/0!</v>
      </c>
    </row>
    <row r="1404">
      <c r="A1404" s="15" t="s">
        <v>5875</v>
      </c>
      <c r="B1404" s="18" t="str">
        <f t="shared" si="37"/>
        <v>75045892605</v>
      </c>
      <c r="C1404" s="16"/>
      <c r="D1404" s="25" t="s">
        <v>5080</v>
      </c>
      <c r="E1404" s="25" t="s">
        <v>5081</v>
      </c>
      <c r="F1404" s="26"/>
      <c r="G1404" s="26"/>
      <c r="H1404" s="25" t="s">
        <v>5876</v>
      </c>
      <c r="I1404" s="26"/>
      <c r="J1404" s="54"/>
      <c r="K1404" s="54"/>
      <c r="L1404" s="54"/>
      <c r="M1404" s="20">
        <f t="shared" si="1"/>
        <v>0</v>
      </c>
      <c r="N1404" s="28"/>
      <c r="O1404" s="29"/>
      <c r="P1404" s="27" t="s">
        <v>3578</v>
      </c>
      <c r="Q1404" s="26"/>
      <c r="R1404" s="26"/>
      <c r="S1404" s="23"/>
      <c r="T1404" s="23"/>
      <c r="U1404" s="23">
        <f t="shared" si="2"/>
        <v>0</v>
      </c>
      <c r="V1404" s="23">
        <f t="shared" si="3"/>
        <v>0</v>
      </c>
      <c r="W1404" s="23">
        <f t="shared" si="4"/>
        <v>0</v>
      </c>
      <c r="X1404" s="24" t="str">
        <f t="shared" si="5"/>
        <v>#DIV/0!</v>
      </c>
    </row>
    <row r="1405">
      <c r="A1405" s="15" t="s">
        <v>5877</v>
      </c>
      <c r="B1405" s="18" t="str">
        <f t="shared" si="37"/>
        <v>75045892606</v>
      </c>
      <c r="C1405" s="16"/>
      <c r="D1405" s="25" t="s">
        <v>5878</v>
      </c>
      <c r="E1405" s="25" t="s">
        <v>5879</v>
      </c>
      <c r="F1405" s="26"/>
      <c r="G1405" s="26"/>
      <c r="H1405" s="25" t="s">
        <v>5880</v>
      </c>
      <c r="I1405" s="26"/>
      <c r="J1405" s="54"/>
      <c r="K1405" s="54"/>
      <c r="L1405" s="54"/>
      <c r="M1405" s="20">
        <f t="shared" si="1"/>
        <v>0</v>
      </c>
      <c r="N1405" s="28"/>
      <c r="O1405" s="29"/>
      <c r="P1405" s="27" t="s">
        <v>3578</v>
      </c>
      <c r="Q1405" s="26"/>
      <c r="R1405" s="26"/>
      <c r="S1405" s="23"/>
      <c r="T1405" s="23"/>
      <c r="U1405" s="23">
        <f t="shared" si="2"/>
        <v>0</v>
      </c>
      <c r="V1405" s="23">
        <f t="shared" si="3"/>
        <v>0</v>
      </c>
      <c r="W1405" s="23">
        <f t="shared" si="4"/>
        <v>0</v>
      </c>
      <c r="X1405" s="24" t="str">
        <f t="shared" si="5"/>
        <v>#DIV/0!</v>
      </c>
    </row>
    <row r="1406">
      <c r="A1406" s="15" t="s">
        <v>5881</v>
      </c>
      <c r="B1406" s="18" t="str">
        <f t="shared" si="37"/>
        <v>75045892607</v>
      </c>
      <c r="C1406" s="16"/>
      <c r="D1406" s="25" t="s">
        <v>5882</v>
      </c>
      <c r="E1406" s="25" t="s">
        <v>5883</v>
      </c>
      <c r="F1406" s="26"/>
      <c r="G1406" s="26"/>
      <c r="H1406" s="25" t="s">
        <v>5884</v>
      </c>
      <c r="I1406" s="26"/>
      <c r="J1406" s="54"/>
      <c r="K1406" s="54"/>
      <c r="L1406" s="54"/>
      <c r="M1406" s="20">
        <f t="shared" si="1"/>
        <v>0</v>
      </c>
      <c r="N1406" s="28"/>
      <c r="O1406" s="29"/>
      <c r="P1406" s="27" t="s">
        <v>3578</v>
      </c>
      <c r="Q1406" s="26"/>
      <c r="R1406" s="26"/>
      <c r="S1406" s="23">
        <v>0.0</v>
      </c>
      <c r="T1406" s="23">
        <v>0.0</v>
      </c>
      <c r="U1406" s="23">
        <f t="shared" si="2"/>
        <v>0</v>
      </c>
      <c r="V1406" s="23">
        <f t="shared" si="3"/>
        <v>0</v>
      </c>
      <c r="W1406" s="23">
        <f t="shared" si="4"/>
        <v>0</v>
      </c>
      <c r="X1406" s="24" t="str">
        <f t="shared" si="5"/>
        <v>#DIV/0!</v>
      </c>
    </row>
    <row r="1407">
      <c r="A1407" s="15" t="s">
        <v>5885</v>
      </c>
      <c r="B1407" s="18" t="str">
        <f t="shared" si="37"/>
        <v>75045892608</v>
      </c>
      <c r="C1407" s="16"/>
      <c r="D1407" s="25" t="s">
        <v>5886</v>
      </c>
      <c r="E1407" s="25" t="s">
        <v>5887</v>
      </c>
      <c r="F1407" s="26"/>
      <c r="G1407" s="26"/>
      <c r="H1407" s="25" t="s">
        <v>5888</v>
      </c>
      <c r="I1407" s="26"/>
      <c r="J1407" s="54"/>
      <c r="K1407" s="54"/>
      <c r="L1407" s="54"/>
      <c r="M1407" s="20">
        <f t="shared" si="1"/>
        <v>0</v>
      </c>
      <c r="N1407" s="28"/>
      <c r="O1407" s="29"/>
      <c r="P1407" s="27" t="s">
        <v>3578</v>
      </c>
      <c r="Q1407" s="26"/>
      <c r="R1407" s="26"/>
      <c r="S1407" s="23"/>
      <c r="T1407" s="23"/>
      <c r="U1407" s="23">
        <f t="shared" si="2"/>
        <v>0</v>
      </c>
      <c r="V1407" s="23">
        <f t="shared" si="3"/>
        <v>0</v>
      </c>
      <c r="W1407" s="23">
        <f t="shared" si="4"/>
        <v>0</v>
      </c>
      <c r="X1407" s="24" t="str">
        <f t="shared" si="5"/>
        <v>#DIV/0!</v>
      </c>
    </row>
    <row r="1408">
      <c r="A1408" s="15" t="s">
        <v>5889</v>
      </c>
      <c r="B1408" s="18"/>
      <c r="C1408" s="16"/>
      <c r="D1408" s="15" t="s">
        <v>5890</v>
      </c>
      <c r="E1408" s="17" t="s">
        <v>5891</v>
      </c>
      <c r="F1408" s="15" t="s">
        <v>5892</v>
      </c>
      <c r="G1408" s="15"/>
      <c r="H1408" s="15" t="s">
        <v>5893</v>
      </c>
      <c r="I1408" s="18"/>
      <c r="J1408" s="19" t="s">
        <v>104</v>
      </c>
      <c r="K1408" s="19" t="s">
        <v>717</v>
      </c>
      <c r="L1408" s="19" t="s">
        <v>106</v>
      </c>
      <c r="M1408" s="20">
        <f t="shared" si="1"/>
        <v>12662.88</v>
      </c>
      <c r="N1408" s="30"/>
      <c r="O1408" s="31">
        <v>0.0</v>
      </c>
      <c r="P1408" s="19" t="s">
        <v>3578</v>
      </c>
      <c r="Q1408" s="18"/>
      <c r="R1408" s="18"/>
      <c r="S1408" s="23">
        <v>135.0</v>
      </c>
      <c r="T1408" s="23">
        <v>713.0</v>
      </c>
      <c r="U1408" s="23">
        <f t="shared" si="2"/>
        <v>684.48</v>
      </c>
      <c r="V1408" s="23">
        <f t="shared" si="3"/>
        <v>165.375</v>
      </c>
      <c r="W1408" s="23">
        <f t="shared" si="4"/>
        <v>3100.78125</v>
      </c>
      <c r="X1408" s="24">
        <f t="shared" si="5"/>
        <v>4.138956916</v>
      </c>
    </row>
    <row r="1409">
      <c r="A1409" s="15" t="s">
        <v>5894</v>
      </c>
      <c r="B1409" s="15" t="s">
        <v>5895</v>
      </c>
      <c r="C1409" s="16"/>
      <c r="D1409" s="15" t="s">
        <v>5896</v>
      </c>
      <c r="E1409" s="17" t="s">
        <v>5897</v>
      </c>
      <c r="F1409" s="18"/>
      <c r="G1409" s="18"/>
      <c r="H1409" s="15" t="s">
        <v>5898</v>
      </c>
      <c r="I1409" s="18"/>
      <c r="J1409" s="19" t="s">
        <v>283</v>
      </c>
      <c r="K1409" s="19" t="s">
        <v>4972</v>
      </c>
      <c r="L1409" s="19" t="s">
        <v>177</v>
      </c>
      <c r="M1409" s="20">
        <f t="shared" si="1"/>
        <v>497.28</v>
      </c>
      <c r="N1409" s="21"/>
      <c r="O1409" s="22"/>
      <c r="P1409" s="19" t="s">
        <v>3578</v>
      </c>
      <c r="Q1409" s="18"/>
      <c r="R1409" s="18"/>
      <c r="S1409" s="23">
        <v>6.0</v>
      </c>
      <c r="T1409" s="23">
        <v>28.0</v>
      </c>
      <c r="U1409" s="23">
        <f t="shared" si="2"/>
        <v>26.88</v>
      </c>
      <c r="V1409" s="23">
        <f t="shared" si="3"/>
        <v>7.35</v>
      </c>
      <c r="W1409" s="23">
        <f t="shared" si="4"/>
        <v>137.8125</v>
      </c>
      <c r="X1409" s="24">
        <f t="shared" si="5"/>
        <v>3.657142857</v>
      </c>
    </row>
    <row r="1410">
      <c r="A1410" s="15" t="s">
        <v>5899</v>
      </c>
      <c r="B1410" s="18"/>
      <c r="C1410" s="16"/>
      <c r="D1410" s="15" t="s">
        <v>5900</v>
      </c>
      <c r="E1410" s="17" t="s">
        <v>5901</v>
      </c>
      <c r="F1410" s="15" t="s">
        <v>5902</v>
      </c>
      <c r="G1410" s="15"/>
      <c r="H1410" s="15" t="s">
        <v>5903</v>
      </c>
      <c r="I1410" s="18"/>
      <c r="J1410" s="19" t="s">
        <v>104</v>
      </c>
      <c r="K1410" s="19" t="s">
        <v>717</v>
      </c>
      <c r="L1410" s="19" t="s">
        <v>106</v>
      </c>
      <c r="M1410" s="20">
        <f t="shared" si="1"/>
        <v>19340.64</v>
      </c>
      <c r="N1410" s="30"/>
      <c r="O1410" s="31">
        <v>0.0</v>
      </c>
      <c r="P1410" s="19" t="s">
        <v>3578</v>
      </c>
      <c r="Q1410" s="18"/>
      <c r="R1410" s="18"/>
      <c r="S1410" s="23">
        <v>237.0</v>
      </c>
      <c r="T1410" s="23">
        <v>1089.0</v>
      </c>
      <c r="U1410" s="23">
        <f t="shared" si="2"/>
        <v>1045.44</v>
      </c>
      <c r="V1410" s="23">
        <f t="shared" si="3"/>
        <v>290.325</v>
      </c>
      <c r="W1410" s="23">
        <f t="shared" si="4"/>
        <v>5443.59375</v>
      </c>
      <c r="X1410" s="24">
        <f t="shared" si="5"/>
        <v>3.600929992</v>
      </c>
    </row>
    <row r="1411">
      <c r="A1411" s="15" t="s">
        <v>5904</v>
      </c>
      <c r="B1411" s="15"/>
      <c r="C1411" s="16"/>
      <c r="D1411" s="15" t="s">
        <v>5905</v>
      </c>
      <c r="E1411" s="17" t="s">
        <v>5906</v>
      </c>
      <c r="F1411" s="15" t="s">
        <v>5907</v>
      </c>
      <c r="G1411" s="15"/>
      <c r="H1411" s="15" t="s">
        <v>5908</v>
      </c>
      <c r="I1411" s="18"/>
      <c r="J1411" s="19" t="s">
        <v>104</v>
      </c>
      <c r="K1411" s="19" t="s">
        <v>717</v>
      </c>
      <c r="L1411" s="19" t="s">
        <v>106</v>
      </c>
      <c r="M1411" s="20">
        <f t="shared" si="1"/>
        <v>16999.872</v>
      </c>
      <c r="N1411" s="30"/>
      <c r="O1411" s="31"/>
      <c r="P1411" s="19" t="s">
        <v>3578</v>
      </c>
      <c r="Q1411" s="18"/>
      <c r="R1411" s="18"/>
      <c r="S1411" s="23">
        <v>245.0</v>
      </c>
      <c r="T1411" s="23">
        <v>957.2</v>
      </c>
      <c r="U1411" s="23">
        <f t="shared" si="2"/>
        <v>918.912</v>
      </c>
      <c r="V1411" s="23">
        <f t="shared" si="3"/>
        <v>300.125</v>
      </c>
      <c r="W1411" s="23">
        <f t="shared" si="4"/>
        <v>5627.34375</v>
      </c>
      <c r="X1411" s="24">
        <f t="shared" si="5"/>
        <v>3.061764265</v>
      </c>
    </row>
    <row r="1412">
      <c r="A1412" s="15" t="s">
        <v>5909</v>
      </c>
      <c r="B1412" s="18"/>
      <c r="C1412" s="16"/>
      <c r="D1412" s="15" t="s">
        <v>5910</v>
      </c>
      <c r="E1412" s="17" t="s">
        <v>5911</v>
      </c>
      <c r="F1412" s="15" t="s">
        <v>5912</v>
      </c>
      <c r="G1412" s="15"/>
      <c r="H1412" s="15" t="s">
        <v>5913</v>
      </c>
      <c r="I1412" s="18"/>
      <c r="J1412" s="19" t="s">
        <v>104</v>
      </c>
      <c r="K1412" s="19" t="s">
        <v>717</v>
      </c>
      <c r="L1412" s="19" t="s">
        <v>106</v>
      </c>
      <c r="M1412" s="20">
        <f t="shared" si="1"/>
        <v>7999.992</v>
      </c>
      <c r="N1412" s="21"/>
      <c r="O1412" s="22"/>
      <c r="P1412" s="19" t="s">
        <v>3578</v>
      </c>
      <c r="Q1412" s="18"/>
      <c r="R1412" s="18"/>
      <c r="S1412" s="23">
        <v>115.0</v>
      </c>
      <c r="T1412" s="23">
        <v>450.45</v>
      </c>
      <c r="U1412" s="23">
        <f t="shared" si="2"/>
        <v>432.432</v>
      </c>
      <c r="V1412" s="23">
        <f t="shared" si="3"/>
        <v>140.875</v>
      </c>
      <c r="W1412" s="23">
        <f t="shared" si="4"/>
        <v>2641.40625</v>
      </c>
      <c r="X1412" s="24">
        <f t="shared" si="5"/>
        <v>3.069614907</v>
      </c>
    </row>
    <row r="1413">
      <c r="A1413" s="15" t="s">
        <v>5914</v>
      </c>
      <c r="B1413" s="15" t="s">
        <v>5915</v>
      </c>
      <c r="C1413" s="16"/>
      <c r="D1413" s="15" t="s">
        <v>5916</v>
      </c>
      <c r="E1413" s="17" t="s">
        <v>5917</v>
      </c>
      <c r="F1413" s="18"/>
      <c r="G1413" s="18"/>
      <c r="H1413" s="15" t="s">
        <v>5918</v>
      </c>
      <c r="I1413" s="18"/>
      <c r="J1413" s="19" t="s">
        <v>283</v>
      </c>
      <c r="K1413" s="19" t="s">
        <v>4972</v>
      </c>
      <c r="L1413" s="19" t="s">
        <v>38</v>
      </c>
      <c r="M1413" s="20">
        <f t="shared" si="1"/>
        <v>142.08</v>
      </c>
      <c r="N1413" s="37" t="s">
        <v>79</v>
      </c>
      <c r="O1413" s="22"/>
      <c r="P1413" s="19" t="s">
        <v>3578</v>
      </c>
      <c r="Q1413" s="18"/>
      <c r="R1413" s="18"/>
      <c r="S1413" s="23">
        <v>2.0</v>
      </c>
      <c r="T1413" s="23">
        <v>8.0</v>
      </c>
      <c r="U1413" s="23">
        <f t="shared" si="2"/>
        <v>7.68</v>
      </c>
      <c r="V1413" s="23">
        <f t="shared" si="3"/>
        <v>2.45</v>
      </c>
      <c r="W1413" s="23">
        <f t="shared" si="4"/>
        <v>45.9375</v>
      </c>
      <c r="X1413" s="24">
        <f t="shared" si="5"/>
        <v>3.134693878</v>
      </c>
    </row>
    <row r="1414">
      <c r="A1414" s="15" t="s">
        <v>5919</v>
      </c>
      <c r="B1414" s="15" t="s">
        <v>5920</v>
      </c>
      <c r="C1414" s="16" t="str">
        <f>IMAGE("https://i.ibb.co/Kzh35Mq7/1849.png")</f>
        <v/>
      </c>
      <c r="D1414" s="15" t="s">
        <v>5921</v>
      </c>
      <c r="E1414" s="17" t="s">
        <v>5922</v>
      </c>
      <c r="F1414" s="18"/>
      <c r="G1414" s="18"/>
      <c r="H1414" s="15" t="s">
        <v>5923</v>
      </c>
      <c r="I1414" s="18"/>
      <c r="J1414" s="19" t="s">
        <v>283</v>
      </c>
      <c r="K1414" s="19" t="s">
        <v>4972</v>
      </c>
      <c r="L1414" s="19" t="s">
        <v>38</v>
      </c>
      <c r="M1414" s="20">
        <f t="shared" si="1"/>
        <v>124.32</v>
      </c>
      <c r="N1414" s="21"/>
      <c r="O1414" s="22"/>
      <c r="P1414" s="19" t="s">
        <v>3578</v>
      </c>
      <c r="Q1414" s="18"/>
      <c r="R1414" s="18"/>
      <c r="S1414" s="23">
        <v>2.0</v>
      </c>
      <c r="T1414" s="23">
        <v>7.0</v>
      </c>
      <c r="U1414" s="23">
        <f t="shared" si="2"/>
        <v>6.72</v>
      </c>
      <c r="V1414" s="23">
        <f t="shared" si="3"/>
        <v>2.45</v>
      </c>
      <c r="W1414" s="23">
        <f t="shared" si="4"/>
        <v>45.9375</v>
      </c>
      <c r="X1414" s="24">
        <f t="shared" si="5"/>
        <v>2.742857143</v>
      </c>
    </row>
    <row r="1415">
      <c r="A1415" s="15" t="s">
        <v>5924</v>
      </c>
      <c r="B1415" s="15" t="s">
        <v>5925</v>
      </c>
      <c r="C1415" s="16"/>
      <c r="D1415" s="15" t="s">
        <v>5926</v>
      </c>
      <c r="E1415" s="17" t="s">
        <v>5927</v>
      </c>
      <c r="F1415" s="18"/>
      <c r="G1415" s="18"/>
      <c r="H1415" s="15" t="s">
        <v>5928</v>
      </c>
      <c r="I1415" s="18"/>
      <c r="J1415" s="19" t="s">
        <v>59</v>
      </c>
      <c r="K1415" s="19" t="s">
        <v>402</v>
      </c>
      <c r="L1415" s="19" t="s">
        <v>38</v>
      </c>
      <c r="M1415" s="20">
        <f t="shared" si="1"/>
        <v>426.24</v>
      </c>
      <c r="N1415" s="30"/>
      <c r="O1415" s="31"/>
      <c r="P1415" s="19" t="s">
        <v>3578</v>
      </c>
      <c r="Q1415" s="18"/>
      <c r="R1415" s="18"/>
      <c r="S1415" s="23">
        <v>7.0</v>
      </c>
      <c r="T1415" s="23">
        <v>24.0</v>
      </c>
      <c r="U1415" s="23">
        <f t="shared" si="2"/>
        <v>23.04</v>
      </c>
      <c r="V1415" s="23">
        <f t="shared" si="3"/>
        <v>8.575</v>
      </c>
      <c r="W1415" s="23">
        <f t="shared" si="4"/>
        <v>160.78125</v>
      </c>
      <c r="X1415" s="24">
        <f t="shared" si="5"/>
        <v>2.686880466</v>
      </c>
    </row>
    <row r="1416">
      <c r="A1416" s="15" t="s">
        <v>5929</v>
      </c>
      <c r="B1416" s="15" t="s">
        <v>5930</v>
      </c>
      <c r="C1416" s="16"/>
      <c r="D1416" s="15" t="s">
        <v>5931</v>
      </c>
      <c r="E1416" s="17" t="s">
        <v>5932</v>
      </c>
      <c r="F1416" s="18"/>
      <c r="G1416" s="18"/>
      <c r="H1416" s="15" t="s">
        <v>5933</v>
      </c>
      <c r="I1416" s="18"/>
      <c r="J1416" s="19" t="s">
        <v>283</v>
      </c>
      <c r="K1416" s="19" t="s">
        <v>4972</v>
      </c>
      <c r="L1416" s="19" t="s">
        <v>135</v>
      </c>
      <c r="M1416" s="20">
        <f t="shared" si="1"/>
        <v>1225.44</v>
      </c>
      <c r="N1416" s="21"/>
      <c r="O1416" s="22"/>
      <c r="P1416" s="19" t="s">
        <v>3578</v>
      </c>
      <c r="Q1416" s="18"/>
      <c r="R1416" s="18"/>
      <c r="S1416" s="23">
        <v>20.5</v>
      </c>
      <c r="T1416" s="23">
        <v>69.0</v>
      </c>
      <c r="U1416" s="23">
        <f t="shared" si="2"/>
        <v>66.24</v>
      </c>
      <c r="V1416" s="23">
        <f t="shared" si="3"/>
        <v>25.1125</v>
      </c>
      <c r="W1416" s="23">
        <f t="shared" si="4"/>
        <v>470.859375</v>
      </c>
      <c r="X1416" s="24">
        <f t="shared" si="5"/>
        <v>2.637730214</v>
      </c>
    </row>
    <row r="1417">
      <c r="A1417" s="15" t="s">
        <v>5934</v>
      </c>
      <c r="B1417" s="15" t="s">
        <v>5935</v>
      </c>
      <c r="C1417" s="16" t="str">
        <f>IMAGE("https://i.ibb.co/rGnsXDpR/1815.png")</f>
        <v/>
      </c>
      <c r="D1417" s="15" t="s">
        <v>5936</v>
      </c>
      <c r="E1417" s="17" t="s">
        <v>5937</v>
      </c>
      <c r="F1417" s="18"/>
      <c r="G1417" s="18"/>
      <c r="H1417" s="15" t="s">
        <v>5938</v>
      </c>
      <c r="I1417" s="18"/>
      <c r="J1417" s="19" t="s">
        <v>283</v>
      </c>
      <c r="K1417" s="19" t="s">
        <v>4972</v>
      </c>
      <c r="L1417" s="19" t="s">
        <v>610</v>
      </c>
      <c r="M1417" s="20">
        <f t="shared" si="1"/>
        <v>177.6</v>
      </c>
      <c r="N1417" s="37" t="s">
        <v>79</v>
      </c>
      <c r="O1417" s="22"/>
      <c r="P1417" s="19" t="s">
        <v>3578</v>
      </c>
      <c r="Q1417" s="18"/>
      <c r="R1417" s="18"/>
      <c r="S1417" s="23">
        <v>3.2</v>
      </c>
      <c r="T1417" s="23">
        <v>10.0</v>
      </c>
      <c r="U1417" s="23">
        <f t="shared" si="2"/>
        <v>9.6</v>
      </c>
      <c r="V1417" s="23">
        <f t="shared" si="3"/>
        <v>3.92</v>
      </c>
      <c r="W1417" s="23">
        <f t="shared" si="4"/>
        <v>73.5</v>
      </c>
      <c r="X1417" s="24">
        <f t="shared" si="5"/>
        <v>2.448979592</v>
      </c>
    </row>
    <row r="1418">
      <c r="A1418" s="15" t="s">
        <v>5939</v>
      </c>
      <c r="B1418" s="15" t="s">
        <v>5940</v>
      </c>
      <c r="C1418" s="16"/>
      <c r="D1418" s="15" t="s">
        <v>5941</v>
      </c>
      <c r="E1418" s="17" t="s">
        <v>5942</v>
      </c>
      <c r="F1418" s="18"/>
      <c r="G1418" s="18"/>
      <c r="H1418" s="15" t="s">
        <v>5943</v>
      </c>
      <c r="I1418" s="18"/>
      <c r="J1418" s="19" t="s">
        <v>702</v>
      </c>
      <c r="K1418" s="19" t="s">
        <v>52</v>
      </c>
      <c r="L1418" s="19" t="s">
        <v>177</v>
      </c>
      <c r="M1418" s="20">
        <f t="shared" si="1"/>
        <v>4937.28</v>
      </c>
      <c r="N1418" s="30"/>
      <c r="O1418" s="31">
        <v>2.0</v>
      </c>
      <c r="P1418" s="19" t="s">
        <v>3578</v>
      </c>
      <c r="Q1418" s="18"/>
      <c r="R1418" s="18"/>
      <c r="S1418" s="23">
        <v>90.0</v>
      </c>
      <c r="T1418" s="23">
        <v>278.0</v>
      </c>
      <c r="U1418" s="23">
        <f t="shared" si="2"/>
        <v>266.88</v>
      </c>
      <c r="V1418" s="23">
        <f t="shared" si="3"/>
        <v>110.25</v>
      </c>
      <c r="W1418" s="23">
        <f t="shared" si="4"/>
        <v>2067.1875</v>
      </c>
      <c r="X1418" s="24">
        <f t="shared" si="5"/>
        <v>2.420680272</v>
      </c>
    </row>
    <row r="1419">
      <c r="A1419" s="15" t="s">
        <v>5944</v>
      </c>
      <c r="B1419" s="15" t="s">
        <v>5945</v>
      </c>
      <c r="C1419" s="16"/>
      <c r="D1419" s="15" t="s">
        <v>5946</v>
      </c>
      <c r="E1419" s="17" t="s">
        <v>5947</v>
      </c>
      <c r="F1419" s="18"/>
      <c r="G1419" s="18"/>
      <c r="H1419" s="15" t="s">
        <v>5948</v>
      </c>
      <c r="I1419" s="18"/>
      <c r="J1419" s="19" t="s">
        <v>283</v>
      </c>
      <c r="K1419" s="19" t="s">
        <v>4972</v>
      </c>
      <c r="L1419" s="19" t="s">
        <v>177</v>
      </c>
      <c r="M1419" s="20">
        <f t="shared" si="1"/>
        <v>355.2</v>
      </c>
      <c r="N1419" s="37" t="s">
        <v>79</v>
      </c>
      <c r="O1419" s="22"/>
      <c r="P1419" s="19" t="s">
        <v>3578</v>
      </c>
      <c r="Q1419" s="18"/>
      <c r="R1419" s="18"/>
      <c r="S1419" s="23">
        <v>6.8</v>
      </c>
      <c r="T1419" s="23">
        <v>20.0</v>
      </c>
      <c r="U1419" s="23">
        <f t="shared" si="2"/>
        <v>19.2</v>
      </c>
      <c r="V1419" s="23">
        <f t="shared" si="3"/>
        <v>8.33</v>
      </c>
      <c r="W1419" s="23">
        <f t="shared" si="4"/>
        <v>156.1875</v>
      </c>
      <c r="X1419" s="24">
        <f t="shared" si="5"/>
        <v>2.304921969</v>
      </c>
    </row>
    <row r="1420">
      <c r="A1420" s="15" t="s">
        <v>5949</v>
      </c>
      <c r="B1420" s="15" t="s">
        <v>5950</v>
      </c>
      <c r="C1420" s="16"/>
      <c r="D1420" s="15" t="s">
        <v>5951</v>
      </c>
      <c r="E1420" s="17" t="s">
        <v>5952</v>
      </c>
      <c r="F1420" s="18"/>
      <c r="G1420" s="18"/>
      <c r="H1420" s="15" t="s">
        <v>5953</v>
      </c>
      <c r="I1420" s="18"/>
      <c r="J1420" s="19" t="s">
        <v>283</v>
      </c>
      <c r="K1420" s="19" t="s">
        <v>4972</v>
      </c>
      <c r="L1420" s="19" t="s">
        <v>135</v>
      </c>
      <c r="M1420" s="20">
        <f t="shared" si="1"/>
        <v>337.44</v>
      </c>
      <c r="N1420" s="37" t="s">
        <v>79</v>
      </c>
      <c r="O1420" s="22"/>
      <c r="P1420" s="19" t="s">
        <v>3578</v>
      </c>
      <c r="Q1420" s="18"/>
      <c r="R1420" s="18"/>
      <c r="S1420" s="23">
        <v>7.0</v>
      </c>
      <c r="T1420" s="23">
        <v>19.0</v>
      </c>
      <c r="U1420" s="23">
        <f t="shared" si="2"/>
        <v>18.24</v>
      </c>
      <c r="V1420" s="23">
        <f t="shared" si="3"/>
        <v>8.575</v>
      </c>
      <c r="W1420" s="23">
        <f t="shared" si="4"/>
        <v>160.78125</v>
      </c>
      <c r="X1420" s="24">
        <f t="shared" si="5"/>
        <v>2.127113703</v>
      </c>
    </row>
    <row r="1421">
      <c r="A1421" s="15" t="s">
        <v>5954</v>
      </c>
      <c r="B1421" s="35" t="s">
        <v>5955</v>
      </c>
      <c r="C1421" s="16"/>
      <c r="D1421" s="15" t="s">
        <v>5956</v>
      </c>
      <c r="E1421" s="17" t="s">
        <v>5957</v>
      </c>
      <c r="F1421" s="18"/>
      <c r="G1421" s="18"/>
      <c r="H1421" s="15" t="s">
        <v>5958</v>
      </c>
      <c r="I1421" s="18"/>
      <c r="J1421" s="19" t="s">
        <v>283</v>
      </c>
      <c r="K1421" s="19" t="s">
        <v>4972</v>
      </c>
      <c r="L1421" s="19" t="s">
        <v>135</v>
      </c>
      <c r="M1421" s="20">
        <f t="shared" si="1"/>
        <v>337.44</v>
      </c>
      <c r="N1421" s="21"/>
      <c r="O1421" s="22"/>
      <c r="P1421" s="19" t="s">
        <v>3578</v>
      </c>
      <c r="Q1421" s="18"/>
      <c r="R1421" s="18"/>
      <c r="S1421" s="23">
        <v>7.0</v>
      </c>
      <c r="T1421" s="23">
        <v>19.0</v>
      </c>
      <c r="U1421" s="23">
        <f t="shared" si="2"/>
        <v>18.24</v>
      </c>
      <c r="V1421" s="23">
        <f t="shared" si="3"/>
        <v>8.575</v>
      </c>
      <c r="W1421" s="23">
        <f t="shared" si="4"/>
        <v>160.78125</v>
      </c>
      <c r="X1421" s="24">
        <f t="shared" si="5"/>
        <v>2.127113703</v>
      </c>
    </row>
    <row r="1422">
      <c r="A1422" s="15" t="s">
        <v>5959</v>
      </c>
      <c r="B1422" s="35" t="s">
        <v>5960</v>
      </c>
      <c r="C1422" s="16"/>
      <c r="D1422" s="15" t="s">
        <v>5961</v>
      </c>
      <c r="E1422" s="17" t="s">
        <v>5962</v>
      </c>
      <c r="F1422" s="18"/>
      <c r="G1422" s="18"/>
      <c r="H1422" s="15" t="s">
        <v>5963</v>
      </c>
      <c r="I1422" s="18"/>
      <c r="J1422" s="19" t="s">
        <v>283</v>
      </c>
      <c r="K1422" s="19" t="s">
        <v>4972</v>
      </c>
      <c r="L1422" s="19" t="s">
        <v>135</v>
      </c>
      <c r="M1422" s="20">
        <f t="shared" si="1"/>
        <v>337.44</v>
      </c>
      <c r="N1422" s="21"/>
      <c r="O1422" s="22"/>
      <c r="P1422" s="19" t="s">
        <v>3578</v>
      </c>
      <c r="Q1422" s="18"/>
      <c r="R1422" s="18"/>
      <c r="S1422" s="23">
        <v>7.0</v>
      </c>
      <c r="T1422" s="23">
        <v>19.0</v>
      </c>
      <c r="U1422" s="23">
        <f t="shared" si="2"/>
        <v>18.24</v>
      </c>
      <c r="V1422" s="23">
        <f t="shared" si="3"/>
        <v>8.575</v>
      </c>
      <c r="W1422" s="23">
        <f t="shared" si="4"/>
        <v>160.78125</v>
      </c>
      <c r="X1422" s="24">
        <f t="shared" si="5"/>
        <v>2.127113703</v>
      </c>
    </row>
    <row r="1423">
      <c r="A1423" s="15" t="s">
        <v>5964</v>
      </c>
      <c r="B1423" s="35" t="s">
        <v>5965</v>
      </c>
      <c r="C1423" s="16"/>
      <c r="D1423" s="15" t="s">
        <v>5966</v>
      </c>
      <c r="E1423" s="17" t="s">
        <v>5967</v>
      </c>
      <c r="F1423" s="18"/>
      <c r="G1423" s="18"/>
      <c r="H1423" s="15" t="s">
        <v>5968</v>
      </c>
      <c r="I1423" s="18"/>
      <c r="J1423" s="19" t="s">
        <v>283</v>
      </c>
      <c r="K1423" s="19" t="s">
        <v>4972</v>
      </c>
      <c r="L1423" s="19" t="s">
        <v>135</v>
      </c>
      <c r="M1423" s="20">
        <f t="shared" si="1"/>
        <v>337.44</v>
      </c>
      <c r="N1423" s="21"/>
      <c r="O1423" s="22"/>
      <c r="P1423" s="19" t="s">
        <v>3578</v>
      </c>
      <c r="Q1423" s="18"/>
      <c r="R1423" s="18"/>
      <c r="S1423" s="23">
        <v>7.0</v>
      </c>
      <c r="T1423" s="23">
        <v>19.0</v>
      </c>
      <c r="U1423" s="23">
        <f t="shared" si="2"/>
        <v>18.24</v>
      </c>
      <c r="V1423" s="23">
        <f t="shared" si="3"/>
        <v>8.575</v>
      </c>
      <c r="W1423" s="23">
        <f t="shared" si="4"/>
        <v>160.78125</v>
      </c>
      <c r="X1423" s="24">
        <f t="shared" si="5"/>
        <v>2.127113703</v>
      </c>
    </row>
    <row r="1424">
      <c r="A1424" s="15" t="s">
        <v>5969</v>
      </c>
      <c r="B1424" s="15" t="s">
        <v>5970</v>
      </c>
      <c r="C1424" s="16" t="str">
        <f>IMAGE("https://i.ibb.co/TDpdTmcw/1949.png")</f>
        <v/>
      </c>
      <c r="D1424" s="15" t="s">
        <v>5971</v>
      </c>
      <c r="E1424" s="17" t="s">
        <v>5972</v>
      </c>
      <c r="F1424" s="18"/>
      <c r="G1424" s="18"/>
      <c r="H1424" s="15" t="s">
        <v>5973</v>
      </c>
      <c r="I1424" s="15" t="s">
        <v>5974</v>
      </c>
      <c r="J1424" s="19" t="s">
        <v>702</v>
      </c>
      <c r="K1424" s="19" t="s">
        <v>52</v>
      </c>
      <c r="L1424" s="19" t="s">
        <v>52</v>
      </c>
      <c r="M1424" s="20">
        <f t="shared" si="1"/>
        <v>16907.52</v>
      </c>
      <c r="N1424" s="21"/>
      <c r="O1424" s="22"/>
      <c r="P1424" s="19" t="s">
        <v>3578</v>
      </c>
      <c r="Q1424" s="18"/>
      <c r="R1424" s="18"/>
      <c r="S1424" s="23">
        <v>364.0</v>
      </c>
      <c r="T1424" s="23">
        <v>952.0</v>
      </c>
      <c r="U1424" s="23">
        <f t="shared" si="2"/>
        <v>913.92</v>
      </c>
      <c r="V1424" s="23">
        <f t="shared" si="3"/>
        <v>445.9</v>
      </c>
      <c r="W1424" s="23">
        <f t="shared" si="4"/>
        <v>8360.625</v>
      </c>
      <c r="X1424" s="24">
        <f t="shared" si="5"/>
        <v>2.049607535</v>
      </c>
    </row>
    <row r="1425">
      <c r="A1425" s="15" t="s">
        <v>5975</v>
      </c>
      <c r="B1425" s="35" t="s">
        <v>5976</v>
      </c>
      <c r="C1425" s="55" t="s">
        <v>5977</v>
      </c>
      <c r="D1425" s="35" t="s">
        <v>5978</v>
      </c>
      <c r="E1425" s="35" t="s">
        <v>5979</v>
      </c>
      <c r="F1425" s="56"/>
      <c r="G1425" s="56"/>
      <c r="H1425" s="35" t="s">
        <v>5980</v>
      </c>
      <c r="I1425" s="56"/>
      <c r="J1425" s="57" t="s">
        <v>283</v>
      </c>
      <c r="K1425" s="58" t="s">
        <v>4972</v>
      </c>
      <c r="L1425" s="59" t="s">
        <v>38</v>
      </c>
      <c r="M1425" s="60">
        <f t="shared" si="1"/>
        <v>88.8</v>
      </c>
      <c r="N1425" s="21"/>
      <c r="O1425" s="22"/>
      <c r="P1425" s="61" t="s">
        <v>3578</v>
      </c>
      <c r="Q1425" s="56"/>
      <c r="R1425" s="56"/>
      <c r="S1425" s="62">
        <v>2.0</v>
      </c>
      <c r="T1425" s="63">
        <v>5.0</v>
      </c>
      <c r="U1425" s="62">
        <f t="shared" si="2"/>
        <v>4.8</v>
      </c>
      <c r="V1425" s="62">
        <f t="shared" si="3"/>
        <v>2.45</v>
      </c>
      <c r="W1425" s="62">
        <f t="shared" si="4"/>
        <v>45.9375</v>
      </c>
      <c r="X1425" s="24">
        <f t="shared" si="5"/>
        <v>1.959183673</v>
      </c>
    </row>
    <row r="1426">
      <c r="A1426" s="15" t="s">
        <v>5981</v>
      </c>
      <c r="B1426" s="35" t="s">
        <v>5982</v>
      </c>
      <c r="C1426" s="15" t="s">
        <v>5983</v>
      </c>
      <c r="D1426" s="15" t="s">
        <v>5984</v>
      </c>
      <c r="E1426" s="17" t="s">
        <v>5985</v>
      </c>
      <c r="F1426" s="18"/>
      <c r="G1426" s="18"/>
      <c r="H1426" s="15" t="s">
        <v>5986</v>
      </c>
      <c r="I1426" s="18"/>
      <c r="J1426" s="19" t="s">
        <v>283</v>
      </c>
      <c r="K1426" s="19" t="s">
        <v>4972</v>
      </c>
      <c r="L1426" s="19" t="s">
        <v>135</v>
      </c>
      <c r="M1426" s="20">
        <f t="shared" si="1"/>
        <v>337.44</v>
      </c>
      <c r="N1426" s="21"/>
      <c r="O1426" s="22"/>
      <c r="P1426" s="19" t="s">
        <v>3578</v>
      </c>
      <c r="Q1426" s="18"/>
      <c r="R1426" s="18"/>
      <c r="S1426" s="23">
        <v>24.0</v>
      </c>
      <c r="T1426" s="23">
        <v>19.0</v>
      </c>
      <c r="U1426" s="23">
        <f t="shared" si="2"/>
        <v>18.24</v>
      </c>
      <c r="V1426" s="23">
        <f t="shared" si="3"/>
        <v>29.4</v>
      </c>
      <c r="W1426" s="23">
        <f t="shared" si="4"/>
        <v>551.25</v>
      </c>
      <c r="X1426" s="24">
        <f t="shared" si="5"/>
        <v>0.6204081633</v>
      </c>
    </row>
    <row r="1427">
      <c r="A1427" s="15" t="s">
        <v>5987</v>
      </c>
      <c r="B1427" s="18" t="str">
        <f t="shared" ref="B1427:B1431" si="38">CONCATENATE(7504589, A1427)</f>
        <v>75045892586</v>
      </c>
      <c r="C1427" s="16"/>
      <c r="D1427" s="26"/>
      <c r="E1427" s="25" t="s">
        <v>5988</v>
      </c>
      <c r="F1427" s="26"/>
      <c r="G1427" s="26"/>
      <c r="H1427" s="26"/>
      <c r="I1427" s="26"/>
      <c r="J1427" s="54"/>
      <c r="K1427" s="54"/>
      <c r="L1427" s="54"/>
      <c r="M1427" s="20">
        <f t="shared" si="1"/>
        <v>0</v>
      </c>
      <c r="N1427" s="28"/>
      <c r="O1427" s="29"/>
      <c r="P1427" s="64"/>
      <c r="Q1427" s="26"/>
      <c r="R1427" s="26"/>
      <c r="S1427" s="23">
        <v>0.0</v>
      </c>
      <c r="T1427" s="23">
        <v>0.0</v>
      </c>
      <c r="U1427" s="23">
        <f t="shared" si="2"/>
        <v>0</v>
      </c>
      <c r="V1427" s="23">
        <f t="shared" si="3"/>
        <v>0</v>
      </c>
      <c r="W1427" s="23">
        <f t="shared" si="4"/>
        <v>0</v>
      </c>
      <c r="X1427" s="24" t="str">
        <f t="shared" si="5"/>
        <v>#DIV/0!</v>
      </c>
    </row>
    <row r="1428">
      <c r="A1428" s="15"/>
      <c r="B1428" s="18" t="str">
        <f t="shared" si="38"/>
        <v>7504589</v>
      </c>
      <c r="C1428" s="16" t="str">
        <f>IMAGE("https://i.ibb.co/9H2QpTmX/1834.png")</f>
        <v/>
      </c>
      <c r="D1428" s="26"/>
      <c r="E1428" s="26"/>
      <c r="F1428" s="26"/>
      <c r="G1428" s="26"/>
      <c r="H1428" s="26"/>
      <c r="I1428" s="26"/>
      <c r="J1428" s="54"/>
      <c r="K1428" s="54"/>
      <c r="L1428" s="54"/>
      <c r="M1428" s="20">
        <f t="shared" si="1"/>
        <v>0</v>
      </c>
      <c r="N1428" s="28"/>
      <c r="O1428" s="29"/>
      <c r="P1428" s="64"/>
      <c r="Q1428" s="26"/>
      <c r="R1428" s="26"/>
      <c r="S1428" s="23"/>
      <c r="T1428" s="23"/>
      <c r="U1428" s="23">
        <f t="shared" si="2"/>
        <v>0</v>
      </c>
      <c r="V1428" s="23">
        <f t="shared" si="3"/>
        <v>0</v>
      </c>
      <c r="W1428" s="23">
        <f t="shared" si="4"/>
        <v>0</v>
      </c>
      <c r="X1428" s="24" t="str">
        <f t="shared" si="5"/>
        <v>#DIV/0!</v>
      </c>
    </row>
    <row r="1429">
      <c r="A1429" s="15"/>
      <c r="B1429" s="18" t="str">
        <f t="shared" si="38"/>
        <v>7504589</v>
      </c>
      <c r="C1429" s="16" t="str">
        <f>IMAGE("https://i.ibb.co/Q3Bf0dCs/1916.png")</f>
        <v/>
      </c>
      <c r="D1429" s="26"/>
      <c r="E1429" s="26"/>
      <c r="F1429" s="26"/>
      <c r="G1429" s="26"/>
      <c r="H1429" s="26"/>
      <c r="I1429" s="26"/>
      <c r="J1429" s="54"/>
      <c r="K1429" s="54"/>
      <c r="L1429" s="54"/>
      <c r="M1429" s="20">
        <f t="shared" si="1"/>
        <v>0</v>
      </c>
      <c r="N1429" s="28"/>
      <c r="O1429" s="29"/>
      <c r="P1429" s="64"/>
      <c r="Q1429" s="26"/>
      <c r="R1429" s="26"/>
      <c r="S1429" s="23"/>
      <c r="T1429" s="23"/>
      <c r="U1429" s="23">
        <f t="shared" si="2"/>
        <v>0</v>
      </c>
      <c r="V1429" s="23">
        <f t="shared" si="3"/>
        <v>0</v>
      </c>
      <c r="W1429" s="23">
        <f t="shared" si="4"/>
        <v>0</v>
      </c>
      <c r="X1429" s="24" t="str">
        <f t="shared" si="5"/>
        <v>#DIV/0!</v>
      </c>
    </row>
    <row r="1430">
      <c r="A1430" s="15"/>
      <c r="B1430" s="18" t="str">
        <f t="shared" si="38"/>
        <v>7504589</v>
      </c>
      <c r="C1430" s="16" t="str">
        <f>IMAGE("https://i.ibb.co/YBT7R8hH/2456.png")</f>
        <v/>
      </c>
      <c r="D1430" s="26"/>
      <c r="E1430" s="26"/>
      <c r="F1430" s="26"/>
      <c r="G1430" s="26"/>
      <c r="H1430" s="26"/>
      <c r="I1430" s="26"/>
      <c r="J1430" s="54"/>
      <c r="K1430" s="54"/>
      <c r="L1430" s="54"/>
      <c r="M1430" s="20">
        <f t="shared" si="1"/>
        <v>0</v>
      </c>
      <c r="N1430" s="28"/>
      <c r="O1430" s="29"/>
      <c r="P1430" s="64"/>
      <c r="Q1430" s="26"/>
      <c r="R1430" s="26"/>
      <c r="S1430" s="23">
        <v>0.0</v>
      </c>
      <c r="T1430" s="23">
        <v>0.0</v>
      </c>
      <c r="U1430" s="23">
        <f t="shared" si="2"/>
        <v>0</v>
      </c>
      <c r="V1430" s="23">
        <f t="shared" si="3"/>
        <v>0</v>
      </c>
      <c r="W1430" s="23">
        <f t="shared" si="4"/>
        <v>0</v>
      </c>
      <c r="X1430" s="24" t="str">
        <f t="shared" si="5"/>
        <v>#DIV/0!</v>
      </c>
    </row>
    <row r="1431">
      <c r="A1431" s="15"/>
      <c r="B1431" s="18" t="str">
        <f t="shared" si="38"/>
        <v>7504589</v>
      </c>
      <c r="C1431" s="16"/>
      <c r="D1431" s="26"/>
      <c r="E1431" s="26"/>
      <c r="F1431" s="26"/>
      <c r="G1431" s="26"/>
      <c r="H1431" s="26"/>
      <c r="I1431" s="26"/>
      <c r="J1431" s="54"/>
      <c r="K1431" s="54"/>
      <c r="L1431" s="54"/>
      <c r="M1431" s="20">
        <f t="shared" si="1"/>
        <v>0</v>
      </c>
      <c r="N1431" s="28"/>
      <c r="O1431" s="29"/>
      <c r="P1431" s="64"/>
      <c r="Q1431" s="26"/>
      <c r="R1431" s="26"/>
      <c r="S1431" s="23">
        <v>0.0</v>
      </c>
      <c r="T1431" s="23">
        <v>0.0</v>
      </c>
      <c r="U1431" s="23">
        <f t="shared" si="2"/>
        <v>0</v>
      </c>
      <c r="V1431" s="23">
        <f t="shared" si="3"/>
        <v>0</v>
      </c>
      <c r="W1431" s="23">
        <f t="shared" si="4"/>
        <v>0</v>
      </c>
      <c r="X1431" s="24" t="str">
        <f t="shared" si="5"/>
        <v>#DIV/0!</v>
      </c>
    </row>
    <row r="1432">
      <c r="A1432" s="65" t="s">
        <v>5652</v>
      </c>
      <c r="B1432" s="66"/>
      <c r="C1432" s="66"/>
      <c r="D1432" s="66"/>
      <c r="E1432" s="66"/>
      <c r="F1432" s="66"/>
      <c r="G1432" s="66"/>
      <c r="H1432" s="66"/>
      <c r="I1432" s="66"/>
      <c r="J1432" s="66"/>
      <c r="K1432" s="66"/>
      <c r="L1432" s="66"/>
      <c r="M1432" s="20">
        <f>SUM(Inventory_tracker_6[$ Venta])</f>
        <v>900542.112</v>
      </c>
      <c r="N1432" s="67"/>
      <c r="O1432" s="66">
        <f>SUM(Inventory_tracker_6[Stock])</f>
        <v>1828</v>
      </c>
      <c r="P1432" s="66"/>
      <c r="Q1432" s="66"/>
      <c r="R1432" s="66"/>
      <c r="S1432" s="20">
        <f>SUM(Inventory_tracker_6[$ Venta])</f>
        <v>900542.112</v>
      </c>
      <c r="T1432" s="20">
        <f>SUM(Inventory_tracker_6[$ Venta])</f>
        <v>900542.112</v>
      </c>
      <c r="U1432" s="20">
        <f>SUM(Inventory_tracker_6[$ Venta])</f>
        <v>900542.112</v>
      </c>
      <c r="V1432" s="20">
        <f>SUM(Inventory_tracker_6[$ Venta])</f>
        <v>900542.112</v>
      </c>
      <c r="W1432" s="20">
        <f>SUM(Inventory_tracker_6[$ Venta])</f>
        <v>900542.112</v>
      </c>
      <c r="X1432" s="68"/>
    </row>
  </sheetData>
  <conditionalFormatting sqref="S4:X1431">
    <cfRule type="cellIs" dxfId="6" priority="1" operator="equal">
      <formula>0</formula>
    </cfRule>
  </conditionalFormatting>
  <dataValidations>
    <dataValidation type="list" allowBlank="1" sqref="L4:L1431">
      <formula1>"FILTROS,EMPAQUES,ENGRANES,BALEROS,VALVULAS,BOMBAS,ANILLOS METALICOS,CASQUILLOS,TUBOS,SIN ASIGNAR,TRANSMISIONES,PISTONES,RODILLOS,ACCESORIOS ,RELAYS,MOTORES,MEDIDORES,CABLES,VIBRADORES,LIMPIEZA"</formula1>
    </dataValidation>
    <dataValidation type="list" allowBlank="1" sqref="K4:K1431">
      <formula1>"BARRA V-ROCK,AGITADOR V-ROCK,FILTROS,TUBERIA ACERO,TUBERIA FLEXIBLE,REDUCTOR,HIDRAULICO,OTROS,SISTEMA DE BOMBEO,TANQUE DE AGUA,CANALONES Y TOLVAS,TOLVA,SIN ASIGNAR"</formula1>
    </dataValidation>
    <dataValidation type="custom" allowBlank="1" showDropDown="1" sqref="M4:M1431 O4:O1431 S4:W1431">
      <formula1>AND(ISNUMBER(M4),(NOT(OR(NOT(ISERROR(DATEVALUE(M4))), AND(ISNUMBER(M4), LEFT(CELL("format", M4))="D")))))</formula1>
    </dataValidation>
    <dataValidation allowBlank="1" showDropDown="1" sqref="A4:I1431 Q4:R1431"/>
    <dataValidation type="custom" allowBlank="1" showDropDown="1" sqref="X4:X1431">
      <formula1>AND(ISNUMBER(X4),(NOT(OR(NOT(ISERROR(DATEVALUE(X4))), AND(ISNUMBER(X4), LEFT(CELL("format", X4))="D")))))</formula1>
    </dataValidation>
    <dataValidation type="list" allowBlank="1" sqref="P4:P1431">
      <formula1>"In stock,No Available,To Re-purchase,Sold out,borrar,Falta Ubicar"</formula1>
    </dataValidation>
    <dataValidation type="list" allowBlank="1" sqref="J4:J1431">
      <formula1>"Olla Revolvedora,Sitrak,Schwing,Putzmeister,WAM,Tuberia,Otro,CIFA,TRITURADORAS,SANY"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0"/>
    <col customWidth="1" min="2" max="2" width="13.25"/>
    <col customWidth="1" min="3" max="3" width="13.38"/>
    <col customWidth="1" min="4" max="4" width="10.13"/>
    <col customWidth="1" min="5" max="5" width="10.38"/>
    <col customWidth="1" min="6" max="6" width="10.5"/>
    <col customWidth="1" min="7" max="8" width="9.13"/>
  </cols>
  <sheetData>
    <row r="1">
      <c r="A1" s="1"/>
      <c r="B1" s="3" t="s">
        <v>1</v>
      </c>
      <c r="C1" s="4">
        <v>18.5</v>
      </c>
      <c r="D1" s="6"/>
      <c r="E1" s="7"/>
      <c r="I1" s="7"/>
    </row>
    <row r="2">
      <c r="A2" s="2"/>
      <c r="B2" s="2"/>
      <c r="C2" s="2"/>
      <c r="D2" s="69" t="s">
        <v>5989</v>
      </c>
      <c r="F2" s="2"/>
    </row>
    <row r="3">
      <c r="A3" s="11" t="s">
        <v>11</v>
      </c>
      <c r="B3" s="11" t="s">
        <v>14</v>
      </c>
      <c r="C3" s="11" t="s">
        <v>16</v>
      </c>
      <c r="D3" s="11" t="s">
        <v>5990</v>
      </c>
      <c r="E3" s="11" t="s">
        <v>5991</v>
      </c>
      <c r="F3" s="11" t="s">
        <v>5992</v>
      </c>
    </row>
    <row r="4">
      <c r="A4" s="17" t="s">
        <v>999</v>
      </c>
      <c r="B4" s="15" t="s">
        <v>1001</v>
      </c>
      <c r="C4" s="19" t="s">
        <v>1002</v>
      </c>
      <c r="D4" s="20">
        <v>3907.2</v>
      </c>
      <c r="E4" s="23">
        <f t="shared" ref="E4:E189" si="1">D4/$C$1</f>
        <v>211.2</v>
      </c>
      <c r="F4" s="23">
        <v>220.0</v>
      </c>
    </row>
    <row r="5">
      <c r="A5" s="17" t="s">
        <v>469</v>
      </c>
      <c r="B5" s="15" t="s">
        <v>471</v>
      </c>
      <c r="C5" s="19" t="s">
        <v>283</v>
      </c>
      <c r="D5" s="20">
        <v>710.4</v>
      </c>
      <c r="E5" s="23">
        <f t="shared" si="1"/>
        <v>38.4</v>
      </c>
      <c r="F5" s="23">
        <v>40.0</v>
      </c>
    </row>
    <row r="6">
      <c r="A6" s="17" t="s">
        <v>407</v>
      </c>
      <c r="B6" s="15" t="s">
        <v>409</v>
      </c>
      <c r="C6" s="19" t="s">
        <v>283</v>
      </c>
      <c r="D6" s="20">
        <v>781.4399999999999</v>
      </c>
      <c r="E6" s="23">
        <f t="shared" si="1"/>
        <v>42.24</v>
      </c>
      <c r="F6" s="23">
        <v>44.0</v>
      </c>
    </row>
    <row r="7">
      <c r="A7" s="17" t="s">
        <v>280</v>
      </c>
      <c r="B7" s="15" t="s">
        <v>282</v>
      </c>
      <c r="C7" s="19" t="s">
        <v>283</v>
      </c>
      <c r="D7" s="20">
        <v>888.0</v>
      </c>
      <c r="E7" s="23">
        <f t="shared" si="1"/>
        <v>48</v>
      </c>
      <c r="F7" s="23">
        <v>50.0</v>
      </c>
    </row>
    <row r="8">
      <c r="A8" s="17" t="s">
        <v>518</v>
      </c>
      <c r="B8" s="15" t="s">
        <v>520</v>
      </c>
      <c r="C8" s="19" t="s">
        <v>283</v>
      </c>
      <c r="D8" s="20">
        <v>888.0</v>
      </c>
      <c r="E8" s="23">
        <f t="shared" si="1"/>
        <v>48</v>
      </c>
      <c r="F8" s="23">
        <v>50.0</v>
      </c>
    </row>
    <row r="9">
      <c r="A9" s="17" t="s">
        <v>589</v>
      </c>
      <c r="B9" s="15" t="s">
        <v>591</v>
      </c>
      <c r="C9" s="19" t="s">
        <v>283</v>
      </c>
      <c r="D9" s="20">
        <v>888.0</v>
      </c>
      <c r="E9" s="23">
        <f t="shared" si="1"/>
        <v>48</v>
      </c>
      <c r="F9" s="23">
        <v>50.0</v>
      </c>
    </row>
    <row r="10">
      <c r="A10" s="17" t="s">
        <v>578</v>
      </c>
      <c r="B10" s="15" t="s">
        <v>580</v>
      </c>
      <c r="C10" s="19" t="s">
        <v>283</v>
      </c>
      <c r="D10" s="20">
        <v>1012.3199999999999</v>
      </c>
      <c r="E10" s="23">
        <f t="shared" si="1"/>
        <v>54.72</v>
      </c>
      <c r="F10" s="23">
        <v>57.0</v>
      </c>
    </row>
    <row r="11">
      <c r="A11" s="17" t="s">
        <v>398</v>
      </c>
      <c r="B11" s="15" t="s">
        <v>400</v>
      </c>
      <c r="C11" s="19" t="s">
        <v>283</v>
      </c>
      <c r="D11" s="20">
        <v>10158.72</v>
      </c>
      <c r="E11" s="23">
        <f t="shared" si="1"/>
        <v>549.12</v>
      </c>
      <c r="F11" s="23">
        <v>572.0</v>
      </c>
    </row>
    <row r="12">
      <c r="A12" s="17" t="s">
        <v>989</v>
      </c>
      <c r="B12" s="15" t="s">
        <v>990</v>
      </c>
      <c r="C12" s="19" t="s">
        <v>283</v>
      </c>
      <c r="D12" s="20">
        <v>2610.7200000000003</v>
      </c>
      <c r="E12" s="23">
        <f t="shared" si="1"/>
        <v>141.12</v>
      </c>
      <c r="F12" s="23">
        <v>147.0</v>
      </c>
    </row>
    <row r="13">
      <c r="A13" s="17" t="s">
        <v>766</v>
      </c>
      <c r="B13" s="15" t="s">
        <v>768</v>
      </c>
      <c r="C13" s="19" t="s">
        <v>283</v>
      </c>
      <c r="D13" s="20">
        <v>41647.2</v>
      </c>
      <c r="E13" s="23">
        <f t="shared" si="1"/>
        <v>2251.2</v>
      </c>
      <c r="F13" s="23">
        <v>2345.0</v>
      </c>
    </row>
    <row r="14">
      <c r="A14" s="17" t="s">
        <v>624</v>
      </c>
      <c r="B14" s="15" t="s">
        <v>626</v>
      </c>
      <c r="C14" s="19" t="s">
        <v>283</v>
      </c>
      <c r="D14" s="20">
        <v>568.3199999999999</v>
      </c>
      <c r="E14" s="23">
        <f t="shared" si="1"/>
        <v>30.72</v>
      </c>
      <c r="F14" s="23">
        <v>32.0</v>
      </c>
    </row>
    <row r="15">
      <c r="A15" s="17" t="s">
        <v>1097</v>
      </c>
      <c r="B15" s="15" t="s">
        <v>1099</v>
      </c>
      <c r="C15" s="19" t="s">
        <v>283</v>
      </c>
      <c r="D15" s="20">
        <v>5434.5599999999995</v>
      </c>
      <c r="E15" s="23">
        <f t="shared" si="1"/>
        <v>293.76</v>
      </c>
      <c r="F15" s="23">
        <v>306.0</v>
      </c>
    </row>
    <row r="16">
      <c r="A16" s="17" t="s">
        <v>950</v>
      </c>
      <c r="B16" s="15" t="s">
        <v>952</v>
      </c>
      <c r="C16" s="19" t="s">
        <v>283</v>
      </c>
      <c r="D16" s="20">
        <v>5434.5599999999995</v>
      </c>
      <c r="E16" s="23">
        <f t="shared" si="1"/>
        <v>293.76</v>
      </c>
      <c r="F16" s="23">
        <v>306.0</v>
      </c>
    </row>
    <row r="17">
      <c r="A17" s="17" t="s">
        <v>437</v>
      </c>
      <c r="B17" s="15" t="s">
        <v>439</v>
      </c>
      <c r="C17" s="19" t="s">
        <v>283</v>
      </c>
      <c r="D17" s="20">
        <v>745.92</v>
      </c>
      <c r="E17" s="23">
        <f t="shared" si="1"/>
        <v>40.32</v>
      </c>
      <c r="F17" s="23">
        <v>42.0</v>
      </c>
    </row>
    <row r="18">
      <c r="A18" s="17" t="s">
        <v>630</v>
      </c>
      <c r="B18" s="15" t="s">
        <v>632</v>
      </c>
      <c r="C18" s="19" t="s">
        <v>283</v>
      </c>
      <c r="D18" s="20">
        <v>568.3199999999999</v>
      </c>
      <c r="E18" s="23">
        <f t="shared" si="1"/>
        <v>30.72</v>
      </c>
      <c r="F18" s="23">
        <v>32.0</v>
      </c>
    </row>
    <row r="19">
      <c r="A19" s="17" t="s">
        <v>600</v>
      </c>
      <c r="B19" s="15" t="s">
        <v>601</v>
      </c>
      <c r="C19" s="19" t="s">
        <v>602</v>
      </c>
      <c r="D19" s="20">
        <v>23088.0</v>
      </c>
      <c r="E19" s="23">
        <f t="shared" si="1"/>
        <v>1248</v>
      </c>
      <c r="F19" s="23">
        <v>1300.0</v>
      </c>
    </row>
    <row r="20">
      <c r="A20" s="17" t="s">
        <v>858</v>
      </c>
      <c r="B20" s="15" t="s">
        <v>859</v>
      </c>
      <c r="C20" s="19" t="s">
        <v>602</v>
      </c>
      <c r="D20" s="20">
        <v>2468.64</v>
      </c>
      <c r="E20" s="23">
        <f t="shared" si="1"/>
        <v>133.44</v>
      </c>
      <c r="F20" s="23">
        <v>139.0</v>
      </c>
    </row>
    <row r="21">
      <c r="A21" s="17" t="s">
        <v>1077</v>
      </c>
      <c r="B21" s="15" t="s">
        <v>1078</v>
      </c>
      <c r="C21" s="19" t="s">
        <v>36</v>
      </c>
      <c r="D21" s="20">
        <v>4138.08</v>
      </c>
      <c r="E21" s="23">
        <f t="shared" si="1"/>
        <v>223.68</v>
      </c>
      <c r="F21" s="23">
        <v>233.0</v>
      </c>
    </row>
    <row r="22">
      <c r="A22" s="17" t="s">
        <v>546</v>
      </c>
      <c r="B22" s="15" t="s">
        <v>548</v>
      </c>
      <c r="C22" s="19" t="s">
        <v>36</v>
      </c>
      <c r="D22" s="20">
        <v>1918.08</v>
      </c>
      <c r="E22" s="23">
        <f t="shared" si="1"/>
        <v>103.68</v>
      </c>
      <c r="F22" s="23">
        <v>108.0</v>
      </c>
    </row>
    <row r="23">
      <c r="A23" s="17" t="s">
        <v>565</v>
      </c>
      <c r="B23" s="15" t="s">
        <v>567</v>
      </c>
      <c r="C23" s="19" t="s">
        <v>36</v>
      </c>
      <c r="D23" s="20">
        <v>1243.2</v>
      </c>
      <c r="E23" s="23">
        <f t="shared" si="1"/>
        <v>67.2</v>
      </c>
      <c r="F23" s="23">
        <v>70.0</v>
      </c>
    </row>
    <row r="24">
      <c r="A24" s="17" t="s">
        <v>207</v>
      </c>
      <c r="B24" s="15" t="s">
        <v>209</v>
      </c>
      <c r="C24" s="19" t="s">
        <v>36</v>
      </c>
      <c r="D24" s="20">
        <v>532.8</v>
      </c>
      <c r="E24" s="23">
        <f t="shared" si="1"/>
        <v>28.8</v>
      </c>
      <c r="F24" s="23">
        <v>30.0</v>
      </c>
    </row>
    <row r="25">
      <c r="A25" s="17" t="s">
        <v>1082</v>
      </c>
      <c r="B25" s="15" t="s">
        <v>1083</v>
      </c>
      <c r="C25" s="19" t="s">
        <v>36</v>
      </c>
      <c r="D25" s="20">
        <v>4138.08</v>
      </c>
      <c r="E25" s="23">
        <f t="shared" si="1"/>
        <v>223.68</v>
      </c>
      <c r="F25" s="23">
        <v>233.0</v>
      </c>
    </row>
    <row r="26">
      <c r="A26" s="17" t="s">
        <v>614</v>
      </c>
      <c r="B26" s="15" t="s">
        <v>615</v>
      </c>
      <c r="C26" s="19" t="s">
        <v>36</v>
      </c>
      <c r="D26" s="20">
        <v>4937.28</v>
      </c>
      <c r="E26" s="23">
        <f t="shared" si="1"/>
        <v>266.88</v>
      </c>
      <c r="F26" s="23">
        <v>278.0</v>
      </c>
    </row>
    <row r="27">
      <c r="A27" s="17" t="s">
        <v>660</v>
      </c>
      <c r="B27" s="15" t="s">
        <v>661</v>
      </c>
      <c r="C27" s="19" t="s">
        <v>36</v>
      </c>
      <c r="D27" s="20">
        <v>5807.52</v>
      </c>
      <c r="E27" s="23">
        <f t="shared" si="1"/>
        <v>313.92</v>
      </c>
      <c r="F27" s="23">
        <v>327.0</v>
      </c>
    </row>
    <row r="28">
      <c r="A28" s="17" t="s">
        <v>727</v>
      </c>
      <c r="B28" s="15" t="s">
        <v>729</v>
      </c>
      <c r="C28" s="19" t="s">
        <v>36</v>
      </c>
      <c r="D28" s="20">
        <v>2930.4</v>
      </c>
      <c r="E28" s="23">
        <f t="shared" si="1"/>
        <v>158.4</v>
      </c>
      <c r="F28" s="23">
        <v>165.0</v>
      </c>
    </row>
    <row r="29">
      <c r="A29" s="17" t="s">
        <v>666</v>
      </c>
      <c r="B29" s="15" t="s">
        <v>667</v>
      </c>
      <c r="C29" s="19" t="s">
        <v>36</v>
      </c>
      <c r="D29" s="20">
        <v>16676.64</v>
      </c>
      <c r="E29" s="23">
        <f t="shared" si="1"/>
        <v>901.44</v>
      </c>
      <c r="F29" s="23">
        <v>939.0</v>
      </c>
    </row>
    <row r="30">
      <c r="A30" s="17" t="s">
        <v>733</v>
      </c>
      <c r="B30" s="15" t="s">
        <v>734</v>
      </c>
      <c r="C30" s="19" t="s">
        <v>36</v>
      </c>
      <c r="D30" s="20">
        <v>19145.28</v>
      </c>
      <c r="E30" s="23">
        <f t="shared" si="1"/>
        <v>1034.88</v>
      </c>
      <c r="F30" s="23">
        <v>1078.0</v>
      </c>
    </row>
    <row r="31">
      <c r="A31" s="17" t="s">
        <v>751</v>
      </c>
      <c r="B31" s="15" t="s">
        <v>753</v>
      </c>
      <c r="C31" s="19" t="s">
        <v>36</v>
      </c>
      <c r="D31" s="20">
        <v>4617.599999999999</v>
      </c>
      <c r="E31" s="23">
        <f t="shared" si="1"/>
        <v>249.6</v>
      </c>
      <c r="F31" s="23">
        <v>260.0</v>
      </c>
    </row>
    <row r="32">
      <c r="A32" s="17" t="s">
        <v>757</v>
      </c>
      <c r="B32" s="15" t="s">
        <v>753</v>
      </c>
      <c r="C32" s="19" t="s">
        <v>36</v>
      </c>
      <c r="D32" s="20">
        <v>3356.64</v>
      </c>
      <c r="E32" s="23">
        <f t="shared" si="1"/>
        <v>181.44</v>
      </c>
      <c r="F32" s="23">
        <v>189.0</v>
      </c>
    </row>
    <row r="33">
      <c r="A33" s="17" t="s">
        <v>317</v>
      </c>
      <c r="B33" s="15" t="s">
        <v>318</v>
      </c>
      <c r="C33" s="19" t="s">
        <v>36</v>
      </c>
      <c r="D33" s="20">
        <v>426.24</v>
      </c>
      <c r="E33" s="23">
        <f t="shared" si="1"/>
        <v>23.04</v>
      </c>
      <c r="F33" s="23">
        <v>24.0</v>
      </c>
    </row>
    <row r="34">
      <c r="A34" s="17" t="s">
        <v>459</v>
      </c>
      <c r="B34" s="15" t="s">
        <v>460</v>
      </c>
      <c r="C34" s="19" t="s">
        <v>36</v>
      </c>
      <c r="D34" s="20">
        <v>11437.44</v>
      </c>
      <c r="E34" s="23">
        <f t="shared" si="1"/>
        <v>618.24</v>
      </c>
      <c r="F34" s="23">
        <v>644.0</v>
      </c>
    </row>
    <row r="35">
      <c r="A35" s="17" t="s">
        <v>125</v>
      </c>
      <c r="B35" s="15" t="s">
        <v>127</v>
      </c>
      <c r="C35" s="19" t="s">
        <v>36</v>
      </c>
      <c r="D35" s="20">
        <v>3125.7599999999998</v>
      </c>
      <c r="E35" s="23">
        <f t="shared" si="1"/>
        <v>168.96</v>
      </c>
      <c r="F35" s="23">
        <v>176.0</v>
      </c>
    </row>
    <row r="36">
      <c r="A36" s="17" t="s">
        <v>174</v>
      </c>
      <c r="B36" s="15" t="s">
        <v>176</v>
      </c>
      <c r="C36" s="19" t="s">
        <v>36</v>
      </c>
      <c r="D36" s="20">
        <v>1740.48</v>
      </c>
      <c r="E36" s="23">
        <f t="shared" si="1"/>
        <v>94.08</v>
      </c>
      <c r="F36" s="23">
        <v>98.0</v>
      </c>
    </row>
    <row r="37">
      <c r="A37" s="17" t="s">
        <v>454</v>
      </c>
      <c r="B37" s="15" t="s">
        <v>455</v>
      </c>
      <c r="C37" s="19" t="s">
        <v>36</v>
      </c>
      <c r="D37" s="20">
        <v>8453.76</v>
      </c>
      <c r="E37" s="23">
        <f t="shared" si="1"/>
        <v>456.96</v>
      </c>
      <c r="F37" s="23">
        <v>476.0</v>
      </c>
    </row>
    <row r="38">
      <c r="A38" s="17" t="s">
        <v>425</v>
      </c>
      <c r="B38" s="15" t="s">
        <v>426</v>
      </c>
      <c r="C38" s="19" t="s">
        <v>36</v>
      </c>
      <c r="D38" s="20">
        <v>8205.119999999999</v>
      </c>
      <c r="E38" s="23">
        <f t="shared" si="1"/>
        <v>443.52</v>
      </c>
      <c r="F38" s="23">
        <v>462.0</v>
      </c>
    </row>
    <row r="39">
      <c r="A39" s="17" t="s">
        <v>323</v>
      </c>
      <c r="B39" s="15" t="s">
        <v>325</v>
      </c>
      <c r="C39" s="19" t="s">
        <v>36</v>
      </c>
      <c r="D39" s="20">
        <v>8453.76</v>
      </c>
      <c r="E39" s="23">
        <f t="shared" si="1"/>
        <v>456.96</v>
      </c>
      <c r="F39" s="23">
        <v>476.0</v>
      </c>
    </row>
    <row r="40">
      <c r="A40" s="17" t="s">
        <v>707</v>
      </c>
      <c r="B40" s="15" t="s">
        <v>709</v>
      </c>
      <c r="C40" s="19" t="s">
        <v>36</v>
      </c>
      <c r="D40" s="20">
        <v>177.6</v>
      </c>
      <c r="E40" s="23">
        <f t="shared" si="1"/>
        <v>9.6</v>
      </c>
      <c r="F40" s="23">
        <v>10.0</v>
      </c>
    </row>
    <row r="41">
      <c r="A41" s="17" t="s">
        <v>388</v>
      </c>
      <c r="B41" s="15" t="s">
        <v>389</v>
      </c>
      <c r="C41" s="19" t="s">
        <v>36</v>
      </c>
      <c r="D41" s="20">
        <v>9252.96</v>
      </c>
      <c r="E41" s="23">
        <f t="shared" si="1"/>
        <v>500.16</v>
      </c>
      <c r="F41" s="23">
        <v>521.0</v>
      </c>
    </row>
    <row r="42">
      <c r="A42" s="17" t="s">
        <v>335</v>
      </c>
      <c r="B42" s="15" t="s">
        <v>337</v>
      </c>
      <c r="C42" s="19" t="s">
        <v>36</v>
      </c>
      <c r="D42" s="20">
        <v>1260.96</v>
      </c>
      <c r="E42" s="23">
        <f t="shared" si="1"/>
        <v>68.16</v>
      </c>
      <c r="F42" s="23">
        <v>71.0</v>
      </c>
    </row>
    <row r="43">
      <c r="A43" s="17" t="s">
        <v>186</v>
      </c>
      <c r="B43" s="15" t="s">
        <v>187</v>
      </c>
      <c r="C43" s="19" t="s">
        <v>36</v>
      </c>
      <c r="D43" s="20">
        <v>3090.24</v>
      </c>
      <c r="E43" s="23">
        <f t="shared" si="1"/>
        <v>167.04</v>
      </c>
      <c r="F43" s="23">
        <v>174.0</v>
      </c>
    </row>
    <row r="44">
      <c r="A44" s="17" t="s">
        <v>226</v>
      </c>
      <c r="B44" s="15" t="s">
        <v>228</v>
      </c>
      <c r="C44" s="19" t="s">
        <v>36</v>
      </c>
      <c r="D44" s="20">
        <v>355.2</v>
      </c>
      <c r="E44" s="23">
        <f t="shared" si="1"/>
        <v>19.2</v>
      </c>
      <c r="F44" s="23">
        <v>20.0</v>
      </c>
    </row>
    <row r="45">
      <c r="A45" s="17" t="s">
        <v>1027</v>
      </c>
      <c r="B45" s="15" t="s">
        <v>1029</v>
      </c>
      <c r="C45" s="19" t="s">
        <v>36</v>
      </c>
      <c r="D45" s="20">
        <v>390.71999999999997</v>
      </c>
      <c r="E45" s="23">
        <f t="shared" si="1"/>
        <v>21.12</v>
      </c>
      <c r="F45" s="23">
        <v>22.0</v>
      </c>
    </row>
    <row r="46">
      <c r="A46" s="17" t="s">
        <v>682</v>
      </c>
      <c r="B46" s="15" t="s">
        <v>684</v>
      </c>
      <c r="C46" s="19" t="s">
        <v>36</v>
      </c>
      <c r="D46" s="20">
        <v>4475.5199999999995</v>
      </c>
      <c r="E46" s="23">
        <f t="shared" si="1"/>
        <v>241.92</v>
      </c>
      <c r="F46" s="23">
        <v>252.0</v>
      </c>
    </row>
    <row r="47">
      <c r="A47" s="17" t="s">
        <v>977</v>
      </c>
      <c r="B47" s="15" t="s">
        <v>979</v>
      </c>
      <c r="C47" s="19" t="s">
        <v>36</v>
      </c>
      <c r="D47" s="20">
        <v>2504.16</v>
      </c>
      <c r="E47" s="23">
        <f t="shared" si="1"/>
        <v>135.36</v>
      </c>
      <c r="F47" s="23">
        <v>141.0</v>
      </c>
    </row>
    <row r="48">
      <c r="A48" s="17" t="s">
        <v>745</v>
      </c>
      <c r="B48" s="15" t="s">
        <v>747</v>
      </c>
      <c r="C48" s="19" t="s">
        <v>36</v>
      </c>
      <c r="D48" s="20">
        <v>674.88</v>
      </c>
      <c r="E48" s="23">
        <f t="shared" si="1"/>
        <v>36.48</v>
      </c>
      <c r="F48" s="23">
        <v>38.0</v>
      </c>
    </row>
    <row r="49">
      <c r="A49" s="17" t="s">
        <v>1049</v>
      </c>
      <c r="B49" s="15" t="s">
        <v>1051</v>
      </c>
      <c r="C49" s="19" t="s">
        <v>36</v>
      </c>
      <c r="D49" s="20">
        <v>3427.68</v>
      </c>
      <c r="E49" s="23">
        <f t="shared" si="1"/>
        <v>185.28</v>
      </c>
      <c r="F49" s="23">
        <v>193.0</v>
      </c>
    </row>
    <row r="50">
      <c r="A50" s="17" t="s">
        <v>273</v>
      </c>
      <c r="B50" s="15" t="s">
        <v>274</v>
      </c>
      <c r="C50" s="19" t="s">
        <v>36</v>
      </c>
      <c r="D50" s="20">
        <v>17937.6</v>
      </c>
      <c r="E50" s="23">
        <f t="shared" si="1"/>
        <v>969.6</v>
      </c>
      <c r="F50" s="23">
        <v>1010.0</v>
      </c>
    </row>
    <row r="51">
      <c r="A51" s="17" t="s">
        <v>192</v>
      </c>
      <c r="B51" s="15" t="s">
        <v>193</v>
      </c>
      <c r="C51" s="19" t="s">
        <v>36</v>
      </c>
      <c r="D51" s="20">
        <v>5434.5599999999995</v>
      </c>
      <c r="E51" s="23">
        <f t="shared" si="1"/>
        <v>293.76</v>
      </c>
      <c r="F51" s="23">
        <v>306.0</v>
      </c>
    </row>
    <row r="52">
      <c r="A52" s="17" t="s">
        <v>192</v>
      </c>
      <c r="B52" s="15" t="s">
        <v>212</v>
      </c>
      <c r="C52" s="19" t="s">
        <v>36</v>
      </c>
      <c r="D52" s="20">
        <v>1154.3999999999999</v>
      </c>
      <c r="E52" s="23">
        <f t="shared" si="1"/>
        <v>62.4</v>
      </c>
      <c r="F52" s="23">
        <v>65.0</v>
      </c>
    </row>
    <row r="53">
      <c r="A53" s="17" t="s">
        <v>238</v>
      </c>
      <c r="B53" s="15" t="s">
        <v>240</v>
      </c>
      <c r="C53" s="19" t="s">
        <v>36</v>
      </c>
      <c r="D53" s="20">
        <v>6695.5199999999995</v>
      </c>
      <c r="E53" s="23">
        <f t="shared" si="1"/>
        <v>361.92</v>
      </c>
      <c r="F53" s="23">
        <v>377.0</v>
      </c>
    </row>
    <row r="54">
      <c r="A54" s="17" t="s">
        <v>245</v>
      </c>
      <c r="B54" s="15" t="s">
        <v>247</v>
      </c>
      <c r="C54" s="19" t="s">
        <v>36</v>
      </c>
      <c r="D54" s="20">
        <v>6695.5199999999995</v>
      </c>
      <c r="E54" s="23">
        <f t="shared" si="1"/>
        <v>361.92</v>
      </c>
      <c r="F54" s="23">
        <v>377.0</v>
      </c>
    </row>
    <row r="55">
      <c r="A55" s="17" t="s">
        <v>923</v>
      </c>
      <c r="B55" s="15" t="s">
        <v>924</v>
      </c>
      <c r="C55" s="19" t="s">
        <v>36</v>
      </c>
      <c r="D55" s="20">
        <v>4582.08</v>
      </c>
      <c r="E55" s="23">
        <f t="shared" si="1"/>
        <v>247.68</v>
      </c>
      <c r="F55" s="23">
        <v>258.0</v>
      </c>
    </row>
    <row r="56">
      <c r="A56" s="17" t="s">
        <v>311</v>
      </c>
      <c r="B56" s="15" t="s">
        <v>313</v>
      </c>
      <c r="C56" s="19" t="s">
        <v>36</v>
      </c>
      <c r="D56" s="20">
        <v>4582.08</v>
      </c>
      <c r="E56" s="23">
        <f t="shared" si="1"/>
        <v>247.68</v>
      </c>
      <c r="F56" s="23">
        <v>258.0</v>
      </c>
    </row>
    <row r="57">
      <c r="A57" s="17" t="s">
        <v>262</v>
      </c>
      <c r="B57" s="15" t="s">
        <v>263</v>
      </c>
      <c r="C57" s="19" t="s">
        <v>36</v>
      </c>
      <c r="D57" s="20">
        <v>1687.2</v>
      </c>
      <c r="E57" s="23">
        <f t="shared" si="1"/>
        <v>91.2</v>
      </c>
      <c r="F57" s="23">
        <v>95.0</v>
      </c>
    </row>
    <row r="58">
      <c r="A58" s="17" t="s">
        <v>346</v>
      </c>
      <c r="B58" s="15" t="s">
        <v>348</v>
      </c>
      <c r="C58" s="19" t="s">
        <v>36</v>
      </c>
      <c r="D58" s="20">
        <v>1651.68</v>
      </c>
      <c r="E58" s="23">
        <f t="shared" si="1"/>
        <v>89.28</v>
      </c>
      <c r="F58" s="23">
        <v>93.0</v>
      </c>
    </row>
    <row r="59">
      <c r="A59" s="17" t="s">
        <v>296</v>
      </c>
      <c r="B59" s="15" t="s">
        <v>297</v>
      </c>
      <c r="C59" s="19" t="s">
        <v>36</v>
      </c>
      <c r="D59" s="20">
        <v>1243.2</v>
      </c>
      <c r="E59" s="23">
        <f t="shared" si="1"/>
        <v>67.2</v>
      </c>
      <c r="F59" s="23">
        <v>70.0</v>
      </c>
    </row>
    <row r="60">
      <c r="A60" s="17" t="s">
        <v>131</v>
      </c>
      <c r="B60" s="15" t="s">
        <v>133</v>
      </c>
      <c r="C60" s="19" t="s">
        <v>36</v>
      </c>
      <c r="D60" s="20">
        <v>1651.68</v>
      </c>
      <c r="E60" s="23">
        <f t="shared" si="1"/>
        <v>89.28</v>
      </c>
      <c r="F60" s="23">
        <v>93.0</v>
      </c>
    </row>
    <row r="61">
      <c r="A61" s="17" t="s">
        <v>816</v>
      </c>
      <c r="B61" s="15" t="s">
        <v>818</v>
      </c>
      <c r="C61" s="19" t="s">
        <v>36</v>
      </c>
      <c r="D61" s="20">
        <v>923.52</v>
      </c>
      <c r="E61" s="23">
        <f t="shared" si="1"/>
        <v>49.92</v>
      </c>
      <c r="F61" s="23">
        <v>52.0</v>
      </c>
    </row>
    <row r="62">
      <c r="A62" s="17" t="s">
        <v>607</v>
      </c>
      <c r="B62" s="15" t="s">
        <v>609</v>
      </c>
      <c r="C62" s="19" t="s">
        <v>36</v>
      </c>
      <c r="D62" s="20">
        <v>1154.3999999999999</v>
      </c>
      <c r="E62" s="23">
        <f t="shared" si="1"/>
        <v>62.4</v>
      </c>
      <c r="F62" s="23">
        <v>65.0</v>
      </c>
    </row>
    <row r="63">
      <c r="A63" s="17" t="s">
        <v>267</v>
      </c>
      <c r="B63" s="15" t="s">
        <v>268</v>
      </c>
      <c r="C63" s="19" t="s">
        <v>36</v>
      </c>
      <c r="D63" s="20">
        <v>15309.119999999999</v>
      </c>
      <c r="E63" s="23">
        <f t="shared" si="1"/>
        <v>827.52</v>
      </c>
      <c r="F63" s="23">
        <v>862.0</v>
      </c>
    </row>
    <row r="64">
      <c r="A64" s="17" t="s">
        <v>506</v>
      </c>
      <c r="B64" s="15" t="s">
        <v>508</v>
      </c>
      <c r="C64" s="19" t="s">
        <v>36</v>
      </c>
      <c r="D64" s="20">
        <v>8631.36</v>
      </c>
      <c r="E64" s="23">
        <f t="shared" si="1"/>
        <v>466.56</v>
      </c>
      <c r="F64" s="23">
        <v>486.0</v>
      </c>
    </row>
    <row r="65">
      <c r="A65" s="17" t="s">
        <v>449</v>
      </c>
      <c r="B65" s="15" t="s">
        <v>450</v>
      </c>
      <c r="C65" s="19" t="s">
        <v>36</v>
      </c>
      <c r="D65" s="20">
        <v>7920.959999999999</v>
      </c>
      <c r="E65" s="23">
        <f t="shared" si="1"/>
        <v>428.16</v>
      </c>
      <c r="F65" s="23">
        <v>446.0</v>
      </c>
    </row>
    <row r="66">
      <c r="A66" s="17" t="s">
        <v>487</v>
      </c>
      <c r="B66" s="15" t="s">
        <v>489</v>
      </c>
      <c r="C66" s="19" t="s">
        <v>36</v>
      </c>
      <c r="D66" s="20">
        <v>6695.5199999999995</v>
      </c>
      <c r="E66" s="23">
        <f t="shared" si="1"/>
        <v>361.92</v>
      </c>
      <c r="F66" s="23">
        <v>377.0</v>
      </c>
    </row>
    <row r="67">
      <c r="A67" s="17" t="s">
        <v>360</v>
      </c>
      <c r="B67" s="15" t="s">
        <v>362</v>
      </c>
      <c r="C67" s="19" t="s">
        <v>36</v>
      </c>
      <c r="D67" s="20">
        <v>7743.36</v>
      </c>
      <c r="E67" s="23">
        <f t="shared" si="1"/>
        <v>418.56</v>
      </c>
      <c r="F67" s="23">
        <v>436.0</v>
      </c>
    </row>
    <row r="68">
      <c r="A68" s="17" t="s">
        <v>289</v>
      </c>
      <c r="B68" s="15" t="s">
        <v>291</v>
      </c>
      <c r="C68" s="19" t="s">
        <v>36</v>
      </c>
      <c r="D68" s="20">
        <v>1172.16</v>
      </c>
      <c r="E68" s="23">
        <f t="shared" si="1"/>
        <v>63.36</v>
      </c>
      <c r="F68" s="23">
        <v>66.0</v>
      </c>
    </row>
    <row r="69">
      <c r="A69" s="17" t="s">
        <v>773</v>
      </c>
      <c r="B69" s="15" t="s">
        <v>774</v>
      </c>
      <c r="C69" s="19" t="s">
        <v>36</v>
      </c>
      <c r="D69" s="20">
        <v>1420.8</v>
      </c>
      <c r="E69" s="23">
        <f t="shared" si="1"/>
        <v>76.8</v>
      </c>
      <c r="F69" s="23">
        <v>80.0</v>
      </c>
    </row>
    <row r="70">
      <c r="A70" s="17" t="s">
        <v>1126</v>
      </c>
      <c r="B70" s="15" t="s">
        <v>1127</v>
      </c>
      <c r="C70" s="19" t="s">
        <v>36</v>
      </c>
      <c r="D70" s="20">
        <v>923.52</v>
      </c>
      <c r="E70" s="23">
        <f t="shared" si="1"/>
        <v>49.92</v>
      </c>
      <c r="F70" s="23">
        <v>52.0</v>
      </c>
    </row>
    <row r="71">
      <c r="A71" s="17" t="s">
        <v>475</v>
      </c>
      <c r="B71" s="15" t="s">
        <v>477</v>
      </c>
      <c r="C71" s="19" t="s">
        <v>36</v>
      </c>
      <c r="D71" s="20">
        <v>355.2</v>
      </c>
      <c r="E71" s="23">
        <f t="shared" si="1"/>
        <v>19.2</v>
      </c>
      <c r="F71" s="23">
        <v>20.0</v>
      </c>
    </row>
    <row r="72">
      <c r="A72" s="17" t="s">
        <v>355</v>
      </c>
      <c r="B72" s="15" t="s">
        <v>356</v>
      </c>
      <c r="C72" s="19" t="s">
        <v>36</v>
      </c>
      <c r="D72" s="20">
        <v>4759.679999999999</v>
      </c>
      <c r="E72" s="23">
        <f t="shared" si="1"/>
        <v>257.28</v>
      </c>
      <c r="F72" s="23">
        <v>268.0</v>
      </c>
    </row>
    <row r="73">
      <c r="A73" s="17" t="s">
        <v>800</v>
      </c>
      <c r="B73" s="15" t="s">
        <v>801</v>
      </c>
      <c r="C73" s="19" t="s">
        <v>36</v>
      </c>
      <c r="D73" s="20">
        <v>1172.16</v>
      </c>
      <c r="E73" s="23">
        <f t="shared" si="1"/>
        <v>63.36</v>
      </c>
      <c r="F73" s="23">
        <v>66.0</v>
      </c>
    </row>
    <row r="74">
      <c r="A74" s="17" t="s">
        <v>552</v>
      </c>
      <c r="B74" s="15" t="s">
        <v>553</v>
      </c>
      <c r="C74" s="19" t="s">
        <v>36</v>
      </c>
      <c r="D74" s="20">
        <v>1598.3999999999999</v>
      </c>
      <c r="E74" s="23">
        <f t="shared" si="1"/>
        <v>86.4</v>
      </c>
      <c r="F74" s="23">
        <v>90.0</v>
      </c>
    </row>
    <row r="75">
      <c r="A75" s="17" t="s">
        <v>560</v>
      </c>
      <c r="B75" s="15" t="s">
        <v>561</v>
      </c>
      <c r="C75" s="19" t="s">
        <v>36</v>
      </c>
      <c r="D75" s="20">
        <v>2504.16</v>
      </c>
      <c r="E75" s="23">
        <f t="shared" si="1"/>
        <v>135.36</v>
      </c>
      <c r="F75" s="23">
        <v>141.0</v>
      </c>
    </row>
    <row r="76">
      <c r="A76" s="17" t="s">
        <v>695</v>
      </c>
      <c r="B76" s="15" t="s">
        <v>696</v>
      </c>
      <c r="C76" s="19" t="s">
        <v>36</v>
      </c>
      <c r="D76" s="20">
        <v>3214.56</v>
      </c>
      <c r="E76" s="23">
        <f t="shared" si="1"/>
        <v>173.76</v>
      </c>
      <c r="F76" s="23">
        <v>181.0</v>
      </c>
    </row>
    <row r="77">
      <c r="A77" s="17" t="s">
        <v>1107</v>
      </c>
      <c r="B77" s="15" t="s">
        <v>1109</v>
      </c>
      <c r="C77" s="19" t="s">
        <v>36</v>
      </c>
      <c r="D77" s="20">
        <v>3853.92</v>
      </c>
      <c r="E77" s="23">
        <f t="shared" si="1"/>
        <v>208.32</v>
      </c>
      <c r="F77" s="23">
        <v>217.0</v>
      </c>
    </row>
    <row r="78">
      <c r="A78" s="17" t="s">
        <v>1087</v>
      </c>
      <c r="B78" s="15" t="s">
        <v>1088</v>
      </c>
      <c r="C78" s="19" t="s">
        <v>36</v>
      </c>
      <c r="D78" s="20">
        <v>27385.92</v>
      </c>
      <c r="E78" s="23">
        <f t="shared" si="1"/>
        <v>1480.32</v>
      </c>
      <c r="F78" s="23">
        <v>1542.0</v>
      </c>
    </row>
    <row r="79">
      <c r="A79" s="17" t="s">
        <v>372</v>
      </c>
      <c r="B79" s="15" t="s">
        <v>373</v>
      </c>
      <c r="C79" s="19" t="s">
        <v>36</v>
      </c>
      <c r="D79" s="20">
        <v>42197.76</v>
      </c>
      <c r="E79" s="23">
        <f t="shared" si="1"/>
        <v>2280.96</v>
      </c>
      <c r="F79" s="23">
        <v>2376.0</v>
      </c>
    </row>
    <row r="80">
      <c r="A80" s="17" t="s">
        <v>464</v>
      </c>
      <c r="B80" s="15" t="s">
        <v>465</v>
      </c>
      <c r="C80" s="19" t="s">
        <v>36</v>
      </c>
      <c r="D80" s="20">
        <v>38681.28</v>
      </c>
      <c r="E80" s="23">
        <f t="shared" si="1"/>
        <v>2090.88</v>
      </c>
      <c r="F80" s="23">
        <v>2178.0</v>
      </c>
    </row>
    <row r="81">
      <c r="A81" s="17" t="s">
        <v>738</v>
      </c>
      <c r="B81" s="15" t="s">
        <v>740</v>
      </c>
      <c r="C81" s="19" t="s">
        <v>36</v>
      </c>
      <c r="D81" s="20">
        <v>1012.3199999999999</v>
      </c>
      <c r="E81" s="23">
        <f t="shared" si="1"/>
        <v>54.72</v>
      </c>
      <c r="F81" s="23">
        <v>57.0</v>
      </c>
    </row>
    <row r="82">
      <c r="A82" s="17" t="s">
        <v>139</v>
      </c>
      <c r="B82" s="15" t="s">
        <v>141</v>
      </c>
      <c r="C82" s="19" t="s">
        <v>36</v>
      </c>
      <c r="D82" s="20">
        <v>1651.68</v>
      </c>
      <c r="E82" s="23">
        <f t="shared" si="1"/>
        <v>89.28</v>
      </c>
      <c r="F82" s="23">
        <v>93.0</v>
      </c>
    </row>
    <row r="83">
      <c r="A83" s="17" t="s">
        <v>894</v>
      </c>
      <c r="B83" s="15" t="s">
        <v>895</v>
      </c>
      <c r="C83" s="19" t="s">
        <v>36</v>
      </c>
      <c r="D83" s="20">
        <v>10034.4</v>
      </c>
      <c r="E83" s="23">
        <f t="shared" si="1"/>
        <v>542.4</v>
      </c>
      <c r="F83" s="23">
        <v>565.0</v>
      </c>
    </row>
    <row r="84">
      <c r="A84" s="17" t="s">
        <v>93</v>
      </c>
      <c r="B84" s="15" t="s">
        <v>94</v>
      </c>
      <c r="C84" s="19" t="s">
        <v>59</v>
      </c>
      <c r="D84" s="20">
        <v>8968.8</v>
      </c>
      <c r="E84" s="23">
        <f t="shared" si="1"/>
        <v>484.8</v>
      </c>
      <c r="F84" s="23">
        <v>505.0</v>
      </c>
    </row>
    <row r="85">
      <c r="A85" s="17" t="s">
        <v>65</v>
      </c>
      <c r="B85" s="15" t="s">
        <v>67</v>
      </c>
      <c r="C85" s="19" t="s">
        <v>59</v>
      </c>
      <c r="D85" s="20">
        <v>7548.0</v>
      </c>
      <c r="E85" s="23">
        <f t="shared" si="1"/>
        <v>408</v>
      </c>
      <c r="F85" s="23">
        <v>425.0</v>
      </c>
    </row>
    <row r="86">
      <c r="A86" s="17" t="s">
        <v>98</v>
      </c>
      <c r="B86" s="15" t="s">
        <v>99</v>
      </c>
      <c r="C86" s="19" t="s">
        <v>59</v>
      </c>
      <c r="D86" s="20">
        <v>8968.8</v>
      </c>
      <c r="E86" s="23">
        <f t="shared" si="1"/>
        <v>484.8</v>
      </c>
      <c r="F86" s="23">
        <v>505.0</v>
      </c>
    </row>
    <row r="87">
      <c r="A87" s="17" t="s">
        <v>72</v>
      </c>
      <c r="B87" s="15" t="s">
        <v>74</v>
      </c>
      <c r="C87" s="19" t="s">
        <v>59</v>
      </c>
      <c r="D87" s="20">
        <v>7992.0</v>
      </c>
      <c r="E87" s="23">
        <f t="shared" si="1"/>
        <v>432</v>
      </c>
      <c r="F87" s="23">
        <v>450.0</v>
      </c>
    </row>
    <row r="88">
      <c r="A88" s="17" t="s">
        <v>88</v>
      </c>
      <c r="B88" s="15" t="s">
        <v>89</v>
      </c>
      <c r="C88" s="19" t="s">
        <v>59</v>
      </c>
      <c r="D88" s="20">
        <v>10727.04</v>
      </c>
      <c r="E88" s="23">
        <f t="shared" si="1"/>
        <v>579.84</v>
      </c>
      <c r="F88" s="23">
        <v>604.0</v>
      </c>
    </row>
    <row r="89">
      <c r="A89" s="17" t="s">
        <v>56</v>
      </c>
      <c r="B89" s="15" t="s">
        <v>58</v>
      </c>
      <c r="C89" s="19" t="s">
        <v>59</v>
      </c>
      <c r="D89" s="20">
        <v>8880.0</v>
      </c>
      <c r="E89" s="23">
        <f t="shared" si="1"/>
        <v>480</v>
      </c>
      <c r="F89" s="23">
        <v>500.0</v>
      </c>
    </row>
    <row r="90">
      <c r="A90" s="17" t="s">
        <v>77</v>
      </c>
      <c r="B90" s="15" t="s">
        <v>78</v>
      </c>
      <c r="C90" s="19" t="s">
        <v>59</v>
      </c>
      <c r="D90" s="20">
        <v>3818.4</v>
      </c>
      <c r="E90" s="23">
        <f t="shared" si="1"/>
        <v>206.4</v>
      </c>
      <c r="F90" s="23">
        <v>215.0</v>
      </c>
    </row>
    <row r="91">
      <c r="A91" s="17" t="s">
        <v>82</v>
      </c>
      <c r="B91" s="15" t="s">
        <v>83</v>
      </c>
      <c r="C91" s="19" t="s">
        <v>59</v>
      </c>
      <c r="D91" s="20">
        <v>2504.16</v>
      </c>
      <c r="E91" s="23">
        <f t="shared" si="1"/>
        <v>135.36</v>
      </c>
      <c r="F91" s="23">
        <v>141.0</v>
      </c>
    </row>
    <row r="92">
      <c r="A92" s="17" t="s">
        <v>5993</v>
      </c>
      <c r="B92" s="15" t="s">
        <v>899</v>
      </c>
      <c r="C92" s="19" t="s">
        <v>59</v>
      </c>
      <c r="D92" s="20">
        <v>710.4</v>
      </c>
      <c r="E92" s="23">
        <f t="shared" si="1"/>
        <v>38.4</v>
      </c>
      <c r="F92" s="23">
        <v>40.0</v>
      </c>
    </row>
    <row r="93">
      <c r="A93" s="17" t="s">
        <v>366</v>
      </c>
      <c r="B93" s="15" t="s">
        <v>367</v>
      </c>
      <c r="C93" s="19" t="s">
        <v>59</v>
      </c>
      <c r="D93" s="20">
        <v>745.92</v>
      </c>
      <c r="E93" s="23">
        <f t="shared" si="1"/>
        <v>40.32</v>
      </c>
      <c r="F93" s="23">
        <v>42.0</v>
      </c>
    </row>
    <row r="94">
      <c r="A94" s="17" t="s">
        <v>671</v>
      </c>
      <c r="B94" s="15" t="s">
        <v>672</v>
      </c>
      <c r="C94" s="19" t="s">
        <v>59</v>
      </c>
      <c r="D94" s="20">
        <v>1456.32</v>
      </c>
      <c r="E94" s="23">
        <f t="shared" si="1"/>
        <v>78.72</v>
      </c>
      <c r="F94" s="23">
        <v>82.0</v>
      </c>
    </row>
    <row r="95">
      <c r="A95" s="17" t="s">
        <v>874</v>
      </c>
      <c r="B95" s="15" t="s">
        <v>876</v>
      </c>
      <c r="C95" s="19" t="s">
        <v>59</v>
      </c>
      <c r="D95" s="20">
        <v>1243.2</v>
      </c>
      <c r="E95" s="23">
        <f t="shared" si="1"/>
        <v>67.2</v>
      </c>
      <c r="F95" s="23">
        <v>70.0</v>
      </c>
    </row>
    <row r="96">
      <c r="A96" s="17" t="s">
        <v>637</v>
      </c>
      <c r="B96" s="15" t="s">
        <v>638</v>
      </c>
      <c r="C96" s="19" t="s">
        <v>59</v>
      </c>
      <c r="D96" s="20">
        <v>745.92</v>
      </c>
      <c r="E96" s="23">
        <f t="shared" si="1"/>
        <v>40.32</v>
      </c>
      <c r="F96" s="23">
        <v>42.0</v>
      </c>
    </row>
    <row r="97">
      <c r="A97" s="17" t="s">
        <v>721</v>
      </c>
      <c r="B97" s="15" t="s">
        <v>723</v>
      </c>
      <c r="C97" s="19" t="s">
        <v>59</v>
      </c>
      <c r="D97" s="20">
        <v>2592.96</v>
      </c>
      <c r="E97" s="23">
        <f t="shared" si="1"/>
        <v>140.16</v>
      </c>
      <c r="F97" s="23">
        <v>146.0</v>
      </c>
    </row>
    <row r="98">
      <c r="A98" s="17" t="s">
        <v>822</v>
      </c>
      <c r="B98" s="15" t="s">
        <v>823</v>
      </c>
      <c r="C98" s="19" t="s">
        <v>59</v>
      </c>
      <c r="D98" s="20">
        <v>230.88</v>
      </c>
      <c r="E98" s="23">
        <f t="shared" si="1"/>
        <v>12.48</v>
      </c>
      <c r="F98" s="23">
        <v>13.0</v>
      </c>
    </row>
    <row r="99">
      <c r="A99" s="17" t="s">
        <v>761</v>
      </c>
      <c r="B99" s="15" t="s">
        <v>762</v>
      </c>
      <c r="C99" s="19" t="s">
        <v>59</v>
      </c>
      <c r="D99" s="20">
        <v>1172.16</v>
      </c>
      <c r="E99" s="23">
        <f t="shared" si="1"/>
        <v>63.36</v>
      </c>
      <c r="F99" s="23">
        <v>66.0</v>
      </c>
    </row>
    <row r="100">
      <c r="A100" s="17" t="s">
        <v>1139</v>
      </c>
      <c r="B100" s="15" t="s">
        <v>1140</v>
      </c>
      <c r="C100" s="19" t="s">
        <v>59</v>
      </c>
      <c r="D100" s="20">
        <v>177.6</v>
      </c>
      <c r="E100" s="23">
        <f t="shared" si="1"/>
        <v>9.6</v>
      </c>
      <c r="F100" s="23">
        <v>10.0</v>
      </c>
    </row>
    <row r="101">
      <c r="A101" s="17" t="s">
        <v>853</v>
      </c>
      <c r="B101" s="15" t="s">
        <v>854</v>
      </c>
      <c r="C101" s="19" t="s">
        <v>59</v>
      </c>
      <c r="D101" s="20">
        <v>3516.4799999999996</v>
      </c>
      <c r="E101" s="23">
        <f t="shared" si="1"/>
        <v>190.08</v>
      </c>
      <c r="F101" s="23">
        <v>198.0</v>
      </c>
    </row>
    <row r="102">
      <c r="A102" s="17" t="s">
        <v>1012</v>
      </c>
      <c r="B102" s="15" t="s">
        <v>1013</v>
      </c>
      <c r="C102" s="19" t="s">
        <v>59</v>
      </c>
      <c r="D102" s="20">
        <v>124.32</v>
      </c>
      <c r="E102" s="23">
        <f t="shared" si="1"/>
        <v>6.72</v>
      </c>
      <c r="F102" s="23">
        <v>7.0</v>
      </c>
    </row>
    <row r="103">
      <c r="A103" s="17" t="s">
        <v>904</v>
      </c>
      <c r="B103" s="15" t="s">
        <v>905</v>
      </c>
      <c r="C103" s="19" t="s">
        <v>59</v>
      </c>
      <c r="D103" s="20">
        <v>142.07999999999998</v>
      </c>
      <c r="E103" s="23">
        <f t="shared" si="1"/>
        <v>7.68</v>
      </c>
      <c r="F103" s="23">
        <v>8.0</v>
      </c>
    </row>
    <row r="104">
      <c r="A104" s="17" t="s">
        <v>789</v>
      </c>
      <c r="B104" s="15" t="s">
        <v>790</v>
      </c>
      <c r="C104" s="19" t="s">
        <v>59</v>
      </c>
      <c r="D104" s="20">
        <v>159.84</v>
      </c>
      <c r="E104" s="23">
        <f t="shared" si="1"/>
        <v>8.64</v>
      </c>
      <c r="F104" s="23">
        <v>9.0</v>
      </c>
    </row>
    <row r="105">
      <c r="A105" s="17" t="s">
        <v>648</v>
      </c>
      <c r="B105" s="15" t="s">
        <v>650</v>
      </c>
      <c r="C105" s="19" t="s">
        <v>59</v>
      </c>
      <c r="D105" s="20">
        <v>1669.4399999999998</v>
      </c>
      <c r="E105" s="23">
        <f t="shared" si="1"/>
        <v>90.24</v>
      </c>
      <c r="F105" s="23">
        <v>94.0</v>
      </c>
    </row>
    <row r="106">
      <c r="A106" s="17" t="s">
        <v>868</v>
      </c>
      <c r="B106" s="15" t="s">
        <v>870</v>
      </c>
      <c r="C106" s="19" t="s">
        <v>59</v>
      </c>
      <c r="D106" s="20">
        <v>515.04</v>
      </c>
      <c r="E106" s="23">
        <f t="shared" si="1"/>
        <v>27.84</v>
      </c>
      <c r="F106" s="23">
        <v>29.0</v>
      </c>
    </row>
    <row r="107">
      <c r="A107" s="17" t="s">
        <v>197</v>
      </c>
      <c r="B107" s="15" t="s">
        <v>199</v>
      </c>
      <c r="C107" s="19" t="s">
        <v>59</v>
      </c>
      <c r="D107" s="20">
        <v>532.8</v>
      </c>
      <c r="E107" s="23">
        <f t="shared" si="1"/>
        <v>28.8</v>
      </c>
      <c r="F107" s="23">
        <v>30.0</v>
      </c>
    </row>
    <row r="108">
      <c r="A108" s="17" t="s">
        <v>572</v>
      </c>
      <c r="B108" s="15" t="s">
        <v>574</v>
      </c>
      <c r="C108" s="19" t="s">
        <v>59</v>
      </c>
      <c r="D108" s="20">
        <v>355.2</v>
      </c>
      <c r="E108" s="23">
        <f t="shared" si="1"/>
        <v>19.2</v>
      </c>
      <c r="F108" s="23">
        <v>20.0</v>
      </c>
    </row>
    <row r="109">
      <c r="A109" s="17" t="s">
        <v>983</v>
      </c>
      <c r="B109" s="15" t="s">
        <v>985</v>
      </c>
      <c r="C109" s="19" t="s">
        <v>59</v>
      </c>
      <c r="D109" s="20">
        <v>4582.08</v>
      </c>
      <c r="E109" s="23">
        <f t="shared" si="1"/>
        <v>247.68</v>
      </c>
      <c r="F109" s="23">
        <v>258.0</v>
      </c>
    </row>
    <row r="110">
      <c r="A110" s="17" t="s">
        <v>1022</v>
      </c>
      <c r="B110" s="15" t="s">
        <v>1023</v>
      </c>
      <c r="C110" s="19" t="s">
        <v>59</v>
      </c>
      <c r="D110" s="20">
        <v>3392.16</v>
      </c>
      <c r="E110" s="23">
        <f t="shared" si="1"/>
        <v>183.36</v>
      </c>
      <c r="F110" s="23">
        <v>191.0</v>
      </c>
    </row>
    <row r="111">
      <c r="A111" s="17" t="s">
        <v>1060</v>
      </c>
      <c r="B111" s="15" t="s">
        <v>1062</v>
      </c>
      <c r="C111" s="19" t="s">
        <v>59</v>
      </c>
      <c r="D111" s="20">
        <v>2912.64</v>
      </c>
      <c r="E111" s="23">
        <f t="shared" si="1"/>
        <v>157.44</v>
      </c>
      <c r="F111" s="23">
        <v>164.0</v>
      </c>
    </row>
    <row r="112">
      <c r="A112" s="17" t="s">
        <v>909</v>
      </c>
      <c r="B112" s="15" t="s">
        <v>911</v>
      </c>
      <c r="C112" s="19" t="s">
        <v>59</v>
      </c>
      <c r="D112" s="20">
        <v>3907.2</v>
      </c>
      <c r="E112" s="23">
        <f t="shared" si="1"/>
        <v>211.2</v>
      </c>
      <c r="F112" s="23">
        <v>220.0</v>
      </c>
    </row>
    <row r="113">
      <c r="A113" s="17" t="s">
        <v>1038</v>
      </c>
      <c r="B113" s="15" t="s">
        <v>1040</v>
      </c>
      <c r="C113" s="19" t="s">
        <v>59</v>
      </c>
      <c r="D113" s="20">
        <v>3463.2</v>
      </c>
      <c r="E113" s="23">
        <f t="shared" si="1"/>
        <v>187.2</v>
      </c>
      <c r="F113" s="23">
        <v>195.0</v>
      </c>
    </row>
    <row r="114">
      <c r="A114" s="17" t="s">
        <v>535</v>
      </c>
      <c r="B114" s="15" t="s">
        <v>536</v>
      </c>
      <c r="C114" s="19" t="s">
        <v>59</v>
      </c>
      <c r="D114" s="20">
        <v>710.4</v>
      </c>
      <c r="E114" s="23">
        <f t="shared" si="1"/>
        <v>38.4</v>
      </c>
      <c r="F114" s="23">
        <v>40.0</v>
      </c>
    </row>
    <row r="115">
      <c r="A115" s="17" t="s">
        <v>145</v>
      </c>
      <c r="B115" s="15" t="s">
        <v>203</v>
      </c>
      <c r="C115" s="19" t="s">
        <v>59</v>
      </c>
      <c r="D115" s="20">
        <v>3747.36</v>
      </c>
      <c r="E115" s="23">
        <f t="shared" si="1"/>
        <v>202.56</v>
      </c>
      <c r="F115" s="23">
        <v>211.0</v>
      </c>
    </row>
    <row r="116">
      <c r="A116" s="17" t="s">
        <v>145</v>
      </c>
      <c r="B116" s="15" t="s">
        <v>231</v>
      </c>
      <c r="C116" s="19" t="s">
        <v>59</v>
      </c>
      <c r="D116" s="20">
        <v>2042.3999999999999</v>
      </c>
      <c r="E116" s="23">
        <f t="shared" si="1"/>
        <v>110.4</v>
      </c>
      <c r="F116" s="23">
        <v>115.0</v>
      </c>
    </row>
    <row r="117">
      <c r="A117" s="17" t="s">
        <v>145</v>
      </c>
      <c r="B117" s="15" t="s">
        <v>351</v>
      </c>
      <c r="C117" s="19" t="s">
        <v>59</v>
      </c>
      <c r="D117" s="20">
        <v>1633.9199999999998</v>
      </c>
      <c r="E117" s="23">
        <f t="shared" si="1"/>
        <v>88.32</v>
      </c>
      <c r="F117" s="23">
        <v>92.0</v>
      </c>
    </row>
    <row r="118">
      <c r="A118" s="17" t="s">
        <v>145</v>
      </c>
      <c r="B118" s="15" t="s">
        <v>146</v>
      </c>
      <c r="C118" s="19" t="s">
        <v>59</v>
      </c>
      <c r="D118" s="20">
        <v>6553.4400000000005</v>
      </c>
      <c r="E118" s="23">
        <f t="shared" si="1"/>
        <v>354.24</v>
      </c>
      <c r="F118" s="23">
        <v>369.0</v>
      </c>
    </row>
    <row r="119">
      <c r="A119" s="17" t="s">
        <v>145</v>
      </c>
      <c r="B119" s="15" t="s">
        <v>234</v>
      </c>
      <c r="C119" s="19" t="s">
        <v>59</v>
      </c>
      <c r="D119" s="20">
        <v>2042.3999999999999</v>
      </c>
      <c r="E119" s="23">
        <f t="shared" si="1"/>
        <v>110.4</v>
      </c>
      <c r="F119" s="23">
        <v>115.0</v>
      </c>
    </row>
    <row r="120">
      <c r="A120" s="17" t="s">
        <v>654</v>
      </c>
      <c r="B120" s="15" t="s">
        <v>656</v>
      </c>
      <c r="C120" s="19" t="s">
        <v>59</v>
      </c>
      <c r="D120" s="20">
        <v>3694.08</v>
      </c>
      <c r="E120" s="23">
        <f t="shared" si="1"/>
        <v>199.68</v>
      </c>
      <c r="F120" s="23">
        <v>208.0</v>
      </c>
    </row>
    <row r="121">
      <c r="A121" s="17" t="s">
        <v>257</v>
      </c>
      <c r="B121" s="15" t="s">
        <v>258</v>
      </c>
      <c r="C121" s="19" t="s">
        <v>59</v>
      </c>
      <c r="D121" s="20">
        <v>11988.0</v>
      </c>
      <c r="E121" s="23">
        <f t="shared" si="1"/>
        <v>648</v>
      </c>
      <c r="F121" s="23">
        <v>675.0</v>
      </c>
    </row>
    <row r="122">
      <c r="A122" s="17" t="s">
        <v>688</v>
      </c>
      <c r="B122" s="15" t="s">
        <v>690</v>
      </c>
      <c r="C122" s="19" t="s">
        <v>59</v>
      </c>
      <c r="D122" s="20">
        <v>10283.04</v>
      </c>
      <c r="E122" s="23">
        <f t="shared" si="1"/>
        <v>555.84</v>
      </c>
      <c r="F122" s="23">
        <v>579.0</v>
      </c>
    </row>
    <row r="123">
      <c r="A123" s="17" t="s">
        <v>934</v>
      </c>
      <c r="B123" s="15" t="s">
        <v>935</v>
      </c>
      <c r="C123" s="19" t="s">
        <v>59</v>
      </c>
      <c r="D123" s="20">
        <v>745.92</v>
      </c>
      <c r="E123" s="23">
        <f t="shared" si="1"/>
        <v>40.32</v>
      </c>
      <c r="F123" s="23">
        <v>42.0</v>
      </c>
    </row>
    <row r="124">
      <c r="A124" s="17" t="s">
        <v>444</v>
      </c>
      <c r="B124" s="15" t="s">
        <v>445</v>
      </c>
      <c r="C124" s="19" t="s">
        <v>59</v>
      </c>
      <c r="D124" s="20">
        <v>1243.2</v>
      </c>
      <c r="E124" s="23">
        <f t="shared" si="1"/>
        <v>67.2</v>
      </c>
      <c r="F124" s="23">
        <v>70.0</v>
      </c>
    </row>
    <row r="125">
      <c r="A125" s="17" t="s">
        <v>341</v>
      </c>
      <c r="B125" s="15" t="s">
        <v>342</v>
      </c>
      <c r="C125" s="19" t="s">
        <v>59</v>
      </c>
      <c r="D125" s="20">
        <v>1243.2</v>
      </c>
      <c r="E125" s="23">
        <f t="shared" si="1"/>
        <v>67.2</v>
      </c>
      <c r="F125" s="23">
        <v>70.0</v>
      </c>
    </row>
    <row r="126">
      <c r="A126" s="17" t="s">
        <v>619</v>
      </c>
      <c r="B126" s="15" t="s">
        <v>620</v>
      </c>
      <c r="C126" s="19" t="s">
        <v>59</v>
      </c>
      <c r="D126" s="20">
        <v>8453.76</v>
      </c>
      <c r="E126" s="23">
        <f t="shared" si="1"/>
        <v>456.96</v>
      </c>
      <c r="F126" s="23">
        <v>476.0</v>
      </c>
    </row>
    <row r="127">
      <c r="A127" s="17" t="s">
        <v>151</v>
      </c>
      <c r="B127" s="15" t="s">
        <v>152</v>
      </c>
      <c r="C127" s="19" t="s">
        <v>59</v>
      </c>
      <c r="D127" s="20">
        <v>88.8</v>
      </c>
      <c r="E127" s="23">
        <f t="shared" si="1"/>
        <v>4.8</v>
      </c>
      <c r="F127" s="23">
        <v>5.0</v>
      </c>
    </row>
    <row r="128">
      <c r="A128" s="17" t="s">
        <v>216</v>
      </c>
      <c r="B128" s="15" t="s">
        <v>217</v>
      </c>
      <c r="C128" s="19" t="s">
        <v>59</v>
      </c>
      <c r="D128" s="20">
        <v>53.28</v>
      </c>
      <c r="E128" s="23">
        <f t="shared" si="1"/>
        <v>2.88</v>
      </c>
      <c r="F128" s="23">
        <v>3.0</v>
      </c>
    </row>
    <row r="129">
      <c r="A129" s="17" t="s">
        <v>221</v>
      </c>
      <c r="B129" s="15" t="s">
        <v>222</v>
      </c>
      <c r="C129" s="19" t="s">
        <v>59</v>
      </c>
      <c r="D129" s="20">
        <v>53.28</v>
      </c>
      <c r="E129" s="23">
        <f t="shared" si="1"/>
        <v>2.88</v>
      </c>
      <c r="F129" s="23">
        <v>3.0</v>
      </c>
    </row>
    <row r="130">
      <c r="A130" s="17" t="s">
        <v>500</v>
      </c>
      <c r="B130" s="15" t="s">
        <v>502</v>
      </c>
      <c r="C130" s="19" t="s">
        <v>59</v>
      </c>
      <c r="D130" s="20">
        <v>692.64</v>
      </c>
      <c r="E130" s="23">
        <f t="shared" si="1"/>
        <v>37.44</v>
      </c>
      <c r="F130" s="23">
        <v>39.0</v>
      </c>
    </row>
    <row r="131">
      <c r="A131" s="17" t="s">
        <v>306</v>
      </c>
      <c r="B131" s="15" t="s">
        <v>307</v>
      </c>
      <c r="C131" s="19" t="s">
        <v>59</v>
      </c>
      <c r="D131" s="20">
        <v>1012.3199999999999</v>
      </c>
      <c r="E131" s="23">
        <f t="shared" si="1"/>
        <v>54.72</v>
      </c>
      <c r="F131" s="23">
        <v>57.0</v>
      </c>
    </row>
    <row r="132">
      <c r="A132" s="17" t="s">
        <v>584</v>
      </c>
      <c r="B132" s="15" t="s">
        <v>585</v>
      </c>
      <c r="C132" s="19" t="s">
        <v>59</v>
      </c>
      <c r="D132" s="20">
        <v>14492.16</v>
      </c>
      <c r="E132" s="23">
        <f t="shared" si="1"/>
        <v>783.36</v>
      </c>
      <c r="F132" s="23">
        <v>816.0</v>
      </c>
    </row>
    <row r="133">
      <c r="A133" s="17" t="s">
        <v>377</v>
      </c>
      <c r="B133" s="15" t="s">
        <v>378</v>
      </c>
      <c r="C133" s="19" t="s">
        <v>59</v>
      </c>
      <c r="D133" s="20">
        <v>444.0</v>
      </c>
      <c r="E133" s="23">
        <f t="shared" si="1"/>
        <v>24</v>
      </c>
      <c r="F133" s="23">
        <v>25.0</v>
      </c>
    </row>
    <row r="134">
      <c r="A134" s="17" t="s">
        <v>393</v>
      </c>
      <c r="B134" s="15" t="s">
        <v>5994</v>
      </c>
      <c r="C134" s="19" t="s">
        <v>59</v>
      </c>
      <c r="D134" s="20">
        <v>10478.4</v>
      </c>
      <c r="E134" s="23">
        <f t="shared" si="1"/>
        <v>566.4</v>
      </c>
      <c r="F134" s="23">
        <v>590.0</v>
      </c>
    </row>
    <row r="135">
      <c r="A135" s="17" t="s">
        <v>169</v>
      </c>
      <c r="B135" s="15" t="s">
        <v>170</v>
      </c>
      <c r="C135" s="19" t="s">
        <v>59</v>
      </c>
      <c r="D135" s="20">
        <v>5256.959999999999</v>
      </c>
      <c r="E135" s="23">
        <f t="shared" si="1"/>
        <v>284.16</v>
      </c>
      <c r="F135" s="23">
        <v>296.0</v>
      </c>
    </row>
    <row r="136">
      <c r="A136" s="17" t="s">
        <v>493</v>
      </c>
      <c r="B136" s="15" t="s">
        <v>495</v>
      </c>
      <c r="C136" s="19" t="s">
        <v>59</v>
      </c>
      <c r="D136" s="20">
        <v>2575.2</v>
      </c>
      <c r="E136" s="23">
        <f t="shared" si="1"/>
        <v>139.2</v>
      </c>
      <c r="F136" s="23">
        <v>145.0</v>
      </c>
    </row>
    <row r="137">
      <c r="A137" s="17" t="s">
        <v>524</v>
      </c>
      <c r="B137" s="15" t="s">
        <v>526</v>
      </c>
      <c r="C137" s="19" t="s">
        <v>59</v>
      </c>
      <c r="D137" s="20">
        <v>941.28</v>
      </c>
      <c r="E137" s="23">
        <f t="shared" si="1"/>
        <v>50.88</v>
      </c>
      <c r="F137" s="23">
        <v>53.0</v>
      </c>
    </row>
    <row r="138">
      <c r="A138" s="17" t="s">
        <v>530</v>
      </c>
      <c r="B138" s="15" t="s">
        <v>531</v>
      </c>
      <c r="C138" s="19" t="s">
        <v>59</v>
      </c>
      <c r="D138" s="20">
        <v>941.28</v>
      </c>
      <c r="E138" s="23">
        <f t="shared" si="1"/>
        <v>50.88</v>
      </c>
      <c r="F138" s="23">
        <v>53.0</v>
      </c>
    </row>
    <row r="139">
      <c r="A139" s="17" t="s">
        <v>1045</v>
      </c>
      <c r="B139" s="15" t="s">
        <v>1046</v>
      </c>
      <c r="C139" s="19" t="s">
        <v>59</v>
      </c>
      <c r="D139" s="20">
        <v>1154.3999999999999</v>
      </c>
      <c r="E139" s="23">
        <f t="shared" si="1"/>
        <v>62.4</v>
      </c>
      <c r="F139" s="23">
        <v>65.0</v>
      </c>
    </row>
    <row r="140">
      <c r="A140" s="17" t="s">
        <v>431</v>
      </c>
      <c r="B140" s="15" t="s">
        <v>433</v>
      </c>
      <c r="C140" s="19" t="s">
        <v>59</v>
      </c>
      <c r="D140" s="20">
        <v>1935.84</v>
      </c>
      <c r="E140" s="23">
        <f t="shared" si="1"/>
        <v>104.64</v>
      </c>
      <c r="F140" s="23">
        <v>109.0</v>
      </c>
    </row>
    <row r="141">
      <c r="A141" s="17" t="s">
        <v>805</v>
      </c>
      <c r="B141" s="15" t="s">
        <v>806</v>
      </c>
      <c r="C141" s="19" t="s">
        <v>59</v>
      </c>
      <c r="D141" s="20">
        <v>1562.8799999999999</v>
      </c>
      <c r="E141" s="23">
        <f t="shared" si="1"/>
        <v>84.48</v>
      </c>
      <c r="F141" s="23">
        <v>88.0</v>
      </c>
    </row>
    <row r="142">
      <c r="A142" s="17" t="s">
        <v>994</v>
      </c>
      <c r="B142" s="15" t="s">
        <v>995</v>
      </c>
      <c r="C142" s="19" t="s">
        <v>59</v>
      </c>
      <c r="D142" s="20">
        <v>888.0</v>
      </c>
      <c r="E142" s="23">
        <f t="shared" si="1"/>
        <v>48</v>
      </c>
      <c r="F142" s="23">
        <v>50.0</v>
      </c>
    </row>
    <row r="143">
      <c r="A143" s="17" t="s">
        <v>972</v>
      </c>
      <c r="B143" s="15" t="s">
        <v>973</v>
      </c>
      <c r="C143" s="19" t="s">
        <v>59</v>
      </c>
      <c r="D143" s="20">
        <v>13852.8</v>
      </c>
      <c r="E143" s="23">
        <f t="shared" si="1"/>
        <v>748.8</v>
      </c>
      <c r="F143" s="23">
        <v>780.0</v>
      </c>
    </row>
    <row r="144">
      <c r="A144" s="17" t="s">
        <v>301</v>
      </c>
      <c r="B144" s="15" t="s">
        <v>302</v>
      </c>
      <c r="C144" s="19" t="s">
        <v>59</v>
      </c>
      <c r="D144" s="20">
        <v>14580.96</v>
      </c>
      <c r="E144" s="23">
        <f t="shared" si="1"/>
        <v>788.16</v>
      </c>
      <c r="F144" s="23">
        <v>821.0</v>
      </c>
    </row>
    <row r="145">
      <c r="A145" s="17" t="s">
        <v>251</v>
      </c>
      <c r="B145" s="15" t="s">
        <v>253</v>
      </c>
      <c r="C145" s="19" t="s">
        <v>59</v>
      </c>
      <c r="D145" s="20">
        <v>2823.8399999999997</v>
      </c>
      <c r="E145" s="23">
        <f t="shared" si="1"/>
        <v>152.64</v>
      </c>
      <c r="F145" s="23">
        <v>159.0</v>
      </c>
    </row>
    <row r="146">
      <c r="A146" s="17" t="s">
        <v>945</v>
      </c>
      <c r="B146" s="15" t="s">
        <v>946</v>
      </c>
      <c r="C146" s="19" t="s">
        <v>59</v>
      </c>
      <c r="D146" s="20">
        <v>9306.24</v>
      </c>
      <c r="E146" s="23">
        <f t="shared" si="1"/>
        <v>503.04</v>
      </c>
      <c r="F146" s="23">
        <v>524.0</v>
      </c>
    </row>
    <row r="147">
      <c r="A147" s="17" t="s">
        <v>879</v>
      </c>
      <c r="B147" s="15" t="s">
        <v>880</v>
      </c>
      <c r="C147" s="19" t="s">
        <v>59</v>
      </c>
      <c r="D147" s="20">
        <v>4972.8</v>
      </c>
      <c r="E147" s="23">
        <f t="shared" si="1"/>
        <v>268.8</v>
      </c>
      <c r="F147" s="23">
        <v>280.0</v>
      </c>
    </row>
    <row r="148">
      <c r="A148" s="17" t="s">
        <v>883</v>
      </c>
      <c r="B148" s="15" t="s">
        <v>884</v>
      </c>
      <c r="C148" s="19" t="s">
        <v>59</v>
      </c>
      <c r="D148" s="20">
        <v>3285.6</v>
      </c>
      <c r="E148" s="23">
        <f t="shared" si="1"/>
        <v>177.6</v>
      </c>
      <c r="F148" s="23">
        <v>185.0</v>
      </c>
    </row>
    <row r="149">
      <c r="A149" s="17" t="s">
        <v>1133</v>
      </c>
      <c r="B149" s="15" t="s">
        <v>1134</v>
      </c>
      <c r="C149" s="19" t="s">
        <v>104</v>
      </c>
      <c r="D149" s="20">
        <v>1687.2</v>
      </c>
      <c r="E149" s="23">
        <f t="shared" si="1"/>
        <v>91.2</v>
      </c>
      <c r="F149" s="23">
        <v>95.0</v>
      </c>
    </row>
    <row r="150">
      <c r="A150" s="17" t="s">
        <v>1114</v>
      </c>
      <c r="B150" s="15" t="s">
        <v>1116</v>
      </c>
      <c r="C150" s="19" t="s">
        <v>104</v>
      </c>
      <c r="D150" s="20">
        <v>1154.3999999999999</v>
      </c>
      <c r="E150" s="23">
        <f t="shared" si="1"/>
        <v>62.4</v>
      </c>
      <c r="F150" s="23">
        <v>65.0</v>
      </c>
    </row>
    <row r="151">
      <c r="A151" s="17" t="s">
        <v>827</v>
      </c>
      <c r="B151" s="15" t="s">
        <v>830</v>
      </c>
      <c r="C151" s="19" t="s">
        <v>104</v>
      </c>
      <c r="D151" s="20">
        <v>53.28</v>
      </c>
      <c r="E151" s="23">
        <f t="shared" si="1"/>
        <v>2.88</v>
      </c>
      <c r="F151" s="23">
        <v>3.0</v>
      </c>
    </row>
    <row r="152">
      <c r="A152" s="17" t="s">
        <v>835</v>
      </c>
      <c r="B152" s="15" t="s">
        <v>838</v>
      </c>
      <c r="C152" s="19" t="s">
        <v>104</v>
      </c>
      <c r="D152" s="20">
        <v>53.28</v>
      </c>
      <c r="E152" s="23">
        <f t="shared" si="1"/>
        <v>2.88</v>
      </c>
      <c r="F152" s="23">
        <v>3.0</v>
      </c>
    </row>
    <row r="153">
      <c r="A153" s="17" t="s">
        <v>713</v>
      </c>
      <c r="B153" s="15" t="s">
        <v>716</v>
      </c>
      <c r="C153" s="19" t="s">
        <v>104</v>
      </c>
      <c r="D153" s="20">
        <v>12662.880000000001</v>
      </c>
      <c r="E153" s="23">
        <f t="shared" si="1"/>
        <v>684.48</v>
      </c>
      <c r="F153" s="23">
        <v>713.0</v>
      </c>
    </row>
    <row r="154">
      <c r="A154" s="17" t="s">
        <v>939</v>
      </c>
      <c r="B154" s="15" t="s">
        <v>942</v>
      </c>
      <c r="C154" s="19" t="s">
        <v>104</v>
      </c>
      <c r="D154" s="20">
        <v>8862.24</v>
      </c>
      <c r="E154" s="23">
        <f t="shared" si="1"/>
        <v>479.04</v>
      </c>
      <c r="F154" s="23">
        <v>499.0</v>
      </c>
    </row>
    <row r="155">
      <c r="A155" s="17" t="s">
        <v>1066</v>
      </c>
      <c r="B155" s="15" t="s">
        <v>1068</v>
      </c>
      <c r="C155" s="19" t="s">
        <v>104</v>
      </c>
      <c r="D155" s="20">
        <v>3782.8799999999997</v>
      </c>
      <c r="E155" s="23">
        <f t="shared" si="1"/>
        <v>204.48</v>
      </c>
      <c r="F155" s="23">
        <v>213.0</v>
      </c>
    </row>
    <row r="156">
      <c r="A156" s="17" t="s">
        <v>810</v>
      </c>
      <c r="B156" s="15" t="s">
        <v>812</v>
      </c>
      <c r="C156" s="19" t="s">
        <v>104</v>
      </c>
      <c r="D156" s="20">
        <v>1083.36</v>
      </c>
      <c r="E156" s="23">
        <f t="shared" si="1"/>
        <v>58.56</v>
      </c>
      <c r="F156" s="23">
        <v>61.0</v>
      </c>
    </row>
    <row r="157">
      <c r="A157" s="17" t="s">
        <v>847</v>
      </c>
      <c r="B157" s="15" t="s">
        <v>849</v>
      </c>
      <c r="C157" s="19" t="s">
        <v>104</v>
      </c>
      <c r="D157" s="20">
        <v>816.9599999999999</v>
      </c>
      <c r="E157" s="23">
        <f t="shared" si="1"/>
        <v>44.16</v>
      </c>
      <c r="F157" s="23">
        <v>46.0</v>
      </c>
    </row>
    <row r="158">
      <c r="A158" s="17" t="s">
        <v>676</v>
      </c>
      <c r="B158" s="15" t="s">
        <v>678</v>
      </c>
      <c r="C158" s="19" t="s">
        <v>104</v>
      </c>
      <c r="D158" s="20">
        <v>1225.4399999999998</v>
      </c>
      <c r="E158" s="23">
        <f t="shared" si="1"/>
        <v>66.24</v>
      </c>
      <c r="F158" s="23">
        <v>69.0</v>
      </c>
    </row>
    <row r="159">
      <c r="A159" s="17" t="s">
        <v>540</v>
      </c>
      <c r="B159" s="15" t="s">
        <v>542</v>
      </c>
      <c r="C159" s="19" t="s">
        <v>104</v>
      </c>
      <c r="D159" s="20">
        <v>1278.72</v>
      </c>
      <c r="E159" s="23">
        <f t="shared" si="1"/>
        <v>69.12</v>
      </c>
      <c r="F159" s="23">
        <v>72.0</v>
      </c>
    </row>
    <row r="160">
      <c r="A160" s="17" t="s">
        <v>163</v>
      </c>
      <c r="B160" s="15" t="s">
        <v>165</v>
      </c>
      <c r="C160" s="19" t="s">
        <v>104</v>
      </c>
      <c r="D160" s="20">
        <v>3711.8399999999997</v>
      </c>
      <c r="E160" s="23">
        <f t="shared" si="1"/>
        <v>200.64</v>
      </c>
      <c r="F160" s="23">
        <v>209.0</v>
      </c>
    </row>
    <row r="161">
      <c r="A161" s="17" t="s">
        <v>794</v>
      </c>
      <c r="B161" s="15" t="s">
        <v>796</v>
      </c>
      <c r="C161" s="19" t="s">
        <v>104</v>
      </c>
      <c r="D161" s="20">
        <v>1065.6</v>
      </c>
      <c r="E161" s="23">
        <f t="shared" si="1"/>
        <v>57.6</v>
      </c>
      <c r="F161" s="23">
        <v>60.0</v>
      </c>
    </row>
    <row r="162">
      <c r="A162" s="17" t="s">
        <v>595</v>
      </c>
      <c r="B162" s="15" t="s">
        <v>596</v>
      </c>
      <c r="C162" s="19" t="s">
        <v>104</v>
      </c>
      <c r="D162" s="20">
        <v>976.8</v>
      </c>
      <c r="E162" s="23">
        <f t="shared" si="1"/>
        <v>52.8</v>
      </c>
      <c r="F162" s="23">
        <v>55.0</v>
      </c>
    </row>
    <row r="163">
      <c r="A163" s="17" t="s">
        <v>481</v>
      </c>
      <c r="B163" s="15" t="s">
        <v>483</v>
      </c>
      <c r="C163" s="19" t="s">
        <v>104</v>
      </c>
      <c r="D163" s="20">
        <v>177.6</v>
      </c>
      <c r="E163" s="23">
        <f t="shared" si="1"/>
        <v>9.6</v>
      </c>
      <c r="F163" s="23">
        <v>10.0</v>
      </c>
    </row>
    <row r="164">
      <c r="A164" s="17" t="s">
        <v>642</v>
      </c>
      <c r="B164" s="15" t="s">
        <v>644</v>
      </c>
      <c r="C164" s="19" t="s">
        <v>104</v>
      </c>
      <c r="D164" s="20">
        <v>1864.8</v>
      </c>
      <c r="E164" s="23">
        <f t="shared" si="1"/>
        <v>100.8</v>
      </c>
      <c r="F164" s="23">
        <v>105.0</v>
      </c>
    </row>
    <row r="165">
      <c r="A165" s="17" t="s">
        <v>156</v>
      </c>
      <c r="B165" s="15" t="s">
        <v>158</v>
      </c>
      <c r="C165" s="19" t="s">
        <v>104</v>
      </c>
      <c r="D165" s="20">
        <v>444.0</v>
      </c>
      <c r="E165" s="23">
        <f t="shared" si="1"/>
        <v>24</v>
      </c>
      <c r="F165" s="23">
        <v>25.0</v>
      </c>
    </row>
    <row r="166">
      <c r="A166" s="17" t="s">
        <v>888</v>
      </c>
      <c r="B166" s="15" t="s">
        <v>890</v>
      </c>
      <c r="C166" s="19" t="s">
        <v>104</v>
      </c>
      <c r="D166" s="20">
        <v>2379.8399999999997</v>
      </c>
      <c r="E166" s="23">
        <f t="shared" si="1"/>
        <v>128.64</v>
      </c>
      <c r="F166" s="23">
        <v>134.0</v>
      </c>
    </row>
    <row r="167">
      <c r="A167" s="17" t="s">
        <v>915</v>
      </c>
      <c r="B167" s="15" t="s">
        <v>917</v>
      </c>
      <c r="C167" s="19" t="s">
        <v>104</v>
      </c>
      <c r="D167" s="20">
        <v>106.56</v>
      </c>
      <c r="E167" s="23">
        <f t="shared" si="1"/>
        <v>5.76</v>
      </c>
      <c r="F167" s="23">
        <v>6.0</v>
      </c>
    </row>
    <row r="168">
      <c r="A168" s="17" t="s">
        <v>512</v>
      </c>
      <c r="B168" s="15" t="s">
        <v>514</v>
      </c>
      <c r="C168" s="19" t="s">
        <v>104</v>
      </c>
      <c r="D168" s="20">
        <v>2788.32</v>
      </c>
      <c r="E168" s="23">
        <f t="shared" si="1"/>
        <v>150.72</v>
      </c>
      <c r="F168" s="23">
        <v>157.0</v>
      </c>
    </row>
    <row r="169">
      <c r="A169" s="17" t="s">
        <v>329</v>
      </c>
      <c r="B169" s="15" t="s">
        <v>331</v>
      </c>
      <c r="C169" s="19" t="s">
        <v>104</v>
      </c>
      <c r="D169" s="20">
        <v>3658.56</v>
      </c>
      <c r="E169" s="23">
        <f t="shared" si="1"/>
        <v>197.76</v>
      </c>
      <c r="F169" s="23">
        <v>206.0</v>
      </c>
    </row>
    <row r="170">
      <c r="A170" s="17" t="s">
        <v>382</v>
      </c>
      <c r="B170" s="15" t="s">
        <v>384</v>
      </c>
      <c r="C170" s="19" t="s">
        <v>104</v>
      </c>
      <c r="D170" s="20">
        <v>3338.8799999999997</v>
      </c>
      <c r="E170" s="23">
        <f t="shared" si="1"/>
        <v>180.48</v>
      </c>
      <c r="F170" s="23">
        <v>188.0</v>
      </c>
    </row>
    <row r="171">
      <c r="A171" s="17" t="s">
        <v>413</v>
      </c>
      <c r="B171" s="15" t="s">
        <v>415</v>
      </c>
      <c r="C171" s="19" t="s">
        <v>104</v>
      </c>
      <c r="D171" s="20">
        <v>3587.52</v>
      </c>
      <c r="E171" s="23">
        <f t="shared" si="1"/>
        <v>193.92</v>
      </c>
      <c r="F171" s="23">
        <v>202.0</v>
      </c>
    </row>
    <row r="172">
      <c r="A172" s="17" t="s">
        <v>181</v>
      </c>
      <c r="B172" s="15" t="s">
        <v>182</v>
      </c>
      <c r="C172" s="19" t="s">
        <v>104</v>
      </c>
      <c r="D172" s="20">
        <v>124.32</v>
      </c>
      <c r="E172" s="23">
        <f t="shared" si="1"/>
        <v>6.72</v>
      </c>
      <c r="F172" s="23">
        <v>7.0</v>
      </c>
    </row>
    <row r="173">
      <c r="A173" s="17" t="s">
        <v>419</v>
      </c>
      <c r="B173" s="15" t="s">
        <v>420</v>
      </c>
      <c r="C173" s="19" t="s">
        <v>104</v>
      </c>
      <c r="D173" s="20">
        <v>1918.08</v>
      </c>
      <c r="E173" s="23">
        <f t="shared" si="1"/>
        <v>103.68</v>
      </c>
      <c r="F173" s="23">
        <v>108.0</v>
      </c>
    </row>
    <row r="174">
      <c r="A174" s="17" t="s">
        <v>1006</v>
      </c>
      <c r="B174" s="15" t="s">
        <v>1008</v>
      </c>
      <c r="C174" s="19" t="s">
        <v>104</v>
      </c>
      <c r="D174" s="20">
        <v>3374.4</v>
      </c>
      <c r="E174" s="23">
        <f t="shared" si="1"/>
        <v>182.4</v>
      </c>
      <c r="F174" s="23">
        <v>190.0</v>
      </c>
    </row>
    <row r="175">
      <c r="A175" s="17" t="s">
        <v>842</v>
      </c>
      <c r="B175" s="15" t="s">
        <v>843</v>
      </c>
      <c r="C175" s="19" t="s">
        <v>702</v>
      </c>
      <c r="D175" s="20">
        <v>4884.0</v>
      </c>
      <c r="E175" s="23">
        <f t="shared" si="1"/>
        <v>264</v>
      </c>
      <c r="F175" s="23">
        <v>275.0</v>
      </c>
    </row>
    <row r="176">
      <c r="A176" s="17" t="s">
        <v>1017</v>
      </c>
      <c r="B176" s="15" t="s">
        <v>1018</v>
      </c>
      <c r="C176" s="19" t="s">
        <v>702</v>
      </c>
      <c r="D176" s="20">
        <v>5256.959999999999</v>
      </c>
      <c r="E176" s="23">
        <f t="shared" si="1"/>
        <v>284.16</v>
      </c>
      <c r="F176" s="23">
        <v>296.0</v>
      </c>
    </row>
    <row r="177">
      <c r="A177" s="17" t="s">
        <v>700</v>
      </c>
      <c r="B177" s="15" t="s">
        <v>701</v>
      </c>
      <c r="C177" s="19" t="s">
        <v>702</v>
      </c>
      <c r="D177" s="20">
        <v>3996.0</v>
      </c>
      <c r="E177" s="23">
        <f t="shared" si="1"/>
        <v>216</v>
      </c>
      <c r="F177" s="23">
        <v>225.0</v>
      </c>
    </row>
    <row r="178">
      <c r="A178" s="17" t="s">
        <v>784</v>
      </c>
      <c r="B178" s="15" t="s">
        <v>785</v>
      </c>
      <c r="C178" s="19" t="s">
        <v>702</v>
      </c>
      <c r="D178" s="20">
        <v>4440.0</v>
      </c>
      <c r="E178" s="23">
        <f t="shared" si="1"/>
        <v>240</v>
      </c>
      <c r="F178" s="23">
        <v>250.0</v>
      </c>
    </row>
    <row r="179">
      <c r="A179" s="17" t="s">
        <v>779</v>
      </c>
      <c r="B179" s="15" t="s">
        <v>780</v>
      </c>
      <c r="C179" s="19" t="s">
        <v>702</v>
      </c>
      <c r="D179" s="20">
        <v>4457.759999999999</v>
      </c>
      <c r="E179" s="23">
        <f t="shared" si="1"/>
        <v>240.96</v>
      </c>
      <c r="F179" s="23">
        <v>251.0</v>
      </c>
    </row>
    <row r="180">
      <c r="A180" s="17" t="s">
        <v>967</v>
      </c>
      <c r="B180" s="15" t="s">
        <v>968</v>
      </c>
      <c r="C180" s="19" t="s">
        <v>702</v>
      </c>
      <c r="D180" s="20">
        <v>4955.04</v>
      </c>
      <c r="E180" s="23">
        <f t="shared" si="1"/>
        <v>267.84</v>
      </c>
      <c r="F180" s="23">
        <v>279.0</v>
      </c>
    </row>
    <row r="181">
      <c r="A181" s="17" t="s">
        <v>957</v>
      </c>
      <c r="B181" s="15" t="s">
        <v>958</v>
      </c>
      <c r="C181" s="19" t="s">
        <v>702</v>
      </c>
      <c r="D181" s="20">
        <v>1651.68</v>
      </c>
      <c r="E181" s="23">
        <f t="shared" si="1"/>
        <v>89.28</v>
      </c>
      <c r="F181" s="23">
        <v>93.0</v>
      </c>
    </row>
    <row r="182">
      <c r="A182" s="17" t="s">
        <v>962</v>
      </c>
      <c r="B182" s="15" t="s">
        <v>963</v>
      </c>
      <c r="C182" s="19" t="s">
        <v>702</v>
      </c>
      <c r="D182" s="20">
        <v>1651.68</v>
      </c>
      <c r="E182" s="23">
        <f t="shared" si="1"/>
        <v>89.28</v>
      </c>
      <c r="F182" s="23">
        <v>93.0</v>
      </c>
    </row>
    <row r="183">
      <c r="A183" s="17" t="s">
        <v>1055</v>
      </c>
      <c r="B183" s="15" t="s">
        <v>1056</v>
      </c>
      <c r="C183" s="19" t="s">
        <v>702</v>
      </c>
      <c r="D183" s="20">
        <v>3356.64</v>
      </c>
      <c r="E183" s="23">
        <f t="shared" si="1"/>
        <v>181.44</v>
      </c>
      <c r="F183" s="23">
        <v>189.0</v>
      </c>
    </row>
    <row r="184">
      <c r="A184" s="17" t="s">
        <v>928</v>
      </c>
      <c r="B184" s="15" t="s">
        <v>929</v>
      </c>
      <c r="C184" s="19" t="s">
        <v>702</v>
      </c>
      <c r="D184" s="20">
        <v>692.64</v>
      </c>
      <c r="E184" s="23">
        <f t="shared" si="1"/>
        <v>37.44</v>
      </c>
      <c r="F184" s="23">
        <v>39.0</v>
      </c>
    </row>
    <row r="185">
      <c r="A185" s="17" t="s">
        <v>1072</v>
      </c>
      <c r="B185" s="15" t="s">
        <v>1073</v>
      </c>
      <c r="C185" s="19" t="s">
        <v>702</v>
      </c>
      <c r="D185" s="20">
        <v>5470.08</v>
      </c>
      <c r="E185" s="23">
        <f t="shared" si="1"/>
        <v>295.68</v>
      </c>
      <c r="F185" s="23">
        <v>308.0</v>
      </c>
    </row>
    <row r="186">
      <c r="A186" s="17" t="s">
        <v>1102</v>
      </c>
      <c r="B186" s="15" t="s">
        <v>1103</v>
      </c>
      <c r="C186" s="19" t="s">
        <v>702</v>
      </c>
      <c r="D186" s="20">
        <v>3356.64</v>
      </c>
      <c r="E186" s="23">
        <f t="shared" si="1"/>
        <v>181.44</v>
      </c>
      <c r="F186" s="23">
        <v>189.0</v>
      </c>
    </row>
    <row r="187">
      <c r="A187" s="17" t="s">
        <v>1092</v>
      </c>
      <c r="B187" s="15" t="s">
        <v>1093</v>
      </c>
      <c r="C187" s="19" t="s">
        <v>702</v>
      </c>
      <c r="D187" s="20">
        <v>3996.0</v>
      </c>
      <c r="E187" s="23">
        <f t="shared" si="1"/>
        <v>216</v>
      </c>
      <c r="F187" s="23">
        <v>225.0</v>
      </c>
    </row>
    <row r="188">
      <c r="A188" s="17" t="s">
        <v>1033</v>
      </c>
      <c r="B188" s="15" t="s">
        <v>1034</v>
      </c>
      <c r="C188" s="19" t="s">
        <v>702</v>
      </c>
      <c r="D188" s="20">
        <v>4741.92</v>
      </c>
      <c r="E188" s="23">
        <f t="shared" si="1"/>
        <v>256.32</v>
      </c>
      <c r="F188" s="23">
        <v>267.0</v>
      </c>
    </row>
    <row r="189">
      <c r="A189" s="17" t="s">
        <v>1121</v>
      </c>
      <c r="B189" s="15" t="s">
        <v>1122</v>
      </c>
      <c r="C189" s="19" t="s">
        <v>702</v>
      </c>
      <c r="D189" s="20">
        <v>3090.24</v>
      </c>
      <c r="E189" s="23">
        <f t="shared" si="1"/>
        <v>167.04</v>
      </c>
      <c r="F189" s="23">
        <v>174.0</v>
      </c>
    </row>
  </sheetData>
  <mergeCells count="1">
    <mergeCell ref="D2:E2"/>
  </mergeCells>
  <conditionalFormatting sqref="E4:F189">
    <cfRule type="cellIs" dxfId="6" priority="1" operator="equal">
      <formula>0</formula>
    </cfRule>
  </conditionalFormatting>
  <dataValidations>
    <dataValidation type="list" allowBlank="1" sqref="C4:C189">
      <formula1>"Olla Revolvedora,Sitrak,Schwing,Putzmeister,WAM,Tuberia,Otro,CIFA,TRITURADORAS"</formula1>
    </dataValidation>
    <dataValidation type="custom" allowBlank="1" showDropDown="1" sqref="D4:F189">
      <formula1>AND(ISNUMBER(D4),(NOT(OR(NOT(ISERROR(DATEVALUE(D4))), AND(ISNUMBER(D4), LEFT(CELL("format", D4))="D")))))</formula1>
    </dataValidation>
    <dataValidation allowBlank="1" showDropDown="1" sqref="A4:B189"/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2.25"/>
    <col customWidth="1" min="3" max="3" width="10.75"/>
    <col customWidth="1" min="4" max="4" width="28.63"/>
    <col customWidth="1" min="5" max="5" width="62.63"/>
    <col customWidth="1" min="6" max="6" width="13.13"/>
    <col customWidth="1" min="7" max="7" width="12.75"/>
    <col customWidth="1" min="8" max="8" width="13.25"/>
    <col customWidth="1" min="9" max="9" width="12.5"/>
    <col customWidth="1" min="10" max="10" width="13.38"/>
    <col customWidth="1" min="11" max="11" width="20.25"/>
    <col customWidth="1" min="12" max="12" width="13.38"/>
    <col customWidth="1" min="13" max="13" width="10.13"/>
    <col customWidth="1" min="14" max="14" width="9.25"/>
    <col customWidth="1" min="15" max="15" width="13.5"/>
    <col customWidth="1" min="16" max="16" width="9.0"/>
    <col customWidth="1" min="17" max="17" width="11.63"/>
    <col customWidth="1" min="18" max="18" width="8.0"/>
    <col customWidth="1" min="19" max="19" width="8.75"/>
    <col customWidth="1" min="20" max="20" width="8.5"/>
    <col customWidth="1" min="21" max="21" width="8.13"/>
    <col customWidth="1" min="22" max="22" width="9.5"/>
    <col customWidth="1" min="23" max="23" width="7.75"/>
    <col customWidth="1" min="24" max="24" width="12.75"/>
    <col customWidth="1" min="25" max="25" width="12.25"/>
    <col customWidth="1" min="26" max="27" width="9.13"/>
  </cols>
  <sheetData>
    <row r="1">
      <c r="A1" s="2"/>
      <c r="B1" s="2"/>
      <c r="C1" s="2"/>
      <c r="D1" s="2"/>
      <c r="E1" s="1"/>
      <c r="F1" s="2"/>
      <c r="G1" s="2"/>
      <c r="H1" s="3" t="s">
        <v>1</v>
      </c>
      <c r="I1" s="4">
        <v>18.5</v>
      </c>
      <c r="J1" s="2"/>
      <c r="K1" s="3" t="s">
        <v>2</v>
      </c>
      <c r="L1" s="5">
        <v>0.96</v>
      </c>
      <c r="M1" s="3" t="s">
        <v>3</v>
      </c>
      <c r="N1" s="5">
        <v>0.0</v>
      </c>
      <c r="O1" s="3" t="s">
        <v>4</v>
      </c>
      <c r="P1" s="5">
        <v>0.225</v>
      </c>
      <c r="Q1" s="3" t="s">
        <v>5</v>
      </c>
      <c r="R1" s="7">
        <v>18.75</v>
      </c>
      <c r="AB1" s="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0"/>
      <c r="X2" s="10"/>
      <c r="Y2" s="10"/>
    </row>
    <row r="3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3" t="s">
        <v>30</v>
      </c>
      <c r="X3" s="13" t="s">
        <v>5995</v>
      </c>
      <c r="Y3" s="13" t="s">
        <v>5996</v>
      </c>
    </row>
    <row r="4">
      <c r="A4" s="15" t="s">
        <v>395</v>
      </c>
      <c r="B4" s="15" t="s">
        <v>396</v>
      </c>
      <c r="C4" s="15" t="s">
        <v>5997</v>
      </c>
      <c r="D4" s="15" t="s">
        <v>397</v>
      </c>
      <c r="E4" s="17" t="s">
        <v>398</v>
      </c>
      <c r="F4" s="18"/>
      <c r="G4" s="15" t="s">
        <v>399</v>
      </c>
      <c r="H4" s="15" t="s">
        <v>400</v>
      </c>
      <c r="I4" s="15" t="s">
        <v>401</v>
      </c>
      <c r="J4" s="19" t="s">
        <v>283</v>
      </c>
      <c r="K4" s="19" t="s">
        <v>402</v>
      </c>
      <c r="L4" s="19" t="s">
        <v>403</v>
      </c>
      <c r="M4" s="20">
        <f t="shared" ref="M4:M137" si="1">T4*$I$1</f>
        <v>10158.72</v>
      </c>
      <c r="N4" s="31">
        <v>1.0</v>
      </c>
      <c r="O4" s="19" t="s">
        <v>107</v>
      </c>
      <c r="P4" s="18"/>
      <c r="Q4" s="18"/>
      <c r="R4" s="23">
        <v>78.0</v>
      </c>
      <c r="S4" s="23">
        <v>572.0</v>
      </c>
      <c r="T4" s="23">
        <f t="shared" ref="T4:T137" si="2">S4*$L$1</f>
        <v>549.12</v>
      </c>
      <c r="U4" s="23">
        <f t="shared" ref="U4:U137" si="3">R4+((R4*$N$1)+(R4*$P$1))</f>
        <v>95.55</v>
      </c>
      <c r="V4" s="23">
        <f t="shared" ref="V4:V137" si="4">U4*$R$1</f>
        <v>1791.5625</v>
      </c>
      <c r="W4" s="24">
        <f t="shared" ref="W4:W137" si="5">T4/R4</f>
        <v>7.04</v>
      </c>
      <c r="X4" s="70">
        <f t="shared" ref="X4:X137" si="6">N4*V4</f>
        <v>1791.5625</v>
      </c>
      <c r="Y4" s="70">
        <f t="shared" ref="Y4:Y137" si="7">N4*M4</f>
        <v>10158.72</v>
      </c>
    </row>
    <row r="5">
      <c r="A5" s="15" t="s">
        <v>986</v>
      </c>
      <c r="B5" s="15" t="s">
        <v>987</v>
      </c>
      <c r="C5" s="15" t="s">
        <v>5998</v>
      </c>
      <c r="D5" s="15" t="s">
        <v>988</v>
      </c>
      <c r="E5" s="17" t="s">
        <v>989</v>
      </c>
      <c r="F5" s="18"/>
      <c r="G5" s="18"/>
      <c r="H5" s="15" t="s">
        <v>990</v>
      </c>
      <c r="I5" s="18"/>
      <c r="J5" s="19" t="s">
        <v>283</v>
      </c>
      <c r="K5" s="19" t="s">
        <v>1269</v>
      </c>
      <c r="L5" s="19" t="s">
        <v>38</v>
      </c>
      <c r="M5" s="20">
        <f t="shared" si="1"/>
        <v>2610.72</v>
      </c>
      <c r="N5" s="31">
        <v>1.0</v>
      </c>
      <c r="O5" s="19" t="s">
        <v>107</v>
      </c>
      <c r="P5" s="18"/>
      <c r="Q5" s="18"/>
      <c r="R5" s="23">
        <v>40.0</v>
      </c>
      <c r="S5" s="23">
        <v>147.0</v>
      </c>
      <c r="T5" s="23">
        <f t="shared" si="2"/>
        <v>141.12</v>
      </c>
      <c r="U5" s="23">
        <f t="shared" si="3"/>
        <v>49</v>
      </c>
      <c r="V5" s="23">
        <f t="shared" si="4"/>
        <v>918.75</v>
      </c>
      <c r="W5" s="24">
        <f t="shared" si="5"/>
        <v>3.528</v>
      </c>
      <c r="X5" s="70">
        <f t="shared" si="6"/>
        <v>918.75</v>
      </c>
      <c r="Y5" s="70">
        <f t="shared" si="7"/>
        <v>2610.72</v>
      </c>
    </row>
    <row r="6">
      <c r="A6" s="15" t="s">
        <v>621</v>
      </c>
      <c r="B6" s="15" t="s">
        <v>622</v>
      </c>
      <c r="C6" s="15" t="s">
        <v>5999</v>
      </c>
      <c r="D6" s="15" t="s">
        <v>623</v>
      </c>
      <c r="E6" s="17" t="s">
        <v>624</v>
      </c>
      <c r="F6" s="18"/>
      <c r="G6" s="15" t="s">
        <v>625</v>
      </c>
      <c r="H6" s="15" t="s">
        <v>626</v>
      </c>
      <c r="I6" s="18"/>
      <c r="J6" s="19" t="s">
        <v>283</v>
      </c>
      <c r="K6" s="19" t="s">
        <v>440</v>
      </c>
      <c r="L6" s="19" t="s">
        <v>135</v>
      </c>
      <c r="M6" s="20">
        <f t="shared" si="1"/>
        <v>568.32</v>
      </c>
      <c r="N6" s="31">
        <v>1.0</v>
      </c>
      <c r="O6" s="19" t="s">
        <v>107</v>
      </c>
      <c r="P6" s="18"/>
      <c r="Q6" s="18"/>
      <c r="R6" s="23">
        <v>6.0</v>
      </c>
      <c r="S6" s="23">
        <v>32.0</v>
      </c>
      <c r="T6" s="23">
        <f t="shared" si="2"/>
        <v>30.72</v>
      </c>
      <c r="U6" s="23">
        <f t="shared" si="3"/>
        <v>7.35</v>
      </c>
      <c r="V6" s="23">
        <f t="shared" si="4"/>
        <v>137.8125</v>
      </c>
      <c r="W6" s="24">
        <f t="shared" si="5"/>
        <v>5.12</v>
      </c>
      <c r="X6" s="70">
        <f t="shared" si="6"/>
        <v>137.8125</v>
      </c>
      <c r="Y6" s="70">
        <f t="shared" si="7"/>
        <v>568.32</v>
      </c>
    </row>
    <row r="7">
      <c r="A7" s="15" t="s">
        <v>434</v>
      </c>
      <c r="B7" s="15" t="s">
        <v>435</v>
      </c>
      <c r="C7" s="15" t="s">
        <v>5999</v>
      </c>
      <c r="D7" s="15" t="s">
        <v>436</v>
      </c>
      <c r="E7" s="17" t="s">
        <v>6000</v>
      </c>
      <c r="F7" s="18"/>
      <c r="G7" s="15" t="s">
        <v>438</v>
      </c>
      <c r="H7" s="15" t="s">
        <v>439</v>
      </c>
      <c r="I7" s="18"/>
      <c r="J7" s="19" t="s">
        <v>283</v>
      </c>
      <c r="K7" s="19" t="s">
        <v>440</v>
      </c>
      <c r="L7" s="19" t="s">
        <v>135</v>
      </c>
      <c r="M7" s="20">
        <f t="shared" si="1"/>
        <v>745.92</v>
      </c>
      <c r="N7" s="31">
        <v>1.0</v>
      </c>
      <c r="O7" s="19" t="s">
        <v>107</v>
      </c>
      <c r="P7" s="18"/>
      <c r="Q7" s="18"/>
      <c r="R7" s="23">
        <v>6.0</v>
      </c>
      <c r="S7" s="23">
        <v>42.0</v>
      </c>
      <c r="T7" s="23">
        <f t="shared" si="2"/>
        <v>40.32</v>
      </c>
      <c r="U7" s="23">
        <f t="shared" si="3"/>
        <v>7.35</v>
      </c>
      <c r="V7" s="23">
        <f t="shared" si="4"/>
        <v>137.8125</v>
      </c>
      <c r="W7" s="24">
        <f t="shared" si="5"/>
        <v>6.72</v>
      </c>
      <c r="X7" s="70">
        <f t="shared" si="6"/>
        <v>137.8125</v>
      </c>
      <c r="Y7" s="70">
        <f t="shared" si="7"/>
        <v>745.92</v>
      </c>
    </row>
    <row r="8">
      <c r="A8" s="15" t="s">
        <v>627</v>
      </c>
      <c r="B8" s="15" t="s">
        <v>628</v>
      </c>
      <c r="C8" s="15" t="s">
        <v>5999</v>
      </c>
      <c r="D8" s="15" t="s">
        <v>629</v>
      </c>
      <c r="E8" s="17" t="s">
        <v>6001</v>
      </c>
      <c r="F8" s="18"/>
      <c r="G8" s="15" t="s">
        <v>631</v>
      </c>
      <c r="H8" s="15" t="s">
        <v>632</v>
      </c>
      <c r="I8" s="18"/>
      <c r="J8" s="19" t="s">
        <v>283</v>
      </c>
      <c r="K8" s="19" t="s">
        <v>440</v>
      </c>
      <c r="L8" s="19" t="s">
        <v>135</v>
      </c>
      <c r="M8" s="20">
        <f t="shared" si="1"/>
        <v>568.32</v>
      </c>
      <c r="N8" s="31">
        <v>1.0</v>
      </c>
      <c r="O8" s="19" t="s">
        <v>107</v>
      </c>
      <c r="P8" s="18"/>
      <c r="Q8" s="18"/>
      <c r="R8" s="23">
        <v>6.0</v>
      </c>
      <c r="S8" s="23">
        <v>32.0</v>
      </c>
      <c r="T8" s="23">
        <f t="shared" si="2"/>
        <v>30.72</v>
      </c>
      <c r="U8" s="23">
        <f t="shared" si="3"/>
        <v>7.35</v>
      </c>
      <c r="V8" s="23">
        <f t="shared" si="4"/>
        <v>137.8125</v>
      </c>
      <c r="W8" s="24">
        <f t="shared" si="5"/>
        <v>5.12</v>
      </c>
      <c r="X8" s="70">
        <f t="shared" si="6"/>
        <v>137.8125</v>
      </c>
      <c r="Y8" s="70">
        <f t="shared" si="7"/>
        <v>568.32</v>
      </c>
    </row>
    <row r="9">
      <c r="A9" s="15" t="s">
        <v>597</v>
      </c>
      <c r="B9" s="15" t="s">
        <v>598</v>
      </c>
      <c r="C9" s="15" t="s">
        <v>6002</v>
      </c>
      <c r="D9" s="15" t="s">
        <v>599</v>
      </c>
      <c r="E9" s="17" t="s">
        <v>600</v>
      </c>
      <c r="F9" s="18"/>
      <c r="G9" s="18"/>
      <c r="H9" s="15" t="s">
        <v>601</v>
      </c>
      <c r="I9" s="15"/>
      <c r="J9" s="19" t="s">
        <v>602</v>
      </c>
      <c r="K9" s="19" t="s">
        <v>603</v>
      </c>
      <c r="L9" s="19" t="s">
        <v>292</v>
      </c>
      <c r="M9" s="20">
        <f t="shared" si="1"/>
        <v>23088</v>
      </c>
      <c r="N9" s="31">
        <v>1.0</v>
      </c>
      <c r="O9" s="19" t="s">
        <v>107</v>
      </c>
      <c r="P9" s="18"/>
      <c r="Q9" s="18"/>
      <c r="R9" s="23">
        <v>240.0</v>
      </c>
      <c r="S9" s="23">
        <v>1300.0</v>
      </c>
      <c r="T9" s="23">
        <f t="shared" si="2"/>
        <v>1248</v>
      </c>
      <c r="U9" s="23">
        <f t="shared" si="3"/>
        <v>294</v>
      </c>
      <c r="V9" s="23">
        <f t="shared" si="4"/>
        <v>5512.5</v>
      </c>
      <c r="W9" s="24">
        <f t="shared" si="5"/>
        <v>5.2</v>
      </c>
      <c r="X9" s="70">
        <f t="shared" si="6"/>
        <v>5512.5</v>
      </c>
      <c r="Y9" s="70">
        <f t="shared" si="7"/>
        <v>23088</v>
      </c>
    </row>
    <row r="10">
      <c r="A10" s="15" t="s">
        <v>1075</v>
      </c>
      <c r="B10" s="18" t="str">
        <f>CONCATENATE(7504589,A10)</f>
        <v>75045891238</v>
      </c>
      <c r="C10" s="15" t="s">
        <v>6003</v>
      </c>
      <c r="D10" s="15" t="s">
        <v>1076</v>
      </c>
      <c r="E10" s="17" t="s">
        <v>1077</v>
      </c>
      <c r="F10" s="18"/>
      <c r="G10" s="18"/>
      <c r="H10" s="15" t="s">
        <v>1078</v>
      </c>
      <c r="I10" s="18"/>
      <c r="J10" s="19" t="s">
        <v>36</v>
      </c>
      <c r="K10" s="19" t="s">
        <v>60</v>
      </c>
      <c r="L10" s="19" t="s">
        <v>115</v>
      </c>
      <c r="M10" s="20">
        <f t="shared" si="1"/>
        <v>4138.08</v>
      </c>
      <c r="N10" s="31">
        <v>1.0</v>
      </c>
      <c r="O10" s="19" t="s">
        <v>107</v>
      </c>
      <c r="P10" s="18"/>
      <c r="Q10" s="18"/>
      <c r="R10" s="23">
        <v>80.0</v>
      </c>
      <c r="S10" s="23">
        <v>233.0</v>
      </c>
      <c r="T10" s="23">
        <f t="shared" si="2"/>
        <v>223.68</v>
      </c>
      <c r="U10" s="23">
        <f t="shared" si="3"/>
        <v>98</v>
      </c>
      <c r="V10" s="23">
        <f t="shared" si="4"/>
        <v>1837.5</v>
      </c>
      <c r="W10" s="24">
        <f t="shared" si="5"/>
        <v>2.796</v>
      </c>
      <c r="X10" s="70">
        <f t="shared" si="6"/>
        <v>1837.5</v>
      </c>
      <c r="Y10" s="70">
        <f t="shared" si="7"/>
        <v>4138.08</v>
      </c>
    </row>
    <row r="11">
      <c r="A11" s="15" t="s">
        <v>1079</v>
      </c>
      <c r="B11" s="15" t="s">
        <v>1080</v>
      </c>
      <c r="C11" s="15" t="s">
        <v>6004</v>
      </c>
      <c r="D11" s="15" t="s">
        <v>1081</v>
      </c>
      <c r="E11" s="17" t="s">
        <v>1082</v>
      </c>
      <c r="F11" s="18"/>
      <c r="G11" s="18"/>
      <c r="H11" s="15" t="s">
        <v>1083</v>
      </c>
      <c r="I11" s="15"/>
      <c r="J11" s="19" t="s">
        <v>36</v>
      </c>
      <c r="K11" s="19" t="s">
        <v>60</v>
      </c>
      <c r="L11" s="19" t="s">
        <v>115</v>
      </c>
      <c r="M11" s="20">
        <f t="shared" si="1"/>
        <v>4138.08</v>
      </c>
      <c r="N11" s="31">
        <v>1.0</v>
      </c>
      <c r="O11" s="19" t="s">
        <v>107</v>
      </c>
      <c r="P11" s="18"/>
      <c r="Q11" s="18"/>
      <c r="R11" s="23">
        <v>80.0</v>
      </c>
      <c r="S11" s="23">
        <v>233.0</v>
      </c>
      <c r="T11" s="23">
        <f t="shared" si="2"/>
        <v>223.68</v>
      </c>
      <c r="U11" s="23">
        <f t="shared" si="3"/>
        <v>98</v>
      </c>
      <c r="V11" s="23">
        <f t="shared" si="4"/>
        <v>1837.5</v>
      </c>
      <c r="W11" s="24">
        <f t="shared" si="5"/>
        <v>2.796</v>
      </c>
      <c r="X11" s="70">
        <f t="shared" si="6"/>
        <v>1837.5</v>
      </c>
      <c r="Y11" s="70">
        <f t="shared" si="7"/>
        <v>4138.08</v>
      </c>
    </row>
    <row r="12">
      <c r="A12" s="15" t="s">
        <v>611</v>
      </c>
      <c r="B12" s="15" t="s">
        <v>612</v>
      </c>
      <c r="C12" s="15" t="s">
        <v>6005</v>
      </c>
      <c r="D12" s="15" t="s">
        <v>613</v>
      </c>
      <c r="E12" s="17" t="s">
        <v>614</v>
      </c>
      <c r="F12" s="18"/>
      <c r="G12" s="18"/>
      <c r="H12" s="15" t="s">
        <v>615</v>
      </c>
      <c r="I12" s="15"/>
      <c r="J12" s="19" t="s">
        <v>36</v>
      </c>
      <c r="K12" s="19" t="s">
        <v>1230</v>
      </c>
      <c r="L12" s="19" t="s">
        <v>38</v>
      </c>
      <c r="M12" s="20">
        <f t="shared" si="1"/>
        <v>4937.28</v>
      </c>
      <c r="N12" s="31">
        <v>1.0</v>
      </c>
      <c r="O12" s="19" t="s">
        <v>107</v>
      </c>
      <c r="P12" s="18"/>
      <c r="Q12" s="18"/>
      <c r="R12" s="23">
        <v>22.0</v>
      </c>
      <c r="S12" s="23">
        <v>278.0</v>
      </c>
      <c r="T12" s="23">
        <f t="shared" si="2"/>
        <v>266.88</v>
      </c>
      <c r="U12" s="23">
        <f t="shared" si="3"/>
        <v>26.95</v>
      </c>
      <c r="V12" s="23">
        <f t="shared" si="4"/>
        <v>505.3125</v>
      </c>
      <c r="W12" s="24">
        <f t="shared" si="5"/>
        <v>12.13090909</v>
      </c>
      <c r="X12" s="70">
        <f t="shared" si="6"/>
        <v>505.3125</v>
      </c>
      <c r="Y12" s="70">
        <f t="shared" si="7"/>
        <v>4937.28</v>
      </c>
    </row>
    <row r="13">
      <c r="A13" s="15" t="s">
        <v>657</v>
      </c>
      <c r="B13" s="15" t="s">
        <v>658</v>
      </c>
      <c r="C13" s="15" t="s">
        <v>6006</v>
      </c>
      <c r="D13" s="15" t="s">
        <v>659</v>
      </c>
      <c r="E13" s="17" t="s">
        <v>660</v>
      </c>
      <c r="F13" s="18"/>
      <c r="G13" s="18"/>
      <c r="H13" s="15" t="s">
        <v>661</v>
      </c>
      <c r="I13" s="15"/>
      <c r="J13" s="19" t="s">
        <v>36</v>
      </c>
      <c r="K13" s="19" t="s">
        <v>1230</v>
      </c>
      <c r="L13" s="19" t="s">
        <v>38</v>
      </c>
      <c r="M13" s="20">
        <f t="shared" si="1"/>
        <v>5807.52</v>
      </c>
      <c r="N13" s="31">
        <v>1.0</v>
      </c>
      <c r="O13" s="19" t="s">
        <v>107</v>
      </c>
      <c r="P13" s="18"/>
      <c r="Q13" s="18"/>
      <c r="R13" s="23">
        <v>25.0</v>
      </c>
      <c r="S13" s="23">
        <v>327.0</v>
      </c>
      <c r="T13" s="23">
        <f t="shared" si="2"/>
        <v>313.92</v>
      </c>
      <c r="U13" s="23">
        <f t="shared" si="3"/>
        <v>30.625</v>
      </c>
      <c r="V13" s="23">
        <f t="shared" si="4"/>
        <v>574.21875</v>
      </c>
      <c r="W13" s="24">
        <f t="shared" si="5"/>
        <v>12.5568</v>
      </c>
      <c r="X13" s="70">
        <f t="shared" si="6"/>
        <v>574.21875</v>
      </c>
      <c r="Y13" s="70">
        <f t="shared" si="7"/>
        <v>5807.52</v>
      </c>
    </row>
    <row r="14">
      <c r="A14" s="15" t="s">
        <v>171</v>
      </c>
      <c r="B14" s="15" t="s">
        <v>172</v>
      </c>
      <c r="C14" s="15" t="s">
        <v>6007</v>
      </c>
      <c r="D14" s="15" t="s">
        <v>173</v>
      </c>
      <c r="E14" s="17" t="s">
        <v>174</v>
      </c>
      <c r="F14" s="18"/>
      <c r="G14" s="15" t="s">
        <v>175</v>
      </c>
      <c r="H14" s="15" t="s">
        <v>176</v>
      </c>
      <c r="I14" s="18"/>
      <c r="J14" s="19" t="s">
        <v>36</v>
      </c>
      <c r="K14" s="19" t="s">
        <v>60</v>
      </c>
      <c r="L14" s="19" t="s">
        <v>38</v>
      </c>
      <c r="M14" s="20">
        <f t="shared" si="1"/>
        <v>1740.48</v>
      </c>
      <c r="N14" s="31">
        <v>1.0</v>
      </c>
      <c r="O14" s="19" t="s">
        <v>107</v>
      </c>
      <c r="P14" s="18"/>
      <c r="Q14" s="18"/>
      <c r="R14" s="23">
        <v>7.0</v>
      </c>
      <c r="S14" s="23">
        <v>98.0</v>
      </c>
      <c r="T14" s="23">
        <f t="shared" si="2"/>
        <v>94.08</v>
      </c>
      <c r="U14" s="23">
        <f t="shared" si="3"/>
        <v>8.575</v>
      </c>
      <c r="V14" s="23">
        <f t="shared" si="4"/>
        <v>160.78125</v>
      </c>
      <c r="W14" s="24">
        <f t="shared" si="5"/>
        <v>13.44</v>
      </c>
      <c r="X14" s="70">
        <f t="shared" si="6"/>
        <v>160.78125</v>
      </c>
      <c r="Y14" s="70">
        <f t="shared" si="7"/>
        <v>1740.48</v>
      </c>
    </row>
    <row r="15">
      <c r="A15" s="15" t="s">
        <v>451</v>
      </c>
      <c r="B15" s="15" t="s">
        <v>452</v>
      </c>
      <c r="C15" s="15" t="s">
        <v>6008</v>
      </c>
      <c r="D15" s="15" t="s">
        <v>453</v>
      </c>
      <c r="E15" s="17" t="s">
        <v>454</v>
      </c>
      <c r="F15" s="18"/>
      <c r="G15" s="18"/>
      <c r="H15" s="15" t="s">
        <v>455</v>
      </c>
      <c r="I15" s="18"/>
      <c r="J15" s="19" t="s">
        <v>36</v>
      </c>
      <c r="K15" s="19" t="s">
        <v>60</v>
      </c>
      <c r="L15" s="19" t="s">
        <v>403</v>
      </c>
      <c r="M15" s="20">
        <f t="shared" si="1"/>
        <v>8453.76</v>
      </c>
      <c r="N15" s="31">
        <v>1.0</v>
      </c>
      <c r="O15" s="19" t="s">
        <v>107</v>
      </c>
      <c r="P15" s="18"/>
      <c r="Q15" s="18"/>
      <c r="R15" s="23">
        <v>70.0</v>
      </c>
      <c r="S15" s="23">
        <v>476.0</v>
      </c>
      <c r="T15" s="23">
        <f t="shared" si="2"/>
        <v>456.96</v>
      </c>
      <c r="U15" s="23">
        <f t="shared" si="3"/>
        <v>85.75</v>
      </c>
      <c r="V15" s="23">
        <f t="shared" si="4"/>
        <v>1607.8125</v>
      </c>
      <c r="W15" s="24">
        <f t="shared" si="5"/>
        <v>6.528</v>
      </c>
      <c r="X15" s="70">
        <f t="shared" si="6"/>
        <v>1607.8125</v>
      </c>
      <c r="Y15" s="70">
        <f t="shared" si="7"/>
        <v>8453.76</v>
      </c>
    </row>
    <row r="16">
      <c r="A16" s="15" t="s">
        <v>183</v>
      </c>
      <c r="B16" s="15" t="s">
        <v>184</v>
      </c>
      <c r="C16" s="15" t="s">
        <v>6009</v>
      </c>
      <c r="D16" s="15" t="s">
        <v>185</v>
      </c>
      <c r="E16" s="17" t="s">
        <v>186</v>
      </c>
      <c r="F16" s="18"/>
      <c r="G16" s="18"/>
      <c r="H16" s="15" t="s">
        <v>187</v>
      </c>
      <c r="I16" s="18"/>
      <c r="J16" s="19" t="s">
        <v>36</v>
      </c>
      <c r="K16" s="19" t="s">
        <v>60</v>
      </c>
      <c r="L16" s="19" t="s">
        <v>188</v>
      </c>
      <c r="M16" s="20">
        <f t="shared" si="1"/>
        <v>3090.24</v>
      </c>
      <c r="N16" s="31">
        <v>1.0</v>
      </c>
      <c r="O16" s="19" t="s">
        <v>107</v>
      </c>
      <c r="P16" s="18"/>
      <c r="Q16" s="18"/>
      <c r="R16" s="23">
        <v>14.0</v>
      </c>
      <c r="S16" s="23">
        <v>174.0</v>
      </c>
      <c r="T16" s="23">
        <f t="shared" si="2"/>
        <v>167.04</v>
      </c>
      <c r="U16" s="23">
        <f t="shared" si="3"/>
        <v>17.15</v>
      </c>
      <c r="V16" s="23">
        <f t="shared" si="4"/>
        <v>321.5625</v>
      </c>
      <c r="W16" s="24">
        <f t="shared" si="5"/>
        <v>11.93142857</v>
      </c>
      <c r="X16" s="70">
        <f t="shared" si="6"/>
        <v>321.5625</v>
      </c>
      <c r="Y16" s="70">
        <f t="shared" si="7"/>
        <v>3090.24</v>
      </c>
    </row>
    <row r="17">
      <c r="A17" s="15" t="s">
        <v>1024</v>
      </c>
      <c r="B17" s="15" t="s">
        <v>1025</v>
      </c>
      <c r="C17" s="15" t="s">
        <v>6010</v>
      </c>
      <c r="D17" s="15" t="s">
        <v>1026</v>
      </c>
      <c r="E17" s="17" t="s">
        <v>1027</v>
      </c>
      <c r="F17" s="18"/>
      <c r="G17" s="15" t="s">
        <v>1028</v>
      </c>
      <c r="H17" s="15" t="s">
        <v>1029</v>
      </c>
      <c r="I17" s="18"/>
      <c r="J17" s="19" t="s">
        <v>36</v>
      </c>
      <c r="K17" s="33"/>
      <c r="L17" s="19" t="s">
        <v>38</v>
      </c>
      <c r="M17" s="20">
        <f t="shared" si="1"/>
        <v>390.72</v>
      </c>
      <c r="N17" s="31">
        <v>1.0</v>
      </c>
      <c r="O17" s="19" t="s">
        <v>107</v>
      </c>
      <c r="P17" s="18"/>
      <c r="Q17" s="18"/>
      <c r="R17" s="23">
        <v>6.5</v>
      </c>
      <c r="S17" s="23">
        <v>22.0</v>
      </c>
      <c r="T17" s="23">
        <f t="shared" si="2"/>
        <v>21.12</v>
      </c>
      <c r="U17" s="23">
        <f t="shared" si="3"/>
        <v>7.9625</v>
      </c>
      <c r="V17" s="23">
        <f t="shared" si="4"/>
        <v>149.296875</v>
      </c>
      <c r="W17" s="24">
        <f t="shared" si="5"/>
        <v>3.249230769</v>
      </c>
      <c r="X17" s="70">
        <f t="shared" si="6"/>
        <v>149.296875</v>
      </c>
      <c r="Y17" s="70">
        <f t="shared" si="7"/>
        <v>390.72</v>
      </c>
    </row>
    <row r="18">
      <c r="A18" s="15" t="s">
        <v>679</v>
      </c>
      <c r="B18" s="15" t="s">
        <v>680</v>
      </c>
      <c r="C18" s="15" t="s">
        <v>6011</v>
      </c>
      <c r="D18" s="15" t="s">
        <v>681</v>
      </c>
      <c r="E18" s="17" t="s">
        <v>682</v>
      </c>
      <c r="F18" s="18"/>
      <c r="G18" s="15" t="s">
        <v>683</v>
      </c>
      <c r="H18" s="15" t="s">
        <v>684</v>
      </c>
      <c r="I18" s="18"/>
      <c r="J18" s="19" t="s">
        <v>36</v>
      </c>
      <c r="K18" s="19" t="s">
        <v>60</v>
      </c>
      <c r="L18" s="19" t="s">
        <v>292</v>
      </c>
      <c r="M18" s="20">
        <f t="shared" si="1"/>
        <v>4475.52</v>
      </c>
      <c r="N18" s="31">
        <v>1.0</v>
      </c>
      <c r="O18" s="19" t="s">
        <v>107</v>
      </c>
      <c r="P18" s="18"/>
      <c r="Q18" s="18"/>
      <c r="R18" s="23">
        <v>50.0</v>
      </c>
      <c r="S18" s="23">
        <v>252.0</v>
      </c>
      <c r="T18" s="23">
        <f t="shared" si="2"/>
        <v>241.92</v>
      </c>
      <c r="U18" s="23">
        <f t="shared" si="3"/>
        <v>61.25</v>
      </c>
      <c r="V18" s="23">
        <f t="shared" si="4"/>
        <v>1148.4375</v>
      </c>
      <c r="W18" s="24">
        <f t="shared" si="5"/>
        <v>4.8384</v>
      </c>
      <c r="X18" s="70">
        <f t="shared" si="6"/>
        <v>1148.4375</v>
      </c>
      <c r="Y18" s="70">
        <f t="shared" si="7"/>
        <v>4475.52</v>
      </c>
    </row>
    <row r="19">
      <c r="A19" s="15" t="s">
        <v>742</v>
      </c>
      <c r="B19" s="15" t="s">
        <v>743</v>
      </c>
      <c r="C19" s="15" t="s">
        <v>6012</v>
      </c>
      <c r="D19" s="15" t="s">
        <v>744</v>
      </c>
      <c r="E19" s="17" t="s">
        <v>745</v>
      </c>
      <c r="F19" s="18"/>
      <c r="G19" s="15" t="s">
        <v>746</v>
      </c>
      <c r="H19" s="15" t="s">
        <v>747</v>
      </c>
      <c r="I19" s="18"/>
      <c r="J19" s="19" t="s">
        <v>36</v>
      </c>
      <c r="K19" s="19" t="s">
        <v>60</v>
      </c>
      <c r="L19" s="19" t="s">
        <v>292</v>
      </c>
      <c r="M19" s="20">
        <f t="shared" si="1"/>
        <v>674.88</v>
      </c>
      <c r="N19" s="31">
        <v>1.0</v>
      </c>
      <c r="O19" s="19" t="s">
        <v>107</v>
      </c>
      <c r="P19" s="18"/>
      <c r="Q19" s="18"/>
      <c r="R19" s="23">
        <v>8.0</v>
      </c>
      <c r="S19" s="23">
        <v>38.0</v>
      </c>
      <c r="T19" s="23">
        <f t="shared" si="2"/>
        <v>36.48</v>
      </c>
      <c r="U19" s="23">
        <f t="shared" si="3"/>
        <v>9.8</v>
      </c>
      <c r="V19" s="23">
        <f t="shared" si="4"/>
        <v>183.75</v>
      </c>
      <c r="W19" s="24">
        <f t="shared" si="5"/>
        <v>4.56</v>
      </c>
      <c r="X19" s="70">
        <f t="shared" si="6"/>
        <v>183.75</v>
      </c>
      <c r="Y19" s="70">
        <f t="shared" si="7"/>
        <v>674.88</v>
      </c>
    </row>
    <row r="20">
      <c r="A20" s="15" t="s">
        <v>189</v>
      </c>
      <c r="B20" s="15" t="s">
        <v>190</v>
      </c>
      <c r="C20" s="15" t="s">
        <v>6013</v>
      </c>
      <c r="D20" s="15" t="s">
        <v>191</v>
      </c>
      <c r="E20" s="17" t="s">
        <v>192</v>
      </c>
      <c r="F20" s="18"/>
      <c r="G20" s="18"/>
      <c r="H20" s="15" t="s">
        <v>193</v>
      </c>
      <c r="I20" s="18"/>
      <c r="J20" s="19" t="s">
        <v>36</v>
      </c>
      <c r="K20" s="33"/>
      <c r="L20" s="19" t="s">
        <v>147</v>
      </c>
      <c r="M20" s="20">
        <f t="shared" si="1"/>
        <v>5434.56</v>
      </c>
      <c r="N20" s="31">
        <v>1.0</v>
      </c>
      <c r="O20" s="19" t="s">
        <v>107</v>
      </c>
      <c r="P20" s="18"/>
      <c r="Q20" s="18"/>
      <c r="R20" s="23">
        <v>26.0</v>
      </c>
      <c r="S20" s="23">
        <v>306.0</v>
      </c>
      <c r="T20" s="23">
        <f t="shared" si="2"/>
        <v>293.76</v>
      </c>
      <c r="U20" s="23">
        <f t="shared" si="3"/>
        <v>31.85</v>
      </c>
      <c r="V20" s="23">
        <f t="shared" si="4"/>
        <v>597.1875</v>
      </c>
      <c r="W20" s="24">
        <f t="shared" si="5"/>
        <v>11.29846154</v>
      </c>
      <c r="X20" s="70">
        <f t="shared" si="6"/>
        <v>597.1875</v>
      </c>
      <c r="Y20" s="70">
        <f t="shared" si="7"/>
        <v>5434.56</v>
      </c>
    </row>
    <row r="21">
      <c r="A21" s="15" t="s">
        <v>210</v>
      </c>
      <c r="B21" s="15" t="s">
        <v>211</v>
      </c>
      <c r="C21" s="15" t="s">
        <v>6014</v>
      </c>
      <c r="D21" s="15" t="s">
        <v>191</v>
      </c>
      <c r="E21" s="17" t="s">
        <v>192</v>
      </c>
      <c r="F21" s="18"/>
      <c r="G21" s="18"/>
      <c r="H21" s="15" t="s">
        <v>212</v>
      </c>
      <c r="I21" s="18"/>
      <c r="J21" s="19" t="s">
        <v>36</v>
      </c>
      <c r="K21" s="33"/>
      <c r="L21" s="19" t="s">
        <v>147</v>
      </c>
      <c r="M21" s="20">
        <f t="shared" si="1"/>
        <v>1154.4</v>
      </c>
      <c r="N21" s="31">
        <v>1.0</v>
      </c>
      <c r="O21" s="19" t="s">
        <v>107</v>
      </c>
      <c r="P21" s="18"/>
      <c r="Q21" s="18"/>
      <c r="R21" s="23">
        <v>6.5</v>
      </c>
      <c r="S21" s="23">
        <v>65.0</v>
      </c>
      <c r="T21" s="23">
        <f t="shared" si="2"/>
        <v>62.4</v>
      </c>
      <c r="U21" s="23">
        <f t="shared" si="3"/>
        <v>7.9625</v>
      </c>
      <c r="V21" s="23">
        <f t="shared" si="4"/>
        <v>149.296875</v>
      </c>
      <c r="W21" s="24">
        <f t="shared" si="5"/>
        <v>9.6</v>
      </c>
      <c r="X21" s="70">
        <f t="shared" si="6"/>
        <v>149.296875</v>
      </c>
      <c r="Y21" s="70">
        <f t="shared" si="7"/>
        <v>1154.4</v>
      </c>
    </row>
    <row r="22">
      <c r="A22" s="15" t="s">
        <v>308</v>
      </c>
      <c r="B22" s="15" t="s">
        <v>309</v>
      </c>
      <c r="C22" s="15" t="s">
        <v>6015</v>
      </c>
      <c r="D22" s="15" t="s">
        <v>310</v>
      </c>
      <c r="E22" s="17" t="s">
        <v>311</v>
      </c>
      <c r="F22" s="18"/>
      <c r="G22" s="15" t="s">
        <v>312</v>
      </c>
      <c r="H22" s="15" t="s">
        <v>313</v>
      </c>
      <c r="I22" s="18"/>
      <c r="J22" s="19" t="s">
        <v>36</v>
      </c>
      <c r="K22" s="33"/>
      <c r="L22" s="19" t="s">
        <v>38</v>
      </c>
      <c r="M22" s="20">
        <f t="shared" si="1"/>
        <v>4582.08</v>
      </c>
      <c r="N22" s="31">
        <v>1.0</v>
      </c>
      <c r="O22" s="19" t="s">
        <v>107</v>
      </c>
      <c r="P22" s="18"/>
      <c r="Q22" s="18"/>
      <c r="R22" s="23">
        <v>28.0</v>
      </c>
      <c r="S22" s="23">
        <v>258.0</v>
      </c>
      <c r="T22" s="23">
        <f t="shared" si="2"/>
        <v>247.68</v>
      </c>
      <c r="U22" s="23">
        <f t="shared" si="3"/>
        <v>34.3</v>
      </c>
      <c r="V22" s="23">
        <f t="shared" si="4"/>
        <v>643.125</v>
      </c>
      <c r="W22" s="24">
        <f t="shared" si="5"/>
        <v>8.845714286</v>
      </c>
      <c r="X22" s="70">
        <f t="shared" si="6"/>
        <v>643.125</v>
      </c>
      <c r="Y22" s="70">
        <f t="shared" si="7"/>
        <v>4582.08</v>
      </c>
    </row>
    <row r="23">
      <c r="A23" s="15" t="s">
        <v>259</v>
      </c>
      <c r="B23" s="15" t="s">
        <v>260</v>
      </c>
      <c r="C23" s="15" t="s">
        <v>6016</v>
      </c>
      <c r="D23" s="15" t="s">
        <v>261</v>
      </c>
      <c r="E23" s="17" t="s">
        <v>262</v>
      </c>
      <c r="F23" s="18"/>
      <c r="G23" s="18"/>
      <c r="H23" s="15" t="s">
        <v>263</v>
      </c>
      <c r="I23" s="18"/>
      <c r="J23" s="19" t="s">
        <v>36</v>
      </c>
      <c r="K23" s="19" t="s">
        <v>60</v>
      </c>
      <c r="L23" s="19" t="s">
        <v>6017</v>
      </c>
      <c r="M23" s="20">
        <f t="shared" si="1"/>
        <v>1687.2</v>
      </c>
      <c r="N23" s="31">
        <v>1.0</v>
      </c>
      <c r="O23" s="19" t="s">
        <v>107</v>
      </c>
      <c r="P23" s="18"/>
      <c r="Q23" s="18"/>
      <c r="R23" s="23">
        <v>11.0</v>
      </c>
      <c r="S23" s="23">
        <v>95.0</v>
      </c>
      <c r="T23" s="23">
        <f t="shared" si="2"/>
        <v>91.2</v>
      </c>
      <c r="U23" s="23">
        <f t="shared" si="3"/>
        <v>13.475</v>
      </c>
      <c r="V23" s="23">
        <f t="shared" si="4"/>
        <v>252.65625</v>
      </c>
      <c r="W23" s="24">
        <f t="shared" si="5"/>
        <v>8.290909091</v>
      </c>
      <c r="X23" s="70">
        <f t="shared" si="6"/>
        <v>252.65625</v>
      </c>
      <c r="Y23" s="70">
        <f t="shared" si="7"/>
        <v>1687.2</v>
      </c>
    </row>
    <row r="24">
      <c r="A24" s="15" t="s">
        <v>343</v>
      </c>
      <c r="B24" s="15" t="s">
        <v>344</v>
      </c>
      <c r="C24" s="15" t="s">
        <v>6018</v>
      </c>
      <c r="D24" s="15" t="s">
        <v>345</v>
      </c>
      <c r="E24" s="17" t="s">
        <v>346</v>
      </c>
      <c r="F24" s="18"/>
      <c r="G24" s="15" t="s">
        <v>347</v>
      </c>
      <c r="H24" s="15" t="s">
        <v>348</v>
      </c>
      <c r="I24" s="18"/>
      <c r="J24" s="19" t="s">
        <v>36</v>
      </c>
      <c r="K24" s="19" t="s">
        <v>60</v>
      </c>
      <c r="L24" s="19" t="s">
        <v>6017</v>
      </c>
      <c r="M24" s="20">
        <f t="shared" si="1"/>
        <v>1651.68</v>
      </c>
      <c r="N24" s="31">
        <v>1.0</v>
      </c>
      <c r="O24" s="19" t="s">
        <v>107</v>
      </c>
      <c r="P24" s="18"/>
      <c r="Q24" s="18"/>
      <c r="R24" s="23">
        <v>12.0</v>
      </c>
      <c r="S24" s="23">
        <v>93.0</v>
      </c>
      <c r="T24" s="23">
        <f t="shared" si="2"/>
        <v>89.28</v>
      </c>
      <c r="U24" s="23">
        <f t="shared" si="3"/>
        <v>14.7</v>
      </c>
      <c r="V24" s="23">
        <f t="shared" si="4"/>
        <v>275.625</v>
      </c>
      <c r="W24" s="24">
        <f t="shared" si="5"/>
        <v>7.44</v>
      </c>
      <c r="X24" s="70">
        <f t="shared" si="6"/>
        <v>275.625</v>
      </c>
      <c r="Y24" s="70">
        <f t="shared" si="7"/>
        <v>1651.68</v>
      </c>
    </row>
    <row r="25">
      <c r="A25" s="15" t="s">
        <v>128</v>
      </c>
      <c r="B25" s="15" t="s">
        <v>129</v>
      </c>
      <c r="C25" s="15" t="s">
        <v>6019</v>
      </c>
      <c r="D25" s="15" t="s">
        <v>130</v>
      </c>
      <c r="E25" s="17" t="s">
        <v>131</v>
      </c>
      <c r="F25" s="18"/>
      <c r="G25" s="15" t="s">
        <v>132</v>
      </c>
      <c r="H25" s="15" t="s">
        <v>134</v>
      </c>
      <c r="I25" s="18"/>
      <c r="J25" s="19" t="s">
        <v>36</v>
      </c>
      <c r="K25" s="19" t="s">
        <v>60</v>
      </c>
      <c r="L25" s="19" t="s">
        <v>135</v>
      </c>
      <c r="M25" s="20">
        <f t="shared" si="1"/>
        <v>1651.68</v>
      </c>
      <c r="N25" s="31">
        <v>1.0</v>
      </c>
      <c r="O25" s="19" t="s">
        <v>107</v>
      </c>
      <c r="P25" s="18"/>
      <c r="Q25" s="18"/>
      <c r="R25" s="23">
        <v>4.0</v>
      </c>
      <c r="S25" s="23">
        <v>93.0</v>
      </c>
      <c r="T25" s="23">
        <f t="shared" si="2"/>
        <v>89.28</v>
      </c>
      <c r="U25" s="23">
        <f t="shared" si="3"/>
        <v>4.9</v>
      </c>
      <c r="V25" s="23">
        <f t="shared" si="4"/>
        <v>91.875</v>
      </c>
      <c r="W25" s="24">
        <f t="shared" si="5"/>
        <v>22.32</v>
      </c>
      <c r="X25" s="70">
        <f t="shared" si="6"/>
        <v>91.875</v>
      </c>
      <c r="Y25" s="70">
        <f t="shared" si="7"/>
        <v>1651.68</v>
      </c>
    </row>
    <row r="26">
      <c r="A26" s="15" t="s">
        <v>264</v>
      </c>
      <c r="B26" s="15" t="s">
        <v>265</v>
      </c>
      <c r="C26" s="15" t="s">
        <v>6020</v>
      </c>
      <c r="D26" s="15" t="s">
        <v>266</v>
      </c>
      <c r="E26" s="17" t="s">
        <v>267</v>
      </c>
      <c r="F26" s="18"/>
      <c r="G26" s="18"/>
      <c r="H26" s="15" t="s">
        <v>268</v>
      </c>
      <c r="I26" s="18"/>
      <c r="J26" s="19" t="s">
        <v>36</v>
      </c>
      <c r="K26" s="19" t="s">
        <v>200</v>
      </c>
      <c r="L26" s="19" t="s">
        <v>269</v>
      </c>
      <c r="M26" s="20">
        <f t="shared" si="1"/>
        <v>15309.12</v>
      </c>
      <c r="N26" s="31">
        <v>1.0</v>
      </c>
      <c r="O26" s="19" t="s">
        <v>107</v>
      </c>
      <c r="P26" s="18"/>
      <c r="Q26" s="18"/>
      <c r="R26" s="23">
        <v>100.0</v>
      </c>
      <c r="S26" s="23">
        <v>862.0</v>
      </c>
      <c r="T26" s="23">
        <f t="shared" si="2"/>
        <v>827.52</v>
      </c>
      <c r="U26" s="23">
        <f t="shared" si="3"/>
        <v>122.5</v>
      </c>
      <c r="V26" s="23">
        <f t="shared" si="4"/>
        <v>2296.875</v>
      </c>
      <c r="W26" s="24">
        <f t="shared" si="5"/>
        <v>8.2752</v>
      </c>
      <c r="X26" s="70">
        <f t="shared" si="6"/>
        <v>2296.875</v>
      </c>
      <c r="Y26" s="70">
        <f t="shared" si="7"/>
        <v>15309.12</v>
      </c>
    </row>
    <row r="27">
      <c r="A27" s="15" t="s">
        <v>503</v>
      </c>
      <c r="B27" s="15" t="s">
        <v>504</v>
      </c>
      <c r="C27" s="15" t="s">
        <v>6021</v>
      </c>
      <c r="D27" s="15" t="s">
        <v>505</v>
      </c>
      <c r="E27" s="17" t="s">
        <v>506</v>
      </c>
      <c r="F27" s="18"/>
      <c r="G27" s="15" t="s">
        <v>507</v>
      </c>
      <c r="H27" s="15" t="s">
        <v>508</v>
      </c>
      <c r="I27" s="18"/>
      <c r="J27" s="19" t="s">
        <v>36</v>
      </c>
      <c r="K27" s="19" t="s">
        <v>427</v>
      </c>
      <c r="L27" s="19" t="s">
        <v>269</v>
      </c>
      <c r="M27" s="20">
        <f t="shared" si="1"/>
        <v>8631.36</v>
      </c>
      <c r="N27" s="31">
        <v>1.0</v>
      </c>
      <c r="O27" s="19" t="s">
        <v>107</v>
      </c>
      <c r="P27" s="18"/>
      <c r="Q27" s="18"/>
      <c r="R27" s="23">
        <v>75.0</v>
      </c>
      <c r="S27" s="23">
        <v>486.0</v>
      </c>
      <c r="T27" s="23">
        <f t="shared" si="2"/>
        <v>466.56</v>
      </c>
      <c r="U27" s="23">
        <f t="shared" si="3"/>
        <v>91.875</v>
      </c>
      <c r="V27" s="23">
        <f t="shared" si="4"/>
        <v>1722.65625</v>
      </c>
      <c r="W27" s="24">
        <f t="shared" si="5"/>
        <v>6.2208</v>
      </c>
      <c r="X27" s="70">
        <f t="shared" si="6"/>
        <v>1722.65625</v>
      </c>
      <c r="Y27" s="70">
        <f t="shared" si="7"/>
        <v>8631.36</v>
      </c>
    </row>
    <row r="28">
      <c r="A28" s="15" t="s">
        <v>286</v>
      </c>
      <c r="B28" s="15" t="s">
        <v>287</v>
      </c>
      <c r="C28" s="15" t="s">
        <v>6022</v>
      </c>
      <c r="D28" s="15" t="s">
        <v>288</v>
      </c>
      <c r="E28" s="17" t="s">
        <v>289</v>
      </c>
      <c r="F28" s="18"/>
      <c r="G28" s="15" t="s">
        <v>290</v>
      </c>
      <c r="H28" s="15" t="s">
        <v>291</v>
      </c>
      <c r="I28" s="18"/>
      <c r="J28" s="19" t="s">
        <v>36</v>
      </c>
      <c r="K28" s="19" t="s">
        <v>60</v>
      </c>
      <c r="L28" s="19" t="s">
        <v>292</v>
      </c>
      <c r="M28" s="20">
        <f t="shared" si="1"/>
        <v>1172.16</v>
      </c>
      <c r="N28" s="31">
        <v>1.0</v>
      </c>
      <c r="O28" s="19" t="s">
        <v>107</v>
      </c>
      <c r="P28" s="18"/>
      <c r="Q28" s="18"/>
      <c r="R28" s="23">
        <v>8.0</v>
      </c>
      <c r="S28" s="23">
        <v>66.0</v>
      </c>
      <c r="T28" s="23">
        <f t="shared" si="2"/>
        <v>63.36</v>
      </c>
      <c r="U28" s="23">
        <f t="shared" si="3"/>
        <v>9.8</v>
      </c>
      <c r="V28" s="23">
        <f t="shared" si="4"/>
        <v>183.75</v>
      </c>
      <c r="W28" s="24">
        <f t="shared" si="5"/>
        <v>7.92</v>
      </c>
      <c r="X28" s="70">
        <f t="shared" si="6"/>
        <v>183.75</v>
      </c>
      <c r="Y28" s="70">
        <f t="shared" si="7"/>
        <v>1172.16</v>
      </c>
    </row>
    <row r="29">
      <c r="A29" s="15" t="s">
        <v>770</v>
      </c>
      <c r="B29" s="15" t="s">
        <v>771</v>
      </c>
      <c r="C29" s="15" t="s">
        <v>6023</v>
      </c>
      <c r="D29" s="15" t="s">
        <v>772</v>
      </c>
      <c r="E29" s="17" t="s">
        <v>773</v>
      </c>
      <c r="F29" s="18"/>
      <c r="G29" s="18"/>
      <c r="H29" s="15" t="s">
        <v>774</v>
      </c>
      <c r="I29" s="18"/>
      <c r="J29" s="19" t="s">
        <v>36</v>
      </c>
      <c r="K29" s="33"/>
      <c r="L29" s="19" t="s">
        <v>775</v>
      </c>
      <c r="M29" s="20">
        <f t="shared" si="1"/>
        <v>1420.8</v>
      </c>
      <c r="N29" s="31">
        <v>1.0</v>
      </c>
      <c r="O29" s="19" t="s">
        <v>107</v>
      </c>
      <c r="P29" s="18"/>
      <c r="Q29" s="18"/>
      <c r="R29" s="23">
        <v>17.5</v>
      </c>
      <c r="S29" s="23">
        <v>80.0</v>
      </c>
      <c r="T29" s="23">
        <f t="shared" si="2"/>
        <v>76.8</v>
      </c>
      <c r="U29" s="23">
        <f t="shared" si="3"/>
        <v>21.4375</v>
      </c>
      <c r="V29" s="23">
        <f t="shared" si="4"/>
        <v>401.953125</v>
      </c>
      <c r="W29" s="24">
        <f t="shared" si="5"/>
        <v>4.388571429</v>
      </c>
      <c r="X29" s="70">
        <f t="shared" si="6"/>
        <v>401.953125</v>
      </c>
      <c r="Y29" s="70">
        <f t="shared" si="7"/>
        <v>1420.8</v>
      </c>
    </row>
    <row r="30">
      <c r="A30" s="15" t="s">
        <v>1123</v>
      </c>
      <c r="B30" s="18" t="str">
        <f>CONCATENATE(7504589,A30)</f>
        <v>75045891949</v>
      </c>
      <c r="C30" s="15" t="s">
        <v>1124</v>
      </c>
      <c r="D30" s="15" t="s">
        <v>1125</v>
      </c>
      <c r="E30" s="17" t="s">
        <v>1126</v>
      </c>
      <c r="F30" s="18"/>
      <c r="G30" s="18"/>
      <c r="H30" s="15" t="s">
        <v>1127</v>
      </c>
      <c r="I30" s="15" t="s">
        <v>1128</v>
      </c>
      <c r="J30" s="19" t="s">
        <v>36</v>
      </c>
      <c r="K30" s="33"/>
      <c r="L30" s="19" t="s">
        <v>775</v>
      </c>
      <c r="M30" s="20">
        <f t="shared" si="1"/>
        <v>923.52</v>
      </c>
      <c r="N30" s="31">
        <v>1.0</v>
      </c>
      <c r="O30" s="19" t="s">
        <v>107</v>
      </c>
      <c r="P30" s="18"/>
      <c r="Q30" s="18"/>
      <c r="R30" s="23">
        <v>22.0</v>
      </c>
      <c r="S30" s="23">
        <v>52.0</v>
      </c>
      <c r="T30" s="23">
        <f t="shared" si="2"/>
        <v>49.92</v>
      </c>
      <c r="U30" s="23">
        <f t="shared" si="3"/>
        <v>26.95</v>
      </c>
      <c r="V30" s="23">
        <f t="shared" si="4"/>
        <v>505.3125</v>
      </c>
      <c r="W30" s="24">
        <f t="shared" si="5"/>
        <v>2.269090909</v>
      </c>
      <c r="X30" s="70">
        <f t="shared" si="6"/>
        <v>505.3125</v>
      </c>
      <c r="Y30" s="70">
        <f t="shared" si="7"/>
        <v>923.52</v>
      </c>
    </row>
    <row r="31">
      <c r="A31" s="15" t="s">
        <v>352</v>
      </c>
      <c r="B31" s="15" t="s">
        <v>353</v>
      </c>
      <c r="C31" s="15" t="s">
        <v>6024</v>
      </c>
      <c r="D31" s="15" t="s">
        <v>354</v>
      </c>
      <c r="E31" s="17" t="s">
        <v>355</v>
      </c>
      <c r="F31" s="18"/>
      <c r="G31" s="18"/>
      <c r="H31" s="15" t="s">
        <v>356</v>
      </c>
      <c r="I31" s="18"/>
      <c r="J31" s="19" t="s">
        <v>36</v>
      </c>
      <c r="K31" s="19" t="s">
        <v>1269</v>
      </c>
      <c r="L31" s="19" t="s">
        <v>38</v>
      </c>
      <c r="M31" s="20">
        <f t="shared" si="1"/>
        <v>4759.68</v>
      </c>
      <c r="N31" s="31">
        <v>1.0</v>
      </c>
      <c r="O31" s="19" t="s">
        <v>107</v>
      </c>
      <c r="P31" s="18"/>
      <c r="Q31" s="18"/>
      <c r="R31" s="23">
        <v>35.0</v>
      </c>
      <c r="S31" s="23">
        <v>268.0</v>
      </c>
      <c r="T31" s="23">
        <f t="shared" si="2"/>
        <v>257.28</v>
      </c>
      <c r="U31" s="23">
        <f t="shared" si="3"/>
        <v>42.875</v>
      </c>
      <c r="V31" s="23">
        <f t="shared" si="4"/>
        <v>803.90625</v>
      </c>
      <c r="W31" s="24">
        <f t="shared" si="5"/>
        <v>7.350857143</v>
      </c>
      <c r="X31" s="70">
        <f t="shared" si="6"/>
        <v>803.90625</v>
      </c>
      <c r="Y31" s="70">
        <f t="shared" si="7"/>
        <v>4759.68</v>
      </c>
    </row>
    <row r="32">
      <c r="A32" s="15" t="s">
        <v>797</v>
      </c>
      <c r="B32" s="15" t="s">
        <v>798</v>
      </c>
      <c r="C32" s="15" t="s">
        <v>6025</v>
      </c>
      <c r="D32" s="15" t="s">
        <v>799</v>
      </c>
      <c r="E32" s="17" t="s">
        <v>800</v>
      </c>
      <c r="F32" s="18"/>
      <c r="G32" s="18"/>
      <c r="H32" s="15" t="s">
        <v>801</v>
      </c>
      <c r="I32" s="18"/>
      <c r="J32" s="19" t="s">
        <v>36</v>
      </c>
      <c r="K32" s="19" t="s">
        <v>1269</v>
      </c>
      <c r="L32" s="19" t="s">
        <v>38</v>
      </c>
      <c r="M32" s="20">
        <f t="shared" si="1"/>
        <v>1172.16</v>
      </c>
      <c r="N32" s="31">
        <v>1.0</v>
      </c>
      <c r="O32" s="19" t="s">
        <v>107</v>
      </c>
      <c r="P32" s="18"/>
      <c r="Q32" s="18"/>
      <c r="R32" s="23">
        <v>15.0</v>
      </c>
      <c r="S32" s="23">
        <v>66.0</v>
      </c>
      <c r="T32" s="23">
        <f t="shared" si="2"/>
        <v>63.36</v>
      </c>
      <c r="U32" s="23">
        <f t="shared" si="3"/>
        <v>18.375</v>
      </c>
      <c r="V32" s="23">
        <f t="shared" si="4"/>
        <v>344.53125</v>
      </c>
      <c r="W32" s="24">
        <f t="shared" si="5"/>
        <v>4.224</v>
      </c>
      <c r="X32" s="70">
        <f t="shared" si="6"/>
        <v>344.53125</v>
      </c>
      <c r="Y32" s="70">
        <f t="shared" si="7"/>
        <v>1172.16</v>
      </c>
    </row>
    <row r="33">
      <c r="A33" s="15" t="s">
        <v>549</v>
      </c>
      <c r="B33" s="15" t="s">
        <v>550</v>
      </c>
      <c r="C33" s="15" t="s">
        <v>6026</v>
      </c>
      <c r="D33" s="15" t="s">
        <v>551</v>
      </c>
      <c r="E33" s="17" t="s">
        <v>552</v>
      </c>
      <c r="F33" s="18"/>
      <c r="G33" s="18"/>
      <c r="H33" s="15" t="s">
        <v>553</v>
      </c>
      <c r="I33" s="18"/>
      <c r="J33" s="19" t="s">
        <v>36</v>
      </c>
      <c r="K33" s="19" t="s">
        <v>1269</v>
      </c>
      <c r="L33" s="19" t="s">
        <v>38</v>
      </c>
      <c r="M33" s="20">
        <f t="shared" si="1"/>
        <v>1598.4</v>
      </c>
      <c r="N33" s="31">
        <v>1.0</v>
      </c>
      <c r="O33" s="19" t="s">
        <v>107</v>
      </c>
      <c r="P33" s="18"/>
      <c r="Q33" s="18"/>
      <c r="R33" s="23">
        <v>15.0</v>
      </c>
      <c r="S33" s="23">
        <v>90.0</v>
      </c>
      <c r="T33" s="23">
        <f t="shared" si="2"/>
        <v>86.4</v>
      </c>
      <c r="U33" s="23">
        <f t="shared" si="3"/>
        <v>18.375</v>
      </c>
      <c r="V33" s="23">
        <f t="shared" si="4"/>
        <v>344.53125</v>
      </c>
      <c r="W33" s="24">
        <f t="shared" si="5"/>
        <v>5.76</v>
      </c>
      <c r="X33" s="70">
        <f t="shared" si="6"/>
        <v>344.53125</v>
      </c>
      <c r="Y33" s="70">
        <f t="shared" si="7"/>
        <v>1598.4</v>
      </c>
    </row>
    <row r="34">
      <c r="A34" s="15" t="s">
        <v>557</v>
      </c>
      <c r="B34" s="15" t="s">
        <v>558</v>
      </c>
      <c r="C34" s="15" t="s">
        <v>6027</v>
      </c>
      <c r="D34" s="15" t="s">
        <v>559</v>
      </c>
      <c r="E34" s="17" t="s">
        <v>560</v>
      </c>
      <c r="F34" s="18"/>
      <c r="G34" s="18"/>
      <c r="H34" s="15" t="s">
        <v>561</v>
      </c>
      <c r="I34" s="18"/>
      <c r="J34" s="19" t="s">
        <v>36</v>
      </c>
      <c r="K34" s="33"/>
      <c r="L34" s="19" t="s">
        <v>177</v>
      </c>
      <c r="M34" s="20">
        <f t="shared" si="1"/>
        <v>2504.16</v>
      </c>
      <c r="N34" s="31">
        <v>1.0</v>
      </c>
      <c r="O34" s="19" t="s">
        <v>107</v>
      </c>
      <c r="P34" s="18"/>
      <c r="Q34" s="18"/>
      <c r="R34" s="23">
        <v>24.0</v>
      </c>
      <c r="S34" s="23">
        <v>141.0</v>
      </c>
      <c r="T34" s="23">
        <f t="shared" si="2"/>
        <v>135.36</v>
      </c>
      <c r="U34" s="23">
        <f t="shared" si="3"/>
        <v>29.4</v>
      </c>
      <c r="V34" s="23">
        <f t="shared" si="4"/>
        <v>551.25</v>
      </c>
      <c r="W34" s="24">
        <f t="shared" si="5"/>
        <v>5.64</v>
      </c>
      <c r="X34" s="70">
        <f t="shared" si="6"/>
        <v>551.25</v>
      </c>
      <c r="Y34" s="70">
        <f t="shared" si="7"/>
        <v>2504.16</v>
      </c>
    </row>
    <row r="35">
      <c r="A35" s="15" t="s">
        <v>692</v>
      </c>
      <c r="B35" s="15" t="s">
        <v>693</v>
      </c>
      <c r="C35" s="15" t="s">
        <v>6028</v>
      </c>
      <c r="D35" s="15" t="s">
        <v>694</v>
      </c>
      <c r="E35" s="17" t="s">
        <v>695</v>
      </c>
      <c r="F35" s="18"/>
      <c r="G35" s="18"/>
      <c r="H35" s="15" t="s">
        <v>696</v>
      </c>
      <c r="I35" s="18"/>
      <c r="J35" s="19" t="s">
        <v>36</v>
      </c>
      <c r="K35" s="33"/>
      <c r="L35" s="19" t="s">
        <v>177</v>
      </c>
      <c r="M35" s="20">
        <f t="shared" si="1"/>
        <v>3214.56</v>
      </c>
      <c r="N35" s="31">
        <v>1.0</v>
      </c>
      <c r="O35" s="19" t="s">
        <v>107</v>
      </c>
      <c r="P35" s="18"/>
      <c r="Q35" s="18"/>
      <c r="R35" s="23">
        <v>36.0</v>
      </c>
      <c r="S35" s="23">
        <v>181.0</v>
      </c>
      <c r="T35" s="23">
        <f t="shared" si="2"/>
        <v>173.76</v>
      </c>
      <c r="U35" s="23">
        <f t="shared" si="3"/>
        <v>44.1</v>
      </c>
      <c r="V35" s="23">
        <f t="shared" si="4"/>
        <v>826.875</v>
      </c>
      <c r="W35" s="24">
        <f t="shared" si="5"/>
        <v>4.826666667</v>
      </c>
      <c r="X35" s="70">
        <f t="shared" si="6"/>
        <v>826.875</v>
      </c>
      <c r="Y35" s="70">
        <f t="shared" si="7"/>
        <v>3214.56</v>
      </c>
    </row>
    <row r="36">
      <c r="A36" s="15" t="s">
        <v>1104</v>
      </c>
      <c r="B36" s="15" t="s">
        <v>1105</v>
      </c>
      <c r="C36" s="15" t="s">
        <v>6029</v>
      </c>
      <c r="D36" s="15" t="s">
        <v>1106</v>
      </c>
      <c r="E36" s="17" t="s">
        <v>1107</v>
      </c>
      <c r="F36" s="18"/>
      <c r="G36" s="15" t="s">
        <v>1108</v>
      </c>
      <c r="H36" s="15" t="s">
        <v>1109</v>
      </c>
      <c r="I36" s="18"/>
      <c r="J36" s="19" t="s">
        <v>36</v>
      </c>
      <c r="K36" s="19" t="s">
        <v>60</v>
      </c>
      <c r="L36" s="19" t="s">
        <v>177</v>
      </c>
      <c r="M36" s="20">
        <f t="shared" si="1"/>
        <v>3853.92</v>
      </c>
      <c r="N36" s="31">
        <v>1.0</v>
      </c>
      <c r="O36" s="19" t="s">
        <v>107</v>
      </c>
      <c r="P36" s="18"/>
      <c r="Q36" s="18"/>
      <c r="R36" s="23">
        <v>82.0</v>
      </c>
      <c r="S36" s="23">
        <v>217.0</v>
      </c>
      <c r="T36" s="23">
        <f t="shared" si="2"/>
        <v>208.32</v>
      </c>
      <c r="U36" s="23">
        <f t="shared" si="3"/>
        <v>100.45</v>
      </c>
      <c r="V36" s="23">
        <f t="shared" si="4"/>
        <v>1883.4375</v>
      </c>
      <c r="W36" s="24">
        <f t="shared" si="5"/>
        <v>2.540487805</v>
      </c>
      <c r="X36" s="70">
        <f t="shared" si="6"/>
        <v>1883.4375</v>
      </c>
      <c r="Y36" s="70">
        <f t="shared" si="7"/>
        <v>3853.92</v>
      </c>
    </row>
    <row r="37">
      <c r="A37" s="15" t="s">
        <v>735</v>
      </c>
      <c r="B37" s="15" t="s">
        <v>736</v>
      </c>
      <c r="C37" s="15" t="s">
        <v>6018</v>
      </c>
      <c r="D37" s="15" t="s">
        <v>737</v>
      </c>
      <c r="E37" s="17" t="s">
        <v>738</v>
      </c>
      <c r="F37" s="18"/>
      <c r="G37" s="15" t="s">
        <v>739</v>
      </c>
      <c r="H37" s="15" t="s">
        <v>740</v>
      </c>
      <c r="I37" s="15" t="s">
        <v>741</v>
      </c>
      <c r="J37" s="19" t="s">
        <v>36</v>
      </c>
      <c r="K37" s="19" t="s">
        <v>60</v>
      </c>
      <c r="L37" s="19" t="s">
        <v>6017</v>
      </c>
      <c r="M37" s="20">
        <f t="shared" si="1"/>
        <v>1012.32</v>
      </c>
      <c r="N37" s="31">
        <v>1.0</v>
      </c>
      <c r="O37" s="19" t="s">
        <v>107</v>
      </c>
      <c r="P37" s="18"/>
      <c r="Q37" s="18"/>
      <c r="R37" s="23">
        <v>12.0</v>
      </c>
      <c r="S37" s="23">
        <v>57.0</v>
      </c>
      <c r="T37" s="23">
        <f t="shared" si="2"/>
        <v>54.72</v>
      </c>
      <c r="U37" s="23">
        <f t="shared" si="3"/>
        <v>14.7</v>
      </c>
      <c r="V37" s="23">
        <f t="shared" si="4"/>
        <v>275.625</v>
      </c>
      <c r="W37" s="24">
        <f t="shared" si="5"/>
        <v>4.56</v>
      </c>
      <c r="X37" s="70">
        <f t="shared" si="6"/>
        <v>275.625</v>
      </c>
      <c r="Y37" s="70">
        <f t="shared" si="7"/>
        <v>1012.32</v>
      </c>
    </row>
    <row r="38">
      <c r="A38" s="15" t="s">
        <v>136</v>
      </c>
      <c r="B38" s="15" t="s">
        <v>137</v>
      </c>
      <c r="C38" s="18"/>
      <c r="D38" s="15" t="s">
        <v>138</v>
      </c>
      <c r="E38" s="17" t="s">
        <v>139</v>
      </c>
      <c r="F38" s="18"/>
      <c r="G38" s="15" t="s">
        <v>140</v>
      </c>
      <c r="H38" s="15" t="s">
        <v>141</v>
      </c>
      <c r="I38" s="18"/>
      <c r="J38" s="19" t="s">
        <v>36</v>
      </c>
      <c r="K38" s="19" t="s">
        <v>60</v>
      </c>
      <c r="L38" s="19" t="s">
        <v>135</v>
      </c>
      <c r="M38" s="20">
        <f t="shared" si="1"/>
        <v>1651.68</v>
      </c>
      <c r="N38" s="31">
        <v>1.0</v>
      </c>
      <c r="O38" s="19" t="s">
        <v>107</v>
      </c>
      <c r="P38" s="18"/>
      <c r="Q38" s="18"/>
      <c r="R38" s="23">
        <v>4.0</v>
      </c>
      <c r="S38" s="23">
        <v>93.0</v>
      </c>
      <c r="T38" s="23">
        <f t="shared" si="2"/>
        <v>89.28</v>
      </c>
      <c r="U38" s="23">
        <f t="shared" si="3"/>
        <v>4.9</v>
      </c>
      <c r="V38" s="23">
        <f t="shared" si="4"/>
        <v>91.875</v>
      </c>
      <c r="W38" s="24">
        <f t="shared" si="5"/>
        <v>22.32</v>
      </c>
      <c r="X38" s="70">
        <f t="shared" si="6"/>
        <v>91.875</v>
      </c>
      <c r="Y38" s="70">
        <f t="shared" si="7"/>
        <v>1651.68</v>
      </c>
    </row>
    <row r="39">
      <c r="A39" s="15" t="s">
        <v>891</v>
      </c>
      <c r="B39" s="15" t="s">
        <v>892</v>
      </c>
      <c r="C39" s="18"/>
      <c r="D39" s="15" t="s">
        <v>893</v>
      </c>
      <c r="E39" s="17" t="s">
        <v>894</v>
      </c>
      <c r="F39" s="18"/>
      <c r="G39" s="18"/>
      <c r="H39" s="15" t="s">
        <v>895</v>
      </c>
      <c r="I39" s="18"/>
      <c r="J39" s="19" t="s">
        <v>36</v>
      </c>
      <c r="K39" s="33"/>
      <c r="L39" s="19" t="s">
        <v>269</v>
      </c>
      <c r="M39" s="20">
        <f t="shared" si="1"/>
        <v>10034.4</v>
      </c>
      <c r="N39" s="31">
        <v>1.0</v>
      </c>
      <c r="O39" s="19" t="s">
        <v>107</v>
      </c>
      <c r="P39" s="18"/>
      <c r="Q39" s="18"/>
      <c r="R39" s="23">
        <v>140.0</v>
      </c>
      <c r="S39" s="23">
        <v>565.0</v>
      </c>
      <c r="T39" s="23">
        <f t="shared" si="2"/>
        <v>542.4</v>
      </c>
      <c r="U39" s="23">
        <f t="shared" si="3"/>
        <v>171.5</v>
      </c>
      <c r="V39" s="23">
        <f t="shared" si="4"/>
        <v>3215.625</v>
      </c>
      <c r="W39" s="24">
        <f t="shared" si="5"/>
        <v>3.874285714</v>
      </c>
      <c r="X39" s="70">
        <f t="shared" si="6"/>
        <v>3215.625</v>
      </c>
      <c r="Y39" s="70">
        <f t="shared" si="7"/>
        <v>10034.4</v>
      </c>
    </row>
    <row r="40">
      <c r="A40" s="15" t="s">
        <v>363</v>
      </c>
      <c r="B40" s="15" t="s">
        <v>364</v>
      </c>
      <c r="C40" s="15" t="s">
        <v>6030</v>
      </c>
      <c r="D40" s="15" t="s">
        <v>365</v>
      </c>
      <c r="E40" s="17" t="s">
        <v>366</v>
      </c>
      <c r="F40" s="18"/>
      <c r="G40" s="18"/>
      <c r="H40" s="15" t="s">
        <v>367</v>
      </c>
      <c r="I40" s="18"/>
      <c r="J40" s="19" t="s">
        <v>59</v>
      </c>
      <c r="K40" s="19" t="s">
        <v>60</v>
      </c>
      <c r="L40" s="19" t="s">
        <v>368</v>
      </c>
      <c r="M40" s="20">
        <f t="shared" si="1"/>
        <v>745.92</v>
      </c>
      <c r="N40" s="31">
        <v>1.0</v>
      </c>
      <c r="O40" s="19" t="s">
        <v>107</v>
      </c>
      <c r="P40" s="18"/>
      <c r="Q40" s="18"/>
      <c r="R40" s="23">
        <v>5.5</v>
      </c>
      <c r="S40" s="23">
        <v>42.0</v>
      </c>
      <c r="T40" s="23">
        <f t="shared" si="2"/>
        <v>40.32</v>
      </c>
      <c r="U40" s="23">
        <f t="shared" si="3"/>
        <v>6.7375</v>
      </c>
      <c r="V40" s="23">
        <f t="shared" si="4"/>
        <v>126.328125</v>
      </c>
      <c r="W40" s="24">
        <f t="shared" si="5"/>
        <v>7.330909091</v>
      </c>
      <c r="X40" s="70">
        <f t="shared" si="6"/>
        <v>126.328125</v>
      </c>
      <c r="Y40" s="70">
        <f t="shared" si="7"/>
        <v>745.92</v>
      </c>
    </row>
    <row r="41">
      <c r="A41" s="15" t="s">
        <v>668</v>
      </c>
      <c r="B41" s="15" t="s">
        <v>669</v>
      </c>
      <c r="C41" s="15" t="s">
        <v>6031</v>
      </c>
      <c r="D41" s="15" t="s">
        <v>670</v>
      </c>
      <c r="E41" s="17" t="s">
        <v>671</v>
      </c>
      <c r="F41" s="18"/>
      <c r="G41" s="18"/>
      <c r="H41" s="15" t="s">
        <v>672</v>
      </c>
      <c r="I41" s="18"/>
      <c r="J41" s="19" t="s">
        <v>59</v>
      </c>
      <c r="K41" s="19" t="s">
        <v>200</v>
      </c>
      <c r="L41" s="19" t="s">
        <v>38</v>
      </c>
      <c r="M41" s="20">
        <f t="shared" si="1"/>
        <v>1456.32</v>
      </c>
      <c r="N41" s="31">
        <v>1.0</v>
      </c>
      <c r="O41" s="19" t="s">
        <v>107</v>
      </c>
      <c r="P41" s="18"/>
      <c r="Q41" s="18"/>
      <c r="R41" s="23">
        <v>16.0</v>
      </c>
      <c r="S41" s="23">
        <v>82.0</v>
      </c>
      <c r="T41" s="23">
        <f t="shared" si="2"/>
        <v>78.72</v>
      </c>
      <c r="U41" s="23">
        <f t="shared" si="3"/>
        <v>19.6</v>
      </c>
      <c r="V41" s="23">
        <f t="shared" si="4"/>
        <v>367.5</v>
      </c>
      <c r="W41" s="24">
        <f t="shared" si="5"/>
        <v>4.92</v>
      </c>
      <c r="X41" s="70">
        <f t="shared" si="6"/>
        <v>367.5</v>
      </c>
      <c r="Y41" s="70">
        <f t="shared" si="7"/>
        <v>1456.32</v>
      </c>
    </row>
    <row r="42">
      <c r="A42" s="15" t="s">
        <v>871</v>
      </c>
      <c r="B42" s="15" t="s">
        <v>872</v>
      </c>
      <c r="C42" s="15" t="s">
        <v>6032</v>
      </c>
      <c r="D42" s="15" t="s">
        <v>873</v>
      </c>
      <c r="E42" s="17" t="s">
        <v>874</v>
      </c>
      <c r="F42" s="18"/>
      <c r="G42" s="15" t="s">
        <v>875</v>
      </c>
      <c r="H42" s="15" t="s">
        <v>876</v>
      </c>
      <c r="I42" s="18"/>
      <c r="J42" s="19" t="s">
        <v>59</v>
      </c>
      <c r="K42" s="19" t="s">
        <v>200</v>
      </c>
      <c r="L42" s="19" t="s">
        <v>292</v>
      </c>
      <c r="M42" s="20">
        <f t="shared" si="1"/>
        <v>1243.2</v>
      </c>
      <c r="N42" s="31">
        <v>1.0</v>
      </c>
      <c r="O42" s="19" t="s">
        <v>107</v>
      </c>
      <c r="P42" s="18"/>
      <c r="Q42" s="18"/>
      <c r="R42" s="23">
        <v>17.0</v>
      </c>
      <c r="S42" s="23">
        <v>70.0</v>
      </c>
      <c r="T42" s="23">
        <f t="shared" si="2"/>
        <v>67.2</v>
      </c>
      <c r="U42" s="23">
        <f t="shared" si="3"/>
        <v>20.825</v>
      </c>
      <c r="V42" s="23">
        <f t="shared" si="4"/>
        <v>390.46875</v>
      </c>
      <c r="W42" s="24">
        <f t="shared" si="5"/>
        <v>3.952941176</v>
      </c>
      <c r="X42" s="70">
        <f t="shared" si="6"/>
        <v>390.46875</v>
      </c>
      <c r="Y42" s="70">
        <f t="shared" si="7"/>
        <v>1243.2</v>
      </c>
    </row>
    <row r="43">
      <c r="A43" s="15" t="s">
        <v>634</v>
      </c>
      <c r="B43" s="15" t="s">
        <v>635</v>
      </c>
      <c r="C43" s="15" t="s">
        <v>6033</v>
      </c>
      <c r="D43" s="15" t="s">
        <v>636</v>
      </c>
      <c r="E43" s="17" t="s">
        <v>637</v>
      </c>
      <c r="F43" s="18"/>
      <c r="G43" s="18"/>
      <c r="H43" s="15" t="s">
        <v>638</v>
      </c>
      <c r="I43" s="18"/>
      <c r="J43" s="19" t="s">
        <v>59</v>
      </c>
      <c r="K43" s="19" t="s">
        <v>200</v>
      </c>
      <c r="L43" s="19" t="s">
        <v>292</v>
      </c>
      <c r="M43" s="20">
        <f t="shared" si="1"/>
        <v>745.92</v>
      </c>
      <c r="N43" s="31">
        <v>1.0</v>
      </c>
      <c r="O43" s="19" t="s">
        <v>107</v>
      </c>
      <c r="P43" s="18"/>
      <c r="Q43" s="18"/>
      <c r="R43" s="23">
        <v>8.0</v>
      </c>
      <c r="S43" s="23">
        <v>42.0</v>
      </c>
      <c r="T43" s="23">
        <f t="shared" si="2"/>
        <v>40.32</v>
      </c>
      <c r="U43" s="23">
        <f t="shared" si="3"/>
        <v>9.8</v>
      </c>
      <c r="V43" s="23">
        <f t="shared" si="4"/>
        <v>183.75</v>
      </c>
      <c r="W43" s="24">
        <f t="shared" si="5"/>
        <v>5.04</v>
      </c>
      <c r="X43" s="70">
        <f t="shared" si="6"/>
        <v>183.75</v>
      </c>
      <c r="Y43" s="70">
        <f t="shared" si="7"/>
        <v>745.92</v>
      </c>
    </row>
    <row r="44">
      <c r="A44" s="15" t="s">
        <v>819</v>
      </c>
      <c r="B44" s="15" t="s">
        <v>820</v>
      </c>
      <c r="C44" s="15" t="s">
        <v>6034</v>
      </c>
      <c r="D44" s="15" t="s">
        <v>821</v>
      </c>
      <c r="E44" s="17" t="s">
        <v>822</v>
      </c>
      <c r="F44" s="18"/>
      <c r="G44" s="18"/>
      <c r="H44" s="15" t="s">
        <v>823</v>
      </c>
      <c r="I44" s="18"/>
      <c r="J44" s="19" t="s">
        <v>59</v>
      </c>
      <c r="K44" s="19" t="s">
        <v>200</v>
      </c>
      <c r="L44" s="19" t="s">
        <v>38</v>
      </c>
      <c r="M44" s="20">
        <f t="shared" si="1"/>
        <v>230.88</v>
      </c>
      <c r="N44" s="31">
        <v>1.0</v>
      </c>
      <c r="O44" s="19" t="s">
        <v>107</v>
      </c>
      <c r="P44" s="18"/>
      <c r="Q44" s="18"/>
      <c r="R44" s="23">
        <v>3.0</v>
      </c>
      <c r="S44" s="23">
        <v>13.0</v>
      </c>
      <c r="T44" s="23">
        <f t="shared" si="2"/>
        <v>12.48</v>
      </c>
      <c r="U44" s="23">
        <f t="shared" si="3"/>
        <v>3.675</v>
      </c>
      <c r="V44" s="23">
        <f t="shared" si="4"/>
        <v>68.90625</v>
      </c>
      <c r="W44" s="24">
        <f t="shared" si="5"/>
        <v>4.16</v>
      </c>
      <c r="X44" s="70">
        <f t="shared" si="6"/>
        <v>68.90625</v>
      </c>
      <c r="Y44" s="70">
        <f t="shared" si="7"/>
        <v>230.88</v>
      </c>
    </row>
    <row r="45">
      <c r="A45" s="15" t="s">
        <v>645</v>
      </c>
      <c r="B45" s="15" t="s">
        <v>646</v>
      </c>
      <c r="C45" s="15" t="s">
        <v>6035</v>
      </c>
      <c r="D45" s="15" t="s">
        <v>647</v>
      </c>
      <c r="E45" s="17" t="s">
        <v>648</v>
      </c>
      <c r="F45" s="18"/>
      <c r="G45" s="15" t="s">
        <v>649</v>
      </c>
      <c r="H45" s="15" t="s">
        <v>650</v>
      </c>
      <c r="I45" s="18"/>
      <c r="J45" s="19" t="s">
        <v>59</v>
      </c>
      <c r="K45" s="19" t="s">
        <v>427</v>
      </c>
      <c r="L45" s="19" t="s">
        <v>292</v>
      </c>
      <c r="M45" s="20">
        <f t="shared" si="1"/>
        <v>1669.44</v>
      </c>
      <c r="N45" s="31">
        <v>1.0</v>
      </c>
      <c r="O45" s="19" t="s">
        <v>107</v>
      </c>
      <c r="P45" s="18"/>
      <c r="Q45" s="18"/>
      <c r="R45" s="23">
        <v>18.0</v>
      </c>
      <c r="S45" s="23">
        <v>94.0</v>
      </c>
      <c r="T45" s="23">
        <f t="shared" si="2"/>
        <v>90.24</v>
      </c>
      <c r="U45" s="23">
        <f t="shared" si="3"/>
        <v>22.05</v>
      </c>
      <c r="V45" s="23">
        <f t="shared" si="4"/>
        <v>413.4375</v>
      </c>
      <c r="W45" s="24">
        <f t="shared" si="5"/>
        <v>5.013333333</v>
      </c>
      <c r="X45" s="70">
        <f t="shared" si="6"/>
        <v>413.4375</v>
      </c>
      <c r="Y45" s="70">
        <f t="shared" si="7"/>
        <v>1669.44</v>
      </c>
    </row>
    <row r="46">
      <c r="A46" s="15" t="s">
        <v>569</v>
      </c>
      <c r="B46" s="15" t="s">
        <v>570</v>
      </c>
      <c r="C46" s="15" t="s">
        <v>6036</v>
      </c>
      <c r="D46" s="15" t="s">
        <v>571</v>
      </c>
      <c r="E46" s="17" t="s">
        <v>572</v>
      </c>
      <c r="F46" s="18"/>
      <c r="G46" s="15" t="s">
        <v>573</v>
      </c>
      <c r="H46" s="15" t="s">
        <v>574</v>
      </c>
      <c r="I46" s="18"/>
      <c r="J46" s="19" t="s">
        <v>59</v>
      </c>
      <c r="K46" s="19" t="s">
        <v>200</v>
      </c>
      <c r="L46" s="19" t="s">
        <v>38</v>
      </c>
      <c r="M46" s="20">
        <f t="shared" si="1"/>
        <v>355.2</v>
      </c>
      <c r="N46" s="31">
        <v>1.0</v>
      </c>
      <c r="O46" s="19" t="s">
        <v>107</v>
      </c>
      <c r="P46" s="18"/>
      <c r="Q46" s="18"/>
      <c r="R46" s="23">
        <v>3.5</v>
      </c>
      <c r="S46" s="23">
        <v>20.0</v>
      </c>
      <c r="T46" s="23">
        <f t="shared" si="2"/>
        <v>19.2</v>
      </c>
      <c r="U46" s="23">
        <f t="shared" si="3"/>
        <v>4.2875</v>
      </c>
      <c r="V46" s="23">
        <f t="shared" si="4"/>
        <v>80.390625</v>
      </c>
      <c r="W46" s="24">
        <f t="shared" si="5"/>
        <v>5.485714286</v>
      </c>
      <c r="X46" s="70">
        <f t="shared" si="6"/>
        <v>80.390625</v>
      </c>
      <c r="Y46" s="70">
        <f t="shared" si="7"/>
        <v>355.2</v>
      </c>
    </row>
    <row r="47">
      <c r="A47" s="15" t="s">
        <v>532</v>
      </c>
      <c r="B47" s="15" t="s">
        <v>533</v>
      </c>
      <c r="C47" s="15" t="s">
        <v>6037</v>
      </c>
      <c r="D47" s="15" t="s">
        <v>534</v>
      </c>
      <c r="E47" s="17" t="s">
        <v>535</v>
      </c>
      <c r="F47" s="18"/>
      <c r="G47" s="18"/>
      <c r="H47" s="15" t="s">
        <v>536</v>
      </c>
      <c r="I47" s="18"/>
      <c r="J47" s="19" t="s">
        <v>59</v>
      </c>
      <c r="K47" s="19" t="s">
        <v>52</v>
      </c>
      <c r="L47" s="19" t="s">
        <v>147</v>
      </c>
      <c r="M47" s="20">
        <f t="shared" si="1"/>
        <v>710.4</v>
      </c>
      <c r="N47" s="31">
        <v>1.0</v>
      </c>
      <c r="O47" s="19" t="s">
        <v>107</v>
      </c>
      <c r="P47" s="18"/>
      <c r="Q47" s="18"/>
      <c r="R47" s="23">
        <v>6.5</v>
      </c>
      <c r="S47" s="23">
        <v>40.0</v>
      </c>
      <c r="T47" s="23">
        <f t="shared" si="2"/>
        <v>38.4</v>
      </c>
      <c r="U47" s="23">
        <f t="shared" si="3"/>
        <v>7.9625</v>
      </c>
      <c r="V47" s="23">
        <f t="shared" si="4"/>
        <v>149.296875</v>
      </c>
      <c r="W47" s="24">
        <f t="shared" si="5"/>
        <v>5.907692308</v>
      </c>
      <c r="X47" s="70">
        <f t="shared" si="6"/>
        <v>149.296875</v>
      </c>
      <c r="Y47" s="70">
        <f t="shared" si="7"/>
        <v>710.4</v>
      </c>
    </row>
    <row r="48">
      <c r="A48" s="15" t="s">
        <v>201</v>
      </c>
      <c r="B48" s="15" t="s">
        <v>202</v>
      </c>
      <c r="C48" s="15" t="s">
        <v>6038</v>
      </c>
      <c r="D48" s="15" t="s">
        <v>144</v>
      </c>
      <c r="E48" s="17" t="s">
        <v>145</v>
      </c>
      <c r="F48" s="18"/>
      <c r="G48" s="18"/>
      <c r="H48" s="15" t="s">
        <v>203</v>
      </c>
      <c r="I48" s="18"/>
      <c r="J48" s="19" t="s">
        <v>59</v>
      </c>
      <c r="K48" s="19" t="s">
        <v>52</v>
      </c>
      <c r="L48" s="19" t="s">
        <v>147</v>
      </c>
      <c r="M48" s="20">
        <f t="shared" si="1"/>
        <v>3747.36</v>
      </c>
      <c r="N48" s="31">
        <v>1.0</v>
      </c>
      <c r="O48" s="19" t="s">
        <v>107</v>
      </c>
      <c r="P48" s="18"/>
      <c r="Q48" s="18"/>
      <c r="R48" s="23">
        <v>21.0</v>
      </c>
      <c r="S48" s="23">
        <v>211.0</v>
      </c>
      <c r="T48" s="23">
        <f t="shared" si="2"/>
        <v>202.56</v>
      </c>
      <c r="U48" s="23">
        <f t="shared" si="3"/>
        <v>25.725</v>
      </c>
      <c r="V48" s="23">
        <f t="shared" si="4"/>
        <v>482.34375</v>
      </c>
      <c r="W48" s="24">
        <f t="shared" si="5"/>
        <v>9.645714286</v>
      </c>
      <c r="X48" s="70">
        <f t="shared" si="6"/>
        <v>482.34375</v>
      </c>
      <c r="Y48" s="70">
        <f t="shared" si="7"/>
        <v>3747.36</v>
      </c>
    </row>
    <row r="49">
      <c r="A49" s="15" t="s">
        <v>229</v>
      </c>
      <c r="B49" s="15" t="s">
        <v>230</v>
      </c>
      <c r="C49" s="15" t="s">
        <v>6039</v>
      </c>
      <c r="D49" s="15" t="s">
        <v>144</v>
      </c>
      <c r="E49" s="17" t="s">
        <v>145</v>
      </c>
      <c r="F49" s="18"/>
      <c r="G49" s="18"/>
      <c r="H49" s="15" t="s">
        <v>231</v>
      </c>
      <c r="I49" s="18"/>
      <c r="J49" s="19" t="s">
        <v>59</v>
      </c>
      <c r="K49" s="19" t="s">
        <v>52</v>
      </c>
      <c r="L49" s="19" t="s">
        <v>147</v>
      </c>
      <c r="M49" s="20">
        <f t="shared" si="1"/>
        <v>2042.4</v>
      </c>
      <c r="N49" s="31">
        <v>1.0</v>
      </c>
      <c r="O49" s="19" t="s">
        <v>107</v>
      </c>
      <c r="P49" s="18"/>
      <c r="Q49" s="18"/>
      <c r="R49" s="23">
        <v>12.0</v>
      </c>
      <c r="S49" s="23">
        <v>115.0</v>
      </c>
      <c r="T49" s="23">
        <f t="shared" si="2"/>
        <v>110.4</v>
      </c>
      <c r="U49" s="23">
        <f t="shared" si="3"/>
        <v>14.7</v>
      </c>
      <c r="V49" s="23">
        <f t="shared" si="4"/>
        <v>275.625</v>
      </c>
      <c r="W49" s="24">
        <f t="shared" si="5"/>
        <v>9.2</v>
      </c>
      <c r="X49" s="70">
        <f t="shared" si="6"/>
        <v>275.625</v>
      </c>
      <c r="Y49" s="70">
        <f t="shared" si="7"/>
        <v>2042.4</v>
      </c>
    </row>
    <row r="50">
      <c r="A50" s="15" t="s">
        <v>349</v>
      </c>
      <c r="B50" s="15" t="s">
        <v>350</v>
      </c>
      <c r="C50" s="15" t="s">
        <v>6040</v>
      </c>
      <c r="D50" s="15" t="s">
        <v>144</v>
      </c>
      <c r="E50" s="17" t="s">
        <v>145</v>
      </c>
      <c r="F50" s="18"/>
      <c r="G50" s="18"/>
      <c r="H50" s="15" t="s">
        <v>351</v>
      </c>
      <c r="I50" s="18"/>
      <c r="J50" s="19" t="s">
        <v>59</v>
      </c>
      <c r="K50" s="19" t="s">
        <v>52</v>
      </c>
      <c r="L50" s="19" t="s">
        <v>147</v>
      </c>
      <c r="M50" s="20">
        <f t="shared" si="1"/>
        <v>1633.92</v>
      </c>
      <c r="N50" s="31">
        <v>1.0</v>
      </c>
      <c r="O50" s="19" t="s">
        <v>107</v>
      </c>
      <c r="P50" s="18"/>
      <c r="Q50" s="18"/>
      <c r="R50" s="23">
        <v>12.0</v>
      </c>
      <c r="S50" s="23">
        <v>92.0</v>
      </c>
      <c r="T50" s="23">
        <f t="shared" si="2"/>
        <v>88.32</v>
      </c>
      <c r="U50" s="23">
        <f t="shared" si="3"/>
        <v>14.7</v>
      </c>
      <c r="V50" s="23">
        <f t="shared" si="4"/>
        <v>275.625</v>
      </c>
      <c r="W50" s="24">
        <f t="shared" si="5"/>
        <v>7.36</v>
      </c>
      <c r="X50" s="70">
        <f t="shared" si="6"/>
        <v>275.625</v>
      </c>
      <c r="Y50" s="70">
        <f t="shared" si="7"/>
        <v>1633.92</v>
      </c>
    </row>
    <row r="51">
      <c r="A51" s="15" t="s">
        <v>142</v>
      </c>
      <c r="B51" s="15" t="s">
        <v>143</v>
      </c>
      <c r="C51" s="15" t="s">
        <v>6041</v>
      </c>
      <c r="D51" s="15" t="s">
        <v>144</v>
      </c>
      <c r="E51" s="17" t="s">
        <v>145</v>
      </c>
      <c r="F51" s="18"/>
      <c r="G51" s="18"/>
      <c r="H51" s="15" t="s">
        <v>146</v>
      </c>
      <c r="I51" s="18"/>
      <c r="J51" s="19" t="s">
        <v>59</v>
      </c>
      <c r="K51" s="19" t="s">
        <v>52</v>
      </c>
      <c r="L51" s="19" t="s">
        <v>147</v>
      </c>
      <c r="M51" s="20">
        <f t="shared" si="1"/>
        <v>6553.44</v>
      </c>
      <c r="N51" s="31">
        <v>1.0</v>
      </c>
      <c r="O51" s="19" t="s">
        <v>107</v>
      </c>
      <c r="P51" s="18"/>
      <c r="Q51" s="18"/>
      <c r="R51" s="23">
        <v>22.0</v>
      </c>
      <c r="S51" s="23">
        <v>369.0</v>
      </c>
      <c r="T51" s="23">
        <f t="shared" si="2"/>
        <v>354.24</v>
      </c>
      <c r="U51" s="23">
        <f t="shared" si="3"/>
        <v>26.95</v>
      </c>
      <c r="V51" s="23">
        <f t="shared" si="4"/>
        <v>505.3125</v>
      </c>
      <c r="W51" s="24">
        <f t="shared" si="5"/>
        <v>16.10181818</v>
      </c>
      <c r="X51" s="70">
        <f t="shared" si="6"/>
        <v>505.3125</v>
      </c>
      <c r="Y51" s="70">
        <f t="shared" si="7"/>
        <v>6553.44</v>
      </c>
    </row>
    <row r="52">
      <c r="A52" s="15" t="s">
        <v>232</v>
      </c>
      <c r="B52" s="15" t="s">
        <v>233</v>
      </c>
      <c r="C52" s="15" t="s">
        <v>6042</v>
      </c>
      <c r="D52" s="15" t="s">
        <v>144</v>
      </c>
      <c r="E52" s="17" t="s">
        <v>145</v>
      </c>
      <c r="F52" s="18"/>
      <c r="G52" s="18"/>
      <c r="H52" s="15" t="s">
        <v>234</v>
      </c>
      <c r="I52" s="18"/>
      <c r="J52" s="19" t="s">
        <v>59</v>
      </c>
      <c r="K52" s="19" t="s">
        <v>6043</v>
      </c>
      <c r="L52" s="19" t="s">
        <v>147</v>
      </c>
      <c r="M52" s="20">
        <f t="shared" si="1"/>
        <v>2042.4</v>
      </c>
      <c r="N52" s="31">
        <v>1.0</v>
      </c>
      <c r="O52" s="19" t="s">
        <v>107</v>
      </c>
      <c r="P52" s="18"/>
      <c r="Q52" s="18"/>
      <c r="R52" s="23">
        <v>12.0</v>
      </c>
      <c r="S52" s="23">
        <v>115.0</v>
      </c>
      <c r="T52" s="23">
        <f t="shared" si="2"/>
        <v>110.4</v>
      </c>
      <c r="U52" s="23">
        <f t="shared" si="3"/>
        <v>14.7</v>
      </c>
      <c r="V52" s="23">
        <f t="shared" si="4"/>
        <v>275.625</v>
      </c>
      <c r="W52" s="24">
        <f t="shared" si="5"/>
        <v>9.2</v>
      </c>
      <c r="X52" s="70">
        <f t="shared" si="6"/>
        <v>275.625</v>
      </c>
      <c r="Y52" s="70">
        <f t="shared" si="7"/>
        <v>2042.4</v>
      </c>
    </row>
    <row r="53">
      <c r="A53" s="15" t="s">
        <v>651</v>
      </c>
      <c r="B53" s="15" t="s">
        <v>652</v>
      </c>
      <c r="C53" s="15" t="s">
        <v>6044</v>
      </c>
      <c r="D53" s="15" t="s">
        <v>653</v>
      </c>
      <c r="E53" s="17" t="s">
        <v>654</v>
      </c>
      <c r="F53" s="18"/>
      <c r="G53" s="15" t="s">
        <v>655</v>
      </c>
      <c r="H53" s="15" t="s">
        <v>656</v>
      </c>
      <c r="I53" s="18"/>
      <c r="J53" s="19" t="s">
        <v>59</v>
      </c>
      <c r="K53" s="33"/>
      <c r="L53" s="19" t="s">
        <v>292</v>
      </c>
      <c r="M53" s="20">
        <f t="shared" si="1"/>
        <v>3694.08</v>
      </c>
      <c r="N53" s="31">
        <v>1.0</v>
      </c>
      <c r="O53" s="19" t="s">
        <v>107</v>
      </c>
      <c r="P53" s="18"/>
      <c r="Q53" s="18"/>
      <c r="R53" s="23">
        <v>40.0</v>
      </c>
      <c r="S53" s="23">
        <v>208.0</v>
      </c>
      <c r="T53" s="23">
        <f t="shared" si="2"/>
        <v>199.68</v>
      </c>
      <c r="U53" s="23">
        <f t="shared" si="3"/>
        <v>49</v>
      </c>
      <c r="V53" s="23">
        <f t="shared" si="4"/>
        <v>918.75</v>
      </c>
      <c r="W53" s="24">
        <f t="shared" si="5"/>
        <v>4.992</v>
      </c>
      <c r="X53" s="70">
        <f t="shared" si="6"/>
        <v>918.75</v>
      </c>
      <c r="Y53" s="70">
        <f t="shared" si="7"/>
        <v>3694.08</v>
      </c>
    </row>
    <row r="54">
      <c r="A54" s="15" t="s">
        <v>685</v>
      </c>
      <c r="B54" s="15" t="s">
        <v>686</v>
      </c>
      <c r="C54" s="15" t="s">
        <v>6045</v>
      </c>
      <c r="D54" s="15" t="s">
        <v>687</v>
      </c>
      <c r="E54" s="17" t="s">
        <v>688</v>
      </c>
      <c r="F54" s="18"/>
      <c r="G54" s="15" t="s">
        <v>689</v>
      </c>
      <c r="H54" s="15" t="s">
        <v>690</v>
      </c>
      <c r="I54" s="15"/>
      <c r="J54" s="19" t="s">
        <v>59</v>
      </c>
      <c r="K54" s="19" t="s">
        <v>691</v>
      </c>
      <c r="L54" s="19" t="s">
        <v>38</v>
      </c>
      <c r="M54" s="20">
        <f t="shared" si="1"/>
        <v>10283.04</v>
      </c>
      <c r="N54" s="31">
        <v>1.0</v>
      </c>
      <c r="O54" s="19" t="s">
        <v>107</v>
      </c>
      <c r="P54" s="18"/>
      <c r="Q54" s="18"/>
      <c r="R54" s="23">
        <v>115.0</v>
      </c>
      <c r="S54" s="23">
        <v>579.0</v>
      </c>
      <c r="T54" s="23">
        <f t="shared" si="2"/>
        <v>555.84</v>
      </c>
      <c r="U54" s="23">
        <f t="shared" si="3"/>
        <v>140.875</v>
      </c>
      <c r="V54" s="23">
        <f t="shared" si="4"/>
        <v>2641.40625</v>
      </c>
      <c r="W54" s="24">
        <f t="shared" si="5"/>
        <v>4.833391304</v>
      </c>
      <c r="X54" s="70">
        <f t="shared" si="6"/>
        <v>2641.40625</v>
      </c>
      <c r="Y54" s="70">
        <f t="shared" si="7"/>
        <v>10283.04</v>
      </c>
    </row>
    <row r="55">
      <c r="A55" s="15" t="s">
        <v>338</v>
      </c>
      <c r="B55" s="15" t="s">
        <v>339</v>
      </c>
      <c r="C55" s="15" t="s">
        <v>6046</v>
      </c>
      <c r="D55" s="15" t="s">
        <v>340</v>
      </c>
      <c r="E55" s="17" t="s">
        <v>341</v>
      </c>
      <c r="F55" s="18"/>
      <c r="G55" s="18"/>
      <c r="H55" s="15" t="s">
        <v>342</v>
      </c>
      <c r="I55" s="18"/>
      <c r="J55" s="19" t="s">
        <v>59</v>
      </c>
      <c r="K55" s="33"/>
      <c r="L55" s="19" t="s">
        <v>135</v>
      </c>
      <c r="M55" s="20">
        <f t="shared" si="1"/>
        <v>1243.2</v>
      </c>
      <c r="N55" s="31">
        <v>1.0</v>
      </c>
      <c r="O55" s="19" t="s">
        <v>107</v>
      </c>
      <c r="P55" s="18"/>
      <c r="Q55" s="18"/>
      <c r="R55" s="23">
        <v>9.0</v>
      </c>
      <c r="S55" s="23">
        <v>70.0</v>
      </c>
      <c r="T55" s="23">
        <f t="shared" si="2"/>
        <v>67.2</v>
      </c>
      <c r="U55" s="23">
        <f t="shared" si="3"/>
        <v>11.025</v>
      </c>
      <c r="V55" s="23">
        <f t="shared" si="4"/>
        <v>206.71875</v>
      </c>
      <c r="W55" s="24">
        <f t="shared" si="5"/>
        <v>7.466666667</v>
      </c>
      <c r="X55" s="70">
        <f t="shared" si="6"/>
        <v>206.71875</v>
      </c>
      <c r="Y55" s="70">
        <f t="shared" si="7"/>
        <v>1243.2</v>
      </c>
    </row>
    <row r="56">
      <c r="A56" s="15" t="s">
        <v>617</v>
      </c>
      <c r="B56" s="18" t="str">
        <f>CONCATENATE(7504589,A56)</f>
        <v>75045892197</v>
      </c>
      <c r="C56" s="15" t="s">
        <v>6047</v>
      </c>
      <c r="D56" s="15" t="s">
        <v>618</v>
      </c>
      <c r="E56" s="17" t="s">
        <v>619</v>
      </c>
      <c r="F56" s="18"/>
      <c r="G56" s="18"/>
      <c r="H56" s="15" t="s">
        <v>620</v>
      </c>
      <c r="I56" s="15"/>
      <c r="J56" s="19" t="s">
        <v>59</v>
      </c>
      <c r="K56" s="19" t="s">
        <v>60</v>
      </c>
      <c r="L56" s="19" t="s">
        <v>38</v>
      </c>
      <c r="M56" s="20">
        <f t="shared" si="1"/>
        <v>8453.76</v>
      </c>
      <c r="N56" s="31">
        <v>1.0</v>
      </c>
      <c r="O56" s="19" t="s">
        <v>107</v>
      </c>
      <c r="P56" s="18"/>
      <c r="Q56" s="18"/>
      <c r="R56" s="23">
        <v>88.0</v>
      </c>
      <c r="S56" s="23">
        <v>476.0</v>
      </c>
      <c r="T56" s="23">
        <f t="shared" si="2"/>
        <v>456.96</v>
      </c>
      <c r="U56" s="23">
        <f t="shared" si="3"/>
        <v>107.8</v>
      </c>
      <c r="V56" s="23">
        <f t="shared" si="4"/>
        <v>2021.25</v>
      </c>
      <c r="W56" s="24">
        <f t="shared" si="5"/>
        <v>5.192727273</v>
      </c>
      <c r="X56" s="70">
        <f t="shared" si="6"/>
        <v>2021.25</v>
      </c>
      <c r="Y56" s="70">
        <f t="shared" si="7"/>
        <v>8453.76</v>
      </c>
    </row>
    <row r="57">
      <c r="A57" s="15" t="s">
        <v>166</v>
      </c>
      <c r="B57" s="15" t="s">
        <v>167</v>
      </c>
      <c r="C57" s="15" t="s">
        <v>6048</v>
      </c>
      <c r="D57" s="15" t="s">
        <v>168</v>
      </c>
      <c r="E57" s="17" t="s">
        <v>169</v>
      </c>
      <c r="F57" s="18"/>
      <c r="G57" s="18"/>
      <c r="H57" s="15" t="s">
        <v>170</v>
      </c>
      <c r="I57" s="18"/>
      <c r="J57" s="19" t="s">
        <v>59</v>
      </c>
      <c r="K57" s="19" t="s">
        <v>60</v>
      </c>
      <c r="L57" s="19" t="s">
        <v>115</v>
      </c>
      <c r="M57" s="20">
        <f t="shared" si="1"/>
        <v>5256.96</v>
      </c>
      <c r="N57" s="31">
        <v>1.0</v>
      </c>
      <c r="O57" s="19" t="s">
        <v>107</v>
      </c>
      <c r="P57" s="18"/>
      <c r="Q57" s="18"/>
      <c r="R57" s="23">
        <v>21.0</v>
      </c>
      <c r="S57" s="23">
        <v>296.0</v>
      </c>
      <c r="T57" s="23">
        <f t="shared" si="2"/>
        <v>284.16</v>
      </c>
      <c r="U57" s="23">
        <f t="shared" si="3"/>
        <v>25.725</v>
      </c>
      <c r="V57" s="23">
        <f t="shared" si="4"/>
        <v>482.34375</v>
      </c>
      <c r="W57" s="24">
        <f t="shared" si="5"/>
        <v>13.53142857</v>
      </c>
      <c r="X57" s="70">
        <f t="shared" si="6"/>
        <v>482.34375</v>
      </c>
      <c r="Y57" s="70">
        <f t="shared" si="7"/>
        <v>5256.96</v>
      </c>
    </row>
    <row r="58">
      <c r="A58" s="15" t="s">
        <v>521</v>
      </c>
      <c r="B58" s="15" t="s">
        <v>522</v>
      </c>
      <c r="C58" s="15" t="s">
        <v>6049</v>
      </c>
      <c r="D58" s="15" t="s">
        <v>523</v>
      </c>
      <c r="E58" s="17" t="s">
        <v>524</v>
      </c>
      <c r="F58" s="18"/>
      <c r="G58" s="15" t="s">
        <v>525</v>
      </c>
      <c r="H58" s="15" t="s">
        <v>526</v>
      </c>
      <c r="I58" s="18"/>
      <c r="J58" s="19" t="s">
        <v>59</v>
      </c>
      <c r="K58" s="19" t="s">
        <v>496</v>
      </c>
      <c r="L58" s="19" t="s">
        <v>292</v>
      </c>
      <c r="M58" s="20">
        <f t="shared" si="1"/>
        <v>941.28</v>
      </c>
      <c r="N58" s="31">
        <v>1.0</v>
      </c>
      <c r="O58" s="19" t="s">
        <v>107</v>
      </c>
      <c r="P58" s="18"/>
      <c r="Q58" s="18"/>
      <c r="R58" s="23">
        <v>8.5</v>
      </c>
      <c r="S58" s="23">
        <v>53.0</v>
      </c>
      <c r="T58" s="23">
        <f t="shared" si="2"/>
        <v>50.88</v>
      </c>
      <c r="U58" s="23">
        <f t="shared" si="3"/>
        <v>10.4125</v>
      </c>
      <c r="V58" s="23">
        <f t="shared" si="4"/>
        <v>195.234375</v>
      </c>
      <c r="W58" s="24">
        <f t="shared" si="5"/>
        <v>5.985882353</v>
      </c>
      <c r="X58" s="70">
        <f t="shared" si="6"/>
        <v>195.234375</v>
      </c>
      <c r="Y58" s="70">
        <f t="shared" si="7"/>
        <v>941.28</v>
      </c>
    </row>
    <row r="59">
      <c r="A59" s="15" t="s">
        <v>527</v>
      </c>
      <c r="B59" s="15" t="s">
        <v>528</v>
      </c>
      <c r="C59" s="15" t="s">
        <v>6049</v>
      </c>
      <c r="D59" s="15" t="s">
        <v>529</v>
      </c>
      <c r="E59" s="17" t="s">
        <v>530</v>
      </c>
      <c r="F59" s="18"/>
      <c r="G59" s="15" t="s">
        <v>525</v>
      </c>
      <c r="H59" s="15" t="s">
        <v>531</v>
      </c>
      <c r="I59" s="18"/>
      <c r="J59" s="19" t="s">
        <v>59</v>
      </c>
      <c r="K59" s="19" t="s">
        <v>496</v>
      </c>
      <c r="L59" s="19" t="s">
        <v>292</v>
      </c>
      <c r="M59" s="20">
        <f t="shared" si="1"/>
        <v>941.28</v>
      </c>
      <c r="N59" s="31">
        <v>1.0</v>
      </c>
      <c r="O59" s="19" t="s">
        <v>107</v>
      </c>
      <c r="P59" s="18"/>
      <c r="Q59" s="18"/>
      <c r="R59" s="23">
        <v>8.5</v>
      </c>
      <c r="S59" s="23">
        <v>53.0</v>
      </c>
      <c r="T59" s="23">
        <f t="shared" si="2"/>
        <v>50.88</v>
      </c>
      <c r="U59" s="23">
        <f t="shared" si="3"/>
        <v>10.4125</v>
      </c>
      <c r="V59" s="23">
        <f t="shared" si="4"/>
        <v>195.234375</v>
      </c>
      <c r="W59" s="24">
        <f t="shared" si="5"/>
        <v>5.985882353</v>
      </c>
      <c r="X59" s="70">
        <f t="shared" si="6"/>
        <v>195.234375</v>
      </c>
      <c r="Y59" s="70">
        <f t="shared" si="7"/>
        <v>941.28</v>
      </c>
    </row>
    <row r="60">
      <c r="A60" s="15" t="s">
        <v>1042</v>
      </c>
      <c r="B60" s="15" t="s">
        <v>1043</v>
      </c>
      <c r="C60" s="15" t="s">
        <v>6050</v>
      </c>
      <c r="D60" s="15" t="s">
        <v>1044</v>
      </c>
      <c r="E60" s="17" t="s">
        <v>1045</v>
      </c>
      <c r="F60" s="18"/>
      <c r="G60" s="18"/>
      <c r="H60" s="15" t="s">
        <v>1046</v>
      </c>
      <c r="I60" s="15"/>
      <c r="J60" s="19" t="s">
        <v>59</v>
      </c>
      <c r="K60" s="19" t="s">
        <v>60</v>
      </c>
      <c r="L60" s="19" t="s">
        <v>38</v>
      </c>
      <c r="M60" s="20">
        <f t="shared" si="1"/>
        <v>1154.4</v>
      </c>
      <c r="N60" s="31">
        <v>1.0</v>
      </c>
      <c r="O60" s="19" t="s">
        <v>107</v>
      </c>
      <c r="P60" s="18"/>
      <c r="Q60" s="18"/>
      <c r="R60" s="23">
        <v>20.0</v>
      </c>
      <c r="S60" s="23">
        <v>65.0</v>
      </c>
      <c r="T60" s="23">
        <f t="shared" si="2"/>
        <v>62.4</v>
      </c>
      <c r="U60" s="23">
        <f t="shared" si="3"/>
        <v>24.5</v>
      </c>
      <c r="V60" s="23">
        <f t="shared" si="4"/>
        <v>459.375</v>
      </c>
      <c r="W60" s="24">
        <f t="shared" si="5"/>
        <v>3.12</v>
      </c>
      <c r="X60" s="70">
        <f t="shared" si="6"/>
        <v>459.375</v>
      </c>
      <c r="Y60" s="70">
        <f t="shared" si="7"/>
        <v>1154.4</v>
      </c>
    </row>
    <row r="61">
      <c r="A61" s="15" t="s">
        <v>802</v>
      </c>
      <c r="B61" s="15" t="s">
        <v>803</v>
      </c>
      <c r="C61" s="15" t="s">
        <v>6051</v>
      </c>
      <c r="D61" s="15" t="s">
        <v>804</v>
      </c>
      <c r="E61" s="17" t="s">
        <v>805</v>
      </c>
      <c r="F61" s="18"/>
      <c r="G61" s="18"/>
      <c r="H61" s="15" t="s">
        <v>806</v>
      </c>
      <c r="I61" s="18"/>
      <c r="J61" s="19" t="s">
        <v>59</v>
      </c>
      <c r="K61" s="33"/>
      <c r="L61" s="19" t="s">
        <v>38</v>
      </c>
      <c r="M61" s="20">
        <f t="shared" si="1"/>
        <v>1562.88</v>
      </c>
      <c r="N61" s="31">
        <v>1.0</v>
      </c>
      <c r="O61" s="19" t="s">
        <v>107</v>
      </c>
      <c r="P61" s="18"/>
      <c r="Q61" s="18"/>
      <c r="R61" s="23">
        <v>20.0</v>
      </c>
      <c r="S61" s="23">
        <v>88.0</v>
      </c>
      <c r="T61" s="23">
        <f t="shared" si="2"/>
        <v>84.48</v>
      </c>
      <c r="U61" s="23">
        <f t="shared" si="3"/>
        <v>24.5</v>
      </c>
      <c r="V61" s="23">
        <f t="shared" si="4"/>
        <v>459.375</v>
      </c>
      <c r="W61" s="24">
        <f t="shared" si="5"/>
        <v>4.224</v>
      </c>
      <c r="X61" s="70">
        <f t="shared" si="6"/>
        <v>459.375</v>
      </c>
      <c r="Y61" s="70">
        <f t="shared" si="7"/>
        <v>1562.88</v>
      </c>
    </row>
    <row r="62">
      <c r="A62" s="15" t="s">
        <v>991</v>
      </c>
      <c r="B62" s="15" t="s">
        <v>992</v>
      </c>
      <c r="C62" s="15" t="s">
        <v>6052</v>
      </c>
      <c r="D62" s="15" t="s">
        <v>993</v>
      </c>
      <c r="E62" s="17" t="s">
        <v>994</v>
      </c>
      <c r="F62" s="18"/>
      <c r="G62" s="18"/>
      <c r="H62" s="15" t="s">
        <v>995</v>
      </c>
      <c r="I62" s="18"/>
      <c r="J62" s="19" t="s">
        <v>59</v>
      </c>
      <c r="K62" s="33"/>
      <c r="L62" s="19" t="s">
        <v>38</v>
      </c>
      <c r="M62" s="20">
        <f t="shared" si="1"/>
        <v>888</v>
      </c>
      <c r="N62" s="31">
        <v>1.0</v>
      </c>
      <c r="O62" s="19" t="s">
        <v>107</v>
      </c>
      <c r="P62" s="18"/>
      <c r="Q62" s="18"/>
      <c r="R62" s="23">
        <v>14.0</v>
      </c>
      <c r="S62" s="23">
        <v>50.0</v>
      </c>
      <c r="T62" s="23">
        <f t="shared" si="2"/>
        <v>48</v>
      </c>
      <c r="U62" s="23">
        <f t="shared" si="3"/>
        <v>17.15</v>
      </c>
      <c r="V62" s="23">
        <f t="shared" si="4"/>
        <v>321.5625</v>
      </c>
      <c r="W62" s="24">
        <f t="shared" si="5"/>
        <v>3.428571429</v>
      </c>
      <c r="X62" s="70">
        <f t="shared" si="6"/>
        <v>321.5625</v>
      </c>
      <c r="Y62" s="70">
        <f t="shared" si="7"/>
        <v>888</v>
      </c>
    </row>
    <row r="63">
      <c r="A63" s="15" t="s">
        <v>298</v>
      </c>
      <c r="B63" s="15" t="s">
        <v>299</v>
      </c>
      <c r="C63" s="15" t="s">
        <v>6053</v>
      </c>
      <c r="D63" s="15" t="s">
        <v>300</v>
      </c>
      <c r="E63" s="17" t="s">
        <v>301</v>
      </c>
      <c r="F63" s="18"/>
      <c r="G63" s="18"/>
      <c r="H63" s="15" t="s">
        <v>302</v>
      </c>
      <c r="I63" s="18"/>
      <c r="J63" s="19" t="s">
        <v>59</v>
      </c>
      <c r="K63" s="19" t="s">
        <v>60</v>
      </c>
      <c r="L63" s="19" t="s">
        <v>177</v>
      </c>
      <c r="M63" s="20">
        <f t="shared" si="1"/>
        <v>14580.96</v>
      </c>
      <c r="N63" s="31">
        <v>1.0</v>
      </c>
      <c r="O63" s="19" t="s">
        <v>107</v>
      </c>
      <c r="P63" s="18"/>
      <c r="Q63" s="18"/>
      <c r="R63" s="23">
        <v>100.0</v>
      </c>
      <c r="S63" s="23">
        <v>821.0</v>
      </c>
      <c r="T63" s="23">
        <f t="shared" si="2"/>
        <v>788.16</v>
      </c>
      <c r="U63" s="23">
        <f t="shared" si="3"/>
        <v>122.5</v>
      </c>
      <c r="V63" s="23">
        <f t="shared" si="4"/>
        <v>2296.875</v>
      </c>
      <c r="W63" s="24">
        <f t="shared" si="5"/>
        <v>7.8816</v>
      </c>
      <c r="X63" s="70">
        <f t="shared" si="6"/>
        <v>2296.875</v>
      </c>
      <c r="Y63" s="70">
        <f t="shared" si="7"/>
        <v>14580.96</v>
      </c>
    </row>
    <row r="64">
      <c r="A64" s="15" t="s">
        <v>943</v>
      </c>
      <c r="B64" s="18" t="str">
        <f>CONCATENATE(7504589,A64)</f>
        <v>75045892447</v>
      </c>
      <c r="C64" s="15" t="s">
        <v>6054</v>
      </c>
      <c r="D64" s="15" t="s">
        <v>944</v>
      </c>
      <c r="E64" s="17" t="s">
        <v>945</v>
      </c>
      <c r="F64" s="18"/>
      <c r="G64" s="18"/>
      <c r="H64" s="15" t="s">
        <v>946</v>
      </c>
      <c r="I64" s="18"/>
      <c r="J64" s="19" t="s">
        <v>59</v>
      </c>
      <c r="K64" s="19" t="s">
        <v>60</v>
      </c>
      <c r="L64" s="19" t="s">
        <v>177</v>
      </c>
      <c r="M64" s="20">
        <f t="shared" si="1"/>
        <v>9306.24</v>
      </c>
      <c r="N64" s="31">
        <v>1.0</v>
      </c>
      <c r="O64" s="19" t="s">
        <v>107</v>
      </c>
      <c r="P64" s="18"/>
      <c r="Q64" s="18"/>
      <c r="R64" s="23">
        <v>140.0</v>
      </c>
      <c r="S64" s="23">
        <v>524.0</v>
      </c>
      <c r="T64" s="23">
        <f t="shared" si="2"/>
        <v>503.04</v>
      </c>
      <c r="U64" s="23">
        <f t="shared" si="3"/>
        <v>171.5</v>
      </c>
      <c r="V64" s="23">
        <f t="shared" si="4"/>
        <v>3215.625</v>
      </c>
      <c r="W64" s="24">
        <f t="shared" si="5"/>
        <v>3.593142857</v>
      </c>
      <c r="X64" s="70">
        <f t="shared" si="6"/>
        <v>3215.625</v>
      </c>
      <c r="Y64" s="70">
        <f t="shared" si="7"/>
        <v>9306.24</v>
      </c>
    </row>
    <row r="65">
      <c r="A65" s="15" t="s">
        <v>710</v>
      </c>
      <c r="B65" s="15" t="s">
        <v>711</v>
      </c>
      <c r="C65" s="15" t="s">
        <v>6055</v>
      </c>
      <c r="D65" s="15" t="s">
        <v>712</v>
      </c>
      <c r="E65" s="17" t="s">
        <v>713</v>
      </c>
      <c r="F65" s="15" t="s">
        <v>714</v>
      </c>
      <c r="G65" s="15" t="s">
        <v>715</v>
      </c>
      <c r="H65" s="15" t="s">
        <v>716</v>
      </c>
      <c r="I65" s="18"/>
      <c r="J65" s="19" t="s">
        <v>104</v>
      </c>
      <c r="K65" s="19" t="s">
        <v>717</v>
      </c>
      <c r="L65" s="19" t="s">
        <v>106</v>
      </c>
      <c r="M65" s="20">
        <f t="shared" si="1"/>
        <v>12662.88</v>
      </c>
      <c r="N65" s="31">
        <v>1.0</v>
      </c>
      <c r="O65" s="19" t="s">
        <v>107</v>
      </c>
      <c r="P65" s="18"/>
      <c r="Q65" s="18"/>
      <c r="R65" s="23">
        <v>143.0</v>
      </c>
      <c r="S65" s="23">
        <v>713.0</v>
      </c>
      <c r="T65" s="23">
        <f t="shared" si="2"/>
        <v>684.48</v>
      </c>
      <c r="U65" s="23">
        <f t="shared" si="3"/>
        <v>175.175</v>
      </c>
      <c r="V65" s="23">
        <f t="shared" si="4"/>
        <v>3284.53125</v>
      </c>
      <c r="W65" s="24">
        <f t="shared" si="5"/>
        <v>4.786573427</v>
      </c>
      <c r="X65" s="70">
        <f t="shared" si="6"/>
        <v>3284.53125</v>
      </c>
      <c r="Y65" s="70">
        <f t="shared" si="7"/>
        <v>12662.88</v>
      </c>
    </row>
    <row r="66">
      <c r="A66" s="15" t="s">
        <v>791</v>
      </c>
      <c r="B66" s="15" t="s">
        <v>792</v>
      </c>
      <c r="C66" s="15" t="s">
        <v>6056</v>
      </c>
      <c r="D66" s="15" t="s">
        <v>793</v>
      </c>
      <c r="E66" s="17" t="s">
        <v>794</v>
      </c>
      <c r="F66" s="18"/>
      <c r="G66" s="15" t="s">
        <v>795</v>
      </c>
      <c r="H66" s="15" t="s">
        <v>796</v>
      </c>
      <c r="I66" s="18"/>
      <c r="J66" s="19" t="s">
        <v>104</v>
      </c>
      <c r="K66" s="19" t="s">
        <v>160</v>
      </c>
      <c r="L66" s="19" t="s">
        <v>106</v>
      </c>
      <c r="M66" s="20">
        <f t="shared" si="1"/>
        <v>1065.6</v>
      </c>
      <c r="N66" s="31">
        <v>1.0</v>
      </c>
      <c r="O66" s="19" t="s">
        <v>107</v>
      </c>
      <c r="P66" s="18"/>
      <c r="Q66" s="18"/>
      <c r="R66" s="23">
        <v>13.5</v>
      </c>
      <c r="S66" s="23">
        <v>60.0</v>
      </c>
      <c r="T66" s="23">
        <f t="shared" si="2"/>
        <v>57.6</v>
      </c>
      <c r="U66" s="23">
        <f t="shared" si="3"/>
        <v>16.5375</v>
      </c>
      <c r="V66" s="23">
        <f t="shared" si="4"/>
        <v>310.078125</v>
      </c>
      <c r="W66" s="24">
        <f t="shared" si="5"/>
        <v>4.266666667</v>
      </c>
      <c r="X66" s="70">
        <f t="shared" si="6"/>
        <v>310.078125</v>
      </c>
      <c r="Y66" s="70">
        <f t="shared" si="7"/>
        <v>1065.6</v>
      </c>
    </row>
    <row r="67">
      <c r="A67" s="15" t="s">
        <v>592</v>
      </c>
      <c r="B67" s="15" t="s">
        <v>593</v>
      </c>
      <c r="C67" s="15" t="s">
        <v>6057</v>
      </c>
      <c r="D67" s="15" t="s">
        <v>594</v>
      </c>
      <c r="E67" s="17" t="s">
        <v>595</v>
      </c>
      <c r="F67" s="18"/>
      <c r="G67" s="15" t="s">
        <v>164</v>
      </c>
      <c r="H67" s="15" t="s">
        <v>596</v>
      </c>
      <c r="I67" s="18"/>
      <c r="J67" s="19" t="s">
        <v>104</v>
      </c>
      <c r="K67" s="19" t="s">
        <v>160</v>
      </c>
      <c r="L67" s="19" t="s">
        <v>106</v>
      </c>
      <c r="M67" s="20">
        <f t="shared" si="1"/>
        <v>976.8</v>
      </c>
      <c r="N67" s="31">
        <v>1.0</v>
      </c>
      <c r="O67" s="19" t="s">
        <v>107</v>
      </c>
      <c r="P67" s="18"/>
      <c r="Q67" s="18"/>
      <c r="R67" s="23">
        <v>10.0</v>
      </c>
      <c r="S67" s="23">
        <v>55.0</v>
      </c>
      <c r="T67" s="23">
        <f t="shared" si="2"/>
        <v>52.8</v>
      </c>
      <c r="U67" s="23">
        <f t="shared" si="3"/>
        <v>12.25</v>
      </c>
      <c r="V67" s="23">
        <f t="shared" si="4"/>
        <v>229.6875</v>
      </c>
      <c r="W67" s="24">
        <f t="shared" si="5"/>
        <v>5.28</v>
      </c>
      <c r="X67" s="70">
        <f t="shared" si="6"/>
        <v>229.6875</v>
      </c>
      <c r="Y67" s="70">
        <f t="shared" si="7"/>
        <v>976.8</v>
      </c>
    </row>
    <row r="68">
      <c r="A68" s="15" t="s">
        <v>639</v>
      </c>
      <c r="B68" s="15" t="s">
        <v>640</v>
      </c>
      <c r="C68" s="15" t="s">
        <v>6058</v>
      </c>
      <c r="D68" s="15" t="s">
        <v>641</v>
      </c>
      <c r="E68" s="17" t="s">
        <v>642</v>
      </c>
      <c r="F68" s="18"/>
      <c r="G68" s="15" t="s">
        <v>643</v>
      </c>
      <c r="H68" s="15" t="s">
        <v>644</v>
      </c>
      <c r="I68" s="18"/>
      <c r="J68" s="19" t="s">
        <v>104</v>
      </c>
      <c r="K68" s="19" t="s">
        <v>160</v>
      </c>
      <c r="L68" s="19" t="s">
        <v>106</v>
      </c>
      <c r="M68" s="20">
        <f t="shared" si="1"/>
        <v>1864.8</v>
      </c>
      <c r="N68" s="31">
        <v>1.0</v>
      </c>
      <c r="O68" s="19" t="s">
        <v>107</v>
      </c>
      <c r="P68" s="18"/>
      <c r="Q68" s="18"/>
      <c r="R68" s="23">
        <v>20.0</v>
      </c>
      <c r="S68" s="23">
        <v>105.0</v>
      </c>
      <c r="T68" s="23">
        <f t="shared" si="2"/>
        <v>100.8</v>
      </c>
      <c r="U68" s="23">
        <f t="shared" si="3"/>
        <v>24.5</v>
      </c>
      <c r="V68" s="23">
        <f t="shared" si="4"/>
        <v>459.375</v>
      </c>
      <c r="W68" s="24">
        <f t="shared" si="5"/>
        <v>5.04</v>
      </c>
      <c r="X68" s="70">
        <f t="shared" si="6"/>
        <v>459.375</v>
      </c>
      <c r="Y68" s="70">
        <f t="shared" si="7"/>
        <v>1864.8</v>
      </c>
    </row>
    <row r="69">
      <c r="A69" s="15" t="s">
        <v>839</v>
      </c>
      <c r="B69" s="15" t="s">
        <v>840</v>
      </c>
      <c r="C69" s="15" t="s">
        <v>6059</v>
      </c>
      <c r="D69" s="15" t="s">
        <v>841</v>
      </c>
      <c r="E69" s="17" t="s">
        <v>842</v>
      </c>
      <c r="F69" s="18"/>
      <c r="G69" s="18"/>
      <c r="H69" s="15" t="s">
        <v>843</v>
      </c>
      <c r="I69" s="18"/>
      <c r="J69" s="19" t="s">
        <v>702</v>
      </c>
      <c r="K69" s="19" t="s">
        <v>52</v>
      </c>
      <c r="L69" s="19" t="s">
        <v>703</v>
      </c>
      <c r="M69" s="20">
        <f t="shared" si="1"/>
        <v>4884</v>
      </c>
      <c r="N69" s="31">
        <v>1.0</v>
      </c>
      <c r="O69" s="19" t="s">
        <v>107</v>
      </c>
      <c r="P69" s="18"/>
      <c r="Q69" s="18"/>
      <c r="R69" s="23">
        <v>65.0</v>
      </c>
      <c r="S69" s="23">
        <v>275.0</v>
      </c>
      <c r="T69" s="23">
        <f t="shared" si="2"/>
        <v>264</v>
      </c>
      <c r="U69" s="23">
        <f t="shared" si="3"/>
        <v>79.625</v>
      </c>
      <c r="V69" s="23">
        <f t="shared" si="4"/>
        <v>1492.96875</v>
      </c>
      <c r="W69" s="24">
        <f t="shared" si="5"/>
        <v>4.061538462</v>
      </c>
      <c r="X69" s="70">
        <f t="shared" si="6"/>
        <v>1492.96875</v>
      </c>
      <c r="Y69" s="70">
        <f t="shared" si="7"/>
        <v>4884</v>
      </c>
    </row>
    <row r="70">
      <c r="A70" s="15" t="s">
        <v>1014</v>
      </c>
      <c r="B70" s="15" t="s">
        <v>1015</v>
      </c>
      <c r="C70" s="15" t="s">
        <v>6060</v>
      </c>
      <c r="D70" s="15" t="s">
        <v>1016</v>
      </c>
      <c r="E70" s="17" t="s">
        <v>1017</v>
      </c>
      <c r="F70" s="18"/>
      <c r="G70" s="18"/>
      <c r="H70" s="15" t="s">
        <v>1018</v>
      </c>
      <c r="I70" s="18"/>
      <c r="J70" s="19" t="s">
        <v>702</v>
      </c>
      <c r="K70" s="19" t="s">
        <v>52</v>
      </c>
      <c r="L70" s="19" t="s">
        <v>703</v>
      </c>
      <c r="M70" s="20">
        <f t="shared" si="1"/>
        <v>5256.96</v>
      </c>
      <c r="N70" s="31">
        <v>1.0</v>
      </c>
      <c r="O70" s="19" t="s">
        <v>107</v>
      </c>
      <c r="P70" s="18"/>
      <c r="Q70" s="18"/>
      <c r="R70" s="23">
        <v>85.0</v>
      </c>
      <c r="S70" s="23">
        <v>296.0</v>
      </c>
      <c r="T70" s="23">
        <f t="shared" si="2"/>
        <v>284.16</v>
      </c>
      <c r="U70" s="23">
        <f t="shared" si="3"/>
        <v>104.125</v>
      </c>
      <c r="V70" s="23">
        <f t="shared" si="4"/>
        <v>1952.34375</v>
      </c>
      <c r="W70" s="24">
        <f t="shared" si="5"/>
        <v>3.343058824</v>
      </c>
      <c r="X70" s="70">
        <f t="shared" si="6"/>
        <v>1952.34375</v>
      </c>
      <c r="Y70" s="70">
        <f t="shared" si="7"/>
        <v>5256.96</v>
      </c>
    </row>
    <row r="71">
      <c r="A71" s="15" t="s">
        <v>697</v>
      </c>
      <c r="B71" s="15" t="s">
        <v>698</v>
      </c>
      <c r="C71" s="15" t="s">
        <v>6061</v>
      </c>
      <c r="D71" s="15" t="s">
        <v>699</v>
      </c>
      <c r="E71" s="17" t="s">
        <v>700</v>
      </c>
      <c r="F71" s="18"/>
      <c r="G71" s="18"/>
      <c r="H71" s="15" t="s">
        <v>701</v>
      </c>
      <c r="I71" s="18"/>
      <c r="J71" s="19" t="s">
        <v>702</v>
      </c>
      <c r="K71" s="19" t="s">
        <v>52</v>
      </c>
      <c r="L71" s="19" t="s">
        <v>703</v>
      </c>
      <c r="M71" s="20">
        <f t="shared" si="1"/>
        <v>3996</v>
      </c>
      <c r="N71" s="31">
        <v>1.0</v>
      </c>
      <c r="O71" s="19" t="s">
        <v>107</v>
      </c>
      <c r="P71" s="18"/>
      <c r="Q71" s="18"/>
      <c r="R71" s="23">
        <v>45.0</v>
      </c>
      <c r="S71" s="23">
        <v>225.0</v>
      </c>
      <c r="T71" s="23">
        <f t="shared" si="2"/>
        <v>216</v>
      </c>
      <c r="U71" s="23">
        <f t="shared" si="3"/>
        <v>55.125</v>
      </c>
      <c r="V71" s="23">
        <f t="shared" si="4"/>
        <v>1033.59375</v>
      </c>
      <c r="W71" s="24">
        <f t="shared" si="5"/>
        <v>4.8</v>
      </c>
      <c r="X71" s="70">
        <f t="shared" si="6"/>
        <v>1033.59375</v>
      </c>
      <c r="Y71" s="70">
        <f t="shared" si="7"/>
        <v>3996</v>
      </c>
    </row>
    <row r="72">
      <c r="A72" s="15" t="s">
        <v>781</v>
      </c>
      <c r="B72" s="15" t="s">
        <v>782</v>
      </c>
      <c r="C72" s="15" t="s">
        <v>6062</v>
      </c>
      <c r="D72" s="15" t="s">
        <v>783</v>
      </c>
      <c r="E72" s="17" t="s">
        <v>784</v>
      </c>
      <c r="F72" s="18"/>
      <c r="G72" s="18"/>
      <c r="H72" s="15" t="s">
        <v>785</v>
      </c>
      <c r="I72" s="18"/>
      <c r="J72" s="19" t="s">
        <v>702</v>
      </c>
      <c r="K72" s="19" t="s">
        <v>52</v>
      </c>
      <c r="L72" s="19" t="s">
        <v>703</v>
      </c>
      <c r="M72" s="20">
        <f t="shared" si="1"/>
        <v>4440</v>
      </c>
      <c r="N72" s="31">
        <v>1.0</v>
      </c>
      <c r="O72" s="19" t="s">
        <v>107</v>
      </c>
      <c r="P72" s="18"/>
      <c r="Q72" s="18"/>
      <c r="R72" s="23">
        <v>55.0</v>
      </c>
      <c r="S72" s="23">
        <v>250.0</v>
      </c>
      <c r="T72" s="23">
        <f t="shared" si="2"/>
        <v>240</v>
      </c>
      <c r="U72" s="23">
        <f t="shared" si="3"/>
        <v>67.375</v>
      </c>
      <c r="V72" s="23">
        <f t="shared" si="4"/>
        <v>1263.28125</v>
      </c>
      <c r="W72" s="24">
        <f t="shared" si="5"/>
        <v>4.363636364</v>
      </c>
      <c r="X72" s="70">
        <f t="shared" si="6"/>
        <v>1263.28125</v>
      </c>
      <c r="Y72" s="70">
        <f t="shared" si="7"/>
        <v>4440</v>
      </c>
    </row>
    <row r="73">
      <c r="A73" s="15" t="s">
        <v>776</v>
      </c>
      <c r="B73" s="15" t="s">
        <v>777</v>
      </c>
      <c r="C73" s="15" t="s">
        <v>6063</v>
      </c>
      <c r="D73" s="15" t="s">
        <v>778</v>
      </c>
      <c r="E73" s="17" t="s">
        <v>779</v>
      </c>
      <c r="F73" s="18"/>
      <c r="G73" s="18"/>
      <c r="H73" s="15" t="s">
        <v>780</v>
      </c>
      <c r="I73" s="18"/>
      <c r="J73" s="19" t="s">
        <v>702</v>
      </c>
      <c r="K73" s="19" t="s">
        <v>52</v>
      </c>
      <c r="L73" s="19" t="s">
        <v>703</v>
      </c>
      <c r="M73" s="20">
        <f t="shared" si="1"/>
        <v>4457.76</v>
      </c>
      <c r="N73" s="31">
        <v>1.0</v>
      </c>
      <c r="O73" s="19" t="s">
        <v>107</v>
      </c>
      <c r="P73" s="18"/>
      <c r="Q73" s="18"/>
      <c r="R73" s="23">
        <v>55.0</v>
      </c>
      <c r="S73" s="23">
        <v>251.0</v>
      </c>
      <c r="T73" s="23">
        <f t="shared" si="2"/>
        <v>240.96</v>
      </c>
      <c r="U73" s="23">
        <f t="shared" si="3"/>
        <v>67.375</v>
      </c>
      <c r="V73" s="23">
        <f t="shared" si="4"/>
        <v>1263.28125</v>
      </c>
      <c r="W73" s="24">
        <f t="shared" si="5"/>
        <v>4.381090909</v>
      </c>
      <c r="X73" s="70">
        <f t="shared" si="6"/>
        <v>1263.28125</v>
      </c>
      <c r="Y73" s="70">
        <f t="shared" si="7"/>
        <v>4457.76</v>
      </c>
    </row>
    <row r="74">
      <c r="A74" s="15" t="s">
        <v>964</v>
      </c>
      <c r="B74" s="15" t="s">
        <v>965</v>
      </c>
      <c r="C74" s="15" t="s">
        <v>6064</v>
      </c>
      <c r="D74" s="15" t="s">
        <v>966</v>
      </c>
      <c r="E74" s="17" t="s">
        <v>967</v>
      </c>
      <c r="F74" s="18"/>
      <c r="G74" s="18"/>
      <c r="H74" s="15" t="s">
        <v>968</v>
      </c>
      <c r="I74" s="18"/>
      <c r="J74" s="19" t="s">
        <v>702</v>
      </c>
      <c r="K74" s="19" t="s">
        <v>52</v>
      </c>
      <c r="L74" s="19" t="s">
        <v>703</v>
      </c>
      <c r="M74" s="20">
        <f t="shared" si="1"/>
        <v>4955.04</v>
      </c>
      <c r="N74" s="31">
        <v>1.0</v>
      </c>
      <c r="O74" s="19" t="s">
        <v>107</v>
      </c>
      <c r="P74" s="18"/>
      <c r="Q74" s="18"/>
      <c r="R74" s="23">
        <v>75.0</v>
      </c>
      <c r="S74" s="23">
        <v>279.0</v>
      </c>
      <c r="T74" s="23">
        <f t="shared" si="2"/>
        <v>267.84</v>
      </c>
      <c r="U74" s="23">
        <f t="shared" si="3"/>
        <v>91.875</v>
      </c>
      <c r="V74" s="23">
        <f t="shared" si="4"/>
        <v>1722.65625</v>
      </c>
      <c r="W74" s="24">
        <f t="shared" si="5"/>
        <v>3.5712</v>
      </c>
      <c r="X74" s="70">
        <f t="shared" si="6"/>
        <v>1722.65625</v>
      </c>
      <c r="Y74" s="70">
        <f t="shared" si="7"/>
        <v>4955.04</v>
      </c>
    </row>
    <row r="75">
      <c r="A75" s="15" t="s">
        <v>954</v>
      </c>
      <c r="B75" s="15" t="s">
        <v>955</v>
      </c>
      <c r="C75" s="15" t="s">
        <v>6065</v>
      </c>
      <c r="D75" s="15" t="s">
        <v>956</v>
      </c>
      <c r="E75" s="17" t="s">
        <v>957</v>
      </c>
      <c r="F75" s="18"/>
      <c r="G75" s="18"/>
      <c r="H75" s="15" t="s">
        <v>958</v>
      </c>
      <c r="I75" s="18"/>
      <c r="J75" s="19" t="s">
        <v>702</v>
      </c>
      <c r="K75" s="19" t="s">
        <v>52</v>
      </c>
      <c r="L75" s="19" t="s">
        <v>703</v>
      </c>
      <c r="M75" s="20">
        <f t="shared" si="1"/>
        <v>1651.68</v>
      </c>
      <c r="N75" s="31">
        <v>1.0</v>
      </c>
      <c r="O75" s="19" t="s">
        <v>107</v>
      </c>
      <c r="P75" s="18"/>
      <c r="Q75" s="18"/>
      <c r="R75" s="23">
        <v>25.0</v>
      </c>
      <c r="S75" s="23">
        <v>93.0</v>
      </c>
      <c r="T75" s="23">
        <f t="shared" si="2"/>
        <v>89.28</v>
      </c>
      <c r="U75" s="23">
        <f t="shared" si="3"/>
        <v>30.625</v>
      </c>
      <c r="V75" s="23">
        <f t="shared" si="4"/>
        <v>574.21875</v>
      </c>
      <c r="W75" s="24">
        <f t="shared" si="5"/>
        <v>3.5712</v>
      </c>
      <c r="X75" s="70">
        <f t="shared" si="6"/>
        <v>574.21875</v>
      </c>
      <c r="Y75" s="70">
        <f t="shared" si="7"/>
        <v>1651.68</v>
      </c>
    </row>
    <row r="76">
      <c r="A76" s="15" t="s">
        <v>959</v>
      </c>
      <c r="B76" s="15" t="s">
        <v>960</v>
      </c>
      <c r="C76" s="15" t="s">
        <v>6066</v>
      </c>
      <c r="D76" s="15" t="s">
        <v>961</v>
      </c>
      <c r="E76" s="17" t="s">
        <v>962</v>
      </c>
      <c r="F76" s="18"/>
      <c r="G76" s="18"/>
      <c r="H76" s="15" t="s">
        <v>963</v>
      </c>
      <c r="I76" s="18"/>
      <c r="J76" s="19" t="s">
        <v>702</v>
      </c>
      <c r="K76" s="19" t="s">
        <v>52</v>
      </c>
      <c r="L76" s="19" t="s">
        <v>703</v>
      </c>
      <c r="M76" s="20">
        <f t="shared" si="1"/>
        <v>1651.68</v>
      </c>
      <c r="N76" s="31">
        <v>1.0</v>
      </c>
      <c r="O76" s="19" t="s">
        <v>107</v>
      </c>
      <c r="P76" s="18"/>
      <c r="Q76" s="18"/>
      <c r="R76" s="23">
        <v>25.0</v>
      </c>
      <c r="S76" s="23">
        <v>93.0</v>
      </c>
      <c r="T76" s="23">
        <f t="shared" si="2"/>
        <v>89.28</v>
      </c>
      <c r="U76" s="23">
        <f t="shared" si="3"/>
        <v>30.625</v>
      </c>
      <c r="V76" s="23">
        <f t="shared" si="4"/>
        <v>574.21875</v>
      </c>
      <c r="W76" s="24">
        <f t="shared" si="5"/>
        <v>3.5712</v>
      </c>
      <c r="X76" s="70">
        <f t="shared" si="6"/>
        <v>574.21875</v>
      </c>
      <c r="Y76" s="70">
        <f t="shared" si="7"/>
        <v>1651.68</v>
      </c>
    </row>
    <row r="77">
      <c r="A77" s="15" t="s">
        <v>1052</v>
      </c>
      <c r="B77" s="15" t="s">
        <v>1053</v>
      </c>
      <c r="C77" s="15" t="s">
        <v>6067</v>
      </c>
      <c r="D77" s="15" t="s">
        <v>1054</v>
      </c>
      <c r="E77" s="17" t="s">
        <v>1055</v>
      </c>
      <c r="F77" s="18"/>
      <c r="G77" s="18"/>
      <c r="H77" s="15" t="s">
        <v>1056</v>
      </c>
      <c r="I77" s="18"/>
      <c r="J77" s="19" t="s">
        <v>702</v>
      </c>
      <c r="K77" s="19" t="s">
        <v>1230</v>
      </c>
      <c r="L77" s="19" t="s">
        <v>38</v>
      </c>
      <c r="M77" s="20">
        <f t="shared" si="1"/>
        <v>3356.64</v>
      </c>
      <c r="N77" s="31">
        <v>1.0</v>
      </c>
      <c r="O77" s="19" t="s">
        <v>107</v>
      </c>
      <c r="P77" s="18"/>
      <c r="Q77" s="18"/>
      <c r="R77" s="23">
        <v>60.0</v>
      </c>
      <c r="S77" s="23">
        <v>189.0</v>
      </c>
      <c r="T77" s="23">
        <f t="shared" si="2"/>
        <v>181.44</v>
      </c>
      <c r="U77" s="23">
        <f t="shared" si="3"/>
        <v>73.5</v>
      </c>
      <c r="V77" s="23">
        <f t="shared" si="4"/>
        <v>1378.125</v>
      </c>
      <c r="W77" s="24">
        <f t="shared" si="5"/>
        <v>3.024</v>
      </c>
      <c r="X77" s="70">
        <f t="shared" si="6"/>
        <v>1378.125</v>
      </c>
      <c r="Y77" s="70">
        <f t="shared" si="7"/>
        <v>3356.64</v>
      </c>
    </row>
    <row r="78">
      <c r="A78" s="15" t="s">
        <v>1069</v>
      </c>
      <c r="B78" s="15" t="s">
        <v>1070</v>
      </c>
      <c r="C78" s="15" t="s">
        <v>6068</v>
      </c>
      <c r="D78" s="15" t="s">
        <v>1071</v>
      </c>
      <c r="E78" s="17" t="s">
        <v>1072</v>
      </c>
      <c r="F78" s="18"/>
      <c r="G78" s="18"/>
      <c r="H78" s="15" t="s">
        <v>1073</v>
      </c>
      <c r="I78" s="15" t="s">
        <v>1074</v>
      </c>
      <c r="J78" s="19" t="s">
        <v>702</v>
      </c>
      <c r="K78" s="19" t="s">
        <v>1230</v>
      </c>
      <c r="L78" s="19" t="s">
        <v>38</v>
      </c>
      <c r="M78" s="20">
        <f t="shared" si="1"/>
        <v>5470.08</v>
      </c>
      <c r="N78" s="31">
        <v>1.0</v>
      </c>
      <c r="O78" s="19" t="s">
        <v>107</v>
      </c>
      <c r="P78" s="18"/>
      <c r="Q78" s="18"/>
      <c r="R78" s="23">
        <v>105.0</v>
      </c>
      <c r="S78" s="23">
        <v>308.0</v>
      </c>
      <c r="T78" s="23">
        <f t="shared" si="2"/>
        <v>295.68</v>
      </c>
      <c r="U78" s="23">
        <f t="shared" si="3"/>
        <v>128.625</v>
      </c>
      <c r="V78" s="23">
        <f t="shared" si="4"/>
        <v>2411.71875</v>
      </c>
      <c r="W78" s="24">
        <f t="shared" si="5"/>
        <v>2.816</v>
      </c>
      <c r="X78" s="70">
        <f t="shared" si="6"/>
        <v>2411.71875</v>
      </c>
      <c r="Y78" s="70">
        <f t="shared" si="7"/>
        <v>5470.08</v>
      </c>
    </row>
    <row r="79">
      <c r="A79" s="15" t="s">
        <v>1089</v>
      </c>
      <c r="B79" s="35" t="s">
        <v>1090</v>
      </c>
      <c r="C79" s="15" t="s">
        <v>6069</v>
      </c>
      <c r="D79" s="15" t="s">
        <v>1091</v>
      </c>
      <c r="E79" s="17" t="s">
        <v>1092</v>
      </c>
      <c r="F79" s="18"/>
      <c r="G79" s="18"/>
      <c r="H79" s="15" t="s">
        <v>1103</v>
      </c>
      <c r="I79" s="18"/>
      <c r="J79" s="19" t="s">
        <v>702</v>
      </c>
      <c r="K79" s="19" t="s">
        <v>1230</v>
      </c>
      <c r="L79" s="19" t="s">
        <v>38</v>
      </c>
      <c r="M79" s="20">
        <f t="shared" si="1"/>
        <v>3996</v>
      </c>
      <c r="N79" s="31">
        <v>1.0</v>
      </c>
      <c r="O79" s="19" t="s">
        <v>107</v>
      </c>
      <c r="P79" s="18"/>
      <c r="Q79" s="18"/>
      <c r="R79" s="23">
        <v>80.0</v>
      </c>
      <c r="S79" s="23">
        <v>225.0</v>
      </c>
      <c r="T79" s="23">
        <f t="shared" si="2"/>
        <v>216</v>
      </c>
      <c r="U79" s="23">
        <f t="shared" si="3"/>
        <v>98</v>
      </c>
      <c r="V79" s="23">
        <f t="shared" si="4"/>
        <v>1837.5</v>
      </c>
      <c r="W79" s="24">
        <f t="shared" si="5"/>
        <v>2.7</v>
      </c>
      <c r="X79" s="70">
        <f t="shared" si="6"/>
        <v>1837.5</v>
      </c>
      <c r="Y79" s="70">
        <f t="shared" si="7"/>
        <v>3996</v>
      </c>
    </row>
    <row r="80">
      <c r="A80" s="15" t="s">
        <v>1030</v>
      </c>
      <c r="B80" s="15" t="s">
        <v>1031</v>
      </c>
      <c r="C80" s="15" t="s">
        <v>6070</v>
      </c>
      <c r="D80" s="15" t="s">
        <v>1032</v>
      </c>
      <c r="E80" s="17" t="s">
        <v>1033</v>
      </c>
      <c r="F80" s="18"/>
      <c r="G80" s="18"/>
      <c r="H80" s="15" t="s">
        <v>1034</v>
      </c>
      <c r="I80" s="18"/>
      <c r="J80" s="19" t="s">
        <v>702</v>
      </c>
      <c r="K80" s="19" t="s">
        <v>1230</v>
      </c>
      <c r="L80" s="19" t="s">
        <v>177</v>
      </c>
      <c r="M80" s="20">
        <f t="shared" si="1"/>
        <v>4741.92</v>
      </c>
      <c r="N80" s="31">
        <v>1.0</v>
      </c>
      <c r="O80" s="19" t="s">
        <v>107</v>
      </c>
      <c r="P80" s="18"/>
      <c r="Q80" s="18"/>
      <c r="R80" s="23">
        <v>80.0</v>
      </c>
      <c r="S80" s="23">
        <v>267.0</v>
      </c>
      <c r="T80" s="23">
        <f t="shared" si="2"/>
        <v>256.32</v>
      </c>
      <c r="U80" s="23">
        <f t="shared" si="3"/>
        <v>98</v>
      </c>
      <c r="V80" s="23">
        <f t="shared" si="4"/>
        <v>1837.5</v>
      </c>
      <c r="W80" s="24">
        <f t="shared" si="5"/>
        <v>3.204</v>
      </c>
      <c r="X80" s="70">
        <f t="shared" si="6"/>
        <v>1837.5</v>
      </c>
      <c r="Y80" s="70">
        <f t="shared" si="7"/>
        <v>4741.92</v>
      </c>
    </row>
    <row r="81">
      <c r="A81" s="15" t="s">
        <v>1117</v>
      </c>
      <c r="B81" s="15" t="s">
        <v>1118</v>
      </c>
      <c r="C81" s="15" t="s">
        <v>1119</v>
      </c>
      <c r="D81" s="15" t="s">
        <v>1120</v>
      </c>
      <c r="E81" s="17" t="s">
        <v>1121</v>
      </c>
      <c r="F81" s="18"/>
      <c r="G81" s="18"/>
      <c r="H81" s="15" t="s">
        <v>1122</v>
      </c>
      <c r="I81" s="18"/>
      <c r="J81" s="19" t="s">
        <v>702</v>
      </c>
      <c r="K81" s="19" t="s">
        <v>1230</v>
      </c>
      <c r="L81" s="19" t="s">
        <v>38</v>
      </c>
      <c r="M81" s="20">
        <f t="shared" si="1"/>
        <v>3090.24</v>
      </c>
      <c r="N81" s="31">
        <v>1.0</v>
      </c>
      <c r="O81" s="19" t="s">
        <v>107</v>
      </c>
      <c r="P81" s="18"/>
      <c r="Q81" s="18"/>
      <c r="R81" s="23">
        <v>70.0</v>
      </c>
      <c r="S81" s="23">
        <v>174.0</v>
      </c>
      <c r="T81" s="23">
        <f t="shared" si="2"/>
        <v>167.04</v>
      </c>
      <c r="U81" s="23">
        <f t="shared" si="3"/>
        <v>85.75</v>
      </c>
      <c r="V81" s="23">
        <f t="shared" si="4"/>
        <v>1607.8125</v>
      </c>
      <c r="W81" s="24">
        <f t="shared" si="5"/>
        <v>2.386285714</v>
      </c>
      <c r="X81" s="70">
        <f t="shared" si="6"/>
        <v>1607.8125</v>
      </c>
      <c r="Y81" s="70">
        <f t="shared" si="7"/>
        <v>3090.24</v>
      </c>
    </row>
    <row r="82">
      <c r="A82" s="15" t="s">
        <v>996</v>
      </c>
      <c r="B82" s="15" t="s">
        <v>997</v>
      </c>
      <c r="C82" s="18"/>
      <c r="D82" s="15" t="s">
        <v>998</v>
      </c>
      <c r="E82" s="17" t="s">
        <v>999</v>
      </c>
      <c r="F82" s="18"/>
      <c r="G82" s="15" t="s">
        <v>1000</v>
      </c>
      <c r="H82" s="15" t="s">
        <v>1001</v>
      </c>
      <c r="I82" s="18"/>
      <c r="J82" s="19" t="s">
        <v>1002</v>
      </c>
      <c r="K82" s="19" t="s">
        <v>114</v>
      </c>
      <c r="L82" s="19" t="s">
        <v>115</v>
      </c>
      <c r="M82" s="20">
        <f t="shared" si="1"/>
        <v>4884</v>
      </c>
      <c r="N82" s="31">
        <v>2.0</v>
      </c>
      <c r="O82" s="19" t="s">
        <v>107</v>
      </c>
      <c r="P82" s="18"/>
      <c r="Q82" s="18"/>
      <c r="R82" s="23">
        <v>62.0</v>
      </c>
      <c r="S82" s="23">
        <v>275.0</v>
      </c>
      <c r="T82" s="23">
        <f t="shared" si="2"/>
        <v>264</v>
      </c>
      <c r="U82" s="23">
        <f t="shared" si="3"/>
        <v>75.95</v>
      </c>
      <c r="V82" s="23">
        <f t="shared" si="4"/>
        <v>1424.0625</v>
      </c>
      <c r="W82" s="24">
        <f t="shared" si="5"/>
        <v>4.258064516</v>
      </c>
      <c r="X82" s="70">
        <f t="shared" si="6"/>
        <v>2848.125</v>
      </c>
      <c r="Y82" s="70">
        <f t="shared" si="7"/>
        <v>9768</v>
      </c>
    </row>
    <row r="83">
      <c r="A83" s="15" t="s">
        <v>855</v>
      </c>
      <c r="B83" s="15" t="s">
        <v>856</v>
      </c>
      <c r="C83" s="15" t="s">
        <v>6071</v>
      </c>
      <c r="D83" s="15" t="s">
        <v>857</v>
      </c>
      <c r="E83" s="17" t="s">
        <v>858</v>
      </c>
      <c r="F83" s="18"/>
      <c r="G83" s="18"/>
      <c r="H83" s="15" t="s">
        <v>859</v>
      </c>
      <c r="I83" s="18"/>
      <c r="J83" s="19" t="s">
        <v>602</v>
      </c>
      <c r="K83" s="33"/>
      <c r="L83" s="19" t="s">
        <v>52</v>
      </c>
      <c r="M83" s="20">
        <f t="shared" si="1"/>
        <v>2468.64</v>
      </c>
      <c r="N83" s="31">
        <v>2.0</v>
      </c>
      <c r="O83" s="19" t="s">
        <v>107</v>
      </c>
      <c r="P83" s="18"/>
      <c r="Q83" s="18"/>
      <c r="R83" s="23">
        <v>33.0</v>
      </c>
      <c r="S83" s="23">
        <v>139.0</v>
      </c>
      <c r="T83" s="23">
        <f t="shared" si="2"/>
        <v>133.44</v>
      </c>
      <c r="U83" s="23">
        <f t="shared" si="3"/>
        <v>40.425</v>
      </c>
      <c r="V83" s="23">
        <f t="shared" si="4"/>
        <v>757.96875</v>
      </c>
      <c r="W83" s="24">
        <f t="shared" si="5"/>
        <v>4.043636364</v>
      </c>
      <c r="X83" s="70">
        <f t="shared" si="6"/>
        <v>1515.9375</v>
      </c>
      <c r="Y83" s="70">
        <f t="shared" si="7"/>
        <v>4937.28</v>
      </c>
    </row>
    <row r="84">
      <c r="A84" s="15" t="s">
        <v>543</v>
      </c>
      <c r="B84" s="15" t="s">
        <v>544</v>
      </c>
      <c r="C84" s="15" t="s">
        <v>6072</v>
      </c>
      <c r="D84" s="15" t="s">
        <v>545</v>
      </c>
      <c r="E84" s="17" t="s">
        <v>546</v>
      </c>
      <c r="F84" s="18"/>
      <c r="G84" s="15" t="s">
        <v>547</v>
      </c>
      <c r="H84" s="15" t="s">
        <v>548</v>
      </c>
      <c r="I84" s="18"/>
      <c r="J84" s="19" t="s">
        <v>36</v>
      </c>
      <c r="K84" s="19" t="s">
        <v>105</v>
      </c>
      <c r="L84" s="19" t="s">
        <v>38</v>
      </c>
      <c r="M84" s="20">
        <f t="shared" si="1"/>
        <v>1918.08</v>
      </c>
      <c r="N84" s="31">
        <v>2.0</v>
      </c>
      <c r="O84" s="19" t="s">
        <v>107</v>
      </c>
      <c r="P84" s="18"/>
      <c r="Q84" s="18"/>
      <c r="R84" s="23">
        <v>18.0</v>
      </c>
      <c r="S84" s="23">
        <v>108.0</v>
      </c>
      <c r="T84" s="23">
        <f t="shared" si="2"/>
        <v>103.68</v>
      </c>
      <c r="U84" s="23">
        <f t="shared" si="3"/>
        <v>22.05</v>
      </c>
      <c r="V84" s="23">
        <f t="shared" si="4"/>
        <v>413.4375</v>
      </c>
      <c r="W84" s="24">
        <f t="shared" si="5"/>
        <v>5.76</v>
      </c>
      <c r="X84" s="70">
        <f t="shared" si="6"/>
        <v>826.875</v>
      </c>
      <c r="Y84" s="70">
        <f t="shared" si="7"/>
        <v>3836.16</v>
      </c>
    </row>
    <row r="85">
      <c r="A85" s="15" t="s">
        <v>562</v>
      </c>
      <c r="B85" s="15" t="s">
        <v>563</v>
      </c>
      <c r="C85" s="15" t="s">
        <v>6073</v>
      </c>
      <c r="D85" s="15" t="s">
        <v>564</v>
      </c>
      <c r="E85" s="17" t="s">
        <v>565</v>
      </c>
      <c r="F85" s="18"/>
      <c r="G85" s="15" t="s">
        <v>566</v>
      </c>
      <c r="H85" s="15" t="s">
        <v>567</v>
      </c>
      <c r="I85" s="18"/>
      <c r="J85" s="19" t="s">
        <v>36</v>
      </c>
      <c r="K85" s="19" t="s">
        <v>105</v>
      </c>
      <c r="L85" s="19" t="s">
        <v>38</v>
      </c>
      <c r="M85" s="20">
        <f t="shared" si="1"/>
        <v>1243.2</v>
      </c>
      <c r="N85" s="31">
        <v>2.0</v>
      </c>
      <c r="O85" s="19" t="s">
        <v>107</v>
      </c>
      <c r="P85" s="18"/>
      <c r="Q85" s="18"/>
      <c r="R85" s="23">
        <v>12.0</v>
      </c>
      <c r="S85" s="23">
        <v>70.0</v>
      </c>
      <c r="T85" s="23">
        <f t="shared" si="2"/>
        <v>67.2</v>
      </c>
      <c r="U85" s="23">
        <f t="shared" si="3"/>
        <v>14.7</v>
      </c>
      <c r="V85" s="23">
        <f t="shared" si="4"/>
        <v>275.625</v>
      </c>
      <c r="W85" s="24">
        <f t="shared" si="5"/>
        <v>5.6</v>
      </c>
      <c r="X85" s="70">
        <f t="shared" si="6"/>
        <v>551.25</v>
      </c>
      <c r="Y85" s="70">
        <f t="shared" si="7"/>
        <v>2486.4</v>
      </c>
    </row>
    <row r="86">
      <c r="A86" s="15" t="s">
        <v>314</v>
      </c>
      <c r="B86" s="15" t="s">
        <v>315</v>
      </c>
      <c r="C86" s="15" t="s">
        <v>6074</v>
      </c>
      <c r="D86" s="15" t="s">
        <v>316</v>
      </c>
      <c r="E86" s="17" t="s">
        <v>317</v>
      </c>
      <c r="F86" s="18"/>
      <c r="G86" s="18"/>
      <c r="H86" s="15" t="s">
        <v>318</v>
      </c>
      <c r="I86" s="15" t="s">
        <v>319</v>
      </c>
      <c r="J86" s="19" t="s">
        <v>36</v>
      </c>
      <c r="K86" s="19" t="s">
        <v>37</v>
      </c>
      <c r="L86" s="19" t="s">
        <v>38</v>
      </c>
      <c r="M86" s="20">
        <f t="shared" si="1"/>
        <v>426.24</v>
      </c>
      <c r="N86" s="31">
        <v>2.0</v>
      </c>
      <c r="O86" s="19" t="s">
        <v>107</v>
      </c>
      <c r="P86" s="18"/>
      <c r="Q86" s="18"/>
      <c r="R86" s="23">
        <v>3.0</v>
      </c>
      <c r="S86" s="23">
        <v>24.0</v>
      </c>
      <c r="T86" s="23">
        <f t="shared" si="2"/>
        <v>23.04</v>
      </c>
      <c r="U86" s="23">
        <f t="shared" si="3"/>
        <v>3.675</v>
      </c>
      <c r="V86" s="23">
        <f t="shared" si="4"/>
        <v>68.90625</v>
      </c>
      <c r="W86" s="24">
        <f t="shared" si="5"/>
        <v>7.68</v>
      </c>
      <c r="X86" s="70">
        <f t="shared" si="6"/>
        <v>137.8125</v>
      </c>
      <c r="Y86" s="70">
        <f t="shared" si="7"/>
        <v>852.48</v>
      </c>
    </row>
    <row r="87">
      <c r="A87" s="15" t="s">
        <v>204</v>
      </c>
      <c r="B87" s="15" t="s">
        <v>205</v>
      </c>
      <c r="C87" s="15" t="s">
        <v>6074</v>
      </c>
      <c r="D87" s="15" t="s">
        <v>206</v>
      </c>
      <c r="E87" s="17" t="s">
        <v>207</v>
      </c>
      <c r="F87" s="18"/>
      <c r="G87" s="15" t="s">
        <v>208</v>
      </c>
      <c r="H87" s="15" t="s">
        <v>209</v>
      </c>
      <c r="I87" s="18"/>
      <c r="J87" s="19" t="s">
        <v>36</v>
      </c>
      <c r="K87" s="19" t="s">
        <v>37</v>
      </c>
      <c r="L87" s="19" t="s">
        <v>38</v>
      </c>
      <c r="M87" s="20">
        <f t="shared" si="1"/>
        <v>532.8</v>
      </c>
      <c r="N87" s="31">
        <v>2.0</v>
      </c>
      <c r="O87" s="19" t="s">
        <v>107</v>
      </c>
      <c r="P87" s="18"/>
      <c r="Q87" s="18"/>
      <c r="R87" s="23">
        <v>3.0</v>
      </c>
      <c r="S87" s="23">
        <v>30.0</v>
      </c>
      <c r="T87" s="23">
        <f t="shared" si="2"/>
        <v>28.8</v>
      </c>
      <c r="U87" s="23">
        <f t="shared" si="3"/>
        <v>3.675</v>
      </c>
      <c r="V87" s="23">
        <f t="shared" si="4"/>
        <v>68.90625</v>
      </c>
      <c r="W87" s="24">
        <f t="shared" si="5"/>
        <v>9.6</v>
      </c>
      <c r="X87" s="70">
        <f t="shared" si="6"/>
        <v>137.8125</v>
      </c>
      <c r="Y87" s="70">
        <f t="shared" si="7"/>
        <v>1065.6</v>
      </c>
    </row>
    <row r="88">
      <c r="A88" s="15" t="s">
        <v>122</v>
      </c>
      <c r="B88" s="15" t="s">
        <v>123</v>
      </c>
      <c r="C88" s="15" t="s">
        <v>6075</v>
      </c>
      <c r="D88" s="15" t="s">
        <v>124</v>
      </c>
      <c r="E88" s="17" t="s">
        <v>125</v>
      </c>
      <c r="F88" s="18"/>
      <c r="G88" s="15" t="s">
        <v>126</v>
      </c>
      <c r="H88" s="15" t="s">
        <v>127</v>
      </c>
      <c r="I88" s="18"/>
      <c r="J88" s="19" t="s">
        <v>36</v>
      </c>
      <c r="K88" s="19" t="s">
        <v>60</v>
      </c>
      <c r="L88" s="19" t="s">
        <v>38</v>
      </c>
      <c r="M88" s="20">
        <f t="shared" si="1"/>
        <v>3125.76</v>
      </c>
      <c r="N88" s="31">
        <v>2.0</v>
      </c>
      <c r="O88" s="19" t="s">
        <v>107</v>
      </c>
      <c r="P88" s="18"/>
      <c r="Q88" s="18"/>
      <c r="R88" s="23">
        <v>7.0</v>
      </c>
      <c r="S88" s="23">
        <v>176.0</v>
      </c>
      <c r="T88" s="23">
        <f t="shared" si="2"/>
        <v>168.96</v>
      </c>
      <c r="U88" s="23">
        <f t="shared" si="3"/>
        <v>8.575</v>
      </c>
      <c r="V88" s="23">
        <f t="shared" si="4"/>
        <v>160.78125</v>
      </c>
      <c r="W88" s="24">
        <f t="shared" si="5"/>
        <v>24.13714286</v>
      </c>
      <c r="X88" s="70">
        <f t="shared" si="6"/>
        <v>321.5625</v>
      </c>
      <c r="Y88" s="70">
        <f t="shared" si="7"/>
        <v>6251.52</v>
      </c>
    </row>
    <row r="89">
      <c r="A89" s="15" t="s">
        <v>704</v>
      </c>
      <c r="B89" s="15" t="s">
        <v>705</v>
      </c>
      <c r="C89" s="15" t="s">
        <v>6076</v>
      </c>
      <c r="D89" s="15" t="s">
        <v>706</v>
      </c>
      <c r="E89" s="17" t="s">
        <v>707</v>
      </c>
      <c r="F89" s="18"/>
      <c r="G89" s="15" t="s">
        <v>708</v>
      </c>
      <c r="H89" s="15" t="s">
        <v>709</v>
      </c>
      <c r="I89" s="18"/>
      <c r="J89" s="19" t="s">
        <v>36</v>
      </c>
      <c r="K89" s="33"/>
      <c r="L89" s="19" t="s">
        <v>38</v>
      </c>
      <c r="M89" s="20">
        <f t="shared" si="1"/>
        <v>177.6</v>
      </c>
      <c r="N89" s="31">
        <v>2.0</v>
      </c>
      <c r="O89" s="19" t="s">
        <v>107</v>
      </c>
      <c r="P89" s="18"/>
      <c r="Q89" s="18"/>
      <c r="R89" s="23">
        <v>2.0</v>
      </c>
      <c r="S89" s="23">
        <v>10.0</v>
      </c>
      <c r="T89" s="23">
        <f t="shared" si="2"/>
        <v>9.6</v>
      </c>
      <c r="U89" s="23">
        <f t="shared" si="3"/>
        <v>2.45</v>
      </c>
      <c r="V89" s="23">
        <f t="shared" si="4"/>
        <v>45.9375</v>
      </c>
      <c r="W89" s="24">
        <f t="shared" si="5"/>
        <v>4.8</v>
      </c>
      <c r="X89" s="70">
        <f t="shared" si="6"/>
        <v>91.875</v>
      </c>
      <c r="Y89" s="70">
        <f t="shared" si="7"/>
        <v>355.2</v>
      </c>
    </row>
    <row r="90">
      <c r="A90" s="15" t="s">
        <v>332</v>
      </c>
      <c r="B90" s="15" t="s">
        <v>333</v>
      </c>
      <c r="C90" s="15" t="s">
        <v>6077</v>
      </c>
      <c r="D90" s="15" t="s">
        <v>334</v>
      </c>
      <c r="E90" s="17" t="s">
        <v>335</v>
      </c>
      <c r="F90" s="18"/>
      <c r="G90" s="15" t="s">
        <v>336</v>
      </c>
      <c r="H90" s="15" t="s">
        <v>337</v>
      </c>
      <c r="I90" s="18"/>
      <c r="J90" s="19" t="s">
        <v>36</v>
      </c>
      <c r="K90" s="19" t="s">
        <v>60</v>
      </c>
      <c r="L90" s="19" t="s">
        <v>188</v>
      </c>
      <c r="M90" s="20">
        <f t="shared" si="1"/>
        <v>1260.96</v>
      </c>
      <c r="N90" s="31">
        <v>2.0</v>
      </c>
      <c r="O90" s="19" t="s">
        <v>107</v>
      </c>
      <c r="P90" s="18"/>
      <c r="Q90" s="18"/>
      <c r="R90" s="23">
        <v>9.0</v>
      </c>
      <c r="S90" s="23">
        <v>71.0</v>
      </c>
      <c r="T90" s="23">
        <f t="shared" si="2"/>
        <v>68.16</v>
      </c>
      <c r="U90" s="23">
        <f t="shared" si="3"/>
        <v>11.025</v>
      </c>
      <c r="V90" s="23">
        <f t="shared" si="4"/>
        <v>206.71875</v>
      </c>
      <c r="W90" s="24">
        <f t="shared" si="5"/>
        <v>7.573333333</v>
      </c>
      <c r="X90" s="70">
        <f t="shared" si="6"/>
        <v>413.4375</v>
      </c>
      <c r="Y90" s="70">
        <f t="shared" si="7"/>
        <v>2521.92</v>
      </c>
    </row>
    <row r="91">
      <c r="A91" s="15" t="s">
        <v>223</v>
      </c>
      <c r="B91" s="15" t="s">
        <v>224</v>
      </c>
      <c r="C91" s="15" t="s">
        <v>6078</v>
      </c>
      <c r="D91" s="15" t="s">
        <v>225</v>
      </c>
      <c r="E91" s="17" t="s">
        <v>226</v>
      </c>
      <c r="F91" s="18"/>
      <c r="G91" s="15" t="s">
        <v>227</v>
      </c>
      <c r="H91" s="15" t="s">
        <v>228</v>
      </c>
      <c r="I91" s="18"/>
      <c r="J91" s="19" t="s">
        <v>36</v>
      </c>
      <c r="K91" s="19" t="s">
        <v>60</v>
      </c>
      <c r="L91" s="19" t="s">
        <v>188</v>
      </c>
      <c r="M91" s="20">
        <f t="shared" si="1"/>
        <v>355.2</v>
      </c>
      <c r="N91" s="31">
        <v>2.0</v>
      </c>
      <c r="O91" s="19" t="s">
        <v>107</v>
      </c>
      <c r="P91" s="18"/>
      <c r="Q91" s="18"/>
      <c r="R91" s="23">
        <v>2.0</v>
      </c>
      <c r="S91" s="23">
        <v>20.0</v>
      </c>
      <c r="T91" s="23">
        <f t="shared" si="2"/>
        <v>19.2</v>
      </c>
      <c r="U91" s="23">
        <f t="shared" si="3"/>
        <v>2.45</v>
      </c>
      <c r="V91" s="23">
        <f t="shared" si="4"/>
        <v>45.9375</v>
      </c>
      <c r="W91" s="24">
        <f t="shared" si="5"/>
        <v>9.6</v>
      </c>
      <c r="X91" s="70">
        <f t="shared" si="6"/>
        <v>91.875</v>
      </c>
      <c r="Y91" s="70">
        <f t="shared" si="7"/>
        <v>710.4</v>
      </c>
    </row>
    <row r="92">
      <c r="A92" s="15" t="s">
        <v>1047</v>
      </c>
      <c r="B92" s="15" t="s">
        <v>1048</v>
      </c>
      <c r="C92" s="15" t="s">
        <v>6079</v>
      </c>
      <c r="D92" s="15" t="s">
        <v>1037</v>
      </c>
      <c r="E92" s="17" t="s">
        <v>1049</v>
      </c>
      <c r="F92" s="18"/>
      <c r="G92" s="15" t="s">
        <v>1050</v>
      </c>
      <c r="H92" s="15" t="s">
        <v>1051</v>
      </c>
      <c r="I92" s="18"/>
      <c r="J92" s="19" t="s">
        <v>36</v>
      </c>
      <c r="K92" s="19" t="s">
        <v>114</v>
      </c>
      <c r="L92" s="19" t="s">
        <v>115</v>
      </c>
      <c r="M92" s="20">
        <f t="shared" si="1"/>
        <v>3427.68</v>
      </c>
      <c r="N92" s="31">
        <v>2.0</v>
      </c>
      <c r="O92" s="19" t="s">
        <v>107</v>
      </c>
      <c r="P92" s="18"/>
      <c r="Q92" s="18"/>
      <c r="R92" s="23">
        <v>60.0</v>
      </c>
      <c r="S92" s="23">
        <v>193.0</v>
      </c>
      <c r="T92" s="23">
        <f t="shared" si="2"/>
        <v>185.28</v>
      </c>
      <c r="U92" s="23">
        <f t="shared" si="3"/>
        <v>73.5</v>
      </c>
      <c r="V92" s="23">
        <f t="shared" si="4"/>
        <v>1378.125</v>
      </c>
      <c r="W92" s="24">
        <f t="shared" si="5"/>
        <v>3.088</v>
      </c>
      <c r="X92" s="70">
        <f t="shared" si="6"/>
        <v>2756.25</v>
      </c>
      <c r="Y92" s="70">
        <f t="shared" si="7"/>
        <v>6855.36</v>
      </c>
    </row>
    <row r="93">
      <c r="A93" s="15" t="s">
        <v>813</v>
      </c>
      <c r="B93" s="15" t="s">
        <v>814</v>
      </c>
      <c r="C93" s="15" t="s">
        <v>6080</v>
      </c>
      <c r="D93" s="15" t="s">
        <v>815</v>
      </c>
      <c r="E93" s="17" t="s">
        <v>816</v>
      </c>
      <c r="F93" s="18"/>
      <c r="G93" s="15" t="s">
        <v>817</v>
      </c>
      <c r="H93" s="15" t="s">
        <v>818</v>
      </c>
      <c r="I93" s="18"/>
      <c r="J93" s="19" t="s">
        <v>36</v>
      </c>
      <c r="K93" s="19" t="s">
        <v>427</v>
      </c>
      <c r="L93" s="19" t="s">
        <v>610</v>
      </c>
      <c r="M93" s="20">
        <f t="shared" si="1"/>
        <v>923.52</v>
      </c>
      <c r="N93" s="31">
        <v>2.0</v>
      </c>
      <c r="O93" s="19" t="s">
        <v>107</v>
      </c>
      <c r="P93" s="18"/>
      <c r="Q93" s="18"/>
      <c r="R93" s="23">
        <v>12.0</v>
      </c>
      <c r="S93" s="23">
        <v>52.0</v>
      </c>
      <c r="T93" s="23">
        <f t="shared" si="2"/>
        <v>49.92</v>
      </c>
      <c r="U93" s="23">
        <f t="shared" si="3"/>
        <v>14.7</v>
      </c>
      <c r="V93" s="23">
        <f t="shared" si="4"/>
        <v>275.625</v>
      </c>
      <c r="W93" s="24">
        <f t="shared" si="5"/>
        <v>4.16</v>
      </c>
      <c r="X93" s="70">
        <f t="shared" si="6"/>
        <v>551.25</v>
      </c>
      <c r="Y93" s="70">
        <f t="shared" si="7"/>
        <v>1847.04</v>
      </c>
    </row>
    <row r="94">
      <c r="A94" s="15" t="s">
        <v>604</v>
      </c>
      <c r="B94" s="15" t="s">
        <v>605</v>
      </c>
      <c r="C94" s="15" t="s">
        <v>6081</v>
      </c>
      <c r="D94" s="15" t="s">
        <v>606</v>
      </c>
      <c r="E94" s="17" t="s">
        <v>607</v>
      </c>
      <c r="F94" s="18"/>
      <c r="G94" s="15" t="s">
        <v>608</v>
      </c>
      <c r="H94" s="15" t="s">
        <v>609</v>
      </c>
      <c r="I94" s="18"/>
      <c r="J94" s="19" t="s">
        <v>36</v>
      </c>
      <c r="K94" s="19" t="s">
        <v>427</v>
      </c>
      <c r="L94" s="19" t="s">
        <v>610</v>
      </c>
      <c r="M94" s="20">
        <f t="shared" si="1"/>
        <v>1154.4</v>
      </c>
      <c r="N94" s="31">
        <v>2.0</v>
      </c>
      <c r="O94" s="19" t="s">
        <v>107</v>
      </c>
      <c r="P94" s="18"/>
      <c r="Q94" s="18"/>
      <c r="R94" s="23">
        <v>12.0</v>
      </c>
      <c r="S94" s="23">
        <v>65.0</v>
      </c>
      <c r="T94" s="23">
        <f t="shared" si="2"/>
        <v>62.4</v>
      </c>
      <c r="U94" s="23">
        <f t="shared" si="3"/>
        <v>14.7</v>
      </c>
      <c r="V94" s="23">
        <f t="shared" si="4"/>
        <v>275.625</v>
      </c>
      <c r="W94" s="24">
        <f t="shared" si="5"/>
        <v>5.2</v>
      </c>
      <c r="X94" s="70">
        <f t="shared" si="6"/>
        <v>551.25</v>
      </c>
      <c r="Y94" s="70">
        <f t="shared" si="7"/>
        <v>2308.8</v>
      </c>
    </row>
    <row r="95">
      <c r="A95" s="15" t="s">
        <v>472</v>
      </c>
      <c r="B95" s="15" t="s">
        <v>473</v>
      </c>
      <c r="C95" s="15" t="s">
        <v>6082</v>
      </c>
      <c r="D95" s="15" t="s">
        <v>474</v>
      </c>
      <c r="E95" s="17" t="s">
        <v>475</v>
      </c>
      <c r="F95" s="18"/>
      <c r="G95" s="15" t="s">
        <v>476</v>
      </c>
      <c r="H95" s="15" t="s">
        <v>477</v>
      </c>
      <c r="I95" s="18"/>
      <c r="J95" s="19" t="s">
        <v>36</v>
      </c>
      <c r="K95" s="33"/>
      <c r="L95" s="19" t="s">
        <v>38</v>
      </c>
      <c r="M95" s="20">
        <f t="shared" si="1"/>
        <v>355.2</v>
      </c>
      <c r="N95" s="31">
        <v>2.0</v>
      </c>
      <c r="O95" s="19" t="s">
        <v>107</v>
      </c>
      <c r="P95" s="18"/>
      <c r="Q95" s="18"/>
      <c r="R95" s="23">
        <v>3.0</v>
      </c>
      <c r="S95" s="23">
        <v>20.0</v>
      </c>
      <c r="T95" s="23">
        <f t="shared" si="2"/>
        <v>19.2</v>
      </c>
      <c r="U95" s="23">
        <f t="shared" si="3"/>
        <v>3.675</v>
      </c>
      <c r="V95" s="23">
        <f t="shared" si="4"/>
        <v>68.90625</v>
      </c>
      <c r="W95" s="24">
        <f t="shared" si="5"/>
        <v>6.4</v>
      </c>
      <c r="X95" s="70">
        <f t="shared" si="6"/>
        <v>137.8125</v>
      </c>
      <c r="Y95" s="70">
        <f t="shared" si="7"/>
        <v>710.4</v>
      </c>
    </row>
    <row r="96">
      <c r="A96" s="15" t="s">
        <v>896</v>
      </c>
      <c r="B96" s="18" t="str">
        <f>CONCATENATE(7504589,A96)</f>
        <v>75045891209</v>
      </c>
      <c r="C96" s="15" t="s">
        <v>6083</v>
      </c>
      <c r="D96" s="15" t="s">
        <v>6084</v>
      </c>
      <c r="E96" s="17" t="s">
        <v>5993</v>
      </c>
      <c r="F96" s="18"/>
      <c r="G96" s="18"/>
      <c r="H96" s="15" t="s">
        <v>899</v>
      </c>
      <c r="I96" s="18"/>
      <c r="J96" s="19" t="s">
        <v>59</v>
      </c>
      <c r="K96" s="19" t="s">
        <v>60</v>
      </c>
      <c r="L96" s="19" t="s">
        <v>135</v>
      </c>
      <c r="M96" s="20">
        <f t="shared" si="1"/>
        <v>1420.8</v>
      </c>
      <c r="N96" s="31">
        <v>2.0</v>
      </c>
      <c r="O96" s="19" t="s">
        <v>107</v>
      </c>
      <c r="P96" s="18"/>
      <c r="Q96" s="18"/>
      <c r="R96" s="23">
        <v>10.0</v>
      </c>
      <c r="S96" s="23">
        <v>80.0</v>
      </c>
      <c r="T96" s="23">
        <f t="shared" si="2"/>
        <v>76.8</v>
      </c>
      <c r="U96" s="23">
        <f t="shared" si="3"/>
        <v>12.25</v>
      </c>
      <c r="V96" s="23">
        <f t="shared" si="4"/>
        <v>229.6875</v>
      </c>
      <c r="W96" s="24">
        <f t="shared" si="5"/>
        <v>7.68</v>
      </c>
      <c r="X96" s="70">
        <f t="shared" si="6"/>
        <v>459.375</v>
      </c>
      <c r="Y96" s="70">
        <f t="shared" si="7"/>
        <v>2841.6</v>
      </c>
    </row>
    <row r="97">
      <c r="A97" s="15" t="s">
        <v>718</v>
      </c>
      <c r="B97" s="15" t="s">
        <v>719</v>
      </c>
      <c r="C97" s="15" t="s">
        <v>6085</v>
      </c>
      <c r="D97" s="15" t="s">
        <v>720</v>
      </c>
      <c r="E97" s="17" t="s">
        <v>721</v>
      </c>
      <c r="F97" s="18"/>
      <c r="G97" s="15" t="s">
        <v>722</v>
      </c>
      <c r="H97" s="15" t="s">
        <v>723</v>
      </c>
      <c r="I97" s="18"/>
      <c r="J97" s="19" t="s">
        <v>59</v>
      </c>
      <c r="K97" s="19" t="s">
        <v>60</v>
      </c>
      <c r="L97" s="19" t="s">
        <v>52</v>
      </c>
      <c r="M97" s="20">
        <f t="shared" si="1"/>
        <v>2592.96</v>
      </c>
      <c r="N97" s="31">
        <v>2.0</v>
      </c>
      <c r="O97" s="19" t="s">
        <v>107</v>
      </c>
      <c r="P97" s="18"/>
      <c r="Q97" s="18"/>
      <c r="R97" s="23">
        <v>30.0</v>
      </c>
      <c r="S97" s="23">
        <v>146.0</v>
      </c>
      <c r="T97" s="23">
        <f t="shared" si="2"/>
        <v>140.16</v>
      </c>
      <c r="U97" s="23">
        <f t="shared" si="3"/>
        <v>36.75</v>
      </c>
      <c r="V97" s="23">
        <f t="shared" si="4"/>
        <v>689.0625</v>
      </c>
      <c r="W97" s="24">
        <f t="shared" si="5"/>
        <v>4.672</v>
      </c>
      <c r="X97" s="70">
        <f t="shared" si="6"/>
        <v>1378.125</v>
      </c>
      <c r="Y97" s="70">
        <f t="shared" si="7"/>
        <v>5185.92</v>
      </c>
    </row>
    <row r="98">
      <c r="A98" s="15" t="s">
        <v>758</v>
      </c>
      <c r="B98" s="15" t="s">
        <v>759</v>
      </c>
      <c r="C98" s="15" t="s">
        <v>6086</v>
      </c>
      <c r="D98" s="15" t="s">
        <v>760</v>
      </c>
      <c r="E98" s="17" t="s">
        <v>761</v>
      </c>
      <c r="F98" s="18"/>
      <c r="G98" s="18"/>
      <c r="H98" s="15" t="s">
        <v>762</v>
      </c>
      <c r="I98" s="18"/>
      <c r="J98" s="19" t="s">
        <v>59</v>
      </c>
      <c r="K98" s="19" t="s">
        <v>60</v>
      </c>
      <c r="L98" s="19" t="s">
        <v>38</v>
      </c>
      <c r="M98" s="20">
        <f t="shared" si="1"/>
        <v>1172.16</v>
      </c>
      <c r="N98" s="31">
        <v>2.0</v>
      </c>
      <c r="O98" s="19" t="s">
        <v>107</v>
      </c>
      <c r="P98" s="18"/>
      <c r="Q98" s="18"/>
      <c r="R98" s="23">
        <v>14.0</v>
      </c>
      <c r="S98" s="23">
        <v>66.0</v>
      </c>
      <c r="T98" s="23">
        <f t="shared" si="2"/>
        <v>63.36</v>
      </c>
      <c r="U98" s="23">
        <f t="shared" si="3"/>
        <v>17.15</v>
      </c>
      <c r="V98" s="23">
        <f t="shared" si="4"/>
        <v>321.5625</v>
      </c>
      <c r="W98" s="24">
        <f t="shared" si="5"/>
        <v>4.525714286</v>
      </c>
      <c r="X98" s="70">
        <f t="shared" si="6"/>
        <v>643.125</v>
      </c>
      <c r="Y98" s="70">
        <f t="shared" si="7"/>
        <v>2344.32</v>
      </c>
    </row>
    <row r="99">
      <c r="A99" s="15" t="s">
        <v>1135</v>
      </c>
      <c r="B99" s="15" t="s">
        <v>1136</v>
      </c>
      <c r="C99" s="15" t="s">
        <v>1137</v>
      </c>
      <c r="D99" s="15" t="s">
        <v>1138</v>
      </c>
      <c r="E99" s="17" t="s">
        <v>1139</v>
      </c>
      <c r="F99" s="18"/>
      <c r="G99" s="18"/>
      <c r="H99" s="15" t="s">
        <v>1140</v>
      </c>
      <c r="I99" s="18"/>
      <c r="J99" s="19" t="s">
        <v>59</v>
      </c>
      <c r="K99" s="19" t="s">
        <v>52</v>
      </c>
      <c r="L99" s="19" t="s">
        <v>52</v>
      </c>
      <c r="M99" s="20">
        <f t="shared" si="1"/>
        <v>177.6</v>
      </c>
      <c r="N99" s="31">
        <v>2.0</v>
      </c>
      <c r="O99" s="19" t="s">
        <v>107</v>
      </c>
      <c r="P99" s="18"/>
      <c r="Q99" s="18"/>
      <c r="R99" s="23">
        <v>5.0</v>
      </c>
      <c r="S99" s="23">
        <v>10.0</v>
      </c>
      <c r="T99" s="23">
        <f t="shared" si="2"/>
        <v>9.6</v>
      </c>
      <c r="U99" s="23">
        <f t="shared" si="3"/>
        <v>6.125</v>
      </c>
      <c r="V99" s="23">
        <f t="shared" si="4"/>
        <v>114.84375</v>
      </c>
      <c r="W99" s="24">
        <f t="shared" si="5"/>
        <v>1.92</v>
      </c>
      <c r="X99" s="70">
        <f t="shared" si="6"/>
        <v>229.6875</v>
      </c>
      <c r="Y99" s="70">
        <f t="shared" si="7"/>
        <v>355.2</v>
      </c>
    </row>
    <row r="100">
      <c r="A100" s="15" t="s">
        <v>980</v>
      </c>
      <c r="B100" s="15" t="s">
        <v>981</v>
      </c>
      <c r="C100" s="15" t="s">
        <v>6087</v>
      </c>
      <c r="D100" s="15" t="s">
        <v>982</v>
      </c>
      <c r="E100" s="17" t="s">
        <v>983</v>
      </c>
      <c r="F100" s="18"/>
      <c r="G100" s="15" t="s">
        <v>984</v>
      </c>
      <c r="H100" s="15" t="s">
        <v>985</v>
      </c>
      <c r="I100" s="18"/>
      <c r="J100" s="19" t="s">
        <v>59</v>
      </c>
      <c r="K100" s="19" t="s">
        <v>114</v>
      </c>
      <c r="L100" s="19" t="s">
        <v>115</v>
      </c>
      <c r="M100" s="20">
        <f t="shared" si="1"/>
        <v>4582.08</v>
      </c>
      <c r="N100" s="31">
        <v>2.0</v>
      </c>
      <c r="O100" s="19" t="s">
        <v>107</v>
      </c>
      <c r="P100" s="18"/>
      <c r="Q100" s="18"/>
      <c r="R100" s="23">
        <v>70.0</v>
      </c>
      <c r="S100" s="23">
        <v>258.0</v>
      </c>
      <c r="T100" s="23">
        <f t="shared" si="2"/>
        <v>247.68</v>
      </c>
      <c r="U100" s="23">
        <f t="shared" si="3"/>
        <v>85.75</v>
      </c>
      <c r="V100" s="23">
        <f t="shared" si="4"/>
        <v>1607.8125</v>
      </c>
      <c r="W100" s="24">
        <f t="shared" si="5"/>
        <v>3.538285714</v>
      </c>
      <c r="X100" s="70">
        <f t="shared" si="6"/>
        <v>3215.625</v>
      </c>
      <c r="Y100" s="70">
        <f t="shared" si="7"/>
        <v>9164.16</v>
      </c>
    </row>
    <row r="101">
      <c r="A101" s="15" t="s">
        <v>1019</v>
      </c>
      <c r="B101" s="15" t="s">
        <v>1020</v>
      </c>
      <c r="C101" s="15" t="s">
        <v>6088</v>
      </c>
      <c r="D101" s="15" t="s">
        <v>1021</v>
      </c>
      <c r="E101" s="17" t="s">
        <v>1022</v>
      </c>
      <c r="F101" s="18"/>
      <c r="G101" s="18"/>
      <c r="H101" s="15" t="s">
        <v>1023</v>
      </c>
      <c r="I101" s="18"/>
      <c r="J101" s="19" t="s">
        <v>59</v>
      </c>
      <c r="K101" s="19" t="s">
        <v>114</v>
      </c>
      <c r="L101" s="19" t="s">
        <v>115</v>
      </c>
      <c r="M101" s="20">
        <f t="shared" si="1"/>
        <v>3392.16</v>
      </c>
      <c r="N101" s="31">
        <v>2.0</v>
      </c>
      <c r="O101" s="19" t="s">
        <v>107</v>
      </c>
      <c r="P101" s="18"/>
      <c r="Q101" s="18"/>
      <c r="R101" s="23">
        <v>55.0</v>
      </c>
      <c r="S101" s="23">
        <v>191.0</v>
      </c>
      <c r="T101" s="23">
        <f t="shared" si="2"/>
        <v>183.36</v>
      </c>
      <c r="U101" s="23">
        <f t="shared" si="3"/>
        <v>67.375</v>
      </c>
      <c r="V101" s="23">
        <f t="shared" si="4"/>
        <v>1263.28125</v>
      </c>
      <c r="W101" s="24">
        <f t="shared" si="5"/>
        <v>3.333818182</v>
      </c>
      <c r="X101" s="70">
        <f t="shared" si="6"/>
        <v>2526.5625</v>
      </c>
      <c r="Y101" s="70">
        <f t="shared" si="7"/>
        <v>6784.32</v>
      </c>
    </row>
    <row r="102">
      <c r="A102" s="15" t="s">
        <v>1057</v>
      </c>
      <c r="B102" s="15" t="s">
        <v>1058</v>
      </c>
      <c r="C102" s="15" t="s">
        <v>6089</v>
      </c>
      <c r="D102" s="15" t="s">
        <v>1059</v>
      </c>
      <c r="E102" s="17" t="s">
        <v>1060</v>
      </c>
      <c r="F102" s="18"/>
      <c r="G102" s="15" t="s">
        <v>1061</v>
      </c>
      <c r="H102" s="15" t="s">
        <v>1062</v>
      </c>
      <c r="I102" s="18"/>
      <c r="J102" s="19" t="s">
        <v>59</v>
      </c>
      <c r="K102" s="19" t="s">
        <v>114</v>
      </c>
      <c r="L102" s="19" t="s">
        <v>115</v>
      </c>
      <c r="M102" s="20">
        <f t="shared" si="1"/>
        <v>2912.64</v>
      </c>
      <c r="N102" s="31">
        <v>2.0</v>
      </c>
      <c r="O102" s="19" t="s">
        <v>107</v>
      </c>
      <c r="P102" s="18"/>
      <c r="Q102" s="18"/>
      <c r="R102" s="23">
        <v>55.0</v>
      </c>
      <c r="S102" s="23">
        <v>164.0</v>
      </c>
      <c r="T102" s="23">
        <f t="shared" si="2"/>
        <v>157.44</v>
      </c>
      <c r="U102" s="23">
        <f t="shared" si="3"/>
        <v>67.375</v>
      </c>
      <c r="V102" s="23">
        <f t="shared" si="4"/>
        <v>1263.28125</v>
      </c>
      <c r="W102" s="24">
        <f t="shared" si="5"/>
        <v>2.862545455</v>
      </c>
      <c r="X102" s="70">
        <f t="shared" si="6"/>
        <v>2526.5625</v>
      </c>
      <c r="Y102" s="70">
        <f t="shared" si="7"/>
        <v>5825.28</v>
      </c>
    </row>
    <row r="103">
      <c r="A103" s="15" t="s">
        <v>906</v>
      </c>
      <c r="B103" s="15" t="s">
        <v>907</v>
      </c>
      <c r="C103" s="15" t="s">
        <v>6090</v>
      </c>
      <c r="D103" s="15" t="s">
        <v>908</v>
      </c>
      <c r="E103" s="17" t="s">
        <v>909</v>
      </c>
      <c r="F103" s="18"/>
      <c r="G103" s="15" t="s">
        <v>910</v>
      </c>
      <c r="H103" s="15" t="s">
        <v>911</v>
      </c>
      <c r="I103" s="18"/>
      <c r="J103" s="19" t="s">
        <v>59</v>
      </c>
      <c r="K103" s="19" t="s">
        <v>114</v>
      </c>
      <c r="L103" s="19" t="s">
        <v>115</v>
      </c>
      <c r="M103" s="20">
        <f t="shared" si="1"/>
        <v>3907.2</v>
      </c>
      <c r="N103" s="31">
        <v>2.0</v>
      </c>
      <c r="O103" s="19" t="s">
        <v>107</v>
      </c>
      <c r="P103" s="18"/>
      <c r="Q103" s="18"/>
      <c r="R103" s="23">
        <v>55.0</v>
      </c>
      <c r="S103" s="23">
        <v>220.0</v>
      </c>
      <c r="T103" s="23">
        <f t="shared" si="2"/>
        <v>211.2</v>
      </c>
      <c r="U103" s="23">
        <f t="shared" si="3"/>
        <v>67.375</v>
      </c>
      <c r="V103" s="23">
        <f t="shared" si="4"/>
        <v>1263.28125</v>
      </c>
      <c r="W103" s="24">
        <f t="shared" si="5"/>
        <v>3.84</v>
      </c>
      <c r="X103" s="70">
        <f t="shared" si="6"/>
        <v>2526.5625</v>
      </c>
      <c r="Y103" s="70">
        <f t="shared" si="7"/>
        <v>7814.4</v>
      </c>
    </row>
    <row r="104">
      <c r="A104" s="15" t="s">
        <v>1035</v>
      </c>
      <c r="B104" s="15" t="s">
        <v>1036</v>
      </c>
      <c r="C104" s="15" t="s">
        <v>6079</v>
      </c>
      <c r="D104" s="15" t="s">
        <v>1037</v>
      </c>
      <c r="E104" s="17" t="s">
        <v>1038</v>
      </c>
      <c r="F104" s="18"/>
      <c r="G104" s="15" t="s">
        <v>1039</v>
      </c>
      <c r="H104" s="15" t="s">
        <v>1040</v>
      </c>
      <c r="I104" s="18"/>
      <c r="J104" s="19" t="s">
        <v>59</v>
      </c>
      <c r="K104" s="19" t="s">
        <v>114</v>
      </c>
      <c r="L104" s="19" t="s">
        <v>115</v>
      </c>
      <c r="M104" s="20">
        <f t="shared" si="1"/>
        <v>3463.2</v>
      </c>
      <c r="N104" s="31">
        <v>2.0</v>
      </c>
      <c r="O104" s="19" t="s">
        <v>107</v>
      </c>
      <c r="P104" s="18"/>
      <c r="Q104" s="18"/>
      <c r="R104" s="23">
        <v>60.0</v>
      </c>
      <c r="S104" s="23">
        <v>195.0</v>
      </c>
      <c r="T104" s="23">
        <f t="shared" si="2"/>
        <v>187.2</v>
      </c>
      <c r="U104" s="23">
        <f t="shared" si="3"/>
        <v>73.5</v>
      </c>
      <c r="V104" s="23">
        <f t="shared" si="4"/>
        <v>1378.125</v>
      </c>
      <c r="W104" s="24">
        <f t="shared" si="5"/>
        <v>3.12</v>
      </c>
      <c r="X104" s="70">
        <f t="shared" si="6"/>
        <v>2756.25</v>
      </c>
      <c r="Y104" s="70">
        <f t="shared" si="7"/>
        <v>6926.4</v>
      </c>
    </row>
    <row r="105">
      <c r="A105" s="15" t="s">
        <v>497</v>
      </c>
      <c r="B105" s="15" t="s">
        <v>498</v>
      </c>
      <c r="C105" s="15" t="s">
        <v>6091</v>
      </c>
      <c r="D105" s="15" t="s">
        <v>499</v>
      </c>
      <c r="E105" s="17" t="s">
        <v>500</v>
      </c>
      <c r="F105" s="18"/>
      <c r="G105" s="15" t="s">
        <v>501</v>
      </c>
      <c r="H105" s="15" t="s">
        <v>502</v>
      </c>
      <c r="I105" s="18"/>
      <c r="J105" s="19" t="s">
        <v>59</v>
      </c>
      <c r="K105" s="33"/>
      <c r="L105" s="19" t="s">
        <v>115</v>
      </c>
      <c r="M105" s="20">
        <f t="shared" si="1"/>
        <v>692.64</v>
      </c>
      <c r="N105" s="31">
        <v>2.0</v>
      </c>
      <c r="O105" s="19" t="s">
        <v>107</v>
      </c>
      <c r="P105" s="18"/>
      <c r="Q105" s="18"/>
      <c r="R105" s="23">
        <v>6.0</v>
      </c>
      <c r="S105" s="23">
        <v>39.0</v>
      </c>
      <c r="T105" s="23">
        <f t="shared" si="2"/>
        <v>37.44</v>
      </c>
      <c r="U105" s="23">
        <f t="shared" si="3"/>
        <v>7.35</v>
      </c>
      <c r="V105" s="23">
        <f t="shared" si="4"/>
        <v>137.8125</v>
      </c>
      <c r="W105" s="24">
        <f t="shared" si="5"/>
        <v>6.24</v>
      </c>
      <c r="X105" s="70">
        <f t="shared" si="6"/>
        <v>275.625</v>
      </c>
      <c r="Y105" s="70">
        <f t="shared" si="7"/>
        <v>1385.28</v>
      </c>
    </row>
    <row r="106">
      <c r="A106" s="15" t="s">
        <v>303</v>
      </c>
      <c r="B106" s="15" t="s">
        <v>304</v>
      </c>
      <c r="C106" s="15" t="s">
        <v>6092</v>
      </c>
      <c r="D106" s="15" t="s">
        <v>305</v>
      </c>
      <c r="E106" s="17" t="s">
        <v>6093</v>
      </c>
      <c r="F106" s="18"/>
      <c r="G106" s="18"/>
      <c r="H106" s="15" t="s">
        <v>307</v>
      </c>
      <c r="I106" s="18"/>
      <c r="J106" s="19" t="s">
        <v>59</v>
      </c>
      <c r="K106" s="19" t="s">
        <v>60</v>
      </c>
      <c r="L106" s="19" t="s">
        <v>52</v>
      </c>
      <c r="M106" s="20">
        <f t="shared" si="1"/>
        <v>1012.32</v>
      </c>
      <c r="N106" s="31">
        <v>2.0</v>
      </c>
      <c r="O106" s="19" t="s">
        <v>107</v>
      </c>
      <c r="P106" s="18"/>
      <c r="Q106" s="18"/>
      <c r="R106" s="23">
        <v>7.0</v>
      </c>
      <c r="S106" s="23">
        <v>57.0</v>
      </c>
      <c r="T106" s="23">
        <f t="shared" si="2"/>
        <v>54.72</v>
      </c>
      <c r="U106" s="23">
        <f t="shared" si="3"/>
        <v>8.575</v>
      </c>
      <c r="V106" s="23">
        <f t="shared" si="4"/>
        <v>160.78125</v>
      </c>
      <c r="W106" s="24">
        <f t="shared" si="5"/>
        <v>7.817142857</v>
      </c>
      <c r="X106" s="70">
        <f t="shared" si="6"/>
        <v>321.5625</v>
      </c>
      <c r="Y106" s="70">
        <f t="shared" si="7"/>
        <v>2024.64</v>
      </c>
    </row>
    <row r="107">
      <c r="A107" s="15" t="s">
        <v>490</v>
      </c>
      <c r="B107" s="15" t="s">
        <v>491</v>
      </c>
      <c r="C107" s="15" t="s">
        <v>6094</v>
      </c>
      <c r="D107" s="15" t="s">
        <v>492</v>
      </c>
      <c r="E107" s="17" t="s">
        <v>493</v>
      </c>
      <c r="F107" s="18"/>
      <c r="G107" s="15" t="s">
        <v>494</v>
      </c>
      <c r="H107" s="15" t="s">
        <v>495</v>
      </c>
      <c r="I107" s="18"/>
      <c r="J107" s="19" t="s">
        <v>59</v>
      </c>
      <c r="K107" s="19" t="s">
        <v>496</v>
      </c>
      <c r="L107" s="19" t="s">
        <v>292</v>
      </c>
      <c r="M107" s="20">
        <f t="shared" si="1"/>
        <v>2575.2</v>
      </c>
      <c r="N107" s="31">
        <v>2.0</v>
      </c>
      <c r="O107" s="19" t="s">
        <v>107</v>
      </c>
      <c r="P107" s="18"/>
      <c r="Q107" s="18"/>
      <c r="R107" s="23">
        <v>22.0</v>
      </c>
      <c r="S107" s="23">
        <v>145.0</v>
      </c>
      <c r="T107" s="23">
        <f t="shared" si="2"/>
        <v>139.2</v>
      </c>
      <c r="U107" s="23">
        <f t="shared" si="3"/>
        <v>26.95</v>
      </c>
      <c r="V107" s="23">
        <f t="shared" si="4"/>
        <v>505.3125</v>
      </c>
      <c r="W107" s="24">
        <f t="shared" si="5"/>
        <v>6.327272727</v>
      </c>
      <c r="X107" s="70">
        <f t="shared" si="6"/>
        <v>1010.625</v>
      </c>
      <c r="Y107" s="70">
        <f t="shared" si="7"/>
        <v>5150.4</v>
      </c>
    </row>
    <row r="108">
      <c r="A108" s="15" t="s">
        <v>428</v>
      </c>
      <c r="B108" s="15" t="s">
        <v>429</v>
      </c>
      <c r="C108" s="15" t="s">
        <v>6095</v>
      </c>
      <c r="D108" s="15" t="s">
        <v>430</v>
      </c>
      <c r="E108" s="17" t="s">
        <v>431</v>
      </c>
      <c r="F108" s="18"/>
      <c r="G108" s="15" t="s">
        <v>432</v>
      </c>
      <c r="H108" s="15" t="s">
        <v>433</v>
      </c>
      <c r="I108" s="18"/>
      <c r="J108" s="19" t="s">
        <v>59</v>
      </c>
      <c r="K108" s="19" t="s">
        <v>60</v>
      </c>
      <c r="L108" s="19" t="s">
        <v>52</v>
      </c>
      <c r="M108" s="20">
        <f t="shared" si="1"/>
        <v>1935.84</v>
      </c>
      <c r="N108" s="31">
        <v>2.0</v>
      </c>
      <c r="O108" s="19" t="s">
        <v>107</v>
      </c>
      <c r="P108" s="18"/>
      <c r="Q108" s="18"/>
      <c r="R108" s="23">
        <v>15.5</v>
      </c>
      <c r="S108" s="23">
        <v>109.0</v>
      </c>
      <c r="T108" s="23">
        <f t="shared" si="2"/>
        <v>104.64</v>
      </c>
      <c r="U108" s="23">
        <f t="shared" si="3"/>
        <v>18.9875</v>
      </c>
      <c r="V108" s="23">
        <f t="shared" si="4"/>
        <v>356.015625</v>
      </c>
      <c r="W108" s="24">
        <f t="shared" si="5"/>
        <v>6.750967742</v>
      </c>
      <c r="X108" s="70">
        <f t="shared" si="6"/>
        <v>712.03125</v>
      </c>
      <c r="Y108" s="70">
        <f t="shared" si="7"/>
        <v>3871.68</v>
      </c>
    </row>
    <row r="109">
      <c r="A109" s="15" t="s">
        <v>248</v>
      </c>
      <c r="B109" s="15" t="s">
        <v>249</v>
      </c>
      <c r="C109" s="15" t="s">
        <v>6096</v>
      </c>
      <c r="D109" s="15" t="s">
        <v>250</v>
      </c>
      <c r="E109" s="17" t="s">
        <v>251</v>
      </c>
      <c r="F109" s="18"/>
      <c r="G109" s="15" t="s">
        <v>252</v>
      </c>
      <c r="H109" s="15" t="s">
        <v>253</v>
      </c>
      <c r="I109" s="18"/>
      <c r="J109" s="19" t="s">
        <v>59</v>
      </c>
      <c r="K109" s="33"/>
      <c r="L109" s="19" t="s">
        <v>38</v>
      </c>
      <c r="M109" s="20">
        <f t="shared" si="1"/>
        <v>2823.84</v>
      </c>
      <c r="N109" s="31">
        <v>2.0</v>
      </c>
      <c r="O109" s="19" t="s">
        <v>107</v>
      </c>
      <c r="P109" s="18"/>
      <c r="Q109" s="18"/>
      <c r="R109" s="23">
        <v>17.0</v>
      </c>
      <c r="S109" s="23">
        <v>159.0</v>
      </c>
      <c r="T109" s="23">
        <f t="shared" si="2"/>
        <v>152.64</v>
      </c>
      <c r="U109" s="23">
        <f t="shared" si="3"/>
        <v>20.825</v>
      </c>
      <c r="V109" s="23">
        <f t="shared" si="4"/>
        <v>390.46875</v>
      </c>
      <c r="W109" s="24">
        <f t="shared" si="5"/>
        <v>8.978823529</v>
      </c>
      <c r="X109" s="70">
        <f t="shared" si="6"/>
        <v>780.9375</v>
      </c>
      <c r="Y109" s="70">
        <f t="shared" si="7"/>
        <v>5647.68</v>
      </c>
    </row>
    <row r="110">
      <c r="A110" s="15" t="s">
        <v>936</v>
      </c>
      <c r="B110" s="15" t="s">
        <v>937</v>
      </c>
      <c r="C110" s="15" t="s">
        <v>6097</v>
      </c>
      <c r="D110" s="15" t="s">
        <v>938</v>
      </c>
      <c r="E110" s="17" t="s">
        <v>939</v>
      </c>
      <c r="F110" s="15" t="s">
        <v>940</v>
      </c>
      <c r="G110" s="15" t="s">
        <v>941</v>
      </c>
      <c r="H110" s="15" t="s">
        <v>942</v>
      </c>
      <c r="I110" s="18"/>
      <c r="J110" s="19" t="s">
        <v>104</v>
      </c>
      <c r="K110" s="19" t="s">
        <v>717</v>
      </c>
      <c r="L110" s="19" t="s">
        <v>106</v>
      </c>
      <c r="M110" s="20">
        <f t="shared" si="1"/>
        <v>8862.24</v>
      </c>
      <c r="N110" s="31">
        <v>2.0</v>
      </c>
      <c r="O110" s="19" t="s">
        <v>107</v>
      </c>
      <c r="P110" s="18"/>
      <c r="Q110" s="18"/>
      <c r="R110" s="23">
        <v>106.0</v>
      </c>
      <c r="S110" s="23">
        <v>499.0</v>
      </c>
      <c r="T110" s="23">
        <f t="shared" si="2"/>
        <v>479.04</v>
      </c>
      <c r="U110" s="23">
        <f t="shared" si="3"/>
        <v>129.85</v>
      </c>
      <c r="V110" s="23">
        <f t="shared" si="4"/>
        <v>2434.6875</v>
      </c>
      <c r="W110" s="24">
        <f t="shared" si="5"/>
        <v>4.519245283</v>
      </c>
      <c r="X110" s="70">
        <f t="shared" si="6"/>
        <v>4869.375</v>
      </c>
      <c r="Y110" s="70">
        <f t="shared" si="7"/>
        <v>17724.48</v>
      </c>
    </row>
    <row r="111">
      <c r="A111" s="15" t="s">
        <v>807</v>
      </c>
      <c r="B111" s="15" t="s">
        <v>808</v>
      </c>
      <c r="C111" s="15" t="s">
        <v>6098</v>
      </c>
      <c r="D111" s="15" t="s">
        <v>809</v>
      </c>
      <c r="E111" s="17" t="s">
        <v>810</v>
      </c>
      <c r="F111" s="18"/>
      <c r="G111" s="15" t="s">
        <v>811</v>
      </c>
      <c r="H111" s="15" t="s">
        <v>812</v>
      </c>
      <c r="I111" s="18"/>
      <c r="J111" s="19" t="s">
        <v>104</v>
      </c>
      <c r="K111" s="19" t="s">
        <v>160</v>
      </c>
      <c r="L111" s="19" t="s">
        <v>106</v>
      </c>
      <c r="M111" s="20">
        <f t="shared" si="1"/>
        <v>1083.36</v>
      </c>
      <c r="N111" s="31">
        <v>2.0</v>
      </c>
      <c r="O111" s="19" t="s">
        <v>107</v>
      </c>
      <c r="P111" s="18"/>
      <c r="Q111" s="18"/>
      <c r="R111" s="23">
        <v>14.0</v>
      </c>
      <c r="S111" s="23">
        <v>61.0</v>
      </c>
      <c r="T111" s="23">
        <f t="shared" si="2"/>
        <v>58.56</v>
      </c>
      <c r="U111" s="23">
        <f t="shared" si="3"/>
        <v>17.15</v>
      </c>
      <c r="V111" s="23">
        <f t="shared" si="4"/>
        <v>321.5625</v>
      </c>
      <c r="W111" s="24">
        <f t="shared" si="5"/>
        <v>4.182857143</v>
      </c>
      <c r="X111" s="70">
        <f t="shared" si="6"/>
        <v>643.125</v>
      </c>
      <c r="Y111" s="70">
        <f t="shared" si="7"/>
        <v>2166.72</v>
      </c>
    </row>
    <row r="112">
      <c r="A112" s="15" t="s">
        <v>673</v>
      </c>
      <c r="B112" s="15" t="s">
        <v>674</v>
      </c>
      <c r="C112" s="15" t="s">
        <v>6099</v>
      </c>
      <c r="D112" s="15" t="s">
        <v>675</v>
      </c>
      <c r="E112" s="17" t="s">
        <v>676</v>
      </c>
      <c r="F112" s="18"/>
      <c r="G112" s="15" t="s">
        <v>677</v>
      </c>
      <c r="H112" s="15" t="s">
        <v>678</v>
      </c>
      <c r="I112" s="18"/>
      <c r="J112" s="19" t="s">
        <v>104</v>
      </c>
      <c r="K112" s="19" t="s">
        <v>160</v>
      </c>
      <c r="L112" s="19" t="s">
        <v>106</v>
      </c>
      <c r="M112" s="20">
        <f t="shared" si="1"/>
        <v>1225.44</v>
      </c>
      <c r="N112" s="31">
        <v>2.0</v>
      </c>
      <c r="O112" s="19" t="s">
        <v>107</v>
      </c>
      <c r="P112" s="18"/>
      <c r="Q112" s="18"/>
      <c r="R112" s="23">
        <v>13.5</v>
      </c>
      <c r="S112" s="23">
        <v>69.0</v>
      </c>
      <c r="T112" s="23">
        <f t="shared" si="2"/>
        <v>66.24</v>
      </c>
      <c r="U112" s="23">
        <f t="shared" si="3"/>
        <v>16.5375</v>
      </c>
      <c r="V112" s="23">
        <f t="shared" si="4"/>
        <v>310.078125</v>
      </c>
      <c r="W112" s="24">
        <f t="shared" si="5"/>
        <v>4.906666667</v>
      </c>
      <c r="X112" s="70">
        <f t="shared" si="6"/>
        <v>620.15625</v>
      </c>
      <c r="Y112" s="70">
        <f t="shared" si="7"/>
        <v>2450.88</v>
      </c>
    </row>
    <row r="113">
      <c r="A113" s="15" t="s">
        <v>161</v>
      </c>
      <c r="B113" s="18" t="str">
        <f>CONCATENATE(7504589,A113)</f>
        <v>75045892310</v>
      </c>
      <c r="C113" s="15" t="s">
        <v>6100</v>
      </c>
      <c r="D113" s="15" t="s">
        <v>162</v>
      </c>
      <c r="E113" s="17" t="s">
        <v>163</v>
      </c>
      <c r="F113" s="18"/>
      <c r="G113" s="15" t="s">
        <v>164</v>
      </c>
      <c r="H113" s="15" t="s">
        <v>165</v>
      </c>
      <c r="I113" s="18"/>
      <c r="J113" s="19" t="s">
        <v>104</v>
      </c>
      <c r="K113" s="19" t="s">
        <v>160</v>
      </c>
      <c r="L113" s="19" t="s">
        <v>106</v>
      </c>
      <c r="M113" s="20">
        <f t="shared" si="1"/>
        <v>3711.84</v>
      </c>
      <c r="N113" s="31">
        <v>2.0</v>
      </c>
      <c r="O113" s="19" t="s">
        <v>107</v>
      </c>
      <c r="P113" s="18"/>
      <c r="Q113" s="18"/>
      <c r="R113" s="23">
        <v>13.5</v>
      </c>
      <c r="S113" s="23">
        <v>209.0</v>
      </c>
      <c r="T113" s="23">
        <f t="shared" si="2"/>
        <v>200.64</v>
      </c>
      <c r="U113" s="23">
        <f t="shared" si="3"/>
        <v>16.5375</v>
      </c>
      <c r="V113" s="23">
        <f t="shared" si="4"/>
        <v>310.078125</v>
      </c>
      <c r="W113" s="24">
        <f t="shared" si="5"/>
        <v>14.86222222</v>
      </c>
      <c r="X113" s="70">
        <f t="shared" si="6"/>
        <v>620.15625</v>
      </c>
      <c r="Y113" s="70">
        <f t="shared" si="7"/>
        <v>7423.68</v>
      </c>
    </row>
    <row r="114">
      <c r="A114" s="15" t="s">
        <v>537</v>
      </c>
      <c r="B114" s="15" t="s">
        <v>538</v>
      </c>
      <c r="C114" s="15" t="s">
        <v>6101</v>
      </c>
      <c r="D114" s="15" t="s">
        <v>539</v>
      </c>
      <c r="E114" s="17" t="s">
        <v>540</v>
      </c>
      <c r="F114" s="18"/>
      <c r="G114" s="15" t="s">
        <v>541</v>
      </c>
      <c r="H114" s="15" t="s">
        <v>542</v>
      </c>
      <c r="I114" s="18"/>
      <c r="J114" s="19" t="s">
        <v>104</v>
      </c>
      <c r="K114" s="19" t="s">
        <v>160</v>
      </c>
      <c r="L114" s="19" t="s">
        <v>106</v>
      </c>
      <c r="M114" s="20">
        <f t="shared" si="1"/>
        <v>1278.72</v>
      </c>
      <c r="N114" s="31">
        <v>2.0</v>
      </c>
      <c r="O114" s="19" t="s">
        <v>107</v>
      </c>
      <c r="P114" s="18"/>
      <c r="Q114" s="18"/>
      <c r="R114" s="23">
        <v>12.0</v>
      </c>
      <c r="S114" s="23">
        <v>72.0</v>
      </c>
      <c r="T114" s="23">
        <f t="shared" si="2"/>
        <v>69.12</v>
      </c>
      <c r="U114" s="23">
        <f t="shared" si="3"/>
        <v>14.7</v>
      </c>
      <c r="V114" s="23">
        <f t="shared" si="4"/>
        <v>275.625</v>
      </c>
      <c r="W114" s="24">
        <f t="shared" si="5"/>
        <v>5.76</v>
      </c>
      <c r="X114" s="70">
        <f t="shared" si="6"/>
        <v>551.25</v>
      </c>
      <c r="Y114" s="70">
        <f t="shared" si="7"/>
        <v>2557.44</v>
      </c>
    </row>
    <row r="115">
      <c r="A115" s="15" t="s">
        <v>416</v>
      </c>
      <c r="B115" s="35" t="s">
        <v>417</v>
      </c>
      <c r="C115" s="15" t="s">
        <v>6100</v>
      </c>
      <c r="D115" s="15" t="s">
        <v>418</v>
      </c>
      <c r="E115" s="17" t="s">
        <v>419</v>
      </c>
      <c r="F115" s="18"/>
      <c r="G115" s="15" t="s">
        <v>164</v>
      </c>
      <c r="H115" s="15" t="s">
        <v>420</v>
      </c>
      <c r="I115" s="15" t="s">
        <v>421</v>
      </c>
      <c r="J115" s="19" t="s">
        <v>104</v>
      </c>
      <c r="K115" s="19" t="s">
        <v>160</v>
      </c>
      <c r="L115" s="19" t="s">
        <v>106</v>
      </c>
      <c r="M115" s="20">
        <f t="shared" si="1"/>
        <v>1918.08</v>
      </c>
      <c r="N115" s="31">
        <v>2.0</v>
      </c>
      <c r="O115" s="19" t="s">
        <v>107</v>
      </c>
      <c r="P115" s="18"/>
      <c r="Q115" s="18"/>
      <c r="R115" s="23">
        <v>15.0</v>
      </c>
      <c r="S115" s="23">
        <v>108.0</v>
      </c>
      <c r="T115" s="23">
        <f t="shared" si="2"/>
        <v>103.68</v>
      </c>
      <c r="U115" s="23">
        <f t="shared" si="3"/>
        <v>18.375</v>
      </c>
      <c r="V115" s="23">
        <f t="shared" si="4"/>
        <v>344.53125</v>
      </c>
      <c r="W115" s="24">
        <f t="shared" si="5"/>
        <v>6.912</v>
      </c>
      <c r="X115" s="70">
        <f t="shared" si="6"/>
        <v>689.0625</v>
      </c>
      <c r="Y115" s="70">
        <f t="shared" si="7"/>
        <v>3836.16</v>
      </c>
    </row>
    <row r="116">
      <c r="A116" s="15" t="s">
        <v>947</v>
      </c>
      <c r="B116" s="15" t="s">
        <v>948</v>
      </c>
      <c r="C116" s="15" t="s">
        <v>6102</v>
      </c>
      <c r="D116" s="15" t="s">
        <v>949</v>
      </c>
      <c r="E116" s="17" t="s">
        <v>950</v>
      </c>
      <c r="F116" s="18"/>
      <c r="G116" s="15" t="s">
        <v>951</v>
      </c>
      <c r="H116" s="15" t="s">
        <v>952</v>
      </c>
      <c r="I116" s="18"/>
      <c r="J116" s="19" t="s">
        <v>283</v>
      </c>
      <c r="K116" s="19" t="s">
        <v>105</v>
      </c>
      <c r="L116" s="19" t="s">
        <v>953</v>
      </c>
      <c r="M116" s="20">
        <f t="shared" si="1"/>
        <v>5434.56</v>
      </c>
      <c r="N116" s="31">
        <v>3.0</v>
      </c>
      <c r="O116" s="19" t="s">
        <v>107</v>
      </c>
      <c r="P116" s="18"/>
      <c r="Q116" s="18"/>
      <c r="R116" s="23">
        <v>82.0</v>
      </c>
      <c r="S116" s="23">
        <v>306.0</v>
      </c>
      <c r="T116" s="23">
        <f t="shared" si="2"/>
        <v>293.76</v>
      </c>
      <c r="U116" s="23">
        <f t="shared" si="3"/>
        <v>100.45</v>
      </c>
      <c r="V116" s="23">
        <f t="shared" si="4"/>
        <v>1883.4375</v>
      </c>
      <c r="W116" s="24">
        <f t="shared" si="5"/>
        <v>3.582439024</v>
      </c>
      <c r="X116" s="70">
        <f t="shared" si="6"/>
        <v>5650.3125</v>
      </c>
      <c r="Y116" s="70">
        <f t="shared" si="7"/>
        <v>16303.68</v>
      </c>
    </row>
    <row r="117">
      <c r="A117" s="15" t="s">
        <v>148</v>
      </c>
      <c r="B117" s="15" t="s">
        <v>149</v>
      </c>
      <c r="C117" s="15" t="s">
        <v>6103</v>
      </c>
      <c r="D117" s="15" t="s">
        <v>150</v>
      </c>
      <c r="E117" s="17" t="s">
        <v>151</v>
      </c>
      <c r="F117" s="18"/>
      <c r="G117" s="18"/>
      <c r="H117" s="15" t="s">
        <v>152</v>
      </c>
      <c r="I117" s="18"/>
      <c r="J117" s="19" t="s">
        <v>59</v>
      </c>
      <c r="K117" s="33"/>
      <c r="L117" s="19" t="s">
        <v>38</v>
      </c>
      <c r="M117" s="20">
        <f t="shared" si="1"/>
        <v>88.8</v>
      </c>
      <c r="N117" s="31">
        <v>4.0</v>
      </c>
      <c r="O117" s="19" t="s">
        <v>107</v>
      </c>
      <c r="P117" s="18"/>
      <c r="Q117" s="18"/>
      <c r="R117" s="23">
        <v>0.3</v>
      </c>
      <c r="S117" s="23">
        <v>5.0</v>
      </c>
      <c r="T117" s="23">
        <f t="shared" si="2"/>
        <v>4.8</v>
      </c>
      <c r="U117" s="23">
        <f t="shared" si="3"/>
        <v>0.3675</v>
      </c>
      <c r="V117" s="23">
        <f t="shared" si="4"/>
        <v>6.890625</v>
      </c>
      <c r="W117" s="24">
        <f t="shared" si="5"/>
        <v>16</v>
      </c>
      <c r="X117" s="70">
        <f t="shared" si="6"/>
        <v>27.5625</v>
      </c>
      <c r="Y117" s="70">
        <f t="shared" si="7"/>
        <v>355.2</v>
      </c>
    </row>
    <row r="118">
      <c r="A118" s="15" t="s">
        <v>1110</v>
      </c>
      <c r="B118" s="15" t="s">
        <v>1111</v>
      </c>
      <c r="C118" s="15" t="s">
        <v>1112</v>
      </c>
      <c r="D118" s="15" t="s">
        <v>1113</v>
      </c>
      <c r="E118" s="17" t="s">
        <v>1114</v>
      </c>
      <c r="F118" s="18"/>
      <c r="G118" s="15" t="s">
        <v>1115</v>
      </c>
      <c r="H118" s="15" t="s">
        <v>1116</v>
      </c>
      <c r="I118" s="18"/>
      <c r="J118" s="19" t="s">
        <v>104</v>
      </c>
      <c r="K118" s="19" t="s">
        <v>160</v>
      </c>
      <c r="L118" s="19" t="s">
        <v>106</v>
      </c>
      <c r="M118" s="20">
        <f t="shared" si="1"/>
        <v>1154.4</v>
      </c>
      <c r="N118" s="31">
        <v>4.0</v>
      </c>
      <c r="O118" s="19" t="s">
        <v>107</v>
      </c>
      <c r="P118" s="18"/>
      <c r="Q118" s="18"/>
      <c r="R118" s="23">
        <v>25.0</v>
      </c>
      <c r="S118" s="23">
        <v>65.0</v>
      </c>
      <c r="T118" s="23">
        <f t="shared" si="2"/>
        <v>62.4</v>
      </c>
      <c r="U118" s="23">
        <f t="shared" si="3"/>
        <v>30.625</v>
      </c>
      <c r="V118" s="23">
        <f t="shared" si="4"/>
        <v>574.21875</v>
      </c>
      <c r="W118" s="24">
        <f t="shared" si="5"/>
        <v>2.496</v>
      </c>
      <c r="X118" s="70">
        <f t="shared" si="6"/>
        <v>2296.875</v>
      </c>
      <c r="Y118" s="70">
        <f t="shared" si="7"/>
        <v>4617.6</v>
      </c>
    </row>
    <row r="119">
      <c r="A119" s="15" t="s">
        <v>925</v>
      </c>
      <c r="B119" s="15" t="s">
        <v>926</v>
      </c>
      <c r="C119" s="15" t="s">
        <v>6104</v>
      </c>
      <c r="D119" s="15" t="s">
        <v>927</v>
      </c>
      <c r="E119" s="17" t="s">
        <v>6105</v>
      </c>
      <c r="F119" s="18"/>
      <c r="G119" s="18"/>
      <c r="H119" s="15" t="s">
        <v>929</v>
      </c>
      <c r="I119" s="18"/>
      <c r="J119" s="19" t="s">
        <v>702</v>
      </c>
      <c r="K119" s="19" t="s">
        <v>1444</v>
      </c>
      <c r="L119" s="19" t="s">
        <v>38</v>
      </c>
      <c r="M119" s="20">
        <f t="shared" si="1"/>
        <v>692.64</v>
      </c>
      <c r="N119" s="31">
        <v>4.0</v>
      </c>
      <c r="O119" s="19" t="s">
        <v>107</v>
      </c>
      <c r="P119" s="18"/>
      <c r="Q119" s="18"/>
      <c r="R119" s="23">
        <v>10.0</v>
      </c>
      <c r="S119" s="23">
        <v>39.0</v>
      </c>
      <c r="T119" s="23">
        <f t="shared" si="2"/>
        <v>37.44</v>
      </c>
      <c r="U119" s="23">
        <f t="shared" si="3"/>
        <v>12.25</v>
      </c>
      <c r="V119" s="23">
        <f t="shared" si="4"/>
        <v>229.6875</v>
      </c>
      <c r="W119" s="24">
        <f t="shared" si="5"/>
        <v>3.744</v>
      </c>
      <c r="X119" s="70">
        <f t="shared" si="6"/>
        <v>918.75</v>
      </c>
      <c r="Y119" s="70">
        <f t="shared" si="7"/>
        <v>2770.56</v>
      </c>
    </row>
    <row r="120">
      <c r="A120" s="15" t="s">
        <v>1009</v>
      </c>
      <c r="B120" s="15" t="s">
        <v>1010</v>
      </c>
      <c r="C120" s="15" t="s">
        <v>6106</v>
      </c>
      <c r="D120" s="15" t="s">
        <v>1011</v>
      </c>
      <c r="E120" s="17" t="s">
        <v>1012</v>
      </c>
      <c r="F120" s="18"/>
      <c r="G120" s="18"/>
      <c r="H120" s="15" t="s">
        <v>1013</v>
      </c>
      <c r="I120" s="18"/>
      <c r="J120" s="19" t="s">
        <v>59</v>
      </c>
      <c r="K120" s="19" t="s">
        <v>200</v>
      </c>
      <c r="L120" s="19" t="s">
        <v>135</v>
      </c>
      <c r="M120" s="20">
        <f t="shared" si="1"/>
        <v>124.32</v>
      </c>
      <c r="N120" s="31">
        <v>5.0</v>
      </c>
      <c r="O120" s="19" t="s">
        <v>107</v>
      </c>
      <c r="P120" s="18"/>
      <c r="Q120" s="18"/>
      <c r="R120" s="23">
        <v>2.0</v>
      </c>
      <c r="S120" s="23">
        <v>7.0</v>
      </c>
      <c r="T120" s="23">
        <f t="shared" si="2"/>
        <v>6.72</v>
      </c>
      <c r="U120" s="23">
        <f t="shared" si="3"/>
        <v>2.45</v>
      </c>
      <c r="V120" s="23">
        <f t="shared" si="4"/>
        <v>45.9375</v>
      </c>
      <c r="W120" s="24">
        <f t="shared" si="5"/>
        <v>3.36</v>
      </c>
      <c r="X120" s="70">
        <f t="shared" si="6"/>
        <v>229.6875</v>
      </c>
      <c r="Y120" s="70">
        <f t="shared" si="7"/>
        <v>621.6</v>
      </c>
    </row>
    <row r="121">
      <c r="A121" s="15" t="s">
        <v>786</v>
      </c>
      <c r="B121" s="15" t="s">
        <v>787</v>
      </c>
      <c r="C121" s="15" t="s">
        <v>6107</v>
      </c>
      <c r="D121" s="15" t="s">
        <v>788</v>
      </c>
      <c r="E121" s="17" t="s">
        <v>789</v>
      </c>
      <c r="F121" s="18"/>
      <c r="G121" s="18"/>
      <c r="H121" s="15" t="s">
        <v>790</v>
      </c>
      <c r="I121" s="18"/>
      <c r="J121" s="19" t="s">
        <v>59</v>
      </c>
      <c r="K121" s="19" t="s">
        <v>200</v>
      </c>
      <c r="L121" s="19" t="s">
        <v>135</v>
      </c>
      <c r="M121" s="20">
        <f t="shared" si="1"/>
        <v>159.84</v>
      </c>
      <c r="N121" s="31">
        <v>5.0</v>
      </c>
      <c r="O121" s="19" t="s">
        <v>107</v>
      </c>
      <c r="P121" s="18"/>
      <c r="Q121" s="18"/>
      <c r="R121" s="23">
        <v>2.0</v>
      </c>
      <c r="S121" s="23">
        <v>9.0</v>
      </c>
      <c r="T121" s="23">
        <f t="shared" si="2"/>
        <v>8.64</v>
      </c>
      <c r="U121" s="23">
        <f t="shared" si="3"/>
        <v>2.45</v>
      </c>
      <c r="V121" s="23">
        <f t="shared" si="4"/>
        <v>45.9375</v>
      </c>
      <c r="W121" s="24">
        <f t="shared" si="5"/>
        <v>4.32</v>
      </c>
      <c r="X121" s="70">
        <f t="shared" si="6"/>
        <v>229.6875</v>
      </c>
      <c r="Y121" s="70">
        <f t="shared" si="7"/>
        <v>799.2</v>
      </c>
    </row>
    <row r="122">
      <c r="A122" s="15" t="s">
        <v>194</v>
      </c>
      <c r="B122" s="15" t="s">
        <v>195</v>
      </c>
      <c r="C122" s="15" t="s">
        <v>6108</v>
      </c>
      <c r="D122" s="15" t="s">
        <v>196</v>
      </c>
      <c r="E122" s="17" t="s">
        <v>197</v>
      </c>
      <c r="F122" s="18"/>
      <c r="G122" s="15" t="s">
        <v>198</v>
      </c>
      <c r="H122" s="15" t="s">
        <v>199</v>
      </c>
      <c r="I122" s="18"/>
      <c r="J122" s="19" t="s">
        <v>59</v>
      </c>
      <c r="K122" s="19" t="s">
        <v>200</v>
      </c>
      <c r="L122" s="19" t="s">
        <v>38</v>
      </c>
      <c r="M122" s="20">
        <f t="shared" si="1"/>
        <v>532.8</v>
      </c>
      <c r="N122" s="31">
        <v>5.0</v>
      </c>
      <c r="O122" s="19" t="s">
        <v>107</v>
      </c>
      <c r="P122" s="18"/>
      <c r="Q122" s="18"/>
      <c r="R122" s="23">
        <v>2.7</v>
      </c>
      <c r="S122" s="23">
        <v>30.0</v>
      </c>
      <c r="T122" s="23">
        <f t="shared" si="2"/>
        <v>28.8</v>
      </c>
      <c r="U122" s="23">
        <f t="shared" si="3"/>
        <v>3.3075</v>
      </c>
      <c r="V122" s="23">
        <f t="shared" si="4"/>
        <v>62.015625</v>
      </c>
      <c r="W122" s="24">
        <f t="shared" si="5"/>
        <v>10.66666667</v>
      </c>
      <c r="X122" s="70">
        <f t="shared" si="6"/>
        <v>310.078125</v>
      </c>
      <c r="Y122" s="70">
        <f t="shared" si="7"/>
        <v>2664</v>
      </c>
    </row>
    <row r="123">
      <c r="A123" s="15" t="s">
        <v>931</v>
      </c>
      <c r="B123" s="15" t="s">
        <v>932</v>
      </c>
      <c r="C123" s="15" t="s">
        <v>6109</v>
      </c>
      <c r="D123" s="15" t="s">
        <v>933</v>
      </c>
      <c r="E123" s="17" t="s">
        <v>934</v>
      </c>
      <c r="F123" s="18"/>
      <c r="G123" s="18"/>
      <c r="H123" s="15" t="s">
        <v>935</v>
      </c>
      <c r="I123" s="18"/>
      <c r="J123" s="19" t="s">
        <v>59</v>
      </c>
      <c r="K123" s="19" t="s">
        <v>60</v>
      </c>
      <c r="L123" s="19" t="s">
        <v>38</v>
      </c>
      <c r="M123" s="20">
        <f t="shared" si="1"/>
        <v>745.92</v>
      </c>
      <c r="N123" s="31">
        <v>5.0</v>
      </c>
      <c r="O123" s="19" t="s">
        <v>107</v>
      </c>
      <c r="P123" s="18"/>
      <c r="Q123" s="18"/>
      <c r="R123" s="23">
        <v>11.0</v>
      </c>
      <c r="S123" s="23">
        <v>42.0</v>
      </c>
      <c r="T123" s="23">
        <f t="shared" si="2"/>
        <v>40.32</v>
      </c>
      <c r="U123" s="23">
        <f t="shared" si="3"/>
        <v>13.475</v>
      </c>
      <c r="V123" s="23">
        <f t="shared" si="4"/>
        <v>252.65625</v>
      </c>
      <c r="W123" s="24">
        <f t="shared" si="5"/>
        <v>3.665454545</v>
      </c>
      <c r="X123" s="70">
        <f t="shared" si="6"/>
        <v>1263.28125</v>
      </c>
      <c r="Y123" s="70">
        <f t="shared" si="7"/>
        <v>3729.6</v>
      </c>
    </row>
    <row r="124">
      <c r="A124" s="15" t="s">
        <v>441</v>
      </c>
      <c r="B124" s="15" t="s">
        <v>442</v>
      </c>
      <c r="C124" s="15" t="s">
        <v>6110</v>
      </c>
      <c r="D124" s="15" t="s">
        <v>443</v>
      </c>
      <c r="E124" s="17" t="s">
        <v>444</v>
      </c>
      <c r="F124" s="18"/>
      <c r="G124" s="18"/>
      <c r="H124" s="15" t="s">
        <v>445</v>
      </c>
      <c r="I124" s="18"/>
      <c r="J124" s="19" t="s">
        <v>59</v>
      </c>
      <c r="K124" s="19" t="s">
        <v>60</v>
      </c>
      <c r="L124" s="19" t="s">
        <v>38</v>
      </c>
      <c r="M124" s="20">
        <f t="shared" si="1"/>
        <v>1243.2</v>
      </c>
      <c r="N124" s="31">
        <v>5.0</v>
      </c>
      <c r="O124" s="19" t="s">
        <v>107</v>
      </c>
      <c r="P124" s="18"/>
      <c r="Q124" s="18"/>
      <c r="R124" s="23">
        <v>10.0</v>
      </c>
      <c r="S124" s="23">
        <v>70.0</v>
      </c>
      <c r="T124" s="23">
        <f t="shared" si="2"/>
        <v>67.2</v>
      </c>
      <c r="U124" s="23">
        <f t="shared" si="3"/>
        <v>12.25</v>
      </c>
      <c r="V124" s="23">
        <f t="shared" si="4"/>
        <v>229.6875</v>
      </c>
      <c r="W124" s="24">
        <f t="shared" si="5"/>
        <v>6.72</v>
      </c>
      <c r="X124" s="70">
        <f t="shared" si="6"/>
        <v>1148.4375</v>
      </c>
      <c r="Y124" s="70">
        <f t="shared" si="7"/>
        <v>6216</v>
      </c>
    </row>
    <row r="125">
      <c r="A125" s="15" t="s">
        <v>374</v>
      </c>
      <c r="B125" s="15" t="s">
        <v>375</v>
      </c>
      <c r="C125" s="15" t="s">
        <v>6111</v>
      </c>
      <c r="D125" s="15" t="s">
        <v>6112</v>
      </c>
      <c r="E125" s="17" t="s">
        <v>377</v>
      </c>
      <c r="F125" s="18"/>
      <c r="G125" s="18"/>
      <c r="H125" s="15" t="s">
        <v>378</v>
      </c>
      <c r="I125" s="15"/>
      <c r="J125" s="19" t="s">
        <v>59</v>
      </c>
      <c r="K125" s="19" t="s">
        <v>60</v>
      </c>
      <c r="L125" s="19" t="s">
        <v>52</v>
      </c>
      <c r="M125" s="20">
        <f t="shared" si="1"/>
        <v>444</v>
      </c>
      <c r="N125" s="31">
        <v>5.0</v>
      </c>
      <c r="O125" s="19" t="s">
        <v>107</v>
      </c>
      <c r="P125" s="18"/>
      <c r="Q125" s="18"/>
      <c r="R125" s="23">
        <v>3.3</v>
      </c>
      <c r="S125" s="23">
        <v>25.0</v>
      </c>
      <c r="T125" s="23">
        <f t="shared" si="2"/>
        <v>24</v>
      </c>
      <c r="U125" s="23">
        <f t="shared" si="3"/>
        <v>4.0425</v>
      </c>
      <c r="V125" s="23">
        <f t="shared" si="4"/>
        <v>75.796875</v>
      </c>
      <c r="W125" s="24">
        <f t="shared" si="5"/>
        <v>7.272727273</v>
      </c>
      <c r="X125" s="70">
        <f t="shared" si="6"/>
        <v>378.984375</v>
      </c>
      <c r="Y125" s="70">
        <f t="shared" si="7"/>
        <v>2220</v>
      </c>
    </row>
    <row r="126">
      <c r="A126" s="15" t="s">
        <v>478</v>
      </c>
      <c r="B126" s="15" t="s">
        <v>479</v>
      </c>
      <c r="C126" s="15" t="s">
        <v>6113</v>
      </c>
      <c r="D126" s="15" t="s">
        <v>480</v>
      </c>
      <c r="E126" s="17" t="s">
        <v>481</v>
      </c>
      <c r="F126" s="18"/>
      <c r="G126" s="15" t="s">
        <v>482</v>
      </c>
      <c r="H126" s="15" t="s">
        <v>483</v>
      </c>
      <c r="I126" s="18"/>
      <c r="J126" s="19" t="s">
        <v>104</v>
      </c>
      <c r="K126" s="19" t="s">
        <v>160</v>
      </c>
      <c r="L126" s="19" t="s">
        <v>106</v>
      </c>
      <c r="M126" s="20">
        <f t="shared" si="1"/>
        <v>177.6</v>
      </c>
      <c r="N126" s="31">
        <v>5.0</v>
      </c>
      <c r="O126" s="19" t="s">
        <v>107</v>
      </c>
      <c r="P126" s="18"/>
      <c r="Q126" s="18"/>
      <c r="R126" s="23">
        <v>1.5</v>
      </c>
      <c r="S126" s="23">
        <v>10.0</v>
      </c>
      <c r="T126" s="23">
        <f t="shared" si="2"/>
        <v>9.6</v>
      </c>
      <c r="U126" s="23">
        <f t="shared" si="3"/>
        <v>1.8375</v>
      </c>
      <c r="V126" s="23">
        <f t="shared" si="4"/>
        <v>34.453125</v>
      </c>
      <c r="W126" s="24">
        <f t="shared" si="5"/>
        <v>6.4</v>
      </c>
      <c r="X126" s="70">
        <f t="shared" si="6"/>
        <v>172.265625</v>
      </c>
      <c r="Y126" s="70">
        <f t="shared" si="7"/>
        <v>888</v>
      </c>
    </row>
    <row r="127">
      <c r="A127" s="15" t="s">
        <v>213</v>
      </c>
      <c r="B127" s="15" t="s">
        <v>214</v>
      </c>
      <c r="C127" s="15" t="s">
        <v>6114</v>
      </c>
      <c r="D127" s="15" t="s">
        <v>215</v>
      </c>
      <c r="E127" s="17" t="s">
        <v>216</v>
      </c>
      <c r="F127" s="18"/>
      <c r="G127" s="18"/>
      <c r="H127" s="15" t="s">
        <v>217</v>
      </c>
      <c r="I127" s="18"/>
      <c r="J127" s="19" t="s">
        <v>59</v>
      </c>
      <c r="K127" s="19" t="s">
        <v>60</v>
      </c>
      <c r="L127" s="19" t="s">
        <v>52</v>
      </c>
      <c r="M127" s="20">
        <f t="shared" si="1"/>
        <v>53.28</v>
      </c>
      <c r="N127" s="31">
        <v>10.0</v>
      </c>
      <c r="O127" s="19" t="s">
        <v>107</v>
      </c>
      <c r="P127" s="18"/>
      <c r="Q127" s="18"/>
      <c r="R127" s="23">
        <v>0.3</v>
      </c>
      <c r="S127" s="23">
        <v>3.0</v>
      </c>
      <c r="T127" s="23">
        <f t="shared" si="2"/>
        <v>2.88</v>
      </c>
      <c r="U127" s="23">
        <f t="shared" si="3"/>
        <v>0.3675</v>
      </c>
      <c r="V127" s="23">
        <f t="shared" si="4"/>
        <v>6.890625</v>
      </c>
      <c r="W127" s="24">
        <f t="shared" si="5"/>
        <v>9.6</v>
      </c>
      <c r="X127" s="70">
        <f t="shared" si="6"/>
        <v>68.90625</v>
      </c>
      <c r="Y127" s="70">
        <f t="shared" si="7"/>
        <v>532.8</v>
      </c>
    </row>
    <row r="128">
      <c r="A128" s="15" t="s">
        <v>218</v>
      </c>
      <c r="B128" s="15" t="s">
        <v>219</v>
      </c>
      <c r="C128" s="15" t="s">
        <v>6115</v>
      </c>
      <c r="D128" s="15" t="s">
        <v>220</v>
      </c>
      <c r="E128" s="17" t="s">
        <v>221</v>
      </c>
      <c r="F128" s="18"/>
      <c r="G128" s="18"/>
      <c r="H128" s="15" t="s">
        <v>222</v>
      </c>
      <c r="I128" s="18"/>
      <c r="J128" s="19" t="s">
        <v>59</v>
      </c>
      <c r="K128" s="19" t="s">
        <v>60</v>
      </c>
      <c r="L128" s="19" t="s">
        <v>52</v>
      </c>
      <c r="M128" s="20">
        <f t="shared" si="1"/>
        <v>53.28</v>
      </c>
      <c r="N128" s="31">
        <v>10.0</v>
      </c>
      <c r="O128" s="19" t="s">
        <v>107</v>
      </c>
      <c r="P128" s="18"/>
      <c r="Q128" s="18"/>
      <c r="R128" s="23">
        <v>0.3</v>
      </c>
      <c r="S128" s="23">
        <v>3.0</v>
      </c>
      <c r="T128" s="23">
        <f t="shared" si="2"/>
        <v>2.88</v>
      </c>
      <c r="U128" s="23">
        <f t="shared" si="3"/>
        <v>0.3675</v>
      </c>
      <c r="V128" s="23">
        <f t="shared" si="4"/>
        <v>6.890625</v>
      </c>
      <c r="W128" s="24">
        <f t="shared" si="5"/>
        <v>9.6</v>
      </c>
      <c r="X128" s="70">
        <f t="shared" si="6"/>
        <v>68.90625</v>
      </c>
      <c r="Y128" s="70">
        <f t="shared" si="7"/>
        <v>532.8</v>
      </c>
    </row>
    <row r="129">
      <c r="A129" s="15" t="s">
        <v>1129</v>
      </c>
      <c r="B129" s="15" t="s">
        <v>1130</v>
      </c>
      <c r="C129" s="15" t="s">
        <v>1131</v>
      </c>
      <c r="D129" s="15" t="s">
        <v>1132</v>
      </c>
      <c r="E129" s="17" t="s">
        <v>1133</v>
      </c>
      <c r="F129" s="18"/>
      <c r="G129" s="15" t="s">
        <v>1007</v>
      </c>
      <c r="H129" s="15" t="s">
        <v>1134</v>
      </c>
      <c r="I129" s="18"/>
      <c r="J129" s="19" t="s">
        <v>104</v>
      </c>
      <c r="K129" s="19" t="s">
        <v>160</v>
      </c>
      <c r="L129" s="19" t="s">
        <v>106</v>
      </c>
      <c r="M129" s="20">
        <f t="shared" si="1"/>
        <v>1687.2</v>
      </c>
      <c r="N129" s="31">
        <v>10.0</v>
      </c>
      <c r="O129" s="19" t="s">
        <v>107</v>
      </c>
      <c r="P129" s="18"/>
      <c r="Q129" s="18"/>
      <c r="R129" s="23">
        <v>38.0</v>
      </c>
      <c r="S129" s="23">
        <v>95.0</v>
      </c>
      <c r="T129" s="23">
        <f t="shared" si="2"/>
        <v>91.2</v>
      </c>
      <c r="U129" s="23">
        <f t="shared" si="3"/>
        <v>46.55</v>
      </c>
      <c r="V129" s="23">
        <f t="shared" si="4"/>
        <v>872.8125</v>
      </c>
      <c r="W129" s="24">
        <f t="shared" si="5"/>
        <v>2.4</v>
      </c>
      <c r="X129" s="70">
        <f t="shared" si="6"/>
        <v>8728.125</v>
      </c>
      <c r="Y129" s="70">
        <f t="shared" si="7"/>
        <v>16872</v>
      </c>
    </row>
    <row r="130">
      <c r="A130" s="15" t="s">
        <v>153</v>
      </c>
      <c r="B130" s="15" t="s">
        <v>154</v>
      </c>
      <c r="C130" s="15" t="s">
        <v>6116</v>
      </c>
      <c r="D130" s="15" t="s">
        <v>155</v>
      </c>
      <c r="E130" s="17" t="s">
        <v>156</v>
      </c>
      <c r="F130" s="18"/>
      <c r="G130" s="15" t="s">
        <v>157</v>
      </c>
      <c r="H130" s="15" t="s">
        <v>158</v>
      </c>
      <c r="I130" s="18"/>
      <c r="J130" s="19" t="s">
        <v>104</v>
      </c>
      <c r="K130" s="19" t="s">
        <v>160</v>
      </c>
      <c r="L130" s="19" t="s">
        <v>106</v>
      </c>
      <c r="M130" s="20">
        <f t="shared" si="1"/>
        <v>444</v>
      </c>
      <c r="N130" s="31">
        <v>10.0</v>
      </c>
      <c r="O130" s="19" t="s">
        <v>107</v>
      </c>
      <c r="P130" s="18"/>
      <c r="Q130" s="18"/>
      <c r="R130" s="23">
        <v>1.5</v>
      </c>
      <c r="S130" s="23">
        <v>25.0</v>
      </c>
      <c r="T130" s="23">
        <f t="shared" si="2"/>
        <v>24</v>
      </c>
      <c r="U130" s="23">
        <f t="shared" si="3"/>
        <v>1.8375</v>
      </c>
      <c r="V130" s="23">
        <f t="shared" si="4"/>
        <v>34.453125</v>
      </c>
      <c r="W130" s="24">
        <f t="shared" si="5"/>
        <v>16</v>
      </c>
      <c r="X130" s="70">
        <f t="shared" si="6"/>
        <v>344.53125</v>
      </c>
      <c r="Y130" s="70">
        <f t="shared" si="7"/>
        <v>4440</v>
      </c>
    </row>
    <row r="131">
      <c r="A131" s="15" t="s">
        <v>178</v>
      </c>
      <c r="B131" s="15" t="s">
        <v>179</v>
      </c>
      <c r="C131" s="15" t="s">
        <v>6117</v>
      </c>
      <c r="D131" s="15" t="s">
        <v>180</v>
      </c>
      <c r="E131" s="17" t="s">
        <v>181</v>
      </c>
      <c r="F131" s="18"/>
      <c r="G131" s="18"/>
      <c r="H131" s="15" t="s">
        <v>182</v>
      </c>
      <c r="I131" s="18"/>
      <c r="J131" s="19" t="s">
        <v>104</v>
      </c>
      <c r="K131" s="19" t="s">
        <v>160</v>
      </c>
      <c r="L131" s="19" t="s">
        <v>106</v>
      </c>
      <c r="M131" s="20">
        <f t="shared" si="1"/>
        <v>124.32</v>
      </c>
      <c r="N131" s="31">
        <v>10.0</v>
      </c>
      <c r="O131" s="19" t="s">
        <v>107</v>
      </c>
      <c r="P131" s="18"/>
      <c r="Q131" s="18"/>
      <c r="R131" s="23">
        <v>0.5</v>
      </c>
      <c r="S131" s="23">
        <v>7.0</v>
      </c>
      <c r="T131" s="23">
        <f t="shared" si="2"/>
        <v>6.72</v>
      </c>
      <c r="U131" s="23">
        <f t="shared" si="3"/>
        <v>0.6125</v>
      </c>
      <c r="V131" s="23">
        <f t="shared" si="4"/>
        <v>11.484375</v>
      </c>
      <c r="W131" s="24">
        <f t="shared" si="5"/>
        <v>13.44</v>
      </c>
      <c r="X131" s="70">
        <f t="shared" si="6"/>
        <v>114.84375</v>
      </c>
      <c r="Y131" s="70">
        <f t="shared" si="7"/>
        <v>1243.2</v>
      </c>
    </row>
    <row r="132">
      <c r="A132" s="15" t="s">
        <v>1094</v>
      </c>
      <c r="B132" s="15" t="s">
        <v>1095</v>
      </c>
      <c r="C132" s="15" t="s">
        <v>6118</v>
      </c>
      <c r="D132" s="15" t="s">
        <v>1096</v>
      </c>
      <c r="E132" s="17" t="s">
        <v>1097</v>
      </c>
      <c r="F132" s="18"/>
      <c r="G132" s="15" t="s">
        <v>1098</v>
      </c>
      <c r="H132" s="15" t="s">
        <v>1099</v>
      </c>
      <c r="I132" s="18"/>
      <c r="J132" s="19" t="s">
        <v>283</v>
      </c>
      <c r="K132" s="19" t="s">
        <v>105</v>
      </c>
      <c r="L132" s="19" t="s">
        <v>953</v>
      </c>
      <c r="M132" s="20">
        <f t="shared" si="1"/>
        <v>5434.56</v>
      </c>
      <c r="N132" s="31">
        <v>12.0</v>
      </c>
      <c r="O132" s="19" t="s">
        <v>107</v>
      </c>
      <c r="P132" s="18"/>
      <c r="Q132" s="18"/>
      <c r="R132" s="23">
        <v>80.0</v>
      </c>
      <c r="S132" s="23">
        <v>306.0</v>
      </c>
      <c r="T132" s="23">
        <f t="shared" si="2"/>
        <v>293.76</v>
      </c>
      <c r="U132" s="23">
        <f t="shared" si="3"/>
        <v>98</v>
      </c>
      <c r="V132" s="23">
        <f t="shared" si="4"/>
        <v>1837.5</v>
      </c>
      <c r="W132" s="24">
        <f t="shared" si="5"/>
        <v>3.672</v>
      </c>
      <c r="X132" s="70">
        <f t="shared" si="6"/>
        <v>22050</v>
      </c>
      <c r="Y132" s="70">
        <f t="shared" si="7"/>
        <v>65214.72</v>
      </c>
    </row>
    <row r="133">
      <c r="A133" s="15" t="s">
        <v>1063</v>
      </c>
      <c r="B133" s="15" t="s">
        <v>1064</v>
      </c>
      <c r="C133" s="15" t="s">
        <v>6119</v>
      </c>
      <c r="D133" s="15" t="s">
        <v>1065</v>
      </c>
      <c r="E133" s="17" t="s">
        <v>1066</v>
      </c>
      <c r="F133" s="15" t="s">
        <v>1067</v>
      </c>
      <c r="G133" s="15" t="s">
        <v>1067</v>
      </c>
      <c r="H133" s="15" t="s">
        <v>1068</v>
      </c>
      <c r="I133" s="18"/>
      <c r="J133" s="19" t="s">
        <v>104</v>
      </c>
      <c r="K133" s="19" t="s">
        <v>831</v>
      </c>
      <c r="L133" s="19" t="s">
        <v>106</v>
      </c>
      <c r="M133" s="20">
        <f t="shared" si="1"/>
        <v>3782.88</v>
      </c>
      <c r="N133" s="31">
        <v>15.0</v>
      </c>
      <c r="O133" s="19" t="s">
        <v>107</v>
      </c>
      <c r="P133" s="18"/>
      <c r="Q133" s="18"/>
      <c r="R133" s="23">
        <v>62.0</v>
      </c>
      <c r="S133" s="23">
        <v>213.0</v>
      </c>
      <c r="T133" s="23">
        <f t="shared" si="2"/>
        <v>204.48</v>
      </c>
      <c r="U133" s="23">
        <f t="shared" si="3"/>
        <v>75.95</v>
      </c>
      <c r="V133" s="23">
        <f t="shared" si="4"/>
        <v>1424.0625</v>
      </c>
      <c r="W133" s="24">
        <f t="shared" si="5"/>
        <v>3.298064516</v>
      </c>
      <c r="X133" s="70">
        <f t="shared" si="6"/>
        <v>21360.9375</v>
      </c>
      <c r="Y133" s="70">
        <f t="shared" si="7"/>
        <v>56743.2</v>
      </c>
    </row>
    <row r="134">
      <c r="A134" s="15" t="s">
        <v>844</v>
      </c>
      <c r="B134" s="15" t="s">
        <v>845</v>
      </c>
      <c r="C134" s="15" t="s">
        <v>6120</v>
      </c>
      <c r="D134" s="15" t="s">
        <v>846</v>
      </c>
      <c r="E134" s="17" t="s">
        <v>847</v>
      </c>
      <c r="F134" s="18"/>
      <c r="G134" s="15" t="s">
        <v>848</v>
      </c>
      <c r="H134" s="15" t="s">
        <v>849</v>
      </c>
      <c r="I134" s="18"/>
      <c r="J134" s="19" t="s">
        <v>104</v>
      </c>
      <c r="K134" s="19" t="s">
        <v>160</v>
      </c>
      <c r="L134" s="19" t="s">
        <v>106</v>
      </c>
      <c r="M134" s="20">
        <f t="shared" si="1"/>
        <v>816.96</v>
      </c>
      <c r="N134" s="31">
        <v>25.0</v>
      </c>
      <c r="O134" s="19" t="s">
        <v>107</v>
      </c>
      <c r="P134" s="18"/>
      <c r="Q134" s="18"/>
      <c r="R134" s="23">
        <v>10.0</v>
      </c>
      <c r="S134" s="23">
        <v>46.0</v>
      </c>
      <c r="T134" s="23">
        <f t="shared" si="2"/>
        <v>44.16</v>
      </c>
      <c r="U134" s="23">
        <f t="shared" si="3"/>
        <v>12.25</v>
      </c>
      <c r="V134" s="23">
        <f t="shared" si="4"/>
        <v>229.6875</v>
      </c>
      <c r="W134" s="24">
        <f t="shared" si="5"/>
        <v>4.416</v>
      </c>
      <c r="X134" s="70">
        <f t="shared" si="6"/>
        <v>5742.1875</v>
      </c>
      <c r="Y134" s="70">
        <f t="shared" si="7"/>
        <v>20424</v>
      </c>
    </row>
    <row r="135">
      <c r="A135" s="15" t="s">
        <v>912</v>
      </c>
      <c r="B135" s="15" t="s">
        <v>913</v>
      </c>
      <c r="C135" s="15" t="s">
        <v>6121</v>
      </c>
      <c r="D135" s="15" t="s">
        <v>914</v>
      </c>
      <c r="E135" s="17" t="s">
        <v>915</v>
      </c>
      <c r="F135" s="18"/>
      <c r="G135" s="15" t="s">
        <v>916</v>
      </c>
      <c r="H135" s="15" t="s">
        <v>917</v>
      </c>
      <c r="I135" s="18"/>
      <c r="J135" s="19" t="s">
        <v>104</v>
      </c>
      <c r="K135" s="19" t="s">
        <v>160</v>
      </c>
      <c r="L135" s="19" t="s">
        <v>919</v>
      </c>
      <c r="M135" s="20">
        <f t="shared" si="1"/>
        <v>106.56</v>
      </c>
      <c r="N135" s="31">
        <v>50.0</v>
      </c>
      <c r="O135" s="19" t="s">
        <v>107</v>
      </c>
      <c r="P135" s="18"/>
      <c r="Q135" s="18"/>
      <c r="R135" s="23">
        <v>1.5</v>
      </c>
      <c r="S135" s="23">
        <v>6.0</v>
      </c>
      <c r="T135" s="23">
        <f t="shared" si="2"/>
        <v>5.76</v>
      </c>
      <c r="U135" s="23">
        <f t="shared" si="3"/>
        <v>1.8375</v>
      </c>
      <c r="V135" s="23">
        <f t="shared" si="4"/>
        <v>34.453125</v>
      </c>
      <c r="W135" s="24">
        <f t="shared" si="5"/>
        <v>3.84</v>
      </c>
      <c r="X135" s="70">
        <f t="shared" si="6"/>
        <v>1722.65625</v>
      </c>
      <c r="Y135" s="70">
        <f t="shared" si="7"/>
        <v>5328</v>
      </c>
    </row>
    <row r="136">
      <c r="A136" s="15" t="s">
        <v>824</v>
      </c>
      <c r="B136" s="15" t="s">
        <v>825</v>
      </c>
      <c r="C136" s="15" t="s">
        <v>6122</v>
      </c>
      <c r="D136" s="15" t="s">
        <v>826</v>
      </c>
      <c r="E136" s="17" t="s">
        <v>827</v>
      </c>
      <c r="F136" s="15" t="s">
        <v>828</v>
      </c>
      <c r="G136" s="15" t="s">
        <v>829</v>
      </c>
      <c r="H136" s="15" t="s">
        <v>830</v>
      </c>
      <c r="I136" s="18"/>
      <c r="J136" s="19" t="s">
        <v>104</v>
      </c>
      <c r="K136" s="19" t="s">
        <v>831</v>
      </c>
      <c r="L136" s="19" t="s">
        <v>135</v>
      </c>
      <c r="M136" s="20">
        <f t="shared" si="1"/>
        <v>53.28</v>
      </c>
      <c r="N136" s="31">
        <v>100.0</v>
      </c>
      <c r="O136" s="19" t="s">
        <v>107</v>
      </c>
      <c r="P136" s="18"/>
      <c r="Q136" s="18"/>
      <c r="R136" s="23">
        <v>0.7</v>
      </c>
      <c r="S136" s="23">
        <v>3.0</v>
      </c>
      <c r="T136" s="23">
        <f t="shared" si="2"/>
        <v>2.88</v>
      </c>
      <c r="U136" s="23">
        <f t="shared" si="3"/>
        <v>0.8575</v>
      </c>
      <c r="V136" s="23">
        <f t="shared" si="4"/>
        <v>16.078125</v>
      </c>
      <c r="W136" s="24">
        <f t="shared" si="5"/>
        <v>4.114285714</v>
      </c>
      <c r="X136" s="70">
        <f t="shared" si="6"/>
        <v>1607.8125</v>
      </c>
      <c r="Y136" s="70">
        <f t="shared" si="7"/>
        <v>5328</v>
      </c>
    </row>
    <row r="137">
      <c r="A137" s="15" t="s">
        <v>832</v>
      </c>
      <c r="B137" s="15" t="s">
        <v>833</v>
      </c>
      <c r="C137" s="15" t="s">
        <v>6123</v>
      </c>
      <c r="D137" s="15" t="s">
        <v>834</v>
      </c>
      <c r="E137" s="17" t="s">
        <v>835</v>
      </c>
      <c r="F137" s="15" t="s">
        <v>836</v>
      </c>
      <c r="G137" s="15" t="s">
        <v>837</v>
      </c>
      <c r="H137" s="15" t="s">
        <v>838</v>
      </c>
      <c r="I137" s="18"/>
      <c r="J137" s="19" t="s">
        <v>104</v>
      </c>
      <c r="K137" s="19" t="s">
        <v>831</v>
      </c>
      <c r="L137" s="19" t="s">
        <v>135</v>
      </c>
      <c r="M137" s="20">
        <f t="shared" si="1"/>
        <v>53.28</v>
      </c>
      <c r="N137" s="31">
        <v>100.0</v>
      </c>
      <c r="O137" s="19" t="s">
        <v>107</v>
      </c>
      <c r="P137" s="18"/>
      <c r="Q137" s="18"/>
      <c r="R137" s="23">
        <v>0.7</v>
      </c>
      <c r="S137" s="23">
        <v>3.0</v>
      </c>
      <c r="T137" s="23">
        <f t="shared" si="2"/>
        <v>2.88</v>
      </c>
      <c r="U137" s="23">
        <f t="shared" si="3"/>
        <v>0.8575</v>
      </c>
      <c r="V137" s="23">
        <f t="shared" si="4"/>
        <v>16.078125</v>
      </c>
      <c r="W137" s="24">
        <f t="shared" si="5"/>
        <v>4.114285714</v>
      </c>
      <c r="X137" s="70">
        <f t="shared" si="6"/>
        <v>1607.8125</v>
      </c>
      <c r="Y137" s="70">
        <f t="shared" si="7"/>
        <v>5328</v>
      </c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20">
        <f>SUM(Inventory_tracker_4[$ Venta])</f>
        <v>395408.64</v>
      </c>
      <c r="N138" s="22">
        <f>SUM(Inventory_tracker_4[Stock])</f>
        <v>548</v>
      </c>
      <c r="O138" s="66"/>
      <c r="P138" s="66"/>
      <c r="Q138" s="66"/>
      <c r="R138" s="20">
        <f>SUM(Inventory_tracker_4[$ Venta])</f>
        <v>395408.64</v>
      </c>
      <c r="S138" s="20">
        <f>SUM(Inventory_tracker_4[$ Venta])</f>
        <v>395408.64</v>
      </c>
      <c r="T138" s="20">
        <f>SUM(Inventory_tracker_4[$ Venta])</f>
        <v>395408.64</v>
      </c>
      <c r="U138" s="20">
        <f>SUM(Inventory_tracker_4[$ Venta])</f>
        <v>395408.64</v>
      </c>
      <c r="V138" s="20">
        <f>SUM(Inventory_tracker_4[$ Venta])</f>
        <v>395408.64</v>
      </c>
      <c r="W138" s="68"/>
      <c r="X138" s="71">
        <f>SUM(Inventory_tracker_4[$ inversion])</f>
        <v>186993.1875</v>
      </c>
      <c r="Y138" s="71">
        <f>SUM(Inventory_tracker_4[$ comercial])</f>
        <v>668166.72</v>
      </c>
    </row>
  </sheetData>
  <conditionalFormatting sqref="R4:Y137">
    <cfRule type="cellIs" dxfId="6" priority="1" operator="equal">
      <formula>0</formula>
    </cfRule>
  </conditionalFormatting>
  <dataValidations>
    <dataValidation type="list" allowBlank="1" sqref="L4:L137">
      <formula1>"FILTROS,EMPAQUES,ENGRANES,BALEROS,VALVULAS,BOMBAS,ANILLOS METALICOS,CASQUILLOS,TUBOS,SIN ASIGNAR,TRANSMISIONES,PISTONES,RODILLOS,ACCESORIOS ,RELAYS,MOTORES,MEDIDORES,CABLES,VIBRADORES,LIMPIEZA"</formula1>
    </dataValidation>
    <dataValidation type="list" allowBlank="1" sqref="K4:K137">
      <formula1>"BARRA V-ROCK,AGITADOR V-ROCK,FILTROS,TUBERIA ACERO,TUBERIA FLEXIBLE,REDUCTOR,HIDRAULICO,OTROS,SISTEMA DE BOMBEO,TANQUE DE AGUA,CANALONES Y TOLVAS,TOLVA,SIN ASIGNAR"</formula1>
    </dataValidation>
    <dataValidation type="list" allowBlank="1" sqref="J4:J137">
      <formula1>"Olla Revolvedora,Sitrak,Schwing,Putzmeister,WAM,Tuberia,Otro,CIFA,TRITURADORAS"</formula1>
    </dataValidation>
    <dataValidation type="custom" allowBlank="1" showDropDown="1" sqref="M4:N137 R4:V137">
      <formula1>AND(ISNUMBER(M4),(NOT(OR(NOT(ISERROR(DATEVALUE(M4))), AND(ISNUMBER(M4), LEFT(CELL("format", M4))="D")))))</formula1>
    </dataValidation>
    <dataValidation allowBlank="1" showDropDown="1" sqref="A4:I137 P4:Q137"/>
    <dataValidation type="custom" allowBlank="1" showDropDown="1" sqref="W4:Y137">
      <formula1>AND(ISNUMBER(W4),(NOT(OR(NOT(ISERROR(DATEVALUE(W4))), AND(ISNUMBER(W4), LEFT(CELL("format", W4))="D")))))</formula1>
    </dataValidation>
    <dataValidation type="list" allowBlank="1" sqref="O4:O137">
      <formula1>"In stock,No Available,To Re-purchase,Sold out,borrar,Falta Ubicar"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8.63"/>
    <col customWidth="1" min="2" max="2" width="62.63"/>
    <col customWidth="1" min="3" max="3" width="12.25"/>
    <col customWidth="1" min="4" max="4" width="13.38"/>
    <col customWidth="1" min="5" max="5" width="18.0"/>
    <col customWidth="1" min="6" max="6" width="13.38"/>
    <col customWidth="1" min="7" max="7" width="9.25"/>
    <col customWidth="1" min="8" max="8" width="13.5"/>
    <col customWidth="1" min="9" max="9" width="9.0"/>
    <col customWidth="1" min="10" max="10" width="14.5"/>
    <col customWidth="1" min="11" max="11" width="10.75"/>
    <col customWidth="1" min="12" max="12" width="10.13"/>
    <col customWidth="1" min="13" max="20" width="12.75"/>
    <col customWidth="1" min="21" max="22" width="9.13"/>
  </cols>
  <sheetData>
    <row r="1">
      <c r="A1" s="2"/>
      <c r="B1" s="1"/>
      <c r="C1" s="6"/>
      <c r="D1" s="2"/>
      <c r="E1" s="6"/>
      <c r="F1" s="5"/>
      <c r="G1" s="5"/>
      <c r="H1" s="3" t="s">
        <v>1</v>
      </c>
      <c r="I1" s="4">
        <v>18.5</v>
      </c>
      <c r="J1" s="3" t="s">
        <v>6</v>
      </c>
      <c r="K1" s="8">
        <v>0.14</v>
      </c>
      <c r="L1" s="6"/>
      <c r="M1" s="6"/>
      <c r="N1" s="6"/>
      <c r="O1" s="6"/>
      <c r="P1" s="6"/>
      <c r="Q1" s="6"/>
      <c r="R1" s="6"/>
      <c r="S1" s="6"/>
      <c r="T1" s="6"/>
      <c r="W1" s="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72" t="s">
        <v>6124</v>
      </c>
      <c r="M2" s="2"/>
      <c r="N2" s="2"/>
      <c r="O2" s="2"/>
      <c r="P2" s="2"/>
      <c r="Q2" s="2"/>
      <c r="R2" s="2"/>
      <c r="S2" s="2"/>
      <c r="T2" s="2"/>
    </row>
    <row r="3">
      <c r="A3" s="11" t="s">
        <v>10</v>
      </c>
      <c r="B3" s="11" t="s">
        <v>11</v>
      </c>
      <c r="C3" s="11" t="s">
        <v>14</v>
      </c>
      <c r="D3" s="11" t="s">
        <v>16</v>
      </c>
      <c r="E3" s="11" t="s">
        <v>17</v>
      </c>
      <c r="F3" s="11" t="s">
        <v>18</v>
      </c>
      <c r="G3" s="11" t="s">
        <v>21</v>
      </c>
      <c r="H3" s="11" t="s">
        <v>22</v>
      </c>
      <c r="I3" s="11" t="s">
        <v>23</v>
      </c>
      <c r="J3" s="11" t="s">
        <v>6125</v>
      </c>
      <c r="K3" s="11" t="s">
        <v>6126</v>
      </c>
      <c r="L3" s="11" t="s">
        <v>6127</v>
      </c>
      <c r="M3" s="73" t="s">
        <v>6128</v>
      </c>
      <c r="N3" s="11" t="s">
        <v>6129</v>
      </c>
      <c r="O3" s="11" t="s">
        <v>6130</v>
      </c>
      <c r="P3" s="11" t="s">
        <v>6131</v>
      </c>
      <c r="Q3" s="11" t="s">
        <v>6132</v>
      </c>
      <c r="R3" s="11" t="s">
        <v>6133</v>
      </c>
      <c r="S3" s="11" t="s">
        <v>6134</v>
      </c>
      <c r="T3" s="11" t="s">
        <v>6135</v>
      </c>
    </row>
    <row r="4">
      <c r="A4" s="15" t="s">
        <v>998</v>
      </c>
      <c r="B4" s="17" t="s">
        <v>999</v>
      </c>
      <c r="C4" s="15" t="s">
        <v>1001</v>
      </c>
      <c r="D4" s="19" t="s">
        <v>1002</v>
      </c>
      <c r="E4" s="19" t="s">
        <v>114</v>
      </c>
      <c r="F4" s="19" t="s">
        <v>115</v>
      </c>
      <c r="G4" s="31">
        <v>2.0</v>
      </c>
      <c r="H4" s="19" t="s">
        <v>107</v>
      </c>
      <c r="I4" s="18"/>
      <c r="J4" s="23">
        <v>275.0</v>
      </c>
      <c r="K4" s="23">
        <v>264.0</v>
      </c>
      <c r="L4" s="20">
        <f t="shared" ref="L4:L139" si="1">K4*$I$1</f>
        <v>4884</v>
      </c>
      <c r="M4" s="20">
        <f t="shared" ref="M4:M139" si="2">L4/(1+$K$1)</f>
        <v>4284.210526</v>
      </c>
      <c r="N4" s="20"/>
      <c r="O4" s="20">
        <f t="shared" ref="O4:O139" si="3">L4*G4</f>
        <v>9768</v>
      </c>
      <c r="P4" s="20"/>
      <c r="Q4" s="66"/>
      <c r="R4" s="20"/>
      <c r="S4" s="20"/>
      <c r="T4" s="20"/>
      <c r="W4" s="74">
        <f>M4/L4</f>
        <v>0.8771929825</v>
      </c>
    </row>
    <row r="5">
      <c r="A5" s="15" t="s">
        <v>397</v>
      </c>
      <c r="B5" s="17" t="s">
        <v>398</v>
      </c>
      <c r="C5" s="15" t="s">
        <v>400</v>
      </c>
      <c r="D5" s="19" t="s">
        <v>283</v>
      </c>
      <c r="E5" s="19" t="s">
        <v>402</v>
      </c>
      <c r="F5" s="19" t="s">
        <v>403</v>
      </c>
      <c r="G5" s="31">
        <v>1.0</v>
      </c>
      <c r="H5" s="19" t="s">
        <v>107</v>
      </c>
      <c r="I5" s="18"/>
      <c r="J5" s="23">
        <v>572.0</v>
      </c>
      <c r="K5" s="23">
        <v>549.12</v>
      </c>
      <c r="L5" s="20">
        <f t="shared" si="1"/>
        <v>10158.72</v>
      </c>
      <c r="M5" s="20">
        <f t="shared" si="2"/>
        <v>8911.157895</v>
      </c>
      <c r="N5" s="20"/>
      <c r="O5" s="20">
        <f t="shared" si="3"/>
        <v>10158.72</v>
      </c>
      <c r="P5" s="20"/>
      <c r="Q5" s="66"/>
      <c r="R5" s="20"/>
      <c r="S5" s="20"/>
      <c r="T5" s="20"/>
    </row>
    <row r="6">
      <c r="A6" s="15" t="s">
        <v>988</v>
      </c>
      <c r="B6" s="17" t="s">
        <v>989</v>
      </c>
      <c r="C6" s="15" t="s">
        <v>990</v>
      </c>
      <c r="D6" s="19" t="s">
        <v>283</v>
      </c>
      <c r="E6" s="19" t="s">
        <v>1269</v>
      </c>
      <c r="F6" s="19" t="s">
        <v>38</v>
      </c>
      <c r="G6" s="31">
        <v>1.0</v>
      </c>
      <c r="H6" s="19" t="s">
        <v>107</v>
      </c>
      <c r="I6" s="18"/>
      <c r="J6" s="23">
        <v>147.0</v>
      </c>
      <c r="K6" s="23">
        <v>141.12</v>
      </c>
      <c r="L6" s="20">
        <f t="shared" si="1"/>
        <v>2610.72</v>
      </c>
      <c r="M6" s="20">
        <f t="shared" si="2"/>
        <v>2290.105263</v>
      </c>
      <c r="N6" s="20"/>
      <c r="O6" s="20">
        <f t="shared" si="3"/>
        <v>2610.72</v>
      </c>
      <c r="P6" s="20"/>
      <c r="Q6" s="66"/>
      <c r="R6" s="20"/>
      <c r="S6" s="20"/>
      <c r="T6" s="20"/>
      <c r="W6" s="74">
        <f>1-W4</f>
        <v>0.1228070175</v>
      </c>
    </row>
    <row r="7">
      <c r="A7" s="15" t="s">
        <v>623</v>
      </c>
      <c r="B7" s="17" t="s">
        <v>624</v>
      </c>
      <c r="C7" s="15" t="s">
        <v>626</v>
      </c>
      <c r="D7" s="19" t="s">
        <v>283</v>
      </c>
      <c r="E7" s="19" t="s">
        <v>440</v>
      </c>
      <c r="F7" s="19" t="s">
        <v>135</v>
      </c>
      <c r="G7" s="31">
        <v>1.0</v>
      </c>
      <c r="H7" s="19" t="s">
        <v>107</v>
      </c>
      <c r="I7" s="18"/>
      <c r="J7" s="23">
        <v>32.0</v>
      </c>
      <c r="K7" s="23">
        <v>30.72</v>
      </c>
      <c r="L7" s="20">
        <f t="shared" si="1"/>
        <v>568.32</v>
      </c>
      <c r="M7" s="20">
        <f t="shared" si="2"/>
        <v>498.5263158</v>
      </c>
      <c r="N7" s="20"/>
      <c r="O7" s="20">
        <f t="shared" si="3"/>
        <v>568.32</v>
      </c>
      <c r="P7" s="20"/>
      <c r="Q7" s="66"/>
      <c r="R7" s="20"/>
      <c r="S7" s="20"/>
      <c r="T7" s="20"/>
    </row>
    <row r="8">
      <c r="A8" s="15" t="s">
        <v>436</v>
      </c>
      <c r="B8" s="17" t="s">
        <v>6000</v>
      </c>
      <c r="C8" s="15" t="s">
        <v>439</v>
      </c>
      <c r="D8" s="19" t="s">
        <v>283</v>
      </c>
      <c r="E8" s="19" t="s">
        <v>440</v>
      </c>
      <c r="F8" s="19" t="s">
        <v>135</v>
      </c>
      <c r="G8" s="31">
        <v>1.0</v>
      </c>
      <c r="H8" s="19" t="s">
        <v>107</v>
      </c>
      <c r="I8" s="18"/>
      <c r="J8" s="23">
        <v>42.0</v>
      </c>
      <c r="K8" s="23">
        <v>40.32</v>
      </c>
      <c r="L8" s="20">
        <f t="shared" si="1"/>
        <v>745.92</v>
      </c>
      <c r="M8" s="20">
        <f t="shared" si="2"/>
        <v>654.3157895</v>
      </c>
      <c r="N8" s="20"/>
      <c r="O8" s="20">
        <f t="shared" si="3"/>
        <v>745.92</v>
      </c>
      <c r="P8" s="20"/>
      <c r="Q8" s="66"/>
      <c r="R8" s="20"/>
      <c r="S8" s="20"/>
      <c r="T8" s="20"/>
    </row>
    <row r="9">
      <c r="A9" s="15" t="s">
        <v>629</v>
      </c>
      <c r="B9" s="17" t="s">
        <v>6001</v>
      </c>
      <c r="C9" s="15" t="s">
        <v>632</v>
      </c>
      <c r="D9" s="19" t="s">
        <v>283</v>
      </c>
      <c r="E9" s="19" t="s">
        <v>440</v>
      </c>
      <c r="F9" s="19" t="s">
        <v>135</v>
      </c>
      <c r="G9" s="31">
        <v>1.0</v>
      </c>
      <c r="H9" s="19" t="s">
        <v>107</v>
      </c>
      <c r="I9" s="18"/>
      <c r="J9" s="23">
        <v>32.0</v>
      </c>
      <c r="K9" s="23">
        <v>30.72</v>
      </c>
      <c r="L9" s="20">
        <f t="shared" si="1"/>
        <v>568.32</v>
      </c>
      <c r="M9" s="20">
        <f t="shared" si="2"/>
        <v>498.5263158</v>
      </c>
      <c r="N9" s="20"/>
      <c r="O9" s="20">
        <f t="shared" si="3"/>
        <v>568.32</v>
      </c>
      <c r="P9" s="20"/>
      <c r="Q9" s="66"/>
      <c r="R9" s="20"/>
      <c r="S9" s="20"/>
      <c r="T9" s="20"/>
    </row>
    <row r="10">
      <c r="A10" s="15" t="s">
        <v>949</v>
      </c>
      <c r="B10" s="17" t="s">
        <v>950</v>
      </c>
      <c r="C10" s="15" t="s">
        <v>952</v>
      </c>
      <c r="D10" s="19" t="s">
        <v>283</v>
      </c>
      <c r="E10" s="19" t="s">
        <v>105</v>
      </c>
      <c r="F10" s="19" t="s">
        <v>953</v>
      </c>
      <c r="G10" s="31">
        <v>3.0</v>
      </c>
      <c r="H10" s="19" t="s">
        <v>107</v>
      </c>
      <c r="I10" s="18"/>
      <c r="J10" s="23">
        <v>306.0</v>
      </c>
      <c r="K10" s="23">
        <v>293.76</v>
      </c>
      <c r="L10" s="20">
        <f t="shared" si="1"/>
        <v>5434.56</v>
      </c>
      <c r="M10" s="20">
        <f t="shared" si="2"/>
        <v>4767.157895</v>
      </c>
      <c r="N10" s="20"/>
      <c r="O10" s="20">
        <f t="shared" si="3"/>
        <v>16303.68</v>
      </c>
      <c r="P10" s="20"/>
      <c r="Q10" s="66"/>
      <c r="R10" s="20"/>
      <c r="S10" s="20"/>
      <c r="T10" s="20"/>
    </row>
    <row r="11">
      <c r="A11" s="15" t="s">
        <v>1096</v>
      </c>
      <c r="B11" s="17" t="s">
        <v>1097</v>
      </c>
      <c r="C11" s="15" t="s">
        <v>1099</v>
      </c>
      <c r="D11" s="19" t="s">
        <v>283</v>
      </c>
      <c r="E11" s="19" t="s">
        <v>105</v>
      </c>
      <c r="F11" s="19" t="s">
        <v>953</v>
      </c>
      <c r="G11" s="31">
        <v>12.0</v>
      </c>
      <c r="H11" s="19" t="s">
        <v>107</v>
      </c>
      <c r="I11" s="18"/>
      <c r="J11" s="23">
        <v>306.0</v>
      </c>
      <c r="K11" s="23">
        <v>293.76</v>
      </c>
      <c r="L11" s="20">
        <f t="shared" si="1"/>
        <v>5434.56</v>
      </c>
      <c r="M11" s="20">
        <f t="shared" si="2"/>
        <v>4767.157895</v>
      </c>
      <c r="N11" s="20"/>
      <c r="O11" s="20">
        <f t="shared" si="3"/>
        <v>65214.72</v>
      </c>
      <c r="P11" s="20"/>
      <c r="Q11" s="66"/>
      <c r="R11" s="20"/>
      <c r="S11" s="20"/>
      <c r="T11" s="20"/>
    </row>
    <row r="12">
      <c r="A12" s="15" t="s">
        <v>599</v>
      </c>
      <c r="B12" s="17" t="s">
        <v>600</v>
      </c>
      <c r="C12" s="15" t="s">
        <v>601</v>
      </c>
      <c r="D12" s="19" t="s">
        <v>602</v>
      </c>
      <c r="E12" s="19" t="s">
        <v>603</v>
      </c>
      <c r="F12" s="19" t="s">
        <v>292</v>
      </c>
      <c r="G12" s="31">
        <v>1.0</v>
      </c>
      <c r="H12" s="19" t="s">
        <v>107</v>
      </c>
      <c r="I12" s="18"/>
      <c r="J12" s="23">
        <v>1300.0</v>
      </c>
      <c r="K12" s="23">
        <v>1248.0</v>
      </c>
      <c r="L12" s="20">
        <f t="shared" si="1"/>
        <v>23088</v>
      </c>
      <c r="M12" s="20">
        <f t="shared" si="2"/>
        <v>20252.63158</v>
      </c>
      <c r="N12" s="20"/>
      <c r="O12" s="20">
        <f t="shared" si="3"/>
        <v>23088</v>
      </c>
      <c r="P12" s="20"/>
      <c r="Q12" s="66"/>
      <c r="R12" s="20"/>
      <c r="S12" s="20"/>
      <c r="T12" s="20"/>
    </row>
    <row r="13">
      <c r="A13" s="15" t="s">
        <v>857</v>
      </c>
      <c r="B13" s="17" t="s">
        <v>858</v>
      </c>
      <c r="C13" s="15" t="s">
        <v>859</v>
      </c>
      <c r="D13" s="19" t="s">
        <v>602</v>
      </c>
      <c r="E13" s="33"/>
      <c r="F13" s="19" t="s">
        <v>52</v>
      </c>
      <c r="G13" s="31">
        <v>2.0</v>
      </c>
      <c r="H13" s="19" t="s">
        <v>107</v>
      </c>
      <c r="I13" s="18"/>
      <c r="J13" s="23">
        <v>139.0</v>
      </c>
      <c r="K13" s="23">
        <v>133.44</v>
      </c>
      <c r="L13" s="20">
        <f t="shared" si="1"/>
        <v>2468.64</v>
      </c>
      <c r="M13" s="20">
        <f t="shared" si="2"/>
        <v>2165.473684</v>
      </c>
      <c r="N13" s="20"/>
      <c r="O13" s="20">
        <f t="shared" si="3"/>
        <v>4937.28</v>
      </c>
      <c r="P13" s="20"/>
      <c r="Q13" s="66"/>
      <c r="R13" s="20"/>
      <c r="S13" s="20"/>
      <c r="T13" s="20"/>
    </row>
    <row r="14">
      <c r="A14" s="15" t="s">
        <v>1076</v>
      </c>
      <c r="B14" s="17" t="s">
        <v>1077</v>
      </c>
      <c r="C14" s="15" t="s">
        <v>1078</v>
      </c>
      <c r="D14" s="19" t="s">
        <v>36</v>
      </c>
      <c r="E14" s="19" t="s">
        <v>60</v>
      </c>
      <c r="F14" s="19" t="s">
        <v>115</v>
      </c>
      <c r="G14" s="31">
        <v>1.0</v>
      </c>
      <c r="H14" s="19" t="s">
        <v>107</v>
      </c>
      <c r="I14" s="18"/>
      <c r="J14" s="23">
        <v>233.0</v>
      </c>
      <c r="K14" s="23">
        <v>223.67999999999998</v>
      </c>
      <c r="L14" s="20">
        <f t="shared" si="1"/>
        <v>4138.08</v>
      </c>
      <c r="M14" s="20">
        <f t="shared" si="2"/>
        <v>3629.894737</v>
      </c>
      <c r="N14" s="20"/>
      <c r="O14" s="20">
        <f t="shared" si="3"/>
        <v>4138.08</v>
      </c>
      <c r="P14" s="20"/>
      <c r="Q14" s="66"/>
      <c r="R14" s="20"/>
      <c r="S14" s="20"/>
      <c r="T14" s="20"/>
    </row>
    <row r="15">
      <c r="A15" s="15" t="s">
        <v>1081</v>
      </c>
      <c r="B15" s="17" t="s">
        <v>1082</v>
      </c>
      <c r="C15" s="15" t="s">
        <v>1083</v>
      </c>
      <c r="D15" s="19" t="s">
        <v>36</v>
      </c>
      <c r="E15" s="19" t="s">
        <v>60</v>
      </c>
      <c r="F15" s="19" t="s">
        <v>115</v>
      </c>
      <c r="G15" s="31">
        <v>1.0</v>
      </c>
      <c r="H15" s="19" t="s">
        <v>107</v>
      </c>
      <c r="I15" s="18"/>
      <c r="J15" s="23">
        <v>233.0</v>
      </c>
      <c r="K15" s="23">
        <v>223.67999999999998</v>
      </c>
      <c r="L15" s="20">
        <f t="shared" si="1"/>
        <v>4138.08</v>
      </c>
      <c r="M15" s="20">
        <f t="shared" si="2"/>
        <v>3629.894737</v>
      </c>
      <c r="N15" s="20"/>
      <c r="O15" s="20">
        <f t="shared" si="3"/>
        <v>4138.08</v>
      </c>
      <c r="P15" s="20"/>
      <c r="Q15" s="66"/>
      <c r="R15" s="20"/>
      <c r="S15" s="20"/>
      <c r="T15" s="20"/>
    </row>
    <row r="16">
      <c r="A16" s="15" t="s">
        <v>613</v>
      </c>
      <c r="B16" s="17" t="s">
        <v>614</v>
      </c>
      <c r="C16" s="15" t="s">
        <v>615</v>
      </c>
      <c r="D16" s="19" t="s">
        <v>36</v>
      </c>
      <c r="E16" s="19" t="s">
        <v>1230</v>
      </c>
      <c r="F16" s="19" t="s">
        <v>38</v>
      </c>
      <c r="G16" s="31">
        <v>1.0</v>
      </c>
      <c r="H16" s="19" t="s">
        <v>107</v>
      </c>
      <c r="I16" s="18"/>
      <c r="J16" s="23">
        <v>278.0</v>
      </c>
      <c r="K16" s="23">
        <v>266.88</v>
      </c>
      <c r="L16" s="20">
        <f t="shared" si="1"/>
        <v>4937.28</v>
      </c>
      <c r="M16" s="20">
        <f t="shared" si="2"/>
        <v>4330.947368</v>
      </c>
      <c r="N16" s="20"/>
      <c r="O16" s="20">
        <f t="shared" si="3"/>
        <v>4937.28</v>
      </c>
      <c r="P16" s="20"/>
      <c r="Q16" s="66"/>
      <c r="R16" s="20"/>
      <c r="S16" s="20"/>
      <c r="T16" s="20"/>
    </row>
    <row r="17">
      <c r="A17" s="15" t="s">
        <v>659</v>
      </c>
      <c r="B17" s="17" t="s">
        <v>660</v>
      </c>
      <c r="C17" s="15" t="s">
        <v>661</v>
      </c>
      <c r="D17" s="19" t="s">
        <v>36</v>
      </c>
      <c r="E17" s="19" t="s">
        <v>1230</v>
      </c>
      <c r="F17" s="19" t="s">
        <v>38</v>
      </c>
      <c r="G17" s="31">
        <v>1.0</v>
      </c>
      <c r="H17" s="19" t="s">
        <v>107</v>
      </c>
      <c r="I17" s="18"/>
      <c r="J17" s="23">
        <v>327.0</v>
      </c>
      <c r="K17" s="23">
        <v>313.92</v>
      </c>
      <c r="L17" s="20">
        <f t="shared" si="1"/>
        <v>5807.52</v>
      </c>
      <c r="M17" s="20">
        <f t="shared" si="2"/>
        <v>5094.315789</v>
      </c>
      <c r="N17" s="20"/>
      <c r="O17" s="20">
        <f t="shared" si="3"/>
        <v>5807.52</v>
      </c>
      <c r="P17" s="20"/>
      <c r="Q17" s="66"/>
      <c r="R17" s="20"/>
      <c r="S17" s="20"/>
      <c r="T17" s="20"/>
    </row>
    <row r="18">
      <c r="A18" s="15" t="s">
        <v>173</v>
      </c>
      <c r="B18" s="17" t="s">
        <v>174</v>
      </c>
      <c r="C18" s="15" t="s">
        <v>176</v>
      </c>
      <c r="D18" s="19" t="s">
        <v>36</v>
      </c>
      <c r="E18" s="19" t="s">
        <v>60</v>
      </c>
      <c r="F18" s="19" t="s">
        <v>38</v>
      </c>
      <c r="G18" s="31">
        <v>1.0</v>
      </c>
      <c r="H18" s="19" t="s">
        <v>107</v>
      </c>
      <c r="I18" s="18"/>
      <c r="J18" s="23">
        <v>98.0</v>
      </c>
      <c r="K18" s="23">
        <v>94.08</v>
      </c>
      <c r="L18" s="20">
        <f t="shared" si="1"/>
        <v>1740.48</v>
      </c>
      <c r="M18" s="20">
        <f t="shared" si="2"/>
        <v>1526.736842</v>
      </c>
      <c r="N18" s="20"/>
      <c r="O18" s="20">
        <f t="shared" si="3"/>
        <v>1740.48</v>
      </c>
      <c r="P18" s="20"/>
      <c r="Q18" s="66"/>
      <c r="R18" s="20"/>
      <c r="S18" s="20"/>
      <c r="T18" s="20"/>
    </row>
    <row r="19">
      <c r="A19" s="15" t="s">
        <v>453</v>
      </c>
      <c r="B19" s="17" t="s">
        <v>454</v>
      </c>
      <c r="C19" s="15" t="s">
        <v>455</v>
      </c>
      <c r="D19" s="19" t="s">
        <v>36</v>
      </c>
      <c r="E19" s="19" t="s">
        <v>60</v>
      </c>
      <c r="F19" s="19" t="s">
        <v>403</v>
      </c>
      <c r="G19" s="31">
        <v>1.0</v>
      </c>
      <c r="H19" s="19" t="s">
        <v>107</v>
      </c>
      <c r="I19" s="18"/>
      <c r="J19" s="23">
        <v>476.0</v>
      </c>
      <c r="K19" s="23">
        <v>456.96</v>
      </c>
      <c r="L19" s="20">
        <f t="shared" si="1"/>
        <v>8453.76</v>
      </c>
      <c r="M19" s="20">
        <f t="shared" si="2"/>
        <v>7415.578947</v>
      </c>
      <c r="N19" s="20"/>
      <c r="O19" s="20">
        <f t="shared" si="3"/>
        <v>8453.76</v>
      </c>
      <c r="P19" s="20"/>
      <c r="Q19" s="66"/>
      <c r="R19" s="20"/>
      <c r="S19" s="20"/>
      <c r="T19" s="20"/>
    </row>
    <row r="20">
      <c r="A20" s="15" t="s">
        <v>185</v>
      </c>
      <c r="B20" s="17" t="s">
        <v>186</v>
      </c>
      <c r="C20" s="15" t="s">
        <v>187</v>
      </c>
      <c r="D20" s="19" t="s">
        <v>36</v>
      </c>
      <c r="E20" s="19" t="s">
        <v>60</v>
      </c>
      <c r="F20" s="19" t="s">
        <v>188</v>
      </c>
      <c r="G20" s="31">
        <v>1.0</v>
      </c>
      <c r="H20" s="19" t="s">
        <v>107</v>
      </c>
      <c r="I20" s="18"/>
      <c r="J20" s="23">
        <v>174.0</v>
      </c>
      <c r="K20" s="23">
        <v>167.04</v>
      </c>
      <c r="L20" s="20">
        <f t="shared" si="1"/>
        <v>3090.24</v>
      </c>
      <c r="M20" s="20">
        <f t="shared" si="2"/>
        <v>2710.736842</v>
      </c>
      <c r="N20" s="20"/>
      <c r="O20" s="20">
        <f t="shared" si="3"/>
        <v>3090.24</v>
      </c>
      <c r="P20" s="20"/>
      <c r="Q20" s="66"/>
      <c r="R20" s="20"/>
      <c r="S20" s="20"/>
      <c r="T20" s="20"/>
    </row>
    <row r="21">
      <c r="A21" s="15" t="s">
        <v>1026</v>
      </c>
      <c r="B21" s="17" t="s">
        <v>1027</v>
      </c>
      <c r="C21" s="15" t="s">
        <v>1029</v>
      </c>
      <c r="D21" s="19" t="s">
        <v>36</v>
      </c>
      <c r="E21" s="33"/>
      <c r="F21" s="19" t="s">
        <v>38</v>
      </c>
      <c r="G21" s="31">
        <v>1.0</v>
      </c>
      <c r="H21" s="19" t="s">
        <v>107</v>
      </c>
      <c r="I21" s="18"/>
      <c r="J21" s="23">
        <v>22.0</v>
      </c>
      <c r="K21" s="23">
        <v>21.119999999999997</v>
      </c>
      <c r="L21" s="20">
        <f t="shared" si="1"/>
        <v>390.72</v>
      </c>
      <c r="M21" s="20">
        <f t="shared" si="2"/>
        <v>342.7368421</v>
      </c>
      <c r="N21" s="20"/>
      <c r="O21" s="20">
        <f t="shared" si="3"/>
        <v>390.72</v>
      </c>
      <c r="P21" s="20"/>
      <c r="Q21" s="66"/>
      <c r="R21" s="20"/>
      <c r="S21" s="20"/>
      <c r="T21" s="20"/>
    </row>
    <row r="22">
      <c r="A22" s="15" t="s">
        <v>681</v>
      </c>
      <c r="B22" s="17" t="s">
        <v>682</v>
      </c>
      <c r="C22" s="15" t="s">
        <v>684</v>
      </c>
      <c r="D22" s="19" t="s">
        <v>36</v>
      </c>
      <c r="E22" s="19" t="s">
        <v>60</v>
      </c>
      <c r="F22" s="19" t="s">
        <v>292</v>
      </c>
      <c r="G22" s="31">
        <v>1.0</v>
      </c>
      <c r="H22" s="19" t="s">
        <v>107</v>
      </c>
      <c r="I22" s="18"/>
      <c r="J22" s="23">
        <v>252.0</v>
      </c>
      <c r="K22" s="23">
        <v>241.92</v>
      </c>
      <c r="L22" s="20">
        <f t="shared" si="1"/>
        <v>4475.52</v>
      </c>
      <c r="M22" s="20">
        <f t="shared" si="2"/>
        <v>3925.894737</v>
      </c>
      <c r="N22" s="20"/>
      <c r="O22" s="20">
        <f t="shared" si="3"/>
        <v>4475.52</v>
      </c>
      <c r="P22" s="20"/>
      <c r="Q22" s="66"/>
      <c r="R22" s="20"/>
      <c r="S22" s="20"/>
      <c r="T22" s="20"/>
    </row>
    <row r="23">
      <c r="A23" s="15" t="s">
        <v>744</v>
      </c>
      <c r="B23" s="17" t="s">
        <v>745</v>
      </c>
      <c r="C23" s="15" t="s">
        <v>747</v>
      </c>
      <c r="D23" s="19" t="s">
        <v>36</v>
      </c>
      <c r="E23" s="19" t="s">
        <v>60</v>
      </c>
      <c r="F23" s="19" t="s">
        <v>292</v>
      </c>
      <c r="G23" s="31">
        <v>1.0</v>
      </c>
      <c r="H23" s="19" t="s">
        <v>107</v>
      </c>
      <c r="I23" s="18"/>
      <c r="J23" s="23">
        <v>38.0</v>
      </c>
      <c r="K23" s="23">
        <v>36.48</v>
      </c>
      <c r="L23" s="20">
        <f t="shared" si="1"/>
        <v>674.88</v>
      </c>
      <c r="M23" s="20">
        <f t="shared" si="2"/>
        <v>592</v>
      </c>
      <c r="N23" s="20"/>
      <c r="O23" s="20">
        <f t="shared" si="3"/>
        <v>674.88</v>
      </c>
      <c r="P23" s="20"/>
      <c r="Q23" s="66"/>
      <c r="R23" s="20"/>
      <c r="S23" s="20"/>
      <c r="T23" s="20"/>
    </row>
    <row r="24">
      <c r="A24" s="15" t="s">
        <v>191</v>
      </c>
      <c r="B24" s="17" t="s">
        <v>192</v>
      </c>
      <c r="C24" s="15" t="s">
        <v>193</v>
      </c>
      <c r="D24" s="19" t="s">
        <v>36</v>
      </c>
      <c r="E24" s="33"/>
      <c r="F24" s="19" t="s">
        <v>147</v>
      </c>
      <c r="G24" s="31">
        <v>1.0</v>
      </c>
      <c r="H24" s="19" t="s">
        <v>107</v>
      </c>
      <c r="I24" s="18"/>
      <c r="J24" s="23">
        <v>306.0</v>
      </c>
      <c r="K24" s="23">
        <v>293.76</v>
      </c>
      <c r="L24" s="20">
        <f t="shared" si="1"/>
        <v>5434.56</v>
      </c>
      <c r="M24" s="20">
        <f t="shared" si="2"/>
        <v>4767.157895</v>
      </c>
      <c r="N24" s="20"/>
      <c r="O24" s="20">
        <f t="shared" si="3"/>
        <v>5434.56</v>
      </c>
      <c r="P24" s="20"/>
      <c r="Q24" s="66"/>
      <c r="R24" s="20"/>
      <c r="S24" s="20"/>
      <c r="T24" s="20"/>
    </row>
    <row r="25">
      <c r="A25" s="15" t="s">
        <v>191</v>
      </c>
      <c r="B25" s="17" t="s">
        <v>192</v>
      </c>
      <c r="C25" s="15" t="s">
        <v>212</v>
      </c>
      <c r="D25" s="19" t="s">
        <v>36</v>
      </c>
      <c r="E25" s="33"/>
      <c r="F25" s="19" t="s">
        <v>147</v>
      </c>
      <c r="G25" s="31">
        <v>1.0</v>
      </c>
      <c r="H25" s="19" t="s">
        <v>107</v>
      </c>
      <c r="I25" s="18"/>
      <c r="J25" s="23">
        <v>65.0</v>
      </c>
      <c r="K25" s="23">
        <v>62.4</v>
      </c>
      <c r="L25" s="20">
        <f t="shared" si="1"/>
        <v>1154.4</v>
      </c>
      <c r="M25" s="20">
        <f t="shared" si="2"/>
        <v>1012.631579</v>
      </c>
      <c r="N25" s="20"/>
      <c r="O25" s="20">
        <f t="shared" si="3"/>
        <v>1154.4</v>
      </c>
      <c r="P25" s="20"/>
      <c r="Q25" s="66"/>
      <c r="R25" s="20"/>
      <c r="S25" s="20"/>
      <c r="T25" s="20"/>
    </row>
    <row r="26">
      <c r="A26" s="15" t="s">
        <v>310</v>
      </c>
      <c r="B26" s="17" t="s">
        <v>311</v>
      </c>
      <c r="C26" s="15" t="s">
        <v>313</v>
      </c>
      <c r="D26" s="19" t="s">
        <v>36</v>
      </c>
      <c r="E26" s="33"/>
      <c r="F26" s="19" t="s">
        <v>38</v>
      </c>
      <c r="G26" s="31">
        <v>1.0</v>
      </c>
      <c r="H26" s="19" t="s">
        <v>107</v>
      </c>
      <c r="I26" s="18"/>
      <c r="J26" s="23">
        <v>258.0</v>
      </c>
      <c r="K26" s="23">
        <v>247.67999999999998</v>
      </c>
      <c r="L26" s="20">
        <f t="shared" si="1"/>
        <v>4582.08</v>
      </c>
      <c r="M26" s="20">
        <f t="shared" si="2"/>
        <v>4019.368421</v>
      </c>
      <c r="N26" s="20"/>
      <c r="O26" s="20">
        <f t="shared" si="3"/>
        <v>4582.08</v>
      </c>
      <c r="P26" s="20"/>
      <c r="Q26" s="66"/>
      <c r="R26" s="20"/>
      <c r="S26" s="20"/>
      <c r="T26" s="20"/>
    </row>
    <row r="27">
      <c r="A27" s="15" t="s">
        <v>261</v>
      </c>
      <c r="B27" s="17" t="s">
        <v>262</v>
      </c>
      <c r="C27" s="15" t="s">
        <v>263</v>
      </c>
      <c r="D27" s="19" t="s">
        <v>36</v>
      </c>
      <c r="E27" s="19" t="s">
        <v>60</v>
      </c>
      <c r="F27" s="19" t="s">
        <v>6017</v>
      </c>
      <c r="G27" s="31">
        <v>1.0</v>
      </c>
      <c r="H27" s="19" t="s">
        <v>107</v>
      </c>
      <c r="I27" s="18"/>
      <c r="J27" s="23">
        <v>95.0</v>
      </c>
      <c r="K27" s="23">
        <v>91.2</v>
      </c>
      <c r="L27" s="20">
        <f t="shared" si="1"/>
        <v>1687.2</v>
      </c>
      <c r="M27" s="20">
        <f t="shared" si="2"/>
        <v>1480</v>
      </c>
      <c r="N27" s="20"/>
      <c r="O27" s="20">
        <f t="shared" si="3"/>
        <v>1687.2</v>
      </c>
      <c r="P27" s="20"/>
      <c r="Q27" s="66"/>
      <c r="R27" s="20"/>
      <c r="S27" s="20"/>
      <c r="T27" s="20"/>
    </row>
    <row r="28">
      <c r="A28" s="15" t="s">
        <v>345</v>
      </c>
      <c r="B28" s="17" t="s">
        <v>346</v>
      </c>
      <c r="C28" s="15" t="s">
        <v>348</v>
      </c>
      <c r="D28" s="19" t="s">
        <v>36</v>
      </c>
      <c r="E28" s="19" t="s">
        <v>60</v>
      </c>
      <c r="F28" s="19" t="s">
        <v>6017</v>
      </c>
      <c r="G28" s="31">
        <v>1.0</v>
      </c>
      <c r="H28" s="19" t="s">
        <v>107</v>
      </c>
      <c r="I28" s="18"/>
      <c r="J28" s="23">
        <v>93.0</v>
      </c>
      <c r="K28" s="23">
        <v>89.28</v>
      </c>
      <c r="L28" s="20">
        <f t="shared" si="1"/>
        <v>1651.68</v>
      </c>
      <c r="M28" s="20">
        <f t="shared" si="2"/>
        <v>1448.842105</v>
      </c>
      <c r="N28" s="20"/>
      <c r="O28" s="20">
        <f t="shared" si="3"/>
        <v>1651.68</v>
      </c>
      <c r="P28" s="20"/>
      <c r="Q28" s="66"/>
      <c r="R28" s="20"/>
      <c r="S28" s="20"/>
      <c r="T28" s="20"/>
    </row>
    <row r="29">
      <c r="A29" s="15" t="s">
        <v>130</v>
      </c>
      <c r="B29" s="17" t="s">
        <v>131</v>
      </c>
      <c r="C29" s="15" t="s">
        <v>134</v>
      </c>
      <c r="D29" s="19" t="s">
        <v>36</v>
      </c>
      <c r="E29" s="19" t="s">
        <v>60</v>
      </c>
      <c r="F29" s="19" t="s">
        <v>135</v>
      </c>
      <c r="G29" s="31">
        <v>1.0</v>
      </c>
      <c r="H29" s="19" t="s">
        <v>107</v>
      </c>
      <c r="I29" s="18"/>
      <c r="J29" s="23">
        <v>93.0</v>
      </c>
      <c r="K29" s="23">
        <v>89.28</v>
      </c>
      <c r="L29" s="20">
        <f t="shared" si="1"/>
        <v>1651.68</v>
      </c>
      <c r="M29" s="20">
        <f t="shared" si="2"/>
        <v>1448.842105</v>
      </c>
      <c r="N29" s="20"/>
      <c r="O29" s="20">
        <f t="shared" si="3"/>
        <v>1651.68</v>
      </c>
      <c r="P29" s="20"/>
      <c r="Q29" s="66"/>
      <c r="R29" s="20"/>
      <c r="S29" s="20"/>
      <c r="T29" s="20"/>
    </row>
    <row r="30">
      <c r="A30" s="15" t="s">
        <v>266</v>
      </c>
      <c r="B30" s="17" t="s">
        <v>267</v>
      </c>
      <c r="C30" s="15" t="s">
        <v>268</v>
      </c>
      <c r="D30" s="19" t="s">
        <v>36</v>
      </c>
      <c r="E30" s="19" t="s">
        <v>200</v>
      </c>
      <c r="F30" s="19" t="s">
        <v>269</v>
      </c>
      <c r="G30" s="31">
        <v>1.0</v>
      </c>
      <c r="H30" s="19" t="s">
        <v>107</v>
      </c>
      <c r="I30" s="18"/>
      <c r="J30" s="23">
        <v>862.0</v>
      </c>
      <c r="K30" s="23">
        <v>827.52</v>
      </c>
      <c r="L30" s="20">
        <f t="shared" si="1"/>
        <v>15309.12</v>
      </c>
      <c r="M30" s="20">
        <f t="shared" si="2"/>
        <v>13429.05263</v>
      </c>
      <c r="N30" s="20"/>
      <c r="O30" s="20">
        <f t="shared" si="3"/>
        <v>15309.12</v>
      </c>
      <c r="P30" s="20"/>
      <c r="Q30" s="66"/>
      <c r="R30" s="20"/>
      <c r="S30" s="20"/>
      <c r="T30" s="20"/>
    </row>
    <row r="31">
      <c r="A31" s="15" t="s">
        <v>505</v>
      </c>
      <c r="B31" s="17" t="s">
        <v>506</v>
      </c>
      <c r="C31" s="15" t="s">
        <v>508</v>
      </c>
      <c r="D31" s="19" t="s">
        <v>36</v>
      </c>
      <c r="E31" s="19" t="s">
        <v>427</v>
      </c>
      <c r="F31" s="19" t="s">
        <v>269</v>
      </c>
      <c r="G31" s="31">
        <v>1.0</v>
      </c>
      <c r="H31" s="19" t="s">
        <v>107</v>
      </c>
      <c r="I31" s="18"/>
      <c r="J31" s="23">
        <v>486.0</v>
      </c>
      <c r="K31" s="23">
        <v>466.56</v>
      </c>
      <c r="L31" s="20">
        <f t="shared" si="1"/>
        <v>8631.36</v>
      </c>
      <c r="M31" s="20">
        <f t="shared" si="2"/>
        <v>7571.368421</v>
      </c>
      <c r="N31" s="20"/>
      <c r="O31" s="20">
        <f t="shared" si="3"/>
        <v>8631.36</v>
      </c>
      <c r="P31" s="20"/>
      <c r="Q31" s="66"/>
      <c r="R31" s="20"/>
      <c r="S31" s="20"/>
      <c r="T31" s="20"/>
    </row>
    <row r="32">
      <c r="A32" s="15" t="s">
        <v>288</v>
      </c>
      <c r="B32" s="17" t="s">
        <v>289</v>
      </c>
      <c r="C32" s="15" t="s">
        <v>291</v>
      </c>
      <c r="D32" s="19" t="s">
        <v>36</v>
      </c>
      <c r="E32" s="19" t="s">
        <v>60</v>
      </c>
      <c r="F32" s="19" t="s">
        <v>292</v>
      </c>
      <c r="G32" s="31">
        <v>1.0</v>
      </c>
      <c r="H32" s="19" t="s">
        <v>107</v>
      </c>
      <c r="I32" s="18"/>
      <c r="J32" s="23">
        <v>66.0</v>
      </c>
      <c r="K32" s="23">
        <v>63.36</v>
      </c>
      <c r="L32" s="20">
        <f t="shared" si="1"/>
        <v>1172.16</v>
      </c>
      <c r="M32" s="20">
        <f t="shared" si="2"/>
        <v>1028.210526</v>
      </c>
      <c r="N32" s="20"/>
      <c r="O32" s="20">
        <f t="shared" si="3"/>
        <v>1172.16</v>
      </c>
      <c r="P32" s="20"/>
      <c r="Q32" s="66"/>
      <c r="R32" s="20"/>
      <c r="S32" s="20"/>
      <c r="T32" s="20"/>
    </row>
    <row r="33">
      <c r="A33" s="15" t="s">
        <v>772</v>
      </c>
      <c r="B33" s="17" t="s">
        <v>773</v>
      </c>
      <c r="C33" s="15" t="s">
        <v>774</v>
      </c>
      <c r="D33" s="19" t="s">
        <v>36</v>
      </c>
      <c r="E33" s="33"/>
      <c r="F33" s="19" t="s">
        <v>775</v>
      </c>
      <c r="G33" s="31">
        <v>1.0</v>
      </c>
      <c r="H33" s="19" t="s">
        <v>107</v>
      </c>
      <c r="I33" s="18"/>
      <c r="J33" s="23">
        <v>80.0</v>
      </c>
      <c r="K33" s="23">
        <v>76.8</v>
      </c>
      <c r="L33" s="20">
        <f t="shared" si="1"/>
        <v>1420.8</v>
      </c>
      <c r="M33" s="20">
        <f t="shared" si="2"/>
        <v>1246.315789</v>
      </c>
      <c r="N33" s="20"/>
      <c r="O33" s="20">
        <f t="shared" si="3"/>
        <v>1420.8</v>
      </c>
      <c r="P33" s="20"/>
      <c r="Q33" s="66"/>
      <c r="R33" s="20"/>
      <c r="S33" s="20"/>
      <c r="T33" s="20"/>
    </row>
    <row r="34">
      <c r="A34" s="15" t="s">
        <v>1125</v>
      </c>
      <c r="B34" s="17" t="s">
        <v>1126</v>
      </c>
      <c r="C34" s="15" t="s">
        <v>1127</v>
      </c>
      <c r="D34" s="19" t="s">
        <v>36</v>
      </c>
      <c r="E34" s="33"/>
      <c r="F34" s="19" t="s">
        <v>775</v>
      </c>
      <c r="G34" s="31">
        <v>1.0</v>
      </c>
      <c r="H34" s="19" t="s">
        <v>107</v>
      </c>
      <c r="I34" s="18"/>
      <c r="J34" s="23">
        <v>52.0</v>
      </c>
      <c r="K34" s="23">
        <v>49.92</v>
      </c>
      <c r="L34" s="20">
        <f t="shared" si="1"/>
        <v>923.52</v>
      </c>
      <c r="M34" s="20">
        <f t="shared" si="2"/>
        <v>810.1052632</v>
      </c>
      <c r="N34" s="20"/>
      <c r="O34" s="20">
        <f t="shared" si="3"/>
        <v>923.52</v>
      </c>
      <c r="P34" s="20"/>
      <c r="Q34" s="66"/>
      <c r="R34" s="20"/>
      <c r="S34" s="20"/>
      <c r="T34" s="20"/>
    </row>
    <row r="35">
      <c r="A35" s="15" t="s">
        <v>354</v>
      </c>
      <c r="B35" s="17" t="s">
        <v>355</v>
      </c>
      <c r="C35" s="15" t="s">
        <v>356</v>
      </c>
      <c r="D35" s="19" t="s">
        <v>36</v>
      </c>
      <c r="E35" s="19" t="s">
        <v>1269</v>
      </c>
      <c r="F35" s="19" t="s">
        <v>38</v>
      </c>
      <c r="G35" s="31">
        <v>1.0</v>
      </c>
      <c r="H35" s="19" t="s">
        <v>107</v>
      </c>
      <c r="I35" s="18"/>
      <c r="J35" s="23">
        <v>268.0</v>
      </c>
      <c r="K35" s="23">
        <v>257.28</v>
      </c>
      <c r="L35" s="20">
        <f t="shared" si="1"/>
        <v>4759.68</v>
      </c>
      <c r="M35" s="20">
        <f t="shared" si="2"/>
        <v>4175.157895</v>
      </c>
      <c r="N35" s="20"/>
      <c r="O35" s="20">
        <f t="shared" si="3"/>
        <v>4759.68</v>
      </c>
      <c r="P35" s="20"/>
      <c r="Q35" s="66"/>
      <c r="R35" s="20"/>
      <c r="S35" s="20"/>
      <c r="T35" s="20"/>
    </row>
    <row r="36">
      <c r="A36" s="15" t="s">
        <v>799</v>
      </c>
      <c r="B36" s="17" t="s">
        <v>800</v>
      </c>
      <c r="C36" s="15" t="s">
        <v>801</v>
      </c>
      <c r="D36" s="19" t="s">
        <v>36</v>
      </c>
      <c r="E36" s="19" t="s">
        <v>1269</v>
      </c>
      <c r="F36" s="19" t="s">
        <v>38</v>
      </c>
      <c r="G36" s="31">
        <v>1.0</v>
      </c>
      <c r="H36" s="19" t="s">
        <v>107</v>
      </c>
      <c r="I36" s="18"/>
      <c r="J36" s="23">
        <v>66.0</v>
      </c>
      <c r="K36" s="23">
        <v>63.36</v>
      </c>
      <c r="L36" s="20">
        <f t="shared" si="1"/>
        <v>1172.16</v>
      </c>
      <c r="M36" s="20">
        <f t="shared" si="2"/>
        <v>1028.210526</v>
      </c>
      <c r="N36" s="20"/>
      <c r="O36" s="20">
        <f t="shared" si="3"/>
        <v>1172.16</v>
      </c>
      <c r="P36" s="20"/>
      <c r="Q36" s="66"/>
      <c r="R36" s="20"/>
      <c r="S36" s="20"/>
      <c r="T36" s="20"/>
    </row>
    <row r="37">
      <c r="A37" s="15" t="s">
        <v>551</v>
      </c>
      <c r="B37" s="17" t="s">
        <v>552</v>
      </c>
      <c r="C37" s="15" t="s">
        <v>553</v>
      </c>
      <c r="D37" s="19" t="s">
        <v>36</v>
      </c>
      <c r="E37" s="19" t="s">
        <v>1269</v>
      </c>
      <c r="F37" s="19" t="s">
        <v>38</v>
      </c>
      <c r="G37" s="31">
        <v>1.0</v>
      </c>
      <c r="H37" s="19" t="s">
        <v>107</v>
      </c>
      <c r="I37" s="18"/>
      <c r="J37" s="23">
        <v>90.0</v>
      </c>
      <c r="K37" s="23">
        <v>86.39999999999999</v>
      </c>
      <c r="L37" s="20">
        <f t="shared" si="1"/>
        <v>1598.4</v>
      </c>
      <c r="M37" s="20">
        <f t="shared" si="2"/>
        <v>1402.105263</v>
      </c>
      <c r="N37" s="20"/>
      <c r="O37" s="20">
        <f t="shared" si="3"/>
        <v>1598.4</v>
      </c>
      <c r="P37" s="20"/>
      <c r="Q37" s="66"/>
      <c r="R37" s="20"/>
      <c r="S37" s="20"/>
      <c r="T37" s="20"/>
    </row>
    <row r="38">
      <c r="A38" s="15" t="s">
        <v>559</v>
      </c>
      <c r="B38" s="17" t="s">
        <v>560</v>
      </c>
      <c r="C38" s="15" t="s">
        <v>561</v>
      </c>
      <c r="D38" s="19" t="s">
        <v>36</v>
      </c>
      <c r="E38" s="33"/>
      <c r="F38" s="19" t="s">
        <v>177</v>
      </c>
      <c r="G38" s="31">
        <v>1.0</v>
      </c>
      <c r="H38" s="19" t="s">
        <v>107</v>
      </c>
      <c r="I38" s="18"/>
      <c r="J38" s="23">
        <v>141.0</v>
      </c>
      <c r="K38" s="23">
        <v>135.35999999999999</v>
      </c>
      <c r="L38" s="20">
        <f t="shared" si="1"/>
        <v>2504.16</v>
      </c>
      <c r="M38" s="20">
        <f t="shared" si="2"/>
        <v>2196.631579</v>
      </c>
      <c r="N38" s="20"/>
      <c r="O38" s="20">
        <f t="shared" si="3"/>
        <v>2504.16</v>
      </c>
      <c r="P38" s="20"/>
      <c r="Q38" s="66"/>
      <c r="R38" s="20"/>
      <c r="S38" s="20"/>
      <c r="T38" s="20"/>
    </row>
    <row r="39">
      <c r="A39" s="15" t="s">
        <v>694</v>
      </c>
      <c r="B39" s="17" t="s">
        <v>695</v>
      </c>
      <c r="C39" s="15" t="s">
        <v>696</v>
      </c>
      <c r="D39" s="19" t="s">
        <v>36</v>
      </c>
      <c r="E39" s="33"/>
      <c r="F39" s="19" t="s">
        <v>177</v>
      </c>
      <c r="G39" s="31">
        <v>1.0</v>
      </c>
      <c r="H39" s="19" t="s">
        <v>107</v>
      </c>
      <c r="I39" s="18"/>
      <c r="J39" s="23">
        <v>181.0</v>
      </c>
      <c r="K39" s="23">
        <v>173.76</v>
      </c>
      <c r="L39" s="20">
        <f t="shared" si="1"/>
        <v>3214.56</v>
      </c>
      <c r="M39" s="20">
        <f t="shared" si="2"/>
        <v>2819.789474</v>
      </c>
      <c r="N39" s="20"/>
      <c r="O39" s="20">
        <f t="shared" si="3"/>
        <v>3214.56</v>
      </c>
      <c r="P39" s="20"/>
      <c r="Q39" s="66"/>
      <c r="R39" s="20"/>
      <c r="S39" s="20"/>
      <c r="T39" s="20"/>
    </row>
    <row r="40">
      <c r="A40" s="15" t="s">
        <v>1106</v>
      </c>
      <c r="B40" s="17" t="s">
        <v>1107</v>
      </c>
      <c r="C40" s="15" t="s">
        <v>1109</v>
      </c>
      <c r="D40" s="19" t="s">
        <v>36</v>
      </c>
      <c r="E40" s="19" t="s">
        <v>60</v>
      </c>
      <c r="F40" s="19" t="s">
        <v>177</v>
      </c>
      <c r="G40" s="31">
        <v>1.0</v>
      </c>
      <c r="H40" s="19" t="s">
        <v>107</v>
      </c>
      <c r="I40" s="18"/>
      <c r="J40" s="23">
        <v>217.0</v>
      </c>
      <c r="K40" s="23">
        <v>208.32</v>
      </c>
      <c r="L40" s="20">
        <f t="shared" si="1"/>
        <v>3853.92</v>
      </c>
      <c r="M40" s="20">
        <f t="shared" si="2"/>
        <v>3380.631579</v>
      </c>
      <c r="N40" s="20"/>
      <c r="O40" s="20">
        <f t="shared" si="3"/>
        <v>3853.92</v>
      </c>
      <c r="P40" s="20"/>
      <c r="Q40" s="66"/>
      <c r="R40" s="20"/>
      <c r="S40" s="20"/>
      <c r="T40" s="20"/>
    </row>
    <row r="41">
      <c r="A41" s="15" t="s">
        <v>737</v>
      </c>
      <c r="B41" s="17" t="s">
        <v>738</v>
      </c>
      <c r="C41" s="15" t="s">
        <v>740</v>
      </c>
      <c r="D41" s="19" t="s">
        <v>36</v>
      </c>
      <c r="E41" s="19" t="s">
        <v>60</v>
      </c>
      <c r="F41" s="19" t="s">
        <v>6017</v>
      </c>
      <c r="G41" s="31">
        <v>1.0</v>
      </c>
      <c r="H41" s="19" t="s">
        <v>107</v>
      </c>
      <c r="I41" s="18"/>
      <c r="J41" s="23">
        <v>57.0</v>
      </c>
      <c r="K41" s="23">
        <v>54.72</v>
      </c>
      <c r="L41" s="20">
        <f t="shared" si="1"/>
        <v>1012.32</v>
      </c>
      <c r="M41" s="20">
        <f t="shared" si="2"/>
        <v>888</v>
      </c>
      <c r="N41" s="20"/>
      <c r="O41" s="20">
        <f t="shared" si="3"/>
        <v>1012.32</v>
      </c>
      <c r="P41" s="20"/>
      <c r="Q41" s="66"/>
      <c r="R41" s="20"/>
      <c r="S41" s="20"/>
      <c r="T41" s="20"/>
    </row>
    <row r="42">
      <c r="A42" s="15" t="s">
        <v>138</v>
      </c>
      <c r="B42" s="17" t="s">
        <v>139</v>
      </c>
      <c r="C42" s="15" t="s">
        <v>141</v>
      </c>
      <c r="D42" s="19" t="s">
        <v>36</v>
      </c>
      <c r="E42" s="19" t="s">
        <v>60</v>
      </c>
      <c r="F42" s="19" t="s">
        <v>135</v>
      </c>
      <c r="G42" s="31">
        <v>1.0</v>
      </c>
      <c r="H42" s="19" t="s">
        <v>107</v>
      </c>
      <c r="I42" s="18"/>
      <c r="J42" s="23">
        <v>93.0</v>
      </c>
      <c r="K42" s="23">
        <v>89.28</v>
      </c>
      <c r="L42" s="20">
        <f t="shared" si="1"/>
        <v>1651.68</v>
      </c>
      <c r="M42" s="20">
        <f t="shared" si="2"/>
        <v>1448.842105</v>
      </c>
      <c r="N42" s="20"/>
      <c r="O42" s="20">
        <f t="shared" si="3"/>
        <v>1651.68</v>
      </c>
      <c r="P42" s="20"/>
      <c r="Q42" s="66"/>
      <c r="R42" s="20"/>
      <c r="S42" s="20"/>
      <c r="T42" s="20"/>
    </row>
    <row r="43">
      <c r="A43" s="15" t="s">
        <v>893</v>
      </c>
      <c r="B43" s="17" t="s">
        <v>894</v>
      </c>
      <c r="C43" s="15" t="s">
        <v>895</v>
      </c>
      <c r="D43" s="19" t="s">
        <v>36</v>
      </c>
      <c r="E43" s="33"/>
      <c r="F43" s="19" t="s">
        <v>269</v>
      </c>
      <c r="G43" s="31">
        <v>1.0</v>
      </c>
      <c r="H43" s="19" t="s">
        <v>107</v>
      </c>
      <c r="I43" s="18"/>
      <c r="J43" s="23">
        <v>565.0</v>
      </c>
      <c r="K43" s="23">
        <v>542.4</v>
      </c>
      <c r="L43" s="20">
        <f t="shared" si="1"/>
        <v>10034.4</v>
      </c>
      <c r="M43" s="20">
        <f t="shared" si="2"/>
        <v>8802.105263</v>
      </c>
      <c r="N43" s="20"/>
      <c r="O43" s="20">
        <f t="shared" si="3"/>
        <v>10034.4</v>
      </c>
      <c r="P43" s="20"/>
      <c r="Q43" s="66"/>
      <c r="R43" s="20"/>
      <c r="S43" s="20"/>
      <c r="T43" s="20"/>
    </row>
    <row r="44">
      <c r="A44" s="15" t="s">
        <v>545</v>
      </c>
      <c r="B44" s="17" t="s">
        <v>546</v>
      </c>
      <c r="C44" s="15" t="s">
        <v>548</v>
      </c>
      <c r="D44" s="19" t="s">
        <v>36</v>
      </c>
      <c r="E44" s="19" t="s">
        <v>105</v>
      </c>
      <c r="F44" s="19" t="s">
        <v>38</v>
      </c>
      <c r="G44" s="31">
        <v>2.0</v>
      </c>
      <c r="H44" s="19" t="s">
        <v>107</v>
      </c>
      <c r="I44" s="18"/>
      <c r="J44" s="23">
        <v>108.0</v>
      </c>
      <c r="K44" s="23">
        <v>103.67999999999999</v>
      </c>
      <c r="L44" s="20">
        <f t="shared" si="1"/>
        <v>1918.08</v>
      </c>
      <c r="M44" s="20">
        <f t="shared" si="2"/>
        <v>1682.526316</v>
      </c>
      <c r="N44" s="20"/>
      <c r="O44" s="20">
        <f t="shared" si="3"/>
        <v>3836.16</v>
      </c>
      <c r="P44" s="20"/>
      <c r="Q44" s="66"/>
      <c r="R44" s="20"/>
      <c r="S44" s="20"/>
      <c r="T44" s="20"/>
    </row>
    <row r="45">
      <c r="A45" s="15" t="s">
        <v>564</v>
      </c>
      <c r="B45" s="17" t="s">
        <v>565</v>
      </c>
      <c r="C45" s="15" t="s">
        <v>567</v>
      </c>
      <c r="D45" s="19" t="s">
        <v>36</v>
      </c>
      <c r="E45" s="19" t="s">
        <v>105</v>
      </c>
      <c r="F45" s="19" t="s">
        <v>38</v>
      </c>
      <c r="G45" s="31">
        <v>2.0</v>
      </c>
      <c r="H45" s="19" t="s">
        <v>107</v>
      </c>
      <c r="I45" s="18"/>
      <c r="J45" s="23">
        <v>70.0</v>
      </c>
      <c r="K45" s="23">
        <v>67.2</v>
      </c>
      <c r="L45" s="20">
        <f t="shared" si="1"/>
        <v>1243.2</v>
      </c>
      <c r="M45" s="20">
        <f t="shared" si="2"/>
        <v>1090.526316</v>
      </c>
      <c r="N45" s="20"/>
      <c r="O45" s="20">
        <f t="shared" si="3"/>
        <v>2486.4</v>
      </c>
      <c r="P45" s="20"/>
      <c r="Q45" s="66"/>
      <c r="R45" s="20"/>
      <c r="S45" s="20"/>
      <c r="T45" s="20"/>
    </row>
    <row r="46">
      <c r="A46" s="15" t="s">
        <v>316</v>
      </c>
      <c r="B46" s="17" t="s">
        <v>317</v>
      </c>
      <c r="C46" s="15" t="s">
        <v>318</v>
      </c>
      <c r="D46" s="19" t="s">
        <v>36</v>
      </c>
      <c r="E46" s="19" t="s">
        <v>37</v>
      </c>
      <c r="F46" s="19" t="s">
        <v>38</v>
      </c>
      <c r="G46" s="31">
        <v>2.0</v>
      </c>
      <c r="H46" s="19" t="s">
        <v>107</v>
      </c>
      <c r="I46" s="18"/>
      <c r="J46" s="23">
        <v>24.0</v>
      </c>
      <c r="K46" s="23">
        <v>23.04</v>
      </c>
      <c r="L46" s="20">
        <f t="shared" si="1"/>
        <v>426.24</v>
      </c>
      <c r="M46" s="20">
        <f t="shared" si="2"/>
        <v>373.8947368</v>
      </c>
      <c r="N46" s="20"/>
      <c r="O46" s="20">
        <f t="shared" si="3"/>
        <v>852.48</v>
      </c>
      <c r="P46" s="20"/>
      <c r="Q46" s="66"/>
      <c r="R46" s="20"/>
      <c r="S46" s="20"/>
      <c r="T46" s="20"/>
    </row>
    <row r="47">
      <c r="A47" s="15" t="s">
        <v>206</v>
      </c>
      <c r="B47" s="17" t="s">
        <v>207</v>
      </c>
      <c r="C47" s="15" t="s">
        <v>209</v>
      </c>
      <c r="D47" s="19" t="s">
        <v>36</v>
      </c>
      <c r="E47" s="19" t="s">
        <v>37</v>
      </c>
      <c r="F47" s="19" t="s">
        <v>38</v>
      </c>
      <c r="G47" s="31">
        <v>2.0</v>
      </c>
      <c r="H47" s="19" t="s">
        <v>107</v>
      </c>
      <c r="I47" s="18"/>
      <c r="J47" s="23">
        <v>30.0</v>
      </c>
      <c r="K47" s="23">
        <v>28.799999999999997</v>
      </c>
      <c r="L47" s="20">
        <f t="shared" si="1"/>
        <v>532.8</v>
      </c>
      <c r="M47" s="20">
        <f t="shared" si="2"/>
        <v>467.3684211</v>
      </c>
      <c r="N47" s="20"/>
      <c r="O47" s="20">
        <f t="shared" si="3"/>
        <v>1065.6</v>
      </c>
      <c r="P47" s="20"/>
      <c r="Q47" s="66"/>
      <c r="R47" s="20"/>
      <c r="S47" s="20"/>
      <c r="T47" s="20"/>
    </row>
    <row r="48">
      <c r="A48" s="15" t="s">
        <v>124</v>
      </c>
      <c r="B48" s="17" t="s">
        <v>125</v>
      </c>
      <c r="C48" s="15" t="s">
        <v>127</v>
      </c>
      <c r="D48" s="19" t="s">
        <v>36</v>
      </c>
      <c r="E48" s="19" t="s">
        <v>60</v>
      </c>
      <c r="F48" s="19" t="s">
        <v>38</v>
      </c>
      <c r="G48" s="31">
        <v>2.0</v>
      </c>
      <c r="H48" s="19" t="s">
        <v>107</v>
      </c>
      <c r="I48" s="18"/>
      <c r="J48" s="23">
        <v>176.0</v>
      </c>
      <c r="K48" s="23">
        <v>168.95999999999998</v>
      </c>
      <c r="L48" s="20">
        <f t="shared" si="1"/>
        <v>3125.76</v>
      </c>
      <c r="M48" s="20">
        <f t="shared" si="2"/>
        <v>2741.894737</v>
      </c>
      <c r="N48" s="20"/>
      <c r="O48" s="20">
        <f t="shared" si="3"/>
        <v>6251.52</v>
      </c>
      <c r="P48" s="20"/>
      <c r="Q48" s="66"/>
      <c r="R48" s="20"/>
      <c r="S48" s="20"/>
      <c r="T48" s="20"/>
    </row>
    <row r="49">
      <c r="A49" s="15" t="s">
        <v>706</v>
      </c>
      <c r="B49" s="17" t="s">
        <v>707</v>
      </c>
      <c r="C49" s="15" t="s">
        <v>709</v>
      </c>
      <c r="D49" s="19" t="s">
        <v>36</v>
      </c>
      <c r="E49" s="33"/>
      <c r="F49" s="19" t="s">
        <v>38</v>
      </c>
      <c r="G49" s="31">
        <v>2.0</v>
      </c>
      <c r="H49" s="19" t="s">
        <v>107</v>
      </c>
      <c r="I49" s="18"/>
      <c r="J49" s="23">
        <v>10.0</v>
      </c>
      <c r="K49" s="23">
        <v>9.6</v>
      </c>
      <c r="L49" s="20">
        <f t="shared" si="1"/>
        <v>177.6</v>
      </c>
      <c r="M49" s="20">
        <f t="shared" si="2"/>
        <v>155.7894737</v>
      </c>
      <c r="N49" s="20"/>
      <c r="O49" s="20">
        <f t="shared" si="3"/>
        <v>355.2</v>
      </c>
      <c r="P49" s="20"/>
      <c r="Q49" s="66"/>
      <c r="R49" s="20"/>
      <c r="S49" s="20"/>
      <c r="T49" s="20"/>
    </row>
    <row r="50">
      <c r="A50" s="15" t="s">
        <v>334</v>
      </c>
      <c r="B50" s="17" t="s">
        <v>335</v>
      </c>
      <c r="C50" s="15" t="s">
        <v>337</v>
      </c>
      <c r="D50" s="19" t="s">
        <v>36</v>
      </c>
      <c r="E50" s="19" t="s">
        <v>60</v>
      </c>
      <c r="F50" s="19" t="s">
        <v>188</v>
      </c>
      <c r="G50" s="31">
        <v>2.0</v>
      </c>
      <c r="H50" s="19" t="s">
        <v>107</v>
      </c>
      <c r="I50" s="18"/>
      <c r="J50" s="23">
        <v>71.0</v>
      </c>
      <c r="K50" s="23">
        <v>68.16</v>
      </c>
      <c r="L50" s="20">
        <f t="shared" si="1"/>
        <v>1260.96</v>
      </c>
      <c r="M50" s="20">
        <f t="shared" si="2"/>
        <v>1106.105263</v>
      </c>
      <c r="N50" s="20"/>
      <c r="O50" s="20">
        <f t="shared" si="3"/>
        <v>2521.92</v>
      </c>
      <c r="P50" s="20"/>
      <c r="Q50" s="66"/>
      <c r="R50" s="20"/>
      <c r="S50" s="20"/>
      <c r="T50" s="20"/>
    </row>
    <row r="51">
      <c r="A51" s="15" t="s">
        <v>225</v>
      </c>
      <c r="B51" s="17" t="s">
        <v>226</v>
      </c>
      <c r="C51" s="15" t="s">
        <v>228</v>
      </c>
      <c r="D51" s="19" t="s">
        <v>36</v>
      </c>
      <c r="E51" s="19" t="s">
        <v>60</v>
      </c>
      <c r="F51" s="19" t="s">
        <v>188</v>
      </c>
      <c r="G51" s="31">
        <v>2.0</v>
      </c>
      <c r="H51" s="19" t="s">
        <v>107</v>
      </c>
      <c r="I51" s="18"/>
      <c r="J51" s="23">
        <v>20.0</v>
      </c>
      <c r="K51" s="23">
        <v>19.2</v>
      </c>
      <c r="L51" s="20">
        <f t="shared" si="1"/>
        <v>355.2</v>
      </c>
      <c r="M51" s="20">
        <f t="shared" si="2"/>
        <v>311.5789474</v>
      </c>
      <c r="N51" s="20"/>
      <c r="O51" s="20">
        <f t="shared" si="3"/>
        <v>710.4</v>
      </c>
      <c r="P51" s="20"/>
      <c r="Q51" s="66"/>
      <c r="R51" s="20"/>
      <c r="S51" s="20"/>
      <c r="T51" s="20"/>
    </row>
    <row r="52">
      <c r="A52" s="15" t="s">
        <v>1037</v>
      </c>
      <c r="B52" s="17" t="s">
        <v>1049</v>
      </c>
      <c r="C52" s="15" t="s">
        <v>1051</v>
      </c>
      <c r="D52" s="19" t="s">
        <v>36</v>
      </c>
      <c r="E52" s="19" t="s">
        <v>114</v>
      </c>
      <c r="F52" s="19" t="s">
        <v>115</v>
      </c>
      <c r="G52" s="31">
        <v>2.0</v>
      </c>
      <c r="H52" s="19" t="s">
        <v>107</v>
      </c>
      <c r="I52" s="18"/>
      <c r="J52" s="23">
        <v>193.0</v>
      </c>
      <c r="K52" s="23">
        <v>185.28</v>
      </c>
      <c r="L52" s="20">
        <f t="shared" si="1"/>
        <v>3427.68</v>
      </c>
      <c r="M52" s="20">
        <f t="shared" si="2"/>
        <v>3006.736842</v>
      </c>
      <c r="N52" s="20"/>
      <c r="O52" s="20">
        <f t="shared" si="3"/>
        <v>6855.36</v>
      </c>
      <c r="P52" s="20"/>
      <c r="Q52" s="66"/>
      <c r="R52" s="20"/>
      <c r="S52" s="20"/>
      <c r="T52" s="20"/>
    </row>
    <row r="53">
      <c r="A53" s="15" t="s">
        <v>815</v>
      </c>
      <c r="B53" s="17" t="s">
        <v>816</v>
      </c>
      <c r="C53" s="15" t="s">
        <v>818</v>
      </c>
      <c r="D53" s="19" t="s">
        <v>36</v>
      </c>
      <c r="E53" s="19" t="s">
        <v>427</v>
      </c>
      <c r="F53" s="19" t="s">
        <v>610</v>
      </c>
      <c r="G53" s="31">
        <v>2.0</v>
      </c>
      <c r="H53" s="19" t="s">
        <v>107</v>
      </c>
      <c r="I53" s="18"/>
      <c r="J53" s="23">
        <v>52.0</v>
      </c>
      <c r="K53" s="23">
        <v>49.92</v>
      </c>
      <c r="L53" s="20">
        <f t="shared" si="1"/>
        <v>923.52</v>
      </c>
      <c r="M53" s="20">
        <f t="shared" si="2"/>
        <v>810.1052632</v>
      </c>
      <c r="N53" s="20"/>
      <c r="O53" s="20">
        <f t="shared" si="3"/>
        <v>1847.04</v>
      </c>
      <c r="P53" s="20"/>
      <c r="Q53" s="66"/>
      <c r="R53" s="20"/>
      <c r="S53" s="20"/>
      <c r="T53" s="20"/>
    </row>
    <row r="54">
      <c r="A54" s="15" t="s">
        <v>606</v>
      </c>
      <c r="B54" s="17" t="s">
        <v>607</v>
      </c>
      <c r="C54" s="15" t="s">
        <v>609</v>
      </c>
      <c r="D54" s="19" t="s">
        <v>36</v>
      </c>
      <c r="E54" s="19" t="s">
        <v>427</v>
      </c>
      <c r="F54" s="19" t="s">
        <v>610</v>
      </c>
      <c r="G54" s="31">
        <v>2.0</v>
      </c>
      <c r="H54" s="19" t="s">
        <v>107</v>
      </c>
      <c r="I54" s="18"/>
      <c r="J54" s="23">
        <v>65.0</v>
      </c>
      <c r="K54" s="23">
        <v>62.4</v>
      </c>
      <c r="L54" s="20">
        <f t="shared" si="1"/>
        <v>1154.4</v>
      </c>
      <c r="M54" s="20">
        <f t="shared" si="2"/>
        <v>1012.631579</v>
      </c>
      <c r="N54" s="20"/>
      <c r="O54" s="20">
        <f t="shared" si="3"/>
        <v>2308.8</v>
      </c>
      <c r="P54" s="20"/>
      <c r="Q54" s="66"/>
      <c r="R54" s="20"/>
      <c r="S54" s="20"/>
      <c r="T54" s="20"/>
    </row>
    <row r="55">
      <c r="A55" s="15" t="s">
        <v>474</v>
      </c>
      <c r="B55" s="17" t="s">
        <v>475</v>
      </c>
      <c r="C55" s="15" t="s">
        <v>477</v>
      </c>
      <c r="D55" s="19" t="s">
        <v>36</v>
      </c>
      <c r="E55" s="33"/>
      <c r="F55" s="19" t="s">
        <v>38</v>
      </c>
      <c r="G55" s="31">
        <v>2.0</v>
      </c>
      <c r="H55" s="19" t="s">
        <v>107</v>
      </c>
      <c r="I55" s="18"/>
      <c r="J55" s="23">
        <v>20.0</v>
      </c>
      <c r="K55" s="23">
        <v>19.2</v>
      </c>
      <c r="L55" s="20">
        <f t="shared" si="1"/>
        <v>355.2</v>
      </c>
      <c r="M55" s="20">
        <f t="shared" si="2"/>
        <v>311.5789474</v>
      </c>
      <c r="N55" s="20"/>
      <c r="O55" s="20">
        <f t="shared" si="3"/>
        <v>710.4</v>
      </c>
      <c r="P55" s="20"/>
      <c r="Q55" s="66"/>
      <c r="R55" s="20"/>
      <c r="S55" s="20"/>
      <c r="T55" s="20"/>
    </row>
    <row r="56">
      <c r="A56" s="15" t="s">
        <v>365</v>
      </c>
      <c r="B56" s="17" t="s">
        <v>366</v>
      </c>
      <c r="C56" s="15" t="s">
        <v>367</v>
      </c>
      <c r="D56" s="19" t="s">
        <v>59</v>
      </c>
      <c r="E56" s="19" t="s">
        <v>60</v>
      </c>
      <c r="F56" s="19" t="s">
        <v>368</v>
      </c>
      <c r="G56" s="31">
        <v>1.0</v>
      </c>
      <c r="H56" s="19" t="s">
        <v>107</v>
      </c>
      <c r="I56" s="18"/>
      <c r="J56" s="23">
        <v>42.0</v>
      </c>
      <c r="K56" s="23">
        <v>40.32</v>
      </c>
      <c r="L56" s="20">
        <f t="shared" si="1"/>
        <v>745.92</v>
      </c>
      <c r="M56" s="20">
        <f t="shared" si="2"/>
        <v>654.3157895</v>
      </c>
      <c r="N56" s="20"/>
      <c r="O56" s="20">
        <f t="shared" si="3"/>
        <v>745.92</v>
      </c>
      <c r="P56" s="20"/>
      <c r="Q56" s="66"/>
      <c r="R56" s="20"/>
      <c r="S56" s="20"/>
      <c r="T56" s="20"/>
    </row>
    <row r="57">
      <c r="A57" s="15" t="s">
        <v>670</v>
      </c>
      <c r="B57" s="17" t="s">
        <v>671</v>
      </c>
      <c r="C57" s="15" t="s">
        <v>672</v>
      </c>
      <c r="D57" s="19" t="s">
        <v>59</v>
      </c>
      <c r="E57" s="19" t="s">
        <v>200</v>
      </c>
      <c r="F57" s="19" t="s">
        <v>38</v>
      </c>
      <c r="G57" s="31">
        <v>1.0</v>
      </c>
      <c r="H57" s="19" t="s">
        <v>107</v>
      </c>
      <c r="I57" s="18"/>
      <c r="J57" s="23">
        <v>82.0</v>
      </c>
      <c r="K57" s="23">
        <v>78.72</v>
      </c>
      <c r="L57" s="20">
        <f t="shared" si="1"/>
        <v>1456.32</v>
      </c>
      <c r="M57" s="20">
        <f t="shared" si="2"/>
        <v>1277.473684</v>
      </c>
      <c r="N57" s="20"/>
      <c r="O57" s="20">
        <f t="shared" si="3"/>
        <v>1456.32</v>
      </c>
      <c r="P57" s="20"/>
      <c r="Q57" s="66"/>
      <c r="R57" s="20"/>
      <c r="S57" s="20"/>
      <c r="T57" s="20"/>
    </row>
    <row r="58">
      <c r="A58" s="15" t="s">
        <v>873</v>
      </c>
      <c r="B58" s="17" t="s">
        <v>874</v>
      </c>
      <c r="C58" s="15" t="s">
        <v>876</v>
      </c>
      <c r="D58" s="19" t="s">
        <v>59</v>
      </c>
      <c r="E58" s="19" t="s">
        <v>200</v>
      </c>
      <c r="F58" s="19" t="s">
        <v>292</v>
      </c>
      <c r="G58" s="31">
        <v>1.0</v>
      </c>
      <c r="H58" s="19" t="s">
        <v>107</v>
      </c>
      <c r="I58" s="18"/>
      <c r="J58" s="23">
        <v>70.0</v>
      </c>
      <c r="K58" s="23">
        <v>67.2</v>
      </c>
      <c r="L58" s="20">
        <f t="shared" si="1"/>
        <v>1243.2</v>
      </c>
      <c r="M58" s="20">
        <f t="shared" si="2"/>
        <v>1090.526316</v>
      </c>
      <c r="N58" s="20"/>
      <c r="O58" s="20">
        <f t="shared" si="3"/>
        <v>1243.2</v>
      </c>
      <c r="P58" s="20"/>
      <c r="Q58" s="66"/>
      <c r="R58" s="20"/>
      <c r="S58" s="20"/>
      <c r="T58" s="20"/>
    </row>
    <row r="59">
      <c r="A59" s="15" t="s">
        <v>636</v>
      </c>
      <c r="B59" s="17" t="s">
        <v>637</v>
      </c>
      <c r="C59" s="15" t="s">
        <v>638</v>
      </c>
      <c r="D59" s="19" t="s">
        <v>59</v>
      </c>
      <c r="E59" s="19" t="s">
        <v>200</v>
      </c>
      <c r="F59" s="19" t="s">
        <v>292</v>
      </c>
      <c r="G59" s="31">
        <v>1.0</v>
      </c>
      <c r="H59" s="19" t="s">
        <v>107</v>
      </c>
      <c r="I59" s="18"/>
      <c r="J59" s="23">
        <v>42.0</v>
      </c>
      <c r="K59" s="23">
        <v>40.32</v>
      </c>
      <c r="L59" s="20">
        <f t="shared" si="1"/>
        <v>745.92</v>
      </c>
      <c r="M59" s="20">
        <f t="shared" si="2"/>
        <v>654.3157895</v>
      </c>
      <c r="N59" s="20"/>
      <c r="O59" s="20">
        <f t="shared" si="3"/>
        <v>745.92</v>
      </c>
      <c r="P59" s="20"/>
      <c r="Q59" s="66"/>
      <c r="R59" s="20"/>
      <c r="S59" s="20"/>
      <c r="T59" s="20"/>
    </row>
    <row r="60">
      <c r="A60" s="15" t="s">
        <v>821</v>
      </c>
      <c r="B60" s="17" t="s">
        <v>822</v>
      </c>
      <c r="C60" s="15" t="s">
        <v>823</v>
      </c>
      <c r="D60" s="19" t="s">
        <v>59</v>
      </c>
      <c r="E60" s="19" t="s">
        <v>200</v>
      </c>
      <c r="F60" s="19" t="s">
        <v>38</v>
      </c>
      <c r="G60" s="31">
        <v>1.0</v>
      </c>
      <c r="H60" s="19" t="s">
        <v>107</v>
      </c>
      <c r="I60" s="18"/>
      <c r="J60" s="23">
        <v>13.0</v>
      </c>
      <c r="K60" s="23">
        <v>12.48</v>
      </c>
      <c r="L60" s="20">
        <f t="shared" si="1"/>
        <v>230.88</v>
      </c>
      <c r="M60" s="20">
        <f t="shared" si="2"/>
        <v>202.5263158</v>
      </c>
      <c r="N60" s="20"/>
      <c r="O60" s="20">
        <f t="shared" si="3"/>
        <v>230.88</v>
      </c>
      <c r="P60" s="20"/>
      <c r="Q60" s="66"/>
      <c r="R60" s="20"/>
      <c r="S60" s="20"/>
      <c r="T60" s="20"/>
    </row>
    <row r="61">
      <c r="A61" s="15" t="s">
        <v>647</v>
      </c>
      <c r="B61" s="17" t="s">
        <v>648</v>
      </c>
      <c r="C61" s="15" t="s">
        <v>650</v>
      </c>
      <c r="D61" s="19" t="s">
        <v>59</v>
      </c>
      <c r="E61" s="19" t="s">
        <v>427</v>
      </c>
      <c r="F61" s="19" t="s">
        <v>292</v>
      </c>
      <c r="G61" s="31">
        <v>1.0</v>
      </c>
      <c r="H61" s="19" t="s">
        <v>107</v>
      </c>
      <c r="I61" s="18"/>
      <c r="J61" s="23">
        <v>94.0</v>
      </c>
      <c r="K61" s="23">
        <v>90.24</v>
      </c>
      <c r="L61" s="20">
        <f t="shared" si="1"/>
        <v>1669.44</v>
      </c>
      <c r="M61" s="20">
        <f t="shared" si="2"/>
        <v>1464.421053</v>
      </c>
      <c r="N61" s="20"/>
      <c r="O61" s="20">
        <f t="shared" si="3"/>
        <v>1669.44</v>
      </c>
      <c r="P61" s="20"/>
      <c r="Q61" s="66"/>
      <c r="R61" s="20"/>
      <c r="S61" s="20"/>
      <c r="T61" s="20"/>
    </row>
    <row r="62">
      <c r="A62" s="15" t="s">
        <v>571</v>
      </c>
      <c r="B62" s="17" t="s">
        <v>572</v>
      </c>
      <c r="C62" s="15" t="s">
        <v>574</v>
      </c>
      <c r="D62" s="19" t="s">
        <v>59</v>
      </c>
      <c r="E62" s="19" t="s">
        <v>200</v>
      </c>
      <c r="F62" s="19" t="s">
        <v>38</v>
      </c>
      <c r="G62" s="31">
        <v>1.0</v>
      </c>
      <c r="H62" s="19" t="s">
        <v>107</v>
      </c>
      <c r="I62" s="18"/>
      <c r="J62" s="23">
        <v>20.0</v>
      </c>
      <c r="K62" s="23">
        <v>19.2</v>
      </c>
      <c r="L62" s="20">
        <f t="shared" si="1"/>
        <v>355.2</v>
      </c>
      <c r="M62" s="20">
        <f t="shared" si="2"/>
        <v>311.5789474</v>
      </c>
      <c r="N62" s="20"/>
      <c r="O62" s="20">
        <f t="shared" si="3"/>
        <v>355.2</v>
      </c>
      <c r="P62" s="20"/>
      <c r="Q62" s="66"/>
      <c r="R62" s="20"/>
      <c r="S62" s="20"/>
      <c r="T62" s="20"/>
    </row>
    <row r="63">
      <c r="A63" s="15" t="s">
        <v>534</v>
      </c>
      <c r="B63" s="17" t="s">
        <v>535</v>
      </c>
      <c r="C63" s="15" t="s">
        <v>536</v>
      </c>
      <c r="D63" s="19" t="s">
        <v>59</v>
      </c>
      <c r="E63" s="19" t="s">
        <v>52</v>
      </c>
      <c r="F63" s="19" t="s">
        <v>147</v>
      </c>
      <c r="G63" s="31">
        <v>1.0</v>
      </c>
      <c r="H63" s="19" t="s">
        <v>107</v>
      </c>
      <c r="I63" s="18"/>
      <c r="J63" s="23">
        <v>40.0</v>
      </c>
      <c r="K63" s="23">
        <v>38.4</v>
      </c>
      <c r="L63" s="20">
        <f t="shared" si="1"/>
        <v>710.4</v>
      </c>
      <c r="M63" s="20">
        <f t="shared" si="2"/>
        <v>623.1578947</v>
      </c>
      <c r="N63" s="20"/>
      <c r="O63" s="20">
        <f t="shared" si="3"/>
        <v>710.4</v>
      </c>
      <c r="P63" s="20"/>
      <c r="Q63" s="66"/>
      <c r="R63" s="20"/>
      <c r="S63" s="20"/>
      <c r="T63" s="20"/>
    </row>
    <row r="64">
      <c r="A64" s="15" t="s">
        <v>144</v>
      </c>
      <c r="B64" s="17" t="s">
        <v>145</v>
      </c>
      <c r="C64" s="15" t="s">
        <v>203</v>
      </c>
      <c r="D64" s="19" t="s">
        <v>59</v>
      </c>
      <c r="E64" s="19" t="s">
        <v>52</v>
      </c>
      <c r="F64" s="19" t="s">
        <v>147</v>
      </c>
      <c r="G64" s="31">
        <v>1.0</v>
      </c>
      <c r="H64" s="19" t="s">
        <v>107</v>
      </c>
      <c r="I64" s="18"/>
      <c r="J64" s="23">
        <v>211.0</v>
      </c>
      <c r="K64" s="23">
        <v>202.56</v>
      </c>
      <c r="L64" s="20">
        <f t="shared" si="1"/>
        <v>3747.36</v>
      </c>
      <c r="M64" s="20">
        <f t="shared" si="2"/>
        <v>3287.157895</v>
      </c>
      <c r="N64" s="20"/>
      <c r="O64" s="20">
        <f t="shared" si="3"/>
        <v>3747.36</v>
      </c>
      <c r="P64" s="20"/>
      <c r="Q64" s="66"/>
      <c r="R64" s="20"/>
      <c r="S64" s="20"/>
      <c r="T64" s="20"/>
    </row>
    <row r="65">
      <c r="A65" s="15" t="s">
        <v>144</v>
      </c>
      <c r="B65" s="17" t="s">
        <v>145</v>
      </c>
      <c r="C65" s="15" t="s">
        <v>231</v>
      </c>
      <c r="D65" s="19" t="s">
        <v>59</v>
      </c>
      <c r="E65" s="19" t="s">
        <v>52</v>
      </c>
      <c r="F65" s="19" t="s">
        <v>147</v>
      </c>
      <c r="G65" s="31">
        <v>1.0</v>
      </c>
      <c r="H65" s="19" t="s">
        <v>107</v>
      </c>
      <c r="I65" s="18"/>
      <c r="J65" s="23">
        <v>115.0</v>
      </c>
      <c r="K65" s="23">
        <v>110.39999999999999</v>
      </c>
      <c r="L65" s="20">
        <f t="shared" si="1"/>
        <v>2042.4</v>
      </c>
      <c r="M65" s="20">
        <f t="shared" si="2"/>
        <v>1791.578947</v>
      </c>
      <c r="N65" s="20"/>
      <c r="O65" s="20">
        <f t="shared" si="3"/>
        <v>2042.4</v>
      </c>
      <c r="P65" s="20"/>
      <c r="Q65" s="66"/>
      <c r="R65" s="20"/>
      <c r="S65" s="20"/>
      <c r="T65" s="20"/>
    </row>
    <row r="66">
      <c r="A66" s="15" t="s">
        <v>144</v>
      </c>
      <c r="B66" s="17" t="s">
        <v>145</v>
      </c>
      <c r="C66" s="15" t="s">
        <v>351</v>
      </c>
      <c r="D66" s="19" t="s">
        <v>59</v>
      </c>
      <c r="E66" s="19" t="s">
        <v>52</v>
      </c>
      <c r="F66" s="19" t="s">
        <v>147</v>
      </c>
      <c r="G66" s="31">
        <v>1.0</v>
      </c>
      <c r="H66" s="19" t="s">
        <v>107</v>
      </c>
      <c r="I66" s="18"/>
      <c r="J66" s="23">
        <v>92.0</v>
      </c>
      <c r="K66" s="23">
        <v>88.32</v>
      </c>
      <c r="L66" s="20">
        <f t="shared" si="1"/>
        <v>1633.92</v>
      </c>
      <c r="M66" s="20">
        <f t="shared" si="2"/>
        <v>1433.263158</v>
      </c>
      <c r="N66" s="20"/>
      <c r="O66" s="20">
        <f t="shared" si="3"/>
        <v>1633.92</v>
      </c>
      <c r="P66" s="20"/>
      <c r="Q66" s="66"/>
      <c r="R66" s="20"/>
      <c r="S66" s="20"/>
      <c r="T66" s="20"/>
    </row>
    <row r="67">
      <c r="A67" s="15" t="s">
        <v>144</v>
      </c>
      <c r="B67" s="17" t="s">
        <v>145</v>
      </c>
      <c r="C67" s="15" t="s">
        <v>146</v>
      </c>
      <c r="D67" s="19" t="s">
        <v>59</v>
      </c>
      <c r="E67" s="19" t="s">
        <v>52</v>
      </c>
      <c r="F67" s="19" t="s">
        <v>147</v>
      </c>
      <c r="G67" s="31">
        <v>1.0</v>
      </c>
      <c r="H67" s="19" t="s">
        <v>107</v>
      </c>
      <c r="I67" s="18"/>
      <c r="J67" s="23">
        <v>369.0</v>
      </c>
      <c r="K67" s="23">
        <v>354.24</v>
      </c>
      <c r="L67" s="20">
        <f t="shared" si="1"/>
        <v>6553.44</v>
      </c>
      <c r="M67" s="20">
        <f t="shared" si="2"/>
        <v>5748.631579</v>
      </c>
      <c r="N67" s="20"/>
      <c r="O67" s="20">
        <f t="shared" si="3"/>
        <v>6553.44</v>
      </c>
      <c r="P67" s="20"/>
      <c r="Q67" s="66"/>
      <c r="R67" s="20"/>
      <c r="S67" s="20"/>
      <c r="T67" s="20"/>
    </row>
    <row r="68">
      <c r="A68" s="15" t="s">
        <v>144</v>
      </c>
      <c r="B68" s="17" t="s">
        <v>145</v>
      </c>
      <c r="C68" s="15" t="s">
        <v>234</v>
      </c>
      <c r="D68" s="19" t="s">
        <v>59</v>
      </c>
      <c r="E68" s="19" t="s">
        <v>6043</v>
      </c>
      <c r="F68" s="19" t="s">
        <v>147</v>
      </c>
      <c r="G68" s="31">
        <v>1.0</v>
      </c>
      <c r="H68" s="19" t="s">
        <v>107</v>
      </c>
      <c r="I68" s="18"/>
      <c r="J68" s="23">
        <v>115.0</v>
      </c>
      <c r="K68" s="23">
        <v>110.39999999999999</v>
      </c>
      <c r="L68" s="20">
        <f t="shared" si="1"/>
        <v>2042.4</v>
      </c>
      <c r="M68" s="20">
        <f t="shared" si="2"/>
        <v>1791.578947</v>
      </c>
      <c r="N68" s="20"/>
      <c r="O68" s="20">
        <f t="shared" si="3"/>
        <v>2042.4</v>
      </c>
      <c r="P68" s="20"/>
      <c r="Q68" s="66"/>
      <c r="R68" s="20"/>
      <c r="S68" s="20"/>
      <c r="T68" s="20"/>
    </row>
    <row r="69">
      <c r="A69" s="15" t="s">
        <v>653</v>
      </c>
      <c r="B69" s="17" t="s">
        <v>654</v>
      </c>
      <c r="C69" s="15" t="s">
        <v>656</v>
      </c>
      <c r="D69" s="19" t="s">
        <v>59</v>
      </c>
      <c r="E69" s="33"/>
      <c r="F69" s="19" t="s">
        <v>292</v>
      </c>
      <c r="G69" s="31">
        <v>1.0</v>
      </c>
      <c r="H69" s="19" t="s">
        <v>107</v>
      </c>
      <c r="I69" s="18"/>
      <c r="J69" s="23">
        <v>208.0</v>
      </c>
      <c r="K69" s="23">
        <v>199.68</v>
      </c>
      <c r="L69" s="20">
        <f t="shared" si="1"/>
        <v>3694.08</v>
      </c>
      <c r="M69" s="20">
        <f t="shared" si="2"/>
        <v>3240.421053</v>
      </c>
      <c r="N69" s="20"/>
      <c r="O69" s="20">
        <f t="shared" si="3"/>
        <v>3694.08</v>
      </c>
      <c r="P69" s="20"/>
      <c r="Q69" s="66"/>
      <c r="R69" s="20"/>
      <c r="S69" s="20"/>
      <c r="T69" s="20"/>
    </row>
    <row r="70">
      <c r="A70" s="15" t="s">
        <v>687</v>
      </c>
      <c r="B70" s="17" t="s">
        <v>688</v>
      </c>
      <c r="C70" s="15" t="s">
        <v>690</v>
      </c>
      <c r="D70" s="19" t="s">
        <v>59</v>
      </c>
      <c r="E70" s="19" t="s">
        <v>691</v>
      </c>
      <c r="F70" s="19" t="s">
        <v>38</v>
      </c>
      <c r="G70" s="31">
        <v>1.0</v>
      </c>
      <c r="H70" s="19" t="s">
        <v>107</v>
      </c>
      <c r="I70" s="18"/>
      <c r="J70" s="23">
        <v>579.0</v>
      </c>
      <c r="K70" s="23">
        <v>555.84</v>
      </c>
      <c r="L70" s="20">
        <f t="shared" si="1"/>
        <v>10283.04</v>
      </c>
      <c r="M70" s="20">
        <f t="shared" si="2"/>
        <v>9020.210526</v>
      </c>
      <c r="N70" s="20"/>
      <c r="O70" s="20">
        <f t="shared" si="3"/>
        <v>10283.04</v>
      </c>
      <c r="P70" s="20"/>
      <c r="Q70" s="66"/>
      <c r="R70" s="20"/>
      <c r="S70" s="20"/>
      <c r="T70" s="20"/>
    </row>
    <row r="71">
      <c r="A71" s="15" t="s">
        <v>340</v>
      </c>
      <c r="B71" s="17" t="s">
        <v>341</v>
      </c>
      <c r="C71" s="15" t="s">
        <v>342</v>
      </c>
      <c r="D71" s="19" t="s">
        <v>59</v>
      </c>
      <c r="E71" s="33"/>
      <c r="F71" s="19" t="s">
        <v>135</v>
      </c>
      <c r="G71" s="31">
        <v>1.0</v>
      </c>
      <c r="H71" s="19" t="s">
        <v>107</v>
      </c>
      <c r="I71" s="18"/>
      <c r="J71" s="23">
        <v>70.0</v>
      </c>
      <c r="K71" s="23">
        <v>67.2</v>
      </c>
      <c r="L71" s="20">
        <f t="shared" si="1"/>
        <v>1243.2</v>
      </c>
      <c r="M71" s="20">
        <f t="shared" si="2"/>
        <v>1090.526316</v>
      </c>
      <c r="N71" s="20"/>
      <c r="O71" s="20">
        <f t="shared" si="3"/>
        <v>1243.2</v>
      </c>
      <c r="P71" s="20"/>
      <c r="Q71" s="66"/>
      <c r="R71" s="20"/>
      <c r="S71" s="20"/>
      <c r="T71" s="20"/>
    </row>
    <row r="72">
      <c r="A72" s="15" t="s">
        <v>618</v>
      </c>
      <c r="B72" s="17" t="s">
        <v>619</v>
      </c>
      <c r="C72" s="15" t="s">
        <v>620</v>
      </c>
      <c r="D72" s="19" t="s">
        <v>59</v>
      </c>
      <c r="E72" s="19" t="s">
        <v>60</v>
      </c>
      <c r="F72" s="19" t="s">
        <v>38</v>
      </c>
      <c r="G72" s="31">
        <v>1.0</v>
      </c>
      <c r="H72" s="19" t="s">
        <v>107</v>
      </c>
      <c r="I72" s="18"/>
      <c r="J72" s="23">
        <v>476.0</v>
      </c>
      <c r="K72" s="23">
        <v>456.96</v>
      </c>
      <c r="L72" s="20">
        <f t="shared" si="1"/>
        <v>8453.76</v>
      </c>
      <c r="M72" s="20">
        <f t="shared" si="2"/>
        <v>7415.578947</v>
      </c>
      <c r="N72" s="20"/>
      <c r="O72" s="20">
        <f t="shared" si="3"/>
        <v>8453.76</v>
      </c>
      <c r="P72" s="20"/>
      <c r="Q72" s="66"/>
      <c r="R72" s="20"/>
      <c r="S72" s="20"/>
      <c r="T72" s="20"/>
    </row>
    <row r="73">
      <c r="A73" s="15" t="s">
        <v>168</v>
      </c>
      <c r="B73" s="17" t="s">
        <v>169</v>
      </c>
      <c r="C73" s="15" t="s">
        <v>170</v>
      </c>
      <c r="D73" s="19" t="s">
        <v>59</v>
      </c>
      <c r="E73" s="19" t="s">
        <v>60</v>
      </c>
      <c r="F73" s="19" t="s">
        <v>115</v>
      </c>
      <c r="G73" s="31">
        <v>1.0</v>
      </c>
      <c r="H73" s="19" t="s">
        <v>107</v>
      </c>
      <c r="I73" s="18"/>
      <c r="J73" s="23">
        <v>296.0</v>
      </c>
      <c r="K73" s="23">
        <v>284.15999999999997</v>
      </c>
      <c r="L73" s="20">
        <f t="shared" si="1"/>
        <v>5256.96</v>
      </c>
      <c r="M73" s="20">
        <f t="shared" si="2"/>
        <v>4611.368421</v>
      </c>
      <c r="N73" s="20"/>
      <c r="O73" s="20">
        <f t="shared" si="3"/>
        <v>5256.96</v>
      </c>
      <c r="P73" s="20"/>
      <c r="Q73" s="66"/>
      <c r="R73" s="20"/>
      <c r="S73" s="20"/>
      <c r="T73" s="20"/>
    </row>
    <row r="74">
      <c r="A74" s="15" t="s">
        <v>523</v>
      </c>
      <c r="B74" s="17" t="s">
        <v>524</v>
      </c>
      <c r="C74" s="15" t="s">
        <v>526</v>
      </c>
      <c r="D74" s="19" t="s">
        <v>59</v>
      </c>
      <c r="E74" s="19" t="s">
        <v>496</v>
      </c>
      <c r="F74" s="19" t="s">
        <v>292</v>
      </c>
      <c r="G74" s="31">
        <v>1.0</v>
      </c>
      <c r="H74" s="19" t="s">
        <v>107</v>
      </c>
      <c r="I74" s="18"/>
      <c r="J74" s="23">
        <v>53.0</v>
      </c>
      <c r="K74" s="23">
        <v>50.879999999999995</v>
      </c>
      <c r="L74" s="20">
        <f t="shared" si="1"/>
        <v>941.28</v>
      </c>
      <c r="M74" s="20">
        <f t="shared" si="2"/>
        <v>825.6842105</v>
      </c>
      <c r="N74" s="20"/>
      <c r="O74" s="20">
        <f t="shared" si="3"/>
        <v>941.28</v>
      </c>
      <c r="P74" s="20"/>
      <c r="Q74" s="66"/>
      <c r="R74" s="20"/>
      <c r="S74" s="20"/>
      <c r="T74" s="20"/>
    </row>
    <row r="75">
      <c r="A75" s="15" t="s">
        <v>529</v>
      </c>
      <c r="B75" s="17" t="s">
        <v>530</v>
      </c>
      <c r="C75" s="15" t="s">
        <v>531</v>
      </c>
      <c r="D75" s="19" t="s">
        <v>59</v>
      </c>
      <c r="E75" s="19" t="s">
        <v>496</v>
      </c>
      <c r="F75" s="19" t="s">
        <v>292</v>
      </c>
      <c r="G75" s="31">
        <v>1.0</v>
      </c>
      <c r="H75" s="19" t="s">
        <v>107</v>
      </c>
      <c r="I75" s="18"/>
      <c r="J75" s="23">
        <v>53.0</v>
      </c>
      <c r="K75" s="23">
        <v>50.879999999999995</v>
      </c>
      <c r="L75" s="20">
        <f t="shared" si="1"/>
        <v>941.28</v>
      </c>
      <c r="M75" s="20">
        <f t="shared" si="2"/>
        <v>825.6842105</v>
      </c>
      <c r="N75" s="20"/>
      <c r="O75" s="20">
        <f t="shared" si="3"/>
        <v>941.28</v>
      </c>
      <c r="P75" s="20"/>
      <c r="Q75" s="66"/>
      <c r="R75" s="20"/>
      <c r="S75" s="20"/>
      <c r="T75" s="20"/>
    </row>
    <row r="76">
      <c r="A76" s="15" t="s">
        <v>1044</v>
      </c>
      <c r="B76" s="17" t="s">
        <v>1045</v>
      </c>
      <c r="C76" s="15" t="s">
        <v>1046</v>
      </c>
      <c r="D76" s="19" t="s">
        <v>59</v>
      </c>
      <c r="E76" s="19" t="s">
        <v>60</v>
      </c>
      <c r="F76" s="19" t="s">
        <v>38</v>
      </c>
      <c r="G76" s="31">
        <v>1.0</v>
      </c>
      <c r="H76" s="19" t="s">
        <v>107</v>
      </c>
      <c r="I76" s="18"/>
      <c r="J76" s="23">
        <v>65.0</v>
      </c>
      <c r="K76" s="23">
        <v>62.4</v>
      </c>
      <c r="L76" s="20">
        <f t="shared" si="1"/>
        <v>1154.4</v>
      </c>
      <c r="M76" s="20">
        <f t="shared" si="2"/>
        <v>1012.631579</v>
      </c>
      <c r="N76" s="20"/>
      <c r="O76" s="20">
        <f t="shared" si="3"/>
        <v>1154.4</v>
      </c>
      <c r="P76" s="20"/>
      <c r="Q76" s="66"/>
      <c r="R76" s="20"/>
      <c r="S76" s="20"/>
      <c r="T76" s="20"/>
    </row>
    <row r="77">
      <c r="A77" s="15" t="s">
        <v>804</v>
      </c>
      <c r="B77" s="17" t="s">
        <v>805</v>
      </c>
      <c r="C77" s="15" t="s">
        <v>806</v>
      </c>
      <c r="D77" s="19" t="s">
        <v>59</v>
      </c>
      <c r="E77" s="33"/>
      <c r="F77" s="19" t="s">
        <v>38</v>
      </c>
      <c r="G77" s="31">
        <v>1.0</v>
      </c>
      <c r="H77" s="19" t="s">
        <v>107</v>
      </c>
      <c r="I77" s="18"/>
      <c r="J77" s="23">
        <v>88.0</v>
      </c>
      <c r="K77" s="23">
        <v>84.47999999999999</v>
      </c>
      <c r="L77" s="20">
        <f t="shared" si="1"/>
        <v>1562.88</v>
      </c>
      <c r="M77" s="20">
        <f t="shared" si="2"/>
        <v>1370.947368</v>
      </c>
      <c r="N77" s="20"/>
      <c r="O77" s="20">
        <f t="shared" si="3"/>
        <v>1562.88</v>
      </c>
      <c r="P77" s="20"/>
      <c r="Q77" s="66"/>
      <c r="R77" s="20"/>
      <c r="S77" s="20"/>
      <c r="T77" s="20"/>
    </row>
    <row r="78">
      <c r="A78" s="15" t="s">
        <v>993</v>
      </c>
      <c r="B78" s="17" t="s">
        <v>994</v>
      </c>
      <c r="C78" s="15" t="s">
        <v>995</v>
      </c>
      <c r="D78" s="19" t="s">
        <v>59</v>
      </c>
      <c r="E78" s="33"/>
      <c r="F78" s="19" t="s">
        <v>38</v>
      </c>
      <c r="G78" s="31">
        <v>1.0</v>
      </c>
      <c r="H78" s="19" t="s">
        <v>107</v>
      </c>
      <c r="I78" s="18"/>
      <c r="J78" s="23">
        <v>50.0</v>
      </c>
      <c r="K78" s="23">
        <v>48.0</v>
      </c>
      <c r="L78" s="20">
        <f t="shared" si="1"/>
        <v>888</v>
      </c>
      <c r="M78" s="20">
        <f t="shared" si="2"/>
        <v>778.9473684</v>
      </c>
      <c r="N78" s="20"/>
      <c r="O78" s="20">
        <f t="shared" si="3"/>
        <v>888</v>
      </c>
      <c r="P78" s="20"/>
      <c r="Q78" s="66"/>
      <c r="R78" s="20"/>
      <c r="S78" s="20"/>
      <c r="T78" s="20"/>
    </row>
    <row r="79">
      <c r="A79" s="15" t="s">
        <v>300</v>
      </c>
      <c r="B79" s="17" t="s">
        <v>301</v>
      </c>
      <c r="C79" s="15" t="s">
        <v>302</v>
      </c>
      <c r="D79" s="19" t="s">
        <v>59</v>
      </c>
      <c r="E79" s="19" t="s">
        <v>60</v>
      </c>
      <c r="F79" s="19" t="s">
        <v>177</v>
      </c>
      <c r="G79" s="31">
        <v>1.0</v>
      </c>
      <c r="H79" s="19" t="s">
        <v>107</v>
      </c>
      <c r="I79" s="18"/>
      <c r="J79" s="75">
        <v>335.0</v>
      </c>
      <c r="K79" s="75">
        <v>321.6</v>
      </c>
      <c r="L79" s="76">
        <f t="shared" si="1"/>
        <v>5949.6</v>
      </c>
      <c r="M79" s="76">
        <f t="shared" si="2"/>
        <v>5218.947368</v>
      </c>
      <c r="N79" s="77">
        <v>5218.95</v>
      </c>
      <c r="O79" s="20">
        <f t="shared" si="3"/>
        <v>5949.6</v>
      </c>
      <c r="P79" s="20"/>
      <c r="Q79" s="66"/>
      <c r="R79" s="20"/>
      <c r="S79" s="20"/>
      <c r="T79" s="20"/>
    </row>
    <row r="80">
      <c r="A80" s="15" t="s">
        <v>944</v>
      </c>
      <c r="B80" s="17" t="s">
        <v>945</v>
      </c>
      <c r="C80" s="15" t="s">
        <v>946</v>
      </c>
      <c r="D80" s="19" t="s">
        <v>59</v>
      </c>
      <c r="E80" s="19" t="s">
        <v>60</v>
      </c>
      <c r="F80" s="19" t="s">
        <v>177</v>
      </c>
      <c r="G80" s="31">
        <v>1.0</v>
      </c>
      <c r="H80" s="19" t="s">
        <v>107</v>
      </c>
      <c r="I80" s="18"/>
      <c r="J80" s="23">
        <v>524.0</v>
      </c>
      <c r="K80" s="23">
        <v>503.03999999999996</v>
      </c>
      <c r="L80" s="20">
        <f t="shared" si="1"/>
        <v>9306.24</v>
      </c>
      <c r="M80" s="20">
        <f t="shared" si="2"/>
        <v>8163.368421</v>
      </c>
      <c r="N80" s="20"/>
      <c r="O80" s="20">
        <f t="shared" si="3"/>
        <v>9306.24</v>
      </c>
      <c r="P80" s="20"/>
      <c r="Q80" s="66"/>
      <c r="R80" s="20"/>
      <c r="S80" s="20"/>
      <c r="T80" s="20"/>
    </row>
    <row r="81">
      <c r="A81" s="15" t="s">
        <v>6084</v>
      </c>
      <c r="B81" s="17" t="s">
        <v>5993</v>
      </c>
      <c r="C81" s="15" t="s">
        <v>899</v>
      </c>
      <c r="D81" s="19" t="s">
        <v>59</v>
      </c>
      <c r="E81" s="19" t="s">
        <v>60</v>
      </c>
      <c r="F81" s="19" t="s">
        <v>135</v>
      </c>
      <c r="G81" s="31">
        <v>2.0</v>
      </c>
      <c r="H81" s="19" t="s">
        <v>107</v>
      </c>
      <c r="I81" s="18"/>
      <c r="J81" s="23">
        <v>80.0</v>
      </c>
      <c r="K81" s="23">
        <v>76.8</v>
      </c>
      <c r="L81" s="20">
        <f t="shared" si="1"/>
        <v>1420.8</v>
      </c>
      <c r="M81" s="20">
        <f t="shared" si="2"/>
        <v>1246.315789</v>
      </c>
      <c r="N81" s="20"/>
      <c r="O81" s="20">
        <f t="shared" si="3"/>
        <v>2841.6</v>
      </c>
      <c r="P81" s="20"/>
      <c r="Q81" s="66"/>
      <c r="R81" s="20"/>
      <c r="S81" s="20"/>
      <c r="T81" s="20"/>
    </row>
    <row r="82">
      <c r="A82" s="15" t="s">
        <v>720</v>
      </c>
      <c r="B82" s="17" t="s">
        <v>721</v>
      </c>
      <c r="C82" s="15" t="s">
        <v>723</v>
      </c>
      <c r="D82" s="19" t="s">
        <v>59</v>
      </c>
      <c r="E82" s="19" t="s">
        <v>60</v>
      </c>
      <c r="F82" s="19" t="s">
        <v>52</v>
      </c>
      <c r="G82" s="31">
        <v>2.0</v>
      </c>
      <c r="H82" s="19" t="s">
        <v>107</v>
      </c>
      <c r="I82" s="18"/>
      <c r="J82" s="23">
        <v>146.0</v>
      </c>
      <c r="K82" s="23">
        <v>140.16</v>
      </c>
      <c r="L82" s="20">
        <f t="shared" si="1"/>
        <v>2592.96</v>
      </c>
      <c r="M82" s="20">
        <f t="shared" si="2"/>
        <v>2274.526316</v>
      </c>
      <c r="N82" s="20"/>
      <c r="O82" s="20">
        <f t="shared" si="3"/>
        <v>5185.92</v>
      </c>
      <c r="P82" s="20"/>
      <c r="Q82" s="66"/>
      <c r="R82" s="20"/>
      <c r="S82" s="20"/>
      <c r="T82" s="20"/>
    </row>
    <row r="83">
      <c r="A83" s="15" t="s">
        <v>760</v>
      </c>
      <c r="B83" s="17" t="s">
        <v>761</v>
      </c>
      <c r="C83" s="15" t="s">
        <v>762</v>
      </c>
      <c r="D83" s="19" t="s">
        <v>59</v>
      </c>
      <c r="E83" s="19" t="s">
        <v>60</v>
      </c>
      <c r="F83" s="19" t="s">
        <v>38</v>
      </c>
      <c r="G83" s="31">
        <v>2.0</v>
      </c>
      <c r="H83" s="19" t="s">
        <v>107</v>
      </c>
      <c r="I83" s="18"/>
      <c r="J83" s="23">
        <v>66.0</v>
      </c>
      <c r="K83" s="23">
        <v>63.36</v>
      </c>
      <c r="L83" s="20">
        <f t="shared" si="1"/>
        <v>1172.16</v>
      </c>
      <c r="M83" s="20">
        <f t="shared" si="2"/>
        <v>1028.210526</v>
      </c>
      <c r="N83" s="20"/>
      <c r="O83" s="20">
        <f t="shared" si="3"/>
        <v>2344.32</v>
      </c>
      <c r="P83" s="20"/>
      <c r="Q83" s="66"/>
      <c r="R83" s="20"/>
      <c r="S83" s="20"/>
      <c r="T83" s="20"/>
    </row>
    <row r="84">
      <c r="A84" s="15" t="s">
        <v>1138</v>
      </c>
      <c r="B84" s="17" t="s">
        <v>1139</v>
      </c>
      <c r="C84" s="15" t="s">
        <v>1140</v>
      </c>
      <c r="D84" s="19" t="s">
        <v>59</v>
      </c>
      <c r="E84" s="19" t="s">
        <v>52</v>
      </c>
      <c r="F84" s="19" t="s">
        <v>52</v>
      </c>
      <c r="G84" s="31">
        <v>2.0</v>
      </c>
      <c r="H84" s="19" t="s">
        <v>107</v>
      </c>
      <c r="I84" s="18"/>
      <c r="J84" s="23">
        <v>10.0</v>
      </c>
      <c r="K84" s="23">
        <v>9.6</v>
      </c>
      <c r="L84" s="20">
        <f t="shared" si="1"/>
        <v>177.6</v>
      </c>
      <c r="M84" s="20">
        <f t="shared" si="2"/>
        <v>155.7894737</v>
      </c>
      <c r="N84" s="20"/>
      <c r="O84" s="20">
        <f t="shared" si="3"/>
        <v>355.2</v>
      </c>
      <c r="P84" s="20"/>
      <c r="Q84" s="66"/>
      <c r="R84" s="20"/>
      <c r="S84" s="20"/>
      <c r="T84" s="20"/>
    </row>
    <row r="85">
      <c r="A85" s="15" t="s">
        <v>982</v>
      </c>
      <c r="B85" s="17" t="s">
        <v>983</v>
      </c>
      <c r="C85" s="15" t="s">
        <v>985</v>
      </c>
      <c r="D85" s="19" t="s">
        <v>59</v>
      </c>
      <c r="E85" s="19" t="s">
        <v>114</v>
      </c>
      <c r="F85" s="19" t="s">
        <v>115</v>
      </c>
      <c r="G85" s="31">
        <v>2.0</v>
      </c>
      <c r="H85" s="19" t="s">
        <v>107</v>
      </c>
      <c r="I85" s="18"/>
      <c r="J85" s="23">
        <v>258.0</v>
      </c>
      <c r="K85" s="23">
        <v>247.67999999999998</v>
      </c>
      <c r="L85" s="20">
        <f t="shared" si="1"/>
        <v>4582.08</v>
      </c>
      <c r="M85" s="20">
        <f t="shared" si="2"/>
        <v>4019.368421</v>
      </c>
      <c r="N85" s="20"/>
      <c r="O85" s="20">
        <f t="shared" si="3"/>
        <v>9164.16</v>
      </c>
      <c r="P85" s="20"/>
      <c r="Q85" s="66"/>
      <c r="R85" s="20"/>
      <c r="S85" s="20"/>
      <c r="T85" s="20"/>
    </row>
    <row r="86">
      <c r="A86" s="15" t="s">
        <v>1021</v>
      </c>
      <c r="B86" s="17" t="s">
        <v>1022</v>
      </c>
      <c r="C86" s="15" t="s">
        <v>1023</v>
      </c>
      <c r="D86" s="19" t="s">
        <v>59</v>
      </c>
      <c r="E86" s="19" t="s">
        <v>114</v>
      </c>
      <c r="F86" s="19" t="s">
        <v>115</v>
      </c>
      <c r="G86" s="31">
        <v>2.0</v>
      </c>
      <c r="H86" s="19" t="s">
        <v>107</v>
      </c>
      <c r="I86" s="18"/>
      <c r="J86" s="23">
        <v>191.0</v>
      </c>
      <c r="K86" s="23">
        <v>183.35999999999999</v>
      </c>
      <c r="L86" s="20">
        <f t="shared" si="1"/>
        <v>3392.16</v>
      </c>
      <c r="M86" s="20">
        <f t="shared" si="2"/>
        <v>2975.578947</v>
      </c>
      <c r="N86" s="20"/>
      <c r="O86" s="20">
        <f t="shared" si="3"/>
        <v>6784.32</v>
      </c>
      <c r="P86" s="20"/>
      <c r="Q86" s="66"/>
      <c r="R86" s="20"/>
      <c r="S86" s="20"/>
      <c r="T86" s="20"/>
    </row>
    <row r="87">
      <c r="A87" s="15" t="s">
        <v>1059</v>
      </c>
      <c r="B87" s="17" t="s">
        <v>1060</v>
      </c>
      <c r="C87" s="15" t="s">
        <v>1062</v>
      </c>
      <c r="D87" s="19" t="s">
        <v>59</v>
      </c>
      <c r="E87" s="19" t="s">
        <v>114</v>
      </c>
      <c r="F87" s="19" t="s">
        <v>115</v>
      </c>
      <c r="G87" s="31">
        <v>2.0</v>
      </c>
      <c r="H87" s="19" t="s">
        <v>107</v>
      </c>
      <c r="I87" s="18"/>
      <c r="J87" s="23">
        <v>164.0</v>
      </c>
      <c r="K87" s="23">
        <v>157.44</v>
      </c>
      <c r="L87" s="20">
        <f t="shared" si="1"/>
        <v>2912.64</v>
      </c>
      <c r="M87" s="20">
        <f t="shared" si="2"/>
        <v>2554.947368</v>
      </c>
      <c r="N87" s="20"/>
      <c r="O87" s="20">
        <f t="shared" si="3"/>
        <v>5825.28</v>
      </c>
      <c r="P87" s="20"/>
      <c r="Q87" s="66"/>
      <c r="R87" s="20"/>
      <c r="S87" s="20"/>
      <c r="T87" s="20"/>
    </row>
    <row r="88">
      <c r="A88" s="15" t="s">
        <v>908</v>
      </c>
      <c r="B88" s="17" t="s">
        <v>909</v>
      </c>
      <c r="C88" s="15" t="s">
        <v>911</v>
      </c>
      <c r="D88" s="19" t="s">
        <v>59</v>
      </c>
      <c r="E88" s="19" t="s">
        <v>114</v>
      </c>
      <c r="F88" s="19" t="s">
        <v>115</v>
      </c>
      <c r="G88" s="31">
        <v>2.0</v>
      </c>
      <c r="H88" s="19" t="s">
        <v>107</v>
      </c>
      <c r="I88" s="18"/>
      <c r="J88" s="23">
        <v>220.0</v>
      </c>
      <c r="K88" s="23">
        <v>211.2</v>
      </c>
      <c r="L88" s="20">
        <f t="shared" si="1"/>
        <v>3907.2</v>
      </c>
      <c r="M88" s="20">
        <f t="shared" si="2"/>
        <v>3427.368421</v>
      </c>
      <c r="N88" s="20"/>
      <c r="O88" s="20">
        <f t="shared" si="3"/>
        <v>7814.4</v>
      </c>
      <c r="P88" s="20"/>
      <c r="Q88" s="66"/>
      <c r="R88" s="20"/>
      <c r="S88" s="20"/>
      <c r="T88" s="20"/>
    </row>
    <row r="89">
      <c r="A89" s="15" t="s">
        <v>1037</v>
      </c>
      <c r="B89" s="17" t="s">
        <v>1038</v>
      </c>
      <c r="C89" s="15" t="s">
        <v>1040</v>
      </c>
      <c r="D89" s="19" t="s">
        <v>59</v>
      </c>
      <c r="E89" s="19" t="s">
        <v>114</v>
      </c>
      <c r="F89" s="19" t="s">
        <v>115</v>
      </c>
      <c r="G89" s="31">
        <v>2.0</v>
      </c>
      <c r="H89" s="19" t="s">
        <v>107</v>
      </c>
      <c r="I89" s="18"/>
      <c r="J89" s="23">
        <v>195.0</v>
      </c>
      <c r="K89" s="23">
        <v>187.2</v>
      </c>
      <c r="L89" s="20">
        <f t="shared" si="1"/>
        <v>3463.2</v>
      </c>
      <c r="M89" s="20">
        <f t="shared" si="2"/>
        <v>3037.894737</v>
      </c>
      <c r="N89" s="20"/>
      <c r="O89" s="20">
        <f t="shared" si="3"/>
        <v>6926.4</v>
      </c>
      <c r="P89" s="20"/>
      <c r="Q89" s="66"/>
      <c r="R89" s="20"/>
      <c r="S89" s="20"/>
      <c r="T89" s="20"/>
    </row>
    <row r="90">
      <c r="A90" s="15" t="s">
        <v>499</v>
      </c>
      <c r="B90" s="17" t="s">
        <v>500</v>
      </c>
      <c r="C90" s="15" t="s">
        <v>502</v>
      </c>
      <c r="D90" s="19" t="s">
        <v>59</v>
      </c>
      <c r="E90" s="33"/>
      <c r="F90" s="19" t="s">
        <v>115</v>
      </c>
      <c r="G90" s="31">
        <v>2.0</v>
      </c>
      <c r="H90" s="19" t="s">
        <v>107</v>
      </c>
      <c r="I90" s="18"/>
      <c r="J90" s="23">
        <v>39.0</v>
      </c>
      <c r="K90" s="23">
        <v>37.44</v>
      </c>
      <c r="L90" s="20">
        <f t="shared" si="1"/>
        <v>692.64</v>
      </c>
      <c r="M90" s="20">
        <f t="shared" si="2"/>
        <v>607.5789474</v>
      </c>
      <c r="N90" s="20"/>
      <c r="O90" s="20">
        <f t="shared" si="3"/>
        <v>1385.28</v>
      </c>
      <c r="P90" s="20"/>
      <c r="Q90" s="66"/>
      <c r="R90" s="20"/>
      <c r="S90" s="20"/>
      <c r="T90" s="20"/>
    </row>
    <row r="91">
      <c r="A91" s="15" t="s">
        <v>305</v>
      </c>
      <c r="B91" s="17" t="s">
        <v>6093</v>
      </c>
      <c r="C91" s="15" t="s">
        <v>307</v>
      </c>
      <c r="D91" s="19" t="s">
        <v>59</v>
      </c>
      <c r="E91" s="19" t="s">
        <v>60</v>
      </c>
      <c r="F91" s="19" t="s">
        <v>52</v>
      </c>
      <c r="G91" s="31">
        <v>2.0</v>
      </c>
      <c r="H91" s="19" t="s">
        <v>107</v>
      </c>
      <c r="I91" s="18"/>
      <c r="J91" s="23">
        <v>57.0</v>
      </c>
      <c r="K91" s="23">
        <v>54.72</v>
      </c>
      <c r="L91" s="20">
        <f t="shared" si="1"/>
        <v>1012.32</v>
      </c>
      <c r="M91" s="20">
        <f t="shared" si="2"/>
        <v>888</v>
      </c>
      <c r="N91" s="20"/>
      <c r="O91" s="20">
        <f t="shared" si="3"/>
        <v>2024.64</v>
      </c>
      <c r="P91" s="20"/>
      <c r="Q91" s="66"/>
      <c r="R91" s="20"/>
      <c r="S91" s="20"/>
      <c r="T91" s="20"/>
    </row>
    <row r="92">
      <c r="A92" s="15" t="s">
        <v>492</v>
      </c>
      <c r="B92" s="17" t="s">
        <v>493</v>
      </c>
      <c r="C92" s="15" t="s">
        <v>495</v>
      </c>
      <c r="D92" s="19" t="s">
        <v>59</v>
      </c>
      <c r="E92" s="19" t="s">
        <v>496</v>
      </c>
      <c r="F92" s="19" t="s">
        <v>292</v>
      </c>
      <c r="G92" s="31">
        <v>2.0</v>
      </c>
      <c r="H92" s="19" t="s">
        <v>107</v>
      </c>
      <c r="I92" s="18"/>
      <c r="J92" s="23">
        <v>145.0</v>
      </c>
      <c r="K92" s="23">
        <v>139.2</v>
      </c>
      <c r="L92" s="20">
        <f t="shared" si="1"/>
        <v>2575.2</v>
      </c>
      <c r="M92" s="20">
        <f t="shared" si="2"/>
        <v>2258.947368</v>
      </c>
      <c r="N92" s="20"/>
      <c r="O92" s="20">
        <f t="shared" si="3"/>
        <v>5150.4</v>
      </c>
      <c r="P92" s="20"/>
      <c r="Q92" s="66"/>
      <c r="R92" s="20"/>
      <c r="S92" s="20"/>
      <c r="T92" s="20"/>
    </row>
    <row r="93">
      <c r="A93" s="15" t="s">
        <v>430</v>
      </c>
      <c r="B93" s="17" t="s">
        <v>431</v>
      </c>
      <c r="C93" s="15" t="s">
        <v>433</v>
      </c>
      <c r="D93" s="19" t="s">
        <v>59</v>
      </c>
      <c r="E93" s="19" t="s">
        <v>60</v>
      </c>
      <c r="F93" s="19" t="s">
        <v>52</v>
      </c>
      <c r="G93" s="31">
        <v>2.0</v>
      </c>
      <c r="H93" s="19" t="s">
        <v>107</v>
      </c>
      <c r="I93" s="18"/>
      <c r="J93" s="23">
        <v>109.0</v>
      </c>
      <c r="K93" s="23">
        <v>104.64</v>
      </c>
      <c r="L93" s="20">
        <f t="shared" si="1"/>
        <v>1935.84</v>
      </c>
      <c r="M93" s="20">
        <f t="shared" si="2"/>
        <v>1698.105263</v>
      </c>
      <c r="N93" s="20"/>
      <c r="O93" s="20">
        <f t="shared" si="3"/>
        <v>3871.68</v>
      </c>
      <c r="P93" s="20"/>
      <c r="Q93" s="66"/>
      <c r="R93" s="20"/>
      <c r="S93" s="20"/>
      <c r="T93" s="20"/>
    </row>
    <row r="94">
      <c r="A94" s="15" t="s">
        <v>250</v>
      </c>
      <c r="B94" s="17" t="s">
        <v>251</v>
      </c>
      <c r="C94" s="15" t="s">
        <v>253</v>
      </c>
      <c r="D94" s="19" t="s">
        <v>59</v>
      </c>
      <c r="E94" s="33"/>
      <c r="F94" s="19" t="s">
        <v>38</v>
      </c>
      <c r="G94" s="31">
        <v>2.0</v>
      </c>
      <c r="H94" s="19" t="s">
        <v>107</v>
      </c>
      <c r="I94" s="18"/>
      <c r="J94" s="23">
        <v>159.0</v>
      </c>
      <c r="K94" s="23">
        <v>152.64</v>
      </c>
      <c r="L94" s="20">
        <f t="shared" si="1"/>
        <v>2823.84</v>
      </c>
      <c r="M94" s="20">
        <f t="shared" si="2"/>
        <v>2477.052632</v>
      </c>
      <c r="N94" s="20"/>
      <c r="O94" s="20">
        <f t="shared" si="3"/>
        <v>5647.68</v>
      </c>
      <c r="P94" s="20"/>
      <c r="Q94" s="66"/>
      <c r="R94" s="20"/>
      <c r="S94" s="20"/>
      <c r="T94" s="20"/>
    </row>
    <row r="95">
      <c r="A95" s="15" t="s">
        <v>150</v>
      </c>
      <c r="B95" s="17" t="s">
        <v>151</v>
      </c>
      <c r="C95" s="15" t="s">
        <v>152</v>
      </c>
      <c r="D95" s="19" t="s">
        <v>59</v>
      </c>
      <c r="E95" s="33"/>
      <c r="F95" s="19" t="s">
        <v>38</v>
      </c>
      <c r="G95" s="31">
        <v>4.0</v>
      </c>
      <c r="H95" s="19" t="s">
        <v>107</v>
      </c>
      <c r="I95" s="18"/>
      <c r="J95" s="23">
        <v>5.0</v>
      </c>
      <c r="K95" s="23">
        <v>4.8</v>
      </c>
      <c r="L95" s="20">
        <f t="shared" si="1"/>
        <v>88.8</v>
      </c>
      <c r="M95" s="20">
        <f t="shared" si="2"/>
        <v>77.89473684</v>
      </c>
      <c r="N95" s="20"/>
      <c r="O95" s="20">
        <f t="shared" si="3"/>
        <v>355.2</v>
      </c>
      <c r="P95" s="20"/>
      <c r="Q95" s="66"/>
      <c r="R95" s="20"/>
      <c r="S95" s="20"/>
      <c r="T95" s="20"/>
    </row>
    <row r="96">
      <c r="A96" s="15" t="s">
        <v>1011</v>
      </c>
      <c r="B96" s="17" t="s">
        <v>1012</v>
      </c>
      <c r="C96" s="15" t="s">
        <v>1013</v>
      </c>
      <c r="D96" s="19" t="s">
        <v>59</v>
      </c>
      <c r="E96" s="19" t="s">
        <v>200</v>
      </c>
      <c r="F96" s="19" t="s">
        <v>135</v>
      </c>
      <c r="G96" s="31">
        <v>5.0</v>
      </c>
      <c r="H96" s="19" t="s">
        <v>107</v>
      </c>
      <c r="I96" s="18"/>
      <c r="J96" s="23">
        <v>7.0</v>
      </c>
      <c r="K96" s="23">
        <v>6.72</v>
      </c>
      <c r="L96" s="20">
        <f t="shared" si="1"/>
        <v>124.32</v>
      </c>
      <c r="M96" s="20">
        <f t="shared" si="2"/>
        <v>109.0526316</v>
      </c>
      <c r="N96" s="20"/>
      <c r="O96" s="20">
        <f t="shared" si="3"/>
        <v>621.6</v>
      </c>
      <c r="P96" s="20"/>
      <c r="Q96" s="66"/>
      <c r="R96" s="20"/>
      <c r="S96" s="20"/>
      <c r="T96" s="20"/>
    </row>
    <row r="97">
      <c r="A97" s="15" t="s">
        <v>788</v>
      </c>
      <c r="B97" s="17" t="s">
        <v>789</v>
      </c>
      <c r="C97" s="15" t="s">
        <v>790</v>
      </c>
      <c r="D97" s="19" t="s">
        <v>59</v>
      </c>
      <c r="E97" s="19" t="s">
        <v>200</v>
      </c>
      <c r="F97" s="19" t="s">
        <v>135</v>
      </c>
      <c r="G97" s="31">
        <v>5.0</v>
      </c>
      <c r="H97" s="19" t="s">
        <v>107</v>
      </c>
      <c r="I97" s="18"/>
      <c r="J97" s="23">
        <v>9.0</v>
      </c>
      <c r="K97" s="23">
        <v>8.64</v>
      </c>
      <c r="L97" s="20">
        <f t="shared" si="1"/>
        <v>159.84</v>
      </c>
      <c r="M97" s="20">
        <f t="shared" si="2"/>
        <v>140.2105263</v>
      </c>
      <c r="N97" s="20"/>
      <c r="O97" s="20">
        <f t="shared" si="3"/>
        <v>799.2</v>
      </c>
      <c r="P97" s="20"/>
      <c r="Q97" s="66"/>
      <c r="R97" s="20"/>
      <c r="S97" s="20"/>
      <c r="T97" s="20"/>
    </row>
    <row r="98">
      <c r="A98" s="15" t="s">
        <v>196</v>
      </c>
      <c r="B98" s="17" t="s">
        <v>197</v>
      </c>
      <c r="C98" s="15" t="s">
        <v>199</v>
      </c>
      <c r="D98" s="19" t="s">
        <v>59</v>
      </c>
      <c r="E98" s="19" t="s">
        <v>200</v>
      </c>
      <c r="F98" s="19" t="s">
        <v>38</v>
      </c>
      <c r="G98" s="31">
        <v>5.0</v>
      </c>
      <c r="H98" s="19" t="s">
        <v>107</v>
      </c>
      <c r="I98" s="18"/>
      <c r="J98" s="23">
        <v>30.0</v>
      </c>
      <c r="K98" s="23">
        <v>28.799999999999997</v>
      </c>
      <c r="L98" s="20">
        <f t="shared" si="1"/>
        <v>532.8</v>
      </c>
      <c r="M98" s="20">
        <f t="shared" si="2"/>
        <v>467.3684211</v>
      </c>
      <c r="N98" s="20"/>
      <c r="O98" s="20">
        <f t="shared" si="3"/>
        <v>2664</v>
      </c>
      <c r="P98" s="20"/>
      <c r="Q98" s="66"/>
      <c r="R98" s="20"/>
      <c r="S98" s="20"/>
      <c r="T98" s="20"/>
    </row>
    <row r="99">
      <c r="A99" s="15" t="s">
        <v>933</v>
      </c>
      <c r="B99" s="17" t="s">
        <v>934</v>
      </c>
      <c r="C99" s="15" t="s">
        <v>935</v>
      </c>
      <c r="D99" s="19" t="s">
        <v>59</v>
      </c>
      <c r="E99" s="19" t="s">
        <v>60</v>
      </c>
      <c r="F99" s="19" t="s">
        <v>38</v>
      </c>
      <c r="G99" s="31">
        <v>5.0</v>
      </c>
      <c r="H99" s="19" t="s">
        <v>107</v>
      </c>
      <c r="I99" s="18"/>
      <c r="J99" s="23">
        <v>42.0</v>
      </c>
      <c r="K99" s="23">
        <v>40.32</v>
      </c>
      <c r="L99" s="20">
        <f t="shared" si="1"/>
        <v>745.92</v>
      </c>
      <c r="M99" s="20">
        <f t="shared" si="2"/>
        <v>654.3157895</v>
      </c>
      <c r="N99" s="20"/>
      <c r="O99" s="20">
        <f t="shared" si="3"/>
        <v>3729.6</v>
      </c>
      <c r="P99" s="20"/>
      <c r="Q99" s="66"/>
      <c r="R99" s="20"/>
      <c r="S99" s="20"/>
      <c r="T99" s="20"/>
    </row>
    <row r="100">
      <c r="A100" s="15" t="s">
        <v>443</v>
      </c>
      <c r="B100" s="17" t="s">
        <v>444</v>
      </c>
      <c r="C100" s="15" t="s">
        <v>445</v>
      </c>
      <c r="D100" s="19" t="s">
        <v>59</v>
      </c>
      <c r="E100" s="19" t="s">
        <v>60</v>
      </c>
      <c r="F100" s="19" t="s">
        <v>38</v>
      </c>
      <c r="G100" s="31">
        <v>5.0</v>
      </c>
      <c r="H100" s="19" t="s">
        <v>107</v>
      </c>
      <c r="I100" s="18"/>
      <c r="J100" s="23">
        <v>70.0</v>
      </c>
      <c r="K100" s="23">
        <v>67.2</v>
      </c>
      <c r="L100" s="20">
        <f t="shared" si="1"/>
        <v>1243.2</v>
      </c>
      <c r="M100" s="20">
        <f t="shared" si="2"/>
        <v>1090.526316</v>
      </c>
      <c r="N100" s="20"/>
      <c r="O100" s="20">
        <f t="shared" si="3"/>
        <v>6216</v>
      </c>
      <c r="P100" s="20"/>
      <c r="Q100" s="66"/>
      <c r="R100" s="20"/>
      <c r="S100" s="20"/>
      <c r="T100" s="20"/>
    </row>
    <row r="101">
      <c r="A101" s="15" t="s">
        <v>6112</v>
      </c>
      <c r="B101" s="17" t="s">
        <v>377</v>
      </c>
      <c r="C101" s="15" t="s">
        <v>378</v>
      </c>
      <c r="D101" s="19" t="s">
        <v>59</v>
      </c>
      <c r="E101" s="19" t="s">
        <v>60</v>
      </c>
      <c r="F101" s="19" t="s">
        <v>52</v>
      </c>
      <c r="G101" s="31">
        <v>5.0</v>
      </c>
      <c r="H101" s="19" t="s">
        <v>107</v>
      </c>
      <c r="I101" s="18"/>
      <c r="J101" s="23">
        <v>25.0</v>
      </c>
      <c r="K101" s="23">
        <v>24.0</v>
      </c>
      <c r="L101" s="20">
        <f t="shared" si="1"/>
        <v>444</v>
      </c>
      <c r="M101" s="20">
        <f t="shared" si="2"/>
        <v>389.4736842</v>
      </c>
      <c r="N101" s="20"/>
      <c r="O101" s="20">
        <f t="shared" si="3"/>
        <v>2220</v>
      </c>
      <c r="P101" s="20"/>
      <c r="Q101" s="66"/>
      <c r="R101" s="20"/>
      <c r="S101" s="20"/>
      <c r="T101" s="20"/>
    </row>
    <row r="102">
      <c r="A102" s="15" t="s">
        <v>215</v>
      </c>
      <c r="B102" s="17" t="s">
        <v>216</v>
      </c>
      <c r="C102" s="15" t="s">
        <v>217</v>
      </c>
      <c r="D102" s="19" t="s">
        <v>59</v>
      </c>
      <c r="E102" s="19" t="s">
        <v>60</v>
      </c>
      <c r="F102" s="19" t="s">
        <v>52</v>
      </c>
      <c r="G102" s="31">
        <v>10.0</v>
      </c>
      <c r="H102" s="19" t="s">
        <v>107</v>
      </c>
      <c r="I102" s="18"/>
      <c r="J102" s="23">
        <v>3.0</v>
      </c>
      <c r="K102" s="23">
        <v>2.88</v>
      </c>
      <c r="L102" s="20">
        <f t="shared" si="1"/>
        <v>53.28</v>
      </c>
      <c r="M102" s="20">
        <f t="shared" si="2"/>
        <v>46.73684211</v>
      </c>
      <c r="N102" s="20"/>
      <c r="O102" s="20">
        <f t="shared" si="3"/>
        <v>532.8</v>
      </c>
      <c r="P102" s="20"/>
      <c r="Q102" s="66"/>
      <c r="R102" s="20"/>
      <c r="S102" s="20"/>
      <c r="T102" s="20"/>
    </row>
    <row r="103">
      <c r="A103" s="15" t="s">
        <v>220</v>
      </c>
      <c r="B103" s="17" t="s">
        <v>221</v>
      </c>
      <c r="C103" s="15" t="s">
        <v>222</v>
      </c>
      <c r="D103" s="19" t="s">
        <v>59</v>
      </c>
      <c r="E103" s="19" t="s">
        <v>60</v>
      </c>
      <c r="F103" s="19" t="s">
        <v>52</v>
      </c>
      <c r="G103" s="31">
        <v>10.0</v>
      </c>
      <c r="H103" s="19" t="s">
        <v>107</v>
      </c>
      <c r="I103" s="18"/>
      <c r="J103" s="23">
        <v>3.0</v>
      </c>
      <c r="K103" s="23">
        <v>2.88</v>
      </c>
      <c r="L103" s="20">
        <f t="shared" si="1"/>
        <v>53.28</v>
      </c>
      <c r="M103" s="20">
        <f t="shared" si="2"/>
        <v>46.73684211</v>
      </c>
      <c r="N103" s="20"/>
      <c r="O103" s="20">
        <f t="shared" si="3"/>
        <v>532.8</v>
      </c>
      <c r="P103" s="20"/>
      <c r="Q103" s="66"/>
      <c r="R103" s="20"/>
      <c r="S103" s="20"/>
      <c r="T103" s="20"/>
    </row>
    <row r="104">
      <c r="A104" s="15" t="s">
        <v>712</v>
      </c>
      <c r="B104" s="17" t="s">
        <v>713</v>
      </c>
      <c r="C104" s="15" t="s">
        <v>716</v>
      </c>
      <c r="D104" s="19" t="s">
        <v>104</v>
      </c>
      <c r="E104" s="19" t="s">
        <v>717</v>
      </c>
      <c r="F104" s="19" t="s">
        <v>106</v>
      </c>
      <c r="G104" s="31">
        <v>1.0</v>
      </c>
      <c r="H104" s="19" t="s">
        <v>107</v>
      </c>
      <c r="I104" s="18"/>
      <c r="J104" s="23">
        <v>713.0</v>
      </c>
      <c r="K104" s="23">
        <v>684.48</v>
      </c>
      <c r="L104" s="20">
        <f t="shared" si="1"/>
        <v>12662.88</v>
      </c>
      <c r="M104" s="20">
        <f t="shared" si="2"/>
        <v>11107.78947</v>
      </c>
      <c r="N104" s="20"/>
      <c r="O104" s="20">
        <f t="shared" si="3"/>
        <v>12662.88</v>
      </c>
      <c r="P104" s="20"/>
      <c r="Q104" s="66"/>
      <c r="R104" s="20"/>
      <c r="S104" s="20"/>
      <c r="T104" s="20"/>
    </row>
    <row r="105">
      <c r="A105" s="15" t="s">
        <v>793</v>
      </c>
      <c r="B105" s="17" t="s">
        <v>794</v>
      </c>
      <c r="C105" s="15" t="s">
        <v>796</v>
      </c>
      <c r="D105" s="19" t="s">
        <v>104</v>
      </c>
      <c r="E105" s="19" t="s">
        <v>160</v>
      </c>
      <c r="F105" s="19" t="s">
        <v>106</v>
      </c>
      <c r="G105" s="31">
        <v>1.0</v>
      </c>
      <c r="H105" s="19" t="s">
        <v>107</v>
      </c>
      <c r="I105" s="18"/>
      <c r="J105" s="23">
        <v>60.0</v>
      </c>
      <c r="K105" s="23">
        <v>57.599999999999994</v>
      </c>
      <c r="L105" s="20">
        <f t="shared" si="1"/>
        <v>1065.6</v>
      </c>
      <c r="M105" s="20">
        <f t="shared" si="2"/>
        <v>934.7368421</v>
      </c>
      <c r="N105" s="20"/>
      <c r="O105" s="20">
        <f t="shared" si="3"/>
        <v>1065.6</v>
      </c>
      <c r="P105" s="20"/>
      <c r="Q105" s="66"/>
      <c r="R105" s="20"/>
      <c r="S105" s="20"/>
      <c r="T105" s="20"/>
    </row>
    <row r="106">
      <c r="A106" s="15" t="s">
        <v>594</v>
      </c>
      <c r="B106" s="17" t="s">
        <v>595</v>
      </c>
      <c r="C106" s="15" t="s">
        <v>596</v>
      </c>
      <c r="D106" s="19" t="s">
        <v>104</v>
      </c>
      <c r="E106" s="19" t="s">
        <v>160</v>
      </c>
      <c r="F106" s="19" t="s">
        <v>106</v>
      </c>
      <c r="G106" s="31">
        <v>1.0</v>
      </c>
      <c r="H106" s="19" t="s">
        <v>107</v>
      </c>
      <c r="I106" s="18"/>
      <c r="J106" s="23">
        <v>55.0</v>
      </c>
      <c r="K106" s="23">
        <v>52.8</v>
      </c>
      <c r="L106" s="20">
        <f t="shared" si="1"/>
        <v>976.8</v>
      </c>
      <c r="M106" s="20">
        <f t="shared" si="2"/>
        <v>856.8421053</v>
      </c>
      <c r="N106" s="20"/>
      <c r="O106" s="20">
        <f t="shared" si="3"/>
        <v>976.8</v>
      </c>
      <c r="P106" s="20"/>
      <c r="Q106" s="66"/>
      <c r="R106" s="20"/>
      <c r="S106" s="20"/>
      <c r="T106" s="20"/>
    </row>
    <row r="107">
      <c r="A107" s="15" t="s">
        <v>641</v>
      </c>
      <c r="B107" s="17" t="s">
        <v>642</v>
      </c>
      <c r="C107" s="15" t="s">
        <v>644</v>
      </c>
      <c r="D107" s="19" t="s">
        <v>104</v>
      </c>
      <c r="E107" s="19" t="s">
        <v>160</v>
      </c>
      <c r="F107" s="19" t="s">
        <v>106</v>
      </c>
      <c r="G107" s="31">
        <v>1.0</v>
      </c>
      <c r="H107" s="19" t="s">
        <v>107</v>
      </c>
      <c r="I107" s="18"/>
      <c r="J107" s="23">
        <v>105.0</v>
      </c>
      <c r="K107" s="23">
        <v>100.8</v>
      </c>
      <c r="L107" s="20">
        <f t="shared" si="1"/>
        <v>1864.8</v>
      </c>
      <c r="M107" s="20">
        <f t="shared" si="2"/>
        <v>1635.789474</v>
      </c>
      <c r="N107" s="20"/>
      <c r="O107" s="20">
        <f t="shared" si="3"/>
        <v>1864.8</v>
      </c>
      <c r="P107" s="20"/>
      <c r="Q107" s="66"/>
      <c r="R107" s="20"/>
      <c r="S107" s="20"/>
      <c r="T107" s="20"/>
    </row>
    <row r="108">
      <c r="A108" s="15" t="s">
        <v>5910</v>
      </c>
      <c r="B108" s="17" t="s">
        <v>5911</v>
      </c>
      <c r="C108" s="15" t="s">
        <v>5913</v>
      </c>
      <c r="D108" s="19" t="s">
        <v>104</v>
      </c>
      <c r="E108" s="19" t="s">
        <v>717</v>
      </c>
      <c r="F108" s="19" t="s">
        <v>106</v>
      </c>
      <c r="G108" s="31">
        <v>1.0</v>
      </c>
      <c r="H108" s="19" t="s">
        <v>107</v>
      </c>
      <c r="I108" s="18"/>
      <c r="J108" s="23">
        <v>499.0</v>
      </c>
      <c r="K108" s="23">
        <v>479.03999999999996</v>
      </c>
      <c r="L108" s="20">
        <f t="shared" si="1"/>
        <v>8862.24</v>
      </c>
      <c r="M108" s="20">
        <f t="shared" si="2"/>
        <v>7773.894737</v>
      </c>
      <c r="N108" s="20"/>
      <c r="O108" s="20">
        <f t="shared" si="3"/>
        <v>8862.24</v>
      </c>
      <c r="P108" s="20"/>
      <c r="Q108" s="66"/>
      <c r="R108" s="20"/>
      <c r="S108" s="20"/>
      <c r="T108" s="20"/>
    </row>
    <row r="109">
      <c r="A109" s="15" t="s">
        <v>5905</v>
      </c>
      <c r="B109" s="17" t="s">
        <v>5906</v>
      </c>
      <c r="C109" s="15" t="s">
        <v>5908</v>
      </c>
      <c r="D109" s="19" t="s">
        <v>104</v>
      </c>
      <c r="E109" s="19" t="s">
        <v>717</v>
      </c>
      <c r="F109" s="19" t="s">
        <v>106</v>
      </c>
      <c r="G109" s="31">
        <v>1.0</v>
      </c>
      <c r="H109" s="19" t="s">
        <v>107</v>
      </c>
      <c r="I109" s="18"/>
      <c r="J109" s="23">
        <v>1089.0</v>
      </c>
      <c r="K109" s="23">
        <v>1045.44</v>
      </c>
      <c r="L109" s="20">
        <f t="shared" si="1"/>
        <v>19340.64</v>
      </c>
      <c r="M109" s="20">
        <f t="shared" si="2"/>
        <v>16965.47368</v>
      </c>
      <c r="N109" s="20"/>
      <c r="O109" s="20">
        <f t="shared" si="3"/>
        <v>19340.64</v>
      </c>
      <c r="P109" s="20"/>
      <c r="Q109" s="66"/>
      <c r="R109" s="20"/>
      <c r="S109" s="20"/>
      <c r="T109" s="20"/>
    </row>
    <row r="110">
      <c r="A110" s="15" t="s">
        <v>938</v>
      </c>
      <c r="B110" s="17" t="s">
        <v>939</v>
      </c>
      <c r="C110" s="15" t="s">
        <v>942</v>
      </c>
      <c r="D110" s="19" t="s">
        <v>104</v>
      </c>
      <c r="E110" s="19" t="s">
        <v>717</v>
      </c>
      <c r="F110" s="19" t="s">
        <v>106</v>
      </c>
      <c r="G110" s="31">
        <v>2.0</v>
      </c>
      <c r="H110" s="19" t="s">
        <v>107</v>
      </c>
      <c r="I110" s="18"/>
      <c r="J110" s="23">
        <v>499.0</v>
      </c>
      <c r="K110" s="23">
        <v>479.03999999999996</v>
      </c>
      <c r="L110" s="20">
        <f t="shared" si="1"/>
        <v>8862.24</v>
      </c>
      <c r="M110" s="20">
        <f t="shared" si="2"/>
        <v>7773.894737</v>
      </c>
      <c r="N110" s="20"/>
      <c r="O110" s="20">
        <f t="shared" si="3"/>
        <v>17724.48</v>
      </c>
      <c r="P110" s="20"/>
      <c r="Q110" s="66"/>
      <c r="R110" s="20"/>
      <c r="S110" s="20"/>
      <c r="T110" s="20"/>
    </row>
    <row r="111">
      <c r="A111" s="15" t="s">
        <v>809</v>
      </c>
      <c r="B111" s="17" t="s">
        <v>810</v>
      </c>
      <c r="C111" s="15" t="s">
        <v>812</v>
      </c>
      <c r="D111" s="19" t="s">
        <v>104</v>
      </c>
      <c r="E111" s="19" t="s">
        <v>160</v>
      </c>
      <c r="F111" s="19" t="s">
        <v>106</v>
      </c>
      <c r="G111" s="31">
        <v>2.0</v>
      </c>
      <c r="H111" s="19" t="s">
        <v>107</v>
      </c>
      <c r="I111" s="18"/>
      <c r="J111" s="23">
        <v>61.0</v>
      </c>
      <c r="K111" s="23">
        <v>58.559999999999995</v>
      </c>
      <c r="L111" s="20">
        <f t="shared" si="1"/>
        <v>1083.36</v>
      </c>
      <c r="M111" s="20">
        <f t="shared" si="2"/>
        <v>950.3157895</v>
      </c>
      <c r="N111" s="20"/>
      <c r="O111" s="20">
        <f t="shared" si="3"/>
        <v>2166.72</v>
      </c>
      <c r="P111" s="20"/>
      <c r="Q111" s="66"/>
      <c r="R111" s="20"/>
      <c r="S111" s="20"/>
      <c r="T111" s="20"/>
    </row>
    <row r="112">
      <c r="A112" s="15" t="s">
        <v>675</v>
      </c>
      <c r="B112" s="17" t="s">
        <v>676</v>
      </c>
      <c r="C112" s="15" t="s">
        <v>678</v>
      </c>
      <c r="D112" s="19" t="s">
        <v>104</v>
      </c>
      <c r="E112" s="19" t="s">
        <v>160</v>
      </c>
      <c r="F112" s="19" t="s">
        <v>106</v>
      </c>
      <c r="G112" s="31">
        <v>2.0</v>
      </c>
      <c r="H112" s="19" t="s">
        <v>107</v>
      </c>
      <c r="I112" s="18"/>
      <c r="J112" s="23">
        <v>69.0</v>
      </c>
      <c r="K112" s="23">
        <v>66.24</v>
      </c>
      <c r="L112" s="20">
        <f t="shared" si="1"/>
        <v>1225.44</v>
      </c>
      <c r="M112" s="20">
        <f t="shared" si="2"/>
        <v>1074.947368</v>
      </c>
      <c r="N112" s="20"/>
      <c r="O112" s="20">
        <f t="shared" si="3"/>
        <v>2450.88</v>
      </c>
      <c r="P112" s="20"/>
      <c r="Q112" s="66"/>
      <c r="R112" s="20"/>
      <c r="S112" s="20"/>
      <c r="T112" s="20"/>
    </row>
    <row r="113">
      <c r="A113" s="15" t="s">
        <v>162</v>
      </c>
      <c r="B113" s="17" t="s">
        <v>163</v>
      </c>
      <c r="C113" s="15" t="s">
        <v>165</v>
      </c>
      <c r="D113" s="19" t="s">
        <v>104</v>
      </c>
      <c r="E113" s="19" t="s">
        <v>160</v>
      </c>
      <c r="F113" s="19" t="s">
        <v>106</v>
      </c>
      <c r="G113" s="31">
        <v>2.0</v>
      </c>
      <c r="H113" s="19" t="s">
        <v>107</v>
      </c>
      <c r="I113" s="18"/>
      <c r="J113" s="23">
        <v>209.0</v>
      </c>
      <c r="K113" s="23">
        <v>200.64</v>
      </c>
      <c r="L113" s="20">
        <f t="shared" si="1"/>
        <v>3711.84</v>
      </c>
      <c r="M113" s="20">
        <f t="shared" si="2"/>
        <v>3256</v>
      </c>
      <c r="N113" s="20"/>
      <c r="O113" s="20">
        <f t="shared" si="3"/>
        <v>7423.68</v>
      </c>
      <c r="P113" s="20"/>
      <c r="Q113" s="66"/>
      <c r="R113" s="20"/>
      <c r="S113" s="20"/>
      <c r="T113" s="20"/>
    </row>
    <row r="114">
      <c r="A114" s="15" t="s">
        <v>539</v>
      </c>
      <c r="B114" s="17" t="s">
        <v>540</v>
      </c>
      <c r="C114" s="15" t="s">
        <v>542</v>
      </c>
      <c r="D114" s="19" t="s">
        <v>104</v>
      </c>
      <c r="E114" s="19" t="s">
        <v>160</v>
      </c>
      <c r="F114" s="19" t="s">
        <v>106</v>
      </c>
      <c r="G114" s="31">
        <v>2.0</v>
      </c>
      <c r="H114" s="19" t="s">
        <v>107</v>
      </c>
      <c r="I114" s="18"/>
      <c r="J114" s="23">
        <v>72.0</v>
      </c>
      <c r="K114" s="23">
        <v>69.12</v>
      </c>
      <c r="L114" s="20">
        <f t="shared" si="1"/>
        <v>1278.72</v>
      </c>
      <c r="M114" s="20">
        <f t="shared" si="2"/>
        <v>1121.684211</v>
      </c>
      <c r="N114" s="20"/>
      <c r="O114" s="20">
        <f t="shared" si="3"/>
        <v>2557.44</v>
      </c>
      <c r="P114" s="20"/>
      <c r="Q114" s="66"/>
      <c r="R114" s="20"/>
      <c r="S114" s="20"/>
      <c r="T114" s="20"/>
    </row>
    <row r="115">
      <c r="A115" s="15" t="s">
        <v>418</v>
      </c>
      <c r="B115" s="17" t="s">
        <v>419</v>
      </c>
      <c r="C115" s="15" t="s">
        <v>420</v>
      </c>
      <c r="D115" s="19" t="s">
        <v>104</v>
      </c>
      <c r="E115" s="19" t="s">
        <v>160</v>
      </c>
      <c r="F115" s="19" t="s">
        <v>106</v>
      </c>
      <c r="G115" s="31">
        <v>2.0</v>
      </c>
      <c r="H115" s="19" t="s">
        <v>107</v>
      </c>
      <c r="I115" s="18"/>
      <c r="J115" s="23">
        <v>108.0</v>
      </c>
      <c r="K115" s="23">
        <v>103.67999999999999</v>
      </c>
      <c r="L115" s="20">
        <f t="shared" si="1"/>
        <v>1918.08</v>
      </c>
      <c r="M115" s="20">
        <f t="shared" si="2"/>
        <v>1682.526316</v>
      </c>
      <c r="N115" s="20"/>
      <c r="O115" s="20">
        <f t="shared" si="3"/>
        <v>3836.16</v>
      </c>
      <c r="P115" s="20"/>
      <c r="Q115" s="66"/>
      <c r="R115" s="20"/>
      <c r="S115" s="20"/>
      <c r="T115" s="20"/>
    </row>
    <row r="116">
      <c r="A116" s="15" t="s">
        <v>1113</v>
      </c>
      <c r="B116" s="17" t="s">
        <v>1114</v>
      </c>
      <c r="C116" s="15" t="s">
        <v>1116</v>
      </c>
      <c r="D116" s="19" t="s">
        <v>104</v>
      </c>
      <c r="E116" s="19" t="s">
        <v>160</v>
      </c>
      <c r="F116" s="19" t="s">
        <v>106</v>
      </c>
      <c r="G116" s="31">
        <v>4.0</v>
      </c>
      <c r="H116" s="19" t="s">
        <v>107</v>
      </c>
      <c r="I116" s="18"/>
      <c r="J116" s="23">
        <v>65.0</v>
      </c>
      <c r="K116" s="23">
        <v>62.4</v>
      </c>
      <c r="L116" s="20">
        <f t="shared" si="1"/>
        <v>1154.4</v>
      </c>
      <c r="M116" s="20">
        <f t="shared" si="2"/>
        <v>1012.631579</v>
      </c>
      <c r="N116" s="20"/>
      <c r="O116" s="20">
        <f t="shared" si="3"/>
        <v>4617.6</v>
      </c>
      <c r="P116" s="20"/>
      <c r="Q116" s="66"/>
      <c r="R116" s="20"/>
      <c r="S116" s="20"/>
      <c r="T116" s="20"/>
    </row>
    <row r="117">
      <c r="A117" s="15" t="s">
        <v>480</v>
      </c>
      <c r="B117" s="17" t="s">
        <v>481</v>
      </c>
      <c r="C117" s="15" t="s">
        <v>483</v>
      </c>
      <c r="D117" s="19" t="s">
        <v>104</v>
      </c>
      <c r="E117" s="19" t="s">
        <v>160</v>
      </c>
      <c r="F117" s="19" t="s">
        <v>106</v>
      </c>
      <c r="G117" s="31">
        <v>5.0</v>
      </c>
      <c r="H117" s="19" t="s">
        <v>107</v>
      </c>
      <c r="I117" s="18"/>
      <c r="J117" s="23">
        <v>10.0</v>
      </c>
      <c r="K117" s="23">
        <v>9.6</v>
      </c>
      <c r="L117" s="20">
        <f t="shared" si="1"/>
        <v>177.6</v>
      </c>
      <c r="M117" s="20">
        <f t="shared" si="2"/>
        <v>155.7894737</v>
      </c>
      <c r="N117" s="20"/>
      <c r="O117" s="20">
        <f t="shared" si="3"/>
        <v>888</v>
      </c>
      <c r="P117" s="20"/>
      <c r="Q117" s="66"/>
      <c r="R117" s="20"/>
      <c r="S117" s="20"/>
      <c r="T117" s="20"/>
    </row>
    <row r="118">
      <c r="A118" s="15" t="s">
        <v>1132</v>
      </c>
      <c r="B118" s="17" t="s">
        <v>1133</v>
      </c>
      <c r="C118" s="15" t="s">
        <v>1134</v>
      </c>
      <c r="D118" s="19" t="s">
        <v>104</v>
      </c>
      <c r="E118" s="19" t="s">
        <v>160</v>
      </c>
      <c r="F118" s="19" t="s">
        <v>106</v>
      </c>
      <c r="G118" s="31">
        <v>10.0</v>
      </c>
      <c r="H118" s="19" t="s">
        <v>107</v>
      </c>
      <c r="I118" s="18"/>
      <c r="J118" s="23">
        <v>95.0</v>
      </c>
      <c r="K118" s="23">
        <v>91.2</v>
      </c>
      <c r="L118" s="20">
        <f t="shared" si="1"/>
        <v>1687.2</v>
      </c>
      <c r="M118" s="20">
        <f t="shared" si="2"/>
        <v>1480</v>
      </c>
      <c r="N118" s="20"/>
      <c r="O118" s="20">
        <f t="shared" si="3"/>
        <v>16872</v>
      </c>
      <c r="P118" s="20"/>
      <c r="Q118" s="66"/>
      <c r="R118" s="20"/>
      <c r="S118" s="20"/>
      <c r="T118" s="20"/>
    </row>
    <row r="119">
      <c r="A119" s="15" t="s">
        <v>155</v>
      </c>
      <c r="B119" s="17" t="s">
        <v>156</v>
      </c>
      <c r="C119" s="15" t="s">
        <v>158</v>
      </c>
      <c r="D119" s="19" t="s">
        <v>104</v>
      </c>
      <c r="E119" s="19" t="s">
        <v>160</v>
      </c>
      <c r="F119" s="19" t="s">
        <v>106</v>
      </c>
      <c r="G119" s="31">
        <v>10.0</v>
      </c>
      <c r="H119" s="19" t="s">
        <v>107</v>
      </c>
      <c r="I119" s="18"/>
      <c r="J119" s="23">
        <v>25.0</v>
      </c>
      <c r="K119" s="23">
        <v>24.0</v>
      </c>
      <c r="L119" s="20">
        <f t="shared" si="1"/>
        <v>444</v>
      </c>
      <c r="M119" s="20">
        <f t="shared" si="2"/>
        <v>389.4736842</v>
      </c>
      <c r="N119" s="20"/>
      <c r="O119" s="20">
        <f t="shared" si="3"/>
        <v>4440</v>
      </c>
      <c r="P119" s="20"/>
      <c r="Q119" s="66"/>
      <c r="R119" s="20"/>
      <c r="S119" s="20"/>
      <c r="T119" s="20"/>
    </row>
    <row r="120">
      <c r="A120" s="15" t="s">
        <v>180</v>
      </c>
      <c r="B120" s="17" t="s">
        <v>181</v>
      </c>
      <c r="C120" s="15" t="s">
        <v>182</v>
      </c>
      <c r="D120" s="19" t="s">
        <v>104</v>
      </c>
      <c r="E120" s="19" t="s">
        <v>160</v>
      </c>
      <c r="F120" s="19" t="s">
        <v>106</v>
      </c>
      <c r="G120" s="31">
        <v>10.0</v>
      </c>
      <c r="H120" s="19" t="s">
        <v>107</v>
      </c>
      <c r="I120" s="18"/>
      <c r="J120" s="23">
        <v>7.0</v>
      </c>
      <c r="K120" s="23">
        <v>6.72</v>
      </c>
      <c r="L120" s="20">
        <f t="shared" si="1"/>
        <v>124.32</v>
      </c>
      <c r="M120" s="20">
        <f t="shared" si="2"/>
        <v>109.0526316</v>
      </c>
      <c r="N120" s="20"/>
      <c r="O120" s="20">
        <f t="shared" si="3"/>
        <v>1243.2</v>
      </c>
      <c r="P120" s="20"/>
      <c r="Q120" s="66"/>
      <c r="R120" s="20"/>
      <c r="S120" s="20"/>
      <c r="T120" s="20"/>
    </row>
    <row r="121">
      <c r="A121" s="15" t="s">
        <v>1065</v>
      </c>
      <c r="B121" s="17" t="s">
        <v>1066</v>
      </c>
      <c r="C121" s="15" t="s">
        <v>1068</v>
      </c>
      <c r="D121" s="19" t="s">
        <v>104</v>
      </c>
      <c r="E121" s="19" t="s">
        <v>831</v>
      </c>
      <c r="F121" s="19" t="s">
        <v>106</v>
      </c>
      <c r="G121" s="31">
        <v>15.0</v>
      </c>
      <c r="H121" s="19" t="s">
        <v>107</v>
      </c>
      <c r="I121" s="18"/>
      <c r="J121" s="23">
        <v>213.0</v>
      </c>
      <c r="K121" s="23">
        <v>204.48</v>
      </c>
      <c r="L121" s="20">
        <f t="shared" si="1"/>
        <v>3782.88</v>
      </c>
      <c r="M121" s="20">
        <f t="shared" si="2"/>
        <v>3318.315789</v>
      </c>
      <c r="N121" s="78">
        <v>3000.0</v>
      </c>
      <c r="O121" s="79">
        <f t="shared" si="3"/>
        <v>56743.2</v>
      </c>
      <c r="P121" s="79"/>
      <c r="Q121" s="80"/>
      <c r="R121" s="79"/>
      <c r="S121" s="79"/>
      <c r="T121" s="79"/>
    </row>
    <row r="122">
      <c r="A122" s="15" t="s">
        <v>846</v>
      </c>
      <c r="B122" s="17" t="s">
        <v>847</v>
      </c>
      <c r="C122" s="15" t="s">
        <v>849</v>
      </c>
      <c r="D122" s="19" t="s">
        <v>104</v>
      </c>
      <c r="E122" s="19" t="s">
        <v>160</v>
      </c>
      <c r="F122" s="19" t="s">
        <v>106</v>
      </c>
      <c r="G122" s="31">
        <v>25.0</v>
      </c>
      <c r="H122" s="19" t="s">
        <v>107</v>
      </c>
      <c r="I122" s="18"/>
      <c r="J122" s="23">
        <v>46.0</v>
      </c>
      <c r="K122" s="23">
        <v>44.16</v>
      </c>
      <c r="L122" s="20">
        <f t="shared" si="1"/>
        <v>816.96</v>
      </c>
      <c r="M122" s="20">
        <f t="shared" si="2"/>
        <v>716.6315789</v>
      </c>
      <c r="N122" s="20"/>
      <c r="O122" s="20">
        <f t="shared" si="3"/>
        <v>20424</v>
      </c>
      <c r="P122" s="20"/>
      <c r="Q122" s="66"/>
      <c r="R122" s="20"/>
      <c r="S122" s="20"/>
      <c r="T122" s="20"/>
    </row>
    <row r="123">
      <c r="A123" s="15" t="s">
        <v>914</v>
      </c>
      <c r="B123" s="17" t="s">
        <v>915</v>
      </c>
      <c r="C123" s="15" t="s">
        <v>917</v>
      </c>
      <c r="D123" s="19" t="s">
        <v>104</v>
      </c>
      <c r="E123" s="19" t="s">
        <v>160</v>
      </c>
      <c r="F123" s="19" t="s">
        <v>919</v>
      </c>
      <c r="G123" s="31">
        <v>50.0</v>
      </c>
      <c r="H123" s="19" t="s">
        <v>107</v>
      </c>
      <c r="I123" s="18"/>
      <c r="J123" s="23">
        <v>6.0</v>
      </c>
      <c r="K123" s="23">
        <v>5.76</v>
      </c>
      <c r="L123" s="20">
        <f t="shared" si="1"/>
        <v>106.56</v>
      </c>
      <c r="M123" s="20">
        <f t="shared" si="2"/>
        <v>93.47368421</v>
      </c>
      <c r="N123" s="20"/>
      <c r="O123" s="20">
        <f t="shared" si="3"/>
        <v>5328</v>
      </c>
      <c r="P123" s="20"/>
      <c r="Q123" s="80">
        <v>10.0</v>
      </c>
      <c r="R123" s="20"/>
      <c r="S123" s="20"/>
      <c r="T123" s="20"/>
    </row>
    <row r="124">
      <c r="A124" s="15" t="s">
        <v>826</v>
      </c>
      <c r="B124" s="17" t="s">
        <v>827</v>
      </c>
      <c r="C124" s="15" t="s">
        <v>830</v>
      </c>
      <c r="D124" s="19" t="s">
        <v>104</v>
      </c>
      <c r="E124" s="19" t="s">
        <v>831</v>
      </c>
      <c r="F124" s="19" t="s">
        <v>135</v>
      </c>
      <c r="G124" s="31">
        <v>100.0</v>
      </c>
      <c r="H124" s="19" t="s">
        <v>107</v>
      </c>
      <c r="I124" s="18"/>
      <c r="J124" s="23">
        <v>3.0</v>
      </c>
      <c r="K124" s="23">
        <v>2.88</v>
      </c>
      <c r="L124" s="20">
        <f t="shared" si="1"/>
        <v>53.28</v>
      </c>
      <c r="M124" s="20">
        <f t="shared" si="2"/>
        <v>46.73684211</v>
      </c>
      <c r="N124" s="20"/>
      <c r="O124" s="20">
        <f t="shared" si="3"/>
        <v>5328</v>
      </c>
      <c r="P124" s="20"/>
      <c r="Q124" s="66"/>
      <c r="R124" s="20"/>
      <c r="S124" s="20"/>
      <c r="T124" s="20"/>
    </row>
    <row r="125">
      <c r="A125" s="15" t="s">
        <v>834</v>
      </c>
      <c r="B125" s="17" t="s">
        <v>835</v>
      </c>
      <c r="C125" s="15" t="s">
        <v>838</v>
      </c>
      <c r="D125" s="19" t="s">
        <v>104</v>
      </c>
      <c r="E125" s="19" t="s">
        <v>831</v>
      </c>
      <c r="F125" s="19" t="s">
        <v>135</v>
      </c>
      <c r="G125" s="31">
        <v>100.0</v>
      </c>
      <c r="H125" s="19" t="s">
        <v>107</v>
      </c>
      <c r="I125" s="18"/>
      <c r="J125" s="23">
        <v>3.0</v>
      </c>
      <c r="K125" s="23">
        <v>2.88</v>
      </c>
      <c r="L125" s="20">
        <f t="shared" si="1"/>
        <v>53.28</v>
      </c>
      <c r="M125" s="20">
        <f t="shared" si="2"/>
        <v>46.73684211</v>
      </c>
      <c r="N125" s="20"/>
      <c r="O125" s="20">
        <f t="shared" si="3"/>
        <v>5328</v>
      </c>
      <c r="P125" s="20"/>
      <c r="Q125" s="66"/>
      <c r="R125" s="20"/>
      <c r="S125" s="20"/>
      <c r="T125" s="20"/>
    </row>
    <row r="126">
      <c r="A126" s="15" t="s">
        <v>841</v>
      </c>
      <c r="B126" s="17" t="s">
        <v>842</v>
      </c>
      <c r="C126" s="15" t="s">
        <v>843</v>
      </c>
      <c r="D126" s="19" t="s">
        <v>702</v>
      </c>
      <c r="E126" s="19" t="s">
        <v>52</v>
      </c>
      <c r="F126" s="19" t="s">
        <v>703</v>
      </c>
      <c r="G126" s="31">
        <v>1.0</v>
      </c>
      <c r="H126" s="19" t="s">
        <v>107</v>
      </c>
      <c r="I126" s="18"/>
      <c r="J126" s="23">
        <v>275.0</v>
      </c>
      <c r="K126" s="23">
        <v>264.0</v>
      </c>
      <c r="L126" s="20">
        <f t="shared" si="1"/>
        <v>4884</v>
      </c>
      <c r="M126" s="20">
        <f t="shared" si="2"/>
        <v>4284.210526</v>
      </c>
      <c r="N126" s="20"/>
      <c r="O126" s="20">
        <f t="shared" si="3"/>
        <v>4884</v>
      </c>
      <c r="P126" s="20"/>
      <c r="Q126" s="66"/>
      <c r="R126" s="20"/>
      <c r="S126" s="20"/>
      <c r="T126" s="20"/>
    </row>
    <row r="127">
      <c r="A127" s="15" t="s">
        <v>1016</v>
      </c>
      <c r="B127" s="17" t="s">
        <v>1017</v>
      </c>
      <c r="C127" s="15" t="s">
        <v>1018</v>
      </c>
      <c r="D127" s="19" t="s">
        <v>702</v>
      </c>
      <c r="E127" s="19" t="s">
        <v>52</v>
      </c>
      <c r="F127" s="19" t="s">
        <v>703</v>
      </c>
      <c r="G127" s="31">
        <v>1.0</v>
      </c>
      <c r="H127" s="19" t="s">
        <v>107</v>
      </c>
      <c r="I127" s="18"/>
      <c r="J127" s="23">
        <v>296.0</v>
      </c>
      <c r="K127" s="23">
        <v>284.15999999999997</v>
      </c>
      <c r="L127" s="20">
        <f t="shared" si="1"/>
        <v>5256.96</v>
      </c>
      <c r="M127" s="20">
        <f t="shared" si="2"/>
        <v>4611.368421</v>
      </c>
      <c r="N127" s="20"/>
      <c r="O127" s="20">
        <f t="shared" si="3"/>
        <v>5256.96</v>
      </c>
      <c r="P127" s="20"/>
      <c r="Q127" s="66"/>
      <c r="R127" s="20"/>
      <c r="S127" s="20"/>
      <c r="T127" s="20"/>
    </row>
    <row r="128">
      <c r="A128" s="15" t="s">
        <v>699</v>
      </c>
      <c r="B128" s="17" t="s">
        <v>700</v>
      </c>
      <c r="C128" s="15" t="s">
        <v>701</v>
      </c>
      <c r="D128" s="19" t="s">
        <v>702</v>
      </c>
      <c r="E128" s="19" t="s">
        <v>52</v>
      </c>
      <c r="F128" s="19" t="s">
        <v>703</v>
      </c>
      <c r="G128" s="31">
        <v>1.0</v>
      </c>
      <c r="H128" s="19" t="s">
        <v>107</v>
      </c>
      <c r="I128" s="18"/>
      <c r="J128" s="23">
        <v>225.0</v>
      </c>
      <c r="K128" s="23">
        <v>216.0</v>
      </c>
      <c r="L128" s="20">
        <f t="shared" si="1"/>
        <v>3996</v>
      </c>
      <c r="M128" s="20">
        <f t="shared" si="2"/>
        <v>3505.263158</v>
      </c>
      <c r="N128" s="20"/>
      <c r="O128" s="20">
        <f t="shared" si="3"/>
        <v>3996</v>
      </c>
      <c r="P128" s="20"/>
      <c r="Q128" s="66"/>
      <c r="R128" s="20"/>
      <c r="S128" s="20"/>
      <c r="T128" s="20"/>
    </row>
    <row r="129">
      <c r="A129" s="15" t="s">
        <v>783</v>
      </c>
      <c r="B129" s="17" t="s">
        <v>784</v>
      </c>
      <c r="C129" s="15" t="s">
        <v>785</v>
      </c>
      <c r="D129" s="19" t="s">
        <v>702</v>
      </c>
      <c r="E129" s="19" t="s">
        <v>52</v>
      </c>
      <c r="F129" s="19" t="s">
        <v>703</v>
      </c>
      <c r="G129" s="31">
        <v>1.0</v>
      </c>
      <c r="H129" s="19" t="s">
        <v>107</v>
      </c>
      <c r="I129" s="18"/>
      <c r="J129" s="23">
        <v>250.0</v>
      </c>
      <c r="K129" s="23">
        <v>240.0</v>
      </c>
      <c r="L129" s="20">
        <f t="shared" si="1"/>
        <v>4440</v>
      </c>
      <c r="M129" s="20">
        <f t="shared" si="2"/>
        <v>3894.736842</v>
      </c>
      <c r="N129" s="20"/>
      <c r="O129" s="20">
        <f t="shared" si="3"/>
        <v>4440</v>
      </c>
      <c r="P129" s="20"/>
      <c r="Q129" s="66"/>
      <c r="R129" s="20"/>
      <c r="S129" s="20"/>
      <c r="T129" s="20"/>
    </row>
    <row r="130">
      <c r="A130" s="15" t="s">
        <v>778</v>
      </c>
      <c r="B130" s="17" t="s">
        <v>779</v>
      </c>
      <c r="C130" s="15" t="s">
        <v>780</v>
      </c>
      <c r="D130" s="19" t="s">
        <v>702</v>
      </c>
      <c r="E130" s="19" t="s">
        <v>52</v>
      </c>
      <c r="F130" s="19" t="s">
        <v>703</v>
      </c>
      <c r="G130" s="31">
        <v>1.0</v>
      </c>
      <c r="H130" s="19" t="s">
        <v>107</v>
      </c>
      <c r="I130" s="18"/>
      <c r="J130" s="23">
        <v>251.0</v>
      </c>
      <c r="K130" s="23">
        <v>240.95999999999998</v>
      </c>
      <c r="L130" s="20">
        <f t="shared" si="1"/>
        <v>4457.76</v>
      </c>
      <c r="M130" s="20">
        <f t="shared" si="2"/>
        <v>3910.315789</v>
      </c>
      <c r="N130" s="20"/>
      <c r="O130" s="20">
        <f t="shared" si="3"/>
        <v>4457.76</v>
      </c>
      <c r="P130" s="20"/>
      <c r="Q130" s="66"/>
      <c r="R130" s="20"/>
      <c r="S130" s="20"/>
      <c r="T130" s="20"/>
    </row>
    <row r="131">
      <c r="A131" s="15" t="s">
        <v>966</v>
      </c>
      <c r="B131" s="17" t="s">
        <v>967</v>
      </c>
      <c r="C131" s="15" t="s">
        <v>968</v>
      </c>
      <c r="D131" s="19" t="s">
        <v>702</v>
      </c>
      <c r="E131" s="19" t="s">
        <v>52</v>
      </c>
      <c r="F131" s="19" t="s">
        <v>703</v>
      </c>
      <c r="G131" s="31">
        <v>1.0</v>
      </c>
      <c r="H131" s="19" t="s">
        <v>107</v>
      </c>
      <c r="I131" s="18"/>
      <c r="J131" s="23">
        <v>279.0</v>
      </c>
      <c r="K131" s="23">
        <v>267.84</v>
      </c>
      <c r="L131" s="20">
        <f t="shared" si="1"/>
        <v>4955.04</v>
      </c>
      <c r="M131" s="20">
        <f t="shared" si="2"/>
        <v>4346.526316</v>
      </c>
      <c r="N131" s="20"/>
      <c r="O131" s="20">
        <f t="shared" si="3"/>
        <v>4955.04</v>
      </c>
      <c r="P131" s="20"/>
      <c r="Q131" s="66"/>
      <c r="R131" s="20"/>
      <c r="S131" s="20"/>
      <c r="T131" s="20"/>
    </row>
    <row r="132">
      <c r="A132" s="15" t="s">
        <v>956</v>
      </c>
      <c r="B132" s="17" t="s">
        <v>957</v>
      </c>
      <c r="C132" s="15" t="s">
        <v>958</v>
      </c>
      <c r="D132" s="19" t="s">
        <v>702</v>
      </c>
      <c r="E132" s="19" t="s">
        <v>52</v>
      </c>
      <c r="F132" s="19" t="s">
        <v>703</v>
      </c>
      <c r="G132" s="31">
        <v>1.0</v>
      </c>
      <c r="H132" s="19" t="s">
        <v>107</v>
      </c>
      <c r="I132" s="18"/>
      <c r="J132" s="23">
        <v>93.0</v>
      </c>
      <c r="K132" s="23">
        <v>89.28</v>
      </c>
      <c r="L132" s="20">
        <f t="shared" si="1"/>
        <v>1651.68</v>
      </c>
      <c r="M132" s="20">
        <f t="shared" si="2"/>
        <v>1448.842105</v>
      </c>
      <c r="N132" s="20"/>
      <c r="O132" s="20">
        <f t="shared" si="3"/>
        <v>1651.68</v>
      </c>
      <c r="P132" s="20"/>
      <c r="Q132" s="66"/>
      <c r="R132" s="20"/>
      <c r="S132" s="20"/>
      <c r="T132" s="20"/>
    </row>
    <row r="133">
      <c r="A133" s="15" t="s">
        <v>961</v>
      </c>
      <c r="B133" s="17" t="s">
        <v>962</v>
      </c>
      <c r="C133" s="15" t="s">
        <v>963</v>
      </c>
      <c r="D133" s="19" t="s">
        <v>702</v>
      </c>
      <c r="E133" s="19" t="s">
        <v>52</v>
      </c>
      <c r="F133" s="19" t="s">
        <v>703</v>
      </c>
      <c r="G133" s="31">
        <v>1.0</v>
      </c>
      <c r="H133" s="19" t="s">
        <v>107</v>
      </c>
      <c r="I133" s="18"/>
      <c r="J133" s="23">
        <v>93.0</v>
      </c>
      <c r="K133" s="23">
        <v>89.28</v>
      </c>
      <c r="L133" s="20">
        <f t="shared" si="1"/>
        <v>1651.68</v>
      </c>
      <c r="M133" s="20">
        <f t="shared" si="2"/>
        <v>1448.842105</v>
      </c>
      <c r="N133" s="20"/>
      <c r="O133" s="20">
        <f t="shared" si="3"/>
        <v>1651.68</v>
      </c>
      <c r="P133" s="20"/>
      <c r="Q133" s="66"/>
      <c r="R133" s="20"/>
      <c r="S133" s="20"/>
      <c r="T133" s="20"/>
    </row>
    <row r="134">
      <c r="A134" s="15" t="s">
        <v>1054</v>
      </c>
      <c r="B134" s="17" t="s">
        <v>1055</v>
      </c>
      <c r="C134" s="15" t="s">
        <v>1056</v>
      </c>
      <c r="D134" s="19" t="s">
        <v>702</v>
      </c>
      <c r="E134" s="19" t="s">
        <v>1230</v>
      </c>
      <c r="F134" s="19" t="s">
        <v>38</v>
      </c>
      <c r="G134" s="31">
        <v>1.0</v>
      </c>
      <c r="H134" s="19" t="s">
        <v>107</v>
      </c>
      <c r="I134" s="18"/>
      <c r="J134" s="23">
        <v>189.0</v>
      </c>
      <c r="K134" s="23">
        <v>181.44</v>
      </c>
      <c r="L134" s="20">
        <f t="shared" si="1"/>
        <v>3356.64</v>
      </c>
      <c r="M134" s="20">
        <f t="shared" si="2"/>
        <v>2944.421053</v>
      </c>
      <c r="N134" s="20"/>
      <c r="O134" s="20">
        <f t="shared" si="3"/>
        <v>3356.64</v>
      </c>
      <c r="P134" s="20"/>
      <c r="Q134" s="66"/>
      <c r="R134" s="20"/>
      <c r="S134" s="20"/>
      <c r="T134" s="20"/>
    </row>
    <row r="135">
      <c r="A135" s="15" t="s">
        <v>1071</v>
      </c>
      <c r="B135" s="17" t="s">
        <v>1072</v>
      </c>
      <c r="C135" s="15" t="s">
        <v>1073</v>
      </c>
      <c r="D135" s="19" t="s">
        <v>702</v>
      </c>
      <c r="E135" s="19" t="s">
        <v>1230</v>
      </c>
      <c r="F135" s="19" t="s">
        <v>38</v>
      </c>
      <c r="G135" s="31">
        <v>1.0</v>
      </c>
      <c r="H135" s="19" t="s">
        <v>107</v>
      </c>
      <c r="I135" s="18"/>
      <c r="J135" s="23">
        <v>308.0</v>
      </c>
      <c r="K135" s="23">
        <v>295.68</v>
      </c>
      <c r="L135" s="20">
        <f t="shared" si="1"/>
        <v>5470.08</v>
      </c>
      <c r="M135" s="20">
        <f t="shared" si="2"/>
        <v>4798.315789</v>
      </c>
      <c r="N135" s="20"/>
      <c r="O135" s="20">
        <f t="shared" si="3"/>
        <v>5470.08</v>
      </c>
      <c r="P135" s="20"/>
      <c r="Q135" s="66"/>
      <c r="R135" s="20"/>
      <c r="S135" s="20"/>
      <c r="T135" s="20"/>
    </row>
    <row r="136">
      <c r="A136" s="15" t="s">
        <v>1091</v>
      </c>
      <c r="B136" s="17" t="s">
        <v>1092</v>
      </c>
      <c r="C136" s="15" t="s">
        <v>1103</v>
      </c>
      <c r="D136" s="19" t="s">
        <v>702</v>
      </c>
      <c r="E136" s="19" t="s">
        <v>1230</v>
      </c>
      <c r="F136" s="19" t="s">
        <v>38</v>
      </c>
      <c r="G136" s="31">
        <v>1.0</v>
      </c>
      <c r="H136" s="19" t="s">
        <v>107</v>
      </c>
      <c r="I136" s="18"/>
      <c r="J136" s="23">
        <v>225.0</v>
      </c>
      <c r="K136" s="23">
        <v>216.0</v>
      </c>
      <c r="L136" s="20">
        <f t="shared" si="1"/>
        <v>3996</v>
      </c>
      <c r="M136" s="20">
        <f t="shared" si="2"/>
        <v>3505.263158</v>
      </c>
      <c r="N136" s="20"/>
      <c r="O136" s="20">
        <f t="shared" si="3"/>
        <v>3996</v>
      </c>
      <c r="P136" s="20"/>
      <c r="Q136" s="66"/>
      <c r="R136" s="20"/>
      <c r="S136" s="20"/>
      <c r="T136" s="20"/>
    </row>
    <row r="137">
      <c r="A137" s="15" t="s">
        <v>1032</v>
      </c>
      <c r="B137" s="17" t="s">
        <v>1033</v>
      </c>
      <c r="C137" s="15" t="s">
        <v>1034</v>
      </c>
      <c r="D137" s="19" t="s">
        <v>702</v>
      </c>
      <c r="E137" s="19" t="s">
        <v>1230</v>
      </c>
      <c r="F137" s="19" t="s">
        <v>177</v>
      </c>
      <c r="G137" s="31">
        <v>1.0</v>
      </c>
      <c r="H137" s="19" t="s">
        <v>107</v>
      </c>
      <c r="I137" s="18"/>
      <c r="J137" s="23">
        <v>267.0</v>
      </c>
      <c r="K137" s="23">
        <v>256.32</v>
      </c>
      <c r="L137" s="20">
        <f t="shared" si="1"/>
        <v>4741.92</v>
      </c>
      <c r="M137" s="20">
        <f t="shared" si="2"/>
        <v>4159.578947</v>
      </c>
      <c r="N137" s="20"/>
      <c r="O137" s="20">
        <f t="shared" si="3"/>
        <v>4741.92</v>
      </c>
      <c r="P137" s="20"/>
      <c r="Q137" s="66"/>
      <c r="R137" s="20"/>
      <c r="S137" s="20"/>
      <c r="T137" s="20"/>
    </row>
    <row r="138">
      <c r="A138" s="15" t="s">
        <v>1120</v>
      </c>
      <c r="B138" s="17" t="s">
        <v>1121</v>
      </c>
      <c r="C138" s="15" t="s">
        <v>1122</v>
      </c>
      <c r="D138" s="19" t="s">
        <v>702</v>
      </c>
      <c r="E138" s="19" t="s">
        <v>1230</v>
      </c>
      <c r="F138" s="19" t="s">
        <v>38</v>
      </c>
      <c r="G138" s="31">
        <v>1.0</v>
      </c>
      <c r="H138" s="19" t="s">
        <v>107</v>
      </c>
      <c r="I138" s="18"/>
      <c r="J138" s="23">
        <v>174.0</v>
      </c>
      <c r="K138" s="23">
        <v>167.04</v>
      </c>
      <c r="L138" s="20">
        <f t="shared" si="1"/>
        <v>3090.24</v>
      </c>
      <c r="M138" s="20">
        <f t="shared" si="2"/>
        <v>2710.736842</v>
      </c>
      <c r="N138" s="20"/>
      <c r="O138" s="20">
        <f t="shared" si="3"/>
        <v>3090.24</v>
      </c>
      <c r="P138" s="20"/>
      <c r="Q138" s="66"/>
      <c r="R138" s="20"/>
      <c r="S138" s="20"/>
      <c r="T138" s="20"/>
    </row>
    <row r="139">
      <c r="A139" s="15" t="s">
        <v>927</v>
      </c>
      <c r="B139" s="17" t="s">
        <v>6105</v>
      </c>
      <c r="C139" s="15" t="s">
        <v>929</v>
      </c>
      <c r="D139" s="19" t="s">
        <v>702</v>
      </c>
      <c r="E139" s="19" t="s">
        <v>1444</v>
      </c>
      <c r="F139" s="19" t="s">
        <v>38</v>
      </c>
      <c r="G139" s="31">
        <v>4.0</v>
      </c>
      <c r="H139" s="19" t="s">
        <v>107</v>
      </c>
      <c r="I139" s="18"/>
      <c r="J139" s="23">
        <v>39.0</v>
      </c>
      <c r="K139" s="23">
        <v>37.44</v>
      </c>
      <c r="L139" s="20">
        <f t="shared" si="1"/>
        <v>692.64</v>
      </c>
      <c r="M139" s="20">
        <f t="shared" si="2"/>
        <v>607.5789474</v>
      </c>
      <c r="N139" s="20"/>
      <c r="O139" s="20">
        <f t="shared" si="3"/>
        <v>2770.56</v>
      </c>
      <c r="P139" s="20"/>
      <c r="Q139" s="66"/>
      <c r="R139" s="20"/>
      <c r="S139" s="20"/>
      <c r="T139" s="20"/>
    </row>
    <row r="140">
      <c r="A140" s="66"/>
      <c r="B140" s="66"/>
      <c r="C140" s="66"/>
      <c r="D140" s="66"/>
      <c r="E140" s="66"/>
      <c r="F140" s="66"/>
      <c r="G140" s="22" t="s">
        <v>6136</v>
      </c>
      <c r="H140" s="66"/>
      <c r="I140" s="66"/>
      <c r="J140" s="20"/>
      <c r="K140" s="20"/>
      <c r="L140" s="20"/>
      <c r="M140" s="20"/>
      <c r="N140" s="78" t="s">
        <v>6137</v>
      </c>
      <c r="O140" s="71">
        <f>SUM(Inventory_tracker_5[Valor Total Mercancia])</f>
        <v>687738.24</v>
      </c>
      <c r="P140" s="71"/>
      <c r="Q140" s="71"/>
      <c r="R140" s="71"/>
      <c r="S140" s="71"/>
      <c r="T140" s="71"/>
    </row>
  </sheetData>
  <mergeCells count="1">
    <mergeCell ref="K2:L2"/>
  </mergeCells>
  <conditionalFormatting sqref="J4:K139">
    <cfRule type="cellIs" dxfId="6" priority="1" operator="equal">
      <formula>0</formula>
    </cfRule>
  </conditionalFormatting>
  <dataValidations>
    <dataValidation type="list" allowBlank="1" sqref="F4:F139">
      <formula1>"FILTROS,EMPAQUES,ENGRANES,BALEROS,VALVULAS,BOMBAS,ANILLOS METALICOS,CASQUILLOS,TUBOS,SIN ASIGNAR,TRANSMISIONES,PISTONES,RODILLOS,ACCESORIOS ,RELAYS,MOTORES,MEDIDORES,CABLES,VIBRADORES,LIMPIEZA"</formula1>
    </dataValidation>
    <dataValidation type="list" allowBlank="1" sqref="E4:E139">
      <formula1>"BARRA V-ROCK,AGITADOR V-ROCK,FILTROS,TUBERIA ACERO,TUBERIA FLEXIBLE,REDUCTOR,HIDRAULICO,OTROS,SISTEMA DE BOMBEO,TANQUE DE AGUA,CANALONES Y TOLVAS,TOLVA,SIN ASIGNAR"</formula1>
    </dataValidation>
    <dataValidation type="list" allowBlank="1" sqref="D4:D139">
      <formula1>"Olla Revolvedora,Sitrak,Schwing,Putzmeister,WAM,Tuberia,Otro,CIFA,TRITURADORAS"</formula1>
    </dataValidation>
    <dataValidation type="custom" allowBlank="1" showDropDown="1" sqref="G4:G139 J4:L139">
      <formula1>AND(ISNUMBER(G4),(NOT(OR(NOT(ISERROR(DATEVALUE(G4))), AND(ISNUMBER(G4), LEFT(CELL("format", G4))="D")))))</formula1>
    </dataValidation>
    <dataValidation allowBlank="1" showDropDown="1" sqref="A4:C139 I4:I139"/>
    <dataValidation type="list" allowBlank="1" sqref="H4:H139">
      <formula1>"In stock,No Available,To Re-purchase,Sold out,borrar,Falta Ubicar"</formula1>
    </dataValidation>
  </dataValidations>
  <printOptions gridLines="1" horizontalCentered="1"/>
  <pageMargins bottom="0.75" footer="0.0" header="0.0" left="0.25" right="0.25" top="0.75"/>
  <pageSetup fitToHeight="0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2.25"/>
    <col customWidth="1" min="3" max="3" width="10.75"/>
    <col customWidth="1" min="4" max="4" width="28.63"/>
    <col customWidth="1" min="5" max="5" width="62.63"/>
    <col customWidth="1" min="6" max="6" width="13.13"/>
    <col customWidth="1" min="7" max="7" width="12.75"/>
    <col customWidth="1" min="8" max="8" width="13.25"/>
    <col customWidth="1" min="9" max="9" width="12.5"/>
    <col customWidth="1" min="10" max="10" width="13.38"/>
    <col customWidth="1" min="11" max="11" width="20.25"/>
    <col customWidth="1" min="12" max="12" width="13.38"/>
    <col customWidth="1" min="13" max="13" width="10.13"/>
    <col customWidth="1" min="14" max="14" width="9.25"/>
    <col customWidth="1" min="15" max="15" width="13.5"/>
    <col customWidth="1" min="16" max="16" width="9.0"/>
    <col customWidth="1" min="17" max="17" width="11.63"/>
    <col customWidth="1" min="18" max="18" width="8.0"/>
    <col customWidth="1" min="19" max="19" width="8.75"/>
    <col customWidth="1" min="20" max="20" width="8.5"/>
    <col customWidth="1" min="21" max="21" width="8.13"/>
    <col customWidth="1" min="22" max="22" width="9.5"/>
    <col customWidth="1" min="23" max="23" width="7.75"/>
    <col customWidth="1" min="24" max="25" width="9.13"/>
  </cols>
  <sheetData>
    <row r="1">
      <c r="A1" s="2"/>
      <c r="B1" s="2"/>
      <c r="C1" s="2"/>
      <c r="D1" s="2"/>
      <c r="E1" s="1"/>
      <c r="F1" s="2"/>
      <c r="G1" s="2"/>
      <c r="H1" s="3" t="s">
        <v>1</v>
      </c>
      <c r="I1" s="4">
        <v>18.5</v>
      </c>
      <c r="J1" s="2"/>
      <c r="K1" s="3" t="s">
        <v>2</v>
      </c>
      <c r="L1" s="5">
        <v>0.96</v>
      </c>
      <c r="M1" s="3" t="s">
        <v>3</v>
      </c>
      <c r="N1" s="5">
        <v>0.0</v>
      </c>
      <c r="O1" s="3" t="s">
        <v>4</v>
      </c>
      <c r="P1" s="5">
        <v>0.225</v>
      </c>
      <c r="Q1" s="3" t="s">
        <v>5</v>
      </c>
      <c r="R1" s="7">
        <v>18.75</v>
      </c>
      <c r="Z1" s="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0"/>
    </row>
    <row r="3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3" t="s">
        <v>30</v>
      </c>
    </row>
    <row r="4" hidden="1">
      <c r="A4" s="15" t="s">
        <v>3575</v>
      </c>
      <c r="B4" s="18"/>
      <c r="C4" s="15" t="s">
        <v>6138</v>
      </c>
      <c r="D4" s="18"/>
      <c r="E4" s="17" t="s">
        <v>3576</v>
      </c>
      <c r="F4" s="18"/>
      <c r="G4" s="18"/>
      <c r="H4" s="15" t="s">
        <v>3577</v>
      </c>
      <c r="I4" s="18"/>
      <c r="J4" s="19" t="s">
        <v>283</v>
      </c>
      <c r="K4" s="19" t="s">
        <v>105</v>
      </c>
      <c r="L4" s="19" t="s">
        <v>38</v>
      </c>
      <c r="M4" s="20">
        <f t="shared" ref="M4:M1516" si="1">T4*$I$1</f>
        <v>0</v>
      </c>
      <c r="N4" s="22"/>
      <c r="O4" s="19" t="s">
        <v>3578</v>
      </c>
      <c r="P4" s="18"/>
      <c r="Q4" s="18"/>
      <c r="R4" s="23">
        <v>0.0</v>
      </c>
      <c r="S4" s="23">
        <v>0.0</v>
      </c>
      <c r="T4" s="23">
        <f t="shared" ref="T4:T1516" si="2">S4*$L$1</f>
        <v>0</v>
      </c>
      <c r="U4" s="23">
        <f t="shared" ref="U4:U1516" si="3">R4+((R4*$N$1)+(R4*$P$1))</f>
        <v>0</v>
      </c>
      <c r="V4" s="23">
        <f t="shared" ref="V4:V1516" si="4">U4*$R$1</f>
        <v>0</v>
      </c>
      <c r="W4" s="24" t="str">
        <f t="shared" ref="W4:W1516" si="5">T4/R4</f>
        <v>#DIV/0!</v>
      </c>
    </row>
    <row r="5" hidden="1">
      <c r="A5" s="15" t="s">
        <v>3579</v>
      </c>
      <c r="B5" s="18"/>
      <c r="C5" s="15" t="s">
        <v>6139</v>
      </c>
      <c r="D5" s="15" t="s">
        <v>3580</v>
      </c>
      <c r="E5" s="17" t="s">
        <v>3581</v>
      </c>
      <c r="F5" s="18"/>
      <c r="G5" s="18"/>
      <c r="H5" s="15" t="s">
        <v>3582</v>
      </c>
      <c r="I5" s="18"/>
      <c r="J5" s="19" t="s">
        <v>283</v>
      </c>
      <c r="K5" s="19" t="s">
        <v>402</v>
      </c>
      <c r="L5" s="19" t="s">
        <v>38</v>
      </c>
      <c r="M5" s="20">
        <f t="shared" si="1"/>
        <v>0</v>
      </c>
      <c r="N5" s="22"/>
      <c r="O5" s="19" t="s">
        <v>3578</v>
      </c>
      <c r="P5" s="18"/>
      <c r="Q5" s="18"/>
      <c r="R5" s="23">
        <v>0.0</v>
      </c>
      <c r="S5" s="23">
        <v>0.0</v>
      </c>
      <c r="T5" s="23">
        <f t="shared" si="2"/>
        <v>0</v>
      </c>
      <c r="U5" s="23">
        <f t="shared" si="3"/>
        <v>0</v>
      </c>
      <c r="V5" s="23">
        <f t="shared" si="4"/>
        <v>0</v>
      </c>
      <c r="W5" s="24" t="str">
        <f t="shared" si="5"/>
        <v>#DIV/0!</v>
      </c>
    </row>
    <row r="6" hidden="1">
      <c r="A6" s="15" t="s">
        <v>3583</v>
      </c>
      <c r="B6" s="18"/>
      <c r="C6" s="15" t="s">
        <v>6140</v>
      </c>
      <c r="D6" s="15" t="s">
        <v>3584</v>
      </c>
      <c r="E6" s="17" t="s">
        <v>3585</v>
      </c>
      <c r="F6" s="18"/>
      <c r="G6" s="18"/>
      <c r="H6" s="15" t="s">
        <v>3586</v>
      </c>
      <c r="I6" s="18"/>
      <c r="J6" s="19" t="s">
        <v>283</v>
      </c>
      <c r="K6" s="19" t="s">
        <v>105</v>
      </c>
      <c r="L6" s="19" t="s">
        <v>38</v>
      </c>
      <c r="M6" s="20">
        <f t="shared" si="1"/>
        <v>0</v>
      </c>
      <c r="N6" s="22"/>
      <c r="O6" s="19" t="s">
        <v>3578</v>
      </c>
      <c r="P6" s="18"/>
      <c r="Q6" s="18"/>
      <c r="R6" s="23">
        <v>0.0</v>
      </c>
      <c r="S6" s="23">
        <v>0.0</v>
      </c>
      <c r="T6" s="23">
        <f t="shared" si="2"/>
        <v>0</v>
      </c>
      <c r="U6" s="23">
        <f t="shared" si="3"/>
        <v>0</v>
      </c>
      <c r="V6" s="23">
        <f t="shared" si="4"/>
        <v>0</v>
      </c>
      <c r="W6" s="24" t="str">
        <f t="shared" si="5"/>
        <v>#DIV/0!</v>
      </c>
    </row>
    <row r="7" hidden="1">
      <c r="A7" s="15" t="s">
        <v>3587</v>
      </c>
      <c r="B7" s="18"/>
      <c r="C7" s="15" t="s">
        <v>6141</v>
      </c>
      <c r="D7" s="15" t="s">
        <v>3588</v>
      </c>
      <c r="E7" s="17" t="s">
        <v>3589</v>
      </c>
      <c r="F7" s="18"/>
      <c r="G7" s="18"/>
      <c r="H7" s="15" t="s">
        <v>3590</v>
      </c>
      <c r="I7" s="18"/>
      <c r="J7" s="19" t="s">
        <v>283</v>
      </c>
      <c r="K7" s="19" t="s">
        <v>402</v>
      </c>
      <c r="L7" s="19" t="s">
        <v>38</v>
      </c>
      <c r="M7" s="20">
        <f t="shared" si="1"/>
        <v>0</v>
      </c>
      <c r="N7" s="22"/>
      <c r="O7" s="19" t="s">
        <v>3578</v>
      </c>
      <c r="P7" s="18"/>
      <c r="Q7" s="18"/>
      <c r="R7" s="23">
        <v>0.0</v>
      </c>
      <c r="S7" s="23">
        <v>0.0</v>
      </c>
      <c r="T7" s="23">
        <f t="shared" si="2"/>
        <v>0</v>
      </c>
      <c r="U7" s="23">
        <f t="shared" si="3"/>
        <v>0</v>
      </c>
      <c r="V7" s="23">
        <f t="shared" si="4"/>
        <v>0</v>
      </c>
      <c r="W7" s="24" t="str">
        <f t="shared" si="5"/>
        <v>#DIV/0!</v>
      </c>
    </row>
    <row r="8" hidden="1">
      <c r="A8" s="15" t="s">
        <v>3591</v>
      </c>
      <c r="B8" s="18"/>
      <c r="C8" s="15" t="s">
        <v>6142</v>
      </c>
      <c r="D8" s="41" t="s">
        <v>3592</v>
      </c>
      <c r="E8" s="17" t="s">
        <v>3593</v>
      </c>
      <c r="F8" s="18"/>
      <c r="G8" s="18"/>
      <c r="H8" s="15" t="s">
        <v>3594</v>
      </c>
      <c r="I8" s="18"/>
      <c r="J8" s="19" t="s">
        <v>283</v>
      </c>
      <c r="K8" s="19" t="s">
        <v>1444</v>
      </c>
      <c r="L8" s="19" t="s">
        <v>38</v>
      </c>
      <c r="M8" s="20">
        <f t="shared" si="1"/>
        <v>0</v>
      </c>
      <c r="N8" s="22"/>
      <c r="O8" s="19" t="s">
        <v>3578</v>
      </c>
      <c r="P8" s="18"/>
      <c r="Q8" s="18"/>
      <c r="R8" s="23">
        <v>0.0</v>
      </c>
      <c r="S8" s="23">
        <v>0.0</v>
      </c>
      <c r="T8" s="23">
        <f t="shared" si="2"/>
        <v>0</v>
      </c>
      <c r="U8" s="23">
        <f t="shared" si="3"/>
        <v>0</v>
      </c>
      <c r="V8" s="23">
        <f t="shared" si="4"/>
        <v>0</v>
      </c>
      <c r="W8" s="24" t="str">
        <f t="shared" si="5"/>
        <v>#DIV/0!</v>
      </c>
    </row>
    <row r="9" hidden="1">
      <c r="A9" s="15" t="s">
        <v>1141</v>
      </c>
      <c r="B9" s="18"/>
      <c r="C9" s="15" t="s">
        <v>6143</v>
      </c>
      <c r="D9" s="15" t="s">
        <v>1142</v>
      </c>
      <c r="E9" s="17" t="s">
        <v>1143</v>
      </c>
      <c r="F9" s="18"/>
      <c r="G9" s="18"/>
      <c r="H9" s="15" t="s">
        <v>1144</v>
      </c>
      <c r="I9" s="18"/>
      <c r="J9" s="19" t="s">
        <v>283</v>
      </c>
      <c r="K9" s="19" t="s">
        <v>402</v>
      </c>
      <c r="L9" s="19" t="s">
        <v>38</v>
      </c>
      <c r="M9" s="20">
        <f t="shared" si="1"/>
        <v>0</v>
      </c>
      <c r="N9" s="22"/>
      <c r="O9" s="19" t="s">
        <v>1145</v>
      </c>
      <c r="P9" s="18"/>
      <c r="Q9" s="18"/>
      <c r="R9" s="23">
        <v>0.0</v>
      </c>
      <c r="S9" s="23">
        <v>0.0</v>
      </c>
      <c r="T9" s="23">
        <f t="shared" si="2"/>
        <v>0</v>
      </c>
      <c r="U9" s="23">
        <f t="shared" si="3"/>
        <v>0</v>
      </c>
      <c r="V9" s="23">
        <f t="shared" si="4"/>
        <v>0</v>
      </c>
      <c r="W9" s="24" t="str">
        <f t="shared" si="5"/>
        <v>#DIV/0!</v>
      </c>
    </row>
    <row r="10" hidden="1">
      <c r="A10" s="15" t="s">
        <v>3595</v>
      </c>
      <c r="B10" s="18"/>
      <c r="C10" s="15" t="s">
        <v>6144</v>
      </c>
      <c r="D10" s="15" t="s">
        <v>3596</v>
      </c>
      <c r="E10" s="17" t="s">
        <v>3597</v>
      </c>
      <c r="F10" s="18"/>
      <c r="G10" s="18"/>
      <c r="H10" s="15" t="s">
        <v>3598</v>
      </c>
      <c r="I10" s="18"/>
      <c r="J10" s="19" t="s">
        <v>283</v>
      </c>
      <c r="K10" s="19" t="s">
        <v>105</v>
      </c>
      <c r="L10" s="19" t="s">
        <v>38</v>
      </c>
      <c r="M10" s="20">
        <f t="shared" si="1"/>
        <v>0</v>
      </c>
      <c r="N10" s="22"/>
      <c r="O10" s="19" t="s">
        <v>3578</v>
      </c>
      <c r="P10" s="18"/>
      <c r="Q10" s="18"/>
      <c r="R10" s="23">
        <v>0.0</v>
      </c>
      <c r="S10" s="23">
        <v>0.0</v>
      </c>
      <c r="T10" s="23">
        <f t="shared" si="2"/>
        <v>0</v>
      </c>
      <c r="U10" s="23">
        <f t="shared" si="3"/>
        <v>0</v>
      </c>
      <c r="V10" s="23">
        <f t="shared" si="4"/>
        <v>0</v>
      </c>
      <c r="W10" s="24" t="str">
        <f t="shared" si="5"/>
        <v>#DIV/0!</v>
      </c>
    </row>
    <row r="11" hidden="1">
      <c r="A11" s="15" t="s">
        <v>1146</v>
      </c>
      <c r="B11" s="18"/>
      <c r="C11" s="15" t="s">
        <v>6145</v>
      </c>
      <c r="D11" s="18"/>
      <c r="E11" s="17" t="s">
        <v>1147</v>
      </c>
      <c r="F11" s="18"/>
      <c r="G11" s="18"/>
      <c r="H11" s="15" t="s">
        <v>1148</v>
      </c>
      <c r="I11" s="18"/>
      <c r="J11" s="19" t="s">
        <v>283</v>
      </c>
      <c r="K11" s="19" t="s">
        <v>284</v>
      </c>
      <c r="L11" s="19" t="s">
        <v>38</v>
      </c>
      <c r="M11" s="20">
        <f t="shared" si="1"/>
        <v>0</v>
      </c>
      <c r="N11" s="22"/>
      <c r="O11" s="19" t="s">
        <v>1145</v>
      </c>
      <c r="P11" s="18"/>
      <c r="Q11" s="18"/>
      <c r="R11" s="23">
        <v>0.0</v>
      </c>
      <c r="S11" s="23">
        <v>0.0</v>
      </c>
      <c r="T11" s="23">
        <f t="shared" si="2"/>
        <v>0</v>
      </c>
      <c r="U11" s="23">
        <f t="shared" si="3"/>
        <v>0</v>
      </c>
      <c r="V11" s="23">
        <f t="shared" si="4"/>
        <v>0</v>
      </c>
      <c r="W11" s="24" t="str">
        <f t="shared" si="5"/>
        <v>#DIV/0!</v>
      </c>
    </row>
    <row r="12" hidden="1">
      <c r="A12" s="15" t="s">
        <v>3599</v>
      </c>
      <c r="B12" s="15" t="s">
        <v>3600</v>
      </c>
      <c r="C12" s="15" t="s">
        <v>6146</v>
      </c>
      <c r="D12" s="15" t="s">
        <v>3601</v>
      </c>
      <c r="E12" s="17" t="s">
        <v>3602</v>
      </c>
      <c r="F12" s="18"/>
      <c r="G12" s="18"/>
      <c r="H12" s="15" t="s">
        <v>3603</v>
      </c>
      <c r="I12" s="18"/>
      <c r="J12" s="19" t="s">
        <v>283</v>
      </c>
      <c r="K12" s="19" t="s">
        <v>105</v>
      </c>
      <c r="L12" s="19" t="s">
        <v>38</v>
      </c>
      <c r="M12" s="20">
        <f t="shared" si="1"/>
        <v>0</v>
      </c>
      <c r="N12" s="22"/>
      <c r="O12" s="19" t="s">
        <v>3578</v>
      </c>
      <c r="P12" s="18"/>
      <c r="Q12" s="18"/>
      <c r="R12" s="23">
        <v>0.0</v>
      </c>
      <c r="S12" s="23">
        <v>0.0</v>
      </c>
      <c r="T12" s="23">
        <f t="shared" si="2"/>
        <v>0</v>
      </c>
      <c r="U12" s="23">
        <f t="shared" si="3"/>
        <v>0</v>
      </c>
      <c r="V12" s="23">
        <f t="shared" si="4"/>
        <v>0</v>
      </c>
      <c r="W12" s="24" t="str">
        <f t="shared" si="5"/>
        <v>#DIV/0!</v>
      </c>
    </row>
    <row r="13" hidden="1">
      <c r="A13" s="15" t="s">
        <v>3604</v>
      </c>
      <c r="B13" s="15" t="s">
        <v>3605</v>
      </c>
      <c r="C13" s="15" t="s">
        <v>6147</v>
      </c>
      <c r="D13" s="15" t="s">
        <v>3606</v>
      </c>
      <c r="E13" s="17" t="s">
        <v>3607</v>
      </c>
      <c r="F13" s="18"/>
      <c r="G13" s="18"/>
      <c r="H13" s="15" t="s">
        <v>3608</v>
      </c>
      <c r="I13" s="18"/>
      <c r="J13" s="19" t="s">
        <v>283</v>
      </c>
      <c r="K13" s="19" t="s">
        <v>105</v>
      </c>
      <c r="L13" s="19" t="s">
        <v>38</v>
      </c>
      <c r="M13" s="20">
        <f t="shared" si="1"/>
        <v>0</v>
      </c>
      <c r="N13" s="22"/>
      <c r="O13" s="19" t="s">
        <v>3578</v>
      </c>
      <c r="P13" s="18"/>
      <c r="Q13" s="18"/>
      <c r="R13" s="23">
        <v>0.0</v>
      </c>
      <c r="S13" s="23">
        <v>0.0</v>
      </c>
      <c r="T13" s="23">
        <f t="shared" si="2"/>
        <v>0</v>
      </c>
      <c r="U13" s="23">
        <f t="shared" si="3"/>
        <v>0</v>
      </c>
      <c r="V13" s="23">
        <f t="shared" si="4"/>
        <v>0</v>
      </c>
      <c r="W13" s="24" t="str">
        <f t="shared" si="5"/>
        <v>#DIV/0!</v>
      </c>
    </row>
    <row r="14" hidden="1">
      <c r="A14" s="15" t="s">
        <v>3609</v>
      </c>
      <c r="B14" s="15" t="s">
        <v>3610</v>
      </c>
      <c r="C14" s="15" t="s">
        <v>6148</v>
      </c>
      <c r="D14" s="15" t="s">
        <v>3611</v>
      </c>
      <c r="E14" s="17" t="s">
        <v>3612</v>
      </c>
      <c r="F14" s="18"/>
      <c r="G14" s="18"/>
      <c r="H14" s="15" t="s">
        <v>3613</v>
      </c>
      <c r="I14" s="18"/>
      <c r="J14" s="19" t="s">
        <v>283</v>
      </c>
      <c r="K14" s="19" t="s">
        <v>105</v>
      </c>
      <c r="L14" s="19" t="s">
        <v>38</v>
      </c>
      <c r="M14" s="20">
        <f t="shared" si="1"/>
        <v>0</v>
      </c>
      <c r="N14" s="22"/>
      <c r="O14" s="19" t="s">
        <v>3578</v>
      </c>
      <c r="P14" s="18"/>
      <c r="Q14" s="18"/>
      <c r="R14" s="23">
        <v>0.0</v>
      </c>
      <c r="S14" s="23">
        <v>0.0</v>
      </c>
      <c r="T14" s="23">
        <f t="shared" si="2"/>
        <v>0</v>
      </c>
      <c r="U14" s="23">
        <f t="shared" si="3"/>
        <v>0</v>
      </c>
      <c r="V14" s="23">
        <f t="shared" si="4"/>
        <v>0</v>
      </c>
      <c r="W14" s="24" t="str">
        <f t="shared" si="5"/>
        <v>#DIV/0!</v>
      </c>
    </row>
    <row r="15" hidden="1">
      <c r="A15" s="15" t="s">
        <v>3614</v>
      </c>
      <c r="B15" s="15" t="s">
        <v>3615</v>
      </c>
      <c r="C15" s="15" t="s">
        <v>6149</v>
      </c>
      <c r="D15" s="15" t="s">
        <v>3616</v>
      </c>
      <c r="E15" s="17" t="s">
        <v>3617</v>
      </c>
      <c r="F15" s="18"/>
      <c r="G15" s="18"/>
      <c r="H15" s="15" t="s">
        <v>3618</v>
      </c>
      <c r="I15" s="18"/>
      <c r="J15" s="19" t="s">
        <v>283</v>
      </c>
      <c r="K15" s="19" t="s">
        <v>105</v>
      </c>
      <c r="L15" s="19" t="s">
        <v>38</v>
      </c>
      <c r="M15" s="20">
        <f t="shared" si="1"/>
        <v>0</v>
      </c>
      <c r="N15" s="22"/>
      <c r="O15" s="19" t="s">
        <v>3578</v>
      </c>
      <c r="P15" s="18"/>
      <c r="Q15" s="18"/>
      <c r="R15" s="23">
        <v>0.0</v>
      </c>
      <c r="S15" s="23">
        <v>0.0</v>
      </c>
      <c r="T15" s="23">
        <f t="shared" si="2"/>
        <v>0</v>
      </c>
      <c r="U15" s="23">
        <f t="shared" si="3"/>
        <v>0</v>
      </c>
      <c r="V15" s="23">
        <f t="shared" si="4"/>
        <v>0</v>
      </c>
      <c r="W15" s="24" t="str">
        <f t="shared" si="5"/>
        <v>#DIV/0!</v>
      </c>
    </row>
    <row r="16" hidden="1">
      <c r="A16" s="15" t="s">
        <v>1149</v>
      </c>
      <c r="B16" s="18"/>
      <c r="C16" s="15" t="s">
        <v>6150</v>
      </c>
      <c r="D16" s="18"/>
      <c r="E16" s="17" t="s">
        <v>1150</v>
      </c>
      <c r="F16" s="18"/>
      <c r="G16" s="18"/>
      <c r="H16" s="15" t="s">
        <v>1151</v>
      </c>
      <c r="I16" s="18"/>
      <c r="J16" s="19" t="s">
        <v>283</v>
      </c>
      <c r="K16" s="19" t="s">
        <v>603</v>
      </c>
      <c r="L16" s="19" t="s">
        <v>38</v>
      </c>
      <c r="M16" s="20">
        <f t="shared" si="1"/>
        <v>0</v>
      </c>
      <c r="N16" s="22"/>
      <c r="O16" s="19" t="s">
        <v>1145</v>
      </c>
      <c r="P16" s="18"/>
      <c r="Q16" s="18"/>
      <c r="R16" s="23">
        <v>0.0</v>
      </c>
      <c r="S16" s="23">
        <v>0.0</v>
      </c>
      <c r="T16" s="23">
        <f t="shared" si="2"/>
        <v>0</v>
      </c>
      <c r="U16" s="23">
        <f t="shared" si="3"/>
        <v>0</v>
      </c>
      <c r="V16" s="23">
        <f t="shared" si="4"/>
        <v>0</v>
      </c>
      <c r="W16" s="24" t="str">
        <f t="shared" si="5"/>
        <v>#DIV/0!</v>
      </c>
    </row>
    <row r="17" hidden="1">
      <c r="A17" s="15" t="s">
        <v>3619</v>
      </c>
      <c r="B17" s="15" t="s">
        <v>3620</v>
      </c>
      <c r="C17" s="15" t="s">
        <v>6151</v>
      </c>
      <c r="D17" s="15" t="s">
        <v>3621</v>
      </c>
      <c r="E17" s="17" t="s">
        <v>3622</v>
      </c>
      <c r="F17" s="18"/>
      <c r="G17" s="18"/>
      <c r="H17" s="15" t="s">
        <v>3623</v>
      </c>
      <c r="I17" s="18"/>
      <c r="J17" s="19" t="s">
        <v>283</v>
      </c>
      <c r="K17" s="19" t="s">
        <v>105</v>
      </c>
      <c r="L17" s="19" t="s">
        <v>38</v>
      </c>
      <c r="M17" s="20">
        <f t="shared" si="1"/>
        <v>0</v>
      </c>
      <c r="N17" s="22"/>
      <c r="O17" s="19" t="s">
        <v>3578</v>
      </c>
      <c r="P17" s="18"/>
      <c r="Q17" s="18"/>
      <c r="R17" s="23">
        <v>0.0</v>
      </c>
      <c r="S17" s="23">
        <v>0.0</v>
      </c>
      <c r="T17" s="23">
        <f t="shared" si="2"/>
        <v>0</v>
      </c>
      <c r="U17" s="23">
        <f t="shared" si="3"/>
        <v>0</v>
      </c>
      <c r="V17" s="23">
        <f t="shared" si="4"/>
        <v>0</v>
      </c>
      <c r="W17" s="24" t="str">
        <f t="shared" si="5"/>
        <v>#DIV/0!</v>
      </c>
    </row>
    <row r="18" hidden="1">
      <c r="A18" s="15" t="s">
        <v>3624</v>
      </c>
      <c r="B18" s="15" t="s">
        <v>3625</v>
      </c>
      <c r="C18" s="15" t="s">
        <v>6152</v>
      </c>
      <c r="D18" s="15" t="s">
        <v>3626</v>
      </c>
      <c r="E18" s="17" t="s">
        <v>3627</v>
      </c>
      <c r="F18" s="18"/>
      <c r="G18" s="18"/>
      <c r="H18" s="15" t="s">
        <v>3628</v>
      </c>
      <c r="I18" s="18"/>
      <c r="J18" s="19" t="s">
        <v>283</v>
      </c>
      <c r="K18" s="19" t="s">
        <v>603</v>
      </c>
      <c r="L18" s="19" t="s">
        <v>38</v>
      </c>
      <c r="M18" s="20">
        <f t="shared" si="1"/>
        <v>0</v>
      </c>
      <c r="N18" s="22"/>
      <c r="O18" s="19" t="s">
        <v>3578</v>
      </c>
      <c r="P18" s="18"/>
      <c r="Q18" s="18"/>
      <c r="R18" s="23">
        <v>0.0</v>
      </c>
      <c r="S18" s="23">
        <v>0.0</v>
      </c>
      <c r="T18" s="23">
        <f t="shared" si="2"/>
        <v>0</v>
      </c>
      <c r="U18" s="23">
        <f t="shared" si="3"/>
        <v>0</v>
      </c>
      <c r="V18" s="23">
        <f t="shared" si="4"/>
        <v>0</v>
      </c>
      <c r="W18" s="24" t="str">
        <f t="shared" si="5"/>
        <v>#DIV/0!</v>
      </c>
    </row>
    <row r="19" hidden="1">
      <c r="A19" s="15" t="s">
        <v>3629</v>
      </c>
      <c r="B19" s="15" t="s">
        <v>3630</v>
      </c>
      <c r="C19" s="15" t="s">
        <v>6153</v>
      </c>
      <c r="D19" s="15" t="s">
        <v>3631</v>
      </c>
      <c r="E19" s="17" t="s">
        <v>3632</v>
      </c>
      <c r="F19" s="18"/>
      <c r="G19" s="18"/>
      <c r="H19" s="15" t="s">
        <v>3633</v>
      </c>
      <c r="I19" s="18"/>
      <c r="J19" s="19" t="s">
        <v>283</v>
      </c>
      <c r="K19" s="19" t="s">
        <v>603</v>
      </c>
      <c r="L19" s="19" t="s">
        <v>38</v>
      </c>
      <c r="M19" s="20">
        <f t="shared" si="1"/>
        <v>0</v>
      </c>
      <c r="N19" s="22"/>
      <c r="O19" s="19" t="s">
        <v>3578</v>
      </c>
      <c r="P19" s="18"/>
      <c r="Q19" s="18"/>
      <c r="R19" s="23">
        <v>0.0</v>
      </c>
      <c r="S19" s="23">
        <v>0.0</v>
      </c>
      <c r="T19" s="23">
        <f t="shared" si="2"/>
        <v>0</v>
      </c>
      <c r="U19" s="23">
        <f t="shared" si="3"/>
        <v>0</v>
      </c>
      <c r="V19" s="23">
        <f t="shared" si="4"/>
        <v>0</v>
      </c>
      <c r="W19" s="24" t="str">
        <f t="shared" si="5"/>
        <v>#DIV/0!</v>
      </c>
    </row>
    <row r="20" hidden="1">
      <c r="A20" s="15" t="s">
        <v>3634</v>
      </c>
      <c r="B20" s="15" t="s">
        <v>3635</v>
      </c>
      <c r="C20" s="15" t="s">
        <v>6154</v>
      </c>
      <c r="D20" s="15" t="s">
        <v>3636</v>
      </c>
      <c r="E20" s="17" t="s">
        <v>3637</v>
      </c>
      <c r="F20" s="18"/>
      <c r="G20" s="18"/>
      <c r="H20" s="15" t="s">
        <v>3638</v>
      </c>
      <c r="I20" s="18"/>
      <c r="J20" s="19" t="s">
        <v>283</v>
      </c>
      <c r="K20" s="19" t="s">
        <v>603</v>
      </c>
      <c r="L20" s="19" t="s">
        <v>38</v>
      </c>
      <c r="M20" s="20">
        <f t="shared" si="1"/>
        <v>0</v>
      </c>
      <c r="N20" s="22"/>
      <c r="O20" s="19" t="s">
        <v>3578</v>
      </c>
      <c r="P20" s="18"/>
      <c r="Q20" s="18"/>
      <c r="R20" s="23">
        <v>0.0</v>
      </c>
      <c r="S20" s="23">
        <v>0.0</v>
      </c>
      <c r="T20" s="23">
        <f t="shared" si="2"/>
        <v>0</v>
      </c>
      <c r="U20" s="23">
        <f t="shared" si="3"/>
        <v>0</v>
      </c>
      <c r="V20" s="23">
        <f t="shared" si="4"/>
        <v>0</v>
      </c>
      <c r="W20" s="24" t="str">
        <f t="shared" si="5"/>
        <v>#DIV/0!</v>
      </c>
    </row>
    <row r="21" hidden="1">
      <c r="A21" s="15" t="s">
        <v>3639</v>
      </c>
      <c r="B21" s="15" t="s">
        <v>3640</v>
      </c>
      <c r="C21" s="15" t="s">
        <v>6155</v>
      </c>
      <c r="D21" s="15" t="s">
        <v>3641</v>
      </c>
      <c r="E21" s="17" t="s">
        <v>3642</v>
      </c>
      <c r="F21" s="18"/>
      <c r="G21" s="18"/>
      <c r="H21" s="15" t="s">
        <v>3643</v>
      </c>
      <c r="I21" s="15" t="s">
        <v>3644</v>
      </c>
      <c r="J21" s="19" t="s">
        <v>283</v>
      </c>
      <c r="K21" s="19" t="s">
        <v>603</v>
      </c>
      <c r="L21" s="19" t="s">
        <v>38</v>
      </c>
      <c r="M21" s="20">
        <f t="shared" si="1"/>
        <v>0</v>
      </c>
      <c r="N21" s="22"/>
      <c r="O21" s="19" t="s">
        <v>3578</v>
      </c>
      <c r="P21" s="18"/>
      <c r="Q21" s="18"/>
      <c r="R21" s="23">
        <v>0.0</v>
      </c>
      <c r="S21" s="23">
        <v>0.0</v>
      </c>
      <c r="T21" s="23">
        <f t="shared" si="2"/>
        <v>0</v>
      </c>
      <c r="U21" s="23">
        <f t="shared" si="3"/>
        <v>0</v>
      </c>
      <c r="V21" s="23">
        <f t="shared" si="4"/>
        <v>0</v>
      </c>
      <c r="W21" s="24" t="str">
        <f t="shared" si="5"/>
        <v>#DIV/0!</v>
      </c>
    </row>
    <row r="22" hidden="1">
      <c r="A22" s="15" t="s">
        <v>3645</v>
      </c>
      <c r="B22" s="15" t="s">
        <v>3646</v>
      </c>
      <c r="C22" s="15" t="s">
        <v>6156</v>
      </c>
      <c r="D22" s="18"/>
      <c r="E22" s="17" t="s">
        <v>3647</v>
      </c>
      <c r="F22" s="18"/>
      <c r="G22" s="18"/>
      <c r="H22" s="15" t="s">
        <v>3648</v>
      </c>
      <c r="I22" s="18"/>
      <c r="J22" s="19" t="s">
        <v>283</v>
      </c>
      <c r="K22" s="19" t="s">
        <v>284</v>
      </c>
      <c r="L22" s="19" t="s">
        <v>38</v>
      </c>
      <c r="M22" s="20">
        <f t="shared" si="1"/>
        <v>0</v>
      </c>
      <c r="N22" s="22"/>
      <c r="O22" s="19" t="s">
        <v>3578</v>
      </c>
      <c r="P22" s="18"/>
      <c r="Q22" s="18"/>
      <c r="R22" s="23">
        <v>0.0</v>
      </c>
      <c r="S22" s="23">
        <v>0.0</v>
      </c>
      <c r="T22" s="23">
        <f t="shared" si="2"/>
        <v>0</v>
      </c>
      <c r="U22" s="23">
        <f t="shared" si="3"/>
        <v>0</v>
      </c>
      <c r="V22" s="23">
        <f t="shared" si="4"/>
        <v>0</v>
      </c>
      <c r="W22" s="24" t="str">
        <f t="shared" si="5"/>
        <v>#DIV/0!</v>
      </c>
    </row>
    <row r="23" hidden="1">
      <c r="A23" s="15" t="s">
        <v>3649</v>
      </c>
      <c r="B23" s="15" t="s">
        <v>3650</v>
      </c>
      <c r="C23" s="15" t="s">
        <v>6157</v>
      </c>
      <c r="D23" s="15" t="s">
        <v>3651</v>
      </c>
      <c r="E23" s="17" t="s">
        <v>3652</v>
      </c>
      <c r="F23" s="18"/>
      <c r="G23" s="18"/>
      <c r="H23" s="15" t="s">
        <v>3653</v>
      </c>
      <c r="I23" s="18"/>
      <c r="J23" s="19" t="s">
        <v>283</v>
      </c>
      <c r="K23" s="19" t="s">
        <v>105</v>
      </c>
      <c r="L23" s="19" t="s">
        <v>38</v>
      </c>
      <c r="M23" s="20">
        <f t="shared" si="1"/>
        <v>0</v>
      </c>
      <c r="N23" s="22"/>
      <c r="O23" s="19" t="s">
        <v>3578</v>
      </c>
      <c r="P23" s="18"/>
      <c r="Q23" s="18"/>
      <c r="R23" s="23">
        <v>0.0</v>
      </c>
      <c r="S23" s="23">
        <v>0.0</v>
      </c>
      <c r="T23" s="23">
        <f t="shared" si="2"/>
        <v>0</v>
      </c>
      <c r="U23" s="23">
        <f t="shared" si="3"/>
        <v>0</v>
      </c>
      <c r="V23" s="23">
        <f t="shared" si="4"/>
        <v>0</v>
      </c>
      <c r="W23" s="24" t="str">
        <f t="shared" si="5"/>
        <v>#DIV/0!</v>
      </c>
    </row>
    <row r="24" hidden="1">
      <c r="A24" s="15" t="s">
        <v>1152</v>
      </c>
      <c r="B24" s="18"/>
      <c r="C24" s="15" t="s">
        <v>6158</v>
      </c>
      <c r="D24" s="18"/>
      <c r="E24" s="17" t="s">
        <v>1153</v>
      </c>
      <c r="F24" s="18"/>
      <c r="G24" s="18"/>
      <c r="H24" s="15" t="s">
        <v>1154</v>
      </c>
      <c r="I24" s="18"/>
      <c r="J24" s="19" t="s">
        <v>283</v>
      </c>
      <c r="K24" s="19" t="s">
        <v>105</v>
      </c>
      <c r="L24" s="19" t="s">
        <v>38</v>
      </c>
      <c r="M24" s="20">
        <f t="shared" si="1"/>
        <v>0</v>
      </c>
      <c r="N24" s="22"/>
      <c r="O24" s="19" t="s">
        <v>1145</v>
      </c>
      <c r="P24" s="18"/>
      <c r="Q24" s="18"/>
      <c r="R24" s="23">
        <v>0.0</v>
      </c>
      <c r="S24" s="23">
        <v>0.0</v>
      </c>
      <c r="T24" s="23">
        <f t="shared" si="2"/>
        <v>0</v>
      </c>
      <c r="U24" s="23">
        <f t="shared" si="3"/>
        <v>0</v>
      </c>
      <c r="V24" s="23">
        <f t="shared" si="4"/>
        <v>0</v>
      </c>
      <c r="W24" s="24" t="str">
        <f t="shared" si="5"/>
        <v>#DIV/0!</v>
      </c>
    </row>
    <row r="25" hidden="1">
      <c r="A25" s="15" t="s">
        <v>1155</v>
      </c>
      <c r="B25" s="18"/>
      <c r="C25" s="15" t="s">
        <v>6159</v>
      </c>
      <c r="D25" s="18"/>
      <c r="E25" s="17" t="s">
        <v>470</v>
      </c>
      <c r="F25" s="18"/>
      <c r="G25" s="18"/>
      <c r="H25" s="15" t="s">
        <v>1156</v>
      </c>
      <c r="I25" s="18"/>
      <c r="J25" s="19" t="s">
        <v>283</v>
      </c>
      <c r="K25" s="19" t="s">
        <v>284</v>
      </c>
      <c r="L25" s="19" t="s">
        <v>38</v>
      </c>
      <c r="M25" s="20">
        <f t="shared" si="1"/>
        <v>0</v>
      </c>
      <c r="N25" s="31">
        <v>5.0</v>
      </c>
      <c r="O25" s="19" t="s">
        <v>1145</v>
      </c>
      <c r="P25" s="18"/>
      <c r="Q25" s="18"/>
      <c r="R25" s="23">
        <v>0.0</v>
      </c>
      <c r="S25" s="23">
        <v>0.0</v>
      </c>
      <c r="T25" s="23">
        <f t="shared" si="2"/>
        <v>0</v>
      </c>
      <c r="U25" s="23">
        <f t="shared" si="3"/>
        <v>0</v>
      </c>
      <c r="V25" s="23">
        <f t="shared" si="4"/>
        <v>0</v>
      </c>
      <c r="W25" s="24" t="str">
        <f t="shared" si="5"/>
        <v>#DIV/0!</v>
      </c>
    </row>
    <row r="26" hidden="1">
      <c r="A26" s="15" t="s">
        <v>6160</v>
      </c>
      <c r="B26" s="18"/>
      <c r="C26" s="15" t="s">
        <v>6161</v>
      </c>
      <c r="D26" s="18"/>
      <c r="E26" s="17" t="s">
        <v>6162</v>
      </c>
      <c r="F26" s="18"/>
      <c r="G26" s="18"/>
      <c r="H26" s="15" t="s">
        <v>1156</v>
      </c>
      <c r="I26" s="18"/>
      <c r="J26" s="19" t="s">
        <v>283</v>
      </c>
      <c r="K26" s="19" t="s">
        <v>284</v>
      </c>
      <c r="L26" s="19" t="s">
        <v>38</v>
      </c>
      <c r="M26" s="20">
        <f t="shared" si="1"/>
        <v>0</v>
      </c>
      <c r="N26" s="22"/>
      <c r="O26" s="19" t="s">
        <v>39</v>
      </c>
      <c r="P26" s="18"/>
      <c r="Q26" s="18"/>
      <c r="R26" s="23">
        <v>0.0</v>
      </c>
      <c r="S26" s="23">
        <v>0.0</v>
      </c>
      <c r="T26" s="23">
        <f t="shared" si="2"/>
        <v>0</v>
      </c>
      <c r="U26" s="23">
        <f t="shared" si="3"/>
        <v>0</v>
      </c>
      <c r="V26" s="23">
        <f t="shared" si="4"/>
        <v>0</v>
      </c>
      <c r="W26" s="24" t="str">
        <f t="shared" si="5"/>
        <v>#DIV/0!</v>
      </c>
      <c r="Y26" s="40"/>
    </row>
    <row r="27" hidden="1">
      <c r="A27" s="15" t="s">
        <v>1157</v>
      </c>
      <c r="B27" s="18"/>
      <c r="C27" s="15" t="s">
        <v>6163</v>
      </c>
      <c r="D27" s="18"/>
      <c r="E27" s="17" t="s">
        <v>579</v>
      </c>
      <c r="F27" s="18"/>
      <c r="G27" s="18"/>
      <c r="H27" s="15" t="s">
        <v>1158</v>
      </c>
      <c r="I27" s="18"/>
      <c r="J27" s="19" t="s">
        <v>283</v>
      </c>
      <c r="K27" s="19" t="s">
        <v>284</v>
      </c>
      <c r="L27" s="19" t="s">
        <v>38</v>
      </c>
      <c r="M27" s="20">
        <f t="shared" si="1"/>
        <v>0</v>
      </c>
      <c r="N27" s="22"/>
      <c r="O27" s="19" t="s">
        <v>1145</v>
      </c>
      <c r="P27" s="18"/>
      <c r="Q27" s="18"/>
      <c r="R27" s="23">
        <v>0.0</v>
      </c>
      <c r="S27" s="23">
        <v>0.0</v>
      </c>
      <c r="T27" s="23">
        <f t="shared" si="2"/>
        <v>0</v>
      </c>
      <c r="U27" s="23">
        <f t="shared" si="3"/>
        <v>0</v>
      </c>
      <c r="V27" s="23">
        <f t="shared" si="4"/>
        <v>0</v>
      </c>
      <c r="W27" s="24" t="str">
        <f t="shared" si="5"/>
        <v>#DIV/0!</v>
      </c>
    </row>
    <row r="28" hidden="1">
      <c r="A28" s="15" t="s">
        <v>1159</v>
      </c>
      <c r="B28" s="18"/>
      <c r="C28" s="15" t="s">
        <v>6164</v>
      </c>
      <c r="D28" s="18"/>
      <c r="E28" s="17" t="s">
        <v>1160</v>
      </c>
      <c r="F28" s="18"/>
      <c r="G28" s="18"/>
      <c r="H28" s="15" t="s">
        <v>1161</v>
      </c>
      <c r="I28" s="18"/>
      <c r="J28" s="19" t="s">
        <v>283</v>
      </c>
      <c r="K28" s="19" t="s">
        <v>284</v>
      </c>
      <c r="L28" s="19" t="s">
        <v>38</v>
      </c>
      <c r="M28" s="20">
        <f t="shared" si="1"/>
        <v>0</v>
      </c>
      <c r="N28" s="22"/>
      <c r="O28" s="19" t="s">
        <v>1145</v>
      </c>
      <c r="P28" s="18"/>
      <c r="Q28" s="18"/>
      <c r="R28" s="23">
        <v>0.0</v>
      </c>
      <c r="S28" s="23">
        <v>0.0</v>
      </c>
      <c r="T28" s="23">
        <f t="shared" si="2"/>
        <v>0</v>
      </c>
      <c r="U28" s="23">
        <f t="shared" si="3"/>
        <v>0</v>
      </c>
      <c r="V28" s="23">
        <f t="shared" si="4"/>
        <v>0</v>
      </c>
      <c r="W28" s="24" t="str">
        <f t="shared" si="5"/>
        <v>#DIV/0!</v>
      </c>
    </row>
    <row r="29" hidden="1">
      <c r="A29" s="15" t="s">
        <v>1162</v>
      </c>
      <c r="B29" s="18"/>
      <c r="C29" s="15" t="s">
        <v>6165</v>
      </c>
      <c r="D29" s="18"/>
      <c r="E29" s="17" t="s">
        <v>1163</v>
      </c>
      <c r="F29" s="18"/>
      <c r="G29" s="18"/>
      <c r="H29" s="15" t="s">
        <v>1164</v>
      </c>
      <c r="I29" s="18"/>
      <c r="J29" s="19" t="s">
        <v>283</v>
      </c>
      <c r="K29" s="19" t="s">
        <v>284</v>
      </c>
      <c r="L29" s="19" t="s">
        <v>38</v>
      </c>
      <c r="M29" s="20">
        <f t="shared" si="1"/>
        <v>0</v>
      </c>
      <c r="N29" s="22"/>
      <c r="O29" s="19" t="s">
        <v>1145</v>
      </c>
      <c r="P29" s="18"/>
      <c r="Q29" s="18"/>
      <c r="R29" s="23">
        <v>0.0</v>
      </c>
      <c r="S29" s="23">
        <v>0.0</v>
      </c>
      <c r="T29" s="23">
        <f t="shared" si="2"/>
        <v>0</v>
      </c>
      <c r="U29" s="23">
        <f t="shared" si="3"/>
        <v>0</v>
      </c>
      <c r="V29" s="23">
        <f t="shared" si="4"/>
        <v>0</v>
      </c>
      <c r="W29" s="24" t="str">
        <f t="shared" si="5"/>
        <v>#DIV/0!</v>
      </c>
    </row>
    <row r="30" hidden="1">
      <c r="A30" s="15" t="s">
        <v>1165</v>
      </c>
      <c r="B30" s="18"/>
      <c r="C30" s="15" t="s">
        <v>6166</v>
      </c>
      <c r="D30" s="18"/>
      <c r="E30" s="17" t="s">
        <v>1166</v>
      </c>
      <c r="F30" s="18"/>
      <c r="G30" s="18"/>
      <c r="H30" s="15" t="s">
        <v>1167</v>
      </c>
      <c r="I30" s="18"/>
      <c r="J30" s="19" t="s">
        <v>283</v>
      </c>
      <c r="K30" s="19" t="s">
        <v>284</v>
      </c>
      <c r="L30" s="19" t="s">
        <v>38</v>
      </c>
      <c r="M30" s="20">
        <f t="shared" si="1"/>
        <v>0</v>
      </c>
      <c r="N30" s="22"/>
      <c r="O30" s="19" t="s">
        <v>1145</v>
      </c>
      <c r="P30" s="18"/>
      <c r="Q30" s="18"/>
      <c r="R30" s="23">
        <v>0.0</v>
      </c>
      <c r="S30" s="23">
        <v>0.0</v>
      </c>
      <c r="T30" s="23">
        <f t="shared" si="2"/>
        <v>0</v>
      </c>
      <c r="U30" s="23">
        <f t="shared" si="3"/>
        <v>0</v>
      </c>
      <c r="V30" s="23">
        <f t="shared" si="4"/>
        <v>0</v>
      </c>
      <c r="W30" s="24" t="str">
        <f t="shared" si="5"/>
        <v>#DIV/0!</v>
      </c>
      <c r="Y30" s="40"/>
    </row>
    <row r="31" hidden="1">
      <c r="A31" s="15" t="s">
        <v>1168</v>
      </c>
      <c r="B31" s="18"/>
      <c r="C31" s="15" t="s">
        <v>6167</v>
      </c>
      <c r="D31" s="18"/>
      <c r="E31" s="17" t="s">
        <v>1169</v>
      </c>
      <c r="F31" s="18"/>
      <c r="G31" s="18"/>
      <c r="H31" s="15" t="s">
        <v>1170</v>
      </c>
      <c r="I31" s="18"/>
      <c r="J31" s="19" t="s">
        <v>283</v>
      </c>
      <c r="K31" s="19" t="s">
        <v>284</v>
      </c>
      <c r="L31" s="19" t="s">
        <v>38</v>
      </c>
      <c r="M31" s="20">
        <f t="shared" si="1"/>
        <v>0</v>
      </c>
      <c r="N31" s="22"/>
      <c r="O31" s="19" t="s">
        <v>1145</v>
      </c>
      <c r="P31" s="18"/>
      <c r="Q31" s="18"/>
      <c r="R31" s="23">
        <v>0.0</v>
      </c>
      <c r="S31" s="23">
        <v>0.0</v>
      </c>
      <c r="T31" s="23">
        <f t="shared" si="2"/>
        <v>0</v>
      </c>
      <c r="U31" s="23">
        <f t="shared" si="3"/>
        <v>0</v>
      </c>
      <c r="V31" s="23">
        <f t="shared" si="4"/>
        <v>0</v>
      </c>
      <c r="W31" s="24" t="str">
        <f t="shared" si="5"/>
        <v>#DIV/0!</v>
      </c>
      <c r="Y31" s="40"/>
    </row>
    <row r="32" hidden="1">
      <c r="A32" s="15" t="s">
        <v>1171</v>
      </c>
      <c r="B32" s="18"/>
      <c r="C32" s="15" t="s">
        <v>6168</v>
      </c>
      <c r="D32" s="18"/>
      <c r="E32" s="17" t="s">
        <v>1169</v>
      </c>
      <c r="F32" s="18"/>
      <c r="G32" s="18"/>
      <c r="H32" s="15" t="s">
        <v>1167</v>
      </c>
      <c r="I32" s="18"/>
      <c r="J32" s="19" t="s">
        <v>283</v>
      </c>
      <c r="K32" s="19" t="s">
        <v>284</v>
      </c>
      <c r="L32" s="19" t="s">
        <v>38</v>
      </c>
      <c r="M32" s="20">
        <f t="shared" si="1"/>
        <v>0</v>
      </c>
      <c r="N32" s="22"/>
      <c r="O32" s="19" t="s">
        <v>1145</v>
      </c>
      <c r="P32" s="18"/>
      <c r="Q32" s="18"/>
      <c r="R32" s="23">
        <v>0.0</v>
      </c>
      <c r="S32" s="23">
        <v>0.0</v>
      </c>
      <c r="T32" s="23">
        <f t="shared" si="2"/>
        <v>0</v>
      </c>
      <c r="U32" s="23">
        <f t="shared" si="3"/>
        <v>0</v>
      </c>
      <c r="V32" s="23">
        <f t="shared" si="4"/>
        <v>0</v>
      </c>
      <c r="W32" s="24" t="str">
        <f t="shared" si="5"/>
        <v>#DIV/0!</v>
      </c>
    </row>
    <row r="33" hidden="1">
      <c r="A33" s="15" t="s">
        <v>1172</v>
      </c>
      <c r="B33" s="18"/>
      <c r="C33" s="15" t="s">
        <v>6169</v>
      </c>
      <c r="D33" s="18"/>
      <c r="E33" s="17" t="s">
        <v>1173</v>
      </c>
      <c r="F33" s="18"/>
      <c r="G33" s="18"/>
      <c r="H33" s="15" t="s">
        <v>1174</v>
      </c>
      <c r="I33" s="18"/>
      <c r="J33" s="19" t="s">
        <v>283</v>
      </c>
      <c r="K33" s="19" t="s">
        <v>284</v>
      </c>
      <c r="L33" s="19" t="s">
        <v>38</v>
      </c>
      <c r="M33" s="20">
        <f t="shared" si="1"/>
        <v>0</v>
      </c>
      <c r="N33" s="22"/>
      <c r="O33" s="19" t="s">
        <v>1145</v>
      </c>
      <c r="P33" s="18"/>
      <c r="Q33" s="18"/>
      <c r="R33" s="23">
        <v>0.0</v>
      </c>
      <c r="S33" s="23">
        <v>0.0</v>
      </c>
      <c r="T33" s="23">
        <f t="shared" si="2"/>
        <v>0</v>
      </c>
      <c r="U33" s="23">
        <f t="shared" si="3"/>
        <v>0</v>
      </c>
      <c r="V33" s="23">
        <f t="shared" si="4"/>
        <v>0</v>
      </c>
      <c r="W33" s="24" t="str">
        <f t="shared" si="5"/>
        <v>#DIV/0!</v>
      </c>
    </row>
    <row r="34" hidden="1">
      <c r="A34" s="15" t="s">
        <v>1175</v>
      </c>
      <c r="B34" s="18"/>
      <c r="C34" s="15" t="s">
        <v>6170</v>
      </c>
      <c r="D34" s="18"/>
      <c r="E34" s="17" t="s">
        <v>519</v>
      </c>
      <c r="F34" s="18"/>
      <c r="G34" s="18"/>
      <c r="H34" s="15" t="s">
        <v>1176</v>
      </c>
      <c r="I34" s="18"/>
      <c r="J34" s="19" t="s">
        <v>283</v>
      </c>
      <c r="K34" s="19" t="s">
        <v>284</v>
      </c>
      <c r="L34" s="19" t="s">
        <v>38</v>
      </c>
      <c r="M34" s="20">
        <f t="shared" si="1"/>
        <v>0</v>
      </c>
      <c r="N34" s="22"/>
      <c r="O34" s="19" t="s">
        <v>1145</v>
      </c>
      <c r="P34" s="18"/>
      <c r="Q34" s="18"/>
      <c r="R34" s="23">
        <v>0.0</v>
      </c>
      <c r="S34" s="23">
        <v>0.0</v>
      </c>
      <c r="T34" s="23">
        <f t="shared" si="2"/>
        <v>0</v>
      </c>
      <c r="U34" s="23">
        <f t="shared" si="3"/>
        <v>0</v>
      </c>
      <c r="V34" s="23">
        <f t="shared" si="4"/>
        <v>0</v>
      </c>
      <c r="W34" s="24" t="str">
        <f t="shared" si="5"/>
        <v>#DIV/0!</v>
      </c>
    </row>
    <row r="35" hidden="1">
      <c r="A35" s="15" t="s">
        <v>1177</v>
      </c>
      <c r="B35" s="18"/>
      <c r="C35" s="15" t="s">
        <v>6171</v>
      </c>
      <c r="D35" s="18"/>
      <c r="E35" s="17" t="s">
        <v>408</v>
      </c>
      <c r="F35" s="18"/>
      <c r="G35" s="18"/>
      <c r="H35" s="15" t="s">
        <v>1176</v>
      </c>
      <c r="I35" s="18"/>
      <c r="J35" s="19" t="s">
        <v>283</v>
      </c>
      <c r="K35" s="19" t="s">
        <v>284</v>
      </c>
      <c r="L35" s="19" t="s">
        <v>38</v>
      </c>
      <c r="M35" s="20">
        <f t="shared" si="1"/>
        <v>0</v>
      </c>
      <c r="N35" s="22"/>
      <c r="O35" s="19" t="s">
        <v>1145</v>
      </c>
      <c r="P35" s="18"/>
      <c r="Q35" s="18"/>
      <c r="R35" s="23">
        <v>0.0</v>
      </c>
      <c r="S35" s="23">
        <v>0.0</v>
      </c>
      <c r="T35" s="23">
        <f t="shared" si="2"/>
        <v>0</v>
      </c>
      <c r="U35" s="23">
        <f t="shared" si="3"/>
        <v>0</v>
      </c>
      <c r="V35" s="23">
        <f t="shared" si="4"/>
        <v>0</v>
      </c>
      <c r="W35" s="24" t="str">
        <f t="shared" si="5"/>
        <v>#DIV/0!</v>
      </c>
    </row>
    <row r="36" hidden="1">
      <c r="A36" s="15" t="s">
        <v>1178</v>
      </c>
      <c r="B36" s="18"/>
      <c r="C36" s="15" t="s">
        <v>6172</v>
      </c>
      <c r="D36" s="18"/>
      <c r="E36" s="17" t="s">
        <v>281</v>
      </c>
      <c r="F36" s="18"/>
      <c r="G36" s="18"/>
      <c r="H36" s="15" t="s">
        <v>1176</v>
      </c>
      <c r="I36" s="18"/>
      <c r="J36" s="19" t="s">
        <v>283</v>
      </c>
      <c r="K36" s="19" t="s">
        <v>284</v>
      </c>
      <c r="L36" s="19" t="s">
        <v>38</v>
      </c>
      <c r="M36" s="20">
        <f t="shared" si="1"/>
        <v>0</v>
      </c>
      <c r="N36" s="22"/>
      <c r="O36" s="19" t="s">
        <v>1145</v>
      </c>
      <c r="P36" s="18"/>
      <c r="Q36" s="18"/>
      <c r="R36" s="23">
        <v>0.0</v>
      </c>
      <c r="S36" s="23">
        <v>0.0</v>
      </c>
      <c r="T36" s="23">
        <f t="shared" si="2"/>
        <v>0</v>
      </c>
      <c r="U36" s="23">
        <f t="shared" si="3"/>
        <v>0</v>
      </c>
      <c r="V36" s="23">
        <f t="shared" si="4"/>
        <v>0</v>
      </c>
      <c r="W36" s="24" t="str">
        <f t="shared" si="5"/>
        <v>#DIV/0!</v>
      </c>
    </row>
    <row r="37" hidden="1">
      <c r="A37" s="15" t="s">
        <v>1179</v>
      </c>
      <c r="B37" s="18"/>
      <c r="C37" s="15" t="s">
        <v>6173</v>
      </c>
      <c r="D37" s="18"/>
      <c r="E37" s="17" t="s">
        <v>590</v>
      </c>
      <c r="F37" s="18"/>
      <c r="G37" s="18"/>
      <c r="H37" s="15" t="s">
        <v>1180</v>
      </c>
      <c r="I37" s="18"/>
      <c r="J37" s="19" t="s">
        <v>283</v>
      </c>
      <c r="K37" s="19" t="s">
        <v>284</v>
      </c>
      <c r="L37" s="19" t="s">
        <v>38</v>
      </c>
      <c r="M37" s="20">
        <f t="shared" si="1"/>
        <v>0</v>
      </c>
      <c r="N37" s="22"/>
      <c r="O37" s="19" t="s">
        <v>1145</v>
      </c>
      <c r="P37" s="18"/>
      <c r="Q37" s="18"/>
      <c r="R37" s="23">
        <v>0.0</v>
      </c>
      <c r="S37" s="23">
        <v>0.0</v>
      </c>
      <c r="T37" s="23">
        <f t="shared" si="2"/>
        <v>0</v>
      </c>
      <c r="U37" s="23">
        <f t="shared" si="3"/>
        <v>0</v>
      </c>
      <c r="V37" s="23">
        <f t="shared" si="4"/>
        <v>0</v>
      </c>
      <c r="W37" s="24" t="str">
        <f t="shared" si="5"/>
        <v>#DIV/0!</v>
      </c>
    </row>
    <row r="38" hidden="1">
      <c r="A38" s="15" t="s">
        <v>1181</v>
      </c>
      <c r="B38" s="18"/>
      <c r="C38" s="15" t="s">
        <v>6174</v>
      </c>
      <c r="D38" s="18"/>
      <c r="E38" s="17" t="s">
        <v>1182</v>
      </c>
      <c r="F38" s="18"/>
      <c r="G38" s="18"/>
      <c r="H38" s="15" t="s">
        <v>1183</v>
      </c>
      <c r="I38" s="18"/>
      <c r="J38" s="19" t="s">
        <v>283</v>
      </c>
      <c r="K38" s="19" t="s">
        <v>284</v>
      </c>
      <c r="L38" s="19" t="s">
        <v>38</v>
      </c>
      <c r="M38" s="20">
        <f t="shared" si="1"/>
        <v>0</v>
      </c>
      <c r="N38" s="22"/>
      <c r="O38" s="19" t="s">
        <v>1145</v>
      </c>
      <c r="P38" s="18"/>
      <c r="Q38" s="18"/>
      <c r="R38" s="23">
        <v>0.0</v>
      </c>
      <c r="S38" s="23">
        <v>0.0</v>
      </c>
      <c r="T38" s="23">
        <f t="shared" si="2"/>
        <v>0</v>
      </c>
      <c r="U38" s="23">
        <f t="shared" si="3"/>
        <v>0</v>
      </c>
      <c r="V38" s="23">
        <f t="shared" si="4"/>
        <v>0</v>
      </c>
      <c r="W38" s="24" t="str">
        <f t="shared" si="5"/>
        <v>#DIV/0!</v>
      </c>
    </row>
    <row r="39">
      <c r="A39" s="15" t="s">
        <v>466</v>
      </c>
      <c r="B39" s="15" t="s">
        <v>467</v>
      </c>
      <c r="C39" s="15" t="s">
        <v>6175</v>
      </c>
      <c r="D39" s="15" t="s">
        <v>468</v>
      </c>
      <c r="E39" s="17" t="s">
        <v>469</v>
      </c>
      <c r="F39" s="18"/>
      <c r="G39" s="15" t="s">
        <v>470</v>
      </c>
      <c r="H39" s="15" t="s">
        <v>471</v>
      </c>
      <c r="I39" s="18"/>
      <c r="J39" s="19" t="s">
        <v>283</v>
      </c>
      <c r="K39" s="19" t="s">
        <v>284</v>
      </c>
      <c r="L39" s="19" t="s">
        <v>285</v>
      </c>
      <c r="M39" s="20">
        <f t="shared" si="1"/>
        <v>710.4</v>
      </c>
      <c r="N39" s="31">
        <v>5.0</v>
      </c>
      <c r="O39" s="19" t="s">
        <v>107</v>
      </c>
      <c r="P39" s="18"/>
      <c r="Q39" s="18"/>
      <c r="R39" s="23">
        <v>6.0</v>
      </c>
      <c r="S39" s="23">
        <v>40.0</v>
      </c>
      <c r="T39" s="23">
        <f t="shared" si="2"/>
        <v>38.4</v>
      </c>
      <c r="U39" s="23">
        <f t="shared" si="3"/>
        <v>7.35</v>
      </c>
      <c r="V39" s="23">
        <f t="shared" si="4"/>
        <v>137.8125</v>
      </c>
      <c r="W39" s="24">
        <f t="shared" si="5"/>
        <v>6.4</v>
      </c>
    </row>
    <row r="40">
      <c r="A40" s="15" t="s">
        <v>404</v>
      </c>
      <c r="B40" s="15" t="s">
        <v>405</v>
      </c>
      <c r="C40" s="15" t="s">
        <v>6176</v>
      </c>
      <c r="D40" s="15" t="s">
        <v>406</v>
      </c>
      <c r="E40" s="17" t="s">
        <v>407</v>
      </c>
      <c r="F40" s="18"/>
      <c r="G40" s="15" t="s">
        <v>408</v>
      </c>
      <c r="H40" s="15" t="s">
        <v>409</v>
      </c>
      <c r="I40" s="18"/>
      <c r="J40" s="19" t="s">
        <v>283</v>
      </c>
      <c r="K40" s="19" t="s">
        <v>284</v>
      </c>
      <c r="L40" s="19" t="s">
        <v>285</v>
      </c>
      <c r="M40" s="20">
        <f t="shared" si="1"/>
        <v>781.44</v>
      </c>
      <c r="N40" s="31">
        <v>5.0</v>
      </c>
      <c r="O40" s="19" t="s">
        <v>107</v>
      </c>
      <c r="P40" s="18"/>
      <c r="Q40" s="18"/>
      <c r="R40" s="23">
        <v>6.0</v>
      </c>
      <c r="S40" s="23">
        <v>44.0</v>
      </c>
      <c r="T40" s="23">
        <f t="shared" si="2"/>
        <v>42.24</v>
      </c>
      <c r="U40" s="23">
        <f t="shared" si="3"/>
        <v>7.35</v>
      </c>
      <c r="V40" s="23">
        <f t="shared" si="4"/>
        <v>137.8125</v>
      </c>
      <c r="W40" s="24">
        <f t="shared" si="5"/>
        <v>7.04</v>
      </c>
    </row>
    <row r="41">
      <c r="A41" s="15" t="s">
        <v>277</v>
      </c>
      <c r="B41" s="15" t="s">
        <v>278</v>
      </c>
      <c r="C41" s="15" t="s">
        <v>6177</v>
      </c>
      <c r="D41" s="15" t="s">
        <v>279</v>
      </c>
      <c r="E41" s="17" t="s">
        <v>280</v>
      </c>
      <c r="F41" s="18"/>
      <c r="G41" s="15" t="s">
        <v>281</v>
      </c>
      <c r="H41" s="15" t="s">
        <v>282</v>
      </c>
      <c r="I41" s="18"/>
      <c r="J41" s="19" t="s">
        <v>283</v>
      </c>
      <c r="K41" s="19" t="s">
        <v>284</v>
      </c>
      <c r="L41" s="19" t="s">
        <v>285</v>
      </c>
      <c r="M41" s="20">
        <f t="shared" si="1"/>
        <v>888</v>
      </c>
      <c r="N41" s="31">
        <v>5.0</v>
      </c>
      <c r="O41" s="19" t="s">
        <v>107</v>
      </c>
      <c r="P41" s="18"/>
      <c r="Q41" s="18"/>
      <c r="R41" s="23">
        <v>6.0</v>
      </c>
      <c r="S41" s="23">
        <v>50.0</v>
      </c>
      <c r="T41" s="23">
        <f t="shared" si="2"/>
        <v>48</v>
      </c>
      <c r="U41" s="23">
        <f t="shared" si="3"/>
        <v>7.35</v>
      </c>
      <c r="V41" s="23">
        <f t="shared" si="4"/>
        <v>137.8125</v>
      </c>
      <c r="W41" s="24">
        <f t="shared" si="5"/>
        <v>8</v>
      </c>
    </row>
    <row r="42">
      <c r="A42" s="15" t="s">
        <v>515</v>
      </c>
      <c r="B42" s="15" t="s">
        <v>516</v>
      </c>
      <c r="C42" s="15" t="s">
        <v>6178</v>
      </c>
      <c r="D42" s="15" t="s">
        <v>517</v>
      </c>
      <c r="E42" s="17" t="s">
        <v>518</v>
      </c>
      <c r="F42" s="18"/>
      <c r="G42" s="15" t="s">
        <v>519</v>
      </c>
      <c r="H42" s="15" t="s">
        <v>520</v>
      </c>
      <c r="I42" s="18"/>
      <c r="J42" s="19" t="s">
        <v>283</v>
      </c>
      <c r="K42" s="19" t="s">
        <v>284</v>
      </c>
      <c r="L42" s="19" t="s">
        <v>285</v>
      </c>
      <c r="M42" s="20">
        <f t="shared" si="1"/>
        <v>888</v>
      </c>
      <c r="N42" s="31">
        <v>5.0</v>
      </c>
      <c r="O42" s="19" t="s">
        <v>107</v>
      </c>
      <c r="P42" s="18"/>
      <c r="Q42" s="18"/>
      <c r="R42" s="23">
        <v>8.0</v>
      </c>
      <c r="S42" s="23">
        <v>50.0</v>
      </c>
      <c r="T42" s="23">
        <f t="shared" si="2"/>
        <v>48</v>
      </c>
      <c r="U42" s="23">
        <f t="shared" si="3"/>
        <v>9.8</v>
      </c>
      <c r="V42" s="23">
        <f t="shared" si="4"/>
        <v>183.75</v>
      </c>
      <c r="W42" s="24">
        <f t="shared" si="5"/>
        <v>6</v>
      </c>
    </row>
    <row r="43">
      <c r="A43" s="15" t="s">
        <v>586</v>
      </c>
      <c r="B43" s="15" t="s">
        <v>587</v>
      </c>
      <c r="C43" s="15" t="s">
        <v>6179</v>
      </c>
      <c r="D43" s="15" t="s">
        <v>588</v>
      </c>
      <c r="E43" s="17" t="s">
        <v>589</v>
      </c>
      <c r="F43" s="18"/>
      <c r="G43" s="15" t="s">
        <v>590</v>
      </c>
      <c r="H43" s="15" t="s">
        <v>591</v>
      </c>
      <c r="I43" s="18"/>
      <c r="J43" s="19" t="s">
        <v>283</v>
      </c>
      <c r="K43" s="19" t="s">
        <v>284</v>
      </c>
      <c r="L43" s="19" t="s">
        <v>285</v>
      </c>
      <c r="M43" s="20">
        <f t="shared" si="1"/>
        <v>888</v>
      </c>
      <c r="N43" s="31">
        <v>5.0</v>
      </c>
      <c r="O43" s="19" t="s">
        <v>107</v>
      </c>
      <c r="P43" s="18"/>
      <c r="Q43" s="18"/>
      <c r="R43" s="23">
        <v>9.0</v>
      </c>
      <c r="S43" s="23">
        <v>50.0</v>
      </c>
      <c r="T43" s="23">
        <f t="shared" si="2"/>
        <v>48</v>
      </c>
      <c r="U43" s="23">
        <f t="shared" si="3"/>
        <v>11.025</v>
      </c>
      <c r="V43" s="23">
        <f t="shared" si="4"/>
        <v>206.71875</v>
      </c>
      <c r="W43" s="24">
        <f t="shared" si="5"/>
        <v>5.333333333</v>
      </c>
    </row>
    <row r="44">
      <c r="A44" s="15" t="s">
        <v>575</v>
      </c>
      <c r="B44" s="15" t="s">
        <v>576</v>
      </c>
      <c r="C44" s="15" t="s">
        <v>6180</v>
      </c>
      <c r="D44" s="15" t="s">
        <v>577</v>
      </c>
      <c r="E44" s="17" t="s">
        <v>578</v>
      </c>
      <c r="F44" s="18"/>
      <c r="G44" s="15" t="s">
        <v>579</v>
      </c>
      <c r="H44" s="15" t="s">
        <v>580</v>
      </c>
      <c r="I44" s="18"/>
      <c r="J44" s="19" t="s">
        <v>283</v>
      </c>
      <c r="K44" s="19" t="s">
        <v>284</v>
      </c>
      <c r="L44" s="19" t="s">
        <v>285</v>
      </c>
      <c r="M44" s="20">
        <f t="shared" si="1"/>
        <v>1012.32</v>
      </c>
      <c r="N44" s="31">
        <v>5.0</v>
      </c>
      <c r="O44" s="19" t="s">
        <v>107</v>
      </c>
      <c r="P44" s="18"/>
      <c r="Q44" s="18"/>
      <c r="R44" s="23">
        <v>10.0</v>
      </c>
      <c r="S44" s="23">
        <v>57.0</v>
      </c>
      <c r="T44" s="23">
        <f t="shared" si="2"/>
        <v>54.72</v>
      </c>
      <c r="U44" s="23">
        <f t="shared" si="3"/>
        <v>12.25</v>
      </c>
      <c r="V44" s="23">
        <f t="shared" si="4"/>
        <v>229.6875</v>
      </c>
      <c r="W44" s="24">
        <f t="shared" si="5"/>
        <v>5.472</v>
      </c>
    </row>
    <row r="45" hidden="1">
      <c r="A45" s="15" t="s">
        <v>1184</v>
      </c>
      <c r="B45" s="18"/>
      <c r="C45" s="15" t="s">
        <v>6181</v>
      </c>
      <c r="D45" s="18"/>
      <c r="E45" s="17" t="s">
        <v>1185</v>
      </c>
      <c r="F45" s="18"/>
      <c r="G45" s="18"/>
      <c r="H45" s="15" t="s">
        <v>1186</v>
      </c>
      <c r="I45" s="18"/>
      <c r="J45" s="19" t="s">
        <v>283</v>
      </c>
      <c r="K45" s="19" t="s">
        <v>284</v>
      </c>
      <c r="L45" s="19" t="s">
        <v>38</v>
      </c>
      <c r="M45" s="20">
        <f t="shared" si="1"/>
        <v>0</v>
      </c>
      <c r="N45" s="22"/>
      <c r="O45" s="19" t="s">
        <v>1145</v>
      </c>
      <c r="P45" s="18"/>
      <c r="Q45" s="18"/>
      <c r="R45" s="23">
        <v>0.0</v>
      </c>
      <c r="S45" s="23">
        <v>0.0</v>
      </c>
      <c r="T45" s="23">
        <f t="shared" si="2"/>
        <v>0</v>
      </c>
      <c r="U45" s="23">
        <f t="shared" si="3"/>
        <v>0</v>
      </c>
      <c r="V45" s="23">
        <f t="shared" si="4"/>
        <v>0</v>
      </c>
      <c r="W45" s="24" t="str">
        <f t="shared" si="5"/>
        <v>#DIV/0!</v>
      </c>
    </row>
    <row r="46" hidden="1">
      <c r="A46" s="15" t="s">
        <v>1187</v>
      </c>
      <c r="B46" s="18"/>
      <c r="C46" s="15" t="s">
        <v>6182</v>
      </c>
      <c r="D46" s="18"/>
      <c r="E46" s="17" t="s">
        <v>1188</v>
      </c>
      <c r="F46" s="18"/>
      <c r="G46" s="18"/>
      <c r="H46" s="15" t="s">
        <v>1189</v>
      </c>
      <c r="I46" s="18"/>
      <c r="J46" s="19" t="s">
        <v>283</v>
      </c>
      <c r="K46" s="19" t="s">
        <v>284</v>
      </c>
      <c r="L46" s="19" t="s">
        <v>38</v>
      </c>
      <c r="M46" s="20">
        <f t="shared" si="1"/>
        <v>0</v>
      </c>
      <c r="N46" s="22"/>
      <c r="O46" s="19" t="s">
        <v>1145</v>
      </c>
      <c r="P46" s="18"/>
      <c r="Q46" s="18"/>
      <c r="R46" s="23">
        <v>0.0</v>
      </c>
      <c r="S46" s="23">
        <v>0.0</v>
      </c>
      <c r="T46" s="23">
        <f t="shared" si="2"/>
        <v>0</v>
      </c>
      <c r="U46" s="23">
        <f t="shared" si="3"/>
        <v>0</v>
      </c>
      <c r="V46" s="23">
        <f t="shared" si="4"/>
        <v>0</v>
      </c>
      <c r="W46" s="24" t="str">
        <f t="shared" si="5"/>
        <v>#DIV/0!</v>
      </c>
    </row>
    <row r="47" hidden="1">
      <c r="A47" s="15" t="s">
        <v>1190</v>
      </c>
      <c r="B47" s="18"/>
      <c r="C47" s="15" t="s">
        <v>6183</v>
      </c>
      <c r="D47" s="18"/>
      <c r="E47" s="17" t="s">
        <v>1191</v>
      </c>
      <c r="F47" s="18"/>
      <c r="G47" s="18"/>
      <c r="H47" s="15" t="s">
        <v>1192</v>
      </c>
      <c r="I47" s="18"/>
      <c r="J47" s="19" t="s">
        <v>283</v>
      </c>
      <c r="K47" s="19" t="s">
        <v>284</v>
      </c>
      <c r="L47" s="19" t="s">
        <v>38</v>
      </c>
      <c r="M47" s="20">
        <f t="shared" si="1"/>
        <v>0</v>
      </c>
      <c r="N47" s="22"/>
      <c r="O47" s="19" t="s">
        <v>1145</v>
      </c>
      <c r="P47" s="18"/>
      <c r="Q47" s="18"/>
      <c r="R47" s="23">
        <v>0.0</v>
      </c>
      <c r="S47" s="23">
        <v>0.0</v>
      </c>
      <c r="T47" s="23">
        <f t="shared" si="2"/>
        <v>0</v>
      </c>
      <c r="U47" s="23">
        <f t="shared" si="3"/>
        <v>0</v>
      </c>
      <c r="V47" s="23">
        <f t="shared" si="4"/>
        <v>0</v>
      </c>
      <c r="W47" s="24" t="str">
        <f t="shared" si="5"/>
        <v>#DIV/0!</v>
      </c>
    </row>
    <row r="48" hidden="1">
      <c r="A48" s="15" t="s">
        <v>1193</v>
      </c>
      <c r="B48" s="18"/>
      <c r="C48" s="15" t="s">
        <v>6184</v>
      </c>
      <c r="D48" s="18"/>
      <c r="E48" s="17" t="s">
        <v>1194</v>
      </c>
      <c r="F48" s="18"/>
      <c r="G48" s="18"/>
      <c r="H48" s="15" t="s">
        <v>1195</v>
      </c>
      <c r="I48" s="18"/>
      <c r="J48" s="19" t="s">
        <v>283</v>
      </c>
      <c r="K48" s="19" t="s">
        <v>284</v>
      </c>
      <c r="L48" s="19" t="s">
        <v>38</v>
      </c>
      <c r="M48" s="20">
        <f t="shared" si="1"/>
        <v>0</v>
      </c>
      <c r="N48" s="22"/>
      <c r="O48" s="19" t="s">
        <v>1145</v>
      </c>
      <c r="P48" s="18"/>
      <c r="Q48" s="18"/>
      <c r="R48" s="23">
        <v>0.0</v>
      </c>
      <c r="S48" s="23">
        <v>0.0</v>
      </c>
      <c r="T48" s="23">
        <f t="shared" si="2"/>
        <v>0</v>
      </c>
      <c r="U48" s="23">
        <f t="shared" si="3"/>
        <v>0</v>
      </c>
      <c r="V48" s="23">
        <f t="shared" si="4"/>
        <v>0</v>
      </c>
      <c r="W48" s="24" t="str">
        <f t="shared" si="5"/>
        <v>#DIV/0!</v>
      </c>
    </row>
    <row r="49" hidden="1">
      <c r="A49" s="15" t="s">
        <v>1196</v>
      </c>
      <c r="B49" s="18"/>
      <c r="C49" s="15" t="s">
        <v>6185</v>
      </c>
      <c r="D49" s="18"/>
      <c r="E49" s="17" t="s">
        <v>1185</v>
      </c>
      <c r="F49" s="18"/>
      <c r="G49" s="18"/>
      <c r="H49" s="15" t="s">
        <v>1186</v>
      </c>
      <c r="I49" s="18"/>
      <c r="J49" s="19" t="s">
        <v>283</v>
      </c>
      <c r="K49" s="19" t="s">
        <v>284</v>
      </c>
      <c r="L49" s="19" t="s">
        <v>38</v>
      </c>
      <c r="M49" s="20">
        <f t="shared" si="1"/>
        <v>0</v>
      </c>
      <c r="N49" s="22"/>
      <c r="O49" s="19" t="s">
        <v>1145</v>
      </c>
      <c r="P49" s="18"/>
      <c r="Q49" s="18"/>
      <c r="R49" s="23">
        <v>0.0</v>
      </c>
      <c r="S49" s="23">
        <v>0.0</v>
      </c>
      <c r="T49" s="23">
        <f t="shared" si="2"/>
        <v>0</v>
      </c>
      <c r="U49" s="23">
        <f t="shared" si="3"/>
        <v>0</v>
      </c>
      <c r="V49" s="23">
        <f t="shared" si="4"/>
        <v>0</v>
      </c>
      <c r="W49" s="24" t="str">
        <f t="shared" si="5"/>
        <v>#DIV/0!</v>
      </c>
    </row>
    <row r="50" hidden="1">
      <c r="A50" s="15" t="s">
        <v>1197</v>
      </c>
      <c r="B50" s="18"/>
      <c r="C50" s="15" t="s">
        <v>6186</v>
      </c>
      <c r="D50" s="18"/>
      <c r="E50" s="17" t="s">
        <v>1198</v>
      </c>
      <c r="F50" s="18"/>
      <c r="G50" s="18"/>
      <c r="H50" s="15" t="s">
        <v>1199</v>
      </c>
      <c r="I50" s="18"/>
      <c r="J50" s="19" t="s">
        <v>283</v>
      </c>
      <c r="K50" s="19" t="s">
        <v>284</v>
      </c>
      <c r="L50" s="19" t="s">
        <v>38</v>
      </c>
      <c r="M50" s="20">
        <f t="shared" si="1"/>
        <v>0</v>
      </c>
      <c r="N50" s="22"/>
      <c r="O50" s="19" t="s">
        <v>1145</v>
      </c>
      <c r="P50" s="18"/>
      <c r="Q50" s="18"/>
      <c r="R50" s="23">
        <v>0.0</v>
      </c>
      <c r="S50" s="23">
        <v>0.0</v>
      </c>
      <c r="T50" s="23">
        <f t="shared" si="2"/>
        <v>0</v>
      </c>
      <c r="U50" s="23">
        <f t="shared" si="3"/>
        <v>0</v>
      </c>
      <c r="V50" s="23">
        <f t="shared" si="4"/>
        <v>0</v>
      </c>
      <c r="W50" s="24" t="str">
        <f t="shared" si="5"/>
        <v>#DIV/0!</v>
      </c>
    </row>
    <row r="51" hidden="1">
      <c r="A51" s="15" t="s">
        <v>1200</v>
      </c>
      <c r="B51" s="18"/>
      <c r="C51" s="15" t="s">
        <v>6187</v>
      </c>
      <c r="D51" s="18"/>
      <c r="E51" s="17" t="s">
        <v>1201</v>
      </c>
      <c r="F51" s="18"/>
      <c r="G51" s="18"/>
      <c r="H51" s="15" t="s">
        <v>1202</v>
      </c>
      <c r="I51" s="18"/>
      <c r="J51" s="19" t="s">
        <v>283</v>
      </c>
      <c r="K51" s="19" t="s">
        <v>284</v>
      </c>
      <c r="L51" s="19" t="s">
        <v>38</v>
      </c>
      <c r="M51" s="20">
        <f t="shared" si="1"/>
        <v>0</v>
      </c>
      <c r="N51" s="22"/>
      <c r="O51" s="19" t="s">
        <v>1145</v>
      </c>
      <c r="P51" s="18"/>
      <c r="Q51" s="18"/>
      <c r="R51" s="23">
        <v>0.0</v>
      </c>
      <c r="S51" s="23">
        <v>0.0</v>
      </c>
      <c r="T51" s="23">
        <f t="shared" si="2"/>
        <v>0</v>
      </c>
      <c r="U51" s="23">
        <f t="shared" si="3"/>
        <v>0</v>
      </c>
      <c r="V51" s="23">
        <f t="shared" si="4"/>
        <v>0</v>
      </c>
      <c r="W51" s="24" t="str">
        <f t="shared" si="5"/>
        <v>#DIV/0!</v>
      </c>
    </row>
    <row r="52" hidden="1">
      <c r="A52" s="15" t="s">
        <v>1203</v>
      </c>
      <c r="B52" s="18"/>
      <c r="C52" s="15" t="s">
        <v>6188</v>
      </c>
      <c r="D52" s="18"/>
      <c r="E52" s="17" t="s">
        <v>1204</v>
      </c>
      <c r="F52" s="18"/>
      <c r="G52" s="18"/>
      <c r="H52" s="15" t="s">
        <v>1205</v>
      </c>
      <c r="I52" s="18"/>
      <c r="J52" s="19" t="s">
        <v>283</v>
      </c>
      <c r="K52" s="19" t="s">
        <v>284</v>
      </c>
      <c r="L52" s="19" t="s">
        <v>38</v>
      </c>
      <c r="M52" s="20">
        <f t="shared" si="1"/>
        <v>0</v>
      </c>
      <c r="N52" s="22"/>
      <c r="O52" s="19" t="s">
        <v>1145</v>
      </c>
      <c r="P52" s="18"/>
      <c r="Q52" s="18"/>
      <c r="R52" s="23">
        <v>0.0</v>
      </c>
      <c r="S52" s="23">
        <v>0.0</v>
      </c>
      <c r="T52" s="23">
        <f t="shared" si="2"/>
        <v>0</v>
      </c>
      <c r="U52" s="23">
        <f t="shared" si="3"/>
        <v>0</v>
      </c>
      <c r="V52" s="23">
        <f t="shared" si="4"/>
        <v>0</v>
      </c>
      <c r="W52" s="24" t="str">
        <f t="shared" si="5"/>
        <v>#DIV/0!</v>
      </c>
    </row>
    <row r="53" hidden="1">
      <c r="A53" s="15" t="s">
        <v>1206</v>
      </c>
      <c r="B53" s="18"/>
      <c r="C53" s="15" t="s">
        <v>6189</v>
      </c>
      <c r="D53" s="18"/>
      <c r="E53" s="17" t="s">
        <v>1207</v>
      </c>
      <c r="F53" s="18"/>
      <c r="G53" s="18"/>
      <c r="H53" s="15" t="s">
        <v>1208</v>
      </c>
      <c r="I53" s="18"/>
      <c r="J53" s="19" t="s">
        <v>283</v>
      </c>
      <c r="K53" s="19" t="s">
        <v>284</v>
      </c>
      <c r="L53" s="19" t="s">
        <v>38</v>
      </c>
      <c r="M53" s="20">
        <f t="shared" si="1"/>
        <v>0</v>
      </c>
      <c r="N53" s="22"/>
      <c r="O53" s="19" t="s">
        <v>1145</v>
      </c>
      <c r="P53" s="18"/>
      <c r="Q53" s="18"/>
      <c r="R53" s="23">
        <v>0.0</v>
      </c>
      <c r="S53" s="23">
        <v>0.0</v>
      </c>
      <c r="T53" s="23">
        <f t="shared" si="2"/>
        <v>0</v>
      </c>
      <c r="U53" s="23">
        <f t="shared" si="3"/>
        <v>0</v>
      </c>
      <c r="V53" s="23">
        <f t="shared" si="4"/>
        <v>0</v>
      </c>
      <c r="W53" s="24" t="str">
        <f t="shared" si="5"/>
        <v>#DIV/0!</v>
      </c>
    </row>
    <row r="54" hidden="1">
      <c r="A54" s="15" t="s">
        <v>1209</v>
      </c>
      <c r="B54" s="18"/>
      <c r="C54" s="15" t="s">
        <v>6190</v>
      </c>
      <c r="D54" s="18"/>
      <c r="E54" s="17" t="s">
        <v>1210</v>
      </c>
      <c r="F54" s="18"/>
      <c r="G54" s="18"/>
      <c r="H54" s="15" t="s">
        <v>1211</v>
      </c>
      <c r="I54" s="18"/>
      <c r="J54" s="19" t="s">
        <v>283</v>
      </c>
      <c r="K54" s="19" t="s">
        <v>284</v>
      </c>
      <c r="L54" s="19" t="s">
        <v>38</v>
      </c>
      <c r="M54" s="20">
        <f t="shared" si="1"/>
        <v>0</v>
      </c>
      <c r="N54" s="22"/>
      <c r="O54" s="19" t="s">
        <v>1145</v>
      </c>
      <c r="P54" s="18"/>
      <c r="Q54" s="18"/>
      <c r="R54" s="23">
        <v>0.0</v>
      </c>
      <c r="S54" s="23">
        <v>0.0</v>
      </c>
      <c r="T54" s="23">
        <f t="shared" si="2"/>
        <v>0</v>
      </c>
      <c r="U54" s="23">
        <f t="shared" si="3"/>
        <v>0</v>
      </c>
      <c r="V54" s="23">
        <f t="shared" si="4"/>
        <v>0</v>
      </c>
      <c r="W54" s="24" t="str">
        <f t="shared" si="5"/>
        <v>#DIV/0!</v>
      </c>
    </row>
    <row r="55" hidden="1">
      <c r="A55" s="15" t="s">
        <v>1212</v>
      </c>
      <c r="B55" s="18"/>
      <c r="C55" s="15" t="s">
        <v>6191</v>
      </c>
      <c r="D55" s="18"/>
      <c r="E55" s="17" t="s">
        <v>1213</v>
      </c>
      <c r="F55" s="18"/>
      <c r="G55" s="18"/>
      <c r="H55" s="18"/>
      <c r="I55" s="18"/>
      <c r="J55" s="19" t="s">
        <v>283</v>
      </c>
      <c r="K55" s="19" t="s">
        <v>284</v>
      </c>
      <c r="L55" s="19" t="s">
        <v>38</v>
      </c>
      <c r="M55" s="20">
        <f t="shared" si="1"/>
        <v>0</v>
      </c>
      <c r="N55" s="22"/>
      <c r="O55" s="19" t="s">
        <v>1145</v>
      </c>
      <c r="P55" s="18"/>
      <c r="Q55" s="18"/>
      <c r="R55" s="23">
        <v>0.0</v>
      </c>
      <c r="S55" s="23">
        <v>0.0</v>
      </c>
      <c r="T55" s="23">
        <f t="shared" si="2"/>
        <v>0</v>
      </c>
      <c r="U55" s="23">
        <f t="shared" si="3"/>
        <v>0</v>
      </c>
      <c r="V55" s="23">
        <f t="shared" si="4"/>
        <v>0</v>
      </c>
      <c r="W55" s="24" t="str">
        <f t="shared" si="5"/>
        <v>#DIV/0!</v>
      </c>
    </row>
    <row r="56" hidden="1">
      <c r="A56" s="15" t="s">
        <v>1214</v>
      </c>
      <c r="B56" s="18"/>
      <c r="C56" s="15" t="s">
        <v>6192</v>
      </c>
      <c r="D56" s="18"/>
      <c r="E56" s="17" t="s">
        <v>1215</v>
      </c>
      <c r="F56" s="18"/>
      <c r="G56" s="18"/>
      <c r="H56" s="15" t="s">
        <v>1216</v>
      </c>
      <c r="I56" s="18"/>
      <c r="J56" s="19" t="s">
        <v>283</v>
      </c>
      <c r="K56" s="19" t="s">
        <v>284</v>
      </c>
      <c r="L56" s="19" t="s">
        <v>38</v>
      </c>
      <c r="M56" s="20">
        <f t="shared" si="1"/>
        <v>0</v>
      </c>
      <c r="N56" s="22"/>
      <c r="O56" s="19" t="s">
        <v>1145</v>
      </c>
      <c r="P56" s="18"/>
      <c r="Q56" s="18"/>
      <c r="R56" s="23">
        <v>0.0</v>
      </c>
      <c r="S56" s="23">
        <v>0.0</v>
      </c>
      <c r="T56" s="23">
        <f t="shared" si="2"/>
        <v>0</v>
      </c>
      <c r="U56" s="23">
        <f t="shared" si="3"/>
        <v>0</v>
      </c>
      <c r="V56" s="23">
        <f t="shared" si="4"/>
        <v>0</v>
      </c>
      <c r="W56" s="24" t="str">
        <f t="shared" si="5"/>
        <v>#DIV/0!</v>
      </c>
    </row>
    <row r="57" hidden="1">
      <c r="A57" s="15" t="s">
        <v>1217</v>
      </c>
      <c r="B57" s="18"/>
      <c r="C57" s="15" t="s">
        <v>6193</v>
      </c>
      <c r="D57" s="18"/>
      <c r="E57" s="17" t="s">
        <v>1218</v>
      </c>
      <c r="F57" s="18"/>
      <c r="G57" s="18"/>
      <c r="H57" s="15" t="s">
        <v>1219</v>
      </c>
      <c r="I57" s="18"/>
      <c r="J57" s="19" t="s">
        <v>283</v>
      </c>
      <c r="K57" s="19" t="s">
        <v>284</v>
      </c>
      <c r="L57" s="19" t="s">
        <v>38</v>
      </c>
      <c r="M57" s="20">
        <f t="shared" si="1"/>
        <v>0</v>
      </c>
      <c r="N57" s="22"/>
      <c r="O57" s="19" t="s">
        <v>1145</v>
      </c>
      <c r="P57" s="18"/>
      <c r="Q57" s="18"/>
      <c r="R57" s="23">
        <v>0.0</v>
      </c>
      <c r="S57" s="23">
        <v>0.0</v>
      </c>
      <c r="T57" s="23">
        <f t="shared" si="2"/>
        <v>0</v>
      </c>
      <c r="U57" s="23">
        <f t="shared" si="3"/>
        <v>0</v>
      </c>
      <c r="V57" s="23">
        <f t="shared" si="4"/>
        <v>0</v>
      </c>
      <c r="W57" s="24" t="str">
        <f t="shared" si="5"/>
        <v>#DIV/0!</v>
      </c>
    </row>
    <row r="58" hidden="1">
      <c r="A58" s="15" t="s">
        <v>1220</v>
      </c>
      <c r="B58" s="18"/>
      <c r="C58" s="15" t="s">
        <v>6194</v>
      </c>
      <c r="D58" s="18"/>
      <c r="E58" s="17" t="s">
        <v>1221</v>
      </c>
      <c r="F58" s="18"/>
      <c r="G58" s="18"/>
      <c r="H58" s="15" t="s">
        <v>1222</v>
      </c>
      <c r="I58" s="18"/>
      <c r="J58" s="19" t="s">
        <v>283</v>
      </c>
      <c r="K58" s="19" t="s">
        <v>284</v>
      </c>
      <c r="L58" s="19" t="s">
        <v>38</v>
      </c>
      <c r="M58" s="20">
        <f t="shared" si="1"/>
        <v>0</v>
      </c>
      <c r="N58" s="22"/>
      <c r="O58" s="19" t="s">
        <v>1145</v>
      </c>
      <c r="P58" s="18"/>
      <c r="Q58" s="18"/>
      <c r="R58" s="23">
        <v>0.0</v>
      </c>
      <c r="S58" s="23">
        <v>0.0</v>
      </c>
      <c r="T58" s="23">
        <f t="shared" si="2"/>
        <v>0</v>
      </c>
      <c r="U58" s="23">
        <f t="shared" si="3"/>
        <v>0</v>
      </c>
      <c r="V58" s="23">
        <f t="shared" si="4"/>
        <v>0</v>
      </c>
      <c r="W58" s="24" t="str">
        <f t="shared" si="5"/>
        <v>#DIV/0!</v>
      </c>
    </row>
    <row r="59" hidden="1">
      <c r="A59" s="15" t="s">
        <v>1223</v>
      </c>
      <c r="B59" s="18"/>
      <c r="C59" s="15" t="s">
        <v>6195</v>
      </c>
      <c r="D59" s="18"/>
      <c r="E59" s="17" t="s">
        <v>1224</v>
      </c>
      <c r="F59" s="18"/>
      <c r="G59" s="18"/>
      <c r="H59" s="15" t="s">
        <v>1156</v>
      </c>
      <c r="I59" s="18"/>
      <c r="J59" s="19" t="s">
        <v>283</v>
      </c>
      <c r="K59" s="19" t="s">
        <v>284</v>
      </c>
      <c r="L59" s="19" t="s">
        <v>38</v>
      </c>
      <c r="M59" s="20">
        <f t="shared" si="1"/>
        <v>0</v>
      </c>
      <c r="N59" s="22"/>
      <c r="O59" s="19" t="s">
        <v>1145</v>
      </c>
      <c r="P59" s="18"/>
      <c r="Q59" s="18"/>
      <c r="R59" s="23">
        <v>0.0</v>
      </c>
      <c r="S59" s="23">
        <v>0.0</v>
      </c>
      <c r="T59" s="23">
        <f t="shared" si="2"/>
        <v>0</v>
      </c>
      <c r="U59" s="23">
        <f t="shared" si="3"/>
        <v>0</v>
      </c>
      <c r="V59" s="23">
        <f t="shared" si="4"/>
        <v>0</v>
      </c>
      <c r="W59" s="24" t="str">
        <f t="shared" si="5"/>
        <v>#DIV/0!</v>
      </c>
    </row>
    <row r="60" hidden="1">
      <c r="A60" s="15" t="s">
        <v>1225</v>
      </c>
      <c r="B60" s="18"/>
      <c r="C60" s="15" t="s">
        <v>6196</v>
      </c>
      <c r="D60" s="18"/>
      <c r="E60" s="17" t="s">
        <v>1226</v>
      </c>
      <c r="F60" s="18"/>
      <c r="G60" s="18"/>
      <c r="H60" s="15" t="s">
        <v>1156</v>
      </c>
      <c r="I60" s="18"/>
      <c r="J60" s="19" t="s">
        <v>283</v>
      </c>
      <c r="K60" s="19" t="s">
        <v>284</v>
      </c>
      <c r="L60" s="19" t="s">
        <v>38</v>
      </c>
      <c r="M60" s="20">
        <f t="shared" si="1"/>
        <v>0</v>
      </c>
      <c r="N60" s="22"/>
      <c r="O60" s="19" t="s">
        <v>1145</v>
      </c>
      <c r="P60" s="18"/>
      <c r="Q60" s="18"/>
      <c r="R60" s="23">
        <v>0.0</v>
      </c>
      <c r="S60" s="23">
        <v>0.0</v>
      </c>
      <c r="T60" s="23">
        <f t="shared" si="2"/>
        <v>0</v>
      </c>
      <c r="U60" s="23">
        <f t="shared" si="3"/>
        <v>0</v>
      </c>
      <c r="V60" s="23">
        <f t="shared" si="4"/>
        <v>0</v>
      </c>
      <c r="W60" s="24" t="str">
        <f t="shared" si="5"/>
        <v>#DIV/0!</v>
      </c>
    </row>
    <row r="61" hidden="1">
      <c r="A61" s="15" t="s">
        <v>3654</v>
      </c>
      <c r="B61" s="15" t="s">
        <v>3655</v>
      </c>
      <c r="C61" s="15" t="s">
        <v>6197</v>
      </c>
      <c r="D61" s="15" t="s">
        <v>3656</v>
      </c>
      <c r="E61" s="17" t="s">
        <v>3657</v>
      </c>
      <c r="F61" s="18"/>
      <c r="G61" s="18"/>
      <c r="H61" s="15" t="s">
        <v>3658</v>
      </c>
      <c r="I61" s="18"/>
      <c r="J61" s="19" t="s">
        <v>283</v>
      </c>
      <c r="K61" s="19" t="s">
        <v>1269</v>
      </c>
      <c r="L61" s="19" t="s">
        <v>38</v>
      </c>
      <c r="M61" s="20">
        <f t="shared" si="1"/>
        <v>0</v>
      </c>
      <c r="N61" s="22"/>
      <c r="O61" s="19" t="s">
        <v>3578</v>
      </c>
      <c r="P61" s="18"/>
      <c r="Q61" s="18"/>
      <c r="R61" s="23">
        <v>0.0</v>
      </c>
      <c r="S61" s="23">
        <v>0.0</v>
      </c>
      <c r="T61" s="23">
        <f t="shared" si="2"/>
        <v>0</v>
      </c>
      <c r="U61" s="23">
        <f t="shared" si="3"/>
        <v>0</v>
      </c>
      <c r="V61" s="23">
        <f t="shared" si="4"/>
        <v>0</v>
      </c>
      <c r="W61" s="24" t="str">
        <f t="shared" si="5"/>
        <v>#DIV/0!</v>
      </c>
    </row>
    <row r="62" hidden="1">
      <c r="A62" s="15" t="s">
        <v>1227</v>
      </c>
      <c r="B62" s="18"/>
      <c r="C62" s="15" t="s">
        <v>6198</v>
      </c>
      <c r="D62" s="18"/>
      <c r="E62" s="17" t="s">
        <v>1228</v>
      </c>
      <c r="F62" s="18"/>
      <c r="G62" s="18"/>
      <c r="H62" s="15" t="s">
        <v>1229</v>
      </c>
      <c r="I62" s="18"/>
      <c r="J62" s="19" t="s">
        <v>283</v>
      </c>
      <c r="K62" s="19" t="s">
        <v>1230</v>
      </c>
      <c r="L62" s="19" t="s">
        <v>38</v>
      </c>
      <c r="M62" s="20">
        <f t="shared" si="1"/>
        <v>0</v>
      </c>
      <c r="N62" s="22"/>
      <c r="O62" s="19" t="s">
        <v>1145</v>
      </c>
      <c r="P62" s="18"/>
      <c r="Q62" s="18"/>
      <c r="R62" s="23">
        <v>0.0</v>
      </c>
      <c r="S62" s="23">
        <v>0.0</v>
      </c>
      <c r="T62" s="23">
        <f t="shared" si="2"/>
        <v>0</v>
      </c>
      <c r="U62" s="23">
        <f t="shared" si="3"/>
        <v>0</v>
      </c>
      <c r="V62" s="23">
        <f t="shared" si="4"/>
        <v>0</v>
      </c>
      <c r="W62" s="24" t="str">
        <f t="shared" si="5"/>
        <v>#DIV/0!</v>
      </c>
    </row>
    <row r="63" hidden="1">
      <c r="A63" s="15" t="s">
        <v>1231</v>
      </c>
      <c r="B63" s="18"/>
      <c r="C63" s="15" t="s">
        <v>6199</v>
      </c>
      <c r="D63" s="18"/>
      <c r="E63" s="17" t="s">
        <v>1232</v>
      </c>
      <c r="F63" s="18"/>
      <c r="G63" s="18"/>
      <c r="H63" s="15" t="s">
        <v>1233</v>
      </c>
      <c r="I63" s="18"/>
      <c r="J63" s="19" t="s">
        <v>283</v>
      </c>
      <c r="K63" s="19" t="s">
        <v>37</v>
      </c>
      <c r="L63" s="19" t="s">
        <v>38</v>
      </c>
      <c r="M63" s="20">
        <f t="shared" si="1"/>
        <v>0</v>
      </c>
      <c r="N63" s="22"/>
      <c r="O63" s="19" t="s">
        <v>1145</v>
      </c>
      <c r="P63" s="18"/>
      <c r="Q63" s="18"/>
      <c r="R63" s="23">
        <v>0.0</v>
      </c>
      <c r="S63" s="23">
        <v>0.0</v>
      </c>
      <c r="T63" s="23">
        <f t="shared" si="2"/>
        <v>0</v>
      </c>
      <c r="U63" s="23">
        <f t="shared" si="3"/>
        <v>0</v>
      </c>
      <c r="V63" s="23">
        <f t="shared" si="4"/>
        <v>0</v>
      </c>
      <c r="W63" s="24" t="str">
        <f t="shared" si="5"/>
        <v>#DIV/0!</v>
      </c>
    </row>
    <row r="64" hidden="1">
      <c r="A64" s="15" t="s">
        <v>3659</v>
      </c>
      <c r="B64" s="18"/>
      <c r="C64" s="15" t="s">
        <v>6200</v>
      </c>
      <c r="D64" s="18"/>
      <c r="E64" s="17" t="s">
        <v>6201</v>
      </c>
      <c r="F64" s="18"/>
      <c r="G64" s="18"/>
      <c r="H64" s="15" t="s">
        <v>3662</v>
      </c>
      <c r="I64" s="18"/>
      <c r="J64" s="19" t="s">
        <v>283</v>
      </c>
      <c r="K64" s="19" t="s">
        <v>37</v>
      </c>
      <c r="L64" s="19" t="s">
        <v>38</v>
      </c>
      <c r="M64" s="20">
        <f t="shared" si="1"/>
        <v>0</v>
      </c>
      <c r="N64" s="22"/>
      <c r="O64" s="19" t="s">
        <v>1145</v>
      </c>
      <c r="P64" s="18"/>
      <c r="Q64" s="18"/>
      <c r="R64" s="23">
        <v>0.0</v>
      </c>
      <c r="S64" s="23">
        <v>0.0</v>
      </c>
      <c r="T64" s="23">
        <f t="shared" si="2"/>
        <v>0</v>
      </c>
      <c r="U64" s="23">
        <f t="shared" si="3"/>
        <v>0</v>
      </c>
      <c r="V64" s="23">
        <f t="shared" si="4"/>
        <v>0</v>
      </c>
      <c r="W64" s="24" t="str">
        <f t="shared" si="5"/>
        <v>#DIV/0!</v>
      </c>
    </row>
    <row r="65" hidden="1">
      <c r="A65" s="15" t="s">
        <v>3663</v>
      </c>
      <c r="B65" s="18"/>
      <c r="C65" s="15" t="s">
        <v>6202</v>
      </c>
      <c r="D65" s="18"/>
      <c r="E65" s="17" t="s">
        <v>6203</v>
      </c>
      <c r="F65" s="18"/>
      <c r="G65" s="18"/>
      <c r="H65" s="15" t="s">
        <v>3665</v>
      </c>
      <c r="I65" s="18"/>
      <c r="J65" s="19" t="s">
        <v>283</v>
      </c>
      <c r="K65" s="19" t="s">
        <v>37</v>
      </c>
      <c r="L65" s="19" t="s">
        <v>38</v>
      </c>
      <c r="M65" s="20">
        <f t="shared" si="1"/>
        <v>0</v>
      </c>
      <c r="N65" s="22"/>
      <c r="O65" s="19" t="s">
        <v>1145</v>
      </c>
      <c r="P65" s="18"/>
      <c r="Q65" s="18"/>
      <c r="R65" s="23">
        <v>0.0</v>
      </c>
      <c r="S65" s="23">
        <v>0.0</v>
      </c>
      <c r="T65" s="23">
        <f t="shared" si="2"/>
        <v>0</v>
      </c>
      <c r="U65" s="23">
        <f t="shared" si="3"/>
        <v>0</v>
      </c>
      <c r="V65" s="23">
        <f t="shared" si="4"/>
        <v>0</v>
      </c>
      <c r="W65" s="24" t="str">
        <f t="shared" si="5"/>
        <v>#DIV/0!</v>
      </c>
    </row>
    <row r="66" hidden="1">
      <c r="A66" s="15" t="s">
        <v>1234</v>
      </c>
      <c r="B66" s="18"/>
      <c r="C66" s="15" t="s">
        <v>6204</v>
      </c>
      <c r="D66" s="18"/>
      <c r="E66" s="17" t="s">
        <v>1235</v>
      </c>
      <c r="F66" s="18"/>
      <c r="G66" s="18"/>
      <c r="H66" s="15" t="s">
        <v>1236</v>
      </c>
      <c r="I66" s="18"/>
      <c r="J66" s="19" t="s">
        <v>283</v>
      </c>
      <c r="K66" s="19" t="s">
        <v>37</v>
      </c>
      <c r="L66" s="19" t="s">
        <v>38</v>
      </c>
      <c r="M66" s="20">
        <f t="shared" si="1"/>
        <v>0</v>
      </c>
      <c r="N66" s="22"/>
      <c r="O66" s="19" t="s">
        <v>1145</v>
      </c>
      <c r="P66" s="18"/>
      <c r="Q66" s="18"/>
      <c r="R66" s="23">
        <v>0.0</v>
      </c>
      <c r="S66" s="23">
        <v>0.0</v>
      </c>
      <c r="T66" s="23">
        <f t="shared" si="2"/>
        <v>0</v>
      </c>
      <c r="U66" s="23">
        <f t="shared" si="3"/>
        <v>0</v>
      </c>
      <c r="V66" s="23">
        <f t="shared" si="4"/>
        <v>0</v>
      </c>
      <c r="W66" s="24" t="str">
        <f t="shared" si="5"/>
        <v>#DIV/0!</v>
      </c>
    </row>
    <row r="67" hidden="1">
      <c r="A67" s="15" t="s">
        <v>3666</v>
      </c>
      <c r="B67" s="15" t="s">
        <v>3667</v>
      </c>
      <c r="C67" s="15" t="s">
        <v>6205</v>
      </c>
      <c r="D67" s="15" t="s">
        <v>3668</v>
      </c>
      <c r="E67" s="17" t="s">
        <v>3669</v>
      </c>
      <c r="F67" s="18"/>
      <c r="G67" s="18"/>
      <c r="H67" s="15" t="s">
        <v>3670</v>
      </c>
      <c r="I67" s="18"/>
      <c r="J67" s="19" t="s">
        <v>283</v>
      </c>
      <c r="K67" s="19" t="s">
        <v>603</v>
      </c>
      <c r="L67" s="19" t="s">
        <v>38</v>
      </c>
      <c r="M67" s="20">
        <f t="shared" si="1"/>
        <v>0</v>
      </c>
      <c r="N67" s="22"/>
      <c r="O67" s="19" t="s">
        <v>3578</v>
      </c>
      <c r="P67" s="18"/>
      <c r="Q67" s="18"/>
      <c r="R67" s="23">
        <v>0.0</v>
      </c>
      <c r="S67" s="23">
        <v>0.0</v>
      </c>
      <c r="T67" s="23">
        <f t="shared" si="2"/>
        <v>0</v>
      </c>
      <c r="U67" s="23">
        <f t="shared" si="3"/>
        <v>0</v>
      </c>
      <c r="V67" s="23">
        <f t="shared" si="4"/>
        <v>0</v>
      </c>
      <c r="W67" s="24" t="str">
        <f t="shared" si="5"/>
        <v>#DIV/0!</v>
      </c>
    </row>
    <row r="68" hidden="1">
      <c r="A68" s="15" t="s">
        <v>3671</v>
      </c>
      <c r="B68" s="15" t="s">
        <v>3672</v>
      </c>
      <c r="C68" s="15" t="s">
        <v>6206</v>
      </c>
      <c r="D68" s="15" t="s">
        <v>3673</v>
      </c>
      <c r="E68" s="17" t="s">
        <v>3674</v>
      </c>
      <c r="F68" s="18"/>
      <c r="G68" s="18"/>
      <c r="H68" s="15" t="s">
        <v>3675</v>
      </c>
      <c r="I68" s="18"/>
      <c r="J68" s="19" t="s">
        <v>283</v>
      </c>
      <c r="K68" s="19" t="s">
        <v>603</v>
      </c>
      <c r="L68" s="19" t="s">
        <v>38</v>
      </c>
      <c r="M68" s="20">
        <f t="shared" si="1"/>
        <v>0</v>
      </c>
      <c r="N68" s="22"/>
      <c r="O68" s="19" t="s">
        <v>3578</v>
      </c>
      <c r="P68" s="18"/>
      <c r="Q68" s="18"/>
      <c r="R68" s="23">
        <v>0.0</v>
      </c>
      <c r="S68" s="23">
        <v>0.0</v>
      </c>
      <c r="T68" s="23">
        <f t="shared" si="2"/>
        <v>0</v>
      </c>
      <c r="U68" s="23">
        <f t="shared" si="3"/>
        <v>0</v>
      </c>
      <c r="V68" s="23">
        <f t="shared" si="4"/>
        <v>0</v>
      </c>
      <c r="W68" s="24" t="str">
        <f t="shared" si="5"/>
        <v>#DIV/0!</v>
      </c>
    </row>
    <row r="69" hidden="1">
      <c r="A69" s="15" t="s">
        <v>1237</v>
      </c>
      <c r="B69" s="18"/>
      <c r="C69" s="15" t="s">
        <v>6207</v>
      </c>
      <c r="D69" s="18"/>
      <c r="E69" s="17" t="s">
        <v>1238</v>
      </c>
      <c r="F69" s="18"/>
      <c r="G69" s="18"/>
      <c r="H69" s="15" t="s">
        <v>1239</v>
      </c>
      <c r="I69" s="18"/>
      <c r="J69" s="19" t="s">
        <v>283</v>
      </c>
      <c r="K69" s="19" t="s">
        <v>603</v>
      </c>
      <c r="L69" s="19" t="s">
        <v>38</v>
      </c>
      <c r="M69" s="20">
        <f t="shared" si="1"/>
        <v>0</v>
      </c>
      <c r="N69" s="22"/>
      <c r="O69" s="19" t="s">
        <v>1145</v>
      </c>
      <c r="P69" s="18"/>
      <c r="Q69" s="18"/>
      <c r="R69" s="23">
        <v>0.0</v>
      </c>
      <c r="S69" s="23">
        <v>0.0</v>
      </c>
      <c r="T69" s="23">
        <f t="shared" si="2"/>
        <v>0</v>
      </c>
      <c r="U69" s="23">
        <f t="shared" si="3"/>
        <v>0</v>
      </c>
      <c r="V69" s="23">
        <f t="shared" si="4"/>
        <v>0</v>
      </c>
      <c r="W69" s="24" t="str">
        <f t="shared" si="5"/>
        <v>#DIV/0!</v>
      </c>
    </row>
    <row r="70" hidden="1">
      <c r="A70" s="15" t="s">
        <v>3676</v>
      </c>
      <c r="B70" s="15" t="s">
        <v>3677</v>
      </c>
      <c r="C70" s="15" t="s">
        <v>6208</v>
      </c>
      <c r="D70" s="15" t="s">
        <v>3678</v>
      </c>
      <c r="E70" s="17" t="s">
        <v>3679</v>
      </c>
      <c r="F70" s="18"/>
      <c r="G70" s="18"/>
      <c r="H70" s="15" t="s">
        <v>3680</v>
      </c>
      <c r="I70" s="18"/>
      <c r="J70" s="19" t="s">
        <v>283</v>
      </c>
      <c r="K70" s="19" t="s">
        <v>603</v>
      </c>
      <c r="L70" s="19" t="s">
        <v>38</v>
      </c>
      <c r="M70" s="20">
        <f t="shared" si="1"/>
        <v>0</v>
      </c>
      <c r="N70" s="22"/>
      <c r="O70" s="19" t="s">
        <v>3578</v>
      </c>
      <c r="P70" s="18"/>
      <c r="Q70" s="18"/>
      <c r="R70" s="23">
        <v>0.0</v>
      </c>
      <c r="S70" s="23">
        <v>0.0</v>
      </c>
      <c r="T70" s="23">
        <f t="shared" si="2"/>
        <v>0</v>
      </c>
      <c r="U70" s="23">
        <f t="shared" si="3"/>
        <v>0</v>
      </c>
      <c r="V70" s="23">
        <f t="shared" si="4"/>
        <v>0</v>
      </c>
      <c r="W70" s="24" t="str">
        <f t="shared" si="5"/>
        <v>#DIV/0!</v>
      </c>
    </row>
    <row r="71" hidden="1">
      <c r="A71" s="15" t="s">
        <v>3681</v>
      </c>
      <c r="B71" s="15" t="s">
        <v>3682</v>
      </c>
      <c r="C71" s="15" t="s">
        <v>6209</v>
      </c>
      <c r="D71" s="18"/>
      <c r="E71" s="17" t="s">
        <v>3683</v>
      </c>
      <c r="F71" s="18"/>
      <c r="G71" s="18"/>
      <c r="H71" s="15" t="s">
        <v>3684</v>
      </c>
      <c r="I71" s="18"/>
      <c r="J71" s="19" t="s">
        <v>283</v>
      </c>
      <c r="K71" s="19" t="s">
        <v>1230</v>
      </c>
      <c r="L71" s="19" t="s">
        <v>38</v>
      </c>
      <c r="M71" s="20">
        <f t="shared" si="1"/>
        <v>0</v>
      </c>
      <c r="N71" s="22"/>
      <c r="O71" s="19" t="s">
        <v>3578</v>
      </c>
      <c r="P71" s="18"/>
      <c r="Q71" s="18"/>
      <c r="R71" s="23">
        <v>0.0</v>
      </c>
      <c r="S71" s="23">
        <v>0.0</v>
      </c>
      <c r="T71" s="23">
        <f t="shared" si="2"/>
        <v>0</v>
      </c>
      <c r="U71" s="23">
        <f t="shared" si="3"/>
        <v>0</v>
      </c>
      <c r="V71" s="23">
        <f t="shared" si="4"/>
        <v>0</v>
      </c>
      <c r="W71" s="24" t="str">
        <f t="shared" si="5"/>
        <v>#DIV/0!</v>
      </c>
    </row>
    <row r="72" hidden="1">
      <c r="A72" s="15" t="s">
        <v>3685</v>
      </c>
      <c r="B72" s="18"/>
      <c r="C72" s="15" t="s">
        <v>6210</v>
      </c>
      <c r="D72" s="18"/>
      <c r="E72" s="17" t="s">
        <v>6211</v>
      </c>
      <c r="F72" s="18"/>
      <c r="G72" s="18"/>
      <c r="H72" s="15" t="s">
        <v>3687</v>
      </c>
      <c r="I72" s="18"/>
      <c r="J72" s="19" t="s">
        <v>283</v>
      </c>
      <c r="K72" s="19" t="s">
        <v>603</v>
      </c>
      <c r="L72" s="19" t="s">
        <v>38</v>
      </c>
      <c r="M72" s="20">
        <f t="shared" si="1"/>
        <v>0</v>
      </c>
      <c r="N72" s="22"/>
      <c r="O72" s="19" t="s">
        <v>1145</v>
      </c>
      <c r="P72" s="18"/>
      <c r="Q72" s="18"/>
      <c r="R72" s="23">
        <v>0.0</v>
      </c>
      <c r="S72" s="23">
        <v>0.0</v>
      </c>
      <c r="T72" s="23">
        <f t="shared" si="2"/>
        <v>0</v>
      </c>
      <c r="U72" s="23">
        <f t="shared" si="3"/>
        <v>0</v>
      </c>
      <c r="V72" s="23">
        <f t="shared" si="4"/>
        <v>0</v>
      </c>
      <c r="W72" s="24" t="str">
        <f t="shared" si="5"/>
        <v>#DIV/0!</v>
      </c>
    </row>
    <row r="73" hidden="1">
      <c r="A73" s="15" t="s">
        <v>1240</v>
      </c>
      <c r="B73" s="18"/>
      <c r="C73" s="15" t="s">
        <v>6212</v>
      </c>
      <c r="D73" s="18"/>
      <c r="E73" s="17" t="s">
        <v>1241</v>
      </c>
      <c r="F73" s="18"/>
      <c r="G73" s="18"/>
      <c r="H73" s="15" t="s">
        <v>1242</v>
      </c>
      <c r="I73" s="18"/>
      <c r="J73" s="19" t="s">
        <v>283</v>
      </c>
      <c r="K73" s="19" t="s">
        <v>1230</v>
      </c>
      <c r="L73" s="19" t="s">
        <v>38</v>
      </c>
      <c r="M73" s="20">
        <f t="shared" si="1"/>
        <v>0</v>
      </c>
      <c r="N73" s="22"/>
      <c r="O73" s="19" t="s">
        <v>1145</v>
      </c>
      <c r="P73" s="18"/>
      <c r="Q73" s="18"/>
      <c r="R73" s="23">
        <v>0.0</v>
      </c>
      <c r="S73" s="23">
        <v>0.0</v>
      </c>
      <c r="T73" s="23">
        <f t="shared" si="2"/>
        <v>0</v>
      </c>
      <c r="U73" s="23">
        <f t="shared" si="3"/>
        <v>0</v>
      </c>
      <c r="V73" s="23">
        <f t="shared" si="4"/>
        <v>0</v>
      </c>
      <c r="W73" s="24" t="str">
        <f t="shared" si="5"/>
        <v>#DIV/0!</v>
      </c>
    </row>
    <row r="74" hidden="1">
      <c r="A74" s="15" t="s">
        <v>1243</v>
      </c>
      <c r="B74" s="18"/>
      <c r="C74" s="15" t="s">
        <v>6213</v>
      </c>
      <c r="D74" s="18"/>
      <c r="E74" s="17" t="s">
        <v>1244</v>
      </c>
      <c r="F74" s="18"/>
      <c r="G74" s="18"/>
      <c r="H74" s="15" t="s">
        <v>1245</v>
      </c>
      <c r="I74" s="18"/>
      <c r="J74" s="19" t="s">
        <v>283</v>
      </c>
      <c r="K74" s="19" t="s">
        <v>1230</v>
      </c>
      <c r="L74" s="19" t="s">
        <v>38</v>
      </c>
      <c r="M74" s="20">
        <f t="shared" si="1"/>
        <v>0</v>
      </c>
      <c r="N74" s="22"/>
      <c r="O74" s="19" t="s">
        <v>1145</v>
      </c>
      <c r="P74" s="18"/>
      <c r="Q74" s="18"/>
      <c r="R74" s="23">
        <v>0.0</v>
      </c>
      <c r="S74" s="23">
        <v>0.0</v>
      </c>
      <c r="T74" s="23">
        <f t="shared" si="2"/>
        <v>0</v>
      </c>
      <c r="U74" s="23">
        <f t="shared" si="3"/>
        <v>0</v>
      </c>
      <c r="V74" s="23">
        <f t="shared" si="4"/>
        <v>0</v>
      </c>
      <c r="W74" s="24" t="str">
        <f t="shared" si="5"/>
        <v>#DIV/0!</v>
      </c>
    </row>
    <row r="75" hidden="1">
      <c r="A75" s="15" t="s">
        <v>3689</v>
      </c>
      <c r="B75" s="18"/>
      <c r="C75" s="15" t="s">
        <v>6214</v>
      </c>
      <c r="D75" s="18"/>
      <c r="E75" s="17" t="s">
        <v>3690</v>
      </c>
      <c r="F75" s="18"/>
      <c r="G75" s="18"/>
      <c r="H75" s="18"/>
      <c r="I75" s="18"/>
      <c r="J75" s="19" t="s">
        <v>283</v>
      </c>
      <c r="K75" s="19" t="s">
        <v>603</v>
      </c>
      <c r="L75" s="19" t="s">
        <v>38</v>
      </c>
      <c r="M75" s="20">
        <f t="shared" si="1"/>
        <v>0</v>
      </c>
      <c r="N75" s="22"/>
      <c r="O75" s="19" t="s">
        <v>3578</v>
      </c>
      <c r="P75" s="18"/>
      <c r="Q75" s="18"/>
      <c r="R75" s="23">
        <v>0.0</v>
      </c>
      <c r="S75" s="23">
        <v>0.0</v>
      </c>
      <c r="T75" s="23">
        <f t="shared" si="2"/>
        <v>0</v>
      </c>
      <c r="U75" s="23">
        <f t="shared" si="3"/>
        <v>0</v>
      </c>
      <c r="V75" s="23">
        <f t="shared" si="4"/>
        <v>0</v>
      </c>
      <c r="W75" s="24" t="str">
        <f t="shared" si="5"/>
        <v>#DIV/0!</v>
      </c>
    </row>
    <row r="76" hidden="1">
      <c r="A76" s="15" t="s">
        <v>3691</v>
      </c>
      <c r="B76" s="15" t="s">
        <v>3692</v>
      </c>
      <c r="C76" s="15" t="s">
        <v>6215</v>
      </c>
      <c r="D76" s="18"/>
      <c r="E76" s="17" t="s">
        <v>3693</v>
      </c>
      <c r="F76" s="18"/>
      <c r="G76" s="18"/>
      <c r="H76" s="15" t="s">
        <v>3694</v>
      </c>
      <c r="I76" s="18"/>
      <c r="J76" s="19" t="s">
        <v>283</v>
      </c>
      <c r="K76" s="19" t="s">
        <v>603</v>
      </c>
      <c r="L76" s="19" t="s">
        <v>38</v>
      </c>
      <c r="M76" s="20">
        <f t="shared" si="1"/>
        <v>0</v>
      </c>
      <c r="N76" s="22"/>
      <c r="O76" s="19" t="s">
        <v>3578</v>
      </c>
      <c r="P76" s="18"/>
      <c r="Q76" s="18"/>
      <c r="R76" s="23">
        <v>0.0</v>
      </c>
      <c r="S76" s="23">
        <v>0.0</v>
      </c>
      <c r="T76" s="23">
        <f t="shared" si="2"/>
        <v>0</v>
      </c>
      <c r="U76" s="23">
        <f t="shared" si="3"/>
        <v>0</v>
      </c>
      <c r="V76" s="23">
        <f t="shared" si="4"/>
        <v>0</v>
      </c>
      <c r="W76" s="24" t="str">
        <f t="shared" si="5"/>
        <v>#DIV/0!</v>
      </c>
    </row>
    <row r="77" hidden="1">
      <c r="A77" s="15" t="s">
        <v>3695</v>
      </c>
      <c r="B77" s="15" t="s">
        <v>3696</v>
      </c>
      <c r="C77" s="15" t="s">
        <v>6216</v>
      </c>
      <c r="D77" s="18"/>
      <c r="E77" s="17" t="s">
        <v>3697</v>
      </c>
      <c r="F77" s="18"/>
      <c r="G77" s="18"/>
      <c r="H77" s="15" t="s">
        <v>3698</v>
      </c>
      <c r="I77" s="18"/>
      <c r="J77" s="19" t="s">
        <v>283</v>
      </c>
      <c r="K77" s="19" t="s">
        <v>1269</v>
      </c>
      <c r="L77" s="19" t="s">
        <v>38</v>
      </c>
      <c r="M77" s="20">
        <f t="shared" si="1"/>
        <v>0</v>
      </c>
      <c r="N77" s="22"/>
      <c r="O77" s="19" t="s">
        <v>3578</v>
      </c>
      <c r="P77" s="18"/>
      <c r="Q77" s="18"/>
      <c r="R77" s="23">
        <v>0.0</v>
      </c>
      <c r="S77" s="23">
        <v>0.0</v>
      </c>
      <c r="T77" s="23">
        <f t="shared" si="2"/>
        <v>0</v>
      </c>
      <c r="U77" s="23">
        <f t="shared" si="3"/>
        <v>0</v>
      </c>
      <c r="V77" s="23">
        <f t="shared" si="4"/>
        <v>0</v>
      </c>
      <c r="W77" s="24" t="str">
        <f t="shared" si="5"/>
        <v>#DIV/0!</v>
      </c>
    </row>
    <row r="78" hidden="1">
      <c r="A78" s="15" t="s">
        <v>3699</v>
      </c>
      <c r="B78" s="15" t="s">
        <v>3700</v>
      </c>
      <c r="C78" s="15" t="s">
        <v>6217</v>
      </c>
      <c r="D78" s="15" t="s">
        <v>3701</v>
      </c>
      <c r="E78" s="17" t="s">
        <v>3702</v>
      </c>
      <c r="F78" s="18"/>
      <c r="G78" s="18"/>
      <c r="H78" s="15" t="s">
        <v>3703</v>
      </c>
      <c r="I78" s="18"/>
      <c r="J78" s="19" t="s">
        <v>283</v>
      </c>
      <c r="K78" s="19" t="s">
        <v>1269</v>
      </c>
      <c r="L78" s="19" t="s">
        <v>38</v>
      </c>
      <c r="M78" s="20">
        <f t="shared" si="1"/>
        <v>0</v>
      </c>
      <c r="N78" s="22"/>
      <c r="O78" s="19" t="s">
        <v>3578</v>
      </c>
      <c r="P78" s="18"/>
      <c r="Q78" s="18"/>
      <c r="R78" s="23">
        <v>0.0</v>
      </c>
      <c r="S78" s="23">
        <v>0.0</v>
      </c>
      <c r="T78" s="23">
        <f t="shared" si="2"/>
        <v>0</v>
      </c>
      <c r="U78" s="23">
        <f t="shared" si="3"/>
        <v>0</v>
      </c>
      <c r="V78" s="23">
        <f t="shared" si="4"/>
        <v>0</v>
      </c>
      <c r="W78" s="24" t="str">
        <f t="shared" si="5"/>
        <v>#DIV/0!</v>
      </c>
    </row>
    <row r="79" hidden="1">
      <c r="A79" s="15" t="s">
        <v>3704</v>
      </c>
      <c r="B79" s="15" t="s">
        <v>3705</v>
      </c>
      <c r="C79" s="15" t="s">
        <v>6218</v>
      </c>
      <c r="D79" s="15" t="s">
        <v>3706</v>
      </c>
      <c r="E79" s="17" t="s">
        <v>3707</v>
      </c>
      <c r="F79" s="18"/>
      <c r="G79" s="18"/>
      <c r="H79" s="15" t="s">
        <v>3708</v>
      </c>
      <c r="I79" s="18"/>
      <c r="J79" s="19" t="s">
        <v>283</v>
      </c>
      <c r="K79" s="19" t="s">
        <v>427</v>
      </c>
      <c r="L79" s="19" t="s">
        <v>115</v>
      </c>
      <c r="M79" s="20">
        <f t="shared" si="1"/>
        <v>0</v>
      </c>
      <c r="N79" s="22"/>
      <c r="O79" s="19" t="s">
        <v>3578</v>
      </c>
      <c r="P79" s="18"/>
      <c r="Q79" s="18"/>
      <c r="R79" s="23">
        <v>0.0</v>
      </c>
      <c r="S79" s="23">
        <v>0.0</v>
      </c>
      <c r="T79" s="23">
        <f t="shared" si="2"/>
        <v>0</v>
      </c>
      <c r="U79" s="23">
        <f t="shared" si="3"/>
        <v>0</v>
      </c>
      <c r="V79" s="23">
        <f t="shared" si="4"/>
        <v>0</v>
      </c>
      <c r="W79" s="24" t="str">
        <f t="shared" si="5"/>
        <v>#DIV/0!</v>
      </c>
    </row>
    <row r="80" hidden="1">
      <c r="A80" s="15" t="s">
        <v>3709</v>
      </c>
      <c r="B80" s="15" t="s">
        <v>3710</v>
      </c>
      <c r="C80" s="15" t="s">
        <v>6219</v>
      </c>
      <c r="D80" s="18"/>
      <c r="E80" s="17" t="s">
        <v>3711</v>
      </c>
      <c r="F80" s="18"/>
      <c r="G80" s="18"/>
      <c r="H80" s="15" t="s">
        <v>3712</v>
      </c>
      <c r="I80" s="18"/>
      <c r="J80" s="19" t="s">
        <v>283</v>
      </c>
      <c r="K80" s="19" t="s">
        <v>427</v>
      </c>
      <c r="L80" s="19" t="s">
        <v>38</v>
      </c>
      <c r="M80" s="20">
        <f t="shared" si="1"/>
        <v>0</v>
      </c>
      <c r="N80" s="22"/>
      <c r="O80" s="19" t="s">
        <v>3578</v>
      </c>
      <c r="P80" s="18"/>
      <c r="Q80" s="18"/>
      <c r="R80" s="23">
        <v>0.0</v>
      </c>
      <c r="S80" s="23">
        <v>0.0</v>
      </c>
      <c r="T80" s="23">
        <f t="shared" si="2"/>
        <v>0</v>
      </c>
      <c r="U80" s="23">
        <f t="shared" si="3"/>
        <v>0</v>
      </c>
      <c r="V80" s="23">
        <f t="shared" si="4"/>
        <v>0</v>
      </c>
      <c r="W80" s="24" t="str">
        <f t="shared" si="5"/>
        <v>#DIV/0!</v>
      </c>
    </row>
    <row r="81" hidden="1">
      <c r="A81" s="15" t="s">
        <v>3713</v>
      </c>
      <c r="B81" s="15" t="s">
        <v>3714</v>
      </c>
      <c r="C81" s="15" t="s">
        <v>6220</v>
      </c>
      <c r="D81" s="15" t="s">
        <v>3715</v>
      </c>
      <c r="E81" s="17" t="s">
        <v>3716</v>
      </c>
      <c r="F81" s="18"/>
      <c r="G81" s="18"/>
      <c r="H81" s="15" t="s">
        <v>3717</v>
      </c>
      <c r="I81" s="18"/>
      <c r="J81" s="19" t="s">
        <v>283</v>
      </c>
      <c r="K81" s="19" t="s">
        <v>402</v>
      </c>
      <c r="L81" s="19" t="s">
        <v>38</v>
      </c>
      <c r="M81" s="20">
        <f t="shared" si="1"/>
        <v>0</v>
      </c>
      <c r="N81" s="22"/>
      <c r="O81" s="19" t="s">
        <v>3578</v>
      </c>
      <c r="P81" s="18"/>
      <c r="Q81" s="18"/>
      <c r="R81" s="23">
        <v>0.0</v>
      </c>
      <c r="S81" s="23">
        <v>0.0</v>
      </c>
      <c r="T81" s="23">
        <f t="shared" si="2"/>
        <v>0</v>
      </c>
      <c r="U81" s="23">
        <f t="shared" si="3"/>
        <v>0</v>
      </c>
      <c r="V81" s="23">
        <f t="shared" si="4"/>
        <v>0</v>
      </c>
      <c r="W81" s="24" t="str">
        <f t="shared" si="5"/>
        <v>#DIV/0!</v>
      </c>
    </row>
    <row r="82" hidden="1">
      <c r="A82" s="15" t="s">
        <v>3718</v>
      </c>
      <c r="B82" s="15" t="s">
        <v>3719</v>
      </c>
      <c r="C82" s="15" t="s">
        <v>6221</v>
      </c>
      <c r="D82" s="15" t="s">
        <v>3720</v>
      </c>
      <c r="E82" s="17" t="s">
        <v>3721</v>
      </c>
      <c r="F82" s="18"/>
      <c r="G82" s="18"/>
      <c r="H82" s="15" t="s">
        <v>3722</v>
      </c>
      <c r="I82" s="18"/>
      <c r="J82" s="19" t="s">
        <v>283</v>
      </c>
      <c r="K82" s="19" t="s">
        <v>284</v>
      </c>
      <c r="L82" s="19" t="s">
        <v>38</v>
      </c>
      <c r="M82" s="20">
        <f t="shared" si="1"/>
        <v>0</v>
      </c>
      <c r="N82" s="22"/>
      <c r="O82" s="19" t="s">
        <v>3578</v>
      </c>
      <c r="P82" s="18"/>
      <c r="Q82" s="18"/>
      <c r="R82" s="23">
        <v>0.0</v>
      </c>
      <c r="S82" s="23">
        <v>0.0</v>
      </c>
      <c r="T82" s="23">
        <f t="shared" si="2"/>
        <v>0</v>
      </c>
      <c r="U82" s="23">
        <f t="shared" si="3"/>
        <v>0</v>
      </c>
      <c r="V82" s="23">
        <f t="shared" si="4"/>
        <v>0</v>
      </c>
      <c r="W82" s="24" t="str">
        <f t="shared" si="5"/>
        <v>#DIV/0!</v>
      </c>
    </row>
    <row r="83" hidden="1">
      <c r="A83" s="15" t="s">
        <v>3723</v>
      </c>
      <c r="B83" s="15" t="s">
        <v>3724</v>
      </c>
      <c r="C83" s="15" t="s">
        <v>6222</v>
      </c>
      <c r="D83" s="15" t="s">
        <v>3725</v>
      </c>
      <c r="E83" s="17" t="s">
        <v>3726</v>
      </c>
      <c r="F83" s="18"/>
      <c r="G83" s="18"/>
      <c r="H83" s="15" t="s">
        <v>3727</v>
      </c>
      <c r="I83" s="18"/>
      <c r="J83" s="19" t="s">
        <v>283</v>
      </c>
      <c r="K83" s="19" t="s">
        <v>284</v>
      </c>
      <c r="L83" s="19" t="s">
        <v>368</v>
      </c>
      <c r="M83" s="20">
        <f t="shared" si="1"/>
        <v>0</v>
      </c>
      <c r="N83" s="22"/>
      <c r="O83" s="19" t="s">
        <v>3578</v>
      </c>
      <c r="P83" s="18"/>
      <c r="Q83" s="18"/>
      <c r="R83" s="23">
        <v>0.0</v>
      </c>
      <c r="S83" s="23">
        <v>0.0</v>
      </c>
      <c r="T83" s="23">
        <f t="shared" si="2"/>
        <v>0</v>
      </c>
      <c r="U83" s="23">
        <f t="shared" si="3"/>
        <v>0</v>
      </c>
      <c r="V83" s="23">
        <f t="shared" si="4"/>
        <v>0</v>
      </c>
      <c r="W83" s="24" t="str">
        <f t="shared" si="5"/>
        <v>#DIV/0!</v>
      </c>
    </row>
    <row r="84" hidden="1">
      <c r="A84" s="15" t="s">
        <v>3728</v>
      </c>
      <c r="B84" s="15" t="s">
        <v>3729</v>
      </c>
      <c r="C84" s="15" t="s">
        <v>6223</v>
      </c>
      <c r="D84" s="15" t="s">
        <v>3730</v>
      </c>
      <c r="E84" s="17" t="s">
        <v>3731</v>
      </c>
      <c r="F84" s="18"/>
      <c r="G84" s="18"/>
      <c r="H84" s="15" t="s">
        <v>3732</v>
      </c>
      <c r="I84" s="18"/>
      <c r="J84" s="19" t="s">
        <v>283</v>
      </c>
      <c r="K84" s="19" t="s">
        <v>37</v>
      </c>
      <c r="L84" s="19" t="s">
        <v>135</v>
      </c>
      <c r="M84" s="20">
        <f t="shared" si="1"/>
        <v>0</v>
      </c>
      <c r="N84" s="22"/>
      <c r="O84" s="19" t="s">
        <v>3578</v>
      </c>
      <c r="P84" s="18"/>
      <c r="Q84" s="18"/>
      <c r="R84" s="23">
        <v>0.0</v>
      </c>
      <c r="S84" s="23">
        <v>0.0</v>
      </c>
      <c r="T84" s="23">
        <f t="shared" si="2"/>
        <v>0</v>
      </c>
      <c r="U84" s="23">
        <f t="shared" si="3"/>
        <v>0</v>
      </c>
      <c r="V84" s="23">
        <f t="shared" si="4"/>
        <v>0</v>
      </c>
      <c r="W84" s="24" t="str">
        <f t="shared" si="5"/>
        <v>#DIV/0!</v>
      </c>
    </row>
    <row r="85" hidden="1">
      <c r="A85" s="15" t="s">
        <v>3733</v>
      </c>
      <c r="B85" s="15" t="s">
        <v>3734</v>
      </c>
      <c r="C85" s="15" t="s">
        <v>6224</v>
      </c>
      <c r="D85" s="15" t="s">
        <v>3735</v>
      </c>
      <c r="E85" s="17" t="s">
        <v>3736</v>
      </c>
      <c r="F85" s="18"/>
      <c r="G85" s="18"/>
      <c r="H85" s="15" t="s">
        <v>3737</v>
      </c>
      <c r="I85" s="15" t="s">
        <v>3738</v>
      </c>
      <c r="J85" s="19" t="s">
        <v>283</v>
      </c>
      <c r="K85" s="19" t="s">
        <v>284</v>
      </c>
      <c r="L85" s="19" t="s">
        <v>38</v>
      </c>
      <c r="M85" s="20">
        <f t="shared" si="1"/>
        <v>0</v>
      </c>
      <c r="N85" s="22"/>
      <c r="O85" s="19" t="s">
        <v>3578</v>
      </c>
      <c r="P85" s="18"/>
      <c r="Q85" s="18"/>
      <c r="R85" s="23">
        <v>0.0</v>
      </c>
      <c r="S85" s="23">
        <v>0.0</v>
      </c>
      <c r="T85" s="23">
        <f t="shared" si="2"/>
        <v>0</v>
      </c>
      <c r="U85" s="23">
        <f t="shared" si="3"/>
        <v>0</v>
      </c>
      <c r="V85" s="23">
        <f t="shared" si="4"/>
        <v>0</v>
      </c>
      <c r="W85" s="24" t="str">
        <f t="shared" si="5"/>
        <v>#DIV/0!</v>
      </c>
    </row>
    <row r="86" hidden="1">
      <c r="A86" s="15" t="s">
        <v>1246</v>
      </c>
      <c r="B86" s="18"/>
      <c r="C86" s="15" t="s">
        <v>6225</v>
      </c>
      <c r="D86" s="18"/>
      <c r="E86" s="17" t="s">
        <v>1247</v>
      </c>
      <c r="F86" s="18"/>
      <c r="G86" s="18"/>
      <c r="H86" s="15" t="s">
        <v>1248</v>
      </c>
      <c r="I86" s="18"/>
      <c r="J86" s="19" t="s">
        <v>283</v>
      </c>
      <c r="K86" s="19" t="s">
        <v>284</v>
      </c>
      <c r="L86" s="19" t="s">
        <v>38</v>
      </c>
      <c r="M86" s="20">
        <f t="shared" si="1"/>
        <v>0</v>
      </c>
      <c r="N86" s="22"/>
      <c r="O86" s="19" t="s">
        <v>1145</v>
      </c>
      <c r="P86" s="18"/>
      <c r="Q86" s="18"/>
      <c r="R86" s="23">
        <v>0.0</v>
      </c>
      <c r="S86" s="23">
        <v>0.0</v>
      </c>
      <c r="T86" s="23">
        <f t="shared" si="2"/>
        <v>0</v>
      </c>
      <c r="U86" s="23">
        <f t="shared" si="3"/>
        <v>0</v>
      </c>
      <c r="V86" s="23">
        <f t="shared" si="4"/>
        <v>0</v>
      </c>
      <c r="W86" s="24" t="str">
        <f t="shared" si="5"/>
        <v>#DIV/0!</v>
      </c>
    </row>
    <row r="87" hidden="1">
      <c r="A87" s="15" t="s">
        <v>3739</v>
      </c>
      <c r="B87" s="15" t="s">
        <v>3740</v>
      </c>
      <c r="C87" s="15" t="s">
        <v>6226</v>
      </c>
      <c r="D87" s="41" t="s">
        <v>3741</v>
      </c>
      <c r="E87" s="17" t="s">
        <v>3742</v>
      </c>
      <c r="F87" s="18"/>
      <c r="G87" s="18"/>
      <c r="H87" s="15" t="s">
        <v>3743</v>
      </c>
      <c r="I87" s="15" t="s">
        <v>3744</v>
      </c>
      <c r="J87" s="19" t="s">
        <v>283</v>
      </c>
      <c r="K87" s="19" t="s">
        <v>427</v>
      </c>
      <c r="L87" s="19" t="s">
        <v>135</v>
      </c>
      <c r="M87" s="20">
        <f t="shared" si="1"/>
        <v>0</v>
      </c>
      <c r="N87" s="22"/>
      <c r="O87" s="19" t="s">
        <v>3578</v>
      </c>
      <c r="P87" s="18"/>
      <c r="Q87" s="18"/>
      <c r="R87" s="23">
        <v>0.0</v>
      </c>
      <c r="S87" s="23">
        <v>0.0</v>
      </c>
      <c r="T87" s="23">
        <f t="shared" si="2"/>
        <v>0</v>
      </c>
      <c r="U87" s="23">
        <f t="shared" si="3"/>
        <v>0</v>
      </c>
      <c r="V87" s="23">
        <f t="shared" si="4"/>
        <v>0</v>
      </c>
      <c r="W87" s="24" t="str">
        <f t="shared" si="5"/>
        <v>#DIV/0!</v>
      </c>
    </row>
    <row r="88" hidden="1">
      <c r="A88" s="15" t="s">
        <v>3745</v>
      </c>
      <c r="B88" s="15" t="s">
        <v>3746</v>
      </c>
      <c r="C88" s="15" t="s">
        <v>6227</v>
      </c>
      <c r="D88" s="15" t="s">
        <v>3747</v>
      </c>
      <c r="E88" s="17" t="s">
        <v>3748</v>
      </c>
      <c r="F88" s="18"/>
      <c r="G88" s="18"/>
      <c r="H88" s="15" t="s">
        <v>3749</v>
      </c>
      <c r="I88" s="15" t="s">
        <v>3750</v>
      </c>
      <c r="J88" s="19" t="s">
        <v>283</v>
      </c>
      <c r="K88" s="19" t="s">
        <v>427</v>
      </c>
      <c r="L88" s="19" t="s">
        <v>38</v>
      </c>
      <c r="M88" s="20">
        <f t="shared" si="1"/>
        <v>0</v>
      </c>
      <c r="N88" s="22"/>
      <c r="O88" s="19" t="s">
        <v>3578</v>
      </c>
      <c r="P88" s="18"/>
      <c r="Q88" s="18"/>
      <c r="R88" s="23">
        <v>0.0</v>
      </c>
      <c r="S88" s="23">
        <v>0.0</v>
      </c>
      <c r="T88" s="23">
        <f t="shared" si="2"/>
        <v>0</v>
      </c>
      <c r="U88" s="23">
        <f t="shared" si="3"/>
        <v>0</v>
      </c>
      <c r="V88" s="23">
        <f t="shared" si="4"/>
        <v>0</v>
      </c>
      <c r="W88" s="24" t="str">
        <f t="shared" si="5"/>
        <v>#DIV/0!</v>
      </c>
    </row>
    <row r="89" hidden="1">
      <c r="A89" s="15" t="s">
        <v>1249</v>
      </c>
      <c r="B89" s="18"/>
      <c r="C89" s="15" t="s">
        <v>6228</v>
      </c>
      <c r="D89" s="18"/>
      <c r="E89" s="17" t="s">
        <v>1250</v>
      </c>
      <c r="F89" s="18"/>
      <c r="G89" s="18"/>
      <c r="H89" s="15" t="s">
        <v>1251</v>
      </c>
      <c r="I89" s="18"/>
      <c r="J89" s="19" t="s">
        <v>283</v>
      </c>
      <c r="K89" s="19" t="s">
        <v>284</v>
      </c>
      <c r="L89" s="19" t="s">
        <v>38</v>
      </c>
      <c r="M89" s="20">
        <f t="shared" si="1"/>
        <v>0</v>
      </c>
      <c r="N89" s="22"/>
      <c r="O89" s="19" t="s">
        <v>1145</v>
      </c>
      <c r="P89" s="18"/>
      <c r="Q89" s="18"/>
      <c r="R89" s="23">
        <v>0.0</v>
      </c>
      <c r="S89" s="23">
        <v>0.0</v>
      </c>
      <c r="T89" s="23">
        <f t="shared" si="2"/>
        <v>0</v>
      </c>
      <c r="U89" s="23">
        <f t="shared" si="3"/>
        <v>0</v>
      </c>
      <c r="V89" s="23">
        <f t="shared" si="4"/>
        <v>0</v>
      </c>
      <c r="W89" s="24" t="str">
        <f t="shared" si="5"/>
        <v>#DIV/0!</v>
      </c>
    </row>
    <row r="90" hidden="1">
      <c r="A90" s="15" t="s">
        <v>3751</v>
      </c>
      <c r="B90" s="15" t="s">
        <v>3752</v>
      </c>
      <c r="C90" s="15" t="s">
        <v>6229</v>
      </c>
      <c r="D90" s="15" t="s">
        <v>3753</v>
      </c>
      <c r="E90" s="17" t="s">
        <v>3754</v>
      </c>
      <c r="F90" s="18"/>
      <c r="G90" s="18"/>
      <c r="H90" s="15" t="s">
        <v>3755</v>
      </c>
      <c r="I90" s="15" t="s">
        <v>3756</v>
      </c>
      <c r="J90" s="19" t="s">
        <v>283</v>
      </c>
      <c r="K90" s="19" t="s">
        <v>284</v>
      </c>
      <c r="L90" s="19" t="s">
        <v>38</v>
      </c>
      <c r="M90" s="20">
        <f t="shared" si="1"/>
        <v>0</v>
      </c>
      <c r="N90" s="22"/>
      <c r="O90" s="19" t="s">
        <v>3578</v>
      </c>
      <c r="P90" s="18"/>
      <c r="Q90" s="18"/>
      <c r="R90" s="23">
        <v>0.0</v>
      </c>
      <c r="S90" s="23">
        <v>0.0</v>
      </c>
      <c r="T90" s="23">
        <f t="shared" si="2"/>
        <v>0</v>
      </c>
      <c r="U90" s="23">
        <f t="shared" si="3"/>
        <v>0</v>
      </c>
      <c r="V90" s="23">
        <f t="shared" si="4"/>
        <v>0</v>
      </c>
      <c r="W90" s="24" t="str">
        <f t="shared" si="5"/>
        <v>#DIV/0!</v>
      </c>
    </row>
    <row r="91" hidden="1">
      <c r="A91" s="15" t="s">
        <v>3757</v>
      </c>
      <c r="B91" s="15" t="s">
        <v>3758</v>
      </c>
      <c r="C91" s="15" t="s">
        <v>6230</v>
      </c>
      <c r="D91" s="18"/>
      <c r="E91" s="17" t="s">
        <v>3759</v>
      </c>
      <c r="F91" s="18"/>
      <c r="G91" s="18"/>
      <c r="H91" s="15" t="s">
        <v>3760</v>
      </c>
      <c r="I91" s="18"/>
      <c r="J91" s="19" t="s">
        <v>283</v>
      </c>
      <c r="K91" s="19" t="s">
        <v>1230</v>
      </c>
      <c r="L91" s="19" t="s">
        <v>38</v>
      </c>
      <c r="M91" s="20">
        <f t="shared" si="1"/>
        <v>0</v>
      </c>
      <c r="N91" s="22"/>
      <c r="O91" s="19" t="s">
        <v>3578</v>
      </c>
      <c r="P91" s="18"/>
      <c r="Q91" s="18"/>
      <c r="R91" s="23">
        <v>0.0</v>
      </c>
      <c r="S91" s="23">
        <v>0.0</v>
      </c>
      <c r="T91" s="23">
        <f t="shared" si="2"/>
        <v>0</v>
      </c>
      <c r="U91" s="23">
        <f t="shared" si="3"/>
        <v>0</v>
      </c>
      <c r="V91" s="23">
        <f t="shared" si="4"/>
        <v>0</v>
      </c>
      <c r="W91" s="24" t="str">
        <f t="shared" si="5"/>
        <v>#DIV/0!</v>
      </c>
    </row>
    <row r="92" hidden="1">
      <c r="A92" s="15" t="s">
        <v>3761</v>
      </c>
      <c r="B92" s="15" t="s">
        <v>3762</v>
      </c>
      <c r="C92" s="15" t="s">
        <v>6231</v>
      </c>
      <c r="D92" s="15" t="s">
        <v>3763</v>
      </c>
      <c r="E92" s="17" t="s">
        <v>3764</v>
      </c>
      <c r="F92" s="18"/>
      <c r="G92" s="18"/>
      <c r="H92" s="15" t="s">
        <v>1257</v>
      </c>
      <c r="I92" s="18"/>
      <c r="J92" s="19" t="s">
        <v>283</v>
      </c>
      <c r="K92" s="19" t="s">
        <v>37</v>
      </c>
      <c r="L92" s="19" t="s">
        <v>38</v>
      </c>
      <c r="M92" s="20">
        <f t="shared" si="1"/>
        <v>0</v>
      </c>
      <c r="N92" s="22"/>
      <c r="O92" s="19" t="s">
        <v>3578</v>
      </c>
      <c r="P92" s="18"/>
      <c r="Q92" s="18"/>
      <c r="R92" s="23">
        <v>0.0</v>
      </c>
      <c r="S92" s="23">
        <v>0.0</v>
      </c>
      <c r="T92" s="23">
        <f t="shared" si="2"/>
        <v>0</v>
      </c>
      <c r="U92" s="23">
        <f t="shared" si="3"/>
        <v>0</v>
      </c>
      <c r="V92" s="23">
        <f t="shared" si="4"/>
        <v>0</v>
      </c>
      <c r="W92" s="24" t="str">
        <f t="shared" si="5"/>
        <v>#DIV/0!</v>
      </c>
    </row>
    <row r="93" hidden="1">
      <c r="A93" s="15" t="s">
        <v>3765</v>
      </c>
      <c r="B93" s="15" t="s">
        <v>3766</v>
      </c>
      <c r="C93" s="15" t="s">
        <v>6232</v>
      </c>
      <c r="D93" s="18"/>
      <c r="E93" s="17" t="s">
        <v>3767</v>
      </c>
      <c r="F93" s="18"/>
      <c r="G93" s="18"/>
      <c r="H93" s="15" t="s">
        <v>3768</v>
      </c>
      <c r="I93" s="18"/>
      <c r="J93" s="19" t="s">
        <v>283</v>
      </c>
      <c r="K93" s="19" t="s">
        <v>603</v>
      </c>
      <c r="L93" s="19" t="s">
        <v>38</v>
      </c>
      <c r="M93" s="20">
        <f t="shared" si="1"/>
        <v>0</v>
      </c>
      <c r="N93" s="22"/>
      <c r="O93" s="19" t="s">
        <v>3578</v>
      </c>
      <c r="P93" s="18"/>
      <c r="Q93" s="18"/>
      <c r="R93" s="23">
        <v>0.0</v>
      </c>
      <c r="S93" s="23">
        <v>0.0</v>
      </c>
      <c r="T93" s="23">
        <f t="shared" si="2"/>
        <v>0</v>
      </c>
      <c r="U93" s="23">
        <f t="shared" si="3"/>
        <v>0</v>
      </c>
      <c r="V93" s="23">
        <f t="shared" si="4"/>
        <v>0</v>
      </c>
      <c r="W93" s="24" t="str">
        <f t="shared" si="5"/>
        <v>#DIV/0!</v>
      </c>
    </row>
    <row r="94" hidden="1">
      <c r="A94" s="15" t="s">
        <v>3769</v>
      </c>
      <c r="B94" s="15" t="s">
        <v>3770</v>
      </c>
      <c r="C94" s="15" t="s">
        <v>6233</v>
      </c>
      <c r="D94" s="18"/>
      <c r="E94" s="17" t="s">
        <v>3771</v>
      </c>
      <c r="F94" s="18"/>
      <c r="G94" s="18"/>
      <c r="H94" s="15" t="s">
        <v>3772</v>
      </c>
      <c r="I94" s="18"/>
      <c r="J94" s="19" t="s">
        <v>283</v>
      </c>
      <c r="K94" s="19" t="s">
        <v>603</v>
      </c>
      <c r="L94" s="19" t="s">
        <v>38</v>
      </c>
      <c r="M94" s="20">
        <f t="shared" si="1"/>
        <v>0</v>
      </c>
      <c r="N94" s="22"/>
      <c r="O94" s="19" t="s">
        <v>3578</v>
      </c>
      <c r="P94" s="18"/>
      <c r="Q94" s="18"/>
      <c r="R94" s="23">
        <v>0.0</v>
      </c>
      <c r="S94" s="23">
        <v>0.0</v>
      </c>
      <c r="T94" s="23">
        <f t="shared" si="2"/>
        <v>0</v>
      </c>
      <c r="U94" s="23">
        <f t="shared" si="3"/>
        <v>0</v>
      </c>
      <c r="V94" s="23">
        <f t="shared" si="4"/>
        <v>0</v>
      </c>
      <c r="W94" s="24" t="str">
        <f t="shared" si="5"/>
        <v>#DIV/0!</v>
      </c>
    </row>
    <row r="95" hidden="1">
      <c r="A95" s="15" t="s">
        <v>3773</v>
      </c>
      <c r="B95" s="15" t="s">
        <v>3774</v>
      </c>
      <c r="C95" s="15" t="s">
        <v>6234</v>
      </c>
      <c r="D95" s="18"/>
      <c r="E95" s="17" t="s">
        <v>3775</v>
      </c>
      <c r="F95" s="18"/>
      <c r="G95" s="18"/>
      <c r="H95" s="15" t="s">
        <v>3776</v>
      </c>
      <c r="I95" s="18"/>
      <c r="J95" s="19" t="s">
        <v>283</v>
      </c>
      <c r="K95" s="19" t="s">
        <v>603</v>
      </c>
      <c r="L95" s="19" t="s">
        <v>38</v>
      </c>
      <c r="M95" s="20">
        <f t="shared" si="1"/>
        <v>0</v>
      </c>
      <c r="N95" s="22"/>
      <c r="O95" s="19" t="s">
        <v>3578</v>
      </c>
      <c r="P95" s="18"/>
      <c r="Q95" s="18"/>
      <c r="R95" s="23">
        <v>0.0</v>
      </c>
      <c r="S95" s="23">
        <v>0.0</v>
      </c>
      <c r="T95" s="23">
        <f t="shared" si="2"/>
        <v>0</v>
      </c>
      <c r="U95" s="23">
        <f t="shared" si="3"/>
        <v>0</v>
      </c>
      <c r="V95" s="23">
        <f t="shared" si="4"/>
        <v>0</v>
      </c>
      <c r="W95" s="24" t="str">
        <f t="shared" si="5"/>
        <v>#DIV/0!</v>
      </c>
    </row>
    <row r="96" hidden="1">
      <c r="A96" s="15" t="s">
        <v>3777</v>
      </c>
      <c r="B96" s="15" t="s">
        <v>3778</v>
      </c>
      <c r="C96" s="15" t="s">
        <v>6235</v>
      </c>
      <c r="D96" s="18"/>
      <c r="E96" s="17" t="s">
        <v>3779</v>
      </c>
      <c r="F96" s="18"/>
      <c r="G96" s="18"/>
      <c r="H96" s="15" t="s">
        <v>3780</v>
      </c>
      <c r="I96" s="18"/>
      <c r="J96" s="19" t="s">
        <v>283</v>
      </c>
      <c r="K96" s="19" t="s">
        <v>402</v>
      </c>
      <c r="L96" s="19" t="s">
        <v>38</v>
      </c>
      <c r="M96" s="20">
        <f t="shared" si="1"/>
        <v>0</v>
      </c>
      <c r="N96" s="22"/>
      <c r="O96" s="19" t="s">
        <v>3578</v>
      </c>
      <c r="P96" s="18"/>
      <c r="Q96" s="18"/>
      <c r="R96" s="23">
        <v>0.0</v>
      </c>
      <c r="S96" s="23">
        <v>0.0</v>
      </c>
      <c r="T96" s="23">
        <f t="shared" si="2"/>
        <v>0</v>
      </c>
      <c r="U96" s="23">
        <f t="shared" si="3"/>
        <v>0</v>
      </c>
      <c r="V96" s="23">
        <f t="shared" si="4"/>
        <v>0</v>
      </c>
      <c r="W96" s="24" t="str">
        <f t="shared" si="5"/>
        <v>#DIV/0!</v>
      </c>
    </row>
    <row r="97" hidden="1">
      <c r="A97" s="15" t="s">
        <v>3781</v>
      </c>
      <c r="B97" s="15" t="s">
        <v>3782</v>
      </c>
      <c r="C97" s="15" t="s">
        <v>6236</v>
      </c>
      <c r="D97" s="15" t="s">
        <v>3783</v>
      </c>
      <c r="E97" s="17" t="s">
        <v>3784</v>
      </c>
      <c r="F97" s="18"/>
      <c r="G97" s="18"/>
      <c r="H97" s="15" t="s">
        <v>3785</v>
      </c>
      <c r="I97" s="18"/>
      <c r="J97" s="19" t="s">
        <v>283</v>
      </c>
      <c r="K97" s="19" t="s">
        <v>1230</v>
      </c>
      <c r="L97" s="19" t="s">
        <v>38</v>
      </c>
      <c r="M97" s="20">
        <f t="shared" si="1"/>
        <v>0</v>
      </c>
      <c r="N97" s="22"/>
      <c r="O97" s="19" t="s">
        <v>3578</v>
      </c>
      <c r="P97" s="18"/>
      <c r="Q97" s="18"/>
      <c r="R97" s="23">
        <v>0.0</v>
      </c>
      <c r="S97" s="23">
        <v>0.0</v>
      </c>
      <c r="T97" s="23">
        <f t="shared" si="2"/>
        <v>0</v>
      </c>
      <c r="U97" s="23">
        <f t="shared" si="3"/>
        <v>0</v>
      </c>
      <c r="V97" s="23">
        <f t="shared" si="4"/>
        <v>0</v>
      </c>
      <c r="W97" s="24" t="str">
        <f t="shared" si="5"/>
        <v>#DIV/0!</v>
      </c>
    </row>
    <row r="98" hidden="1">
      <c r="A98" s="15" t="s">
        <v>3786</v>
      </c>
      <c r="B98" s="15" t="s">
        <v>3787</v>
      </c>
      <c r="C98" s="15" t="s">
        <v>6237</v>
      </c>
      <c r="D98" s="18"/>
      <c r="E98" s="17" t="s">
        <v>3788</v>
      </c>
      <c r="F98" s="18"/>
      <c r="G98" s="18"/>
      <c r="H98" s="15" t="s">
        <v>3789</v>
      </c>
      <c r="I98" s="18"/>
      <c r="J98" s="19" t="s">
        <v>283</v>
      </c>
      <c r="K98" s="19" t="s">
        <v>105</v>
      </c>
      <c r="L98" s="19" t="s">
        <v>38</v>
      </c>
      <c r="M98" s="20">
        <f t="shared" si="1"/>
        <v>0</v>
      </c>
      <c r="N98" s="22"/>
      <c r="O98" s="19" t="s">
        <v>3578</v>
      </c>
      <c r="P98" s="18"/>
      <c r="Q98" s="18"/>
      <c r="R98" s="23">
        <v>0.0</v>
      </c>
      <c r="S98" s="23">
        <v>0.0</v>
      </c>
      <c r="T98" s="23">
        <f t="shared" si="2"/>
        <v>0</v>
      </c>
      <c r="U98" s="23">
        <f t="shared" si="3"/>
        <v>0</v>
      </c>
      <c r="V98" s="23">
        <f t="shared" si="4"/>
        <v>0</v>
      </c>
      <c r="W98" s="24" t="str">
        <f t="shared" si="5"/>
        <v>#DIV/0!</v>
      </c>
    </row>
    <row r="99" hidden="1">
      <c r="A99" s="15" t="s">
        <v>3790</v>
      </c>
      <c r="B99" s="15" t="s">
        <v>3791</v>
      </c>
      <c r="C99" s="15" t="s">
        <v>6238</v>
      </c>
      <c r="D99" s="18"/>
      <c r="E99" s="17" t="s">
        <v>3792</v>
      </c>
      <c r="F99" s="18"/>
      <c r="G99" s="18"/>
      <c r="H99" s="15" t="s">
        <v>3793</v>
      </c>
      <c r="I99" s="18"/>
      <c r="J99" s="19" t="s">
        <v>283</v>
      </c>
      <c r="K99" s="19" t="s">
        <v>1269</v>
      </c>
      <c r="L99" s="19" t="s">
        <v>38</v>
      </c>
      <c r="M99" s="20">
        <f t="shared" si="1"/>
        <v>0</v>
      </c>
      <c r="N99" s="22"/>
      <c r="O99" s="19" t="s">
        <v>3578</v>
      </c>
      <c r="P99" s="18"/>
      <c r="Q99" s="18"/>
      <c r="R99" s="23">
        <v>0.0</v>
      </c>
      <c r="S99" s="23">
        <v>0.0</v>
      </c>
      <c r="T99" s="23">
        <f t="shared" si="2"/>
        <v>0</v>
      </c>
      <c r="U99" s="23">
        <f t="shared" si="3"/>
        <v>0</v>
      </c>
      <c r="V99" s="23">
        <f t="shared" si="4"/>
        <v>0</v>
      </c>
      <c r="W99" s="24" t="str">
        <f t="shared" si="5"/>
        <v>#DIV/0!</v>
      </c>
    </row>
    <row r="100" hidden="1">
      <c r="A100" s="15" t="s">
        <v>1252</v>
      </c>
      <c r="B100" s="18"/>
      <c r="C100" s="15" t="s">
        <v>6239</v>
      </c>
      <c r="D100" s="18"/>
      <c r="E100" s="17" t="s">
        <v>1253</v>
      </c>
      <c r="F100" s="18"/>
      <c r="G100" s="18"/>
      <c r="H100" s="15" t="s">
        <v>1254</v>
      </c>
      <c r="I100" s="18"/>
      <c r="J100" s="19" t="s">
        <v>283</v>
      </c>
      <c r="K100" s="19" t="s">
        <v>105</v>
      </c>
      <c r="L100" s="19" t="s">
        <v>38</v>
      </c>
      <c r="M100" s="20">
        <f t="shared" si="1"/>
        <v>0</v>
      </c>
      <c r="N100" s="22"/>
      <c r="O100" s="19" t="s">
        <v>1145</v>
      </c>
      <c r="P100" s="18"/>
      <c r="Q100" s="18"/>
      <c r="R100" s="23">
        <v>0.0</v>
      </c>
      <c r="S100" s="23">
        <v>0.0</v>
      </c>
      <c r="T100" s="23">
        <f t="shared" si="2"/>
        <v>0</v>
      </c>
      <c r="U100" s="23">
        <f t="shared" si="3"/>
        <v>0</v>
      </c>
      <c r="V100" s="23">
        <f t="shared" si="4"/>
        <v>0</v>
      </c>
      <c r="W100" s="24" t="str">
        <f t="shared" si="5"/>
        <v>#DIV/0!</v>
      </c>
    </row>
    <row r="101" hidden="1">
      <c r="A101" s="15" t="s">
        <v>1255</v>
      </c>
      <c r="B101" s="18"/>
      <c r="C101" s="15" t="s">
        <v>6240</v>
      </c>
      <c r="D101" s="18"/>
      <c r="E101" s="17" t="s">
        <v>1256</v>
      </c>
      <c r="F101" s="18"/>
      <c r="G101" s="18"/>
      <c r="H101" s="15" t="s">
        <v>1257</v>
      </c>
      <c r="I101" s="18"/>
      <c r="J101" s="19" t="s">
        <v>283</v>
      </c>
      <c r="K101" s="19" t="s">
        <v>37</v>
      </c>
      <c r="L101" s="19" t="s">
        <v>38</v>
      </c>
      <c r="M101" s="20">
        <f t="shared" si="1"/>
        <v>0</v>
      </c>
      <c r="N101" s="22"/>
      <c r="O101" s="19" t="s">
        <v>1145</v>
      </c>
      <c r="P101" s="18"/>
      <c r="Q101" s="18"/>
      <c r="R101" s="23">
        <v>0.0</v>
      </c>
      <c r="S101" s="23">
        <v>0.0</v>
      </c>
      <c r="T101" s="23">
        <f t="shared" si="2"/>
        <v>0</v>
      </c>
      <c r="U101" s="23">
        <f t="shared" si="3"/>
        <v>0</v>
      </c>
      <c r="V101" s="23">
        <f t="shared" si="4"/>
        <v>0</v>
      </c>
      <c r="W101" s="24" t="str">
        <f t="shared" si="5"/>
        <v>#DIV/0!</v>
      </c>
    </row>
    <row r="102" hidden="1">
      <c r="A102" s="15" t="s">
        <v>1258</v>
      </c>
      <c r="B102" s="18"/>
      <c r="C102" s="15" t="s">
        <v>6241</v>
      </c>
      <c r="D102" s="18"/>
      <c r="E102" s="17" t="s">
        <v>1259</v>
      </c>
      <c r="F102" s="18"/>
      <c r="G102" s="18"/>
      <c r="H102" s="15" t="s">
        <v>1257</v>
      </c>
      <c r="I102" s="18"/>
      <c r="J102" s="19" t="s">
        <v>283</v>
      </c>
      <c r="K102" s="19" t="s">
        <v>105</v>
      </c>
      <c r="L102" s="19" t="s">
        <v>38</v>
      </c>
      <c r="M102" s="20">
        <f t="shared" si="1"/>
        <v>0</v>
      </c>
      <c r="N102" s="22"/>
      <c r="O102" s="19" t="s">
        <v>1145</v>
      </c>
      <c r="P102" s="18"/>
      <c r="Q102" s="18"/>
      <c r="R102" s="23">
        <v>0.0</v>
      </c>
      <c r="S102" s="23">
        <v>0.0</v>
      </c>
      <c r="T102" s="23">
        <f t="shared" si="2"/>
        <v>0</v>
      </c>
      <c r="U102" s="23">
        <f t="shared" si="3"/>
        <v>0</v>
      </c>
      <c r="V102" s="23">
        <f t="shared" si="4"/>
        <v>0</v>
      </c>
      <c r="W102" s="24" t="str">
        <f t="shared" si="5"/>
        <v>#DIV/0!</v>
      </c>
    </row>
    <row r="103" hidden="1">
      <c r="A103" s="15" t="s">
        <v>1260</v>
      </c>
      <c r="B103" s="18"/>
      <c r="C103" s="15" t="s">
        <v>6242</v>
      </c>
      <c r="D103" s="18"/>
      <c r="E103" s="17" t="s">
        <v>1261</v>
      </c>
      <c r="F103" s="18"/>
      <c r="G103" s="18"/>
      <c r="H103" s="15" t="s">
        <v>1262</v>
      </c>
      <c r="I103" s="18"/>
      <c r="J103" s="19" t="s">
        <v>283</v>
      </c>
      <c r="K103" s="19" t="s">
        <v>284</v>
      </c>
      <c r="L103" s="19" t="s">
        <v>38</v>
      </c>
      <c r="M103" s="20">
        <f t="shared" si="1"/>
        <v>0</v>
      </c>
      <c r="N103" s="22"/>
      <c r="O103" s="19" t="s">
        <v>1145</v>
      </c>
      <c r="P103" s="18"/>
      <c r="Q103" s="18"/>
      <c r="R103" s="23">
        <v>0.0</v>
      </c>
      <c r="S103" s="23">
        <v>0.0</v>
      </c>
      <c r="T103" s="23">
        <f t="shared" si="2"/>
        <v>0</v>
      </c>
      <c r="U103" s="23">
        <f t="shared" si="3"/>
        <v>0</v>
      </c>
      <c r="V103" s="23">
        <f t="shared" si="4"/>
        <v>0</v>
      </c>
      <c r="W103" s="24" t="str">
        <f t="shared" si="5"/>
        <v>#DIV/0!</v>
      </c>
    </row>
    <row r="104" hidden="1">
      <c r="A104" s="15" t="s">
        <v>1263</v>
      </c>
      <c r="B104" s="18"/>
      <c r="C104" s="15" t="s">
        <v>6243</v>
      </c>
      <c r="D104" s="18"/>
      <c r="E104" s="17" t="s">
        <v>1264</v>
      </c>
      <c r="F104" s="18"/>
      <c r="G104" s="18"/>
      <c r="H104" s="15" t="s">
        <v>1265</v>
      </c>
      <c r="I104" s="18"/>
      <c r="J104" s="19" t="s">
        <v>283</v>
      </c>
      <c r="K104" s="19" t="s">
        <v>284</v>
      </c>
      <c r="L104" s="19" t="s">
        <v>38</v>
      </c>
      <c r="M104" s="20">
        <f t="shared" si="1"/>
        <v>0</v>
      </c>
      <c r="N104" s="22"/>
      <c r="O104" s="19" t="s">
        <v>1145</v>
      </c>
      <c r="P104" s="18"/>
      <c r="Q104" s="18"/>
      <c r="R104" s="23">
        <v>0.0</v>
      </c>
      <c r="S104" s="23">
        <v>0.0</v>
      </c>
      <c r="T104" s="23">
        <f t="shared" si="2"/>
        <v>0</v>
      </c>
      <c r="U104" s="23">
        <f t="shared" si="3"/>
        <v>0</v>
      </c>
      <c r="V104" s="23">
        <f t="shared" si="4"/>
        <v>0</v>
      </c>
      <c r="W104" s="24" t="str">
        <f t="shared" si="5"/>
        <v>#DIV/0!</v>
      </c>
    </row>
    <row r="105" hidden="1">
      <c r="A105" s="15" t="s">
        <v>1266</v>
      </c>
      <c r="B105" s="18"/>
      <c r="C105" s="15" t="s">
        <v>6244</v>
      </c>
      <c r="D105" s="18"/>
      <c r="E105" s="17" t="s">
        <v>1267</v>
      </c>
      <c r="F105" s="18"/>
      <c r="G105" s="18"/>
      <c r="H105" s="15" t="s">
        <v>1268</v>
      </c>
      <c r="I105" s="18"/>
      <c r="J105" s="19" t="s">
        <v>283</v>
      </c>
      <c r="K105" s="19" t="s">
        <v>1269</v>
      </c>
      <c r="L105" s="19" t="s">
        <v>38</v>
      </c>
      <c r="M105" s="20">
        <f t="shared" si="1"/>
        <v>0</v>
      </c>
      <c r="N105" s="22"/>
      <c r="O105" s="19" t="s">
        <v>1145</v>
      </c>
      <c r="P105" s="18"/>
      <c r="Q105" s="18"/>
      <c r="R105" s="23">
        <v>0.0</v>
      </c>
      <c r="S105" s="23">
        <v>0.0</v>
      </c>
      <c r="T105" s="23">
        <f t="shared" si="2"/>
        <v>0</v>
      </c>
      <c r="U105" s="23">
        <f t="shared" si="3"/>
        <v>0</v>
      </c>
      <c r="V105" s="23">
        <f t="shared" si="4"/>
        <v>0</v>
      </c>
      <c r="W105" s="24" t="str">
        <f t="shared" si="5"/>
        <v>#DIV/0!</v>
      </c>
    </row>
    <row r="106" hidden="1">
      <c r="A106" s="15" t="s">
        <v>1270</v>
      </c>
      <c r="B106" s="18"/>
      <c r="C106" s="15" t="s">
        <v>6245</v>
      </c>
      <c r="D106" s="18"/>
      <c r="E106" s="17" t="s">
        <v>1271</v>
      </c>
      <c r="F106" s="18"/>
      <c r="G106" s="18"/>
      <c r="H106" s="15" t="s">
        <v>1272</v>
      </c>
      <c r="I106" s="18"/>
      <c r="J106" s="19" t="s">
        <v>283</v>
      </c>
      <c r="K106" s="19" t="s">
        <v>105</v>
      </c>
      <c r="L106" s="19" t="s">
        <v>38</v>
      </c>
      <c r="M106" s="20">
        <f t="shared" si="1"/>
        <v>0</v>
      </c>
      <c r="N106" s="22"/>
      <c r="O106" s="19" t="s">
        <v>1145</v>
      </c>
      <c r="P106" s="18"/>
      <c r="Q106" s="18"/>
      <c r="R106" s="23">
        <v>0.0</v>
      </c>
      <c r="S106" s="23">
        <v>0.0</v>
      </c>
      <c r="T106" s="23">
        <f t="shared" si="2"/>
        <v>0</v>
      </c>
      <c r="U106" s="23">
        <f t="shared" si="3"/>
        <v>0</v>
      </c>
      <c r="V106" s="23">
        <f t="shared" si="4"/>
        <v>0</v>
      </c>
      <c r="W106" s="24" t="str">
        <f t="shared" si="5"/>
        <v>#DIV/0!</v>
      </c>
    </row>
    <row r="107" hidden="1">
      <c r="A107" s="15" t="s">
        <v>1273</v>
      </c>
      <c r="B107" s="18"/>
      <c r="C107" s="15" t="s">
        <v>6246</v>
      </c>
      <c r="D107" s="18"/>
      <c r="E107" s="17" t="s">
        <v>1274</v>
      </c>
      <c r="F107" s="18"/>
      <c r="G107" s="18"/>
      <c r="H107" s="15" t="s">
        <v>1275</v>
      </c>
      <c r="I107" s="18"/>
      <c r="J107" s="19" t="s">
        <v>283</v>
      </c>
      <c r="K107" s="19" t="s">
        <v>284</v>
      </c>
      <c r="L107" s="19" t="s">
        <v>38</v>
      </c>
      <c r="M107" s="20">
        <f t="shared" si="1"/>
        <v>0</v>
      </c>
      <c r="N107" s="22"/>
      <c r="O107" s="19" t="s">
        <v>1145</v>
      </c>
      <c r="P107" s="18"/>
      <c r="Q107" s="18"/>
      <c r="R107" s="23">
        <v>0.0</v>
      </c>
      <c r="S107" s="23">
        <v>0.0</v>
      </c>
      <c r="T107" s="23">
        <f t="shared" si="2"/>
        <v>0</v>
      </c>
      <c r="U107" s="23">
        <f t="shared" si="3"/>
        <v>0</v>
      </c>
      <c r="V107" s="23">
        <f t="shared" si="4"/>
        <v>0</v>
      </c>
      <c r="W107" s="24" t="str">
        <f t="shared" si="5"/>
        <v>#DIV/0!</v>
      </c>
    </row>
    <row r="108" hidden="1">
      <c r="A108" s="15" t="s">
        <v>1276</v>
      </c>
      <c r="B108" s="18"/>
      <c r="C108" s="15" t="s">
        <v>6247</v>
      </c>
      <c r="D108" s="18"/>
      <c r="E108" s="17" t="s">
        <v>1277</v>
      </c>
      <c r="F108" s="18"/>
      <c r="G108" s="18"/>
      <c r="H108" s="15" t="s">
        <v>1278</v>
      </c>
      <c r="I108" s="18"/>
      <c r="J108" s="19" t="s">
        <v>283</v>
      </c>
      <c r="K108" s="19" t="s">
        <v>105</v>
      </c>
      <c r="L108" s="19" t="s">
        <v>38</v>
      </c>
      <c r="M108" s="20">
        <f t="shared" si="1"/>
        <v>0</v>
      </c>
      <c r="N108" s="22"/>
      <c r="O108" s="19" t="s">
        <v>1145</v>
      </c>
      <c r="P108" s="18"/>
      <c r="Q108" s="18"/>
      <c r="R108" s="23">
        <v>0.0</v>
      </c>
      <c r="S108" s="23">
        <v>0.0</v>
      </c>
      <c r="T108" s="23">
        <f t="shared" si="2"/>
        <v>0</v>
      </c>
      <c r="U108" s="23">
        <f t="shared" si="3"/>
        <v>0</v>
      </c>
      <c r="V108" s="23">
        <f t="shared" si="4"/>
        <v>0</v>
      </c>
      <c r="W108" s="24" t="str">
        <f t="shared" si="5"/>
        <v>#DIV/0!</v>
      </c>
    </row>
    <row r="109" hidden="1">
      <c r="A109" s="15" t="s">
        <v>1279</v>
      </c>
      <c r="B109" s="18"/>
      <c r="C109" s="15" t="s">
        <v>6248</v>
      </c>
      <c r="D109" s="18"/>
      <c r="E109" s="17" t="s">
        <v>1280</v>
      </c>
      <c r="F109" s="18"/>
      <c r="G109" s="18"/>
      <c r="H109" s="15" t="s">
        <v>1281</v>
      </c>
      <c r="I109" s="18"/>
      <c r="J109" s="19" t="s">
        <v>283</v>
      </c>
      <c r="K109" s="19" t="s">
        <v>284</v>
      </c>
      <c r="L109" s="19" t="s">
        <v>38</v>
      </c>
      <c r="M109" s="20">
        <f t="shared" si="1"/>
        <v>0</v>
      </c>
      <c r="N109" s="22"/>
      <c r="O109" s="19" t="s">
        <v>1145</v>
      </c>
      <c r="P109" s="18"/>
      <c r="Q109" s="18"/>
      <c r="R109" s="23">
        <v>0.0</v>
      </c>
      <c r="S109" s="23">
        <v>0.0</v>
      </c>
      <c r="T109" s="23">
        <f t="shared" si="2"/>
        <v>0</v>
      </c>
      <c r="U109" s="23">
        <f t="shared" si="3"/>
        <v>0</v>
      </c>
      <c r="V109" s="23">
        <f t="shared" si="4"/>
        <v>0</v>
      </c>
      <c r="W109" s="24" t="str">
        <f t="shared" si="5"/>
        <v>#DIV/0!</v>
      </c>
    </row>
    <row r="110" hidden="1">
      <c r="A110" s="15" t="s">
        <v>6249</v>
      </c>
      <c r="B110" s="18"/>
      <c r="C110" s="15" t="s">
        <v>6250</v>
      </c>
      <c r="D110" s="18"/>
      <c r="E110" s="17" t="s">
        <v>6251</v>
      </c>
      <c r="F110" s="18"/>
      <c r="G110" s="18"/>
      <c r="H110" s="15" t="s">
        <v>3755</v>
      </c>
      <c r="I110" s="18"/>
      <c r="J110" s="19" t="s">
        <v>283</v>
      </c>
      <c r="K110" s="19" t="s">
        <v>284</v>
      </c>
      <c r="L110" s="19" t="s">
        <v>38</v>
      </c>
      <c r="M110" s="20">
        <f t="shared" si="1"/>
        <v>0</v>
      </c>
      <c r="N110" s="22"/>
      <c r="O110" s="19" t="s">
        <v>39</v>
      </c>
      <c r="P110" s="18"/>
      <c r="Q110" s="18"/>
      <c r="R110" s="23">
        <v>0.0</v>
      </c>
      <c r="S110" s="23">
        <v>0.0</v>
      </c>
      <c r="T110" s="23">
        <f t="shared" si="2"/>
        <v>0</v>
      </c>
      <c r="U110" s="23">
        <f t="shared" si="3"/>
        <v>0</v>
      </c>
      <c r="V110" s="23">
        <f t="shared" si="4"/>
        <v>0</v>
      </c>
      <c r="W110" s="24" t="str">
        <f t="shared" si="5"/>
        <v>#DIV/0!</v>
      </c>
    </row>
    <row r="111" hidden="1">
      <c r="A111" s="15" t="s">
        <v>1282</v>
      </c>
      <c r="B111" s="18"/>
      <c r="C111" s="15" t="s">
        <v>6252</v>
      </c>
      <c r="D111" s="18"/>
      <c r="E111" s="17" t="s">
        <v>1283</v>
      </c>
      <c r="F111" s="18"/>
      <c r="G111" s="18"/>
      <c r="H111" s="15" t="s">
        <v>1284</v>
      </c>
      <c r="I111" s="18"/>
      <c r="J111" s="19" t="s">
        <v>283</v>
      </c>
      <c r="K111" s="19" t="s">
        <v>284</v>
      </c>
      <c r="L111" s="19" t="s">
        <v>38</v>
      </c>
      <c r="M111" s="20">
        <f t="shared" si="1"/>
        <v>0</v>
      </c>
      <c r="N111" s="22"/>
      <c r="O111" s="19" t="s">
        <v>1145</v>
      </c>
      <c r="P111" s="18"/>
      <c r="Q111" s="18"/>
      <c r="R111" s="23">
        <v>0.0</v>
      </c>
      <c r="S111" s="23">
        <v>0.0</v>
      </c>
      <c r="T111" s="23">
        <f t="shared" si="2"/>
        <v>0</v>
      </c>
      <c r="U111" s="23">
        <f t="shared" si="3"/>
        <v>0</v>
      </c>
      <c r="V111" s="23">
        <f t="shared" si="4"/>
        <v>0</v>
      </c>
      <c r="W111" s="24" t="str">
        <f t="shared" si="5"/>
        <v>#DIV/0!</v>
      </c>
    </row>
    <row r="112" hidden="1">
      <c r="A112" s="15" t="s">
        <v>1285</v>
      </c>
      <c r="B112" s="18"/>
      <c r="C112" s="15" t="s">
        <v>6253</v>
      </c>
      <c r="D112" s="18"/>
      <c r="E112" s="17" t="s">
        <v>1286</v>
      </c>
      <c r="F112" s="18"/>
      <c r="G112" s="18"/>
      <c r="H112" s="15" t="s">
        <v>1287</v>
      </c>
      <c r="I112" s="18"/>
      <c r="J112" s="19" t="s">
        <v>283</v>
      </c>
      <c r="K112" s="19" t="s">
        <v>105</v>
      </c>
      <c r="L112" s="19" t="s">
        <v>38</v>
      </c>
      <c r="M112" s="20">
        <f t="shared" si="1"/>
        <v>0</v>
      </c>
      <c r="N112" s="22"/>
      <c r="O112" s="19" t="s">
        <v>1145</v>
      </c>
      <c r="P112" s="18"/>
      <c r="Q112" s="18"/>
      <c r="R112" s="23">
        <v>0.0</v>
      </c>
      <c r="S112" s="23">
        <v>0.0</v>
      </c>
      <c r="T112" s="23">
        <f t="shared" si="2"/>
        <v>0</v>
      </c>
      <c r="U112" s="23">
        <f t="shared" si="3"/>
        <v>0</v>
      </c>
      <c r="V112" s="23">
        <f t="shared" si="4"/>
        <v>0</v>
      </c>
      <c r="W112" s="24" t="str">
        <f t="shared" si="5"/>
        <v>#DIV/0!</v>
      </c>
    </row>
    <row r="113" hidden="1">
      <c r="A113" s="15" t="s">
        <v>1288</v>
      </c>
      <c r="B113" s="18"/>
      <c r="C113" s="15" t="s">
        <v>6254</v>
      </c>
      <c r="D113" s="18"/>
      <c r="E113" s="17" t="s">
        <v>1289</v>
      </c>
      <c r="F113" s="18"/>
      <c r="G113" s="18"/>
      <c r="H113" s="15" t="s">
        <v>1290</v>
      </c>
      <c r="I113" s="18"/>
      <c r="J113" s="19" t="s">
        <v>283</v>
      </c>
      <c r="K113" s="19" t="s">
        <v>105</v>
      </c>
      <c r="L113" s="19" t="s">
        <v>38</v>
      </c>
      <c r="M113" s="20">
        <f t="shared" si="1"/>
        <v>0</v>
      </c>
      <c r="N113" s="22"/>
      <c r="O113" s="19" t="s">
        <v>1145</v>
      </c>
      <c r="P113" s="18"/>
      <c r="Q113" s="18"/>
      <c r="R113" s="23">
        <v>0.0</v>
      </c>
      <c r="S113" s="23">
        <v>0.0</v>
      </c>
      <c r="T113" s="23">
        <f t="shared" si="2"/>
        <v>0</v>
      </c>
      <c r="U113" s="23">
        <f t="shared" si="3"/>
        <v>0</v>
      </c>
      <c r="V113" s="23">
        <f t="shared" si="4"/>
        <v>0</v>
      </c>
      <c r="W113" s="24" t="str">
        <f t="shared" si="5"/>
        <v>#DIV/0!</v>
      </c>
    </row>
    <row r="114" hidden="1">
      <c r="A114" s="15" t="s">
        <v>1291</v>
      </c>
      <c r="B114" s="18"/>
      <c r="C114" s="15" t="s">
        <v>6255</v>
      </c>
      <c r="D114" s="18"/>
      <c r="E114" s="17" t="s">
        <v>1292</v>
      </c>
      <c r="F114" s="18"/>
      <c r="G114" s="18"/>
      <c r="H114" s="15" t="s">
        <v>1293</v>
      </c>
      <c r="I114" s="18"/>
      <c r="J114" s="19" t="s">
        <v>283</v>
      </c>
      <c r="K114" s="19" t="s">
        <v>105</v>
      </c>
      <c r="L114" s="19" t="s">
        <v>38</v>
      </c>
      <c r="M114" s="20">
        <f t="shared" si="1"/>
        <v>0</v>
      </c>
      <c r="N114" s="22"/>
      <c r="O114" s="19" t="s">
        <v>1145</v>
      </c>
      <c r="P114" s="18"/>
      <c r="Q114" s="18"/>
      <c r="R114" s="23">
        <v>0.0</v>
      </c>
      <c r="S114" s="23">
        <v>0.0</v>
      </c>
      <c r="T114" s="23">
        <f t="shared" si="2"/>
        <v>0</v>
      </c>
      <c r="U114" s="23">
        <f t="shared" si="3"/>
        <v>0</v>
      </c>
      <c r="V114" s="23">
        <f t="shared" si="4"/>
        <v>0</v>
      </c>
      <c r="W114" s="24" t="str">
        <f t="shared" si="5"/>
        <v>#DIV/0!</v>
      </c>
    </row>
    <row r="115" hidden="1">
      <c r="A115" s="15" t="s">
        <v>1294</v>
      </c>
      <c r="B115" s="18"/>
      <c r="C115" s="15" t="s">
        <v>6256</v>
      </c>
      <c r="D115" s="18"/>
      <c r="E115" s="17" t="s">
        <v>1295</v>
      </c>
      <c r="F115" s="18"/>
      <c r="G115" s="18"/>
      <c r="H115" s="15" t="s">
        <v>1296</v>
      </c>
      <c r="I115" s="18"/>
      <c r="J115" s="19" t="s">
        <v>283</v>
      </c>
      <c r="K115" s="19" t="s">
        <v>284</v>
      </c>
      <c r="L115" s="19" t="s">
        <v>38</v>
      </c>
      <c r="M115" s="20">
        <f t="shared" si="1"/>
        <v>0</v>
      </c>
      <c r="N115" s="22"/>
      <c r="O115" s="19" t="s">
        <v>1145</v>
      </c>
      <c r="P115" s="18"/>
      <c r="Q115" s="18"/>
      <c r="R115" s="23">
        <v>0.0</v>
      </c>
      <c r="S115" s="23">
        <v>0.0</v>
      </c>
      <c r="T115" s="23">
        <f t="shared" si="2"/>
        <v>0</v>
      </c>
      <c r="U115" s="23">
        <f t="shared" si="3"/>
        <v>0</v>
      </c>
      <c r="V115" s="23">
        <f t="shared" si="4"/>
        <v>0</v>
      </c>
      <c r="W115" s="24" t="str">
        <f t="shared" si="5"/>
        <v>#DIV/0!</v>
      </c>
    </row>
    <row r="116" hidden="1">
      <c r="A116" s="15" t="s">
        <v>1297</v>
      </c>
      <c r="B116" s="18"/>
      <c r="C116" s="15" t="s">
        <v>6257</v>
      </c>
      <c r="D116" s="18"/>
      <c r="E116" s="17" t="s">
        <v>1298</v>
      </c>
      <c r="F116" s="18"/>
      <c r="G116" s="18"/>
      <c r="H116" s="15" t="s">
        <v>1299</v>
      </c>
      <c r="I116" s="18"/>
      <c r="J116" s="19" t="s">
        <v>283</v>
      </c>
      <c r="K116" s="19" t="s">
        <v>284</v>
      </c>
      <c r="L116" s="19" t="s">
        <v>38</v>
      </c>
      <c r="M116" s="20">
        <f t="shared" si="1"/>
        <v>0</v>
      </c>
      <c r="N116" s="22"/>
      <c r="O116" s="19" t="s">
        <v>1145</v>
      </c>
      <c r="P116" s="18"/>
      <c r="Q116" s="18"/>
      <c r="R116" s="23">
        <v>0.0</v>
      </c>
      <c r="S116" s="23">
        <v>0.0</v>
      </c>
      <c r="T116" s="23">
        <f t="shared" si="2"/>
        <v>0</v>
      </c>
      <c r="U116" s="23">
        <f t="shared" si="3"/>
        <v>0</v>
      </c>
      <c r="V116" s="23">
        <f t="shared" si="4"/>
        <v>0</v>
      </c>
      <c r="W116" s="24" t="str">
        <f t="shared" si="5"/>
        <v>#DIV/0!</v>
      </c>
    </row>
    <row r="117" hidden="1">
      <c r="A117" s="15" t="s">
        <v>3794</v>
      </c>
      <c r="B117" s="15" t="s">
        <v>3795</v>
      </c>
      <c r="C117" s="15" t="s">
        <v>6258</v>
      </c>
      <c r="D117" s="15" t="s">
        <v>1313</v>
      </c>
      <c r="E117" s="17" t="s">
        <v>3796</v>
      </c>
      <c r="F117" s="18"/>
      <c r="G117" s="18"/>
      <c r="H117" s="15" t="s">
        <v>3797</v>
      </c>
      <c r="I117" s="15" t="s">
        <v>3798</v>
      </c>
      <c r="J117" s="19" t="s">
        <v>283</v>
      </c>
      <c r="K117" s="19" t="s">
        <v>284</v>
      </c>
      <c r="L117" s="19" t="s">
        <v>38</v>
      </c>
      <c r="M117" s="20">
        <f t="shared" si="1"/>
        <v>0</v>
      </c>
      <c r="N117" s="22"/>
      <c r="O117" s="19" t="s">
        <v>3578</v>
      </c>
      <c r="P117" s="18"/>
      <c r="Q117" s="18"/>
      <c r="R117" s="23">
        <v>0.0</v>
      </c>
      <c r="S117" s="23">
        <v>0.0</v>
      </c>
      <c r="T117" s="23">
        <f t="shared" si="2"/>
        <v>0</v>
      </c>
      <c r="U117" s="23">
        <f t="shared" si="3"/>
        <v>0</v>
      </c>
      <c r="V117" s="23">
        <f t="shared" si="4"/>
        <v>0</v>
      </c>
      <c r="W117" s="24" t="str">
        <f t="shared" si="5"/>
        <v>#DIV/0!</v>
      </c>
    </row>
    <row r="118" hidden="1">
      <c r="A118" s="15" t="s">
        <v>1300</v>
      </c>
      <c r="B118" s="18"/>
      <c r="C118" s="15" t="s">
        <v>6259</v>
      </c>
      <c r="D118" s="18"/>
      <c r="E118" s="17" t="s">
        <v>1301</v>
      </c>
      <c r="F118" s="18"/>
      <c r="G118" s="18"/>
      <c r="H118" s="15" t="s">
        <v>1302</v>
      </c>
      <c r="I118" s="18"/>
      <c r="J118" s="19" t="s">
        <v>283</v>
      </c>
      <c r="K118" s="19" t="s">
        <v>105</v>
      </c>
      <c r="L118" s="19" t="s">
        <v>38</v>
      </c>
      <c r="M118" s="20">
        <f t="shared" si="1"/>
        <v>0</v>
      </c>
      <c r="N118" s="22"/>
      <c r="O118" s="19" t="s">
        <v>1145</v>
      </c>
      <c r="P118" s="18"/>
      <c r="Q118" s="18"/>
      <c r="R118" s="23">
        <v>0.0</v>
      </c>
      <c r="S118" s="23">
        <v>0.0</v>
      </c>
      <c r="T118" s="23">
        <f t="shared" si="2"/>
        <v>0</v>
      </c>
      <c r="U118" s="23">
        <f t="shared" si="3"/>
        <v>0</v>
      </c>
      <c r="V118" s="23">
        <f t="shared" si="4"/>
        <v>0</v>
      </c>
      <c r="W118" s="24" t="str">
        <f t="shared" si="5"/>
        <v>#DIV/0!</v>
      </c>
    </row>
    <row r="119" hidden="1">
      <c r="A119" s="15" t="s">
        <v>1303</v>
      </c>
      <c r="B119" s="18"/>
      <c r="C119" s="15" t="s">
        <v>6260</v>
      </c>
      <c r="D119" s="18"/>
      <c r="E119" s="17" t="s">
        <v>1304</v>
      </c>
      <c r="F119" s="18"/>
      <c r="G119" s="18"/>
      <c r="H119" s="15" t="s">
        <v>1305</v>
      </c>
      <c r="I119" s="18"/>
      <c r="J119" s="19" t="s">
        <v>283</v>
      </c>
      <c r="K119" s="19" t="s">
        <v>105</v>
      </c>
      <c r="L119" s="19" t="s">
        <v>38</v>
      </c>
      <c r="M119" s="20">
        <f t="shared" si="1"/>
        <v>0</v>
      </c>
      <c r="N119" s="22"/>
      <c r="O119" s="19" t="s">
        <v>1145</v>
      </c>
      <c r="P119" s="18"/>
      <c r="Q119" s="18"/>
      <c r="R119" s="23">
        <v>0.0</v>
      </c>
      <c r="S119" s="23">
        <v>0.0</v>
      </c>
      <c r="T119" s="23">
        <f t="shared" si="2"/>
        <v>0</v>
      </c>
      <c r="U119" s="23">
        <f t="shared" si="3"/>
        <v>0</v>
      </c>
      <c r="V119" s="23">
        <f t="shared" si="4"/>
        <v>0</v>
      </c>
      <c r="W119" s="24" t="str">
        <f t="shared" si="5"/>
        <v>#DIV/0!</v>
      </c>
    </row>
    <row r="120" hidden="1">
      <c r="A120" s="15" t="s">
        <v>1306</v>
      </c>
      <c r="B120" s="18"/>
      <c r="C120" s="15" t="s">
        <v>6261</v>
      </c>
      <c r="D120" s="18"/>
      <c r="E120" s="17" t="s">
        <v>1307</v>
      </c>
      <c r="F120" s="18"/>
      <c r="G120" s="18"/>
      <c r="H120" s="15" t="s">
        <v>1308</v>
      </c>
      <c r="I120" s="18"/>
      <c r="J120" s="19" t="s">
        <v>283</v>
      </c>
      <c r="K120" s="19" t="s">
        <v>284</v>
      </c>
      <c r="L120" s="19" t="s">
        <v>38</v>
      </c>
      <c r="M120" s="20">
        <f t="shared" si="1"/>
        <v>0</v>
      </c>
      <c r="N120" s="22"/>
      <c r="O120" s="19" t="s">
        <v>1145</v>
      </c>
      <c r="P120" s="18"/>
      <c r="Q120" s="18"/>
      <c r="R120" s="23">
        <v>0.0</v>
      </c>
      <c r="S120" s="23">
        <v>0.0</v>
      </c>
      <c r="T120" s="23">
        <f t="shared" si="2"/>
        <v>0</v>
      </c>
      <c r="U120" s="23">
        <f t="shared" si="3"/>
        <v>0</v>
      </c>
      <c r="V120" s="23">
        <f t="shared" si="4"/>
        <v>0</v>
      </c>
      <c r="W120" s="24" t="str">
        <f t="shared" si="5"/>
        <v>#DIV/0!</v>
      </c>
    </row>
    <row r="121" hidden="1">
      <c r="A121" s="15" t="s">
        <v>1309</v>
      </c>
      <c r="B121" s="18"/>
      <c r="C121" s="15" t="s">
        <v>6262</v>
      </c>
      <c r="D121" s="18"/>
      <c r="E121" s="17" t="s">
        <v>1310</v>
      </c>
      <c r="F121" s="18"/>
      <c r="G121" s="18"/>
      <c r="H121" s="15" t="s">
        <v>1311</v>
      </c>
      <c r="I121" s="18"/>
      <c r="J121" s="19" t="s">
        <v>283</v>
      </c>
      <c r="K121" s="19" t="s">
        <v>105</v>
      </c>
      <c r="L121" s="19" t="s">
        <v>38</v>
      </c>
      <c r="M121" s="20">
        <f t="shared" si="1"/>
        <v>0</v>
      </c>
      <c r="N121" s="22"/>
      <c r="O121" s="19" t="s">
        <v>1145</v>
      </c>
      <c r="P121" s="18"/>
      <c r="Q121" s="18"/>
      <c r="R121" s="23">
        <v>0.0</v>
      </c>
      <c r="S121" s="23">
        <v>0.0</v>
      </c>
      <c r="T121" s="23">
        <f t="shared" si="2"/>
        <v>0</v>
      </c>
      <c r="U121" s="23">
        <f t="shared" si="3"/>
        <v>0</v>
      </c>
      <c r="V121" s="23">
        <f t="shared" si="4"/>
        <v>0</v>
      </c>
      <c r="W121" s="24" t="str">
        <f t="shared" si="5"/>
        <v>#DIV/0!</v>
      </c>
    </row>
    <row r="122" hidden="1">
      <c r="A122" s="15" t="s">
        <v>1312</v>
      </c>
      <c r="B122" s="18"/>
      <c r="C122" s="15" t="s">
        <v>6263</v>
      </c>
      <c r="D122" s="18"/>
      <c r="E122" s="17" t="s">
        <v>1313</v>
      </c>
      <c r="F122" s="18"/>
      <c r="G122" s="18"/>
      <c r="H122" s="15" t="s">
        <v>1314</v>
      </c>
      <c r="I122" s="18"/>
      <c r="J122" s="19" t="s">
        <v>283</v>
      </c>
      <c r="K122" s="19" t="s">
        <v>284</v>
      </c>
      <c r="L122" s="19" t="s">
        <v>38</v>
      </c>
      <c r="M122" s="20">
        <f t="shared" si="1"/>
        <v>0</v>
      </c>
      <c r="N122" s="22"/>
      <c r="O122" s="19" t="s">
        <v>1145</v>
      </c>
      <c r="P122" s="18"/>
      <c r="Q122" s="18"/>
      <c r="R122" s="23">
        <v>0.0</v>
      </c>
      <c r="S122" s="23">
        <v>0.0</v>
      </c>
      <c r="T122" s="23">
        <f t="shared" si="2"/>
        <v>0</v>
      </c>
      <c r="U122" s="23">
        <f t="shared" si="3"/>
        <v>0</v>
      </c>
      <c r="V122" s="23">
        <f t="shared" si="4"/>
        <v>0</v>
      </c>
      <c r="W122" s="24" t="str">
        <f t="shared" si="5"/>
        <v>#DIV/0!</v>
      </c>
    </row>
    <row r="123" hidden="1">
      <c r="A123" s="15" t="s">
        <v>1315</v>
      </c>
      <c r="B123" s="18"/>
      <c r="C123" s="15" t="s">
        <v>6264</v>
      </c>
      <c r="D123" s="18"/>
      <c r="E123" s="17" t="s">
        <v>1316</v>
      </c>
      <c r="F123" s="18"/>
      <c r="G123" s="18"/>
      <c r="H123" s="15" t="s">
        <v>1317</v>
      </c>
      <c r="I123" s="18"/>
      <c r="J123" s="19" t="s">
        <v>283</v>
      </c>
      <c r="K123" s="19" t="s">
        <v>284</v>
      </c>
      <c r="L123" s="19" t="s">
        <v>38</v>
      </c>
      <c r="M123" s="20">
        <f t="shared" si="1"/>
        <v>0</v>
      </c>
      <c r="N123" s="22"/>
      <c r="O123" s="19" t="s">
        <v>1145</v>
      </c>
      <c r="P123" s="18"/>
      <c r="Q123" s="18"/>
      <c r="R123" s="23">
        <v>0.0</v>
      </c>
      <c r="S123" s="23">
        <v>0.0</v>
      </c>
      <c r="T123" s="23">
        <f t="shared" si="2"/>
        <v>0</v>
      </c>
      <c r="U123" s="23">
        <f t="shared" si="3"/>
        <v>0</v>
      </c>
      <c r="V123" s="23">
        <f t="shared" si="4"/>
        <v>0</v>
      </c>
      <c r="W123" s="24" t="str">
        <f t="shared" si="5"/>
        <v>#DIV/0!</v>
      </c>
    </row>
    <row r="124" hidden="1">
      <c r="A124" s="15" t="s">
        <v>1318</v>
      </c>
      <c r="B124" s="18"/>
      <c r="C124" s="15" t="s">
        <v>6265</v>
      </c>
      <c r="D124" s="18"/>
      <c r="E124" s="17" t="s">
        <v>1295</v>
      </c>
      <c r="F124" s="18"/>
      <c r="G124" s="18"/>
      <c r="H124" s="15" t="s">
        <v>1319</v>
      </c>
      <c r="I124" s="18"/>
      <c r="J124" s="19" t="s">
        <v>283</v>
      </c>
      <c r="K124" s="19" t="s">
        <v>284</v>
      </c>
      <c r="L124" s="19" t="s">
        <v>38</v>
      </c>
      <c r="M124" s="20">
        <f t="shared" si="1"/>
        <v>0</v>
      </c>
      <c r="N124" s="22"/>
      <c r="O124" s="19" t="s">
        <v>1145</v>
      </c>
      <c r="P124" s="18"/>
      <c r="Q124" s="18"/>
      <c r="R124" s="23">
        <v>0.0</v>
      </c>
      <c r="S124" s="23">
        <v>0.0</v>
      </c>
      <c r="T124" s="23">
        <f t="shared" si="2"/>
        <v>0</v>
      </c>
      <c r="U124" s="23">
        <f t="shared" si="3"/>
        <v>0</v>
      </c>
      <c r="V124" s="23">
        <f t="shared" si="4"/>
        <v>0</v>
      </c>
      <c r="W124" s="24" t="str">
        <f t="shared" si="5"/>
        <v>#DIV/0!</v>
      </c>
    </row>
    <row r="125" hidden="1">
      <c r="A125" s="15" t="s">
        <v>1320</v>
      </c>
      <c r="B125" s="18"/>
      <c r="C125" s="15" t="s">
        <v>6266</v>
      </c>
      <c r="D125" s="18"/>
      <c r="E125" s="17" t="s">
        <v>1289</v>
      </c>
      <c r="F125" s="18"/>
      <c r="G125" s="18"/>
      <c r="H125" s="15" t="s">
        <v>1321</v>
      </c>
      <c r="I125" s="18"/>
      <c r="J125" s="19" t="s">
        <v>283</v>
      </c>
      <c r="K125" s="19" t="s">
        <v>105</v>
      </c>
      <c r="L125" s="19" t="s">
        <v>38</v>
      </c>
      <c r="M125" s="20">
        <f t="shared" si="1"/>
        <v>0</v>
      </c>
      <c r="N125" s="22"/>
      <c r="O125" s="19" t="s">
        <v>1145</v>
      </c>
      <c r="P125" s="18"/>
      <c r="Q125" s="18"/>
      <c r="R125" s="23">
        <v>0.0</v>
      </c>
      <c r="S125" s="23">
        <v>0.0</v>
      </c>
      <c r="T125" s="23">
        <f t="shared" si="2"/>
        <v>0</v>
      </c>
      <c r="U125" s="23">
        <f t="shared" si="3"/>
        <v>0</v>
      </c>
      <c r="V125" s="23">
        <f t="shared" si="4"/>
        <v>0</v>
      </c>
      <c r="W125" s="24" t="str">
        <f t="shared" si="5"/>
        <v>#DIV/0!</v>
      </c>
    </row>
    <row r="126" hidden="1">
      <c r="A126" s="15" t="s">
        <v>1322</v>
      </c>
      <c r="B126" s="18"/>
      <c r="C126" s="15" t="s">
        <v>6267</v>
      </c>
      <c r="D126" s="18"/>
      <c r="E126" s="17" t="s">
        <v>1292</v>
      </c>
      <c r="F126" s="18"/>
      <c r="G126" s="18"/>
      <c r="H126" s="15" t="s">
        <v>1323</v>
      </c>
      <c r="I126" s="18"/>
      <c r="J126" s="19" t="s">
        <v>283</v>
      </c>
      <c r="K126" s="19" t="s">
        <v>105</v>
      </c>
      <c r="L126" s="19" t="s">
        <v>38</v>
      </c>
      <c r="M126" s="20">
        <f t="shared" si="1"/>
        <v>0</v>
      </c>
      <c r="N126" s="22"/>
      <c r="O126" s="19" t="s">
        <v>1145</v>
      </c>
      <c r="P126" s="18"/>
      <c r="Q126" s="18"/>
      <c r="R126" s="23">
        <v>0.0</v>
      </c>
      <c r="S126" s="23">
        <v>0.0</v>
      </c>
      <c r="T126" s="23">
        <f t="shared" si="2"/>
        <v>0</v>
      </c>
      <c r="U126" s="23">
        <f t="shared" si="3"/>
        <v>0</v>
      </c>
      <c r="V126" s="23">
        <f t="shared" si="4"/>
        <v>0</v>
      </c>
      <c r="W126" s="24" t="str">
        <f t="shared" si="5"/>
        <v>#DIV/0!</v>
      </c>
    </row>
    <row r="127" hidden="1">
      <c r="A127" s="15" t="s">
        <v>1324</v>
      </c>
      <c r="B127" s="18"/>
      <c r="C127" s="15" t="s">
        <v>6268</v>
      </c>
      <c r="D127" s="18"/>
      <c r="E127" s="17" t="s">
        <v>1298</v>
      </c>
      <c r="F127" s="18"/>
      <c r="G127" s="18"/>
      <c r="H127" s="15" t="s">
        <v>1325</v>
      </c>
      <c r="I127" s="18"/>
      <c r="J127" s="19" t="s">
        <v>283</v>
      </c>
      <c r="K127" s="19" t="s">
        <v>284</v>
      </c>
      <c r="L127" s="19" t="s">
        <v>38</v>
      </c>
      <c r="M127" s="20">
        <f t="shared" si="1"/>
        <v>0</v>
      </c>
      <c r="N127" s="22"/>
      <c r="O127" s="19" t="s">
        <v>1145</v>
      </c>
      <c r="P127" s="18"/>
      <c r="Q127" s="18"/>
      <c r="R127" s="23">
        <v>0.0</v>
      </c>
      <c r="S127" s="23">
        <v>0.0</v>
      </c>
      <c r="T127" s="23">
        <f t="shared" si="2"/>
        <v>0</v>
      </c>
      <c r="U127" s="23">
        <f t="shared" si="3"/>
        <v>0</v>
      </c>
      <c r="V127" s="23">
        <f t="shared" si="4"/>
        <v>0</v>
      </c>
      <c r="W127" s="24" t="str">
        <f t="shared" si="5"/>
        <v>#DIV/0!</v>
      </c>
    </row>
    <row r="128" hidden="1">
      <c r="A128" s="15" t="s">
        <v>6269</v>
      </c>
      <c r="B128" s="18"/>
      <c r="C128" s="15" t="s">
        <v>6270</v>
      </c>
      <c r="D128" s="18"/>
      <c r="E128" s="17" t="s">
        <v>1354</v>
      </c>
      <c r="F128" s="18"/>
      <c r="G128" s="18"/>
      <c r="H128" s="15" t="s">
        <v>3743</v>
      </c>
      <c r="I128" s="18"/>
      <c r="J128" s="19" t="s">
        <v>283</v>
      </c>
      <c r="K128" s="19" t="s">
        <v>37</v>
      </c>
      <c r="L128" s="19" t="s">
        <v>38</v>
      </c>
      <c r="M128" s="20">
        <f t="shared" si="1"/>
        <v>0</v>
      </c>
      <c r="N128" s="22"/>
      <c r="O128" s="19" t="s">
        <v>39</v>
      </c>
      <c r="P128" s="18"/>
      <c r="Q128" s="18"/>
      <c r="R128" s="23">
        <v>0.0</v>
      </c>
      <c r="S128" s="23">
        <v>0.0</v>
      </c>
      <c r="T128" s="23">
        <f t="shared" si="2"/>
        <v>0</v>
      </c>
      <c r="U128" s="23">
        <f t="shared" si="3"/>
        <v>0</v>
      </c>
      <c r="V128" s="23">
        <f t="shared" si="4"/>
        <v>0</v>
      </c>
      <c r="W128" s="24" t="str">
        <f t="shared" si="5"/>
        <v>#DIV/0!</v>
      </c>
    </row>
    <row r="129" hidden="1">
      <c r="A129" s="15" t="s">
        <v>3799</v>
      </c>
      <c r="B129" s="15" t="s">
        <v>3800</v>
      </c>
      <c r="C129" s="15" t="s">
        <v>6271</v>
      </c>
      <c r="D129" s="15" t="s">
        <v>3801</v>
      </c>
      <c r="E129" s="17" t="s">
        <v>3802</v>
      </c>
      <c r="F129" s="18"/>
      <c r="G129" s="18"/>
      <c r="H129" s="15" t="s">
        <v>3803</v>
      </c>
      <c r="I129" s="15" t="s">
        <v>3804</v>
      </c>
      <c r="J129" s="19" t="s">
        <v>283</v>
      </c>
      <c r="K129" s="19" t="s">
        <v>1269</v>
      </c>
      <c r="L129" s="19" t="s">
        <v>38</v>
      </c>
      <c r="M129" s="20">
        <f t="shared" si="1"/>
        <v>0</v>
      </c>
      <c r="N129" s="22"/>
      <c r="O129" s="19" t="s">
        <v>3578</v>
      </c>
      <c r="P129" s="18"/>
      <c r="Q129" s="18"/>
      <c r="R129" s="23">
        <v>0.0</v>
      </c>
      <c r="S129" s="23">
        <v>0.0</v>
      </c>
      <c r="T129" s="23">
        <f t="shared" si="2"/>
        <v>0</v>
      </c>
      <c r="U129" s="23">
        <f t="shared" si="3"/>
        <v>0</v>
      </c>
      <c r="V129" s="23">
        <f t="shared" si="4"/>
        <v>0</v>
      </c>
      <c r="W129" s="24" t="str">
        <f t="shared" si="5"/>
        <v>#DIV/0!</v>
      </c>
    </row>
    <row r="130" hidden="1">
      <c r="A130" s="15" t="s">
        <v>1326</v>
      </c>
      <c r="B130" s="18"/>
      <c r="C130" s="15" t="s">
        <v>6272</v>
      </c>
      <c r="D130" s="18"/>
      <c r="E130" s="17" t="s">
        <v>1327</v>
      </c>
      <c r="F130" s="18"/>
      <c r="G130" s="18"/>
      <c r="H130" s="15" t="s">
        <v>1328</v>
      </c>
      <c r="I130" s="18"/>
      <c r="J130" s="19" t="s">
        <v>283</v>
      </c>
      <c r="K130" s="19" t="s">
        <v>105</v>
      </c>
      <c r="L130" s="19" t="s">
        <v>38</v>
      </c>
      <c r="M130" s="20">
        <f t="shared" si="1"/>
        <v>0</v>
      </c>
      <c r="N130" s="22"/>
      <c r="O130" s="19" t="s">
        <v>1145</v>
      </c>
      <c r="P130" s="18"/>
      <c r="Q130" s="18"/>
      <c r="R130" s="23">
        <v>0.0</v>
      </c>
      <c r="S130" s="23">
        <v>0.0</v>
      </c>
      <c r="T130" s="23">
        <f t="shared" si="2"/>
        <v>0</v>
      </c>
      <c r="U130" s="23">
        <f t="shared" si="3"/>
        <v>0</v>
      </c>
      <c r="V130" s="23">
        <f t="shared" si="4"/>
        <v>0</v>
      </c>
      <c r="W130" s="24" t="str">
        <f t="shared" si="5"/>
        <v>#DIV/0!</v>
      </c>
    </row>
    <row r="131" hidden="1">
      <c r="A131" s="15" t="s">
        <v>1329</v>
      </c>
      <c r="B131" s="18"/>
      <c r="C131" s="15" t="s">
        <v>6273</v>
      </c>
      <c r="D131" s="18"/>
      <c r="E131" s="17" t="s">
        <v>1330</v>
      </c>
      <c r="F131" s="18"/>
      <c r="G131" s="18"/>
      <c r="H131" s="15" t="s">
        <v>1331</v>
      </c>
      <c r="I131" s="18"/>
      <c r="J131" s="19" t="s">
        <v>283</v>
      </c>
      <c r="K131" s="19" t="s">
        <v>37</v>
      </c>
      <c r="L131" s="19" t="s">
        <v>38</v>
      </c>
      <c r="M131" s="20">
        <f t="shared" si="1"/>
        <v>0</v>
      </c>
      <c r="N131" s="22"/>
      <c r="O131" s="19" t="s">
        <v>1145</v>
      </c>
      <c r="P131" s="18"/>
      <c r="Q131" s="18"/>
      <c r="R131" s="23">
        <v>0.0</v>
      </c>
      <c r="S131" s="23">
        <v>0.0</v>
      </c>
      <c r="T131" s="23">
        <f t="shared" si="2"/>
        <v>0</v>
      </c>
      <c r="U131" s="23">
        <f t="shared" si="3"/>
        <v>0</v>
      </c>
      <c r="V131" s="23">
        <f t="shared" si="4"/>
        <v>0</v>
      </c>
      <c r="W131" s="24" t="str">
        <f t="shared" si="5"/>
        <v>#DIV/0!</v>
      </c>
    </row>
    <row r="132" hidden="1">
      <c r="A132" s="15" t="s">
        <v>1332</v>
      </c>
      <c r="B132" s="18"/>
      <c r="C132" s="15" t="s">
        <v>6274</v>
      </c>
      <c r="D132" s="18"/>
      <c r="E132" s="17" t="s">
        <v>1333</v>
      </c>
      <c r="F132" s="18"/>
      <c r="G132" s="18"/>
      <c r="H132" s="15" t="s">
        <v>1334</v>
      </c>
      <c r="I132" s="18"/>
      <c r="J132" s="19" t="s">
        <v>283</v>
      </c>
      <c r="K132" s="19" t="s">
        <v>105</v>
      </c>
      <c r="L132" s="19" t="s">
        <v>38</v>
      </c>
      <c r="M132" s="20">
        <f t="shared" si="1"/>
        <v>0</v>
      </c>
      <c r="N132" s="22"/>
      <c r="O132" s="19" t="s">
        <v>1145</v>
      </c>
      <c r="P132" s="18"/>
      <c r="Q132" s="18"/>
      <c r="R132" s="23">
        <v>0.0</v>
      </c>
      <c r="S132" s="23">
        <v>0.0</v>
      </c>
      <c r="T132" s="23">
        <f t="shared" si="2"/>
        <v>0</v>
      </c>
      <c r="U132" s="23">
        <f t="shared" si="3"/>
        <v>0</v>
      </c>
      <c r="V132" s="23">
        <f t="shared" si="4"/>
        <v>0</v>
      </c>
      <c r="W132" s="24" t="str">
        <f t="shared" si="5"/>
        <v>#DIV/0!</v>
      </c>
    </row>
    <row r="133" hidden="1">
      <c r="A133" s="15" t="s">
        <v>1335</v>
      </c>
      <c r="B133" s="18"/>
      <c r="C133" s="15" t="s">
        <v>6275</v>
      </c>
      <c r="D133" s="18"/>
      <c r="E133" s="17" t="s">
        <v>1336</v>
      </c>
      <c r="F133" s="18"/>
      <c r="G133" s="18"/>
      <c r="H133" s="15" t="s">
        <v>1337</v>
      </c>
      <c r="I133" s="18"/>
      <c r="J133" s="19" t="s">
        <v>283</v>
      </c>
      <c r="K133" s="19" t="s">
        <v>105</v>
      </c>
      <c r="L133" s="19" t="s">
        <v>38</v>
      </c>
      <c r="M133" s="20">
        <f t="shared" si="1"/>
        <v>0</v>
      </c>
      <c r="N133" s="22"/>
      <c r="O133" s="19" t="s">
        <v>1145</v>
      </c>
      <c r="P133" s="18"/>
      <c r="Q133" s="18"/>
      <c r="R133" s="23">
        <v>0.0</v>
      </c>
      <c r="S133" s="23">
        <v>0.0</v>
      </c>
      <c r="T133" s="23">
        <f t="shared" si="2"/>
        <v>0</v>
      </c>
      <c r="U133" s="23">
        <f t="shared" si="3"/>
        <v>0</v>
      </c>
      <c r="V133" s="23">
        <f t="shared" si="4"/>
        <v>0</v>
      </c>
      <c r="W133" s="24" t="str">
        <f t="shared" si="5"/>
        <v>#DIV/0!</v>
      </c>
    </row>
    <row r="134" hidden="1">
      <c r="A134" s="15" t="s">
        <v>1338</v>
      </c>
      <c r="B134" s="18"/>
      <c r="C134" s="15" t="s">
        <v>6276</v>
      </c>
      <c r="D134" s="18"/>
      <c r="E134" s="17" t="s">
        <v>1339</v>
      </c>
      <c r="F134" s="18"/>
      <c r="G134" s="18"/>
      <c r="H134" s="15" t="s">
        <v>1340</v>
      </c>
      <c r="I134" s="18"/>
      <c r="J134" s="19" t="s">
        <v>283</v>
      </c>
      <c r="K134" s="19" t="s">
        <v>105</v>
      </c>
      <c r="L134" s="19" t="s">
        <v>38</v>
      </c>
      <c r="M134" s="20">
        <f t="shared" si="1"/>
        <v>0</v>
      </c>
      <c r="N134" s="22"/>
      <c r="O134" s="19" t="s">
        <v>1145</v>
      </c>
      <c r="P134" s="18"/>
      <c r="Q134" s="18"/>
      <c r="R134" s="23">
        <v>0.0</v>
      </c>
      <c r="S134" s="23">
        <v>0.0</v>
      </c>
      <c r="T134" s="23">
        <f t="shared" si="2"/>
        <v>0</v>
      </c>
      <c r="U134" s="23">
        <f t="shared" si="3"/>
        <v>0</v>
      </c>
      <c r="V134" s="23">
        <f t="shared" si="4"/>
        <v>0</v>
      </c>
      <c r="W134" s="24" t="str">
        <f t="shared" si="5"/>
        <v>#DIV/0!</v>
      </c>
    </row>
    <row r="135" hidden="1">
      <c r="A135" s="15" t="s">
        <v>1341</v>
      </c>
      <c r="B135" s="18"/>
      <c r="C135" s="15" t="s">
        <v>6277</v>
      </c>
      <c r="D135" s="18"/>
      <c r="E135" s="17" t="s">
        <v>1342</v>
      </c>
      <c r="F135" s="18"/>
      <c r="G135" s="18"/>
      <c r="H135" s="15" t="s">
        <v>1343</v>
      </c>
      <c r="I135" s="18"/>
      <c r="J135" s="19" t="s">
        <v>283</v>
      </c>
      <c r="K135" s="19" t="s">
        <v>284</v>
      </c>
      <c r="L135" s="19" t="s">
        <v>38</v>
      </c>
      <c r="M135" s="20">
        <f t="shared" si="1"/>
        <v>0</v>
      </c>
      <c r="N135" s="22"/>
      <c r="O135" s="19" t="s">
        <v>1145</v>
      </c>
      <c r="P135" s="18"/>
      <c r="Q135" s="18"/>
      <c r="R135" s="23">
        <v>0.0</v>
      </c>
      <c r="S135" s="23">
        <v>0.0</v>
      </c>
      <c r="T135" s="23">
        <f t="shared" si="2"/>
        <v>0</v>
      </c>
      <c r="U135" s="23">
        <f t="shared" si="3"/>
        <v>0</v>
      </c>
      <c r="V135" s="23">
        <f t="shared" si="4"/>
        <v>0</v>
      </c>
      <c r="W135" s="24" t="str">
        <f t="shared" si="5"/>
        <v>#DIV/0!</v>
      </c>
    </row>
    <row r="136" hidden="1">
      <c r="A136" s="15" t="s">
        <v>1344</v>
      </c>
      <c r="B136" s="18"/>
      <c r="C136" s="15" t="s">
        <v>6278</v>
      </c>
      <c r="D136" s="18"/>
      <c r="E136" s="17" t="s">
        <v>1342</v>
      </c>
      <c r="F136" s="18"/>
      <c r="G136" s="18"/>
      <c r="H136" s="15" t="s">
        <v>1345</v>
      </c>
      <c r="I136" s="18"/>
      <c r="J136" s="19" t="s">
        <v>283</v>
      </c>
      <c r="K136" s="19" t="s">
        <v>284</v>
      </c>
      <c r="L136" s="19" t="s">
        <v>38</v>
      </c>
      <c r="M136" s="20">
        <f t="shared" si="1"/>
        <v>0</v>
      </c>
      <c r="N136" s="22"/>
      <c r="O136" s="19" t="s">
        <v>1145</v>
      </c>
      <c r="P136" s="18"/>
      <c r="Q136" s="18"/>
      <c r="R136" s="23">
        <v>0.0</v>
      </c>
      <c r="S136" s="23">
        <v>0.0</v>
      </c>
      <c r="T136" s="23">
        <f t="shared" si="2"/>
        <v>0</v>
      </c>
      <c r="U136" s="23">
        <f t="shared" si="3"/>
        <v>0</v>
      </c>
      <c r="V136" s="23">
        <f t="shared" si="4"/>
        <v>0</v>
      </c>
      <c r="W136" s="24" t="str">
        <f t="shared" si="5"/>
        <v>#DIV/0!</v>
      </c>
    </row>
    <row r="137" hidden="1">
      <c r="A137" s="15" t="s">
        <v>1346</v>
      </c>
      <c r="B137" s="18"/>
      <c r="C137" s="15" t="s">
        <v>6279</v>
      </c>
      <c r="D137" s="18"/>
      <c r="E137" s="17" t="s">
        <v>1280</v>
      </c>
      <c r="F137" s="18"/>
      <c r="G137" s="18"/>
      <c r="H137" s="15" t="s">
        <v>1347</v>
      </c>
      <c r="I137" s="18"/>
      <c r="J137" s="19" t="s">
        <v>283</v>
      </c>
      <c r="K137" s="19" t="s">
        <v>37</v>
      </c>
      <c r="L137" s="19" t="s">
        <v>38</v>
      </c>
      <c r="M137" s="20">
        <f t="shared" si="1"/>
        <v>0</v>
      </c>
      <c r="N137" s="22"/>
      <c r="O137" s="19" t="s">
        <v>1145</v>
      </c>
      <c r="P137" s="18"/>
      <c r="Q137" s="18"/>
      <c r="R137" s="23">
        <v>0.0</v>
      </c>
      <c r="S137" s="23">
        <v>0.0</v>
      </c>
      <c r="T137" s="23">
        <f t="shared" si="2"/>
        <v>0</v>
      </c>
      <c r="U137" s="23">
        <f t="shared" si="3"/>
        <v>0</v>
      </c>
      <c r="V137" s="23">
        <f t="shared" si="4"/>
        <v>0</v>
      </c>
      <c r="W137" s="24" t="str">
        <f t="shared" si="5"/>
        <v>#DIV/0!</v>
      </c>
    </row>
    <row r="138" hidden="1">
      <c r="A138" s="15" t="s">
        <v>3805</v>
      </c>
      <c r="B138" s="15" t="s">
        <v>3806</v>
      </c>
      <c r="C138" s="15" t="s">
        <v>6280</v>
      </c>
      <c r="D138" s="15" t="s">
        <v>3807</v>
      </c>
      <c r="E138" s="17" t="s">
        <v>3796</v>
      </c>
      <c r="F138" s="18"/>
      <c r="G138" s="18"/>
      <c r="H138" s="15" t="s">
        <v>3808</v>
      </c>
      <c r="I138" s="15" t="s">
        <v>3809</v>
      </c>
      <c r="J138" s="19" t="s">
        <v>283</v>
      </c>
      <c r="K138" s="19" t="s">
        <v>284</v>
      </c>
      <c r="L138" s="19" t="s">
        <v>368</v>
      </c>
      <c r="M138" s="20">
        <f t="shared" si="1"/>
        <v>0</v>
      </c>
      <c r="N138" s="22"/>
      <c r="O138" s="19" t="s">
        <v>3578</v>
      </c>
      <c r="P138" s="18"/>
      <c r="Q138" s="18"/>
      <c r="R138" s="23">
        <v>0.0</v>
      </c>
      <c r="S138" s="23">
        <v>0.0</v>
      </c>
      <c r="T138" s="23">
        <f t="shared" si="2"/>
        <v>0</v>
      </c>
      <c r="U138" s="23">
        <f t="shared" si="3"/>
        <v>0</v>
      </c>
      <c r="V138" s="23">
        <f t="shared" si="4"/>
        <v>0</v>
      </c>
      <c r="W138" s="24" t="str">
        <f t="shared" si="5"/>
        <v>#DIV/0!</v>
      </c>
    </row>
    <row r="139" hidden="1">
      <c r="A139" s="15" t="s">
        <v>6281</v>
      </c>
      <c r="B139" s="18"/>
      <c r="C139" s="15" t="s">
        <v>6282</v>
      </c>
      <c r="D139" s="18"/>
      <c r="E139" s="17" t="s">
        <v>6283</v>
      </c>
      <c r="F139" s="18"/>
      <c r="G139" s="18"/>
      <c r="H139" s="15" t="s">
        <v>3737</v>
      </c>
      <c r="I139" s="18"/>
      <c r="J139" s="19" t="s">
        <v>283</v>
      </c>
      <c r="K139" s="19" t="s">
        <v>284</v>
      </c>
      <c r="L139" s="19" t="s">
        <v>38</v>
      </c>
      <c r="M139" s="20">
        <f t="shared" si="1"/>
        <v>0</v>
      </c>
      <c r="N139" s="22"/>
      <c r="O139" s="19" t="s">
        <v>39</v>
      </c>
      <c r="P139" s="18"/>
      <c r="Q139" s="18"/>
      <c r="R139" s="23">
        <v>0.0</v>
      </c>
      <c r="S139" s="23">
        <v>0.0</v>
      </c>
      <c r="T139" s="23">
        <f t="shared" si="2"/>
        <v>0</v>
      </c>
      <c r="U139" s="23">
        <f t="shared" si="3"/>
        <v>0</v>
      </c>
      <c r="V139" s="23">
        <f t="shared" si="4"/>
        <v>0</v>
      </c>
      <c r="W139" s="24" t="str">
        <f t="shared" si="5"/>
        <v>#DIV/0!</v>
      </c>
    </row>
    <row r="140" hidden="1">
      <c r="A140" s="15" t="s">
        <v>1348</v>
      </c>
      <c r="B140" s="18"/>
      <c r="C140" s="15" t="s">
        <v>6284</v>
      </c>
      <c r="D140" s="18"/>
      <c r="E140" s="17" t="s">
        <v>1280</v>
      </c>
      <c r="F140" s="18"/>
      <c r="G140" s="18"/>
      <c r="H140" s="15" t="s">
        <v>1349</v>
      </c>
      <c r="I140" s="18"/>
      <c r="J140" s="19" t="s">
        <v>283</v>
      </c>
      <c r="K140" s="19" t="s">
        <v>37</v>
      </c>
      <c r="L140" s="19" t="s">
        <v>38</v>
      </c>
      <c r="M140" s="20">
        <f t="shared" si="1"/>
        <v>0</v>
      </c>
      <c r="N140" s="22"/>
      <c r="O140" s="19" t="s">
        <v>1145</v>
      </c>
      <c r="P140" s="18"/>
      <c r="Q140" s="18"/>
      <c r="R140" s="23">
        <v>0.0</v>
      </c>
      <c r="S140" s="23">
        <v>0.0</v>
      </c>
      <c r="T140" s="23">
        <f t="shared" si="2"/>
        <v>0</v>
      </c>
      <c r="U140" s="23">
        <f t="shared" si="3"/>
        <v>0</v>
      </c>
      <c r="V140" s="23">
        <f t="shared" si="4"/>
        <v>0</v>
      </c>
      <c r="W140" s="24" t="str">
        <f t="shared" si="5"/>
        <v>#DIV/0!</v>
      </c>
    </row>
    <row r="141" hidden="1">
      <c r="A141" s="15" t="s">
        <v>1350</v>
      </c>
      <c r="B141" s="18"/>
      <c r="C141" s="15" t="s">
        <v>6285</v>
      </c>
      <c r="D141" s="18"/>
      <c r="E141" s="17" t="s">
        <v>1351</v>
      </c>
      <c r="F141" s="18"/>
      <c r="G141" s="18"/>
      <c r="H141" s="15" t="s">
        <v>1352</v>
      </c>
      <c r="I141" s="18"/>
      <c r="J141" s="19" t="s">
        <v>283</v>
      </c>
      <c r="K141" s="19" t="s">
        <v>37</v>
      </c>
      <c r="L141" s="19" t="s">
        <v>38</v>
      </c>
      <c r="M141" s="20">
        <f t="shared" si="1"/>
        <v>0</v>
      </c>
      <c r="N141" s="22"/>
      <c r="O141" s="19" t="s">
        <v>1145</v>
      </c>
      <c r="P141" s="18"/>
      <c r="Q141" s="18"/>
      <c r="R141" s="23">
        <v>0.0</v>
      </c>
      <c r="S141" s="23">
        <v>0.0</v>
      </c>
      <c r="T141" s="23">
        <f t="shared" si="2"/>
        <v>0</v>
      </c>
      <c r="U141" s="23">
        <f t="shared" si="3"/>
        <v>0</v>
      </c>
      <c r="V141" s="23">
        <f t="shared" si="4"/>
        <v>0</v>
      </c>
      <c r="W141" s="24" t="str">
        <f t="shared" si="5"/>
        <v>#DIV/0!</v>
      </c>
    </row>
    <row r="142" hidden="1">
      <c r="A142" s="15" t="s">
        <v>1353</v>
      </c>
      <c r="B142" s="18"/>
      <c r="C142" s="15" t="s">
        <v>6286</v>
      </c>
      <c r="D142" s="18"/>
      <c r="E142" s="17" t="s">
        <v>1354</v>
      </c>
      <c r="F142" s="18"/>
      <c r="G142" s="18"/>
      <c r="H142" s="15" t="s">
        <v>1355</v>
      </c>
      <c r="I142" s="18"/>
      <c r="J142" s="19" t="s">
        <v>283</v>
      </c>
      <c r="K142" s="19" t="s">
        <v>37</v>
      </c>
      <c r="L142" s="19" t="s">
        <v>38</v>
      </c>
      <c r="M142" s="20">
        <f t="shared" si="1"/>
        <v>0</v>
      </c>
      <c r="N142" s="22"/>
      <c r="O142" s="19" t="s">
        <v>1145</v>
      </c>
      <c r="P142" s="18"/>
      <c r="Q142" s="18"/>
      <c r="R142" s="23">
        <v>0.0</v>
      </c>
      <c r="S142" s="23">
        <v>0.0</v>
      </c>
      <c r="T142" s="23">
        <f t="shared" si="2"/>
        <v>0</v>
      </c>
      <c r="U142" s="23">
        <f t="shared" si="3"/>
        <v>0</v>
      </c>
      <c r="V142" s="23">
        <f t="shared" si="4"/>
        <v>0</v>
      </c>
      <c r="W142" s="24" t="str">
        <f t="shared" si="5"/>
        <v>#DIV/0!</v>
      </c>
    </row>
    <row r="143" hidden="1">
      <c r="A143" s="15" t="s">
        <v>3810</v>
      </c>
      <c r="B143" s="15" t="s">
        <v>3811</v>
      </c>
      <c r="C143" s="15" t="s">
        <v>6287</v>
      </c>
      <c r="D143" s="15" t="s">
        <v>3812</v>
      </c>
      <c r="E143" s="17" t="s">
        <v>3813</v>
      </c>
      <c r="F143" s="18"/>
      <c r="G143" s="18"/>
      <c r="H143" s="15" t="s">
        <v>3142</v>
      </c>
      <c r="I143" s="18"/>
      <c r="J143" s="19" t="s">
        <v>283</v>
      </c>
      <c r="K143" s="19" t="s">
        <v>402</v>
      </c>
      <c r="L143" s="19" t="s">
        <v>38</v>
      </c>
      <c r="M143" s="20">
        <f t="shared" si="1"/>
        <v>0</v>
      </c>
      <c r="N143" s="22"/>
      <c r="O143" s="19" t="s">
        <v>3578</v>
      </c>
      <c r="P143" s="18"/>
      <c r="Q143" s="18"/>
      <c r="R143" s="23">
        <v>0.0</v>
      </c>
      <c r="S143" s="23">
        <v>0.0</v>
      </c>
      <c r="T143" s="23">
        <f t="shared" si="2"/>
        <v>0</v>
      </c>
      <c r="U143" s="23">
        <f t="shared" si="3"/>
        <v>0</v>
      </c>
      <c r="V143" s="23">
        <f t="shared" si="4"/>
        <v>0</v>
      </c>
      <c r="W143" s="24" t="str">
        <f t="shared" si="5"/>
        <v>#DIV/0!</v>
      </c>
    </row>
    <row r="144" hidden="1">
      <c r="A144" s="15" t="s">
        <v>6288</v>
      </c>
      <c r="B144" s="18"/>
      <c r="C144" s="15" t="s">
        <v>6289</v>
      </c>
      <c r="D144" s="18"/>
      <c r="E144" s="17" t="s">
        <v>6290</v>
      </c>
      <c r="F144" s="18"/>
      <c r="G144" s="18"/>
      <c r="H144" s="15" t="s">
        <v>4950</v>
      </c>
      <c r="I144" s="18"/>
      <c r="J144" s="19" t="s">
        <v>283</v>
      </c>
      <c r="K144" s="19" t="s">
        <v>402</v>
      </c>
      <c r="L144" s="19" t="s">
        <v>38</v>
      </c>
      <c r="M144" s="20">
        <f t="shared" si="1"/>
        <v>0</v>
      </c>
      <c r="N144" s="22"/>
      <c r="O144" s="19" t="s">
        <v>1145</v>
      </c>
      <c r="P144" s="18"/>
      <c r="Q144" s="18"/>
      <c r="R144" s="23">
        <v>0.0</v>
      </c>
      <c r="S144" s="23">
        <v>0.0</v>
      </c>
      <c r="T144" s="23">
        <f t="shared" si="2"/>
        <v>0</v>
      </c>
      <c r="U144" s="23">
        <f t="shared" si="3"/>
        <v>0</v>
      </c>
      <c r="V144" s="23">
        <f t="shared" si="4"/>
        <v>0</v>
      </c>
      <c r="W144" s="24" t="str">
        <f t="shared" si="5"/>
        <v>#DIV/0!</v>
      </c>
    </row>
    <row r="145" hidden="1">
      <c r="A145" s="15" t="s">
        <v>3814</v>
      </c>
      <c r="B145" s="15" t="s">
        <v>3815</v>
      </c>
      <c r="C145" s="15" t="s">
        <v>6291</v>
      </c>
      <c r="D145" s="15" t="s">
        <v>6292</v>
      </c>
      <c r="E145" s="17" t="s">
        <v>3817</v>
      </c>
      <c r="F145" s="18"/>
      <c r="G145" s="18"/>
      <c r="H145" s="15" t="s">
        <v>3818</v>
      </c>
      <c r="I145" s="18"/>
      <c r="J145" s="19" t="s">
        <v>283</v>
      </c>
      <c r="K145" s="19" t="s">
        <v>105</v>
      </c>
      <c r="L145" s="19" t="s">
        <v>38</v>
      </c>
      <c r="M145" s="20">
        <f t="shared" si="1"/>
        <v>0</v>
      </c>
      <c r="N145" s="22"/>
      <c r="O145" s="19" t="s">
        <v>3578</v>
      </c>
      <c r="P145" s="18"/>
      <c r="Q145" s="18"/>
      <c r="R145" s="23">
        <v>0.0</v>
      </c>
      <c r="S145" s="23">
        <v>0.0</v>
      </c>
      <c r="T145" s="23">
        <f t="shared" si="2"/>
        <v>0</v>
      </c>
      <c r="U145" s="23">
        <f t="shared" si="3"/>
        <v>0</v>
      </c>
      <c r="V145" s="23">
        <f t="shared" si="4"/>
        <v>0</v>
      </c>
      <c r="W145" s="24" t="str">
        <f t="shared" si="5"/>
        <v>#DIV/0!</v>
      </c>
    </row>
    <row r="146" hidden="1">
      <c r="A146" s="15" t="s">
        <v>3819</v>
      </c>
      <c r="B146" s="15" t="s">
        <v>3820</v>
      </c>
      <c r="C146" s="15" t="s">
        <v>6293</v>
      </c>
      <c r="D146" s="41" t="s">
        <v>3821</v>
      </c>
      <c r="E146" s="17" t="s">
        <v>3822</v>
      </c>
      <c r="F146" s="18"/>
      <c r="G146" s="18"/>
      <c r="H146" s="15" t="s">
        <v>3823</v>
      </c>
      <c r="I146" s="18"/>
      <c r="J146" s="19" t="s">
        <v>283</v>
      </c>
      <c r="K146" s="19" t="s">
        <v>402</v>
      </c>
      <c r="L146" s="19" t="s">
        <v>38</v>
      </c>
      <c r="M146" s="20">
        <f t="shared" si="1"/>
        <v>0</v>
      </c>
      <c r="N146" s="22"/>
      <c r="O146" s="19" t="s">
        <v>3578</v>
      </c>
      <c r="P146" s="18"/>
      <c r="Q146" s="18"/>
      <c r="R146" s="23">
        <v>0.0</v>
      </c>
      <c r="S146" s="23">
        <v>0.0</v>
      </c>
      <c r="T146" s="23">
        <f t="shared" si="2"/>
        <v>0</v>
      </c>
      <c r="U146" s="23">
        <f t="shared" si="3"/>
        <v>0</v>
      </c>
      <c r="V146" s="23">
        <f t="shared" si="4"/>
        <v>0</v>
      </c>
      <c r="W146" s="24" t="str">
        <f t="shared" si="5"/>
        <v>#DIV/0!</v>
      </c>
    </row>
    <row r="147" hidden="1">
      <c r="A147" s="15" t="s">
        <v>3824</v>
      </c>
      <c r="B147" s="15" t="s">
        <v>3825</v>
      </c>
      <c r="C147" s="15" t="s">
        <v>6294</v>
      </c>
      <c r="D147" s="15" t="s">
        <v>3826</v>
      </c>
      <c r="E147" s="17" t="s">
        <v>3827</v>
      </c>
      <c r="F147" s="18"/>
      <c r="G147" s="18"/>
      <c r="H147" s="15" t="s">
        <v>3828</v>
      </c>
      <c r="I147" s="18"/>
      <c r="J147" s="19" t="s">
        <v>283</v>
      </c>
      <c r="K147" s="19" t="s">
        <v>402</v>
      </c>
      <c r="L147" s="19" t="s">
        <v>38</v>
      </c>
      <c r="M147" s="20">
        <f t="shared" si="1"/>
        <v>0</v>
      </c>
      <c r="N147" s="22"/>
      <c r="O147" s="19" t="s">
        <v>3578</v>
      </c>
      <c r="P147" s="18"/>
      <c r="Q147" s="18"/>
      <c r="R147" s="23">
        <v>0.0</v>
      </c>
      <c r="S147" s="23">
        <v>0.0</v>
      </c>
      <c r="T147" s="23">
        <f t="shared" si="2"/>
        <v>0</v>
      </c>
      <c r="U147" s="23">
        <f t="shared" si="3"/>
        <v>0</v>
      </c>
      <c r="V147" s="23">
        <f t="shared" si="4"/>
        <v>0</v>
      </c>
      <c r="W147" s="24" t="str">
        <f t="shared" si="5"/>
        <v>#DIV/0!</v>
      </c>
    </row>
    <row r="148" hidden="1">
      <c r="A148" s="15" t="s">
        <v>3829</v>
      </c>
      <c r="B148" s="15" t="s">
        <v>3830</v>
      </c>
      <c r="C148" s="15" t="s">
        <v>6295</v>
      </c>
      <c r="D148" s="15" t="s">
        <v>3831</v>
      </c>
      <c r="E148" s="17" t="s">
        <v>3832</v>
      </c>
      <c r="F148" s="18"/>
      <c r="G148" s="18"/>
      <c r="H148" s="15" t="s">
        <v>3833</v>
      </c>
      <c r="I148" s="18"/>
      <c r="J148" s="19" t="s">
        <v>283</v>
      </c>
      <c r="K148" s="19" t="s">
        <v>402</v>
      </c>
      <c r="L148" s="19" t="s">
        <v>38</v>
      </c>
      <c r="M148" s="20">
        <f t="shared" si="1"/>
        <v>0</v>
      </c>
      <c r="N148" s="22"/>
      <c r="O148" s="19" t="s">
        <v>3578</v>
      </c>
      <c r="P148" s="18"/>
      <c r="Q148" s="18"/>
      <c r="R148" s="23">
        <v>0.0</v>
      </c>
      <c r="S148" s="23">
        <v>0.0</v>
      </c>
      <c r="T148" s="23">
        <f t="shared" si="2"/>
        <v>0</v>
      </c>
      <c r="U148" s="23">
        <f t="shared" si="3"/>
        <v>0</v>
      </c>
      <c r="V148" s="23">
        <f t="shared" si="4"/>
        <v>0</v>
      </c>
      <c r="W148" s="24" t="str">
        <f t="shared" si="5"/>
        <v>#DIV/0!</v>
      </c>
    </row>
    <row r="149" hidden="1">
      <c r="A149" s="15" t="s">
        <v>3834</v>
      </c>
      <c r="B149" s="15" t="s">
        <v>3835</v>
      </c>
      <c r="C149" s="15" t="s">
        <v>6296</v>
      </c>
      <c r="D149" s="15" t="s">
        <v>3836</v>
      </c>
      <c r="E149" s="17" t="s">
        <v>3837</v>
      </c>
      <c r="F149" s="18"/>
      <c r="G149" s="18"/>
      <c r="H149" s="15" t="s">
        <v>3838</v>
      </c>
      <c r="I149" s="18"/>
      <c r="J149" s="19" t="s">
        <v>59</v>
      </c>
      <c r="K149" s="19" t="s">
        <v>402</v>
      </c>
      <c r="L149" s="19" t="s">
        <v>38</v>
      </c>
      <c r="M149" s="20">
        <f t="shared" si="1"/>
        <v>0</v>
      </c>
      <c r="N149" s="22"/>
      <c r="O149" s="19" t="s">
        <v>1145</v>
      </c>
      <c r="P149" s="18"/>
      <c r="Q149" s="18"/>
      <c r="R149" s="23">
        <v>0.0</v>
      </c>
      <c r="S149" s="23">
        <v>0.0</v>
      </c>
      <c r="T149" s="23">
        <f t="shared" si="2"/>
        <v>0</v>
      </c>
      <c r="U149" s="23">
        <f t="shared" si="3"/>
        <v>0</v>
      </c>
      <c r="V149" s="23">
        <f t="shared" si="4"/>
        <v>0</v>
      </c>
      <c r="W149" s="24" t="str">
        <f t="shared" si="5"/>
        <v>#DIV/0!</v>
      </c>
    </row>
    <row r="150" hidden="1">
      <c r="A150" s="15" t="s">
        <v>3839</v>
      </c>
      <c r="B150" s="15" t="s">
        <v>3840</v>
      </c>
      <c r="C150" s="15" t="s">
        <v>6297</v>
      </c>
      <c r="D150" s="15" t="s">
        <v>3841</v>
      </c>
      <c r="E150" s="17" t="s">
        <v>3842</v>
      </c>
      <c r="F150" s="18"/>
      <c r="G150" s="18"/>
      <c r="H150" s="15" t="s">
        <v>3843</v>
      </c>
      <c r="I150" s="18"/>
      <c r="J150" s="19" t="s">
        <v>59</v>
      </c>
      <c r="K150" s="19" t="s">
        <v>402</v>
      </c>
      <c r="L150" s="19" t="s">
        <v>38</v>
      </c>
      <c r="M150" s="20">
        <f t="shared" si="1"/>
        <v>0</v>
      </c>
      <c r="N150" s="22"/>
      <c r="O150" s="19" t="s">
        <v>3578</v>
      </c>
      <c r="P150" s="18"/>
      <c r="Q150" s="18"/>
      <c r="R150" s="23">
        <v>0.0</v>
      </c>
      <c r="S150" s="23">
        <v>0.0</v>
      </c>
      <c r="T150" s="23">
        <f t="shared" si="2"/>
        <v>0</v>
      </c>
      <c r="U150" s="23">
        <f t="shared" si="3"/>
        <v>0</v>
      </c>
      <c r="V150" s="23">
        <f t="shared" si="4"/>
        <v>0</v>
      </c>
      <c r="W150" s="24" t="str">
        <f t="shared" si="5"/>
        <v>#DIV/0!</v>
      </c>
    </row>
    <row r="151" hidden="1">
      <c r="A151" s="15" t="s">
        <v>3845</v>
      </c>
      <c r="B151" s="15" t="s">
        <v>3846</v>
      </c>
      <c r="C151" s="15" t="s">
        <v>6298</v>
      </c>
      <c r="D151" s="18"/>
      <c r="E151" s="17" t="s">
        <v>3848</v>
      </c>
      <c r="F151" s="18"/>
      <c r="G151" s="18"/>
      <c r="H151" s="15" t="s">
        <v>3849</v>
      </c>
      <c r="I151" s="18"/>
      <c r="J151" s="19" t="s">
        <v>59</v>
      </c>
      <c r="K151" s="19" t="s">
        <v>402</v>
      </c>
      <c r="L151" s="19" t="s">
        <v>38</v>
      </c>
      <c r="M151" s="20">
        <f t="shared" si="1"/>
        <v>0</v>
      </c>
      <c r="N151" s="22"/>
      <c r="O151" s="19" t="s">
        <v>3578</v>
      </c>
      <c r="P151" s="18"/>
      <c r="Q151" s="18"/>
      <c r="R151" s="23">
        <v>0.0</v>
      </c>
      <c r="S151" s="23">
        <v>0.0</v>
      </c>
      <c r="T151" s="23">
        <f t="shared" si="2"/>
        <v>0</v>
      </c>
      <c r="U151" s="23">
        <f t="shared" si="3"/>
        <v>0</v>
      </c>
      <c r="V151" s="23">
        <f t="shared" si="4"/>
        <v>0</v>
      </c>
      <c r="W151" s="24" t="str">
        <f t="shared" si="5"/>
        <v>#DIV/0!</v>
      </c>
    </row>
    <row r="152" hidden="1">
      <c r="A152" s="15" t="s">
        <v>3850</v>
      </c>
      <c r="B152" s="15" t="s">
        <v>3851</v>
      </c>
      <c r="C152" s="15" t="s">
        <v>6299</v>
      </c>
      <c r="D152" s="15" t="s">
        <v>3852</v>
      </c>
      <c r="E152" s="17" t="s">
        <v>3853</v>
      </c>
      <c r="F152" s="18"/>
      <c r="G152" s="18"/>
      <c r="H152" s="15" t="s">
        <v>3854</v>
      </c>
      <c r="I152" s="18"/>
      <c r="J152" s="19" t="s">
        <v>283</v>
      </c>
      <c r="K152" s="19" t="s">
        <v>52</v>
      </c>
      <c r="L152" s="19" t="s">
        <v>177</v>
      </c>
      <c r="M152" s="20">
        <f t="shared" si="1"/>
        <v>0</v>
      </c>
      <c r="N152" s="22"/>
      <c r="O152" s="19" t="s">
        <v>3578</v>
      </c>
      <c r="P152" s="18"/>
      <c r="Q152" s="18"/>
      <c r="R152" s="23">
        <v>0.0</v>
      </c>
      <c r="S152" s="23">
        <v>0.0</v>
      </c>
      <c r="T152" s="23">
        <f t="shared" si="2"/>
        <v>0</v>
      </c>
      <c r="U152" s="23">
        <f t="shared" si="3"/>
        <v>0</v>
      </c>
      <c r="V152" s="23">
        <f t="shared" si="4"/>
        <v>0</v>
      </c>
      <c r="W152" s="24" t="str">
        <f t="shared" si="5"/>
        <v>#DIV/0!</v>
      </c>
    </row>
    <row r="153" hidden="1">
      <c r="A153" s="15" t="s">
        <v>3855</v>
      </c>
      <c r="B153" s="15" t="s">
        <v>3856</v>
      </c>
      <c r="C153" s="15" t="s">
        <v>6300</v>
      </c>
      <c r="D153" s="15" t="s">
        <v>3862</v>
      </c>
      <c r="E153" s="17" t="s">
        <v>3858</v>
      </c>
      <c r="F153" s="18"/>
      <c r="G153" s="18"/>
      <c r="H153" s="15" t="s">
        <v>3859</v>
      </c>
      <c r="I153" s="18"/>
      <c r="J153" s="19" t="s">
        <v>59</v>
      </c>
      <c r="K153" s="19" t="s">
        <v>402</v>
      </c>
      <c r="L153" s="19" t="s">
        <v>38</v>
      </c>
      <c r="M153" s="20">
        <f t="shared" si="1"/>
        <v>0</v>
      </c>
      <c r="N153" s="22"/>
      <c r="O153" s="19" t="s">
        <v>3578</v>
      </c>
      <c r="P153" s="18"/>
      <c r="Q153" s="18"/>
      <c r="R153" s="23">
        <v>0.0</v>
      </c>
      <c r="S153" s="23">
        <v>0.0</v>
      </c>
      <c r="T153" s="23">
        <f t="shared" si="2"/>
        <v>0</v>
      </c>
      <c r="U153" s="23">
        <f t="shared" si="3"/>
        <v>0</v>
      </c>
      <c r="V153" s="23">
        <f t="shared" si="4"/>
        <v>0</v>
      </c>
      <c r="W153" s="24" t="str">
        <f t="shared" si="5"/>
        <v>#DIV/0!</v>
      </c>
    </row>
    <row r="154" hidden="1">
      <c r="A154" s="15" t="s">
        <v>3860</v>
      </c>
      <c r="B154" s="15" t="s">
        <v>3861</v>
      </c>
      <c r="C154" s="15" t="s">
        <v>6301</v>
      </c>
      <c r="D154" s="15" t="s">
        <v>3862</v>
      </c>
      <c r="E154" s="17" t="s">
        <v>3863</v>
      </c>
      <c r="F154" s="18"/>
      <c r="G154" s="18"/>
      <c r="H154" s="15" t="s">
        <v>3864</v>
      </c>
      <c r="I154" s="18"/>
      <c r="J154" s="19" t="s">
        <v>59</v>
      </c>
      <c r="K154" s="19" t="s">
        <v>52</v>
      </c>
      <c r="L154" s="19" t="s">
        <v>177</v>
      </c>
      <c r="M154" s="20">
        <f t="shared" si="1"/>
        <v>0</v>
      </c>
      <c r="N154" s="22"/>
      <c r="O154" s="19" t="s">
        <v>3578</v>
      </c>
      <c r="P154" s="18"/>
      <c r="Q154" s="18"/>
      <c r="R154" s="23">
        <v>0.0</v>
      </c>
      <c r="S154" s="23">
        <v>0.0</v>
      </c>
      <c r="T154" s="23">
        <f t="shared" si="2"/>
        <v>0</v>
      </c>
      <c r="U154" s="23">
        <f t="shared" si="3"/>
        <v>0</v>
      </c>
      <c r="V154" s="23">
        <f t="shared" si="4"/>
        <v>0</v>
      </c>
      <c r="W154" s="24" t="str">
        <f t="shared" si="5"/>
        <v>#DIV/0!</v>
      </c>
    </row>
    <row r="155" hidden="1">
      <c r="A155" s="15" t="s">
        <v>3865</v>
      </c>
      <c r="B155" s="15" t="s">
        <v>3866</v>
      </c>
      <c r="C155" s="15" t="s">
        <v>6302</v>
      </c>
      <c r="D155" s="15" t="s">
        <v>3867</v>
      </c>
      <c r="E155" s="17" t="s">
        <v>3868</v>
      </c>
      <c r="F155" s="18"/>
      <c r="G155" s="18"/>
      <c r="H155" s="15" t="s">
        <v>3869</v>
      </c>
      <c r="I155" s="18"/>
      <c r="J155" s="19" t="s">
        <v>59</v>
      </c>
      <c r="K155" s="19" t="s">
        <v>52</v>
      </c>
      <c r="L155" s="19" t="s">
        <v>52</v>
      </c>
      <c r="M155" s="20">
        <f t="shared" si="1"/>
        <v>0</v>
      </c>
      <c r="N155" s="22"/>
      <c r="O155" s="19" t="s">
        <v>3578</v>
      </c>
      <c r="P155" s="18"/>
      <c r="Q155" s="18"/>
      <c r="R155" s="23">
        <v>0.0</v>
      </c>
      <c r="S155" s="23">
        <v>0.0</v>
      </c>
      <c r="T155" s="23">
        <f t="shared" si="2"/>
        <v>0</v>
      </c>
      <c r="U155" s="23">
        <f t="shared" si="3"/>
        <v>0</v>
      </c>
      <c r="V155" s="23">
        <f t="shared" si="4"/>
        <v>0</v>
      </c>
      <c r="W155" s="24" t="str">
        <f t="shared" si="5"/>
        <v>#DIV/0!</v>
      </c>
    </row>
    <row r="156" hidden="1">
      <c r="A156" s="15" t="s">
        <v>3870</v>
      </c>
      <c r="B156" s="15" t="s">
        <v>3871</v>
      </c>
      <c r="C156" s="15" t="s">
        <v>6303</v>
      </c>
      <c r="D156" s="15" t="s">
        <v>3872</v>
      </c>
      <c r="E156" s="17" t="s">
        <v>3873</v>
      </c>
      <c r="F156" s="18"/>
      <c r="G156" s="18"/>
      <c r="H156" s="15" t="s">
        <v>3874</v>
      </c>
      <c r="I156" s="18"/>
      <c r="J156" s="19" t="s">
        <v>59</v>
      </c>
      <c r="K156" s="19" t="s">
        <v>52</v>
      </c>
      <c r="L156" s="19" t="s">
        <v>52</v>
      </c>
      <c r="M156" s="20">
        <f t="shared" si="1"/>
        <v>0</v>
      </c>
      <c r="N156" s="22"/>
      <c r="O156" s="19" t="s">
        <v>3578</v>
      </c>
      <c r="P156" s="18"/>
      <c r="Q156" s="18"/>
      <c r="R156" s="23">
        <v>0.0</v>
      </c>
      <c r="S156" s="23">
        <v>0.0</v>
      </c>
      <c r="T156" s="23">
        <f t="shared" si="2"/>
        <v>0</v>
      </c>
      <c r="U156" s="23">
        <f t="shared" si="3"/>
        <v>0</v>
      </c>
      <c r="V156" s="23">
        <f t="shared" si="4"/>
        <v>0</v>
      </c>
      <c r="W156" s="24" t="str">
        <f t="shared" si="5"/>
        <v>#DIV/0!</v>
      </c>
    </row>
    <row r="157" hidden="1">
      <c r="A157" s="15" t="s">
        <v>3875</v>
      </c>
      <c r="B157" s="15" t="s">
        <v>3876</v>
      </c>
      <c r="C157" s="15" t="s">
        <v>6304</v>
      </c>
      <c r="D157" s="15" t="s">
        <v>3877</v>
      </c>
      <c r="E157" s="17" t="s">
        <v>3878</v>
      </c>
      <c r="F157" s="18"/>
      <c r="G157" s="18"/>
      <c r="H157" s="15" t="s">
        <v>3879</v>
      </c>
      <c r="I157" s="18"/>
      <c r="J157" s="19" t="s">
        <v>59</v>
      </c>
      <c r="K157" s="19" t="s">
        <v>52</v>
      </c>
      <c r="L157" s="19" t="s">
        <v>52</v>
      </c>
      <c r="M157" s="20">
        <f t="shared" si="1"/>
        <v>0</v>
      </c>
      <c r="N157" s="22"/>
      <c r="O157" s="19" t="s">
        <v>3578</v>
      </c>
      <c r="P157" s="18"/>
      <c r="Q157" s="18"/>
      <c r="R157" s="23">
        <v>0.0</v>
      </c>
      <c r="S157" s="23">
        <v>0.0</v>
      </c>
      <c r="T157" s="23">
        <f t="shared" si="2"/>
        <v>0</v>
      </c>
      <c r="U157" s="23">
        <f t="shared" si="3"/>
        <v>0</v>
      </c>
      <c r="V157" s="23">
        <f t="shared" si="4"/>
        <v>0</v>
      </c>
      <c r="W157" s="24" t="str">
        <f t="shared" si="5"/>
        <v>#DIV/0!</v>
      </c>
    </row>
    <row r="158" hidden="1">
      <c r="A158" s="15" t="s">
        <v>3880</v>
      </c>
      <c r="B158" s="15" t="s">
        <v>3881</v>
      </c>
      <c r="C158" s="15" t="s">
        <v>6305</v>
      </c>
      <c r="D158" s="15" t="s">
        <v>3882</v>
      </c>
      <c r="E158" s="17" t="s">
        <v>3883</v>
      </c>
      <c r="F158" s="18"/>
      <c r="G158" s="18"/>
      <c r="H158" s="15" t="s">
        <v>3884</v>
      </c>
      <c r="I158" s="18"/>
      <c r="J158" s="19" t="s">
        <v>59</v>
      </c>
      <c r="K158" s="19" t="s">
        <v>60</v>
      </c>
      <c r="L158" s="19" t="s">
        <v>115</v>
      </c>
      <c r="M158" s="20">
        <f t="shared" si="1"/>
        <v>0</v>
      </c>
      <c r="N158" s="22"/>
      <c r="O158" s="19" t="s">
        <v>3578</v>
      </c>
      <c r="P158" s="18"/>
      <c r="Q158" s="18"/>
      <c r="R158" s="23">
        <v>0.0</v>
      </c>
      <c r="S158" s="23">
        <v>0.0</v>
      </c>
      <c r="T158" s="23">
        <f t="shared" si="2"/>
        <v>0</v>
      </c>
      <c r="U158" s="23">
        <f t="shared" si="3"/>
        <v>0</v>
      </c>
      <c r="V158" s="23">
        <f t="shared" si="4"/>
        <v>0</v>
      </c>
      <c r="W158" s="24" t="str">
        <f t="shared" si="5"/>
        <v>#DIV/0!</v>
      </c>
    </row>
    <row r="159" hidden="1">
      <c r="A159" s="15" t="s">
        <v>3885</v>
      </c>
      <c r="B159" s="15" t="s">
        <v>3886</v>
      </c>
      <c r="C159" s="15" t="s">
        <v>6306</v>
      </c>
      <c r="D159" s="15" t="s">
        <v>3887</v>
      </c>
      <c r="E159" s="17" t="s">
        <v>3888</v>
      </c>
      <c r="F159" s="18"/>
      <c r="G159" s="18"/>
      <c r="H159" s="15" t="s">
        <v>6307</v>
      </c>
      <c r="I159" s="18"/>
      <c r="J159" s="19" t="s">
        <v>59</v>
      </c>
      <c r="K159" s="19" t="s">
        <v>284</v>
      </c>
      <c r="L159" s="19" t="s">
        <v>135</v>
      </c>
      <c r="M159" s="20">
        <f t="shared" si="1"/>
        <v>0</v>
      </c>
      <c r="N159" s="22"/>
      <c r="O159" s="19" t="s">
        <v>3578</v>
      </c>
      <c r="P159" s="18"/>
      <c r="Q159" s="18"/>
      <c r="R159" s="23">
        <v>0.0</v>
      </c>
      <c r="S159" s="23">
        <v>0.0</v>
      </c>
      <c r="T159" s="23">
        <f t="shared" si="2"/>
        <v>0</v>
      </c>
      <c r="U159" s="23">
        <f t="shared" si="3"/>
        <v>0</v>
      </c>
      <c r="V159" s="23">
        <f t="shared" si="4"/>
        <v>0</v>
      </c>
      <c r="W159" s="24" t="str">
        <f t="shared" si="5"/>
        <v>#DIV/0!</v>
      </c>
    </row>
    <row r="160" hidden="1">
      <c r="A160" s="15" t="s">
        <v>3890</v>
      </c>
      <c r="B160" s="15" t="s">
        <v>3891</v>
      </c>
      <c r="C160" s="15" t="s">
        <v>6308</v>
      </c>
      <c r="D160" s="15" t="s">
        <v>3892</v>
      </c>
      <c r="E160" s="17" t="s">
        <v>3893</v>
      </c>
      <c r="F160" s="18"/>
      <c r="G160" s="18"/>
      <c r="H160" s="15" t="s">
        <v>3894</v>
      </c>
      <c r="I160" s="18"/>
      <c r="J160" s="19" t="s">
        <v>59</v>
      </c>
      <c r="K160" s="19" t="s">
        <v>60</v>
      </c>
      <c r="L160" s="19" t="s">
        <v>115</v>
      </c>
      <c r="M160" s="20">
        <f t="shared" si="1"/>
        <v>0</v>
      </c>
      <c r="N160" s="22"/>
      <c r="O160" s="19" t="s">
        <v>3578</v>
      </c>
      <c r="P160" s="18"/>
      <c r="Q160" s="18"/>
      <c r="R160" s="23">
        <v>0.0</v>
      </c>
      <c r="S160" s="23">
        <v>0.0</v>
      </c>
      <c r="T160" s="23">
        <f t="shared" si="2"/>
        <v>0</v>
      </c>
      <c r="U160" s="23">
        <f t="shared" si="3"/>
        <v>0</v>
      </c>
      <c r="V160" s="23">
        <f t="shared" si="4"/>
        <v>0</v>
      </c>
      <c r="W160" s="24" t="str">
        <f t="shared" si="5"/>
        <v>#DIV/0!</v>
      </c>
    </row>
    <row r="161" hidden="1">
      <c r="A161" s="15" t="s">
        <v>1356</v>
      </c>
      <c r="B161" s="18"/>
      <c r="C161" s="15" t="s">
        <v>6309</v>
      </c>
      <c r="D161" s="18"/>
      <c r="E161" s="17" t="s">
        <v>1357</v>
      </c>
      <c r="F161" s="18"/>
      <c r="G161" s="18"/>
      <c r="H161" s="15" t="s">
        <v>1358</v>
      </c>
      <c r="I161" s="18"/>
      <c r="J161" s="19" t="s">
        <v>59</v>
      </c>
      <c r="K161" s="19" t="s">
        <v>402</v>
      </c>
      <c r="L161" s="19" t="s">
        <v>38</v>
      </c>
      <c r="M161" s="20">
        <f t="shared" si="1"/>
        <v>0</v>
      </c>
      <c r="N161" s="22"/>
      <c r="O161" s="19" t="s">
        <v>1145</v>
      </c>
      <c r="P161" s="18"/>
      <c r="Q161" s="18"/>
      <c r="R161" s="23">
        <v>0.0</v>
      </c>
      <c r="S161" s="23">
        <v>0.0</v>
      </c>
      <c r="T161" s="23">
        <f t="shared" si="2"/>
        <v>0</v>
      </c>
      <c r="U161" s="23">
        <f t="shared" si="3"/>
        <v>0</v>
      </c>
      <c r="V161" s="23">
        <f t="shared" si="4"/>
        <v>0</v>
      </c>
      <c r="W161" s="24" t="str">
        <f t="shared" si="5"/>
        <v>#DIV/0!</v>
      </c>
    </row>
    <row r="162" hidden="1">
      <c r="A162" s="15" t="s">
        <v>3895</v>
      </c>
      <c r="B162" s="15" t="s">
        <v>3896</v>
      </c>
      <c r="C162" s="15" t="s">
        <v>6310</v>
      </c>
      <c r="D162" s="15" t="s">
        <v>3897</v>
      </c>
      <c r="E162" s="17" t="s">
        <v>3898</v>
      </c>
      <c r="F162" s="18"/>
      <c r="G162" s="18"/>
      <c r="H162" s="15" t="s">
        <v>3899</v>
      </c>
      <c r="I162" s="18"/>
      <c r="J162" s="19" t="s">
        <v>59</v>
      </c>
      <c r="K162" s="19" t="s">
        <v>402</v>
      </c>
      <c r="L162" s="19" t="s">
        <v>38</v>
      </c>
      <c r="M162" s="20">
        <f t="shared" si="1"/>
        <v>0</v>
      </c>
      <c r="N162" s="22"/>
      <c r="O162" s="19" t="s">
        <v>3578</v>
      </c>
      <c r="P162" s="18"/>
      <c r="Q162" s="18"/>
      <c r="R162" s="23">
        <v>0.0</v>
      </c>
      <c r="S162" s="23">
        <v>0.0</v>
      </c>
      <c r="T162" s="23">
        <f t="shared" si="2"/>
        <v>0</v>
      </c>
      <c r="U162" s="23">
        <f t="shared" si="3"/>
        <v>0</v>
      </c>
      <c r="V162" s="23">
        <f t="shared" si="4"/>
        <v>0</v>
      </c>
      <c r="W162" s="24" t="str">
        <f t="shared" si="5"/>
        <v>#DIV/0!</v>
      </c>
    </row>
    <row r="163" hidden="1">
      <c r="A163" s="15" t="s">
        <v>3900</v>
      </c>
      <c r="B163" s="15" t="s">
        <v>3901</v>
      </c>
      <c r="C163" s="15" t="s">
        <v>6311</v>
      </c>
      <c r="D163" s="15" t="s">
        <v>3902</v>
      </c>
      <c r="E163" s="17" t="s">
        <v>3903</v>
      </c>
      <c r="F163" s="18"/>
      <c r="G163" s="18"/>
      <c r="H163" s="15" t="s">
        <v>6312</v>
      </c>
      <c r="I163" s="18"/>
      <c r="J163" s="19" t="s">
        <v>59</v>
      </c>
      <c r="K163" s="19" t="s">
        <v>402</v>
      </c>
      <c r="L163" s="19" t="s">
        <v>38</v>
      </c>
      <c r="M163" s="20">
        <f t="shared" si="1"/>
        <v>0</v>
      </c>
      <c r="N163" s="22"/>
      <c r="O163" s="19" t="s">
        <v>3578</v>
      </c>
      <c r="P163" s="18"/>
      <c r="Q163" s="18"/>
      <c r="R163" s="23">
        <v>0.0</v>
      </c>
      <c r="S163" s="23">
        <v>0.0</v>
      </c>
      <c r="T163" s="23">
        <f t="shared" si="2"/>
        <v>0</v>
      </c>
      <c r="U163" s="23">
        <f t="shared" si="3"/>
        <v>0</v>
      </c>
      <c r="V163" s="23">
        <f t="shared" si="4"/>
        <v>0</v>
      </c>
      <c r="W163" s="24" t="str">
        <f t="shared" si="5"/>
        <v>#DIV/0!</v>
      </c>
    </row>
    <row r="164" hidden="1">
      <c r="A164" s="15" t="s">
        <v>3904</v>
      </c>
      <c r="B164" s="15" t="s">
        <v>3905</v>
      </c>
      <c r="C164" s="15" t="s">
        <v>6313</v>
      </c>
      <c r="D164" s="42" t="s">
        <v>3906</v>
      </c>
      <c r="E164" s="17" t="s">
        <v>3907</v>
      </c>
      <c r="F164" s="18"/>
      <c r="G164" s="18"/>
      <c r="H164" s="15" t="s">
        <v>3908</v>
      </c>
      <c r="I164" s="18"/>
      <c r="J164" s="19" t="s">
        <v>59</v>
      </c>
      <c r="K164" s="19" t="s">
        <v>402</v>
      </c>
      <c r="L164" s="19" t="s">
        <v>38</v>
      </c>
      <c r="M164" s="20">
        <f t="shared" si="1"/>
        <v>0</v>
      </c>
      <c r="N164" s="22"/>
      <c r="O164" s="19" t="s">
        <v>3578</v>
      </c>
      <c r="P164" s="18"/>
      <c r="Q164" s="18"/>
      <c r="R164" s="23">
        <v>0.0</v>
      </c>
      <c r="S164" s="23">
        <v>0.0</v>
      </c>
      <c r="T164" s="23">
        <f t="shared" si="2"/>
        <v>0</v>
      </c>
      <c r="U164" s="23">
        <f t="shared" si="3"/>
        <v>0</v>
      </c>
      <c r="V164" s="23">
        <f t="shared" si="4"/>
        <v>0</v>
      </c>
      <c r="W164" s="24" t="str">
        <f t="shared" si="5"/>
        <v>#DIV/0!</v>
      </c>
    </row>
    <row r="165" hidden="1">
      <c r="A165" s="15" t="s">
        <v>3909</v>
      </c>
      <c r="B165" s="18"/>
      <c r="C165" s="15" t="s">
        <v>6314</v>
      </c>
      <c r="D165" s="15" t="s">
        <v>3910</v>
      </c>
      <c r="E165" s="17" t="s">
        <v>3911</v>
      </c>
      <c r="F165" s="18"/>
      <c r="G165" s="18"/>
      <c r="H165" s="15" t="s">
        <v>3912</v>
      </c>
      <c r="I165" s="15" t="s">
        <v>3913</v>
      </c>
      <c r="J165" s="19" t="s">
        <v>59</v>
      </c>
      <c r="K165" s="19" t="s">
        <v>402</v>
      </c>
      <c r="L165" s="19" t="s">
        <v>38</v>
      </c>
      <c r="M165" s="20">
        <f t="shared" si="1"/>
        <v>0</v>
      </c>
      <c r="N165" s="22"/>
      <c r="O165" s="19" t="s">
        <v>3578</v>
      </c>
      <c r="P165" s="18"/>
      <c r="Q165" s="18"/>
      <c r="R165" s="23">
        <v>0.0</v>
      </c>
      <c r="S165" s="23">
        <v>0.0</v>
      </c>
      <c r="T165" s="23">
        <f t="shared" si="2"/>
        <v>0</v>
      </c>
      <c r="U165" s="23">
        <f t="shared" si="3"/>
        <v>0</v>
      </c>
      <c r="V165" s="23">
        <f t="shared" si="4"/>
        <v>0</v>
      </c>
      <c r="W165" s="24" t="str">
        <f t="shared" si="5"/>
        <v>#DIV/0!</v>
      </c>
    </row>
    <row r="166" hidden="1">
      <c r="A166" s="15" t="s">
        <v>3914</v>
      </c>
      <c r="B166" s="15" t="s">
        <v>3915</v>
      </c>
      <c r="C166" s="15" t="s">
        <v>6315</v>
      </c>
      <c r="D166" s="15" t="s">
        <v>288</v>
      </c>
      <c r="E166" s="17" t="s">
        <v>3916</v>
      </c>
      <c r="F166" s="18"/>
      <c r="G166" s="18"/>
      <c r="H166" s="15" t="s">
        <v>3917</v>
      </c>
      <c r="I166" s="18"/>
      <c r="J166" s="19" t="s">
        <v>59</v>
      </c>
      <c r="K166" s="19" t="s">
        <v>105</v>
      </c>
      <c r="L166" s="19" t="s">
        <v>38</v>
      </c>
      <c r="M166" s="20">
        <f t="shared" si="1"/>
        <v>0</v>
      </c>
      <c r="N166" s="22"/>
      <c r="O166" s="19" t="s">
        <v>3578</v>
      </c>
      <c r="P166" s="18"/>
      <c r="Q166" s="18"/>
      <c r="R166" s="23">
        <v>0.0</v>
      </c>
      <c r="S166" s="23">
        <v>0.0</v>
      </c>
      <c r="T166" s="23">
        <f t="shared" si="2"/>
        <v>0</v>
      </c>
      <c r="U166" s="23">
        <f t="shared" si="3"/>
        <v>0</v>
      </c>
      <c r="V166" s="23">
        <f t="shared" si="4"/>
        <v>0</v>
      </c>
      <c r="W166" s="24" t="str">
        <f t="shared" si="5"/>
        <v>#DIV/0!</v>
      </c>
    </row>
    <row r="167" hidden="1">
      <c r="A167" s="15" t="s">
        <v>3918</v>
      </c>
      <c r="B167" s="15" t="s">
        <v>3919</v>
      </c>
      <c r="C167" s="15" t="s">
        <v>6316</v>
      </c>
      <c r="D167" s="15" t="s">
        <v>3920</v>
      </c>
      <c r="E167" s="17" t="s">
        <v>3921</v>
      </c>
      <c r="F167" s="18"/>
      <c r="G167" s="18"/>
      <c r="H167" s="15" t="s">
        <v>3922</v>
      </c>
      <c r="I167" s="18"/>
      <c r="J167" s="19" t="s">
        <v>59</v>
      </c>
      <c r="K167" s="19" t="s">
        <v>402</v>
      </c>
      <c r="L167" s="19" t="s">
        <v>38</v>
      </c>
      <c r="M167" s="20">
        <f t="shared" si="1"/>
        <v>0</v>
      </c>
      <c r="N167" s="22"/>
      <c r="O167" s="19" t="s">
        <v>3578</v>
      </c>
      <c r="P167" s="18"/>
      <c r="Q167" s="18"/>
      <c r="R167" s="23">
        <v>0.0</v>
      </c>
      <c r="S167" s="23">
        <v>0.0</v>
      </c>
      <c r="T167" s="23">
        <f t="shared" si="2"/>
        <v>0</v>
      </c>
      <c r="U167" s="23">
        <f t="shared" si="3"/>
        <v>0</v>
      </c>
      <c r="V167" s="23">
        <f t="shared" si="4"/>
        <v>0</v>
      </c>
      <c r="W167" s="24" t="str">
        <f t="shared" si="5"/>
        <v>#DIV/0!</v>
      </c>
    </row>
    <row r="168" hidden="1">
      <c r="A168" s="15" t="s">
        <v>3923</v>
      </c>
      <c r="B168" s="15" t="s">
        <v>3924</v>
      </c>
      <c r="C168" s="15" t="s">
        <v>6317</v>
      </c>
      <c r="D168" s="15" t="s">
        <v>3925</v>
      </c>
      <c r="E168" s="17" t="s">
        <v>3926</v>
      </c>
      <c r="F168" s="18"/>
      <c r="G168" s="18"/>
      <c r="H168" s="15" t="s">
        <v>3927</v>
      </c>
      <c r="I168" s="18"/>
      <c r="J168" s="19" t="s">
        <v>59</v>
      </c>
      <c r="K168" s="19" t="s">
        <v>105</v>
      </c>
      <c r="L168" s="19" t="s">
        <v>38</v>
      </c>
      <c r="M168" s="20">
        <f t="shared" si="1"/>
        <v>0</v>
      </c>
      <c r="N168" s="22"/>
      <c r="O168" s="19" t="s">
        <v>1145</v>
      </c>
      <c r="P168" s="18"/>
      <c r="Q168" s="18"/>
      <c r="R168" s="23">
        <v>0.0</v>
      </c>
      <c r="S168" s="23">
        <v>0.0</v>
      </c>
      <c r="T168" s="23">
        <f t="shared" si="2"/>
        <v>0</v>
      </c>
      <c r="U168" s="23">
        <f t="shared" si="3"/>
        <v>0</v>
      </c>
      <c r="V168" s="23">
        <f t="shared" si="4"/>
        <v>0</v>
      </c>
      <c r="W168" s="24" t="str">
        <f t="shared" si="5"/>
        <v>#DIV/0!</v>
      </c>
    </row>
    <row r="169" hidden="1">
      <c r="A169" s="15" t="s">
        <v>3928</v>
      </c>
      <c r="B169" s="15" t="s">
        <v>3929</v>
      </c>
      <c r="C169" s="15" t="s">
        <v>6318</v>
      </c>
      <c r="D169" s="15" t="s">
        <v>3930</v>
      </c>
      <c r="E169" s="17" t="s">
        <v>3931</v>
      </c>
      <c r="F169" s="18"/>
      <c r="G169" s="18"/>
      <c r="H169" s="15" t="s">
        <v>3932</v>
      </c>
      <c r="I169" s="18"/>
      <c r="J169" s="19" t="s">
        <v>59</v>
      </c>
      <c r="K169" s="19" t="s">
        <v>402</v>
      </c>
      <c r="L169" s="19" t="s">
        <v>38</v>
      </c>
      <c r="M169" s="20">
        <f t="shared" si="1"/>
        <v>0</v>
      </c>
      <c r="N169" s="22"/>
      <c r="O169" s="19" t="s">
        <v>3578</v>
      </c>
      <c r="P169" s="18"/>
      <c r="Q169" s="18"/>
      <c r="R169" s="23">
        <v>0.0</v>
      </c>
      <c r="S169" s="23">
        <v>0.0</v>
      </c>
      <c r="T169" s="23">
        <f t="shared" si="2"/>
        <v>0</v>
      </c>
      <c r="U169" s="23">
        <f t="shared" si="3"/>
        <v>0</v>
      </c>
      <c r="V169" s="23">
        <f t="shared" si="4"/>
        <v>0</v>
      </c>
      <c r="W169" s="24" t="str">
        <f t="shared" si="5"/>
        <v>#DIV/0!</v>
      </c>
    </row>
    <row r="170" hidden="1">
      <c r="A170" s="15" t="s">
        <v>3933</v>
      </c>
      <c r="B170" s="15" t="s">
        <v>3934</v>
      </c>
      <c r="C170" s="15" t="s">
        <v>6319</v>
      </c>
      <c r="D170" s="15" t="s">
        <v>3935</v>
      </c>
      <c r="E170" s="17" t="s">
        <v>3936</v>
      </c>
      <c r="F170" s="18"/>
      <c r="G170" s="18"/>
      <c r="H170" s="15" t="s">
        <v>3937</v>
      </c>
      <c r="I170" s="18"/>
      <c r="J170" s="19" t="s">
        <v>59</v>
      </c>
      <c r="K170" s="19" t="s">
        <v>37</v>
      </c>
      <c r="L170" s="19" t="s">
        <v>38</v>
      </c>
      <c r="M170" s="20">
        <f t="shared" si="1"/>
        <v>0</v>
      </c>
      <c r="N170" s="22"/>
      <c r="O170" s="19" t="s">
        <v>3578</v>
      </c>
      <c r="P170" s="18"/>
      <c r="Q170" s="18"/>
      <c r="R170" s="23">
        <v>0.0</v>
      </c>
      <c r="S170" s="23">
        <v>0.0</v>
      </c>
      <c r="T170" s="23">
        <f t="shared" si="2"/>
        <v>0</v>
      </c>
      <c r="U170" s="23">
        <f t="shared" si="3"/>
        <v>0</v>
      </c>
      <c r="V170" s="23">
        <f t="shared" si="4"/>
        <v>0</v>
      </c>
      <c r="W170" s="24" t="str">
        <f t="shared" si="5"/>
        <v>#DIV/0!</v>
      </c>
    </row>
    <row r="171" hidden="1">
      <c r="A171" s="15" t="s">
        <v>3938</v>
      </c>
      <c r="B171" s="15" t="s">
        <v>3939</v>
      </c>
      <c r="C171" s="15" t="s">
        <v>6320</v>
      </c>
      <c r="D171" s="15" t="s">
        <v>3940</v>
      </c>
      <c r="E171" s="17" t="s">
        <v>3941</v>
      </c>
      <c r="F171" s="18"/>
      <c r="G171" s="18"/>
      <c r="H171" s="15" t="s">
        <v>2814</v>
      </c>
      <c r="I171" s="18"/>
      <c r="J171" s="19" t="s">
        <v>59</v>
      </c>
      <c r="K171" s="19" t="s">
        <v>37</v>
      </c>
      <c r="L171" s="19" t="s">
        <v>38</v>
      </c>
      <c r="M171" s="20">
        <f t="shared" si="1"/>
        <v>0</v>
      </c>
      <c r="N171" s="22"/>
      <c r="O171" s="19" t="s">
        <v>3578</v>
      </c>
      <c r="P171" s="18"/>
      <c r="Q171" s="18"/>
      <c r="R171" s="23">
        <v>0.0</v>
      </c>
      <c r="S171" s="23">
        <v>0.0</v>
      </c>
      <c r="T171" s="23">
        <f t="shared" si="2"/>
        <v>0</v>
      </c>
      <c r="U171" s="23">
        <f t="shared" si="3"/>
        <v>0</v>
      </c>
      <c r="V171" s="23">
        <f t="shared" si="4"/>
        <v>0</v>
      </c>
      <c r="W171" s="24" t="str">
        <f t="shared" si="5"/>
        <v>#DIV/0!</v>
      </c>
    </row>
    <row r="172" hidden="1">
      <c r="A172" s="15" t="s">
        <v>3942</v>
      </c>
      <c r="B172" s="15" t="s">
        <v>3943</v>
      </c>
      <c r="C172" s="15" t="s">
        <v>6321</v>
      </c>
      <c r="D172" s="15" t="s">
        <v>3944</v>
      </c>
      <c r="E172" s="17" t="s">
        <v>3945</v>
      </c>
      <c r="F172" s="18"/>
      <c r="G172" s="18"/>
      <c r="H172" s="15" t="s">
        <v>3946</v>
      </c>
      <c r="I172" s="18"/>
      <c r="J172" s="19" t="s">
        <v>59</v>
      </c>
      <c r="K172" s="19" t="s">
        <v>402</v>
      </c>
      <c r="L172" s="19" t="s">
        <v>38</v>
      </c>
      <c r="M172" s="20">
        <f t="shared" si="1"/>
        <v>0</v>
      </c>
      <c r="N172" s="22"/>
      <c r="O172" s="19" t="s">
        <v>3578</v>
      </c>
      <c r="P172" s="18"/>
      <c r="Q172" s="18"/>
      <c r="R172" s="23">
        <v>0.0</v>
      </c>
      <c r="S172" s="23">
        <v>0.0</v>
      </c>
      <c r="T172" s="23">
        <f t="shared" si="2"/>
        <v>0</v>
      </c>
      <c r="U172" s="23">
        <f t="shared" si="3"/>
        <v>0</v>
      </c>
      <c r="V172" s="23">
        <f t="shared" si="4"/>
        <v>0</v>
      </c>
      <c r="W172" s="24" t="str">
        <f t="shared" si="5"/>
        <v>#DIV/0!</v>
      </c>
    </row>
    <row r="173" hidden="1">
      <c r="A173" s="15" t="s">
        <v>3947</v>
      </c>
      <c r="B173" s="15" t="s">
        <v>3948</v>
      </c>
      <c r="C173" s="15" t="s">
        <v>6322</v>
      </c>
      <c r="D173" s="15" t="s">
        <v>3949</v>
      </c>
      <c r="E173" s="17" t="s">
        <v>3950</v>
      </c>
      <c r="F173" s="18"/>
      <c r="G173" s="18"/>
      <c r="H173" s="15" t="s">
        <v>3951</v>
      </c>
      <c r="I173" s="18"/>
      <c r="J173" s="19" t="s">
        <v>59</v>
      </c>
      <c r="K173" s="19" t="s">
        <v>402</v>
      </c>
      <c r="L173" s="19" t="s">
        <v>38</v>
      </c>
      <c r="M173" s="20">
        <f t="shared" si="1"/>
        <v>0</v>
      </c>
      <c r="N173" s="22"/>
      <c r="O173" s="19" t="s">
        <v>3578</v>
      </c>
      <c r="P173" s="18"/>
      <c r="Q173" s="18"/>
      <c r="R173" s="23">
        <v>0.0</v>
      </c>
      <c r="S173" s="23">
        <v>0.0</v>
      </c>
      <c r="T173" s="23">
        <f t="shared" si="2"/>
        <v>0</v>
      </c>
      <c r="U173" s="23">
        <f t="shared" si="3"/>
        <v>0</v>
      </c>
      <c r="V173" s="23">
        <f t="shared" si="4"/>
        <v>0</v>
      </c>
      <c r="W173" s="24" t="str">
        <f t="shared" si="5"/>
        <v>#DIV/0!</v>
      </c>
    </row>
    <row r="174" hidden="1">
      <c r="A174" s="15" t="s">
        <v>5924</v>
      </c>
      <c r="B174" s="15" t="s">
        <v>5925</v>
      </c>
      <c r="C174" s="15" t="s">
        <v>6323</v>
      </c>
      <c r="D174" s="15" t="s">
        <v>5926</v>
      </c>
      <c r="E174" s="17" t="s">
        <v>5927</v>
      </c>
      <c r="F174" s="18"/>
      <c r="G174" s="18"/>
      <c r="H174" s="15" t="s">
        <v>5928</v>
      </c>
      <c r="I174" s="18"/>
      <c r="J174" s="19" t="s">
        <v>59</v>
      </c>
      <c r="K174" s="19" t="s">
        <v>402</v>
      </c>
      <c r="L174" s="19" t="s">
        <v>38</v>
      </c>
      <c r="M174" s="20">
        <f t="shared" si="1"/>
        <v>426.24</v>
      </c>
      <c r="N174" s="31"/>
      <c r="O174" s="19" t="s">
        <v>3578</v>
      </c>
      <c r="P174" s="18"/>
      <c r="Q174" s="18"/>
      <c r="R174" s="23">
        <v>7.0</v>
      </c>
      <c r="S174" s="23">
        <v>24.0</v>
      </c>
      <c r="T174" s="23">
        <f t="shared" si="2"/>
        <v>23.04</v>
      </c>
      <c r="U174" s="23">
        <f t="shared" si="3"/>
        <v>8.575</v>
      </c>
      <c r="V174" s="23">
        <f t="shared" si="4"/>
        <v>160.78125</v>
      </c>
      <c r="W174" s="24">
        <f t="shared" si="5"/>
        <v>3.291428571</v>
      </c>
    </row>
    <row r="175" hidden="1">
      <c r="A175" s="15" t="s">
        <v>3952</v>
      </c>
      <c r="B175" s="15" t="s">
        <v>3953</v>
      </c>
      <c r="C175" s="15" t="s">
        <v>6324</v>
      </c>
      <c r="D175" s="15" t="s">
        <v>3954</v>
      </c>
      <c r="E175" s="17" t="s">
        <v>3955</v>
      </c>
      <c r="F175" s="18"/>
      <c r="G175" s="18"/>
      <c r="H175" s="15" t="s">
        <v>3956</v>
      </c>
      <c r="I175" s="18"/>
      <c r="J175" s="19" t="s">
        <v>59</v>
      </c>
      <c r="K175" s="19" t="s">
        <v>1230</v>
      </c>
      <c r="L175" s="19" t="s">
        <v>38</v>
      </c>
      <c r="M175" s="20">
        <f t="shared" si="1"/>
        <v>0</v>
      </c>
      <c r="N175" s="22"/>
      <c r="O175" s="19" t="s">
        <v>3578</v>
      </c>
      <c r="P175" s="18"/>
      <c r="Q175" s="18"/>
      <c r="R175" s="23">
        <v>0.0</v>
      </c>
      <c r="S175" s="23">
        <v>0.0</v>
      </c>
      <c r="T175" s="23">
        <f t="shared" si="2"/>
        <v>0</v>
      </c>
      <c r="U175" s="23">
        <f t="shared" si="3"/>
        <v>0</v>
      </c>
      <c r="V175" s="23">
        <f t="shared" si="4"/>
        <v>0</v>
      </c>
      <c r="W175" s="24" t="str">
        <f t="shared" si="5"/>
        <v>#DIV/0!</v>
      </c>
    </row>
    <row r="176" hidden="1">
      <c r="A176" s="15" t="s">
        <v>6325</v>
      </c>
      <c r="B176" s="15" t="s">
        <v>6326</v>
      </c>
      <c r="C176" s="15" t="s">
        <v>6327</v>
      </c>
      <c r="D176" s="15" t="s">
        <v>6328</v>
      </c>
      <c r="E176" s="17" t="s">
        <v>6329</v>
      </c>
      <c r="F176" s="18"/>
      <c r="G176" s="18"/>
      <c r="H176" s="15" t="s">
        <v>3960</v>
      </c>
      <c r="I176" s="18"/>
      <c r="J176" s="19" t="s">
        <v>59</v>
      </c>
      <c r="K176" s="19" t="s">
        <v>402</v>
      </c>
      <c r="L176" s="19" t="s">
        <v>38</v>
      </c>
      <c r="M176" s="20">
        <f t="shared" si="1"/>
        <v>0</v>
      </c>
      <c r="N176" s="22"/>
      <c r="O176" s="19" t="s">
        <v>3578</v>
      </c>
      <c r="P176" s="18"/>
      <c r="Q176" s="18"/>
      <c r="R176" s="23">
        <v>0.0</v>
      </c>
      <c r="S176" s="23">
        <v>0.0</v>
      </c>
      <c r="T176" s="23">
        <f t="shared" si="2"/>
        <v>0</v>
      </c>
      <c r="U176" s="23">
        <f t="shared" si="3"/>
        <v>0</v>
      </c>
      <c r="V176" s="23">
        <f t="shared" si="4"/>
        <v>0</v>
      </c>
      <c r="W176" s="24" t="str">
        <f t="shared" si="5"/>
        <v>#DIV/0!</v>
      </c>
    </row>
    <row r="177" hidden="1">
      <c r="A177" s="15" t="s">
        <v>3957</v>
      </c>
      <c r="B177" s="15" t="s">
        <v>6330</v>
      </c>
      <c r="C177" s="15" t="s">
        <v>6331</v>
      </c>
      <c r="D177" s="15" t="s">
        <v>3958</v>
      </c>
      <c r="E177" s="17" t="s">
        <v>3959</v>
      </c>
      <c r="F177" s="18"/>
      <c r="G177" s="18"/>
      <c r="H177" s="15" t="s">
        <v>6332</v>
      </c>
      <c r="I177" s="18"/>
      <c r="J177" s="19" t="s">
        <v>59</v>
      </c>
      <c r="K177" s="19" t="s">
        <v>402</v>
      </c>
      <c r="L177" s="19" t="s">
        <v>38</v>
      </c>
      <c r="M177" s="20">
        <f t="shared" si="1"/>
        <v>0</v>
      </c>
      <c r="N177" s="22"/>
      <c r="O177" s="19" t="s">
        <v>3578</v>
      </c>
      <c r="P177" s="18"/>
      <c r="Q177" s="18"/>
      <c r="R177" s="23">
        <v>0.0</v>
      </c>
      <c r="S177" s="23">
        <v>0.0</v>
      </c>
      <c r="T177" s="23">
        <f t="shared" si="2"/>
        <v>0</v>
      </c>
      <c r="U177" s="23">
        <f t="shared" si="3"/>
        <v>0</v>
      </c>
      <c r="V177" s="23">
        <f t="shared" si="4"/>
        <v>0</v>
      </c>
      <c r="W177" s="24" t="str">
        <f t="shared" si="5"/>
        <v>#DIV/0!</v>
      </c>
    </row>
    <row r="178" hidden="1">
      <c r="A178" s="15" t="s">
        <v>3961</v>
      </c>
      <c r="B178" s="15" t="s">
        <v>3962</v>
      </c>
      <c r="C178" s="15" t="s">
        <v>6333</v>
      </c>
      <c r="D178" s="15" t="s">
        <v>3963</v>
      </c>
      <c r="E178" s="17" t="s">
        <v>3964</v>
      </c>
      <c r="F178" s="18"/>
      <c r="G178" s="18"/>
      <c r="H178" s="15" t="s">
        <v>3965</v>
      </c>
      <c r="I178" s="18"/>
      <c r="J178" s="19" t="s">
        <v>59</v>
      </c>
      <c r="K178" s="19" t="s">
        <v>402</v>
      </c>
      <c r="L178" s="19" t="s">
        <v>38</v>
      </c>
      <c r="M178" s="20">
        <f t="shared" si="1"/>
        <v>0</v>
      </c>
      <c r="N178" s="22"/>
      <c r="O178" s="19" t="s">
        <v>3578</v>
      </c>
      <c r="P178" s="18"/>
      <c r="Q178" s="18"/>
      <c r="R178" s="23">
        <v>0.0</v>
      </c>
      <c r="S178" s="23">
        <v>0.0</v>
      </c>
      <c r="T178" s="23">
        <f t="shared" si="2"/>
        <v>0</v>
      </c>
      <c r="U178" s="23">
        <f t="shared" si="3"/>
        <v>0</v>
      </c>
      <c r="V178" s="23">
        <f t="shared" si="4"/>
        <v>0</v>
      </c>
      <c r="W178" s="24" t="str">
        <f t="shared" si="5"/>
        <v>#DIV/0!</v>
      </c>
    </row>
    <row r="179" hidden="1">
      <c r="A179" s="15" t="s">
        <v>3966</v>
      </c>
      <c r="B179" s="15" t="s">
        <v>3967</v>
      </c>
      <c r="C179" s="15" t="s">
        <v>6334</v>
      </c>
      <c r="D179" s="15" t="s">
        <v>6335</v>
      </c>
      <c r="E179" s="17" t="s">
        <v>6336</v>
      </c>
      <c r="F179" s="18"/>
      <c r="G179" s="18"/>
      <c r="H179" s="15" t="s">
        <v>2969</v>
      </c>
      <c r="I179" s="18"/>
      <c r="J179" s="19" t="s">
        <v>59</v>
      </c>
      <c r="K179" s="19" t="s">
        <v>402</v>
      </c>
      <c r="L179" s="19" t="s">
        <v>38</v>
      </c>
      <c r="M179" s="20">
        <f t="shared" si="1"/>
        <v>0</v>
      </c>
      <c r="N179" s="22"/>
      <c r="O179" s="19" t="s">
        <v>3578</v>
      </c>
      <c r="P179" s="18"/>
      <c r="Q179" s="18"/>
      <c r="R179" s="23">
        <v>0.0</v>
      </c>
      <c r="S179" s="23">
        <v>0.0</v>
      </c>
      <c r="T179" s="23">
        <f t="shared" si="2"/>
        <v>0</v>
      </c>
      <c r="U179" s="23">
        <f t="shared" si="3"/>
        <v>0</v>
      </c>
      <c r="V179" s="23">
        <f t="shared" si="4"/>
        <v>0</v>
      </c>
      <c r="W179" s="24" t="str">
        <f t="shared" si="5"/>
        <v>#DIV/0!</v>
      </c>
    </row>
    <row r="180" hidden="1">
      <c r="A180" s="15" t="s">
        <v>3971</v>
      </c>
      <c r="B180" s="15" t="s">
        <v>3972</v>
      </c>
      <c r="C180" s="15" t="s">
        <v>6337</v>
      </c>
      <c r="D180" s="15" t="s">
        <v>6338</v>
      </c>
      <c r="E180" s="17" t="s">
        <v>6339</v>
      </c>
      <c r="F180" s="18"/>
      <c r="G180" s="18"/>
      <c r="H180" s="15" t="s">
        <v>3975</v>
      </c>
      <c r="I180" s="18"/>
      <c r="J180" s="19" t="s">
        <v>59</v>
      </c>
      <c r="K180" s="19" t="s">
        <v>402</v>
      </c>
      <c r="L180" s="19" t="s">
        <v>38</v>
      </c>
      <c r="M180" s="20">
        <f t="shared" si="1"/>
        <v>0</v>
      </c>
      <c r="N180" s="22"/>
      <c r="O180" s="19" t="s">
        <v>3578</v>
      </c>
      <c r="P180" s="18"/>
      <c r="Q180" s="18"/>
      <c r="R180" s="23">
        <v>0.0</v>
      </c>
      <c r="S180" s="23">
        <v>0.0</v>
      </c>
      <c r="T180" s="23">
        <f t="shared" si="2"/>
        <v>0</v>
      </c>
      <c r="U180" s="23">
        <f t="shared" si="3"/>
        <v>0</v>
      </c>
      <c r="V180" s="23">
        <f t="shared" si="4"/>
        <v>0</v>
      </c>
      <c r="W180" s="24" t="str">
        <f t="shared" si="5"/>
        <v>#DIV/0!</v>
      </c>
    </row>
    <row r="181" hidden="1">
      <c r="A181" s="15" t="s">
        <v>3976</v>
      </c>
      <c r="B181" s="15" t="s">
        <v>3977</v>
      </c>
      <c r="C181" s="15" t="s">
        <v>6340</v>
      </c>
      <c r="D181" s="15" t="s">
        <v>3978</v>
      </c>
      <c r="E181" s="17" t="s">
        <v>3979</v>
      </c>
      <c r="F181" s="18"/>
      <c r="G181" s="18"/>
      <c r="H181" s="15" t="s">
        <v>3980</v>
      </c>
      <c r="I181" s="18"/>
      <c r="J181" s="19" t="s">
        <v>59</v>
      </c>
      <c r="K181" s="19" t="s">
        <v>402</v>
      </c>
      <c r="L181" s="19" t="s">
        <v>38</v>
      </c>
      <c r="M181" s="20">
        <f t="shared" si="1"/>
        <v>0</v>
      </c>
      <c r="N181" s="22"/>
      <c r="O181" s="19" t="s">
        <v>3578</v>
      </c>
      <c r="P181" s="18"/>
      <c r="Q181" s="18"/>
      <c r="R181" s="23">
        <v>0.0</v>
      </c>
      <c r="S181" s="23">
        <v>0.0</v>
      </c>
      <c r="T181" s="23">
        <f t="shared" si="2"/>
        <v>0</v>
      </c>
      <c r="U181" s="23">
        <f t="shared" si="3"/>
        <v>0</v>
      </c>
      <c r="V181" s="23">
        <f t="shared" si="4"/>
        <v>0</v>
      </c>
      <c r="W181" s="24" t="str">
        <f t="shared" si="5"/>
        <v>#DIV/0!</v>
      </c>
    </row>
    <row r="182" hidden="1">
      <c r="A182" s="15" t="s">
        <v>3981</v>
      </c>
      <c r="B182" s="18"/>
      <c r="C182" s="15" t="s">
        <v>6341</v>
      </c>
      <c r="D182" s="15" t="s">
        <v>3982</v>
      </c>
      <c r="E182" s="17" t="s">
        <v>3983</v>
      </c>
      <c r="F182" s="18"/>
      <c r="G182" s="18"/>
      <c r="H182" s="15" t="s">
        <v>113</v>
      </c>
      <c r="I182" s="18"/>
      <c r="J182" s="19" t="s">
        <v>59</v>
      </c>
      <c r="K182" s="19" t="s">
        <v>402</v>
      </c>
      <c r="L182" s="19" t="s">
        <v>38</v>
      </c>
      <c r="M182" s="20">
        <f t="shared" si="1"/>
        <v>0</v>
      </c>
      <c r="N182" s="22"/>
      <c r="O182" s="19" t="s">
        <v>39</v>
      </c>
      <c r="P182" s="18"/>
      <c r="Q182" s="18"/>
      <c r="R182" s="23">
        <v>0.0</v>
      </c>
      <c r="S182" s="23">
        <v>0.0</v>
      </c>
      <c r="T182" s="23">
        <f t="shared" si="2"/>
        <v>0</v>
      </c>
      <c r="U182" s="23">
        <f t="shared" si="3"/>
        <v>0</v>
      </c>
      <c r="V182" s="23">
        <f t="shared" si="4"/>
        <v>0</v>
      </c>
      <c r="W182" s="24" t="str">
        <f t="shared" si="5"/>
        <v>#DIV/0!</v>
      </c>
    </row>
    <row r="183" hidden="1">
      <c r="A183" s="15" t="s">
        <v>3985</v>
      </c>
      <c r="B183" s="15" t="s">
        <v>3986</v>
      </c>
      <c r="C183" s="15" t="s">
        <v>6342</v>
      </c>
      <c r="D183" s="15" t="s">
        <v>3987</v>
      </c>
      <c r="E183" s="17" t="s">
        <v>3988</v>
      </c>
      <c r="F183" s="18"/>
      <c r="G183" s="18"/>
      <c r="H183" s="15" t="s">
        <v>3989</v>
      </c>
      <c r="I183" s="18"/>
      <c r="J183" s="19" t="s">
        <v>59</v>
      </c>
      <c r="K183" s="19" t="s">
        <v>284</v>
      </c>
      <c r="L183" s="19" t="s">
        <v>38</v>
      </c>
      <c r="M183" s="20">
        <f t="shared" si="1"/>
        <v>0</v>
      </c>
      <c r="N183" s="22"/>
      <c r="O183" s="19" t="s">
        <v>3578</v>
      </c>
      <c r="P183" s="18"/>
      <c r="Q183" s="18"/>
      <c r="R183" s="23">
        <v>0.0</v>
      </c>
      <c r="S183" s="23">
        <v>0.0</v>
      </c>
      <c r="T183" s="23">
        <f t="shared" si="2"/>
        <v>0</v>
      </c>
      <c r="U183" s="23">
        <f t="shared" si="3"/>
        <v>0</v>
      </c>
      <c r="V183" s="23">
        <f t="shared" si="4"/>
        <v>0</v>
      </c>
      <c r="W183" s="24" t="str">
        <f t="shared" si="5"/>
        <v>#DIV/0!</v>
      </c>
    </row>
    <row r="184" hidden="1">
      <c r="A184" s="15" t="s">
        <v>3990</v>
      </c>
      <c r="B184" s="15" t="s">
        <v>3991</v>
      </c>
      <c r="C184" s="15" t="s">
        <v>6343</v>
      </c>
      <c r="D184" s="15" t="s">
        <v>3992</v>
      </c>
      <c r="E184" s="17" t="s">
        <v>3993</v>
      </c>
      <c r="F184" s="18"/>
      <c r="G184" s="18"/>
      <c r="H184" s="15" t="s">
        <v>3994</v>
      </c>
      <c r="I184" s="18"/>
      <c r="J184" s="19" t="s">
        <v>59</v>
      </c>
      <c r="K184" s="19" t="s">
        <v>37</v>
      </c>
      <c r="L184" s="19" t="s">
        <v>38</v>
      </c>
      <c r="M184" s="20">
        <f t="shared" si="1"/>
        <v>0</v>
      </c>
      <c r="N184" s="22"/>
      <c r="O184" s="19" t="s">
        <v>3578</v>
      </c>
      <c r="P184" s="18"/>
      <c r="Q184" s="18"/>
      <c r="R184" s="23">
        <v>0.0</v>
      </c>
      <c r="S184" s="23">
        <v>0.0</v>
      </c>
      <c r="T184" s="23">
        <f t="shared" si="2"/>
        <v>0</v>
      </c>
      <c r="U184" s="23">
        <f t="shared" si="3"/>
        <v>0</v>
      </c>
      <c r="V184" s="23">
        <f t="shared" si="4"/>
        <v>0</v>
      </c>
      <c r="W184" s="24" t="str">
        <f t="shared" si="5"/>
        <v>#DIV/0!</v>
      </c>
    </row>
    <row r="185" hidden="1">
      <c r="A185" s="15" t="s">
        <v>3995</v>
      </c>
      <c r="B185" s="15" t="s">
        <v>3996</v>
      </c>
      <c r="C185" s="15" t="s">
        <v>6344</v>
      </c>
      <c r="D185" s="15" t="s">
        <v>3997</v>
      </c>
      <c r="E185" s="17" t="s">
        <v>3998</v>
      </c>
      <c r="F185" s="18"/>
      <c r="G185" s="18"/>
      <c r="H185" s="15" t="s">
        <v>3999</v>
      </c>
      <c r="I185" s="18"/>
      <c r="J185" s="19" t="s">
        <v>59</v>
      </c>
      <c r="K185" s="19" t="s">
        <v>37</v>
      </c>
      <c r="L185" s="19" t="s">
        <v>38</v>
      </c>
      <c r="M185" s="20">
        <f t="shared" si="1"/>
        <v>0</v>
      </c>
      <c r="N185" s="22"/>
      <c r="O185" s="19" t="s">
        <v>1145</v>
      </c>
      <c r="P185" s="18"/>
      <c r="Q185" s="18"/>
      <c r="R185" s="23">
        <v>0.0</v>
      </c>
      <c r="S185" s="23">
        <v>0.0</v>
      </c>
      <c r="T185" s="23">
        <f t="shared" si="2"/>
        <v>0</v>
      </c>
      <c r="U185" s="23">
        <f t="shared" si="3"/>
        <v>0</v>
      </c>
      <c r="V185" s="23">
        <f t="shared" si="4"/>
        <v>0</v>
      </c>
      <c r="W185" s="24" t="str">
        <f t="shared" si="5"/>
        <v>#DIV/0!</v>
      </c>
    </row>
    <row r="186" hidden="1">
      <c r="A186" s="15" t="s">
        <v>4000</v>
      </c>
      <c r="B186" s="15" t="s">
        <v>4001</v>
      </c>
      <c r="C186" s="15" t="s">
        <v>6345</v>
      </c>
      <c r="D186" s="15" t="s">
        <v>4002</v>
      </c>
      <c r="E186" s="17" t="s">
        <v>4003</v>
      </c>
      <c r="F186" s="18"/>
      <c r="G186" s="18"/>
      <c r="H186" s="15" t="s">
        <v>3112</v>
      </c>
      <c r="I186" s="18"/>
      <c r="J186" s="19" t="s">
        <v>59</v>
      </c>
      <c r="K186" s="19" t="s">
        <v>37</v>
      </c>
      <c r="L186" s="19" t="s">
        <v>38</v>
      </c>
      <c r="M186" s="20">
        <f t="shared" si="1"/>
        <v>0</v>
      </c>
      <c r="N186" s="22"/>
      <c r="O186" s="19" t="s">
        <v>1145</v>
      </c>
      <c r="P186" s="18"/>
      <c r="Q186" s="18"/>
      <c r="R186" s="23">
        <v>0.0</v>
      </c>
      <c r="S186" s="23">
        <v>0.0</v>
      </c>
      <c r="T186" s="23">
        <f t="shared" si="2"/>
        <v>0</v>
      </c>
      <c r="U186" s="23">
        <f t="shared" si="3"/>
        <v>0</v>
      </c>
      <c r="V186" s="23">
        <f t="shared" si="4"/>
        <v>0</v>
      </c>
      <c r="W186" s="24" t="str">
        <f t="shared" si="5"/>
        <v>#DIV/0!</v>
      </c>
    </row>
    <row r="187" hidden="1">
      <c r="A187" s="15" t="s">
        <v>1359</v>
      </c>
      <c r="B187" s="15" t="s">
        <v>1360</v>
      </c>
      <c r="C187" s="15" t="s">
        <v>6346</v>
      </c>
      <c r="D187" s="15" t="s">
        <v>1361</v>
      </c>
      <c r="E187" s="17" t="s">
        <v>1362</v>
      </c>
      <c r="F187" s="18"/>
      <c r="G187" s="18"/>
      <c r="H187" s="15" t="s">
        <v>1363</v>
      </c>
      <c r="I187" s="18"/>
      <c r="J187" s="19" t="s">
        <v>59</v>
      </c>
      <c r="K187" s="19" t="s">
        <v>37</v>
      </c>
      <c r="L187" s="19" t="s">
        <v>38</v>
      </c>
      <c r="M187" s="20">
        <f t="shared" si="1"/>
        <v>0</v>
      </c>
      <c r="N187" s="22"/>
      <c r="O187" s="19" t="s">
        <v>1145</v>
      </c>
      <c r="P187" s="18"/>
      <c r="Q187" s="18"/>
      <c r="R187" s="23">
        <v>0.0</v>
      </c>
      <c r="S187" s="23">
        <v>0.0</v>
      </c>
      <c r="T187" s="23">
        <f t="shared" si="2"/>
        <v>0</v>
      </c>
      <c r="U187" s="23">
        <f t="shared" si="3"/>
        <v>0</v>
      </c>
      <c r="V187" s="23">
        <f t="shared" si="4"/>
        <v>0</v>
      </c>
      <c r="W187" s="24" t="str">
        <f t="shared" si="5"/>
        <v>#DIV/0!</v>
      </c>
    </row>
    <row r="188" hidden="1">
      <c r="A188" s="15" t="s">
        <v>4004</v>
      </c>
      <c r="B188" s="15" t="s">
        <v>4005</v>
      </c>
      <c r="C188" s="15" t="s">
        <v>6347</v>
      </c>
      <c r="D188" s="15" t="s">
        <v>4006</v>
      </c>
      <c r="E188" s="17" t="s">
        <v>4007</v>
      </c>
      <c r="F188" s="18"/>
      <c r="G188" s="18"/>
      <c r="H188" s="15" t="s">
        <v>4008</v>
      </c>
      <c r="I188" s="18"/>
      <c r="J188" s="19" t="s">
        <v>59</v>
      </c>
      <c r="K188" s="19" t="s">
        <v>37</v>
      </c>
      <c r="L188" s="19" t="s">
        <v>38</v>
      </c>
      <c r="M188" s="20">
        <f t="shared" si="1"/>
        <v>0</v>
      </c>
      <c r="N188" s="22"/>
      <c r="O188" s="19" t="s">
        <v>1145</v>
      </c>
      <c r="P188" s="18"/>
      <c r="Q188" s="18"/>
      <c r="R188" s="23">
        <v>0.0</v>
      </c>
      <c r="S188" s="23">
        <v>0.0</v>
      </c>
      <c r="T188" s="23">
        <f t="shared" si="2"/>
        <v>0</v>
      </c>
      <c r="U188" s="23">
        <f t="shared" si="3"/>
        <v>0</v>
      </c>
      <c r="V188" s="23">
        <f t="shared" si="4"/>
        <v>0</v>
      </c>
      <c r="W188" s="24" t="str">
        <f t="shared" si="5"/>
        <v>#DIV/0!</v>
      </c>
    </row>
    <row r="189" hidden="1">
      <c r="A189" s="15" t="s">
        <v>1364</v>
      </c>
      <c r="B189" s="18"/>
      <c r="C189" s="15" t="s">
        <v>6348</v>
      </c>
      <c r="D189" s="18"/>
      <c r="E189" s="17" t="s">
        <v>1365</v>
      </c>
      <c r="F189" s="18"/>
      <c r="G189" s="15" t="s">
        <v>1365</v>
      </c>
      <c r="H189" s="15" t="s">
        <v>1366</v>
      </c>
      <c r="I189" s="18"/>
      <c r="J189" s="19" t="s">
        <v>59</v>
      </c>
      <c r="K189" s="19" t="s">
        <v>402</v>
      </c>
      <c r="L189" s="19" t="s">
        <v>38</v>
      </c>
      <c r="M189" s="20">
        <f t="shared" si="1"/>
        <v>0</v>
      </c>
      <c r="N189" s="22"/>
      <c r="O189" s="19" t="s">
        <v>1145</v>
      </c>
      <c r="P189" s="18"/>
      <c r="Q189" s="18"/>
      <c r="R189" s="23">
        <v>0.0</v>
      </c>
      <c r="S189" s="23">
        <v>0.0</v>
      </c>
      <c r="T189" s="23">
        <f t="shared" si="2"/>
        <v>0</v>
      </c>
      <c r="U189" s="23">
        <f t="shared" si="3"/>
        <v>0</v>
      </c>
      <c r="V189" s="23">
        <f t="shared" si="4"/>
        <v>0</v>
      </c>
      <c r="W189" s="24" t="str">
        <f t="shared" si="5"/>
        <v>#DIV/0!</v>
      </c>
    </row>
    <row r="190" hidden="1">
      <c r="A190" s="15" t="s">
        <v>4009</v>
      </c>
      <c r="B190" s="15" t="s">
        <v>4010</v>
      </c>
      <c r="C190" s="15" t="s">
        <v>6349</v>
      </c>
      <c r="D190" s="15" t="s">
        <v>4011</v>
      </c>
      <c r="E190" s="17" t="s">
        <v>4012</v>
      </c>
      <c r="F190" s="18"/>
      <c r="G190" s="18"/>
      <c r="H190" s="15" t="s">
        <v>4013</v>
      </c>
      <c r="I190" s="18"/>
      <c r="J190" s="19" t="s">
        <v>59</v>
      </c>
      <c r="K190" s="19" t="s">
        <v>37</v>
      </c>
      <c r="L190" s="19" t="s">
        <v>38</v>
      </c>
      <c r="M190" s="20">
        <f t="shared" si="1"/>
        <v>0</v>
      </c>
      <c r="N190" s="22"/>
      <c r="O190" s="19" t="s">
        <v>3578</v>
      </c>
      <c r="P190" s="18"/>
      <c r="Q190" s="18"/>
      <c r="R190" s="23">
        <v>0.0</v>
      </c>
      <c r="S190" s="23">
        <v>0.0</v>
      </c>
      <c r="T190" s="23">
        <f t="shared" si="2"/>
        <v>0</v>
      </c>
      <c r="U190" s="23">
        <f t="shared" si="3"/>
        <v>0</v>
      </c>
      <c r="V190" s="23">
        <f t="shared" si="4"/>
        <v>0</v>
      </c>
      <c r="W190" s="24" t="str">
        <f t="shared" si="5"/>
        <v>#DIV/0!</v>
      </c>
    </row>
    <row r="191" hidden="1">
      <c r="A191" s="15" t="s">
        <v>4014</v>
      </c>
      <c r="B191" s="15" t="s">
        <v>4015</v>
      </c>
      <c r="C191" s="15" t="s">
        <v>6350</v>
      </c>
      <c r="D191" s="15" t="s">
        <v>4016</v>
      </c>
      <c r="E191" s="17" t="s">
        <v>4017</v>
      </c>
      <c r="F191" s="18"/>
      <c r="G191" s="18"/>
      <c r="H191" s="15" t="s">
        <v>4018</v>
      </c>
      <c r="I191" s="18"/>
      <c r="J191" s="19" t="s">
        <v>59</v>
      </c>
      <c r="K191" s="19" t="s">
        <v>37</v>
      </c>
      <c r="L191" s="19" t="s">
        <v>38</v>
      </c>
      <c r="M191" s="20">
        <f t="shared" si="1"/>
        <v>0</v>
      </c>
      <c r="N191" s="22"/>
      <c r="O191" s="19" t="s">
        <v>3578</v>
      </c>
      <c r="P191" s="18"/>
      <c r="Q191" s="18"/>
      <c r="R191" s="23">
        <v>0.0</v>
      </c>
      <c r="S191" s="23">
        <v>0.0</v>
      </c>
      <c r="T191" s="23">
        <f t="shared" si="2"/>
        <v>0</v>
      </c>
      <c r="U191" s="23">
        <f t="shared" si="3"/>
        <v>0</v>
      </c>
      <c r="V191" s="23">
        <f t="shared" si="4"/>
        <v>0</v>
      </c>
      <c r="W191" s="24" t="str">
        <f t="shared" si="5"/>
        <v>#DIV/0!</v>
      </c>
    </row>
    <row r="192" hidden="1">
      <c r="A192" s="15" t="s">
        <v>4019</v>
      </c>
      <c r="B192" s="15" t="s">
        <v>4020</v>
      </c>
      <c r="C192" s="15" t="s">
        <v>6351</v>
      </c>
      <c r="D192" s="15" t="s">
        <v>4021</v>
      </c>
      <c r="E192" s="17" t="s">
        <v>4022</v>
      </c>
      <c r="F192" s="18"/>
      <c r="G192" s="18"/>
      <c r="H192" s="15" t="s">
        <v>4023</v>
      </c>
      <c r="I192" s="18"/>
      <c r="J192" s="19" t="s">
        <v>59</v>
      </c>
      <c r="K192" s="19" t="s">
        <v>37</v>
      </c>
      <c r="L192" s="19" t="s">
        <v>38</v>
      </c>
      <c r="M192" s="20">
        <f t="shared" si="1"/>
        <v>0</v>
      </c>
      <c r="N192" s="22"/>
      <c r="O192" s="19" t="s">
        <v>3578</v>
      </c>
      <c r="P192" s="18"/>
      <c r="Q192" s="18"/>
      <c r="R192" s="23">
        <v>0.0</v>
      </c>
      <c r="S192" s="23">
        <v>0.0</v>
      </c>
      <c r="T192" s="23">
        <f t="shared" si="2"/>
        <v>0</v>
      </c>
      <c r="U192" s="23">
        <f t="shared" si="3"/>
        <v>0</v>
      </c>
      <c r="V192" s="23">
        <f t="shared" si="4"/>
        <v>0</v>
      </c>
      <c r="W192" s="24" t="str">
        <f t="shared" si="5"/>
        <v>#DIV/0!</v>
      </c>
    </row>
    <row r="193" hidden="1">
      <c r="A193" s="15" t="s">
        <v>4024</v>
      </c>
      <c r="B193" s="15" t="s">
        <v>4025</v>
      </c>
      <c r="C193" s="15" t="s">
        <v>6352</v>
      </c>
      <c r="D193" s="15" t="s">
        <v>4026</v>
      </c>
      <c r="E193" s="17" t="s">
        <v>4027</v>
      </c>
      <c r="F193" s="18"/>
      <c r="G193" s="18"/>
      <c r="H193" s="15" t="s">
        <v>4028</v>
      </c>
      <c r="I193" s="18"/>
      <c r="J193" s="19" t="s">
        <v>59</v>
      </c>
      <c r="K193" s="19" t="s">
        <v>37</v>
      </c>
      <c r="L193" s="19" t="s">
        <v>38</v>
      </c>
      <c r="M193" s="20">
        <f t="shared" si="1"/>
        <v>0</v>
      </c>
      <c r="N193" s="22"/>
      <c r="O193" s="19" t="s">
        <v>3578</v>
      </c>
      <c r="P193" s="18"/>
      <c r="Q193" s="18"/>
      <c r="R193" s="23">
        <v>0.0</v>
      </c>
      <c r="S193" s="23">
        <v>0.0</v>
      </c>
      <c r="T193" s="23">
        <f t="shared" si="2"/>
        <v>0</v>
      </c>
      <c r="U193" s="23">
        <f t="shared" si="3"/>
        <v>0</v>
      </c>
      <c r="V193" s="23">
        <f t="shared" si="4"/>
        <v>0</v>
      </c>
      <c r="W193" s="24" t="str">
        <f t="shared" si="5"/>
        <v>#DIV/0!</v>
      </c>
    </row>
    <row r="194" hidden="1">
      <c r="A194" s="15" t="s">
        <v>4029</v>
      </c>
      <c r="B194" s="15" t="s">
        <v>4030</v>
      </c>
      <c r="C194" s="15" t="s">
        <v>6353</v>
      </c>
      <c r="D194" s="15" t="s">
        <v>4031</v>
      </c>
      <c r="E194" s="17" t="s">
        <v>4032</v>
      </c>
      <c r="F194" s="18"/>
      <c r="G194" s="18"/>
      <c r="H194" s="15" t="s">
        <v>4033</v>
      </c>
      <c r="I194" s="18"/>
      <c r="J194" s="19" t="s">
        <v>59</v>
      </c>
      <c r="K194" s="19" t="s">
        <v>603</v>
      </c>
      <c r="L194" s="19" t="s">
        <v>38</v>
      </c>
      <c r="M194" s="20">
        <f t="shared" si="1"/>
        <v>0</v>
      </c>
      <c r="N194" s="22"/>
      <c r="O194" s="19" t="s">
        <v>3578</v>
      </c>
      <c r="P194" s="18"/>
      <c r="Q194" s="18"/>
      <c r="R194" s="23">
        <v>0.0</v>
      </c>
      <c r="S194" s="23">
        <v>0.0</v>
      </c>
      <c r="T194" s="23">
        <f t="shared" si="2"/>
        <v>0</v>
      </c>
      <c r="U194" s="23">
        <f t="shared" si="3"/>
        <v>0</v>
      </c>
      <c r="V194" s="23">
        <f t="shared" si="4"/>
        <v>0</v>
      </c>
      <c r="W194" s="24" t="str">
        <f t="shared" si="5"/>
        <v>#DIV/0!</v>
      </c>
    </row>
    <row r="195" hidden="1">
      <c r="A195" s="15" t="s">
        <v>4034</v>
      </c>
      <c r="B195" s="15" t="s">
        <v>4035</v>
      </c>
      <c r="C195" s="15" t="s">
        <v>6354</v>
      </c>
      <c r="D195" s="15" t="s">
        <v>4036</v>
      </c>
      <c r="E195" s="17" t="s">
        <v>4037</v>
      </c>
      <c r="F195" s="18"/>
      <c r="G195" s="18"/>
      <c r="H195" s="15" t="s">
        <v>4038</v>
      </c>
      <c r="I195" s="18"/>
      <c r="J195" s="19" t="s">
        <v>59</v>
      </c>
      <c r="K195" s="19" t="s">
        <v>1230</v>
      </c>
      <c r="L195" s="19" t="s">
        <v>38</v>
      </c>
      <c r="M195" s="20">
        <f t="shared" si="1"/>
        <v>0</v>
      </c>
      <c r="N195" s="22"/>
      <c r="O195" s="19" t="s">
        <v>3578</v>
      </c>
      <c r="P195" s="18"/>
      <c r="Q195" s="18"/>
      <c r="R195" s="23">
        <v>0.0</v>
      </c>
      <c r="S195" s="23">
        <v>0.0</v>
      </c>
      <c r="T195" s="23">
        <f t="shared" si="2"/>
        <v>0</v>
      </c>
      <c r="U195" s="23">
        <f t="shared" si="3"/>
        <v>0</v>
      </c>
      <c r="V195" s="23">
        <f t="shared" si="4"/>
        <v>0</v>
      </c>
      <c r="W195" s="24" t="str">
        <f t="shared" si="5"/>
        <v>#DIV/0!</v>
      </c>
    </row>
    <row r="196" hidden="1">
      <c r="A196" s="15" t="s">
        <v>4039</v>
      </c>
      <c r="B196" s="15" t="s">
        <v>4040</v>
      </c>
      <c r="C196" s="15" t="s">
        <v>6355</v>
      </c>
      <c r="D196" s="15" t="s">
        <v>4041</v>
      </c>
      <c r="E196" s="17" t="s">
        <v>4042</v>
      </c>
      <c r="F196" s="18"/>
      <c r="G196" s="18"/>
      <c r="H196" s="15" t="s">
        <v>4043</v>
      </c>
      <c r="I196" s="18"/>
      <c r="J196" s="19" t="s">
        <v>59</v>
      </c>
      <c r="K196" s="19" t="s">
        <v>284</v>
      </c>
      <c r="L196" s="19" t="s">
        <v>38</v>
      </c>
      <c r="M196" s="20">
        <f t="shared" si="1"/>
        <v>0</v>
      </c>
      <c r="N196" s="22"/>
      <c r="O196" s="19" t="s">
        <v>3578</v>
      </c>
      <c r="P196" s="18"/>
      <c r="Q196" s="18"/>
      <c r="R196" s="23">
        <v>0.0</v>
      </c>
      <c r="S196" s="23">
        <v>0.0</v>
      </c>
      <c r="T196" s="23">
        <f t="shared" si="2"/>
        <v>0</v>
      </c>
      <c r="U196" s="23">
        <f t="shared" si="3"/>
        <v>0</v>
      </c>
      <c r="V196" s="23">
        <f t="shared" si="4"/>
        <v>0</v>
      </c>
      <c r="W196" s="24" t="str">
        <f t="shared" si="5"/>
        <v>#DIV/0!</v>
      </c>
    </row>
    <row r="197" hidden="1">
      <c r="A197" s="15" t="s">
        <v>4044</v>
      </c>
      <c r="B197" s="15" t="s">
        <v>4045</v>
      </c>
      <c r="C197" s="15" t="s">
        <v>6356</v>
      </c>
      <c r="D197" s="15" t="s">
        <v>4046</v>
      </c>
      <c r="E197" s="17" t="s">
        <v>4047</v>
      </c>
      <c r="F197" s="18"/>
      <c r="G197" s="18"/>
      <c r="H197" s="15" t="s">
        <v>4048</v>
      </c>
      <c r="I197" s="18"/>
      <c r="J197" s="19" t="s">
        <v>59</v>
      </c>
      <c r="K197" s="19" t="s">
        <v>105</v>
      </c>
      <c r="L197" s="19" t="s">
        <v>38</v>
      </c>
      <c r="M197" s="20">
        <f t="shared" si="1"/>
        <v>0</v>
      </c>
      <c r="N197" s="22"/>
      <c r="O197" s="19" t="s">
        <v>3578</v>
      </c>
      <c r="P197" s="18"/>
      <c r="Q197" s="18"/>
      <c r="R197" s="23">
        <v>0.0</v>
      </c>
      <c r="S197" s="23">
        <v>0.0</v>
      </c>
      <c r="T197" s="23">
        <f t="shared" si="2"/>
        <v>0</v>
      </c>
      <c r="U197" s="23">
        <f t="shared" si="3"/>
        <v>0</v>
      </c>
      <c r="V197" s="23">
        <f t="shared" si="4"/>
        <v>0</v>
      </c>
      <c r="W197" s="24" t="str">
        <f t="shared" si="5"/>
        <v>#DIV/0!</v>
      </c>
    </row>
    <row r="198" hidden="1">
      <c r="A198" s="15" t="s">
        <v>4049</v>
      </c>
      <c r="B198" s="15" t="s">
        <v>4050</v>
      </c>
      <c r="C198" s="15" t="s">
        <v>6357</v>
      </c>
      <c r="D198" s="18"/>
      <c r="E198" s="17" t="s">
        <v>4051</v>
      </c>
      <c r="F198" s="18"/>
      <c r="G198" s="18"/>
      <c r="H198" s="15" t="s">
        <v>4052</v>
      </c>
      <c r="I198" s="18"/>
      <c r="J198" s="19" t="s">
        <v>59</v>
      </c>
      <c r="K198" s="19" t="s">
        <v>105</v>
      </c>
      <c r="L198" s="19" t="s">
        <v>38</v>
      </c>
      <c r="M198" s="20">
        <f t="shared" si="1"/>
        <v>0</v>
      </c>
      <c r="N198" s="22"/>
      <c r="O198" s="19" t="s">
        <v>3578</v>
      </c>
      <c r="P198" s="18"/>
      <c r="Q198" s="18"/>
      <c r="R198" s="23">
        <v>0.0</v>
      </c>
      <c r="S198" s="23">
        <v>0.0</v>
      </c>
      <c r="T198" s="23">
        <f t="shared" si="2"/>
        <v>0</v>
      </c>
      <c r="U198" s="23">
        <f t="shared" si="3"/>
        <v>0</v>
      </c>
      <c r="V198" s="23">
        <f t="shared" si="4"/>
        <v>0</v>
      </c>
      <c r="W198" s="24" t="str">
        <f t="shared" si="5"/>
        <v>#DIV/0!</v>
      </c>
    </row>
    <row r="199" hidden="1">
      <c r="A199" s="15" t="s">
        <v>4053</v>
      </c>
      <c r="B199" s="15" t="s">
        <v>4054</v>
      </c>
      <c r="C199" s="15" t="s">
        <v>6358</v>
      </c>
      <c r="D199" s="18"/>
      <c r="E199" s="17" t="s">
        <v>4055</v>
      </c>
      <c r="F199" s="18"/>
      <c r="G199" s="18"/>
      <c r="H199" s="15" t="s">
        <v>4056</v>
      </c>
      <c r="I199" s="18"/>
      <c r="J199" s="19" t="s">
        <v>59</v>
      </c>
      <c r="K199" s="19" t="s">
        <v>1230</v>
      </c>
      <c r="L199" s="19" t="s">
        <v>38</v>
      </c>
      <c r="M199" s="20">
        <f t="shared" si="1"/>
        <v>0</v>
      </c>
      <c r="N199" s="22"/>
      <c r="O199" s="19" t="s">
        <v>3578</v>
      </c>
      <c r="P199" s="18"/>
      <c r="Q199" s="18"/>
      <c r="R199" s="23">
        <v>0.0</v>
      </c>
      <c r="S199" s="23">
        <v>0.0</v>
      </c>
      <c r="T199" s="23">
        <f t="shared" si="2"/>
        <v>0</v>
      </c>
      <c r="U199" s="23">
        <f t="shared" si="3"/>
        <v>0</v>
      </c>
      <c r="V199" s="23">
        <f t="shared" si="4"/>
        <v>0</v>
      </c>
      <c r="W199" s="24" t="str">
        <f t="shared" si="5"/>
        <v>#DIV/0!</v>
      </c>
    </row>
    <row r="200" hidden="1">
      <c r="A200" s="15" t="s">
        <v>4057</v>
      </c>
      <c r="B200" s="15" t="s">
        <v>4058</v>
      </c>
      <c r="C200" s="15" t="s">
        <v>6359</v>
      </c>
      <c r="D200" s="18"/>
      <c r="E200" s="17" t="s">
        <v>4060</v>
      </c>
      <c r="F200" s="18"/>
      <c r="G200" s="18"/>
      <c r="H200" s="15" t="s">
        <v>4061</v>
      </c>
      <c r="I200" s="18"/>
      <c r="J200" s="19" t="s">
        <v>59</v>
      </c>
      <c r="K200" s="19" t="s">
        <v>1230</v>
      </c>
      <c r="L200" s="19" t="s">
        <v>38</v>
      </c>
      <c r="M200" s="20">
        <f t="shared" si="1"/>
        <v>0</v>
      </c>
      <c r="N200" s="22"/>
      <c r="O200" s="19" t="s">
        <v>3578</v>
      </c>
      <c r="P200" s="18"/>
      <c r="Q200" s="18"/>
      <c r="R200" s="23">
        <v>0.0</v>
      </c>
      <c r="S200" s="23">
        <v>0.0</v>
      </c>
      <c r="T200" s="23">
        <f t="shared" si="2"/>
        <v>0</v>
      </c>
      <c r="U200" s="23">
        <f t="shared" si="3"/>
        <v>0</v>
      </c>
      <c r="V200" s="23">
        <f t="shared" si="4"/>
        <v>0</v>
      </c>
      <c r="W200" s="24" t="str">
        <f t="shared" si="5"/>
        <v>#DIV/0!</v>
      </c>
    </row>
    <row r="201" hidden="1">
      <c r="A201" s="15" t="s">
        <v>4062</v>
      </c>
      <c r="B201" s="15" t="s">
        <v>4063</v>
      </c>
      <c r="C201" s="15" t="s">
        <v>6360</v>
      </c>
      <c r="D201" s="18"/>
      <c r="E201" s="17" t="s">
        <v>4064</v>
      </c>
      <c r="F201" s="18"/>
      <c r="G201" s="18"/>
      <c r="H201" s="15" t="s">
        <v>4065</v>
      </c>
      <c r="I201" s="18"/>
      <c r="J201" s="19" t="s">
        <v>59</v>
      </c>
      <c r="K201" s="19" t="s">
        <v>1230</v>
      </c>
      <c r="L201" s="19" t="s">
        <v>38</v>
      </c>
      <c r="M201" s="20">
        <f t="shared" si="1"/>
        <v>0</v>
      </c>
      <c r="N201" s="22"/>
      <c r="O201" s="19" t="s">
        <v>3578</v>
      </c>
      <c r="P201" s="18"/>
      <c r="Q201" s="18"/>
      <c r="R201" s="23">
        <v>0.0</v>
      </c>
      <c r="S201" s="23">
        <v>0.0</v>
      </c>
      <c r="T201" s="23">
        <f t="shared" si="2"/>
        <v>0</v>
      </c>
      <c r="U201" s="23">
        <f t="shared" si="3"/>
        <v>0</v>
      </c>
      <c r="V201" s="23">
        <f t="shared" si="4"/>
        <v>0</v>
      </c>
      <c r="W201" s="24" t="str">
        <f t="shared" si="5"/>
        <v>#DIV/0!</v>
      </c>
    </row>
    <row r="202" hidden="1">
      <c r="A202" s="15" t="s">
        <v>4066</v>
      </c>
      <c r="B202" s="15" t="s">
        <v>4067</v>
      </c>
      <c r="C202" s="15" t="s">
        <v>6361</v>
      </c>
      <c r="D202" s="15" t="s">
        <v>6362</v>
      </c>
      <c r="E202" s="17" t="s">
        <v>4069</v>
      </c>
      <c r="F202" s="18"/>
      <c r="G202" s="18"/>
      <c r="H202" s="15" t="s">
        <v>4070</v>
      </c>
      <c r="I202" s="18"/>
      <c r="J202" s="19" t="s">
        <v>59</v>
      </c>
      <c r="K202" s="19" t="s">
        <v>284</v>
      </c>
      <c r="L202" s="19" t="s">
        <v>38</v>
      </c>
      <c r="M202" s="20">
        <f t="shared" si="1"/>
        <v>0</v>
      </c>
      <c r="N202" s="22"/>
      <c r="O202" s="19" t="s">
        <v>3578</v>
      </c>
      <c r="P202" s="18"/>
      <c r="Q202" s="18"/>
      <c r="R202" s="23">
        <v>0.0</v>
      </c>
      <c r="S202" s="23">
        <v>0.0</v>
      </c>
      <c r="T202" s="23">
        <f t="shared" si="2"/>
        <v>0</v>
      </c>
      <c r="U202" s="23">
        <f t="shared" si="3"/>
        <v>0</v>
      </c>
      <c r="V202" s="23">
        <f t="shared" si="4"/>
        <v>0</v>
      </c>
      <c r="W202" s="24" t="str">
        <f t="shared" si="5"/>
        <v>#DIV/0!</v>
      </c>
    </row>
    <row r="203" hidden="1">
      <c r="A203" s="15" t="s">
        <v>4071</v>
      </c>
      <c r="B203" s="15" t="s">
        <v>4072</v>
      </c>
      <c r="C203" s="15" t="s">
        <v>6363</v>
      </c>
      <c r="D203" s="15" t="s">
        <v>6364</v>
      </c>
      <c r="E203" s="17" t="s">
        <v>4074</v>
      </c>
      <c r="F203" s="18"/>
      <c r="G203" s="18"/>
      <c r="H203" s="15" t="s">
        <v>4075</v>
      </c>
      <c r="I203" s="18"/>
      <c r="J203" s="19" t="s">
        <v>59</v>
      </c>
      <c r="K203" s="19" t="s">
        <v>284</v>
      </c>
      <c r="L203" s="19" t="s">
        <v>38</v>
      </c>
      <c r="M203" s="20">
        <f t="shared" si="1"/>
        <v>0</v>
      </c>
      <c r="N203" s="22"/>
      <c r="O203" s="19" t="s">
        <v>3578</v>
      </c>
      <c r="P203" s="18"/>
      <c r="Q203" s="18"/>
      <c r="R203" s="23">
        <v>0.0</v>
      </c>
      <c r="S203" s="23">
        <v>0.0</v>
      </c>
      <c r="T203" s="23">
        <f t="shared" si="2"/>
        <v>0</v>
      </c>
      <c r="U203" s="23">
        <f t="shared" si="3"/>
        <v>0</v>
      </c>
      <c r="V203" s="23">
        <f t="shared" si="4"/>
        <v>0</v>
      </c>
      <c r="W203" s="24" t="str">
        <f t="shared" si="5"/>
        <v>#DIV/0!</v>
      </c>
    </row>
    <row r="204" hidden="1">
      <c r="A204" s="15" t="s">
        <v>6365</v>
      </c>
      <c r="B204" s="18"/>
      <c r="C204" s="15" t="s">
        <v>6366</v>
      </c>
      <c r="D204" s="18"/>
      <c r="E204" s="17" t="s">
        <v>6367</v>
      </c>
      <c r="F204" s="18"/>
      <c r="G204" s="18"/>
      <c r="H204" s="15" t="s">
        <v>585</v>
      </c>
      <c r="I204" s="18"/>
      <c r="J204" s="19" t="s">
        <v>59</v>
      </c>
      <c r="K204" s="19" t="s">
        <v>284</v>
      </c>
      <c r="L204" s="19" t="s">
        <v>38</v>
      </c>
      <c r="M204" s="20">
        <f t="shared" si="1"/>
        <v>0</v>
      </c>
      <c r="N204" s="22"/>
      <c r="O204" s="19" t="s">
        <v>39</v>
      </c>
      <c r="P204" s="18"/>
      <c r="Q204" s="18"/>
      <c r="R204" s="23">
        <v>0.0</v>
      </c>
      <c r="S204" s="23">
        <v>0.0</v>
      </c>
      <c r="T204" s="23">
        <f t="shared" si="2"/>
        <v>0</v>
      </c>
      <c r="U204" s="23">
        <f t="shared" si="3"/>
        <v>0</v>
      </c>
      <c r="V204" s="23">
        <f t="shared" si="4"/>
        <v>0</v>
      </c>
      <c r="W204" s="24" t="str">
        <f t="shared" si="5"/>
        <v>#DIV/0!</v>
      </c>
    </row>
    <row r="205" hidden="1">
      <c r="A205" s="15" t="s">
        <v>4076</v>
      </c>
      <c r="B205" s="15" t="s">
        <v>4077</v>
      </c>
      <c r="C205" s="15" t="s">
        <v>6368</v>
      </c>
      <c r="D205" s="15" t="s">
        <v>4078</v>
      </c>
      <c r="E205" s="17" t="s">
        <v>4079</v>
      </c>
      <c r="F205" s="18"/>
      <c r="G205" s="18"/>
      <c r="H205" s="15" t="s">
        <v>4080</v>
      </c>
      <c r="I205" s="18"/>
      <c r="J205" s="19" t="s">
        <v>59</v>
      </c>
      <c r="K205" s="19" t="s">
        <v>402</v>
      </c>
      <c r="L205" s="19" t="s">
        <v>38</v>
      </c>
      <c r="M205" s="20">
        <f t="shared" si="1"/>
        <v>0</v>
      </c>
      <c r="N205" s="22"/>
      <c r="O205" s="19" t="s">
        <v>3578</v>
      </c>
      <c r="P205" s="18"/>
      <c r="Q205" s="18"/>
      <c r="R205" s="23">
        <v>0.0</v>
      </c>
      <c r="S205" s="23">
        <v>0.0</v>
      </c>
      <c r="T205" s="23">
        <f t="shared" si="2"/>
        <v>0</v>
      </c>
      <c r="U205" s="23">
        <f t="shared" si="3"/>
        <v>0</v>
      </c>
      <c r="V205" s="23">
        <f t="shared" si="4"/>
        <v>0</v>
      </c>
      <c r="W205" s="24" t="str">
        <f t="shared" si="5"/>
        <v>#DIV/0!</v>
      </c>
    </row>
    <row r="206" hidden="1">
      <c r="A206" s="15" t="s">
        <v>4081</v>
      </c>
      <c r="B206" s="15" t="s">
        <v>4082</v>
      </c>
      <c r="C206" s="15" t="s">
        <v>6369</v>
      </c>
      <c r="D206" s="18"/>
      <c r="E206" s="17" t="s">
        <v>4083</v>
      </c>
      <c r="F206" s="18"/>
      <c r="G206" s="18"/>
      <c r="H206" s="15" t="s">
        <v>4084</v>
      </c>
      <c r="I206" s="18"/>
      <c r="J206" s="19" t="s">
        <v>59</v>
      </c>
      <c r="K206" s="19" t="s">
        <v>37</v>
      </c>
      <c r="L206" s="19" t="s">
        <v>38</v>
      </c>
      <c r="M206" s="20">
        <f t="shared" si="1"/>
        <v>0</v>
      </c>
      <c r="N206" s="22"/>
      <c r="O206" s="19" t="s">
        <v>3578</v>
      </c>
      <c r="P206" s="18"/>
      <c r="Q206" s="18"/>
      <c r="R206" s="23">
        <v>0.0</v>
      </c>
      <c r="S206" s="23">
        <v>0.0</v>
      </c>
      <c r="T206" s="23">
        <f t="shared" si="2"/>
        <v>0</v>
      </c>
      <c r="U206" s="23">
        <f t="shared" si="3"/>
        <v>0</v>
      </c>
      <c r="V206" s="23">
        <f t="shared" si="4"/>
        <v>0</v>
      </c>
      <c r="W206" s="24" t="str">
        <f t="shared" si="5"/>
        <v>#DIV/0!</v>
      </c>
    </row>
    <row r="207" hidden="1">
      <c r="A207" s="15" t="s">
        <v>1367</v>
      </c>
      <c r="B207" s="18"/>
      <c r="C207" s="15" t="s">
        <v>6370</v>
      </c>
      <c r="D207" s="18"/>
      <c r="E207" s="17" t="s">
        <v>1368</v>
      </c>
      <c r="F207" s="18"/>
      <c r="G207" s="18"/>
      <c r="H207" s="15" t="s">
        <v>4084</v>
      </c>
      <c r="I207" s="18"/>
      <c r="J207" s="19" t="s">
        <v>59</v>
      </c>
      <c r="K207" s="19" t="s">
        <v>37</v>
      </c>
      <c r="L207" s="19" t="s">
        <v>38</v>
      </c>
      <c r="M207" s="20">
        <f t="shared" si="1"/>
        <v>0</v>
      </c>
      <c r="N207" s="22"/>
      <c r="O207" s="19" t="s">
        <v>1145</v>
      </c>
      <c r="P207" s="18"/>
      <c r="Q207" s="18"/>
      <c r="R207" s="23">
        <v>0.0</v>
      </c>
      <c r="S207" s="23">
        <v>0.0</v>
      </c>
      <c r="T207" s="23">
        <f t="shared" si="2"/>
        <v>0</v>
      </c>
      <c r="U207" s="23">
        <f t="shared" si="3"/>
        <v>0</v>
      </c>
      <c r="V207" s="23">
        <f t="shared" si="4"/>
        <v>0</v>
      </c>
      <c r="W207" s="24" t="str">
        <f t="shared" si="5"/>
        <v>#DIV/0!</v>
      </c>
    </row>
    <row r="208" hidden="1">
      <c r="A208" s="15" t="s">
        <v>1369</v>
      </c>
      <c r="B208" s="18"/>
      <c r="C208" s="15" t="s">
        <v>6371</v>
      </c>
      <c r="D208" s="18"/>
      <c r="E208" s="17" t="s">
        <v>1370</v>
      </c>
      <c r="F208" s="18"/>
      <c r="G208" s="18"/>
      <c r="H208" s="15" t="s">
        <v>1371</v>
      </c>
      <c r="I208" s="18"/>
      <c r="J208" s="19" t="s">
        <v>59</v>
      </c>
      <c r="K208" s="19" t="s">
        <v>37</v>
      </c>
      <c r="L208" s="19" t="s">
        <v>38</v>
      </c>
      <c r="M208" s="20">
        <f t="shared" si="1"/>
        <v>0</v>
      </c>
      <c r="N208" s="22"/>
      <c r="O208" s="19" t="s">
        <v>1145</v>
      </c>
      <c r="P208" s="18"/>
      <c r="Q208" s="18"/>
      <c r="R208" s="23">
        <v>0.0</v>
      </c>
      <c r="S208" s="23">
        <v>0.0</v>
      </c>
      <c r="T208" s="23">
        <f t="shared" si="2"/>
        <v>0</v>
      </c>
      <c r="U208" s="23">
        <f t="shared" si="3"/>
        <v>0</v>
      </c>
      <c r="V208" s="23">
        <f t="shared" si="4"/>
        <v>0</v>
      </c>
      <c r="W208" s="24" t="str">
        <f t="shared" si="5"/>
        <v>#DIV/0!</v>
      </c>
    </row>
    <row r="209" hidden="1">
      <c r="A209" s="15" t="s">
        <v>1372</v>
      </c>
      <c r="B209" s="18"/>
      <c r="C209" s="15" t="s">
        <v>6372</v>
      </c>
      <c r="D209" s="18"/>
      <c r="E209" s="17" t="s">
        <v>1373</v>
      </c>
      <c r="F209" s="18"/>
      <c r="G209" s="18"/>
      <c r="H209" s="15" t="s">
        <v>1374</v>
      </c>
      <c r="I209" s="18"/>
      <c r="J209" s="19" t="s">
        <v>59</v>
      </c>
      <c r="K209" s="19" t="s">
        <v>1230</v>
      </c>
      <c r="L209" s="19" t="s">
        <v>38</v>
      </c>
      <c r="M209" s="20">
        <f t="shared" si="1"/>
        <v>0</v>
      </c>
      <c r="N209" s="22"/>
      <c r="O209" s="19" t="s">
        <v>1145</v>
      </c>
      <c r="P209" s="18"/>
      <c r="Q209" s="18"/>
      <c r="R209" s="23">
        <v>0.0</v>
      </c>
      <c r="S209" s="23">
        <v>0.0</v>
      </c>
      <c r="T209" s="23">
        <f t="shared" si="2"/>
        <v>0</v>
      </c>
      <c r="U209" s="23">
        <f t="shared" si="3"/>
        <v>0</v>
      </c>
      <c r="V209" s="23">
        <f t="shared" si="4"/>
        <v>0</v>
      </c>
      <c r="W209" s="24" t="str">
        <f t="shared" si="5"/>
        <v>#DIV/0!</v>
      </c>
    </row>
    <row r="210" hidden="1">
      <c r="A210" s="15" t="s">
        <v>4085</v>
      </c>
      <c r="B210" s="15" t="s">
        <v>4086</v>
      </c>
      <c r="C210" s="15" t="s">
        <v>6373</v>
      </c>
      <c r="D210" s="15" t="s">
        <v>4087</v>
      </c>
      <c r="E210" s="17" t="s">
        <v>4088</v>
      </c>
      <c r="F210" s="18"/>
      <c r="G210" s="18"/>
      <c r="H210" s="15" t="s">
        <v>4089</v>
      </c>
      <c r="I210" s="18"/>
      <c r="J210" s="19" t="s">
        <v>59</v>
      </c>
      <c r="K210" s="19" t="s">
        <v>37</v>
      </c>
      <c r="L210" s="19" t="s">
        <v>38</v>
      </c>
      <c r="M210" s="20">
        <f t="shared" si="1"/>
        <v>0</v>
      </c>
      <c r="N210" s="22"/>
      <c r="O210" s="19" t="s">
        <v>3578</v>
      </c>
      <c r="P210" s="18"/>
      <c r="Q210" s="18"/>
      <c r="R210" s="23">
        <v>0.0</v>
      </c>
      <c r="S210" s="23">
        <v>0.0</v>
      </c>
      <c r="T210" s="23">
        <f t="shared" si="2"/>
        <v>0</v>
      </c>
      <c r="U210" s="23">
        <f t="shared" si="3"/>
        <v>0</v>
      </c>
      <c r="V210" s="23">
        <f t="shared" si="4"/>
        <v>0</v>
      </c>
      <c r="W210" s="24" t="str">
        <f t="shared" si="5"/>
        <v>#DIV/0!</v>
      </c>
    </row>
    <row r="211" hidden="1">
      <c r="A211" s="15" t="s">
        <v>4090</v>
      </c>
      <c r="B211" s="15" t="s">
        <v>4091</v>
      </c>
      <c r="C211" s="15" t="s">
        <v>6374</v>
      </c>
      <c r="D211" s="18"/>
      <c r="E211" s="17" t="s">
        <v>6375</v>
      </c>
      <c r="F211" s="18"/>
      <c r="G211" s="18"/>
      <c r="H211" s="15" t="s">
        <v>4094</v>
      </c>
      <c r="I211" s="18"/>
      <c r="J211" s="19" t="s">
        <v>59</v>
      </c>
      <c r="K211" s="19" t="s">
        <v>37</v>
      </c>
      <c r="L211" s="19" t="s">
        <v>38</v>
      </c>
      <c r="M211" s="20">
        <f t="shared" si="1"/>
        <v>0</v>
      </c>
      <c r="N211" s="22"/>
      <c r="O211" s="19" t="s">
        <v>3578</v>
      </c>
      <c r="P211" s="18"/>
      <c r="Q211" s="18"/>
      <c r="R211" s="23">
        <v>0.0</v>
      </c>
      <c r="S211" s="23">
        <v>0.0</v>
      </c>
      <c r="T211" s="23">
        <f t="shared" si="2"/>
        <v>0</v>
      </c>
      <c r="U211" s="23">
        <f t="shared" si="3"/>
        <v>0</v>
      </c>
      <c r="V211" s="23">
        <f t="shared" si="4"/>
        <v>0</v>
      </c>
      <c r="W211" s="24" t="str">
        <f t="shared" si="5"/>
        <v>#DIV/0!</v>
      </c>
    </row>
    <row r="212" hidden="1">
      <c r="A212" s="15" t="s">
        <v>4095</v>
      </c>
      <c r="B212" s="18"/>
      <c r="C212" s="15" t="s">
        <v>6376</v>
      </c>
      <c r="D212" s="18"/>
      <c r="E212" s="17" t="s">
        <v>6377</v>
      </c>
      <c r="F212" s="18"/>
      <c r="G212" s="18"/>
      <c r="H212" s="15" t="s">
        <v>4098</v>
      </c>
      <c r="I212" s="18"/>
      <c r="J212" s="19" t="s">
        <v>59</v>
      </c>
      <c r="K212" s="19" t="s">
        <v>37</v>
      </c>
      <c r="L212" s="19" t="s">
        <v>38</v>
      </c>
      <c r="M212" s="20">
        <f t="shared" si="1"/>
        <v>0</v>
      </c>
      <c r="N212" s="22"/>
      <c r="O212" s="19" t="s">
        <v>1145</v>
      </c>
      <c r="P212" s="18"/>
      <c r="Q212" s="18"/>
      <c r="R212" s="23">
        <v>0.0</v>
      </c>
      <c r="S212" s="23">
        <v>0.0</v>
      </c>
      <c r="T212" s="23">
        <f t="shared" si="2"/>
        <v>0</v>
      </c>
      <c r="U212" s="23">
        <f t="shared" si="3"/>
        <v>0</v>
      </c>
      <c r="V212" s="23">
        <f t="shared" si="4"/>
        <v>0</v>
      </c>
      <c r="W212" s="24" t="str">
        <f t="shared" si="5"/>
        <v>#DIV/0!</v>
      </c>
    </row>
    <row r="213">
      <c r="A213" s="15" t="s">
        <v>896</v>
      </c>
      <c r="B213" s="18"/>
      <c r="C213" s="15" t="s">
        <v>6083</v>
      </c>
      <c r="D213" s="15" t="s">
        <v>6084</v>
      </c>
      <c r="E213" s="17" t="s">
        <v>6378</v>
      </c>
      <c r="F213" s="18"/>
      <c r="G213" s="18"/>
      <c r="H213" s="15" t="s">
        <v>899</v>
      </c>
      <c r="I213" s="18"/>
      <c r="J213" s="19" t="s">
        <v>59</v>
      </c>
      <c r="K213" s="19" t="s">
        <v>60</v>
      </c>
      <c r="L213" s="19" t="s">
        <v>38</v>
      </c>
      <c r="M213" s="20">
        <f t="shared" si="1"/>
        <v>1420.8</v>
      </c>
      <c r="N213" s="31">
        <v>6.0</v>
      </c>
      <c r="O213" s="19" t="s">
        <v>107</v>
      </c>
      <c r="P213" s="18"/>
      <c r="Q213" s="18"/>
      <c r="R213" s="23">
        <v>10.0</v>
      </c>
      <c r="S213" s="23">
        <v>80.0</v>
      </c>
      <c r="T213" s="23">
        <f t="shared" si="2"/>
        <v>76.8</v>
      </c>
      <c r="U213" s="23">
        <f t="shared" si="3"/>
        <v>12.25</v>
      </c>
      <c r="V213" s="23">
        <f t="shared" si="4"/>
        <v>229.6875</v>
      </c>
      <c r="W213" s="24">
        <f t="shared" si="5"/>
        <v>7.68</v>
      </c>
    </row>
    <row r="214" hidden="1">
      <c r="A214" s="15" t="s">
        <v>4099</v>
      </c>
      <c r="B214" s="15" t="s">
        <v>4100</v>
      </c>
      <c r="C214" s="15" t="s">
        <v>6379</v>
      </c>
      <c r="D214" s="15" t="s">
        <v>4101</v>
      </c>
      <c r="E214" s="17" t="s">
        <v>4102</v>
      </c>
      <c r="F214" s="18"/>
      <c r="G214" s="18"/>
      <c r="H214" s="15" t="s">
        <v>4103</v>
      </c>
      <c r="I214" s="18"/>
      <c r="J214" s="19" t="s">
        <v>59</v>
      </c>
      <c r="K214" s="19" t="s">
        <v>1230</v>
      </c>
      <c r="L214" s="19" t="s">
        <v>38</v>
      </c>
      <c r="M214" s="20">
        <f t="shared" si="1"/>
        <v>0</v>
      </c>
      <c r="N214" s="22"/>
      <c r="O214" s="19" t="s">
        <v>3578</v>
      </c>
      <c r="P214" s="18"/>
      <c r="Q214" s="18"/>
      <c r="R214" s="23">
        <v>0.0</v>
      </c>
      <c r="S214" s="23">
        <v>0.0</v>
      </c>
      <c r="T214" s="23">
        <f t="shared" si="2"/>
        <v>0</v>
      </c>
      <c r="U214" s="23">
        <f t="shared" si="3"/>
        <v>0</v>
      </c>
      <c r="V214" s="23">
        <f t="shared" si="4"/>
        <v>0</v>
      </c>
      <c r="W214" s="24" t="str">
        <f t="shared" si="5"/>
        <v>#DIV/0!</v>
      </c>
    </row>
    <row r="215" hidden="1">
      <c r="A215" s="15" t="s">
        <v>4104</v>
      </c>
      <c r="B215" s="18"/>
      <c r="C215" s="15" t="s">
        <v>6380</v>
      </c>
      <c r="D215" s="18"/>
      <c r="E215" s="17" t="s">
        <v>6381</v>
      </c>
      <c r="F215" s="18"/>
      <c r="G215" s="18"/>
      <c r="H215" s="15" t="s">
        <v>4107</v>
      </c>
      <c r="I215" s="18"/>
      <c r="J215" s="19" t="s">
        <v>59</v>
      </c>
      <c r="K215" s="19" t="s">
        <v>37</v>
      </c>
      <c r="L215" s="19" t="s">
        <v>38</v>
      </c>
      <c r="M215" s="20">
        <f t="shared" si="1"/>
        <v>0</v>
      </c>
      <c r="N215" s="22"/>
      <c r="O215" s="19" t="s">
        <v>1145</v>
      </c>
      <c r="P215" s="18"/>
      <c r="Q215" s="18"/>
      <c r="R215" s="23">
        <v>0.0</v>
      </c>
      <c r="S215" s="23">
        <v>0.0</v>
      </c>
      <c r="T215" s="23">
        <f t="shared" si="2"/>
        <v>0</v>
      </c>
      <c r="U215" s="23">
        <f t="shared" si="3"/>
        <v>0</v>
      </c>
      <c r="V215" s="23">
        <f t="shared" si="4"/>
        <v>0</v>
      </c>
      <c r="W215" s="24" t="str">
        <f t="shared" si="5"/>
        <v>#DIV/0!</v>
      </c>
    </row>
    <row r="216" hidden="1">
      <c r="A216" s="15" t="s">
        <v>4108</v>
      </c>
      <c r="B216" s="18"/>
      <c r="C216" s="15" t="s">
        <v>6382</v>
      </c>
      <c r="D216" s="18"/>
      <c r="E216" s="17" t="s">
        <v>1376</v>
      </c>
      <c r="F216" s="18"/>
      <c r="G216" s="18"/>
      <c r="H216" s="15" t="s">
        <v>1377</v>
      </c>
      <c r="I216" s="18"/>
      <c r="J216" s="19" t="s">
        <v>59</v>
      </c>
      <c r="K216" s="19" t="s">
        <v>37</v>
      </c>
      <c r="L216" s="19" t="s">
        <v>38</v>
      </c>
      <c r="M216" s="20">
        <f t="shared" si="1"/>
        <v>0</v>
      </c>
      <c r="N216" s="22"/>
      <c r="O216" s="19" t="s">
        <v>1145</v>
      </c>
      <c r="P216" s="18"/>
      <c r="Q216" s="18"/>
      <c r="R216" s="23">
        <v>0.0</v>
      </c>
      <c r="S216" s="23">
        <v>0.0</v>
      </c>
      <c r="T216" s="23">
        <f t="shared" si="2"/>
        <v>0</v>
      </c>
      <c r="U216" s="23">
        <f t="shared" si="3"/>
        <v>0</v>
      </c>
      <c r="V216" s="23">
        <f t="shared" si="4"/>
        <v>0</v>
      </c>
      <c r="W216" s="24" t="str">
        <f t="shared" si="5"/>
        <v>#DIV/0!</v>
      </c>
    </row>
    <row r="217" hidden="1">
      <c r="A217" s="15" t="s">
        <v>4111</v>
      </c>
      <c r="B217" s="18"/>
      <c r="C217" s="15" t="s">
        <v>6383</v>
      </c>
      <c r="D217" s="18"/>
      <c r="E217" s="17" t="s">
        <v>6384</v>
      </c>
      <c r="F217" s="18"/>
      <c r="G217" s="18"/>
      <c r="H217" s="15" t="s">
        <v>4114</v>
      </c>
      <c r="I217" s="18"/>
      <c r="J217" s="19" t="s">
        <v>59</v>
      </c>
      <c r="K217" s="19" t="s">
        <v>37</v>
      </c>
      <c r="L217" s="19" t="s">
        <v>38</v>
      </c>
      <c r="M217" s="20">
        <f t="shared" si="1"/>
        <v>0</v>
      </c>
      <c r="N217" s="22"/>
      <c r="O217" s="19" t="s">
        <v>1145</v>
      </c>
      <c r="P217" s="18"/>
      <c r="Q217" s="18"/>
      <c r="R217" s="23">
        <v>0.0</v>
      </c>
      <c r="S217" s="23">
        <v>0.0</v>
      </c>
      <c r="T217" s="23">
        <f t="shared" si="2"/>
        <v>0</v>
      </c>
      <c r="U217" s="23">
        <f t="shared" si="3"/>
        <v>0</v>
      </c>
      <c r="V217" s="23">
        <f t="shared" si="4"/>
        <v>0</v>
      </c>
      <c r="W217" s="24" t="str">
        <f t="shared" si="5"/>
        <v>#DIV/0!</v>
      </c>
    </row>
    <row r="218" hidden="1">
      <c r="A218" s="15" t="s">
        <v>1375</v>
      </c>
      <c r="B218" s="18"/>
      <c r="C218" s="15" t="s">
        <v>6385</v>
      </c>
      <c r="D218" s="18"/>
      <c r="E218" s="17" t="s">
        <v>1376</v>
      </c>
      <c r="F218" s="18"/>
      <c r="G218" s="18"/>
      <c r="H218" s="15" t="s">
        <v>1377</v>
      </c>
      <c r="I218" s="18"/>
      <c r="J218" s="19" t="s">
        <v>59</v>
      </c>
      <c r="K218" s="19" t="s">
        <v>37</v>
      </c>
      <c r="L218" s="19" t="s">
        <v>38</v>
      </c>
      <c r="M218" s="20">
        <f t="shared" si="1"/>
        <v>0</v>
      </c>
      <c r="N218" s="22"/>
      <c r="O218" s="19" t="s">
        <v>1145</v>
      </c>
      <c r="P218" s="18"/>
      <c r="Q218" s="18"/>
      <c r="R218" s="23">
        <v>0.0</v>
      </c>
      <c r="S218" s="23">
        <v>0.0</v>
      </c>
      <c r="T218" s="23">
        <f t="shared" si="2"/>
        <v>0</v>
      </c>
      <c r="U218" s="23">
        <f t="shared" si="3"/>
        <v>0</v>
      </c>
      <c r="V218" s="23">
        <f t="shared" si="4"/>
        <v>0</v>
      </c>
      <c r="W218" s="24" t="str">
        <f t="shared" si="5"/>
        <v>#DIV/0!</v>
      </c>
    </row>
    <row r="219" hidden="1">
      <c r="A219" s="15" t="s">
        <v>6386</v>
      </c>
      <c r="B219" s="18"/>
      <c r="C219" s="15" t="s">
        <v>6387</v>
      </c>
      <c r="D219" s="18"/>
      <c r="E219" s="17" t="s">
        <v>6384</v>
      </c>
      <c r="F219" s="18"/>
      <c r="G219" s="18"/>
      <c r="H219" s="15" t="s">
        <v>4114</v>
      </c>
      <c r="I219" s="18"/>
      <c r="J219" s="19" t="s">
        <v>59</v>
      </c>
      <c r="K219" s="19" t="s">
        <v>37</v>
      </c>
      <c r="L219" s="19" t="s">
        <v>38</v>
      </c>
      <c r="M219" s="20">
        <f t="shared" si="1"/>
        <v>0</v>
      </c>
      <c r="N219" s="22"/>
      <c r="O219" s="19" t="s">
        <v>1145</v>
      </c>
      <c r="P219" s="18"/>
      <c r="Q219" s="18"/>
      <c r="R219" s="23">
        <v>0.0</v>
      </c>
      <c r="S219" s="23">
        <v>0.0</v>
      </c>
      <c r="T219" s="23">
        <f t="shared" si="2"/>
        <v>0</v>
      </c>
      <c r="U219" s="23">
        <f t="shared" si="3"/>
        <v>0</v>
      </c>
      <c r="V219" s="23">
        <f t="shared" si="4"/>
        <v>0</v>
      </c>
      <c r="W219" s="24" t="str">
        <f t="shared" si="5"/>
        <v>#DIV/0!</v>
      </c>
    </row>
    <row r="220" hidden="1">
      <c r="A220" s="15" t="s">
        <v>4115</v>
      </c>
      <c r="B220" s="18"/>
      <c r="C220" s="15" t="s">
        <v>6388</v>
      </c>
      <c r="D220" s="18"/>
      <c r="E220" s="17" t="s">
        <v>6389</v>
      </c>
      <c r="F220" s="18"/>
      <c r="G220" s="18"/>
      <c r="H220" s="15" t="s">
        <v>4118</v>
      </c>
      <c r="I220" s="18"/>
      <c r="J220" s="19" t="s">
        <v>59</v>
      </c>
      <c r="K220" s="19" t="s">
        <v>37</v>
      </c>
      <c r="L220" s="19" t="s">
        <v>38</v>
      </c>
      <c r="M220" s="20">
        <f t="shared" si="1"/>
        <v>0</v>
      </c>
      <c r="N220" s="22"/>
      <c r="O220" s="19" t="s">
        <v>1145</v>
      </c>
      <c r="P220" s="18"/>
      <c r="Q220" s="18"/>
      <c r="R220" s="23">
        <v>0.0</v>
      </c>
      <c r="S220" s="23">
        <v>0.0</v>
      </c>
      <c r="T220" s="23">
        <f t="shared" si="2"/>
        <v>0</v>
      </c>
      <c r="U220" s="23">
        <f t="shared" si="3"/>
        <v>0</v>
      </c>
      <c r="V220" s="23">
        <f t="shared" si="4"/>
        <v>0</v>
      </c>
      <c r="W220" s="24" t="str">
        <f t="shared" si="5"/>
        <v>#DIV/0!</v>
      </c>
    </row>
    <row r="221" hidden="1">
      <c r="A221" s="15" t="s">
        <v>4119</v>
      </c>
      <c r="B221" s="15" t="s">
        <v>4120</v>
      </c>
      <c r="C221" s="15" t="s">
        <v>6390</v>
      </c>
      <c r="D221" s="15" t="s">
        <v>4121</v>
      </c>
      <c r="E221" s="17" t="s">
        <v>4122</v>
      </c>
      <c r="F221" s="18"/>
      <c r="G221" s="18"/>
      <c r="H221" s="15" t="s">
        <v>4123</v>
      </c>
      <c r="I221" s="18"/>
      <c r="J221" s="19" t="s">
        <v>59</v>
      </c>
      <c r="K221" s="19" t="s">
        <v>1269</v>
      </c>
      <c r="L221" s="19" t="s">
        <v>38</v>
      </c>
      <c r="M221" s="20">
        <f t="shared" si="1"/>
        <v>0</v>
      </c>
      <c r="N221" s="22"/>
      <c r="O221" s="19" t="s">
        <v>3578</v>
      </c>
      <c r="P221" s="18"/>
      <c r="Q221" s="18"/>
      <c r="R221" s="23">
        <v>0.0</v>
      </c>
      <c r="S221" s="23">
        <v>0.0</v>
      </c>
      <c r="T221" s="23">
        <f t="shared" si="2"/>
        <v>0</v>
      </c>
      <c r="U221" s="23">
        <f t="shared" si="3"/>
        <v>0</v>
      </c>
      <c r="V221" s="23">
        <f t="shared" si="4"/>
        <v>0</v>
      </c>
      <c r="W221" s="24" t="str">
        <f t="shared" si="5"/>
        <v>#DIV/0!</v>
      </c>
    </row>
    <row r="222" hidden="1">
      <c r="A222" s="15" t="s">
        <v>4124</v>
      </c>
      <c r="B222" s="15" t="s">
        <v>4125</v>
      </c>
      <c r="C222" s="15" t="s">
        <v>6391</v>
      </c>
      <c r="D222" s="15" t="s">
        <v>4126</v>
      </c>
      <c r="E222" s="17" t="s">
        <v>4127</v>
      </c>
      <c r="F222" s="18"/>
      <c r="G222" s="18"/>
      <c r="H222" s="15" t="s">
        <v>4128</v>
      </c>
      <c r="I222" s="18"/>
      <c r="J222" s="19" t="s">
        <v>59</v>
      </c>
      <c r="K222" s="19" t="s">
        <v>1269</v>
      </c>
      <c r="L222" s="19" t="s">
        <v>38</v>
      </c>
      <c r="M222" s="20">
        <f t="shared" si="1"/>
        <v>0</v>
      </c>
      <c r="N222" s="22"/>
      <c r="O222" s="19" t="s">
        <v>3578</v>
      </c>
      <c r="P222" s="18"/>
      <c r="Q222" s="18"/>
      <c r="R222" s="23">
        <v>0.0</v>
      </c>
      <c r="S222" s="23">
        <v>0.0</v>
      </c>
      <c r="T222" s="23">
        <f t="shared" si="2"/>
        <v>0</v>
      </c>
      <c r="U222" s="23">
        <f t="shared" si="3"/>
        <v>0</v>
      </c>
      <c r="V222" s="23">
        <f t="shared" si="4"/>
        <v>0</v>
      </c>
      <c r="W222" s="24" t="str">
        <f t="shared" si="5"/>
        <v>#DIV/0!</v>
      </c>
    </row>
    <row r="223" hidden="1">
      <c r="A223" s="15" t="s">
        <v>4129</v>
      </c>
      <c r="B223" s="15" t="s">
        <v>4130</v>
      </c>
      <c r="C223" s="15" t="s">
        <v>6392</v>
      </c>
      <c r="D223" s="15" t="s">
        <v>4131</v>
      </c>
      <c r="E223" s="17" t="s">
        <v>4132</v>
      </c>
      <c r="F223" s="18"/>
      <c r="G223" s="18"/>
      <c r="H223" s="15" t="s">
        <v>4133</v>
      </c>
      <c r="I223" s="18"/>
      <c r="J223" s="19" t="s">
        <v>59</v>
      </c>
      <c r="K223" s="19" t="s">
        <v>1269</v>
      </c>
      <c r="L223" s="19" t="s">
        <v>38</v>
      </c>
      <c r="M223" s="20">
        <f t="shared" si="1"/>
        <v>0</v>
      </c>
      <c r="N223" s="22"/>
      <c r="O223" s="19" t="s">
        <v>3578</v>
      </c>
      <c r="P223" s="18"/>
      <c r="Q223" s="18"/>
      <c r="R223" s="23">
        <v>0.0</v>
      </c>
      <c r="S223" s="23">
        <v>0.0</v>
      </c>
      <c r="T223" s="23">
        <f t="shared" si="2"/>
        <v>0</v>
      </c>
      <c r="U223" s="23">
        <f t="shared" si="3"/>
        <v>0</v>
      </c>
      <c r="V223" s="23">
        <f t="shared" si="4"/>
        <v>0</v>
      </c>
      <c r="W223" s="24" t="str">
        <f t="shared" si="5"/>
        <v>#DIV/0!</v>
      </c>
    </row>
    <row r="224" hidden="1">
      <c r="A224" s="15" t="s">
        <v>4134</v>
      </c>
      <c r="B224" s="15" t="s">
        <v>4135</v>
      </c>
      <c r="C224" s="15" t="s">
        <v>6393</v>
      </c>
      <c r="D224" s="15" t="s">
        <v>4136</v>
      </c>
      <c r="E224" s="17" t="s">
        <v>4137</v>
      </c>
      <c r="F224" s="18"/>
      <c r="G224" s="18"/>
      <c r="H224" s="15" t="s">
        <v>4138</v>
      </c>
      <c r="I224" s="18"/>
      <c r="J224" s="19" t="s">
        <v>59</v>
      </c>
      <c r="K224" s="19" t="s">
        <v>1230</v>
      </c>
      <c r="L224" s="19" t="s">
        <v>38</v>
      </c>
      <c r="M224" s="20">
        <f t="shared" si="1"/>
        <v>0</v>
      </c>
      <c r="N224" s="22"/>
      <c r="O224" s="19" t="s">
        <v>3578</v>
      </c>
      <c r="P224" s="18"/>
      <c r="Q224" s="18"/>
      <c r="R224" s="23">
        <v>0.0</v>
      </c>
      <c r="S224" s="23">
        <v>0.0</v>
      </c>
      <c r="T224" s="23">
        <f t="shared" si="2"/>
        <v>0</v>
      </c>
      <c r="U224" s="23">
        <f t="shared" si="3"/>
        <v>0</v>
      </c>
      <c r="V224" s="23">
        <f t="shared" si="4"/>
        <v>0</v>
      </c>
      <c r="W224" s="24" t="str">
        <f t="shared" si="5"/>
        <v>#DIV/0!</v>
      </c>
    </row>
    <row r="225" hidden="1">
      <c r="A225" s="15" t="s">
        <v>4139</v>
      </c>
      <c r="B225" s="15" t="s">
        <v>4140</v>
      </c>
      <c r="C225" s="15" t="s">
        <v>6394</v>
      </c>
      <c r="D225" s="15" t="s">
        <v>4141</v>
      </c>
      <c r="E225" s="17" t="s">
        <v>4142</v>
      </c>
      <c r="F225" s="18"/>
      <c r="G225" s="18"/>
      <c r="H225" s="15" t="s">
        <v>4143</v>
      </c>
      <c r="I225" s="15" t="s">
        <v>4144</v>
      </c>
      <c r="J225" s="19" t="s">
        <v>59</v>
      </c>
      <c r="K225" s="19" t="s">
        <v>60</v>
      </c>
      <c r="L225" s="19" t="s">
        <v>115</v>
      </c>
      <c r="M225" s="20">
        <f t="shared" si="1"/>
        <v>0</v>
      </c>
      <c r="N225" s="22"/>
      <c r="O225" s="19" t="s">
        <v>3578</v>
      </c>
      <c r="P225" s="18"/>
      <c r="Q225" s="18"/>
      <c r="R225" s="23">
        <v>0.0</v>
      </c>
      <c r="S225" s="23">
        <v>0.0</v>
      </c>
      <c r="T225" s="23">
        <f t="shared" si="2"/>
        <v>0</v>
      </c>
      <c r="U225" s="23">
        <f t="shared" si="3"/>
        <v>0</v>
      </c>
      <c r="V225" s="23">
        <f t="shared" si="4"/>
        <v>0</v>
      </c>
      <c r="W225" s="24" t="str">
        <f t="shared" si="5"/>
        <v>#DIV/0!</v>
      </c>
    </row>
    <row r="226" hidden="1">
      <c r="A226" s="15" t="s">
        <v>4145</v>
      </c>
      <c r="B226" s="15" t="s">
        <v>4146</v>
      </c>
      <c r="C226" s="15" t="s">
        <v>6395</v>
      </c>
      <c r="D226" s="15" t="s">
        <v>4147</v>
      </c>
      <c r="E226" s="17" t="s">
        <v>4148</v>
      </c>
      <c r="F226" s="18"/>
      <c r="G226" s="18"/>
      <c r="H226" s="15" t="s">
        <v>4149</v>
      </c>
      <c r="I226" s="18"/>
      <c r="J226" s="19" t="s">
        <v>59</v>
      </c>
      <c r="K226" s="19" t="s">
        <v>1230</v>
      </c>
      <c r="L226" s="19" t="s">
        <v>38</v>
      </c>
      <c r="M226" s="20">
        <f t="shared" si="1"/>
        <v>0</v>
      </c>
      <c r="N226" s="22"/>
      <c r="O226" s="19" t="s">
        <v>3578</v>
      </c>
      <c r="P226" s="18"/>
      <c r="Q226" s="18"/>
      <c r="R226" s="23">
        <v>0.0</v>
      </c>
      <c r="S226" s="23">
        <v>0.0</v>
      </c>
      <c r="T226" s="23">
        <f t="shared" si="2"/>
        <v>0</v>
      </c>
      <c r="U226" s="23">
        <f t="shared" si="3"/>
        <v>0</v>
      </c>
      <c r="V226" s="23">
        <f t="shared" si="4"/>
        <v>0</v>
      </c>
      <c r="W226" s="24" t="str">
        <f t="shared" si="5"/>
        <v>#DIV/0!</v>
      </c>
    </row>
    <row r="227" hidden="1">
      <c r="A227" s="15" t="s">
        <v>1378</v>
      </c>
      <c r="B227" s="18"/>
      <c r="C227" s="15" t="s">
        <v>6396</v>
      </c>
      <c r="D227" s="18"/>
      <c r="E227" s="17" t="s">
        <v>1379</v>
      </c>
      <c r="F227" s="18"/>
      <c r="G227" s="18"/>
      <c r="H227" s="15" t="s">
        <v>1380</v>
      </c>
      <c r="I227" s="18"/>
      <c r="J227" s="19" t="s">
        <v>59</v>
      </c>
      <c r="K227" s="19" t="s">
        <v>1230</v>
      </c>
      <c r="L227" s="19" t="s">
        <v>38</v>
      </c>
      <c r="M227" s="20">
        <f t="shared" si="1"/>
        <v>0</v>
      </c>
      <c r="N227" s="22"/>
      <c r="O227" s="19" t="s">
        <v>1145</v>
      </c>
      <c r="P227" s="18"/>
      <c r="Q227" s="18"/>
      <c r="R227" s="23">
        <v>0.0</v>
      </c>
      <c r="S227" s="23">
        <v>0.0</v>
      </c>
      <c r="T227" s="23">
        <f t="shared" si="2"/>
        <v>0</v>
      </c>
      <c r="U227" s="23">
        <f t="shared" si="3"/>
        <v>0</v>
      </c>
      <c r="V227" s="23">
        <f t="shared" si="4"/>
        <v>0</v>
      </c>
      <c r="W227" s="24" t="str">
        <f t="shared" si="5"/>
        <v>#DIV/0!</v>
      </c>
    </row>
    <row r="228" hidden="1">
      <c r="A228" s="15" t="s">
        <v>1381</v>
      </c>
      <c r="B228" s="18"/>
      <c r="C228" s="15" t="s">
        <v>6397</v>
      </c>
      <c r="D228" s="18"/>
      <c r="E228" s="17" t="s">
        <v>1382</v>
      </c>
      <c r="F228" s="18"/>
      <c r="G228" s="18"/>
      <c r="H228" s="15" t="s">
        <v>1383</v>
      </c>
      <c r="I228" s="18"/>
      <c r="J228" s="19" t="s">
        <v>59</v>
      </c>
      <c r="K228" s="19" t="s">
        <v>1230</v>
      </c>
      <c r="L228" s="19" t="s">
        <v>38</v>
      </c>
      <c r="M228" s="20">
        <f t="shared" si="1"/>
        <v>0</v>
      </c>
      <c r="N228" s="22"/>
      <c r="O228" s="19" t="s">
        <v>1145</v>
      </c>
      <c r="P228" s="18"/>
      <c r="Q228" s="18"/>
      <c r="R228" s="23">
        <v>0.0</v>
      </c>
      <c r="S228" s="23">
        <v>0.0</v>
      </c>
      <c r="T228" s="23">
        <f t="shared" si="2"/>
        <v>0</v>
      </c>
      <c r="U228" s="23">
        <f t="shared" si="3"/>
        <v>0</v>
      </c>
      <c r="V228" s="23">
        <f t="shared" si="4"/>
        <v>0</v>
      </c>
      <c r="W228" s="24" t="str">
        <f t="shared" si="5"/>
        <v>#DIV/0!</v>
      </c>
    </row>
    <row r="229" hidden="1">
      <c r="A229" s="15" t="s">
        <v>6398</v>
      </c>
      <c r="B229" s="18"/>
      <c r="C229" s="15" t="s">
        <v>6399</v>
      </c>
      <c r="D229" s="18"/>
      <c r="E229" s="17" t="s">
        <v>6400</v>
      </c>
      <c r="F229" s="18"/>
      <c r="G229" s="18"/>
      <c r="H229" s="15" t="s">
        <v>4028</v>
      </c>
      <c r="I229" s="18"/>
      <c r="J229" s="19" t="s">
        <v>59</v>
      </c>
      <c r="K229" s="19" t="s">
        <v>37</v>
      </c>
      <c r="L229" s="19" t="s">
        <v>38</v>
      </c>
      <c r="M229" s="20">
        <f t="shared" si="1"/>
        <v>0</v>
      </c>
      <c r="N229" s="22"/>
      <c r="O229" s="19" t="s">
        <v>39</v>
      </c>
      <c r="P229" s="18"/>
      <c r="Q229" s="18"/>
      <c r="R229" s="23">
        <v>0.0</v>
      </c>
      <c r="S229" s="23">
        <v>0.0</v>
      </c>
      <c r="T229" s="23">
        <f t="shared" si="2"/>
        <v>0</v>
      </c>
      <c r="U229" s="23">
        <f t="shared" si="3"/>
        <v>0</v>
      </c>
      <c r="V229" s="23">
        <f t="shared" si="4"/>
        <v>0</v>
      </c>
      <c r="W229" s="24" t="str">
        <f t="shared" si="5"/>
        <v>#DIV/0!</v>
      </c>
    </row>
    <row r="230" hidden="1">
      <c r="A230" s="15" t="s">
        <v>4150</v>
      </c>
      <c r="B230" s="15" t="s">
        <v>4151</v>
      </c>
      <c r="C230" s="15" t="s">
        <v>6401</v>
      </c>
      <c r="D230" s="15" t="s">
        <v>4152</v>
      </c>
      <c r="E230" s="17" t="s">
        <v>4153</v>
      </c>
      <c r="F230" s="18"/>
      <c r="G230" s="18"/>
      <c r="H230" s="15" t="s">
        <v>4154</v>
      </c>
      <c r="I230" s="18"/>
      <c r="J230" s="19" t="s">
        <v>59</v>
      </c>
      <c r="K230" s="19" t="s">
        <v>37</v>
      </c>
      <c r="L230" s="19" t="s">
        <v>38</v>
      </c>
      <c r="M230" s="20">
        <f t="shared" si="1"/>
        <v>0</v>
      </c>
      <c r="N230" s="22"/>
      <c r="O230" s="19" t="s">
        <v>3578</v>
      </c>
      <c r="P230" s="18"/>
      <c r="Q230" s="18"/>
      <c r="R230" s="23">
        <v>0.0</v>
      </c>
      <c r="S230" s="23">
        <v>0.0</v>
      </c>
      <c r="T230" s="23">
        <f t="shared" si="2"/>
        <v>0</v>
      </c>
      <c r="U230" s="23">
        <f t="shared" si="3"/>
        <v>0</v>
      </c>
      <c r="V230" s="23">
        <f t="shared" si="4"/>
        <v>0</v>
      </c>
      <c r="W230" s="24" t="str">
        <f t="shared" si="5"/>
        <v>#DIV/0!</v>
      </c>
    </row>
    <row r="231" hidden="1">
      <c r="A231" s="15" t="s">
        <v>4155</v>
      </c>
      <c r="B231" s="15" t="s">
        <v>4156</v>
      </c>
      <c r="C231" s="15" t="s">
        <v>6402</v>
      </c>
      <c r="D231" s="15" t="s">
        <v>4157</v>
      </c>
      <c r="E231" s="17" t="s">
        <v>4158</v>
      </c>
      <c r="F231" s="18"/>
      <c r="G231" s="18"/>
      <c r="H231" s="15" t="s">
        <v>4159</v>
      </c>
      <c r="I231" s="18"/>
      <c r="J231" s="19" t="s">
        <v>59</v>
      </c>
      <c r="K231" s="19" t="s">
        <v>37</v>
      </c>
      <c r="L231" s="19" t="s">
        <v>38</v>
      </c>
      <c r="M231" s="20">
        <f t="shared" si="1"/>
        <v>0</v>
      </c>
      <c r="N231" s="22"/>
      <c r="O231" s="19" t="s">
        <v>3578</v>
      </c>
      <c r="P231" s="18"/>
      <c r="Q231" s="18"/>
      <c r="R231" s="23">
        <v>0.0</v>
      </c>
      <c r="S231" s="23">
        <v>0.0</v>
      </c>
      <c r="T231" s="23">
        <f t="shared" si="2"/>
        <v>0</v>
      </c>
      <c r="U231" s="23">
        <f t="shared" si="3"/>
        <v>0</v>
      </c>
      <c r="V231" s="23">
        <f t="shared" si="4"/>
        <v>0</v>
      </c>
      <c r="W231" s="24" t="str">
        <f t="shared" si="5"/>
        <v>#DIV/0!</v>
      </c>
    </row>
    <row r="232" hidden="1">
      <c r="A232" s="15" t="s">
        <v>4160</v>
      </c>
      <c r="B232" s="15" t="s">
        <v>4161</v>
      </c>
      <c r="C232" s="15" t="s">
        <v>6403</v>
      </c>
      <c r="D232" s="15" t="s">
        <v>6404</v>
      </c>
      <c r="E232" s="17" t="s">
        <v>4163</v>
      </c>
      <c r="F232" s="18"/>
      <c r="G232" s="18"/>
      <c r="H232" s="15" t="s">
        <v>4164</v>
      </c>
      <c r="I232" s="18"/>
      <c r="J232" s="19" t="s">
        <v>59</v>
      </c>
      <c r="K232" s="19" t="s">
        <v>37</v>
      </c>
      <c r="L232" s="19" t="s">
        <v>38</v>
      </c>
      <c r="M232" s="20">
        <f t="shared" si="1"/>
        <v>0</v>
      </c>
      <c r="N232" s="22"/>
      <c r="O232" s="19" t="s">
        <v>3578</v>
      </c>
      <c r="P232" s="18"/>
      <c r="Q232" s="18"/>
      <c r="R232" s="23">
        <v>0.0</v>
      </c>
      <c r="S232" s="23">
        <v>0.0</v>
      </c>
      <c r="T232" s="23">
        <f t="shared" si="2"/>
        <v>0</v>
      </c>
      <c r="U232" s="23">
        <f t="shared" si="3"/>
        <v>0</v>
      </c>
      <c r="V232" s="23">
        <f t="shared" si="4"/>
        <v>0</v>
      </c>
      <c r="W232" s="24" t="str">
        <f t="shared" si="5"/>
        <v>#DIV/0!</v>
      </c>
    </row>
    <row r="233" hidden="1">
      <c r="A233" s="15" t="s">
        <v>4165</v>
      </c>
      <c r="B233" s="15" t="s">
        <v>4166</v>
      </c>
      <c r="C233" s="15" t="s">
        <v>6405</v>
      </c>
      <c r="D233" s="15" t="s">
        <v>4167</v>
      </c>
      <c r="E233" s="17" t="s">
        <v>4168</v>
      </c>
      <c r="F233" s="18"/>
      <c r="G233" s="18"/>
      <c r="H233" s="15" t="s">
        <v>4169</v>
      </c>
      <c r="I233" s="18"/>
      <c r="J233" s="19" t="s">
        <v>59</v>
      </c>
      <c r="K233" s="19" t="s">
        <v>52</v>
      </c>
      <c r="L233" s="19" t="s">
        <v>115</v>
      </c>
      <c r="M233" s="20">
        <f t="shared" si="1"/>
        <v>0</v>
      </c>
      <c r="N233" s="22"/>
      <c r="O233" s="19" t="s">
        <v>3578</v>
      </c>
      <c r="P233" s="18"/>
      <c r="Q233" s="18"/>
      <c r="R233" s="23">
        <v>0.0</v>
      </c>
      <c r="S233" s="23">
        <v>0.0</v>
      </c>
      <c r="T233" s="23">
        <f t="shared" si="2"/>
        <v>0</v>
      </c>
      <c r="U233" s="23">
        <f t="shared" si="3"/>
        <v>0</v>
      </c>
      <c r="V233" s="23">
        <f t="shared" si="4"/>
        <v>0</v>
      </c>
      <c r="W233" s="24" t="str">
        <f t="shared" si="5"/>
        <v>#DIV/0!</v>
      </c>
    </row>
    <row r="234" hidden="1">
      <c r="A234" s="15" t="s">
        <v>4170</v>
      </c>
      <c r="B234" s="15" t="s">
        <v>4171</v>
      </c>
      <c r="C234" s="15" t="s">
        <v>6406</v>
      </c>
      <c r="D234" s="15" t="s">
        <v>4172</v>
      </c>
      <c r="E234" s="17" t="s">
        <v>4173</v>
      </c>
      <c r="F234" s="18"/>
      <c r="G234" s="18"/>
      <c r="H234" s="15" t="s">
        <v>4174</v>
      </c>
      <c r="I234" s="18"/>
      <c r="J234" s="19" t="s">
        <v>59</v>
      </c>
      <c r="K234" s="19" t="s">
        <v>402</v>
      </c>
      <c r="L234" s="19" t="s">
        <v>115</v>
      </c>
      <c r="M234" s="20">
        <f t="shared" si="1"/>
        <v>0</v>
      </c>
      <c r="N234" s="22"/>
      <c r="O234" s="19" t="s">
        <v>3578</v>
      </c>
      <c r="P234" s="18"/>
      <c r="Q234" s="18"/>
      <c r="R234" s="23">
        <v>0.0</v>
      </c>
      <c r="S234" s="23">
        <v>0.0</v>
      </c>
      <c r="T234" s="23">
        <f t="shared" si="2"/>
        <v>0</v>
      </c>
      <c r="U234" s="23">
        <f t="shared" si="3"/>
        <v>0</v>
      </c>
      <c r="V234" s="23">
        <f t="shared" si="4"/>
        <v>0</v>
      </c>
      <c r="W234" s="24" t="str">
        <f t="shared" si="5"/>
        <v>#DIV/0!</v>
      </c>
    </row>
    <row r="235" hidden="1">
      <c r="A235" s="15" t="s">
        <v>6407</v>
      </c>
      <c r="B235" s="18"/>
      <c r="C235" s="15" t="s">
        <v>6408</v>
      </c>
      <c r="D235" s="18"/>
      <c r="E235" s="17" t="s">
        <v>6409</v>
      </c>
      <c r="F235" s="18"/>
      <c r="G235" s="18"/>
      <c r="H235" s="15" t="s">
        <v>5179</v>
      </c>
      <c r="I235" s="18"/>
      <c r="J235" s="19" t="s">
        <v>59</v>
      </c>
      <c r="K235" s="19" t="s">
        <v>603</v>
      </c>
      <c r="L235" s="19" t="s">
        <v>38</v>
      </c>
      <c r="M235" s="20">
        <f t="shared" si="1"/>
        <v>0</v>
      </c>
      <c r="N235" s="22"/>
      <c r="O235" s="19" t="s">
        <v>39</v>
      </c>
      <c r="P235" s="18"/>
      <c r="Q235" s="18"/>
      <c r="R235" s="23">
        <v>0.0</v>
      </c>
      <c r="S235" s="23">
        <v>0.0</v>
      </c>
      <c r="T235" s="23">
        <f t="shared" si="2"/>
        <v>0</v>
      </c>
      <c r="U235" s="23">
        <f t="shared" si="3"/>
        <v>0</v>
      </c>
      <c r="V235" s="23">
        <f t="shared" si="4"/>
        <v>0</v>
      </c>
      <c r="W235" s="24" t="str">
        <f t="shared" si="5"/>
        <v>#DIV/0!</v>
      </c>
    </row>
    <row r="236" hidden="1">
      <c r="A236" s="15" t="s">
        <v>6410</v>
      </c>
      <c r="B236" s="15" t="s">
        <v>5099</v>
      </c>
      <c r="C236" s="15" t="s">
        <v>6411</v>
      </c>
      <c r="D236" s="15"/>
      <c r="E236" s="17" t="s">
        <v>5101</v>
      </c>
      <c r="F236" s="18"/>
      <c r="G236" s="18"/>
      <c r="H236" s="15" t="s">
        <v>5102</v>
      </c>
      <c r="I236" s="18"/>
      <c r="J236" s="19" t="s">
        <v>59</v>
      </c>
      <c r="K236" s="19" t="s">
        <v>105</v>
      </c>
      <c r="L236" s="19" t="s">
        <v>38</v>
      </c>
      <c r="M236" s="20">
        <f t="shared" si="1"/>
        <v>0</v>
      </c>
      <c r="N236" s="22"/>
      <c r="O236" s="19" t="s">
        <v>39</v>
      </c>
      <c r="P236" s="18"/>
      <c r="Q236" s="18"/>
      <c r="R236" s="23">
        <v>0.0</v>
      </c>
      <c r="S236" s="23">
        <v>0.0</v>
      </c>
      <c r="T236" s="23">
        <f t="shared" si="2"/>
        <v>0</v>
      </c>
      <c r="U236" s="23">
        <f t="shared" si="3"/>
        <v>0</v>
      </c>
      <c r="V236" s="23">
        <f t="shared" si="4"/>
        <v>0</v>
      </c>
      <c r="W236" s="24" t="str">
        <f t="shared" si="5"/>
        <v>#DIV/0!</v>
      </c>
    </row>
    <row r="237" hidden="1">
      <c r="A237" s="15" t="s">
        <v>6412</v>
      </c>
      <c r="B237" s="18"/>
      <c r="C237" s="15" t="s">
        <v>6413</v>
      </c>
      <c r="D237" s="18"/>
      <c r="E237" s="17" t="s">
        <v>6414</v>
      </c>
      <c r="F237" s="18"/>
      <c r="G237" s="18"/>
      <c r="H237" s="15" t="s">
        <v>6415</v>
      </c>
      <c r="I237" s="18"/>
      <c r="J237" s="19" t="s">
        <v>59</v>
      </c>
      <c r="K237" s="19" t="s">
        <v>105</v>
      </c>
      <c r="L237" s="19" t="s">
        <v>38</v>
      </c>
      <c r="M237" s="20">
        <f t="shared" si="1"/>
        <v>0</v>
      </c>
      <c r="N237" s="22"/>
      <c r="O237" s="19" t="s">
        <v>39</v>
      </c>
      <c r="P237" s="18"/>
      <c r="Q237" s="18"/>
      <c r="R237" s="23">
        <v>0.0</v>
      </c>
      <c r="S237" s="23">
        <v>0.0</v>
      </c>
      <c r="T237" s="23">
        <f t="shared" si="2"/>
        <v>0</v>
      </c>
      <c r="U237" s="23">
        <f t="shared" si="3"/>
        <v>0</v>
      </c>
      <c r="V237" s="23">
        <f t="shared" si="4"/>
        <v>0</v>
      </c>
      <c r="W237" s="24" t="str">
        <f t="shared" si="5"/>
        <v>#DIV/0!</v>
      </c>
    </row>
    <row r="238" hidden="1">
      <c r="A238" s="15" t="s">
        <v>1384</v>
      </c>
      <c r="B238" s="18"/>
      <c r="C238" s="15" t="s">
        <v>6416</v>
      </c>
      <c r="D238" s="18"/>
      <c r="E238" s="17" t="s">
        <v>1385</v>
      </c>
      <c r="F238" s="18"/>
      <c r="G238" s="18"/>
      <c r="H238" s="15" t="s">
        <v>1386</v>
      </c>
      <c r="I238" s="18"/>
      <c r="J238" s="19" t="s">
        <v>59</v>
      </c>
      <c r="K238" s="19" t="s">
        <v>105</v>
      </c>
      <c r="L238" s="19" t="s">
        <v>38</v>
      </c>
      <c r="M238" s="20">
        <f t="shared" si="1"/>
        <v>0</v>
      </c>
      <c r="N238" s="22"/>
      <c r="O238" s="19" t="s">
        <v>1145</v>
      </c>
      <c r="P238" s="18"/>
      <c r="Q238" s="18"/>
      <c r="R238" s="23">
        <v>0.0</v>
      </c>
      <c r="S238" s="23">
        <v>0.0</v>
      </c>
      <c r="T238" s="23">
        <f t="shared" si="2"/>
        <v>0</v>
      </c>
      <c r="U238" s="23">
        <f t="shared" si="3"/>
        <v>0</v>
      </c>
      <c r="V238" s="23">
        <f t="shared" si="4"/>
        <v>0</v>
      </c>
      <c r="W238" s="24" t="str">
        <f t="shared" si="5"/>
        <v>#DIV/0!</v>
      </c>
    </row>
    <row r="239" hidden="1">
      <c r="A239" s="15" t="s">
        <v>4175</v>
      </c>
      <c r="B239" s="18"/>
      <c r="C239" s="15" t="s">
        <v>6417</v>
      </c>
      <c r="D239" s="18"/>
      <c r="E239" s="17" t="s">
        <v>6418</v>
      </c>
      <c r="F239" s="18"/>
      <c r="G239" s="18"/>
      <c r="H239" s="15" t="s">
        <v>4178</v>
      </c>
      <c r="I239" s="18"/>
      <c r="J239" s="19" t="s">
        <v>59</v>
      </c>
      <c r="K239" s="19" t="s">
        <v>105</v>
      </c>
      <c r="L239" s="19" t="s">
        <v>38</v>
      </c>
      <c r="M239" s="20">
        <f t="shared" si="1"/>
        <v>0</v>
      </c>
      <c r="N239" s="22"/>
      <c r="O239" s="19" t="s">
        <v>1145</v>
      </c>
      <c r="P239" s="18"/>
      <c r="Q239" s="18"/>
      <c r="R239" s="23">
        <v>0.0</v>
      </c>
      <c r="S239" s="23">
        <v>0.0</v>
      </c>
      <c r="T239" s="23">
        <f t="shared" si="2"/>
        <v>0</v>
      </c>
      <c r="U239" s="23">
        <f t="shared" si="3"/>
        <v>0</v>
      </c>
      <c r="V239" s="23">
        <f t="shared" si="4"/>
        <v>0</v>
      </c>
      <c r="W239" s="24" t="str">
        <f t="shared" si="5"/>
        <v>#DIV/0!</v>
      </c>
    </row>
    <row r="240" hidden="1">
      <c r="A240" s="15" t="s">
        <v>1387</v>
      </c>
      <c r="B240" s="15" t="s">
        <v>1388</v>
      </c>
      <c r="C240" s="15" t="s">
        <v>6419</v>
      </c>
      <c r="D240" s="18"/>
      <c r="E240" s="17" t="s">
        <v>1389</v>
      </c>
      <c r="F240" s="18"/>
      <c r="G240" s="18"/>
      <c r="H240" s="15" t="s">
        <v>1390</v>
      </c>
      <c r="I240" s="18"/>
      <c r="J240" s="19" t="s">
        <v>36</v>
      </c>
      <c r="K240" s="19" t="s">
        <v>402</v>
      </c>
      <c r="L240" s="19" t="s">
        <v>38</v>
      </c>
      <c r="M240" s="20">
        <f t="shared" si="1"/>
        <v>0</v>
      </c>
      <c r="N240" s="22"/>
      <c r="O240" s="19" t="s">
        <v>1145</v>
      </c>
      <c r="P240" s="18"/>
      <c r="Q240" s="18"/>
      <c r="R240" s="23">
        <v>0.0</v>
      </c>
      <c r="S240" s="23">
        <v>0.0</v>
      </c>
      <c r="T240" s="23">
        <f t="shared" si="2"/>
        <v>0</v>
      </c>
      <c r="U240" s="23">
        <f t="shared" si="3"/>
        <v>0</v>
      </c>
      <c r="V240" s="23">
        <f t="shared" si="4"/>
        <v>0</v>
      </c>
      <c r="W240" s="24" t="str">
        <f t="shared" si="5"/>
        <v>#DIV/0!</v>
      </c>
    </row>
    <row r="241" hidden="1">
      <c r="A241" s="15" t="s">
        <v>4179</v>
      </c>
      <c r="B241" s="15" t="s">
        <v>4180</v>
      </c>
      <c r="C241" s="15" t="s">
        <v>6420</v>
      </c>
      <c r="D241" s="15" t="s">
        <v>4181</v>
      </c>
      <c r="E241" s="17" t="s">
        <v>4182</v>
      </c>
      <c r="F241" s="18"/>
      <c r="G241" s="18"/>
      <c r="H241" s="15" t="s">
        <v>4183</v>
      </c>
      <c r="I241" s="18"/>
      <c r="J241" s="19" t="s">
        <v>36</v>
      </c>
      <c r="K241" s="19" t="s">
        <v>402</v>
      </c>
      <c r="L241" s="19" t="s">
        <v>38</v>
      </c>
      <c r="M241" s="20">
        <f t="shared" si="1"/>
        <v>0</v>
      </c>
      <c r="N241" s="22"/>
      <c r="O241" s="19" t="s">
        <v>3578</v>
      </c>
      <c r="P241" s="18"/>
      <c r="Q241" s="18"/>
      <c r="R241" s="23">
        <v>0.0</v>
      </c>
      <c r="S241" s="23">
        <v>0.0</v>
      </c>
      <c r="T241" s="23">
        <f t="shared" si="2"/>
        <v>0</v>
      </c>
      <c r="U241" s="23">
        <f t="shared" si="3"/>
        <v>0</v>
      </c>
      <c r="V241" s="23">
        <f t="shared" si="4"/>
        <v>0</v>
      </c>
      <c r="W241" s="24" t="str">
        <f t="shared" si="5"/>
        <v>#DIV/0!</v>
      </c>
    </row>
    <row r="242">
      <c r="A242" s="15" t="s">
        <v>1075</v>
      </c>
      <c r="B242" s="18"/>
      <c r="C242" s="15" t="s">
        <v>6003</v>
      </c>
      <c r="D242" s="15" t="s">
        <v>1076</v>
      </c>
      <c r="E242" s="17" t="s">
        <v>6421</v>
      </c>
      <c r="F242" s="18"/>
      <c r="G242" s="18"/>
      <c r="H242" s="15" t="s">
        <v>1078</v>
      </c>
      <c r="I242" s="18"/>
      <c r="J242" s="19" t="s">
        <v>36</v>
      </c>
      <c r="K242" s="19" t="s">
        <v>60</v>
      </c>
      <c r="L242" s="19" t="s">
        <v>115</v>
      </c>
      <c r="M242" s="20">
        <f t="shared" si="1"/>
        <v>4138.08</v>
      </c>
      <c r="N242" s="31">
        <v>4.0</v>
      </c>
      <c r="O242" s="19" t="s">
        <v>107</v>
      </c>
      <c r="P242" s="18"/>
      <c r="Q242" s="18"/>
      <c r="R242" s="23">
        <v>80.0</v>
      </c>
      <c r="S242" s="23">
        <v>233.0</v>
      </c>
      <c r="T242" s="23">
        <f t="shared" si="2"/>
        <v>223.68</v>
      </c>
      <c r="U242" s="23">
        <f t="shared" si="3"/>
        <v>98</v>
      </c>
      <c r="V242" s="23">
        <f t="shared" si="4"/>
        <v>1837.5</v>
      </c>
      <c r="W242" s="24">
        <f t="shared" si="5"/>
        <v>2.796</v>
      </c>
    </row>
    <row r="243" hidden="1">
      <c r="A243" s="15" t="s">
        <v>4184</v>
      </c>
      <c r="B243" s="15" t="s">
        <v>4185</v>
      </c>
      <c r="C243" s="15" t="s">
        <v>6422</v>
      </c>
      <c r="D243" s="15" t="s">
        <v>4186</v>
      </c>
      <c r="E243" s="17" t="s">
        <v>4187</v>
      </c>
      <c r="F243" s="18"/>
      <c r="G243" s="18"/>
      <c r="H243" s="15" t="s">
        <v>4188</v>
      </c>
      <c r="I243" s="18"/>
      <c r="J243" s="19" t="s">
        <v>36</v>
      </c>
      <c r="K243" s="19" t="s">
        <v>402</v>
      </c>
      <c r="L243" s="19" t="s">
        <v>38</v>
      </c>
      <c r="M243" s="20">
        <f t="shared" si="1"/>
        <v>0</v>
      </c>
      <c r="N243" s="22"/>
      <c r="O243" s="19" t="s">
        <v>3578</v>
      </c>
      <c r="P243" s="18"/>
      <c r="Q243" s="18"/>
      <c r="R243" s="23">
        <v>0.0</v>
      </c>
      <c r="S243" s="23">
        <v>0.0</v>
      </c>
      <c r="T243" s="23">
        <f t="shared" si="2"/>
        <v>0</v>
      </c>
      <c r="U243" s="23">
        <f t="shared" si="3"/>
        <v>0</v>
      </c>
      <c r="V243" s="23">
        <f t="shared" si="4"/>
        <v>0</v>
      </c>
      <c r="W243" s="24" t="str">
        <f t="shared" si="5"/>
        <v>#DIV/0!</v>
      </c>
    </row>
    <row r="244" hidden="1">
      <c r="A244" s="15" t="s">
        <v>4189</v>
      </c>
      <c r="B244" s="15" t="s">
        <v>4190</v>
      </c>
      <c r="C244" s="15" t="s">
        <v>6423</v>
      </c>
      <c r="D244" s="15" t="s">
        <v>4191</v>
      </c>
      <c r="E244" s="17" t="s">
        <v>4192</v>
      </c>
      <c r="F244" s="18"/>
      <c r="G244" s="18"/>
      <c r="H244" s="15" t="s">
        <v>4193</v>
      </c>
      <c r="I244" s="18"/>
      <c r="J244" s="19" t="s">
        <v>36</v>
      </c>
      <c r="K244" s="19" t="s">
        <v>105</v>
      </c>
      <c r="L244" s="19" t="s">
        <v>38</v>
      </c>
      <c r="M244" s="20">
        <f t="shared" si="1"/>
        <v>0</v>
      </c>
      <c r="N244" s="22"/>
      <c r="O244" s="19" t="s">
        <v>3578</v>
      </c>
      <c r="P244" s="18"/>
      <c r="Q244" s="18"/>
      <c r="R244" s="23">
        <v>0.0</v>
      </c>
      <c r="S244" s="23">
        <v>0.0</v>
      </c>
      <c r="T244" s="23">
        <f t="shared" si="2"/>
        <v>0</v>
      </c>
      <c r="U244" s="23">
        <f t="shared" si="3"/>
        <v>0</v>
      </c>
      <c r="V244" s="23">
        <f t="shared" si="4"/>
        <v>0</v>
      </c>
      <c r="W244" s="24" t="str">
        <f t="shared" si="5"/>
        <v>#DIV/0!</v>
      </c>
    </row>
    <row r="245" hidden="1">
      <c r="A245" s="15" t="s">
        <v>4194</v>
      </c>
      <c r="B245" s="15" t="s">
        <v>4195</v>
      </c>
      <c r="C245" s="15" t="s">
        <v>6424</v>
      </c>
      <c r="D245" s="15"/>
      <c r="E245" s="17" t="s">
        <v>4197</v>
      </c>
      <c r="F245" s="18"/>
      <c r="G245" s="18"/>
      <c r="H245" s="15" t="s">
        <v>4198</v>
      </c>
      <c r="I245" s="18"/>
      <c r="J245" s="19" t="s">
        <v>36</v>
      </c>
      <c r="K245" s="19" t="s">
        <v>284</v>
      </c>
      <c r="L245" s="19" t="s">
        <v>38</v>
      </c>
      <c r="M245" s="20">
        <f t="shared" si="1"/>
        <v>0</v>
      </c>
      <c r="N245" s="22"/>
      <c r="O245" s="19" t="s">
        <v>3578</v>
      </c>
      <c r="P245" s="18"/>
      <c r="Q245" s="18"/>
      <c r="R245" s="23">
        <v>0.0</v>
      </c>
      <c r="S245" s="23">
        <v>0.0</v>
      </c>
      <c r="T245" s="23">
        <f t="shared" si="2"/>
        <v>0</v>
      </c>
      <c r="U245" s="23">
        <f t="shared" si="3"/>
        <v>0</v>
      </c>
      <c r="V245" s="23">
        <f t="shared" si="4"/>
        <v>0</v>
      </c>
      <c r="W245" s="24" t="str">
        <f t="shared" si="5"/>
        <v>#DIV/0!</v>
      </c>
    </row>
    <row r="246" hidden="1">
      <c r="A246" s="15" t="s">
        <v>4199</v>
      </c>
      <c r="B246" s="15" t="s">
        <v>4200</v>
      </c>
      <c r="C246" s="15" t="s">
        <v>6425</v>
      </c>
      <c r="D246" s="15" t="s">
        <v>4201</v>
      </c>
      <c r="E246" s="17" t="s">
        <v>4202</v>
      </c>
      <c r="F246" s="18"/>
      <c r="G246" s="18"/>
      <c r="H246" s="15" t="s">
        <v>4203</v>
      </c>
      <c r="I246" s="18"/>
      <c r="J246" s="19" t="s">
        <v>36</v>
      </c>
      <c r="K246" s="19" t="s">
        <v>284</v>
      </c>
      <c r="L246" s="19" t="s">
        <v>38</v>
      </c>
      <c r="M246" s="20">
        <f t="shared" si="1"/>
        <v>0</v>
      </c>
      <c r="N246" s="22"/>
      <c r="O246" s="19" t="s">
        <v>3578</v>
      </c>
      <c r="P246" s="18"/>
      <c r="Q246" s="18"/>
      <c r="R246" s="23">
        <v>0.0</v>
      </c>
      <c r="S246" s="23">
        <v>0.0</v>
      </c>
      <c r="T246" s="23">
        <f t="shared" si="2"/>
        <v>0</v>
      </c>
      <c r="U246" s="23">
        <f t="shared" si="3"/>
        <v>0</v>
      </c>
      <c r="V246" s="23">
        <f t="shared" si="4"/>
        <v>0</v>
      </c>
      <c r="W246" s="24" t="str">
        <f t="shared" si="5"/>
        <v>#DIV/0!</v>
      </c>
    </row>
    <row r="247" hidden="1">
      <c r="A247" s="15" t="s">
        <v>4204</v>
      </c>
      <c r="B247" s="15" t="s">
        <v>4205</v>
      </c>
      <c r="C247" s="15" t="s">
        <v>6426</v>
      </c>
      <c r="D247" s="15" t="s">
        <v>4206</v>
      </c>
      <c r="E247" s="17" t="s">
        <v>4207</v>
      </c>
      <c r="F247" s="18"/>
      <c r="G247" s="18"/>
      <c r="H247" s="15" t="s">
        <v>4208</v>
      </c>
      <c r="I247" s="18"/>
      <c r="J247" s="19" t="s">
        <v>36</v>
      </c>
      <c r="K247" s="19" t="s">
        <v>37</v>
      </c>
      <c r="L247" s="19" t="s">
        <v>38</v>
      </c>
      <c r="M247" s="20">
        <f t="shared" si="1"/>
        <v>0</v>
      </c>
      <c r="N247" s="22"/>
      <c r="O247" s="19" t="s">
        <v>3578</v>
      </c>
      <c r="P247" s="18"/>
      <c r="Q247" s="18"/>
      <c r="R247" s="23">
        <v>0.0</v>
      </c>
      <c r="S247" s="23">
        <v>0.0</v>
      </c>
      <c r="T247" s="23">
        <f t="shared" si="2"/>
        <v>0</v>
      </c>
      <c r="U247" s="23">
        <f t="shared" si="3"/>
        <v>0</v>
      </c>
      <c r="V247" s="23">
        <f t="shared" si="4"/>
        <v>0</v>
      </c>
      <c r="W247" s="24" t="str">
        <f t="shared" si="5"/>
        <v>#DIV/0!</v>
      </c>
    </row>
    <row r="248" hidden="1">
      <c r="A248" s="15" t="s">
        <v>4209</v>
      </c>
      <c r="B248" s="15" t="s">
        <v>4210</v>
      </c>
      <c r="C248" s="15" t="s">
        <v>6427</v>
      </c>
      <c r="D248" s="15" t="s">
        <v>4211</v>
      </c>
      <c r="E248" s="17" t="s">
        <v>4212</v>
      </c>
      <c r="F248" s="18"/>
      <c r="G248" s="18"/>
      <c r="H248" s="15" t="s">
        <v>4213</v>
      </c>
      <c r="I248" s="15" t="s">
        <v>5595</v>
      </c>
      <c r="J248" s="19" t="s">
        <v>36</v>
      </c>
      <c r="K248" s="19" t="s">
        <v>402</v>
      </c>
      <c r="L248" s="19" t="s">
        <v>38</v>
      </c>
      <c r="M248" s="20">
        <f t="shared" si="1"/>
        <v>0</v>
      </c>
      <c r="N248" s="22"/>
      <c r="O248" s="19" t="s">
        <v>3578</v>
      </c>
      <c r="P248" s="18"/>
      <c r="Q248" s="18"/>
      <c r="R248" s="23">
        <v>0.0</v>
      </c>
      <c r="S248" s="23">
        <v>0.0</v>
      </c>
      <c r="T248" s="23">
        <f t="shared" si="2"/>
        <v>0</v>
      </c>
      <c r="U248" s="23">
        <f t="shared" si="3"/>
        <v>0</v>
      </c>
      <c r="V248" s="23">
        <f t="shared" si="4"/>
        <v>0</v>
      </c>
      <c r="W248" s="24" t="str">
        <f t="shared" si="5"/>
        <v>#DIV/0!</v>
      </c>
    </row>
    <row r="249" hidden="1">
      <c r="A249" s="15" t="s">
        <v>4214</v>
      </c>
      <c r="B249" s="15" t="s">
        <v>4215</v>
      </c>
      <c r="C249" s="15" t="s">
        <v>6428</v>
      </c>
      <c r="D249" s="15" t="s">
        <v>4216</v>
      </c>
      <c r="E249" s="17" t="s">
        <v>4217</v>
      </c>
      <c r="F249" s="18"/>
      <c r="G249" s="18"/>
      <c r="H249" s="15" t="s">
        <v>4218</v>
      </c>
      <c r="I249" s="15" t="s">
        <v>5599</v>
      </c>
      <c r="J249" s="19" t="s">
        <v>36</v>
      </c>
      <c r="K249" s="19" t="s">
        <v>402</v>
      </c>
      <c r="L249" s="19" t="s">
        <v>38</v>
      </c>
      <c r="M249" s="20">
        <f t="shared" si="1"/>
        <v>0</v>
      </c>
      <c r="N249" s="22"/>
      <c r="O249" s="19" t="s">
        <v>3578</v>
      </c>
      <c r="P249" s="18"/>
      <c r="Q249" s="18"/>
      <c r="R249" s="23">
        <v>0.0</v>
      </c>
      <c r="S249" s="23">
        <v>0.0</v>
      </c>
      <c r="T249" s="23">
        <f t="shared" si="2"/>
        <v>0</v>
      </c>
      <c r="U249" s="23">
        <f t="shared" si="3"/>
        <v>0</v>
      </c>
      <c r="V249" s="23">
        <f t="shared" si="4"/>
        <v>0</v>
      </c>
      <c r="W249" s="24" t="str">
        <f t="shared" si="5"/>
        <v>#DIV/0!</v>
      </c>
    </row>
    <row r="250" hidden="1">
      <c r="A250" s="15" t="s">
        <v>4219</v>
      </c>
      <c r="B250" s="15" t="s">
        <v>4220</v>
      </c>
      <c r="C250" s="15" t="s">
        <v>6429</v>
      </c>
      <c r="D250" s="15" t="s">
        <v>4221</v>
      </c>
      <c r="E250" s="17" t="s">
        <v>3921</v>
      </c>
      <c r="F250" s="18"/>
      <c r="G250" s="18"/>
      <c r="H250" s="15" t="s">
        <v>4222</v>
      </c>
      <c r="I250" s="18"/>
      <c r="J250" s="19" t="s">
        <v>36</v>
      </c>
      <c r="K250" s="19" t="s">
        <v>105</v>
      </c>
      <c r="L250" s="19" t="s">
        <v>38</v>
      </c>
      <c r="M250" s="20">
        <f t="shared" si="1"/>
        <v>0</v>
      </c>
      <c r="N250" s="22"/>
      <c r="O250" s="19" t="s">
        <v>3578</v>
      </c>
      <c r="P250" s="18"/>
      <c r="Q250" s="18"/>
      <c r="R250" s="23">
        <v>0.0</v>
      </c>
      <c r="S250" s="23">
        <v>0.0</v>
      </c>
      <c r="T250" s="23">
        <f t="shared" si="2"/>
        <v>0</v>
      </c>
      <c r="U250" s="23">
        <f t="shared" si="3"/>
        <v>0</v>
      </c>
      <c r="V250" s="23">
        <f t="shared" si="4"/>
        <v>0</v>
      </c>
      <c r="W250" s="24" t="str">
        <f t="shared" si="5"/>
        <v>#DIV/0!</v>
      </c>
    </row>
    <row r="251" hidden="1">
      <c r="A251" s="15" t="s">
        <v>4223</v>
      </c>
      <c r="B251" s="15" t="s">
        <v>4224</v>
      </c>
      <c r="C251" s="15" t="s">
        <v>6430</v>
      </c>
      <c r="D251" s="15" t="s">
        <v>430</v>
      </c>
      <c r="E251" s="17" t="s">
        <v>4225</v>
      </c>
      <c r="F251" s="18"/>
      <c r="G251" s="18"/>
      <c r="H251" s="15" t="s">
        <v>1908</v>
      </c>
      <c r="I251" s="18"/>
      <c r="J251" s="19" t="s">
        <v>36</v>
      </c>
      <c r="K251" s="19" t="s">
        <v>37</v>
      </c>
      <c r="L251" s="19" t="s">
        <v>38</v>
      </c>
      <c r="M251" s="20">
        <f t="shared" si="1"/>
        <v>0</v>
      </c>
      <c r="N251" s="22"/>
      <c r="O251" s="19" t="s">
        <v>3578</v>
      </c>
      <c r="P251" s="18"/>
      <c r="Q251" s="18"/>
      <c r="R251" s="23">
        <v>0.0</v>
      </c>
      <c r="S251" s="23">
        <v>0.0</v>
      </c>
      <c r="T251" s="23">
        <f t="shared" si="2"/>
        <v>0</v>
      </c>
      <c r="U251" s="23">
        <f t="shared" si="3"/>
        <v>0</v>
      </c>
      <c r="V251" s="23">
        <f t="shared" si="4"/>
        <v>0</v>
      </c>
      <c r="W251" s="24" t="str">
        <f t="shared" si="5"/>
        <v>#DIV/0!</v>
      </c>
    </row>
    <row r="252" hidden="1">
      <c r="A252" s="15" t="s">
        <v>4226</v>
      </c>
      <c r="B252" s="15" t="s">
        <v>4227</v>
      </c>
      <c r="C252" s="15" t="s">
        <v>6431</v>
      </c>
      <c r="D252" s="15" t="s">
        <v>4228</v>
      </c>
      <c r="E252" s="17" t="s">
        <v>4229</v>
      </c>
      <c r="F252" s="18"/>
      <c r="G252" s="18"/>
      <c r="H252" s="15" t="s">
        <v>4230</v>
      </c>
      <c r="I252" s="18"/>
      <c r="J252" s="19" t="s">
        <v>36</v>
      </c>
      <c r="K252" s="19" t="s">
        <v>402</v>
      </c>
      <c r="L252" s="19" t="s">
        <v>38</v>
      </c>
      <c r="M252" s="20">
        <f t="shared" si="1"/>
        <v>0</v>
      </c>
      <c r="N252" s="22"/>
      <c r="O252" s="19" t="s">
        <v>3578</v>
      </c>
      <c r="P252" s="18"/>
      <c r="Q252" s="18"/>
      <c r="R252" s="23">
        <v>0.0</v>
      </c>
      <c r="S252" s="23">
        <v>0.0</v>
      </c>
      <c r="T252" s="23">
        <f t="shared" si="2"/>
        <v>0</v>
      </c>
      <c r="U252" s="23">
        <f t="shared" si="3"/>
        <v>0</v>
      </c>
      <c r="V252" s="23">
        <f t="shared" si="4"/>
        <v>0</v>
      </c>
      <c r="W252" s="24" t="str">
        <f t="shared" si="5"/>
        <v>#DIV/0!</v>
      </c>
    </row>
    <row r="253" hidden="1">
      <c r="A253" s="15" t="s">
        <v>4231</v>
      </c>
      <c r="B253" s="15" t="s">
        <v>4232</v>
      </c>
      <c r="C253" s="15" t="s">
        <v>6432</v>
      </c>
      <c r="D253" s="15" t="s">
        <v>4233</v>
      </c>
      <c r="E253" s="17" t="s">
        <v>4234</v>
      </c>
      <c r="F253" s="18"/>
      <c r="G253" s="18"/>
      <c r="H253" s="15" t="s">
        <v>4235</v>
      </c>
      <c r="I253" s="18"/>
      <c r="J253" s="19" t="s">
        <v>36</v>
      </c>
      <c r="K253" s="19" t="s">
        <v>402</v>
      </c>
      <c r="L253" s="19" t="s">
        <v>38</v>
      </c>
      <c r="M253" s="20">
        <f t="shared" si="1"/>
        <v>0</v>
      </c>
      <c r="N253" s="22"/>
      <c r="O253" s="19" t="s">
        <v>3578</v>
      </c>
      <c r="P253" s="18"/>
      <c r="Q253" s="18"/>
      <c r="R253" s="23">
        <v>0.0</v>
      </c>
      <c r="S253" s="23">
        <v>0.0</v>
      </c>
      <c r="T253" s="23">
        <f t="shared" si="2"/>
        <v>0</v>
      </c>
      <c r="U253" s="23">
        <f t="shared" si="3"/>
        <v>0</v>
      </c>
      <c r="V253" s="23">
        <f t="shared" si="4"/>
        <v>0</v>
      </c>
      <c r="W253" s="24" t="str">
        <f t="shared" si="5"/>
        <v>#DIV/0!</v>
      </c>
    </row>
    <row r="254" hidden="1">
      <c r="A254" s="15" t="s">
        <v>4236</v>
      </c>
      <c r="B254" s="15" t="s">
        <v>4237</v>
      </c>
      <c r="C254" s="15" t="s">
        <v>6433</v>
      </c>
      <c r="D254" s="15" t="s">
        <v>4238</v>
      </c>
      <c r="E254" s="17" t="s">
        <v>4239</v>
      </c>
      <c r="F254" s="18"/>
      <c r="G254" s="18"/>
      <c r="H254" s="15" t="s">
        <v>4240</v>
      </c>
      <c r="I254" s="18"/>
      <c r="J254" s="19" t="s">
        <v>36</v>
      </c>
      <c r="K254" s="19" t="s">
        <v>105</v>
      </c>
      <c r="L254" s="19" t="s">
        <v>38</v>
      </c>
      <c r="M254" s="20">
        <f t="shared" si="1"/>
        <v>0</v>
      </c>
      <c r="N254" s="22"/>
      <c r="O254" s="19" t="s">
        <v>3578</v>
      </c>
      <c r="P254" s="18"/>
      <c r="Q254" s="18"/>
      <c r="R254" s="23">
        <v>0.0</v>
      </c>
      <c r="S254" s="23">
        <v>0.0</v>
      </c>
      <c r="T254" s="23">
        <f t="shared" si="2"/>
        <v>0</v>
      </c>
      <c r="U254" s="23">
        <f t="shared" si="3"/>
        <v>0</v>
      </c>
      <c r="V254" s="23">
        <f t="shared" si="4"/>
        <v>0</v>
      </c>
      <c r="W254" s="24" t="str">
        <f t="shared" si="5"/>
        <v>#DIV/0!</v>
      </c>
    </row>
    <row r="255" hidden="1">
      <c r="A255" s="15" t="s">
        <v>4241</v>
      </c>
      <c r="B255" s="15" t="s">
        <v>4242</v>
      </c>
      <c r="C255" s="15" t="s">
        <v>6434</v>
      </c>
      <c r="D255" s="15" t="s">
        <v>4243</v>
      </c>
      <c r="E255" s="17" t="s">
        <v>4244</v>
      </c>
      <c r="F255" s="18"/>
      <c r="G255" s="18"/>
      <c r="H255" s="15" t="s">
        <v>4245</v>
      </c>
      <c r="I255" s="18"/>
      <c r="J255" s="19" t="s">
        <v>36</v>
      </c>
      <c r="K255" s="19" t="s">
        <v>1230</v>
      </c>
      <c r="L255" s="19" t="s">
        <v>38</v>
      </c>
      <c r="M255" s="20">
        <f t="shared" si="1"/>
        <v>0</v>
      </c>
      <c r="N255" s="22"/>
      <c r="O255" s="19" t="s">
        <v>3578</v>
      </c>
      <c r="P255" s="18"/>
      <c r="Q255" s="18"/>
      <c r="R255" s="23">
        <v>0.0</v>
      </c>
      <c r="S255" s="23">
        <v>0.0</v>
      </c>
      <c r="T255" s="23">
        <f t="shared" si="2"/>
        <v>0</v>
      </c>
      <c r="U255" s="23">
        <f t="shared" si="3"/>
        <v>0</v>
      </c>
      <c r="V255" s="23">
        <f t="shared" si="4"/>
        <v>0</v>
      </c>
      <c r="W255" s="24" t="str">
        <f t="shared" si="5"/>
        <v>#DIV/0!</v>
      </c>
    </row>
    <row r="256" hidden="1">
      <c r="A256" s="15" t="s">
        <v>4246</v>
      </c>
      <c r="B256" s="15" t="s">
        <v>4247</v>
      </c>
      <c r="C256" s="15" t="s">
        <v>6435</v>
      </c>
      <c r="D256" s="15" t="s">
        <v>4248</v>
      </c>
      <c r="E256" s="17" t="s">
        <v>4249</v>
      </c>
      <c r="F256" s="18"/>
      <c r="G256" s="18"/>
      <c r="H256" s="15" t="s">
        <v>4250</v>
      </c>
      <c r="I256" s="18"/>
      <c r="J256" s="19" t="s">
        <v>36</v>
      </c>
      <c r="K256" s="19" t="s">
        <v>402</v>
      </c>
      <c r="L256" s="19" t="s">
        <v>38</v>
      </c>
      <c r="M256" s="20">
        <f t="shared" si="1"/>
        <v>0</v>
      </c>
      <c r="N256" s="22"/>
      <c r="O256" s="19" t="s">
        <v>3578</v>
      </c>
      <c r="P256" s="18"/>
      <c r="Q256" s="18"/>
      <c r="R256" s="23">
        <v>0.0</v>
      </c>
      <c r="S256" s="23">
        <v>0.0</v>
      </c>
      <c r="T256" s="23">
        <f t="shared" si="2"/>
        <v>0</v>
      </c>
      <c r="U256" s="23">
        <f t="shared" si="3"/>
        <v>0</v>
      </c>
      <c r="V256" s="23">
        <f t="shared" si="4"/>
        <v>0</v>
      </c>
      <c r="W256" s="24" t="str">
        <f t="shared" si="5"/>
        <v>#DIV/0!</v>
      </c>
    </row>
    <row r="257" hidden="1">
      <c r="A257" s="15" t="s">
        <v>4251</v>
      </c>
      <c r="B257" s="15" t="s">
        <v>4252</v>
      </c>
      <c r="C257" s="15" t="s">
        <v>6436</v>
      </c>
      <c r="D257" s="15" t="s">
        <v>4253</v>
      </c>
      <c r="E257" s="17" t="s">
        <v>4254</v>
      </c>
      <c r="F257" s="18"/>
      <c r="G257" s="18"/>
      <c r="H257" s="15" t="s">
        <v>4255</v>
      </c>
      <c r="I257" s="18"/>
      <c r="J257" s="19" t="s">
        <v>36</v>
      </c>
      <c r="K257" s="19" t="s">
        <v>1230</v>
      </c>
      <c r="L257" s="19" t="s">
        <v>38</v>
      </c>
      <c r="M257" s="20">
        <f t="shared" si="1"/>
        <v>0</v>
      </c>
      <c r="N257" s="22"/>
      <c r="O257" s="19" t="s">
        <v>3578</v>
      </c>
      <c r="P257" s="18"/>
      <c r="Q257" s="18"/>
      <c r="R257" s="23">
        <v>0.0</v>
      </c>
      <c r="S257" s="23">
        <v>0.0</v>
      </c>
      <c r="T257" s="23">
        <f t="shared" si="2"/>
        <v>0</v>
      </c>
      <c r="U257" s="23">
        <f t="shared" si="3"/>
        <v>0</v>
      </c>
      <c r="V257" s="23">
        <f t="shared" si="4"/>
        <v>0</v>
      </c>
      <c r="W257" s="24" t="str">
        <f t="shared" si="5"/>
        <v>#DIV/0!</v>
      </c>
    </row>
    <row r="258" hidden="1">
      <c r="A258" s="15" t="s">
        <v>4256</v>
      </c>
      <c r="B258" s="15" t="s">
        <v>4257</v>
      </c>
      <c r="C258" s="15" t="s">
        <v>6437</v>
      </c>
      <c r="D258" s="15" t="s">
        <v>4258</v>
      </c>
      <c r="E258" s="17" t="s">
        <v>4259</v>
      </c>
      <c r="F258" s="18"/>
      <c r="G258" s="18"/>
      <c r="H258" s="15" t="s">
        <v>4260</v>
      </c>
      <c r="I258" s="18"/>
      <c r="J258" s="19" t="s">
        <v>36</v>
      </c>
      <c r="K258" s="19" t="s">
        <v>37</v>
      </c>
      <c r="L258" s="19" t="s">
        <v>38</v>
      </c>
      <c r="M258" s="20">
        <f t="shared" si="1"/>
        <v>0</v>
      </c>
      <c r="N258" s="22"/>
      <c r="O258" s="19" t="s">
        <v>3578</v>
      </c>
      <c r="P258" s="18"/>
      <c r="Q258" s="18"/>
      <c r="R258" s="23">
        <v>0.0</v>
      </c>
      <c r="S258" s="23">
        <v>0.0</v>
      </c>
      <c r="T258" s="23">
        <f t="shared" si="2"/>
        <v>0</v>
      </c>
      <c r="U258" s="23">
        <f t="shared" si="3"/>
        <v>0</v>
      </c>
      <c r="V258" s="23">
        <f t="shared" si="4"/>
        <v>0</v>
      </c>
      <c r="W258" s="24" t="str">
        <f t="shared" si="5"/>
        <v>#DIV/0!</v>
      </c>
    </row>
    <row r="259" hidden="1">
      <c r="A259" s="15" t="s">
        <v>4261</v>
      </c>
      <c r="B259" s="15" t="s">
        <v>4262</v>
      </c>
      <c r="C259" s="15" t="s">
        <v>6438</v>
      </c>
      <c r="D259" s="15" t="s">
        <v>4263</v>
      </c>
      <c r="E259" s="17" t="s">
        <v>4264</v>
      </c>
      <c r="F259" s="18"/>
      <c r="G259" s="18"/>
      <c r="H259" s="15" t="s">
        <v>4265</v>
      </c>
      <c r="I259" s="18"/>
      <c r="J259" s="19" t="s">
        <v>36</v>
      </c>
      <c r="K259" s="19" t="s">
        <v>105</v>
      </c>
      <c r="L259" s="19" t="s">
        <v>38</v>
      </c>
      <c r="M259" s="20">
        <f t="shared" si="1"/>
        <v>0</v>
      </c>
      <c r="N259" s="22"/>
      <c r="O259" s="19" t="s">
        <v>3578</v>
      </c>
      <c r="P259" s="18"/>
      <c r="Q259" s="18"/>
      <c r="R259" s="23">
        <v>0.0</v>
      </c>
      <c r="S259" s="23">
        <v>0.0</v>
      </c>
      <c r="T259" s="23">
        <f t="shared" si="2"/>
        <v>0</v>
      </c>
      <c r="U259" s="23">
        <f t="shared" si="3"/>
        <v>0</v>
      </c>
      <c r="V259" s="23">
        <f t="shared" si="4"/>
        <v>0</v>
      </c>
      <c r="W259" s="24" t="str">
        <f t="shared" si="5"/>
        <v>#DIV/0!</v>
      </c>
    </row>
    <row r="260">
      <c r="A260" s="15" t="s">
        <v>543</v>
      </c>
      <c r="B260" s="15" t="s">
        <v>544</v>
      </c>
      <c r="C260" s="15" t="s">
        <v>6072</v>
      </c>
      <c r="D260" s="15" t="s">
        <v>545</v>
      </c>
      <c r="E260" s="17" t="s">
        <v>546</v>
      </c>
      <c r="F260" s="18"/>
      <c r="G260" s="15" t="s">
        <v>547</v>
      </c>
      <c r="H260" s="15" t="s">
        <v>548</v>
      </c>
      <c r="I260" s="18"/>
      <c r="J260" s="19" t="s">
        <v>36</v>
      </c>
      <c r="K260" s="19" t="s">
        <v>105</v>
      </c>
      <c r="L260" s="19" t="s">
        <v>38</v>
      </c>
      <c r="M260" s="20">
        <f t="shared" si="1"/>
        <v>1918.08</v>
      </c>
      <c r="N260" s="31">
        <v>8.0</v>
      </c>
      <c r="O260" s="19" t="s">
        <v>107</v>
      </c>
      <c r="P260" s="18"/>
      <c r="Q260" s="18"/>
      <c r="R260" s="23">
        <v>18.0</v>
      </c>
      <c r="S260" s="23">
        <v>108.0</v>
      </c>
      <c r="T260" s="23">
        <f t="shared" si="2"/>
        <v>103.68</v>
      </c>
      <c r="U260" s="23">
        <f t="shared" si="3"/>
        <v>22.05</v>
      </c>
      <c r="V260" s="23">
        <f t="shared" si="4"/>
        <v>413.4375</v>
      </c>
      <c r="W260" s="24">
        <f t="shared" si="5"/>
        <v>5.76</v>
      </c>
    </row>
    <row r="261">
      <c r="A261" s="15" t="s">
        <v>562</v>
      </c>
      <c r="B261" s="15" t="s">
        <v>563</v>
      </c>
      <c r="C261" s="15" t="s">
        <v>6073</v>
      </c>
      <c r="D261" s="15" t="s">
        <v>564</v>
      </c>
      <c r="E261" s="17" t="s">
        <v>565</v>
      </c>
      <c r="F261" s="18"/>
      <c r="G261" s="15" t="s">
        <v>566</v>
      </c>
      <c r="H261" s="15" t="s">
        <v>567</v>
      </c>
      <c r="I261" s="18"/>
      <c r="J261" s="19" t="s">
        <v>36</v>
      </c>
      <c r="K261" s="19" t="s">
        <v>105</v>
      </c>
      <c r="L261" s="19" t="s">
        <v>38</v>
      </c>
      <c r="M261" s="20">
        <f t="shared" si="1"/>
        <v>1243.2</v>
      </c>
      <c r="N261" s="31">
        <v>8.0</v>
      </c>
      <c r="O261" s="19" t="s">
        <v>107</v>
      </c>
      <c r="P261" s="18"/>
      <c r="Q261" s="18"/>
      <c r="R261" s="23">
        <v>12.0</v>
      </c>
      <c r="S261" s="23">
        <v>70.0</v>
      </c>
      <c r="T261" s="23">
        <f t="shared" si="2"/>
        <v>67.2</v>
      </c>
      <c r="U261" s="23">
        <f t="shared" si="3"/>
        <v>14.7</v>
      </c>
      <c r="V261" s="23">
        <f t="shared" si="4"/>
        <v>275.625</v>
      </c>
      <c r="W261" s="24">
        <f t="shared" si="5"/>
        <v>5.6</v>
      </c>
    </row>
    <row r="262" hidden="1">
      <c r="A262" s="15" t="s">
        <v>6439</v>
      </c>
      <c r="B262" s="18"/>
      <c r="C262" s="15" t="s">
        <v>6440</v>
      </c>
      <c r="D262" s="18"/>
      <c r="E262" s="17" t="s">
        <v>6441</v>
      </c>
      <c r="F262" s="18"/>
      <c r="G262" s="18"/>
      <c r="H262" s="15" t="s">
        <v>4203</v>
      </c>
      <c r="I262" s="18"/>
      <c r="J262" s="19" t="s">
        <v>36</v>
      </c>
      <c r="K262" s="19" t="s">
        <v>105</v>
      </c>
      <c r="L262" s="19" t="s">
        <v>38</v>
      </c>
      <c r="M262" s="20">
        <f t="shared" si="1"/>
        <v>0</v>
      </c>
      <c r="N262" s="22"/>
      <c r="O262" s="19" t="s">
        <v>39</v>
      </c>
      <c r="P262" s="18"/>
      <c r="Q262" s="18"/>
      <c r="R262" s="23">
        <v>0.0</v>
      </c>
      <c r="S262" s="23">
        <v>0.0</v>
      </c>
      <c r="T262" s="23">
        <f t="shared" si="2"/>
        <v>0</v>
      </c>
      <c r="U262" s="23">
        <f t="shared" si="3"/>
        <v>0</v>
      </c>
      <c r="V262" s="23">
        <f t="shared" si="4"/>
        <v>0</v>
      </c>
      <c r="W262" s="24" t="str">
        <f t="shared" si="5"/>
        <v>#DIV/0!</v>
      </c>
    </row>
    <row r="263" hidden="1">
      <c r="A263" s="15" t="s">
        <v>4266</v>
      </c>
      <c r="B263" s="15" t="s">
        <v>4267</v>
      </c>
      <c r="C263" s="15" t="s">
        <v>6442</v>
      </c>
      <c r="D263" s="15" t="s">
        <v>4268</v>
      </c>
      <c r="E263" s="17" t="s">
        <v>4269</v>
      </c>
      <c r="F263" s="18"/>
      <c r="G263" s="18"/>
      <c r="H263" s="15" t="s">
        <v>4270</v>
      </c>
      <c r="I263" s="15" t="s">
        <v>4271</v>
      </c>
      <c r="J263" s="19" t="s">
        <v>36</v>
      </c>
      <c r="K263" s="19" t="s">
        <v>284</v>
      </c>
      <c r="L263" s="19" t="s">
        <v>38</v>
      </c>
      <c r="M263" s="20">
        <f t="shared" si="1"/>
        <v>0</v>
      </c>
      <c r="N263" s="22"/>
      <c r="O263" s="19" t="s">
        <v>3578</v>
      </c>
      <c r="P263" s="18"/>
      <c r="Q263" s="18"/>
      <c r="R263" s="23">
        <v>0.0</v>
      </c>
      <c r="S263" s="23">
        <v>0.0</v>
      </c>
      <c r="T263" s="23">
        <f t="shared" si="2"/>
        <v>0</v>
      </c>
      <c r="U263" s="23">
        <f t="shared" si="3"/>
        <v>0</v>
      </c>
      <c r="V263" s="23">
        <f t="shared" si="4"/>
        <v>0</v>
      </c>
      <c r="W263" s="24" t="str">
        <f t="shared" si="5"/>
        <v>#DIV/0!</v>
      </c>
    </row>
    <row r="264" hidden="1">
      <c r="A264" s="15" t="s">
        <v>4272</v>
      </c>
      <c r="B264" s="15" t="s">
        <v>4273</v>
      </c>
      <c r="C264" s="15" t="s">
        <v>6443</v>
      </c>
      <c r="D264" s="15" t="s">
        <v>4274</v>
      </c>
      <c r="E264" s="17" t="s">
        <v>4275</v>
      </c>
      <c r="F264" s="18"/>
      <c r="G264" s="18"/>
      <c r="H264" s="15" t="s">
        <v>4276</v>
      </c>
      <c r="I264" s="18"/>
      <c r="J264" s="19" t="s">
        <v>36</v>
      </c>
      <c r="K264" s="19" t="s">
        <v>105</v>
      </c>
      <c r="L264" s="19" t="s">
        <v>38</v>
      </c>
      <c r="M264" s="20">
        <f t="shared" si="1"/>
        <v>0</v>
      </c>
      <c r="N264" s="22"/>
      <c r="O264" s="19" t="s">
        <v>3578</v>
      </c>
      <c r="P264" s="18"/>
      <c r="Q264" s="18"/>
      <c r="R264" s="23">
        <v>0.0</v>
      </c>
      <c r="S264" s="23">
        <v>0.0</v>
      </c>
      <c r="T264" s="23">
        <f t="shared" si="2"/>
        <v>0</v>
      </c>
      <c r="U264" s="23">
        <f t="shared" si="3"/>
        <v>0</v>
      </c>
      <c r="V264" s="23">
        <f t="shared" si="4"/>
        <v>0</v>
      </c>
      <c r="W264" s="24" t="str">
        <f t="shared" si="5"/>
        <v>#DIV/0!</v>
      </c>
    </row>
    <row r="265" hidden="1">
      <c r="A265" s="15" t="s">
        <v>4277</v>
      </c>
      <c r="B265" s="15" t="s">
        <v>4278</v>
      </c>
      <c r="C265" s="15" t="s">
        <v>6444</v>
      </c>
      <c r="D265" s="15" t="s">
        <v>3725</v>
      </c>
      <c r="E265" s="17" t="s">
        <v>4279</v>
      </c>
      <c r="F265" s="18"/>
      <c r="G265" s="18"/>
      <c r="H265" s="15" t="s">
        <v>4280</v>
      </c>
      <c r="I265" s="18"/>
      <c r="J265" s="19" t="s">
        <v>36</v>
      </c>
      <c r="K265" s="19" t="s">
        <v>1230</v>
      </c>
      <c r="L265" s="19" t="s">
        <v>38</v>
      </c>
      <c r="M265" s="20">
        <f t="shared" si="1"/>
        <v>0</v>
      </c>
      <c r="N265" s="22"/>
      <c r="O265" s="19" t="s">
        <v>3578</v>
      </c>
      <c r="P265" s="18"/>
      <c r="Q265" s="18"/>
      <c r="R265" s="23">
        <v>0.0</v>
      </c>
      <c r="S265" s="23">
        <v>0.0</v>
      </c>
      <c r="T265" s="23">
        <f t="shared" si="2"/>
        <v>0</v>
      </c>
      <c r="U265" s="23">
        <f t="shared" si="3"/>
        <v>0</v>
      </c>
      <c r="V265" s="23">
        <f t="shared" si="4"/>
        <v>0</v>
      </c>
      <c r="W265" s="24" t="str">
        <f t="shared" si="5"/>
        <v>#DIV/0!</v>
      </c>
    </row>
    <row r="266" hidden="1">
      <c r="A266" s="15" t="s">
        <v>4281</v>
      </c>
      <c r="B266" s="15" t="s">
        <v>4282</v>
      </c>
      <c r="C266" s="15" t="s">
        <v>6445</v>
      </c>
      <c r="D266" s="15" t="s">
        <v>4283</v>
      </c>
      <c r="E266" s="17" t="s">
        <v>4284</v>
      </c>
      <c r="F266" s="18"/>
      <c r="G266" s="18"/>
      <c r="H266" s="15" t="s">
        <v>4285</v>
      </c>
      <c r="I266" s="18"/>
      <c r="J266" s="19" t="s">
        <v>36</v>
      </c>
      <c r="K266" s="19" t="s">
        <v>1230</v>
      </c>
      <c r="L266" s="19" t="s">
        <v>38</v>
      </c>
      <c r="M266" s="20">
        <f t="shared" si="1"/>
        <v>0</v>
      </c>
      <c r="N266" s="22"/>
      <c r="O266" s="19" t="s">
        <v>1145</v>
      </c>
      <c r="P266" s="18"/>
      <c r="Q266" s="18"/>
      <c r="R266" s="23">
        <v>0.0</v>
      </c>
      <c r="S266" s="23">
        <v>0.0</v>
      </c>
      <c r="T266" s="23">
        <f t="shared" si="2"/>
        <v>0</v>
      </c>
      <c r="U266" s="23">
        <f t="shared" si="3"/>
        <v>0</v>
      </c>
      <c r="V266" s="23">
        <f t="shared" si="4"/>
        <v>0</v>
      </c>
      <c r="W266" s="24" t="str">
        <f t="shared" si="5"/>
        <v>#DIV/0!</v>
      </c>
    </row>
    <row r="267" hidden="1">
      <c r="A267" s="15" t="s">
        <v>4286</v>
      </c>
      <c r="B267" s="18"/>
      <c r="C267" s="15" t="s">
        <v>6446</v>
      </c>
      <c r="D267" s="18"/>
      <c r="E267" s="17" t="s">
        <v>6447</v>
      </c>
      <c r="F267" s="18"/>
      <c r="G267" s="18"/>
      <c r="H267" s="15" t="s">
        <v>4289</v>
      </c>
      <c r="I267" s="18"/>
      <c r="J267" s="19" t="s">
        <v>36</v>
      </c>
      <c r="K267" s="19" t="s">
        <v>37</v>
      </c>
      <c r="L267" s="19" t="s">
        <v>38</v>
      </c>
      <c r="M267" s="20">
        <f t="shared" si="1"/>
        <v>0</v>
      </c>
      <c r="N267" s="22"/>
      <c r="O267" s="19" t="s">
        <v>1145</v>
      </c>
      <c r="P267" s="18"/>
      <c r="Q267" s="18"/>
      <c r="R267" s="23">
        <v>0.0</v>
      </c>
      <c r="S267" s="23">
        <v>0.0</v>
      </c>
      <c r="T267" s="23">
        <f t="shared" si="2"/>
        <v>0</v>
      </c>
      <c r="U267" s="23">
        <f t="shared" si="3"/>
        <v>0</v>
      </c>
      <c r="V267" s="23">
        <f t="shared" si="4"/>
        <v>0</v>
      </c>
      <c r="W267" s="24" t="str">
        <f t="shared" si="5"/>
        <v>#DIV/0!</v>
      </c>
    </row>
    <row r="268" hidden="1">
      <c r="A268" s="15" t="s">
        <v>4290</v>
      </c>
      <c r="B268" s="18"/>
      <c r="C268" s="15" t="s">
        <v>6448</v>
      </c>
      <c r="D268" s="18"/>
      <c r="E268" s="17" t="s">
        <v>6449</v>
      </c>
      <c r="F268" s="18"/>
      <c r="G268" s="18"/>
      <c r="H268" s="15" t="s">
        <v>4293</v>
      </c>
      <c r="I268" s="18"/>
      <c r="J268" s="19" t="s">
        <v>36</v>
      </c>
      <c r="K268" s="19" t="s">
        <v>37</v>
      </c>
      <c r="L268" s="19" t="s">
        <v>38</v>
      </c>
      <c r="M268" s="20">
        <f t="shared" si="1"/>
        <v>0</v>
      </c>
      <c r="N268" s="22"/>
      <c r="O268" s="19" t="s">
        <v>1145</v>
      </c>
      <c r="P268" s="18"/>
      <c r="Q268" s="18"/>
      <c r="R268" s="23">
        <v>0.0</v>
      </c>
      <c r="S268" s="23">
        <v>0.0</v>
      </c>
      <c r="T268" s="23">
        <f t="shared" si="2"/>
        <v>0</v>
      </c>
      <c r="U268" s="23">
        <f t="shared" si="3"/>
        <v>0</v>
      </c>
      <c r="V268" s="23">
        <f t="shared" si="4"/>
        <v>0</v>
      </c>
      <c r="W268" s="24" t="str">
        <f t="shared" si="5"/>
        <v>#DIV/0!</v>
      </c>
    </row>
    <row r="269" hidden="1">
      <c r="A269" s="15" t="s">
        <v>4294</v>
      </c>
      <c r="B269" s="18"/>
      <c r="C269" s="15" t="s">
        <v>6450</v>
      </c>
      <c r="D269" s="18"/>
      <c r="E269" s="17" t="s">
        <v>6451</v>
      </c>
      <c r="F269" s="18"/>
      <c r="G269" s="18"/>
      <c r="H269" s="15" t="s">
        <v>4297</v>
      </c>
      <c r="I269" s="18"/>
      <c r="J269" s="19" t="s">
        <v>36</v>
      </c>
      <c r="K269" s="19" t="s">
        <v>37</v>
      </c>
      <c r="L269" s="19" t="s">
        <v>38</v>
      </c>
      <c r="M269" s="20">
        <f t="shared" si="1"/>
        <v>0</v>
      </c>
      <c r="N269" s="22"/>
      <c r="O269" s="19" t="s">
        <v>1145</v>
      </c>
      <c r="P269" s="18"/>
      <c r="Q269" s="18"/>
      <c r="R269" s="23">
        <v>0.0</v>
      </c>
      <c r="S269" s="23">
        <v>0.0</v>
      </c>
      <c r="T269" s="23">
        <f t="shared" si="2"/>
        <v>0</v>
      </c>
      <c r="U269" s="23">
        <f t="shared" si="3"/>
        <v>0</v>
      </c>
      <c r="V269" s="23">
        <f t="shared" si="4"/>
        <v>0</v>
      </c>
      <c r="W269" s="24" t="str">
        <f t="shared" si="5"/>
        <v>#DIV/0!</v>
      </c>
    </row>
    <row r="270" hidden="1">
      <c r="A270" s="15" t="s">
        <v>35</v>
      </c>
      <c r="B270" s="15" t="s">
        <v>6452</v>
      </c>
      <c r="C270" s="15" t="s">
        <v>6453</v>
      </c>
      <c r="D270" s="18"/>
      <c r="E270" s="17" t="s">
        <v>6454</v>
      </c>
      <c r="F270" s="18"/>
      <c r="G270" s="18"/>
      <c r="H270" s="15" t="s">
        <v>900</v>
      </c>
      <c r="I270" s="18"/>
      <c r="J270" s="19" t="s">
        <v>36</v>
      </c>
      <c r="K270" s="19" t="s">
        <v>37</v>
      </c>
      <c r="L270" s="19" t="s">
        <v>38</v>
      </c>
      <c r="M270" s="20">
        <f t="shared" si="1"/>
        <v>0</v>
      </c>
      <c r="N270" s="22"/>
      <c r="O270" s="19" t="s">
        <v>1145</v>
      </c>
      <c r="P270" s="18"/>
      <c r="Q270" s="18"/>
      <c r="R270" s="23">
        <v>0.0</v>
      </c>
      <c r="S270" s="23">
        <v>0.0</v>
      </c>
      <c r="T270" s="23">
        <f t="shared" si="2"/>
        <v>0</v>
      </c>
      <c r="U270" s="23">
        <f t="shared" si="3"/>
        <v>0</v>
      </c>
      <c r="V270" s="23">
        <f t="shared" si="4"/>
        <v>0</v>
      </c>
      <c r="W270" s="24" t="str">
        <f t="shared" si="5"/>
        <v>#DIV/0!</v>
      </c>
    </row>
    <row r="271" hidden="1">
      <c r="A271" s="15" t="s">
        <v>4298</v>
      </c>
      <c r="B271" s="15" t="s">
        <v>4299</v>
      </c>
      <c r="C271" s="15" t="s">
        <v>6455</v>
      </c>
      <c r="D271" s="15" t="s">
        <v>4300</v>
      </c>
      <c r="E271" s="17" t="s">
        <v>4301</v>
      </c>
      <c r="F271" s="18"/>
      <c r="G271" s="18"/>
      <c r="H271" s="15" t="s">
        <v>4302</v>
      </c>
      <c r="I271" s="15" t="s">
        <v>5615</v>
      </c>
      <c r="J271" s="19" t="s">
        <v>36</v>
      </c>
      <c r="K271" s="19" t="s">
        <v>37</v>
      </c>
      <c r="L271" s="19" t="s">
        <v>38</v>
      </c>
      <c r="M271" s="20">
        <f t="shared" si="1"/>
        <v>0</v>
      </c>
      <c r="N271" s="22"/>
      <c r="O271" s="19" t="s">
        <v>3578</v>
      </c>
      <c r="P271" s="18"/>
      <c r="Q271" s="18"/>
      <c r="R271" s="23">
        <v>0.0</v>
      </c>
      <c r="S271" s="23">
        <v>0.0</v>
      </c>
      <c r="T271" s="23">
        <f t="shared" si="2"/>
        <v>0</v>
      </c>
      <c r="U271" s="23">
        <f t="shared" si="3"/>
        <v>0</v>
      </c>
      <c r="V271" s="23">
        <f t="shared" si="4"/>
        <v>0</v>
      </c>
      <c r="W271" s="24" t="str">
        <f t="shared" si="5"/>
        <v>#DIV/0!</v>
      </c>
    </row>
    <row r="272" hidden="1">
      <c r="A272" s="15" t="s">
        <v>4303</v>
      </c>
      <c r="B272" s="15" t="s">
        <v>4304</v>
      </c>
      <c r="C272" s="15" t="s">
        <v>6456</v>
      </c>
      <c r="D272" s="42" t="s">
        <v>4305</v>
      </c>
      <c r="E272" s="17" t="s">
        <v>4306</v>
      </c>
      <c r="F272" s="18"/>
      <c r="G272" s="18"/>
      <c r="H272" s="15" t="s">
        <v>47</v>
      </c>
      <c r="I272" s="15" t="s">
        <v>4307</v>
      </c>
      <c r="J272" s="19" t="s">
        <v>36</v>
      </c>
      <c r="K272" s="19" t="s">
        <v>37</v>
      </c>
      <c r="L272" s="19" t="s">
        <v>38</v>
      </c>
      <c r="M272" s="20">
        <f t="shared" si="1"/>
        <v>0</v>
      </c>
      <c r="N272" s="22"/>
      <c r="O272" s="19" t="s">
        <v>3578</v>
      </c>
      <c r="P272" s="18"/>
      <c r="Q272" s="18"/>
      <c r="R272" s="23">
        <v>0.0</v>
      </c>
      <c r="S272" s="23">
        <v>0.0</v>
      </c>
      <c r="T272" s="23">
        <f t="shared" si="2"/>
        <v>0</v>
      </c>
      <c r="U272" s="23">
        <f t="shared" si="3"/>
        <v>0</v>
      </c>
      <c r="V272" s="23">
        <f t="shared" si="4"/>
        <v>0</v>
      </c>
      <c r="W272" s="24" t="str">
        <f t="shared" si="5"/>
        <v>#DIV/0!</v>
      </c>
    </row>
    <row r="273" hidden="1">
      <c r="A273" s="15" t="s">
        <v>4308</v>
      </c>
      <c r="B273" s="15" t="s">
        <v>4309</v>
      </c>
      <c r="C273" s="15" t="s">
        <v>6457</v>
      </c>
      <c r="D273" s="15" t="s">
        <v>4310</v>
      </c>
      <c r="E273" s="17" t="s">
        <v>4311</v>
      </c>
      <c r="F273" s="18"/>
      <c r="G273" s="18"/>
      <c r="H273" s="15" t="s">
        <v>4312</v>
      </c>
      <c r="I273" s="18"/>
      <c r="J273" s="19" t="s">
        <v>36</v>
      </c>
      <c r="K273" s="19" t="s">
        <v>37</v>
      </c>
      <c r="L273" s="19" t="s">
        <v>38</v>
      </c>
      <c r="M273" s="20">
        <f t="shared" si="1"/>
        <v>0</v>
      </c>
      <c r="N273" s="22"/>
      <c r="O273" s="19" t="s">
        <v>3578</v>
      </c>
      <c r="P273" s="18"/>
      <c r="Q273" s="18"/>
      <c r="R273" s="23">
        <v>0.0</v>
      </c>
      <c r="S273" s="23">
        <v>0.0</v>
      </c>
      <c r="T273" s="23">
        <f t="shared" si="2"/>
        <v>0</v>
      </c>
      <c r="U273" s="23">
        <f t="shared" si="3"/>
        <v>0</v>
      </c>
      <c r="V273" s="23">
        <f t="shared" si="4"/>
        <v>0</v>
      </c>
      <c r="W273" s="24" t="str">
        <f t="shared" si="5"/>
        <v>#DIV/0!</v>
      </c>
    </row>
    <row r="274">
      <c r="A274" s="15" t="s">
        <v>204</v>
      </c>
      <c r="B274" s="15" t="s">
        <v>205</v>
      </c>
      <c r="C274" s="15" t="s">
        <v>6074</v>
      </c>
      <c r="D274" s="15" t="s">
        <v>206</v>
      </c>
      <c r="E274" s="17" t="s">
        <v>207</v>
      </c>
      <c r="F274" s="18"/>
      <c r="G274" s="15" t="s">
        <v>208</v>
      </c>
      <c r="H274" s="15" t="s">
        <v>209</v>
      </c>
      <c r="I274" s="18"/>
      <c r="J274" s="19" t="s">
        <v>36</v>
      </c>
      <c r="K274" s="19" t="s">
        <v>37</v>
      </c>
      <c r="L274" s="19" t="s">
        <v>38</v>
      </c>
      <c r="M274" s="20">
        <f t="shared" si="1"/>
        <v>0</v>
      </c>
      <c r="N274" s="31">
        <v>10.0</v>
      </c>
      <c r="O274" s="19" t="s">
        <v>107</v>
      </c>
      <c r="P274" s="18"/>
      <c r="Q274" s="18"/>
      <c r="R274" s="23">
        <v>0.0</v>
      </c>
      <c r="S274" s="23">
        <v>0.0</v>
      </c>
      <c r="T274" s="23">
        <f t="shared" si="2"/>
        <v>0</v>
      </c>
      <c r="U274" s="23">
        <f t="shared" si="3"/>
        <v>0</v>
      </c>
      <c r="V274" s="23">
        <f t="shared" si="4"/>
        <v>0</v>
      </c>
      <c r="W274" s="24" t="str">
        <f t="shared" si="5"/>
        <v>#DIV/0!</v>
      </c>
    </row>
    <row r="275" hidden="1">
      <c r="A275" s="15" t="s">
        <v>1391</v>
      </c>
      <c r="B275" s="18"/>
      <c r="C275" s="15" t="s">
        <v>6458</v>
      </c>
      <c r="D275" s="18"/>
      <c r="E275" s="17" t="s">
        <v>1392</v>
      </c>
      <c r="F275" s="18"/>
      <c r="G275" s="18"/>
      <c r="H275" s="15" t="s">
        <v>1393</v>
      </c>
      <c r="I275" s="18"/>
      <c r="J275" s="19" t="s">
        <v>36</v>
      </c>
      <c r="K275" s="19" t="s">
        <v>1230</v>
      </c>
      <c r="L275" s="19" t="s">
        <v>38</v>
      </c>
      <c r="M275" s="20">
        <f t="shared" si="1"/>
        <v>0</v>
      </c>
      <c r="N275" s="22"/>
      <c r="O275" s="19" t="s">
        <v>1145</v>
      </c>
      <c r="P275" s="18"/>
      <c r="Q275" s="18"/>
      <c r="R275" s="23">
        <v>0.0</v>
      </c>
      <c r="S275" s="23">
        <v>0.0</v>
      </c>
      <c r="T275" s="23">
        <f t="shared" si="2"/>
        <v>0</v>
      </c>
      <c r="U275" s="23">
        <f t="shared" si="3"/>
        <v>0</v>
      </c>
      <c r="V275" s="23">
        <f t="shared" si="4"/>
        <v>0</v>
      </c>
      <c r="W275" s="24" t="str">
        <f t="shared" si="5"/>
        <v>#DIV/0!</v>
      </c>
    </row>
    <row r="276" hidden="1">
      <c r="A276" s="15" t="s">
        <v>1394</v>
      </c>
      <c r="B276" s="18"/>
      <c r="C276" s="15" t="s">
        <v>6459</v>
      </c>
      <c r="D276" s="18"/>
      <c r="E276" s="17" t="s">
        <v>1395</v>
      </c>
      <c r="F276" s="18"/>
      <c r="G276" s="18"/>
      <c r="H276" s="15" t="s">
        <v>1396</v>
      </c>
      <c r="I276" s="18"/>
      <c r="J276" s="19" t="s">
        <v>36</v>
      </c>
      <c r="K276" s="19" t="s">
        <v>1230</v>
      </c>
      <c r="L276" s="19" t="s">
        <v>38</v>
      </c>
      <c r="M276" s="20">
        <f t="shared" si="1"/>
        <v>0</v>
      </c>
      <c r="N276" s="22"/>
      <c r="O276" s="19" t="s">
        <v>1145</v>
      </c>
      <c r="P276" s="18"/>
      <c r="Q276" s="18"/>
      <c r="R276" s="23">
        <v>0.0</v>
      </c>
      <c r="S276" s="23">
        <v>0.0</v>
      </c>
      <c r="T276" s="23">
        <f t="shared" si="2"/>
        <v>0</v>
      </c>
      <c r="U276" s="23">
        <f t="shared" si="3"/>
        <v>0</v>
      </c>
      <c r="V276" s="23">
        <f t="shared" si="4"/>
        <v>0</v>
      </c>
      <c r="W276" s="24" t="str">
        <f t="shared" si="5"/>
        <v>#DIV/0!</v>
      </c>
    </row>
    <row r="277" hidden="1">
      <c r="A277" s="15" t="s">
        <v>1397</v>
      </c>
      <c r="B277" s="18"/>
      <c r="C277" s="15" t="s">
        <v>6460</v>
      </c>
      <c r="D277" s="18"/>
      <c r="E277" s="17" t="s">
        <v>1398</v>
      </c>
      <c r="F277" s="18"/>
      <c r="G277" s="18"/>
      <c r="H277" s="15" t="s">
        <v>1399</v>
      </c>
      <c r="I277" s="18"/>
      <c r="J277" s="19" t="s">
        <v>36</v>
      </c>
      <c r="K277" s="19" t="s">
        <v>1230</v>
      </c>
      <c r="L277" s="19" t="s">
        <v>38</v>
      </c>
      <c r="M277" s="20">
        <f t="shared" si="1"/>
        <v>0</v>
      </c>
      <c r="N277" s="22"/>
      <c r="O277" s="19" t="s">
        <v>1145</v>
      </c>
      <c r="P277" s="18"/>
      <c r="Q277" s="18"/>
      <c r="R277" s="23">
        <v>0.0</v>
      </c>
      <c r="S277" s="23">
        <v>0.0</v>
      </c>
      <c r="T277" s="23">
        <f t="shared" si="2"/>
        <v>0</v>
      </c>
      <c r="U277" s="23">
        <f t="shared" si="3"/>
        <v>0</v>
      </c>
      <c r="V277" s="23">
        <f t="shared" si="4"/>
        <v>0</v>
      </c>
      <c r="W277" s="24" t="str">
        <f t="shared" si="5"/>
        <v>#DIV/0!</v>
      </c>
    </row>
    <row r="278" hidden="1">
      <c r="A278" s="15" t="s">
        <v>1400</v>
      </c>
      <c r="B278" s="18"/>
      <c r="C278" s="15" t="s">
        <v>6461</v>
      </c>
      <c r="D278" s="18"/>
      <c r="E278" s="17" t="s">
        <v>1401</v>
      </c>
      <c r="F278" s="18"/>
      <c r="G278" s="18"/>
      <c r="H278" s="15" t="s">
        <v>1402</v>
      </c>
      <c r="I278" s="18"/>
      <c r="J278" s="19" t="s">
        <v>36</v>
      </c>
      <c r="K278" s="19" t="s">
        <v>1230</v>
      </c>
      <c r="L278" s="19" t="s">
        <v>38</v>
      </c>
      <c r="M278" s="20">
        <f t="shared" si="1"/>
        <v>0</v>
      </c>
      <c r="N278" s="22"/>
      <c r="O278" s="19" t="s">
        <v>1145</v>
      </c>
      <c r="P278" s="18"/>
      <c r="Q278" s="18"/>
      <c r="R278" s="23">
        <v>0.0</v>
      </c>
      <c r="S278" s="23">
        <v>0.0</v>
      </c>
      <c r="T278" s="23">
        <f t="shared" si="2"/>
        <v>0</v>
      </c>
      <c r="U278" s="23">
        <f t="shared" si="3"/>
        <v>0</v>
      </c>
      <c r="V278" s="23">
        <f t="shared" si="4"/>
        <v>0</v>
      </c>
      <c r="W278" s="24" t="str">
        <f t="shared" si="5"/>
        <v>#DIV/0!</v>
      </c>
    </row>
    <row r="279" hidden="1">
      <c r="A279" s="15" t="s">
        <v>1403</v>
      </c>
      <c r="B279" s="18"/>
      <c r="C279" s="15" t="s">
        <v>6462</v>
      </c>
      <c r="D279" s="18"/>
      <c r="E279" s="17" t="s">
        <v>1404</v>
      </c>
      <c r="F279" s="18"/>
      <c r="G279" s="18"/>
      <c r="H279" s="15" t="s">
        <v>1405</v>
      </c>
      <c r="I279" s="18"/>
      <c r="J279" s="19" t="s">
        <v>36</v>
      </c>
      <c r="K279" s="19" t="s">
        <v>1230</v>
      </c>
      <c r="L279" s="19" t="s">
        <v>38</v>
      </c>
      <c r="M279" s="20">
        <f t="shared" si="1"/>
        <v>0</v>
      </c>
      <c r="N279" s="22"/>
      <c r="O279" s="19" t="s">
        <v>1145</v>
      </c>
      <c r="P279" s="18"/>
      <c r="Q279" s="18"/>
      <c r="R279" s="23">
        <v>0.0</v>
      </c>
      <c r="S279" s="23">
        <v>0.0</v>
      </c>
      <c r="T279" s="23">
        <f t="shared" si="2"/>
        <v>0</v>
      </c>
      <c r="U279" s="23">
        <f t="shared" si="3"/>
        <v>0</v>
      </c>
      <c r="V279" s="23">
        <f t="shared" si="4"/>
        <v>0</v>
      </c>
      <c r="W279" s="24" t="str">
        <f t="shared" si="5"/>
        <v>#DIV/0!</v>
      </c>
    </row>
    <row r="280" hidden="1">
      <c r="A280" s="15" t="s">
        <v>4313</v>
      </c>
      <c r="B280" s="15" t="s">
        <v>4314</v>
      </c>
      <c r="C280" s="15" t="s">
        <v>6463</v>
      </c>
      <c r="D280" s="15" t="s">
        <v>4315</v>
      </c>
      <c r="E280" s="17" t="s">
        <v>192</v>
      </c>
      <c r="F280" s="18"/>
      <c r="G280" s="18"/>
      <c r="H280" s="15" t="s">
        <v>4316</v>
      </c>
      <c r="I280" s="18"/>
      <c r="J280" s="19" t="s">
        <v>36</v>
      </c>
      <c r="K280" s="19" t="s">
        <v>1230</v>
      </c>
      <c r="L280" s="19" t="s">
        <v>38</v>
      </c>
      <c r="M280" s="20">
        <f t="shared" si="1"/>
        <v>0</v>
      </c>
      <c r="N280" s="22"/>
      <c r="O280" s="19" t="s">
        <v>3578</v>
      </c>
      <c r="P280" s="18"/>
      <c r="Q280" s="18"/>
      <c r="R280" s="23">
        <v>0.0</v>
      </c>
      <c r="S280" s="23">
        <v>0.0</v>
      </c>
      <c r="T280" s="23">
        <f t="shared" si="2"/>
        <v>0</v>
      </c>
      <c r="U280" s="23">
        <f t="shared" si="3"/>
        <v>0</v>
      </c>
      <c r="V280" s="23">
        <f t="shared" si="4"/>
        <v>0</v>
      </c>
      <c r="W280" s="24" t="str">
        <f t="shared" si="5"/>
        <v>#DIV/0!</v>
      </c>
    </row>
    <row r="281" hidden="1">
      <c r="A281" s="15" t="s">
        <v>1406</v>
      </c>
      <c r="B281" s="15" t="s">
        <v>230</v>
      </c>
      <c r="C281" s="15" t="s">
        <v>6464</v>
      </c>
      <c r="D281" s="18"/>
      <c r="E281" s="17" t="s">
        <v>1407</v>
      </c>
      <c r="F281" s="18"/>
      <c r="G281" s="18"/>
      <c r="H281" s="15" t="s">
        <v>1408</v>
      </c>
      <c r="I281" s="18"/>
      <c r="J281" s="19" t="s">
        <v>36</v>
      </c>
      <c r="K281" s="19" t="s">
        <v>1230</v>
      </c>
      <c r="L281" s="19" t="s">
        <v>38</v>
      </c>
      <c r="M281" s="20">
        <f t="shared" si="1"/>
        <v>0</v>
      </c>
      <c r="N281" s="22"/>
      <c r="O281" s="19" t="s">
        <v>1145</v>
      </c>
      <c r="P281" s="18"/>
      <c r="Q281" s="18"/>
      <c r="R281" s="23">
        <v>0.0</v>
      </c>
      <c r="S281" s="23">
        <v>0.0</v>
      </c>
      <c r="T281" s="23">
        <f t="shared" si="2"/>
        <v>0</v>
      </c>
      <c r="U281" s="23">
        <f t="shared" si="3"/>
        <v>0</v>
      </c>
      <c r="V281" s="23">
        <f t="shared" si="4"/>
        <v>0</v>
      </c>
      <c r="W281" s="24" t="str">
        <f t="shared" si="5"/>
        <v>#DIV/0!</v>
      </c>
    </row>
    <row r="282" hidden="1">
      <c r="A282" s="15" t="s">
        <v>4317</v>
      </c>
      <c r="B282" s="15" t="s">
        <v>4318</v>
      </c>
      <c r="C282" s="15" t="s">
        <v>6465</v>
      </c>
      <c r="D282" s="15" t="s">
        <v>4315</v>
      </c>
      <c r="E282" s="17" t="s">
        <v>192</v>
      </c>
      <c r="F282" s="18"/>
      <c r="G282" s="18"/>
      <c r="H282" s="15" t="s">
        <v>4319</v>
      </c>
      <c r="I282" s="18"/>
      <c r="J282" s="19" t="s">
        <v>36</v>
      </c>
      <c r="K282" s="19" t="s">
        <v>1230</v>
      </c>
      <c r="L282" s="19" t="s">
        <v>38</v>
      </c>
      <c r="M282" s="20">
        <f t="shared" si="1"/>
        <v>0</v>
      </c>
      <c r="N282" s="22"/>
      <c r="O282" s="19" t="s">
        <v>3578</v>
      </c>
      <c r="P282" s="18"/>
      <c r="Q282" s="18"/>
      <c r="R282" s="23">
        <v>0.0</v>
      </c>
      <c r="S282" s="23">
        <v>0.0</v>
      </c>
      <c r="T282" s="23">
        <f t="shared" si="2"/>
        <v>0</v>
      </c>
      <c r="U282" s="23">
        <f t="shared" si="3"/>
        <v>0</v>
      </c>
      <c r="V282" s="23">
        <f t="shared" si="4"/>
        <v>0</v>
      </c>
      <c r="W282" s="24" t="str">
        <f t="shared" si="5"/>
        <v>#DIV/0!</v>
      </c>
    </row>
    <row r="283" hidden="1">
      <c r="A283" s="15" t="s">
        <v>4320</v>
      </c>
      <c r="B283" s="15" t="s">
        <v>4321</v>
      </c>
      <c r="C283" s="15" t="s">
        <v>6466</v>
      </c>
      <c r="D283" s="15" t="s">
        <v>4315</v>
      </c>
      <c r="E283" s="17" t="s">
        <v>192</v>
      </c>
      <c r="F283" s="18"/>
      <c r="G283" s="18"/>
      <c r="H283" s="15" t="s">
        <v>4322</v>
      </c>
      <c r="I283" s="18"/>
      <c r="J283" s="19" t="s">
        <v>36</v>
      </c>
      <c r="K283" s="19" t="s">
        <v>1230</v>
      </c>
      <c r="L283" s="19" t="s">
        <v>38</v>
      </c>
      <c r="M283" s="20">
        <f t="shared" si="1"/>
        <v>0</v>
      </c>
      <c r="N283" s="22"/>
      <c r="O283" s="19" t="s">
        <v>3578</v>
      </c>
      <c r="P283" s="18"/>
      <c r="Q283" s="18"/>
      <c r="R283" s="23">
        <v>0.0</v>
      </c>
      <c r="S283" s="23">
        <v>0.0</v>
      </c>
      <c r="T283" s="23">
        <f t="shared" si="2"/>
        <v>0</v>
      </c>
      <c r="U283" s="23">
        <f t="shared" si="3"/>
        <v>0</v>
      </c>
      <c r="V283" s="23">
        <f t="shared" si="4"/>
        <v>0</v>
      </c>
      <c r="W283" s="24" t="str">
        <f t="shared" si="5"/>
        <v>#DIV/0!</v>
      </c>
    </row>
    <row r="284" hidden="1">
      <c r="A284" s="15" t="s">
        <v>4323</v>
      </c>
      <c r="B284" s="15" t="s">
        <v>4324</v>
      </c>
      <c r="C284" s="15" t="s">
        <v>6467</v>
      </c>
      <c r="D284" s="18"/>
      <c r="E284" s="17" t="s">
        <v>4325</v>
      </c>
      <c r="F284" s="18"/>
      <c r="G284" s="18"/>
      <c r="H284" s="15" t="s">
        <v>4326</v>
      </c>
      <c r="I284" s="18"/>
      <c r="J284" s="19" t="s">
        <v>36</v>
      </c>
      <c r="K284" s="19" t="s">
        <v>1230</v>
      </c>
      <c r="L284" s="19" t="s">
        <v>38</v>
      </c>
      <c r="M284" s="20">
        <f t="shared" si="1"/>
        <v>0</v>
      </c>
      <c r="N284" s="22"/>
      <c r="O284" s="19" t="s">
        <v>3578</v>
      </c>
      <c r="P284" s="18"/>
      <c r="Q284" s="18"/>
      <c r="R284" s="23">
        <v>0.0</v>
      </c>
      <c r="S284" s="23">
        <v>0.0</v>
      </c>
      <c r="T284" s="23">
        <f t="shared" si="2"/>
        <v>0</v>
      </c>
      <c r="U284" s="23">
        <f t="shared" si="3"/>
        <v>0</v>
      </c>
      <c r="V284" s="23">
        <f t="shared" si="4"/>
        <v>0</v>
      </c>
      <c r="W284" s="24" t="str">
        <f t="shared" si="5"/>
        <v>#DIV/0!</v>
      </c>
    </row>
    <row r="285" hidden="1">
      <c r="A285" s="15" t="s">
        <v>4327</v>
      </c>
      <c r="B285" s="15" t="s">
        <v>4328</v>
      </c>
      <c r="C285" s="15" t="s">
        <v>6468</v>
      </c>
      <c r="D285" s="15" t="s">
        <v>4329</v>
      </c>
      <c r="E285" s="17" t="s">
        <v>4330</v>
      </c>
      <c r="F285" s="18"/>
      <c r="G285" s="18"/>
      <c r="H285" s="15" t="s">
        <v>6469</v>
      </c>
      <c r="I285" s="18"/>
      <c r="J285" s="19" t="s">
        <v>36</v>
      </c>
      <c r="K285" s="19" t="s">
        <v>1230</v>
      </c>
      <c r="L285" s="19" t="s">
        <v>38</v>
      </c>
      <c r="M285" s="20">
        <f t="shared" si="1"/>
        <v>0</v>
      </c>
      <c r="N285" s="22"/>
      <c r="O285" s="19" t="s">
        <v>3578</v>
      </c>
      <c r="P285" s="18"/>
      <c r="Q285" s="18"/>
      <c r="R285" s="23">
        <v>0.0</v>
      </c>
      <c r="S285" s="23">
        <v>0.0</v>
      </c>
      <c r="T285" s="23">
        <f t="shared" si="2"/>
        <v>0</v>
      </c>
      <c r="U285" s="23">
        <f t="shared" si="3"/>
        <v>0</v>
      </c>
      <c r="V285" s="23">
        <f t="shared" si="4"/>
        <v>0</v>
      </c>
      <c r="W285" s="24" t="str">
        <f t="shared" si="5"/>
        <v>#DIV/0!</v>
      </c>
    </row>
    <row r="286" hidden="1">
      <c r="A286" s="15" t="s">
        <v>4332</v>
      </c>
      <c r="B286" s="15" t="s">
        <v>4333</v>
      </c>
      <c r="C286" s="15" t="s">
        <v>6470</v>
      </c>
      <c r="D286" s="15" t="s">
        <v>4315</v>
      </c>
      <c r="E286" s="17" t="s">
        <v>4334</v>
      </c>
      <c r="F286" s="18"/>
      <c r="G286" s="18"/>
      <c r="H286" s="15" t="s">
        <v>4335</v>
      </c>
      <c r="I286" s="18"/>
      <c r="J286" s="19" t="s">
        <v>36</v>
      </c>
      <c r="K286" s="19" t="s">
        <v>1230</v>
      </c>
      <c r="L286" s="19" t="s">
        <v>38</v>
      </c>
      <c r="M286" s="20">
        <f t="shared" si="1"/>
        <v>0</v>
      </c>
      <c r="N286" s="22"/>
      <c r="O286" s="19" t="s">
        <v>3578</v>
      </c>
      <c r="P286" s="18"/>
      <c r="Q286" s="18"/>
      <c r="R286" s="23">
        <v>0.0</v>
      </c>
      <c r="S286" s="23">
        <v>0.0</v>
      </c>
      <c r="T286" s="23">
        <f t="shared" si="2"/>
        <v>0</v>
      </c>
      <c r="U286" s="23">
        <f t="shared" si="3"/>
        <v>0</v>
      </c>
      <c r="V286" s="23">
        <f t="shared" si="4"/>
        <v>0</v>
      </c>
      <c r="W286" s="24" t="str">
        <f t="shared" si="5"/>
        <v>#DIV/0!</v>
      </c>
    </row>
    <row r="287" hidden="1">
      <c r="A287" s="15" t="s">
        <v>1409</v>
      </c>
      <c r="B287" s="15" t="s">
        <v>230</v>
      </c>
      <c r="C287" s="15" t="s">
        <v>6471</v>
      </c>
      <c r="D287" s="18"/>
      <c r="E287" s="17" t="s">
        <v>1407</v>
      </c>
      <c r="F287" s="18"/>
      <c r="G287" s="18"/>
      <c r="H287" s="15" t="s">
        <v>1410</v>
      </c>
      <c r="I287" s="18"/>
      <c r="J287" s="19" t="s">
        <v>36</v>
      </c>
      <c r="K287" s="19" t="s">
        <v>1230</v>
      </c>
      <c r="L287" s="19" t="s">
        <v>38</v>
      </c>
      <c r="M287" s="20">
        <f t="shared" si="1"/>
        <v>0</v>
      </c>
      <c r="N287" s="22"/>
      <c r="O287" s="19" t="s">
        <v>1145</v>
      </c>
      <c r="P287" s="18"/>
      <c r="Q287" s="18"/>
      <c r="R287" s="23">
        <v>0.0</v>
      </c>
      <c r="S287" s="23">
        <v>0.0</v>
      </c>
      <c r="T287" s="23">
        <f t="shared" si="2"/>
        <v>0</v>
      </c>
      <c r="U287" s="23">
        <f t="shared" si="3"/>
        <v>0</v>
      </c>
      <c r="V287" s="23">
        <f t="shared" si="4"/>
        <v>0</v>
      </c>
      <c r="W287" s="24" t="str">
        <f t="shared" si="5"/>
        <v>#DIV/0!</v>
      </c>
    </row>
    <row r="288" hidden="1">
      <c r="A288" s="15" t="s">
        <v>1411</v>
      </c>
      <c r="B288" s="18"/>
      <c r="C288" s="15" t="s">
        <v>6472</v>
      </c>
      <c r="D288" s="18"/>
      <c r="E288" s="17" t="s">
        <v>1412</v>
      </c>
      <c r="F288" s="18"/>
      <c r="G288" s="18"/>
      <c r="H288" s="15" t="s">
        <v>1413</v>
      </c>
      <c r="I288" s="18"/>
      <c r="J288" s="19" t="s">
        <v>36</v>
      </c>
      <c r="K288" s="19" t="s">
        <v>37</v>
      </c>
      <c r="L288" s="19" t="s">
        <v>38</v>
      </c>
      <c r="M288" s="20">
        <f t="shared" si="1"/>
        <v>0</v>
      </c>
      <c r="N288" s="22"/>
      <c r="O288" s="19" t="s">
        <v>1145</v>
      </c>
      <c r="P288" s="18"/>
      <c r="Q288" s="18"/>
      <c r="R288" s="23">
        <v>0.0</v>
      </c>
      <c r="S288" s="23">
        <v>0.0</v>
      </c>
      <c r="T288" s="23">
        <f t="shared" si="2"/>
        <v>0</v>
      </c>
      <c r="U288" s="23">
        <f t="shared" si="3"/>
        <v>0</v>
      </c>
      <c r="V288" s="23">
        <f t="shared" si="4"/>
        <v>0</v>
      </c>
      <c r="W288" s="24" t="str">
        <f t="shared" si="5"/>
        <v>#DIV/0!</v>
      </c>
    </row>
    <row r="289" hidden="1">
      <c r="A289" s="15" t="s">
        <v>4336</v>
      </c>
      <c r="B289" s="15" t="s">
        <v>4337</v>
      </c>
      <c r="C289" s="15" t="s">
        <v>6473</v>
      </c>
      <c r="D289" s="15" t="s">
        <v>4338</v>
      </c>
      <c r="E289" s="17" t="s">
        <v>4339</v>
      </c>
      <c r="F289" s="18"/>
      <c r="G289" s="18"/>
      <c r="H289" s="15" t="s">
        <v>4340</v>
      </c>
      <c r="I289" s="18"/>
      <c r="J289" s="19" t="s">
        <v>36</v>
      </c>
      <c r="K289" s="19" t="s">
        <v>37</v>
      </c>
      <c r="L289" s="19" t="s">
        <v>38</v>
      </c>
      <c r="M289" s="20">
        <f t="shared" si="1"/>
        <v>0</v>
      </c>
      <c r="N289" s="22"/>
      <c r="O289" s="19" t="s">
        <v>3578</v>
      </c>
      <c r="P289" s="18"/>
      <c r="Q289" s="18"/>
      <c r="R289" s="23">
        <v>0.0</v>
      </c>
      <c r="S289" s="23">
        <v>0.0</v>
      </c>
      <c r="T289" s="23">
        <f t="shared" si="2"/>
        <v>0</v>
      </c>
      <c r="U289" s="23">
        <f t="shared" si="3"/>
        <v>0</v>
      </c>
      <c r="V289" s="23">
        <f t="shared" si="4"/>
        <v>0</v>
      </c>
      <c r="W289" s="24" t="str">
        <f t="shared" si="5"/>
        <v>#DIV/0!</v>
      </c>
    </row>
    <row r="290" hidden="1">
      <c r="A290" s="15" t="s">
        <v>4341</v>
      </c>
      <c r="B290" s="15" t="s">
        <v>4342</v>
      </c>
      <c r="C290" s="15" t="s">
        <v>6474</v>
      </c>
      <c r="D290" s="15" t="s">
        <v>4343</v>
      </c>
      <c r="E290" s="17" t="s">
        <v>4344</v>
      </c>
      <c r="F290" s="18"/>
      <c r="G290" s="18"/>
      <c r="H290" s="15" t="s">
        <v>4345</v>
      </c>
      <c r="I290" s="18"/>
      <c r="J290" s="19" t="s">
        <v>36</v>
      </c>
      <c r="K290" s="19" t="s">
        <v>37</v>
      </c>
      <c r="L290" s="19" t="s">
        <v>38</v>
      </c>
      <c r="M290" s="20">
        <f t="shared" si="1"/>
        <v>0</v>
      </c>
      <c r="N290" s="22"/>
      <c r="O290" s="19" t="s">
        <v>3578</v>
      </c>
      <c r="P290" s="18"/>
      <c r="Q290" s="18"/>
      <c r="R290" s="23">
        <v>0.0</v>
      </c>
      <c r="S290" s="23">
        <v>0.0</v>
      </c>
      <c r="T290" s="23">
        <f t="shared" si="2"/>
        <v>0</v>
      </c>
      <c r="U290" s="23">
        <f t="shared" si="3"/>
        <v>0</v>
      </c>
      <c r="V290" s="23">
        <f t="shared" si="4"/>
        <v>0</v>
      </c>
      <c r="W290" s="24" t="str">
        <f t="shared" si="5"/>
        <v>#DIV/0!</v>
      </c>
    </row>
    <row r="291" hidden="1">
      <c r="A291" s="15" t="s">
        <v>4346</v>
      </c>
      <c r="B291" s="15" t="s">
        <v>4347</v>
      </c>
      <c r="C291" s="15" t="s">
        <v>6475</v>
      </c>
      <c r="D291" s="15" t="s">
        <v>4348</v>
      </c>
      <c r="E291" s="17" t="s">
        <v>4349</v>
      </c>
      <c r="F291" s="18"/>
      <c r="G291" s="18"/>
      <c r="H291" s="15" t="s">
        <v>4350</v>
      </c>
      <c r="I291" s="18"/>
      <c r="J291" s="19" t="s">
        <v>36</v>
      </c>
      <c r="K291" s="19" t="s">
        <v>37</v>
      </c>
      <c r="L291" s="19" t="s">
        <v>38</v>
      </c>
      <c r="M291" s="20">
        <f t="shared" si="1"/>
        <v>0</v>
      </c>
      <c r="N291" s="22"/>
      <c r="O291" s="19" t="s">
        <v>3578</v>
      </c>
      <c r="P291" s="18"/>
      <c r="Q291" s="18"/>
      <c r="R291" s="23">
        <v>0.0</v>
      </c>
      <c r="S291" s="23">
        <v>0.0</v>
      </c>
      <c r="T291" s="23">
        <f t="shared" si="2"/>
        <v>0</v>
      </c>
      <c r="U291" s="23">
        <f t="shared" si="3"/>
        <v>0</v>
      </c>
      <c r="V291" s="23">
        <f t="shared" si="4"/>
        <v>0</v>
      </c>
      <c r="W291" s="24" t="str">
        <f t="shared" si="5"/>
        <v>#DIV/0!</v>
      </c>
    </row>
    <row r="292" hidden="1">
      <c r="A292" s="15" t="s">
        <v>4351</v>
      </c>
      <c r="B292" s="15" t="s">
        <v>4352</v>
      </c>
      <c r="C292" s="15" t="s">
        <v>6476</v>
      </c>
      <c r="D292" s="15" t="s">
        <v>4353</v>
      </c>
      <c r="E292" s="17" t="s">
        <v>4354</v>
      </c>
      <c r="F292" s="18"/>
      <c r="G292" s="18"/>
      <c r="H292" s="15" t="s">
        <v>4355</v>
      </c>
      <c r="I292" s="18"/>
      <c r="J292" s="19" t="s">
        <v>36</v>
      </c>
      <c r="K292" s="19" t="s">
        <v>37</v>
      </c>
      <c r="L292" s="19" t="s">
        <v>38</v>
      </c>
      <c r="M292" s="20">
        <f t="shared" si="1"/>
        <v>0</v>
      </c>
      <c r="N292" s="22"/>
      <c r="O292" s="19" t="s">
        <v>3578</v>
      </c>
      <c r="P292" s="18"/>
      <c r="Q292" s="18"/>
      <c r="R292" s="23">
        <v>0.0</v>
      </c>
      <c r="S292" s="23">
        <v>0.0</v>
      </c>
      <c r="T292" s="23">
        <f t="shared" si="2"/>
        <v>0</v>
      </c>
      <c r="U292" s="23">
        <f t="shared" si="3"/>
        <v>0</v>
      </c>
      <c r="V292" s="23">
        <f t="shared" si="4"/>
        <v>0</v>
      </c>
      <c r="W292" s="24" t="str">
        <f t="shared" si="5"/>
        <v>#DIV/0!</v>
      </c>
    </row>
    <row r="293" hidden="1">
      <c r="A293" s="15" t="s">
        <v>4356</v>
      </c>
      <c r="B293" s="15" t="s">
        <v>4357</v>
      </c>
      <c r="C293" s="15" t="s">
        <v>6477</v>
      </c>
      <c r="D293" s="15" t="s">
        <v>4358</v>
      </c>
      <c r="E293" s="17" t="s">
        <v>4359</v>
      </c>
      <c r="F293" s="18"/>
      <c r="G293" s="18"/>
      <c r="H293" s="15" t="s">
        <v>4360</v>
      </c>
      <c r="I293" s="18"/>
      <c r="J293" s="19" t="s">
        <v>36</v>
      </c>
      <c r="K293" s="19" t="s">
        <v>37</v>
      </c>
      <c r="L293" s="19" t="s">
        <v>38</v>
      </c>
      <c r="M293" s="20">
        <f t="shared" si="1"/>
        <v>0</v>
      </c>
      <c r="N293" s="22"/>
      <c r="O293" s="19" t="s">
        <v>3578</v>
      </c>
      <c r="P293" s="18"/>
      <c r="Q293" s="18"/>
      <c r="R293" s="23">
        <v>0.0</v>
      </c>
      <c r="S293" s="23">
        <v>0.0</v>
      </c>
      <c r="T293" s="23">
        <f t="shared" si="2"/>
        <v>0</v>
      </c>
      <c r="U293" s="23">
        <f t="shared" si="3"/>
        <v>0</v>
      </c>
      <c r="V293" s="23">
        <f t="shared" si="4"/>
        <v>0</v>
      </c>
      <c r="W293" s="24" t="str">
        <f t="shared" si="5"/>
        <v>#DIV/0!</v>
      </c>
    </row>
    <row r="294" hidden="1">
      <c r="A294" s="15" t="s">
        <v>4361</v>
      </c>
      <c r="B294" s="15" t="s">
        <v>4362</v>
      </c>
      <c r="C294" s="15" t="s">
        <v>6478</v>
      </c>
      <c r="D294" s="15" t="s">
        <v>4363</v>
      </c>
      <c r="E294" s="17" t="s">
        <v>4364</v>
      </c>
      <c r="F294" s="18"/>
      <c r="G294" s="18"/>
      <c r="H294" s="15" t="s">
        <v>4365</v>
      </c>
      <c r="I294" s="18"/>
      <c r="J294" s="19" t="s">
        <v>36</v>
      </c>
      <c r="K294" s="19" t="s">
        <v>37</v>
      </c>
      <c r="L294" s="19" t="s">
        <v>38</v>
      </c>
      <c r="M294" s="20">
        <f t="shared" si="1"/>
        <v>0</v>
      </c>
      <c r="N294" s="22"/>
      <c r="O294" s="19" t="s">
        <v>3578</v>
      </c>
      <c r="P294" s="18"/>
      <c r="Q294" s="18"/>
      <c r="R294" s="23">
        <v>0.0</v>
      </c>
      <c r="S294" s="23">
        <v>0.0</v>
      </c>
      <c r="T294" s="23">
        <f t="shared" si="2"/>
        <v>0</v>
      </c>
      <c r="U294" s="23">
        <f t="shared" si="3"/>
        <v>0</v>
      </c>
      <c r="V294" s="23">
        <f t="shared" si="4"/>
        <v>0</v>
      </c>
      <c r="W294" s="24" t="str">
        <f t="shared" si="5"/>
        <v>#DIV/0!</v>
      </c>
    </row>
    <row r="295" hidden="1">
      <c r="A295" s="15" t="s">
        <v>4366</v>
      </c>
      <c r="B295" s="15" t="s">
        <v>4367</v>
      </c>
      <c r="C295" s="15" t="s">
        <v>6479</v>
      </c>
      <c r="D295" s="15" t="s">
        <v>4368</v>
      </c>
      <c r="E295" s="17" t="s">
        <v>4369</v>
      </c>
      <c r="F295" s="18"/>
      <c r="G295" s="18"/>
      <c r="H295" s="15" t="s">
        <v>4370</v>
      </c>
      <c r="I295" s="18"/>
      <c r="J295" s="19" t="s">
        <v>36</v>
      </c>
      <c r="K295" s="19" t="s">
        <v>37</v>
      </c>
      <c r="L295" s="19" t="s">
        <v>38</v>
      </c>
      <c r="M295" s="20">
        <f t="shared" si="1"/>
        <v>0</v>
      </c>
      <c r="N295" s="22"/>
      <c r="O295" s="19" t="s">
        <v>3578</v>
      </c>
      <c r="P295" s="18"/>
      <c r="Q295" s="18"/>
      <c r="R295" s="23">
        <v>0.0</v>
      </c>
      <c r="S295" s="23">
        <v>0.0</v>
      </c>
      <c r="T295" s="23">
        <f t="shared" si="2"/>
        <v>0</v>
      </c>
      <c r="U295" s="23">
        <f t="shared" si="3"/>
        <v>0</v>
      </c>
      <c r="V295" s="23">
        <f t="shared" si="4"/>
        <v>0</v>
      </c>
      <c r="W295" s="24" t="str">
        <f t="shared" si="5"/>
        <v>#DIV/0!</v>
      </c>
    </row>
    <row r="296" hidden="1">
      <c r="A296" s="15" t="s">
        <v>6480</v>
      </c>
      <c r="B296" s="18"/>
      <c r="C296" s="15" t="s">
        <v>6481</v>
      </c>
      <c r="D296" s="18"/>
      <c r="E296" s="17" t="s">
        <v>6482</v>
      </c>
      <c r="F296" s="18"/>
      <c r="G296" s="18"/>
      <c r="H296" s="15" t="s">
        <v>4374</v>
      </c>
      <c r="I296" s="18"/>
      <c r="J296" s="19" t="s">
        <v>36</v>
      </c>
      <c r="K296" s="19" t="s">
        <v>1230</v>
      </c>
      <c r="L296" s="19" t="s">
        <v>38</v>
      </c>
      <c r="M296" s="20">
        <f t="shared" si="1"/>
        <v>0</v>
      </c>
      <c r="N296" s="22"/>
      <c r="O296" s="19" t="s">
        <v>39</v>
      </c>
      <c r="P296" s="18"/>
      <c r="Q296" s="18"/>
      <c r="R296" s="23">
        <v>0.0</v>
      </c>
      <c r="S296" s="23">
        <v>0.0</v>
      </c>
      <c r="T296" s="23">
        <f t="shared" si="2"/>
        <v>0</v>
      </c>
      <c r="U296" s="23">
        <f t="shared" si="3"/>
        <v>0</v>
      </c>
      <c r="V296" s="23">
        <f t="shared" si="4"/>
        <v>0</v>
      </c>
      <c r="W296" s="24" t="str">
        <f t="shared" si="5"/>
        <v>#DIV/0!</v>
      </c>
    </row>
    <row r="297" hidden="1">
      <c r="A297" s="15" t="s">
        <v>4371</v>
      </c>
      <c r="B297" s="18"/>
      <c r="C297" s="15" t="s">
        <v>6483</v>
      </c>
      <c r="D297" s="18"/>
      <c r="E297" s="17" t="s">
        <v>4373</v>
      </c>
      <c r="F297" s="18"/>
      <c r="G297" s="18"/>
      <c r="H297" s="15" t="s">
        <v>4374</v>
      </c>
      <c r="I297" s="18"/>
      <c r="J297" s="19" t="s">
        <v>36</v>
      </c>
      <c r="K297" s="19" t="s">
        <v>1230</v>
      </c>
      <c r="L297" s="19" t="s">
        <v>38</v>
      </c>
      <c r="M297" s="20">
        <f t="shared" si="1"/>
        <v>0</v>
      </c>
      <c r="N297" s="22"/>
      <c r="O297" s="19" t="s">
        <v>3578</v>
      </c>
      <c r="P297" s="18"/>
      <c r="Q297" s="18"/>
      <c r="R297" s="23">
        <v>0.0</v>
      </c>
      <c r="S297" s="23">
        <v>0.0</v>
      </c>
      <c r="T297" s="23">
        <f t="shared" si="2"/>
        <v>0</v>
      </c>
      <c r="U297" s="23">
        <f t="shared" si="3"/>
        <v>0</v>
      </c>
      <c r="V297" s="23">
        <f t="shared" si="4"/>
        <v>0</v>
      </c>
      <c r="W297" s="24" t="str">
        <f t="shared" si="5"/>
        <v>#DIV/0!</v>
      </c>
    </row>
    <row r="298" hidden="1">
      <c r="A298" s="15" t="s">
        <v>4375</v>
      </c>
      <c r="B298" s="15"/>
      <c r="C298" s="15" t="s">
        <v>6484</v>
      </c>
      <c r="D298" s="18"/>
      <c r="E298" s="17" t="s">
        <v>6485</v>
      </c>
      <c r="F298" s="18"/>
      <c r="G298" s="18"/>
      <c r="H298" s="15" t="s">
        <v>4378</v>
      </c>
      <c r="I298" s="18"/>
      <c r="J298" s="19" t="s">
        <v>36</v>
      </c>
      <c r="K298" s="19" t="s">
        <v>1230</v>
      </c>
      <c r="L298" s="19" t="s">
        <v>38</v>
      </c>
      <c r="M298" s="20">
        <f t="shared" si="1"/>
        <v>0</v>
      </c>
      <c r="N298" s="22"/>
      <c r="O298" s="19" t="s">
        <v>1145</v>
      </c>
      <c r="P298" s="18"/>
      <c r="Q298" s="18"/>
      <c r="R298" s="23">
        <v>0.0</v>
      </c>
      <c r="S298" s="23">
        <v>0.0</v>
      </c>
      <c r="T298" s="23">
        <f t="shared" si="2"/>
        <v>0</v>
      </c>
      <c r="U298" s="23">
        <f t="shared" si="3"/>
        <v>0</v>
      </c>
      <c r="V298" s="23">
        <f t="shared" si="4"/>
        <v>0</v>
      </c>
      <c r="W298" s="24" t="str">
        <f t="shared" si="5"/>
        <v>#DIV/0!</v>
      </c>
    </row>
    <row r="299" hidden="1">
      <c r="A299" s="15" t="s">
        <v>4379</v>
      </c>
      <c r="B299" s="18"/>
      <c r="C299" s="15" t="s">
        <v>6486</v>
      </c>
      <c r="D299" s="18"/>
      <c r="E299" s="17" t="s">
        <v>6487</v>
      </c>
      <c r="F299" s="18"/>
      <c r="G299" s="18"/>
      <c r="H299" s="15" t="s">
        <v>4382</v>
      </c>
      <c r="I299" s="18"/>
      <c r="J299" s="19" t="s">
        <v>36</v>
      </c>
      <c r="K299" s="19" t="s">
        <v>1230</v>
      </c>
      <c r="L299" s="19" t="s">
        <v>38</v>
      </c>
      <c r="M299" s="20">
        <f t="shared" si="1"/>
        <v>0</v>
      </c>
      <c r="N299" s="22"/>
      <c r="O299" s="19" t="s">
        <v>1145</v>
      </c>
      <c r="P299" s="18"/>
      <c r="Q299" s="18"/>
      <c r="R299" s="23">
        <v>0.0</v>
      </c>
      <c r="S299" s="23">
        <v>0.0</v>
      </c>
      <c r="T299" s="23">
        <f t="shared" si="2"/>
        <v>0</v>
      </c>
      <c r="U299" s="23">
        <f t="shared" si="3"/>
        <v>0</v>
      </c>
      <c r="V299" s="23">
        <f t="shared" si="4"/>
        <v>0</v>
      </c>
      <c r="W299" s="24" t="str">
        <f t="shared" si="5"/>
        <v>#DIV/0!</v>
      </c>
    </row>
    <row r="300" hidden="1">
      <c r="A300" s="15" t="s">
        <v>4383</v>
      </c>
      <c r="B300" s="18"/>
      <c r="C300" s="15" t="s">
        <v>6488</v>
      </c>
      <c r="D300" s="18"/>
      <c r="E300" s="17" t="s">
        <v>6489</v>
      </c>
      <c r="F300" s="18"/>
      <c r="G300" s="18"/>
      <c r="H300" s="15" t="s">
        <v>4386</v>
      </c>
      <c r="I300" s="18"/>
      <c r="J300" s="19" t="s">
        <v>36</v>
      </c>
      <c r="K300" s="19" t="s">
        <v>1230</v>
      </c>
      <c r="L300" s="19" t="s">
        <v>38</v>
      </c>
      <c r="M300" s="20">
        <f t="shared" si="1"/>
        <v>0</v>
      </c>
      <c r="N300" s="22"/>
      <c r="O300" s="19" t="s">
        <v>1145</v>
      </c>
      <c r="P300" s="18"/>
      <c r="Q300" s="18"/>
      <c r="R300" s="23">
        <v>0.0</v>
      </c>
      <c r="S300" s="23">
        <v>0.0</v>
      </c>
      <c r="T300" s="23">
        <f t="shared" si="2"/>
        <v>0</v>
      </c>
      <c r="U300" s="23">
        <f t="shared" si="3"/>
        <v>0</v>
      </c>
      <c r="V300" s="23">
        <f t="shared" si="4"/>
        <v>0</v>
      </c>
      <c r="W300" s="24" t="str">
        <f t="shared" si="5"/>
        <v>#DIV/0!</v>
      </c>
    </row>
    <row r="301" hidden="1">
      <c r="A301" s="15" t="s">
        <v>4387</v>
      </c>
      <c r="B301" s="18"/>
      <c r="C301" s="15" t="s">
        <v>6490</v>
      </c>
      <c r="D301" s="18"/>
      <c r="E301" s="17" t="s">
        <v>6491</v>
      </c>
      <c r="F301" s="18"/>
      <c r="G301" s="18"/>
      <c r="H301" s="15" t="s">
        <v>4390</v>
      </c>
      <c r="I301" s="18"/>
      <c r="J301" s="19" t="s">
        <v>36</v>
      </c>
      <c r="K301" s="19" t="s">
        <v>1230</v>
      </c>
      <c r="L301" s="19" t="s">
        <v>38</v>
      </c>
      <c r="M301" s="20">
        <f t="shared" si="1"/>
        <v>0</v>
      </c>
      <c r="N301" s="22"/>
      <c r="O301" s="19" t="s">
        <v>1145</v>
      </c>
      <c r="P301" s="18"/>
      <c r="Q301" s="18"/>
      <c r="R301" s="23">
        <v>0.0</v>
      </c>
      <c r="S301" s="23">
        <v>0.0</v>
      </c>
      <c r="T301" s="23">
        <f t="shared" si="2"/>
        <v>0</v>
      </c>
      <c r="U301" s="23">
        <f t="shared" si="3"/>
        <v>0</v>
      </c>
      <c r="V301" s="23">
        <f t="shared" si="4"/>
        <v>0</v>
      </c>
      <c r="W301" s="24" t="str">
        <f t="shared" si="5"/>
        <v>#DIV/0!</v>
      </c>
    </row>
    <row r="302" hidden="1">
      <c r="A302" s="15" t="s">
        <v>4391</v>
      </c>
      <c r="B302" s="18"/>
      <c r="C302" s="15" t="s">
        <v>6492</v>
      </c>
      <c r="D302" s="18"/>
      <c r="E302" s="17" t="s">
        <v>6493</v>
      </c>
      <c r="F302" s="18"/>
      <c r="G302" s="18"/>
      <c r="H302" s="15" t="s">
        <v>4393</v>
      </c>
      <c r="I302" s="18"/>
      <c r="J302" s="19" t="s">
        <v>36</v>
      </c>
      <c r="K302" s="19" t="s">
        <v>1230</v>
      </c>
      <c r="L302" s="19" t="s">
        <v>38</v>
      </c>
      <c r="M302" s="20">
        <f t="shared" si="1"/>
        <v>0</v>
      </c>
      <c r="N302" s="22"/>
      <c r="O302" s="19" t="s">
        <v>1145</v>
      </c>
      <c r="P302" s="18"/>
      <c r="Q302" s="18"/>
      <c r="R302" s="23">
        <v>0.0</v>
      </c>
      <c r="S302" s="23">
        <v>0.0</v>
      </c>
      <c r="T302" s="23">
        <f t="shared" si="2"/>
        <v>0</v>
      </c>
      <c r="U302" s="23">
        <f t="shared" si="3"/>
        <v>0</v>
      </c>
      <c r="V302" s="23">
        <f t="shared" si="4"/>
        <v>0</v>
      </c>
      <c r="W302" s="24" t="str">
        <f t="shared" si="5"/>
        <v>#DIV/0!</v>
      </c>
    </row>
    <row r="303" hidden="1">
      <c r="A303" s="15" t="s">
        <v>4394</v>
      </c>
      <c r="B303" s="18"/>
      <c r="C303" s="15" t="s">
        <v>6494</v>
      </c>
      <c r="D303" s="18"/>
      <c r="E303" s="17" t="s">
        <v>4395</v>
      </c>
      <c r="F303" s="18"/>
      <c r="G303" s="18"/>
      <c r="H303" s="15" t="s">
        <v>4396</v>
      </c>
      <c r="I303" s="18"/>
      <c r="J303" s="19" t="s">
        <v>36</v>
      </c>
      <c r="K303" s="19" t="s">
        <v>1230</v>
      </c>
      <c r="L303" s="19" t="s">
        <v>38</v>
      </c>
      <c r="M303" s="20">
        <f t="shared" si="1"/>
        <v>0</v>
      </c>
      <c r="N303" s="22"/>
      <c r="O303" s="19" t="s">
        <v>3578</v>
      </c>
      <c r="P303" s="18"/>
      <c r="Q303" s="18"/>
      <c r="R303" s="23">
        <v>0.0</v>
      </c>
      <c r="S303" s="23">
        <v>0.0</v>
      </c>
      <c r="T303" s="23">
        <f t="shared" si="2"/>
        <v>0</v>
      </c>
      <c r="U303" s="23">
        <f t="shared" si="3"/>
        <v>0</v>
      </c>
      <c r="V303" s="23">
        <f t="shared" si="4"/>
        <v>0</v>
      </c>
      <c r="W303" s="24" t="str">
        <f t="shared" si="5"/>
        <v>#DIV/0!</v>
      </c>
    </row>
    <row r="304" hidden="1">
      <c r="A304" s="15" t="s">
        <v>4397</v>
      </c>
      <c r="B304" s="15" t="s">
        <v>4398</v>
      </c>
      <c r="C304" s="15" t="s">
        <v>6495</v>
      </c>
      <c r="D304" s="18"/>
      <c r="E304" s="17" t="s">
        <v>4399</v>
      </c>
      <c r="F304" s="18"/>
      <c r="G304" s="18"/>
      <c r="H304" s="15" t="s">
        <v>4400</v>
      </c>
      <c r="I304" s="18"/>
      <c r="J304" s="19" t="s">
        <v>36</v>
      </c>
      <c r="K304" s="19" t="s">
        <v>284</v>
      </c>
      <c r="L304" s="19" t="s">
        <v>38</v>
      </c>
      <c r="M304" s="20">
        <f t="shared" si="1"/>
        <v>0</v>
      </c>
      <c r="N304" s="22"/>
      <c r="O304" s="19" t="s">
        <v>3578</v>
      </c>
      <c r="P304" s="18"/>
      <c r="Q304" s="18"/>
      <c r="R304" s="23">
        <v>0.0</v>
      </c>
      <c r="S304" s="23">
        <v>0.0</v>
      </c>
      <c r="T304" s="23">
        <f t="shared" si="2"/>
        <v>0</v>
      </c>
      <c r="U304" s="23">
        <f t="shared" si="3"/>
        <v>0</v>
      </c>
      <c r="V304" s="23">
        <f t="shared" si="4"/>
        <v>0</v>
      </c>
      <c r="W304" s="24" t="str">
        <f t="shared" si="5"/>
        <v>#DIV/0!</v>
      </c>
    </row>
    <row r="305" hidden="1">
      <c r="A305" s="15" t="s">
        <v>4401</v>
      </c>
      <c r="B305" s="15" t="s">
        <v>4402</v>
      </c>
      <c r="C305" s="15" t="s">
        <v>6496</v>
      </c>
      <c r="D305" s="18"/>
      <c r="E305" s="17" t="s">
        <v>4403</v>
      </c>
      <c r="F305" s="18"/>
      <c r="G305" s="18"/>
      <c r="H305" s="15" t="s">
        <v>4404</v>
      </c>
      <c r="I305" s="18"/>
      <c r="J305" s="19" t="s">
        <v>36</v>
      </c>
      <c r="K305" s="19" t="s">
        <v>284</v>
      </c>
      <c r="L305" s="19" t="s">
        <v>38</v>
      </c>
      <c r="M305" s="20">
        <f t="shared" si="1"/>
        <v>0</v>
      </c>
      <c r="N305" s="22"/>
      <c r="O305" s="19" t="s">
        <v>1145</v>
      </c>
      <c r="P305" s="18"/>
      <c r="Q305" s="18"/>
      <c r="R305" s="23">
        <v>0.0</v>
      </c>
      <c r="S305" s="23">
        <v>0.0</v>
      </c>
      <c r="T305" s="23">
        <f t="shared" si="2"/>
        <v>0</v>
      </c>
      <c r="U305" s="23">
        <f t="shared" si="3"/>
        <v>0</v>
      </c>
      <c r="V305" s="23">
        <f t="shared" si="4"/>
        <v>0</v>
      </c>
      <c r="W305" s="24" t="str">
        <f t="shared" si="5"/>
        <v>#DIV/0!</v>
      </c>
    </row>
    <row r="306" hidden="1">
      <c r="A306" s="15" t="s">
        <v>4405</v>
      </c>
      <c r="B306" s="15" t="s">
        <v>4406</v>
      </c>
      <c r="C306" s="15" t="s">
        <v>6497</v>
      </c>
      <c r="D306" s="15" t="s">
        <v>4407</v>
      </c>
      <c r="E306" s="17" t="s">
        <v>4408</v>
      </c>
      <c r="F306" s="18"/>
      <c r="G306" s="18"/>
      <c r="H306" s="15" t="s">
        <v>4409</v>
      </c>
      <c r="I306" s="18"/>
      <c r="J306" s="19" t="s">
        <v>36</v>
      </c>
      <c r="K306" s="19" t="s">
        <v>284</v>
      </c>
      <c r="L306" s="19" t="s">
        <v>38</v>
      </c>
      <c r="M306" s="20">
        <f t="shared" si="1"/>
        <v>0</v>
      </c>
      <c r="N306" s="22"/>
      <c r="O306" s="19" t="s">
        <v>3578</v>
      </c>
      <c r="P306" s="18"/>
      <c r="Q306" s="18"/>
      <c r="R306" s="23">
        <v>0.0</v>
      </c>
      <c r="S306" s="23">
        <v>0.0</v>
      </c>
      <c r="T306" s="23">
        <f t="shared" si="2"/>
        <v>0</v>
      </c>
      <c r="U306" s="23">
        <f t="shared" si="3"/>
        <v>0</v>
      </c>
      <c r="V306" s="23">
        <f t="shared" si="4"/>
        <v>0</v>
      </c>
      <c r="W306" s="24" t="str">
        <f t="shared" si="5"/>
        <v>#DIV/0!</v>
      </c>
    </row>
    <row r="307" hidden="1">
      <c r="A307" s="15" t="s">
        <v>1414</v>
      </c>
      <c r="B307" s="18"/>
      <c r="C307" s="15" t="s">
        <v>6498</v>
      </c>
      <c r="D307" s="18"/>
      <c r="E307" s="17" t="s">
        <v>1415</v>
      </c>
      <c r="F307" s="18"/>
      <c r="G307" s="18"/>
      <c r="H307" s="15" t="s">
        <v>1416</v>
      </c>
      <c r="I307" s="18"/>
      <c r="J307" s="19" t="s">
        <v>36</v>
      </c>
      <c r="K307" s="19" t="s">
        <v>37</v>
      </c>
      <c r="L307" s="19" t="s">
        <v>38</v>
      </c>
      <c r="M307" s="20">
        <f t="shared" si="1"/>
        <v>0</v>
      </c>
      <c r="N307" s="22"/>
      <c r="O307" s="19" t="s">
        <v>1145</v>
      </c>
      <c r="P307" s="18"/>
      <c r="Q307" s="18"/>
      <c r="R307" s="23">
        <v>0.0</v>
      </c>
      <c r="S307" s="23">
        <v>0.0</v>
      </c>
      <c r="T307" s="23">
        <f t="shared" si="2"/>
        <v>0</v>
      </c>
      <c r="U307" s="23">
        <f t="shared" si="3"/>
        <v>0</v>
      </c>
      <c r="V307" s="23">
        <f t="shared" si="4"/>
        <v>0</v>
      </c>
      <c r="W307" s="24" t="str">
        <f t="shared" si="5"/>
        <v>#DIV/0!</v>
      </c>
    </row>
    <row r="308" hidden="1">
      <c r="A308" s="15" t="s">
        <v>1417</v>
      </c>
      <c r="B308" s="18"/>
      <c r="C308" s="15" t="s">
        <v>6499</v>
      </c>
      <c r="D308" s="18"/>
      <c r="E308" s="17" t="s">
        <v>1415</v>
      </c>
      <c r="F308" s="18"/>
      <c r="G308" s="18"/>
      <c r="H308" s="15" t="s">
        <v>1418</v>
      </c>
      <c r="I308" s="18"/>
      <c r="J308" s="19" t="s">
        <v>36</v>
      </c>
      <c r="K308" s="19" t="s">
        <v>37</v>
      </c>
      <c r="L308" s="19" t="s">
        <v>38</v>
      </c>
      <c r="M308" s="20">
        <f t="shared" si="1"/>
        <v>0</v>
      </c>
      <c r="N308" s="22"/>
      <c r="O308" s="19" t="s">
        <v>1145</v>
      </c>
      <c r="P308" s="18"/>
      <c r="Q308" s="18"/>
      <c r="R308" s="23">
        <v>0.0</v>
      </c>
      <c r="S308" s="23">
        <v>0.0</v>
      </c>
      <c r="T308" s="23">
        <f t="shared" si="2"/>
        <v>0</v>
      </c>
      <c r="U308" s="23">
        <f t="shared" si="3"/>
        <v>0</v>
      </c>
      <c r="V308" s="23">
        <f t="shared" si="4"/>
        <v>0</v>
      </c>
      <c r="W308" s="24" t="str">
        <f t="shared" si="5"/>
        <v>#DIV/0!</v>
      </c>
    </row>
    <row r="309" hidden="1">
      <c r="A309" s="15" t="s">
        <v>4410</v>
      </c>
      <c r="B309" s="15" t="s">
        <v>4411</v>
      </c>
      <c r="C309" s="15" t="s">
        <v>6500</v>
      </c>
      <c r="D309" s="15" t="s">
        <v>4412</v>
      </c>
      <c r="E309" s="17" t="s">
        <v>4413</v>
      </c>
      <c r="F309" s="18"/>
      <c r="G309" s="18"/>
      <c r="H309" s="15" t="s">
        <v>4414</v>
      </c>
      <c r="I309" s="18"/>
      <c r="J309" s="19" t="s">
        <v>36</v>
      </c>
      <c r="K309" s="19" t="s">
        <v>284</v>
      </c>
      <c r="L309" s="19" t="s">
        <v>38</v>
      </c>
      <c r="M309" s="20">
        <f t="shared" si="1"/>
        <v>0</v>
      </c>
      <c r="N309" s="22"/>
      <c r="O309" s="19" t="s">
        <v>3578</v>
      </c>
      <c r="P309" s="18"/>
      <c r="Q309" s="18"/>
      <c r="R309" s="23">
        <v>0.0</v>
      </c>
      <c r="S309" s="23">
        <v>0.0</v>
      </c>
      <c r="T309" s="23">
        <f t="shared" si="2"/>
        <v>0</v>
      </c>
      <c r="U309" s="23">
        <f t="shared" si="3"/>
        <v>0</v>
      </c>
      <c r="V309" s="23">
        <f t="shared" si="4"/>
        <v>0</v>
      </c>
      <c r="W309" s="24" t="str">
        <f t="shared" si="5"/>
        <v>#DIV/0!</v>
      </c>
    </row>
    <row r="310" hidden="1">
      <c r="A310" s="15" t="s">
        <v>4415</v>
      </c>
      <c r="B310" s="15" t="s">
        <v>4416</v>
      </c>
      <c r="C310" s="15" t="s">
        <v>6501</v>
      </c>
      <c r="D310" s="18"/>
      <c r="E310" s="17" t="s">
        <v>6502</v>
      </c>
      <c r="F310" s="18"/>
      <c r="G310" s="18"/>
      <c r="H310" s="15" t="s">
        <v>4419</v>
      </c>
      <c r="I310" s="15"/>
      <c r="J310" s="19" t="s">
        <v>36</v>
      </c>
      <c r="K310" s="19" t="s">
        <v>402</v>
      </c>
      <c r="L310" s="19" t="s">
        <v>38</v>
      </c>
      <c r="M310" s="20">
        <f t="shared" si="1"/>
        <v>0</v>
      </c>
      <c r="N310" s="22"/>
      <c r="O310" s="19" t="s">
        <v>3578</v>
      </c>
      <c r="P310" s="18"/>
      <c r="Q310" s="18"/>
      <c r="R310" s="23">
        <v>0.0</v>
      </c>
      <c r="S310" s="23">
        <v>0.0</v>
      </c>
      <c r="T310" s="23">
        <f t="shared" si="2"/>
        <v>0</v>
      </c>
      <c r="U310" s="23">
        <f t="shared" si="3"/>
        <v>0</v>
      </c>
      <c r="V310" s="23">
        <f t="shared" si="4"/>
        <v>0</v>
      </c>
      <c r="W310" s="24" t="str">
        <f t="shared" si="5"/>
        <v>#DIV/0!</v>
      </c>
    </row>
    <row r="311" hidden="1">
      <c r="A311" s="15" t="s">
        <v>4420</v>
      </c>
      <c r="B311" s="15" t="s">
        <v>4421</v>
      </c>
      <c r="C311" s="15" t="s">
        <v>6503</v>
      </c>
      <c r="D311" s="15" t="s">
        <v>4422</v>
      </c>
      <c r="E311" s="17" t="s">
        <v>4423</v>
      </c>
      <c r="F311" s="18"/>
      <c r="G311" s="18"/>
      <c r="H311" s="15" t="s">
        <v>2304</v>
      </c>
      <c r="I311" s="18"/>
      <c r="J311" s="19" t="s">
        <v>36</v>
      </c>
      <c r="K311" s="19" t="s">
        <v>1230</v>
      </c>
      <c r="L311" s="19" t="s">
        <v>38</v>
      </c>
      <c r="M311" s="20">
        <f t="shared" si="1"/>
        <v>0</v>
      </c>
      <c r="N311" s="22"/>
      <c r="O311" s="19" t="s">
        <v>3578</v>
      </c>
      <c r="P311" s="18"/>
      <c r="Q311" s="18"/>
      <c r="R311" s="23">
        <v>0.0</v>
      </c>
      <c r="S311" s="23">
        <v>0.0</v>
      </c>
      <c r="T311" s="23">
        <f t="shared" si="2"/>
        <v>0</v>
      </c>
      <c r="U311" s="23">
        <f t="shared" si="3"/>
        <v>0</v>
      </c>
      <c r="V311" s="23">
        <f t="shared" si="4"/>
        <v>0</v>
      </c>
      <c r="W311" s="24" t="str">
        <f t="shared" si="5"/>
        <v>#DIV/0!</v>
      </c>
    </row>
    <row r="312" hidden="1">
      <c r="A312" s="15" t="s">
        <v>4424</v>
      </c>
      <c r="B312" s="15" t="s">
        <v>4425</v>
      </c>
      <c r="C312" s="15" t="s">
        <v>6504</v>
      </c>
      <c r="D312" s="15" t="s">
        <v>4426</v>
      </c>
      <c r="E312" s="17" t="s">
        <v>4427</v>
      </c>
      <c r="F312" s="18"/>
      <c r="G312" s="18"/>
      <c r="H312" s="15" t="s">
        <v>4428</v>
      </c>
      <c r="I312" s="18"/>
      <c r="J312" s="19" t="s">
        <v>36</v>
      </c>
      <c r="K312" s="19" t="s">
        <v>37</v>
      </c>
      <c r="L312" s="19" t="s">
        <v>38</v>
      </c>
      <c r="M312" s="20">
        <f t="shared" si="1"/>
        <v>0</v>
      </c>
      <c r="N312" s="22"/>
      <c r="O312" s="19" t="s">
        <v>3578</v>
      </c>
      <c r="P312" s="18"/>
      <c r="Q312" s="18"/>
      <c r="R312" s="23">
        <v>0.0</v>
      </c>
      <c r="S312" s="23">
        <v>0.0</v>
      </c>
      <c r="T312" s="23">
        <f t="shared" si="2"/>
        <v>0</v>
      </c>
      <c r="U312" s="23">
        <f t="shared" si="3"/>
        <v>0</v>
      </c>
      <c r="V312" s="23">
        <f t="shared" si="4"/>
        <v>0</v>
      </c>
      <c r="W312" s="24" t="str">
        <f t="shared" si="5"/>
        <v>#DIV/0!</v>
      </c>
    </row>
    <row r="313" hidden="1">
      <c r="A313" s="15" t="s">
        <v>4429</v>
      </c>
      <c r="B313" s="15" t="s">
        <v>4430</v>
      </c>
      <c r="C313" s="15" t="s">
        <v>6505</v>
      </c>
      <c r="D313" s="15" t="s">
        <v>4426</v>
      </c>
      <c r="E313" s="17" t="s">
        <v>4427</v>
      </c>
      <c r="F313" s="18"/>
      <c r="G313" s="18"/>
      <c r="H313" s="15" t="s">
        <v>4431</v>
      </c>
      <c r="I313" s="18"/>
      <c r="J313" s="19" t="s">
        <v>36</v>
      </c>
      <c r="K313" s="19" t="s">
        <v>37</v>
      </c>
      <c r="L313" s="19" t="s">
        <v>38</v>
      </c>
      <c r="M313" s="20">
        <f t="shared" si="1"/>
        <v>0</v>
      </c>
      <c r="N313" s="22"/>
      <c r="O313" s="19" t="s">
        <v>3578</v>
      </c>
      <c r="P313" s="18"/>
      <c r="Q313" s="18"/>
      <c r="R313" s="23">
        <v>0.0</v>
      </c>
      <c r="S313" s="23">
        <v>0.0</v>
      </c>
      <c r="T313" s="23">
        <f t="shared" si="2"/>
        <v>0</v>
      </c>
      <c r="U313" s="23">
        <f t="shared" si="3"/>
        <v>0</v>
      </c>
      <c r="V313" s="23">
        <f t="shared" si="4"/>
        <v>0</v>
      </c>
      <c r="W313" s="24" t="str">
        <f t="shared" si="5"/>
        <v>#DIV/0!</v>
      </c>
    </row>
    <row r="314" hidden="1">
      <c r="A314" s="15" t="s">
        <v>4432</v>
      </c>
      <c r="B314" s="15" t="s">
        <v>4433</v>
      </c>
      <c r="C314" s="15" t="s">
        <v>6506</v>
      </c>
      <c r="D314" s="15" t="s">
        <v>4434</v>
      </c>
      <c r="E314" s="17" t="s">
        <v>4435</v>
      </c>
      <c r="F314" s="18"/>
      <c r="G314" s="18"/>
      <c r="H314" s="15" t="s">
        <v>4436</v>
      </c>
      <c r="I314" s="18"/>
      <c r="J314" s="19" t="s">
        <v>36</v>
      </c>
      <c r="K314" s="19" t="s">
        <v>603</v>
      </c>
      <c r="L314" s="19" t="s">
        <v>38</v>
      </c>
      <c r="M314" s="20">
        <f t="shared" si="1"/>
        <v>0</v>
      </c>
      <c r="N314" s="22"/>
      <c r="O314" s="19" t="s">
        <v>3578</v>
      </c>
      <c r="P314" s="18"/>
      <c r="Q314" s="18"/>
      <c r="R314" s="23">
        <v>0.0</v>
      </c>
      <c r="S314" s="23">
        <v>0.0</v>
      </c>
      <c r="T314" s="23">
        <f t="shared" si="2"/>
        <v>0</v>
      </c>
      <c r="U314" s="23">
        <f t="shared" si="3"/>
        <v>0</v>
      </c>
      <c r="V314" s="23">
        <f t="shared" si="4"/>
        <v>0</v>
      </c>
      <c r="W314" s="24" t="str">
        <f t="shared" si="5"/>
        <v>#DIV/0!</v>
      </c>
    </row>
    <row r="315" hidden="1">
      <c r="A315" s="15" t="s">
        <v>4437</v>
      </c>
      <c r="B315" s="15" t="s">
        <v>4438</v>
      </c>
      <c r="C315" s="15" t="s">
        <v>6507</v>
      </c>
      <c r="D315" s="15" t="s">
        <v>4439</v>
      </c>
      <c r="E315" s="17" t="s">
        <v>4440</v>
      </c>
      <c r="F315" s="18"/>
      <c r="G315" s="18"/>
      <c r="H315" s="15" t="s">
        <v>4441</v>
      </c>
      <c r="I315" s="18"/>
      <c r="J315" s="19" t="s">
        <v>36</v>
      </c>
      <c r="K315" s="19" t="s">
        <v>105</v>
      </c>
      <c r="L315" s="19" t="s">
        <v>38</v>
      </c>
      <c r="M315" s="20">
        <f t="shared" si="1"/>
        <v>0</v>
      </c>
      <c r="N315" s="22"/>
      <c r="O315" s="19" t="s">
        <v>3578</v>
      </c>
      <c r="P315" s="18"/>
      <c r="Q315" s="18"/>
      <c r="R315" s="23">
        <v>0.0</v>
      </c>
      <c r="S315" s="23">
        <v>0.0</v>
      </c>
      <c r="T315" s="23">
        <f t="shared" si="2"/>
        <v>0</v>
      </c>
      <c r="U315" s="23">
        <f t="shared" si="3"/>
        <v>0</v>
      </c>
      <c r="V315" s="23">
        <f t="shared" si="4"/>
        <v>0</v>
      </c>
      <c r="W315" s="24" t="str">
        <f t="shared" si="5"/>
        <v>#DIV/0!</v>
      </c>
    </row>
    <row r="316" hidden="1">
      <c r="A316" s="15" t="s">
        <v>4442</v>
      </c>
      <c r="B316" s="18"/>
      <c r="C316" s="15" t="s">
        <v>6508</v>
      </c>
      <c r="D316" s="18"/>
      <c r="E316" s="17" t="s">
        <v>6509</v>
      </c>
      <c r="F316" s="18"/>
      <c r="G316" s="18"/>
      <c r="H316" s="15" t="s">
        <v>4446</v>
      </c>
      <c r="I316" s="18"/>
      <c r="J316" s="19" t="s">
        <v>36</v>
      </c>
      <c r="K316" s="19" t="s">
        <v>603</v>
      </c>
      <c r="L316" s="19" t="s">
        <v>38</v>
      </c>
      <c r="M316" s="20">
        <f t="shared" si="1"/>
        <v>0</v>
      </c>
      <c r="N316" s="22"/>
      <c r="O316" s="19" t="s">
        <v>1145</v>
      </c>
      <c r="P316" s="18"/>
      <c r="Q316" s="18"/>
      <c r="R316" s="23">
        <v>0.0</v>
      </c>
      <c r="S316" s="23">
        <v>0.0</v>
      </c>
      <c r="T316" s="23">
        <f t="shared" si="2"/>
        <v>0</v>
      </c>
      <c r="U316" s="23">
        <f t="shared" si="3"/>
        <v>0</v>
      </c>
      <c r="V316" s="23">
        <f t="shared" si="4"/>
        <v>0</v>
      </c>
      <c r="W316" s="24" t="str">
        <f t="shared" si="5"/>
        <v>#DIV/0!</v>
      </c>
    </row>
    <row r="317" hidden="1">
      <c r="A317" s="15" t="s">
        <v>4447</v>
      </c>
      <c r="B317" s="18"/>
      <c r="C317" s="15" t="s">
        <v>6510</v>
      </c>
      <c r="D317" s="18"/>
      <c r="E317" s="17" t="s">
        <v>6511</v>
      </c>
      <c r="F317" s="18"/>
      <c r="G317" s="18"/>
      <c r="H317" s="15" t="s">
        <v>4451</v>
      </c>
      <c r="I317" s="18"/>
      <c r="J317" s="19" t="s">
        <v>36</v>
      </c>
      <c r="K317" s="19" t="s">
        <v>603</v>
      </c>
      <c r="L317" s="19" t="s">
        <v>38</v>
      </c>
      <c r="M317" s="20">
        <f t="shared" si="1"/>
        <v>0</v>
      </c>
      <c r="N317" s="22"/>
      <c r="O317" s="19" t="s">
        <v>1145</v>
      </c>
      <c r="P317" s="18"/>
      <c r="Q317" s="18"/>
      <c r="R317" s="23">
        <v>0.0</v>
      </c>
      <c r="S317" s="23">
        <v>0.0</v>
      </c>
      <c r="T317" s="23">
        <f t="shared" si="2"/>
        <v>0</v>
      </c>
      <c r="U317" s="23">
        <f t="shared" si="3"/>
        <v>0</v>
      </c>
      <c r="V317" s="23">
        <f t="shared" si="4"/>
        <v>0</v>
      </c>
      <c r="W317" s="24" t="str">
        <f t="shared" si="5"/>
        <v>#DIV/0!</v>
      </c>
    </row>
    <row r="318" hidden="1">
      <c r="A318" s="15" t="s">
        <v>4452</v>
      </c>
      <c r="B318" s="18"/>
      <c r="C318" s="15" t="s">
        <v>6512</v>
      </c>
      <c r="D318" s="18"/>
      <c r="E318" s="17" t="s">
        <v>6513</v>
      </c>
      <c r="F318" s="18"/>
      <c r="G318" s="18"/>
      <c r="H318" s="15" t="s">
        <v>4456</v>
      </c>
      <c r="I318" s="18"/>
      <c r="J318" s="19" t="s">
        <v>36</v>
      </c>
      <c r="K318" s="19" t="s">
        <v>603</v>
      </c>
      <c r="L318" s="19" t="s">
        <v>38</v>
      </c>
      <c r="M318" s="20">
        <f t="shared" si="1"/>
        <v>0</v>
      </c>
      <c r="N318" s="22"/>
      <c r="O318" s="19" t="s">
        <v>1145</v>
      </c>
      <c r="P318" s="18"/>
      <c r="Q318" s="18"/>
      <c r="R318" s="23">
        <v>0.0</v>
      </c>
      <c r="S318" s="23">
        <v>0.0</v>
      </c>
      <c r="T318" s="23">
        <f t="shared" si="2"/>
        <v>0</v>
      </c>
      <c r="U318" s="23">
        <f t="shared" si="3"/>
        <v>0</v>
      </c>
      <c r="V318" s="23">
        <f t="shared" si="4"/>
        <v>0</v>
      </c>
      <c r="W318" s="24" t="str">
        <f t="shared" si="5"/>
        <v>#DIV/0!</v>
      </c>
    </row>
    <row r="319" hidden="1">
      <c r="A319" s="15" t="s">
        <v>1419</v>
      </c>
      <c r="B319" s="18"/>
      <c r="C319" s="15" t="s">
        <v>6514</v>
      </c>
      <c r="D319" s="18"/>
      <c r="E319" s="17" t="s">
        <v>1420</v>
      </c>
      <c r="F319" s="18"/>
      <c r="G319" s="18"/>
      <c r="H319" s="15" t="s">
        <v>1421</v>
      </c>
      <c r="I319" s="18"/>
      <c r="J319" s="19" t="s">
        <v>36</v>
      </c>
      <c r="K319" s="19" t="s">
        <v>603</v>
      </c>
      <c r="L319" s="19" t="s">
        <v>38</v>
      </c>
      <c r="M319" s="20">
        <f t="shared" si="1"/>
        <v>0</v>
      </c>
      <c r="N319" s="22"/>
      <c r="O319" s="19" t="s">
        <v>1145</v>
      </c>
      <c r="P319" s="18"/>
      <c r="Q319" s="18"/>
      <c r="R319" s="23">
        <v>0.0</v>
      </c>
      <c r="S319" s="23">
        <v>0.0</v>
      </c>
      <c r="T319" s="23">
        <f t="shared" si="2"/>
        <v>0</v>
      </c>
      <c r="U319" s="23">
        <f t="shared" si="3"/>
        <v>0</v>
      </c>
      <c r="V319" s="23">
        <f t="shared" si="4"/>
        <v>0</v>
      </c>
      <c r="W319" s="24" t="str">
        <f t="shared" si="5"/>
        <v>#DIV/0!</v>
      </c>
    </row>
    <row r="320" hidden="1">
      <c r="A320" s="15" t="s">
        <v>4457</v>
      </c>
      <c r="B320" s="18"/>
      <c r="C320" s="15" t="s">
        <v>6515</v>
      </c>
      <c r="D320" s="18"/>
      <c r="E320" s="17" t="s">
        <v>6516</v>
      </c>
      <c r="F320" s="18"/>
      <c r="G320" s="18"/>
      <c r="H320" s="15" t="s">
        <v>4461</v>
      </c>
      <c r="I320" s="18"/>
      <c r="J320" s="19" t="s">
        <v>36</v>
      </c>
      <c r="K320" s="19" t="s">
        <v>603</v>
      </c>
      <c r="L320" s="19" t="s">
        <v>38</v>
      </c>
      <c r="M320" s="20">
        <f t="shared" si="1"/>
        <v>0</v>
      </c>
      <c r="N320" s="22"/>
      <c r="O320" s="19" t="s">
        <v>1145</v>
      </c>
      <c r="P320" s="18"/>
      <c r="Q320" s="18"/>
      <c r="R320" s="23">
        <v>0.0</v>
      </c>
      <c r="S320" s="23">
        <v>0.0</v>
      </c>
      <c r="T320" s="23">
        <f t="shared" si="2"/>
        <v>0</v>
      </c>
      <c r="U320" s="23">
        <f t="shared" si="3"/>
        <v>0</v>
      </c>
      <c r="V320" s="23">
        <f t="shared" si="4"/>
        <v>0</v>
      </c>
      <c r="W320" s="24" t="str">
        <f t="shared" si="5"/>
        <v>#DIV/0!</v>
      </c>
    </row>
    <row r="321" hidden="1">
      <c r="A321" s="15" t="s">
        <v>1422</v>
      </c>
      <c r="B321" s="18"/>
      <c r="C321" s="15" t="s">
        <v>6517</v>
      </c>
      <c r="D321" s="18"/>
      <c r="E321" s="17" t="s">
        <v>6518</v>
      </c>
      <c r="F321" s="18"/>
      <c r="G321" s="18"/>
      <c r="H321" s="15" t="s">
        <v>1424</v>
      </c>
      <c r="I321" s="18"/>
      <c r="J321" s="19" t="s">
        <v>36</v>
      </c>
      <c r="K321" s="19" t="s">
        <v>1269</v>
      </c>
      <c r="L321" s="19" t="s">
        <v>38</v>
      </c>
      <c r="M321" s="20">
        <f t="shared" si="1"/>
        <v>0</v>
      </c>
      <c r="N321" s="22"/>
      <c r="O321" s="19" t="s">
        <v>1145</v>
      </c>
      <c r="P321" s="18"/>
      <c r="Q321" s="18"/>
      <c r="R321" s="23">
        <v>0.0</v>
      </c>
      <c r="S321" s="23">
        <v>0.0</v>
      </c>
      <c r="T321" s="23">
        <f t="shared" si="2"/>
        <v>0</v>
      </c>
      <c r="U321" s="23">
        <f t="shared" si="3"/>
        <v>0</v>
      </c>
      <c r="V321" s="23">
        <f t="shared" si="4"/>
        <v>0</v>
      </c>
      <c r="W321" s="24" t="str">
        <f t="shared" si="5"/>
        <v>#DIV/0!</v>
      </c>
    </row>
    <row r="322" hidden="1">
      <c r="A322" s="15" t="s">
        <v>4462</v>
      </c>
      <c r="B322" s="18"/>
      <c r="C322" s="15" t="s">
        <v>6519</v>
      </c>
      <c r="D322" s="18"/>
      <c r="E322" s="17" t="s">
        <v>6520</v>
      </c>
      <c r="F322" s="18"/>
      <c r="G322" s="18"/>
      <c r="H322" s="15" t="s">
        <v>4466</v>
      </c>
      <c r="I322" s="18"/>
      <c r="J322" s="19" t="s">
        <v>36</v>
      </c>
      <c r="K322" s="19" t="s">
        <v>284</v>
      </c>
      <c r="L322" s="19" t="s">
        <v>38</v>
      </c>
      <c r="M322" s="20">
        <f t="shared" si="1"/>
        <v>0</v>
      </c>
      <c r="N322" s="22"/>
      <c r="O322" s="19" t="s">
        <v>1145</v>
      </c>
      <c r="P322" s="18"/>
      <c r="Q322" s="18"/>
      <c r="R322" s="23">
        <v>0.0</v>
      </c>
      <c r="S322" s="23">
        <v>0.0</v>
      </c>
      <c r="T322" s="23">
        <f t="shared" si="2"/>
        <v>0</v>
      </c>
      <c r="U322" s="23">
        <f t="shared" si="3"/>
        <v>0</v>
      </c>
      <c r="V322" s="23">
        <f t="shared" si="4"/>
        <v>0</v>
      </c>
      <c r="W322" s="24" t="str">
        <f t="shared" si="5"/>
        <v>#DIV/0!</v>
      </c>
    </row>
    <row r="323" hidden="1">
      <c r="A323" s="15" t="s">
        <v>4467</v>
      </c>
      <c r="B323" s="18"/>
      <c r="C323" s="15" t="s">
        <v>6521</v>
      </c>
      <c r="D323" s="18"/>
      <c r="E323" s="17" t="s">
        <v>6522</v>
      </c>
      <c r="F323" s="18"/>
      <c r="G323" s="18"/>
      <c r="H323" s="15" t="s">
        <v>4470</v>
      </c>
      <c r="I323" s="18"/>
      <c r="J323" s="19" t="s">
        <v>36</v>
      </c>
      <c r="K323" s="19" t="s">
        <v>284</v>
      </c>
      <c r="L323" s="19" t="s">
        <v>38</v>
      </c>
      <c r="M323" s="20">
        <f t="shared" si="1"/>
        <v>0</v>
      </c>
      <c r="N323" s="22"/>
      <c r="O323" s="19" t="s">
        <v>1145</v>
      </c>
      <c r="P323" s="18"/>
      <c r="Q323" s="18"/>
      <c r="R323" s="23">
        <v>0.0</v>
      </c>
      <c r="S323" s="23">
        <v>0.0</v>
      </c>
      <c r="T323" s="23">
        <f t="shared" si="2"/>
        <v>0</v>
      </c>
      <c r="U323" s="23">
        <f t="shared" si="3"/>
        <v>0</v>
      </c>
      <c r="V323" s="23">
        <f t="shared" si="4"/>
        <v>0</v>
      </c>
      <c r="W323" s="24" t="str">
        <f t="shared" si="5"/>
        <v>#DIV/0!</v>
      </c>
    </row>
    <row r="324" hidden="1">
      <c r="A324" s="15" t="s">
        <v>1425</v>
      </c>
      <c r="B324" s="18"/>
      <c r="C324" s="15" t="s">
        <v>6523</v>
      </c>
      <c r="D324" s="18"/>
      <c r="E324" s="17" t="s">
        <v>1426</v>
      </c>
      <c r="F324" s="18"/>
      <c r="G324" s="18"/>
      <c r="H324" s="15" t="s">
        <v>1427</v>
      </c>
      <c r="I324" s="18"/>
      <c r="J324" s="19" t="s">
        <v>36</v>
      </c>
      <c r="K324" s="19" t="s">
        <v>284</v>
      </c>
      <c r="L324" s="19" t="s">
        <v>38</v>
      </c>
      <c r="M324" s="20">
        <f t="shared" si="1"/>
        <v>0</v>
      </c>
      <c r="N324" s="22"/>
      <c r="O324" s="19" t="s">
        <v>1145</v>
      </c>
      <c r="P324" s="18"/>
      <c r="Q324" s="18"/>
      <c r="R324" s="23">
        <v>0.0</v>
      </c>
      <c r="S324" s="23">
        <v>0.0</v>
      </c>
      <c r="T324" s="23">
        <f t="shared" si="2"/>
        <v>0</v>
      </c>
      <c r="U324" s="23">
        <f t="shared" si="3"/>
        <v>0</v>
      </c>
      <c r="V324" s="23">
        <f t="shared" si="4"/>
        <v>0</v>
      </c>
      <c r="W324" s="24" t="str">
        <f t="shared" si="5"/>
        <v>#DIV/0!</v>
      </c>
    </row>
    <row r="325" hidden="1">
      <c r="A325" s="15" t="s">
        <v>4471</v>
      </c>
      <c r="B325" s="18"/>
      <c r="C325" s="15" t="s">
        <v>6524</v>
      </c>
      <c r="D325" s="18"/>
      <c r="E325" s="17" t="s">
        <v>6525</v>
      </c>
      <c r="F325" s="18"/>
      <c r="G325" s="18"/>
      <c r="H325" s="15" t="s">
        <v>4473</v>
      </c>
      <c r="I325" s="18"/>
      <c r="J325" s="19" t="s">
        <v>36</v>
      </c>
      <c r="K325" s="19" t="s">
        <v>1230</v>
      </c>
      <c r="L325" s="19" t="s">
        <v>38</v>
      </c>
      <c r="M325" s="20">
        <f t="shared" si="1"/>
        <v>0</v>
      </c>
      <c r="N325" s="22"/>
      <c r="O325" s="19" t="s">
        <v>1145</v>
      </c>
      <c r="P325" s="18"/>
      <c r="Q325" s="18"/>
      <c r="R325" s="23">
        <v>0.0</v>
      </c>
      <c r="S325" s="23">
        <v>0.0</v>
      </c>
      <c r="T325" s="23">
        <f t="shared" si="2"/>
        <v>0</v>
      </c>
      <c r="U325" s="23">
        <f t="shared" si="3"/>
        <v>0</v>
      </c>
      <c r="V325" s="23">
        <f t="shared" si="4"/>
        <v>0</v>
      </c>
      <c r="W325" s="24" t="str">
        <f t="shared" si="5"/>
        <v>#DIV/0!</v>
      </c>
    </row>
    <row r="326" hidden="1">
      <c r="A326" s="15" t="s">
        <v>4474</v>
      </c>
      <c r="B326" s="18"/>
      <c r="C326" s="15" t="s">
        <v>6526</v>
      </c>
      <c r="D326" s="18"/>
      <c r="E326" s="17" t="s">
        <v>6527</v>
      </c>
      <c r="F326" s="18"/>
      <c r="G326" s="18"/>
      <c r="H326" s="15" t="s">
        <v>4476</v>
      </c>
      <c r="I326" s="18"/>
      <c r="J326" s="19" t="s">
        <v>702</v>
      </c>
      <c r="K326" s="19" t="s">
        <v>1269</v>
      </c>
      <c r="L326" s="19" t="s">
        <v>38</v>
      </c>
      <c r="M326" s="20">
        <f t="shared" si="1"/>
        <v>0</v>
      </c>
      <c r="N326" s="22"/>
      <c r="O326" s="19" t="s">
        <v>1145</v>
      </c>
      <c r="P326" s="18"/>
      <c r="Q326" s="18"/>
      <c r="R326" s="23">
        <v>0.0</v>
      </c>
      <c r="S326" s="23">
        <v>0.0</v>
      </c>
      <c r="T326" s="23">
        <f t="shared" si="2"/>
        <v>0</v>
      </c>
      <c r="U326" s="23">
        <f t="shared" si="3"/>
        <v>0</v>
      </c>
      <c r="V326" s="23">
        <f t="shared" si="4"/>
        <v>0</v>
      </c>
      <c r="W326" s="24" t="str">
        <f t="shared" si="5"/>
        <v>#DIV/0!</v>
      </c>
    </row>
    <row r="327" hidden="1">
      <c r="A327" s="15" t="s">
        <v>4477</v>
      </c>
      <c r="B327" s="18"/>
      <c r="C327" s="15" t="s">
        <v>6528</v>
      </c>
      <c r="D327" s="18"/>
      <c r="E327" s="17" t="s">
        <v>1429</v>
      </c>
      <c r="F327" s="18"/>
      <c r="G327" s="18"/>
      <c r="H327" s="15" t="s">
        <v>6529</v>
      </c>
      <c r="I327" s="18"/>
      <c r="J327" s="19" t="s">
        <v>702</v>
      </c>
      <c r="K327" s="19" t="s">
        <v>1431</v>
      </c>
      <c r="L327" s="19" t="s">
        <v>38</v>
      </c>
      <c r="M327" s="20">
        <f t="shared" si="1"/>
        <v>0</v>
      </c>
      <c r="N327" s="22"/>
      <c r="O327" s="19" t="s">
        <v>1145</v>
      </c>
      <c r="P327" s="18"/>
      <c r="Q327" s="18"/>
      <c r="R327" s="23">
        <v>0.0</v>
      </c>
      <c r="S327" s="23">
        <v>0.0</v>
      </c>
      <c r="T327" s="23">
        <f t="shared" si="2"/>
        <v>0</v>
      </c>
      <c r="U327" s="23">
        <f t="shared" si="3"/>
        <v>0</v>
      </c>
      <c r="V327" s="23">
        <f t="shared" si="4"/>
        <v>0</v>
      </c>
      <c r="W327" s="24" t="str">
        <f t="shared" si="5"/>
        <v>#DIV/0!</v>
      </c>
    </row>
    <row r="328" hidden="1">
      <c r="A328" s="15" t="s">
        <v>1428</v>
      </c>
      <c r="B328" s="18"/>
      <c r="C328" s="15" t="s">
        <v>6530</v>
      </c>
      <c r="D328" s="18"/>
      <c r="E328" s="17" t="s">
        <v>1429</v>
      </c>
      <c r="F328" s="18"/>
      <c r="G328" s="18"/>
      <c r="H328" s="15" t="s">
        <v>1430</v>
      </c>
      <c r="I328" s="18"/>
      <c r="J328" s="19" t="s">
        <v>702</v>
      </c>
      <c r="K328" s="19" t="s">
        <v>1431</v>
      </c>
      <c r="L328" s="19" t="s">
        <v>38</v>
      </c>
      <c r="M328" s="20">
        <f t="shared" si="1"/>
        <v>0</v>
      </c>
      <c r="N328" s="22"/>
      <c r="O328" s="19" t="s">
        <v>1145</v>
      </c>
      <c r="P328" s="18"/>
      <c r="Q328" s="18"/>
      <c r="R328" s="23">
        <v>0.0</v>
      </c>
      <c r="S328" s="23">
        <v>0.0</v>
      </c>
      <c r="T328" s="23">
        <f t="shared" si="2"/>
        <v>0</v>
      </c>
      <c r="U328" s="23">
        <f t="shared" si="3"/>
        <v>0</v>
      </c>
      <c r="V328" s="23">
        <f t="shared" si="4"/>
        <v>0</v>
      </c>
      <c r="W328" s="24" t="str">
        <f t="shared" si="5"/>
        <v>#DIV/0!</v>
      </c>
    </row>
    <row r="329" hidden="1">
      <c r="A329" s="15" t="s">
        <v>4482</v>
      </c>
      <c r="B329" s="18"/>
      <c r="C329" s="15" t="s">
        <v>6531</v>
      </c>
      <c r="D329" s="18"/>
      <c r="E329" s="17" t="s">
        <v>4485</v>
      </c>
      <c r="F329" s="18"/>
      <c r="G329" s="18"/>
      <c r="H329" s="15" t="s">
        <v>6532</v>
      </c>
      <c r="I329" s="18"/>
      <c r="J329" s="19" t="s">
        <v>702</v>
      </c>
      <c r="K329" s="19" t="s">
        <v>603</v>
      </c>
      <c r="L329" s="19" t="s">
        <v>38</v>
      </c>
      <c r="M329" s="20">
        <f t="shared" si="1"/>
        <v>0</v>
      </c>
      <c r="N329" s="22"/>
      <c r="O329" s="19" t="s">
        <v>1145</v>
      </c>
      <c r="P329" s="18"/>
      <c r="Q329" s="18"/>
      <c r="R329" s="23">
        <v>0.0</v>
      </c>
      <c r="S329" s="23">
        <v>0.0</v>
      </c>
      <c r="T329" s="23">
        <f t="shared" si="2"/>
        <v>0</v>
      </c>
      <c r="U329" s="23">
        <f t="shared" si="3"/>
        <v>0</v>
      </c>
      <c r="V329" s="23">
        <f t="shared" si="4"/>
        <v>0</v>
      </c>
      <c r="W329" s="24" t="str">
        <f t="shared" si="5"/>
        <v>#DIV/0!</v>
      </c>
    </row>
    <row r="330" hidden="1">
      <c r="A330" s="15" t="s">
        <v>4487</v>
      </c>
      <c r="B330" s="18"/>
      <c r="C330" s="15" t="s">
        <v>6533</v>
      </c>
      <c r="D330" s="18"/>
      <c r="E330" s="17" t="s">
        <v>4488</v>
      </c>
      <c r="F330" s="18"/>
      <c r="G330" s="18"/>
      <c r="H330" s="15" t="s">
        <v>4489</v>
      </c>
      <c r="I330" s="18"/>
      <c r="J330" s="19" t="s">
        <v>702</v>
      </c>
      <c r="K330" s="19" t="s">
        <v>105</v>
      </c>
      <c r="L330" s="19" t="s">
        <v>38</v>
      </c>
      <c r="M330" s="20">
        <f t="shared" si="1"/>
        <v>0</v>
      </c>
      <c r="N330" s="22"/>
      <c r="O330" s="19" t="s">
        <v>1145</v>
      </c>
      <c r="P330" s="18"/>
      <c r="Q330" s="18"/>
      <c r="R330" s="23">
        <v>0.0</v>
      </c>
      <c r="S330" s="23">
        <v>0.0</v>
      </c>
      <c r="T330" s="23">
        <f t="shared" si="2"/>
        <v>0</v>
      </c>
      <c r="U330" s="23">
        <f t="shared" si="3"/>
        <v>0</v>
      </c>
      <c r="V330" s="23">
        <f t="shared" si="4"/>
        <v>0</v>
      </c>
      <c r="W330" s="24" t="str">
        <f t="shared" si="5"/>
        <v>#DIV/0!</v>
      </c>
    </row>
    <row r="331" hidden="1">
      <c r="A331" s="15" t="s">
        <v>6534</v>
      </c>
      <c r="B331" s="18"/>
      <c r="C331" s="15" t="s">
        <v>6535</v>
      </c>
      <c r="D331" s="18"/>
      <c r="E331" s="17" t="s">
        <v>6536</v>
      </c>
      <c r="F331" s="18"/>
      <c r="G331" s="18"/>
      <c r="H331" s="15" t="s">
        <v>4612</v>
      </c>
      <c r="I331" s="18"/>
      <c r="J331" s="19" t="s">
        <v>702</v>
      </c>
      <c r="K331" s="19" t="s">
        <v>603</v>
      </c>
      <c r="L331" s="19" t="s">
        <v>38</v>
      </c>
      <c r="M331" s="20">
        <f t="shared" si="1"/>
        <v>0</v>
      </c>
      <c r="N331" s="22"/>
      <c r="O331" s="19" t="s">
        <v>1145</v>
      </c>
      <c r="P331" s="18"/>
      <c r="Q331" s="18"/>
      <c r="R331" s="23">
        <v>0.0</v>
      </c>
      <c r="S331" s="23">
        <v>0.0</v>
      </c>
      <c r="T331" s="23">
        <f t="shared" si="2"/>
        <v>0</v>
      </c>
      <c r="U331" s="23">
        <f t="shared" si="3"/>
        <v>0</v>
      </c>
      <c r="V331" s="23">
        <f t="shared" si="4"/>
        <v>0</v>
      </c>
      <c r="W331" s="24" t="str">
        <f t="shared" si="5"/>
        <v>#DIV/0!</v>
      </c>
    </row>
    <row r="332" hidden="1">
      <c r="A332" s="15" t="s">
        <v>4490</v>
      </c>
      <c r="B332" s="18"/>
      <c r="C332" s="15" t="s">
        <v>6537</v>
      </c>
      <c r="D332" s="18"/>
      <c r="E332" s="17" t="s">
        <v>4491</v>
      </c>
      <c r="F332" s="18"/>
      <c r="G332" s="18"/>
      <c r="H332" s="15" t="s">
        <v>4492</v>
      </c>
      <c r="I332" s="18"/>
      <c r="J332" s="19" t="s">
        <v>702</v>
      </c>
      <c r="K332" s="19" t="s">
        <v>105</v>
      </c>
      <c r="L332" s="19" t="s">
        <v>38</v>
      </c>
      <c r="M332" s="20">
        <f t="shared" si="1"/>
        <v>0</v>
      </c>
      <c r="N332" s="22"/>
      <c r="O332" s="19" t="s">
        <v>1145</v>
      </c>
      <c r="P332" s="18"/>
      <c r="Q332" s="18"/>
      <c r="R332" s="23">
        <v>0.0</v>
      </c>
      <c r="S332" s="23">
        <v>0.0</v>
      </c>
      <c r="T332" s="23">
        <f t="shared" si="2"/>
        <v>0</v>
      </c>
      <c r="U332" s="23">
        <f t="shared" si="3"/>
        <v>0</v>
      </c>
      <c r="V332" s="23">
        <f t="shared" si="4"/>
        <v>0</v>
      </c>
      <c r="W332" s="24" t="str">
        <f t="shared" si="5"/>
        <v>#DIV/0!</v>
      </c>
    </row>
    <row r="333" hidden="1">
      <c r="A333" s="15" t="s">
        <v>1432</v>
      </c>
      <c r="B333" s="18"/>
      <c r="C333" s="15" t="s">
        <v>6538</v>
      </c>
      <c r="D333" s="18"/>
      <c r="E333" s="17" t="s">
        <v>1433</v>
      </c>
      <c r="F333" s="18"/>
      <c r="G333" s="18"/>
      <c r="H333" s="15" t="s">
        <v>1434</v>
      </c>
      <c r="I333" s="18"/>
      <c r="J333" s="19" t="s">
        <v>702</v>
      </c>
      <c r="K333" s="19" t="s">
        <v>603</v>
      </c>
      <c r="L333" s="19" t="s">
        <v>38</v>
      </c>
      <c r="M333" s="20">
        <f t="shared" si="1"/>
        <v>0</v>
      </c>
      <c r="N333" s="22"/>
      <c r="O333" s="19" t="s">
        <v>1145</v>
      </c>
      <c r="P333" s="18"/>
      <c r="Q333" s="18"/>
      <c r="R333" s="23">
        <v>0.0</v>
      </c>
      <c r="S333" s="23">
        <v>0.0</v>
      </c>
      <c r="T333" s="23">
        <f t="shared" si="2"/>
        <v>0</v>
      </c>
      <c r="U333" s="23">
        <f t="shared" si="3"/>
        <v>0</v>
      </c>
      <c r="V333" s="23">
        <f t="shared" si="4"/>
        <v>0</v>
      </c>
      <c r="W333" s="24" t="str">
        <f t="shared" si="5"/>
        <v>#DIV/0!</v>
      </c>
    </row>
    <row r="334" hidden="1">
      <c r="A334" s="15" t="s">
        <v>4493</v>
      </c>
      <c r="B334" s="18"/>
      <c r="C334" s="15" t="s">
        <v>6539</v>
      </c>
      <c r="D334" s="18"/>
      <c r="E334" s="17" t="s">
        <v>6540</v>
      </c>
      <c r="F334" s="18"/>
      <c r="G334" s="18"/>
      <c r="H334" s="15" t="s">
        <v>4497</v>
      </c>
      <c r="I334" s="18"/>
      <c r="J334" s="19" t="s">
        <v>702</v>
      </c>
      <c r="K334" s="19" t="s">
        <v>105</v>
      </c>
      <c r="L334" s="19" t="s">
        <v>38</v>
      </c>
      <c r="M334" s="20">
        <f t="shared" si="1"/>
        <v>0</v>
      </c>
      <c r="N334" s="22"/>
      <c r="O334" s="19" t="s">
        <v>1145</v>
      </c>
      <c r="P334" s="18"/>
      <c r="Q334" s="18"/>
      <c r="R334" s="23">
        <v>0.0</v>
      </c>
      <c r="S334" s="23">
        <v>0.0</v>
      </c>
      <c r="T334" s="23">
        <f t="shared" si="2"/>
        <v>0</v>
      </c>
      <c r="U334" s="23">
        <f t="shared" si="3"/>
        <v>0</v>
      </c>
      <c r="V334" s="23">
        <f t="shared" si="4"/>
        <v>0</v>
      </c>
      <c r="W334" s="24" t="str">
        <f t="shared" si="5"/>
        <v>#DIV/0!</v>
      </c>
    </row>
    <row r="335" hidden="1">
      <c r="A335" s="15" t="s">
        <v>4498</v>
      </c>
      <c r="B335" s="18"/>
      <c r="C335" s="15" t="s">
        <v>6541</v>
      </c>
      <c r="D335" s="18"/>
      <c r="E335" s="17" t="s">
        <v>6542</v>
      </c>
      <c r="F335" s="18"/>
      <c r="G335" s="18"/>
      <c r="H335" s="15" t="s">
        <v>4502</v>
      </c>
      <c r="I335" s="18"/>
      <c r="J335" s="19" t="s">
        <v>702</v>
      </c>
      <c r="K335" s="19" t="s">
        <v>105</v>
      </c>
      <c r="L335" s="19" t="s">
        <v>38</v>
      </c>
      <c r="M335" s="20">
        <f t="shared" si="1"/>
        <v>0</v>
      </c>
      <c r="N335" s="22"/>
      <c r="O335" s="19" t="s">
        <v>1145</v>
      </c>
      <c r="P335" s="18"/>
      <c r="Q335" s="18"/>
      <c r="R335" s="23">
        <v>0.0</v>
      </c>
      <c r="S335" s="23">
        <v>0.0</v>
      </c>
      <c r="T335" s="23">
        <f t="shared" si="2"/>
        <v>0</v>
      </c>
      <c r="U335" s="23">
        <f t="shared" si="3"/>
        <v>0</v>
      </c>
      <c r="V335" s="23">
        <f t="shared" si="4"/>
        <v>0</v>
      </c>
      <c r="W335" s="24" t="str">
        <f t="shared" si="5"/>
        <v>#DIV/0!</v>
      </c>
    </row>
    <row r="336" hidden="1">
      <c r="A336" s="15" t="s">
        <v>4503</v>
      </c>
      <c r="B336" s="18"/>
      <c r="C336" s="15" t="s">
        <v>6543</v>
      </c>
      <c r="D336" s="18"/>
      <c r="E336" s="17" t="s">
        <v>6544</v>
      </c>
      <c r="F336" s="18"/>
      <c r="G336" s="18"/>
      <c r="H336" s="15" t="s">
        <v>4507</v>
      </c>
      <c r="I336" s="18"/>
      <c r="J336" s="19" t="s">
        <v>702</v>
      </c>
      <c r="K336" s="19" t="s">
        <v>105</v>
      </c>
      <c r="L336" s="19" t="s">
        <v>38</v>
      </c>
      <c r="M336" s="20">
        <f t="shared" si="1"/>
        <v>0</v>
      </c>
      <c r="N336" s="22"/>
      <c r="O336" s="19" t="s">
        <v>1145</v>
      </c>
      <c r="P336" s="18"/>
      <c r="Q336" s="18"/>
      <c r="R336" s="23">
        <v>0.0</v>
      </c>
      <c r="S336" s="23">
        <v>0.0</v>
      </c>
      <c r="T336" s="23">
        <f t="shared" si="2"/>
        <v>0</v>
      </c>
      <c r="U336" s="23">
        <f t="shared" si="3"/>
        <v>0</v>
      </c>
      <c r="V336" s="23">
        <f t="shared" si="4"/>
        <v>0</v>
      </c>
      <c r="W336" s="24" t="str">
        <f t="shared" si="5"/>
        <v>#DIV/0!</v>
      </c>
    </row>
    <row r="337" hidden="1">
      <c r="A337" s="15" t="s">
        <v>1435</v>
      </c>
      <c r="B337" s="15" t="s">
        <v>1436</v>
      </c>
      <c r="C337" s="15" t="s">
        <v>6545</v>
      </c>
      <c r="D337" s="18"/>
      <c r="E337" s="17" t="s">
        <v>1437</v>
      </c>
      <c r="F337" s="18"/>
      <c r="G337" s="18"/>
      <c r="H337" s="15" t="s">
        <v>1438</v>
      </c>
      <c r="I337" s="18"/>
      <c r="J337" s="19" t="s">
        <v>702</v>
      </c>
      <c r="K337" s="19" t="s">
        <v>603</v>
      </c>
      <c r="L337" s="19" t="s">
        <v>38</v>
      </c>
      <c r="M337" s="20">
        <f t="shared" si="1"/>
        <v>0</v>
      </c>
      <c r="N337" s="22"/>
      <c r="O337" s="19" t="s">
        <v>1145</v>
      </c>
      <c r="P337" s="18"/>
      <c r="Q337" s="18"/>
      <c r="R337" s="23">
        <v>0.0</v>
      </c>
      <c r="S337" s="23">
        <v>0.0</v>
      </c>
      <c r="T337" s="23">
        <f t="shared" si="2"/>
        <v>0</v>
      </c>
      <c r="U337" s="23">
        <f t="shared" si="3"/>
        <v>0</v>
      </c>
      <c r="V337" s="23">
        <f t="shared" si="4"/>
        <v>0</v>
      </c>
      <c r="W337" s="24" t="str">
        <f t="shared" si="5"/>
        <v>#DIV/0!</v>
      </c>
    </row>
    <row r="338" hidden="1">
      <c r="A338" s="15" t="s">
        <v>1439</v>
      </c>
      <c r="B338" s="15" t="s">
        <v>1436</v>
      </c>
      <c r="C338" s="15" t="s">
        <v>6546</v>
      </c>
      <c r="D338" s="18"/>
      <c r="E338" s="17" t="s">
        <v>1437</v>
      </c>
      <c r="F338" s="18"/>
      <c r="G338" s="18"/>
      <c r="H338" s="15" t="s">
        <v>1441</v>
      </c>
      <c r="I338" s="18"/>
      <c r="J338" s="19" t="s">
        <v>702</v>
      </c>
      <c r="K338" s="19" t="s">
        <v>603</v>
      </c>
      <c r="L338" s="19" t="s">
        <v>38</v>
      </c>
      <c r="M338" s="20">
        <f t="shared" si="1"/>
        <v>0</v>
      </c>
      <c r="N338" s="22"/>
      <c r="O338" s="19" t="s">
        <v>1145</v>
      </c>
      <c r="P338" s="18"/>
      <c r="Q338" s="18"/>
      <c r="R338" s="23">
        <v>0.0</v>
      </c>
      <c r="S338" s="23">
        <v>0.0</v>
      </c>
      <c r="T338" s="23">
        <f t="shared" si="2"/>
        <v>0</v>
      </c>
      <c r="U338" s="23">
        <f t="shared" si="3"/>
        <v>0</v>
      </c>
      <c r="V338" s="23">
        <f t="shared" si="4"/>
        <v>0</v>
      </c>
      <c r="W338" s="24" t="str">
        <f t="shared" si="5"/>
        <v>#DIV/0!</v>
      </c>
    </row>
    <row r="339" hidden="1">
      <c r="A339" s="15" t="s">
        <v>1442</v>
      </c>
      <c r="B339" s="18"/>
      <c r="C339" s="15" t="s">
        <v>6547</v>
      </c>
      <c r="D339" s="18"/>
      <c r="E339" s="17" t="s">
        <v>1443</v>
      </c>
      <c r="F339" s="18"/>
      <c r="G339" s="18"/>
      <c r="H339" s="18"/>
      <c r="I339" s="18"/>
      <c r="J339" s="19" t="s">
        <v>702</v>
      </c>
      <c r="K339" s="19" t="s">
        <v>1444</v>
      </c>
      <c r="L339" s="19" t="s">
        <v>38</v>
      </c>
      <c r="M339" s="20">
        <f t="shared" si="1"/>
        <v>0</v>
      </c>
      <c r="N339" s="22"/>
      <c r="O339" s="19" t="s">
        <v>1145</v>
      </c>
      <c r="P339" s="18"/>
      <c r="Q339" s="18"/>
      <c r="R339" s="23">
        <v>0.0</v>
      </c>
      <c r="S339" s="23">
        <v>0.0</v>
      </c>
      <c r="T339" s="23">
        <f t="shared" si="2"/>
        <v>0</v>
      </c>
      <c r="U339" s="23">
        <f t="shared" si="3"/>
        <v>0</v>
      </c>
      <c r="V339" s="23">
        <f t="shared" si="4"/>
        <v>0</v>
      </c>
      <c r="W339" s="24" t="str">
        <f t="shared" si="5"/>
        <v>#DIV/0!</v>
      </c>
    </row>
    <row r="340" hidden="1">
      <c r="A340" s="15" t="s">
        <v>1445</v>
      </c>
      <c r="B340" s="18"/>
      <c r="C340" s="15" t="s">
        <v>6548</v>
      </c>
      <c r="D340" s="18"/>
      <c r="E340" s="17" t="s">
        <v>1446</v>
      </c>
      <c r="F340" s="18"/>
      <c r="G340" s="18"/>
      <c r="H340" s="18"/>
      <c r="I340" s="18"/>
      <c r="J340" s="19" t="s">
        <v>702</v>
      </c>
      <c r="K340" s="19" t="s">
        <v>1444</v>
      </c>
      <c r="L340" s="19" t="s">
        <v>38</v>
      </c>
      <c r="M340" s="20">
        <f t="shared" si="1"/>
        <v>0</v>
      </c>
      <c r="N340" s="22"/>
      <c r="O340" s="19" t="s">
        <v>1145</v>
      </c>
      <c r="P340" s="18"/>
      <c r="Q340" s="18"/>
      <c r="R340" s="23">
        <v>0.0</v>
      </c>
      <c r="S340" s="23">
        <v>0.0</v>
      </c>
      <c r="T340" s="23">
        <f t="shared" si="2"/>
        <v>0</v>
      </c>
      <c r="U340" s="23">
        <f t="shared" si="3"/>
        <v>0</v>
      </c>
      <c r="V340" s="23">
        <f t="shared" si="4"/>
        <v>0</v>
      </c>
      <c r="W340" s="24" t="str">
        <f t="shared" si="5"/>
        <v>#DIV/0!</v>
      </c>
    </row>
    <row r="341" hidden="1">
      <c r="A341" s="15" t="s">
        <v>1447</v>
      </c>
      <c r="B341" s="18"/>
      <c r="C341" s="15" t="s">
        <v>6549</v>
      </c>
      <c r="D341" s="18"/>
      <c r="E341" s="17" t="s">
        <v>1448</v>
      </c>
      <c r="F341" s="18"/>
      <c r="G341" s="18"/>
      <c r="H341" s="15" t="s">
        <v>1449</v>
      </c>
      <c r="I341" s="18"/>
      <c r="J341" s="19" t="s">
        <v>702</v>
      </c>
      <c r="K341" s="19" t="s">
        <v>1444</v>
      </c>
      <c r="L341" s="19" t="s">
        <v>38</v>
      </c>
      <c r="M341" s="20">
        <f t="shared" si="1"/>
        <v>0</v>
      </c>
      <c r="N341" s="22"/>
      <c r="O341" s="19" t="s">
        <v>1145</v>
      </c>
      <c r="P341" s="18"/>
      <c r="Q341" s="18"/>
      <c r="R341" s="23">
        <v>0.0</v>
      </c>
      <c r="S341" s="23">
        <v>0.0</v>
      </c>
      <c r="T341" s="23">
        <f t="shared" si="2"/>
        <v>0</v>
      </c>
      <c r="U341" s="23">
        <f t="shared" si="3"/>
        <v>0</v>
      </c>
      <c r="V341" s="23">
        <f t="shared" si="4"/>
        <v>0</v>
      </c>
      <c r="W341" s="24" t="str">
        <f t="shared" si="5"/>
        <v>#DIV/0!</v>
      </c>
    </row>
    <row r="342" hidden="1">
      <c r="A342" s="15" t="s">
        <v>1450</v>
      </c>
      <c r="B342" s="18"/>
      <c r="C342" s="15" t="s">
        <v>6550</v>
      </c>
      <c r="D342" s="18"/>
      <c r="E342" s="17" t="s">
        <v>1451</v>
      </c>
      <c r="F342" s="18"/>
      <c r="G342" s="18"/>
      <c r="H342" s="15" t="s">
        <v>1452</v>
      </c>
      <c r="I342" s="18"/>
      <c r="J342" s="19" t="s">
        <v>702</v>
      </c>
      <c r="K342" s="19" t="s">
        <v>1444</v>
      </c>
      <c r="L342" s="19" t="s">
        <v>38</v>
      </c>
      <c r="M342" s="20">
        <f t="shared" si="1"/>
        <v>0</v>
      </c>
      <c r="N342" s="22"/>
      <c r="O342" s="19" t="s">
        <v>1145</v>
      </c>
      <c r="P342" s="18"/>
      <c r="Q342" s="18"/>
      <c r="R342" s="23">
        <v>0.0</v>
      </c>
      <c r="S342" s="23">
        <v>0.0</v>
      </c>
      <c r="T342" s="23">
        <f t="shared" si="2"/>
        <v>0</v>
      </c>
      <c r="U342" s="23">
        <f t="shared" si="3"/>
        <v>0</v>
      </c>
      <c r="V342" s="23">
        <f t="shared" si="4"/>
        <v>0</v>
      </c>
      <c r="W342" s="24" t="str">
        <f t="shared" si="5"/>
        <v>#DIV/0!</v>
      </c>
    </row>
    <row r="343" hidden="1">
      <c r="A343" s="15" t="s">
        <v>1453</v>
      </c>
      <c r="B343" s="18"/>
      <c r="C343" s="15" t="s">
        <v>6551</v>
      </c>
      <c r="D343" s="18"/>
      <c r="E343" s="17" t="s">
        <v>1454</v>
      </c>
      <c r="F343" s="18"/>
      <c r="G343" s="18"/>
      <c r="H343" s="15" t="s">
        <v>1455</v>
      </c>
      <c r="I343" s="18"/>
      <c r="J343" s="19" t="s">
        <v>702</v>
      </c>
      <c r="K343" s="19" t="s">
        <v>1444</v>
      </c>
      <c r="L343" s="19" t="s">
        <v>38</v>
      </c>
      <c r="M343" s="20">
        <f t="shared" si="1"/>
        <v>0</v>
      </c>
      <c r="N343" s="22"/>
      <c r="O343" s="19" t="s">
        <v>1145</v>
      </c>
      <c r="P343" s="18"/>
      <c r="Q343" s="18"/>
      <c r="R343" s="23">
        <v>0.0</v>
      </c>
      <c r="S343" s="23">
        <v>0.0</v>
      </c>
      <c r="T343" s="23">
        <f t="shared" si="2"/>
        <v>0</v>
      </c>
      <c r="U343" s="23">
        <f t="shared" si="3"/>
        <v>0</v>
      </c>
      <c r="V343" s="23">
        <f t="shared" si="4"/>
        <v>0</v>
      </c>
      <c r="W343" s="24" t="str">
        <f t="shared" si="5"/>
        <v>#DIV/0!</v>
      </c>
    </row>
    <row r="344" hidden="1">
      <c r="A344" s="15" t="s">
        <v>1456</v>
      </c>
      <c r="B344" s="18"/>
      <c r="C344" s="15" t="s">
        <v>6552</v>
      </c>
      <c r="D344" s="18"/>
      <c r="E344" s="17" t="s">
        <v>1457</v>
      </c>
      <c r="F344" s="18"/>
      <c r="G344" s="18"/>
      <c r="H344" s="15" t="s">
        <v>1458</v>
      </c>
      <c r="I344" s="18"/>
      <c r="J344" s="19" t="s">
        <v>702</v>
      </c>
      <c r="K344" s="19" t="s">
        <v>1444</v>
      </c>
      <c r="L344" s="19" t="s">
        <v>38</v>
      </c>
      <c r="M344" s="20">
        <f t="shared" si="1"/>
        <v>0</v>
      </c>
      <c r="N344" s="22"/>
      <c r="O344" s="19" t="s">
        <v>1145</v>
      </c>
      <c r="P344" s="18"/>
      <c r="Q344" s="18"/>
      <c r="R344" s="23">
        <v>0.0</v>
      </c>
      <c r="S344" s="23">
        <v>0.0</v>
      </c>
      <c r="T344" s="23">
        <f t="shared" si="2"/>
        <v>0</v>
      </c>
      <c r="U344" s="23">
        <f t="shared" si="3"/>
        <v>0</v>
      </c>
      <c r="V344" s="23">
        <f t="shared" si="4"/>
        <v>0</v>
      </c>
      <c r="W344" s="24" t="str">
        <f t="shared" si="5"/>
        <v>#DIV/0!</v>
      </c>
    </row>
    <row r="345" hidden="1">
      <c r="A345" s="15" t="s">
        <v>1459</v>
      </c>
      <c r="B345" s="18"/>
      <c r="C345" s="15" t="s">
        <v>6553</v>
      </c>
      <c r="D345" s="18"/>
      <c r="E345" s="17" t="s">
        <v>1460</v>
      </c>
      <c r="F345" s="18"/>
      <c r="G345" s="18"/>
      <c r="H345" s="15" t="s">
        <v>1461</v>
      </c>
      <c r="I345" s="18"/>
      <c r="J345" s="19" t="s">
        <v>702</v>
      </c>
      <c r="K345" s="19" t="s">
        <v>1444</v>
      </c>
      <c r="L345" s="19" t="s">
        <v>38</v>
      </c>
      <c r="M345" s="20">
        <f t="shared" si="1"/>
        <v>0</v>
      </c>
      <c r="N345" s="22"/>
      <c r="O345" s="19" t="s">
        <v>1145</v>
      </c>
      <c r="P345" s="18"/>
      <c r="Q345" s="18"/>
      <c r="R345" s="23">
        <v>0.0</v>
      </c>
      <c r="S345" s="23">
        <v>0.0</v>
      </c>
      <c r="T345" s="23">
        <f t="shared" si="2"/>
        <v>0</v>
      </c>
      <c r="U345" s="23">
        <f t="shared" si="3"/>
        <v>0</v>
      </c>
      <c r="V345" s="23">
        <f t="shared" si="4"/>
        <v>0</v>
      </c>
      <c r="W345" s="24" t="str">
        <f t="shared" si="5"/>
        <v>#DIV/0!</v>
      </c>
    </row>
    <row r="346" hidden="1">
      <c r="A346" s="15" t="s">
        <v>1462</v>
      </c>
      <c r="B346" s="18"/>
      <c r="C346" s="15" t="s">
        <v>6554</v>
      </c>
      <c r="D346" s="18"/>
      <c r="E346" s="17" t="s">
        <v>1463</v>
      </c>
      <c r="F346" s="18"/>
      <c r="G346" s="18"/>
      <c r="H346" s="15" t="s">
        <v>1464</v>
      </c>
      <c r="I346" s="18"/>
      <c r="J346" s="19" t="s">
        <v>702</v>
      </c>
      <c r="K346" s="19" t="s">
        <v>1444</v>
      </c>
      <c r="L346" s="19" t="s">
        <v>38</v>
      </c>
      <c r="M346" s="20">
        <f t="shared" si="1"/>
        <v>0</v>
      </c>
      <c r="N346" s="22"/>
      <c r="O346" s="19" t="s">
        <v>1145</v>
      </c>
      <c r="P346" s="18"/>
      <c r="Q346" s="18"/>
      <c r="R346" s="23">
        <v>0.0</v>
      </c>
      <c r="S346" s="23">
        <v>0.0</v>
      </c>
      <c r="T346" s="23">
        <f t="shared" si="2"/>
        <v>0</v>
      </c>
      <c r="U346" s="23">
        <f t="shared" si="3"/>
        <v>0</v>
      </c>
      <c r="V346" s="23">
        <f t="shared" si="4"/>
        <v>0</v>
      </c>
      <c r="W346" s="24" t="str">
        <f t="shared" si="5"/>
        <v>#DIV/0!</v>
      </c>
    </row>
    <row r="347" hidden="1">
      <c r="A347" s="15" t="s">
        <v>1465</v>
      </c>
      <c r="B347" s="18"/>
      <c r="C347" s="15" t="s">
        <v>6555</v>
      </c>
      <c r="D347" s="18"/>
      <c r="E347" s="17" t="s">
        <v>1466</v>
      </c>
      <c r="F347" s="18"/>
      <c r="G347" s="18"/>
      <c r="H347" s="15" t="s">
        <v>1467</v>
      </c>
      <c r="I347" s="18"/>
      <c r="J347" s="19" t="s">
        <v>702</v>
      </c>
      <c r="K347" s="19" t="s">
        <v>1444</v>
      </c>
      <c r="L347" s="19" t="s">
        <v>38</v>
      </c>
      <c r="M347" s="20">
        <f t="shared" si="1"/>
        <v>0</v>
      </c>
      <c r="N347" s="22"/>
      <c r="O347" s="19" t="s">
        <v>1145</v>
      </c>
      <c r="P347" s="18"/>
      <c r="Q347" s="18"/>
      <c r="R347" s="23">
        <v>0.0</v>
      </c>
      <c r="S347" s="23">
        <v>0.0</v>
      </c>
      <c r="T347" s="23">
        <f t="shared" si="2"/>
        <v>0</v>
      </c>
      <c r="U347" s="23">
        <f t="shared" si="3"/>
        <v>0</v>
      </c>
      <c r="V347" s="23">
        <f t="shared" si="4"/>
        <v>0</v>
      </c>
      <c r="W347" s="24" t="str">
        <f t="shared" si="5"/>
        <v>#DIV/0!</v>
      </c>
    </row>
    <row r="348" hidden="1">
      <c r="A348" s="15" t="s">
        <v>1468</v>
      </c>
      <c r="B348" s="18"/>
      <c r="C348" s="15" t="s">
        <v>6556</v>
      </c>
      <c r="D348" s="18"/>
      <c r="E348" s="17" t="s">
        <v>1469</v>
      </c>
      <c r="F348" s="18"/>
      <c r="G348" s="18"/>
      <c r="H348" s="15" t="s">
        <v>1470</v>
      </c>
      <c r="I348" s="18"/>
      <c r="J348" s="19" t="s">
        <v>702</v>
      </c>
      <c r="K348" s="19" t="s">
        <v>1444</v>
      </c>
      <c r="L348" s="19" t="s">
        <v>38</v>
      </c>
      <c r="M348" s="20">
        <f t="shared" si="1"/>
        <v>0</v>
      </c>
      <c r="N348" s="22"/>
      <c r="O348" s="19" t="s">
        <v>1145</v>
      </c>
      <c r="P348" s="18"/>
      <c r="Q348" s="18"/>
      <c r="R348" s="23">
        <v>0.0</v>
      </c>
      <c r="S348" s="23">
        <v>0.0</v>
      </c>
      <c r="T348" s="23">
        <f t="shared" si="2"/>
        <v>0</v>
      </c>
      <c r="U348" s="23">
        <f t="shared" si="3"/>
        <v>0</v>
      </c>
      <c r="V348" s="23">
        <f t="shared" si="4"/>
        <v>0</v>
      </c>
      <c r="W348" s="24" t="str">
        <f t="shared" si="5"/>
        <v>#DIV/0!</v>
      </c>
    </row>
    <row r="349" hidden="1">
      <c r="A349" s="15" t="s">
        <v>4508</v>
      </c>
      <c r="B349" s="15" t="s">
        <v>1090</v>
      </c>
      <c r="C349" s="15" t="s">
        <v>6557</v>
      </c>
      <c r="D349" s="18"/>
      <c r="E349" s="17" t="s">
        <v>6558</v>
      </c>
      <c r="F349" s="18"/>
      <c r="G349" s="18"/>
      <c r="H349" s="15" t="s">
        <v>4510</v>
      </c>
      <c r="I349" s="18"/>
      <c r="J349" s="19" t="s">
        <v>702</v>
      </c>
      <c r="K349" s="19" t="s">
        <v>1230</v>
      </c>
      <c r="L349" s="19" t="s">
        <v>38</v>
      </c>
      <c r="M349" s="20">
        <f t="shared" si="1"/>
        <v>0</v>
      </c>
      <c r="N349" s="22"/>
      <c r="O349" s="19" t="s">
        <v>39</v>
      </c>
      <c r="P349" s="18"/>
      <c r="Q349" s="18"/>
      <c r="R349" s="23">
        <v>0.0</v>
      </c>
      <c r="S349" s="23">
        <v>0.0</v>
      </c>
      <c r="T349" s="23">
        <f t="shared" si="2"/>
        <v>0</v>
      </c>
      <c r="U349" s="23">
        <f t="shared" si="3"/>
        <v>0</v>
      </c>
      <c r="V349" s="23">
        <f t="shared" si="4"/>
        <v>0</v>
      </c>
      <c r="W349" s="24" t="str">
        <f t="shared" si="5"/>
        <v>#DIV/0!</v>
      </c>
    </row>
    <row r="350" hidden="1">
      <c r="A350" s="15" t="s">
        <v>4511</v>
      </c>
      <c r="B350" s="15" t="s">
        <v>4512</v>
      </c>
      <c r="C350" s="15" t="s">
        <v>6559</v>
      </c>
      <c r="D350" s="18"/>
      <c r="E350" s="17" t="s">
        <v>6560</v>
      </c>
      <c r="F350" s="18"/>
      <c r="G350" s="18"/>
      <c r="H350" s="15" t="s">
        <v>4515</v>
      </c>
      <c r="I350" s="18"/>
      <c r="J350" s="19" t="s">
        <v>702</v>
      </c>
      <c r="K350" s="19" t="s">
        <v>1269</v>
      </c>
      <c r="L350" s="19" t="s">
        <v>38</v>
      </c>
      <c r="M350" s="20">
        <f t="shared" si="1"/>
        <v>0</v>
      </c>
      <c r="N350" s="22"/>
      <c r="O350" s="19" t="s">
        <v>1145</v>
      </c>
      <c r="P350" s="18"/>
      <c r="Q350" s="18"/>
      <c r="R350" s="23">
        <v>0.0</v>
      </c>
      <c r="S350" s="23">
        <v>0.0</v>
      </c>
      <c r="T350" s="23">
        <f t="shared" si="2"/>
        <v>0</v>
      </c>
      <c r="U350" s="23">
        <f t="shared" si="3"/>
        <v>0</v>
      </c>
      <c r="V350" s="23">
        <f t="shared" si="4"/>
        <v>0</v>
      </c>
      <c r="W350" s="24" t="str">
        <f t="shared" si="5"/>
        <v>#DIV/0!</v>
      </c>
    </row>
    <row r="351" hidden="1">
      <c r="A351" s="15" t="s">
        <v>4517</v>
      </c>
      <c r="B351" s="15" t="s">
        <v>4518</v>
      </c>
      <c r="C351" s="15" t="s">
        <v>6561</v>
      </c>
      <c r="D351" s="18"/>
      <c r="E351" s="17" t="s">
        <v>6562</v>
      </c>
      <c r="F351" s="18"/>
      <c r="G351" s="18"/>
      <c r="H351" s="15" t="s">
        <v>4521</v>
      </c>
      <c r="I351" s="18"/>
      <c r="J351" s="19" t="s">
        <v>702</v>
      </c>
      <c r="K351" s="19" t="s">
        <v>1269</v>
      </c>
      <c r="L351" s="19" t="s">
        <v>38</v>
      </c>
      <c r="M351" s="20">
        <f t="shared" si="1"/>
        <v>0</v>
      </c>
      <c r="N351" s="22"/>
      <c r="O351" s="19" t="s">
        <v>1145</v>
      </c>
      <c r="P351" s="18"/>
      <c r="Q351" s="18"/>
      <c r="R351" s="23">
        <v>0.0</v>
      </c>
      <c r="S351" s="23">
        <v>0.0</v>
      </c>
      <c r="T351" s="23">
        <f t="shared" si="2"/>
        <v>0</v>
      </c>
      <c r="U351" s="23">
        <f t="shared" si="3"/>
        <v>0</v>
      </c>
      <c r="V351" s="23">
        <f t="shared" si="4"/>
        <v>0</v>
      </c>
      <c r="W351" s="24" t="str">
        <f t="shared" si="5"/>
        <v>#DIV/0!</v>
      </c>
    </row>
    <row r="352" hidden="1">
      <c r="A352" s="15" t="s">
        <v>4523</v>
      </c>
      <c r="B352" s="15" t="s">
        <v>4524</v>
      </c>
      <c r="C352" s="15" t="s">
        <v>6563</v>
      </c>
      <c r="D352" s="18"/>
      <c r="E352" s="17" t="s">
        <v>6564</v>
      </c>
      <c r="F352" s="18"/>
      <c r="G352" s="18"/>
      <c r="H352" s="15" t="s">
        <v>4527</v>
      </c>
      <c r="I352" s="18"/>
      <c r="J352" s="19" t="s">
        <v>702</v>
      </c>
      <c r="K352" s="19" t="s">
        <v>1269</v>
      </c>
      <c r="L352" s="19" t="s">
        <v>38</v>
      </c>
      <c r="M352" s="20">
        <f t="shared" si="1"/>
        <v>0</v>
      </c>
      <c r="N352" s="22"/>
      <c r="O352" s="19" t="s">
        <v>1145</v>
      </c>
      <c r="P352" s="18"/>
      <c r="Q352" s="18"/>
      <c r="R352" s="23">
        <v>0.0</v>
      </c>
      <c r="S352" s="23">
        <v>0.0</v>
      </c>
      <c r="T352" s="23">
        <f t="shared" si="2"/>
        <v>0</v>
      </c>
      <c r="U352" s="23">
        <f t="shared" si="3"/>
        <v>0</v>
      </c>
      <c r="V352" s="23">
        <f t="shared" si="4"/>
        <v>0</v>
      </c>
      <c r="W352" s="24" t="str">
        <f t="shared" si="5"/>
        <v>#DIV/0!</v>
      </c>
    </row>
    <row r="353" hidden="1">
      <c r="A353" s="15" t="s">
        <v>4529</v>
      </c>
      <c r="B353" s="15" t="s">
        <v>4530</v>
      </c>
      <c r="C353" s="15" t="s">
        <v>6565</v>
      </c>
      <c r="D353" s="18"/>
      <c r="E353" s="17" t="s">
        <v>6566</v>
      </c>
      <c r="F353" s="18"/>
      <c r="G353" s="18"/>
      <c r="H353" s="15" t="s">
        <v>4533</v>
      </c>
      <c r="I353" s="18"/>
      <c r="J353" s="19" t="s">
        <v>702</v>
      </c>
      <c r="K353" s="19" t="s">
        <v>1269</v>
      </c>
      <c r="L353" s="19" t="s">
        <v>38</v>
      </c>
      <c r="M353" s="20">
        <f t="shared" si="1"/>
        <v>0</v>
      </c>
      <c r="N353" s="22"/>
      <c r="O353" s="19" t="s">
        <v>1145</v>
      </c>
      <c r="P353" s="18"/>
      <c r="Q353" s="18"/>
      <c r="R353" s="23">
        <v>0.0</v>
      </c>
      <c r="S353" s="23">
        <v>0.0</v>
      </c>
      <c r="T353" s="23">
        <f t="shared" si="2"/>
        <v>0</v>
      </c>
      <c r="U353" s="23">
        <f t="shared" si="3"/>
        <v>0</v>
      </c>
      <c r="V353" s="23">
        <f t="shared" si="4"/>
        <v>0</v>
      </c>
      <c r="W353" s="24" t="str">
        <f t="shared" si="5"/>
        <v>#DIV/0!</v>
      </c>
    </row>
    <row r="354" hidden="1">
      <c r="A354" s="15" t="s">
        <v>4535</v>
      </c>
      <c r="B354" s="15" t="s">
        <v>4536</v>
      </c>
      <c r="C354" s="15" t="s">
        <v>6567</v>
      </c>
      <c r="D354" s="18"/>
      <c r="E354" s="17" t="s">
        <v>6568</v>
      </c>
      <c r="F354" s="18"/>
      <c r="G354" s="18"/>
      <c r="H354" s="15" t="s">
        <v>4539</v>
      </c>
      <c r="I354" s="18"/>
      <c r="J354" s="19" t="s">
        <v>702</v>
      </c>
      <c r="K354" s="19" t="s">
        <v>1431</v>
      </c>
      <c r="L354" s="19" t="s">
        <v>38</v>
      </c>
      <c r="M354" s="20">
        <f t="shared" si="1"/>
        <v>0</v>
      </c>
      <c r="N354" s="22"/>
      <c r="O354" s="19" t="s">
        <v>1145</v>
      </c>
      <c r="P354" s="18"/>
      <c r="Q354" s="18"/>
      <c r="R354" s="23">
        <v>0.0</v>
      </c>
      <c r="S354" s="23">
        <v>0.0</v>
      </c>
      <c r="T354" s="23">
        <f t="shared" si="2"/>
        <v>0</v>
      </c>
      <c r="U354" s="23">
        <f t="shared" si="3"/>
        <v>0</v>
      </c>
      <c r="V354" s="23">
        <f t="shared" si="4"/>
        <v>0</v>
      </c>
      <c r="W354" s="24" t="str">
        <f t="shared" si="5"/>
        <v>#DIV/0!</v>
      </c>
    </row>
    <row r="355" hidden="1">
      <c r="A355" s="15" t="s">
        <v>6569</v>
      </c>
      <c r="B355" s="15" t="s">
        <v>6570</v>
      </c>
      <c r="C355" s="15" t="s">
        <v>6571</v>
      </c>
      <c r="D355" s="18"/>
      <c r="E355" s="17" t="s">
        <v>6572</v>
      </c>
      <c r="F355" s="18"/>
      <c r="G355" s="18"/>
      <c r="H355" s="15" t="s">
        <v>6573</v>
      </c>
      <c r="I355" s="18"/>
      <c r="J355" s="19" t="s">
        <v>702</v>
      </c>
      <c r="K355" s="19" t="s">
        <v>1444</v>
      </c>
      <c r="L355" s="19" t="s">
        <v>38</v>
      </c>
      <c r="M355" s="20">
        <f t="shared" si="1"/>
        <v>0</v>
      </c>
      <c r="N355" s="22"/>
      <c r="O355" s="19" t="s">
        <v>1145</v>
      </c>
      <c r="P355" s="18"/>
      <c r="Q355" s="18"/>
      <c r="R355" s="23">
        <v>0.0</v>
      </c>
      <c r="S355" s="23">
        <v>0.0</v>
      </c>
      <c r="T355" s="23">
        <f t="shared" si="2"/>
        <v>0</v>
      </c>
      <c r="U355" s="23">
        <f t="shared" si="3"/>
        <v>0</v>
      </c>
      <c r="V355" s="23">
        <f t="shared" si="4"/>
        <v>0</v>
      </c>
      <c r="W355" s="24" t="str">
        <f t="shared" si="5"/>
        <v>#DIV/0!</v>
      </c>
    </row>
    <row r="356" hidden="1">
      <c r="A356" s="15" t="s">
        <v>4540</v>
      </c>
      <c r="B356" s="15" t="s">
        <v>4541</v>
      </c>
      <c r="C356" s="15" t="s">
        <v>6574</v>
      </c>
      <c r="D356" s="18"/>
      <c r="E356" s="17" t="s">
        <v>6575</v>
      </c>
      <c r="F356" s="18"/>
      <c r="G356" s="18"/>
      <c r="H356" s="15" t="s">
        <v>4544</v>
      </c>
      <c r="I356" s="18"/>
      <c r="J356" s="19" t="s">
        <v>702</v>
      </c>
      <c r="K356" s="19" t="s">
        <v>1444</v>
      </c>
      <c r="L356" s="19" t="s">
        <v>38</v>
      </c>
      <c r="M356" s="20">
        <f t="shared" si="1"/>
        <v>0</v>
      </c>
      <c r="N356" s="22"/>
      <c r="O356" s="19" t="s">
        <v>1145</v>
      </c>
      <c r="P356" s="18"/>
      <c r="Q356" s="18"/>
      <c r="R356" s="23">
        <v>0.0</v>
      </c>
      <c r="S356" s="23">
        <v>0.0</v>
      </c>
      <c r="T356" s="23">
        <f t="shared" si="2"/>
        <v>0</v>
      </c>
      <c r="U356" s="23">
        <f t="shared" si="3"/>
        <v>0</v>
      </c>
      <c r="V356" s="23">
        <f t="shared" si="4"/>
        <v>0</v>
      </c>
      <c r="W356" s="24" t="str">
        <f t="shared" si="5"/>
        <v>#DIV/0!</v>
      </c>
    </row>
    <row r="357" hidden="1">
      <c r="A357" s="15" t="s">
        <v>1471</v>
      </c>
      <c r="B357" s="18"/>
      <c r="C357" s="15" t="s">
        <v>6576</v>
      </c>
      <c r="D357" s="18"/>
      <c r="E357" s="17" t="s">
        <v>1472</v>
      </c>
      <c r="F357" s="18"/>
      <c r="G357" s="18"/>
      <c r="H357" s="15" t="s">
        <v>1473</v>
      </c>
      <c r="I357" s="18"/>
      <c r="J357" s="19" t="s">
        <v>702</v>
      </c>
      <c r="K357" s="19" t="s">
        <v>1444</v>
      </c>
      <c r="L357" s="19" t="s">
        <v>38</v>
      </c>
      <c r="M357" s="20">
        <f t="shared" si="1"/>
        <v>0</v>
      </c>
      <c r="N357" s="22"/>
      <c r="O357" s="19" t="s">
        <v>1145</v>
      </c>
      <c r="P357" s="18"/>
      <c r="Q357" s="18"/>
      <c r="R357" s="23">
        <v>0.0</v>
      </c>
      <c r="S357" s="23">
        <v>0.0</v>
      </c>
      <c r="T357" s="23">
        <f t="shared" si="2"/>
        <v>0</v>
      </c>
      <c r="U357" s="23">
        <f t="shared" si="3"/>
        <v>0</v>
      </c>
      <c r="V357" s="23">
        <f t="shared" si="4"/>
        <v>0</v>
      </c>
      <c r="W357" s="24" t="str">
        <f t="shared" si="5"/>
        <v>#DIV/0!</v>
      </c>
    </row>
    <row r="358" hidden="1">
      <c r="A358" s="15" t="s">
        <v>4545</v>
      </c>
      <c r="B358" s="18"/>
      <c r="C358" s="15" t="s">
        <v>6577</v>
      </c>
      <c r="D358" s="18"/>
      <c r="E358" s="17" t="s">
        <v>6578</v>
      </c>
      <c r="F358" s="18"/>
      <c r="G358" s="18"/>
      <c r="H358" s="15" t="s">
        <v>4549</v>
      </c>
      <c r="I358" s="18"/>
      <c r="J358" s="19" t="s">
        <v>702</v>
      </c>
      <c r="K358" s="19" t="s">
        <v>1444</v>
      </c>
      <c r="L358" s="19" t="s">
        <v>38</v>
      </c>
      <c r="M358" s="20">
        <f t="shared" si="1"/>
        <v>0</v>
      </c>
      <c r="N358" s="22"/>
      <c r="O358" s="19" t="s">
        <v>1145</v>
      </c>
      <c r="P358" s="18"/>
      <c r="Q358" s="18"/>
      <c r="R358" s="23">
        <v>0.0</v>
      </c>
      <c r="S358" s="23">
        <v>0.0</v>
      </c>
      <c r="T358" s="23">
        <f t="shared" si="2"/>
        <v>0</v>
      </c>
      <c r="U358" s="23">
        <f t="shared" si="3"/>
        <v>0</v>
      </c>
      <c r="V358" s="23">
        <f t="shared" si="4"/>
        <v>0</v>
      </c>
      <c r="W358" s="24" t="str">
        <f t="shared" si="5"/>
        <v>#DIV/0!</v>
      </c>
    </row>
    <row r="359" hidden="1">
      <c r="A359" s="15" t="s">
        <v>4550</v>
      </c>
      <c r="B359" s="18"/>
      <c r="C359" s="15" t="s">
        <v>6579</v>
      </c>
      <c r="D359" s="18"/>
      <c r="E359" s="17" t="s">
        <v>6580</v>
      </c>
      <c r="F359" s="18"/>
      <c r="G359" s="18"/>
      <c r="H359" s="15" t="s">
        <v>6581</v>
      </c>
      <c r="I359" s="18"/>
      <c r="J359" s="19" t="s">
        <v>702</v>
      </c>
      <c r="K359" s="19" t="s">
        <v>1431</v>
      </c>
      <c r="L359" s="19" t="s">
        <v>38</v>
      </c>
      <c r="M359" s="20">
        <f t="shared" si="1"/>
        <v>0</v>
      </c>
      <c r="N359" s="22"/>
      <c r="O359" s="19" t="s">
        <v>1145</v>
      </c>
      <c r="P359" s="18"/>
      <c r="Q359" s="18"/>
      <c r="R359" s="23">
        <v>0.0</v>
      </c>
      <c r="S359" s="23">
        <v>0.0</v>
      </c>
      <c r="T359" s="23">
        <f t="shared" si="2"/>
        <v>0</v>
      </c>
      <c r="U359" s="23">
        <f t="shared" si="3"/>
        <v>0</v>
      </c>
      <c r="V359" s="23">
        <f t="shared" si="4"/>
        <v>0</v>
      </c>
      <c r="W359" s="24" t="str">
        <f t="shared" si="5"/>
        <v>#DIV/0!</v>
      </c>
    </row>
    <row r="360" hidden="1">
      <c r="A360" s="15" t="s">
        <v>4554</v>
      </c>
      <c r="B360" s="18"/>
      <c r="C360" s="15" t="s">
        <v>6582</v>
      </c>
      <c r="D360" s="18"/>
      <c r="E360" s="17" t="s">
        <v>6583</v>
      </c>
      <c r="F360" s="18"/>
      <c r="G360" s="18"/>
      <c r="H360" s="15" t="s">
        <v>4558</v>
      </c>
      <c r="I360" s="18"/>
      <c r="J360" s="19" t="s">
        <v>702</v>
      </c>
      <c r="K360" s="19" t="s">
        <v>1431</v>
      </c>
      <c r="L360" s="19" t="s">
        <v>38</v>
      </c>
      <c r="M360" s="20">
        <f t="shared" si="1"/>
        <v>0</v>
      </c>
      <c r="N360" s="22"/>
      <c r="O360" s="19" t="s">
        <v>1145</v>
      </c>
      <c r="P360" s="18"/>
      <c r="Q360" s="18"/>
      <c r="R360" s="23">
        <v>0.0</v>
      </c>
      <c r="S360" s="23">
        <v>0.0</v>
      </c>
      <c r="T360" s="23">
        <f t="shared" si="2"/>
        <v>0</v>
      </c>
      <c r="U360" s="23">
        <f t="shared" si="3"/>
        <v>0</v>
      </c>
      <c r="V360" s="23">
        <f t="shared" si="4"/>
        <v>0</v>
      </c>
      <c r="W360" s="24" t="str">
        <f t="shared" si="5"/>
        <v>#DIV/0!</v>
      </c>
    </row>
    <row r="361" hidden="1">
      <c r="A361" s="15" t="s">
        <v>4559</v>
      </c>
      <c r="B361" s="18"/>
      <c r="C361" s="15" t="s">
        <v>6584</v>
      </c>
      <c r="D361" s="18"/>
      <c r="E361" s="17" t="s">
        <v>6585</v>
      </c>
      <c r="F361" s="18"/>
      <c r="G361" s="18"/>
      <c r="H361" s="15" t="s">
        <v>4563</v>
      </c>
      <c r="I361" s="18"/>
      <c r="J361" s="19" t="s">
        <v>702</v>
      </c>
      <c r="K361" s="19" t="s">
        <v>1444</v>
      </c>
      <c r="L361" s="19" t="s">
        <v>38</v>
      </c>
      <c r="M361" s="20">
        <f t="shared" si="1"/>
        <v>0</v>
      </c>
      <c r="N361" s="22"/>
      <c r="O361" s="19" t="s">
        <v>1145</v>
      </c>
      <c r="P361" s="18"/>
      <c r="Q361" s="18"/>
      <c r="R361" s="23">
        <v>0.0</v>
      </c>
      <c r="S361" s="23">
        <v>0.0</v>
      </c>
      <c r="T361" s="23">
        <f t="shared" si="2"/>
        <v>0</v>
      </c>
      <c r="U361" s="23">
        <f t="shared" si="3"/>
        <v>0</v>
      </c>
      <c r="V361" s="23">
        <f t="shared" si="4"/>
        <v>0</v>
      </c>
      <c r="W361" s="24" t="str">
        <f t="shared" si="5"/>
        <v>#DIV/0!</v>
      </c>
    </row>
    <row r="362" hidden="1">
      <c r="A362" s="15" t="s">
        <v>4564</v>
      </c>
      <c r="B362" s="18"/>
      <c r="C362" s="15" t="s">
        <v>6586</v>
      </c>
      <c r="D362" s="18"/>
      <c r="E362" s="17" t="s">
        <v>6587</v>
      </c>
      <c r="F362" s="18"/>
      <c r="G362" s="18"/>
      <c r="H362" s="15" t="s">
        <v>4567</v>
      </c>
      <c r="I362" s="18"/>
      <c r="J362" s="19" t="s">
        <v>702</v>
      </c>
      <c r="K362" s="19" t="s">
        <v>1444</v>
      </c>
      <c r="L362" s="19" t="s">
        <v>38</v>
      </c>
      <c r="M362" s="20">
        <f t="shared" si="1"/>
        <v>0</v>
      </c>
      <c r="N362" s="22"/>
      <c r="O362" s="19" t="s">
        <v>1145</v>
      </c>
      <c r="P362" s="18"/>
      <c r="Q362" s="18"/>
      <c r="R362" s="23">
        <v>0.0</v>
      </c>
      <c r="S362" s="23">
        <v>0.0</v>
      </c>
      <c r="T362" s="23">
        <f t="shared" si="2"/>
        <v>0</v>
      </c>
      <c r="U362" s="23">
        <f t="shared" si="3"/>
        <v>0</v>
      </c>
      <c r="V362" s="23">
        <f t="shared" si="4"/>
        <v>0</v>
      </c>
      <c r="W362" s="24" t="str">
        <f t="shared" si="5"/>
        <v>#DIV/0!</v>
      </c>
    </row>
    <row r="363">
      <c r="A363" s="15" t="s">
        <v>839</v>
      </c>
      <c r="B363" s="15" t="s">
        <v>840</v>
      </c>
      <c r="C363" s="15" t="s">
        <v>6059</v>
      </c>
      <c r="D363" s="15" t="s">
        <v>841</v>
      </c>
      <c r="E363" s="17" t="s">
        <v>842</v>
      </c>
      <c r="F363" s="18"/>
      <c r="G363" s="18"/>
      <c r="H363" s="15" t="s">
        <v>843</v>
      </c>
      <c r="I363" s="18"/>
      <c r="J363" s="19" t="s">
        <v>702</v>
      </c>
      <c r="K363" s="19" t="s">
        <v>52</v>
      </c>
      <c r="L363" s="19" t="s">
        <v>703</v>
      </c>
      <c r="M363" s="20">
        <f t="shared" si="1"/>
        <v>4884</v>
      </c>
      <c r="N363" s="31">
        <v>2.0</v>
      </c>
      <c r="O363" s="19" t="s">
        <v>107</v>
      </c>
      <c r="P363" s="18"/>
      <c r="Q363" s="18"/>
      <c r="R363" s="23">
        <v>65.0</v>
      </c>
      <c r="S363" s="23">
        <v>275.0</v>
      </c>
      <c r="T363" s="23">
        <f t="shared" si="2"/>
        <v>264</v>
      </c>
      <c r="U363" s="23">
        <f t="shared" si="3"/>
        <v>79.625</v>
      </c>
      <c r="V363" s="23">
        <f t="shared" si="4"/>
        <v>1492.96875</v>
      </c>
      <c r="W363" s="24">
        <f t="shared" si="5"/>
        <v>4.061538462</v>
      </c>
    </row>
    <row r="364">
      <c r="A364" s="15" t="s">
        <v>1014</v>
      </c>
      <c r="B364" s="15" t="s">
        <v>1015</v>
      </c>
      <c r="C364" s="15" t="s">
        <v>6060</v>
      </c>
      <c r="D364" s="15" t="s">
        <v>1016</v>
      </c>
      <c r="E364" s="17" t="s">
        <v>1017</v>
      </c>
      <c r="F364" s="18"/>
      <c r="G364" s="18"/>
      <c r="H364" s="15" t="s">
        <v>1018</v>
      </c>
      <c r="I364" s="18"/>
      <c r="J364" s="19" t="s">
        <v>702</v>
      </c>
      <c r="K364" s="19" t="s">
        <v>52</v>
      </c>
      <c r="L364" s="19" t="s">
        <v>703</v>
      </c>
      <c r="M364" s="20">
        <f t="shared" si="1"/>
        <v>5256.96</v>
      </c>
      <c r="N364" s="31">
        <v>2.0</v>
      </c>
      <c r="O364" s="19" t="s">
        <v>107</v>
      </c>
      <c r="P364" s="18"/>
      <c r="Q364" s="18"/>
      <c r="R364" s="23">
        <v>85.0</v>
      </c>
      <c r="S364" s="23">
        <v>296.0</v>
      </c>
      <c r="T364" s="23">
        <f t="shared" si="2"/>
        <v>284.16</v>
      </c>
      <c r="U364" s="23">
        <f t="shared" si="3"/>
        <v>104.125</v>
      </c>
      <c r="V364" s="23">
        <f t="shared" si="4"/>
        <v>1952.34375</v>
      </c>
      <c r="W364" s="24">
        <f t="shared" si="5"/>
        <v>3.343058824</v>
      </c>
    </row>
    <row r="365">
      <c r="A365" s="15" t="s">
        <v>697</v>
      </c>
      <c r="B365" s="15" t="s">
        <v>698</v>
      </c>
      <c r="C365" s="15" t="s">
        <v>6061</v>
      </c>
      <c r="D365" s="15" t="s">
        <v>699</v>
      </c>
      <c r="E365" s="17" t="s">
        <v>700</v>
      </c>
      <c r="F365" s="18"/>
      <c r="G365" s="18"/>
      <c r="H365" s="15" t="s">
        <v>701</v>
      </c>
      <c r="I365" s="18"/>
      <c r="J365" s="19" t="s">
        <v>702</v>
      </c>
      <c r="K365" s="19" t="s">
        <v>52</v>
      </c>
      <c r="L365" s="19" t="s">
        <v>703</v>
      </c>
      <c r="M365" s="20">
        <f t="shared" si="1"/>
        <v>3996</v>
      </c>
      <c r="N365" s="31">
        <v>2.0</v>
      </c>
      <c r="O365" s="19" t="s">
        <v>107</v>
      </c>
      <c r="P365" s="18"/>
      <c r="Q365" s="18"/>
      <c r="R365" s="23">
        <v>45.0</v>
      </c>
      <c r="S365" s="23">
        <v>225.0</v>
      </c>
      <c r="T365" s="23">
        <f t="shared" si="2"/>
        <v>216</v>
      </c>
      <c r="U365" s="23">
        <f t="shared" si="3"/>
        <v>55.125</v>
      </c>
      <c r="V365" s="23">
        <f t="shared" si="4"/>
        <v>1033.59375</v>
      </c>
      <c r="W365" s="24">
        <f t="shared" si="5"/>
        <v>4.8</v>
      </c>
    </row>
    <row r="366" hidden="1">
      <c r="A366" s="15" t="s">
        <v>4568</v>
      </c>
      <c r="B366" s="15" t="s">
        <v>4569</v>
      </c>
      <c r="C366" s="15" t="s">
        <v>6588</v>
      </c>
      <c r="D366" s="15" t="s">
        <v>4570</v>
      </c>
      <c r="E366" s="17" t="s">
        <v>4571</v>
      </c>
      <c r="F366" s="18"/>
      <c r="G366" s="18"/>
      <c r="H366" s="15" t="s">
        <v>4572</v>
      </c>
      <c r="I366" s="18"/>
      <c r="J366" s="19" t="s">
        <v>702</v>
      </c>
      <c r="K366" s="19" t="s">
        <v>52</v>
      </c>
      <c r="L366" s="19" t="s">
        <v>703</v>
      </c>
      <c r="M366" s="20">
        <f t="shared" si="1"/>
        <v>0</v>
      </c>
      <c r="N366" s="22"/>
      <c r="O366" s="19" t="s">
        <v>3578</v>
      </c>
      <c r="P366" s="18"/>
      <c r="Q366" s="18"/>
      <c r="R366" s="23">
        <v>0.0</v>
      </c>
      <c r="S366" s="23">
        <v>0.0</v>
      </c>
      <c r="T366" s="23">
        <f t="shared" si="2"/>
        <v>0</v>
      </c>
      <c r="U366" s="23">
        <f t="shared" si="3"/>
        <v>0</v>
      </c>
      <c r="V366" s="23">
        <f t="shared" si="4"/>
        <v>0</v>
      </c>
      <c r="W366" s="24" t="str">
        <f t="shared" si="5"/>
        <v>#DIV/0!</v>
      </c>
    </row>
    <row r="367">
      <c r="A367" s="15" t="s">
        <v>781</v>
      </c>
      <c r="B367" s="15" t="s">
        <v>782</v>
      </c>
      <c r="C367" s="15" t="s">
        <v>6062</v>
      </c>
      <c r="D367" s="15" t="s">
        <v>783</v>
      </c>
      <c r="E367" s="17" t="s">
        <v>784</v>
      </c>
      <c r="F367" s="18"/>
      <c r="G367" s="18"/>
      <c r="H367" s="15" t="s">
        <v>785</v>
      </c>
      <c r="I367" s="18"/>
      <c r="J367" s="19" t="s">
        <v>702</v>
      </c>
      <c r="K367" s="19" t="s">
        <v>52</v>
      </c>
      <c r="L367" s="19" t="s">
        <v>703</v>
      </c>
      <c r="M367" s="20">
        <f t="shared" si="1"/>
        <v>4440</v>
      </c>
      <c r="N367" s="31">
        <v>2.0</v>
      </c>
      <c r="O367" s="19" t="s">
        <v>107</v>
      </c>
      <c r="P367" s="18"/>
      <c r="Q367" s="18"/>
      <c r="R367" s="23">
        <v>55.0</v>
      </c>
      <c r="S367" s="23">
        <v>250.0</v>
      </c>
      <c r="T367" s="23">
        <f t="shared" si="2"/>
        <v>240</v>
      </c>
      <c r="U367" s="23">
        <f t="shared" si="3"/>
        <v>67.375</v>
      </c>
      <c r="V367" s="23">
        <f t="shared" si="4"/>
        <v>1263.28125</v>
      </c>
      <c r="W367" s="24">
        <f t="shared" si="5"/>
        <v>4.363636364</v>
      </c>
    </row>
    <row r="368">
      <c r="A368" s="15" t="s">
        <v>776</v>
      </c>
      <c r="B368" s="15" t="s">
        <v>777</v>
      </c>
      <c r="C368" s="15" t="s">
        <v>6063</v>
      </c>
      <c r="D368" s="15" t="s">
        <v>778</v>
      </c>
      <c r="E368" s="17" t="s">
        <v>779</v>
      </c>
      <c r="F368" s="18"/>
      <c r="G368" s="18"/>
      <c r="H368" s="15" t="s">
        <v>780</v>
      </c>
      <c r="I368" s="18"/>
      <c r="J368" s="19" t="s">
        <v>702</v>
      </c>
      <c r="K368" s="19" t="s">
        <v>52</v>
      </c>
      <c r="L368" s="19" t="s">
        <v>703</v>
      </c>
      <c r="M368" s="20">
        <f t="shared" si="1"/>
        <v>4457.76</v>
      </c>
      <c r="N368" s="31">
        <v>2.0</v>
      </c>
      <c r="O368" s="19" t="s">
        <v>107</v>
      </c>
      <c r="P368" s="18"/>
      <c r="Q368" s="18"/>
      <c r="R368" s="23">
        <v>55.0</v>
      </c>
      <c r="S368" s="23">
        <v>251.0</v>
      </c>
      <c r="T368" s="23">
        <f t="shared" si="2"/>
        <v>240.96</v>
      </c>
      <c r="U368" s="23">
        <f t="shared" si="3"/>
        <v>67.375</v>
      </c>
      <c r="V368" s="23">
        <f t="shared" si="4"/>
        <v>1263.28125</v>
      </c>
      <c r="W368" s="24">
        <f t="shared" si="5"/>
        <v>4.381090909</v>
      </c>
    </row>
    <row r="369">
      <c r="A369" s="15" t="s">
        <v>964</v>
      </c>
      <c r="B369" s="15" t="s">
        <v>965</v>
      </c>
      <c r="C369" s="15" t="s">
        <v>6064</v>
      </c>
      <c r="D369" s="15" t="s">
        <v>966</v>
      </c>
      <c r="E369" s="17" t="s">
        <v>967</v>
      </c>
      <c r="F369" s="18"/>
      <c r="G369" s="18"/>
      <c r="H369" s="15" t="s">
        <v>968</v>
      </c>
      <c r="I369" s="18"/>
      <c r="J369" s="19" t="s">
        <v>702</v>
      </c>
      <c r="K369" s="19" t="s">
        <v>52</v>
      </c>
      <c r="L369" s="19" t="s">
        <v>703</v>
      </c>
      <c r="M369" s="20">
        <f t="shared" si="1"/>
        <v>4955.04</v>
      </c>
      <c r="N369" s="31">
        <v>2.0</v>
      </c>
      <c r="O369" s="19" t="s">
        <v>107</v>
      </c>
      <c r="P369" s="18"/>
      <c r="Q369" s="18"/>
      <c r="R369" s="23">
        <v>75.0</v>
      </c>
      <c r="S369" s="23">
        <v>279.0</v>
      </c>
      <c r="T369" s="23">
        <f t="shared" si="2"/>
        <v>267.84</v>
      </c>
      <c r="U369" s="23">
        <f t="shared" si="3"/>
        <v>91.875</v>
      </c>
      <c r="V369" s="23">
        <f t="shared" si="4"/>
        <v>1722.65625</v>
      </c>
      <c r="W369" s="24">
        <f t="shared" si="5"/>
        <v>3.5712</v>
      </c>
    </row>
    <row r="370" hidden="1">
      <c r="A370" s="15" t="s">
        <v>4573</v>
      </c>
      <c r="B370" s="18"/>
      <c r="C370" s="15" t="s">
        <v>6589</v>
      </c>
      <c r="D370" s="18"/>
      <c r="E370" s="17" t="s">
        <v>6590</v>
      </c>
      <c r="F370" s="18"/>
      <c r="G370" s="18"/>
      <c r="H370" s="15" t="s">
        <v>4577</v>
      </c>
      <c r="I370" s="18"/>
      <c r="J370" s="19" t="s">
        <v>702</v>
      </c>
      <c r="K370" s="19" t="s">
        <v>1431</v>
      </c>
      <c r="L370" s="19" t="s">
        <v>38</v>
      </c>
      <c r="M370" s="20">
        <f t="shared" si="1"/>
        <v>0</v>
      </c>
      <c r="N370" s="22"/>
      <c r="O370" s="19" t="s">
        <v>1145</v>
      </c>
      <c r="P370" s="18"/>
      <c r="Q370" s="18"/>
      <c r="R370" s="23">
        <v>0.0</v>
      </c>
      <c r="S370" s="23">
        <v>0.0</v>
      </c>
      <c r="T370" s="23">
        <f t="shared" si="2"/>
        <v>0</v>
      </c>
      <c r="U370" s="23">
        <f t="shared" si="3"/>
        <v>0</v>
      </c>
      <c r="V370" s="23">
        <f t="shared" si="4"/>
        <v>0</v>
      </c>
      <c r="W370" s="24" t="str">
        <f t="shared" si="5"/>
        <v>#DIV/0!</v>
      </c>
    </row>
    <row r="371" hidden="1">
      <c r="A371" s="15" t="s">
        <v>1474</v>
      </c>
      <c r="B371" s="15" t="s">
        <v>1475</v>
      </c>
      <c r="C371" s="15" t="s">
        <v>6591</v>
      </c>
      <c r="D371" s="18"/>
      <c r="E371" s="17" t="s">
        <v>6592</v>
      </c>
      <c r="F371" s="18"/>
      <c r="G371" s="18"/>
      <c r="H371" s="15" t="s">
        <v>1478</v>
      </c>
      <c r="I371" s="18"/>
      <c r="J371" s="19" t="s">
        <v>702</v>
      </c>
      <c r="K371" s="19" t="s">
        <v>1431</v>
      </c>
      <c r="L371" s="19" t="s">
        <v>38</v>
      </c>
      <c r="M371" s="20">
        <f t="shared" si="1"/>
        <v>0</v>
      </c>
      <c r="N371" s="22"/>
      <c r="O371" s="19" t="s">
        <v>1145</v>
      </c>
      <c r="P371" s="18"/>
      <c r="Q371" s="18"/>
      <c r="R371" s="23">
        <v>0.0</v>
      </c>
      <c r="S371" s="23">
        <v>0.0</v>
      </c>
      <c r="T371" s="23">
        <f t="shared" si="2"/>
        <v>0</v>
      </c>
      <c r="U371" s="23">
        <f t="shared" si="3"/>
        <v>0</v>
      </c>
      <c r="V371" s="23">
        <f t="shared" si="4"/>
        <v>0</v>
      </c>
      <c r="W371" s="24" t="str">
        <f t="shared" si="5"/>
        <v>#DIV/0!</v>
      </c>
    </row>
    <row r="372">
      <c r="A372" s="15" t="s">
        <v>954</v>
      </c>
      <c r="B372" s="15" t="s">
        <v>955</v>
      </c>
      <c r="C372" s="15" t="s">
        <v>6065</v>
      </c>
      <c r="D372" s="15" t="s">
        <v>956</v>
      </c>
      <c r="E372" s="17" t="s">
        <v>957</v>
      </c>
      <c r="F372" s="18"/>
      <c r="G372" s="18"/>
      <c r="H372" s="15" t="s">
        <v>958</v>
      </c>
      <c r="I372" s="18"/>
      <c r="J372" s="19" t="s">
        <v>702</v>
      </c>
      <c r="K372" s="19" t="s">
        <v>52</v>
      </c>
      <c r="L372" s="19" t="s">
        <v>703</v>
      </c>
      <c r="M372" s="20">
        <f t="shared" si="1"/>
        <v>1651.68</v>
      </c>
      <c r="N372" s="31">
        <v>4.0</v>
      </c>
      <c r="O372" s="19" t="s">
        <v>107</v>
      </c>
      <c r="P372" s="18"/>
      <c r="Q372" s="18"/>
      <c r="R372" s="23">
        <v>25.0</v>
      </c>
      <c r="S372" s="23">
        <v>93.0</v>
      </c>
      <c r="T372" s="23">
        <f t="shared" si="2"/>
        <v>89.28</v>
      </c>
      <c r="U372" s="23">
        <f t="shared" si="3"/>
        <v>30.625</v>
      </c>
      <c r="V372" s="23">
        <f t="shared" si="4"/>
        <v>574.21875</v>
      </c>
      <c r="W372" s="24">
        <f t="shared" si="5"/>
        <v>3.5712</v>
      </c>
    </row>
    <row r="373">
      <c r="A373" s="15" t="s">
        <v>959</v>
      </c>
      <c r="B373" s="15" t="s">
        <v>960</v>
      </c>
      <c r="C373" s="15" t="s">
        <v>6066</v>
      </c>
      <c r="D373" s="15" t="s">
        <v>961</v>
      </c>
      <c r="E373" s="17" t="s">
        <v>962</v>
      </c>
      <c r="F373" s="18"/>
      <c r="G373" s="18"/>
      <c r="H373" s="15" t="s">
        <v>963</v>
      </c>
      <c r="I373" s="18"/>
      <c r="J373" s="19" t="s">
        <v>702</v>
      </c>
      <c r="K373" s="19" t="s">
        <v>52</v>
      </c>
      <c r="L373" s="19" t="s">
        <v>703</v>
      </c>
      <c r="M373" s="20">
        <f t="shared" si="1"/>
        <v>1651.68</v>
      </c>
      <c r="N373" s="31">
        <v>4.0</v>
      </c>
      <c r="O373" s="19" t="s">
        <v>107</v>
      </c>
      <c r="P373" s="18"/>
      <c r="Q373" s="18"/>
      <c r="R373" s="23">
        <v>25.0</v>
      </c>
      <c r="S373" s="23">
        <v>93.0</v>
      </c>
      <c r="T373" s="23">
        <f t="shared" si="2"/>
        <v>89.28</v>
      </c>
      <c r="U373" s="23">
        <f t="shared" si="3"/>
        <v>30.625</v>
      </c>
      <c r="V373" s="23">
        <f t="shared" si="4"/>
        <v>574.21875</v>
      </c>
      <c r="W373" s="24">
        <f t="shared" si="5"/>
        <v>3.5712</v>
      </c>
    </row>
    <row r="374" hidden="1">
      <c r="A374" s="15" t="s">
        <v>4578</v>
      </c>
      <c r="B374" s="15" t="s">
        <v>4579</v>
      </c>
      <c r="C374" s="15" t="s">
        <v>6593</v>
      </c>
      <c r="D374" s="18"/>
      <c r="E374" s="17" t="s">
        <v>6594</v>
      </c>
      <c r="F374" s="18"/>
      <c r="G374" s="18"/>
      <c r="H374" s="15" t="s">
        <v>4582</v>
      </c>
      <c r="I374" s="18"/>
      <c r="J374" s="19" t="s">
        <v>702</v>
      </c>
      <c r="K374" s="19" t="s">
        <v>1431</v>
      </c>
      <c r="L374" s="19" t="s">
        <v>38</v>
      </c>
      <c r="M374" s="20">
        <f t="shared" si="1"/>
        <v>0</v>
      </c>
      <c r="N374" s="22"/>
      <c r="O374" s="19" t="s">
        <v>1145</v>
      </c>
      <c r="P374" s="18"/>
      <c r="Q374" s="18"/>
      <c r="R374" s="23">
        <v>0.0</v>
      </c>
      <c r="S374" s="23">
        <v>0.0</v>
      </c>
      <c r="T374" s="23">
        <f t="shared" si="2"/>
        <v>0</v>
      </c>
      <c r="U374" s="23">
        <f t="shared" si="3"/>
        <v>0</v>
      </c>
      <c r="V374" s="23">
        <f t="shared" si="4"/>
        <v>0</v>
      </c>
      <c r="W374" s="24" t="str">
        <f t="shared" si="5"/>
        <v>#DIV/0!</v>
      </c>
    </row>
    <row r="375" hidden="1">
      <c r="A375" s="15" t="s">
        <v>4583</v>
      </c>
      <c r="B375" s="15" t="s">
        <v>4584</v>
      </c>
      <c r="C375" s="15" t="s">
        <v>6595</v>
      </c>
      <c r="D375" s="18"/>
      <c r="E375" s="17" t="s">
        <v>6596</v>
      </c>
      <c r="F375" s="18"/>
      <c r="G375" s="18"/>
      <c r="H375" s="15" t="s">
        <v>4587</v>
      </c>
      <c r="I375" s="18"/>
      <c r="J375" s="19" t="s">
        <v>702</v>
      </c>
      <c r="K375" s="19" t="s">
        <v>1431</v>
      </c>
      <c r="L375" s="19" t="s">
        <v>38</v>
      </c>
      <c r="M375" s="20">
        <f t="shared" si="1"/>
        <v>0</v>
      </c>
      <c r="N375" s="22"/>
      <c r="O375" s="19" t="s">
        <v>1145</v>
      </c>
      <c r="P375" s="18"/>
      <c r="Q375" s="18"/>
      <c r="R375" s="23">
        <v>0.0</v>
      </c>
      <c r="S375" s="23">
        <v>0.0</v>
      </c>
      <c r="T375" s="23">
        <f t="shared" si="2"/>
        <v>0</v>
      </c>
      <c r="U375" s="23">
        <f t="shared" si="3"/>
        <v>0</v>
      </c>
      <c r="V375" s="23">
        <f t="shared" si="4"/>
        <v>0</v>
      </c>
      <c r="W375" s="24" t="str">
        <f t="shared" si="5"/>
        <v>#DIV/0!</v>
      </c>
    </row>
    <row r="376" hidden="1">
      <c r="A376" s="15" t="s">
        <v>4588</v>
      </c>
      <c r="B376" s="15" t="s">
        <v>4589</v>
      </c>
      <c r="C376" s="15" t="s">
        <v>6597</v>
      </c>
      <c r="D376" s="18"/>
      <c r="E376" s="17" t="s">
        <v>6598</v>
      </c>
      <c r="F376" s="18"/>
      <c r="G376" s="18"/>
      <c r="H376" s="15" t="s">
        <v>4592</v>
      </c>
      <c r="I376" s="18"/>
      <c r="J376" s="19" t="s">
        <v>702</v>
      </c>
      <c r="K376" s="19" t="s">
        <v>1431</v>
      </c>
      <c r="L376" s="19" t="s">
        <v>38</v>
      </c>
      <c r="M376" s="20">
        <f t="shared" si="1"/>
        <v>0</v>
      </c>
      <c r="N376" s="22"/>
      <c r="O376" s="19" t="s">
        <v>1145</v>
      </c>
      <c r="P376" s="18"/>
      <c r="Q376" s="18"/>
      <c r="R376" s="23">
        <v>0.0</v>
      </c>
      <c r="S376" s="23">
        <v>0.0</v>
      </c>
      <c r="T376" s="23">
        <f t="shared" si="2"/>
        <v>0</v>
      </c>
      <c r="U376" s="23">
        <f t="shared" si="3"/>
        <v>0</v>
      </c>
      <c r="V376" s="23">
        <f t="shared" si="4"/>
        <v>0</v>
      </c>
      <c r="W376" s="24" t="str">
        <f t="shared" si="5"/>
        <v>#DIV/0!</v>
      </c>
    </row>
    <row r="377" hidden="1">
      <c r="A377" s="15" t="s">
        <v>4593</v>
      </c>
      <c r="B377" s="15" t="s">
        <v>4594</v>
      </c>
      <c r="C377" s="15" t="s">
        <v>6599</v>
      </c>
      <c r="D377" s="18"/>
      <c r="E377" s="17" t="s">
        <v>6600</v>
      </c>
      <c r="F377" s="18"/>
      <c r="G377" s="18"/>
      <c r="H377" s="15" t="s">
        <v>4597</v>
      </c>
      <c r="I377" s="18"/>
      <c r="J377" s="19" t="s">
        <v>702</v>
      </c>
      <c r="K377" s="19" t="s">
        <v>1431</v>
      </c>
      <c r="L377" s="19" t="s">
        <v>38</v>
      </c>
      <c r="M377" s="20">
        <f t="shared" si="1"/>
        <v>0</v>
      </c>
      <c r="N377" s="22"/>
      <c r="O377" s="19" t="s">
        <v>1145</v>
      </c>
      <c r="P377" s="18"/>
      <c r="Q377" s="18"/>
      <c r="R377" s="23">
        <v>0.0</v>
      </c>
      <c r="S377" s="23">
        <v>0.0</v>
      </c>
      <c r="T377" s="23">
        <f t="shared" si="2"/>
        <v>0</v>
      </c>
      <c r="U377" s="23">
        <f t="shared" si="3"/>
        <v>0</v>
      </c>
      <c r="V377" s="23">
        <f t="shared" si="4"/>
        <v>0</v>
      </c>
      <c r="W377" s="24" t="str">
        <f t="shared" si="5"/>
        <v>#DIV/0!</v>
      </c>
    </row>
    <row r="378" hidden="1">
      <c r="A378" s="15" t="s">
        <v>4598</v>
      </c>
      <c r="B378" s="18"/>
      <c r="C378" s="15" t="s">
        <v>6601</v>
      </c>
      <c r="D378" s="18"/>
      <c r="E378" s="17" t="s">
        <v>6602</v>
      </c>
      <c r="F378" s="18"/>
      <c r="G378" s="18"/>
      <c r="H378" s="15" t="s">
        <v>4602</v>
      </c>
      <c r="I378" s="18"/>
      <c r="J378" s="19" t="s">
        <v>702</v>
      </c>
      <c r="K378" s="19" t="s">
        <v>1269</v>
      </c>
      <c r="L378" s="19" t="s">
        <v>38</v>
      </c>
      <c r="M378" s="20">
        <f t="shared" si="1"/>
        <v>0</v>
      </c>
      <c r="N378" s="22"/>
      <c r="O378" s="19" t="s">
        <v>1145</v>
      </c>
      <c r="P378" s="18"/>
      <c r="Q378" s="18"/>
      <c r="R378" s="23">
        <v>0.0</v>
      </c>
      <c r="S378" s="23">
        <v>0.0</v>
      </c>
      <c r="T378" s="23">
        <f t="shared" si="2"/>
        <v>0</v>
      </c>
      <c r="U378" s="23">
        <f t="shared" si="3"/>
        <v>0</v>
      </c>
      <c r="V378" s="23">
        <f t="shared" si="4"/>
        <v>0</v>
      </c>
      <c r="W378" s="24" t="str">
        <f t="shared" si="5"/>
        <v>#DIV/0!</v>
      </c>
    </row>
    <row r="379" hidden="1">
      <c r="A379" s="15" t="s">
        <v>1479</v>
      </c>
      <c r="B379" s="18"/>
      <c r="C379" s="15" t="s">
        <v>6603</v>
      </c>
      <c r="D379" s="18"/>
      <c r="E379" s="17" t="s">
        <v>6604</v>
      </c>
      <c r="F379" s="18"/>
      <c r="G379" s="18"/>
      <c r="H379" s="15" t="s">
        <v>1481</v>
      </c>
      <c r="I379" s="18"/>
      <c r="J379" s="19" t="s">
        <v>702</v>
      </c>
      <c r="K379" s="19" t="s">
        <v>1444</v>
      </c>
      <c r="L379" s="19" t="s">
        <v>38</v>
      </c>
      <c r="M379" s="20">
        <f t="shared" si="1"/>
        <v>0</v>
      </c>
      <c r="N379" s="22"/>
      <c r="O379" s="19" t="s">
        <v>1145</v>
      </c>
      <c r="P379" s="18"/>
      <c r="Q379" s="18"/>
      <c r="R379" s="23">
        <v>0.0</v>
      </c>
      <c r="S379" s="23">
        <v>0.0</v>
      </c>
      <c r="T379" s="23">
        <f t="shared" si="2"/>
        <v>0</v>
      </c>
      <c r="U379" s="23">
        <f t="shared" si="3"/>
        <v>0</v>
      </c>
      <c r="V379" s="23">
        <f t="shared" si="4"/>
        <v>0</v>
      </c>
      <c r="W379" s="24" t="str">
        <f t="shared" si="5"/>
        <v>#DIV/0!</v>
      </c>
    </row>
    <row r="380" hidden="1">
      <c r="A380" s="15" t="s">
        <v>4603</v>
      </c>
      <c r="B380" s="18"/>
      <c r="C380" s="15" t="s">
        <v>6605</v>
      </c>
      <c r="D380" s="18"/>
      <c r="E380" s="17" t="s">
        <v>6606</v>
      </c>
      <c r="F380" s="18"/>
      <c r="G380" s="18"/>
      <c r="H380" s="15" t="s">
        <v>4607</v>
      </c>
      <c r="I380" s="18"/>
      <c r="J380" s="19" t="s">
        <v>702</v>
      </c>
      <c r="K380" s="19" t="s">
        <v>603</v>
      </c>
      <c r="L380" s="19" t="s">
        <v>38</v>
      </c>
      <c r="M380" s="20">
        <f t="shared" si="1"/>
        <v>0</v>
      </c>
      <c r="N380" s="22"/>
      <c r="O380" s="19" t="s">
        <v>1145</v>
      </c>
      <c r="P380" s="18"/>
      <c r="Q380" s="18"/>
      <c r="R380" s="23">
        <v>0.0</v>
      </c>
      <c r="S380" s="23">
        <v>0.0</v>
      </c>
      <c r="T380" s="23">
        <f t="shared" si="2"/>
        <v>0</v>
      </c>
      <c r="U380" s="23">
        <f t="shared" si="3"/>
        <v>0</v>
      </c>
      <c r="V380" s="23">
        <f t="shared" si="4"/>
        <v>0</v>
      </c>
      <c r="W380" s="24" t="str">
        <f t="shared" si="5"/>
        <v>#DIV/0!</v>
      </c>
    </row>
    <row r="381" hidden="1">
      <c r="A381" s="15" t="s">
        <v>4608</v>
      </c>
      <c r="B381" s="18"/>
      <c r="C381" s="15" t="s">
        <v>6607</v>
      </c>
      <c r="D381" s="18"/>
      <c r="E381" s="17" t="s">
        <v>6608</v>
      </c>
      <c r="F381" s="18"/>
      <c r="G381" s="18"/>
      <c r="H381" s="15" t="s">
        <v>4612</v>
      </c>
      <c r="I381" s="18"/>
      <c r="J381" s="19" t="s">
        <v>702</v>
      </c>
      <c r="K381" s="19" t="s">
        <v>603</v>
      </c>
      <c r="L381" s="19" t="s">
        <v>38</v>
      </c>
      <c r="M381" s="20">
        <f t="shared" si="1"/>
        <v>0</v>
      </c>
      <c r="N381" s="22"/>
      <c r="O381" s="19" t="s">
        <v>1145</v>
      </c>
      <c r="P381" s="18"/>
      <c r="Q381" s="18"/>
      <c r="R381" s="23">
        <v>0.0</v>
      </c>
      <c r="S381" s="23">
        <v>0.0</v>
      </c>
      <c r="T381" s="23">
        <f t="shared" si="2"/>
        <v>0</v>
      </c>
      <c r="U381" s="23">
        <f t="shared" si="3"/>
        <v>0</v>
      </c>
      <c r="V381" s="23">
        <f t="shared" si="4"/>
        <v>0</v>
      </c>
      <c r="W381" s="24" t="str">
        <f t="shared" si="5"/>
        <v>#DIV/0!</v>
      </c>
    </row>
    <row r="382" hidden="1">
      <c r="A382" s="15" t="s">
        <v>4613</v>
      </c>
      <c r="B382" s="18"/>
      <c r="C382" s="15" t="s">
        <v>6609</v>
      </c>
      <c r="D382" s="18"/>
      <c r="E382" s="17" t="s">
        <v>6610</v>
      </c>
      <c r="F382" s="18"/>
      <c r="G382" s="18"/>
      <c r="H382" s="15" t="s">
        <v>4616</v>
      </c>
      <c r="I382" s="18"/>
      <c r="J382" s="19" t="s">
        <v>702</v>
      </c>
      <c r="K382" s="19" t="s">
        <v>1444</v>
      </c>
      <c r="L382" s="19" t="s">
        <v>38</v>
      </c>
      <c r="M382" s="20">
        <f t="shared" si="1"/>
        <v>0</v>
      </c>
      <c r="N382" s="22"/>
      <c r="O382" s="19" t="s">
        <v>1145</v>
      </c>
      <c r="P382" s="18"/>
      <c r="Q382" s="18"/>
      <c r="R382" s="23">
        <v>0.0</v>
      </c>
      <c r="S382" s="23">
        <v>0.0</v>
      </c>
      <c r="T382" s="23">
        <f t="shared" si="2"/>
        <v>0</v>
      </c>
      <c r="U382" s="23">
        <f t="shared" si="3"/>
        <v>0</v>
      </c>
      <c r="V382" s="23">
        <f t="shared" si="4"/>
        <v>0</v>
      </c>
      <c r="W382" s="24" t="str">
        <f t="shared" si="5"/>
        <v>#DIV/0!</v>
      </c>
    </row>
    <row r="383" hidden="1">
      <c r="A383" s="15" t="s">
        <v>4618</v>
      </c>
      <c r="B383" s="18"/>
      <c r="C383" s="15" t="s">
        <v>6611</v>
      </c>
      <c r="D383" s="18"/>
      <c r="E383" s="17" t="s">
        <v>6612</v>
      </c>
      <c r="F383" s="18"/>
      <c r="G383" s="18"/>
      <c r="H383" s="15" t="s">
        <v>4622</v>
      </c>
      <c r="I383" s="18"/>
      <c r="J383" s="19" t="s">
        <v>702</v>
      </c>
      <c r="K383" s="19" t="s">
        <v>1444</v>
      </c>
      <c r="L383" s="19" t="s">
        <v>38</v>
      </c>
      <c r="M383" s="20">
        <f t="shared" si="1"/>
        <v>0</v>
      </c>
      <c r="N383" s="22"/>
      <c r="O383" s="19" t="s">
        <v>1145</v>
      </c>
      <c r="P383" s="18"/>
      <c r="Q383" s="18"/>
      <c r="R383" s="23">
        <v>0.0</v>
      </c>
      <c r="S383" s="23">
        <v>0.0</v>
      </c>
      <c r="T383" s="23">
        <f t="shared" si="2"/>
        <v>0</v>
      </c>
      <c r="U383" s="23">
        <f t="shared" si="3"/>
        <v>0</v>
      </c>
      <c r="V383" s="23">
        <f t="shared" si="4"/>
        <v>0</v>
      </c>
      <c r="W383" s="24" t="str">
        <f t="shared" si="5"/>
        <v>#DIV/0!</v>
      </c>
    </row>
    <row r="384" hidden="1">
      <c r="A384" s="15" t="s">
        <v>4623</v>
      </c>
      <c r="B384" s="15" t="s">
        <v>4536</v>
      </c>
      <c r="C384" s="15" t="s">
        <v>6613</v>
      </c>
      <c r="D384" s="18"/>
      <c r="E384" s="17" t="s">
        <v>6568</v>
      </c>
      <c r="F384" s="18"/>
      <c r="G384" s="18"/>
      <c r="H384" s="15" t="s">
        <v>4625</v>
      </c>
      <c r="I384" s="18"/>
      <c r="J384" s="19" t="s">
        <v>702</v>
      </c>
      <c r="K384" s="19" t="s">
        <v>1431</v>
      </c>
      <c r="L384" s="19" t="s">
        <v>38</v>
      </c>
      <c r="M384" s="20">
        <f t="shared" si="1"/>
        <v>0</v>
      </c>
      <c r="N384" s="22"/>
      <c r="O384" s="19" t="s">
        <v>1145</v>
      </c>
      <c r="P384" s="18"/>
      <c r="Q384" s="18"/>
      <c r="R384" s="23">
        <v>0.0</v>
      </c>
      <c r="S384" s="23">
        <v>0.0</v>
      </c>
      <c r="T384" s="23">
        <f t="shared" si="2"/>
        <v>0</v>
      </c>
      <c r="U384" s="23">
        <f t="shared" si="3"/>
        <v>0</v>
      </c>
      <c r="V384" s="23">
        <f t="shared" si="4"/>
        <v>0</v>
      </c>
      <c r="W384" s="24" t="str">
        <f t="shared" si="5"/>
        <v>#DIV/0!</v>
      </c>
    </row>
    <row r="385" hidden="1">
      <c r="A385" s="15" t="s">
        <v>4626</v>
      </c>
      <c r="B385" s="18"/>
      <c r="C385" s="15" t="s">
        <v>6614</v>
      </c>
      <c r="D385" s="18"/>
      <c r="E385" s="17" t="s">
        <v>6615</v>
      </c>
      <c r="F385" s="18"/>
      <c r="G385" s="18"/>
      <c r="H385" s="15" t="s">
        <v>4628</v>
      </c>
      <c r="I385" s="18"/>
      <c r="J385" s="19" t="s">
        <v>702</v>
      </c>
      <c r="K385" s="19" t="s">
        <v>1269</v>
      </c>
      <c r="L385" s="19" t="s">
        <v>38</v>
      </c>
      <c r="M385" s="20">
        <f t="shared" si="1"/>
        <v>0</v>
      </c>
      <c r="N385" s="22"/>
      <c r="O385" s="19" t="s">
        <v>1145</v>
      </c>
      <c r="P385" s="18"/>
      <c r="Q385" s="18"/>
      <c r="R385" s="23">
        <v>0.0</v>
      </c>
      <c r="S385" s="23">
        <v>0.0</v>
      </c>
      <c r="T385" s="23">
        <f t="shared" si="2"/>
        <v>0</v>
      </c>
      <c r="U385" s="23">
        <f t="shared" si="3"/>
        <v>0</v>
      </c>
      <c r="V385" s="23">
        <f t="shared" si="4"/>
        <v>0</v>
      </c>
      <c r="W385" s="24" t="str">
        <f t="shared" si="5"/>
        <v>#DIV/0!</v>
      </c>
    </row>
    <row r="386" hidden="1">
      <c r="A386" s="15" t="s">
        <v>4629</v>
      </c>
      <c r="B386" s="18"/>
      <c r="C386" s="15" t="s">
        <v>6616</v>
      </c>
      <c r="D386" s="18"/>
      <c r="E386" s="17" t="s">
        <v>6617</v>
      </c>
      <c r="F386" s="18"/>
      <c r="G386" s="18"/>
      <c r="H386" s="15" t="s">
        <v>4631</v>
      </c>
      <c r="I386" s="18"/>
      <c r="J386" s="19" t="s">
        <v>702</v>
      </c>
      <c r="K386" s="19" t="s">
        <v>1269</v>
      </c>
      <c r="L386" s="19" t="s">
        <v>38</v>
      </c>
      <c r="M386" s="20">
        <f t="shared" si="1"/>
        <v>0</v>
      </c>
      <c r="N386" s="22"/>
      <c r="O386" s="19" t="s">
        <v>1145</v>
      </c>
      <c r="P386" s="18"/>
      <c r="Q386" s="18"/>
      <c r="R386" s="23">
        <v>0.0</v>
      </c>
      <c r="S386" s="23">
        <v>0.0</v>
      </c>
      <c r="T386" s="23">
        <f t="shared" si="2"/>
        <v>0</v>
      </c>
      <c r="U386" s="23">
        <f t="shared" si="3"/>
        <v>0</v>
      </c>
      <c r="V386" s="23">
        <f t="shared" si="4"/>
        <v>0</v>
      </c>
      <c r="W386" s="24" t="str">
        <f t="shared" si="5"/>
        <v>#DIV/0!</v>
      </c>
    </row>
    <row r="387" hidden="1">
      <c r="A387" s="15" t="s">
        <v>1482</v>
      </c>
      <c r="B387" s="18"/>
      <c r="C387" s="15" t="s">
        <v>6618</v>
      </c>
      <c r="D387" s="18"/>
      <c r="E387" s="17" t="s">
        <v>1483</v>
      </c>
      <c r="F387" s="18"/>
      <c r="G387" s="18"/>
      <c r="H387" s="15" t="s">
        <v>1484</v>
      </c>
      <c r="I387" s="18"/>
      <c r="J387" s="19" t="s">
        <v>702</v>
      </c>
      <c r="K387" s="19" t="s">
        <v>603</v>
      </c>
      <c r="L387" s="19" t="s">
        <v>38</v>
      </c>
      <c r="M387" s="20">
        <f t="shared" si="1"/>
        <v>0</v>
      </c>
      <c r="N387" s="22"/>
      <c r="O387" s="19" t="s">
        <v>1145</v>
      </c>
      <c r="P387" s="18"/>
      <c r="Q387" s="18"/>
      <c r="R387" s="23">
        <v>0.0</v>
      </c>
      <c r="S387" s="23">
        <v>0.0</v>
      </c>
      <c r="T387" s="23">
        <f t="shared" si="2"/>
        <v>0</v>
      </c>
      <c r="U387" s="23">
        <f t="shared" si="3"/>
        <v>0</v>
      </c>
      <c r="V387" s="23">
        <f t="shared" si="4"/>
        <v>0</v>
      </c>
      <c r="W387" s="24" t="str">
        <f t="shared" si="5"/>
        <v>#DIV/0!</v>
      </c>
    </row>
    <row r="388" hidden="1">
      <c r="A388" s="15" t="s">
        <v>4632</v>
      </c>
      <c r="B388" s="18"/>
      <c r="C388" s="15" t="s">
        <v>6619</v>
      </c>
      <c r="D388" s="18"/>
      <c r="E388" s="17" t="s">
        <v>6620</v>
      </c>
      <c r="F388" s="18"/>
      <c r="G388" s="18"/>
      <c r="H388" s="15" t="s">
        <v>4635</v>
      </c>
      <c r="I388" s="18"/>
      <c r="J388" s="19" t="s">
        <v>702</v>
      </c>
      <c r="K388" s="19" t="s">
        <v>603</v>
      </c>
      <c r="L388" s="19" t="s">
        <v>38</v>
      </c>
      <c r="M388" s="20">
        <f t="shared" si="1"/>
        <v>0</v>
      </c>
      <c r="N388" s="22"/>
      <c r="O388" s="19" t="s">
        <v>1145</v>
      </c>
      <c r="P388" s="18"/>
      <c r="Q388" s="18"/>
      <c r="R388" s="23">
        <v>0.0</v>
      </c>
      <c r="S388" s="23">
        <v>0.0</v>
      </c>
      <c r="T388" s="23">
        <f t="shared" si="2"/>
        <v>0</v>
      </c>
      <c r="U388" s="23">
        <f t="shared" si="3"/>
        <v>0</v>
      </c>
      <c r="V388" s="23">
        <f t="shared" si="4"/>
        <v>0</v>
      </c>
      <c r="W388" s="24" t="str">
        <f t="shared" si="5"/>
        <v>#DIV/0!</v>
      </c>
    </row>
    <row r="389" hidden="1">
      <c r="A389" s="15" t="s">
        <v>4636</v>
      </c>
      <c r="B389" s="18"/>
      <c r="C389" s="15" t="s">
        <v>6621</v>
      </c>
      <c r="D389" s="18"/>
      <c r="E389" s="17" t="s">
        <v>6622</v>
      </c>
      <c r="F389" s="18"/>
      <c r="G389" s="18"/>
      <c r="H389" s="15" t="s">
        <v>4638</v>
      </c>
      <c r="I389" s="18"/>
      <c r="J389" s="19" t="s">
        <v>702</v>
      </c>
      <c r="K389" s="19" t="s">
        <v>1431</v>
      </c>
      <c r="L389" s="19" t="s">
        <v>38</v>
      </c>
      <c r="M389" s="20">
        <f t="shared" si="1"/>
        <v>0</v>
      </c>
      <c r="N389" s="22"/>
      <c r="O389" s="19" t="s">
        <v>1145</v>
      </c>
      <c r="P389" s="18"/>
      <c r="Q389" s="18"/>
      <c r="R389" s="23">
        <v>0.0</v>
      </c>
      <c r="S389" s="23">
        <v>0.0</v>
      </c>
      <c r="T389" s="23">
        <f t="shared" si="2"/>
        <v>0</v>
      </c>
      <c r="U389" s="23">
        <f t="shared" si="3"/>
        <v>0</v>
      </c>
      <c r="V389" s="23">
        <f t="shared" si="4"/>
        <v>0</v>
      </c>
      <c r="W389" s="24" t="str">
        <f t="shared" si="5"/>
        <v>#DIV/0!</v>
      </c>
    </row>
    <row r="390" hidden="1">
      <c r="A390" s="15" t="s">
        <v>4639</v>
      </c>
      <c r="B390" s="18"/>
      <c r="C390" s="15" t="s">
        <v>6623</v>
      </c>
      <c r="D390" s="18"/>
      <c r="E390" s="17" t="s">
        <v>6624</v>
      </c>
      <c r="F390" s="18"/>
      <c r="G390" s="18"/>
      <c r="H390" s="15" t="s">
        <v>6625</v>
      </c>
      <c r="I390" s="18"/>
      <c r="J390" s="19" t="s">
        <v>702</v>
      </c>
      <c r="K390" s="19" t="s">
        <v>1431</v>
      </c>
      <c r="L390" s="19" t="s">
        <v>38</v>
      </c>
      <c r="M390" s="20">
        <f t="shared" si="1"/>
        <v>0</v>
      </c>
      <c r="N390" s="22"/>
      <c r="O390" s="19" t="s">
        <v>1145</v>
      </c>
      <c r="P390" s="18"/>
      <c r="Q390" s="18"/>
      <c r="R390" s="23">
        <v>0.0</v>
      </c>
      <c r="S390" s="23">
        <v>0.0</v>
      </c>
      <c r="T390" s="23">
        <f t="shared" si="2"/>
        <v>0</v>
      </c>
      <c r="U390" s="23">
        <f t="shared" si="3"/>
        <v>0</v>
      </c>
      <c r="V390" s="23">
        <f t="shared" si="4"/>
        <v>0</v>
      </c>
      <c r="W390" s="24" t="str">
        <f t="shared" si="5"/>
        <v>#DIV/0!</v>
      </c>
    </row>
    <row r="391" hidden="1">
      <c r="A391" s="15" t="s">
        <v>4642</v>
      </c>
      <c r="B391" s="18"/>
      <c r="C391" s="15" t="s">
        <v>6626</v>
      </c>
      <c r="D391" s="18"/>
      <c r="E391" s="17" t="s">
        <v>6627</v>
      </c>
      <c r="F391" s="18"/>
      <c r="G391" s="18"/>
      <c r="H391" s="15" t="s">
        <v>1441</v>
      </c>
      <c r="I391" s="18"/>
      <c r="J391" s="19" t="s">
        <v>702</v>
      </c>
      <c r="K391" s="19" t="s">
        <v>1431</v>
      </c>
      <c r="L391" s="19" t="s">
        <v>38</v>
      </c>
      <c r="M391" s="20">
        <f t="shared" si="1"/>
        <v>0</v>
      </c>
      <c r="N391" s="22"/>
      <c r="O391" s="19" t="s">
        <v>1145</v>
      </c>
      <c r="P391" s="18"/>
      <c r="Q391" s="18"/>
      <c r="R391" s="23">
        <v>0.0</v>
      </c>
      <c r="S391" s="23">
        <v>0.0</v>
      </c>
      <c r="T391" s="23">
        <f t="shared" si="2"/>
        <v>0</v>
      </c>
      <c r="U391" s="23">
        <f t="shared" si="3"/>
        <v>0</v>
      </c>
      <c r="V391" s="23">
        <f t="shared" si="4"/>
        <v>0</v>
      </c>
      <c r="W391" s="24" t="str">
        <f t="shared" si="5"/>
        <v>#DIV/0!</v>
      </c>
    </row>
    <row r="392" hidden="1">
      <c r="A392" s="15" t="s">
        <v>1485</v>
      </c>
      <c r="B392" s="18"/>
      <c r="C392" s="15" t="s">
        <v>6628</v>
      </c>
      <c r="D392" s="18"/>
      <c r="E392" s="17" t="s">
        <v>1486</v>
      </c>
      <c r="F392" s="18"/>
      <c r="G392" s="18"/>
      <c r="H392" s="15" t="s">
        <v>1487</v>
      </c>
      <c r="I392" s="18"/>
      <c r="J392" s="19" t="s">
        <v>702</v>
      </c>
      <c r="K392" s="19" t="s">
        <v>1431</v>
      </c>
      <c r="L392" s="19" t="s">
        <v>38</v>
      </c>
      <c r="M392" s="20">
        <f t="shared" si="1"/>
        <v>0</v>
      </c>
      <c r="N392" s="22"/>
      <c r="O392" s="19" t="s">
        <v>1145</v>
      </c>
      <c r="P392" s="18"/>
      <c r="Q392" s="18"/>
      <c r="R392" s="23">
        <v>0.0</v>
      </c>
      <c r="S392" s="23">
        <v>0.0</v>
      </c>
      <c r="T392" s="23">
        <f t="shared" si="2"/>
        <v>0</v>
      </c>
      <c r="U392" s="23">
        <f t="shared" si="3"/>
        <v>0</v>
      </c>
      <c r="V392" s="23">
        <f t="shared" si="4"/>
        <v>0</v>
      </c>
      <c r="W392" s="24" t="str">
        <f t="shared" si="5"/>
        <v>#DIV/0!</v>
      </c>
    </row>
    <row r="393" hidden="1">
      <c r="A393" s="15" t="s">
        <v>1488</v>
      </c>
      <c r="B393" s="18"/>
      <c r="C393" s="15" t="s">
        <v>6629</v>
      </c>
      <c r="D393" s="18"/>
      <c r="E393" s="17" t="s">
        <v>1489</v>
      </c>
      <c r="F393" s="18"/>
      <c r="G393" s="18"/>
      <c r="H393" s="15" t="s">
        <v>1490</v>
      </c>
      <c r="I393" s="18"/>
      <c r="J393" s="19" t="s">
        <v>702</v>
      </c>
      <c r="K393" s="19" t="s">
        <v>603</v>
      </c>
      <c r="L393" s="19" t="s">
        <v>38</v>
      </c>
      <c r="M393" s="20">
        <f t="shared" si="1"/>
        <v>0</v>
      </c>
      <c r="N393" s="22"/>
      <c r="O393" s="19" t="s">
        <v>1145</v>
      </c>
      <c r="P393" s="18"/>
      <c r="Q393" s="18"/>
      <c r="R393" s="23">
        <v>0.0</v>
      </c>
      <c r="S393" s="23">
        <v>0.0</v>
      </c>
      <c r="T393" s="23">
        <f t="shared" si="2"/>
        <v>0</v>
      </c>
      <c r="U393" s="23">
        <f t="shared" si="3"/>
        <v>0</v>
      </c>
      <c r="V393" s="23">
        <f t="shared" si="4"/>
        <v>0</v>
      </c>
      <c r="W393" s="24" t="str">
        <f t="shared" si="5"/>
        <v>#DIV/0!</v>
      </c>
    </row>
    <row r="394" hidden="1">
      <c r="A394" s="15" t="s">
        <v>1491</v>
      </c>
      <c r="B394" s="18"/>
      <c r="C394" s="15" t="s">
        <v>6630</v>
      </c>
      <c r="D394" s="18"/>
      <c r="E394" s="17" t="s">
        <v>1492</v>
      </c>
      <c r="F394" s="18"/>
      <c r="G394" s="18"/>
      <c r="H394" s="15" t="s">
        <v>1493</v>
      </c>
      <c r="I394" s="18"/>
      <c r="J394" s="19" t="s">
        <v>702</v>
      </c>
      <c r="K394" s="19" t="s">
        <v>603</v>
      </c>
      <c r="L394" s="19" t="s">
        <v>38</v>
      </c>
      <c r="M394" s="20">
        <f t="shared" si="1"/>
        <v>0</v>
      </c>
      <c r="N394" s="22"/>
      <c r="O394" s="19" t="s">
        <v>1145</v>
      </c>
      <c r="P394" s="18"/>
      <c r="Q394" s="18"/>
      <c r="R394" s="23">
        <v>0.0</v>
      </c>
      <c r="S394" s="23">
        <v>0.0</v>
      </c>
      <c r="T394" s="23">
        <f t="shared" si="2"/>
        <v>0</v>
      </c>
      <c r="U394" s="23">
        <f t="shared" si="3"/>
        <v>0</v>
      </c>
      <c r="V394" s="23">
        <f t="shared" si="4"/>
        <v>0</v>
      </c>
      <c r="W394" s="24" t="str">
        <f t="shared" si="5"/>
        <v>#DIV/0!</v>
      </c>
    </row>
    <row r="395" hidden="1">
      <c r="A395" s="15" t="s">
        <v>6631</v>
      </c>
      <c r="B395" s="18"/>
      <c r="C395" s="15" t="s">
        <v>6119</v>
      </c>
      <c r="D395" s="18"/>
      <c r="E395" s="17" t="s">
        <v>6632</v>
      </c>
      <c r="F395" s="18"/>
      <c r="G395" s="18"/>
      <c r="H395" s="15" t="s">
        <v>1068</v>
      </c>
      <c r="I395" s="18"/>
      <c r="J395" s="19" t="s">
        <v>104</v>
      </c>
      <c r="K395" s="19" t="s">
        <v>105</v>
      </c>
      <c r="L395" s="19" t="s">
        <v>38</v>
      </c>
      <c r="M395" s="20">
        <f t="shared" si="1"/>
        <v>0</v>
      </c>
      <c r="N395" s="22"/>
      <c r="O395" s="19" t="s">
        <v>1145</v>
      </c>
      <c r="P395" s="18"/>
      <c r="Q395" s="18"/>
      <c r="R395" s="23">
        <v>0.0</v>
      </c>
      <c r="S395" s="23">
        <v>0.0</v>
      </c>
      <c r="T395" s="23">
        <f t="shared" si="2"/>
        <v>0</v>
      </c>
      <c r="U395" s="23">
        <f t="shared" si="3"/>
        <v>0</v>
      </c>
      <c r="V395" s="23">
        <f t="shared" si="4"/>
        <v>0</v>
      </c>
      <c r="W395" s="24" t="str">
        <f t="shared" si="5"/>
        <v>#DIV/0!</v>
      </c>
    </row>
    <row r="396" hidden="1">
      <c r="A396" s="15" t="s">
        <v>1494</v>
      </c>
      <c r="B396" s="18"/>
      <c r="C396" s="15" t="s">
        <v>6633</v>
      </c>
      <c r="D396" s="18"/>
      <c r="E396" s="17" t="s">
        <v>1495</v>
      </c>
      <c r="F396" s="18"/>
      <c r="G396" s="18"/>
      <c r="H396" s="15" t="s">
        <v>1496</v>
      </c>
      <c r="I396" s="18"/>
      <c r="J396" s="19" t="s">
        <v>104</v>
      </c>
      <c r="K396" s="19" t="s">
        <v>105</v>
      </c>
      <c r="L396" s="19" t="s">
        <v>38</v>
      </c>
      <c r="M396" s="20">
        <f t="shared" si="1"/>
        <v>0</v>
      </c>
      <c r="N396" s="22"/>
      <c r="O396" s="19" t="s">
        <v>1145</v>
      </c>
      <c r="P396" s="18"/>
      <c r="Q396" s="18"/>
      <c r="R396" s="23">
        <v>0.0</v>
      </c>
      <c r="S396" s="23">
        <v>0.0</v>
      </c>
      <c r="T396" s="23">
        <f t="shared" si="2"/>
        <v>0</v>
      </c>
      <c r="U396" s="23">
        <f t="shared" si="3"/>
        <v>0</v>
      </c>
      <c r="V396" s="23">
        <f t="shared" si="4"/>
        <v>0</v>
      </c>
      <c r="W396" s="24" t="str">
        <f t="shared" si="5"/>
        <v>#DIV/0!</v>
      </c>
    </row>
    <row r="397" hidden="1">
      <c r="A397" s="15" t="s">
        <v>4645</v>
      </c>
      <c r="B397" s="18"/>
      <c r="C397" s="15" t="s">
        <v>6634</v>
      </c>
      <c r="D397" s="18"/>
      <c r="E397" s="17" t="s">
        <v>4646</v>
      </c>
      <c r="F397" s="18"/>
      <c r="G397" s="18"/>
      <c r="H397" s="15" t="s">
        <v>4647</v>
      </c>
      <c r="I397" s="18"/>
      <c r="J397" s="19" t="s">
        <v>104</v>
      </c>
      <c r="K397" s="19" t="s">
        <v>105</v>
      </c>
      <c r="L397" s="19" t="s">
        <v>38</v>
      </c>
      <c r="M397" s="20">
        <f t="shared" si="1"/>
        <v>0</v>
      </c>
      <c r="N397" s="22"/>
      <c r="O397" s="19" t="s">
        <v>1145</v>
      </c>
      <c r="P397" s="18"/>
      <c r="Q397" s="18"/>
      <c r="R397" s="23">
        <v>0.0</v>
      </c>
      <c r="S397" s="23">
        <v>0.0</v>
      </c>
      <c r="T397" s="23">
        <f t="shared" si="2"/>
        <v>0</v>
      </c>
      <c r="U397" s="23">
        <f t="shared" si="3"/>
        <v>0</v>
      </c>
      <c r="V397" s="23">
        <f t="shared" si="4"/>
        <v>0</v>
      </c>
      <c r="W397" s="24" t="str">
        <f t="shared" si="5"/>
        <v>#DIV/0!</v>
      </c>
    </row>
    <row r="398" hidden="1">
      <c r="A398" s="15" t="s">
        <v>4648</v>
      </c>
      <c r="B398" s="18"/>
      <c r="C398" s="15" t="s">
        <v>6635</v>
      </c>
      <c r="D398" s="18"/>
      <c r="E398" s="17" t="s">
        <v>4649</v>
      </c>
      <c r="F398" s="18"/>
      <c r="G398" s="18"/>
      <c r="H398" s="15" t="s">
        <v>4650</v>
      </c>
      <c r="I398" s="18"/>
      <c r="J398" s="19" t="s">
        <v>104</v>
      </c>
      <c r="K398" s="19" t="s">
        <v>105</v>
      </c>
      <c r="L398" s="19" t="s">
        <v>38</v>
      </c>
      <c r="M398" s="20">
        <f t="shared" si="1"/>
        <v>0</v>
      </c>
      <c r="N398" s="22"/>
      <c r="O398" s="19" t="s">
        <v>1145</v>
      </c>
      <c r="P398" s="18"/>
      <c r="Q398" s="18"/>
      <c r="R398" s="23">
        <v>0.0</v>
      </c>
      <c r="S398" s="23">
        <v>0.0</v>
      </c>
      <c r="T398" s="23">
        <f t="shared" si="2"/>
        <v>0</v>
      </c>
      <c r="U398" s="23">
        <f t="shared" si="3"/>
        <v>0</v>
      </c>
      <c r="V398" s="23">
        <f t="shared" si="4"/>
        <v>0</v>
      </c>
      <c r="W398" s="24" t="str">
        <f t="shared" si="5"/>
        <v>#DIV/0!</v>
      </c>
    </row>
    <row r="399" hidden="1">
      <c r="A399" s="15" t="s">
        <v>1497</v>
      </c>
      <c r="B399" s="18"/>
      <c r="C399" s="15" t="s">
        <v>6636</v>
      </c>
      <c r="D399" s="18"/>
      <c r="E399" s="17" t="s">
        <v>1498</v>
      </c>
      <c r="F399" s="18"/>
      <c r="G399" s="18"/>
      <c r="H399" s="15" t="s">
        <v>1499</v>
      </c>
      <c r="I399" s="18"/>
      <c r="J399" s="19" t="s">
        <v>104</v>
      </c>
      <c r="K399" s="19" t="s">
        <v>105</v>
      </c>
      <c r="L399" s="19" t="s">
        <v>38</v>
      </c>
      <c r="M399" s="20">
        <f t="shared" si="1"/>
        <v>0</v>
      </c>
      <c r="N399" s="22"/>
      <c r="O399" s="19" t="s">
        <v>1145</v>
      </c>
      <c r="P399" s="18"/>
      <c r="Q399" s="18"/>
      <c r="R399" s="23">
        <v>0.0</v>
      </c>
      <c r="S399" s="23">
        <v>0.0</v>
      </c>
      <c r="T399" s="23">
        <f t="shared" si="2"/>
        <v>0</v>
      </c>
      <c r="U399" s="23">
        <f t="shared" si="3"/>
        <v>0</v>
      </c>
      <c r="V399" s="23">
        <f t="shared" si="4"/>
        <v>0</v>
      </c>
      <c r="W399" s="24" t="str">
        <f t="shared" si="5"/>
        <v>#DIV/0!</v>
      </c>
    </row>
    <row r="400" hidden="1">
      <c r="A400" s="15" t="s">
        <v>1500</v>
      </c>
      <c r="B400" s="18"/>
      <c r="C400" s="15" t="s">
        <v>6637</v>
      </c>
      <c r="D400" s="18"/>
      <c r="E400" s="17" t="s">
        <v>1501</v>
      </c>
      <c r="F400" s="18"/>
      <c r="G400" s="18"/>
      <c r="H400" s="15" t="s">
        <v>1502</v>
      </c>
      <c r="I400" s="18"/>
      <c r="J400" s="19" t="s">
        <v>104</v>
      </c>
      <c r="K400" s="19" t="s">
        <v>105</v>
      </c>
      <c r="L400" s="19" t="s">
        <v>38</v>
      </c>
      <c r="M400" s="20">
        <f t="shared" si="1"/>
        <v>0</v>
      </c>
      <c r="N400" s="22"/>
      <c r="O400" s="19" t="s">
        <v>1145</v>
      </c>
      <c r="P400" s="18"/>
      <c r="Q400" s="18"/>
      <c r="R400" s="23">
        <v>0.0</v>
      </c>
      <c r="S400" s="23">
        <v>0.0</v>
      </c>
      <c r="T400" s="23">
        <f t="shared" si="2"/>
        <v>0</v>
      </c>
      <c r="U400" s="23">
        <f t="shared" si="3"/>
        <v>0</v>
      </c>
      <c r="V400" s="23">
        <f t="shared" si="4"/>
        <v>0</v>
      </c>
      <c r="W400" s="24" t="str">
        <f t="shared" si="5"/>
        <v>#DIV/0!</v>
      </c>
    </row>
    <row r="401" hidden="1">
      <c r="A401" s="15" t="s">
        <v>4651</v>
      </c>
      <c r="B401" s="15" t="s">
        <v>4652</v>
      </c>
      <c r="C401" s="15" t="s">
        <v>6638</v>
      </c>
      <c r="D401" s="18"/>
      <c r="E401" s="17" t="s">
        <v>6639</v>
      </c>
      <c r="F401" s="18"/>
      <c r="G401" s="18"/>
      <c r="H401" s="15" t="s">
        <v>3017</v>
      </c>
      <c r="I401" s="18"/>
      <c r="J401" s="19" t="s">
        <v>104</v>
      </c>
      <c r="K401" s="19" t="s">
        <v>105</v>
      </c>
      <c r="L401" s="19" t="s">
        <v>38</v>
      </c>
      <c r="M401" s="20">
        <f t="shared" si="1"/>
        <v>0</v>
      </c>
      <c r="N401" s="22"/>
      <c r="O401" s="19" t="s">
        <v>1145</v>
      </c>
      <c r="P401" s="18"/>
      <c r="Q401" s="18"/>
      <c r="R401" s="23">
        <v>0.0</v>
      </c>
      <c r="S401" s="23">
        <v>0.0</v>
      </c>
      <c r="T401" s="23">
        <f t="shared" si="2"/>
        <v>0</v>
      </c>
      <c r="U401" s="23">
        <f t="shared" si="3"/>
        <v>0</v>
      </c>
      <c r="V401" s="23">
        <f t="shared" si="4"/>
        <v>0</v>
      </c>
      <c r="W401" s="24" t="str">
        <f t="shared" si="5"/>
        <v>#DIV/0!</v>
      </c>
    </row>
    <row r="402" hidden="1">
      <c r="A402" s="15" t="s">
        <v>6640</v>
      </c>
      <c r="B402" s="18"/>
      <c r="C402" s="15" t="s">
        <v>6641</v>
      </c>
      <c r="D402" s="18"/>
      <c r="E402" s="17" t="s">
        <v>1007</v>
      </c>
      <c r="F402" s="18"/>
      <c r="G402" s="18"/>
      <c r="H402" s="15" t="s">
        <v>3017</v>
      </c>
      <c r="I402" s="18"/>
      <c r="J402" s="19" t="s">
        <v>104</v>
      </c>
      <c r="K402" s="19" t="s">
        <v>105</v>
      </c>
      <c r="L402" s="19" t="s">
        <v>38</v>
      </c>
      <c r="M402" s="20">
        <f t="shared" si="1"/>
        <v>0</v>
      </c>
      <c r="N402" s="22"/>
      <c r="O402" s="19" t="s">
        <v>1145</v>
      </c>
      <c r="P402" s="18"/>
      <c r="Q402" s="18"/>
      <c r="R402" s="23">
        <v>0.0</v>
      </c>
      <c r="S402" s="23">
        <v>0.0</v>
      </c>
      <c r="T402" s="23">
        <f t="shared" si="2"/>
        <v>0</v>
      </c>
      <c r="U402" s="23">
        <f t="shared" si="3"/>
        <v>0</v>
      </c>
      <c r="V402" s="23">
        <f t="shared" si="4"/>
        <v>0</v>
      </c>
      <c r="W402" s="24" t="str">
        <f t="shared" si="5"/>
        <v>#DIV/0!</v>
      </c>
    </row>
    <row r="403">
      <c r="A403" s="15" t="s">
        <v>1129</v>
      </c>
      <c r="B403" s="15" t="s">
        <v>1130</v>
      </c>
      <c r="C403" s="15" t="s">
        <v>1131</v>
      </c>
      <c r="D403" s="15" t="s">
        <v>1132</v>
      </c>
      <c r="E403" s="17" t="s">
        <v>1133</v>
      </c>
      <c r="F403" s="18"/>
      <c r="G403" s="15" t="s">
        <v>1007</v>
      </c>
      <c r="H403" s="15" t="s">
        <v>1134</v>
      </c>
      <c r="I403" s="18"/>
      <c r="J403" s="19" t="s">
        <v>104</v>
      </c>
      <c r="K403" s="19" t="s">
        <v>160</v>
      </c>
      <c r="L403" s="19" t="s">
        <v>106</v>
      </c>
      <c r="M403" s="20">
        <f t="shared" si="1"/>
        <v>1687.2</v>
      </c>
      <c r="N403" s="31">
        <v>30.0</v>
      </c>
      <c r="O403" s="19" t="s">
        <v>107</v>
      </c>
      <c r="P403" s="18"/>
      <c r="Q403" s="18"/>
      <c r="R403" s="23">
        <v>38.0</v>
      </c>
      <c r="S403" s="23">
        <v>95.0</v>
      </c>
      <c r="T403" s="23">
        <f t="shared" si="2"/>
        <v>91.2</v>
      </c>
      <c r="U403" s="23">
        <f t="shared" si="3"/>
        <v>46.55</v>
      </c>
      <c r="V403" s="23">
        <f t="shared" si="4"/>
        <v>872.8125</v>
      </c>
      <c r="W403" s="24">
        <f t="shared" si="5"/>
        <v>2.4</v>
      </c>
    </row>
    <row r="404">
      <c r="A404" s="15" t="s">
        <v>1110</v>
      </c>
      <c r="B404" s="15" t="s">
        <v>1111</v>
      </c>
      <c r="C404" s="15" t="s">
        <v>1112</v>
      </c>
      <c r="D404" s="15" t="s">
        <v>1113</v>
      </c>
      <c r="E404" s="17" t="s">
        <v>1114</v>
      </c>
      <c r="F404" s="18"/>
      <c r="G404" s="15" t="s">
        <v>1115</v>
      </c>
      <c r="H404" s="15" t="s">
        <v>1116</v>
      </c>
      <c r="I404" s="18"/>
      <c r="J404" s="19" t="s">
        <v>104</v>
      </c>
      <c r="K404" s="19" t="s">
        <v>160</v>
      </c>
      <c r="L404" s="19" t="s">
        <v>106</v>
      </c>
      <c r="M404" s="20">
        <f t="shared" si="1"/>
        <v>1154.4</v>
      </c>
      <c r="N404" s="31">
        <v>10.0</v>
      </c>
      <c r="O404" s="19" t="s">
        <v>107</v>
      </c>
      <c r="P404" s="18"/>
      <c r="Q404" s="18"/>
      <c r="R404" s="23">
        <v>25.0</v>
      </c>
      <c r="S404" s="23">
        <v>65.0</v>
      </c>
      <c r="T404" s="23">
        <f t="shared" si="2"/>
        <v>62.4</v>
      </c>
      <c r="U404" s="23">
        <f t="shared" si="3"/>
        <v>30.625</v>
      </c>
      <c r="V404" s="23">
        <f t="shared" si="4"/>
        <v>574.21875</v>
      </c>
      <c r="W404" s="24">
        <f t="shared" si="5"/>
        <v>2.496</v>
      </c>
    </row>
    <row r="405" hidden="1">
      <c r="A405" s="15" t="s">
        <v>1503</v>
      </c>
      <c r="B405" s="18"/>
      <c r="C405" s="15" t="s">
        <v>6642</v>
      </c>
      <c r="D405" s="18"/>
      <c r="E405" s="17" t="s">
        <v>1504</v>
      </c>
      <c r="F405" s="18"/>
      <c r="G405" s="18"/>
      <c r="H405" s="15" t="s">
        <v>1505</v>
      </c>
      <c r="I405" s="18"/>
      <c r="J405" s="19" t="s">
        <v>104</v>
      </c>
      <c r="K405" s="19" t="s">
        <v>105</v>
      </c>
      <c r="L405" s="19" t="s">
        <v>38</v>
      </c>
      <c r="M405" s="20">
        <f t="shared" si="1"/>
        <v>0</v>
      </c>
      <c r="N405" s="22"/>
      <c r="O405" s="19" t="s">
        <v>1145</v>
      </c>
      <c r="P405" s="18"/>
      <c r="Q405" s="18"/>
      <c r="R405" s="23">
        <v>0.0</v>
      </c>
      <c r="S405" s="23">
        <v>0.0</v>
      </c>
      <c r="T405" s="23">
        <f t="shared" si="2"/>
        <v>0</v>
      </c>
      <c r="U405" s="23">
        <f t="shared" si="3"/>
        <v>0</v>
      </c>
      <c r="V405" s="23">
        <f t="shared" si="4"/>
        <v>0</v>
      </c>
      <c r="W405" s="24" t="str">
        <f t="shared" si="5"/>
        <v>#DIV/0!</v>
      </c>
    </row>
    <row r="406" hidden="1">
      <c r="A406" s="15" t="s">
        <v>1506</v>
      </c>
      <c r="B406" s="18"/>
      <c r="C406" s="15" t="s">
        <v>6643</v>
      </c>
      <c r="D406" s="18"/>
      <c r="E406" s="17" t="s">
        <v>1507</v>
      </c>
      <c r="F406" s="18"/>
      <c r="G406" s="18"/>
      <c r="H406" s="15" t="s">
        <v>1508</v>
      </c>
      <c r="I406" s="18"/>
      <c r="J406" s="19" t="s">
        <v>104</v>
      </c>
      <c r="K406" s="19" t="s">
        <v>105</v>
      </c>
      <c r="L406" s="19" t="s">
        <v>38</v>
      </c>
      <c r="M406" s="20">
        <f t="shared" si="1"/>
        <v>0</v>
      </c>
      <c r="N406" s="22"/>
      <c r="O406" s="19" t="s">
        <v>1145</v>
      </c>
      <c r="P406" s="18"/>
      <c r="Q406" s="18"/>
      <c r="R406" s="23">
        <v>0.0</v>
      </c>
      <c r="S406" s="23">
        <v>0.0</v>
      </c>
      <c r="T406" s="23">
        <f t="shared" si="2"/>
        <v>0</v>
      </c>
      <c r="U406" s="23">
        <f t="shared" si="3"/>
        <v>0</v>
      </c>
      <c r="V406" s="23">
        <f t="shared" si="4"/>
        <v>0</v>
      </c>
      <c r="W406" s="24" t="str">
        <f t="shared" si="5"/>
        <v>#DIV/0!</v>
      </c>
    </row>
    <row r="407" hidden="1">
      <c r="A407" s="15" t="s">
        <v>1509</v>
      </c>
      <c r="B407" s="15" t="s">
        <v>1510</v>
      </c>
      <c r="C407" s="15" t="s">
        <v>6644</v>
      </c>
      <c r="D407" s="18"/>
      <c r="E407" s="17" t="s">
        <v>1511</v>
      </c>
      <c r="F407" s="18"/>
      <c r="G407" s="18"/>
      <c r="H407" s="15" t="s">
        <v>1512</v>
      </c>
      <c r="I407" s="18"/>
      <c r="J407" s="19" t="s">
        <v>104</v>
      </c>
      <c r="K407" s="19" t="s">
        <v>105</v>
      </c>
      <c r="L407" s="19" t="s">
        <v>38</v>
      </c>
      <c r="M407" s="20">
        <f t="shared" si="1"/>
        <v>0</v>
      </c>
      <c r="N407" s="22"/>
      <c r="O407" s="19" t="s">
        <v>1145</v>
      </c>
      <c r="P407" s="18"/>
      <c r="Q407" s="18"/>
      <c r="R407" s="23">
        <v>0.0</v>
      </c>
      <c r="S407" s="23">
        <v>0.0</v>
      </c>
      <c r="T407" s="23">
        <f t="shared" si="2"/>
        <v>0</v>
      </c>
      <c r="U407" s="23">
        <f t="shared" si="3"/>
        <v>0</v>
      </c>
      <c r="V407" s="23">
        <f t="shared" si="4"/>
        <v>0</v>
      </c>
      <c r="W407" s="24" t="str">
        <f t="shared" si="5"/>
        <v>#DIV/0!</v>
      </c>
    </row>
    <row r="408" hidden="1">
      <c r="A408" s="15" t="s">
        <v>1513</v>
      </c>
      <c r="B408" s="15" t="s">
        <v>1514</v>
      </c>
      <c r="C408" s="15" t="s">
        <v>6645</v>
      </c>
      <c r="D408" s="18"/>
      <c r="E408" s="17" t="s">
        <v>1515</v>
      </c>
      <c r="F408" s="18"/>
      <c r="G408" s="18"/>
      <c r="H408" s="15" t="s">
        <v>1516</v>
      </c>
      <c r="I408" s="18"/>
      <c r="J408" s="19" t="s">
        <v>104</v>
      </c>
      <c r="K408" s="19" t="s">
        <v>105</v>
      </c>
      <c r="L408" s="19" t="s">
        <v>38</v>
      </c>
      <c r="M408" s="20">
        <f t="shared" si="1"/>
        <v>0</v>
      </c>
      <c r="N408" s="22"/>
      <c r="O408" s="19" t="s">
        <v>1145</v>
      </c>
      <c r="P408" s="18"/>
      <c r="Q408" s="18"/>
      <c r="R408" s="23">
        <v>0.0</v>
      </c>
      <c r="S408" s="23">
        <v>0.0</v>
      </c>
      <c r="T408" s="23">
        <f t="shared" si="2"/>
        <v>0</v>
      </c>
      <c r="U408" s="23">
        <f t="shared" si="3"/>
        <v>0</v>
      </c>
      <c r="V408" s="23">
        <f t="shared" si="4"/>
        <v>0</v>
      </c>
      <c r="W408" s="24" t="str">
        <f t="shared" si="5"/>
        <v>#DIV/0!</v>
      </c>
    </row>
    <row r="409" hidden="1">
      <c r="A409" s="15" t="s">
        <v>1517</v>
      </c>
      <c r="B409" s="15" t="s">
        <v>1518</v>
      </c>
      <c r="C409" s="15" t="s">
        <v>6646</v>
      </c>
      <c r="D409" s="18"/>
      <c r="E409" s="17" t="s">
        <v>1519</v>
      </c>
      <c r="F409" s="18"/>
      <c r="G409" s="18"/>
      <c r="H409" s="15" t="s">
        <v>1520</v>
      </c>
      <c r="I409" s="18"/>
      <c r="J409" s="19" t="s">
        <v>104</v>
      </c>
      <c r="K409" s="19" t="s">
        <v>105</v>
      </c>
      <c r="L409" s="19" t="s">
        <v>38</v>
      </c>
      <c r="M409" s="20">
        <f t="shared" si="1"/>
        <v>0</v>
      </c>
      <c r="N409" s="22"/>
      <c r="O409" s="19" t="s">
        <v>1145</v>
      </c>
      <c r="P409" s="18"/>
      <c r="Q409" s="18"/>
      <c r="R409" s="23">
        <v>0.0</v>
      </c>
      <c r="S409" s="23">
        <v>0.0</v>
      </c>
      <c r="T409" s="23">
        <f t="shared" si="2"/>
        <v>0</v>
      </c>
      <c r="U409" s="23">
        <f t="shared" si="3"/>
        <v>0</v>
      </c>
      <c r="V409" s="23">
        <f t="shared" si="4"/>
        <v>0</v>
      </c>
      <c r="W409" s="24" t="str">
        <f t="shared" si="5"/>
        <v>#DIV/0!</v>
      </c>
    </row>
    <row r="410" hidden="1">
      <c r="A410" s="15" t="s">
        <v>1521</v>
      </c>
      <c r="B410" s="15" t="s">
        <v>1522</v>
      </c>
      <c r="C410" s="15" t="s">
        <v>6647</v>
      </c>
      <c r="D410" s="18"/>
      <c r="E410" s="17" t="s">
        <v>1523</v>
      </c>
      <c r="F410" s="18"/>
      <c r="G410" s="18"/>
      <c r="H410" s="15" t="s">
        <v>1524</v>
      </c>
      <c r="I410" s="18"/>
      <c r="J410" s="19" t="s">
        <v>104</v>
      </c>
      <c r="K410" s="19" t="s">
        <v>105</v>
      </c>
      <c r="L410" s="19" t="s">
        <v>38</v>
      </c>
      <c r="M410" s="20">
        <f t="shared" si="1"/>
        <v>0</v>
      </c>
      <c r="N410" s="22"/>
      <c r="O410" s="19" t="s">
        <v>1145</v>
      </c>
      <c r="P410" s="18"/>
      <c r="Q410" s="18"/>
      <c r="R410" s="23">
        <v>0.0</v>
      </c>
      <c r="S410" s="23">
        <v>0.0</v>
      </c>
      <c r="T410" s="23">
        <f t="shared" si="2"/>
        <v>0</v>
      </c>
      <c r="U410" s="23">
        <f t="shared" si="3"/>
        <v>0</v>
      </c>
      <c r="V410" s="23">
        <f t="shared" si="4"/>
        <v>0</v>
      </c>
      <c r="W410" s="24" t="str">
        <f t="shared" si="5"/>
        <v>#DIV/0!</v>
      </c>
    </row>
    <row r="411" hidden="1">
      <c r="A411" s="15" t="s">
        <v>1525</v>
      </c>
      <c r="B411" s="15" t="s">
        <v>1526</v>
      </c>
      <c r="C411" s="15" t="s">
        <v>6648</v>
      </c>
      <c r="D411" s="18"/>
      <c r="E411" s="17" t="s">
        <v>1527</v>
      </c>
      <c r="F411" s="18"/>
      <c r="G411" s="18"/>
      <c r="H411" s="15" t="s">
        <v>1528</v>
      </c>
      <c r="I411" s="18"/>
      <c r="J411" s="19" t="s">
        <v>104</v>
      </c>
      <c r="K411" s="19" t="s">
        <v>105</v>
      </c>
      <c r="L411" s="19" t="s">
        <v>38</v>
      </c>
      <c r="M411" s="20">
        <f t="shared" si="1"/>
        <v>0</v>
      </c>
      <c r="N411" s="22"/>
      <c r="O411" s="19" t="s">
        <v>1145</v>
      </c>
      <c r="P411" s="18"/>
      <c r="Q411" s="18"/>
      <c r="R411" s="23">
        <v>0.0</v>
      </c>
      <c r="S411" s="23">
        <v>0.0</v>
      </c>
      <c r="T411" s="23">
        <f t="shared" si="2"/>
        <v>0</v>
      </c>
      <c r="U411" s="23">
        <f t="shared" si="3"/>
        <v>0</v>
      </c>
      <c r="V411" s="23">
        <f t="shared" si="4"/>
        <v>0</v>
      </c>
      <c r="W411" s="24" t="str">
        <f t="shared" si="5"/>
        <v>#DIV/0!</v>
      </c>
    </row>
    <row r="412" hidden="1">
      <c r="A412" s="15" t="s">
        <v>1529</v>
      </c>
      <c r="B412" s="15" t="s">
        <v>1530</v>
      </c>
      <c r="C412" s="15" t="s">
        <v>6649</v>
      </c>
      <c r="D412" s="18"/>
      <c r="E412" s="17" t="s">
        <v>1531</v>
      </c>
      <c r="F412" s="18"/>
      <c r="G412" s="18"/>
      <c r="H412" s="15" t="s">
        <v>1532</v>
      </c>
      <c r="I412" s="18"/>
      <c r="J412" s="19" t="s">
        <v>104</v>
      </c>
      <c r="K412" s="19" t="s">
        <v>105</v>
      </c>
      <c r="L412" s="19" t="s">
        <v>38</v>
      </c>
      <c r="M412" s="20">
        <f t="shared" si="1"/>
        <v>0</v>
      </c>
      <c r="N412" s="22"/>
      <c r="O412" s="19" t="s">
        <v>1145</v>
      </c>
      <c r="P412" s="18"/>
      <c r="Q412" s="18"/>
      <c r="R412" s="23">
        <v>0.0</v>
      </c>
      <c r="S412" s="23">
        <v>0.0</v>
      </c>
      <c r="T412" s="23">
        <f t="shared" si="2"/>
        <v>0</v>
      </c>
      <c r="U412" s="23">
        <f t="shared" si="3"/>
        <v>0</v>
      </c>
      <c r="V412" s="23">
        <f t="shared" si="4"/>
        <v>0</v>
      </c>
      <c r="W412" s="24" t="str">
        <f t="shared" si="5"/>
        <v>#DIV/0!</v>
      </c>
    </row>
    <row r="413" hidden="1">
      <c r="A413" s="15" t="s">
        <v>1533</v>
      </c>
      <c r="B413" s="18"/>
      <c r="C413" s="15" t="s">
        <v>6650</v>
      </c>
      <c r="D413" s="18"/>
      <c r="E413" s="17" t="s">
        <v>1534</v>
      </c>
      <c r="F413" s="18"/>
      <c r="G413" s="18"/>
      <c r="H413" s="15" t="s">
        <v>1535</v>
      </c>
      <c r="I413" s="18"/>
      <c r="J413" s="19" t="s">
        <v>104</v>
      </c>
      <c r="K413" s="19" t="s">
        <v>105</v>
      </c>
      <c r="L413" s="19" t="s">
        <v>38</v>
      </c>
      <c r="M413" s="20">
        <f t="shared" si="1"/>
        <v>0</v>
      </c>
      <c r="N413" s="22"/>
      <c r="O413" s="19" t="s">
        <v>1145</v>
      </c>
      <c r="P413" s="18"/>
      <c r="Q413" s="18"/>
      <c r="R413" s="23">
        <v>0.0</v>
      </c>
      <c r="S413" s="23">
        <v>0.0</v>
      </c>
      <c r="T413" s="23">
        <f t="shared" si="2"/>
        <v>0</v>
      </c>
      <c r="U413" s="23">
        <f t="shared" si="3"/>
        <v>0</v>
      </c>
      <c r="V413" s="23">
        <f t="shared" si="4"/>
        <v>0</v>
      </c>
      <c r="W413" s="24" t="str">
        <f t="shared" si="5"/>
        <v>#DIV/0!</v>
      </c>
    </row>
    <row r="414" hidden="1">
      <c r="A414" s="15" t="s">
        <v>4655</v>
      </c>
      <c r="B414" s="18"/>
      <c r="C414" s="15" t="s">
        <v>6651</v>
      </c>
      <c r="D414" s="18"/>
      <c r="E414" s="17" t="s">
        <v>6652</v>
      </c>
      <c r="F414" s="18"/>
      <c r="G414" s="18"/>
      <c r="H414" s="15" t="s">
        <v>4659</v>
      </c>
      <c r="I414" s="18"/>
      <c r="J414" s="19" t="s">
        <v>104</v>
      </c>
      <c r="K414" s="19" t="s">
        <v>1269</v>
      </c>
      <c r="L414" s="19" t="s">
        <v>38</v>
      </c>
      <c r="M414" s="20">
        <f t="shared" si="1"/>
        <v>0</v>
      </c>
      <c r="N414" s="22"/>
      <c r="O414" s="19" t="s">
        <v>1145</v>
      </c>
      <c r="P414" s="18"/>
      <c r="Q414" s="18"/>
      <c r="R414" s="23">
        <v>0.0</v>
      </c>
      <c r="S414" s="23">
        <v>0.0</v>
      </c>
      <c r="T414" s="23">
        <f t="shared" si="2"/>
        <v>0</v>
      </c>
      <c r="U414" s="23">
        <f t="shared" si="3"/>
        <v>0</v>
      </c>
      <c r="V414" s="23">
        <f t="shared" si="4"/>
        <v>0</v>
      </c>
      <c r="W414" s="24" t="str">
        <f t="shared" si="5"/>
        <v>#DIV/0!</v>
      </c>
    </row>
    <row r="415" hidden="1">
      <c r="A415" s="15" t="s">
        <v>4660</v>
      </c>
      <c r="B415" s="15" t="s">
        <v>4661</v>
      </c>
      <c r="C415" s="15" t="s">
        <v>6653</v>
      </c>
      <c r="D415" s="18"/>
      <c r="E415" s="17" t="s">
        <v>6654</v>
      </c>
      <c r="F415" s="18"/>
      <c r="G415" s="18"/>
      <c r="H415" s="15" t="s">
        <v>4663</v>
      </c>
      <c r="I415" s="18"/>
      <c r="J415" s="19" t="s">
        <v>104</v>
      </c>
      <c r="K415" s="19" t="s">
        <v>402</v>
      </c>
      <c r="L415" s="19" t="s">
        <v>38</v>
      </c>
      <c r="M415" s="20">
        <f t="shared" si="1"/>
        <v>0</v>
      </c>
      <c r="N415" s="22"/>
      <c r="O415" s="19" t="s">
        <v>39</v>
      </c>
      <c r="P415" s="18"/>
      <c r="Q415" s="18"/>
      <c r="R415" s="23">
        <v>0.0</v>
      </c>
      <c r="S415" s="23">
        <v>0.0</v>
      </c>
      <c r="T415" s="23">
        <f t="shared" si="2"/>
        <v>0</v>
      </c>
      <c r="U415" s="23">
        <f t="shared" si="3"/>
        <v>0</v>
      </c>
      <c r="V415" s="23">
        <f t="shared" si="4"/>
        <v>0</v>
      </c>
      <c r="W415" s="24" t="str">
        <f t="shared" si="5"/>
        <v>#DIV/0!</v>
      </c>
    </row>
    <row r="416">
      <c r="A416" s="15" t="s">
        <v>100</v>
      </c>
      <c r="B416" s="15" t="s">
        <v>101</v>
      </c>
      <c r="C416" s="15" t="s">
        <v>6655</v>
      </c>
      <c r="D416" s="15" t="s">
        <v>102</v>
      </c>
      <c r="E416" s="17" t="s">
        <v>103</v>
      </c>
      <c r="F416" s="18"/>
      <c r="G416" s="18"/>
      <c r="H416" s="18"/>
      <c r="I416" s="18"/>
      <c r="J416" s="19" t="s">
        <v>104</v>
      </c>
      <c r="K416" s="19" t="s">
        <v>105</v>
      </c>
      <c r="L416" s="19" t="s">
        <v>106</v>
      </c>
      <c r="M416" s="20">
        <f t="shared" si="1"/>
        <v>0</v>
      </c>
      <c r="N416" s="31">
        <v>10.0</v>
      </c>
      <c r="O416" s="19" t="s">
        <v>107</v>
      </c>
      <c r="P416" s="18"/>
      <c r="Q416" s="18"/>
      <c r="R416" s="23">
        <v>0.0</v>
      </c>
      <c r="S416" s="23">
        <v>0.0</v>
      </c>
      <c r="T416" s="23">
        <f t="shared" si="2"/>
        <v>0</v>
      </c>
      <c r="U416" s="23">
        <f t="shared" si="3"/>
        <v>0</v>
      </c>
      <c r="V416" s="23">
        <f t="shared" si="4"/>
        <v>0</v>
      </c>
      <c r="W416" s="24" t="str">
        <f t="shared" si="5"/>
        <v>#DIV/0!</v>
      </c>
    </row>
    <row r="417" hidden="1">
      <c r="A417" s="15" t="s">
        <v>1536</v>
      </c>
      <c r="B417" s="18"/>
      <c r="C417" s="15" t="s">
        <v>6656</v>
      </c>
      <c r="D417" s="18"/>
      <c r="E417" s="17" t="s">
        <v>1537</v>
      </c>
      <c r="F417" s="18"/>
      <c r="G417" s="18"/>
      <c r="H417" s="18"/>
      <c r="I417" s="18"/>
      <c r="J417" s="19" t="s">
        <v>104</v>
      </c>
      <c r="K417" s="19" t="s">
        <v>105</v>
      </c>
      <c r="L417" s="19" t="s">
        <v>38</v>
      </c>
      <c r="M417" s="20">
        <f t="shared" si="1"/>
        <v>0</v>
      </c>
      <c r="N417" s="22"/>
      <c r="O417" s="19" t="s">
        <v>1145</v>
      </c>
      <c r="P417" s="18"/>
      <c r="Q417" s="18"/>
      <c r="R417" s="23">
        <v>0.0</v>
      </c>
      <c r="S417" s="23">
        <v>0.0</v>
      </c>
      <c r="T417" s="23">
        <f t="shared" si="2"/>
        <v>0</v>
      </c>
      <c r="U417" s="23">
        <f t="shared" si="3"/>
        <v>0</v>
      </c>
      <c r="V417" s="23">
        <f t="shared" si="4"/>
        <v>0</v>
      </c>
      <c r="W417" s="24" t="str">
        <f t="shared" si="5"/>
        <v>#DIV/0!</v>
      </c>
    </row>
    <row r="418" hidden="1">
      <c r="A418" s="15" t="s">
        <v>1538</v>
      </c>
      <c r="B418" s="18"/>
      <c r="C418" s="15" t="s">
        <v>6657</v>
      </c>
      <c r="D418" s="18"/>
      <c r="E418" s="17" t="s">
        <v>1539</v>
      </c>
      <c r="F418" s="18"/>
      <c r="G418" s="18"/>
      <c r="H418" s="15" t="s">
        <v>1540</v>
      </c>
      <c r="I418" s="18"/>
      <c r="J418" s="19" t="s">
        <v>104</v>
      </c>
      <c r="K418" s="19" t="s">
        <v>105</v>
      </c>
      <c r="L418" s="19" t="s">
        <v>38</v>
      </c>
      <c r="M418" s="20">
        <f t="shared" si="1"/>
        <v>0</v>
      </c>
      <c r="N418" s="22"/>
      <c r="O418" s="19" t="s">
        <v>1145</v>
      </c>
      <c r="P418" s="18"/>
      <c r="Q418" s="18"/>
      <c r="R418" s="23">
        <v>0.0</v>
      </c>
      <c r="S418" s="23">
        <v>0.0</v>
      </c>
      <c r="T418" s="23">
        <f t="shared" si="2"/>
        <v>0</v>
      </c>
      <c r="U418" s="23">
        <f t="shared" si="3"/>
        <v>0</v>
      </c>
      <c r="V418" s="23">
        <f t="shared" si="4"/>
        <v>0</v>
      </c>
      <c r="W418" s="24" t="str">
        <f t="shared" si="5"/>
        <v>#DIV/0!</v>
      </c>
    </row>
    <row r="419" hidden="1">
      <c r="A419" s="15" t="s">
        <v>4664</v>
      </c>
      <c r="B419" s="18"/>
      <c r="C419" s="15" t="s">
        <v>6658</v>
      </c>
      <c r="D419" s="18"/>
      <c r="E419" s="17" t="s">
        <v>6659</v>
      </c>
      <c r="F419" s="18"/>
      <c r="G419" s="18"/>
      <c r="H419" s="15" t="s">
        <v>4666</v>
      </c>
      <c r="I419" s="18"/>
      <c r="J419" s="19" t="s">
        <v>104</v>
      </c>
      <c r="K419" s="19" t="s">
        <v>105</v>
      </c>
      <c r="L419" s="19" t="s">
        <v>38</v>
      </c>
      <c r="M419" s="20">
        <f t="shared" si="1"/>
        <v>0</v>
      </c>
      <c r="N419" s="22"/>
      <c r="O419" s="19" t="s">
        <v>1145</v>
      </c>
      <c r="P419" s="18"/>
      <c r="Q419" s="18"/>
      <c r="R419" s="23">
        <v>0.0</v>
      </c>
      <c r="S419" s="23">
        <v>0.0</v>
      </c>
      <c r="T419" s="23">
        <f t="shared" si="2"/>
        <v>0</v>
      </c>
      <c r="U419" s="23">
        <f t="shared" si="3"/>
        <v>0</v>
      </c>
      <c r="V419" s="23">
        <f t="shared" si="4"/>
        <v>0</v>
      </c>
      <c r="W419" s="24" t="str">
        <f t="shared" si="5"/>
        <v>#DIV/0!</v>
      </c>
    </row>
    <row r="420" hidden="1">
      <c r="A420" s="15" t="s">
        <v>1541</v>
      </c>
      <c r="B420" s="18"/>
      <c r="C420" s="15" t="s">
        <v>6660</v>
      </c>
      <c r="D420" s="18"/>
      <c r="E420" s="17" t="s">
        <v>1542</v>
      </c>
      <c r="F420" s="18"/>
      <c r="G420" s="18"/>
      <c r="H420" s="15" t="s">
        <v>1543</v>
      </c>
      <c r="I420" s="18"/>
      <c r="J420" s="19" t="s">
        <v>104</v>
      </c>
      <c r="K420" s="19" t="s">
        <v>105</v>
      </c>
      <c r="L420" s="19" t="s">
        <v>38</v>
      </c>
      <c r="M420" s="20">
        <f t="shared" si="1"/>
        <v>0</v>
      </c>
      <c r="N420" s="22"/>
      <c r="O420" s="19" t="s">
        <v>1145</v>
      </c>
      <c r="P420" s="18"/>
      <c r="Q420" s="18"/>
      <c r="R420" s="23">
        <v>0.0</v>
      </c>
      <c r="S420" s="23">
        <v>0.0</v>
      </c>
      <c r="T420" s="23">
        <f t="shared" si="2"/>
        <v>0</v>
      </c>
      <c r="U420" s="23">
        <f t="shared" si="3"/>
        <v>0</v>
      </c>
      <c r="V420" s="23">
        <f t="shared" si="4"/>
        <v>0</v>
      </c>
      <c r="W420" s="24" t="str">
        <f t="shared" si="5"/>
        <v>#DIV/0!</v>
      </c>
    </row>
    <row r="421" hidden="1">
      <c r="A421" s="15" t="s">
        <v>4667</v>
      </c>
      <c r="B421" s="18"/>
      <c r="C421" s="15" t="s">
        <v>6661</v>
      </c>
      <c r="D421" s="15" t="s">
        <v>4668</v>
      </c>
      <c r="E421" s="17" t="s">
        <v>4669</v>
      </c>
      <c r="F421" s="18"/>
      <c r="G421" s="18"/>
      <c r="H421" s="15" t="s">
        <v>4670</v>
      </c>
      <c r="I421" s="18"/>
      <c r="J421" s="19" t="s">
        <v>104</v>
      </c>
      <c r="K421" s="19" t="s">
        <v>160</v>
      </c>
      <c r="L421" s="19" t="s">
        <v>106</v>
      </c>
      <c r="M421" s="20">
        <f t="shared" si="1"/>
        <v>0</v>
      </c>
      <c r="N421" s="22"/>
      <c r="O421" s="19" t="s">
        <v>3578</v>
      </c>
      <c r="P421" s="18"/>
      <c r="Q421" s="18"/>
      <c r="R421" s="23">
        <v>0.0</v>
      </c>
      <c r="S421" s="23">
        <v>0.0</v>
      </c>
      <c r="T421" s="23">
        <f t="shared" si="2"/>
        <v>0</v>
      </c>
      <c r="U421" s="23">
        <f t="shared" si="3"/>
        <v>0</v>
      </c>
      <c r="V421" s="23">
        <f t="shared" si="4"/>
        <v>0</v>
      </c>
      <c r="W421" s="24" t="str">
        <f t="shared" si="5"/>
        <v>#DIV/0!</v>
      </c>
    </row>
    <row r="422" hidden="1">
      <c r="A422" s="15" t="s">
        <v>4671</v>
      </c>
      <c r="B422" s="15" t="s">
        <v>6662</v>
      </c>
      <c r="C422" s="15" t="s">
        <v>6663</v>
      </c>
      <c r="D422" s="15" t="s">
        <v>4673</v>
      </c>
      <c r="E422" s="17" t="s">
        <v>4674</v>
      </c>
      <c r="F422" s="18"/>
      <c r="G422" s="18"/>
      <c r="H422" s="15" t="s">
        <v>4675</v>
      </c>
      <c r="I422" s="18"/>
      <c r="J422" s="19" t="s">
        <v>104</v>
      </c>
      <c r="K422" s="19" t="s">
        <v>160</v>
      </c>
      <c r="L422" s="19" t="s">
        <v>106</v>
      </c>
      <c r="M422" s="20">
        <f t="shared" si="1"/>
        <v>0</v>
      </c>
      <c r="N422" s="22"/>
      <c r="O422" s="19" t="s">
        <v>3578</v>
      </c>
      <c r="P422" s="18"/>
      <c r="Q422" s="18"/>
      <c r="R422" s="23">
        <v>0.0</v>
      </c>
      <c r="S422" s="23">
        <v>0.0</v>
      </c>
      <c r="T422" s="23">
        <f t="shared" si="2"/>
        <v>0</v>
      </c>
      <c r="U422" s="23">
        <f t="shared" si="3"/>
        <v>0</v>
      </c>
      <c r="V422" s="23">
        <f t="shared" si="4"/>
        <v>0</v>
      </c>
      <c r="W422" s="24" t="str">
        <f t="shared" si="5"/>
        <v>#DIV/0!</v>
      </c>
    </row>
    <row r="423" hidden="1">
      <c r="A423" s="15" t="s">
        <v>4676</v>
      </c>
      <c r="B423" s="15" t="s">
        <v>6664</v>
      </c>
      <c r="C423" s="15" t="s">
        <v>6665</v>
      </c>
      <c r="D423" s="15" t="s">
        <v>4678</v>
      </c>
      <c r="E423" s="17" t="s">
        <v>4679</v>
      </c>
      <c r="F423" s="18"/>
      <c r="G423" s="18"/>
      <c r="H423" s="15" t="s">
        <v>4680</v>
      </c>
      <c r="I423" s="18"/>
      <c r="J423" s="19" t="s">
        <v>104</v>
      </c>
      <c r="K423" s="19" t="s">
        <v>160</v>
      </c>
      <c r="L423" s="19" t="s">
        <v>106</v>
      </c>
      <c r="M423" s="20">
        <f t="shared" si="1"/>
        <v>0</v>
      </c>
      <c r="N423" s="22"/>
      <c r="O423" s="19" t="s">
        <v>3578</v>
      </c>
      <c r="P423" s="18"/>
      <c r="Q423" s="18"/>
      <c r="R423" s="23">
        <v>0.0</v>
      </c>
      <c r="S423" s="23">
        <v>0.0</v>
      </c>
      <c r="T423" s="23">
        <f t="shared" si="2"/>
        <v>0</v>
      </c>
      <c r="U423" s="23">
        <f t="shared" si="3"/>
        <v>0</v>
      </c>
      <c r="V423" s="23">
        <f t="shared" si="4"/>
        <v>0</v>
      </c>
      <c r="W423" s="24" t="str">
        <f t="shared" si="5"/>
        <v>#DIV/0!</v>
      </c>
    </row>
    <row r="424" hidden="1">
      <c r="A424" s="15" t="s">
        <v>4681</v>
      </c>
      <c r="B424" s="18"/>
      <c r="C424" s="15" t="s">
        <v>6666</v>
      </c>
      <c r="D424" s="18"/>
      <c r="E424" s="17" t="s">
        <v>6667</v>
      </c>
      <c r="F424" s="18"/>
      <c r="G424" s="18"/>
      <c r="H424" s="15" t="s">
        <v>4685</v>
      </c>
      <c r="I424" s="18"/>
      <c r="J424" s="19" t="s">
        <v>104</v>
      </c>
      <c r="K424" s="19" t="s">
        <v>402</v>
      </c>
      <c r="L424" s="19" t="s">
        <v>38</v>
      </c>
      <c r="M424" s="20">
        <f t="shared" si="1"/>
        <v>0</v>
      </c>
      <c r="N424" s="22"/>
      <c r="O424" s="19" t="s">
        <v>1145</v>
      </c>
      <c r="P424" s="18"/>
      <c r="Q424" s="18"/>
      <c r="R424" s="23">
        <v>0.0</v>
      </c>
      <c r="S424" s="23">
        <v>0.0</v>
      </c>
      <c r="T424" s="23">
        <f t="shared" si="2"/>
        <v>0</v>
      </c>
      <c r="U424" s="23">
        <f t="shared" si="3"/>
        <v>0</v>
      </c>
      <c r="V424" s="23">
        <f t="shared" si="4"/>
        <v>0</v>
      </c>
      <c r="W424" s="24" t="str">
        <f t="shared" si="5"/>
        <v>#DIV/0!</v>
      </c>
    </row>
    <row r="425" hidden="1">
      <c r="A425" s="15" t="s">
        <v>4686</v>
      </c>
      <c r="B425" s="18"/>
      <c r="C425" s="15" t="s">
        <v>6668</v>
      </c>
      <c r="D425" s="18"/>
      <c r="E425" s="17" t="s">
        <v>6669</v>
      </c>
      <c r="F425" s="18"/>
      <c r="G425" s="18"/>
      <c r="H425" s="15" t="s">
        <v>4688</v>
      </c>
      <c r="I425" s="18"/>
      <c r="J425" s="19" t="s">
        <v>104</v>
      </c>
      <c r="K425" s="19" t="s">
        <v>37</v>
      </c>
      <c r="L425" s="19" t="s">
        <v>38</v>
      </c>
      <c r="M425" s="20">
        <f t="shared" si="1"/>
        <v>0</v>
      </c>
      <c r="N425" s="22"/>
      <c r="O425" s="19" t="s">
        <v>1145</v>
      </c>
      <c r="P425" s="18"/>
      <c r="Q425" s="18"/>
      <c r="R425" s="23">
        <v>0.0</v>
      </c>
      <c r="S425" s="23">
        <v>0.0</v>
      </c>
      <c r="T425" s="23">
        <f t="shared" si="2"/>
        <v>0</v>
      </c>
      <c r="U425" s="23">
        <f t="shared" si="3"/>
        <v>0</v>
      </c>
      <c r="V425" s="23">
        <f t="shared" si="4"/>
        <v>0</v>
      </c>
      <c r="W425" s="24" t="str">
        <f t="shared" si="5"/>
        <v>#DIV/0!</v>
      </c>
    </row>
    <row r="426" hidden="1">
      <c r="A426" s="15" t="s">
        <v>4689</v>
      </c>
      <c r="B426" s="15" t="s">
        <v>4690</v>
      </c>
      <c r="C426" s="15" t="s">
        <v>6670</v>
      </c>
      <c r="D426" s="15" t="s">
        <v>4691</v>
      </c>
      <c r="E426" s="17" t="s">
        <v>4692</v>
      </c>
      <c r="F426" s="18"/>
      <c r="G426" s="18"/>
      <c r="H426" s="15" t="s">
        <v>830</v>
      </c>
      <c r="I426" s="18"/>
      <c r="J426" s="19" t="s">
        <v>104</v>
      </c>
      <c r="K426" s="19" t="s">
        <v>37</v>
      </c>
      <c r="L426" s="19" t="s">
        <v>38</v>
      </c>
      <c r="M426" s="20">
        <f t="shared" si="1"/>
        <v>0</v>
      </c>
      <c r="N426" s="22"/>
      <c r="O426" s="19" t="s">
        <v>3578</v>
      </c>
      <c r="P426" s="18"/>
      <c r="Q426" s="18"/>
      <c r="R426" s="23">
        <v>0.0</v>
      </c>
      <c r="S426" s="23">
        <v>0.0</v>
      </c>
      <c r="T426" s="23">
        <f t="shared" si="2"/>
        <v>0</v>
      </c>
      <c r="U426" s="23">
        <f t="shared" si="3"/>
        <v>0</v>
      </c>
      <c r="V426" s="23">
        <f t="shared" si="4"/>
        <v>0</v>
      </c>
      <c r="W426" s="24" t="str">
        <f t="shared" si="5"/>
        <v>#DIV/0!</v>
      </c>
    </row>
    <row r="427" hidden="1">
      <c r="A427" s="15" t="s">
        <v>1544</v>
      </c>
      <c r="B427" s="18"/>
      <c r="C427" s="15" t="s">
        <v>6671</v>
      </c>
      <c r="D427" s="18"/>
      <c r="E427" s="17" t="s">
        <v>1545</v>
      </c>
      <c r="F427" s="18"/>
      <c r="G427" s="18"/>
      <c r="H427" s="15" t="s">
        <v>1546</v>
      </c>
      <c r="I427" s="18"/>
      <c r="J427" s="19" t="s">
        <v>104</v>
      </c>
      <c r="K427" s="19" t="s">
        <v>37</v>
      </c>
      <c r="L427" s="19" t="s">
        <v>38</v>
      </c>
      <c r="M427" s="20">
        <f t="shared" si="1"/>
        <v>0</v>
      </c>
      <c r="N427" s="22"/>
      <c r="O427" s="19" t="s">
        <v>1145</v>
      </c>
      <c r="P427" s="18"/>
      <c r="Q427" s="18"/>
      <c r="R427" s="23">
        <v>0.0</v>
      </c>
      <c r="S427" s="23">
        <v>0.0</v>
      </c>
      <c r="T427" s="23">
        <f t="shared" si="2"/>
        <v>0</v>
      </c>
      <c r="U427" s="23">
        <f t="shared" si="3"/>
        <v>0</v>
      </c>
      <c r="V427" s="23">
        <f t="shared" si="4"/>
        <v>0</v>
      </c>
      <c r="W427" s="24" t="str">
        <f t="shared" si="5"/>
        <v>#DIV/0!</v>
      </c>
    </row>
    <row r="428" hidden="1">
      <c r="A428" s="15" t="s">
        <v>1547</v>
      </c>
      <c r="B428" s="18"/>
      <c r="C428" s="15" t="s">
        <v>6672</v>
      </c>
      <c r="D428" s="18"/>
      <c r="E428" s="17" t="s">
        <v>1548</v>
      </c>
      <c r="F428" s="18"/>
      <c r="G428" s="18"/>
      <c r="H428" s="15" t="s">
        <v>1549</v>
      </c>
      <c r="I428" s="18"/>
      <c r="J428" s="19" t="s">
        <v>104</v>
      </c>
      <c r="K428" s="19" t="s">
        <v>37</v>
      </c>
      <c r="L428" s="19" t="s">
        <v>38</v>
      </c>
      <c r="M428" s="20">
        <f t="shared" si="1"/>
        <v>0</v>
      </c>
      <c r="N428" s="22"/>
      <c r="O428" s="19" t="s">
        <v>1145</v>
      </c>
      <c r="P428" s="18"/>
      <c r="Q428" s="18"/>
      <c r="R428" s="23">
        <v>0.0</v>
      </c>
      <c r="S428" s="23">
        <v>0.0</v>
      </c>
      <c r="T428" s="23">
        <f t="shared" si="2"/>
        <v>0</v>
      </c>
      <c r="U428" s="23">
        <f t="shared" si="3"/>
        <v>0</v>
      </c>
      <c r="V428" s="23">
        <f t="shared" si="4"/>
        <v>0</v>
      </c>
      <c r="W428" s="24" t="str">
        <f t="shared" si="5"/>
        <v>#DIV/0!</v>
      </c>
    </row>
    <row r="429" hidden="1">
      <c r="A429" s="15" t="s">
        <v>4694</v>
      </c>
      <c r="B429" s="18"/>
      <c r="C429" s="15" t="s">
        <v>6673</v>
      </c>
      <c r="D429" s="18"/>
      <c r="E429" s="17" t="s">
        <v>4695</v>
      </c>
      <c r="F429" s="18"/>
      <c r="G429" s="18"/>
      <c r="H429" s="15" t="s">
        <v>4696</v>
      </c>
      <c r="I429" s="18"/>
      <c r="J429" s="19" t="s">
        <v>104</v>
      </c>
      <c r="K429" s="19" t="s">
        <v>37</v>
      </c>
      <c r="L429" s="19" t="s">
        <v>38</v>
      </c>
      <c r="M429" s="20">
        <f t="shared" si="1"/>
        <v>0</v>
      </c>
      <c r="N429" s="22"/>
      <c r="O429" s="19" t="s">
        <v>1145</v>
      </c>
      <c r="P429" s="18"/>
      <c r="Q429" s="18"/>
      <c r="R429" s="23">
        <v>0.0</v>
      </c>
      <c r="S429" s="23">
        <v>0.0</v>
      </c>
      <c r="T429" s="23">
        <f t="shared" si="2"/>
        <v>0</v>
      </c>
      <c r="U429" s="23">
        <f t="shared" si="3"/>
        <v>0</v>
      </c>
      <c r="V429" s="23">
        <f t="shared" si="4"/>
        <v>0</v>
      </c>
      <c r="W429" s="24" t="str">
        <f t="shared" si="5"/>
        <v>#DIV/0!</v>
      </c>
    </row>
    <row r="430" hidden="1">
      <c r="A430" s="15" t="s">
        <v>6674</v>
      </c>
      <c r="B430" s="18"/>
      <c r="C430" s="15" t="s">
        <v>6675</v>
      </c>
      <c r="D430" s="18"/>
      <c r="E430" s="17" t="s">
        <v>4695</v>
      </c>
      <c r="F430" s="18"/>
      <c r="G430" s="18"/>
      <c r="H430" s="15" t="s">
        <v>4696</v>
      </c>
      <c r="I430" s="18"/>
      <c r="J430" s="19" t="s">
        <v>104</v>
      </c>
      <c r="K430" s="19" t="s">
        <v>37</v>
      </c>
      <c r="L430" s="19" t="s">
        <v>38</v>
      </c>
      <c r="M430" s="20">
        <f t="shared" si="1"/>
        <v>0</v>
      </c>
      <c r="N430" s="22"/>
      <c r="O430" s="19" t="s">
        <v>1145</v>
      </c>
      <c r="P430" s="18"/>
      <c r="Q430" s="18"/>
      <c r="R430" s="23">
        <v>0.0</v>
      </c>
      <c r="S430" s="23">
        <v>0.0</v>
      </c>
      <c r="T430" s="23">
        <f t="shared" si="2"/>
        <v>0</v>
      </c>
      <c r="U430" s="23">
        <f t="shared" si="3"/>
        <v>0</v>
      </c>
      <c r="V430" s="23">
        <f t="shared" si="4"/>
        <v>0</v>
      </c>
      <c r="W430" s="24" t="str">
        <f t="shared" si="5"/>
        <v>#DIV/0!</v>
      </c>
    </row>
    <row r="431" hidden="1">
      <c r="A431" s="15" t="s">
        <v>4697</v>
      </c>
      <c r="B431" s="18"/>
      <c r="C431" s="15" t="s">
        <v>6676</v>
      </c>
      <c r="D431" s="18"/>
      <c r="E431" s="17" t="s">
        <v>6677</v>
      </c>
      <c r="F431" s="18"/>
      <c r="G431" s="18"/>
      <c r="H431" s="15" t="s">
        <v>4699</v>
      </c>
      <c r="I431" s="18"/>
      <c r="J431" s="19" t="s">
        <v>104</v>
      </c>
      <c r="K431" s="19" t="s">
        <v>37</v>
      </c>
      <c r="L431" s="19" t="s">
        <v>38</v>
      </c>
      <c r="M431" s="20">
        <f t="shared" si="1"/>
        <v>0</v>
      </c>
      <c r="N431" s="22"/>
      <c r="O431" s="19" t="s">
        <v>1145</v>
      </c>
      <c r="P431" s="18"/>
      <c r="Q431" s="18"/>
      <c r="R431" s="23">
        <v>0.0</v>
      </c>
      <c r="S431" s="23">
        <v>0.0</v>
      </c>
      <c r="T431" s="23">
        <f t="shared" si="2"/>
        <v>0</v>
      </c>
      <c r="U431" s="23">
        <f t="shared" si="3"/>
        <v>0</v>
      </c>
      <c r="V431" s="23">
        <f t="shared" si="4"/>
        <v>0</v>
      </c>
      <c r="W431" s="24" t="str">
        <f t="shared" si="5"/>
        <v>#DIV/0!</v>
      </c>
    </row>
    <row r="432" hidden="1">
      <c r="A432" s="15" t="s">
        <v>4700</v>
      </c>
      <c r="B432" s="18"/>
      <c r="C432" s="15" t="s">
        <v>6678</v>
      </c>
      <c r="D432" s="18"/>
      <c r="E432" s="17" t="s">
        <v>6679</v>
      </c>
      <c r="F432" s="18"/>
      <c r="G432" s="18"/>
      <c r="H432" s="15" t="s">
        <v>4702</v>
      </c>
      <c r="I432" s="18"/>
      <c r="J432" s="19" t="s">
        <v>104</v>
      </c>
      <c r="K432" s="19" t="s">
        <v>37</v>
      </c>
      <c r="L432" s="19" t="s">
        <v>38</v>
      </c>
      <c r="M432" s="20">
        <f t="shared" si="1"/>
        <v>0</v>
      </c>
      <c r="N432" s="22"/>
      <c r="O432" s="19" t="s">
        <v>1145</v>
      </c>
      <c r="P432" s="18"/>
      <c r="Q432" s="18"/>
      <c r="R432" s="23">
        <v>0.0</v>
      </c>
      <c r="S432" s="23">
        <v>0.0</v>
      </c>
      <c r="T432" s="23">
        <f t="shared" si="2"/>
        <v>0</v>
      </c>
      <c r="U432" s="23">
        <f t="shared" si="3"/>
        <v>0</v>
      </c>
      <c r="V432" s="23">
        <f t="shared" si="4"/>
        <v>0</v>
      </c>
      <c r="W432" s="24" t="str">
        <f t="shared" si="5"/>
        <v>#DIV/0!</v>
      </c>
    </row>
    <row r="433">
      <c r="A433" s="15" t="s">
        <v>824</v>
      </c>
      <c r="B433" s="15" t="s">
        <v>825</v>
      </c>
      <c r="C433" s="15" t="s">
        <v>6122</v>
      </c>
      <c r="D433" s="15" t="s">
        <v>826</v>
      </c>
      <c r="E433" s="17" t="s">
        <v>827</v>
      </c>
      <c r="F433" s="15" t="s">
        <v>828</v>
      </c>
      <c r="G433" s="15" t="s">
        <v>829</v>
      </c>
      <c r="H433" s="15" t="s">
        <v>830</v>
      </c>
      <c r="I433" s="18"/>
      <c r="J433" s="19" t="s">
        <v>104</v>
      </c>
      <c r="K433" s="19" t="s">
        <v>831</v>
      </c>
      <c r="L433" s="19" t="s">
        <v>135</v>
      </c>
      <c r="M433" s="20">
        <f t="shared" si="1"/>
        <v>53.28</v>
      </c>
      <c r="N433" s="31">
        <v>250.0</v>
      </c>
      <c r="O433" s="19" t="s">
        <v>107</v>
      </c>
      <c r="P433" s="18"/>
      <c r="Q433" s="18"/>
      <c r="R433" s="23">
        <v>0.7</v>
      </c>
      <c r="S433" s="23">
        <v>3.0</v>
      </c>
      <c r="T433" s="23">
        <f t="shared" si="2"/>
        <v>2.88</v>
      </c>
      <c r="U433" s="23">
        <f t="shared" si="3"/>
        <v>0.8575</v>
      </c>
      <c r="V433" s="23">
        <f t="shared" si="4"/>
        <v>16.078125</v>
      </c>
      <c r="W433" s="24">
        <f t="shared" si="5"/>
        <v>4.114285714</v>
      </c>
    </row>
    <row r="434">
      <c r="A434" s="15" t="s">
        <v>832</v>
      </c>
      <c r="B434" s="15" t="s">
        <v>833</v>
      </c>
      <c r="C434" s="15" t="s">
        <v>6123</v>
      </c>
      <c r="D434" s="15" t="s">
        <v>834</v>
      </c>
      <c r="E434" s="17" t="s">
        <v>835</v>
      </c>
      <c r="F434" s="15" t="s">
        <v>836</v>
      </c>
      <c r="G434" s="15" t="s">
        <v>837</v>
      </c>
      <c r="H434" s="15" t="s">
        <v>838</v>
      </c>
      <c r="I434" s="18"/>
      <c r="J434" s="19" t="s">
        <v>104</v>
      </c>
      <c r="K434" s="19" t="s">
        <v>831</v>
      </c>
      <c r="L434" s="19" t="s">
        <v>135</v>
      </c>
      <c r="M434" s="20">
        <f t="shared" si="1"/>
        <v>53.28</v>
      </c>
      <c r="N434" s="31">
        <v>250.0</v>
      </c>
      <c r="O434" s="19" t="s">
        <v>107</v>
      </c>
      <c r="P434" s="18"/>
      <c r="Q434" s="18"/>
      <c r="R434" s="23">
        <v>0.7</v>
      </c>
      <c r="S434" s="23">
        <v>3.0</v>
      </c>
      <c r="T434" s="23">
        <f t="shared" si="2"/>
        <v>2.88</v>
      </c>
      <c r="U434" s="23">
        <f t="shared" si="3"/>
        <v>0.8575</v>
      </c>
      <c r="V434" s="23">
        <f t="shared" si="4"/>
        <v>16.078125</v>
      </c>
      <c r="W434" s="24">
        <f t="shared" si="5"/>
        <v>4.114285714</v>
      </c>
    </row>
    <row r="435" hidden="1">
      <c r="A435" s="15" t="s">
        <v>1550</v>
      </c>
      <c r="B435" s="18"/>
      <c r="C435" s="15" t="s">
        <v>6680</v>
      </c>
      <c r="D435" s="18"/>
      <c r="E435" s="17" t="s">
        <v>1551</v>
      </c>
      <c r="F435" s="18"/>
      <c r="G435" s="18"/>
      <c r="H435" s="15" t="s">
        <v>1552</v>
      </c>
      <c r="I435" s="18"/>
      <c r="J435" s="19" t="s">
        <v>104</v>
      </c>
      <c r="K435" s="19" t="s">
        <v>402</v>
      </c>
      <c r="L435" s="19" t="s">
        <v>38</v>
      </c>
      <c r="M435" s="20">
        <f t="shared" si="1"/>
        <v>0</v>
      </c>
      <c r="N435" s="22"/>
      <c r="O435" s="19" t="s">
        <v>1145</v>
      </c>
      <c r="P435" s="18"/>
      <c r="Q435" s="18"/>
      <c r="R435" s="23">
        <v>0.0</v>
      </c>
      <c r="S435" s="23">
        <v>0.0</v>
      </c>
      <c r="T435" s="23">
        <f t="shared" si="2"/>
        <v>0</v>
      </c>
      <c r="U435" s="23">
        <f t="shared" si="3"/>
        <v>0</v>
      </c>
      <c r="V435" s="23">
        <f t="shared" si="4"/>
        <v>0</v>
      </c>
      <c r="W435" s="24" t="str">
        <f t="shared" si="5"/>
        <v>#DIV/0!</v>
      </c>
    </row>
    <row r="436" hidden="1">
      <c r="A436" s="15" t="s">
        <v>1553</v>
      </c>
      <c r="B436" s="18"/>
      <c r="C436" s="15" t="s">
        <v>6681</v>
      </c>
      <c r="D436" s="18"/>
      <c r="E436" s="17" t="s">
        <v>6682</v>
      </c>
      <c r="F436" s="18"/>
      <c r="G436" s="18"/>
      <c r="H436" s="15" t="s">
        <v>4707</v>
      </c>
      <c r="I436" s="18"/>
      <c r="J436" s="19" t="s">
        <v>104</v>
      </c>
      <c r="K436" s="19" t="s">
        <v>402</v>
      </c>
      <c r="L436" s="19" t="s">
        <v>38</v>
      </c>
      <c r="M436" s="20">
        <f t="shared" si="1"/>
        <v>0</v>
      </c>
      <c r="N436" s="22"/>
      <c r="O436" s="19" t="s">
        <v>1145</v>
      </c>
      <c r="P436" s="18"/>
      <c r="Q436" s="18"/>
      <c r="R436" s="23">
        <v>0.0</v>
      </c>
      <c r="S436" s="23">
        <v>0.0</v>
      </c>
      <c r="T436" s="23">
        <f t="shared" si="2"/>
        <v>0</v>
      </c>
      <c r="U436" s="23">
        <f t="shared" si="3"/>
        <v>0</v>
      </c>
      <c r="V436" s="23">
        <f t="shared" si="4"/>
        <v>0</v>
      </c>
      <c r="W436" s="24" t="str">
        <f t="shared" si="5"/>
        <v>#DIV/0!</v>
      </c>
    </row>
    <row r="437" hidden="1">
      <c r="A437" s="15" t="s">
        <v>4703</v>
      </c>
      <c r="B437" s="18"/>
      <c r="C437" s="15" t="s">
        <v>6683</v>
      </c>
      <c r="D437" s="18"/>
      <c r="E437" s="17" t="s">
        <v>6684</v>
      </c>
      <c r="F437" s="18"/>
      <c r="G437" s="18"/>
      <c r="H437" s="15" t="s">
        <v>1557</v>
      </c>
      <c r="I437" s="18"/>
      <c r="J437" s="19" t="s">
        <v>104</v>
      </c>
      <c r="K437" s="19" t="s">
        <v>402</v>
      </c>
      <c r="L437" s="19" t="s">
        <v>38</v>
      </c>
      <c r="M437" s="20">
        <f t="shared" si="1"/>
        <v>0</v>
      </c>
      <c r="N437" s="22"/>
      <c r="O437" s="19" t="s">
        <v>1145</v>
      </c>
      <c r="P437" s="18"/>
      <c r="Q437" s="18"/>
      <c r="R437" s="23">
        <v>0.0</v>
      </c>
      <c r="S437" s="23">
        <v>0.0</v>
      </c>
      <c r="T437" s="23">
        <f t="shared" si="2"/>
        <v>0</v>
      </c>
      <c r="U437" s="23">
        <f t="shared" si="3"/>
        <v>0</v>
      </c>
      <c r="V437" s="23">
        <f t="shared" si="4"/>
        <v>0</v>
      </c>
      <c r="W437" s="24" t="str">
        <f t="shared" si="5"/>
        <v>#DIV/0!</v>
      </c>
    </row>
    <row r="438" hidden="1">
      <c r="A438" s="15" t="s">
        <v>5889</v>
      </c>
      <c r="B438" s="18"/>
      <c r="C438" s="15" t="s">
        <v>6685</v>
      </c>
      <c r="D438" s="15" t="s">
        <v>5890</v>
      </c>
      <c r="E438" s="17" t="s">
        <v>5891</v>
      </c>
      <c r="F438" s="15" t="s">
        <v>5892</v>
      </c>
      <c r="G438" s="15"/>
      <c r="H438" s="15" t="s">
        <v>5893</v>
      </c>
      <c r="I438" s="18"/>
      <c r="J438" s="19" t="s">
        <v>104</v>
      </c>
      <c r="K438" s="19" t="s">
        <v>717</v>
      </c>
      <c r="L438" s="19" t="s">
        <v>106</v>
      </c>
      <c r="M438" s="20">
        <f t="shared" si="1"/>
        <v>12662.88</v>
      </c>
      <c r="N438" s="31">
        <v>0.0</v>
      </c>
      <c r="O438" s="19" t="s">
        <v>3578</v>
      </c>
      <c r="P438" s="18"/>
      <c r="Q438" s="18"/>
      <c r="R438" s="23">
        <v>135.0</v>
      </c>
      <c r="S438" s="23">
        <v>713.0</v>
      </c>
      <c r="T438" s="23">
        <f t="shared" si="2"/>
        <v>684.48</v>
      </c>
      <c r="U438" s="23">
        <f t="shared" si="3"/>
        <v>165.375</v>
      </c>
      <c r="V438" s="23">
        <f t="shared" si="4"/>
        <v>3100.78125</v>
      </c>
      <c r="W438" s="24">
        <f t="shared" si="5"/>
        <v>5.070222222</v>
      </c>
    </row>
    <row r="439">
      <c r="A439" s="15" t="s">
        <v>710</v>
      </c>
      <c r="B439" s="15" t="s">
        <v>711</v>
      </c>
      <c r="C439" s="15" t="s">
        <v>6055</v>
      </c>
      <c r="D439" s="15" t="s">
        <v>712</v>
      </c>
      <c r="E439" s="17" t="s">
        <v>713</v>
      </c>
      <c r="F439" s="15" t="s">
        <v>714</v>
      </c>
      <c r="G439" s="15" t="s">
        <v>715</v>
      </c>
      <c r="H439" s="15" t="s">
        <v>716</v>
      </c>
      <c r="I439" s="18"/>
      <c r="J439" s="19" t="s">
        <v>104</v>
      </c>
      <c r="K439" s="19" t="s">
        <v>717</v>
      </c>
      <c r="L439" s="19" t="s">
        <v>106</v>
      </c>
      <c r="M439" s="20">
        <f t="shared" si="1"/>
        <v>12662.88</v>
      </c>
      <c r="N439" s="31">
        <v>3.0</v>
      </c>
      <c r="O439" s="19" t="s">
        <v>107</v>
      </c>
      <c r="P439" s="18"/>
      <c r="Q439" s="18"/>
      <c r="R439" s="23">
        <v>143.0</v>
      </c>
      <c r="S439" s="23">
        <v>713.0</v>
      </c>
      <c r="T439" s="23">
        <f t="shared" si="2"/>
        <v>684.48</v>
      </c>
      <c r="U439" s="23">
        <f t="shared" si="3"/>
        <v>175.175</v>
      </c>
      <c r="V439" s="23">
        <f t="shared" si="4"/>
        <v>3284.53125</v>
      </c>
      <c r="W439" s="24">
        <f t="shared" si="5"/>
        <v>4.786573427</v>
      </c>
    </row>
    <row r="440" hidden="1">
      <c r="A440" s="15" t="s">
        <v>1558</v>
      </c>
      <c r="B440" s="18"/>
      <c r="C440" s="15" t="s">
        <v>6686</v>
      </c>
      <c r="D440" s="18"/>
      <c r="E440" s="17" t="s">
        <v>1559</v>
      </c>
      <c r="F440" s="18"/>
      <c r="G440" s="18"/>
      <c r="H440" s="15" t="s">
        <v>1560</v>
      </c>
      <c r="I440" s="18"/>
      <c r="J440" s="19" t="s">
        <v>104</v>
      </c>
      <c r="K440" s="19" t="s">
        <v>402</v>
      </c>
      <c r="L440" s="19" t="s">
        <v>38</v>
      </c>
      <c r="M440" s="20">
        <f t="shared" si="1"/>
        <v>0</v>
      </c>
      <c r="N440" s="22"/>
      <c r="O440" s="19" t="s">
        <v>1145</v>
      </c>
      <c r="P440" s="18"/>
      <c r="Q440" s="18"/>
      <c r="R440" s="23">
        <v>0.0</v>
      </c>
      <c r="S440" s="23">
        <v>0.0</v>
      </c>
      <c r="T440" s="23">
        <f t="shared" si="2"/>
        <v>0</v>
      </c>
      <c r="U440" s="23">
        <f t="shared" si="3"/>
        <v>0</v>
      </c>
      <c r="V440" s="23">
        <f t="shared" si="4"/>
        <v>0</v>
      </c>
      <c r="W440" s="24" t="str">
        <f t="shared" si="5"/>
        <v>#DIV/0!</v>
      </c>
    </row>
    <row r="441" hidden="1">
      <c r="A441" s="15" t="s">
        <v>1561</v>
      </c>
      <c r="B441" s="18"/>
      <c r="C441" s="15" t="s">
        <v>6687</v>
      </c>
      <c r="D441" s="18"/>
      <c r="E441" s="17" t="s">
        <v>1562</v>
      </c>
      <c r="F441" s="18"/>
      <c r="G441" s="18"/>
      <c r="H441" s="15" t="s">
        <v>1563</v>
      </c>
      <c r="I441" s="18"/>
      <c r="J441" s="19" t="s">
        <v>104</v>
      </c>
      <c r="K441" s="19" t="s">
        <v>402</v>
      </c>
      <c r="L441" s="19" t="s">
        <v>38</v>
      </c>
      <c r="M441" s="20">
        <f t="shared" si="1"/>
        <v>0</v>
      </c>
      <c r="N441" s="22"/>
      <c r="O441" s="19" t="s">
        <v>1145</v>
      </c>
      <c r="P441" s="18"/>
      <c r="Q441" s="18"/>
      <c r="R441" s="23">
        <v>0.0</v>
      </c>
      <c r="S441" s="23">
        <v>0.0</v>
      </c>
      <c r="T441" s="23">
        <f t="shared" si="2"/>
        <v>0</v>
      </c>
      <c r="U441" s="23">
        <f t="shared" si="3"/>
        <v>0</v>
      </c>
      <c r="V441" s="23">
        <f t="shared" si="4"/>
        <v>0</v>
      </c>
      <c r="W441" s="24" t="str">
        <f t="shared" si="5"/>
        <v>#DIV/0!</v>
      </c>
    </row>
    <row r="442" hidden="1">
      <c r="A442" s="15" t="s">
        <v>1564</v>
      </c>
      <c r="B442" s="18"/>
      <c r="C442" s="15" t="s">
        <v>6688</v>
      </c>
      <c r="D442" s="18"/>
      <c r="E442" s="17" t="s">
        <v>1562</v>
      </c>
      <c r="F442" s="18"/>
      <c r="G442" s="18"/>
      <c r="H442" s="15" t="s">
        <v>1565</v>
      </c>
      <c r="I442" s="18"/>
      <c r="J442" s="19" t="s">
        <v>104</v>
      </c>
      <c r="K442" s="19" t="s">
        <v>402</v>
      </c>
      <c r="L442" s="19" t="s">
        <v>38</v>
      </c>
      <c r="M442" s="20">
        <f t="shared" si="1"/>
        <v>0</v>
      </c>
      <c r="N442" s="22"/>
      <c r="O442" s="19" t="s">
        <v>1145</v>
      </c>
      <c r="P442" s="18"/>
      <c r="Q442" s="18"/>
      <c r="R442" s="23">
        <v>0.0</v>
      </c>
      <c r="S442" s="23">
        <v>0.0</v>
      </c>
      <c r="T442" s="23">
        <f t="shared" si="2"/>
        <v>0</v>
      </c>
      <c r="U442" s="23">
        <f t="shared" si="3"/>
        <v>0</v>
      </c>
      <c r="V442" s="23">
        <f t="shared" si="4"/>
        <v>0</v>
      </c>
      <c r="W442" s="24" t="str">
        <f t="shared" si="5"/>
        <v>#DIV/0!</v>
      </c>
    </row>
    <row r="443" hidden="1">
      <c r="A443" s="15" t="s">
        <v>5899</v>
      </c>
      <c r="B443" s="18"/>
      <c r="C443" s="15" t="s">
        <v>6689</v>
      </c>
      <c r="D443" s="15" t="s">
        <v>5900</v>
      </c>
      <c r="E443" s="17" t="s">
        <v>5901</v>
      </c>
      <c r="F443" s="15" t="s">
        <v>5902</v>
      </c>
      <c r="G443" s="15"/>
      <c r="H443" s="15" t="s">
        <v>5903</v>
      </c>
      <c r="I443" s="18"/>
      <c r="J443" s="19" t="s">
        <v>104</v>
      </c>
      <c r="K443" s="19" t="s">
        <v>717</v>
      </c>
      <c r="L443" s="19" t="s">
        <v>106</v>
      </c>
      <c r="M443" s="20">
        <f t="shared" si="1"/>
        <v>19340.64</v>
      </c>
      <c r="N443" s="31">
        <v>0.0</v>
      </c>
      <c r="O443" s="19" t="s">
        <v>3578</v>
      </c>
      <c r="P443" s="18"/>
      <c r="Q443" s="18"/>
      <c r="R443" s="23">
        <v>237.0</v>
      </c>
      <c r="S443" s="23">
        <v>1089.0</v>
      </c>
      <c r="T443" s="23">
        <f t="shared" si="2"/>
        <v>1045.44</v>
      </c>
      <c r="U443" s="23">
        <f t="shared" si="3"/>
        <v>290.325</v>
      </c>
      <c r="V443" s="23">
        <f t="shared" si="4"/>
        <v>5443.59375</v>
      </c>
      <c r="W443" s="24">
        <f t="shared" si="5"/>
        <v>4.411139241</v>
      </c>
    </row>
    <row r="444" hidden="1">
      <c r="A444" s="15" t="s">
        <v>5904</v>
      </c>
      <c r="B444" s="15"/>
      <c r="C444" s="15" t="s">
        <v>6690</v>
      </c>
      <c r="D444" s="15" t="s">
        <v>5905</v>
      </c>
      <c r="E444" s="17" t="s">
        <v>5906</v>
      </c>
      <c r="F444" s="15" t="s">
        <v>5907</v>
      </c>
      <c r="G444" s="15"/>
      <c r="H444" s="15" t="s">
        <v>5908</v>
      </c>
      <c r="I444" s="18"/>
      <c r="J444" s="19" t="s">
        <v>104</v>
      </c>
      <c r="K444" s="19" t="s">
        <v>717</v>
      </c>
      <c r="L444" s="19" t="s">
        <v>106</v>
      </c>
      <c r="M444" s="20">
        <f t="shared" si="1"/>
        <v>19340.64</v>
      </c>
      <c r="N444" s="31"/>
      <c r="O444" s="19" t="s">
        <v>3578</v>
      </c>
      <c r="P444" s="18"/>
      <c r="Q444" s="18"/>
      <c r="R444" s="23">
        <v>245.0</v>
      </c>
      <c r="S444" s="23">
        <v>1089.0</v>
      </c>
      <c r="T444" s="23">
        <f t="shared" si="2"/>
        <v>1045.44</v>
      </c>
      <c r="U444" s="23">
        <f t="shared" si="3"/>
        <v>300.125</v>
      </c>
      <c r="V444" s="23">
        <f t="shared" si="4"/>
        <v>5627.34375</v>
      </c>
      <c r="W444" s="24">
        <f t="shared" si="5"/>
        <v>4.267102041</v>
      </c>
    </row>
    <row r="445" hidden="1">
      <c r="A445" s="15" t="s">
        <v>1566</v>
      </c>
      <c r="B445" s="18"/>
      <c r="C445" s="15" t="s">
        <v>6691</v>
      </c>
      <c r="D445" s="18"/>
      <c r="E445" s="17" t="s">
        <v>1567</v>
      </c>
      <c r="F445" s="18"/>
      <c r="G445" s="18"/>
      <c r="H445" s="15" t="s">
        <v>1568</v>
      </c>
      <c r="I445" s="18"/>
      <c r="J445" s="19" t="s">
        <v>104</v>
      </c>
      <c r="K445" s="19" t="s">
        <v>402</v>
      </c>
      <c r="L445" s="19" t="s">
        <v>38</v>
      </c>
      <c r="M445" s="20">
        <f t="shared" si="1"/>
        <v>0</v>
      </c>
      <c r="N445" s="22"/>
      <c r="O445" s="19" t="s">
        <v>1145</v>
      </c>
      <c r="P445" s="18"/>
      <c r="Q445" s="18"/>
      <c r="R445" s="23">
        <v>0.0</v>
      </c>
      <c r="S445" s="23">
        <v>0.0</v>
      </c>
      <c r="T445" s="23">
        <f t="shared" si="2"/>
        <v>0</v>
      </c>
      <c r="U445" s="23">
        <f t="shared" si="3"/>
        <v>0</v>
      </c>
      <c r="V445" s="23">
        <f t="shared" si="4"/>
        <v>0</v>
      </c>
      <c r="W445" s="24" t="str">
        <f t="shared" si="5"/>
        <v>#DIV/0!</v>
      </c>
    </row>
    <row r="446" hidden="1">
      <c r="A446" s="15" t="s">
        <v>1569</v>
      </c>
      <c r="B446" s="18"/>
      <c r="C446" s="15" t="s">
        <v>6692</v>
      </c>
      <c r="D446" s="18"/>
      <c r="E446" s="17" t="s">
        <v>1570</v>
      </c>
      <c r="F446" s="18"/>
      <c r="G446" s="18"/>
      <c r="H446" s="15" t="s">
        <v>1571</v>
      </c>
      <c r="I446" s="18"/>
      <c r="J446" s="19" t="s">
        <v>104</v>
      </c>
      <c r="K446" s="19" t="s">
        <v>402</v>
      </c>
      <c r="L446" s="19" t="s">
        <v>38</v>
      </c>
      <c r="M446" s="20">
        <f t="shared" si="1"/>
        <v>0</v>
      </c>
      <c r="N446" s="22"/>
      <c r="O446" s="19" t="s">
        <v>1145</v>
      </c>
      <c r="P446" s="18"/>
      <c r="Q446" s="18"/>
      <c r="R446" s="23">
        <v>0.0</v>
      </c>
      <c r="S446" s="23">
        <v>0.0</v>
      </c>
      <c r="T446" s="23">
        <f t="shared" si="2"/>
        <v>0</v>
      </c>
      <c r="U446" s="23">
        <f t="shared" si="3"/>
        <v>0</v>
      </c>
      <c r="V446" s="23">
        <f t="shared" si="4"/>
        <v>0</v>
      </c>
      <c r="W446" s="24" t="str">
        <f t="shared" si="5"/>
        <v>#DIV/0!</v>
      </c>
    </row>
    <row r="447" hidden="1">
      <c r="A447" s="15" t="s">
        <v>1572</v>
      </c>
      <c r="B447" s="18"/>
      <c r="C447" s="15" t="s">
        <v>6693</v>
      </c>
      <c r="D447" s="18"/>
      <c r="E447" s="17" t="s">
        <v>1573</v>
      </c>
      <c r="F447" s="18"/>
      <c r="G447" s="18"/>
      <c r="H447" s="15" t="s">
        <v>1574</v>
      </c>
      <c r="I447" s="18"/>
      <c r="J447" s="19" t="s">
        <v>104</v>
      </c>
      <c r="K447" s="19" t="s">
        <v>402</v>
      </c>
      <c r="L447" s="19" t="s">
        <v>38</v>
      </c>
      <c r="M447" s="20">
        <f t="shared" si="1"/>
        <v>0</v>
      </c>
      <c r="N447" s="22"/>
      <c r="O447" s="19" t="s">
        <v>1145</v>
      </c>
      <c r="P447" s="18"/>
      <c r="Q447" s="18"/>
      <c r="R447" s="23">
        <v>0.0</v>
      </c>
      <c r="S447" s="23">
        <v>0.0</v>
      </c>
      <c r="T447" s="23">
        <f t="shared" si="2"/>
        <v>0</v>
      </c>
      <c r="U447" s="23">
        <f t="shared" si="3"/>
        <v>0</v>
      </c>
      <c r="V447" s="23">
        <f t="shared" si="4"/>
        <v>0</v>
      </c>
      <c r="W447" s="24" t="str">
        <f t="shared" si="5"/>
        <v>#DIV/0!</v>
      </c>
    </row>
    <row r="448" hidden="1">
      <c r="A448" s="15" t="s">
        <v>1575</v>
      </c>
      <c r="B448" s="18"/>
      <c r="C448" s="15" t="s">
        <v>6694</v>
      </c>
      <c r="D448" s="18"/>
      <c r="E448" s="17" t="s">
        <v>1576</v>
      </c>
      <c r="F448" s="18"/>
      <c r="G448" s="18"/>
      <c r="H448" s="15" t="s">
        <v>1577</v>
      </c>
      <c r="I448" s="18"/>
      <c r="J448" s="19" t="s">
        <v>104</v>
      </c>
      <c r="K448" s="19" t="s">
        <v>402</v>
      </c>
      <c r="L448" s="19" t="s">
        <v>38</v>
      </c>
      <c r="M448" s="20">
        <f t="shared" si="1"/>
        <v>0</v>
      </c>
      <c r="N448" s="22"/>
      <c r="O448" s="19" t="s">
        <v>1145</v>
      </c>
      <c r="P448" s="18"/>
      <c r="Q448" s="18"/>
      <c r="R448" s="23">
        <v>0.0</v>
      </c>
      <c r="S448" s="23">
        <v>0.0</v>
      </c>
      <c r="T448" s="23">
        <f t="shared" si="2"/>
        <v>0</v>
      </c>
      <c r="U448" s="23">
        <f t="shared" si="3"/>
        <v>0</v>
      </c>
      <c r="V448" s="23">
        <f t="shared" si="4"/>
        <v>0</v>
      </c>
      <c r="W448" s="24" t="str">
        <f t="shared" si="5"/>
        <v>#DIV/0!</v>
      </c>
    </row>
    <row r="449" hidden="1">
      <c r="A449" s="15" t="s">
        <v>1578</v>
      </c>
      <c r="B449" s="18"/>
      <c r="C449" s="15" t="s">
        <v>6695</v>
      </c>
      <c r="D449" s="18"/>
      <c r="E449" s="17" t="s">
        <v>1576</v>
      </c>
      <c r="F449" s="18"/>
      <c r="G449" s="18"/>
      <c r="H449" s="15" t="s">
        <v>1579</v>
      </c>
      <c r="I449" s="18"/>
      <c r="J449" s="19" t="s">
        <v>104</v>
      </c>
      <c r="K449" s="19" t="s">
        <v>402</v>
      </c>
      <c r="L449" s="19" t="s">
        <v>38</v>
      </c>
      <c r="M449" s="20">
        <f t="shared" si="1"/>
        <v>0</v>
      </c>
      <c r="N449" s="22"/>
      <c r="O449" s="19" t="s">
        <v>1145</v>
      </c>
      <c r="P449" s="18"/>
      <c r="Q449" s="18"/>
      <c r="R449" s="23">
        <v>0.0</v>
      </c>
      <c r="S449" s="23">
        <v>0.0</v>
      </c>
      <c r="T449" s="23">
        <f t="shared" si="2"/>
        <v>0</v>
      </c>
      <c r="U449" s="23">
        <f t="shared" si="3"/>
        <v>0</v>
      </c>
      <c r="V449" s="23">
        <f t="shared" si="4"/>
        <v>0</v>
      </c>
      <c r="W449" s="24" t="str">
        <f t="shared" si="5"/>
        <v>#DIV/0!</v>
      </c>
    </row>
    <row r="450" hidden="1">
      <c r="A450" s="15" t="s">
        <v>1580</v>
      </c>
      <c r="B450" s="18"/>
      <c r="C450" s="15" t="s">
        <v>6696</v>
      </c>
      <c r="D450" s="18"/>
      <c r="E450" s="17" t="s">
        <v>1581</v>
      </c>
      <c r="F450" s="18"/>
      <c r="G450" s="18"/>
      <c r="H450" s="15" t="s">
        <v>1582</v>
      </c>
      <c r="I450" s="18"/>
      <c r="J450" s="19" t="s">
        <v>104</v>
      </c>
      <c r="K450" s="19" t="s">
        <v>402</v>
      </c>
      <c r="L450" s="19" t="s">
        <v>38</v>
      </c>
      <c r="M450" s="20">
        <f t="shared" si="1"/>
        <v>0</v>
      </c>
      <c r="N450" s="22"/>
      <c r="O450" s="19" t="s">
        <v>1145</v>
      </c>
      <c r="P450" s="18"/>
      <c r="Q450" s="18"/>
      <c r="R450" s="23">
        <v>0.0</v>
      </c>
      <c r="S450" s="23">
        <v>0.0</v>
      </c>
      <c r="T450" s="23">
        <f t="shared" si="2"/>
        <v>0</v>
      </c>
      <c r="U450" s="23">
        <f t="shared" si="3"/>
        <v>0</v>
      </c>
      <c r="V450" s="23">
        <f t="shared" si="4"/>
        <v>0</v>
      </c>
      <c r="W450" s="24" t="str">
        <f t="shared" si="5"/>
        <v>#DIV/0!</v>
      </c>
    </row>
    <row r="451" hidden="1">
      <c r="A451" s="15" t="s">
        <v>1583</v>
      </c>
      <c r="B451" s="18"/>
      <c r="C451" s="15" t="s">
        <v>6697</v>
      </c>
      <c r="D451" s="18"/>
      <c r="E451" s="17" t="s">
        <v>1584</v>
      </c>
      <c r="F451" s="18"/>
      <c r="G451" s="18"/>
      <c r="H451" s="15" t="s">
        <v>1585</v>
      </c>
      <c r="I451" s="18"/>
      <c r="J451" s="19" t="s">
        <v>104</v>
      </c>
      <c r="K451" s="19" t="s">
        <v>402</v>
      </c>
      <c r="L451" s="19" t="s">
        <v>38</v>
      </c>
      <c r="M451" s="20">
        <f t="shared" si="1"/>
        <v>0</v>
      </c>
      <c r="N451" s="22"/>
      <c r="O451" s="19" t="s">
        <v>1145</v>
      </c>
      <c r="P451" s="18"/>
      <c r="Q451" s="18"/>
      <c r="R451" s="23">
        <v>0.0</v>
      </c>
      <c r="S451" s="23">
        <v>0.0</v>
      </c>
      <c r="T451" s="23">
        <f t="shared" si="2"/>
        <v>0</v>
      </c>
      <c r="U451" s="23">
        <f t="shared" si="3"/>
        <v>0</v>
      </c>
      <c r="V451" s="23">
        <f t="shared" si="4"/>
        <v>0</v>
      </c>
      <c r="W451" s="24" t="str">
        <f t="shared" si="5"/>
        <v>#DIV/0!</v>
      </c>
    </row>
    <row r="452" hidden="1">
      <c r="A452" s="15" t="s">
        <v>1586</v>
      </c>
      <c r="B452" s="18"/>
      <c r="C452" s="15" t="s">
        <v>6698</v>
      </c>
      <c r="D452" s="18"/>
      <c r="E452" s="17" t="s">
        <v>1587</v>
      </c>
      <c r="F452" s="18"/>
      <c r="G452" s="18"/>
      <c r="H452" s="15" t="s">
        <v>1588</v>
      </c>
      <c r="I452" s="18"/>
      <c r="J452" s="19" t="s">
        <v>104</v>
      </c>
      <c r="K452" s="19" t="s">
        <v>402</v>
      </c>
      <c r="L452" s="19" t="s">
        <v>38</v>
      </c>
      <c r="M452" s="20">
        <f t="shared" si="1"/>
        <v>0</v>
      </c>
      <c r="N452" s="22"/>
      <c r="O452" s="19" t="s">
        <v>1145</v>
      </c>
      <c r="P452" s="18"/>
      <c r="Q452" s="18"/>
      <c r="R452" s="23">
        <v>0.0</v>
      </c>
      <c r="S452" s="23">
        <v>0.0</v>
      </c>
      <c r="T452" s="23">
        <f t="shared" si="2"/>
        <v>0</v>
      </c>
      <c r="U452" s="23">
        <f t="shared" si="3"/>
        <v>0</v>
      </c>
      <c r="V452" s="23">
        <f t="shared" si="4"/>
        <v>0</v>
      </c>
      <c r="W452" s="24" t="str">
        <f t="shared" si="5"/>
        <v>#DIV/0!</v>
      </c>
    </row>
    <row r="453" hidden="1">
      <c r="A453" s="15" t="s">
        <v>1589</v>
      </c>
      <c r="B453" s="18"/>
      <c r="C453" s="15" t="s">
        <v>6699</v>
      </c>
      <c r="D453" s="18"/>
      <c r="E453" s="17" t="s">
        <v>1590</v>
      </c>
      <c r="F453" s="18"/>
      <c r="G453" s="18"/>
      <c r="H453" s="15" t="s">
        <v>1591</v>
      </c>
      <c r="I453" s="18"/>
      <c r="J453" s="19" t="s">
        <v>104</v>
      </c>
      <c r="K453" s="19" t="s">
        <v>402</v>
      </c>
      <c r="L453" s="19" t="s">
        <v>38</v>
      </c>
      <c r="M453" s="20">
        <f t="shared" si="1"/>
        <v>0</v>
      </c>
      <c r="N453" s="22"/>
      <c r="O453" s="19" t="s">
        <v>1145</v>
      </c>
      <c r="P453" s="18"/>
      <c r="Q453" s="18"/>
      <c r="R453" s="23">
        <v>0.0</v>
      </c>
      <c r="S453" s="23">
        <v>0.0</v>
      </c>
      <c r="T453" s="23">
        <f t="shared" si="2"/>
        <v>0</v>
      </c>
      <c r="U453" s="23">
        <f t="shared" si="3"/>
        <v>0</v>
      </c>
      <c r="V453" s="23">
        <f t="shared" si="4"/>
        <v>0</v>
      </c>
      <c r="W453" s="24" t="str">
        <f t="shared" si="5"/>
        <v>#DIV/0!</v>
      </c>
    </row>
    <row r="454" hidden="1">
      <c r="A454" s="15" t="s">
        <v>1592</v>
      </c>
      <c r="B454" s="18"/>
      <c r="C454" s="15" t="s">
        <v>6700</v>
      </c>
      <c r="D454" s="18"/>
      <c r="E454" s="17" t="s">
        <v>1593</v>
      </c>
      <c r="F454" s="18"/>
      <c r="G454" s="18"/>
      <c r="H454" s="15" t="s">
        <v>1594</v>
      </c>
      <c r="I454" s="18"/>
      <c r="J454" s="19" t="s">
        <v>104</v>
      </c>
      <c r="K454" s="19" t="s">
        <v>402</v>
      </c>
      <c r="L454" s="19" t="s">
        <v>38</v>
      </c>
      <c r="M454" s="20">
        <f t="shared" si="1"/>
        <v>0</v>
      </c>
      <c r="N454" s="22"/>
      <c r="O454" s="19" t="s">
        <v>1145</v>
      </c>
      <c r="P454" s="18"/>
      <c r="Q454" s="18"/>
      <c r="R454" s="23">
        <v>0.0</v>
      </c>
      <c r="S454" s="23">
        <v>0.0</v>
      </c>
      <c r="T454" s="23">
        <f t="shared" si="2"/>
        <v>0</v>
      </c>
      <c r="U454" s="23">
        <f t="shared" si="3"/>
        <v>0</v>
      </c>
      <c r="V454" s="23">
        <f t="shared" si="4"/>
        <v>0</v>
      </c>
      <c r="W454" s="24" t="str">
        <f t="shared" si="5"/>
        <v>#DIV/0!</v>
      </c>
    </row>
    <row r="455" hidden="1">
      <c r="A455" s="15" t="s">
        <v>1595</v>
      </c>
      <c r="B455" s="18"/>
      <c r="C455" s="15" t="s">
        <v>6701</v>
      </c>
      <c r="D455" s="18"/>
      <c r="E455" s="17" t="s">
        <v>1593</v>
      </c>
      <c r="F455" s="18"/>
      <c r="G455" s="18"/>
      <c r="H455" s="15" t="s">
        <v>1596</v>
      </c>
      <c r="I455" s="18"/>
      <c r="J455" s="19" t="s">
        <v>104</v>
      </c>
      <c r="K455" s="19" t="s">
        <v>402</v>
      </c>
      <c r="L455" s="19" t="s">
        <v>38</v>
      </c>
      <c r="M455" s="20">
        <f t="shared" si="1"/>
        <v>0</v>
      </c>
      <c r="N455" s="22"/>
      <c r="O455" s="19" t="s">
        <v>1145</v>
      </c>
      <c r="P455" s="18"/>
      <c r="Q455" s="18"/>
      <c r="R455" s="23">
        <v>0.0</v>
      </c>
      <c r="S455" s="23">
        <v>0.0</v>
      </c>
      <c r="T455" s="23">
        <f t="shared" si="2"/>
        <v>0</v>
      </c>
      <c r="U455" s="23">
        <f t="shared" si="3"/>
        <v>0</v>
      </c>
      <c r="V455" s="23">
        <f t="shared" si="4"/>
        <v>0</v>
      </c>
      <c r="W455" s="24" t="str">
        <f t="shared" si="5"/>
        <v>#DIV/0!</v>
      </c>
    </row>
    <row r="456" hidden="1">
      <c r="A456" s="15" t="s">
        <v>1597</v>
      </c>
      <c r="B456" s="18"/>
      <c r="C456" s="15" t="s">
        <v>6702</v>
      </c>
      <c r="D456" s="18"/>
      <c r="E456" s="17" t="s">
        <v>1598</v>
      </c>
      <c r="F456" s="18"/>
      <c r="G456" s="18"/>
      <c r="H456" s="15" t="s">
        <v>1596</v>
      </c>
      <c r="I456" s="18"/>
      <c r="J456" s="19" t="s">
        <v>104</v>
      </c>
      <c r="K456" s="19" t="s">
        <v>402</v>
      </c>
      <c r="L456" s="19" t="s">
        <v>38</v>
      </c>
      <c r="M456" s="20">
        <f t="shared" si="1"/>
        <v>0</v>
      </c>
      <c r="N456" s="22"/>
      <c r="O456" s="19" t="s">
        <v>1145</v>
      </c>
      <c r="P456" s="18"/>
      <c r="Q456" s="18"/>
      <c r="R456" s="23">
        <v>0.0</v>
      </c>
      <c r="S456" s="23">
        <v>0.0</v>
      </c>
      <c r="T456" s="23">
        <f t="shared" si="2"/>
        <v>0</v>
      </c>
      <c r="U456" s="23">
        <f t="shared" si="3"/>
        <v>0</v>
      </c>
      <c r="V456" s="23">
        <f t="shared" si="4"/>
        <v>0</v>
      </c>
      <c r="W456" s="24" t="str">
        <f t="shared" si="5"/>
        <v>#DIV/0!</v>
      </c>
    </row>
    <row r="457" hidden="1">
      <c r="A457" s="15" t="s">
        <v>1599</v>
      </c>
      <c r="B457" s="18"/>
      <c r="C457" s="15" t="s">
        <v>6703</v>
      </c>
      <c r="D457" s="18"/>
      <c r="E457" s="17" t="s">
        <v>1600</v>
      </c>
      <c r="F457" s="18"/>
      <c r="G457" s="18"/>
      <c r="H457" s="15" t="s">
        <v>1601</v>
      </c>
      <c r="I457" s="18"/>
      <c r="J457" s="19" t="s">
        <v>104</v>
      </c>
      <c r="K457" s="19" t="s">
        <v>402</v>
      </c>
      <c r="L457" s="19" t="s">
        <v>38</v>
      </c>
      <c r="M457" s="20">
        <f t="shared" si="1"/>
        <v>0</v>
      </c>
      <c r="N457" s="22"/>
      <c r="O457" s="19" t="s">
        <v>1145</v>
      </c>
      <c r="P457" s="18"/>
      <c r="Q457" s="18"/>
      <c r="R457" s="23">
        <v>0.0</v>
      </c>
      <c r="S457" s="23">
        <v>0.0</v>
      </c>
      <c r="T457" s="23">
        <f t="shared" si="2"/>
        <v>0</v>
      </c>
      <c r="U457" s="23">
        <f t="shared" si="3"/>
        <v>0</v>
      </c>
      <c r="V457" s="23">
        <f t="shared" si="4"/>
        <v>0</v>
      </c>
      <c r="W457" s="24" t="str">
        <f t="shared" si="5"/>
        <v>#DIV/0!</v>
      </c>
    </row>
    <row r="458" hidden="1">
      <c r="A458" s="15" t="s">
        <v>1602</v>
      </c>
      <c r="B458" s="18"/>
      <c r="C458" s="15" t="s">
        <v>6704</v>
      </c>
      <c r="D458" s="18"/>
      <c r="E458" s="17" t="s">
        <v>1603</v>
      </c>
      <c r="F458" s="18"/>
      <c r="G458" s="18"/>
      <c r="H458" s="15" t="s">
        <v>1604</v>
      </c>
      <c r="I458" s="18"/>
      <c r="J458" s="19" t="s">
        <v>104</v>
      </c>
      <c r="K458" s="19" t="s">
        <v>105</v>
      </c>
      <c r="L458" s="19" t="s">
        <v>38</v>
      </c>
      <c r="M458" s="20">
        <f t="shared" si="1"/>
        <v>0</v>
      </c>
      <c r="N458" s="22"/>
      <c r="O458" s="19" t="s">
        <v>1145</v>
      </c>
      <c r="P458" s="18"/>
      <c r="Q458" s="18"/>
      <c r="R458" s="23">
        <v>0.0</v>
      </c>
      <c r="S458" s="23">
        <v>0.0</v>
      </c>
      <c r="T458" s="23">
        <f t="shared" si="2"/>
        <v>0</v>
      </c>
      <c r="U458" s="23">
        <f t="shared" si="3"/>
        <v>0</v>
      </c>
      <c r="V458" s="23">
        <f t="shared" si="4"/>
        <v>0</v>
      </c>
      <c r="W458" s="24" t="str">
        <f t="shared" si="5"/>
        <v>#DIV/0!</v>
      </c>
    </row>
    <row r="459" hidden="1">
      <c r="A459" s="15" t="s">
        <v>1605</v>
      </c>
      <c r="B459" s="18"/>
      <c r="C459" s="15" t="s">
        <v>6705</v>
      </c>
      <c r="D459" s="18"/>
      <c r="E459" s="17" t="s">
        <v>1606</v>
      </c>
      <c r="F459" s="18"/>
      <c r="G459" s="18"/>
      <c r="H459" s="15" t="s">
        <v>1607</v>
      </c>
      <c r="I459" s="18"/>
      <c r="J459" s="19" t="s">
        <v>104</v>
      </c>
      <c r="K459" s="19" t="s">
        <v>402</v>
      </c>
      <c r="L459" s="19" t="s">
        <v>38</v>
      </c>
      <c r="M459" s="20">
        <f t="shared" si="1"/>
        <v>0</v>
      </c>
      <c r="N459" s="22"/>
      <c r="O459" s="19" t="s">
        <v>1145</v>
      </c>
      <c r="P459" s="18"/>
      <c r="Q459" s="18"/>
      <c r="R459" s="23">
        <v>0.0</v>
      </c>
      <c r="S459" s="23">
        <v>0.0</v>
      </c>
      <c r="T459" s="23">
        <f t="shared" si="2"/>
        <v>0</v>
      </c>
      <c r="U459" s="23">
        <f t="shared" si="3"/>
        <v>0</v>
      </c>
      <c r="V459" s="23">
        <f t="shared" si="4"/>
        <v>0</v>
      </c>
      <c r="W459" s="24" t="str">
        <f t="shared" si="5"/>
        <v>#DIV/0!</v>
      </c>
    </row>
    <row r="460" hidden="1">
      <c r="A460" s="15" t="s">
        <v>1608</v>
      </c>
      <c r="B460" s="18"/>
      <c r="C460" s="15" t="s">
        <v>6706</v>
      </c>
      <c r="D460" s="18"/>
      <c r="E460" s="17" t="s">
        <v>1609</v>
      </c>
      <c r="F460" s="18"/>
      <c r="G460" s="18"/>
      <c r="H460" s="15" t="s">
        <v>1610</v>
      </c>
      <c r="I460" s="18"/>
      <c r="J460" s="19" t="s">
        <v>104</v>
      </c>
      <c r="K460" s="19" t="s">
        <v>105</v>
      </c>
      <c r="L460" s="19" t="s">
        <v>38</v>
      </c>
      <c r="M460" s="20">
        <f t="shared" si="1"/>
        <v>0</v>
      </c>
      <c r="N460" s="22"/>
      <c r="O460" s="19" t="s">
        <v>1145</v>
      </c>
      <c r="P460" s="18"/>
      <c r="Q460" s="18"/>
      <c r="R460" s="23">
        <v>0.0</v>
      </c>
      <c r="S460" s="23">
        <v>0.0</v>
      </c>
      <c r="T460" s="23">
        <f t="shared" si="2"/>
        <v>0</v>
      </c>
      <c r="U460" s="23">
        <f t="shared" si="3"/>
        <v>0</v>
      </c>
      <c r="V460" s="23">
        <f t="shared" si="4"/>
        <v>0</v>
      </c>
      <c r="W460" s="24" t="str">
        <f t="shared" si="5"/>
        <v>#DIV/0!</v>
      </c>
    </row>
    <row r="461" hidden="1">
      <c r="A461" s="15" t="s">
        <v>1611</v>
      </c>
      <c r="B461" s="18"/>
      <c r="C461" s="15" t="s">
        <v>6707</v>
      </c>
      <c r="D461" s="18"/>
      <c r="E461" s="17" t="s">
        <v>1612</v>
      </c>
      <c r="F461" s="18"/>
      <c r="G461" s="18"/>
      <c r="H461" s="15" t="s">
        <v>1613</v>
      </c>
      <c r="I461" s="18"/>
      <c r="J461" s="19" t="s">
        <v>104</v>
      </c>
      <c r="K461" s="19" t="s">
        <v>402</v>
      </c>
      <c r="L461" s="19" t="s">
        <v>38</v>
      </c>
      <c r="M461" s="20">
        <f t="shared" si="1"/>
        <v>0</v>
      </c>
      <c r="N461" s="22"/>
      <c r="O461" s="19" t="s">
        <v>1145</v>
      </c>
      <c r="P461" s="18"/>
      <c r="Q461" s="18"/>
      <c r="R461" s="23">
        <v>0.0</v>
      </c>
      <c r="S461" s="23">
        <v>0.0</v>
      </c>
      <c r="T461" s="23">
        <f t="shared" si="2"/>
        <v>0</v>
      </c>
      <c r="U461" s="23">
        <f t="shared" si="3"/>
        <v>0</v>
      </c>
      <c r="V461" s="23">
        <f t="shared" si="4"/>
        <v>0</v>
      </c>
      <c r="W461" s="24" t="str">
        <f t="shared" si="5"/>
        <v>#DIV/0!</v>
      </c>
    </row>
    <row r="462" hidden="1">
      <c r="A462" s="15" t="s">
        <v>1614</v>
      </c>
      <c r="B462" s="18"/>
      <c r="C462" s="15" t="s">
        <v>6708</v>
      </c>
      <c r="D462" s="18"/>
      <c r="E462" s="17" t="s">
        <v>1615</v>
      </c>
      <c r="F462" s="18"/>
      <c r="G462" s="18"/>
      <c r="H462" s="15" t="s">
        <v>1616</v>
      </c>
      <c r="I462" s="18"/>
      <c r="J462" s="19" t="s">
        <v>104</v>
      </c>
      <c r="K462" s="19" t="s">
        <v>105</v>
      </c>
      <c r="L462" s="19" t="s">
        <v>38</v>
      </c>
      <c r="M462" s="20">
        <f t="shared" si="1"/>
        <v>0</v>
      </c>
      <c r="N462" s="22"/>
      <c r="O462" s="19" t="s">
        <v>1145</v>
      </c>
      <c r="P462" s="18"/>
      <c r="Q462" s="18"/>
      <c r="R462" s="23">
        <v>0.0</v>
      </c>
      <c r="S462" s="23">
        <v>0.0</v>
      </c>
      <c r="T462" s="23">
        <f t="shared" si="2"/>
        <v>0</v>
      </c>
      <c r="U462" s="23">
        <f t="shared" si="3"/>
        <v>0</v>
      </c>
      <c r="V462" s="23">
        <f t="shared" si="4"/>
        <v>0</v>
      </c>
      <c r="W462" s="24" t="str">
        <f t="shared" si="5"/>
        <v>#DIV/0!</v>
      </c>
    </row>
    <row r="463" hidden="1">
      <c r="A463" s="15" t="s">
        <v>1617</v>
      </c>
      <c r="B463" s="18"/>
      <c r="C463" s="15" t="s">
        <v>6709</v>
      </c>
      <c r="D463" s="18"/>
      <c r="E463" s="17" t="s">
        <v>1618</v>
      </c>
      <c r="F463" s="18"/>
      <c r="G463" s="18"/>
      <c r="H463" s="15" t="s">
        <v>1619</v>
      </c>
      <c r="I463" s="18"/>
      <c r="J463" s="19" t="s">
        <v>104</v>
      </c>
      <c r="K463" s="19" t="s">
        <v>105</v>
      </c>
      <c r="L463" s="19" t="s">
        <v>38</v>
      </c>
      <c r="M463" s="20">
        <f t="shared" si="1"/>
        <v>0</v>
      </c>
      <c r="N463" s="22"/>
      <c r="O463" s="19" t="s">
        <v>1145</v>
      </c>
      <c r="P463" s="18"/>
      <c r="Q463" s="18"/>
      <c r="R463" s="23">
        <v>0.0</v>
      </c>
      <c r="S463" s="23">
        <v>0.0</v>
      </c>
      <c r="T463" s="23">
        <f t="shared" si="2"/>
        <v>0</v>
      </c>
      <c r="U463" s="23">
        <f t="shared" si="3"/>
        <v>0</v>
      </c>
      <c r="V463" s="23">
        <f t="shared" si="4"/>
        <v>0</v>
      </c>
      <c r="W463" s="24" t="str">
        <f t="shared" si="5"/>
        <v>#DIV/0!</v>
      </c>
    </row>
    <row r="464" hidden="1">
      <c r="A464" s="15" t="s">
        <v>1620</v>
      </c>
      <c r="B464" s="18"/>
      <c r="C464" s="15" t="s">
        <v>6710</v>
      </c>
      <c r="D464" s="18"/>
      <c r="E464" s="17" t="s">
        <v>1621</v>
      </c>
      <c r="F464" s="18"/>
      <c r="G464" s="18"/>
      <c r="H464" s="15" t="s">
        <v>1622</v>
      </c>
      <c r="I464" s="18"/>
      <c r="J464" s="19" t="s">
        <v>104</v>
      </c>
      <c r="K464" s="19" t="s">
        <v>105</v>
      </c>
      <c r="L464" s="19" t="s">
        <v>38</v>
      </c>
      <c r="M464" s="20">
        <f t="shared" si="1"/>
        <v>0</v>
      </c>
      <c r="N464" s="22"/>
      <c r="O464" s="19" t="s">
        <v>1145</v>
      </c>
      <c r="P464" s="18"/>
      <c r="Q464" s="18"/>
      <c r="R464" s="23">
        <v>0.0</v>
      </c>
      <c r="S464" s="23">
        <v>0.0</v>
      </c>
      <c r="T464" s="23">
        <f t="shared" si="2"/>
        <v>0</v>
      </c>
      <c r="U464" s="23">
        <f t="shared" si="3"/>
        <v>0</v>
      </c>
      <c r="V464" s="23">
        <f t="shared" si="4"/>
        <v>0</v>
      </c>
      <c r="W464" s="24" t="str">
        <f t="shared" si="5"/>
        <v>#DIV/0!</v>
      </c>
    </row>
    <row r="465" hidden="1">
      <c r="A465" s="15" t="s">
        <v>1623</v>
      </c>
      <c r="B465" s="18"/>
      <c r="C465" s="15" t="s">
        <v>6711</v>
      </c>
      <c r="D465" s="18"/>
      <c r="E465" s="17" t="s">
        <v>1624</v>
      </c>
      <c r="F465" s="18"/>
      <c r="G465" s="18"/>
      <c r="H465" s="15" t="s">
        <v>1625</v>
      </c>
      <c r="I465" s="18"/>
      <c r="J465" s="19" t="s">
        <v>104</v>
      </c>
      <c r="K465" s="19" t="s">
        <v>105</v>
      </c>
      <c r="L465" s="19" t="s">
        <v>38</v>
      </c>
      <c r="M465" s="20">
        <f t="shared" si="1"/>
        <v>0</v>
      </c>
      <c r="N465" s="22"/>
      <c r="O465" s="19" t="s">
        <v>1145</v>
      </c>
      <c r="P465" s="18"/>
      <c r="Q465" s="18"/>
      <c r="R465" s="23">
        <v>0.0</v>
      </c>
      <c r="S465" s="23">
        <v>0.0</v>
      </c>
      <c r="T465" s="23">
        <f t="shared" si="2"/>
        <v>0</v>
      </c>
      <c r="U465" s="23">
        <f t="shared" si="3"/>
        <v>0</v>
      </c>
      <c r="V465" s="23">
        <f t="shared" si="4"/>
        <v>0</v>
      </c>
      <c r="W465" s="24" t="str">
        <f t="shared" si="5"/>
        <v>#DIV/0!</v>
      </c>
    </row>
    <row r="466" hidden="1">
      <c r="A466" s="15" t="s">
        <v>1626</v>
      </c>
      <c r="B466" s="18"/>
      <c r="C466" s="15" t="s">
        <v>6712</v>
      </c>
      <c r="D466" s="18"/>
      <c r="E466" s="17" t="s">
        <v>1627</v>
      </c>
      <c r="F466" s="18"/>
      <c r="G466" s="18"/>
      <c r="H466" s="15" t="s">
        <v>1628</v>
      </c>
      <c r="I466" s="18"/>
      <c r="J466" s="19" t="s">
        <v>104</v>
      </c>
      <c r="K466" s="19" t="s">
        <v>105</v>
      </c>
      <c r="L466" s="19" t="s">
        <v>38</v>
      </c>
      <c r="M466" s="20">
        <f t="shared" si="1"/>
        <v>0</v>
      </c>
      <c r="N466" s="22"/>
      <c r="O466" s="19" t="s">
        <v>1145</v>
      </c>
      <c r="P466" s="18"/>
      <c r="Q466" s="18"/>
      <c r="R466" s="23">
        <v>0.0</v>
      </c>
      <c r="S466" s="23">
        <v>0.0</v>
      </c>
      <c r="T466" s="23">
        <f t="shared" si="2"/>
        <v>0</v>
      </c>
      <c r="U466" s="23">
        <f t="shared" si="3"/>
        <v>0</v>
      </c>
      <c r="V466" s="23">
        <f t="shared" si="4"/>
        <v>0</v>
      </c>
      <c r="W466" s="24" t="str">
        <f t="shared" si="5"/>
        <v>#DIV/0!</v>
      </c>
    </row>
    <row r="467" hidden="1">
      <c r="A467" s="15" t="s">
        <v>1629</v>
      </c>
      <c r="B467" s="18"/>
      <c r="C467" s="15" t="s">
        <v>6713</v>
      </c>
      <c r="D467" s="18"/>
      <c r="E467" s="17" t="s">
        <v>1630</v>
      </c>
      <c r="F467" s="18"/>
      <c r="G467" s="18"/>
      <c r="H467" s="15" t="s">
        <v>1631</v>
      </c>
      <c r="I467" s="18"/>
      <c r="J467" s="19" t="s">
        <v>104</v>
      </c>
      <c r="K467" s="19" t="s">
        <v>105</v>
      </c>
      <c r="L467" s="19" t="s">
        <v>38</v>
      </c>
      <c r="M467" s="20">
        <f t="shared" si="1"/>
        <v>0</v>
      </c>
      <c r="N467" s="22"/>
      <c r="O467" s="19" t="s">
        <v>1145</v>
      </c>
      <c r="P467" s="18"/>
      <c r="Q467" s="18"/>
      <c r="R467" s="23">
        <v>0.0</v>
      </c>
      <c r="S467" s="23">
        <v>0.0</v>
      </c>
      <c r="T467" s="23">
        <f t="shared" si="2"/>
        <v>0</v>
      </c>
      <c r="U467" s="23">
        <f t="shared" si="3"/>
        <v>0</v>
      </c>
      <c r="V467" s="23">
        <f t="shared" si="4"/>
        <v>0</v>
      </c>
      <c r="W467" s="24" t="str">
        <f t="shared" si="5"/>
        <v>#DIV/0!</v>
      </c>
    </row>
    <row r="468" hidden="1">
      <c r="A468" s="15" t="s">
        <v>1632</v>
      </c>
      <c r="B468" s="18"/>
      <c r="C468" s="15" t="s">
        <v>6714</v>
      </c>
      <c r="D468" s="18"/>
      <c r="E468" s="17" t="s">
        <v>1633</v>
      </c>
      <c r="F468" s="18"/>
      <c r="G468" s="18"/>
      <c r="H468" s="15" t="s">
        <v>1634</v>
      </c>
      <c r="I468" s="18"/>
      <c r="J468" s="19" t="s">
        <v>104</v>
      </c>
      <c r="K468" s="19" t="s">
        <v>105</v>
      </c>
      <c r="L468" s="19" t="s">
        <v>38</v>
      </c>
      <c r="M468" s="20">
        <f t="shared" si="1"/>
        <v>0</v>
      </c>
      <c r="N468" s="22"/>
      <c r="O468" s="19" t="s">
        <v>1145</v>
      </c>
      <c r="P468" s="18"/>
      <c r="Q468" s="18"/>
      <c r="R468" s="23">
        <v>0.0</v>
      </c>
      <c r="S468" s="23">
        <v>0.0</v>
      </c>
      <c r="T468" s="23">
        <f t="shared" si="2"/>
        <v>0</v>
      </c>
      <c r="U468" s="23">
        <f t="shared" si="3"/>
        <v>0</v>
      </c>
      <c r="V468" s="23">
        <f t="shared" si="4"/>
        <v>0</v>
      </c>
      <c r="W468" s="24" t="str">
        <f t="shared" si="5"/>
        <v>#DIV/0!</v>
      </c>
    </row>
    <row r="469" hidden="1">
      <c r="A469" s="15" t="s">
        <v>1635</v>
      </c>
      <c r="B469" s="18"/>
      <c r="C469" s="15" t="s">
        <v>6715</v>
      </c>
      <c r="D469" s="18"/>
      <c r="E469" s="17" t="s">
        <v>1636</v>
      </c>
      <c r="F469" s="18"/>
      <c r="G469" s="18"/>
      <c r="H469" s="15" t="s">
        <v>1637</v>
      </c>
      <c r="I469" s="18"/>
      <c r="J469" s="19" t="s">
        <v>104</v>
      </c>
      <c r="K469" s="19" t="s">
        <v>105</v>
      </c>
      <c r="L469" s="19" t="s">
        <v>38</v>
      </c>
      <c r="M469" s="20">
        <f t="shared" si="1"/>
        <v>0</v>
      </c>
      <c r="N469" s="22"/>
      <c r="O469" s="19" t="s">
        <v>1145</v>
      </c>
      <c r="P469" s="18"/>
      <c r="Q469" s="18"/>
      <c r="R469" s="23">
        <v>0.0</v>
      </c>
      <c r="S469" s="23">
        <v>0.0</v>
      </c>
      <c r="T469" s="23">
        <f t="shared" si="2"/>
        <v>0</v>
      </c>
      <c r="U469" s="23">
        <f t="shared" si="3"/>
        <v>0</v>
      </c>
      <c r="V469" s="23">
        <f t="shared" si="4"/>
        <v>0</v>
      </c>
      <c r="W469" s="24" t="str">
        <f t="shared" si="5"/>
        <v>#DIV/0!</v>
      </c>
    </row>
    <row r="470" hidden="1">
      <c r="A470" s="15" t="s">
        <v>1638</v>
      </c>
      <c r="B470" s="18"/>
      <c r="C470" s="15" t="s">
        <v>6716</v>
      </c>
      <c r="D470" s="18"/>
      <c r="E470" s="17" t="s">
        <v>1639</v>
      </c>
      <c r="F470" s="18"/>
      <c r="G470" s="18"/>
      <c r="H470" s="15" t="s">
        <v>1640</v>
      </c>
      <c r="I470" s="18"/>
      <c r="J470" s="19" t="s">
        <v>104</v>
      </c>
      <c r="K470" s="19" t="s">
        <v>105</v>
      </c>
      <c r="L470" s="19" t="s">
        <v>38</v>
      </c>
      <c r="M470" s="20">
        <f t="shared" si="1"/>
        <v>0</v>
      </c>
      <c r="N470" s="22"/>
      <c r="O470" s="19" t="s">
        <v>1145</v>
      </c>
      <c r="P470" s="18"/>
      <c r="Q470" s="18"/>
      <c r="R470" s="23">
        <v>0.0</v>
      </c>
      <c r="S470" s="23">
        <v>0.0</v>
      </c>
      <c r="T470" s="23">
        <f t="shared" si="2"/>
        <v>0</v>
      </c>
      <c r="U470" s="23">
        <f t="shared" si="3"/>
        <v>0</v>
      </c>
      <c r="V470" s="23">
        <f t="shared" si="4"/>
        <v>0</v>
      </c>
      <c r="W470" s="24" t="str">
        <f t="shared" si="5"/>
        <v>#DIV/0!</v>
      </c>
    </row>
    <row r="471" hidden="1">
      <c r="A471" s="15" t="s">
        <v>1641</v>
      </c>
      <c r="B471" s="18"/>
      <c r="C471" s="15" t="s">
        <v>6717</v>
      </c>
      <c r="D471" s="18"/>
      <c r="E471" s="17" t="s">
        <v>1642</v>
      </c>
      <c r="F471" s="18"/>
      <c r="G471" s="18"/>
      <c r="H471" s="15" t="s">
        <v>1643</v>
      </c>
      <c r="I471" s="18"/>
      <c r="J471" s="19" t="s">
        <v>104</v>
      </c>
      <c r="K471" s="19" t="s">
        <v>105</v>
      </c>
      <c r="L471" s="19" t="s">
        <v>38</v>
      </c>
      <c r="M471" s="20">
        <f t="shared" si="1"/>
        <v>0</v>
      </c>
      <c r="N471" s="22"/>
      <c r="O471" s="19" t="s">
        <v>1145</v>
      </c>
      <c r="P471" s="18"/>
      <c r="Q471" s="18"/>
      <c r="R471" s="23">
        <v>0.0</v>
      </c>
      <c r="S471" s="23">
        <v>0.0</v>
      </c>
      <c r="T471" s="23">
        <f t="shared" si="2"/>
        <v>0</v>
      </c>
      <c r="U471" s="23">
        <f t="shared" si="3"/>
        <v>0</v>
      </c>
      <c r="V471" s="23">
        <f t="shared" si="4"/>
        <v>0</v>
      </c>
      <c r="W471" s="24" t="str">
        <f t="shared" si="5"/>
        <v>#DIV/0!</v>
      </c>
    </row>
    <row r="472" hidden="1">
      <c r="A472" s="15" t="s">
        <v>1644</v>
      </c>
      <c r="B472" s="18"/>
      <c r="C472" s="15" t="s">
        <v>6718</v>
      </c>
      <c r="D472" s="18"/>
      <c r="E472" s="17" t="s">
        <v>1645</v>
      </c>
      <c r="F472" s="18"/>
      <c r="G472" s="18"/>
      <c r="H472" s="15" t="s">
        <v>1646</v>
      </c>
      <c r="I472" s="18"/>
      <c r="J472" s="19" t="s">
        <v>104</v>
      </c>
      <c r="K472" s="19" t="s">
        <v>105</v>
      </c>
      <c r="L472" s="19" t="s">
        <v>38</v>
      </c>
      <c r="M472" s="20">
        <f t="shared" si="1"/>
        <v>0</v>
      </c>
      <c r="N472" s="22"/>
      <c r="O472" s="19" t="s">
        <v>1145</v>
      </c>
      <c r="P472" s="18"/>
      <c r="Q472" s="18"/>
      <c r="R472" s="23">
        <v>0.0</v>
      </c>
      <c r="S472" s="23">
        <v>0.0</v>
      </c>
      <c r="T472" s="23">
        <f t="shared" si="2"/>
        <v>0</v>
      </c>
      <c r="U472" s="23">
        <f t="shared" si="3"/>
        <v>0</v>
      </c>
      <c r="V472" s="23">
        <f t="shared" si="4"/>
        <v>0</v>
      </c>
      <c r="W472" s="24" t="str">
        <f t="shared" si="5"/>
        <v>#DIV/0!</v>
      </c>
    </row>
    <row r="473" hidden="1">
      <c r="A473" s="15" t="s">
        <v>1647</v>
      </c>
      <c r="B473" s="18"/>
      <c r="C473" s="15" t="s">
        <v>6719</v>
      </c>
      <c r="D473" s="18"/>
      <c r="E473" s="17" t="s">
        <v>1648</v>
      </c>
      <c r="F473" s="18"/>
      <c r="G473" s="18"/>
      <c r="H473" s="15" t="s">
        <v>1649</v>
      </c>
      <c r="I473" s="18"/>
      <c r="J473" s="19" t="s">
        <v>104</v>
      </c>
      <c r="K473" s="19" t="s">
        <v>105</v>
      </c>
      <c r="L473" s="19" t="s">
        <v>38</v>
      </c>
      <c r="M473" s="20">
        <f t="shared" si="1"/>
        <v>0</v>
      </c>
      <c r="N473" s="22"/>
      <c r="O473" s="19" t="s">
        <v>1145</v>
      </c>
      <c r="P473" s="18"/>
      <c r="Q473" s="18"/>
      <c r="R473" s="23">
        <v>0.0</v>
      </c>
      <c r="S473" s="23">
        <v>0.0</v>
      </c>
      <c r="T473" s="23">
        <f t="shared" si="2"/>
        <v>0</v>
      </c>
      <c r="U473" s="23">
        <f t="shared" si="3"/>
        <v>0</v>
      </c>
      <c r="V473" s="23">
        <f t="shared" si="4"/>
        <v>0</v>
      </c>
      <c r="W473" s="24" t="str">
        <f t="shared" si="5"/>
        <v>#DIV/0!</v>
      </c>
    </row>
    <row r="474" hidden="1">
      <c r="A474" s="15" t="s">
        <v>1650</v>
      </c>
      <c r="B474" s="18"/>
      <c r="C474" s="15" t="s">
        <v>6720</v>
      </c>
      <c r="D474" s="18"/>
      <c r="E474" s="17" t="s">
        <v>1651</v>
      </c>
      <c r="F474" s="18"/>
      <c r="G474" s="18"/>
      <c r="H474" s="15" t="s">
        <v>1652</v>
      </c>
      <c r="I474" s="18"/>
      <c r="J474" s="19" t="s">
        <v>104</v>
      </c>
      <c r="K474" s="19" t="s">
        <v>105</v>
      </c>
      <c r="L474" s="19" t="s">
        <v>38</v>
      </c>
      <c r="M474" s="20">
        <f t="shared" si="1"/>
        <v>0</v>
      </c>
      <c r="N474" s="22"/>
      <c r="O474" s="19" t="s">
        <v>1145</v>
      </c>
      <c r="P474" s="18"/>
      <c r="Q474" s="18"/>
      <c r="R474" s="23">
        <v>0.0</v>
      </c>
      <c r="S474" s="23">
        <v>0.0</v>
      </c>
      <c r="T474" s="23">
        <f t="shared" si="2"/>
        <v>0</v>
      </c>
      <c r="U474" s="23">
        <f t="shared" si="3"/>
        <v>0</v>
      </c>
      <c r="V474" s="23">
        <f t="shared" si="4"/>
        <v>0</v>
      </c>
      <c r="W474" s="24" t="str">
        <f t="shared" si="5"/>
        <v>#DIV/0!</v>
      </c>
    </row>
    <row r="475" hidden="1">
      <c r="A475" s="15" t="s">
        <v>1653</v>
      </c>
      <c r="B475" s="18"/>
      <c r="C475" s="15" t="s">
        <v>6721</v>
      </c>
      <c r="D475" s="18"/>
      <c r="E475" s="17" t="s">
        <v>1654</v>
      </c>
      <c r="F475" s="18"/>
      <c r="G475" s="18"/>
      <c r="H475" s="15" t="s">
        <v>1655</v>
      </c>
      <c r="I475" s="18"/>
      <c r="J475" s="19" t="s">
        <v>104</v>
      </c>
      <c r="K475" s="19" t="s">
        <v>105</v>
      </c>
      <c r="L475" s="19" t="s">
        <v>38</v>
      </c>
      <c r="M475" s="20">
        <f t="shared" si="1"/>
        <v>0</v>
      </c>
      <c r="N475" s="22"/>
      <c r="O475" s="19" t="s">
        <v>1145</v>
      </c>
      <c r="P475" s="18"/>
      <c r="Q475" s="18"/>
      <c r="R475" s="23">
        <v>0.0</v>
      </c>
      <c r="S475" s="23">
        <v>0.0</v>
      </c>
      <c r="T475" s="23">
        <f t="shared" si="2"/>
        <v>0</v>
      </c>
      <c r="U475" s="23">
        <f t="shared" si="3"/>
        <v>0</v>
      </c>
      <c r="V475" s="23">
        <f t="shared" si="4"/>
        <v>0</v>
      </c>
      <c r="W475" s="24" t="str">
        <f t="shared" si="5"/>
        <v>#DIV/0!</v>
      </c>
    </row>
    <row r="476" hidden="1">
      <c r="A476" s="15" t="s">
        <v>1656</v>
      </c>
      <c r="B476" s="18"/>
      <c r="C476" s="15" t="s">
        <v>6722</v>
      </c>
      <c r="D476" s="18"/>
      <c r="E476" s="17" t="s">
        <v>1657</v>
      </c>
      <c r="F476" s="18"/>
      <c r="G476" s="18"/>
      <c r="H476" s="15" t="s">
        <v>1658</v>
      </c>
      <c r="I476" s="18"/>
      <c r="J476" s="19" t="s">
        <v>104</v>
      </c>
      <c r="K476" s="19" t="s">
        <v>105</v>
      </c>
      <c r="L476" s="19" t="s">
        <v>38</v>
      </c>
      <c r="M476" s="20">
        <f t="shared" si="1"/>
        <v>0</v>
      </c>
      <c r="N476" s="22"/>
      <c r="O476" s="19" t="s">
        <v>1145</v>
      </c>
      <c r="P476" s="18"/>
      <c r="Q476" s="18"/>
      <c r="R476" s="23">
        <v>0.0</v>
      </c>
      <c r="S476" s="23">
        <v>0.0</v>
      </c>
      <c r="T476" s="23">
        <f t="shared" si="2"/>
        <v>0</v>
      </c>
      <c r="U476" s="23">
        <f t="shared" si="3"/>
        <v>0</v>
      </c>
      <c r="V476" s="23">
        <f t="shared" si="4"/>
        <v>0</v>
      </c>
      <c r="W476" s="24" t="str">
        <f t="shared" si="5"/>
        <v>#DIV/0!</v>
      </c>
    </row>
    <row r="477" hidden="1">
      <c r="A477" s="15" t="s">
        <v>1659</v>
      </c>
      <c r="B477" s="18"/>
      <c r="C477" s="15" t="s">
        <v>6723</v>
      </c>
      <c r="D477" s="18"/>
      <c r="E477" s="17" t="s">
        <v>1660</v>
      </c>
      <c r="F477" s="18"/>
      <c r="G477" s="18"/>
      <c r="H477" s="15" t="s">
        <v>1661</v>
      </c>
      <c r="I477" s="18"/>
      <c r="J477" s="19" t="s">
        <v>104</v>
      </c>
      <c r="K477" s="19" t="s">
        <v>105</v>
      </c>
      <c r="L477" s="19" t="s">
        <v>38</v>
      </c>
      <c r="M477" s="20">
        <f t="shared" si="1"/>
        <v>0</v>
      </c>
      <c r="N477" s="22"/>
      <c r="O477" s="19" t="s">
        <v>1145</v>
      </c>
      <c r="P477" s="18"/>
      <c r="Q477" s="18"/>
      <c r="R477" s="23">
        <v>0.0</v>
      </c>
      <c r="S477" s="23">
        <v>0.0</v>
      </c>
      <c r="T477" s="23">
        <f t="shared" si="2"/>
        <v>0</v>
      </c>
      <c r="U477" s="23">
        <f t="shared" si="3"/>
        <v>0</v>
      </c>
      <c r="V477" s="23">
        <f t="shared" si="4"/>
        <v>0</v>
      </c>
      <c r="W477" s="24" t="str">
        <f t="shared" si="5"/>
        <v>#DIV/0!</v>
      </c>
    </row>
    <row r="478" hidden="1">
      <c r="A478" s="15" t="s">
        <v>1662</v>
      </c>
      <c r="B478" s="18"/>
      <c r="C478" s="15" t="s">
        <v>6724</v>
      </c>
      <c r="D478" s="18"/>
      <c r="E478" s="17" t="s">
        <v>1663</v>
      </c>
      <c r="F478" s="18"/>
      <c r="G478" s="18"/>
      <c r="H478" s="15" t="s">
        <v>1664</v>
      </c>
      <c r="I478" s="18"/>
      <c r="J478" s="19" t="s">
        <v>104</v>
      </c>
      <c r="K478" s="19" t="s">
        <v>105</v>
      </c>
      <c r="L478" s="19" t="s">
        <v>38</v>
      </c>
      <c r="M478" s="20">
        <f t="shared" si="1"/>
        <v>0</v>
      </c>
      <c r="N478" s="22"/>
      <c r="O478" s="19" t="s">
        <v>1145</v>
      </c>
      <c r="P478" s="18"/>
      <c r="Q478" s="18"/>
      <c r="R478" s="23">
        <v>0.0</v>
      </c>
      <c r="S478" s="23">
        <v>0.0</v>
      </c>
      <c r="T478" s="23">
        <f t="shared" si="2"/>
        <v>0</v>
      </c>
      <c r="U478" s="23">
        <f t="shared" si="3"/>
        <v>0</v>
      </c>
      <c r="V478" s="23">
        <f t="shared" si="4"/>
        <v>0</v>
      </c>
      <c r="W478" s="24" t="str">
        <f t="shared" si="5"/>
        <v>#DIV/0!</v>
      </c>
    </row>
    <row r="479" hidden="1">
      <c r="A479" s="15" t="s">
        <v>1665</v>
      </c>
      <c r="B479" s="18"/>
      <c r="C479" s="15" t="s">
        <v>6725</v>
      </c>
      <c r="D479" s="18"/>
      <c r="E479" s="17" t="s">
        <v>1666</v>
      </c>
      <c r="F479" s="18"/>
      <c r="G479" s="18"/>
      <c r="H479" s="15" t="s">
        <v>1667</v>
      </c>
      <c r="I479" s="18"/>
      <c r="J479" s="19" t="s">
        <v>104</v>
      </c>
      <c r="K479" s="19" t="s">
        <v>105</v>
      </c>
      <c r="L479" s="19" t="s">
        <v>38</v>
      </c>
      <c r="M479" s="20">
        <f t="shared" si="1"/>
        <v>0</v>
      </c>
      <c r="N479" s="22"/>
      <c r="O479" s="19" t="s">
        <v>1145</v>
      </c>
      <c r="P479" s="18"/>
      <c r="Q479" s="18"/>
      <c r="R479" s="23">
        <v>0.0</v>
      </c>
      <c r="S479" s="23">
        <v>0.0</v>
      </c>
      <c r="T479" s="23">
        <f t="shared" si="2"/>
        <v>0</v>
      </c>
      <c r="U479" s="23">
        <f t="shared" si="3"/>
        <v>0</v>
      </c>
      <c r="V479" s="23">
        <f t="shared" si="4"/>
        <v>0</v>
      </c>
      <c r="W479" s="24" t="str">
        <f t="shared" si="5"/>
        <v>#DIV/0!</v>
      </c>
    </row>
    <row r="480" hidden="1">
      <c r="A480" s="15" t="s">
        <v>1668</v>
      </c>
      <c r="B480" s="18"/>
      <c r="C480" s="15" t="s">
        <v>6726</v>
      </c>
      <c r="D480" s="18"/>
      <c r="E480" s="17" t="s">
        <v>1669</v>
      </c>
      <c r="F480" s="18"/>
      <c r="G480" s="18"/>
      <c r="H480" s="15" t="s">
        <v>1670</v>
      </c>
      <c r="I480" s="18"/>
      <c r="J480" s="19" t="s">
        <v>104</v>
      </c>
      <c r="K480" s="19" t="s">
        <v>105</v>
      </c>
      <c r="L480" s="19" t="s">
        <v>38</v>
      </c>
      <c r="M480" s="20">
        <f t="shared" si="1"/>
        <v>0</v>
      </c>
      <c r="N480" s="22"/>
      <c r="O480" s="19" t="s">
        <v>1145</v>
      </c>
      <c r="P480" s="18"/>
      <c r="Q480" s="18"/>
      <c r="R480" s="23">
        <v>0.0</v>
      </c>
      <c r="S480" s="23">
        <v>0.0</v>
      </c>
      <c r="T480" s="23">
        <f t="shared" si="2"/>
        <v>0</v>
      </c>
      <c r="U480" s="23">
        <f t="shared" si="3"/>
        <v>0</v>
      </c>
      <c r="V480" s="23">
        <f t="shared" si="4"/>
        <v>0</v>
      </c>
      <c r="W480" s="24" t="str">
        <f t="shared" si="5"/>
        <v>#DIV/0!</v>
      </c>
    </row>
    <row r="481" hidden="1">
      <c r="A481" s="15" t="s">
        <v>1671</v>
      </c>
      <c r="B481" s="18"/>
      <c r="C481" s="15" t="s">
        <v>6727</v>
      </c>
      <c r="D481" s="18"/>
      <c r="E481" s="17" t="s">
        <v>1672</v>
      </c>
      <c r="F481" s="18"/>
      <c r="G481" s="18"/>
      <c r="H481" s="15" t="s">
        <v>1673</v>
      </c>
      <c r="I481" s="18"/>
      <c r="J481" s="19" t="s">
        <v>1674</v>
      </c>
      <c r="K481" s="19" t="s">
        <v>105</v>
      </c>
      <c r="L481" s="19" t="s">
        <v>38</v>
      </c>
      <c r="M481" s="20">
        <f t="shared" si="1"/>
        <v>0</v>
      </c>
      <c r="N481" s="22"/>
      <c r="O481" s="19" t="s">
        <v>1145</v>
      </c>
      <c r="P481" s="18"/>
      <c r="Q481" s="18"/>
      <c r="R481" s="23">
        <v>0.0</v>
      </c>
      <c r="S481" s="23">
        <v>0.0</v>
      </c>
      <c r="T481" s="23">
        <f t="shared" si="2"/>
        <v>0</v>
      </c>
      <c r="U481" s="23">
        <f t="shared" si="3"/>
        <v>0</v>
      </c>
      <c r="V481" s="23">
        <f t="shared" si="4"/>
        <v>0</v>
      </c>
      <c r="W481" s="24" t="str">
        <f t="shared" si="5"/>
        <v>#DIV/0!</v>
      </c>
    </row>
    <row r="482" hidden="1">
      <c r="A482" s="15" t="s">
        <v>1675</v>
      </c>
      <c r="B482" s="18"/>
      <c r="C482" s="15" t="s">
        <v>6728</v>
      </c>
      <c r="D482" s="18"/>
      <c r="E482" s="17" t="s">
        <v>1676</v>
      </c>
      <c r="F482" s="18"/>
      <c r="G482" s="18"/>
      <c r="H482" s="15" t="s">
        <v>1677</v>
      </c>
      <c r="I482" s="18"/>
      <c r="J482" s="19" t="s">
        <v>1674</v>
      </c>
      <c r="K482" s="19" t="s">
        <v>37</v>
      </c>
      <c r="L482" s="19" t="s">
        <v>38</v>
      </c>
      <c r="M482" s="20">
        <f t="shared" si="1"/>
        <v>0</v>
      </c>
      <c r="N482" s="22"/>
      <c r="O482" s="19" t="s">
        <v>1145</v>
      </c>
      <c r="P482" s="18"/>
      <c r="Q482" s="18"/>
      <c r="R482" s="23">
        <v>0.0</v>
      </c>
      <c r="S482" s="23">
        <v>0.0</v>
      </c>
      <c r="T482" s="23">
        <f t="shared" si="2"/>
        <v>0</v>
      </c>
      <c r="U482" s="23">
        <f t="shared" si="3"/>
        <v>0</v>
      </c>
      <c r="V482" s="23">
        <f t="shared" si="4"/>
        <v>0</v>
      </c>
      <c r="W482" s="24" t="str">
        <f t="shared" si="5"/>
        <v>#DIV/0!</v>
      </c>
    </row>
    <row r="483" hidden="1">
      <c r="A483" s="15" t="s">
        <v>1678</v>
      </c>
      <c r="B483" s="18"/>
      <c r="C483" s="15" t="s">
        <v>6729</v>
      </c>
      <c r="D483" s="18"/>
      <c r="E483" s="17" t="s">
        <v>1679</v>
      </c>
      <c r="F483" s="18"/>
      <c r="G483" s="18"/>
      <c r="H483" s="15" t="s">
        <v>1680</v>
      </c>
      <c r="I483" s="18"/>
      <c r="J483" s="19" t="s">
        <v>1674</v>
      </c>
      <c r="K483" s="19" t="s">
        <v>402</v>
      </c>
      <c r="L483" s="19" t="s">
        <v>38</v>
      </c>
      <c r="M483" s="20">
        <f t="shared" si="1"/>
        <v>0</v>
      </c>
      <c r="N483" s="22"/>
      <c r="O483" s="19" t="s">
        <v>1145</v>
      </c>
      <c r="P483" s="18"/>
      <c r="Q483" s="18"/>
      <c r="R483" s="23">
        <v>0.0</v>
      </c>
      <c r="S483" s="23">
        <v>0.0</v>
      </c>
      <c r="T483" s="23">
        <f t="shared" si="2"/>
        <v>0</v>
      </c>
      <c r="U483" s="23">
        <f t="shared" si="3"/>
        <v>0</v>
      </c>
      <c r="V483" s="23">
        <f t="shared" si="4"/>
        <v>0</v>
      </c>
      <c r="W483" s="24" t="str">
        <f t="shared" si="5"/>
        <v>#DIV/0!</v>
      </c>
    </row>
    <row r="484" hidden="1">
      <c r="A484" s="15" t="s">
        <v>6730</v>
      </c>
      <c r="B484" s="18"/>
      <c r="C484" s="15" t="s">
        <v>6731</v>
      </c>
      <c r="D484" s="18"/>
      <c r="E484" s="17" t="s">
        <v>916</v>
      </c>
      <c r="F484" s="18"/>
      <c r="G484" s="18"/>
      <c r="H484" s="15" t="s">
        <v>6732</v>
      </c>
      <c r="I484" s="18"/>
      <c r="J484" s="19" t="s">
        <v>1674</v>
      </c>
      <c r="K484" s="19" t="s">
        <v>402</v>
      </c>
      <c r="L484" s="19" t="s">
        <v>38</v>
      </c>
      <c r="M484" s="20">
        <f t="shared" si="1"/>
        <v>0</v>
      </c>
      <c r="N484" s="22"/>
      <c r="O484" s="19" t="s">
        <v>39</v>
      </c>
      <c r="P484" s="18"/>
      <c r="Q484" s="18"/>
      <c r="R484" s="23">
        <v>0.0</v>
      </c>
      <c r="S484" s="23">
        <v>0.0</v>
      </c>
      <c r="T484" s="23">
        <f t="shared" si="2"/>
        <v>0</v>
      </c>
      <c r="U484" s="23">
        <f t="shared" si="3"/>
        <v>0</v>
      </c>
      <c r="V484" s="23">
        <f t="shared" si="4"/>
        <v>0</v>
      </c>
      <c r="W484" s="24" t="str">
        <f t="shared" si="5"/>
        <v>#DIV/0!</v>
      </c>
    </row>
    <row r="485" hidden="1">
      <c r="A485" s="15" t="s">
        <v>6733</v>
      </c>
      <c r="B485" s="18"/>
      <c r="C485" s="15" t="s">
        <v>6734</v>
      </c>
      <c r="D485" s="18"/>
      <c r="E485" s="17" t="s">
        <v>6735</v>
      </c>
      <c r="F485" s="18"/>
      <c r="G485" s="18"/>
      <c r="H485" s="15" t="s">
        <v>6736</v>
      </c>
      <c r="I485" s="18"/>
      <c r="J485" s="19" t="s">
        <v>1674</v>
      </c>
      <c r="K485" s="19" t="s">
        <v>402</v>
      </c>
      <c r="L485" s="19" t="s">
        <v>38</v>
      </c>
      <c r="M485" s="20">
        <f t="shared" si="1"/>
        <v>0</v>
      </c>
      <c r="N485" s="22"/>
      <c r="O485" s="19" t="s">
        <v>39</v>
      </c>
      <c r="P485" s="18"/>
      <c r="Q485" s="18"/>
      <c r="R485" s="23">
        <v>0.0</v>
      </c>
      <c r="S485" s="23">
        <v>0.0</v>
      </c>
      <c r="T485" s="23">
        <f t="shared" si="2"/>
        <v>0</v>
      </c>
      <c r="U485" s="23">
        <f t="shared" si="3"/>
        <v>0</v>
      </c>
      <c r="V485" s="23">
        <f t="shared" si="4"/>
        <v>0</v>
      </c>
      <c r="W485" s="24" t="str">
        <f t="shared" si="5"/>
        <v>#DIV/0!</v>
      </c>
    </row>
    <row r="486" hidden="1">
      <c r="A486" s="15" t="s">
        <v>6737</v>
      </c>
      <c r="B486" s="18"/>
      <c r="C486" s="15" t="s">
        <v>6738</v>
      </c>
      <c r="D486" s="18"/>
      <c r="E486" s="17" t="s">
        <v>6739</v>
      </c>
      <c r="F486" s="18"/>
      <c r="G486" s="18"/>
      <c r="H486" s="15" t="s">
        <v>6740</v>
      </c>
      <c r="I486" s="18"/>
      <c r="J486" s="19" t="s">
        <v>1674</v>
      </c>
      <c r="K486" s="19" t="s">
        <v>402</v>
      </c>
      <c r="L486" s="19" t="s">
        <v>38</v>
      </c>
      <c r="M486" s="20">
        <f t="shared" si="1"/>
        <v>0</v>
      </c>
      <c r="N486" s="22"/>
      <c r="O486" s="19" t="s">
        <v>39</v>
      </c>
      <c r="P486" s="18"/>
      <c r="Q486" s="18"/>
      <c r="R486" s="23">
        <v>0.0</v>
      </c>
      <c r="S486" s="23">
        <v>0.0</v>
      </c>
      <c r="T486" s="23">
        <f t="shared" si="2"/>
        <v>0</v>
      </c>
      <c r="U486" s="23">
        <f t="shared" si="3"/>
        <v>0</v>
      </c>
      <c r="V486" s="23">
        <f t="shared" si="4"/>
        <v>0</v>
      </c>
      <c r="W486" s="24" t="str">
        <f t="shared" si="5"/>
        <v>#DIV/0!</v>
      </c>
    </row>
    <row r="487" hidden="1">
      <c r="A487" s="15" t="s">
        <v>1681</v>
      </c>
      <c r="B487" s="18"/>
      <c r="C487" s="15" t="s">
        <v>6741</v>
      </c>
      <c r="D487" s="18"/>
      <c r="E487" s="17" t="s">
        <v>1682</v>
      </c>
      <c r="F487" s="18"/>
      <c r="G487" s="18"/>
      <c r="H487" s="15" t="s">
        <v>1683</v>
      </c>
      <c r="I487" s="18"/>
      <c r="J487" s="19" t="s">
        <v>1674</v>
      </c>
      <c r="K487" s="19" t="s">
        <v>37</v>
      </c>
      <c r="L487" s="19" t="s">
        <v>38</v>
      </c>
      <c r="M487" s="20">
        <f t="shared" si="1"/>
        <v>0</v>
      </c>
      <c r="N487" s="22"/>
      <c r="O487" s="19" t="s">
        <v>1145</v>
      </c>
      <c r="P487" s="18"/>
      <c r="Q487" s="18"/>
      <c r="R487" s="23">
        <v>0.0</v>
      </c>
      <c r="S487" s="23">
        <v>0.0</v>
      </c>
      <c r="T487" s="23">
        <f t="shared" si="2"/>
        <v>0</v>
      </c>
      <c r="U487" s="23">
        <f t="shared" si="3"/>
        <v>0</v>
      </c>
      <c r="V487" s="23">
        <f t="shared" si="4"/>
        <v>0</v>
      </c>
      <c r="W487" s="24" t="str">
        <f t="shared" si="5"/>
        <v>#DIV/0!</v>
      </c>
    </row>
    <row r="488" hidden="1">
      <c r="A488" s="15" t="s">
        <v>6742</v>
      </c>
      <c r="B488" s="18"/>
      <c r="C488" s="15" t="s">
        <v>6743</v>
      </c>
      <c r="D488" s="18"/>
      <c r="E488" s="17" t="s">
        <v>6744</v>
      </c>
      <c r="F488" s="18"/>
      <c r="G488" s="18"/>
      <c r="H488" s="15" t="s">
        <v>6745</v>
      </c>
      <c r="I488" s="18"/>
      <c r="J488" s="19" t="s">
        <v>1674</v>
      </c>
      <c r="K488" s="19" t="s">
        <v>402</v>
      </c>
      <c r="L488" s="19" t="s">
        <v>38</v>
      </c>
      <c r="M488" s="20">
        <f t="shared" si="1"/>
        <v>0</v>
      </c>
      <c r="N488" s="22"/>
      <c r="O488" s="19" t="s">
        <v>39</v>
      </c>
      <c r="P488" s="18"/>
      <c r="Q488" s="18"/>
      <c r="R488" s="23">
        <v>0.0</v>
      </c>
      <c r="S488" s="23">
        <v>0.0</v>
      </c>
      <c r="T488" s="23">
        <f t="shared" si="2"/>
        <v>0</v>
      </c>
      <c r="U488" s="23">
        <f t="shared" si="3"/>
        <v>0</v>
      </c>
      <c r="V488" s="23">
        <f t="shared" si="4"/>
        <v>0</v>
      </c>
      <c r="W488" s="24" t="str">
        <f t="shared" si="5"/>
        <v>#DIV/0!</v>
      </c>
    </row>
    <row r="489" hidden="1">
      <c r="A489" s="15" t="s">
        <v>1684</v>
      </c>
      <c r="B489" s="18"/>
      <c r="C489" s="15" t="s">
        <v>6746</v>
      </c>
      <c r="D489" s="18"/>
      <c r="E489" s="17" t="s">
        <v>1685</v>
      </c>
      <c r="F489" s="18"/>
      <c r="G489" s="18"/>
      <c r="H489" s="15" t="s">
        <v>1686</v>
      </c>
      <c r="I489" s="18"/>
      <c r="J489" s="19" t="s">
        <v>1674</v>
      </c>
      <c r="K489" s="19" t="s">
        <v>37</v>
      </c>
      <c r="L489" s="19" t="s">
        <v>38</v>
      </c>
      <c r="M489" s="20">
        <f t="shared" si="1"/>
        <v>0</v>
      </c>
      <c r="N489" s="22"/>
      <c r="O489" s="19" t="s">
        <v>1145</v>
      </c>
      <c r="P489" s="18"/>
      <c r="Q489" s="18"/>
      <c r="R489" s="23">
        <v>0.0</v>
      </c>
      <c r="S489" s="23">
        <v>0.0</v>
      </c>
      <c r="T489" s="23">
        <f t="shared" si="2"/>
        <v>0</v>
      </c>
      <c r="U489" s="23">
        <f t="shared" si="3"/>
        <v>0</v>
      </c>
      <c r="V489" s="23">
        <f t="shared" si="4"/>
        <v>0</v>
      </c>
      <c r="W489" s="24" t="str">
        <f t="shared" si="5"/>
        <v>#DIV/0!</v>
      </c>
    </row>
    <row r="490" hidden="1">
      <c r="A490" s="15" t="s">
        <v>1687</v>
      </c>
      <c r="B490" s="18"/>
      <c r="C490" s="15" t="s">
        <v>6747</v>
      </c>
      <c r="D490" s="18"/>
      <c r="E490" s="17" t="s">
        <v>1688</v>
      </c>
      <c r="F490" s="18"/>
      <c r="G490" s="18"/>
      <c r="H490" s="15" t="s">
        <v>1689</v>
      </c>
      <c r="I490" s="18"/>
      <c r="J490" s="19" t="s">
        <v>1674</v>
      </c>
      <c r="K490" s="19" t="s">
        <v>105</v>
      </c>
      <c r="L490" s="19" t="s">
        <v>38</v>
      </c>
      <c r="M490" s="20">
        <f t="shared" si="1"/>
        <v>0</v>
      </c>
      <c r="N490" s="22"/>
      <c r="O490" s="19" t="s">
        <v>1145</v>
      </c>
      <c r="P490" s="18"/>
      <c r="Q490" s="18"/>
      <c r="R490" s="23">
        <v>0.0</v>
      </c>
      <c r="S490" s="23">
        <v>0.0</v>
      </c>
      <c r="T490" s="23">
        <f t="shared" si="2"/>
        <v>0</v>
      </c>
      <c r="U490" s="23">
        <f t="shared" si="3"/>
        <v>0</v>
      </c>
      <c r="V490" s="23">
        <f t="shared" si="4"/>
        <v>0</v>
      </c>
      <c r="W490" s="24" t="str">
        <f t="shared" si="5"/>
        <v>#DIV/0!</v>
      </c>
    </row>
    <row r="491" hidden="1">
      <c r="A491" s="15" t="s">
        <v>1690</v>
      </c>
      <c r="B491" s="18"/>
      <c r="C491" s="15" t="s">
        <v>6748</v>
      </c>
      <c r="D491" s="18"/>
      <c r="E491" s="17" t="s">
        <v>1691</v>
      </c>
      <c r="F491" s="18"/>
      <c r="G491" s="18"/>
      <c r="H491" s="15" t="s">
        <v>1692</v>
      </c>
      <c r="I491" s="18"/>
      <c r="J491" s="19" t="s">
        <v>1674</v>
      </c>
      <c r="K491" s="19" t="s">
        <v>105</v>
      </c>
      <c r="L491" s="19" t="s">
        <v>38</v>
      </c>
      <c r="M491" s="20">
        <f t="shared" si="1"/>
        <v>0</v>
      </c>
      <c r="N491" s="22"/>
      <c r="O491" s="19" t="s">
        <v>1145</v>
      </c>
      <c r="P491" s="18"/>
      <c r="Q491" s="18"/>
      <c r="R491" s="23">
        <v>0.0</v>
      </c>
      <c r="S491" s="23">
        <v>0.0</v>
      </c>
      <c r="T491" s="23">
        <f t="shared" si="2"/>
        <v>0</v>
      </c>
      <c r="U491" s="23">
        <f t="shared" si="3"/>
        <v>0</v>
      </c>
      <c r="V491" s="23">
        <f t="shared" si="4"/>
        <v>0</v>
      </c>
      <c r="W491" s="24" t="str">
        <f t="shared" si="5"/>
        <v>#DIV/0!</v>
      </c>
    </row>
    <row r="492" hidden="1">
      <c r="A492" s="15" t="s">
        <v>1693</v>
      </c>
      <c r="B492" s="18"/>
      <c r="C492" s="15" t="s">
        <v>6749</v>
      </c>
      <c r="D492" s="18"/>
      <c r="E492" s="17" t="s">
        <v>1694</v>
      </c>
      <c r="F492" s="18"/>
      <c r="G492" s="18"/>
      <c r="H492" s="15" t="s">
        <v>1695</v>
      </c>
      <c r="I492" s="18"/>
      <c r="J492" s="19" t="s">
        <v>1674</v>
      </c>
      <c r="K492" s="19" t="s">
        <v>1230</v>
      </c>
      <c r="L492" s="19" t="s">
        <v>38</v>
      </c>
      <c r="M492" s="20">
        <f t="shared" si="1"/>
        <v>0</v>
      </c>
      <c r="N492" s="22"/>
      <c r="O492" s="19" t="s">
        <v>1145</v>
      </c>
      <c r="P492" s="18"/>
      <c r="Q492" s="18"/>
      <c r="R492" s="23">
        <v>0.0</v>
      </c>
      <c r="S492" s="23">
        <v>0.0</v>
      </c>
      <c r="T492" s="23">
        <f t="shared" si="2"/>
        <v>0</v>
      </c>
      <c r="U492" s="23">
        <f t="shared" si="3"/>
        <v>0</v>
      </c>
      <c r="V492" s="23">
        <f t="shared" si="4"/>
        <v>0</v>
      </c>
      <c r="W492" s="24" t="str">
        <f t="shared" si="5"/>
        <v>#DIV/0!</v>
      </c>
    </row>
    <row r="493" hidden="1">
      <c r="A493" s="15" t="s">
        <v>1696</v>
      </c>
      <c r="B493" s="18"/>
      <c r="C493" s="15" t="s">
        <v>6750</v>
      </c>
      <c r="D493" s="18"/>
      <c r="E493" s="17" t="s">
        <v>1697</v>
      </c>
      <c r="F493" s="18"/>
      <c r="G493" s="18"/>
      <c r="H493" s="15" t="s">
        <v>1698</v>
      </c>
      <c r="I493" s="18"/>
      <c r="J493" s="19" t="s">
        <v>1674</v>
      </c>
      <c r="K493" s="19" t="s">
        <v>1230</v>
      </c>
      <c r="L493" s="19" t="s">
        <v>38</v>
      </c>
      <c r="M493" s="20">
        <f t="shared" si="1"/>
        <v>0</v>
      </c>
      <c r="N493" s="22"/>
      <c r="O493" s="19" t="s">
        <v>1145</v>
      </c>
      <c r="P493" s="18"/>
      <c r="Q493" s="18"/>
      <c r="R493" s="23">
        <v>0.0</v>
      </c>
      <c r="S493" s="23">
        <v>0.0</v>
      </c>
      <c r="T493" s="23">
        <f t="shared" si="2"/>
        <v>0</v>
      </c>
      <c r="U493" s="23">
        <f t="shared" si="3"/>
        <v>0</v>
      </c>
      <c r="V493" s="23">
        <f t="shared" si="4"/>
        <v>0</v>
      </c>
      <c r="W493" s="24" t="str">
        <f t="shared" si="5"/>
        <v>#DIV/0!</v>
      </c>
    </row>
    <row r="494" hidden="1">
      <c r="A494" s="15" t="s">
        <v>1699</v>
      </c>
      <c r="B494" s="18"/>
      <c r="C494" s="15" t="s">
        <v>6751</v>
      </c>
      <c r="D494" s="18"/>
      <c r="E494" s="17" t="s">
        <v>1700</v>
      </c>
      <c r="F494" s="18"/>
      <c r="G494" s="18"/>
      <c r="H494" s="15" t="s">
        <v>1701</v>
      </c>
      <c r="I494" s="18"/>
      <c r="J494" s="19" t="s">
        <v>1674</v>
      </c>
      <c r="K494" s="19" t="s">
        <v>402</v>
      </c>
      <c r="L494" s="19" t="s">
        <v>38</v>
      </c>
      <c r="M494" s="20">
        <f t="shared" si="1"/>
        <v>0</v>
      </c>
      <c r="N494" s="22"/>
      <c r="O494" s="19" t="s">
        <v>1145</v>
      </c>
      <c r="P494" s="18"/>
      <c r="Q494" s="18"/>
      <c r="R494" s="23">
        <v>0.0</v>
      </c>
      <c r="S494" s="23">
        <v>0.0</v>
      </c>
      <c r="T494" s="23">
        <f t="shared" si="2"/>
        <v>0</v>
      </c>
      <c r="U494" s="23">
        <f t="shared" si="3"/>
        <v>0</v>
      </c>
      <c r="V494" s="23">
        <f t="shared" si="4"/>
        <v>0</v>
      </c>
      <c r="W494" s="24" t="str">
        <f t="shared" si="5"/>
        <v>#DIV/0!</v>
      </c>
    </row>
    <row r="495" hidden="1">
      <c r="A495" s="15" t="s">
        <v>1702</v>
      </c>
      <c r="B495" s="18"/>
      <c r="C495" s="15" t="s">
        <v>6752</v>
      </c>
      <c r="D495" s="18"/>
      <c r="E495" s="17" t="s">
        <v>1703</v>
      </c>
      <c r="F495" s="18"/>
      <c r="G495" s="18"/>
      <c r="H495" s="15" t="s">
        <v>1704</v>
      </c>
      <c r="I495" s="18"/>
      <c r="J495" s="19" t="s">
        <v>1674</v>
      </c>
      <c r="K495" s="19" t="s">
        <v>105</v>
      </c>
      <c r="L495" s="19" t="s">
        <v>38</v>
      </c>
      <c r="M495" s="20">
        <f t="shared" si="1"/>
        <v>0</v>
      </c>
      <c r="N495" s="22"/>
      <c r="O495" s="19" t="s">
        <v>1145</v>
      </c>
      <c r="P495" s="18"/>
      <c r="Q495" s="18"/>
      <c r="R495" s="23">
        <v>0.0</v>
      </c>
      <c r="S495" s="23">
        <v>0.0</v>
      </c>
      <c r="T495" s="23">
        <f t="shared" si="2"/>
        <v>0</v>
      </c>
      <c r="U495" s="23">
        <f t="shared" si="3"/>
        <v>0</v>
      </c>
      <c r="V495" s="23">
        <f t="shared" si="4"/>
        <v>0</v>
      </c>
      <c r="W495" s="24" t="str">
        <f t="shared" si="5"/>
        <v>#DIV/0!</v>
      </c>
    </row>
    <row r="496" hidden="1">
      <c r="A496" s="15" t="s">
        <v>1705</v>
      </c>
      <c r="B496" s="18"/>
      <c r="C496" s="15" t="s">
        <v>6753</v>
      </c>
      <c r="D496" s="18"/>
      <c r="E496" s="17" t="s">
        <v>1706</v>
      </c>
      <c r="F496" s="18"/>
      <c r="G496" s="18"/>
      <c r="H496" s="15" t="s">
        <v>1707</v>
      </c>
      <c r="I496" s="18"/>
      <c r="J496" s="19" t="s">
        <v>1674</v>
      </c>
      <c r="K496" s="19" t="s">
        <v>1230</v>
      </c>
      <c r="L496" s="19" t="s">
        <v>38</v>
      </c>
      <c r="M496" s="20">
        <f t="shared" si="1"/>
        <v>0</v>
      </c>
      <c r="N496" s="22"/>
      <c r="O496" s="19" t="s">
        <v>1145</v>
      </c>
      <c r="P496" s="18"/>
      <c r="Q496" s="18"/>
      <c r="R496" s="23">
        <v>0.0</v>
      </c>
      <c r="S496" s="23">
        <v>0.0</v>
      </c>
      <c r="T496" s="23">
        <f t="shared" si="2"/>
        <v>0</v>
      </c>
      <c r="U496" s="23">
        <f t="shared" si="3"/>
        <v>0</v>
      </c>
      <c r="V496" s="23">
        <f t="shared" si="4"/>
        <v>0</v>
      </c>
      <c r="W496" s="24" t="str">
        <f t="shared" si="5"/>
        <v>#DIV/0!</v>
      </c>
    </row>
    <row r="497" hidden="1">
      <c r="A497" s="15" t="s">
        <v>1708</v>
      </c>
      <c r="B497" s="18"/>
      <c r="C497" s="15" t="s">
        <v>6754</v>
      </c>
      <c r="D497" s="18"/>
      <c r="E497" s="17" t="s">
        <v>1709</v>
      </c>
      <c r="F497" s="18"/>
      <c r="G497" s="18"/>
      <c r="H497" s="15" t="s">
        <v>1710</v>
      </c>
      <c r="I497" s="18"/>
      <c r="J497" s="19" t="s">
        <v>1674</v>
      </c>
      <c r="K497" s="19" t="s">
        <v>105</v>
      </c>
      <c r="L497" s="19" t="s">
        <v>38</v>
      </c>
      <c r="M497" s="20">
        <f t="shared" si="1"/>
        <v>0</v>
      </c>
      <c r="N497" s="22"/>
      <c r="O497" s="19" t="s">
        <v>1145</v>
      </c>
      <c r="P497" s="18"/>
      <c r="Q497" s="18"/>
      <c r="R497" s="23">
        <v>0.0</v>
      </c>
      <c r="S497" s="23">
        <v>0.0</v>
      </c>
      <c r="T497" s="23">
        <f t="shared" si="2"/>
        <v>0</v>
      </c>
      <c r="U497" s="23">
        <f t="shared" si="3"/>
        <v>0</v>
      </c>
      <c r="V497" s="23">
        <f t="shared" si="4"/>
        <v>0</v>
      </c>
      <c r="W497" s="24" t="str">
        <f t="shared" si="5"/>
        <v>#DIV/0!</v>
      </c>
    </row>
    <row r="498" hidden="1">
      <c r="A498" s="15" t="s">
        <v>1711</v>
      </c>
      <c r="B498" s="18"/>
      <c r="C498" s="15" t="s">
        <v>6755</v>
      </c>
      <c r="D498" s="18"/>
      <c r="E498" s="17" t="s">
        <v>1712</v>
      </c>
      <c r="F498" s="18"/>
      <c r="G498" s="18"/>
      <c r="H498" s="15" t="s">
        <v>1713</v>
      </c>
      <c r="I498" s="18"/>
      <c r="J498" s="19" t="s">
        <v>1674</v>
      </c>
      <c r="K498" s="19" t="s">
        <v>402</v>
      </c>
      <c r="L498" s="19" t="s">
        <v>38</v>
      </c>
      <c r="M498" s="20">
        <f t="shared" si="1"/>
        <v>0</v>
      </c>
      <c r="N498" s="22"/>
      <c r="O498" s="19" t="s">
        <v>1145</v>
      </c>
      <c r="P498" s="18"/>
      <c r="Q498" s="18"/>
      <c r="R498" s="23">
        <v>0.0</v>
      </c>
      <c r="S498" s="23">
        <v>0.0</v>
      </c>
      <c r="T498" s="23">
        <f t="shared" si="2"/>
        <v>0</v>
      </c>
      <c r="U498" s="23">
        <f t="shared" si="3"/>
        <v>0</v>
      </c>
      <c r="V498" s="23">
        <f t="shared" si="4"/>
        <v>0</v>
      </c>
      <c r="W498" s="24" t="str">
        <f t="shared" si="5"/>
        <v>#DIV/0!</v>
      </c>
    </row>
    <row r="499" hidden="1">
      <c r="A499" s="15" t="s">
        <v>6756</v>
      </c>
      <c r="B499" s="18"/>
      <c r="C499" s="15" t="s">
        <v>6757</v>
      </c>
      <c r="D499" s="18"/>
      <c r="E499" s="17" t="s">
        <v>6758</v>
      </c>
      <c r="F499" s="18"/>
      <c r="G499" s="18"/>
      <c r="H499" s="15" t="s">
        <v>6759</v>
      </c>
      <c r="I499" s="15" t="s">
        <v>6760</v>
      </c>
      <c r="J499" s="19" t="s">
        <v>36</v>
      </c>
      <c r="K499" s="19" t="s">
        <v>1230</v>
      </c>
      <c r="L499" s="19" t="s">
        <v>38</v>
      </c>
      <c r="M499" s="20">
        <f t="shared" si="1"/>
        <v>0</v>
      </c>
      <c r="N499" s="22"/>
      <c r="O499" s="19" t="s">
        <v>39</v>
      </c>
      <c r="P499" s="18"/>
      <c r="Q499" s="18"/>
      <c r="R499" s="23">
        <v>0.0</v>
      </c>
      <c r="S499" s="23">
        <v>0.0</v>
      </c>
      <c r="T499" s="23">
        <f t="shared" si="2"/>
        <v>0</v>
      </c>
      <c r="U499" s="23">
        <f t="shared" si="3"/>
        <v>0</v>
      </c>
      <c r="V499" s="23">
        <f t="shared" si="4"/>
        <v>0</v>
      </c>
      <c r="W499" s="24" t="str">
        <f t="shared" si="5"/>
        <v>#DIV/0!</v>
      </c>
    </row>
    <row r="500" hidden="1">
      <c r="A500" s="15" t="s">
        <v>6761</v>
      </c>
      <c r="B500" s="18"/>
      <c r="C500" s="15" t="s">
        <v>6762</v>
      </c>
      <c r="D500" s="18"/>
      <c r="E500" s="17" t="s">
        <v>6763</v>
      </c>
      <c r="F500" s="18"/>
      <c r="G500" s="18"/>
      <c r="H500" s="15" t="s">
        <v>6764</v>
      </c>
      <c r="I500" s="15" t="s">
        <v>187</v>
      </c>
      <c r="J500" s="19" t="s">
        <v>36</v>
      </c>
      <c r="K500" s="19" t="s">
        <v>37</v>
      </c>
      <c r="L500" s="19" t="s">
        <v>38</v>
      </c>
      <c r="M500" s="20">
        <f t="shared" si="1"/>
        <v>0</v>
      </c>
      <c r="N500" s="22"/>
      <c r="O500" s="19" t="s">
        <v>39</v>
      </c>
      <c r="P500" s="18"/>
      <c r="Q500" s="18"/>
      <c r="R500" s="23">
        <v>0.0</v>
      </c>
      <c r="S500" s="23">
        <v>0.0</v>
      </c>
      <c r="T500" s="23">
        <f t="shared" si="2"/>
        <v>0</v>
      </c>
      <c r="U500" s="23">
        <f t="shared" si="3"/>
        <v>0</v>
      </c>
      <c r="V500" s="23">
        <f t="shared" si="4"/>
        <v>0</v>
      </c>
      <c r="W500" s="24" t="str">
        <f t="shared" si="5"/>
        <v>#DIV/0!</v>
      </c>
    </row>
    <row r="501" hidden="1">
      <c r="A501" s="15" t="s">
        <v>6765</v>
      </c>
      <c r="B501" s="18"/>
      <c r="C501" s="15" t="s">
        <v>6766</v>
      </c>
      <c r="D501" s="18"/>
      <c r="E501" s="17" t="s">
        <v>6767</v>
      </c>
      <c r="F501" s="18"/>
      <c r="G501" s="18"/>
      <c r="H501" s="15" t="s">
        <v>6768</v>
      </c>
      <c r="I501" s="15" t="s">
        <v>6769</v>
      </c>
      <c r="J501" s="19" t="s">
        <v>36</v>
      </c>
      <c r="K501" s="19" t="s">
        <v>105</v>
      </c>
      <c r="L501" s="19" t="s">
        <v>38</v>
      </c>
      <c r="M501" s="20">
        <f t="shared" si="1"/>
        <v>0</v>
      </c>
      <c r="N501" s="22"/>
      <c r="O501" s="19" t="s">
        <v>39</v>
      </c>
      <c r="P501" s="18"/>
      <c r="Q501" s="18"/>
      <c r="R501" s="23">
        <v>0.0</v>
      </c>
      <c r="S501" s="23">
        <v>0.0</v>
      </c>
      <c r="T501" s="23">
        <f t="shared" si="2"/>
        <v>0</v>
      </c>
      <c r="U501" s="23">
        <f t="shared" si="3"/>
        <v>0</v>
      </c>
      <c r="V501" s="23">
        <f t="shared" si="4"/>
        <v>0</v>
      </c>
      <c r="W501" s="24" t="str">
        <f t="shared" si="5"/>
        <v>#DIV/0!</v>
      </c>
    </row>
    <row r="502" hidden="1">
      <c r="A502" s="15" t="s">
        <v>4708</v>
      </c>
      <c r="B502" s="15" t="s">
        <v>4709</v>
      </c>
      <c r="C502" s="15" t="s">
        <v>6770</v>
      </c>
      <c r="D502" s="15" t="s">
        <v>6771</v>
      </c>
      <c r="E502" s="17" t="s">
        <v>6772</v>
      </c>
      <c r="F502" s="18"/>
      <c r="G502" s="18"/>
      <c r="H502" s="15" t="s">
        <v>4712</v>
      </c>
      <c r="I502" s="15"/>
      <c r="J502" s="19" t="s">
        <v>36</v>
      </c>
      <c r="K502" s="19" t="s">
        <v>37</v>
      </c>
      <c r="L502" s="19" t="s">
        <v>38</v>
      </c>
      <c r="M502" s="20">
        <f t="shared" si="1"/>
        <v>0</v>
      </c>
      <c r="N502" s="22"/>
      <c r="O502" s="19" t="s">
        <v>3578</v>
      </c>
      <c r="P502" s="18"/>
      <c r="Q502" s="18"/>
      <c r="R502" s="23">
        <v>0.0</v>
      </c>
      <c r="S502" s="23">
        <v>0.0</v>
      </c>
      <c r="T502" s="23">
        <f t="shared" si="2"/>
        <v>0</v>
      </c>
      <c r="U502" s="23">
        <f t="shared" si="3"/>
        <v>0</v>
      </c>
      <c r="V502" s="23">
        <f t="shared" si="4"/>
        <v>0</v>
      </c>
      <c r="W502" s="24" t="str">
        <f t="shared" si="5"/>
        <v>#DIV/0!</v>
      </c>
    </row>
    <row r="503" hidden="1">
      <c r="A503" s="15" t="s">
        <v>6773</v>
      </c>
      <c r="B503" s="18"/>
      <c r="C503" s="15" t="s">
        <v>6774</v>
      </c>
      <c r="D503" s="18"/>
      <c r="E503" s="17" t="s">
        <v>6775</v>
      </c>
      <c r="F503" s="18"/>
      <c r="G503" s="18"/>
      <c r="H503" s="15" t="s">
        <v>6776</v>
      </c>
      <c r="I503" s="15" t="s">
        <v>209</v>
      </c>
      <c r="J503" s="19" t="s">
        <v>36</v>
      </c>
      <c r="K503" s="19" t="s">
        <v>105</v>
      </c>
      <c r="L503" s="19" t="s">
        <v>38</v>
      </c>
      <c r="M503" s="20">
        <f t="shared" si="1"/>
        <v>0</v>
      </c>
      <c r="N503" s="22"/>
      <c r="O503" s="19" t="s">
        <v>39</v>
      </c>
      <c r="P503" s="18"/>
      <c r="Q503" s="18"/>
      <c r="R503" s="23">
        <v>0.0</v>
      </c>
      <c r="S503" s="23">
        <v>0.0</v>
      </c>
      <c r="T503" s="23">
        <f t="shared" si="2"/>
        <v>0</v>
      </c>
      <c r="U503" s="23">
        <f t="shared" si="3"/>
        <v>0</v>
      </c>
      <c r="V503" s="23">
        <f t="shared" si="4"/>
        <v>0</v>
      </c>
      <c r="W503" s="24" t="str">
        <f t="shared" si="5"/>
        <v>#DIV/0!</v>
      </c>
    </row>
    <row r="504" hidden="1">
      <c r="A504" s="15" t="s">
        <v>6777</v>
      </c>
      <c r="B504" s="18"/>
      <c r="C504" s="15" t="s">
        <v>6778</v>
      </c>
      <c r="D504" s="18"/>
      <c r="E504" s="17" t="s">
        <v>6779</v>
      </c>
      <c r="F504" s="18"/>
      <c r="G504" s="18"/>
      <c r="H504" s="15" t="s">
        <v>6768</v>
      </c>
      <c r="I504" s="15" t="s">
        <v>6769</v>
      </c>
      <c r="J504" s="19" t="s">
        <v>36</v>
      </c>
      <c r="K504" s="19" t="s">
        <v>105</v>
      </c>
      <c r="L504" s="19" t="s">
        <v>38</v>
      </c>
      <c r="M504" s="20">
        <f t="shared" si="1"/>
        <v>0</v>
      </c>
      <c r="N504" s="22"/>
      <c r="O504" s="19" t="s">
        <v>39</v>
      </c>
      <c r="P504" s="18"/>
      <c r="Q504" s="18"/>
      <c r="R504" s="23">
        <v>0.0</v>
      </c>
      <c r="S504" s="23">
        <v>0.0</v>
      </c>
      <c r="T504" s="23">
        <f t="shared" si="2"/>
        <v>0</v>
      </c>
      <c r="U504" s="23">
        <f t="shared" si="3"/>
        <v>0</v>
      </c>
      <c r="V504" s="23">
        <f t="shared" si="4"/>
        <v>0</v>
      </c>
      <c r="W504" s="24" t="str">
        <f t="shared" si="5"/>
        <v>#DIV/0!</v>
      </c>
    </row>
    <row r="505" hidden="1">
      <c r="A505" s="15" t="s">
        <v>1714</v>
      </c>
      <c r="B505" s="18"/>
      <c r="C505" s="15" t="s">
        <v>6780</v>
      </c>
      <c r="D505" s="18"/>
      <c r="E505" s="17" t="s">
        <v>1715</v>
      </c>
      <c r="F505" s="18"/>
      <c r="G505" s="18"/>
      <c r="H505" s="15" t="s">
        <v>1716</v>
      </c>
      <c r="I505" s="15" t="s">
        <v>1717</v>
      </c>
      <c r="J505" s="19" t="s">
        <v>36</v>
      </c>
      <c r="K505" s="19" t="s">
        <v>37</v>
      </c>
      <c r="L505" s="19" t="s">
        <v>38</v>
      </c>
      <c r="M505" s="20">
        <f t="shared" si="1"/>
        <v>0</v>
      </c>
      <c r="N505" s="22"/>
      <c r="O505" s="19" t="s">
        <v>1145</v>
      </c>
      <c r="P505" s="18"/>
      <c r="Q505" s="18"/>
      <c r="R505" s="23">
        <v>0.0</v>
      </c>
      <c r="S505" s="23">
        <v>0.0</v>
      </c>
      <c r="T505" s="23">
        <f t="shared" si="2"/>
        <v>0</v>
      </c>
      <c r="U505" s="23">
        <f t="shared" si="3"/>
        <v>0</v>
      </c>
      <c r="V505" s="23">
        <f t="shared" si="4"/>
        <v>0</v>
      </c>
      <c r="W505" s="24" t="str">
        <f t="shared" si="5"/>
        <v>#DIV/0!</v>
      </c>
    </row>
    <row r="506" hidden="1">
      <c r="A506" s="15" t="s">
        <v>1718</v>
      </c>
      <c r="B506" s="18"/>
      <c r="C506" s="15" t="s">
        <v>6781</v>
      </c>
      <c r="D506" s="18"/>
      <c r="E506" s="17" t="s">
        <v>1719</v>
      </c>
      <c r="F506" s="18"/>
      <c r="G506" s="18"/>
      <c r="H506" s="15" t="s">
        <v>1720</v>
      </c>
      <c r="I506" s="15" t="s">
        <v>1721</v>
      </c>
      <c r="J506" s="19" t="s">
        <v>36</v>
      </c>
      <c r="K506" s="19" t="s">
        <v>105</v>
      </c>
      <c r="L506" s="19" t="s">
        <v>38</v>
      </c>
      <c r="M506" s="20">
        <f t="shared" si="1"/>
        <v>0</v>
      </c>
      <c r="N506" s="22"/>
      <c r="O506" s="19" t="s">
        <v>1145</v>
      </c>
      <c r="P506" s="18"/>
      <c r="Q506" s="18"/>
      <c r="R506" s="23">
        <v>0.0</v>
      </c>
      <c r="S506" s="23">
        <v>0.0</v>
      </c>
      <c r="T506" s="23">
        <f t="shared" si="2"/>
        <v>0</v>
      </c>
      <c r="U506" s="23">
        <f t="shared" si="3"/>
        <v>0</v>
      </c>
      <c r="V506" s="23">
        <f t="shared" si="4"/>
        <v>0</v>
      </c>
      <c r="W506" s="24" t="str">
        <f t="shared" si="5"/>
        <v>#DIV/0!</v>
      </c>
    </row>
    <row r="507" hidden="1">
      <c r="A507" s="15" t="s">
        <v>6782</v>
      </c>
      <c r="B507" s="18"/>
      <c r="C507" s="15" t="s">
        <v>6783</v>
      </c>
      <c r="D507" s="18"/>
      <c r="E507" s="17" t="s">
        <v>6784</v>
      </c>
      <c r="F507" s="18"/>
      <c r="G507" s="18"/>
      <c r="H507" s="15" t="s">
        <v>6785</v>
      </c>
      <c r="I507" s="15" t="s">
        <v>6786</v>
      </c>
      <c r="J507" s="19" t="s">
        <v>36</v>
      </c>
      <c r="K507" s="19" t="s">
        <v>105</v>
      </c>
      <c r="L507" s="19" t="s">
        <v>38</v>
      </c>
      <c r="M507" s="20">
        <f t="shared" si="1"/>
        <v>0</v>
      </c>
      <c r="N507" s="22"/>
      <c r="O507" s="19" t="s">
        <v>39</v>
      </c>
      <c r="P507" s="18"/>
      <c r="Q507" s="18"/>
      <c r="R507" s="23">
        <v>0.0</v>
      </c>
      <c r="S507" s="23">
        <v>0.0</v>
      </c>
      <c r="T507" s="23">
        <f t="shared" si="2"/>
        <v>0</v>
      </c>
      <c r="U507" s="23">
        <f t="shared" si="3"/>
        <v>0</v>
      </c>
      <c r="V507" s="23">
        <f t="shared" si="4"/>
        <v>0</v>
      </c>
      <c r="W507" s="24" t="str">
        <f t="shared" si="5"/>
        <v>#DIV/0!</v>
      </c>
    </row>
    <row r="508" hidden="1">
      <c r="A508" s="15" t="s">
        <v>1722</v>
      </c>
      <c r="B508" s="18"/>
      <c r="C508" s="15" t="s">
        <v>6787</v>
      </c>
      <c r="D508" s="18"/>
      <c r="E508" s="17" t="s">
        <v>1723</v>
      </c>
      <c r="F508" s="18"/>
      <c r="G508" s="18"/>
      <c r="H508" s="15" t="s">
        <v>1724</v>
      </c>
      <c r="I508" s="15" t="s">
        <v>1725</v>
      </c>
      <c r="J508" s="19" t="s">
        <v>36</v>
      </c>
      <c r="K508" s="19" t="s">
        <v>105</v>
      </c>
      <c r="L508" s="19" t="s">
        <v>38</v>
      </c>
      <c r="M508" s="20">
        <f t="shared" si="1"/>
        <v>0</v>
      </c>
      <c r="N508" s="22"/>
      <c r="O508" s="19" t="s">
        <v>1145</v>
      </c>
      <c r="P508" s="18"/>
      <c r="Q508" s="18"/>
      <c r="R508" s="23">
        <v>0.0</v>
      </c>
      <c r="S508" s="23">
        <v>0.0</v>
      </c>
      <c r="T508" s="23">
        <f t="shared" si="2"/>
        <v>0</v>
      </c>
      <c r="U508" s="23">
        <f t="shared" si="3"/>
        <v>0</v>
      </c>
      <c r="V508" s="23">
        <f t="shared" si="4"/>
        <v>0</v>
      </c>
      <c r="W508" s="24" t="str">
        <f t="shared" si="5"/>
        <v>#DIV/0!</v>
      </c>
    </row>
    <row r="509" hidden="1">
      <c r="A509" s="15" t="s">
        <v>1726</v>
      </c>
      <c r="B509" s="18"/>
      <c r="C509" s="15" t="s">
        <v>6788</v>
      </c>
      <c r="D509" s="18"/>
      <c r="E509" s="17" t="s">
        <v>1727</v>
      </c>
      <c r="F509" s="18"/>
      <c r="G509" s="18"/>
      <c r="H509" s="15" t="s">
        <v>1728</v>
      </c>
      <c r="I509" s="15" t="s">
        <v>1729</v>
      </c>
      <c r="J509" s="19" t="s">
        <v>36</v>
      </c>
      <c r="K509" s="19" t="s">
        <v>1230</v>
      </c>
      <c r="L509" s="19" t="s">
        <v>38</v>
      </c>
      <c r="M509" s="20">
        <f t="shared" si="1"/>
        <v>0</v>
      </c>
      <c r="N509" s="22"/>
      <c r="O509" s="19" t="s">
        <v>1145</v>
      </c>
      <c r="P509" s="18"/>
      <c r="Q509" s="18"/>
      <c r="R509" s="23">
        <v>0.0</v>
      </c>
      <c r="S509" s="23">
        <v>0.0</v>
      </c>
      <c r="T509" s="23">
        <f t="shared" si="2"/>
        <v>0</v>
      </c>
      <c r="U509" s="23">
        <f t="shared" si="3"/>
        <v>0</v>
      </c>
      <c r="V509" s="23">
        <f t="shared" si="4"/>
        <v>0</v>
      </c>
      <c r="W509" s="24" t="str">
        <f t="shared" si="5"/>
        <v>#DIV/0!</v>
      </c>
    </row>
    <row r="510" hidden="1">
      <c r="A510" s="15" t="s">
        <v>1730</v>
      </c>
      <c r="B510" s="18"/>
      <c r="C510" s="15" t="s">
        <v>6789</v>
      </c>
      <c r="D510" s="18"/>
      <c r="E510" s="17" t="s">
        <v>1731</v>
      </c>
      <c r="F510" s="18"/>
      <c r="G510" s="18"/>
      <c r="H510" s="15" t="s">
        <v>1732</v>
      </c>
      <c r="I510" s="15" t="s">
        <v>1733</v>
      </c>
      <c r="J510" s="19" t="s">
        <v>36</v>
      </c>
      <c r="K510" s="19" t="s">
        <v>105</v>
      </c>
      <c r="L510" s="19" t="s">
        <v>38</v>
      </c>
      <c r="M510" s="20">
        <f t="shared" si="1"/>
        <v>0</v>
      </c>
      <c r="N510" s="22"/>
      <c r="O510" s="19" t="s">
        <v>1145</v>
      </c>
      <c r="P510" s="18"/>
      <c r="Q510" s="18"/>
      <c r="R510" s="23">
        <v>0.0</v>
      </c>
      <c r="S510" s="23">
        <v>0.0</v>
      </c>
      <c r="T510" s="23">
        <f t="shared" si="2"/>
        <v>0</v>
      </c>
      <c r="U510" s="23">
        <f t="shared" si="3"/>
        <v>0</v>
      </c>
      <c r="V510" s="23">
        <f t="shared" si="4"/>
        <v>0</v>
      </c>
      <c r="W510" s="24" t="str">
        <f t="shared" si="5"/>
        <v>#DIV/0!</v>
      </c>
    </row>
    <row r="511" hidden="1">
      <c r="A511" s="15" t="s">
        <v>6790</v>
      </c>
      <c r="B511" s="18"/>
      <c r="C511" s="15" t="s">
        <v>6791</v>
      </c>
      <c r="D511" s="18"/>
      <c r="E511" s="17" t="s">
        <v>6792</v>
      </c>
      <c r="F511" s="18"/>
      <c r="G511" s="18"/>
      <c r="H511" s="15" t="s">
        <v>6793</v>
      </c>
      <c r="I511" s="15" t="s">
        <v>6794</v>
      </c>
      <c r="J511" s="19" t="s">
        <v>36</v>
      </c>
      <c r="K511" s="19" t="s">
        <v>105</v>
      </c>
      <c r="L511" s="19" t="s">
        <v>38</v>
      </c>
      <c r="M511" s="20">
        <f t="shared" si="1"/>
        <v>0</v>
      </c>
      <c r="N511" s="22"/>
      <c r="O511" s="19" t="s">
        <v>39</v>
      </c>
      <c r="P511" s="18"/>
      <c r="Q511" s="18"/>
      <c r="R511" s="23">
        <v>0.0</v>
      </c>
      <c r="S511" s="23">
        <v>0.0</v>
      </c>
      <c r="T511" s="23">
        <f t="shared" si="2"/>
        <v>0</v>
      </c>
      <c r="U511" s="23">
        <f t="shared" si="3"/>
        <v>0</v>
      </c>
      <c r="V511" s="23">
        <f t="shared" si="4"/>
        <v>0</v>
      </c>
      <c r="W511" s="24" t="str">
        <f t="shared" si="5"/>
        <v>#DIV/0!</v>
      </c>
    </row>
    <row r="512" hidden="1">
      <c r="A512" s="15" t="s">
        <v>1734</v>
      </c>
      <c r="B512" s="18"/>
      <c r="C512" s="15" t="s">
        <v>6795</v>
      </c>
      <c r="D512" s="18"/>
      <c r="E512" s="17" t="s">
        <v>1735</v>
      </c>
      <c r="F512" s="18"/>
      <c r="G512" s="18"/>
      <c r="H512" s="15" t="s">
        <v>1736</v>
      </c>
      <c r="I512" s="15" t="s">
        <v>1737</v>
      </c>
      <c r="J512" s="19" t="s">
        <v>36</v>
      </c>
      <c r="K512" s="19" t="s">
        <v>105</v>
      </c>
      <c r="L512" s="19" t="s">
        <v>38</v>
      </c>
      <c r="M512" s="20">
        <f t="shared" si="1"/>
        <v>0</v>
      </c>
      <c r="N512" s="22"/>
      <c r="O512" s="19" t="s">
        <v>1145</v>
      </c>
      <c r="P512" s="18"/>
      <c r="Q512" s="18"/>
      <c r="R512" s="23">
        <v>0.0</v>
      </c>
      <c r="S512" s="23">
        <v>0.0</v>
      </c>
      <c r="T512" s="23">
        <f t="shared" si="2"/>
        <v>0</v>
      </c>
      <c r="U512" s="23">
        <f t="shared" si="3"/>
        <v>0</v>
      </c>
      <c r="V512" s="23">
        <f t="shared" si="4"/>
        <v>0</v>
      </c>
      <c r="W512" s="24" t="str">
        <f t="shared" si="5"/>
        <v>#DIV/0!</v>
      </c>
    </row>
    <row r="513" hidden="1">
      <c r="A513" s="15" t="s">
        <v>1738</v>
      </c>
      <c r="B513" s="18"/>
      <c r="C513" s="15" t="s">
        <v>6796</v>
      </c>
      <c r="D513" s="18"/>
      <c r="E513" s="17" t="s">
        <v>1739</v>
      </c>
      <c r="F513" s="18"/>
      <c r="G513" s="18"/>
      <c r="H513" s="15" t="s">
        <v>1740</v>
      </c>
      <c r="I513" s="15" t="s">
        <v>1741</v>
      </c>
      <c r="J513" s="19" t="s">
        <v>36</v>
      </c>
      <c r="K513" s="19" t="s">
        <v>37</v>
      </c>
      <c r="L513" s="19" t="s">
        <v>38</v>
      </c>
      <c r="M513" s="20">
        <f t="shared" si="1"/>
        <v>0</v>
      </c>
      <c r="N513" s="22"/>
      <c r="O513" s="19" t="s">
        <v>1145</v>
      </c>
      <c r="P513" s="18"/>
      <c r="Q513" s="18"/>
      <c r="R513" s="23">
        <v>0.0</v>
      </c>
      <c r="S513" s="23">
        <v>0.0</v>
      </c>
      <c r="T513" s="23">
        <f t="shared" si="2"/>
        <v>0</v>
      </c>
      <c r="U513" s="23">
        <f t="shared" si="3"/>
        <v>0</v>
      </c>
      <c r="V513" s="23">
        <f t="shared" si="4"/>
        <v>0</v>
      </c>
      <c r="W513" s="24" t="str">
        <f t="shared" si="5"/>
        <v>#DIV/0!</v>
      </c>
    </row>
    <row r="514" hidden="1">
      <c r="A514" s="15" t="s">
        <v>1742</v>
      </c>
      <c r="B514" s="18"/>
      <c r="C514" s="15" t="s">
        <v>6797</v>
      </c>
      <c r="D514" s="18"/>
      <c r="E514" s="17" t="s">
        <v>1743</v>
      </c>
      <c r="F514" s="18"/>
      <c r="G514" s="18"/>
      <c r="H514" s="15" t="s">
        <v>1744</v>
      </c>
      <c r="I514" s="15" t="s">
        <v>1745</v>
      </c>
      <c r="J514" s="19" t="s">
        <v>36</v>
      </c>
      <c r="K514" s="19" t="s">
        <v>105</v>
      </c>
      <c r="L514" s="19" t="s">
        <v>38</v>
      </c>
      <c r="M514" s="20">
        <f t="shared" si="1"/>
        <v>0</v>
      </c>
      <c r="N514" s="22"/>
      <c r="O514" s="19" t="s">
        <v>1145</v>
      </c>
      <c r="P514" s="18"/>
      <c r="Q514" s="18"/>
      <c r="R514" s="23">
        <v>0.0</v>
      </c>
      <c r="S514" s="23">
        <v>0.0</v>
      </c>
      <c r="T514" s="23">
        <f t="shared" si="2"/>
        <v>0</v>
      </c>
      <c r="U514" s="23">
        <f t="shared" si="3"/>
        <v>0</v>
      </c>
      <c r="V514" s="23">
        <f t="shared" si="4"/>
        <v>0</v>
      </c>
      <c r="W514" s="24" t="str">
        <f t="shared" si="5"/>
        <v>#DIV/0!</v>
      </c>
    </row>
    <row r="515" hidden="1">
      <c r="A515" s="15" t="s">
        <v>1746</v>
      </c>
      <c r="B515" s="18"/>
      <c r="C515" s="15" t="s">
        <v>6798</v>
      </c>
      <c r="D515" s="18"/>
      <c r="E515" s="17" t="s">
        <v>1747</v>
      </c>
      <c r="F515" s="18"/>
      <c r="G515" s="18"/>
      <c r="H515" s="15" t="s">
        <v>1748</v>
      </c>
      <c r="I515" s="15" t="s">
        <v>1749</v>
      </c>
      <c r="J515" s="19" t="s">
        <v>36</v>
      </c>
      <c r="K515" s="19" t="s">
        <v>37</v>
      </c>
      <c r="L515" s="19" t="s">
        <v>38</v>
      </c>
      <c r="M515" s="20">
        <f t="shared" si="1"/>
        <v>0</v>
      </c>
      <c r="N515" s="22"/>
      <c r="O515" s="19" t="s">
        <v>1145</v>
      </c>
      <c r="P515" s="18"/>
      <c r="Q515" s="18"/>
      <c r="R515" s="23">
        <v>0.0</v>
      </c>
      <c r="S515" s="23">
        <v>0.0</v>
      </c>
      <c r="T515" s="23">
        <f t="shared" si="2"/>
        <v>0</v>
      </c>
      <c r="U515" s="23">
        <f t="shared" si="3"/>
        <v>0</v>
      </c>
      <c r="V515" s="23">
        <f t="shared" si="4"/>
        <v>0</v>
      </c>
      <c r="W515" s="24" t="str">
        <f t="shared" si="5"/>
        <v>#DIV/0!</v>
      </c>
    </row>
    <row r="516" hidden="1">
      <c r="A516" s="15" t="s">
        <v>6799</v>
      </c>
      <c r="B516" s="18"/>
      <c r="C516" s="15" t="s">
        <v>6800</v>
      </c>
      <c r="D516" s="18"/>
      <c r="E516" s="17" t="s">
        <v>6801</v>
      </c>
      <c r="F516" s="18"/>
      <c r="G516" s="18"/>
      <c r="H516" s="15" t="s">
        <v>6802</v>
      </c>
      <c r="I516" s="15" t="s">
        <v>4198</v>
      </c>
      <c r="J516" s="19" t="s">
        <v>36</v>
      </c>
      <c r="K516" s="19" t="s">
        <v>105</v>
      </c>
      <c r="L516" s="19" t="s">
        <v>38</v>
      </c>
      <c r="M516" s="20">
        <f t="shared" si="1"/>
        <v>0</v>
      </c>
      <c r="N516" s="22"/>
      <c r="O516" s="19" t="s">
        <v>39</v>
      </c>
      <c r="P516" s="18"/>
      <c r="Q516" s="18"/>
      <c r="R516" s="23">
        <v>0.0</v>
      </c>
      <c r="S516" s="23">
        <v>0.0</v>
      </c>
      <c r="T516" s="23">
        <f t="shared" si="2"/>
        <v>0</v>
      </c>
      <c r="U516" s="23">
        <f t="shared" si="3"/>
        <v>0</v>
      </c>
      <c r="V516" s="23">
        <f t="shared" si="4"/>
        <v>0</v>
      </c>
      <c r="W516" s="24" t="str">
        <f t="shared" si="5"/>
        <v>#DIV/0!</v>
      </c>
    </row>
    <row r="517" hidden="1">
      <c r="A517" s="15" t="s">
        <v>6803</v>
      </c>
      <c r="B517" s="18"/>
      <c r="C517" s="15" t="s">
        <v>6804</v>
      </c>
      <c r="D517" s="18"/>
      <c r="E517" s="17" t="s">
        <v>132</v>
      </c>
      <c r="F517" s="18"/>
      <c r="G517" s="18"/>
      <c r="H517" s="15" t="s">
        <v>6805</v>
      </c>
      <c r="I517" s="15" t="s">
        <v>6806</v>
      </c>
      <c r="J517" s="19" t="s">
        <v>36</v>
      </c>
      <c r="K517" s="19" t="s">
        <v>37</v>
      </c>
      <c r="L517" s="19" t="s">
        <v>38</v>
      </c>
      <c r="M517" s="20">
        <f t="shared" si="1"/>
        <v>0</v>
      </c>
      <c r="N517" s="22"/>
      <c r="O517" s="19" t="s">
        <v>39</v>
      </c>
      <c r="P517" s="18"/>
      <c r="Q517" s="18"/>
      <c r="R517" s="23">
        <v>0.0</v>
      </c>
      <c r="S517" s="23">
        <v>0.0</v>
      </c>
      <c r="T517" s="23">
        <f t="shared" si="2"/>
        <v>0</v>
      </c>
      <c r="U517" s="23">
        <f t="shared" si="3"/>
        <v>0</v>
      </c>
      <c r="V517" s="23">
        <f t="shared" si="4"/>
        <v>0</v>
      </c>
      <c r="W517" s="24" t="str">
        <f t="shared" si="5"/>
        <v>#DIV/0!</v>
      </c>
    </row>
    <row r="518" hidden="1">
      <c r="A518" s="15" t="s">
        <v>1750</v>
      </c>
      <c r="B518" s="18"/>
      <c r="C518" s="15" t="s">
        <v>6807</v>
      </c>
      <c r="D518" s="18"/>
      <c r="E518" s="17" t="s">
        <v>1751</v>
      </c>
      <c r="F518" s="18"/>
      <c r="G518" s="18"/>
      <c r="H518" s="15" t="s">
        <v>1752</v>
      </c>
      <c r="I518" s="15" t="s">
        <v>1753</v>
      </c>
      <c r="J518" s="19" t="s">
        <v>36</v>
      </c>
      <c r="K518" s="19" t="s">
        <v>105</v>
      </c>
      <c r="L518" s="19" t="s">
        <v>38</v>
      </c>
      <c r="M518" s="20">
        <f t="shared" si="1"/>
        <v>0</v>
      </c>
      <c r="N518" s="22"/>
      <c r="O518" s="19" t="s">
        <v>1145</v>
      </c>
      <c r="P518" s="18"/>
      <c r="Q518" s="18"/>
      <c r="R518" s="23">
        <v>0.0</v>
      </c>
      <c r="S518" s="23">
        <v>0.0</v>
      </c>
      <c r="T518" s="23">
        <f t="shared" si="2"/>
        <v>0</v>
      </c>
      <c r="U518" s="23">
        <f t="shared" si="3"/>
        <v>0</v>
      </c>
      <c r="V518" s="23">
        <f t="shared" si="4"/>
        <v>0</v>
      </c>
      <c r="W518" s="24" t="str">
        <f t="shared" si="5"/>
        <v>#DIV/0!</v>
      </c>
    </row>
    <row r="519" hidden="1">
      <c r="A519" s="15" t="s">
        <v>6808</v>
      </c>
      <c r="B519" s="18"/>
      <c r="C519" s="15" t="s">
        <v>6809</v>
      </c>
      <c r="D519" s="18"/>
      <c r="E519" s="17" t="s">
        <v>6810</v>
      </c>
      <c r="F519" s="18"/>
      <c r="G519" s="18"/>
      <c r="H519" s="15" t="s">
        <v>6811</v>
      </c>
      <c r="I519" s="15" t="s">
        <v>924</v>
      </c>
      <c r="J519" s="19" t="s">
        <v>36</v>
      </c>
      <c r="K519" s="19" t="s">
        <v>105</v>
      </c>
      <c r="L519" s="19" t="s">
        <v>38</v>
      </c>
      <c r="M519" s="20">
        <f t="shared" si="1"/>
        <v>0</v>
      </c>
      <c r="N519" s="22"/>
      <c r="O519" s="19" t="s">
        <v>39</v>
      </c>
      <c r="P519" s="18"/>
      <c r="Q519" s="18"/>
      <c r="R519" s="23">
        <v>0.0</v>
      </c>
      <c r="S519" s="23">
        <v>0.0</v>
      </c>
      <c r="T519" s="23">
        <f t="shared" si="2"/>
        <v>0</v>
      </c>
      <c r="U519" s="23">
        <f t="shared" si="3"/>
        <v>0</v>
      </c>
      <c r="V519" s="23">
        <f t="shared" si="4"/>
        <v>0</v>
      </c>
      <c r="W519" s="24" t="str">
        <f t="shared" si="5"/>
        <v>#DIV/0!</v>
      </c>
    </row>
    <row r="520" hidden="1">
      <c r="A520" s="15" t="s">
        <v>1754</v>
      </c>
      <c r="B520" s="18"/>
      <c r="C520" s="15" t="s">
        <v>6812</v>
      </c>
      <c r="D520" s="18"/>
      <c r="E520" s="17" t="s">
        <v>1755</v>
      </c>
      <c r="F520" s="18"/>
      <c r="G520" s="18"/>
      <c r="H520" s="15" t="s">
        <v>1756</v>
      </c>
      <c r="I520" s="15" t="s">
        <v>1757</v>
      </c>
      <c r="J520" s="19" t="s">
        <v>36</v>
      </c>
      <c r="K520" s="19" t="s">
        <v>37</v>
      </c>
      <c r="L520" s="19" t="s">
        <v>38</v>
      </c>
      <c r="M520" s="20">
        <f t="shared" si="1"/>
        <v>0</v>
      </c>
      <c r="N520" s="22"/>
      <c r="O520" s="19" t="s">
        <v>1145</v>
      </c>
      <c r="P520" s="18"/>
      <c r="Q520" s="18"/>
      <c r="R520" s="23">
        <v>0.0</v>
      </c>
      <c r="S520" s="23">
        <v>0.0</v>
      </c>
      <c r="T520" s="23">
        <f t="shared" si="2"/>
        <v>0</v>
      </c>
      <c r="U520" s="23">
        <f t="shared" si="3"/>
        <v>0</v>
      </c>
      <c r="V520" s="23">
        <f t="shared" si="4"/>
        <v>0</v>
      </c>
      <c r="W520" s="24" t="str">
        <f t="shared" si="5"/>
        <v>#DIV/0!</v>
      </c>
    </row>
    <row r="521" hidden="1">
      <c r="A521" s="15" t="s">
        <v>6813</v>
      </c>
      <c r="B521" s="18"/>
      <c r="C521" s="15" t="s">
        <v>6814</v>
      </c>
      <c r="D521" s="18"/>
      <c r="E521" s="17" t="s">
        <v>6815</v>
      </c>
      <c r="F521" s="18"/>
      <c r="G521" s="18"/>
      <c r="H521" s="15" t="s">
        <v>6816</v>
      </c>
      <c r="I521" s="15" t="s">
        <v>6817</v>
      </c>
      <c r="J521" s="19" t="s">
        <v>36</v>
      </c>
      <c r="K521" s="19" t="s">
        <v>37</v>
      </c>
      <c r="L521" s="19" t="s">
        <v>38</v>
      </c>
      <c r="M521" s="20">
        <f t="shared" si="1"/>
        <v>0</v>
      </c>
      <c r="N521" s="22"/>
      <c r="O521" s="19" t="s">
        <v>39</v>
      </c>
      <c r="P521" s="18"/>
      <c r="Q521" s="18"/>
      <c r="R521" s="23">
        <v>0.0</v>
      </c>
      <c r="S521" s="23">
        <v>0.0</v>
      </c>
      <c r="T521" s="23">
        <f t="shared" si="2"/>
        <v>0</v>
      </c>
      <c r="U521" s="23">
        <f t="shared" si="3"/>
        <v>0</v>
      </c>
      <c r="V521" s="23">
        <f t="shared" si="4"/>
        <v>0</v>
      </c>
      <c r="W521" s="24" t="str">
        <f t="shared" si="5"/>
        <v>#DIV/0!</v>
      </c>
    </row>
    <row r="522" hidden="1">
      <c r="A522" s="15" t="s">
        <v>1758</v>
      </c>
      <c r="B522" s="18"/>
      <c r="C522" s="15" t="s">
        <v>6818</v>
      </c>
      <c r="D522" s="18"/>
      <c r="E522" s="17" t="s">
        <v>1759</v>
      </c>
      <c r="F522" s="18"/>
      <c r="G522" s="18"/>
      <c r="H522" s="15" t="s">
        <v>1760</v>
      </c>
      <c r="I522" s="15" t="s">
        <v>1761</v>
      </c>
      <c r="J522" s="19" t="s">
        <v>36</v>
      </c>
      <c r="K522" s="19" t="s">
        <v>37</v>
      </c>
      <c r="L522" s="19" t="s">
        <v>38</v>
      </c>
      <c r="M522" s="20">
        <f t="shared" si="1"/>
        <v>0</v>
      </c>
      <c r="N522" s="22"/>
      <c r="O522" s="19" t="s">
        <v>1145</v>
      </c>
      <c r="P522" s="18"/>
      <c r="Q522" s="18"/>
      <c r="R522" s="23">
        <v>0.0</v>
      </c>
      <c r="S522" s="23">
        <v>0.0</v>
      </c>
      <c r="T522" s="23">
        <f t="shared" si="2"/>
        <v>0</v>
      </c>
      <c r="U522" s="23">
        <f t="shared" si="3"/>
        <v>0</v>
      </c>
      <c r="V522" s="23">
        <f t="shared" si="4"/>
        <v>0</v>
      </c>
      <c r="W522" s="24" t="str">
        <f t="shared" si="5"/>
        <v>#DIV/0!</v>
      </c>
    </row>
    <row r="523" hidden="1">
      <c r="A523" s="15" t="s">
        <v>1762</v>
      </c>
      <c r="B523" s="18"/>
      <c r="C523" s="15" t="s">
        <v>6819</v>
      </c>
      <c r="D523" s="18"/>
      <c r="E523" s="17" t="s">
        <v>1763</v>
      </c>
      <c r="F523" s="18"/>
      <c r="G523" s="18"/>
      <c r="H523" s="15" t="s">
        <v>1764</v>
      </c>
      <c r="I523" s="15" t="s">
        <v>1765</v>
      </c>
      <c r="J523" s="19" t="s">
        <v>36</v>
      </c>
      <c r="K523" s="19" t="s">
        <v>37</v>
      </c>
      <c r="L523" s="19" t="s">
        <v>38</v>
      </c>
      <c r="M523" s="20">
        <f t="shared" si="1"/>
        <v>0</v>
      </c>
      <c r="N523" s="22"/>
      <c r="O523" s="19" t="s">
        <v>1145</v>
      </c>
      <c r="P523" s="18"/>
      <c r="Q523" s="18"/>
      <c r="R523" s="23">
        <v>0.0</v>
      </c>
      <c r="S523" s="23">
        <v>0.0</v>
      </c>
      <c r="T523" s="23">
        <f t="shared" si="2"/>
        <v>0</v>
      </c>
      <c r="U523" s="23">
        <f t="shared" si="3"/>
        <v>0</v>
      </c>
      <c r="V523" s="23">
        <f t="shared" si="4"/>
        <v>0</v>
      </c>
      <c r="W523" s="24" t="str">
        <f t="shared" si="5"/>
        <v>#DIV/0!</v>
      </c>
    </row>
    <row r="524" hidden="1">
      <c r="A524" s="15" t="s">
        <v>1766</v>
      </c>
      <c r="B524" s="18"/>
      <c r="C524" s="15" t="s">
        <v>6820</v>
      </c>
      <c r="D524" s="18"/>
      <c r="E524" s="17" t="s">
        <v>1767</v>
      </c>
      <c r="F524" s="18"/>
      <c r="G524" s="18"/>
      <c r="H524" s="15" t="s">
        <v>1768</v>
      </c>
      <c r="I524" s="15" t="s">
        <v>1769</v>
      </c>
      <c r="J524" s="19" t="s">
        <v>36</v>
      </c>
      <c r="K524" s="19" t="s">
        <v>37</v>
      </c>
      <c r="L524" s="19" t="s">
        <v>38</v>
      </c>
      <c r="M524" s="20">
        <f t="shared" si="1"/>
        <v>0</v>
      </c>
      <c r="N524" s="22"/>
      <c r="O524" s="19" t="s">
        <v>1145</v>
      </c>
      <c r="P524" s="18"/>
      <c r="Q524" s="18"/>
      <c r="R524" s="23">
        <v>0.0</v>
      </c>
      <c r="S524" s="23">
        <v>0.0</v>
      </c>
      <c r="T524" s="23">
        <f t="shared" si="2"/>
        <v>0</v>
      </c>
      <c r="U524" s="23">
        <f t="shared" si="3"/>
        <v>0</v>
      </c>
      <c r="V524" s="23">
        <f t="shared" si="4"/>
        <v>0</v>
      </c>
      <c r="W524" s="24" t="str">
        <f t="shared" si="5"/>
        <v>#DIV/0!</v>
      </c>
    </row>
    <row r="525" hidden="1">
      <c r="A525" s="15" t="s">
        <v>1770</v>
      </c>
      <c r="B525" s="18"/>
      <c r="C525" s="15" t="s">
        <v>6821</v>
      </c>
      <c r="D525" s="18"/>
      <c r="E525" s="17" t="s">
        <v>1771</v>
      </c>
      <c r="F525" s="18"/>
      <c r="G525" s="18"/>
      <c r="H525" s="15" t="s">
        <v>1772</v>
      </c>
      <c r="I525" s="15" t="s">
        <v>1773</v>
      </c>
      <c r="J525" s="19" t="s">
        <v>36</v>
      </c>
      <c r="K525" s="19" t="s">
        <v>37</v>
      </c>
      <c r="L525" s="19" t="s">
        <v>38</v>
      </c>
      <c r="M525" s="20">
        <f t="shared" si="1"/>
        <v>0</v>
      </c>
      <c r="N525" s="22"/>
      <c r="O525" s="19" t="s">
        <v>1145</v>
      </c>
      <c r="P525" s="18"/>
      <c r="Q525" s="18"/>
      <c r="R525" s="23">
        <v>0.0</v>
      </c>
      <c r="S525" s="23">
        <v>0.0</v>
      </c>
      <c r="T525" s="23">
        <f t="shared" si="2"/>
        <v>0</v>
      </c>
      <c r="U525" s="23">
        <f t="shared" si="3"/>
        <v>0</v>
      </c>
      <c r="V525" s="23">
        <f t="shared" si="4"/>
        <v>0</v>
      </c>
      <c r="W525" s="24" t="str">
        <f t="shared" si="5"/>
        <v>#DIV/0!</v>
      </c>
    </row>
    <row r="526" hidden="1">
      <c r="A526" s="15" t="s">
        <v>1774</v>
      </c>
      <c r="B526" s="18"/>
      <c r="C526" s="15" t="s">
        <v>6822</v>
      </c>
      <c r="D526" s="18"/>
      <c r="E526" s="17" t="s">
        <v>1775</v>
      </c>
      <c r="F526" s="18"/>
      <c r="G526" s="18"/>
      <c r="H526" s="15" t="s">
        <v>1776</v>
      </c>
      <c r="I526" s="15" t="s">
        <v>1777</v>
      </c>
      <c r="J526" s="19" t="s">
        <v>36</v>
      </c>
      <c r="K526" s="19" t="s">
        <v>37</v>
      </c>
      <c r="L526" s="19" t="s">
        <v>38</v>
      </c>
      <c r="M526" s="20">
        <f t="shared" si="1"/>
        <v>0</v>
      </c>
      <c r="N526" s="22"/>
      <c r="O526" s="19" t="s">
        <v>1145</v>
      </c>
      <c r="P526" s="18"/>
      <c r="Q526" s="18"/>
      <c r="R526" s="23">
        <v>0.0</v>
      </c>
      <c r="S526" s="23">
        <v>0.0</v>
      </c>
      <c r="T526" s="23">
        <f t="shared" si="2"/>
        <v>0</v>
      </c>
      <c r="U526" s="23">
        <f t="shared" si="3"/>
        <v>0</v>
      </c>
      <c r="V526" s="23">
        <f t="shared" si="4"/>
        <v>0</v>
      </c>
      <c r="W526" s="24" t="str">
        <f t="shared" si="5"/>
        <v>#DIV/0!</v>
      </c>
    </row>
    <row r="527" hidden="1">
      <c r="A527" s="15" t="s">
        <v>1778</v>
      </c>
      <c r="B527" s="18"/>
      <c r="C527" s="15" t="s">
        <v>6823</v>
      </c>
      <c r="D527" s="18"/>
      <c r="E527" s="17" t="s">
        <v>1779</v>
      </c>
      <c r="F527" s="18"/>
      <c r="G527" s="18"/>
      <c r="H527" s="15" t="s">
        <v>1780</v>
      </c>
      <c r="I527" s="15" t="s">
        <v>1781</v>
      </c>
      <c r="J527" s="19" t="s">
        <v>36</v>
      </c>
      <c r="K527" s="19" t="s">
        <v>1444</v>
      </c>
      <c r="L527" s="19" t="s">
        <v>38</v>
      </c>
      <c r="M527" s="20">
        <f t="shared" si="1"/>
        <v>0</v>
      </c>
      <c r="N527" s="22"/>
      <c r="O527" s="19" t="s">
        <v>1145</v>
      </c>
      <c r="P527" s="18"/>
      <c r="Q527" s="18"/>
      <c r="R527" s="23">
        <v>0.0</v>
      </c>
      <c r="S527" s="23">
        <v>0.0</v>
      </c>
      <c r="T527" s="23">
        <f t="shared" si="2"/>
        <v>0</v>
      </c>
      <c r="U527" s="23">
        <f t="shared" si="3"/>
        <v>0</v>
      </c>
      <c r="V527" s="23">
        <f t="shared" si="4"/>
        <v>0</v>
      </c>
      <c r="W527" s="24" t="str">
        <f t="shared" si="5"/>
        <v>#DIV/0!</v>
      </c>
    </row>
    <row r="528" hidden="1">
      <c r="A528" s="15" t="s">
        <v>1782</v>
      </c>
      <c r="B528" s="18"/>
      <c r="C528" s="15" t="s">
        <v>6824</v>
      </c>
      <c r="D528" s="18"/>
      <c r="E528" s="17" t="s">
        <v>1783</v>
      </c>
      <c r="F528" s="18"/>
      <c r="G528" s="18"/>
      <c r="H528" s="15" t="s">
        <v>1784</v>
      </c>
      <c r="I528" s="15" t="s">
        <v>1785</v>
      </c>
      <c r="J528" s="19" t="s">
        <v>36</v>
      </c>
      <c r="K528" s="19" t="s">
        <v>1444</v>
      </c>
      <c r="L528" s="19" t="s">
        <v>38</v>
      </c>
      <c r="M528" s="20">
        <f t="shared" si="1"/>
        <v>0</v>
      </c>
      <c r="N528" s="22"/>
      <c r="O528" s="19" t="s">
        <v>1145</v>
      </c>
      <c r="P528" s="18"/>
      <c r="Q528" s="18"/>
      <c r="R528" s="23">
        <v>0.0</v>
      </c>
      <c r="S528" s="23">
        <v>0.0</v>
      </c>
      <c r="T528" s="23">
        <f t="shared" si="2"/>
        <v>0</v>
      </c>
      <c r="U528" s="23">
        <f t="shared" si="3"/>
        <v>0</v>
      </c>
      <c r="V528" s="23">
        <f t="shared" si="4"/>
        <v>0</v>
      </c>
      <c r="W528" s="24" t="str">
        <f t="shared" si="5"/>
        <v>#DIV/0!</v>
      </c>
    </row>
    <row r="529" hidden="1">
      <c r="A529" s="15" t="s">
        <v>6825</v>
      </c>
      <c r="B529" s="18"/>
      <c r="C529" s="15" t="s">
        <v>6826</v>
      </c>
      <c r="D529" s="18"/>
      <c r="E529" s="17" t="s">
        <v>6827</v>
      </c>
      <c r="F529" s="18"/>
      <c r="G529" s="18"/>
      <c r="H529" s="15" t="s">
        <v>6828</v>
      </c>
      <c r="I529" s="15" t="s">
        <v>1029</v>
      </c>
      <c r="J529" s="19" t="s">
        <v>36</v>
      </c>
      <c r="K529" s="19" t="s">
        <v>105</v>
      </c>
      <c r="L529" s="19" t="s">
        <v>38</v>
      </c>
      <c r="M529" s="20">
        <f t="shared" si="1"/>
        <v>0</v>
      </c>
      <c r="N529" s="22"/>
      <c r="O529" s="19" t="s">
        <v>39</v>
      </c>
      <c r="P529" s="18"/>
      <c r="Q529" s="18"/>
      <c r="R529" s="23">
        <v>0.0</v>
      </c>
      <c r="S529" s="23">
        <v>0.0</v>
      </c>
      <c r="T529" s="23">
        <f t="shared" si="2"/>
        <v>0</v>
      </c>
      <c r="U529" s="23">
        <f t="shared" si="3"/>
        <v>0</v>
      </c>
      <c r="V529" s="23">
        <f t="shared" si="4"/>
        <v>0</v>
      </c>
      <c r="W529" s="24" t="str">
        <f t="shared" si="5"/>
        <v>#DIV/0!</v>
      </c>
    </row>
    <row r="530" hidden="1">
      <c r="A530" s="15" t="s">
        <v>1786</v>
      </c>
      <c r="B530" s="18"/>
      <c r="C530" s="15" t="s">
        <v>6829</v>
      </c>
      <c r="D530" s="18"/>
      <c r="E530" s="17" t="s">
        <v>1787</v>
      </c>
      <c r="F530" s="18"/>
      <c r="G530" s="18"/>
      <c r="H530" s="15" t="s">
        <v>1788</v>
      </c>
      <c r="I530" s="15" t="s">
        <v>1789</v>
      </c>
      <c r="J530" s="19" t="s">
        <v>36</v>
      </c>
      <c r="K530" s="19" t="s">
        <v>105</v>
      </c>
      <c r="L530" s="19" t="s">
        <v>38</v>
      </c>
      <c r="M530" s="20">
        <f t="shared" si="1"/>
        <v>0</v>
      </c>
      <c r="N530" s="22"/>
      <c r="O530" s="19" t="s">
        <v>1145</v>
      </c>
      <c r="P530" s="18"/>
      <c r="Q530" s="18"/>
      <c r="R530" s="23">
        <v>0.0</v>
      </c>
      <c r="S530" s="23">
        <v>0.0</v>
      </c>
      <c r="T530" s="23">
        <f t="shared" si="2"/>
        <v>0</v>
      </c>
      <c r="U530" s="23">
        <f t="shared" si="3"/>
        <v>0</v>
      </c>
      <c r="V530" s="23">
        <f t="shared" si="4"/>
        <v>0</v>
      </c>
      <c r="W530" s="24" t="str">
        <f t="shared" si="5"/>
        <v>#DIV/0!</v>
      </c>
    </row>
    <row r="531" hidden="1">
      <c r="A531" s="15" t="s">
        <v>6830</v>
      </c>
      <c r="B531" s="15" t="s">
        <v>1080</v>
      </c>
      <c r="C531" s="15" t="s">
        <v>6831</v>
      </c>
      <c r="D531" s="18"/>
      <c r="E531" s="17" t="s">
        <v>6832</v>
      </c>
      <c r="F531" s="18"/>
      <c r="G531" s="18"/>
      <c r="H531" s="15" t="s">
        <v>6833</v>
      </c>
      <c r="I531" s="15" t="s">
        <v>6834</v>
      </c>
      <c r="J531" s="19" t="s">
        <v>36</v>
      </c>
      <c r="K531" s="19" t="s">
        <v>1230</v>
      </c>
      <c r="L531" s="19" t="s">
        <v>38</v>
      </c>
      <c r="M531" s="20">
        <f t="shared" si="1"/>
        <v>0</v>
      </c>
      <c r="N531" s="22"/>
      <c r="O531" s="19" t="s">
        <v>39</v>
      </c>
      <c r="P531" s="18"/>
      <c r="Q531" s="18"/>
      <c r="R531" s="23">
        <v>0.0</v>
      </c>
      <c r="S531" s="23">
        <v>0.0</v>
      </c>
      <c r="T531" s="23">
        <f t="shared" si="2"/>
        <v>0</v>
      </c>
      <c r="U531" s="23">
        <f t="shared" si="3"/>
        <v>0</v>
      </c>
      <c r="V531" s="23">
        <f t="shared" si="4"/>
        <v>0</v>
      </c>
      <c r="W531" s="24" t="str">
        <f t="shared" si="5"/>
        <v>#DIV/0!</v>
      </c>
    </row>
    <row r="532" hidden="1">
      <c r="A532" s="15" t="s">
        <v>6835</v>
      </c>
      <c r="B532" s="18"/>
      <c r="C532" s="15" t="s">
        <v>6836</v>
      </c>
      <c r="D532" s="18"/>
      <c r="E532" s="17" t="s">
        <v>6837</v>
      </c>
      <c r="F532" s="18"/>
      <c r="G532" s="18"/>
      <c r="H532" s="15" t="s">
        <v>6838</v>
      </c>
      <c r="I532" s="15" t="s">
        <v>1078</v>
      </c>
      <c r="J532" s="19" t="s">
        <v>36</v>
      </c>
      <c r="K532" s="19" t="s">
        <v>1230</v>
      </c>
      <c r="L532" s="19" t="s">
        <v>38</v>
      </c>
      <c r="M532" s="20">
        <f t="shared" si="1"/>
        <v>0</v>
      </c>
      <c r="N532" s="22"/>
      <c r="O532" s="19" t="s">
        <v>1145</v>
      </c>
      <c r="P532" s="18"/>
      <c r="Q532" s="18"/>
      <c r="R532" s="23">
        <v>0.0</v>
      </c>
      <c r="S532" s="23">
        <v>0.0</v>
      </c>
      <c r="T532" s="23">
        <f t="shared" si="2"/>
        <v>0</v>
      </c>
      <c r="U532" s="23">
        <f t="shared" si="3"/>
        <v>0</v>
      </c>
      <c r="V532" s="23">
        <f t="shared" si="4"/>
        <v>0</v>
      </c>
      <c r="W532" s="24" t="str">
        <f t="shared" si="5"/>
        <v>#DIV/0!</v>
      </c>
    </row>
    <row r="533" hidden="1">
      <c r="A533" s="15" t="s">
        <v>1790</v>
      </c>
      <c r="B533" s="18"/>
      <c r="C533" s="15" t="s">
        <v>6839</v>
      </c>
      <c r="D533" s="18"/>
      <c r="E533" s="17" t="s">
        <v>1791</v>
      </c>
      <c r="F533" s="18"/>
      <c r="G533" s="18"/>
      <c r="H533" s="15" t="s">
        <v>1792</v>
      </c>
      <c r="I533" s="15" t="s">
        <v>1793</v>
      </c>
      <c r="J533" s="19" t="s">
        <v>36</v>
      </c>
      <c r="K533" s="19" t="s">
        <v>1230</v>
      </c>
      <c r="L533" s="19" t="s">
        <v>38</v>
      </c>
      <c r="M533" s="20">
        <f t="shared" si="1"/>
        <v>0</v>
      </c>
      <c r="N533" s="22"/>
      <c r="O533" s="19" t="s">
        <v>1145</v>
      </c>
      <c r="P533" s="18"/>
      <c r="Q533" s="18"/>
      <c r="R533" s="23">
        <v>0.0</v>
      </c>
      <c r="S533" s="23">
        <v>0.0</v>
      </c>
      <c r="T533" s="23">
        <f t="shared" si="2"/>
        <v>0</v>
      </c>
      <c r="U533" s="23">
        <f t="shared" si="3"/>
        <v>0</v>
      </c>
      <c r="V533" s="23">
        <f t="shared" si="4"/>
        <v>0</v>
      </c>
      <c r="W533" s="24" t="str">
        <f t="shared" si="5"/>
        <v>#DIV/0!</v>
      </c>
    </row>
    <row r="534" hidden="1">
      <c r="A534" s="15" t="s">
        <v>1794</v>
      </c>
      <c r="B534" s="18"/>
      <c r="C534" s="15" t="s">
        <v>6840</v>
      </c>
      <c r="D534" s="18"/>
      <c r="E534" s="17" t="s">
        <v>1795</v>
      </c>
      <c r="F534" s="18"/>
      <c r="G534" s="18"/>
      <c r="H534" s="15" t="s">
        <v>1796</v>
      </c>
      <c r="I534" s="15" t="s">
        <v>1797</v>
      </c>
      <c r="J534" s="19" t="s">
        <v>36</v>
      </c>
      <c r="K534" s="19" t="s">
        <v>1230</v>
      </c>
      <c r="L534" s="19" t="s">
        <v>38</v>
      </c>
      <c r="M534" s="20">
        <f t="shared" si="1"/>
        <v>0</v>
      </c>
      <c r="N534" s="22"/>
      <c r="O534" s="19" t="s">
        <v>1145</v>
      </c>
      <c r="P534" s="18"/>
      <c r="Q534" s="18"/>
      <c r="R534" s="23">
        <v>0.0</v>
      </c>
      <c r="S534" s="23">
        <v>0.0</v>
      </c>
      <c r="T534" s="23">
        <f t="shared" si="2"/>
        <v>0</v>
      </c>
      <c r="U534" s="23">
        <f t="shared" si="3"/>
        <v>0</v>
      </c>
      <c r="V534" s="23">
        <f t="shared" si="4"/>
        <v>0</v>
      </c>
      <c r="W534" s="24" t="str">
        <f t="shared" si="5"/>
        <v>#DIV/0!</v>
      </c>
    </row>
    <row r="535" hidden="1">
      <c r="A535" s="15" t="s">
        <v>6841</v>
      </c>
      <c r="B535" s="15" t="s">
        <v>6842</v>
      </c>
      <c r="C535" s="15" t="s">
        <v>6843</v>
      </c>
      <c r="D535" s="15" t="s">
        <v>6844</v>
      </c>
      <c r="E535" s="17" t="s">
        <v>6845</v>
      </c>
      <c r="F535" s="18"/>
      <c r="G535" s="18"/>
      <c r="H535" s="15" t="s">
        <v>6846</v>
      </c>
      <c r="I535" s="15" t="s">
        <v>6847</v>
      </c>
      <c r="J535" s="19" t="s">
        <v>36</v>
      </c>
      <c r="K535" s="19" t="s">
        <v>37</v>
      </c>
      <c r="L535" s="19" t="s">
        <v>38</v>
      </c>
      <c r="M535" s="20">
        <f t="shared" si="1"/>
        <v>0</v>
      </c>
      <c r="N535" s="22"/>
      <c r="O535" s="19" t="s">
        <v>39</v>
      </c>
      <c r="P535" s="18"/>
      <c r="Q535" s="18"/>
      <c r="R535" s="23">
        <v>0.0</v>
      </c>
      <c r="S535" s="23">
        <v>0.0</v>
      </c>
      <c r="T535" s="23">
        <f t="shared" si="2"/>
        <v>0</v>
      </c>
      <c r="U535" s="23">
        <f t="shared" si="3"/>
        <v>0</v>
      </c>
      <c r="V535" s="23">
        <f t="shared" si="4"/>
        <v>0</v>
      </c>
      <c r="W535" s="24" t="str">
        <f t="shared" si="5"/>
        <v>#DIV/0!</v>
      </c>
    </row>
    <row r="536" hidden="1">
      <c r="A536" s="15" t="s">
        <v>6848</v>
      </c>
      <c r="B536" s="18"/>
      <c r="C536" s="15" t="s">
        <v>6849</v>
      </c>
      <c r="D536" s="18"/>
      <c r="E536" s="17" t="s">
        <v>6850</v>
      </c>
      <c r="F536" s="18"/>
      <c r="G536" s="18"/>
      <c r="H536" s="15" t="s">
        <v>6851</v>
      </c>
      <c r="I536" s="15" t="s">
        <v>228</v>
      </c>
      <c r="J536" s="19" t="s">
        <v>36</v>
      </c>
      <c r="K536" s="19" t="s">
        <v>1230</v>
      </c>
      <c r="L536" s="19" t="s">
        <v>38</v>
      </c>
      <c r="M536" s="20">
        <f t="shared" si="1"/>
        <v>0</v>
      </c>
      <c r="N536" s="22"/>
      <c r="O536" s="19" t="s">
        <v>39</v>
      </c>
      <c r="P536" s="18"/>
      <c r="Q536" s="18"/>
      <c r="R536" s="23">
        <v>0.0</v>
      </c>
      <c r="S536" s="23">
        <v>0.0</v>
      </c>
      <c r="T536" s="23">
        <f t="shared" si="2"/>
        <v>0</v>
      </c>
      <c r="U536" s="23">
        <f t="shared" si="3"/>
        <v>0</v>
      </c>
      <c r="V536" s="23">
        <f t="shared" si="4"/>
        <v>0</v>
      </c>
      <c r="W536" s="24" t="str">
        <f t="shared" si="5"/>
        <v>#DIV/0!</v>
      </c>
    </row>
    <row r="537" hidden="1">
      <c r="A537" s="15" t="s">
        <v>1798</v>
      </c>
      <c r="B537" s="18"/>
      <c r="C537" s="15" t="s">
        <v>6852</v>
      </c>
      <c r="D537" s="18"/>
      <c r="E537" s="17" t="s">
        <v>1799</v>
      </c>
      <c r="F537" s="18"/>
      <c r="G537" s="18"/>
      <c r="H537" s="15" t="s">
        <v>1800</v>
      </c>
      <c r="I537" s="15" t="s">
        <v>1801</v>
      </c>
      <c r="J537" s="19" t="s">
        <v>36</v>
      </c>
      <c r="K537" s="19" t="s">
        <v>1230</v>
      </c>
      <c r="L537" s="19" t="s">
        <v>38</v>
      </c>
      <c r="M537" s="20">
        <f t="shared" si="1"/>
        <v>0</v>
      </c>
      <c r="N537" s="22"/>
      <c r="O537" s="19" t="s">
        <v>1145</v>
      </c>
      <c r="P537" s="18"/>
      <c r="Q537" s="18"/>
      <c r="R537" s="23">
        <v>0.0</v>
      </c>
      <c r="S537" s="23">
        <v>0.0</v>
      </c>
      <c r="T537" s="23">
        <f t="shared" si="2"/>
        <v>0</v>
      </c>
      <c r="U537" s="23">
        <f t="shared" si="3"/>
        <v>0</v>
      </c>
      <c r="V537" s="23">
        <f t="shared" si="4"/>
        <v>0</v>
      </c>
      <c r="W537" s="24" t="str">
        <f t="shared" si="5"/>
        <v>#DIV/0!</v>
      </c>
    </row>
    <row r="538" hidden="1">
      <c r="A538" s="15" t="s">
        <v>1802</v>
      </c>
      <c r="B538" s="18"/>
      <c r="C538" s="15" t="s">
        <v>6853</v>
      </c>
      <c r="D538" s="18"/>
      <c r="E538" s="17" t="s">
        <v>1803</v>
      </c>
      <c r="F538" s="18"/>
      <c r="G538" s="18"/>
      <c r="H538" s="15" t="s">
        <v>1804</v>
      </c>
      <c r="I538" s="15" t="s">
        <v>1805</v>
      </c>
      <c r="J538" s="19" t="s">
        <v>36</v>
      </c>
      <c r="K538" s="19" t="s">
        <v>1230</v>
      </c>
      <c r="L538" s="19" t="s">
        <v>38</v>
      </c>
      <c r="M538" s="20">
        <f t="shared" si="1"/>
        <v>0</v>
      </c>
      <c r="N538" s="22"/>
      <c r="O538" s="19" t="s">
        <v>1145</v>
      </c>
      <c r="P538" s="18"/>
      <c r="Q538" s="18"/>
      <c r="R538" s="23">
        <v>0.0</v>
      </c>
      <c r="S538" s="23">
        <v>0.0</v>
      </c>
      <c r="T538" s="23">
        <f t="shared" si="2"/>
        <v>0</v>
      </c>
      <c r="U538" s="23">
        <f t="shared" si="3"/>
        <v>0</v>
      </c>
      <c r="V538" s="23">
        <f t="shared" si="4"/>
        <v>0</v>
      </c>
      <c r="W538" s="24" t="str">
        <f t="shared" si="5"/>
        <v>#DIV/0!</v>
      </c>
    </row>
    <row r="539" hidden="1">
      <c r="A539" s="15" t="s">
        <v>6854</v>
      </c>
      <c r="B539" s="18"/>
      <c r="C539" s="15" t="s">
        <v>6855</v>
      </c>
      <c r="D539" s="18"/>
      <c r="E539" s="17" t="s">
        <v>6856</v>
      </c>
      <c r="F539" s="18"/>
      <c r="G539" s="18"/>
      <c r="H539" s="15" t="s">
        <v>6857</v>
      </c>
      <c r="I539" s="15" t="s">
        <v>4721</v>
      </c>
      <c r="J539" s="19" t="s">
        <v>36</v>
      </c>
      <c r="K539" s="19" t="s">
        <v>105</v>
      </c>
      <c r="L539" s="19" t="s">
        <v>38</v>
      </c>
      <c r="M539" s="20">
        <f t="shared" si="1"/>
        <v>0</v>
      </c>
      <c r="N539" s="22"/>
      <c r="O539" s="19" t="s">
        <v>1145</v>
      </c>
      <c r="P539" s="18"/>
      <c r="Q539" s="18"/>
      <c r="R539" s="23">
        <v>0.0</v>
      </c>
      <c r="S539" s="23">
        <v>0.0</v>
      </c>
      <c r="T539" s="23">
        <f t="shared" si="2"/>
        <v>0</v>
      </c>
      <c r="U539" s="23">
        <f t="shared" si="3"/>
        <v>0</v>
      </c>
      <c r="V539" s="23">
        <f t="shared" si="4"/>
        <v>0</v>
      </c>
      <c r="W539" s="24" t="str">
        <f t="shared" si="5"/>
        <v>#DIV/0!</v>
      </c>
    </row>
    <row r="540" hidden="1">
      <c r="A540" s="15" t="s">
        <v>6858</v>
      </c>
      <c r="B540" s="18"/>
      <c r="C540" s="15" t="s">
        <v>6859</v>
      </c>
      <c r="D540" s="18"/>
      <c r="E540" s="17" t="s">
        <v>6860</v>
      </c>
      <c r="F540" s="18"/>
      <c r="G540" s="18"/>
      <c r="H540" s="15" t="s">
        <v>6861</v>
      </c>
      <c r="I540" s="15" t="s">
        <v>6862</v>
      </c>
      <c r="J540" s="19" t="s">
        <v>36</v>
      </c>
      <c r="K540" s="19" t="s">
        <v>37</v>
      </c>
      <c r="L540" s="19" t="s">
        <v>38</v>
      </c>
      <c r="M540" s="20">
        <f t="shared" si="1"/>
        <v>0</v>
      </c>
      <c r="N540" s="22"/>
      <c r="O540" s="19" t="s">
        <v>39</v>
      </c>
      <c r="P540" s="18"/>
      <c r="Q540" s="18"/>
      <c r="R540" s="23">
        <v>0.0</v>
      </c>
      <c r="S540" s="23">
        <v>0.0</v>
      </c>
      <c r="T540" s="23">
        <f t="shared" si="2"/>
        <v>0</v>
      </c>
      <c r="U540" s="23">
        <f t="shared" si="3"/>
        <v>0</v>
      </c>
      <c r="V540" s="23">
        <f t="shared" si="4"/>
        <v>0</v>
      </c>
      <c r="W540" s="24" t="str">
        <f t="shared" si="5"/>
        <v>#DIV/0!</v>
      </c>
    </row>
    <row r="541" hidden="1">
      <c r="A541" s="15" t="s">
        <v>1806</v>
      </c>
      <c r="B541" s="18"/>
      <c r="C541" s="15" t="s">
        <v>6863</v>
      </c>
      <c r="D541" s="18"/>
      <c r="E541" s="17" t="s">
        <v>1807</v>
      </c>
      <c r="F541" s="18"/>
      <c r="G541" s="18"/>
      <c r="H541" s="15" t="s">
        <v>1808</v>
      </c>
      <c r="I541" s="15" t="s">
        <v>1809</v>
      </c>
      <c r="J541" s="19" t="s">
        <v>36</v>
      </c>
      <c r="K541" s="19" t="s">
        <v>105</v>
      </c>
      <c r="L541" s="19" t="s">
        <v>38</v>
      </c>
      <c r="M541" s="20">
        <f t="shared" si="1"/>
        <v>0</v>
      </c>
      <c r="N541" s="22"/>
      <c r="O541" s="19" t="s">
        <v>1145</v>
      </c>
      <c r="P541" s="18"/>
      <c r="Q541" s="18"/>
      <c r="R541" s="23">
        <v>0.0</v>
      </c>
      <c r="S541" s="23">
        <v>0.0</v>
      </c>
      <c r="T541" s="23">
        <f t="shared" si="2"/>
        <v>0</v>
      </c>
      <c r="U541" s="23">
        <f t="shared" si="3"/>
        <v>0</v>
      </c>
      <c r="V541" s="23">
        <f t="shared" si="4"/>
        <v>0</v>
      </c>
      <c r="W541" s="24" t="str">
        <f t="shared" si="5"/>
        <v>#DIV/0!</v>
      </c>
    </row>
    <row r="542" hidden="1">
      <c r="A542" s="15" t="s">
        <v>1810</v>
      </c>
      <c r="B542" s="18"/>
      <c r="C542" s="15" t="s">
        <v>6864</v>
      </c>
      <c r="D542" s="18"/>
      <c r="E542" s="17" t="s">
        <v>1811</v>
      </c>
      <c r="F542" s="18"/>
      <c r="G542" s="18"/>
      <c r="H542" s="15" t="s">
        <v>1812</v>
      </c>
      <c r="I542" s="18"/>
      <c r="J542" s="19" t="s">
        <v>36</v>
      </c>
      <c r="K542" s="19" t="s">
        <v>1230</v>
      </c>
      <c r="L542" s="19" t="s">
        <v>38</v>
      </c>
      <c r="M542" s="20">
        <f t="shared" si="1"/>
        <v>0</v>
      </c>
      <c r="N542" s="22"/>
      <c r="O542" s="19" t="s">
        <v>1145</v>
      </c>
      <c r="P542" s="18"/>
      <c r="Q542" s="18"/>
      <c r="R542" s="23">
        <v>0.0</v>
      </c>
      <c r="S542" s="23">
        <v>0.0</v>
      </c>
      <c r="T542" s="23">
        <f t="shared" si="2"/>
        <v>0</v>
      </c>
      <c r="U542" s="23">
        <f t="shared" si="3"/>
        <v>0</v>
      </c>
      <c r="V542" s="23">
        <f t="shared" si="4"/>
        <v>0</v>
      </c>
      <c r="W542" s="24" t="str">
        <f t="shared" si="5"/>
        <v>#DIV/0!</v>
      </c>
    </row>
    <row r="543" hidden="1">
      <c r="A543" s="15" t="s">
        <v>6865</v>
      </c>
      <c r="B543" s="18"/>
      <c r="C543" s="15" t="s">
        <v>6866</v>
      </c>
      <c r="D543" s="18"/>
      <c r="E543" s="17" t="s">
        <v>6867</v>
      </c>
      <c r="F543" s="18"/>
      <c r="G543" s="18"/>
      <c r="H543" s="15" t="s">
        <v>6868</v>
      </c>
      <c r="I543" s="15" t="s">
        <v>362</v>
      </c>
      <c r="J543" s="19" t="s">
        <v>36</v>
      </c>
      <c r="K543" s="19" t="s">
        <v>105</v>
      </c>
      <c r="L543" s="19" t="s">
        <v>38</v>
      </c>
      <c r="M543" s="20">
        <f t="shared" si="1"/>
        <v>0</v>
      </c>
      <c r="N543" s="22"/>
      <c r="O543" s="19" t="s">
        <v>39</v>
      </c>
      <c r="P543" s="18"/>
      <c r="Q543" s="18"/>
      <c r="R543" s="23">
        <v>0.0</v>
      </c>
      <c r="S543" s="23">
        <v>0.0</v>
      </c>
      <c r="T543" s="23">
        <f t="shared" si="2"/>
        <v>0</v>
      </c>
      <c r="U543" s="23">
        <f t="shared" si="3"/>
        <v>0</v>
      </c>
      <c r="V543" s="23">
        <f t="shared" si="4"/>
        <v>0</v>
      </c>
      <c r="W543" s="24" t="str">
        <f t="shared" si="5"/>
        <v>#DIV/0!</v>
      </c>
    </row>
    <row r="544" hidden="1">
      <c r="A544" s="15" t="s">
        <v>1813</v>
      </c>
      <c r="B544" s="18"/>
      <c r="C544" s="15" t="s">
        <v>6869</v>
      </c>
      <c r="D544" s="18"/>
      <c r="E544" s="17" t="s">
        <v>1814</v>
      </c>
      <c r="F544" s="18"/>
      <c r="G544" s="18"/>
      <c r="H544" s="15" t="s">
        <v>1815</v>
      </c>
      <c r="I544" s="15" t="s">
        <v>1816</v>
      </c>
      <c r="J544" s="19" t="s">
        <v>36</v>
      </c>
      <c r="K544" s="19" t="s">
        <v>105</v>
      </c>
      <c r="L544" s="19" t="s">
        <v>38</v>
      </c>
      <c r="M544" s="20">
        <f t="shared" si="1"/>
        <v>0</v>
      </c>
      <c r="N544" s="22"/>
      <c r="O544" s="19" t="s">
        <v>1145</v>
      </c>
      <c r="P544" s="18"/>
      <c r="Q544" s="18"/>
      <c r="R544" s="23">
        <v>0.0</v>
      </c>
      <c r="S544" s="23">
        <v>0.0</v>
      </c>
      <c r="T544" s="23">
        <f t="shared" si="2"/>
        <v>0</v>
      </c>
      <c r="U544" s="23">
        <f t="shared" si="3"/>
        <v>0</v>
      </c>
      <c r="V544" s="23">
        <f t="shared" si="4"/>
        <v>0</v>
      </c>
      <c r="W544" s="24" t="str">
        <f t="shared" si="5"/>
        <v>#DIV/0!</v>
      </c>
    </row>
    <row r="545" hidden="1">
      <c r="A545" s="15" t="s">
        <v>1817</v>
      </c>
      <c r="B545" s="18"/>
      <c r="C545" s="15" t="s">
        <v>6870</v>
      </c>
      <c r="D545" s="18"/>
      <c r="E545" s="17" t="s">
        <v>1818</v>
      </c>
      <c r="F545" s="18"/>
      <c r="G545" s="18"/>
      <c r="H545" s="15" t="s">
        <v>1819</v>
      </c>
      <c r="I545" s="15" t="s">
        <v>1820</v>
      </c>
      <c r="J545" s="19" t="s">
        <v>36</v>
      </c>
      <c r="K545" s="19" t="s">
        <v>105</v>
      </c>
      <c r="L545" s="19" t="s">
        <v>38</v>
      </c>
      <c r="M545" s="20">
        <f t="shared" si="1"/>
        <v>0</v>
      </c>
      <c r="N545" s="22"/>
      <c r="O545" s="19" t="s">
        <v>1145</v>
      </c>
      <c r="P545" s="18"/>
      <c r="Q545" s="18"/>
      <c r="R545" s="23">
        <v>0.0</v>
      </c>
      <c r="S545" s="23">
        <v>0.0</v>
      </c>
      <c r="T545" s="23">
        <f t="shared" si="2"/>
        <v>0</v>
      </c>
      <c r="U545" s="23">
        <f t="shared" si="3"/>
        <v>0</v>
      </c>
      <c r="V545" s="23">
        <f t="shared" si="4"/>
        <v>0</v>
      </c>
      <c r="W545" s="24" t="str">
        <f t="shared" si="5"/>
        <v>#DIV/0!</v>
      </c>
    </row>
    <row r="546" hidden="1">
      <c r="A546" s="15" t="s">
        <v>1821</v>
      </c>
      <c r="B546" s="18"/>
      <c r="C546" s="15" t="s">
        <v>6871</v>
      </c>
      <c r="D546" s="18"/>
      <c r="E546" s="17" t="s">
        <v>1822</v>
      </c>
      <c r="F546" s="18"/>
      <c r="G546" s="18"/>
      <c r="H546" s="15" t="s">
        <v>1823</v>
      </c>
      <c r="I546" s="15" t="s">
        <v>1824</v>
      </c>
      <c r="J546" s="19" t="s">
        <v>36</v>
      </c>
      <c r="K546" s="19" t="s">
        <v>105</v>
      </c>
      <c r="L546" s="19" t="s">
        <v>38</v>
      </c>
      <c r="M546" s="20">
        <f t="shared" si="1"/>
        <v>0</v>
      </c>
      <c r="N546" s="22"/>
      <c r="O546" s="19" t="s">
        <v>1145</v>
      </c>
      <c r="P546" s="18"/>
      <c r="Q546" s="18"/>
      <c r="R546" s="23">
        <v>0.0</v>
      </c>
      <c r="S546" s="23">
        <v>0.0</v>
      </c>
      <c r="T546" s="23">
        <f t="shared" si="2"/>
        <v>0</v>
      </c>
      <c r="U546" s="23">
        <f t="shared" si="3"/>
        <v>0</v>
      </c>
      <c r="V546" s="23">
        <f t="shared" si="4"/>
        <v>0</v>
      </c>
      <c r="W546" s="24" t="str">
        <f t="shared" si="5"/>
        <v>#DIV/0!</v>
      </c>
    </row>
    <row r="547" hidden="1">
      <c r="A547" s="15" t="s">
        <v>1825</v>
      </c>
      <c r="B547" s="18"/>
      <c r="C547" s="15" t="s">
        <v>6872</v>
      </c>
      <c r="D547" s="18"/>
      <c r="E547" s="17" t="s">
        <v>1826</v>
      </c>
      <c r="F547" s="18"/>
      <c r="G547" s="18"/>
      <c r="H547" s="15" t="s">
        <v>1827</v>
      </c>
      <c r="I547" s="15" t="s">
        <v>1828</v>
      </c>
      <c r="J547" s="19" t="s">
        <v>36</v>
      </c>
      <c r="K547" s="19" t="s">
        <v>37</v>
      </c>
      <c r="L547" s="19" t="s">
        <v>38</v>
      </c>
      <c r="M547" s="20">
        <f t="shared" si="1"/>
        <v>0</v>
      </c>
      <c r="N547" s="22"/>
      <c r="O547" s="19" t="s">
        <v>1145</v>
      </c>
      <c r="P547" s="18"/>
      <c r="Q547" s="18"/>
      <c r="R547" s="23">
        <v>0.0</v>
      </c>
      <c r="S547" s="23">
        <v>0.0</v>
      </c>
      <c r="T547" s="23">
        <f t="shared" si="2"/>
        <v>0</v>
      </c>
      <c r="U547" s="23">
        <f t="shared" si="3"/>
        <v>0</v>
      </c>
      <c r="V547" s="23">
        <f t="shared" si="4"/>
        <v>0</v>
      </c>
      <c r="W547" s="24" t="str">
        <f t="shared" si="5"/>
        <v>#DIV/0!</v>
      </c>
    </row>
    <row r="548" hidden="1">
      <c r="A548" s="15" t="s">
        <v>6873</v>
      </c>
      <c r="B548" s="15" t="s">
        <v>6874</v>
      </c>
      <c r="C548" s="15" t="s">
        <v>6875</v>
      </c>
      <c r="D548" s="18"/>
      <c r="E548" s="17" t="s">
        <v>140</v>
      </c>
      <c r="F548" s="18"/>
      <c r="G548" s="18"/>
      <c r="H548" s="15" t="s">
        <v>6876</v>
      </c>
      <c r="I548" s="15" t="s">
        <v>6877</v>
      </c>
      <c r="J548" s="19" t="s">
        <v>36</v>
      </c>
      <c r="K548" s="19" t="s">
        <v>37</v>
      </c>
      <c r="L548" s="19" t="s">
        <v>38</v>
      </c>
      <c r="M548" s="20">
        <f t="shared" si="1"/>
        <v>0</v>
      </c>
      <c r="N548" s="22"/>
      <c r="O548" s="19" t="s">
        <v>39</v>
      </c>
      <c r="P548" s="18"/>
      <c r="Q548" s="18"/>
      <c r="R548" s="23">
        <v>0.0</v>
      </c>
      <c r="S548" s="23">
        <v>0.0</v>
      </c>
      <c r="T548" s="23">
        <f t="shared" si="2"/>
        <v>0</v>
      </c>
      <c r="U548" s="23">
        <f t="shared" si="3"/>
        <v>0</v>
      </c>
      <c r="V548" s="23">
        <f t="shared" si="4"/>
        <v>0</v>
      </c>
      <c r="W548" s="24" t="str">
        <f t="shared" si="5"/>
        <v>#DIV/0!</v>
      </c>
    </row>
    <row r="549" hidden="1">
      <c r="A549" s="15" t="s">
        <v>6878</v>
      </c>
      <c r="B549" s="18"/>
      <c r="C549" s="15" t="s">
        <v>6879</v>
      </c>
      <c r="D549" s="18"/>
      <c r="E549" s="17" t="s">
        <v>6880</v>
      </c>
      <c r="F549" s="18"/>
      <c r="G549" s="18"/>
      <c r="H549" s="15" t="s">
        <v>6881</v>
      </c>
      <c r="I549" s="15" t="s">
        <v>325</v>
      </c>
      <c r="J549" s="19" t="s">
        <v>36</v>
      </c>
      <c r="K549" s="19" t="s">
        <v>105</v>
      </c>
      <c r="L549" s="19" t="s">
        <v>38</v>
      </c>
      <c r="M549" s="20">
        <f t="shared" si="1"/>
        <v>0</v>
      </c>
      <c r="N549" s="22"/>
      <c r="O549" s="19" t="s">
        <v>39</v>
      </c>
      <c r="P549" s="18"/>
      <c r="Q549" s="18"/>
      <c r="R549" s="23">
        <v>0.0</v>
      </c>
      <c r="S549" s="23">
        <v>0.0</v>
      </c>
      <c r="T549" s="23">
        <f t="shared" si="2"/>
        <v>0</v>
      </c>
      <c r="U549" s="23">
        <f t="shared" si="3"/>
        <v>0</v>
      </c>
      <c r="V549" s="23">
        <f t="shared" si="4"/>
        <v>0</v>
      </c>
      <c r="W549" s="24" t="str">
        <f t="shared" si="5"/>
        <v>#DIV/0!</v>
      </c>
    </row>
    <row r="550">
      <c r="A550" s="15" t="s">
        <v>1079</v>
      </c>
      <c r="B550" s="15" t="s">
        <v>1080</v>
      </c>
      <c r="C550" s="15" t="s">
        <v>6004</v>
      </c>
      <c r="D550" s="15" t="s">
        <v>6882</v>
      </c>
      <c r="E550" s="17" t="s">
        <v>1082</v>
      </c>
      <c r="F550" s="18"/>
      <c r="G550" s="18"/>
      <c r="H550" s="15" t="s">
        <v>1083</v>
      </c>
      <c r="I550" s="15"/>
      <c r="J550" s="19" t="s">
        <v>36</v>
      </c>
      <c r="K550" s="19" t="s">
        <v>60</v>
      </c>
      <c r="L550" s="19" t="s">
        <v>115</v>
      </c>
      <c r="M550" s="20">
        <f t="shared" si="1"/>
        <v>4138.08</v>
      </c>
      <c r="N550" s="31">
        <v>4.0</v>
      </c>
      <c r="O550" s="19" t="s">
        <v>107</v>
      </c>
      <c r="P550" s="18"/>
      <c r="Q550" s="18"/>
      <c r="R550" s="23">
        <v>80.0</v>
      </c>
      <c r="S550" s="23">
        <v>233.0</v>
      </c>
      <c r="T550" s="23">
        <f t="shared" si="2"/>
        <v>223.68</v>
      </c>
      <c r="U550" s="23">
        <f t="shared" si="3"/>
        <v>98</v>
      </c>
      <c r="V550" s="23">
        <f t="shared" si="4"/>
        <v>1837.5</v>
      </c>
      <c r="W550" s="24">
        <f t="shared" si="5"/>
        <v>2.796</v>
      </c>
    </row>
    <row r="551" hidden="1">
      <c r="A551" s="15" t="s">
        <v>1829</v>
      </c>
      <c r="B551" s="18"/>
      <c r="C551" s="15" t="s">
        <v>6883</v>
      </c>
      <c r="D551" s="18"/>
      <c r="E551" s="17" t="s">
        <v>1830</v>
      </c>
      <c r="F551" s="18"/>
      <c r="G551" s="18"/>
      <c r="H551" s="15" t="s">
        <v>1831</v>
      </c>
      <c r="I551" s="15" t="s">
        <v>1832</v>
      </c>
      <c r="J551" s="19" t="s">
        <v>36</v>
      </c>
      <c r="K551" s="19" t="s">
        <v>1230</v>
      </c>
      <c r="L551" s="19" t="s">
        <v>38</v>
      </c>
      <c r="M551" s="20">
        <f t="shared" si="1"/>
        <v>0</v>
      </c>
      <c r="N551" s="22"/>
      <c r="O551" s="19" t="s">
        <v>1145</v>
      </c>
      <c r="P551" s="18"/>
      <c r="Q551" s="18"/>
      <c r="R551" s="23">
        <v>0.0</v>
      </c>
      <c r="S551" s="23">
        <v>0.0</v>
      </c>
      <c r="T551" s="23">
        <f t="shared" si="2"/>
        <v>0</v>
      </c>
      <c r="U551" s="23">
        <f t="shared" si="3"/>
        <v>0</v>
      </c>
      <c r="V551" s="23">
        <f t="shared" si="4"/>
        <v>0</v>
      </c>
      <c r="W551" s="24" t="str">
        <f t="shared" si="5"/>
        <v>#DIV/0!</v>
      </c>
    </row>
    <row r="552" hidden="1">
      <c r="A552" s="15" t="s">
        <v>1833</v>
      </c>
      <c r="B552" s="18"/>
      <c r="C552" s="15" t="s">
        <v>6884</v>
      </c>
      <c r="D552" s="18"/>
      <c r="E552" s="17" t="s">
        <v>1834</v>
      </c>
      <c r="F552" s="18"/>
      <c r="G552" s="18"/>
      <c r="H552" s="15" t="s">
        <v>1835</v>
      </c>
      <c r="I552" s="15" t="s">
        <v>1836</v>
      </c>
      <c r="J552" s="19" t="s">
        <v>36</v>
      </c>
      <c r="K552" s="19" t="s">
        <v>1230</v>
      </c>
      <c r="L552" s="19" t="s">
        <v>38</v>
      </c>
      <c r="M552" s="20">
        <f t="shared" si="1"/>
        <v>0</v>
      </c>
      <c r="N552" s="22"/>
      <c r="O552" s="19" t="s">
        <v>1145</v>
      </c>
      <c r="P552" s="18"/>
      <c r="Q552" s="18"/>
      <c r="R552" s="23">
        <v>0.0</v>
      </c>
      <c r="S552" s="23">
        <v>0.0</v>
      </c>
      <c r="T552" s="23">
        <f t="shared" si="2"/>
        <v>0</v>
      </c>
      <c r="U552" s="23">
        <f t="shared" si="3"/>
        <v>0</v>
      </c>
      <c r="V552" s="23">
        <f t="shared" si="4"/>
        <v>0</v>
      </c>
      <c r="W552" s="24" t="str">
        <f t="shared" si="5"/>
        <v>#DIV/0!</v>
      </c>
    </row>
    <row r="553" hidden="1">
      <c r="A553" s="15" t="s">
        <v>1837</v>
      </c>
      <c r="B553" s="18"/>
      <c r="C553" s="15" t="s">
        <v>6885</v>
      </c>
      <c r="D553" s="18"/>
      <c r="E553" s="17" t="s">
        <v>1838</v>
      </c>
      <c r="F553" s="18"/>
      <c r="G553" s="18"/>
      <c r="H553" s="15" t="s">
        <v>1839</v>
      </c>
      <c r="I553" s="15" t="s">
        <v>1840</v>
      </c>
      <c r="J553" s="19" t="s">
        <v>36</v>
      </c>
      <c r="K553" s="19" t="s">
        <v>37</v>
      </c>
      <c r="L553" s="19" t="s">
        <v>38</v>
      </c>
      <c r="M553" s="20">
        <f t="shared" si="1"/>
        <v>0</v>
      </c>
      <c r="N553" s="22"/>
      <c r="O553" s="19" t="s">
        <v>1145</v>
      </c>
      <c r="P553" s="18"/>
      <c r="Q553" s="18"/>
      <c r="R553" s="23">
        <v>0.0</v>
      </c>
      <c r="S553" s="23">
        <v>0.0</v>
      </c>
      <c r="T553" s="23">
        <f t="shared" si="2"/>
        <v>0</v>
      </c>
      <c r="U553" s="23">
        <f t="shared" si="3"/>
        <v>0</v>
      </c>
      <c r="V553" s="23">
        <f t="shared" si="4"/>
        <v>0</v>
      </c>
      <c r="W553" s="24" t="str">
        <f t="shared" si="5"/>
        <v>#DIV/0!</v>
      </c>
    </row>
    <row r="554" hidden="1">
      <c r="A554" s="15" t="s">
        <v>1841</v>
      </c>
      <c r="B554" s="18"/>
      <c r="C554" s="15" t="s">
        <v>6886</v>
      </c>
      <c r="D554" s="18"/>
      <c r="E554" s="17" t="s">
        <v>1842</v>
      </c>
      <c r="F554" s="18"/>
      <c r="G554" s="18"/>
      <c r="H554" s="15" t="s">
        <v>1843</v>
      </c>
      <c r="I554" s="15" t="s">
        <v>1844</v>
      </c>
      <c r="J554" s="19" t="s">
        <v>36</v>
      </c>
      <c r="K554" s="19" t="s">
        <v>1230</v>
      </c>
      <c r="L554" s="19" t="s">
        <v>38</v>
      </c>
      <c r="M554" s="20">
        <f t="shared" si="1"/>
        <v>0</v>
      </c>
      <c r="N554" s="22"/>
      <c r="O554" s="19" t="s">
        <v>1145</v>
      </c>
      <c r="P554" s="18"/>
      <c r="Q554" s="18"/>
      <c r="R554" s="23">
        <v>0.0</v>
      </c>
      <c r="S554" s="23">
        <v>0.0</v>
      </c>
      <c r="T554" s="23">
        <f t="shared" si="2"/>
        <v>0</v>
      </c>
      <c r="U554" s="23">
        <f t="shared" si="3"/>
        <v>0</v>
      </c>
      <c r="V554" s="23">
        <f t="shared" si="4"/>
        <v>0</v>
      </c>
      <c r="W554" s="24" t="str">
        <f t="shared" si="5"/>
        <v>#DIV/0!</v>
      </c>
    </row>
    <row r="555" hidden="1">
      <c r="A555" s="15" t="s">
        <v>1845</v>
      </c>
      <c r="B555" s="18"/>
      <c r="C555" s="15" t="s">
        <v>6887</v>
      </c>
      <c r="D555" s="18"/>
      <c r="E555" s="17" t="s">
        <v>1846</v>
      </c>
      <c r="F555" s="18"/>
      <c r="G555" s="18"/>
      <c r="H555" s="15" t="s">
        <v>1847</v>
      </c>
      <c r="I555" s="15" t="s">
        <v>1848</v>
      </c>
      <c r="J555" s="19" t="s">
        <v>36</v>
      </c>
      <c r="K555" s="19" t="s">
        <v>1230</v>
      </c>
      <c r="L555" s="19" t="s">
        <v>38</v>
      </c>
      <c r="M555" s="20">
        <f t="shared" si="1"/>
        <v>0</v>
      </c>
      <c r="N555" s="22"/>
      <c r="O555" s="19" t="s">
        <v>1145</v>
      </c>
      <c r="P555" s="18"/>
      <c r="Q555" s="18"/>
      <c r="R555" s="23">
        <v>0.0</v>
      </c>
      <c r="S555" s="23">
        <v>0.0</v>
      </c>
      <c r="T555" s="23">
        <f t="shared" si="2"/>
        <v>0</v>
      </c>
      <c r="U555" s="23">
        <f t="shared" si="3"/>
        <v>0</v>
      </c>
      <c r="V555" s="23">
        <f t="shared" si="4"/>
        <v>0</v>
      </c>
      <c r="W555" s="24" t="str">
        <f t="shared" si="5"/>
        <v>#DIV/0!</v>
      </c>
    </row>
    <row r="556" hidden="1">
      <c r="A556" s="15" t="s">
        <v>1849</v>
      </c>
      <c r="B556" s="18"/>
      <c r="C556" s="15" t="s">
        <v>6888</v>
      </c>
      <c r="D556" s="18"/>
      <c r="E556" s="17" t="s">
        <v>1850</v>
      </c>
      <c r="F556" s="18"/>
      <c r="G556" s="18"/>
      <c r="H556" s="15" t="s">
        <v>1851</v>
      </c>
      <c r="I556" s="15" t="s">
        <v>1852</v>
      </c>
      <c r="J556" s="19" t="s">
        <v>36</v>
      </c>
      <c r="K556" s="19" t="s">
        <v>1230</v>
      </c>
      <c r="L556" s="19" t="s">
        <v>38</v>
      </c>
      <c r="M556" s="20">
        <f t="shared" si="1"/>
        <v>0</v>
      </c>
      <c r="N556" s="22"/>
      <c r="O556" s="19" t="s">
        <v>1145</v>
      </c>
      <c r="P556" s="18"/>
      <c r="Q556" s="18"/>
      <c r="R556" s="23">
        <v>0.0</v>
      </c>
      <c r="S556" s="23">
        <v>0.0</v>
      </c>
      <c r="T556" s="23">
        <f t="shared" si="2"/>
        <v>0</v>
      </c>
      <c r="U556" s="23">
        <f t="shared" si="3"/>
        <v>0</v>
      </c>
      <c r="V556" s="23">
        <f t="shared" si="4"/>
        <v>0</v>
      </c>
      <c r="W556" s="24" t="str">
        <f t="shared" si="5"/>
        <v>#DIV/0!</v>
      </c>
    </row>
    <row r="557" hidden="1">
      <c r="A557" s="15" t="s">
        <v>1853</v>
      </c>
      <c r="B557" s="18"/>
      <c r="C557" s="15" t="s">
        <v>6889</v>
      </c>
      <c r="D557" s="18"/>
      <c r="E557" s="17" t="s">
        <v>1854</v>
      </c>
      <c r="F557" s="18"/>
      <c r="G557" s="18"/>
      <c r="H557" s="15" t="s">
        <v>1855</v>
      </c>
      <c r="I557" s="15" t="s">
        <v>1856</v>
      </c>
      <c r="J557" s="19" t="s">
        <v>36</v>
      </c>
      <c r="K557" s="19" t="s">
        <v>1230</v>
      </c>
      <c r="L557" s="19" t="s">
        <v>38</v>
      </c>
      <c r="M557" s="20">
        <f t="shared" si="1"/>
        <v>0</v>
      </c>
      <c r="N557" s="22"/>
      <c r="O557" s="19" t="s">
        <v>1145</v>
      </c>
      <c r="P557" s="18"/>
      <c r="Q557" s="18"/>
      <c r="R557" s="23">
        <v>0.0</v>
      </c>
      <c r="S557" s="23">
        <v>0.0</v>
      </c>
      <c r="T557" s="23">
        <f t="shared" si="2"/>
        <v>0</v>
      </c>
      <c r="U557" s="23">
        <f t="shared" si="3"/>
        <v>0</v>
      </c>
      <c r="V557" s="23">
        <f t="shared" si="4"/>
        <v>0</v>
      </c>
      <c r="W557" s="24" t="str">
        <f t="shared" si="5"/>
        <v>#DIV/0!</v>
      </c>
    </row>
    <row r="558" hidden="1">
      <c r="A558" s="15" t="s">
        <v>1857</v>
      </c>
      <c r="B558" s="18"/>
      <c r="C558" s="15" t="s">
        <v>6890</v>
      </c>
      <c r="D558" s="18"/>
      <c r="E558" s="17" t="s">
        <v>1858</v>
      </c>
      <c r="F558" s="18"/>
      <c r="G558" s="18"/>
      <c r="H558" s="15" t="s">
        <v>1859</v>
      </c>
      <c r="I558" s="15" t="s">
        <v>1860</v>
      </c>
      <c r="J558" s="19" t="s">
        <v>36</v>
      </c>
      <c r="K558" s="19" t="s">
        <v>37</v>
      </c>
      <c r="L558" s="19" t="s">
        <v>38</v>
      </c>
      <c r="M558" s="20">
        <f t="shared" si="1"/>
        <v>0</v>
      </c>
      <c r="N558" s="22"/>
      <c r="O558" s="19" t="s">
        <v>1145</v>
      </c>
      <c r="P558" s="18"/>
      <c r="Q558" s="18"/>
      <c r="R558" s="23">
        <v>0.0</v>
      </c>
      <c r="S558" s="23">
        <v>0.0</v>
      </c>
      <c r="T558" s="23">
        <f t="shared" si="2"/>
        <v>0</v>
      </c>
      <c r="U558" s="23">
        <f t="shared" si="3"/>
        <v>0</v>
      </c>
      <c r="V558" s="23">
        <f t="shared" si="4"/>
        <v>0</v>
      </c>
      <c r="W558" s="24" t="str">
        <f t="shared" si="5"/>
        <v>#DIV/0!</v>
      </c>
    </row>
    <row r="559" hidden="1">
      <c r="A559" s="15" t="s">
        <v>6891</v>
      </c>
      <c r="B559" s="18"/>
      <c r="C559" s="15" t="s">
        <v>6892</v>
      </c>
      <c r="D559" s="18"/>
      <c r="E559" s="17" t="s">
        <v>6893</v>
      </c>
      <c r="F559" s="18"/>
      <c r="G559" s="18"/>
      <c r="H559" s="15" t="s">
        <v>6894</v>
      </c>
      <c r="I559" s="15" t="s">
        <v>684</v>
      </c>
      <c r="J559" s="19" t="s">
        <v>36</v>
      </c>
      <c r="K559" s="19" t="s">
        <v>105</v>
      </c>
      <c r="L559" s="19" t="s">
        <v>38</v>
      </c>
      <c r="M559" s="20">
        <f t="shared" si="1"/>
        <v>0</v>
      </c>
      <c r="N559" s="22"/>
      <c r="O559" s="19" t="s">
        <v>39</v>
      </c>
      <c r="P559" s="18"/>
      <c r="Q559" s="18"/>
      <c r="R559" s="23">
        <v>0.0</v>
      </c>
      <c r="S559" s="23">
        <v>0.0</v>
      </c>
      <c r="T559" s="23">
        <f t="shared" si="2"/>
        <v>0</v>
      </c>
      <c r="U559" s="23">
        <f t="shared" si="3"/>
        <v>0</v>
      </c>
      <c r="V559" s="23">
        <f t="shared" si="4"/>
        <v>0</v>
      </c>
      <c r="W559" s="24" t="str">
        <f t="shared" si="5"/>
        <v>#DIV/0!</v>
      </c>
    </row>
    <row r="560" hidden="1">
      <c r="A560" s="15" t="s">
        <v>1861</v>
      </c>
      <c r="B560" s="18"/>
      <c r="C560" s="15" t="s">
        <v>6895</v>
      </c>
      <c r="D560" s="18"/>
      <c r="E560" s="17" t="s">
        <v>1862</v>
      </c>
      <c r="F560" s="18"/>
      <c r="G560" s="18"/>
      <c r="H560" s="15" t="s">
        <v>1863</v>
      </c>
      <c r="I560" s="15" t="s">
        <v>1864</v>
      </c>
      <c r="J560" s="19" t="s">
        <v>36</v>
      </c>
      <c r="K560" s="19" t="s">
        <v>105</v>
      </c>
      <c r="L560" s="19" t="s">
        <v>38</v>
      </c>
      <c r="M560" s="20">
        <f t="shared" si="1"/>
        <v>0</v>
      </c>
      <c r="N560" s="22"/>
      <c r="O560" s="19" t="s">
        <v>1145</v>
      </c>
      <c r="P560" s="18"/>
      <c r="Q560" s="18"/>
      <c r="R560" s="23">
        <v>0.0</v>
      </c>
      <c r="S560" s="23">
        <v>0.0</v>
      </c>
      <c r="T560" s="23">
        <f t="shared" si="2"/>
        <v>0</v>
      </c>
      <c r="U560" s="23">
        <f t="shared" si="3"/>
        <v>0</v>
      </c>
      <c r="V560" s="23">
        <f t="shared" si="4"/>
        <v>0</v>
      </c>
      <c r="W560" s="24" t="str">
        <f t="shared" si="5"/>
        <v>#DIV/0!</v>
      </c>
    </row>
    <row r="561" hidden="1">
      <c r="A561" s="15" t="s">
        <v>1865</v>
      </c>
      <c r="B561" s="18"/>
      <c r="C561" s="15" t="s">
        <v>6896</v>
      </c>
      <c r="D561" s="18"/>
      <c r="E561" s="17" t="s">
        <v>1866</v>
      </c>
      <c r="F561" s="18"/>
      <c r="G561" s="18"/>
      <c r="H561" s="15" t="s">
        <v>1867</v>
      </c>
      <c r="I561" s="15" t="s">
        <v>1868</v>
      </c>
      <c r="J561" s="19" t="s">
        <v>36</v>
      </c>
      <c r="K561" s="19" t="s">
        <v>105</v>
      </c>
      <c r="L561" s="19" t="s">
        <v>38</v>
      </c>
      <c r="M561" s="20">
        <f t="shared" si="1"/>
        <v>0</v>
      </c>
      <c r="N561" s="22"/>
      <c r="O561" s="19" t="s">
        <v>1145</v>
      </c>
      <c r="P561" s="18"/>
      <c r="Q561" s="18"/>
      <c r="R561" s="23">
        <v>0.0</v>
      </c>
      <c r="S561" s="23">
        <v>0.0</v>
      </c>
      <c r="T561" s="23">
        <f t="shared" si="2"/>
        <v>0</v>
      </c>
      <c r="U561" s="23">
        <f t="shared" si="3"/>
        <v>0</v>
      </c>
      <c r="V561" s="23">
        <f t="shared" si="4"/>
        <v>0</v>
      </c>
      <c r="W561" s="24" t="str">
        <f t="shared" si="5"/>
        <v>#DIV/0!</v>
      </c>
    </row>
    <row r="562" hidden="1">
      <c r="A562" s="15" t="s">
        <v>1869</v>
      </c>
      <c r="B562" s="18"/>
      <c r="C562" s="15" t="s">
        <v>6897</v>
      </c>
      <c r="D562" s="18"/>
      <c r="E562" s="17" t="s">
        <v>1870</v>
      </c>
      <c r="F562" s="18"/>
      <c r="G562" s="18"/>
      <c r="H562" s="15" t="s">
        <v>1871</v>
      </c>
      <c r="I562" s="15" t="s">
        <v>1872</v>
      </c>
      <c r="J562" s="19" t="s">
        <v>36</v>
      </c>
      <c r="K562" s="19" t="s">
        <v>105</v>
      </c>
      <c r="L562" s="19" t="s">
        <v>38</v>
      </c>
      <c r="M562" s="20">
        <f t="shared" si="1"/>
        <v>0</v>
      </c>
      <c r="N562" s="22"/>
      <c r="O562" s="19" t="s">
        <v>1145</v>
      </c>
      <c r="P562" s="18"/>
      <c r="Q562" s="18"/>
      <c r="R562" s="23">
        <v>0.0</v>
      </c>
      <c r="S562" s="23">
        <v>0.0</v>
      </c>
      <c r="T562" s="23">
        <f t="shared" si="2"/>
        <v>0</v>
      </c>
      <c r="U562" s="23">
        <f t="shared" si="3"/>
        <v>0</v>
      </c>
      <c r="V562" s="23">
        <f t="shared" si="4"/>
        <v>0</v>
      </c>
      <c r="W562" s="24" t="str">
        <f t="shared" si="5"/>
        <v>#DIV/0!</v>
      </c>
    </row>
    <row r="563" hidden="1">
      <c r="A563" s="15" t="s">
        <v>6898</v>
      </c>
      <c r="B563" s="18"/>
      <c r="C563" s="15" t="s">
        <v>6899</v>
      </c>
      <c r="D563" s="18"/>
      <c r="E563" s="17" t="s">
        <v>6900</v>
      </c>
      <c r="F563" s="18"/>
      <c r="G563" s="18"/>
      <c r="H563" s="15" t="s">
        <v>6901</v>
      </c>
      <c r="I563" s="15" t="s">
        <v>4265</v>
      </c>
      <c r="J563" s="19" t="s">
        <v>36</v>
      </c>
      <c r="K563" s="19" t="s">
        <v>1230</v>
      </c>
      <c r="L563" s="19" t="s">
        <v>38</v>
      </c>
      <c r="M563" s="20">
        <f t="shared" si="1"/>
        <v>0</v>
      </c>
      <c r="N563" s="22"/>
      <c r="O563" s="19" t="s">
        <v>39</v>
      </c>
      <c r="P563" s="18"/>
      <c r="Q563" s="18"/>
      <c r="R563" s="23">
        <v>0.0</v>
      </c>
      <c r="S563" s="23">
        <v>0.0</v>
      </c>
      <c r="T563" s="23">
        <f t="shared" si="2"/>
        <v>0</v>
      </c>
      <c r="U563" s="23">
        <f t="shared" si="3"/>
        <v>0</v>
      </c>
      <c r="V563" s="23">
        <f t="shared" si="4"/>
        <v>0</v>
      </c>
      <c r="W563" s="24" t="str">
        <f t="shared" si="5"/>
        <v>#DIV/0!</v>
      </c>
    </row>
    <row r="564" hidden="1">
      <c r="A564" s="15" t="s">
        <v>6902</v>
      </c>
      <c r="B564" s="18"/>
      <c r="C564" s="15" t="s">
        <v>6903</v>
      </c>
      <c r="D564" s="18"/>
      <c r="E564" s="17" t="s">
        <v>6904</v>
      </c>
      <c r="F564" s="18"/>
      <c r="G564" s="18"/>
      <c r="H564" s="15" t="s">
        <v>6905</v>
      </c>
      <c r="I564" s="15" t="s">
        <v>4265</v>
      </c>
      <c r="J564" s="19" t="s">
        <v>36</v>
      </c>
      <c r="K564" s="19" t="s">
        <v>1230</v>
      </c>
      <c r="L564" s="19" t="s">
        <v>38</v>
      </c>
      <c r="M564" s="20">
        <f t="shared" si="1"/>
        <v>0</v>
      </c>
      <c r="N564" s="22"/>
      <c r="O564" s="19" t="s">
        <v>39</v>
      </c>
      <c r="P564" s="18"/>
      <c r="Q564" s="18"/>
      <c r="R564" s="23">
        <v>0.0</v>
      </c>
      <c r="S564" s="23">
        <v>0.0</v>
      </c>
      <c r="T564" s="23">
        <f t="shared" si="2"/>
        <v>0</v>
      </c>
      <c r="U564" s="23">
        <f t="shared" si="3"/>
        <v>0</v>
      </c>
      <c r="V564" s="23">
        <f t="shared" si="4"/>
        <v>0</v>
      </c>
      <c r="W564" s="24" t="str">
        <f t="shared" si="5"/>
        <v>#DIV/0!</v>
      </c>
    </row>
    <row r="565" hidden="1">
      <c r="A565" s="15" t="s">
        <v>6906</v>
      </c>
      <c r="B565" s="18"/>
      <c r="C565" s="15" t="s">
        <v>6907</v>
      </c>
      <c r="D565" s="18"/>
      <c r="E565" s="17" t="s">
        <v>6908</v>
      </c>
      <c r="F565" s="18"/>
      <c r="G565" s="18"/>
      <c r="H565" s="15" t="s">
        <v>6909</v>
      </c>
      <c r="I565" s="15" t="s">
        <v>4260</v>
      </c>
      <c r="J565" s="19" t="s">
        <v>36</v>
      </c>
      <c r="K565" s="19" t="s">
        <v>37</v>
      </c>
      <c r="L565" s="19" t="s">
        <v>38</v>
      </c>
      <c r="M565" s="20">
        <f t="shared" si="1"/>
        <v>0</v>
      </c>
      <c r="N565" s="22"/>
      <c r="O565" s="19" t="s">
        <v>39</v>
      </c>
      <c r="P565" s="18"/>
      <c r="Q565" s="18"/>
      <c r="R565" s="23">
        <v>0.0</v>
      </c>
      <c r="S565" s="23">
        <v>0.0</v>
      </c>
      <c r="T565" s="23">
        <f t="shared" si="2"/>
        <v>0</v>
      </c>
      <c r="U565" s="23">
        <f t="shared" si="3"/>
        <v>0</v>
      </c>
      <c r="V565" s="23">
        <f t="shared" si="4"/>
        <v>0</v>
      </c>
      <c r="W565" s="24" t="str">
        <f t="shared" si="5"/>
        <v>#DIV/0!</v>
      </c>
    </row>
    <row r="566" hidden="1">
      <c r="A566" s="15" t="s">
        <v>1873</v>
      </c>
      <c r="B566" s="18"/>
      <c r="C566" s="15" t="s">
        <v>6910</v>
      </c>
      <c r="D566" s="18"/>
      <c r="E566" s="17" t="s">
        <v>1874</v>
      </c>
      <c r="F566" s="18"/>
      <c r="G566" s="18"/>
      <c r="H566" s="15" t="s">
        <v>1875</v>
      </c>
      <c r="I566" s="15" t="s">
        <v>1876</v>
      </c>
      <c r="J566" s="19" t="s">
        <v>36</v>
      </c>
      <c r="K566" s="19" t="s">
        <v>105</v>
      </c>
      <c r="L566" s="19" t="s">
        <v>38</v>
      </c>
      <c r="M566" s="20">
        <f t="shared" si="1"/>
        <v>0</v>
      </c>
      <c r="N566" s="22"/>
      <c r="O566" s="19" t="s">
        <v>1145</v>
      </c>
      <c r="P566" s="18"/>
      <c r="Q566" s="18"/>
      <c r="R566" s="23">
        <v>0.0</v>
      </c>
      <c r="S566" s="23">
        <v>0.0</v>
      </c>
      <c r="T566" s="23">
        <f t="shared" si="2"/>
        <v>0</v>
      </c>
      <c r="U566" s="23">
        <f t="shared" si="3"/>
        <v>0</v>
      </c>
      <c r="V566" s="23">
        <f t="shared" si="4"/>
        <v>0</v>
      </c>
      <c r="W566" s="24" t="str">
        <f t="shared" si="5"/>
        <v>#DIV/0!</v>
      </c>
    </row>
    <row r="567" hidden="1">
      <c r="A567" s="15" t="s">
        <v>6911</v>
      </c>
      <c r="B567" s="18"/>
      <c r="C567" s="15" t="s">
        <v>6912</v>
      </c>
      <c r="D567" s="18"/>
      <c r="E567" s="17" t="s">
        <v>566</v>
      </c>
      <c r="F567" s="18"/>
      <c r="G567" s="18"/>
      <c r="H567" s="15" t="s">
        <v>6913</v>
      </c>
      <c r="I567" s="15" t="s">
        <v>567</v>
      </c>
      <c r="J567" s="19" t="s">
        <v>36</v>
      </c>
      <c r="K567" s="19" t="s">
        <v>105</v>
      </c>
      <c r="L567" s="19" t="s">
        <v>38</v>
      </c>
      <c r="M567" s="20">
        <f t="shared" si="1"/>
        <v>0</v>
      </c>
      <c r="N567" s="22"/>
      <c r="O567" s="19" t="s">
        <v>39</v>
      </c>
      <c r="P567" s="18"/>
      <c r="Q567" s="18"/>
      <c r="R567" s="23">
        <v>0.0</v>
      </c>
      <c r="S567" s="23">
        <v>0.0</v>
      </c>
      <c r="T567" s="23">
        <f t="shared" si="2"/>
        <v>0</v>
      </c>
      <c r="U567" s="23">
        <f t="shared" si="3"/>
        <v>0</v>
      </c>
      <c r="V567" s="23">
        <f t="shared" si="4"/>
        <v>0</v>
      </c>
      <c r="W567" s="24" t="str">
        <f t="shared" si="5"/>
        <v>#DIV/0!</v>
      </c>
    </row>
    <row r="568" hidden="1">
      <c r="A568" s="15" t="s">
        <v>1877</v>
      </c>
      <c r="B568" s="18"/>
      <c r="C568" s="15" t="s">
        <v>6914</v>
      </c>
      <c r="D568" s="18"/>
      <c r="E568" s="17" t="s">
        <v>1878</v>
      </c>
      <c r="F568" s="18"/>
      <c r="G568" s="18"/>
      <c r="H568" s="15" t="s">
        <v>1879</v>
      </c>
      <c r="I568" s="15" t="s">
        <v>1880</v>
      </c>
      <c r="J568" s="19" t="s">
        <v>36</v>
      </c>
      <c r="K568" s="19" t="s">
        <v>105</v>
      </c>
      <c r="L568" s="19" t="s">
        <v>38</v>
      </c>
      <c r="M568" s="20">
        <f t="shared" si="1"/>
        <v>0</v>
      </c>
      <c r="N568" s="22"/>
      <c r="O568" s="19" t="s">
        <v>1145</v>
      </c>
      <c r="P568" s="18"/>
      <c r="Q568" s="18"/>
      <c r="R568" s="23">
        <v>0.0</v>
      </c>
      <c r="S568" s="23">
        <v>0.0</v>
      </c>
      <c r="T568" s="23">
        <f t="shared" si="2"/>
        <v>0</v>
      </c>
      <c r="U568" s="23">
        <f t="shared" si="3"/>
        <v>0</v>
      </c>
      <c r="V568" s="23">
        <f t="shared" si="4"/>
        <v>0</v>
      </c>
      <c r="W568" s="24" t="str">
        <f t="shared" si="5"/>
        <v>#DIV/0!</v>
      </c>
    </row>
    <row r="569" hidden="1">
      <c r="A569" s="15" t="s">
        <v>6915</v>
      </c>
      <c r="B569" s="18"/>
      <c r="C569" s="15" t="s">
        <v>6916</v>
      </c>
      <c r="D569" s="18"/>
      <c r="E569" s="17" t="s">
        <v>6801</v>
      </c>
      <c r="F569" s="18"/>
      <c r="G569" s="18"/>
      <c r="H569" s="15" t="s">
        <v>6917</v>
      </c>
      <c r="I569" s="15" t="s">
        <v>709</v>
      </c>
      <c r="J569" s="19" t="s">
        <v>36</v>
      </c>
      <c r="K569" s="19" t="s">
        <v>105</v>
      </c>
      <c r="L569" s="19" t="s">
        <v>38</v>
      </c>
      <c r="M569" s="20">
        <f t="shared" si="1"/>
        <v>0</v>
      </c>
      <c r="N569" s="22"/>
      <c r="O569" s="19" t="s">
        <v>39</v>
      </c>
      <c r="P569" s="18"/>
      <c r="Q569" s="18"/>
      <c r="R569" s="23">
        <v>0.0</v>
      </c>
      <c r="S569" s="23">
        <v>0.0</v>
      </c>
      <c r="T569" s="23">
        <f t="shared" si="2"/>
        <v>0</v>
      </c>
      <c r="U569" s="23">
        <f t="shared" si="3"/>
        <v>0</v>
      </c>
      <c r="V569" s="23">
        <f t="shared" si="4"/>
        <v>0</v>
      </c>
      <c r="W569" s="24" t="str">
        <f t="shared" si="5"/>
        <v>#DIV/0!</v>
      </c>
    </row>
    <row r="570" hidden="1">
      <c r="A570" s="15" t="s">
        <v>6918</v>
      </c>
      <c r="B570" s="18"/>
      <c r="C570" s="15" t="s">
        <v>6919</v>
      </c>
      <c r="D570" s="18"/>
      <c r="E570" s="17" t="s">
        <v>476</v>
      </c>
      <c r="F570" s="18"/>
      <c r="G570" s="18"/>
      <c r="H570" s="15" t="s">
        <v>6920</v>
      </c>
      <c r="I570" s="15" t="s">
        <v>477</v>
      </c>
      <c r="J570" s="19" t="s">
        <v>36</v>
      </c>
      <c r="K570" s="19" t="s">
        <v>105</v>
      </c>
      <c r="L570" s="19" t="s">
        <v>38</v>
      </c>
      <c r="M570" s="20">
        <f t="shared" si="1"/>
        <v>0</v>
      </c>
      <c r="N570" s="22"/>
      <c r="O570" s="19" t="s">
        <v>39</v>
      </c>
      <c r="P570" s="18"/>
      <c r="Q570" s="18"/>
      <c r="R570" s="23">
        <v>0.0</v>
      </c>
      <c r="S570" s="23">
        <v>0.0</v>
      </c>
      <c r="T570" s="23">
        <f t="shared" si="2"/>
        <v>0</v>
      </c>
      <c r="U570" s="23">
        <f t="shared" si="3"/>
        <v>0</v>
      </c>
      <c r="V570" s="23">
        <f t="shared" si="4"/>
        <v>0</v>
      </c>
      <c r="W570" s="24" t="str">
        <f t="shared" si="5"/>
        <v>#DIV/0!</v>
      </c>
    </row>
    <row r="571" hidden="1">
      <c r="A571" s="15" t="s">
        <v>6921</v>
      </c>
      <c r="B571" s="18"/>
      <c r="C571" s="15" t="s">
        <v>6922</v>
      </c>
      <c r="D571" s="18"/>
      <c r="E571" s="17" t="s">
        <v>547</v>
      </c>
      <c r="F571" s="18"/>
      <c r="G571" s="18"/>
      <c r="H571" s="15" t="s">
        <v>6923</v>
      </c>
      <c r="I571" s="15" t="s">
        <v>548</v>
      </c>
      <c r="J571" s="19" t="s">
        <v>36</v>
      </c>
      <c r="K571" s="19" t="s">
        <v>105</v>
      </c>
      <c r="L571" s="19" t="s">
        <v>38</v>
      </c>
      <c r="M571" s="20">
        <f t="shared" si="1"/>
        <v>0</v>
      </c>
      <c r="N571" s="22"/>
      <c r="O571" s="19" t="s">
        <v>39</v>
      </c>
      <c r="P571" s="18"/>
      <c r="Q571" s="18"/>
      <c r="R571" s="23">
        <v>0.0</v>
      </c>
      <c r="S571" s="23">
        <v>0.0</v>
      </c>
      <c r="T571" s="23">
        <f t="shared" si="2"/>
        <v>0</v>
      </c>
      <c r="U571" s="23">
        <f t="shared" si="3"/>
        <v>0</v>
      </c>
      <c r="V571" s="23">
        <f t="shared" si="4"/>
        <v>0</v>
      </c>
      <c r="W571" s="24" t="str">
        <f t="shared" si="5"/>
        <v>#DIV/0!</v>
      </c>
    </row>
    <row r="572" hidden="1">
      <c r="A572" s="15" t="s">
        <v>1881</v>
      </c>
      <c r="B572" s="18"/>
      <c r="C572" s="15" t="s">
        <v>6924</v>
      </c>
      <c r="D572" s="18"/>
      <c r="E572" s="17" t="s">
        <v>1882</v>
      </c>
      <c r="F572" s="18"/>
      <c r="G572" s="18"/>
      <c r="H572" s="15" t="s">
        <v>1883</v>
      </c>
      <c r="I572" s="15" t="s">
        <v>1884</v>
      </c>
      <c r="J572" s="19" t="s">
        <v>36</v>
      </c>
      <c r="K572" s="19" t="s">
        <v>105</v>
      </c>
      <c r="L572" s="19" t="s">
        <v>38</v>
      </c>
      <c r="M572" s="20">
        <f t="shared" si="1"/>
        <v>0</v>
      </c>
      <c r="N572" s="22"/>
      <c r="O572" s="19" t="s">
        <v>1145</v>
      </c>
      <c r="P572" s="18"/>
      <c r="Q572" s="18"/>
      <c r="R572" s="23">
        <v>0.0</v>
      </c>
      <c r="S572" s="23">
        <v>0.0</v>
      </c>
      <c r="T572" s="23">
        <f t="shared" si="2"/>
        <v>0</v>
      </c>
      <c r="U572" s="23">
        <f t="shared" si="3"/>
        <v>0</v>
      </c>
      <c r="V572" s="23">
        <f t="shared" si="4"/>
        <v>0</v>
      </c>
      <c r="W572" s="24" t="str">
        <f t="shared" si="5"/>
        <v>#DIV/0!</v>
      </c>
    </row>
    <row r="573" hidden="1">
      <c r="A573" s="15" t="s">
        <v>1885</v>
      </c>
      <c r="B573" s="18"/>
      <c r="C573" s="15" t="s">
        <v>6925</v>
      </c>
      <c r="D573" s="18"/>
      <c r="E573" s="17" t="s">
        <v>1886</v>
      </c>
      <c r="F573" s="18"/>
      <c r="G573" s="18"/>
      <c r="H573" s="15" t="s">
        <v>1887</v>
      </c>
      <c r="I573" s="15" t="s">
        <v>1888</v>
      </c>
      <c r="J573" s="19" t="s">
        <v>36</v>
      </c>
      <c r="K573" s="19" t="s">
        <v>105</v>
      </c>
      <c r="L573" s="19" t="s">
        <v>38</v>
      </c>
      <c r="M573" s="20">
        <f t="shared" si="1"/>
        <v>0</v>
      </c>
      <c r="N573" s="22"/>
      <c r="O573" s="19" t="s">
        <v>1145</v>
      </c>
      <c r="P573" s="18"/>
      <c r="Q573" s="18"/>
      <c r="R573" s="23">
        <v>0.0</v>
      </c>
      <c r="S573" s="23">
        <v>0.0</v>
      </c>
      <c r="T573" s="23">
        <f t="shared" si="2"/>
        <v>0</v>
      </c>
      <c r="U573" s="23">
        <f t="shared" si="3"/>
        <v>0</v>
      </c>
      <c r="V573" s="23">
        <f t="shared" si="4"/>
        <v>0</v>
      </c>
      <c r="W573" s="24" t="str">
        <f t="shared" si="5"/>
        <v>#DIV/0!</v>
      </c>
    </row>
    <row r="574" hidden="1">
      <c r="A574" s="15" t="s">
        <v>6926</v>
      </c>
      <c r="B574" s="18"/>
      <c r="C574" s="15" t="s">
        <v>6927</v>
      </c>
      <c r="D574" s="18"/>
      <c r="E574" s="17" t="s">
        <v>6928</v>
      </c>
      <c r="F574" s="18"/>
      <c r="G574" s="18"/>
      <c r="H574" s="15" t="s">
        <v>6929</v>
      </c>
      <c r="I574" s="15" t="s">
        <v>4213</v>
      </c>
      <c r="J574" s="19" t="s">
        <v>36</v>
      </c>
      <c r="K574" s="19" t="s">
        <v>105</v>
      </c>
      <c r="L574" s="19" t="s">
        <v>38</v>
      </c>
      <c r="M574" s="20">
        <f t="shared" si="1"/>
        <v>0</v>
      </c>
      <c r="N574" s="22"/>
      <c r="O574" s="19" t="s">
        <v>1145</v>
      </c>
      <c r="P574" s="18"/>
      <c r="Q574" s="18"/>
      <c r="R574" s="23">
        <v>0.0</v>
      </c>
      <c r="S574" s="23">
        <v>0.0</v>
      </c>
      <c r="T574" s="23">
        <f t="shared" si="2"/>
        <v>0</v>
      </c>
      <c r="U574" s="23">
        <f t="shared" si="3"/>
        <v>0</v>
      </c>
      <c r="V574" s="23">
        <f t="shared" si="4"/>
        <v>0</v>
      </c>
      <c r="W574" s="24" t="str">
        <f t="shared" si="5"/>
        <v>#DIV/0!</v>
      </c>
    </row>
    <row r="575" hidden="1">
      <c r="A575" s="15" t="s">
        <v>1889</v>
      </c>
      <c r="B575" s="18"/>
      <c r="C575" s="15" t="s">
        <v>6930</v>
      </c>
      <c r="D575" s="18"/>
      <c r="E575" s="17" t="s">
        <v>1890</v>
      </c>
      <c r="F575" s="18"/>
      <c r="G575" s="18"/>
      <c r="H575" s="15" t="s">
        <v>1891</v>
      </c>
      <c r="I575" s="15" t="s">
        <v>1892</v>
      </c>
      <c r="J575" s="19" t="s">
        <v>36</v>
      </c>
      <c r="K575" s="19" t="s">
        <v>105</v>
      </c>
      <c r="L575" s="19" t="s">
        <v>38</v>
      </c>
      <c r="M575" s="20">
        <f t="shared" si="1"/>
        <v>0</v>
      </c>
      <c r="N575" s="22"/>
      <c r="O575" s="19" t="s">
        <v>1145</v>
      </c>
      <c r="P575" s="18"/>
      <c r="Q575" s="18"/>
      <c r="R575" s="23">
        <v>0.0</v>
      </c>
      <c r="S575" s="23">
        <v>0.0</v>
      </c>
      <c r="T575" s="23">
        <f t="shared" si="2"/>
        <v>0</v>
      </c>
      <c r="U575" s="23">
        <f t="shared" si="3"/>
        <v>0</v>
      </c>
      <c r="V575" s="23">
        <f t="shared" si="4"/>
        <v>0</v>
      </c>
      <c r="W575" s="24" t="str">
        <f t="shared" si="5"/>
        <v>#DIV/0!</v>
      </c>
    </row>
    <row r="576" hidden="1">
      <c r="A576" s="15" t="s">
        <v>6931</v>
      </c>
      <c r="B576" s="18"/>
      <c r="C576" s="15" t="s">
        <v>6932</v>
      </c>
      <c r="D576" s="18"/>
      <c r="E576" s="17" t="s">
        <v>6933</v>
      </c>
      <c r="F576" s="18"/>
      <c r="G576" s="18"/>
      <c r="H576" s="15" t="s">
        <v>6934</v>
      </c>
      <c r="I576" s="15" t="s">
        <v>4230</v>
      </c>
      <c r="J576" s="19" t="s">
        <v>36</v>
      </c>
      <c r="K576" s="19" t="s">
        <v>105</v>
      </c>
      <c r="L576" s="19" t="s">
        <v>38</v>
      </c>
      <c r="M576" s="20">
        <f t="shared" si="1"/>
        <v>0</v>
      </c>
      <c r="N576" s="22"/>
      <c r="O576" s="19" t="s">
        <v>39</v>
      </c>
      <c r="P576" s="18"/>
      <c r="Q576" s="18"/>
      <c r="R576" s="23">
        <v>0.0</v>
      </c>
      <c r="S576" s="23">
        <v>0.0</v>
      </c>
      <c r="T576" s="23">
        <f t="shared" si="2"/>
        <v>0</v>
      </c>
      <c r="U576" s="23">
        <f t="shared" si="3"/>
        <v>0</v>
      </c>
      <c r="V576" s="23">
        <f t="shared" si="4"/>
        <v>0</v>
      </c>
      <c r="W576" s="24" t="str">
        <f t="shared" si="5"/>
        <v>#DIV/0!</v>
      </c>
    </row>
    <row r="577" hidden="1">
      <c r="A577" s="15" t="s">
        <v>1893</v>
      </c>
      <c r="B577" s="18"/>
      <c r="C577" s="15" t="s">
        <v>6935</v>
      </c>
      <c r="D577" s="18"/>
      <c r="E577" s="17" t="s">
        <v>1894</v>
      </c>
      <c r="F577" s="18"/>
      <c r="G577" s="18"/>
      <c r="H577" s="15" t="s">
        <v>1895</v>
      </c>
      <c r="I577" s="15" t="s">
        <v>1896</v>
      </c>
      <c r="J577" s="19" t="s">
        <v>36</v>
      </c>
      <c r="K577" s="19" t="s">
        <v>105</v>
      </c>
      <c r="L577" s="19" t="s">
        <v>38</v>
      </c>
      <c r="M577" s="20">
        <f t="shared" si="1"/>
        <v>0</v>
      </c>
      <c r="N577" s="22"/>
      <c r="O577" s="19" t="s">
        <v>1145</v>
      </c>
      <c r="P577" s="18"/>
      <c r="Q577" s="18"/>
      <c r="R577" s="23">
        <v>0.0</v>
      </c>
      <c r="S577" s="23">
        <v>0.0</v>
      </c>
      <c r="T577" s="23">
        <f t="shared" si="2"/>
        <v>0</v>
      </c>
      <c r="U577" s="23">
        <f t="shared" si="3"/>
        <v>0</v>
      </c>
      <c r="V577" s="23">
        <f t="shared" si="4"/>
        <v>0</v>
      </c>
      <c r="W577" s="24" t="str">
        <f t="shared" si="5"/>
        <v>#DIV/0!</v>
      </c>
    </row>
    <row r="578" hidden="1">
      <c r="A578" s="15" t="s">
        <v>6936</v>
      </c>
      <c r="B578" s="18"/>
      <c r="C578" s="15" t="s">
        <v>6937</v>
      </c>
      <c r="D578" s="18"/>
      <c r="E578" s="17" t="s">
        <v>6938</v>
      </c>
      <c r="F578" s="18"/>
      <c r="G578" s="18"/>
      <c r="H578" s="15" t="s">
        <v>6939</v>
      </c>
      <c r="I578" s="15" t="s">
        <v>729</v>
      </c>
      <c r="J578" s="19" t="s">
        <v>36</v>
      </c>
      <c r="K578" s="19" t="s">
        <v>105</v>
      </c>
      <c r="L578" s="19" t="s">
        <v>38</v>
      </c>
      <c r="M578" s="20">
        <f t="shared" si="1"/>
        <v>0</v>
      </c>
      <c r="N578" s="22"/>
      <c r="O578" s="19" t="s">
        <v>39</v>
      </c>
      <c r="P578" s="18"/>
      <c r="Q578" s="18"/>
      <c r="R578" s="23">
        <v>0.0</v>
      </c>
      <c r="S578" s="23">
        <v>0.0</v>
      </c>
      <c r="T578" s="23">
        <f t="shared" si="2"/>
        <v>0</v>
      </c>
      <c r="U578" s="23">
        <f t="shared" si="3"/>
        <v>0</v>
      </c>
      <c r="V578" s="23">
        <f t="shared" si="4"/>
        <v>0</v>
      </c>
      <c r="W578" s="24" t="str">
        <f t="shared" si="5"/>
        <v>#DIV/0!</v>
      </c>
    </row>
    <row r="579" hidden="1">
      <c r="A579" s="15" t="s">
        <v>1897</v>
      </c>
      <c r="B579" s="18"/>
      <c r="C579" s="15" t="s">
        <v>6940</v>
      </c>
      <c r="D579" s="18"/>
      <c r="E579" s="17" t="s">
        <v>1898</v>
      </c>
      <c r="F579" s="18"/>
      <c r="G579" s="18"/>
      <c r="H579" s="15" t="s">
        <v>1899</v>
      </c>
      <c r="I579" s="15" t="s">
        <v>1900</v>
      </c>
      <c r="J579" s="19" t="s">
        <v>36</v>
      </c>
      <c r="K579" s="19" t="s">
        <v>105</v>
      </c>
      <c r="L579" s="19" t="s">
        <v>38</v>
      </c>
      <c r="M579" s="20">
        <f t="shared" si="1"/>
        <v>0</v>
      </c>
      <c r="N579" s="22"/>
      <c r="O579" s="19" t="s">
        <v>1145</v>
      </c>
      <c r="P579" s="18"/>
      <c r="Q579" s="18"/>
      <c r="R579" s="23">
        <v>0.0</v>
      </c>
      <c r="S579" s="23">
        <v>0.0</v>
      </c>
      <c r="T579" s="23">
        <f t="shared" si="2"/>
        <v>0</v>
      </c>
      <c r="U579" s="23">
        <f t="shared" si="3"/>
        <v>0</v>
      </c>
      <c r="V579" s="23">
        <f t="shared" si="4"/>
        <v>0</v>
      </c>
      <c r="W579" s="24" t="str">
        <f t="shared" si="5"/>
        <v>#DIV/0!</v>
      </c>
    </row>
    <row r="580" hidden="1">
      <c r="A580" s="15" t="s">
        <v>1901</v>
      </c>
      <c r="B580" s="18"/>
      <c r="C580" s="15" t="s">
        <v>6941</v>
      </c>
      <c r="D580" s="18"/>
      <c r="E580" s="17" t="s">
        <v>1902</v>
      </c>
      <c r="F580" s="18"/>
      <c r="G580" s="18"/>
      <c r="H580" s="15" t="s">
        <v>1903</v>
      </c>
      <c r="I580" s="15" t="s">
        <v>1904</v>
      </c>
      <c r="J580" s="19" t="s">
        <v>36</v>
      </c>
      <c r="K580" s="19" t="s">
        <v>37</v>
      </c>
      <c r="L580" s="19" t="s">
        <v>38</v>
      </c>
      <c r="M580" s="20">
        <f t="shared" si="1"/>
        <v>0</v>
      </c>
      <c r="N580" s="22"/>
      <c r="O580" s="19" t="s">
        <v>1145</v>
      </c>
      <c r="P580" s="18"/>
      <c r="Q580" s="18"/>
      <c r="R580" s="23">
        <v>0.0</v>
      </c>
      <c r="S580" s="23">
        <v>0.0</v>
      </c>
      <c r="T580" s="23">
        <f t="shared" si="2"/>
        <v>0</v>
      </c>
      <c r="U580" s="23">
        <f t="shared" si="3"/>
        <v>0</v>
      </c>
      <c r="V580" s="23">
        <f t="shared" si="4"/>
        <v>0</v>
      </c>
      <c r="W580" s="24" t="str">
        <f t="shared" si="5"/>
        <v>#DIV/0!</v>
      </c>
    </row>
    <row r="581" hidden="1">
      <c r="A581" s="15" t="s">
        <v>1905</v>
      </c>
      <c r="B581" s="18"/>
      <c r="C581" s="15" t="s">
        <v>6942</v>
      </c>
      <c r="D581" s="18"/>
      <c r="E581" s="17" t="s">
        <v>1906</v>
      </c>
      <c r="F581" s="18"/>
      <c r="G581" s="18"/>
      <c r="H581" s="15" t="s">
        <v>1907</v>
      </c>
      <c r="I581" s="15" t="s">
        <v>1908</v>
      </c>
      <c r="J581" s="19" t="s">
        <v>36</v>
      </c>
      <c r="K581" s="19" t="s">
        <v>37</v>
      </c>
      <c r="L581" s="19" t="s">
        <v>38</v>
      </c>
      <c r="M581" s="20">
        <f t="shared" si="1"/>
        <v>0</v>
      </c>
      <c r="N581" s="22"/>
      <c r="O581" s="19" t="s">
        <v>1145</v>
      </c>
      <c r="P581" s="18"/>
      <c r="Q581" s="18"/>
      <c r="R581" s="23">
        <v>0.0</v>
      </c>
      <c r="S581" s="23">
        <v>0.0</v>
      </c>
      <c r="T581" s="23">
        <f t="shared" si="2"/>
        <v>0</v>
      </c>
      <c r="U581" s="23">
        <f t="shared" si="3"/>
        <v>0</v>
      </c>
      <c r="V581" s="23">
        <f t="shared" si="4"/>
        <v>0</v>
      </c>
      <c r="W581" s="24" t="str">
        <f t="shared" si="5"/>
        <v>#DIV/0!</v>
      </c>
    </row>
    <row r="582" hidden="1">
      <c r="A582" s="15" t="s">
        <v>6943</v>
      </c>
      <c r="B582" s="18"/>
      <c r="C582" s="15" t="s">
        <v>6944</v>
      </c>
      <c r="D582" s="18"/>
      <c r="E582" s="17" t="s">
        <v>6945</v>
      </c>
      <c r="F582" s="18"/>
      <c r="G582" s="18"/>
      <c r="H582" s="15" t="s">
        <v>6946</v>
      </c>
      <c r="I582" s="15" t="s">
        <v>747</v>
      </c>
      <c r="J582" s="19" t="s">
        <v>36</v>
      </c>
      <c r="K582" s="19" t="s">
        <v>105</v>
      </c>
      <c r="L582" s="19" t="s">
        <v>38</v>
      </c>
      <c r="M582" s="20">
        <f t="shared" si="1"/>
        <v>0</v>
      </c>
      <c r="N582" s="22"/>
      <c r="O582" s="19" t="s">
        <v>39</v>
      </c>
      <c r="P582" s="18"/>
      <c r="Q582" s="18"/>
      <c r="R582" s="23">
        <v>0.0</v>
      </c>
      <c r="S582" s="23">
        <v>0.0</v>
      </c>
      <c r="T582" s="23">
        <f t="shared" si="2"/>
        <v>0</v>
      </c>
      <c r="U582" s="23">
        <f t="shared" si="3"/>
        <v>0</v>
      </c>
      <c r="V582" s="23">
        <f t="shared" si="4"/>
        <v>0</v>
      </c>
      <c r="W582" s="24" t="str">
        <f t="shared" si="5"/>
        <v>#DIV/0!</v>
      </c>
    </row>
    <row r="583" hidden="1">
      <c r="A583" s="15" t="s">
        <v>6947</v>
      </c>
      <c r="B583" s="18"/>
      <c r="C583" s="15" t="s">
        <v>6948</v>
      </c>
      <c r="D583" s="18"/>
      <c r="E583" s="17" t="s">
        <v>6949</v>
      </c>
      <c r="F583" s="18"/>
      <c r="G583" s="18"/>
      <c r="H583" s="15" t="s">
        <v>6950</v>
      </c>
      <c r="I583" s="15" t="s">
        <v>291</v>
      </c>
      <c r="J583" s="19" t="s">
        <v>36</v>
      </c>
      <c r="K583" s="19" t="s">
        <v>105</v>
      </c>
      <c r="L583" s="19" t="s">
        <v>38</v>
      </c>
      <c r="M583" s="20">
        <f t="shared" si="1"/>
        <v>0</v>
      </c>
      <c r="N583" s="22"/>
      <c r="O583" s="19" t="s">
        <v>39</v>
      </c>
      <c r="P583" s="18"/>
      <c r="Q583" s="18"/>
      <c r="R583" s="23">
        <v>0.0</v>
      </c>
      <c r="S583" s="23">
        <v>0.0</v>
      </c>
      <c r="T583" s="23">
        <f t="shared" si="2"/>
        <v>0</v>
      </c>
      <c r="U583" s="23">
        <f t="shared" si="3"/>
        <v>0</v>
      </c>
      <c r="V583" s="23">
        <f t="shared" si="4"/>
        <v>0</v>
      </c>
      <c r="W583" s="24" t="str">
        <f t="shared" si="5"/>
        <v>#DIV/0!</v>
      </c>
    </row>
    <row r="584" hidden="1">
      <c r="A584" s="15" t="s">
        <v>6951</v>
      </c>
      <c r="B584" s="18"/>
      <c r="C584" s="15" t="s">
        <v>6952</v>
      </c>
      <c r="D584" s="18"/>
      <c r="E584" s="17" t="s">
        <v>6953</v>
      </c>
      <c r="F584" s="18"/>
      <c r="G584" s="18"/>
      <c r="H584" s="15" t="s">
        <v>6954</v>
      </c>
      <c r="I584" s="15" t="s">
        <v>4240</v>
      </c>
      <c r="J584" s="19" t="s">
        <v>36</v>
      </c>
      <c r="K584" s="19" t="s">
        <v>105</v>
      </c>
      <c r="L584" s="19" t="s">
        <v>38</v>
      </c>
      <c r="M584" s="20">
        <f t="shared" si="1"/>
        <v>0</v>
      </c>
      <c r="N584" s="22"/>
      <c r="O584" s="19" t="s">
        <v>39</v>
      </c>
      <c r="P584" s="18"/>
      <c r="Q584" s="18"/>
      <c r="R584" s="23">
        <v>0.0</v>
      </c>
      <c r="S584" s="23">
        <v>0.0</v>
      </c>
      <c r="T584" s="23">
        <f t="shared" si="2"/>
        <v>0</v>
      </c>
      <c r="U584" s="23">
        <f t="shared" si="3"/>
        <v>0</v>
      </c>
      <c r="V584" s="23">
        <f t="shared" si="4"/>
        <v>0</v>
      </c>
      <c r="W584" s="24" t="str">
        <f t="shared" si="5"/>
        <v>#DIV/0!</v>
      </c>
    </row>
    <row r="585" hidden="1">
      <c r="A585" s="15" t="s">
        <v>1909</v>
      </c>
      <c r="B585" s="18"/>
      <c r="C585" s="15" t="s">
        <v>6955</v>
      </c>
      <c r="D585" s="18"/>
      <c r="E585" s="17" t="s">
        <v>1910</v>
      </c>
      <c r="F585" s="18"/>
      <c r="G585" s="18"/>
      <c r="H585" s="15" t="s">
        <v>1911</v>
      </c>
      <c r="I585" s="15" t="s">
        <v>1912</v>
      </c>
      <c r="J585" s="19" t="s">
        <v>36</v>
      </c>
      <c r="K585" s="19" t="s">
        <v>105</v>
      </c>
      <c r="L585" s="19" t="s">
        <v>38</v>
      </c>
      <c r="M585" s="20">
        <f t="shared" si="1"/>
        <v>0</v>
      </c>
      <c r="N585" s="22"/>
      <c r="O585" s="19" t="s">
        <v>1145</v>
      </c>
      <c r="P585" s="18"/>
      <c r="Q585" s="18"/>
      <c r="R585" s="23">
        <v>0.0</v>
      </c>
      <c r="S585" s="23">
        <v>0.0</v>
      </c>
      <c r="T585" s="23">
        <f t="shared" si="2"/>
        <v>0</v>
      </c>
      <c r="U585" s="23">
        <f t="shared" si="3"/>
        <v>0</v>
      </c>
      <c r="V585" s="23">
        <f t="shared" si="4"/>
        <v>0</v>
      </c>
      <c r="W585" s="24" t="str">
        <f t="shared" si="5"/>
        <v>#DIV/0!</v>
      </c>
    </row>
    <row r="586" hidden="1">
      <c r="A586" s="15" t="s">
        <v>1913</v>
      </c>
      <c r="B586" s="18"/>
      <c r="C586" s="15" t="s">
        <v>6956</v>
      </c>
      <c r="D586" s="18"/>
      <c r="E586" s="17" t="s">
        <v>1910</v>
      </c>
      <c r="F586" s="18"/>
      <c r="G586" s="18"/>
      <c r="H586" s="15" t="s">
        <v>1914</v>
      </c>
      <c r="I586" s="15" t="s">
        <v>1915</v>
      </c>
      <c r="J586" s="19" t="s">
        <v>36</v>
      </c>
      <c r="K586" s="19" t="s">
        <v>105</v>
      </c>
      <c r="L586" s="19" t="s">
        <v>38</v>
      </c>
      <c r="M586" s="20">
        <f t="shared" si="1"/>
        <v>0</v>
      </c>
      <c r="N586" s="22"/>
      <c r="O586" s="19" t="s">
        <v>1145</v>
      </c>
      <c r="P586" s="18"/>
      <c r="Q586" s="18"/>
      <c r="R586" s="23">
        <v>0.0</v>
      </c>
      <c r="S586" s="23">
        <v>0.0</v>
      </c>
      <c r="T586" s="23">
        <f t="shared" si="2"/>
        <v>0</v>
      </c>
      <c r="U586" s="23">
        <f t="shared" si="3"/>
        <v>0</v>
      </c>
      <c r="V586" s="23">
        <f t="shared" si="4"/>
        <v>0</v>
      </c>
      <c r="W586" s="24" t="str">
        <f t="shared" si="5"/>
        <v>#DIV/0!</v>
      </c>
    </row>
    <row r="587" hidden="1">
      <c r="A587" s="15" t="s">
        <v>1916</v>
      </c>
      <c r="B587" s="18"/>
      <c r="C587" s="15" t="s">
        <v>6957</v>
      </c>
      <c r="D587" s="18"/>
      <c r="E587" s="17" t="s">
        <v>1917</v>
      </c>
      <c r="F587" s="18"/>
      <c r="G587" s="18"/>
      <c r="H587" s="15" t="s">
        <v>1918</v>
      </c>
      <c r="I587" s="15" t="s">
        <v>1402</v>
      </c>
      <c r="J587" s="19" t="s">
        <v>36</v>
      </c>
      <c r="K587" s="19" t="s">
        <v>1230</v>
      </c>
      <c r="L587" s="19" t="s">
        <v>38</v>
      </c>
      <c r="M587" s="20">
        <f t="shared" si="1"/>
        <v>0</v>
      </c>
      <c r="N587" s="22"/>
      <c r="O587" s="19" t="s">
        <v>1145</v>
      </c>
      <c r="P587" s="18"/>
      <c r="Q587" s="18"/>
      <c r="R587" s="23">
        <v>0.0</v>
      </c>
      <c r="S587" s="23">
        <v>0.0</v>
      </c>
      <c r="T587" s="23">
        <f t="shared" si="2"/>
        <v>0</v>
      </c>
      <c r="U587" s="23">
        <f t="shared" si="3"/>
        <v>0</v>
      </c>
      <c r="V587" s="23">
        <f t="shared" si="4"/>
        <v>0</v>
      </c>
      <c r="W587" s="24" t="str">
        <f t="shared" si="5"/>
        <v>#DIV/0!</v>
      </c>
    </row>
    <row r="588" hidden="1">
      <c r="A588" s="15" t="s">
        <v>6958</v>
      </c>
      <c r="B588" s="18"/>
      <c r="C588" s="15" t="s">
        <v>6959</v>
      </c>
      <c r="D588" s="18"/>
      <c r="E588" s="17"/>
      <c r="F588" s="18"/>
      <c r="G588" s="18"/>
      <c r="H588" s="15" t="s">
        <v>6960</v>
      </c>
      <c r="I588" s="15" t="s">
        <v>6961</v>
      </c>
      <c r="J588" s="19" t="s">
        <v>36</v>
      </c>
      <c r="K588" s="19" t="s">
        <v>1230</v>
      </c>
      <c r="L588" s="19" t="s">
        <v>38</v>
      </c>
      <c r="M588" s="20">
        <f t="shared" si="1"/>
        <v>0</v>
      </c>
      <c r="N588" s="22"/>
      <c r="O588" s="19" t="s">
        <v>39</v>
      </c>
      <c r="P588" s="18"/>
      <c r="Q588" s="18"/>
      <c r="R588" s="23">
        <v>0.0</v>
      </c>
      <c r="S588" s="23">
        <v>0.0</v>
      </c>
      <c r="T588" s="23">
        <f t="shared" si="2"/>
        <v>0</v>
      </c>
      <c r="U588" s="23">
        <f t="shared" si="3"/>
        <v>0</v>
      </c>
      <c r="V588" s="23">
        <f t="shared" si="4"/>
        <v>0</v>
      </c>
      <c r="W588" s="24" t="str">
        <f t="shared" si="5"/>
        <v>#DIV/0!</v>
      </c>
    </row>
    <row r="589" hidden="1">
      <c r="A589" s="15" t="s">
        <v>1919</v>
      </c>
      <c r="B589" s="18"/>
      <c r="C589" s="15" t="s">
        <v>6962</v>
      </c>
      <c r="D589" s="18"/>
      <c r="E589" s="17" t="s">
        <v>1920</v>
      </c>
      <c r="F589" s="18"/>
      <c r="G589" s="18"/>
      <c r="H589" s="15" t="s">
        <v>1921</v>
      </c>
      <c r="I589" s="15" t="s">
        <v>1922</v>
      </c>
      <c r="J589" s="19" t="s">
        <v>36</v>
      </c>
      <c r="K589" s="19" t="s">
        <v>1230</v>
      </c>
      <c r="L589" s="19" t="s">
        <v>38</v>
      </c>
      <c r="M589" s="20">
        <f t="shared" si="1"/>
        <v>0</v>
      </c>
      <c r="N589" s="22"/>
      <c r="O589" s="19" t="s">
        <v>1145</v>
      </c>
      <c r="P589" s="18"/>
      <c r="Q589" s="18"/>
      <c r="R589" s="23">
        <v>0.0</v>
      </c>
      <c r="S589" s="23">
        <v>0.0</v>
      </c>
      <c r="T589" s="23">
        <f t="shared" si="2"/>
        <v>0</v>
      </c>
      <c r="U589" s="23">
        <f t="shared" si="3"/>
        <v>0</v>
      </c>
      <c r="V589" s="23">
        <f t="shared" si="4"/>
        <v>0</v>
      </c>
      <c r="W589" s="24" t="str">
        <f t="shared" si="5"/>
        <v>#DIV/0!</v>
      </c>
    </row>
    <row r="590" hidden="1">
      <c r="A590" s="15" t="s">
        <v>1923</v>
      </c>
      <c r="B590" s="18"/>
      <c r="C590" s="15" t="s">
        <v>6963</v>
      </c>
      <c r="D590" s="18"/>
      <c r="E590" s="17" t="s">
        <v>1924</v>
      </c>
      <c r="F590" s="18"/>
      <c r="G590" s="18"/>
      <c r="H590" s="15" t="s">
        <v>1925</v>
      </c>
      <c r="I590" s="15" t="s">
        <v>1926</v>
      </c>
      <c r="J590" s="19" t="s">
        <v>36</v>
      </c>
      <c r="K590" s="19" t="s">
        <v>1230</v>
      </c>
      <c r="L590" s="19" t="s">
        <v>38</v>
      </c>
      <c r="M590" s="20">
        <f t="shared" si="1"/>
        <v>0</v>
      </c>
      <c r="N590" s="22"/>
      <c r="O590" s="19" t="s">
        <v>1145</v>
      </c>
      <c r="P590" s="18"/>
      <c r="Q590" s="18"/>
      <c r="R590" s="23">
        <v>0.0</v>
      </c>
      <c r="S590" s="23">
        <v>0.0</v>
      </c>
      <c r="T590" s="23">
        <f t="shared" si="2"/>
        <v>0</v>
      </c>
      <c r="U590" s="23">
        <f t="shared" si="3"/>
        <v>0</v>
      </c>
      <c r="V590" s="23">
        <f t="shared" si="4"/>
        <v>0</v>
      </c>
      <c r="W590" s="24" t="str">
        <f t="shared" si="5"/>
        <v>#DIV/0!</v>
      </c>
    </row>
    <row r="591" hidden="1">
      <c r="A591" s="15" t="s">
        <v>1927</v>
      </c>
      <c r="B591" s="18"/>
      <c r="C591" s="15" t="s">
        <v>6964</v>
      </c>
      <c r="D591" s="18"/>
      <c r="E591" s="17" t="s">
        <v>1928</v>
      </c>
      <c r="F591" s="18"/>
      <c r="G591" s="18"/>
      <c r="H591" s="15" t="s">
        <v>1929</v>
      </c>
      <c r="I591" s="15" t="s">
        <v>1930</v>
      </c>
      <c r="J591" s="19" t="s">
        <v>36</v>
      </c>
      <c r="K591" s="19" t="s">
        <v>1230</v>
      </c>
      <c r="L591" s="19" t="s">
        <v>38</v>
      </c>
      <c r="M591" s="20">
        <f t="shared" si="1"/>
        <v>0</v>
      </c>
      <c r="N591" s="22"/>
      <c r="O591" s="19" t="s">
        <v>1145</v>
      </c>
      <c r="P591" s="18"/>
      <c r="Q591" s="18"/>
      <c r="R591" s="23">
        <v>0.0</v>
      </c>
      <c r="S591" s="23">
        <v>0.0</v>
      </c>
      <c r="T591" s="23">
        <f t="shared" si="2"/>
        <v>0</v>
      </c>
      <c r="U591" s="23">
        <f t="shared" si="3"/>
        <v>0</v>
      </c>
      <c r="V591" s="23">
        <f t="shared" si="4"/>
        <v>0</v>
      </c>
      <c r="W591" s="24" t="str">
        <f t="shared" si="5"/>
        <v>#DIV/0!</v>
      </c>
    </row>
    <row r="592" hidden="1">
      <c r="A592" s="15" t="s">
        <v>1931</v>
      </c>
      <c r="B592" s="18"/>
      <c r="C592" s="15" t="s">
        <v>6965</v>
      </c>
      <c r="D592" s="18"/>
      <c r="E592" s="17" t="s">
        <v>1932</v>
      </c>
      <c r="F592" s="18"/>
      <c r="G592" s="18"/>
      <c r="H592" s="15" t="s">
        <v>1933</v>
      </c>
      <c r="I592" s="15" t="s">
        <v>1934</v>
      </c>
      <c r="J592" s="19" t="s">
        <v>36</v>
      </c>
      <c r="K592" s="19" t="s">
        <v>1230</v>
      </c>
      <c r="L592" s="19" t="s">
        <v>38</v>
      </c>
      <c r="M592" s="20">
        <f t="shared" si="1"/>
        <v>0</v>
      </c>
      <c r="N592" s="22"/>
      <c r="O592" s="19" t="s">
        <v>1145</v>
      </c>
      <c r="P592" s="18"/>
      <c r="Q592" s="18"/>
      <c r="R592" s="23">
        <v>0.0</v>
      </c>
      <c r="S592" s="23">
        <v>0.0</v>
      </c>
      <c r="T592" s="23">
        <f t="shared" si="2"/>
        <v>0</v>
      </c>
      <c r="U592" s="23">
        <f t="shared" si="3"/>
        <v>0</v>
      </c>
      <c r="V592" s="23">
        <f t="shared" si="4"/>
        <v>0</v>
      </c>
      <c r="W592" s="24" t="str">
        <f t="shared" si="5"/>
        <v>#DIV/0!</v>
      </c>
    </row>
    <row r="593" hidden="1">
      <c r="A593" s="15" t="s">
        <v>1935</v>
      </c>
      <c r="B593" s="18"/>
      <c r="C593" s="15" t="s">
        <v>6966</v>
      </c>
      <c r="D593" s="18"/>
      <c r="E593" s="17" t="s">
        <v>1936</v>
      </c>
      <c r="F593" s="18"/>
      <c r="G593" s="18"/>
      <c r="H593" s="15" t="s">
        <v>1937</v>
      </c>
      <c r="I593" s="15" t="s">
        <v>1938</v>
      </c>
      <c r="J593" s="19" t="s">
        <v>36</v>
      </c>
      <c r="K593" s="19" t="s">
        <v>1230</v>
      </c>
      <c r="L593" s="19" t="s">
        <v>38</v>
      </c>
      <c r="M593" s="20">
        <f t="shared" si="1"/>
        <v>0</v>
      </c>
      <c r="N593" s="22"/>
      <c r="O593" s="19" t="s">
        <v>1145</v>
      </c>
      <c r="P593" s="18"/>
      <c r="Q593" s="18"/>
      <c r="R593" s="23">
        <v>0.0</v>
      </c>
      <c r="S593" s="23">
        <v>0.0</v>
      </c>
      <c r="T593" s="23">
        <f t="shared" si="2"/>
        <v>0</v>
      </c>
      <c r="U593" s="23">
        <f t="shared" si="3"/>
        <v>0</v>
      </c>
      <c r="V593" s="23">
        <f t="shared" si="4"/>
        <v>0</v>
      </c>
      <c r="W593" s="24" t="str">
        <f t="shared" si="5"/>
        <v>#DIV/0!</v>
      </c>
    </row>
    <row r="594" hidden="1">
      <c r="A594" s="15" t="s">
        <v>6967</v>
      </c>
      <c r="B594" s="18"/>
      <c r="C594" s="15" t="s">
        <v>6968</v>
      </c>
      <c r="D594" s="18"/>
      <c r="E594" s="17" t="s">
        <v>6969</v>
      </c>
      <c r="F594" s="18"/>
      <c r="G594" s="18"/>
      <c r="H594" s="15" t="s">
        <v>6970</v>
      </c>
      <c r="I594" s="15" t="s">
        <v>5032</v>
      </c>
      <c r="J594" s="19" t="s">
        <v>36</v>
      </c>
      <c r="K594" s="19" t="s">
        <v>1230</v>
      </c>
      <c r="L594" s="19" t="s">
        <v>38</v>
      </c>
      <c r="M594" s="20">
        <f t="shared" si="1"/>
        <v>0</v>
      </c>
      <c r="N594" s="22"/>
      <c r="O594" s="19" t="s">
        <v>39</v>
      </c>
      <c r="P594" s="18"/>
      <c r="Q594" s="18"/>
      <c r="R594" s="23">
        <v>0.0</v>
      </c>
      <c r="S594" s="23">
        <v>0.0</v>
      </c>
      <c r="T594" s="23">
        <f t="shared" si="2"/>
        <v>0</v>
      </c>
      <c r="U594" s="23">
        <f t="shared" si="3"/>
        <v>0</v>
      </c>
      <c r="V594" s="23">
        <f t="shared" si="4"/>
        <v>0</v>
      </c>
      <c r="W594" s="24" t="str">
        <f t="shared" si="5"/>
        <v>#DIV/0!</v>
      </c>
    </row>
    <row r="595" hidden="1">
      <c r="A595" s="15" t="s">
        <v>6971</v>
      </c>
      <c r="B595" s="18"/>
      <c r="C595" s="15" t="s">
        <v>6972</v>
      </c>
      <c r="D595" s="18"/>
      <c r="E595" s="17" t="s">
        <v>6973</v>
      </c>
      <c r="F595" s="18"/>
      <c r="G595" s="18"/>
      <c r="H595" s="15" t="s">
        <v>6974</v>
      </c>
      <c r="I595" s="15" t="s">
        <v>6975</v>
      </c>
      <c r="J595" s="19" t="s">
        <v>36</v>
      </c>
      <c r="K595" s="19" t="s">
        <v>1230</v>
      </c>
      <c r="L595" s="19" t="s">
        <v>38</v>
      </c>
      <c r="M595" s="20">
        <f t="shared" si="1"/>
        <v>0</v>
      </c>
      <c r="N595" s="22"/>
      <c r="O595" s="19" t="s">
        <v>39</v>
      </c>
      <c r="P595" s="18"/>
      <c r="Q595" s="18"/>
      <c r="R595" s="23">
        <v>0.0</v>
      </c>
      <c r="S595" s="23">
        <v>0.0</v>
      </c>
      <c r="T595" s="23">
        <f t="shared" si="2"/>
        <v>0</v>
      </c>
      <c r="U595" s="23">
        <f t="shared" si="3"/>
        <v>0</v>
      </c>
      <c r="V595" s="23">
        <f t="shared" si="4"/>
        <v>0</v>
      </c>
      <c r="W595" s="24" t="str">
        <f t="shared" si="5"/>
        <v>#DIV/0!</v>
      </c>
    </row>
    <row r="596" hidden="1">
      <c r="A596" s="15" t="s">
        <v>6976</v>
      </c>
      <c r="B596" s="18"/>
      <c r="C596" s="15" t="s">
        <v>6977</v>
      </c>
      <c r="D596" s="18"/>
      <c r="E596" s="17" t="s">
        <v>6978</v>
      </c>
      <c r="F596" s="18"/>
      <c r="G596" s="18"/>
      <c r="H596" s="15" t="s">
        <v>6979</v>
      </c>
      <c r="I596" s="15" t="s">
        <v>1051</v>
      </c>
      <c r="J596" s="19" t="s">
        <v>36</v>
      </c>
      <c r="K596" s="19" t="s">
        <v>1230</v>
      </c>
      <c r="L596" s="19" t="s">
        <v>38</v>
      </c>
      <c r="M596" s="20">
        <f t="shared" si="1"/>
        <v>0</v>
      </c>
      <c r="N596" s="22"/>
      <c r="O596" s="19" t="s">
        <v>39</v>
      </c>
      <c r="P596" s="18"/>
      <c r="Q596" s="18"/>
      <c r="R596" s="23">
        <v>0.0</v>
      </c>
      <c r="S596" s="23">
        <v>0.0</v>
      </c>
      <c r="T596" s="23">
        <f t="shared" si="2"/>
        <v>0</v>
      </c>
      <c r="U596" s="23">
        <f t="shared" si="3"/>
        <v>0</v>
      </c>
      <c r="V596" s="23">
        <f t="shared" si="4"/>
        <v>0</v>
      </c>
      <c r="W596" s="24" t="str">
        <f t="shared" si="5"/>
        <v>#DIV/0!</v>
      </c>
    </row>
    <row r="597" hidden="1">
      <c r="A597" s="15" t="s">
        <v>1939</v>
      </c>
      <c r="B597" s="18"/>
      <c r="C597" s="15" t="s">
        <v>6980</v>
      </c>
      <c r="D597" s="18"/>
      <c r="E597" s="17" t="s">
        <v>1940</v>
      </c>
      <c r="F597" s="18"/>
      <c r="G597" s="18"/>
      <c r="H597" s="15" t="s">
        <v>1941</v>
      </c>
      <c r="I597" s="15" t="s">
        <v>1942</v>
      </c>
      <c r="J597" s="19" t="s">
        <v>36</v>
      </c>
      <c r="K597" s="19" t="s">
        <v>1230</v>
      </c>
      <c r="L597" s="19" t="s">
        <v>38</v>
      </c>
      <c r="M597" s="20">
        <f t="shared" si="1"/>
        <v>0</v>
      </c>
      <c r="N597" s="22"/>
      <c r="O597" s="19" t="s">
        <v>1145</v>
      </c>
      <c r="P597" s="18"/>
      <c r="Q597" s="18"/>
      <c r="R597" s="23">
        <v>0.0</v>
      </c>
      <c r="S597" s="23">
        <v>0.0</v>
      </c>
      <c r="T597" s="23">
        <f t="shared" si="2"/>
        <v>0</v>
      </c>
      <c r="U597" s="23">
        <f t="shared" si="3"/>
        <v>0</v>
      </c>
      <c r="V597" s="23">
        <f t="shared" si="4"/>
        <v>0</v>
      </c>
      <c r="W597" s="24" t="str">
        <f t="shared" si="5"/>
        <v>#DIV/0!</v>
      </c>
    </row>
    <row r="598" hidden="1">
      <c r="A598" s="15" t="s">
        <v>1943</v>
      </c>
      <c r="B598" s="18"/>
      <c r="C598" s="15" t="s">
        <v>6981</v>
      </c>
      <c r="D598" s="18"/>
      <c r="E598" s="17" t="s">
        <v>1944</v>
      </c>
      <c r="F598" s="18"/>
      <c r="G598" s="18"/>
      <c r="H598" s="15" t="s">
        <v>1945</v>
      </c>
      <c r="I598" s="15" t="s">
        <v>1946</v>
      </c>
      <c r="J598" s="19" t="s">
        <v>36</v>
      </c>
      <c r="K598" s="19" t="s">
        <v>37</v>
      </c>
      <c r="L598" s="19" t="s">
        <v>38</v>
      </c>
      <c r="M598" s="20">
        <f t="shared" si="1"/>
        <v>0</v>
      </c>
      <c r="N598" s="22"/>
      <c r="O598" s="19" t="s">
        <v>1145</v>
      </c>
      <c r="P598" s="18"/>
      <c r="Q598" s="18"/>
      <c r="R598" s="23">
        <v>0.0</v>
      </c>
      <c r="S598" s="23">
        <v>0.0</v>
      </c>
      <c r="T598" s="23">
        <f t="shared" si="2"/>
        <v>0</v>
      </c>
      <c r="U598" s="23">
        <f t="shared" si="3"/>
        <v>0</v>
      </c>
      <c r="V598" s="23">
        <f t="shared" si="4"/>
        <v>0</v>
      </c>
      <c r="W598" s="24" t="str">
        <f t="shared" si="5"/>
        <v>#DIV/0!</v>
      </c>
    </row>
    <row r="599" hidden="1">
      <c r="A599" s="15" t="s">
        <v>40</v>
      </c>
      <c r="B599" s="18"/>
      <c r="C599" s="15" t="s">
        <v>6982</v>
      </c>
      <c r="D599" s="18"/>
      <c r="E599" s="17" t="s">
        <v>41</v>
      </c>
      <c r="F599" s="18"/>
      <c r="G599" s="18"/>
      <c r="H599" s="15" t="s">
        <v>42</v>
      </c>
      <c r="I599" s="15" t="s">
        <v>43</v>
      </c>
      <c r="J599" s="19" t="s">
        <v>36</v>
      </c>
      <c r="K599" s="19" t="s">
        <v>37</v>
      </c>
      <c r="L599" s="19" t="s">
        <v>38</v>
      </c>
      <c r="M599" s="20">
        <f t="shared" si="1"/>
        <v>0</v>
      </c>
      <c r="N599" s="22"/>
      <c r="O599" s="19" t="s">
        <v>1145</v>
      </c>
      <c r="P599" s="18"/>
      <c r="Q599" s="18"/>
      <c r="R599" s="23">
        <v>0.0</v>
      </c>
      <c r="S599" s="23">
        <v>0.0</v>
      </c>
      <c r="T599" s="23">
        <f t="shared" si="2"/>
        <v>0</v>
      </c>
      <c r="U599" s="23">
        <f t="shared" si="3"/>
        <v>0</v>
      </c>
      <c r="V599" s="23">
        <f t="shared" si="4"/>
        <v>0</v>
      </c>
      <c r="W599" s="24" t="str">
        <f t="shared" si="5"/>
        <v>#DIV/0!</v>
      </c>
    </row>
    <row r="600" hidden="1">
      <c r="A600" s="15" t="s">
        <v>44</v>
      </c>
      <c r="B600" s="18"/>
      <c r="C600" s="15" t="s">
        <v>6983</v>
      </c>
      <c r="D600" s="18"/>
      <c r="E600" s="17" t="s">
        <v>45</v>
      </c>
      <c r="F600" s="18"/>
      <c r="G600" s="18"/>
      <c r="H600" s="15" t="s">
        <v>46</v>
      </c>
      <c r="I600" s="15" t="s">
        <v>47</v>
      </c>
      <c r="J600" s="19" t="s">
        <v>36</v>
      </c>
      <c r="K600" s="19" t="s">
        <v>37</v>
      </c>
      <c r="L600" s="19" t="s">
        <v>38</v>
      </c>
      <c r="M600" s="20">
        <f t="shared" si="1"/>
        <v>0</v>
      </c>
      <c r="N600" s="22"/>
      <c r="O600" s="19" t="s">
        <v>1145</v>
      </c>
      <c r="P600" s="18"/>
      <c r="Q600" s="18"/>
      <c r="R600" s="23">
        <v>0.0</v>
      </c>
      <c r="S600" s="23">
        <v>0.0</v>
      </c>
      <c r="T600" s="23">
        <f t="shared" si="2"/>
        <v>0</v>
      </c>
      <c r="U600" s="23">
        <f t="shared" si="3"/>
        <v>0</v>
      </c>
      <c r="V600" s="23">
        <f t="shared" si="4"/>
        <v>0</v>
      </c>
      <c r="W600" s="24" t="str">
        <f t="shared" si="5"/>
        <v>#DIV/0!</v>
      </c>
    </row>
    <row r="601" hidden="1">
      <c r="A601" s="15" t="s">
        <v>6984</v>
      </c>
      <c r="B601" s="18"/>
      <c r="C601" s="15" t="s">
        <v>6985</v>
      </c>
      <c r="D601" s="18"/>
      <c r="E601" s="17" t="s">
        <v>6986</v>
      </c>
      <c r="F601" s="18"/>
      <c r="G601" s="18"/>
      <c r="H601" s="15" t="s">
        <v>6987</v>
      </c>
      <c r="I601" s="15" t="s">
        <v>979</v>
      </c>
      <c r="J601" s="19" t="s">
        <v>36</v>
      </c>
      <c r="K601" s="19" t="s">
        <v>105</v>
      </c>
      <c r="L601" s="19" t="s">
        <v>38</v>
      </c>
      <c r="M601" s="20">
        <f t="shared" si="1"/>
        <v>0</v>
      </c>
      <c r="N601" s="22"/>
      <c r="O601" s="19" t="s">
        <v>39</v>
      </c>
      <c r="P601" s="18"/>
      <c r="Q601" s="18"/>
      <c r="R601" s="23">
        <v>0.0</v>
      </c>
      <c r="S601" s="23">
        <v>0.0</v>
      </c>
      <c r="T601" s="23">
        <f t="shared" si="2"/>
        <v>0</v>
      </c>
      <c r="U601" s="23">
        <f t="shared" si="3"/>
        <v>0</v>
      </c>
      <c r="V601" s="23">
        <f t="shared" si="4"/>
        <v>0</v>
      </c>
      <c r="W601" s="24" t="str">
        <f t="shared" si="5"/>
        <v>#DIV/0!</v>
      </c>
    </row>
    <row r="602" hidden="1">
      <c r="A602" s="15" t="s">
        <v>4713</v>
      </c>
      <c r="B602" s="18"/>
      <c r="C602" s="15" t="s">
        <v>6988</v>
      </c>
      <c r="D602" s="18"/>
      <c r="E602" s="17" t="s">
        <v>6989</v>
      </c>
      <c r="F602" s="18"/>
      <c r="G602" s="18"/>
      <c r="H602" s="15" t="s">
        <v>4717</v>
      </c>
      <c r="I602" s="15" t="s">
        <v>4716</v>
      </c>
      <c r="J602" s="19" t="s">
        <v>36</v>
      </c>
      <c r="K602" s="19" t="s">
        <v>105</v>
      </c>
      <c r="L602" s="19" t="s">
        <v>38</v>
      </c>
      <c r="M602" s="20">
        <f t="shared" si="1"/>
        <v>0</v>
      </c>
      <c r="N602" s="22"/>
      <c r="O602" s="19" t="s">
        <v>1145</v>
      </c>
      <c r="P602" s="18"/>
      <c r="Q602" s="18"/>
      <c r="R602" s="23">
        <v>0.0</v>
      </c>
      <c r="S602" s="23">
        <v>0.0</v>
      </c>
      <c r="T602" s="23">
        <f t="shared" si="2"/>
        <v>0</v>
      </c>
      <c r="U602" s="23">
        <f t="shared" si="3"/>
        <v>0</v>
      </c>
      <c r="V602" s="23">
        <f t="shared" si="4"/>
        <v>0</v>
      </c>
      <c r="W602" s="24" t="str">
        <f t="shared" si="5"/>
        <v>#DIV/0!</v>
      </c>
    </row>
    <row r="603" hidden="1">
      <c r="A603" s="15" t="s">
        <v>1947</v>
      </c>
      <c r="B603" s="18"/>
      <c r="C603" s="15" t="s">
        <v>6990</v>
      </c>
      <c r="D603" s="18"/>
      <c r="E603" s="17" t="s">
        <v>1948</v>
      </c>
      <c r="F603" s="18"/>
      <c r="G603" s="18"/>
      <c r="H603" s="15" t="s">
        <v>1949</v>
      </c>
      <c r="I603" s="15" t="s">
        <v>1950</v>
      </c>
      <c r="J603" s="19" t="s">
        <v>36</v>
      </c>
      <c r="K603" s="19" t="s">
        <v>105</v>
      </c>
      <c r="L603" s="19" t="s">
        <v>38</v>
      </c>
      <c r="M603" s="20">
        <f t="shared" si="1"/>
        <v>0</v>
      </c>
      <c r="N603" s="22"/>
      <c r="O603" s="19" t="s">
        <v>1145</v>
      </c>
      <c r="P603" s="18"/>
      <c r="Q603" s="18"/>
      <c r="R603" s="23">
        <v>0.0</v>
      </c>
      <c r="S603" s="23">
        <v>0.0</v>
      </c>
      <c r="T603" s="23">
        <f t="shared" si="2"/>
        <v>0</v>
      </c>
      <c r="U603" s="23">
        <f t="shared" si="3"/>
        <v>0</v>
      </c>
      <c r="V603" s="23">
        <f t="shared" si="4"/>
        <v>0</v>
      </c>
      <c r="W603" s="24" t="str">
        <f t="shared" si="5"/>
        <v>#DIV/0!</v>
      </c>
    </row>
    <row r="604" hidden="1">
      <c r="A604" s="15" t="s">
        <v>4718</v>
      </c>
      <c r="B604" s="18"/>
      <c r="C604" s="15" t="s">
        <v>6991</v>
      </c>
      <c r="D604" s="18"/>
      <c r="E604" s="17" t="s">
        <v>6992</v>
      </c>
      <c r="F604" s="18"/>
      <c r="G604" s="18"/>
      <c r="H604" s="15" t="s">
        <v>6993</v>
      </c>
      <c r="I604" s="15" t="s">
        <v>4722</v>
      </c>
      <c r="J604" s="19" t="s">
        <v>36</v>
      </c>
      <c r="K604" s="19" t="s">
        <v>105</v>
      </c>
      <c r="L604" s="19" t="s">
        <v>38</v>
      </c>
      <c r="M604" s="20">
        <f t="shared" si="1"/>
        <v>0</v>
      </c>
      <c r="N604" s="22"/>
      <c r="O604" s="19" t="s">
        <v>1145</v>
      </c>
      <c r="P604" s="18"/>
      <c r="Q604" s="18"/>
      <c r="R604" s="23">
        <v>0.0</v>
      </c>
      <c r="S604" s="23">
        <v>0.0</v>
      </c>
      <c r="T604" s="23">
        <f t="shared" si="2"/>
        <v>0</v>
      </c>
      <c r="U604" s="23">
        <f t="shared" si="3"/>
        <v>0</v>
      </c>
      <c r="V604" s="23">
        <f t="shared" si="4"/>
        <v>0</v>
      </c>
      <c r="W604" s="24" t="str">
        <f t="shared" si="5"/>
        <v>#DIV/0!</v>
      </c>
    </row>
    <row r="605" hidden="1">
      <c r="A605" s="15" t="s">
        <v>1951</v>
      </c>
      <c r="B605" s="18"/>
      <c r="C605" s="15" t="s">
        <v>6994</v>
      </c>
      <c r="D605" s="18"/>
      <c r="E605" s="17" t="s">
        <v>1952</v>
      </c>
      <c r="F605" s="18"/>
      <c r="G605" s="18"/>
      <c r="H605" s="15" t="s">
        <v>1953</v>
      </c>
      <c r="I605" s="15" t="s">
        <v>1954</v>
      </c>
      <c r="J605" s="19" t="s">
        <v>36</v>
      </c>
      <c r="K605" s="19" t="s">
        <v>105</v>
      </c>
      <c r="L605" s="19" t="s">
        <v>38</v>
      </c>
      <c r="M605" s="20">
        <f t="shared" si="1"/>
        <v>0</v>
      </c>
      <c r="N605" s="22"/>
      <c r="O605" s="19" t="s">
        <v>1145</v>
      </c>
      <c r="P605" s="18"/>
      <c r="Q605" s="18"/>
      <c r="R605" s="23">
        <v>0.0</v>
      </c>
      <c r="S605" s="23">
        <v>0.0</v>
      </c>
      <c r="T605" s="23">
        <f t="shared" si="2"/>
        <v>0</v>
      </c>
      <c r="U605" s="23">
        <f t="shared" si="3"/>
        <v>0</v>
      </c>
      <c r="V605" s="23">
        <f t="shared" si="4"/>
        <v>0</v>
      </c>
      <c r="W605" s="24" t="str">
        <f t="shared" si="5"/>
        <v>#DIV/0!</v>
      </c>
    </row>
    <row r="606" hidden="1">
      <c r="A606" s="15" t="s">
        <v>1955</v>
      </c>
      <c r="B606" s="18"/>
      <c r="C606" s="15" t="s">
        <v>6995</v>
      </c>
      <c r="D606" s="18"/>
      <c r="E606" s="17" t="s">
        <v>1956</v>
      </c>
      <c r="F606" s="18"/>
      <c r="G606" s="18"/>
      <c r="H606" s="15" t="s">
        <v>1957</v>
      </c>
      <c r="I606" s="15" t="s">
        <v>1958</v>
      </c>
      <c r="J606" s="19" t="s">
        <v>36</v>
      </c>
      <c r="K606" s="19" t="s">
        <v>37</v>
      </c>
      <c r="L606" s="19" t="s">
        <v>38</v>
      </c>
      <c r="M606" s="20">
        <f t="shared" si="1"/>
        <v>0</v>
      </c>
      <c r="N606" s="22"/>
      <c r="O606" s="19" t="s">
        <v>1145</v>
      </c>
      <c r="P606" s="18"/>
      <c r="Q606" s="18"/>
      <c r="R606" s="23">
        <v>0.0</v>
      </c>
      <c r="S606" s="23">
        <v>0.0</v>
      </c>
      <c r="T606" s="23">
        <f t="shared" si="2"/>
        <v>0</v>
      </c>
      <c r="U606" s="23">
        <f t="shared" si="3"/>
        <v>0</v>
      </c>
      <c r="V606" s="23">
        <f t="shared" si="4"/>
        <v>0</v>
      </c>
      <c r="W606" s="24" t="str">
        <f t="shared" si="5"/>
        <v>#DIV/0!</v>
      </c>
    </row>
    <row r="607" hidden="1">
      <c r="A607" s="15" t="s">
        <v>1959</v>
      </c>
      <c r="B607" s="18"/>
      <c r="C607" s="15" t="s">
        <v>6996</v>
      </c>
      <c r="D607" s="18"/>
      <c r="E607" s="17" t="s">
        <v>1952</v>
      </c>
      <c r="F607" s="18"/>
      <c r="G607" s="18"/>
      <c r="H607" s="15" t="s">
        <v>1960</v>
      </c>
      <c r="I607" s="15" t="s">
        <v>1961</v>
      </c>
      <c r="J607" s="19" t="s">
        <v>36</v>
      </c>
      <c r="K607" s="19" t="s">
        <v>105</v>
      </c>
      <c r="L607" s="19" t="s">
        <v>38</v>
      </c>
      <c r="M607" s="20">
        <f t="shared" si="1"/>
        <v>0</v>
      </c>
      <c r="N607" s="22"/>
      <c r="O607" s="19" t="s">
        <v>1145</v>
      </c>
      <c r="P607" s="18"/>
      <c r="Q607" s="18"/>
      <c r="R607" s="23">
        <v>0.0</v>
      </c>
      <c r="S607" s="23">
        <v>0.0</v>
      </c>
      <c r="T607" s="23">
        <f t="shared" si="2"/>
        <v>0</v>
      </c>
      <c r="U607" s="23">
        <f t="shared" si="3"/>
        <v>0</v>
      </c>
      <c r="V607" s="23">
        <f t="shared" si="4"/>
        <v>0</v>
      </c>
      <c r="W607" s="24" t="str">
        <f t="shared" si="5"/>
        <v>#DIV/0!</v>
      </c>
    </row>
    <row r="608" hidden="1">
      <c r="A608" s="15" t="s">
        <v>1962</v>
      </c>
      <c r="B608" s="18"/>
      <c r="C608" s="15" t="s">
        <v>6997</v>
      </c>
      <c r="D608" s="18"/>
      <c r="E608" s="17" t="s">
        <v>1956</v>
      </c>
      <c r="F608" s="18"/>
      <c r="G608" s="18"/>
      <c r="H608" s="15" t="s">
        <v>1963</v>
      </c>
      <c r="I608" s="15" t="s">
        <v>1964</v>
      </c>
      <c r="J608" s="19" t="s">
        <v>36</v>
      </c>
      <c r="K608" s="19" t="s">
        <v>37</v>
      </c>
      <c r="L608" s="19" t="s">
        <v>38</v>
      </c>
      <c r="M608" s="20">
        <f t="shared" si="1"/>
        <v>0</v>
      </c>
      <c r="N608" s="22"/>
      <c r="O608" s="19" t="s">
        <v>1145</v>
      </c>
      <c r="P608" s="18"/>
      <c r="Q608" s="18"/>
      <c r="R608" s="23">
        <v>0.0</v>
      </c>
      <c r="S608" s="23">
        <v>0.0</v>
      </c>
      <c r="T608" s="23">
        <f t="shared" si="2"/>
        <v>0</v>
      </c>
      <c r="U608" s="23">
        <f t="shared" si="3"/>
        <v>0</v>
      </c>
      <c r="V608" s="23">
        <f t="shared" si="4"/>
        <v>0</v>
      </c>
      <c r="W608" s="24" t="str">
        <f t="shared" si="5"/>
        <v>#DIV/0!</v>
      </c>
    </row>
    <row r="609" hidden="1">
      <c r="A609" s="15" t="s">
        <v>1965</v>
      </c>
      <c r="B609" s="18"/>
      <c r="C609" s="15" t="s">
        <v>6998</v>
      </c>
      <c r="D609" s="18"/>
      <c r="E609" s="17" t="s">
        <v>1956</v>
      </c>
      <c r="F609" s="18"/>
      <c r="G609" s="18"/>
      <c r="H609" s="15" t="s">
        <v>1966</v>
      </c>
      <c r="I609" s="15" t="s">
        <v>1967</v>
      </c>
      <c r="J609" s="19" t="s">
        <v>36</v>
      </c>
      <c r="K609" s="19" t="s">
        <v>37</v>
      </c>
      <c r="L609" s="19" t="s">
        <v>38</v>
      </c>
      <c r="M609" s="20">
        <f t="shared" si="1"/>
        <v>0</v>
      </c>
      <c r="N609" s="22"/>
      <c r="O609" s="19" t="s">
        <v>1145</v>
      </c>
      <c r="P609" s="18"/>
      <c r="Q609" s="18"/>
      <c r="R609" s="23">
        <v>0.0</v>
      </c>
      <c r="S609" s="23">
        <v>0.0</v>
      </c>
      <c r="T609" s="23">
        <f t="shared" si="2"/>
        <v>0</v>
      </c>
      <c r="U609" s="23">
        <f t="shared" si="3"/>
        <v>0</v>
      </c>
      <c r="V609" s="23">
        <f t="shared" si="4"/>
        <v>0</v>
      </c>
      <c r="W609" s="24" t="str">
        <f t="shared" si="5"/>
        <v>#DIV/0!</v>
      </c>
    </row>
    <row r="610" hidden="1">
      <c r="A610" s="15" t="s">
        <v>6999</v>
      </c>
      <c r="B610" s="18"/>
      <c r="C610" s="15" t="s">
        <v>7000</v>
      </c>
      <c r="D610" s="18"/>
      <c r="E610" s="17" t="s">
        <v>7001</v>
      </c>
      <c r="F610" s="18"/>
      <c r="G610" s="18"/>
      <c r="H610" s="15" t="s">
        <v>318</v>
      </c>
      <c r="I610" s="15" t="s">
        <v>319</v>
      </c>
      <c r="J610" s="19" t="s">
        <v>36</v>
      </c>
      <c r="K610" s="19" t="s">
        <v>105</v>
      </c>
      <c r="L610" s="19" t="s">
        <v>38</v>
      </c>
      <c r="M610" s="20">
        <f t="shared" si="1"/>
        <v>0</v>
      </c>
      <c r="N610" s="22"/>
      <c r="O610" s="19" t="s">
        <v>39</v>
      </c>
      <c r="P610" s="18"/>
      <c r="Q610" s="18"/>
      <c r="R610" s="23">
        <v>0.0</v>
      </c>
      <c r="S610" s="23">
        <v>0.0</v>
      </c>
      <c r="T610" s="23">
        <f t="shared" si="2"/>
        <v>0</v>
      </c>
      <c r="U610" s="23">
        <f t="shared" si="3"/>
        <v>0</v>
      </c>
      <c r="V610" s="23">
        <f t="shared" si="4"/>
        <v>0</v>
      </c>
      <c r="W610" s="24" t="str">
        <f t="shared" si="5"/>
        <v>#DIV/0!</v>
      </c>
    </row>
    <row r="611" hidden="1">
      <c r="A611" s="15" t="s">
        <v>1968</v>
      </c>
      <c r="B611" s="18"/>
      <c r="C611" s="15" t="s">
        <v>7002</v>
      </c>
      <c r="D611" s="18"/>
      <c r="E611" s="17" t="s">
        <v>1969</v>
      </c>
      <c r="F611" s="18"/>
      <c r="G611" s="18"/>
      <c r="H611" s="15" t="s">
        <v>1970</v>
      </c>
      <c r="I611" s="15" t="s">
        <v>1971</v>
      </c>
      <c r="J611" s="19" t="s">
        <v>36</v>
      </c>
      <c r="K611" s="19" t="s">
        <v>105</v>
      </c>
      <c r="L611" s="19" t="s">
        <v>38</v>
      </c>
      <c r="M611" s="20">
        <f t="shared" si="1"/>
        <v>0</v>
      </c>
      <c r="N611" s="22"/>
      <c r="O611" s="19" t="s">
        <v>1145</v>
      </c>
      <c r="P611" s="18"/>
      <c r="Q611" s="18"/>
      <c r="R611" s="23">
        <v>0.0</v>
      </c>
      <c r="S611" s="23">
        <v>0.0</v>
      </c>
      <c r="T611" s="23">
        <f t="shared" si="2"/>
        <v>0</v>
      </c>
      <c r="U611" s="23">
        <f t="shared" si="3"/>
        <v>0</v>
      </c>
      <c r="V611" s="23">
        <f t="shared" si="4"/>
        <v>0</v>
      </c>
      <c r="W611" s="24" t="str">
        <f t="shared" si="5"/>
        <v>#DIV/0!</v>
      </c>
    </row>
    <row r="612" hidden="1">
      <c r="A612" s="15" t="s">
        <v>1972</v>
      </c>
      <c r="B612" s="18"/>
      <c r="C612" s="15" t="s">
        <v>7003</v>
      </c>
      <c r="D612" s="18"/>
      <c r="E612" s="17" t="s">
        <v>1973</v>
      </c>
      <c r="F612" s="18"/>
      <c r="G612" s="18"/>
      <c r="H612" s="15" t="s">
        <v>1974</v>
      </c>
      <c r="I612" s="15" t="s">
        <v>1975</v>
      </c>
      <c r="J612" s="19" t="s">
        <v>36</v>
      </c>
      <c r="K612" s="19" t="s">
        <v>105</v>
      </c>
      <c r="L612" s="19" t="s">
        <v>38</v>
      </c>
      <c r="M612" s="20">
        <f t="shared" si="1"/>
        <v>0</v>
      </c>
      <c r="N612" s="22"/>
      <c r="O612" s="19" t="s">
        <v>1145</v>
      </c>
      <c r="P612" s="18"/>
      <c r="Q612" s="18"/>
      <c r="R612" s="23">
        <v>0.0</v>
      </c>
      <c r="S612" s="23">
        <v>0.0</v>
      </c>
      <c r="T612" s="23">
        <f t="shared" si="2"/>
        <v>0</v>
      </c>
      <c r="U612" s="23">
        <f t="shared" si="3"/>
        <v>0</v>
      </c>
      <c r="V612" s="23">
        <f t="shared" si="4"/>
        <v>0</v>
      </c>
      <c r="W612" s="24" t="str">
        <f t="shared" si="5"/>
        <v>#DIV/0!</v>
      </c>
    </row>
    <row r="613" hidden="1">
      <c r="A613" s="15" t="s">
        <v>7004</v>
      </c>
      <c r="B613" s="18"/>
      <c r="C613" s="15" t="s">
        <v>7005</v>
      </c>
      <c r="D613" s="18"/>
      <c r="E613" s="17" t="s">
        <v>7006</v>
      </c>
      <c r="F613" s="18"/>
      <c r="G613" s="18"/>
      <c r="H613" s="15" t="s">
        <v>7007</v>
      </c>
      <c r="I613" s="15" t="s">
        <v>7008</v>
      </c>
      <c r="J613" s="19" t="s">
        <v>36</v>
      </c>
      <c r="K613" s="19" t="s">
        <v>105</v>
      </c>
      <c r="L613" s="19" t="s">
        <v>38</v>
      </c>
      <c r="M613" s="20">
        <f t="shared" si="1"/>
        <v>0</v>
      </c>
      <c r="N613" s="22"/>
      <c r="O613" s="19" t="s">
        <v>1145</v>
      </c>
      <c r="P613" s="18"/>
      <c r="Q613" s="18"/>
      <c r="R613" s="23">
        <v>0.0</v>
      </c>
      <c r="S613" s="23">
        <v>0.0</v>
      </c>
      <c r="T613" s="23">
        <f t="shared" si="2"/>
        <v>0</v>
      </c>
      <c r="U613" s="23">
        <f t="shared" si="3"/>
        <v>0</v>
      </c>
      <c r="V613" s="23">
        <f t="shared" si="4"/>
        <v>0</v>
      </c>
      <c r="W613" s="24" t="str">
        <f t="shared" si="5"/>
        <v>#DIV/0!</v>
      </c>
    </row>
    <row r="614" hidden="1">
      <c r="A614" s="15" t="s">
        <v>1976</v>
      </c>
      <c r="B614" s="18"/>
      <c r="C614" s="15" t="s">
        <v>7009</v>
      </c>
      <c r="D614" s="18"/>
      <c r="E614" s="17" t="s">
        <v>1977</v>
      </c>
      <c r="F614" s="18"/>
      <c r="G614" s="18"/>
      <c r="H614" s="15" t="s">
        <v>1978</v>
      </c>
      <c r="I614" s="15" t="s">
        <v>1979</v>
      </c>
      <c r="J614" s="19" t="s">
        <v>36</v>
      </c>
      <c r="K614" s="19" t="s">
        <v>1230</v>
      </c>
      <c r="L614" s="19" t="s">
        <v>38</v>
      </c>
      <c r="M614" s="20">
        <f t="shared" si="1"/>
        <v>0</v>
      </c>
      <c r="N614" s="22"/>
      <c r="O614" s="19" t="s">
        <v>1145</v>
      </c>
      <c r="P614" s="18"/>
      <c r="Q614" s="18"/>
      <c r="R614" s="23">
        <v>0.0</v>
      </c>
      <c r="S614" s="23">
        <v>0.0</v>
      </c>
      <c r="T614" s="23">
        <f t="shared" si="2"/>
        <v>0</v>
      </c>
      <c r="U614" s="23">
        <f t="shared" si="3"/>
        <v>0</v>
      </c>
      <c r="V614" s="23">
        <f t="shared" si="4"/>
        <v>0</v>
      </c>
      <c r="W614" s="24" t="str">
        <f t="shared" si="5"/>
        <v>#DIV/0!</v>
      </c>
    </row>
    <row r="615" hidden="1">
      <c r="A615" s="15" t="s">
        <v>1980</v>
      </c>
      <c r="B615" s="18"/>
      <c r="C615" s="15" t="s">
        <v>7010</v>
      </c>
      <c r="D615" s="18"/>
      <c r="E615" s="17" t="s">
        <v>1981</v>
      </c>
      <c r="F615" s="18"/>
      <c r="G615" s="18"/>
      <c r="H615" s="15" t="s">
        <v>1982</v>
      </c>
      <c r="I615" s="15" t="s">
        <v>1983</v>
      </c>
      <c r="J615" s="19" t="s">
        <v>36</v>
      </c>
      <c r="K615" s="19" t="s">
        <v>105</v>
      </c>
      <c r="L615" s="19" t="s">
        <v>38</v>
      </c>
      <c r="M615" s="20">
        <f t="shared" si="1"/>
        <v>0</v>
      </c>
      <c r="N615" s="22"/>
      <c r="O615" s="19" t="s">
        <v>1145</v>
      </c>
      <c r="P615" s="18"/>
      <c r="Q615" s="18"/>
      <c r="R615" s="23">
        <v>0.0</v>
      </c>
      <c r="S615" s="23">
        <v>0.0</v>
      </c>
      <c r="T615" s="23">
        <f t="shared" si="2"/>
        <v>0</v>
      </c>
      <c r="U615" s="23">
        <f t="shared" si="3"/>
        <v>0</v>
      </c>
      <c r="V615" s="23">
        <f t="shared" si="4"/>
        <v>0</v>
      </c>
      <c r="W615" s="24" t="str">
        <f t="shared" si="5"/>
        <v>#DIV/0!</v>
      </c>
    </row>
    <row r="616" hidden="1">
      <c r="A616" s="15" t="s">
        <v>4723</v>
      </c>
      <c r="B616" s="18"/>
      <c r="C616" s="15" t="s">
        <v>7011</v>
      </c>
      <c r="D616" s="18"/>
      <c r="E616" s="17" t="s">
        <v>7012</v>
      </c>
      <c r="F616" s="18"/>
      <c r="G616" s="18"/>
      <c r="H616" s="15" t="s">
        <v>4727</v>
      </c>
      <c r="I616" s="15" t="s">
        <v>4726</v>
      </c>
      <c r="J616" s="19" t="s">
        <v>36</v>
      </c>
      <c r="K616" s="19" t="s">
        <v>1230</v>
      </c>
      <c r="L616" s="19" t="s">
        <v>38</v>
      </c>
      <c r="M616" s="20">
        <f t="shared" si="1"/>
        <v>0</v>
      </c>
      <c r="N616" s="22"/>
      <c r="O616" s="19" t="s">
        <v>1145</v>
      </c>
      <c r="P616" s="18"/>
      <c r="Q616" s="18"/>
      <c r="R616" s="23">
        <v>0.0</v>
      </c>
      <c r="S616" s="23">
        <v>0.0</v>
      </c>
      <c r="T616" s="23">
        <f t="shared" si="2"/>
        <v>0</v>
      </c>
      <c r="U616" s="23">
        <f t="shared" si="3"/>
        <v>0</v>
      </c>
      <c r="V616" s="23">
        <f t="shared" si="4"/>
        <v>0</v>
      </c>
      <c r="W616" s="24" t="str">
        <f t="shared" si="5"/>
        <v>#DIV/0!</v>
      </c>
    </row>
    <row r="617" hidden="1">
      <c r="A617" s="15" t="s">
        <v>4728</v>
      </c>
      <c r="B617" s="18"/>
      <c r="C617" s="15" t="s">
        <v>7013</v>
      </c>
      <c r="D617" s="18"/>
      <c r="E617" s="17" t="s">
        <v>7014</v>
      </c>
      <c r="F617" s="18"/>
      <c r="G617" s="18"/>
      <c r="H617" s="15" t="s">
        <v>4732</v>
      </c>
      <c r="I617" s="15" t="s">
        <v>4731</v>
      </c>
      <c r="J617" s="19" t="s">
        <v>36</v>
      </c>
      <c r="K617" s="19" t="s">
        <v>1230</v>
      </c>
      <c r="L617" s="19" t="s">
        <v>38</v>
      </c>
      <c r="M617" s="20">
        <f t="shared" si="1"/>
        <v>0</v>
      </c>
      <c r="N617" s="22"/>
      <c r="O617" s="19" t="s">
        <v>1145</v>
      </c>
      <c r="P617" s="18"/>
      <c r="Q617" s="18"/>
      <c r="R617" s="23">
        <v>0.0</v>
      </c>
      <c r="S617" s="23">
        <v>0.0</v>
      </c>
      <c r="T617" s="23">
        <f t="shared" si="2"/>
        <v>0</v>
      </c>
      <c r="U617" s="23">
        <f t="shared" si="3"/>
        <v>0</v>
      </c>
      <c r="V617" s="23">
        <f t="shared" si="4"/>
        <v>0</v>
      </c>
      <c r="W617" s="24" t="str">
        <f t="shared" si="5"/>
        <v>#DIV/0!</v>
      </c>
    </row>
    <row r="618" hidden="1">
      <c r="A618" s="15" t="s">
        <v>4733</v>
      </c>
      <c r="B618" s="18"/>
      <c r="C618" s="15" t="s">
        <v>7015</v>
      </c>
      <c r="D618" s="18"/>
      <c r="E618" s="17" t="s">
        <v>7016</v>
      </c>
      <c r="F618" s="18"/>
      <c r="G618" s="18"/>
      <c r="H618" s="15" t="s">
        <v>7017</v>
      </c>
      <c r="I618" s="15" t="s">
        <v>4736</v>
      </c>
      <c r="J618" s="19" t="s">
        <v>36</v>
      </c>
      <c r="K618" s="19" t="s">
        <v>1230</v>
      </c>
      <c r="L618" s="19" t="s">
        <v>38</v>
      </c>
      <c r="M618" s="20">
        <f t="shared" si="1"/>
        <v>0</v>
      </c>
      <c r="N618" s="22"/>
      <c r="O618" s="19" t="s">
        <v>1145</v>
      </c>
      <c r="P618" s="18"/>
      <c r="Q618" s="18"/>
      <c r="R618" s="23">
        <v>0.0</v>
      </c>
      <c r="S618" s="23">
        <v>0.0</v>
      </c>
      <c r="T618" s="23">
        <f t="shared" si="2"/>
        <v>0</v>
      </c>
      <c r="U618" s="23">
        <f t="shared" si="3"/>
        <v>0</v>
      </c>
      <c r="V618" s="23">
        <f t="shared" si="4"/>
        <v>0</v>
      </c>
      <c r="W618" s="24" t="str">
        <f t="shared" si="5"/>
        <v>#DIV/0!</v>
      </c>
    </row>
    <row r="619" hidden="1">
      <c r="A619" s="15" t="s">
        <v>1984</v>
      </c>
      <c r="B619" s="18"/>
      <c r="C619" s="15" t="s">
        <v>7018</v>
      </c>
      <c r="D619" s="18"/>
      <c r="E619" s="17" t="s">
        <v>1985</v>
      </c>
      <c r="F619" s="18"/>
      <c r="G619" s="18"/>
      <c r="H619" s="15" t="s">
        <v>1986</v>
      </c>
      <c r="I619" s="15" t="s">
        <v>1987</v>
      </c>
      <c r="J619" s="19" t="s">
        <v>36</v>
      </c>
      <c r="K619" s="19" t="s">
        <v>1230</v>
      </c>
      <c r="L619" s="19" t="s">
        <v>38</v>
      </c>
      <c r="M619" s="20">
        <f t="shared" si="1"/>
        <v>0</v>
      </c>
      <c r="N619" s="22"/>
      <c r="O619" s="19" t="s">
        <v>1145</v>
      </c>
      <c r="P619" s="18"/>
      <c r="Q619" s="18"/>
      <c r="R619" s="23">
        <v>0.0</v>
      </c>
      <c r="S619" s="23">
        <v>0.0</v>
      </c>
      <c r="T619" s="23">
        <f t="shared" si="2"/>
        <v>0</v>
      </c>
      <c r="U619" s="23">
        <f t="shared" si="3"/>
        <v>0</v>
      </c>
      <c r="V619" s="23">
        <f t="shared" si="4"/>
        <v>0</v>
      </c>
      <c r="W619" s="24" t="str">
        <f t="shared" si="5"/>
        <v>#DIV/0!</v>
      </c>
    </row>
    <row r="620" hidden="1">
      <c r="A620" s="15" t="s">
        <v>4738</v>
      </c>
      <c r="B620" s="18"/>
      <c r="C620" s="15" t="s">
        <v>7019</v>
      </c>
      <c r="D620" s="18"/>
      <c r="E620" s="17" t="s">
        <v>7020</v>
      </c>
      <c r="F620" s="18"/>
      <c r="G620" s="18"/>
      <c r="H620" s="15" t="s">
        <v>4742</v>
      </c>
      <c r="I620" s="15" t="s">
        <v>4741</v>
      </c>
      <c r="J620" s="19" t="s">
        <v>36</v>
      </c>
      <c r="K620" s="19" t="s">
        <v>1431</v>
      </c>
      <c r="L620" s="19" t="s">
        <v>38</v>
      </c>
      <c r="M620" s="20">
        <f t="shared" si="1"/>
        <v>0</v>
      </c>
      <c r="N620" s="22"/>
      <c r="O620" s="19" t="s">
        <v>1145</v>
      </c>
      <c r="P620" s="18"/>
      <c r="Q620" s="18"/>
      <c r="R620" s="23">
        <v>0.0</v>
      </c>
      <c r="S620" s="23">
        <v>0.0</v>
      </c>
      <c r="T620" s="23">
        <f t="shared" si="2"/>
        <v>0</v>
      </c>
      <c r="U620" s="23">
        <f t="shared" si="3"/>
        <v>0</v>
      </c>
      <c r="V620" s="23">
        <f t="shared" si="4"/>
        <v>0</v>
      </c>
      <c r="W620" s="24" t="str">
        <f t="shared" si="5"/>
        <v>#DIV/0!</v>
      </c>
    </row>
    <row r="621" hidden="1">
      <c r="A621" s="15" t="s">
        <v>4743</v>
      </c>
      <c r="B621" s="18"/>
      <c r="C621" s="15" t="s">
        <v>7021</v>
      </c>
      <c r="D621" s="18"/>
      <c r="E621" s="17" t="s">
        <v>7022</v>
      </c>
      <c r="F621" s="18"/>
      <c r="G621" s="18"/>
      <c r="H621" s="15" t="s">
        <v>4747</v>
      </c>
      <c r="I621" s="15" t="s">
        <v>4746</v>
      </c>
      <c r="J621" s="19" t="s">
        <v>36</v>
      </c>
      <c r="K621" s="19" t="s">
        <v>1230</v>
      </c>
      <c r="L621" s="19" t="s">
        <v>38</v>
      </c>
      <c r="M621" s="20">
        <f t="shared" si="1"/>
        <v>0</v>
      </c>
      <c r="N621" s="22"/>
      <c r="O621" s="19" t="s">
        <v>1145</v>
      </c>
      <c r="P621" s="18"/>
      <c r="Q621" s="18"/>
      <c r="R621" s="23">
        <v>0.0</v>
      </c>
      <c r="S621" s="23">
        <v>0.0</v>
      </c>
      <c r="T621" s="23">
        <f t="shared" si="2"/>
        <v>0</v>
      </c>
      <c r="U621" s="23">
        <f t="shared" si="3"/>
        <v>0</v>
      </c>
      <c r="V621" s="23">
        <f t="shared" si="4"/>
        <v>0</v>
      </c>
      <c r="W621" s="24" t="str">
        <f t="shared" si="5"/>
        <v>#DIV/0!</v>
      </c>
    </row>
    <row r="622" hidden="1">
      <c r="A622" s="15" t="s">
        <v>4748</v>
      </c>
      <c r="B622" s="18"/>
      <c r="C622" s="15" t="s">
        <v>7023</v>
      </c>
      <c r="D622" s="18"/>
      <c r="E622" s="17" t="s">
        <v>7024</v>
      </c>
      <c r="F622" s="18"/>
      <c r="G622" s="18"/>
      <c r="H622" s="15" t="s">
        <v>4752</v>
      </c>
      <c r="I622" s="15" t="s">
        <v>4751</v>
      </c>
      <c r="J622" s="19" t="s">
        <v>36</v>
      </c>
      <c r="K622" s="19" t="s">
        <v>37</v>
      </c>
      <c r="L622" s="19" t="s">
        <v>38</v>
      </c>
      <c r="M622" s="20">
        <f t="shared" si="1"/>
        <v>0</v>
      </c>
      <c r="N622" s="22"/>
      <c r="O622" s="19" t="s">
        <v>1145</v>
      </c>
      <c r="P622" s="18"/>
      <c r="Q622" s="18"/>
      <c r="R622" s="23">
        <v>0.0</v>
      </c>
      <c r="S622" s="23">
        <v>0.0</v>
      </c>
      <c r="T622" s="23">
        <f t="shared" si="2"/>
        <v>0</v>
      </c>
      <c r="U622" s="23">
        <f t="shared" si="3"/>
        <v>0</v>
      </c>
      <c r="V622" s="23">
        <f t="shared" si="4"/>
        <v>0</v>
      </c>
      <c r="W622" s="24" t="str">
        <f t="shared" si="5"/>
        <v>#DIV/0!</v>
      </c>
    </row>
    <row r="623" hidden="1">
      <c r="A623" s="15" t="s">
        <v>1988</v>
      </c>
      <c r="B623" s="18"/>
      <c r="C623" s="15" t="s">
        <v>7025</v>
      </c>
      <c r="D623" s="18"/>
      <c r="E623" s="17" t="s">
        <v>1989</v>
      </c>
      <c r="F623" s="18"/>
      <c r="G623" s="18"/>
      <c r="H623" s="15" t="s">
        <v>1990</v>
      </c>
      <c r="I623" s="15" t="s">
        <v>1991</v>
      </c>
      <c r="J623" s="19" t="s">
        <v>36</v>
      </c>
      <c r="K623" s="19" t="s">
        <v>1230</v>
      </c>
      <c r="L623" s="19" t="s">
        <v>38</v>
      </c>
      <c r="M623" s="20">
        <f t="shared" si="1"/>
        <v>0</v>
      </c>
      <c r="N623" s="22"/>
      <c r="O623" s="19" t="s">
        <v>1145</v>
      </c>
      <c r="P623" s="18"/>
      <c r="Q623" s="18"/>
      <c r="R623" s="23">
        <v>0.0</v>
      </c>
      <c r="S623" s="23">
        <v>0.0</v>
      </c>
      <c r="T623" s="23">
        <f t="shared" si="2"/>
        <v>0</v>
      </c>
      <c r="U623" s="23">
        <f t="shared" si="3"/>
        <v>0</v>
      </c>
      <c r="V623" s="23">
        <f t="shared" si="4"/>
        <v>0</v>
      </c>
      <c r="W623" s="24" t="str">
        <f t="shared" si="5"/>
        <v>#DIV/0!</v>
      </c>
    </row>
    <row r="624" hidden="1">
      <c r="A624" s="15" t="s">
        <v>1992</v>
      </c>
      <c r="B624" s="18"/>
      <c r="C624" s="15" t="s">
        <v>7026</v>
      </c>
      <c r="D624" s="18"/>
      <c r="E624" s="17" t="s">
        <v>1993</v>
      </c>
      <c r="F624" s="18"/>
      <c r="G624" s="18"/>
      <c r="H624" s="15" t="s">
        <v>1990</v>
      </c>
      <c r="I624" s="15" t="s">
        <v>1991</v>
      </c>
      <c r="J624" s="19" t="s">
        <v>36</v>
      </c>
      <c r="K624" s="19" t="s">
        <v>1230</v>
      </c>
      <c r="L624" s="19" t="s">
        <v>38</v>
      </c>
      <c r="M624" s="20">
        <f t="shared" si="1"/>
        <v>0</v>
      </c>
      <c r="N624" s="22"/>
      <c r="O624" s="19" t="s">
        <v>1145</v>
      </c>
      <c r="P624" s="18"/>
      <c r="Q624" s="18"/>
      <c r="R624" s="23">
        <v>0.0</v>
      </c>
      <c r="S624" s="23">
        <v>0.0</v>
      </c>
      <c r="T624" s="23">
        <f t="shared" si="2"/>
        <v>0</v>
      </c>
      <c r="U624" s="23">
        <f t="shared" si="3"/>
        <v>0</v>
      </c>
      <c r="V624" s="23">
        <f t="shared" si="4"/>
        <v>0</v>
      </c>
      <c r="W624" s="24" t="str">
        <f t="shared" si="5"/>
        <v>#DIV/0!</v>
      </c>
    </row>
    <row r="625">
      <c r="A625" s="15" t="s">
        <v>108</v>
      </c>
      <c r="B625" s="15" t="s">
        <v>109</v>
      </c>
      <c r="C625" s="15" t="s">
        <v>7027</v>
      </c>
      <c r="D625" s="15" t="s">
        <v>110</v>
      </c>
      <c r="E625" s="17" t="s">
        <v>111</v>
      </c>
      <c r="F625" s="18"/>
      <c r="G625" s="15" t="s">
        <v>112</v>
      </c>
      <c r="H625" s="15" t="s">
        <v>113</v>
      </c>
      <c r="I625" s="15"/>
      <c r="J625" s="19" t="s">
        <v>36</v>
      </c>
      <c r="K625" s="19" t="s">
        <v>114</v>
      </c>
      <c r="L625" s="19" t="s">
        <v>115</v>
      </c>
      <c r="M625" s="20">
        <f t="shared" si="1"/>
        <v>0</v>
      </c>
      <c r="N625" s="31">
        <v>2.0</v>
      </c>
      <c r="O625" s="19" t="s">
        <v>107</v>
      </c>
      <c r="P625" s="18"/>
      <c r="Q625" s="18"/>
      <c r="R625" s="23">
        <v>0.0</v>
      </c>
      <c r="S625" s="23">
        <v>0.0</v>
      </c>
      <c r="T625" s="23">
        <f t="shared" si="2"/>
        <v>0</v>
      </c>
      <c r="U625" s="23">
        <f t="shared" si="3"/>
        <v>0</v>
      </c>
      <c r="V625" s="23">
        <f t="shared" si="4"/>
        <v>0</v>
      </c>
      <c r="W625" s="24" t="str">
        <f t="shared" si="5"/>
        <v>#DIV/0!</v>
      </c>
    </row>
    <row r="626">
      <c r="A626" s="15" t="s">
        <v>116</v>
      </c>
      <c r="B626" s="15" t="s">
        <v>117</v>
      </c>
      <c r="C626" s="15" t="s">
        <v>7028</v>
      </c>
      <c r="D626" s="15" t="s">
        <v>118</v>
      </c>
      <c r="E626" s="17" t="s">
        <v>119</v>
      </c>
      <c r="F626" s="18"/>
      <c r="G626" s="15" t="s">
        <v>120</v>
      </c>
      <c r="H626" s="15" t="s">
        <v>121</v>
      </c>
      <c r="I626" s="15"/>
      <c r="J626" s="19" t="s">
        <v>36</v>
      </c>
      <c r="K626" s="19" t="s">
        <v>114</v>
      </c>
      <c r="L626" s="19" t="s">
        <v>115</v>
      </c>
      <c r="M626" s="20">
        <f t="shared" si="1"/>
        <v>0</v>
      </c>
      <c r="N626" s="31">
        <v>1.0</v>
      </c>
      <c r="O626" s="19" t="s">
        <v>107</v>
      </c>
      <c r="P626" s="18"/>
      <c r="Q626" s="18"/>
      <c r="R626" s="23">
        <v>0.0</v>
      </c>
      <c r="S626" s="23">
        <v>0.0</v>
      </c>
      <c r="T626" s="23">
        <f t="shared" si="2"/>
        <v>0</v>
      </c>
      <c r="U626" s="23">
        <f t="shared" si="3"/>
        <v>0</v>
      </c>
      <c r="V626" s="23">
        <f t="shared" si="4"/>
        <v>0</v>
      </c>
      <c r="W626" s="24" t="str">
        <f t="shared" si="5"/>
        <v>#DIV/0!</v>
      </c>
    </row>
    <row r="627" hidden="1">
      <c r="A627" s="15" t="s">
        <v>1994</v>
      </c>
      <c r="B627" s="18"/>
      <c r="C627" s="15" t="s">
        <v>7029</v>
      </c>
      <c r="D627" s="18"/>
      <c r="E627" s="17" t="s">
        <v>1995</v>
      </c>
      <c r="F627" s="18"/>
      <c r="G627" s="18"/>
      <c r="H627" s="15" t="s">
        <v>1996</v>
      </c>
      <c r="I627" s="15" t="s">
        <v>1997</v>
      </c>
      <c r="J627" s="19" t="s">
        <v>36</v>
      </c>
      <c r="K627" s="19" t="s">
        <v>1230</v>
      </c>
      <c r="L627" s="19" t="s">
        <v>38</v>
      </c>
      <c r="M627" s="20">
        <f t="shared" si="1"/>
        <v>0</v>
      </c>
      <c r="N627" s="22"/>
      <c r="O627" s="19" t="s">
        <v>1145</v>
      </c>
      <c r="P627" s="18"/>
      <c r="Q627" s="18"/>
      <c r="R627" s="23">
        <v>0.0</v>
      </c>
      <c r="S627" s="23">
        <v>0.0</v>
      </c>
      <c r="T627" s="23">
        <f t="shared" si="2"/>
        <v>0</v>
      </c>
      <c r="U627" s="23">
        <f t="shared" si="3"/>
        <v>0</v>
      </c>
      <c r="V627" s="23">
        <f t="shared" si="4"/>
        <v>0</v>
      </c>
      <c r="W627" s="24" t="str">
        <f t="shared" si="5"/>
        <v>#DIV/0!</v>
      </c>
    </row>
    <row r="628" hidden="1">
      <c r="A628" s="15" t="s">
        <v>1998</v>
      </c>
      <c r="B628" s="18"/>
      <c r="C628" s="15" t="s">
        <v>7030</v>
      </c>
      <c r="D628" s="18"/>
      <c r="E628" s="17" t="s">
        <v>1999</v>
      </c>
      <c r="F628" s="18"/>
      <c r="G628" s="18"/>
      <c r="H628" s="15" t="s">
        <v>2000</v>
      </c>
      <c r="I628" s="15" t="s">
        <v>2001</v>
      </c>
      <c r="J628" s="19" t="s">
        <v>36</v>
      </c>
      <c r="K628" s="19" t="s">
        <v>1230</v>
      </c>
      <c r="L628" s="19" t="s">
        <v>38</v>
      </c>
      <c r="M628" s="20">
        <f t="shared" si="1"/>
        <v>0</v>
      </c>
      <c r="N628" s="22"/>
      <c r="O628" s="19" t="s">
        <v>1145</v>
      </c>
      <c r="P628" s="18"/>
      <c r="Q628" s="18"/>
      <c r="R628" s="23">
        <v>0.0</v>
      </c>
      <c r="S628" s="23">
        <v>0.0</v>
      </c>
      <c r="T628" s="23">
        <f t="shared" si="2"/>
        <v>0</v>
      </c>
      <c r="U628" s="23">
        <f t="shared" si="3"/>
        <v>0</v>
      </c>
      <c r="V628" s="23">
        <f t="shared" si="4"/>
        <v>0</v>
      </c>
      <c r="W628" s="24" t="str">
        <f t="shared" si="5"/>
        <v>#DIV/0!</v>
      </c>
    </row>
    <row r="629" hidden="1">
      <c r="A629" s="15" t="s">
        <v>2002</v>
      </c>
      <c r="B629" s="18"/>
      <c r="C629" s="15" t="s">
        <v>7031</v>
      </c>
      <c r="D629" s="18"/>
      <c r="E629" s="17" t="s">
        <v>2003</v>
      </c>
      <c r="F629" s="18"/>
      <c r="G629" s="18"/>
      <c r="H629" s="15" t="s">
        <v>2004</v>
      </c>
      <c r="I629" s="15" t="s">
        <v>2005</v>
      </c>
      <c r="J629" s="19" t="s">
        <v>36</v>
      </c>
      <c r="K629" s="19" t="s">
        <v>1230</v>
      </c>
      <c r="L629" s="19" t="s">
        <v>38</v>
      </c>
      <c r="M629" s="20">
        <f t="shared" si="1"/>
        <v>0</v>
      </c>
      <c r="N629" s="22"/>
      <c r="O629" s="19" t="s">
        <v>1145</v>
      </c>
      <c r="P629" s="18"/>
      <c r="Q629" s="18"/>
      <c r="R629" s="23">
        <v>0.0</v>
      </c>
      <c r="S629" s="23">
        <v>0.0</v>
      </c>
      <c r="T629" s="23">
        <f t="shared" si="2"/>
        <v>0</v>
      </c>
      <c r="U629" s="23">
        <f t="shared" si="3"/>
        <v>0</v>
      </c>
      <c r="V629" s="23">
        <f t="shared" si="4"/>
        <v>0</v>
      </c>
      <c r="W629" s="24" t="str">
        <f t="shared" si="5"/>
        <v>#DIV/0!</v>
      </c>
    </row>
    <row r="630" hidden="1">
      <c r="A630" s="15" t="s">
        <v>2006</v>
      </c>
      <c r="B630" s="18"/>
      <c r="C630" s="15" t="s">
        <v>7032</v>
      </c>
      <c r="D630" s="18"/>
      <c r="E630" s="17" t="s">
        <v>2007</v>
      </c>
      <c r="F630" s="18"/>
      <c r="G630" s="18"/>
      <c r="H630" s="15" t="s">
        <v>2008</v>
      </c>
      <c r="I630" s="15" t="s">
        <v>2009</v>
      </c>
      <c r="J630" s="19" t="s">
        <v>36</v>
      </c>
      <c r="K630" s="19" t="s">
        <v>1230</v>
      </c>
      <c r="L630" s="19" t="s">
        <v>38</v>
      </c>
      <c r="M630" s="20">
        <f t="shared" si="1"/>
        <v>0</v>
      </c>
      <c r="N630" s="22"/>
      <c r="O630" s="19" t="s">
        <v>1145</v>
      </c>
      <c r="P630" s="18"/>
      <c r="Q630" s="18"/>
      <c r="R630" s="23">
        <v>0.0</v>
      </c>
      <c r="S630" s="23">
        <v>0.0</v>
      </c>
      <c r="T630" s="23">
        <f t="shared" si="2"/>
        <v>0</v>
      </c>
      <c r="U630" s="23">
        <f t="shared" si="3"/>
        <v>0</v>
      </c>
      <c r="V630" s="23">
        <f t="shared" si="4"/>
        <v>0</v>
      </c>
      <c r="W630" s="24" t="str">
        <f t="shared" si="5"/>
        <v>#DIV/0!</v>
      </c>
    </row>
    <row r="631" hidden="1">
      <c r="A631" s="15" t="s">
        <v>2010</v>
      </c>
      <c r="B631" s="18"/>
      <c r="C631" s="15" t="s">
        <v>7033</v>
      </c>
      <c r="D631" s="18"/>
      <c r="E631" s="17" t="s">
        <v>2011</v>
      </c>
      <c r="F631" s="18"/>
      <c r="G631" s="18"/>
      <c r="H631" s="15" t="s">
        <v>2012</v>
      </c>
      <c r="I631" s="15" t="s">
        <v>2013</v>
      </c>
      <c r="J631" s="19" t="s">
        <v>36</v>
      </c>
      <c r="K631" s="19" t="s">
        <v>1230</v>
      </c>
      <c r="L631" s="19" t="s">
        <v>38</v>
      </c>
      <c r="M631" s="20">
        <f t="shared" si="1"/>
        <v>0</v>
      </c>
      <c r="N631" s="22"/>
      <c r="O631" s="19" t="s">
        <v>1145</v>
      </c>
      <c r="P631" s="18"/>
      <c r="Q631" s="18"/>
      <c r="R631" s="23">
        <v>0.0</v>
      </c>
      <c r="S631" s="23">
        <v>0.0</v>
      </c>
      <c r="T631" s="23">
        <f t="shared" si="2"/>
        <v>0</v>
      </c>
      <c r="U631" s="23">
        <f t="shared" si="3"/>
        <v>0</v>
      </c>
      <c r="V631" s="23">
        <f t="shared" si="4"/>
        <v>0</v>
      </c>
      <c r="W631" s="24" t="str">
        <f t="shared" si="5"/>
        <v>#DIV/0!</v>
      </c>
    </row>
    <row r="632" hidden="1">
      <c r="A632" s="15" t="s">
        <v>2014</v>
      </c>
      <c r="B632" s="18"/>
      <c r="C632" s="15" t="s">
        <v>7034</v>
      </c>
      <c r="D632" s="18"/>
      <c r="E632" s="17" t="s">
        <v>2015</v>
      </c>
      <c r="F632" s="18"/>
      <c r="G632" s="18"/>
      <c r="H632" s="15" t="s">
        <v>2016</v>
      </c>
      <c r="I632" s="15" t="s">
        <v>2017</v>
      </c>
      <c r="J632" s="19" t="s">
        <v>36</v>
      </c>
      <c r="K632" s="19" t="s">
        <v>1230</v>
      </c>
      <c r="L632" s="19" t="s">
        <v>38</v>
      </c>
      <c r="M632" s="20">
        <f t="shared" si="1"/>
        <v>0</v>
      </c>
      <c r="N632" s="22"/>
      <c r="O632" s="19" t="s">
        <v>1145</v>
      </c>
      <c r="P632" s="18"/>
      <c r="Q632" s="18"/>
      <c r="R632" s="23">
        <v>0.0</v>
      </c>
      <c r="S632" s="23">
        <v>0.0</v>
      </c>
      <c r="T632" s="23">
        <f t="shared" si="2"/>
        <v>0</v>
      </c>
      <c r="U632" s="23">
        <f t="shared" si="3"/>
        <v>0</v>
      </c>
      <c r="V632" s="23">
        <f t="shared" si="4"/>
        <v>0</v>
      </c>
      <c r="W632" s="24" t="str">
        <f t="shared" si="5"/>
        <v>#DIV/0!</v>
      </c>
    </row>
    <row r="633" hidden="1">
      <c r="A633" s="15" t="s">
        <v>2018</v>
      </c>
      <c r="B633" s="18"/>
      <c r="C633" s="15" t="s">
        <v>7035</v>
      </c>
      <c r="D633" s="18"/>
      <c r="E633" s="17" t="s">
        <v>2019</v>
      </c>
      <c r="F633" s="18"/>
      <c r="G633" s="18"/>
      <c r="H633" s="15" t="s">
        <v>2016</v>
      </c>
      <c r="I633" s="15" t="s">
        <v>2017</v>
      </c>
      <c r="J633" s="19" t="s">
        <v>36</v>
      </c>
      <c r="K633" s="19" t="s">
        <v>1230</v>
      </c>
      <c r="L633" s="19" t="s">
        <v>38</v>
      </c>
      <c r="M633" s="20">
        <f t="shared" si="1"/>
        <v>0</v>
      </c>
      <c r="N633" s="22"/>
      <c r="O633" s="19" t="s">
        <v>1145</v>
      </c>
      <c r="P633" s="18"/>
      <c r="Q633" s="18"/>
      <c r="R633" s="23">
        <v>0.0</v>
      </c>
      <c r="S633" s="23">
        <v>0.0</v>
      </c>
      <c r="T633" s="23">
        <f t="shared" si="2"/>
        <v>0</v>
      </c>
      <c r="U633" s="23">
        <f t="shared" si="3"/>
        <v>0</v>
      </c>
      <c r="V633" s="23">
        <f t="shared" si="4"/>
        <v>0</v>
      </c>
      <c r="W633" s="24" t="str">
        <f t="shared" si="5"/>
        <v>#DIV/0!</v>
      </c>
    </row>
    <row r="634" hidden="1">
      <c r="A634" s="15" t="s">
        <v>2020</v>
      </c>
      <c r="B634" s="18"/>
      <c r="C634" s="15" t="s">
        <v>7036</v>
      </c>
      <c r="D634" s="18"/>
      <c r="E634" s="17" t="s">
        <v>2019</v>
      </c>
      <c r="F634" s="18"/>
      <c r="G634" s="18"/>
      <c r="H634" s="15" t="s">
        <v>2021</v>
      </c>
      <c r="I634" s="15" t="s">
        <v>2022</v>
      </c>
      <c r="J634" s="19" t="s">
        <v>36</v>
      </c>
      <c r="K634" s="19" t="s">
        <v>1230</v>
      </c>
      <c r="L634" s="19" t="s">
        <v>38</v>
      </c>
      <c r="M634" s="20">
        <f t="shared" si="1"/>
        <v>0</v>
      </c>
      <c r="N634" s="22"/>
      <c r="O634" s="19" t="s">
        <v>1145</v>
      </c>
      <c r="P634" s="18"/>
      <c r="Q634" s="18"/>
      <c r="R634" s="23">
        <v>0.0</v>
      </c>
      <c r="S634" s="23">
        <v>0.0</v>
      </c>
      <c r="T634" s="23">
        <f t="shared" si="2"/>
        <v>0</v>
      </c>
      <c r="U634" s="23">
        <f t="shared" si="3"/>
        <v>0</v>
      </c>
      <c r="V634" s="23">
        <f t="shared" si="4"/>
        <v>0</v>
      </c>
      <c r="W634" s="24" t="str">
        <f t="shared" si="5"/>
        <v>#DIV/0!</v>
      </c>
    </row>
    <row r="635" hidden="1">
      <c r="A635" s="15" t="s">
        <v>2023</v>
      </c>
      <c r="B635" s="18"/>
      <c r="C635" s="15" t="s">
        <v>7037</v>
      </c>
      <c r="D635" s="18"/>
      <c r="E635" s="17" t="s">
        <v>2024</v>
      </c>
      <c r="F635" s="18"/>
      <c r="G635" s="18"/>
      <c r="H635" s="15" t="s">
        <v>2025</v>
      </c>
      <c r="I635" s="15" t="s">
        <v>2026</v>
      </c>
      <c r="J635" s="19" t="s">
        <v>36</v>
      </c>
      <c r="K635" s="19" t="s">
        <v>1230</v>
      </c>
      <c r="L635" s="19" t="s">
        <v>38</v>
      </c>
      <c r="M635" s="20">
        <f t="shared" si="1"/>
        <v>0</v>
      </c>
      <c r="N635" s="22"/>
      <c r="O635" s="19" t="s">
        <v>1145</v>
      </c>
      <c r="P635" s="18"/>
      <c r="Q635" s="18"/>
      <c r="R635" s="23">
        <v>0.0</v>
      </c>
      <c r="S635" s="23">
        <v>0.0</v>
      </c>
      <c r="T635" s="23">
        <f t="shared" si="2"/>
        <v>0</v>
      </c>
      <c r="U635" s="23">
        <f t="shared" si="3"/>
        <v>0</v>
      </c>
      <c r="V635" s="23">
        <f t="shared" si="4"/>
        <v>0</v>
      </c>
      <c r="W635" s="24" t="str">
        <f t="shared" si="5"/>
        <v>#DIV/0!</v>
      </c>
    </row>
    <row r="636" hidden="1">
      <c r="A636" s="15" t="s">
        <v>2027</v>
      </c>
      <c r="B636" s="18"/>
      <c r="C636" s="15" t="s">
        <v>7038</v>
      </c>
      <c r="D636" s="18"/>
      <c r="E636" s="17" t="s">
        <v>2024</v>
      </c>
      <c r="F636" s="18"/>
      <c r="G636" s="18"/>
      <c r="H636" s="15" t="s">
        <v>2028</v>
      </c>
      <c r="I636" s="15" t="s">
        <v>2029</v>
      </c>
      <c r="J636" s="19" t="s">
        <v>36</v>
      </c>
      <c r="K636" s="19" t="s">
        <v>1230</v>
      </c>
      <c r="L636" s="19" t="s">
        <v>38</v>
      </c>
      <c r="M636" s="20">
        <f t="shared" si="1"/>
        <v>0</v>
      </c>
      <c r="N636" s="22"/>
      <c r="O636" s="19" t="s">
        <v>1145</v>
      </c>
      <c r="P636" s="18"/>
      <c r="Q636" s="18"/>
      <c r="R636" s="23">
        <v>0.0</v>
      </c>
      <c r="S636" s="23">
        <v>0.0</v>
      </c>
      <c r="T636" s="23">
        <f t="shared" si="2"/>
        <v>0</v>
      </c>
      <c r="U636" s="23">
        <f t="shared" si="3"/>
        <v>0</v>
      </c>
      <c r="V636" s="23">
        <f t="shared" si="4"/>
        <v>0</v>
      </c>
      <c r="W636" s="24" t="str">
        <f t="shared" si="5"/>
        <v>#DIV/0!</v>
      </c>
    </row>
    <row r="637" hidden="1">
      <c r="A637" s="15" t="s">
        <v>2030</v>
      </c>
      <c r="B637" s="18"/>
      <c r="C637" s="15" t="s">
        <v>7039</v>
      </c>
      <c r="D637" s="18"/>
      <c r="E637" s="17" t="s">
        <v>2031</v>
      </c>
      <c r="F637" s="18"/>
      <c r="G637" s="18"/>
      <c r="H637" s="15" t="s">
        <v>2032</v>
      </c>
      <c r="I637" s="15" t="s">
        <v>2033</v>
      </c>
      <c r="J637" s="19" t="s">
        <v>36</v>
      </c>
      <c r="K637" s="19" t="s">
        <v>1230</v>
      </c>
      <c r="L637" s="19" t="s">
        <v>38</v>
      </c>
      <c r="M637" s="20">
        <f t="shared" si="1"/>
        <v>0</v>
      </c>
      <c r="N637" s="22"/>
      <c r="O637" s="19" t="s">
        <v>1145</v>
      </c>
      <c r="P637" s="18"/>
      <c r="Q637" s="18"/>
      <c r="R637" s="23">
        <v>0.0</v>
      </c>
      <c r="S637" s="23">
        <v>0.0</v>
      </c>
      <c r="T637" s="23">
        <f t="shared" si="2"/>
        <v>0</v>
      </c>
      <c r="U637" s="23">
        <f t="shared" si="3"/>
        <v>0</v>
      </c>
      <c r="V637" s="23">
        <f t="shared" si="4"/>
        <v>0</v>
      </c>
      <c r="W637" s="24" t="str">
        <f t="shared" si="5"/>
        <v>#DIV/0!</v>
      </c>
    </row>
    <row r="638" hidden="1">
      <c r="A638" s="15" t="s">
        <v>2034</v>
      </c>
      <c r="B638" s="18"/>
      <c r="C638" s="15" t="s">
        <v>7040</v>
      </c>
      <c r="D638" s="18"/>
      <c r="E638" s="17" t="s">
        <v>2035</v>
      </c>
      <c r="F638" s="18"/>
      <c r="G638" s="18"/>
      <c r="H638" s="15" t="s">
        <v>2025</v>
      </c>
      <c r="I638" s="15" t="s">
        <v>2026</v>
      </c>
      <c r="J638" s="19" t="s">
        <v>36</v>
      </c>
      <c r="K638" s="19" t="s">
        <v>1230</v>
      </c>
      <c r="L638" s="19" t="s">
        <v>38</v>
      </c>
      <c r="M638" s="20">
        <f t="shared" si="1"/>
        <v>0</v>
      </c>
      <c r="N638" s="22"/>
      <c r="O638" s="19" t="s">
        <v>1145</v>
      </c>
      <c r="P638" s="18"/>
      <c r="Q638" s="18"/>
      <c r="R638" s="23">
        <v>0.0</v>
      </c>
      <c r="S638" s="23">
        <v>0.0</v>
      </c>
      <c r="T638" s="23">
        <f t="shared" si="2"/>
        <v>0</v>
      </c>
      <c r="U638" s="23">
        <f t="shared" si="3"/>
        <v>0</v>
      </c>
      <c r="V638" s="23">
        <f t="shared" si="4"/>
        <v>0</v>
      </c>
      <c r="W638" s="24" t="str">
        <f t="shared" si="5"/>
        <v>#DIV/0!</v>
      </c>
    </row>
    <row r="639" hidden="1">
      <c r="A639" s="15" t="s">
        <v>2036</v>
      </c>
      <c r="B639" s="18"/>
      <c r="C639" s="15" t="s">
        <v>7041</v>
      </c>
      <c r="D639" s="18"/>
      <c r="E639" s="17" t="s">
        <v>2037</v>
      </c>
      <c r="F639" s="18"/>
      <c r="G639" s="18"/>
      <c r="H639" s="15" t="s">
        <v>2038</v>
      </c>
      <c r="I639" s="15" t="s">
        <v>2039</v>
      </c>
      <c r="J639" s="19" t="s">
        <v>36</v>
      </c>
      <c r="K639" s="19" t="s">
        <v>1230</v>
      </c>
      <c r="L639" s="19" t="s">
        <v>38</v>
      </c>
      <c r="M639" s="20">
        <f t="shared" si="1"/>
        <v>0</v>
      </c>
      <c r="N639" s="22"/>
      <c r="O639" s="19" t="s">
        <v>1145</v>
      </c>
      <c r="P639" s="18"/>
      <c r="Q639" s="18"/>
      <c r="R639" s="23">
        <v>0.0</v>
      </c>
      <c r="S639" s="23">
        <v>0.0</v>
      </c>
      <c r="T639" s="23">
        <f t="shared" si="2"/>
        <v>0</v>
      </c>
      <c r="U639" s="23">
        <f t="shared" si="3"/>
        <v>0</v>
      </c>
      <c r="V639" s="23">
        <f t="shared" si="4"/>
        <v>0</v>
      </c>
      <c r="W639" s="24" t="str">
        <f t="shared" si="5"/>
        <v>#DIV/0!</v>
      </c>
    </row>
    <row r="640" hidden="1">
      <c r="A640" s="15" t="s">
        <v>2040</v>
      </c>
      <c r="B640" s="18"/>
      <c r="C640" s="15" t="s">
        <v>7042</v>
      </c>
      <c r="D640" s="18"/>
      <c r="E640" s="17" t="s">
        <v>2041</v>
      </c>
      <c r="F640" s="18"/>
      <c r="G640" s="18"/>
      <c r="H640" s="15" t="s">
        <v>2042</v>
      </c>
      <c r="I640" s="15" t="s">
        <v>2043</v>
      </c>
      <c r="J640" s="19" t="s">
        <v>36</v>
      </c>
      <c r="K640" s="19" t="s">
        <v>1230</v>
      </c>
      <c r="L640" s="19" t="s">
        <v>38</v>
      </c>
      <c r="M640" s="20">
        <f t="shared" si="1"/>
        <v>0</v>
      </c>
      <c r="N640" s="22"/>
      <c r="O640" s="19" t="s">
        <v>1145</v>
      </c>
      <c r="P640" s="18"/>
      <c r="Q640" s="18"/>
      <c r="R640" s="23">
        <v>0.0</v>
      </c>
      <c r="S640" s="23">
        <v>0.0</v>
      </c>
      <c r="T640" s="23">
        <f t="shared" si="2"/>
        <v>0</v>
      </c>
      <c r="U640" s="23">
        <f t="shared" si="3"/>
        <v>0</v>
      </c>
      <c r="V640" s="23">
        <f t="shared" si="4"/>
        <v>0</v>
      </c>
      <c r="W640" s="24" t="str">
        <f t="shared" si="5"/>
        <v>#DIV/0!</v>
      </c>
    </row>
    <row r="641" hidden="1">
      <c r="A641" s="15" t="s">
        <v>2044</v>
      </c>
      <c r="B641" s="18"/>
      <c r="C641" s="15" t="s">
        <v>7043</v>
      </c>
      <c r="D641" s="18"/>
      <c r="E641" s="17" t="s">
        <v>2045</v>
      </c>
      <c r="F641" s="18"/>
      <c r="G641" s="18"/>
      <c r="H641" s="15" t="s">
        <v>2046</v>
      </c>
      <c r="I641" s="15" t="s">
        <v>2047</v>
      </c>
      <c r="J641" s="19" t="s">
        <v>36</v>
      </c>
      <c r="K641" s="19" t="s">
        <v>1230</v>
      </c>
      <c r="L641" s="19" t="s">
        <v>38</v>
      </c>
      <c r="M641" s="20">
        <f t="shared" si="1"/>
        <v>0</v>
      </c>
      <c r="N641" s="22"/>
      <c r="O641" s="19" t="s">
        <v>1145</v>
      </c>
      <c r="P641" s="18"/>
      <c r="Q641" s="18"/>
      <c r="R641" s="23">
        <v>0.0</v>
      </c>
      <c r="S641" s="23">
        <v>0.0</v>
      </c>
      <c r="T641" s="23">
        <f t="shared" si="2"/>
        <v>0</v>
      </c>
      <c r="U641" s="23">
        <f t="shared" si="3"/>
        <v>0</v>
      </c>
      <c r="V641" s="23">
        <f t="shared" si="4"/>
        <v>0</v>
      </c>
      <c r="W641" s="24" t="str">
        <f t="shared" si="5"/>
        <v>#DIV/0!</v>
      </c>
    </row>
    <row r="642" hidden="1">
      <c r="A642" s="15" t="s">
        <v>2048</v>
      </c>
      <c r="B642" s="18"/>
      <c r="C642" s="15" t="s">
        <v>7044</v>
      </c>
      <c r="D642" s="18"/>
      <c r="E642" s="17" t="s">
        <v>2049</v>
      </c>
      <c r="F642" s="18"/>
      <c r="G642" s="18"/>
      <c r="H642" s="15" t="s">
        <v>2050</v>
      </c>
      <c r="I642" s="15" t="s">
        <v>2051</v>
      </c>
      <c r="J642" s="19" t="s">
        <v>36</v>
      </c>
      <c r="K642" s="19" t="s">
        <v>1230</v>
      </c>
      <c r="L642" s="19" t="s">
        <v>38</v>
      </c>
      <c r="M642" s="20">
        <f t="shared" si="1"/>
        <v>0</v>
      </c>
      <c r="N642" s="22"/>
      <c r="O642" s="19" t="s">
        <v>1145</v>
      </c>
      <c r="P642" s="18"/>
      <c r="Q642" s="18"/>
      <c r="R642" s="23">
        <v>0.0</v>
      </c>
      <c r="S642" s="23">
        <v>0.0</v>
      </c>
      <c r="T642" s="23">
        <f t="shared" si="2"/>
        <v>0</v>
      </c>
      <c r="U642" s="23">
        <f t="shared" si="3"/>
        <v>0</v>
      </c>
      <c r="V642" s="23">
        <f t="shared" si="4"/>
        <v>0</v>
      </c>
      <c r="W642" s="24" t="str">
        <f t="shared" si="5"/>
        <v>#DIV/0!</v>
      </c>
    </row>
    <row r="643" hidden="1">
      <c r="A643" s="15" t="s">
        <v>2052</v>
      </c>
      <c r="B643" s="18"/>
      <c r="C643" s="15" t="s">
        <v>7045</v>
      </c>
      <c r="D643" s="18"/>
      <c r="E643" s="17" t="s">
        <v>2053</v>
      </c>
      <c r="F643" s="18"/>
      <c r="G643" s="18"/>
      <c r="H643" s="15" t="s">
        <v>2054</v>
      </c>
      <c r="I643" s="15" t="s">
        <v>2055</v>
      </c>
      <c r="J643" s="19" t="s">
        <v>36</v>
      </c>
      <c r="K643" s="19" t="s">
        <v>37</v>
      </c>
      <c r="L643" s="19" t="s">
        <v>38</v>
      </c>
      <c r="M643" s="20">
        <f t="shared" si="1"/>
        <v>0</v>
      </c>
      <c r="N643" s="22"/>
      <c r="O643" s="19" t="s">
        <v>1145</v>
      </c>
      <c r="P643" s="18"/>
      <c r="Q643" s="18"/>
      <c r="R643" s="23">
        <v>0.0</v>
      </c>
      <c r="S643" s="23">
        <v>0.0</v>
      </c>
      <c r="T643" s="23">
        <f t="shared" si="2"/>
        <v>0</v>
      </c>
      <c r="U643" s="23">
        <f t="shared" si="3"/>
        <v>0</v>
      </c>
      <c r="V643" s="23">
        <f t="shared" si="4"/>
        <v>0</v>
      </c>
      <c r="W643" s="24" t="str">
        <f t="shared" si="5"/>
        <v>#DIV/0!</v>
      </c>
    </row>
    <row r="644" hidden="1">
      <c r="A644" s="15" t="s">
        <v>2056</v>
      </c>
      <c r="B644" s="18"/>
      <c r="C644" s="15" t="s">
        <v>7046</v>
      </c>
      <c r="D644" s="18"/>
      <c r="E644" s="17" t="s">
        <v>2057</v>
      </c>
      <c r="F644" s="18"/>
      <c r="G644" s="18"/>
      <c r="H644" s="15" t="s">
        <v>2058</v>
      </c>
      <c r="I644" s="15" t="s">
        <v>2059</v>
      </c>
      <c r="J644" s="19" t="s">
        <v>36</v>
      </c>
      <c r="K644" s="19" t="s">
        <v>105</v>
      </c>
      <c r="L644" s="19" t="s">
        <v>38</v>
      </c>
      <c r="M644" s="20">
        <f t="shared" si="1"/>
        <v>0</v>
      </c>
      <c r="N644" s="22"/>
      <c r="O644" s="19" t="s">
        <v>1145</v>
      </c>
      <c r="P644" s="18"/>
      <c r="Q644" s="18"/>
      <c r="R644" s="23">
        <v>0.0</v>
      </c>
      <c r="S644" s="23">
        <v>0.0</v>
      </c>
      <c r="T644" s="23">
        <f t="shared" si="2"/>
        <v>0</v>
      </c>
      <c r="U644" s="23">
        <f t="shared" si="3"/>
        <v>0</v>
      </c>
      <c r="V644" s="23">
        <f t="shared" si="4"/>
        <v>0</v>
      </c>
      <c r="W644" s="24" t="str">
        <f t="shared" si="5"/>
        <v>#DIV/0!</v>
      </c>
    </row>
    <row r="645" hidden="1">
      <c r="A645" s="15" t="s">
        <v>7047</v>
      </c>
      <c r="B645" s="18"/>
      <c r="C645" s="15" t="s">
        <v>7048</v>
      </c>
      <c r="D645" s="18"/>
      <c r="E645" s="17" t="s">
        <v>7049</v>
      </c>
      <c r="F645" s="18"/>
      <c r="G645" s="18"/>
      <c r="H645" s="15" t="s">
        <v>7050</v>
      </c>
      <c r="I645" s="15" t="s">
        <v>4203</v>
      </c>
      <c r="J645" s="19" t="s">
        <v>36</v>
      </c>
      <c r="K645" s="19" t="s">
        <v>105</v>
      </c>
      <c r="L645" s="19" t="s">
        <v>38</v>
      </c>
      <c r="M645" s="20">
        <f t="shared" si="1"/>
        <v>0</v>
      </c>
      <c r="N645" s="22"/>
      <c r="O645" s="19" t="s">
        <v>39</v>
      </c>
      <c r="P645" s="18"/>
      <c r="Q645" s="18"/>
      <c r="R645" s="23">
        <v>0.0</v>
      </c>
      <c r="S645" s="23">
        <v>0.0</v>
      </c>
      <c r="T645" s="23">
        <f t="shared" si="2"/>
        <v>0</v>
      </c>
      <c r="U645" s="23">
        <f t="shared" si="3"/>
        <v>0</v>
      </c>
      <c r="V645" s="23">
        <f t="shared" si="4"/>
        <v>0</v>
      </c>
      <c r="W645" s="24" t="str">
        <f t="shared" si="5"/>
        <v>#DIV/0!</v>
      </c>
    </row>
    <row r="646" hidden="1">
      <c r="A646" s="15" t="s">
        <v>2060</v>
      </c>
      <c r="B646" s="18"/>
      <c r="C646" s="15" t="s">
        <v>7051</v>
      </c>
      <c r="D646" s="18"/>
      <c r="E646" s="17" t="s">
        <v>2061</v>
      </c>
      <c r="F646" s="18"/>
      <c r="G646" s="18"/>
      <c r="H646" s="15" t="s">
        <v>2062</v>
      </c>
      <c r="I646" s="15" t="s">
        <v>2063</v>
      </c>
      <c r="J646" s="19" t="s">
        <v>36</v>
      </c>
      <c r="K646" s="19" t="s">
        <v>105</v>
      </c>
      <c r="L646" s="19" t="s">
        <v>38</v>
      </c>
      <c r="M646" s="20">
        <f t="shared" si="1"/>
        <v>0</v>
      </c>
      <c r="N646" s="22"/>
      <c r="O646" s="19" t="s">
        <v>1145</v>
      </c>
      <c r="P646" s="18"/>
      <c r="Q646" s="18"/>
      <c r="R646" s="23">
        <v>0.0</v>
      </c>
      <c r="S646" s="23">
        <v>0.0</v>
      </c>
      <c r="T646" s="23">
        <f t="shared" si="2"/>
        <v>0</v>
      </c>
      <c r="U646" s="23">
        <f t="shared" si="3"/>
        <v>0</v>
      </c>
      <c r="V646" s="23">
        <f t="shared" si="4"/>
        <v>0</v>
      </c>
      <c r="W646" s="24" t="str">
        <f t="shared" si="5"/>
        <v>#DIV/0!</v>
      </c>
    </row>
    <row r="647" hidden="1">
      <c r="A647" s="15" t="s">
        <v>2064</v>
      </c>
      <c r="B647" s="18"/>
      <c r="C647" s="15" t="s">
        <v>7052</v>
      </c>
      <c r="D647" s="18"/>
      <c r="E647" s="17" t="s">
        <v>2065</v>
      </c>
      <c r="F647" s="18"/>
      <c r="G647" s="18"/>
      <c r="H647" s="15" t="s">
        <v>2066</v>
      </c>
      <c r="I647" s="15" t="s">
        <v>2067</v>
      </c>
      <c r="J647" s="19" t="s">
        <v>36</v>
      </c>
      <c r="K647" s="19" t="s">
        <v>402</v>
      </c>
      <c r="L647" s="19" t="s">
        <v>38</v>
      </c>
      <c r="M647" s="20">
        <f t="shared" si="1"/>
        <v>0</v>
      </c>
      <c r="N647" s="22"/>
      <c r="O647" s="19" t="s">
        <v>1145</v>
      </c>
      <c r="P647" s="18"/>
      <c r="Q647" s="18"/>
      <c r="R647" s="23">
        <v>0.0</v>
      </c>
      <c r="S647" s="23">
        <v>0.0</v>
      </c>
      <c r="T647" s="23">
        <f t="shared" si="2"/>
        <v>0</v>
      </c>
      <c r="U647" s="23">
        <f t="shared" si="3"/>
        <v>0</v>
      </c>
      <c r="V647" s="23">
        <f t="shared" si="4"/>
        <v>0</v>
      </c>
      <c r="W647" s="24" t="str">
        <f t="shared" si="5"/>
        <v>#DIV/0!</v>
      </c>
    </row>
    <row r="648" hidden="1">
      <c r="A648" s="15" t="s">
        <v>2068</v>
      </c>
      <c r="B648" s="18"/>
      <c r="C648" s="15" t="s">
        <v>7053</v>
      </c>
      <c r="D648" s="18"/>
      <c r="E648" s="17" t="s">
        <v>2069</v>
      </c>
      <c r="F648" s="18"/>
      <c r="G648" s="18"/>
      <c r="H648" s="15" t="s">
        <v>2070</v>
      </c>
      <c r="I648" s="15" t="s">
        <v>2071</v>
      </c>
      <c r="J648" s="19" t="s">
        <v>36</v>
      </c>
      <c r="K648" s="19" t="s">
        <v>402</v>
      </c>
      <c r="L648" s="19" t="s">
        <v>38</v>
      </c>
      <c r="M648" s="20">
        <f t="shared" si="1"/>
        <v>0</v>
      </c>
      <c r="N648" s="22"/>
      <c r="O648" s="19" t="s">
        <v>1145</v>
      </c>
      <c r="P648" s="18"/>
      <c r="Q648" s="18"/>
      <c r="R648" s="23">
        <v>0.0</v>
      </c>
      <c r="S648" s="23">
        <v>0.0</v>
      </c>
      <c r="T648" s="23">
        <f t="shared" si="2"/>
        <v>0</v>
      </c>
      <c r="U648" s="23">
        <f t="shared" si="3"/>
        <v>0</v>
      </c>
      <c r="V648" s="23">
        <f t="shared" si="4"/>
        <v>0</v>
      </c>
      <c r="W648" s="24" t="str">
        <f t="shared" si="5"/>
        <v>#DIV/0!</v>
      </c>
    </row>
    <row r="649" hidden="1">
      <c r="A649" s="15" t="s">
        <v>2072</v>
      </c>
      <c r="B649" s="18"/>
      <c r="C649" s="15" t="s">
        <v>7054</v>
      </c>
      <c r="D649" s="18"/>
      <c r="E649" s="17" t="s">
        <v>2073</v>
      </c>
      <c r="F649" s="18"/>
      <c r="G649" s="18"/>
      <c r="H649" s="15" t="s">
        <v>2074</v>
      </c>
      <c r="I649" s="15" t="s">
        <v>2075</v>
      </c>
      <c r="J649" s="19" t="s">
        <v>36</v>
      </c>
      <c r="K649" s="19" t="s">
        <v>402</v>
      </c>
      <c r="L649" s="19" t="s">
        <v>38</v>
      </c>
      <c r="M649" s="20">
        <f t="shared" si="1"/>
        <v>0</v>
      </c>
      <c r="N649" s="22"/>
      <c r="O649" s="19" t="s">
        <v>1145</v>
      </c>
      <c r="P649" s="18"/>
      <c r="Q649" s="18"/>
      <c r="R649" s="23">
        <v>0.0</v>
      </c>
      <c r="S649" s="23">
        <v>0.0</v>
      </c>
      <c r="T649" s="23">
        <f t="shared" si="2"/>
        <v>0</v>
      </c>
      <c r="U649" s="23">
        <f t="shared" si="3"/>
        <v>0</v>
      </c>
      <c r="V649" s="23">
        <f t="shared" si="4"/>
        <v>0</v>
      </c>
      <c r="W649" s="24" t="str">
        <f t="shared" si="5"/>
        <v>#DIV/0!</v>
      </c>
    </row>
    <row r="650" hidden="1">
      <c r="A650" s="15" t="s">
        <v>2076</v>
      </c>
      <c r="B650" s="18"/>
      <c r="C650" s="15" t="s">
        <v>7055</v>
      </c>
      <c r="D650" s="18"/>
      <c r="E650" s="17" t="s">
        <v>2077</v>
      </c>
      <c r="F650" s="18"/>
      <c r="G650" s="18"/>
      <c r="H650" s="15" t="s">
        <v>2078</v>
      </c>
      <c r="I650" s="15" t="s">
        <v>2079</v>
      </c>
      <c r="J650" s="19" t="s">
        <v>36</v>
      </c>
      <c r="K650" s="19" t="s">
        <v>402</v>
      </c>
      <c r="L650" s="19" t="s">
        <v>38</v>
      </c>
      <c r="M650" s="20">
        <f t="shared" si="1"/>
        <v>0</v>
      </c>
      <c r="N650" s="22"/>
      <c r="O650" s="19" t="s">
        <v>1145</v>
      </c>
      <c r="P650" s="18"/>
      <c r="Q650" s="18"/>
      <c r="R650" s="23">
        <v>0.0</v>
      </c>
      <c r="S650" s="23">
        <v>0.0</v>
      </c>
      <c r="T650" s="23">
        <f t="shared" si="2"/>
        <v>0</v>
      </c>
      <c r="U650" s="23">
        <f t="shared" si="3"/>
        <v>0</v>
      </c>
      <c r="V650" s="23">
        <f t="shared" si="4"/>
        <v>0</v>
      </c>
      <c r="W650" s="24" t="str">
        <f t="shared" si="5"/>
        <v>#DIV/0!</v>
      </c>
    </row>
    <row r="651" hidden="1">
      <c r="A651" s="15" t="s">
        <v>2080</v>
      </c>
      <c r="B651" s="18"/>
      <c r="C651" s="15" t="s">
        <v>7056</v>
      </c>
      <c r="D651" s="18"/>
      <c r="E651" s="17" t="s">
        <v>2081</v>
      </c>
      <c r="F651" s="18"/>
      <c r="G651" s="18"/>
      <c r="H651" s="15" t="s">
        <v>2082</v>
      </c>
      <c r="I651" s="15" t="s">
        <v>2083</v>
      </c>
      <c r="J651" s="19" t="s">
        <v>36</v>
      </c>
      <c r="K651" s="19" t="s">
        <v>105</v>
      </c>
      <c r="L651" s="19" t="s">
        <v>38</v>
      </c>
      <c r="M651" s="20">
        <f t="shared" si="1"/>
        <v>0</v>
      </c>
      <c r="N651" s="22"/>
      <c r="O651" s="19" t="s">
        <v>1145</v>
      </c>
      <c r="P651" s="18"/>
      <c r="Q651" s="18"/>
      <c r="R651" s="23">
        <v>0.0</v>
      </c>
      <c r="S651" s="23">
        <v>0.0</v>
      </c>
      <c r="T651" s="23">
        <f t="shared" si="2"/>
        <v>0</v>
      </c>
      <c r="U651" s="23">
        <f t="shared" si="3"/>
        <v>0</v>
      </c>
      <c r="V651" s="23">
        <f t="shared" si="4"/>
        <v>0</v>
      </c>
      <c r="W651" s="24" t="str">
        <f t="shared" si="5"/>
        <v>#DIV/0!</v>
      </c>
    </row>
    <row r="652" hidden="1">
      <c r="A652" s="15" t="s">
        <v>2084</v>
      </c>
      <c r="B652" s="18"/>
      <c r="C652" s="15" t="s">
        <v>7057</v>
      </c>
      <c r="D652" s="18"/>
      <c r="E652" s="17" t="s">
        <v>2085</v>
      </c>
      <c r="F652" s="18"/>
      <c r="G652" s="18"/>
      <c r="H652" s="15" t="s">
        <v>2086</v>
      </c>
      <c r="I652" s="15" t="s">
        <v>2087</v>
      </c>
      <c r="J652" s="19" t="s">
        <v>36</v>
      </c>
      <c r="K652" s="19" t="s">
        <v>284</v>
      </c>
      <c r="L652" s="19" t="s">
        <v>38</v>
      </c>
      <c r="M652" s="20">
        <f t="shared" si="1"/>
        <v>0</v>
      </c>
      <c r="N652" s="22"/>
      <c r="O652" s="19" t="s">
        <v>1145</v>
      </c>
      <c r="P652" s="18"/>
      <c r="Q652" s="18"/>
      <c r="R652" s="23">
        <v>0.0</v>
      </c>
      <c r="S652" s="23">
        <v>0.0</v>
      </c>
      <c r="T652" s="23">
        <f t="shared" si="2"/>
        <v>0</v>
      </c>
      <c r="U652" s="23">
        <f t="shared" si="3"/>
        <v>0</v>
      </c>
      <c r="V652" s="23">
        <f t="shared" si="4"/>
        <v>0</v>
      </c>
      <c r="W652" s="24" t="str">
        <f t="shared" si="5"/>
        <v>#DIV/0!</v>
      </c>
    </row>
    <row r="653" hidden="1">
      <c r="A653" s="15" t="s">
        <v>4753</v>
      </c>
      <c r="B653" s="18"/>
      <c r="C653" s="15" t="s">
        <v>7058</v>
      </c>
      <c r="D653" s="18"/>
      <c r="E653" s="17" t="s">
        <v>7059</v>
      </c>
      <c r="F653" s="18"/>
      <c r="G653" s="18"/>
      <c r="H653" s="15" t="s">
        <v>4757</v>
      </c>
      <c r="I653" s="15" t="s">
        <v>7060</v>
      </c>
      <c r="J653" s="19" t="s">
        <v>36</v>
      </c>
      <c r="K653" s="19" t="s">
        <v>105</v>
      </c>
      <c r="L653" s="19" t="s">
        <v>38</v>
      </c>
      <c r="M653" s="20">
        <f t="shared" si="1"/>
        <v>0</v>
      </c>
      <c r="N653" s="22"/>
      <c r="O653" s="19" t="s">
        <v>1145</v>
      </c>
      <c r="P653" s="18"/>
      <c r="Q653" s="18"/>
      <c r="R653" s="23">
        <v>0.0</v>
      </c>
      <c r="S653" s="23">
        <v>0.0</v>
      </c>
      <c r="T653" s="23">
        <f t="shared" si="2"/>
        <v>0</v>
      </c>
      <c r="U653" s="23">
        <f t="shared" si="3"/>
        <v>0</v>
      </c>
      <c r="V653" s="23">
        <f t="shared" si="4"/>
        <v>0</v>
      </c>
      <c r="W653" s="24" t="str">
        <f t="shared" si="5"/>
        <v>#DIV/0!</v>
      </c>
    </row>
    <row r="654" hidden="1">
      <c r="A654" s="15" t="s">
        <v>4758</v>
      </c>
      <c r="B654" s="18"/>
      <c r="C654" s="15" t="s">
        <v>7061</v>
      </c>
      <c r="D654" s="18"/>
      <c r="E654" s="17" t="s">
        <v>7062</v>
      </c>
      <c r="F654" s="18"/>
      <c r="G654" s="18"/>
      <c r="H654" s="15" t="s">
        <v>4762</v>
      </c>
      <c r="I654" s="15" t="s">
        <v>4761</v>
      </c>
      <c r="J654" s="19" t="s">
        <v>36</v>
      </c>
      <c r="K654" s="19" t="s">
        <v>105</v>
      </c>
      <c r="L654" s="19" t="s">
        <v>38</v>
      </c>
      <c r="M654" s="20">
        <f t="shared" si="1"/>
        <v>0</v>
      </c>
      <c r="N654" s="22"/>
      <c r="O654" s="19" t="s">
        <v>1145</v>
      </c>
      <c r="P654" s="18"/>
      <c r="Q654" s="18"/>
      <c r="R654" s="23">
        <v>0.0</v>
      </c>
      <c r="S654" s="23">
        <v>0.0</v>
      </c>
      <c r="T654" s="23">
        <f t="shared" si="2"/>
        <v>0</v>
      </c>
      <c r="U654" s="23">
        <f t="shared" si="3"/>
        <v>0</v>
      </c>
      <c r="V654" s="23">
        <f t="shared" si="4"/>
        <v>0</v>
      </c>
      <c r="W654" s="24" t="str">
        <f t="shared" si="5"/>
        <v>#DIV/0!</v>
      </c>
    </row>
    <row r="655" hidden="1">
      <c r="A655" s="15" t="s">
        <v>4763</v>
      </c>
      <c r="B655" s="18"/>
      <c r="C655" s="15" t="s">
        <v>7063</v>
      </c>
      <c r="D655" s="18"/>
      <c r="E655" s="17" t="s">
        <v>7064</v>
      </c>
      <c r="F655" s="18"/>
      <c r="G655" s="18"/>
      <c r="H655" s="15" t="s">
        <v>4767</v>
      </c>
      <c r="I655" s="15" t="s">
        <v>4766</v>
      </c>
      <c r="J655" s="19" t="s">
        <v>36</v>
      </c>
      <c r="K655" s="19" t="s">
        <v>105</v>
      </c>
      <c r="L655" s="19" t="s">
        <v>38</v>
      </c>
      <c r="M655" s="20">
        <f t="shared" si="1"/>
        <v>0</v>
      </c>
      <c r="N655" s="22"/>
      <c r="O655" s="19" t="s">
        <v>1145</v>
      </c>
      <c r="P655" s="18"/>
      <c r="Q655" s="18"/>
      <c r="R655" s="23">
        <v>0.0</v>
      </c>
      <c r="S655" s="23">
        <v>0.0</v>
      </c>
      <c r="T655" s="23">
        <f t="shared" si="2"/>
        <v>0</v>
      </c>
      <c r="U655" s="23">
        <f t="shared" si="3"/>
        <v>0</v>
      </c>
      <c r="V655" s="23">
        <f t="shared" si="4"/>
        <v>0</v>
      </c>
      <c r="W655" s="24" t="str">
        <f t="shared" si="5"/>
        <v>#DIV/0!</v>
      </c>
    </row>
    <row r="656" hidden="1">
      <c r="A656" s="15" t="s">
        <v>4768</v>
      </c>
      <c r="B656" s="18"/>
      <c r="C656" s="15" t="s">
        <v>7065</v>
      </c>
      <c r="D656" s="18"/>
      <c r="E656" s="17" t="s">
        <v>7066</v>
      </c>
      <c r="F656" s="18"/>
      <c r="G656" s="18"/>
      <c r="H656" s="15" t="s">
        <v>4772</v>
      </c>
      <c r="I656" s="15" t="s">
        <v>4771</v>
      </c>
      <c r="J656" s="19" t="s">
        <v>36</v>
      </c>
      <c r="K656" s="19" t="s">
        <v>105</v>
      </c>
      <c r="L656" s="19" t="s">
        <v>38</v>
      </c>
      <c r="M656" s="20">
        <f t="shared" si="1"/>
        <v>0</v>
      </c>
      <c r="N656" s="22"/>
      <c r="O656" s="19" t="s">
        <v>1145</v>
      </c>
      <c r="P656" s="18"/>
      <c r="Q656" s="18"/>
      <c r="R656" s="23">
        <v>0.0</v>
      </c>
      <c r="S656" s="23">
        <v>0.0</v>
      </c>
      <c r="T656" s="23">
        <f t="shared" si="2"/>
        <v>0</v>
      </c>
      <c r="U656" s="23">
        <f t="shared" si="3"/>
        <v>0</v>
      </c>
      <c r="V656" s="23">
        <f t="shared" si="4"/>
        <v>0</v>
      </c>
      <c r="W656" s="24" t="str">
        <f t="shared" si="5"/>
        <v>#DIV/0!</v>
      </c>
    </row>
    <row r="657" hidden="1">
      <c r="A657" s="15" t="s">
        <v>4773</v>
      </c>
      <c r="B657" s="18"/>
      <c r="C657" s="15" t="s">
        <v>7067</v>
      </c>
      <c r="D657" s="18"/>
      <c r="E657" s="17" t="s">
        <v>7068</v>
      </c>
      <c r="F657" s="18"/>
      <c r="G657" s="18"/>
      <c r="H657" s="15" t="s">
        <v>4777</v>
      </c>
      <c r="I657" s="15" t="s">
        <v>4776</v>
      </c>
      <c r="J657" s="19" t="s">
        <v>36</v>
      </c>
      <c r="K657" s="19" t="s">
        <v>105</v>
      </c>
      <c r="L657" s="19" t="s">
        <v>38</v>
      </c>
      <c r="M657" s="20">
        <f t="shared" si="1"/>
        <v>0</v>
      </c>
      <c r="N657" s="22"/>
      <c r="O657" s="19" t="s">
        <v>1145</v>
      </c>
      <c r="P657" s="18"/>
      <c r="Q657" s="18"/>
      <c r="R657" s="23">
        <v>0.0</v>
      </c>
      <c r="S657" s="23">
        <v>0.0</v>
      </c>
      <c r="T657" s="23">
        <f t="shared" si="2"/>
        <v>0</v>
      </c>
      <c r="U657" s="23">
        <f t="shared" si="3"/>
        <v>0</v>
      </c>
      <c r="V657" s="23">
        <f t="shared" si="4"/>
        <v>0</v>
      </c>
      <c r="W657" s="24" t="str">
        <f t="shared" si="5"/>
        <v>#DIV/0!</v>
      </c>
    </row>
    <row r="658" hidden="1">
      <c r="A658" s="15" t="s">
        <v>7069</v>
      </c>
      <c r="B658" s="18"/>
      <c r="C658" s="15" t="s">
        <v>7070</v>
      </c>
      <c r="D658" s="18"/>
      <c r="E658" s="17" t="s">
        <v>7071</v>
      </c>
      <c r="F658" s="18"/>
      <c r="G658" s="18"/>
      <c r="H658" s="15" t="s">
        <v>7072</v>
      </c>
      <c r="I658" s="15" t="s">
        <v>4235</v>
      </c>
      <c r="J658" s="19" t="s">
        <v>36</v>
      </c>
      <c r="K658" s="19" t="s">
        <v>105</v>
      </c>
      <c r="L658" s="19" t="s">
        <v>38</v>
      </c>
      <c r="M658" s="20">
        <f t="shared" si="1"/>
        <v>0</v>
      </c>
      <c r="N658" s="22"/>
      <c r="O658" s="19" t="s">
        <v>39</v>
      </c>
      <c r="P658" s="18"/>
      <c r="Q658" s="18"/>
      <c r="R658" s="23">
        <v>0.0</v>
      </c>
      <c r="S658" s="23">
        <v>0.0</v>
      </c>
      <c r="T658" s="23">
        <f t="shared" si="2"/>
        <v>0</v>
      </c>
      <c r="U658" s="23">
        <f t="shared" si="3"/>
        <v>0</v>
      </c>
      <c r="V658" s="23">
        <f t="shared" si="4"/>
        <v>0</v>
      </c>
      <c r="W658" s="24" t="str">
        <f t="shared" si="5"/>
        <v>#DIV/0!</v>
      </c>
    </row>
    <row r="659" hidden="1">
      <c r="A659" s="15" t="s">
        <v>4778</v>
      </c>
      <c r="B659" s="18"/>
      <c r="C659" s="15" t="s">
        <v>7073</v>
      </c>
      <c r="D659" s="18"/>
      <c r="E659" s="17" t="s">
        <v>7074</v>
      </c>
      <c r="F659" s="18"/>
      <c r="G659" s="18"/>
      <c r="H659" s="15" t="s">
        <v>7075</v>
      </c>
      <c r="I659" s="15" t="s">
        <v>7076</v>
      </c>
      <c r="J659" s="19" t="s">
        <v>36</v>
      </c>
      <c r="K659" s="19" t="s">
        <v>105</v>
      </c>
      <c r="L659" s="19" t="s">
        <v>38</v>
      </c>
      <c r="M659" s="20">
        <f t="shared" si="1"/>
        <v>0</v>
      </c>
      <c r="N659" s="22"/>
      <c r="O659" s="19" t="s">
        <v>1145</v>
      </c>
      <c r="P659" s="18"/>
      <c r="Q659" s="18"/>
      <c r="R659" s="23">
        <v>0.0</v>
      </c>
      <c r="S659" s="23">
        <v>0.0</v>
      </c>
      <c r="T659" s="23">
        <f t="shared" si="2"/>
        <v>0</v>
      </c>
      <c r="U659" s="23">
        <f t="shared" si="3"/>
        <v>0</v>
      </c>
      <c r="V659" s="23">
        <f t="shared" si="4"/>
        <v>0</v>
      </c>
      <c r="W659" s="24" t="str">
        <f t="shared" si="5"/>
        <v>#DIV/0!</v>
      </c>
    </row>
    <row r="660" hidden="1">
      <c r="A660" s="15" t="s">
        <v>4782</v>
      </c>
      <c r="B660" s="18"/>
      <c r="C660" s="15" t="s">
        <v>7077</v>
      </c>
      <c r="D660" s="18"/>
      <c r="E660" s="17" t="s">
        <v>7078</v>
      </c>
      <c r="F660" s="18"/>
      <c r="G660" s="18"/>
      <c r="H660" s="15" t="s">
        <v>4786</v>
      </c>
      <c r="I660" s="15" t="s">
        <v>4785</v>
      </c>
      <c r="J660" s="19" t="s">
        <v>36</v>
      </c>
      <c r="K660" s="19" t="s">
        <v>105</v>
      </c>
      <c r="L660" s="19" t="s">
        <v>38</v>
      </c>
      <c r="M660" s="20">
        <f t="shared" si="1"/>
        <v>0</v>
      </c>
      <c r="N660" s="22"/>
      <c r="O660" s="19" t="s">
        <v>1145</v>
      </c>
      <c r="P660" s="18"/>
      <c r="Q660" s="18"/>
      <c r="R660" s="23">
        <v>0.0</v>
      </c>
      <c r="S660" s="23">
        <v>0.0</v>
      </c>
      <c r="T660" s="23">
        <f t="shared" si="2"/>
        <v>0</v>
      </c>
      <c r="U660" s="23">
        <f t="shared" si="3"/>
        <v>0</v>
      </c>
      <c r="V660" s="23">
        <f t="shared" si="4"/>
        <v>0</v>
      </c>
      <c r="W660" s="24" t="str">
        <f t="shared" si="5"/>
        <v>#DIV/0!</v>
      </c>
    </row>
    <row r="661" hidden="1">
      <c r="A661" s="15" t="s">
        <v>2088</v>
      </c>
      <c r="B661" s="18"/>
      <c r="C661" s="15" t="s">
        <v>7079</v>
      </c>
      <c r="D661" s="18"/>
      <c r="E661" s="17" t="s">
        <v>2089</v>
      </c>
      <c r="F661" s="18"/>
      <c r="G661" s="18"/>
      <c r="H661" s="15" t="s">
        <v>2090</v>
      </c>
      <c r="I661" s="15" t="s">
        <v>2091</v>
      </c>
      <c r="J661" s="19" t="s">
        <v>36</v>
      </c>
      <c r="K661" s="19" t="s">
        <v>105</v>
      </c>
      <c r="L661" s="19" t="s">
        <v>38</v>
      </c>
      <c r="M661" s="20">
        <f t="shared" si="1"/>
        <v>0</v>
      </c>
      <c r="N661" s="22"/>
      <c r="O661" s="19" t="s">
        <v>1145</v>
      </c>
      <c r="P661" s="18"/>
      <c r="Q661" s="18"/>
      <c r="R661" s="23">
        <v>0.0</v>
      </c>
      <c r="S661" s="23">
        <v>0.0</v>
      </c>
      <c r="T661" s="23">
        <f t="shared" si="2"/>
        <v>0</v>
      </c>
      <c r="U661" s="23">
        <f t="shared" si="3"/>
        <v>0</v>
      </c>
      <c r="V661" s="23">
        <f t="shared" si="4"/>
        <v>0</v>
      </c>
      <c r="W661" s="24" t="str">
        <f t="shared" si="5"/>
        <v>#DIV/0!</v>
      </c>
    </row>
    <row r="662" hidden="1">
      <c r="A662" s="15" t="s">
        <v>2092</v>
      </c>
      <c r="B662" s="18"/>
      <c r="C662" s="15" t="s">
        <v>7080</v>
      </c>
      <c r="D662" s="18"/>
      <c r="E662" s="17" t="s">
        <v>2093</v>
      </c>
      <c r="F662" s="18"/>
      <c r="G662" s="18"/>
      <c r="H662" s="15" t="s">
        <v>2094</v>
      </c>
      <c r="I662" s="15" t="s">
        <v>2095</v>
      </c>
      <c r="J662" s="19" t="s">
        <v>36</v>
      </c>
      <c r="K662" s="19" t="s">
        <v>105</v>
      </c>
      <c r="L662" s="19" t="s">
        <v>38</v>
      </c>
      <c r="M662" s="20">
        <f t="shared" si="1"/>
        <v>0</v>
      </c>
      <c r="N662" s="22"/>
      <c r="O662" s="19" t="s">
        <v>1145</v>
      </c>
      <c r="P662" s="18"/>
      <c r="Q662" s="18"/>
      <c r="R662" s="23">
        <v>0.0</v>
      </c>
      <c r="S662" s="23">
        <v>0.0</v>
      </c>
      <c r="T662" s="23">
        <f t="shared" si="2"/>
        <v>0</v>
      </c>
      <c r="U662" s="23">
        <f t="shared" si="3"/>
        <v>0</v>
      </c>
      <c r="V662" s="23">
        <f t="shared" si="4"/>
        <v>0</v>
      </c>
      <c r="W662" s="24" t="str">
        <f t="shared" si="5"/>
        <v>#DIV/0!</v>
      </c>
    </row>
    <row r="663" hidden="1">
      <c r="A663" s="15" t="s">
        <v>2096</v>
      </c>
      <c r="B663" s="18"/>
      <c r="C663" s="15" t="s">
        <v>7081</v>
      </c>
      <c r="D663" s="18"/>
      <c r="E663" s="17" t="s">
        <v>2097</v>
      </c>
      <c r="F663" s="18"/>
      <c r="G663" s="18"/>
      <c r="H663" s="15" t="s">
        <v>2098</v>
      </c>
      <c r="I663" s="15" t="s">
        <v>2099</v>
      </c>
      <c r="J663" s="19" t="s">
        <v>36</v>
      </c>
      <c r="K663" s="19" t="s">
        <v>105</v>
      </c>
      <c r="L663" s="19" t="s">
        <v>38</v>
      </c>
      <c r="M663" s="20">
        <f t="shared" si="1"/>
        <v>0</v>
      </c>
      <c r="N663" s="22"/>
      <c r="O663" s="19" t="s">
        <v>1145</v>
      </c>
      <c r="P663" s="18"/>
      <c r="Q663" s="18"/>
      <c r="R663" s="23">
        <v>0.0</v>
      </c>
      <c r="S663" s="23">
        <v>0.0</v>
      </c>
      <c r="T663" s="23">
        <f t="shared" si="2"/>
        <v>0</v>
      </c>
      <c r="U663" s="23">
        <f t="shared" si="3"/>
        <v>0</v>
      </c>
      <c r="V663" s="23">
        <f t="shared" si="4"/>
        <v>0</v>
      </c>
      <c r="W663" s="24" t="str">
        <f t="shared" si="5"/>
        <v>#DIV/0!</v>
      </c>
    </row>
    <row r="664" hidden="1">
      <c r="A664" s="15" t="s">
        <v>2100</v>
      </c>
      <c r="B664" s="18"/>
      <c r="C664" s="15" t="s">
        <v>7082</v>
      </c>
      <c r="D664" s="18"/>
      <c r="E664" s="17" t="s">
        <v>2101</v>
      </c>
      <c r="F664" s="18"/>
      <c r="G664" s="18"/>
      <c r="H664" s="15" t="s">
        <v>2102</v>
      </c>
      <c r="I664" s="15" t="s">
        <v>2103</v>
      </c>
      <c r="J664" s="19" t="s">
        <v>36</v>
      </c>
      <c r="K664" s="19" t="s">
        <v>105</v>
      </c>
      <c r="L664" s="19" t="s">
        <v>38</v>
      </c>
      <c r="M664" s="20">
        <f t="shared" si="1"/>
        <v>0</v>
      </c>
      <c r="N664" s="22"/>
      <c r="O664" s="19" t="s">
        <v>1145</v>
      </c>
      <c r="P664" s="18"/>
      <c r="Q664" s="18"/>
      <c r="R664" s="23">
        <v>0.0</v>
      </c>
      <c r="S664" s="23">
        <v>0.0</v>
      </c>
      <c r="T664" s="23">
        <f t="shared" si="2"/>
        <v>0</v>
      </c>
      <c r="U664" s="23">
        <f t="shared" si="3"/>
        <v>0</v>
      </c>
      <c r="V664" s="23">
        <f t="shared" si="4"/>
        <v>0</v>
      </c>
      <c r="W664" s="24" t="str">
        <f t="shared" si="5"/>
        <v>#DIV/0!</v>
      </c>
    </row>
    <row r="665" hidden="1">
      <c r="A665" s="15" t="s">
        <v>2104</v>
      </c>
      <c r="B665" s="18"/>
      <c r="C665" s="15" t="s">
        <v>7083</v>
      </c>
      <c r="D665" s="18"/>
      <c r="E665" s="17" t="s">
        <v>2105</v>
      </c>
      <c r="F665" s="18"/>
      <c r="G665" s="18"/>
      <c r="H665" s="15" t="s">
        <v>2106</v>
      </c>
      <c r="I665" s="15" t="s">
        <v>2107</v>
      </c>
      <c r="J665" s="19" t="s">
        <v>36</v>
      </c>
      <c r="K665" s="19" t="s">
        <v>105</v>
      </c>
      <c r="L665" s="19" t="s">
        <v>38</v>
      </c>
      <c r="M665" s="20">
        <f t="shared" si="1"/>
        <v>0</v>
      </c>
      <c r="N665" s="22"/>
      <c r="O665" s="19" t="s">
        <v>1145</v>
      </c>
      <c r="P665" s="18"/>
      <c r="Q665" s="18"/>
      <c r="R665" s="23">
        <v>0.0</v>
      </c>
      <c r="S665" s="23">
        <v>0.0</v>
      </c>
      <c r="T665" s="23">
        <f t="shared" si="2"/>
        <v>0</v>
      </c>
      <c r="U665" s="23">
        <f t="shared" si="3"/>
        <v>0</v>
      </c>
      <c r="V665" s="23">
        <f t="shared" si="4"/>
        <v>0</v>
      </c>
      <c r="W665" s="24" t="str">
        <f t="shared" si="5"/>
        <v>#DIV/0!</v>
      </c>
    </row>
    <row r="666" hidden="1">
      <c r="A666" s="15" t="s">
        <v>7084</v>
      </c>
      <c r="B666" s="18"/>
      <c r="C666" s="15" t="s">
        <v>7085</v>
      </c>
      <c r="D666" s="18"/>
      <c r="E666" s="17" t="s">
        <v>7086</v>
      </c>
      <c r="F666" s="18"/>
      <c r="G666" s="18"/>
      <c r="H666" s="15" t="s">
        <v>7087</v>
      </c>
      <c r="I666" s="15" t="s">
        <v>7088</v>
      </c>
      <c r="J666" s="19" t="s">
        <v>36</v>
      </c>
      <c r="K666" s="19" t="s">
        <v>105</v>
      </c>
      <c r="L666" s="19" t="s">
        <v>38</v>
      </c>
      <c r="M666" s="20">
        <f t="shared" si="1"/>
        <v>0</v>
      </c>
      <c r="N666" s="22"/>
      <c r="O666" s="19" t="s">
        <v>1145</v>
      </c>
      <c r="P666" s="18"/>
      <c r="Q666" s="18"/>
      <c r="R666" s="23">
        <v>0.0</v>
      </c>
      <c r="S666" s="23">
        <v>0.0</v>
      </c>
      <c r="T666" s="23">
        <f t="shared" si="2"/>
        <v>0</v>
      </c>
      <c r="U666" s="23">
        <f t="shared" si="3"/>
        <v>0</v>
      </c>
      <c r="V666" s="23">
        <f t="shared" si="4"/>
        <v>0</v>
      </c>
      <c r="W666" s="24" t="str">
        <f t="shared" si="5"/>
        <v>#DIV/0!</v>
      </c>
    </row>
    <row r="667" hidden="1">
      <c r="A667" s="15" t="s">
        <v>2108</v>
      </c>
      <c r="B667" s="18"/>
      <c r="C667" s="15" t="s">
        <v>7089</v>
      </c>
      <c r="D667" s="18"/>
      <c r="E667" s="17" t="s">
        <v>2109</v>
      </c>
      <c r="F667" s="18"/>
      <c r="G667" s="18"/>
      <c r="H667" s="15" t="s">
        <v>2110</v>
      </c>
      <c r="I667" s="15" t="s">
        <v>2111</v>
      </c>
      <c r="J667" s="19" t="s">
        <v>36</v>
      </c>
      <c r="K667" s="19" t="s">
        <v>105</v>
      </c>
      <c r="L667" s="19" t="s">
        <v>38</v>
      </c>
      <c r="M667" s="20">
        <f t="shared" si="1"/>
        <v>0</v>
      </c>
      <c r="N667" s="22"/>
      <c r="O667" s="19" t="s">
        <v>1145</v>
      </c>
      <c r="P667" s="18"/>
      <c r="Q667" s="18"/>
      <c r="R667" s="23">
        <v>0.0</v>
      </c>
      <c r="S667" s="23">
        <v>0.0</v>
      </c>
      <c r="T667" s="23">
        <f t="shared" si="2"/>
        <v>0</v>
      </c>
      <c r="U667" s="23">
        <f t="shared" si="3"/>
        <v>0</v>
      </c>
      <c r="V667" s="23">
        <f t="shared" si="4"/>
        <v>0</v>
      </c>
      <c r="W667" s="24" t="str">
        <f t="shared" si="5"/>
        <v>#DIV/0!</v>
      </c>
    </row>
    <row r="668" hidden="1">
      <c r="A668" s="15" t="s">
        <v>2112</v>
      </c>
      <c r="B668" s="18"/>
      <c r="C668" s="15" t="s">
        <v>7090</v>
      </c>
      <c r="D668" s="18"/>
      <c r="E668" s="17" t="s">
        <v>2113</v>
      </c>
      <c r="F668" s="18"/>
      <c r="G668" s="18"/>
      <c r="H668" s="15" t="s">
        <v>2114</v>
      </c>
      <c r="I668" s="15" t="s">
        <v>2115</v>
      </c>
      <c r="J668" s="19" t="s">
        <v>36</v>
      </c>
      <c r="K668" s="19" t="s">
        <v>105</v>
      </c>
      <c r="L668" s="19" t="s">
        <v>38</v>
      </c>
      <c r="M668" s="20">
        <f t="shared" si="1"/>
        <v>0</v>
      </c>
      <c r="N668" s="22"/>
      <c r="O668" s="19" t="s">
        <v>1145</v>
      </c>
      <c r="P668" s="18"/>
      <c r="Q668" s="18"/>
      <c r="R668" s="23">
        <v>0.0</v>
      </c>
      <c r="S668" s="23">
        <v>0.0</v>
      </c>
      <c r="T668" s="23">
        <f t="shared" si="2"/>
        <v>0</v>
      </c>
      <c r="U668" s="23">
        <f t="shared" si="3"/>
        <v>0</v>
      </c>
      <c r="V668" s="23">
        <f t="shared" si="4"/>
        <v>0</v>
      </c>
      <c r="W668" s="24" t="str">
        <f t="shared" si="5"/>
        <v>#DIV/0!</v>
      </c>
    </row>
    <row r="669" hidden="1">
      <c r="A669" s="15" t="s">
        <v>2116</v>
      </c>
      <c r="B669" s="18"/>
      <c r="C669" s="15" t="s">
        <v>7091</v>
      </c>
      <c r="D669" s="18"/>
      <c r="E669" s="17" t="s">
        <v>2117</v>
      </c>
      <c r="F669" s="18"/>
      <c r="G669" s="18"/>
      <c r="H669" s="15" t="s">
        <v>2118</v>
      </c>
      <c r="I669" s="15" t="s">
        <v>2119</v>
      </c>
      <c r="J669" s="19" t="s">
        <v>36</v>
      </c>
      <c r="K669" s="19" t="s">
        <v>105</v>
      </c>
      <c r="L669" s="19" t="s">
        <v>38</v>
      </c>
      <c r="M669" s="20">
        <f t="shared" si="1"/>
        <v>0</v>
      </c>
      <c r="N669" s="22"/>
      <c r="O669" s="19" t="s">
        <v>1145</v>
      </c>
      <c r="P669" s="18"/>
      <c r="Q669" s="18"/>
      <c r="R669" s="23">
        <v>0.0</v>
      </c>
      <c r="S669" s="23">
        <v>0.0</v>
      </c>
      <c r="T669" s="23">
        <f t="shared" si="2"/>
        <v>0</v>
      </c>
      <c r="U669" s="23">
        <f t="shared" si="3"/>
        <v>0</v>
      </c>
      <c r="V669" s="23">
        <f t="shared" si="4"/>
        <v>0</v>
      </c>
      <c r="W669" s="24" t="str">
        <f t="shared" si="5"/>
        <v>#DIV/0!</v>
      </c>
    </row>
    <row r="670" hidden="1">
      <c r="A670" s="15" t="s">
        <v>2120</v>
      </c>
      <c r="B670" s="18"/>
      <c r="C670" s="15" t="s">
        <v>7092</v>
      </c>
      <c r="D670" s="18"/>
      <c r="E670" s="17" t="s">
        <v>2121</v>
      </c>
      <c r="F670" s="18"/>
      <c r="G670" s="18"/>
      <c r="H670" s="15" t="s">
        <v>2122</v>
      </c>
      <c r="I670" s="15" t="s">
        <v>2123</v>
      </c>
      <c r="J670" s="19" t="s">
        <v>36</v>
      </c>
      <c r="K670" s="19" t="s">
        <v>105</v>
      </c>
      <c r="L670" s="19" t="s">
        <v>38</v>
      </c>
      <c r="M670" s="20">
        <f t="shared" si="1"/>
        <v>0</v>
      </c>
      <c r="N670" s="22"/>
      <c r="O670" s="19" t="s">
        <v>1145</v>
      </c>
      <c r="P670" s="18"/>
      <c r="Q670" s="18"/>
      <c r="R670" s="23">
        <v>0.0</v>
      </c>
      <c r="S670" s="23">
        <v>0.0</v>
      </c>
      <c r="T670" s="23">
        <f t="shared" si="2"/>
        <v>0</v>
      </c>
      <c r="U670" s="23">
        <f t="shared" si="3"/>
        <v>0</v>
      </c>
      <c r="V670" s="23">
        <f t="shared" si="4"/>
        <v>0</v>
      </c>
      <c r="W670" s="24" t="str">
        <f t="shared" si="5"/>
        <v>#DIV/0!</v>
      </c>
    </row>
    <row r="671" hidden="1">
      <c r="A671" s="15" t="s">
        <v>2124</v>
      </c>
      <c r="B671" s="18"/>
      <c r="C671" s="15" t="s">
        <v>7093</v>
      </c>
      <c r="D671" s="18"/>
      <c r="E671" s="17" t="s">
        <v>2125</v>
      </c>
      <c r="F671" s="18"/>
      <c r="G671" s="18"/>
      <c r="H671" s="15" t="s">
        <v>2126</v>
      </c>
      <c r="I671" s="15" t="s">
        <v>2127</v>
      </c>
      <c r="J671" s="19" t="s">
        <v>36</v>
      </c>
      <c r="K671" s="19" t="s">
        <v>105</v>
      </c>
      <c r="L671" s="19" t="s">
        <v>38</v>
      </c>
      <c r="M671" s="20">
        <f t="shared" si="1"/>
        <v>0</v>
      </c>
      <c r="N671" s="22"/>
      <c r="O671" s="19" t="s">
        <v>1145</v>
      </c>
      <c r="P671" s="18"/>
      <c r="Q671" s="18"/>
      <c r="R671" s="23">
        <v>0.0</v>
      </c>
      <c r="S671" s="23">
        <v>0.0</v>
      </c>
      <c r="T671" s="23">
        <f t="shared" si="2"/>
        <v>0</v>
      </c>
      <c r="U671" s="23">
        <f t="shared" si="3"/>
        <v>0</v>
      </c>
      <c r="V671" s="23">
        <f t="shared" si="4"/>
        <v>0</v>
      </c>
      <c r="W671" s="24" t="str">
        <f t="shared" si="5"/>
        <v>#DIV/0!</v>
      </c>
    </row>
    <row r="672" hidden="1">
      <c r="A672" s="15" t="s">
        <v>2128</v>
      </c>
      <c r="B672" s="18"/>
      <c r="C672" s="15" t="s">
        <v>7094</v>
      </c>
      <c r="D672" s="18"/>
      <c r="E672" s="17" t="s">
        <v>482</v>
      </c>
      <c r="F672" s="18"/>
      <c r="G672" s="18"/>
      <c r="H672" s="15" t="s">
        <v>2129</v>
      </c>
      <c r="I672" s="15" t="s">
        <v>2130</v>
      </c>
      <c r="J672" s="19" t="s">
        <v>36</v>
      </c>
      <c r="K672" s="19" t="s">
        <v>105</v>
      </c>
      <c r="L672" s="19" t="s">
        <v>38</v>
      </c>
      <c r="M672" s="20">
        <f t="shared" si="1"/>
        <v>0</v>
      </c>
      <c r="N672" s="22"/>
      <c r="O672" s="19" t="s">
        <v>1145</v>
      </c>
      <c r="P672" s="18"/>
      <c r="Q672" s="18"/>
      <c r="R672" s="23">
        <v>0.0</v>
      </c>
      <c r="S672" s="23">
        <v>0.0</v>
      </c>
      <c r="T672" s="23">
        <f t="shared" si="2"/>
        <v>0</v>
      </c>
      <c r="U672" s="23">
        <f t="shared" si="3"/>
        <v>0</v>
      </c>
      <c r="V672" s="23">
        <f t="shared" si="4"/>
        <v>0</v>
      </c>
      <c r="W672" s="24" t="str">
        <f t="shared" si="5"/>
        <v>#DIV/0!</v>
      </c>
    </row>
    <row r="673" hidden="1">
      <c r="A673" s="15" t="s">
        <v>2131</v>
      </c>
      <c r="B673" s="18"/>
      <c r="C673" s="15" t="s">
        <v>7095</v>
      </c>
      <c r="D673" s="18"/>
      <c r="E673" s="17" t="s">
        <v>2132</v>
      </c>
      <c r="F673" s="18"/>
      <c r="G673" s="18"/>
      <c r="H673" s="15" t="s">
        <v>2133</v>
      </c>
      <c r="I673" s="15" t="s">
        <v>2134</v>
      </c>
      <c r="J673" s="19" t="s">
        <v>36</v>
      </c>
      <c r="K673" s="19" t="s">
        <v>105</v>
      </c>
      <c r="L673" s="19" t="s">
        <v>38</v>
      </c>
      <c r="M673" s="20">
        <f t="shared" si="1"/>
        <v>0</v>
      </c>
      <c r="N673" s="22"/>
      <c r="O673" s="19" t="s">
        <v>1145</v>
      </c>
      <c r="P673" s="18"/>
      <c r="Q673" s="18"/>
      <c r="R673" s="23">
        <v>0.0</v>
      </c>
      <c r="S673" s="23">
        <v>0.0</v>
      </c>
      <c r="T673" s="23">
        <f t="shared" si="2"/>
        <v>0</v>
      </c>
      <c r="U673" s="23">
        <f t="shared" si="3"/>
        <v>0</v>
      </c>
      <c r="V673" s="23">
        <f t="shared" si="4"/>
        <v>0</v>
      </c>
      <c r="W673" s="24" t="str">
        <f t="shared" si="5"/>
        <v>#DIV/0!</v>
      </c>
    </row>
    <row r="674" hidden="1">
      <c r="A674" s="15" t="s">
        <v>2135</v>
      </c>
      <c r="B674" s="18"/>
      <c r="C674" s="15" t="s">
        <v>7096</v>
      </c>
      <c r="D674" s="18"/>
      <c r="E674" s="17" t="s">
        <v>2136</v>
      </c>
      <c r="F674" s="18"/>
      <c r="G674" s="18"/>
      <c r="H674" s="15" t="s">
        <v>2137</v>
      </c>
      <c r="I674" s="15" t="s">
        <v>2138</v>
      </c>
      <c r="J674" s="19" t="s">
        <v>36</v>
      </c>
      <c r="K674" s="19" t="s">
        <v>402</v>
      </c>
      <c r="L674" s="19" t="s">
        <v>38</v>
      </c>
      <c r="M674" s="20">
        <f t="shared" si="1"/>
        <v>0</v>
      </c>
      <c r="N674" s="22"/>
      <c r="O674" s="19" t="s">
        <v>1145</v>
      </c>
      <c r="P674" s="18"/>
      <c r="Q674" s="18"/>
      <c r="R674" s="23">
        <v>0.0</v>
      </c>
      <c r="S674" s="23">
        <v>0.0</v>
      </c>
      <c r="T674" s="23">
        <f t="shared" si="2"/>
        <v>0</v>
      </c>
      <c r="U674" s="23">
        <f t="shared" si="3"/>
        <v>0</v>
      </c>
      <c r="V674" s="23">
        <f t="shared" si="4"/>
        <v>0</v>
      </c>
      <c r="W674" s="24" t="str">
        <f t="shared" si="5"/>
        <v>#DIV/0!</v>
      </c>
    </row>
    <row r="675" hidden="1">
      <c r="A675" s="15" t="s">
        <v>2139</v>
      </c>
      <c r="B675" s="18"/>
      <c r="C675" s="15" t="s">
        <v>7097</v>
      </c>
      <c r="D675" s="18"/>
      <c r="E675" s="17" t="s">
        <v>2140</v>
      </c>
      <c r="F675" s="18"/>
      <c r="G675" s="18"/>
      <c r="H675" s="15" t="s">
        <v>2141</v>
      </c>
      <c r="I675" s="15" t="s">
        <v>2142</v>
      </c>
      <c r="J675" s="19" t="s">
        <v>36</v>
      </c>
      <c r="K675" s="19" t="s">
        <v>402</v>
      </c>
      <c r="L675" s="19" t="s">
        <v>38</v>
      </c>
      <c r="M675" s="20">
        <f t="shared" si="1"/>
        <v>0</v>
      </c>
      <c r="N675" s="22"/>
      <c r="O675" s="19" t="s">
        <v>1145</v>
      </c>
      <c r="P675" s="18"/>
      <c r="Q675" s="18"/>
      <c r="R675" s="23">
        <v>0.0</v>
      </c>
      <c r="S675" s="23">
        <v>0.0</v>
      </c>
      <c r="T675" s="23">
        <f t="shared" si="2"/>
        <v>0</v>
      </c>
      <c r="U675" s="23">
        <f t="shared" si="3"/>
        <v>0</v>
      </c>
      <c r="V675" s="23">
        <f t="shared" si="4"/>
        <v>0</v>
      </c>
      <c r="W675" s="24" t="str">
        <f t="shared" si="5"/>
        <v>#DIV/0!</v>
      </c>
    </row>
    <row r="676" hidden="1">
      <c r="A676" s="15" t="s">
        <v>2143</v>
      </c>
      <c r="B676" s="18"/>
      <c r="C676" s="15" t="s">
        <v>7098</v>
      </c>
      <c r="D676" s="18"/>
      <c r="E676" s="17" t="s">
        <v>2144</v>
      </c>
      <c r="F676" s="18"/>
      <c r="G676" s="18"/>
      <c r="H676" s="15" t="s">
        <v>2145</v>
      </c>
      <c r="I676" s="15" t="s">
        <v>2146</v>
      </c>
      <c r="J676" s="19" t="s">
        <v>36</v>
      </c>
      <c r="K676" s="19" t="s">
        <v>37</v>
      </c>
      <c r="L676" s="19" t="s">
        <v>38</v>
      </c>
      <c r="M676" s="20">
        <f t="shared" si="1"/>
        <v>0</v>
      </c>
      <c r="N676" s="22"/>
      <c r="O676" s="19" t="s">
        <v>1145</v>
      </c>
      <c r="P676" s="18"/>
      <c r="Q676" s="18"/>
      <c r="R676" s="23">
        <v>0.0</v>
      </c>
      <c r="S676" s="23">
        <v>0.0</v>
      </c>
      <c r="T676" s="23">
        <f t="shared" si="2"/>
        <v>0</v>
      </c>
      <c r="U676" s="23">
        <f t="shared" si="3"/>
        <v>0</v>
      </c>
      <c r="V676" s="23">
        <f t="shared" si="4"/>
        <v>0</v>
      </c>
      <c r="W676" s="24" t="str">
        <f t="shared" si="5"/>
        <v>#DIV/0!</v>
      </c>
    </row>
    <row r="677" hidden="1">
      <c r="A677" s="15" t="s">
        <v>2147</v>
      </c>
      <c r="B677" s="18"/>
      <c r="C677" s="15" t="s">
        <v>7099</v>
      </c>
      <c r="D677" s="18"/>
      <c r="E677" s="17" t="s">
        <v>2148</v>
      </c>
      <c r="F677" s="18"/>
      <c r="G677" s="18"/>
      <c r="H677" s="15" t="s">
        <v>2149</v>
      </c>
      <c r="I677" s="15" t="s">
        <v>2150</v>
      </c>
      <c r="J677" s="19" t="s">
        <v>36</v>
      </c>
      <c r="K677" s="19" t="s">
        <v>37</v>
      </c>
      <c r="L677" s="19" t="s">
        <v>38</v>
      </c>
      <c r="M677" s="20">
        <f t="shared" si="1"/>
        <v>0</v>
      </c>
      <c r="N677" s="22"/>
      <c r="O677" s="19" t="s">
        <v>1145</v>
      </c>
      <c r="P677" s="18"/>
      <c r="Q677" s="18"/>
      <c r="R677" s="23">
        <v>0.0</v>
      </c>
      <c r="S677" s="23">
        <v>0.0</v>
      </c>
      <c r="T677" s="23">
        <f t="shared" si="2"/>
        <v>0</v>
      </c>
      <c r="U677" s="23">
        <f t="shared" si="3"/>
        <v>0</v>
      </c>
      <c r="V677" s="23">
        <f t="shared" si="4"/>
        <v>0</v>
      </c>
      <c r="W677" s="24" t="str">
        <f t="shared" si="5"/>
        <v>#DIV/0!</v>
      </c>
    </row>
    <row r="678" hidden="1">
      <c r="A678" s="15" t="s">
        <v>2151</v>
      </c>
      <c r="B678" s="18"/>
      <c r="C678" s="15" t="s">
        <v>7100</v>
      </c>
      <c r="D678" s="18"/>
      <c r="E678" s="17" t="s">
        <v>2152</v>
      </c>
      <c r="F678" s="18"/>
      <c r="G678" s="18"/>
      <c r="H678" s="15" t="s">
        <v>2153</v>
      </c>
      <c r="I678" s="15" t="s">
        <v>2154</v>
      </c>
      <c r="J678" s="19" t="s">
        <v>36</v>
      </c>
      <c r="K678" s="19" t="s">
        <v>105</v>
      </c>
      <c r="L678" s="19" t="s">
        <v>38</v>
      </c>
      <c r="M678" s="20">
        <f t="shared" si="1"/>
        <v>0</v>
      </c>
      <c r="N678" s="22"/>
      <c r="O678" s="19" t="s">
        <v>1145</v>
      </c>
      <c r="P678" s="18"/>
      <c r="Q678" s="18"/>
      <c r="R678" s="23">
        <v>0.0</v>
      </c>
      <c r="S678" s="23">
        <v>0.0</v>
      </c>
      <c r="T678" s="23">
        <f t="shared" si="2"/>
        <v>0</v>
      </c>
      <c r="U678" s="23">
        <f t="shared" si="3"/>
        <v>0</v>
      </c>
      <c r="V678" s="23">
        <f t="shared" si="4"/>
        <v>0</v>
      </c>
      <c r="W678" s="24" t="str">
        <f t="shared" si="5"/>
        <v>#DIV/0!</v>
      </c>
    </row>
    <row r="679" hidden="1">
      <c r="A679" s="15" t="s">
        <v>2155</v>
      </c>
      <c r="B679" s="18"/>
      <c r="C679" s="15" t="s">
        <v>7101</v>
      </c>
      <c r="D679" s="18"/>
      <c r="E679" s="17" t="s">
        <v>2156</v>
      </c>
      <c r="F679" s="18"/>
      <c r="G679" s="18"/>
      <c r="H679" s="15" t="s">
        <v>2157</v>
      </c>
      <c r="I679" s="15" t="s">
        <v>2158</v>
      </c>
      <c r="J679" s="19" t="s">
        <v>36</v>
      </c>
      <c r="K679" s="19" t="s">
        <v>105</v>
      </c>
      <c r="L679" s="19" t="s">
        <v>38</v>
      </c>
      <c r="M679" s="20">
        <f t="shared" si="1"/>
        <v>0</v>
      </c>
      <c r="N679" s="22"/>
      <c r="O679" s="19" t="s">
        <v>1145</v>
      </c>
      <c r="P679" s="18"/>
      <c r="Q679" s="18"/>
      <c r="R679" s="23">
        <v>0.0</v>
      </c>
      <c r="S679" s="23">
        <v>0.0</v>
      </c>
      <c r="T679" s="23">
        <f t="shared" si="2"/>
        <v>0</v>
      </c>
      <c r="U679" s="23">
        <f t="shared" si="3"/>
        <v>0</v>
      </c>
      <c r="V679" s="23">
        <f t="shared" si="4"/>
        <v>0</v>
      </c>
      <c r="W679" s="24" t="str">
        <f t="shared" si="5"/>
        <v>#DIV/0!</v>
      </c>
    </row>
    <row r="680" hidden="1">
      <c r="A680" s="15" t="s">
        <v>2159</v>
      </c>
      <c r="B680" s="18"/>
      <c r="C680" s="15" t="s">
        <v>7102</v>
      </c>
      <c r="D680" s="18"/>
      <c r="E680" s="17" t="s">
        <v>2160</v>
      </c>
      <c r="F680" s="18"/>
      <c r="G680" s="18"/>
      <c r="H680" s="15" t="s">
        <v>2161</v>
      </c>
      <c r="I680" s="15" t="s">
        <v>2162</v>
      </c>
      <c r="J680" s="19" t="s">
        <v>36</v>
      </c>
      <c r="K680" s="19" t="s">
        <v>105</v>
      </c>
      <c r="L680" s="19" t="s">
        <v>38</v>
      </c>
      <c r="M680" s="20">
        <f t="shared" si="1"/>
        <v>0</v>
      </c>
      <c r="N680" s="22"/>
      <c r="O680" s="19" t="s">
        <v>1145</v>
      </c>
      <c r="P680" s="18"/>
      <c r="Q680" s="18"/>
      <c r="R680" s="23">
        <v>0.0</v>
      </c>
      <c r="S680" s="23">
        <v>0.0</v>
      </c>
      <c r="T680" s="23">
        <f t="shared" si="2"/>
        <v>0</v>
      </c>
      <c r="U680" s="23">
        <f t="shared" si="3"/>
        <v>0</v>
      </c>
      <c r="V680" s="23">
        <f t="shared" si="4"/>
        <v>0</v>
      </c>
      <c r="W680" s="24" t="str">
        <f t="shared" si="5"/>
        <v>#DIV/0!</v>
      </c>
    </row>
    <row r="681" hidden="1">
      <c r="A681" s="15" t="s">
        <v>2163</v>
      </c>
      <c r="B681" s="18"/>
      <c r="C681" s="15" t="s">
        <v>7103</v>
      </c>
      <c r="D681" s="18"/>
      <c r="E681" s="17" t="s">
        <v>2164</v>
      </c>
      <c r="F681" s="18"/>
      <c r="G681" s="18"/>
      <c r="H681" s="15" t="s">
        <v>2165</v>
      </c>
      <c r="I681" s="15" t="s">
        <v>2166</v>
      </c>
      <c r="J681" s="19" t="s">
        <v>36</v>
      </c>
      <c r="K681" s="19" t="s">
        <v>603</v>
      </c>
      <c r="L681" s="19" t="s">
        <v>38</v>
      </c>
      <c r="M681" s="20">
        <f t="shared" si="1"/>
        <v>0</v>
      </c>
      <c r="N681" s="22"/>
      <c r="O681" s="19" t="s">
        <v>1145</v>
      </c>
      <c r="P681" s="18"/>
      <c r="Q681" s="18"/>
      <c r="R681" s="23">
        <v>0.0</v>
      </c>
      <c r="S681" s="23">
        <v>0.0</v>
      </c>
      <c r="T681" s="23">
        <f t="shared" si="2"/>
        <v>0</v>
      </c>
      <c r="U681" s="23">
        <f t="shared" si="3"/>
        <v>0</v>
      </c>
      <c r="V681" s="23">
        <f t="shared" si="4"/>
        <v>0</v>
      </c>
      <c r="W681" s="24" t="str">
        <f t="shared" si="5"/>
        <v>#DIV/0!</v>
      </c>
    </row>
    <row r="682" hidden="1">
      <c r="A682" s="15" t="s">
        <v>2167</v>
      </c>
      <c r="B682" s="18"/>
      <c r="C682" s="15" t="s">
        <v>7104</v>
      </c>
      <c r="D682" s="18"/>
      <c r="E682" s="17" t="s">
        <v>2168</v>
      </c>
      <c r="F682" s="18"/>
      <c r="G682" s="18"/>
      <c r="H682" s="15" t="s">
        <v>2169</v>
      </c>
      <c r="I682" s="15" t="s">
        <v>2170</v>
      </c>
      <c r="J682" s="19" t="s">
        <v>36</v>
      </c>
      <c r="K682" s="19" t="s">
        <v>1230</v>
      </c>
      <c r="L682" s="19" t="s">
        <v>38</v>
      </c>
      <c r="M682" s="20">
        <f t="shared" si="1"/>
        <v>0</v>
      </c>
      <c r="N682" s="22"/>
      <c r="O682" s="19" t="s">
        <v>1145</v>
      </c>
      <c r="P682" s="18"/>
      <c r="Q682" s="18"/>
      <c r="R682" s="23">
        <v>0.0</v>
      </c>
      <c r="S682" s="23">
        <v>0.0</v>
      </c>
      <c r="T682" s="23">
        <f t="shared" si="2"/>
        <v>0</v>
      </c>
      <c r="U682" s="23">
        <f t="shared" si="3"/>
        <v>0</v>
      </c>
      <c r="V682" s="23">
        <f t="shared" si="4"/>
        <v>0</v>
      </c>
      <c r="W682" s="24" t="str">
        <f t="shared" si="5"/>
        <v>#DIV/0!</v>
      </c>
    </row>
    <row r="683" hidden="1">
      <c r="A683" s="15" t="s">
        <v>2171</v>
      </c>
      <c r="B683" s="18"/>
      <c r="C683" s="15" t="s">
        <v>7105</v>
      </c>
      <c r="D683" s="18"/>
      <c r="E683" s="17" t="s">
        <v>2172</v>
      </c>
      <c r="F683" s="18"/>
      <c r="G683" s="18"/>
      <c r="H683" s="15" t="s">
        <v>2173</v>
      </c>
      <c r="I683" s="15" t="s">
        <v>2174</v>
      </c>
      <c r="J683" s="19" t="s">
        <v>36</v>
      </c>
      <c r="K683" s="19" t="s">
        <v>1269</v>
      </c>
      <c r="L683" s="19" t="s">
        <v>38</v>
      </c>
      <c r="M683" s="20">
        <f t="shared" si="1"/>
        <v>0</v>
      </c>
      <c r="N683" s="22"/>
      <c r="O683" s="19" t="s">
        <v>1145</v>
      </c>
      <c r="P683" s="18"/>
      <c r="Q683" s="18"/>
      <c r="R683" s="23">
        <v>0.0</v>
      </c>
      <c r="S683" s="23">
        <v>0.0</v>
      </c>
      <c r="T683" s="23">
        <f t="shared" si="2"/>
        <v>0</v>
      </c>
      <c r="U683" s="23">
        <f t="shared" si="3"/>
        <v>0</v>
      </c>
      <c r="V683" s="23">
        <f t="shared" si="4"/>
        <v>0</v>
      </c>
      <c r="W683" s="24" t="str">
        <f t="shared" si="5"/>
        <v>#DIV/0!</v>
      </c>
    </row>
    <row r="684" hidden="1">
      <c r="A684" s="15" t="s">
        <v>2175</v>
      </c>
      <c r="B684" s="18"/>
      <c r="C684" s="15" t="s">
        <v>7106</v>
      </c>
      <c r="D684" s="18"/>
      <c r="E684" s="17" t="s">
        <v>2176</v>
      </c>
      <c r="F684" s="18"/>
      <c r="G684" s="18"/>
      <c r="H684" s="15" t="s">
        <v>2177</v>
      </c>
      <c r="I684" s="15" t="s">
        <v>2178</v>
      </c>
      <c r="J684" s="19" t="s">
        <v>36</v>
      </c>
      <c r="K684" s="19" t="s">
        <v>1431</v>
      </c>
      <c r="L684" s="19" t="s">
        <v>38</v>
      </c>
      <c r="M684" s="20">
        <f t="shared" si="1"/>
        <v>0</v>
      </c>
      <c r="N684" s="22"/>
      <c r="O684" s="19" t="s">
        <v>1145</v>
      </c>
      <c r="P684" s="18"/>
      <c r="Q684" s="18"/>
      <c r="R684" s="23">
        <v>0.0</v>
      </c>
      <c r="S684" s="23">
        <v>0.0</v>
      </c>
      <c r="T684" s="23">
        <f t="shared" si="2"/>
        <v>0</v>
      </c>
      <c r="U684" s="23">
        <f t="shared" si="3"/>
        <v>0</v>
      </c>
      <c r="V684" s="23">
        <f t="shared" si="4"/>
        <v>0</v>
      </c>
      <c r="W684" s="24" t="str">
        <f t="shared" si="5"/>
        <v>#DIV/0!</v>
      </c>
    </row>
    <row r="685" hidden="1">
      <c r="A685" s="15" t="s">
        <v>2179</v>
      </c>
      <c r="B685" s="18"/>
      <c r="C685" s="15" t="s">
        <v>7107</v>
      </c>
      <c r="D685" s="18"/>
      <c r="E685" s="17" t="s">
        <v>2180</v>
      </c>
      <c r="F685" s="18"/>
      <c r="G685" s="18"/>
      <c r="H685" s="15" t="s">
        <v>2181</v>
      </c>
      <c r="I685" s="15" t="s">
        <v>2182</v>
      </c>
      <c r="J685" s="19" t="s">
        <v>36</v>
      </c>
      <c r="K685" s="19" t="s">
        <v>1230</v>
      </c>
      <c r="L685" s="19" t="s">
        <v>38</v>
      </c>
      <c r="M685" s="20">
        <f t="shared" si="1"/>
        <v>0</v>
      </c>
      <c r="N685" s="22"/>
      <c r="O685" s="19" t="s">
        <v>1145</v>
      </c>
      <c r="P685" s="18"/>
      <c r="Q685" s="18"/>
      <c r="R685" s="23">
        <v>0.0</v>
      </c>
      <c r="S685" s="23">
        <v>0.0</v>
      </c>
      <c r="T685" s="23">
        <f t="shared" si="2"/>
        <v>0</v>
      </c>
      <c r="U685" s="23">
        <f t="shared" si="3"/>
        <v>0</v>
      </c>
      <c r="V685" s="23">
        <f t="shared" si="4"/>
        <v>0</v>
      </c>
      <c r="W685" s="24" t="str">
        <f t="shared" si="5"/>
        <v>#DIV/0!</v>
      </c>
    </row>
    <row r="686" hidden="1">
      <c r="A686" s="15" t="s">
        <v>4787</v>
      </c>
      <c r="B686" s="18"/>
      <c r="C686" s="15" t="s">
        <v>7108</v>
      </c>
      <c r="D686" s="18"/>
      <c r="E686" s="17" t="s">
        <v>7109</v>
      </c>
      <c r="F686" s="18"/>
      <c r="G686" s="18"/>
      <c r="H686" s="15" t="s">
        <v>7110</v>
      </c>
      <c r="I686" s="15" t="s">
        <v>7111</v>
      </c>
      <c r="J686" s="19" t="s">
        <v>36</v>
      </c>
      <c r="K686" s="19" t="s">
        <v>603</v>
      </c>
      <c r="L686" s="19" t="s">
        <v>38</v>
      </c>
      <c r="M686" s="20">
        <f t="shared" si="1"/>
        <v>0</v>
      </c>
      <c r="N686" s="22"/>
      <c r="O686" s="19" t="s">
        <v>1145</v>
      </c>
      <c r="P686" s="18"/>
      <c r="Q686" s="18"/>
      <c r="R686" s="23">
        <v>0.0</v>
      </c>
      <c r="S686" s="23">
        <v>0.0</v>
      </c>
      <c r="T686" s="23">
        <f t="shared" si="2"/>
        <v>0</v>
      </c>
      <c r="U686" s="23">
        <f t="shared" si="3"/>
        <v>0</v>
      </c>
      <c r="V686" s="23">
        <f t="shared" si="4"/>
        <v>0</v>
      </c>
      <c r="W686" s="24" t="str">
        <f t="shared" si="5"/>
        <v>#DIV/0!</v>
      </c>
    </row>
    <row r="687" hidden="1">
      <c r="A687" s="15" t="s">
        <v>4789</v>
      </c>
      <c r="B687" s="18"/>
      <c r="C687" s="15" t="s">
        <v>7112</v>
      </c>
      <c r="D687" s="18"/>
      <c r="E687" s="17" t="s">
        <v>7113</v>
      </c>
      <c r="F687" s="18"/>
      <c r="G687" s="18"/>
      <c r="H687" s="15" t="s">
        <v>7114</v>
      </c>
      <c r="I687" s="15" t="s">
        <v>4792</v>
      </c>
      <c r="J687" s="19" t="s">
        <v>36</v>
      </c>
      <c r="K687" s="19" t="s">
        <v>1431</v>
      </c>
      <c r="L687" s="19" t="s">
        <v>38</v>
      </c>
      <c r="M687" s="20">
        <f t="shared" si="1"/>
        <v>0</v>
      </c>
      <c r="N687" s="22"/>
      <c r="O687" s="19" t="s">
        <v>1145</v>
      </c>
      <c r="P687" s="18"/>
      <c r="Q687" s="18"/>
      <c r="R687" s="23">
        <v>0.0</v>
      </c>
      <c r="S687" s="23">
        <v>0.0</v>
      </c>
      <c r="T687" s="23">
        <f t="shared" si="2"/>
        <v>0</v>
      </c>
      <c r="U687" s="23">
        <f t="shared" si="3"/>
        <v>0</v>
      </c>
      <c r="V687" s="23">
        <f t="shared" si="4"/>
        <v>0</v>
      </c>
      <c r="W687" s="24" t="str">
        <f t="shared" si="5"/>
        <v>#DIV/0!</v>
      </c>
    </row>
    <row r="688" hidden="1">
      <c r="A688" s="15" t="s">
        <v>4793</v>
      </c>
      <c r="B688" s="18"/>
      <c r="C688" s="15" t="s">
        <v>7115</v>
      </c>
      <c r="D688" s="18"/>
      <c r="E688" s="17" t="s">
        <v>7116</v>
      </c>
      <c r="F688" s="18"/>
      <c r="G688" s="18"/>
      <c r="H688" s="15" t="s">
        <v>7117</v>
      </c>
      <c r="I688" s="15" t="s">
        <v>4796</v>
      </c>
      <c r="J688" s="19" t="s">
        <v>36</v>
      </c>
      <c r="K688" s="19" t="s">
        <v>1431</v>
      </c>
      <c r="L688" s="19" t="s">
        <v>38</v>
      </c>
      <c r="M688" s="20">
        <f t="shared" si="1"/>
        <v>0</v>
      </c>
      <c r="N688" s="22"/>
      <c r="O688" s="19" t="s">
        <v>1145</v>
      </c>
      <c r="P688" s="18"/>
      <c r="Q688" s="18"/>
      <c r="R688" s="23">
        <v>0.0</v>
      </c>
      <c r="S688" s="23">
        <v>0.0</v>
      </c>
      <c r="T688" s="23">
        <f t="shared" si="2"/>
        <v>0</v>
      </c>
      <c r="U688" s="23">
        <f t="shared" si="3"/>
        <v>0</v>
      </c>
      <c r="V688" s="23">
        <f t="shared" si="4"/>
        <v>0</v>
      </c>
      <c r="W688" s="24" t="str">
        <f t="shared" si="5"/>
        <v>#DIV/0!</v>
      </c>
    </row>
    <row r="689" hidden="1">
      <c r="A689" s="15" t="s">
        <v>4798</v>
      </c>
      <c r="B689" s="18"/>
      <c r="C689" s="15" t="s">
        <v>7118</v>
      </c>
      <c r="D689" s="18"/>
      <c r="E689" s="17" t="s">
        <v>7119</v>
      </c>
      <c r="F689" s="18"/>
      <c r="G689" s="18"/>
      <c r="H689" s="15" t="s">
        <v>4801</v>
      </c>
      <c r="I689" s="15" t="s">
        <v>4800</v>
      </c>
      <c r="J689" s="19" t="s">
        <v>36</v>
      </c>
      <c r="K689" s="19" t="s">
        <v>1230</v>
      </c>
      <c r="L689" s="19" t="s">
        <v>38</v>
      </c>
      <c r="M689" s="20">
        <f t="shared" si="1"/>
        <v>0</v>
      </c>
      <c r="N689" s="22"/>
      <c r="O689" s="19" t="s">
        <v>1145</v>
      </c>
      <c r="P689" s="18"/>
      <c r="Q689" s="18"/>
      <c r="R689" s="23">
        <v>0.0</v>
      </c>
      <c r="S689" s="23">
        <v>0.0</v>
      </c>
      <c r="T689" s="23">
        <f t="shared" si="2"/>
        <v>0</v>
      </c>
      <c r="U689" s="23">
        <f t="shared" si="3"/>
        <v>0</v>
      </c>
      <c r="V689" s="23">
        <f t="shared" si="4"/>
        <v>0</v>
      </c>
      <c r="W689" s="24" t="str">
        <f t="shared" si="5"/>
        <v>#DIV/0!</v>
      </c>
    </row>
    <row r="690" hidden="1">
      <c r="A690" s="15" t="s">
        <v>7120</v>
      </c>
      <c r="B690" s="18"/>
      <c r="C690" s="15" t="s">
        <v>7121</v>
      </c>
      <c r="D690" s="18"/>
      <c r="E690" s="17" t="s">
        <v>7122</v>
      </c>
      <c r="F690" s="18"/>
      <c r="G690" s="18"/>
      <c r="H690" s="15" t="s">
        <v>7123</v>
      </c>
      <c r="I690" s="15" t="s">
        <v>4322</v>
      </c>
      <c r="J690" s="19" t="s">
        <v>36</v>
      </c>
      <c r="K690" s="19" t="s">
        <v>1230</v>
      </c>
      <c r="L690" s="19" t="s">
        <v>38</v>
      </c>
      <c r="M690" s="20">
        <f t="shared" si="1"/>
        <v>0</v>
      </c>
      <c r="N690" s="22"/>
      <c r="O690" s="19" t="s">
        <v>39</v>
      </c>
      <c r="P690" s="18"/>
      <c r="Q690" s="18"/>
      <c r="R690" s="23">
        <v>0.0</v>
      </c>
      <c r="S690" s="23">
        <v>0.0</v>
      </c>
      <c r="T690" s="23">
        <f t="shared" si="2"/>
        <v>0</v>
      </c>
      <c r="U690" s="23">
        <f t="shared" si="3"/>
        <v>0</v>
      </c>
      <c r="V690" s="23">
        <f t="shared" si="4"/>
        <v>0</v>
      </c>
      <c r="W690" s="24" t="str">
        <f t="shared" si="5"/>
        <v>#DIV/0!</v>
      </c>
    </row>
    <row r="691" hidden="1">
      <c r="A691" s="15" t="s">
        <v>7124</v>
      </c>
      <c r="B691" s="18"/>
      <c r="C691" s="15" t="s">
        <v>7125</v>
      </c>
      <c r="D691" s="18"/>
      <c r="E691" s="17" t="s">
        <v>7126</v>
      </c>
      <c r="F691" s="18"/>
      <c r="G691" s="18"/>
      <c r="H691" s="15" t="s">
        <v>7127</v>
      </c>
      <c r="I691" s="15" t="s">
        <v>4316</v>
      </c>
      <c r="J691" s="19" t="s">
        <v>36</v>
      </c>
      <c r="K691" s="19" t="s">
        <v>1230</v>
      </c>
      <c r="L691" s="19" t="s">
        <v>38</v>
      </c>
      <c r="M691" s="20">
        <f t="shared" si="1"/>
        <v>0</v>
      </c>
      <c r="N691" s="22"/>
      <c r="O691" s="19" t="s">
        <v>39</v>
      </c>
      <c r="P691" s="18"/>
      <c r="Q691" s="18"/>
      <c r="R691" s="23">
        <v>0.0</v>
      </c>
      <c r="S691" s="23">
        <v>0.0</v>
      </c>
      <c r="T691" s="23">
        <f t="shared" si="2"/>
        <v>0</v>
      </c>
      <c r="U691" s="23">
        <f t="shared" si="3"/>
        <v>0</v>
      </c>
      <c r="V691" s="23">
        <f t="shared" si="4"/>
        <v>0</v>
      </c>
      <c r="W691" s="24" t="str">
        <f t="shared" si="5"/>
        <v>#DIV/0!</v>
      </c>
    </row>
    <row r="692" hidden="1">
      <c r="A692" s="15" t="s">
        <v>4802</v>
      </c>
      <c r="B692" s="18"/>
      <c r="C692" s="15" t="s">
        <v>7128</v>
      </c>
      <c r="D692" s="18"/>
      <c r="E692" s="17" t="s">
        <v>7129</v>
      </c>
      <c r="F692" s="18"/>
      <c r="G692" s="18"/>
      <c r="H692" s="15" t="s">
        <v>7130</v>
      </c>
      <c r="I692" s="15" t="s">
        <v>7131</v>
      </c>
      <c r="J692" s="19" t="s">
        <v>36</v>
      </c>
      <c r="K692" s="19" t="s">
        <v>1230</v>
      </c>
      <c r="L692" s="19" t="s">
        <v>38</v>
      </c>
      <c r="M692" s="20">
        <f t="shared" si="1"/>
        <v>0</v>
      </c>
      <c r="N692" s="22"/>
      <c r="O692" s="19" t="s">
        <v>1145</v>
      </c>
      <c r="P692" s="18"/>
      <c r="Q692" s="18"/>
      <c r="R692" s="23">
        <v>0.0</v>
      </c>
      <c r="S692" s="23">
        <v>0.0</v>
      </c>
      <c r="T692" s="23">
        <f t="shared" si="2"/>
        <v>0</v>
      </c>
      <c r="U692" s="23">
        <f t="shared" si="3"/>
        <v>0</v>
      </c>
      <c r="V692" s="23">
        <f t="shared" si="4"/>
        <v>0</v>
      </c>
      <c r="W692" s="24" t="str">
        <f t="shared" si="5"/>
        <v>#DIV/0!</v>
      </c>
    </row>
    <row r="693" hidden="1">
      <c r="A693" s="15" t="s">
        <v>2183</v>
      </c>
      <c r="B693" s="18"/>
      <c r="C693" s="15" t="s">
        <v>7132</v>
      </c>
      <c r="D693" s="18"/>
      <c r="E693" s="17" t="s">
        <v>2184</v>
      </c>
      <c r="F693" s="18"/>
      <c r="G693" s="18"/>
      <c r="H693" s="15" t="s">
        <v>2185</v>
      </c>
      <c r="I693" s="15" t="s">
        <v>2186</v>
      </c>
      <c r="J693" s="19" t="s">
        <v>36</v>
      </c>
      <c r="K693" s="19" t="s">
        <v>1230</v>
      </c>
      <c r="L693" s="19" t="s">
        <v>38</v>
      </c>
      <c r="M693" s="20">
        <f t="shared" si="1"/>
        <v>0</v>
      </c>
      <c r="N693" s="22"/>
      <c r="O693" s="19" t="s">
        <v>1145</v>
      </c>
      <c r="P693" s="18"/>
      <c r="Q693" s="18"/>
      <c r="R693" s="23">
        <v>0.0</v>
      </c>
      <c r="S693" s="23">
        <v>0.0</v>
      </c>
      <c r="T693" s="23">
        <f t="shared" si="2"/>
        <v>0</v>
      </c>
      <c r="U693" s="23">
        <f t="shared" si="3"/>
        <v>0</v>
      </c>
      <c r="V693" s="23">
        <f t="shared" si="4"/>
        <v>0</v>
      </c>
      <c r="W693" s="24" t="str">
        <f t="shared" si="5"/>
        <v>#DIV/0!</v>
      </c>
    </row>
    <row r="694" hidden="1">
      <c r="A694" s="15" t="s">
        <v>7133</v>
      </c>
      <c r="B694" s="18"/>
      <c r="C694" s="15" t="s">
        <v>7134</v>
      </c>
      <c r="D694" s="18"/>
      <c r="E694" s="17" t="s">
        <v>7135</v>
      </c>
      <c r="F694" s="18"/>
      <c r="G694" s="18"/>
      <c r="H694" s="15" t="s">
        <v>7136</v>
      </c>
      <c r="I694" s="15" t="s">
        <v>193</v>
      </c>
      <c r="J694" s="19" t="s">
        <v>36</v>
      </c>
      <c r="K694" s="19" t="s">
        <v>1230</v>
      </c>
      <c r="L694" s="19" t="s">
        <v>38</v>
      </c>
      <c r="M694" s="20">
        <f t="shared" si="1"/>
        <v>0</v>
      </c>
      <c r="N694" s="22"/>
      <c r="O694" s="19" t="s">
        <v>39</v>
      </c>
      <c r="P694" s="18"/>
      <c r="Q694" s="18"/>
      <c r="R694" s="23">
        <v>0.0</v>
      </c>
      <c r="S694" s="23">
        <v>0.0</v>
      </c>
      <c r="T694" s="23">
        <f t="shared" si="2"/>
        <v>0</v>
      </c>
      <c r="U694" s="23">
        <f t="shared" si="3"/>
        <v>0</v>
      </c>
      <c r="V694" s="23">
        <f t="shared" si="4"/>
        <v>0</v>
      </c>
      <c r="W694" s="24" t="str">
        <f t="shared" si="5"/>
        <v>#DIV/0!</v>
      </c>
    </row>
    <row r="695" hidden="1">
      <c r="A695" s="15" t="s">
        <v>2187</v>
      </c>
      <c r="B695" s="18"/>
      <c r="C695" s="15" t="s">
        <v>7137</v>
      </c>
      <c r="D695" s="18"/>
      <c r="E695" s="17" t="s">
        <v>2188</v>
      </c>
      <c r="F695" s="18"/>
      <c r="G695" s="18"/>
      <c r="H695" s="15" t="s">
        <v>2189</v>
      </c>
      <c r="I695" s="15" t="s">
        <v>2190</v>
      </c>
      <c r="J695" s="19" t="s">
        <v>36</v>
      </c>
      <c r="K695" s="19" t="s">
        <v>1230</v>
      </c>
      <c r="L695" s="19" t="s">
        <v>38</v>
      </c>
      <c r="M695" s="20">
        <f t="shared" si="1"/>
        <v>0</v>
      </c>
      <c r="N695" s="22"/>
      <c r="O695" s="19" t="s">
        <v>1145</v>
      </c>
      <c r="P695" s="18"/>
      <c r="Q695" s="18"/>
      <c r="R695" s="23">
        <v>0.0</v>
      </c>
      <c r="S695" s="23">
        <v>0.0</v>
      </c>
      <c r="T695" s="23">
        <f t="shared" si="2"/>
        <v>0</v>
      </c>
      <c r="U695" s="23">
        <f t="shared" si="3"/>
        <v>0</v>
      </c>
      <c r="V695" s="23">
        <f t="shared" si="4"/>
        <v>0</v>
      </c>
      <c r="W695" s="24" t="str">
        <f t="shared" si="5"/>
        <v>#DIV/0!</v>
      </c>
    </row>
    <row r="696">
      <c r="A696" s="15" t="s">
        <v>597</v>
      </c>
      <c r="B696" s="15" t="s">
        <v>598</v>
      </c>
      <c r="C696" s="15" t="s">
        <v>6002</v>
      </c>
      <c r="D696" s="15" t="s">
        <v>599</v>
      </c>
      <c r="E696" s="17" t="s">
        <v>600</v>
      </c>
      <c r="F696" s="18"/>
      <c r="G696" s="18"/>
      <c r="H696" s="15" t="s">
        <v>601</v>
      </c>
      <c r="I696" s="15"/>
      <c r="J696" s="19" t="s">
        <v>602</v>
      </c>
      <c r="K696" s="19" t="s">
        <v>603</v>
      </c>
      <c r="L696" s="19" t="s">
        <v>292</v>
      </c>
      <c r="M696" s="20">
        <f t="shared" si="1"/>
        <v>23088</v>
      </c>
      <c r="N696" s="31">
        <v>3.0</v>
      </c>
      <c r="O696" s="19" t="s">
        <v>107</v>
      </c>
      <c r="P696" s="18"/>
      <c r="Q696" s="18"/>
      <c r="R696" s="23">
        <v>240.0</v>
      </c>
      <c r="S696" s="23">
        <v>1300.0</v>
      </c>
      <c r="T696" s="23">
        <f t="shared" si="2"/>
        <v>1248</v>
      </c>
      <c r="U696" s="23">
        <f t="shared" si="3"/>
        <v>294</v>
      </c>
      <c r="V696" s="23">
        <f t="shared" si="4"/>
        <v>5512.5</v>
      </c>
      <c r="W696" s="24">
        <f t="shared" si="5"/>
        <v>5.2</v>
      </c>
    </row>
    <row r="697" hidden="1">
      <c r="A697" s="15" t="s">
        <v>4806</v>
      </c>
      <c r="B697" s="18"/>
      <c r="C697" s="15" t="s">
        <v>7138</v>
      </c>
      <c r="D697" s="18"/>
      <c r="E697" s="17" t="s">
        <v>2192</v>
      </c>
      <c r="F697" s="18"/>
      <c r="G697" s="18"/>
      <c r="H697" s="15" t="s">
        <v>4810</v>
      </c>
      <c r="I697" s="15" t="s">
        <v>4809</v>
      </c>
      <c r="J697" s="19" t="s">
        <v>36</v>
      </c>
      <c r="K697" s="19" t="s">
        <v>37</v>
      </c>
      <c r="L697" s="19" t="s">
        <v>38</v>
      </c>
      <c r="M697" s="20">
        <f t="shared" si="1"/>
        <v>0</v>
      </c>
      <c r="N697" s="22"/>
      <c r="O697" s="19" t="s">
        <v>1145</v>
      </c>
      <c r="P697" s="18"/>
      <c r="Q697" s="18"/>
      <c r="R697" s="23">
        <v>0.0</v>
      </c>
      <c r="S697" s="23">
        <v>0.0</v>
      </c>
      <c r="T697" s="23">
        <f t="shared" si="2"/>
        <v>0</v>
      </c>
      <c r="U697" s="23">
        <f t="shared" si="3"/>
        <v>0</v>
      </c>
      <c r="V697" s="23">
        <f t="shared" si="4"/>
        <v>0</v>
      </c>
      <c r="W697" s="24" t="str">
        <f t="shared" si="5"/>
        <v>#DIV/0!</v>
      </c>
    </row>
    <row r="698" hidden="1">
      <c r="A698" s="15" t="s">
        <v>2191</v>
      </c>
      <c r="B698" s="18"/>
      <c r="C698" s="15" t="s">
        <v>7139</v>
      </c>
      <c r="D698" s="18"/>
      <c r="E698" s="17" t="s">
        <v>2192</v>
      </c>
      <c r="F698" s="18"/>
      <c r="G698" s="18"/>
      <c r="H698" s="15" t="s">
        <v>2193</v>
      </c>
      <c r="I698" s="15" t="s">
        <v>2194</v>
      </c>
      <c r="J698" s="19" t="s">
        <v>36</v>
      </c>
      <c r="K698" s="19" t="s">
        <v>37</v>
      </c>
      <c r="L698" s="19" t="s">
        <v>38</v>
      </c>
      <c r="M698" s="20">
        <f t="shared" si="1"/>
        <v>0</v>
      </c>
      <c r="N698" s="22"/>
      <c r="O698" s="19" t="s">
        <v>1145</v>
      </c>
      <c r="P698" s="18"/>
      <c r="Q698" s="18"/>
      <c r="R698" s="23">
        <v>0.0</v>
      </c>
      <c r="S698" s="23">
        <v>0.0</v>
      </c>
      <c r="T698" s="23">
        <f t="shared" si="2"/>
        <v>0</v>
      </c>
      <c r="U698" s="23">
        <f t="shared" si="3"/>
        <v>0</v>
      </c>
      <c r="V698" s="23">
        <f t="shared" si="4"/>
        <v>0</v>
      </c>
      <c r="W698" s="24" t="str">
        <f t="shared" si="5"/>
        <v>#DIV/0!</v>
      </c>
    </row>
    <row r="699" hidden="1">
      <c r="A699" s="15" t="s">
        <v>2195</v>
      </c>
      <c r="B699" s="18"/>
      <c r="C699" s="15" t="s">
        <v>7140</v>
      </c>
      <c r="D699" s="18"/>
      <c r="E699" s="17" t="s">
        <v>2196</v>
      </c>
      <c r="F699" s="18"/>
      <c r="G699" s="18"/>
      <c r="H699" s="15" t="s">
        <v>2197</v>
      </c>
      <c r="I699" s="15" t="s">
        <v>2198</v>
      </c>
      <c r="J699" s="19" t="s">
        <v>36</v>
      </c>
      <c r="K699" s="19" t="s">
        <v>37</v>
      </c>
      <c r="L699" s="19" t="s">
        <v>38</v>
      </c>
      <c r="M699" s="20">
        <f t="shared" si="1"/>
        <v>0</v>
      </c>
      <c r="N699" s="22"/>
      <c r="O699" s="19" t="s">
        <v>1145</v>
      </c>
      <c r="P699" s="18"/>
      <c r="Q699" s="18"/>
      <c r="R699" s="23">
        <v>0.0</v>
      </c>
      <c r="S699" s="23">
        <v>0.0</v>
      </c>
      <c r="T699" s="23">
        <f t="shared" si="2"/>
        <v>0</v>
      </c>
      <c r="U699" s="23">
        <f t="shared" si="3"/>
        <v>0</v>
      </c>
      <c r="V699" s="23">
        <f t="shared" si="4"/>
        <v>0</v>
      </c>
      <c r="W699" s="24" t="str">
        <f t="shared" si="5"/>
        <v>#DIV/0!</v>
      </c>
    </row>
    <row r="700" hidden="1">
      <c r="A700" s="15" t="s">
        <v>2199</v>
      </c>
      <c r="B700" s="18"/>
      <c r="C700" s="15" t="s">
        <v>7141</v>
      </c>
      <c r="D700" s="18"/>
      <c r="E700" s="17" t="s">
        <v>2200</v>
      </c>
      <c r="F700" s="18"/>
      <c r="G700" s="18"/>
      <c r="H700" s="15" t="s">
        <v>2201</v>
      </c>
      <c r="I700" s="15" t="s">
        <v>2202</v>
      </c>
      <c r="J700" s="19" t="s">
        <v>36</v>
      </c>
      <c r="K700" s="19" t="s">
        <v>603</v>
      </c>
      <c r="L700" s="19" t="s">
        <v>38</v>
      </c>
      <c r="M700" s="20">
        <f t="shared" si="1"/>
        <v>0</v>
      </c>
      <c r="N700" s="22"/>
      <c r="O700" s="19" t="s">
        <v>1145</v>
      </c>
      <c r="P700" s="18"/>
      <c r="Q700" s="18"/>
      <c r="R700" s="23">
        <v>0.0</v>
      </c>
      <c r="S700" s="23">
        <v>0.0</v>
      </c>
      <c r="T700" s="23">
        <f t="shared" si="2"/>
        <v>0</v>
      </c>
      <c r="U700" s="23">
        <f t="shared" si="3"/>
        <v>0</v>
      </c>
      <c r="V700" s="23">
        <f t="shared" si="4"/>
        <v>0</v>
      </c>
      <c r="W700" s="24" t="str">
        <f t="shared" si="5"/>
        <v>#DIV/0!</v>
      </c>
    </row>
    <row r="701" hidden="1">
      <c r="A701" s="15" t="s">
        <v>7142</v>
      </c>
      <c r="B701" s="18"/>
      <c r="C701" s="15" t="s">
        <v>7143</v>
      </c>
      <c r="D701" s="18"/>
      <c r="E701" s="17" t="s">
        <v>7144</v>
      </c>
      <c r="F701" s="18"/>
      <c r="G701" s="18"/>
      <c r="H701" s="15"/>
      <c r="I701" s="15" t="s">
        <v>7145</v>
      </c>
      <c r="J701" s="19" t="s">
        <v>36</v>
      </c>
      <c r="K701" s="19" t="s">
        <v>603</v>
      </c>
      <c r="L701" s="19" t="s">
        <v>38</v>
      </c>
      <c r="M701" s="20">
        <f t="shared" si="1"/>
        <v>0</v>
      </c>
      <c r="N701" s="22"/>
      <c r="O701" s="19" t="s">
        <v>39</v>
      </c>
      <c r="P701" s="18"/>
      <c r="Q701" s="18"/>
      <c r="R701" s="23">
        <v>0.0</v>
      </c>
      <c r="S701" s="23">
        <v>0.0</v>
      </c>
      <c r="T701" s="23">
        <f t="shared" si="2"/>
        <v>0</v>
      </c>
      <c r="U701" s="23">
        <f t="shared" si="3"/>
        <v>0</v>
      </c>
      <c r="V701" s="23">
        <f t="shared" si="4"/>
        <v>0</v>
      </c>
      <c r="W701" s="24" t="str">
        <f t="shared" si="5"/>
        <v>#DIV/0!</v>
      </c>
    </row>
    <row r="702" hidden="1">
      <c r="A702" s="15" t="s">
        <v>2203</v>
      </c>
      <c r="B702" s="18"/>
      <c r="C702" s="15" t="s">
        <v>7146</v>
      </c>
      <c r="D702" s="18"/>
      <c r="E702" s="17" t="s">
        <v>2204</v>
      </c>
      <c r="F702" s="18"/>
      <c r="G702" s="18"/>
      <c r="H702" s="15" t="s">
        <v>2205</v>
      </c>
      <c r="I702" s="15" t="s">
        <v>2206</v>
      </c>
      <c r="J702" s="19" t="s">
        <v>36</v>
      </c>
      <c r="K702" s="19" t="s">
        <v>603</v>
      </c>
      <c r="L702" s="19" t="s">
        <v>38</v>
      </c>
      <c r="M702" s="20">
        <f t="shared" si="1"/>
        <v>0</v>
      </c>
      <c r="N702" s="22"/>
      <c r="O702" s="19" t="s">
        <v>1145</v>
      </c>
      <c r="P702" s="18"/>
      <c r="Q702" s="18"/>
      <c r="R702" s="23">
        <v>0.0</v>
      </c>
      <c r="S702" s="23">
        <v>0.0</v>
      </c>
      <c r="T702" s="23">
        <f t="shared" si="2"/>
        <v>0</v>
      </c>
      <c r="U702" s="23">
        <f t="shared" si="3"/>
        <v>0</v>
      </c>
      <c r="V702" s="23">
        <f t="shared" si="4"/>
        <v>0</v>
      </c>
      <c r="W702" s="24" t="str">
        <f t="shared" si="5"/>
        <v>#DIV/0!</v>
      </c>
    </row>
    <row r="703" hidden="1">
      <c r="A703" s="15" t="s">
        <v>2207</v>
      </c>
      <c r="B703" s="18"/>
      <c r="C703" s="15" t="s">
        <v>7147</v>
      </c>
      <c r="D703" s="18"/>
      <c r="E703" s="17" t="s">
        <v>2208</v>
      </c>
      <c r="F703" s="18"/>
      <c r="G703" s="18"/>
      <c r="H703" s="15" t="s">
        <v>2209</v>
      </c>
      <c r="I703" s="15" t="s">
        <v>2210</v>
      </c>
      <c r="J703" s="19" t="s">
        <v>36</v>
      </c>
      <c r="K703" s="19" t="s">
        <v>105</v>
      </c>
      <c r="L703" s="19" t="s">
        <v>38</v>
      </c>
      <c r="M703" s="20">
        <f t="shared" si="1"/>
        <v>0</v>
      </c>
      <c r="N703" s="22"/>
      <c r="O703" s="19" t="s">
        <v>1145</v>
      </c>
      <c r="P703" s="18"/>
      <c r="Q703" s="18"/>
      <c r="R703" s="23">
        <v>0.0</v>
      </c>
      <c r="S703" s="23">
        <v>0.0</v>
      </c>
      <c r="T703" s="23">
        <f t="shared" si="2"/>
        <v>0</v>
      </c>
      <c r="U703" s="23">
        <f t="shared" si="3"/>
        <v>0</v>
      </c>
      <c r="V703" s="23">
        <f t="shared" si="4"/>
        <v>0</v>
      </c>
      <c r="W703" s="24" t="str">
        <f t="shared" si="5"/>
        <v>#DIV/0!</v>
      </c>
    </row>
    <row r="704" hidden="1">
      <c r="A704" s="15" t="s">
        <v>2211</v>
      </c>
      <c r="B704" s="18"/>
      <c r="C704" s="15" t="s">
        <v>7148</v>
      </c>
      <c r="D704" s="18"/>
      <c r="E704" s="17" t="s">
        <v>2212</v>
      </c>
      <c r="F704" s="18"/>
      <c r="G704" s="18"/>
      <c r="H704" s="15" t="s">
        <v>2213</v>
      </c>
      <c r="I704" s="15" t="s">
        <v>2214</v>
      </c>
      <c r="J704" s="19" t="s">
        <v>36</v>
      </c>
      <c r="K704" s="19" t="s">
        <v>603</v>
      </c>
      <c r="L704" s="19" t="s">
        <v>38</v>
      </c>
      <c r="M704" s="20">
        <f t="shared" si="1"/>
        <v>0</v>
      </c>
      <c r="N704" s="22"/>
      <c r="O704" s="19" t="s">
        <v>1145</v>
      </c>
      <c r="P704" s="18"/>
      <c r="Q704" s="18"/>
      <c r="R704" s="23">
        <v>0.0</v>
      </c>
      <c r="S704" s="23">
        <v>0.0</v>
      </c>
      <c r="T704" s="23">
        <f t="shared" si="2"/>
        <v>0</v>
      </c>
      <c r="U704" s="23">
        <f t="shared" si="3"/>
        <v>0</v>
      </c>
      <c r="V704" s="23">
        <f t="shared" si="4"/>
        <v>0</v>
      </c>
      <c r="W704" s="24" t="str">
        <f t="shared" si="5"/>
        <v>#DIV/0!</v>
      </c>
    </row>
    <row r="705" hidden="1">
      <c r="A705" s="15" t="s">
        <v>2215</v>
      </c>
      <c r="B705" s="18"/>
      <c r="C705" s="15" t="s">
        <v>7149</v>
      </c>
      <c r="D705" s="18"/>
      <c r="E705" s="17" t="s">
        <v>2212</v>
      </c>
      <c r="F705" s="18"/>
      <c r="G705" s="18"/>
      <c r="H705" s="15" t="s">
        <v>2216</v>
      </c>
      <c r="I705" s="15" t="s">
        <v>2217</v>
      </c>
      <c r="J705" s="19" t="s">
        <v>36</v>
      </c>
      <c r="K705" s="19" t="s">
        <v>603</v>
      </c>
      <c r="L705" s="19" t="s">
        <v>38</v>
      </c>
      <c r="M705" s="20">
        <f t="shared" si="1"/>
        <v>0</v>
      </c>
      <c r="N705" s="22"/>
      <c r="O705" s="19" t="s">
        <v>1145</v>
      </c>
      <c r="P705" s="18"/>
      <c r="Q705" s="18"/>
      <c r="R705" s="23">
        <v>0.0</v>
      </c>
      <c r="S705" s="23">
        <v>0.0</v>
      </c>
      <c r="T705" s="23">
        <f t="shared" si="2"/>
        <v>0</v>
      </c>
      <c r="U705" s="23">
        <f t="shared" si="3"/>
        <v>0</v>
      </c>
      <c r="V705" s="23">
        <f t="shared" si="4"/>
        <v>0</v>
      </c>
      <c r="W705" s="24" t="str">
        <f t="shared" si="5"/>
        <v>#DIV/0!</v>
      </c>
    </row>
    <row r="706" hidden="1">
      <c r="A706" s="15" t="s">
        <v>2218</v>
      </c>
      <c r="B706" s="18"/>
      <c r="C706" s="15" t="s">
        <v>7150</v>
      </c>
      <c r="D706" s="18"/>
      <c r="E706" s="17" t="s">
        <v>2212</v>
      </c>
      <c r="F706" s="18"/>
      <c r="G706" s="18"/>
      <c r="H706" s="15" t="s">
        <v>2219</v>
      </c>
      <c r="I706" s="15" t="s">
        <v>2220</v>
      </c>
      <c r="J706" s="19" t="s">
        <v>36</v>
      </c>
      <c r="K706" s="19" t="s">
        <v>603</v>
      </c>
      <c r="L706" s="19" t="s">
        <v>38</v>
      </c>
      <c r="M706" s="20">
        <f t="shared" si="1"/>
        <v>0</v>
      </c>
      <c r="N706" s="22"/>
      <c r="O706" s="19" t="s">
        <v>1145</v>
      </c>
      <c r="P706" s="18"/>
      <c r="Q706" s="18"/>
      <c r="R706" s="23">
        <v>0.0</v>
      </c>
      <c r="S706" s="23">
        <v>0.0</v>
      </c>
      <c r="T706" s="23">
        <f t="shared" si="2"/>
        <v>0</v>
      </c>
      <c r="U706" s="23">
        <f t="shared" si="3"/>
        <v>0</v>
      </c>
      <c r="V706" s="23">
        <f t="shared" si="4"/>
        <v>0</v>
      </c>
      <c r="W706" s="24" t="str">
        <f t="shared" si="5"/>
        <v>#DIV/0!</v>
      </c>
    </row>
    <row r="707" hidden="1">
      <c r="A707" s="15" t="s">
        <v>2221</v>
      </c>
      <c r="B707" s="18"/>
      <c r="C707" s="15" t="s">
        <v>7151</v>
      </c>
      <c r="D707" s="18"/>
      <c r="E707" s="17" t="s">
        <v>2222</v>
      </c>
      <c r="F707" s="18"/>
      <c r="G707" s="18"/>
      <c r="H707" s="15" t="s">
        <v>2223</v>
      </c>
      <c r="I707" s="15" t="s">
        <v>2224</v>
      </c>
      <c r="J707" s="19" t="s">
        <v>36</v>
      </c>
      <c r="K707" s="19" t="s">
        <v>603</v>
      </c>
      <c r="L707" s="19" t="s">
        <v>38</v>
      </c>
      <c r="M707" s="20">
        <f t="shared" si="1"/>
        <v>0</v>
      </c>
      <c r="N707" s="22"/>
      <c r="O707" s="19" t="s">
        <v>1145</v>
      </c>
      <c r="P707" s="18"/>
      <c r="Q707" s="18"/>
      <c r="R707" s="23">
        <v>0.0</v>
      </c>
      <c r="S707" s="23">
        <v>0.0</v>
      </c>
      <c r="T707" s="23">
        <f t="shared" si="2"/>
        <v>0</v>
      </c>
      <c r="U707" s="23">
        <f t="shared" si="3"/>
        <v>0</v>
      </c>
      <c r="V707" s="23">
        <f t="shared" si="4"/>
        <v>0</v>
      </c>
      <c r="W707" s="24" t="str">
        <f t="shared" si="5"/>
        <v>#DIV/0!</v>
      </c>
    </row>
    <row r="708" hidden="1">
      <c r="A708" s="15" t="s">
        <v>7152</v>
      </c>
      <c r="B708" s="18"/>
      <c r="C708" s="15" t="s">
        <v>7153</v>
      </c>
      <c r="D708" s="18"/>
      <c r="E708" s="17" t="s">
        <v>7154</v>
      </c>
      <c r="F708" s="18"/>
      <c r="G708" s="18"/>
      <c r="H708" s="15" t="s">
        <v>7155</v>
      </c>
      <c r="I708" s="15" t="s">
        <v>4456</v>
      </c>
      <c r="J708" s="19" t="s">
        <v>36</v>
      </c>
      <c r="K708" s="19" t="s">
        <v>603</v>
      </c>
      <c r="L708" s="19" t="s">
        <v>38</v>
      </c>
      <c r="M708" s="20">
        <f t="shared" si="1"/>
        <v>0</v>
      </c>
      <c r="N708" s="22"/>
      <c r="O708" s="19" t="s">
        <v>1145</v>
      </c>
      <c r="P708" s="18"/>
      <c r="Q708" s="18"/>
      <c r="R708" s="23">
        <v>0.0</v>
      </c>
      <c r="S708" s="23">
        <v>0.0</v>
      </c>
      <c r="T708" s="23">
        <f t="shared" si="2"/>
        <v>0</v>
      </c>
      <c r="U708" s="23">
        <f t="shared" si="3"/>
        <v>0</v>
      </c>
      <c r="V708" s="23">
        <f t="shared" si="4"/>
        <v>0</v>
      </c>
      <c r="W708" s="24" t="str">
        <f t="shared" si="5"/>
        <v>#DIV/0!</v>
      </c>
    </row>
    <row r="709" hidden="1">
      <c r="A709" s="15" t="s">
        <v>7156</v>
      </c>
      <c r="B709" s="18"/>
      <c r="C709" s="15" t="s">
        <v>7157</v>
      </c>
      <c r="D709" s="18"/>
      <c r="E709" s="17" t="s">
        <v>7158</v>
      </c>
      <c r="F709" s="18"/>
      <c r="G709" s="18"/>
      <c r="H709" s="15" t="s">
        <v>7159</v>
      </c>
      <c r="I709" s="15" t="s">
        <v>4451</v>
      </c>
      <c r="J709" s="19" t="s">
        <v>36</v>
      </c>
      <c r="K709" s="19" t="s">
        <v>603</v>
      </c>
      <c r="L709" s="19" t="s">
        <v>38</v>
      </c>
      <c r="M709" s="20">
        <f t="shared" si="1"/>
        <v>0</v>
      </c>
      <c r="N709" s="22"/>
      <c r="O709" s="19" t="s">
        <v>1145</v>
      </c>
      <c r="P709" s="18"/>
      <c r="Q709" s="18"/>
      <c r="R709" s="23">
        <v>0.0</v>
      </c>
      <c r="S709" s="23">
        <v>0.0</v>
      </c>
      <c r="T709" s="23">
        <f t="shared" si="2"/>
        <v>0</v>
      </c>
      <c r="U709" s="23">
        <f t="shared" si="3"/>
        <v>0</v>
      </c>
      <c r="V709" s="23">
        <f t="shared" si="4"/>
        <v>0</v>
      </c>
      <c r="W709" s="24" t="str">
        <f t="shared" si="5"/>
        <v>#DIV/0!</v>
      </c>
    </row>
    <row r="710" hidden="1">
      <c r="A710" s="15" t="s">
        <v>7160</v>
      </c>
      <c r="B710" s="18"/>
      <c r="C710" s="15" t="s">
        <v>7161</v>
      </c>
      <c r="D710" s="18"/>
      <c r="E710" s="17" t="s">
        <v>7162</v>
      </c>
      <c r="F710" s="18"/>
      <c r="G710" s="18"/>
      <c r="H710" s="15" t="s">
        <v>7163</v>
      </c>
      <c r="I710" s="15" t="s">
        <v>4446</v>
      </c>
      <c r="J710" s="19" t="s">
        <v>36</v>
      </c>
      <c r="K710" s="19" t="s">
        <v>603</v>
      </c>
      <c r="L710" s="19" t="s">
        <v>38</v>
      </c>
      <c r="M710" s="20">
        <f t="shared" si="1"/>
        <v>0</v>
      </c>
      <c r="N710" s="22"/>
      <c r="O710" s="19" t="s">
        <v>1145</v>
      </c>
      <c r="P710" s="18"/>
      <c r="Q710" s="18"/>
      <c r="R710" s="23">
        <v>0.0</v>
      </c>
      <c r="S710" s="23">
        <v>0.0</v>
      </c>
      <c r="T710" s="23">
        <f t="shared" si="2"/>
        <v>0</v>
      </c>
      <c r="U710" s="23">
        <f t="shared" si="3"/>
        <v>0</v>
      </c>
      <c r="V710" s="23">
        <f t="shared" si="4"/>
        <v>0</v>
      </c>
      <c r="W710" s="24" t="str">
        <f t="shared" si="5"/>
        <v>#DIV/0!</v>
      </c>
    </row>
    <row r="711" hidden="1">
      <c r="A711" s="15" t="s">
        <v>4811</v>
      </c>
      <c r="B711" s="18"/>
      <c r="C711" s="15" t="s">
        <v>7164</v>
      </c>
      <c r="D711" s="18"/>
      <c r="E711" s="17" t="s">
        <v>7165</v>
      </c>
      <c r="F711" s="18"/>
      <c r="G711" s="18"/>
      <c r="H711" s="15" t="s">
        <v>7166</v>
      </c>
      <c r="I711" s="15" t="s">
        <v>4815</v>
      </c>
      <c r="J711" s="19" t="s">
        <v>36</v>
      </c>
      <c r="K711" s="19" t="s">
        <v>603</v>
      </c>
      <c r="L711" s="19" t="s">
        <v>38</v>
      </c>
      <c r="M711" s="20">
        <f t="shared" si="1"/>
        <v>0</v>
      </c>
      <c r="N711" s="22"/>
      <c r="O711" s="19" t="s">
        <v>1145</v>
      </c>
      <c r="P711" s="18"/>
      <c r="Q711" s="18"/>
      <c r="R711" s="23">
        <v>0.0</v>
      </c>
      <c r="S711" s="23">
        <v>0.0</v>
      </c>
      <c r="T711" s="23">
        <f t="shared" si="2"/>
        <v>0</v>
      </c>
      <c r="U711" s="23">
        <f t="shared" si="3"/>
        <v>0</v>
      </c>
      <c r="V711" s="23">
        <f t="shared" si="4"/>
        <v>0</v>
      </c>
      <c r="W711" s="24" t="str">
        <f t="shared" si="5"/>
        <v>#DIV/0!</v>
      </c>
    </row>
    <row r="712" hidden="1">
      <c r="A712" s="15" t="s">
        <v>7167</v>
      </c>
      <c r="B712" s="18"/>
      <c r="C712" s="15" t="s">
        <v>7168</v>
      </c>
      <c r="D712" s="18"/>
      <c r="E712" s="17" t="s">
        <v>7169</v>
      </c>
      <c r="F712" s="18"/>
      <c r="G712" s="18"/>
      <c r="H712" s="15" t="s">
        <v>7170</v>
      </c>
      <c r="I712" s="15" t="s">
        <v>356</v>
      </c>
      <c r="J712" s="19" t="s">
        <v>36</v>
      </c>
      <c r="K712" s="19" t="s">
        <v>603</v>
      </c>
      <c r="L712" s="19" t="s">
        <v>38</v>
      </c>
      <c r="M712" s="20">
        <f t="shared" si="1"/>
        <v>0</v>
      </c>
      <c r="N712" s="22"/>
      <c r="O712" s="19" t="s">
        <v>39</v>
      </c>
      <c r="P712" s="18"/>
      <c r="Q712" s="18"/>
      <c r="R712" s="23">
        <v>0.0</v>
      </c>
      <c r="S712" s="23">
        <v>0.0</v>
      </c>
      <c r="T712" s="23">
        <f t="shared" si="2"/>
        <v>0</v>
      </c>
      <c r="U712" s="23">
        <f t="shared" si="3"/>
        <v>0</v>
      </c>
      <c r="V712" s="23">
        <f t="shared" si="4"/>
        <v>0</v>
      </c>
      <c r="W712" s="24" t="str">
        <f t="shared" si="5"/>
        <v>#DIV/0!</v>
      </c>
    </row>
    <row r="713" hidden="1">
      <c r="A713" s="15" t="s">
        <v>7171</v>
      </c>
      <c r="B713" s="18"/>
      <c r="C713" s="15" t="s">
        <v>7172</v>
      </c>
      <c r="D713" s="18"/>
      <c r="E713" s="17" t="s">
        <v>7173</v>
      </c>
      <c r="F713" s="18"/>
      <c r="G713" s="18"/>
      <c r="H713" s="15" t="s">
        <v>7174</v>
      </c>
      <c r="I713" s="15" t="s">
        <v>4188</v>
      </c>
      <c r="J713" s="19" t="s">
        <v>36</v>
      </c>
      <c r="K713" s="19" t="s">
        <v>603</v>
      </c>
      <c r="L713" s="19" t="s">
        <v>38</v>
      </c>
      <c r="M713" s="20">
        <f t="shared" si="1"/>
        <v>0</v>
      </c>
      <c r="N713" s="22"/>
      <c r="O713" s="19" t="s">
        <v>39</v>
      </c>
      <c r="P713" s="18"/>
      <c r="Q713" s="18"/>
      <c r="R713" s="23">
        <v>0.0</v>
      </c>
      <c r="S713" s="23">
        <v>0.0</v>
      </c>
      <c r="T713" s="23">
        <f t="shared" si="2"/>
        <v>0</v>
      </c>
      <c r="U713" s="23">
        <f t="shared" si="3"/>
        <v>0</v>
      </c>
      <c r="V713" s="23">
        <f t="shared" si="4"/>
        <v>0</v>
      </c>
      <c r="W713" s="24" t="str">
        <f t="shared" si="5"/>
        <v>#DIV/0!</v>
      </c>
    </row>
    <row r="714" hidden="1">
      <c r="A714" s="15" t="s">
        <v>2225</v>
      </c>
      <c r="B714" s="18"/>
      <c r="C714" s="15" t="s">
        <v>7175</v>
      </c>
      <c r="D714" s="18"/>
      <c r="E714" s="17" t="s">
        <v>2226</v>
      </c>
      <c r="F714" s="18"/>
      <c r="G714" s="18"/>
      <c r="H714" s="15" t="s">
        <v>2227</v>
      </c>
      <c r="I714" s="15" t="s">
        <v>2228</v>
      </c>
      <c r="J714" s="19" t="s">
        <v>36</v>
      </c>
      <c r="K714" s="19" t="s">
        <v>603</v>
      </c>
      <c r="L714" s="19" t="s">
        <v>38</v>
      </c>
      <c r="M714" s="20">
        <f t="shared" si="1"/>
        <v>0</v>
      </c>
      <c r="N714" s="22"/>
      <c r="O714" s="19" t="s">
        <v>1145</v>
      </c>
      <c r="P714" s="18"/>
      <c r="Q714" s="18"/>
      <c r="R714" s="23">
        <v>0.0</v>
      </c>
      <c r="S714" s="23">
        <v>0.0</v>
      </c>
      <c r="T714" s="23">
        <f t="shared" si="2"/>
        <v>0</v>
      </c>
      <c r="U714" s="23">
        <f t="shared" si="3"/>
        <v>0</v>
      </c>
      <c r="V714" s="23">
        <f t="shared" si="4"/>
        <v>0</v>
      </c>
      <c r="W714" s="24" t="str">
        <f t="shared" si="5"/>
        <v>#DIV/0!</v>
      </c>
    </row>
    <row r="715" hidden="1">
      <c r="A715" s="15" t="s">
        <v>2229</v>
      </c>
      <c r="B715" s="18"/>
      <c r="C715" s="15" t="s">
        <v>7176</v>
      </c>
      <c r="D715" s="18"/>
      <c r="E715" s="17" t="s">
        <v>2230</v>
      </c>
      <c r="F715" s="18"/>
      <c r="G715" s="18"/>
      <c r="H715" s="15" t="s">
        <v>2231</v>
      </c>
      <c r="I715" s="15" t="s">
        <v>2232</v>
      </c>
      <c r="J715" s="19" t="s">
        <v>36</v>
      </c>
      <c r="K715" s="19" t="s">
        <v>105</v>
      </c>
      <c r="L715" s="19" t="s">
        <v>38</v>
      </c>
      <c r="M715" s="20">
        <f t="shared" si="1"/>
        <v>0</v>
      </c>
      <c r="N715" s="22"/>
      <c r="O715" s="19" t="s">
        <v>1145</v>
      </c>
      <c r="P715" s="18"/>
      <c r="Q715" s="18"/>
      <c r="R715" s="23">
        <v>0.0</v>
      </c>
      <c r="S715" s="23">
        <v>0.0</v>
      </c>
      <c r="T715" s="23">
        <f t="shared" si="2"/>
        <v>0</v>
      </c>
      <c r="U715" s="23">
        <f t="shared" si="3"/>
        <v>0</v>
      </c>
      <c r="V715" s="23">
        <f t="shared" si="4"/>
        <v>0</v>
      </c>
      <c r="W715" s="24" t="str">
        <f t="shared" si="5"/>
        <v>#DIV/0!</v>
      </c>
    </row>
    <row r="716" hidden="1">
      <c r="A716" s="15" t="s">
        <v>2233</v>
      </c>
      <c r="B716" s="18"/>
      <c r="C716" s="15" t="s">
        <v>7177</v>
      </c>
      <c r="D716" s="18"/>
      <c r="E716" s="17" t="s">
        <v>2234</v>
      </c>
      <c r="F716" s="18"/>
      <c r="G716" s="18"/>
      <c r="H716" s="15" t="s">
        <v>2235</v>
      </c>
      <c r="I716" s="15" t="s">
        <v>2236</v>
      </c>
      <c r="J716" s="19" t="s">
        <v>36</v>
      </c>
      <c r="K716" s="19" t="s">
        <v>105</v>
      </c>
      <c r="L716" s="19" t="s">
        <v>38</v>
      </c>
      <c r="M716" s="20">
        <f t="shared" si="1"/>
        <v>0</v>
      </c>
      <c r="N716" s="22"/>
      <c r="O716" s="19" t="s">
        <v>1145</v>
      </c>
      <c r="P716" s="18"/>
      <c r="Q716" s="18"/>
      <c r="R716" s="23">
        <v>0.0</v>
      </c>
      <c r="S716" s="23">
        <v>0.0</v>
      </c>
      <c r="T716" s="23">
        <f t="shared" si="2"/>
        <v>0</v>
      </c>
      <c r="U716" s="23">
        <f t="shared" si="3"/>
        <v>0</v>
      </c>
      <c r="V716" s="23">
        <f t="shared" si="4"/>
        <v>0</v>
      </c>
      <c r="W716" s="24" t="str">
        <f t="shared" si="5"/>
        <v>#DIV/0!</v>
      </c>
    </row>
    <row r="717" hidden="1">
      <c r="A717" s="15" t="s">
        <v>2237</v>
      </c>
      <c r="B717" s="18"/>
      <c r="C717" s="15" t="s">
        <v>7178</v>
      </c>
      <c r="D717" s="18"/>
      <c r="E717" s="17" t="s">
        <v>2238</v>
      </c>
      <c r="F717" s="18"/>
      <c r="G717" s="18"/>
      <c r="H717" s="15" t="s">
        <v>2239</v>
      </c>
      <c r="I717" s="15" t="s">
        <v>2240</v>
      </c>
      <c r="J717" s="19" t="s">
        <v>36</v>
      </c>
      <c r="K717" s="19" t="s">
        <v>1269</v>
      </c>
      <c r="L717" s="19" t="s">
        <v>38</v>
      </c>
      <c r="M717" s="20">
        <f t="shared" si="1"/>
        <v>0</v>
      </c>
      <c r="N717" s="22"/>
      <c r="O717" s="19" t="s">
        <v>1145</v>
      </c>
      <c r="P717" s="18"/>
      <c r="Q717" s="18"/>
      <c r="R717" s="23">
        <v>0.0</v>
      </c>
      <c r="S717" s="23">
        <v>0.0</v>
      </c>
      <c r="T717" s="23">
        <f t="shared" si="2"/>
        <v>0</v>
      </c>
      <c r="U717" s="23">
        <f t="shared" si="3"/>
        <v>0</v>
      </c>
      <c r="V717" s="23">
        <f t="shared" si="4"/>
        <v>0</v>
      </c>
      <c r="W717" s="24" t="str">
        <f t="shared" si="5"/>
        <v>#DIV/0!</v>
      </c>
    </row>
    <row r="718" hidden="1">
      <c r="A718" s="15" t="s">
        <v>2241</v>
      </c>
      <c r="B718" s="18"/>
      <c r="C718" s="15" t="s">
        <v>7179</v>
      </c>
      <c r="D718" s="18"/>
      <c r="E718" s="17" t="s">
        <v>2242</v>
      </c>
      <c r="F718" s="18"/>
      <c r="G718" s="18"/>
      <c r="H718" s="15" t="s">
        <v>2243</v>
      </c>
      <c r="I718" s="15" t="s">
        <v>2244</v>
      </c>
      <c r="J718" s="19" t="s">
        <v>36</v>
      </c>
      <c r="K718" s="19" t="s">
        <v>603</v>
      </c>
      <c r="L718" s="19" t="s">
        <v>38</v>
      </c>
      <c r="M718" s="20">
        <f t="shared" si="1"/>
        <v>0</v>
      </c>
      <c r="N718" s="22"/>
      <c r="O718" s="19" t="s">
        <v>1145</v>
      </c>
      <c r="P718" s="18"/>
      <c r="Q718" s="18"/>
      <c r="R718" s="23">
        <v>0.0</v>
      </c>
      <c r="S718" s="23">
        <v>0.0</v>
      </c>
      <c r="T718" s="23">
        <f t="shared" si="2"/>
        <v>0</v>
      </c>
      <c r="U718" s="23">
        <f t="shared" si="3"/>
        <v>0</v>
      </c>
      <c r="V718" s="23">
        <f t="shared" si="4"/>
        <v>0</v>
      </c>
      <c r="W718" s="24" t="str">
        <f t="shared" si="5"/>
        <v>#DIV/0!</v>
      </c>
    </row>
    <row r="719" hidden="1">
      <c r="A719" s="15" t="s">
        <v>2245</v>
      </c>
      <c r="B719" s="18"/>
      <c r="C719" s="15" t="s">
        <v>7180</v>
      </c>
      <c r="D719" s="18"/>
      <c r="E719" s="17" t="s">
        <v>2246</v>
      </c>
      <c r="F719" s="18"/>
      <c r="G719" s="18"/>
      <c r="H719" s="15" t="s">
        <v>2247</v>
      </c>
      <c r="I719" s="15" t="s">
        <v>2248</v>
      </c>
      <c r="J719" s="19" t="s">
        <v>36</v>
      </c>
      <c r="K719" s="19" t="s">
        <v>1230</v>
      </c>
      <c r="L719" s="19" t="s">
        <v>38</v>
      </c>
      <c r="M719" s="20">
        <f t="shared" si="1"/>
        <v>0</v>
      </c>
      <c r="N719" s="22"/>
      <c r="O719" s="19" t="s">
        <v>1145</v>
      </c>
      <c r="P719" s="18"/>
      <c r="Q719" s="18"/>
      <c r="R719" s="23">
        <v>0.0</v>
      </c>
      <c r="S719" s="23">
        <v>0.0</v>
      </c>
      <c r="T719" s="23">
        <f t="shared" si="2"/>
        <v>0</v>
      </c>
      <c r="U719" s="23">
        <f t="shared" si="3"/>
        <v>0</v>
      </c>
      <c r="V719" s="23">
        <f t="shared" si="4"/>
        <v>0</v>
      </c>
      <c r="W719" s="24" t="str">
        <f t="shared" si="5"/>
        <v>#DIV/0!</v>
      </c>
    </row>
    <row r="720" hidden="1">
      <c r="A720" s="15" t="s">
        <v>2249</v>
      </c>
      <c r="B720" s="18"/>
      <c r="C720" s="15" t="s">
        <v>7181</v>
      </c>
      <c r="D720" s="18"/>
      <c r="E720" s="17" t="s">
        <v>2250</v>
      </c>
      <c r="F720" s="18"/>
      <c r="G720" s="18"/>
      <c r="H720" s="15" t="s">
        <v>2251</v>
      </c>
      <c r="I720" s="15" t="s">
        <v>2252</v>
      </c>
      <c r="J720" s="19" t="s">
        <v>36</v>
      </c>
      <c r="K720" s="19" t="s">
        <v>1230</v>
      </c>
      <c r="L720" s="19" t="s">
        <v>38</v>
      </c>
      <c r="M720" s="20">
        <f t="shared" si="1"/>
        <v>0</v>
      </c>
      <c r="N720" s="22"/>
      <c r="O720" s="19" t="s">
        <v>1145</v>
      </c>
      <c r="P720" s="18"/>
      <c r="Q720" s="18"/>
      <c r="R720" s="23">
        <v>0.0</v>
      </c>
      <c r="S720" s="23">
        <v>0.0</v>
      </c>
      <c r="T720" s="23">
        <f t="shared" si="2"/>
        <v>0</v>
      </c>
      <c r="U720" s="23">
        <f t="shared" si="3"/>
        <v>0</v>
      </c>
      <c r="V720" s="23">
        <f t="shared" si="4"/>
        <v>0</v>
      </c>
      <c r="W720" s="24" t="str">
        <f t="shared" si="5"/>
        <v>#DIV/0!</v>
      </c>
    </row>
    <row r="721" hidden="1">
      <c r="A721" s="15" t="s">
        <v>2253</v>
      </c>
      <c r="B721" s="18"/>
      <c r="C721" s="15" t="s">
        <v>7182</v>
      </c>
      <c r="D721" s="18"/>
      <c r="E721" s="17" t="s">
        <v>2254</v>
      </c>
      <c r="F721" s="18"/>
      <c r="G721" s="18"/>
      <c r="H721" s="15" t="s">
        <v>2255</v>
      </c>
      <c r="I721" s="15" t="s">
        <v>2256</v>
      </c>
      <c r="J721" s="19" t="s">
        <v>36</v>
      </c>
      <c r="K721" s="19" t="s">
        <v>1230</v>
      </c>
      <c r="L721" s="19" t="s">
        <v>38</v>
      </c>
      <c r="M721" s="20">
        <f t="shared" si="1"/>
        <v>0</v>
      </c>
      <c r="N721" s="22"/>
      <c r="O721" s="19" t="s">
        <v>1145</v>
      </c>
      <c r="P721" s="18"/>
      <c r="Q721" s="18"/>
      <c r="R721" s="23">
        <v>0.0</v>
      </c>
      <c r="S721" s="23">
        <v>0.0</v>
      </c>
      <c r="T721" s="23">
        <f t="shared" si="2"/>
        <v>0</v>
      </c>
      <c r="U721" s="23">
        <f t="shared" si="3"/>
        <v>0</v>
      </c>
      <c r="V721" s="23">
        <f t="shared" si="4"/>
        <v>0</v>
      </c>
      <c r="W721" s="24" t="str">
        <f t="shared" si="5"/>
        <v>#DIV/0!</v>
      </c>
    </row>
    <row r="722" hidden="1">
      <c r="A722" s="15" t="s">
        <v>7183</v>
      </c>
      <c r="B722" s="18"/>
      <c r="C722" s="15" t="s">
        <v>7184</v>
      </c>
      <c r="D722" s="18"/>
      <c r="E722" s="17" t="s">
        <v>7185</v>
      </c>
      <c r="F722" s="18"/>
      <c r="G722" s="18"/>
      <c r="H722" s="15" t="s">
        <v>7186</v>
      </c>
      <c r="I722" s="15" t="s">
        <v>7187</v>
      </c>
      <c r="J722" s="19" t="s">
        <v>36</v>
      </c>
      <c r="K722" s="19" t="s">
        <v>603</v>
      </c>
      <c r="L722" s="19" t="s">
        <v>38</v>
      </c>
      <c r="M722" s="20">
        <f t="shared" si="1"/>
        <v>0</v>
      </c>
      <c r="N722" s="22"/>
      <c r="O722" s="19" t="s">
        <v>39</v>
      </c>
      <c r="P722" s="18"/>
      <c r="Q722" s="18"/>
      <c r="R722" s="23">
        <v>0.0</v>
      </c>
      <c r="S722" s="23">
        <v>0.0</v>
      </c>
      <c r="T722" s="23">
        <f t="shared" si="2"/>
        <v>0</v>
      </c>
      <c r="U722" s="23">
        <f t="shared" si="3"/>
        <v>0</v>
      </c>
      <c r="V722" s="23">
        <f t="shared" si="4"/>
        <v>0</v>
      </c>
      <c r="W722" s="24" t="str">
        <f t="shared" si="5"/>
        <v>#DIV/0!</v>
      </c>
    </row>
    <row r="723" hidden="1">
      <c r="A723" s="15" t="s">
        <v>2257</v>
      </c>
      <c r="B723" s="18"/>
      <c r="C723" s="15" t="s">
        <v>7188</v>
      </c>
      <c r="D723" s="18"/>
      <c r="E723" s="17" t="s">
        <v>2258</v>
      </c>
      <c r="F723" s="18"/>
      <c r="G723" s="18"/>
      <c r="H723" s="15" t="s">
        <v>2259</v>
      </c>
      <c r="I723" s="15" t="s">
        <v>2260</v>
      </c>
      <c r="J723" s="19" t="s">
        <v>36</v>
      </c>
      <c r="K723" s="19" t="s">
        <v>1269</v>
      </c>
      <c r="L723" s="19" t="s">
        <v>38</v>
      </c>
      <c r="M723" s="20">
        <f t="shared" si="1"/>
        <v>0</v>
      </c>
      <c r="N723" s="22"/>
      <c r="O723" s="19" t="s">
        <v>1145</v>
      </c>
      <c r="P723" s="18"/>
      <c r="Q723" s="18"/>
      <c r="R723" s="23">
        <v>0.0</v>
      </c>
      <c r="S723" s="23">
        <v>0.0</v>
      </c>
      <c r="T723" s="23">
        <f t="shared" si="2"/>
        <v>0</v>
      </c>
      <c r="U723" s="23">
        <f t="shared" si="3"/>
        <v>0</v>
      </c>
      <c r="V723" s="23">
        <f t="shared" si="4"/>
        <v>0</v>
      </c>
      <c r="W723" s="24" t="str">
        <f t="shared" si="5"/>
        <v>#DIV/0!</v>
      </c>
    </row>
    <row r="724" hidden="1">
      <c r="A724" s="15" t="s">
        <v>7189</v>
      </c>
      <c r="B724" s="18"/>
      <c r="C724" s="15" t="s">
        <v>7190</v>
      </c>
      <c r="D724" s="18"/>
      <c r="E724" s="17" t="s">
        <v>7191</v>
      </c>
      <c r="F724" s="18"/>
      <c r="G724" s="18"/>
      <c r="H724" s="15" t="s">
        <v>7192</v>
      </c>
      <c r="I724" s="15" t="s">
        <v>553</v>
      </c>
      <c r="J724" s="19" t="s">
        <v>36</v>
      </c>
      <c r="K724" s="19" t="s">
        <v>1269</v>
      </c>
      <c r="L724" s="19" t="s">
        <v>38</v>
      </c>
      <c r="M724" s="20">
        <f t="shared" si="1"/>
        <v>0</v>
      </c>
      <c r="N724" s="22"/>
      <c r="O724" s="19" t="s">
        <v>39</v>
      </c>
      <c r="P724" s="18"/>
      <c r="Q724" s="18"/>
      <c r="R724" s="23">
        <v>0.0</v>
      </c>
      <c r="S724" s="23">
        <v>0.0</v>
      </c>
      <c r="T724" s="23">
        <f t="shared" si="2"/>
        <v>0</v>
      </c>
      <c r="U724" s="23">
        <f t="shared" si="3"/>
        <v>0</v>
      </c>
      <c r="V724" s="23">
        <f t="shared" si="4"/>
        <v>0</v>
      </c>
      <c r="W724" s="24" t="str">
        <f t="shared" si="5"/>
        <v>#DIV/0!</v>
      </c>
    </row>
    <row r="725" hidden="1">
      <c r="A725" s="15" t="s">
        <v>7193</v>
      </c>
      <c r="B725" s="18"/>
      <c r="C725" s="15" t="s">
        <v>7194</v>
      </c>
      <c r="D725" s="18"/>
      <c r="E725" s="17" t="s">
        <v>7195</v>
      </c>
      <c r="F725" s="18"/>
      <c r="G725" s="18"/>
      <c r="H725" s="15" t="s">
        <v>7196</v>
      </c>
      <c r="I725" s="15" t="s">
        <v>7197</v>
      </c>
      <c r="J725" s="19" t="s">
        <v>36</v>
      </c>
      <c r="K725" s="19" t="s">
        <v>1269</v>
      </c>
      <c r="L725" s="19" t="s">
        <v>38</v>
      </c>
      <c r="M725" s="20">
        <f t="shared" si="1"/>
        <v>0</v>
      </c>
      <c r="N725" s="22"/>
      <c r="O725" s="19" t="s">
        <v>1145</v>
      </c>
      <c r="P725" s="18"/>
      <c r="Q725" s="18"/>
      <c r="R725" s="23">
        <v>0.0</v>
      </c>
      <c r="S725" s="23">
        <v>0.0</v>
      </c>
      <c r="T725" s="23">
        <f t="shared" si="2"/>
        <v>0</v>
      </c>
      <c r="U725" s="23">
        <f t="shared" si="3"/>
        <v>0</v>
      </c>
      <c r="V725" s="23">
        <f t="shared" si="4"/>
        <v>0</v>
      </c>
      <c r="W725" s="24" t="str">
        <f t="shared" si="5"/>
        <v>#DIV/0!</v>
      </c>
    </row>
    <row r="726" hidden="1">
      <c r="A726" s="15" t="s">
        <v>2261</v>
      </c>
      <c r="B726" s="18"/>
      <c r="C726" s="15" t="s">
        <v>7198</v>
      </c>
      <c r="D726" s="18"/>
      <c r="E726" s="17" t="s">
        <v>2262</v>
      </c>
      <c r="F726" s="18"/>
      <c r="G726" s="18"/>
      <c r="H726" s="15" t="s">
        <v>2263</v>
      </c>
      <c r="I726" s="15" t="s">
        <v>2264</v>
      </c>
      <c r="J726" s="19" t="s">
        <v>36</v>
      </c>
      <c r="K726" s="19" t="s">
        <v>603</v>
      </c>
      <c r="L726" s="19" t="s">
        <v>38</v>
      </c>
      <c r="M726" s="20">
        <f t="shared" si="1"/>
        <v>0</v>
      </c>
      <c r="N726" s="22"/>
      <c r="O726" s="19" t="s">
        <v>1145</v>
      </c>
      <c r="P726" s="18"/>
      <c r="Q726" s="18"/>
      <c r="R726" s="23">
        <v>0.0</v>
      </c>
      <c r="S726" s="23">
        <v>0.0</v>
      </c>
      <c r="T726" s="23">
        <f t="shared" si="2"/>
        <v>0</v>
      </c>
      <c r="U726" s="23">
        <f t="shared" si="3"/>
        <v>0</v>
      </c>
      <c r="V726" s="23">
        <f t="shared" si="4"/>
        <v>0</v>
      </c>
      <c r="W726" s="24" t="str">
        <f t="shared" si="5"/>
        <v>#DIV/0!</v>
      </c>
    </row>
    <row r="727" hidden="1">
      <c r="A727" s="15" t="s">
        <v>2265</v>
      </c>
      <c r="B727" s="18"/>
      <c r="C727" s="15" t="s">
        <v>7199</v>
      </c>
      <c r="D727" s="18"/>
      <c r="E727" s="17" t="s">
        <v>2266</v>
      </c>
      <c r="F727" s="18"/>
      <c r="G727" s="18"/>
      <c r="H727" s="15" t="s">
        <v>2267</v>
      </c>
      <c r="I727" s="15" t="s">
        <v>2268</v>
      </c>
      <c r="J727" s="19" t="s">
        <v>36</v>
      </c>
      <c r="K727" s="19" t="s">
        <v>603</v>
      </c>
      <c r="L727" s="19" t="s">
        <v>38</v>
      </c>
      <c r="M727" s="20">
        <f t="shared" si="1"/>
        <v>0</v>
      </c>
      <c r="N727" s="22"/>
      <c r="O727" s="19" t="s">
        <v>1145</v>
      </c>
      <c r="P727" s="18"/>
      <c r="Q727" s="18"/>
      <c r="R727" s="23">
        <v>0.0</v>
      </c>
      <c r="S727" s="23">
        <v>0.0</v>
      </c>
      <c r="T727" s="23">
        <f t="shared" si="2"/>
        <v>0</v>
      </c>
      <c r="U727" s="23">
        <f t="shared" si="3"/>
        <v>0</v>
      </c>
      <c r="V727" s="23">
        <f t="shared" si="4"/>
        <v>0</v>
      </c>
      <c r="W727" s="24" t="str">
        <f t="shared" si="5"/>
        <v>#DIV/0!</v>
      </c>
    </row>
    <row r="728" hidden="1">
      <c r="A728" s="15" t="s">
        <v>2269</v>
      </c>
      <c r="B728" s="18"/>
      <c r="C728" s="15" t="s">
        <v>7200</v>
      </c>
      <c r="D728" s="18"/>
      <c r="E728" s="17" t="s">
        <v>2270</v>
      </c>
      <c r="F728" s="18"/>
      <c r="G728" s="18"/>
      <c r="H728" s="15" t="s">
        <v>2271</v>
      </c>
      <c r="I728" s="15" t="s">
        <v>2272</v>
      </c>
      <c r="J728" s="19" t="s">
        <v>36</v>
      </c>
      <c r="K728" s="19" t="s">
        <v>603</v>
      </c>
      <c r="L728" s="19" t="s">
        <v>38</v>
      </c>
      <c r="M728" s="20">
        <f t="shared" si="1"/>
        <v>0</v>
      </c>
      <c r="N728" s="22"/>
      <c r="O728" s="19" t="s">
        <v>1145</v>
      </c>
      <c r="P728" s="18"/>
      <c r="Q728" s="18"/>
      <c r="R728" s="23">
        <v>0.0</v>
      </c>
      <c r="S728" s="23">
        <v>0.0</v>
      </c>
      <c r="T728" s="23">
        <f t="shared" si="2"/>
        <v>0</v>
      </c>
      <c r="U728" s="23">
        <f t="shared" si="3"/>
        <v>0</v>
      </c>
      <c r="V728" s="23">
        <f t="shared" si="4"/>
        <v>0</v>
      </c>
      <c r="W728" s="24" t="str">
        <f t="shared" si="5"/>
        <v>#DIV/0!</v>
      </c>
    </row>
    <row r="729" hidden="1">
      <c r="A729" s="15" t="s">
        <v>2273</v>
      </c>
      <c r="B729" s="18"/>
      <c r="C729" s="15" t="s">
        <v>7201</v>
      </c>
      <c r="D729" s="18"/>
      <c r="E729" s="17" t="s">
        <v>2274</v>
      </c>
      <c r="F729" s="18"/>
      <c r="G729" s="18"/>
      <c r="H729" s="15" t="s">
        <v>2275</v>
      </c>
      <c r="I729" s="15" t="s">
        <v>2276</v>
      </c>
      <c r="J729" s="19" t="s">
        <v>36</v>
      </c>
      <c r="K729" s="19" t="s">
        <v>603</v>
      </c>
      <c r="L729" s="19" t="s">
        <v>38</v>
      </c>
      <c r="M729" s="20">
        <f t="shared" si="1"/>
        <v>0</v>
      </c>
      <c r="N729" s="22"/>
      <c r="O729" s="19" t="s">
        <v>1145</v>
      </c>
      <c r="P729" s="18"/>
      <c r="Q729" s="18"/>
      <c r="R729" s="23">
        <v>0.0</v>
      </c>
      <c r="S729" s="23">
        <v>0.0</v>
      </c>
      <c r="T729" s="23">
        <f t="shared" si="2"/>
        <v>0</v>
      </c>
      <c r="U729" s="23">
        <f t="shared" si="3"/>
        <v>0</v>
      </c>
      <c r="V729" s="23">
        <f t="shared" si="4"/>
        <v>0</v>
      </c>
      <c r="W729" s="24" t="str">
        <f t="shared" si="5"/>
        <v>#DIV/0!</v>
      </c>
    </row>
    <row r="730" hidden="1">
      <c r="A730" s="15" t="s">
        <v>2277</v>
      </c>
      <c r="B730" s="18"/>
      <c r="C730" s="15" t="s">
        <v>7202</v>
      </c>
      <c r="D730" s="18"/>
      <c r="E730" s="17" t="s">
        <v>2278</v>
      </c>
      <c r="F730" s="18"/>
      <c r="G730" s="18"/>
      <c r="H730" s="15" t="s">
        <v>2279</v>
      </c>
      <c r="I730" s="15" t="s">
        <v>2280</v>
      </c>
      <c r="J730" s="19" t="s">
        <v>36</v>
      </c>
      <c r="K730" s="19" t="s">
        <v>603</v>
      </c>
      <c r="L730" s="19" t="s">
        <v>38</v>
      </c>
      <c r="M730" s="20">
        <f t="shared" si="1"/>
        <v>0</v>
      </c>
      <c r="N730" s="22"/>
      <c r="O730" s="19" t="s">
        <v>1145</v>
      </c>
      <c r="P730" s="18"/>
      <c r="Q730" s="18"/>
      <c r="R730" s="23">
        <v>0.0</v>
      </c>
      <c r="S730" s="23">
        <v>0.0</v>
      </c>
      <c r="T730" s="23">
        <f t="shared" si="2"/>
        <v>0</v>
      </c>
      <c r="U730" s="23">
        <f t="shared" si="3"/>
        <v>0</v>
      </c>
      <c r="V730" s="23">
        <f t="shared" si="4"/>
        <v>0</v>
      </c>
      <c r="W730" s="24" t="str">
        <f t="shared" si="5"/>
        <v>#DIV/0!</v>
      </c>
    </row>
    <row r="731" hidden="1">
      <c r="A731" s="15" t="s">
        <v>2281</v>
      </c>
      <c r="B731" s="18"/>
      <c r="C731" s="15" t="s">
        <v>7203</v>
      </c>
      <c r="D731" s="18"/>
      <c r="E731" s="17" t="s">
        <v>2282</v>
      </c>
      <c r="F731" s="18"/>
      <c r="G731" s="18"/>
      <c r="H731" s="15" t="s">
        <v>2283</v>
      </c>
      <c r="I731" s="15" t="s">
        <v>2284</v>
      </c>
      <c r="J731" s="19" t="s">
        <v>36</v>
      </c>
      <c r="K731" s="19" t="s">
        <v>603</v>
      </c>
      <c r="L731" s="19" t="s">
        <v>38</v>
      </c>
      <c r="M731" s="20">
        <f t="shared" si="1"/>
        <v>0</v>
      </c>
      <c r="N731" s="22"/>
      <c r="O731" s="19" t="s">
        <v>1145</v>
      </c>
      <c r="P731" s="18"/>
      <c r="Q731" s="18"/>
      <c r="R731" s="23">
        <v>0.0</v>
      </c>
      <c r="S731" s="23">
        <v>0.0</v>
      </c>
      <c r="T731" s="23">
        <f t="shared" si="2"/>
        <v>0</v>
      </c>
      <c r="U731" s="23">
        <f t="shared" si="3"/>
        <v>0</v>
      </c>
      <c r="V731" s="23">
        <f t="shared" si="4"/>
        <v>0</v>
      </c>
      <c r="W731" s="24" t="str">
        <f t="shared" si="5"/>
        <v>#DIV/0!</v>
      </c>
    </row>
    <row r="732" hidden="1">
      <c r="A732" s="15" t="s">
        <v>2285</v>
      </c>
      <c r="B732" s="18"/>
      <c r="C732" s="15" t="s">
        <v>7204</v>
      </c>
      <c r="D732" s="18"/>
      <c r="E732" s="17" t="s">
        <v>2286</v>
      </c>
      <c r="F732" s="18"/>
      <c r="G732" s="18"/>
      <c r="H732" s="15" t="s">
        <v>2287</v>
      </c>
      <c r="I732" s="15" t="s">
        <v>2288</v>
      </c>
      <c r="J732" s="19" t="s">
        <v>36</v>
      </c>
      <c r="K732" s="19" t="s">
        <v>603</v>
      </c>
      <c r="L732" s="19" t="s">
        <v>38</v>
      </c>
      <c r="M732" s="20">
        <f t="shared" si="1"/>
        <v>0</v>
      </c>
      <c r="N732" s="22"/>
      <c r="O732" s="19" t="s">
        <v>1145</v>
      </c>
      <c r="P732" s="18"/>
      <c r="Q732" s="18"/>
      <c r="R732" s="23">
        <v>0.0</v>
      </c>
      <c r="S732" s="23">
        <v>0.0</v>
      </c>
      <c r="T732" s="23">
        <f t="shared" si="2"/>
        <v>0</v>
      </c>
      <c r="U732" s="23">
        <f t="shared" si="3"/>
        <v>0</v>
      </c>
      <c r="V732" s="23">
        <f t="shared" si="4"/>
        <v>0</v>
      </c>
      <c r="W732" s="24" t="str">
        <f t="shared" si="5"/>
        <v>#DIV/0!</v>
      </c>
    </row>
    <row r="733" hidden="1">
      <c r="A733" s="15" t="s">
        <v>7205</v>
      </c>
      <c r="B733" s="18"/>
      <c r="C733" s="15" t="s">
        <v>7206</v>
      </c>
      <c r="D733" s="15" t="s">
        <v>7207</v>
      </c>
      <c r="E733" s="17" t="s">
        <v>7208</v>
      </c>
      <c r="F733" s="18"/>
      <c r="G733" s="18"/>
      <c r="H733" s="15" t="s">
        <v>7209</v>
      </c>
      <c r="I733" s="15" t="s">
        <v>7210</v>
      </c>
      <c r="J733" s="19" t="s">
        <v>36</v>
      </c>
      <c r="K733" s="19" t="s">
        <v>1230</v>
      </c>
      <c r="L733" s="19" t="s">
        <v>38</v>
      </c>
      <c r="M733" s="20">
        <f t="shared" si="1"/>
        <v>0</v>
      </c>
      <c r="N733" s="22"/>
      <c r="O733" s="19" t="s">
        <v>39</v>
      </c>
      <c r="P733" s="18"/>
      <c r="Q733" s="18"/>
      <c r="R733" s="23">
        <v>0.0</v>
      </c>
      <c r="S733" s="23">
        <v>0.0</v>
      </c>
      <c r="T733" s="23">
        <f t="shared" si="2"/>
        <v>0</v>
      </c>
      <c r="U733" s="23">
        <f t="shared" si="3"/>
        <v>0</v>
      </c>
      <c r="V733" s="23">
        <f t="shared" si="4"/>
        <v>0</v>
      </c>
      <c r="W733" s="24" t="str">
        <f t="shared" si="5"/>
        <v>#DIV/0!</v>
      </c>
    </row>
    <row r="734">
      <c r="A734" s="15" t="s">
        <v>611</v>
      </c>
      <c r="B734" s="15" t="s">
        <v>612</v>
      </c>
      <c r="C734" s="15" t="s">
        <v>6005</v>
      </c>
      <c r="D734" s="15" t="s">
        <v>613</v>
      </c>
      <c r="E734" s="17" t="s">
        <v>614</v>
      </c>
      <c r="F734" s="18"/>
      <c r="G734" s="18"/>
      <c r="H734" s="15" t="s">
        <v>615</v>
      </c>
      <c r="I734" s="15"/>
      <c r="J734" s="19" t="s">
        <v>36</v>
      </c>
      <c r="K734" s="19" t="s">
        <v>1230</v>
      </c>
      <c r="L734" s="19" t="s">
        <v>38</v>
      </c>
      <c r="M734" s="20">
        <f t="shared" si="1"/>
        <v>4937.28</v>
      </c>
      <c r="N734" s="31">
        <v>3.0</v>
      </c>
      <c r="O734" s="19" t="s">
        <v>107</v>
      </c>
      <c r="P734" s="18"/>
      <c r="Q734" s="18"/>
      <c r="R734" s="23">
        <v>22.0</v>
      </c>
      <c r="S734" s="23">
        <v>278.0</v>
      </c>
      <c r="T734" s="23">
        <f t="shared" si="2"/>
        <v>266.88</v>
      </c>
      <c r="U734" s="23">
        <f t="shared" si="3"/>
        <v>26.95</v>
      </c>
      <c r="V734" s="23">
        <f t="shared" si="4"/>
        <v>505.3125</v>
      </c>
      <c r="W734" s="24">
        <f t="shared" si="5"/>
        <v>12.13090909</v>
      </c>
    </row>
    <row r="735" hidden="1">
      <c r="A735" s="15" t="s">
        <v>7211</v>
      </c>
      <c r="B735" s="15" t="s">
        <v>658</v>
      </c>
      <c r="C735" s="15" t="s">
        <v>7212</v>
      </c>
      <c r="D735" s="18"/>
      <c r="E735" s="17" t="s">
        <v>7213</v>
      </c>
      <c r="F735" s="18"/>
      <c r="G735" s="18"/>
      <c r="H735" s="15" t="s">
        <v>7214</v>
      </c>
      <c r="I735" s="15" t="s">
        <v>7215</v>
      </c>
      <c r="J735" s="19" t="s">
        <v>36</v>
      </c>
      <c r="K735" s="19" t="s">
        <v>1230</v>
      </c>
      <c r="L735" s="19" t="s">
        <v>38</v>
      </c>
      <c r="M735" s="20">
        <f t="shared" si="1"/>
        <v>0</v>
      </c>
      <c r="N735" s="22"/>
      <c r="O735" s="19" t="s">
        <v>39</v>
      </c>
      <c r="P735" s="18"/>
      <c r="Q735" s="18"/>
      <c r="R735" s="23">
        <v>0.0</v>
      </c>
      <c r="S735" s="23">
        <v>0.0</v>
      </c>
      <c r="T735" s="23">
        <f t="shared" si="2"/>
        <v>0</v>
      </c>
      <c r="U735" s="23">
        <f t="shared" si="3"/>
        <v>0</v>
      </c>
      <c r="V735" s="23">
        <f t="shared" si="4"/>
        <v>0</v>
      </c>
      <c r="W735" s="24" t="str">
        <f t="shared" si="5"/>
        <v>#DIV/0!</v>
      </c>
    </row>
    <row r="736">
      <c r="A736" s="15" t="s">
        <v>657</v>
      </c>
      <c r="B736" s="15" t="s">
        <v>658</v>
      </c>
      <c r="C736" s="15" t="s">
        <v>6006</v>
      </c>
      <c r="D736" s="15" t="s">
        <v>659</v>
      </c>
      <c r="E736" s="17" t="s">
        <v>660</v>
      </c>
      <c r="F736" s="18"/>
      <c r="G736" s="18"/>
      <c r="H736" s="15" t="s">
        <v>661</v>
      </c>
      <c r="I736" s="15"/>
      <c r="J736" s="19" t="s">
        <v>36</v>
      </c>
      <c r="K736" s="19" t="s">
        <v>1230</v>
      </c>
      <c r="L736" s="19" t="s">
        <v>38</v>
      </c>
      <c r="M736" s="20">
        <f t="shared" si="1"/>
        <v>5807.52</v>
      </c>
      <c r="N736" s="31">
        <v>3.0</v>
      </c>
      <c r="O736" s="19" t="s">
        <v>107</v>
      </c>
      <c r="P736" s="18"/>
      <c r="Q736" s="18"/>
      <c r="R736" s="23">
        <v>25.0</v>
      </c>
      <c r="S736" s="23">
        <v>327.0</v>
      </c>
      <c r="T736" s="23">
        <f t="shared" si="2"/>
        <v>313.92</v>
      </c>
      <c r="U736" s="23">
        <f t="shared" si="3"/>
        <v>30.625</v>
      </c>
      <c r="V736" s="23">
        <f t="shared" si="4"/>
        <v>574.21875</v>
      </c>
      <c r="W736" s="24">
        <f t="shared" si="5"/>
        <v>12.5568</v>
      </c>
    </row>
    <row r="737" hidden="1">
      <c r="A737" s="15" t="s">
        <v>7216</v>
      </c>
      <c r="B737" s="18"/>
      <c r="C737" s="15" t="s">
        <v>7217</v>
      </c>
      <c r="D737" s="18"/>
      <c r="E737" s="17" t="s">
        <v>7218</v>
      </c>
      <c r="F737" s="18"/>
      <c r="G737" s="18"/>
      <c r="H737" s="15" t="s">
        <v>7219</v>
      </c>
      <c r="I737" s="15" t="s">
        <v>7220</v>
      </c>
      <c r="J737" s="19" t="s">
        <v>36</v>
      </c>
      <c r="K737" s="19" t="s">
        <v>1230</v>
      </c>
      <c r="L737" s="19" t="s">
        <v>38</v>
      </c>
      <c r="M737" s="20">
        <f t="shared" si="1"/>
        <v>0</v>
      </c>
      <c r="N737" s="22"/>
      <c r="O737" s="19" t="s">
        <v>39</v>
      </c>
      <c r="P737" s="18"/>
      <c r="Q737" s="18"/>
      <c r="R737" s="23">
        <v>0.0</v>
      </c>
      <c r="S737" s="23">
        <v>0.0</v>
      </c>
      <c r="T737" s="23">
        <f t="shared" si="2"/>
        <v>0</v>
      </c>
      <c r="U737" s="23">
        <f t="shared" si="3"/>
        <v>0</v>
      </c>
      <c r="V737" s="23">
        <f t="shared" si="4"/>
        <v>0</v>
      </c>
      <c r="W737" s="24" t="str">
        <f t="shared" si="5"/>
        <v>#DIV/0!</v>
      </c>
    </row>
    <row r="738" hidden="1">
      <c r="A738" s="15" t="s">
        <v>4816</v>
      </c>
      <c r="B738" s="18"/>
      <c r="C738" s="15" t="s">
        <v>7221</v>
      </c>
      <c r="D738" s="15" t="s">
        <v>4817</v>
      </c>
      <c r="E738" s="17" t="s">
        <v>4818</v>
      </c>
      <c r="F738" s="18"/>
      <c r="G738" s="18"/>
      <c r="H738" s="15" t="s">
        <v>4819</v>
      </c>
      <c r="I738" s="15" t="s">
        <v>4820</v>
      </c>
      <c r="J738" s="19" t="s">
        <v>36</v>
      </c>
      <c r="K738" s="19" t="s">
        <v>1230</v>
      </c>
      <c r="L738" s="19" t="s">
        <v>38</v>
      </c>
      <c r="M738" s="20">
        <f t="shared" si="1"/>
        <v>0</v>
      </c>
      <c r="N738" s="22"/>
      <c r="O738" s="19" t="s">
        <v>3578</v>
      </c>
      <c r="P738" s="18"/>
      <c r="Q738" s="18"/>
      <c r="R738" s="23">
        <v>0.0</v>
      </c>
      <c r="S738" s="23">
        <v>0.0</v>
      </c>
      <c r="T738" s="23">
        <f t="shared" si="2"/>
        <v>0</v>
      </c>
      <c r="U738" s="23">
        <f t="shared" si="3"/>
        <v>0</v>
      </c>
      <c r="V738" s="23">
        <f t="shared" si="4"/>
        <v>0</v>
      </c>
      <c r="W738" s="24" t="str">
        <f t="shared" si="5"/>
        <v>#DIV/0!</v>
      </c>
    </row>
    <row r="739" hidden="1">
      <c r="A739" s="15" t="s">
        <v>2289</v>
      </c>
      <c r="B739" s="18"/>
      <c r="C739" s="15" t="s">
        <v>7222</v>
      </c>
      <c r="D739" s="18"/>
      <c r="E739" s="17" t="s">
        <v>2290</v>
      </c>
      <c r="F739" s="18"/>
      <c r="G739" s="18"/>
      <c r="H739" s="15" t="s">
        <v>2291</v>
      </c>
      <c r="I739" s="15" t="s">
        <v>2292</v>
      </c>
      <c r="J739" s="19" t="s">
        <v>36</v>
      </c>
      <c r="K739" s="19" t="s">
        <v>105</v>
      </c>
      <c r="L739" s="19" t="s">
        <v>38</v>
      </c>
      <c r="M739" s="20">
        <f t="shared" si="1"/>
        <v>0</v>
      </c>
      <c r="N739" s="22"/>
      <c r="O739" s="19" t="s">
        <v>1145</v>
      </c>
      <c r="P739" s="18"/>
      <c r="Q739" s="18"/>
      <c r="R739" s="23">
        <v>0.0</v>
      </c>
      <c r="S739" s="23">
        <v>0.0</v>
      </c>
      <c r="T739" s="23">
        <f t="shared" si="2"/>
        <v>0</v>
      </c>
      <c r="U739" s="23">
        <f t="shared" si="3"/>
        <v>0</v>
      </c>
      <c r="V739" s="23">
        <f t="shared" si="4"/>
        <v>0</v>
      </c>
      <c r="W739" s="24" t="str">
        <f t="shared" si="5"/>
        <v>#DIV/0!</v>
      </c>
    </row>
    <row r="740" hidden="1">
      <c r="A740" s="15" t="s">
        <v>2293</v>
      </c>
      <c r="B740" s="18"/>
      <c r="C740" s="15" t="s">
        <v>7223</v>
      </c>
      <c r="D740" s="18"/>
      <c r="E740" s="17" t="s">
        <v>2294</v>
      </c>
      <c r="F740" s="18"/>
      <c r="G740" s="18"/>
      <c r="H740" s="15" t="s">
        <v>2295</v>
      </c>
      <c r="I740" s="15" t="s">
        <v>2296</v>
      </c>
      <c r="J740" s="19" t="s">
        <v>36</v>
      </c>
      <c r="K740" s="19" t="s">
        <v>1269</v>
      </c>
      <c r="L740" s="19" t="s">
        <v>38</v>
      </c>
      <c r="M740" s="20">
        <f t="shared" si="1"/>
        <v>0</v>
      </c>
      <c r="N740" s="22"/>
      <c r="O740" s="19" t="s">
        <v>1145</v>
      </c>
      <c r="P740" s="18"/>
      <c r="Q740" s="18"/>
      <c r="R740" s="23">
        <v>0.0</v>
      </c>
      <c r="S740" s="23">
        <v>0.0</v>
      </c>
      <c r="T740" s="23">
        <f t="shared" si="2"/>
        <v>0</v>
      </c>
      <c r="U740" s="23">
        <f t="shared" si="3"/>
        <v>0</v>
      </c>
      <c r="V740" s="23">
        <f t="shared" si="4"/>
        <v>0</v>
      </c>
      <c r="W740" s="24" t="str">
        <f t="shared" si="5"/>
        <v>#DIV/0!</v>
      </c>
    </row>
    <row r="741" hidden="1">
      <c r="A741" s="15" t="s">
        <v>7224</v>
      </c>
      <c r="B741" s="18"/>
      <c r="C741" s="15" t="s">
        <v>7225</v>
      </c>
      <c r="D741" s="18"/>
      <c r="E741" s="17" t="s">
        <v>7226</v>
      </c>
      <c r="F741" s="18"/>
      <c r="G741" s="18"/>
      <c r="H741" s="15" t="s">
        <v>7227</v>
      </c>
      <c r="I741" s="15" t="s">
        <v>609</v>
      </c>
      <c r="J741" s="19" t="s">
        <v>36</v>
      </c>
      <c r="K741" s="19" t="s">
        <v>1269</v>
      </c>
      <c r="L741" s="19" t="s">
        <v>38</v>
      </c>
      <c r="M741" s="20">
        <f t="shared" si="1"/>
        <v>0</v>
      </c>
      <c r="N741" s="22"/>
      <c r="O741" s="19" t="s">
        <v>39</v>
      </c>
      <c r="P741" s="18"/>
      <c r="Q741" s="18"/>
      <c r="R741" s="23">
        <v>0.0</v>
      </c>
      <c r="S741" s="23">
        <v>0.0</v>
      </c>
      <c r="T741" s="23">
        <f t="shared" si="2"/>
        <v>0</v>
      </c>
      <c r="U741" s="23">
        <f t="shared" si="3"/>
        <v>0</v>
      </c>
      <c r="V741" s="23">
        <f t="shared" si="4"/>
        <v>0</v>
      </c>
      <c r="W741" s="24" t="str">
        <f t="shared" si="5"/>
        <v>#DIV/0!</v>
      </c>
    </row>
    <row r="742" hidden="1">
      <c r="A742" s="15" t="s">
        <v>2297</v>
      </c>
      <c r="B742" s="18"/>
      <c r="C742" s="15" t="s">
        <v>7228</v>
      </c>
      <c r="D742" s="18"/>
      <c r="E742" s="17" t="s">
        <v>2298</v>
      </c>
      <c r="F742" s="18"/>
      <c r="G742" s="18"/>
      <c r="H742" s="15" t="s">
        <v>2299</v>
      </c>
      <c r="I742" s="15" t="s">
        <v>2300</v>
      </c>
      <c r="J742" s="19" t="s">
        <v>36</v>
      </c>
      <c r="K742" s="19" t="s">
        <v>1269</v>
      </c>
      <c r="L742" s="19" t="s">
        <v>38</v>
      </c>
      <c r="M742" s="20">
        <f t="shared" si="1"/>
        <v>0</v>
      </c>
      <c r="N742" s="22"/>
      <c r="O742" s="19" t="s">
        <v>1145</v>
      </c>
      <c r="P742" s="18"/>
      <c r="Q742" s="18"/>
      <c r="R742" s="23">
        <v>0.0</v>
      </c>
      <c r="S742" s="23">
        <v>0.0</v>
      </c>
      <c r="T742" s="23">
        <f t="shared" si="2"/>
        <v>0</v>
      </c>
      <c r="U742" s="23">
        <f t="shared" si="3"/>
        <v>0</v>
      </c>
      <c r="V742" s="23">
        <f t="shared" si="4"/>
        <v>0</v>
      </c>
      <c r="W742" s="24" t="str">
        <f t="shared" si="5"/>
        <v>#DIV/0!</v>
      </c>
    </row>
    <row r="743" hidden="1">
      <c r="A743" s="15" t="s">
        <v>2301</v>
      </c>
      <c r="B743" s="18"/>
      <c r="C743" s="15" t="s">
        <v>7229</v>
      </c>
      <c r="D743" s="18"/>
      <c r="E743" s="17" t="s">
        <v>2302</v>
      </c>
      <c r="F743" s="18"/>
      <c r="G743" s="18"/>
      <c r="H743" s="15" t="s">
        <v>2303</v>
      </c>
      <c r="I743" s="15" t="s">
        <v>2304</v>
      </c>
      <c r="J743" s="19" t="s">
        <v>36</v>
      </c>
      <c r="K743" s="19" t="s">
        <v>1230</v>
      </c>
      <c r="L743" s="19" t="s">
        <v>38</v>
      </c>
      <c r="M743" s="20">
        <f t="shared" si="1"/>
        <v>0</v>
      </c>
      <c r="N743" s="22"/>
      <c r="O743" s="19" t="s">
        <v>1145</v>
      </c>
      <c r="P743" s="18"/>
      <c r="Q743" s="18"/>
      <c r="R743" s="23">
        <v>0.0</v>
      </c>
      <c r="S743" s="23">
        <v>0.0</v>
      </c>
      <c r="T743" s="23">
        <f t="shared" si="2"/>
        <v>0</v>
      </c>
      <c r="U743" s="23">
        <f t="shared" si="3"/>
        <v>0</v>
      </c>
      <c r="V743" s="23">
        <f t="shared" si="4"/>
        <v>0</v>
      </c>
      <c r="W743" s="24" t="str">
        <f t="shared" si="5"/>
        <v>#DIV/0!</v>
      </c>
    </row>
    <row r="744" hidden="1">
      <c r="A744" s="15" t="s">
        <v>7230</v>
      </c>
      <c r="B744" s="18"/>
      <c r="C744" s="15" t="s">
        <v>7231</v>
      </c>
      <c r="D744" s="18"/>
      <c r="E744" s="17" t="s">
        <v>2310</v>
      </c>
      <c r="F744" s="18"/>
      <c r="G744" s="18"/>
      <c r="H744" s="15" t="s">
        <v>7232</v>
      </c>
      <c r="I744" s="15" t="s">
        <v>6469</v>
      </c>
      <c r="J744" s="19" t="s">
        <v>36</v>
      </c>
      <c r="K744" s="19" t="s">
        <v>1230</v>
      </c>
      <c r="L744" s="19" t="s">
        <v>38</v>
      </c>
      <c r="M744" s="20">
        <f t="shared" si="1"/>
        <v>0</v>
      </c>
      <c r="N744" s="22"/>
      <c r="O744" s="19" t="s">
        <v>39</v>
      </c>
      <c r="P744" s="18"/>
      <c r="Q744" s="18"/>
      <c r="R744" s="23">
        <v>0.0</v>
      </c>
      <c r="S744" s="23">
        <v>0.0</v>
      </c>
      <c r="T744" s="23">
        <f t="shared" si="2"/>
        <v>0</v>
      </c>
      <c r="U744" s="23">
        <f t="shared" si="3"/>
        <v>0</v>
      </c>
      <c r="V744" s="23">
        <f t="shared" si="4"/>
        <v>0</v>
      </c>
      <c r="W744" s="24" t="str">
        <f t="shared" si="5"/>
        <v>#DIV/0!</v>
      </c>
    </row>
    <row r="745" hidden="1">
      <c r="A745" s="15" t="s">
        <v>7233</v>
      </c>
      <c r="B745" s="15" t="s">
        <v>7234</v>
      </c>
      <c r="C745" s="15" t="s">
        <v>7235</v>
      </c>
      <c r="D745" s="18"/>
      <c r="E745" s="17" t="s">
        <v>7236</v>
      </c>
      <c r="F745" s="18"/>
      <c r="G745" s="18"/>
      <c r="H745" s="15" t="s">
        <v>7237</v>
      </c>
      <c r="I745" s="15" t="s">
        <v>426</v>
      </c>
      <c r="J745" s="19" t="s">
        <v>36</v>
      </c>
      <c r="K745" s="19" t="s">
        <v>1230</v>
      </c>
      <c r="L745" s="19" t="s">
        <v>38</v>
      </c>
      <c r="M745" s="20">
        <f t="shared" si="1"/>
        <v>0</v>
      </c>
      <c r="N745" s="22"/>
      <c r="O745" s="19" t="s">
        <v>39</v>
      </c>
      <c r="P745" s="18"/>
      <c r="Q745" s="18"/>
      <c r="R745" s="23">
        <v>0.0</v>
      </c>
      <c r="S745" s="23">
        <v>0.0</v>
      </c>
      <c r="T745" s="23">
        <f t="shared" si="2"/>
        <v>0</v>
      </c>
      <c r="U745" s="23">
        <f t="shared" si="3"/>
        <v>0</v>
      </c>
      <c r="V745" s="23">
        <f t="shared" si="4"/>
        <v>0</v>
      </c>
      <c r="W745" s="24" t="str">
        <f t="shared" si="5"/>
        <v>#DIV/0!</v>
      </c>
    </row>
    <row r="746" hidden="1">
      <c r="A746" s="15" t="s">
        <v>2305</v>
      </c>
      <c r="B746" s="18"/>
      <c r="C746" s="15" t="s">
        <v>7238</v>
      </c>
      <c r="D746" s="18"/>
      <c r="E746" s="17" t="s">
        <v>2306</v>
      </c>
      <c r="F746" s="18"/>
      <c r="G746" s="18"/>
      <c r="H746" s="15" t="s">
        <v>2307</v>
      </c>
      <c r="I746" s="15" t="s">
        <v>2308</v>
      </c>
      <c r="J746" s="19" t="s">
        <v>36</v>
      </c>
      <c r="K746" s="19" t="s">
        <v>1230</v>
      </c>
      <c r="L746" s="19" t="s">
        <v>38</v>
      </c>
      <c r="M746" s="20">
        <f t="shared" si="1"/>
        <v>0</v>
      </c>
      <c r="N746" s="22"/>
      <c r="O746" s="19" t="s">
        <v>1145</v>
      </c>
      <c r="P746" s="18"/>
      <c r="Q746" s="18"/>
      <c r="R746" s="23">
        <v>0.0</v>
      </c>
      <c r="S746" s="23">
        <v>0.0</v>
      </c>
      <c r="T746" s="23">
        <f t="shared" si="2"/>
        <v>0</v>
      </c>
      <c r="U746" s="23">
        <f t="shared" si="3"/>
        <v>0</v>
      </c>
      <c r="V746" s="23">
        <f t="shared" si="4"/>
        <v>0</v>
      </c>
      <c r="W746" s="24" t="str">
        <f t="shared" si="5"/>
        <v>#DIV/0!</v>
      </c>
    </row>
    <row r="747" hidden="1">
      <c r="A747" s="15" t="s">
        <v>2309</v>
      </c>
      <c r="B747" s="18"/>
      <c r="C747" s="15" t="s">
        <v>7239</v>
      </c>
      <c r="D747" s="18"/>
      <c r="E747" s="17" t="s">
        <v>2310</v>
      </c>
      <c r="F747" s="18"/>
      <c r="G747" s="18"/>
      <c r="H747" s="15" t="s">
        <v>2311</v>
      </c>
      <c r="I747" s="15" t="s">
        <v>2312</v>
      </c>
      <c r="J747" s="19" t="s">
        <v>36</v>
      </c>
      <c r="K747" s="19" t="s">
        <v>1230</v>
      </c>
      <c r="L747" s="19" t="s">
        <v>38</v>
      </c>
      <c r="M747" s="20">
        <f t="shared" si="1"/>
        <v>0</v>
      </c>
      <c r="N747" s="22"/>
      <c r="O747" s="19" t="s">
        <v>1145</v>
      </c>
      <c r="P747" s="18"/>
      <c r="Q747" s="18"/>
      <c r="R747" s="23">
        <v>0.0</v>
      </c>
      <c r="S747" s="23">
        <v>0.0</v>
      </c>
      <c r="T747" s="23">
        <f t="shared" si="2"/>
        <v>0</v>
      </c>
      <c r="U747" s="23">
        <f t="shared" si="3"/>
        <v>0</v>
      </c>
      <c r="V747" s="23">
        <f t="shared" si="4"/>
        <v>0</v>
      </c>
      <c r="W747" s="24" t="str">
        <f t="shared" si="5"/>
        <v>#DIV/0!</v>
      </c>
    </row>
    <row r="748" hidden="1">
      <c r="A748" s="15" t="s">
        <v>2313</v>
      </c>
      <c r="B748" s="18"/>
      <c r="C748" s="15" t="s">
        <v>7240</v>
      </c>
      <c r="D748" s="18"/>
      <c r="E748" s="17" t="s">
        <v>2310</v>
      </c>
      <c r="F748" s="18"/>
      <c r="G748" s="18"/>
      <c r="H748" s="15" t="s">
        <v>2314</v>
      </c>
      <c r="I748" s="15" t="s">
        <v>2315</v>
      </c>
      <c r="J748" s="19" t="s">
        <v>36</v>
      </c>
      <c r="K748" s="19" t="s">
        <v>1230</v>
      </c>
      <c r="L748" s="19" t="s">
        <v>38</v>
      </c>
      <c r="M748" s="20">
        <f t="shared" si="1"/>
        <v>0</v>
      </c>
      <c r="N748" s="22"/>
      <c r="O748" s="19" t="s">
        <v>1145</v>
      </c>
      <c r="P748" s="18"/>
      <c r="Q748" s="18"/>
      <c r="R748" s="23">
        <v>0.0</v>
      </c>
      <c r="S748" s="23">
        <v>0.0</v>
      </c>
      <c r="T748" s="23">
        <f t="shared" si="2"/>
        <v>0</v>
      </c>
      <c r="U748" s="23">
        <f t="shared" si="3"/>
        <v>0</v>
      </c>
      <c r="V748" s="23">
        <f t="shared" si="4"/>
        <v>0</v>
      </c>
      <c r="W748" s="24" t="str">
        <f t="shared" si="5"/>
        <v>#DIV/0!</v>
      </c>
    </row>
    <row r="749" hidden="1">
      <c r="A749" s="15" t="s">
        <v>7241</v>
      </c>
      <c r="B749" s="18"/>
      <c r="C749" s="15" t="s">
        <v>7242</v>
      </c>
      <c r="D749" s="18"/>
      <c r="E749" s="17" t="s">
        <v>7243</v>
      </c>
      <c r="F749" s="18"/>
      <c r="G749" s="18"/>
      <c r="H749" s="15" t="s">
        <v>7244</v>
      </c>
      <c r="I749" s="15" t="s">
        <v>7245</v>
      </c>
      <c r="J749" s="19" t="s">
        <v>36</v>
      </c>
      <c r="K749" s="19" t="s">
        <v>1230</v>
      </c>
      <c r="L749" s="19" t="s">
        <v>38</v>
      </c>
      <c r="M749" s="20">
        <f t="shared" si="1"/>
        <v>0</v>
      </c>
      <c r="N749" s="22"/>
      <c r="O749" s="19" t="s">
        <v>39</v>
      </c>
      <c r="P749" s="18"/>
      <c r="Q749" s="18"/>
      <c r="R749" s="23">
        <v>0.0</v>
      </c>
      <c r="S749" s="23">
        <v>0.0</v>
      </c>
      <c r="T749" s="23">
        <f t="shared" si="2"/>
        <v>0</v>
      </c>
      <c r="U749" s="23">
        <f t="shared" si="3"/>
        <v>0</v>
      </c>
      <c r="V749" s="23">
        <f t="shared" si="4"/>
        <v>0</v>
      </c>
      <c r="W749" s="24" t="str">
        <f t="shared" si="5"/>
        <v>#DIV/0!</v>
      </c>
    </row>
    <row r="750" hidden="1">
      <c r="A750" s="15" t="s">
        <v>2316</v>
      </c>
      <c r="B750" s="18"/>
      <c r="C750" s="15" t="s">
        <v>7246</v>
      </c>
      <c r="D750" s="18"/>
      <c r="E750" s="17" t="s">
        <v>2317</v>
      </c>
      <c r="F750" s="18"/>
      <c r="G750" s="18"/>
      <c r="H750" s="15" t="s">
        <v>2318</v>
      </c>
      <c r="I750" s="15" t="s">
        <v>2319</v>
      </c>
      <c r="J750" s="19" t="s">
        <v>36</v>
      </c>
      <c r="K750" s="19" t="s">
        <v>402</v>
      </c>
      <c r="L750" s="19" t="s">
        <v>38</v>
      </c>
      <c r="M750" s="20">
        <f t="shared" si="1"/>
        <v>0</v>
      </c>
      <c r="N750" s="22"/>
      <c r="O750" s="19" t="s">
        <v>1145</v>
      </c>
      <c r="P750" s="18"/>
      <c r="Q750" s="18"/>
      <c r="R750" s="23">
        <v>0.0</v>
      </c>
      <c r="S750" s="23">
        <v>0.0</v>
      </c>
      <c r="T750" s="23">
        <f t="shared" si="2"/>
        <v>0</v>
      </c>
      <c r="U750" s="23">
        <f t="shared" si="3"/>
        <v>0</v>
      </c>
      <c r="V750" s="23">
        <f t="shared" si="4"/>
        <v>0</v>
      </c>
      <c r="W750" s="24" t="str">
        <f t="shared" si="5"/>
        <v>#DIV/0!</v>
      </c>
    </row>
    <row r="751" hidden="1">
      <c r="A751" s="15" t="s">
        <v>2320</v>
      </c>
      <c r="B751" s="18"/>
      <c r="C751" s="15" t="s">
        <v>7247</v>
      </c>
      <c r="D751" s="18"/>
      <c r="E751" s="17" t="s">
        <v>2321</v>
      </c>
      <c r="F751" s="18"/>
      <c r="G751" s="18"/>
      <c r="H751" s="15" t="s">
        <v>2322</v>
      </c>
      <c r="I751" s="15" t="s">
        <v>2323</v>
      </c>
      <c r="J751" s="19" t="s">
        <v>36</v>
      </c>
      <c r="K751" s="19" t="s">
        <v>402</v>
      </c>
      <c r="L751" s="19" t="s">
        <v>38</v>
      </c>
      <c r="M751" s="20">
        <f t="shared" si="1"/>
        <v>0</v>
      </c>
      <c r="N751" s="22"/>
      <c r="O751" s="19" t="s">
        <v>1145</v>
      </c>
      <c r="P751" s="18"/>
      <c r="Q751" s="18"/>
      <c r="R751" s="23">
        <v>0.0</v>
      </c>
      <c r="S751" s="23">
        <v>0.0</v>
      </c>
      <c r="T751" s="23">
        <f t="shared" si="2"/>
        <v>0</v>
      </c>
      <c r="U751" s="23">
        <f t="shared" si="3"/>
        <v>0</v>
      </c>
      <c r="V751" s="23">
        <f t="shared" si="4"/>
        <v>0</v>
      </c>
      <c r="W751" s="24" t="str">
        <f t="shared" si="5"/>
        <v>#DIV/0!</v>
      </c>
    </row>
    <row r="752" hidden="1">
      <c r="A752" s="15" t="s">
        <v>7248</v>
      </c>
      <c r="B752" s="15" t="s">
        <v>447</v>
      </c>
      <c r="C752" s="15" t="s">
        <v>7249</v>
      </c>
      <c r="D752" s="18"/>
      <c r="E752" s="17" t="s">
        <v>7250</v>
      </c>
      <c r="F752" s="18"/>
      <c r="G752" s="18"/>
      <c r="H752" s="15" t="s">
        <v>7251</v>
      </c>
      <c r="I752" s="15" t="s">
        <v>7252</v>
      </c>
      <c r="J752" s="19" t="s">
        <v>36</v>
      </c>
      <c r="K752" s="19" t="s">
        <v>1230</v>
      </c>
      <c r="L752" s="19" t="s">
        <v>38</v>
      </c>
      <c r="M752" s="20">
        <f t="shared" si="1"/>
        <v>0</v>
      </c>
      <c r="N752" s="22"/>
      <c r="O752" s="19" t="s">
        <v>39</v>
      </c>
      <c r="P752" s="18"/>
      <c r="Q752" s="18"/>
      <c r="R752" s="23">
        <v>0.0</v>
      </c>
      <c r="S752" s="23">
        <v>0.0</v>
      </c>
      <c r="T752" s="23">
        <f t="shared" si="2"/>
        <v>0</v>
      </c>
      <c r="U752" s="23">
        <f t="shared" si="3"/>
        <v>0</v>
      </c>
      <c r="V752" s="23">
        <f t="shared" si="4"/>
        <v>0</v>
      </c>
      <c r="W752" s="24" t="str">
        <f t="shared" si="5"/>
        <v>#DIV/0!</v>
      </c>
    </row>
    <row r="753" hidden="1">
      <c r="A753" s="15" t="s">
        <v>4821</v>
      </c>
      <c r="B753" s="18"/>
      <c r="C753" s="15" t="s">
        <v>7253</v>
      </c>
      <c r="D753" s="18"/>
      <c r="E753" s="17" t="s">
        <v>7254</v>
      </c>
      <c r="F753" s="18"/>
      <c r="G753" s="18"/>
      <c r="H753" s="15" t="s">
        <v>7255</v>
      </c>
      <c r="I753" s="15" t="s">
        <v>4825</v>
      </c>
      <c r="J753" s="19" t="s">
        <v>36</v>
      </c>
      <c r="K753" s="19" t="s">
        <v>284</v>
      </c>
      <c r="L753" s="19" t="s">
        <v>38</v>
      </c>
      <c r="M753" s="20">
        <f t="shared" si="1"/>
        <v>0</v>
      </c>
      <c r="N753" s="22"/>
      <c r="O753" s="19" t="s">
        <v>1145</v>
      </c>
      <c r="P753" s="18"/>
      <c r="Q753" s="18"/>
      <c r="R753" s="23">
        <v>0.0</v>
      </c>
      <c r="S753" s="23">
        <v>0.0</v>
      </c>
      <c r="T753" s="23">
        <f t="shared" si="2"/>
        <v>0</v>
      </c>
      <c r="U753" s="23">
        <f t="shared" si="3"/>
        <v>0</v>
      </c>
      <c r="V753" s="23">
        <f t="shared" si="4"/>
        <v>0</v>
      </c>
      <c r="W753" s="24" t="str">
        <f t="shared" si="5"/>
        <v>#DIV/0!</v>
      </c>
    </row>
    <row r="754" hidden="1">
      <c r="A754" s="15" t="s">
        <v>2324</v>
      </c>
      <c r="B754" s="18"/>
      <c r="C754" s="15" t="s">
        <v>7256</v>
      </c>
      <c r="D754" s="18"/>
      <c r="E754" s="17" t="s">
        <v>2325</v>
      </c>
      <c r="F754" s="18"/>
      <c r="G754" s="18"/>
      <c r="H754" s="15" t="s">
        <v>2326</v>
      </c>
      <c r="I754" s="15" t="s">
        <v>2327</v>
      </c>
      <c r="J754" s="19" t="s">
        <v>36</v>
      </c>
      <c r="K754" s="19" t="s">
        <v>105</v>
      </c>
      <c r="L754" s="19" t="s">
        <v>38</v>
      </c>
      <c r="M754" s="20">
        <f t="shared" si="1"/>
        <v>0</v>
      </c>
      <c r="N754" s="22"/>
      <c r="O754" s="19" t="s">
        <v>1145</v>
      </c>
      <c r="P754" s="18"/>
      <c r="Q754" s="18"/>
      <c r="R754" s="23">
        <v>0.0</v>
      </c>
      <c r="S754" s="23">
        <v>0.0</v>
      </c>
      <c r="T754" s="23">
        <f t="shared" si="2"/>
        <v>0</v>
      </c>
      <c r="U754" s="23">
        <f t="shared" si="3"/>
        <v>0</v>
      </c>
      <c r="V754" s="23">
        <f t="shared" si="4"/>
        <v>0</v>
      </c>
      <c r="W754" s="24" t="str">
        <f t="shared" si="5"/>
        <v>#DIV/0!</v>
      </c>
    </row>
    <row r="755" hidden="1">
      <c r="A755" s="15" t="s">
        <v>2328</v>
      </c>
      <c r="B755" s="18"/>
      <c r="C755" s="15" t="s">
        <v>7257</v>
      </c>
      <c r="D755" s="18"/>
      <c r="E755" s="17" t="s">
        <v>2325</v>
      </c>
      <c r="F755" s="18"/>
      <c r="G755" s="18"/>
      <c r="H755" s="15" t="s">
        <v>2329</v>
      </c>
      <c r="I755" s="15" t="s">
        <v>2330</v>
      </c>
      <c r="J755" s="19" t="s">
        <v>36</v>
      </c>
      <c r="K755" s="19" t="s">
        <v>105</v>
      </c>
      <c r="L755" s="19" t="s">
        <v>38</v>
      </c>
      <c r="M755" s="20">
        <f t="shared" si="1"/>
        <v>0</v>
      </c>
      <c r="N755" s="22"/>
      <c r="O755" s="19" t="s">
        <v>1145</v>
      </c>
      <c r="P755" s="18"/>
      <c r="Q755" s="18"/>
      <c r="R755" s="23">
        <v>0.0</v>
      </c>
      <c r="S755" s="23">
        <v>0.0</v>
      </c>
      <c r="T755" s="23">
        <f t="shared" si="2"/>
        <v>0</v>
      </c>
      <c r="U755" s="23">
        <f t="shared" si="3"/>
        <v>0</v>
      </c>
      <c r="V755" s="23">
        <f t="shared" si="4"/>
        <v>0</v>
      </c>
      <c r="W755" s="24" t="str">
        <f t="shared" si="5"/>
        <v>#DIV/0!</v>
      </c>
    </row>
    <row r="756" hidden="1">
      <c r="A756" s="15" t="s">
        <v>4826</v>
      </c>
      <c r="B756" s="18"/>
      <c r="C756" s="15" t="s">
        <v>7258</v>
      </c>
      <c r="D756" s="18"/>
      <c r="E756" s="17" t="s">
        <v>7259</v>
      </c>
      <c r="F756" s="18"/>
      <c r="G756" s="18"/>
      <c r="H756" s="15" t="s">
        <v>7260</v>
      </c>
      <c r="I756" s="15" t="s">
        <v>4829</v>
      </c>
      <c r="J756" s="19" t="s">
        <v>36</v>
      </c>
      <c r="K756" s="19" t="s">
        <v>1230</v>
      </c>
      <c r="L756" s="19" t="s">
        <v>38</v>
      </c>
      <c r="M756" s="20">
        <f t="shared" si="1"/>
        <v>0</v>
      </c>
      <c r="N756" s="22"/>
      <c r="O756" s="19" t="s">
        <v>1145</v>
      </c>
      <c r="P756" s="18"/>
      <c r="Q756" s="18"/>
      <c r="R756" s="23">
        <v>0.0</v>
      </c>
      <c r="S756" s="23">
        <v>0.0</v>
      </c>
      <c r="T756" s="23">
        <f t="shared" si="2"/>
        <v>0</v>
      </c>
      <c r="U756" s="23">
        <f t="shared" si="3"/>
        <v>0</v>
      </c>
      <c r="V756" s="23">
        <f t="shared" si="4"/>
        <v>0</v>
      </c>
      <c r="W756" s="24" t="str">
        <f t="shared" si="5"/>
        <v>#DIV/0!</v>
      </c>
    </row>
    <row r="757" hidden="1">
      <c r="A757" s="15" t="s">
        <v>2331</v>
      </c>
      <c r="B757" s="18"/>
      <c r="C757" s="15" t="s">
        <v>7261</v>
      </c>
      <c r="D757" s="18"/>
      <c r="E757" s="17" t="s">
        <v>2332</v>
      </c>
      <c r="F757" s="18"/>
      <c r="G757" s="18"/>
      <c r="H757" s="15" t="s">
        <v>2333</v>
      </c>
      <c r="I757" s="15" t="s">
        <v>2334</v>
      </c>
      <c r="J757" s="19" t="s">
        <v>36</v>
      </c>
      <c r="K757" s="19" t="s">
        <v>105</v>
      </c>
      <c r="L757" s="19" t="s">
        <v>38</v>
      </c>
      <c r="M757" s="20">
        <f t="shared" si="1"/>
        <v>0</v>
      </c>
      <c r="N757" s="22"/>
      <c r="O757" s="19" t="s">
        <v>1145</v>
      </c>
      <c r="P757" s="18"/>
      <c r="Q757" s="18"/>
      <c r="R757" s="23">
        <v>0.0</v>
      </c>
      <c r="S757" s="23">
        <v>0.0</v>
      </c>
      <c r="T757" s="23">
        <f t="shared" si="2"/>
        <v>0</v>
      </c>
      <c r="U757" s="23">
        <f t="shared" si="3"/>
        <v>0</v>
      </c>
      <c r="V757" s="23">
        <f t="shared" si="4"/>
        <v>0</v>
      </c>
      <c r="W757" s="24" t="str">
        <f t="shared" si="5"/>
        <v>#DIV/0!</v>
      </c>
    </row>
    <row r="758" hidden="1">
      <c r="A758" s="15" t="s">
        <v>2335</v>
      </c>
      <c r="B758" s="18"/>
      <c r="C758" s="15" t="s">
        <v>7262</v>
      </c>
      <c r="D758" s="18"/>
      <c r="E758" s="17" t="s">
        <v>2336</v>
      </c>
      <c r="F758" s="18"/>
      <c r="G758" s="18"/>
      <c r="H758" s="15" t="s">
        <v>2337</v>
      </c>
      <c r="I758" s="15" t="s">
        <v>2338</v>
      </c>
      <c r="J758" s="19" t="s">
        <v>36</v>
      </c>
      <c r="K758" s="19" t="s">
        <v>284</v>
      </c>
      <c r="L758" s="19" t="s">
        <v>38</v>
      </c>
      <c r="M758" s="20">
        <f t="shared" si="1"/>
        <v>0</v>
      </c>
      <c r="N758" s="22"/>
      <c r="O758" s="19" t="s">
        <v>1145</v>
      </c>
      <c r="P758" s="18"/>
      <c r="Q758" s="18"/>
      <c r="R758" s="23">
        <v>0.0</v>
      </c>
      <c r="S758" s="23">
        <v>0.0</v>
      </c>
      <c r="T758" s="23">
        <f t="shared" si="2"/>
        <v>0</v>
      </c>
      <c r="U758" s="23">
        <f t="shared" si="3"/>
        <v>0</v>
      </c>
      <c r="V758" s="23">
        <f t="shared" si="4"/>
        <v>0</v>
      </c>
      <c r="W758" s="24" t="str">
        <f t="shared" si="5"/>
        <v>#DIV/0!</v>
      </c>
    </row>
    <row r="759" hidden="1">
      <c r="A759" s="15" t="s">
        <v>2339</v>
      </c>
      <c r="B759" s="18"/>
      <c r="C759" s="15" t="s">
        <v>7263</v>
      </c>
      <c r="D759" s="18"/>
      <c r="E759" s="17" t="s">
        <v>2340</v>
      </c>
      <c r="F759" s="18"/>
      <c r="G759" s="18"/>
      <c r="H759" s="15" t="s">
        <v>2341</v>
      </c>
      <c r="I759" s="15" t="s">
        <v>2342</v>
      </c>
      <c r="J759" s="19" t="s">
        <v>36</v>
      </c>
      <c r="K759" s="19" t="s">
        <v>105</v>
      </c>
      <c r="L759" s="19" t="s">
        <v>38</v>
      </c>
      <c r="M759" s="20">
        <f t="shared" si="1"/>
        <v>0</v>
      </c>
      <c r="N759" s="22"/>
      <c r="O759" s="19" t="s">
        <v>1145</v>
      </c>
      <c r="P759" s="18"/>
      <c r="Q759" s="18"/>
      <c r="R759" s="23">
        <v>0.0</v>
      </c>
      <c r="S759" s="23">
        <v>0.0</v>
      </c>
      <c r="T759" s="23">
        <f t="shared" si="2"/>
        <v>0</v>
      </c>
      <c r="U759" s="23">
        <f t="shared" si="3"/>
        <v>0</v>
      </c>
      <c r="V759" s="23">
        <f t="shared" si="4"/>
        <v>0</v>
      </c>
      <c r="W759" s="24" t="str">
        <f t="shared" si="5"/>
        <v>#DIV/0!</v>
      </c>
    </row>
    <row r="760" hidden="1">
      <c r="A760" s="15" t="s">
        <v>2343</v>
      </c>
      <c r="B760" s="18"/>
      <c r="C760" s="15" t="s">
        <v>7264</v>
      </c>
      <c r="D760" s="18"/>
      <c r="E760" s="17" t="s">
        <v>2344</v>
      </c>
      <c r="F760" s="18"/>
      <c r="G760" s="18"/>
      <c r="H760" s="15" t="s">
        <v>2341</v>
      </c>
      <c r="I760" s="15" t="s">
        <v>2342</v>
      </c>
      <c r="J760" s="19" t="s">
        <v>36</v>
      </c>
      <c r="K760" s="19" t="s">
        <v>105</v>
      </c>
      <c r="L760" s="19" t="s">
        <v>38</v>
      </c>
      <c r="M760" s="20">
        <f t="shared" si="1"/>
        <v>0</v>
      </c>
      <c r="N760" s="22"/>
      <c r="O760" s="19" t="s">
        <v>1145</v>
      </c>
      <c r="P760" s="18"/>
      <c r="Q760" s="18"/>
      <c r="R760" s="23">
        <v>0.0</v>
      </c>
      <c r="S760" s="23">
        <v>0.0</v>
      </c>
      <c r="T760" s="23">
        <f t="shared" si="2"/>
        <v>0</v>
      </c>
      <c r="U760" s="23">
        <f t="shared" si="3"/>
        <v>0</v>
      </c>
      <c r="V760" s="23">
        <f t="shared" si="4"/>
        <v>0</v>
      </c>
      <c r="W760" s="24" t="str">
        <f t="shared" si="5"/>
        <v>#DIV/0!</v>
      </c>
    </row>
    <row r="761" hidden="1">
      <c r="A761" s="15" t="s">
        <v>2345</v>
      </c>
      <c r="B761" s="18"/>
      <c r="C761" s="15" t="s">
        <v>7265</v>
      </c>
      <c r="D761" s="18"/>
      <c r="E761" s="17" t="s">
        <v>2346</v>
      </c>
      <c r="F761" s="18"/>
      <c r="G761" s="18"/>
      <c r="H761" s="15" t="s">
        <v>2347</v>
      </c>
      <c r="I761" s="15" t="s">
        <v>2348</v>
      </c>
      <c r="J761" s="19" t="s">
        <v>36</v>
      </c>
      <c r="K761" s="19" t="s">
        <v>105</v>
      </c>
      <c r="L761" s="19" t="s">
        <v>38</v>
      </c>
      <c r="M761" s="20">
        <f t="shared" si="1"/>
        <v>0</v>
      </c>
      <c r="N761" s="22"/>
      <c r="O761" s="19" t="s">
        <v>1145</v>
      </c>
      <c r="P761" s="18"/>
      <c r="Q761" s="18"/>
      <c r="R761" s="23">
        <v>0.0</v>
      </c>
      <c r="S761" s="23">
        <v>0.0</v>
      </c>
      <c r="T761" s="23">
        <f t="shared" si="2"/>
        <v>0</v>
      </c>
      <c r="U761" s="23">
        <f t="shared" si="3"/>
        <v>0</v>
      </c>
      <c r="V761" s="23">
        <f t="shared" si="4"/>
        <v>0</v>
      </c>
      <c r="W761" s="24" t="str">
        <f t="shared" si="5"/>
        <v>#DIV/0!</v>
      </c>
    </row>
    <row r="762" hidden="1">
      <c r="A762" s="15" t="s">
        <v>2349</v>
      </c>
      <c r="B762" s="18"/>
      <c r="C762" s="15" t="s">
        <v>7266</v>
      </c>
      <c r="D762" s="18"/>
      <c r="E762" s="17" t="s">
        <v>2350</v>
      </c>
      <c r="F762" s="18"/>
      <c r="G762" s="18"/>
      <c r="H762" s="15" t="s">
        <v>2351</v>
      </c>
      <c r="I762" s="15" t="s">
        <v>2352</v>
      </c>
      <c r="J762" s="19" t="s">
        <v>36</v>
      </c>
      <c r="K762" s="19" t="s">
        <v>105</v>
      </c>
      <c r="L762" s="19" t="s">
        <v>38</v>
      </c>
      <c r="M762" s="20">
        <f t="shared" si="1"/>
        <v>0</v>
      </c>
      <c r="N762" s="22"/>
      <c r="O762" s="19" t="s">
        <v>1145</v>
      </c>
      <c r="P762" s="18"/>
      <c r="Q762" s="18"/>
      <c r="R762" s="23">
        <v>0.0</v>
      </c>
      <c r="S762" s="23">
        <v>0.0</v>
      </c>
      <c r="T762" s="23">
        <f t="shared" si="2"/>
        <v>0</v>
      </c>
      <c r="U762" s="23">
        <f t="shared" si="3"/>
        <v>0</v>
      </c>
      <c r="V762" s="23">
        <f t="shared" si="4"/>
        <v>0</v>
      </c>
      <c r="W762" s="24" t="str">
        <f t="shared" si="5"/>
        <v>#DIV/0!</v>
      </c>
    </row>
    <row r="763" hidden="1">
      <c r="A763" s="15" t="s">
        <v>2353</v>
      </c>
      <c r="B763" s="18"/>
      <c r="C763" s="15" t="s">
        <v>7267</v>
      </c>
      <c r="D763" s="18"/>
      <c r="E763" s="17" t="s">
        <v>2354</v>
      </c>
      <c r="F763" s="18"/>
      <c r="G763" s="18"/>
      <c r="H763" s="15" t="s">
        <v>2355</v>
      </c>
      <c r="I763" s="15" t="s">
        <v>2356</v>
      </c>
      <c r="J763" s="19" t="s">
        <v>36</v>
      </c>
      <c r="K763" s="19" t="s">
        <v>105</v>
      </c>
      <c r="L763" s="19" t="s">
        <v>38</v>
      </c>
      <c r="M763" s="20">
        <f t="shared" si="1"/>
        <v>0</v>
      </c>
      <c r="N763" s="22"/>
      <c r="O763" s="19" t="s">
        <v>1145</v>
      </c>
      <c r="P763" s="18"/>
      <c r="Q763" s="18"/>
      <c r="R763" s="23">
        <v>0.0</v>
      </c>
      <c r="S763" s="23">
        <v>0.0</v>
      </c>
      <c r="T763" s="23">
        <f t="shared" si="2"/>
        <v>0</v>
      </c>
      <c r="U763" s="23">
        <f t="shared" si="3"/>
        <v>0</v>
      </c>
      <c r="V763" s="23">
        <f t="shared" si="4"/>
        <v>0</v>
      </c>
      <c r="W763" s="24" t="str">
        <f t="shared" si="5"/>
        <v>#DIV/0!</v>
      </c>
    </row>
    <row r="764" hidden="1">
      <c r="A764" s="15" t="s">
        <v>2357</v>
      </c>
      <c r="B764" s="18"/>
      <c r="C764" s="15" t="s">
        <v>7268</v>
      </c>
      <c r="D764" s="18"/>
      <c r="E764" s="17" t="s">
        <v>2358</v>
      </c>
      <c r="F764" s="18"/>
      <c r="G764" s="18"/>
      <c r="H764" s="15" t="s">
        <v>2359</v>
      </c>
      <c r="I764" s="15" t="s">
        <v>2360</v>
      </c>
      <c r="J764" s="19" t="s">
        <v>36</v>
      </c>
      <c r="K764" s="19" t="s">
        <v>1230</v>
      </c>
      <c r="L764" s="19" t="s">
        <v>38</v>
      </c>
      <c r="M764" s="20">
        <f t="shared" si="1"/>
        <v>0</v>
      </c>
      <c r="N764" s="22"/>
      <c r="O764" s="19" t="s">
        <v>1145</v>
      </c>
      <c r="P764" s="18"/>
      <c r="Q764" s="18"/>
      <c r="R764" s="23">
        <v>0.0</v>
      </c>
      <c r="S764" s="23">
        <v>0.0</v>
      </c>
      <c r="T764" s="23">
        <f t="shared" si="2"/>
        <v>0</v>
      </c>
      <c r="U764" s="23">
        <f t="shared" si="3"/>
        <v>0</v>
      </c>
      <c r="V764" s="23">
        <f t="shared" si="4"/>
        <v>0</v>
      </c>
      <c r="W764" s="24" t="str">
        <f t="shared" si="5"/>
        <v>#DIV/0!</v>
      </c>
    </row>
    <row r="765" hidden="1">
      <c r="A765" s="15" t="s">
        <v>7269</v>
      </c>
      <c r="B765" s="18"/>
      <c r="C765" s="15" t="s">
        <v>7270</v>
      </c>
      <c r="D765" s="18"/>
      <c r="E765" s="17" t="s">
        <v>7271</v>
      </c>
      <c r="F765" s="18"/>
      <c r="G765" s="18"/>
      <c r="H765" s="15" t="s">
        <v>7272</v>
      </c>
      <c r="I765" s="15" t="s">
        <v>7273</v>
      </c>
      <c r="J765" s="19" t="s">
        <v>36</v>
      </c>
      <c r="K765" s="19" t="s">
        <v>105</v>
      </c>
      <c r="L765" s="19" t="s">
        <v>38</v>
      </c>
      <c r="M765" s="20">
        <f t="shared" si="1"/>
        <v>0</v>
      </c>
      <c r="N765" s="22"/>
      <c r="O765" s="19" t="s">
        <v>39</v>
      </c>
      <c r="P765" s="18"/>
      <c r="Q765" s="18"/>
      <c r="R765" s="23">
        <v>0.0</v>
      </c>
      <c r="S765" s="23">
        <v>0.0</v>
      </c>
      <c r="T765" s="23">
        <f t="shared" si="2"/>
        <v>0</v>
      </c>
      <c r="U765" s="23">
        <f t="shared" si="3"/>
        <v>0</v>
      </c>
      <c r="V765" s="23">
        <f t="shared" si="4"/>
        <v>0</v>
      </c>
      <c r="W765" s="24" t="str">
        <f t="shared" si="5"/>
        <v>#DIV/0!</v>
      </c>
    </row>
    <row r="766" hidden="1">
      <c r="A766" s="15" t="s">
        <v>2361</v>
      </c>
      <c r="B766" s="18"/>
      <c r="C766" s="15" t="s">
        <v>7274</v>
      </c>
      <c r="D766" s="18"/>
      <c r="E766" s="17" t="s">
        <v>2362</v>
      </c>
      <c r="F766" s="18"/>
      <c r="G766" s="18"/>
      <c r="H766" s="15" t="s">
        <v>2363</v>
      </c>
      <c r="I766" s="15" t="s">
        <v>2364</v>
      </c>
      <c r="J766" s="19" t="s">
        <v>36</v>
      </c>
      <c r="K766" s="19" t="s">
        <v>37</v>
      </c>
      <c r="L766" s="19" t="s">
        <v>38</v>
      </c>
      <c r="M766" s="20">
        <f t="shared" si="1"/>
        <v>0</v>
      </c>
      <c r="N766" s="22"/>
      <c r="O766" s="19" t="s">
        <v>1145</v>
      </c>
      <c r="P766" s="18"/>
      <c r="Q766" s="18"/>
      <c r="R766" s="23">
        <v>0.0</v>
      </c>
      <c r="S766" s="23">
        <v>0.0</v>
      </c>
      <c r="T766" s="23">
        <f t="shared" si="2"/>
        <v>0</v>
      </c>
      <c r="U766" s="23">
        <f t="shared" si="3"/>
        <v>0</v>
      </c>
      <c r="V766" s="23">
        <f t="shared" si="4"/>
        <v>0</v>
      </c>
      <c r="W766" s="24" t="str">
        <f t="shared" si="5"/>
        <v>#DIV/0!</v>
      </c>
    </row>
    <row r="767">
      <c r="A767" s="15" t="s">
        <v>936</v>
      </c>
      <c r="B767" s="15" t="s">
        <v>937</v>
      </c>
      <c r="C767" s="15" t="s">
        <v>6097</v>
      </c>
      <c r="D767" s="15" t="s">
        <v>938</v>
      </c>
      <c r="E767" s="17" t="s">
        <v>939</v>
      </c>
      <c r="F767" s="15" t="s">
        <v>940</v>
      </c>
      <c r="G767" s="15" t="s">
        <v>941</v>
      </c>
      <c r="H767" s="15" t="s">
        <v>942</v>
      </c>
      <c r="I767" s="18"/>
      <c r="J767" s="19" t="s">
        <v>104</v>
      </c>
      <c r="K767" s="19" t="s">
        <v>717</v>
      </c>
      <c r="L767" s="19" t="s">
        <v>106</v>
      </c>
      <c r="M767" s="20">
        <f t="shared" si="1"/>
        <v>8862.24</v>
      </c>
      <c r="N767" s="31">
        <v>5.0</v>
      </c>
      <c r="O767" s="19" t="s">
        <v>107</v>
      </c>
      <c r="P767" s="18"/>
      <c r="Q767" s="18"/>
      <c r="R767" s="23">
        <v>106.0</v>
      </c>
      <c r="S767" s="23">
        <v>499.0</v>
      </c>
      <c r="T767" s="23">
        <f t="shared" si="2"/>
        <v>479.04</v>
      </c>
      <c r="U767" s="23">
        <f t="shared" si="3"/>
        <v>129.85</v>
      </c>
      <c r="V767" s="23">
        <f t="shared" si="4"/>
        <v>2434.6875</v>
      </c>
      <c r="W767" s="24">
        <f t="shared" si="5"/>
        <v>4.519245283</v>
      </c>
    </row>
    <row r="768" hidden="1">
      <c r="A768" s="15" t="s">
        <v>5909</v>
      </c>
      <c r="B768" s="18"/>
      <c r="C768" s="15" t="s">
        <v>7275</v>
      </c>
      <c r="D768" s="15" t="s">
        <v>5910</v>
      </c>
      <c r="E768" s="17" t="s">
        <v>5911</v>
      </c>
      <c r="F768" s="15" t="s">
        <v>5912</v>
      </c>
      <c r="G768" s="15"/>
      <c r="H768" s="15" t="s">
        <v>5913</v>
      </c>
      <c r="I768" s="18"/>
      <c r="J768" s="19" t="s">
        <v>104</v>
      </c>
      <c r="K768" s="19" t="s">
        <v>717</v>
      </c>
      <c r="L768" s="19" t="s">
        <v>106</v>
      </c>
      <c r="M768" s="20">
        <f t="shared" si="1"/>
        <v>8862.24</v>
      </c>
      <c r="N768" s="22"/>
      <c r="O768" s="19" t="s">
        <v>3578</v>
      </c>
      <c r="P768" s="18"/>
      <c r="Q768" s="18"/>
      <c r="R768" s="23">
        <v>115.0</v>
      </c>
      <c r="S768" s="23">
        <v>499.0</v>
      </c>
      <c r="T768" s="23">
        <f t="shared" si="2"/>
        <v>479.04</v>
      </c>
      <c r="U768" s="23">
        <f t="shared" si="3"/>
        <v>140.875</v>
      </c>
      <c r="V768" s="23">
        <f t="shared" si="4"/>
        <v>2641.40625</v>
      </c>
      <c r="W768" s="24">
        <f t="shared" si="5"/>
        <v>4.165565217</v>
      </c>
    </row>
    <row r="769" hidden="1">
      <c r="A769" s="15" t="s">
        <v>4830</v>
      </c>
      <c r="B769" s="15" t="s">
        <v>4831</v>
      </c>
      <c r="C769" s="15" t="s">
        <v>7276</v>
      </c>
      <c r="D769" s="15" t="s">
        <v>4832</v>
      </c>
      <c r="E769" s="17" t="s">
        <v>4833</v>
      </c>
      <c r="F769" s="18"/>
      <c r="G769" s="18"/>
      <c r="H769" s="15" t="s">
        <v>4834</v>
      </c>
      <c r="I769" s="18"/>
      <c r="J769" s="19" t="s">
        <v>283</v>
      </c>
      <c r="K769" s="33"/>
      <c r="L769" s="19" t="s">
        <v>38</v>
      </c>
      <c r="M769" s="20">
        <f t="shared" si="1"/>
        <v>0</v>
      </c>
      <c r="N769" s="22"/>
      <c r="O769" s="19" t="s">
        <v>3578</v>
      </c>
      <c r="P769" s="18"/>
      <c r="Q769" s="18"/>
      <c r="R769" s="23">
        <v>0.0</v>
      </c>
      <c r="S769" s="23">
        <v>0.0</v>
      </c>
      <c r="T769" s="23">
        <f t="shared" si="2"/>
        <v>0</v>
      </c>
      <c r="U769" s="23">
        <f t="shared" si="3"/>
        <v>0</v>
      </c>
      <c r="V769" s="23">
        <f t="shared" si="4"/>
        <v>0</v>
      </c>
      <c r="W769" s="24" t="str">
        <f t="shared" si="5"/>
        <v>#DIV/0!</v>
      </c>
    </row>
    <row r="770" hidden="1">
      <c r="A770" s="15" t="s">
        <v>2365</v>
      </c>
      <c r="B770" s="15" t="s">
        <v>2366</v>
      </c>
      <c r="C770" s="15" t="s">
        <v>7277</v>
      </c>
      <c r="D770" s="18"/>
      <c r="E770" s="17" t="s">
        <v>2367</v>
      </c>
      <c r="F770" s="18"/>
      <c r="G770" s="18"/>
      <c r="H770" s="15" t="s">
        <v>2368</v>
      </c>
      <c r="I770" s="18"/>
      <c r="J770" s="19" t="s">
        <v>283</v>
      </c>
      <c r="K770" s="33"/>
      <c r="L770" s="19" t="s">
        <v>38</v>
      </c>
      <c r="M770" s="20">
        <f t="shared" si="1"/>
        <v>0</v>
      </c>
      <c r="N770" s="22"/>
      <c r="O770" s="19" t="s">
        <v>1145</v>
      </c>
      <c r="P770" s="18"/>
      <c r="Q770" s="18"/>
      <c r="R770" s="23">
        <v>0.0</v>
      </c>
      <c r="S770" s="23">
        <v>0.0</v>
      </c>
      <c r="T770" s="23">
        <f t="shared" si="2"/>
        <v>0</v>
      </c>
      <c r="U770" s="23">
        <f t="shared" si="3"/>
        <v>0</v>
      </c>
      <c r="V770" s="23">
        <f t="shared" si="4"/>
        <v>0</v>
      </c>
      <c r="W770" s="24" t="str">
        <f t="shared" si="5"/>
        <v>#DIV/0!</v>
      </c>
    </row>
    <row r="771" hidden="1">
      <c r="A771" s="15" t="s">
        <v>4835</v>
      </c>
      <c r="B771" s="15" t="s">
        <v>4836</v>
      </c>
      <c r="C771" s="15" t="s">
        <v>7278</v>
      </c>
      <c r="D771" s="15" t="s">
        <v>4837</v>
      </c>
      <c r="E771" s="17" t="s">
        <v>4838</v>
      </c>
      <c r="F771" s="18"/>
      <c r="G771" s="18"/>
      <c r="H771" s="15" t="s">
        <v>4839</v>
      </c>
      <c r="I771" s="15" t="s">
        <v>4840</v>
      </c>
      <c r="J771" s="19" t="s">
        <v>283</v>
      </c>
      <c r="K771" s="33"/>
      <c r="L771" s="19" t="s">
        <v>38</v>
      </c>
      <c r="M771" s="20">
        <f t="shared" si="1"/>
        <v>0</v>
      </c>
      <c r="N771" s="22"/>
      <c r="O771" s="19" t="s">
        <v>3578</v>
      </c>
      <c r="P771" s="18"/>
      <c r="Q771" s="18"/>
      <c r="R771" s="23">
        <v>0.0</v>
      </c>
      <c r="S771" s="23">
        <v>0.0</v>
      </c>
      <c r="T771" s="23">
        <f t="shared" si="2"/>
        <v>0</v>
      </c>
      <c r="U771" s="23">
        <f t="shared" si="3"/>
        <v>0</v>
      </c>
      <c r="V771" s="23">
        <f t="shared" si="4"/>
        <v>0</v>
      </c>
      <c r="W771" s="24" t="str">
        <f t="shared" si="5"/>
        <v>#DIV/0!</v>
      </c>
    </row>
    <row r="772">
      <c r="A772" s="15" t="s">
        <v>395</v>
      </c>
      <c r="B772" s="15" t="s">
        <v>396</v>
      </c>
      <c r="C772" s="15" t="s">
        <v>5997</v>
      </c>
      <c r="D772" s="15" t="s">
        <v>397</v>
      </c>
      <c r="E772" s="17" t="s">
        <v>398</v>
      </c>
      <c r="F772" s="18"/>
      <c r="G772" s="15" t="s">
        <v>399</v>
      </c>
      <c r="H772" s="15" t="s">
        <v>400</v>
      </c>
      <c r="I772" s="15" t="s">
        <v>401</v>
      </c>
      <c r="J772" s="19" t="s">
        <v>283</v>
      </c>
      <c r="K772" s="19" t="s">
        <v>402</v>
      </c>
      <c r="L772" s="19" t="s">
        <v>403</v>
      </c>
      <c r="M772" s="20">
        <f t="shared" si="1"/>
        <v>10158.72</v>
      </c>
      <c r="N772" s="31">
        <v>2.0</v>
      </c>
      <c r="O772" s="19" t="s">
        <v>107</v>
      </c>
      <c r="P772" s="18"/>
      <c r="Q772" s="18"/>
      <c r="R772" s="23">
        <v>78.0</v>
      </c>
      <c r="S772" s="23">
        <v>572.0</v>
      </c>
      <c r="T772" s="23">
        <f t="shared" si="2"/>
        <v>549.12</v>
      </c>
      <c r="U772" s="23">
        <f t="shared" si="3"/>
        <v>95.55</v>
      </c>
      <c r="V772" s="23">
        <f t="shared" si="4"/>
        <v>1791.5625</v>
      </c>
      <c r="W772" s="24">
        <f t="shared" si="5"/>
        <v>7.04</v>
      </c>
    </row>
    <row r="773" hidden="1">
      <c r="A773" s="15" t="s">
        <v>4841</v>
      </c>
      <c r="B773" s="15" t="s">
        <v>4842</v>
      </c>
      <c r="C773" s="15" t="s">
        <v>7279</v>
      </c>
      <c r="D773" s="18"/>
      <c r="E773" s="17" t="s">
        <v>4843</v>
      </c>
      <c r="F773" s="18"/>
      <c r="G773" s="18"/>
      <c r="H773" s="15" t="s">
        <v>4844</v>
      </c>
      <c r="I773" s="18"/>
      <c r="J773" s="19" t="s">
        <v>283</v>
      </c>
      <c r="K773" s="33"/>
      <c r="L773" s="19" t="s">
        <v>38</v>
      </c>
      <c r="M773" s="20">
        <f t="shared" si="1"/>
        <v>0</v>
      </c>
      <c r="N773" s="22"/>
      <c r="O773" s="19" t="s">
        <v>3578</v>
      </c>
      <c r="P773" s="18"/>
      <c r="Q773" s="18"/>
      <c r="R773" s="23">
        <v>0.0</v>
      </c>
      <c r="S773" s="23">
        <v>0.0</v>
      </c>
      <c r="T773" s="23">
        <f t="shared" si="2"/>
        <v>0</v>
      </c>
      <c r="U773" s="23">
        <f t="shared" si="3"/>
        <v>0</v>
      </c>
      <c r="V773" s="23">
        <f t="shared" si="4"/>
        <v>0</v>
      </c>
      <c r="W773" s="24" t="str">
        <f t="shared" si="5"/>
        <v>#DIV/0!</v>
      </c>
    </row>
    <row r="774" hidden="1">
      <c r="A774" s="15" t="s">
        <v>4846</v>
      </c>
      <c r="B774" s="15" t="s">
        <v>4847</v>
      </c>
      <c r="C774" s="15" t="s">
        <v>7280</v>
      </c>
      <c r="D774" s="15" t="s">
        <v>4848</v>
      </c>
      <c r="E774" s="17" t="s">
        <v>4849</v>
      </c>
      <c r="F774" s="18"/>
      <c r="G774" s="18"/>
      <c r="H774" s="15" t="s">
        <v>4850</v>
      </c>
      <c r="I774" s="15" t="s">
        <v>4851</v>
      </c>
      <c r="J774" s="19" t="s">
        <v>283</v>
      </c>
      <c r="K774" s="33"/>
      <c r="L774" s="19" t="s">
        <v>38</v>
      </c>
      <c r="M774" s="20">
        <f t="shared" si="1"/>
        <v>0</v>
      </c>
      <c r="N774" s="22"/>
      <c r="O774" s="19" t="s">
        <v>3578</v>
      </c>
      <c r="P774" s="18"/>
      <c r="Q774" s="18"/>
      <c r="R774" s="23">
        <v>0.0</v>
      </c>
      <c r="S774" s="23">
        <v>0.0</v>
      </c>
      <c r="T774" s="23">
        <f t="shared" si="2"/>
        <v>0</v>
      </c>
      <c r="U774" s="23">
        <f t="shared" si="3"/>
        <v>0</v>
      </c>
      <c r="V774" s="23">
        <f t="shared" si="4"/>
        <v>0</v>
      </c>
      <c r="W774" s="24" t="str">
        <f t="shared" si="5"/>
        <v>#DIV/0!</v>
      </c>
    </row>
    <row r="775" hidden="1">
      <c r="A775" s="15" t="s">
        <v>4852</v>
      </c>
      <c r="B775" s="15" t="s">
        <v>4853</v>
      </c>
      <c r="C775" s="15" t="s">
        <v>7281</v>
      </c>
      <c r="D775" s="15" t="s">
        <v>4854</v>
      </c>
      <c r="E775" s="17" t="s">
        <v>4855</v>
      </c>
      <c r="F775" s="18"/>
      <c r="G775" s="18"/>
      <c r="H775" s="15" t="s">
        <v>4856</v>
      </c>
      <c r="I775" s="15" t="s">
        <v>4857</v>
      </c>
      <c r="J775" s="19" t="s">
        <v>283</v>
      </c>
      <c r="K775" s="33"/>
      <c r="L775" s="19" t="s">
        <v>38</v>
      </c>
      <c r="M775" s="20">
        <f t="shared" si="1"/>
        <v>0</v>
      </c>
      <c r="N775" s="22"/>
      <c r="O775" s="19" t="s">
        <v>3578</v>
      </c>
      <c r="P775" s="18"/>
      <c r="Q775" s="18"/>
      <c r="R775" s="23">
        <v>0.0</v>
      </c>
      <c r="S775" s="23">
        <v>0.0</v>
      </c>
      <c r="T775" s="23">
        <f t="shared" si="2"/>
        <v>0</v>
      </c>
      <c r="U775" s="23">
        <f t="shared" si="3"/>
        <v>0</v>
      </c>
      <c r="V775" s="23">
        <f t="shared" si="4"/>
        <v>0</v>
      </c>
      <c r="W775" s="24" t="str">
        <f t="shared" si="5"/>
        <v>#DIV/0!</v>
      </c>
    </row>
    <row r="776" hidden="1">
      <c r="A776" s="15" t="s">
        <v>4858</v>
      </c>
      <c r="B776" s="15" t="s">
        <v>4859</v>
      </c>
      <c r="C776" s="15" t="s">
        <v>7282</v>
      </c>
      <c r="D776" s="18"/>
      <c r="E776" s="17" t="s">
        <v>4860</v>
      </c>
      <c r="F776" s="18"/>
      <c r="G776" s="18"/>
      <c r="H776" s="15" t="s">
        <v>4861</v>
      </c>
      <c r="I776" s="18"/>
      <c r="J776" s="19" t="s">
        <v>283</v>
      </c>
      <c r="K776" s="33"/>
      <c r="L776" s="19" t="s">
        <v>38</v>
      </c>
      <c r="M776" s="20">
        <f t="shared" si="1"/>
        <v>0</v>
      </c>
      <c r="N776" s="22"/>
      <c r="O776" s="19" t="s">
        <v>3578</v>
      </c>
      <c r="P776" s="18"/>
      <c r="Q776" s="18"/>
      <c r="R776" s="23">
        <v>0.0</v>
      </c>
      <c r="S776" s="23">
        <v>0.0</v>
      </c>
      <c r="T776" s="23">
        <f t="shared" si="2"/>
        <v>0</v>
      </c>
      <c r="U776" s="23">
        <f t="shared" si="3"/>
        <v>0</v>
      </c>
      <c r="V776" s="23">
        <f t="shared" si="4"/>
        <v>0</v>
      </c>
      <c r="W776" s="24" t="str">
        <f t="shared" si="5"/>
        <v>#DIV/0!</v>
      </c>
    </row>
    <row r="777" hidden="1">
      <c r="A777" s="15" t="s">
        <v>4862</v>
      </c>
      <c r="B777" s="15" t="s">
        <v>4863</v>
      </c>
      <c r="C777" s="15" t="s">
        <v>7283</v>
      </c>
      <c r="D777" s="15" t="s">
        <v>4864</v>
      </c>
      <c r="E777" s="17" t="s">
        <v>4865</v>
      </c>
      <c r="F777" s="18"/>
      <c r="G777" s="18"/>
      <c r="H777" s="15" t="s">
        <v>4866</v>
      </c>
      <c r="I777" s="18"/>
      <c r="J777" s="19" t="s">
        <v>283</v>
      </c>
      <c r="K777" s="33"/>
      <c r="L777" s="19" t="s">
        <v>38</v>
      </c>
      <c r="M777" s="20">
        <f t="shared" si="1"/>
        <v>0</v>
      </c>
      <c r="N777" s="22"/>
      <c r="O777" s="19" t="s">
        <v>3578</v>
      </c>
      <c r="P777" s="18"/>
      <c r="Q777" s="18"/>
      <c r="R777" s="23">
        <v>0.0</v>
      </c>
      <c r="S777" s="23">
        <v>0.0</v>
      </c>
      <c r="T777" s="23">
        <f t="shared" si="2"/>
        <v>0</v>
      </c>
      <c r="U777" s="23">
        <f t="shared" si="3"/>
        <v>0</v>
      </c>
      <c r="V777" s="23">
        <f t="shared" si="4"/>
        <v>0</v>
      </c>
      <c r="W777" s="24" t="str">
        <f t="shared" si="5"/>
        <v>#DIV/0!</v>
      </c>
    </row>
    <row r="778" hidden="1">
      <c r="A778" s="15" t="s">
        <v>4867</v>
      </c>
      <c r="B778" s="15" t="s">
        <v>4868</v>
      </c>
      <c r="C778" s="15" t="s">
        <v>7284</v>
      </c>
      <c r="D778" s="18"/>
      <c r="E778" s="17" t="s">
        <v>7285</v>
      </c>
      <c r="F778" s="18"/>
      <c r="G778" s="18"/>
      <c r="H778" s="15" t="s">
        <v>4871</v>
      </c>
      <c r="I778" s="18"/>
      <c r="J778" s="19" t="s">
        <v>283</v>
      </c>
      <c r="K778" s="33"/>
      <c r="L778" s="19" t="s">
        <v>38</v>
      </c>
      <c r="M778" s="20">
        <f t="shared" si="1"/>
        <v>0</v>
      </c>
      <c r="N778" s="22"/>
      <c r="O778" s="19" t="s">
        <v>1145</v>
      </c>
      <c r="P778" s="18"/>
      <c r="Q778" s="18"/>
      <c r="R778" s="23">
        <v>0.0</v>
      </c>
      <c r="S778" s="23">
        <v>0.0</v>
      </c>
      <c r="T778" s="23">
        <f t="shared" si="2"/>
        <v>0</v>
      </c>
      <c r="U778" s="23">
        <f t="shared" si="3"/>
        <v>0</v>
      </c>
      <c r="V778" s="23">
        <f t="shared" si="4"/>
        <v>0</v>
      </c>
      <c r="W778" s="24" t="str">
        <f t="shared" si="5"/>
        <v>#DIV/0!</v>
      </c>
    </row>
    <row r="779" hidden="1">
      <c r="A779" s="15" t="s">
        <v>5919</v>
      </c>
      <c r="B779" s="15" t="s">
        <v>5920</v>
      </c>
      <c r="C779" s="15" t="s">
        <v>7286</v>
      </c>
      <c r="D779" s="15" t="s">
        <v>5921</v>
      </c>
      <c r="E779" s="17" t="s">
        <v>5922</v>
      </c>
      <c r="F779" s="18"/>
      <c r="G779" s="18"/>
      <c r="H779" s="15" t="s">
        <v>5923</v>
      </c>
      <c r="I779" s="18"/>
      <c r="J779" s="19" t="s">
        <v>283</v>
      </c>
      <c r="K779" s="19" t="s">
        <v>4972</v>
      </c>
      <c r="L779" s="19" t="s">
        <v>38</v>
      </c>
      <c r="M779" s="20">
        <f t="shared" si="1"/>
        <v>124.32</v>
      </c>
      <c r="N779" s="22"/>
      <c r="O779" s="19" t="s">
        <v>3578</v>
      </c>
      <c r="P779" s="18"/>
      <c r="Q779" s="18"/>
      <c r="R779" s="23">
        <v>2.0</v>
      </c>
      <c r="S779" s="23">
        <v>7.0</v>
      </c>
      <c r="T779" s="23">
        <f t="shared" si="2"/>
        <v>6.72</v>
      </c>
      <c r="U779" s="23">
        <f t="shared" si="3"/>
        <v>2.45</v>
      </c>
      <c r="V779" s="23">
        <f t="shared" si="4"/>
        <v>45.9375</v>
      </c>
      <c r="W779" s="24">
        <f t="shared" si="5"/>
        <v>3.36</v>
      </c>
    </row>
    <row r="780" hidden="1">
      <c r="A780" s="15" t="s">
        <v>4873</v>
      </c>
      <c r="B780" s="15" t="s">
        <v>4874</v>
      </c>
      <c r="C780" s="15" t="s">
        <v>7287</v>
      </c>
      <c r="D780" s="18"/>
      <c r="E780" s="17" t="s">
        <v>4875</v>
      </c>
      <c r="F780" s="18"/>
      <c r="G780" s="18"/>
      <c r="H780" s="15" t="s">
        <v>4876</v>
      </c>
      <c r="I780" s="18"/>
      <c r="J780" s="19" t="s">
        <v>283</v>
      </c>
      <c r="K780" s="33"/>
      <c r="L780" s="19" t="s">
        <v>38</v>
      </c>
      <c r="M780" s="20">
        <f t="shared" si="1"/>
        <v>0</v>
      </c>
      <c r="N780" s="22"/>
      <c r="O780" s="19" t="s">
        <v>3578</v>
      </c>
      <c r="P780" s="18"/>
      <c r="Q780" s="18"/>
      <c r="R780" s="23">
        <v>0.0</v>
      </c>
      <c r="S780" s="23">
        <v>0.0</v>
      </c>
      <c r="T780" s="23">
        <f t="shared" si="2"/>
        <v>0</v>
      </c>
      <c r="U780" s="23">
        <f t="shared" si="3"/>
        <v>0</v>
      </c>
      <c r="V780" s="23">
        <f t="shared" si="4"/>
        <v>0</v>
      </c>
      <c r="W780" s="24" t="str">
        <f t="shared" si="5"/>
        <v>#DIV/0!</v>
      </c>
    </row>
    <row r="781" hidden="1">
      <c r="A781" s="15" t="s">
        <v>4877</v>
      </c>
      <c r="B781" s="15" t="s">
        <v>4878</v>
      </c>
      <c r="C781" s="15" t="s">
        <v>7288</v>
      </c>
      <c r="D781" s="18"/>
      <c r="E781" s="17" t="s">
        <v>4879</v>
      </c>
      <c r="F781" s="18"/>
      <c r="G781" s="18"/>
      <c r="H781" s="15" t="s">
        <v>4880</v>
      </c>
      <c r="I781" s="18"/>
      <c r="J781" s="19" t="s">
        <v>283</v>
      </c>
      <c r="K781" s="33"/>
      <c r="L781" s="19" t="s">
        <v>38</v>
      </c>
      <c r="M781" s="20">
        <f t="shared" si="1"/>
        <v>0</v>
      </c>
      <c r="N781" s="22"/>
      <c r="O781" s="19" t="s">
        <v>3578</v>
      </c>
      <c r="P781" s="18"/>
      <c r="Q781" s="18"/>
      <c r="R781" s="23">
        <v>0.0</v>
      </c>
      <c r="S781" s="23">
        <v>0.0</v>
      </c>
      <c r="T781" s="23">
        <f t="shared" si="2"/>
        <v>0</v>
      </c>
      <c r="U781" s="23">
        <f t="shared" si="3"/>
        <v>0</v>
      </c>
      <c r="V781" s="23">
        <f t="shared" si="4"/>
        <v>0</v>
      </c>
      <c r="W781" s="24" t="str">
        <f t="shared" si="5"/>
        <v>#DIV/0!</v>
      </c>
    </row>
    <row r="782" hidden="1">
      <c r="A782" s="15" t="s">
        <v>4881</v>
      </c>
      <c r="B782" s="15" t="s">
        <v>4882</v>
      </c>
      <c r="C782" s="15" t="s">
        <v>7289</v>
      </c>
      <c r="D782" s="15" t="s">
        <v>191</v>
      </c>
      <c r="E782" s="17" t="s">
        <v>4883</v>
      </c>
      <c r="F782" s="18"/>
      <c r="G782" s="18"/>
      <c r="H782" s="15" t="s">
        <v>4884</v>
      </c>
      <c r="I782" s="18"/>
      <c r="J782" s="19" t="s">
        <v>283</v>
      </c>
      <c r="K782" s="33"/>
      <c r="L782" s="19" t="s">
        <v>38</v>
      </c>
      <c r="M782" s="20">
        <f t="shared" si="1"/>
        <v>0</v>
      </c>
      <c r="N782" s="22"/>
      <c r="O782" s="19" t="s">
        <v>3578</v>
      </c>
      <c r="P782" s="18"/>
      <c r="Q782" s="18"/>
      <c r="R782" s="23">
        <v>0.0</v>
      </c>
      <c r="S782" s="23">
        <v>0.0</v>
      </c>
      <c r="T782" s="23">
        <f t="shared" si="2"/>
        <v>0</v>
      </c>
      <c r="U782" s="23">
        <f t="shared" si="3"/>
        <v>0</v>
      </c>
      <c r="V782" s="23">
        <f t="shared" si="4"/>
        <v>0</v>
      </c>
      <c r="W782" s="24" t="str">
        <f t="shared" si="5"/>
        <v>#DIV/0!</v>
      </c>
    </row>
    <row r="783" hidden="1">
      <c r="A783" s="15" t="s">
        <v>4885</v>
      </c>
      <c r="B783" s="15" t="s">
        <v>4886</v>
      </c>
      <c r="C783" s="15" t="s">
        <v>7290</v>
      </c>
      <c r="D783" s="15" t="s">
        <v>4887</v>
      </c>
      <c r="E783" s="17" t="s">
        <v>4888</v>
      </c>
      <c r="F783" s="18"/>
      <c r="G783" s="18"/>
      <c r="H783" s="15" t="s">
        <v>4889</v>
      </c>
      <c r="I783" s="18"/>
      <c r="J783" s="19" t="s">
        <v>283</v>
      </c>
      <c r="K783" s="33"/>
      <c r="L783" s="19" t="s">
        <v>38</v>
      </c>
      <c r="M783" s="20">
        <f t="shared" si="1"/>
        <v>0</v>
      </c>
      <c r="N783" s="22"/>
      <c r="O783" s="19" t="s">
        <v>3578</v>
      </c>
      <c r="P783" s="18"/>
      <c r="Q783" s="18"/>
      <c r="R783" s="23">
        <v>0.0</v>
      </c>
      <c r="S783" s="23">
        <v>0.0</v>
      </c>
      <c r="T783" s="23">
        <f t="shared" si="2"/>
        <v>0</v>
      </c>
      <c r="U783" s="23">
        <f t="shared" si="3"/>
        <v>0</v>
      </c>
      <c r="V783" s="23">
        <f t="shared" si="4"/>
        <v>0</v>
      </c>
      <c r="W783" s="24" t="str">
        <f t="shared" si="5"/>
        <v>#DIV/0!</v>
      </c>
    </row>
    <row r="784" hidden="1">
      <c r="A784" s="15" t="s">
        <v>4890</v>
      </c>
      <c r="B784" s="15" t="s">
        <v>4891</v>
      </c>
      <c r="C784" s="15" t="s">
        <v>7291</v>
      </c>
      <c r="D784" s="15" t="s">
        <v>4892</v>
      </c>
      <c r="E784" s="17" t="s">
        <v>4893</v>
      </c>
      <c r="F784" s="18"/>
      <c r="G784" s="18"/>
      <c r="H784" s="15" t="s">
        <v>4894</v>
      </c>
      <c r="I784" s="18"/>
      <c r="J784" s="19" t="s">
        <v>283</v>
      </c>
      <c r="K784" s="33"/>
      <c r="L784" s="19" t="s">
        <v>38</v>
      </c>
      <c r="M784" s="20">
        <f t="shared" si="1"/>
        <v>0</v>
      </c>
      <c r="N784" s="22"/>
      <c r="O784" s="19" t="s">
        <v>3578</v>
      </c>
      <c r="P784" s="18"/>
      <c r="Q784" s="18"/>
      <c r="R784" s="23">
        <v>0.0</v>
      </c>
      <c r="S784" s="23">
        <v>0.0</v>
      </c>
      <c r="T784" s="23">
        <f t="shared" si="2"/>
        <v>0</v>
      </c>
      <c r="U784" s="23">
        <f t="shared" si="3"/>
        <v>0</v>
      </c>
      <c r="V784" s="23">
        <f t="shared" si="4"/>
        <v>0</v>
      </c>
      <c r="W784" s="24" t="str">
        <f t="shared" si="5"/>
        <v>#DIV/0!</v>
      </c>
    </row>
    <row r="785" hidden="1">
      <c r="A785" s="15" t="s">
        <v>4895</v>
      </c>
      <c r="B785" s="15" t="s">
        <v>4896</v>
      </c>
      <c r="C785" s="15" t="s">
        <v>7292</v>
      </c>
      <c r="D785" s="15" t="s">
        <v>4897</v>
      </c>
      <c r="E785" s="17" t="s">
        <v>4898</v>
      </c>
      <c r="F785" s="18"/>
      <c r="G785" s="18"/>
      <c r="H785" s="15" t="s">
        <v>4899</v>
      </c>
      <c r="I785" s="18"/>
      <c r="J785" s="19" t="s">
        <v>283</v>
      </c>
      <c r="K785" s="33"/>
      <c r="L785" s="19" t="s">
        <v>38</v>
      </c>
      <c r="M785" s="20">
        <f t="shared" si="1"/>
        <v>0</v>
      </c>
      <c r="N785" s="22"/>
      <c r="O785" s="19" t="s">
        <v>3578</v>
      </c>
      <c r="P785" s="18"/>
      <c r="Q785" s="18"/>
      <c r="R785" s="23">
        <v>0.0</v>
      </c>
      <c r="S785" s="23">
        <v>0.0</v>
      </c>
      <c r="T785" s="23">
        <f t="shared" si="2"/>
        <v>0</v>
      </c>
      <c r="U785" s="23">
        <f t="shared" si="3"/>
        <v>0</v>
      </c>
      <c r="V785" s="23">
        <f t="shared" si="4"/>
        <v>0</v>
      </c>
      <c r="W785" s="24" t="str">
        <f t="shared" si="5"/>
        <v>#DIV/0!</v>
      </c>
    </row>
    <row r="786" hidden="1">
      <c r="A786" s="15" t="s">
        <v>2369</v>
      </c>
      <c r="B786" s="15" t="s">
        <v>2370</v>
      </c>
      <c r="C786" s="15" t="s">
        <v>7293</v>
      </c>
      <c r="D786" s="18"/>
      <c r="E786" s="17" t="s">
        <v>2371</v>
      </c>
      <c r="F786" s="18"/>
      <c r="G786" s="18"/>
      <c r="H786" s="15" t="s">
        <v>2372</v>
      </c>
      <c r="I786" s="18"/>
      <c r="J786" s="19" t="s">
        <v>283</v>
      </c>
      <c r="K786" s="33"/>
      <c r="L786" s="19" t="s">
        <v>38</v>
      </c>
      <c r="M786" s="20">
        <f t="shared" si="1"/>
        <v>0</v>
      </c>
      <c r="N786" s="22"/>
      <c r="O786" s="19" t="s">
        <v>1145</v>
      </c>
      <c r="P786" s="18"/>
      <c r="Q786" s="18"/>
      <c r="R786" s="23">
        <v>0.0</v>
      </c>
      <c r="S786" s="23">
        <v>0.0</v>
      </c>
      <c r="T786" s="23">
        <f t="shared" si="2"/>
        <v>0</v>
      </c>
      <c r="U786" s="23">
        <f t="shared" si="3"/>
        <v>0</v>
      </c>
      <c r="V786" s="23">
        <f t="shared" si="4"/>
        <v>0</v>
      </c>
      <c r="W786" s="24" t="str">
        <f t="shared" si="5"/>
        <v>#DIV/0!</v>
      </c>
    </row>
    <row r="787">
      <c r="A787" s="15" t="s">
        <v>986</v>
      </c>
      <c r="B787" s="15" t="s">
        <v>987</v>
      </c>
      <c r="C787" s="15" t="s">
        <v>5998</v>
      </c>
      <c r="D787" s="15" t="s">
        <v>7294</v>
      </c>
      <c r="E787" s="17" t="s">
        <v>989</v>
      </c>
      <c r="F787" s="18"/>
      <c r="G787" s="18"/>
      <c r="H787" s="15" t="s">
        <v>990</v>
      </c>
      <c r="I787" s="18"/>
      <c r="J787" s="19" t="s">
        <v>283</v>
      </c>
      <c r="K787" s="19" t="s">
        <v>1269</v>
      </c>
      <c r="L787" s="19" t="s">
        <v>38</v>
      </c>
      <c r="M787" s="20">
        <f t="shared" si="1"/>
        <v>2610.72</v>
      </c>
      <c r="N787" s="31">
        <v>3.0</v>
      </c>
      <c r="O787" s="19" t="s">
        <v>107</v>
      </c>
      <c r="P787" s="18"/>
      <c r="Q787" s="18"/>
      <c r="R787" s="23">
        <v>40.0</v>
      </c>
      <c r="S787" s="23">
        <v>147.0</v>
      </c>
      <c r="T787" s="23">
        <f t="shared" si="2"/>
        <v>141.12</v>
      </c>
      <c r="U787" s="23">
        <f t="shared" si="3"/>
        <v>49</v>
      </c>
      <c r="V787" s="23">
        <f t="shared" si="4"/>
        <v>918.75</v>
      </c>
      <c r="W787" s="24">
        <f t="shared" si="5"/>
        <v>3.528</v>
      </c>
    </row>
    <row r="788" hidden="1">
      <c r="A788" s="15" t="s">
        <v>4900</v>
      </c>
      <c r="B788" s="15" t="s">
        <v>4901</v>
      </c>
      <c r="C788" s="15" t="s">
        <v>7295</v>
      </c>
      <c r="D788" s="15" t="s">
        <v>4902</v>
      </c>
      <c r="E788" s="17" t="s">
        <v>4903</v>
      </c>
      <c r="F788" s="18"/>
      <c r="G788" s="18"/>
      <c r="H788" s="15" t="s">
        <v>4904</v>
      </c>
      <c r="I788" s="18"/>
      <c r="J788" s="19" t="s">
        <v>283</v>
      </c>
      <c r="K788" s="19" t="s">
        <v>1269</v>
      </c>
      <c r="L788" s="19" t="s">
        <v>38</v>
      </c>
      <c r="M788" s="20">
        <f t="shared" si="1"/>
        <v>0</v>
      </c>
      <c r="N788" s="22"/>
      <c r="O788" s="19" t="s">
        <v>3578</v>
      </c>
      <c r="P788" s="18"/>
      <c r="Q788" s="18"/>
      <c r="R788" s="23">
        <v>0.0</v>
      </c>
      <c r="S788" s="23">
        <v>0.0</v>
      </c>
      <c r="T788" s="23">
        <f t="shared" si="2"/>
        <v>0</v>
      </c>
      <c r="U788" s="23">
        <f t="shared" si="3"/>
        <v>0</v>
      </c>
      <c r="V788" s="23">
        <f t="shared" si="4"/>
        <v>0</v>
      </c>
      <c r="W788" s="24" t="str">
        <f t="shared" si="5"/>
        <v>#DIV/0!</v>
      </c>
    </row>
    <row r="789" hidden="1">
      <c r="A789" s="15" t="s">
        <v>4905</v>
      </c>
      <c r="B789" s="15" t="s">
        <v>4906</v>
      </c>
      <c r="C789" s="15" t="s">
        <v>7296</v>
      </c>
      <c r="D789" s="15" t="s">
        <v>4907</v>
      </c>
      <c r="E789" s="17" t="s">
        <v>4908</v>
      </c>
      <c r="F789" s="18"/>
      <c r="G789" s="18"/>
      <c r="H789" s="15" t="s">
        <v>4909</v>
      </c>
      <c r="I789" s="15" t="s">
        <v>4910</v>
      </c>
      <c r="J789" s="19" t="s">
        <v>283</v>
      </c>
      <c r="K789" s="33"/>
      <c r="L789" s="19" t="s">
        <v>38</v>
      </c>
      <c r="M789" s="20">
        <f t="shared" si="1"/>
        <v>0</v>
      </c>
      <c r="N789" s="22"/>
      <c r="O789" s="19" t="s">
        <v>3578</v>
      </c>
      <c r="P789" s="18"/>
      <c r="Q789" s="18"/>
      <c r="R789" s="23">
        <v>0.0</v>
      </c>
      <c r="S789" s="23">
        <v>0.0</v>
      </c>
      <c r="T789" s="23">
        <f t="shared" si="2"/>
        <v>0</v>
      </c>
      <c r="U789" s="23">
        <f t="shared" si="3"/>
        <v>0</v>
      </c>
      <c r="V789" s="23">
        <f t="shared" si="4"/>
        <v>0</v>
      </c>
      <c r="W789" s="24" t="str">
        <f t="shared" si="5"/>
        <v>#DIV/0!</v>
      </c>
    </row>
    <row r="790" hidden="1">
      <c r="A790" s="15" t="s">
        <v>2373</v>
      </c>
      <c r="B790" s="15" t="s">
        <v>2374</v>
      </c>
      <c r="C790" s="15" t="s">
        <v>7297</v>
      </c>
      <c r="D790" s="18"/>
      <c r="E790" s="17" t="s">
        <v>2375</v>
      </c>
      <c r="F790" s="18"/>
      <c r="G790" s="18"/>
      <c r="H790" s="15" t="s">
        <v>2376</v>
      </c>
      <c r="I790" s="18"/>
      <c r="J790" s="19" t="s">
        <v>283</v>
      </c>
      <c r="K790" s="33"/>
      <c r="L790" s="19" t="s">
        <v>38</v>
      </c>
      <c r="M790" s="20">
        <f t="shared" si="1"/>
        <v>0</v>
      </c>
      <c r="N790" s="22"/>
      <c r="O790" s="19" t="s">
        <v>1145</v>
      </c>
      <c r="P790" s="18"/>
      <c r="Q790" s="18"/>
      <c r="R790" s="23">
        <v>0.0</v>
      </c>
      <c r="S790" s="23">
        <v>0.0</v>
      </c>
      <c r="T790" s="23">
        <f t="shared" si="2"/>
        <v>0</v>
      </c>
      <c r="U790" s="23">
        <f t="shared" si="3"/>
        <v>0</v>
      </c>
      <c r="V790" s="23">
        <f t="shared" si="4"/>
        <v>0</v>
      </c>
      <c r="W790" s="24" t="str">
        <f t="shared" si="5"/>
        <v>#DIV/0!</v>
      </c>
    </row>
    <row r="791" hidden="1">
      <c r="A791" s="15" t="s">
        <v>4911</v>
      </c>
      <c r="B791" s="15" t="s">
        <v>4912</v>
      </c>
      <c r="C791" s="15" t="s">
        <v>7298</v>
      </c>
      <c r="D791" s="18"/>
      <c r="E791" s="17" t="s">
        <v>4914</v>
      </c>
      <c r="F791" s="18"/>
      <c r="G791" s="18"/>
      <c r="H791" s="15" t="s">
        <v>4915</v>
      </c>
      <c r="I791" s="18"/>
      <c r="J791" s="19" t="s">
        <v>283</v>
      </c>
      <c r="K791" s="33"/>
      <c r="L791" s="19" t="s">
        <v>38</v>
      </c>
      <c r="M791" s="20">
        <f t="shared" si="1"/>
        <v>0</v>
      </c>
      <c r="N791" s="22"/>
      <c r="O791" s="19" t="s">
        <v>3578</v>
      </c>
      <c r="P791" s="18"/>
      <c r="Q791" s="18"/>
      <c r="R791" s="23">
        <v>0.0</v>
      </c>
      <c r="S791" s="23">
        <v>0.0</v>
      </c>
      <c r="T791" s="23">
        <f t="shared" si="2"/>
        <v>0</v>
      </c>
      <c r="U791" s="23">
        <f t="shared" si="3"/>
        <v>0</v>
      </c>
      <c r="V791" s="23">
        <f t="shared" si="4"/>
        <v>0</v>
      </c>
      <c r="W791" s="24" t="str">
        <f t="shared" si="5"/>
        <v>#DIV/0!</v>
      </c>
    </row>
    <row r="792" hidden="1">
      <c r="A792" s="15" t="s">
        <v>4916</v>
      </c>
      <c r="B792" s="15" t="s">
        <v>4917</v>
      </c>
      <c r="C792" s="15" t="s">
        <v>7299</v>
      </c>
      <c r="D792" s="18"/>
      <c r="E792" s="17" t="s">
        <v>4919</v>
      </c>
      <c r="F792" s="18"/>
      <c r="G792" s="18"/>
      <c r="H792" s="15" t="s">
        <v>4920</v>
      </c>
      <c r="I792" s="18"/>
      <c r="J792" s="19" t="s">
        <v>283</v>
      </c>
      <c r="K792" s="33"/>
      <c r="L792" s="19" t="s">
        <v>38</v>
      </c>
      <c r="M792" s="20">
        <f t="shared" si="1"/>
        <v>0</v>
      </c>
      <c r="N792" s="22"/>
      <c r="O792" s="19" t="s">
        <v>3578</v>
      </c>
      <c r="P792" s="18"/>
      <c r="Q792" s="18"/>
      <c r="R792" s="23">
        <v>0.0</v>
      </c>
      <c r="S792" s="23">
        <v>0.0</v>
      </c>
      <c r="T792" s="23">
        <f t="shared" si="2"/>
        <v>0</v>
      </c>
      <c r="U792" s="23">
        <f t="shared" si="3"/>
        <v>0</v>
      </c>
      <c r="V792" s="23">
        <f t="shared" si="4"/>
        <v>0</v>
      </c>
      <c r="W792" s="24" t="str">
        <f t="shared" si="5"/>
        <v>#DIV/0!</v>
      </c>
    </row>
    <row r="793" hidden="1">
      <c r="A793" s="15" t="s">
        <v>4921</v>
      </c>
      <c r="B793" s="15" t="s">
        <v>4922</v>
      </c>
      <c r="C793" s="15" t="s">
        <v>7300</v>
      </c>
      <c r="D793" s="18"/>
      <c r="E793" s="17" t="s">
        <v>4923</v>
      </c>
      <c r="F793" s="18"/>
      <c r="G793" s="18"/>
      <c r="H793" s="15" t="s">
        <v>4924</v>
      </c>
      <c r="I793" s="18"/>
      <c r="J793" s="19" t="s">
        <v>283</v>
      </c>
      <c r="K793" s="33"/>
      <c r="L793" s="19" t="s">
        <v>38</v>
      </c>
      <c r="M793" s="20">
        <f t="shared" si="1"/>
        <v>0</v>
      </c>
      <c r="N793" s="22"/>
      <c r="O793" s="19" t="s">
        <v>3578</v>
      </c>
      <c r="P793" s="18"/>
      <c r="Q793" s="18"/>
      <c r="R793" s="23">
        <v>0.0</v>
      </c>
      <c r="S793" s="23">
        <v>0.0</v>
      </c>
      <c r="T793" s="23">
        <f t="shared" si="2"/>
        <v>0</v>
      </c>
      <c r="U793" s="23">
        <f t="shared" si="3"/>
        <v>0</v>
      </c>
      <c r="V793" s="23">
        <f t="shared" si="4"/>
        <v>0</v>
      </c>
      <c r="W793" s="24" t="str">
        <f t="shared" si="5"/>
        <v>#DIV/0!</v>
      </c>
    </row>
    <row r="794" hidden="1">
      <c r="A794" s="15" t="s">
        <v>4925</v>
      </c>
      <c r="B794" s="15" t="s">
        <v>4926</v>
      </c>
      <c r="C794" s="15" t="s">
        <v>7301</v>
      </c>
      <c r="D794" s="18"/>
      <c r="E794" s="17" t="s">
        <v>4928</v>
      </c>
      <c r="F794" s="18"/>
      <c r="G794" s="18"/>
      <c r="H794" s="15" t="s">
        <v>4929</v>
      </c>
      <c r="I794" s="18"/>
      <c r="J794" s="19" t="s">
        <v>283</v>
      </c>
      <c r="K794" s="33"/>
      <c r="L794" s="19" t="s">
        <v>38</v>
      </c>
      <c r="M794" s="20">
        <f t="shared" si="1"/>
        <v>0</v>
      </c>
      <c r="N794" s="22"/>
      <c r="O794" s="19" t="s">
        <v>3578</v>
      </c>
      <c r="P794" s="18"/>
      <c r="Q794" s="18"/>
      <c r="R794" s="23">
        <v>0.0</v>
      </c>
      <c r="S794" s="23">
        <v>0.0</v>
      </c>
      <c r="T794" s="23">
        <f t="shared" si="2"/>
        <v>0</v>
      </c>
      <c r="U794" s="23">
        <f t="shared" si="3"/>
        <v>0</v>
      </c>
      <c r="V794" s="23">
        <f t="shared" si="4"/>
        <v>0</v>
      </c>
      <c r="W794" s="24" t="str">
        <f t="shared" si="5"/>
        <v>#DIV/0!</v>
      </c>
    </row>
    <row r="795" hidden="1">
      <c r="A795" s="15" t="s">
        <v>5949</v>
      </c>
      <c r="B795" s="15" t="s">
        <v>5950</v>
      </c>
      <c r="C795" s="15" t="s">
        <v>5983</v>
      </c>
      <c r="D795" s="15" t="s">
        <v>5951</v>
      </c>
      <c r="E795" s="17" t="s">
        <v>5952</v>
      </c>
      <c r="F795" s="18"/>
      <c r="G795" s="18"/>
      <c r="H795" s="15" t="s">
        <v>5953</v>
      </c>
      <c r="I795" s="18"/>
      <c r="J795" s="19" t="s">
        <v>283</v>
      </c>
      <c r="K795" s="19" t="s">
        <v>4972</v>
      </c>
      <c r="L795" s="19" t="s">
        <v>135</v>
      </c>
      <c r="M795" s="20">
        <f t="shared" si="1"/>
        <v>337.44</v>
      </c>
      <c r="N795" s="22"/>
      <c r="O795" s="19" t="s">
        <v>3578</v>
      </c>
      <c r="P795" s="18"/>
      <c r="Q795" s="18"/>
      <c r="R795" s="23">
        <v>7.0</v>
      </c>
      <c r="S795" s="23">
        <v>19.0</v>
      </c>
      <c r="T795" s="23">
        <f t="shared" si="2"/>
        <v>18.24</v>
      </c>
      <c r="U795" s="23">
        <f t="shared" si="3"/>
        <v>8.575</v>
      </c>
      <c r="V795" s="23">
        <f t="shared" si="4"/>
        <v>160.78125</v>
      </c>
      <c r="W795" s="24">
        <f t="shared" si="5"/>
        <v>2.605714286</v>
      </c>
    </row>
    <row r="796" hidden="1">
      <c r="A796" s="15" t="s">
        <v>5929</v>
      </c>
      <c r="B796" s="15" t="s">
        <v>5930</v>
      </c>
      <c r="C796" s="15" t="s">
        <v>7302</v>
      </c>
      <c r="D796" s="15" t="s">
        <v>5931</v>
      </c>
      <c r="E796" s="17" t="s">
        <v>5932</v>
      </c>
      <c r="F796" s="18"/>
      <c r="G796" s="18"/>
      <c r="H796" s="15" t="s">
        <v>5933</v>
      </c>
      <c r="I796" s="18"/>
      <c r="J796" s="19" t="s">
        <v>283</v>
      </c>
      <c r="K796" s="19" t="s">
        <v>4972</v>
      </c>
      <c r="L796" s="19" t="s">
        <v>135</v>
      </c>
      <c r="M796" s="20">
        <f t="shared" si="1"/>
        <v>1225.44</v>
      </c>
      <c r="N796" s="22"/>
      <c r="O796" s="19" t="s">
        <v>3578</v>
      </c>
      <c r="P796" s="18"/>
      <c r="Q796" s="18"/>
      <c r="R796" s="23">
        <v>20.5</v>
      </c>
      <c r="S796" s="23">
        <v>69.0</v>
      </c>
      <c r="T796" s="23">
        <f t="shared" si="2"/>
        <v>66.24</v>
      </c>
      <c r="U796" s="23">
        <f t="shared" si="3"/>
        <v>25.1125</v>
      </c>
      <c r="V796" s="23">
        <f t="shared" si="4"/>
        <v>470.859375</v>
      </c>
      <c r="W796" s="24">
        <f t="shared" si="5"/>
        <v>3.231219512</v>
      </c>
    </row>
    <row r="797" hidden="1">
      <c r="A797" s="15" t="s">
        <v>4931</v>
      </c>
      <c r="B797" s="15" t="s">
        <v>4932</v>
      </c>
      <c r="C797" s="15" t="s">
        <v>7303</v>
      </c>
      <c r="D797" s="15" t="s">
        <v>4933</v>
      </c>
      <c r="E797" s="17" t="s">
        <v>4934</v>
      </c>
      <c r="F797" s="18"/>
      <c r="G797" s="18"/>
      <c r="H797" s="15" t="s">
        <v>4935</v>
      </c>
      <c r="I797" s="18"/>
      <c r="J797" s="19" t="s">
        <v>283</v>
      </c>
      <c r="K797" s="33"/>
      <c r="L797" s="19" t="s">
        <v>38</v>
      </c>
      <c r="M797" s="20">
        <f t="shared" si="1"/>
        <v>0</v>
      </c>
      <c r="N797" s="22"/>
      <c r="O797" s="19" t="s">
        <v>3578</v>
      </c>
      <c r="P797" s="18"/>
      <c r="Q797" s="18"/>
      <c r="R797" s="23">
        <v>0.0</v>
      </c>
      <c r="S797" s="23">
        <v>0.0</v>
      </c>
      <c r="T797" s="23">
        <f t="shared" si="2"/>
        <v>0</v>
      </c>
      <c r="U797" s="23">
        <f t="shared" si="3"/>
        <v>0</v>
      </c>
      <c r="V797" s="23">
        <f t="shared" si="4"/>
        <v>0</v>
      </c>
      <c r="W797" s="24" t="str">
        <f t="shared" si="5"/>
        <v>#DIV/0!</v>
      </c>
    </row>
    <row r="798" hidden="1">
      <c r="A798" s="15" t="s">
        <v>5934</v>
      </c>
      <c r="B798" s="15" t="s">
        <v>5935</v>
      </c>
      <c r="C798" s="15" t="s">
        <v>7304</v>
      </c>
      <c r="D798" s="15" t="s">
        <v>5936</v>
      </c>
      <c r="E798" s="17" t="s">
        <v>5937</v>
      </c>
      <c r="F798" s="18"/>
      <c r="G798" s="18"/>
      <c r="H798" s="15" t="s">
        <v>5938</v>
      </c>
      <c r="I798" s="18"/>
      <c r="J798" s="19" t="s">
        <v>283</v>
      </c>
      <c r="K798" s="19" t="s">
        <v>4972</v>
      </c>
      <c r="L798" s="19" t="s">
        <v>610</v>
      </c>
      <c r="M798" s="20">
        <f t="shared" si="1"/>
        <v>177.6</v>
      </c>
      <c r="N798" s="22"/>
      <c r="O798" s="19" t="s">
        <v>3578</v>
      </c>
      <c r="P798" s="18"/>
      <c r="Q798" s="18"/>
      <c r="R798" s="23">
        <v>3.2</v>
      </c>
      <c r="S798" s="23">
        <v>10.0</v>
      </c>
      <c r="T798" s="23">
        <f t="shared" si="2"/>
        <v>9.6</v>
      </c>
      <c r="U798" s="23">
        <f t="shared" si="3"/>
        <v>3.92</v>
      </c>
      <c r="V798" s="23">
        <f t="shared" si="4"/>
        <v>73.5</v>
      </c>
      <c r="W798" s="24">
        <f t="shared" si="5"/>
        <v>3</v>
      </c>
    </row>
    <row r="799" hidden="1">
      <c r="A799" s="15" t="s">
        <v>4936</v>
      </c>
      <c r="B799" s="15" t="s">
        <v>4937</v>
      </c>
      <c r="C799" s="15" t="s">
        <v>7305</v>
      </c>
      <c r="D799" s="15" t="s">
        <v>4938</v>
      </c>
      <c r="E799" s="17" t="s">
        <v>7306</v>
      </c>
      <c r="F799" s="18"/>
      <c r="G799" s="18"/>
      <c r="H799" s="15" t="s">
        <v>4940</v>
      </c>
      <c r="I799" s="18"/>
      <c r="J799" s="19" t="s">
        <v>283</v>
      </c>
      <c r="K799" s="33"/>
      <c r="L799" s="19" t="s">
        <v>38</v>
      </c>
      <c r="M799" s="20">
        <f t="shared" si="1"/>
        <v>0</v>
      </c>
      <c r="N799" s="22"/>
      <c r="O799" s="19" t="s">
        <v>3578</v>
      </c>
      <c r="P799" s="18"/>
      <c r="Q799" s="18"/>
      <c r="R799" s="23">
        <v>0.0</v>
      </c>
      <c r="S799" s="23">
        <v>0.0</v>
      </c>
      <c r="T799" s="23">
        <f t="shared" si="2"/>
        <v>0</v>
      </c>
      <c r="U799" s="23">
        <f t="shared" si="3"/>
        <v>0</v>
      </c>
      <c r="V799" s="23">
        <f t="shared" si="4"/>
        <v>0</v>
      </c>
      <c r="W799" s="24" t="str">
        <f t="shared" si="5"/>
        <v>#DIV/0!</v>
      </c>
    </row>
    <row r="800" hidden="1">
      <c r="A800" s="15" t="s">
        <v>7307</v>
      </c>
      <c r="B800" s="15"/>
      <c r="C800" s="15" t="s">
        <v>7308</v>
      </c>
      <c r="D800" s="18"/>
      <c r="E800" s="17" t="s">
        <v>7309</v>
      </c>
      <c r="F800" s="18"/>
      <c r="G800" s="18"/>
      <c r="H800" s="15" t="s">
        <v>7310</v>
      </c>
      <c r="I800" s="18"/>
      <c r="J800" s="19" t="s">
        <v>283</v>
      </c>
      <c r="K800" s="33"/>
      <c r="L800" s="19" t="s">
        <v>38</v>
      </c>
      <c r="M800" s="20">
        <f t="shared" si="1"/>
        <v>0</v>
      </c>
      <c r="N800" s="22"/>
      <c r="O800" s="19" t="s">
        <v>39</v>
      </c>
      <c r="P800" s="18"/>
      <c r="Q800" s="18"/>
      <c r="R800" s="23">
        <v>0.0</v>
      </c>
      <c r="S800" s="23">
        <v>0.0</v>
      </c>
      <c r="T800" s="23">
        <f t="shared" si="2"/>
        <v>0</v>
      </c>
      <c r="U800" s="23">
        <f t="shared" si="3"/>
        <v>0</v>
      </c>
      <c r="V800" s="23">
        <f t="shared" si="4"/>
        <v>0</v>
      </c>
      <c r="W800" s="24" t="str">
        <f t="shared" si="5"/>
        <v>#DIV/0!</v>
      </c>
    </row>
    <row r="801" hidden="1">
      <c r="A801" s="15" t="s">
        <v>4941</v>
      </c>
      <c r="B801" s="15" t="s">
        <v>4942</v>
      </c>
      <c r="C801" s="15" t="s">
        <v>7311</v>
      </c>
      <c r="D801" s="15" t="s">
        <v>4943</v>
      </c>
      <c r="E801" s="17" t="s">
        <v>4944</v>
      </c>
      <c r="F801" s="18"/>
      <c r="G801" s="18"/>
      <c r="H801" s="15" t="s">
        <v>4945</v>
      </c>
      <c r="I801" s="18"/>
      <c r="J801" s="19" t="s">
        <v>283</v>
      </c>
      <c r="K801" s="33"/>
      <c r="L801" s="19" t="s">
        <v>38</v>
      </c>
      <c r="M801" s="20">
        <f t="shared" si="1"/>
        <v>0</v>
      </c>
      <c r="N801" s="22"/>
      <c r="O801" s="19" t="s">
        <v>3578</v>
      </c>
      <c r="P801" s="18"/>
      <c r="Q801" s="18"/>
      <c r="R801" s="23">
        <v>0.0</v>
      </c>
      <c r="S801" s="23">
        <v>0.0</v>
      </c>
      <c r="T801" s="23">
        <f t="shared" si="2"/>
        <v>0</v>
      </c>
      <c r="U801" s="23">
        <f t="shared" si="3"/>
        <v>0</v>
      </c>
      <c r="V801" s="23">
        <f t="shared" si="4"/>
        <v>0</v>
      </c>
      <c r="W801" s="24" t="str">
        <f t="shared" si="5"/>
        <v>#DIV/0!</v>
      </c>
    </row>
    <row r="802" hidden="1">
      <c r="A802" s="15" t="s">
        <v>4946</v>
      </c>
      <c r="B802" s="15" t="s">
        <v>4947</v>
      </c>
      <c r="C802" s="15" t="s">
        <v>7312</v>
      </c>
      <c r="D802" s="15" t="s">
        <v>4948</v>
      </c>
      <c r="E802" s="17" t="s">
        <v>4949</v>
      </c>
      <c r="F802" s="18"/>
      <c r="G802" s="18"/>
      <c r="H802" s="15" t="s">
        <v>4950</v>
      </c>
      <c r="I802" s="18"/>
      <c r="J802" s="19" t="s">
        <v>283</v>
      </c>
      <c r="K802" s="33"/>
      <c r="L802" s="19" t="s">
        <v>38</v>
      </c>
      <c r="M802" s="20">
        <f t="shared" si="1"/>
        <v>0</v>
      </c>
      <c r="N802" s="22"/>
      <c r="O802" s="19" t="s">
        <v>3578</v>
      </c>
      <c r="P802" s="18"/>
      <c r="Q802" s="18"/>
      <c r="R802" s="23">
        <v>0.0</v>
      </c>
      <c r="S802" s="23">
        <v>0.0</v>
      </c>
      <c r="T802" s="23">
        <f t="shared" si="2"/>
        <v>0</v>
      </c>
      <c r="U802" s="23">
        <f t="shared" si="3"/>
        <v>0</v>
      </c>
      <c r="V802" s="23">
        <f t="shared" si="4"/>
        <v>0</v>
      </c>
      <c r="W802" s="24" t="str">
        <f t="shared" si="5"/>
        <v>#DIV/0!</v>
      </c>
    </row>
    <row r="803" hidden="1">
      <c r="A803" s="15" t="s">
        <v>4952</v>
      </c>
      <c r="B803" s="15" t="s">
        <v>4953</v>
      </c>
      <c r="C803" s="15" t="s">
        <v>7313</v>
      </c>
      <c r="D803" s="15" t="s">
        <v>4954</v>
      </c>
      <c r="E803" s="17" t="s">
        <v>4955</v>
      </c>
      <c r="F803" s="18"/>
      <c r="G803" s="18"/>
      <c r="H803" s="15" t="s">
        <v>4956</v>
      </c>
      <c r="I803" s="18"/>
      <c r="J803" s="19" t="s">
        <v>283</v>
      </c>
      <c r="K803" s="33"/>
      <c r="L803" s="19" t="s">
        <v>38</v>
      </c>
      <c r="M803" s="20">
        <f t="shared" si="1"/>
        <v>0</v>
      </c>
      <c r="N803" s="22"/>
      <c r="O803" s="19" t="s">
        <v>3578</v>
      </c>
      <c r="P803" s="18"/>
      <c r="Q803" s="18"/>
      <c r="R803" s="23">
        <v>0.0</v>
      </c>
      <c r="S803" s="23">
        <v>0.0</v>
      </c>
      <c r="T803" s="23">
        <f t="shared" si="2"/>
        <v>0</v>
      </c>
      <c r="U803" s="23">
        <f t="shared" si="3"/>
        <v>0</v>
      </c>
      <c r="V803" s="23">
        <f t="shared" si="4"/>
        <v>0</v>
      </c>
      <c r="W803" s="24" t="str">
        <f t="shared" si="5"/>
        <v>#DIV/0!</v>
      </c>
    </row>
    <row r="804" hidden="1">
      <c r="A804" s="15" t="s">
        <v>4957</v>
      </c>
      <c r="B804" s="15" t="s">
        <v>4958</v>
      </c>
      <c r="C804" s="15" t="s">
        <v>7314</v>
      </c>
      <c r="D804" s="15" t="s">
        <v>4959</v>
      </c>
      <c r="E804" s="17" t="s">
        <v>4960</v>
      </c>
      <c r="F804" s="18"/>
      <c r="G804" s="18"/>
      <c r="H804" s="15" t="s">
        <v>4961</v>
      </c>
      <c r="I804" s="18"/>
      <c r="J804" s="19" t="s">
        <v>283</v>
      </c>
      <c r="K804" s="19" t="s">
        <v>427</v>
      </c>
      <c r="L804" s="19" t="s">
        <v>115</v>
      </c>
      <c r="M804" s="20">
        <f t="shared" si="1"/>
        <v>0</v>
      </c>
      <c r="N804" s="22"/>
      <c r="O804" s="19" t="s">
        <v>3578</v>
      </c>
      <c r="P804" s="18"/>
      <c r="Q804" s="18"/>
      <c r="R804" s="23">
        <v>0.0</v>
      </c>
      <c r="S804" s="23">
        <v>0.0</v>
      </c>
      <c r="T804" s="23">
        <f t="shared" si="2"/>
        <v>0</v>
      </c>
      <c r="U804" s="23">
        <f t="shared" si="3"/>
        <v>0</v>
      </c>
      <c r="V804" s="23">
        <f t="shared" si="4"/>
        <v>0</v>
      </c>
      <c r="W804" s="24" t="str">
        <f t="shared" si="5"/>
        <v>#DIV/0!</v>
      </c>
    </row>
    <row r="805" hidden="1">
      <c r="A805" s="15" t="s">
        <v>4962</v>
      </c>
      <c r="B805" s="15" t="s">
        <v>4963</v>
      </c>
      <c r="C805" s="15" t="s">
        <v>7315</v>
      </c>
      <c r="D805" s="15" t="s">
        <v>4964</v>
      </c>
      <c r="E805" s="17" t="s">
        <v>4965</v>
      </c>
      <c r="F805" s="18"/>
      <c r="G805" s="18"/>
      <c r="H805" s="15" t="s">
        <v>4966</v>
      </c>
      <c r="I805" s="18"/>
      <c r="J805" s="19" t="s">
        <v>283</v>
      </c>
      <c r="K805" s="33"/>
      <c r="L805" s="19" t="s">
        <v>38</v>
      </c>
      <c r="M805" s="20">
        <f t="shared" si="1"/>
        <v>0</v>
      </c>
      <c r="N805" s="22"/>
      <c r="O805" s="19" t="s">
        <v>3578</v>
      </c>
      <c r="P805" s="18"/>
      <c r="Q805" s="18"/>
      <c r="R805" s="23">
        <v>0.0</v>
      </c>
      <c r="S805" s="23">
        <v>0.0</v>
      </c>
      <c r="T805" s="23">
        <f t="shared" si="2"/>
        <v>0</v>
      </c>
      <c r="U805" s="23">
        <f t="shared" si="3"/>
        <v>0</v>
      </c>
      <c r="V805" s="23">
        <f t="shared" si="4"/>
        <v>0</v>
      </c>
      <c r="W805" s="24" t="str">
        <f t="shared" si="5"/>
        <v>#DIV/0!</v>
      </c>
    </row>
    <row r="806">
      <c r="A806" s="15" t="s">
        <v>763</v>
      </c>
      <c r="B806" s="15" t="s">
        <v>764</v>
      </c>
      <c r="C806" s="15" t="s">
        <v>7316</v>
      </c>
      <c r="D806" s="15" t="s">
        <v>765</v>
      </c>
      <c r="E806" s="17" t="s">
        <v>766</v>
      </c>
      <c r="F806" s="18"/>
      <c r="G806" s="15" t="s">
        <v>767</v>
      </c>
      <c r="H806" s="15" t="s">
        <v>768</v>
      </c>
      <c r="I806" s="18"/>
      <c r="J806" s="19" t="s">
        <v>283</v>
      </c>
      <c r="K806" s="19" t="s">
        <v>440</v>
      </c>
      <c r="L806" s="19" t="s">
        <v>769</v>
      </c>
      <c r="M806" s="20">
        <f t="shared" si="1"/>
        <v>41647.2</v>
      </c>
      <c r="N806" s="31">
        <v>2.0</v>
      </c>
      <c r="O806" s="19" t="s">
        <v>107</v>
      </c>
      <c r="P806" s="18"/>
      <c r="Q806" s="18"/>
      <c r="R806" s="23">
        <v>500.0</v>
      </c>
      <c r="S806" s="23">
        <v>2345.0</v>
      </c>
      <c r="T806" s="23">
        <f t="shared" si="2"/>
        <v>2251.2</v>
      </c>
      <c r="U806" s="23">
        <f t="shared" si="3"/>
        <v>612.5</v>
      </c>
      <c r="V806" s="23">
        <f t="shared" si="4"/>
        <v>11484.375</v>
      </c>
      <c r="W806" s="24">
        <f t="shared" si="5"/>
        <v>4.5024</v>
      </c>
    </row>
    <row r="807" hidden="1">
      <c r="A807" s="15" t="s">
        <v>4967</v>
      </c>
      <c r="B807" s="15" t="s">
        <v>4968</v>
      </c>
      <c r="C807" s="15" t="s">
        <v>7317</v>
      </c>
      <c r="D807" s="15" t="s">
        <v>4969</v>
      </c>
      <c r="E807" s="17" t="s">
        <v>4970</v>
      </c>
      <c r="F807" s="18"/>
      <c r="G807" s="18"/>
      <c r="H807" s="15" t="s">
        <v>4971</v>
      </c>
      <c r="I807" s="18"/>
      <c r="J807" s="19" t="s">
        <v>283</v>
      </c>
      <c r="K807" s="19" t="s">
        <v>4972</v>
      </c>
      <c r="L807" s="19" t="s">
        <v>38</v>
      </c>
      <c r="M807" s="20">
        <f t="shared" si="1"/>
        <v>372.96</v>
      </c>
      <c r="N807" s="22"/>
      <c r="O807" s="19" t="s">
        <v>3578</v>
      </c>
      <c r="P807" s="18"/>
      <c r="Q807" s="18"/>
      <c r="R807" s="23">
        <v>0.0</v>
      </c>
      <c r="S807" s="23">
        <v>21.0</v>
      </c>
      <c r="T807" s="23">
        <f t="shared" si="2"/>
        <v>20.16</v>
      </c>
      <c r="U807" s="23">
        <f t="shared" si="3"/>
        <v>0</v>
      </c>
      <c r="V807" s="23">
        <f t="shared" si="4"/>
        <v>0</v>
      </c>
      <c r="W807" s="24" t="str">
        <f t="shared" si="5"/>
        <v>#DIV/0!</v>
      </c>
    </row>
    <row r="808" hidden="1">
      <c r="A808" s="15" t="s">
        <v>5914</v>
      </c>
      <c r="B808" s="15" t="s">
        <v>5915</v>
      </c>
      <c r="C808" s="15" t="s">
        <v>5977</v>
      </c>
      <c r="D808" s="15" t="s">
        <v>5916</v>
      </c>
      <c r="E808" s="17" t="s">
        <v>5917</v>
      </c>
      <c r="F808" s="18"/>
      <c r="G808" s="18"/>
      <c r="H808" s="15" t="s">
        <v>5918</v>
      </c>
      <c r="I808" s="18"/>
      <c r="J808" s="19" t="s">
        <v>283</v>
      </c>
      <c r="K808" s="19" t="s">
        <v>4972</v>
      </c>
      <c r="L808" s="19" t="s">
        <v>38</v>
      </c>
      <c r="M808" s="20">
        <f t="shared" si="1"/>
        <v>142.08</v>
      </c>
      <c r="N808" s="22"/>
      <c r="O808" s="19" t="s">
        <v>3578</v>
      </c>
      <c r="P808" s="18"/>
      <c r="Q808" s="18"/>
      <c r="R808" s="23">
        <v>2.0</v>
      </c>
      <c r="S808" s="23">
        <v>8.0</v>
      </c>
      <c r="T808" s="23">
        <f t="shared" si="2"/>
        <v>7.68</v>
      </c>
      <c r="U808" s="23">
        <f t="shared" si="3"/>
        <v>2.45</v>
      </c>
      <c r="V808" s="23">
        <f t="shared" si="4"/>
        <v>45.9375</v>
      </c>
      <c r="W808" s="24">
        <f t="shared" si="5"/>
        <v>3.84</v>
      </c>
    </row>
    <row r="809" hidden="1">
      <c r="A809" s="15" t="s">
        <v>4973</v>
      </c>
      <c r="B809" s="15" t="s">
        <v>4974</v>
      </c>
      <c r="C809" s="15" t="s">
        <v>7318</v>
      </c>
      <c r="D809" s="15" t="s">
        <v>4975</v>
      </c>
      <c r="E809" s="17" t="s">
        <v>4976</v>
      </c>
      <c r="F809" s="18"/>
      <c r="G809" s="18"/>
      <c r="H809" s="15" t="s">
        <v>4977</v>
      </c>
      <c r="I809" s="18"/>
      <c r="J809" s="19" t="s">
        <v>283</v>
      </c>
      <c r="K809" s="19" t="s">
        <v>4978</v>
      </c>
      <c r="L809" s="19" t="s">
        <v>38</v>
      </c>
      <c r="M809" s="20">
        <f t="shared" si="1"/>
        <v>2024.64</v>
      </c>
      <c r="N809" s="22"/>
      <c r="O809" s="19" t="s">
        <v>3578</v>
      </c>
      <c r="P809" s="18"/>
      <c r="Q809" s="18"/>
      <c r="R809" s="23">
        <v>0.0</v>
      </c>
      <c r="S809" s="23">
        <v>114.0</v>
      </c>
      <c r="T809" s="23">
        <f t="shared" si="2"/>
        <v>109.44</v>
      </c>
      <c r="U809" s="23">
        <f t="shared" si="3"/>
        <v>0</v>
      </c>
      <c r="V809" s="23">
        <f t="shared" si="4"/>
        <v>0</v>
      </c>
      <c r="W809" s="24" t="str">
        <f t="shared" si="5"/>
        <v>#DIV/0!</v>
      </c>
    </row>
    <row r="810" hidden="1">
      <c r="A810" s="15" t="s">
        <v>4979</v>
      </c>
      <c r="B810" s="15" t="s">
        <v>4980</v>
      </c>
      <c r="C810" s="15" t="s">
        <v>7319</v>
      </c>
      <c r="D810" s="15" t="s">
        <v>4981</v>
      </c>
      <c r="E810" s="17" t="s">
        <v>4982</v>
      </c>
      <c r="F810" s="18"/>
      <c r="G810" s="18"/>
      <c r="H810" s="15" t="s">
        <v>4983</v>
      </c>
      <c r="I810" s="18"/>
      <c r="J810" s="19" t="s">
        <v>283</v>
      </c>
      <c r="K810" s="19" t="s">
        <v>427</v>
      </c>
      <c r="L810" s="19" t="s">
        <v>38</v>
      </c>
      <c r="M810" s="20">
        <f t="shared" si="1"/>
        <v>0</v>
      </c>
      <c r="N810" s="22"/>
      <c r="O810" s="19" t="s">
        <v>3578</v>
      </c>
      <c r="P810" s="18"/>
      <c r="Q810" s="18"/>
      <c r="R810" s="23">
        <v>0.0</v>
      </c>
      <c r="S810" s="23">
        <v>0.0</v>
      </c>
      <c r="T810" s="23">
        <f t="shared" si="2"/>
        <v>0</v>
      </c>
      <c r="U810" s="23">
        <f t="shared" si="3"/>
        <v>0</v>
      </c>
      <c r="V810" s="23">
        <f t="shared" si="4"/>
        <v>0</v>
      </c>
      <c r="W810" s="24" t="str">
        <f t="shared" si="5"/>
        <v>#DIV/0!</v>
      </c>
    </row>
    <row r="811" hidden="1">
      <c r="A811" s="15" t="s">
        <v>4984</v>
      </c>
      <c r="B811" s="15" t="s">
        <v>4985</v>
      </c>
      <c r="C811" s="15" t="s">
        <v>7320</v>
      </c>
      <c r="D811" s="18"/>
      <c r="E811" s="17" t="s">
        <v>4986</v>
      </c>
      <c r="F811" s="18"/>
      <c r="G811" s="18"/>
      <c r="H811" s="15" t="s">
        <v>4987</v>
      </c>
      <c r="I811" s="18"/>
      <c r="J811" s="19" t="s">
        <v>283</v>
      </c>
      <c r="K811" s="33"/>
      <c r="L811" s="19" t="s">
        <v>38</v>
      </c>
      <c r="M811" s="20">
        <f t="shared" si="1"/>
        <v>0</v>
      </c>
      <c r="N811" s="22"/>
      <c r="O811" s="19" t="s">
        <v>3578</v>
      </c>
      <c r="P811" s="18"/>
      <c r="Q811" s="18"/>
      <c r="R811" s="23">
        <v>0.0</v>
      </c>
      <c r="S811" s="23">
        <v>0.0</v>
      </c>
      <c r="T811" s="23">
        <f t="shared" si="2"/>
        <v>0</v>
      </c>
      <c r="U811" s="23">
        <f t="shared" si="3"/>
        <v>0</v>
      </c>
      <c r="V811" s="23">
        <f t="shared" si="4"/>
        <v>0</v>
      </c>
      <c r="W811" s="24" t="str">
        <f t="shared" si="5"/>
        <v>#DIV/0!</v>
      </c>
    </row>
    <row r="812">
      <c r="A812" s="15" t="s">
        <v>621</v>
      </c>
      <c r="B812" s="15" t="s">
        <v>622</v>
      </c>
      <c r="C812" s="15" t="s">
        <v>5999</v>
      </c>
      <c r="D812" s="15" t="s">
        <v>623</v>
      </c>
      <c r="E812" s="17" t="s">
        <v>624</v>
      </c>
      <c r="F812" s="18"/>
      <c r="G812" s="15" t="s">
        <v>625</v>
      </c>
      <c r="H812" s="15" t="s">
        <v>626</v>
      </c>
      <c r="I812" s="18"/>
      <c r="J812" s="19" t="s">
        <v>283</v>
      </c>
      <c r="K812" s="19" t="s">
        <v>440</v>
      </c>
      <c r="L812" s="19" t="s">
        <v>135</v>
      </c>
      <c r="M812" s="20">
        <f t="shared" si="1"/>
        <v>568.32</v>
      </c>
      <c r="N812" s="31">
        <v>5.0</v>
      </c>
      <c r="O812" s="19" t="s">
        <v>107</v>
      </c>
      <c r="P812" s="18"/>
      <c r="Q812" s="18"/>
      <c r="R812" s="23">
        <v>6.0</v>
      </c>
      <c r="S812" s="23">
        <v>32.0</v>
      </c>
      <c r="T812" s="23">
        <f t="shared" si="2"/>
        <v>30.72</v>
      </c>
      <c r="U812" s="23">
        <f t="shared" si="3"/>
        <v>7.35</v>
      </c>
      <c r="V812" s="23">
        <f t="shared" si="4"/>
        <v>137.8125</v>
      </c>
      <c r="W812" s="24">
        <f t="shared" si="5"/>
        <v>5.12</v>
      </c>
    </row>
    <row r="813">
      <c r="A813" s="15" t="s">
        <v>1094</v>
      </c>
      <c r="B813" s="15" t="s">
        <v>1095</v>
      </c>
      <c r="C813" s="15" t="s">
        <v>6118</v>
      </c>
      <c r="D813" s="15" t="s">
        <v>1096</v>
      </c>
      <c r="E813" s="17" t="s">
        <v>1097</v>
      </c>
      <c r="F813" s="18"/>
      <c r="G813" s="15" t="s">
        <v>1098</v>
      </c>
      <c r="H813" s="15" t="s">
        <v>1099</v>
      </c>
      <c r="I813" s="18"/>
      <c r="J813" s="19" t="s">
        <v>283</v>
      </c>
      <c r="K813" s="19" t="s">
        <v>105</v>
      </c>
      <c r="L813" s="19" t="s">
        <v>953</v>
      </c>
      <c r="M813" s="20">
        <f t="shared" si="1"/>
        <v>5434.56</v>
      </c>
      <c r="N813" s="31">
        <v>30.0</v>
      </c>
      <c r="O813" s="19" t="s">
        <v>107</v>
      </c>
      <c r="P813" s="18"/>
      <c r="Q813" s="18"/>
      <c r="R813" s="23">
        <v>80.0</v>
      </c>
      <c r="S813" s="23">
        <v>306.0</v>
      </c>
      <c r="T813" s="23">
        <f t="shared" si="2"/>
        <v>293.76</v>
      </c>
      <c r="U813" s="23">
        <f t="shared" si="3"/>
        <v>98</v>
      </c>
      <c r="V813" s="23">
        <f t="shared" si="4"/>
        <v>1837.5</v>
      </c>
      <c r="W813" s="24">
        <f t="shared" si="5"/>
        <v>3.672</v>
      </c>
    </row>
    <row r="814">
      <c r="A814" s="15" t="s">
        <v>947</v>
      </c>
      <c r="B814" s="15" t="s">
        <v>948</v>
      </c>
      <c r="C814" s="15" t="s">
        <v>6102</v>
      </c>
      <c r="D814" s="15" t="s">
        <v>949</v>
      </c>
      <c r="E814" s="17" t="s">
        <v>950</v>
      </c>
      <c r="F814" s="18"/>
      <c r="G814" s="15" t="s">
        <v>951</v>
      </c>
      <c r="H814" s="15" t="s">
        <v>952</v>
      </c>
      <c r="I814" s="18"/>
      <c r="J814" s="19" t="s">
        <v>283</v>
      </c>
      <c r="K814" s="19" t="s">
        <v>105</v>
      </c>
      <c r="L814" s="19" t="s">
        <v>953</v>
      </c>
      <c r="M814" s="20">
        <f t="shared" si="1"/>
        <v>5434.56</v>
      </c>
      <c r="N814" s="31">
        <v>10.0</v>
      </c>
      <c r="O814" s="19" t="s">
        <v>107</v>
      </c>
      <c r="P814" s="18"/>
      <c r="Q814" s="18"/>
      <c r="R814" s="23">
        <v>82.0</v>
      </c>
      <c r="S814" s="23">
        <v>306.0</v>
      </c>
      <c r="T814" s="23">
        <f t="shared" si="2"/>
        <v>293.76</v>
      </c>
      <c r="U814" s="23">
        <f t="shared" si="3"/>
        <v>100.45</v>
      </c>
      <c r="V814" s="23">
        <f t="shared" si="4"/>
        <v>1883.4375</v>
      </c>
      <c r="W814" s="24">
        <f t="shared" si="5"/>
        <v>3.582439024</v>
      </c>
    </row>
    <row r="815" hidden="1">
      <c r="A815" s="15" t="s">
        <v>4988</v>
      </c>
      <c r="B815" s="15" t="s">
        <v>4989</v>
      </c>
      <c r="C815" s="15" t="s">
        <v>7321</v>
      </c>
      <c r="D815" s="18"/>
      <c r="E815" s="17" t="s">
        <v>4990</v>
      </c>
      <c r="F815" s="18"/>
      <c r="G815" s="18"/>
      <c r="H815" s="15" t="s">
        <v>4991</v>
      </c>
      <c r="I815" s="18"/>
      <c r="J815" s="19" t="s">
        <v>283</v>
      </c>
      <c r="K815" s="33"/>
      <c r="L815" s="19" t="s">
        <v>38</v>
      </c>
      <c r="M815" s="20">
        <f t="shared" si="1"/>
        <v>0</v>
      </c>
      <c r="N815" s="22"/>
      <c r="O815" s="19" t="s">
        <v>3578</v>
      </c>
      <c r="P815" s="18"/>
      <c r="Q815" s="18"/>
      <c r="R815" s="23">
        <v>0.0</v>
      </c>
      <c r="S815" s="23">
        <v>0.0</v>
      </c>
      <c r="T815" s="23">
        <f t="shared" si="2"/>
        <v>0</v>
      </c>
      <c r="U815" s="23">
        <f t="shared" si="3"/>
        <v>0</v>
      </c>
      <c r="V815" s="23">
        <f t="shared" si="4"/>
        <v>0</v>
      </c>
      <c r="W815" s="24" t="str">
        <f t="shared" si="5"/>
        <v>#DIV/0!</v>
      </c>
    </row>
    <row r="816" hidden="1">
      <c r="A816" s="15" t="s">
        <v>4992</v>
      </c>
      <c r="B816" s="15" t="s">
        <v>4993</v>
      </c>
      <c r="C816" s="15" t="s">
        <v>7322</v>
      </c>
      <c r="D816" s="18"/>
      <c r="E816" s="17" t="s">
        <v>4994</v>
      </c>
      <c r="F816" s="18"/>
      <c r="G816" s="18"/>
      <c r="H816" s="15" t="s">
        <v>4995</v>
      </c>
      <c r="I816" s="18"/>
      <c r="J816" s="19" t="s">
        <v>283</v>
      </c>
      <c r="K816" s="33"/>
      <c r="L816" s="19" t="s">
        <v>38</v>
      </c>
      <c r="M816" s="20">
        <f t="shared" si="1"/>
        <v>0</v>
      </c>
      <c r="N816" s="22"/>
      <c r="O816" s="19" t="s">
        <v>3578</v>
      </c>
      <c r="P816" s="18"/>
      <c r="Q816" s="18"/>
      <c r="R816" s="23">
        <v>0.0</v>
      </c>
      <c r="S816" s="23">
        <v>0.0</v>
      </c>
      <c r="T816" s="23">
        <f t="shared" si="2"/>
        <v>0</v>
      </c>
      <c r="U816" s="23">
        <f t="shared" si="3"/>
        <v>0</v>
      </c>
      <c r="V816" s="23">
        <f t="shared" si="4"/>
        <v>0</v>
      </c>
      <c r="W816" s="24" t="str">
        <f t="shared" si="5"/>
        <v>#DIV/0!</v>
      </c>
    </row>
    <row r="817" hidden="1">
      <c r="A817" s="15" t="s">
        <v>4996</v>
      </c>
      <c r="B817" s="15" t="s">
        <v>4997</v>
      </c>
      <c r="C817" s="15" t="s">
        <v>7323</v>
      </c>
      <c r="D817" s="15" t="s">
        <v>4998</v>
      </c>
      <c r="E817" s="17" t="s">
        <v>4999</v>
      </c>
      <c r="F817" s="18"/>
      <c r="G817" s="18"/>
      <c r="H817" s="15" t="s">
        <v>5000</v>
      </c>
      <c r="I817" s="15" t="s">
        <v>5001</v>
      </c>
      <c r="J817" s="19" t="s">
        <v>283</v>
      </c>
      <c r="K817" s="33"/>
      <c r="L817" s="19" t="s">
        <v>38</v>
      </c>
      <c r="M817" s="20">
        <f t="shared" si="1"/>
        <v>0</v>
      </c>
      <c r="N817" s="22"/>
      <c r="O817" s="19" t="s">
        <v>3578</v>
      </c>
      <c r="P817" s="18"/>
      <c r="Q817" s="18"/>
      <c r="R817" s="23">
        <v>0.0</v>
      </c>
      <c r="S817" s="23">
        <v>0.0</v>
      </c>
      <c r="T817" s="23">
        <f t="shared" si="2"/>
        <v>0</v>
      </c>
      <c r="U817" s="23">
        <f t="shared" si="3"/>
        <v>0</v>
      </c>
      <c r="V817" s="23">
        <f t="shared" si="4"/>
        <v>0</v>
      </c>
      <c r="W817" s="24" t="str">
        <f t="shared" si="5"/>
        <v>#DIV/0!</v>
      </c>
    </row>
    <row r="818" hidden="1">
      <c r="A818" s="15" t="s">
        <v>5002</v>
      </c>
      <c r="B818" s="15" t="s">
        <v>5003</v>
      </c>
      <c r="C818" s="15" t="s">
        <v>7324</v>
      </c>
      <c r="D818" s="15" t="s">
        <v>7325</v>
      </c>
      <c r="E818" s="17" t="s">
        <v>7326</v>
      </c>
      <c r="F818" s="18"/>
      <c r="G818" s="18"/>
      <c r="H818" s="15" t="s">
        <v>5006</v>
      </c>
      <c r="I818" s="18"/>
      <c r="J818" s="19" t="s">
        <v>283</v>
      </c>
      <c r="K818" s="33"/>
      <c r="L818" s="19" t="s">
        <v>38</v>
      </c>
      <c r="M818" s="20">
        <f t="shared" si="1"/>
        <v>0</v>
      </c>
      <c r="N818" s="22"/>
      <c r="O818" s="19" t="s">
        <v>3578</v>
      </c>
      <c r="P818" s="18"/>
      <c r="Q818" s="18"/>
      <c r="R818" s="23">
        <v>0.0</v>
      </c>
      <c r="S818" s="23">
        <v>0.0</v>
      </c>
      <c r="T818" s="23">
        <f t="shared" si="2"/>
        <v>0</v>
      </c>
      <c r="U818" s="23">
        <f t="shared" si="3"/>
        <v>0</v>
      </c>
      <c r="V818" s="23">
        <f t="shared" si="4"/>
        <v>0</v>
      </c>
      <c r="W818" s="24" t="str">
        <f t="shared" si="5"/>
        <v>#DIV/0!</v>
      </c>
    </row>
    <row r="819" hidden="1">
      <c r="A819" s="15" t="s">
        <v>5944</v>
      </c>
      <c r="B819" s="15" t="s">
        <v>5945</v>
      </c>
      <c r="C819" s="15" t="s">
        <v>7327</v>
      </c>
      <c r="D819" s="15" t="s">
        <v>5946</v>
      </c>
      <c r="E819" s="17" t="s">
        <v>5947</v>
      </c>
      <c r="F819" s="18"/>
      <c r="G819" s="18"/>
      <c r="H819" s="15" t="s">
        <v>5948</v>
      </c>
      <c r="I819" s="18"/>
      <c r="J819" s="19" t="s">
        <v>283</v>
      </c>
      <c r="K819" s="19" t="s">
        <v>4972</v>
      </c>
      <c r="L819" s="19" t="s">
        <v>177</v>
      </c>
      <c r="M819" s="20">
        <f t="shared" si="1"/>
        <v>355.2</v>
      </c>
      <c r="N819" s="22"/>
      <c r="O819" s="19" t="s">
        <v>3578</v>
      </c>
      <c r="P819" s="18"/>
      <c r="Q819" s="18"/>
      <c r="R819" s="23">
        <v>6.8</v>
      </c>
      <c r="S819" s="23">
        <v>20.0</v>
      </c>
      <c r="T819" s="23">
        <f t="shared" si="2"/>
        <v>19.2</v>
      </c>
      <c r="U819" s="23">
        <f t="shared" si="3"/>
        <v>8.33</v>
      </c>
      <c r="V819" s="23">
        <f t="shared" si="4"/>
        <v>156.1875</v>
      </c>
      <c r="W819" s="24">
        <f t="shared" si="5"/>
        <v>2.823529412</v>
      </c>
    </row>
    <row r="820" hidden="1">
      <c r="A820" s="15" t="s">
        <v>5894</v>
      </c>
      <c r="B820" s="15" t="s">
        <v>5895</v>
      </c>
      <c r="C820" s="15" t="s">
        <v>7328</v>
      </c>
      <c r="D820" s="15" t="s">
        <v>5896</v>
      </c>
      <c r="E820" s="17" t="s">
        <v>5897</v>
      </c>
      <c r="F820" s="18"/>
      <c r="G820" s="18"/>
      <c r="H820" s="15" t="s">
        <v>5898</v>
      </c>
      <c r="I820" s="18"/>
      <c r="J820" s="19" t="s">
        <v>283</v>
      </c>
      <c r="K820" s="19" t="s">
        <v>4972</v>
      </c>
      <c r="L820" s="19" t="s">
        <v>177</v>
      </c>
      <c r="M820" s="20">
        <f t="shared" si="1"/>
        <v>497.28</v>
      </c>
      <c r="N820" s="22"/>
      <c r="O820" s="19" t="s">
        <v>3578</v>
      </c>
      <c r="P820" s="18"/>
      <c r="Q820" s="18"/>
      <c r="R820" s="23">
        <v>6.0</v>
      </c>
      <c r="S820" s="23">
        <v>28.0</v>
      </c>
      <c r="T820" s="23">
        <f t="shared" si="2"/>
        <v>26.88</v>
      </c>
      <c r="U820" s="23">
        <f t="shared" si="3"/>
        <v>7.35</v>
      </c>
      <c r="V820" s="23">
        <f t="shared" si="4"/>
        <v>137.8125</v>
      </c>
      <c r="W820" s="24">
        <f t="shared" si="5"/>
        <v>4.48</v>
      </c>
    </row>
    <row r="821" hidden="1">
      <c r="A821" s="15" t="s">
        <v>5008</v>
      </c>
      <c r="B821" s="15" t="s">
        <v>5009</v>
      </c>
      <c r="C821" s="15" t="s">
        <v>7329</v>
      </c>
      <c r="D821" s="15" t="s">
        <v>5010</v>
      </c>
      <c r="E821" s="17" t="s">
        <v>5011</v>
      </c>
      <c r="F821" s="18"/>
      <c r="G821" s="18"/>
      <c r="H821" s="15" t="s">
        <v>5012</v>
      </c>
      <c r="I821" s="18"/>
      <c r="J821" s="19" t="s">
        <v>283</v>
      </c>
      <c r="K821" s="19" t="s">
        <v>427</v>
      </c>
      <c r="L821" s="19" t="s">
        <v>177</v>
      </c>
      <c r="M821" s="20">
        <f t="shared" si="1"/>
        <v>0</v>
      </c>
      <c r="N821" s="22"/>
      <c r="O821" s="19" t="s">
        <v>3578</v>
      </c>
      <c r="P821" s="18"/>
      <c r="Q821" s="18"/>
      <c r="R821" s="23">
        <v>0.0</v>
      </c>
      <c r="S821" s="23">
        <v>0.0</v>
      </c>
      <c r="T821" s="23">
        <f t="shared" si="2"/>
        <v>0</v>
      </c>
      <c r="U821" s="23">
        <f t="shared" si="3"/>
        <v>0</v>
      </c>
      <c r="V821" s="23">
        <f t="shared" si="4"/>
        <v>0</v>
      </c>
      <c r="W821" s="24" t="str">
        <f t="shared" si="5"/>
        <v>#DIV/0!</v>
      </c>
    </row>
    <row r="822">
      <c r="A822" s="15" t="s">
        <v>434</v>
      </c>
      <c r="B822" s="15" t="s">
        <v>435</v>
      </c>
      <c r="C822" s="15" t="s">
        <v>5999</v>
      </c>
      <c r="D822" s="15" t="s">
        <v>436</v>
      </c>
      <c r="E822" s="17" t="s">
        <v>6000</v>
      </c>
      <c r="F822" s="18"/>
      <c r="G822" s="15" t="s">
        <v>438</v>
      </c>
      <c r="H822" s="15" t="s">
        <v>439</v>
      </c>
      <c r="I822" s="18"/>
      <c r="J822" s="19" t="s">
        <v>283</v>
      </c>
      <c r="K822" s="19" t="s">
        <v>440</v>
      </c>
      <c r="L822" s="19" t="s">
        <v>135</v>
      </c>
      <c r="M822" s="20">
        <f t="shared" si="1"/>
        <v>745.92</v>
      </c>
      <c r="N822" s="31">
        <v>5.0</v>
      </c>
      <c r="O822" s="19" t="s">
        <v>107</v>
      </c>
      <c r="P822" s="18"/>
      <c r="Q822" s="18"/>
      <c r="R822" s="23">
        <v>6.0</v>
      </c>
      <c r="S822" s="23">
        <v>42.0</v>
      </c>
      <c r="T822" s="23">
        <f t="shared" si="2"/>
        <v>40.32</v>
      </c>
      <c r="U822" s="23">
        <f t="shared" si="3"/>
        <v>7.35</v>
      </c>
      <c r="V822" s="23">
        <f t="shared" si="4"/>
        <v>137.8125</v>
      </c>
      <c r="W822" s="24">
        <f t="shared" si="5"/>
        <v>6.72</v>
      </c>
    </row>
    <row r="823">
      <c r="A823" s="15" t="s">
        <v>627</v>
      </c>
      <c r="B823" s="15" t="s">
        <v>628</v>
      </c>
      <c r="C823" s="15" t="s">
        <v>5999</v>
      </c>
      <c r="D823" s="15" t="s">
        <v>629</v>
      </c>
      <c r="E823" s="17" t="s">
        <v>6001</v>
      </c>
      <c r="F823" s="18"/>
      <c r="G823" s="15" t="s">
        <v>631</v>
      </c>
      <c r="H823" s="15" t="s">
        <v>632</v>
      </c>
      <c r="I823" s="18"/>
      <c r="J823" s="19" t="s">
        <v>283</v>
      </c>
      <c r="K823" s="19" t="s">
        <v>440</v>
      </c>
      <c r="L823" s="19" t="s">
        <v>135</v>
      </c>
      <c r="M823" s="20">
        <f t="shared" si="1"/>
        <v>568.32</v>
      </c>
      <c r="N823" s="31">
        <v>5.0</v>
      </c>
      <c r="O823" s="19" t="s">
        <v>107</v>
      </c>
      <c r="P823" s="18"/>
      <c r="Q823" s="18"/>
      <c r="R823" s="23">
        <v>6.0</v>
      </c>
      <c r="S823" s="23">
        <v>32.0</v>
      </c>
      <c r="T823" s="23">
        <f t="shared" si="2"/>
        <v>30.72</v>
      </c>
      <c r="U823" s="23">
        <f t="shared" si="3"/>
        <v>7.35</v>
      </c>
      <c r="V823" s="23">
        <f t="shared" si="4"/>
        <v>137.8125</v>
      </c>
      <c r="W823" s="24">
        <f t="shared" si="5"/>
        <v>5.12</v>
      </c>
    </row>
    <row r="824" hidden="1">
      <c r="A824" s="15" t="s">
        <v>2377</v>
      </c>
      <c r="B824" s="18"/>
      <c r="C824" s="15" t="s">
        <v>7330</v>
      </c>
      <c r="D824" s="18"/>
      <c r="E824" s="17" t="s">
        <v>1050</v>
      </c>
      <c r="F824" s="18"/>
      <c r="G824" s="18"/>
      <c r="H824" s="18"/>
      <c r="I824" s="18"/>
      <c r="J824" s="19" t="s">
        <v>283</v>
      </c>
      <c r="K824" s="33"/>
      <c r="L824" s="19" t="s">
        <v>38</v>
      </c>
      <c r="M824" s="20">
        <f t="shared" si="1"/>
        <v>0</v>
      </c>
      <c r="N824" s="22"/>
      <c r="O824" s="19" t="s">
        <v>1145</v>
      </c>
      <c r="P824" s="18"/>
      <c r="Q824" s="18"/>
      <c r="R824" s="23">
        <v>0.0</v>
      </c>
      <c r="S824" s="23">
        <v>0.0</v>
      </c>
      <c r="T824" s="23">
        <f t="shared" si="2"/>
        <v>0</v>
      </c>
      <c r="U824" s="23">
        <f t="shared" si="3"/>
        <v>0</v>
      </c>
      <c r="V824" s="23">
        <f t="shared" si="4"/>
        <v>0</v>
      </c>
      <c r="W824" s="24" t="str">
        <f t="shared" si="5"/>
        <v>#DIV/0!</v>
      </c>
    </row>
    <row r="825" hidden="1">
      <c r="A825" s="15" t="s">
        <v>2378</v>
      </c>
      <c r="B825" s="18"/>
      <c r="C825" s="15" t="s">
        <v>7331</v>
      </c>
      <c r="D825" s="18"/>
      <c r="E825" s="17" t="s">
        <v>2379</v>
      </c>
      <c r="F825" s="18"/>
      <c r="G825" s="18"/>
      <c r="H825" s="15" t="s">
        <v>2380</v>
      </c>
      <c r="I825" s="15" t="s">
        <v>2381</v>
      </c>
      <c r="J825" s="19" t="s">
        <v>36</v>
      </c>
      <c r="K825" s="19" t="s">
        <v>2382</v>
      </c>
      <c r="L825" s="19" t="s">
        <v>38</v>
      </c>
      <c r="M825" s="20">
        <f t="shared" si="1"/>
        <v>0</v>
      </c>
      <c r="N825" s="22"/>
      <c r="O825" s="19" t="s">
        <v>1145</v>
      </c>
      <c r="P825" s="18"/>
      <c r="Q825" s="18"/>
      <c r="R825" s="23">
        <v>0.0</v>
      </c>
      <c r="S825" s="23">
        <v>0.0</v>
      </c>
      <c r="T825" s="23">
        <f t="shared" si="2"/>
        <v>0</v>
      </c>
      <c r="U825" s="23">
        <f t="shared" si="3"/>
        <v>0</v>
      </c>
      <c r="V825" s="23">
        <f t="shared" si="4"/>
        <v>0</v>
      </c>
      <c r="W825" s="24" t="str">
        <f t="shared" si="5"/>
        <v>#DIV/0!</v>
      </c>
    </row>
    <row r="826" hidden="1">
      <c r="A826" s="15" t="s">
        <v>2383</v>
      </c>
      <c r="B826" s="18"/>
      <c r="C826" s="15" t="s">
        <v>7332</v>
      </c>
      <c r="D826" s="18"/>
      <c r="E826" s="17" t="s">
        <v>2384</v>
      </c>
      <c r="F826" s="18"/>
      <c r="G826" s="18"/>
      <c r="H826" s="15" t="s">
        <v>2385</v>
      </c>
      <c r="I826" s="15" t="s">
        <v>2386</v>
      </c>
      <c r="J826" s="19" t="s">
        <v>36</v>
      </c>
      <c r="K826" s="19" t="s">
        <v>2387</v>
      </c>
      <c r="L826" s="19" t="s">
        <v>38</v>
      </c>
      <c r="M826" s="20">
        <f t="shared" si="1"/>
        <v>0</v>
      </c>
      <c r="N826" s="22"/>
      <c r="O826" s="19" t="s">
        <v>1145</v>
      </c>
      <c r="P826" s="18"/>
      <c r="Q826" s="18"/>
      <c r="R826" s="23">
        <v>0.0</v>
      </c>
      <c r="S826" s="23">
        <v>0.0</v>
      </c>
      <c r="T826" s="23">
        <f t="shared" si="2"/>
        <v>0</v>
      </c>
      <c r="U826" s="23">
        <f t="shared" si="3"/>
        <v>0</v>
      </c>
      <c r="V826" s="23">
        <f t="shared" si="4"/>
        <v>0</v>
      </c>
      <c r="W826" s="24" t="str">
        <f t="shared" si="5"/>
        <v>#DIV/0!</v>
      </c>
    </row>
    <row r="827" hidden="1">
      <c r="A827" s="15" t="s">
        <v>2388</v>
      </c>
      <c r="B827" s="18"/>
      <c r="C827" s="15" t="s">
        <v>7333</v>
      </c>
      <c r="D827" s="18"/>
      <c r="E827" s="17" t="s">
        <v>2389</v>
      </c>
      <c r="F827" s="18"/>
      <c r="G827" s="18"/>
      <c r="H827" s="15" t="s">
        <v>2390</v>
      </c>
      <c r="I827" s="15" t="s">
        <v>2391</v>
      </c>
      <c r="J827" s="19" t="s">
        <v>36</v>
      </c>
      <c r="K827" s="19" t="s">
        <v>2387</v>
      </c>
      <c r="L827" s="19" t="s">
        <v>38</v>
      </c>
      <c r="M827" s="20">
        <f t="shared" si="1"/>
        <v>0</v>
      </c>
      <c r="N827" s="22"/>
      <c r="O827" s="19" t="s">
        <v>1145</v>
      </c>
      <c r="P827" s="18"/>
      <c r="Q827" s="18"/>
      <c r="R827" s="23">
        <v>0.0</v>
      </c>
      <c r="S827" s="23">
        <v>0.0</v>
      </c>
      <c r="T827" s="23">
        <f t="shared" si="2"/>
        <v>0</v>
      </c>
      <c r="U827" s="23">
        <f t="shared" si="3"/>
        <v>0</v>
      </c>
      <c r="V827" s="23">
        <f t="shared" si="4"/>
        <v>0</v>
      </c>
      <c r="W827" s="24" t="str">
        <f t="shared" si="5"/>
        <v>#DIV/0!</v>
      </c>
    </row>
    <row r="828">
      <c r="A828" s="15" t="s">
        <v>724</v>
      </c>
      <c r="B828" s="15" t="s">
        <v>725</v>
      </c>
      <c r="C828" s="15" t="s">
        <v>7334</v>
      </c>
      <c r="D828" s="15" t="s">
        <v>726</v>
      </c>
      <c r="E828" s="17" t="s">
        <v>727</v>
      </c>
      <c r="F828" s="18"/>
      <c r="G828" s="15" t="s">
        <v>728</v>
      </c>
      <c r="H828" s="15" t="s">
        <v>729</v>
      </c>
      <c r="I828" s="18"/>
      <c r="J828" s="19" t="s">
        <v>36</v>
      </c>
      <c r="K828" s="19" t="s">
        <v>60</v>
      </c>
      <c r="L828" s="19" t="s">
        <v>106</v>
      </c>
      <c r="M828" s="20">
        <f t="shared" si="1"/>
        <v>2930.4</v>
      </c>
      <c r="N828" s="31">
        <v>3.0</v>
      </c>
      <c r="O828" s="19" t="s">
        <v>107</v>
      </c>
      <c r="P828" s="18"/>
      <c r="Q828" s="18"/>
      <c r="R828" s="23">
        <v>34.0</v>
      </c>
      <c r="S828" s="23">
        <v>165.0</v>
      </c>
      <c r="T828" s="23">
        <f t="shared" si="2"/>
        <v>158.4</v>
      </c>
      <c r="U828" s="23">
        <f t="shared" si="3"/>
        <v>41.65</v>
      </c>
      <c r="V828" s="23">
        <f t="shared" si="4"/>
        <v>780.9375</v>
      </c>
      <c r="W828" s="24">
        <f t="shared" si="5"/>
        <v>4.658823529</v>
      </c>
    </row>
    <row r="829">
      <c r="A829" s="15" t="s">
        <v>663</v>
      </c>
      <c r="B829" s="15" t="s">
        <v>664</v>
      </c>
      <c r="C829" s="15" t="s">
        <v>7335</v>
      </c>
      <c r="D829" s="15" t="s">
        <v>665</v>
      </c>
      <c r="E829" s="17" t="s">
        <v>666</v>
      </c>
      <c r="F829" s="18"/>
      <c r="G829" s="18"/>
      <c r="H829" s="15" t="s">
        <v>667</v>
      </c>
      <c r="I829" s="18"/>
      <c r="J829" s="19" t="s">
        <v>36</v>
      </c>
      <c r="K829" s="33"/>
      <c r="L829" s="19" t="s">
        <v>38</v>
      </c>
      <c r="M829" s="20">
        <f t="shared" si="1"/>
        <v>16676.64</v>
      </c>
      <c r="N829" s="31">
        <v>1.0</v>
      </c>
      <c r="O829" s="19" t="s">
        <v>107</v>
      </c>
      <c r="P829" s="18"/>
      <c r="Q829" s="18"/>
      <c r="R829" s="23">
        <v>182.0</v>
      </c>
      <c r="S829" s="23">
        <v>939.0</v>
      </c>
      <c r="T829" s="23">
        <f t="shared" si="2"/>
        <v>901.44</v>
      </c>
      <c r="U829" s="23">
        <f t="shared" si="3"/>
        <v>222.95</v>
      </c>
      <c r="V829" s="23">
        <f t="shared" si="4"/>
        <v>4180.3125</v>
      </c>
      <c r="W829" s="24">
        <f t="shared" si="5"/>
        <v>4.952967033</v>
      </c>
    </row>
    <row r="830">
      <c r="A830" s="15" t="s">
        <v>730</v>
      </c>
      <c r="B830" s="15" t="s">
        <v>731</v>
      </c>
      <c r="C830" s="15" t="s">
        <v>7336</v>
      </c>
      <c r="D830" s="15" t="s">
        <v>732</v>
      </c>
      <c r="E830" s="17" t="s">
        <v>733</v>
      </c>
      <c r="F830" s="18"/>
      <c r="G830" s="18"/>
      <c r="H830" s="15" t="s">
        <v>734</v>
      </c>
      <c r="I830" s="18"/>
      <c r="J830" s="19" t="s">
        <v>36</v>
      </c>
      <c r="K830" s="33"/>
      <c r="L830" s="19" t="s">
        <v>38</v>
      </c>
      <c r="M830" s="20">
        <f t="shared" si="1"/>
        <v>19145.28</v>
      </c>
      <c r="N830" s="31">
        <v>1.0</v>
      </c>
      <c r="O830" s="19" t="s">
        <v>107</v>
      </c>
      <c r="P830" s="18"/>
      <c r="Q830" s="18"/>
      <c r="R830" s="23">
        <v>225.0</v>
      </c>
      <c r="S830" s="23">
        <v>1078.0</v>
      </c>
      <c r="T830" s="23">
        <f t="shared" si="2"/>
        <v>1034.88</v>
      </c>
      <c r="U830" s="23">
        <f t="shared" si="3"/>
        <v>275.625</v>
      </c>
      <c r="V830" s="23">
        <f t="shared" si="4"/>
        <v>5167.96875</v>
      </c>
      <c r="W830" s="24">
        <f t="shared" si="5"/>
        <v>4.599466667</v>
      </c>
    </row>
    <row r="831">
      <c r="A831" s="15" t="s">
        <v>748</v>
      </c>
      <c r="B831" s="15" t="s">
        <v>749</v>
      </c>
      <c r="C831" s="18"/>
      <c r="D831" s="15" t="s">
        <v>750</v>
      </c>
      <c r="E831" s="17" t="s">
        <v>751</v>
      </c>
      <c r="F831" s="18"/>
      <c r="G831" s="15" t="s">
        <v>752</v>
      </c>
      <c r="H831" s="15" t="s">
        <v>753</v>
      </c>
      <c r="I831" s="18"/>
      <c r="J831" s="19" t="s">
        <v>36</v>
      </c>
      <c r="K831" s="19" t="s">
        <v>60</v>
      </c>
      <c r="L831" s="19" t="s">
        <v>84</v>
      </c>
      <c r="M831" s="20">
        <f t="shared" si="1"/>
        <v>4617.6</v>
      </c>
      <c r="N831" s="31">
        <v>2.0</v>
      </c>
      <c r="O831" s="19" t="s">
        <v>107</v>
      </c>
      <c r="P831" s="18"/>
      <c r="Q831" s="18"/>
      <c r="R831" s="23">
        <v>55.0</v>
      </c>
      <c r="S831" s="23">
        <v>260.0</v>
      </c>
      <c r="T831" s="23">
        <f t="shared" si="2"/>
        <v>249.6</v>
      </c>
      <c r="U831" s="23">
        <f t="shared" si="3"/>
        <v>67.375</v>
      </c>
      <c r="V831" s="23">
        <f t="shared" si="4"/>
        <v>1263.28125</v>
      </c>
      <c r="W831" s="24">
        <f t="shared" si="5"/>
        <v>4.538181818</v>
      </c>
    </row>
    <row r="832">
      <c r="A832" s="15" t="s">
        <v>754</v>
      </c>
      <c r="B832" s="15" t="s">
        <v>755</v>
      </c>
      <c r="C832" s="15" t="s">
        <v>7337</v>
      </c>
      <c r="D832" s="15" t="s">
        <v>756</v>
      </c>
      <c r="E832" s="17" t="s">
        <v>757</v>
      </c>
      <c r="F832" s="18"/>
      <c r="G832" s="15" t="s">
        <v>752</v>
      </c>
      <c r="H832" s="15" t="s">
        <v>753</v>
      </c>
      <c r="I832" s="18"/>
      <c r="J832" s="19" t="s">
        <v>36</v>
      </c>
      <c r="K832" s="19" t="s">
        <v>60</v>
      </c>
      <c r="L832" s="19" t="s">
        <v>84</v>
      </c>
      <c r="M832" s="20">
        <f t="shared" si="1"/>
        <v>3356.64</v>
      </c>
      <c r="N832" s="31">
        <v>2.0</v>
      </c>
      <c r="O832" s="19" t="s">
        <v>107</v>
      </c>
      <c r="P832" s="18"/>
      <c r="Q832" s="18"/>
      <c r="R832" s="23">
        <v>40.0</v>
      </c>
      <c r="S832" s="23">
        <v>189.0</v>
      </c>
      <c r="T832" s="23">
        <f t="shared" si="2"/>
        <v>181.44</v>
      </c>
      <c r="U832" s="23">
        <f t="shared" si="3"/>
        <v>49</v>
      </c>
      <c r="V832" s="23">
        <f t="shared" si="4"/>
        <v>918.75</v>
      </c>
      <c r="W832" s="24">
        <f t="shared" si="5"/>
        <v>4.536</v>
      </c>
    </row>
    <row r="833" hidden="1">
      <c r="A833" s="15" t="s">
        <v>314</v>
      </c>
      <c r="B833" s="18"/>
      <c r="C833" s="15" t="s">
        <v>6074</v>
      </c>
      <c r="D833" s="15" t="s">
        <v>316</v>
      </c>
      <c r="E833" s="17" t="s">
        <v>317</v>
      </c>
      <c r="F833" s="18"/>
      <c r="G833" s="18"/>
      <c r="H833" s="15" t="s">
        <v>318</v>
      </c>
      <c r="I833" s="15" t="s">
        <v>319</v>
      </c>
      <c r="J833" s="19" t="s">
        <v>36</v>
      </c>
      <c r="K833" s="19" t="s">
        <v>37</v>
      </c>
      <c r="L833" s="19" t="s">
        <v>38</v>
      </c>
      <c r="M833" s="20">
        <f t="shared" si="1"/>
        <v>0</v>
      </c>
      <c r="N833" s="22"/>
      <c r="O833" s="19" t="s">
        <v>1145</v>
      </c>
      <c r="P833" s="18"/>
      <c r="Q833" s="18"/>
      <c r="R833" s="23">
        <v>0.0</v>
      </c>
      <c r="S833" s="23">
        <v>0.0</v>
      </c>
      <c r="T833" s="23">
        <f t="shared" si="2"/>
        <v>0</v>
      </c>
      <c r="U833" s="23">
        <f t="shared" si="3"/>
        <v>0</v>
      </c>
      <c r="V833" s="23">
        <f t="shared" si="4"/>
        <v>0</v>
      </c>
      <c r="W833" s="24" t="str">
        <f t="shared" si="5"/>
        <v>#DIV/0!</v>
      </c>
    </row>
    <row r="834" hidden="1">
      <c r="A834" s="15" t="s">
        <v>2392</v>
      </c>
      <c r="B834" s="18"/>
      <c r="C834" s="15" t="s">
        <v>7338</v>
      </c>
      <c r="D834" s="18"/>
      <c r="E834" s="17" t="s">
        <v>2393</v>
      </c>
      <c r="F834" s="18"/>
      <c r="G834" s="18"/>
      <c r="H834" s="15" t="s">
        <v>2394</v>
      </c>
      <c r="I834" s="15" t="s">
        <v>2395</v>
      </c>
      <c r="J834" s="19" t="s">
        <v>36</v>
      </c>
      <c r="K834" s="19" t="s">
        <v>2396</v>
      </c>
      <c r="L834" s="19" t="s">
        <v>38</v>
      </c>
      <c r="M834" s="20">
        <f t="shared" si="1"/>
        <v>0</v>
      </c>
      <c r="N834" s="22"/>
      <c r="O834" s="19" t="s">
        <v>1145</v>
      </c>
      <c r="P834" s="18"/>
      <c r="Q834" s="18"/>
      <c r="R834" s="23">
        <v>0.0</v>
      </c>
      <c r="S834" s="23">
        <v>0.0</v>
      </c>
      <c r="T834" s="23">
        <f t="shared" si="2"/>
        <v>0</v>
      </c>
      <c r="U834" s="23">
        <f t="shared" si="3"/>
        <v>0</v>
      </c>
      <c r="V834" s="23">
        <f t="shared" si="4"/>
        <v>0</v>
      </c>
      <c r="W834" s="24" t="str">
        <f t="shared" si="5"/>
        <v>#DIV/0!</v>
      </c>
    </row>
    <row r="835">
      <c r="A835" s="15" t="s">
        <v>456</v>
      </c>
      <c r="B835" s="15" t="s">
        <v>457</v>
      </c>
      <c r="C835" s="15" t="s">
        <v>7339</v>
      </c>
      <c r="D835" s="15" t="s">
        <v>458</v>
      </c>
      <c r="E835" s="17" t="s">
        <v>459</v>
      </c>
      <c r="F835" s="18"/>
      <c r="G835" s="18"/>
      <c r="H835" s="15" t="s">
        <v>460</v>
      </c>
      <c r="I835" s="18"/>
      <c r="J835" s="19" t="s">
        <v>36</v>
      </c>
      <c r="K835" s="33"/>
      <c r="L835" s="19" t="s">
        <v>38</v>
      </c>
      <c r="M835" s="20">
        <f t="shared" si="1"/>
        <v>11437.44</v>
      </c>
      <c r="N835" s="31">
        <v>2.0</v>
      </c>
      <c r="O835" s="19" t="s">
        <v>107</v>
      </c>
      <c r="P835" s="18"/>
      <c r="Q835" s="18"/>
      <c r="R835" s="23">
        <v>95.0</v>
      </c>
      <c r="S835" s="23">
        <v>644.0</v>
      </c>
      <c r="T835" s="23">
        <f t="shared" si="2"/>
        <v>618.24</v>
      </c>
      <c r="U835" s="23">
        <f t="shared" si="3"/>
        <v>116.375</v>
      </c>
      <c r="V835" s="23">
        <f t="shared" si="4"/>
        <v>2182.03125</v>
      </c>
      <c r="W835" s="24">
        <f t="shared" si="5"/>
        <v>6.507789474</v>
      </c>
    </row>
    <row r="836" hidden="1">
      <c r="A836" s="15" t="s">
        <v>5013</v>
      </c>
      <c r="B836" s="15" t="s">
        <v>5014</v>
      </c>
      <c r="C836" s="15" t="s">
        <v>7340</v>
      </c>
      <c r="D836" s="15" t="s">
        <v>5015</v>
      </c>
      <c r="E836" s="17" t="s">
        <v>5016</v>
      </c>
      <c r="F836" s="18"/>
      <c r="G836" s="18"/>
      <c r="H836" s="15" t="s">
        <v>5017</v>
      </c>
      <c r="I836" s="18"/>
      <c r="J836" s="19" t="s">
        <v>36</v>
      </c>
      <c r="K836" s="33"/>
      <c r="L836" s="19" t="s">
        <v>38</v>
      </c>
      <c r="M836" s="20">
        <f t="shared" si="1"/>
        <v>0</v>
      </c>
      <c r="N836" s="22"/>
      <c r="O836" s="19" t="s">
        <v>3578</v>
      </c>
      <c r="P836" s="18"/>
      <c r="Q836" s="18"/>
      <c r="R836" s="23">
        <v>0.0</v>
      </c>
      <c r="S836" s="23">
        <v>0.0</v>
      </c>
      <c r="T836" s="23">
        <f t="shared" si="2"/>
        <v>0</v>
      </c>
      <c r="U836" s="23">
        <f t="shared" si="3"/>
        <v>0</v>
      </c>
      <c r="V836" s="23">
        <f t="shared" si="4"/>
        <v>0</v>
      </c>
      <c r="W836" s="24" t="str">
        <f t="shared" si="5"/>
        <v>#DIV/0!</v>
      </c>
    </row>
    <row r="837" hidden="1">
      <c r="A837" s="15" t="s">
        <v>2397</v>
      </c>
      <c r="B837" s="18"/>
      <c r="C837" s="15" t="s">
        <v>7341</v>
      </c>
      <c r="D837" s="18"/>
      <c r="E837" s="17" t="s">
        <v>2398</v>
      </c>
      <c r="F837" s="18"/>
      <c r="G837" s="18"/>
      <c r="H837" s="15" t="s">
        <v>2399</v>
      </c>
      <c r="I837" s="15" t="s">
        <v>2400</v>
      </c>
      <c r="J837" s="19" t="s">
        <v>36</v>
      </c>
      <c r="K837" s="19" t="s">
        <v>2401</v>
      </c>
      <c r="L837" s="19" t="s">
        <v>38</v>
      </c>
      <c r="M837" s="20">
        <f t="shared" si="1"/>
        <v>0</v>
      </c>
      <c r="N837" s="22"/>
      <c r="O837" s="19" t="s">
        <v>1145</v>
      </c>
      <c r="P837" s="18"/>
      <c r="Q837" s="18"/>
      <c r="R837" s="23">
        <v>0.0</v>
      </c>
      <c r="S837" s="23">
        <v>0.0</v>
      </c>
      <c r="T837" s="23">
        <f t="shared" si="2"/>
        <v>0</v>
      </c>
      <c r="U837" s="23">
        <f t="shared" si="3"/>
        <v>0</v>
      </c>
      <c r="V837" s="23">
        <f t="shared" si="4"/>
        <v>0</v>
      </c>
      <c r="W837" s="24" t="str">
        <f t="shared" si="5"/>
        <v>#DIV/0!</v>
      </c>
    </row>
    <row r="838">
      <c r="A838" s="15" t="s">
        <v>122</v>
      </c>
      <c r="B838" s="15" t="s">
        <v>123</v>
      </c>
      <c r="C838" s="15" t="s">
        <v>6075</v>
      </c>
      <c r="D838" s="15" t="s">
        <v>124</v>
      </c>
      <c r="E838" s="17" t="s">
        <v>125</v>
      </c>
      <c r="F838" s="18"/>
      <c r="G838" s="15" t="s">
        <v>126</v>
      </c>
      <c r="H838" s="15" t="s">
        <v>127</v>
      </c>
      <c r="I838" s="18"/>
      <c r="J838" s="19" t="s">
        <v>36</v>
      </c>
      <c r="K838" s="19" t="s">
        <v>60</v>
      </c>
      <c r="L838" s="19" t="s">
        <v>38</v>
      </c>
      <c r="M838" s="20">
        <f t="shared" si="1"/>
        <v>3125.76</v>
      </c>
      <c r="N838" s="31">
        <v>8.0</v>
      </c>
      <c r="O838" s="19" t="s">
        <v>107</v>
      </c>
      <c r="P838" s="18"/>
      <c r="Q838" s="18"/>
      <c r="R838" s="23">
        <v>7.0</v>
      </c>
      <c r="S838" s="23">
        <v>176.0</v>
      </c>
      <c r="T838" s="23">
        <f t="shared" si="2"/>
        <v>168.96</v>
      </c>
      <c r="U838" s="23">
        <f t="shared" si="3"/>
        <v>8.575</v>
      </c>
      <c r="V838" s="23">
        <f t="shared" si="4"/>
        <v>160.78125</v>
      </c>
      <c r="W838" s="24">
        <f t="shared" si="5"/>
        <v>24.13714286</v>
      </c>
    </row>
    <row r="839">
      <c r="A839" s="15" t="s">
        <v>171</v>
      </c>
      <c r="B839" s="15" t="s">
        <v>172</v>
      </c>
      <c r="C839" s="15" t="s">
        <v>6007</v>
      </c>
      <c r="D839" s="15" t="s">
        <v>173</v>
      </c>
      <c r="E839" s="17" t="s">
        <v>174</v>
      </c>
      <c r="F839" s="18"/>
      <c r="G839" s="15" t="s">
        <v>175</v>
      </c>
      <c r="H839" s="15" t="s">
        <v>176</v>
      </c>
      <c r="I839" s="18"/>
      <c r="J839" s="19" t="s">
        <v>36</v>
      </c>
      <c r="K839" s="19" t="s">
        <v>60</v>
      </c>
      <c r="L839" s="19" t="s">
        <v>38</v>
      </c>
      <c r="M839" s="20">
        <f t="shared" si="1"/>
        <v>1740.48</v>
      </c>
      <c r="N839" s="31">
        <v>6.0</v>
      </c>
      <c r="O839" s="19" t="s">
        <v>107</v>
      </c>
      <c r="P839" s="18"/>
      <c r="Q839" s="18"/>
      <c r="R839" s="23">
        <v>7.0</v>
      </c>
      <c r="S839" s="23">
        <v>98.0</v>
      </c>
      <c r="T839" s="23">
        <f t="shared" si="2"/>
        <v>94.08</v>
      </c>
      <c r="U839" s="23">
        <f t="shared" si="3"/>
        <v>8.575</v>
      </c>
      <c r="V839" s="23">
        <f t="shared" si="4"/>
        <v>160.78125</v>
      </c>
      <c r="W839" s="24">
        <f t="shared" si="5"/>
        <v>13.44</v>
      </c>
    </row>
    <row r="840">
      <c r="A840" s="15" t="s">
        <v>451</v>
      </c>
      <c r="B840" s="15" t="s">
        <v>452</v>
      </c>
      <c r="C840" s="15" t="s">
        <v>6008</v>
      </c>
      <c r="D840" s="15" t="s">
        <v>453</v>
      </c>
      <c r="E840" s="17" t="s">
        <v>454</v>
      </c>
      <c r="F840" s="18"/>
      <c r="G840" s="18"/>
      <c r="H840" s="15" t="s">
        <v>455</v>
      </c>
      <c r="I840" s="18"/>
      <c r="J840" s="19" t="s">
        <v>36</v>
      </c>
      <c r="K840" s="19" t="s">
        <v>60</v>
      </c>
      <c r="L840" s="19" t="s">
        <v>403</v>
      </c>
      <c r="M840" s="20">
        <f t="shared" si="1"/>
        <v>8453.76</v>
      </c>
      <c r="N840" s="31">
        <v>5.0</v>
      </c>
      <c r="O840" s="19" t="s">
        <v>107</v>
      </c>
      <c r="P840" s="18"/>
      <c r="Q840" s="18"/>
      <c r="R840" s="23">
        <v>70.0</v>
      </c>
      <c r="S840" s="23">
        <v>476.0</v>
      </c>
      <c r="T840" s="23">
        <f t="shared" si="2"/>
        <v>456.96</v>
      </c>
      <c r="U840" s="23">
        <f t="shared" si="3"/>
        <v>85.75</v>
      </c>
      <c r="V840" s="23">
        <f t="shared" si="4"/>
        <v>1607.8125</v>
      </c>
      <c r="W840" s="24">
        <f t="shared" si="5"/>
        <v>6.528</v>
      </c>
    </row>
    <row r="841" hidden="1">
      <c r="A841" s="15" t="s">
        <v>5018</v>
      </c>
      <c r="B841" s="15" t="s">
        <v>5019</v>
      </c>
      <c r="C841" s="15" t="s">
        <v>7342</v>
      </c>
      <c r="D841" s="15" t="s">
        <v>5020</v>
      </c>
      <c r="E841" s="17" t="s">
        <v>5021</v>
      </c>
      <c r="F841" s="18"/>
      <c r="G841" s="18"/>
      <c r="H841" s="15" t="s">
        <v>5022</v>
      </c>
      <c r="I841" s="18"/>
      <c r="J841" s="19" t="s">
        <v>36</v>
      </c>
      <c r="K841" s="33"/>
      <c r="L841" s="19" t="s">
        <v>38</v>
      </c>
      <c r="M841" s="20">
        <f t="shared" si="1"/>
        <v>0</v>
      </c>
      <c r="N841" s="22"/>
      <c r="O841" s="19" t="s">
        <v>3578</v>
      </c>
      <c r="P841" s="18"/>
      <c r="Q841" s="18"/>
      <c r="R841" s="23">
        <v>0.0</v>
      </c>
      <c r="S841" s="23">
        <v>0.0</v>
      </c>
      <c r="T841" s="23">
        <f t="shared" si="2"/>
        <v>0</v>
      </c>
      <c r="U841" s="23">
        <f t="shared" si="3"/>
        <v>0</v>
      </c>
      <c r="V841" s="23">
        <f t="shared" si="4"/>
        <v>0</v>
      </c>
      <c r="W841" s="24" t="str">
        <f t="shared" si="5"/>
        <v>#DIV/0!</v>
      </c>
    </row>
    <row r="842">
      <c r="A842" s="15" t="s">
        <v>422</v>
      </c>
      <c r="B842" s="15" t="s">
        <v>423</v>
      </c>
      <c r="C842" s="15" t="s">
        <v>7343</v>
      </c>
      <c r="D842" s="15" t="s">
        <v>424</v>
      </c>
      <c r="E842" s="17" t="s">
        <v>425</v>
      </c>
      <c r="F842" s="18"/>
      <c r="G842" s="18"/>
      <c r="H842" s="15" t="s">
        <v>426</v>
      </c>
      <c r="I842" s="18"/>
      <c r="J842" s="19" t="s">
        <v>36</v>
      </c>
      <c r="K842" s="19" t="s">
        <v>427</v>
      </c>
      <c r="L842" s="19" t="s">
        <v>403</v>
      </c>
      <c r="M842" s="20">
        <f t="shared" si="1"/>
        <v>8205.12</v>
      </c>
      <c r="N842" s="31">
        <v>1.0</v>
      </c>
      <c r="O842" s="19" t="s">
        <v>107</v>
      </c>
      <c r="P842" s="18"/>
      <c r="Q842" s="18"/>
      <c r="R842" s="23">
        <v>65.0</v>
      </c>
      <c r="S842" s="23">
        <v>462.0</v>
      </c>
      <c r="T842" s="23">
        <f t="shared" si="2"/>
        <v>443.52</v>
      </c>
      <c r="U842" s="23">
        <f t="shared" si="3"/>
        <v>79.625</v>
      </c>
      <c r="V842" s="23">
        <f t="shared" si="4"/>
        <v>1492.96875</v>
      </c>
      <c r="W842" s="24">
        <f t="shared" si="5"/>
        <v>6.823384615</v>
      </c>
    </row>
    <row r="843" hidden="1">
      <c r="A843" s="15" t="s">
        <v>7344</v>
      </c>
      <c r="B843" s="15" t="s">
        <v>7345</v>
      </c>
      <c r="C843" s="15" t="s">
        <v>7346</v>
      </c>
      <c r="D843" s="18"/>
      <c r="E843" s="17" t="s">
        <v>7347</v>
      </c>
      <c r="F843" s="18"/>
      <c r="G843" s="18"/>
      <c r="H843" s="15" t="s">
        <v>7348</v>
      </c>
      <c r="I843" s="15" t="s">
        <v>696</v>
      </c>
      <c r="J843" s="19" t="s">
        <v>36</v>
      </c>
      <c r="K843" s="19" t="s">
        <v>2387</v>
      </c>
      <c r="L843" s="19" t="s">
        <v>38</v>
      </c>
      <c r="M843" s="20">
        <f t="shared" si="1"/>
        <v>0</v>
      </c>
      <c r="N843" s="22"/>
      <c r="O843" s="19" t="s">
        <v>39</v>
      </c>
      <c r="P843" s="18"/>
      <c r="Q843" s="18"/>
      <c r="R843" s="23">
        <v>0.0</v>
      </c>
      <c r="S843" s="23">
        <v>0.0</v>
      </c>
      <c r="T843" s="23">
        <f t="shared" si="2"/>
        <v>0</v>
      </c>
      <c r="U843" s="23">
        <f t="shared" si="3"/>
        <v>0</v>
      </c>
      <c r="V843" s="23">
        <f t="shared" si="4"/>
        <v>0</v>
      </c>
      <c r="W843" s="24" t="str">
        <f t="shared" si="5"/>
        <v>#DIV/0!</v>
      </c>
    </row>
    <row r="844" hidden="1">
      <c r="A844" s="15" t="s">
        <v>2402</v>
      </c>
      <c r="B844" s="18"/>
      <c r="C844" s="15" t="s">
        <v>7349</v>
      </c>
      <c r="D844" s="18"/>
      <c r="E844" s="17" t="s">
        <v>2403</v>
      </c>
      <c r="F844" s="18"/>
      <c r="G844" s="18"/>
      <c r="H844" s="15" t="s">
        <v>2404</v>
      </c>
      <c r="I844" s="15" t="s">
        <v>2405</v>
      </c>
      <c r="J844" s="19" t="s">
        <v>36</v>
      </c>
      <c r="K844" s="19" t="s">
        <v>2401</v>
      </c>
      <c r="L844" s="19" t="s">
        <v>38</v>
      </c>
      <c r="M844" s="20">
        <f t="shared" si="1"/>
        <v>0</v>
      </c>
      <c r="N844" s="22"/>
      <c r="O844" s="19" t="s">
        <v>1145</v>
      </c>
      <c r="P844" s="18"/>
      <c r="Q844" s="18"/>
      <c r="R844" s="23">
        <v>0.0</v>
      </c>
      <c r="S844" s="23">
        <v>0.0</v>
      </c>
      <c r="T844" s="23">
        <f t="shared" si="2"/>
        <v>0</v>
      </c>
      <c r="U844" s="23">
        <f t="shared" si="3"/>
        <v>0</v>
      </c>
      <c r="V844" s="23">
        <f t="shared" si="4"/>
        <v>0</v>
      </c>
      <c r="W844" s="24" t="str">
        <f t="shared" si="5"/>
        <v>#DIV/0!</v>
      </c>
    </row>
    <row r="845">
      <c r="A845" s="15" t="s">
        <v>320</v>
      </c>
      <c r="B845" s="15" t="s">
        <v>321</v>
      </c>
      <c r="C845" s="15" t="s">
        <v>7350</v>
      </c>
      <c r="D845" s="15" t="s">
        <v>322</v>
      </c>
      <c r="E845" s="17" t="s">
        <v>323</v>
      </c>
      <c r="F845" s="18"/>
      <c r="G845" s="15" t="s">
        <v>324</v>
      </c>
      <c r="H845" s="15" t="s">
        <v>325</v>
      </c>
      <c r="I845" s="18"/>
      <c r="J845" s="19" t="s">
        <v>36</v>
      </c>
      <c r="K845" s="19" t="s">
        <v>60</v>
      </c>
      <c r="L845" s="19" t="s">
        <v>52</v>
      </c>
      <c r="M845" s="20">
        <f t="shared" si="1"/>
        <v>8453.76</v>
      </c>
      <c r="N845" s="31">
        <v>2.0</v>
      </c>
      <c r="O845" s="19" t="s">
        <v>107</v>
      </c>
      <c r="P845" s="18"/>
      <c r="Q845" s="18"/>
      <c r="R845" s="23">
        <v>60.0</v>
      </c>
      <c r="S845" s="23">
        <v>476.0</v>
      </c>
      <c r="T845" s="23">
        <f t="shared" si="2"/>
        <v>456.96</v>
      </c>
      <c r="U845" s="23">
        <f t="shared" si="3"/>
        <v>73.5</v>
      </c>
      <c r="V845" s="23">
        <f t="shared" si="4"/>
        <v>1378.125</v>
      </c>
      <c r="W845" s="24">
        <f t="shared" si="5"/>
        <v>7.616</v>
      </c>
    </row>
    <row r="846">
      <c r="A846" s="15" t="s">
        <v>704</v>
      </c>
      <c r="B846" s="15" t="s">
        <v>705</v>
      </c>
      <c r="C846" s="15" t="s">
        <v>6076</v>
      </c>
      <c r="D846" s="15" t="s">
        <v>706</v>
      </c>
      <c r="E846" s="17" t="s">
        <v>707</v>
      </c>
      <c r="F846" s="18"/>
      <c r="G846" s="15" t="s">
        <v>708</v>
      </c>
      <c r="H846" s="15" t="s">
        <v>709</v>
      </c>
      <c r="I846" s="18"/>
      <c r="J846" s="19" t="s">
        <v>36</v>
      </c>
      <c r="K846" s="33"/>
      <c r="L846" s="19" t="s">
        <v>38</v>
      </c>
      <c r="M846" s="20">
        <f t="shared" si="1"/>
        <v>177.6</v>
      </c>
      <c r="N846" s="31">
        <v>8.0</v>
      </c>
      <c r="O846" s="19" t="s">
        <v>107</v>
      </c>
      <c r="P846" s="18"/>
      <c r="Q846" s="18"/>
      <c r="R846" s="23">
        <v>2.0</v>
      </c>
      <c r="S846" s="23">
        <v>10.0</v>
      </c>
      <c r="T846" s="23">
        <f t="shared" si="2"/>
        <v>9.6</v>
      </c>
      <c r="U846" s="23">
        <f t="shared" si="3"/>
        <v>2.45</v>
      </c>
      <c r="V846" s="23">
        <f t="shared" si="4"/>
        <v>45.9375</v>
      </c>
      <c r="W846" s="24">
        <f t="shared" si="5"/>
        <v>4.8</v>
      </c>
    </row>
    <row r="847" hidden="1">
      <c r="A847" s="15" t="s">
        <v>2406</v>
      </c>
      <c r="B847" s="18"/>
      <c r="C847" s="15" t="s">
        <v>7351</v>
      </c>
      <c r="D847" s="18"/>
      <c r="E847" s="17" t="s">
        <v>2407</v>
      </c>
      <c r="F847" s="18"/>
      <c r="G847" s="18"/>
      <c r="H847" s="15" t="s">
        <v>2408</v>
      </c>
      <c r="I847" s="15" t="s">
        <v>2409</v>
      </c>
      <c r="J847" s="19" t="s">
        <v>36</v>
      </c>
      <c r="K847" s="19" t="s">
        <v>2401</v>
      </c>
      <c r="L847" s="19" t="s">
        <v>38</v>
      </c>
      <c r="M847" s="20">
        <f t="shared" si="1"/>
        <v>0</v>
      </c>
      <c r="N847" s="22"/>
      <c r="O847" s="19" t="s">
        <v>1145</v>
      </c>
      <c r="P847" s="18"/>
      <c r="Q847" s="18"/>
      <c r="R847" s="23">
        <v>0.0</v>
      </c>
      <c r="S847" s="23">
        <v>0.0</v>
      </c>
      <c r="T847" s="23">
        <f t="shared" si="2"/>
        <v>0</v>
      </c>
      <c r="U847" s="23">
        <f t="shared" si="3"/>
        <v>0</v>
      </c>
      <c r="V847" s="23">
        <f t="shared" si="4"/>
        <v>0</v>
      </c>
      <c r="W847" s="24" t="str">
        <f t="shared" si="5"/>
        <v>#DIV/0!</v>
      </c>
    </row>
    <row r="848">
      <c r="A848" s="15" t="s">
        <v>385</v>
      </c>
      <c r="B848" s="15" t="s">
        <v>386</v>
      </c>
      <c r="C848" s="15" t="s">
        <v>7352</v>
      </c>
      <c r="D848" s="15" t="s">
        <v>7353</v>
      </c>
      <c r="E848" s="17" t="s">
        <v>388</v>
      </c>
      <c r="F848" s="18"/>
      <c r="G848" s="18"/>
      <c r="H848" s="15" t="s">
        <v>389</v>
      </c>
      <c r="I848" s="18"/>
      <c r="J848" s="19" t="s">
        <v>36</v>
      </c>
      <c r="K848" s="33"/>
      <c r="L848" s="19" t="s">
        <v>38</v>
      </c>
      <c r="M848" s="20">
        <f t="shared" si="1"/>
        <v>9252.96</v>
      </c>
      <c r="N848" s="31">
        <v>2.0</v>
      </c>
      <c r="O848" s="19" t="s">
        <v>107</v>
      </c>
      <c r="P848" s="18"/>
      <c r="Q848" s="18"/>
      <c r="R848" s="23">
        <v>70.0</v>
      </c>
      <c r="S848" s="23">
        <v>521.0</v>
      </c>
      <c r="T848" s="23">
        <f t="shared" si="2"/>
        <v>500.16</v>
      </c>
      <c r="U848" s="23">
        <f t="shared" si="3"/>
        <v>85.75</v>
      </c>
      <c r="V848" s="23">
        <f t="shared" si="4"/>
        <v>1607.8125</v>
      </c>
      <c r="W848" s="24">
        <f t="shared" si="5"/>
        <v>7.145142857</v>
      </c>
    </row>
    <row r="849">
      <c r="A849" s="15" t="s">
        <v>332</v>
      </c>
      <c r="B849" s="15" t="s">
        <v>333</v>
      </c>
      <c r="C849" s="15" t="s">
        <v>6077</v>
      </c>
      <c r="D849" s="15" t="s">
        <v>334</v>
      </c>
      <c r="E849" s="17" t="s">
        <v>335</v>
      </c>
      <c r="F849" s="18"/>
      <c r="G849" s="15" t="s">
        <v>336</v>
      </c>
      <c r="H849" s="15" t="s">
        <v>337</v>
      </c>
      <c r="I849" s="18"/>
      <c r="J849" s="19" t="s">
        <v>36</v>
      </c>
      <c r="K849" s="19" t="s">
        <v>60</v>
      </c>
      <c r="L849" s="19" t="s">
        <v>188</v>
      </c>
      <c r="M849" s="20">
        <f t="shared" si="1"/>
        <v>1260.96</v>
      </c>
      <c r="N849" s="31">
        <v>6.0</v>
      </c>
      <c r="O849" s="19" t="s">
        <v>107</v>
      </c>
      <c r="P849" s="18"/>
      <c r="Q849" s="18"/>
      <c r="R849" s="23">
        <v>9.0</v>
      </c>
      <c r="S849" s="23">
        <v>71.0</v>
      </c>
      <c r="T849" s="23">
        <f t="shared" si="2"/>
        <v>68.16</v>
      </c>
      <c r="U849" s="23">
        <f t="shared" si="3"/>
        <v>11.025</v>
      </c>
      <c r="V849" s="23">
        <f t="shared" si="4"/>
        <v>206.71875</v>
      </c>
      <c r="W849" s="24">
        <f t="shared" si="5"/>
        <v>7.573333333</v>
      </c>
    </row>
    <row r="850">
      <c r="A850" s="15" t="s">
        <v>183</v>
      </c>
      <c r="B850" s="15" t="s">
        <v>184</v>
      </c>
      <c r="C850" s="15" t="s">
        <v>6009</v>
      </c>
      <c r="D850" s="15" t="s">
        <v>185</v>
      </c>
      <c r="E850" s="17" t="s">
        <v>186</v>
      </c>
      <c r="F850" s="18"/>
      <c r="G850" s="18"/>
      <c r="H850" s="15" t="s">
        <v>187</v>
      </c>
      <c r="I850" s="18"/>
      <c r="J850" s="19" t="s">
        <v>36</v>
      </c>
      <c r="K850" s="19" t="s">
        <v>60</v>
      </c>
      <c r="L850" s="19" t="s">
        <v>188</v>
      </c>
      <c r="M850" s="20">
        <f t="shared" si="1"/>
        <v>3090.24</v>
      </c>
      <c r="N850" s="31">
        <v>4.0</v>
      </c>
      <c r="O850" s="19" t="s">
        <v>107</v>
      </c>
      <c r="P850" s="18"/>
      <c r="Q850" s="18"/>
      <c r="R850" s="23">
        <v>14.0</v>
      </c>
      <c r="S850" s="23">
        <v>174.0</v>
      </c>
      <c r="T850" s="23">
        <f t="shared" si="2"/>
        <v>167.04</v>
      </c>
      <c r="U850" s="23">
        <f t="shared" si="3"/>
        <v>17.15</v>
      </c>
      <c r="V850" s="23">
        <f t="shared" si="4"/>
        <v>321.5625</v>
      </c>
      <c r="W850" s="24">
        <f t="shared" si="5"/>
        <v>11.93142857</v>
      </c>
    </row>
    <row r="851">
      <c r="A851" s="15" t="s">
        <v>223</v>
      </c>
      <c r="B851" s="15" t="s">
        <v>224</v>
      </c>
      <c r="C851" s="15" t="s">
        <v>6078</v>
      </c>
      <c r="D851" s="15" t="s">
        <v>225</v>
      </c>
      <c r="E851" s="17" t="s">
        <v>226</v>
      </c>
      <c r="F851" s="18"/>
      <c r="G851" s="15" t="s">
        <v>227</v>
      </c>
      <c r="H851" s="15" t="s">
        <v>228</v>
      </c>
      <c r="I851" s="18"/>
      <c r="J851" s="19" t="s">
        <v>36</v>
      </c>
      <c r="K851" s="19" t="s">
        <v>60</v>
      </c>
      <c r="L851" s="19" t="s">
        <v>188</v>
      </c>
      <c r="M851" s="20">
        <f t="shared" si="1"/>
        <v>355.2</v>
      </c>
      <c r="N851" s="31">
        <v>6.0</v>
      </c>
      <c r="O851" s="19" t="s">
        <v>107</v>
      </c>
      <c r="P851" s="18"/>
      <c r="Q851" s="18"/>
      <c r="R851" s="23">
        <v>2.0</v>
      </c>
      <c r="S851" s="23">
        <v>20.0</v>
      </c>
      <c r="T851" s="23">
        <f t="shared" si="2"/>
        <v>19.2</v>
      </c>
      <c r="U851" s="23">
        <f t="shared" si="3"/>
        <v>2.45</v>
      </c>
      <c r="V851" s="23">
        <f t="shared" si="4"/>
        <v>45.9375</v>
      </c>
      <c r="W851" s="24">
        <f t="shared" si="5"/>
        <v>9.6</v>
      </c>
    </row>
    <row r="852" hidden="1">
      <c r="A852" s="15" t="s">
        <v>2410</v>
      </c>
      <c r="B852" s="18"/>
      <c r="C852" s="15" t="s">
        <v>7354</v>
      </c>
      <c r="D852" s="18"/>
      <c r="E852" s="17" t="s">
        <v>2411</v>
      </c>
      <c r="F852" s="18"/>
      <c r="G852" s="18"/>
      <c r="H852" s="15" t="s">
        <v>2412</v>
      </c>
      <c r="I852" s="15" t="s">
        <v>2413</v>
      </c>
      <c r="J852" s="19" t="s">
        <v>36</v>
      </c>
      <c r="K852" s="19" t="s">
        <v>2396</v>
      </c>
      <c r="L852" s="19" t="s">
        <v>38</v>
      </c>
      <c r="M852" s="20">
        <f t="shared" si="1"/>
        <v>0</v>
      </c>
      <c r="N852" s="22"/>
      <c r="O852" s="19" t="s">
        <v>1145</v>
      </c>
      <c r="P852" s="18"/>
      <c r="Q852" s="18"/>
      <c r="R852" s="23">
        <v>0.0</v>
      </c>
      <c r="S852" s="23">
        <v>0.0</v>
      </c>
      <c r="T852" s="23">
        <f t="shared" si="2"/>
        <v>0</v>
      </c>
      <c r="U852" s="23">
        <f t="shared" si="3"/>
        <v>0</v>
      </c>
      <c r="V852" s="23">
        <f t="shared" si="4"/>
        <v>0</v>
      </c>
      <c r="W852" s="24" t="str">
        <f t="shared" si="5"/>
        <v>#DIV/0!</v>
      </c>
    </row>
    <row r="853">
      <c r="A853" s="15" t="s">
        <v>1024</v>
      </c>
      <c r="B853" s="15" t="s">
        <v>1025</v>
      </c>
      <c r="C853" s="15" t="s">
        <v>6010</v>
      </c>
      <c r="D853" s="15" t="s">
        <v>1026</v>
      </c>
      <c r="E853" s="17" t="s">
        <v>1027</v>
      </c>
      <c r="F853" s="18"/>
      <c r="G853" s="15" t="s">
        <v>1028</v>
      </c>
      <c r="H853" s="15" t="s">
        <v>1029</v>
      </c>
      <c r="I853" s="18"/>
      <c r="J853" s="19" t="s">
        <v>36</v>
      </c>
      <c r="K853" s="33"/>
      <c r="L853" s="19" t="s">
        <v>38</v>
      </c>
      <c r="M853" s="20">
        <f t="shared" si="1"/>
        <v>390.72</v>
      </c>
      <c r="N853" s="31">
        <v>6.0</v>
      </c>
      <c r="O853" s="19" t="s">
        <v>107</v>
      </c>
      <c r="P853" s="18"/>
      <c r="Q853" s="18"/>
      <c r="R853" s="23">
        <v>6.5</v>
      </c>
      <c r="S853" s="23">
        <v>22.0</v>
      </c>
      <c r="T853" s="23">
        <f t="shared" si="2"/>
        <v>21.12</v>
      </c>
      <c r="U853" s="23">
        <f t="shared" si="3"/>
        <v>7.9625</v>
      </c>
      <c r="V853" s="23">
        <f t="shared" si="4"/>
        <v>149.296875</v>
      </c>
      <c r="W853" s="24">
        <f t="shared" si="5"/>
        <v>3.249230769</v>
      </c>
    </row>
    <row r="854" hidden="1">
      <c r="A854" s="15" t="s">
        <v>2414</v>
      </c>
      <c r="B854" s="15" t="s">
        <v>2415</v>
      </c>
      <c r="C854" s="15" t="s">
        <v>7355</v>
      </c>
      <c r="D854" s="18"/>
      <c r="E854" s="17" t="s">
        <v>2416</v>
      </c>
      <c r="F854" s="18"/>
      <c r="G854" s="18"/>
      <c r="H854" s="15" t="s">
        <v>2417</v>
      </c>
      <c r="I854" s="18"/>
      <c r="J854" s="19" t="s">
        <v>36</v>
      </c>
      <c r="K854" s="33"/>
      <c r="L854" s="19" t="s">
        <v>38</v>
      </c>
      <c r="M854" s="20">
        <f t="shared" si="1"/>
        <v>0</v>
      </c>
      <c r="N854" s="22"/>
      <c r="O854" s="19" t="s">
        <v>1145</v>
      </c>
      <c r="P854" s="18"/>
      <c r="Q854" s="18"/>
      <c r="R854" s="23">
        <v>0.0</v>
      </c>
      <c r="S854" s="23">
        <v>0.0</v>
      </c>
      <c r="T854" s="23">
        <f t="shared" si="2"/>
        <v>0</v>
      </c>
      <c r="U854" s="23">
        <f t="shared" si="3"/>
        <v>0</v>
      </c>
      <c r="V854" s="23">
        <f t="shared" si="4"/>
        <v>0</v>
      </c>
      <c r="W854" s="24" t="str">
        <f t="shared" si="5"/>
        <v>#DIV/0!</v>
      </c>
    </row>
    <row r="855" hidden="1">
      <c r="A855" s="15" t="s">
        <v>2418</v>
      </c>
      <c r="B855" s="18"/>
      <c r="C855" s="15" t="s">
        <v>7356</v>
      </c>
      <c r="D855" s="18"/>
      <c r="E855" s="17" t="s">
        <v>2419</v>
      </c>
      <c r="F855" s="18"/>
      <c r="G855" s="18"/>
      <c r="H855" s="15" t="s">
        <v>2420</v>
      </c>
      <c r="I855" s="15" t="s">
        <v>2421</v>
      </c>
      <c r="J855" s="19" t="s">
        <v>36</v>
      </c>
      <c r="K855" s="19" t="s">
        <v>691</v>
      </c>
      <c r="L855" s="19" t="s">
        <v>38</v>
      </c>
      <c r="M855" s="20">
        <f t="shared" si="1"/>
        <v>0</v>
      </c>
      <c r="N855" s="22"/>
      <c r="O855" s="19" t="s">
        <v>1145</v>
      </c>
      <c r="P855" s="18"/>
      <c r="Q855" s="18"/>
      <c r="R855" s="23">
        <v>0.0</v>
      </c>
      <c r="S855" s="23">
        <v>0.0</v>
      </c>
      <c r="T855" s="23">
        <f t="shared" si="2"/>
        <v>0</v>
      </c>
      <c r="U855" s="23">
        <f t="shared" si="3"/>
        <v>0</v>
      </c>
      <c r="V855" s="23">
        <f t="shared" si="4"/>
        <v>0</v>
      </c>
      <c r="W855" s="24" t="str">
        <f t="shared" si="5"/>
        <v>#DIV/0!</v>
      </c>
    </row>
    <row r="856" hidden="1">
      <c r="A856" s="15" t="s">
        <v>2422</v>
      </c>
      <c r="B856" s="18"/>
      <c r="C856" s="15" t="s">
        <v>7357</v>
      </c>
      <c r="D856" s="18"/>
      <c r="E856" s="17" t="s">
        <v>2423</v>
      </c>
      <c r="F856" s="18"/>
      <c r="G856" s="18"/>
      <c r="H856" s="15" t="s">
        <v>2424</v>
      </c>
      <c r="I856" s="15" t="s">
        <v>2425</v>
      </c>
      <c r="J856" s="19" t="s">
        <v>36</v>
      </c>
      <c r="K856" s="19" t="s">
        <v>691</v>
      </c>
      <c r="L856" s="19" t="s">
        <v>38</v>
      </c>
      <c r="M856" s="20">
        <f t="shared" si="1"/>
        <v>0</v>
      </c>
      <c r="N856" s="22"/>
      <c r="O856" s="19" t="s">
        <v>1145</v>
      </c>
      <c r="P856" s="18"/>
      <c r="Q856" s="18"/>
      <c r="R856" s="23">
        <v>0.0</v>
      </c>
      <c r="S856" s="23">
        <v>0.0</v>
      </c>
      <c r="T856" s="23">
        <f t="shared" si="2"/>
        <v>0</v>
      </c>
      <c r="U856" s="23">
        <f t="shared" si="3"/>
        <v>0</v>
      </c>
      <c r="V856" s="23">
        <f t="shared" si="4"/>
        <v>0</v>
      </c>
      <c r="W856" s="24" t="str">
        <f t="shared" si="5"/>
        <v>#DIV/0!</v>
      </c>
    </row>
    <row r="857" hidden="1">
      <c r="A857" s="15" t="s">
        <v>7358</v>
      </c>
      <c r="B857" s="18"/>
      <c r="C857" s="18"/>
      <c r="D857" s="18"/>
      <c r="E857" s="17" t="s">
        <v>7359</v>
      </c>
      <c r="F857" s="18"/>
      <c r="G857" s="18"/>
      <c r="H857" s="15" t="s">
        <v>854</v>
      </c>
      <c r="I857" s="18"/>
      <c r="J857" s="19" t="s">
        <v>36</v>
      </c>
      <c r="K857" s="33"/>
      <c r="L857" s="19" t="s">
        <v>38</v>
      </c>
      <c r="M857" s="20">
        <f t="shared" si="1"/>
        <v>0</v>
      </c>
      <c r="N857" s="22"/>
      <c r="O857" s="19" t="s">
        <v>39</v>
      </c>
      <c r="P857" s="18"/>
      <c r="Q857" s="18"/>
      <c r="R857" s="23">
        <v>0.0</v>
      </c>
      <c r="S857" s="23">
        <v>0.0</v>
      </c>
      <c r="T857" s="23">
        <f t="shared" si="2"/>
        <v>0</v>
      </c>
      <c r="U857" s="23">
        <f t="shared" si="3"/>
        <v>0</v>
      </c>
      <c r="V857" s="23">
        <f t="shared" si="4"/>
        <v>0</v>
      </c>
      <c r="W857" s="24" t="str">
        <f t="shared" si="5"/>
        <v>#DIV/0!</v>
      </c>
    </row>
    <row r="858">
      <c r="A858" s="15" t="s">
        <v>679</v>
      </c>
      <c r="B858" s="15" t="s">
        <v>680</v>
      </c>
      <c r="C858" s="15" t="s">
        <v>6011</v>
      </c>
      <c r="D858" s="15" t="s">
        <v>681</v>
      </c>
      <c r="E858" s="17" t="s">
        <v>682</v>
      </c>
      <c r="F858" s="18"/>
      <c r="G858" s="15" t="s">
        <v>683</v>
      </c>
      <c r="H858" s="15" t="s">
        <v>684</v>
      </c>
      <c r="I858" s="18"/>
      <c r="J858" s="19" t="s">
        <v>36</v>
      </c>
      <c r="K858" s="19" t="s">
        <v>60</v>
      </c>
      <c r="L858" s="19" t="s">
        <v>292</v>
      </c>
      <c r="M858" s="20">
        <f t="shared" si="1"/>
        <v>4475.52</v>
      </c>
      <c r="N858" s="31">
        <v>3.0</v>
      </c>
      <c r="O858" s="19" t="s">
        <v>107</v>
      </c>
      <c r="P858" s="18"/>
      <c r="Q858" s="18"/>
      <c r="R858" s="23">
        <v>50.0</v>
      </c>
      <c r="S858" s="23">
        <v>252.0</v>
      </c>
      <c r="T858" s="23">
        <f t="shared" si="2"/>
        <v>241.92</v>
      </c>
      <c r="U858" s="23">
        <f t="shared" si="3"/>
        <v>61.25</v>
      </c>
      <c r="V858" s="23">
        <f t="shared" si="4"/>
        <v>1148.4375</v>
      </c>
      <c r="W858" s="24">
        <f t="shared" si="5"/>
        <v>4.8384</v>
      </c>
    </row>
    <row r="859">
      <c r="A859" s="15" t="s">
        <v>974</v>
      </c>
      <c r="B859" s="15" t="s">
        <v>975</v>
      </c>
      <c r="C859" s="15" t="s">
        <v>7360</v>
      </c>
      <c r="D859" s="15" t="s">
        <v>976</v>
      </c>
      <c r="E859" s="17" t="s">
        <v>977</v>
      </c>
      <c r="F859" s="18"/>
      <c r="G859" s="15" t="s">
        <v>978</v>
      </c>
      <c r="H859" s="15" t="s">
        <v>979</v>
      </c>
      <c r="I859" s="18"/>
      <c r="J859" s="19" t="s">
        <v>36</v>
      </c>
      <c r="K859" s="19" t="s">
        <v>114</v>
      </c>
      <c r="L859" s="19" t="s">
        <v>115</v>
      </c>
      <c r="M859" s="20">
        <f t="shared" si="1"/>
        <v>2504.16</v>
      </c>
      <c r="N859" s="31">
        <v>2.0</v>
      </c>
      <c r="O859" s="19" t="s">
        <v>107</v>
      </c>
      <c r="P859" s="18"/>
      <c r="Q859" s="18"/>
      <c r="R859" s="23">
        <v>38.0</v>
      </c>
      <c r="S859" s="23">
        <v>141.0</v>
      </c>
      <c r="T859" s="23">
        <f t="shared" si="2"/>
        <v>135.36</v>
      </c>
      <c r="U859" s="23">
        <f t="shared" si="3"/>
        <v>46.55</v>
      </c>
      <c r="V859" s="23">
        <f t="shared" si="4"/>
        <v>872.8125</v>
      </c>
      <c r="W859" s="24">
        <f t="shared" si="5"/>
        <v>3.562105263</v>
      </c>
    </row>
    <row r="860" hidden="1">
      <c r="A860" s="15" t="s">
        <v>2426</v>
      </c>
      <c r="B860" s="18"/>
      <c r="C860" s="15" t="s">
        <v>7361</v>
      </c>
      <c r="D860" s="18"/>
      <c r="E860" s="17" t="s">
        <v>2427</v>
      </c>
      <c r="F860" s="18"/>
      <c r="G860" s="18"/>
      <c r="H860" s="15" t="s">
        <v>2428</v>
      </c>
      <c r="I860" s="18"/>
      <c r="J860" s="19" t="s">
        <v>36</v>
      </c>
      <c r="K860" s="33"/>
      <c r="L860" s="19" t="s">
        <v>38</v>
      </c>
      <c r="M860" s="20">
        <f t="shared" si="1"/>
        <v>0</v>
      </c>
      <c r="N860" s="22"/>
      <c r="O860" s="19" t="s">
        <v>1145</v>
      </c>
      <c r="P860" s="18"/>
      <c r="Q860" s="18"/>
      <c r="R860" s="23">
        <v>0.0</v>
      </c>
      <c r="S860" s="23">
        <v>0.0</v>
      </c>
      <c r="T860" s="23">
        <f t="shared" si="2"/>
        <v>0</v>
      </c>
      <c r="U860" s="23">
        <f t="shared" si="3"/>
        <v>0</v>
      </c>
      <c r="V860" s="23">
        <f t="shared" si="4"/>
        <v>0</v>
      </c>
      <c r="W860" s="24" t="str">
        <f t="shared" si="5"/>
        <v>#DIV/0!</v>
      </c>
    </row>
    <row r="861" hidden="1">
      <c r="A861" s="15" t="s">
        <v>5023</v>
      </c>
      <c r="B861" s="15" t="s">
        <v>5024</v>
      </c>
      <c r="C861" s="15" t="s">
        <v>7362</v>
      </c>
      <c r="D861" s="15" t="s">
        <v>5025</v>
      </c>
      <c r="E861" s="17" t="s">
        <v>5026</v>
      </c>
      <c r="F861" s="18"/>
      <c r="G861" s="18"/>
      <c r="H861" s="15" t="s">
        <v>5027</v>
      </c>
      <c r="I861" s="18"/>
      <c r="J861" s="19" t="s">
        <v>36</v>
      </c>
      <c r="K861" s="33"/>
      <c r="L861" s="19" t="s">
        <v>38</v>
      </c>
      <c r="M861" s="20">
        <f t="shared" si="1"/>
        <v>0</v>
      </c>
      <c r="N861" s="22"/>
      <c r="O861" s="19" t="s">
        <v>3578</v>
      </c>
      <c r="P861" s="18"/>
      <c r="Q861" s="18"/>
      <c r="R861" s="23">
        <v>0.0</v>
      </c>
      <c r="S861" s="23">
        <v>0.0</v>
      </c>
      <c r="T861" s="23">
        <f t="shared" si="2"/>
        <v>0</v>
      </c>
      <c r="U861" s="23">
        <f t="shared" si="3"/>
        <v>0</v>
      </c>
      <c r="V861" s="23">
        <f t="shared" si="4"/>
        <v>0</v>
      </c>
      <c r="W861" s="24" t="str">
        <f t="shared" si="5"/>
        <v>#DIV/0!</v>
      </c>
    </row>
    <row r="862" hidden="1">
      <c r="A862" s="15" t="s">
        <v>2429</v>
      </c>
      <c r="B862" s="18"/>
      <c r="C862" s="15" t="s">
        <v>7363</v>
      </c>
      <c r="D862" s="18"/>
      <c r="E862" s="17" t="s">
        <v>2430</v>
      </c>
      <c r="F862" s="18"/>
      <c r="G862" s="18"/>
      <c r="H862" s="15" t="s">
        <v>2431</v>
      </c>
      <c r="I862" s="15" t="s">
        <v>2432</v>
      </c>
      <c r="J862" s="19" t="s">
        <v>36</v>
      </c>
      <c r="K862" s="19" t="s">
        <v>691</v>
      </c>
      <c r="L862" s="19" t="s">
        <v>38</v>
      </c>
      <c r="M862" s="20">
        <f t="shared" si="1"/>
        <v>0</v>
      </c>
      <c r="N862" s="22"/>
      <c r="O862" s="19" t="s">
        <v>1145</v>
      </c>
      <c r="P862" s="18"/>
      <c r="Q862" s="18"/>
      <c r="R862" s="23">
        <v>0.0</v>
      </c>
      <c r="S862" s="23">
        <v>0.0</v>
      </c>
      <c r="T862" s="23">
        <f t="shared" si="2"/>
        <v>0</v>
      </c>
      <c r="U862" s="23">
        <f t="shared" si="3"/>
        <v>0</v>
      </c>
      <c r="V862" s="23">
        <f t="shared" si="4"/>
        <v>0</v>
      </c>
      <c r="W862" s="24" t="str">
        <f t="shared" si="5"/>
        <v>#DIV/0!</v>
      </c>
    </row>
    <row r="863" hidden="1">
      <c r="A863" s="15" t="s">
        <v>2433</v>
      </c>
      <c r="B863" s="18"/>
      <c r="C863" s="15" t="s">
        <v>7364</v>
      </c>
      <c r="D863" s="18"/>
      <c r="E863" s="17" t="s">
        <v>2434</v>
      </c>
      <c r="F863" s="18"/>
      <c r="G863" s="18"/>
      <c r="H863" s="15" t="s">
        <v>2435</v>
      </c>
      <c r="I863" s="15" t="s">
        <v>2436</v>
      </c>
      <c r="J863" s="19" t="s">
        <v>36</v>
      </c>
      <c r="K863" s="19" t="s">
        <v>691</v>
      </c>
      <c r="L863" s="19" t="s">
        <v>38</v>
      </c>
      <c r="M863" s="20">
        <f t="shared" si="1"/>
        <v>0</v>
      </c>
      <c r="N863" s="22"/>
      <c r="O863" s="19" t="s">
        <v>1145</v>
      </c>
      <c r="P863" s="18"/>
      <c r="Q863" s="18"/>
      <c r="R863" s="23">
        <v>0.0</v>
      </c>
      <c r="S863" s="23">
        <v>0.0</v>
      </c>
      <c r="T863" s="23">
        <f t="shared" si="2"/>
        <v>0</v>
      </c>
      <c r="U863" s="23">
        <f t="shared" si="3"/>
        <v>0</v>
      </c>
      <c r="V863" s="23">
        <f t="shared" si="4"/>
        <v>0</v>
      </c>
      <c r="W863" s="24" t="str">
        <f t="shared" si="5"/>
        <v>#DIV/0!</v>
      </c>
    </row>
    <row r="864" hidden="1">
      <c r="A864" s="15" t="s">
        <v>2437</v>
      </c>
      <c r="B864" s="18"/>
      <c r="C864" s="15" t="s">
        <v>7365</v>
      </c>
      <c r="D864" s="18"/>
      <c r="E864" s="17" t="s">
        <v>2438</v>
      </c>
      <c r="F864" s="18"/>
      <c r="G864" s="18"/>
      <c r="H864" s="15" t="s">
        <v>2439</v>
      </c>
      <c r="I864" s="15" t="s">
        <v>2440</v>
      </c>
      <c r="J864" s="19" t="s">
        <v>36</v>
      </c>
      <c r="K864" s="19" t="s">
        <v>691</v>
      </c>
      <c r="L864" s="19" t="s">
        <v>38</v>
      </c>
      <c r="M864" s="20">
        <f t="shared" si="1"/>
        <v>0</v>
      </c>
      <c r="N864" s="22"/>
      <c r="O864" s="19" t="s">
        <v>1145</v>
      </c>
      <c r="P864" s="18"/>
      <c r="Q864" s="18"/>
      <c r="R864" s="23">
        <v>0.0</v>
      </c>
      <c r="S864" s="23">
        <v>0.0</v>
      </c>
      <c r="T864" s="23">
        <f t="shared" si="2"/>
        <v>0</v>
      </c>
      <c r="U864" s="23">
        <f t="shared" si="3"/>
        <v>0</v>
      </c>
      <c r="V864" s="23">
        <f t="shared" si="4"/>
        <v>0</v>
      </c>
      <c r="W864" s="24" t="str">
        <f t="shared" si="5"/>
        <v>#DIV/0!</v>
      </c>
    </row>
    <row r="865" hidden="1">
      <c r="A865" s="15" t="s">
        <v>2441</v>
      </c>
      <c r="B865" s="18"/>
      <c r="C865" s="15" t="s">
        <v>7366</v>
      </c>
      <c r="D865" s="18"/>
      <c r="E865" s="17" t="s">
        <v>2442</v>
      </c>
      <c r="F865" s="18"/>
      <c r="G865" s="18"/>
      <c r="H865" s="15" t="s">
        <v>2443</v>
      </c>
      <c r="I865" s="15" t="s">
        <v>2444</v>
      </c>
      <c r="J865" s="19" t="s">
        <v>36</v>
      </c>
      <c r="K865" s="19" t="s">
        <v>2396</v>
      </c>
      <c r="L865" s="19" t="s">
        <v>38</v>
      </c>
      <c r="M865" s="20">
        <f t="shared" si="1"/>
        <v>0</v>
      </c>
      <c r="N865" s="22"/>
      <c r="O865" s="19" t="s">
        <v>1145</v>
      </c>
      <c r="P865" s="18"/>
      <c r="Q865" s="18"/>
      <c r="R865" s="23">
        <v>0.0</v>
      </c>
      <c r="S865" s="23">
        <v>0.0</v>
      </c>
      <c r="T865" s="23">
        <f t="shared" si="2"/>
        <v>0</v>
      </c>
      <c r="U865" s="23">
        <f t="shared" si="3"/>
        <v>0</v>
      </c>
      <c r="V865" s="23">
        <f t="shared" si="4"/>
        <v>0</v>
      </c>
      <c r="W865" s="24" t="str">
        <f t="shared" si="5"/>
        <v>#DIV/0!</v>
      </c>
    </row>
    <row r="866">
      <c r="A866" s="15" t="s">
        <v>742</v>
      </c>
      <c r="B866" s="15" t="s">
        <v>743</v>
      </c>
      <c r="C866" s="15" t="s">
        <v>6012</v>
      </c>
      <c r="D866" s="15" t="s">
        <v>744</v>
      </c>
      <c r="E866" s="17" t="s">
        <v>745</v>
      </c>
      <c r="F866" s="18"/>
      <c r="G866" s="15" t="s">
        <v>746</v>
      </c>
      <c r="H866" s="15" t="s">
        <v>747</v>
      </c>
      <c r="I866" s="18"/>
      <c r="J866" s="19" t="s">
        <v>36</v>
      </c>
      <c r="K866" s="19" t="s">
        <v>60</v>
      </c>
      <c r="L866" s="19" t="s">
        <v>292</v>
      </c>
      <c r="M866" s="20">
        <f t="shared" si="1"/>
        <v>674.88</v>
      </c>
      <c r="N866" s="31">
        <v>3.0</v>
      </c>
      <c r="O866" s="19" t="s">
        <v>107</v>
      </c>
      <c r="P866" s="18"/>
      <c r="Q866" s="18"/>
      <c r="R866" s="23">
        <v>8.0</v>
      </c>
      <c r="S866" s="23">
        <v>38.0</v>
      </c>
      <c r="T866" s="23">
        <f t="shared" si="2"/>
        <v>36.48</v>
      </c>
      <c r="U866" s="23">
        <f t="shared" si="3"/>
        <v>9.8</v>
      </c>
      <c r="V866" s="23">
        <f t="shared" si="4"/>
        <v>183.75</v>
      </c>
      <c r="W866" s="24">
        <f t="shared" si="5"/>
        <v>4.56</v>
      </c>
    </row>
    <row r="867" hidden="1">
      <c r="A867" s="15" t="s">
        <v>2445</v>
      </c>
      <c r="B867" s="18"/>
      <c r="C867" s="15" t="s">
        <v>7367</v>
      </c>
      <c r="D867" s="18"/>
      <c r="E867" s="17" t="s">
        <v>2446</v>
      </c>
      <c r="F867" s="18"/>
      <c r="G867" s="18"/>
      <c r="H867" s="15" t="s">
        <v>2447</v>
      </c>
      <c r="I867" s="15" t="s">
        <v>2448</v>
      </c>
      <c r="J867" s="19" t="s">
        <v>36</v>
      </c>
      <c r="K867" s="19" t="s">
        <v>2396</v>
      </c>
      <c r="L867" s="19" t="s">
        <v>38</v>
      </c>
      <c r="M867" s="20">
        <f t="shared" si="1"/>
        <v>0</v>
      </c>
      <c r="N867" s="22"/>
      <c r="O867" s="19" t="s">
        <v>1145</v>
      </c>
      <c r="P867" s="18"/>
      <c r="Q867" s="18"/>
      <c r="R867" s="23">
        <v>0.0</v>
      </c>
      <c r="S867" s="23">
        <v>0.0</v>
      </c>
      <c r="T867" s="23">
        <f t="shared" si="2"/>
        <v>0</v>
      </c>
      <c r="U867" s="23">
        <f t="shared" si="3"/>
        <v>0</v>
      </c>
      <c r="V867" s="23">
        <f t="shared" si="4"/>
        <v>0</v>
      </c>
      <c r="W867" s="24" t="str">
        <f t="shared" si="5"/>
        <v>#DIV/0!</v>
      </c>
    </row>
    <row r="868" hidden="1">
      <c r="A868" s="15" t="s">
        <v>2449</v>
      </c>
      <c r="B868" s="18"/>
      <c r="C868" s="15" t="s">
        <v>7368</v>
      </c>
      <c r="D868" s="18"/>
      <c r="E868" s="17" t="s">
        <v>2450</v>
      </c>
      <c r="F868" s="18"/>
      <c r="G868" s="18"/>
      <c r="H868" s="15" t="s">
        <v>2451</v>
      </c>
      <c r="I868" s="15" t="s">
        <v>2452</v>
      </c>
      <c r="J868" s="19" t="s">
        <v>36</v>
      </c>
      <c r="K868" s="19" t="s">
        <v>2387</v>
      </c>
      <c r="L868" s="19" t="s">
        <v>38</v>
      </c>
      <c r="M868" s="20">
        <f t="shared" si="1"/>
        <v>0</v>
      </c>
      <c r="N868" s="22"/>
      <c r="O868" s="19" t="s">
        <v>1145</v>
      </c>
      <c r="P868" s="18"/>
      <c r="Q868" s="18"/>
      <c r="R868" s="23">
        <v>0.0</v>
      </c>
      <c r="S868" s="23">
        <v>0.0</v>
      </c>
      <c r="T868" s="23">
        <f t="shared" si="2"/>
        <v>0</v>
      </c>
      <c r="U868" s="23">
        <f t="shared" si="3"/>
        <v>0</v>
      </c>
      <c r="V868" s="23">
        <f t="shared" si="4"/>
        <v>0</v>
      </c>
      <c r="W868" s="24" t="str">
        <f t="shared" si="5"/>
        <v>#DIV/0!</v>
      </c>
    </row>
    <row r="869" hidden="1">
      <c r="A869" s="15" t="s">
        <v>2453</v>
      </c>
      <c r="B869" s="18"/>
      <c r="C869" s="15" t="s">
        <v>7369</v>
      </c>
      <c r="D869" s="18"/>
      <c r="E869" s="17" t="s">
        <v>2454</v>
      </c>
      <c r="F869" s="18"/>
      <c r="G869" s="18"/>
      <c r="H869" s="15" t="s">
        <v>2455</v>
      </c>
      <c r="I869" s="15" t="s">
        <v>2456</v>
      </c>
      <c r="J869" s="19" t="s">
        <v>36</v>
      </c>
      <c r="K869" s="19" t="s">
        <v>2396</v>
      </c>
      <c r="L869" s="19" t="s">
        <v>38</v>
      </c>
      <c r="M869" s="20">
        <f t="shared" si="1"/>
        <v>0</v>
      </c>
      <c r="N869" s="22"/>
      <c r="O869" s="19" t="s">
        <v>1145</v>
      </c>
      <c r="P869" s="18"/>
      <c r="Q869" s="18"/>
      <c r="R869" s="23">
        <v>0.0</v>
      </c>
      <c r="S869" s="23">
        <v>0.0</v>
      </c>
      <c r="T869" s="23">
        <f t="shared" si="2"/>
        <v>0</v>
      </c>
      <c r="U869" s="23">
        <f t="shared" si="3"/>
        <v>0</v>
      </c>
      <c r="V869" s="23">
        <f t="shared" si="4"/>
        <v>0</v>
      </c>
      <c r="W869" s="24" t="str">
        <f t="shared" si="5"/>
        <v>#DIV/0!</v>
      </c>
    </row>
    <row r="870" hidden="1">
      <c r="A870" s="15" t="s">
        <v>2457</v>
      </c>
      <c r="B870" s="18"/>
      <c r="C870" s="15" t="s">
        <v>7370</v>
      </c>
      <c r="D870" s="18"/>
      <c r="E870" s="17" t="s">
        <v>2458</v>
      </c>
      <c r="F870" s="18"/>
      <c r="G870" s="18"/>
      <c r="H870" s="15" t="s">
        <v>2459</v>
      </c>
      <c r="I870" s="15" t="s">
        <v>2460</v>
      </c>
      <c r="J870" s="19" t="s">
        <v>36</v>
      </c>
      <c r="K870" s="19" t="s">
        <v>2387</v>
      </c>
      <c r="L870" s="19" t="s">
        <v>38</v>
      </c>
      <c r="M870" s="20">
        <f t="shared" si="1"/>
        <v>0</v>
      </c>
      <c r="N870" s="22"/>
      <c r="O870" s="19" t="s">
        <v>1145</v>
      </c>
      <c r="P870" s="18"/>
      <c r="Q870" s="18"/>
      <c r="R870" s="23">
        <v>0.0</v>
      </c>
      <c r="S870" s="23">
        <v>0.0</v>
      </c>
      <c r="T870" s="23">
        <f t="shared" si="2"/>
        <v>0</v>
      </c>
      <c r="U870" s="23">
        <f t="shared" si="3"/>
        <v>0</v>
      </c>
      <c r="V870" s="23">
        <f t="shared" si="4"/>
        <v>0</v>
      </c>
      <c r="W870" s="24" t="str">
        <f t="shared" si="5"/>
        <v>#DIV/0!</v>
      </c>
    </row>
    <row r="871" hidden="1">
      <c r="A871" s="15" t="s">
        <v>2461</v>
      </c>
      <c r="B871" s="18"/>
      <c r="C871" s="15" t="s">
        <v>7371</v>
      </c>
      <c r="D871" s="18"/>
      <c r="E871" s="17" t="s">
        <v>2462</v>
      </c>
      <c r="F871" s="18"/>
      <c r="G871" s="18"/>
      <c r="H871" s="15" t="s">
        <v>2463</v>
      </c>
      <c r="I871" s="15" t="s">
        <v>2464</v>
      </c>
      <c r="J871" s="19" t="s">
        <v>36</v>
      </c>
      <c r="K871" s="19" t="s">
        <v>2387</v>
      </c>
      <c r="L871" s="19" t="s">
        <v>38</v>
      </c>
      <c r="M871" s="20">
        <f t="shared" si="1"/>
        <v>0</v>
      </c>
      <c r="N871" s="22"/>
      <c r="O871" s="19" t="s">
        <v>1145</v>
      </c>
      <c r="P871" s="18"/>
      <c r="Q871" s="18"/>
      <c r="R871" s="23">
        <v>0.0</v>
      </c>
      <c r="S871" s="23">
        <v>0.0</v>
      </c>
      <c r="T871" s="23">
        <f t="shared" si="2"/>
        <v>0</v>
      </c>
      <c r="U871" s="23">
        <f t="shared" si="3"/>
        <v>0</v>
      </c>
      <c r="V871" s="23">
        <f t="shared" si="4"/>
        <v>0</v>
      </c>
      <c r="W871" s="24" t="str">
        <f t="shared" si="5"/>
        <v>#DIV/0!</v>
      </c>
    </row>
    <row r="872" hidden="1">
      <c r="A872" s="15" t="s">
        <v>2465</v>
      </c>
      <c r="B872" s="18"/>
      <c r="C872" s="15" t="s">
        <v>7372</v>
      </c>
      <c r="D872" s="18"/>
      <c r="E872" s="17" t="s">
        <v>2466</v>
      </c>
      <c r="F872" s="18"/>
      <c r="G872" s="18"/>
      <c r="H872" s="15" t="s">
        <v>2467</v>
      </c>
      <c r="I872" s="18"/>
      <c r="J872" s="19" t="s">
        <v>36</v>
      </c>
      <c r="K872" s="19" t="s">
        <v>2382</v>
      </c>
      <c r="L872" s="19" t="s">
        <v>38</v>
      </c>
      <c r="M872" s="20">
        <f t="shared" si="1"/>
        <v>0</v>
      </c>
      <c r="N872" s="22"/>
      <c r="O872" s="19" t="s">
        <v>1145</v>
      </c>
      <c r="P872" s="18"/>
      <c r="Q872" s="18"/>
      <c r="R872" s="23">
        <v>0.0</v>
      </c>
      <c r="S872" s="23">
        <v>0.0</v>
      </c>
      <c r="T872" s="23">
        <f t="shared" si="2"/>
        <v>0</v>
      </c>
      <c r="U872" s="23">
        <f t="shared" si="3"/>
        <v>0</v>
      </c>
      <c r="V872" s="23">
        <f t="shared" si="4"/>
        <v>0</v>
      </c>
      <c r="W872" s="24" t="str">
        <f t="shared" si="5"/>
        <v>#DIV/0!</v>
      </c>
    </row>
    <row r="873" hidden="1">
      <c r="A873" s="15" t="s">
        <v>2468</v>
      </c>
      <c r="B873" s="18"/>
      <c r="C873" s="15" t="s">
        <v>7373</v>
      </c>
      <c r="D873" s="18"/>
      <c r="E873" s="17" t="s">
        <v>2469</v>
      </c>
      <c r="F873" s="18"/>
      <c r="G873" s="18"/>
      <c r="H873" s="15" t="s">
        <v>2470</v>
      </c>
      <c r="I873" s="18"/>
      <c r="J873" s="19" t="s">
        <v>36</v>
      </c>
      <c r="K873" s="19" t="s">
        <v>2382</v>
      </c>
      <c r="L873" s="19" t="s">
        <v>38</v>
      </c>
      <c r="M873" s="20">
        <f t="shared" si="1"/>
        <v>0</v>
      </c>
      <c r="N873" s="22"/>
      <c r="O873" s="19" t="s">
        <v>1145</v>
      </c>
      <c r="P873" s="18"/>
      <c r="Q873" s="18"/>
      <c r="R873" s="23">
        <v>0.0</v>
      </c>
      <c r="S873" s="23">
        <v>0.0</v>
      </c>
      <c r="T873" s="23">
        <f t="shared" si="2"/>
        <v>0</v>
      </c>
      <c r="U873" s="23">
        <f t="shared" si="3"/>
        <v>0</v>
      </c>
      <c r="V873" s="23">
        <f t="shared" si="4"/>
        <v>0</v>
      </c>
      <c r="W873" s="24" t="str">
        <f t="shared" si="5"/>
        <v>#DIV/0!</v>
      </c>
    </row>
    <row r="874" hidden="1">
      <c r="A874" s="15" t="s">
        <v>2471</v>
      </c>
      <c r="B874" s="18"/>
      <c r="C874" s="15" t="s">
        <v>7374</v>
      </c>
      <c r="D874" s="18"/>
      <c r="E874" s="17" t="s">
        <v>2472</v>
      </c>
      <c r="F874" s="18"/>
      <c r="G874" s="18"/>
      <c r="H874" s="15" t="s">
        <v>2473</v>
      </c>
      <c r="I874" s="15" t="s">
        <v>2474</v>
      </c>
      <c r="J874" s="19" t="s">
        <v>36</v>
      </c>
      <c r="K874" s="19" t="s">
        <v>691</v>
      </c>
      <c r="L874" s="19" t="s">
        <v>38</v>
      </c>
      <c r="M874" s="20">
        <f t="shared" si="1"/>
        <v>0</v>
      </c>
      <c r="N874" s="22"/>
      <c r="O874" s="19" t="s">
        <v>1145</v>
      </c>
      <c r="P874" s="18"/>
      <c r="Q874" s="18"/>
      <c r="R874" s="23">
        <v>0.0</v>
      </c>
      <c r="S874" s="23">
        <v>0.0</v>
      </c>
      <c r="T874" s="23">
        <f t="shared" si="2"/>
        <v>0</v>
      </c>
      <c r="U874" s="23">
        <f t="shared" si="3"/>
        <v>0</v>
      </c>
      <c r="V874" s="23">
        <f t="shared" si="4"/>
        <v>0</v>
      </c>
      <c r="W874" s="24" t="str">
        <f t="shared" si="5"/>
        <v>#DIV/0!</v>
      </c>
    </row>
    <row r="875" hidden="1">
      <c r="A875" s="15" t="s">
        <v>7375</v>
      </c>
      <c r="B875" s="18"/>
      <c r="C875" s="15" t="s">
        <v>7376</v>
      </c>
      <c r="D875" s="18"/>
      <c r="E875" s="17" t="s">
        <v>7377</v>
      </c>
      <c r="F875" s="18"/>
      <c r="G875" s="18"/>
      <c r="H875" s="15" t="s">
        <v>7378</v>
      </c>
      <c r="I875" s="15" t="s">
        <v>7379</v>
      </c>
      <c r="J875" s="19" t="s">
        <v>36</v>
      </c>
      <c r="K875" s="19" t="s">
        <v>2387</v>
      </c>
      <c r="L875" s="19" t="s">
        <v>38</v>
      </c>
      <c r="M875" s="20">
        <f t="shared" si="1"/>
        <v>0</v>
      </c>
      <c r="N875" s="22"/>
      <c r="O875" s="19" t="s">
        <v>1145</v>
      </c>
      <c r="P875" s="18"/>
      <c r="Q875" s="18"/>
      <c r="R875" s="23">
        <v>0.0</v>
      </c>
      <c r="S875" s="23">
        <v>0.0</v>
      </c>
      <c r="T875" s="23">
        <f t="shared" si="2"/>
        <v>0</v>
      </c>
      <c r="U875" s="23">
        <f t="shared" si="3"/>
        <v>0</v>
      </c>
      <c r="V875" s="23">
        <f t="shared" si="4"/>
        <v>0</v>
      </c>
      <c r="W875" s="24" t="str">
        <f t="shared" si="5"/>
        <v>#DIV/0!</v>
      </c>
    </row>
    <row r="876" hidden="1">
      <c r="A876" s="15" t="s">
        <v>2475</v>
      </c>
      <c r="B876" s="18"/>
      <c r="C876" s="15" t="s">
        <v>7380</v>
      </c>
      <c r="D876" s="18"/>
      <c r="E876" s="17" t="s">
        <v>2476</v>
      </c>
      <c r="F876" s="18"/>
      <c r="G876" s="18"/>
      <c r="H876" s="15" t="s">
        <v>2477</v>
      </c>
      <c r="I876" s="15" t="s">
        <v>2478</v>
      </c>
      <c r="J876" s="19" t="s">
        <v>36</v>
      </c>
      <c r="K876" s="19" t="s">
        <v>2401</v>
      </c>
      <c r="L876" s="19" t="s">
        <v>38</v>
      </c>
      <c r="M876" s="20">
        <f t="shared" si="1"/>
        <v>0</v>
      </c>
      <c r="N876" s="22"/>
      <c r="O876" s="19" t="s">
        <v>1145</v>
      </c>
      <c r="P876" s="18"/>
      <c r="Q876" s="18"/>
      <c r="R876" s="23">
        <v>0.0</v>
      </c>
      <c r="S876" s="23">
        <v>0.0</v>
      </c>
      <c r="T876" s="23">
        <f t="shared" si="2"/>
        <v>0</v>
      </c>
      <c r="U876" s="23">
        <f t="shared" si="3"/>
        <v>0</v>
      </c>
      <c r="V876" s="23">
        <f t="shared" si="4"/>
        <v>0</v>
      </c>
      <c r="W876" s="24" t="str">
        <f t="shared" si="5"/>
        <v>#DIV/0!</v>
      </c>
    </row>
    <row r="877" hidden="1">
      <c r="A877" s="15" t="s">
        <v>2479</v>
      </c>
      <c r="B877" s="18"/>
      <c r="C877" s="15" t="s">
        <v>7381</v>
      </c>
      <c r="D877" s="18"/>
      <c r="E877" s="17" t="s">
        <v>2476</v>
      </c>
      <c r="F877" s="18"/>
      <c r="G877" s="18"/>
      <c r="H877" s="15" t="s">
        <v>2480</v>
      </c>
      <c r="I877" s="15" t="s">
        <v>2481</v>
      </c>
      <c r="J877" s="19" t="s">
        <v>36</v>
      </c>
      <c r="K877" s="19" t="s">
        <v>2401</v>
      </c>
      <c r="L877" s="19" t="s">
        <v>38</v>
      </c>
      <c r="M877" s="20">
        <f t="shared" si="1"/>
        <v>0</v>
      </c>
      <c r="N877" s="22"/>
      <c r="O877" s="19" t="s">
        <v>1145</v>
      </c>
      <c r="P877" s="18"/>
      <c r="Q877" s="18"/>
      <c r="R877" s="23">
        <v>0.0</v>
      </c>
      <c r="S877" s="23">
        <v>0.0</v>
      </c>
      <c r="T877" s="23">
        <f t="shared" si="2"/>
        <v>0</v>
      </c>
      <c r="U877" s="23">
        <f t="shared" si="3"/>
        <v>0</v>
      </c>
      <c r="V877" s="23">
        <f t="shared" si="4"/>
        <v>0</v>
      </c>
      <c r="W877" s="24" t="str">
        <f t="shared" si="5"/>
        <v>#DIV/0!</v>
      </c>
    </row>
    <row r="878" hidden="1">
      <c r="A878" s="15" t="s">
        <v>2482</v>
      </c>
      <c r="B878" s="18"/>
      <c r="C878" s="15" t="s">
        <v>7382</v>
      </c>
      <c r="D878" s="18"/>
      <c r="E878" s="17" t="s">
        <v>2483</v>
      </c>
      <c r="F878" s="18"/>
      <c r="G878" s="18"/>
      <c r="H878" s="15" t="s">
        <v>2484</v>
      </c>
      <c r="I878" s="15" t="s">
        <v>2485</v>
      </c>
      <c r="J878" s="19" t="s">
        <v>36</v>
      </c>
      <c r="K878" s="19" t="s">
        <v>2401</v>
      </c>
      <c r="L878" s="19" t="s">
        <v>38</v>
      </c>
      <c r="M878" s="20">
        <f t="shared" si="1"/>
        <v>0</v>
      </c>
      <c r="N878" s="22"/>
      <c r="O878" s="19" t="s">
        <v>1145</v>
      </c>
      <c r="P878" s="18"/>
      <c r="Q878" s="18"/>
      <c r="R878" s="23">
        <v>0.0</v>
      </c>
      <c r="S878" s="23">
        <v>0.0</v>
      </c>
      <c r="T878" s="23">
        <f t="shared" si="2"/>
        <v>0</v>
      </c>
      <c r="U878" s="23">
        <f t="shared" si="3"/>
        <v>0</v>
      </c>
      <c r="V878" s="23">
        <f t="shared" si="4"/>
        <v>0</v>
      </c>
      <c r="W878" s="24" t="str">
        <f t="shared" si="5"/>
        <v>#DIV/0!</v>
      </c>
    </row>
    <row r="879" hidden="1">
      <c r="A879" s="15" t="s">
        <v>2486</v>
      </c>
      <c r="B879" s="18"/>
      <c r="C879" s="15" t="s">
        <v>7383</v>
      </c>
      <c r="D879" s="18"/>
      <c r="E879" s="17" t="s">
        <v>2487</v>
      </c>
      <c r="F879" s="18"/>
      <c r="G879" s="18"/>
      <c r="H879" s="15" t="s">
        <v>2488</v>
      </c>
      <c r="I879" s="15" t="s">
        <v>2489</v>
      </c>
      <c r="J879" s="19" t="s">
        <v>36</v>
      </c>
      <c r="K879" s="19" t="s">
        <v>2401</v>
      </c>
      <c r="L879" s="19" t="s">
        <v>38</v>
      </c>
      <c r="M879" s="20">
        <f t="shared" si="1"/>
        <v>0</v>
      </c>
      <c r="N879" s="22"/>
      <c r="O879" s="19" t="s">
        <v>1145</v>
      </c>
      <c r="P879" s="18"/>
      <c r="Q879" s="18"/>
      <c r="R879" s="23">
        <v>0.0</v>
      </c>
      <c r="S879" s="23">
        <v>0.0</v>
      </c>
      <c r="T879" s="23">
        <f t="shared" si="2"/>
        <v>0</v>
      </c>
      <c r="U879" s="23">
        <f t="shared" si="3"/>
        <v>0</v>
      </c>
      <c r="V879" s="23">
        <f t="shared" si="4"/>
        <v>0</v>
      </c>
      <c r="W879" s="24" t="str">
        <f t="shared" si="5"/>
        <v>#DIV/0!</v>
      </c>
    </row>
    <row r="880" hidden="1">
      <c r="A880" s="15" t="s">
        <v>2490</v>
      </c>
      <c r="B880" s="18"/>
      <c r="C880" s="15" t="s">
        <v>7384</v>
      </c>
      <c r="D880" s="18"/>
      <c r="E880" s="17" t="s">
        <v>2491</v>
      </c>
      <c r="F880" s="18"/>
      <c r="G880" s="18"/>
      <c r="H880" s="15" t="s">
        <v>2492</v>
      </c>
      <c r="I880" s="15" t="s">
        <v>2493</v>
      </c>
      <c r="J880" s="19" t="s">
        <v>36</v>
      </c>
      <c r="K880" s="19" t="s">
        <v>2396</v>
      </c>
      <c r="L880" s="19" t="s">
        <v>38</v>
      </c>
      <c r="M880" s="20">
        <f t="shared" si="1"/>
        <v>0</v>
      </c>
      <c r="N880" s="22"/>
      <c r="O880" s="19" t="s">
        <v>1145</v>
      </c>
      <c r="P880" s="18"/>
      <c r="Q880" s="18"/>
      <c r="R880" s="23">
        <v>0.0</v>
      </c>
      <c r="S880" s="23">
        <v>0.0</v>
      </c>
      <c r="T880" s="23">
        <f t="shared" si="2"/>
        <v>0</v>
      </c>
      <c r="U880" s="23">
        <f t="shared" si="3"/>
        <v>0</v>
      </c>
      <c r="V880" s="23">
        <f t="shared" si="4"/>
        <v>0</v>
      </c>
      <c r="W880" s="24" t="str">
        <f t="shared" si="5"/>
        <v>#DIV/0!</v>
      </c>
    </row>
    <row r="881" hidden="1">
      <c r="A881" s="15" t="s">
        <v>2494</v>
      </c>
      <c r="B881" s="18"/>
      <c r="C881" s="15" t="s">
        <v>7385</v>
      </c>
      <c r="D881" s="18"/>
      <c r="E881" s="17" t="s">
        <v>2495</v>
      </c>
      <c r="F881" s="18"/>
      <c r="G881" s="18"/>
      <c r="H881" s="15" t="s">
        <v>2496</v>
      </c>
      <c r="I881" s="15" t="s">
        <v>2497</v>
      </c>
      <c r="J881" s="19" t="s">
        <v>36</v>
      </c>
      <c r="K881" s="19" t="s">
        <v>2382</v>
      </c>
      <c r="L881" s="19" t="s">
        <v>38</v>
      </c>
      <c r="M881" s="20">
        <f t="shared" si="1"/>
        <v>0</v>
      </c>
      <c r="N881" s="22"/>
      <c r="O881" s="19" t="s">
        <v>1145</v>
      </c>
      <c r="P881" s="18"/>
      <c r="Q881" s="18"/>
      <c r="R881" s="23">
        <v>0.0</v>
      </c>
      <c r="S881" s="23">
        <v>0.0</v>
      </c>
      <c r="T881" s="23">
        <f t="shared" si="2"/>
        <v>0</v>
      </c>
      <c r="U881" s="23">
        <f t="shared" si="3"/>
        <v>0</v>
      </c>
      <c r="V881" s="23">
        <f t="shared" si="4"/>
        <v>0</v>
      </c>
      <c r="W881" s="24" t="str">
        <f t="shared" si="5"/>
        <v>#DIV/0!</v>
      </c>
    </row>
    <row r="882" hidden="1">
      <c r="A882" s="15" t="s">
        <v>5028</v>
      </c>
      <c r="B882" s="15" t="s">
        <v>5029</v>
      </c>
      <c r="C882" s="15" t="s">
        <v>7330</v>
      </c>
      <c r="D882" s="15" t="s">
        <v>5030</v>
      </c>
      <c r="E882" s="17" t="s">
        <v>5031</v>
      </c>
      <c r="F882" s="18"/>
      <c r="G882" s="18"/>
      <c r="H882" s="15" t="s">
        <v>5032</v>
      </c>
      <c r="I882" s="15"/>
      <c r="J882" s="19" t="s">
        <v>36</v>
      </c>
      <c r="K882" s="33"/>
      <c r="L882" s="19" t="s">
        <v>38</v>
      </c>
      <c r="M882" s="20">
        <f t="shared" si="1"/>
        <v>0</v>
      </c>
      <c r="N882" s="22"/>
      <c r="O882" s="19" t="s">
        <v>3578</v>
      </c>
      <c r="P882" s="18"/>
      <c r="Q882" s="18"/>
      <c r="R882" s="23">
        <v>0.0</v>
      </c>
      <c r="S882" s="23">
        <v>0.0</v>
      </c>
      <c r="T882" s="23">
        <f t="shared" si="2"/>
        <v>0</v>
      </c>
      <c r="U882" s="23">
        <f t="shared" si="3"/>
        <v>0</v>
      </c>
      <c r="V882" s="23">
        <f t="shared" si="4"/>
        <v>0</v>
      </c>
      <c r="W882" s="24" t="str">
        <f t="shared" si="5"/>
        <v>#DIV/0!</v>
      </c>
    </row>
    <row r="883">
      <c r="A883" s="15" t="s">
        <v>1047</v>
      </c>
      <c r="B883" s="15" t="s">
        <v>1048</v>
      </c>
      <c r="C883" s="15" t="s">
        <v>6079</v>
      </c>
      <c r="D883" s="15" t="s">
        <v>1037</v>
      </c>
      <c r="E883" s="17" t="s">
        <v>1049</v>
      </c>
      <c r="F883" s="18"/>
      <c r="G883" s="15" t="s">
        <v>1050</v>
      </c>
      <c r="H883" s="15" t="s">
        <v>1051</v>
      </c>
      <c r="I883" s="18"/>
      <c r="J883" s="19" t="s">
        <v>36</v>
      </c>
      <c r="K883" s="19" t="s">
        <v>114</v>
      </c>
      <c r="L883" s="19" t="s">
        <v>115</v>
      </c>
      <c r="M883" s="20">
        <f t="shared" si="1"/>
        <v>3427.68</v>
      </c>
      <c r="N883" s="31">
        <v>4.0</v>
      </c>
      <c r="O883" s="19" t="s">
        <v>107</v>
      </c>
      <c r="P883" s="18"/>
      <c r="Q883" s="18"/>
      <c r="R883" s="23">
        <v>60.0</v>
      </c>
      <c r="S883" s="23">
        <v>193.0</v>
      </c>
      <c r="T883" s="23">
        <f t="shared" si="2"/>
        <v>185.28</v>
      </c>
      <c r="U883" s="23">
        <f t="shared" si="3"/>
        <v>73.5</v>
      </c>
      <c r="V883" s="23">
        <f t="shared" si="4"/>
        <v>1378.125</v>
      </c>
      <c r="W883" s="24">
        <f t="shared" si="5"/>
        <v>3.088</v>
      </c>
    </row>
    <row r="884" hidden="1">
      <c r="A884" s="15" t="s">
        <v>7386</v>
      </c>
      <c r="B884" s="18"/>
      <c r="C884" s="15" t="s">
        <v>6453</v>
      </c>
      <c r="D884" s="18"/>
      <c r="E884" s="17" t="s">
        <v>837</v>
      </c>
      <c r="F884" s="18"/>
      <c r="G884" s="18"/>
      <c r="H884" s="18"/>
      <c r="I884" s="18"/>
      <c r="J884" s="19" t="s">
        <v>36</v>
      </c>
      <c r="K884" s="19" t="s">
        <v>37</v>
      </c>
      <c r="L884" s="19" t="s">
        <v>38</v>
      </c>
      <c r="M884" s="20">
        <f t="shared" si="1"/>
        <v>0</v>
      </c>
      <c r="N884" s="22"/>
      <c r="O884" s="19" t="s">
        <v>39</v>
      </c>
      <c r="P884" s="18"/>
      <c r="Q884" s="18"/>
      <c r="R884" s="23">
        <v>0.0</v>
      </c>
      <c r="S884" s="23">
        <v>0.0</v>
      </c>
      <c r="T884" s="23">
        <f t="shared" si="2"/>
        <v>0</v>
      </c>
      <c r="U884" s="23">
        <f t="shared" si="3"/>
        <v>0</v>
      </c>
      <c r="V884" s="23">
        <f t="shared" si="4"/>
        <v>0</v>
      </c>
      <c r="W884" s="24" t="str">
        <f t="shared" si="5"/>
        <v>#DIV/0!</v>
      </c>
    </row>
    <row r="885" hidden="1">
      <c r="A885" s="15" t="s">
        <v>7387</v>
      </c>
      <c r="B885" s="18"/>
      <c r="C885" s="15" t="s">
        <v>6453</v>
      </c>
      <c r="D885" s="18"/>
      <c r="E885" s="17" t="s">
        <v>829</v>
      </c>
      <c r="F885" s="18"/>
      <c r="G885" s="18"/>
      <c r="H885" s="18"/>
      <c r="I885" s="18"/>
      <c r="J885" s="19" t="s">
        <v>36</v>
      </c>
      <c r="K885" s="19" t="s">
        <v>37</v>
      </c>
      <c r="L885" s="19" t="s">
        <v>38</v>
      </c>
      <c r="M885" s="20">
        <f t="shared" si="1"/>
        <v>0</v>
      </c>
      <c r="N885" s="22"/>
      <c r="O885" s="19" t="s">
        <v>39</v>
      </c>
      <c r="P885" s="18"/>
      <c r="Q885" s="18"/>
      <c r="R885" s="23">
        <v>0.0</v>
      </c>
      <c r="S885" s="23">
        <v>0.0</v>
      </c>
      <c r="T885" s="23">
        <f t="shared" si="2"/>
        <v>0</v>
      </c>
      <c r="U885" s="23">
        <f t="shared" si="3"/>
        <v>0</v>
      </c>
      <c r="V885" s="23">
        <f t="shared" si="4"/>
        <v>0</v>
      </c>
      <c r="W885" s="24" t="str">
        <f t="shared" si="5"/>
        <v>#DIV/0!</v>
      </c>
    </row>
    <row r="886">
      <c r="A886" s="15" t="s">
        <v>270</v>
      </c>
      <c r="B886" s="15" t="s">
        <v>271</v>
      </c>
      <c r="C886" s="15" t="s">
        <v>7388</v>
      </c>
      <c r="D886" s="15" t="s">
        <v>272</v>
      </c>
      <c r="E886" s="17" t="s">
        <v>273</v>
      </c>
      <c r="F886" s="18"/>
      <c r="G886" s="18"/>
      <c r="H886" s="15" t="s">
        <v>274</v>
      </c>
      <c r="I886" s="15" t="s">
        <v>275</v>
      </c>
      <c r="J886" s="19" t="s">
        <v>36</v>
      </c>
      <c r="K886" s="19" t="s">
        <v>276</v>
      </c>
      <c r="L886" s="19" t="s">
        <v>52</v>
      </c>
      <c r="M886" s="20">
        <f t="shared" si="1"/>
        <v>17937.6</v>
      </c>
      <c r="N886" s="31">
        <v>2.0</v>
      </c>
      <c r="O886" s="19" t="s">
        <v>107</v>
      </c>
      <c r="P886" s="18"/>
      <c r="Q886" s="18"/>
      <c r="R886" s="23">
        <v>120.0</v>
      </c>
      <c r="S886" s="23">
        <v>1010.0</v>
      </c>
      <c r="T886" s="23">
        <f t="shared" si="2"/>
        <v>969.6</v>
      </c>
      <c r="U886" s="23">
        <f t="shared" si="3"/>
        <v>147</v>
      </c>
      <c r="V886" s="23">
        <f t="shared" si="4"/>
        <v>2756.25</v>
      </c>
      <c r="W886" s="24">
        <f t="shared" si="5"/>
        <v>8.08</v>
      </c>
    </row>
    <row r="887" hidden="1">
      <c r="A887" s="15" t="s">
        <v>2498</v>
      </c>
      <c r="B887" s="18"/>
      <c r="C887" s="15" t="s">
        <v>7389</v>
      </c>
      <c r="D887" s="18"/>
      <c r="E887" s="17" t="s">
        <v>2499</v>
      </c>
      <c r="F887" s="18"/>
      <c r="G887" s="18"/>
      <c r="H887" s="15" t="s">
        <v>2500</v>
      </c>
      <c r="I887" s="15" t="s">
        <v>2501</v>
      </c>
      <c r="J887" s="19" t="s">
        <v>36</v>
      </c>
      <c r="K887" s="19" t="s">
        <v>2396</v>
      </c>
      <c r="L887" s="19" t="s">
        <v>38</v>
      </c>
      <c r="M887" s="20">
        <f t="shared" si="1"/>
        <v>0</v>
      </c>
      <c r="N887" s="22"/>
      <c r="O887" s="19" t="s">
        <v>1145</v>
      </c>
      <c r="P887" s="18"/>
      <c r="Q887" s="18"/>
      <c r="R887" s="23">
        <v>0.0</v>
      </c>
      <c r="S887" s="23">
        <v>0.0</v>
      </c>
      <c r="T887" s="23">
        <f t="shared" si="2"/>
        <v>0</v>
      </c>
      <c r="U887" s="23">
        <f t="shared" si="3"/>
        <v>0</v>
      </c>
      <c r="V887" s="23">
        <f t="shared" si="4"/>
        <v>0</v>
      </c>
      <c r="W887" s="24" t="str">
        <f t="shared" si="5"/>
        <v>#DIV/0!</v>
      </c>
    </row>
    <row r="888" hidden="1">
      <c r="A888" s="15" t="s">
        <v>7390</v>
      </c>
      <c r="B888" s="18"/>
      <c r="C888" s="15" t="s">
        <v>7391</v>
      </c>
      <c r="D888" s="18"/>
      <c r="E888" s="17" t="s">
        <v>2503</v>
      </c>
      <c r="F888" s="18"/>
      <c r="G888" s="18"/>
      <c r="H888" s="15" t="s">
        <v>7392</v>
      </c>
      <c r="I888" s="15" t="s">
        <v>4319</v>
      </c>
      <c r="J888" s="19" t="s">
        <v>36</v>
      </c>
      <c r="K888" s="19" t="s">
        <v>2506</v>
      </c>
      <c r="L888" s="19" t="s">
        <v>38</v>
      </c>
      <c r="M888" s="20">
        <f t="shared" si="1"/>
        <v>0</v>
      </c>
      <c r="N888" s="22"/>
      <c r="O888" s="19" t="s">
        <v>39</v>
      </c>
      <c r="P888" s="18"/>
      <c r="Q888" s="18"/>
      <c r="R888" s="23">
        <v>0.0</v>
      </c>
      <c r="S888" s="23">
        <v>0.0</v>
      </c>
      <c r="T888" s="23">
        <f t="shared" si="2"/>
        <v>0</v>
      </c>
      <c r="U888" s="23">
        <f t="shared" si="3"/>
        <v>0</v>
      </c>
      <c r="V888" s="23">
        <f t="shared" si="4"/>
        <v>0</v>
      </c>
      <c r="W888" s="24" t="str">
        <f t="shared" si="5"/>
        <v>#DIV/0!</v>
      </c>
    </row>
    <row r="889" hidden="1">
      <c r="A889" s="15" t="s">
        <v>2502</v>
      </c>
      <c r="B889" s="18"/>
      <c r="C889" s="15" t="s">
        <v>7393</v>
      </c>
      <c r="D889" s="18"/>
      <c r="E889" s="17" t="s">
        <v>2503</v>
      </c>
      <c r="F889" s="18"/>
      <c r="G889" s="18"/>
      <c r="H889" s="15" t="s">
        <v>2504</v>
      </c>
      <c r="I889" s="15" t="s">
        <v>2505</v>
      </c>
      <c r="J889" s="19" t="s">
        <v>36</v>
      </c>
      <c r="K889" s="19" t="s">
        <v>2506</v>
      </c>
      <c r="L889" s="19" t="s">
        <v>38</v>
      </c>
      <c r="M889" s="20">
        <f t="shared" si="1"/>
        <v>0</v>
      </c>
      <c r="N889" s="22"/>
      <c r="O889" s="19" t="s">
        <v>1145</v>
      </c>
      <c r="P889" s="18"/>
      <c r="Q889" s="18"/>
      <c r="R889" s="23">
        <v>0.0</v>
      </c>
      <c r="S889" s="23">
        <v>0.0</v>
      </c>
      <c r="T889" s="23">
        <f t="shared" si="2"/>
        <v>0</v>
      </c>
      <c r="U889" s="23">
        <f t="shared" si="3"/>
        <v>0</v>
      </c>
      <c r="V889" s="23">
        <f t="shared" si="4"/>
        <v>0</v>
      </c>
      <c r="W889" s="24" t="str">
        <f t="shared" si="5"/>
        <v>#DIV/0!</v>
      </c>
    </row>
    <row r="890" hidden="1">
      <c r="A890" s="15" t="s">
        <v>2507</v>
      </c>
      <c r="B890" s="18"/>
      <c r="C890" s="15" t="s">
        <v>7394</v>
      </c>
      <c r="D890" s="18"/>
      <c r="E890" s="17" t="s">
        <v>2508</v>
      </c>
      <c r="F890" s="18"/>
      <c r="G890" s="18"/>
      <c r="H890" s="15" t="s">
        <v>2509</v>
      </c>
      <c r="I890" s="15" t="s">
        <v>2510</v>
      </c>
      <c r="J890" s="19" t="s">
        <v>36</v>
      </c>
      <c r="K890" s="19" t="s">
        <v>2506</v>
      </c>
      <c r="L890" s="19" t="s">
        <v>38</v>
      </c>
      <c r="M890" s="20">
        <f t="shared" si="1"/>
        <v>0</v>
      </c>
      <c r="N890" s="22"/>
      <c r="O890" s="19" t="s">
        <v>1145</v>
      </c>
      <c r="P890" s="18"/>
      <c r="Q890" s="18"/>
      <c r="R890" s="23">
        <v>0.0</v>
      </c>
      <c r="S890" s="23">
        <v>0.0</v>
      </c>
      <c r="T890" s="23">
        <f t="shared" si="2"/>
        <v>0</v>
      </c>
      <c r="U890" s="23">
        <f t="shared" si="3"/>
        <v>0</v>
      </c>
      <c r="V890" s="23">
        <f t="shared" si="4"/>
        <v>0</v>
      </c>
      <c r="W890" s="24" t="str">
        <f t="shared" si="5"/>
        <v>#DIV/0!</v>
      </c>
    </row>
    <row r="891">
      <c r="A891" s="15" t="s">
        <v>189</v>
      </c>
      <c r="B891" s="15" t="s">
        <v>190</v>
      </c>
      <c r="C891" s="15" t="s">
        <v>6013</v>
      </c>
      <c r="D891" s="15" t="s">
        <v>191</v>
      </c>
      <c r="E891" s="17" t="s">
        <v>192</v>
      </c>
      <c r="F891" s="18"/>
      <c r="G891" s="18"/>
      <c r="H891" s="15" t="s">
        <v>193</v>
      </c>
      <c r="I891" s="18"/>
      <c r="J891" s="19" t="s">
        <v>36</v>
      </c>
      <c r="K891" s="33"/>
      <c r="L891" s="19" t="s">
        <v>147</v>
      </c>
      <c r="M891" s="20">
        <f t="shared" si="1"/>
        <v>5434.56</v>
      </c>
      <c r="N891" s="31">
        <v>4.0</v>
      </c>
      <c r="O891" s="19" t="s">
        <v>107</v>
      </c>
      <c r="P891" s="18"/>
      <c r="Q891" s="18"/>
      <c r="R891" s="23">
        <v>26.0</v>
      </c>
      <c r="S891" s="23">
        <v>306.0</v>
      </c>
      <c r="T891" s="23">
        <f t="shared" si="2"/>
        <v>293.76</v>
      </c>
      <c r="U891" s="23">
        <f t="shared" si="3"/>
        <v>31.85</v>
      </c>
      <c r="V891" s="23">
        <f t="shared" si="4"/>
        <v>597.1875</v>
      </c>
      <c r="W891" s="24">
        <f t="shared" si="5"/>
        <v>11.29846154</v>
      </c>
    </row>
    <row r="892">
      <c r="A892" s="15" t="s">
        <v>210</v>
      </c>
      <c r="B892" s="15" t="s">
        <v>211</v>
      </c>
      <c r="C892" s="15" t="s">
        <v>6014</v>
      </c>
      <c r="D892" s="15" t="s">
        <v>191</v>
      </c>
      <c r="E892" s="17" t="s">
        <v>192</v>
      </c>
      <c r="F892" s="18"/>
      <c r="G892" s="18"/>
      <c r="H892" s="15" t="s">
        <v>212</v>
      </c>
      <c r="I892" s="18"/>
      <c r="J892" s="19" t="s">
        <v>36</v>
      </c>
      <c r="K892" s="33"/>
      <c r="L892" s="19" t="s">
        <v>147</v>
      </c>
      <c r="M892" s="20">
        <f t="shared" si="1"/>
        <v>1154.4</v>
      </c>
      <c r="N892" s="31">
        <v>4.0</v>
      </c>
      <c r="O892" s="19" t="s">
        <v>107</v>
      </c>
      <c r="P892" s="18"/>
      <c r="Q892" s="18"/>
      <c r="R892" s="23">
        <v>6.5</v>
      </c>
      <c r="S892" s="23">
        <v>65.0</v>
      </c>
      <c r="T892" s="23">
        <f t="shared" si="2"/>
        <v>62.4</v>
      </c>
      <c r="U892" s="23">
        <f t="shared" si="3"/>
        <v>7.9625</v>
      </c>
      <c r="V892" s="23">
        <f t="shared" si="4"/>
        <v>149.296875</v>
      </c>
      <c r="W892" s="24">
        <f t="shared" si="5"/>
        <v>9.6</v>
      </c>
    </row>
    <row r="893" hidden="1">
      <c r="A893" s="15" t="s">
        <v>2511</v>
      </c>
      <c r="B893" s="18"/>
      <c r="C893" s="15" t="s">
        <v>7395</v>
      </c>
      <c r="D893" s="18"/>
      <c r="E893" s="17" t="s">
        <v>2512</v>
      </c>
      <c r="F893" s="18"/>
      <c r="G893" s="18"/>
      <c r="H893" s="15" t="s">
        <v>2513</v>
      </c>
      <c r="I893" s="15" t="s">
        <v>2514</v>
      </c>
      <c r="J893" s="19" t="s">
        <v>36</v>
      </c>
      <c r="K893" s="19" t="s">
        <v>2387</v>
      </c>
      <c r="L893" s="19" t="s">
        <v>38</v>
      </c>
      <c r="M893" s="20">
        <f t="shared" si="1"/>
        <v>0</v>
      </c>
      <c r="N893" s="22"/>
      <c r="O893" s="19" t="s">
        <v>1145</v>
      </c>
      <c r="P893" s="18"/>
      <c r="Q893" s="18"/>
      <c r="R893" s="23">
        <v>0.0</v>
      </c>
      <c r="S893" s="23">
        <v>0.0</v>
      </c>
      <c r="T893" s="23">
        <f t="shared" si="2"/>
        <v>0</v>
      </c>
      <c r="U893" s="23">
        <f t="shared" si="3"/>
        <v>0</v>
      </c>
      <c r="V893" s="23">
        <f t="shared" si="4"/>
        <v>0</v>
      </c>
      <c r="W893" s="24" t="str">
        <f t="shared" si="5"/>
        <v>#DIV/0!</v>
      </c>
    </row>
    <row r="894" hidden="1">
      <c r="A894" s="15" t="s">
        <v>2515</v>
      </c>
      <c r="B894" s="18"/>
      <c r="C894" s="15" t="s">
        <v>7396</v>
      </c>
      <c r="D894" s="18"/>
      <c r="E894" s="17" t="s">
        <v>2516</v>
      </c>
      <c r="F894" s="18"/>
      <c r="G894" s="18"/>
      <c r="H894" s="15" t="s">
        <v>2517</v>
      </c>
      <c r="I894" s="15" t="s">
        <v>2518</v>
      </c>
      <c r="J894" s="19" t="s">
        <v>36</v>
      </c>
      <c r="K894" s="19" t="s">
        <v>2519</v>
      </c>
      <c r="L894" s="19" t="s">
        <v>38</v>
      </c>
      <c r="M894" s="20">
        <f t="shared" si="1"/>
        <v>0</v>
      </c>
      <c r="N894" s="22"/>
      <c r="O894" s="19" t="s">
        <v>1145</v>
      </c>
      <c r="P894" s="18"/>
      <c r="Q894" s="18"/>
      <c r="R894" s="23">
        <v>0.0</v>
      </c>
      <c r="S894" s="23">
        <v>0.0</v>
      </c>
      <c r="T894" s="23">
        <f t="shared" si="2"/>
        <v>0</v>
      </c>
      <c r="U894" s="23">
        <f t="shared" si="3"/>
        <v>0</v>
      </c>
      <c r="V894" s="23">
        <f t="shared" si="4"/>
        <v>0</v>
      </c>
      <c r="W894" s="24" t="str">
        <f t="shared" si="5"/>
        <v>#DIV/0!</v>
      </c>
    </row>
    <row r="895" hidden="1">
      <c r="A895" s="15" t="s">
        <v>2520</v>
      </c>
      <c r="B895" s="18"/>
      <c r="C895" s="15" t="s">
        <v>7397</v>
      </c>
      <c r="D895" s="18"/>
      <c r="E895" s="17" t="s">
        <v>2521</v>
      </c>
      <c r="F895" s="18"/>
      <c r="G895" s="18"/>
      <c r="H895" s="15" t="s">
        <v>2522</v>
      </c>
      <c r="I895" s="15" t="s">
        <v>2523</v>
      </c>
      <c r="J895" s="19" t="s">
        <v>36</v>
      </c>
      <c r="K895" s="19" t="s">
        <v>2387</v>
      </c>
      <c r="L895" s="19" t="s">
        <v>38</v>
      </c>
      <c r="M895" s="20">
        <f t="shared" si="1"/>
        <v>0</v>
      </c>
      <c r="N895" s="22"/>
      <c r="O895" s="19" t="s">
        <v>1145</v>
      </c>
      <c r="P895" s="18"/>
      <c r="Q895" s="18"/>
      <c r="R895" s="23">
        <v>0.0</v>
      </c>
      <c r="S895" s="23">
        <v>0.0</v>
      </c>
      <c r="T895" s="23">
        <f t="shared" si="2"/>
        <v>0</v>
      </c>
      <c r="U895" s="23">
        <f t="shared" si="3"/>
        <v>0</v>
      </c>
      <c r="V895" s="23">
        <f t="shared" si="4"/>
        <v>0</v>
      </c>
      <c r="W895" s="24" t="str">
        <f t="shared" si="5"/>
        <v>#DIV/0!</v>
      </c>
    </row>
    <row r="896" hidden="1">
      <c r="A896" s="15" t="s">
        <v>7398</v>
      </c>
      <c r="B896" s="18"/>
      <c r="C896" s="15" t="s">
        <v>7399</v>
      </c>
      <c r="D896" s="18"/>
      <c r="E896" s="17" t="s">
        <v>7400</v>
      </c>
      <c r="F896" s="18"/>
      <c r="G896" s="18"/>
      <c r="H896" s="15" t="s">
        <v>7401</v>
      </c>
      <c r="I896" s="15" t="s">
        <v>4208</v>
      </c>
      <c r="J896" s="19" t="s">
        <v>36</v>
      </c>
      <c r="K896" s="19" t="s">
        <v>2382</v>
      </c>
      <c r="L896" s="19" t="s">
        <v>38</v>
      </c>
      <c r="M896" s="20">
        <f t="shared" si="1"/>
        <v>0</v>
      </c>
      <c r="N896" s="22"/>
      <c r="O896" s="19" t="s">
        <v>39</v>
      </c>
      <c r="P896" s="18"/>
      <c r="Q896" s="18"/>
      <c r="R896" s="23">
        <v>0.0</v>
      </c>
      <c r="S896" s="23">
        <v>0.0</v>
      </c>
      <c r="T896" s="23">
        <f t="shared" si="2"/>
        <v>0</v>
      </c>
      <c r="U896" s="23">
        <f t="shared" si="3"/>
        <v>0</v>
      </c>
      <c r="V896" s="23">
        <f t="shared" si="4"/>
        <v>0</v>
      </c>
      <c r="W896" s="24" t="str">
        <f t="shared" si="5"/>
        <v>#DIV/0!</v>
      </c>
    </row>
    <row r="897" hidden="1">
      <c r="A897" s="15" t="s">
        <v>2524</v>
      </c>
      <c r="B897" s="18"/>
      <c r="C897" s="15" t="s">
        <v>7402</v>
      </c>
      <c r="D897" s="18"/>
      <c r="E897" s="17" t="s">
        <v>2525</v>
      </c>
      <c r="F897" s="18"/>
      <c r="G897" s="18"/>
      <c r="H897" s="15" t="s">
        <v>2526</v>
      </c>
      <c r="I897" s="15" t="s">
        <v>2527</v>
      </c>
      <c r="J897" s="19" t="s">
        <v>36</v>
      </c>
      <c r="K897" s="19" t="s">
        <v>2401</v>
      </c>
      <c r="L897" s="19" t="s">
        <v>38</v>
      </c>
      <c r="M897" s="20">
        <f t="shared" si="1"/>
        <v>0</v>
      </c>
      <c r="N897" s="22"/>
      <c r="O897" s="19" t="s">
        <v>1145</v>
      </c>
      <c r="P897" s="18"/>
      <c r="Q897" s="18"/>
      <c r="R897" s="23">
        <v>0.0</v>
      </c>
      <c r="S897" s="23">
        <v>0.0</v>
      </c>
      <c r="T897" s="23">
        <f t="shared" si="2"/>
        <v>0</v>
      </c>
      <c r="U897" s="23">
        <f t="shared" si="3"/>
        <v>0</v>
      </c>
      <c r="V897" s="23">
        <f t="shared" si="4"/>
        <v>0</v>
      </c>
      <c r="W897" s="24" t="str">
        <f t="shared" si="5"/>
        <v>#DIV/0!</v>
      </c>
    </row>
    <row r="898">
      <c r="A898" s="15" t="s">
        <v>235</v>
      </c>
      <c r="B898" s="15" t="s">
        <v>236</v>
      </c>
      <c r="C898" s="15" t="s">
        <v>7403</v>
      </c>
      <c r="D898" s="15" t="s">
        <v>237</v>
      </c>
      <c r="E898" s="17" t="s">
        <v>238</v>
      </c>
      <c r="F898" s="18"/>
      <c r="G898" s="15" t="s">
        <v>239</v>
      </c>
      <c r="H898" s="15" t="s">
        <v>240</v>
      </c>
      <c r="I898" s="18"/>
      <c r="J898" s="19" t="s">
        <v>36</v>
      </c>
      <c r="K898" s="19" t="s">
        <v>60</v>
      </c>
      <c r="L898" s="19" t="s">
        <v>84</v>
      </c>
      <c r="M898" s="20">
        <f t="shared" si="1"/>
        <v>6695.52</v>
      </c>
      <c r="N898" s="31">
        <v>2.0</v>
      </c>
      <c r="O898" s="19" t="s">
        <v>107</v>
      </c>
      <c r="P898" s="18"/>
      <c r="Q898" s="18"/>
      <c r="R898" s="23">
        <v>40.0</v>
      </c>
      <c r="S898" s="23">
        <v>377.0</v>
      </c>
      <c r="T898" s="23">
        <f t="shared" si="2"/>
        <v>361.92</v>
      </c>
      <c r="U898" s="23">
        <f t="shared" si="3"/>
        <v>49</v>
      </c>
      <c r="V898" s="23">
        <f t="shared" si="4"/>
        <v>918.75</v>
      </c>
      <c r="W898" s="24">
        <f t="shared" si="5"/>
        <v>9.048</v>
      </c>
    </row>
    <row r="899">
      <c r="A899" s="15" t="s">
        <v>242</v>
      </c>
      <c r="B899" s="15" t="s">
        <v>243</v>
      </c>
      <c r="C899" s="15" t="s">
        <v>7404</v>
      </c>
      <c r="D899" s="15" t="s">
        <v>244</v>
      </c>
      <c r="E899" s="17" t="s">
        <v>245</v>
      </c>
      <c r="F899" s="18"/>
      <c r="G899" s="15" t="s">
        <v>246</v>
      </c>
      <c r="H899" s="15" t="s">
        <v>247</v>
      </c>
      <c r="I899" s="18"/>
      <c r="J899" s="19" t="s">
        <v>36</v>
      </c>
      <c r="K899" s="19" t="s">
        <v>60</v>
      </c>
      <c r="L899" s="19" t="s">
        <v>52</v>
      </c>
      <c r="M899" s="20">
        <f t="shared" si="1"/>
        <v>6695.52</v>
      </c>
      <c r="N899" s="31">
        <v>2.0</v>
      </c>
      <c r="O899" s="19" t="s">
        <v>107</v>
      </c>
      <c r="P899" s="18"/>
      <c r="Q899" s="18"/>
      <c r="R899" s="23">
        <v>40.0</v>
      </c>
      <c r="S899" s="23">
        <v>377.0</v>
      </c>
      <c r="T899" s="23">
        <f t="shared" si="2"/>
        <v>361.92</v>
      </c>
      <c r="U899" s="23">
        <f t="shared" si="3"/>
        <v>49</v>
      </c>
      <c r="V899" s="23">
        <f t="shared" si="4"/>
        <v>918.75</v>
      </c>
      <c r="W899" s="24">
        <f t="shared" si="5"/>
        <v>9.048</v>
      </c>
    </row>
    <row r="900">
      <c r="A900" s="15" t="s">
        <v>920</v>
      </c>
      <c r="B900" s="15" t="s">
        <v>921</v>
      </c>
      <c r="C900" s="15" t="s">
        <v>7405</v>
      </c>
      <c r="D900" s="15" t="s">
        <v>922</v>
      </c>
      <c r="E900" s="17" t="s">
        <v>923</v>
      </c>
      <c r="F900" s="18"/>
      <c r="G900" s="18"/>
      <c r="H900" s="15" t="s">
        <v>924</v>
      </c>
      <c r="I900" s="18"/>
      <c r="J900" s="19" t="s">
        <v>36</v>
      </c>
      <c r="K900" s="19" t="s">
        <v>60</v>
      </c>
      <c r="L900" s="19" t="s">
        <v>52</v>
      </c>
      <c r="M900" s="20">
        <f t="shared" si="1"/>
        <v>4582.08</v>
      </c>
      <c r="N900" s="31">
        <v>2.0</v>
      </c>
      <c r="O900" s="19" t="s">
        <v>107</v>
      </c>
      <c r="P900" s="18"/>
      <c r="Q900" s="18"/>
      <c r="R900" s="23">
        <v>65.0</v>
      </c>
      <c r="S900" s="23">
        <v>258.0</v>
      </c>
      <c r="T900" s="23">
        <f t="shared" si="2"/>
        <v>247.68</v>
      </c>
      <c r="U900" s="23">
        <f t="shared" si="3"/>
        <v>79.625</v>
      </c>
      <c r="V900" s="23">
        <f t="shared" si="4"/>
        <v>1492.96875</v>
      </c>
      <c r="W900" s="24">
        <f t="shared" si="5"/>
        <v>3.810461538</v>
      </c>
    </row>
    <row r="901">
      <c r="A901" s="15" t="s">
        <v>308</v>
      </c>
      <c r="B901" s="15" t="s">
        <v>309</v>
      </c>
      <c r="C901" s="15" t="s">
        <v>6015</v>
      </c>
      <c r="D901" s="15" t="s">
        <v>310</v>
      </c>
      <c r="E901" s="17" t="s">
        <v>311</v>
      </c>
      <c r="F901" s="18"/>
      <c r="G901" s="15" t="s">
        <v>312</v>
      </c>
      <c r="H901" s="15" t="s">
        <v>313</v>
      </c>
      <c r="I901" s="18"/>
      <c r="J901" s="19" t="s">
        <v>36</v>
      </c>
      <c r="K901" s="33"/>
      <c r="L901" s="19" t="s">
        <v>38</v>
      </c>
      <c r="M901" s="20">
        <f t="shared" si="1"/>
        <v>4582.08</v>
      </c>
      <c r="N901" s="31">
        <v>3.0</v>
      </c>
      <c r="O901" s="19" t="s">
        <v>107</v>
      </c>
      <c r="P901" s="18"/>
      <c r="Q901" s="18"/>
      <c r="R901" s="23">
        <v>28.0</v>
      </c>
      <c r="S901" s="23">
        <v>258.0</v>
      </c>
      <c r="T901" s="23">
        <f t="shared" si="2"/>
        <v>247.68</v>
      </c>
      <c r="U901" s="23">
        <f t="shared" si="3"/>
        <v>34.3</v>
      </c>
      <c r="V901" s="23">
        <f t="shared" si="4"/>
        <v>643.125</v>
      </c>
      <c r="W901" s="24">
        <f t="shared" si="5"/>
        <v>8.845714286</v>
      </c>
    </row>
    <row r="902" hidden="1">
      <c r="A902" s="15" t="s">
        <v>2528</v>
      </c>
      <c r="B902" s="18"/>
      <c r="C902" s="15" t="s">
        <v>7406</v>
      </c>
      <c r="D902" s="18"/>
      <c r="E902" s="17" t="s">
        <v>2529</v>
      </c>
      <c r="F902" s="18"/>
      <c r="G902" s="18"/>
      <c r="H902" s="15" t="s">
        <v>2530</v>
      </c>
      <c r="I902" s="15" t="s">
        <v>2531</v>
      </c>
      <c r="J902" s="19" t="s">
        <v>36</v>
      </c>
      <c r="K902" s="19" t="s">
        <v>691</v>
      </c>
      <c r="L902" s="19" t="s">
        <v>38</v>
      </c>
      <c r="M902" s="20">
        <f t="shared" si="1"/>
        <v>0</v>
      </c>
      <c r="N902" s="22"/>
      <c r="O902" s="19" t="s">
        <v>1145</v>
      </c>
      <c r="P902" s="18"/>
      <c r="Q902" s="18"/>
      <c r="R902" s="23">
        <v>0.0</v>
      </c>
      <c r="S902" s="23">
        <v>0.0</v>
      </c>
      <c r="T902" s="23">
        <f t="shared" si="2"/>
        <v>0</v>
      </c>
      <c r="U902" s="23">
        <f t="shared" si="3"/>
        <v>0</v>
      </c>
      <c r="V902" s="23">
        <f t="shared" si="4"/>
        <v>0</v>
      </c>
      <c r="W902" s="24" t="str">
        <f t="shared" si="5"/>
        <v>#DIV/0!</v>
      </c>
    </row>
    <row r="903" hidden="1">
      <c r="A903" s="15" t="s">
        <v>7407</v>
      </c>
      <c r="B903" s="18"/>
      <c r="C903" s="15" t="s">
        <v>7408</v>
      </c>
      <c r="D903" s="18"/>
      <c r="E903" s="17" t="s">
        <v>7409</v>
      </c>
      <c r="F903" s="18"/>
      <c r="G903" s="18"/>
      <c r="H903" s="15" t="s">
        <v>7410</v>
      </c>
      <c r="I903" s="15" t="s">
        <v>7411</v>
      </c>
      <c r="J903" s="19" t="s">
        <v>36</v>
      </c>
      <c r="K903" s="19" t="s">
        <v>2396</v>
      </c>
      <c r="L903" s="19" t="s">
        <v>38</v>
      </c>
      <c r="M903" s="20">
        <f t="shared" si="1"/>
        <v>0</v>
      </c>
      <c r="N903" s="22"/>
      <c r="O903" s="19" t="s">
        <v>39</v>
      </c>
      <c r="P903" s="18"/>
      <c r="Q903" s="18"/>
      <c r="R903" s="23">
        <v>0.0</v>
      </c>
      <c r="S903" s="23">
        <v>0.0</v>
      </c>
      <c r="T903" s="23">
        <f t="shared" si="2"/>
        <v>0</v>
      </c>
      <c r="U903" s="23">
        <f t="shared" si="3"/>
        <v>0</v>
      </c>
      <c r="V903" s="23">
        <f t="shared" si="4"/>
        <v>0</v>
      </c>
      <c r="W903" s="24" t="str">
        <f t="shared" si="5"/>
        <v>#DIV/0!</v>
      </c>
    </row>
    <row r="904" hidden="1">
      <c r="A904" s="15" t="s">
        <v>7412</v>
      </c>
      <c r="B904" s="18"/>
      <c r="C904" s="15" t="s">
        <v>7413</v>
      </c>
      <c r="D904" s="18"/>
      <c r="E904" s="17" t="s">
        <v>7414</v>
      </c>
      <c r="F904" s="18"/>
      <c r="G904" s="18"/>
      <c r="H904" s="15" t="s">
        <v>7415</v>
      </c>
      <c r="I904" s="15" t="s">
        <v>4461</v>
      </c>
      <c r="J904" s="19" t="s">
        <v>36</v>
      </c>
      <c r="K904" s="19" t="s">
        <v>2519</v>
      </c>
      <c r="L904" s="19" t="s">
        <v>38</v>
      </c>
      <c r="M904" s="20">
        <f t="shared" si="1"/>
        <v>0</v>
      </c>
      <c r="N904" s="22"/>
      <c r="O904" s="19" t="s">
        <v>1145</v>
      </c>
      <c r="P904" s="18"/>
      <c r="Q904" s="18"/>
      <c r="R904" s="23">
        <v>0.0</v>
      </c>
      <c r="S904" s="23">
        <v>0.0</v>
      </c>
      <c r="T904" s="23">
        <f t="shared" si="2"/>
        <v>0</v>
      </c>
      <c r="U904" s="23">
        <f t="shared" si="3"/>
        <v>0</v>
      </c>
      <c r="V904" s="23">
        <f t="shared" si="4"/>
        <v>0</v>
      </c>
      <c r="W904" s="24" t="str">
        <f t="shared" si="5"/>
        <v>#DIV/0!</v>
      </c>
    </row>
    <row r="905" hidden="1">
      <c r="A905" s="15" t="s">
        <v>2532</v>
      </c>
      <c r="B905" s="18"/>
      <c r="C905" s="15" t="s">
        <v>7416</v>
      </c>
      <c r="D905" s="18"/>
      <c r="E905" s="17" t="s">
        <v>2533</v>
      </c>
      <c r="F905" s="18"/>
      <c r="G905" s="18"/>
      <c r="H905" s="15" t="s">
        <v>2534</v>
      </c>
      <c r="I905" s="15" t="s">
        <v>2535</v>
      </c>
      <c r="J905" s="19" t="s">
        <v>36</v>
      </c>
      <c r="K905" s="19" t="s">
        <v>2387</v>
      </c>
      <c r="L905" s="19" t="s">
        <v>38</v>
      </c>
      <c r="M905" s="20">
        <f t="shared" si="1"/>
        <v>0</v>
      </c>
      <c r="N905" s="22"/>
      <c r="O905" s="19" t="s">
        <v>1145</v>
      </c>
      <c r="P905" s="18"/>
      <c r="Q905" s="18"/>
      <c r="R905" s="23">
        <v>0.0</v>
      </c>
      <c r="S905" s="23">
        <v>0.0</v>
      </c>
      <c r="T905" s="23">
        <f t="shared" si="2"/>
        <v>0</v>
      </c>
      <c r="U905" s="23">
        <f t="shared" si="3"/>
        <v>0</v>
      </c>
      <c r="V905" s="23">
        <f t="shared" si="4"/>
        <v>0</v>
      </c>
      <c r="W905" s="24" t="str">
        <f t="shared" si="5"/>
        <v>#DIV/0!</v>
      </c>
    </row>
    <row r="906" hidden="1">
      <c r="A906" s="15" t="s">
        <v>2536</v>
      </c>
      <c r="B906" s="18"/>
      <c r="C906" s="15" t="s">
        <v>7417</v>
      </c>
      <c r="D906" s="18"/>
      <c r="E906" s="17" t="s">
        <v>2537</v>
      </c>
      <c r="F906" s="18"/>
      <c r="G906" s="18"/>
      <c r="H906" s="15" t="s">
        <v>2538</v>
      </c>
      <c r="I906" s="15" t="s">
        <v>2539</v>
      </c>
      <c r="J906" s="19" t="s">
        <v>36</v>
      </c>
      <c r="K906" s="19" t="s">
        <v>2387</v>
      </c>
      <c r="L906" s="19" t="s">
        <v>38</v>
      </c>
      <c r="M906" s="20">
        <f t="shared" si="1"/>
        <v>0</v>
      </c>
      <c r="N906" s="22"/>
      <c r="O906" s="19" t="s">
        <v>1145</v>
      </c>
      <c r="P906" s="18"/>
      <c r="Q906" s="18"/>
      <c r="R906" s="23">
        <v>0.0</v>
      </c>
      <c r="S906" s="23">
        <v>0.0</v>
      </c>
      <c r="T906" s="23">
        <f t="shared" si="2"/>
        <v>0</v>
      </c>
      <c r="U906" s="23">
        <f t="shared" si="3"/>
        <v>0</v>
      </c>
      <c r="V906" s="23">
        <f t="shared" si="4"/>
        <v>0</v>
      </c>
      <c r="W906" s="24" t="str">
        <f t="shared" si="5"/>
        <v>#DIV/0!</v>
      </c>
    </row>
    <row r="907" hidden="1">
      <c r="A907" s="15" t="s">
        <v>2540</v>
      </c>
      <c r="B907" s="18"/>
      <c r="C907" s="15" t="s">
        <v>7418</v>
      </c>
      <c r="D907" s="18"/>
      <c r="E907" s="17" t="s">
        <v>2541</v>
      </c>
      <c r="F907" s="18"/>
      <c r="G907" s="18"/>
      <c r="H907" s="15" t="s">
        <v>2542</v>
      </c>
      <c r="I907" s="15" t="s">
        <v>2543</v>
      </c>
      <c r="J907" s="19" t="s">
        <v>36</v>
      </c>
      <c r="K907" s="19" t="s">
        <v>2387</v>
      </c>
      <c r="L907" s="19" t="s">
        <v>38</v>
      </c>
      <c r="M907" s="20">
        <f t="shared" si="1"/>
        <v>0</v>
      </c>
      <c r="N907" s="22"/>
      <c r="O907" s="19" t="s">
        <v>1145</v>
      </c>
      <c r="P907" s="18"/>
      <c r="Q907" s="18"/>
      <c r="R907" s="23">
        <v>0.0</v>
      </c>
      <c r="S907" s="23">
        <v>0.0</v>
      </c>
      <c r="T907" s="23">
        <f t="shared" si="2"/>
        <v>0</v>
      </c>
      <c r="U907" s="23">
        <f t="shared" si="3"/>
        <v>0</v>
      </c>
      <c r="V907" s="23">
        <f t="shared" si="4"/>
        <v>0</v>
      </c>
      <c r="W907" s="24" t="str">
        <f t="shared" si="5"/>
        <v>#DIV/0!</v>
      </c>
    </row>
    <row r="908" hidden="1">
      <c r="A908" s="15" t="s">
        <v>2544</v>
      </c>
      <c r="B908" s="18"/>
      <c r="C908" s="15" t="s">
        <v>7419</v>
      </c>
      <c r="D908" s="18"/>
      <c r="E908" s="17" t="s">
        <v>2545</v>
      </c>
      <c r="F908" s="18"/>
      <c r="G908" s="18"/>
      <c r="H908" s="15" t="s">
        <v>2546</v>
      </c>
      <c r="I908" s="15" t="s">
        <v>2547</v>
      </c>
      <c r="J908" s="19" t="s">
        <v>36</v>
      </c>
      <c r="K908" s="19" t="s">
        <v>2387</v>
      </c>
      <c r="L908" s="19" t="s">
        <v>38</v>
      </c>
      <c r="M908" s="20">
        <f t="shared" si="1"/>
        <v>0</v>
      </c>
      <c r="N908" s="22"/>
      <c r="O908" s="19" t="s">
        <v>1145</v>
      </c>
      <c r="P908" s="18"/>
      <c r="Q908" s="18"/>
      <c r="R908" s="23">
        <v>0.0</v>
      </c>
      <c r="S908" s="23">
        <v>0.0</v>
      </c>
      <c r="T908" s="23">
        <f t="shared" si="2"/>
        <v>0</v>
      </c>
      <c r="U908" s="23">
        <f t="shared" si="3"/>
        <v>0</v>
      </c>
      <c r="V908" s="23">
        <f t="shared" si="4"/>
        <v>0</v>
      </c>
      <c r="W908" s="24" t="str">
        <f t="shared" si="5"/>
        <v>#DIV/0!</v>
      </c>
    </row>
    <row r="909" hidden="1">
      <c r="A909" s="15" t="s">
        <v>2548</v>
      </c>
      <c r="B909" s="18"/>
      <c r="C909" s="15" t="s">
        <v>7420</v>
      </c>
      <c r="D909" s="18"/>
      <c r="E909" s="17" t="s">
        <v>2549</v>
      </c>
      <c r="F909" s="18"/>
      <c r="G909" s="18"/>
      <c r="H909" s="15" t="s">
        <v>2550</v>
      </c>
      <c r="I909" s="15" t="s">
        <v>2551</v>
      </c>
      <c r="J909" s="19" t="s">
        <v>36</v>
      </c>
      <c r="K909" s="19" t="s">
        <v>2387</v>
      </c>
      <c r="L909" s="19" t="s">
        <v>38</v>
      </c>
      <c r="M909" s="20">
        <f t="shared" si="1"/>
        <v>0</v>
      </c>
      <c r="N909" s="22"/>
      <c r="O909" s="19" t="s">
        <v>1145</v>
      </c>
      <c r="P909" s="18"/>
      <c r="Q909" s="18"/>
      <c r="R909" s="23">
        <v>0.0</v>
      </c>
      <c r="S909" s="23">
        <v>0.0</v>
      </c>
      <c r="T909" s="23">
        <f t="shared" si="2"/>
        <v>0</v>
      </c>
      <c r="U909" s="23">
        <f t="shared" si="3"/>
        <v>0</v>
      </c>
      <c r="V909" s="23">
        <f t="shared" si="4"/>
        <v>0</v>
      </c>
      <c r="W909" s="24" t="str">
        <f t="shared" si="5"/>
        <v>#DIV/0!</v>
      </c>
    </row>
    <row r="910" hidden="1">
      <c r="A910" s="15" t="s">
        <v>2552</v>
      </c>
      <c r="B910" s="18"/>
      <c r="C910" s="15" t="s">
        <v>7421</v>
      </c>
      <c r="D910" s="18"/>
      <c r="E910" s="17" t="s">
        <v>2553</v>
      </c>
      <c r="F910" s="18"/>
      <c r="G910" s="18"/>
      <c r="H910" s="15" t="s">
        <v>2554</v>
      </c>
      <c r="I910" s="15" t="s">
        <v>2555</v>
      </c>
      <c r="J910" s="19" t="s">
        <v>36</v>
      </c>
      <c r="K910" s="19" t="s">
        <v>2387</v>
      </c>
      <c r="L910" s="19" t="s">
        <v>38</v>
      </c>
      <c r="M910" s="20">
        <f t="shared" si="1"/>
        <v>0</v>
      </c>
      <c r="N910" s="22"/>
      <c r="O910" s="19" t="s">
        <v>1145</v>
      </c>
      <c r="P910" s="18"/>
      <c r="Q910" s="18"/>
      <c r="R910" s="23">
        <v>0.0</v>
      </c>
      <c r="S910" s="23">
        <v>0.0</v>
      </c>
      <c r="T910" s="23">
        <f t="shared" si="2"/>
        <v>0</v>
      </c>
      <c r="U910" s="23">
        <f t="shared" si="3"/>
        <v>0</v>
      </c>
      <c r="V910" s="23">
        <f t="shared" si="4"/>
        <v>0</v>
      </c>
      <c r="W910" s="24" t="str">
        <f t="shared" si="5"/>
        <v>#DIV/0!</v>
      </c>
    </row>
    <row r="911" hidden="1">
      <c r="A911" s="15" t="s">
        <v>2556</v>
      </c>
      <c r="B911" s="18"/>
      <c r="C911" s="15" t="s">
        <v>7422</v>
      </c>
      <c r="D911" s="18"/>
      <c r="E911" s="17" t="s">
        <v>2557</v>
      </c>
      <c r="F911" s="18"/>
      <c r="G911" s="18"/>
      <c r="H911" s="15" t="s">
        <v>2558</v>
      </c>
      <c r="I911" s="15" t="s">
        <v>2559</v>
      </c>
      <c r="J911" s="19" t="s">
        <v>36</v>
      </c>
      <c r="K911" s="19" t="s">
        <v>2387</v>
      </c>
      <c r="L911" s="19" t="s">
        <v>38</v>
      </c>
      <c r="M911" s="20">
        <f t="shared" si="1"/>
        <v>0</v>
      </c>
      <c r="N911" s="22"/>
      <c r="O911" s="19" t="s">
        <v>1145</v>
      </c>
      <c r="P911" s="18"/>
      <c r="Q911" s="18"/>
      <c r="R911" s="23">
        <v>0.0</v>
      </c>
      <c r="S911" s="23">
        <v>0.0</v>
      </c>
      <c r="T911" s="23">
        <f t="shared" si="2"/>
        <v>0</v>
      </c>
      <c r="U911" s="23">
        <f t="shared" si="3"/>
        <v>0</v>
      </c>
      <c r="V911" s="23">
        <f t="shared" si="4"/>
        <v>0</v>
      </c>
      <c r="W911" s="24" t="str">
        <f t="shared" si="5"/>
        <v>#DIV/0!</v>
      </c>
    </row>
    <row r="912" hidden="1">
      <c r="A912" s="15" t="s">
        <v>2560</v>
      </c>
      <c r="B912" s="18"/>
      <c r="C912" s="15" t="s">
        <v>7423</v>
      </c>
      <c r="D912" s="18"/>
      <c r="E912" s="17" t="s">
        <v>2557</v>
      </c>
      <c r="F912" s="18"/>
      <c r="G912" s="18"/>
      <c r="H912" s="15" t="s">
        <v>2561</v>
      </c>
      <c r="I912" s="15" t="s">
        <v>2562</v>
      </c>
      <c r="J912" s="19" t="s">
        <v>36</v>
      </c>
      <c r="K912" s="19" t="s">
        <v>2387</v>
      </c>
      <c r="L912" s="19" t="s">
        <v>38</v>
      </c>
      <c r="M912" s="20">
        <f t="shared" si="1"/>
        <v>0</v>
      </c>
      <c r="N912" s="22"/>
      <c r="O912" s="19" t="s">
        <v>1145</v>
      </c>
      <c r="P912" s="18"/>
      <c r="Q912" s="18"/>
      <c r="R912" s="23">
        <v>0.0</v>
      </c>
      <c r="S912" s="23">
        <v>0.0</v>
      </c>
      <c r="T912" s="23">
        <f t="shared" si="2"/>
        <v>0</v>
      </c>
      <c r="U912" s="23">
        <f t="shared" si="3"/>
        <v>0</v>
      </c>
      <c r="V912" s="23">
        <f t="shared" si="4"/>
        <v>0</v>
      </c>
      <c r="W912" s="24" t="str">
        <f t="shared" si="5"/>
        <v>#DIV/0!</v>
      </c>
    </row>
    <row r="913" hidden="1">
      <c r="A913" s="15" t="s">
        <v>2563</v>
      </c>
      <c r="B913" s="18"/>
      <c r="C913" s="15" t="s">
        <v>7424</v>
      </c>
      <c r="D913" s="18"/>
      <c r="E913" s="17" t="s">
        <v>2564</v>
      </c>
      <c r="F913" s="18"/>
      <c r="G913" s="18"/>
      <c r="H913" s="15" t="s">
        <v>2565</v>
      </c>
      <c r="I913" s="15" t="s">
        <v>2566</v>
      </c>
      <c r="J913" s="19" t="s">
        <v>36</v>
      </c>
      <c r="K913" s="19" t="s">
        <v>2387</v>
      </c>
      <c r="L913" s="19" t="s">
        <v>38</v>
      </c>
      <c r="M913" s="20">
        <f t="shared" si="1"/>
        <v>0</v>
      </c>
      <c r="N913" s="22"/>
      <c r="O913" s="19" t="s">
        <v>1145</v>
      </c>
      <c r="P913" s="18"/>
      <c r="Q913" s="18"/>
      <c r="R913" s="23">
        <v>0.0</v>
      </c>
      <c r="S913" s="23">
        <v>0.0</v>
      </c>
      <c r="T913" s="23">
        <f t="shared" si="2"/>
        <v>0</v>
      </c>
      <c r="U913" s="23">
        <f t="shared" si="3"/>
        <v>0</v>
      </c>
      <c r="V913" s="23">
        <f t="shared" si="4"/>
        <v>0</v>
      </c>
      <c r="W913" s="24" t="str">
        <f t="shared" si="5"/>
        <v>#DIV/0!</v>
      </c>
    </row>
    <row r="914" hidden="1">
      <c r="A914" s="15" t="s">
        <v>2567</v>
      </c>
      <c r="B914" s="18"/>
      <c r="C914" s="15" t="s">
        <v>7425</v>
      </c>
      <c r="D914" s="18"/>
      <c r="E914" s="17" t="s">
        <v>2568</v>
      </c>
      <c r="F914" s="18"/>
      <c r="G914" s="18"/>
      <c r="H914" s="15" t="s">
        <v>2569</v>
      </c>
      <c r="I914" s="15" t="s">
        <v>2570</v>
      </c>
      <c r="J914" s="19" t="s">
        <v>36</v>
      </c>
      <c r="K914" s="19" t="s">
        <v>2387</v>
      </c>
      <c r="L914" s="19" t="s">
        <v>38</v>
      </c>
      <c r="M914" s="20">
        <f t="shared" si="1"/>
        <v>0</v>
      </c>
      <c r="N914" s="22"/>
      <c r="O914" s="19" t="s">
        <v>1145</v>
      </c>
      <c r="P914" s="18"/>
      <c r="Q914" s="18"/>
      <c r="R914" s="23">
        <v>0.0</v>
      </c>
      <c r="S914" s="23">
        <v>0.0</v>
      </c>
      <c r="T914" s="23">
        <f t="shared" si="2"/>
        <v>0</v>
      </c>
      <c r="U914" s="23">
        <f t="shared" si="3"/>
        <v>0</v>
      </c>
      <c r="V914" s="23">
        <f t="shared" si="4"/>
        <v>0</v>
      </c>
      <c r="W914" s="24" t="str">
        <f t="shared" si="5"/>
        <v>#DIV/0!</v>
      </c>
    </row>
    <row r="915" hidden="1">
      <c r="A915" s="15" t="s">
        <v>2571</v>
      </c>
      <c r="B915" s="18"/>
      <c r="C915" s="15" t="s">
        <v>7426</v>
      </c>
      <c r="D915" s="18"/>
      <c r="E915" s="17" t="s">
        <v>2572</v>
      </c>
      <c r="F915" s="18"/>
      <c r="G915" s="18"/>
      <c r="H915" s="15" t="s">
        <v>2573</v>
      </c>
      <c r="I915" s="15" t="s">
        <v>2574</v>
      </c>
      <c r="J915" s="19" t="s">
        <v>36</v>
      </c>
      <c r="K915" s="19" t="s">
        <v>2387</v>
      </c>
      <c r="L915" s="19" t="s">
        <v>38</v>
      </c>
      <c r="M915" s="20">
        <f t="shared" si="1"/>
        <v>0</v>
      </c>
      <c r="N915" s="22"/>
      <c r="O915" s="19" t="s">
        <v>1145</v>
      </c>
      <c r="P915" s="18"/>
      <c r="Q915" s="18"/>
      <c r="R915" s="23">
        <v>0.0</v>
      </c>
      <c r="S915" s="23">
        <v>0.0</v>
      </c>
      <c r="T915" s="23">
        <f t="shared" si="2"/>
        <v>0</v>
      </c>
      <c r="U915" s="23">
        <f t="shared" si="3"/>
        <v>0</v>
      </c>
      <c r="V915" s="23">
        <f t="shared" si="4"/>
        <v>0</v>
      </c>
      <c r="W915" s="24" t="str">
        <f t="shared" si="5"/>
        <v>#DIV/0!</v>
      </c>
    </row>
    <row r="916" hidden="1">
      <c r="A916" s="15" t="s">
        <v>7427</v>
      </c>
      <c r="B916" s="15" t="s">
        <v>7428</v>
      </c>
      <c r="C916" s="15" t="s">
        <v>7429</v>
      </c>
      <c r="D916" s="18"/>
      <c r="E916" s="17" t="s">
        <v>7430</v>
      </c>
      <c r="F916" s="18"/>
      <c r="G916" s="18"/>
      <c r="H916" s="15" t="s">
        <v>7431</v>
      </c>
      <c r="I916" s="15" t="s">
        <v>7432</v>
      </c>
      <c r="J916" s="19" t="s">
        <v>36</v>
      </c>
      <c r="K916" s="19" t="s">
        <v>2387</v>
      </c>
      <c r="L916" s="19" t="s">
        <v>38</v>
      </c>
      <c r="M916" s="20">
        <f t="shared" si="1"/>
        <v>0</v>
      </c>
      <c r="N916" s="22"/>
      <c r="O916" s="19" t="s">
        <v>39</v>
      </c>
      <c r="P916" s="18"/>
      <c r="Q916" s="18"/>
      <c r="R916" s="23">
        <v>0.0</v>
      </c>
      <c r="S916" s="23">
        <v>0.0</v>
      </c>
      <c r="T916" s="23">
        <f t="shared" si="2"/>
        <v>0</v>
      </c>
      <c r="U916" s="23">
        <f t="shared" si="3"/>
        <v>0</v>
      </c>
      <c r="V916" s="23">
        <f t="shared" si="4"/>
        <v>0</v>
      </c>
      <c r="W916" s="24" t="str">
        <f t="shared" si="5"/>
        <v>#DIV/0!</v>
      </c>
    </row>
    <row r="917">
      <c r="A917" s="15" t="s">
        <v>259</v>
      </c>
      <c r="B917" s="15" t="s">
        <v>260</v>
      </c>
      <c r="C917" s="15" t="s">
        <v>6016</v>
      </c>
      <c r="D917" s="15" t="s">
        <v>261</v>
      </c>
      <c r="E917" s="17" t="s">
        <v>262</v>
      </c>
      <c r="F917" s="18"/>
      <c r="G917" s="18"/>
      <c r="H917" s="15" t="s">
        <v>263</v>
      </c>
      <c r="I917" s="18"/>
      <c r="J917" s="19" t="s">
        <v>36</v>
      </c>
      <c r="K917" s="19" t="s">
        <v>60</v>
      </c>
      <c r="L917" s="19" t="s">
        <v>6017</v>
      </c>
      <c r="M917" s="20">
        <f t="shared" si="1"/>
        <v>1687.2</v>
      </c>
      <c r="N917" s="31">
        <v>5.0</v>
      </c>
      <c r="O917" s="19" t="s">
        <v>107</v>
      </c>
      <c r="P917" s="18"/>
      <c r="Q917" s="18"/>
      <c r="R917" s="23">
        <v>11.0</v>
      </c>
      <c r="S917" s="23">
        <v>95.0</v>
      </c>
      <c r="T917" s="23">
        <f t="shared" si="2"/>
        <v>91.2</v>
      </c>
      <c r="U917" s="23">
        <f t="shared" si="3"/>
        <v>13.475</v>
      </c>
      <c r="V917" s="23">
        <f t="shared" si="4"/>
        <v>252.65625</v>
      </c>
      <c r="W917" s="24">
        <f t="shared" si="5"/>
        <v>8.290909091</v>
      </c>
    </row>
    <row r="918">
      <c r="A918" s="15" t="s">
        <v>343</v>
      </c>
      <c r="B918" s="15" t="s">
        <v>344</v>
      </c>
      <c r="C918" s="15" t="s">
        <v>6018</v>
      </c>
      <c r="D918" s="15" t="s">
        <v>345</v>
      </c>
      <c r="E918" s="17" t="s">
        <v>346</v>
      </c>
      <c r="F918" s="18"/>
      <c r="G918" s="15" t="s">
        <v>347</v>
      </c>
      <c r="H918" s="15" t="s">
        <v>348</v>
      </c>
      <c r="I918" s="18"/>
      <c r="J918" s="19" t="s">
        <v>36</v>
      </c>
      <c r="K918" s="19" t="s">
        <v>60</v>
      </c>
      <c r="L918" s="19" t="s">
        <v>6017</v>
      </c>
      <c r="M918" s="20">
        <f t="shared" si="1"/>
        <v>1651.68</v>
      </c>
      <c r="N918" s="31">
        <v>3.0</v>
      </c>
      <c r="O918" s="19" t="s">
        <v>107</v>
      </c>
      <c r="P918" s="18"/>
      <c r="Q918" s="18"/>
      <c r="R918" s="23">
        <v>12.0</v>
      </c>
      <c r="S918" s="23">
        <v>93.0</v>
      </c>
      <c r="T918" s="23">
        <f t="shared" si="2"/>
        <v>89.28</v>
      </c>
      <c r="U918" s="23">
        <f t="shared" si="3"/>
        <v>14.7</v>
      </c>
      <c r="V918" s="23">
        <f t="shared" si="4"/>
        <v>275.625</v>
      </c>
      <c r="W918" s="24">
        <f t="shared" si="5"/>
        <v>7.44</v>
      </c>
    </row>
    <row r="919">
      <c r="A919" s="15" t="s">
        <v>293</v>
      </c>
      <c r="B919" s="15" t="s">
        <v>294</v>
      </c>
      <c r="C919" s="15" t="s">
        <v>7433</v>
      </c>
      <c r="D919" s="15" t="s">
        <v>295</v>
      </c>
      <c r="E919" s="17" t="s">
        <v>296</v>
      </c>
      <c r="F919" s="18"/>
      <c r="G919" s="18"/>
      <c r="H919" s="15" t="s">
        <v>297</v>
      </c>
      <c r="I919" s="18"/>
      <c r="J919" s="19" t="s">
        <v>36</v>
      </c>
      <c r="K919" s="19" t="s">
        <v>60</v>
      </c>
      <c r="L919" s="19" t="s">
        <v>6017</v>
      </c>
      <c r="M919" s="20">
        <f t="shared" si="1"/>
        <v>1243.2</v>
      </c>
      <c r="N919" s="31">
        <v>2.0</v>
      </c>
      <c r="O919" s="19" t="s">
        <v>107</v>
      </c>
      <c r="P919" s="18"/>
      <c r="Q919" s="18"/>
      <c r="R919" s="23">
        <v>8.5</v>
      </c>
      <c r="S919" s="23">
        <v>70.0</v>
      </c>
      <c r="T919" s="23">
        <f t="shared" si="2"/>
        <v>67.2</v>
      </c>
      <c r="U919" s="23">
        <f t="shared" si="3"/>
        <v>10.4125</v>
      </c>
      <c r="V919" s="23">
        <f t="shared" si="4"/>
        <v>195.234375</v>
      </c>
      <c r="W919" s="24">
        <f t="shared" si="5"/>
        <v>7.905882353</v>
      </c>
    </row>
    <row r="920">
      <c r="A920" s="15" t="s">
        <v>128</v>
      </c>
      <c r="B920" s="15" t="s">
        <v>129</v>
      </c>
      <c r="C920" s="15" t="s">
        <v>6019</v>
      </c>
      <c r="D920" s="15" t="s">
        <v>130</v>
      </c>
      <c r="E920" s="17" t="s">
        <v>131</v>
      </c>
      <c r="F920" s="18"/>
      <c r="G920" s="15" t="s">
        <v>132</v>
      </c>
      <c r="H920" s="15" t="s">
        <v>134</v>
      </c>
      <c r="I920" s="18"/>
      <c r="J920" s="19" t="s">
        <v>36</v>
      </c>
      <c r="K920" s="19" t="s">
        <v>60</v>
      </c>
      <c r="L920" s="19" t="s">
        <v>135</v>
      </c>
      <c r="M920" s="20">
        <f t="shared" si="1"/>
        <v>1651.68</v>
      </c>
      <c r="N920" s="31">
        <v>4.0</v>
      </c>
      <c r="O920" s="19" t="s">
        <v>107</v>
      </c>
      <c r="P920" s="18"/>
      <c r="Q920" s="18"/>
      <c r="R920" s="23">
        <v>4.0</v>
      </c>
      <c r="S920" s="23">
        <v>93.0</v>
      </c>
      <c r="T920" s="23">
        <f t="shared" si="2"/>
        <v>89.28</v>
      </c>
      <c r="U920" s="23">
        <f t="shared" si="3"/>
        <v>4.9</v>
      </c>
      <c r="V920" s="23">
        <f t="shared" si="4"/>
        <v>91.875</v>
      </c>
      <c r="W920" s="24">
        <f t="shared" si="5"/>
        <v>22.32</v>
      </c>
    </row>
    <row r="921" hidden="1">
      <c r="A921" s="15" t="s">
        <v>5033</v>
      </c>
      <c r="B921" s="18"/>
      <c r="C921" s="15" t="s">
        <v>7434</v>
      </c>
      <c r="D921" s="18"/>
      <c r="E921" s="17" t="s">
        <v>7435</v>
      </c>
      <c r="F921" s="18"/>
      <c r="G921" s="18"/>
      <c r="H921" s="15" t="s">
        <v>7436</v>
      </c>
      <c r="I921" s="15" t="s">
        <v>5036</v>
      </c>
      <c r="J921" s="19" t="s">
        <v>36</v>
      </c>
      <c r="K921" s="19" t="s">
        <v>2506</v>
      </c>
      <c r="L921" s="19" t="s">
        <v>38</v>
      </c>
      <c r="M921" s="20">
        <f t="shared" si="1"/>
        <v>0</v>
      </c>
      <c r="N921" s="22"/>
      <c r="O921" s="19" t="s">
        <v>1145</v>
      </c>
      <c r="P921" s="18"/>
      <c r="Q921" s="18"/>
      <c r="R921" s="23">
        <v>0.0</v>
      </c>
      <c r="S921" s="23">
        <v>0.0</v>
      </c>
      <c r="T921" s="23">
        <f t="shared" si="2"/>
        <v>0</v>
      </c>
      <c r="U921" s="23">
        <f t="shared" si="3"/>
        <v>0</v>
      </c>
      <c r="V921" s="23">
        <f t="shared" si="4"/>
        <v>0</v>
      </c>
      <c r="W921" s="24" t="str">
        <f t="shared" si="5"/>
        <v>#DIV/0!</v>
      </c>
    </row>
    <row r="922" hidden="1">
      <c r="A922" s="15" t="s">
        <v>2575</v>
      </c>
      <c r="B922" s="18"/>
      <c r="C922" s="15" t="s">
        <v>7437</v>
      </c>
      <c r="D922" s="18"/>
      <c r="E922" s="17" t="s">
        <v>2576</v>
      </c>
      <c r="F922" s="18"/>
      <c r="G922" s="18"/>
      <c r="H922" s="15" t="s">
        <v>2577</v>
      </c>
      <c r="I922" s="15" t="s">
        <v>2578</v>
      </c>
      <c r="J922" s="19" t="s">
        <v>36</v>
      </c>
      <c r="K922" s="19" t="s">
        <v>2387</v>
      </c>
      <c r="L922" s="19" t="s">
        <v>38</v>
      </c>
      <c r="M922" s="20">
        <f t="shared" si="1"/>
        <v>0</v>
      </c>
      <c r="N922" s="22"/>
      <c r="O922" s="19" t="s">
        <v>1145</v>
      </c>
      <c r="P922" s="18"/>
      <c r="Q922" s="18"/>
      <c r="R922" s="23">
        <v>0.0</v>
      </c>
      <c r="S922" s="23">
        <v>0.0</v>
      </c>
      <c r="T922" s="23">
        <f t="shared" si="2"/>
        <v>0</v>
      </c>
      <c r="U922" s="23">
        <f t="shared" si="3"/>
        <v>0</v>
      </c>
      <c r="V922" s="23">
        <f t="shared" si="4"/>
        <v>0</v>
      </c>
      <c r="W922" s="24" t="str">
        <f t="shared" si="5"/>
        <v>#DIV/0!</v>
      </c>
    </row>
    <row r="923">
      <c r="A923" s="15" t="s">
        <v>813</v>
      </c>
      <c r="B923" s="15" t="s">
        <v>814</v>
      </c>
      <c r="C923" s="15" t="s">
        <v>6080</v>
      </c>
      <c r="D923" s="15" t="s">
        <v>815</v>
      </c>
      <c r="E923" s="17" t="s">
        <v>816</v>
      </c>
      <c r="F923" s="18"/>
      <c r="G923" s="15" t="s">
        <v>817</v>
      </c>
      <c r="H923" s="15" t="s">
        <v>818</v>
      </c>
      <c r="I923" s="18"/>
      <c r="J923" s="19" t="s">
        <v>36</v>
      </c>
      <c r="K923" s="19" t="s">
        <v>427</v>
      </c>
      <c r="L923" s="19" t="s">
        <v>610</v>
      </c>
      <c r="M923" s="20">
        <f t="shared" si="1"/>
        <v>923.52</v>
      </c>
      <c r="N923" s="31">
        <v>10.0</v>
      </c>
      <c r="O923" s="19" t="s">
        <v>107</v>
      </c>
      <c r="P923" s="18"/>
      <c r="Q923" s="18"/>
      <c r="R923" s="23">
        <v>12.0</v>
      </c>
      <c r="S923" s="23">
        <v>52.0</v>
      </c>
      <c r="T923" s="23">
        <f t="shared" si="2"/>
        <v>49.92</v>
      </c>
      <c r="U923" s="23">
        <f t="shared" si="3"/>
        <v>14.7</v>
      </c>
      <c r="V923" s="23">
        <f t="shared" si="4"/>
        <v>275.625</v>
      </c>
      <c r="W923" s="24">
        <f t="shared" si="5"/>
        <v>4.16</v>
      </c>
    </row>
    <row r="924">
      <c r="A924" s="15" t="s">
        <v>604</v>
      </c>
      <c r="B924" s="15" t="s">
        <v>605</v>
      </c>
      <c r="C924" s="15" t="s">
        <v>6081</v>
      </c>
      <c r="D924" s="15" t="s">
        <v>606</v>
      </c>
      <c r="E924" s="17" t="s">
        <v>607</v>
      </c>
      <c r="F924" s="18"/>
      <c r="G924" s="15" t="s">
        <v>608</v>
      </c>
      <c r="H924" s="15" t="s">
        <v>609</v>
      </c>
      <c r="I924" s="18"/>
      <c r="J924" s="19" t="s">
        <v>36</v>
      </c>
      <c r="K924" s="19" t="s">
        <v>427</v>
      </c>
      <c r="L924" s="19" t="s">
        <v>610</v>
      </c>
      <c r="M924" s="20">
        <f t="shared" si="1"/>
        <v>1154.4</v>
      </c>
      <c r="N924" s="31">
        <v>10.0</v>
      </c>
      <c r="O924" s="19" t="s">
        <v>107</v>
      </c>
      <c r="P924" s="18"/>
      <c r="Q924" s="18"/>
      <c r="R924" s="23">
        <v>12.0</v>
      </c>
      <c r="S924" s="23">
        <v>65.0</v>
      </c>
      <c r="T924" s="23">
        <f t="shared" si="2"/>
        <v>62.4</v>
      </c>
      <c r="U924" s="23">
        <f t="shared" si="3"/>
        <v>14.7</v>
      </c>
      <c r="V924" s="23">
        <f t="shared" si="4"/>
        <v>275.625</v>
      </c>
      <c r="W924" s="24">
        <f t="shared" si="5"/>
        <v>5.2</v>
      </c>
    </row>
    <row r="925" hidden="1">
      <c r="A925" s="15" t="s">
        <v>2579</v>
      </c>
      <c r="B925" s="18"/>
      <c r="C925" s="15" t="s">
        <v>7438</v>
      </c>
      <c r="D925" s="18"/>
      <c r="E925" s="17" t="s">
        <v>2580</v>
      </c>
      <c r="F925" s="18"/>
      <c r="G925" s="18"/>
      <c r="H925" s="15" t="s">
        <v>2581</v>
      </c>
      <c r="I925" s="15" t="s">
        <v>2582</v>
      </c>
      <c r="J925" s="19" t="s">
        <v>36</v>
      </c>
      <c r="K925" s="19" t="s">
        <v>691</v>
      </c>
      <c r="L925" s="19" t="s">
        <v>38</v>
      </c>
      <c r="M925" s="20">
        <f t="shared" si="1"/>
        <v>0</v>
      </c>
      <c r="N925" s="22"/>
      <c r="O925" s="19" t="s">
        <v>1145</v>
      </c>
      <c r="P925" s="18"/>
      <c r="Q925" s="18"/>
      <c r="R925" s="23">
        <v>0.0</v>
      </c>
      <c r="S925" s="23">
        <v>0.0</v>
      </c>
      <c r="T925" s="23">
        <f t="shared" si="2"/>
        <v>0</v>
      </c>
      <c r="U925" s="23">
        <f t="shared" si="3"/>
        <v>0</v>
      </c>
      <c r="V925" s="23">
        <f t="shared" si="4"/>
        <v>0</v>
      </c>
      <c r="W925" s="24" t="str">
        <f t="shared" si="5"/>
        <v>#DIV/0!</v>
      </c>
    </row>
    <row r="926" hidden="1">
      <c r="A926" s="15" t="s">
        <v>2583</v>
      </c>
      <c r="B926" s="18"/>
      <c r="C926" s="15" t="s">
        <v>7439</v>
      </c>
      <c r="D926" s="18"/>
      <c r="E926" s="17" t="s">
        <v>2584</v>
      </c>
      <c r="F926" s="18"/>
      <c r="G926" s="18"/>
      <c r="H926" s="15" t="s">
        <v>2585</v>
      </c>
      <c r="I926" s="15" t="s">
        <v>2586</v>
      </c>
      <c r="J926" s="19" t="s">
        <v>36</v>
      </c>
      <c r="K926" s="19" t="s">
        <v>2401</v>
      </c>
      <c r="L926" s="19" t="s">
        <v>38</v>
      </c>
      <c r="M926" s="20">
        <f t="shared" si="1"/>
        <v>0</v>
      </c>
      <c r="N926" s="22"/>
      <c r="O926" s="19" t="s">
        <v>1145</v>
      </c>
      <c r="P926" s="18"/>
      <c r="Q926" s="18"/>
      <c r="R926" s="23">
        <v>0.0</v>
      </c>
      <c r="S926" s="23">
        <v>0.0</v>
      </c>
      <c r="T926" s="23">
        <f t="shared" si="2"/>
        <v>0</v>
      </c>
      <c r="U926" s="23">
        <f t="shared" si="3"/>
        <v>0</v>
      </c>
      <c r="V926" s="23">
        <f t="shared" si="4"/>
        <v>0</v>
      </c>
      <c r="W926" s="24" t="str">
        <f t="shared" si="5"/>
        <v>#DIV/0!</v>
      </c>
    </row>
    <row r="927" hidden="1">
      <c r="A927" s="15" t="s">
        <v>2587</v>
      </c>
      <c r="B927" s="18"/>
      <c r="C927" s="15" t="s">
        <v>7440</v>
      </c>
      <c r="D927" s="18"/>
      <c r="E927" s="17" t="s">
        <v>2588</v>
      </c>
      <c r="F927" s="18"/>
      <c r="G927" s="18"/>
      <c r="H927" s="15" t="s">
        <v>2589</v>
      </c>
      <c r="I927" s="15" t="s">
        <v>2590</v>
      </c>
      <c r="J927" s="19" t="s">
        <v>36</v>
      </c>
      <c r="K927" s="19" t="s">
        <v>2387</v>
      </c>
      <c r="L927" s="19" t="s">
        <v>38</v>
      </c>
      <c r="M927" s="20">
        <f t="shared" si="1"/>
        <v>0</v>
      </c>
      <c r="N927" s="22"/>
      <c r="O927" s="19" t="s">
        <v>1145</v>
      </c>
      <c r="P927" s="18"/>
      <c r="Q927" s="18"/>
      <c r="R927" s="23">
        <v>0.0</v>
      </c>
      <c r="S927" s="23">
        <v>0.0</v>
      </c>
      <c r="T927" s="23">
        <f t="shared" si="2"/>
        <v>0</v>
      </c>
      <c r="U927" s="23">
        <f t="shared" si="3"/>
        <v>0</v>
      </c>
      <c r="V927" s="23">
        <f t="shared" si="4"/>
        <v>0</v>
      </c>
      <c r="W927" s="24" t="str">
        <f t="shared" si="5"/>
        <v>#DIV/0!</v>
      </c>
    </row>
    <row r="928" hidden="1">
      <c r="A928" s="15" t="s">
        <v>5037</v>
      </c>
      <c r="B928" s="15" t="s">
        <v>5038</v>
      </c>
      <c r="C928" s="15" t="s">
        <v>7441</v>
      </c>
      <c r="D928" s="18"/>
      <c r="E928" s="17" t="s">
        <v>7442</v>
      </c>
      <c r="F928" s="18"/>
      <c r="G928" s="18"/>
      <c r="H928" s="15" t="s">
        <v>7443</v>
      </c>
      <c r="I928" s="18"/>
      <c r="J928" s="19" t="s">
        <v>36</v>
      </c>
      <c r="K928" s="33"/>
      <c r="L928" s="19" t="s">
        <v>38</v>
      </c>
      <c r="M928" s="20">
        <f t="shared" si="1"/>
        <v>0</v>
      </c>
      <c r="N928" s="22"/>
      <c r="O928" s="19" t="s">
        <v>1145</v>
      </c>
      <c r="P928" s="18"/>
      <c r="Q928" s="18"/>
      <c r="R928" s="23">
        <v>0.0</v>
      </c>
      <c r="S928" s="23">
        <v>0.0</v>
      </c>
      <c r="T928" s="23">
        <f t="shared" si="2"/>
        <v>0</v>
      </c>
      <c r="U928" s="23">
        <f t="shared" si="3"/>
        <v>0</v>
      </c>
      <c r="V928" s="23">
        <f t="shared" si="4"/>
        <v>0</v>
      </c>
      <c r="W928" s="24" t="str">
        <f t="shared" si="5"/>
        <v>#DIV/0!</v>
      </c>
    </row>
    <row r="929">
      <c r="A929" s="15" t="s">
        <v>264</v>
      </c>
      <c r="B929" s="15" t="s">
        <v>265</v>
      </c>
      <c r="C929" s="15" t="s">
        <v>6020</v>
      </c>
      <c r="D929" s="15" t="s">
        <v>266</v>
      </c>
      <c r="E929" s="17" t="s">
        <v>267</v>
      </c>
      <c r="F929" s="18"/>
      <c r="G929" s="18"/>
      <c r="H929" s="15" t="s">
        <v>268</v>
      </c>
      <c r="I929" s="18"/>
      <c r="J929" s="19" t="s">
        <v>36</v>
      </c>
      <c r="K929" s="19" t="s">
        <v>200</v>
      </c>
      <c r="L929" s="19" t="s">
        <v>269</v>
      </c>
      <c r="M929" s="20">
        <f t="shared" si="1"/>
        <v>15309.12</v>
      </c>
      <c r="N929" s="31">
        <v>3.0</v>
      </c>
      <c r="O929" s="19" t="s">
        <v>107</v>
      </c>
      <c r="P929" s="18"/>
      <c r="Q929" s="18"/>
      <c r="R929" s="23">
        <v>100.0</v>
      </c>
      <c r="S929" s="23">
        <v>862.0</v>
      </c>
      <c r="T929" s="23">
        <f t="shared" si="2"/>
        <v>827.52</v>
      </c>
      <c r="U929" s="23">
        <f t="shared" si="3"/>
        <v>122.5</v>
      </c>
      <c r="V929" s="23">
        <f t="shared" si="4"/>
        <v>2296.875</v>
      </c>
      <c r="W929" s="24">
        <f t="shared" si="5"/>
        <v>8.2752</v>
      </c>
    </row>
    <row r="930">
      <c r="A930" s="15" t="s">
        <v>503</v>
      </c>
      <c r="B930" s="15" t="s">
        <v>504</v>
      </c>
      <c r="C930" s="15" t="s">
        <v>6021</v>
      </c>
      <c r="D930" s="15" t="s">
        <v>505</v>
      </c>
      <c r="E930" s="17" t="s">
        <v>506</v>
      </c>
      <c r="F930" s="18"/>
      <c r="G930" s="15" t="s">
        <v>507</v>
      </c>
      <c r="H930" s="15" t="s">
        <v>508</v>
      </c>
      <c r="I930" s="18"/>
      <c r="J930" s="19" t="s">
        <v>36</v>
      </c>
      <c r="K930" s="19" t="s">
        <v>427</v>
      </c>
      <c r="L930" s="19" t="s">
        <v>269</v>
      </c>
      <c r="M930" s="20">
        <f t="shared" si="1"/>
        <v>8631.36</v>
      </c>
      <c r="N930" s="31">
        <v>4.0</v>
      </c>
      <c r="O930" s="19" t="s">
        <v>107</v>
      </c>
      <c r="P930" s="18"/>
      <c r="Q930" s="18"/>
      <c r="R930" s="23">
        <v>75.0</v>
      </c>
      <c r="S930" s="23">
        <v>486.0</v>
      </c>
      <c r="T930" s="23">
        <f t="shared" si="2"/>
        <v>466.56</v>
      </c>
      <c r="U930" s="23">
        <f t="shared" si="3"/>
        <v>91.875</v>
      </c>
      <c r="V930" s="23">
        <f t="shared" si="4"/>
        <v>1722.65625</v>
      </c>
      <c r="W930" s="24">
        <f t="shared" si="5"/>
        <v>6.2208</v>
      </c>
    </row>
    <row r="931">
      <c r="A931" s="15" t="s">
        <v>446</v>
      </c>
      <c r="B931" s="15" t="s">
        <v>447</v>
      </c>
      <c r="C931" s="15" t="s">
        <v>7444</v>
      </c>
      <c r="D931" s="15" t="s">
        <v>448</v>
      </c>
      <c r="E931" s="17" t="s">
        <v>449</v>
      </c>
      <c r="F931" s="18"/>
      <c r="G931" s="18"/>
      <c r="H931" s="15" t="s">
        <v>450</v>
      </c>
      <c r="I931" s="18"/>
      <c r="J931" s="19" t="s">
        <v>36</v>
      </c>
      <c r="K931" s="19" t="s">
        <v>427</v>
      </c>
      <c r="L931" s="19" t="s">
        <v>269</v>
      </c>
      <c r="M931" s="20">
        <f t="shared" si="1"/>
        <v>7920.96</v>
      </c>
      <c r="N931" s="31">
        <v>2.0</v>
      </c>
      <c r="O931" s="19" t="s">
        <v>107</v>
      </c>
      <c r="P931" s="18"/>
      <c r="Q931" s="18"/>
      <c r="R931" s="23">
        <v>65.0</v>
      </c>
      <c r="S931" s="23">
        <v>446.0</v>
      </c>
      <c r="T931" s="23">
        <f t="shared" si="2"/>
        <v>428.16</v>
      </c>
      <c r="U931" s="23">
        <f t="shared" si="3"/>
        <v>79.625</v>
      </c>
      <c r="V931" s="23">
        <f t="shared" si="4"/>
        <v>1492.96875</v>
      </c>
      <c r="W931" s="24">
        <f t="shared" si="5"/>
        <v>6.587076923</v>
      </c>
    </row>
    <row r="932" hidden="1">
      <c r="A932" s="15" t="s">
        <v>5041</v>
      </c>
      <c r="B932" s="15" t="s">
        <v>5042</v>
      </c>
      <c r="C932" s="15" t="s">
        <v>7445</v>
      </c>
      <c r="D932" s="15" t="s">
        <v>5043</v>
      </c>
      <c r="E932" s="17" t="s">
        <v>5044</v>
      </c>
      <c r="F932" s="18"/>
      <c r="G932" s="18"/>
      <c r="H932" s="15" t="s">
        <v>7446</v>
      </c>
      <c r="I932" s="18"/>
      <c r="J932" s="19" t="s">
        <v>36</v>
      </c>
      <c r="K932" s="33"/>
      <c r="L932" s="19" t="s">
        <v>38</v>
      </c>
      <c r="M932" s="20">
        <f t="shared" si="1"/>
        <v>0</v>
      </c>
      <c r="N932" s="22"/>
      <c r="O932" s="19" t="s">
        <v>3578</v>
      </c>
      <c r="P932" s="18"/>
      <c r="Q932" s="18"/>
      <c r="R932" s="23">
        <v>0.0</v>
      </c>
      <c r="S932" s="23">
        <v>0.0</v>
      </c>
      <c r="T932" s="23">
        <f t="shared" si="2"/>
        <v>0</v>
      </c>
      <c r="U932" s="23">
        <f t="shared" si="3"/>
        <v>0</v>
      </c>
      <c r="V932" s="23">
        <f t="shared" si="4"/>
        <v>0</v>
      </c>
      <c r="W932" s="24" t="str">
        <f t="shared" si="5"/>
        <v>#DIV/0!</v>
      </c>
    </row>
    <row r="933" hidden="1">
      <c r="A933" s="15" t="s">
        <v>2591</v>
      </c>
      <c r="B933" s="18"/>
      <c r="C933" s="15" t="s">
        <v>7447</v>
      </c>
      <c r="D933" s="18"/>
      <c r="E933" s="17" t="s">
        <v>2592</v>
      </c>
      <c r="F933" s="18"/>
      <c r="G933" s="18"/>
      <c r="H933" s="15" t="s">
        <v>2593</v>
      </c>
      <c r="I933" s="15" t="s">
        <v>2594</v>
      </c>
      <c r="J933" s="19" t="s">
        <v>36</v>
      </c>
      <c r="K933" s="19" t="s">
        <v>2506</v>
      </c>
      <c r="L933" s="19" t="s">
        <v>38</v>
      </c>
      <c r="M933" s="20">
        <f t="shared" si="1"/>
        <v>0</v>
      </c>
      <c r="N933" s="22"/>
      <c r="O933" s="19" t="s">
        <v>1145</v>
      </c>
      <c r="P933" s="18"/>
      <c r="Q933" s="18"/>
      <c r="R933" s="23">
        <v>0.0</v>
      </c>
      <c r="S933" s="23">
        <v>0.0</v>
      </c>
      <c r="T933" s="23">
        <f t="shared" si="2"/>
        <v>0</v>
      </c>
      <c r="U933" s="23">
        <f t="shared" si="3"/>
        <v>0</v>
      </c>
      <c r="V933" s="23">
        <f t="shared" si="4"/>
        <v>0</v>
      </c>
      <c r="W933" s="24" t="str">
        <f t="shared" si="5"/>
        <v>#DIV/0!</v>
      </c>
    </row>
    <row r="934" hidden="1">
      <c r="A934" s="15" t="s">
        <v>2595</v>
      </c>
      <c r="B934" s="18"/>
      <c r="C934" s="15" t="s">
        <v>7448</v>
      </c>
      <c r="D934" s="18"/>
      <c r="E934" s="17" t="s">
        <v>2596</v>
      </c>
      <c r="F934" s="18"/>
      <c r="G934" s="18"/>
      <c r="H934" s="15" t="s">
        <v>2597</v>
      </c>
      <c r="I934" s="15" t="s">
        <v>2598</v>
      </c>
      <c r="J934" s="19" t="s">
        <v>36</v>
      </c>
      <c r="K934" s="19" t="s">
        <v>2382</v>
      </c>
      <c r="L934" s="19" t="s">
        <v>38</v>
      </c>
      <c r="M934" s="20">
        <f t="shared" si="1"/>
        <v>0</v>
      </c>
      <c r="N934" s="22"/>
      <c r="O934" s="19" t="s">
        <v>1145</v>
      </c>
      <c r="P934" s="18"/>
      <c r="Q934" s="18"/>
      <c r="R934" s="23">
        <v>0.0</v>
      </c>
      <c r="S934" s="23">
        <v>0.0</v>
      </c>
      <c r="T934" s="23">
        <f t="shared" si="2"/>
        <v>0</v>
      </c>
      <c r="U934" s="23">
        <f t="shared" si="3"/>
        <v>0</v>
      </c>
      <c r="V934" s="23">
        <f t="shared" si="4"/>
        <v>0</v>
      </c>
      <c r="W934" s="24" t="str">
        <f t="shared" si="5"/>
        <v>#DIV/0!</v>
      </c>
    </row>
    <row r="935" hidden="1">
      <c r="A935" s="15" t="s">
        <v>2599</v>
      </c>
      <c r="B935" s="18"/>
      <c r="C935" s="15" t="s">
        <v>7449</v>
      </c>
      <c r="D935" s="18"/>
      <c r="E935" s="17" t="s">
        <v>2600</v>
      </c>
      <c r="F935" s="18"/>
      <c r="G935" s="18"/>
      <c r="H935" s="15" t="s">
        <v>2601</v>
      </c>
      <c r="I935" s="15" t="s">
        <v>2602</v>
      </c>
      <c r="J935" s="19" t="s">
        <v>36</v>
      </c>
      <c r="K935" s="19" t="s">
        <v>2382</v>
      </c>
      <c r="L935" s="19" t="s">
        <v>38</v>
      </c>
      <c r="M935" s="20">
        <f t="shared" si="1"/>
        <v>0</v>
      </c>
      <c r="N935" s="22"/>
      <c r="O935" s="19" t="s">
        <v>1145</v>
      </c>
      <c r="P935" s="18"/>
      <c r="Q935" s="18"/>
      <c r="R935" s="23">
        <v>0.0</v>
      </c>
      <c r="S935" s="23">
        <v>0.0</v>
      </c>
      <c r="T935" s="23">
        <f t="shared" si="2"/>
        <v>0</v>
      </c>
      <c r="U935" s="23">
        <f t="shared" si="3"/>
        <v>0</v>
      </c>
      <c r="V935" s="23">
        <f t="shared" si="4"/>
        <v>0</v>
      </c>
      <c r="W935" s="24" t="str">
        <f t="shared" si="5"/>
        <v>#DIV/0!</v>
      </c>
    </row>
    <row r="936" hidden="1">
      <c r="A936" s="15" t="s">
        <v>2603</v>
      </c>
      <c r="B936" s="18"/>
      <c r="C936" s="15" t="s">
        <v>7450</v>
      </c>
      <c r="D936" s="18"/>
      <c r="E936" s="17" t="s">
        <v>2604</v>
      </c>
      <c r="F936" s="18"/>
      <c r="G936" s="18"/>
      <c r="H936" s="15" t="s">
        <v>2605</v>
      </c>
      <c r="I936" s="15" t="s">
        <v>2606</v>
      </c>
      <c r="J936" s="19" t="s">
        <v>36</v>
      </c>
      <c r="K936" s="19" t="s">
        <v>691</v>
      </c>
      <c r="L936" s="19" t="s">
        <v>38</v>
      </c>
      <c r="M936" s="20">
        <f t="shared" si="1"/>
        <v>0</v>
      </c>
      <c r="N936" s="22"/>
      <c r="O936" s="19" t="s">
        <v>1145</v>
      </c>
      <c r="P936" s="18"/>
      <c r="Q936" s="18"/>
      <c r="R936" s="23">
        <v>0.0</v>
      </c>
      <c r="S936" s="23">
        <v>0.0</v>
      </c>
      <c r="T936" s="23">
        <f t="shared" si="2"/>
        <v>0</v>
      </c>
      <c r="U936" s="23">
        <f t="shared" si="3"/>
        <v>0</v>
      </c>
      <c r="V936" s="23">
        <f t="shared" si="4"/>
        <v>0</v>
      </c>
      <c r="W936" s="24" t="str">
        <f t="shared" si="5"/>
        <v>#DIV/0!</v>
      </c>
    </row>
    <row r="937" hidden="1">
      <c r="A937" s="15" t="s">
        <v>2607</v>
      </c>
      <c r="B937" s="18"/>
      <c r="C937" s="15" t="s">
        <v>7451</v>
      </c>
      <c r="D937" s="18"/>
      <c r="E937" s="17" t="s">
        <v>2604</v>
      </c>
      <c r="F937" s="18"/>
      <c r="G937" s="18"/>
      <c r="H937" s="15" t="s">
        <v>2608</v>
      </c>
      <c r="I937" s="15" t="s">
        <v>2609</v>
      </c>
      <c r="J937" s="19" t="s">
        <v>36</v>
      </c>
      <c r="K937" s="19" t="s">
        <v>691</v>
      </c>
      <c r="L937" s="19" t="s">
        <v>38</v>
      </c>
      <c r="M937" s="20">
        <f t="shared" si="1"/>
        <v>0</v>
      </c>
      <c r="N937" s="22"/>
      <c r="O937" s="19" t="s">
        <v>1145</v>
      </c>
      <c r="P937" s="18"/>
      <c r="Q937" s="18"/>
      <c r="R937" s="23">
        <v>0.0</v>
      </c>
      <c r="S937" s="23">
        <v>0.0</v>
      </c>
      <c r="T937" s="23">
        <f t="shared" si="2"/>
        <v>0</v>
      </c>
      <c r="U937" s="23">
        <f t="shared" si="3"/>
        <v>0</v>
      </c>
      <c r="V937" s="23">
        <f t="shared" si="4"/>
        <v>0</v>
      </c>
      <c r="W937" s="24" t="str">
        <f t="shared" si="5"/>
        <v>#DIV/0!</v>
      </c>
    </row>
    <row r="938" hidden="1">
      <c r="A938" s="15" t="s">
        <v>2610</v>
      </c>
      <c r="B938" s="18"/>
      <c r="C938" s="15" t="s">
        <v>7452</v>
      </c>
      <c r="D938" s="18"/>
      <c r="E938" s="17" t="s">
        <v>2611</v>
      </c>
      <c r="F938" s="18"/>
      <c r="G938" s="18"/>
      <c r="H938" s="15" t="s">
        <v>2612</v>
      </c>
      <c r="I938" s="15" t="s">
        <v>2613</v>
      </c>
      <c r="J938" s="19" t="s">
        <v>36</v>
      </c>
      <c r="K938" s="19" t="s">
        <v>691</v>
      </c>
      <c r="L938" s="19" t="s">
        <v>38</v>
      </c>
      <c r="M938" s="20">
        <f t="shared" si="1"/>
        <v>0</v>
      </c>
      <c r="N938" s="22"/>
      <c r="O938" s="19" t="s">
        <v>1145</v>
      </c>
      <c r="P938" s="18"/>
      <c r="Q938" s="18"/>
      <c r="R938" s="23">
        <v>0.0</v>
      </c>
      <c r="S938" s="23">
        <v>0.0</v>
      </c>
      <c r="T938" s="23">
        <f t="shared" si="2"/>
        <v>0</v>
      </c>
      <c r="U938" s="23">
        <f t="shared" si="3"/>
        <v>0</v>
      </c>
      <c r="V938" s="23">
        <f t="shared" si="4"/>
        <v>0</v>
      </c>
      <c r="W938" s="24" t="str">
        <f t="shared" si="5"/>
        <v>#DIV/0!</v>
      </c>
    </row>
    <row r="939">
      <c r="A939" s="15" t="s">
        <v>484</v>
      </c>
      <c r="B939" s="15" t="s">
        <v>485</v>
      </c>
      <c r="C939" s="15" t="s">
        <v>7453</v>
      </c>
      <c r="D939" s="15" t="s">
        <v>486</v>
      </c>
      <c r="E939" s="17" t="s">
        <v>487</v>
      </c>
      <c r="F939" s="18"/>
      <c r="G939" s="15" t="s">
        <v>488</v>
      </c>
      <c r="H939" s="15" t="s">
        <v>489</v>
      </c>
      <c r="I939" s="18"/>
      <c r="J939" s="19" t="s">
        <v>36</v>
      </c>
      <c r="K939" s="19" t="s">
        <v>60</v>
      </c>
      <c r="L939" s="19" t="s">
        <v>52</v>
      </c>
      <c r="M939" s="20">
        <f t="shared" si="1"/>
        <v>6695.52</v>
      </c>
      <c r="N939" s="31">
        <v>1.0</v>
      </c>
      <c r="O939" s="19" t="s">
        <v>107</v>
      </c>
      <c r="P939" s="18"/>
      <c r="Q939" s="18"/>
      <c r="R939" s="23">
        <v>57.0</v>
      </c>
      <c r="S939" s="23">
        <v>377.0</v>
      </c>
      <c r="T939" s="23">
        <f t="shared" si="2"/>
        <v>361.92</v>
      </c>
      <c r="U939" s="23">
        <f t="shared" si="3"/>
        <v>69.825</v>
      </c>
      <c r="V939" s="23">
        <f t="shared" si="4"/>
        <v>1309.21875</v>
      </c>
      <c r="W939" s="24">
        <f t="shared" si="5"/>
        <v>6.349473684</v>
      </c>
    </row>
    <row r="940">
      <c r="A940" s="15" t="s">
        <v>357</v>
      </c>
      <c r="B940" s="15" t="s">
        <v>358</v>
      </c>
      <c r="C940" s="15" t="s">
        <v>7454</v>
      </c>
      <c r="D940" s="15" t="s">
        <v>359</v>
      </c>
      <c r="E940" s="17" t="s">
        <v>360</v>
      </c>
      <c r="F940" s="18"/>
      <c r="G940" s="15" t="s">
        <v>361</v>
      </c>
      <c r="H940" s="15" t="s">
        <v>362</v>
      </c>
      <c r="I940" s="18"/>
      <c r="J940" s="19" t="s">
        <v>36</v>
      </c>
      <c r="K940" s="19" t="s">
        <v>60</v>
      </c>
      <c r="L940" s="19" t="s">
        <v>52</v>
      </c>
      <c r="M940" s="20">
        <f t="shared" si="1"/>
        <v>7743.36</v>
      </c>
      <c r="N940" s="31">
        <v>1.0</v>
      </c>
      <c r="O940" s="19" t="s">
        <v>107</v>
      </c>
      <c r="P940" s="18"/>
      <c r="Q940" s="18"/>
      <c r="R940" s="23">
        <v>57.0</v>
      </c>
      <c r="S940" s="23">
        <v>436.0</v>
      </c>
      <c r="T940" s="23">
        <f t="shared" si="2"/>
        <v>418.56</v>
      </c>
      <c r="U940" s="23">
        <f t="shared" si="3"/>
        <v>69.825</v>
      </c>
      <c r="V940" s="23">
        <f t="shared" si="4"/>
        <v>1309.21875</v>
      </c>
      <c r="W940" s="24">
        <f t="shared" si="5"/>
        <v>7.343157895</v>
      </c>
    </row>
    <row r="941">
      <c r="A941" s="15" t="s">
        <v>286</v>
      </c>
      <c r="B941" s="15" t="s">
        <v>287</v>
      </c>
      <c r="C941" s="15" t="s">
        <v>6022</v>
      </c>
      <c r="D941" s="15" t="s">
        <v>288</v>
      </c>
      <c r="E941" s="17" t="s">
        <v>289</v>
      </c>
      <c r="F941" s="18"/>
      <c r="G941" s="15" t="s">
        <v>290</v>
      </c>
      <c r="H941" s="15" t="s">
        <v>291</v>
      </c>
      <c r="I941" s="18"/>
      <c r="J941" s="19" t="s">
        <v>36</v>
      </c>
      <c r="K941" s="19" t="s">
        <v>60</v>
      </c>
      <c r="L941" s="19" t="s">
        <v>292</v>
      </c>
      <c r="M941" s="20">
        <f t="shared" si="1"/>
        <v>1172.16</v>
      </c>
      <c r="N941" s="31">
        <v>3.0</v>
      </c>
      <c r="O941" s="19" t="s">
        <v>107</v>
      </c>
      <c r="P941" s="18"/>
      <c r="Q941" s="18"/>
      <c r="R941" s="23">
        <v>8.0</v>
      </c>
      <c r="S941" s="23">
        <v>66.0</v>
      </c>
      <c r="T941" s="23">
        <f t="shared" si="2"/>
        <v>63.36</v>
      </c>
      <c r="U941" s="23">
        <f t="shared" si="3"/>
        <v>9.8</v>
      </c>
      <c r="V941" s="23">
        <f t="shared" si="4"/>
        <v>183.75</v>
      </c>
      <c r="W941" s="24">
        <f t="shared" si="5"/>
        <v>7.92</v>
      </c>
    </row>
    <row r="942" hidden="1">
      <c r="A942" s="15" t="s">
        <v>2614</v>
      </c>
      <c r="B942" s="18"/>
      <c r="C942" s="15" t="s">
        <v>7455</v>
      </c>
      <c r="D942" s="18"/>
      <c r="E942" s="17" t="s">
        <v>2615</v>
      </c>
      <c r="F942" s="18"/>
      <c r="G942" s="18"/>
      <c r="H942" s="15" t="s">
        <v>2616</v>
      </c>
      <c r="I942" s="15" t="s">
        <v>2617</v>
      </c>
      <c r="J942" s="19" t="s">
        <v>36</v>
      </c>
      <c r="K942" s="19" t="s">
        <v>691</v>
      </c>
      <c r="L942" s="19" t="s">
        <v>38</v>
      </c>
      <c r="M942" s="20">
        <f t="shared" si="1"/>
        <v>0</v>
      </c>
      <c r="N942" s="22"/>
      <c r="O942" s="19" t="s">
        <v>1145</v>
      </c>
      <c r="P942" s="18"/>
      <c r="Q942" s="18"/>
      <c r="R942" s="23">
        <v>0.0</v>
      </c>
      <c r="S942" s="23">
        <v>0.0</v>
      </c>
      <c r="T942" s="23">
        <f t="shared" si="2"/>
        <v>0</v>
      </c>
      <c r="U942" s="23">
        <f t="shared" si="3"/>
        <v>0</v>
      </c>
      <c r="V942" s="23">
        <f t="shared" si="4"/>
        <v>0</v>
      </c>
      <c r="W942" s="24" t="str">
        <f t="shared" si="5"/>
        <v>#DIV/0!</v>
      </c>
    </row>
    <row r="943" hidden="1">
      <c r="A943" s="15" t="s">
        <v>2618</v>
      </c>
      <c r="B943" s="18"/>
      <c r="C943" s="15" t="s">
        <v>7456</v>
      </c>
      <c r="D943" s="18"/>
      <c r="E943" s="17" t="s">
        <v>1985</v>
      </c>
      <c r="F943" s="18"/>
      <c r="G943" s="18"/>
      <c r="H943" s="15" t="s">
        <v>2619</v>
      </c>
      <c r="I943" s="15" t="s">
        <v>2620</v>
      </c>
      <c r="J943" s="19" t="s">
        <v>36</v>
      </c>
      <c r="K943" s="19" t="s">
        <v>2387</v>
      </c>
      <c r="L943" s="19" t="s">
        <v>38</v>
      </c>
      <c r="M943" s="20">
        <f t="shared" si="1"/>
        <v>0</v>
      </c>
      <c r="N943" s="22"/>
      <c r="O943" s="19" t="s">
        <v>1145</v>
      </c>
      <c r="P943" s="18"/>
      <c r="Q943" s="18"/>
      <c r="R943" s="23">
        <v>0.0</v>
      </c>
      <c r="S943" s="23">
        <v>0.0</v>
      </c>
      <c r="T943" s="23">
        <f t="shared" si="2"/>
        <v>0</v>
      </c>
      <c r="U943" s="23">
        <f t="shared" si="3"/>
        <v>0</v>
      </c>
      <c r="V943" s="23">
        <f t="shared" si="4"/>
        <v>0</v>
      </c>
      <c r="W943" s="24" t="str">
        <f t="shared" si="5"/>
        <v>#DIV/0!</v>
      </c>
    </row>
    <row r="944" hidden="1">
      <c r="A944" s="15" t="s">
        <v>5046</v>
      </c>
      <c r="B944" s="18"/>
      <c r="C944" s="15" t="s">
        <v>7457</v>
      </c>
      <c r="D944" s="18"/>
      <c r="E944" s="17" t="s">
        <v>7458</v>
      </c>
      <c r="F944" s="18"/>
      <c r="G944" s="18"/>
      <c r="H944" s="15" t="s">
        <v>5050</v>
      </c>
      <c r="I944" s="15" t="s">
        <v>5049</v>
      </c>
      <c r="J944" s="19" t="s">
        <v>36</v>
      </c>
      <c r="K944" s="19" t="s">
        <v>2396</v>
      </c>
      <c r="L944" s="19" t="s">
        <v>38</v>
      </c>
      <c r="M944" s="20">
        <f t="shared" si="1"/>
        <v>0</v>
      </c>
      <c r="N944" s="22"/>
      <c r="O944" s="19" t="s">
        <v>1145</v>
      </c>
      <c r="P944" s="18"/>
      <c r="Q944" s="18"/>
      <c r="R944" s="23">
        <v>0.0</v>
      </c>
      <c r="S944" s="23">
        <v>0.0</v>
      </c>
      <c r="T944" s="23">
        <f t="shared" si="2"/>
        <v>0</v>
      </c>
      <c r="U944" s="23">
        <f t="shared" si="3"/>
        <v>0</v>
      </c>
      <c r="V944" s="23">
        <f t="shared" si="4"/>
        <v>0</v>
      </c>
      <c r="W944" s="24" t="str">
        <f t="shared" si="5"/>
        <v>#DIV/0!</v>
      </c>
    </row>
    <row r="945" hidden="1">
      <c r="A945" s="15" t="s">
        <v>2621</v>
      </c>
      <c r="B945" s="18"/>
      <c r="C945" s="15" t="s">
        <v>7459</v>
      </c>
      <c r="D945" s="18"/>
      <c r="E945" s="17" t="s">
        <v>2622</v>
      </c>
      <c r="F945" s="18"/>
      <c r="G945" s="18"/>
      <c r="H945" s="15" t="s">
        <v>2623</v>
      </c>
      <c r="I945" s="15" t="s">
        <v>2624</v>
      </c>
      <c r="J945" s="19" t="s">
        <v>36</v>
      </c>
      <c r="K945" s="19" t="s">
        <v>2401</v>
      </c>
      <c r="L945" s="19" t="s">
        <v>38</v>
      </c>
      <c r="M945" s="20">
        <f t="shared" si="1"/>
        <v>0</v>
      </c>
      <c r="N945" s="22"/>
      <c r="O945" s="19" t="s">
        <v>1145</v>
      </c>
      <c r="P945" s="18"/>
      <c r="Q945" s="18"/>
      <c r="R945" s="23">
        <v>0.0</v>
      </c>
      <c r="S945" s="23">
        <v>0.0</v>
      </c>
      <c r="T945" s="23">
        <f t="shared" si="2"/>
        <v>0</v>
      </c>
      <c r="U945" s="23">
        <f t="shared" si="3"/>
        <v>0</v>
      </c>
      <c r="V945" s="23">
        <f t="shared" si="4"/>
        <v>0</v>
      </c>
      <c r="W945" s="24" t="str">
        <f t="shared" si="5"/>
        <v>#DIV/0!</v>
      </c>
    </row>
    <row r="946" hidden="1">
      <c r="A946" s="15" t="s">
        <v>2625</v>
      </c>
      <c r="B946" s="18"/>
      <c r="C946" s="15" t="s">
        <v>7460</v>
      </c>
      <c r="D946" s="18"/>
      <c r="E946" s="17" t="s">
        <v>2626</v>
      </c>
      <c r="F946" s="18"/>
      <c r="G946" s="18"/>
      <c r="H946" s="15" t="s">
        <v>2627</v>
      </c>
      <c r="I946" s="15" t="s">
        <v>2628</v>
      </c>
      <c r="J946" s="19" t="s">
        <v>36</v>
      </c>
      <c r="K946" s="19" t="s">
        <v>2387</v>
      </c>
      <c r="L946" s="19" t="s">
        <v>38</v>
      </c>
      <c r="M946" s="20">
        <f t="shared" si="1"/>
        <v>0</v>
      </c>
      <c r="N946" s="22"/>
      <c r="O946" s="19" t="s">
        <v>1145</v>
      </c>
      <c r="P946" s="18"/>
      <c r="Q946" s="18"/>
      <c r="R946" s="23">
        <v>0.0</v>
      </c>
      <c r="S946" s="23">
        <v>0.0</v>
      </c>
      <c r="T946" s="23">
        <f t="shared" si="2"/>
        <v>0</v>
      </c>
      <c r="U946" s="23">
        <f t="shared" si="3"/>
        <v>0</v>
      </c>
      <c r="V946" s="23">
        <f t="shared" si="4"/>
        <v>0</v>
      </c>
      <c r="W946" s="24" t="str">
        <f t="shared" si="5"/>
        <v>#DIV/0!</v>
      </c>
    </row>
    <row r="947" hidden="1">
      <c r="A947" s="15" t="s">
        <v>2629</v>
      </c>
      <c r="B947" s="18"/>
      <c r="C947" s="15" t="s">
        <v>7461</v>
      </c>
      <c r="D947" s="18"/>
      <c r="E947" s="17" t="s">
        <v>2626</v>
      </c>
      <c r="F947" s="18"/>
      <c r="G947" s="18"/>
      <c r="H947" s="15" t="s">
        <v>2630</v>
      </c>
      <c r="I947" s="15" t="s">
        <v>2631</v>
      </c>
      <c r="J947" s="19" t="s">
        <v>36</v>
      </c>
      <c r="K947" s="19" t="s">
        <v>2387</v>
      </c>
      <c r="L947" s="19" t="s">
        <v>38</v>
      </c>
      <c r="M947" s="20">
        <f t="shared" si="1"/>
        <v>0</v>
      </c>
      <c r="N947" s="22"/>
      <c r="O947" s="19" t="s">
        <v>1145</v>
      </c>
      <c r="P947" s="18"/>
      <c r="Q947" s="18"/>
      <c r="R947" s="23">
        <v>0.0</v>
      </c>
      <c r="S947" s="23">
        <v>0.0</v>
      </c>
      <c r="T947" s="23">
        <f t="shared" si="2"/>
        <v>0</v>
      </c>
      <c r="U947" s="23">
        <f t="shared" si="3"/>
        <v>0</v>
      </c>
      <c r="V947" s="23">
        <f t="shared" si="4"/>
        <v>0</v>
      </c>
      <c r="W947" s="24" t="str">
        <f t="shared" si="5"/>
        <v>#DIV/0!</v>
      </c>
    </row>
    <row r="948" hidden="1">
      <c r="A948" s="15" t="s">
        <v>5051</v>
      </c>
      <c r="B948" s="15" t="s">
        <v>5052</v>
      </c>
      <c r="C948" s="15" t="s">
        <v>7462</v>
      </c>
      <c r="D948" s="18"/>
      <c r="E948" s="17" t="s">
        <v>5054</v>
      </c>
      <c r="F948" s="18"/>
      <c r="G948" s="18"/>
      <c r="H948" s="15" t="s">
        <v>5055</v>
      </c>
      <c r="I948" s="18"/>
      <c r="J948" s="19" t="s">
        <v>36</v>
      </c>
      <c r="K948" s="33"/>
      <c r="L948" s="19" t="s">
        <v>38</v>
      </c>
      <c r="M948" s="20">
        <f t="shared" si="1"/>
        <v>0</v>
      </c>
      <c r="N948" s="22"/>
      <c r="O948" s="19" t="s">
        <v>3578</v>
      </c>
      <c r="P948" s="18"/>
      <c r="Q948" s="18"/>
      <c r="R948" s="23">
        <v>0.0</v>
      </c>
      <c r="S948" s="23">
        <v>0.0</v>
      </c>
      <c r="T948" s="23">
        <f t="shared" si="2"/>
        <v>0</v>
      </c>
      <c r="U948" s="23">
        <f t="shared" si="3"/>
        <v>0</v>
      </c>
      <c r="V948" s="23">
        <f t="shared" si="4"/>
        <v>0</v>
      </c>
      <c r="W948" s="24" t="str">
        <f t="shared" si="5"/>
        <v>#DIV/0!</v>
      </c>
    </row>
    <row r="949" hidden="1">
      <c r="A949" s="15" t="s">
        <v>2632</v>
      </c>
      <c r="B949" s="18"/>
      <c r="C949" s="15" t="s">
        <v>7463</v>
      </c>
      <c r="D949" s="18"/>
      <c r="E949" s="17" t="s">
        <v>2633</v>
      </c>
      <c r="F949" s="18"/>
      <c r="G949" s="18"/>
      <c r="H949" s="15" t="s">
        <v>2634</v>
      </c>
      <c r="I949" s="15" t="s">
        <v>2635</v>
      </c>
      <c r="J949" s="19" t="s">
        <v>36</v>
      </c>
      <c r="K949" s="19" t="s">
        <v>2506</v>
      </c>
      <c r="L949" s="19" t="s">
        <v>38</v>
      </c>
      <c r="M949" s="20">
        <f t="shared" si="1"/>
        <v>0</v>
      </c>
      <c r="N949" s="22"/>
      <c r="O949" s="19" t="s">
        <v>1145</v>
      </c>
      <c r="P949" s="18"/>
      <c r="Q949" s="18"/>
      <c r="R949" s="23">
        <v>0.0</v>
      </c>
      <c r="S949" s="23">
        <v>0.0</v>
      </c>
      <c r="T949" s="23">
        <f t="shared" si="2"/>
        <v>0</v>
      </c>
      <c r="U949" s="23">
        <f t="shared" si="3"/>
        <v>0</v>
      </c>
      <c r="V949" s="23">
        <f t="shared" si="4"/>
        <v>0</v>
      </c>
      <c r="W949" s="24" t="str">
        <f t="shared" si="5"/>
        <v>#DIV/0!</v>
      </c>
    </row>
    <row r="950">
      <c r="A950" s="15" t="s">
        <v>770</v>
      </c>
      <c r="B950" s="15" t="s">
        <v>771</v>
      </c>
      <c r="C950" s="15" t="s">
        <v>6023</v>
      </c>
      <c r="D950" s="15" t="s">
        <v>772</v>
      </c>
      <c r="E950" s="17" t="s">
        <v>773</v>
      </c>
      <c r="F950" s="18"/>
      <c r="G950" s="18"/>
      <c r="H950" s="15" t="s">
        <v>774</v>
      </c>
      <c r="I950" s="18"/>
      <c r="J950" s="19" t="s">
        <v>36</v>
      </c>
      <c r="K950" s="33"/>
      <c r="L950" s="19" t="s">
        <v>775</v>
      </c>
      <c r="M950" s="20">
        <f t="shared" si="1"/>
        <v>1420.8</v>
      </c>
      <c r="N950" s="31">
        <v>4.0</v>
      </c>
      <c r="O950" s="19" t="s">
        <v>107</v>
      </c>
      <c r="P950" s="18"/>
      <c r="Q950" s="18"/>
      <c r="R950" s="23">
        <v>17.5</v>
      </c>
      <c r="S950" s="23">
        <v>80.0</v>
      </c>
      <c r="T950" s="23">
        <f t="shared" si="2"/>
        <v>76.8</v>
      </c>
      <c r="U950" s="23">
        <f t="shared" si="3"/>
        <v>21.4375</v>
      </c>
      <c r="V950" s="23">
        <f t="shared" si="4"/>
        <v>401.953125</v>
      </c>
      <c r="W950" s="24">
        <f t="shared" si="5"/>
        <v>4.388571429</v>
      </c>
    </row>
    <row r="951" hidden="1">
      <c r="A951" s="15" t="s">
        <v>5056</v>
      </c>
      <c r="B951" s="15" t="s">
        <v>5057</v>
      </c>
      <c r="C951" s="15" t="s">
        <v>7464</v>
      </c>
      <c r="D951" s="15" t="s">
        <v>5058</v>
      </c>
      <c r="E951" s="17" t="s">
        <v>5059</v>
      </c>
      <c r="F951" s="18"/>
      <c r="G951" s="18"/>
      <c r="H951" s="15" t="s">
        <v>5060</v>
      </c>
      <c r="I951" s="18"/>
      <c r="J951" s="19" t="s">
        <v>36</v>
      </c>
      <c r="K951" s="33"/>
      <c r="L951" s="19" t="s">
        <v>38</v>
      </c>
      <c r="M951" s="20">
        <f t="shared" si="1"/>
        <v>0</v>
      </c>
      <c r="N951" s="22"/>
      <c r="O951" s="19" t="s">
        <v>3578</v>
      </c>
      <c r="P951" s="18"/>
      <c r="Q951" s="18"/>
      <c r="R951" s="23">
        <v>0.0</v>
      </c>
      <c r="S951" s="23">
        <v>0.0</v>
      </c>
      <c r="T951" s="23">
        <f t="shared" si="2"/>
        <v>0</v>
      </c>
      <c r="U951" s="23">
        <f t="shared" si="3"/>
        <v>0</v>
      </c>
      <c r="V951" s="23">
        <f t="shared" si="4"/>
        <v>0</v>
      </c>
      <c r="W951" s="24" t="str">
        <f t="shared" si="5"/>
        <v>#DIV/0!</v>
      </c>
    </row>
    <row r="952">
      <c r="A952" s="15" t="s">
        <v>1123</v>
      </c>
      <c r="B952" s="18"/>
      <c r="C952" s="15" t="s">
        <v>1124</v>
      </c>
      <c r="D952" s="15" t="s">
        <v>1125</v>
      </c>
      <c r="E952" s="17" t="s">
        <v>1126</v>
      </c>
      <c r="F952" s="18"/>
      <c r="G952" s="18"/>
      <c r="H952" s="15" t="s">
        <v>1127</v>
      </c>
      <c r="I952" s="15" t="s">
        <v>1128</v>
      </c>
      <c r="J952" s="19" t="s">
        <v>36</v>
      </c>
      <c r="K952" s="33"/>
      <c r="L952" s="19" t="s">
        <v>775</v>
      </c>
      <c r="M952" s="20">
        <f t="shared" si="1"/>
        <v>923.52</v>
      </c>
      <c r="N952" s="31">
        <v>4.0</v>
      </c>
      <c r="O952" s="19" t="s">
        <v>107</v>
      </c>
      <c r="P952" s="18"/>
      <c r="Q952" s="18"/>
      <c r="R952" s="23">
        <v>22.0</v>
      </c>
      <c r="S952" s="23">
        <v>52.0</v>
      </c>
      <c r="T952" s="23">
        <f t="shared" si="2"/>
        <v>49.92</v>
      </c>
      <c r="U952" s="23">
        <f t="shared" si="3"/>
        <v>26.95</v>
      </c>
      <c r="V952" s="23">
        <f t="shared" si="4"/>
        <v>505.3125</v>
      </c>
      <c r="W952" s="24">
        <f t="shared" si="5"/>
        <v>2.269090909</v>
      </c>
    </row>
    <row r="953" hidden="1">
      <c r="A953" s="15" t="s">
        <v>2636</v>
      </c>
      <c r="B953" s="18"/>
      <c r="C953" s="15" t="s">
        <v>7465</v>
      </c>
      <c r="D953" s="18"/>
      <c r="E953" s="17" t="s">
        <v>2637</v>
      </c>
      <c r="F953" s="18"/>
      <c r="G953" s="18"/>
      <c r="H953" s="15" t="s">
        <v>2638</v>
      </c>
      <c r="I953" s="15" t="s">
        <v>2639</v>
      </c>
      <c r="J953" s="19" t="s">
        <v>36</v>
      </c>
      <c r="K953" s="19" t="s">
        <v>2396</v>
      </c>
      <c r="L953" s="19" t="s">
        <v>38</v>
      </c>
      <c r="M953" s="20">
        <f t="shared" si="1"/>
        <v>0</v>
      </c>
      <c r="N953" s="22"/>
      <c r="O953" s="19" t="s">
        <v>1145</v>
      </c>
      <c r="P953" s="18"/>
      <c r="Q953" s="18"/>
      <c r="R953" s="23">
        <v>0.0</v>
      </c>
      <c r="S953" s="23">
        <v>0.0</v>
      </c>
      <c r="T953" s="23">
        <f t="shared" si="2"/>
        <v>0</v>
      </c>
      <c r="U953" s="23">
        <f t="shared" si="3"/>
        <v>0</v>
      </c>
      <c r="V953" s="23">
        <f t="shared" si="4"/>
        <v>0</v>
      </c>
      <c r="W953" s="24" t="str">
        <f t="shared" si="5"/>
        <v>#DIV/0!</v>
      </c>
    </row>
    <row r="954" hidden="1">
      <c r="A954" s="15" t="s">
        <v>2640</v>
      </c>
      <c r="B954" s="18"/>
      <c r="C954" s="15" t="s">
        <v>7466</v>
      </c>
      <c r="D954" s="18"/>
      <c r="E954" s="17" t="s">
        <v>2641</v>
      </c>
      <c r="F954" s="18"/>
      <c r="G954" s="18"/>
      <c r="H954" s="15" t="s">
        <v>2642</v>
      </c>
      <c r="I954" s="15" t="s">
        <v>2643</v>
      </c>
      <c r="J954" s="19" t="s">
        <v>36</v>
      </c>
      <c r="K954" s="19" t="s">
        <v>2382</v>
      </c>
      <c r="L954" s="19" t="s">
        <v>38</v>
      </c>
      <c r="M954" s="20">
        <f t="shared" si="1"/>
        <v>0</v>
      </c>
      <c r="N954" s="22"/>
      <c r="O954" s="19" t="s">
        <v>1145</v>
      </c>
      <c r="P954" s="18"/>
      <c r="Q954" s="18"/>
      <c r="R954" s="23">
        <v>0.0</v>
      </c>
      <c r="S954" s="23">
        <v>0.0</v>
      </c>
      <c r="T954" s="23">
        <f t="shared" si="2"/>
        <v>0</v>
      </c>
      <c r="U954" s="23">
        <f t="shared" si="3"/>
        <v>0</v>
      </c>
      <c r="V954" s="23">
        <f t="shared" si="4"/>
        <v>0</v>
      </c>
      <c r="W954" s="24" t="str">
        <f t="shared" si="5"/>
        <v>#DIV/0!</v>
      </c>
    </row>
    <row r="955" hidden="1">
      <c r="A955" s="15" t="s">
        <v>2644</v>
      </c>
      <c r="B955" s="18"/>
      <c r="C955" s="15" t="s">
        <v>7467</v>
      </c>
      <c r="D955" s="18"/>
      <c r="E955" s="17" t="s">
        <v>2645</v>
      </c>
      <c r="F955" s="18"/>
      <c r="G955" s="18"/>
      <c r="H955" s="15" t="s">
        <v>2646</v>
      </c>
      <c r="I955" s="15" t="s">
        <v>2647</v>
      </c>
      <c r="J955" s="19" t="s">
        <v>36</v>
      </c>
      <c r="K955" s="19" t="s">
        <v>2382</v>
      </c>
      <c r="L955" s="19" t="s">
        <v>38</v>
      </c>
      <c r="M955" s="20">
        <f t="shared" si="1"/>
        <v>0</v>
      </c>
      <c r="N955" s="22"/>
      <c r="O955" s="19" t="s">
        <v>1145</v>
      </c>
      <c r="P955" s="18"/>
      <c r="Q955" s="18"/>
      <c r="R955" s="23">
        <v>0.0</v>
      </c>
      <c r="S955" s="23">
        <v>0.0</v>
      </c>
      <c r="T955" s="23">
        <f t="shared" si="2"/>
        <v>0</v>
      </c>
      <c r="U955" s="23">
        <f t="shared" si="3"/>
        <v>0</v>
      </c>
      <c r="V955" s="23">
        <f t="shared" si="4"/>
        <v>0</v>
      </c>
      <c r="W955" s="24" t="str">
        <f t="shared" si="5"/>
        <v>#DIV/0!</v>
      </c>
    </row>
    <row r="956" hidden="1">
      <c r="A956" s="15" t="s">
        <v>2648</v>
      </c>
      <c r="B956" s="18"/>
      <c r="C956" s="15" t="s">
        <v>7468</v>
      </c>
      <c r="D956" s="18"/>
      <c r="E956" s="17" t="s">
        <v>2649</v>
      </c>
      <c r="F956" s="18"/>
      <c r="G956" s="18"/>
      <c r="H956" s="15" t="s">
        <v>2650</v>
      </c>
      <c r="I956" s="15" t="s">
        <v>2651</v>
      </c>
      <c r="J956" s="19" t="s">
        <v>36</v>
      </c>
      <c r="K956" s="19" t="s">
        <v>2396</v>
      </c>
      <c r="L956" s="19" t="s">
        <v>38</v>
      </c>
      <c r="M956" s="20">
        <f t="shared" si="1"/>
        <v>0</v>
      </c>
      <c r="N956" s="22"/>
      <c r="O956" s="19" t="s">
        <v>1145</v>
      </c>
      <c r="P956" s="18"/>
      <c r="Q956" s="18"/>
      <c r="R956" s="23">
        <v>0.0</v>
      </c>
      <c r="S956" s="23">
        <v>0.0</v>
      </c>
      <c r="T956" s="23">
        <f t="shared" si="2"/>
        <v>0</v>
      </c>
      <c r="U956" s="23">
        <f t="shared" si="3"/>
        <v>0</v>
      </c>
      <c r="V956" s="23">
        <f t="shared" si="4"/>
        <v>0</v>
      </c>
      <c r="W956" s="24" t="str">
        <f t="shared" si="5"/>
        <v>#DIV/0!</v>
      </c>
    </row>
    <row r="957" hidden="1">
      <c r="A957" s="15" t="s">
        <v>2652</v>
      </c>
      <c r="B957" s="18"/>
      <c r="C957" s="15" t="s">
        <v>7469</v>
      </c>
      <c r="D957" s="18"/>
      <c r="E957" s="17" t="s">
        <v>2653</v>
      </c>
      <c r="F957" s="18"/>
      <c r="G957" s="18"/>
      <c r="H957" s="15" t="s">
        <v>2654</v>
      </c>
      <c r="I957" s="15" t="s">
        <v>2655</v>
      </c>
      <c r="J957" s="19" t="s">
        <v>36</v>
      </c>
      <c r="K957" s="19" t="s">
        <v>2396</v>
      </c>
      <c r="L957" s="19" t="s">
        <v>38</v>
      </c>
      <c r="M957" s="20">
        <f t="shared" si="1"/>
        <v>0</v>
      </c>
      <c r="N957" s="22"/>
      <c r="O957" s="19" t="s">
        <v>1145</v>
      </c>
      <c r="P957" s="18"/>
      <c r="Q957" s="18"/>
      <c r="R957" s="23">
        <v>0.0</v>
      </c>
      <c r="S957" s="23">
        <v>0.0</v>
      </c>
      <c r="T957" s="23">
        <f t="shared" si="2"/>
        <v>0</v>
      </c>
      <c r="U957" s="23">
        <f t="shared" si="3"/>
        <v>0</v>
      </c>
      <c r="V957" s="23">
        <f t="shared" si="4"/>
        <v>0</v>
      </c>
      <c r="W957" s="24" t="str">
        <f t="shared" si="5"/>
        <v>#DIV/0!</v>
      </c>
    </row>
    <row r="958" hidden="1">
      <c r="A958" s="15" t="s">
        <v>2656</v>
      </c>
      <c r="B958" s="18"/>
      <c r="C958" s="15" t="s">
        <v>7470</v>
      </c>
      <c r="D958" s="18"/>
      <c r="E958" s="17" t="s">
        <v>2657</v>
      </c>
      <c r="F958" s="18"/>
      <c r="G958" s="18"/>
      <c r="H958" s="15" t="s">
        <v>2658</v>
      </c>
      <c r="I958" s="15" t="s">
        <v>2659</v>
      </c>
      <c r="J958" s="19" t="s">
        <v>36</v>
      </c>
      <c r="K958" s="19" t="s">
        <v>2396</v>
      </c>
      <c r="L958" s="19" t="s">
        <v>38</v>
      </c>
      <c r="M958" s="20">
        <f t="shared" si="1"/>
        <v>0</v>
      </c>
      <c r="N958" s="22"/>
      <c r="O958" s="19" t="s">
        <v>1145</v>
      </c>
      <c r="P958" s="18"/>
      <c r="Q958" s="18"/>
      <c r="R958" s="23">
        <v>0.0</v>
      </c>
      <c r="S958" s="23">
        <v>0.0</v>
      </c>
      <c r="T958" s="23">
        <f t="shared" si="2"/>
        <v>0</v>
      </c>
      <c r="U958" s="23">
        <f t="shared" si="3"/>
        <v>0</v>
      </c>
      <c r="V958" s="23">
        <f t="shared" si="4"/>
        <v>0</v>
      </c>
      <c r="W958" s="24" t="str">
        <f t="shared" si="5"/>
        <v>#DIV/0!</v>
      </c>
    </row>
    <row r="959" hidden="1">
      <c r="A959" s="15" t="s">
        <v>2660</v>
      </c>
      <c r="B959" s="18"/>
      <c r="C959" s="15" t="s">
        <v>7471</v>
      </c>
      <c r="D959" s="18"/>
      <c r="E959" s="17" t="s">
        <v>2661</v>
      </c>
      <c r="F959" s="18"/>
      <c r="G959" s="18"/>
      <c r="H959" s="15" t="s">
        <v>2662</v>
      </c>
      <c r="I959" s="15" t="s">
        <v>2663</v>
      </c>
      <c r="J959" s="19" t="s">
        <v>36</v>
      </c>
      <c r="K959" s="19" t="s">
        <v>691</v>
      </c>
      <c r="L959" s="19" t="s">
        <v>38</v>
      </c>
      <c r="M959" s="20">
        <f t="shared" si="1"/>
        <v>0</v>
      </c>
      <c r="N959" s="22"/>
      <c r="O959" s="19" t="s">
        <v>1145</v>
      </c>
      <c r="P959" s="18"/>
      <c r="Q959" s="18"/>
      <c r="R959" s="23">
        <v>0.0</v>
      </c>
      <c r="S959" s="23">
        <v>0.0</v>
      </c>
      <c r="T959" s="23">
        <f t="shared" si="2"/>
        <v>0</v>
      </c>
      <c r="U959" s="23">
        <f t="shared" si="3"/>
        <v>0</v>
      </c>
      <c r="V959" s="23">
        <f t="shared" si="4"/>
        <v>0</v>
      </c>
      <c r="W959" s="24" t="str">
        <f t="shared" si="5"/>
        <v>#DIV/0!</v>
      </c>
    </row>
    <row r="960" hidden="1">
      <c r="A960" s="15" t="s">
        <v>2664</v>
      </c>
      <c r="B960" s="18"/>
      <c r="C960" s="15" t="s">
        <v>7472</v>
      </c>
      <c r="D960" s="18"/>
      <c r="E960" s="17" t="s">
        <v>2665</v>
      </c>
      <c r="F960" s="18"/>
      <c r="G960" s="18"/>
      <c r="H960" s="15" t="s">
        <v>2666</v>
      </c>
      <c r="I960" s="15" t="s">
        <v>2667</v>
      </c>
      <c r="J960" s="19" t="s">
        <v>36</v>
      </c>
      <c r="K960" s="19" t="s">
        <v>2396</v>
      </c>
      <c r="L960" s="19" t="s">
        <v>38</v>
      </c>
      <c r="M960" s="20">
        <f t="shared" si="1"/>
        <v>0</v>
      </c>
      <c r="N960" s="22"/>
      <c r="O960" s="19" t="s">
        <v>1145</v>
      </c>
      <c r="P960" s="18"/>
      <c r="Q960" s="18"/>
      <c r="R960" s="23">
        <v>0.0</v>
      </c>
      <c r="S960" s="23">
        <v>0.0</v>
      </c>
      <c r="T960" s="23">
        <f t="shared" si="2"/>
        <v>0</v>
      </c>
      <c r="U960" s="23">
        <f t="shared" si="3"/>
        <v>0</v>
      </c>
      <c r="V960" s="23">
        <f t="shared" si="4"/>
        <v>0</v>
      </c>
      <c r="W960" s="24" t="str">
        <f t="shared" si="5"/>
        <v>#DIV/0!</v>
      </c>
    </row>
    <row r="961" hidden="1">
      <c r="A961" s="15" t="s">
        <v>2668</v>
      </c>
      <c r="B961" s="18"/>
      <c r="C961" s="15" t="s">
        <v>7473</v>
      </c>
      <c r="D961" s="18"/>
      <c r="E961" s="17" t="s">
        <v>2669</v>
      </c>
      <c r="F961" s="18"/>
      <c r="G961" s="18"/>
      <c r="H961" s="15" t="s">
        <v>2670</v>
      </c>
      <c r="I961" s="15" t="s">
        <v>2671</v>
      </c>
      <c r="J961" s="19" t="s">
        <v>36</v>
      </c>
      <c r="K961" s="19" t="s">
        <v>691</v>
      </c>
      <c r="L961" s="19" t="s">
        <v>38</v>
      </c>
      <c r="M961" s="20">
        <f t="shared" si="1"/>
        <v>0</v>
      </c>
      <c r="N961" s="22"/>
      <c r="O961" s="19" t="s">
        <v>1145</v>
      </c>
      <c r="P961" s="18"/>
      <c r="Q961" s="18"/>
      <c r="R961" s="23">
        <v>0.0</v>
      </c>
      <c r="S961" s="23">
        <v>0.0</v>
      </c>
      <c r="T961" s="23">
        <f t="shared" si="2"/>
        <v>0</v>
      </c>
      <c r="U961" s="23">
        <f t="shared" si="3"/>
        <v>0</v>
      </c>
      <c r="V961" s="23">
        <f t="shared" si="4"/>
        <v>0</v>
      </c>
      <c r="W961" s="24" t="str">
        <f t="shared" si="5"/>
        <v>#DIV/0!</v>
      </c>
    </row>
    <row r="962" hidden="1">
      <c r="A962" s="15" t="s">
        <v>2672</v>
      </c>
      <c r="B962" s="18"/>
      <c r="C962" s="15" t="s">
        <v>7474</v>
      </c>
      <c r="D962" s="18"/>
      <c r="E962" s="17" t="s">
        <v>2673</v>
      </c>
      <c r="F962" s="18"/>
      <c r="G962" s="18"/>
      <c r="H962" s="15" t="s">
        <v>2674</v>
      </c>
      <c r="I962" s="15" t="s">
        <v>2675</v>
      </c>
      <c r="J962" s="19" t="s">
        <v>36</v>
      </c>
      <c r="K962" s="19" t="s">
        <v>2382</v>
      </c>
      <c r="L962" s="19" t="s">
        <v>38</v>
      </c>
      <c r="M962" s="20">
        <f t="shared" si="1"/>
        <v>0</v>
      </c>
      <c r="N962" s="22"/>
      <c r="O962" s="19" t="s">
        <v>1145</v>
      </c>
      <c r="P962" s="18"/>
      <c r="Q962" s="18"/>
      <c r="R962" s="23">
        <v>0.0</v>
      </c>
      <c r="S962" s="23">
        <v>0.0</v>
      </c>
      <c r="T962" s="23">
        <f t="shared" si="2"/>
        <v>0</v>
      </c>
      <c r="U962" s="23">
        <f t="shared" si="3"/>
        <v>0</v>
      </c>
      <c r="V962" s="23">
        <f t="shared" si="4"/>
        <v>0</v>
      </c>
      <c r="W962" s="24" t="str">
        <f t="shared" si="5"/>
        <v>#DIV/0!</v>
      </c>
    </row>
    <row r="963" hidden="1">
      <c r="A963" s="15" t="s">
        <v>2676</v>
      </c>
      <c r="B963" s="18"/>
      <c r="C963" s="15" t="s">
        <v>7475</v>
      </c>
      <c r="D963" s="18"/>
      <c r="E963" s="17" t="s">
        <v>2673</v>
      </c>
      <c r="F963" s="18"/>
      <c r="G963" s="18"/>
      <c r="H963" s="15" t="s">
        <v>2677</v>
      </c>
      <c r="I963" s="15" t="s">
        <v>2678</v>
      </c>
      <c r="J963" s="19" t="s">
        <v>36</v>
      </c>
      <c r="K963" s="19" t="s">
        <v>2382</v>
      </c>
      <c r="L963" s="19" t="s">
        <v>38</v>
      </c>
      <c r="M963" s="20">
        <f t="shared" si="1"/>
        <v>0</v>
      </c>
      <c r="N963" s="22"/>
      <c r="O963" s="19" t="s">
        <v>1145</v>
      </c>
      <c r="P963" s="18"/>
      <c r="Q963" s="18"/>
      <c r="R963" s="23">
        <v>0.0</v>
      </c>
      <c r="S963" s="23">
        <v>0.0</v>
      </c>
      <c r="T963" s="23">
        <f t="shared" si="2"/>
        <v>0</v>
      </c>
      <c r="U963" s="23">
        <f t="shared" si="3"/>
        <v>0</v>
      </c>
      <c r="V963" s="23">
        <f t="shared" si="4"/>
        <v>0</v>
      </c>
      <c r="W963" s="24" t="str">
        <f t="shared" si="5"/>
        <v>#DIV/0!</v>
      </c>
    </row>
    <row r="964" hidden="1">
      <c r="A964" s="15" t="s">
        <v>2679</v>
      </c>
      <c r="B964" s="18"/>
      <c r="C964" s="15" t="s">
        <v>7476</v>
      </c>
      <c r="D964" s="18"/>
      <c r="E964" s="17" t="s">
        <v>2673</v>
      </c>
      <c r="F964" s="18"/>
      <c r="G964" s="18"/>
      <c r="H964" s="15" t="s">
        <v>2680</v>
      </c>
      <c r="I964" s="15" t="s">
        <v>2681</v>
      </c>
      <c r="J964" s="19" t="s">
        <v>36</v>
      </c>
      <c r="K964" s="19" t="s">
        <v>2382</v>
      </c>
      <c r="L964" s="19" t="s">
        <v>38</v>
      </c>
      <c r="M964" s="20">
        <f t="shared" si="1"/>
        <v>0</v>
      </c>
      <c r="N964" s="22"/>
      <c r="O964" s="19" t="s">
        <v>1145</v>
      </c>
      <c r="P964" s="18"/>
      <c r="Q964" s="18"/>
      <c r="R964" s="23">
        <v>0.0</v>
      </c>
      <c r="S964" s="23">
        <v>0.0</v>
      </c>
      <c r="T964" s="23">
        <f t="shared" si="2"/>
        <v>0</v>
      </c>
      <c r="U964" s="23">
        <f t="shared" si="3"/>
        <v>0</v>
      </c>
      <c r="V964" s="23">
        <f t="shared" si="4"/>
        <v>0</v>
      </c>
      <c r="W964" s="24" t="str">
        <f t="shared" si="5"/>
        <v>#DIV/0!</v>
      </c>
    </row>
    <row r="965" hidden="1">
      <c r="A965" s="15" t="s">
        <v>2682</v>
      </c>
      <c r="B965" s="18"/>
      <c r="C965" s="15" t="s">
        <v>7477</v>
      </c>
      <c r="D965" s="18"/>
      <c r="E965" s="17" t="s">
        <v>2673</v>
      </c>
      <c r="F965" s="18"/>
      <c r="G965" s="18"/>
      <c r="H965" s="15" t="s">
        <v>2683</v>
      </c>
      <c r="I965" s="15" t="s">
        <v>2684</v>
      </c>
      <c r="J965" s="19" t="s">
        <v>36</v>
      </c>
      <c r="K965" s="19" t="s">
        <v>2382</v>
      </c>
      <c r="L965" s="19" t="s">
        <v>38</v>
      </c>
      <c r="M965" s="20">
        <f t="shared" si="1"/>
        <v>0</v>
      </c>
      <c r="N965" s="22"/>
      <c r="O965" s="19" t="s">
        <v>1145</v>
      </c>
      <c r="P965" s="18"/>
      <c r="Q965" s="18"/>
      <c r="R965" s="23">
        <v>0.0</v>
      </c>
      <c r="S965" s="23">
        <v>0.0</v>
      </c>
      <c r="T965" s="23">
        <f t="shared" si="2"/>
        <v>0</v>
      </c>
      <c r="U965" s="23">
        <f t="shared" si="3"/>
        <v>0</v>
      </c>
      <c r="V965" s="23">
        <f t="shared" si="4"/>
        <v>0</v>
      </c>
      <c r="W965" s="24" t="str">
        <f t="shared" si="5"/>
        <v>#DIV/0!</v>
      </c>
    </row>
    <row r="966" hidden="1">
      <c r="A966" s="15" t="s">
        <v>7478</v>
      </c>
      <c r="B966" s="18"/>
      <c r="C966" s="15" t="s">
        <v>7479</v>
      </c>
      <c r="D966" s="18"/>
      <c r="E966" s="17" t="s">
        <v>2673</v>
      </c>
      <c r="F966" s="18"/>
      <c r="G966" s="18"/>
      <c r="H966" s="15" t="s">
        <v>7480</v>
      </c>
      <c r="I966" s="15" t="s">
        <v>7481</v>
      </c>
      <c r="J966" s="19" t="s">
        <v>36</v>
      </c>
      <c r="K966" s="19" t="s">
        <v>2382</v>
      </c>
      <c r="L966" s="19" t="s">
        <v>38</v>
      </c>
      <c r="M966" s="20">
        <f t="shared" si="1"/>
        <v>0</v>
      </c>
      <c r="N966" s="22"/>
      <c r="O966" s="19" t="s">
        <v>39</v>
      </c>
      <c r="P966" s="18"/>
      <c r="Q966" s="18"/>
      <c r="R966" s="23">
        <v>0.0</v>
      </c>
      <c r="S966" s="23">
        <v>0.0</v>
      </c>
      <c r="T966" s="23">
        <f t="shared" si="2"/>
        <v>0</v>
      </c>
      <c r="U966" s="23">
        <f t="shared" si="3"/>
        <v>0</v>
      </c>
      <c r="V966" s="23">
        <f t="shared" si="4"/>
        <v>0</v>
      </c>
      <c r="W966" s="24" t="str">
        <f t="shared" si="5"/>
        <v>#DIV/0!</v>
      </c>
    </row>
    <row r="967" hidden="1">
      <c r="A967" s="15" t="s">
        <v>2685</v>
      </c>
      <c r="B967" s="18"/>
      <c r="C967" s="15" t="s">
        <v>7482</v>
      </c>
      <c r="D967" s="18"/>
      <c r="E967" s="17" t="s">
        <v>2673</v>
      </c>
      <c r="F967" s="18"/>
      <c r="G967" s="18"/>
      <c r="H967" s="15" t="s">
        <v>2686</v>
      </c>
      <c r="I967" s="15" t="s">
        <v>2687</v>
      </c>
      <c r="J967" s="19" t="s">
        <v>36</v>
      </c>
      <c r="K967" s="19" t="s">
        <v>2382</v>
      </c>
      <c r="L967" s="19" t="s">
        <v>38</v>
      </c>
      <c r="M967" s="20">
        <f t="shared" si="1"/>
        <v>0</v>
      </c>
      <c r="N967" s="22"/>
      <c r="O967" s="19" t="s">
        <v>1145</v>
      </c>
      <c r="P967" s="18"/>
      <c r="Q967" s="18"/>
      <c r="R967" s="23">
        <v>0.0</v>
      </c>
      <c r="S967" s="23">
        <v>0.0</v>
      </c>
      <c r="T967" s="23">
        <f t="shared" si="2"/>
        <v>0</v>
      </c>
      <c r="U967" s="23">
        <f t="shared" si="3"/>
        <v>0</v>
      </c>
      <c r="V967" s="23">
        <f t="shared" si="4"/>
        <v>0</v>
      </c>
      <c r="W967" s="24" t="str">
        <f t="shared" si="5"/>
        <v>#DIV/0!</v>
      </c>
    </row>
    <row r="968" hidden="1">
      <c r="A968" s="15" t="s">
        <v>2688</v>
      </c>
      <c r="B968" s="18"/>
      <c r="C968" s="15" t="s">
        <v>7483</v>
      </c>
      <c r="D968" s="18"/>
      <c r="E968" s="17" t="s">
        <v>2689</v>
      </c>
      <c r="F968" s="18"/>
      <c r="G968" s="18"/>
      <c r="H968" s="15" t="s">
        <v>2690</v>
      </c>
      <c r="I968" s="15" t="s">
        <v>2691</v>
      </c>
      <c r="J968" s="19" t="s">
        <v>36</v>
      </c>
      <c r="K968" s="19" t="s">
        <v>2382</v>
      </c>
      <c r="L968" s="19" t="s">
        <v>38</v>
      </c>
      <c r="M968" s="20">
        <f t="shared" si="1"/>
        <v>0</v>
      </c>
      <c r="N968" s="22"/>
      <c r="O968" s="19" t="s">
        <v>1145</v>
      </c>
      <c r="P968" s="18"/>
      <c r="Q968" s="18"/>
      <c r="R968" s="23">
        <v>0.0</v>
      </c>
      <c r="S968" s="23">
        <v>0.0</v>
      </c>
      <c r="T968" s="23">
        <f t="shared" si="2"/>
        <v>0</v>
      </c>
      <c r="U968" s="23">
        <f t="shared" si="3"/>
        <v>0</v>
      </c>
      <c r="V968" s="23">
        <f t="shared" si="4"/>
        <v>0</v>
      </c>
      <c r="W968" s="24" t="str">
        <f t="shared" si="5"/>
        <v>#DIV/0!</v>
      </c>
    </row>
    <row r="969" hidden="1">
      <c r="A969" s="15" t="s">
        <v>7484</v>
      </c>
      <c r="B969" s="18"/>
      <c r="C969" s="15" t="s">
        <v>7485</v>
      </c>
      <c r="D969" s="18"/>
      <c r="E969" s="17" t="s">
        <v>7486</v>
      </c>
      <c r="F969" s="18"/>
      <c r="G969" s="18"/>
      <c r="H969" s="15" t="s">
        <v>7487</v>
      </c>
      <c r="I969" s="15" t="s">
        <v>7488</v>
      </c>
      <c r="J969" s="19" t="s">
        <v>36</v>
      </c>
      <c r="K969" s="19" t="s">
        <v>2382</v>
      </c>
      <c r="L969" s="19" t="s">
        <v>38</v>
      </c>
      <c r="M969" s="20">
        <f t="shared" si="1"/>
        <v>0</v>
      </c>
      <c r="N969" s="22"/>
      <c r="O969" s="19" t="s">
        <v>39</v>
      </c>
      <c r="P969" s="18"/>
      <c r="Q969" s="18"/>
      <c r="R969" s="23">
        <v>0.0</v>
      </c>
      <c r="S969" s="23">
        <v>0.0</v>
      </c>
      <c r="T969" s="23">
        <f t="shared" si="2"/>
        <v>0</v>
      </c>
      <c r="U969" s="23">
        <f t="shared" si="3"/>
        <v>0</v>
      </c>
      <c r="V969" s="23">
        <f t="shared" si="4"/>
        <v>0</v>
      </c>
      <c r="W969" s="24" t="str">
        <f t="shared" si="5"/>
        <v>#DIV/0!</v>
      </c>
    </row>
    <row r="970" hidden="1">
      <c r="A970" s="15" t="s">
        <v>2692</v>
      </c>
      <c r="B970" s="18"/>
      <c r="C970" s="15" t="s">
        <v>7489</v>
      </c>
      <c r="D970" s="18"/>
      <c r="E970" s="17" t="s">
        <v>2693</v>
      </c>
      <c r="F970" s="18"/>
      <c r="G970" s="18"/>
      <c r="H970" s="15" t="s">
        <v>2694</v>
      </c>
      <c r="I970" s="15" t="s">
        <v>2695</v>
      </c>
      <c r="J970" s="19" t="s">
        <v>36</v>
      </c>
      <c r="K970" s="19" t="s">
        <v>2382</v>
      </c>
      <c r="L970" s="19" t="s">
        <v>38</v>
      </c>
      <c r="M970" s="20">
        <f t="shared" si="1"/>
        <v>0</v>
      </c>
      <c r="N970" s="22"/>
      <c r="O970" s="19" t="s">
        <v>1145</v>
      </c>
      <c r="P970" s="18"/>
      <c r="Q970" s="18"/>
      <c r="R970" s="23">
        <v>0.0</v>
      </c>
      <c r="S970" s="23">
        <v>0.0</v>
      </c>
      <c r="T970" s="23">
        <f t="shared" si="2"/>
        <v>0</v>
      </c>
      <c r="U970" s="23">
        <f t="shared" si="3"/>
        <v>0</v>
      </c>
      <c r="V970" s="23">
        <f t="shared" si="4"/>
        <v>0</v>
      </c>
      <c r="W970" s="24" t="str">
        <f t="shared" si="5"/>
        <v>#DIV/0!</v>
      </c>
    </row>
    <row r="971" hidden="1">
      <c r="A971" s="15" t="s">
        <v>2696</v>
      </c>
      <c r="B971" s="18"/>
      <c r="C971" s="15" t="s">
        <v>7490</v>
      </c>
      <c r="D971" s="18"/>
      <c r="E971" s="17" t="s">
        <v>2697</v>
      </c>
      <c r="F971" s="18"/>
      <c r="G971" s="18"/>
      <c r="H971" s="15" t="s">
        <v>2698</v>
      </c>
      <c r="I971" s="15" t="s">
        <v>2699</v>
      </c>
      <c r="J971" s="19" t="s">
        <v>36</v>
      </c>
      <c r="K971" s="19" t="s">
        <v>2382</v>
      </c>
      <c r="L971" s="19" t="s">
        <v>38</v>
      </c>
      <c r="M971" s="20">
        <f t="shared" si="1"/>
        <v>0</v>
      </c>
      <c r="N971" s="22"/>
      <c r="O971" s="19" t="s">
        <v>1145</v>
      </c>
      <c r="P971" s="18"/>
      <c r="Q971" s="18"/>
      <c r="R971" s="23">
        <v>0.0</v>
      </c>
      <c r="S971" s="23">
        <v>0.0</v>
      </c>
      <c r="T971" s="23">
        <f t="shared" si="2"/>
        <v>0</v>
      </c>
      <c r="U971" s="23">
        <f t="shared" si="3"/>
        <v>0</v>
      </c>
      <c r="V971" s="23">
        <f t="shared" si="4"/>
        <v>0</v>
      </c>
      <c r="W971" s="24" t="str">
        <f t="shared" si="5"/>
        <v>#DIV/0!</v>
      </c>
    </row>
    <row r="972" hidden="1">
      <c r="A972" s="15" t="s">
        <v>2700</v>
      </c>
      <c r="B972" s="18"/>
      <c r="C972" s="15" t="s">
        <v>7491</v>
      </c>
      <c r="D972" s="18"/>
      <c r="E972" s="17" t="s">
        <v>2701</v>
      </c>
      <c r="F972" s="18"/>
      <c r="G972" s="18"/>
      <c r="H972" s="15" t="s">
        <v>2702</v>
      </c>
      <c r="I972" s="15" t="s">
        <v>2703</v>
      </c>
      <c r="J972" s="19" t="s">
        <v>36</v>
      </c>
      <c r="K972" s="19" t="s">
        <v>2382</v>
      </c>
      <c r="L972" s="19" t="s">
        <v>38</v>
      </c>
      <c r="M972" s="20">
        <f t="shared" si="1"/>
        <v>0</v>
      </c>
      <c r="N972" s="22"/>
      <c r="O972" s="19" t="s">
        <v>1145</v>
      </c>
      <c r="P972" s="18"/>
      <c r="Q972" s="18"/>
      <c r="R972" s="23">
        <v>0.0</v>
      </c>
      <c r="S972" s="23">
        <v>0.0</v>
      </c>
      <c r="T972" s="23">
        <f t="shared" si="2"/>
        <v>0</v>
      </c>
      <c r="U972" s="23">
        <f t="shared" si="3"/>
        <v>0</v>
      </c>
      <c r="V972" s="23">
        <f t="shared" si="4"/>
        <v>0</v>
      </c>
      <c r="W972" s="24" t="str">
        <f t="shared" si="5"/>
        <v>#DIV/0!</v>
      </c>
    </row>
    <row r="973" hidden="1">
      <c r="A973" s="15" t="s">
        <v>2704</v>
      </c>
      <c r="B973" s="18"/>
      <c r="C973" s="15" t="s">
        <v>7492</v>
      </c>
      <c r="D973" s="18"/>
      <c r="E973" s="17" t="s">
        <v>2705</v>
      </c>
      <c r="F973" s="18"/>
      <c r="G973" s="18"/>
      <c r="H973" s="15" t="s">
        <v>2706</v>
      </c>
      <c r="I973" s="15" t="s">
        <v>2707</v>
      </c>
      <c r="J973" s="19" t="s">
        <v>36</v>
      </c>
      <c r="K973" s="19" t="s">
        <v>2382</v>
      </c>
      <c r="L973" s="19" t="s">
        <v>38</v>
      </c>
      <c r="M973" s="20">
        <f t="shared" si="1"/>
        <v>0</v>
      </c>
      <c r="N973" s="22"/>
      <c r="O973" s="19" t="s">
        <v>1145</v>
      </c>
      <c r="P973" s="18"/>
      <c r="Q973" s="18"/>
      <c r="R973" s="23">
        <v>0.0</v>
      </c>
      <c r="S973" s="23">
        <v>0.0</v>
      </c>
      <c r="T973" s="23">
        <f t="shared" si="2"/>
        <v>0</v>
      </c>
      <c r="U973" s="23">
        <f t="shared" si="3"/>
        <v>0</v>
      </c>
      <c r="V973" s="23">
        <f t="shared" si="4"/>
        <v>0</v>
      </c>
      <c r="W973" s="24" t="str">
        <f t="shared" si="5"/>
        <v>#DIV/0!</v>
      </c>
    </row>
    <row r="974" hidden="1">
      <c r="A974" s="15" t="s">
        <v>2708</v>
      </c>
      <c r="B974" s="18"/>
      <c r="C974" s="15" t="s">
        <v>7493</v>
      </c>
      <c r="D974" s="18"/>
      <c r="E974" s="17" t="s">
        <v>2709</v>
      </c>
      <c r="F974" s="18"/>
      <c r="G974" s="18"/>
      <c r="H974" s="15" t="s">
        <v>2710</v>
      </c>
      <c r="I974" s="15" t="s">
        <v>2711</v>
      </c>
      <c r="J974" s="19" t="s">
        <v>36</v>
      </c>
      <c r="K974" s="19" t="s">
        <v>2382</v>
      </c>
      <c r="L974" s="19" t="s">
        <v>38</v>
      </c>
      <c r="M974" s="20">
        <f t="shared" si="1"/>
        <v>0</v>
      </c>
      <c r="N974" s="22"/>
      <c r="O974" s="19" t="s">
        <v>1145</v>
      </c>
      <c r="P974" s="18"/>
      <c r="Q974" s="18"/>
      <c r="R974" s="23">
        <v>0.0</v>
      </c>
      <c r="S974" s="23">
        <v>0.0</v>
      </c>
      <c r="T974" s="23">
        <f t="shared" si="2"/>
        <v>0</v>
      </c>
      <c r="U974" s="23">
        <f t="shared" si="3"/>
        <v>0</v>
      </c>
      <c r="V974" s="23">
        <f t="shared" si="4"/>
        <v>0</v>
      </c>
      <c r="W974" s="24" t="str">
        <f t="shared" si="5"/>
        <v>#DIV/0!</v>
      </c>
    </row>
    <row r="975" hidden="1">
      <c r="A975" s="15" t="s">
        <v>2712</v>
      </c>
      <c r="B975" s="18"/>
      <c r="C975" s="15" t="s">
        <v>7494</v>
      </c>
      <c r="D975" s="18"/>
      <c r="E975" s="17" t="s">
        <v>2713</v>
      </c>
      <c r="F975" s="18"/>
      <c r="G975" s="18"/>
      <c r="H975" s="15" t="s">
        <v>2714</v>
      </c>
      <c r="I975" s="15" t="s">
        <v>2715</v>
      </c>
      <c r="J975" s="19" t="s">
        <v>36</v>
      </c>
      <c r="K975" s="19" t="s">
        <v>2382</v>
      </c>
      <c r="L975" s="19" t="s">
        <v>38</v>
      </c>
      <c r="M975" s="20">
        <f t="shared" si="1"/>
        <v>0</v>
      </c>
      <c r="N975" s="22"/>
      <c r="O975" s="19" t="s">
        <v>1145</v>
      </c>
      <c r="P975" s="18"/>
      <c r="Q975" s="18"/>
      <c r="R975" s="23">
        <v>0.0</v>
      </c>
      <c r="S975" s="23">
        <v>0.0</v>
      </c>
      <c r="T975" s="23">
        <f t="shared" si="2"/>
        <v>0</v>
      </c>
      <c r="U975" s="23">
        <f t="shared" si="3"/>
        <v>0</v>
      </c>
      <c r="V975" s="23">
        <f t="shared" si="4"/>
        <v>0</v>
      </c>
      <c r="W975" s="24" t="str">
        <f t="shared" si="5"/>
        <v>#DIV/0!</v>
      </c>
    </row>
    <row r="976" hidden="1">
      <c r="A976" s="15" t="s">
        <v>2716</v>
      </c>
      <c r="B976" s="18"/>
      <c r="C976" s="15" t="s">
        <v>7495</v>
      </c>
      <c r="D976" s="18"/>
      <c r="E976" s="17" t="s">
        <v>2717</v>
      </c>
      <c r="F976" s="18"/>
      <c r="G976" s="18"/>
      <c r="H976" s="15" t="s">
        <v>2718</v>
      </c>
      <c r="I976" s="15" t="s">
        <v>2719</v>
      </c>
      <c r="J976" s="19" t="s">
        <v>36</v>
      </c>
      <c r="K976" s="19" t="s">
        <v>2382</v>
      </c>
      <c r="L976" s="19" t="s">
        <v>38</v>
      </c>
      <c r="M976" s="20">
        <f t="shared" si="1"/>
        <v>0</v>
      </c>
      <c r="N976" s="22"/>
      <c r="O976" s="19" t="s">
        <v>1145</v>
      </c>
      <c r="P976" s="18"/>
      <c r="Q976" s="18"/>
      <c r="R976" s="23">
        <v>0.0</v>
      </c>
      <c r="S976" s="23">
        <v>0.0</v>
      </c>
      <c r="T976" s="23">
        <f t="shared" si="2"/>
        <v>0</v>
      </c>
      <c r="U976" s="23">
        <f t="shared" si="3"/>
        <v>0</v>
      </c>
      <c r="V976" s="23">
        <f t="shared" si="4"/>
        <v>0</v>
      </c>
      <c r="W976" s="24" t="str">
        <f t="shared" si="5"/>
        <v>#DIV/0!</v>
      </c>
    </row>
    <row r="977" hidden="1">
      <c r="A977" s="15" t="s">
        <v>2720</v>
      </c>
      <c r="B977" s="18"/>
      <c r="C977" s="15" t="s">
        <v>7496</v>
      </c>
      <c r="D977" s="18"/>
      <c r="E977" s="17" t="s">
        <v>2721</v>
      </c>
      <c r="F977" s="18"/>
      <c r="G977" s="18"/>
      <c r="H977" s="15" t="s">
        <v>2722</v>
      </c>
      <c r="I977" s="15" t="s">
        <v>2723</v>
      </c>
      <c r="J977" s="19" t="s">
        <v>36</v>
      </c>
      <c r="K977" s="19" t="s">
        <v>2382</v>
      </c>
      <c r="L977" s="19" t="s">
        <v>38</v>
      </c>
      <c r="M977" s="20">
        <f t="shared" si="1"/>
        <v>0</v>
      </c>
      <c r="N977" s="22"/>
      <c r="O977" s="19" t="s">
        <v>1145</v>
      </c>
      <c r="P977" s="18"/>
      <c r="Q977" s="18"/>
      <c r="R977" s="23">
        <v>0.0</v>
      </c>
      <c r="S977" s="23">
        <v>0.0</v>
      </c>
      <c r="T977" s="23">
        <f t="shared" si="2"/>
        <v>0</v>
      </c>
      <c r="U977" s="23">
        <f t="shared" si="3"/>
        <v>0</v>
      </c>
      <c r="V977" s="23">
        <f t="shared" si="4"/>
        <v>0</v>
      </c>
      <c r="W977" s="24" t="str">
        <f t="shared" si="5"/>
        <v>#DIV/0!</v>
      </c>
    </row>
    <row r="978" hidden="1">
      <c r="A978" s="15" t="s">
        <v>2724</v>
      </c>
      <c r="B978" s="18"/>
      <c r="C978" s="15" t="s">
        <v>7497</v>
      </c>
      <c r="D978" s="18"/>
      <c r="E978" s="17" t="s">
        <v>2725</v>
      </c>
      <c r="F978" s="18"/>
      <c r="G978" s="18"/>
      <c r="H978" s="15" t="s">
        <v>2726</v>
      </c>
      <c r="I978" s="15" t="s">
        <v>2727</v>
      </c>
      <c r="J978" s="19" t="s">
        <v>36</v>
      </c>
      <c r="K978" s="19" t="s">
        <v>691</v>
      </c>
      <c r="L978" s="19" t="s">
        <v>38</v>
      </c>
      <c r="M978" s="20">
        <f t="shared" si="1"/>
        <v>0</v>
      </c>
      <c r="N978" s="22"/>
      <c r="O978" s="19" t="s">
        <v>1145</v>
      </c>
      <c r="P978" s="18"/>
      <c r="Q978" s="18"/>
      <c r="R978" s="23">
        <v>0.0</v>
      </c>
      <c r="S978" s="23">
        <v>0.0</v>
      </c>
      <c r="T978" s="23">
        <f t="shared" si="2"/>
        <v>0</v>
      </c>
      <c r="U978" s="23">
        <f t="shared" si="3"/>
        <v>0</v>
      </c>
      <c r="V978" s="23">
        <f t="shared" si="4"/>
        <v>0</v>
      </c>
      <c r="W978" s="24" t="str">
        <f t="shared" si="5"/>
        <v>#DIV/0!</v>
      </c>
    </row>
    <row r="979" hidden="1">
      <c r="A979" s="15" t="s">
        <v>2728</v>
      </c>
      <c r="B979" s="18"/>
      <c r="C979" s="15" t="s">
        <v>7498</v>
      </c>
      <c r="D979" s="18"/>
      <c r="E979" s="17" t="s">
        <v>2729</v>
      </c>
      <c r="F979" s="18"/>
      <c r="G979" s="18"/>
      <c r="H979" s="15" t="s">
        <v>2730</v>
      </c>
      <c r="I979" s="15" t="s">
        <v>2731</v>
      </c>
      <c r="J979" s="19" t="s">
        <v>36</v>
      </c>
      <c r="K979" s="19" t="s">
        <v>2382</v>
      </c>
      <c r="L979" s="19" t="s">
        <v>38</v>
      </c>
      <c r="M979" s="20">
        <f t="shared" si="1"/>
        <v>0</v>
      </c>
      <c r="N979" s="22"/>
      <c r="O979" s="19" t="s">
        <v>1145</v>
      </c>
      <c r="P979" s="18"/>
      <c r="Q979" s="18"/>
      <c r="R979" s="23">
        <v>0.0</v>
      </c>
      <c r="S979" s="23">
        <v>0.0</v>
      </c>
      <c r="T979" s="23">
        <f t="shared" si="2"/>
        <v>0</v>
      </c>
      <c r="U979" s="23">
        <f t="shared" si="3"/>
        <v>0</v>
      </c>
      <c r="V979" s="23">
        <f t="shared" si="4"/>
        <v>0</v>
      </c>
      <c r="W979" s="24" t="str">
        <f t="shared" si="5"/>
        <v>#DIV/0!</v>
      </c>
    </row>
    <row r="980" hidden="1">
      <c r="A980" s="15" t="s">
        <v>2732</v>
      </c>
      <c r="B980" s="18"/>
      <c r="C980" s="15" t="s">
        <v>7499</v>
      </c>
      <c r="D980" s="18"/>
      <c r="E980" s="17" t="s">
        <v>2733</v>
      </c>
      <c r="F980" s="18"/>
      <c r="G980" s="18"/>
      <c r="H980" s="15" t="s">
        <v>2734</v>
      </c>
      <c r="I980" s="15" t="s">
        <v>2735</v>
      </c>
      <c r="J980" s="19" t="s">
        <v>36</v>
      </c>
      <c r="K980" s="19" t="s">
        <v>2382</v>
      </c>
      <c r="L980" s="19" t="s">
        <v>38</v>
      </c>
      <c r="M980" s="20">
        <f t="shared" si="1"/>
        <v>0</v>
      </c>
      <c r="N980" s="22"/>
      <c r="O980" s="19" t="s">
        <v>1145</v>
      </c>
      <c r="P980" s="18"/>
      <c r="Q980" s="18"/>
      <c r="R980" s="23">
        <v>0.0</v>
      </c>
      <c r="S980" s="23">
        <v>0.0</v>
      </c>
      <c r="T980" s="23">
        <f t="shared" si="2"/>
        <v>0</v>
      </c>
      <c r="U980" s="23">
        <f t="shared" si="3"/>
        <v>0</v>
      </c>
      <c r="V980" s="23">
        <f t="shared" si="4"/>
        <v>0</v>
      </c>
      <c r="W980" s="24" t="str">
        <f t="shared" si="5"/>
        <v>#DIV/0!</v>
      </c>
    </row>
    <row r="981" hidden="1">
      <c r="A981" s="15" t="s">
        <v>2736</v>
      </c>
      <c r="B981" s="15" t="s">
        <v>2737</v>
      </c>
      <c r="C981" s="15" t="s">
        <v>7500</v>
      </c>
      <c r="D981" s="18"/>
      <c r="E981" s="17" t="s">
        <v>2738</v>
      </c>
      <c r="F981" s="18"/>
      <c r="G981" s="18"/>
      <c r="H981" s="15" t="s">
        <v>2739</v>
      </c>
      <c r="I981" s="18"/>
      <c r="J981" s="19" t="s">
        <v>36</v>
      </c>
      <c r="K981" s="33"/>
      <c r="L981" s="19" t="s">
        <v>38</v>
      </c>
      <c r="M981" s="20">
        <f t="shared" si="1"/>
        <v>0</v>
      </c>
      <c r="N981" s="22"/>
      <c r="O981" s="19" t="s">
        <v>1145</v>
      </c>
      <c r="P981" s="18"/>
      <c r="Q981" s="18"/>
      <c r="R981" s="23">
        <v>0.0</v>
      </c>
      <c r="S981" s="23">
        <v>0.0</v>
      </c>
      <c r="T981" s="23">
        <f t="shared" si="2"/>
        <v>0</v>
      </c>
      <c r="U981" s="23">
        <f t="shared" si="3"/>
        <v>0</v>
      </c>
      <c r="V981" s="23">
        <f t="shared" si="4"/>
        <v>0</v>
      </c>
      <c r="W981" s="24" t="str">
        <f t="shared" si="5"/>
        <v>#DIV/0!</v>
      </c>
    </row>
    <row r="982">
      <c r="A982" s="15" t="s">
        <v>472</v>
      </c>
      <c r="B982" s="15" t="s">
        <v>473</v>
      </c>
      <c r="C982" s="15" t="s">
        <v>6082</v>
      </c>
      <c r="D982" s="15" t="s">
        <v>474</v>
      </c>
      <c r="E982" s="17" t="s">
        <v>475</v>
      </c>
      <c r="F982" s="18"/>
      <c r="G982" s="15" t="s">
        <v>476</v>
      </c>
      <c r="H982" s="15" t="s">
        <v>477</v>
      </c>
      <c r="I982" s="18"/>
      <c r="J982" s="19" t="s">
        <v>36</v>
      </c>
      <c r="K982" s="33"/>
      <c r="L982" s="19" t="s">
        <v>38</v>
      </c>
      <c r="M982" s="20">
        <f t="shared" si="1"/>
        <v>355.2</v>
      </c>
      <c r="N982" s="31">
        <v>10.0</v>
      </c>
      <c r="O982" s="19" t="s">
        <v>107</v>
      </c>
      <c r="P982" s="18"/>
      <c r="Q982" s="18"/>
      <c r="R982" s="23">
        <v>3.0</v>
      </c>
      <c r="S982" s="23">
        <v>20.0</v>
      </c>
      <c r="T982" s="23">
        <f t="shared" si="2"/>
        <v>19.2</v>
      </c>
      <c r="U982" s="23">
        <f t="shared" si="3"/>
        <v>3.675</v>
      </c>
      <c r="V982" s="23">
        <f t="shared" si="4"/>
        <v>68.90625</v>
      </c>
      <c r="W982" s="24">
        <f t="shared" si="5"/>
        <v>6.4</v>
      </c>
    </row>
    <row r="983">
      <c r="A983" s="15" t="s">
        <v>352</v>
      </c>
      <c r="B983" s="15" t="s">
        <v>353</v>
      </c>
      <c r="C983" s="15" t="s">
        <v>6024</v>
      </c>
      <c r="D983" s="15" t="s">
        <v>354</v>
      </c>
      <c r="E983" s="17" t="s">
        <v>355</v>
      </c>
      <c r="F983" s="18"/>
      <c r="G983" s="18"/>
      <c r="H983" s="15" t="s">
        <v>356</v>
      </c>
      <c r="I983" s="18"/>
      <c r="J983" s="19" t="s">
        <v>36</v>
      </c>
      <c r="K983" s="19" t="s">
        <v>1269</v>
      </c>
      <c r="L983" s="19" t="s">
        <v>38</v>
      </c>
      <c r="M983" s="20">
        <f t="shared" si="1"/>
        <v>4759.68</v>
      </c>
      <c r="N983" s="31">
        <v>6.0</v>
      </c>
      <c r="O983" s="19" t="s">
        <v>107</v>
      </c>
      <c r="P983" s="18"/>
      <c r="Q983" s="18"/>
      <c r="R983" s="23">
        <v>35.0</v>
      </c>
      <c r="S983" s="23">
        <v>268.0</v>
      </c>
      <c r="T983" s="23">
        <f t="shared" si="2"/>
        <v>257.28</v>
      </c>
      <c r="U983" s="23">
        <f t="shared" si="3"/>
        <v>42.875</v>
      </c>
      <c r="V983" s="23">
        <f t="shared" si="4"/>
        <v>803.90625</v>
      </c>
      <c r="W983" s="24">
        <f t="shared" si="5"/>
        <v>7.350857143</v>
      </c>
    </row>
    <row r="984" hidden="1">
      <c r="A984" s="15" t="s">
        <v>5061</v>
      </c>
      <c r="B984" s="15" t="s">
        <v>5062</v>
      </c>
      <c r="C984" s="15" t="s">
        <v>7501</v>
      </c>
      <c r="D984" s="18"/>
      <c r="E984" s="17" t="s">
        <v>7502</v>
      </c>
      <c r="F984" s="18"/>
      <c r="G984" s="18"/>
      <c r="H984" s="15" t="s">
        <v>7197</v>
      </c>
      <c r="I984" s="18"/>
      <c r="J984" s="19" t="s">
        <v>36</v>
      </c>
      <c r="K984" s="19" t="s">
        <v>1269</v>
      </c>
      <c r="L984" s="19" t="s">
        <v>38</v>
      </c>
      <c r="M984" s="20">
        <f t="shared" si="1"/>
        <v>0</v>
      </c>
      <c r="N984" s="22"/>
      <c r="O984" s="19" t="s">
        <v>1145</v>
      </c>
      <c r="P984" s="18"/>
      <c r="Q984" s="18"/>
      <c r="R984" s="23">
        <v>0.0</v>
      </c>
      <c r="S984" s="23">
        <v>0.0</v>
      </c>
      <c r="T984" s="23">
        <f t="shared" si="2"/>
        <v>0</v>
      </c>
      <c r="U984" s="23">
        <f t="shared" si="3"/>
        <v>0</v>
      </c>
      <c r="V984" s="23">
        <f t="shared" si="4"/>
        <v>0</v>
      </c>
      <c r="W984" s="24" t="str">
        <f t="shared" si="5"/>
        <v>#DIV/0!</v>
      </c>
    </row>
    <row r="985">
      <c r="A985" s="15" t="s">
        <v>797</v>
      </c>
      <c r="B985" s="15" t="s">
        <v>798</v>
      </c>
      <c r="C985" s="15" t="s">
        <v>6025</v>
      </c>
      <c r="D985" s="15" t="s">
        <v>799</v>
      </c>
      <c r="E985" s="17" t="s">
        <v>800</v>
      </c>
      <c r="F985" s="18"/>
      <c r="G985" s="18"/>
      <c r="H985" s="15" t="s">
        <v>801</v>
      </c>
      <c r="I985" s="18"/>
      <c r="J985" s="19" t="s">
        <v>36</v>
      </c>
      <c r="K985" s="19" t="s">
        <v>1269</v>
      </c>
      <c r="L985" s="19" t="s">
        <v>38</v>
      </c>
      <c r="M985" s="20">
        <f t="shared" si="1"/>
        <v>1172.16</v>
      </c>
      <c r="N985" s="31">
        <v>6.0</v>
      </c>
      <c r="O985" s="19" t="s">
        <v>107</v>
      </c>
      <c r="P985" s="18"/>
      <c r="Q985" s="18"/>
      <c r="R985" s="23">
        <v>15.0</v>
      </c>
      <c r="S985" s="23">
        <v>66.0</v>
      </c>
      <c r="T985" s="23">
        <f t="shared" si="2"/>
        <v>63.36</v>
      </c>
      <c r="U985" s="23">
        <f t="shared" si="3"/>
        <v>18.375</v>
      </c>
      <c r="V985" s="23">
        <f t="shared" si="4"/>
        <v>344.53125</v>
      </c>
      <c r="W985" s="24">
        <f t="shared" si="5"/>
        <v>4.224</v>
      </c>
    </row>
    <row r="986">
      <c r="A986" s="15" t="s">
        <v>549</v>
      </c>
      <c r="B986" s="15" t="s">
        <v>550</v>
      </c>
      <c r="C986" s="15" t="s">
        <v>6026</v>
      </c>
      <c r="D986" s="15" t="s">
        <v>551</v>
      </c>
      <c r="E986" s="17" t="s">
        <v>552</v>
      </c>
      <c r="F986" s="18"/>
      <c r="G986" s="18"/>
      <c r="H986" s="15" t="s">
        <v>553</v>
      </c>
      <c r="I986" s="18"/>
      <c r="J986" s="19" t="s">
        <v>36</v>
      </c>
      <c r="K986" s="19" t="s">
        <v>1269</v>
      </c>
      <c r="L986" s="19" t="s">
        <v>38</v>
      </c>
      <c r="M986" s="20">
        <f t="shared" si="1"/>
        <v>1598.4</v>
      </c>
      <c r="N986" s="31">
        <v>6.0</v>
      </c>
      <c r="O986" s="19" t="s">
        <v>107</v>
      </c>
      <c r="P986" s="18"/>
      <c r="Q986" s="18"/>
      <c r="R986" s="23">
        <v>15.0</v>
      </c>
      <c r="S986" s="23">
        <v>90.0</v>
      </c>
      <c r="T986" s="23">
        <f t="shared" si="2"/>
        <v>86.4</v>
      </c>
      <c r="U986" s="23">
        <f t="shared" si="3"/>
        <v>18.375</v>
      </c>
      <c r="V986" s="23">
        <f t="shared" si="4"/>
        <v>344.53125</v>
      </c>
      <c r="W986" s="24">
        <f t="shared" si="5"/>
        <v>5.76</v>
      </c>
    </row>
    <row r="987" hidden="1">
      <c r="A987" s="15" t="s">
        <v>2740</v>
      </c>
      <c r="B987" s="18"/>
      <c r="C987" s="15" t="s">
        <v>7503</v>
      </c>
      <c r="D987" s="18"/>
      <c r="E987" s="17" t="s">
        <v>2741</v>
      </c>
      <c r="F987" s="18"/>
      <c r="G987" s="18"/>
      <c r="H987" s="15" t="s">
        <v>2742</v>
      </c>
      <c r="I987" s="15" t="s">
        <v>2743</v>
      </c>
      <c r="J987" s="19" t="s">
        <v>36</v>
      </c>
      <c r="K987" s="19" t="s">
        <v>2382</v>
      </c>
      <c r="L987" s="19" t="s">
        <v>38</v>
      </c>
      <c r="M987" s="20">
        <f t="shared" si="1"/>
        <v>0</v>
      </c>
      <c r="N987" s="22"/>
      <c r="O987" s="19" t="s">
        <v>1145</v>
      </c>
      <c r="P987" s="18"/>
      <c r="Q987" s="18"/>
      <c r="R987" s="23">
        <v>0.0</v>
      </c>
      <c r="S987" s="23">
        <v>0.0</v>
      </c>
      <c r="T987" s="23">
        <f t="shared" si="2"/>
        <v>0</v>
      </c>
      <c r="U987" s="23">
        <f t="shared" si="3"/>
        <v>0</v>
      </c>
      <c r="V987" s="23">
        <f t="shared" si="4"/>
        <v>0</v>
      </c>
      <c r="W987" s="24" t="str">
        <f t="shared" si="5"/>
        <v>#DIV/0!</v>
      </c>
    </row>
    <row r="988" hidden="1">
      <c r="A988" s="15" t="s">
        <v>7504</v>
      </c>
      <c r="B988" s="18"/>
      <c r="C988" s="15" t="s">
        <v>7505</v>
      </c>
      <c r="D988" s="18"/>
      <c r="E988" s="17" t="s">
        <v>7506</v>
      </c>
      <c r="F988" s="18"/>
      <c r="G988" s="18"/>
      <c r="H988" s="15" t="s">
        <v>7507</v>
      </c>
      <c r="I988" s="15" t="s">
        <v>4409</v>
      </c>
      <c r="J988" s="19" t="s">
        <v>36</v>
      </c>
      <c r="K988" s="19" t="s">
        <v>2401</v>
      </c>
      <c r="L988" s="19" t="s">
        <v>38</v>
      </c>
      <c r="M988" s="20">
        <f t="shared" si="1"/>
        <v>0</v>
      </c>
      <c r="N988" s="22"/>
      <c r="O988" s="19" t="s">
        <v>39</v>
      </c>
      <c r="P988" s="18"/>
      <c r="Q988" s="18"/>
      <c r="R988" s="23">
        <v>0.0</v>
      </c>
      <c r="S988" s="23">
        <v>0.0</v>
      </c>
      <c r="T988" s="23">
        <f t="shared" si="2"/>
        <v>0</v>
      </c>
      <c r="U988" s="23">
        <f t="shared" si="3"/>
        <v>0</v>
      </c>
      <c r="V988" s="23">
        <f t="shared" si="4"/>
        <v>0</v>
      </c>
      <c r="W988" s="24" t="str">
        <f t="shared" si="5"/>
        <v>#DIV/0!</v>
      </c>
    </row>
    <row r="989" hidden="1">
      <c r="A989" s="15" t="s">
        <v>2744</v>
      </c>
      <c r="B989" s="18"/>
      <c r="C989" s="15" t="s">
        <v>7508</v>
      </c>
      <c r="D989" s="18"/>
      <c r="E989" s="17" t="s">
        <v>2745</v>
      </c>
      <c r="F989" s="18"/>
      <c r="G989" s="18"/>
      <c r="H989" s="15" t="s">
        <v>2746</v>
      </c>
      <c r="I989" s="15" t="s">
        <v>2747</v>
      </c>
      <c r="J989" s="19" t="s">
        <v>36</v>
      </c>
      <c r="K989" s="19" t="s">
        <v>2387</v>
      </c>
      <c r="L989" s="19" t="s">
        <v>38</v>
      </c>
      <c r="M989" s="20">
        <f t="shared" si="1"/>
        <v>0</v>
      </c>
      <c r="N989" s="22"/>
      <c r="O989" s="19" t="s">
        <v>1145</v>
      </c>
      <c r="P989" s="18"/>
      <c r="Q989" s="18"/>
      <c r="R989" s="23">
        <v>0.0</v>
      </c>
      <c r="S989" s="23">
        <v>0.0</v>
      </c>
      <c r="T989" s="23">
        <f t="shared" si="2"/>
        <v>0</v>
      </c>
      <c r="U989" s="23">
        <f t="shared" si="3"/>
        <v>0</v>
      </c>
      <c r="V989" s="23">
        <f t="shared" si="4"/>
        <v>0</v>
      </c>
      <c r="W989" s="24" t="str">
        <f t="shared" si="5"/>
        <v>#DIV/0!</v>
      </c>
    </row>
    <row r="990" hidden="1">
      <c r="A990" s="15" t="s">
        <v>2748</v>
      </c>
      <c r="B990" s="18"/>
      <c r="C990" s="15" t="s">
        <v>7509</v>
      </c>
      <c r="D990" s="18"/>
      <c r="E990" s="17" t="s">
        <v>2749</v>
      </c>
      <c r="F990" s="18"/>
      <c r="G990" s="18"/>
      <c r="H990" s="15" t="s">
        <v>2750</v>
      </c>
      <c r="I990" s="15" t="s">
        <v>2751</v>
      </c>
      <c r="J990" s="19" t="s">
        <v>36</v>
      </c>
      <c r="K990" s="19" t="s">
        <v>2401</v>
      </c>
      <c r="L990" s="19" t="s">
        <v>38</v>
      </c>
      <c r="M990" s="20">
        <f t="shared" si="1"/>
        <v>0</v>
      </c>
      <c r="N990" s="22"/>
      <c r="O990" s="19" t="s">
        <v>1145</v>
      </c>
      <c r="P990" s="18"/>
      <c r="Q990" s="18"/>
      <c r="R990" s="23">
        <v>0.0</v>
      </c>
      <c r="S990" s="23">
        <v>0.0</v>
      </c>
      <c r="T990" s="23">
        <f t="shared" si="2"/>
        <v>0</v>
      </c>
      <c r="U990" s="23">
        <f t="shared" si="3"/>
        <v>0</v>
      </c>
      <c r="V990" s="23">
        <f t="shared" si="4"/>
        <v>0</v>
      </c>
      <c r="W990" s="24" t="str">
        <f t="shared" si="5"/>
        <v>#DIV/0!</v>
      </c>
    </row>
    <row r="991" hidden="1">
      <c r="A991" s="15" t="s">
        <v>2752</v>
      </c>
      <c r="B991" s="18"/>
      <c r="C991" s="15" t="s">
        <v>7510</v>
      </c>
      <c r="D991" s="18"/>
      <c r="E991" s="17" t="s">
        <v>2749</v>
      </c>
      <c r="F991" s="18"/>
      <c r="G991" s="18"/>
      <c r="H991" s="15" t="s">
        <v>2753</v>
      </c>
      <c r="I991" s="15" t="s">
        <v>2754</v>
      </c>
      <c r="J991" s="19" t="s">
        <v>36</v>
      </c>
      <c r="K991" s="19" t="s">
        <v>2401</v>
      </c>
      <c r="L991" s="19" t="s">
        <v>38</v>
      </c>
      <c r="M991" s="20">
        <f t="shared" si="1"/>
        <v>0</v>
      </c>
      <c r="N991" s="22"/>
      <c r="O991" s="19" t="s">
        <v>1145</v>
      </c>
      <c r="P991" s="18"/>
      <c r="Q991" s="18"/>
      <c r="R991" s="23">
        <v>0.0</v>
      </c>
      <c r="S991" s="23">
        <v>0.0</v>
      </c>
      <c r="T991" s="23">
        <f t="shared" si="2"/>
        <v>0</v>
      </c>
      <c r="U991" s="23">
        <f t="shared" si="3"/>
        <v>0</v>
      </c>
      <c r="V991" s="23">
        <f t="shared" si="4"/>
        <v>0</v>
      </c>
      <c r="W991" s="24" t="str">
        <f t="shared" si="5"/>
        <v>#DIV/0!</v>
      </c>
    </row>
    <row r="992" hidden="1">
      <c r="A992" s="15" t="s">
        <v>2755</v>
      </c>
      <c r="B992" s="18"/>
      <c r="C992" s="15" t="s">
        <v>7511</v>
      </c>
      <c r="D992" s="18"/>
      <c r="E992" s="17" t="s">
        <v>2756</v>
      </c>
      <c r="F992" s="18"/>
      <c r="G992" s="18"/>
      <c r="H992" s="15" t="s">
        <v>2757</v>
      </c>
      <c r="I992" s="15" t="s">
        <v>2758</v>
      </c>
      <c r="J992" s="19" t="s">
        <v>36</v>
      </c>
      <c r="K992" s="19" t="s">
        <v>691</v>
      </c>
      <c r="L992" s="19" t="s">
        <v>38</v>
      </c>
      <c r="M992" s="20">
        <f t="shared" si="1"/>
        <v>0</v>
      </c>
      <c r="N992" s="22"/>
      <c r="O992" s="19" t="s">
        <v>1145</v>
      </c>
      <c r="P992" s="18"/>
      <c r="Q992" s="18"/>
      <c r="R992" s="23">
        <v>0.0</v>
      </c>
      <c r="S992" s="23">
        <v>0.0</v>
      </c>
      <c r="T992" s="23">
        <f t="shared" si="2"/>
        <v>0</v>
      </c>
      <c r="U992" s="23">
        <f t="shared" si="3"/>
        <v>0</v>
      </c>
      <c r="V992" s="23">
        <f t="shared" si="4"/>
        <v>0</v>
      </c>
      <c r="W992" s="24" t="str">
        <f t="shared" si="5"/>
        <v>#DIV/0!</v>
      </c>
    </row>
    <row r="993" hidden="1">
      <c r="A993" s="15" t="s">
        <v>2759</v>
      </c>
      <c r="B993" s="18"/>
      <c r="C993" s="15" t="s">
        <v>7512</v>
      </c>
      <c r="D993" s="18"/>
      <c r="E993" s="17" t="s">
        <v>2760</v>
      </c>
      <c r="F993" s="18"/>
      <c r="G993" s="18"/>
      <c r="H993" s="15" t="s">
        <v>2761</v>
      </c>
      <c r="I993" s="15" t="s">
        <v>2762</v>
      </c>
      <c r="J993" s="19" t="s">
        <v>36</v>
      </c>
      <c r="K993" s="19" t="s">
        <v>2519</v>
      </c>
      <c r="L993" s="19" t="s">
        <v>38</v>
      </c>
      <c r="M993" s="20">
        <f t="shared" si="1"/>
        <v>0</v>
      </c>
      <c r="N993" s="22"/>
      <c r="O993" s="19" t="s">
        <v>1145</v>
      </c>
      <c r="P993" s="18"/>
      <c r="Q993" s="18"/>
      <c r="R993" s="23">
        <v>0.0</v>
      </c>
      <c r="S993" s="23">
        <v>0.0</v>
      </c>
      <c r="T993" s="23">
        <f t="shared" si="2"/>
        <v>0</v>
      </c>
      <c r="U993" s="23">
        <f t="shared" si="3"/>
        <v>0</v>
      </c>
      <c r="V993" s="23">
        <f t="shared" si="4"/>
        <v>0</v>
      </c>
      <c r="W993" s="24" t="str">
        <f t="shared" si="5"/>
        <v>#DIV/0!</v>
      </c>
    </row>
    <row r="994" hidden="1">
      <c r="A994" s="15" t="s">
        <v>7513</v>
      </c>
      <c r="B994" s="18"/>
      <c r="C994" s="15" t="s">
        <v>7514</v>
      </c>
      <c r="D994" s="18"/>
      <c r="E994" s="17" t="s">
        <v>2760</v>
      </c>
      <c r="F994" s="18"/>
      <c r="G994" s="18"/>
      <c r="H994" s="15" t="s">
        <v>7515</v>
      </c>
      <c r="I994" s="15" t="s">
        <v>176</v>
      </c>
      <c r="J994" s="19" t="s">
        <v>36</v>
      </c>
      <c r="K994" s="19" t="s">
        <v>2519</v>
      </c>
      <c r="L994" s="19" t="s">
        <v>38</v>
      </c>
      <c r="M994" s="20">
        <f t="shared" si="1"/>
        <v>0</v>
      </c>
      <c r="N994" s="22"/>
      <c r="O994" s="19" t="s">
        <v>39</v>
      </c>
      <c r="P994" s="18"/>
      <c r="Q994" s="18"/>
      <c r="R994" s="23">
        <v>0.0</v>
      </c>
      <c r="S994" s="23">
        <v>0.0</v>
      </c>
      <c r="T994" s="23">
        <f t="shared" si="2"/>
        <v>0</v>
      </c>
      <c r="U994" s="23">
        <f t="shared" si="3"/>
        <v>0</v>
      </c>
      <c r="V994" s="23">
        <f t="shared" si="4"/>
        <v>0</v>
      </c>
      <c r="W994" s="24" t="str">
        <f t="shared" si="5"/>
        <v>#DIV/0!</v>
      </c>
    </row>
    <row r="995">
      <c r="A995" s="15" t="s">
        <v>855</v>
      </c>
      <c r="B995" s="15" t="s">
        <v>856</v>
      </c>
      <c r="C995" s="15" t="s">
        <v>6071</v>
      </c>
      <c r="D995" s="15" t="s">
        <v>857</v>
      </c>
      <c r="E995" s="17" t="s">
        <v>858</v>
      </c>
      <c r="F995" s="18"/>
      <c r="G995" s="18"/>
      <c r="H995" s="15" t="s">
        <v>859</v>
      </c>
      <c r="I995" s="18"/>
      <c r="J995" s="19" t="s">
        <v>602</v>
      </c>
      <c r="K995" s="33"/>
      <c r="L995" s="19" t="s">
        <v>52</v>
      </c>
      <c r="M995" s="20">
        <f t="shared" si="1"/>
        <v>2468.64</v>
      </c>
      <c r="N995" s="31">
        <v>6.0</v>
      </c>
      <c r="O995" s="19" t="s">
        <v>107</v>
      </c>
      <c r="P995" s="18"/>
      <c r="Q995" s="18"/>
      <c r="R995" s="23">
        <v>33.0</v>
      </c>
      <c r="S995" s="23">
        <v>139.0</v>
      </c>
      <c r="T995" s="23">
        <f t="shared" si="2"/>
        <v>133.44</v>
      </c>
      <c r="U995" s="23">
        <f t="shared" si="3"/>
        <v>40.425</v>
      </c>
      <c r="V995" s="23">
        <f t="shared" si="4"/>
        <v>757.96875</v>
      </c>
      <c r="W995" s="24">
        <f t="shared" si="5"/>
        <v>4.043636364</v>
      </c>
    </row>
    <row r="996" hidden="1">
      <c r="A996" s="15" t="s">
        <v>2763</v>
      </c>
      <c r="B996" s="18"/>
      <c r="C996" s="15" t="s">
        <v>7516</v>
      </c>
      <c r="D996" s="18"/>
      <c r="E996" s="17" t="s">
        <v>2764</v>
      </c>
      <c r="F996" s="18"/>
      <c r="G996" s="18"/>
      <c r="H996" s="15" t="s">
        <v>2765</v>
      </c>
      <c r="I996" s="15" t="s">
        <v>2766</v>
      </c>
      <c r="J996" s="19" t="s">
        <v>36</v>
      </c>
      <c r="K996" s="19" t="s">
        <v>691</v>
      </c>
      <c r="L996" s="19" t="s">
        <v>38</v>
      </c>
      <c r="M996" s="20">
        <f t="shared" si="1"/>
        <v>0</v>
      </c>
      <c r="N996" s="22"/>
      <c r="O996" s="19" t="s">
        <v>1145</v>
      </c>
      <c r="P996" s="18"/>
      <c r="Q996" s="18"/>
      <c r="R996" s="23">
        <v>0.0</v>
      </c>
      <c r="S996" s="23">
        <v>0.0</v>
      </c>
      <c r="T996" s="23">
        <f t="shared" si="2"/>
        <v>0</v>
      </c>
      <c r="U996" s="23">
        <f t="shared" si="3"/>
        <v>0</v>
      </c>
      <c r="V996" s="23">
        <f t="shared" si="4"/>
        <v>0</v>
      </c>
      <c r="W996" s="24" t="str">
        <f t="shared" si="5"/>
        <v>#DIV/0!</v>
      </c>
    </row>
    <row r="997" hidden="1">
      <c r="A997" s="15" t="s">
        <v>2767</v>
      </c>
      <c r="B997" s="18"/>
      <c r="C997" s="15" t="s">
        <v>7517</v>
      </c>
      <c r="D997" s="18"/>
      <c r="E997" s="17" t="s">
        <v>2768</v>
      </c>
      <c r="F997" s="18"/>
      <c r="G997" s="18"/>
      <c r="H997" s="15" t="s">
        <v>2769</v>
      </c>
      <c r="I997" s="15" t="s">
        <v>2770</v>
      </c>
      <c r="J997" s="19" t="s">
        <v>36</v>
      </c>
      <c r="K997" s="19" t="s">
        <v>2401</v>
      </c>
      <c r="L997" s="19" t="s">
        <v>38</v>
      </c>
      <c r="M997" s="20">
        <f t="shared" si="1"/>
        <v>0</v>
      </c>
      <c r="N997" s="22"/>
      <c r="O997" s="19" t="s">
        <v>1145</v>
      </c>
      <c r="P997" s="18"/>
      <c r="Q997" s="18"/>
      <c r="R997" s="23">
        <v>0.0</v>
      </c>
      <c r="S997" s="23">
        <v>0.0</v>
      </c>
      <c r="T997" s="23">
        <f t="shared" si="2"/>
        <v>0</v>
      </c>
      <c r="U997" s="23">
        <f t="shared" si="3"/>
        <v>0</v>
      </c>
      <c r="V997" s="23">
        <f t="shared" si="4"/>
        <v>0</v>
      </c>
      <c r="W997" s="24" t="str">
        <f t="shared" si="5"/>
        <v>#DIV/0!</v>
      </c>
    </row>
    <row r="998" hidden="1">
      <c r="A998" s="15" t="s">
        <v>2771</v>
      </c>
      <c r="B998" s="18"/>
      <c r="C998" s="15" t="s">
        <v>7518</v>
      </c>
      <c r="D998" s="18"/>
      <c r="E998" s="17" t="s">
        <v>2772</v>
      </c>
      <c r="F998" s="18"/>
      <c r="G998" s="18"/>
      <c r="H998" s="15" t="s">
        <v>2773</v>
      </c>
      <c r="I998" s="15" t="s">
        <v>2774</v>
      </c>
      <c r="J998" s="19" t="s">
        <v>36</v>
      </c>
      <c r="K998" s="19" t="s">
        <v>2519</v>
      </c>
      <c r="L998" s="19" t="s">
        <v>38</v>
      </c>
      <c r="M998" s="20">
        <f t="shared" si="1"/>
        <v>0</v>
      </c>
      <c r="N998" s="22"/>
      <c r="O998" s="19" t="s">
        <v>1145</v>
      </c>
      <c r="P998" s="18"/>
      <c r="Q998" s="18"/>
      <c r="R998" s="23">
        <v>0.0</v>
      </c>
      <c r="S998" s="23">
        <v>0.0</v>
      </c>
      <c r="T998" s="23">
        <f t="shared" si="2"/>
        <v>0</v>
      </c>
      <c r="U998" s="23">
        <f t="shared" si="3"/>
        <v>0</v>
      </c>
      <c r="V998" s="23">
        <f t="shared" si="4"/>
        <v>0</v>
      </c>
      <c r="W998" s="24" t="str">
        <f t="shared" si="5"/>
        <v>#DIV/0!</v>
      </c>
    </row>
    <row r="999" hidden="1">
      <c r="A999" s="15" t="s">
        <v>2775</v>
      </c>
      <c r="B999" s="18"/>
      <c r="C999" s="15" t="s">
        <v>7519</v>
      </c>
      <c r="D999" s="18"/>
      <c r="E999" s="17" t="s">
        <v>2776</v>
      </c>
      <c r="F999" s="18"/>
      <c r="G999" s="18"/>
      <c r="H999" s="15" t="s">
        <v>2777</v>
      </c>
      <c r="I999" s="15" t="s">
        <v>2778</v>
      </c>
      <c r="J999" s="19" t="s">
        <v>36</v>
      </c>
      <c r="K999" s="19" t="s">
        <v>2506</v>
      </c>
      <c r="L999" s="19" t="s">
        <v>38</v>
      </c>
      <c r="M999" s="20">
        <f t="shared" si="1"/>
        <v>0</v>
      </c>
      <c r="N999" s="22"/>
      <c r="O999" s="19" t="s">
        <v>1145</v>
      </c>
      <c r="P999" s="18"/>
      <c r="Q999" s="18"/>
      <c r="R999" s="23">
        <v>0.0</v>
      </c>
      <c r="S999" s="23">
        <v>0.0</v>
      </c>
      <c r="T999" s="23">
        <f t="shared" si="2"/>
        <v>0</v>
      </c>
      <c r="U999" s="23">
        <f t="shared" si="3"/>
        <v>0</v>
      </c>
      <c r="V999" s="23">
        <f t="shared" si="4"/>
        <v>0</v>
      </c>
      <c r="W999" s="24" t="str">
        <f t="shared" si="5"/>
        <v>#DIV/0!</v>
      </c>
    </row>
    <row r="1000" hidden="1">
      <c r="A1000" s="15" t="s">
        <v>2779</v>
      </c>
      <c r="B1000" s="18"/>
      <c r="C1000" s="15" t="s">
        <v>7520</v>
      </c>
      <c r="D1000" s="18"/>
      <c r="E1000" s="17" t="s">
        <v>2780</v>
      </c>
      <c r="F1000" s="18"/>
      <c r="G1000" s="18"/>
      <c r="H1000" s="15" t="s">
        <v>2781</v>
      </c>
      <c r="I1000" s="15" t="s">
        <v>2782</v>
      </c>
      <c r="J1000" s="19" t="s">
        <v>36</v>
      </c>
      <c r="K1000" s="19" t="s">
        <v>691</v>
      </c>
      <c r="L1000" s="19" t="s">
        <v>38</v>
      </c>
      <c r="M1000" s="20">
        <f t="shared" si="1"/>
        <v>0</v>
      </c>
      <c r="N1000" s="22"/>
      <c r="O1000" s="19" t="s">
        <v>1145</v>
      </c>
      <c r="P1000" s="18"/>
      <c r="Q1000" s="18"/>
      <c r="R1000" s="23">
        <v>0.0</v>
      </c>
      <c r="S1000" s="23">
        <v>0.0</v>
      </c>
      <c r="T1000" s="23">
        <f t="shared" si="2"/>
        <v>0</v>
      </c>
      <c r="U1000" s="23">
        <f t="shared" si="3"/>
        <v>0</v>
      </c>
      <c r="V1000" s="23">
        <f t="shared" si="4"/>
        <v>0</v>
      </c>
      <c r="W1000" s="24" t="str">
        <f t="shared" si="5"/>
        <v>#DIV/0!</v>
      </c>
    </row>
    <row r="1001" hidden="1">
      <c r="A1001" s="15" t="s">
        <v>2783</v>
      </c>
      <c r="B1001" s="18"/>
      <c r="C1001" s="15" t="s">
        <v>7521</v>
      </c>
      <c r="D1001" s="18"/>
      <c r="E1001" s="17" t="s">
        <v>2784</v>
      </c>
      <c r="F1001" s="18"/>
      <c r="G1001" s="18"/>
      <c r="H1001" s="15" t="s">
        <v>2785</v>
      </c>
      <c r="I1001" s="15" t="s">
        <v>2786</v>
      </c>
      <c r="J1001" s="19" t="s">
        <v>36</v>
      </c>
      <c r="K1001" s="19" t="s">
        <v>2396</v>
      </c>
      <c r="L1001" s="19" t="s">
        <v>38</v>
      </c>
      <c r="M1001" s="20">
        <f t="shared" si="1"/>
        <v>0</v>
      </c>
      <c r="N1001" s="22"/>
      <c r="O1001" s="19" t="s">
        <v>1145</v>
      </c>
      <c r="P1001" s="18"/>
      <c r="Q1001" s="18"/>
      <c r="R1001" s="23">
        <v>0.0</v>
      </c>
      <c r="S1001" s="23">
        <v>0.0</v>
      </c>
      <c r="T1001" s="23">
        <f t="shared" si="2"/>
        <v>0</v>
      </c>
      <c r="U1001" s="23">
        <f t="shared" si="3"/>
        <v>0</v>
      </c>
      <c r="V1001" s="23">
        <f t="shared" si="4"/>
        <v>0</v>
      </c>
      <c r="W1001" s="24" t="str">
        <f t="shared" si="5"/>
        <v>#DIV/0!</v>
      </c>
    </row>
    <row r="1002" hidden="1">
      <c r="A1002" s="15" t="s">
        <v>2787</v>
      </c>
      <c r="B1002" s="18"/>
      <c r="C1002" s="15" t="s">
        <v>7522</v>
      </c>
      <c r="D1002" s="18"/>
      <c r="E1002" s="17" t="s">
        <v>2788</v>
      </c>
      <c r="F1002" s="18"/>
      <c r="G1002" s="18"/>
      <c r="H1002" s="15" t="s">
        <v>2789</v>
      </c>
      <c r="I1002" s="15" t="s">
        <v>2790</v>
      </c>
      <c r="J1002" s="19" t="s">
        <v>36</v>
      </c>
      <c r="K1002" s="19" t="s">
        <v>2387</v>
      </c>
      <c r="L1002" s="19" t="s">
        <v>38</v>
      </c>
      <c r="M1002" s="20">
        <f t="shared" si="1"/>
        <v>0</v>
      </c>
      <c r="N1002" s="22"/>
      <c r="O1002" s="19" t="s">
        <v>1145</v>
      </c>
      <c r="P1002" s="18"/>
      <c r="Q1002" s="18"/>
      <c r="R1002" s="23">
        <v>0.0</v>
      </c>
      <c r="S1002" s="23">
        <v>0.0</v>
      </c>
      <c r="T1002" s="23">
        <f t="shared" si="2"/>
        <v>0</v>
      </c>
      <c r="U1002" s="23">
        <f t="shared" si="3"/>
        <v>0</v>
      </c>
      <c r="V1002" s="23">
        <f t="shared" si="4"/>
        <v>0</v>
      </c>
      <c r="W1002" s="24" t="str">
        <f t="shared" si="5"/>
        <v>#DIV/0!</v>
      </c>
    </row>
    <row r="1003">
      <c r="A1003" s="15" t="s">
        <v>557</v>
      </c>
      <c r="B1003" s="15" t="s">
        <v>558</v>
      </c>
      <c r="C1003" s="15" t="s">
        <v>6027</v>
      </c>
      <c r="D1003" s="15" t="s">
        <v>559</v>
      </c>
      <c r="E1003" s="17" t="s">
        <v>560</v>
      </c>
      <c r="F1003" s="18"/>
      <c r="G1003" s="18"/>
      <c r="H1003" s="15" t="s">
        <v>561</v>
      </c>
      <c r="I1003" s="18"/>
      <c r="J1003" s="19" t="s">
        <v>36</v>
      </c>
      <c r="K1003" s="33"/>
      <c r="L1003" s="19" t="s">
        <v>177</v>
      </c>
      <c r="M1003" s="20">
        <f t="shared" si="1"/>
        <v>2504.16</v>
      </c>
      <c r="N1003" s="31">
        <v>3.0</v>
      </c>
      <c r="O1003" s="19" t="s">
        <v>107</v>
      </c>
      <c r="P1003" s="18"/>
      <c r="Q1003" s="18"/>
      <c r="R1003" s="23">
        <v>24.0</v>
      </c>
      <c r="S1003" s="23">
        <v>141.0</v>
      </c>
      <c r="T1003" s="23">
        <f t="shared" si="2"/>
        <v>135.36</v>
      </c>
      <c r="U1003" s="23">
        <f t="shared" si="3"/>
        <v>29.4</v>
      </c>
      <c r="V1003" s="23">
        <f t="shared" si="4"/>
        <v>551.25</v>
      </c>
      <c r="W1003" s="24">
        <f t="shared" si="5"/>
        <v>5.64</v>
      </c>
    </row>
    <row r="1004">
      <c r="A1004" s="15" t="s">
        <v>692</v>
      </c>
      <c r="B1004" s="15" t="s">
        <v>693</v>
      </c>
      <c r="C1004" s="15" t="s">
        <v>6028</v>
      </c>
      <c r="D1004" s="15" t="s">
        <v>694</v>
      </c>
      <c r="E1004" s="17" t="s">
        <v>695</v>
      </c>
      <c r="F1004" s="18"/>
      <c r="G1004" s="18"/>
      <c r="H1004" s="15" t="s">
        <v>696</v>
      </c>
      <c r="I1004" s="18"/>
      <c r="J1004" s="19" t="s">
        <v>36</v>
      </c>
      <c r="K1004" s="33"/>
      <c r="L1004" s="19" t="s">
        <v>177</v>
      </c>
      <c r="M1004" s="20">
        <f t="shared" si="1"/>
        <v>3214.56</v>
      </c>
      <c r="N1004" s="31">
        <v>3.0</v>
      </c>
      <c r="O1004" s="19" t="s">
        <v>107</v>
      </c>
      <c r="P1004" s="18"/>
      <c r="Q1004" s="18"/>
      <c r="R1004" s="23">
        <v>36.0</v>
      </c>
      <c r="S1004" s="23">
        <v>181.0</v>
      </c>
      <c r="T1004" s="23">
        <f t="shared" si="2"/>
        <v>173.76</v>
      </c>
      <c r="U1004" s="23">
        <f t="shared" si="3"/>
        <v>44.1</v>
      </c>
      <c r="V1004" s="23">
        <f t="shared" si="4"/>
        <v>826.875</v>
      </c>
      <c r="W1004" s="24">
        <f t="shared" si="5"/>
        <v>4.826666667</v>
      </c>
    </row>
    <row r="1005">
      <c r="A1005" s="15" t="s">
        <v>1104</v>
      </c>
      <c r="B1005" s="15" t="s">
        <v>1105</v>
      </c>
      <c r="C1005" s="15" t="s">
        <v>6029</v>
      </c>
      <c r="D1005" s="15" t="s">
        <v>7523</v>
      </c>
      <c r="E1005" s="17" t="s">
        <v>1107</v>
      </c>
      <c r="F1005" s="18"/>
      <c r="G1005" s="15" t="s">
        <v>1108</v>
      </c>
      <c r="H1005" s="15" t="s">
        <v>1109</v>
      </c>
      <c r="I1005" s="18"/>
      <c r="J1005" s="19" t="s">
        <v>36</v>
      </c>
      <c r="K1005" s="19" t="s">
        <v>60</v>
      </c>
      <c r="L1005" s="19" t="s">
        <v>177</v>
      </c>
      <c r="M1005" s="20">
        <f t="shared" si="1"/>
        <v>3853.92</v>
      </c>
      <c r="N1005" s="31">
        <v>3.0</v>
      </c>
      <c r="O1005" s="19" t="s">
        <v>107</v>
      </c>
      <c r="P1005" s="18"/>
      <c r="Q1005" s="18"/>
      <c r="R1005" s="23">
        <v>82.0</v>
      </c>
      <c r="S1005" s="23">
        <v>217.0</v>
      </c>
      <c r="T1005" s="23">
        <f t="shared" si="2"/>
        <v>208.32</v>
      </c>
      <c r="U1005" s="23">
        <f t="shared" si="3"/>
        <v>100.45</v>
      </c>
      <c r="V1005" s="23">
        <f t="shared" si="4"/>
        <v>1883.4375</v>
      </c>
      <c r="W1005" s="24">
        <f t="shared" si="5"/>
        <v>2.540487805</v>
      </c>
    </row>
    <row r="1006">
      <c r="A1006" s="15" t="s">
        <v>1084</v>
      </c>
      <c r="B1006" s="15" t="s">
        <v>1085</v>
      </c>
      <c r="C1006" s="15" t="s">
        <v>7524</v>
      </c>
      <c r="D1006" s="15" t="s">
        <v>1086</v>
      </c>
      <c r="E1006" s="17" t="s">
        <v>1087</v>
      </c>
      <c r="F1006" s="18"/>
      <c r="G1006" s="18"/>
      <c r="H1006" s="15" t="s">
        <v>1088</v>
      </c>
      <c r="I1006" s="18"/>
      <c r="J1006" s="19" t="s">
        <v>36</v>
      </c>
      <c r="K1006" s="33"/>
      <c r="L1006" s="19" t="s">
        <v>177</v>
      </c>
      <c r="M1006" s="20">
        <f t="shared" si="1"/>
        <v>27385.92</v>
      </c>
      <c r="N1006" s="31">
        <v>2.0</v>
      </c>
      <c r="O1006" s="19" t="s">
        <v>107</v>
      </c>
      <c r="P1006" s="18"/>
      <c r="Q1006" s="18"/>
      <c r="R1006" s="23">
        <v>530.0</v>
      </c>
      <c r="S1006" s="23">
        <v>1542.0</v>
      </c>
      <c r="T1006" s="23">
        <f t="shared" si="2"/>
        <v>1480.32</v>
      </c>
      <c r="U1006" s="23">
        <f t="shared" si="3"/>
        <v>649.25</v>
      </c>
      <c r="V1006" s="23">
        <f t="shared" si="4"/>
        <v>12173.4375</v>
      </c>
      <c r="W1006" s="24">
        <f t="shared" si="5"/>
        <v>2.793056604</v>
      </c>
    </row>
    <row r="1007">
      <c r="A1007" s="15" t="s">
        <v>369</v>
      </c>
      <c r="B1007" s="15" t="s">
        <v>370</v>
      </c>
      <c r="C1007" s="15" t="s">
        <v>7525</v>
      </c>
      <c r="D1007" s="15" t="s">
        <v>371</v>
      </c>
      <c r="E1007" s="17" t="s">
        <v>372</v>
      </c>
      <c r="F1007" s="18"/>
      <c r="G1007" s="18"/>
      <c r="H1007" s="15" t="s">
        <v>373</v>
      </c>
      <c r="I1007" s="18"/>
      <c r="J1007" s="19" t="s">
        <v>36</v>
      </c>
      <c r="K1007" s="19" t="s">
        <v>60</v>
      </c>
      <c r="L1007" s="19" t="s">
        <v>177</v>
      </c>
      <c r="M1007" s="20">
        <f t="shared" si="1"/>
        <v>42197.76</v>
      </c>
      <c r="N1007" s="31">
        <v>1.0</v>
      </c>
      <c r="O1007" s="19" t="s">
        <v>107</v>
      </c>
      <c r="P1007" s="18"/>
      <c r="Q1007" s="18"/>
      <c r="R1007" s="23">
        <v>260.0</v>
      </c>
      <c r="S1007" s="23">
        <v>2376.0</v>
      </c>
      <c r="T1007" s="23">
        <f t="shared" si="2"/>
        <v>2280.96</v>
      </c>
      <c r="U1007" s="23">
        <f t="shared" si="3"/>
        <v>318.5</v>
      </c>
      <c r="V1007" s="23">
        <f t="shared" si="4"/>
        <v>5971.875</v>
      </c>
      <c r="W1007" s="24">
        <f t="shared" si="5"/>
        <v>8.772923077</v>
      </c>
    </row>
    <row r="1008">
      <c r="A1008" s="15" t="s">
        <v>461</v>
      </c>
      <c r="B1008" s="15" t="s">
        <v>462</v>
      </c>
      <c r="C1008" s="15" t="s">
        <v>7526</v>
      </c>
      <c r="D1008" s="15" t="s">
        <v>463</v>
      </c>
      <c r="E1008" s="17" t="s">
        <v>464</v>
      </c>
      <c r="F1008" s="18"/>
      <c r="G1008" s="18"/>
      <c r="H1008" s="15" t="s">
        <v>465</v>
      </c>
      <c r="I1008" s="15" t="s">
        <v>187</v>
      </c>
      <c r="J1008" s="19" t="s">
        <v>36</v>
      </c>
      <c r="K1008" s="19" t="s">
        <v>60</v>
      </c>
      <c r="L1008" s="19" t="s">
        <v>177</v>
      </c>
      <c r="M1008" s="20">
        <f t="shared" si="1"/>
        <v>38681.28</v>
      </c>
      <c r="N1008" s="31">
        <v>1.0</v>
      </c>
      <c r="O1008" s="19" t="s">
        <v>107</v>
      </c>
      <c r="P1008" s="18"/>
      <c r="Q1008" s="18"/>
      <c r="R1008" s="23">
        <v>250.0</v>
      </c>
      <c r="S1008" s="23">
        <v>2178.0</v>
      </c>
      <c r="T1008" s="23">
        <f t="shared" si="2"/>
        <v>2090.88</v>
      </c>
      <c r="U1008" s="23">
        <f t="shared" si="3"/>
        <v>306.25</v>
      </c>
      <c r="V1008" s="23">
        <f t="shared" si="4"/>
        <v>5742.1875</v>
      </c>
      <c r="W1008" s="24">
        <f t="shared" si="5"/>
        <v>8.36352</v>
      </c>
    </row>
    <row r="1009" hidden="1">
      <c r="A1009" s="15" t="s">
        <v>7527</v>
      </c>
      <c r="B1009" s="15" t="s">
        <v>7528</v>
      </c>
      <c r="C1009" s="15" t="s">
        <v>7529</v>
      </c>
      <c r="D1009" s="18"/>
      <c r="E1009" s="17" t="s">
        <v>7530</v>
      </c>
      <c r="F1009" s="18"/>
      <c r="G1009" s="18"/>
      <c r="H1009" s="15" t="s">
        <v>7531</v>
      </c>
      <c r="I1009" s="18"/>
      <c r="J1009" s="19" t="s">
        <v>36</v>
      </c>
      <c r="K1009" s="33"/>
      <c r="L1009" s="19" t="s">
        <v>38</v>
      </c>
      <c r="M1009" s="20">
        <f t="shared" si="1"/>
        <v>0</v>
      </c>
      <c r="N1009" s="22"/>
      <c r="O1009" s="19" t="s">
        <v>39</v>
      </c>
      <c r="P1009" s="18"/>
      <c r="Q1009" s="18"/>
      <c r="R1009" s="23">
        <v>0.0</v>
      </c>
      <c r="S1009" s="23">
        <v>0.0</v>
      </c>
      <c r="T1009" s="23">
        <f t="shared" si="2"/>
        <v>0</v>
      </c>
      <c r="U1009" s="23">
        <f t="shared" si="3"/>
        <v>0</v>
      </c>
      <c r="V1009" s="23">
        <f t="shared" si="4"/>
        <v>0</v>
      </c>
      <c r="W1009" s="24" t="str">
        <f t="shared" si="5"/>
        <v>#DIV/0!</v>
      </c>
    </row>
    <row r="1010" hidden="1">
      <c r="A1010" s="15" t="s">
        <v>2791</v>
      </c>
      <c r="B1010" s="18"/>
      <c r="C1010" s="15" t="s">
        <v>7532</v>
      </c>
      <c r="D1010" s="18"/>
      <c r="E1010" s="17" t="s">
        <v>2792</v>
      </c>
      <c r="F1010" s="18"/>
      <c r="G1010" s="18"/>
      <c r="H1010" s="15" t="s">
        <v>2793</v>
      </c>
      <c r="I1010" s="15" t="s">
        <v>2794</v>
      </c>
      <c r="J1010" s="19" t="s">
        <v>36</v>
      </c>
      <c r="K1010" s="19" t="s">
        <v>691</v>
      </c>
      <c r="L1010" s="19" t="s">
        <v>38</v>
      </c>
      <c r="M1010" s="20">
        <f t="shared" si="1"/>
        <v>0</v>
      </c>
      <c r="N1010" s="22"/>
      <c r="O1010" s="19" t="s">
        <v>1145</v>
      </c>
      <c r="P1010" s="18"/>
      <c r="Q1010" s="18"/>
      <c r="R1010" s="23">
        <v>0.0</v>
      </c>
      <c r="S1010" s="23">
        <v>0.0</v>
      </c>
      <c r="T1010" s="23">
        <f t="shared" si="2"/>
        <v>0</v>
      </c>
      <c r="U1010" s="23">
        <f t="shared" si="3"/>
        <v>0</v>
      </c>
      <c r="V1010" s="23">
        <f t="shared" si="4"/>
        <v>0</v>
      </c>
      <c r="W1010" s="24" t="str">
        <f t="shared" si="5"/>
        <v>#DIV/0!</v>
      </c>
    </row>
    <row r="1011" hidden="1">
      <c r="A1011" s="15" t="s">
        <v>2795</v>
      </c>
      <c r="B1011" s="18"/>
      <c r="C1011" s="15" t="s">
        <v>7533</v>
      </c>
      <c r="D1011" s="18"/>
      <c r="E1011" s="17" t="s">
        <v>2796</v>
      </c>
      <c r="F1011" s="18"/>
      <c r="G1011" s="18"/>
      <c r="H1011" s="15" t="s">
        <v>2797</v>
      </c>
      <c r="I1011" s="15" t="s">
        <v>2798</v>
      </c>
      <c r="J1011" s="19" t="s">
        <v>36</v>
      </c>
      <c r="K1011" s="19" t="s">
        <v>691</v>
      </c>
      <c r="L1011" s="19" t="s">
        <v>38</v>
      </c>
      <c r="M1011" s="20">
        <f t="shared" si="1"/>
        <v>0</v>
      </c>
      <c r="N1011" s="22"/>
      <c r="O1011" s="19" t="s">
        <v>1145</v>
      </c>
      <c r="P1011" s="18"/>
      <c r="Q1011" s="18"/>
      <c r="R1011" s="23">
        <v>0.0</v>
      </c>
      <c r="S1011" s="23">
        <v>0.0</v>
      </c>
      <c r="T1011" s="23">
        <f t="shared" si="2"/>
        <v>0</v>
      </c>
      <c r="U1011" s="23">
        <f t="shared" si="3"/>
        <v>0</v>
      </c>
      <c r="V1011" s="23">
        <f t="shared" si="4"/>
        <v>0</v>
      </c>
      <c r="W1011" s="24" t="str">
        <f t="shared" si="5"/>
        <v>#DIV/0!</v>
      </c>
    </row>
    <row r="1012" hidden="1">
      <c r="A1012" s="15" t="s">
        <v>2799</v>
      </c>
      <c r="B1012" s="18"/>
      <c r="C1012" s="15" t="s">
        <v>7534</v>
      </c>
      <c r="D1012" s="18"/>
      <c r="E1012" s="17" t="s">
        <v>2800</v>
      </c>
      <c r="F1012" s="18"/>
      <c r="G1012" s="18"/>
      <c r="H1012" s="15" t="s">
        <v>2801</v>
      </c>
      <c r="I1012" s="15" t="s">
        <v>2802</v>
      </c>
      <c r="J1012" s="19" t="s">
        <v>36</v>
      </c>
      <c r="K1012" s="19" t="s">
        <v>691</v>
      </c>
      <c r="L1012" s="19" t="s">
        <v>38</v>
      </c>
      <c r="M1012" s="20">
        <f t="shared" si="1"/>
        <v>0</v>
      </c>
      <c r="N1012" s="22"/>
      <c r="O1012" s="19" t="s">
        <v>1145</v>
      </c>
      <c r="P1012" s="18"/>
      <c r="Q1012" s="18"/>
      <c r="R1012" s="23">
        <v>0.0</v>
      </c>
      <c r="S1012" s="23">
        <v>0.0</v>
      </c>
      <c r="T1012" s="23">
        <f t="shared" si="2"/>
        <v>0</v>
      </c>
      <c r="U1012" s="23">
        <f t="shared" si="3"/>
        <v>0</v>
      </c>
      <c r="V1012" s="23">
        <f t="shared" si="4"/>
        <v>0</v>
      </c>
      <c r="W1012" s="24" t="str">
        <f t="shared" si="5"/>
        <v>#DIV/0!</v>
      </c>
    </row>
    <row r="1013" hidden="1">
      <c r="A1013" s="15" t="s">
        <v>2803</v>
      </c>
      <c r="B1013" s="18"/>
      <c r="C1013" s="15" t="s">
        <v>7535</v>
      </c>
      <c r="D1013" s="18"/>
      <c r="E1013" s="17" t="s">
        <v>2804</v>
      </c>
      <c r="F1013" s="18"/>
      <c r="G1013" s="18"/>
      <c r="H1013" s="15" t="s">
        <v>2805</v>
      </c>
      <c r="I1013" s="15" t="s">
        <v>2806</v>
      </c>
      <c r="J1013" s="19" t="s">
        <v>36</v>
      </c>
      <c r="K1013" s="19" t="s">
        <v>2396</v>
      </c>
      <c r="L1013" s="19" t="s">
        <v>38</v>
      </c>
      <c r="M1013" s="20">
        <f t="shared" si="1"/>
        <v>0</v>
      </c>
      <c r="N1013" s="22"/>
      <c r="O1013" s="19" t="s">
        <v>1145</v>
      </c>
      <c r="P1013" s="18"/>
      <c r="Q1013" s="18"/>
      <c r="R1013" s="23">
        <v>0.0</v>
      </c>
      <c r="S1013" s="23">
        <v>0.0</v>
      </c>
      <c r="T1013" s="23">
        <f t="shared" si="2"/>
        <v>0</v>
      </c>
      <c r="U1013" s="23">
        <f t="shared" si="3"/>
        <v>0</v>
      </c>
      <c r="V1013" s="23">
        <f t="shared" si="4"/>
        <v>0</v>
      </c>
      <c r="W1013" s="24" t="str">
        <f t="shared" si="5"/>
        <v>#DIV/0!</v>
      </c>
    </row>
    <row r="1014" hidden="1">
      <c r="A1014" s="15" t="s">
        <v>2807</v>
      </c>
      <c r="B1014" s="18"/>
      <c r="C1014" s="15" t="s">
        <v>7536</v>
      </c>
      <c r="D1014" s="18"/>
      <c r="E1014" s="17" t="s">
        <v>2804</v>
      </c>
      <c r="F1014" s="18"/>
      <c r="G1014" s="18"/>
      <c r="H1014" s="15" t="s">
        <v>2808</v>
      </c>
      <c r="I1014" s="15" t="s">
        <v>2809</v>
      </c>
      <c r="J1014" s="19" t="s">
        <v>36</v>
      </c>
      <c r="K1014" s="19" t="s">
        <v>2396</v>
      </c>
      <c r="L1014" s="19" t="s">
        <v>38</v>
      </c>
      <c r="M1014" s="20">
        <f t="shared" si="1"/>
        <v>0</v>
      </c>
      <c r="N1014" s="22"/>
      <c r="O1014" s="19" t="s">
        <v>1145</v>
      </c>
      <c r="P1014" s="18"/>
      <c r="Q1014" s="18"/>
      <c r="R1014" s="23">
        <v>0.0</v>
      </c>
      <c r="S1014" s="23">
        <v>0.0</v>
      </c>
      <c r="T1014" s="23">
        <f t="shared" si="2"/>
        <v>0</v>
      </c>
      <c r="U1014" s="23">
        <f t="shared" si="3"/>
        <v>0</v>
      </c>
      <c r="V1014" s="23">
        <f t="shared" si="4"/>
        <v>0</v>
      </c>
      <c r="W1014" s="24" t="str">
        <f t="shared" si="5"/>
        <v>#DIV/0!</v>
      </c>
    </row>
    <row r="1015" hidden="1">
      <c r="A1015" s="15" t="s">
        <v>5064</v>
      </c>
      <c r="B1015" s="18"/>
      <c r="C1015" s="15" t="s">
        <v>7537</v>
      </c>
      <c r="D1015" s="18"/>
      <c r="E1015" s="17" t="s">
        <v>7538</v>
      </c>
      <c r="F1015" s="18"/>
      <c r="G1015" s="18"/>
      <c r="H1015" s="15" t="s">
        <v>7539</v>
      </c>
      <c r="I1015" s="15" t="s">
        <v>5067</v>
      </c>
      <c r="J1015" s="19" t="s">
        <v>59</v>
      </c>
      <c r="K1015" s="19" t="s">
        <v>2396</v>
      </c>
      <c r="L1015" s="19" t="s">
        <v>38</v>
      </c>
      <c r="M1015" s="20">
        <f t="shared" si="1"/>
        <v>0</v>
      </c>
      <c r="N1015" s="22"/>
      <c r="O1015" s="19" t="s">
        <v>1145</v>
      </c>
      <c r="P1015" s="18"/>
      <c r="Q1015" s="18"/>
      <c r="R1015" s="23">
        <v>0.0</v>
      </c>
      <c r="S1015" s="23">
        <v>0.0</v>
      </c>
      <c r="T1015" s="23">
        <f t="shared" si="2"/>
        <v>0</v>
      </c>
      <c r="U1015" s="23">
        <f t="shared" si="3"/>
        <v>0</v>
      </c>
      <c r="V1015" s="23">
        <f t="shared" si="4"/>
        <v>0</v>
      </c>
      <c r="W1015" s="24" t="str">
        <f t="shared" si="5"/>
        <v>#DIV/0!</v>
      </c>
    </row>
    <row r="1016" hidden="1">
      <c r="A1016" s="15" t="s">
        <v>5068</v>
      </c>
      <c r="B1016" s="18"/>
      <c r="C1016" s="15" t="s">
        <v>7540</v>
      </c>
      <c r="D1016" s="18"/>
      <c r="E1016" s="17" t="s">
        <v>7541</v>
      </c>
      <c r="F1016" s="18"/>
      <c r="G1016" s="18"/>
      <c r="H1016" s="15" t="s">
        <v>7542</v>
      </c>
      <c r="I1016" s="15" t="s">
        <v>5070</v>
      </c>
      <c r="J1016" s="19" t="s">
        <v>59</v>
      </c>
      <c r="K1016" s="19" t="s">
        <v>2396</v>
      </c>
      <c r="L1016" s="19" t="s">
        <v>38</v>
      </c>
      <c r="M1016" s="20">
        <f t="shared" si="1"/>
        <v>0</v>
      </c>
      <c r="N1016" s="22"/>
      <c r="O1016" s="19" t="s">
        <v>1145</v>
      </c>
      <c r="P1016" s="18"/>
      <c r="Q1016" s="18"/>
      <c r="R1016" s="23">
        <v>0.0</v>
      </c>
      <c r="S1016" s="23">
        <v>0.0</v>
      </c>
      <c r="T1016" s="23">
        <f t="shared" si="2"/>
        <v>0</v>
      </c>
      <c r="U1016" s="23">
        <f t="shared" si="3"/>
        <v>0</v>
      </c>
      <c r="V1016" s="23">
        <f t="shared" si="4"/>
        <v>0</v>
      </c>
      <c r="W1016" s="24" t="str">
        <f t="shared" si="5"/>
        <v>#DIV/0!</v>
      </c>
    </row>
    <row r="1017" hidden="1">
      <c r="A1017" s="15" t="s">
        <v>2810</v>
      </c>
      <c r="B1017" s="18"/>
      <c r="C1017" s="15" t="s">
        <v>7543</v>
      </c>
      <c r="D1017" s="18"/>
      <c r="E1017" s="17" t="s">
        <v>2812</v>
      </c>
      <c r="F1017" s="18"/>
      <c r="G1017" s="18"/>
      <c r="H1017" s="15" t="s">
        <v>2813</v>
      </c>
      <c r="I1017" s="15" t="s">
        <v>2814</v>
      </c>
      <c r="J1017" s="19" t="s">
        <v>59</v>
      </c>
      <c r="K1017" s="19" t="s">
        <v>2382</v>
      </c>
      <c r="L1017" s="19" t="s">
        <v>38</v>
      </c>
      <c r="M1017" s="20">
        <f t="shared" si="1"/>
        <v>0</v>
      </c>
      <c r="N1017" s="22"/>
      <c r="O1017" s="19" t="s">
        <v>1145</v>
      </c>
      <c r="P1017" s="18"/>
      <c r="Q1017" s="18"/>
      <c r="R1017" s="23">
        <v>0.0</v>
      </c>
      <c r="S1017" s="23">
        <v>0.0</v>
      </c>
      <c r="T1017" s="23">
        <f t="shared" si="2"/>
        <v>0</v>
      </c>
      <c r="U1017" s="23">
        <f t="shared" si="3"/>
        <v>0</v>
      </c>
      <c r="V1017" s="23">
        <f t="shared" si="4"/>
        <v>0</v>
      </c>
      <c r="W1017" s="24" t="str">
        <f t="shared" si="5"/>
        <v>#DIV/0!</v>
      </c>
    </row>
    <row r="1018" hidden="1">
      <c r="A1018" s="15" t="s">
        <v>7544</v>
      </c>
      <c r="B1018" s="15" t="s">
        <v>7545</v>
      </c>
      <c r="C1018" s="15" t="s">
        <v>7546</v>
      </c>
      <c r="D1018" s="18"/>
      <c r="E1018" s="17" t="s">
        <v>7547</v>
      </c>
      <c r="F1018" s="18"/>
      <c r="G1018" s="18"/>
      <c r="H1018" s="15" t="s">
        <v>5463</v>
      </c>
      <c r="I1018" s="18"/>
      <c r="J1018" s="19" t="s">
        <v>59</v>
      </c>
      <c r="K1018" s="33"/>
      <c r="L1018" s="19" t="s">
        <v>38</v>
      </c>
      <c r="M1018" s="20">
        <f t="shared" si="1"/>
        <v>0</v>
      </c>
      <c r="N1018" s="22"/>
      <c r="O1018" s="19" t="s">
        <v>3578</v>
      </c>
      <c r="P1018" s="18"/>
      <c r="Q1018" s="18"/>
      <c r="R1018" s="23">
        <v>0.0</v>
      </c>
      <c r="S1018" s="23">
        <v>0.0</v>
      </c>
      <c r="T1018" s="23">
        <f t="shared" si="2"/>
        <v>0</v>
      </c>
      <c r="U1018" s="23">
        <f t="shared" si="3"/>
        <v>0</v>
      </c>
      <c r="V1018" s="23">
        <f t="shared" si="4"/>
        <v>0</v>
      </c>
      <c r="W1018" s="24" t="str">
        <f t="shared" si="5"/>
        <v>#DIV/0!</v>
      </c>
    </row>
    <row r="1019" hidden="1">
      <c r="A1019" s="15" t="s">
        <v>7548</v>
      </c>
      <c r="B1019" s="15"/>
      <c r="C1019" s="15" t="s">
        <v>7549</v>
      </c>
      <c r="D1019" s="15" t="s">
        <v>7550</v>
      </c>
      <c r="E1019" s="17" t="s">
        <v>7551</v>
      </c>
      <c r="F1019" s="18"/>
      <c r="G1019" s="18"/>
      <c r="H1019" s="15" t="s">
        <v>644</v>
      </c>
      <c r="I1019" s="18"/>
      <c r="J1019" s="19" t="s">
        <v>59</v>
      </c>
      <c r="K1019" s="33"/>
      <c r="L1019" s="19" t="s">
        <v>106</v>
      </c>
      <c r="M1019" s="20">
        <f t="shared" si="1"/>
        <v>0</v>
      </c>
      <c r="N1019" s="22"/>
      <c r="O1019" s="19" t="s">
        <v>39</v>
      </c>
      <c r="P1019" s="18"/>
      <c r="Q1019" s="18"/>
      <c r="R1019" s="23">
        <v>0.0</v>
      </c>
      <c r="S1019" s="23">
        <v>0.0</v>
      </c>
      <c r="T1019" s="23">
        <f t="shared" si="2"/>
        <v>0</v>
      </c>
      <c r="U1019" s="23">
        <f t="shared" si="3"/>
        <v>0</v>
      </c>
      <c r="V1019" s="23">
        <f t="shared" si="4"/>
        <v>0</v>
      </c>
      <c r="W1019" s="24" t="str">
        <f t="shared" si="5"/>
        <v>#DIV/0!</v>
      </c>
    </row>
    <row r="1020" hidden="1">
      <c r="A1020" s="15" t="s">
        <v>5071</v>
      </c>
      <c r="B1020" s="18"/>
      <c r="C1020" s="15" t="s">
        <v>7552</v>
      </c>
      <c r="D1020" s="18"/>
      <c r="E1020" s="17" t="s">
        <v>7553</v>
      </c>
      <c r="F1020" s="18"/>
      <c r="G1020" s="18"/>
      <c r="H1020" s="15" t="s">
        <v>7554</v>
      </c>
      <c r="I1020" s="15" t="s">
        <v>5074</v>
      </c>
      <c r="J1020" s="19" t="s">
        <v>59</v>
      </c>
      <c r="K1020" s="19" t="s">
        <v>2401</v>
      </c>
      <c r="L1020" s="19" t="s">
        <v>38</v>
      </c>
      <c r="M1020" s="20">
        <f t="shared" si="1"/>
        <v>0</v>
      </c>
      <c r="N1020" s="22"/>
      <c r="O1020" s="19" t="s">
        <v>1145</v>
      </c>
      <c r="P1020" s="18"/>
      <c r="Q1020" s="18"/>
      <c r="R1020" s="23">
        <v>0.0</v>
      </c>
      <c r="S1020" s="23">
        <v>0.0</v>
      </c>
      <c r="T1020" s="23">
        <f t="shared" si="2"/>
        <v>0</v>
      </c>
      <c r="U1020" s="23">
        <f t="shared" si="3"/>
        <v>0</v>
      </c>
      <c r="V1020" s="23">
        <f t="shared" si="4"/>
        <v>0</v>
      </c>
      <c r="W1020" s="24" t="str">
        <f t="shared" si="5"/>
        <v>#DIV/0!</v>
      </c>
    </row>
    <row r="1021" hidden="1">
      <c r="A1021" s="15" t="s">
        <v>5075</v>
      </c>
      <c r="B1021" s="18"/>
      <c r="C1021" s="15" t="s">
        <v>7555</v>
      </c>
      <c r="D1021" s="18"/>
      <c r="E1021" s="17" t="s">
        <v>7556</v>
      </c>
      <c r="F1021" s="18"/>
      <c r="G1021" s="18"/>
      <c r="H1021" s="15" t="s">
        <v>7557</v>
      </c>
      <c r="I1021" s="15" t="s">
        <v>5078</v>
      </c>
      <c r="J1021" s="19" t="s">
        <v>59</v>
      </c>
      <c r="K1021" s="19" t="s">
        <v>2401</v>
      </c>
      <c r="L1021" s="19" t="s">
        <v>38</v>
      </c>
      <c r="M1021" s="20">
        <f t="shared" si="1"/>
        <v>0</v>
      </c>
      <c r="N1021" s="22"/>
      <c r="O1021" s="19" t="s">
        <v>1145</v>
      </c>
      <c r="P1021" s="18"/>
      <c r="Q1021" s="18"/>
      <c r="R1021" s="23">
        <v>0.0</v>
      </c>
      <c r="S1021" s="23">
        <v>0.0</v>
      </c>
      <c r="T1021" s="23">
        <f t="shared" si="2"/>
        <v>0</v>
      </c>
      <c r="U1021" s="23">
        <f t="shared" si="3"/>
        <v>0</v>
      </c>
      <c r="V1021" s="23">
        <f t="shared" si="4"/>
        <v>0</v>
      </c>
      <c r="W1021" s="24" t="str">
        <f t="shared" si="5"/>
        <v>#DIV/0!</v>
      </c>
    </row>
    <row r="1022" hidden="1">
      <c r="A1022" s="15" t="s">
        <v>2815</v>
      </c>
      <c r="B1022" s="18"/>
      <c r="C1022" s="15" t="s">
        <v>7558</v>
      </c>
      <c r="D1022" s="18"/>
      <c r="E1022" s="17" t="s">
        <v>2816</v>
      </c>
      <c r="F1022" s="18"/>
      <c r="G1022" s="18"/>
      <c r="H1022" s="15" t="s">
        <v>2817</v>
      </c>
      <c r="I1022" s="15" t="s">
        <v>2818</v>
      </c>
      <c r="J1022" s="19" t="s">
        <v>59</v>
      </c>
      <c r="K1022" s="19" t="s">
        <v>2396</v>
      </c>
      <c r="L1022" s="19" t="s">
        <v>38</v>
      </c>
      <c r="M1022" s="20">
        <f t="shared" si="1"/>
        <v>0</v>
      </c>
      <c r="N1022" s="22"/>
      <c r="O1022" s="19" t="s">
        <v>1145</v>
      </c>
      <c r="P1022" s="18"/>
      <c r="Q1022" s="18"/>
      <c r="R1022" s="23">
        <v>0.0</v>
      </c>
      <c r="S1022" s="23">
        <v>0.0</v>
      </c>
      <c r="T1022" s="23">
        <f t="shared" si="2"/>
        <v>0</v>
      </c>
      <c r="U1022" s="23">
        <f t="shared" si="3"/>
        <v>0</v>
      </c>
      <c r="V1022" s="23">
        <f t="shared" si="4"/>
        <v>0</v>
      </c>
      <c r="W1022" s="24" t="str">
        <f t="shared" si="5"/>
        <v>#DIV/0!</v>
      </c>
    </row>
    <row r="1023" hidden="1">
      <c r="A1023" s="15" t="s">
        <v>5079</v>
      </c>
      <c r="B1023" s="18"/>
      <c r="C1023" s="15" t="s">
        <v>7559</v>
      </c>
      <c r="D1023" s="18"/>
      <c r="E1023" s="17" t="s">
        <v>2820</v>
      </c>
      <c r="F1023" s="18"/>
      <c r="G1023" s="18"/>
      <c r="H1023" s="15" t="s">
        <v>7560</v>
      </c>
      <c r="I1023" s="15" t="s">
        <v>5082</v>
      </c>
      <c r="J1023" s="19" t="s">
        <v>59</v>
      </c>
      <c r="K1023" s="19" t="s">
        <v>2396</v>
      </c>
      <c r="L1023" s="19" t="s">
        <v>38</v>
      </c>
      <c r="M1023" s="20">
        <f t="shared" si="1"/>
        <v>0</v>
      </c>
      <c r="N1023" s="22"/>
      <c r="O1023" s="19" t="s">
        <v>1145</v>
      </c>
      <c r="P1023" s="18"/>
      <c r="Q1023" s="18"/>
      <c r="R1023" s="23">
        <v>0.0</v>
      </c>
      <c r="S1023" s="23">
        <v>0.0</v>
      </c>
      <c r="T1023" s="23">
        <f t="shared" si="2"/>
        <v>0</v>
      </c>
      <c r="U1023" s="23">
        <f t="shared" si="3"/>
        <v>0</v>
      </c>
      <c r="V1023" s="23">
        <f t="shared" si="4"/>
        <v>0</v>
      </c>
      <c r="W1023" s="24" t="str">
        <f t="shared" si="5"/>
        <v>#DIV/0!</v>
      </c>
    </row>
    <row r="1024" hidden="1">
      <c r="A1024" s="15" t="s">
        <v>2819</v>
      </c>
      <c r="B1024" s="18"/>
      <c r="C1024" s="15" t="s">
        <v>7561</v>
      </c>
      <c r="D1024" s="18"/>
      <c r="E1024" s="17" t="s">
        <v>2820</v>
      </c>
      <c r="F1024" s="18"/>
      <c r="G1024" s="18"/>
      <c r="H1024" s="15" t="s">
        <v>2821</v>
      </c>
      <c r="I1024" s="15" t="s">
        <v>2822</v>
      </c>
      <c r="J1024" s="19" t="s">
        <v>59</v>
      </c>
      <c r="K1024" s="19" t="s">
        <v>2396</v>
      </c>
      <c r="L1024" s="19" t="s">
        <v>38</v>
      </c>
      <c r="M1024" s="20">
        <f t="shared" si="1"/>
        <v>0</v>
      </c>
      <c r="N1024" s="22"/>
      <c r="O1024" s="19" t="s">
        <v>1145</v>
      </c>
      <c r="P1024" s="18"/>
      <c r="Q1024" s="18"/>
      <c r="R1024" s="23">
        <v>0.0</v>
      </c>
      <c r="S1024" s="23">
        <v>0.0</v>
      </c>
      <c r="T1024" s="23">
        <f t="shared" si="2"/>
        <v>0</v>
      </c>
      <c r="U1024" s="23">
        <f t="shared" si="3"/>
        <v>0</v>
      </c>
      <c r="V1024" s="23">
        <f t="shared" si="4"/>
        <v>0</v>
      </c>
      <c r="W1024" s="24" t="str">
        <f t="shared" si="5"/>
        <v>#DIV/0!</v>
      </c>
    </row>
    <row r="1025" hidden="1">
      <c r="A1025" s="15" t="s">
        <v>2823</v>
      </c>
      <c r="B1025" s="18"/>
      <c r="C1025" s="15" t="s">
        <v>7562</v>
      </c>
      <c r="D1025" s="18"/>
      <c r="E1025" s="17" t="s">
        <v>2820</v>
      </c>
      <c r="F1025" s="18"/>
      <c r="G1025" s="18"/>
      <c r="H1025" s="15" t="s">
        <v>2824</v>
      </c>
      <c r="I1025" s="15" t="s">
        <v>2825</v>
      </c>
      <c r="J1025" s="19" t="s">
        <v>59</v>
      </c>
      <c r="K1025" s="19" t="s">
        <v>2396</v>
      </c>
      <c r="L1025" s="19" t="s">
        <v>38</v>
      </c>
      <c r="M1025" s="20">
        <f t="shared" si="1"/>
        <v>0</v>
      </c>
      <c r="N1025" s="22"/>
      <c r="O1025" s="19" t="s">
        <v>1145</v>
      </c>
      <c r="P1025" s="18"/>
      <c r="Q1025" s="18"/>
      <c r="R1025" s="23">
        <v>0.0</v>
      </c>
      <c r="S1025" s="23">
        <v>0.0</v>
      </c>
      <c r="T1025" s="23">
        <f t="shared" si="2"/>
        <v>0</v>
      </c>
      <c r="U1025" s="23">
        <f t="shared" si="3"/>
        <v>0</v>
      </c>
      <c r="V1025" s="23">
        <f t="shared" si="4"/>
        <v>0</v>
      </c>
      <c r="W1025" s="24" t="str">
        <f t="shared" si="5"/>
        <v>#DIV/0!</v>
      </c>
    </row>
    <row r="1026" hidden="1">
      <c r="A1026" s="15" t="s">
        <v>5083</v>
      </c>
      <c r="B1026" s="15" t="s">
        <v>5084</v>
      </c>
      <c r="C1026" s="15" t="s">
        <v>7563</v>
      </c>
      <c r="D1026" s="15" t="s">
        <v>5085</v>
      </c>
      <c r="E1026" s="17" t="s">
        <v>5086</v>
      </c>
      <c r="F1026" s="18"/>
      <c r="G1026" s="18"/>
      <c r="H1026" s="15" t="s">
        <v>5087</v>
      </c>
      <c r="I1026" s="18"/>
      <c r="J1026" s="19" t="s">
        <v>59</v>
      </c>
      <c r="K1026" s="19" t="s">
        <v>60</v>
      </c>
      <c r="L1026" s="19" t="s">
        <v>84</v>
      </c>
      <c r="M1026" s="20">
        <f t="shared" si="1"/>
        <v>0</v>
      </c>
      <c r="N1026" s="22"/>
      <c r="O1026" s="19" t="s">
        <v>3578</v>
      </c>
      <c r="P1026" s="18"/>
      <c r="Q1026" s="18"/>
      <c r="R1026" s="23">
        <v>0.0</v>
      </c>
      <c r="S1026" s="23">
        <v>0.0</v>
      </c>
      <c r="T1026" s="23">
        <f t="shared" si="2"/>
        <v>0</v>
      </c>
      <c r="U1026" s="23">
        <f t="shared" si="3"/>
        <v>0</v>
      </c>
      <c r="V1026" s="23">
        <f t="shared" si="4"/>
        <v>0</v>
      </c>
      <c r="W1026" s="24" t="str">
        <f t="shared" si="5"/>
        <v>#DIV/0!</v>
      </c>
    </row>
    <row r="1027" hidden="1">
      <c r="A1027" s="15" t="s">
        <v>2826</v>
      </c>
      <c r="B1027" s="18"/>
      <c r="C1027" s="18"/>
      <c r="D1027" s="18"/>
      <c r="E1027" s="17" t="s">
        <v>2827</v>
      </c>
      <c r="F1027" s="18"/>
      <c r="G1027" s="18"/>
      <c r="H1027" s="18"/>
      <c r="I1027" s="18"/>
      <c r="J1027" s="19" t="s">
        <v>59</v>
      </c>
      <c r="K1027" s="33"/>
      <c r="L1027" s="19" t="s">
        <v>38</v>
      </c>
      <c r="M1027" s="20">
        <f t="shared" si="1"/>
        <v>0</v>
      </c>
      <c r="N1027" s="22"/>
      <c r="O1027" s="19" t="s">
        <v>1145</v>
      </c>
      <c r="P1027" s="18"/>
      <c r="Q1027" s="18"/>
      <c r="R1027" s="23">
        <v>0.0</v>
      </c>
      <c r="S1027" s="23">
        <v>0.0</v>
      </c>
      <c r="T1027" s="23">
        <f t="shared" si="2"/>
        <v>0</v>
      </c>
      <c r="U1027" s="23">
        <f t="shared" si="3"/>
        <v>0</v>
      </c>
      <c r="V1027" s="23">
        <f t="shared" si="4"/>
        <v>0</v>
      </c>
      <c r="W1027" s="24" t="str">
        <f t="shared" si="5"/>
        <v>#DIV/0!</v>
      </c>
    </row>
    <row r="1028" hidden="1">
      <c r="A1028" s="15" t="s">
        <v>2828</v>
      </c>
      <c r="B1028" s="18"/>
      <c r="C1028" s="18"/>
      <c r="D1028" s="18"/>
      <c r="E1028" s="17" t="s">
        <v>2827</v>
      </c>
      <c r="F1028" s="18"/>
      <c r="G1028" s="18"/>
      <c r="H1028" s="18"/>
      <c r="I1028" s="18"/>
      <c r="J1028" s="19" t="s">
        <v>59</v>
      </c>
      <c r="K1028" s="33"/>
      <c r="L1028" s="19" t="s">
        <v>38</v>
      </c>
      <c r="M1028" s="20">
        <f t="shared" si="1"/>
        <v>0</v>
      </c>
      <c r="N1028" s="22"/>
      <c r="O1028" s="19" t="s">
        <v>1145</v>
      </c>
      <c r="P1028" s="18"/>
      <c r="Q1028" s="18"/>
      <c r="R1028" s="23">
        <v>0.0</v>
      </c>
      <c r="S1028" s="23">
        <v>0.0</v>
      </c>
      <c r="T1028" s="23">
        <f t="shared" si="2"/>
        <v>0</v>
      </c>
      <c r="U1028" s="23">
        <f t="shared" si="3"/>
        <v>0</v>
      </c>
      <c r="V1028" s="23">
        <f t="shared" si="4"/>
        <v>0</v>
      </c>
      <c r="W1028" s="24" t="str">
        <f t="shared" si="5"/>
        <v>#DIV/0!</v>
      </c>
    </row>
    <row r="1029" hidden="1">
      <c r="A1029" s="15" t="s">
        <v>90</v>
      </c>
      <c r="B1029" s="15" t="s">
        <v>91</v>
      </c>
      <c r="C1029" s="15" t="s">
        <v>7564</v>
      </c>
      <c r="D1029" s="15" t="s">
        <v>92</v>
      </c>
      <c r="E1029" s="17" t="s">
        <v>93</v>
      </c>
      <c r="F1029" s="15" t="s">
        <v>66</v>
      </c>
      <c r="G1029" s="15" t="s">
        <v>66</v>
      </c>
      <c r="H1029" s="15" t="s">
        <v>67</v>
      </c>
      <c r="I1029" s="18"/>
      <c r="J1029" s="19" t="s">
        <v>59</v>
      </c>
      <c r="K1029" s="19" t="s">
        <v>60</v>
      </c>
      <c r="L1029" s="19" t="s">
        <v>38</v>
      </c>
      <c r="M1029" s="20">
        <f t="shared" si="1"/>
        <v>8968.8</v>
      </c>
      <c r="N1029" s="31">
        <v>1.0</v>
      </c>
      <c r="O1029" s="19" t="s">
        <v>61</v>
      </c>
      <c r="P1029" s="18"/>
      <c r="Q1029" s="18"/>
      <c r="R1029" s="23">
        <v>160.0</v>
      </c>
      <c r="S1029" s="32">
        <v>505.0</v>
      </c>
      <c r="T1029" s="23">
        <f t="shared" si="2"/>
        <v>484.8</v>
      </c>
      <c r="U1029" s="23">
        <f t="shared" si="3"/>
        <v>196</v>
      </c>
      <c r="V1029" s="23">
        <f t="shared" si="4"/>
        <v>3675</v>
      </c>
      <c r="W1029" s="24">
        <f t="shared" si="5"/>
        <v>3.03</v>
      </c>
    </row>
    <row r="1030" hidden="1">
      <c r="A1030" s="15" t="s">
        <v>62</v>
      </c>
      <c r="B1030" s="15" t="s">
        <v>63</v>
      </c>
      <c r="C1030" s="15" t="s">
        <v>7564</v>
      </c>
      <c r="D1030" s="15" t="s">
        <v>64</v>
      </c>
      <c r="E1030" s="17" t="s">
        <v>65</v>
      </c>
      <c r="F1030" s="18"/>
      <c r="G1030" s="15" t="s">
        <v>66</v>
      </c>
      <c r="H1030" s="15" t="s">
        <v>94</v>
      </c>
      <c r="I1030" s="18"/>
      <c r="J1030" s="19" t="s">
        <v>59</v>
      </c>
      <c r="K1030" s="19" t="s">
        <v>60</v>
      </c>
      <c r="L1030" s="19" t="s">
        <v>38</v>
      </c>
      <c r="M1030" s="20">
        <f t="shared" si="1"/>
        <v>7548</v>
      </c>
      <c r="N1030" s="31">
        <v>1.0</v>
      </c>
      <c r="O1030" s="19" t="s">
        <v>61</v>
      </c>
      <c r="P1030" s="18"/>
      <c r="Q1030" s="18"/>
      <c r="R1030" s="23">
        <v>110.0</v>
      </c>
      <c r="S1030" s="23">
        <v>425.0</v>
      </c>
      <c r="T1030" s="23">
        <f t="shared" si="2"/>
        <v>408</v>
      </c>
      <c r="U1030" s="23">
        <f t="shared" si="3"/>
        <v>134.75</v>
      </c>
      <c r="V1030" s="23">
        <f t="shared" si="4"/>
        <v>2526.5625</v>
      </c>
      <c r="W1030" s="24">
        <f t="shared" si="5"/>
        <v>3.709090909</v>
      </c>
    </row>
    <row r="1031" hidden="1">
      <c r="A1031" s="15" t="s">
        <v>95</v>
      </c>
      <c r="B1031" s="15" t="s">
        <v>96</v>
      </c>
      <c r="C1031" s="15" t="s">
        <v>7565</v>
      </c>
      <c r="D1031" s="15" t="s">
        <v>97</v>
      </c>
      <c r="E1031" s="17" t="s">
        <v>98</v>
      </c>
      <c r="F1031" s="18"/>
      <c r="G1031" s="15" t="s">
        <v>73</v>
      </c>
      <c r="H1031" s="15" t="s">
        <v>74</v>
      </c>
      <c r="I1031" s="18"/>
      <c r="J1031" s="19" t="s">
        <v>59</v>
      </c>
      <c r="K1031" s="19" t="s">
        <v>60</v>
      </c>
      <c r="L1031" s="19" t="s">
        <v>38</v>
      </c>
      <c r="M1031" s="20">
        <f t="shared" si="1"/>
        <v>8968.8</v>
      </c>
      <c r="N1031" s="31">
        <v>1.0</v>
      </c>
      <c r="O1031" s="19" t="s">
        <v>61</v>
      </c>
      <c r="P1031" s="18"/>
      <c r="Q1031" s="18"/>
      <c r="R1031" s="23">
        <v>180.0</v>
      </c>
      <c r="S1031" s="23">
        <v>505.0</v>
      </c>
      <c r="T1031" s="23">
        <f t="shared" si="2"/>
        <v>484.8</v>
      </c>
      <c r="U1031" s="23">
        <f t="shared" si="3"/>
        <v>220.5</v>
      </c>
      <c r="V1031" s="23">
        <f t="shared" si="4"/>
        <v>4134.375</v>
      </c>
      <c r="W1031" s="24">
        <f t="shared" si="5"/>
        <v>2.693333333</v>
      </c>
    </row>
    <row r="1032" hidden="1">
      <c r="A1032" s="15" t="s">
        <v>69</v>
      </c>
      <c r="B1032" s="15" t="s">
        <v>70</v>
      </c>
      <c r="C1032" s="18"/>
      <c r="D1032" s="15" t="s">
        <v>71</v>
      </c>
      <c r="E1032" s="17" t="s">
        <v>72</v>
      </c>
      <c r="F1032" s="18"/>
      <c r="G1032" s="15" t="s">
        <v>73</v>
      </c>
      <c r="H1032" s="15" t="s">
        <v>99</v>
      </c>
      <c r="I1032" s="18"/>
      <c r="J1032" s="19" t="s">
        <v>59</v>
      </c>
      <c r="K1032" s="19" t="s">
        <v>60</v>
      </c>
      <c r="L1032" s="19" t="s">
        <v>38</v>
      </c>
      <c r="M1032" s="20">
        <f t="shared" si="1"/>
        <v>7992</v>
      </c>
      <c r="N1032" s="31">
        <v>1.0</v>
      </c>
      <c r="O1032" s="19" t="s">
        <v>61</v>
      </c>
      <c r="P1032" s="18"/>
      <c r="Q1032" s="18"/>
      <c r="R1032" s="23">
        <v>120.0</v>
      </c>
      <c r="S1032" s="23">
        <v>450.0</v>
      </c>
      <c r="T1032" s="23">
        <f t="shared" si="2"/>
        <v>432</v>
      </c>
      <c r="U1032" s="23">
        <f t="shared" si="3"/>
        <v>147</v>
      </c>
      <c r="V1032" s="23">
        <f t="shared" si="4"/>
        <v>2756.25</v>
      </c>
      <c r="W1032" s="24">
        <f t="shared" si="5"/>
        <v>3.6</v>
      </c>
    </row>
    <row r="1033" hidden="1">
      <c r="A1033" s="15" t="s">
        <v>85</v>
      </c>
      <c r="B1033" s="15" t="s">
        <v>86</v>
      </c>
      <c r="C1033" s="15" t="s">
        <v>7566</v>
      </c>
      <c r="D1033" s="15" t="s">
        <v>87</v>
      </c>
      <c r="E1033" s="17" t="s">
        <v>88</v>
      </c>
      <c r="F1033" s="18"/>
      <c r="G1033" s="15" t="s">
        <v>57</v>
      </c>
      <c r="H1033" s="15" t="s">
        <v>58</v>
      </c>
      <c r="I1033" s="18"/>
      <c r="J1033" s="19" t="s">
        <v>59</v>
      </c>
      <c r="K1033" s="19" t="s">
        <v>60</v>
      </c>
      <c r="L1033" s="19" t="s">
        <v>38</v>
      </c>
      <c r="M1033" s="20">
        <f t="shared" si="1"/>
        <v>10727.04</v>
      </c>
      <c r="N1033" s="31">
        <v>1.0</v>
      </c>
      <c r="O1033" s="19" t="s">
        <v>61</v>
      </c>
      <c r="P1033" s="18"/>
      <c r="Q1033" s="18"/>
      <c r="R1033" s="23">
        <v>180.0</v>
      </c>
      <c r="S1033" s="23">
        <v>604.0</v>
      </c>
      <c r="T1033" s="23">
        <f t="shared" si="2"/>
        <v>579.84</v>
      </c>
      <c r="U1033" s="23">
        <f t="shared" si="3"/>
        <v>220.5</v>
      </c>
      <c r="V1033" s="23">
        <f t="shared" si="4"/>
        <v>4134.375</v>
      </c>
      <c r="W1033" s="24">
        <f t="shared" si="5"/>
        <v>3.221333333</v>
      </c>
    </row>
    <row r="1034" hidden="1">
      <c r="A1034" s="15" t="s">
        <v>53</v>
      </c>
      <c r="B1034" s="15" t="s">
        <v>54</v>
      </c>
      <c r="C1034" s="18"/>
      <c r="D1034" s="15" t="s">
        <v>55</v>
      </c>
      <c r="E1034" s="17" t="s">
        <v>56</v>
      </c>
      <c r="F1034" s="18"/>
      <c r="G1034" s="15" t="s">
        <v>57</v>
      </c>
      <c r="H1034" s="15" t="s">
        <v>89</v>
      </c>
      <c r="I1034" s="18"/>
      <c r="J1034" s="19" t="s">
        <v>59</v>
      </c>
      <c r="K1034" s="19" t="s">
        <v>60</v>
      </c>
      <c r="L1034" s="19" t="s">
        <v>38</v>
      </c>
      <c r="M1034" s="20">
        <f t="shared" si="1"/>
        <v>8880</v>
      </c>
      <c r="N1034" s="31">
        <v>1.0</v>
      </c>
      <c r="O1034" s="19" t="s">
        <v>61</v>
      </c>
      <c r="P1034" s="18"/>
      <c r="Q1034" s="18"/>
      <c r="R1034" s="23">
        <v>120.0</v>
      </c>
      <c r="S1034" s="23">
        <v>500.0</v>
      </c>
      <c r="T1034" s="23">
        <f t="shared" si="2"/>
        <v>480</v>
      </c>
      <c r="U1034" s="23">
        <f t="shared" si="3"/>
        <v>147</v>
      </c>
      <c r="V1034" s="23">
        <f t="shared" si="4"/>
        <v>2756.25</v>
      </c>
      <c r="W1034" s="24">
        <f t="shared" si="5"/>
        <v>4</v>
      </c>
    </row>
    <row r="1035" hidden="1">
      <c r="A1035" s="15" t="s">
        <v>7567</v>
      </c>
      <c r="B1035" s="18"/>
      <c r="C1035" s="15" t="s">
        <v>7568</v>
      </c>
      <c r="D1035" s="18"/>
      <c r="E1035" s="17" t="s">
        <v>7569</v>
      </c>
      <c r="F1035" s="18"/>
      <c r="G1035" s="18"/>
      <c r="H1035" s="15" t="s">
        <v>7570</v>
      </c>
      <c r="I1035" s="15" t="s">
        <v>367</v>
      </c>
      <c r="J1035" s="19" t="s">
        <v>59</v>
      </c>
      <c r="K1035" s="19" t="s">
        <v>2401</v>
      </c>
      <c r="L1035" s="19" t="s">
        <v>38</v>
      </c>
      <c r="M1035" s="20">
        <f t="shared" si="1"/>
        <v>0</v>
      </c>
      <c r="N1035" s="22"/>
      <c r="O1035" s="19" t="s">
        <v>39</v>
      </c>
      <c r="P1035" s="18"/>
      <c r="Q1035" s="18"/>
      <c r="R1035" s="23">
        <v>0.0</v>
      </c>
      <c r="S1035" s="23">
        <v>0.0</v>
      </c>
      <c r="T1035" s="23">
        <f t="shared" si="2"/>
        <v>0</v>
      </c>
      <c r="U1035" s="23">
        <f t="shared" si="3"/>
        <v>0</v>
      </c>
      <c r="V1035" s="23">
        <f t="shared" si="4"/>
        <v>0</v>
      </c>
      <c r="W1035" s="24" t="str">
        <f t="shared" si="5"/>
        <v>#DIV/0!</v>
      </c>
    </row>
    <row r="1036" hidden="1">
      <c r="A1036" s="15" t="s">
        <v>5088</v>
      </c>
      <c r="B1036" s="15" t="s">
        <v>5089</v>
      </c>
      <c r="C1036" s="15" t="s">
        <v>7571</v>
      </c>
      <c r="D1036" s="42" t="s">
        <v>5090</v>
      </c>
      <c r="E1036" s="17" t="s">
        <v>7572</v>
      </c>
      <c r="F1036" s="18"/>
      <c r="G1036" s="18"/>
      <c r="H1036" s="15" t="s">
        <v>5092</v>
      </c>
      <c r="I1036" s="15"/>
      <c r="J1036" s="19" t="s">
        <v>59</v>
      </c>
      <c r="K1036" s="19" t="s">
        <v>2382</v>
      </c>
      <c r="L1036" s="19" t="s">
        <v>38</v>
      </c>
      <c r="M1036" s="20">
        <f t="shared" si="1"/>
        <v>0</v>
      </c>
      <c r="N1036" s="22"/>
      <c r="O1036" s="19" t="s">
        <v>3578</v>
      </c>
      <c r="P1036" s="18"/>
      <c r="Q1036" s="18"/>
      <c r="R1036" s="23">
        <v>0.0</v>
      </c>
      <c r="S1036" s="23">
        <v>0.0</v>
      </c>
      <c r="T1036" s="23">
        <f t="shared" si="2"/>
        <v>0</v>
      </c>
      <c r="U1036" s="23">
        <f t="shared" si="3"/>
        <v>0</v>
      </c>
      <c r="V1036" s="23">
        <f t="shared" si="4"/>
        <v>0</v>
      </c>
      <c r="W1036" s="24" t="str">
        <f t="shared" si="5"/>
        <v>#DIV/0!</v>
      </c>
    </row>
    <row r="1037" hidden="1">
      <c r="A1037" s="15" t="s">
        <v>2829</v>
      </c>
      <c r="B1037" s="18"/>
      <c r="C1037" s="15" t="s">
        <v>7573</v>
      </c>
      <c r="D1037" s="18"/>
      <c r="E1037" s="17" t="s">
        <v>2830</v>
      </c>
      <c r="F1037" s="18"/>
      <c r="G1037" s="18"/>
      <c r="H1037" s="15" t="s">
        <v>2831</v>
      </c>
      <c r="I1037" s="15" t="s">
        <v>394</v>
      </c>
      <c r="J1037" s="19" t="s">
        <v>59</v>
      </c>
      <c r="K1037" s="19" t="s">
        <v>2382</v>
      </c>
      <c r="L1037" s="19" t="s">
        <v>38</v>
      </c>
      <c r="M1037" s="20">
        <f t="shared" si="1"/>
        <v>0</v>
      </c>
      <c r="N1037" s="22"/>
      <c r="O1037" s="19" t="s">
        <v>1145</v>
      </c>
      <c r="P1037" s="18"/>
      <c r="Q1037" s="18"/>
      <c r="R1037" s="23">
        <v>0.0</v>
      </c>
      <c r="S1037" s="23">
        <v>0.0</v>
      </c>
      <c r="T1037" s="23">
        <f t="shared" si="2"/>
        <v>0</v>
      </c>
      <c r="U1037" s="23">
        <f t="shared" si="3"/>
        <v>0</v>
      </c>
      <c r="V1037" s="23">
        <f t="shared" si="4"/>
        <v>0</v>
      </c>
      <c r="W1037" s="24" t="str">
        <f t="shared" si="5"/>
        <v>#DIV/0!</v>
      </c>
    </row>
    <row r="1038" hidden="1">
      <c r="A1038" s="15" t="s">
        <v>5093</v>
      </c>
      <c r="B1038" s="15" t="s">
        <v>5094</v>
      </c>
      <c r="C1038" s="15" t="s">
        <v>7574</v>
      </c>
      <c r="D1038" s="15" t="s">
        <v>5095</v>
      </c>
      <c r="E1038" s="17" t="s">
        <v>5096</v>
      </c>
      <c r="F1038" s="18"/>
      <c r="G1038" s="18"/>
      <c r="H1038" s="15" t="s">
        <v>6415</v>
      </c>
      <c r="I1038" s="18"/>
      <c r="J1038" s="19" t="s">
        <v>59</v>
      </c>
      <c r="K1038" s="33"/>
      <c r="L1038" s="19" t="s">
        <v>38</v>
      </c>
      <c r="M1038" s="20">
        <f t="shared" si="1"/>
        <v>0</v>
      </c>
      <c r="N1038" s="22"/>
      <c r="O1038" s="19" t="s">
        <v>3578</v>
      </c>
      <c r="P1038" s="18"/>
      <c r="Q1038" s="18"/>
      <c r="R1038" s="23">
        <v>0.0</v>
      </c>
      <c r="S1038" s="23">
        <v>0.0</v>
      </c>
      <c r="T1038" s="23">
        <f t="shared" si="2"/>
        <v>0</v>
      </c>
      <c r="U1038" s="23">
        <f t="shared" si="3"/>
        <v>0</v>
      </c>
      <c r="V1038" s="23">
        <f t="shared" si="4"/>
        <v>0</v>
      </c>
      <c r="W1038" s="24" t="str">
        <f t="shared" si="5"/>
        <v>#DIV/0!</v>
      </c>
    </row>
    <row r="1039">
      <c r="A1039" s="15" t="s">
        <v>363</v>
      </c>
      <c r="B1039" s="15" t="s">
        <v>364</v>
      </c>
      <c r="C1039" s="15" t="s">
        <v>6030</v>
      </c>
      <c r="D1039" s="15" t="s">
        <v>365</v>
      </c>
      <c r="E1039" s="17" t="s">
        <v>366</v>
      </c>
      <c r="F1039" s="18"/>
      <c r="G1039" s="18"/>
      <c r="H1039" s="15" t="s">
        <v>367</v>
      </c>
      <c r="I1039" s="18"/>
      <c r="J1039" s="19" t="s">
        <v>59</v>
      </c>
      <c r="K1039" s="19" t="s">
        <v>60</v>
      </c>
      <c r="L1039" s="19" t="s">
        <v>38</v>
      </c>
      <c r="M1039" s="20">
        <f t="shared" si="1"/>
        <v>745.92</v>
      </c>
      <c r="N1039" s="31">
        <v>3.0</v>
      </c>
      <c r="O1039" s="19" t="s">
        <v>107</v>
      </c>
      <c r="P1039" s="18"/>
      <c r="Q1039" s="18"/>
      <c r="R1039" s="23">
        <v>5.5</v>
      </c>
      <c r="S1039" s="23">
        <v>42.0</v>
      </c>
      <c r="T1039" s="23">
        <f t="shared" si="2"/>
        <v>40.32</v>
      </c>
      <c r="U1039" s="23">
        <f t="shared" si="3"/>
        <v>6.7375</v>
      </c>
      <c r="V1039" s="23">
        <f t="shared" si="4"/>
        <v>126.328125</v>
      </c>
      <c r="W1039" s="24">
        <f t="shared" si="5"/>
        <v>7.330909091</v>
      </c>
    </row>
    <row r="1040" hidden="1">
      <c r="A1040" s="15" t="s">
        <v>5098</v>
      </c>
      <c r="B1040" s="15" t="s">
        <v>5099</v>
      </c>
      <c r="C1040" s="15" t="s">
        <v>7575</v>
      </c>
      <c r="D1040" s="15" t="s">
        <v>5100</v>
      </c>
      <c r="E1040" s="17" t="s">
        <v>5101</v>
      </c>
      <c r="F1040" s="18"/>
      <c r="G1040" s="18"/>
      <c r="H1040" s="15" t="s">
        <v>5102</v>
      </c>
      <c r="I1040" s="18"/>
      <c r="J1040" s="19" t="s">
        <v>59</v>
      </c>
      <c r="K1040" s="33"/>
      <c r="L1040" s="19" t="s">
        <v>38</v>
      </c>
      <c r="M1040" s="20">
        <f t="shared" si="1"/>
        <v>0</v>
      </c>
      <c r="N1040" s="22"/>
      <c r="O1040" s="19" t="s">
        <v>3578</v>
      </c>
      <c r="P1040" s="18"/>
      <c r="Q1040" s="18"/>
      <c r="R1040" s="23">
        <v>0.0</v>
      </c>
      <c r="S1040" s="23">
        <v>0.0</v>
      </c>
      <c r="T1040" s="23">
        <f t="shared" si="2"/>
        <v>0</v>
      </c>
      <c r="U1040" s="23">
        <f t="shared" si="3"/>
        <v>0</v>
      </c>
      <c r="V1040" s="23">
        <f t="shared" si="4"/>
        <v>0</v>
      </c>
      <c r="W1040" s="24" t="str">
        <f t="shared" si="5"/>
        <v>#DIV/0!</v>
      </c>
    </row>
    <row r="1041" hidden="1">
      <c r="A1041" s="15" t="s">
        <v>5103</v>
      </c>
      <c r="B1041" s="15" t="s">
        <v>5104</v>
      </c>
      <c r="C1041" s="15" t="s">
        <v>7576</v>
      </c>
      <c r="D1041" s="15" t="s">
        <v>5105</v>
      </c>
      <c r="E1041" s="17" t="s">
        <v>5106</v>
      </c>
      <c r="F1041" s="18"/>
      <c r="G1041" s="18"/>
      <c r="H1041" s="15" t="s">
        <v>5107</v>
      </c>
      <c r="I1041" s="18"/>
      <c r="J1041" s="19" t="s">
        <v>59</v>
      </c>
      <c r="K1041" s="33"/>
      <c r="L1041" s="19" t="s">
        <v>135</v>
      </c>
      <c r="M1041" s="20">
        <f t="shared" si="1"/>
        <v>0</v>
      </c>
      <c r="N1041" s="22"/>
      <c r="O1041" s="19" t="s">
        <v>3578</v>
      </c>
      <c r="P1041" s="18"/>
      <c r="Q1041" s="18"/>
      <c r="R1041" s="23">
        <v>0.0</v>
      </c>
      <c r="S1041" s="23">
        <v>0.0</v>
      </c>
      <c r="T1041" s="23">
        <f t="shared" si="2"/>
        <v>0</v>
      </c>
      <c r="U1041" s="23">
        <f t="shared" si="3"/>
        <v>0</v>
      </c>
      <c r="V1041" s="23">
        <f t="shared" si="4"/>
        <v>0</v>
      </c>
      <c r="W1041" s="24" t="str">
        <f t="shared" si="5"/>
        <v>#DIV/0!</v>
      </c>
    </row>
    <row r="1042" hidden="1">
      <c r="A1042" s="15" t="s">
        <v>5109</v>
      </c>
      <c r="B1042" s="15" t="s">
        <v>5110</v>
      </c>
      <c r="C1042" s="15" t="s">
        <v>7577</v>
      </c>
      <c r="D1042" s="15" t="s">
        <v>5111</v>
      </c>
      <c r="E1042" s="17" t="s">
        <v>5112</v>
      </c>
      <c r="F1042" s="18"/>
      <c r="G1042" s="18"/>
      <c r="H1042" s="15" t="s">
        <v>5113</v>
      </c>
      <c r="I1042" s="18"/>
      <c r="J1042" s="19" t="s">
        <v>59</v>
      </c>
      <c r="K1042" s="19" t="s">
        <v>60</v>
      </c>
      <c r="L1042" s="19" t="s">
        <v>177</v>
      </c>
      <c r="M1042" s="20">
        <f t="shared" si="1"/>
        <v>0</v>
      </c>
      <c r="N1042" s="22"/>
      <c r="O1042" s="19" t="s">
        <v>3578</v>
      </c>
      <c r="P1042" s="18"/>
      <c r="Q1042" s="18"/>
      <c r="R1042" s="23">
        <v>0.0</v>
      </c>
      <c r="S1042" s="23">
        <v>0.0</v>
      </c>
      <c r="T1042" s="23">
        <f t="shared" si="2"/>
        <v>0</v>
      </c>
      <c r="U1042" s="23">
        <f t="shared" si="3"/>
        <v>0</v>
      </c>
      <c r="V1042" s="23">
        <f t="shared" si="4"/>
        <v>0</v>
      </c>
      <c r="W1042" s="24" t="str">
        <f t="shared" si="5"/>
        <v>#DIV/0!</v>
      </c>
    </row>
    <row r="1043">
      <c r="A1043" s="15" t="s">
        <v>668</v>
      </c>
      <c r="B1043" s="15" t="s">
        <v>669</v>
      </c>
      <c r="C1043" s="15" t="s">
        <v>6031</v>
      </c>
      <c r="D1043" s="15" t="s">
        <v>670</v>
      </c>
      <c r="E1043" s="17" t="s">
        <v>671</v>
      </c>
      <c r="F1043" s="18"/>
      <c r="G1043" s="18"/>
      <c r="H1043" s="15" t="s">
        <v>672</v>
      </c>
      <c r="I1043" s="18"/>
      <c r="J1043" s="19" t="s">
        <v>59</v>
      </c>
      <c r="K1043" s="19" t="s">
        <v>200</v>
      </c>
      <c r="L1043" s="19" t="s">
        <v>38</v>
      </c>
      <c r="M1043" s="20">
        <f t="shared" si="1"/>
        <v>1456.32</v>
      </c>
      <c r="N1043" s="31">
        <v>5.0</v>
      </c>
      <c r="O1043" s="19" t="s">
        <v>107</v>
      </c>
      <c r="P1043" s="18"/>
      <c r="Q1043" s="18"/>
      <c r="R1043" s="23">
        <v>16.0</v>
      </c>
      <c r="S1043" s="23">
        <v>82.0</v>
      </c>
      <c r="T1043" s="23">
        <f t="shared" si="2"/>
        <v>78.72</v>
      </c>
      <c r="U1043" s="23">
        <f t="shared" si="3"/>
        <v>19.6</v>
      </c>
      <c r="V1043" s="23">
        <f t="shared" si="4"/>
        <v>367.5</v>
      </c>
      <c r="W1043" s="24">
        <f t="shared" si="5"/>
        <v>4.92</v>
      </c>
    </row>
    <row r="1044">
      <c r="A1044" s="15" t="s">
        <v>871</v>
      </c>
      <c r="B1044" s="15" t="s">
        <v>872</v>
      </c>
      <c r="C1044" s="15" t="s">
        <v>6032</v>
      </c>
      <c r="D1044" s="15" t="s">
        <v>873</v>
      </c>
      <c r="E1044" s="17" t="s">
        <v>874</v>
      </c>
      <c r="F1044" s="18"/>
      <c r="G1044" s="15" t="s">
        <v>875</v>
      </c>
      <c r="H1044" s="15" t="s">
        <v>876</v>
      </c>
      <c r="I1044" s="18"/>
      <c r="J1044" s="19" t="s">
        <v>59</v>
      </c>
      <c r="K1044" s="19" t="s">
        <v>200</v>
      </c>
      <c r="L1044" s="19" t="s">
        <v>292</v>
      </c>
      <c r="M1044" s="20">
        <f t="shared" si="1"/>
        <v>1243.2</v>
      </c>
      <c r="N1044" s="31">
        <v>5.0</v>
      </c>
      <c r="O1044" s="19" t="s">
        <v>107</v>
      </c>
      <c r="P1044" s="18"/>
      <c r="Q1044" s="18"/>
      <c r="R1044" s="23">
        <v>17.0</v>
      </c>
      <c r="S1044" s="23">
        <v>70.0</v>
      </c>
      <c r="T1044" s="23">
        <f t="shared" si="2"/>
        <v>67.2</v>
      </c>
      <c r="U1044" s="23">
        <f t="shared" si="3"/>
        <v>20.825</v>
      </c>
      <c r="V1044" s="23">
        <f t="shared" si="4"/>
        <v>390.46875</v>
      </c>
      <c r="W1044" s="24">
        <f t="shared" si="5"/>
        <v>3.952941176</v>
      </c>
    </row>
    <row r="1045" hidden="1">
      <c r="A1045" s="15" t="s">
        <v>2832</v>
      </c>
      <c r="B1045" s="18"/>
      <c r="C1045" s="15" t="s">
        <v>7578</v>
      </c>
      <c r="D1045" s="18"/>
      <c r="E1045" s="17" t="s">
        <v>2833</v>
      </c>
      <c r="F1045" s="18"/>
      <c r="G1045" s="18"/>
      <c r="H1045" s="15" t="s">
        <v>2834</v>
      </c>
      <c r="I1045" s="15" t="s">
        <v>2835</v>
      </c>
      <c r="J1045" s="19" t="s">
        <v>59</v>
      </c>
      <c r="K1045" s="19" t="s">
        <v>691</v>
      </c>
      <c r="L1045" s="19" t="s">
        <v>38</v>
      </c>
      <c r="M1045" s="20">
        <f t="shared" si="1"/>
        <v>0</v>
      </c>
      <c r="N1045" s="22"/>
      <c r="O1045" s="19" t="s">
        <v>1145</v>
      </c>
      <c r="P1045" s="18"/>
      <c r="Q1045" s="18"/>
      <c r="R1045" s="23">
        <v>0.0</v>
      </c>
      <c r="S1045" s="23">
        <v>0.0</v>
      </c>
      <c r="T1045" s="23">
        <f t="shared" si="2"/>
        <v>0</v>
      </c>
      <c r="U1045" s="23">
        <f t="shared" si="3"/>
        <v>0</v>
      </c>
      <c r="V1045" s="23">
        <f t="shared" si="4"/>
        <v>0</v>
      </c>
      <c r="W1045" s="24" t="str">
        <f t="shared" si="5"/>
        <v>#DIV/0!</v>
      </c>
    </row>
    <row r="1046" hidden="1">
      <c r="A1046" s="15" t="s">
        <v>2836</v>
      </c>
      <c r="B1046" s="18"/>
      <c r="C1046" s="15" t="s">
        <v>7579</v>
      </c>
      <c r="D1046" s="18"/>
      <c r="E1046" s="17" t="s">
        <v>2833</v>
      </c>
      <c r="F1046" s="18"/>
      <c r="G1046" s="18"/>
      <c r="H1046" s="15" t="s">
        <v>2837</v>
      </c>
      <c r="I1046" s="15" t="s">
        <v>2838</v>
      </c>
      <c r="J1046" s="19" t="s">
        <v>59</v>
      </c>
      <c r="K1046" s="19" t="s">
        <v>691</v>
      </c>
      <c r="L1046" s="19" t="s">
        <v>38</v>
      </c>
      <c r="M1046" s="20">
        <f t="shared" si="1"/>
        <v>0</v>
      </c>
      <c r="N1046" s="22"/>
      <c r="O1046" s="19" t="s">
        <v>1145</v>
      </c>
      <c r="P1046" s="18"/>
      <c r="Q1046" s="18"/>
      <c r="R1046" s="23">
        <v>0.0</v>
      </c>
      <c r="S1046" s="23">
        <v>0.0</v>
      </c>
      <c r="T1046" s="23">
        <f t="shared" si="2"/>
        <v>0</v>
      </c>
      <c r="U1046" s="23">
        <f t="shared" si="3"/>
        <v>0</v>
      </c>
      <c r="V1046" s="23">
        <f t="shared" si="4"/>
        <v>0</v>
      </c>
      <c r="W1046" s="24" t="str">
        <f t="shared" si="5"/>
        <v>#DIV/0!</v>
      </c>
    </row>
    <row r="1047" hidden="1">
      <c r="A1047" s="15" t="s">
        <v>5114</v>
      </c>
      <c r="B1047" s="15" t="s">
        <v>5115</v>
      </c>
      <c r="C1047" s="15" t="s">
        <v>7580</v>
      </c>
      <c r="D1047" s="18"/>
      <c r="E1047" s="17" t="s">
        <v>5117</v>
      </c>
      <c r="F1047" s="18"/>
      <c r="G1047" s="18"/>
      <c r="H1047" s="15" t="s">
        <v>5118</v>
      </c>
      <c r="I1047" s="18"/>
      <c r="J1047" s="19" t="s">
        <v>59</v>
      </c>
      <c r="K1047" s="33"/>
      <c r="L1047" s="19" t="s">
        <v>38</v>
      </c>
      <c r="M1047" s="20">
        <f t="shared" si="1"/>
        <v>0</v>
      </c>
      <c r="N1047" s="22"/>
      <c r="O1047" s="19" t="s">
        <v>3578</v>
      </c>
      <c r="P1047" s="18"/>
      <c r="Q1047" s="18"/>
      <c r="R1047" s="23">
        <v>0.0</v>
      </c>
      <c r="S1047" s="23">
        <v>0.0</v>
      </c>
      <c r="T1047" s="23">
        <f t="shared" si="2"/>
        <v>0</v>
      </c>
      <c r="U1047" s="23">
        <f t="shared" si="3"/>
        <v>0</v>
      </c>
      <c r="V1047" s="23">
        <f t="shared" si="4"/>
        <v>0</v>
      </c>
      <c r="W1047" s="24" t="str">
        <f t="shared" si="5"/>
        <v>#DIV/0!</v>
      </c>
    </row>
    <row r="1048" hidden="1">
      <c r="A1048" s="15" t="s">
        <v>2839</v>
      </c>
      <c r="B1048" s="18"/>
      <c r="C1048" s="15" t="s">
        <v>7581</v>
      </c>
      <c r="D1048" s="18"/>
      <c r="E1048" s="17" t="s">
        <v>2840</v>
      </c>
      <c r="F1048" s="18"/>
      <c r="G1048" s="18"/>
      <c r="H1048" s="15" t="s">
        <v>2841</v>
      </c>
      <c r="I1048" s="15" t="s">
        <v>2825</v>
      </c>
      <c r="J1048" s="19" t="s">
        <v>59</v>
      </c>
      <c r="K1048" s="19" t="s">
        <v>2519</v>
      </c>
      <c r="L1048" s="19" t="s">
        <v>38</v>
      </c>
      <c r="M1048" s="20">
        <f t="shared" si="1"/>
        <v>0</v>
      </c>
      <c r="N1048" s="22"/>
      <c r="O1048" s="19" t="s">
        <v>1145</v>
      </c>
      <c r="P1048" s="18"/>
      <c r="Q1048" s="18"/>
      <c r="R1048" s="23">
        <v>0.0</v>
      </c>
      <c r="S1048" s="23">
        <v>0.0</v>
      </c>
      <c r="T1048" s="23">
        <f t="shared" si="2"/>
        <v>0</v>
      </c>
      <c r="U1048" s="23">
        <f t="shared" si="3"/>
        <v>0</v>
      </c>
      <c r="V1048" s="23">
        <f t="shared" si="4"/>
        <v>0</v>
      </c>
      <c r="W1048" s="24" t="str">
        <f t="shared" si="5"/>
        <v>#DIV/0!</v>
      </c>
    </row>
    <row r="1049" hidden="1">
      <c r="A1049" s="15" t="s">
        <v>2842</v>
      </c>
      <c r="B1049" s="18"/>
      <c r="C1049" s="15" t="s">
        <v>7582</v>
      </c>
      <c r="D1049" s="18"/>
      <c r="E1049" s="17" t="s">
        <v>2840</v>
      </c>
      <c r="F1049" s="18"/>
      <c r="G1049" s="18"/>
      <c r="H1049" s="15" t="s">
        <v>2843</v>
      </c>
      <c r="I1049" s="15" t="s">
        <v>2844</v>
      </c>
      <c r="J1049" s="19" t="s">
        <v>59</v>
      </c>
      <c r="K1049" s="19" t="s">
        <v>2519</v>
      </c>
      <c r="L1049" s="19" t="s">
        <v>38</v>
      </c>
      <c r="M1049" s="20">
        <f t="shared" si="1"/>
        <v>0</v>
      </c>
      <c r="N1049" s="22"/>
      <c r="O1049" s="19" t="s">
        <v>1145</v>
      </c>
      <c r="P1049" s="18"/>
      <c r="Q1049" s="18"/>
      <c r="R1049" s="23">
        <v>0.0</v>
      </c>
      <c r="S1049" s="23">
        <v>0.0</v>
      </c>
      <c r="T1049" s="23">
        <f t="shared" si="2"/>
        <v>0</v>
      </c>
      <c r="U1049" s="23">
        <f t="shared" si="3"/>
        <v>0</v>
      </c>
      <c r="V1049" s="23">
        <f t="shared" si="4"/>
        <v>0</v>
      </c>
      <c r="W1049" s="24" t="str">
        <f t="shared" si="5"/>
        <v>#DIV/0!</v>
      </c>
    </row>
    <row r="1050" hidden="1">
      <c r="A1050" s="15" t="s">
        <v>2845</v>
      </c>
      <c r="B1050" s="18"/>
      <c r="C1050" s="15" t="s">
        <v>7583</v>
      </c>
      <c r="D1050" s="18"/>
      <c r="E1050" s="17" t="s">
        <v>2846</v>
      </c>
      <c r="F1050" s="18"/>
      <c r="G1050" s="18"/>
      <c r="H1050" s="15" t="s">
        <v>2847</v>
      </c>
      <c r="I1050" s="15" t="s">
        <v>2848</v>
      </c>
      <c r="J1050" s="19" t="s">
        <v>59</v>
      </c>
      <c r="K1050" s="19" t="s">
        <v>2401</v>
      </c>
      <c r="L1050" s="19" t="s">
        <v>38</v>
      </c>
      <c r="M1050" s="20">
        <f t="shared" si="1"/>
        <v>0</v>
      </c>
      <c r="N1050" s="22"/>
      <c r="O1050" s="19" t="s">
        <v>1145</v>
      </c>
      <c r="P1050" s="18"/>
      <c r="Q1050" s="18"/>
      <c r="R1050" s="23">
        <v>0.0</v>
      </c>
      <c r="S1050" s="23">
        <v>0.0</v>
      </c>
      <c r="T1050" s="23">
        <f t="shared" si="2"/>
        <v>0</v>
      </c>
      <c r="U1050" s="23">
        <f t="shared" si="3"/>
        <v>0</v>
      </c>
      <c r="V1050" s="23">
        <f t="shared" si="4"/>
        <v>0</v>
      </c>
      <c r="W1050" s="24" t="str">
        <f t="shared" si="5"/>
        <v>#DIV/0!</v>
      </c>
    </row>
    <row r="1051" hidden="1">
      <c r="A1051" s="15" t="s">
        <v>2849</v>
      </c>
      <c r="B1051" s="18"/>
      <c r="C1051" s="15" t="s">
        <v>7584</v>
      </c>
      <c r="D1051" s="18"/>
      <c r="E1051" s="17" t="s">
        <v>2850</v>
      </c>
      <c r="F1051" s="18"/>
      <c r="G1051" s="18"/>
      <c r="H1051" s="15" t="s">
        <v>2851</v>
      </c>
      <c r="I1051" s="15" t="s">
        <v>2852</v>
      </c>
      <c r="J1051" s="19" t="s">
        <v>59</v>
      </c>
      <c r="K1051" s="19" t="s">
        <v>2401</v>
      </c>
      <c r="L1051" s="19" t="s">
        <v>38</v>
      </c>
      <c r="M1051" s="20">
        <f t="shared" si="1"/>
        <v>0</v>
      </c>
      <c r="N1051" s="22"/>
      <c r="O1051" s="19" t="s">
        <v>1145</v>
      </c>
      <c r="P1051" s="18"/>
      <c r="Q1051" s="18"/>
      <c r="R1051" s="23">
        <v>0.0</v>
      </c>
      <c r="S1051" s="23">
        <v>0.0</v>
      </c>
      <c r="T1051" s="23">
        <f t="shared" si="2"/>
        <v>0</v>
      </c>
      <c r="U1051" s="23">
        <f t="shared" si="3"/>
        <v>0</v>
      </c>
      <c r="V1051" s="23">
        <f t="shared" si="4"/>
        <v>0</v>
      </c>
      <c r="W1051" s="24" t="str">
        <f t="shared" si="5"/>
        <v>#DIV/0!</v>
      </c>
    </row>
    <row r="1052" hidden="1">
      <c r="A1052" s="15" t="s">
        <v>7585</v>
      </c>
      <c r="B1052" s="18"/>
      <c r="C1052" s="15" t="s">
        <v>7586</v>
      </c>
      <c r="D1052" s="18"/>
      <c r="E1052" s="17" t="s">
        <v>7587</v>
      </c>
      <c r="F1052" s="18"/>
      <c r="G1052" s="18"/>
      <c r="H1052" s="15" t="s">
        <v>7588</v>
      </c>
      <c r="I1052" s="15" t="s">
        <v>762</v>
      </c>
      <c r="J1052" s="19" t="s">
        <v>59</v>
      </c>
      <c r="K1052" s="19" t="s">
        <v>2401</v>
      </c>
      <c r="L1052" s="19" t="s">
        <v>38</v>
      </c>
      <c r="M1052" s="20">
        <f t="shared" si="1"/>
        <v>0</v>
      </c>
      <c r="N1052" s="22"/>
      <c r="O1052" s="19" t="s">
        <v>39</v>
      </c>
      <c r="P1052" s="18"/>
      <c r="Q1052" s="18"/>
      <c r="R1052" s="23">
        <v>0.0</v>
      </c>
      <c r="S1052" s="23">
        <v>0.0</v>
      </c>
      <c r="T1052" s="23">
        <f t="shared" si="2"/>
        <v>0</v>
      </c>
      <c r="U1052" s="23">
        <f t="shared" si="3"/>
        <v>0</v>
      </c>
      <c r="V1052" s="23">
        <f t="shared" si="4"/>
        <v>0</v>
      </c>
      <c r="W1052" s="24" t="str">
        <f t="shared" si="5"/>
        <v>#DIV/0!</v>
      </c>
    </row>
    <row r="1053" hidden="1">
      <c r="A1053" s="15" t="s">
        <v>2853</v>
      </c>
      <c r="B1053" s="18"/>
      <c r="C1053" s="15" t="s">
        <v>7589</v>
      </c>
      <c r="D1053" s="18"/>
      <c r="E1053" s="17" t="s">
        <v>2854</v>
      </c>
      <c r="F1053" s="18"/>
      <c r="G1053" s="18"/>
      <c r="H1053" s="15" t="s">
        <v>2855</v>
      </c>
      <c r="I1053" s="15" t="s">
        <v>2856</v>
      </c>
      <c r="J1053" s="19" t="s">
        <v>59</v>
      </c>
      <c r="K1053" s="19" t="s">
        <v>2401</v>
      </c>
      <c r="L1053" s="19" t="s">
        <v>38</v>
      </c>
      <c r="M1053" s="20">
        <f t="shared" si="1"/>
        <v>0</v>
      </c>
      <c r="N1053" s="22"/>
      <c r="O1053" s="19" t="s">
        <v>1145</v>
      </c>
      <c r="P1053" s="18"/>
      <c r="Q1053" s="18"/>
      <c r="R1053" s="23">
        <v>0.0</v>
      </c>
      <c r="S1053" s="23">
        <v>0.0</v>
      </c>
      <c r="T1053" s="23">
        <f t="shared" si="2"/>
        <v>0</v>
      </c>
      <c r="U1053" s="23">
        <f t="shared" si="3"/>
        <v>0</v>
      </c>
      <c r="V1053" s="23">
        <f t="shared" si="4"/>
        <v>0</v>
      </c>
      <c r="W1053" s="24" t="str">
        <f t="shared" si="5"/>
        <v>#DIV/0!</v>
      </c>
    </row>
    <row r="1054" hidden="1">
      <c r="A1054" s="15" t="s">
        <v>7590</v>
      </c>
      <c r="B1054" s="18"/>
      <c r="C1054" s="15" t="s">
        <v>7591</v>
      </c>
      <c r="D1054" s="18"/>
      <c r="E1054" s="17" t="s">
        <v>7592</v>
      </c>
      <c r="F1054" s="18"/>
      <c r="G1054" s="18"/>
      <c r="H1054" s="15" t="s">
        <v>7593</v>
      </c>
      <c r="I1054" s="15" t="s">
        <v>307</v>
      </c>
      <c r="J1054" s="19" t="s">
        <v>59</v>
      </c>
      <c r="K1054" s="19" t="s">
        <v>691</v>
      </c>
      <c r="L1054" s="19" t="s">
        <v>38</v>
      </c>
      <c r="M1054" s="20">
        <f t="shared" si="1"/>
        <v>0</v>
      </c>
      <c r="N1054" s="22"/>
      <c r="O1054" s="19" t="s">
        <v>39</v>
      </c>
      <c r="P1054" s="18"/>
      <c r="Q1054" s="18"/>
      <c r="R1054" s="23">
        <v>0.0</v>
      </c>
      <c r="S1054" s="23">
        <v>0.0</v>
      </c>
      <c r="T1054" s="23">
        <f t="shared" si="2"/>
        <v>0</v>
      </c>
      <c r="U1054" s="23">
        <f t="shared" si="3"/>
        <v>0</v>
      </c>
      <c r="V1054" s="23">
        <f t="shared" si="4"/>
        <v>0</v>
      </c>
      <c r="W1054" s="24" t="str">
        <f t="shared" si="5"/>
        <v>#DIV/0!</v>
      </c>
    </row>
    <row r="1055" hidden="1">
      <c r="A1055" s="15" t="s">
        <v>5119</v>
      </c>
      <c r="B1055" s="18"/>
      <c r="C1055" s="15" t="s">
        <v>7594</v>
      </c>
      <c r="D1055" s="18"/>
      <c r="E1055" s="17" t="s">
        <v>7592</v>
      </c>
      <c r="F1055" s="18"/>
      <c r="G1055" s="18"/>
      <c r="H1055" s="15" t="s">
        <v>7595</v>
      </c>
      <c r="I1055" s="15" t="s">
        <v>5122</v>
      </c>
      <c r="J1055" s="19" t="s">
        <v>59</v>
      </c>
      <c r="K1055" s="19" t="s">
        <v>691</v>
      </c>
      <c r="L1055" s="19" t="s">
        <v>38</v>
      </c>
      <c r="M1055" s="20">
        <f t="shared" si="1"/>
        <v>0</v>
      </c>
      <c r="N1055" s="22"/>
      <c r="O1055" s="19" t="s">
        <v>1145</v>
      </c>
      <c r="P1055" s="18"/>
      <c r="Q1055" s="18"/>
      <c r="R1055" s="23">
        <v>0.0</v>
      </c>
      <c r="S1055" s="23">
        <v>0.0</v>
      </c>
      <c r="T1055" s="23">
        <f t="shared" si="2"/>
        <v>0</v>
      </c>
      <c r="U1055" s="23">
        <f t="shared" si="3"/>
        <v>0</v>
      </c>
      <c r="V1055" s="23">
        <f t="shared" si="4"/>
        <v>0</v>
      </c>
      <c r="W1055" s="24" t="str">
        <f t="shared" si="5"/>
        <v>#DIV/0!</v>
      </c>
    </row>
    <row r="1056" hidden="1">
      <c r="A1056" s="15" t="s">
        <v>7596</v>
      </c>
      <c r="B1056" s="18"/>
      <c r="C1056" s="15" t="s">
        <v>7597</v>
      </c>
      <c r="D1056" s="18"/>
      <c r="E1056" s="17" t="s">
        <v>7598</v>
      </c>
      <c r="F1056" s="18"/>
      <c r="G1056" s="18"/>
      <c r="H1056" s="15" t="s">
        <v>7599</v>
      </c>
      <c r="I1056" s="15" t="s">
        <v>4950</v>
      </c>
      <c r="J1056" s="19" t="s">
        <v>59</v>
      </c>
      <c r="K1056" s="19" t="s">
        <v>691</v>
      </c>
      <c r="L1056" s="19" t="s">
        <v>38</v>
      </c>
      <c r="M1056" s="20">
        <f t="shared" si="1"/>
        <v>0</v>
      </c>
      <c r="N1056" s="22"/>
      <c r="O1056" s="19" t="s">
        <v>39</v>
      </c>
      <c r="P1056" s="18"/>
      <c r="Q1056" s="18"/>
      <c r="R1056" s="23">
        <v>0.0</v>
      </c>
      <c r="S1056" s="23">
        <v>0.0</v>
      </c>
      <c r="T1056" s="23">
        <f t="shared" si="2"/>
        <v>0</v>
      </c>
      <c r="U1056" s="23">
        <f t="shared" si="3"/>
        <v>0</v>
      </c>
      <c r="V1056" s="23">
        <f t="shared" si="4"/>
        <v>0</v>
      </c>
      <c r="W1056" s="24" t="str">
        <f t="shared" si="5"/>
        <v>#DIV/0!</v>
      </c>
    </row>
    <row r="1057" hidden="1">
      <c r="A1057" s="15" t="s">
        <v>5123</v>
      </c>
      <c r="B1057" s="15" t="s">
        <v>5124</v>
      </c>
      <c r="C1057" s="15" t="s">
        <v>7600</v>
      </c>
      <c r="D1057" s="15" t="s">
        <v>5125</v>
      </c>
      <c r="E1057" s="17" t="s">
        <v>5126</v>
      </c>
      <c r="F1057" s="18"/>
      <c r="G1057" s="18"/>
      <c r="H1057" s="15" t="s">
        <v>5127</v>
      </c>
      <c r="I1057" s="18"/>
      <c r="J1057" s="19" t="s">
        <v>59</v>
      </c>
      <c r="K1057" s="33"/>
      <c r="L1057" s="19" t="s">
        <v>38</v>
      </c>
      <c r="M1057" s="20">
        <f t="shared" si="1"/>
        <v>0</v>
      </c>
      <c r="N1057" s="22"/>
      <c r="O1057" s="19" t="s">
        <v>3578</v>
      </c>
      <c r="P1057" s="18"/>
      <c r="Q1057" s="18"/>
      <c r="R1057" s="23">
        <v>0.0</v>
      </c>
      <c r="S1057" s="23">
        <v>0.0</v>
      </c>
      <c r="T1057" s="23">
        <f t="shared" si="2"/>
        <v>0</v>
      </c>
      <c r="U1057" s="23">
        <f t="shared" si="3"/>
        <v>0</v>
      </c>
      <c r="V1057" s="23">
        <f t="shared" si="4"/>
        <v>0</v>
      </c>
      <c r="W1057" s="24" t="str">
        <f t="shared" si="5"/>
        <v>#DIV/0!</v>
      </c>
    </row>
    <row r="1058">
      <c r="A1058" s="15" t="s">
        <v>634</v>
      </c>
      <c r="B1058" s="15" t="s">
        <v>635</v>
      </c>
      <c r="C1058" s="15" t="s">
        <v>6033</v>
      </c>
      <c r="D1058" s="15" t="s">
        <v>636</v>
      </c>
      <c r="E1058" s="17" t="s">
        <v>637</v>
      </c>
      <c r="F1058" s="18"/>
      <c r="G1058" s="18"/>
      <c r="H1058" s="15" t="s">
        <v>638</v>
      </c>
      <c r="I1058" s="18"/>
      <c r="J1058" s="19" t="s">
        <v>59</v>
      </c>
      <c r="K1058" s="19" t="s">
        <v>200</v>
      </c>
      <c r="L1058" s="19" t="s">
        <v>292</v>
      </c>
      <c r="M1058" s="20">
        <f t="shared" si="1"/>
        <v>745.92</v>
      </c>
      <c r="N1058" s="31">
        <v>5.0</v>
      </c>
      <c r="O1058" s="19" t="s">
        <v>107</v>
      </c>
      <c r="P1058" s="18"/>
      <c r="Q1058" s="18"/>
      <c r="R1058" s="23">
        <v>8.0</v>
      </c>
      <c r="S1058" s="23">
        <v>42.0</v>
      </c>
      <c r="T1058" s="23">
        <f t="shared" si="2"/>
        <v>40.32</v>
      </c>
      <c r="U1058" s="23">
        <f t="shared" si="3"/>
        <v>9.8</v>
      </c>
      <c r="V1058" s="23">
        <f t="shared" si="4"/>
        <v>183.75</v>
      </c>
      <c r="W1058" s="24">
        <f t="shared" si="5"/>
        <v>5.04</v>
      </c>
    </row>
    <row r="1059">
      <c r="A1059" s="15" t="s">
        <v>718</v>
      </c>
      <c r="B1059" s="15" t="s">
        <v>719</v>
      </c>
      <c r="C1059" s="15" t="s">
        <v>6085</v>
      </c>
      <c r="D1059" s="15" t="s">
        <v>720</v>
      </c>
      <c r="E1059" s="17" t="s">
        <v>721</v>
      </c>
      <c r="F1059" s="18"/>
      <c r="G1059" s="15" t="s">
        <v>722</v>
      </c>
      <c r="H1059" s="15" t="s">
        <v>723</v>
      </c>
      <c r="I1059" s="18"/>
      <c r="J1059" s="19" t="s">
        <v>59</v>
      </c>
      <c r="K1059" s="19" t="s">
        <v>60</v>
      </c>
      <c r="L1059" s="19" t="s">
        <v>38</v>
      </c>
      <c r="M1059" s="20">
        <f t="shared" si="1"/>
        <v>2592.96</v>
      </c>
      <c r="N1059" s="31">
        <v>5.0</v>
      </c>
      <c r="O1059" s="19" t="s">
        <v>107</v>
      </c>
      <c r="P1059" s="18"/>
      <c r="Q1059" s="18"/>
      <c r="R1059" s="23">
        <v>30.0</v>
      </c>
      <c r="S1059" s="23">
        <v>146.0</v>
      </c>
      <c r="T1059" s="23">
        <f t="shared" si="2"/>
        <v>140.16</v>
      </c>
      <c r="U1059" s="23">
        <f t="shared" si="3"/>
        <v>36.75</v>
      </c>
      <c r="V1059" s="23">
        <f t="shared" si="4"/>
        <v>689.0625</v>
      </c>
      <c r="W1059" s="24">
        <f t="shared" si="5"/>
        <v>4.672</v>
      </c>
    </row>
    <row r="1060">
      <c r="A1060" s="15" t="s">
        <v>819</v>
      </c>
      <c r="B1060" s="15" t="s">
        <v>820</v>
      </c>
      <c r="C1060" s="15" t="s">
        <v>6034</v>
      </c>
      <c r="D1060" s="15" t="s">
        <v>821</v>
      </c>
      <c r="E1060" s="17" t="s">
        <v>822</v>
      </c>
      <c r="F1060" s="18"/>
      <c r="G1060" s="18"/>
      <c r="H1060" s="15" t="s">
        <v>823</v>
      </c>
      <c r="I1060" s="18"/>
      <c r="J1060" s="19" t="s">
        <v>59</v>
      </c>
      <c r="K1060" s="19" t="s">
        <v>200</v>
      </c>
      <c r="L1060" s="19" t="s">
        <v>38</v>
      </c>
      <c r="M1060" s="20">
        <f t="shared" si="1"/>
        <v>230.88</v>
      </c>
      <c r="N1060" s="31">
        <v>5.0</v>
      </c>
      <c r="O1060" s="19" t="s">
        <v>107</v>
      </c>
      <c r="P1060" s="18"/>
      <c r="Q1060" s="18"/>
      <c r="R1060" s="23">
        <v>3.0</v>
      </c>
      <c r="S1060" s="23">
        <v>13.0</v>
      </c>
      <c r="T1060" s="23">
        <f t="shared" si="2"/>
        <v>12.48</v>
      </c>
      <c r="U1060" s="23">
        <f t="shared" si="3"/>
        <v>3.675</v>
      </c>
      <c r="V1060" s="23">
        <f t="shared" si="4"/>
        <v>68.90625</v>
      </c>
      <c r="W1060" s="24">
        <f t="shared" si="5"/>
        <v>4.16</v>
      </c>
    </row>
    <row r="1061">
      <c r="A1061" s="15" t="s">
        <v>758</v>
      </c>
      <c r="B1061" s="15" t="s">
        <v>759</v>
      </c>
      <c r="C1061" s="15" t="s">
        <v>6086</v>
      </c>
      <c r="D1061" s="15" t="s">
        <v>760</v>
      </c>
      <c r="E1061" s="17" t="s">
        <v>761</v>
      </c>
      <c r="F1061" s="18"/>
      <c r="G1061" s="18"/>
      <c r="H1061" s="15" t="s">
        <v>762</v>
      </c>
      <c r="I1061" s="18"/>
      <c r="J1061" s="19" t="s">
        <v>59</v>
      </c>
      <c r="K1061" s="19" t="s">
        <v>60</v>
      </c>
      <c r="L1061" s="19" t="s">
        <v>38</v>
      </c>
      <c r="M1061" s="20">
        <f t="shared" si="1"/>
        <v>1172.16</v>
      </c>
      <c r="N1061" s="31">
        <v>5.0</v>
      </c>
      <c r="O1061" s="19" t="s">
        <v>107</v>
      </c>
      <c r="P1061" s="18"/>
      <c r="Q1061" s="18"/>
      <c r="R1061" s="23">
        <v>14.0</v>
      </c>
      <c r="S1061" s="23">
        <v>66.0</v>
      </c>
      <c r="T1061" s="23">
        <f t="shared" si="2"/>
        <v>63.36</v>
      </c>
      <c r="U1061" s="23">
        <f t="shared" si="3"/>
        <v>17.15</v>
      </c>
      <c r="V1061" s="23">
        <f t="shared" si="4"/>
        <v>321.5625</v>
      </c>
      <c r="W1061" s="24">
        <f t="shared" si="5"/>
        <v>4.525714286</v>
      </c>
    </row>
    <row r="1062">
      <c r="A1062" s="15" t="s">
        <v>1135</v>
      </c>
      <c r="B1062" s="15" t="s">
        <v>1136</v>
      </c>
      <c r="C1062" s="15" t="s">
        <v>1137</v>
      </c>
      <c r="D1062" s="15" t="s">
        <v>1138</v>
      </c>
      <c r="E1062" s="17" t="s">
        <v>1139</v>
      </c>
      <c r="F1062" s="18"/>
      <c r="G1062" s="18"/>
      <c r="H1062" s="15" t="s">
        <v>1140</v>
      </c>
      <c r="I1062" s="18"/>
      <c r="J1062" s="19" t="s">
        <v>59</v>
      </c>
      <c r="K1062" s="19" t="s">
        <v>52</v>
      </c>
      <c r="L1062" s="19" t="s">
        <v>52</v>
      </c>
      <c r="M1062" s="20">
        <f t="shared" si="1"/>
        <v>177.6</v>
      </c>
      <c r="N1062" s="31">
        <v>6.0</v>
      </c>
      <c r="O1062" s="19" t="s">
        <v>107</v>
      </c>
      <c r="P1062" s="18"/>
      <c r="Q1062" s="18"/>
      <c r="R1062" s="23">
        <v>5.0</v>
      </c>
      <c r="S1062" s="23">
        <v>10.0</v>
      </c>
      <c r="T1062" s="23">
        <f t="shared" si="2"/>
        <v>9.6</v>
      </c>
      <c r="U1062" s="23">
        <f t="shared" si="3"/>
        <v>6.125</v>
      </c>
      <c r="V1062" s="23">
        <f t="shared" si="4"/>
        <v>114.84375</v>
      </c>
      <c r="W1062" s="24">
        <f t="shared" si="5"/>
        <v>1.92</v>
      </c>
    </row>
    <row r="1063" hidden="1">
      <c r="A1063" s="15" t="s">
        <v>7601</v>
      </c>
      <c r="B1063" s="18"/>
      <c r="C1063" s="15" t="s">
        <v>7602</v>
      </c>
      <c r="D1063" s="18"/>
      <c r="E1063" s="17" t="s">
        <v>2858</v>
      </c>
      <c r="F1063" s="18"/>
      <c r="G1063" s="18"/>
      <c r="H1063" s="15" t="s">
        <v>7603</v>
      </c>
      <c r="I1063" s="15" t="s">
        <v>3951</v>
      </c>
      <c r="J1063" s="19" t="s">
        <v>59</v>
      </c>
      <c r="K1063" s="19" t="s">
        <v>2401</v>
      </c>
      <c r="L1063" s="19" t="s">
        <v>38</v>
      </c>
      <c r="M1063" s="20">
        <f t="shared" si="1"/>
        <v>0</v>
      </c>
      <c r="N1063" s="22"/>
      <c r="O1063" s="19" t="s">
        <v>39</v>
      </c>
      <c r="P1063" s="18"/>
      <c r="Q1063" s="18"/>
      <c r="R1063" s="23">
        <v>0.0</v>
      </c>
      <c r="S1063" s="23">
        <v>0.0</v>
      </c>
      <c r="T1063" s="23">
        <f t="shared" si="2"/>
        <v>0</v>
      </c>
      <c r="U1063" s="23">
        <f t="shared" si="3"/>
        <v>0</v>
      </c>
      <c r="V1063" s="23">
        <f t="shared" si="4"/>
        <v>0</v>
      </c>
      <c r="W1063" s="24" t="str">
        <f t="shared" si="5"/>
        <v>#DIV/0!</v>
      </c>
    </row>
    <row r="1064" hidden="1">
      <c r="A1064" s="15" t="s">
        <v>5128</v>
      </c>
      <c r="B1064" s="18"/>
      <c r="C1064" s="15" t="s">
        <v>7604</v>
      </c>
      <c r="D1064" s="18"/>
      <c r="E1064" s="17" t="s">
        <v>2858</v>
      </c>
      <c r="F1064" s="18"/>
      <c r="G1064" s="18"/>
      <c r="H1064" s="15" t="s">
        <v>7605</v>
      </c>
      <c r="I1064" s="15" t="s">
        <v>5131</v>
      </c>
      <c r="J1064" s="19" t="s">
        <v>59</v>
      </c>
      <c r="K1064" s="19" t="s">
        <v>2401</v>
      </c>
      <c r="L1064" s="19" t="s">
        <v>38</v>
      </c>
      <c r="M1064" s="20">
        <f t="shared" si="1"/>
        <v>0</v>
      </c>
      <c r="N1064" s="22"/>
      <c r="O1064" s="19" t="s">
        <v>1145</v>
      </c>
      <c r="P1064" s="18"/>
      <c r="Q1064" s="18"/>
      <c r="R1064" s="23">
        <v>0.0</v>
      </c>
      <c r="S1064" s="23">
        <v>0.0</v>
      </c>
      <c r="T1064" s="23">
        <f t="shared" si="2"/>
        <v>0</v>
      </c>
      <c r="U1064" s="23">
        <f t="shared" si="3"/>
        <v>0</v>
      </c>
      <c r="V1064" s="23">
        <f t="shared" si="4"/>
        <v>0</v>
      </c>
      <c r="W1064" s="24" t="str">
        <f t="shared" si="5"/>
        <v>#DIV/0!</v>
      </c>
    </row>
    <row r="1065" hidden="1">
      <c r="A1065" s="15" t="s">
        <v>2857</v>
      </c>
      <c r="B1065" s="18"/>
      <c r="C1065" s="15" t="s">
        <v>7606</v>
      </c>
      <c r="D1065" s="18"/>
      <c r="E1065" s="17" t="s">
        <v>2858</v>
      </c>
      <c r="F1065" s="18"/>
      <c r="G1065" s="18"/>
      <c r="H1065" s="15" t="s">
        <v>2859</v>
      </c>
      <c r="I1065" s="15" t="s">
        <v>2860</v>
      </c>
      <c r="J1065" s="19" t="s">
        <v>59</v>
      </c>
      <c r="K1065" s="19" t="s">
        <v>2401</v>
      </c>
      <c r="L1065" s="19" t="s">
        <v>38</v>
      </c>
      <c r="M1065" s="20">
        <f t="shared" si="1"/>
        <v>0</v>
      </c>
      <c r="N1065" s="22"/>
      <c r="O1065" s="19" t="s">
        <v>1145</v>
      </c>
      <c r="P1065" s="18"/>
      <c r="Q1065" s="18"/>
      <c r="R1065" s="23">
        <v>0.0</v>
      </c>
      <c r="S1065" s="23">
        <v>0.0</v>
      </c>
      <c r="T1065" s="23">
        <f t="shared" si="2"/>
        <v>0</v>
      </c>
      <c r="U1065" s="23">
        <f t="shared" si="3"/>
        <v>0</v>
      </c>
      <c r="V1065" s="23">
        <f t="shared" si="4"/>
        <v>0</v>
      </c>
      <c r="W1065" s="24" t="str">
        <f t="shared" si="5"/>
        <v>#DIV/0!</v>
      </c>
    </row>
    <row r="1066" hidden="1">
      <c r="A1066" s="15" t="s">
        <v>2861</v>
      </c>
      <c r="B1066" s="18"/>
      <c r="C1066" s="15" t="s">
        <v>7607</v>
      </c>
      <c r="D1066" s="18"/>
      <c r="E1066" s="17" t="s">
        <v>2858</v>
      </c>
      <c r="F1066" s="18"/>
      <c r="G1066" s="18"/>
      <c r="H1066" s="15" t="s">
        <v>2862</v>
      </c>
      <c r="I1066" s="15" t="s">
        <v>2863</v>
      </c>
      <c r="J1066" s="19" t="s">
        <v>59</v>
      </c>
      <c r="K1066" s="19" t="s">
        <v>2401</v>
      </c>
      <c r="L1066" s="19" t="s">
        <v>38</v>
      </c>
      <c r="M1066" s="20">
        <f t="shared" si="1"/>
        <v>0</v>
      </c>
      <c r="N1066" s="22"/>
      <c r="O1066" s="19" t="s">
        <v>1145</v>
      </c>
      <c r="P1066" s="18"/>
      <c r="Q1066" s="18"/>
      <c r="R1066" s="23">
        <v>0.0</v>
      </c>
      <c r="S1066" s="23">
        <v>0.0</v>
      </c>
      <c r="T1066" s="23">
        <f t="shared" si="2"/>
        <v>0</v>
      </c>
      <c r="U1066" s="23">
        <f t="shared" si="3"/>
        <v>0</v>
      </c>
      <c r="V1066" s="23">
        <f t="shared" si="4"/>
        <v>0</v>
      </c>
      <c r="W1066" s="24" t="str">
        <f t="shared" si="5"/>
        <v>#DIV/0!</v>
      </c>
    </row>
    <row r="1067" hidden="1">
      <c r="A1067" s="15" t="s">
        <v>5132</v>
      </c>
      <c r="B1067" s="18"/>
      <c r="C1067" s="15" t="s">
        <v>7608</v>
      </c>
      <c r="D1067" s="18"/>
      <c r="E1067" s="17" t="s">
        <v>7609</v>
      </c>
      <c r="F1067" s="18"/>
      <c r="G1067" s="18"/>
      <c r="H1067" s="15" t="s">
        <v>7610</v>
      </c>
      <c r="I1067" s="15" t="s">
        <v>5135</v>
      </c>
      <c r="J1067" s="19" t="s">
        <v>59</v>
      </c>
      <c r="K1067" s="19" t="s">
        <v>2401</v>
      </c>
      <c r="L1067" s="19" t="s">
        <v>38</v>
      </c>
      <c r="M1067" s="20">
        <f t="shared" si="1"/>
        <v>0</v>
      </c>
      <c r="N1067" s="22"/>
      <c r="O1067" s="19" t="s">
        <v>1145</v>
      </c>
      <c r="P1067" s="18"/>
      <c r="Q1067" s="18"/>
      <c r="R1067" s="23">
        <v>0.0</v>
      </c>
      <c r="S1067" s="23">
        <v>0.0</v>
      </c>
      <c r="T1067" s="23">
        <f t="shared" si="2"/>
        <v>0</v>
      </c>
      <c r="U1067" s="23">
        <f t="shared" si="3"/>
        <v>0</v>
      </c>
      <c r="V1067" s="23">
        <f t="shared" si="4"/>
        <v>0</v>
      </c>
      <c r="W1067" s="24" t="str">
        <f t="shared" si="5"/>
        <v>#DIV/0!</v>
      </c>
    </row>
    <row r="1068" hidden="1">
      <c r="A1068" s="15" t="s">
        <v>7611</v>
      </c>
      <c r="B1068" s="18"/>
      <c r="C1068" s="15" t="s">
        <v>7612</v>
      </c>
      <c r="D1068" s="18"/>
      <c r="E1068" s="17" t="s">
        <v>7613</v>
      </c>
      <c r="F1068" s="18"/>
      <c r="G1068" s="18"/>
      <c r="H1068" s="15" t="s">
        <v>7614</v>
      </c>
      <c r="I1068" s="15" t="s">
        <v>823</v>
      </c>
      <c r="J1068" s="19" t="s">
        <v>59</v>
      </c>
      <c r="K1068" s="19" t="s">
        <v>2401</v>
      </c>
      <c r="L1068" s="19" t="s">
        <v>38</v>
      </c>
      <c r="M1068" s="20">
        <f t="shared" si="1"/>
        <v>0</v>
      </c>
      <c r="N1068" s="22"/>
      <c r="O1068" s="19" t="s">
        <v>39</v>
      </c>
      <c r="P1068" s="18"/>
      <c r="Q1068" s="18"/>
      <c r="R1068" s="23">
        <v>0.0</v>
      </c>
      <c r="S1068" s="23">
        <v>0.0</v>
      </c>
      <c r="T1068" s="23">
        <f t="shared" si="2"/>
        <v>0</v>
      </c>
      <c r="U1068" s="23">
        <f t="shared" si="3"/>
        <v>0</v>
      </c>
      <c r="V1068" s="23">
        <f t="shared" si="4"/>
        <v>0</v>
      </c>
      <c r="W1068" s="24" t="str">
        <f t="shared" si="5"/>
        <v>#DIV/0!</v>
      </c>
    </row>
    <row r="1069" hidden="1">
      <c r="A1069" s="15" t="s">
        <v>5136</v>
      </c>
      <c r="B1069" s="15" t="s">
        <v>5137</v>
      </c>
      <c r="C1069" s="15" t="s">
        <v>7615</v>
      </c>
      <c r="D1069" s="18"/>
      <c r="E1069" s="17" t="s">
        <v>5138</v>
      </c>
      <c r="F1069" s="18"/>
      <c r="G1069" s="18"/>
      <c r="H1069" s="15" t="s">
        <v>5139</v>
      </c>
      <c r="I1069" s="18"/>
      <c r="J1069" s="19" t="s">
        <v>59</v>
      </c>
      <c r="K1069" s="33"/>
      <c r="L1069" s="19" t="s">
        <v>38</v>
      </c>
      <c r="M1069" s="20">
        <f t="shared" si="1"/>
        <v>0</v>
      </c>
      <c r="N1069" s="22"/>
      <c r="O1069" s="19" t="s">
        <v>3578</v>
      </c>
      <c r="P1069" s="18"/>
      <c r="Q1069" s="18"/>
      <c r="R1069" s="23">
        <v>0.0</v>
      </c>
      <c r="S1069" s="23">
        <v>0.0</v>
      </c>
      <c r="T1069" s="23">
        <f t="shared" si="2"/>
        <v>0</v>
      </c>
      <c r="U1069" s="23">
        <f t="shared" si="3"/>
        <v>0</v>
      </c>
      <c r="V1069" s="23">
        <f t="shared" si="4"/>
        <v>0</v>
      </c>
      <c r="W1069" s="24" t="str">
        <f t="shared" si="5"/>
        <v>#DIV/0!</v>
      </c>
    </row>
    <row r="1070" hidden="1">
      <c r="A1070" s="15" t="s">
        <v>2864</v>
      </c>
      <c r="B1070" s="15" t="s">
        <v>2865</v>
      </c>
      <c r="C1070" s="15" t="s">
        <v>7616</v>
      </c>
      <c r="D1070" s="18"/>
      <c r="E1070" s="17" t="s">
        <v>2866</v>
      </c>
      <c r="F1070" s="18"/>
      <c r="G1070" s="18"/>
      <c r="H1070" s="15" t="s">
        <v>2867</v>
      </c>
      <c r="I1070" s="18"/>
      <c r="J1070" s="19" t="s">
        <v>59</v>
      </c>
      <c r="K1070" s="33"/>
      <c r="L1070" s="19" t="s">
        <v>38</v>
      </c>
      <c r="M1070" s="20">
        <f t="shared" si="1"/>
        <v>0</v>
      </c>
      <c r="N1070" s="22"/>
      <c r="O1070" s="19" t="s">
        <v>1145</v>
      </c>
      <c r="P1070" s="18"/>
      <c r="Q1070" s="18"/>
      <c r="R1070" s="23">
        <v>0.0</v>
      </c>
      <c r="S1070" s="23">
        <v>0.0</v>
      </c>
      <c r="T1070" s="23">
        <f t="shared" si="2"/>
        <v>0</v>
      </c>
      <c r="U1070" s="23">
        <f t="shared" si="3"/>
        <v>0</v>
      </c>
      <c r="V1070" s="23">
        <f t="shared" si="4"/>
        <v>0</v>
      </c>
      <c r="W1070" s="24" t="str">
        <f t="shared" si="5"/>
        <v>#DIV/0!</v>
      </c>
    </row>
    <row r="1071" hidden="1">
      <c r="A1071" s="15" t="s">
        <v>5140</v>
      </c>
      <c r="B1071" s="15" t="s">
        <v>5141</v>
      </c>
      <c r="C1071" s="15" t="s">
        <v>7617</v>
      </c>
      <c r="D1071" s="15" t="s">
        <v>5142</v>
      </c>
      <c r="E1071" s="17" t="s">
        <v>5143</v>
      </c>
      <c r="F1071" s="18"/>
      <c r="G1071" s="18"/>
      <c r="H1071" s="15" t="s">
        <v>5144</v>
      </c>
      <c r="I1071" s="18"/>
      <c r="J1071" s="19" t="s">
        <v>59</v>
      </c>
      <c r="K1071" s="33"/>
      <c r="L1071" s="19" t="s">
        <v>38</v>
      </c>
      <c r="M1071" s="20">
        <f t="shared" si="1"/>
        <v>0</v>
      </c>
      <c r="N1071" s="22"/>
      <c r="O1071" s="19" t="s">
        <v>3578</v>
      </c>
      <c r="P1071" s="18"/>
      <c r="Q1071" s="18"/>
      <c r="R1071" s="23">
        <v>0.0</v>
      </c>
      <c r="S1071" s="23">
        <v>0.0</v>
      </c>
      <c r="T1071" s="23">
        <f t="shared" si="2"/>
        <v>0</v>
      </c>
      <c r="U1071" s="23">
        <f t="shared" si="3"/>
        <v>0</v>
      </c>
      <c r="V1071" s="23">
        <f t="shared" si="4"/>
        <v>0</v>
      </c>
      <c r="W1071" s="24" t="str">
        <f t="shared" si="5"/>
        <v>#DIV/0!</v>
      </c>
    </row>
    <row r="1072" hidden="1">
      <c r="A1072" s="15" t="s">
        <v>5145</v>
      </c>
      <c r="B1072" s="15" t="s">
        <v>5146</v>
      </c>
      <c r="C1072" s="15" t="s">
        <v>7618</v>
      </c>
      <c r="D1072" s="18"/>
      <c r="E1072" s="17" t="s">
        <v>5148</v>
      </c>
      <c r="F1072" s="18"/>
      <c r="G1072" s="18"/>
      <c r="H1072" s="15" t="s">
        <v>5149</v>
      </c>
      <c r="I1072" s="18"/>
      <c r="J1072" s="19" t="s">
        <v>59</v>
      </c>
      <c r="K1072" s="33"/>
      <c r="L1072" s="19" t="s">
        <v>38</v>
      </c>
      <c r="M1072" s="20">
        <f t="shared" si="1"/>
        <v>0</v>
      </c>
      <c r="N1072" s="22"/>
      <c r="O1072" s="19" t="s">
        <v>3578</v>
      </c>
      <c r="P1072" s="18"/>
      <c r="Q1072" s="18"/>
      <c r="R1072" s="23">
        <v>0.0</v>
      </c>
      <c r="S1072" s="23">
        <v>0.0</v>
      </c>
      <c r="T1072" s="23">
        <f t="shared" si="2"/>
        <v>0</v>
      </c>
      <c r="U1072" s="23">
        <f t="shared" si="3"/>
        <v>0</v>
      </c>
      <c r="V1072" s="23">
        <f t="shared" si="4"/>
        <v>0</v>
      </c>
      <c r="W1072" s="24" t="str">
        <f t="shared" si="5"/>
        <v>#DIV/0!</v>
      </c>
    </row>
    <row r="1073" hidden="1">
      <c r="A1073" s="15" t="s">
        <v>2868</v>
      </c>
      <c r="B1073" s="18"/>
      <c r="C1073" s="15" t="s">
        <v>7619</v>
      </c>
      <c r="D1073" s="18"/>
      <c r="E1073" s="17" t="s">
        <v>2869</v>
      </c>
      <c r="F1073" s="18"/>
      <c r="G1073" s="18"/>
      <c r="H1073" s="15" t="s">
        <v>2870</v>
      </c>
      <c r="I1073" s="18"/>
      <c r="J1073" s="19" t="s">
        <v>59</v>
      </c>
      <c r="K1073" s="19" t="s">
        <v>691</v>
      </c>
      <c r="L1073" s="19" t="s">
        <v>38</v>
      </c>
      <c r="M1073" s="20">
        <f t="shared" si="1"/>
        <v>0</v>
      </c>
      <c r="N1073" s="22"/>
      <c r="O1073" s="19" t="s">
        <v>1145</v>
      </c>
      <c r="P1073" s="18"/>
      <c r="Q1073" s="18"/>
      <c r="R1073" s="23">
        <v>0.0</v>
      </c>
      <c r="S1073" s="23">
        <v>0.0</v>
      </c>
      <c r="T1073" s="23">
        <f t="shared" si="2"/>
        <v>0</v>
      </c>
      <c r="U1073" s="23">
        <f t="shared" si="3"/>
        <v>0</v>
      </c>
      <c r="V1073" s="23">
        <f t="shared" si="4"/>
        <v>0</v>
      </c>
      <c r="W1073" s="24" t="str">
        <f t="shared" si="5"/>
        <v>#DIV/0!</v>
      </c>
    </row>
    <row r="1074" hidden="1">
      <c r="A1074" s="15" t="s">
        <v>7620</v>
      </c>
      <c r="B1074" s="18"/>
      <c r="C1074" s="15" t="s">
        <v>7621</v>
      </c>
      <c r="D1074" s="18"/>
      <c r="E1074" s="17" t="s">
        <v>7622</v>
      </c>
      <c r="F1074" s="18"/>
      <c r="G1074" s="18"/>
      <c r="H1074" s="15" t="s">
        <v>7623</v>
      </c>
      <c r="I1074" s="15" t="s">
        <v>796</v>
      </c>
      <c r="J1074" s="19" t="s">
        <v>59</v>
      </c>
      <c r="K1074" s="19" t="s">
        <v>691</v>
      </c>
      <c r="L1074" s="19" t="s">
        <v>38</v>
      </c>
      <c r="M1074" s="20">
        <f t="shared" si="1"/>
        <v>0</v>
      </c>
      <c r="N1074" s="22"/>
      <c r="O1074" s="19" t="s">
        <v>39</v>
      </c>
      <c r="P1074" s="18"/>
      <c r="Q1074" s="18"/>
      <c r="R1074" s="23">
        <v>0.0</v>
      </c>
      <c r="S1074" s="23">
        <v>0.0</v>
      </c>
      <c r="T1074" s="23">
        <f t="shared" si="2"/>
        <v>0</v>
      </c>
      <c r="U1074" s="23">
        <f t="shared" si="3"/>
        <v>0</v>
      </c>
      <c r="V1074" s="23">
        <f t="shared" si="4"/>
        <v>0</v>
      </c>
      <c r="W1074" s="24" t="str">
        <f t="shared" si="5"/>
        <v>#DIV/0!</v>
      </c>
    </row>
    <row r="1075" hidden="1">
      <c r="A1075" s="15" t="s">
        <v>7624</v>
      </c>
      <c r="B1075" s="18"/>
      <c r="C1075" s="15" t="s">
        <v>7625</v>
      </c>
      <c r="D1075" s="18"/>
      <c r="E1075" s="17" t="s">
        <v>7626</v>
      </c>
      <c r="F1075" s="18"/>
      <c r="G1075" s="18"/>
      <c r="H1075" s="15" t="s">
        <v>7627</v>
      </c>
      <c r="I1075" s="15" t="s">
        <v>531</v>
      </c>
      <c r="J1075" s="19" t="s">
        <v>59</v>
      </c>
      <c r="K1075" s="19" t="s">
        <v>691</v>
      </c>
      <c r="L1075" s="19" t="s">
        <v>38</v>
      </c>
      <c r="M1075" s="20">
        <f t="shared" si="1"/>
        <v>0</v>
      </c>
      <c r="N1075" s="22"/>
      <c r="O1075" s="19" t="s">
        <v>39</v>
      </c>
      <c r="P1075" s="18"/>
      <c r="Q1075" s="18"/>
      <c r="R1075" s="23">
        <v>0.0</v>
      </c>
      <c r="S1075" s="23">
        <v>0.0</v>
      </c>
      <c r="T1075" s="23">
        <f t="shared" si="2"/>
        <v>0</v>
      </c>
      <c r="U1075" s="23">
        <f t="shared" si="3"/>
        <v>0</v>
      </c>
      <c r="V1075" s="23">
        <f t="shared" si="4"/>
        <v>0</v>
      </c>
      <c r="W1075" s="24" t="str">
        <f t="shared" si="5"/>
        <v>#DIV/0!</v>
      </c>
    </row>
    <row r="1076" hidden="1">
      <c r="A1076" s="15" t="s">
        <v>7628</v>
      </c>
      <c r="B1076" s="18"/>
      <c r="C1076" s="15" t="s">
        <v>7629</v>
      </c>
      <c r="D1076" s="18"/>
      <c r="E1076" s="17" t="s">
        <v>7630</v>
      </c>
      <c r="F1076" s="18"/>
      <c r="G1076" s="18"/>
      <c r="H1076" s="15" t="s">
        <v>7631</v>
      </c>
      <c r="I1076" s="15" t="s">
        <v>526</v>
      </c>
      <c r="J1076" s="19" t="s">
        <v>59</v>
      </c>
      <c r="K1076" s="19" t="s">
        <v>691</v>
      </c>
      <c r="L1076" s="19" t="s">
        <v>38</v>
      </c>
      <c r="M1076" s="20">
        <f t="shared" si="1"/>
        <v>0</v>
      </c>
      <c r="N1076" s="22"/>
      <c r="O1076" s="19" t="s">
        <v>39</v>
      </c>
      <c r="P1076" s="18"/>
      <c r="Q1076" s="18"/>
      <c r="R1076" s="23">
        <v>0.0</v>
      </c>
      <c r="S1076" s="23">
        <v>0.0</v>
      </c>
      <c r="T1076" s="23">
        <f t="shared" si="2"/>
        <v>0</v>
      </c>
      <c r="U1076" s="23">
        <f t="shared" si="3"/>
        <v>0</v>
      </c>
      <c r="V1076" s="23">
        <f t="shared" si="4"/>
        <v>0</v>
      </c>
      <c r="W1076" s="24" t="str">
        <f t="shared" si="5"/>
        <v>#DIV/0!</v>
      </c>
    </row>
    <row r="1077" hidden="1">
      <c r="A1077" s="15" t="s">
        <v>7632</v>
      </c>
      <c r="B1077" s="18"/>
      <c r="C1077" s="15" t="s">
        <v>7633</v>
      </c>
      <c r="D1077" s="18"/>
      <c r="E1077" s="17" t="s">
        <v>7634</v>
      </c>
      <c r="F1077" s="18"/>
      <c r="G1077" s="18"/>
      <c r="H1077" s="15" t="s">
        <v>7635</v>
      </c>
      <c r="I1077" s="15" t="s">
        <v>849</v>
      </c>
      <c r="J1077" s="19" t="s">
        <v>59</v>
      </c>
      <c r="K1077" s="19" t="s">
        <v>691</v>
      </c>
      <c r="L1077" s="19" t="s">
        <v>38</v>
      </c>
      <c r="M1077" s="20">
        <f t="shared" si="1"/>
        <v>0</v>
      </c>
      <c r="N1077" s="22"/>
      <c r="O1077" s="19" t="s">
        <v>39</v>
      </c>
      <c r="P1077" s="18"/>
      <c r="Q1077" s="18"/>
      <c r="R1077" s="23">
        <v>0.0</v>
      </c>
      <c r="S1077" s="23">
        <v>0.0</v>
      </c>
      <c r="T1077" s="23">
        <f t="shared" si="2"/>
        <v>0</v>
      </c>
      <c r="U1077" s="23">
        <f t="shared" si="3"/>
        <v>0</v>
      </c>
      <c r="V1077" s="23">
        <f t="shared" si="4"/>
        <v>0</v>
      </c>
      <c r="W1077" s="24" t="str">
        <f t="shared" si="5"/>
        <v>#DIV/0!</v>
      </c>
    </row>
    <row r="1078" hidden="1">
      <c r="A1078" s="15" t="s">
        <v>2871</v>
      </c>
      <c r="B1078" s="18"/>
      <c r="C1078" s="15" t="s">
        <v>7636</v>
      </c>
      <c r="D1078" s="18"/>
      <c r="E1078" s="17" t="s">
        <v>2872</v>
      </c>
      <c r="F1078" s="18"/>
      <c r="G1078" s="18"/>
      <c r="H1078" s="15"/>
      <c r="I1078" s="15" t="s">
        <v>2873</v>
      </c>
      <c r="J1078" s="19" t="s">
        <v>59</v>
      </c>
      <c r="K1078" s="19" t="s">
        <v>2396</v>
      </c>
      <c r="L1078" s="19" t="s">
        <v>38</v>
      </c>
      <c r="M1078" s="20">
        <f t="shared" si="1"/>
        <v>0</v>
      </c>
      <c r="N1078" s="22"/>
      <c r="O1078" s="19" t="s">
        <v>1145</v>
      </c>
      <c r="P1078" s="18"/>
      <c r="Q1078" s="18"/>
      <c r="R1078" s="23">
        <v>0.0</v>
      </c>
      <c r="S1078" s="23">
        <v>0.0</v>
      </c>
      <c r="T1078" s="23">
        <f t="shared" si="2"/>
        <v>0</v>
      </c>
      <c r="U1078" s="23">
        <f t="shared" si="3"/>
        <v>0</v>
      </c>
      <c r="V1078" s="23">
        <f t="shared" si="4"/>
        <v>0</v>
      </c>
      <c r="W1078" s="24" t="str">
        <f t="shared" si="5"/>
        <v>#DIV/0!</v>
      </c>
    </row>
    <row r="1079" hidden="1">
      <c r="A1079" s="15" t="s">
        <v>2874</v>
      </c>
      <c r="B1079" s="18"/>
      <c r="C1079" s="15" t="s">
        <v>7637</v>
      </c>
      <c r="D1079" s="18"/>
      <c r="E1079" s="17" t="s">
        <v>2875</v>
      </c>
      <c r="F1079" s="18"/>
      <c r="G1079" s="18"/>
      <c r="H1079" s="15"/>
      <c r="I1079" s="15" t="s">
        <v>2876</v>
      </c>
      <c r="J1079" s="19" t="s">
        <v>59</v>
      </c>
      <c r="K1079" s="19" t="s">
        <v>2396</v>
      </c>
      <c r="L1079" s="19" t="s">
        <v>38</v>
      </c>
      <c r="M1079" s="20">
        <f t="shared" si="1"/>
        <v>0</v>
      </c>
      <c r="N1079" s="22"/>
      <c r="O1079" s="19" t="s">
        <v>1145</v>
      </c>
      <c r="P1079" s="18"/>
      <c r="Q1079" s="18"/>
      <c r="R1079" s="23">
        <v>0.0</v>
      </c>
      <c r="S1079" s="23">
        <v>0.0</v>
      </c>
      <c r="T1079" s="23">
        <f t="shared" si="2"/>
        <v>0</v>
      </c>
      <c r="U1079" s="23">
        <f t="shared" si="3"/>
        <v>0</v>
      </c>
      <c r="V1079" s="23">
        <f t="shared" si="4"/>
        <v>0</v>
      </c>
      <c r="W1079" s="24" t="str">
        <f t="shared" si="5"/>
        <v>#DIV/0!</v>
      </c>
    </row>
    <row r="1080">
      <c r="A1080" s="15" t="s">
        <v>850</v>
      </c>
      <c r="B1080" s="15" t="s">
        <v>851</v>
      </c>
      <c r="C1080" s="15" t="s">
        <v>7638</v>
      </c>
      <c r="D1080" s="15" t="s">
        <v>852</v>
      </c>
      <c r="E1080" s="17" t="s">
        <v>853</v>
      </c>
      <c r="F1080" s="18"/>
      <c r="G1080" s="15" t="s">
        <v>683</v>
      </c>
      <c r="H1080" s="15" t="s">
        <v>854</v>
      </c>
      <c r="I1080" s="18"/>
      <c r="J1080" s="19" t="s">
        <v>59</v>
      </c>
      <c r="K1080" s="19" t="s">
        <v>60</v>
      </c>
      <c r="L1080" s="19" t="s">
        <v>292</v>
      </c>
      <c r="M1080" s="20">
        <f t="shared" si="1"/>
        <v>3516.48</v>
      </c>
      <c r="N1080" s="31">
        <v>2.0</v>
      </c>
      <c r="O1080" s="19" t="s">
        <v>107</v>
      </c>
      <c r="P1080" s="18"/>
      <c r="Q1080" s="18"/>
      <c r="R1080" s="23">
        <v>47.0</v>
      </c>
      <c r="S1080" s="23">
        <v>198.0</v>
      </c>
      <c r="T1080" s="23">
        <f t="shared" si="2"/>
        <v>190.08</v>
      </c>
      <c r="U1080" s="23">
        <f t="shared" si="3"/>
        <v>57.575</v>
      </c>
      <c r="V1080" s="23">
        <f t="shared" si="4"/>
        <v>1079.53125</v>
      </c>
      <c r="W1080" s="24">
        <f t="shared" si="5"/>
        <v>4.044255319</v>
      </c>
    </row>
    <row r="1081" hidden="1">
      <c r="A1081" s="15" t="s">
        <v>2877</v>
      </c>
      <c r="B1081" s="18"/>
      <c r="C1081" s="15" t="s">
        <v>7639</v>
      </c>
      <c r="D1081" s="18"/>
      <c r="E1081" s="17" t="s">
        <v>2878</v>
      </c>
      <c r="F1081" s="18"/>
      <c r="G1081" s="18"/>
      <c r="H1081" s="15" t="s">
        <v>2879</v>
      </c>
      <c r="I1081" s="15" t="s">
        <v>2880</v>
      </c>
      <c r="J1081" s="19" t="s">
        <v>59</v>
      </c>
      <c r="K1081" s="19" t="s">
        <v>2396</v>
      </c>
      <c r="L1081" s="19" t="s">
        <v>38</v>
      </c>
      <c r="M1081" s="20">
        <f t="shared" si="1"/>
        <v>0</v>
      </c>
      <c r="N1081" s="22"/>
      <c r="O1081" s="19" t="s">
        <v>1145</v>
      </c>
      <c r="P1081" s="18"/>
      <c r="Q1081" s="18"/>
      <c r="R1081" s="23">
        <v>0.0</v>
      </c>
      <c r="S1081" s="23">
        <v>0.0</v>
      </c>
      <c r="T1081" s="23">
        <f t="shared" si="2"/>
        <v>0</v>
      </c>
      <c r="U1081" s="23">
        <f t="shared" si="3"/>
        <v>0</v>
      </c>
      <c r="V1081" s="23">
        <f t="shared" si="4"/>
        <v>0</v>
      </c>
      <c r="W1081" s="24" t="str">
        <f t="shared" si="5"/>
        <v>#DIV/0!</v>
      </c>
    </row>
    <row r="1082" hidden="1">
      <c r="A1082" s="15" t="s">
        <v>2881</v>
      </c>
      <c r="B1082" s="18"/>
      <c r="C1082" s="15" t="s">
        <v>7640</v>
      </c>
      <c r="D1082" s="18"/>
      <c r="E1082" s="17" t="s">
        <v>2882</v>
      </c>
      <c r="F1082" s="18"/>
      <c r="G1082" s="18"/>
      <c r="H1082" s="15" t="s">
        <v>2883</v>
      </c>
      <c r="I1082" s="15" t="s">
        <v>2884</v>
      </c>
      <c r="J1082" s="19" t="s">
        <v>59</v>
      </c>
      <c r="K1082" s="19" t="s">
        <v>2401</v>
      </c>
      <c r="L1082" s="19" t="s">
        <v>38</v>
      </c>
      <c r="M1082" s="20">
        <f t="shared" si="1"/>
        <v>0</v>
      </c>
      <c r="N1082" s="22"/>
      <c r="O1082" s="19" t="s">
        <v>1145</v>
      </c>
      <c r="P1082" s="18"/>
      <c r="Q1082" s="18"/>
      <c r="R1082" s="23">
        <v>0.0</v>
      </c>
      <c r="S1082" s="23">
        <v>0.0</v>
      </c>
      <c r="T1082" s="23">
        <f t="shared" si="2"/>
        <v>0</v>
      </c>
      <c r="U1082" s="23">
        <f t="shared" si="3"/>
        <v>0</v>
      </c>
      <c r="V1082" s="23">
        <f t="shared" si="4"/>
        <v>0</v>
      </c>
      <c r="W1082" s="24" t="str">
        <f t="shared" si="5"/>
        <v>#DIV/0!</v>
      </c>
    </row>
    <row r="1083" hidden="1">
      <c r="A1083" s="15" t="s">
        <v>2885</v>
      </c>
      <c r="B1083" s="18"/>
      <c r="C1083" s="15" t="s">
        <v>7641</v>
      </c>
      <c r="D1083" s="18"/>
      <c r="E1083" s="17" t="s">
        <v>2882</v>
      </c>
      <c r="F1083" s="18"/>
      <c r="G1083" s="18"/>
      <c r="H1083" s="15" t="s">
        <v>2886</v>
      </c>
      <c r="I1083" s="15" t="s">
        <v>2887</v>
      </c>
      <c r="J1083" s="19" t="s">
        <v>59</v>
      </c>
      <c r="K1083" s="19" t="s">
        <v>2401</v>
      </c>
      <c r="L1083" s="19" t="s">
        <v>38</v>
      </c>
      <c r="M1083" s="20">
        <f t="shared" si="1"/>
        <v>0</v>
      </c>
      <c r="N1083" s="22"/>
      <c r="O1083" s="19" t="s">
        <v>1145</v>
      </c>
      <c r="P1083" s="18"/>
      <c r="Q1083" s="18"/>
      <c r="R1083" s="23">
        <v>0.0</v>
      </c>
      <c r="S1083" s="23">
        <v>0.0</v>
      </c>
      <c r="T1083" s="23">
        <f t="shared" si="2"/>
        <v>0</v>
      </c>
      <c r="U1083" s="23">
        <f t="shared" si="3"/>
        <v>0</v>
      </c>
      <c r="V1083" s="23">
        <f t="shared" si="4"/>
        <v>0</v>
      </c>
      <c r="W1083" s="24" t="str">
        <f t="shared" si="5"/>
        <v>#DIV/0!</v>
      </c>
    </row>
    <row r="1084">
      <c r="A1084" s="15" t="s">
        <v>1009</v>
      </c>
      <c r="B1084" s="15" t="s">
        <v>1010</v>
      </c>
      <c r="C1084" s="15" t="s">
        <v>6106</v>
      </c>
      <c r="D1084" s="15" t="s">
        <v>1011</v>
      </c>
      <c r="E1084" s="17" t="s">
        <v>1012</v>
      </c>
      <c r="F1084" s="18"/>
      <c r="G1084" s="18"/>
      <c r="H1084" s="15" t="s">
        <v>1013</v>
      </c>
      <c r="I1084" s="18"/>
      <c r="J1084" s="19" t="s">
        <v>59</v>
      </c>
      <c r="K1084" s="19" t="s">
        <v>200</v>
      </c>
      <c r="L1084" s="19" t="s">
        <v>38</v>
      </c>
      <c r="M1084" s="20">
        <f t="shared" si="1"/>
        <v>124.32</v>
      </c>
      <c r="N1084" s="31">
        <v>16.0</v>
      </c>
      <c r="O1084" s="19" t="s">
        <v>107</v>
      </c>
      <c r="P1084" s="18"/>
      <c r="Q1084" s="18"/>
      <c r="R1084" s="23">
        <v>2.0</v>
      </c>
      <c r="S1084" s="23">
        <v>7.0</v>
      </c>
      <c r="T1084" s="23">
        <f t="shared" si="2"/>
        <v>6.72</v>
      </c>
      <c r="U1084" s="23">
        <f t="shared" si="3"/>
        <v>2.45</v>
      </c>
      <c r="V1084" s="23">
        <f t="shared" si="4"/>
        <v>45.9375</v>
      </c>
      <c r="W1084" s="24">
        <f t="shared" si="5"/>
        <v>3.36</v>
      </c>
    </row>
    <row r="1085">
      <c r="A1085" s="15" t="s">
        <v>901</v>
      </c>
      <c r="B1085" s="15" t="s">
        <v>902</v>
      </c>
      <c r="C1085" s="15" t="s">
        <v>7642</v>
      </c>
      <c r="D1085" s="15" t="s">
        <v>903</v>
      </c>
      <c r="E1085" s="17" t="s">
        <v>904</v>
      </c>
      <c r="F1085" s="18"/>
      <c r="G1085" s="18"/>
      <c r="H1085" s="15" t="s">
        <v>905</v>
      </c>
      <c r="I1085" s="18"/>
      <c r="J1085" s="19" t="s">
        <v>59</v>
      </c>
      <c r="K1085" s="19" t="s">
        <v>200</v>
      </c>
      <c r="L1085" s="19" t="s">
        <v>38</v>
      </c>
      <c r="M1085" s="20">
        <f t="shared" si="1"/>
        <v>142.08</v>
      </c>
      <c r="N1085" s="31">
        <v>16.0</v>
      </c>
      <c r="O1085" s="19" t="s">
        <v>107</v>
      </c>
      <c r="P1085" s="18"/>
      <c r="Q1085" s="18"/>
      <c r="R1085" s="23">
        <v>2.0</v>
      </c>
      <c r="S1085" s="23">
        <v>8.0</v>
      </c>
      <c r="T1085" s="23">
        <f t="shared" si="2"/>
        <v>7.68</v>
      </c>
      <c r="U1085" s="23">
        <f t="shared" si="3"/>
        <v>2.45</v>
      </c>
      <c r="V1085" s="23">
        <f t="shared" si="4"/>
        <v>45.9375</v>
      </c>
      <c r="W1085" s="24">
        <f t="shared" si="5"/>
        <v>3.84</v>
      </c>
    </row>
    <row r="1086">
      <c r="A1086" s="15" t="s">
        <v>786</v>
      </c>
      <c r="B1086" s="15" t="s">
        <v>787</v>
      </c>
      <c r="C1086" s="15" t="s">
        <v>6107</v>
      </c>
      <c r="D1086" s="15" t="s">
        <v>788</v>
      </c>
      <c r="E1086" s="17" t="s">
        <v>789</v>
      </c>
      <c r="F1086" s="18"/>
      <c r="G1086" s="18"/>
      <c r="H1086" s="15" t="s">
        <v>790</v>
      </c>
      <c r="I1086" s="18"/>
      <c r="J1086" s="19" t="s">
        <v>59</v>
      </c>
      <c r="K1086" s="19" t="s">
        <v>200</v>
      </c>
      <c r="L1086" s="19" t="s">
        <v>38</v>
      </c>
      <c r="M1086" s="20">
        <f t="shared" si="1"/>
        <v>159.84</v>
      </c>
      <c r="N1086" s="31">
        <v>16.0</v>
      </c>
      <c r="O1086" s="19" t="s">
        <v>107</v>
      </c>
      <c r="P1086" s="18"/>
      <c r="Q1086" s="18"/>
      <c r="R1086" s="23">
        <v>2.0</v>
      </c>
      <c r="S1086" s="23">
        <v>9.0</v>
      </c>
      <c r="T1086" s="23">
        <f t="shared" si="2"/>
        <v>8.64</v>
      </c>
      <c r="U1086" s="23">
        <f t="shared" si="3"/>
        <v>2.45</v>
      </c>
      <c r="V1086" s="23">
        <f t="shared" si="4"/>
        <v>45.9375</v>
      </c>
      <c r="W1086" s="24">
        <f t="shared" si="5"/>
        <v>4.32</v>
      </c>
    </row>
    <row r="1087" hidden="1">
      <c r="A1087" s="15" t="s">
        <v>2888</v>
      </c>
      <c r="B1087" s="15" t="s">
        <v>2889</v>
      </c>
      <c r="C1087" s="15" t="s">
        <v>7643</v>
      </c>
      <c r="D1087" s="18"/>
      <c r="E1087" s="17" t="s">
        <v>2890</v>
      </c>
      <c r="F1087" s="18"/>
      <c r="G1087" s="18"/>
      <c r="H1087" s="15" t="s">
        <v>2891</v>
      </c>
      <c r="I1087" s="18"/>
      <c r="J1087" s="19" t="s">
        <v>59</v>
      </c>
      <c r="K1087" s="33"/>
      <c r="L1087" s="19" t="s">
        <v>38</v>
      </c>
      <c r="M1087" s="20">
        <f t="shared" si="1"/>
        <v>0</v>
      </c>
      <c r="N1087" s="22"/>
      <c r="O1087" s="19" t="s">
        <v>1145</v>
      </c>
      <c r="P1087" s="18"/>
      <c r="Q1087" s="18"/>
      <c r="R1087" s="23">
        <v>0.0</v>
      </c>
      <c r="S1087" s="23">
        <v>0.0</v>
      </c>
      <c r="T1087" s="23">
        <f t="shared" si="2"/>
        <v>0</v>
      </c>
      <c r="U1087" s="23">
        <f t="shared" si="3"/>
        <v>0</v>
      </c>
      <c r="V1087" s="23">
        <f t="shared" si="4"/>
        <v>0</v>
      </c>
      <c r="W1087" s="24" t="str">
        <f t="shared" si="5"/>
        <v>#DIV/0!</v>
      </c>
    </row>
    <row r="1088">
      <c r="A1088" s="15" t="s">
        <v>645</v>
      </c>
      <c r="B1088" s="15" t="s">
        <v>646</v>
      </c>
      <c r="C1088" s="15" t="s">
        <v>6035</v>
      </c>
      <c r="D1088" s="15" t="s">
        <v>7644</v>
      </c>
      <c r="E1088" s="17" t="s">
        <v>648</v>
      </c>
      <c r="F1088" s="18"/>
      <c r="G1088" s="15" t="s">
        <v>649</v>
      </c>
      <c r="H1088" s="15" t="s">
        <v>650</v>
      </c>
      <c r="I1088" s="18"/>
      <c r="J1088" s="19" t="s">
        <v>59</v>
      </c>
      <c r="K1088" s="19" t="s">
        <v>427</v>
      </c>
      <c r="L1088" s="19" t="s">
        <v>292</v>
      </c>
      <c r="M1088" s="20">
        <f t="shared" si="1"/>
        <v>1669.44</v>
      </c>
      <c r="N1088" s="31">
        <v>5.0</v>
      </c>
      <c r="O1088" s="19" t="s">
        <v>107</v>
      </c>
      <c r="P1088" s="18"/>
      <c r="Q1088" s="18"/>
      <c r="R1088" s="23">
        <v>18.0</v>
      </c>
      <c r="S1088" s="23">
        <v>94.0</v>
      </c>
      <c r="T1088" s="23">
        <f t="shared" si="2"/>
        <v>90.24</v>
      </c>
      <c r="U1088" s="23">
        <f t="shared" si="3"/>
        <v>22.05</v>
      </c>
      <c r="V1088" s="23">
        <f t="shared" si="4"/>
        <v>413.4375</v>
      </c>
      <c r="W1088" s="24">
        <f t="shared" si="5"/>
        <v>5.013333333</v>
      </c>
    </row>
    <row r="1089" hidden="1">
      <c r="A1089" s="15" t="s">
        <v>2892</v>
      </c>
      <c r="B1089" s="18"/>
      <c r="C1089" s="15" t="s">
        <v>7645</v>
      </c>
      <c r="D1089" s="18"/>
      <c r="E1089" s="17" t="s">
        <v>2430</v>
      </c>
      <c r="F1089" s="18"/>
      <c r="G1089" s="18"/>
      <c r="H1089" s="15" t="s">
        <v>2893</v>
      </c>
      <c r="I1089" s="15" t="s">
        <v>2894</v>
      </c>
      <c r="J1089" s="19" t="s">
        <v>59</v>
      </c>
      <c r="K1089" s="19" t="s">
        <v>691</v>
      </c>
      <c r="L1089" s="19" t="s">
        <v>38</v>
      </c>
      <c r="M1089" s="20">
        <f t="shared" si="1"/>
        <v>0</v>
      </c>
      <c r="N1089" s="22"/>
      <c r="O1089" s="19" t="s">
        <v>1145</v>
      </c>
      <c r="P1089" s="18"/>
      <c r="Q1089" s="18"/>
      <c r="R1089" s="23">
        <v>0.0</v>
      </c>
      <c r="S1089" s="23">
        <v>0.0</v>
      </c>
      <c r="T1089" s="23">
        <f t="shared" si="2"/>
        <v>0</v>
      </c>
      <c r="U1089" s="23">
        <f t="shared" si="3"/>
        <v>0</v>
      </c>
      <c r="V1089" s="23">
        <f t="shared" si="4"/>
        <v>0</v>
      </c>
      <c r="W1089" s="24" t="str">
        <f t="shared" si="5"/>
        <v>#DIV/0!</v>
      </c>
    </row>
    <row r="1090" hidden="1">
      <c r="A1090" s="15" t="s">
        <v>2895</v>
      </c>
      <c r="B1090" s="18"/>
      <c r="C1090" s="15" t="s">
        <v>7646</v>
      </c>
      <c r="D1090" s="18"/>
      <c r="E1090" s="17" t="s">
        <v>2896</v>
      </c>
      <c r="F1090" s="18"/>
      <c r="G1090" s="18"/>
      <c r="H1090" s="15" t="s">
        <v>2897</v>
      </c>
      <c r="I1090" s="15" t="s">
        <v>2898</v>
      </c>
      <c r="J1090" s="19" t="s">
        <v>59</v>
      </c>
      <c r="K1090" s="19" t="s">
        <v>691</v>
      </c>
      <c r="L1090" s="19" t="s">
        <v>38</v>
      </c>
      <c r="M1090" s="20">
        <f t="shared" si="1"/>
        <v>0</v>
      </c>
      <c r="N1090" s="22"/>
      <c r="O1090" s="19" t="s">
        <v>1145</v>
      </c>
      <c r="P1090" s="18"/>
      <c r="Q1090" s="18"/>
      <c r="R1090" s="23">
        <v>0.0</v>
      </c>
      <c r="S1090" s="23">
        <v>0.0</v>
      </c>
      <c r="T1090" s="23">
        <f t="shared" si="2"/>
        <v>0</v>
      </c>
      <c r="U1090" s="23">
        <f t="shared" si="3"/>
        <v>0</v>
      </c>
      <c r="V1090" s="23">
        <f t="shared" si="4"/>
        <v>0</v>
      </c>
      <c r="W1090" s="24" t="str">
        <f t="shared" si="5"/>
        <v>#DIV/0!</v>
      </c>
    </row>
    <row r="1091" hidden="1">
      <c r="A1091" s="15" t="s">
        <v>2899</v>
      </c>
      <c r="B1091" s="18"/>
      <c r="C1091" s="15" t="s">
        <v>7647</v>
      </c>
      <c r="D1091" s="18"/>
      <c r="E1091" s="17" t="s">
        <v>2900</v>
      </c>
      <c r="F1091" s="18"/>
      <c r="G1091" s="18"/>
      <c r="H1091" s="15" t="s">
        <v>2901</v>
      </c>
      <c r="I1091" s="15" t="s">
        <v>2902</v>
      </c>
      <c r="J1091" s="19" t="s">
        <v>59</v>
      </c>
      <c r="K1091" s="19" t="s">
        <v>691</v>
      </c>
      <c r="L1091" s="19" t="s">
        <v>38</v>
      </c>
      <c r="M1091" s="20">
        <f t="shared" si="1"/>
        <v>0</v>
      </c>
      <c r="N1091" s="22"/>
      <c r="O1091" s="19" t="s">
        <v>1145</v>
      </c>
      <c r="P1091" s="18"/>
      <c r="Q1091" s="18"/>
      <c r="R1091" s="23">
        <v>0.0</v>
      </c>
      <c r="S1091" s="23">
        <v>0.0</v>
      </c>
      <c r="T1091" s="23">
        <f t="shared" si="2"/>
        <v>0</v>
      </c>
      <c r="U1091" s="23">
        <f t="shared" si="3"/>
        <v>0</v>
      </c>
      <c r="V1091" s="23">
        <f t="shared" si="4"/>
        <v>0</v>
      </c>
      <c r="W1091" s="24" t="str">
        <f t="shared" si="5"/>
        <v>#DIV/0!</v>
      </c>
    </row>
    <row r="1092" hidden="1">
      <c r="A1092" s="15" t="s">
        <v>7648</v>
      </c>
      <c r="B1092" s="18"/>
      <c r="C1092" s="15" t="s">
        <v>7649</v>
      </c>
      <c r="D1092" s="18"/>
      <c r="E1092" s="17" t="s">
        <v>7650</v>
      </c>
      <c r="F1092" s="18"/>
      <c r="G1092" s="18"/>
      <c r="H1092" s="15" t="s">
        <v>7651</v>
      </c>
      <c r="I1092" s="15" t="s">
        <v>650</v>
      </c>
      <c r="J1092" s="19" t="s">
        <v>59</v>
      </c>
      <c r="K1092" s="19" t="s">
        <v>691</v>
      </c>
      <c r="L1092" s="19" t="s">
        <v>38</v>
      </c>
      <c r="M1092" s="20">
        <f t="shared" si="1"/>
        <v>0</v>
      </c>
      <c r="N1092" s="22"/>
      <c r="O1092" s="19" t="s">
        <v>39</v>
      </c>
      <c r="P1092" s="18"/>
      <c r="Q1092" s="18"/>
      <c r="R1092" s="23">
        <v>0.0</v>
      </c>
      <c r="S1092" s="23">
        <v>0.0</v>
      </c>
      <c r="T1092" s="23">
        <f t="shared" si="2"/>
        <v>0</v>
      </c>
      <c r="U1092" s="23">
        <f t="shared" si="3"/>
        <v>0</v>
      </c>
      <c r="V1092" s="23">
        <f t="shared" si="4"/>
        <v>0</v>
      </c>
      <c r="W1092" s="24" t="str">
        <f t="shared" si="5"/>
        <v>#DIV/0!</v>
      </c>
    </row>
    <row r="1093" hidden="1">
      <c r="A1093" s="15" t="s">
        <v>2903</v>
      </c>
      <c r="B1093" s="18"/>
      <c r="C1093" s="15" t="s">
        <v>7652</v>
      </c>
      <c r="D1093" s="18"/>
      <c r="E1093" s="17" t="s">
        <v>2904</v>
      </c>
      <c r="F1093" s="18"/>
      <c r="G1093" s="18"/>
      <c r="H1093" s="15" t="s">
        <v>2905</v>
      </c>
      <c r="I1093" s="15" t="s">
        <v>2906</v>
      </c>
      <c r="J1093" s="19" t="s">
        <v>59</v>
      </c>
      <c r="K1093" s="19" t="s">
        <v>691</v>
      </c>
      <c r="L1093" s="19" t="s">
        <v>38</v>
      </c>
      <c r="M1093" s="20">
        <f t="shared" si="1"/>
        <v>0</v>
      </c>
      <c r="N1093" s="22"/>
      <c r="O1093" s="19" t="s">
        <v>1145</v>
      </c>
      <c r="P1093" s="18"/>
      <c r="Q1093" s="18"/>
      <c r="R1093" s="23">
        <v>0.0</v>
      </c>
      <c r="S1093" s="23">
        <v>0.0</v>
      </c>
      <c r="T1093" s="23">
        <f t="shared" si="2"/>
        <v>0</v>
      </c>
      <c r="U1093" s="23">
        <f t="shared" si="3"/>
        <v>0</v>
      </c>
      <c r="V1093" s="23">
        <f t="shared" si="4"/>
        <v>0</v>
      </c>
      <c r="W1093" s="24" t="str">
        <f t="shared" si="5"/>
        <v>#DIV/0!</v>
      </c>
    </row>
    <row r="1094" hidden="1">
      <c r="A1094" s="15" t="s">
        <v>5150</v>
      </c>
      <c r="B1094" s="18"/>
      <c r="C1094" s="15" t="s">
        <v>7653</v>
      </c>
      <c r="D1094" s="18"/>
      <c r="E1094" s="17" t="s">
        <v>7654</v>
      </c>
      <c r="F1094" s="18"/>
      <c r="G1094" s="18"/>
      <c r="H1094" s="15" t="s">
        <v>5154</v>
      </c>
      <c r="I1094" s="15" t="s">
        <v>5153</v>
      </c>
      <c r="J1094" s="19" t="s">
        <v>59</v>
      </c>
      <c r="K1094" s="19" t="s">
        <v>2382</v>
      </c>
      <c r="L1094" s="19" t="s">
        <v>38</v>
      </c>
      <c r="M1094" s="20">
        <f t="shared" si="1"/>
        <v>0</v>
      </c>
      <c r="N1094" s="22"/>
      <c r="O1094" s="19" t="s">
        <v>1145</v>
      </c>
      <c r="P1094" s="18"/>
      <c r="Q1094" s="18"/>
      <c r="R1094" s="23">
        <v>0.0</v>
      </c>
      <c r="S1094" s="23">
        <v>0.0</v>
      </c>
      <c r="T1094" s="23">
        <f t="shared" si="2"/>
        <v>0</v>
      </c>
      <c r="U1094" s="23">
        <f t="shared" si="3"/>
        <v>0</v>
      </c>
      <c r="V1094" s="23">
        <f t="shared" si="4"/>
        <v>0</v>
      </c>
      <c r="W1094" s="24" t="str">
        <f t="shared" si="5"/>
        <v>#DIV/0!</v>
      </c>
    </row>
    <row r="1095" hidden="1">
      <c r="A1095" s="15" t="s">
        <v>2907</v>
      </c>
      <c r="B1095" s="18"/>
      <c r="C1095" s="15" t="s">
        <v>7655</v>
      </c>
      <c r="D1095" s="18"/>
      <c r="E1095" s="17" t="s">
        <v>2908</v>
      </c>
      <c r="F1095" s="18"/>
      <c r="G1095" s="18"/>
      <c r="H1095" s="15" t="s">
        <v>2909</v>
      </c>
      <c r="I1095" s="15" t="s">
        <v>2910</v>
      </c>
      <c r="J1095" s="19" t="s">
        <v>59</v>
      </c>
      <c r="K1095" s="19" t="s">
        <v>2382</v>
      </c>
      <c r="L1095" s="19" t="s">
        <v>38</v>
      </c>
      <c r="M1095" s="20">
        <f t="shared" si="1"/>
        <v>0</v>
      </c>
      <c r="N1095" s="22"/>
      <c r="O1095" s="19" t="s">
        <v>1145</v>
      </c>
      <c r="P1095" s="18"/>
      <c r="Q1095" s="18"/>
      <c r="R1095" s="23">
        <v>0.0</v>
      </c>
      <c r="S1095" s="23">
        <v>0.0</v>
      </c>
      <c r="T1095" s="23">
        <f t="shared" si="2"/>
        <v>0</v>
      </c>
      <c r="U1095" s="23">
        <f t="shared" si="3"/>
        <v>0</v>
      </c>
      <c r="V1095" s="23">
        <f t="shared" si="4"/>
        <v>0</v>
      </c>
      <c r="W1095" s="24" t="str">
        <f t="shared" si="5"/>
        <v>#DIV/0!</v>
      </c>
    </row>
    <row r="1096" hidden="1">
      <c r="A1096" s="15" t="s">
        <v>2911</v>
      </c>
      <c r="B1096" s="18"/>
      <c r="C1096" s="15" t="s">
        <v>7656</v>
      </c>
      <c r="D1096" s="18"/>
      <c r="E1096" s="17" t="s">
        <v>2912</v>
      </c>
      <c r="F1096" s="18"/>
      <c r="G1096" s="18"/>
      <c r="H1096" s="15" t="s">
        <v>2913</v>
      </c>
      <c r="I1096" s="15" t="s">
        <v>2914</v>
      </c>
      <c r="J1096" s="19" t="s">
        <v>59</v>
      </c>
      <c r="K1096" s="19" t="s">
        <v>60</v>
      </c>
      <c r="L1096" s="19" t="s">
        <v>38</v>
      </c>
      <c r="M1096" s="20">
        <f t="shared" si="1"/>
        <v>0</v>
      </c>
      <c r="N1096" s="31"/>
      <c r="O1096" s="19" t="s">
        <v>1145</v>
      </c>
      <c r="P1096" s="18"/>
      <c r="Q1096" s="18"/>
      <c r="R1096" s="23">
        <v>0.0</v>
      </c>
      <c r="S1096" s="23">
        <v>0.0</v>
      </c>
      <c r="T1096" s="23">
        <f t="shared" si="2"/>
        <v>0</v>
      </c>
      <c r="U1096" s="23">
        <f t="shared" si="3"/>
        <v>0</v>
      </c>
      <c r="V1096" s="23">
        <f t="shared" si="4"/>
        <v>0</v>
      </c>
      <c r="W1096" s="24" t="str">
        <f t="shared" si="5"/>
        <v>#DIV/0!</v>
      </c>
    </row>
    <row r="1097">
      <c r="A1097" s="15" t="s">
        <v>865</v>
      </c>
      <c r="B1097" s="15" t="s">
        <v>866</v>
      </c>
      <c r="C1097" s="15" t="s">
        <v>7657</v>
      </c>
      <c r="D1097" s="15" t="s">
        <v>867</v>
      </c>
      <c r="E1097" s="17" t="s">
        <v>868</v>
      </c>
      <c r="F1097" s="18"/>
      <c r="G1097" s="15" t="s">
        <v>869</v>
      </c>
      <c r="H1097" s="15" t="s">
        <v>870</v>
      </c>
      <c r="I1097" s="18"/>
      <c r="J1097" s="19" t="s">
        <v>59</v>
      </c>
      <c r="K1097" s="19" t="s">
        <v>496</v>
      </c>
      <c r="L1097" s="19" t="s">
        <v>292</v>
      </c>
      <c r="M1097" s="20">
        <f t="shared" si="1"/>
        <v>515.04</v>
      </c>
      <c r="N1097" s="31">
        <v>2.0</v>
      </c>
      <c r="O1097" s="19" t="s">
        <v>107</v>
      </c>
      <c r="P1097" s="18"/>
      <c r="Q1097" s="18"/>
      <c r="R1097" s="23">
        <v>7.0</v>
      </c>
      <c r="S1097" s="23">
        <v>29.0</v>
      </c>
      <c r="T1097" s="23">
        <f t="shared" si="2"/>
        <v>27.84</v>
      </c>
      <c r="U1097" s="23">
        <f t="shared" si="3"/>
        <v>8.575</v>
      </c>
      <c r="V1097" s="23">
        <f t="shared" si="4"/>
        <v>160.78125</v>
      </c>
      <c r="W1097" s="24">
        <f t="shared" si="5"/>
        <v>3.977142857</v>
      </c>
    </row>
    <row r="1098" hidden="1">
      <c r="A1098" s="15" t="s">
        <v>7658</v>
      </c>
      <c r="B1098" s="18"/>
      <c r="C1098" s="15" t="s">
        <v>7659</v>
      </c>
      <c r="D1098" s="18"/>
      <c r="E1098" s="17" t="s">
        <v>7660</v>
      </c>
      <c r="F1098" s="18"/>
      <c r="G1098" s="18"/>
      <c r="H1098" s="15" t="s">
        <v>7661</v>
      </c>
      <c r="I1098" s="15" t="s">
        <v>890</v>
      </c>
      <c r="J1098" s="19" t="s">
        <v>59</v>
      </c>
      <c r="K1098" s="19" t="s">
        <v>691</v>
      </c>
      <c r="L1098" s="19" t="s">
        <v>38</v>
      </c>
      <c r="M1098" s="20">
        <f t="shared" si="1"/>
        <v>0</v>
      </c>
      <c r="N1098" s="22"/>
      <c r="O1098" s="19" t="s">
        <v>39</v>
      </c>
      <c r="P1098" s="18"/>
      <c r="Q1098" s="18"/>
      <c r="R1098" s="23">
        <v>0.0</v>
      </c>
      <c r="S1098" s="23">
        <v>0.0</v>
      </c>
      <c r="T1098" s="23">
        <f t="shared" si="2"/>
        <v>0</v>
      </c>
      <c r="U1098" s="23">
        <f t="shared" si="3"/>
        <v>0</v>
      </c>
      <c r="V1098" s="23">
        <f t="shared" si="4"/>
        <v>0</v>
      </c>
      <c r="W1098" s="24" t="str">
        <f t="shared" si="5"/>
        <v>#DIV/0!</v>
      </c>
    </row>
    <row r="1099" hidden="1">
      <c r="A1099" s="15" t="s">
        <v>7662</v>
      </c>
      <c r="B1099" s="18"/>
      <c r="C1099" s="15" t="s">
        <v>7663</v>
      </c>
      <c r="D1099" s="18"/>
      <c r="E1099" s="17" t="s">
        <v>7664</v>
      </c>
      <c r="F1099" s="18"/>
      <c r="G1099" s="18"/>
      <c r="H1099" s="15" t="s">
        <v>7665</v>
      </c>
      <c r="I1099" s="15" t="s">
        <v>644</v>
      </c>
      <c r="J1099" s="19" t="s">
        <v>59</v>
      </c>
      <c r="K1099" s="19" t="s">
        <v>691</v>
      </c>
      <c r="L1099" s="19" t="s">
        <v>38</v>
      </c>
      <c r="M1099" s="20">
        <f t="shared" si="1"/>
        <v>0</v>
      </c>
      <c r="N1099" s="22"/>
      <c r="O1099" s="19" t="s">
        <v>39</v>
      </c>
      <c r="P1099" s="18"/>
      <c r="Q1099" s="18"/>
      <c r="R1099" s="23">
        <v>0.0</v>
      </c>
      <c r="S1099" s="23">
        <v>0.0</v>
      </c>
      <c r="T1099" s="23">
        <f t="shared" si="2"/>
        <v>0</v>
      </c>
      <c r="U1099" s="23">
        <f t="shared" si="3"/>
        <v>0</v>
      </c>
      <c r="V1099" s="23">
        <f t="shared" si="4"/>
        <v>0</v>
      </c>
      <c r="W1099" s="24" t="str">
        <f t="shared" si="5"/>
        <v>#DIV/0!</v>
      </c>
    </row>
    <row r="1100" hidden="1">
      <c r="A1100" s="15" t="s">
        <v>2915</v>
      </c>
      <c r="B1100" s="18"/>
      <c r="C1100" s="15" t="s">
        <v>7666</v>
      </c>
      <c r="D1100" s="18"/>
      <c r="E1100" s="17" t="s">
        <v>2916</v>
      </c>
      <c r="F1100" s="18"/>
      <c r="G1100" s="18"/>
      <c r="H1100" s="15" t="s">
        <v>2917</v>
      </c>
      <c r="I1100" s="15" t="s">
        <v>2918</v>
      </c>
      <c r="J1100" s="19" t="s">
        <v>59</v>
      </c>
      <c r="K1100" s="19" t="s">
        <v>2396</v>
      </c>
      <c r="L1100" s="19" t="s">
        <v>38</v>
      </c>
      <c r="M1100" s="20">
        <f t="shared" si="1"/>
        <v>0</v>
      </c>
      <c r="N1100" s="22"/>
      <c r="O1100" s="19" t="s">
        <v>1145</v>
      </c>
      <c r="P1100" s="18"/>
      <c r="Q1100" s="18"/>
      <c r="R1100" s="23">
        <v>0.0</v>
      </c>
      <c r="S1100" s="23">
        <v>0.0</v>
      </c>
      <c r="T1100" s="23">
        <f t="shared" si="2"/>
        <v>0</v>
      </c>
      <c r="U1100" s="23">
        <f t="shared" si="3"/>
        <v>0</v>
      </c>
      <c r="V1100" s="23">
        <f t="shared" si="4"/>
        <v>0</v>
      </c>
      <c r="W1100" s="24" t="str">
        <f t="shared" si="5"/>
        <v>#DIV/0!</v>
      </c>
    </row>
    <row r="1101" hidden="1">
      <c r="A1101" s="15" t="s">
        <v>2919</v>
      </c>
      <c r="B1101" s="18"/>
      <c r="C1101" s="15" t="s">
        <v>7667</v>
      </c>
      <c r="D1101" s="18"/>
      <c r="E1101" s="17" t="s">
        <v>2920</v>
      </c>
      <c r="F1101" s="18"/>
      <c r="G1101" s="18"/>
      <c r="H1101" s="15" t="s">
        <v>2921</v>
      </c>
      <c r="I1101" s="15"/>
      <c r="J1101" s="19" t="s">
        <v>59</v>
      </c>
      <c r="K1101" s="19" t="s">
        <v>2396</v>
      </c>
      <c r="L1101" s="19" t="s">
        <v>38</v>
      </c>
      <c r="M1101" s="20">
        <f t="shared" si="1"/>
        <v>0</v>
      </c>
      <c r="N1101" s="22"/>
      <c r="O1101" s="19" t="s">
        <v>1145</v>
      </c>
      <c r="P1101" s="18"/>
      <c r="Q1101" s="18"/>
      <c r="R1101" s="23">
        <v>0.0</v>
      </c>
      <c r="S1101" s="23">
        <v>0.0</v>
      </c>
      <c r="T1101" s="23">
        <f t="shared" si="2"/>
        <v>0</v>
      </c>
      <c r="U1101" s="23">
        <f t="shared" si="3"/>
        <v>0</v>
      </c>
      <c r="V1101" s="23">
        <f t="shared" si="4"/>
        <v>0</v>
      </c>
      <c r="W1101" s="24" t="str">
        <f t="shared" si="5"/>
        <v>#DIV/0!</v>
      </c>
    </row>
    <row r="1102" hidden="1">
      <c r="A1102" s="15" t="s">
        <v>75</v>
      </c>
      <c r="B1102" s="18"/>
      <c r="C1102" s="15" t="s">
        <v>7668</v>
      </c>
      <c r="D1102" s="15" t="s">
        <v>76</v>
      </c>
      <c r="E1102" s="17" t="s">
        <v>77</v>
      </c>
      <c r="F1102" s="18"/>
      <c r="G1102" s="18"/>
      <c r="H1102" s="15" t="s">
        <v>78</v>
      </c>
      <c r="I1102" s="15"/>
      <c r="J1102" s="19" t="s">
        <v>59</v>
      </c>
      <c r="K1102" s="19" t="s">
        <v>60</v>
      </c>
      <c r="L1102" s="19" t="s">
        <v>38</v>
      </c>
      <c r="M1102" s="20">
        <f t="shared" si="1"/>
        <v>3818.4</v>
      </c>
      <c r="N1102" s="31">
        <v>2.0</v>
      </c>
      <c r="O1102" s="19" t="s">
        <v>61</v>
      </c>
      <c r="P1102" s="18"/>
      <c r="Q1102" s="18"/>
      <c r="R1102" s="23">
        <v>60.0</v>
      </c>
      <c r="S1102" s="23">
        <v>215.0</v>
      </c>
      <c r="T1102" s="23">
        <f t="shared" si="2"/>
        <v>206.4</v>
      </c>
      <c r="U1102" s="23">
        <f t="shared" si="3"/>
        <v>73.5</v>
      </c>
      <c r="V1102" s="23">
        <f t="shared" si="4"/>
        <v>1378.125</v>
      </c>
      <c r="W1102" s="24">
        <f t="shared" si="5"/>
        <v>3.44</v>
      </c>
    </row>
    <row r="1103" hidden="1">
      <c r="A1103" s="15" t="s">
        <v>2922</v>
      </c>
      <c r="B1103" s="18"/>
      <c r="C1103" s="15" t="s">
        <v>7669</v>
      </c>
      <c r="D1103" s="18"/>
      <c r="E1103" s="17" t="s">
        <v>2923</v>
      </c>
      <c r="F1103" s="18"/>
      <c r="G1103" s="18"/>
      <c r="H1103" s="15" t="s">
        <v>2924</v>
      </c>
      <c r="I1103" s="15" t="s">
        <v>2925</v>
      </c>
      <c r="J1103" s="19" t="s">
        <v>59</v>
      </c>
      <c r="K1103" s="19" t="s">
        <v>2396</v>
      </c>
      <c r="L1103" s="19" t="s">
        <v>38</v>
      </c>
      <c r="M1103" s="20">
        <f t="shared" si="1"/>
        <v>0</v>
      </c>
      <c r="N1103" s="22"/>
      <c r="O1103" s="19" t="s">
        <v>1145</v>
      </c>
      <c r="P1103" s="18"/>
      <c r="Q1103" s="18"/>
      <c r="R1103" s="23">
        <v>0.0</v>
      </c>
      <c r="S1103" s="23">
        <v>0.0</v>
      </c>
      <c r="T1103" s="23">
        <f t="shared" si="2"/>
        <v>0</v>
      </c>
      <c r="U1103" s="23">
        <f t="shared" si="3"/>
        <v>0</v>
      </c>
      <c r="V1103" s="23">
        <f t="shared" si="4"/>
        <v>0</v>
      </c>
      <c r="W1103" s="24" t="str">
        <f t="shared" si="5"/>
        <v>#DIV/0!</v>
      </c>
    </row>
    <row r="1104" hidden="1">
      <c r="A1104" s="15" t="s">
        <v>2926</v>
      </c>
      <c r="B1104" s="18"/>
      <c r="C1104" s="15" t="s">
        <v>7670</v>
      </c>
      <c r="D1104" s="18"/>
      <c r="E1104" s="17" t="s">
        <v>2927</v>
      </c>
      <c r="F1104" s="18"/>
      <c r="G1104" s="18"/>
      <c r="H1104" s="15" t="s">
        <v>2928</v>
      </c>
      <c r="I1104" s="15" t="s">
        <v>2929</v>
      </c>
      <c r="J1104" s="19" t="s">
        <v>59</v>
      </c>
      <c r="K1104" s="19" t="s">
        <v>2396</v>
      </c>
      <c r="L1104" s="19" t="s">
        <v>38</v>
      </c>
      <c r="M1104" s="20">
        <f t="shared" si="1"/>
        <v>0</v>
      </c>
      <c r="N1104" s="22"/>
      <c r="O1104" s="19" t="s">
        <v>1145</v>
      </c>
      <c r="P1104" s="18"/>
      <c r="Q1104" s="18"/>
      <c r="R1104" s="23">
        <v>0.0</v>
      </c>
      <c r="S1104" s="23">
        <v>0.0</v>
      </c>
      <c r="T1104" s="23">
        <f t="shared" si="2"/>
        <v>0</v>
      </c>
      <c r="U1104" s="23">
        <f t="shared" si="3"/>
        <v>0</v>
      </c>
      <c r="V1104" s="23">
        <f t="shared" si="4"/>
        <v>0</v>
      </c>
      <c r="W1104" s="24" t="str">
        <f t="shared" si="5"/>
        <v>#DIV/0!</v>
      </c>
    </row>
    <row r="1105" hidden="1">
      <c r="A1105" s="15" t="s">
        <v>2930</v>
      </c>
      <c r="B1105" s="18"/>
      <c r="C1105" s="15" t="s">
        <v>7671</v>
      </c>
      <c r="D1105" s="18"/>
      <c r="E1105" s="17" t="s">
        <v>2931</v>
      </c>
      <c r="F1105" s="18"/>
      <c r="G1105" s="18"/>
      <c r="H1105" s="15" t="s">
        <v>2932</v>
      </c>
      <c r="I1105" s="15" t="s">
        <v>2933</v>
      </c>
      <c r="J1105" s="19" t="s">
        <v>59</v>
      </c>
      <c r="K1105" s="19" t="s">
        <v>2396</v>
      </c>
      <c r="L1105" s="19" t="s">
        <v>38</v>
      </c>
      <c r="M1105" s="20">
        <f t="shared" si="1"/>
        <v>0</v>
      </c>
      <c r="N1105" s="22"/>
      <c r="O1105" s="19" t="s">
        <v>1145</v>
      </c>
      <c r="P1105" s="18"/>
      <c r="Q1105" s="18"/>
      <c r="R1105" s="23">
        <v>0.0</v>
      </c>
      <c r="S1105" s="23">
        <v>0.0</v>
      </c>
      <c r="T1105" s="23">
        <f t="shared" si="2"/>
        <v>0</v>
      </c>
      <c r="U1105" s="23">
        <f t="shared" si="3"/>
        <v>0</v>
      </c>
      <c r="V1105" s="23">
        <f t="shared" si="4"/>
        <v>0</v>
      </c>
      <c r="W1105" s="24" t="str">
        <f t="shared" si="5"/>
        <v>#DIV/0!</v>
      </c>
    </row>
    <row r="1106" hidden="1">
      <c r="A1106" s="15" t="s">
        <v>2934</v>
      </c>
      <c r="B1106" s="18"/>
      <c r="C1106" s="15" t="s">
        <v>7672</v>
      </c>
      <c r="D1106" s="18"/>
      <c r="E1106" s="17" t="s">
        <v>2935</v>
      </c>
      <c r="F1106" s="18"/>
      <c r="G1106" s="18"/>
      <c r="H1106" s="15" t="s">
        <v>2936</v>
      </c>
      <c r="I1106" s="15" t="s">
        <v>2937</v>
      </c>
      <c r="J1106" s="19" t="s">
        <v>59</v>
      </c>
      <c r="K1106" s="19" t="s">
        <v>2396</v>
      </c>
      <c r="L1106" s="19" t="s">
        <v>38</v>
      </c>
      <c r="M1106" s="20">
        <f t="shared" si="1"/>
        <v>0</v>
      </c>
      <c r="N1106" s="22"/>
      <c r="O1106" s="19" t="s">
        <v>1145</v>
      </c>
      <c r="P1106" s="18"/>
      <c r="Q1106" s="18"/>
      <c r="R1106" s="23">
        <v>0.0</v>
      </c>
      <c r="S1106" s="23">
        <v>0.0</v>
      </c>
      <c r="T1106" s="23">
        <f t="shared" si="2"/>
        <v>0</v>
      </c>
      <c r="U1106" s="23">
        <f t="shared" si="3"/>
        <v>0</v>
      </c>
      <c r="V1106" s="23">
        <f t="shared" si="4"/>
        <v>0</v>
      </c>
      <c r="W1106" s="24" t="str">
        <f t="shared" si="5"/>
        <v>#DIV/0!</v>
      </c>
    </row>
    <row r="1107" hidden="1">
      <c r="A1107" s="15" t="s">
        <v>2938</v>
      </c>
      <c r="B1107" s="18"/>
      <c r="C1107" s="15" t="s">
        <v>7673</v>
      </c>
      <c r="D1107" s="18"/>
      <c r="E1107" s="17" t="s">
        <v>2939</v>
      </c>
      <c r="F1107" s="18"/>
      <c r="G1107" s="18"/>
      <c r="H1107" s="15" t="s">
        <v>2940</v>
      </c>
      <c r="I1107" s="15" t="s">
        <v>2941</v>
      </c>
      <c r="J1107" s="19" t="s">
        <v>59</v>
      </c>
      <c r="K1107" s="19" t="s">
        <v>2396</v>
      </c>
      <c r="L1107" s="19" t="s">
        <v>38</v>
      </c>
      <c r="M1107" s="20">
        <f t="shared" si="1"/>
        <v>0</v>
      </c>
      <c r="N1107" s="22"/>
      <c r="O1107" s="19" t="s">
        <v>1145</v>
      </c>
      <c r="P1107" s="18"/>
      <c r="Q1107" s="18"/>
      <c r="R1107" s="23">
        <v>0.0</v>
      </c>
      <c r="S1107" s="23">
        <v>0.0</v>
      </c>
      <c r="T1107" s="23">
        <f t="shared" si="2"/>
        <v>0</v>
      </c>
      <c r="U1107" s="23">
        <f t="shared" si="3"/>
        <v>0</v>
      </c>
      <c r="V1107" s="23">
        <f t="shared" si="4"/>
        <v>0</v>
      </c>
      <c r="W1107" s="24" t="str">
        <f t="shared" si="5"/>
        <v>#DIV/0!</v>
      </c>
    </row>
    <row r="1108" hidden="1">
      <c r="A1108" s="15" t="s">
        <v>2942</v>
      </c>
      <c r="B1108" s="18"/>
      <c r="C1108" s="15" t="s">
        <v>7674</v>
      </c>
      <c r="D1108" s="18"/>
      <c r="E1108" s="17" t="s">
        <v>2943</v>
      </c>
      <c r="F1108" s="18"/>
      <c r="G1108" s="18"/>
      <c r="H1108" s="15" t="s">
        <v>2944</v>
      </c>
      <c r="I1108" s="15" t="s">
        <v>2945</v>
      </c>
      <c r="J1108" s="19" t="s">
        <v>59</v>
      </c>
      <c r="K1108" s="19" t="s">
        <v>2396</v>
      </c>
      <c r="L1108" s="19" t="s">
        <v>38</v>
      </c>
      <c r="M1108" s="20">
        <f t="shared" si="1"/>
        <v>0</v>
      </c>
      <c r="N1108" s="22"/>
      <c r="O1108" s="19" t="s">
        <v>1145</v>
      </c>
      <c r="P1108" s="18"/>
      <c r="Q1108" s="18"/>
      <c r="R1108" s="23">
        <v>0.0</v>
      </c>
      <c r="S1108" s="23">
        <v>0.0</v>
      </c>
      <c r="T1108" s="23">
        <f t="shared" si="2"/>
        <v>0</v>
      </c>
      <c r="U1108" s="23">
        <f t="shared" si="3"/>
        <v>0</v>
      </c>
      <c r="V1108" s="23">
        <f t="shared" si="4"/>
        <v>0</v>
      </c>
      <c r="W1108" s="24" t="str">
        <f t="shared" si="5"/>
        <v>#DIV/0!</v>
      </c>
    </row>
    <row r="1109" hidden="1">
      <c r="A1109" s="15" t="s">
        <v>5155</v>
      </c>
      <c r="B1109" s="18"/>
      <c r="C1109" s="15" t="s">
        <v>7675</v>
      </c>
      <c r="D1109" s="18"/>
      <c r="E1109" s="17" t="s">
        <v>7676</v>
      </c>
      <c r="F1109" s="18"/>
      <c r="G1109" s="18"/>
      <c r="H1109" s="15" t="s">
        <v>7677</v>
      </c>
      <c r="I1109" s="15" t="s">
        <v>5158</v>
      </c>
      <c r="J1109" s="19" t="s">
        <v>59</v>
      </c>
      <c r="K1109" s="19" t="s">
        <v>691</v>
      </c>
      <c r="L1109" s="19" t="s">
        <v>38</v>
      </c>
      <c r="M1109" s="20">
        <f t="shared" si="1"/>
        <v>0</v>
      </c>
      <c r="N1109" s="22"/>
      <c r="O1109" s="19" t="s">
        <v>1145</v>
      </c>
      <c r="P1109" s="18"/>
      <c r="Q1109" s="18"/>
      <c r="R1109" s="23">
        <v>0.0</v>
      </c>
      <c r="S1109" s="23">
        <v>0.0</v>
      </c>
      <c r="T1109" s="23">
        <f t="shared" si="2"/>
        <v>0</v>
      </c>
      <c r="U1109" s="23">
        <f t="shared" si="3"/>
        <v>0</v>
      </c>
      <c r="V1109" s="23">
        <f t="shared" si="4"/>
        <v>0</v>
      </c>
      <c r="W1109" s="24" t="str">
        <f t="shared" si="5"/>
        <v>#DIV/0!</v>
      </c>
    </row>
    <row r="1110" hidden="1">
      <c r="A1110" s="15" t="s">
        <v>2946</v>
      </c>
      <c r="B1110" s="18"/>
      <c r="C1110" s="15" t="s">
        <v>7678</v>
      </c>
      <c r="D1110" s="18"/>
      <c r="E1110" s="17" t="s">
        <v>2947</v>
      </c>
      <c r="F1110" s="18"/>
      <c r="G1110" s="18"/>
      <c r="H1110" s="15" t="s">
        <v>2948</v>
      </c>
      <c r="I1110" s="15" t="s">
        <v>2949</v>
      </c>
      <c r="J1110" s="19" t="s">
        <v>59</v>
      </c>
      <c r="K1110" s="19" t="s">
        <v>691</v>
      </c>
      <c r="L1110" s="19" t="s">
        <v>38</v>
      </c>
      <c r="M1110" s="20">
        <f t="shared" si="1"/>
        <v>0</v>
      </c>
      <c r="N1110" s="22"/>
      <c r="O1110" s="19" t="s">
        <v>1145</v>
      </c>
      <c r="P1110" s="18"/>
      <c r="Q1110" s="18"/>
      <c r="R1110" s="23">
        <v>0.0</v>
      </c>
      <c r="S1110" s="23">
        <v>0.0</v>
      </c>
      <c r="T1110" s="23">
        <f t="shared" si="2"/>
        <v>0</v>
      </c>
      <c r="U1110" s="23">
        <f t="shared" si="3"/>
        <v>0</v>
      </c>
      <c r="V1110" s="23">
        <f t="shared" si="4"/>
        <v>0</v>
      </c>
      <c r="W1110" s="24" t="str">
        <f t="shared" si="5"/>
        <v>#DIV/0!</v>
      </c>
    </row>
    <row r="1111" hidden="1">
      <c r="A1111" s="15" t="s">
        <v>7679</v>
      </c>
      <c r="B1111" s="18"/>
      <c r="C1111" s="15" t="s">
        <v>7680</v>
      </c>
      <c r="D1111" s="18"/>
      <c r="E1111" s="17" t="s">
        <v>7681</v>
      </c>
      <c r="F1111" s="18"/>
      <c r="G1111" s="18"/>
      <c r="H1111" s="15" t="s">
        <v>7682</v>
      </c>
      <c r="I1111" s="15" t="s">
        <v>4149</v>
      </c>
      <c r="J1111" s="19" t="s">
        <v>59</v>
      </c>
      <c r="K1111" s="19" t="s">
        <v>2387</v>
      </c>
      <c r="L1111" s="19" t="s">
        <v>38</v>
      </c>
      <c r="M1111" s="20">
        <f t="shared" si="1"/>
        <v>0</v>
      </c>
      <c r="N1111" s="22"/>
      <c r="O1111" s="19" t="s">
        <v>39</v>
      </c>
      <c r="P1111" s="18"/>
      <c r="Q1111" s="18"/>
      <c r="R1111" s="23">
        <v>0.0</v>
      </c>
      <c r="S1111" s="23">
        <v>0.0</v>
      </c>
      <c r="T1111" s="23">
        <f t="shared" si="2"/>
        <v>0</v>
      </c>
      <c r="U1111" s="23">
        <f t="shared" si="3"/>
        <v>0</v>
      </c>
      <c r="V1111" s="23">
        <f t="shared" si="4"/>
        <v>0</v>
      </c>
      <c r="W1111" s="24" t="str">
        <f t="shared" si="5"/>
        <v>#DIV/0!</v>
      </c>
    </row>
    <row r="1112" hidden="1">
      <c r="A1112" s="15" t="s">
        <v>7683</v>
      </c>
      <c r="B1112" s="18"/>
      <c r="C1112" s="15" t="s">
        <v>7684</v>
      </c>
      <c r="D1112" s="18"/>
      <c r="E1112" s="17" t="s">
        <v>7681</v>
      </c>
      <c r="F1112" s="18"/>
      <c r="G1112" s="18"/>
      <c r="H1112" s="15" t="s">
        <v>7685</v>
      </c>
      <c r="I1112" s="15" t="s">
        <v>7686</v>
      </c>
      <c r="J1112" s="19" t="s">
        <v>59</v>
      </c>
      <c r="K1112" s="19" t="s">
        <v>2387</v>
      </c>
      <c r="L1112" s="19" t="s">
        <v>38</v>
      </c>
      <c r="M1112" s="20">
        <f t="shared" si="1"/>
        <v>0</v>
      </c>
      <c r="N1112" s="22"/>
      <c r="O1112" s="19" t="s">
        <v>39</v>
      </c>
      <c r="P1112" s="18"/>
      <c r="Q1112" s="18"/>
      <c r="R1112" s="23">
        <v>0.0</v>
      </c>
      <c r="S1112" s="23">
        <v>0.0</v>
      </c>
      <c r="T1112" s="23">
        <f t="shared" si="2"/>
        <v>0</v>
      </c>
      <c r="U1112" s="23">
        <f t="shared" si="3"/>
        <v>0</v>
      </c>
      <c r="V1112" s="23">
        <f t="shared" si="4"/>
        <v>0</v>
      </c>
      <c r="W1112" s="24" t="str">
        <f t="shared" si="5"/>
        <v>#DIV/0!</v>
      </c>
    </row>
    <row r="1113" hidden="1">
      <c r="A1113" s="15" t="s">
        <v>5159</v>
      </c>
      <c r="B1113" s="18"/>
      <c r="C1113" s="15" t="s">
        <v>7687</v>
      </c>
      <c r="D1113" s="18"/>
      <c r="E1113" s="17" t="s">
        <v>7688</v>
      </c>
      <c r="F1113" s="18"/>
      <c r="G1113" s="18"/>
      <c r="H1113" s="15" t="s">
        <v>7689</v>
      </c>
      <c r="I1113" s="15" t="s">
        <v>5162</v>
      </c>
      <c r="J1113" s="19" t="s">
        <v>59</v>
      </c>
      <c r="K1113" s="19" t="s">
        <v>691</v>
      </c>
      <c r="L1113" s="19" t="s">
        <v>38</v>
      </c>
      <c r="M1113" s="20">
        <f t="shared" si="1"/>
        <v>0</v>
      </c>
      <c r="N1113" s="22"/>
      <c r="O1113" s="19" t="s">
        <v>1145</v>
      </c>
      <c r="P1113" s="18"/>
      <c r="Q1113" s="18"/>
      <c r="R1113" s="23">
        <v>0.0</v>
      </c>
      <c r="S1113" s="23">
        <v>0.0</v>
      </c>
      <c r="T1113" s="23">
        <f t="shared" si="2"/>
        <v>0</v>
      </c>
      <c r="U1113" s="23">
        <f t="shared" si="3"/>
        <v>0</v>
      </c>
      <c r="V1113" s="23">
        <f t="shared" si="4"/>
        <v>0</v>
      </c>
      <c r="W1113" s="24" t="str">
        <f t="shared" si="5"/>
        <v>#DIV/0!</v>
      </c>
    </row>
    <row r="1114" hidden="1">
      <c r="A1114" s="15" t="s">
        <v>3566</v>
      </c>
      <c r="B1114" s="18"/>
      <c r="C1114" s="15" t="s">
        <v>7690</v>
      </c>
      <c r="D1114" s="18"/>
      <c r="E1114" s="17" t="s">
        <v>3567</v>
      </c>
      <c r="F1114" s="18"/>
      <c r="G1114" s="18"/>
      <c r="H1114" s="15" t="s">
        <v>3568</v>
      </c>
      <c r="I1114" s="15" t="s">
        <v>3569</v>
      </c>
      <c r="J1114" s="19" t="s">
        <v>59</v>
      </c>
      <c r="K1114" s="19" t="s">
        <v>2396</v>
      </c>
      <c r="L1114" s="19" t="s">
        <v>38</v>
      </c>
      <c r="M1114" s="20">
        <f t="shared" si="1"/>
        <v>1935.84</v>
      </c>
      <c r="N1114" s="22"/>
      <c r="O1114" s="19" t="s">
        <v>1145</v>
      </c>
      <c r="P1114" s="18"/>
      <c r="Q1114" s="18"/>
      <c r="R1114" s="23">
        <v>15.5</v>
      </c>
      <c r="S1114" s="23">
        <v>109.0</v>
      </c>
      <c r="T1114" s="23">
        <f t="shared" si="2"/>
        <v>104.64</v>
      </c>
      <c r="U1114" s="23">
        <f t="shared" si="3"/>
        <v>18.9875</v>
      </c>
      <c r="V1114" s="23">
        <f t="shared" si="4"/>
        <v>356.015625</v>
      </c>
      <c r="W1114" s="24">
        <f t="shared" si="5"/>
        <v>6.750967742</v>
      </c>
    </row>
    <row r="1115" hidden="1">
      <c r="A1115" s="15" t="s">
        <v>2950</v>
      </c>
      <c r="B1115" s="18"/>
      <c r="C1115" s="15" t="s">
        <v>7691</v>
      </c>
      <c r="D1115" s="18"/>
      <c r="E1115" s="17" t="s">
        <v>2951</v>
      </c>
      <c r="F1115" s="18"/>
      <c r="G1115" s="18"/>
      <c r="H1115" s="15" t="s">
        <v>2952</v>
      </c>
      <c r="I1115" s="15" t="s">
        <v>2953</v>
      </c>
      <c r="J1115" s="19" t="s">
        <v>59</v>
      </c>
      <c r="K1115" s="19" t="s">
        <v>2396</v>
      </c>
      <c r="L1115" s="19" t="s">
        <v>38</v>
      </c>
      <c r="M1115" s="20">
        <f t="shared" si="1"/>
        <v>0</v>
      </c>
      <c r="N1115" s="22"/>
      <c r="O1115" s="19" t="s">
        <v>1145</v>
      </c>
      <c r="P1115" s="18"/>
      <c r="Q1115" s="18"/>
      <c r="R1115" s="23">
        <v>0.0</v>
      </c>
      <c r="S1115" s="23">
        <v>0.0</v>
      </c>
      <c r="T1115" s="23">
        <f t="shared" si="2"/>
        <v>0</v>
      </c>
      <c r="U1115" s="23">
        <f t="shared" si="3"/>
        <v>0</v>
      </c>
      <c r="V1115" s="23">
        <f t="shared" si="4"/>
        <v>0</v>
      </c>
      <c r="W1115" s="24" t="str">
        <f t="shared" si="5"/>
        <v>#DIV/0!</v>
      </c>
    </row>
    <row r="1116" hidden="1">
      <c r="A1116" s="15" t="s">
        <v>7692</v>
      </c>
      <c r="B1116" s="18"/>
      <c r="C1116" s="15" t="s">
        <v>7693</v>
      </c>
      <c r="D1116" s="18"/>
      <c r="E1116" s="17" t="s">
        <v>7694</v>
      </c>
      <c r="F1116" s="18"/>
      <c r="G1116" s="18"/>
      <c r="H1116" s="15" t="s">
        <v>7695</v>
      </c>
      <c r="I1116" s="15" t="s">
        <v>3960</v>
      </c>
      <c r="J1116" s="19" t="s">
        <v>59</v>
      </c>
      <c r="K1116" s="19" t="s">
        <v>2396</v>
      </c>
      <c r="L1116" s="19" t="s">
        <v>38</v>
      </c>
      <c r="M1116" s="20">
        <f t="shared" si="1"/>
        <v>0</v>
      </c>
      <c r="N1116" s="22"/>
      <c r="O1116" s="19" t="s">
        <v>39</v>
      </c>
      <c r="P1116" s="18"/>
      <c r="Q1116" s="18"/>
      <c r="R1116" s="23">
        <v>0.0</v>
      </c>
      <c r="S1116" s="23">
        <v>0.0</v>
      </c>
      <c r="T1116" s="23">
        <f t="shared" si="2"/>
        <v>0</v>
      </c>
      <c r="U1116" s="23">
        <f t="shared" si="3"/>
        <v>0</v>
      </c>
      <c r="V1116" s="23">
        <f t="shared" si="4"/>
        <v>0</v>
      </c>
      <c r="W1116" s="24" t="str">
        <f t="shared" si="5"/>
        <v>#DIV/0!</v>
      </c>
    </row>
    <row r="1117" hidden="1">
      <c r="A1117" s="15" t="s">
        <v>2954</v>
      </c>
      <c r="B1117" s="18"/>
      <c r="C1117" s="15" t="s">
        <v>7696</v>
      </c>
      <c r="D1117" s="18"/>
      <c r="E1117" s="17" t="s">
        <v>2955</v>
      </c>
      <c r="F1117" s="18"/>
      <c r="G1117" s="18"/>
      <c r="H1117" s="15" t="s">
        <v>2956</v>
      </c>
      <c r="I1117" s="15" t="s">
        <v>2957</v>
      </c>
      <c r="J1117" s="19" t="s">
        <v>59</v>
      </c>
      <c r="K1117" s="19" t="s">
        <v>2396</v>
      </c>
      <c r="L1117" s="19" t="s">
        <v>38</v>
      </c>
      <c r="M1117" s="20">
        <f t="shared" si="1"/>
        <v>0</v>
      </c>
      <c r="N1117" s="22"/>
      <c r="O1117" s="19" t="s">
        <v>1145</v>
      </c>
      <c r="P1117" s="18"/>
      <c r="Q1117" s="18"/>
      <c r="R1117" s="23">
        <v>0.0</v>
      </c>
      <c r="S1117" s="23">
        <v>0.0</v>
      </c>
      <c r="T1117" s="23">
        <f t="shared" si="2"/>
        <v>0</v>
      </c>
      <c r="U1117" s="23">
        <f t="shared" si="3"/>
        <v>0</v>
      </c>
      <c r="V1117" s="23">
        <f t="shared" si="4"/>
        <v>0</v>
      </c>
      <c r="W1117" s="24" t="str">
        <f t="shared" si="5"/>
        <v>#DIV/0!</v>
      </c>
    </row>
    <row r="1118" hidden="1">
      <c r="A1118" s="15" t="s">
        <v>2958</v>
      </c>
      <c r="B1118" s="18"/>
      <c r="C1118" s="15" t="s">
        <v>7697</v>
      </c>
      <c r="D1118" s="18"/>
      <c r="E1118" s="17" t="s">
        <v>2959</v>
      </c>
      <c r="F1118" s="18"/>
      <c r="G1118" s="18"/>
      <c r="H1118" s="15" t="s">
        <v>2960</v>
      </c>
      <c r="I1118" s="15" t="s">
        <v>2961</v>
      </c>
      <c r="J1118" s="19" t="s">
        <v>59</v>
      </c>
      <c r="K1118" s="19" t="s">
        <v>2396</v>
      </c>
      <c r="L1118" s="19" t="s">
        <v>38</v>
      </c>
      <c r="M1118" s="20">
        <f t="shared" si="1"/>
        <v>0</v>
      </c>
      <c r="N1118" s="22"/>
      <c r="O1118" s="19" t="s">
        <v>1145</v>
      </c>
      <c r="P1118" s="18"/>
      <c r="Q1118" s="18"/>
      <c r="R1118" s="23">
        <v>0.0</v>
      </c>
      <c r="S1118" s="23">
        <v>0.0</v>
      </c>
      <c r="T1118" s="23">
        <f t="shared" si="2"/>
        <v>0</v>
      </c>
      <c r="U1118" s="23">
        <f t="shared" si="3"/>
        <v>0</v>
      </c>
      <c r="V1118" s="23">
        <f t="shared" si="4"/>
        <v>0</v>
      </c>
      <c r="W1118" s="24" t="str">
        <f t="shared" si="5"/>
        <v>#DIV/0!</v>
      </c>
    </row>
    <row r="1119" hidden="1">
      <c r="A1119" s="15" t="s">
        <v>2962</v>
      </c>
      <c r="B1119" s="18"/>
      <c r="C1119" s="15" t="s">
        <v>7698</v>
      </c>
      <c r="D1119" s="18"/>
      <c r="E1119" s="17" t="s">
        <v>2963</v>
      </c>
      <c r="F1119" s="18"/>
      <c r="G1119" s="18"/>
      <c r="H1119" s="15" t="s">
        <v>2964</v>
      </c>
      <c r="I1119" s="15" t="s">
        <v>2965</v>
      </c>
      <c r="J1119" s="19" t="s">
        <v>59</v>
      </c>
      <c r="K1119" s="19" t="s">
        <v>2396</v>
      </c>
      <c r="L1119" s="19" t="s">
        <v>38</v>
      </c>
      <c r="M1119" s="20">
        <f t="shared" si="1"/>
        <v>0</v>
      </c>
      <c r="N1119" s="22"/>
      <c r="O1119" s="19" t="s">
        <v>1145</v>
      </c>
      <c r="P1119" s="18"/>
      <c r="Q1119" s="18"/>
      <c r="R1119" s="23">
        <v>0.0</v>
      </c>
      <c r="S1119" s="23">
        <v>0.0</v>
      </c>
      <c r="T1119" s="23">
        <f t="shared" si="2"/>
        <v>0</v>
      </c>
      <c r="U1119" s="23">
        <f t="shared" si="3"/>
        <v>0</v>
      </c>
      <c r="V1119" s="23">
        <f t="shared" si="4"/>
        <v>0</v>
      </c>
      <c r="W1119" s="24" t="str">
        <f t="shared" si="5"/>
        <v>#DIV/0!</v>
      </c>
    </row>
    <row r="1120" hidden="1">
      <c r="A1120" s="15" t="s">
        <v>2966</v>
      </c>
      <c r="B1120" s="18"/>
      <c r="C1120" s="15" t="s">
        <v>7699</v>
      </c>
      <c r="D1120" s="18"/>
      <c r="E1120" s="17" t="s">
        <v>2967</v>
      </c>
      <c r="F1120" s="18"/>
      <c r="G1120" s="18"/>
      <c r="H1120" s="15" t="s">
        <v>2968</v>
      </c>
      <c r="I1120" s="15" t="s">
        <v>2969</v>
      </c>
      <c r="J1120" s="19" t="s">
        <v>59</v>
      </c>
      <c r="K1120" s="19" t="s">
        <v>2396</v>
      </c>
      <c r="L1120" s="19" t="s">
        <v>38</v>
      </c>
      <c r="M1120" s="20">
        <f t="shared" si="1"/>
        <v>0</v>
      </c>
      <c r="N1120" s="22"/>
      <c r="O1120" s="19" t="s">
        <v>1145</v>
      </c>
      <c r="P1120" s="18"/>
      <c r="Q1120" s="18"/>
      <c r="R1120" s="23">
        <v>0.0</v>
      </c>
      <c r="S1120" s="23">
        <v>0.0</v>
      </c>
      <c r="T1120" s="23">
        <f t="shared" si="2"/>
        <v>0</v>
      </c>
      <c r="U1120" s="23">
        <f t="shared" si="3"/>
        <v>0</v>
      </c>
      <c r="V1120" s="23">
        <f t="shared" si="4"/>
        <v>0</v>
      </c>
      <c r="W1120" s="24" t="str">
        <f t="shared" si="5"/>
        <v>#DIV/0!</v>
      </c>
    </row>
    <row r="1121" hidden="1">
      <c r="A1121" s="15" t="s">
        <v>2970</v>
      </c>
      <c r="B1121" s="18"/>
      <c r="C1121" s="15" t="s">
        <v>7700</v>
      </c>
      <c r="D1121" s="18"/>
      <c r="E1121" s="17" t="s">
        <v>2967</v>
      </c>
      <c r="F1121" s="18"/>
      <c r="G1121" s="18"/>
      <c r="H1121" s="15" t="s">
        <v>2971</v>
      </c>
      <c r="I1121" s="15" t="s">
        <v>2972</v>
      </c>
      <c r="J1121" s="19" t="s">
        <v>59</v>
      </c>
      <c r="K1121" s="19" t="s">
        <v>2396</v>
      </c>
      <c r="L1121" s="19" t="s">
        <v>38</v>
      </c>
      <c r="M1121" s="20">
        <f t="shared" si="1"/>
        <v>0</v>
      </c>
      <c r="N1121" s="22"/>
      <c r="O1121" s="19" t="s">
        <v>1145</v>
      </c>
      <c r="P1121" s="18"/>
      <c r="Q1121" s="18"/>
      <c r="R1121" s="23">
        <v>0.0</v>
      </c>
      <c r="S1121" s="23">
        <v>0.0</v>
      </c>
      <c r="T1121" s="23">
        <f t="shared" si="2"/>
        <v>0</v>
      </c>
      <c r="U1121" s="23">
        <f t="shared" si="3"/>
        <v>0</v>
      </c>
      <c r="V1121" s="23">
        <f t="shared" si="4"/>
        <v>0</v>
      </c>
      <c r="W1121" s="24" t="str">
        <f t="shared" si="5"/>
        <v>#DIV/0!</v>
      </c>
    </row>
    <row r="1122" hidden="1">
      <c r="A1122" s="15" t="s">
        <v>7701</v>
      </c>
      <c r="B1122" s="18"/>
      <c r="C1122" s="15" t="s">
        <v>7702</v>
      </c>
      <c r="D1122" s="18"/>
      <c r="E1122" s="17" t="s">
        <v>7703</v>
      </c>
      <c r="F1122" s="18"/>
      <c r="G1122" s="18"/>
      <c r="H1122" s="15" t="s">
        <v>7704</v>
      </c>
      <c r="I1122" s="15" t="s">
        <v>1068</v>
      </c>
      <c r="J1122" s="19" t="s">
        <v>59</v>
      </c>
      <c r="K1122" s="19" t="s">
        <v>2396</v>
      </c>
      <c r="L1122" s="19" t="s">
        <v>38</v>
      </c>
      <c r="M1122" s="20">
        <f t="shared" si="1"/>
        <v>0</v>
      </c>
      <c r="N1122" s="22"/>
      <c r="O1122" s="19" t="s">
        <v>1145</v>
      </c>
      <c r="P1122" s="18"/>
      <c r="Q1122" s="18"/>
      <c r="R1122" s="23">
        <v>0.0</v>
      </c>
      <c r="S1122" s="23">
        <v>0.0</v>
      </c>
      <c r="T1122" s="23">
        <f t="shared" si="2"/>
        <v>0</v>
      </c>
      <c r="U1122" s="23">
        <f t="shared" si="3"/>
        <v>0</v>
      </c>
      <c r="V1122" s="23">
        <f t="shared" si="4"/>
        <v>0</v>
      </c>
      <c r="W1122" s="24" t="str">
        <f t="shared" si="5"/>
        <v>#DIV/0!</v>
      </c>
    </row>
    <row r="1123" hidden="1">
      <c r="A1123" s="15" t="s">
        <v>2973</v>
      </c>
      <c r="B1123" s="18"/>
      <c r="C1123" s="15" t="s">
        <v>7705</v>
      </c>
      <c r="D1123" s="18"/>
      <c r="E1123" s="17" t="s">
        <v>2974</v>
      </c>
      <c r="F1123" s="18"/>
      <c r="G1123" s="18"/>
      <c r="H1123" s="15" t="s">
        <v>2975</v>
      </c>
      <c r="I1123" s="15" t="s">
        <v>2976</v>
      </c>
      <c r="J1123" s="19" t="s">
        <v>59</v>
      </c>
      <c r="K1123" s="19" t="s">
        <v>2396</v>
      </c>
      <c r="L1123" s="19" t="s">
        <v>38</v>
      </c>
      <c r="M1123" s="20">
        <f t="shared" si="1"/>
        <v>0</v>
      </c>
      <c r="N1123" s="22"/>
      <c r="O1123" s="19" t="s">
        <v>1145</v>
      </c>
      <c r="P1123" s="18"/>
      <c r="Q1123" s="18"/>
      <c r="R1123" s="23">
        <v>0.0</v>
      </c>
      <c r="S1123" s="23">
        <v>0.0</v>
      </c>
      <c r="T1123" s="23">
        <f t="shared" si="2"/>
        <v>0</v>
      </c>
      <c r="U1123" s="23">
        <f t="shared" si="3"/>
        <v>0</v>
      </c>
      <c r="V1123" s="23">
        <f t="shared" si="4"/>
        <v>0</v>
      </c>
      <c r="W1123" s="24" t="str">
        <f t="shared" si="5"/>
        <v>#DIV/0!</v>
      </c>
    </row>
    <row r="1124" hidden="1">
      <c r="A1124" s="15" t="s">
        <v>2977</v>
      </c>
      <c r="B1124" s="18"/>
      <c r="C1124" s="15" t="s">
        <v>7706</v>
      </c>
      <c r="D1124" s="18"/>
      <c r="E1124" s="17" t="s">
        <v>2978</v>
      </c>
      <c r="F1124" s="18"/>
      <c r="G1124" s="18"/>
      <c r="H1124" s="15" t="s">
        <v>2979</v>
      </c>
      <c r="I1124" s="15" t="s">
        <v>2980</v>
      </c>
      <c r="J1124" s="19" t="s">
        <v>59</v>
      </c>
      <c r="K1124" s="19" t="s">
        <v>2396</v>
      </c>
      <c r="L1124" s="19" t="s">
        <v>38</v>
      </c>
      <c r="M1124" s="20">
        <f t="shared" si="1"/>
        <v>0</v>
      </c>
      <c r="N1124" s="22"/>
      <c r="O1124" s="19" t="s">
        <v>1145</v>
      </c>
      <c r="P1124" s="18"/>
      <c r="Q1124" s="18"/>
      <c r="R1124" s="23">
        <v>0.0</v>
      </c>
      <c r="S1124" s="23">
        <v>0.0</v>
      </c>
      <c r="T1124" s="23">
        <f t="shared" si="2"/>
        <v>0</v>
      </c>
      <c r="U1124" s="23">
        <f t="shared" si="3"/>
        <v>0</v>
      </c>
      <c r="V1124" s="23">
        <f t="shared" si="4"/>
        <v>0</v>
      </c>
      <c r="W1124" s="24" t="str">
        <f t="shared" si="5"/>
        <v>#DIV/0!</v>
      </c>
    </row>
    <row r="1125" hidden="1">
      <c r="A1125" s="15" t="s">
        <v>2981</v>
      </c>
      <c r="B1125" s="18"/>
      <c r="C1125" s="15" t="s">
        <v>7707</v>
      </c>
      <c r="D1125" s="18"/>
      <c r="E1125" s="17" t="s">
        <v>2982</v>
      </c>
      <c r="F1125" s="18"/>
      <c r="G1125" s="18"/>
      <c r="H1125" s="15" t="s">
        <v>2983</v>
      </c>
      <c r="I1125" s="15" t="s">
        <v>2984</v>
      </c>
      <c r="J1125" s="19" t="s">
        <v>59</v>
      </c>
      <c r="K1125" s="19" t="s">
        <v>2396</v>
      </c>
      <c r="L1125" s="19" t="s">
        <v>38</v>
      </c>
      <c r="M1125" s="20">
        <f t="shared" si="1"/>
        <v>0</v>
      </c>
      <c r="N1125" s="22"/>
      <c r="O1125" s="19" t="s">
        <v>1145</v>
      </c>
      <c r="P1125" s="18"/>
      <c r="Q1125" s="18"/>
      <c r="R1125" s="23">
        <v>0.0</v>
      </c>
      <c r="S1125" s="23">
        <v>0.0</v>
      </c>
      <c r="T1125" s="23">
        <f t="shared" si="2"/>
        <v>0</v>
      </c>
      <c r="U1125" s="23">
        <f t="shared" si="3"/>
        <v>0</v>
      </c>
      <c r="V1125" s="23">
        <f t="shared" si="4"/>
        <v>0</v>
      </c>
      <c r="W1125" s="24" t="str">
        <f t="shared" si="5"/>
        <v>#DIV/0!</v>
      </c>
    </row>
    <row r="1126" hidden="1">
      <c r="A1126" s="15" t="s">
        <v>2985</v>
      </c>
      <c r="B1126" s="18"/>
      <c r="C1126" s="15" t="s">
        <v>7708</v>
      </c>
      <c r="D1126" s="18"/>
      <c r="E1126" s="17" t="s">
        <v>2986</v>
      </c>
      <c r="F1126" s="18"/>
      <c r="G1126" s="18"/>
      <c r="H1126" s="15" t="s">
        <v>2987</v>
      </c>
      <c r="I1126" s="15" t="s">
        <v>2988</v>
      </c>
      <c r="J1126" s="19" t="s">
        <v>59</v>
      </c>
      <c r="K1126" s="19" t="s">
        <v>2396</v>
      </c>
      <c r="L1126" s="19" t="s">
        <v>38</v>
      </c>
      <c r="M1126" s="20">
        <f t="shared" si="1"/>
        <v>0</v>
      </c>
      <c r="N1126" s="22"/>
      <c r="O1126" s="19" t="s">
        <v>1145</v>
      </c>
      <c r="P1126" s="18"/>
      <c r="Q1126" s="18"/>
      <c r="R1126" s="23">
        <v>0.0</v>
      </c>
      <c r="S1126" s="23">
        <v>0.0</v>
      </c>
      <c r="T1126" s="23">
        <f t="shared" si="2"/>
        <v>0</v>
      </c>
      <c r="U1126" s="23">
        <f t="shared" si="3"/>
        <v>0</v>
      </c>
      <c r="V1126" s="23">
        <f t="shared" si="4"/>
        <v>0</v>
      </c>
      <c r="W1126" s="24" t="str">
        <f t="shared" si="5"/>
        <v>#DIV/0!</v>
      </c>
    </row>
    <row r="1127" hidden="1">
      <c r="A1127" s="15" t="s">
        <v>2989</v>
      </c>
      <c r="B1127" s="18"/>
      <c r="C1127" s="15" t="s">
        <v>7709</v>
      </c>
      <c r="D1127" s="18"/>
      <c r="E1127" s="17" t="s">
        <v>2990</v>
      </c>
      <c r="F1127" s="18"/>
      <c r="G1127" s="18"/>
      <c r="H1127" s="15" t="s">
        <v>2991</v>
      </c>
      <c r="I1127" s="15" t="s">
        <v>2992</v>
      </c>
      <c r="J1127" s="19" t="s">
        <v>59</v>
      </c>
      <c r="K1127" s="19" t="s">
        <v>2396</v>
      </c>
      <c r="L1127" s="19" t="s">
        <v>38</v>
      </c>
      <c r="M1127" s="20">
        <f t="shared" si="1"/>
        <v>0</v>
      </c>
      <c r="N1127" s="22"/>
      <c r="O1127" s="19" t="s">
        <v>1145</v>
      </c>
      <c r="P1127" s="18"/>
      <c r="Q1127" s="18"/>
      <c r="R1127" s="23">
        <v>0.0</v>
      </c>
      <c r="S1127" s="23">
        <v>0.0</v>
      </c>
      <c r="T1127" s="23">
        <f t="shared" si="2"/>
        <v>0</v>
      </c>
      <c r="U1127" s="23">
        <f t="shared" si="3"/>
        <v>0</v>
      </c>
      <c r="V1127" s="23">
        <f t="shared" si="4"/>
        <v>0</v>
      </c>
      <c r="W1127" s="24" t="str">
        <f t="shared" si="5"/>
        <v>#DIV/0!</v>
      </c>
    </row>
    <row r="1128" hidden="1">
      <c r="A1128" s="15" t="s">
        <v>2993</v>
      </c>
      <c r="B1128" s="18"/>
      <c r="C1128" s="15" t="s">
        <v>7710</v>
      </c>
      <c r="D1128" s="18"/>
      <c r="E1128" s="17" t="s">
        <v>2994</v>
      </c>
      <c r="F1128" s="18"/>
      <c r="G1128" s="18"/>
      <c r="H1128" s="15" t="s">
        <v>2995</v>
      </c>
      <c r="I1128" s="15" t="s">
        <v>2996</v>
      </c>
      <c r="J1128" s="19" t="s">
        <v>59</v>
      </c>
      <c r="K1128" s="19" t="s">
        <v>2396</v>
      </c>
      <c r="L1128" s="19" t="s">
        <v>38</v>
      </c>
      <c r="M1128" s="20">
        <f t="shared" si="1"/>
        <v>0</v>
      </c>
      <c r="N1128" s="22"/>
      <c r="O1128" s="19" t="s">
        <v>1145</v>
      </c>
      <c r="P1128" s="18"/>
      <c r="Q1128" s="18"/>
      <c r="R1128" s="23">
        <v>0.0</v>
      </c>
      <c r="S1128" s="23">
        <v>0.0</v>
      </c>
      <c r="T1128" s="23">
        <f t="shared" si="2"/>
        <v>0</v>
      </c>
      <c r="U1128" s="23">
        <f t="shared" si="3"/>
        <v>0</v>
      </c>
      <c r="V1128" s="23">
        <f t="shared" si="4"/>
        <v>0</v>
      </c>
      <c r="W1128" s="24" t="str">
        <f t="shared" si="5"/>
        <v>#DIV/0!</v>
      </c>
    </row>
    <row r="1129" hidden="1">
      <c r="A1129" s="15" t="s">
        <v>7711</v>
      </c>
      <c r="B1129" s="18"/>
      <c r="C1129" s="15" t="s">
        <v>7712</v>
      </c>
      <c r="D1129" s="18"/>
      <c r="E1129" s="17" t="s">
        <v>7713</v>
      </c>
      <c r="F1129" s="18"/>
      <c r="G1129" s="18"/>
      <c r="H1129" s="15" t="s">
        <v>7714</v>
      </c>
      <c r="I1129" s="15" t="s">
        <v>199</v>
      </c>
      <c r="J1129" s="19" t="s">
        <v>59</v>
      </c>
      <c r="K1129" s="19" t="s">
        <v>691</v>
      </c>
      <c r="L1129" s="19" t="s">
        <v>38</v>
      </c>
      <c r="M1129" s="20">
        <f t="shared" si="1"/>
        <v>0</v>
      </c>
      <c r="N1129" s="22"/>
      <c r="O1129" s="19" t="s">
        <v>39</v>
      </c>
      <c r="P1129" s="18"/>
      <c r="Q1129" s="18"/>
      <c r="R1129" s="23">
        <v>0.0</v>
      </c>
      <c r="S1129" s="23">
        <v>0.0</v>
      </c>
      <c r="T1129" s="23">
        <f t="shared" si="2"/>
        <v>0</v>
      </c>
      <c r="U1129" s="23">
        <f t="shared" si="3"/>
        <v>0</v>
      </c>
      <c r="V1129" s="23">
        <f t="shared" si="4"/>
        <v>0</v>
      </c>
      <c r="W1129" s="24" t="str">
        <f t="shared" si="5"/>
        <v>#DIV/0!</v>
      </c>
    </row>
    <row r="1130" hidden="1">
      <c r="A1130" s="15" t="s">
        <v>7715</v>
      </c>
      <c r="B1130" s="18"/>
      <c r="C1130" s="15" t="s">
        <v>7716</v>
      </c>
      <c r="D1130" s="18"/>
      <c r="E1130" s="17" t="s">
        <v>7717</v>
      </c>
      <c r="F1130" s="18"/>
      <c r="G1130" s="18"/>
      <c r="H1130" s="15" t="s">
        <v>7718</v>
      </c>
      <c r="I1130" s="15" t="s">
        <v>574</v>
      </c>
      <c r="J1130" s="19" t="s">
        <v>59</v>
      </c>
      <c r="K1130" s="19" t="s">
        <v>691</v>
      </c>
      <c r="L1130" s="19" t="s">
        <v>38</v>
      </c>
      <c r="M1130" s="20">
        <f t="shared" si="1"/>
        <v>0</v>
      </c>
      <c r="N1130" s="22"/>
      <c r="O1130" s="19" t="s">
        <v>39</v>
      </c>
      <c r="P1130" s="18"/>
      <c r="Q1130" s="18"/>
      <c r="R1130" s="23">
        <v>0.0</v>
      </c>
      <c r="S1130" s="23">
        <v>0.0</v>
      </c>
      <c r="T1130" s="23">
        <f t="shared" si="2"/>
        <v>0</v>
      </c>
      <c r="U1130" s="23">
        <f t="shared" si="3"/>
        <v>0</v>
      </c>
      <c r="V1130" s="23">
        <f t="shared" si="4"/>
        <v>0</v>
      </c>
      <c r="W1130" s="24" t="str">
        <f t="shared" si="5"/>
        <v>#DIV/0!</v>
      </c>
    </row>
    <row r="1131">
      <c r="A1131" s="15" t="s">
        <v>194</v>
      </c>
      <c r="B1131" s="15" t="s">
        <v>195</v>
      </c>
      <c r="C1131" s="15" t="s">
        <v>6108</v>
      </c>
      <c r="D1131" s="15" t="s">
        <v>196</v>
      </c>
      <c r="E1131" s="17" t="s">
        <v>197</v>
      </c>
      <c r="F1131" s="18"/>
      <c r="G1131" s="15" t="s">
        <v>198</v>
      </c>
      <c r="H1131" s="15" t="s">
        <v>199</v>
      </c>
      <c r="I1131" s="18"/>
      <c r="J1131" s="19" t="s">
        <v>59</v>
      </c>
      <c r="K1131" s="19" t="s">
        <v>200</v>
      </c>
      <c r="L1131" s="19" t="s">
        <v>38</v>
      </c>
      <c r="M1131" s="20">
        <f t="shared" si="1"/>
        <v>532.8</v>
      </c>
      <c r="N1131" s="31">
        <v>15.0</v>
      </c>
      <c r="O1131" s="19" t="s">
        <v>107</v>
      </c>
      <c r="P1131" s="18"/>
      <c r="Q1131" s="18"/>
      <c r="R1131" s="23">
        <v>2.7</v>
      </c>
      <c r="S1131" s="23">
        <v>30.0</v>
      </c>
      <c r="T1131" s="23">
        <f t="shared" si="2"/>
        <v>28.8</v>
      </c>
      <c r="U1131" s="23">
        <f t="shared" si="3"/>
        <v>3.3075</v>
      </c>
      <c r="V1131" s="23">
        <f t="shared" si="4"/>
        <v>62.015625</v>
      </c>
      <c r="W1131" s="24">
        <f t="shared" si="5"/>
        <v>10.66666667</v>
      </c>
    </row>
    <row r="1132">
      <c r="A1132" s="15" t="s">
        <v>569</v>
      </c>
      <c r="B1132" s="15" t="s">
        <v>570</v>
      </c>
      <c r="C1132" s="15" t="s">
        <v>6036</v>
      </c>
      <c r="D1132" s="15" t="s">
        <v>571</v>
      </c>
      <c r="E1132" s="17" t="s">
        <v>572</v>
      </c>
      <c r="F1132" s="18"/>
      <c r="G1132" s="15" t="s">
        <v>573</v>
      </c>
      <c r="H1132" s="15" t="s">
        <v>574</v>
      </c>
      <c r="I1132" s="18"/>
      <c r="J1132" s="19" t="s">
        <v>59</v>
      </c>
      <c r="K1132" s="19" t="s">
        <v>200</v>
      </c>
      <c r="L1132" s="19" t="s">
        <v>38</v>
      </c>
      <c r="M1132" s="20">
        <f t="shared" si="1"/>
        <v>355.2</v>
      </c>
      <c r="N1132" s="31">
        <v>8.0</v>
      </c>
      <c r="O1132" s="19" t="s">
        <v>107</v>
      </c>
      <c r="P1132" s="18"/>
      <c r="Q1132" s="18"/>
      <c r="R1132" s="23">
        <v>3.5</v>
      </c>
      <c r="S1132" s="23">
        <v>20.0</v>
      </c>
      <c r="T1132" s="23">
        <f t="shared" si="2"/>
        <v>19.2</v>
      </c>
      <c r="U1132" s="23">
        <f t="shared" si="3"/>
        <v>4.2875</v>
      </c>
      <c r="V1132" s="23">
        <f t="shared" si="4"/>
        <v>80.390625</v>
      </c>
      <c r="W1132" s="24">
        <f t="shared" si="5"/>
        <v>5.485714286</v>
      </c>
    </row>
    <row r="1133" hidden="1">
      <c r="A1133" s="15" t="s">
        <v>2997</v>
      </c>
      <c r="B1133" s="18"/>
      <c r="C1133" s="15" t="s">
        <v>7719</v>
      </c>
      <c r="D1133" s="18"/>
      <c r="E1133" s="17" t="s">
        <v>2998</v>
      </c>
      <c r="F1133" s="18"/>
      <c r="G1133" s="18"/>
      <c r="H1133" s="15" t="s">
        <v>2999</v>
      </c>
      <c r="I1133" s="15" t="s">
        <v>3000</v>
      </c>
      <c r="J1133" s="19" t="s">
        <v>59</v>
      </c>
      <c r="K1133" s="19" t="s">
        <v>2396</v>
      </c>
      <c r="L1133" s="19" t="s">
        <v>38</v>
      </c>
      <c r="M1133" s="20">
        <f t="shared" si="1"/>
        <v>0</v>
      </c>
      <c r="N1133" s="22"/>
      <c r="O1133" s="19" t="s">
        <v>1145</v>
      </c>
      <c r="P1133" s="18"/>
      <c r="Q1133" s="18"/>
      <c r="R1133" s="23">
        <v>0.0</v>
      </c>
      <c r="S1133" s="23">
        <v>0.0</v>
      </c>
      <c r="T1133" s="23">
        <f t="shared" si="2"/>
        <v>0</v>
      </c>
      <c r="U1133" s="23">
        <f t="shared" si="3"/>
        <v>0</v>
      </c>
      <c r="V1133" s="23">
        <f t="shared" si="4"/>
        <v>0</v>
      </c>
      <c r="W1133" s="24" t="str">
        <f t="shared" si="5"/>
        <v>#DIV/0!</v>
      </c>
    </row>
    <row r="1134" hidden="1">
      <c r="A1134" s="15" t="s">
        <v>5163</v>
      </c>
      <c r="B1134" s="18"/>
      <c r="C1134" s="15" t="s">
        <v>7720</v>
      </c>
      <c r="D1134" s="18"/>
      <c r="E1134" s="17" t="s">
        <v>7721</v>
      </c>
      <c r="F1134" s="18"/>
      <c r="G1134" s="18"/>
      <c r="H1134" s="15" t="s">
        <v>7722</v>
      </c>
      <c r="I1134" s="15" t="s">
        <v>5166</v>
      </c>
      <c r="J1134" s="19" t="s">
        <v>59</v>
      </c>
      <c r="K1134" s="19" t="s">
        <v>2396</v>
      </c>
      <c r="L1134" s="19" t="s">
        <v>38</v>
      </c>
      <c r="M1134" s="20">
        <f t="shared" si="1"/>
        <v>0</v>
      </c>
      <c r="N1134" s="22"/>
      <c r="O1134" s="19" t="s">
        <v>1145</v>
      </c>
      <c r="P1134" s="18"/>
      <c r="Q1134" s="18"/>
      <c r="R1134" s="23">
        <v>0.0</v>
      </c>
      <c r="S1134" s="23">
        <v>0.0</v>
      </c>
      <c r="T1134" s="23">
        <f t="shared" si="2"/>
        <v>0</v>
      </c>
      <c r="U1134" s="23">
        <f t="shared" si="3"/>
        <v>0</v>
      </c>
      <c r="V1134" s="23">
        <f t="shared" si="4"/>
        <v>0</v>
      </c>
      <c r="W1134" s="24" t="str">
        <f t="shared" si="5"/>
        <v>#DIV/0!</v>
      </c>
    </row>
    <row r="1135" hidden="1">
      <c r="A1135" s="15" t="s">
        <v>3001</v>
      </c>
      <c r="B1135" s="18"/>
      <c r="C1135" s="15" t="s">
        <v>7723</v>
      </c>
      <c r="D1135" s="18"/>
      <c r="E1135" s="17" t="s">
        <v>7724</v>
      </c>
      <c r="F1135" s="18"/>
      <c r="G1135" s="18"/>
      <c r="H1135" s="15" t="s">
        <v>3004</v>
      </c>
      <c r="I1135" s="15" t="s">
        <v>3005</v>
      </c>
      <c r="J1135" s="19" t="s">
        <v>59</v>
      </c>
      <c r="K1135" s="19" t="s">
        <v>2396</v>
      </c>
      <c r="L1135" s="19" t="s">
        <v>38</v>
      </c>
      <c r="M1135" s="20">
        <f t="shared" si="1"/>
        <v>0</v>
      </c>
      <c r="N1135" s="22"/>
      <c r="O1135" s="19" t="s">
        <v>1145</v>
      </c>
      <c r="P1135" s="18"/>
      <c r="Q1135" s="18"/>
      <c r="R1135" s="23">
        <v>0.0</v>
      </c>
      <c r="S1135" s="23">
        <v>0.0</v>
      </c>
      <c r="T1135" s="23">
        <f t="shared" si="2"/>
        <v>0</v>
      </c>
      <c r="U1135" s="23">
        <f t="shared" si="3"/>
        <v>0</v>
      </c>
      <c r="V1135" s="23">
        <f t="shared" si="4"/>
        <v>0</v>
      </c>
      <c r="W1135" s="24" t="str">
        <f t="shared" si="5"/>
        <v>#DIV/0!</v>
      </c>
    </row>
    <row r="1136" hidden="1">
      <c r="A1136" s="15" t="s">
        <v>7725</v>
      </c>
      <c r="B1136" s="18"/>
      <c r="C1136" s="15" t="s">
        <v>7726</v>
      </c>
      <c r="D1136" s="18"/>
      <c r="E1136" s="17" t="s">
        <v>7727</v>
      </c>
      <c r="F1136" s="18"/>
      <c r="G1136" s="18"/>
      <c r="H1136" s="15" t="s">
        <v>7728</v>
      </c>
      <c r="I1136" s="15" t="s">
        <v>1116</v>
      </c>
      <c r="J1136" s="19" t="s">
        <v>59</v>
      </c>
      <c r="K1136" s="19" t="s">
        <v>2396</v>
      </c>
      <c r="L1136" s="19" t="s">
        <v>38</v>
      </c>
      <c r="M1136" s="20">
        <f t="shared" si="1"/>
        <v>0</v>
      </c>
      <c r="N1136" s="22"/>
      <c r="O1136" s="19" t="s">
        <v>1145</v>
      </c>
      <c r="P1136" s="18"/>
      <c r="Q1136" s="18"/>
      <c r="R1136" s="23">
        <v>0.0</v>
      </c>
      <c r="S1136" s="23">
        <v>0.0</v>
      </c>
      <c r="T1136" s="23">
        <f t="shared" si="2"/>
        <v>0</v>
      </c>
      <c r="U1136" s="23">
        <f t="shared" si="3"/>
        <v>0</v>
      </c>
      <c r="V1136" s="23">
        <f t="shared" si="4"/>
        <v>0</v>
      </c>
      <c r="W1136" s="24" t="str">
        <f t="shared" si="5"/>
        <v>#DIV/0!</v>
      </c>
    </row>
    <row r="1137" hidden="1">
      <c r="A1137" s="15" t="s">
        <v>3006</v>
      </c>
      <c r="B1137" s="18"/>
      <c r="C1137" s="15" t="s">
        <v>7729</v>
      </c>
      <c r="D1137" s="18"/>
      <c r="E1137" s="17" t="s">
        <v>3007</v>
      </c>
      <c r="F1137" s="18"/>
      <c r="G1137" s="18"/>
      <c r="H1137" s="15" t="s">
        <v>3008</v>
      </c>
      <c r="I1137" s="15" t="s">
        <v>3009</v>
      </c>
      <c r="J1137" s="19" t="s">
        <v>59</v>
      </c>
      <c r="K1137" s="19" t="s">
        <v>2396</v>
      </c>
      <c r="L1137" s="19" t="s">
        <v>38</v>
      </c>
      <c r="M1137" s="20">
        <f t="shared" si="1"/>
        <v>0</v>
      </c>
      <c r="N1137" s="22"/>
      <c r="O1137" s="19" t="s">
        <v>1145</v>
      </c>
      <c r="P1137" s="18"/>
      <c r="Q1137" s="18"/>
      <c r="R1137" s="23">
        <v>0.0</v>
      </c>
      <c r="S1137" s="23">
        <v>0.0</v>
      </c>
      <c r="T1137" s="23">
        <f t="shared" si="2"/>
        <v>0</v>
      </c>
      <c r="U1137" s="23">
        <f t="shared" si="3"/>
        <v>0</v>
      </c>
      <c r="V1137" s="23">
        <f t="shared" si="4"/>
        <v>0</v>
      </c>
      <c r="W1137" s="24" t="str">
        <f t="shared" si="5"/>
        <v>#DIV/0!</v>
      </c>
    </row>
    <row r="1138" hidden="1">
      <c r="A1138" s="15" t="s">
        <v>3010</v>
      </c>
      <c r="B1138" s="18"/>
      <c r="C1138" s="15" t="s">
        <v>7730</v>
      </c>
      <c r="D1138" s="18"/>
      <c r="E1138" s="17" t="s">
        <v>3011</v>
      </c>
      <c r="F1138" s="18"/>
      <c r="G1138" s="18"/>
      <c r="H1138" s="15" t="s">
        <v>3012</v>
      </c>
      <c r="I1138" s="15" t="s">
        <v>3013</v>
      </c>
      <c r="J1138" s="19" t="s">
        <v>59</v>
      </c>
      <c r="K1138" s="19" t="s">
        <v>2396</v>
      </c>
      <c r="L1138" s="19" t="s">
        <v>38</v>
      </c>
      <c r="M1138" s="20">
        <f t="shared" si="1"/>
        <v>0</v>
      </c>
      <c r="N1138" s="22"/>
      <c r="O1138" s="19" t="s">
        <v>1145</v>
      </c>
      <c r="P1138" s="18"/>
      <c r="Q1138" s="18"/>
      <c r="R1138" s="23">
        <v>0.0</v>
      </c>
      <c r="S1138" s="23">
        <v>0.0</v>
      </c>
      <c r="T1138" s="23">
        <f t="shared" si="2"/>
        <v>0</v>
      </c>
      <c r="U1138" s="23">
        <f t="shared" si="3"/>
        <v>0</v>
      </c>
      <c r="V1138" s="23">
        <f t="shared" si="4"/>
        <v>0</v>
      </c>
      <c r="W1138" s="24" t="str">
        <f t="shared" si="5"/>
        <v>#DIV/0!</v>
      </c>
    </row>
    <row r="1139" hidden="1">
      <c r="A1139" s="15" t="s">
        <v>3014</v>
      </c>
      <c r="B1139" s="18"/>
      <c r="C1139" s="15" t="s">
        <v>7731</v>
      </c>
      <c r="D1139" s="18"/>
      <c r="E1139" s="17" t="s">
        <v>3015</v>
      </c>
      <c r="F1139" s="18"/>
      <c r="G1139" s="18"/>
      <c r="H1139" s="15" t="s">
        <v>3016</v>
      </c>
      <c r="I1139" s="15" t="s">
        <v>3017</v>
      </c>
      <c r="J1139" s="19" t="s">
        <v>59</v>
      </c>
      <c r="K1139" s="19" t="s">
        <v>2396</v>
      </c>
      <c r="L1139" s="19" t="s">
        <v>38</v>
      </c>
      <c r="M1139" s="20">
        <f t="shared" si="1"/>
        <v>0</v>
      </c>
      <c r="N1139" s="22"/>
      <c r="O1139" s="19" t="s">
        <v>1145</v>
      </c>
      <c r="P1139" s="18"/>
      <c r="Q1139" s="18"/>
      <c r="R1139" s="23">
        <v>0.0</v>
      </c>
      <c r="S1139" s="23">
        <v>0.0</v>
      </c>
      <c r="T1139" s="23">
        <f t="shared" si="2"/>
        <v>0</v>
      </c>
      <c r="U1139" s="23">
        <f t="shared" si="3"/>
        <v>0</v>
      </c>
      <c r="V1139" s="23">
        <f t="shared" si="4"/>
        <v>0</v>
      </c>
      <c r="W1139" s="24" t="str">
        <f t="shared" si="5"/>
        <v>#DIV/0!</v>
      </c>
    </row>
    <row r="1140" hidden="1">
      <c r="A1140" s="15" t="s">
        <v>5167</v>
      </c>
      <c r="B1140" s="18"/>
      <c r="C1140" s="15" t="s">
        <v>7732</v>
      </c>
      <c r="D1140" s="18"/>
      <c r="E1140" s="17" t="s">
        <v>7733</v>
      </c>
      <c r="F1140" s="18"/>
      <c r="G1140" s="18"/>
      <c r="H1140" s="15" t="s">
        <v>7734</v>
      </c>
      <c r="I1140" s="15" t="s">
        <v>5170</v>
      </c>
      <c r="J1140" s="19" t="s">
        <v>59</v>
      </c>
      <c r="K1140" s="19" t="s">
        <v>2396</v>
      </c>
      <c r="L1140" s="19" t="s">
        <v>38</v>
      </c>
      <c r="M1140" s="20">
        <f t="shared" si="1"/>
        <v>0</v>
      </c>
      <c r="N1140" s="22"/>
      <c r="O1140" s="19" t="s">
        <v>1145</v>
      </c>
      <c r="P1140" s="18"/>
      <c r="Q1140" s="18"/>
      <c r="R1140" s="23">
        <v>0.0</v>
      </c>
      <c r="S1140" s="23">
        <v>0.0</v>
      </c>
      <c r="T1140" s="23">
        <f t="shared" si="2"/>
        <v>0</v>
      </c>
      <c r="U1140" s="23">
        <f t="shared" si="3"/>
        <v>0</v>
      </c>
      <c r="V1140" s="23">
        <f t="shared" si="4"/>
        <v>0</v>
      </c>
      <c r="W1140" s="24" t="str">
        <f t="shared" si="5"/>
        <v>#DIV/0!</v>
      </c>
    </row>
    <row r="1141" hidden="1">
      <c r="A1141" s="15" t="s">
        <v>3018</v>
      </c>
      <c r="B1141" s="18"/>
      <c r="C1141" s="15" t="s">
        <v>7735</v>
      </c>
      <c r="D1141" s="18"/>
      <c r="E1141" s="17" t="s">
        <v>3019</v>
      </c>
      <c r="F1141" s="18"/>
      <c r="G1141" s="18"/>
      <c r="H1141" s="15" t="s">
        <v>3020</v>
      </c>
      <c r="I1141" s="18"/>
      <c r="J1141" s="19" t="s">
        <v>59</v>
      </c>
      <c r="K1141" s="19" t="s">
        <v>2396</v>
      </c>
      <c r="L1141" s="19" t="s">
        <v>38</v>
      </c>
      <c r="M1141" s="20">
        <f t="shared" si="1"/>
        <v>0</v>
      </c>
      <c r="N1141" s="22"/>
      <c r="O1141" s="19" t="s">
        <v>1145</v>
      </c>
      <c r="P1141" s="18"/>
      <c r="Q1141" s="18"/>
      <c r="R1141" s="23">
        <v>0.0</v>
      </c>
      <c r="S1141" s="23">
        <v>0.0</v>
      </c>
      <c r="T1141" s="23">
        <f t="shared" si="2"/>
        <v>0</v>
      </c>
      <c r="U1141" s="23">
        <f t="shared" si="3"/>
        <v>0</v>
      </c>
      <c r="V1141" s="23">
        <f t="shared" si="4"/>
        <v>0</v>
      </c>
      <c r="W1141" s="24" t="str">
        <f t="shared" si="5"/>
        <v>#DIV/0!</v>
      </c>
    </row>
    <row r="1142" hidden="1">
      <c r="A1142" s="15" t="s">
        <v>5171</v>
      </c>
      <c r="B1142" s="18"/>
      <c r="C1142" s="15" t="s">
        <v>7736</v>
      </c>
      <c r="D1142" s="18"/>
      <c r="E1142" s="17" t="s">
        <v>7737</v>
      </c>
      <c r="F1142" s="18"/>
      <c r="G1142" s="18"/>
      <c r="H1142" s="15" t="s">
        <v>7738</v>
      </c>
      <c r="I1142" s="15" t="s">
        <v>5174</v>
      </c>
      <c r="J1142" s="19" t="s">
        <v>59</v>
      </c>
      <c r="K1142" s="19" t="s">
        <v>2396</v>
      </c>
      <c r="L1142" s="19" t="s">
        <v>38</v>
      </c>
      <c r="M1142" s="20">
        <f t="shared" si="1"/>
        <v>0</v>
      </c>
      <c r="N1142" s="22"/>
      <c r="O1142" s="19" t="s">
        <v>1145</v>
      </c>
      <c r="P1142" s="18"/>
      <c r="Q1142" s="18"/>
      <c r="R1142" s="23">
        <v>0.0</v>
      </c>
      <c r="S1142" s="23">
        <v>0.0</v>
      </c>
      <c r="T1142" s="23">
        <f t="shared" si="2"/>
        <v>0</v>
      </c>
      <c r="U1142" s="23">
        <f t="shared" si="3"/>
        <v>0</v>
      </c>
      <c r="V1142" s="23">
        <f t="shared" si="4"/>
        <v>0</v>
      </c>
      <c r="W1142" s="24" t="str">
        <f t="shared" si="5"/>
        <v>#DIV/0!</v>
      </c>
    </row>
    <row r="1143" hidden="1">
      <c r="A1143" s="15" t="s">
        <v>7739</v>
      </c>
      <c r="B1143" s="18"/>
      <c r="C1143" s="15" t="s">
        <v>7740</v>
      </c>
      <c r="D1143" s="18"/>
      <c r="E1143" s="17" t="s">
        <v>7741</v>
      </c>
      <c r="F1143" s="18"/>
      <c r="G1143" s="18"/>
      <c r="H1143" s="15" t="s">
        <v>7742</v>
      </c>
      <c r="I1143" s="15" t="s">
        <v>3932</v>
      </c>
      <c r="J1143" s="19" t="s">
        <v>59</v>
      </c>
      <c r="K1143" s="19" t="s">
        <v>2396</v>
      </c>
      <c r="L1143" s="19" t="s">
        <v>38</v>
      </c>
      <c r="M1143" s="20">
        <f t="shared" si="1"/>
        <v>0</v>
      </c>
      <c r="N1143" s="22"/>
      <c r="O1143" s="19" t="s">
        <v>39</v>
      </c>
      <c r="P1143" s="18"/>
      <c r="Q1143" s="18"/>
      <c r="R1143" s="23">
        <v>0.0</v>
      </c>
      <c r="S1143" s="23">
        <v>0.0</v>
      </c>
      <c r="T1143" s="23">
        <f t="shared" si="2"/>
        <v>0</v>
      </c>
      <c r="U1143" s="23">
        <f t="shared" si="3"/>
        <v>0</v>
      </c>
      <c r="V1143" s="23">
        <f t="shared" si="4"/>
        <v>0</v>
      </c>
      <c r="W1143" s="24" t="str">
        <f t="shared" si="5"/>
        <v>#DIV/0!</v>
      </c>
    </row>
    <row r="1144" hidden="1">
      <c r="A1144" s="15" t="s">
        <v>5175</v>
      </c>
      <c r="B1144" s="15" t="s">
        <v>5176</v>
      </c>
      <c r="C1144" s="15" t="s">
        <v>7743</v>
      </c>
      <c r="D1144" s="15" t="s">
        <v>5177</v>
      </c>
      <c r="E1144" s="17" t="s">
        <v>5178</v>
      </c>
      <c r="F1144" s="18"/>
      <c r="G1144" s="18"/>
      <c r="H1144" s="15" t="s">
        <v>5179</v>
      </c>
      <c r="I1144" s="18"/>
      <c r="J1144" s="19" t="s">
        <v>59</v>
      </c>
      <c r="K1144" s="33"/>
      <c r="L1144" s="19" t="s">
        <v>177</v>
      </c>
      <c r="M1144" s="20">
        <f t="shared" si="1"/>
        <v>0</v>
      </c>
      <c r="N1144" s="22"/>
      <c r="O1144" s="19" t="s">
        <v>3578</v>
      </c>
      <c r="P1144" s="18"/>
      <c r="Q1144" s="18"/>
      <c r="R1144" s="23">
        <v>0.0</v>
      </c>
      <c r="S1144" s="23">
        <v>0.0</v>
      </c>
      <c r="T1144" s="23">
        <f t="shared" si="2"/>
        <v>0</v>
      </c>
      <c r="U1144" s="23">
        <f t="shared" si="3"/>
        <v>0</v>
      </c>
      <c r="V1144" s="23">
        <f t="shared" si="4"/>
        <v>0</v>
      </c>
      <c r="W1144" s="24" t="str">
        <f t="shared" si="5"/>
        <v>#DIV/0!</v>
      </c>
    </row>
    <row r="1145">
      <c r="A1145" s="15" t="s">
        <v>980</v>
      </c>
      <c r="B1145" s="15" t="s">
        <v>981</v>
      </c>
      <c r="C1145" s="15" t="s">
        <v>6087</v>
      </c>
      <c r="D1145" s="15" t="s">
        <v>982</v>
      </c>
      <c r="E1145" s="17" t="s">
        <v>983</v>
      </c>
      <c r="F1145" s="18"/>
      <c r="G1145" s="15" t="s">
        <v>984</v>
      </c>
      <c r="H1145" s="15" t="s">
        <v>985</v>
      </c>
      <c r="I1145" s="18"/>
      <c r="J1145" s="19" t="s">
        <v>59</v>
      </c>
      <c r="K1145" s="19" t="s">
        <v>114</v>
      </c>
      <c r="L1145" s="19" t="s">
        <v>115</v>
      </c>
      <c r="M1145" s="20">
        <f t="shared" si="1"/>
        <v>4582.08</v>
      </c>
      <c r="N1145" s="31">
        <v>4.0</v>
      </c>
      <c r="O1145" s="19" t="s">
        <v>107</v>
      </c>
      <c r="P1145" s="18"/>
      <c r="Q1145" s="18"/>
      <c r="R1145" s="23">
        <v>70.0</v>
      </c>
      <c r="S1145" s="23">
        <v>258.0</v>
      </c>
      <c r="T1145" s="23">
        <f t="shared" si="2"/>
        <v>247.68</v>
      </c>
      <c r="U1145" s="23">
        <f t="shared" si="3"/>
        <v>85.75</v>
      </c>
      <c r="V1145" s="23">
        <f t="shared" si="4"/>
        <v>1607.8125</v>
      </c>
      <c r="W1145" s="24">
        <f t="shared" si="5"/>
        <v>3.538285714</v>
      </c>
    </row>
    <row r="1146">
      <c r="A1146" s="15" t="s">
        <v>1019</v>
      </c>
      <c r="B1146" s="15" t="s">
        <v>1020</v>
      </c>
      <c r="C1146" s="15" t="s">
        <v>6088</v>
      </c>
      <c r="D1146" s="15" t="s">
        <v>1021</v>
      </c>
      <c r="E1146" s="17" t="s">
        <v>1022</v>
      </c>
      <c r="F1146" s="18"/>
      <c r="G1146" s="18"/>
      <c r="H1146" s="15" t="s">
        <v>1023</v>
      </c>
      <c r="I1146" s="18"/>
      <c r="J1146" s="19" t="s">
        <v>59</v>
      </c>
      <c r="K1146" s="19" t="s">
        <v>114</v>
      </c>
      <c r="L1146" s="19" t="s">
        <v>115</v>
      </c>
      <c r="M1146" s="20">
        <f t="shared" si="1"/>
        <v>3392.16</v>
      </c>
      <c r="N1146" s="31">
        <v>4.0</v>
      </c>
      <c r="O1146" s="19" t="s">
        <v>107</v>
      </c>
      <c r="P1146" s="18"/>
      <c r="Q1146" s="18"/>
      <c r="R1146" s="23">
        <v>55.0</v>
      </c>
      <c r="S1146" s="23">
        <v>191.0</v>
      </c>
      <c r="T1146" s="23">
        <f t="shared" si="2"/>
        <v>183.36</v>
      </c>
      <c r="U1146" s="23">
        <f t="shared" si="3"/>
        <v>67.375</v>
      </c>
      <c r="V1146" s="23">
        <f t="shared" si="4"/>
        <v>1263.28125</v>
      </c>
      <c r="W1146" s="24">
        <f t="shared" si="5"/>
        <v>3.333818182</v>
      </c>
    </row>
    <row r="1147" hidden="1">
      <c r="A1147" s="15" t="s">
        <v>7744</v>
      </c>
      <c r="B1147" s="15"/>
      <c r="C1147" s="15" t="s">
        <v>6079</v>
      </c>
      <c r="D1147" s="18"/>
      <c r="E1147" s="17" t="s">
        <v>7745</v>
      </c>
      <c r="F1147" s="18"/>
      <c r="G1147" s="18"/>
      <c r="H1147" s="18"/>
      <c r="I1147" s="18"/>
      <c r="J1147" s="19" t="s">
        <v>59</v>
      </c>
      <c r="K1147" s="33"/>
      <c r="L1147" s="19" t="s">
        <v>38</v>
      </c>
      <c r="M1147" s="20">
        <f t="shared" si="1"/>
        <v>0</v>
      </c>
      <c r="N1147" s="22"/>
      <c r="O1147" s="19" t="s">
        <v>39</v>
      </c>
      <c r="P1147" s="18"/>
      <c r="Q1147" s="18"/>
      <c r="R1147" s="23">
        <v>0.0</v>
      </c>
      <c r="S1147" s="23">
        <v>0.0</v>
      </c>
      <c r="T1147" s="23">
        <f t="shared" si="2"/>
        <v>0</v>
      </c>
      <c r="U1147" s="23">
        <f t="shared" si="3"/>
        <v>0</v>
      </c>
      <c r="V1147" s="23">
        <f t="shared" si="4"/>
        <v>0</v>
      </c>
      <c r="W1147" s="24" t="str">
        <f t="shared" si="5"/>
        <v>#DIV/0!</v>
      </c>
    </row>
    <row r="1148">
      <c r="A1148" s="15" t="s">
        <v>1057</v>
      </c>
      <c r="B1148" s="15" t="s">
        <v>1058</v>
      </c>
      <c r="C1148" s="15" t="s">
        <v>6089</v>
      </c>
      <c r="D1148" s="15" t="s">
        <v>1059</v>
      </c>
      <c r="E1148" s="17" t="s">
        <v>1060</v>
      </c>
      <c r="F1148" s="18"/>
      <c r="G1148" s="15" t="s">
        <v>1061</v>
      </c>
      <c r="H1148" s="15" t="s">
        <v>1062</v>
      </c>
      <c r="I1148" s="18"/>
      <c r="J1148" s="19" t="s">
        <v>59</v>
      </c>
      <c r="K1148" s="19" t="s">
        <v>114</v>
      </c>
      <c r="L1148" s="19" t="s">
        <v>115</v>
      </c>
      <c r="M1148" s="20">
        <f t="shared" si="1"/>
        <v>2912.64</v>
      </c>
      <c r="N1148" s="31">
        <v>4.0</v>
      </c>
      <c r="O1148" s="19" t="s">
        <v>107</v>
      </c>
      <c r="P1148" s="18"/>
      <c r="Q1148" s="18"/>
      <c r="R1148" s="23">
        <v>55.0</v>
      </c>
      <c r="S1148" s="23">
        <v>164.0</v>
      </c>
      <c r="T1148" s="23">
        <f t="shared" si="2"/>
        <v>157.44</v>
      </c>
      <c r="U1148" s="23">
        <f t="shared" si="3"/>
        <v>67.375</v>
      </c>
      <c r="V1148" s="23">
        <f t="shared" si="4"/>
        <v>1263.28125</v>
      </c>
      <c r="W1148" s="24">
        <f t="shared" si="5"/>
        <v>2.862545455</v>
      </c>
    </row>
    <row r="1149">
      <c r="A1149" s="15" t="s">
        <v>906</v>
      </c>
      <c r="B1149" s="15" t="s">
        <v>907</v>
      </c>
      <c r="C1149" s="15" t="s">
        <v>6090</v>
      </c>
      <c r="D1149" s="15" t="s">
        <v>908</v>
      </c>
      <c r="E1149" s="17" t="s">
        <v>909</v>
      </c>
      <c r="F1149" s="18"/>
      <c r="G1149" s="15" t="s">
        <v>910</v>
      </c>
      <c r="H1149" s="15" t="s">
        <v>911</v>
      </c>
      <c r="I1149" s="18"/>
      <c r="J1149" s="19" t="s">
        <v>59</v>
      </c>
      <c r="K1149" s="19" t="s">
        <v>114</v>
      </c>
      <c r="L1149" s="19" t="s">
        <v>115</v>
      </c>
      <c r="M1149" s="20">
        <f t="shared" si="1"/>
        <v>3907.2</v>
      </c>
      <c r="N1149" s="31">
        <v>4.0</v>
      </c>
      <c r="O1149" s="19" t="s">
        <v>107</v>
      </c>
      <c r="P1149" s="18"/>
      <c r="Q1149" s="18"/>
      <c r="R1149" s="23">
        <v>55.0</v>
      </c>
      <c r="S1149" s="23">
        <v>220.0</v>
      </c>
      <c r="T1149" s="23">
        <f t="shared" si="2"/>
        <v>211.2</v>
      </c>
      <c r="U1149" s="23">
        <f t="shared" si="3"/>
        <v>67.375</v>
      </c>
      <c r="V1149" s="23">
        <f t="shared" si="4"/>
        <v>1263.28125</v>
      </c>
      <c r="W1149" s="24">
        <f t="shared" si="5"/>
        <v>3.84</v>
      </c>
    </row>
    <row r="1150">
      <c r="A1150" s="15" t="s">
        <v>1035</v>
      </c>
      <c r="B1150" s="15" t="s">
        <v>1036</v>
      </c>
      <c r="C1150" s="15" t="s">
        <v>6079</v>
      </c>
      <c r="D1150" s="15" t="s">
        <v>1037</v>
      </c>
      <c r="E1150" s="17" t="s">
        <v>1038</v>
      </c>
      <c r="F1150" s="18"/>
      <c r="G1150" s="15" t="s">
        <v>1039</v>
      </c>
      <c r="H1150" s="15" t="s">
        <v>1040</v>
      </c>
      <c r="I1150" s="18"/>
      <c r="J1150" s="19" t="s">
        <v>59</v>
      </c>
      <c r="K1150" s="19" t="s">
        <v>114</v>
      </c>
      <c r="L1150" s="19" t="s">
        <v>115</v>
      </c>
      <c r="M1150" s="20">
        <f t="shared" si="1"/>
        <v>3463.2</v>
      </c>
      <c r="N1150" s="31">
        <v>4.0</v>
      </c>
      <c r="O1150" s="19" t="s">
        <v>107</v>
      </c>
      <c r="P1150" s="18"/>
      <c r="Q1150" s="18"/>
      <c r="R1150" s="23">
        <v>60.0</v>
      </c>
      <c r="S1150" s="23">
        <v>195.0</v>
      </c>
      <c r="T1150" s="23">
        <f t="shared" si="2"/>
        <v>187.2</v>
      </c>
      <c r="U1150" s="23">
        <f t="shared" si="3"/>
        <v>73.5</v>
      </c>
      <c r="V1150" s="23">
        <f t="shared" si="4"/>
        <v>1378.125</v>
      </c>
      <c r="W1150" s="24">
        <f t="shared" si="5"/>
        <v>3.12</v>
      </c>
    </row>
    <row r="1151" hidden="1">
      <c r="A1151" s="15" t="s">
        <v>3021</v>
      </c>
      <c r="B1151" s="18"/>
      <c r="C1151" s="15" t="s">
        <v>7746</v>
      </c>
      <c r="D1151" s="18"/>
      <c r="E1151" s="17" t="s">
        <v>3022</v>
      </c>
      <c r="F1151" s="18"/>
      <c r="G1151" s="18"/>
      <c r="H1151" s="15" t="s">
        <v>3023</v>
      </c>
      <c r="I1151" s="15" t="s">
        <v>3024</v>
      </c>
      <c r="J1151" s="19" t="s">
        <v>59</v>
      </c>
      <c r="K1151" s="19" t="s">
        <v>2387</v>
      </c>
      <c r="L1151" s="19" t="s">
        <v>38</v>
      </c>
      <c r="M1151" s="20">
        <f t="shared" si="1"/>
        <v>0</v>
      </c>
      <c r="N1151" s="22"/>
      <c r="O1151" s="19" t="s">
        <v>1145</v>
      </c>
      <c r="P1151" s="18"/>
      <c r="Q1151" s="18"/>
      <c r="R1151" s="23">
        <v>0.0</v>
      </c>
      <c r="S1151" s="23">
        <v>0.0</v>
      </c>
      <c r="T1151" s="23">
        <f t="shared" si="2"/>
        <v>0</v>
      </c>
      <c r="U1151" s="23">
        <f t="shared" si="3"/>
        <v>0</v>
      </c>
      <c r="V1151" s="23">
        <f t="shared" si="4"/>
        <v>0</v>
      </c>
      <c r="W1151" s="24" t="str">
        <f t="shared" si="5"/>
        <v>#DIV/0!</v>
      </c>
    </row>
    <row r="1152" hidden="1">
      <c r="A1152" s="15" t="s">
        <v>3025</v>
      </c>
      <c r="B1152" s="18"/>
      <c r="C1152" s="15" t="s">
        <v>7747</v>
      </c>
      <c r="D1152" s="18"/>
      <c r="E1152" s="17" t="s">
        <v>3026</v>
      </c>
      <c r="F1152" s="18"/>
      <c r="G1152" s="18"/>
      <c r="H1152" s="15" t="s">
        <v>3027</v>
      </c>
      <c r="I1152" s="15" t="s">
        <v>3028</v>
      </c>
      <c r="J1152" s="19" t="s">
        <v>59</v>
      </c>
      <c r="K1152" s="19" t="s">
        <v>2387</v>
      </c>
      <c r="L1152" s="19" t="s">
        <v>38</v>
      </c>
      <c r="M1152" s="20">
        <f t="shared" si="1"/>
        <v>0</v>
      </c>
      <c r="N1152" s="22"/>
      <c r="O1152" s="19" t="s">
        <v>1145</v>
      </c>
      <c r="P1152" s="18"/>
      <c r="Q1152" s="18"/>
      <c r="R1152" s="23">
        <v>0.0</v>
      </c>
      <c r="S1152" s="23">
        <v>0.0</v>
      </c>
      <c r="T1152" s="23">
        <f t="shared" si="2"/>
        <v>0</v>
      </c>
      <c r="U1152" s="23">
        <f t="shared" si="3"/>
        <v>0</v>
      </c>
      <c r="V1152" s="23">
        <f t="shared" si="4"/>
        <v>0</v>
      </c>
      <c r="W1152" s="24" t="str">
        <f t="shared" si="5"/>
        <v>#DIV/0!</v>
      </c>
    </row>
    <row r="1153" hidden="1">
      <c r="A1153" s="15" t="s">
        <v>7748</v>
      </c>
      <c r="B1153" s="15"/>
      <c r="C1153" s="15" t="s">
        <v>7749</v>
      </c>
      <c r="D1153" s="15"/>
      <c r="E1153" s="17"/>
      <c r="F1153" s="18"/>
      <c r="G1153" s="18"/>
      <c r="H1153" s="15" t="s">
        <v>690</v>
      </c>
      <c r="I1153" s="18"/>
      <c r="J1153" s="19" t="s">
        <v>59</v>
      </c>
      <c r="K1153" s="19" t="s">
        <v>60</v>
      </c>
      <c r="L1153" s="19" t="s">
        <v>38</v>
      </c>
      <c r="M1153" s="20">
        <f t="shared" si="1"/>
        <v>0</v>
      </c>
      <c r="N1153" s="31">
        <v>3.0</v>
      </c>
      <c r="O1153" s="19" t="s">
        <v>39</v>
      </c>
      <c r="P1153" s="18"/>
      <c r="Q1153" s="18"/>
      <c r="R1153" s="23">
        <v>0.0</v>
      </c>
      <c r="S1153" s="23">
        <v>0.0</v>
      </c>
      <c r="T1153" s="23">
        <f t="shared" si="2"/>
        <v>0</v>
      </c>
      <c r="U1153" s="23">
        <f t="shared" si="3"/>
        <v>0</v>
      </c>
      <c r="V1153" s="23">
        <f t="shared" si="4"/>
        <v>0</v>
      </c>
      <c r="W1153" s="24" t="str">
        <f t="shared" si="5"/>
        <v>#DIV/0!</v>
      </c>
    </row>
    <row r="1154" hidden="1">
      <c r="A1154" s="15" t="s">
        <v>3029</v>
      </c>
      <c r="B1154" s="18"/>
      <c r="C1154" s="15" t="s">
        <v>7750</v>
      </c>
      <c r="D1154" s="18"/>
      <c r="E1154" s="17" t="s">
        <v>3030</v>
      </c>
      <c r="F1154" s="18"/>
      <c r="G1154" s="18"/>
      <c r="H1154" s="15" t="s">
        <v>3031</v>
      </c>
      <c r="I1154" s="15" t="s">
        <v>3032</v>
      </c>
      <c r="J1154" s="19" t="s">
        <v>59</v>
      </c>
      <c r="K1154" s="19" t="s">
        <v>691</v>
      </c>
      <c r="L1154" s="19" t="s">
        <v>38</v>
      </c>
      <c r="M1154" s="20">
        <f t="shared" si="1"/>
        <v>0</v>
      </c>
      <c r="N1154" s="22"/>
      <c r="O1154" s="19" t="s">
        <v>1145</v>
      </c>
      <c r="P1154" s="18"/>
      <c r="Q1154" s="18"/>
      <c r="R1154" s="23">
        <v>0.0</v>
      </c>
      <c r="S1154" s="23">
        <v>0.0</v>
      </c>
      <c r="T1154" s="23">
        <f t="shared" si="2"/>
        <v>0</v>
      </c>
      <c r="U1154" s="23">
        <f t="shared" si="3"/>
        <v>0</v>
      </c>
      <c r="V1154" s="23">
        <f t="shared" si="4"/>
        <v>0</v>
      </c>
      <c r="W1154" s="24" t="str">
        <f t="shared" si="5"/>
        <v>#DIV/0!</v>
      </c>
    </row>
    <row r="1155" hidden="1">
      <c r="A1155" s="15" t="s">
        <v>7751</v>
      </c>
      <c r="B1155" s="18"/>
      <c r="C1155" s="15" t="s">
        <v>7752</v>
      </c>
      <c r="D1155" s="18"/>
      <c r="E1155" s="17" t="s">
        <v>3034</v>
      </c>
      <c r="F1155" s="18"/>
      <c r="G1155" s="18"/>
      <c r="H1155" s="15" t="s">
        <v>7753</v>
      </c>
      <c r="I1155" s="15" t="s">
        <v>536</v>
      </c>
      <c r="J1155" s="19" t="s">
        <v>59</v>
      </c>
      <c r="K1155" s="19" t="s">
        <v>2387</v>
      </c>
      <c r="L1155" s="19" t="s">
        <v>38</v>
      </c>
      <c r="M1155" s="20">
        <f t="shared" si="1"/>
        <v>0</v>
      </c>
      <c r="N1155" s="22"/>
      <c r="O1155" s="19" t="s">
        <v>39</v>
      </c>
      <c r="P1155" s="18"/>
      <c r="Q1155" s="18"/>
      <c r="R1155" s="23">
        <v>0.0</v>
      </c>
      <c r="S1155" s="23">
        <v>0.0</v>
      </c>
      <c r="T1155" s="23">
        <f t="shared" si="2"/>
        <v>0</v>
      </c>
      <c r="U1155" s="23">
        <f t="shared" si="3"/>
        <v>0</v>
      </c>
      <c r="V1155" s="23">
        <f t="shared" si="4"/>
        <v>0</v>
      </c>
      <c r="W1155" s="24" t="str">
        <f t="shared" si="5"/>
        <v>#DIV/0!</v>
      </c>
    </row>
    <row r="1156" hidden="1">
      <c r="A1156" s="15" t="s">
        <v>7754</v>
      </c>
      <c r="B1156" s="18"/>
      <c r="C1156" s="15" t="s">
        <v>7755</v>
      </c>
      <c r="D1156" s="18"/>
      <c r="E1156" s="17" t="s">
        <v>3034</v>
      </c>
      <c r="F1156" s="18"/>
      <c r="G1156" s="18"/>
      <c r="H1156" s="15" t="s">
        <v>7756</v>
      </c>
      <c r="I1156" s="15" t="s">
        <v>203</v>
      </c>
      <c r="J1156" s="19" t="s">
        <v>59</v>
      </c>
      <c r="K1156" s="19" t="s">
        <v>2387</v>
      </c>
      <c r="L1156" s="19" t="s">
        <v>38</v>
      </c>
      <c r="M1156" s="20">
        <f t="shared" si="1"/>
        <v>0</v>
      </c>
      <c r="N1156" s="22"/>
      <c r="O1156" s="19" t="s">
        <v>39</v>
      </c>
      <c r="P1156" s="18"/>
      <c r="Q1156" s="18"/>
      <c r="R1156" s="23">
        <v>0.0</v>
      </c>
      <c r="S1156" s="23">
        <v>0.0</v>
      </c>
      <c r="T1156" s="23">
        <f t="shared" si="2"/>
        <v>0</v>
      </c>
      <c r="U1156" s="23">
        <f t="shared" si="3"/>
        <v>0</v>
      </c>
      <c r="V1156" s="23">
        <f t="shared" si="4"/>
        <v>0</v>
      </c>
      <c r="W1156" s="24" t="str">
        <f t="shared" si="5"/>
        <v>#DIV/0!</v>
      </c>
    </row>
    <row r="1157" hidden="1">
      <c r="A1157" s="15" t="s">
        <v>5180</v>
      </c>
      <c r="B1157" s="18"/>
      <c r="C1157" s="15" t="s">
        <v>7757</v>
      </c>
      <c r="D1157" s="15" t="s">
        <v>5181</v>
      </c>
      <c r="E1157" s="17" t="s">
        <v>5182</v>
      </c>
      <c r="F1157" s="18"/>
      <c r="G1157" s="18"/>
      <c r="H1157" s="15" t="s">
        <v>5183</v>
      </c>
      <c r="I1157" s="15"/>
      <c r="J1157" s="19" t="s">
        <v>59</v>
      </c>
      <c r="K1157" s="19" t="s">
        <v>2387</v>
      </c>
      <c r="L1157" s="19" t="s">
        <v>38</v>
      </c>
      <c r="M1157" s="20">
        <f t="shared" si="1"/>
        <v>0</v>
      </c>
      <c r="N1157" s="22"/>
      <c r="O1157" s="19" t="s">
        <v>3578</v>
      </c>
      <c r="P1157" s="18"/>
      <c r="Q1157" s="18"/>
      <c r="R1157" s="23">
        <v>0.0</v>
      </c>
      <c r="S1157" s="23">
        <v>0.0</v>
      </c>
      <c r="T1157" s="23">
        <f t="shared" si="2"/>
        <v>0</v>
      </c>
      <c r="U1157" s="23">
        <f t="shared" si="3"/>
        <v>0</v>
      </c>
      <c r="V1157" s="23">
        <f t="shared" si="4"/>
        <v>0</v>
      </c>
      <c r="W1157" s="24" t="str">
        <f t="shared" si="5"/>
        <v>#DIV/0!</v>
      </c>
    </row>
    <row r="1158" hidden="1">
      <c r="A1158" s="15" t="s">
        <v>3033</v>
      </c>
      <c r="B1158" s="18"/>
      <c r="C1158" s="15" t="s">
        <v>7758</v>
      </c>
      <c r="D1158" s="18"/>
      <c r="E1158" s="17" t="s">
        <v>3034</v>
      </c>
      <c r="F1158" s="18"/>
      <c r="G1158" s="18"/>
      <c r="H1158" s="15" t="s">
        <v>3035</v>
      </c>
      <c r="I1158" s="15" t="s">
        <v>3036</v>
      </c>
      <c r="J1158" s="19" t="s">
        <v>59</v>
      </c>
      <c r="K1158" s="19" t="s">
        <v>2387</v>
      </c>
      <c r="L1158" s="19" t="s">
        <v>38</v>
      </c>
      <c r="M1158" s="20">
        <f t="shared" si="1"/>
        <v>0</v>
      </c>
      <c r="N1158" s="22"/>
      <c r="O1158" s="19" t="s">
        <v>1145</v>
      </c>
      <c r="P1158" s="18"/>
      <c r="Q1158" s="18"/>
      <c r="R1158" s="23">
        <v>0.0</v>
      </c>
      <c r="S1158" s="23">
        <v>0.0</v>
      </c>
      <c r="T1158" s="23">
        <f t="shared" si="2"/>
        <v>0</v>
      </c>
      <c r="U1158" s="23">
        <f t="shared" si="3"/>
        <v>0</v>
      </c>
      <c r="V1158" s="23">
        <f t="shared" si="4"/>
        <v>0</v>
      </c>
      <c r="W1158" s="24" t="str">
        <f t="shared" si="5"/>
        <v>#DIV/0!</v>
      </c>
    </row>
    <row r="1159" hidden="1">
      <c r="A1159" s="15" t="s">
        <v>7759</v>
      </c>
      <c r="B1159" s="18"/>
      <c r="C1159" s="15" t="s">
        <v>7760</v>
      </c>
      <c r="D1159" s="18"/>
      <c r="E1159" s="17" t="s">
        <v>3034</v>
      </c>
      <c r="F1159" s="18"/>
      <c r="G1159" s="18"/>
      <c r="H1159" s="15" t="s">
        <v>7761</v>
      </c>
      <c r="I1159" s="15" t="s">
        <v>351</v>
      </c>
      <c r="J1159" s="19" t="s">
        <v>59</v>
      </c>
      <c r="K1159" s="19" t="s">
        <v>2387</v>
      </c>
      <c r="L1159" s="19" t="s">
        <v>38</v>
      </c>
      <c r="M1159" s="20">
        <f t="shared" si="1"/>
        <v>0</v>
      </c>
      <c r="N1159" s="22"/>
      <c r="O1159" s="19" t="s">
        <v>39</v>
      </c>
      <c r="P1159" s="18"/>
      <c r="Q1159" s="18"/>
      <c r="R1159" s="23">
        <v>0.0</v>
      </c>
      <c r="S1159" s="23">
        <v>0.0</v>
      </c>
      <c r="T1159" s="23">
        <f t="shared" si="2"/>
        <v>0</v>
      </c>
      <c r="U1159" s="23">
        <f t="shared" si="3"/>
        <v>0</v>
      </c>
      <c r="V1159" s="23">
        <f t="shared" si="4"/>
        <v>0</v>
      </c>
      <c r="W1159" s="24" t="str">
        <f t="shared" si="5"/>
        <v>#DIV/0!</v>
      </c>
    </row>
    <row r="1160" hidden="1">
      <c r="A1160" s="15" t="s">
        <v>7762</v>
      </c>
      <c r="B1160" s="18"/>
      <c r="C1160" s="15" t="s">
        <v>7763</v>
      </c>
      <c r="D1160" s="15" t="s">
        <v>7764</v>
      </c>
      <c r="E1160" s="17" t="s">
        <v>3034</v>
      </c>
      <c r="F1160" s="18"/>
      <c r="G1160" s="18"/>
      <c r="H1160" s="15" t="s">
        <v>7765</v>
      </c>
      <c r="I1160" s="15" t="s">
        <v>234</v>
      </c>
      <c r="J1160" s="19" t="s">
        <v>59</v>
      </c>
      <c r="K1160" s="19" t="s">
        <v>2387</v>
      </c>
      <c r="L1160" s="19" t="s">
        <v>38</v>
      </c>
      <c r="M1160" s="20">
        <f t="shared" si="1"/>
        <v>0</v>
      </c>
      <c r="N1160" s="22"/>
      <c r="O1160" s="19" t="s">
        <v>39</v>
      </c>
      <c r="P1160" s="18"/>
      <c r="Q1160" s="18"/>
      <c r="R1160" s="23">
        <v>0.0</v>
      </c>
      <c r="S1160" s="23">
        <v>0.0</v>
      </c>
      <c r="T1160" s="23">
        <f t="shared" si="2"/>
        <v>0</v>
      </c>
      <c r="U1160" s="23">
        <f t="shared" si="3"/>
        <v>0</v>
      </c>
      <c r="V1160" s="23">
        <f t="shared" si="4"/>
        <v>0</v>
      </c>
      <c r="W1160" s="24" t="str">
        <f t="shared" si="5"/>
        <v>#DIV/0!</v>
      </c>
    </row>
    <row r="1161">
      <c r="A1161" s="15" t="s">
        <v>532</v>
      </c>
      <c r="B1161" s="15" t="s">
        <v>533</v>
      </c>
      <c r="C1161" s="15" t="s">
        <v>6037</v>
      </c>
      <c r="D1161" s="15" t="s">
        <v>534</v>
      </c>
      <c r="E1161" s="17" t="s">
        <v>535</v>
      </c>
      <c r="F1161" s="18"/>
      <c r="G1161" s="18"/>
      <c r="H1161" s="15" t="s">
        <v>536</v>
      </c>
      <c r="I1161" s="18"/>
      <c r="J1161" s="19" t="s">
        <v>59</v>
      </c>
      <c r="K1161" s="19" t="s">
        <v>6043</v>
      </c>
      <c r="L1161" s="19" t="s">
        <v>147</v>
      </c>
      <c r="M1161" s="20">
        <f t="shared" si="1"/>
        <v>710.4</v>
      </c>
      <c r="N1161" s="31">
        <v>5.0</v>
      </c>
      <c r="O1161" s="19" t="s">
        <v>107</v>
      </c>
      <c r="P1161" s="18"/>
      <c r="Q1161" s="18"/>
      <c r="R1161" s="23">
        <v>6.5</v>
      </c>
      <c r="S1161" s="23">
        <v>40.0</v>
      </c>
      <c r="T1161" s="23">
        <f t="shared" si="2"/>
        <v>38.4</v>
      </c>
      <c r="U1161" s="23">
        <f t="shared" si="3"/>
        <v>7.9625</v>
      </c>
      <c r="V1161" s="23">
        <f t="shared" si="4"/>
        <v>149.296875</v>
      </c>
      <c r="W1161" s="24">
        <f t="shared" si="5"/>
        <v>5.907692308</v>
      </c>
    </row>
    <row r="1162">
      <c r="A1162" s="15" t="s">
        <v>201</v>
      </c>
      <c r="B1162" s="15" t="s">
        <v>202</v>
      </c>
      <c r="C1162" s="15" t="s">
        <v>6038</v>
      </c>
      <c r="D1162" s="15" t="s">
        <v>144</v>
      </c>
      <c r="E1162" s="17" t="s">
        <v>145</v>
      </c>
      <c r="F1162" s="18"/>
      <c r="G1162" s="18"/>
      <c r="H1162" s="15" t="s">
        <v>203</v>
      </c>
      <c r="I1162" s="18"/>
      <c r="J1162" s="19" t="s">
        <v>59</v>
      </c>
      <c r="K1162" s="19" t="s">
        <v>6043</v>
      </c>
      <c r="L1162" s="19" t="s">
        <v>147</v>
      </c>
      <c r="M1162" s="20">
        <f t="shared" si="1"/>
        <v>3747.36</v>
      </c>
      <c r="N1162" s="31">
        <v>6.0</v>
      </c>
      <c r="O1162" s="19" t="s">
        <v>107</v>
      </c>
      <c r="P1162" s="18"/>
      <c r="Q1162" s="18"/>
      <c r="R1162" s="23">
        <v>21.0</v>
      </c>
      <c r="S1162" s="23">
        <v>211.0</v>
      </c>
      <c r="T1162" s="23">
        <f t="shared" si="2"/>
        <v>202.56</v>
      </c>
      <c r="U1162" s="23">
        <f t="shared" si="3"/>
        <v>25.725</v>
      </c>
      <c r="V1162" s="23">
        <f t="shared" si="4"/>
        <v>482.34375</v>
      </c>
      <c r="W1162" s="24">
        <f t="shared" si="5"/>
        <v>9.645714286</v>
      </c>
    </row>
    <row r="1163">
      <c r="A1163" s="15" t="s">
        <v>229</v>
      </c>
      <c r="B1163" s="15" t="s">
        <v>230</v>
      </c>
      <c r="C1163" s="15" t="s">
        <v>6039</v>
      </c>
      <c r="D1163" s="15" t="s">
        <v>144</v>
      </c>
      <c r="E1163" s="17" t="s">
        <v>145</v>
      </c>
      <c r="F1163" s="18"/>
      <c r="G1163" s="18"/>
      <c r="H1163" s="15" t="s">
        <v>231</v>
      </c>
      <c r="I1163" s="18"/>
      <c r="J1163" s="19" t="s">
        <v>59</v>
      </c>
      <c r="K1163" s="19" t="s">
        <v>6043</v>
      </c>
      <c r="L1163" s="19" t="s">
        <v>147</v>
      </c>
      <c r="M1163" s="20">
        <f t="shared" si="1"/>
        <v>2042.4</v>
      </c>
      <c r="N1163" s="31">
        <v>5.0</v>
      </c>
      <c r="O1163" s="19" t="s">
        <v>107</v>
      </c>
      <c r="P1163" s="18"/>
      <c r="Q1163" s="18"/>
      <c r="R1163" s="23">
        <v>12.0</v>
      </c>
      <c r="S1163" s="23">
        <v>115.0</v>
      </c>
      <c r="T1163" s="23">
        <f t="shared" si="2"/>
        <v>110.4</v>
      </c>
      <c r="U1163" s="23">
        <f t="shared" si="3"/>
        <v>14.7</v>
      </c>
      <c r="V1163" s="23">
        <f t="shared" si="4"/>
        <v>275.625</v>
      </c>
      <c r="W1163" s="24">
        <f t="shared" si="5"/>
        <v>9.2</v>
      </c>
    </row>
    <row r="1164">
      <c r="A1164" s="15" t="s">
        <v>349</v>
      </c>
      <c r="B1164" s="15" t="s">
        <v>350</v>
      </c>
      <c r="C1164" s="15" t="s">
        <v>6040</v>
      </c>
      <c r="D1164" s="15" t="s">
        <v>144</v>
      </c>
      <c r="E1164" s="17" t="s">
        <v>145</v>
      </c>
      <c r="F1164" s="18"/>
      <c r="G1164" s="18"/>
      <c r="H1164" s="15" t="s">
        <v>351</v>
      </c>
      <c r="I1164" s="18"/>
      <c r="J1164" s="19" t="s">
        <v>59</v>
      </c>
      <c r="K1164" s="19" t="s">
        <v>6043</v>
      </c>
      <c r="L1164" s="19" t="s">
        <v>147</v>
      </c>
      <c r="M1164" s="20">
        <f t="shared" si="1"/>
        <v>1633.92</v>
      </c>
      <c r="N1164" s="31">
        <v>5.0</v>
      </c>
      <c r="O1164" s="19" t="s">
        <v>107</v>
      </c>
      <c r="P1164" s="18"/>
      <c r="Q1164" s="18"/>
      <c r="R1164" s="23">
        <v>12.0</v>
      </c>
      <c r="S1164" s="23">
        <v>92.0</v>
      </c>
      <c r="T1164" s="23">
        <f t="shared" si="2"/>
        <v>88.32</v>
      </c>
      <c r="U1164" s="23">
        <f t="shared" si="3"/>
        <v>14.7</v>
      </c>
      <c r="V1164" s="23">
        <f t="shared" si="4"/>
        <v>275.625</v>
      </c>
      <c r="W1164" s="24">
        <f t="shared" si="5"/>
        <v>7.36</v>
      </c>
    </row>
    <row r="1165">
      <c r="A1165" s="15" t="s">
        <v>142</v>
      </c>
      <c r="B1165" s="15" t="s">
        <v>143</v>
      </c>
      <c r="C1165" s="15" t="s">
        <v>6041</v>
      </c>
      <c r="D1165" s="15" t="s">
        <v>144</v>
      </c>
      <c r="E1165" s="17" t="s">
        <v>145</v>
      </c>
      <c r="F1165" s="18"/>
      <c r="G1165" s="18"/>
      <c r="H1165" s="15" t="s">
        <v>146</v>
      </c>
      <c r="I1165" s="18"/>
      <c r="J1165" s="19" t="s">
        <v>59</v>
      </c>
      <c r="K1165" s="19" t="s">
        <v>6043</v>
      </c>
      <c r="L1165" s="19" t="s">
        <v>147</v>
      </c>
      <c r="M1165" s="20">
        <f t="shared" si="1"/>
        <v>6553.44</v>
      </c>
      <c r="N1165" s="31">
        <v>8.0</v>
      </c>
      <c r="O1165" s="19" t="s">
        <v>107</v>
      </c>
      <c r="P1165" s="18"/>
      <c r="Q1165" s="18"/>
      <c r="R1165" s="23">
        <v>22.0</v>
      </c>
      <c r="S1165" s="23">
        <v>369.0</v>
      </c>
      <c r="T1165" s="23">
        <f t="shared" si="2"/>
        <v>354.24</v>
      </c>
      <c r="U1165" s="23">
        <f t="shared" si="3"/>
        <v>26.95</v>
      </c>
      <c r="V1165" s="23">
        <f t="shared" si="4"/>
        <v>505.3125</v>
      </c>
      <c r="W1165" s="24">
        <f t="shared" si="5"/>
        <v>16.10181818</v>
      </c>
    </row>
    <row r="1166">
      <c r="A1166" s="15" t="s">
        <v>232</v>
      </c>
      <c r="B1166" s="15" t="s">
        <v>233</v>
      </c>
      <c r="C1166" s="15" t="s">
        <v>6042</v>
      </c>
      <c r="D1166" s="15" t="s">
        <v>144</v>
      </c>
      <c r="E1166" s="17" t="s">
        <v>145</v>
      </c>
      <c r="F1166" s="18"/>
      <c r="G1166" s="18"/>
      <c r="H1166" s="15" t="s">
        <v>234</v>
      </c>
      <c r="I1166" s="18"/>
      <c r="J1166" s="19" t="s">
        <v>59</v>
      </c>
      <c r="K1166" s="19" t="s">
        <v>6043</v>
      </c>
      <c r="L1166" s="19" t="s">
        <v>147</v>
      </c>
      <c r="M1166" s="20">
        <f t="shared" si="1"/>
        <v>2042.4</v>
      </c>
      <c r="N1166" s="31">
        <v>6.0</v>
      </c>
      <c r="O1166" s="19" t="s">
        <v>107</v>
      </c>
      <c r="P1166" s="18"/>
      <c r="Q1166" s="18"/>
      <c r="R1166" s="23">
        <v>12.0</v>
      </c>
      <c r="S1166" s="23">
        <v>115.0</v>
      </c>
      <c r="T1166" s="23">
        <f t="shared" si="2"/>
        <v>110.4</v>
      </c>
      <c r="U1166" s="23">
        <f t="shared" si="3"/>
        <v>14.7</v>
      </c>
      <c r="V1166" s="23">
        <f t="shared" si="4"/>
        <v>275.625</v>
      </c>
      <c r="W1166" s="24">
        <f t="shared" si="5"/>
        <v>9.2</v>
      </c>
    </row>
    <row r="1167" hidden="1">
      <c r="A1167" s="15" t="s">
        <v>7766</v>
      </c>
      <c r="B1167" s="18"/>
      <c r="C1167" s="15" t="s">
        <v>7767</v>
      </c>
      <c r="D1167" s="18"/>
      <c r="E1167" s="17" t="s">
        <v>7768</v>
      </c>
      <c r="F1167" s="18"/>
      <c r="G1167" s="18"/>
      <c r="H1167" s="15" t="s">
        <v>7769</v>
      </c>
      <c r="I1167" s="15" t="s">
        <v>638</v>
      </c>
      <c r="J1167" s="19" t="s">
        <v>59</v>
      </c>
      <c r="K1167" s="19" t="s">
        <v>2401</v>
      </c>
      <c r="L1167" s="19" t="s">
        <v>38</v>
      </c>
      <c r="M1167" s="20">
        <f t="shared" si="1"/>
        <v>0</v>
      </c>
      <c r="N1167" s="22"/>
      <c r="O1167" s="19" t="s">
        <v>39</v>
      </c>
      <c r="P1167" s="18"/>
      <c r="Q1167" s="18"/>
      <c r="R1167" s="23">
        <v>0.0</v>
      </c>
      <c r="S1167" s="23">
        <v>0.0</v>
      </c>
      <c r="T1167" s="23">
        <f t="shared" si="2"/>
        <v>0</v>
      </c>
      <c r="U1167" s="23">
        <f t="shared" si="3"/>
        <v>0</v>
      </c>
      <c r="V1167" s="23">
        <f t="shared" si="4"/>
        <v>0</v>
      </c>
      <c r="W1167" s="24" t="str">
        <f t="shared" si="5"/>
        <v>#DIV/0!</v>
      </c>
    </row>
    <row r="1168" hidden="1">
      <c r="A1168" s="15" t="s">
        <v>3037</v>
      </c>
      <c r="B1168" s="18"/>
      <c r="C1168" s="15" t="s">
        <v>7770</v>
      </c>
      <c r="D1168" s="18"/>
      <c r="E1168" s="17" t="s">
        <v>3038</v>
      </c>
      <c r="F1168" s="18"/>
      <c r="G1168" s="18"/>
      <c r="H1168" s="15" t="s">
        <v>3039</v>
      </c>
      <c r="I1168" s="15" t="s">
        <v>3040</v>
      </c>
      <c r="J1168" s="19" t="s">
        <v>59</v>
      </c>
      <c r="K1168" s="19" t="s">
        <v>691</v>
      </c>
      <c r="L1168" s="19" t="s">
        <v>38</v>
      </c>
      <c r="M1168" s="20">
        <f t="shared" si="1"/>
        <v>0</v>
      </c>
      <c r="N1168" s="22"/>
      <c r="O1168" s="19" t="s">
        <v>1145</v>
      </c>
      <c r="P1168" s="18"/>
      <c r="Q1168" s="18"/>
      <c r="R1168" s="23">
        <v>0.0</v>
      </c>
      <c r="S1168" s="23">
        <v>0.0</v>
      </c>
      <c r="T1168" s="23">
        <f t="shared" si="2"/>
        <v>0</v>
      </c>
      <c r="U1168" s="23">
        <f t="shared" si="3"/>
        <v>0</v>
      </c>
      <c r="V1168" s="23">
        <f t="shared" si="4"/>
        <v>0</v>
      </c>
      <c r="W1168" s="24" t="str">
        <f t="shared" si="5"/>
        <v>#DIV/0!</v>
      </c>
    </row>
    <row r="1169" hidden="1">
      <c r="A1169" s="15" t="s">
        <v>3041</v>
      </c>
      <c r="B1169" s="18"/>
      <c r="C1169" s="15" t="s">
        <v>7771</v>
      </c>
      <c r="D1169" s="18"/>
      <c r="E1169" s="17" t="s">
        <v>3042</v>
      </c>
      <c r="F1169" s="18"/>
      <c r="G1169" s="18"/>
      <c r="H1169" s="15" t="s">
        <v>3043</v>
      </c>
      <c r="I1169" s="15" t="s">
        <v>3044</v>
      </c>
      <c r="J1169" s="19" t="s">
        <v>59</v>
      </c>
      <c r="K1169" s="19" t="s">
        <v>2401</v>
      </c>
      <c r="L1169" s="19" t="s">
        <v>38</v>
      </c>
      <c r="M1169" s="20">
        <f t="shared" si="1"/>
        <v>0</v>
      </c>
      <c r="N1169" s="22"/>
      <c r="O1169" s="19" t="s">
        <v>1145</v>
      </c>
      <c r="P1169" s="18"/>
      <c r="Q1169" s="18"/>
      <c r="R1169" s="23">
        <v>0.0</v>
      </c>
      <c r="S1169" s="23">
        <v>0.0</v>
      </c>
      <c r="T1169" s="23">
        <f t="shared" si="2"/>
        <v>0</v>
      </c>
      <c r="U1169" s="23">
        <f t="shared" si="3"/>
        <v>0</v>
      </c>
      <c r="V1169" s="23">
        <f t="shared" si="4"/>
        <v>0</v>
      </c>
      <c r="W1169" s="24" t="str">
        <f t="shared" si="5"/>
        <v>#DIV/0!</v>
      </c>
    </row>
    <row r="1170" hidden="1">
      <c r="A1170" s="15" t="s">
        <v>3045</v>
      </c>
      <c r="B1170" s="18"/>
      <c r="C1170" s="15" t="s">
        <v>7772</v>
      </c>
      <c r="D1170" s="18"/>
      <c r="E1170" s="17" t="s">
        <v>3046</v>
      </c>
      <c r="F1170" s="18"/>
      <c r="G1170" s="18"/>
      <c r="H1170" s="15" t="s">
        <v>3047</v>
      </c>
      <c r="I1170" s="15" t="s">
        <v>3048</v>
      </c>
      <c r="J1170" s="19" t="s">
        <v>59</v>
      </c>
      <c r="K1170" s="19" t="s">
        <v>2401</v>
      </c>
      <c r="L1170" s="19" t="s">
        <v>38</v>
      </c>
      <c r="M1170" s="20">
        <f t="shared" si="1"/>
        <v>0</v>
      </c>
      <c r="N1170" s="22"/>
      <c r="O1170" s="19" t="s">
        <v>1145</v>
      </c>
      <c r="P1170" s="18"/>
      <c r="Q1170" s="18"/>
      <c r="R1170" s="23">
        <v>0.0</v>
      </c>
      <c r="S1170" s="23">
        <v>0.0</v>
      </c>
      <c r="T1170" s="23">
        <f t="shared" si="2"/>
        <v>0</v>
      </c>
      <c r="U1170" s="23">
        <f t="shared" si="3"/>
        <v>0</v>
      </c>
      <c r="V1170" s="23">
        <f t="shared" si="4"/>
        <v>0</v>
      </c>
      <c r="W1170" s="24" t="str">
        <f t="shared" si="5"/>
        <v>#DIV/0!</v>
      </c>
    </row>
    <row r="1171" hidden="1">
      <c r="A1171" s="15" t="s">
        <v>7773</v>
      </c>
      <c r="B1171" s="18"/>
      <c r="C1171" s="15" t="s">
        <v>7774</v>
      </c>
      <c r="D1171" s="18"/>
      <c r="E1171" s="17" t="s">
        <v>7775</v>
      </c>
      <c r="F1171" s="18"/>
      <c r="G1171" s="18"/>
      <c r="H1171" s="15" t="s">
        <v>7776</v>
      </c>
      <c r="I1171" s="15" t="s">
        <v>3818</v>
      </c>
      <c r="J1171" s="19" t="s">
        <v>59</v>
      </c>
      <c r="K1171" s="19" t="s">
        <v>2401</v>
      </c>
      <c r="L1171" s="19" t="s">
        <v>38</v>
      </c>
      <c r="M1171" s="20">
        <f t="shared" si="1"/>
        <v>0</v>
      </c>
      <c r="N1171" s="22"/>
      <c r="O1171" s="19" t="s">
        <v>39</v>
      </c>
      <c r="P1171" s="18"/>
      <c r="Q1171" s="18"/>
      <c r="R1171" s="23">
        <v>0.0</v>
      </c>
      <c r="S1171" s="23">
        <v>0.0</v>
      </c>
      <c r="T1171" s="23">
        <f t="shared" si="2"/>
        <v>0</v>
      </c>
      <c r="U1171" s="23">
        <f t="shared" si="3"/>
        <v>0</v>
      </c>
      <c r="V1171" s="23">
        <f t="shared" si="4"/>
        <v>0</v>
      </c>
      <c r="W1171" s="24" t="str">
        <f t="shared" si="5"/>
        <v>#DIV/0!</v>
      </c>
    </row>
    <row r="1172" hidden="1">
      <c r="A1172" s="15" t="s">
        <v>3049</v>
      </c>
      <c r="B1172" s="18"/>
      <c r="C1172" s="15" t="s">
        <v>7777</v>
      </c>
      <c r="D1172" s="18"/>
      <c r="E1172" s="17" t="s">
        <v>3050</v>
      </c>
      <c r="F1172" s="18"/>
      <c r="G1172" s="18"/>
      <c r="H1172" s="15" t="s">
        <v>3051</v>
      </c>
      <c r="I1172" s="15" t="s">
        <v>3052</v>
      </c>
      <c r="J1172" s="19" t="s">
        <v>59</v>
      </c>
      <c r="K1172" s="19" t="s">
        <v>2401</v>
      </c>
      <c r="L1172" s="19" t="s">
        <v>38</v>
      </c>
      <c r="M1172" s="20">
        <f t="shared" si="1"/>
        <v>0</v>
      </c>
      <c r="N1172" s="22"/>
      <c r="O1172" s="19" t="s">
        <v>1145</v>
      </c>
      <c r="P1172" s="18"/>
      <c r="Q1172" s="18"/>
      <c r="R1172" s="23">
        <v>0.0</v>
      </c>
      <c r="S1172" s="23">
        <v>0.0</v>
      </c>
      <c r="T1172" s="23">
        <f t="shared" si="2"/>
        <v>0</v>
      </c>
      <c r="U1172" s="23">
        <f t="shared" si="3"/>
        <v>0</v>
      </c>
      <c r="V1172" s="23">
        <f t="shared" si="4"/>
        <v>0</v>
      </c>
      <c r="W1172" s="24" t="str">
        <f t="shared" si="5"/>
        <v>#DIV/0!</v>
      </c>
    </row>
    <row r="1173" hidden="1">
      <c r="A1173" s="15" t="s">
        <v>7778</v>
      </c>
      <c r="B1173" s="18"/>
      <c r="C1173" s="15" t="s">
        <v>7779</v>
      </c>
      <c r="D1173" s="18"/>
      <c r="E1173" s="17" t="s">
        <v>7780</v>
      </c>
      <c r="F1173" s="18"/>
      <c r="G1173" s="18"/>
      <c r="H1173" s="15" t="s">
        <v>7781</v>
      </c>
      <c r="I1173" s="15" t="s">
        <v>672</v>
      </c>
      <c r="J1173" s="19" t="s">
        <v>59</v>
      </c>
      <c r="K1173" s="19" t="s">
        <v>2401</v>
      </c>
      <c r="L1173" s="19" t="s">
        <v>38</v>
      </c>
      <c r="M1173" s="20">
        <f t="shared" si="1"/>
        <v>0</v>
      </c>
      <c r="N1173" s="22"/>
      <c r="O1173" s="19" t="s">
        <v>39</v>
      </c>
      <c r="P1173" s="18"/>
      <c r="Q1173" s="18"/>
      <c r="R1173" s="23">
        <v>0.0</v>
      </c>
      <c r="S1173" s="23">
        <v>0.0</v>
      </c>
      <c r="T1173" s="23">
        <f t="shared" si="2"/>
        <v>0</v>
      </c>
      <c r="U1173" s="23">
        <f t="shared" si="3"/>
        <v>0</v>
      </c>
      <c r="V1173" s="23">
        <f t="shared" si="4"/>
        <v>0</v>
      </c>
      <c r="W1173" s="24" t="str">
        <f t="shared" si="5"/>
        <v>#DIV/0!</v>
      </c>
    </row>
    <row r="1174" hidden="1">
      <c r="A1174" s="15" t="s">
        <v>7782</v>
      </c>
      <c r="B1174" s="18"/>
      <c r="C1174" s="15" t="s">
        <v>7783</v>
      </c>
      <c r="D1174" s="18"/>
      <c r="E1174" s="17" t="s">
        <v>7780</v>
      </c>
      <c r="F1174" s="18"/>
      <c r="G1174" s="18"/>
      <c r="H1174" s="15" t="s">
        <v>7784</v>
      </c>
      <c r="I1174" s="15" t="s">
        <v>876</v>
      </c>
      <c r="J1174" s="19" t="s">
        <v>59</v>
      </c>
      <c r="K1174" s="19" t="s">
        <v>2401</v>
      </c>
      <c r="L1174" s="19" t="s">
        <v>38</v>
      </c>
      <c r="M1174" s="20">
        <f t="shared" si="1"/>
        <v>0</v>
      </c>
      <c r="N1174" s="22"/>
      <c r="O1174" s="19" t="s">
        <v>39</v>
      </c>
      <c r="P1174" s="18"/>
      <c r="Q1174" s="18"/>
      <c r="R1174" s="23">
        <v>0.0</v>
      </c>
      <c r="S1174" s="23">
        <v>0.0</v>
      </c>
      <c r="T1174" s="23">
        <f t="shared" si="2"/>
        <v>0</v>
      </c>
      <c r="U1174" s="23">
        <f t="shared" si="3"/>
        <v>0</v>
      </c>
      <c r="V1174" s="23">
        <f t="shared" si="4"/>
        <v>0</v>
      </c>
      <c r="W1174" s="24" t="str">
        <f t="shared" si="5"/>
        <v>#DIV/0!</v>
      </c>
    </row>
    <row r="1175" hidden="1">
      <c r="A1175" s="15" t="s">
        <v>7785</v>
      </c>
      <c r="B1175" s="18"/>
      <c r="C1175" s="15" t="s">
        <v>7786</v>
      </c>
      <c r="D1175" s="18"/>
      <c r="E1175" s="17" t="s">
        <v>7787</v>
      </c>
      <c r="F1175" s="18"/>
      <c r="G1175" s="18"/>
      <c r="H1175" s="15" t="s">
        <v>7788</v>
      </c>
      <c r="I1175" s="15" t="s">
        <v>3864</v>
      </c>
      <c r="J1175" s="19" t="s">
        <v>59</v>
      </c>
      <c r="K1175" s="19" t="s">
        <v>2396</v>
      </c>
      <c r="L1175" s="19" t="s">
        <v>38</v>
      </c>
      <c r="M1175" s="20">
        <f t="shared" si="1"/>
        <v>0</v>
      </c>
      <c r="N1175" s="22"/>
      <c r="O1175" s="19" t="s">
        <v>39</v>
      </c>
      <c r="P1175" s="18"/>
      <c r="Q1175" s="18"/>
      <c r="R1175" s="23">
        <v>0.0</v>
      </c>
      <c r="S1175" s="23">
        <v>0.0</v>
      </c>
      <c r="T1175" s="23">
        <f t="shared" si="2"/>
        <v>0</v>
      </c>
      <c r="U1175" s="23">
        <f t="shared" si="3"/>
        <v>0</v>
      </c>
      <c r="V1175" s="23">
        <f t="shared" si="4"/>
        <v>0</v>
      </c>
      <c r="W1175" s="24" t="str">
        <f t="shared" si="5"/>
        <v>#DIV/0!</v>
      </c>
    </row>
    <row r="1176" hidden="1">
      <c r="A1176" s="15" t="s">
        <v>3053</v>
      </c>
      <c r="B1176" s="18"/>
      <c r="C1176" s="15" t="s">
        <v>7789</v>
      </c>
      <c r="D1176" s="18"/>
      <c r="E1176" s="17" t="s">
        <v>3054</v>
      </c>
      <c r="F1176" s="18"/>
      <c r="G1176" s="18"/>
      <c r="H1176" s="15" t="s">
        <v>3055</v>
      </c>
      <c r="I1176" s="15" t="s">
        <v>3056</v>
      </c>
      <c r="J1176" s="19" t="s">
        <v>59</v>
      </c>
      <c r="K1176" s="19" t="s">
        <v>2401</v>
      </c>
      <c r="L1176" s="19" t="s">
        <v>38</v>
      </c>
      <c r="M1176" s="20">
        <f t="shared" si="1"/>
        <v>0</v>
      </c>
      <c r="N1176" s="22"/>
      <c r="O1176" s="19" t="s">
        <v>1145</v>
      </c>
      <c r="P1176" s="18"/>
      <c r="Q1176" s="18"/>
      <c r="R1176" s="23">
        <v>0.0</v>
      </c>
      <c r="S1176" s="23">
        <v>0.0</v>
      </c>
      <c r="T1176" s="23">
        <f t="shared" si="2"/>
        <v>0</v>
      </c>
      <c r="U1176" s="23">
        <f t="shared" si="3"/>
        <v>0</v>
      </c>
      <c r="V1176" s="23">
        <f t="shared" si="4"/>
        <v>0</v>
      </c>
      <c r="W1176" s="24" t="str">
        <f t="shared" si="5"/>
        <v>#DIV/0!</v>
      </c>
    </row>
    <row r="1177" hidden="1">
      <c r="A1177" s="15" t="s">
        <v>7790</v>
      </c>
      <c r="B1177" s="18"/>
      <c r="C1177" s="15" t="s">
        <v>7791</v>
      </c>
      <c r="D1177" s="18"/>
      <c r="E1177" s="17" t="s">
        <v>3054</v>
      </c>
      <c r="F1177" s="18"/>
      <c r="G1177" s="18"/>
      <c r="H1177" s="15" t="s">
        <v>7792</v>
      </c>
      <c r="I1177" s="15" t="s">
        <v>3879</v>
      </c>
      <c r="J1177" s="19" t="s">
        <v>59</v>
      </c>
      <c r="K1177" s="19" t="s">
        <v>2401</v>
      </c>
      <c r="L1177" s="19" t="s">
        <v>38</v>
      </c>
      <c r="M1177" s="20">
        <f t="shared" si="1"/>
        <v>0</v>
      </c>
      <c r="N1177" s="22"/>
      <c r="O1177" s="19" t="s">
        <v>39</v>
      </c>
      <c r="P1177" s="18"/>
      <c r="Q1177" s="18"/>
      <c r="R1177" s="23">
        <v>0.0</v>
      </c>
      <c r="S1177" s="23">
        <v>0.0</v>
      </c>
      <c r="T1177" s="23">
        <f t="shared" si="2"/>
        <v>0</v>
      </c>
      <c r="U1177" s="23">
        <f t="shared" si="3"/>
        <v>0</v>
      </c>
      <c r="V1177" s="23">
        <f t="shared" si="4"/>
        <v>0</v>
      </c>
      <c r="W1177" s="24" t="str">
        <f t="shared" si="5"/>
        <v>#DIV/0!</v>
      </c>
    </row>
    <row r="1178" hidden="1">
      <c r="A1178" s="15" t="s">
        <v>3057</v>
      </c>
      <c r="B1178" s="18"/>
      <c r="C1178" s="15" t="s">
        <v>7793</v>
      </c>
      <c r="D1178" s="18"/>
      <c r="E1178" s="17" t="s">
        <v>3058</v>
      </c>
      <c r="F1178" s="18"/>
      <c r="G1178" s="18"/>
      <c r="H1178" s="15" t="s">
        <v>3059</v>
      </c>
      <c r="I1178" s="15" t="s">
        <v>3060</v>
      </c>
      <c r="J1178" s="19" t="s">
        <v>59</v>
      </c>
      <c r="K1178" s="19" t="s">
        <v>2401</v>
      </c>
      <c r="L1178" s="19" t="s">
        <v>38</v>
      </c>
      <c r="M1178" s="20">
        <f t="shared" si="1"/>
        <v>0</v>
      </c>
      <c r="N1178" s="22"/>
      <c r="O1178" s="19" t="s">
        <v>1145</v>
      </c>
      <c r="P1178" s="18"/>
      <c r="Q1178" s="18"/>
      <c r="R1178" s="23">
        <v>0.0</v>
      </c>
      <c r="S1178" s="23">
        <v>0.0</v>
      </c>
      <c r="T1178" s="23">
        <f t="shared" si="2"/>
        <v>0</v>
      </c>
      <c r="U1178" s="23">
        <f t="shared" si="3"/>
        <v>0</v>
      </c>
      <c r="V1178" s="23">
        <f t="shared" si="4"/>
        <v>0</v>
      </c>
      <c r="W1178" s="24" t="str">
        <f t="shared" si="5"/>
        <v>#DIV/0!</v>
      </c>
    </row>
    <row r="1179" hidden="1">
      <c r="A1179" s="15" t="s">
        <v>3061</v>
      </c>
      <c r="B1179" s="18"/>
      <c r="C1179" s="15" t="s">
        <v>7794</v>
      </c>
      <c r="D1179" s="18"/>
      <c r="E1179" s="17" t="s">
        <v>3062</v>
      </c>
      <c r="F1179" s="18"/>
      <c r="G1179" s="18"/>
      <c r="H1179" s="15" t="s">
        <v>3063</v>
      </c>
      <c r="I1179" s="15" t="s">
        <v>3064</v>
      </c>
      <c r="J1179" s="19" t="s">
        <v>59</v>
      </c>
      <c r="K1179" s="19" t="s">
        <v>2401</v>
      </c>
      <c r="L1179" s="19" t="s">
        <v>38</v>
      </c>
      <c r="M1179" s="20">
        <f t="shared" si="1"/>
        <v>0</v>
      </c>
      <c r="N1179" s="22"/>
      <c r="O1179" s="19" t="s">
        <v>1145</v>
      </c>
      <c r="P1179" s="18"/>
      <c r="Q1179" s="18"/>
      <c r="R1179" s="23">
        <v>0.0</v>
      </c>
      <c r="S1179" s="23">
        <v>0.0</v>
      </c>
      <c r="T1179" s="23">
        <f t="shared" si="2"/>
        <v>0</v>
      </c>
      <c r="U1179" s="23">
        <f t="shared" si="3"/>
        <v>0</v>
      </c>
      <c r="V1179" s="23">
        <f t="shared" si="4"/>
        <v>0</v>
      </c>
      <c r="W1179" s="24" t="str">
        <f t="shared" si="5"/>
        <v>#DIV/0!</v>
      </c>
    </row>
    <row r="1180" hidden="1">
      <c r="A1180" s="15" t="s">
        <v>7795</v>
      </c>
      <c r="B1180" s="18"/>
      <c r="C1180" s="15" t="s">
        <v>7796</v>
      </c>
      <c r="D1180" s="18"/>
      <c r="E1180" s="17" t="s">
        <v>7797</v>
      </c>
      <c r="F1180" s="18"/>
      <c r="G1180" s="18"/>
      <c r="H1180" s="15" t="s">
        <v>7798</v>
      </c>
      <c r="I1180" s="15" t="s">
        <v>3823</v>
      </c>
      <c r="J1180" s="19" t="s">
        <v>59</v>
      </c>
      <c r="K1180" s="19" t="s">
        <v>691</v>
      </c>
      <c r="L1180" s="19" t="s">
        <v>38</v>
      </c>
      <c r="M1180" s="20">
        <f t="shared" si="1"/>
        <v>0</v>
      </c>
      <c r="N1180" s="22"/>
      <c r="O1180" s="19" t="s">
        <v>39</v>
      </c>
      <c r="P1180" s="18"/>
      <c r="Q1180" s="18"/>
      <c r="R1180" s="23">
        <v>0.0</v>
      </c>
      <c r="S1180" s="23">
        <v>0.0</v>
      </c>
      <c r="T1180" s="23">
        <f t="shared" si="2"/>
        <v>0</v>
      </c>
      <c r="U1180" s="23">
        <f t="shared" si="3"/>
        <v>0</v>
      </c>
      <c r="V1180" s="23">
        <f t="shared" si="4"/>
        <v>0</v>
      </c>
      <c r="W1180" s="24" t="str">
        <f t="shared" si="5"/>
        <v>#DIV/0!</v>
      </c>
    </row>
    <row r="1181" hidden="1">
      <c r="A1181" s="15" t="s">
        <v>5184</v>
      </c>
      <c r="B1181" s="18"/>
      <c r="C1181" s="15" t="s">
        <v>7799</v>
      </c>
      <c r="D1181" s="18"/>
      <c r="E1181" s="17" t="s">
        <v>7800</v>
      </c>
      <c r="F1181" s="18"/>
      <c r="G1181" s="18"/>
      <c r="H1181" s="15" t="s">
        <v>7801</v>
      </c>
      <c r="I1181" s="15" t="s">
        <v>5187</v>
      </c>
      <c r="J1181" s="19" t="s">
        <v>59</v>
      </c>
      <c r="K1181" s="19" t="s">
        <v>691</v>
      </c>
      <c r="L1181" s="19" t="s">
        <v>38</v>
      </c>
      <c r="M1181" s="20">
        <f t="shared" si="1"/>
        <v>0</v>
      </c>
      <c r="N1181" s="22"/>
      <c r="O1181" s="19" t="s">
        <v>1145</v>
      </c>
      <c r="P1181" s="18"/>
      <c r="Q1181" s="18"/>
      <c r="R1181" s="23">
        <v>0.0</v>
      </c>
      <c r="S1181" s="23">
        <v>0.0</v>
      </c>
      <c r="T1181" s="23">
        <f t="shared" si="2"/>
        <v>0</v>
      </c>
      <c r="U1181" s="23">
        <f t="shared" si="3"/>
        <v>0</v>
      </c>
      <c r="V1181" s="23">
        <f t="shared" si="4"/>
        <v>0</v>
      </c>
      <c r="W1181" s="24" t="str">
        <f t="shared" si="5"/>
        <v>#DIV/0!</v>
      </c>
    </row>
    <row r="1182" hidden="1">
      <c r="A1182" s="15" t="s">
        <v>7802</v>
      </c>
      <c r="B1182" s="18"/>
      <c r="C1182" s="15" t="s">
        <v>7803</v>
      </c>
      <c r="D1182" s="18"/>
      <c r="E1182" s="17" t="s">
        <v>7804</v>
      </c>
      <c r="F1182" s="18"/>
      <c r="G1182" s="18"/>
      <c r="H1182" s="15" t="s">
        <v>7805</v>
      </c>
      <c r="I1182" s="15" t="s">
        <v>4075</v>
      </c>
      <c r="J1182" s="19" t="s">
        <v>59</v>
      </c>
      <c r="K1182" s="19" t="s">
        <v>2401</v>
      </c>
      <c r="L1182" s="19" t="s">
        <v>38</v>
      </c>
      <c r="M1182" s="20">
        <f t="shared" si="1"/>
        <v>0</v>
      </c>
      <c r="N1182" s="22"/>
      <c r="O1182" s="19" t="s">
        <v>39</v>
      </c>
      <c r="P1182" s="18"/>
      <c r="Q1182" s="18"/>
      <c r="R1182" s="23">
        <v>0.0</v>
      </c>
      <c r="S1182" s="23">
        <v>0.0</v>
      </c>
      <c r="T1182" s="23">
        <f t="shared" si="2"/>
        <v>0</v>
      </c>
      <c r="U1182" s="23">
        <f t="shared" si="3"/>
        <v>0</v>
      </c>
      <c r="V1182" s="23">
        <f t="shared" si="4"/>
        <v>0</v>
      </c>
      <c r="W1182" s="24" t="str">
        <f t="shared" si="5"/>
        <v>#DIV/0!</v>
      </c>
    </row>
    <row r="1183">
      <c r="A1183" s="15" t="s">
        <v>651</v>
      </c>
      <c r="B1183" s="15" t="s">
        <v>652</v>
      </c>
      <c r="C1183" s="15" t="s">
        <v>6044</v>
      </c>
      <c r="D1183" s="15" t="s">
        <v>7806</v>
      </c>
      <c r="E1183" s="17" t="s">
        <v>654</v>
      </c>
      <c r="F1183" s="18"/>
      <c r="G1183" s="15" t="s">
        <v>655</v>
      </c>
      <c r="H1183" s="15" t="s">
        <v>656</v>
      </c>
      <c r="I1183" s="18"/>
      <c r="J1183" s="19" t="s">
        <v>59</v>
      </c>
      <c r="K1183" s="33"/>
      <c r="L1183" s="19" t="s">
        <v>292</v>
      </c>
      <c r="M1183" s="20">
        <f t="shared" si="1"/>
        <v>3694.08</v>
      </c>
      <c r="N1183" s="31">
        <v>3.0</v>
      </c>
      <c r="O1183" s="19" t="s">
        <v>107</v>
      </c>
      <c r="P1183" s="18"/>
      <c r="Q1183" s="18"/>
      <c r="R1183" s="23">
        <v>40.0</v>
      </c>
      <c r="S1183" s="23">
        <v>208.0</v>
      </c>
      <c r="T1183" s="23">
        <f t="shared" si="2"/>
        <v>199.68</v>
      </c>
      <c r="U1183" s="23">
        <f t="shared" si="3"/>
        <v>49</v>
      </c>
      <c r="V1183" s="23">
        <f t="shared" si="4"/>
        <v>918.75</v>
      </c>
      <c r="W1183" s="24">
        <f t="shared" si="5"/>
        <v>4.992</v>
      </c>
    </row>
    <row r="1184">
      <c r="A1184" s="15" t="s">
        <v>254</v>
      </c>
      <c r="B1184" s="15" t="s">
        <v>255</v>
      </c>
      <c r="C1184" s="15" t="s">
        <v>7807</v>
      </c>
      <c r="D1184" s="15" t="s">
        <v>256</v>
      </c>
      <c r="E1184" s="17" t="s">
        <v>257</v>
      </c>
      <c r="F1184" s="18"/>
      <c r="G1184" s="18"/>
      <c r="H1184" s="15" t="s">
        <v>258</v>
      </c>
      <c r="I1184" s="18"/>
      <c r="J1184" s="19" t="s">
        <v>59</v>
      </c>
      <c r="K1184" s="19" t="s">
        <v>60</v>
      </c>
      <c r="L1184" s="19" t="s">
        <v>38</v>
      </c>
      <c r="M1184" s="20">
        <f t="shared" si="1"/>
        <v>11988</v>
      </c>
      <c r="N1184" s="31">
        <v>2.0</v>
      </c>
      <c r="O1184" s="19" t="s">
        <v>107</v>
      </c>
      <c r="P1184" s="18"/>
      <c r="Q1184" s="18"/>
      <c r="R1184" s="23">
        <v>75.0</v>
      </c>
      <c r="S1184" s="23">
        <v>675.0</v>
      </c>
      <c r="T1184" s="23">
        <f t="shared" si="2"/>
        <v>648</v>
      </c>
      <c r="U1184" s="23">
        <f t="shared" si="3"/>
        <v>91.875</v>
      </c>
      <c r="V1184" s="23">
        <f t="shared" si="4"/>
        <v>1722.65625</v>
      </c>
      <c r="W1184" s="24">
        <f t="shared" si="5"/>
        <v>8.64</v>
      </c>
    </row>
    <row r="1185" hidden="1">
      <c r="A1185" s="15" t="s">
        <v>3065</v>
      </c>
      <c r="B1185" s="18"/>
      <c r="C1185" s="15" t="s">
        <v>7808</v>
      </c>
      <c r="D1185" s="18"/>
      <c r="E1185" s="17" t="s">
        <v>3066</v>
      </c>
      <c r="F1185" s="18"/>
      <c r="G1185" s="18"/>
      <c r="H1185" s="15" t="s">
        <v>3067</v>
      </c>
      <c r="I1185" s="15" t="s">
        <v>3068</v>
      </c>
      <c r="J1185" s="19" t="s">
        <v>59</v>
      </c>
      <c r="K1185" s="19" t="s">
        <v>691</v>
      </c>
      <c r="L1185" s="19" t="s">
        <v>38</v>
      </c>
      <c r="M1185" s="20">
        <f t="shared" si="1"/>
        <v>0</v>
      </c>
      <c r="N1185" s="22"/>
      <c r="O1185" s="19" t="s">
        <v>1145</v>
      </c>
      <c r="P1185" s="18"/>
      <c r="Q1185" s="18"/>
      <c r="R1185" s="23">
        <v>0.0</v>
      </c>
      <c r="S1185" s="23">
        <v>0.0</v>
      </c>
      <c r="T1185" s="23">
        <f t="shared" si="2"/>
        <v>0</v>
      </c>
      <c r="U1185" s="23">
        <f t="shared" si="3"/>
        <v>0</v>
      </c>
      <c r="V1185" s="23">
        <f t="shared" si="4"/>
        <v>0</v>
      </c>
      <c r="W1185" s="24" t="str">
        <f t="shared" si="5"/>
        <v>#DIV/0!</v>
      </c>
    </row>
    <row r="1186">
      <c r="A1186" s="15" t="s">
        <v>685</v>
      </c>
      <c r="B1186" s="15" t="s">
        <v>686</v>
      </c>
      <c r="C1186" s="15" t="s">
        <v>6045</v>
      </c>
      <c r="D1186" s="15" t="s">
        <v>687</v>
      </c>
      <c r="E1186" s="17" t="s">
        <v>688</v>
      </c>
      <c r="F1186" s="18"/>
      <c r="G1186" s="15" t="s">
        <v>689</v>
      </c>
      <c r="H1186" s="15" t="s">
        <v>690</v>
      </c>
      <c r="I1186" s="15"/>
      <c r="J1186" s="19" t="s">
        <v>59</v>
      </c>
      <c r="K1186" s="19" t="s">
        <v>691</v>
      </c>
      <c r="L1186" s="19" t="s">
        <v>38</v>
      </c>
      <c r="M1186" s="20">
        <f t="shared" si="1"/>
        <v>10283.04</v>
      </c>
      <c r="N1186" s="31">
        <v>3.0</v>
      </c>
      <c r="O1186" s="19" t="s">
        <v>107</v>
      </c>
      <c r="P1186" s="18"/>
      <c r="Q1186" s="18"/>
      <c r="R1186" s="23">
        <v>115.0</v>
      </c>
      <c r="S1186" s="23">
        <v>579.0</v>
      </c>
      <c r="T1186" s="23">
        <f t="shared" si="2"/>
        <v>555.84</v>
      </c>
      <c r="U1186" s="23">
        <f t="shared" si="3"/>
        <v>140.875</v>
      </c>
      <c r="V1186" s="23">
        <f t="shared" si="4"/>
        <v>2641.40625</v>
      </c>
      <c r="W1186" s="24">
        <f t="shared" si="5"/>
        <v>4.833391304</v>
      </c>
    </row>
    <row r="1187">
      <c r="A1187" s="15" t="s">
        <v>931</v>
      </c>
      <c r="B1187" s="15" t="s">
        <v>932</v>
      </c>
      <c r="C1187" s="15" t="s">
        <v>6109</v>
      </c>
      <c r="D1187" s="15" t="s">
        <v>933</v>
      </c>
      <c r="E1187" s="17" t="s">
        <v>934</v>
      </c>
      <c r="F1187" s="18"/>
      <c r="G1187" s="18"/>
      <c r="H1187" s="15" t="s">
        <v>935</v>
      </c>
      <c r="I1187" s="18"/>
      <c r="J1187" s="19" t="s">
        <v>59</v>
      </c>
      <c r="K1187" s="19" t="s">
        <v>60</v>
      </c>
      <c r="L1187" s="19" t="s">
        <v>38</v>
      </c>
      <c r="M1187" s="20">
        <f t="shared" si="1"/>
        <v>745.92</v>
      </c>
      <c r="N1187" s="31">
        <v>10.0</v>
      </c>
      <c r="O1187" s="19" t="s">
        <v>107</v>
      </c>
      <c r="P1187" s="18"/>
      <c r="Q1187" s="18"/>
      <c r="R1187" s="23">
        <v>11.0</v>
      </c>
      <c r="S1187" s="23">
        <v>42.0</v>
      </c>
      <c r="T1187" s="23">
        <f t="shared" si="2"/>
        <v>40.32</v>
      </c>
      <c r="U1187" s="23">
        <f t="shared" si="3"/>
        <v>13.475</v>
      </c>
      <c r="V1187" s="23">
        <f t="shared" si="4"/>
        <v>252.65625</v>
      </c>
      <c r="W1187" s="24">
        <f t="shared" si="5"/>
        <v>3.665454545</v>
      </c>
    </row>
    <row r="1188" hidden="1">
      <c r="A1188" s="15" t="s">
        <v>7809</v>
      </c>
      <c r="B1188" s="18"/>
      <c r="C1188" s="18"/>
      <c r="D1188" s="18"/>
      <c r="E1188" s="17" t="s">
        <v>7810</v>
      </c>
      <c r="F1188" s="18"/>
      <c r="G1188" s="18"/>
      <c r="H1188" s="18"/>
      <c r="I1188" s="18"/>
      <c r="J1188" s="19" t="s">
        <v>59</v>
      </c>
      <c r="K1188" s="33"/>
      <c r="L1188" s="19" t="s">
        <v>38</v>
      </c>
      <c r="M1188" s="20">
        <f t="shared" si="1"/>
        <v>0</v>
      </c>
      <c r="N1188" s="22"/>
      <c r="O1188" s="19" t="s">
        <v>39</v>
      </c>
      <c r="P1188" s="18"/>
      <c r="Q1188" s="18"/>
      <c r="R1188" s="23">
        <v>0.0</v>
      </c>
      <c r="S1188" s="23">
        <v>0.0</v>
      </c>
      <c r="T1188" s="23">
        <f t="shared" si="2"/>
        <v>0</v>
      </c>
      <c r="U1188" s="23">
        <f t="shared" si="3"/>
        <v>0</v>
      </c>
      <c r="V1188" s="23">
        <f t="shared" si="4"/>
        <v>0</v>
      </c>
      <c r="W1188" s="24" t="str">
        <f t="shared" si="5"/>
        <v>#DIV/0!</v>
      </c>
    </row>
    <row r="1189">
      <c r="A1189" s="15" t="s">
        <v>441</v>
      </c>
      <c r="B1189" s="15" t="s">
        <v>442</v>
      </c>
      <c r="C1189" s="15" t="s">
        <v>6110</v>
      </c>
      <c r="D1189" s="15" t="s">
        <v>443</v>
      </c>
      <c r="E1189" s="17" t="s">
        <v>444</v>
      </c>
      <c r="F1189" s="18"/>
      <c r="G1189" s="18"/>
      <c r="H1189" s="15" t="s">
        <v>445</v>
      </c>
      <c r="I1189" s="18"/>
      <c r="J1189" s="19" t="s">
        <v>59</v>
      </c>
      <c r="K1189" s="19" t="s">
        <v>60</v>
      </c>
      <c r="L1189" s="19" t="s">
        <v>38</v>
      </c>
      <c r="M1189" s="20">
        <f t="shared" si="1"/>
        <v>1243.2</v>
      </c>
      <c r="N1189" s="31">
        <v>13.0</v>
      </c>
      <c r="O1189" s="19" t="s">
        <v>107</v>
      </c>
      <c r="P1189" s="18"/>
      <c r="Q1189" s="18"/>
      <c r="R1189" s="23">
        <v>10.0</v>
      </c>
      <c r="S1189" s="23">
        <v>70.0</v>
      </c>
      <c r="T1189" s="23">
        <f t="shared" si="2"/>
        <v>67.2</v>
      </c>
      <c r="U1189" s="23">
        <f t="shared" si="3"/>
        <v>12.25</v>
      </c>
      <c r="V1189" s="23">
        <f t="shared" si="4"/>
        <v>229.6875</v>
      </c>
      <c r="W1189" s="24">
        <f t="shared" si="5"/>
        <v>6.72</v>
      </c>
    </row>
    <row r="1190" hidden="1">
      <c r="A1190" s="15" t="s">
        <v>3069</v>
      </c>
      <c r="B1190" s="18"/>
      <c r="C1190" s="15" t="s">
        <v>7811</v>
      </c>
      <c r="D1190" s="18"/>
      <c r="E1190" s="17" t="s">
        <v>3070</v>
      </c>
      <c r="F1190" s="18"/>
      <c r="G1190" s="18"/>
      <c r="H1190" s="15" t="s">
        <v>3071</v>
      </c>
      <c r="I1190" s="15" t="s">
        <v>3072</v>
      </c>
      <c r="J1190" s="19" t="s">
        <v>59</v>
      </c>
      <c r="K1190" s="19" t="s">
        <v>2387</v>
      </c>
      <c r="L1190" s="19" t="s">
        <v>38</v>
      </c>
      <c r="M1190" s="20">
        <f t="shared" si="1"/>
        <v>0</v>
      </c>
      <c r="N1190" s="22"/>
      <c r="O1190" s="19" t="s">
        <v>1145</v>
      </c>
      <c r="P1190" s="18"/>
      <c r="Q1190" s="18"/>
      <c r="R1190" s="23">
        <v>0.0</v>
      </c>
      <c r="S1190" s="23">
        <v>0.0</v>
      </c>
      <c r="T1190" s="23">
        <f t="shared" si="2"/>
        <v>0</v>
      </c>
      <c r="U1190" s="23">
        <f t="shared" si="3"/>
        <v>0</v>
      </c>
      <c r="V1190" s="23">
        <f t="shared" si="4"/>
        <v>0</v>
      </c>
      <c r="W1190" s="24" t="str">
        <f t="shared" si="5"/>
        <v>#DIV/0!</v>
      </c>
    </row>
    <row r="1191" hidden="1">
      <c r="A1191" s="15" t="s">
        <v>7812</v>
      </c>
      <c r="B1191" s="18"/>
      <c r="C1191" s="15" t="s">
        <v>7813</v>
      </c>
      <c r="D1191" s="18"/>
      <c r="E1191" s="17" t="s">
        <v>7814</v>
      </c>
      <c r="F1191" s="18"/>
      <c r="G1191" s="18"/>
      <c r="H1191" s="15" t="s">
        <v>7815</v>
      </c>
      <c r="I1191" s="15" t="s">
        <v>4169</v>
      </c>
      <c r="J1191" s="19" t="s">
        <v>59</v>
      </c>
      <c r="K1191" s="19" t="s">
        <v>2387</v>
      </c>
      <c r="L1191" s="19" t="s">
        <v>38</v>
      </c>
      <c r="M1191" s="20">
        <f t="shared" si="1"/>
        <v>0</v>
      </c>
      <c r="N1191" s="22"/>
      <c r="O1191" s="19" t="s">
        <v>39</v>
      </c>
      <c r="P1191" s="18"/>
      <c r="Q1191" s="18"/>
      <c r="R1191" s="23">
        <v>0.0</v>
      </c>
      <c r="S1191" s="23">
        <v>0.0</v>
      </c>
      <c r="T1191" s="23">
        <f t="shared" si="2"/>
        <v>0</v>
      </c>
      <c r="U1191" s="23">
        <f t="shared" si="3"/>
        <v>0</v>
      </c>
      <c r="V1191" s="23">
        <f t="shared" si="4"/>
        <v>0</v>
      </c>
      <c r="W1191" s="24" t="str">
        <f t="shared" si="5"/>
        <v>#DIV/0!</v>
      </c>
    </row>
    <row r="1192" hidden="1">
      <c r="A1192" s="15" t="s">
        <v>7816</v>
      </c>
      <c r="B1192" s="18"/>
      <c r="C1192" s="15" t="s">
        <v>7817</v>
      </c>
      <c r="D1192" s="18"/>
      <c r="E1192" s="17" t="s">
        <v>7818</v>
      </c>
      <c r="F1192" s="18"/>
      <c r="G1192" s="18"/>
      <c r="H1192" s="15" t="s">
        <v>7819</v>
      </c>
      <c r="I1192" s="15" t="s">
        <v>4174</v>
      </c>
      <c r="J1192" s="19" t="s">
        <v>59</v>
      </c>
      <c r="K1192" s="19" t="s">
        <v>2387</v>
      </c>
      <c r="L1192" s="19" t="s">
        <v>38</v>
      </c>
      <c r="M1192" s="20">
        <f t="shared" si="1"/>
        <v>0</v>
      </c>
      <c r="N1192" s="22"/>
      <c r="O1192" s="19" t="s">
        <v>1145</v>
      </c>
      <c r="P1192" s="18"/>
      <c r="Q1192" s="18"/>
      <c r="R1192" s="23">
        <v>0.0</v>
      </c>
      <c r="S1192" s="23">
        <v>0.0</v>
      </c>
      <c r="T1192" s="23">
        <f t="shared" si="2"/>
        <v>0</v>
      </c>
      <c r="U1192" s="23">
        <f t="shared" si="3"/>
        <v>0</v>
      </c>
      <c r="V1192" s="23">
        <f t="shared" si="4"/>
        <v>0</v>
      </c>
      <c r="W1192" s="24" t="str">
        <f t="shared" si="5"/>
        <v>#DIV/0!</v>
      </c>
    </row>
    <row r="1193" hidden="1">
      <c r="A1193" s="15" t="s">
        <v>3073</v>
      </c>
      <c r="B1193" s="18"/>
      <c r="C1193" s="15" t="s">
        <v>7820</v>
      </c>
      <c r="D1193" s="18"/>
      <c r="E1193" s="17" t="s">
        <v>3074</v>
      </c>
      <c r="F1193" s="18"/>
      <c r="G1193" s="18"/>
      <c r="H1193" s="15" t="s">
        <v>3075</v>
      </c>
      <c r="I1193" s="15" t="s">
        <v>3076</v>
      </c>
      <c r="J1193" s="19" t="s">
        <v>59</v>
      </c>
      <c r="K1193" s="19" t="s">
        <v>2387</v>
      </c>
      <c r="L1193" s="19" t="s">
        <v>38</v>
      </c>
      <c r="M1193" s="20">
        <f t="shared" si="1"/>
        <v>0</v>
      </c>
      <c r="N1193" s="22"/>
      <c r="O1193" s="19" t="s">
        <v>1145</v>
      </c>
      <c r="P1193" s="18"/>
      <c r="Q1193" s="18"/>
      <c r="R1193" s="23">
        <v>0.0</v>
      </c>
      <c r="S1193" s="23">
        <v>0.0</v>
      </c>
      <c r="T1193" s="23">
        <f t="shared" si="2"/>
        <v>0</v>
      </c>
      <c r="U1193" s="23">
        <f t="shared" si="3"/>
        <v>0</v>
      </c>
      <c r="V1193" s="23">
        <f t="shared" si="4"/>
        <v>0</v>
      </c>
      <c r="W1193" s="24" t="str">
        <f t="shared" si="5"/>
        <v>#DIV/0!</v>
      </c>
    </row>
    <row r="1194" hidden="1">
      <c r="A1194" s="15" t="s">
        <v>3077</v>
      </c>
      <c r="B1194" s="18"/>
      <c r="C1194" s="15" t="s">
        <v>7821</v>
      </c>
      <c r="D1194" s="18"/>
      <c r="E1194" s="17" t="s">
        <v>3078</v>
      </c>
      <c r="F1194" s="18"/>
      <c r="G1194" s="18"/>
      <c r="H1194" s="15" t="s">
        <v>3079</v>
      </c>
      <c r="I1194" s="15" t="s">
        <v>3080</v>
      </c>
      <c r="J1194" s="19" t="s">
        <v>59</v>
      </c>
      <c r="K1194" s="19" t="s">
        <v>2387</v>
      </c>
      <c r="L1194" s="19" t="s">
        <v>38</v>
      </c>
      <c r="M1194" s="20">
        <f t="shared" si="1"/>
        <v>0</v>
      </c>
      <c r="N1194" s="22"/>
      <c r="O1194" s="19" t="s">
        <v>1145</v>
      </c>
      <c r="P1194" s="18"/>
      <c r="Q1194" s="18"/>
      <c r="R1194" s="23">
        <v>0.0</v>
      </c>
      <c r="S1194" s="23">
        <v>0.0</v>
      </c>
      <c r="T1194" s="23">
        <f t="shared" si="2"/>
        <v>0</v>
      </c>
      <c r="U1194" s="23">
        <f t="shared" si="3"/>
        <v>0</v>
      </c>
      <c r="V1194" s="23">
        <f t="shared" si="4"/>
        <v>0</v>
      </c>
      <c r="W1194" s="24" t="str">
        <f t="shared" si="5"/>
        <v>#DIV/0!</v>
      </c>
    </row>
    <row r="1195" hidden="1">
      <c r="A1195" s="15" t="s">
        <v>3081</v>
      </c>
      <c r="B1195" s="18"/>
      <c r="C1195" s="15" t="s">
        <v>7822</v>
      </c>
      <c r="D1195" s="18"/>
      <c r="E1195" s="17" t="s">
        <v>3082</v>
      </c>
      <c r="F1195" s="18"/>
      <c r="G1195" s="18"/>
      <c r="H1195" s="15" t="s">
        <v>3083</v>
      </c>
      <c r="I1195" s="15" t="s">
        <v>3084</v>
      </c>
      <c r="J1195" s="19" t="s">
        <v>59</v>
      </c>
      <c r="K1195" s="19" t="s">
        <v>2387</v>
      </c>
      <c r="L1195" s="19" t="s">
        <v>38</v>
      </c>
      <c r="M1195" s="20">
        <f t="shared" si="1"/>
        <v>0</v>
      </c>
      <c r="N1195" s="22"/>
      <c r="O1195" s="19" t="s">
        <v>1145</v>
      </c>
      <c r="P1195" s="18"/>
      <c r="Q1195" s="18"/>
      <c r="R1195" s="23">
        <v>0.0</v>
      </c>
      <c r="S1195" s="23">
        <v>0.0</v>
      </c>
      <c r="T1195" s="23">
        <f t="shared" si="2"/>
        <v>0</v>
      </c>
      <c r="U1195" s="23">
        <f t="shared" si="3"/>
        <v>0</v>
      </c>
      <c r="V1195" s="23">
        <f t="shared" si="4"/>
        <v>0</v>
      </c>
      <c r="W1195" s="24" t="str">
        <f t="shared" si="5"/>
        <v>#DIV/0!</v>
      </c>
    </row>
    <row r="1196" hidden="1">
      <c r="A1196" s="15" t="s">
        <v>5188</v>
      </c>
      <c r="B1196" s="15" t="s">
        <v>5189</v>
      </c>
      <c r="C1196" s="15" t="s">
        <v>7823</v>
      </c>
      <c r="D1196" s="18"/>
      <c r="E1196" s="17" t="s">
        <v>5191</v>
      </c>
      <c r="F1196" s="18"/>
      <c r="G1196" s="18"/>
      <c r="H1196" s="15" t="s">
        <v>5192</v>
      </c>
      <c r="I1196" s="18"/>
      <c r="J1196" s="19" t="s">
        <v>59</v>
      </c>
      <c r="K1196" s="33"/>
      <c r="L1196" s="19" t="s">
        <v>38</v>
      </c>
      <c r="M1196" s="20">
        <f t="shared" si="1"/>
        <v>0</v>
      </c>
      <c r="N1196" s="22"/>
      <c r="O1196" s="19" t="s">
        <v>3578</v>
      </c>
      <c r="P1196" s="18"/>
      <c r="Q1196" s="18"/>
      <c r="R1196" s="23">
        <v>0.0</v>
      </c>
      <c r="S1196" s="23">
        <v>0.0</v>
      </c>
      <c r="T1196" s="23">
        <f t="shared" si="2"/>
        <v>0</v>
      </c>
      <c r="U1196" s="23">
        <f t="shared" si="3"/>
        <v>0</v>
      </c>
      <c r="V1196" s="23">
        <f t="shared" si="4"/>
        <v>0</v>
      </c>
      <c r="W1196" s="24" t="str">
        <f t="shared" si="5"/>
        <v>#DIV/0!</v>
      </c>
    </row>
    <row r="1197">
      <c r="A1197" s="15" t="s">
        <v>338</v>
      </c>
      <c r="B1197" s="15" t="s">
        <v>339</v>
      </c>
      <c r="C1197" s="15" t="s">
        <v>6046</v>
      </c>
      <c r="D1197" s="15" t="s">
        <v>340</v>
      </c>
      <c r="E1197" s="17" t="s">
        <v>341</v>
      </c>
      <c r="F1197" s="18"/>
      <c r="G1197" s="18"/>
      <c r="H1197" s="15" t="s">
        <v>342</v>
      </c>
      <c r="I1197" s="18"/>
      <c r="J1197" s="19" t="s">
        <v>59</v>
      </c>
      <c r="K1197" s="33"/>
      <c r="L1197" s="19" t="s">
        <v>38</v>
      </c>
      <c r="M1197" s="20">
        <f t="shared" si="1"/>
        <v>1243.2</v>
      </c>
      <c r="N1197" s="31">
        <v>5.0</v>
      </c>
      <c r="O1197" s="19" t="s">
        <v>107</v>
      </c>
      <c r="P1197" s="18"/>
      <c r="Q1197" s="18"/>
      <c r="R1197" s="23">
        <v>9.0</v>
      </c>
      <c r="S1197" s="23">
        <v>70.0</v>
      </c>
      <c r="T1197" s="23">
        <f t="shared" si="2"/>
        <v>67.2</v>
      </c>
      <c r="U1197" s="23">
        <f t="shared" si="3"/>
        <v>11.025</v>
      </c>
      <c r="V1197" s="23">
        <f t="shared" si="4"/>
        <v>206.71875</v>
      </c>
      <c r="W1197" s="24">
        <f t="shared" si="5"/>
        <v>7.466666667</v>
      </c>
    </row>
    <row r="1198" hidden="1">
      <c r="A1198" s="15" t="s">
        <v>5193</v>
      </c>
      <c r="B1198" s="15" t="s">
        <v>5194</v>
      </c>
      <c r="C1198" s="15" t="s">
        <v>7824</v>
      </c>
      <c r="D1198" s="15" t="s">
        <v>5195</v>
      </c>
      <c r="E1198" s="17" t="s">
        <v>5196</v>
      </c>
      <c r="F1198" s="18"/>
      <c r="G1198" s="18"/>
      <c r="H1198" s="15" t="s">
        <v>5197</v>
      </c>
      <c r="I1198" s="18"/>
      <c r="J1198" s="19" t="s">
        <v>59</v>
      </c>
      <c r="K1198" s="33"/>
      <c r="L1198" s="19" t="s">
        <v>38</v>
      </c>
      <c r="M1198" s="20">
        <f t="shared" si="1"/>
        <v>0</v>
      </c>
      <c r="N1198" s="22"/>
      <c r="O1198" s="19" t="s">
        <v>3578</v>
      </c>
      <c r="P1198" s="18"/>
      <c r="Q1198" s="18"/>
      <c r="R1198" s="23">
        <v>0.0</v>
      </c>
      <c r="S1198" s="23">
        <v>0.0</v>
      </c>
      <c r="T1198" s="23">
        <f t="shared" si="2"/>
        <v>0</v>
      </c>
      <c r="U1198" s="23">
        <f t="shared" si="3"/>
        <v>0</v>
      </c>
      <c r="V1198" s="23">
        <f t="shared" si="4"/>
        <v>0</v>
      </c>
      <c r="W1198" s="24" t="str">
        <f t="shared" si="5"/>
        <v>#DIV/0!</v>
      </c>
    </row>
    <row r="1199" hidden="1">
      <c r="A1199" s="15" t="s">
        <v>3085</v>
      </c>
      <c r="B1199" s="18"/>
      <c r="C1199" s="15" t="s">
        <v>7825</v>
      </c>
      <c r="D1199" s="18"/>
      <c r="E1199" s="17" t="s">
        <v>3086</v>
      </c>
      <c r="F1199" s="18"/>
      <c r="G1199" s="18"/>
      <c r="H1199" s="15" t="s">
        <v>3087</v>
      </c>
      <c r="I1199" s="15" t="s">
        <v>3088</v>
      </c>
      <c r="J1199" s="19" t="s">
        <v>59</v>
      </c>
      <c r="K1199" s="19" t="s">
        <v>691</v>
      </c>
      <c r="L1199" s="19" t="s">
        <v>38</v>
      </c>
      <c r="M1199" s="20">
        <f t="shared" si="1"/>
        <v>0</v>
      </c>
      <c r="N1199" s="22"/>
      <c r="O1199" s="19" t="s">
        <v>1145</v>
      </c>
      <c r="P1199" s="18"/>
      <c r="Q1199" s="18"/>
      <c r="R1199" s="23">
        <v>0.0</v>
      </c>
      <c r="S1199" s="23">
        <v>0.0</v>
      </c>
      <c r="T1199" s="23">
        <f t="shared" si="2"/>
        <v>0</v>
      </c>
      <c r="U1199" s="23">
        <f t="shared" si="3"/>
        <v>0</v>
      </c>
      <c r="V1199" s="23">
        <f t="shared" si="4"/>
        <v>0</v>
      </c>
      <c r="W1199" s="24" t="str">
        <f t="shared" si="5"/>
        <v>#DIV/0!</v>
      </c>
    </row>
    <row r="1200">
      <c r="A1200" s="15" t="s">
        <v>617</v>
      </c>
      <c r="B1200" s="18"/>
      <c r="C1200" s="15" t="s">
        <v>6047</v>
      </c>
      <c r="D1200" s="15" t="s">
        <v>618</v>
      </c>
      <c r="E1200" s="17" t="s">
        <v>619</v>
      </c>
      <c r="F1200" s="18"/>
      <c r="G1200" s="18"/>
      <c r="H1200" s="15" t="s">
        <v>620</v>
      </c>
      <c r="I1200" s="15"/>
      <c r="J1200" s="19" t="s">
        <v>59</v>
      </c>
      <c r="K1200" s="19" t="s">
        <v>60</v>
      </c>
      <c r="L1200" s="19" t="s">
        <v>38</v>
      </c>
      <c r="M1200" s="20">
        <f t="shared" si="1"/>
        <v>8453.76</v>
      </c>
      <c r="N1200" s="31">
        <v>3.0</v>
      </c>
      <c r="O1200" s="19" t="s">
        <v>107</v>
      </c>
      <c r="P1200" s="18"/>
      <c r="Q1200" s="18"/>
      <c r="R1200" s="23">
        <v>88.0</v>
      </c>
      <c r="S1200" s="23">
        <v>476.0</v>
      </c>
      <c r="T1200" s="23">
        <f t="shared" si="2"/>
        <v>456.96</v>
      </c>
      <c r="U1200" s="23">
        <f t="shared" si="3"/>
        <v>107.8</v>
      </c>
      <c r="V1200" s="23">
        <f t="shared" si="4"/>
        <v>2021.25</v>
      </c>
      <c r="W1200" s="24">
        <f t="shared" si="5"/>
        <v>5.192727273</v>
      </c>
    </row>
    <row r="1201" hidden="1">
      <c r="A1201" s="15" t="s">
        <v>7826</v>
      </c>
      <c r="B1201" s="18"/>
      <c r="C1201" s="15" t="s">
        <v>7827</v>
      </c>
      <c r="D1201" s="18"/>
      <c r="E1201" s="17" t="s">
        <v>7828</v>
      </c>
      <c r="F1201" s="18"/>
      <c r="G1201" s="18"/>
      <c r="H1201" s="15" t="s">
        <v>7829</v>
      </c>
      <c r="I1201" s="15" t="s">
        <v>620</v>
      </c>
      <c r="J1201" s="19" t="s">
        <v>59</v>
      </c>
      <c r="K1201" s="19" t="s">
        <v>2387</v>
      </c>
      <c r="L1201" s="19" t="s">
        <v>38</v>
      </c>
      <c r="M1201" s="20">
        <f t="shared" si="1"/>
        <v>0</v>
      </c>
      <c r="N1201" s="22"/>
      <c r="O1201" s="19" t="s">
        <v>39</v>
      </c>
      <c r="P1201" s="18"/>
      <c r="Q1201" s="18"/>
      <c r="R1201" s="23">
        <v>0.0</v>
      </c>
      <c r="S1201" s="23">
        <v>0.0</v>
      </c>
      <c r="T1201" s="23">
        <f t="shared" si="2"/>
        <v>0</v>
      </c>
      <c r="U1201" s="23">
        <f t="shared" si="3"/>
        <v>0</v>
      </c>
      <c r="V1201" s="23">
        <f t="shared" si="4"/>
        <v>0</v>
      </c>
      <c r="W1201" s="24" t="str">
        <f t="shared" si="5"/>
        <v>#DIV/0!</v>
      </c>
    </row>
    <row r="1202" hidden="1">
      <c r="A1202" s="15" t="s">
        <v>7830</v>
      </c>
      <c r="B1202" s="18"/>
      <c r="C1202" s="15" t="s">
        <v>7831</v>
      </c>
      <c r="D1202" s="18"/>
      <c r="E1202" s="17" t="s">
        <v>7832</v>
      </c>
      <c r="F1202" s="18"/>
      <c r="G1202" s="18"/>
      <c r="H1202" s="15" t="s">
        <v>7833</v>
      </c>
      <c r="I1202" s="15" t="s">
        <v>3937</v>
      </c>
      <c r="J1202" s="19" t="s">
        <v>59</v>
      </c>
      <c r="K1202" s="19" t="s">
        <v>2382</v>
      </c>
      <c r="L1202" s="19" t="s">
        <v>38</v>
      </c>
      <c r="M1202" s="20">
        <f t="shared" si="1"/>
        <v>0</v>
      </c>
      <c r="N1202" s="22"/>
      <c r="O1202" s="19" t="s">
        <v>39</v>
      </c>
      <c r="P1202" s="18"/>
      <c r="Q1202" s="18"/>
      <c r="R1202" s="23">
        <v>0.0</v>
      </c>
      <c r="S1202" s="23">
        <v>0.0</v>
      </c>
      <c r="T1202" s="23">
        <f t="shared" si="2"/>
        <v>0</v>
      </c>
      <c r="U1202" s="23">
        <f t="shared" si="3"/>
        <v>0</v>
      </c>
      <c r="V1202" s="23">
        <f t="shared" si="4"/>
        <v>0</v>
      </c>
      <c r="W1202" s="24" t="str">
        <f t="shared" si="5"/>
        <v>#DIV/0!</v>
      </c>
    </row>
    <row r="1203">
      <c r="A1203" s="15" t="s">
        <v>148</v>
      </c>
      <c r="B1203" s="15" t="s">
        <v>149</v>
      </c>
      <c r="C1203" s="15" t="s">
        <v>6103</v>
      </c>
      <c r="D1203" s="15" t="s">
        <v>150</v>
      </c>
      <c r="E1203" s="17" t="s">
        <v>151</v>
      </c>
      <c r="F1203" s="18"/>
      <c r="G1203" s="18"/>
      <c r="H1203" s="15" t="s">
        <v>152</v>
      </c>
      <c r="I1203" s="18"/>
      <c r="J1203" s="19" t="s">
        <v>59</v>
      </c>
      <c r="K1203" s="33"/>
      <c r="L1203" s="19" t="s">
        <v>38</v>
      </c>
      <c r="M1203" s="20">
        <f t="shared" si="1"/>
        <v>88.8</v>
      </c>
      <c r="N1203" s="31">
        <v>10.0</v>
      </c>
      <c r="O1203" s="19" t="s">
        <v>107</v>
      </c>
      <c r="P1203" s="18"/>
      <c r="Q1203" s="18"/>
      <c r="R1203" s="23">
        <v>0.3</v>
      </c>
      <c r="S1203" s="23">
        <v>5.0</v>
      </c>
      <c r="T1203" s="23">
        <f t="shared" si="2"/>
        <v>4.8</v>
      </c>
      <c r="U1203" s="23">
        <f t="shared" si="3"/>
        <v>0.3675</v>
      </c>
      <c r="V1203" s="23">
        <f t="shared" si="4"/>
        <v>6.890625</v>
      </c>
      <c r="W1203" s="24">
        <f t="shared" si="5"/>
        <v>16</v>
      </c>
    </row>
    <row r="1204">
      <c r="A1204" s="15" t="s">
        <v>213</v>
      </c>
      <c r="B1204" s="15" t="s">
        <v>214</v>
      </c>
      <c r="C1204" s="15" t="s">
        <v>6114</v>
      </c>
      <c r="D1204" s="15" t="s">
        <v>215</v>
      </c>
      <c r="E1204" s="17" t="s">
        <v>216</v>
      </c>
      <c r="F1204" s="18"/>
      <c r="G1204" s="18"/>
      <c r="H1204" s="15" t="s">
        <v>217</v>
      </c>
      <c r="I1204" s="18"/>
      <c r="J1204" s="19" t="s">
        <v>59</v>
      </c>
      <c r="K1204" s="19" t="s">
        <v>60</v>
      </c>
      <c r="L1204" s="19" t="s">
        <v>38</v>
      </c>
      <c r="M1204" s="20">
        <f t="shared" si="1"/>
        <v>53.28</v>
      </c>
      <c r="N1204" s="31">
        <v>30.0</v>
      </c>
      <c r="O1204" s="19" t="s">
        <v>107</v>
      </c>
      <c r="P1204" s="18"/>
      <c r="Q1204" s="18"/>
      <c r="R1204" s="23">
        <v>0.3</v>
      </c>
      <c r="S1204" s="23">
        <v>3.0</v>
      </c>
      <c r="T1204" s="23">
        <f t="shared" si="2"/>
        <v>2.88</v>
      </c>
      <c r="U1204" s="23">
        <f t="shared" si="3"/>
        <v>0.3675</v>
      </c>
      <c r="V1204" s="23">
        <f t="shared" si="4"/>
        <v>6.890625</v>
      </c>
      <c r="W1204" s="24">
        <f t="shared" si="5"/>
        <v>9.6</v>
      </c>
    </row>
    <row r="1205">
      <c r="A1205" s="15" t="s">
        <v>218</v>
      </c>
      <c r="B1205" s="15" t="s">
        <v>219</v>
      </c>
      <c r="C1205" s="15" t="s">
        <v>6115</v>
      </c>
      <c r="D1205" s="15" t="s">
        <v>220</v>
      </c>
      <c r="E1205" s="17" t="s">
        <v>221</v>
      </c>
      <c r="F1205" s="18"/>
      <c r="G1205" s="18"/>
      <c r="H1205" s="15" t="s">
        <v>222</v>
      </c>
      <c r="I1205" s="18"/>
      <c r="J1205" s="19" t="s">
        <v>59</v>
      </c>
      <c r="K1205" s="33"/>
      <c r="L1205" s="19" t="s">
        <v>38</v>
      </c>
      <c r="M1205" s="20">
        <f t="shared" si="1"/>
        <v>53.28</v>
      </c>
      <c r="N1205" s="31">
        <v>30.0</v>
      </c>
      <c r="O1205" s="19" t="s">
        <v>107</v>
      </c>
      <c r="P1205" s="18"/>
      <c r="Q1205" s="18"/>
      <c r="R1205" s="23">
        <v>0.3</v>
      </c>
      <c r="S1205" s="23">
        <v>3.0</v>
      </c>
      <c r="T1205" s="23">
        <f t="shared" si="2"/>
        <v>2.88</v>
      </c>
      <c r="U1205" s="23">
        <f t="shared" si="3"/>
        <v>0.3675</v>
      </c>
      <c r="V1205" s="23">
        <f t="shared" si="4"/>
        <v>6.890625</v>
      </c>
      <c r="W1205" s="24">
        <f t="shared" si="5"/>
        <v>9.6</v>
      </c>
    </row>
    <row r="1206" hidden="1">
      <c r="A1206" s="15" t="s">
        <v>3089</v>
      </c>
      <c r="B1206" s="18"/>
      <c r="C1206" s="15" t="s">
        <v>7834</v>
      </c>
      <c r="D1206" s="18"/>
      <c r="E1206" s="17" t="s">
        <v>3090</v>
      </c>
      <c r="F1206" s="18"/>
      <c r="G1206" s="18"/>
      <c r="H1206" s="15" t="s">
        <v>3091</v>
      </c>
      <c r="I1206" s="15" t="s">
        <v>3092</v>
      </c>
      <c r="J1206" s="19" t="s">
        <v>59</v>
      </c>
      <c r="K1206" s="19" t="s">
        <v>691</v>
      </c>
      <c r="L1206" s="19" t="s">
        <v>38</v>
      </c>
      <c r="M1206" s="20">
        <f t="shared" si="1"/>
        <v>0</v>
      </c>
      <c r="N1206" s="22"/>
      <c r="O1206" s="19" t="s">
        <v>1145</v>
      </c>
      <c r="P1206" s="18"/>
      <c r="Q1206" s="18"/>
      <c r="R1206" s="23">
        <v>0.0</v>
      </c>
      <c r="S1206" s="23">
        <v>0.0</v>
      </c>
      <c r="T1206" s="23">
        <f t="shared" si="2"/>
        <v>0</v>
      </c>
      <c r="U1206" s="23">
        <f t="shared" si="3"/>
        <v>0</v>
      </c>
      <c r="V1206" s="23">
        <f t="shared" si="4"/>
        <v>0</v>
      </c>
      <c r="W1206" s="24" t="str">
        <f t="shared" si="5"/>
        <v>#DIV/0!</v>
      </c>
    </row>
    <row r="1207" hidden="1">
      <c r="A1207" s="15" t="s">
        <v>3093</v>
      </c>
      <c r="B1207" s="18"/>
      <c r="C1207" s="15" t="s">
        <v>7835</v>
      </c>
      <c r="D1207" s="18"/>
      <c r="E1207" s="17" t="s">
        <v>3094</v>
      </c>
      <c r="F1207" s="18"/>
      <c r="G1207" s="18"/>
      <c r="H1207" s="15" t="s">
        <v>3095</v>
      </c>
      <c r="I1207" s="15" t="s">
        <v>3096</v>
      </c>
      <c r="J1207" s="19" t="s">
        <v>59</v>
      </c>
      <c r="K1207" s="19" t="s">
        <v>2401</v>
      </c>
      <c r="L1207" s="19" t="s">
        <v>38</v>
      </c>
      <c r="M1207" s="20">
        <f t="shared" si="1"/>
        <v>0</v>
      </c>
      <c r="N1207" s="22"/>
      <c r="O1207" s="19" t="s">
        <v>1145</v>
      </c>
      <c r="P1207" s="18"/>
      <c r="Q1207" s="18"/>
      <c r="R1207" s="23">
        <v>0.0</v>
      </c>
      <c r="S1207" s="23">
        <v>0.0</v>
      </c>
      <c r="T1207" s="23">
        <f t="shared" si="2"/>
        <v>0</v>
      </c>
      <c r="U1207" s="23">
        <f t="shared" si="3"/>
        <v>0</v>
      </c>
      <c r="V1207" s="23">
        <f t="shared" si="4"/>
        <v>0</v>
      </c>
      <c r="W1207" s="24" t="str">
        <f t="shared" si="5"/>
        <v>#DIV/0!</v>
      </c>
    </row>
    <row r="1208" hidden="1">
      <c r="A1208" s="15" t="s">
        <v>5198</v>
      </c>
      <c r="B1208" s="18"/>
      <c r="C1208" s="15" t="s">
        <v>7836</v>
      </c>
      <c r="D1208" s="18"/>
      <c r="E1208" s="17" t="s">
        <v>7837</v>
      </c>
      <c r="F1208" s="18"/>
      <c r="G1208" s="18"/>
      <c r="H1208" s="15" t="s">
        <v>7838</v>
      </c>
      <c r="I1208" s="15" t="s">
        <v>5199</v>
      </c>
      <c r="J1208" s="19" t="s">
        <v>59</v>
      </c>
      <c r="K1208" s="19" t="s">
        <v>691</v>
      </c>
      <c r="L1208" s="19" t="s">
        <v>38</v>
      </c>
      <c r="M1208" s="20">
        <f t="shared" si="1"/>
        <v>0</v>
      </c>
      <c r="N1208" s="22"/>
      <c r="O1208" s="19" t="s">
        <v>1145</v>
      </c>
      <c r="P1208" s="18"/>
      <c r="Q1208" s="18"/>
      <c r="R1208" s="23">
        <v>0.0</v>
      </c>
      <c r="S1208" s="23">
        <v>0.0</v>
      </c>
      <c r="T1208" s="23">
        <f t="shared" si="2"/>
        <v>0</v>
      </c>
      <c r="U1208" s="23">
        <f t="shared" si="3"/>
        <v>0</v>
      </c>
      <c r="V1208" s="23">
        <f t="shared" si="4"/>
        <v>0</v>
      </c>
      <c r="W1208" s="24" t="str">
        <f t="shared" si="5"/>
        <v>#DIV/0!</v>
      </c>
    </row>
    <row r="1209" hidden="1">
      <c r="A1209" s="15" t="s">
        <v>7839</v>
      </c>
      <c r="B1209" s="15" t="s">
        <v>7840</v>
      </c>
      <c r="C1209" s="15" t="s">
        <v>7841</v>
      </c>
      <c r="D1209" s="18"/>
      <c r="E1209" s="17" t="s">
        <v>7842</v>
      </c>
      <c r="F1209" s="18"/>
      <c r="G1209" s="18"/>
      <c r="H1209" s="15" t="s">
        <v>4174</v>
      </c>
      <c r="I1209" s="18"/>
      <c r="J1209" s="19" t="s">
        <v>59</v>
      </c>
      <c r="K1209" s="33"/>
      <c r="L1209" s="19" t="s">
        <v>38</v>
      </c>
      <c r="M1209" s="20">
        <f t="shared" si="1"/>
        <v>0</v>
      </c>
      <c r="N1209" s="22"/>
      <c r="O1209" s="19" t="s">
        <v>1145</v>
      </c>
      <c r="P1209" s="18"/>
      <c r="Q1209" s="18"/>
      <c r="R1209" s="23">
        <v>0.0</v>
      </c>
      <c r="S1209" s="23">
        <v>0.0</v>
      </c>
      <c r="T1209" s="23">
        <f t="shared" si="2"/>
        <v>0</v>
      </c>
      <c r="U1209" s="23">
        <f t="shared" si="3"/>
        <v>0</v>
      </c>
      <c r="V1209" s="23">
        <f t="shared" si="4"/>
        <v>0</v>
      </c>
      <c r="W1209" s="24" t="str">
        <f t="shared" si="5"/>
        <v>#DIV/0!</v>
      </c>
    </row>
    <row r="1210" hidden="1">
      <c r="A1210" s="15" t="s">
        <v>3097</v>
      </c>
      <c r="B1210" s="18"/>
      <c r="C1210" s="15" t="s">
        <v>7843</v>
      </c>
      <c r="D1210" s="18"/>
      <c r="E1210" s="17" t="s">
        <v>3098</v>
      </c>
      <c r="F1210" s="18"/>
      <c r="G1210" s="18"/>
      <c r="H1210" s="15" t="s">
        <v>3099</v>
      </c>
      <c r="I1210" s="15" t="s">
        <v>3100</v>
      </c>
      <c r="J1210" s="19" t="s">
        <v>59</v>
      </c>
      <c r="K1210" s="19" t="s">
        <v>2401</v>
      </c>
      <c r="L1210" s="19" t="s">
        <v>38</v>
      </c>
      <c r="M1210" s="20">
        <f t="shared" si="1"/>
        <v>0</v>
      </c>
      <c r="N1210" s="22"/>
      <c r="O1210" s="19" t="s">
        <v>1145</v>
      </c>
      <c r="P1210" s="18"/>
      <c r="Q1210" s="18"/>
      <c r="R1210" s="23">
        <v>0.0</v>
      </c>
      <c r="S1210" s="23">
        <v>0.0</v>
      </c>
      <c r="T1210" s="23">
        <f t="shared" si="2"/>
        <v>0</v>
      </c>
      <c r="U1210" s="23">
        <f t="shared" si="3"/>
        <v>0</v>
      </c>
      <c r="V1210" s="23">
        <f t="shared" si="4"/>
        <v>0</v>
      </c>
      <c r="W1210" s="24" t="str">
        <f t="shared" si="5"/>
        <v>#DIV/0!</v>
      </c>
    </row>
    <row r="1211">
      <c r="A1211" s="15" t="s">
        <v>497</v>
      </c>
      <c r="B1211" s="15" t="s">
        <v>498</v>
      </c>
      <c r="C1211" s="15" t="s">
        <v>6091</v>
      </c>
      <c r="D1211" s="15" t="s">
        <v>499</v>
      </c>
      <c r="E1211" s="17" t="s">
        <v>500</v>
      </c>
      <c r="F1211" s="18"/>
      <c r="G1211" s="15" t="s">
        <v>501</v>
      </c>
      <c r="H1211" s="15" t="s">
        <v>502</v>
      </c>
      <c r="I1211" s="18"/>
      <c r="J1211" s="19" t="s">
        <v>59</v>
      </c>
      <c r="K1211" s="33"/>
      <c r="L1211" s="19" t="s">
        <v>115</v>
      </c>
      <c r="M1211" s="20">
        <f t="shared" si="1"/>
        <v>692.64</v>
      </c>
      <c r="N1211" s="31">
        <v>10.0</v>
      </c>
      <c r="O1211" s="19" t="s">
        <v>107</v>
      </c>
      <c r="P1211" s="18"/>
      <c r="Q1211" s="18"/>
      <c r="R1211" s="23">
        <v>6.0</v>
      </c>
      <c r="S1211" s="23">
        <v>39.0</v>
      </c>
      <c r="T1211" s="23">
        <f t="shared" si="2"/>
        <v>37.44</v>
      </c>
      <c r="U1211" s="23">
        <f t="shared" si="3"/>
        <v>7.35</v>
      </c>
      <c r="V1211" s="23">
        <f t="shared" si="4"/>
        <v>137.8125</v>
      </c>
      <c r="W1211" s="24">
        <f t="shared" si="5"/>
        <v>6.24</v>
      </c>
    </row>
    <row r="1212" hidden="1">
      <c r="A1212" s="15" t="s">
        <v>3101</v>
      </c>
      <c r="B1212" s="18"/>
      <c r="C1212" s="15" t="s">
        <v>7844</v>
      </c>
      <c r="D1212" s="18"/>
      <c r="E1212" s="17" t="s">
        <v>3102</v>
      </c>
      <c r="F1212" s="18"/>
      <c r="G1212" s="18"/>
      <c r="H1212" s="15" t="s">
        <v>3103</v>
      </c>
      <c r="I1212" s="15" t="s">
        <v>3104</v>
      </c>
      <c r="J1212" s="19" t="s">
        <v>59</v>
      </c>
      <c r="K1212" s="19" t="s">
        <v>2396</v>
      </c>
      <c r="L1212" s="19" t="s">
        <v>38</v>
      </c>
      <c r="M1212" s="20">
        <f t="shared" si="1"/>
        <v>0</v>
      </c>
      <c r="N1212" s="22"/>
      <c r="O1212" s="19" t="s">
        <v>1145</v>
      </c>
      <c r="P1212" s="18"/>
      <c r="Q1212" s="18"/>
      <c r="R1212" s="23">
        <v>0.0</v>
      </c>
      <c r="S1212" s="23">
        <v>0.0</v>
      </c>
      <c r="T1212" s="23">
        <f t="shared" si="2"/>
        <v>0</v>
      </c>
      <c r="U1212" s="23">
        <f t="shared" si="3"/>
        <v>0</v>
      </c>
      <c r="V1212" s="23">
        <f t="shared" si="4"/>
        <v>0</v>
      </c>
      <c r="W1212" s="24" t="str">
        <f t="shared" si="5"/>
        <v>#DIV/0!</v>
      </c>
    </row>
    <row r="1213" hidden="1">
      <c r="A1213" s="15" t="s">
        <v>3105</v>
      </c>
      <c r="B1213" s="18"/>
      <c r="C1213" s="15" t="s">
        <v>7845</v>
      </c>
      <c r="D1213" s="18"/>
      <c r="E1213" s="17" t="s">
        <v>3106</v>
      </c>
      <c r="F1213" s="18"/>
      <c r="G1213" s="18"/>
      <c r="H1213" s="15" t="s">
        <v>3107</v>
      </c>
      <c r="I1213" s="15" t="s">
        <v>3108</v>
      </c>
      <c r="J1213" s="19" t="s">
        <v>59</v>
      </c>
      <c r="K1213" s="19" t="s">
        <v>2396</v>
      </c>
      <c r="L1213" s="19" t="s">
        <v>38</v>
      </c>
      <c r="M1213" s="20">
        <f t="shared" si="1"/>
        <v>0</v>
      </c>
      <c r="N1213" s="22"/>
      <c r="O1213" s="19" t="s">
        <v>1145</v>
      </c>
      <c r="P1213" s="18"/>
      <c r="Q1213" s="18"/>
      <c r="R1213" s="23">
        <v>0.0</v>
      </c>
      <c r="S1213" s="23">
        <v>0.0</v>
      </c>
      <c r="T1213" s="23">
        <f t="shared" si="2"/>
        <v>0</v>
      </c>
      <c r="U1213" s="23">
        <f t="shared" si="3"/>
        <v>0</v>
      </c>
      <c r="V1213" s="23">
        <f t="shared" si="4"/>
        <v>0</v>
      </c>
      <c r="W1213" s="24" t="str">
        <f t="shared" si="5"/>
        <v>#DIV/0!</v>
      </c>
    </row>
    <row r="1214" hidden="1">
      <c r="A1214" s="15" t="s">
        <v>7846</v>
      </c>
      <c r="B1214" s="18"/>
      <c r="C1214" s="15" t="s">
        <v>7847</v>
      </c>
      <c r="D1214" s="18"/>
      <c r="E1214" s="17" t="s">
        <v>7848</v>
      </c>
      <c r="F1214" s="18"/>
      <c r="G1214" s="18"/>
      <c r="H1214" s="15" t="s">
        <v>7849</v>
      </c>
      <c r="I1214" s="15" t="s">
        <v>7850</v>
      </c>
      <c r="J1214" s="19" t="s">
        <v>59</v>
      </c>
      <c r="K1214" s="19" t="s">
        <v>2396</v>
      </c>
      <c r="L1214" s="19" t="s">
        <v>38</v>
      </c>
      <c r="M1214" s="20">
        <f t="shared" si="1"/>
        <v>0</v>
      </c>
      <c r="N1214" s="22"/>
      <c r="O1214" s="19" t="s">
        <v>1145</v>
      </c>
      <c r="P1214" s="18"/>
      <c r="Q1214" s="18"/>
      <c r="R1214" s="23">
        <v>0.0</v>
      </c>
      <c r="S1214" s="23">
        <v>0.0</v>
      </c>
      <c r="T1214" s="23">
        <f t="shared" si="2"/>
        <v>0</v>
      </c>
      <c r="U1214" s="23">
        <f t="shared" si="3"/>
        <v>0</v>
      </c>
      <c r="V1214" s="23">
        <f t="shared" si="4"/>
        <v>0</v>
      </c>
      <c r="W1214" s="24" t="str">
        <f t="shared" si="5"/>
        <v>#DIV/0!</v>
      </c>
    </row>
    <row r="1215" hidden="1">
      <c r="A1215" s="15" t="s">
        <v>7851</v>
      </c>
      <c r="B1215" s="18"/>
      <c r="C1215" s="15" t="s">
        <v>7852</v>
      </c>
      <c r="D1215" s="18"/>
      <c r="E1215" s="17" t="s">
        <v>7853</v>
      </c>
      <c r="F1215" s="18"/>
      <c r="G1215" s="18"/>
      <c r="H1215" s="15" t="s">
        <v>7854</v>
      </c>
      <c r="I1215" s="15" t="s">
        <v>985</v>
      </c>
      <c r="J1215" s="19" t="s">
        <v>59</v>
      </c>
      <c r="K1215" s="19" t="s">
        <v>2396</v>
      </c>
      <c r="L1215" s="19" t="s">
        <v>38</v>
      </c>
      <c r="M1215" s="20">
        <f t="shared" si="1"/>
        <v>0</v>
      </c>
      <c r="N1215" s="22"/>
      <c r="O1215" s="19" t="s">
        <v>39</v>
      </c>
      <c r="P1215" s="18"/>
      <c r="Q1215" s="18"/>
      <c r="R1215" s="23">
        <v>0.0</v>
      </c>
      <c r="S1215" s="23">
        <v>0.0</v>
      </c>
      <c r="T1215" s="23">
        <f t="shared" si="2"/>
        <v>0</v>
      </c>
      <c r="U1215" s="23">
        <f t="shared" si="3"/>
        <v>0</v>
      </c>
      <c r="V1215" s="23">
        <f t="shared" si="4"/>
        <v>0</v>
      </c>
      <c r="W1215" s="24" t="str">
        <f t="shared" si="5"/>
        <v>#DIV/0!</v>
      </c>
    </row>
    <row r="1216" hidden="1">
      <c r="A1216" s="15" t="s">
        <v>3109</v>
      </c>
      <c r="B1216" s="18"/>
      <c r="C1216" s="15" t="s">
        <v>7855</v>
      </c>
      <c r="D1216" s="18"/>
      <c r="E1216" s="17" t="s">
        <v>3110</v>
      </c>
      <c r="F1216" s="18"/>
      <c r="G1216" s="18"/>
      <c r="H1216" s="15" t="s">
        <v>3111</v>
      </c>
      <c r="I1216" s="15" t="s">
        <v>3112</v>
      </c>
      <c r="J1216" s="19" t="s">
        <v>59</v>
      </c>
      <c r="K1216" s="19" t="s">
        <v>2382</v>
      </c>
      <c r="L1216" s="19" t="s">
        <v>38</v>
      </c>
      <c r="M1216" s="20">
        <f t="shared" si="1"/>
        <v>0</v>
      </c>
      <c r="N1216" s="22"/>
      <c r="O1216" s="19" t="s">
        <v>1145</v>
      </c>
      <c r="P1216" s="18"/>
      <c r="Q1216" s="18"/>
      <c r="R1216" s="23">
        <v>0.0</v>
      </c>
      <c r="S1216" s="23">
        <v>0.0</v>
      </c>
      <c r="T1216" s="23">
        <f t="shared" si="2"/>
        <v>0</v>
      </c>
      <c r="U1216" s="23">
        <f t="shared" si="3"/>
        <v>0</v>
      </c>
      <c r="V1216" s="23">
        <f t="shared" si="4"/>
        <v>0</v>
      </c>
      <c r="W1216" s="24" t="str">
        <f t="shared" si="5"/>
        <v>#DIV/0!</v>
      </c>
    </row>
    <row r="1217" hidden="1">
      <c r="A1217" s="15" t="s">
        <v>3113</v>
      </c>
      <c r="B1217" s="18"/>
      <c r="C1217" s="15" t="s">
        <v>7856</v>
      </c>
      <c r="D1217" s="18"/>
      <c r="E1217" s="17" t="s">
        <v>3114</v>
      </c>
      <c r="F1217" s="18"/>
      <c r="G1217" s="18"/>
      <c r="H1217" s="15" t="s">
        <v>3115</v>
      </c>
      <c r="I1217" s="15" t="s">
        <v>3116</v>
      </c>
      <c r="J1217" s="19" t="s">
        <v>59</v>
      </c>
      <c r="K1217" s="19" t="s">
        <v>2382</v>
      </c>
      <c r="L1217" s="19" t="s">
        <v>38</v>
      </c>
      <c r="M1217" s="20">
        <f t="shared" si="1"/>
        <v>0</v>
      </c>
      <c r="N1217" s="22"/>
      <c r="O1217" s="19" t="s">
        <v>1145</v>
      </c>
      <c r="P1217" s="18"/>
      <c r="Q1217" s="18"/>
      <c r="R1217" s="23">
        <v>0.0</v>
      </c>
      <c r="S1217" s="23">
        <v>0.0</v>
      </c>
      <c r="T1217" s="23">
        <f t="shared" si="2"/>
        <v>0</v>
      </c>
      <c r="U1217" s="23">
        <f t="shared" si="3"/>
        <v>0</v>
      </c>
      <c r="V1217" s="23">
        <f t="shared" si="4"/>
        <v>0</v>
      </c>
      <c r="W1217" s="24" t="str">
        <f t="shared" si="5"/>
        <v>#DIV/0!</v>
      </c>
    </row>
    <row r="1218" hidden="1">
      <c r="A1218" s="15" t="s">
        <v>7857</v>
      </c>
      <c r="B1218" s="18"/>
      <c r="C1218" s="15" t="s">
        <v>7858</v>
      </c>
      <c r="D1218" s="18"/>
      <c r="E1218" s="17" t="s">
        <v>7859</v>
      </c>
      <c r="F1218" s="18"/>
      <c r="G1218" s="18"/>
      <c r="H1218" s="15" t="s">
        <v>7860</v>
      </c>
      <c r="I1218" s="15" t="s">
        <v>7861</v>
      </c>
      <c r="J1218" s="19" t="s">
        <v>59</v>
      </c>
      <c r="K1218" s="19" t="s">
        <v>2401</v>
      </c>
      <c r="L1218" s="19" t="s">
        <v>38</v>
      </c>
      <c r="M1218" s="20">
        <f t="shared" si="1"/>
        <v>0</v>
      </c>
      <c r="N1218" s="22"/>
      <c r="O1218" s="19" t="s">
        <v>39</v>
      </c>
      <c r="P1218" s="18"/>
      <c r="Q1218" s="18"/>
      <c r="R1218" s="23">
        <v>0.0</v>
      </c>
      <c r="S1218" s="23">
        <v>0.0</v>
      </c>
      <c r="T1218" s="23">
        <f t="shared" si="2"/>
        <v>0</v>
      </c>
      <c r="U1218" s="23">
        <f t="shared" si="3"/>
        <v>0</v>
      </c>
      <c r="V1218" s="23">
        <f t="shared" si="4"/>
        <v>0</v>
      </c>
      <c r="W1218" s="24" t="str">
        <f t="shared" si="5"/>
        <v>#DIV/0!</v>
      </c>
    </row>
    <row r="1219" hidden="1">
      <c r="A1219" s="15" t="s">
        <v>7862</v>
      </c>
      <c r="B1219" s="18"/>
      <c r="C1219" s="15" t="s">
        <v>7863</v>
      </c>
      <c r="D1219" s="15" t="s">
        <v>7864</v>
      </c>
      <c r="E1219" s="17" t="s">
        <v>7865</v>
      </c>
      <c r="F1219" s="18"/>
      <c r="G1219" s="18"/>
      <c r="H1219" s="15" t="s">
        <v>3984</v>
      </c>
      <c r="I1219" s="15"/>
      <c r="J1219" s="19" t="s">
        <v>59</v>
      </c>
      <c r="K1219" s="19" t="s">
        <v>2387</v>
      </c>
      <c r="L1219" s="19" t="s">
        <v>38</v>
      </c>
      <c r="M1219" s="20">
        <f t="shared" si="1"/>
        <v>0</v>
      </c>
      <c r="N1219" s="22"/>
      <c r="O1219" s="19" t="s">
        <v>39</v>
      </c>
      <c r="P1219" s="18"/>
      <c r="Q1219" s="18"/>
      <c r="R1219" s="23">
        <v>0.0</v>
      </c>
      <c r="S1219" s="23">
        <v>0.0</v>
      </c>
      <c r="T1219" s="23">
        <f t="shared" si="2"/>
        <v>0</v>
      </c>
      <c r="U1219" s="23">
        <f t="shared" si="3"/>
        <v>0</v>
      </c>
      <c r="V1219" s="23">
        <f t="shared" si="4"/>
        <v>0</v>
      </c>
      <c r="W1219" s="24" t="str">
        <f t="shared" si="5"/>
        <v>#DIV/0!</v>
      </c>
    </row>
    <row r="1220" hidden="1">
      <c r="A1220" s="15" t="s">
        <v>3117</v>
      </c>
      <c r="B1220" s="18"/>
      <c r="C1220" s="15" t="s">
        <v>7866</v>
      </c>
      <c r="D1220" s="18"/>
      <c r="E1220" s="17" t="s">
        <v>3118</v>
      </c>
      <c r="F1220" s="18"/>
      <c r="G1220" s="18"/>
      <c r="H1220" s="15" t="s">
        <v>3119</v>
      </c>
      <c r="I1220" s="15" t="s">
        <v>3120</v>
      </c>
      <c r="J1220" s="19" t="s">
        <v>59</v>
      </c>
      <c r="K1220" s="19" t="s">
        <v>2387</v>
      </c>
      <c r="L1220" s="19" t="s">
        <v>38</v>
      </c>
      <c r="M1220" s="20">
        <f t="shared" si="1"/>
        <v>0</v>
      </c>
      <c r="N1220" s="22"/>
      <c r="O1220" s="19" t="s">
        <v>1145</v>
      </c>
      <c r="P1220" s="18"/>
      <c r="Q1220" s="18"/>
      <c r="R1220" s="23">
        <v>0.0</v>
      </c>
      <c r="S1220" s="23">
        <v>0.0</v>
      </c>
      <c r="T1220" s="23">
        <f t="shared" si="2"/>
        <v>0</v>
      </c>
      <c r="U1220" s="23">
        <f t="shared" si="3"/>
        <v>0</v>
      </c>
      <c r="V1220" s="23">
        <f t="shared" si="4"/>
        <v>0</v>
      </c>
      <c r="W1220" s="24" t="str">
        <f t="shared" si="5"/>
        <v>#DIV/0!</v>
      </c>
    </row>
    <row r="1221" hidden="1">
      <c r="A1221" s="15" t="s">
        <v>3121</v>
      </c>
      <c r="B1221" s="18"/>
      <c r="C1221" s="15" t="s">
        <v>7867</v>
      </c>
      <c r="D1221" s="18"/>
      <c r="E1221" s="17" t="s">
        <v>3122</v>
      </c>
      <c r="F1221" s="18"/>
      <c r="G1221" s="18"/>
      <c r="H1221" s="15" t="s">
        <v>3123</v>
      </c>
      <c r="I1221" s="15" t="s">
        <v>3124</v>
      </c>
      <c r="J1221" s="19" t="s">
        <v>59</v>
      </c>
      <c r="K1221" s="19" t="s">
        <v>2387</v>
      </c>
      <c r="L1221" s="19" t="s">
        <v>38</v>
      </c>
      <c r="M1221" s="20">
        <f t="shared" si="1"/>
        <v>0</v>
      </c>
      <c r="N1221" s="22"/>
      <c r="O1221" s="19" t="s">
        <v>1145</v>
      </c>
      <c r="P1221" s="18"/>
      <c r="Q1221" s="18"/>
      <c r="R1221" s="23">
        <v>0.0</v>
      </c>
      <c r="S1221" s="23">
        <v>0.0</v>
      </c>
      <c r="T1221" s="23">
        <f t="shared" si="2"/>
        <v>0</v>
      </c>
      <c r="U1221" s="23">
        <f t="shared" si="3"/>
        <v>0</v>
      </c>
      <c r="V1221" s="23">
        <f t="shared" si="4"/>
        <v>0</v>
      </c>
      <c r="W1221" s="24" t="str">
        <f t="shared" si="5"/>
        <v>#DIV/0!</v>
      </c>
    </row>
    <row r="1222" hidden="1">
      <c r="A1222" s="15" t="s">
        <v>7868</v>
      </c>
      <c r="B1222" s="18"/>
      <c r="C1222" s="15" t="s">
        <v>7869</v>
      </c>
      <c r="D1222" s="18"/>
      <c r="E1222" s="17" t="s">
        <v>112</v>
      </c>
      <c r="F1222" s="18"/>
      <c r="G1222" s="18"/>
      <c r="H1222" s="15" t="s">
        <v>7870</v>
      </c>
      <c r="I1222" s="15" t="s">
        <v>7871</v>
      </c>
      <c r="J1222" s="19" t="s">
        <v>59</v>
      </c>
      <c r="K1222" s="19" t="s">
        <v>2387</v>
      </c>
      <c r="L1222" s="19" t="s">
        <v>38</v>
      </c>
      <c r="M1222" s="20">
        <f t="shared" si="1"/>
        <v>0</v>
      </c>
      <c r="N1222" s="22"/>
      <c r="O1222" s="19" t="s">
        <v>39</v>
      </c>
      <c r="P1222" s="18"/>
      <c r="Q1222" s="18"/>
      <c r="R1222" s="23">
        <v>0.0</v>
      </c>
      <c r="S1222" s="23">
        <v>0.0</v>
      </c>
      <c r="T1222" s="23">
        <f t="shared" si="2"/>
        <v>0</v>
      </c>
      <c r="U1222" s="23">
        <f t="shared" si="3"/>
        <v>0</v>
      </c>
      <c r="V1222" s="23">
        <f t="shared" si="4"/>
        <v>0</v>
      </c>
      <c r="W1222" s="24" t="str">
        <f t="shared" si="5"/>
        <v>#DIV/0!</v>
      </c>
    </row>
    <row r="1223" hidden="1">
      <c r="A1223" s="15" t="s">
        <v>3125</v>
      </c>
      <c r="B1223" s="18"/>
      <c r="C1223" s="15" t="s">
        <v>7872</v>
      </c>
      <c r="D1223" s="18"/>
      <c r="E1223" s="17" t="s">
        <v>3126</v>
      </c>
      <c r="F1223" s="18"/>
      <c r="G1223" s="18"/>
      <c r="H1223" s="15" t="s">
        <v>3127</v>
      </c>
      <c r="I1223" s="15" t="s">
        <v>3128</v>
      </c>
      <c r="J1223" s="19" t="s">
        <v>59</v>
      </c>
      <c r="K1223" s="19" t="s">
        <v>2401</v>
      </c>
      <c r="L1223" s="19" t="s">
        <v>38</v>
      </c>
      <c r="M1223" s="20">
        <f t="shared" si="1"/>
        <v>0</v>
      </c>
      <c r="N1223" s="22"/>
      <c r="O1223" s="19" t="s">
        <v>1145</v>
      </c>
      <c r="P1223" s="18"/>
      <c r="Q1223" s="18"/>
      <c r="R1223" s="23">
        <v>0.0</v>
      </c>
      <c r="S1223" s="23">
        <v>0.0</v>
      </c>
      <c r="T1223" s="23">
        <f t="shared" si="2"/>
        <v>0</v>
      </c>
      <c r="U1223" s="23">
        <f t="shared" si="3"/>
        <v>0</v>
      </c>
      <c r="V1223" s="23">
        <f t="shared" si="4"/>
        <v>0</v>
      </c>
      <c r="W1223" s="24" t="str">
        <f t="shared" si="5"/>
        <v>#DIV/0!</v>
      </c>
    </row>
    <row r="1224" hidden="1">
      <c r="A1224" s="15" t="s">
        <v>3129</v>
      </c>
      <c r="B1224" s="18"/>
      <c r="C1224" s="15" t="s">
        <v>7873</v>
      </c>
      <c r="D1224" s="18"/>
      <c r="E1224" s="17" t="s">
        <v>3126</v>
      </c>
      <c r="F1224" s="18"/>
      <c r="G1224" s="18"/>
      <c r="H1224" s="15" t="s">
        <v>3130</v>
      </c>
      <c r="I1224" s="15" t="s">
        <v>3131</v>
      </c>
      <c r="J1224" s="19" t="s">
        <v>59</v>
      </c>
      <c r="K1224" s="19" t="s">
        <v>2401</v>
      </c>
      <c r="L1224" s="19" t="s">
        <v>38</v>
      </c>
      <c r="M1224" s="20">
        <f t="shared" si="1"/>
        <v>0</v>
      </c>
      <c r="N1224" s="22"/>
      <c r="O1224" s="19" t="s">
        <v>1145</v>
      </c>
      <c r="P1224" s="18"/>
      <c r="Q1224" s="18"/>
      <c r="R1224" s="23">
        <v>0.0</v>
      </c>
      <c r="S1224" s="23">
        <v>0.0</v>
      </c>
      <c r="T1224" s="23">
        <f t="shared" si="2"/>
        <v>0</v>
      </c>
      <c r="U1224" s="23">
        <f t="shared" si="3"/>
        <v>0</v>
      </c>
      <c r="V1224" s="23">
        <f t="shared" si="4"/>
        <v>0</v>
      </c>
      <c r="W1224" s="24" t="str">
        <f t="shared" si="5"/>
        <v>#DIV/0!</v>
      </c>
    </row>
    <row r="1225">
      <c r="A1225" s="15" t="s">
        <v>303</v>
      </c>
      <c r="B1225" s="15" t="s">
        <v>304</v>
      </c>
      <c r="C1225" s="15" t="s">
        <v>6092</v>
      </c>
      <c r="D1225" s="15" t="s">
        <v>305</v>
      </c>
      <c r="E1225" s="17" t="s">
        <v>6093</v>
      </c>
      <c r="F1225" s="18"/>
      <c r="G1225" s="18"/>
      <c r="H1225" s="15" t="s">
        <v>307</v>
      </c>
      <c r="I1225" s="18"/>
      <c r="J1225" s="19" t="s">
        <v>59</v>
      </c>
      <c r="K1225" s="19" t="s">
        <v>60</v>
      </c>
      <c r="L1225" s="19" t="s">
        <v>38</v>
      </c>
      <c r="M1225" s="20">
        <f t="shared" si="1"/>
        <v>1012.32</v>
      </c>
      <c r="N1225" s="31">
        <v>5.0</v>
      </c>
      <c r="O1225" s="19" t="s">
        <v>107</v>
      </c>
      <c r="P1225" s="18"/>
      <c r="Q1225" s="18"/>
      <c r="R1225" s="23">
        <v>7.0</v>
      </c>
      <c r="S1225" s="23">
        <v>57.0</v>
      </c>
      <c r="T1225" s="23">
        <f t="shared" si="2"/>
        <v>54.72</v>
      </c>
      <c r="U1225" s="23">
        <f t="shared" si="3"/>
        <v>8.575</v>
      </c>
      <c r="V1225" s="23">
        <f t="shared" si="4"/>
        <v>160.78125</v>
      </c>
      <c r="W1225" s="24">
        <f t="shared" si="5"/>
        <v>7.817142857</v>
      </c>
    </row>
    <row r="1226">
      <c r="A1226" s="15" t="s">
        <v>581</v>
      </c>
      <c r="B1226" s="15" t="s">
        <v>582</v>
      </c>
      <c r="C1226" s="15" t="s">
        <v>7874</v>
      </c>
      <c r="D1226" s="15" t="s">
        <v>583</v>
      </c>
      <c r="E1226" s="17" t="s">
        <v>584</v>
      </c>
      <c r="F1226" s="18"/>
      <c r="G1226" s="18"/>
      <c r="H1226" s="15" t="s">
        <v>585</v>
      </c>
      <c r="I1226" s="18"/>
      <c r="J1226" s="19" t="s">
        <v>59</v>
      </c>
      <c r="K1226" s="33"/>
      <c r="L1226" s="19" t="s">
        <v>38</v>
      </c>
      <c r="M1226" s="20">
        <f t="shared" si="1"/>
        <v>14492.16</v>
      </c>
      <c r="N1226" s="31">
        <v>2.0</v>
      </c>
      <c r="O1226" s="19" t="s">
        <v>107</v>
      </c>
      <c r="P1226" s="18"/>
      <c r="Q1226" s="18"/>
      <c r="R1226" s="23">
        <v>145.0</v>
      </c>
      <c r="S1226" s="23">
        <v>816.0</v>
      </c>
      <c r="T1226" s="23">
        <f t="shared" si="2"/>
        <v>783.36</v>
      </c>
      <c r="U1226" s="23">
        <f t="shared" si="3"/>
        <v>177.625</v>
      </c>
      <c r="V1226" s="23">
        <f t="shared" si="4"/>
        <v>3330.46875</v>
      </c>
      <c r="W1226" s="24">
        <f t="shared" si="5"/>
        <v>5.402482759</v>
      </c>
    </row>
    <row r="1227">
      <c r="A1227" s="15" t="s">
        <v>374</v>
      </c>
      <c r="B1227" s="15" t="s">
        <v>375</v>
      </c>
      <c r="C1227" s="15" t="s">
        <v>6111</v>
      </c>
      <c r="D1227" s="15" t="s">
        <v>6112</v>
      </c>
      <c r="E1227" s="17" t="s">
        <v>377</v>
      </c>
      <c r="F1227" s="18"/>
      <c r="G1227" s="18"/>
      <c r="H1227" s="15" t="s">
        <v>378</v>
      </c>
      <c r="I1227" s="15"/>
      <c r="J1227" s="19" t="s">
        <v>59</v>
      </c>
      <c r="K1227" s="19" t="s">
        <v>60</v>
      </c>
      <c r="L1227" s="19" t="s">
        <v>38</v>
      </c>
      <c r="M1227" s="20">
        <f t="shared" si="1"/>
        <v>444</v>
      </c>
      <c r="N1227" s="31">
        <v>15.0</v>
      </c>
      <c r="O1227" s="19" t="s">
        <v>107</v>
      </c>
      <c r="P1227" s="18"/>
      <c r="Q1227" s="18"/>
      <c r="R1227" s="23">
        <v>3.3</v>
      </c>
      <c r="S1227" s="23">
        <v>25.0</v>
      </c>
      <c r="T1227" s="23">
        <f t="shared" si="2"/>
        <v>24</v>
      </c>
      <c r="U1227" s="23">
        <f t="shared" si="3"/>
        <v>4.0425</v>
      </c>
      <c r="V1227" s="23">
        <f t="shared" si="4"/>
        <v>75.796875</v>
      </c>
      <c r="W1227" s="24">
        <f t="shared" si="5"/>
        <v>7.272727273</v>
      </c>
    </row>
    <row r="1228" hidden="1">
      <c r="A1228" s="15" t="s">
        <v>5200</v>
      </c>
      <c r="B1228" s="18"/>
      <c r="C1228" s="15" t="s">
        <v>7875</v>
      </c>
      <c r="D1228" s="18"/>
      <c r="E1228" s="17" t="s">
        <v>7876</v>
      </c>
      <c r="F1228" s="18"/>
      <c r="G1228" s="18"/>
      <c r="H1228" s="15" t="s">
        <v>7877</v>
      </c>
      <c r="I1228" s="15" t="s">
        <v>5203</v>
      </c>
      <c r="J1228" s="19" t="s">
        <v>59</v>
      </c>
      <c r="K1228" s="19" t="s">
        <v>2396</v>
      </c>
      <c r="L1228" s="19" t="s">
        <v>38</v>
      </c>
      <c r="M1228" s="20">
        <f t="shared" si="1"/>
        <v>0</v>
      </c>
      <c r="N1228" s="22"/>
      <c r="O1228" s="19" t="s">
        <v>1145</v>
      </c>
      <c r="P1228" s="18"/>
      <c r="Q1228" s="18"/>
      <c r="R1228" s="23">
        <v>0.0</v>
      </c>
      <c r="S1228" s="23">
        <v>0.0</v>
      </c>
      <c r="T1228" s="23">
        <f t="shared" si="2"/>
        <v>0</v>
      </c>
      <c r="U1228" s="23">
        <f t="shared" si="3"/>
        <v>0</v>
      </c>
      <c r="V1228" s="23">
        <f t="shared" si="4"/>
        <v>0</v>
      </c>
      <c r="W1228" s="24" t="str">
        <f t="shared" si="5"/>
        <v>#DIV/0!</v>
      </c>
    </row>
    <row r="1229" hidden="1">
      <c r="A1229" s="15" t="s">
        <v>5204</v>
      </c>
      <c r="B1229" s="18"/>
      <c r="C1229" s="15" t="s">
        <v>7878</v>
      </c>
      <c r="D1229" s="18"/>
      <c r="E1229" s="17" t="s">
        <v>7879</v>
      </c>
      <c r="F1229" s="18"/>
      <c r="G1229" s="18"/>
      <c r="H1229" s="15" t="s">
        <v>7880</v>
      </c>
      <c r="I1229" s="15" t="s">
        <v>5207</v>
      </c>
      <c r="J1229" s="19" t="s">
        <v>59</v>
      </c>
      <c r="K1229" s="19" t="s">
        <v>2396</v>
      </c>
      <c r="L1229" s="19" t="s">
        <v>38</v>
      </c>
      <c r="M1229" s="20">
        <f t="shared" si="1"/>
        <v>0</v>
      </c>
      <c r="N1229" s="22"/>
      <c r="O1229" s="19" t="s">
        <v>1145</v>
      </c>
      <c r="P1229" s="18"/>
      <c r="Q1229" s="18"/>
      <c r="R1229" s="23">
        <v>0.0</v>
      </c>
      <c r="S1229" s="23">
        <v>0.0</v>
      </c>
      <c r="T1229" s="23">
        <f t="shared" si="2"/>
        <v>0</v>
      </c>
      <c r="U1229" s="23">
        <f t="shared" si="3"/>
        <v>0</v>
      </c>
      <c r="V1229" s="23">
        <f t="shared" si="4"/>
        <v>0</v>
      </c>
      <c r="W1229" s="24" t="str">
        <f t="shared" si="5"/>
        <v>#DIV/0!</v>
      </c>
    </row>
    <row r="1230" hidden="1">
      <c r="A1230" s="15" t="s">
        <v>5208</v>
      </c>
      <c r="B1230" s="18"/>
      <c r="C1230" s="15" t="s">
        <v>7881</v>
      </c>
      <c r="D1230" s="18"/>
      <c r="E1230" s="17" t="s">
        <v>7882</v>
      </c>
      <c r="F1230" s="18"/>
      <c r="G1230" s="18"/>
      <c r="H1230" s="15" t="s">
        <v>7883</v>
      </c>
      <c r="I1230" s="15" t="s">
        <v>5211</v>
      </c>
      <c r="J1230" s="19" t="s">
        <v>59</v>
      </c>
      <c r="K1230" s="19" t="s">
        <v>691</v>
      </c>
      <c r="L1230" s="19" t="s">
        <v>38</v>
      </c>
      <c r="M1230" s="20">
        <f t="shared" si="1"/>
        <v>0</v>
      </c>
      <c r="N1230" s="22"/>
      <c r="O1230" s="19" t="s">
        <v>1145</v>
      </c>
      <c r="P1230" s="18"/>
      <c r="Q1230" s="18"/>
      <c r="R1230" s="23">
        <v>0.0</v>
      </c>
      <c r="S1230" s="23">
        <v>0.0</v>
      </c>
      <c r="T1230" s="23">
        <f t="shared" si="2"/>
        <v>0</v>
      </c>
      <c r="U1230" s="23">
        <f t="shared" si="3"/>
        <v>0</v>
      </c>
      <c r="V1230" s="23">
        <f t="shared" si="4"/>
        <v>0</v>
      </c>
      <c r="W1230" s="24" t="str">
        <f t="shared" si="5"/>
        <v>#DIV/0!</v>
      </c>
    </row>
    <row r="1231" hidden="1">
      <c r="A1231" s="15" t="s">
        <v>3132</v>
      </c>
      <c r="B1231" s="18"/>
      <c r="C1231" s="15" t="s">
        <v>7884</v>
      </c>
      <c r="D1231" s="18"/>
      <c r="E1231" s="17" t="s">
        <v>3133</v>
      </c>
      <c r="F1231" s="18"/>
      <c r="G1231" s="18"/>
      <c r="H1231" s="15" t="s">
        <v>3134</v>
      </c>
      <c r="I1231" s="15" t="s">
        <v>2505</v>
      </c>
      <c r="J1231" s="19" t="s">
        <v>59</v>
      </c>
      <c r="K1231" s="19" t="s">
        <v>691</v>
      </c>
      <c r="L1231" s="19" t="s">
        <v>38</v>
      </c>
      <c r="M1231" s="20">
        <f t="shared" si="1"/>
        <v>0</v>
      </c>
      <c r="N1231" s="22"/>
      <c r="O1231" s="19" t="s">
        <v>1145</v>
      </c>
      <c r="P1231" s="18"/>
      <c r="Q1231" s="18"/>
      <c r="R1231" s="23">
        <v>0.0</v>
      </c>
      <c r="S1231" s="23">
        <v>0.0</v>
      </c>
      <c r="T1231" s="23">
        <f t="shared" si="2"/>
        <v>0</v>
      </c>
      <c r="U1231" s="23">
        <f t="shared" si="3"/>
        <v>0</v>
      </c>
      <c r="V1231" s="23">
        <f t="shared" si="4"/>
        <v>0</v>
      </c>
      <c r="W1231" s="24" t="str">
        <f t="shared" si="5"/>
        <v>#DIV/0!</v>
      </c>
    </row>
    <row r="1232" hidden="1">
      <c r="A1232" s="15" t="s">
        <v>3135</v>
      </c>
      <c r="B1232" s="18"/>
      <c r="C1232" s="15" t="s">
        <v>7885</v>
      </c>
      <c r="D1232" s="18"/>
      <c r="E1232" s="17" t="s">
        <v>3136</v>
      </c>
      <c r="F1232" s="18"/>
      <c r="G1232" s="18"/>
      <c r="H1232" s="15" t="s">
        <v>3137</v>
      </c>
      <c r="I1232" s="15" t="s">
        <v>3138</v>
      </c>
      <c r="J1232" s="19" t="s">
        <v>59</v>
      </c>
      <c r="K1232" s="19" t="s">
        <v>2382</v>
      </c>
      <c r="L1232" s="19" t="s">
        <v>38</v>
      </c>
      <c r="M1232" s="20">
        <f t="shared" si="1"/>
        <v>0</v>
      </c>
      <c r="N1232" s="22"/>
      <c r="O1232" s="19" t="s">
        <v>1145</v>
      </c>
      <c r="P1232" s="18"/>
      <c r="Q1232" s="18"/>
      <c r="R1232" s="23">
        <v>0.0</v>
      </c>
      <c r="S1232" s="23">
        <v>0.0</v>
      </c>
      <c r="T1232" s="23">
        <f t="shared" si="2"/>
        <v>0</v>
      </c>
      <c r="U1232" s="23">
        <f t="shared" si="3"/>
        <v>0</v>
      </c>
      <c r="V1232" s="23">
        <f t="shared" si="4"/>
        <v>0</v>
      </c>
      <c r="W1232" s="24" t="str">
        <f t="shared" si="5"/>
        <v>#DIV/0!</v>
      </c>
    </row>
    <row r="1233" hidden="1">
      <c r="A1233" s="15" t="s">
        <v>5212</v>
      </c>
      <c r="B1233" s="15" t="s">
        <v>5213</v>
      </c>
      <c r="C1233" s="15" t="s">
        <v>7886</v>
      </c>
      <c r="D1233" s="15" t="s">
        <v>5214</v>
      </c>
      <c r="E1233" s="17" t="s">
        <v>5215</v>
      </c>
      <c r="F1233" s="18"/>
      <c r="G1233" s="18"/>
      <c r="H1233" s="15" t="s">
        <v>5216</v>
      </c>
      <c r="I1233" s="18"/>
      <c r="J1233" s="19" t="s">
        <v>59</v>
      </c>
      <c r="K1233" s="19" t="s">
        <v>60</v>
      </c>
      <c r="L1233" s="19" t="s">
        <v>38</v>
      </c>
      <c r="M1233" s="20">
        <f t="shared" si="1"/>
        <v>0</v>
      </c>
      <c r="N1233" s="22"/>
      <c r="O1233" s="19" t="s">
        <v>3578</v>
      </c>
      <c r="P1233" s="18"/>
      <c r="Q1233" s="18"/>
      <c r="R1233" s="23">
        <v>0.0</v>
      </c>
      <c r="S1233" s="23">
        <v>0.0</v>
      </c>
      <c r="T1233" s="23">
        <f t="shared" si="2"/>
        <v>0</v>
      </c>
      <c r="U1233" s="23">
        <f t="shared" si="3"/>
        <v>0</v>
      </c>
      <c r="V1233" s="23">
        <f t="shared" si="4"/>
        <v>0</v>
      </c>
      <c r="W1233" s="24" t="str">
        <f t="shared" si="5"/>
        <v>#DIV/0!</v>
      </c>
    </row>
    <row r="1234">
      <c r="A1234" s="15" t="s">
        <v>390</v>
      </c>
      <c r="B1234" s="15" t="s">
        <v>391</v>
      </c>
      <c r="C1234" s="15" t="s">
        <v>7887</v>
      </c>
      <c r="D1234" s="15" t="s">
        <v>392</v>
      </c>
      <c r="E1234" s="17" t="s">
        <v>393</v>
      </c>
      <c r="F1234" s="18"/>
      <c r="G1234" s="18"/>
      <c r="H1234" s="15" t="s">
        <v>5994</v>
      </c>
      <c r="I1234" s="18"/>
      <c r="J1234" s="19" t="s">
        <v>59</v>
      </c>
      <c r="K1234" s="19" t="s">
        <v>60</v>
      </c>
      <c r="L1234" s="19" t="s">
        <v>38</v>
      </c>
      <c r="M1234" s="20">
        <f t="shared" si="1"/>
        <v>10478.4</v>
      </c>
      <c r="N1234" s="31">
        <v>2.0</v>
      </c>
      <c r="O1234" s="19" t="s">
        <v>107</v>
      </c>
      <c r="P1234" s="18"/>
      <c r="Q1234" s="18"/>
      <c r="R1234" s="23">
        <v>80.0</v>
      </c>
      <c r="S1234" s="23">
        <v>590.0</v>
      </c>
      <c r="T1234" s="23">
        <f t="shared" si="2"/>
        <v>566.4</v>
      </c>
      <c r="U1234" s="23">
        <f t="shared" si="3"/>
        <v>98</v>
      </c>
      <c r="V1234" s="23">
        <f t="shared" si="4"/>
        <v>1837.5</v>
      </c>
      <c r="W1234" s="24">
        <f t="shared" si="5"/>
        <v>7.08</v>
      </c>
    </row>
    <row r="1235" hidden="1">
      <c r="A1235" s="15" t="s">
        <v>3139</v>
      </c>
      <c r="B1235" s="18"/>
      <c r="C1235" s="15" t="s">
        <v>7888</v>
      </c>
      <c r="D1235" s="18"/>
      <c r="E1235" s="17" t="s">
        <v>3140</v>
      </c>
      <c r="F1235" s="18"/>
      <c r="G1235" s="18"/>
      <c r="H1235" s="15" t="s">
        <v>3141</v>
      </c>
      <c r="I1235" s="15" t="s">
        <v>3142</v>
      </c>
      <c r="J1235" s="19" t="s">
        <v>59</v>
      </c>
      <c r="K1235" s="19" t="s">
        <v>2396</v>
      </c>
      <c r="L1235" s="19" t="s">
        <v>38</v>
      </c>
      <c r="M1235" s="20">
        <f t="shared" si="1"/>
        <v>0</v>
      </c>
      <c r="N1235" s="22"/>
      <c r="O1235" s="19" t="s">
        <v>1145</v>
      </c>
      <c r="P1235" s="18"/>
      <c r="Q1235" s="18"/>
      <c r="R1235" s="23">
        <v>0.0</v>
      </c>
      <c r="S1235" s="23">
        <v>0.0</v>
      </c>
      <c r="T1235" s="23">
        <f t="shared" si="2"/>
        <v>0</v>
      </c>
      <c r="U1235" s="23">
        <f t="shared" si="3"/>
        <v>0</v>
      </c>
      <c r="V1235" s="23">
        <f t="shared" si="4"/>
        <v>0</v>
      </c>
      <c r="W1235" s="24" t="str">
        <f t="shared" si="5"/>
        <v>#DIV/0!</v>
      </c>
    </row>
    <row r="1236" hidden="1">
      <c r="A1236" s="15" t="s">
        <v>5217</v>
      </c>
      <c r="B1236" s="18"/>
      <c r="C1236" s="15" t="s">
        <v>7889</v>
      </c>
      <c r="D1236" s="18"/>
      <c r="E1236" s="17" t="s">
        <v>7890</v>
      </c>
      <c r="F1236" s="18"/>
      <c r="G1236" s="18"/>
      <c r="H1236" s="15" t="s">
        <v>5221</v>
      </c>
      <c r="I1236" s="15" t="s">
        <v>5220</v>
      </c>
      <c r="J1236" s="19" t="s">
        <v>59</v>
      </c>
      <c r="K1236" s="19" t="s">
        <v>2396</v>
      </c>
      <c r="L1236" s="19" t="s">
        <v>38</v>
      </c>
      <c r="M1236" s="20">
        <f t="shared" si="1"/>
        <v>0</v>
      </c>
      <c r="N1236" s="22"/>
      <c r="O1236" s="19" t="s">
        <v>1145</v>
      </c>
      <c r="P1236" s="18"/>
      <c r="Q1236" s="18"/>
      <c r="R1236" s="23">
        <v>0.0</v>
      </c>
      <c r="S1236" s="23">
        <v>0.0</v>
      </c>
      <c r="T1236" s="23">
        <f t="shared" si="2"/>
        <v>0</v>
      </c>
      <c r="U1236" s="23">
        <f t="shared" si="3"/>
        <v>0</v>
      </c>
      <c r="V1236" s="23">
        <f t="shared" si="4"/>
        <v>0</v>
      </c>
      <c r="W1236" s="24" t="str">
        <f t="shared" si="5"/>
        <v>#DIV/0!</v>
      </c>
    </row>
    <row r="1237" hidden="1">
      <c r="A1237" s="15" t="s">
        <v>3143</v>
      </c>
      <c r="B1237" s="18"/>
      <c r="C1237" s="15" t="s">
        <v>7891</v>
      </c>
      <c r="D1237" s="18"/>
      <c r="E1237" s="17" t="s">
        <v>3144</v>
      </c>
      <c r="F1237" s="18"/>
      <c r="G1237" s="18"/>
      <c r="H1237" s="15" t="s">
        <v>3145</v>
      </c>
      <c r="I1237" s="15" t="s">
        <v>2844</v>
      </c>
      <c r="J1237" s="19" t="s">
        <v>59</v>
      </c>
      <c r="K1237" s="19" t="s">
        <v>2396</v>
      </c>
      <c r="L1237" s="19" t="s">
        <v>38</v>
      </c>
      <c r="M1237" s="20">
        <f t="shared" si="1"/>
        <v>0</v>
      </c>
      <c r="N1237" s="22"/>
      <c r="O1237" s="19" t="s">
        <v>1145</v>
      </c>
      <c r="P1237" s="18"/>
      <c r="Q1237" s="18"/>
      <c r="R1237" s="23">
        <v>0.0</v>
      </c>
      <c r="S1237" s="23">
        <v>0.0</v>
      </c>
      <c r="T1237" s="23">
        <f t="shared" si="2"/>
        <v>0</v>
      </c>
      <c r="U1237" s="23">
        <f t="shared" si="3"/>
        <v>0</v>
      </c>
      <c r="V1237" s="23">
        <f t="shared" si="4"/>
        <v>0</v>
      </c>
      <c r="W1237" s="24" t="str">
        <f t="shared" si="5"/>
        <v>#DIV/0!</v>
      </c>
    </row>
    <row r="1238" hidden="1">
      <c r="A1238" s="15" t="s">
        <v>5222</v>
      </c>
      <c r="B1238" s="18"/>
      <c r="C1238" s="15" t="s">
        <v>7892</v>
      </c>
      <c r="D1238" s="18"/>
      <c r="E1238" s="17" t="s">
        <v>3144</v>
      </c>
      <c r="F1238" s="18"/>
      <c r="G1238" s="18"/>
      <c r="H1238" s="15" t="s">
        <v>7893</v>
      </c>
      <c r="I1238" s="15" t="s">
        <v>5225</v>
      </c>
      <c r="J1238" s="19" t="s">
        <v>59</v>
      </c>
      <c r="K1238" s="19" t="s">
        <v>2396</v>
      </c>
      <c r="L1238" s="19" t="s">
        <v>38</v>
      </c>
      <c r="M1238" s="20">
        <f t="shared" si="1"/>
        <v>0</v>
      </c>
      <c r="N1238" s="22"/>
      <c r="O1238" s="19" t="s">
        <v>1145</v>
      </c>
      <c r="P1238" s="18"/>
      <c r="Q1238" s="18"/>
      <c r="R1238" s="23">
        <v>0.0</v>
      </c>
      <c r="S1238" s="23">
        <v>0.0</v>
      </c>
      <c r="T1238" s="23">
        <f t="shared" si="2"/>
        <v>0</v>
      </c>
      <c r="U1238" s="23">
        <f t="shared" si="3"/>
        <v>0</v>
      </c>
      <c r="V1238" s="23">
        <f t="shared" si="4"/>
        <v>0</v>
      </c>
      <c r="W1238" s="24" t="str">
        <f t="shared" si="5"/>
        <v>#DIV/0!</v>
      </c>
    </row>
    <row r="1239">
      <c r="A1239" s="15" t="s">
        <v>166</v>
      </c>
      <c r="B1239" s="15" t="s">
        <v>167</v>
      </c>
      <c r="C1239" s="15" t="s">
        <v>6048</v>
      </c>
      <c r="D1239" s="15" t="s">
        <v>168</v>
      </c>
      <c r="E1239" s="17" t="s">
        <v>169</v>
      </c>
      <c r="F1239" s="18"/>
      <c r="G1239" s="18"/>
      <c r="H1239" s="15" t="s">
        <v>170</v>
      </c>
      <c r="I1239" s="18"/>
      <c r="J1239" s="19" t="s">
        <v>59</v>
      </c>
      <c r="K1239" s="19" t="s">
        <v>60</v>
      </c>
      <c r="L1239" s="19" t="s">
        <v>115</v>
      </c>
      <c r="M1239" s="20">
        <f t="shared" si="1"/>
        <v>5256.96</v>
      </c>
      <c r="N1239" s="31">
        <v>4.0</v>
      </c>
      <c r="O1239" s="19" t="s">
        <v>107</v>
      </c>
      <c r="P1239" s="18"/>
      <c r="Q1239" s="18"/>
      <c r="R1239" s="23">
        <v>21.0</v>
      </c>
      <c r="S1239" s="23">
        <v>296.0</v>
      </c>
      <c r="T1239" s="23">
        <f t="shared" si="2"/>
        <v>284.16</v>
      </c>
      <c r="U1239" s="23">
        <f t="shared" si="3"/>
        <v>25.725</v>
      </c>
      <c r="V1239" s="23">
        <f t="shared" si="4"/>
        <v>482.34375</v>
      </c>
      <c r="W1239" s="24">
        <f t="shared" si="5"/>
        <v>13.53142857</v>
      </c>
    </row>
    <row r="1240" hidden="1">
      <c r="A1240" s="15" t="s">
        <v>7894</v>
      </c>
      <c r="B1240" s="18"/>
      <c r="C1240" s="15" t="s">
        <v>7895</v>
      </c>
      <c r="D1240" s="18"/>
      <c r="E1240" s="17" t="s">
        <v>7896</v>
      </c>
      <c r="F1240" s="18"/>
      <c r="G1240" s="18"/>
      <c r="H1240" s="15" t="s">
        <v>7897</v>
      </c>
      <c r="I1240" s="15" t="s">
        <v>170</v>
      </c>
      <c r="J1240" s="19" t="s">
        <v>59</v>
      </c>
      <c r="K1240" s="19" t="s">
        <v>691</v>
      </c>
      <c r="L1240" s="19" t="s">
        <v>38</v>
      </c>
      <c r="M1240" s="20">
        <f t="shared" si="1"/>
        <v>0</v>
      </c>
      <c r="N1240" s="22"/>
      <c r="O1240" s="19" t="s">
        <v>39</v>
      </c>
      <c r="P1240" s="18"/>
      <c r="Q1240" s="18"/>
      <c r="R1240" s="23">
        <v>0.0</v>
      </c>
      <c r="S1240" s="23">
        <v>0.0</v>
      </c>
      <c r="T1240" s="23">
        <f t="shared" si="2"/>
        <v>0</v>
      </c>
      <c r="U1240" s="23">
        <f t="shared" si="3"/>
        <v>0</v>
      </c>
      <c r="V1240" s="23">
        <f t="shared" si="4"/>
        <v>0</v>
      </c>
      <c r="W1240" s="24" t="str">
        <f t="shared" si="5"/>
        <v>#DIV/0!</v>
      </c>
    </row>
    <row r="1241" hidden="1">
      <c r="A1241" s="15" t="s">
        <v>3146</v>
      </c>
      <c r="B1241" s="18"/>
      <c r="C1241" s="15" t="s">
        <v>7898</v>
      </c>
      <c r="D1241" s="18"/>
      <c r="E1241" s="17" t="s">
        <v>3147</v>
      </c>
      <c r="F1241" s="18"/>
      <c r="G1241" s="18"/>
      <c r="H1241" s="15" t="s">
        <v>3148</v>
      </c>
      <c r="I1241" s="15" t="s">
        <v>3149</v>
      </c>
      <c r="J1241" s="19" t="s">
        <v>59</v>
      </c>
      <c r="K1241" s="19" t="s">
        <v>2387</v>
      </c>
      <c r="L1241" s="19" t="s">
        <v>38</v>
      </c>
      <c r="M1241" s="20">
        <f t="shared" si="1"/>
        <v>0</v>
      </c>
      <c r="N1241" s="22"/>
      <c r="O1241" s="19" t="s">
        <v>1145</v>
      </c>
      <c r="P1241" s="18"/>
      <c r="Q1241" s="18"/>
      <c r="R1241" s="23">
        <v>0.0</v>
      </c>
      <c r="S1241" s="23">
        <v>0.0</v>
      </c>
      <c r="T1241" s="23">
        <f t="shared" si="2"/>
        <v>0</v>
      </c>
      <c r="U1241" s="23">
        <f t="shared" si="3"/>
        <v>0</v>
      </c>
      <c r="V1241" s="23">
        <f t="shared" si="4"/>
        <v>0</v>
      </c>
      <c r="W1241" s="24" t="str">
        <f t="shared" si="5"/>
        <v>#DIV/0!</v>
      </c>
    </row>
    <row r="1242" hidden="1">
      <c r="A1242" s="15" t="s">
        <v>3150</v>
      </c>
      <c r="B1242" s="18"/>
      <c r="C1242" s="15" t="s">
        <v>7899</v>
      </c>
      <c r="D1242" s="18"/>
      <c r="E1242" s="17" t="s">
        <v>3151</v>
      </c>
      <c r="F1242" s="18"/>
      <c r="G1242" s="18"/>
      <c r="H1242" s="15" t="s">
        <v>3152</v>
      </c>
      <c r="I1242" s="15" t="s">
        <v>3153</v>
      </c>
      <c r="J1242" s="19" t="s">
        <v>59</v>
      </c>
      <c r="K1242" s="19" t="s">
        <v>691</v>
      </c>
      <c r="L1242" s="19" t="s">
        <v>38</v>
      </c>
      <c r="M1242" s="20">
        <f t="shared" si="1"/>
        <v>0</v>
      </c>
      <c r="N1242" s="22"/>
      <c r="O1242" s="19" t="s">
        <v>1145</v>
      </c>
      <c r="P1242" s="18"/>
      <c r="Q1242" s="18"/>
      <c r="R1242" s="23">
        <v>0.0</v>
      </c>
      <c r="S1242" s="23">
        <v>0.0</v>
      </c>
      <c r="T1242" s="23">
        <f t="shared" si="2"/>
        <v>0</v>
      </c>
      <c r="U1242" s="23">
        <f t="shared" si="3"/>
        <v>0</v>
      </c>
      <c r="V1242" s="23">
        <f t="shared" si="4"/>
        <v>0</v>
      </c>
      <c r="W1242" s="24" t="str">
        <f t="shared" si="5"/>
        <v>#DIV/0!</v>
      </c>
    </row>
    <row r="1243" hidden="1">
      <c r="A1243" s="15" t="s">
        <v>7900</v>
      </c>
      <c r="B1243" s="18"/>
      <c r="C1243" s="15" t="s">
        <v>7901</v>
      </c>
      <c r="D1243" s="18"/>
      <c r="E1243" s="17" t="s">
        <v>7902</v>
      </c>
      <c r="F1243" s="18"/>
      <c r="G1243" s="18"/>
      <c r="H1243" s="15" t="s">
        <v>7903</v>
      </c>
      <c r="I1243" s="15" t="s">
        <v>596</v>
      </c>
      <c r="J1243" s="19" t="s">
        <v>59</v>
      </c>
      <c r="K1243" s="19" t="s">
        <v>691</v>
      </c>
      <c r="L1243" s="19" t="s">
        <v>38</v>
      </c>
      <c r="M1243" s="20">
        <f t="shared" si="1"/>
        <v>0</v>
      </c>
      <c r="N1243" s="22"/>
      <c r="O1243" s="19" t="s">
        <v>39</v>
      </c>
      <c r="P1243" s="18"/>
      <c r="Q1243" s="18"/>
      <c r="R1243" s="23">
        <v>0.0</v>
      </c>
      <c r="S1243" s="23">
        <v>0.0</v>
      </c>
      <c r="T1243" s="23">
        <f t="shared" si="2"/>
        <v>0</v>
      </c>
      <c r="U1243" s="23">
        <f t="shared" si="3"/>
        <v>0</v>
      </c>
      <c r="V1243" s="23">
        <f t="shared" si="4"/>
        <v>0</v>
      </c>
      <c r="W1243" s="24" t="str">
        <f t="shared" si="5"/>
        <v>#DIV/0!</v>
      </c>
    </row>
    <row r="1244" hidden="1">
      <c r="A1244" s="15" t="s">
        <v>3154</v>
      </c>
      <c r="B1244" s="18"/>
      <c r="C1244" s="15" t="s">
        <v>7904</v>
      </c>
      <c r="D1244" s="18"/>
      <c r="E1244" s="17" t="s">
        <v>3155</v>
      </c>
      <c r="F1244" s="18"/>
      <c r="G1244" s="18"/>
      <c r="H1244" s="15" t="s">
        <v>3156</v>
      </c>
      <c r="I1244" s="15" t="s">
        <v>3157</v>
      </c>
      <c r="J1244" s="19" t="s">
        <v>59</v>
      </c>
      <c r="K1244" s="19" t="s">
        <v>2382</v>
      </c>
      <c r="L1244" s="19" t="s">
        <v>38</v>
      </c>
      <c r="M1244" s="20">
        <f t="shared" si="1"/>
        <v>0</v>
      </c>
      <c r="N1244" s="22"/>
      <c r="O1244" s="19" t="s">
        <v>1145</v>
      </c>
      <c r="P1244" s="18"/>
      <c r="Q1244" s="18"/>
      <c r="R1244" s="23">
        <v>0.0</v>
      </c>
      <c r="S1244" s="23">
        <v>0.0</v>
      </c>
      <c r="T1244" s="23">
        <f t="shared" si="2"/>
        <v>0</v>
      </c>
      <c r="U1244" s="23">
        <f t="shared" si="3"/>
        <v>0</v>
      </c>
      <c r="V1244" s="23">
        <f t="shared" si="4"/>
        <v>0</v>
      </c>
      <c r="W1244" s="24" t="str">
        <f t="shared" si="5"/>
        <v>#DIV/0!</v>
      </c>
    </row>
    <row r="1245" hidden="1">
      <c r="A1245" s="15" t="s">
        <v>3158</v>
      </c>
      <c r="B1245" s="18"/>
      <c r="C1245" s="15" t="s">
        <v>7905</v>
      </c>
      <c r="D1245" s="18"/>
      <c r="E1245" s="17" t="s">
        <v>3159</v>
      </c>
      <c r="F1245" s="18"/>
      <c r="G1245" s="18"/>
      <c r="H1245" s="15" t="s">
        <v>3160</v>
      </c>
      <c r="I1245" s="15" t="s">
        <v>3161</v>
      </c>
      <c r="J1245" s="19" t="s">
        <v>59</v>
      </c>
      <c r="K1245" s="19" t="s">
        <v>2382</v>
      </c>
      <c r="L1245" s="19" t="s">
        <v>38</v>
      </c>
      <c r="M1245" s="20">
        <f t="shared" si="1"/>
        <v>0</v>
      </c>
      <c r="N1245" s="22"/>
      <c r="O1245" s="19" t="s">
        <v>1145</v>
      </c>
      <c r="P1245" s="18"/>
      <c r="Q1245" s="18"/>
      <c r="R1245" s="23">
        <v>0.0</v>
      </c>
      <c r="S1245" s="23">
        <v>0.0</v>
      </c>
      <c r="T1245" s="23">
        <f t="shared" si="2"/>
        <v>0</v>
      </c>
      <c r="U1245" s="23">
        <f t="shared" si="3"/>
        <v>0</v>
      </c>
      <c r="V1245" s="23">
        <f t="shared" si="4"/>
        <v>0</v>
      </c>
      <c r="W1245" s="24" t="str">
        <f t="shared" si="5"/>
        <v>#DIV/0!</v>
      </c>
    </row>
    <row r="1246" hidden="1">
      <c r="A1246" s="15" t="s">
        <v>7906</v>
      </c>
      <c r="B1246" s="18"/>
      <c r="C1246" s="15" t="s">
        <v>7907</v>
      </c>
      <c r="D1246" s="18"/>
      <c r="E1246" s="17" t="s">
        <v>7908</v>
      </c>
      <c r="F1246" s="18"/>
      <c r="G1246" s="18"/>
      <c r="H1246" s="15" t="s">
        <v>7909</v>
      </c>
      <c r="I1246" s="15" t="s">
        <v>445</v>
      </c>
      <c r="J1246" s="19" t="s">
        <v>59</v>
      </c>
      <c r="K1246" s="19" t="s">
        <v>2382</v>
      </c>
      <c r="L1246" s="19" t="s">
        <v>38</v>
      </c>
      <c r="M1246" s="20">
        <f t="shared" si="1"/>
        <v>0</v>
      </c>
      <c r="N1246" s="22"/>
      <c r="O1246" s="19" t="s">
        <v>39</v>
      </c>
      <c r="P1246" s="18"/>
      <c r="Q1246" s="18"/>
      <c r="R1246" s="23">
        <v>0.0</v>
      </c>
      <c r="S1246" s="23">
        <v>0.0</v>
      </c>
      <c r="T1246" s="23">
        <f t="shared" si="2"/>
        <v>0</v>
      </c>
      <c r="U1246" s="23">
        <f t="shared" si="3"/>
        <v>0</v>
      </c>
      <c r="V1246" s="23">
        <f t="shared" si="4"/>
        <v>0</v>
      </c>
      <c r="W1246" s="24" t="str">
        <f t="shared" si="5"/>
        <v>#DIV/0!</v>
      </c>
    </row>
    <row r="1247" hidden="1">
      <c r="A1247" s="15" t="s">
        <v>3162</v>
      </c>
      <c r="B1247" s="18"/>
      <c r="C1247" s="15" t="s">
        <v>7910</v>
      </c>
      <c r="D1247" s="18"/>
      <c r="E1247" s="17" t="s">
        <v>3163</v>
      </c>
      <c r="F1247" s="18"/>
      <c r="G1247" s="18"/>
      <c r="H1247" s="15" t="s">
        <v>3164</v>
      </c>
      <c r="I1247" s="15" t="s">
        <v>3165</v>
      </c>
      <c r="J1247" s="19" t="s">
        <v>59</v>
      </c>
      <c r="K1247" s="19" t="s">
        <v>2382</v>
      </c>
      <c r="L1247" s="19" t="s">
        <v>38</v>
      </c>
      <c r="M1247" s="20">
        <f t="shared" si="1"/>
        <v>0</v>
      </c>
      <c r="N1247" s="22"/>
      <c r="O1247" s="19" t="s">
        <v>1145</v>
      </c>
      <c r="P1247" s="18"/>
      <c r="Q1247" s="18"/>
      <c r="R1247" s="23">
        <v>0.0</v>
      </c>
      <c r="S1247" s="23">
        <v>0.0</v>
      </c>
      <c r="T1247" s="23">
        <f t="shared" si="2"/>
        <v>0</v>
      </c>
      <c r="U1247" s="23">
        <f t="shared" si="3"/>
        <v>0</v>
      </c>
      <c r="V1247" s="23">
        <f t="shared" si="4"/>
        <v>0</v>
      </c>
      <c r="W1247" s="24" t="str">
        <f t="shared" si="5"/>
        <v>#DIV/0!</v>
      </c>
    </row>
    <row r="1248" hidden="1">
      <c r="A1248" s="15" t="s">
        <v>3166</v>
      </c>
      <c r="B1248" s="18"/>
      <c r="C1248" s="15" t="s">
        <v>7911</v>
      </c>
      <c r="D1248" s="18"/>
      <c r="E1248" s="17" t="s">
        <v>3167</v>
      </c>
      <c r="F1248" s="18"/>
      <c r="G1248" s="18"/>
      <c r="H1248" s="15" t="s">
        <v>3168</v>
      </c>
      <c r="I1248" s="15" t="s">
        <v>838</v>
      </c>
      <c r="J1248" s="19" t="s">
        <v>59</v>
      </c>
      <c r="K1248" s="19" t="s">
        <v>2382</v>
      </c>
      <c r="L1248" s="19" t="s">
        <v>38</v>
      </c>
      <c r="M1248" s="20">
        <f t="shared" si="1"/>
        <v>0</v>
      </c>
      <c r="N1248" s="22"/>
      <c r="O1248" s="19" t="s">
        <v>1145</v>
      </c>
      <c r="P1248" s="18"/>
      <c r="Q1248" s="18"/>
      <c r="R1248" s="23">
        <v>0.0</v>
      </c>
      <c r="S1248" s="23">
        <v>0.0</v>
      </c>
      <c r="T1248" s="23">
        <f t="shared" si="2"/>
        <v>0</v>
      </c>
      <c r="U1248" s="23">
        <f t="shared" si="3"/>
        <v>0</v>
      </c>
      <c r="V1248" s="23">
        <f t="shared" si="4"/>
        <v>0</v>
      </c>
      <c r="W1248" s="24" t="str">
        <f t="shared" si="5"/>
        <v>#DIV/0!</v>
      </c>
    </row>
    <row r="1249" hidden="1">
      <c r="A1249" s="15" t="s">
        <v>7912</v>
      </c>
      <c r="B1249" s="18"/>
      <c r="C1249" s="15" t="s">
        <v>7913</v>
      </c>
      <c r="D1249" s="18"/>
      <c r="E1249" s="17" t="s">
        <v>3170</v>
      </c>
      <c r="F1249" s="18"/>
      <c r="G1249" s="18"/>
      <c r="H1249" s="15" t="s">
        <v>7914</v>
      </c>
      <c r="I1249" s="15" t="s">
        <v>790</v>
      </c>
      <c r="J1249" s="19" t="s">
        <v>59</v>
      </c>
      <c r="K1249" s="19" t="s">
        <v>2382</v>
      </c>
      <c r="L1249" s="19" t="s">
        <v>38</v>
      </c>
      <c r="M1249" s="20">
        <f t="shared" si="1"/>
        <v>0</v>
      </c>
      <c r="N1249" s="22"/>
      <c r="O1249" s="19" t="s">
        <v>39</v>
      </c>
      <c r="P1249" s="18"/>
      <c r="Q1249" s="18"/>
      <c r="R1249" s="23">
        <v>0.0</v>
      </c>
      <c r="S1249" s="23">
        <v>0.0</v>
      </c>
      <c r="T1249" s="23">
        <f t="shared" si="2"/>
        <v>0</v>
      </c>
      <c r="U1249" s="23">
        <f t="shared" si="3"/>
        <v>0</v>
      </c>
      <c r="V1249" s="23">
        <f t="shared" si="4"/>
        <v>0</v>
      </c>
      <c r="W1249" s="24" t="str">
        <f t="shared" si="5"/>
        <v>#DIV/0!</v>
      </c>
    </row>
    <row r="1250" hidden="1">
      <c r="A1250" s="15" t="s">
        <v>3169</v>
      </c>
      <c r="B1250" s="18"/>
      <c r="C1250" s="15" t="s">
        <v>7915</v>
      </c>
      <c r="D1250" s="18"/>
      <c r="E1250" s="17" t="s">
        <v>3170</v>
      </c>
      <c r="F1250" s="18"/>
      <c r="G1250" s="18"/>
      <c r="H1250" s="15" t="s">
        <v>3171</v>
      </c>
      <c r="I1250" s="15" t="s">
        <v>3172</v>
      </c>
      <c r="J1250" s="19" t="s">
        <v>59</v>
      </c>
      <c r="K1250" s="19" t="s">
        <v>2382</v>
      </c>
      <c r="L1250" s="19" t="s">
        <v>38</v>
      </c>
      <c r="M1250" s="20">
        <f t="shared" si="1"/>
        <v>0</v>
      </c>
      <c r="N1250" s="22"/>
      <c r="O1250" s="19" t="s">
        <v>1145</v>
      </c>
      <c r="P1250" s="18"/>
      <c r="Q1250" s="18"/>
      <c r="R1250" s="23">
        <v>0.0</v>
      </c>
      <c r="S1250" s="23">
        <v>0.0</v>
      </c>
      <c r="T1250" s="23">
        <f t="shared" si="2"/>
        <v>0</v>
      </c>
      <c r="U1250" s="23">
        <f t="shared" si="3"/>
        <v>0</v>
      </c>
      <c r="V1250" s="23">
        <f t="shared" si="4"/>
        <v>0</v>
      </c>
      <c r="W1250" s="24" t="str">
        <f t="shared" si="5"/>
        <v>#DIV/0!</v>
      </c>
    </row>
    <row r="1251" hidden="1">
      <c r="A1251" s="15" t="s">
        <v>7916</v>
      </c>
      <c r="B1251" s="18"/>
      <c r="C1251" s="15" t="s">
        <v>7917</v>
      </c>
      <c r="D1251" s="18"/>
      <c r="E1251" s="17" t="s">
        <v>2725</v>
      </c>
      <c r="F1251" s="18"/>
      <c r="G1251" s="18"/>
      <c r="H1251" s="15" t="s">
        <v>7918</v>
      </c>
      <c r="I1251" s="15" t="s">
        <v>433</v>
      </c>
      <c r="J1251" s="19" t="s">
        <v>59</v>
      </c>
      <c r="K1251" s="19" t="s">
        <v>2382</v>
      </c>
      <c r="L1251" s="19" t="s">
        <v>38</v>
      </c>
      <c r="M1251" s="20">
        <f t="shared" si="1"/>
        <v>0</v>
      </c>
      <c r="N1251" s="22"/>
      <c r="O1251" s="19" t="s">
        <v>39</v>
      </c>
      <c r="P1251" s="18"/>
      <c r="Q1251" s="18"/>
      <c r="R1251" s="23">
        <v>0.0</v>
      </c>
      <c r="S1251" s="23">
        <v>0.0</v>
      </c>
      <c r="T1251" s="23">
        <f t="shared" si="2"/>
        <v>0</v>
      </c>
      <c r="U1251" s="23">
        <f t="shared" si="3"/>
        <v>0</v>
      </c>
      <c r="V1251" s="23">
        <f t="shared" si="4"/>
        <v>0</v>
      </c>
      <c r="W1251" s="24" t="str">
        <f t="shared" si="5"/>
        <v>#DIV/0!</v>
      </c>
    </row>
    <row r="1252" hidden="1">
      <c r="A1252" s="15" t="s">
        <v>3173</v>
      </c>
      <c r="B1252" s="18"/>
      <c r="C1252" s="15" t="s">
        <v>7919</v>
      </c>
      <c r="D1252" s="18"/>
      <c r="E1252" s="17" t="s">
        <v>3174</v>
      </c>
      <c r="F1252" s="18"/>
      <c r="G1252" s="18"/>
      <c r="H1252" s="15" t="s">
        <v>3175</v>
      </c>
      <c r="I1252" s="15" t="s">
        <v>3176</v>
      </c>
      <c r="J1252" s="19" t="s">
        <v>59</v>
      </c>
      <c r="K1252" s="19" t="s">
        <v>2382</v>
      </c>
      <c r="L1252" s="19" t="s">
        <v>38</v>
      </c>
      <c r="M1252" s="20">
        <f t="shared" si="1"/>
        <v>0</v>
      </c>
      <c r="N1252" s="22"/>
      <c r="O1252" s="19" t="s">
        <v>1145</v>
      </c>
      <c r="P1252" s="18"/>
      <c r="Q1252" s="18"/>
      <c r="R1252" s="23">
        <v>0.0</v>
      </c>
      <c r="S1252" s="23">
        <v>0.0</v>
      </c>
      <c r="T1252" s="23">
        <f t="shared" si="2"/>
        <v>0</v>
      </c>
      <c r="U1252" s="23">
        <f t="shared" si="3"/>
        <v>0</v>
      </c>
      <c r="V1252" s="23">
        <f t="shared" si="4"/>
        <v>0</v>
      </c>
      <c r="W1252" s="24" t="str">
        <f t="shared" si="5"/>
        <v>#DIV/0!</v>
      </c>
    </row>
    <row r="1253" hidden="1">
      <c r="A1253" s="15" t="s">
        <v>5226</v>
      </c>
      <c r="B1253" s="18"/>
      <c r="C1253" s="15" t="s">
        <v>7920</v>
      </c>
      <c r="D1253" s="18"/>
      <c r="E1253" s="17" t="s">
        <v>7921</v>
      </c>
      <c r="F1253" s="18"/>
      <c r="G1253" s="18"/>
      <c r="H1253" s="15" t="s">
        <v>5230</v>
      </c>
      <c r="I1253" s="15" t="s">
        <v>5229</v>
      </c>
      <c r="J1253" s="19" t="s">
        <v>59</v>
      </c>
      <c r="K1253" s="19" t="s">
        <v>2401</v>
      </c>
      <c r="L1253" s="19" t="s">
        <v>38</v>
      </c>
      <c r="M1253" s="20">
        <f t="shared" si="1"/>
        <v>0</v>
      </c>
      <c r="N1253" s="22"/>
      <c r="O1253" s="19" t="s">
        <v>1145</v>
      </c>
      <c r="P1253" s="18"/>
      <c r="Q1253" s="18"/>
      <c r="R1253" s="23">
        <v>0.0</v>
      </c>
      <c r="S1253" s="23">
        <v>0.0</v>
      </c>
      <c r="T1253" s="23">
        <f t="shared" si="2"/>
        <v>0</v>
      </c>
      <c r="U1253" s="23">
        <f t="shared" si="3"/>
        <v>0</v>
      </c>
      <c r="V1253" s="23">
        <f t="shared" si="4"/>
        <v>0</v>
      </c>
      <c r="W1253" s="24" t="str">
        <f t="shared" si="5"/>
        <v>#DIV/0!</v>
      </c>
    </row>
    <row r="1254" hidden="1">
      <c r="A1254" s="15" t="s">
        <v>7922</v>
      </c>
      <c r="B1254" s="18"/>
      <c r="C1254" s="15" t="s">
        <v>7923</v>
      </c>
      <c r="D1254" s="18"/>
      <c r="E1254" s="17" t="s">
        <v>7924</v>
      </c>
      <c r="F1254" s="18"/>
      <c r="G1254" s="18"/>
      <c r="H1254" s="15" t="s">
        <v>7925</v>
      </c>
      <c r="I1254" s="15" t="s">
        <v>495</v>
      </c>
      <c r="J1254" s="19" t="s">
        <v>59</v>
      </c>
      <c r="K1254" s="19" t="s">
        <v>2382</v>
      </c>
      <c r="L1254" s="19" t="s">
        <v>38</v>
      </c>
      <c r="M1254" s="20">
        <f t="shared" si="1"/>
        <v>0</v>
      </c>
      <c r="N1254" s="22"/>
      <c r="O1254" s="19" t="s">
        <v>39</v>
      </c>
      <c r="P1254" s="18"/>
      <c r="Q1254" s="18"/>
      <c r="R1254" s="23">
        <v>0.0</v>
      </c>
      <c r="S1254" s="23">
        <v>0.0</v>
      </c>
      <c r="T1254" s="23">
        <f t="shared" si="2"/>
        <v>0</v>
      </c>
      <c r="U1254" s="23">
        <f t="shared" si="3"/>
        <v>0</v>
      </c>
      <c r="V1254" s="23">
        <f t="shared" si="4"/>
        <v>0</v>
      </c>
      <c r="W1254" s="24" t="str">
        <f t="shared" si="5"/>
        <v>#DIV/0!</v>
      </c>
    </row>
    <row r="1255" hidden="1">
      <c r="A1255" s="15" t="s">
        <v>7926</v>
      </c>
      <c r="B1255" s="18"/>
      <c r="C1255" s="18"/>
      <c r="D1255" s="18"/>
      <c r="E1255" s="17" t="s">
        <v>7927</v>
      </c>
      <c r="F1255" s="18"/>
      <c r="G1255" s="18"/>
      <c r="H1255" s="18"/>
      <c r="I1255" s="18"/>
      <c r="J1255" s="19" t="s">
        <v>59</v>
      </c>
      <c r="K1255" s="33"/>
      <c r="L1255" s="19" t="s">
        <v>38</v>
      </c>
      <c r="M1255" s="20">
        <f t="shared" si="1"/>
        <v>0</v>
      </c>
      <c r="N1255" s="22"/>
      <c r="O1255" s="19" t="s">
        <v>39</v>
      </c>
      <c r="P1255" s="18"/>
      <c r="Q1255" s="18"/>
      <c r="R1255" s="23">
        <v>0.0</v>
      </c>
      <c r="S1255" s="23">
        <v>0.0</v>
      </c>
      <c r="T1255" s="23">
        <f t="shared" si="2"/>
        <v>0</v>
      </c>
      <c r="U1255" s="23">
        <f t="shared" si="3"/>
        <v>0</v>
      </c>
      <c r="V1255" s="23">
        <f t="shared" si="4"/>
        <v>0</v>
      </c>
      <c r="W1255" s="24" t="str">
        <f t="shared" si="5"/>
        <v>#DIV/0!</v>
      </c>
    </row>
    <row r="1256">
      <c r="A1256" s="15" t="s">
        <v>490</v>
      </c>
      <c r="B1256" s="15" t="s">
        <v>491</v>
      </c>
      <c r="C1256" s="15" t="s">
        <v>6094</v>
      </c>
      <c r="D1256" s="15" t="s">
        <v>492</v>
      </c>
      <c r="E1256" s="17" t="s">
        <v>493</v>
      </c>
      <c r="F1256" s="18"/>
      <c r="G1256" s="15" t="s">
        <v>494</v>
      </c>
      <c r="H1256" s="15" t="s">
        <v>495</v>
      </c>
      <c r="I1256" s="18"/>
      <c r="J1256" s="19" t="s">
        <v>59</v>
      </c>
      <c r="K1256" s="19" t="s">
        <v>496</v>
      </c>
      <c r="L1256" s="19" t="s">
        <v>292</v>
      </c>
      <c r="M1256" s="20">
        <f t="shared" si="1"/>
        <v>2575.2</v>
      </c>
      <c r="N1256" s="31">
        <v>6.0</v>
      </c>
      <c r="O1256" s="19" t="s">
        <v>107</v>
      </c>
      <c r="P1256" s="18"/>
      <c r="Q1256" s="18"/>
      <c r="R1256" s="23">
        <v>22.0</v>
      </c>
      <c r="S1256" s="23">
        <v>145.0</v>
      </c>
      <c r="T1256" s="23">
        <f t="shared" si="2"/>
        <v>139.2</v>
      </c>
      <c r="U1256" s="23">
        <f t="shared" si="3"/>
        <v>26.95</v>
      </c>
      <c r="V1256" s="23">
        <f t="shared" si="4"/>
        <v>505.3125</v>
      </c>
      <c r="W1256" s="24">
        <f t="shared" si="5"/>
        <v>6.327272727</v>
      </c>
    </row>
    <row r="1257" hidden="1">
      <c r="A1257" s="15" t="s">
        <v>7928</v>
      </c>
      <c r="B1257" s="15" t="s">
        <v>7929</v>
      </c>
      <c r="C1257" s="15" t="s">
        <v>7930</v>
      </c>
      <c r="D1257" s="18"/>
      <c r="E1257" s="17" t="s">
        <v>7931</v>
      </c>
      <c r="F1257" s="18"/>
      <c r="G1257" s="18"/>
      <c r="H1257" s="15" t="s">
        <v>4089</v>
      </c>
      <c r="I1257" s="18"/>
      <c r="J1257" s="19" t="s">
        <v>59</v>
      </c>
      <c r="K1257" s="33"/>
      <c r="L1257" s="19" t="s">
        <v>38</v>
      </c>
      <c r="M1257" s="20">
        <f t="shared" si="1"/>
        <v>0</v>
      </c>
      <c r="N1257" s="22"/>
      <c r="O1257" s="19" t="s">
        <v>39</v>
      </c>
      <c r="P1257" s="18"/>
      <c r="Q1257" s="18"/>
      <c r="R1257" s="23">
        <v>0.0</v>
      </c>
      <c r="S1257" s="23">
        <v>0.0</v>
      </c>
      <c r="T1257" s="23">
        <f t="shared" si="2"/>
        <v>0</v>
      </c>
      <c r="U1257" s="23">
        <f t="shared" si="3"/>
        <v>0</v>
      </c>
      <c r="V1257" s="23">
        <f t="shared" si="4"/>
        <v>0</v>
      </c>
      <c r="W1257" s="24" t="str">
        <f t="shared" si="5"/>
        <v>#DIV/0!</v>
      </c>
    </row>
    <row r="1258" hidden="1">
      <c r="A1258" s="15" t="s">
        <v>3177</v>
      </c>
      <c r="B1258" s="18"/>
      <c r="C1258" s="15" t="s">
        <v>7932</v>
      </c>
      <c r="D1258" s="18"/>
      <c r="E1258" s="17" t="s">
        <v>3178</v>
      </c>
      <c r="F1258" s="18"/>
      <c r="G1258" s="18"/>
      <c r="H1258" s="15" t="s">
        <v>3179</v>
      </c>
      <c r="I1258" s="15" t="s">
        <v>3180</v>
      </c>
      <c r="J1258" s="19" t="s">
        <v>59</v>
      </c>
      <c r="K1258" s="19" t="s">
        <v>2401</v>
      </c>
      <c r="L1258" s="19" t="s">
        <v>38</v>
      </c>
      <c r="M1258" s="20">
        <f t="shared" si="1"/>
        <v>0</v>
      </c>
      <c r="N1258" s="22"/>
      <c r="O1258" s="19" t="s">
        <v>1145</v>
      </c>
      <c r="P1258" s="18"/>
      <c r="Q1258" s="18"/>
      <c r="R1258" s="23">
        <v>0.0</v>
      </c>
      <c r="S1258" s="23">
        <v>0.0</v>
      </c>
      <c r="T1258" s="23">
        <f t="shared" si="2"/>
        <v>0</v>
      </c>
      <c r="U1258" s="23">
        <f t="shared" si="3"/>
        <v>0</v>
      </c>
      <c r="V1258" s="23">
        <f t="shared" si="4"/>
        <v>0</v>
      </c>
      <c r="W1258" s="24" t="str">
        <f t="shared" si="5"/>
        <v>#DIV/0!</v>
      </c>
    </row>
    <row r="1259" hidden="1">
      <c r="A1259" s="15" t="s">
        <v>7933</v>
      </c>
      <c r="B1259" s="18"/>
      <c r="C1259" s="15" t="s">
        <v>7934</v>
      </c>
      <c r="D1259" s="18"/>
      <c r="E1259" s="17" t="s">
        <v>7935</v>
      </c>
      <c r="F1259" s="18"/>
      <c r="G1259" s="18"/>
      <c r="H1259" s="15" t="s">
        <v>7936</v>
      </c>
      <c r="I1259" s="15" t="s">
        <v>3874</v>
      </c>
      <c r="J1259" s="19" t="s">
        <v>59</v>
      </c>
      <c r="K1259" s="19" t="s">
        <v>2396</v>
      </c>
      <c r="L1259" s="19" t="s">
        <v>38</v>
      </c>
      <c r="M1259" s="20">
        <f t="shared" si="1"/>
        <v>0</v>
      </c>
      <c r="N1259" s="22"/>
      <c r="O1259" s="19" t="s">
        <v>39</v>
      </c>
      <c r="P1259" s="18"/>
      <c r="Q1259" s="18"/>
      <c r="R1259" s="23">
        <v>0.0</v>
      </c>
      <c r="S1259" s="23">
        <v>0.0</v>
      </c>
      <c r="T1259" s="23">
        <f t="shared" si="2"/>
        <v>0</v>
      </c>
      <c r="U1259" s="23">
        <f t="shared" si="3"/>
        <v>0</v>
      </c>
      <c r="V1259" s="23">
        <f t="shared" si="4"/>
        <v>0</v>
      </c>
      <c r="W1259" s="24" t="str">
        <f t="shared" si="5"/>
        <v>#DIV/0!</v>
      </c>
    </row>
    <row r="1260" hidden="1">
      <c r="A1260" s="15" t="s">
        <v>5231</v>
      </c>
      <c r="B1260" s="18"/>
      <c r="C1260" s="15" t="s">
        <v>7937</v>
      </c>
      <c r="D1260" s="18"/>
      <c r="E1260" s="17" t="s">
        <v>5232</v>
      </c>
      <c r="F1260" s="18"/>
      <c r="G1260" s="18"/>
      <c r="H1260" s="15" t="s">
        <v>5233</v>
      </c>
      <c r="I1260" s="15" t="s">
        <v>3869</v>
      </c>
      <c r="J1260" s="19" t="s">
        <v>59</v>
      </c>
      <c r="K1260" s="19" t="s">
        <v>2396</v>
      </c>
      <c r="L1260" s="19" t="s">
        <v>38</v>
      </c>
      <c r="M1260" s="20">
        <f t="shared" si="1"/>
        <v>0</v>
      </c>
      <c r="N1260" s="22"/>
      <c r="O1260" s="19" t="s">
        <v>3578</v>
      </c>
      <c r="P1260" s="18"/>
      <c r="Q1260" s="18"/>
      <c r="R1260" s="23">
        <v>0.0</v>
      </c>
      <c r="S1260" s="23">
        <v>0.0</v>
      </c>
      <c r="T1260" s="23">
        <f t="shared" si="2"/>
        <v>0</v>
      </c>
      <c r="U1260" s="23">
        <f t="shared" si="3"/>
        <v>0</v>
      </c>
      <c r="V1260" s="23">
        <f t="shared" si="4"/>
        <v>0</v>
      </c>
      <c r="W1260" s="24" t="str">
        <f t="shared" si="5"/>
        <v>#DIV/0!</v>
      </c>
    </row>
    <row r="1261" hidden="1">
      <c r="A1261" s="15" t="s">
        <v>5234</v>
      </c>
      <c r="B1261" s="18"/>
      <c r="C1261" s="15" t="s">
        <v>7938</v>
      </c>
      <c r="D1261" s="18"/>
      <c r="E1261" s="17" t="s">
        <v>5235</v>
      </c>
      <c r="F1261" s="18"/>
      <c r="G1261" s="18"/>
      <c r="H1261" s="15" t="s">
        <v>5236</v>
      </c>
      <c r="I1261" s="15" t="s">
        <v>3884</v>
      </c>
      <c r="J1261" s="19" t="s">
        <v>59</v>
      </c>
      <c r="K1261" s="19" t="s">
        <v>2401</v>
      </c>
      <c r="L1261" s="19" t="s">
        <v>38</v>
      </c>
      <c r="M1261" s="20">
        <f t="shared" si="1"/>
        <v>0</v>
      </c>
      <c r="N1261" s="22"/>
      <c r="O1261" s="19" t="s">
        <v>3578</v>
      </c>
      <c r="P1261" s="18"/>
      <c r="Q1261" s="18"/>
      <c r="R1261" s="23">
        <v>0.0</v>
      </c>
      <c r="S1261" s="23">
        <v>0.0</v>
      </c>
      <c r="T1261" s="23">
        <f t="shared" si="2"/>
        <v>0</v>
      </c>
      <c r="U1261" s="23">
        <f t="shared" si="3"/>
        <v>0</v>
      </c>
      <c r="V1261" s="23">
        <f t="shared" si="4"/>
        <v>0</v>
      </c>
      <c r="W1261" s="24" t="str">
        <f t="shared" si="5"/>
        <v>#DIV/0!</v>
      </c>
    </row>
    <row r="1262" hidden="1">
      <c r="A1262" s="15" t="s">
        <v>5237</v>
      </c>
      <c r="B1262" s="18"/>
      <c r="C1262" s="15" t="s">
        <v>7939</v>
      </c>
      <c r="D1262" s="18"/>
      <c r="E1262" s="17" t="s">
        <v>5235</v>
      </c>
      <c r="F1262" s="18"/>
      <c r="G1262" s="18"/>
      <c r="H1262" s="15" t="s">
        <v>7940</v>
      </c>
      <c r="I1262" s="15" t="s">
        <v>5239</v>
      </c>
      <c r="J1262" s="19" t="s">
        <v>59</v>
      </c>
      <c r="K1262" s="19" t="s">
        <v>2401</v>
      </c>
      <c r="L1262" s="19" t="s">
        <v>38</v>
      </c>
      <c r="M1262" s="20">
        <f t="shared" si="1"/>
        <v>0</v>
      </c>
      <c r="N1262" s="22"/>
      <c r="O1262" s="19" t="s">
        <v>1145</v>
      </c>
      <c r="P1262" s="18"/>
      <c r="Q1262" s="18"/>
      <c r="R1262" s="23">
        <v>0.0</v>
      </c>
      <c r="S1262" s="23">
        <v>0.0</v>
      </c>
      <c r="T1262" s="23">
        <f t="shared" si="2"/>
        <v>0</v>
      </c>
      <c r="U1262" s="23">
        <f t="shared" si="3"/>
        <v>0</v>
      </c>
      <c r="V1262" s="23">
        <f t="shared" si="4"/>
        <v>0</v>
      </c>
      <c r="W1262" s="24" t="str">
        <f t="shared" si="5"/>
        <v>#DIV/0!</v>
      </c>
    </row>
    <row r="1263" hidden="1">
      <c r="A1263" s="15" t="s">
        <v>3181</v>
      </c>
      <c r="B1263" s="18"/>
      <c r="C1263" s="15" t="s">
        <v>7941</v>
      </c>
      <c r="D1263" s="18"/>
      <c r="E1263" s="17" t="s">
        <v>3182</v>
      </c>
      <c r="F1263" s="18"/>
      <c r="G1263" s="18"/>
      <c r="H1263" s="15" t="s">
        <v>3183</v>
      </c>
      <c r="I1263" s="15" t="s">
        <v>394</v>
      </c>
      <c r="J1263" s="19" t="s">
        <v>59</v>
      </c>
      <c r="K1263" s="19" t="s">
        <v>2401</v>
      </c>
      <c r="L1263" s="19" t="s">
        <v>38</v>
      </c>
      <c r="M1263" s="20">
        <f t="shared" si="1"/>
        <v>0</v>
      </c>
      <c r="N1263" s="22"/>
      <c r="O1263" s="19" t="s">
        <v>1145</v>
      </c>
      <c r="P1263" s="18"/>
      <c r="Q1263" s="18"/>
      <c r="R1263" s="23">
        <v>0.0</v>
      </c>
      <c r="S1263" s="23">
        <v>0.0</v>
      </c>
      <c r="T1263" s="23">
        <f t="shared" si="2"/>
        <v>0</v>
      </c>
      <c r="U1263" s="23">
        <f t="shared" si="3"/>
        <v>0</v>
      </c>
      <c r="V1263" s="23">
        <f t="shared" si="4"/>
        <v>0</v>
      </c>
      <c r="W1263" s="24" t="str">
        <f t="shared" si="5"/>
        <v>#DIV/0!</v>
      </c>
    </row>
    <row r="1264" hidden="1">
      <c r="A1264" s="15" t="s">
        <v>7942</v>
      </c>
      <c r="B1264" s="18"/>
      <c r="C1264" s="15" t="s">
        <v>7943</v>
      </c>
      <c r="D1264" s="18"/>
      <c r="E1264" s="17" t="s">
        <v>7944</v>
      </c>
      <c r="F1264" s="18"/>
      <c r="G1264" s="18"/>
      <c r="H1264" s="15" t="s">
        <v>7945</v>
      </c>
      <c r="I1264" s="15" t="s">
        <v>258</v>
      </c>
      <c r="J1264" s="19" t="s">
        <v>59</v>
      </c>
      <c r="K1264" s="19" t="s">
        <v>2401</v>
      </c>
      <c r="L1264" s="19" t="s">
        <v>38</v>
      </c>
      <c r="M1264" s="20">
        <f t="shared" si="1"/>
        <v>0</v>
      </c>
      <c r="N1264" s="22"/>
      <c r="O1264" s="19" t="s">
        <v>39</v>
      </c>
      <c r="P1264" s="18"/>
      <c r="Q1264" s="18"/>
      <c r="R1264" s="23">
        <v>0.0</v>
      </c>
      <c r="S1264" s="23">
        <v>0.0</v>
      </c>
      <c r="T1264" s="23">
        <f t="shared" si="2"/>
        <v>0</v>
      </c>
      <c r="U1264" s="23">
        <f t="shared" si="3"/>
        <v>0</v>
      </c>
      <c r="V1264" s="23">
        <f t="shared" si="4"/>
        <v>0</v>
      </c>
      <c r="W1264" s="24" t="str">
        <f t="shared" si="5"/>
        <v>#DIV/0!</v>
      </c>
    </row>
    <row r="1265" hidden="1">
      <c r="A1265" s="15" t="s">
        <v>5240</v>
      </c>
      <c r="B1265" s="18"/>
      <c r="C1265" s="15" t="s">
        <v>7946</v>
      </c>
      <c r="D1265" s="18"/>
      <c r="E1265" s="17" t="s">
        <v>7944</v>
      </c>
      <c r="F1265" s="18"/>
      <c r="G1265" s="18"/>
      <c r="H1265" s="15" t="s">
        <v>7947</v>
      </c>
      <c r="I1265" s="15" t="s">
        <v>5242</v>
      </c>
      <c r="J1265" s="19" t="s">
        <v>59</v>
      </c>
      <c r="K1265" s="19" t="s">
        <v>2401</v>
      </c>
      <c r="L1265" s="19" t="s">
        <v>38</v>
      </c>
      <c r="M1265" s="20">
        <f t="shared" si="1"/>
        <v>0</v>
      </c>
      <c r="N1265" s="22"/>
      <c r="O1265" s="19" t="s">
        <v>1145</v>
      </c>
      <c r="P1265" s="18"/>
      <c r="Q1265" s="18"/>
      <c r="R1265" s="23">
        <v>0.0</v>
      </c>
      <c r="S1265" s="23">
        <v>0.0</v>
      </c>
      <c r="T1265" s="23">
        <f t="shared" si="2"/>
        <v>0</v>
      </c>
      <c r="U1265" s="23">
        <f t="shared" si="3"/>
        <v>0</v>
      </c>
      <c r="V1265" s="23">
        <f t="shared" si="4"/>
        <v>0</v>
      </c>
      <c r="W1265" s="24" t="str">
        <f t="shared" si="5"/>
        <v>#DIV/0!</v>
      </c>
    </row>
    <row r="1266" hidden="1">
      <c r="A1266" s="15" t="s">
        <v>3184</v>
      </c>
      <c r="B1266" s="18"/>
      <c r="C1266" s="15" t="s">
        <v>7948</v>
      </c>
      <c r="D1266" s="18"/>
      <c r="E1266" s="17" t="s">
        <v>3185</v>
      </c>
      <c r="F1266" s="18"/>
      <c r="G1266" s="18"/>
      <c r="H1266" s="15" t="s">
        <v>3186</v>
      </c>
      <c r="I1266" s="15" t="s">
        <v>3187</v>
      </c>
      <c r="J1266" s="19" t="s">
        <v>59</v>
      </c>
      <c r="K1266" s="19" t="s">
        <v>2401</v>
      </c>
      <c r="L1266" s="19" t="s">
        <v>38</v>
      </c>
      <c r="M1266" s="20">
        <f t="shared" si="1"/>
        <v>0</v>
      </c>
      <c r="N1266" s="22"/>
      <c r="O1266" s="19" t="s">
        <v>1145</v>
      </c>
      <c r="P1266" s="18"/>
      <c r="Q1266" s="18"/>
      <c r="R1266" s="23">
        <v>0.0</v>
      </c>
      <c r="S1266" s="23">
        <v>0.0</v>
      </c>
      <c r="T1266" s="23">
        <f t="shared" si="2"/>
        <v>0</v>
      </c>
      <c r="U1266" s="23">
        <f t="shared" si="3"/>
        <v>0</v>
      </c>
      <c r="V1266" s="23">
        <f t="shared" si="4"/>
        <v>0</v>
      </c>
      <c r="W1266" s="24" t="str">
        <f t="shared" si="5"/>
        <v>#DIV/0!</v>
      </c>
    </row>
    <row r="1267" hidden="1">
      <c r="A1267" s="15" t="s">
        <v>7949</v>
      </c>
      <c r="B1267" s="18"/>
      <c r="C1267" s="15" t="s">
        <v>7950</v>
      </c>
      <c r="D1267" s="18"/>
      <c r="E1267" s="17" t="s">
        <v>3185</v>
      </c>
      <c r="F1267" s="18"/>
      <c r="G1267" s="18"/>
      <c r="H1267" s="15" t="s">
        <v>7951</v>
      </c>
      <c r="I1267" s="15" t="s">
        <v>5113</v>
      </c>
      <c r="J1267" s="19" t="s">
        <v>59</v>
      </c>
      <c r="K1267" s="19" t="s">
        <v>2401</v>
      </c>
      <c r="L1267" s="19" t="s">
        <v>38</v>
      </c>
      <c r="M1267" s="20">
        <f t="shared" si="1"/>
        <v>0</v>
      </c>
      <c r="N1267" s="22"/>
      <c r="O1267" s="19" t="s">
        <v>39</v>
      </c>
      <c r="P1267" s="18"/>
      <c r="Q1267" s="18"/>
      <c r="R1267" s="23">
        <v>0.0</v>
      </c>
      <c r="S1267" s="23">
        <v>0.0</v>
      </c>
      <c r="T1267" s="23">
        <f t="shared" si="2"/>
        <v>0</v>
      </c>
      <c r="U1267" s="23">
        <f t="shared" si="3"/>
        <v>0</v>
      </c>
      <c r="V1267" s="23">
        <f t="shared" si="4"/>
        <v>0</v>
      </c>
      <c r="W1267" s="24" t="str">
        <f t="shared" si="5"/>
        <v>#DIV/0!</v>
      </c>
    </row>
    <row r="1268" hidden="1">
      <c r="A1268" s="15" t="s">
        <v>7952</v>
      </c>
      <c r="B1268" s="15" t="s">
        <v>5925</v>
      </c>
      <c r="C1268" s="15" t="s">
        <v>7953</v>
      </c>
      <c r="D1268" s="18"/>
      <c r="E1268" s="17" t="s">
        <v>7954</v>
      </c>
      <c r="F1268" s="18"/>
      <c r="G1268" s="18"/>
      <c r="H1268" s="15" t="s">
        <v>5928</v>
      </c>
      <c r="I1268" s="18"/>
      <c r="J1268" s="19" t="s">
        <v>59</v>
      </c>
      <c r="K1268" s="33"/>
      <c r="L1268" s="19" t="s">
        <v>38</v>
      </c>
      <c r="M1268" s="20">
        <f t="shared" si="1"/>
        <v>0</v>
      </c>
      <c r="N1268" s="22"/>
      <c r="O1268" s="19" t="s">
        <v>39</v>
      </c>
      <c r="P1268" s="18"/>
      <c r="Q1268" s="18"/>
      <c r="R1268" s="23">
        <v>0.0</v>
      </c>
      <c r="S1268" s="23">
        <v>0.0</v>
      </c>
      <c r="T1268" s="23">
        <f t="shared" si="2"/>
        <v>0</v>
      </c>
      <c r="U1268" s="23">
        <f t="shared" si="3"/>
        <v>0</v>
      </c>
      <c r="V1268" s="23">
        <f t="shared" si="4"/>
        <v>0</v>
      </c>
      <c r="W1268" s="24" t="str">
        <f t="shared" si="5"/>
        <v>#DIV/0!</v>
      </c>
    </row>
    <row r="1269" hidden="1">
      <c r="A1269" s="15" t="s">
        <v>3188</v>
      </c>
      <c r="B1269" s="18"/>
      <c r="C1269" s="15" t="s">
        <v>7955</v>
      </c>
      <c r="D1269" s="18"/>
      <c r="E1269" s="17" t="s">
        <v>3189</v>
      </c>
      <c r="F1269" s="18"/>
      <c r="G1269" s="18"/>
      <c r="H1269" s="15" t="s">
        <v>3190</v>
      </c>
      <c r="I1269" s="15" t="s">
        <v>3191</v>
      </c>
      <c r="J1269" s="19" t="s">
        <v>59</v>
      </c>
      <c r="K1269" s="19" t="s">
        <v>691</v>
      </c>
      <c r="L1269" s="19" t="s">
        <v>38</v>
      </c>
      <c r="M1269" s="20">
        <f t="shared" si="1"/>
        <v>0</v>
      </c>
      <c r="N1269" s="22"/>
      <c r="O1269" s="19" t="s">
        <v>1145</v>
      </c>
      <c r="P1269" s="18"/>
      <c r="Q1269" s="18"/>
      <c r="R1269" s="23">
        <v>0.0</v>
      </c>
      <c r="S1269" s="23">
        <v>0.0</v>
      </c>
      <c r="T1269" s="23">
        <f t="shared" si="2"/>
        <v>0</v>
      </c>
      <c r="U1269" s="23">
        <f t="shared" si="3"/>
        <v>0</v>
      </c>
      <c r="V1269" s="23">
        <f t="shared" si="4"/>
        <v>0</v>
      </c>
      <c r="W1269" s="24" t="str">
        <f t="shared" si="5"/>
        <v>#DIV/0!</v>
      </c>
    </row>
    <row r="1270">
      <c r="A1270" s="15" t="s">
        <v>521</v>
      </c>
      <c r="B1270" s="15" t="s">
        <v>522</v>
      </c>
      <c r="C1270" s="15" t="s">
        <v>6049</v>
      </c>
      <c r="D1270" s="15" t="s">
        <v>523</v>
      </c>
      <c r="E1270" s="17" t="s">
        <v>524</v>
      </c>
      <c r="F1270" s="18"/>
      <c r="G1270" s="15" t="s">
        <v>525</v>
      </c>
      <c r="H1270" s="15" t="s">
        <v>526</v>
      </c>
      <c r="I1270" s="18"/>
      <c r="J1270" s="19" t="s">
        <v>59</v>
      </c>
      <c r="K1270" s="19" t="s">
        <v>496</v>
      </c>
      <c r="L1270" s="19" t="s">
        <v>292</v>
      </c>
      <c r="M1270" s="20">
        <f t="shared" si="1"/>
        <v>941.28</v>
      </c>
      <c r="N1270" s="31">
        <v>4.0</v>
      </c>
      <c r="O1270" s="19" t="s">
        <v>107</v>
      </c>
      <c r="P1270" s="18"/>
      <c r="Q1270" s="18"/>
      <c r="R1270" s="23">
        <v>8.5</v>
      </c>
      <c r="S1270" s="23">
        <v>53.0</v>
      </c>
      <c r="T1270" s="23">
        <f t="shared" si="2"/>
        <v>50.88</v>
      </c>
      <c r="U1270" s="23">
        <f t="shared" si="3"/>
        <v>10.4125</v>
      </c>
      <c r="V1270" s="23">
        <f t="shared" si="4"/>
        <v>195.234375</v>
      </c>
      <c r="W1270" s="24">
        <f t="shared" si="5"/>
        <v>5.985882353</v>
      </c>
    </row>
    <row r="1271">
      <c r="A1271" s="15" t="s">
        <v>527</v>
      </c>
      <c r="B1271" s="15" t="s">
        <v>528</v>
      </c>
      <c r="C1271" s="15" t="s">
        <v>6049</v>
      </c>
      <c r="D1271" s="15" t="s">
        <v>529</v>
      </c>
      <c r="E1271" s="17" t="s">
        <v>530</v>
      </c>
      <c r="F1271" s="18"/>
      <c r="G1271" s="15" t="s">
        <v>525</v>
      </c>
      <c r="H1271" s="15" t="s">
        <v>531</v>
      </c>
      <c r="I1271" s="18"/>
      <c r="J1271" s="19" t="s">
        <v>59</v>
      </c>
      <c r="K1271" s="19" t="s">
        <v>496</v>
      </c>
      <c r="L1271" s="19" t="s">
        <v>292</v>
      </c>
      <c r="M1271" s="20">
        <f t="shared" si="1"/>
        <v>941.28</v>
      </c>
      <c r="N1271" s="31">
        <v>4.0</v>
      </c>
      <c r="O1271" s="19" t="s">
        <v>107</v>
      </c>
      <c r="P1271" s="18"/>
      <c r="Q1271" s="18"/>
      <c r="R1271" s="23">
        <v>8.5</v>
      </c>
      <c r="S1271" s="23">
        <v>53.0</v>
      </c>
      <c r="T1271" s="23">
        <f t="shared" si="2"/>
        <v>50.88</v>
      </c>
      <c r="U1271" s="23">
        <f t="shared" si="3"/>
        <v>10.4125</v>
      </c>
      <c r="V1271" s="23">
        <f t="shared" si="4"/>
        <v>195.234375</v>
      </c>
      <c r="W1271" s="24">
        <f t="shared" si="5"/>
        <v>5.985882353</v>
      </c>
    </row>
    <row r="1272" hidden="1">
      <c r="A1272" s="15" t="s">
        <v>7956</v>
      </c>
      <c r="B1272" s="18"/>
      <c r="C1272" s="15" t="s">
        <v>7957</v>
      </c>
      <c r="D1272" s="15" t="s">
        <v>7958</v>
      </c>
      <c r="E1272" s="17" t="s">
        <v>7959</v>
      </c>
      <c r="F1272" s="18"/>
      <c r="G1272" s="18"/>
      <c r="H1272" s="15" t="s">
        <v>806</v>
      </c>
      <c r="I1272" s="15"/>
      <c r="J1272" s="19" t="s">
        <v>59</v>
      </c>
      <c r="K1272" s="19" t="s">
        <v>60</v>
      </c>
      <c r="L1272" s="19" t="s">
        <v>38</v>
      </c>
      <c r="M1272" s="20">
        <f t="shared" si="1"/>
        <v>0</v>
      </c>
      <c r="N1272" s="31">
        <v>5.0</v>
      </c>
      <c r="O1272" s="19" t="s">
        <v>39</v>
      </c>
      <c r="P1272" s="18"/>
      <c r="Q1272" s="18"/>
      <c r="R1272" s="23">
        <v>0.0</v>
      </c>
      <c r="S1272" s="23">
        <v>0.0</v>
      </c>
      <c r="T1272" s="23">
        <f t="shared" si="2"/>
        <v>0</v>
      </c>
      <c r="U1272" s="23">
        <f t="shared" si="3"/>
        <v>0</v>
      </c>
      <c r="V1272" s="23">
        <f t="shared" si="4"/>
        <v>0</v>
      </c>
      <c r="W1272" s="24" t="str">
        <f t="shared" si="5"/>
        <v>#DIV/0!</v>
      </c>
    </row>
    <row r="1273">
      <c r="A1273" s="15" t="s">
        <v>1042</v>
      </c>
      <c r="B1273" s="15" t="s">
        <v>1043</v>
      </c>
      <c r="C1273" s="15" t="s">
        <v>6050</v>
      </c>
      <c r="D1273" s="15" t="s">
        <v>1044</v>
      </c>
      <c r="E1273" s="17" t="s">
        <v>1045</v>
      </c>
      <c r="F1273" s="18"/>
      <c r="G1273" s="18"/>
      <c r="H1273" s="15" t="s">
        <v>1046</v>
      </c>
      <c r="I1273" s="15"/>
      <c r="J1273" s="19" t="s">
        <v>59</v>
      </c>
      <c r="K1273" s="19" t="s">
        <v>60</v>
      </c>
      <c r="L1273" s="19" t="s">
        <v>38</v>
      </c>
      <c r="M1273" s="20">
        <f t="shared" si="1"/>
        <v>1154.4</v>
      </c>
      <c r="N1273" s="31">
        <v>5.0</v>
      </c>
      <c r="O1273" s="19" t="s">
        <v>107</v>
      </c>
      <c r="P1273" s="18"/>
      <c r="Q1273" s="18"/>
      <c r="R1273" s="23">
        <v>20.0</v>
      </c>
      <c r="S1273" s="23">
        <v>65.0</v>
      </c>
      <c r="T1273" s="23">
        <f t="shared" si="2"/>
        <v>62.4</v>
      </c>
      <c r="U1273" s="23">
        <f t="shared" si="3"/>
        <v>24.5</v>
      </c>
      <c r="V1273" s="23">
        <f t="shared" si="4"/>
        <v>459.375</v>
      </c>
      <c r="W1273" s="24">
        <f t="shared" si="5"/>
        <v>3.12</v>
      </c>
    </row>
    <row r="1274" hidden="1">
      <c r="A1274" s="15" t="s">
        <v>7960</v>
      </c>
      <c r="B1274" s="18"/>
      <c r="C1274" s="15" t="s">
        <v>7961</v>
      </c>
      <c r="D1274" s="18"/>
      <c r="E1274" s="17" t="s">
        <v>3193</v>
      </c>
      <c r="F1274" s="18"/>
      <c r="G1274" s="18"/>
      <c r="H1274" s="15" t="s">
        <v>7962</v>
      </c>
      <c r="I1274" s="15" t="s">
        <v>723</v>
      </c>
      <c r="J1274" s="19" t="s">
        <v>59</v>
      </c>
      <c r="K1274" s="19" t="s">
        <v>2401</v>
      </c>
      <c r="L1274" s="19" t="s">
        <v>38</v>
      </c>
      <c r="M1274" s="20">
        <f t="shared" si="1"/>
        <v>0</v>
      </c>
      <c r="N1274" s="22"/>
      <c r="O1274" s="19" t="s">
        <v>39</v>
      </c>
      <c r="P1274" s="18"/>
      <c r="Q1274" s="18"/>
      <c r="R1274" s="23">
        <v>0.0</v>
      </c>
      <c r="S1274" s="23">
        <v>0.0</v>
      </c>
      <c r="T1274" s="23">
        <f t="shared" si="2"/>
        <v>0</v>
      </c>
      <c r="U1274" s="23">
        <f t="shared" si="3"/>
        <v>0</v>
      </c>
      <c r="V1274" s="23">
        <f t="shared" si="4"/>
        <v>0</v>
      </c>
      <c r="W1274" s="24" t="str">
        <f t="shared" si="5"/>
        <v>#DIV/0!</v>
      </c>
    </row>
    <row r="1275" hidden="1">
      <c r="A1275" s="15" t="s">
        <v>3192</v>
      </c>
      <c r="B1275" s="18"/>
      <c r="C1275" s="15" t="s">
        <v>7963</v>
      </c>
      <c r="D1275" s="18"/>
      <c r="E1275" s="17" t="s">
        <v>3193</v>
      </c>
      <c r="F1275" s="18"/>
      <c r="G1275" s="18"/>
      <c r="H1275" s="15" t="s">
        <v>3194</v>
      </c>
      <c r="I1275" s="15" t="s">
        <v>3195</v>
      </c>
      <c r="J1275" s="19" t="s">
        <v>59</v>
      </c>
      <c r="K1275" s="19" t="s">
        <v>2401</v>
      </c>
      <c r="L1275" s="19" t="s">
        <v>38</v>
      </c>
      <c r="M1275" s="20">
        <f t="shared" si="1"/>
        <v>0</v>
      </c>
      <c r="N1275" s="22"/>
      <c r="O1275" s="19" t="s">
        <v>1145</v>
      </c>
      <c r="P1275" s="18"/>
      <c r="Q1275" s="18"/>
      <c r="R1275" s="23">
        <v>0.0</v>
      </c>
      <c r="S1275" s="23">
        <v>0.0</v>
      </c>
      <c r="T1275" s="23">
        <f t="shared" si="2"/>
        <v>0</v>
      </c>
      <c r="U1275" s="23">
        <f t="shared" si="3"/>
        <v>0</v>
      </c>
      <c r="V1275" s="23">
        <f t="shared" si="4"/>
        <v>0</v>
      </c>
      <c r="W1275" s="24" t="str">
        <f t="shared" si="5"/>
        <v>#DIV/0!</v>
      </c>
    </row>
    <row r="1276" hidden="1">
      <c r="A1276" s="15" t="s">
        <v>7964</v>
      </c>
      <c r="B1276" s="18"/>
      <c r="C1276" s="15" t="s">
        <v>7965</v>
      </c>
      <c r="D1276" s="18"/>
      <c r="E1276" s="17" t="s">
        <v>7966</v>
      </c>
      <c r="F1276" s="18"/>
      <c r="G1276" s="18"/>
      <c r="H1276" s="15" t="s">
        <v>995</v>
      </c>
      <c r="I1276" s="15"/>
      <c r="J1276" s="19" t="s">
        <v>59</v>
      </c>
      <c r="K1276" s="19" t="s">
        <v>691</v>
      </c>
      <c r="L1276" s="19" t="s">
        <v>38</v>
      </c>
      <c r="M1276" s="20">
        <f t="shared" si="1"/>
        <v>0</v>
      </c>
      <c r="N1276" s="22"/>
      <c r="O1276" s="19" t="s">
        <v>39</v>
      </c>
      <c r="P1276" s="18"/>
      <c r="Q1276" s="18"/>
      <c r="R1276" s="23">
        <v>0.0</v>
      </c>
      <c r="S1276" s="23">
        <v>0.0</v>
      </c>
      <c r="T1276" s="23">
        <f t="shared" si="2"/>
        <v>0</v>
      </c>
      <c r="U1276" s="23">
        <f t="shared" si="3"/>
        <v>0</v>
      </c>
      <c r="V1276" s="23">
        <f t="shared" si="4"/>
        <v>0</v>
      </c>
      <c r="W1276" s="24" t="str">
        <f t="shared" si="5"/>
        <v>#DIV/0!</v>
      </c>
    </row>
    <row r="1277">
      <c r="A1277" s="15" t="s">
        <v>428</v>
      </c>
      <c r="B1277" s="15" t="s">
        <v>429</v>
      </c>
      <c r="C1277" s="15" t="s">
        <v>6095</v>
      </c>
      <c r="D1277" s="15" t="s">
        <v>430</v>
      </c>
      <c r="E1277" s="17" t="s">
        <v>431</v>
      </c>
      <c r="F1277" s="18"/>
      <c r="G1277" s="15" t="s">
        <v>432</v>
      </c>
      <c r="H1277" s="15" t="s">
        <v>433</v>
      </c>
      <c r="I1277" s="18"/>
      <c r="J1277" s="19" t="s">
        <v>59</v>
      </c>
      <c r="K1277" s="19" t="s">
        <v>60</v>
      </c>
      <c r="L1277" s="19" t="s">
        <v>38</v>
      </c>
      <c r="M1277" s="20">
        <f t="shared" si="1"/>
        <v>1935.84</v>
      </c>
      <c r="N1277" s="31">
        <v>5.0</v>
      </c>
      <c r="O1277" s="19" t="s">
        <v>107</v>
      </c>
      <c r="P1277" s="18"/>
      <c r="Q1277" s="18"/>
      <c r="R1277" s="23">
        <v>15.5</v>
      </c>
      <c r="S1277" s="23">
        <v>109.0</v>
      </c>
      <c r="T1277" s="23">
        <f t="shared" si="2"/>
        <v>104.64</v>
      </c>
      <c r="U1277" s="23">
        <f t="shared" si="3"/>
        <v>18.9875</v>
      </c>
      <c r="V1277" s="23">
        <f t="shared" si="4"/>
        <v>356.015625</v>
      </c>
      <c r="W1277" s="24">
        <f t="shared" si="5"/>
        <v>6.750967742</v>
      </c>
    </row>
    <row r="1278" hidden="1">
      <c r="A1278" s="15" t="s">
        <v>7967</v>
      </c>
      <c r="B1278" s="18"/>
      <c r="C1278" s="15" t="s">
        <v>7968</v>
      </c>
      <c r="D1278" s="18"/>
      <c r="E1278" s="17" t="s">
        <v>7969</v>
      </c>
      <c r="F1278" s="18"/>
      <c r="G1278" s="18"/>
      <c r="H1278" s="15" t="s">
        <v>1046</v>
      </c>
      <c r="I1278" s="18"/>
      <c r="J1278" s="19" t="s">
        <v>59</v>
      </c>
      <c r="K1278" s="33"/>
      <c r="L1278" s="19" t="s">
        <v>38</v>
      </c>
      <c r="M1278" s="20">
        <f t="shared" si="1"/>
        <v>0</v>
      </c>
      <c r="N1278" s="22"/>
      <c r="O1278" s="19" t="s">
        <v>39</v>
      </c>
      <c r="P1278" s="18"/>
      <c r="Q1278" s="18"/>
      <c r="R1278" s="23">
        <v>0.0</v>
      </c>
      <c r="S1278" s="23">
        <v>0.0</v>
      </c>
      <c r="T1278" s="23">
        <f t="shared" si="2"/>
        <v>0</v>
      </c>
      <c r="U1278" s="23">
        <f t="shared" si="3"/>
        <v>0</v>
      </c>
      <c r="V1278" s="23">
        <f t="shared" si="4"/>
        <v>0</v>
      </c>
      <c r="W1278" s="24" t="str">
        <f t="shared" si="5"/>
        <v>#DIV/0!</v>
      </c>
    </row>
    <row r="1279">
      <c r="A1279" s="15" t="s">
        <v>802</v>
      </c>
      <c r="B1279" s="15" t="s">
        <v>803</v>
      </c>
      <c r="C1279" s="15" t="s">
        <v>6051</v>
      </c>
      <c r="D1279" s="15" t="s">
        <v>804</v>
      </c>
      <c r="E1279" s="17" t="s">
        <v>805</v>
      </c>
      <c r="F1279" s="18"/>
      <c r="G1279" s="18"/>
      <c r="H1279" s="15" t="s">
        <v>806</v>
      </c>
      <c r="I1279" s="18"/>
      <c r="J1279" s="19" t="s">
        <v>59</v>
      </c>
      <c r="K1279" s="33"/>
      <c r="L1279" s="19" t="s">
        <v>38</v>
      </c>
      <c r="M1279" s="20">
        <f t="shared" si="1"/>
        <v>1562.88</v>
      </c>
      <c r="N1279" s="31">
        <v>5.0</v>
      </c>
      <c r="O1279" s="19" t="s">
        <v>107</v>
      </c>
      <c r="P1279" s="18"/>
      <c r="Q1279" s="18"/>
      <c r="R1279" s="23">
        <v>20.0</v>
      </c>
      <c r="S1279" s="23">
        <v>88.0</v>
      </c>
      <c r="T1279" s="23">
        <f t="shared" si="2"/>
        <v>84.48</v>
      </c>
      <c r="U1279" s="23">
        <f t="shared" si="3"/>
        <v>24.5</v>
      </c>
      <c r="V1279" s="23">
        <f t="shared" si="4"/>
        <v>459.375</v>
      </c>
      <c r="W1279" s="24">
        <f t="shared" si="5"/>
        <v>4.224</v>
      </c>
    </row>
    <row r="1280">
      <c r="A1280" s="15" t="s">
        <v>991</v>
      </c>
      <c r="B1280" s="15" t="s">
        <v>992</v>
      </c>
      <c r="C1280" s="15" t="s">
        <v>6052</v>
      </c>
      <c r="D1280" s="15" t="s">
        <v>993</v>
      </c>
      <c r="E1280" s="17" t="s">
        <v>994</v>
      </c>
      <c r="F1280" s="18"/>
      <c r="G1280" s="18"/>
      <c r="H1280" s="15" t="s">
        <v>995</v>
      </c>
      <c r="I1280" s="18"/>
      <c r="J1280" s="19" t="s">
        <v>59</v>
      </c>
      <c r="K1280" s="33"/>
      <c r="L1280" s="19" t="s">
        <v>38</v>
      </c>
      <c r="M1280" s="20">
        <f t="shared" si="1"/>
        <v>888</v>
      </c>
      <c r="N1280" s="31">
        <v>5.0</v>
      </c>
      <c r="O1280" s="19" t="s">
        <v>107</v>
      </c>
      <c r="P1280" s="18"/>
      <c r="Q1280" s="18"/>
      <c r="R1280" s="23">
        <v>14.0</v>
      </c>
      <c r="S1280" s="23">
        <v>50.0</v>
      </c>
      <c r="T1280" s="23">
        <f t="shared" si="2"/>
        <v>48</v>
      </c>
      <c r="U1280" s="23">
        <f t="shared" si="3"/>
        <v>17.15</v>
      </c>
      <c r="V1280" s="23">
        <f t="shared" si="4"/>
        <v>321.5625</v>
      </c>
      <c r="W1280" s="24">
        <f t="shared" si="5"/>
        <v>3.428571429</v>
      </c>
    </row>
    <row r="1281" hidden="1">
      <c r="A1281" s="15" t="s">
        <v>7970</v>
      </c>
      <c r="B1281" s="18"/>
      <c r="C1281" s="15" t="s">
        <v>7971</v>
      </c>
      <c r="D1281" s="18"/>
      <c r="E1281" s="17" t="s">
        <v>7972</v>
      </c>
      <c r="F1281" s="18"/>
      <c r="G1281" s="18"/>
      <c r="H1281" s="15" t="s">
        <v>7973</v>
      </c>
      <c r="I1281" s="15" t="s">
        <v>3922</v>
      </c>
      <c r="J1281" s="19" t="s">
        <v>59</v>
      </c>
      <c r="K1281" s="19" t="s">
        <v>2396</v>
      </c>
      <c r="L1281" s="19" t="s">
        <v>38</v>
      </c>
      <c r="M1281" s="20">
        <f t="shared" si="1"/>
        <v>0</v>
      </c>
      <c r="N1281" s="22"/>
      <c r="O1281" s="19" t="s">
        <v>39</v>
      </c>
      <c r="P1281" s="18"/>
      <c r="Q1281" s="18"/>
      <c r="R1281" s="23">
        <v>0.0</v>
      </c>
      <c r="S1281" s="23">
        <v>0.0</v>
      </c>
      <c r="T1281" s="23">
        <f t="shared" si="2"/>
        <v>0</v>
      </c>
      <c r="U1281" s="23">
        <f t="shared" si="3"/>
        <v>0</v>
      </c>
      <c r="V1281" s="23">
        <f t="shared" si="4"/>
        <v>0</v>
      </c>
      <c r="W1281" s="24" t="str">
        <f t="shared" si="5"/>
        <v>#DIV/0!</v>
      </c>
    </row>
    <row r="1282" hidden="1">
      <c r="A1282" s="15" t="s">
        <v>5243</v>
      </c>
      <c r="B1282" s="18"/>
      <c r="C1282" s="15" t="s">
        <v>7974</v>
      </c>
      <c r="D1282" s="18"/>
      <c r="E1282" s="17" t="s">
        <v>7975</v>
      </c>
      <c r="F1282" s="18"/>
      <c r="G1282" s="18"/>
      <c r="H1282" s="15" t="s">
        <v>5247</v>
      </c>
      <c r="I1282" s="15" t="s">
        <v>5246</v>
      </c>
      <c r="J1282" s="19" t="s">
        <v>59</v>
      </c>
      <c r="K1282" s="19" t="s">
        <v>2396</v>
      </c>
      <c r="L1282" s="19" t="s">
        <v>38</v>
      </c>
      <c r="M1282" s="20">
        <f t="shared" si="1"/>
        <v>0</v>
      </c>
      <c r="N1282" s="22"/>
      <c r="O1282" s="19" t="s">
        <v>1145</v>
      </c>
      <c r="P1282" s="18"/>
      <c r="Q1282" s="18"/>
      <c r="R1282" s="23">
        <v>0.0</v>
      </c>
      <c r="S1282" s="23">
        <v>0.0</v>
      </c>
      <c r="T1282" s="23">
        <f t="shared" si="2"/>
        <v>0</v>
      </c>
      <c r="U1282" s="23">
        <f t="shared" si="3"/>
        <v>0</v>
      </c>
      <c r="V1282" s="23">
        <f t="shared" si="4"/>
        <v>0</v>
      </c>
      <c r="W1282" s="24" t="str">
        <f t="shared" si="5"/>
        <v>#DIV/0!</v>
      </c>
    </row>
    <row r="1283" hidden="1">
      <c r="A1283" s="15" t="s">
        <v>3196</v>
      </c>
      <c r="B1283" s="18"/>
      <c r="C1283" s="15" t="s">
        <v>7976</v>
      </c>
      <c r="D1283" s="18"/>
      <c r="E1283" s="17" t="s">
        <v>3197</v>
      </c>
      <c r="F1283" s="18"/>
      <c r="G1283" s="18"/>
      <c r="H1283" s="15" t="s">
        <v>3198</v>
      </c>
      <c r="I1283" s="15" t="s">
        <v>3199</v>
      </c>
      <c r="J1283" s="19" t="s">
        <v>59</v>
      </c>
      <c r="K1283" s="19" t="s">
        <v>2396</v>
      </c>
      <c r="L1283" s="19" t="s">
        <v>38</v>
      </c>
      <c r="M1283" s="20">
        <f t="shared" si="1"/>
        <v>0</v>
      </c>
      <c r="N1283" s="22"/>
      <c r="O1283" s="19" t="s">
        <v>1145</v>
      </c>
      <c r="P1283" s="18"/>
      <c r="Q1283" s="18"/>
      <c r="R1283" s="23">
        <v>0.0</v>
      </c>
      <c r="S1283" s="23">
        <v>0.0</v>
      </c>
      <c r="T1283" s="23">
        <f t="shared" si="2"/>
        <v>0</v>
      </c>
      <c r="U1283" s="23">
        <f t="shared" si="3"/>
        <v>0</v>
      </c>
      <c r="V1283" s="23">
        <f t="shared" si="4"/>
        <v>0</v>
      </c>
      <c r="W1283" s="24" t="str">
        <f t="shared" si="5"/>
        <v>#DIV/0!</v>
      </c>
    </row>
    <row r="1284" hidden="1">
      <c r="A1284" s="15" t="s">
        <v>3200</v>
      </c>
      <c r="B1284" s="18"/>
      <c r="C1284" s="15" t="s">
        <v>7977</v>
      </c>
      <c r="D1284" s="18"/>
      <c r="E1284" s="17" t="s">
        <v>3201</v>
      </c>
      <c r="F1284" s="18"/>
      <c r="G1284" s="18"/>
      <c r="H1284" s="15" t="s">
        <v>3202</v>
      </c>
      <c r="I1284" s="15" t="s">
        <v>3203</v>
      </c>
      <c r="J1284" s="19" t="s">
        <v>59</v>
      </c>
      <c r="K1284" s="19" t="s">
        <v>2396</v>
      </c>
      <c r="L1284" s="19" t="s">
        <v>38</v>
      </c>
      <c r="M1284" s="20">
        <f t="shared" si="1"/>
        <v>0</v>
      </c>
      <c r="N1284" s="22"/>
      <c r="O1284" s="19" t="s">
        <v>1145</v>
      </c>
      <c r="P1284" s="18"/>
      <c r="Q1284" s="18"/>
      <c r="R1284" s="23">
        <v>0.0</v>
      </c>
      <c r="S1284" s="23">
        <v>0.0</v>
      </c>
      <c r="T1284" s="23">
        <f t="shared" si="2"/>
        <v>0</v>
      </c>
      <c r="U1284" s="23">
        <f t="shared" si="3"/>
        <v>0</v>
      </c>
      <c r="V1284" s="23">
        <f t="shared" si="4"/>
        <v>0</v>
      </c>
      <c r="W1284" s="24" t="str">
        <f t="shared" si="5"/>
        <v>#DIV/0!</v>
      </c>
    </row>
    <row r="1285" hidden="1">
      <c r="A1285" s="15" t="s">
        <v>7978</v>
      </c>
      <c r="B1285" s="18"/>
      <c r="C1285" s="15" t="s">
        <v>7979</v>
      </c>
      <c r="D1285" s="18"/>
      <c r="E1285" s="17" t="s">
        <v>7980</v>
      </c>
      <c r="F1285" s="18"/>
      <c r="G1285" s="18"/>
      <c r="H1285" s="15" t="s">
        <v>7981</v>
      </c>
      <c r="I1285" s="15" t="s">
        <v>5264</v>
      </c>
      <c r="J1285" s="19" t="s">
        <v>59</v>
      </c>
      <c r="K1285" s="19" t="s">
        <v>691</v>
      </c>
      <c r="L1285" s="19" t="s">
        <v>38</v>
      </c>
      <c r="M1285" s="20">
        <f t="shared" si="1"/>
        <v>0</v>
      </c>
      <c r="N1285" s="22"/>
      <c r="O1285" s="19" t="s">
        <v>39</v>
      </c>
      <c r="P1285" s="18"/>
      <c r="Q1285" s="18"/>
      <c r="R1285" s="23">
        <v>0.0</v>
      </c>
      <c r="S1285" s="23">
        <v>0.0</v>
      </c>
      <c r="T1285" s="23">
        <f t="shared" si="2"/>
        <v>0</v>
      </c>
      <c r="U1285" s="23">
        <f t="shared" si="3"/>
        <v>0</v>
      </c>
      <c r="V1285" s="23">
        <f t="shared" si="4"/>
        <v>0</v>
      </c>
      <c r="W1285" s="24" t="str">
        <f t="shared" si="5"/>
        <v>#DIV/0!</v>
      </c>
    </row>
    <row r="1286" hidden="1">
      <c r="A1286" s="15" t="s">
        <v>5248</v>
      </c>
      <c r="B1286" s="18"/>
      <c r="C1286" s="15" t="s">
        <v>7982</v>
      </c>
      <c r="D1286" s="18"/>
      <c r="E1286" s="17" t="s">
        <v>7983</v>
      </c>
      <c r="F1286" s="18"/>
      <c r="G1286" s="18"/>
      <c r="H1286" s="15" t="s">
        <v>5252</v>
      </c>
      <c r="I1286" s="15" t="s">
        <v>5251</v>
      </c>
      <c r="J1286" s="19" t="s">
        <v>59</v>
      </c>
      <c r="K1286" s="19" t="s">
        <v>691</v>
      </c>
      <c r="L1286" s="19" t="s">
        <v>38</v>
      </c>
      <c r="M1286" s="20">
        <f t="shared" si="1"/>
        <v>0</v>
      </c>
      <c r="N1286" s="22"/>
      <c r="O1286" s="19" t="s">
        <v>1145</v>
      </c>
      <c r="P1286" s="18"/>
      <c r="Q1286" s="18"/>
      <c r="R1286" s="23">
        <v>0.0</v>
      </c>
      <c r="S1286" s="23">
        <v>0.0</v>
      </c>
      <c r="T1286" s="23">
        <f t="shared" si="2"/>
        <v>0</v>
      </c>
      <c r="U1286" s="23">
        <f t="shared" si="3"/>
        <v>0</v>
      </c>
      <c r="V1286" s="23">
        <f t="shared" si="4"/>
        <v>0</v>
      </c>
      <c r="W1286" s="24" t="str">
        <f t="shared" si="5"/>
        <v>#DIV/0!</v>
      </c>
    </row>
    <row r="1287" hidden="1">
      <c r="A1287" s="15" t="s">
        <v>5253</v>
      </c>
      <c r="B1287" s="18"/>
      <c r="C1287" s="15" t="s">
        <v>7984</v>
      </c>
      <c r="D1287" s="18"/>
      <c r="E1287" s="17" t="s">
        <v>3205</v>
      </c>
      <c r="F1287" s="18"/>
      <c r="G1287" s="18"/>
      <c r="H1287" s="15" t="s">
        <v>7985</v>
      </c>
      <c r="I1287" s="15" t="s">
        <v>5256</v>
      </c>
      <c r="J1287" s="19" t="s">
        <v>59</v>
      </c>
      <c r="K1287" s="19" t="s">
        <v>691</v>
      </c>
      <c r="L1287" s="19" t="s">
        <v>38</v>
      </c>
      <c r="M1287" s="20">
        <f t="shared" si="1"/>
        <v>0</v>
      </c>
      <c r="N1287" s="22"/>
      <c r="O1287" s="19" t="s">
        <v>1145</v>
      </c>
      <c r="P1287" s="18"/>
      <c r="Q1287" s="18"/>
      <c r="R1287" s="23">
        <v>0.0</v>
      </c>
      <c r="S1287" s="23">
        <v>0.0</v>
      </c>
      <c r="T1287" s="23">
        <f t="shared" si="2"/>
        <v>0</v>
      </c>
      <c r="U1287" s="23">
        <f t="shared" si="3"/>
        <v>0</v>
      </c>
      <c r="V1287" s="23">
        <f t="shared" si="4"/>
        <v>0</v>
      </c>
      <c r="W1287" s="24" t="str">
        <f t="shared" si="5"/>
        <v>#DIV/0!</v>
      </c>
    </row>
    <row r="1288" hidden="1">
      <c r="A1288" s="15" t="s">
        <v>3204</v>
      </c>
      <c r="B1288" s="18"/>
      <c r="C1288" s="15" t="s">
        <v>7986</v>
      </c>
      <c r="D1288" s="18"/>
      <c r="E1288" s="17" t="s">
        <v>3205</v>
      </c>
      <c r="F1288" s="18"/>
      <c r="G1288" s="18"/>
      <c r="H1288" s="15" t="s">
        <v>3206</v>
      </c>
      <c r="I1288" s="15" t="s">
        <v>3207</v>
      </c>
      <c r="J1288" s="19" t="s">
        <v>59</v>
      </c>
      <c r="K1288" s="19" t="s">
        <v>2382</v>
      </c>
      <c r="L1288" s="19" t="s">
        <v>38</v>
      </c>
      <c r="M1288" s="20">
        <f t="shared" si="1"/>
        <v>0</v>
      </c>
      <c r="N1288" s="22"/>
      <c r="O1288" s="19" t="s">
        <v>1145</v>
      </c>
      <c r="P1288" s="18"/>
      <c r="Q1288" s="18"/>
      <c r="R1288" s="23">
        <v>0.0</v>
      </c>
      <c r="S1288" s="23">
        <v>0.0</v>
      </c>
      <c r="T1288" s="23">
        <f t="shared" si="2"/>
        <v>0</v>
      </c>
      <c r="U1288" s="23">
        <f t="shared" si="3"/>
        <v>0</v>
      </c>
      <c r="V1288" s="23">
        <f t="shared" si="4"/>
        <v>0</v>
      </c>
      <c r="W1288" s="24" t="str">
        <f t="shared" si="5"/>
        <v>#DIV/0!</v>
      </c>
    </row>
    <row r="1289" hidden="1">
      <c r="A1289" s="15" t="s">
        <v>3208</v>
      </c>
      <c r="B1289" s="18"/>
      <c r="C1289" s="15" t="s">
        <v>7987</v>
      </c>
      <c r="D1289" s="18"/>
      <c r="E1289" s="17" t="s">
        <v>3209</v>
      </c>
      <c r="F1289" s="18"/>
      <c r="G1289" s="18"/>
      <c r="H1289" s="15" t="s">
        <v>3210</v>
      </c>
      <c r="I1289" s="15" t="s">
        <v>3211</v>
      </c>
      <c r="J1289" s="19" t="s">
        <v>59</v>
      </c>
      <c r="K1289" s="19" t="s">
        <v>2382</v>
      </c>
      <c r="L1289" s="19" t="s">
        <v>38</v>
      </c>
      <c r="M1289" s="20">
        <f t="shared" si="1"/>
        <v>0</v>
      </c>
      <c r="N1289" s="22"/>
      <c r="O1289" s="19" t="s">
        <v>1145</v>
      </c>
      <c r="P1289" s="18"/>
      <c r="Q1289" s="18"/>
      <c r="R1289" s="23">
        <v>0.0</v>
      </c>
      <c r="S1289" s="23">
        <v>0.0</v>
      </c>
      <c r="T1289" s="23">
        <f t="shared" si="2"/>
        <v>0</v>
      </c>
      <c r="U1289" s="23">
        <f t="shared" si="3"/>
        <v>0</v>
      </c>
      <c r="V1289" s="23">
        <f t="shared" si="4"/>
        <v>0</v>
      </c>
      <c r="W1289" s="24" t="str">
        <f t="shared" si="5"/>
        <v>#DIV/0!</v>
      </c>
    </row>
    <row r="1290" hidden="1">
      <c r="A1290" s="15" t="s">
        <v>3212</v>
      </c>
      <c r="B1290" s="18"/>
      <c r="C1290" s="15" t="s">
        <v>7988</v>
      </c>
      <c r="D1290" s="18"/>
      <c r="E1290" s="17" t="s">
        <v>3213</v>
      </c>
      <c r="F1290" s="18"/>
      <c r="G1290" s="18"/>
      <c r="H1290" s="15" t="s">
        <v>3214</v>
      </c>
      <c r="I1290" s="15" t="s">
        <v>3215</v>
      </c>
      <c r="J1290" s="19" t="s">
        <v>59</v>
      </c>
      <c r="K1290" s="19" t="s">
        <v>2382</v>
      </c>
      <c r="L1290" s="19" t="s">
        <v>38</v>
      </c>
      <c r="M1290" s="20">
        <f t="shared" si="1"/>
        <v>0</v>
      </c>
      <c r="N1290" s="22"/>
      <c r="O1290" s="19" t="s">
        <v>1145</v>
      </c>
      <c r="P1290" s="18"/>
      <c r="Q1290" s="18"/>
      <c r="R1290" s="23">
        <v>0.0</v>
      </c>
      <c r="S1290" s="23">
        <v>0.0</v>
      </c>
      <c r="T1290" s="23">
        <f t="shared" si="2"/>
        <v>0</v>
      </c>
      <c r="U1290" s="23">
        <f t="shared" si="3"/>
        <v>0</v>
      </c>
      <c r="V1290" s="23">
        <f t="shared" si="4"/>
        <v>0</v>
      </c>
      <c r="W1290" s="24" t="str">
        <f t="shared" si="5"/>
        <v>#DIV/0!</v>
      </c>
    </row>
    <row r="1291" hidden="1">
      <c r="A1291" s="15" t="s">
        <v>3216</v>
      </c>
      <c r="B1291" s="18"/>
      <c r="C1291" s="15" t="s">
        <v>7989</v>
      </c>
      <c r="D1291" s="18"/>
      <c r="E1291" s="17" t="s">
        <v>3217</v>
      </c>
      <c r="F1291" s="18"/>
      <c r="G1291" s="18"/>
      <c r="H1291" s="15" t="s">
        <v>3218</v>
      </c>
      <c r="I1291" s="15" t="s">
        <v>3219</v>
      </c>
      <c r="J1291" s="19" t="s">
        <v>59</v>
      </c>
      <c r="K1291" s="19" t="s">
        <v>2382</v>
      </c>
      <c r="L1291" s="19" t="s">
        <v>38</v>
      </c>
      <c r="M1291" s="20">
        <f t="shared" si="1"/>
        <v>0</v>
      </c>
      <c r="N1291" s="22"/>
      <c r="O1291" s="19" t="s">
        <v>1145</v>
      </c>
      <c r="P1291" s="18"/>
      <c r="Q1291" s="18"/>
      <c r="R1291" s="23">
        <v>0.0</v>
      </c>
      <c r="S1291" s="23">
        <v>0.0</v>
      </c>
      <c r="T1291" s="23">
        <f t="shared" si="2"/>
        <v>0</v>
      </c>
      <c r="U1291" s="23">
        <f t="shared" si="3"/>
        <v>0</v>
      </c>
      <c r="V1291" s="23">
        <f t="shared" si="4"/>
        <v>0</v>
      </c>
      <c r="W1291" s="24" t="str">
        <f t="shared" si="5"/>
        <v>#DIV/0!</v>
      </c>
    </row>
    <row r="1292" hidden="1">
      <c r="A1292" s="15" t="s">
        <v>5257</v>
      </c>
      <c r="B1292" s="18"/>
      <c r="C1292" s="15" t="s">
        <v>7990</v>
      </c>
      <c r="D1292" s="18"/>
      <c r="E1292" s="17" t="s">
        <v>7991</v>
      </c>
      <c r="F1292" s="18"/>
      <c r="G1292" s="18"/>
      <c r="H1292" s="15" t="s">
        <v>7992</v>
      </c>
      <c r="I1292" s="15" t="s">
        <v>5260</v>
      </c>
      <c r="J1292" s="19" t="s">
        <v>59</v>
      </c>
      <c r="K1292" s="19" t="s">
        <v>2401</v>
      </c>
      <c r="L1292" s="19" t="s">
        <v>38</v>
      </c>
      <c r="M1292" s="20">
        <f t="shared" si="1"/>
        <v>0</v>
      </c>
      <c r="N1292" s="22"/>
      <c r="O1292" s="19" t="s">
        <v>1145</v>
      </c>
      <c r="P1292" s="18"/>
      <c r="Q1292" s="18"/>
      <c r="R1292" s="23">
        <v>0.0</v>
      </c>
      <c r="S1292" s="23">
        <v>0.0</v>
      </c>
      <c r="T1292" s="23">
        <f t="shared" si="2"/>
        <v>0</v>
      </c>
      <c r="U1292" s="23">
        <f t="shared" si="3"/>
        <v>0</v>
      </c>
      <c r="V1292" s="23">
        <f t="shared" si="4"/>
        <v>0</v>
      </c>
      <c r="W1292" s="24" t="str">
        <f t="shared" si="5"/>
        <v>#DIV/0!</v>
      </c>
    </row>
    <row r="1293" hidden="1">
      <c r="A1293" s="15" t="s">
        <v>7993</v>
      </c>
      <c r="B1293" s="18"/>
      <c r="C1293" s="15" t="s">
        <v>7994</v>
      </c>
      <c r="D1293" s="18"/>
      <c r="E1293" s="17" t="s">
        <v>7995</v>
      </c>
      <c r="F1293" s="18"/>
      <c r="G1293" s="18"/>
      <c r="H1293" s="15" t="s">
        <v>7996</v>
      </c>
      <c r="I1293" s="15" t="s">
        <v>3908</v>
      </c>
      <c r="J1293" s="19" t="s">
        <v>59</v>
      </c>
      <c r="K1293" s="19" t="s">
        <v>691</v>
      </c>
      <c r="L1293" s="19" t="s">
        <v>38</v>
      </c>
      <c r="M1293" s="20">
        <f t="shared" si="1"/>
        <v>0</v>
      </c>
      <c r="N1293" s="22"/>
      <c r="O1293" s="19" t="s">
        <v>39</v>
      </c>
      <c r="P1293" s="18"/>
      <c r="Q1293" s="18"/>
      <c r="R1293" s="23">
        <v>0.0</v>
      </c>
      <c r="S1293" s="23">
        <v>0.0</v>
      </c>
      <c r="T1293" s="23">
        <f t="shared" si="2"/>
        <v>0</v>
      </c>
      <c r="U1293" s="23">
        <f t="shared" si="3"/>
        <v>0</v>
      </c>
      <c r="V1293" s="23">
        <f t="shared" si="4"/>
        <v>0</v>
      </c>
      <c r="W1293" s="24" t="str">
        <f t="shared" si="5"/>
        <v>#DIV/0!</v>
      </c>
    </row>
    <row r="1294" hidden="1">
      <c r="A1294" s="15" t="s">
        <v>7997</v>
      </c>
      <c r="B1294" s="18"/>
      <c r="C1294" s="15" t="s">
        <v>7998</v>
      </c>
      <c r="D1294" s="18"/>
      <c r="E1294" s="17" t="s">
        <v>7999</v>
      </c>
      <c r="F1294" s="18"/>
      <c r="G1294" s="18"/>
      <c r="H1294" s="15" t="s">
        <v>8000</v>
      </c>
      <c r="I1294" s="15" t="s">
        <v>3980</v>
      </c>
      <c r="J1294" s="19" t="s">
        <v>59</v>
      </c>
      <c r="K1294" s="19" t="s">
        <v>691</v>
      </c>
      <c r="L1294" s="19" t="s">
        <v>38</v>
      </c>
      <c r="M1294" s="20">
        <f t="shared" si="1"/>
        <v>0</v>
      </c>
      <c r="N1294" s="22"/>
      <c r="O1294" s="19" t="s">
        <v>39</v>
      </c>
      <c r="P1294" s="18"/>
      <c r="Q1294" s="18"/>
      <c r="R1294" s="23">
        <v>0.0</v>
      </c>
      <c r="S1294" s="23">
        <v>0.0</v>
      </c>
      <c r="T1294" s="23">
        <f t="shared" si="2"/>
        <v>0</v>
      </c>
      <c r="U1294" s="23">
        <f t="shared" si="3"/>
        <v>0</v>
      </c>
      <c r="V1294" s="23">
        <f t="shared" si="4"/>
        <v>0</v>
      </c>
      <c r="W1294" s="24" t="str">
        <f t="shared" si="5"/>
        <v>#DIV/0!</v>
      </c>
    </row>
    <row r="1295" hidden="1">
      <c r="A1295" s="15" t="s">
        <v>8001</v>
      </c>
      <c r="B1295" s="18"/>
      <c r="C1295" s="15" t="s">
        <v>8002</v>
      </c>
      <c r="D1295" s="18"/>
      <c r="E1295" s="17" t="s">
        <v>8003</v>
      </c>
      <c r="F1295" s="18"/>
      <c r="G1295" s="18"/>
      <c r="H1295" s="15" t="s">
        <v>8004</v>
      </c>
      <c r="I1295" s="15" t="s">
        <v>182</v>
      </c>
      <c r="J1295" s="19" t="s">
        <v>59</v>
      </c>
      <c r="K1295" s="19" t="s">
        <v>691</v>
      </c>
      <c r="L1295" s="19" t="s">
        <v>38</v>
      </c>
      <c r="M1295" s="20">
        <f t="shared" si="1"/>
        <v>0</v>
      </c>
      <c r="N1295" s="22"/>
      <c r="O1295" s="19" t="s">
        <v>39</v>
      </c>
      <c r="P1295" s="18"/>
      <c r="Q1295" s="18"/>
      <c r="R1295" s="23">
        <v>0.0</v>
      </c>
      <c r="S1295" s="23">
        <v>0.0</v>
      </c>
      <c r="T1295" s="23">
        <f t="shared" si="2"/>
        <v>0</v>
      </c>
      <c r="U1295" s="23">
        <f t="shared" si="3"/>
        <v>0</v>
      </c>
      <c r="V1295" s="23">
        <f t="shared" si="4"/>
        <v>0</v>
      </c>
      <c r="W1295" s="24" t="str">
        <f t="shared" si="5"/>
        <v>#DIV/0!</v>
      </c>
    </row>
    <row r="1296" hidden="1">
      <c r="A1296" s="15" t="s">
        <v>5261</v>
      </c>
      <c r="B1296" s="15" t="s">
        <v>5262</v>
      </c>
      <c r="C1296" s="15" t="s">
        <v>8005</v>
      </c>
      <c r="D1296" s="18"/>
      <c r="E1296" s="17" t="s">
        <v>5263</v>
      </c>
      <c r="F1296" s="18"/>
      <c r="G1296" s="18"/>
      <c r="H1296" s="15" t="s">
        <v>5264</v>
      </c>
      <c r="I1296" s="18"/>
      <c r="J1296" s="19" t="s">
        <v>59</v>
      </c>
      <c r="K1296" s="33"/>
      <c r="L1296" s="19" t="s">
        <v>38</v>
      </c>
      <c r="M1296" s="20">
        <f t="shared" si="1"/>
        <v>0</v>
      </c>
      <c r="N1296" s="22"/>
      <c r="O1296" s="19" t="s">
        <v>3578</v>
      </c>
      <c r="P1296" s="18"/>
      <c r="Q1296" s="18"/>
      <c r="R1296" s="23">
        <v>0.0</v>
      </c>
      <c r="S1296" s="23">
        <v>0.0</v>
      </c>
      <c r="T1296" s="23">
        <f t="shared" si="2"/>
        <v>0</v>
      </c>
      <c r="U1296" s="23">
        <f t="shared" si="3"/>
        <v>0</v>
      </c>
      <c r="V1296" s="23">
        <f t="shared" si="4"/>
        <v>0</v>
      </c>
      <c r="W1296" s="24" t="str">
        <f t="shared" si="5"/>
        <v>#DIV/0!</v>
      </c>
    </row>
    <row r="1297">
      <c r="A1297" s="15" t="s">
        <v>969</v>
      </c>
      <c r="B1297" s="15" t="s">
        <v>970</v>
      </c>
      <c r="C1297" s="15" t="s">
        <v>8006</v>
      </c>
      <c r="D1297" s="15" t="s">
        <v>971</v>
      </c>
      <c r="E1297" s="17" t="s">
        <v>972</v>
      </c>
      <c r="F1297" s="18"/>
      <c r="G1297" s="18"/>
      <c r="H1297" s="15" t="s">
        <v>973</v>
      </c>
      <c r="I1297" s="18"/>
      <c r="J1297" s="19" t="s">
        <v>59</v>
      </c>
      <c r="K1297" s="19" t="s">
        <v>60</v>
      </c>
      <c r="L1297" s="19" t="s">
        <v>177</v>
      </c>
      <c r="M1297" s="20">
        <f t="shared" si="1"/>
        <v>13852.8</v>
      </c>
      <c r="N1297" s="31">
        <v>2.0</v>
      </c>
      <c r="O1297" s="19" t="s">
        <v>107</v>
      </c>
      <c r="P1297" s="18"/>
      <c r="Q1297" s="18"/>
      <c r="R1297" s="23">
        <v>210.0</v>
      </c>
      <c r="S1297" s="23">
        <v>780.0</v>
      </c>
      <c r="T1297" s="23">
        <f t="shared" si="2"/>
        <v>748.8</v>
      </c>
      <c r="U1297" s="23">
        <f t="shared" si="3"/>
        <v>257.25</v>
      </c>
      <c r="V1297" s="23">
        <f t="shared" si="4"/>
        <v>4823.4375</v>
      </c>
      <c r="W1297" s="24">
        <f t="shared" si="5"/>
        <v>3.565714286</v>
      </c>
    </row>
    <row r="1298">
      <c r="A1298" s="15" t="s">
        <v>298</v>
      </c>
      <c r="B1298" s="15" t="s">
        <v>299</v>
      </c>
      <c r="C1298" s="15" t="s">
        <v>6053</v>
      </c>
      <c r="D1298" s="15" t="s">
        <v>300</v>
      </c>
      <c r="E1298" s="17" t="s">
        <v>8007</v>
      </c>
      <c r="F1298" s="18"/>
      <c r="G1298" s="18"/>
      <c r="H1298" s="15" t="s">
        <v>302</v>
      </c>
      <c r="I1298" s="18"/>
      <c r="J1298" s="19" t="s">
        <v>59</v>
      </c>
      <c r="K1298" s="19" t="s">
        <v>60</v>
      </c>
      <c r="L1298" s="19" t="s">
        <v>177</v>
      </c>
      <c r="M1298" s="20">
        <f t="shared" si="1"/>
        <v>14580.96</v>
      </c>
      <c r="N1298" s="31">
        <v>3.0</v>
      </c>
      <c r="O1298" s="19" t="s">
        <v>107</v>
      </c>
      <c r="P1298" s="18"/>
      <c r="Q1298" s="18"/>
      <c r="R1298" s="23">
        <v>100.0</v>
      </c>
      <c r="S1298" s="23">
        <v>821.0</v>
      </c>
      <c r="T1298" s="23">
        <f t="shared" si="2"/>
        <v>788.16</v>
      </c>
      <c r="U1298" s="23">
        <f t="shared" si="3"/>
        <v>122.5</v>
      </c>
      <c r="V1298" s="23">
        <f t="shared" si="4"/>
        <v>2296.875</v>
      </c>
      <c r="W1298" s="24">
        <f t="shared" si="5"/>
        <v>7.8816</v>
      </c>
    </row>
    <row r="1299" hidden="1">
      <c r="A1299" s="15" t="s">
        <v>8008</v>
      </c>
      <c r="B1299" s="15" t="s">
        <v>8009</v>
      </c>
      <c r="C1299" s="15" t="s">
        <v>6054</v>
      </c>
      <c r="D1299" s="18"/>
      <c r="E1299" s="17" t="s">
        <v>8010</v>
      </c>
      <c r="F1299" s="18"/>
      <c r="G1299" s="18"/>
      <c r="H1299" s="15" t="s">
        <v>973</v>
      </c>
      <c r="I1299" s="18"/>
      <c r="J1299" s="19" t="s">
        <v>59</v>
      </c>
      <c r="K1299" s="33"/>
      <c r="L1299" s="19" t="s">
        <v>38</v>
      </c>
      <c r="M1299" s="20">
        <f t="shared" si="1"/>
        <v>0</v>
      </c>
      <c r="N1299" s="22"/>
      <c r="O1299" s="19" t="s">
        <v>39</v>
      </c>
      <c r="P1299" s="18"/>
      <c r="Q1299" s="18"/>
      <c r="R1299" s="23">
        <v>0.0</v>
      </c>
      <c r="S1299" s="23">
        <v>0.0</v>
      </c>
      <c r="T1299" s="23">
        <f t="shared" si="2"/>
        <v>0</v>
      </c>
      <c r="U1299" s="23">
        <f t="shared" si="3"/>
        <v>0</v>
      </c>
      <c r="V1299" s="23">
        <f t="shared" si="4"/>
        <v>0</v>
      </c>
      <c r="W1299" s="24" t="str">
        <f t="shared" si="5"/>
        <v>#DIV/0!</v>
      </c>
    </row>
    <row r="1300" hidden="1">
      <c r="A1300" s="15" t="s">
        <v>5265</v>
      </c>
      <c r="B1300" s="15" t="s">
        <v>5266</v>
      </c>
      <c r="C1300" s="15" t="s">
        <v>8011</v>
      </c>
      <c r="D1300" s="15" t="s">
        <v>5267</v>
      </c>
      <c r="E1300" s="17" t="s">
        <v>5268</v>
      </c>
      <c r="F1300" s="18"/>
      <c r="G1300" s="18"/>
      <c r="H1300" s="15" t="s">
        <v>5269</v>
      </c>
      <c r="I1300" s="18"/>
      <c r="J1300" s="19" t="s">
        <v>59</v>
      </c>
      <c r="K1300" s="33"/>
      <c r="L1300" s="19" t="s">
        <v>38</v>
      </c>
      <c r="M1300" s="20">
        <f t="shared" si="1"/>
        <v>0</v>
      </c>
      <c r="N1300" s="22"/>
      <c r="O1300" s="19" t="s">
        <v>3578</v>
      </c>
      <c r="P1300" s="18"/>
      <c r="Q1300" s="18"/>
      <c r="R1300" s="23">
        <v>0.0</v>
      </c>
      <c r="S1300" s="23">
        <v>0.0</v>
      </c>
      <c r="T1300" s="23">
        <f t="shared" si="2"/>
        <v>0</v>
      </c>
      <c r="U1300" s="23">
        <f t="shared" si="3"/>
        <v>0</v>
      </c>
      <c r="V1300" s="23">
        <f t="shared" si="4"/>
        <v>0</v>
      </c>
      <c r="W1300" s="24" t="str">
        <f t="shared" si="5"/>
        <v>#DIV/0!</v>
      </c>
    </row>
    <row r="1301">
      <c r="A1301" s="15" t="s">
        <v>248</v>
      </c>
      <c r="B1301" s="15" t="s">
        <v>249</v>
      </c>
      <c r="C1301" s="15" t="s">
        <v>6096</v>
      </c>
      <c r="D1301" s="15" t="s">
        <v>250</v>
      </c>
      <c r="E1301" s="17" t="s">
        <v>251</v>
      </c>
      <c r="F1301" s="18"/>
      <c r="G1301" s="15" t="s">
        <v>252</v>
      </c>
      <c r="H1301" s="15" t="s">
        <v>253</v>
      </c>
      <c r="I1301" s="18"/>
      <c r="J1301" s="19" t="s">
        <v>59</v>
      </c>
      <c r="K1301" s="33"/>
      <c r="L1301" s="19" t="s">
        <v>38</v>
      </c>
      <c r="M1301" s="20">
        <f t="shared" si="1"/>
        <v>2823.84</v>
      </c>
      <c r="N1301" s="31">
        <v>6.0</v>
      </c>
      <c r="O1301" s="19" t="s">
        <v>107</v>
      </c>
      <c r="P1301" s="18"/>
      <c r="Q1301" s="18"/>
      <c r="R1301" s="23">
        <v>17.0</v>
      </c>
      <c r="S1301" s="23">
        <v>159.0</v>
      </c>
      <c r="T1301" s="23">
        <f t="shared" si="2"/>
        <v>152.64</v>
      </c>
      <c r="U1301" s="23">
        <f t="shared" si="3"/>
        <v>20.825</v>
      </c>
      <c r="V1301" s="23">
        <f t="shared" si="4"/>
        <v>390.46875</v>
      </c>
      <c r="W1301" s="24">
        <f t="shared" si="5"/>
        <v>8.978823529</v>
      </c>
    </row>
    <row r="1302" hidden="1">
      <c r="A1302" s="15" t="s">
        <v>5270</v>
      </c>
      <c r="B1302" s="15" t="s">
        <v>5271</v>
      </c>
      <c r="C1302" s="15" t="s">
        <v>8012</v>
      </c>
      <c r="D1302" s="42" t="s">
        <v>5272</v>
      </c>
      <c r="E1302" s="17" t="s">
        <v>5273</v>
      </c>
      <c r="F1302" s="18"/>
      <c r="G1302" s="18"/>
      <c r="H1302" s="15" t="s">
        <v>5274</v>
      </c>
      <c r="I1302" s="15" t="s">
        <v>3912</v>
      </c>
      <c r="J1302" s="19" t="s">
        <v>59</v>
      </c>
      <c r="K1302" s="33"/>
      <c r="L1302" s="19" t="s">
        <v>38</v>
      </c>
      <c r="M1302" s="20">
        <f t="shared" si="1"/>
        <v>0</v>
      </c>
      <c r="N1302" s="22"/>
      <c r="O1302" s="19" t="s">
        <v>3578</v>
      </c>
      <c r="P1302" s="18"/>
      <c r="Q1302" s="18"/>
      <c r="R1302" s="23">
        <v>0.0</v>
      </c>
      <c r="S1302" s="23">
        <v>0.0</v>
      </c>
      <c r="T1302" s="23">
        <f t="shared" si="2"/>
        <v>0</v>
      </c>
      <c r="U1302" s="23">
        <f t="shared" si="3"/>
        <v>0</v>
      </c>
      <c r="V1302" s="23">
        <f t="shared" si="4"/>
        <v>0</v>
      </c>
      <c r="W1302" s="24" t="str">
        <f t="shared" si="5"/>
        <v>#DIV/0!</v>
      </c>
    </row>
    <row r="1303" hidden="1">
      <c r="A1303" s="15" t="s">
        <v>3220</v>
      </c>
      <c r="B1303" s="18"/>
      <c r="C1303" s="15" t="s">
        <v>8013</v>
      </c>
      <c r="D1303" s="18"/>
      <c r="E1303" s="17" t="s">
        <v>3221</v>
      </c>
      <c r="F1303" s="18"/>
      <c r="G1303" s="18"/>
      <c r="H1303" s="15" t="s">
        <v>3222</v>
      </c>
      <c r="I1303" s="15" t="s">
        <v>3223</v>
      </c>
      <c r="J1303" s="19" t="s">
        <v>59</v>
      </c>
      <c r="K1303" s="19" t="s">
        <v>2396</v>
      </c>
      <c r="L1303" s="19" t="s">
        <v>38</v>
      </c>
      <c r="M1303" s="20">
        <f t="shared" si="1"/>
        <v>0</v>
      </c>
      <c r="N1303" s="22"/>
      <c r="O1303" s="19" t="s">
        <v>1145</v>
      </c>
      <c r="P1303" s="18"/>
      <c r="Q1303" s="18"/>
      <c r="R1303" s="23">
        <v>0.0</v>
      </c>
      <c r="S1303" s="23">
        <v>0.0</v>
      </c>
      <c r="T1303" s="23">
        <f t="shared" si="2"/>
        <v>0</v>
      </c>
      <c r="U1303" s="23">
        <f t="shared" si="3"/>
        <v>0</v>
      </c>
      <c r="V1303" s="23">
        <f t="shared" si="4"/>
        <v>0</v>
      </c>
      <c r="W1303" s="24" t="str">
        <f t="shared" si="5"/>
        <v>#DIV/0!</v>
      </c>
    </row>
    <row r="1304" hidden="1">
      <c r="A1304" s="15" t="s">
        <v>3224</v>
      </c>
      <c r="B1304" s="18"/>
      <c r="C1304" s="15" t="s">
        <v>8014</v>
      </c>
      <c r="D1304" s="18"/>
      <c r="E1304" s="17" t="s">
        <v>3225</v>
      </c>
      <c r="F1304" s="18"/>
      <c r="G1304" s="18"/>
      <c r="H1304" s="15" t="s">
        <v>3226</v>
      </c>
      <c r="I1304" s="15" t="s">
        <v>3227</v>
      </c>
      <c r="J1304" s="19" t="s">
        <v>59</v>
      </c>
      <c r="K1304" s="19" t="s">
        <v>2396</v>
      </c>
      <c r="L1304" s="19" t="s">
        <v>38</v>
      </c>
      <c r="M1304" s="20">
        <f t="shared" si="1"/>
        <v>0</v>
      </c>
      <c r="N1304" s="22"/>
      <c r="O1304" s="19" t="s">
        <v>1145</v>
      </c>
      <c r="P1304" s="18"/>
      <c r="Q1304" s="18"/>
      <c r="R1304" s="23">
        <v>0.0</v>
      </c>
      <c r="S1304" s="23">
        <v>0.0</v>
      </c>
      <c r="T1304" s="23">
        <f t="shared" si="2"/>
        <v>0</v>
      </c>
      <c r="U1304" s="23">
        <f t="shared" si="3"/>
        <v>0</v>
      </c>
      <c r="V1304" s="23">
        <f t="shared" si="4"/>
        <v>0</v>
      </c>
      <c r="W1304" s="24" t="str">
        <f t="shared" si="5"/>
        <v>#DIV/0!</v>
      </c>
    </row>
    <row r="1305" hidden="1">
      <c r="A1305" s="15" t="s">
        <v>3228</v>
      </c>
      <c r="B1305" s="18"/>
      <c r="C1305" s="15" t="s">
        <v>8015</v>
      </c>
      <c r="D1305" s="18"/>
      <c r="E1305" s="17" t="s">
        <v>3229</v>
      </c>
      <c r="F1305" s="18"/>
      <c r="G1305" s="18"/>
      <c r="H1305" s="15" t="s">
        <v>3230</v>
      </c>
      <c r="I1305" s="15" t="s">
        <v>3231</v>
      </c>
      <c r="J1305" s="19" t="s">
        <v>59</v>
      </c>
      <c r="K1305" s="19" t="s">
        <v>2396</v>
      </c>
      <c r="L1305" s="19" t="s">
        <v>38</v>
      </c>
      <c r="M1305" s="20">
        <f t="shared" si="1"/>
        <v>0</v>
      </c>
      <c r="N1305" s="22"/>
      <c r="O1305" s="19" t="s">
        <v>1145</v>
      </c>
      <c r="P1305" s="18"/>
      <c r="Q1305" s="18"/>
      <c r="R1305" s="23">
        <v>0.0</v>
      </c>
      <c r="S1305" s="23">
        <v>0.0</v>
      </c>
      <c r="T1305" s="23">
        <f t="shared" si="2"/>
        <v>0</v>
      </c>
      <c r="U1305" s="23">
        <f t="shared" si="3"/>
        <v>0</v>
      </c>
      <c r="V1305" s="23">
        <f t="shared" si="4"/>
        <v>0</v>
      </c>
      <c r="W1305" s="24" t="str">
        <f t="shared" si="5"/>
        <v>#DIV/0!</v>
      </c>
    </row>
    <row r="1306" hidden="1">
      <c r="A1306" s="15" t="s">
        <v>3232</v>
      </c>
      <c r="B1306" s="18"/>
      <c r="C1306" s="15" t="s">
        <v>8016</v>
      </c>
      <c r="D1306" s="18"/>
      <c r="E1306" s="17" t="s">
        <v>3233</v>
      </c>
      <c r="F1306" s="18"/>
      <c r="G1306" s="18"/>
      <c r="H1306" s="15" t="s">
        <v>3234</v>
      </c>
      <c r="I1306" s="15" t="s">
        <v>3235</v>
      </c>
      <c r="J1306" s="19" t="s">
        <v>59</v>
      </c>
      <c r="K1306" s="19" t="s">
        <v>2396</v>
      </c>
      <c r="L1306" s="19" t="s">
        <v>38</v>
      </c>
      <c r="M1306" s="20">
        <f t="shared" si="1"/>
        <v>0</v>
      </c>
      <c r="N1306" s="22"/>
      <c r="O1306" s="19" t="s">
        <v>1145</v>
      </c>
      <c r="P1306" s="18"/>
      <c r="Q1306" s="18"/>
      <c r="R1306" s="23">
        <v>0.0</v>
      </c>
      <c r="S1306" s="23">
        <v>0.0</v>
      </c>
      <c r="T1306" s="23">
        <f t="shared" si="2"/>
        <v>0</v>
      </c>
      <c r="U1306" s="23">
        <f t="shared" si="3"/>
        <v>0</v>
      </c>
      <c r="V1306" s="23">
        <f t="shared" si="4"/>
        <v>0</v>
      </c>
      <c r="W1306" s="24" t="str">
        <f t="shared" si="5"/>
        <v>#DIV/0!</v>
      </c>
    </row>
    <row r="1307" hidden="1">
      <c r="A1307" s="15" t="s">
        <v>8017</v>
      </c>
      <c r="B1307" s="18"/>
      <c r="C1307" s="15" t="s">
        <v>6641</v>
      </c>
      <c r="D1307" s="18"/>
      <c r="E1307" s="17" t="s">
        <v>1115</v>
      </c>
      <c r="F1307" s="18"/>
      <c r="G1307" s="18"/>
      <c r="H1307" s="18"/>
      <c r="I1307" s="18"/>
      <c r="J1307" s="19" t="s">
        <v>104</v>
      </c>
      <c r="K1307" s="19" t="s">
        <v>105</v>
      </c>
      <c r="L1307" s="19" t="s">
        <v>38</v>
      </c>
      <c r="M1307" s="20">
        <f t="shared" si="1"/>
        <v>0</v>
      </c>
      <c r="N1307" s="22"/>
      <c r="O1307" s="19" t="s">
        <v>39</v>
      </c>
      <c r="P1307" s="18"/>
      <c r="Q1307" s="18"/>
      <c r="R1307" s="23">
        <v>0.0</v>
      </c>
      <c r="S1307" s="23">
        <v>0.0</v>
      </c>
      <c r="T1307" s="23">
        <f t="shared" si="2"/>
        <v>0</v>
      </c>
      <c r="U1307" s="23">
        <f t="shared" si="3"/>
        <v>0</v>
      </c>
      <c r="V1307" s="23">
        <f t="shared" si="4"/>
        <v>0</v>
      </c>
      <c r="W1307" s="24" t="str">
        <f t="shared" si="5"/>
        <v>#DIV/0!</v>
      </c>
    </row>
    <row r="1308">
      <c r="A1308" s="15" t="s">
        <v>1063</v>
      </c>
      <c r="B1308" s="15" t="s">
        <v>1064</v>
      </c>
      <c r="C1308" s="15" t="s">
        <v>6119</v>
      </c>
      <c r="D1308" s="15" t="s">
        <v>1065</v>
      </c>
      <c r="E1308" s="17" t="s">
        <v>1066</v>
      </c>
      <c r="F1308" s="15" t="s">
        <v>1067</v>
      </c>
      <c r="G1308" s="15" t="s">
        <v>1067</v>
      </c>
      <c r="H1308" s="15" t="s">
        <v>1068</v>
      </c>
      <c r="I1308" s="18"/>
      <c r="J1308" s="19" t="s">
        <v>104</v>
      </c>
      <c r="K1308" s="19" t="s">
        <v>831</v>
      </c>
      <c r="L1308" s="19" t="s">
        <v>106</v>
      </c>
      <c r="M1308" s="20">
        <f t="shared" si="1"/>
        <v>3782.88</v>
      </c>
      <c r="N1308" s="31">
        <v>50.0</v>
      </c>
      <c r="O1308" s="19" t="s">
        <v>107</v>
      </c>
      <c r="P1308" s="18"/>
      <c r="Q1308" s="18"/>
      <c r="R1308" s="23">
        <v>62.0</v>
      </c>
      <c r="S1308" s="23">
        <v>213.0</v>
      </c>
      <c r="T1308" s="23">
        <f t="shared" si="2"/>
        <v>204.48</v>
      </c>
      <c r="U1308" s="23">
        <f t="shared" si="3"/>
        <v>75.95</v>
      </c>
      <c r="V1308" s="23">
        <f t="shared" si="4"/>
        <v>1424.0625</v>
      </c>
      <c r="W1308" s="24">
        <f t="shared" si="5"/>
        <v>3.298064516</v>
      </c>
    </row>
    <row r="1309">
      <c r="A1309" s="15" t="s">
        <v>807</v>
      </c>
      <c r="B1309" s="15" t="s">
        <v>808</v>
      </c>
      <c r="C1309" s="15" t="s">
        <v>6098</v>
      </c>
      <c r="D1309" s="15" t="s">
        <v>809</v>
      </c>
      <c r="E1309" s="17" t="s">
        <v>810</v>
      </c>
      <c r="F1309" s="18"/>
      <c r="G1309" s="15" t="s">
        <v>811</v>
      </c>
      <c r="H1309" s="15" t="s">
        <v>812</v>
      </c>
      <c r="I1309" s="18"/>
      <c r="J1309" s="19" t="s">
        <v>104</v>
      </c>
      <c r="K1309" s="19" t="s">
        <v>160</v>
      </c>
      <c r="L1309" s="19" t="s">
        <v>106</v>
      </c>
      <c r="M1309" s="20">
        <f t="shared" si="1"/>
        <v>1083.36</v>
      </c>
      <c r="N1309" s="31">
        <v>10.0</v>
      </c>
      <c r="O1309" s="19" t="s">
        <v>107</v>
      </c>
      <c r="P1309" s="18"/>
      <c r="Q1309" s="18"/>
      <c r="R1309" s="23">
        <v>14.0</v>
      </c>
      <c r="S1309" s="23">
        <v>61.0</v>
      </c>
      <c r="T1309" s="23">
        <f t="shared" si="2"/>
        <v>58.56</v>
      </c>
      <c r="U1309" s="23">
        <f t="shared" si="3"/>
        <v>17.15</v>
      </c>
      <c r="V1309" s="23">
        <f t="shared" si="4"/>
        <v>321.5625</v>
      </c>
      <c r="W1309" s="24">
        <f t="shared" si="5"/>
        <v>4.182857143</v>
      </c>
    </row>
    <row r="1310">
      <c r="A1310" s="15" t="s">
        <v>844</v>
      </c>
      <c r="B1310" s="15" t="s">
        <v>845</v>
      </c>
      <c r="C1310" s="15" t="s">
        <v>6120</v>
      </c>
      <c r="D1310" s="15" t="s">
        <v>846</v>
      </c>
      <c r="E1310" s="17" t="s">
        <v>847</v>
      </c>
      <c r="F1310" s="18"/>
      <c r="G1310" s="15" t="s">
        <v>848</v>
      </c>
      <c r="H1310" s="15" t="s">
        <v>849</v>
      </c>
      <c r="I1310" s="18"/>
      <c r="J1310" s="19" t="s">
        <v>104</v>
      </c>
      <c r="K1310" s="19" t="s">
        <v>160</v>
      </c>
      <c r="L1310" s="19" t="s">
        <v>106</v>
      </c>
      <c r="M1310" s="20">
        <f t="shared" si="1"/>
        <v>816.96</v>
      </c>
      <c r="N1310" s="31">
        <v>70.0</v>
      </c>
      <c r="O1310" s="19" t="s">
        <v>107</v>
      </c>
      <c r="P1310" s="18"/>
      <c r="Q1310" s="18"/>
      <c r="R1310" s="23">
        <v>10.0</v>
      </c>
      <c r="S1310" s="23">
        <v>46.0</v>
      </c>
      <c r="T1310" s="23">
        <f t="shared" si="2"/>
        <v>44.16</v>
      </c>
      <c r="U1310" s="23">
        <f t="shared" si="3"/>
        <v>12.25</v>
      </c>
      <c r="V1310" s="23">
        <f t="shared" si="4"/>
        <v>229.6875</v>
      </c>
      <c r="W1310" s="24">
        <f t="shared" si="5"/>
        <v>4.416</v>
      </c>
    </row>
    <row r="1311">
      <c r="A1311" s="15" t="s">
        <v>673</v>
      </c>
      <c r="B1311" s="15" t="s">
        <v>674</v>
      </c>
      <c r="C1311" s="15" t="s">
        <v>6099</v>
      </c>
      <c r="D1311" s="15" t="s">
        <v>675</v>
      </c>
      <c r="E1311" s="17" t="s">
        <v>676</v>
      </c>
      <c r="F1311" s="18"/>
      <c r="G1311" s="15" t="s">
        <v>677</v>
      </c>
      <c r="H1311" s="15" t="s">
        <v>678</v>
      </c>
      <c r="I1311" s="18"/>
      <c r="J1311" s="19" t="s">
        <v>104</v>
      </c>
      <c r="K1311" s="19" t="s">
        <v>160</v>
      </c>
      <c r="L1311" s="19" t="s">
        <v>106</v>
      </c>
      <c r="M1311" s="20">
        <f t="shared" si="1"/>
        <v>1225.44</v>
      </c>
      <c r="N1311" s="31">
        <v>10.0</v>
      </c>
      <c r="O1311" s="19" t="s">
        <v>107</v>
      </c>
      <c r="P1311" s="18"/>
      <c r="Q1311" s="18"/>
      <c r="R1311" s="23">
        <v>13.5</v>
      </c>
      <c r="S1311" s="23">
        <v>69.0</v>
      </c>
      <c r="T1311" s="23">
        <f t="shared" si="2"/>
        <v>66.24</v>
      </c>
      <c r="U1311" s="23">
        <f t="shared" si="3"/>
        <v>16.5375</v>
      </c>
      <c r="V1311" s="23">
        <f t="shared" si="4"/>
        <v>310.078125</v>
      </c>
      <c r="W1311" s="24">
        <f t="shared" si="5"/>
        <v>4.906666667</v>
      </c>
    </row>
    <row r="1312">
      <c r="A1312" s="15" t="s">
        <v>537</v>
      </c>
      <c r="B1312" s="15" t="s">
        <v>538</v>
      </c>
      <c r="C1312" s="15" t="s">
        <v>6101</v>
      </c>
      <c r="D1312" s="15" t="s">
        <v>539</v>
      </c>
      <c r="E1312" s="17" t="s">
        <v>540</v>
      </c>
      <c r="F1312" s="18"/>
      <c r="G1312" s="15" t="s">
        <v>541</v>
      </c>
      <c r="H1312" s="15" t="s">
        <v>542</v>
      </c>
      <c r="I1312" s="18"/>
      <c r="J1312" s="19" t="s">
        <v>104</v>
      </c>
      <c r="K1312" s="19" t="s">
        <v>160</v>
      </c>
      <c r="L1312" s="19" t="s">
        <v>106</v>
      </c>
      <c r="M1312" s="20">
        <f t="shared" si="1"/>
        <v>1278.72</v>
      </c>
      <c r="N1312" s="31">
        <v>10.0</v>
      </c>
      <c r="O1312" s="19" t="s">
        <v>107</v>
      </c>
      <c r="P1312" s="18"/>
      <c r="Q1312" s="18"/>
      <c r="R1312" s="23">
        <v>12.0</v>
      </c>
      <c r="S1312" s="23">
        <v>72.0</v>
      </c>
      <c r="T1312" s="23">
        <f t="shared" si="2"/>
        <v>69.12</v>
      </c>
      <c r="U1312" s="23">
        <f t="shared" si="3"/>
        <v>14.7</v>
      </c>
      <c r="V1312" s="23">
        <f t="shared" si="4"/>
        <v>275.625</v>
      </c>
      <c r="W1312" s="24">
        <f t="shared" si="5"/>
        <v>5.76</v>
      </c>
    </row>
    <row r="1313">
      <c r="A1313" s="15" t="s">
        <v>161</v>
      </c>
      <c r="B1313" s="18"/>
      <c r="C1313" s="15" t="s">
        <v>6100</v>
      </c>
      <c r="D1313" s="15" t="s">
        <v>162</v>
      </c>
      <c r="E1313" s="17" t="s">
        <v>163</v>
      </c>
      <c r="F1313" s="18"/>
      <c r="G1313" s="15" t="s">
        <v>164</v>
      </c>
      <c r="H1313" s="15" t="s">
        <v>165</v>
      </c>
      <c r="I1313" s="18"/>
      <c r="J1313" s="19" t="s">
        <v>104</v>
      </c>
      <c r="K1313" s="19" t="s">
        <v>160</v>
      </c>
      <c r="L1313" s="19" t="s">
        <v>106</v>
      </c>
      <c r="M1313" s="20">
        <f t="shared" si="1"/>
        <v>3711.84</v>
      </c>
      <c r="N1313" s="31">
        <v>10.0</v>
      </c>
      <c r="O1313" s="19" t="s">
        <v>107</v>
      </c>
      <c r="P1313" s="18"/>
      <c r="Q1313" s="18"/>
      <c r="R1313" s="23">
        <v>13.5</v>
      </c>
      <c r="S1313" s="23">
        <v>209.0</v>
      </c>
      <c r="T1313" s="23">
        <f t="shared" si="2"/>
        <v>200.64</v>
      </c>
      <c r="U1313" s="23">
        <f t="shared" si="3"/>
        <v>16.5375</v>
      </c>
      <c r="V1313" s="23">
        <f t="shared" si="4"/>
        <v>310.078125</v>
      </c>
      <c r="W1313" s="24">
        <f t="shared" si="5"/>
        <v>14.86222222</v>
      </c>
    </row>
    <row r="1314">
      <c r="A1314" s="15" t="s">
        <v>791</v>
      </c>
      <c r="B1314" s="15" t="s">
        <v>792</v>
      </c>
      <c r="C1314" s="15" t="s">
        <v>6056</v>
      </c>
      <c r="D1314" s="15" t="s">
        <v>793</v>
      </c>
      <c r="E1314" s="17" t="s">
        <v>794</v>
      </c>
      <c r="F1314" s="18"/>
      <c r="G1314" s="15" t="s">
        <v>795</v>
      </c>
      <c r="H1314" s="15" t="s">
        <v>796</v>
      </c>
      <c r="I1314" s="18"/>
      <c r="J1314" s="19" t="s">
        <v>104</v>
      </c>
      <c r="K1314" s="19" t="s">
        <v>160</v>
      </c>
      <c r="L1314" s="19" t="s">
        <v>106</v>
      </c>
      <c r="M1314" s="20">
        <f t="shared" si="1"/>
        <v>1065.6</v>
      </c>
      <c r="N1314" s="31">
        <v>8.0</v>
      </c>
      <c r="O1314" s="19" t="s">
        <v>107</v>
      </c>
      <c r="P1314" s="18"/>
      <c r="Q1314" s="18"/>
      <c r="R1314" s="23">
        <v>13.5</v>
      </c>
      <c r="S1314" s="23">
        <v>60.0</v>
      </c>
      <c r="T1314" s="23">
        <f t="shared" si="2"/>
        <v>57.6</v>
      </c>
      <c r="U1314" s="23">
        <f t="shared" si="3"/>
        <v>16.5375</v>
      </c>
      <c r="V1314" s="23">
        <f t="shared" si="4"/>
        <v>310.078125</v>
      </c>
      <c r="W1314" s="24">
        <f t="shared" si="5"/>
        <v>4.266666667</v>
      </c>
    </row>
    <row r="1315">
      <c r="A1315" s="15" t="s">
        <v>592</v>
      </c>
      <c r="B1315" s="15" t="s">
        <v>593</v>
      </c>
      <c r="C1315" s="15" t="s">
        <v>6057</v>
      </c>
      <c r="D1315" s="15" t="s">
        <v>594</v>
      </c>
      <c r="E1315" s="17" t="s">
        <v>595</v>
      </c>
      <c r="F1315" s="18"/>
      <c r="G1315" s="15" t="s">
        <v>164</v>
      </c>
      <c r="H1315" s="15" t="s">
        <v>596</v>
      </c>
      <c r="I1315" s="18"/>
      <c r="J1315" s="19" t="s">
        <v>104</v>
      </c>
      <c r="K1315" s="19" t="s">
        <v>160</v>
      </c>
      <c r="L1315" s="19" t="s">
        <v>106</v>
      </c>
      <c r="M1315" s="20">
        <f t="shared" si="1"/>
        <v>976.8</v>
      </c>
      <c r="N1315" s="31">
        <v>6.0</v>
      </c>
      <c r="O1315" s="19" t="s">
        <v>107</v>
      </c>
      <c r="P1315" s="18"/>
      <c r="Q1315" s="18"/>
      <c r="R1315" s="23">
        <v>10.0</v>
      </c>
      <c r="S1315" s="23">
        <v>55.0</v>
      </c>
      <c r="T1315" s="23">
        <f t="shared" si="2"/>
        <v>52.8</v>
      </c>
      <c r="U1315" s="23">
        <f t="shared" si="3"/>
        <v>12.25</v>
      </c>
      <c r="V1315" s="23">
        <f t="shared" si="4"/>
        <v>229.6875</v>
      </c>
      <c r="W1315" s="24">
        <f t="shared" si="5"/>
        <v>5.28</v>
      </c>
    </row>
    <row r="1316">
      <c r="A1316" s="15" t="s">
        <v>478</v>
      </c>
      <c r="B1316" s="15" t="s">
        <v>479</v>
      </c>
      <c r="C1316" s="15" t="s">
        <v>6113</v>
      </c>
      <c r="D1316" s="15" t="s">
        <v>480</v>
      </c>
      <c r="E1316" s="17" t="s">
        <v>481</v>
      </c>
      <c r="F1316" s="18"/>
      <c r="G1316" s="15" t="s">
        <v>482</v>
      </c>
      <c r="H1316" s="15" t="s">
        <v>483</v>
      </c>
      <c r="I1316" s="18"/>
      <c r="J1316" s="19" t="s">
        <v>104</v>
      </c>
      <c r="K1316" s="19" t="s">
        <v>160</v>
      </c>
      <c r="L1316" s="19" t="s">
        <v>106</v>
      </c>
      <c r="M1316" s="20">
        <f t="shared" si="1"/>
        <v>177.6</v>
      </c>
      <c r="N1316" s="31">
        <v>30.0</v>
      </c>
      <c r="O1316" s="19" t="s">
        <v>107</v>
      </c>
      <c r="P1316" s="18"/>
      <c r="Q1316" s="18"/>
      <c r="R1316" s="23">
        <v>1.5</v>
      </c>
      <c r="S1316" s="23">
        <v>10.0</v>
      </c>
      <c r="T1316" s="23">
        <f t="shared" si="2"/>
        <v>9.6</v>
      </c>
      <c r="U1316" s="23">
        <f t="shared" si="3"/>
        <v>1.8375</v>
      </c>
      <c r="V1316" s="23">
        <f t="shared" si="4"/>
        <v>34.453125</v>
      </c>
      <c r="W1316" s="24">
        <f t="shared" si="5"/>
        <v>6.4</v>
      </c>
    </row>
    <row r="1317">
      <c r="A1317" s="15" t="s">
        <v>639</v>
      </c>
      <c r="B1317" s="15" t="s">
        <v>640</v>
      </c>
      <c r="C1317" s="15" t="s">
        <v>6058</v>
      </c>
      <c r="D1317" s="15" t="s">
        <v>641</v>
      </c>
      <c r="E1317" s="17" t="s">
        <v>642</v>
      </c>
      <c r="F1317" s="18"/>
      <c r="G1317" s="15" t="s">
        <v>643</v>
      </c>
      <c r="H1317" s="15" t="s">
        <v>644</v>
      </c>
      <c r="I1317" s="18"/>
      <c r="J1317" s="19" t="s">
        <v>104</v>
      </c>
      <c r="K1317" s="19" t="s">
        <v>160</v>
      </c>
      <c r="L1317" s="19" t="s">
        <v>106</v>
      </c>
      <c r="M1317" s="20">
        <f t="shared" si="1"/>
        <v>1864.8</v>
      </c>
      <c r="N1317" s="31">
        <v>6.0</v>
      </c>
      <c r="O1317" s="19" t="s">
        <v>107</v>
      </c>
      <c r="P1317" s="18"/>
      <c r="Q1317" s="18"/>
      <c r="R1317" s="23">
        <v>20.0</v>
      </c>
      <c r="S1317" s="23">
        <v>105.0</v>
      </c>
      <c r="T1317" s="23">
        <f t="shared" si="2"/>
        <v>100.8</v>
      </c>
      <c r="U1317" s="23">
        <f t="shared" si="3"/>
        <v>24.5</v>
      </c>
      <c r="V1317" s="23">
        <f t="shared" si="4"/>
        <v>459.375</v>
      </c>
      <c r="W1317" s="24">
        <f t="shared" si="5"/>
        <v>5.04</v>
      </c>
    </row>
    <row r="1318">
      <c r="A1318" s="15" t="s">
        <v>153</v>
      </c>
      <c r="B1318" s="15" t="s">
        <v>154</v>
      </c>
      <c r="C1318" s="15" t="s">
        <v>6116</v>
      </c>
      <c r="D1318" s="15" t="s">
        <v>155</v>
      </c>
      <c r="E1318" s="17" t="s">
        <v>156</v>
      </c>
      <c r="F1318" s="18"/>
      <c r="G1318" s="15" t="s">
        <v>157</v>
      </c>
      <c r="H1318" s="15" t="s">
        <v>158</v>
      </c>
      <c r="I1318" s="18"/>
      <c r="J1318" s="19" t="s">
        <v>104</v>
      </c>
      <c r="K1318" s="19" t="s">
        <v>160</v>
      </c>
      <c r="L1318" s="19" t="s">
        <v>106</v>
      </c>
      <c r="M1318" s="20">
        <f t="shared" si="1"/>
        <v>444</v>
      </c>
      <c r="N1318" s="31">
        <v>36.0</v>
      </c>
      <c r="O1318" s="19" t="s">
        <v>107</v>
      </c>
      <c r="P1318" s="18"/>
      <c r="Q1318" s="18"/>
      <c r="R1318" s="23">
        <v>1.5</v>
      </c>
      <c r="S1318" s="23">
        <v>25.0</v>
      </c>
      <c r="T1318" s="23">
        <f t="shared" si="2"/>
        <v>24</v>
      </c>
      <c r="U1318" s="23">
        <f t="shared" si="3"/>
        <v>1.8375</v>
      </c>
      <c r="V1318" s="23">
        <f t="shared" si="4"/>
        <v>34.453125</v>
      </c>
      <c r="W1318" s="24">
        <f t="shared" si="5"/>
        <v>16</v>
      </c>
    </row>
    <row r="1319">
      <c r="A1319" s="15" t="s">
        <v>885</v>
      </c>
      <c r="B1319" s="15" t="s">
        <v>886</v>
      </c>
      <c r="C1319" s="15" t="s">
        <v>8018</v>
      </c>
      <c r="D1319" s="15" t="s">
        <v>887</v>
      </c>
      <c r="E1319" s="17" t="s">
        <v>888</v>
      </c>
      <c r="F1319" s="18"/>
      <c r="G1319" s="15" t="s">
        <v>889</v>
      </c>
      <c r="H1319" s="15" t="s">
        <v>890</v>
      </c>
      <c r="I1319" s="18"/>
      <c r="J1319" s="19" t="s">
        <v>104</v>
      </c>
      <c r="K1319" s="19" t="s">
        <v>160</v>
      </c>
      <c r="L1319" s="19" t="s">
        <v>106</v>
      </c>
      <c r="M1319" s="20">
        <f t="shared" si="1"/>
        <v>2379.84</v>
      </c>
      <c r="N1319" s="31">
        <v>4.0</v>
      </c>
      <c r="O1319" s="19" t="s">
        <v>107</v>
      </c>
      <c r="P1319" s="18"/>
      <c r="Q1319" s="18"/>
      <c r="R1319" s="23">
        <v>33.0</v>
      </c>
      <c r="S1319" s="23">
        <v>134.0</v>
      </c>
      <c r="T1319" s="23">
        <f t="shared" si="2"/>
        <v>128.64</v>
      </c>
      <c r="U1319" s="23">
        <f t="shared" si="3"/>
        <v>40.425</v>
      </c>
      <c r="V1319" s="23">
        <f t="shared" si="4"/>
        <v>757.96875</v>
      </c>
      <c r="W1319" s="24">
        <f t="shared" si="5"/>
        <v>3.898181818</v>
      </c>
    </row>
    <row r="1320" hidden="1">
      <c r="A1320" s="15" t="s">
        <v>3570</v>
      </c>
      <c r="B1320" s="15" t="s">
        <v>3571</v>
      </c>
      <c r="C1320" s="15" t="s">
        <v>8019</v>
      </c>
      <c r="D1320" s="18"/>
      <c r="E1320" s="17" t="s">
        <v>3572</v>
      </c>
      <c r="F1320" s="18"/>
      <c r="G1320" s="18"/>
      <c r="H1320" s="15" t="s">
        <v>3573</v>
      </c>
      <c r="I1320" s="18"/>
      <c r="J1320" s="19" t="s">
        <v>104</v>
      </c>
      <c r="K1320" s="33"/>
      <c r="L1320" s="19" t="s">
        <v>38</v>
      </c>
      <c r="M1320" s="20">
        <f t="shared" si="1"/>
        <v>0</v>
      </c>
      <c r="N1320" s="22"/>
      <c r="O1320" s="19" t="s">
        <v>3574</v>
      </c>
      <c r="P1320" s="18"/>
      <c r="Q1320" s="18"/>
      <c r="R1320" s="23">
        <v>0.0</v>
      </c>
      <c r="S1320" s="23">
        <v>0.0</v>
      </c>
      <c r="T1320" s="23">
        <f t="shared" si="2"/>
        <v>0</v>
      </c>
      <c r="U1320" s="23">
        <f t="shared" si="3"/>
        <v>0</v>
      </c>
      <c r="V1320" s="23">
        <f t="shared" si="4"/>
        <v>0</v>
      </c>
      <c r="W1320" s="24" t="str">
        <f t="shared" si="5"/>
        <v>#DIV/0!</v>
      </c>
    </row>
    <row r="1321">
      <c r="A1321" s="15" t="s">
        <v>912</v>
      </c>
      <c r="B1321" s="15" t="s">
        <v>913</v>
      </c>
      <c r="C1321" s="15" t="s">
        <v>6121</v>
      </c>
      <c r="D1321" s="15" t="s">
        <v>914</v>
      </c>
      <c r="E1321" s="17" t="s">
        <v>915</v>
      </c>
      <c r="F1321" s="18"/>
      <c r="G1321" s="15" t="s">
        <v>916</v>
      </c>
      <c r="H1321" s="15" t="s">
        <v>917</v>
      </c>
      <c r="I1321" s="18"/>
      <c r="J1321" s="19" t="s">
        <v>104</v>
      </c>
      <c r="K1321" s="33"/>
      <c r="L1321" s="19" t="s">
        <v>106</v>
      </c>
      <c r="M1321" s="20">
        <f t="shared" si="1"/>
        <v>106.56</v>
      </c>
      <c r="N1321" s="31">
        <v>150.0</v>
      </c>
      <c r="O1321" s="19" t="s">
        <v>107</v>
      </c>
      <c r="P1321" s="18"/>
      <c r="Q1321" s="18"/>
      <c r="R1321" s="23">
        <v>1.5</v>
      </c>
      <c r="S1321" s="23">
        <v>6.0</v>
      </c>
      <c r="T1321" s="23">
        <f t="shared" si="2"/>
        <v>5.76</v>
      </c>
      <c r="U1321" s="23">
        <f t="shared" si="3"/>
        <v>1.8375</v>
      </c>
      <c r="V1321" s="23">
        <f t="shared" si="4"/>
        <v>34.453125</v>
      </c>
      <c r="W1321" s="24">
        <f t="shared" si="5"/>
        <v>3.84</v>
      </c>
    </row>
    <row r="1322">
      <c r="A1322" s="15" t="s">
        <v>509</v>
      </c>
      <c r="B1322" s="15" t="s">
        <v>510</v>
      </c>
      <c r="C1322" s="15" t="s">
        <v>8020</v>
      </c>
      <c r="D1322" s="15" t="s">
        <v>511</v>
      </c>
      <c r="E1322" s="17" t="s">
        <v>512</v>
      </c>
      <c r="F1322" s="18"/>
      <c r="G1322" s="15" t="s">
        <v>513</v>
      </c>
      <c r="H1322" s="15" t="s">
        <v>514</v>
      </c>
      <c r="I1322" s="18"/>
      <c r="J1322" s="19" t="s">
        <v>104</v>
      </c>
      <c r="K1322" s="19" t="s">
        <v>160</v>
      </c>
      <c r="L1322" s="19" t="s">
        <v>106</v>
      </c>
      <c r="M1322" s="20">
        <f t="shared" si="1"/>
        <v>2788.32</v>
      </c>
      <c r="N1322" s="31">
        <v>1.0</v>
      </c>
      <c r="O1322" s="19" t="s">
        <v>107</v>
      </c>
      <c r="P1322" s="18"/>
      <c r="Q1322" s="18"/>
      <c r="R1322" s="23">
        <v>25.0</v>
      </c>
      <c r="S1322" s="23">
        <v>157.0</v>
      </c>
      <c r="T1322" s="23">
        <f t="shared" si="2"/>
        <v>150.72</v>
      </c>
      <c r="U1322" s="23">
        <f t="shared" si="3"/>
        <v>30.625</v>
      </c>
      <c r="V1322" s="23">
        <f t="shared" si="4"/>
        <v>574.21875</v>
      </c>
      <c r="W1322" s="24">
        <f t="shared" si="5"/>
        <v>6.0288</v>
      </c>
    </row>
    <row r="1323">
      <c r="A1323" s="15" t="s">
        <v>326</v>
      </c>
      <c r="B1323" s="15" t="s">
        <v>327</v>
      </c>
      <c r="C1323" s="15" t="s">
        <v>8020</v>
      </c>
      <c r="D1323" s="15" t="s">
        <v>328</v>
      </c>
      <c r="E1323" s="17" t="s">
        <v>329</v>
      </c>
      <c r="F1323" s="18"/>
      <c r="G1323" s="15" t="s">
        <v>330</v>
      </c>
      <c r="H1323" s="15" t="s">
        <v>331</v>
      </c>
      <c r="I1323" s="18"/>
      <c r="J1323" s="19" t="s">
        <v>104</v>
      </c>
      <c r="K1323" s="19" t="s">
        <v>160</v>
      </c>
      <c r="L1323" s="19" t="s">
        <v>106</v>
      </c>
      <c r="M1323" s="20">
        <f t="shared" si="1"/>
        <v>3658.56</v>
      </c>
      <c r="N1323" s="31">
        <v>1.0</v>
      </c>
      <c r="O1323" s="19" t="s">
        <v>107</v>
      </c>
      <c r="P1323" s="18"/>
      <c r="Q1323" s="18"/>
      <c r="R1323" s="23">
        <v>26.0</v>
      </c>
      <c r="S1323" s="23">
        <v>206.0</v>
      </c>
      <c r="T1323" s="23">
        <f t="shared" si="2"/>
        <v>197.76</v>
      </c>
      <c r="U1323" s="23">
        <f t="shared" si="3"/>
        <v>31.85</v>
      </c>
      <c r="V1323" s="23">
        <f t="shared" si="4"/>
        <v>597.1875</v>
      </c>
      <c r="W1323" s="24">
        <f t="shared" si="5"/>
        <v>7.606153846</v>
      </c>
    </row>
    <row r="1324">
      <c r="A1324" s="15" t="s">
        <v>379</v>
      </c>
      <c r="B1324" s="15" t="s">
        <v>380</v>
      </c>
      <c r="C1324" s="15" t="s">
        <v>8020</v>
      </c>
      <c r="D1324" s="15" t="s">
        <v>381</v>
      </c>
      <c r="E1324" s="17" t="s">
        <v>382</v>
      </c>
      <c r="F1324" s="18"/>
      <c r="G1324" s="15" t="s">
        <v>383</v>
      </c>
      <c r="H1324" s="15" t="s">
        <v>384</v>
      </c>
      <c r="I1324" s="18"/>
      <c r="J1324" s="19" t="s">
        <v>104</v>
      </c>
      <c r="K1324" s="19" t="s">
        <v>160</v>
      </c>
      <c r="L1324" s="19" t="s">
        <v>106</v>
      </c>
      <c r="M1324" s="20">
        <f t="shared" si="1"/>
        <v>3338.88</v>
      </c>
      <c r="N1324" s="31">
        <v>1.0</v>
      </c>
      <c r="O1324" s="19" t="s">
        <v>107</v>
      </c>
      <c r="P1324" s="18"/>
      <c r="Q1324" s="18"/>
      <c r="R1324" s="23">
        <v>25.0</v>
      </c>
      <c r="S1324" s="23">
        <v>188.0</v>
      </c>
      <c r="T1324" s="23">
        <f t="shared" si="2"/>
        <v>180.48</v>
      </c>
      <c r="U1324" s="23">
        <f t="shared" si="3"/>
        <v>30.625</v>
      </c>
      <c r="V1324" s="23">
        <f t="shared" si="4"/>
        <v>574.21875</v>
      </c>
      <c r="W1324" s="24">
        <f t="shared" si="5"/>
        <v>7.2192</v>
      </c>
    </row>
    <row r="1325">
      <c r="A1325" s="15" t="s">
        <v>410</v>
      </c>
      <c r="B1325" s="15" t="s">
        <v>411</v>
      </c>
      <c r="C1325" s="15" t="s">
        <v>8020</v>
      </c>
      <c r="D1325" s="15" t="s">
        <v>412</v>
      </c>
      <c r="E1325" s="17" t="s">
        <v>413</v>
      </c>
      <c r="F1325" s="18"/>
      <c r="G1325" s="15" t="s">
        <v>414</v>
      </c>
      <c r="H1325" s="15" t="s">
        <v>415</v>
      </c>
      <c r="I1325" s="18"/>
      <c r="J1325" s="19" t="s">
        <v>104</v>
      </c>
      <c r="K1325" s="19" t="s">
        <v>160</v>
      </c>
      <c r="L1325" s="19" t="s">
        <v>106</v>
      </c>
      <c r="M1325" s="20">
        <f t="shared" si="1"/>
        <v>3587.52</v>
      </c>
      <c r="N1325" s="31">
        <v>1.0</v>
      </c>
      <c r="O1325" s="19" t="s">
        <v>107</v>
      </c>
      <c r="P1325" s="18"/>
      <c r="Q1325" s="18"/>
      <c r="R1325" s="23">
        <v>28.0</v>
      </c>
      <c r="S1325" s="23">
        <v>202.0</v>
      </c>
      <c r="T1325" s="23">
        <f t="shared" si="2"/>
        <v>193.92</v>
      </c>
      <c r="U1325" s="23">
        <f t="shared" si="3"/>
        <v>34.3</v>
      </c>
      <c r="V1325" s="23">
        <f t="shared" si="4"/>
        <v>643.125</v>
      </c>
      <c r="W1325" s="24">
        <f t="shared" si="5"/>
        <v>6.925714286</v>
      </c>
    </row>
    <row r="1326" hidden="1">
      <c r="A1326" s="15" t="s">
        <v>5275</v>
      </c>
      <c r="B1326" s="15" t="s">
        <v>5276</v>
      </c>
      <c r="C1326" s="15" t="s">
        <v>8021</v>
      </c>
      <c r="D1326" s="15" t="s">
        <v>5277</v>
      </c>
      <c r="E1326" s="17" t="s">
        <v>5278</v>
      </c>
      <c r="F1326" s="18"/>
      <c r="G1326" s="18"/>
      <c r="H1326" s="15" t="s">
        <v>5279</v>
      </c>
      <c r="I1326" s="18"/>
      <c r="J1326" s="19" t="s">
        <v>104</v>
      </c>
      <c r="K1326" s="19" t="s">
        <v>160</v>
      </c>
      <c r="L1326" s="19" t="s">
        <v>106</v>
      </c>
      <c r="M1326" s="20">
        <f t="shared" si="1"/>
        <v>0</v>
      </c>
      <c r="N1326" s="22"/>
      <c r="O1326" s="19" t="s">
        <v>3578</v>
      </c>
      <c r="P1326" s="18"/>
      <c r="Q1326" s="18"/>
      <c r="R1326" s="23">
        <v>0.0</v>
      </c>
      <c r="S1326" s="23">
        <v>0.0</v>
      </c>
      <c r="T1326" s="23">
        <f t="shared" si="2"/>
        <v>0</v>
      </c>
      <c r="U1326" s="23">
        <f t="shared" si="3"/>
        <v>0</v>
      </c>
      <c r="V1326" s="23">
        <f t="shared" si="4"/>
        <v>0</v>
      </c>
      <c r="W1326" s="24" t="str">
        <f t="shared" si="5"/>
        <v>#DIV/0!</v>
      </c>
    </row>
    <row r="1327" hidden="1">
      <c r="A1327" s="15" t="s">
        <v>5280</v>
      </c>
      <c r="B1327" s="15" t="s">
        <v>5281</v>
      </c>
      <c r="C1327" s="15" t="s">
        <v>8022</v>
      </c>
      <c r="D1327" s="15" t="s">
        <v>5282</v>
      </c>
      <c r="E1327" s="17" t="s">
        <v>5283</v>
      </c>
      <c r="F1327" s="18"/>
      <c r="G1327" s="18"/>
      <c r="H1327" s="15" t="s">
        <v>5284</v>
      </c>
      <c r="I1327" s="18"/>
      <c r="J1327" s="19" t="s">
        <v>104</v>
      </c>
      <c r="K1327" s="19" t="s">
        <v>160</v>
      </c>
      <c r="L1327" s="19" t="s">
        <v>106</v>
      </c>
      <c r="M1327" s="20">
        <f t="shared" si="1"/>
        <v>0</v>
      </c>
      <c r="N1327" s="22"/>
      <c r="O1327" s="19" t="s">
        <v>3578</v>
      </c>
      <c r="P1327" s="18"/>
      <c r="Q1327" s="18"/>
      <c r="R1327" s="23">
        <v>0.0</v>
      </c>
      <c r="S1327" s="23">
        <v>0.0</v>
      </c>
      <c r="T1327" s="23">
        <f t="shared" si="2"/>
        <v>0</v>
      </c>
      <c r="U1327" s="23">
        <f t="shared" si="3"/>
        <v>0</v>
      </c>
      <c r="V1327" s="23">
        <f t="shared" si="4"/>
        <v>0</v>
      </c>
      <c r="W1327" s="24" t="str">
        <f t="shared" si="5"/>
        <v>#DIV/0!</v>
      </c>
    </row>
    <row r="1328" hidden="1">
      <c r="A1328" s="15" t="s">
        <v>8023</v>
      </c>
      <c r="B1328" s="15"/>
      <c r="C1328" s="15" t="s">
        <v>8020</v>
      </c>
      <c r="D1328" s="18"/>
      <c r="E1328" s="17"/>
      <c r="F1328" s="18"/>
      <c r="G1328" s="18"/>
      <c r="H1328" s="15"/>
      <c r="I1328" s="18"/>
      <c r="J1328" s="19" t="s">
        <v>104</v>
      </c>
      <c r="K1328" s="33"/>
      <c r="L1328" s="19" t="s">
        <v>38</v>
      </c>
      <c r="M1328" s="20">
        <f t="shared" si="1"/>
        <v>0</v>
      </c>
      <c r="N1328" s="22"/>
      <c r="O1328" s="19" t="s">
        <v>39</v>
      </c>
      <c r="P1328" s="18"/>
      <c r="Q1328" s="18"/>
      <c r="R1328" s="23">
        <v>0.0</v>
      </c>
      <c r="S1328" s="23">
        <v>0.0</v>
      </c>
      <c r="T1328" s="23">
        <f t="shared" si="2"/>
        <v>0</v>
      </c>
      <c r="U1328" s="23">
        <f t="shared" si="3"/>
        <v>0</v>
      </c>
      <c r="V1328" s="23">
        <f t="shared" si="4"/>
        <v>0</v>
      </c>
      <c r="W1328" s="24" t="str">
        <f t="shared" si="5"/>
        <v>#DIV/0!</v>
      </c>
    </row>
    <row r="1329" hidden="1">
      <c r="A1329" s="15" t="s">
        <v>8024</v>
      </c>
      <c r="B1329" s="15"/>
      <c r="C1329" s="15" t="s">
        <v>8025</v>
      </c>
      <c r="D1329" s="18"/>
      <c r="E1329" s="17" t="s">
        <v>8026</v>
      </c>
      <c r="F1329" s="18"/>
      <c r="G1329" s="18"/>
      <c r="H1329" s="15"/>
      <c r="I1329" s="18"/>
      <c r="J1329" s="19" t="s">
        <v>104</v>
      </c>
      <c r="K1329" s="33"/>
      <c r="L1329" s="19" t="s">
        <v>38</v>
      </c>
      <c r="M1329" s="20">
        <f t="shared" si="1"/>
        <v>0</v>
      </c>
      <c r="N1329" s="22"/>
      <c r="O1329" s="19" t="s">
        <v>39</v>
      </c>
      <c r="P1329" s="18"/>
      <c r="Q1329" s="18"/>
      <c r="R1329" s="23">
        <v>0.0</v>
      </c>
      <c r="S1329" s="23">
        <v>0.0</v>
      </c>
      <c r="T1329" s="23">
        <f t="shared" si="2"/>
        <v>0</v>
      </c>
      <c r="U1329" s="23">
        <f t="shared" si="3"/>
        <v>0</v>
      </c>
      <c r="V1329" s="23">
        <f t="shared" si="4"/>
        <v>0</v>
      </c>
      <c r="W1329" s="24" t="str">
        <f t="shared" si="5"/>
        <v>#DIV/0!</v>
      </c>
    </row>
    <row r="1330">
      <c r="A1330" s="15" t="s">
        <v>178</v>
      </c>
      <c r="B1330" s="15" t="s">
        <v>179</v>
      </c>
      <c r="C1330" s="15" t="s">
        <v>6117</v>
      </c>
      <c r="D1330" s="15" t="s">
        <v>180</v>
      </c>
      <c r="E1330" s="17" t="s">
        <v>181</v>
      </c>
      <c r="F1330" s="18"/>
      <c r="G1330" s="18"/>
      <c r="H1330" s="15" t="s">
        <v>182</v>
      </c>
      <c r="I1330" s="18"/>
      <c r="J1330" s="19" t="s">
        <v>104</v>
      </c>
      <c r="K1330" s="19" t="s">
        <v>160</v>
      </c>
      <c r="L1330" s="19" t="s">
        <v>106</v>
      </c>
      <c r="M1330" s="20">
        <f t="shared" si="1"/>
        <v>124.32</v>
      </c>
      <c r="N1330" s="31">
        <v>40.0</v>
      </c>
      <c r="O1330" s="19" t="s">
        <v>107</v>
      </c>
      <c r="P1330" s="18"/>
      <c r="Q1330" s="18"/>
      <c r="R1330" s="23">
        <v>0.5</v>
      </c>
      <c r="S1330" s="23">
        <v>7.0</v>
      </c>
      <c r="T1330" s="23">
        <f t="shared" si="2"/>
        <v>6.72</v>
      </c>
      <c r="U1330" s="23">
        <f t="shared" si="3"/>
        <v>0.6125</v>
      </c>
      <c r="V1330" s="23">
        <f t="shared" si="4"/>
        <v>11.484375</v>
      </c>
      <c r="W1330" s="24">
        <f t="shared" si="5"/>
        <v>13.44</v>
      </c>
    </row>
    <row r="1331">
      <c r="A1331" s="15" t="s">
        <v>1052</v>
      </c>
      <c r="B1331" s="15" t="s">
        <v>1053</v>
      </c>
      <c r="C1331" s="15" t="s">
        <v>6067</v>
      </c>
      <c r="D1331" s="15" t="s">
        <v>8027</v>
      </c>
      <c r="E1331" s="17" t="s">
        <v>1055</v>
      </c>
      <c r="F1331" s="18"/>
      <c r="G1331" s="18"/>
      <c r="H1331" s="15" t="s">
        <v>1056</v>
      </c>
      <c r="I1331" s="18"/>
      <c r="J1331" s="19" t="s">
        <v>702</v>
      </c>
      <c r="K1331" s="19" t="s">
        <v>1230</v>
      </c>
      <c r="L1331" s="19" t="s">
        <v>38</v>
      </c>
      <c r="M1331" s="20">
        <f t="shared" si="1"/>
        <v>3356.64</v>
      </c>
      <c r="N1331" s="31">
        <v>2.0</v>
      </c>
      <c r="O1331" s="19" t="s">
        <v>107</v>
      </c>
      <c r="P1331" s="18"/>
      <c r="Q1331" s="18"/>
      <c r="R1331" s="23">
        <v>60.0</v>
      </c>
      <c r="S1331" s="23">
        <v>189.0</v>
      </c>
      <c r="T1331" s="23">
        <f t="shared" si="2"/>
        <v>181.44</v>
      </c>
      <c r="U1331" s="23">
        <f t="shared" si="3"/>
        <v>73.5</v>
      </c>
      <c r="V1331" s="23">
        <f t="shared" si="4"/>
        <v>1378.125</v>
      </c>
      <c r="W1331" s="24">
        <f t="shared" si="5"/>
        <v>3.024</v>
      </c>
    </row>
    <row r="1332" hidden="1">
      <c r="A1332" s="15" t="s">
        <v>3236</v>
      </c>
      <c r="B1332" s="15" t="s">
        <v>3237</v>
      </c>
      <c r="C1332" s="15" t="s">
        <v>8028</v>
      </c>
      <c r="D1332" s="18"/>
      <c r="E1332" s="17" t="s">
        <v>3238</v>
      </c>
      <c r="F1332" s="18"/>
      <c r="G1332" s="18"/>
      <c r="H1332" s="15" t="s">
        <v>3239</v>
      </c>
      <c r="I1332" s="18"/>
      <c r="J1332" s="19" t="s">
        <v>702</v>
      </c>
      <c r="K1332" s="19" t="s">
        <v>1444</v>
      </c>
      <c r="L1332" s="19" t="s">
        <v>38</v>
      </c>
      <c r="M1332" s="20">
        <f t="shared" si="1"/>
        <v>0</v>
      </c>
      <c r="N1332" s="22"/>
      <c r="O1332" s="19" t="s">
        <v>1145</v>
      </c>
      <c r="P1332" s="18"/>
      <c r="Q1332" s="18"/>
      <c r="R1332" s="23">
        <v>0.0</v>
      </c>
      <c r="S1332" s="23">
        <v>0.0</v>
      </c>
      <c r="T1332" s="23">
        <f t="shared" si="2"/>
        <v>0</v>
      </c>
      <c r="U1332" s="23">
        <f t="shared" si="3"/>
        <v>0</v>
      </c>
      <c r="V1332" s="23">
        <f t="shared" si="4"/>
        <v>0</v>
      </c>
      <c r="W1332" s="24" t="str">
        <f t="shared" si="5"/>
        <v>#DIV/0!</v>
      </c>
    </row>
    <row r="1333">
      <c r="A1333" s="15" t="s">
        <v>925</v>
      </c>
      <c r="B1333" s="15" t="s">
        <v>926</v>
      </c>
      <c r="C1333" s="15" t="s">
        <v>6104</v>
      </c>
      <c r="D1333" s="15" t="s">
        <v>927</v>
      </c>
      <c r="E1333" s="17" t="s">
        <v>6105</v>
      </c>
      <c r="F1333" s="18"/>
      <c r="G1333" s="18"/>
      <c r="H1333" s="15" t="s">
        <v>929</v>
      </c>
      <c r="I1333" s="18"/>
      <c r="J1333" s="19" t="s">
        <v>702</v>
      </c>
      <c r="K1333" s="19" t="s">
        <v>1444</v>
      </c>
      <c r="L1333" s="19" t="s">
        <v>38</v>
      </c>
      <c r="M1333" s="20">
        <f t="shared" si="1"/>
        <v>692.64</v>
      </c>
      <c r="N1333" s="31">
        <v>10.0</v>
      </c>
      <c r="O1333" s="19" t="s">
        <v>107</v>
      </c>
      <c r="P1333" s="18"/>
      <c r="Q1333" s="18"/>
      <c r="R1333" s="23">
        <v>10.0</v>
      </c>
      <c r="S1333" s="23">
        <v>39.0</v>
      </c>
      <c r="T1333" s="23">
        <f t="shared" si="2"/>
        <v>37.44</v>
      </c>
      <c r="U1333" s="23">
        <f t="shared" si="3"/>
        <v>12.25</v>
      </c>
      <c r="V1333" s="23">
        <f t="shared" si="4"/>
        <v>229.6875</v>
      </c>
      <c r="W1333" s="24">
        <f t="shared" si="5"/>
        <v>3.744</v>
      </c>
    </row>
    <row r="1334" hidden="1">
      <c r="A1334" s="15" t="s">
        <v>5285</v>
      </c>
      <c r="B1334" s="15" t="s">
        <v>5286</v>
      </c>
      <c r="C1334" s="15" t="s">
        <v>8029</v>
      </c>
      <c r="D1334" s="18"/>
      <c r="E1334" s="17" t="s">
        <v>8030</v>
      </c>
      <c r="F1334" s="18"/>
      <c r="G1334" s="18"/>
      <c r="H1334" s="15" t="s">
        <v>5288</v>
      </c>
      <c r="I1334" s="18"/>
      <c r="J1334" s="19" t="s">
        <v>702</v>
      </c>
      <c r="K1334" s="19" t="s">
        <v>105</v>
      </c>
      <c r="L1334" s="19" t="s">
        <v>38</v>
      </c>
      <c r="M1334" s="20">
        <f t="shared" si="1"/>
        <v>0</v>
      </c>
      <c r="N1334" s="22"/>
      <c r="O1334" s="19" t="s">
        <v>1145</v>
      </c>
      <c r="P1334" s="18"/>
      <c r="Q1334" s="18"/>
      <c r="R1334" s="23">
        <v>0.0</v>
      </c>
      <c r="S1334" s="23">
        <v>0.0</v>
      </c>
      <c r="T1334" s="23">
        <f t="shared" si="2"/>
        <v>0</v>
      </c>
      <c r="U1334" s="23">
        <f t="shared" si="3"/>
        <v>0</v>
      </c>
      <c r="V1334" s="23">
        <f t="shared" si="4"/>
        <v>0</v>
      </c>
      <c r="W1334" s="24" t="str">
        <f t="shared" si="5"/>
        <v>#DIV/0!</v>
      </c>
    </row>
    <row r="1335" hidden="1">
      <c r="A1335" s="15" t="s">
        <v>5289</v>
      </c>
      <c r="B1335" s="15" t="s">
        <v>5290</v>
      </c>
      <c r="C1335" s="15" t="s">
        <v>8031</v>
      </c>
      <c r="D1335" s="18"/>
      <c r="E1335" s="17" t="s">
        <v>8032</v>
      </c>
      <c r="F1335" s="18"/>
      <c r="G1335" s="18"/>
      <c r="H1335" s="15" t="s">
        <v>8033</v>
      </c>
      <c r="I1335" s="18"/>
      <c r="J1335" s="19" t="s">
        <v>702</v>
      </c>
      <c r="K1335" s="19" t="s">
        <v>1269</v>
      </c>
      <c r="L1335" s="19" t="s">
        <v>38</v>
      </c>
      <c r="M1335" s="20">
        <f t="shared" si="1"/>
        <v>0</v>
      </c>
      <c r="N1335" s="22"/>
      <c r="O1335" s="19" t="s">
        <v>1145</v>
      </c>
      <c r="P1335" s="18"/>
      <c r="Q1335" s="18"/>
      <c r="R1335" s="23">
        <v>0.0</v>
      </c>
      <c r="S1335" s="23">
        <v>0.0</v>
      </c>
      <c r="T1335" s="23">
        <f t="shared" si="2"/>
        <v>0</v>
      </c>
      <c r="U1335" s="23">
        <f t="shared" si="3"/>
        <v>0</v>
      </c>
      <c r="V1335" s="23">
        <f t="shared" si="4"/>
        <v>0</v>
      </c>
      <c r="W1335" s="24" t="str">
        <f t="shared" si="5"/>
        <v>#DIV/0!</v>
      </c>
    </row>
    <row r="1336" hidden="1">
      <c r="A1336" s="15" t="s">
        <v>5294</v>
      </c>
      <c r="B1336" s="15" t="s">
        <v>5295</v>
      </c>
      <c r="C1336" s="15" t="s">
        <v>8034</v>
      </c>
      <c r="D1336" s="18"/>
      <c r="E1336" s="17" t="s">
        <v>8035</v>
      </c>
      <c r="F1336" s="18"/>
      <c r="G1336" s="18"/>
      <c r="H1336" s="15" t="s">
        <v>5298</v>
      </c>
      <c r="I1336" s="18"/>
      <c r="J1336" s="19" t="s">
        <v>702</v>
      </c>
      <c r="K1336" s="19" t="s">
        <v>1269</v>
      </c>
      <c r="L1336" s="19" t="s">
        <v>38</v>
      </c>
      <c r="M1336" s="20">
        <f t="shared" si="1"/>
        <v>0</v>
      </c>
      <c r="N1336" s="22"/>
      <c r="O1336" s="19" t="s">
        <v>1145</v>
      </c>
      <c r="P1336" s="18"/>
      <c r="Q1336" s="18"/>
      <c r="R1336" s="23">
        <v>0.0</v>
      </c>
      <c r="S1336" s="23">
        <v>0.0</v>
      </c>
      <c r="T1336" s="23">
        <f t="shared" si="2"/>
        <v>0</v>
      </c>
      <c r="U1336" s="23">
        <f t="shared" si="3"/>
        <v>0</v>
      </c>
      <c r="V1336" s="23">
        <f t="shared" si="4"/>
        <v>0</v>
      </c>
      <c r="W1336" s="24" t="str">
        <f t="shared" si="5"/>
        <v>#DIV/0!</v>
      </c>
    </row>
    <row r="1337" hidden="1">
      <c r="A1337" s="15" t="s">
        <v>5299</v>
      </c>
      <c r="B1337" s="15" t="s">
        <v>5300</v>
      </c>
      <c r="C1337" s="15" t="s">
        <v>8036</v>
      </c>
      <c r="D1337" s="18"/>
      <c r="E1337" s="17" t="s">
        <v>8037</v>
      </c>
      <c r="F1337" s="18"/>
      <c r="G1337" s="18"/>
      <c r="H1337" s="15" t="s">
        <v>5303</v>
      </c>
      <c r="I1337" s="18"/>
      <c r="J1337" s="19" t="s">
        <v>702</v>
      </c>
      <c r="K1337" s="19" t="s">
        <v>1269</v>
      </c>
      <c r="L1337" s="19" t="s">
        <v>38</v>
      </c>
      <c r="M1337" s="20">
        <f t="shared" si="1"/>
        <v>0</v>
      </c>
      <c r="N1337" s="22"/>
      <c r="O1337" s="19" t="s">
        <v>1145</v>
      </c>
      <c r="P1337" s="18"/>
      <c r="Q1337" s="18"/>
      <c r="R1337" s="23">
        <v>0.0</v>
      </c>
      <c r="S1337" s="23">
        <v>0.0</v>
      </c>
      <c r="T1337" s="23">
        <f t="shared" si="2"/>
        <v>0</v>
      </c>
      <c r="U1337" s="23">
        <f t="shared" si="3"/>
        <v>0</v>
      </c>
      <c r="V1337" s="23">
        <f t="shared" si="4"/>
        <v>0</v>
      </c>
      <c r="W1337" s="24" t="str">
        <f t="shared" si="5"/>
        <v>#DIV/0!</v>
      </c>
    </row>
    <row r="1338" hidden="1">
      <c r="A1338" s="15" t="s">
        <v>5304</v>
      </c>
      <c r="B1338" s="15" t="s">
        <v>5305</v>
      </c>
      <c r="C1338" s="15" t="s">
        <v>8038</v>
      </c>
      <c r="D1338" s="18"/>
      <c r="E1338" s="17" t="s">
        <v>8039</v>
      </c>
      <c r="F1338" s="18"/>
      <c r="G1338" s="18"/>
      <c r="H1338" s="15" t="s">
        <v>5308</v>
      </c>
      <c r="I1338" s="18"/>
      <c r="J1338" s="19" t="s">
        <v>702</v>
      </c>
      <c r="K1338" s="19" t="s">
        <v>1269</v>
      </c>
      <c r="L1338" s="19" t="s">
        <v>38</v>
      </c>
      <c r="M1338" s="20">
        <f t="shared" si="1"/>
        <v>0</v>
      </c>
      <c r="N1338" s="22"/>
      <c r="O1338" s="19" t="s">
        <v>1145</v>
      </c>
      <c r="P1338" s="18"/>
      <c r="Q1338" s="18"/>
      <c r="R1338" s="23">
        <v>0.0</v>
      </c>
      <c r="S1338" s="23">
        <v>0.0</v>
      </c>
      <c r="T1338" s="23">
        <f t="shared" si="2"/>
        <v>0</v>
      </c>
      <c r="U1338" s="23">
        <f t="shared" si="3"/>
        <v>0</v>
      </c>
      <c r="V1338" s="23">
        <f t="shared" si="4"/>
        <v>0</v>
      </c>
      <c r="W1338" s="24" t="str">
        <f t="shared" si="5"/>
        <v>#DIV/0!</v>
      </c>
    </row>
    <row r="1339" hidden="1">
      <c r="A1339" s="15" t="s">
        <v>5309</v>
      </c>
      <c r="B1339" s="15" t="s">
        <v>5310</v>
      </c>
      <c r="C1339" s="15" t="s">
        <v>8040</v>
      </c>
      <c r="D1339" s="18"/>
      <c r="E1339" s="17" t="s">
        <v>8041</v>
      </c>
      <c r="F1339" s="18"/>
      <c r="G1339" s="18"/>
      <c r="H1339" s="15" t="s">
        <v>5313</v>
      </c>
      <c r="I1339" s="18"/>
      <c r="J1339" s="19" t="s">
        <v>702</v>
      </c>
      <c r="K1339" s="19" t="s">
        <v>1269</v>
      </c>
      <c r="L1339" s="19" t="s">
        <v>38</v>
      </c>
      <c r="M1339" s="20">
        <f t="shared" si="1"/>
        <v>0</v>
      </c>
      <c r="N1339" s="22"/>
      <c r="O1339" s="19" t="s">
        <v>1145</v>
      </c>
      <c r="P1339" s="18"/>
      <c r="Q1339" s="18"/>
      <c r="R1339" s="23">
        <v>0.0</v>
      </c>
      <c r="S1339" s="23">
        <v>0.0</v>
      </c>
      <c r="T1339" s="23">
        <f t="shared" si="2"/>
        <v>0</v>
      </c>
      <c r="U1339" s="23">
        <f t="shared" si="3"/>
        <v>0</v>
      </c>
      <c r="V1339" s="23">
        <f t="shared" si="4"/>
        <v>0</v>
      </c>
      <c r="W1339" s="24" t="str">
        <f t="shared" si="5"/>
        <v>#DIV/0!</v>
      </c>
    </row>
    <row r="1340" hidden="1">
      <c r="A1340" s="15" t="s">
        <v>5314</v>
      </c>
      <c r="B1340" s="15" t="s">
        <v>5315</v>
      </c>
      <c r="C1340" s="15" t="s">
        <v>8042</v>
      </c>
      <c r="D1340" s="18"/>
      <c r="E1340" s="17" t="s">
        <v>8043</v>
      </c>
      <c r="F1340" s="18"/>
      <c r="G1340" s="18"/>
      <c r="H1340" s="15" t="s">
        <v>5318</v>
      </c>
      <c r="I1340" s="18"/>
      <c r="J1340" s="19" t="s">
        <v>702</v>
      </c>
      <c r="K1340" s="19" t="s">
        <v>1269</v>
      </c>
      <c r="L1340" s="19" t="s">
        <v>38</v>
      </c>
      <c r="M1340" s="20">
        <f t="shared" si="1"/>
        <v>0</v>
      </c>
      <c r="N1340" s="22"/>
      <c r="O1340" s="19" t="s">
        <v>1145</v>
      </c>
      <c r="P1340" s="18"/>
      <c r="Q1340" s="18"/>
      <c r="R1340" s="23">
        <v>0.0</v>
      </c>
      <c r="S1340" s="23">
        <v>0.0</v>
      </c>
      <c r="T1340" s="23">
        <f t="shared" si="2"/>
        <v>0</v>
      </c>
      <c r="U1340" s="23">
        <f t="shared" si="3"/>
        <v>0</v>
      </c>
      <c r="V1340" s="23">
        <f t="shared" si="4"/>
        <v>0</v>
      </c>
      <c r="W1340" s="24" t="str">
        <f t="shared" si="5"/>
        <v>#DIV/0!</v>
      </c>
    </row>
    <row r="1341" hidden="1">
      <c r="A1341" s="15" t="s">
        <v>5319</v>
      </c>
      <c r="B1341" s="15" t="s">
        <v>5320</v>
      </c>
      <c r="C1341" s="15" t="s">
        <v>8044</v>
      </c>
      <c r="D1341" s="18"/>
      <c r="E1341" s="17" t="s">
        <v>8045</v>
      </c>
      <c r="F1341" s="18"/>
      <c r="G1341" s="18"/>
      <c r="H1341" s="15" t="s">
        <v>5322</v>
      </c>
      <c r="I1341" s="18"/>
      <c r="J1341" s="19" t="s">
        <v>702</v>
      </c>
      <c r="K1341" s="19" t="s">
        <v>1431</v>
      </c>
      <c r="L1341" s="19" t="s">
        <v>38</v>
      </c>
      <c r="M1341" s="20">
        <f t="shared" si="1"/>
        <v>0</v>
      </c>
      <c r="N1341" s="22"/>
      <c r="O1341" s="19" t="s">
        <v>1145</v>
      </c>
      <c r="P1341" s="18"/>
      <c r="Q1341" s="18"/>
      <c r="R1341" s="23">
        <v>0.0</v>
      </c>
      <c r="S1341" s="23">
        <v>0.0</v>
      </c>
      <c r="T1341" s="23">
        <f t="shared" si="2"/>
        <v>0</v>
      </c>
      <c r="U1341" s="23">
        <f t="shared" si="3"/>
        <v>0</v>
      </c>
      <c r="V1341" s="23">
        <f t="shared" si="4"/>
        <v>0</v>
      </c>
      <c r="W1341" s="24" t="str">
        <f t="shared" si="5"/>
        <v>#DIV/0!</v>
      </c>
    </row>
    <row r="1342" hidden="1">
      <c r="A1342" s="15" t="s">
        <v>8046</v>
      </c>
      <c r="B1342" s="15" t="s">
        <v>8047</v>
      </c>
      <c r="C1342" s="15" t="s">
        <v>8048</v>
      </c>
      <c r="D1342" s="18"/>
      <c r="E1342" s="17" t="s">
        <v>8049</v>
      </c>
      <c r="F1342" s="18"/>
      <c r="G1342" s="18"/>
      <c r="H1342" s="15" t="s">
        <v>5322</v>
      </c>
      <c r="I1342" s="18"/>
      <c r="J1342" s="19" t="s">
        <v>702</v>
      </c>
      <c r="K1342" s="19" t="s">
        <v>1431</v>
      </c>
      <c r="L1342" s="19" t="s">
        <v>38</v>
      </c>
      <c r="M1342" s="20">
        <f t="shared" si="1"/>
        <v>0</v>
      </c>
      <c r="N1342" s="22"/>
      <c r="O1342" s="19" t="s">
        <v>1145</v>
      </c>
      <c r="P1342" s="18"/>
      <c r="Q1342" s="18"/>
      <c r="R1342" s="23">
        <v>0.0</v>
      </c>
      <c r="S1342" s="23">
        <v>0.0</v>
      </c>
      <c r="T1342" s="23">
        <f t="shared" si="2"/>
        <v>0</v>
      </c>
      <c r="U1342" s="23">
        <f t="shared" si="3"/>
        <v>0</v>
      </c>
      <c r="V1342" s="23">
        <f t="shared" si="4"/>
        <v>0</v>
      </c>
      <c r="W1342" s="24" t="str">
        <f t="shared" si="5"/>
        <v>#DIV/0!</v>
      </c>
    </row>
    <row r="1343" hidden="1">
      <c r="A1343" s="15" t="s">
        <v>5324</v>
      </c>
      <c r="B1343" s="15" t="s">
        <v>5325</v>
      </c>
      <c r="C1343" s="15" t="s">
        <v>8050</v>
      </c>
      <c r="D1343" s="18"/>
      <c r="E1343" s="17" t="s">
        <v>8051</v>
      </c>
      <c r="F1343" s="18"/>
      <c r="G1343" s="18"/>
      <c r="H1343" s="15" t="s">
        <v>8052</v>
      </c>
      <c r="I1343" s="18"/>
      <c r="J1343" s="19" t="s">
        <v>702</v>
      </c>
      <c r="K1343" s="19" t="s">
        <v>1444</v>
      </c>
      <c r="L1343" s="19" t="s">
        <v>38</v>
      </c>
      <c r="M1343" s="20">
        <f t="shared" si="1"/>
        <v>0</v>
      </c>
      <c r="N1343" s="22"/>
      <c r="O1343" s="19" t="s">
        <v>1145</v>
      </c>
      <c r="P1343" s="18"/>
      <c r="Q1343" s="18"/>
      <c r="R1343" s="23">
        <v>0.0</v>
      </c>
      <c r="S1343" s="23">
        <v>0.0</v>
      </c>
      <c r="T1343" s="23">
        <f t="shared" si="2"/>
        <v>0</v>
      </c>
      <c r="U1343" s="23">
        <f t="shared" si="3"/>
        <v>0</v>
      </c>
      <c r="V1343" s="23">
        <f t="shared" si="4"/>
        <v>0</v>
      </c>
      <c r="W1343" s="24" t="str">
        <f t="shared" si="5"/>
        <v>#DIV/0!</v>
      </c>
    </row>
    <row r="1344" hidden="1">
      <c r="A1344" s="15" t="s">
        <v>3240</v>
      </c>
      <c r="B1344" s="15" t="s">
        <v>1436</v>
      </c>
      <c r="C1344" s="15" t="s">
        <v>8053</v>
      </c>
      <c r="D1344" s="18"/>
      <c r="E1344" s="17" t="s">
        <v>1437</v>
      </c>
      <c r="F1344" s="18"/>
      <c r="G1344" s="18"/>
      <c r="H1344" s="15" t="s">
        <v>3241</v>
      </c>
      <c r="I1344" s="18"/>
      <c r="J1344" s="19" t="s">
        <v>702</v>
      </c>
      <c r="K1344" s="19" t="s">
        <v>603</v>
      </c>
      <c r="L1344" s="19" t="s">
        <v>38</v>
      </c>
      <c r="M1344" s="20">
        <f t="shared" si="1"/>
        <v>0</v>
      </c>
      <c r="N1344" s="22"/>
      <c r="O1344" s="19" t="s">
        <v>1145</v>
      </c>
      <c r="P1344" s="18"/>
      <c r="Q1344" s="18"/>
      <c r="R1344" s="23">
        <v>0.0</v>
      </c>
      <c r="S1344" s="23">
        <v>0.0</v>
      </c>
      <c r="T1344" s="23">
        <f t="shared" si="2"/>
        <v>0</v>
      </c>
      <c r="U1344" s="23">
        <f t="shared" si="3"/>
        <v>0</v>
      </c>
      <c r="V1344" s="23">
        <f t="shared" si="4"/>
        <v>0</v>
      </c>
      <c r="W1344" s="24" t="str">
        <f t="shared" si="5"/>
        <v>#DIV/0!</v>
      </c>
    </row>
    <row r="1345" hidden="1">
      <c r="A1345" s="15" t="s">
        <v>3242</v>
      </c>
      <c r="B1345" s="15" t="s">
        <v>3243</v>
      </c>
      <c r="C1345" s="15" t="s">
        <v>8054</v>
      </c>
      <c r="D1345" s="18"/>
      <c r="E1345" s="17" t="s">
        <v>3244</v>
      </c>
      <c r="F1345" s="18"/>
      <c r="G1345" s="18"/>
      <c r="H1345" s="15" t="s">
        <v>3245</v>
      </c>
      <c r="I1345" s="18"/>
      <c r="J1345" s="19" t="s">
        <v>702</v>
      </c>
      <c r="K1345" s="33"/>
      <c r="L1345" s="19" t="s">
        <v>38</v>
      </c>
      <c r="M1345" s="20">
        <f t="shared" si="1"/>
        <v>0</v>
      </c>
      <c r="N1345" s="22"/>
      <c r="O1345" s="19" t="s">
        <v>1145</v>
      </c>
      <c r="P1345" s="18"/>
      <c r="Q1345" s="18"/>
      <c r="R1345" s="23">
        <v>0.0</v>
      </c>
      <c r="S1345" s="23">
        <v>0.0</v>
      </c>
      <c r="T1345" s="23">
        <f t="shared" si="2"/>
        <v>0</v>
      </c>
      <c r="U1345" s="23">
        <f t="shared" si="3"/>
        <v>0</v>
      </c>
      <c r="V1345" s="23">
        <f t="shared" si="4"/>
        <v>0</v>
      </c>
      <c r="W1345" s="24" t="str">
        <f t="shared" si="5"/>
        <v>#DIV/0!</v>
      </c>
    </row>
    <row r="1346" hidden="1">
      <c r="A1346" s="15" t="s">
        <v>5969</v>
      </c>
      <c r="B1346" s="15" t="s">
        <v>5970</v>
      </c>
      <c r="C1346" s="15" t="s">
        <v>8055</v>
      </c>
      <c r="D1346" s="15" t="s">
        <v>5971</v>
      </c>
      <c r="E1346" s="17" t="s">
        <v>5972</v>
      </c>
      <c r="F1346" s="18"/>
      <c r="G1346" s="18"/>
      <c r="H1346" s="15" t="s">
        <v>5973</v>
      </c>
      <c r="I1346" s="18"/>
      <c r="J1346" s="19" t="s">
        <v>702</v>
      </c>
      <c r="K1346" s="19" t="s">
        <v>1444</v>
      </c>
      <c r="L1346" s="19" t="s">
        <v>38</v>
      </c>
      <c r="M1346" s="20">
        <f t="shared" si="1"/>
        <v>0</v>
      </c>
      <c r="N1346" s="22"/>
      <c r="O1346" s="19" t="s">
        <v>3578</v>
      </c>
      <c r="P1346" s="18"/>
      <c r="Q1346" s="18"/>
      <c r="R1346" s="23">
        <v>0.0</v>
      </c>
      <c r="S1346" s="23">
        <v>0.0</v>
      </c>
      <c r="T1346" s="23">
        <f t="shared" si="2"/>
        <v>0</v>
      </c>
      <c r="U1346" s="23">
        <f t="shared" si="3"/>
        <v>0</v>
      </c>
      <c r="V1346" s="23">
        <f t="shared" si="4"/>
        <v>0</v>
      </c>
      <c r="W1346" s="24" t="str">
        <f t="shared" si="5"/>
        <v>#DIV/0!</v>
      </c>
    </row>
    <row r="1347">
      <c r="A1347" s="15" t="s">
        <v>1069</v>
      </c>
      <c r="B1347" s="15" t="s">
        <v>1070</v>
      </c>
      <c r="C1347" s="15" t="s">
        <v>6068</v>
      </c>
      <c r="D1347" s="15" t="s">
        <v>8056</v>
      </c>
      <c r="E1347" s="17" t="s">
        <v>8057</v>
      </c>
      <c r="F1347" s="18"/>
      <c r="G1347" s="18"/>
      <c r="H1347" s="15" t="s">
        <v>1073</v>
      </c>
      <c r="I1347" s="15" t="s">
        <v>1074</v>
      </c>
      <c r="J1347" s="19" t="s">
        <v>702</v>
      </c>
      <c r="K1347" s="19" t="s">
        <v>1230</v>
      </c>
      <c r="L1347" s="19" t="s">
        <v>38</v>
      </c>
      <c r="M1347" s="20">
        <f t="shared" si="1"/>
        <v>5470.08</v>
      </c>
      <c r="N1347" s="31">
        <v>2.0</v>
      </c>
      <c r="O1347" s="19" t="s">
        <v>107</v>
      </c>
      <c r="P1347" s="18"/>
      <c r="Q1347" s="18"/>
      <c r="R1347" s="23">
        <v>105.0</v>
      </c>
      <c r="S1347" s="23">
        <v>308.0</v>
      </c>
      <c r="T1347" s="23">
        <f t="shared" si="2"/>
        <v>295.68</v>
      </c>
      <c r="U1347" s="23">
        <f t="shared" si="3"/>
        <v>128.625</v>
      </c>
      <c r="V1347" s="23">
        <f t="shared" si="4"/>
        <v>2411.71875</v>
      </c>
      <c r="W1347" s="24">
        <f t="shared" si="5"/>
        <v>2.816</v>
      </c>
    </row>
    <row r="1348">
      <c r="A1348" s="15" t="s">
        <v>1089</v>
      </c>
      <c r="B1348" s="15" t="s">
        <v>1100</v>
      </c>
      <c r="C1348" s="15" t="s">
        <v>6069</v>
      </c>
      <c r="D1348" s="15" t="s">
        <v>1101</v>
      </c>
      <c r="E1348" s="17" t="s">
        <v>1102</v>
      </c>
      <c r="F1348" s="18"/>
      <c r="G1348" s="18"/>
      <c r="H1348" s="15" t="s">
        <v>1103</v>
      </c>
      <c r="I1348" s="18"/>
      <c r="J1348" s="19" t="s">
        <v>702</v>
      </c>
      <c r="K1348" s="19" t="s">
        <v>1230</v>
      </c>
      <c r="L1348" s="19" t="s">
        <v>38</v>
      </c>
      <c r="M1348" s="20">
        <f t="shared" si="1"/>
        <v>3356.64</v>
      </c>
      <c r="N1348" s="31">
        <v>2.0</v>
      </c>
      <c r="O1348" s="19" t="s">
        <v>107</v>
      </c>
      <c r="P1348" s="18"/>
      <c r="Q1348" s="18"/>
      <c r="R1348" s="23">
        <v>70.0</v>
      </c>
      <c r="S1348" s="23">
        <v>189.0</v>
      </c>
      <c r="T1348" s="23">
        <f t="shared" si="2"/>
        <v>181.44</v>
      </c>
      <c r="U1348" s="23">
        <f t="shared" si="3"/>
        <v>85.75</v>
      </c>
      <c r="V1348" s="23">
        <f t="shared" si="4"/>
        <v>1607.8125</v>
      </c>
      <c r="W1348" s="24">
        <f t="shared" si="5"/>
        <v>2.592</v>
      </c>
    </row>
    <row r="1349">
      <c r="A1349" s="15" t="s">
        <v>1089</v>
      </c>
      <c r="B1349" s="35" t="s">
        <v>1090</v>
      </c>
      <c r="C1349" s="15" t="s">
        <v>6069</v>
      </c>
      <c r="D1349" s="15" t="s">
        <v>1091</v>
      </c>
      <c r="E1349" s="17" t="s">
        <v>1092</v>
      </c>
      <c r="F1349" s="18"/>
      <c r="G1349" s="18"/>
      <c r="H1349" s="15" t="s">
        <v>1103</v>
      </c>
      <c r="I1349" s="18"/>
      <c r="J1349" s="19" t="s">
        <v>702</v>
      </c>
      <c r="K1349" s="19" t="s">
        <v>1230</v>
      </c>
      <c r="L1349" s="19" t="s">
        <v>38</v>
      </c>
      <c r="M1349" s="20">
        <f t="shared" si="1"/>
        <v>3996</v>
      </c>
      <c r="N1349" s="31">
        <v>1.0</v>
      </c>
      <c r="O1349" s="19" t="s">
        <v>107</v>
      </c>
      <c r="P1349" s="18"/>
      <c r="Q1349" s="18"/>
      <c r="R1349" s="23">
        <v>80.0</v>
      </c>
      <c r="S1349" s="23">
        <v>225.0</v>
      </c>
      <c r="T1349" s="23">
        <f t="shared" si="2"/>
        <v>216</v>
      </c>
      <c r="U1349" s="23">
        <f t="shared" si="3"/>
        <v>98</v>
      </c>
      <c r="V1349" s="23">
        <f t="shared" si="4"/>
        <v>1837.5</v>
      </c>
      <c r="W1349" s="24">
        <f t="shared" si="5"/>
        <v>2.7</v>
      </c>
    </row>
    <row r="1350">
      <c r="A1350" s="15" t="s">
        <v>1030</v>
      </c>
      <c r="B1350" s="15" t="s">
        <v>1031</v>
      </c>
      <c r="C1350" s="15" t="s">
        <v>6070</v>
      </c>
      <c r="D1350" s="15" t="s">
        <v>1032</v>
      </c>
      <c r="E1350" s="17" t="s">
        <v>1033</v>
      </c>
      <c r="F1350" s="18"/>
      <c r="G1350" s="18"/>
      <c r="H1350" s="15" t="s">
        <v>1034</v>
      </c>
      <c r="I1350" s="18"/>
      <c r="J1350" s="19" t="s">
        <v>702</v>
      </c>
      <c r="K1350" s="19" t="s">
        <v>1230</v>
      </c>
      <c r="L1350" s="19" t="s">
        <v>38</v>
      </c>
      <c r="M1350" s="20">
        <f t="shared" si="1"/>
        <v>4741.92</v>
      </c>
      <c r="N1350" s="31">
        <v>2.0</v>
      </c>
      <c r="O1350" s="19" t="s">
        <v>107</v>
      </c>
      <c r="P1350" s="18"/>
      <c r="Q1350" s="18"/>
      <c r="R1350" s="23">
        <v>80.0</v>
      </c>
      <c r="S1350" s="23">
        <v>267.0</v>
      </c>
      <c r="T1350" s="23">
        <f t="shared" si="2"/>
        <v>256.32</v>
      </c>
      <c r="U1350" s="23">
        <f t="shared" si="3"/>
        <v>98</v>
      </c>
      <c r="V1350" s="23">
        <f t="shared" si="4"/>
        <v>1837.5</v>
      </c>
      <c r="W1350" s="24">
        <f t="shared" si="5"/>
        <v>3.204</v>
      </c>
    </row>
    <row r="1351" hidden="1">
      <c r="A1351" s="15" t="s">
        <v>5939</v>
      </c>
      <c r="B1351" s="15" t="s">
        <v>5940</v>
      </c>
      <c r="C1351" s="15" t="s">
        <v>8058</v>
      </c>
      <c r="D1351" s="15" t="s">
        <v>5941</v>
      </c>
      <c r="E1351" s="17" t="s">
        <v>5942</v>
      </c>
      <c r="F1351" s="18"/>
      <c r="G1351" s="18"/>
      <c r="H1351" s="15" t="s">
        <v>8059</v>
      </c>
      <c r="I1351" s="18"/>
      <c r="J1351" s="19" t="s">
        <v>702</v>
      </c>
      <c r="K1351" s="19" t="s">
        <v>1230</v>
      </c>
      <c r="L1351" s="19" t="s">
        <v>38</v>
      </c>
      <c r="M1351" s="20">
        <f t="shared" si="1"/>
        <v>4937.28</v>
      </c>
      <c r="N1351" s="31">
        <v>2.0</v>
      </c>
      <c r="O1351" s="19" t="s">
        <v>3578</v>
      </c>
      <c r="P1351" s="18"/>
      <c r="Q1351" s="18"/>
      <c r="R1351" s="23">
        <v>90.0</v>
      </c>
      <c r="S1351" s="23">
        <v>278.0</v>
      </c>
      <c r="T1351" s="23">
        <f t="shared" si="2"/>
        <v>266.88</v>
      </c>
      <c r="U1351" s="23">
        <f t="shared" si="3"/>
        <v>110.25</v>
      </c>
      <c r="V1351" s="23">
        <f t="shared" si="4"/>
        <v>2067.1875</v>
      </c>
      <c r="W1351" s="24">
        <f t="shared" si="5"/>
        <v>2.965333333</v>
      </c>
    </row>
    <row r="1352">
      <c r="A1352" s="15" t="s">
        <v>1117</v>
      </c>
      <c r="B1352" s="15" t="s">
        <v>1118</v>
      </c>
      <c r="C1352" s="15" t="s">
        <v>1119</v>
      </c>
      <c r="D1352" s="15" t="s">
        <v>1120</v>
      </c>
      <c r="E1352" s="17" t="s">
        <v>1121</v>
      </c>
      <c r="F1352" s="18"/>
      <c r="G1352" s="18"/>
      <c r="H1352" s="15" t="s">
        <v>1122</v>
      </c>
      <c r="I1352" s="18"/>
      <c r="J1352" s="19" t="s">
        <v>702</v>
      </c>
      <c r="K1352" s="19" t="s">
        <v>1230</v>
      </c>
      <c r="L1352" s="19" t="s">
        <v>38</v>
      </c>
      <c r="M1352" s="20">
        <f t="shared" si="1"/>
        <v>3090.24</v>
      </c>
      <c r="N1352" s="31">
        <v>2.0</v>
      </c>
      <c r="O1352" s="19" t="s">
        <v>107</v>
      </c>
      <c r="P1352" s="18"/>
      <c r="Q1352" s="18"/>
      <c r="R1352" s="23">
        <v>70.0</v>
      </c>
      <c r="S1352" s="23">
        <v>174.0</v>
      </c>
      <c r="T1352" s="23">
        <f t="shared" si="2"/>
        <v>167.04</v>
      </c>
      <c r="U1352" s="23">
        <f t="shared" si="3"/>
        <v>85.75</v>
      </c>
      <c r="V1352" s="23">
        <f t="shared" si="4"/>
        <v>1607.8125</v>
      </c>
      <c r="W1352" s="24">
        <f t="shared" si="5"/>
        <v>2.386285714</v>
      </c>
    </row>
    <row r="1353" hidden="1">
      <c r="A1353" s="15" t="s">
        <v>3246</v>
      </c>
      <c r="B1353" s="15" t="s">
        <v>3247</v>
      </c>
      <c r="C1353" s="15" t="s">
        <v>8060</v>
      </c>
      <c r="D1353" s="18"/>
      <c r="E1353" s="17" t="s">
        <v>3248</v>
      </c>
      <c r="F1353" s="18"/>
      <c r="G1353" s="18"/>
      <c r="H1353" s="15" t="s">
        <v>3249</v>
      </c>
      <c r="I1353" s="18"/>
      <c r="J1353" s="19" t="s">
        <v>702</v>
      </c>
      <c r="K1353" s="19" t="s">
        <v>603</v>
      </c>
      <c r="L1353" s="19" t="s">
        <v>38</v>
      </c>
      <c r="M1353" s="20">
        <f t="shared" si="1"/>
        <v>0</v>
      </c>
      <c r="N1353" s="22"/>
      <c r="O1353" s="19" t="s">
        <v>1145</v>
      </c>
      <c r="P1353" s="18"/>
      <c r="Q1353" s="18"/>
      <c r="R1353" s="23">
        <v>0.0</v>
      </c>
      <c r="S1353" s="23">
        <v>0.0</v>
      </c>
      <c r="T1353" s="23">
        <f t="shared" si="2"/>
        <v>0</v>
      </c>
      <c r="U1353" s="23">
        <f t="shared" si="3"/>
        <v>0</v>
      </c>
      <c r="V1353" s="23">
        <f t="shared" si="4"/>
        <v>0</v>
      </c>
      <c r="W1353" s="24" t="str">
        <f t="shared" si="5"/>
        <v>#DIV/0!</v>
      </c>
    </row>
    <row r="1354" hidden="1">
      <c r="A1354" s="15" t="s">
        <v>8061</v>
      </c>
      <c r="B1354" s="15" t="s">
        <v>8062</v>
      </c>
      <c r="C1354" s="15" t="s">
        <v>8063</v>
      </c>
      <c r="D1354" s="15"/>
      <c r="E1354" s="17" t="s">
        <v>8064</v>
      </c>
      <c r="F1354" s="18"/>
      <c r="G1354" s="18"/>
      <c r="H1354" s="15" t="s">
        <v>8065</v>
      </c>
      <c r="I1354" s="18"/>
      <c r="J1354" s="19" t="s">
        <v>702</v>
      </c>
      <c r="K1354" s="19" t="s">
        <v>52</v>
      </c>
      <c r="L1354" s="19" t="s">
        <v>52</v>
      </c>
      <c r="M1354" s="20">
        <f t="shared" si="1"/>
        <v>0</v>
      </c>
      <c r="N1354" s="31"/>
      <c r="O1354" s="19" t="s">
        <v>39</v>
      </c>
      <c r="P1354" s="18"/>
      <c r="Q1354" s="18"/>
      <c r="R1354" s="23">
        <v>0.0</v>
      </c>
      <c r="S1354" s="23">
        <v>0.0</v>
      </c>
      <c r="T1354" s="23">
        <f t="shared" si="2"/>
        <v>0</v>
      </c>
      <c r="U1354" s="23">
        <f t="shared" si="3"/>
        <v>0</v>
      </c>
      <c r="V1354" s="23">
        <f t="shared" si="4"/>
        <v>0</v>
      </c>
      <c r="W1354" s="24" t="str">
        <f t="shared" si="5"/>
        <v>#DIV/0!</v>
      </c>
    </row>
    <row r="1355" hidden="1">
      <c r="A1355" s="15" t="s">
        <v>8066</v>
      </c>
      <c r="B1355" s="15"/>
      <c r="C1355" s="15" t="s">
        <v>8063</v>
      </c>
      <c r="D1355" s="15"/>
      <c r="E1355" s="17" t="s">
        <v>8067</v>
      </c>
      <c r="F1355" s="18"/>
      <c r="G1355" s="18"/>
      <c r="H1355" s="15" t="s">
        <v>8068</v>
      </c>
      <c r="I1355" s="18"/>
      <c r="J1355" s="19" t="s">
        <v>702</v>
      </c>
      <c r="K1355" s="19" t="s">
        <v>52</v>
      </c>
      <c r="L1355" s="19" t="s">
        <v>52</v>
      </c>
      <c r="M1355" s="20">
        <f t="shared" si="1"/>
        <v>0</v>
      </c>
      <c r="N1355" s="31"/>
      <c r="O1355" s="19" t="s">
        <v>39</v>
      </c>
      <c r="P1355" s="18"/>
      <c r="Q1355" s="18"/>
      <c r="R1355" s="23">
        <v>0.0</v>
      </c>
      <c r="S1355" s="23">
        <v>0.0</v>
      </c>
      <c r="T1355" s="23">
        <f t="shared" si="2"/>
        <v>0</v>
      </c>
      <c r="U1355" s="23">
        <f t="shared" si="3"/>
        <v>0</v>
      </c>
      <c r="V1355" s="23">
        <f t="shared" si="4"/>
        <v>0</v>
      </c>
      <c r="W1355" s="24" t="str">
        <f t="shared" si="5"/>
        <v>#DIV/0!</v>
      </c>
    </row>
    <row r="1356" hidden="1">
      <c r="A1356" s="15" t="s">
        <v>5329</v>
      </c>
      <c r="B1356" s="15" t="s">
        <v>5330</v>
      </c>
      <c r="C1356" s="15" t="s">
        <v>8069</v>
      </c>
      <c r="D1356" s="18"/>
      <c r="E1356" s="17" t="s">
        <v>8070</v>
      </c>
      <c r="F1356" s="18"/>
      <c r="G1356" s="18"/>
      <c r="H1356" s="15" t="s">
        <v>8071</v>
      </c>
      <c r="I1356" s="18"/>
      <c r="J1356" s="19" t="s">
        <v>702</v>
      </c>
      <c r="K1356" s="19" t="s">
        <v>1431</v>
      </c>
      <c r="L1356" s="19" t="s">
        <v>38</v>
      </c>
      <c r="M1356" s="20">
        <f t="shared" si="1"/>
        <v>0</v>
      </c>
      <c r="N1356" s="22"/>
      <c r="O1356" s="19" t="s">
        <v>1145</v>
      </c>
      <c r="P1356" s="18"/>
      <c r="Q1356" s="18"/>
      <c r="R1356" s="23">
        <v>0.0</v>
      </c>
      <c r="S1356" s="23">
        <v>0.0</v>
      </c>
      <c r="T1356" s="23">
        <f t="shared" si="2"/>
        <v>0</v>
      </c>
      <c r="U1356" s="23">
        <f t="shared" si="3"/>
        <v>0</v>
      </c>
      <c r="V1356" s="23">
        <f t="shared" si="4"/>
        <v>0</v>
      </c>
      <c r="W1356" s="24" t="str">
        <f t="shared" si="5"/>
        <v>#DIV/0!</v>
      </c>
    </row>
    <row r="1357" hidden="1">
      <c r="A1357" s="15" t="s">
        <v>3250</v>
      </c>
      <c r="B1357" s="15" t="s">
        <v>3251</v>
      </c>
      <c r="C1357" s="15" t="s">
        <v>8072</v>
      </c>
      <c r="D1357" s="18"/>
      <c r="E1357" s="17" t="s">
        <v>3252</v>
      </c>
      <c r="F1357" s="18"/>
      <c r="G1357" s="18"/>
      <c r="H1357" s="15" t="s">
        <v>3253</v>
      </c>
      <c r="I1357" s="18"/>
      <c r="J1357" s="19" t="s">
        <v>702</v>
      </c>
      <c r="K1357" s="19" t="s">
        <v>1431</v>
      </c>
      <c r="L1357" s="19" t="s">
        <v>38</v>
      </c>
      <c r="M1357" s="20">
        <f t="shared" si="1"/>
        <v>0</v>
      </c>
      <c r="N1357" s="22"/>
      <c r="O1357" s="19" t="s">
        <v>1145</v>
      </c>
      <c r="P1357" s="18"/>
      <c r="Q1357" s="18"/>
      <c r="R1357" s="23">
        <v>0.0</v>
      </c>
      <c r="S1357" s="23">
        <v>0.0</v>
      </c>
      <c r="T1357" s="23">
        <f t="shared" si="2"/>
        <v>0</v>
      </c>
      <c r="U1357" s="23">
        <f t="shared" si="3"/>
        <v>0</v>
      </c>
      <c r="V1357" s="23">
        <f t="shared" si="4"/>
        <v>0</v>
      </c>
      <c r="W1357" s="24" t="str">
        <f t="shared" si="5"/>
        <v>#DIV/0!</v>
      </c>
    </row>
    <row r="1358" hidden="1">
      <c r="A1358" s="15" t="s">
        <v>8073</v>
      </c>
      <c r="B1358" s="15" t="s">
        <v>315</v>
      </c>
      <c r="C1358" s="18"/>
      <c r="D1358" s="18"/>
      <c r="E1358" s="17" t="s">
        <v>8074</v>
      </c>
      <c r="F1358" s="18"/>
      <c r="G1358" s="18"/>
      <c r="H1358" s="18"/>
      <c r="I1358" s="15" t="s">
        <v>753</v>
      </c>
      <c r="J1358" s="33"/>
      <c r="K1358" s="33"/>
      <c r="L1358" s="19" t="s">
        <v>38</v>
      </c>
      <c r="M1358" s="20">
        <f t="shared" si="1"/>
        <v>0</v>
      </c>
      <c r="N1358" s="22"/>
      <c r="O1358" s="19" t="s">
        <v>39</v>
      </c>
      <c r="P1358" s="18"/>
      <c r="Q1358" s="18"/>
      <c r="R1358" s="23">
        <v>0.0</v>
      </c>
      <c r="S1358" s="23">
        <v>0.0</v>
      </c>
      <c r="T1358" s="23">
        <f t="shared" si="2"/>
        <v>0</v>
      </c>
      <c r="U1358" s="23">
        <f t="shared" si="3"/>
        <v>0</v>
      </c>
      <c r="V1358" s="23">
        <f t="shared" si="4"/>
        <v>0</v>
      </c>
      <c r="W1358" s="24" t="str">
        <f t="shared" si="5"/>
        <v>#DIV/0!</v>
      </c>
    </row>
    <row r="1359" hidden="1">
      <c r="A1359" s="15" t="s">
        <v>8075</v>
      </c>
      <c r="B1359" s="15" t="s">
        <v>54</v>
      </c>
      <c r="C1359" s="18"/>
      <c r="D1359" s="18"/>
      <c r="E1359" s="17" t="s">
        <v>8076</v>
      </c>
      <c r="F1359" s="18"/>
      <c r="G1359" s="18"/>
      <c r="H1359" s="18"/>
      <c r="I1359" s="15" t="s">
        <v>753</v>
      </c>
      <c r="J1359" s="33"/>
      <c r="K1359" s="33"/>
      <c r="L1359" s="19" t="s">
        <v>38</v>
      </c>
      <c r="M1359" s="20">
        <f t="shared" si="1"/>
        <v>0</v>
      </c>
      <c r="N1359" s="22"/>
      <c r="O1359" s="19" t="s">
        <v>39</v>
      </c>
      <c r="P1359" s="18"/>
      <c r="Q1359" s="18"/>
      <c r="R1359" s="23">
        <v>0.0</v>
      </c>
      <c r="S1359" s="23">
        <v>0.0</v>
      </c>
      <c r="T1359" s="23">
        <f t="shared" si="2"/>
        <v>0</v>
      </c>
      <c r="U1359" s="23">
        <f t="shared" si="3"/>
        <v>0</v>
      </c>
      <c r="V1359" s="23">
        <f t="shared" si="4"/>
        <v>0</v>
      </c>
      <c r="W1359" s="24" t="str">
        <f t="shared" si="5"/>
        <v>#DIV/0!</v>
      </c>
    </row>
    <row r="1360" hidden="1">
      <c r="A1360" s="15" t="s">
        <v>3254</v>
      </c>
      <c r="B1360" s="18"/>
      <c r="C1360" s="18"/>
      <c r="D1360" s="18"/>
      <c r="E1360" s="17" t="s">
        <v>2827</v>
      </c>
      <c r="F1360" s="18"/>
      <c r="G1360" s="18"/>
      <c r="H1360" s="18"/>
      <c r="I1360" s="18"/>
      <c r="J1360" s="33"/>
      <c r="K1360" s="33"/>
      <c r="L1360" s="19" t="s">
        <v>38</v>
      </c>
      <c r="M1360" s="20">
        <f t="shared" si="1"/>
        <v>0</v>
      </c>
      <c r="N1360" s="22"/>
      <c r="O1360" s="19" t="s">
        <v>1145</v>
      </c>
      <c r="P1360" s="18"/>
      <c r="Q1360" s="18"/>
      <c r="R1360" s="23">
        <v>0.0</v>
      </c>
      <c r="S1360" s="23">
        <v>0.0</v>
      </c>
      <c r="T1360" s="23">
        <f t="shared" si="2"/>
        <v>0</v>
      </c>
      <c r="U1360" s="23">
        <f t="shared" si="3"/>
        <v>0</v>
      </c>
      <c r="V1360" s="23">
        <f t="shared" si="4"/>
        <v>0</v>
      </c>
      <c r="W1360" s="24" t="str">
        <f t="shared" si="5"/>
        <v>#DIV/0!</v>
      </c>
    </row>
    <row r="1361" hidden="1">
      <c r="A1361" s="15" t="s">
        <v>3255</v>
      </c>
      <c r="B1361" s="18"/>
      <c r="C1361" s="18"/>
      <c r="D1361" s="18"/>
      <c r="E1361" s="17" t="s">
        <v>2827</v>
      </c>
      <c r="F1361" s="18"/>
      <c r="G1361" s="18"/>
      <c r="H1361" s="18"/>
      <c r="I1361" s="18"/>
      <c r="J1361" s="33"/>
      <c r="K1361" s="33"/>
      <c r="L1361" s="19" t="s">
        <v>38</v>
      </c>
      <c r="M1361" s="20">
        <f t="shared" si="1"/>
        <v>0</v>
      </c>
      <c r="N1361" s="22"/>
      <c r="O1361" s="19" t="s">
        <v>1145</v>
      </c>
      <c r="P1361" s="18"/>
      <c r="Q1361" s="18"/>
      <c r="R1361" s="23">
        <v>0.0</v>
      </c>
      <c r="S1361" s="23">
        <v>0.0</v>
      </c>
      <c r="T1361" s="23">
        <f t="shared" si="2"/>
        <v>0</v>
      </c>
      <c r="U1361" s="23">
        <f t="shared" si="3"/>
        <v>0</v>
      </c>
      <c r="V1361" s="23">
        <f t="shared" si="4"/>
        <v>0</v>
      </c>
      <c r="W1361" s="24" t="str">
        <f t="shared" si="5"/>
        <v>#DIV/0!</v>
      </c>
    </row>
    <row r="1362" hidden="1">
      <c r="A1362" s="15" t="s">
        <v>3256</v>
      </c>
      <c r="B1362" s="18"/>
      <c r="C1362" s="15" t="s">
        <v>8077</v>
      </c>
      <c r="D1362" s="18"/>
      <c r="E1362" s="17" t="s">
        <v>3257</v>
      </c>
      <c r="F1362" s="18"/>
      <c r="G1362" s="18"/>
      <c r="H1362" s="15" t="s">
        <v>3258</v>
      </c>
      <c r="I1362" s="18"/>
      <c r="J1362" s="33"/>
      <c r="K1362" s="19" t="s">
        <v>2387</v>
      </c>
      <c r="L1362" s="19" t="s">
        <v>38</v>
      </c>
      <c r="M1362" s="20">
        <f t="shared" si="1"/>
        <v>0</v>
      </c>
      <c r="N1362" s="22"/>
      <c r="O1362" s="19" t="s">
        <v>1145</v>
      </c>
      <c r="P1362" s="18"/>
      <c r="Q1362" s="18"/>
      <c r="R1362" s="23">
        <v>0.0</v>
      </c>
      <c r="S1362" s="23">
        <v>0.0</v>
      </c>
      <c r="T1362" s="23">
        <f t="shared" si="2"/>
        <v>0</v>
      </c>
      <c r="U1362" s="23">
        <f t="shared" si="3"/>
        <v>0</v>
      </c>
      <c r="V1362" s="23">
        <f t="shared" si="4"/>
        <v>0</v>
      </c>
      <c r="W1362" s="24" t="str">
        <f t="shared" si="5"/>
        <v>#DIV/0!</v>
      </c>
    </row>
    <row r="1363" hidden="1">
      <c r="A1363" s="15" t="s">
        <v>3259</v>
      </c>
      <c r="B1363" s="18"/>
      <c r="C1363" s="15" t="s">
        <v>8078</v>
      </c>
      <c r="D1363" s="18"/>
      <c r="E1363" s="17" t="s">
        <v>3260</v>
      </c>
      <c r="F1363" s="18"/>
      <c r="G1363" s="18"/>
      <c r="H1363" s="15" t="s">
        <v>3261</v>
      </c>
      <c r="I1363" s="18"/>
      <c r="J1363" s="33"/>
      <c r="K1363" s="19" t="s">
        <v>2387</v>
      </c>
      <c r="L1363" s="19" t="s">
        <v>38</v>
      </c>
      <c r="M1363" s="20">
        <f t="shared" si="1"/>
        <v>0</v>
      </c>
      <c r="N1363" s="22"/>
      <c r="O1363" s="19" t="s">
        <v>1145</v>
      </c>
      <c r="P1363" s="18"/>
      <c r="Q1363" s="18"/>
      <c r="R1363" s="23">
        <v>0.0</v>
      </c>
      <c r="S1363" s="23">
        <v>0.0</v>
      </c>
      <c r="T1363" s="23">
        <f t="shared" si="2"/>
        <v>0</v>
      </c>
      <c r="U1363" s="23">
        <f t="shared" si="3"/>
        <v>0</v>
      </c>
      <c r="V1363" s="23">
        <f t="shared" si="4"/>
        <v>0</v>
      </c>
      <c r="W1363" s="24" t="str">
        <f t="shared" si="5"/>
        <v>#DIV/0!</v>
      </c>
    </row>
    <row r="1364" hidden="1">
      <c r="A1364" s="15" t="s">
        <v>3262</v>
      </c>
      <c r="B1364" s="18"/>
      <c r="C1364" s="15" t="s">
        <v>8079</v>
      </c>
      <c r="D1364" s="18"/>
      <c r="E1364" s="17" t="s">
        <v>3263</v>
      </c>
      <c r="F1364" s="18"/>
      <c r="G1364" s="18"/>
      <c r="H1364" s="15" t="s">
        <v>3264</v>
      </c>
      <c r="I1364" s="18"/>
      <c r="J1364" s="33"/>
      <c r="K1364" s="19" t="s">
        <v>2387</v>
      </c>
      <c r="L1364" s="19" t="s">
        <v>38</v>
      </c>
      <c r="M1364" s="20">
        <f t="shared" si="1"/>
        <v>0</v>
      </c>
      <c r="N1364" s="22"/>
      <c r="O1364" s="19" t="s">
        <v>1145</v>
      </c>
      <c r="P1364" s="18"/>
      <c r="Q1364" s="18"/>
      <c r="R1364" s="23">
        <v>0.0</v>
      </c>
      <c r="S1364" s="23">
        <v>0.0</v>
      </c>
      <c r="T1364" s="23">
        <f t="shared" si="2"/>
        <v>0</v>
      </c>
      <c r="U1364" s="23">
        <f t="shared" si="3"/>
        <v>0</v>
      </c>
      <c r="V1364" s="23">
        <f t="shared" si="4"/>
        <v>0</v>
      </c>
      <c r="W1364" s="24" t="str">
        <f t="shared" si="5"/>
        <v>#DIV/0!</v>
      </c>
    </row>
    <row r="1365" hidden="1">
      <c r="A1365" s="15" t="s">
        <v>3265</v>
      </c>
      <c r="B1365" s="18"/>
      <c r="C1365" s="15" t="s">
        <v>8080</v>
      </c>
      <c r="D1365" s="18"/>
      <c r="E1365" s="17" t="s">
        <v>3266</v>
      </c>
      <c r="F1365" s="18"/>
      <c r="G1365" s="18"/>
      <c r="H1365" s="15" t="s">
        <v>3267</v>
      </c>
      <c r="I1365" s="18"/>
      <c r="J1365" s="33"/>
      <c r="K1365" s="19" t="s">
        <v>3268</v>
      </c>
      <c r="L1365" s="19" t="s">
        <v>38</v>
      </c>
      <c r="M1365" s="20">
        <f t="shared" si="1"/>
        <v>0</v>
      </c>
      <c r="N1365" s="22"/>
      <c r="O1365" s="19" t="s">
        <v>1145</v>
      </c>
      <c r="P1365" s="18"/>
      <c r="Q1365" s="18"/>
      <c r="R1365" s="23">
        <v>0.0</v>
      </c>
      <c r="S1365" s="23">
        <v>0.0</v>
      </c>
      <c r="T1365" s="23">
        <f t="shared" si="2"/>
        <v>0</v>
      </c>
      <c r="U1365" s="23">
        <f t="shared" si="3"/>
        <v>0</v>
      </c>
      <c r="V1365" s="23">
        <f t="shared" si="4"/>
        <v>0</v>
      </c>
      <c r="W1365" s="24" t="str">
        <f t="shared" si="5"/>
        <v>#DIV/0!</v>
      </c>
    </row>
    <row r="1366" hidden="1">
      <c r="A1366" s="15" t="s">
        <v>3269</v>
      </c>
      <c r="B1366" s="18"/>
      <c r="C1366" s="15" t="s">
        <v>8081</v>
      </c>
      <c r="D1366" s="18"/>
      <c r="E1366" s="17" t="s">
        <v>3270</v>
      </c>
      <c r="F1366" s="18"/>
      <c r="G1366" s="18"/>
      <c r="H1366" s="15" t="s">
        <v>3271</v>
      </c>
      <c r="I1366" s="18"/>
      <c r="J1366" s="33"/>
      <c r="K1366" s="19" t="s">
        <v>2401</v>
      </c>
      <c r="L1366" s="19" t="s">
        <v>38</v>
      </c>
      <c r="M1366" s="20">
        <f t="shared" si="1"/>
        <v>0</v>
      </c>
      <c r="N1366" s="22"/>
      <c r="O1366" s="19" t="s">
        <v>1145</v>
      </c>
      <c r="P1366" s="18"/>
      <c r="Q1366" s="18"/>
      <c r="R1366" s="23">
        <v>0.0</v>
      </c>
      <c r="S1366" s="23">
        <v>0.0</v>
      </c>
      <c r="T1366" s="23">
        <f t="shared" si="2"/>
        <v>0</v>
      </c>
      <c r="U1366" s="23">
        <f t="shared" si="3"/>
        <v>0</v>
      </c>
      <c r="V1366" s="23">
        <f t="shared" si="4"/>
        <v>0</v>
      </c>
      <c r="W1366" s="24" t="str">
        <f t="shared" si="5"/>
        <v>#DIV/0!</v>
      </c>
    </row>
    <row r="1367" hidden="1">
      <c r="A1367" s="15" t="s">
        <v>3272</v>
      </c>
      <c r="B1367" s="18"/>
      <c r="C1367" s="15" t="s">
        <v>8082</v>
      </c>
      <c r="D1367" s="18"/>
      <c r="E1367" s="17" t="s">
        <v>3273</v>
      </c>
      <c r="F1367" s="18"/>
      <c r="G1367" s="18"/>
      <c r="H1367" s="15" t="s">
        <v>3274</v>
      </c>
      <c r="I1367" s="18"/>
      <c r="J1367" s="33"/>
      <c r="K1367" s="19" t="s">
        <v>2519</v>
      </c>
      <c r="L1367" s="19" t="s">
        <v>38</v>
      </c>
      <c r="M1367" s="20">
        <f t="shared" si="1"/>
        <v>0</v>
      </c>
      <c r="N1367" s="22"/>
      <c r="O1367" s="19" t="s">
        <v>1145</v>
      </c>
      <c r="P1367" s="18"/>
      <c r="Q1367" s="18"/>
      <c r="R1367" s="23">
        <v>0.0</v>
      </c>
      <c r="S1367" s="23">
        <v>0.0</v>
      </c>
      <c r="T1367" s="23">
        <f t="shared" si="2"/>
        <v>0</v>
      </c>
      <c r="U1367" s="23">
        <f t="shared" si="3"/>
        <v>0</v>
      </c>
      <c r="V1367" s="23">
        <f t="shared" si="4"/>
        <v>0</v>
      </c>
      <c r="W1367" s="24" t="str">
        <f t="shared" si="5"/>
        <v>#DIV/0!</v>
      </c>
    </row>
    <row r="1368" hidden="1">
      <c r="A1368" s="15" t="s">
        <v>3275</v>
      </c>
      <c r="B1368" s="18"/>
      <c r="C1368" s="15" t="s">
        <v>8083</v>
      </c>
      <c r="D1368" s="18"/>
      <c r="E1368" s="17" t="s">
        <v>3276</v>
      </c>
      <c r="F1368" s="18"/>
      <c r="G1368" s="18"/>
      <c r="H1368" s="15" t="s">
        <v>3277</v>
      </c>
      <c r="I1368" s="18"/>
      <c r="J1368" s="33"/>
      <c r="K1368" s="19" t="s">
        <v>2519</v>
      </c>
      <c r="L1368" s="19" t="s">
        <v>38</v>
      </c>
      <c r="M1368" s="20">
        <f t="shared" si="1"/>
        <v>0</v>
      </c>
      <c r="N1368" s="22"/>
      <c r="O1368" s="19" t="s">
        <v>1145</v>
      </c>
      <c r="P1368" s="18"/>
      <c r="Q1368" s="18"/>
      <c r="R1368" s="23">
        <v>0.0</v>
      </c>
      <c r="S1368" s="23">
        <v>0.0</v>
      </c>
      <c r="T1368" s="23">
        <f t="shared" si="2"/>
        <v>0</v>
      </c>
      <c r="U1368" s="23">
        <f t="shared" si="3"/>
        <v>0</v>
      </c>
      <c r="V1368" s="23">
        <f t="shared" si="4"/>
        <v>0</v>
      </c>
      <c r="W1368" s="24" t="str">
        <f t="shared" si="5"/>
        <v>#DIV/0!</v>
      </c>
    </row>
    <row r="1369" hidden="1">
      <c r="A1369" s="15" t="s">
        <v>3278</v>
      </c>
      <c r="B1369" s="18"/>
      <c r="C1369" s="15" t="s">
        <v>8084</v>
      </c>
      <c r="D1369" s="18"/>
      <c r="E1369" s="17" t="s">
        <v>3279</v>
      </c>
      <c r="F1369" s="18"/>
      <c r="G1369" s="18"/>
      <c r="H1369" s="15" t="s">
        <v>3280</v>
      </c>
      <c r="I1369" s="18"/>
      <c r="J1369" s="33"/>
      <c r="K1369" s="19" t="s">
        <v>2519</v>
      </c>
      <c r="L1369" s="19" t="s">
        <v>38</v>
      </c>
      <c r="M1369" s="20">
        <f t="shared" si="1"/>
        <v>0</v>
      </c>
      <c r="N1369" s="22"/>
      <c r="O1369" s="19" t="s">
        <v>1145</v>
      </c>
      <c r="P1369" s="18"/>
      <c r="Q1369" s="18"/>
      <c r="R1369" s="23">
        <v>0.0</v>
      </c>
      <c r="S1369" s="23">
        <v>0.0</v>
      </c>
      <c r="T1369" s="23">
        <f t="shared" si="2"/>
        <v>0</v>
      </c>
      <c r="U1369" s="23">
        <f t="shared" si="3"/>
        <v>0</v>
      </c>
      <c r="V1369" s="23">
        <f t="shared" si="4"/>
        <v>0</v>
      </c>
      <c r="W1369" s="24" t="str">
        <f t="shared" si="5"/>
        <v>#DIV/0!</v>
      </c>
    </row>
    <row r="1370" hidden="1">
      <c r="A1370" s="15" t="s">
        <v>3281</v>
      </c>
      <c r="B1370" s="18"/>
      <c r="C1370" s="15" t="s">
        <v>8085</v>
      </c>
      <c r="D1370" s="18"/>
      <c r="E1370" s="17" t="s">
        <v>3282</v>
      </c>
      <c r="F1370" s="18"/>
      <c r="G1370" s="18"/>
      <c r="H1370" s="15" t="s">
        <v>3283</v>
      </c>
      <c r="I1370" s="18"/>
      <c r="J1370" s="33"/>
      <c r="K1370" s="19" t="s">
        <v>2519</v>
      </c>
      <c r="L1370" s="19" t="s">
        <v>38</v>
      </c>
      <c r="M1370" s="20">
        <f t="shared" si="1"/>
        <v>0</v>
      </c>
      <c r="N1370" s="22"/>
      <c r="O1370" s="19" t="s">
        <v>1145</v>
      </c>
      <c r="P1370" s="18"/>
      <c r="Q1370" s="18"/>
      <c r="R1370" s="23">
        <v>0.0</v>
      </c>
      <c r="S1370" s="23">
        <v>0.0</v>
      </c>
      <c r="T1370" s="23">
        <f t="shared" si="2"/>
        <v>0</v>
      </c>
      <c r="U1370" s="23">
        <f t="shared" si="3"/>
        <v>0</v>
      </c>
      <c r="V1370" s="23">
        <f t="shared" si="4"/>
        <v>0</v>
      </c>
      <c r="W1370" s="24" t="str">
        <f t="shared" si="5"/>
        <v>#DIV/0!</v>
      </c>
    </row>
    <row r="1371" hidden="1">
      <c r="A1371" s="15" t="s">
        <v>3284</v>
      </c>
      <c r="B1371" s="18"/>
      <c r="C1371" s="15" t="s">
        <v>8086</v>
      </c>
      <c r="D1371" s="18"/>
      <c r="E1371" s="17" t="s">
        <v>3285</v>
      </c>
      <c r="F1371" s="18"/>
      <c r="G1371" s="18"/>
      <c r="H1371" s="15" t="s">
        <v>3286</v>
      </c>
      <c r="I1371" s="18"/>
      <c r="J1371" s="33"/>
      <c r="K1371" s="19" t="s">
        <v>2519</v>
      </c>
      <c r="L1371" s="19" t="s">
        <v>38</v>
      </c>
      <c r="M1371" s="20">
        <f t="shared" si="1"/>
        <v>0</v>
      </c>
      <c r="N1371" s="22"/>
      <c r="O1371" s="19" t="s">
        <v>1145</v>
      </c>
      <c r="P1371" s="18"/>
      <c r="Q1371" s="18"/>
      <c r="R1371" s="23">
        <v>0.0</v>
      </c>
      <c r="S1371" s="23">
        <v>0.0</v>
      </c>
      <c r="T1371" s="23">
        <f t="shared" si="2"/>
        <v>0</v>
      </c>
      <c r="U1371" s="23">
        <f t="shared" si="3"/>
        <v>0</v>
      </c>
      <c r="V1371" s="23">
        <f t="shared" si="4"/>
        <v>0</v>
      </c>
      <c r="W1371" s="24" t="str">
        <f t="shared" si="5"/>
        <v>#DIV/0!</v>
      </c>
    </row>
    <row r="1372" hidden="1">
      <c r="A1372" s="15" t="s">
        <v>3287</v>
      </c>
      <c r="B1372" s="18"/>
      <c r="C1372" s="15" t="s">
        <v>8087</v>
      </c>
      <c r="D1372" s="18"/>
      <c r="E1372" s="17" t="s">
        <v>3288</v>
      </c>
      <c r="F1372" s="18"/>
      <c r="G1372" s="18"/>
      <c r="H1372" s="15" t="s">
        <v>3289</v>
      </c>
      <c r="I1372" s="18"/>
      <c r="J1372" s="33"/>
      <c r="K1372" s="19" t="s">
        <v>2519</v>
      </c>
      <c r="L1372" s="19" t="s">
        <v>38</v>
      </c>
      <c r="M1372" s="20">
        <f t="shared" si="1"/>
        <v>0</v>
      </c>
      <c r="N1372" s="22"/>
      <c r="O1372" s="19" t="s">
        <v>1145</v>
      </c>
      <c r="P1372" s="18"/>
      <c r="Q1372" s="18"/>
      <c r="R1372" s="23">
        <v>0.0</v>
      </c>
      <c r="S1372" s="23">
        <v>0.0</v>
      </c>
      <c r="T1372" s="23">
        <f t="shared" si="2"/>
        <v>0</v>
      </c>
      <c r="U1372" s="23">
        <f t="shared" si="3"/>
        <v>0</v>
      </c>
      <c r="V1372" s="23">
        <f t="shared" si="4"/>
        <v>0</v>
      </c>
      <c r="W1372" s="24" t="str">
        <f t="shared" si="5"/>
        <v>#DIV/0!</v>
      </c>
    </row>
    <row r="1373" hidden="1">
      <c r="A1373" s="15" t="s">
        <v>3290</v>
      </c>
      <c r="B1373" s="18"/>
      <c r="C1373" s="15" t="s">
        <v>8088</v>
      </c>
      <c r="D1373" s="18"/>
      <c r="E1373" s="17" t="s">
        <v>3291</v>
      </c>
      <c r="F1373" s="18"/>
      <c r="G1373" s="18"/>
      <c r="H1373" s="15" t="s">
        <v>3292</v>
      </c>
      <c r="I1373" s="18"/>
      <c r="J1373" s="33"/>
      <c r="K1373" s="19" t="s">
        <v>2519</v>
      </c>
      <c r="L1373" s="19" t="s">
        <v>38</v>
      </c>
      <c r="M1373" s="20">
        <f t="shared" si="1"/>
        <v>0</v>
      </c>
      <c r="N1373" s="22"/>
      <c r="O1373" s="19" t="s">
        <v>1145</v>
      </c>
      <c r="P1373" s="18"/>
      <c r="Q1373" s="18"/>
      <c r="R1373" s="23">
        <v>0.0</v>
      </c>
      <c r="S1373" s="23">
        <v>0.0</v>
      </c>
      <c r="T1373" s="23">
        <f t="shared" si="2"/>
        <v>0</v>
      </c>
      <c r="U1373" s="23">
        <f t="shared" si="3"/>
        <v>0</v>
      </c>
      <c r="V1373" s="23">
        <f t="shared" si="4"/>
        <v>0</v>
      </c>
      <c r="W1373" s="24" t="str">
        <f t="shared" si="5"/>
        <v>#DIV/0!</v>
      </c>
    </row>
    <row r="1374" hidden="1">
      <c r="A1374" s="15" t="s">
        <v>3293</v>
      </c>
      <c r="B1374" s="18"/>
      <c r="C1374" s="15" t="s">
        <v>8089</v>
      </c>
      <c r="D1374" s="18"/>
      <c r="E1374" s="17" t="s">
        <v>3294</v>
      </c>
      <c r="F1374" s="18"/>
      <c r="G1374" s="18"/>
      <c r="H1374" s="15" t="s">
        <v>3295</v>
      </c>
      <c r="I1374" s="18"/>
      <c r="J1374" s="33"/>
      <c r="K1374" s="19" t="s">
        <v>2519</v>
      </c>
      <c r="L1374" s="19" t="s">
        <v>38</v>
      </c>
      <c r="M1374" s="20">
        <f t="shared" si="1"/>
        <v>0</v>
      </c>
      <c r="N1374" s="22"/>
      <c r="O1374" s="19" t="s">
        <v>1145</v>
      </c>
      <c r="P1374" s="18"/>
      <c r="Q1374" s="18"/>
      <c r="R1374" s="23">
        <v>0.0</v>
      </c>
      <c r="S1374" s="23">
        <v>0.0</v>
      </c>
      <c r="T1374" s="23">
        <f t="shared" si="2"/>
        <v>0</v>
      </c>
      <c r="U1374" s="23">
        <f t="shared" si="3"/>
        <v>0</v>
      </c>
      <c r="V1374" s="23">
        <f t="shared" si="4"/>
        <v>0</v>
      </c>
      <c r="W1374" s="24" t="str">
        <f t="shared" si="5"/>
        <v>#DIV/0!</v>
      </c>
    </row>
    <row r="1375" hidden="1">
      <c r="A1375" s="15" t="s">
        <v>3296</v>
      </c>
      <c r="B1375" s="18"/>
      <c r="C1375" s="15" t="s">
        <v>8090</v>
      </c>
      <c r="D1375" s="18"/>
      <c r="E1375" s="17" t="s">
        <v>3297</v>
      </c>
      <c r="F1375" s="18"/>
      <c r="G1375" s="18"/>
      <c r="H1375" s="15" t="s">
        <v>3298</v>
      </c>
      <c r="I1375" s="18"/>
      <c r="J1375" s="33"/>
      <c r="K1375" s="19" t="s">
        <v>2519</v>
      </c>
      <c r="L1375" s="19" t="s">
        <v>38</v>
      </c>
      <c r="M1375" s="20">
        <f t="shared" si="1"/>
        <v>0</v>
      </c>
      <c r="N1375" s="22"/>
      <c r="O1375" s="19" t="s">
        <v>1145</v>
      </c>
      <c r="P1375" s="18"/>
      <c r="Q1375" s="18"/>
      <c r="R1375" s="23">
        <v>0.0</v>
      </c>
      <c r="S1375" s="23">
        <v>0.0</v>
      </c>
      <c r="T1375" s="23">
        <f t="shared" si="2"/>
        <v>0</v>
      </c>
      <c r="U1375" s="23">
        <f t="shared" si="3"/>
        <v>0</v>
      </c>
      <c r="V1375" s="23">
        <f t="shared" si="4"/>
        <v>0</v>
      </c>
      <c r="W1375" s="24" t="str">
        <f t="shared" si="5"/>
        <v>#DIV/0!</v>
      </c>
    </row>
    <row r="1376" hidden="1">
      <c r="A1376" s="15" t="s">
        <v>3299</v>
      </c>
      <c r="B1376" s="18"/>
      <c r="C1376" s="15" t="s">
        <v>8091</v>
      </c>
      <c r="D1376" s="18"/>
      <c r="E1376" s="17" t="s">
        <v>3300</v>
      </c>
      <c r="F1376" s="18"/>
      <c r="G1376" s="18"/>
      <c r="H1376" s="15" t="s">
        <v>3301</v>
      </c>
      <c r="I1376" s="18"/>
      <c r="J1376" s="33"/>
      <c r="K1376" s="19" t="s">
        <v>2519</v>
      </c>
      <c r="L1376" s="19" t="s">
        <v>38</v>
      </c>
      <c r="M1376" s="20">
        <f t="shared" si="1"/>
        <v>0</v>
      </c>
      <c r="N1376" s="22"/>
      <c r="O1376" s="19" t="s">
        <v>1145</v>
      </c>
      <c r="P1376" s="18"/>
      <c r="Q1376" s="18"/>
      <c r="R1376" s="23">
        <v>0.0</v>
      </c>
      <c r="S1376" s="23">
        <v>0.0</v>
      </c>
      <c r="T1376" s="23">
        <f t="shared" si="2"/>
        <v>0</v>
      </c>
      <c r="U1376" s="23">
        <f t="shared" si="3"/>
        <v>0</v>
      </c>
      <c r="V1376" s="23">
        <f t="shared" si="4"/>
        <v>0</v>
      </c>
      <c r="W1376" s="24" t="str">
        <f t="shared" si="5"/>
        <v>#DIV/0!</v>
      </c>
    </row>
    <row r="1377" hidden="1">
      <c r="A1377" s="15" t="s">
        <v>3302</v>
      </c>
      <c r="B1377" s="18"/>
      <c r="C1377" s="15" t="s">
        <v>8092</v>
      </c>
      <c r="D1377" s="18"/>
      <c r="E1377" s="17" t="s">
        <v>3303</v>
      </c>
      <c r="F1377" s="18"/>
      <c r="G1377" s="18"/>
      <c r="H1377" s="15" t="s">
        <v>3304</v>
      </c>
      <c r="I1377" s="18"/>
      <c r="J1377" s="33"/>
      <c r="K1377" s="19" t="s">
        <v>2519</v>
      </c>
      <c r="L1377" s="19" t="s">
        <v>38</v>
      </c>
      <c r="M1377" s="20">
        <f t="shared" si="1"/>
        <v>0</v>
      </c>
      <c r="N1377" s="22"/>
      <c r="O1377" s="19" t="s">
        <v>1145</v>
      </c>
      <c r="P1377" s="18"/>
      <c r="Q1377" s="18"/>
      <c r="R1377" s="23">
        <v>0.0</v>
      </c>
      <c r="S1377" s="23">
        <v>0.0</v>
      </c>
      <c r="T1377" s="23">
        <f t="shared" si="2"/>
        <v>0</v>
      </c>
      <c r="U1377" s="23">
        <f t="shared" si="3"/>
        <v>0</v>
      </c>
      <c r="V1377" s="23">
        <f t="shared" si="4"/>
        <v>0</v>
      </c>
      <c r="W1377" s="24" t="str">
        <f t="shared" si="5"/>
        <v>#DIV/0!</v>
      </c>
    </row>
    <row r="1378" hidden="1">
      <c r="A1378" s="15" t="s">
        <v>3305</v>
      </c>
      <c r="B1378" s="18"/>
      <c r="C1378" s="15" t="s">
        <v>8093</v>
      </c>
      <c r="D1378" s="18"/>
      <c r="E1378" s="17" t="s">
        <v>3306</v>
      </c>
      <c r="F1378" s="18"/>
      <c r="G1378" s="18"/>
      <c r="H1378" s="15" t="s">
        <v>3307</v>
      </c>
      <c r="I1378" s="18"/>
      <c r="J1378" s="33"/>
      <c r="K1378" s="19" t="s">
        <v>2519</v>
      </c>
      <c r="L1378" s="19" t="s">
        <v>38</v>
      </c>
      <c r="M1378" s="20">
        <f t="shared" si="1"/>
        <v>0</v>
      </c>
      <c r="N1378" s="22"/>
      <c r="O1378" s="19" t="s">
        <v>1145</v>
      </c>
      <c r="P1378" s="18"/>
      <c r="Q1378" s="18"/>
      <c r="R1378" s="23">
        <v>0.0</v>
      </c>
      <c r="S1378" s="23">
        <v>0.0</v>
      </c>
      <c r="T1378" s="23">
        <f t="shared" si="2"/>
        <v>0</v>
      </c>
      <c r="U1378" s="23">
        <f t="shared" si="3"/>
        <v>0</v>
      </c>
      <c r="V1378" s="23">
        <f t="shared" si="4"/>
        <v>0</v>
      </c>
      <c r="W1378" s="24" t="str">
        <f t="shared" si="5"/>
        <v>#DIV/0!</v>
      </c>
    </row>
    <row r="1379" hidden="1">
      <c r="A1379" s="15" t="s">
        <v>3308</v>
      </c>
      <c r="B1379" s="18"/>
      <c r="C1379" s="15" t="s">
        <v>8094</v>
      </c>
      <c r="D1379" s="18"/>
      <c r="E1379" s="17" t="s">
        <v>3309</v>
      </c>
      <c r="F1379" s="18"/>
      <c r="G1379" s="18"/>
      <c r="H1379" s="15" t="s">
        <v>3310</v>
      </c>
      <c r="I1379" s="18"/>
      <c r="J1379" s="33"/>
      <c r="K1379" s="19" t="s">
        <v>2519</v>
      </c>
      <c r="L1379" s="19" t="s">
        <v>38</v>
      </c>
      <c r="M1379" s="20">
        <f t="shared" si="1"/>
        <v>0</v>
      </c>
      <c r="N1379" s="22"/>
      <c r="O1379" s="19" t="s">
        <v>1145</v>
      </c>
      <c r="P1379" s="18"/>
      <c r="Q1379" s="18"/>
      <c r="R1379" s="23">
        <v>0.0</v>
      </c>
      <c r="S1379" s="23">
        <v>0.0</v>
      </c>
      <c r="T1379" s="23">
        <f t="shared" si="2"/>
        <v>0</v>
      </c>
      <c r="U1379" s="23">
        <f t="shared" si="3"/>
        <v>0</v>
      </c>
      <c r="V1379" s="23">
        <f t="shared" si="4"/>
        <v>0</v>
      </c>
      <c r="W1379" s="24" t="str">
        <f t="shared" si="5"/>
        <v>#DIV/0!</v>
      </c>
    </row>
    <row r="1380" hidden="1">
      <c r="A1380" s="15" t="s">
        <v>3311</v>
      </c>
      <c r="B1380" s="18"/>
      <c r="C1380" s="15" t="s">
        <v>8095</v>
      </c>
      <c r="D1380" s="18"/>
      <c r="E1380" s="17" t="s">
        <v>3312</v>
      </c>
      <c r="F1380" s="18"/>
      <c r="G1380" s="18"/>
      <c r="H1380" s="15" t="s">
        <v>3313</v>
      </c>
      <c r="I1380" s="18"/>
      <c r="J1380" s="33"/>
      <c r="K1380" s="19" t="s">
        <v>2519</v>
      </c>
      <c r="L1380" s="19" t="s">
        <v>38</v>
      </c>
      <c r="M1380" s="20">
        <f t="shared" si="1"/>
        <v>0</v>
      </c>
      <c r="N1380" s="22"/>
      <c r="O1380" s="19" t="s">
        <v>1145</v>
      </c>
      <c r="P1380" s="18"/>
      <c r="Q1380" s="18"/>
      <c r="R1380" s="23">
        <v>0.0</v>
      </c>
      <c r="S1380" s="23">
        <v>0.0</v>
      </c>
      <c r="T1380" s="23">
        <f t="shared" si="2"/>
        <v>0</v>
      </c>
      <c r="U1380" s="23">
        <f t="shared" si="3"/>
        <v>0</v>
      </c>
      <c r="V1380" s="23">
        <f t="shared" si="4"/>
        <v>0</v>
      </c>
      <c r="W1380" s="24" t="str">
        <f t="shared" si="5"/>
        <v>#DIV/0!</v>
      </c>
    </row>
    <row r="1381" hidden="1">
      <c r="A1381" s="15" t="s">
        <v>3314</v>
      </c>
      <c r="B1381" s="18"/>
      <c r="C1381" s="15" t="s">
        <v>8096</v>
      </c>
      <c r="D1381" s="18"/>
      <c r="E1381" s="17" t="s">
        <v>3315</v>
      </c>
      <c r="F1381" s="18"/>
      <c r="G1381" s="18"/>
      <c r="H1381" s="15" t="s">
        <v>3316</v>
      </c>
      <c r="I1381" s="18"/>
      <c r="J1381" s="33"/>
      <c r="K1381" s="19" t="s">
        <v>2519</v>
      </c>
      <c r="L1381" s="19" t="s">
        <v>38</v>
      </c>
      <c r="M1381" s="20">
        <f t="shared" si="1"/>
        <v>0</v>
      </c>
      <c r="N1381" s="22"/>
      <c r="O1381" s="19" t="s">
        <v>1145</v>
      </c>
      <c r="P1381" s="18"/>
      <c r="Q1381" s="18"/>
      <c r="R1381" s="23">
        <v>0.0</v>
      </c>
      <c r="S1381" s="23">
        <v>0.0</v>
      </c>
      <c r="T1381" s="23">
        <f t="shared" si="2"/>
        <v>0</v>
      </c>
      <c r="U1381" s="23">
        <f t="shared" si="3"/>
        <v>0</v>
      </c>
      <c r="V1381" s="23">
        <f t="shared" si="4"/>
        <v>0</v>
      </c>
      <c r="W1381" s="24" t="str">
        <f t="shared" si="5"/>
        <v>#DIV/0!</v>
      </c>
    </row>
    <row r="1382" hidden="1">
      <c r="A1382" s="15" t="s">
        <v>3317</v>
      </c>
      <c r="B1382" s="18"/>
      <c r="C1382" s="15" t="s">
        <v>8097</v>
      </c>
      <c r="D1382" s="18"/>
      <c r="E1382" s="17" t="s">
        <v>3318</v>
      </c>
      <c r="F1382" s="18"/>
      <c r="G1382" s="18"/>
      <c r="H1382" s="15" t="s">
        <v>3319</v>
      </c>
      <c r="I1382" s="18"/>
      <c r="J1382" s="33"/>
      <c r="K1382" s="19" t="s">
        <v>2519</v>
      </c>
      <c r="L1382" s="19" t="s">
        <v>38</v>
      </c>
      <c r="M1382" s="20">
        <f t="shared" si="1"/>
        <v>0</v>
      </c>
      <c r="N1382" s="22"/>
      <c r="O1382" s="19" t="s">
        <v>1145</v>
      </c>
      <c r="P1382" s="18"/>
      <c r="Q1382" s="18"/>
      <c r="R1382" s="23">
        <v>0.0</v>
      </c>
      <c r="S1382" s="23">
        <v>0.0</v>
      </c>
      <c r="T1382" s="23">
        <f t="shared" si="2"/>
        <v>0</v>
      </c>
      <c r="U1382" s="23">
        <f t="shared" si="3"/>
        <v>0</v>
      </c>
      <c r="V1382" s="23">
        <f t="shared" si="4"/>
        <v>0</v>
      </c>
      <c r="W1382" s="24" t="str">
        <f t="shared" si="5"/>
        <v>#DIV/0!</v>
      </c>
    </row>
    <row r="1383" hidden="1">
      <c r="A1383" s="15" t="s">
        <v>3320</v>
      </c>
      <c r="B1383" s="18"/>
      <c r="C1383" s="15" t="s">
        <v>8098</v>
      </c>
      <c r="D1383" s="18"/>
      <c r="E1383" s="17" t="s">
        <v>3321</v>
      </c>
      <c r="F1383" s="18"/>
      <c r="G1383" s="18"/>
      <c r="H1383" s="15" t="s">
        <v>3322</v>
      </c>
      <c r="I1383" s="18"/>
      <c r="J1383" s="33"/>
      <c r="K1383" s="19" t="s">
        <v>2519</v>
      </c>
      <c r="L1383" s="19" t="s">
        <v>38</v>
      </c>
      <c r="M1383" s="20">
        <f t="shared" si="1"/>
        <v>0</v>
      </c>
      <c r="N1383" s="22"/>
      <c r="O1383" s="19" t="s">
        <v>1145</v>
      </c>
      <c r="P1383" s="18"/>
      <c r="Q1383" s="18"/>
      <c r="R1383" s="23">
        <v>0.0</v>
      </c>
      <c r="S1383" s="23">
        <v>0.0</v>
      </c>
      <c r="T1383" s="23">
        <f t="shared" si="2"/>
        <v>0</v>
      </c>
      <c r="U1383" s="23">
        <f t="shared" si="3"/>
        <v>0</v>
      </c>
      <c r="V1383" s="23">
        <f t="shared" si="4"/>
        <v>0</v>
      </c>
      <c r="W1383" s="24" t="str">
        <f t="shared" si="5"/>
        <v>#DIV/0!</v>
      </c>
    </row>
    <row r="1384" hidden="1">
      <c r="A1384" s="15" t="s">
        <v>3323</v>
      </c>
      <c r="B1384" s="18"/>
      <c r="C1384" s="15" t="s">
        <v>8099</v>
      </c>
      <c r="D1384" s="18"/>
      <c r="E1384" s="17" t="s">
        <v>3324</v>
      </c>
      <c r="F1384" s="18"/>
      <c r="G1384" s="18"/>
      <c r="H1384" s="15" t="s">
        <v>3325</v>
      </c>
      <c r="I1384" s="15" t="s">
        <v>3326</v>
      </c>
      <c r="J1384" s="33"/>
      <c r="K1384" s="19" t="s">
        <v>2401</v>
      </c>
      <c r="L1384" s="19" t="s">
        <v>38</v>
      </c>
      <c r="M1384" s="20">
        <f t="shared" si="1"/>
        <v>0</v>
      </c>
      <c r="N1384" s="22"/>
      <c r="O1384" s="19" t="s">
        <v>1145</v>
      </c>
      <c r="P1384" s="18"/>
      <c r="Q1384" s="18"/>
      <c r="R1384" s="23">
        <v>0.0</v>
      </c>
      <c r="S1384" s="23">
        <v>0.0</v>
      </c>
      <c r="T1384" s="23">
        <f t="shared" si="2"/>
        <v>0</v>
      </c>
      <c r="U1384" s="23">
        <f t="shared" si="3"/>
        <v>0</v>
      </c>
      <c r="V1384" s="23">
        <f t="shared" si="4"/>
        <v>0</v>
      </c>
      <c r="W1384" s="24" t="str">
        <f t="shared" si="5"/>
        <v>#DIV/0!</v>
      </c>
    </row>
    <row r="1385" hidden="1">
      <c r="A1385" s="15" t="s">
        <v>3327</v>
      </c>
      <c r="B1385" s="18"/>
      <c r="C1385" s="15" t="s">
        <v>8100</v>
      </c>
      <c r="D1385" s="18"/>
      <c r="E1385" s="17" t="s">
        <v>3328</v>
      </c>
      <c r="F1385" s="18"/>
      <c r="G1385" s="18"/>
      <c r="H1385" s="15" t="s">
        <v>3329</v>
      </c>
      <c r="I1385" s="18"/>
      <c r="J1385" s="33"/>
      <c r="K1385" s="19" t="s">
        <v>3330</v>
      </c>
      <c r="L1385" s="19" t="s">
        <v>38</v>
      </c>
      <c r="M1385" s="20">
        <f t="shared" si="1"/>
        <v>0</v>
      </c>
      <c r="N1385" s="22"/>
      <c r="O1385" s="19" t="s">
        <v>1145</v>
      </c>
      <c r="P1385" s="18"/>
      <c r="Q1385" s="18"/>
      <c r="R1385" s="23">
        <v>0.0</v>
      </c>
      <c r="S1385" s="23">
        <v>0.0</v>
      </c>
      <c r="T1385" s="23">
        <f t="shared" si="2"/>
        <v>0</v>
      </c>
      <c r="U1385" s="23">
        <f t="shared" si="3"/>
        <v>0</v>
      </c>
      <c r="V1385" s="23">
        <f t="shared" si="4"/>
        <v>0</v>
      </c>
      <c r="W1385" s="24" t="str">
        <f t="shared" si="5"/>
        <v>#DIV/0!</v>
      </c>
    </row>
    <row r="1386" hidden="1">
      <c r="A1386" s="15" t="s">
        <v>3331</v>
      </c>
      <c r="B1386" s="18"/>
      <c r="C1386" s="15" t="s">
        <v>8101</v>
      </c>
      <c r="D1386" s="18"/>
      <c r="E1386" s="17" t="s">
        <v>3332</v>
      </c>
      <c r="F1386" s="18"/>
      <c r="G1386" s="18"/>
      <c r="H1386" s="15" t="s">
        <v>3333</v>
      </c>
      <c r="I1386" s="18"/>
      <c r="J1386" s="33"/>
      <c r="K1386" s="19" t="s">
        <v>3334</v>
      </c>
      <c r="L1386" s="19" t="s">
        <v>38</v>
      </c>
      <c r="M1386" s="20">
        <f t="shared" si="1"/>
        <v>0</v>
      </c>
      <c r="N1386" s="22"/>
      <c r="O1386" s="19" t="s">
        <v>1145</v>
      </c>
      <c r="P1386" s="18"/>
      <c r="Q1386" s="18"/>
      <c r="R1386" s="23">
        <v>0.0</v>
      </c>
      <c r="S1386" s="23">
        <v>0.0</v>
      </c>
      <c r="T1386" s="23">
        <f t="shared" si="2"/>
        <v>0</v>
      </c>
      <c r="U1386" s="23">
        <f t="shared" si="3"/>
        <v>0</v>
      </c>
      <c r="V1386" s="23">
        <f t="shared" si="4"/>
        <v>0</v>
      </c>
      <c r="W1386" s="24" t="str">
        <f t="shared" si="5"/>
        <v>#DIV/0!</v>
      </c>
    </row>
    <row r="1387" hidden="1">
      <c r="A1387" s="15" t="s">
        <v>3335</v>
      </c>
      <c r="B1387" s="18"/>
      <c r="C1387" s="15" t="s">
        <v>8102</v>
      </c>
      <c r="D1387" s="18"/>
      <c r="E1387" s="17" t="s">
        <v>3336</v>
      </c>
      <c r="F1387" s="18"/>
      <c r="G1387" s="18"/>
      <c r="H1387" s="15" t="s">
        <v>3337</v>
      </c>
      <c r="I1387" s="18"/>
      <c r="J1387" s="33"/>
      <c r="K1387" s="19" t="s">
        <v>3330</v>
      </c>
      <c r="L1387" s="19" t="s">
        <v>38</v>
      </c>
      <c r="M1387" s="20">
        <f t="shared" si="1"/>
        <v>0</v>
      </c>
      <c r="N1387" s="22"/>
      <c r="O1387" s="19" t="s">
        <v>1145</v>
      </c>
      <c r="P1387" s="18"/>
      <c r="Q1387" s="18"/>
      <c r="R1387" s="23">
        <v>0.0</v>
      </c>
      <c r="S1387" s="23">
        <v>0.0</v>
      </c>
      <c r="T1387" s="23">
        <f t="shared" si="2"/>
        <v>0</v>
      </c>
      <c r="U1387" s="23">
        <f t="shared" si="3"/>
        <v>0</v>
      </c>
      <c r="V1387" s="23">
        <f t="shared" si="4"/>
        <v>0</v>
      </c>
      <c r="W1387" s="24" t="str">
        <f t="shared" si="5"/>
        <v>#DIV/0!</v>
      </c>
    </row>
    <row r="1388" hidden="1">
      <c r="A1388" s="15" t="s">
        <v>3338</v>
      </c>
      <c r="B1388" s="18"/>
      <c r="C1388" s="15" t="s">
        <v>8103</v>
      </c>
      <c r="D1388" s="18"/>
      <c r="E1388" s="17" t="s">
        <v>3339</v>
      </c>
      <c r="F1388" s="18"/>
      <c r="G1388" s="18"/>
      <c r="H1388" s="15" t="s">
        <v>3340</v>
      </c>
      <c r="I1388" s="18"/>
      <c r="J1388" s="33"/>
      <c r="K1388" s="19" t="s">
        <v>691</v>
      </c>
      <c r="L1388" s="19" t="s">
        <v>38</v>
      </c>
      <c r="M1388" s="20">
        <f t="shared" si="1"/>
        <v>0</v>
      </c>
      <c r="N1388" s="22"/>
      <c r="O1388" s="19" t="s">
        <v>1145</v>
      </c>
      <c r="P1388" s="18"/>
      <c r="Q1388" s="18"/>
      <c r="R1388" s="23">
        <v>0.0</v>
      </c>
      <c r="S1388" s="23">
        <v>0.0</v>
      </c>
      <c r="T1388" s="23">
        <f t="shared" si="2"/>
        <v>0</v>
      </c>
      <c r="U1388" s="23">
        <f t="shared" si="3"/>
        <v>0</v>
      </c>
      <c r="V1388" s="23">
        <f t="shared" si="4"/>
        <v>0</v>
      </c>
      <c r="W1388" s="24" t="str">
        <f t="shared" si="5"/>
        <v>#DIV/0!</v>
      </c>
    </row>
    <row r="1389" hidden="1">
      <c r="A1389" s="15" t="s">
        <v>3341</v>
      </c>
      <c r="B1389" s="18"/>
      <c r="C1389" s="15" t="s">
        <v>8104</v>
      </c>
      <c r="D1389" s="18"/>
      <c r="E1389" s="17" t="s">
        <v>3342</v>
      </c>
      <c r="F1389" s="18"/>
      <c r="G1389" s="18"/>
      <c r="H1389" s="15" t="s">
        <v>3343</v>
      </c>
      <c r="I1389" s="18"/>
      <c r="J1389" s="33"/>
      <c r="K1389" s="19" t="s">
        <v>2387</v>
      </c>
      <c r="L1389" s="19" t="s">
        <v>38</v>
      </c>
      <c r="M1389" s="20">
        <f t="shared" si="1"/>
        <v>0</v>
      </c>
      <c r="N1389" s="22"/>
      <c r="O1389" s="19" t="s">
        <v>1145</v>
      </c>
      <c r="P1389" s="18"/>
      <c r="Q1389" s="18"/>
      <c r="R1389" s="23">
        <v>0.0</v>
      </c>
      <c r="S1389" s="23">
        <v>0.0</v>
      </c>
      <c r="T1389" s="23">
        <f t="shared" si="2"/>
        <v>0</v>
      </c>
      <c r="U1389" s="23">
        <f t="shared" si="3"/>
        <v>0</v>
      </c>
      <c r="V1389" s="23">
        <f t="shared" si="4"/>
        <v>0</v>
      </c>
      <c r="W1389" s="24" t="str">
        <f t="shared" si="5"/>
        <v>#DIV/0!</v>
      </c>
    </row>
    <row r="1390" hidden="1">
      <c r="A1390" s="15" t="s">
        <v>3344</v>
      </c>
      <c r="B1390" s="18"/>
      <c r="C1390" s="15" t="s">
        <v>8105</v>
      </c>
      <c r="D1390" s="18"/>
      <c r="E1390" s="17" t="s">
        <v>3345</v>
      </c>
      <c r="F1390" s="18"/>
      <c r="G1390" s="18"/>
      <c r="H1390" s="15" t="s">
        <v>3346</v>
      </c>
      <c r="I1390" s="18"/>
      <c r="J1390" s="33"/>
      <c r="K1390" s="19" t="s">
        <v>2506</v>
      </c>
      <c r="L1390" s="19" t="s">
        <v>38</v>
      </c>
      <c r="M1390" s="20">
        <f t="shared" si="1"/>
        <v>0</v>
      </c>
      <c r="N1390" s="22"/>
      <c r="O1390" s="19" t="s">
        <v>1145</v>
      </c>
      <c r="P1390" s="18"/>
      <c r="Q1390" s="18"/>
      <c r="R1390" s="23">
        <v>0.0</v>
      </c>
      <c r="S1390" s="23">
        <v>0.0</v>
      </c>
      <c r="T1390" s="23">
        <f t="shared" si="2"/>
        <v>0</v>
      </c>
      <c r="U1390" s="23">
        <f t="shared" si="3"/>
        <v>0</v>
      </c>
      <c r="V1390" s="23">
        <f t="shared" si="4"/>
        <v>0</v>
      </c>
      <c r="W1390" s="24" t="str">
        <f t="shared" si="5"/>
        <v>#DIV/0!</v>
      </c>
    </row>
    <row r="1391" hidden="1">
      <c r="A1391" s="15" t="s">
        <v>3347</v>
      </c>
      <c r="B1391" s="18"/>
      <c r="C1391" s="15" t="s">
        <v>8106</v>
      </c>
      <c r="D1391" s="18"/>
      <c r="E1391" s="17" t="s">
        <v>3348</v>
      </c>
      <c r="F1391" s="18"/>
      <c r="G1391" s="18"/>
      <c r="H1391" s="15" t="s">
        <v>3349</v>
      </c>
      <c r="I1391" s="18"/>
      <c r="J1391" s="33"/>
      <c r="K1391" s="19" t="s">
        <v>2506</v>
      </c>
      <c r="L1391" s="19" t="s">
        <v>38</v>
      </c>
      <c r="M1391" s="20">
        <f t="shared" si="1"/>
        <v>0</v>
      </c>
      <c r="N1391" s="22"/>
      <c r="O1391" s="19" t="s">
        <v>1145</v>
      </c>
      <c r="P1391" s="18"/>
      <c r="Q1391" s="18"/>
      <c r="R1391" s="23">
        <v>0.0</v>
      </c>
      <c r="S1391" s="23">
        <v>0.0</v>
      </c>
      <c r="T1391" s="23">
        <f t="shared" si="2"/>
        <v>0</v>
      </c>
      <c r="U1391" s="23">
        <f t="shared" si="3"/>
        <v>0</v>
      </c>
      <c r="V1391" s="23">
        <f t="shared" si="4"/>
        <v>0</v>
      </c>
      <c r="W1391" s="24" t="str">
        <f t="shared" si="5"/>
        <v>#DIV/0!</v>
      </c>
    </row>
    <row r="1392" hidden="1">
      <c r="A1392" s="15" t="s">
        <v>3350</v>
      </c>
      <c r="B1392" s="18"/>
      <c r="C1392" s="15" t="s">
        <v>8107</v>
      </c>
      <c r="D1392" s="18"/>
      <c r="E1392" s="17" t="s">
        <v>3351</v>
      </c>
      <c r="F1392" s="18"/>
      <c r="G1392" s="18"/>
      <c r="H1392" s="15" t="s">
        <v>3352</v>
      </c>
      <c r="I1392" s="18"/>
      <c r="J1392" s="33"/>
      <c r="K1392" s="19" t="s">
        <v>3330</v>
      </c>
      <c r="L1392" s="19" t="s">
        <v>38</v>
      </c>
      <c r="M1392" s="20">
        <f t="shared" si="1"/>
        <v>0</v>
      </c>
      <c r="N1392" s="22"/>
      <c r="O1392" s="19" t="s">
        <v>1145</v>
      </c>
      <c r="P1392" s="18"/>
      <c r="Q1392" s="18"/>
      <c r="R1392" s="23">
        <v>0.0</v>
      </c>
      <c r="S1392" s="23">
        <v>0.0</v>
      </c>
      <c r="T1392" s="23">
        <f t="shared" si="2"/>
        <v>0</v>
      </c>
      <c r="U1392" s="23">
        <f t="shared" si="3"/>
        <v>0</v>
      </c>
      <c r="V1392" s="23">
        <f t="shared" si="4"/>
        <v>0</v>
      </c>
      <c r="W1392" s="24" t="str">
        <f t="shared" si="5"/>
        <v>#DIV/0!</v>
      </c>
    </row>
    <row r="1393" hidden="1">
      <c r="A1393" s="15" t="s">
        <v>3353</v>
      </c>
      <c r="B1393" s="18"/>
      <c r="C1393" s="15" t="s">
        <v>8108</v>
      </c>
      <c r="D1393" s="18"/>
      <c r="E1393" s="17" t="s">
        <v>3354</v>
      </c>
      <c r="F1393" s="18"/>
      <c r="G1393" s="18"/>
      <c r="H1393" s="15" t="s">
        <v>3355</v>
      </c>
      <c r="I1393" s="18"/>
      <c r="J1393" s="33"/>
      <c r="K1393" s="19" t="s">
        <v>691</v>
      </c>
      <c r="L1393" s="19" t="s">
        <v>38</v>
      </c>
      <c r="M1393" s="20">
        <f t="shared" si="1"/>
        <v>0</v>
      </c>
      <c r="N1393" s="22"/>
      <c r="O1393" s="19" t="s">
        <v>1145</v>
      </c>
      <c r="P1393" s="18"/>
      <c r="Q1393" s="18"/>
      <c r="R1393" s="23">
        <v>0.0</v>
      </c>
      <c r="S1393" s="23">
        <v>0.0</v>
      </c>
      <c r="T1393" s="23">
        <f t="shared" si="2"/>
        <v>0</v>
      </c>
      <c r="U1393" s="23">
        <f t="shared" si="3"/>
        <v>0</v>
      </c>
      <c r="V1393" s="23">
        <f t="shared" si="4"/>
        <v>0</v>
      </c>
      <c r="W1393" s="24" t="str">
        <f t="shared" si="5"/>
        <v>#DIV/0!</v>
      </c>
    </row>
    <row r="1394" hidden="1">
      <c r="A1394" s="15" t="s">
        <v>3356</v>
      </c>
      <c r="B1394" s="18"/>
      <c r="C1394" s="15" t="s">
        <v>8109</v>
      </c>
      <c r="D1394" s="18"/>
      <c r="E1394" s="17" t="s">
        <v>3357</v>
      </c>
      <c r="F1394" s="18"/>
      <c r="G1394" s="18"/>
      <c r="H1394" s="15" t="s">
        <v>3358</v>
      </c>
      <c r="I1394" s="18"/>
      <c r="J1394" s="33"/>
      <c r="K1394" s="19" t="s">
        <v>2382</v>
      </c>
      <c r="L1394" s="19" t="s">
        <v>38</v>
      </c>
      <c r="M1394" s="20">
        <f t="shared" si="1"/>
        <v>0</v>
      </c>
      <c r="N1394" s="22"/>
      <c r="O1394" s="19" t="s">
        <v>1145</v>
      </c>
      <c r="P1394" s="18"/>
      <c r="Q1394" s="18"/>
      <c r="R1394" s="23">
        <v>0.0</v>
      </c>
      <c r="S1394" s="23">
        <v>0.0</v>
      </c>
      <c r="T1394" s="23">
        <f t="shared" si="2"/>
        <v>0</v>
      </c>
      <c r="U1394" s="23">
        <f t="shared" si="3"/>
        <v>0</v>
      </c>
      <c r="V1394" s="23">
        <f t="shared" si="4"/>
        <v>0</v>
      </c>
      <c r="W1394" s="24" t="str">
        <f t="shared" si="5"/>
        <v>#DIV/0!</v>
      </c>
    </row>
    <row r="1395" hidden="1">
      <c r="A1395" s="15" t="s">
        <v>3359</v>
      </c>
      <c r="B1395" s="18"/>
      <c r="C1395" s="15" t="s">
        <v>8110</v>
      </c>
      <c r="D1395" s="18"/>
      <c r="E1395" s="17" t="s">
        <v>3360</v>
      </c>
      <c r="F1395" s="18"/>
      <c r="G1395" s="18"/>
      <c r="H1395" s="15" t="s">
        <v>3361</v>
      </c>
      <c r="I1395" s="18"/>
      <c r="J1395" s="33"/>
      <c r="K1395" s="19" t="s">
        <v>3330</v>
      </c>
      <c r="L1395" s="19" t="s">
        <v>38</v>
      </c>
      <c r="M1395" s="20">
        <f t="shared" si="1"/>
        <v>0</v>
      </c>
      <c r="N1395" s="22"/>
      <c r="O1395" s="19" t="s">
        <v>1145</v>
      </c>
      <c r="P1395" s="18"/>
      <c r="Q1395" s="18"/>
      <c r="R1395" s="23">
        <v>0.0</v>
      </c>
      <c r="S1395" s="23">
        <v>0.0</v>
      </c>
      <c r="T1395" s="23">
        <f t="shared" si="2"/>
        <v>0</v>
      </c>
      <c r="U1395" s="23">
        <f t="shared" si="3"/>
        <v>0</v>
      </c>
      <c r="V1395" s="23">
        <f t="shared" si="4"/>
        <v>0</v>
      </c>
      <c r="W1395" s="24" t="str">
        <f t="shared" si="5"/>
        <v>#DIV/0!</v>
      </c>
    </row>
    <row r="1396" hidden="1">
      <c r="A1396" s="15" t="s">
        <v>3362</v>
      </c>
      <c r="B1396" s="18"/>
      <c r="C1396" s="15" t="s">
        <v>8111</v>
      </c>
      <c r="D1396" s="18"/>
      <c r="E1396" s="17" t="s">
        <v>3363</v>
      </c>
      <c r="F1396" s="18"/>
      <c r="G1396" s="18"/>
      <c r="H1396" s="15" t="s">
        <v>3364</v>
      </c>
      <c r="I1396" s="18"/>
      <c r="J1396" s="33"/>
      <c r="K1396" s="19" t="s">
        <v>2387</v>
      </c>
      <c r="L1396" s="19" t="s">
        <v>38</v>
      </c>
      <c r="M1396" s="20">
        <f t="shared" si="1"/>
        <v>0</v>
      </c>
      <c r="N1396" s="22"/>
      <c r="O1396" s="19" t="s">
        <v>1145</v>
      </c>
      <c r="P1396" s="18"/>
      <c r="Q1396" s="18"/>
      <c r="R1396" s="23">
        <v>0.0</v>
      </c>
      <c r="S1396" s="23">
        <v>0.0</v>
      </c>
      <c r="T1396" s="23">
        <f t="shared" si="2"/>
        <v>0</v>
      </c>
      <c r="U1396" s="23">
        <f t="shared" si="3"/>
        <v>0</v>
      </c>
      <c r="V1396" s="23">
        <f t="shared" si="4"/>
        <v>0</v>
      </c>
      <c r="W1396" s="24" t="str">
        <f t="shared" si="5"/>
        <v>#DIV/0!</v>
      </c>
    </row>
    <row r="1397" hidden="1">
      <c r="A1397" s="15" t="s">
        <v>3365</v>
      </c>
      <c r="B1397" s="18"/>
      <c r="C1397" s="15" t="s">
        <v>8112</v>
      </c>
      <c r="D1397" s="18"/>
      <c r="E1397" s="17" t="s">
        <v>3366</v>
      </c>
      <c r="F1397" s="18"/>
      <c r="G1397" s="18"/>
      <c r="H1397" s="15" t="s">
        <v>3367</v>
      </c>
      <c r="I1397" s="18"/>
      <c r="J1397" s="33"/>
      <c r="K1397" s="19" t="s">
        <v>691</v>
      </c>
      <c r="L1397" s="19" t="s">
        <v>38</v>
      </c>
      <c r="M1397" s="20">
        <f t="shared" si="1"/>
        <v>0</v>
      </c>
      <c r="N1397" s="22"/>
      <c r="O1397" s="19" t="s">
        <v>1145</v>
      </c>
      <c r="P1397" s="18"/>
      <c r="Q1397" s="18"/>
      <c r="R1397" s="23">
        <v>0.0</v>
      </c>
      <c r="S1397" s="23">
        <v>0.0</v>
      </c>
      <c r="T1397" s="23">
        <f t="shared" si="2"/>
        <v>0</v>
      </c>
      <c r="U1397" s="23">
        <f t="shared" si="3"/>
        <v>0</v>
      </c>
      <c r="V1397" s="23">
        <f t="shared" si="4"/>
        <v>0</v>
      </c>
      <c r="W1397" s="24" t="str">
        <f t="shared" si="5"/>
        <v>#DIV/0!</v>
      </c>
    </row>
    <row r="1398" hidden="1">
      <c r="A1398" s="15" t="s">
        <v>3368</v>
      </c>
      <c r="B1398" s="18"/>
      <c r="C1398" s="15" t="s">
        <v>8113</v>
      </c>
      <c r="D1398" s="18"/>
      <c r="E1398" s="17" t="s">
        <v>3369</v>
      </c>
      <c r="F1398" s="18"/>
      <c r="G1398" s="18"/>
      <c r="H1398" s="15" t="s">
        <v>3370</v>
      </c>
      <c r="I1398" s="15" t="s">
        <v>3371</v>
      </c>
      <c r="J1398" s="33"/>
      <c r="K1398" s="19" t="s">
        <v>2401</v>
      </c>
      <c r="L1398" s="19" t="s">
        <v>38</v>
      </c>
      <c r="M1398" s="20">
        <f t="shared" si="1"/>
        <v>0</v>
      </c>
      <c r="N1398" s="22"/>
      <c r="O1398" s="19" t="s">
        <v>1145</v>
      </c>
      <c r="P1398" s="18"/>
      <c r="Q1398" s="18"/>
      <c r="R1398" s="23">
        <v>0.0</v>
      </c>
      <c r="S1398" s="23">
        <v>0.0</v>
      </c>
      <c r="T1398" s="23">
        <f t="shared" si="2"/>
        <v>0</v>
      </c>
      <c r="U1398" s="23">
        <f t="shared" si="3"/>
        <v>0</v>
      </c>
      <c r="V1398" s="23">
        <f t="shared" si="4"/>
        <v>0</v>
      </c>
      <c r="W1398" s="24" t="str">
        <f t="shared" si="5"/>
        <v>#DIV/0!</v>
      </c>
    </row>
    <row r="1399" hidden="1">
      <c r="A1399" s="15" t="s">
        <v>3372</v>
      </c>
      <c r="B1399" s="18"/>
      <c r="C1399" s="15" t="s">
        <v>8114</v>
      </c>
      <c r="D1399" s="18"/>
      <c r="E1399" s="17" t="s">
        <v>3373</v>
      </c>
      <c r="F1399" s="18"/>
      <c r="G1399" s="18"/>
      <c r="H1399" s="15" t="s">
        <v>3374</v>
      </c>
      <c r="I1399" s="18"/>
      <c r="J1399" s="33"/>
      <c r="K1399" s="19" t="s">
        <v>2387</v>
      </c>
      <c r="L1399" s="19" t="s">
        <v>38</v>
      </c>
      <c r="M1399" s="20">
        <f t="shared" si="1"/>
        <v>0</v>
      </c>
      <c r="N1399" s="22"/>
      <c r="O1399" s="19" t="s">
        <v>1145</v>
      </c>
      <c r="P1399" s="18"/>
      <c r="Q1399" s="18"/>
      <c r="R1399" s="23">
        <v>0.0</v>
      </c>
      <c r="S1399" s="23">
        <v>0.0</v>
      </c>
      <c r="T1399" s="23">
        <f t="shared" si="2"/>
        <v>0</v>
      </c>
      <c r="U1399" s="23">
        <f t="shared" si="3"/>
        <v>0</v>
      </c>
      <c r="V1399" s="23">
        <f t="shared" si="4"/>
        <v>0</v>
      </c>
      <c r="W1399" s="24" t="str">
        <f t="shared" si="5"/>
        <v>#DIV/0!</v>
      </c>
    </row>
    <row r="1400" hidden="1">
      <c r="A1400" s="15" t="s">
        <v>3375</v>
      </c>
      <c r="B1400" s="18"/>
      <c r="C1400" s="15" t="s">
        <v>8115</v>
      </c>
      <c r="D1400" s="18"/>
      <c r="E1400" s="17" t="s">
        <v>2564</v>
      </c>
      <c r="F1400" s="18"/>
      <c r="G1400" s="18"/>
      <c r="H1400" s="15" t="s">
        <v>3376</v>
      </c>
      <c r="I1400" s="18"/>
      <c r="J1400" s="33"/>
      <c r="K1400" s="19" t="s">
        <v>2387</v>
      </c>
      <c r="L1400" s="19" t="s">
        <v>38</v>
      </c>
      <c r="M1400" s="20">
        <f t="shared" si="1"/>
        <v>0</v>
      </c>
      <c r="N1400" s="22"/>
      <c r="O1400" s="19" t="s">
        <v>1145</v>
      </c>
      <c r="P1400" s="18"/>
      <c r="Q1400" s="18"/>
      <c r="R1400" s="23">
        <v>0.0</v>
      </c>
      <c r="S1400" s="23">
        <v>0.0</v>
      </c>
      <c r="T1400" s="23">
        <f t="shared" si="2"/>
        <v>0</v>
      </c>
      <c r="U1400" s="23">
        <f t="shared" si="3"/>
        <v>0</v>
      </c>
      <c r="V1400" s="23">
        <f t="shared" si="4"/>
        <v>0</v>
      </c>
      <c r="W1400" s="24" t="str">
        <f t="shared" si="5"/>
        <v>#DIV/0!</v>
      </c>
    </row>
    <row r="1401" hidden="1">
      <c r="A1401" s="15" t="s">
        <v>3377</v>
      </c>
      <c r="B1401" s="18"/>
      <c r="C1401" s="15" t="s">
        <v>8116</v>
      </c>
      <c r="D1401" s="18"/>
      <c r="E1401" s="17" t="s">
        <v>3378</v>
      </c>
      <c r="F1401" s="18"/>
      <c r="G1401" s="18"/>
      <c r="H1401" s="15" t="s">
        <v>3379</v>
      </c>
      <c r="I1401" s="18"/>
      <c r="J1401" s="33"/>
      <c r="K1401" s="19" t="s">
        <v>2387</v>
      </c>
      <c r="L1401" s="19" t="s">
        <v>38</v>
      </c>
      <c r="M1401" s="20">
        <f t="shared" si="1"/>
        <v>0</v>
      </c>
      <c r="N1401" s="22"/>
      <c r="O1401" s="19" t="s">
        <v>1145</v>
      </c>
      <c r="P1401" s="18"/>
      <c r="Q1401" s="18"/>
      <c r="R1401" s="23">
        <v>0.0</v>
      </c>
      <c r="S1401" s="23">
        <v>0.0</v>
      </c>
      <c r="T1401" s="23">
        <f t="shared" si="2"/>
        <v>0</v>
      </c>
      <c r="U1401" s="23">
        <f t="shared" si="3"/>
        <v>0</v>
      </c>
      <c r="V1401" s="23">
        <f t="shared" si="4"/>
        <v>0</v>
      </c>
      <c r="W1401" s="24" t="str">
        <f t="shared" si="5"/>
        <v>#DIV/0!</v>
      </c>
    </row>
    <row r="1402" hidden="1">
      <c r="A1402" s="15" t="s">
        <v>3380</v>
      </c>
      <c r="B1402" s="18"/>
      <c r="C1402" s="15" t="s">
        <v>8117</v>
      </c>
      <c r="D1402" s="18"/>
      <c r="E1402" s="17" t="s">
        <v>3381</v>
      </c>
      <c r="F1402" s="18"/>
      <c r="G1402" s="18"/>
      <c r="H1402" s="15" t="s">
        <v>3382</v>
      </c>
      <c r="I1402" s="18"/>
      <c r="J1402" s="33"/>
      <c r="K1402" s="19" t="s">
        <v>2387</v>
      </c>
      <c r="L1402" s="19" t="s">
        <v>38</v>
      </c>
      <c r="M1402" s="20">
        <f t="shared" si="1"/>
        <v>0</v>
      </c>
      <c r="N1402" s="22"/>
      <c r="O1402" s="19" t="s">
        <v>1145</v>
      </c>
      <c r="P1402" s="18"/>
      <c r="Q1402" s="18"/>
      <c r="R1402" s="23">
        <v>0.0</v>
      </c>
      <c r="S1402" s="23">
        <v>0.0</v>
      </c>
      <c r="T1402" s="23">
        <f t="shared" si="2"/>
        <v>0</v>
      </c>
      <c r="U1402" s="23">
        <f t="shared" si="3"/>
        <v>0</v>
      </c>
      <c r="V1402" s="23">
        <f t="shared" si="4"/>
        <v>0</v>
      </c>
      <c r="W1402" s="24" t="str">
        <f t="shared" si="5"/>
        <v>#DIV/0!</v>
      </c>
    </row>
    <row r="1403" hidden="1">
      <c r="A1403" s="15" t="s">
        <v>3383</v>
      </c>
      <c r="B1403" s="18"/>
      <c r="C1403" s="15" t="s">
        <v>8118</v>
      </c>
      <c r="D1403" s="18"/>
      <c r="E1403" s="17" t="s">
        <v>3384</v>
      </c>
      <c r="F1403" s="18"/>
      <c r="G1403" s="18"/>
      <c r="H1403" s="15" t="s">
        <v>3385</v>
      </c>
      <c r="I1403" s="18"/>
      <c r="J1403" s="33"/>
      <c r="K1403" s="19" t="s">
        <v>2387</v>
      </c>
      <c r="L1403" s="19" t="s">
        <v>38</v>
      </c>
      <c r="M1403" s="20">
        <f t="shared" si="1"/>
        <v>0</v>
      </c>
      <c r="N1403" s="22"/>
      <c r="O1403" s="19" t="s">
        <v>1145</v>
      </c>
      <c r="P1403" s="18"/>
      <c r="Q1403" s="18"/>
      <c r="R1403" s="23">
        <v>0.0</v>
      </c>
      <c r="S1403" s="23">
        <v>0.0</v>
      </c>
      <c r="T1403" s="23">
        <f t="shared" si="2"/>
        <v>0</v>
      </c>
      <c r="U1403" s="23">
        <f t="shared" si="3"/>
        <v>0</v>
      </c>
      <c r="V1403" s="23">
        <f t="shared" si="4"/>
        <v>0</v>
      </c>
      <c r="W1403" s="24" t="str">
        <f t="shared" si="5"/>
        <v>#DIV/0!</v>
      </c>
    </row>
    <row r="1404" hidden="1">
      <c r="A1404" s="15" t="s">
        <v>3386</v>
      </c>
      <c r="B1404" s="18"/>
      <c r="C1404" s="15" t="s">
        <v>8119</v>
      </c>
      <c r="D1404" s="18"/>
      <c r="E1404" s="17" t="s">
        <v>3387</v>
      </c>
      <c r="F1404" s="18"/>
      <c r="G1404" s="18"/>
      <c r="H1404" s="15" t="s">
        <v>3388</v>
      </c>
      <c r="I1404" s="15" t="s">
        <v>3389</v>
      </c>
      <c r="J1404" s="33"/>
      <c r="K1404" s="19" t="s">
        <v>2396</v>
      </c>
      <c r="L1404" s="19" t="s">
        <v>38</v>
      </c>
      <c r="M1404" s="20">
        <f t="shared" si="1"/>
        <v>0</v>
      </c>
      <c r="N1404" s="22"/>
      <c r="O1404" s="19" t="s">
        <v>1145</v>
      </c>
      <c r="P1404" s="18"/>
      <c r="Q1404" s="18"/>
      <c r="R1404" s="23">
        <v>0.0</v>
      </c>
      <c r="S1404" s="23">
        <v>0.0</v>
      </c>
      <c r="T1404" s="23">
        <f t="shared" si="2"/>
        <v>0</v>
      </c>
      <c r="U1404" s="23">
        <f t="shared" si="3"/>
        <v>0</v>
      </c>
      <c r="V1404" s="23">
        <f t="shared" si="4"/>
        <v>0</v>
      </c>
      <c r="W1404" s="24" t="str">
        <f t="shared" si="5"/>
        <v>#DIV/0!</v>
      </c>
    </row>
    <row r="1405" hidden="1">
      <c r="A1405" s="15" t="s">
        <v>3390</v>
      </c>
      <c r="B1405" s="18"/>
      <c r="C1405" s="15" t="s">
        <v>8120</v>
      </c>
      <c r="D1405" s="18"/>
      <c r="E1405" s="17" t="s">
        <v>3391</v>
      </c>
      <c r="F1405" s="18"/>
      <c r="G1405" s="18"/>
      <c r="H1405" s="15" t="s">
        <v>3392</v>
      </c>
      <c r="I1405" s="15" t="s">
        <v>3393</v>
      </c>
      <c r="J1405" s="33"/>
      <c r="K1405" s="19" t="s">
        <v>2396</v>
      </c>
      <c r="L1405" s="19" t="s">
        <v>38</v>
      </c>
      <c r="M1405" s="20">
        <f t="shared" si="1"/>
        <v>0</v>
      </c>
      <c r="N1405" s="22"/>
      <c r="O1405" s="19" t="s">
        <v>1145</v>
      </c>
      <c r="P1405" s="18"/>
      <c r="Q1405" s="18"/>
      <c r="R1405" s="23">
        <v>0.0</v>
      </c>
      <c r="S1405" s="23">
        <v>0.0</v>
      </c>
      <c r="T1405" s="23">
        <f t="shared" si="2"/>
        <v>0</v>
      </c>
      <c r="U1405" s="23">
        <f t="shared" si="3"/>
        <v>0</v>
      </c>
      <c r="V1405" s="23">
        <f t="shared" si="4"/>
        <v>0</v>
      </c>
      <c r="W1405" s="24" t="str">
        <f t="shared" si="5"/>
        <v>#DIV/0!</v>
      </c>
    </row>
    <row r="1406">
      <c r="A1406" s="15" t="s">
        <v>735</v>
      </c>
      <c r="B1406" s="15" t="s">
        <v>736</v>
      </c>
      <c r="C1406" s="15" t="s">
        <v>6018</v>
      </c>
      <c r="D1406" s="15" t="s">
        <v>737</v>
      </c>
      <c r="E1406" s="17" t="s">
        <v>738</v>
      </c>
      <c r="F1406" s="18"/>
      <c r="G1406" s="15" t="s">
        <v>739</v>
      </c>
      <c r="H1406" s="15" t="s">
        <v>740</v>
      </c>
      <c r="I1406" s="15" t="s">
        <v>741</v>
      </c>
      <c r="J1406" s="19" t="s">
        <v>36</v>
      </c>
      <c r="K1406" s="19" t="s">
        <v>60</v>
      </c>
      <c r="L1406" s="19" t="s">
        <v>6017</v>
      </c>
      <c r="M1406" s="20">
        <f t="shared" si="1"/>
        <v>1012.32</v>
      </c>
      <c r="N1406" s="31">
        <v>3.0</v>
      </c>
      <c r="O1406" s="19" t="s">
        <v>107</v>
      </c>
      <c r="P1406" s="18"/>
      <c r="Q1406" s="18"/>
      <c r="R1406" s="23">
        <v>12.0</v>
      </c>
      <c r="S1406" s="23">
        <v>57.0</v>
      </c>
      <c r="T1406" s="23">
        <f t="shared" si="2"/>
        <v>54.72</v>
      </c>
      <c r="U1406" s="23">
        <f t="shared" si="3"/>
        <v>14.7</v>
      </c>
      <c r="V1406" s="23">
        <f t="shared" si="4"/>
        <v>275.625</v>
      </c>
      <c r="W1406" s="24">
        <f t="shared" si="5"/>
        <v>4.56</v>
      </c>
    </row>
    <row r="1407" hidden="1">
      <c r="A1407" s="15" t="s">
        <v>3394</v>
      </c>
      <c r="B1407" s="18"/>
      <c r="C1407" s="15" t="s">
        <v>8121</v>
      </c>
      <c r="D1407" s="18"/>
      <c r="E1407" s="17" t="s">
        <v>3395</v>
      </c>
      <c r="F1407" s="18"/>
      <c r="G1407" s="18"/>
      <c r="H1407" s="15" t="s">
        <v>3396</v>
      </c>
      <c r="I1407" s="18"/>
      <c r="J1407" s="33"/>
      <c r="K1407" s="19" t="s">
        <v>3330</v>
      </c>
      <c r="L1407" s="19" t="s">
        <v>38</v>
      </c>
      <c r="M1407" s="20">
        <f t="shared" si="1"/>
        <v>0</v>
      </c>
      <c r="N1407" s="22"/>
      <c r="O1407" s="19" t="s">
        <v>1145</v>
      </c>
      <c r="P1407" s="18"/>
      <c r="Q1407" s="18"/>
      <c r="R1407" s="23">
        <v>0.0</v>
      </c>
      <c r="S1407" s="23">
        <v>0.0</v>
      </c>
      <c r="T1407" s="23">
        <f t="shared" si="2"/>
        <v>0</v>
      </c>
      <c r="U1407" s="23">
        <f t="shared" si="3"/>
        <v>0</v>
      </c>
      <c r="V1407" s="23">
        <f t="shared" si="4"/>
        <v>0</v>
      </c>
      <c r="W1407" s="24" t="str">
        <f t="shared" si="5"/>
        <v>#DIV/0!</v>
      </c>
    </row>
    <row r="1408" hidden="1">
      <c r="A1408" s="15" t="s">
        <v>3397</v>
      </c>
      <c r="B1408" s="18"/>
      <c r="C1408" s="15" t="s">
        <v>8122</v>
      </c>
      <c r="D1408" s="18"/>
      <c r="E1408" s="17" t="s">
        <v>3398</v>
      </c>
      <c r="F1408" s="18"/>
      <c r="G1408" s="18"/>
      <c r="H1408" s="15" t="s">
        <v>3399</v>
      </c>
      <c r="I1408" s="18"/>
      <c r="J1408" s="33"/>
      <c r="K1408" s="19" t="s">
        <v>3400</v>
      </c>
      <c r="L1408" s="19" t="s">
        <v>38</v>
      </c>
      <c r="M1408" s="20">
        <f t="shared" si="1"/>
        <v>0</v>
      </c>
      <c r="N1408" s="22"/>
      <c r="O1408" s="19" t="s">
        <v>1145</v>
      </c>
      <c r="P1408" s="18"/>
      <c r="Q1408" s="18"/>
      <c r="R1408" s="23">
        <v>0.0</v>
      </c>
      <c r="S1408" s="23">
        <v>0.0</v>
      </c>
      <c r="T1408" s="23">
        <f t="shared" si="2"/>
        <v>0</v>
      </c>
      <c r="U1408" s="23">
        <f t="shared" si="3"/>
        <v>0</v>
      </c>
      <c r="V1408" s="23">
        <f t="shared" si="4"/>
        <v>0</v>
      </c>
      <c r="W1408" s="24" t="str">
        <f t="shared" si="5"/>
        <v>#DIV/0!</v>
      </c>
    </row>
    <row r="1409" hidden="1">
      <c r="A1409" s="15" t="s">
        <v>3401</v>
      </c>
      <c r="B1409" s="18"/>
      <c r="C1409" s="15" t="s">
        <v>8123</v>
      </c>
      <c r="D1409" s="18"/>
      <c r="E1409" s="17" t="s">
        <v>3402</v>
      </c>
      <c r="F1409" s="18"/>
      <c r="G1409" s="18"/>
      <c r="H1409" s="15" t="s">
        <v>3403</v>
      </c>
      <c r="I1409" s="18"/>
      <c r="J1409" s="33"/>
      <c r="K1409" s="19" t="s">
        <v>2387</v>
      </c>
      <c r="L1409" s="19" t="s">
        <v>38</v>
      </c>
      <c r="M1409" s="20">
        <f t="shared" si="1"/>
        <v>0</v>
      </c>
      <c r="N1409" s="22"/>
      <c r="O1409" s="19" t="s">
        <v>1145</v>
      </c>
      <c r="P1409" s="18"/>
      <c r="Q1409" s="18"/>
      <c r="R1409" s="23">
        <v>0.0</v>
      </c>
      <c r="S1409" s="23">
        <v>0.0</v>
      </c>
      <c r="T1409" s="23">
        <f t="shared" si="2"/>
        <v>0</v>
      </c>
      <c r="U1409" s="23">
        <f t="shared" si="3"/>
        <v>0</v>
      </c>
      <c r="V1409" s="23">
        <f t="shared" si="4"/>
        <v>0</v>
      </c>
      <c r="W1409" s="24" t="str">
        <f t="shared" si="5"/>
        <v>#DIV/0!</v>
      </c>
    </row>
    <row r="1410" hidden="1">
      <c r="A1410" s="15" t="s">
        <v>3404</v>
      </c>
      <c r="B1410" s="18"/>
      <c r="C1410" s="15" t="s">
        <v>8124</v>
      </c>
      <c r="D1410" s="18"/>
      <c r="E1410" s="17" t="s">
        <v>3405</v>
      </c>
      <c r="F1410" s="18"/>
      <c r="G1410" s="18"/>
      <c r="H1410" s="15" t="s">
        <v>3406</v>
      </c>
      <c r="I1410" s="18"/>
      <c r="J1410" s="33"/>
      <c r="K1410" s="19" t="s">
        <v>2382</v>
      </c>
      <c r="L1410" s="19" t="s">
        <v>38</v>
      </c>
      <c r="M1410" s="20">
        <f t="shared" si="1"/>
        <v>0</v>
      </c>
      <c r="N1410" s="22"/>
      <c r="O1410" s="19" t="s">
        <v>1145</v>
      </c>
      <c r="P1410" s="18"/>
      <c r="Q1410" s="18"/>
      <c r="R1410" s="23">
        <v>0.0</v>
      </c>
      <c r="S1410" s="23">
        <v>0.0</v>
      </c>
      <c r="T1410" s="23">
        <f t="shared" si="2"/>
        <v>0</v>
      </c>
      <c r="U1410" s="23">
        <f t="shared" si="3"/>
        <v>0</v>
      </c>
      <c r="V1410" s="23">
        <f t="shared" si="4"/>
        <v>0</v>
      </c>
      <c r="W1410" s="24" t="str">
        <f t="shared" si="5"/>
        <v>#DIV/0!</v>
      </c>
    </row>
    <row r="1411" hidden="1">
      <c r="A1411" s="15" t="s">
        <v>3407</v>
      </c>
      <c r="B1411" s="18"/>
      <c r="C1411" s="15" t="s">
        <v>8125</v>
      </c>
      <c r="D1411" s="18"/>
      <c r="E1411" s="17" t="s">
        <v>3408</v>
      </c>
      <c r="F1411" s="18"/>
      <c r="G1411" s="18"/>
      <c r="H1411" s="15" t="s">
        <v>3409</v>
      </c>
      <c r="I1411" s="18"/>
      <c r="J1411" s="33"/>
      <c r="K1411" s="19" t="s">
        <v>2382</v>
      </c>
      <c r="L1411" s="19" t="s">
        <v>38</v>
      </c>
      <c r="M1411" s="20">
        <f t="shared" si="1"/>
        <v>0</v>
      </c>
      <c r="N1411" s="22"/>
      <c r="O1411" s="19" t="s">
        <v>1145</v>
      </c>
      <c r="P1411" s="18"/>
      <c r="Q1411" s="18"/>
      <c r="R1411" s="23">
        <v>0.0</v>
      </c>
      <c r="S1411" s="23">
        <v>0.0</v>
      </c>
      <c r="T1411" s="23">
        <f t="shared" si="2"/>
        <v>0</v>
      </c>
      <c r="U1411" s="23">
        <f t="shared" si="3"/>
        <v>0</v>
      </c>
      <c r="V1411" s="23">
        <f t="shared" si="4"/>
        <v>0</v>
      </c>
      <c r="W1411" s="24" t="str">
        <f t="shared" si="5"/>
        <v>#DIV/0!</v>
      </c>
    </row>
    <row r="1412" hidden="1">
      <c r="A1412" s="15" t="s">
        <v>3410</v>
      </c>
      <c r="B1412" s="18"/>
      <c r="C1412" s="15" t="s">
        <v>8126</v>
      </c>
      <c r="D1412" s="18"/>
      <c r="E1412" s="17" t="s">
        <v>3411</v>
      </c>
      <c r="F1412" s="18"/>
      <c r="G1412" s="18"/>
      <c r="H1412" s="15" t="s">
        <v>3412</v>
      </c>
      <c r="I1412" s="18"/>
      <c r="J1412" s="33"/>
      <c r="K1412" s="19" t="s">
        <v>2387</v>
      </c>
      <c r="L1412" s="19" t="s">
        <v>38</v>
      </c>
      <c r="M1412" s="20">
        <f t="shared" si="1"/>
        <v>0</v>
      </c>
      <c r="N1412" s="22"/>
      <c r="O1412" s="19" t="s">
        <v>1145</v>
      </c>
      <c r="P1412" s="18"/>
      <c r="Q1412" s="18"/>
      <c r="R1412" s="23">
        <v>0.0</v>
      </c>
      <c r="S1412" s="23">
        <v>0.0</v>
      </c>
      <c r="T1412" s="23">
        <f t="shared" si="2"/>
        <v>0</v>
      </c>
      <c r="U1412" s="23">
        <f t="shared" si="3"/>
        <v>0</v>
      </c>
      <c r="V1412" s="23">
        <f t="shared" si="4"/>
        <v>0</v>
      </c>
      <c r="W1412" s="24" t="str">
        <f t="shared" si="5"/>
        <v>#DIV/0!</v>
      </c>
    </row>
    <row r="1413" hidden="1">
      <c r="A1413" s="15" t="s">
        <v>3413</v>
      </c>
      <c r="B1413" s="18"/>
      <c r="C1413" s="15" t="s">
        <v>8127</v>
      </c>
      <c r="D1413" s="18"/>
      <c r="E1413" s="17" t="s">
        <v>3414</v>
      </c>
      <c r="F1413" s="18"/>
      <c r="G1413" s="18"/>
      <c r="H1413" s="15" t="s">
        <v>3415</v>
      </c>
      <c r="I1413" s="18"/>
      <c r="J1413" s="33"/>
      <c r="K1413" s="19" t="s">
        <v>2506</v>
      </c>
      <c r="L1413" s="19" t="s">
        <v>38</v>
      </c>
      <c r="M1413" s="20">
        <f t="shared" si="1"/>
        <v>0</v>
      </c>
      <c r="N1413" s="22"/>
      <c r="O1413" s="19" t="s">
        <v>1145</v>
      </c>
      <c r="P1413" s="18"/>
      <c r="Q1413" s="18"/>
      <c r="R1413" s="23">
        <v>0.0</v>
      </c>
      <c r="S1413" s="23">
        <v>0.0</v>
      </c>
      <c r="T1413" s="23">
        <f t="shared" si="2"/>
        <v>0</v>
      </c>
      <c r="U1413" s="23">
        <f t="shared" si="3"/>
        <v>0</v>
      </c>
      <c r="V1413" s="23">
        <f t="shared" si="4"/>
        <v>0</v>
      </c>
      <c r="W1413" s="24" t="str">
        <f t="shared" si="5"/>
        <v>#DIV/0!</v>
      </c>
    </row>
    <row r="1414" hidden="1">
      <c r="A1414" s="15" t="s">
        <v>3416</v>
      </c>
      <c r="B1414" s="18"/>
      <c r="C1414" s="15" t="s">
        <v>8128</v>
      </c>
      <c r="D1414" s="18"/>
      <c r="E1414" s="17" t="s">
        <v>3417</v>
      </c>
      <c r="F1414" s="18"/>
      <c r="G1414" s="18"/>
      <c r="H1414" s="15" t="s">
        <v>3418</v>
      </c>
      <c r="I1414" s="18"/>
      <c r="J1414" s="33"/>
      <c r="K1414" s="19" t="s">
        <v>2401</v>
      </c>
      <c r="L1414" s="19" t="s">
        <v>38</v>
      </c>
      <c r="M1414" s="20">
        <f t="shared" si="1"/>
        <v>0</v>
      </c>
      <c r="N1414" s="22"/>
      <c r="O1414" s="19" t="s">
        <v>1145</v>
      </c>
      <c r="P1414" s="18"/>
      <c r="Q1414" s="18"/>
      <c r="R1414" s="23">
        <v>0.0</v>
      </c>
      <c r="S1414" s="23">
        <v>0.0</v>
      </c>
      <c r="T1414" s="23">
        <f t="shared" si="2"/>
        <v>0</v>
      </c>
      <c r="U1414" s="23">
        <f t="shared" si="3"/>
        <v>0</v>
      </c>
      <c r="V1414" s="23">
        <f t="shared" si="4"/>
        <v>0</v>
      </c>
      <c r="W1414" s="24" t="str">
        <f t="shared" si="5"/>
        <v>#DIV/0!</v>
      </c>
    </row>
    <row r="1415" hidden="1">
      <c r="A1415" s="15" t="s">
        <v>3419</v>
      </c>
      <c r="B1415" s="18"/>
      <c r="C1415" s="15" t="s">
        <v>8129</v>
      </c>
      <c r="D1415" s="18"/>
      <c r="E1415" s="17" t="s">
        <v>3420</v>
      </c>
      <c r="F1415" s="18"/>
      <c r="G1415" s="18"/>
      <c r="H1415" s="15" t="s">
        <v>3421</v>
      </c>
      <c r="I1415" s="18"/>
      <c r="J1415" s="33"/>
      <c r="K1415" s="19" t="s">
        <v>2401</v>
      </c>
      <c r="L1415" s="19" t="s">
        <v>38</v>
      </c>
      <c r="M1415" s="20">
        <f t="shared" si="1"/>
        <v>0</v>
      </c>
      <c r="N1415" s="22"/>
      <c r="O1415" s="19" t="s">
        <v>1145</v>
      </c>
      <c r="P1415" s="18"/>
      <c r="Q1415" s="18"/>
      <c r="R1415" s="23">
        <v>0.0</v>
      </c>
      <c r="S1415" s="23">
        <v>0.0</v>
      </c>
      <c r="T1415" s="23">
        <f t="shared" si="2"/>
        <v>0</v>
      </c>
      <c r="U1415" s="23">
        <f t="shared" si="3"/>
        <v>0</v>
      </c>
      <c r="V1415" s="23">
        <f t="shared" si="4"/>
        <v>0</v>
      </c>
      <c r="W1415" s="24" t="str">
        <f t="shared" si="5"/>
        <v>#DIV/0!</v>
      </c>
    </row>
    <row r="1416" hidden="1">
      <c r="A1416" s="15" t="s">
        <v>3422</v>
      </c>
      <c r="B1416" s="18"/>
      <c r="C1416" s="15" t="s">
        <v>8130</v>
      </c>
      <c r="D1416" s="18"/>
      <c r="E1416" s="17" t="s">
        <v>3423</v>
      </c>
      <c r="F1416" s="18"/>
      <c r="G1416" s="18"/>
      <c r="H1416" s="15" t="s">
        <v>3424</v>
      </c>
      <c r="I1416" s="15" t="s">
        <v>3425</v>
      </c>
      <c r="J1416" s="33"/>
      <c r="K1416" s="19" t="s">
        <v>691</v>
      </c>
      <c r="L1416" s="19" t="s">
        <v>38</v>
      </c>
      <c r="M1416" s="20">
        <f t="shared" si="1"/>
        <v>0</v>
      </c>
      <c r="N1416" s="22"/>
      <c r="O1416" s="19" t="s">
        <v>1145</v>
      </c>
      <c r="P1416" s="18"/>
      <c r="Q1416" s="18"/>
      <c r="R1416" s="23">
        <v>0.0</v>
      </c>
      <c r="S1416" s="23">
        <v>0.0</v>
      </c>
      <c r="T1416" s="23">
        <f t="shared" si="2"/>
        <v>0</v>
      </c>
      <c r="U1416" s="23">
        <f t="shared" si="3"/>
        <v>0</v>
      </c>
      <c r="V1416" s="23">
        <f t="shared" si="4"/>
        <v>0</v>
      </c>
      <c r="W1416" s="24" t="str">
        <f t="shared" si="5"/>
        <v>#DIV/0!</v>
      </c>
    </row>
    <row r="1417" hidden="1">
      <c r="A1417" s="15" t="s">
        <v>3426</v>
      </c>
      <c r="B1417" s="18"/>
      <c r="C1417" s="15" t="s">
        <v>8131</v>
      </c>
      <c r="D1417" s="18"/>
      <c r="E1417" s="17" t="s">
        <v>3427</v>
      </c>
      <c r="F1417" s="18"/>
      <c r="G1417" s="18"/>
      <c r="H1417" s="15" t="s">
        <v>3428</v>
      </c>
      <c r="I1417" s="15" t="s">
        <v>3429</v>
      </c>
      <c r="J1417" s="33"/>
      <c r="K1417" s="19" t="s">
        <v>2396</v>
      </c>
      <c r="L1417" s="19" t="s">
        <v>38</v>
      </c>
      <c r="M1417" s="20">
        <f t="shared" si="1"/>
        <v>0</v>
      </c>
      <c r="N1417" s="22"/>
      <c r="O1417" s="19" t="s">
        <v>1145</v>
      </c>
      <c r="P1417" s="18"/>
      <c r="Q1417" s="18"/>
      <c r="R1417" s="23">
        <v>0.0</v>
      </c>
      <c r="S1417" s="23">
        <v>0.0</v>
      </c>
      <c r="T1417" s="23">
        <f t="shared" si="2"/>
        <v>0</v>
      </c>
      <c r="U1417" s="23">
        <f t="shared" si="3"/>
        <v>0</v>
      </c>
      <c r="V1417" s="23">
        <f t="shared" si="4"/>
        <v>0</v>
      </c>
      <c r="W1417" s="24" t="str">
        <f t="shared" si="5"/>
        <v>#DIV/0!</v>
      </c>
    </row>
    <row r="1418" hidden="1">
      <c r="A1418" s="15" t="s">
        <v>3430</v>
      </c>
      <c r="B1418" s="18"/>
      <c r="C1418" s="15" t="s">
        <v>8132</v>
      </c>
      <c r="D1418" s="18"/>
      <c r="E1418" s="17" t="s">
        <v>3431</v>
      </c>
      <c r="F1418" s="18"/>
      <c r="G1418" s="18"/>
      <c r="H1418" s="15" t="s">
        <v>3432</v>
      </c>
      <c r="I1418" s="18"/>
      <c r="J1418" s="33"/>
      <c r="K1418" s="19" t="s">
        <v>2401</v>
      </c>
      <c r="L1418" s="19" t="s">
        <v>38</v>
      </c>
      <c r="M1418" s="20">
        <f t="shared" si="1"/>
        <v>0</v>
      </c>
      <c r="N1418" s="22"/>
      <c r="O1418" s="19" t="s">
        <v>1145</v>
      </c>
      <c r="P1418" s="18"/>
      <c r="Q1418" s="18"/>
      <c r="R1418" s="23">
        <v>0.0</v>
      </c>
      <c r="S1418" s="23">
        <v>0.0</v>
      </c>
      <c r="T1418" s="23">
        <f t="shared" si="2"/>
        <v>0</v>
      </c>
      <c r="U1418" s="23">
        <f t="shared" si="3"/>
        <v>0</v>
      </c>
      <c r="V1418" s="23">
        <f t="shared" si="4"/>
        <v>0</v>
      </c>
      <c r="W1418" s="24" t="str">
        <f t="shared" si="5"/>
        <v>#DIV/0!</v>
      </c>
    </row>
    <row r="1419" hidden="1">
      <c r="A1419" s="15" t="s">
        <v>3433</v>
      </c>
      <c r="B1419" s="18"/>
      <c r="C1419" s="15" t="s">
        <v>8133</v>
      </c>
      <c r="D1419" s="18"/>
      <c r="E1419" s="17" t="s">
        <v>3434</v>
      </c>
      <c r="F1419" s="18"/>
      <c r="G1419" s="18"/>
      <c r="H1419" s="15" t="s">
        <v>3435</v>
      </c>
      <c r="I1419" s="15" t="s">
        <v>3436</v>
      </c>
      <c r="J1419" s="33"/>
      <c r="K1419" s="19" t="s">
        <v>2401</v>
      </c>
      <c r="L1419" s="19" t="s">
        <v>38</v>
      </c>
      <c r="M1419" s="20">
        <f t="shared" si="1"/>
        <v>0</v>
      </c>
      <c r="N1419" s="22"/>
      <c r="O1419" s="19" t="s">
        <v>1145</v>
      </c>
      <c r="P1419" s="18"/>
      <c r="Q1419" s="18"/>
      <c r="R1419" s="23">
        <v>0.0</v>
      </c>
      <c r="S1419" s="23">
        <v>0.0</v>
      </c>
      <c r="T1419" s="23">
        <f t="shared" si="2"/>
        <v>0</v>
      </c>
      <c r="U1419" s="23">
        <f t="shared" si="3"/>
        <v>0</v>
      </c>
      <c r="V1419" s="23">
        <f t="shared" si="4"/>
        <v>0</v>
      </c>
      <c r="W1419" s="24" t="str">
        <f t="shared" si="5"/>
        <v>#DIV/0!</v>
      </c>
    </row>
    <row r="1420" hidden="1">
      <c r="A1420" s="15" t="s">
        <v>3437</v>
      </c>
      <c r="B1420" s="18"/>
      <c r="C1420" s="15" t="s">
        <v>8134</v>
      </c>
      <c r="D1420" s="18"/>
      <c r="E1420" s="17" t="s">
        <v>3438</v>
      </c>
      <c r="F1420" s="18"/>
      <c r="G1420" s="18"/>
      <c r="H1420" s="15" t="s">
        <v>3439</v>
      </c>
      <c r="I1420" s="15" t="s">
        <v>3436</v>
      </c>
      <c r="J1420" s="33"/>
      <c r="K1420" s="19" t="s">
        <v>2401</v>
      </c>
      <c r="L1420" s="19" t="s">
        <v>38</v>
      </c>
      <c r="M1420" s="20">
        <f t="shared" si="1"/>
        <v>0</v>
      </c>
      <c r="N1420" s="22"/>
      <c r="O1420" s="19" t="s">
        <v>1145</v>
      </c>
      <c r="P1420" s="18"/>
      <c r="Q1420" s="18"/>
      <c r="R1420" s="23">
        <v>0.0</v>
      </c>
      <c r="S1420" s="23">
        <v>0.0</v>
      </c>
      <c r="T1420" s="23">
        <f t="shared" si="2"/>
        <v>0</v>
      </c>
      <c r="U1420" s="23">
        <f t="shared" si="3"/>
        <v>0</v>
      </c>
      <c r="V1420" s="23">
        <f t="shared" si="4"/>
        <v>0</v>
      </c>
      <c r="W1420" s="24" t="str">
        <f t="shared" si="5"/>
        <v>#DIV/0!</v>
      </c>
    </row>
    <row r="1421" hidden="1">
      <c r="A1421" s="15" t="s">
        <v>3440</v>
      </c>
      <c r="B1421" s="18"/>
      <c r="C1421" s="15" t="s">
        <v>8135</v>
      </c>
      <c r="D1421" s="18"/>
      <c r="E1421" s="17" t="s">
        <v>3441</v>
      </c>
      <c r="F1421" s="18"/>
      <c r="G1421" s="18"/>
      <c r="H1421" s="15" t="s">
        <v>3442</v>
      </c>
      <c r="I1421" s="15" t="s">
        <v>3443</v>
      </c>
      <c r="J1421" s="33"/>
      <c r="K1421" s="19" t="s">
        <v>2401</v>
      </c>
      <c r="L1421" s="19" t="s">
        <v>38</v>
      </c>
      <c r="M1421" s="20">
        <f t="shared" si="1"/>
        <v>0</v>
      </c>
      <c r="N1421" s="22"/>
      <c r="O1421" s="19" t="s">
        <v>1145</v>
      </c>
      <c r="P1421" s="18"/>
      <c r="Q1421" s="18"/>
      <c r="R1421" s="23">
        <v>0.0</v>
      </c>
      <c r="S1421" s="23">
        <v>0.0</v>
      </c>
      <c r="T1421" s="23">
        <f t="shared" si="2"/>
        <v>0</v>
      </c>
      <c r="U1421" s="23">
        <f t="shared" si="3"/>
        <v>0</v>
      </c>
      <c r="V1421" s="23">
        <f t="shared" si="4"/>
        <v>0</v>
      </c>
      <c r="W1421" s="24" t="str">
        <f t="shared" si="5"/>
        <v>#DIV/0!</v>
      </c>
    </row>
    <row r="1422" hidden="1">
      <c r="A1422" s="15" t="s">
        <v>3444</v>
      </c>
      <c r="B1422" s="18"/>
      <c r="C1422" s="15" t="s">
        <v>8136</v>
      </c>
      <c r="D1422" s="18"/>
      <c r="E1422" s="17" t="s">
        <v>3445</v>
      </c>
      <c r="F1422" s="18"/>
      <c r="G1422" s="18"/>
      <c r="H1422" s="15" t="s">
        <v>3446</v>
      </c>
      <c r="I1422" s="15" t="s">
        <v>3443</v>
      </c>
      <c r="J1422" s="33"/>
      <c r="K1422" s="19" t="s">
        <v>2401</v>
      </c>
      <c r="L1422" s="19" t="s">
        <v>38</v>
      </c>
      <c r="M1422" s="20">
        <f t="shared" si="1"/>
        <v>0</v>
      </c>
      <c r="N1422" s="22"/>
      <c r="O1422" s="19" t="s">
        <v>1145</v>
      </c>
      <c r="P1422" s="18"/>
      <c r="Q1422" s="18"/>
      <c r="R1422" s="23">
        <v>0.0</v>
      </c>
      <c r="S1422" s="23">
        <v>0.0</v>
      </c>
      <c r="T1422" s="23">
        <f t="shared" si="2"/>
        <v>0</v>
      </c>
      <c r="U1422" s="23">
        <f t="shared" si="3"/>
        <v>0</v>
      </c>
      <c r="V1422" s="23">
        <f t="shared" si="4"/>
        <v>0</v>
      </c>
      <c r="W1422" s="24" t="str">
        <f t="shared" si="5"/>
        <v>#DIV/0!</v>
      </c>
    </row>
    <row r="1423" hidden="1">
      <c r="A1423" s="15" t="s">
        <v>3447</v>
      </c>
      <c r="B1423" s="18"/>
      <c r="C1423" s="15" t="s">
        <v>8137</v>
      </c>
      <c r="D1423" s="18"/>
      <c r="E1423" s="17" t="s">
        <v>3448</v>
      </c>
      <c r="F1423" s="18"/>
      <c r="G1423" s="18"/>
      <c r="H1423" s="15" t="s">
        <v>3449</v>
      </c>
      <c r="I1423" s="15" t="s">
        <v>3450</v>
      </c>
      <c r="J1423" s="33"/>
      <c r="K1423" s="19" t="s">
        <v>2401</v>
      </c>
      <c r="L1423" s="19" t="s">
        <v>38</v>
      </c>
      <c r="M1423" s="20">
        <f t="shared" si="1"/>
        <v>0</v>
      </c>
      <c r="N1423" s="22"/>
      <c r="O1423" s="19" t="s">
        <v>1145</v>
      </c>
      <c r="P1423" s="18"/>
      <c r="Q1423" s="18"/>
      <c r="R1423" s="23">
        <v>0.0</v>
      </c>
      <c r="S1423" s="23">
        <v>0.0</v>
      </c>
      <c r="T1423" s="23">
        <f t="shared" si="2"/>
        <v>0</v>
      </c>
      <c r="U1423" s="23">
        <f t="shared" si="3"/>
        <v>0</v>
      </c>
      <c r="V1423" s="23">
        <f t="shared" si="4"/>
        <v>0</v>
      </c>
      <c r="W1423" s="24" t="str">
        <f t="shared" si="5"/>
        <v>#DIV/0!</v>
      </c>
    </row>
    <row r="1424" hidden="1">
      <c r="A1424" s="15" t="s">
        <v>3451</v>
      </c>
      <c r="B1424" s="18"/>
      <c r="C1424" s="15" t="s">
        <v>8138</v>
      </c>
      <c r="D1424" s="18"/>
      <c r="E1424" s="17" t="s">
        <v>3452</v>
      </c>
      <c r="F1424" s="18"/>
      <c r="G1424" s="18"/>
      <c r="H1424" s="15" t="s">
        <v>3453</v>
      </c>
      <c r="I1424" s="15" t="s">
        <v>3454</v>
      </c>
      <c r="J1424" s="33"/>
      <c r="K1424" s="19" t="s">
        <v>2401</v>
      </c>
      <c r="L1424" s="19" t="s">
        <v>38</v>
      </c>
      <c r="M1424" s="20">
        <f t="shared" si="1"/>
        <v>0</v>
      </c>
      <c r="N1424" s="22"/>
      <c r="O1424" s="19" t="s">
        <v>1145</v>
      </c>
      <c r="P1424" s="18"/>
      <c r="Q1424" s="18"/>
      <c r="R1424" s="23">
        <v>0.0</v>
      </c>
      <c r="S1424" s="23">
        <v>0.0</v>
      </c>
      <c r="T1424" s="23">
        <f t="shared" si="2"/>
        <v>0</v>
      </c>
      <c r="U1424" s="23">
        <f t="shared" si="3"/>
        <v>0</v>
      </c>
      <c r="V1424" s="23">
        <f t="shared" si="4"/>
        <v>0</v>
      </c>
      <c r="W1424" s="24" t="str">
        <f t="shared" si="5"/>
        <v>#DIV/0!</v>
      </c>
    </row>
    <row r="1425" hidden="1">
      <c r="A1425" s="15" t="s">
        <v>3455</v>
      </c>
      <c r="B1425" s="18"/>
      <c r="C1425" s="15" t="s">
        <v>8139</v>
      </c>
      <c r="D1425" s="18"/>
      <c r="E1425" s="17" t="s">
        <v>3456</v>
      </c>
      <c r="F1425" s="18"/>
      <c r="G1425" s="18"/>
      <c r="H1425" s="15" t="s">
        <v>3457</v>
      </c>
      <c r="I1425" s="15" t="s">
        <v>3458</v>
      </c>
      <c r="J1425" s="33"/>
      <c r="K1425" s="19" t="s">
        <v>2401</v>
      </c>
      <c r="L1425" s="19" t="s">
        <v>38</v>
      </c>
      <c r="M1425" s="20">
        <f t="shared" si="1"/>
        <v>0</v>
      </c>
      <c r="N1425" s="22"/>
      <c r="O1425" s="19" t="s">
        <v>1145</v>
      </c>
      <c r="P1425" s="18"/>
      <c r="Q1425" s="18"/>
      <c r="R1425" s="23">
        <v>0.0</v>
      </c>
      <c r="S1425" s="23">
        <v>0.0</v>
      </c>
      <c r="T1425" s="23">
        <f t="shared" si="2"/>
        <v>0</v>
      </c>
      <c r="U1425" s="23">
        <f t="shared" si="3"/>
        <v>0</v>
      </c>
      <c r="V1425" s="23">
        <f t="shared" si="4"/>
        <v>0</v>
      </c>
      <c r="W1425" s="24" t="str">
        <f t="shared" si="5"/>
        <v>#DIV/0!</v>
      </c>
    </row>
    <row r="1426" hidden="1">
      <c r="A1426" s="15" t="s">
        <v>3459</v>
      </c>
      <c r="B1426" s="18"/>
      <c r="C1426" s="15" t="s">
        <v>8140</v>
      </c>
      <c r="D1426" s="18"/>
      <c r="E1426" s="17" t="s">
        <v>3460</v>
      </c>
      <c r="F1426" s="18"/>
      <c r="G1426" s="18"/>
      <c r="H1426" s="15" t="s">
        <v>3461</v>
      </c>
      <c r="I1426" s="15" t="s">
        <v>3458</v>
      </c>
      <c r="J1426" s="33"/>
      <c r="K1426" s="19" t="s">
        <v>2401</v>
      </c>
      <c r="L1426" s="19" t="s">
        <v>38</v>
      </c>
      <c r="M1426" s="20">
        <f t="shared" si="1"/>
        <v>0</v>
      </c>
      <c r="N1426" s="22"/>
      <c r="O1426" s="19" t="s">
        <v>1145</v>
      </c>
      <c r="P1426" s="18"/>
      <c r="Q1426" s="18"/>
      <c r="R1426" s="23">
        <v>0.0</v>
      </c>
      <c r="S1426" s="23">
        <v>0.0</v>
      </c>
      <c r="T1426" s="23">
        <f t="shared" si="2"/>
        <v>0</v>
      </c>
      <c r="U1426" s="23">
        <f t="shared" si="3"/>
        <v>0</v>
      </c>
      <c r="V1426" s="23">
        <f t="shared" si="4"/>
        <v>0</v>
      </c>
      <c r="W1426" s="24" t="str">
        <f t="shared" si="5"/>
        <v>#DIV/0!</v>
      </c>
    </row>
    <row r="1427" hidden="1">
      <c r="A1427" s="15" t="s">
        <v>3462</v>
      </c>
      <c r="B1427" s="18"/>
      <c r="C1427" s="15" t="s">
        <v>8141</v>
      </c>
      <c r="D1427" s="18"/>
      <c r="E1427" s="17" t="s">
        <v>3463</v>
      </c>
      <c r="F1427" s="18"/>
      <c r="G1427" s="18"/>
      <c r="H1427" s="15" t="s">
        <v>3464</v>
      </c>
      <c r="I1427" s="18"/>
      <c r="J1427" s="33"/>
      <c r="K1427" s="19" t="s">
        <v>2401</v>
      </c>
      <c r="L1427" s="19" t="s">
        <v>38</v>
      </c>
      <c r="M1427" s="20">
        <f t="shared" si="1"/>
        <v>0</v>
      </c>
      <c r="N1427" s="22"/>
      <c r="O1427" s="19" t="s">
        <v>1145</v>
      </c>
      <c r="P1427" s="18"/>
      <c r="Q1427" s="18"/>
      <c r="R1427" s="23">
        <v>0.0</v>
      </c>
      <c r="S1427" s="23">
        <v>0.0</v>
      </c>
      <c r="T1427" s="23">
        <f t="shared" si="2"/>
        <v>0</v>
      </c>
      <c r="U1427" s="23">
        <f t="shared" si="3"/>
        <v>0</v>
      </c>
      <c r="V1427" s="23">
        <f t="shared" si="4"/>
        <v>0</v>
      </c>
      <c r="W1427" s="24" t="str">
        <f t="shared" si="5"/>
        <v>#DIV/0!</v>
      </c>
    </row>
    <row r="1428" hidden="1">
      <c r="A1428" s="15" t="s">
        <v>3465</v>
      </c>
      <c r="B1428" s="18"/>
      <c r="C1428" s="15" t="s">
        <v>8142</v>
      </c>
      <c r="D1428" s="18"/>
      <c r="E1428" s="17" t="s">
        <v>3466</v>
      </c>
      <c r="F1428" s="18"/>
      <c r="G1428" s="18"/>
      <c r="H1428" s="15" t="s">
        <v>3467</v>
      </c>
      <c r="I1428" s="18"/>
      <c r="J1428" s="33"/>
      <c r="K1428" s="19" t="s">
        <v>2401</v>
      </c>
      <c r="L1428" s="19" t="s">
        <v>38</v>
      </c>
      <c r="M1428" s="20">
        <f t="shared" si="1"/>
        <v>0</v>
      </c>
      <c r="N1428" s="22"/>
      <c r="O1428" s="19" t="s">
        <v>1145</v>
      </c>
      <c r="P1428" s="18"/>
      <c r="Q1428" s="18"/>
      <c r="R1428" s="23">
        <v>0.0</v>
      </c>
      <c r="S1428" s="23">
        <v>0.0</v>
      </c>
      <c r="T1428" s="23">
        <f t="shared" si="2"/>
        <v>0</v>
      </c>
      <c r="U1428" s="23">
        <f t="shared" si="3"/>
        <v>0</v>
      </c>
      <c r="V1428" s="23">
        <f t="shared" si="4"/>
        <v>0</v>
      </c>
      <c r="W1428" s="24" t="str">
        <f t="shared" si="5"/>
        <v>#DIV/0!</v>
      </c>
    </row>
    <row r="1429" hidden="1">
      <c r="A1429" s="15" t="s">
        <v>3468</v>
      </c>
      <c r="B1429" s="18"/>
      <c r="C1429" s="15" t="s">
        <v>8143</v>
      </c>
      <c r="D1429" s="18"/>
      <c r="E1429" s="17" t="s">
        <v>3469</v>
      </c>
      <c r="F1429" s="18"/>
      <c r="G1429" s="18"/>
      <c r="H1429" s="15" t="s">
        <v>3470</v>
      </c>
      <c r="I1429" s="15" t="s">
        <v>3471</v>
      </c>
      <c r="J1429" s="33"/>
      <c r="K1429" s="19" t="s">
        <v>2401</v>
      </c>
      <c r="L1429" s="19" t="s">
        <v>38</v>
      </c>
      <c r="M1429" s="20">
        <f t="shared" si="1"/>
        <v>0</v>
      </c>
      <c r="N1429" s="22"/>
      <c r="O1429" s="19" t="s">
        <v>1145</v>
      </c>
      <c r="P1429" s="18"/>
      <c r="Q1429" s="18"/>
      <c r="R1429" s="23">
        <v>0.0</v>
      </c>
      <c r="S1429" s="23">
        <v>0.0</v>
      </c>
      <c r="T1429" s="23">
        <f t="shared" si="2"/>
        <v>0</v>
      </c>
      <c r="U1429" s="23">
        <f t="shared" si="3"/>
        <v>0</v>
      </c>
      <c r="V1429" s="23">
        <f t="shared" si="4"/>
        <v>0</v>
      </c>
      <c r="W1429" s="24" t="str">
        <f t="shared" si="5"/>
        <v>#DIV/0!</v>
      </c>
    </row>
    <row r="1430" hidden="1">
      <c r="A1430" s="15" t="s">
        <v>3472</v>
      </c>
      <c r="B1430" s="18"/>
      <c r="C1430" s="15" t="s">
        <v>8144</v>
      </c>
      <c r="D1430" s="18"/>
      <c r="E1430" s="17" t="s">
        <v>3473</v>
      </c>
      <c r="F1430" s="18"/>
      <c r="G1430" s="18"/>
      <c r="H1430" s="15" t="s">
        <v>3474</v>
      </c>
      <c r="I1430" s="15" t="s">
        <v>3475</v>
      </c>
      <c r="J1430" s="33"/>
      <c r="K1430" s="19" t="s">
        <v>2401</v>
      </c>
      <c r="L1430" s="19" t="s">
        <v>38</v>
      </c>
      <c r="M1430" s="20">
        <f t="shared" si="1"/>
        <v>0</v>
      </c>
      <c r="N1430" s="22"/>
      <c r="O1430" s="19" t="s">
        <v>1145</v>
      </c>
      <c r="P1430" s="18"/>
      <c r="Q1430" s="18"/>
      <c r="R1430" s="23">
        <v>0.0</v>
      </c>
      <c r="S1430" s="23">
        <v>0.0</v>
      </c>
      <c r="T1430" s="23">
        <f t="shared" si="2"/>
        <v>0</v>
      </c>
      <c r="U1430" s="23">
        <f t="shared" si="3"/>
        <v>0</v>
      </c>
      <c r="V1430" s="23">
        <f t="shared" si="4"/>
        <v>0</v>
      </c>
      <c r="W1430" s="24" t="str">
        <f t="shared" si="5"/>
        <v>#DIV/0!</v>
      </c>
    </row>
    <row r="1431" hidden="1">
      <c r="A1431" s="15" t="s">
        <v>3476</v>
      </c>
      <c r="B1431" s="18"/>
      <c r="C1431" s="15" t="s">
        <v>8145</v>
      </c>
      <c r="D1431" s="18"/>
      <c r="E1431" s="17" t="s">
        <v>3477</v>
      </c>
      <c r="F1431" s="18"/>
      <c r="G1431" s="18"/>
      <c r="H1431" s="15" t="s">
        <v>3478</v>
      </c>
      <c r="I1431" s="18"/>
      <c r="J1431" s="33"/>
      <c r="K1431" s="19" t="s">
        <v>2401</v>
      </c>
      <c r="L1431" s="19" t="s">
        <v>38</v>
      </c>
      <c r="M1431" s="20">
        <f t="shared" si="1"/>
        <v>0</v>
      </c>
      <c r="N1431" s="22"/>
      <c r="O1431" s="19" t="s">
        <v>1145</v>
      </c>
      <c r="P1431" s="18"/>
      <c r="Q1431" s="18"/>
      <c r="R1431" s="23">
        <v>0.0</v>
      </c>
      <c r="S1431" s="23">
        <v>0.0</v>
      </c>
      <c r="T1431" s="23">
        <f t="shared" si="2"/>
        <v>0</v>
      </c>
      <c r="U1431" s="23">
        <f t="shared" si="3"/>
        <v>0</v>
      </c>
      <c r="V1431" s="23">
        <f t="shared" si="4"/>
        <v>0</v>
      </c>
      <c r="W1431" s="24" t="str">
        <f t="shared" si="5"/>
        <v>#DIV/0!</v>
      </c>
    </row>
    <row r="1432" hidden="1">
      <c r="A1432" s="15" t="s">
        <v>3479</v>
      </c>
      <c r="B1432" s="18"/>
      <c r="C1432" s="15" t="s">
        <v>8146</v>
      </c>
      <c r="D1432" s="18"/>
      <c r="E1432" s="17" t="s">
        <v>3480</v>
      </c>
      <c r="F1432" s="18"/>
      <c r="G1432" s="18"/>
      <c r="H1432" s="15" t="s">
        <v>3481</v>
      </c>
      <c r="I1432" s="15" t="s">
        <v>3482</v>
      </c>
      <c r="J1432" s="33"/>
      <c r="K1432" s="19" t="s">
        <v>2401</v>
      </c>
      <c r="L1432" s="19" t="s">
        <v>38</v>
      </c>
      <c r="M1432" s="20">
        <f t="shared" si="1"/>
        <v>0</v>
      </c>
      <c r="N1432" s="22"/>
      <c r="O1432" s="19" t="s">
        <v>1145</v>
      </c>
      <c r="P1432" s="18"/>
      <c r="Q1432" s="18"/>
      <c r="R1432" s="23">
        <v>0.0</v>
      </c>
      <c r="S1432" s="23">
        <v>0.0</v>
      </c>
      <c r="T1432" s="23">
        <f t="shared" si="2"/>
        <v>0</v>
      </c>
      <c r="U1432" s="23">
        <f t="shared" si="3"/>
        <v>0</v>
      </c>
      <c r="V1432" s="23">
        <f t="shared" si="4"/>
        <v>0</v>
      </c>
      <c r="W1432" s="24" t="str">
        <f t="shared" si="5"/>
        <v>#DIV/0!</v>
      </c>
    </row>
    <row r="1433" hidden="1">
      <c r="A1433" s="15" t="s">
        <v>3483</v>
      </c>
      <c r="B1433" s="18"/>
      <c r="C1433" s="15" t="s">
        <v>8147</v>
      </c>
      <c r="D1433" s="18"/>
      <c r="E1433" s="17" t="s">
        <v>3484</v>
      </c>
      <c r="F1433" s="18"/>
      <c r="G1433" s="18"/>
      <c r="H1433" s="15" t="s">
        <v>3485</v>
      </c>
      <c r="I1433" s="15" t="s">
        <v>3486</v>
      </c>
      <c r="J1433" s="33"/>
      <c r="K1433" s="19" t="s">
        <v>2401</v>
      </c>
      <c r="L1433" s="19" t="s">
        <v>38</v>
      </c>
      <c r="M1433" s="20">
        <f t="shared" si="1"/>
        <v>0</v>
      </c>
      <c r="N1433" s="22"/>
      <c r="O1433" s="19" t="s">
        <v>1145</v>
      </c>
      <c r="P1433" s="18"/>
      <c r="Q1433" s="18"/>
      <c r="R1433" s="23">
        <v>0.0</v>
      </c>
      <c r="S1433" s="23">
        <v>0.0</v>
      </c>
      <c r="T1433" s="23">
        <f t="shared" si="2"/>
        <v>0</v>
      </c>
      <c r="U1433" s="23">
        <f t="shared" si="3"/>
        <v>0</v>
      </c>
      <c r="V1433" s="23">
        <f t="shared" si="4"/>
        <v>0</v>
      </c>
      <c r="W1433" s="24" t="str">
        <f t="shared" si="5"/>
        <v>#DIV/0!</v>
      </c>
    </row>
    <row r="1434" hidden="1">
      <c r="A1434" s="15" t="s">
        <v>3487</v>
      </c>
      <c r="B1434" s="18"/>
      <c r="C1434" s="15" t="s">
        <v>8148</v>
      </c>
      <c r="D1434" s="18"/>
      <c r="E1434" s="17" t="s">
        <v>3488</v>
      </c>
      <c r="F1434" s="18"/>
      <c r="G1434" s="18"/>
      <c r="H1434" s="15" t="s">
        <v>3489</v>
      </c>
      <c r="I1434" s="18"/>
      <c r="J1434" s="33"/>
      <c r="K1434" s="19" t="s">
        <v>2401</v>
      </c>
      <c r="L1434" s="19" t="s">
        <v>38</v>
      </c>
      <c r="M1434" s="20">
        <f t="shared" si="1"/>
        <v>0</v>
      </c>
      <c r="N1434" s="22"/>
      <c r="O1434" s="19" t="s">
        <v>1145</v>
      </c>
      <c r="P1434" s="18"/>
      <c r="Q1434" s="18"/>
      <c r="R1434" s="23">
        <v>0.0</v>
      </c>
      <c r="S1434" s="23">
        <v>0.0</v>
      </c>
      <c r="T1434" s="23">
        <f t="shared" si="2"/>
        <v>0</v>
      </c>
      <c r="U1434" s="23">
        <f t="shared" si="3"/>
        <v>0</v>
      </c>
      <c r="V1434" s="23">
        <f t="shared" si="4"/>
        <v>0</v>
      </c>
      <c r="W1434" s="24" t="str">
        <f t="shared" si="5"/>
        <v>#DIV/0!</v>
      </c>
    </row>
    <row r="1435" hidden="1">
      <c r="A1435" s="15" t="s">
        <v>3490</v>
      </c>
      <c r="B1435" s="18"/>
      <c r="C1435" s="15" t="s">
        <v>8149</v>
      </c>
      <c r="D1435" s="18"/>
      <c r="E1435" s="17" t="s">
        <v>3491</v>
      </c>
      <c r="F1435" s="18"/>
      <c r="G1435" s="18"/>
      <c r="H1435" s="15" t="s">
        <v>3492</v>
      </c>
      <c r="I1435" s="15" t="s">
        <v>3493</v>
      </c>
      <c r="J1435" s="33"/>
      <c r="K1435" s="19" t="s">
        <v>2401</v>
      </c>
      <c r="L1435" s="19" t="s">
        <v>38</v>
      </c>
      <c r="M1435" s="20">
        <f t="shared" si="1"/>
        <v>0</v>
      </c>
      <c r="N1435" s="22"/>
      <c r="O1435" s="19" t="s">
        <v>1145</v>
      </c>
      <c r="P1435" s="18"/>
      <c r="Q1435" s="18"/>
      <c r="R1435" s="23">
        <v>0.0</v>
      </c>
      <c r="S1435" s="23">
        <v>0.0</v>
      </c>
      <c r="T1435" s="23">
        <f t="shared" si="2"/>
        <v>0</v>
      </c>
      <c r="U1435" s="23">
        <f t="shared" si="3"/>
        <v>0</v>
      </c>
      <c r="V1435" s="23">
        <f t="shared" si="4"/>
        <v>0</v>
      </c>
      <c r="W1435" s="24" t="str">
        <f t="shared" si="5"/>
        <v>#DIV/0!</v>
      </c>
    </row>
    <row r="1436" hidden="1">
      <c r="A1436" s="15" t="s">
        <v>3494</v>
      </c>
      <c r="B1436" s="18"/>
      <c r="C1436" s="15" t="s">
        <v>8150</v>
      </c>
      <c r="D1436" s="18"/>
      <c r="E1436" s="17" t="s">
        <v>3495</v>
      </c>
      <c r="F1436" s="18"/>
      <c r="G1436" s="18"/>
      <c r="H1436" s="15" t="s">
        <v>3496</v>
      </c>
      <c r="I1436" s="15" t="s">
        <v>3493</v>
      </c>
      <c r="J1436" s="33"/>
      <c r="K1436" s="19" t="s">
        <v>2401</v>
      </c>
      <c r="L1436" s="19" t="s">
        <v>38</v>
      </c>
      <c r="M1436" s="20">
        <f t="shared" si="1"/>
        <v>0</v>
      </c>
      <c r="N1436" s="22"/>
      <c r="O1436" s="19" t="s">
        <v>1145</v>
      </c>
      <c r="P1436" s="18"/>
      <c r="Q1436" s="18"/>
      <c r="R1436" s="23">
        <v>0.0</v>
      </c>
      <c r="S1436" s="23">
        <v>0.0</v>
      </c>
      <c r="T1436" s="23">
        <f t="shared" si="2"/>
        <v>0</v>
      </c>
      <c r="U1436" s="23">
        <f t="shared" si="3"/>
        <v>0</v>
      </c>
      <c r="V1436" s="23">
        <f t="shared" si="4"/>
        <v>0</v>
      </c>
      <c r="W1436" s="24" t="str">
        <f t="shared" si="5"/>
        <v>#DIV/0!</v>
      </c>
    </row>
    <row r="1437" hidden="1">
      <c r="A1437" s="15" t="s">
        <v>3497</v>
      </c>
      <c r="B1437" s="18"/>
      <c r="C1437" s="15" t="s">
        <v>8151</v>
      </c>
      <c r="D1437" s="18"/>
      <c r="E1437" s="17" t="s">
        <v>3498</v>
      </c>
      <c r="F1437" s="18"/>
      <c r="G1437" s="18"/>
      <c r="H1437" s="15" t="s">
        <v>3499</v>
      </c>
      <c r="I1437" s="15" t="s">
        <v>3500</v>
      </c>
      <c r="J1437" s="33"/>
      <c r="K1437" s="19" t="s">
        <v>2401</v>
      </c>
      <c r="L1437" s="19" t="s">
        <v>38</v>
      </c>
      <c r="M1437" s="20">
        <f t="shared" si="1"/>
        <v>0</v>
      </c>
      <c r="N1437" s="22"/>
      <c r="O1437" s="19" t="s">
        <v>1145</v>
      </c>
      <c r="P1437" s="18"/>
      <c r="Q1437" s="18"/>
      <c r="R1437" s="23">
        <v>0.0</v>
      </c>
      <c r="S1437" s="23">
        <v>0.0</v>
      </c>
      <c r="T1437" s="23">
        <f t="shared" si="2"/>
        <v>0</v>
      </c>
      <c r="U1437" s="23">
        <f t="shared" si="3"/>
        <v>0</v>
      </c>
      <c r="V1437" s="23">
        <f t="shared" si="4"/>
        <v>0</v>
      </c>
      <c r="W1437" s="24" t="str">
        <f t="shared" si="5"/>
        <v>#DIV/0!</v>
      </c>
    </row>
    <row r="1438" hidden="1">
      <c r="A1438" s="15" t="s">
        <v>3501</v>
      </c>
      <c r="B1438" s="18"/>
      <c r="C1438" s="15" t="s">
        <v>8152</v>
      </c>
      <c r="D1438" s="18"/>
      <c r="E1438" s="17" t="s">
        <v>3502</v>
      </c>
      <c r="F1438" s="18"/>
      <c r="G1438" s="18"/>
      <c r="H1438" s="15" t="s">
        <v>3503</v>
      </c>
      <c r="I1438" s="15" t="s">
        <v>3504</v>
      </c>
      <c r="J1438" s="33"/>
      <c r="K1438" s="19" t="s">
        <v>2401</v>
      </c>
      <c r="L1438" s="19" t="s">
        <v>38</v>
      </c>
      <c r="M1438" s="20">
        <f t="shared" si="1"/>
        <v>0</v>
      </c>
      <c r="N1438" s="22"/>
      <c r="O1438" s="19" t="s">
        <v>1145</v>
      </c>
      <c r="P1438" s="18"/>
      <c r="Q1438" s="18"/>
      <c r="R1438" s="23">
        <v>0.0</v>
      </c>
      <c r="S1438" s="23">
        <v>0.0</v>
      </c>
      <c r="T1438" s="23">
        <f t="shared" si="2"/>
        <v>0</v>
      </c>
      <c r="U1438" s="23">
        <f t="shared" si="3"/>
        <v>0</v>
      </c>
      <c r="V1438" s="23">
        <f t="shared" si="4"/>
        <v>0</v>
      </c>
      <c r="W1438" s="24" t="str">
        <f t="shared" si="5"/>
        <v>#DIV/0!</v>
      </c>
    </row>
    <row r="1439" hidden="1">
      <c r="A1439" s="15" t="s">
        <v>3505</v>
      </c>
      <c r="B1439" s="18"/>
      <c r="C1439" s="15" t="s">
        <v>8153</v>
      </c>
      <c r="D1439" s="18"/>
      <c r="E1439" s="17" t="s">
        <v>3506</v>
      </c>
      <c r="F1439" s="18"/>
      <c r="G1439" s="18"/>
      <c r="H1439" s="15" t="s">
        <v>3507</v>
      </c>
      <c r="I1439" s="15" t="s">
        <v>3508</v>
      </c>
      <c r="J1439" s="33"/>
      <c r="K1439" s="19" t="s">
        <v>2401</v>
      </c>
      <c r="L1439" s="19" t="s">
        <v>38</v>
      </c>
      <c r="M1439" s="20">
        <f t="shared" si="1"/>
        <v>0</v>
      </c>
      <c r="N1439" s="22"/>
      <c r="O1439" s="19" t="s">
        <v>1145</v>
      </c>
      <c r="P1439" s="18"/>
      <c r="Q1439" s="18"/>
      <c r="R1439" s="23">
        <v>0.0</v>
      </c>
      <c r="S1439" s="23">
        <v>0.0</v>
      </c>
      <c r="T1439" s="23">
        <f t="shared" si="2"/>
        <v>0</v>
      </c>
      <c r="U1439" s="23">
        <f t="shared" si="3"/>
        <v>0</v>
      </c>
      <c r="V1439" s="23">
        <f t="shared" si="4"/>
        <v>0</v>
      </c>
      <c r="W1439" s="24" t="str">
        <f t="shared" si="5"/>
        <v>#DIV/0!</v>
      </c>
    </row>
    <row r="1440" hidden="1">
      <c r="A1440" s="15" t="s">
        <v>3509</v>
      </c>
      <c r="B1440" s="18"/>
      <c r="C1440" s="15" t="s">
        <v>8154</v>
      </c>
      <c r="D1440" s="18"/>
      <c r="E1440" s="17" t="s">
        <v>3510</v>
      </c>
      <c r="F1440" s="18"/>
      <c r="G1440" s="18"/>
      <c r="H1440" s="15" t="s">
        <v>3511</v>
      </c>
      <c r="I1440" s="15" t="s">
        <v>3508</v>
      </c>
      <c r="J1440" s="33"/>
      <c r="K1440" s="19" t="s">
        <v>2401</v>
      </c>
      <c r="L1440" s="19" t="s">
        <v>38</v>
      </c>
      <c r="M1440" s="20">
        <f t="shared" si="1"/>
        <v>0</v>
      </c>
      <c r="N1440" s="22"/>
      <c r="O1440" s="19" t="s">
        <v>1145</v>
      </c>
      <c r="P1440" s="18"/>
      <c r="Q1440" s="18"/>
      <c r="R1440" s="23">
        <v>0.0</v>
      </c>
      <c r="S1440" s="23">
        <v>0.0</v>
      </c>
      <c r="T1440" s="23">
        <f t="shared" si="2"/>
        <v>0</v>
      </c>
      <c r="U1440" s="23">
        <f t="shared" si="3"/>
        <v>0</v>
      </c>
      <c r="V1440" s="23">
        <f t="shared" si="4"/>
        <v>0</v>
      </c>
      <c r="W1440" s="24" t="str">
        <f t="shared" si="5"/>
        <v>#DIV/0!</v>
      </c>
    </row>
    <row r="1441" hidden="1">
      <c r="A1441" s="15" t="s">
        <v>3512</v>
      </c>
      <c r="B1441" s="18"/>
      <c r="C1441" s="15" t="s">
        <v>8155</v>
      </c>
      <c r="D1441" s="18"/>
      <c r="E1441" s="17" t="s">
        <v>3513</v>
      </c>
      <c r="F1441" s="18"/>
      <c r="G1441" s="18"/>
      <c r="H1441" s="15" t="s">
        <v>3514</v>
      </c>
      <c r="I1441" s="18"/>
      <c r="J1441" s="33"/>
      <c r="K1441" s="19" t="s">
        <v>2401</v>
      </c>
      <c r="L1441" s="19" t="s">
        <v>38</v>
      </c>
      <c r="M1441" s="20">
        <f t="shared" si="1"/>
        <v>0</v>
      </c>
      <c r="N1441" s="22"/>
      <c r="O1441" s="19" t="s">
        <v>1145</v>
      </c>
      <c r="P1441" s="18"/>
      <c r="Q1441" s="18"/>
      <c r="R1441" s="23">
        <v>0.0</v>
      </c>
      <c r="S1441" s="23">
        <v>0.0</v>
      </c>
      <c r="T1441" s="23">
        <f t="shared" si="2"/>
        <v>0</v>
      </c>
      <c r="U1441" s="23">
        <f t="shared" si="3"/>
        <v>0</v>
      </c>
      <c r="V1441" s="23">
        <f t="shared" si="4"/>
        <v>0</v>
      </c>
      <c r="W1441" s="24" t="str">
        <f t="shared" si="5"/>
        <v>#DIV/0!</v>
      </c>
    </row>
    <row r="1442" hidden="1">
      <c r="A1442" s="15" t="s">
        <v>3515</v>
      </c>
      <c r="B1442" s="18"/>
      <c r="C1442" s="15" t="s">
        <v>8156</v>
      </c>
      <c r="D1442" s="18"/>
      <c r="E1442" s="17" t="s">
        <v>3516</v>
      </c>
      <c r="F1442" s="18"/>
      <c r="G1442" s="18"/>
      <c r="H1442" s="15" t="s">
        <v>3517</v>
      </c>
      <c r="I1442" s="18"/>
      <c r="J1442" s="33"/>
      <c r="K1442" s="19" t="s">
        <v>2401</v>
      </c>
      <c r="L1442" s="19" t="s">
        <v>38</v>
      </c>
      <c r="M1442" s="20">
        <f t="shared" si="1"/>
        <v>0</v>
      </c>
      <c r="N1442" s="22"/>
      <c r="O1442" s="19" t="s">
        <v>1145</v>
      </c>
      <c r="P1442" s="18"/>
      <c r="Q1442" s="18"/>
      <c r="R1442" s="23">
        <v>0.0</v>
      </c>
      <c r="S1442" s="23">
        <v>0.0</v>
      </c>
      <c r="T1442" s="23">
        <f t="shared" si="2"/>
        <v>0</v>
      </c>
      <c r="U1442" s="23">
        <f t="shared" si="3"/>
        <v>0</v>
      </c>
      <c r="V1442" s="23">
        <f t="shared" si="4"/>
        <v>0</v>
      </c>
      <c r="W1442" s="24" t="str">
        <f t="shared" si="5"/>
        <v>#DIV/0!</v>
      </c>
    </row>
    <row r="1443" hidden="1">
      <c r="A1443" s="15" t="s">
        <v>3518</v>
      </c>
      <c r="B1443" s="18"/>
      <c r="C1443" s="15" t="s">
        <v>8157</v>
      </c>
      <c r="D1443" s="18"/>
      <c r="E1443" s="17" t="s">
        <v>3519</v>
      </c>
      <c r="F1443" s="18"/>
      <c r="G1443" s="18"/>
      <c r="H1443" s="15" t="s">
        <v>3520</v>
      </c>
      <c r="I1443" s="18"/>
      <c r="J1443" s="33"/>
      <c r="K1443" s="19" t="s">
        <v>3521</v>
      </c>
      <c r="L1443" s="19" t="s">
        <v>38</v>
      </c>
      <c r="M1443" s="20">
        <f t="shared" si="1"/>
        <v>0</v>
      </c>
      <c r="N1443" s="22"/>
      <c r="O1443" s="19" t="s">
        <v>1145</v>
      </c>
      <c r="P1443" s="18"/>
      <c r="Q1443" s="18"/>
      <c r="R1443" s="23">
        <v>0.0</v>
      </c>
      <c r="S1443" s="23">
        <v>0.0</v>
      </c>
      <c r="T1443" s="23">
        <f t="shared" si="2"/>
        <v>0</v>
      </c>
      <c r="U1443" s="23">
        <f t="shared" si="3"/>
        <v>0</v>
      </c>
      <c r="V1443" s="23">
        <f t="shared" si="4"/>
        <v>0</v>
      </c>
      <c r="W1443" s="24" t="str">
        <f t="shared" si="5"/>
        <v>#DIV/0!</v>
      </c>
    </row>
    <row r="1444" hidden="1">
      <c r="A1444" s="15" t="s">
        <v>3522</v>
      </c>
      <c r="B1444" s="18"/>
      <c r="C1444" s="15" t="s">
        <v>8158</v>
      </c>
      <c r="D1444" s="18"/>
      <c r="E1444" s="17" t="s">
        <v>3523</v>
      </c>
      <c r="F1444" s="18"/>
      <c r="G1444" s="18"/>
      <c r="H1444" s="15" t="s">
        <v>3524</v>
      </c>
      <c r="I1444" s="18"/>
      <c r="J1444" s="33"/>
      <c r="K1444" s="19" t="s">
        <v>2382</v>
      </c>
      <c r="L1444" s="19" t="s">
        <v>38</v>
      </c>
      <c r="M1444" s="20">
        <f t="shared" si="1"/>
        <v>0</v>
      </c>
      <c r="N1444" s="22"/>
      <c r="O1444" s="19" t="s">
        <v>1145</v>
      </c>
      <c r="P1444" s="18"/>
      <c r="Q1444" s="18"/>
      <c r="R1444" s="23">
        <v>0.0</v>
      </c>
      <c r="S1444" s="23">
        <v>0.0</v>
      </c>
      <c r="T1444" s="23">
        <f t="shared" si="2"/>
        <v>0</v>
      </c>
      <c r="U1444" s="23">
        <f t="shared" si="3"/>
        <v>0</v>
      </c>
      <c r="V1444" s="23">
        <f t="shared" si="4"/>
        <v>0</v>
      </c>
      <c r="W1444" s="24" t="str">
        <f t="shared" si="5"/>
        <v>#DIV/0!</v>
      </c>
    </row>
    <row r="1445" hidden="1">
      <c r="A1445" s="15" t="s">
        <v>3525</v>
      </c>
      <c r="B1445" s="18"/>
      <c r="C1445" s="15" t="s">
        <v>8159</v>
      </c>
      <c r="D1445" s="18"/>
      <c r="E1445" s="17" t="s">
        <v>3526</v>
      </c>
      <c r="F1445" s="18"/>
      <c r="G1445" s="18"/>
      <c r="H1445" s="15" t="s">
        <v>3527</v>
      </c>
      <c r="I1445" s="15" t="s">
        <v>3528</v>
      </c>
      <c r="J1445" s="33"/>
      <c r="K1445" s="19" t="s">
        <v>2382</v>
      </c>
      <c r="L1445" s="19" t="s">
        <v>38</v>
      </c>
      <c r="M1445" s="20">
        <f t="shared" si="1"/>
        <v>0</v>
      </c>
      <c r="N1445" s="22"/>
      <c r="O1445" s="19" t="s">
        <v>1145</v>
      </c>
      <c r="P1445" s="18"/>
      <c r="Q1445" s="18"/>
      <c r="R1445" s="23">
        <v>0.0</v>
      </c>
      <c r="S1445" s="23">
        <v>0.0</v>
      </c>
      <c r="T1445" s="23">
        <f t="shared" si="2"/>
        <v>0</v>
      </c>
      <c r="U1445" s="23">
        <f t="shared" si="3"/>
        <v>0</v>
      </c>
      <c r="V1445" s="23">
        <f t="shared" si="4"/>
        <v>0</v>
      </c>
      <c r="W1445" s="24" t="str">
        <f t="shared" si="5"/>
        <v>#DIV/0!</v>
      </c>
    </row>
    <row r="1446" hidden="1">
      <c r="A1446" s="15" t="s">
        <v>3529</v>
      </c>
      <c r="B1446" s="18"/>
      <c r="C1446" s="15" t="s">
        <v>8160</v>
      </c>
      <c r="D1446" s="18"/>
      <c r="E1446" s="17" t="s">
        <v>3530</v>
      </c>
      <c r="F1446" s="18"/>
      <c r="G1446" s="18"/>
      <c r="H1446" s="15" t="s">
        <v>3531</v>
      </c>
      <c r="I1446" s="18"/>
      <c r="J1446" s="33"/>
      <c r="K1446" s="19" t="s">
        <v>3330</v>
      </c>
      <c r="L1446" s="19" t="s">
        <v>38</v>
      </c>
      <c r="M1446" s="20">
        <f t="shared" si="1"/>
        <v>0</v>
      </c>
      <c r="N1446" s="22"/>
      <c r="O1446" s="19" t="s">
        <v>1145</v>
      </c>
      <c r="P1446" s="18"/>
      <c r="Q1446" s="18"/>
      <c r="R1446" s="23">
        <v>0.0</v>
      </c>
      <c r="S1446" s="23">
        <v>0.0</v>
      </c>
      <c r="T1446" s="23">
        <f t="shared" si="2"/>
        <v>0</v>
      </c>
      <c r="U1446" s="23">
        <f t="shared" si="3"/>
        <v>0</v>
      </c>
      <c r="V1446" s="23">
        <f t="shared" si="4"/>
        <v>0</v>
      </c>
      <c r="W1446" s="24" t="str">
        <f t="shared" si="5"/>
        <v>#DIV/0!</v>
      </c>
    </row>
    <row r="1447" hidden="1">
      <c r="A1447" s="15" t="s">
        <v>3532</v>
      </c>
      <c r="B1447" s="18"/>
      <c r="C1447" s="15" t="s">
        <v>8161</v>
      </c>
      <c r="D1447" s="18"/>
      <c r="E1447" s="17" t="s">
        <v>3533</v>
      </c>
      <c r="F1447" s="18"/>
      <c r="G1447" s="18"/>
      <c r="H1447" s="15" t="s">
        <v>3534</v>
      </c>
      <c r="I1447" s="18"/>
      <c r="J1447" s="33"/>
      <c r="K1447" s="19" t="s">
        <v>2506</v>
      </c>
      <c r="L1447" s="19" t="s">
        <v>38</v>
      </c>
      <c r="M1447" s="20">
        <f t="shared" si="1"/>
        <v>0</v>
      </c>
      <c r="N1447" s="22"/>
      <c r="O1447" s="19" t="s">
        <v>1145</v>
      </c>
      <c r="P1447" s="18"/>
      <c r="Q1447" s="18"/>
      <c r="R1447" s="23">
        <v>0.0</v>
      </c>
      <c r="S1447" s="23">
        <v>0.0</v>
      </c>
      <c r="T1447" s="23">
        <f t="shared" si="2"/>
        <v>0</v>
      </c>
      <c r="U1447" s="23">
        <f t="shared" si="3"/>
        <v>0</v>
      </c>
      <c r="V1447" s="23">
        <f t="shared" si="4"/>
        <v>0</v>
      </c>
      <c r="W1447" s="24" t="str">
        <f t="shared" si="5"/>
        <v>#DIV/0!</v>
      </c>
    </row>
    <row r="1448" hidden="1">
      <c r="A1448" s="15" t="s">
        <v>3535</v>
      </c>
      <c r="B1448" s="18"/>
      <c r="C1448" s="15" t="s">
        <v>8162</v>
      </c>
      <c r="D1448" s="18"/>
      <c r="E1448" s="17" t="s">
        <v>3536</v>
      </c>
      <c r="F1448" s="18"/>
      <c r="G1448" s="18"/>
      <c r="H1448" s="15" t="s">
        <v>3537</v>
      </c>
      <c r="I1448" s="18"/>
      <c r="J1448" s="33"/>
      <c r="K1448" s="19" t="s">
        <v>2506</v>
      </c>
      <c r="L1448" s="19" t="s">
        <v>38</v>
      </c>
      <c r="M1448" s="20">
        <f t="shared" si="1"/>
        <v>0</v>
      </c>
      <c r="N1448" s="22"/>
      <c r="O1448" s="19" t="s">
        <v>1145</v>
      </c>
      <c r="P1448" s="18"/>
      <c r="Q1448" s="18"/>
      <c r="R1448" s="23">
        <v>0.0</v>
      </c>
      <c r="S1448" s="23">
        <v>0.0</v>
      </c>
      <c r="T1448" s="23">
        <f t="shared" si="2"/>
        <v>0</v>
      </c>
      <c r="U1448" s="23">
        <f t="shared" si="3"/>
        <v>0</v>
      </c>
      <c r="V1448" s="23">
        <f t="shared" si="4"/>
        <v>0</v>
      </c>
      <c r="W1448" s="24" t="str">
        <f t="shared" si="5"/>
        <v>#DIV/0!</v>
      </c>
    </row>
    <row r="1449" hidden="1">
      <c r="A1449" s="15" t="s">
        <v>3538</v>
      </c>
      <c r="B1449" s="18"/>
      <c r="C1449" s="15" t="s">
        <v>8163</v>
      </c>
      <c r="D1449" s="18"/>
      <c r="E1449" s="17" t="s">
        <v>3539</v>
      </c>
      <c r="F1449" s="18"/>
      <c r="G1449" s="18"/>
      <c r="H1449" s="15" t="s">
        <v>3540</v>
      </c>
      <c r="I1449" s="18"/>
      <c r="J1449" s="33"/>
      <c r="K1449" s="19" t="s">
        <v>2506</v>
      </c>
      <c r="L1449" s="19" t="s">
        <v>38</v>
      </c>
      <c r="M1449" s="20">
        <f t="shared" si="1"/>
        <v>0</v>
      </c>
      <c r="N1449" s="22"/>
      <c r="O1449" s="19" t="s">
        <v>1145</v>
      </c>
      <c r="P1449" s="18"/>
      <c r="Q1449" s="18"/>
      <c r="R1449" s="23">
        <v>0.0</v>
      </c>
      <c r="S1449" s="23">
        <v>0.0</v>
      </c>
      <c r="T1449" s="23">
        <f t="shared" si="2"/>
        <v>0</v>
      </c>
      <c r="U1449" s="23">
        <f t="shared" si="3"/>
        <v>0</v>
      </c>
      <c r="V1449" s="23">
        <f t="shared" si="4"/>
        <v>0</v>
      </c>
      <c r="W1449" s="24" t="str">
        <f t="shared" si="5"/>
        <v>#DIV/0!</v>
      </c>
    </row>
    <row r="1450" hidden="1">
      <c r="A1450" s="15" t="s">
        <v>3541</v>
      </c>
      <c r="B1450" s="18"/>
      <c r="C1450" s="15" t="s">
        <v>8164</v>
      </c>
      <c r="D1450" s="18"/>
      <c r="E1450" s="17" t="s">
        <v>3542</v>
      </c>
      <c r="F1450" s="18"/>
      <c r="G1450" s="18"/>
      <c r="H1450" s="15" t="s">
        <v>3543</v>
      </c>
      <c r="I1450" s="18"/>
      <c r="J1450" s="33"/>
      <c r="K1450" s="19" t="s">
        <v>691</v>
      </c>
      <c r="L1450" s="19" t="s">
        <v>38</v>
      </c>
      <c r="M1450" s="20">
        <f t="shared" si="1"/>
        <v>0</v>
      </c>
      <c r="N1450" s="22"/>
      <c r="O1450" s="19" t="s">
        <v>1145</v>
      </c>
      <c r="P1450" s="18"/>
      <c r="Q1450" s="18"/>
      <c r="R1450" s="23">
        <v>0.0</v>
      </c>
      <c r="S1450" s="23">
        <v>0.0</v>
      </c>
      <c r="T1450" s="23">
        <f t="shared" si="2"/>
        <v>0</v>
      </c>
      <c r="U1450" s="23">
        <f t="shared" si="3"/>
        <v>0</v>
      </c>
      <c r="V1450" s="23">
        <f t="shared" si="4"/>
        <v>0</v>
      </c>
      <c r="W1450" s="24" t="str">
        <f t="shared" si="5"/>
        <v>#DIV/0!</v>
      </c>
    </row>
    <row r="1451">
      <c r="A1451" s="15" t="s">
        <v>943</v>
      </c>
      <c r="B1451" s="18"/>
      <c r="C1451" s="15" t="s">
        <v>6054</v>
      </c>
      <c r="D1451" s="15" t="s">
        <v>944</v>
      </c>
      <c r="E1451" s="17" t="s">
        <v>945</v>
      </c>
      <c r="F1451" s="18"/>
      <c r="G1451" s="18"/>
      <c r="H1451" s="15" t="s">
        <v>946</v>
      </c>
      <c r="I1451" s="18"/>
      <c r="J1451" s="19" t="s">
        <v>59</v>
      </c>
      <c r="K1451" s="19" t="s">
        <v>60</v>
      </c>
      <c r="L1451" s="19" t="s">
        <v>177</v>
      </c>
      <c r="M1451" s="20">
        <f t="shared" si="1"/>
        <v>9306.24</v>
      </c>
      <c r="N1451" s="31">
        <v>3.0</v>
      </c>
      <c r="O1451" s="19" t="s">
        <v>107</v>
      </c>
      <c r="P1451" s="18"/>
      <c r="Q1451" s="18"/>
      <c r="R1451" s="23">
        <v>140.0</v>
      </c>
      <c r="S1451" s="23">
        <v>524.0</v>
      </c>
      <c r="T1451" s="23">
        <f t="shared" si="2"/>
        <v>503.04</v>
      </c>
      <c r="U1451" s="23">
        <f t="shared" si="3"/>
        <v>171.5</v>
      </c>
      <c r="V1451" s="23">
        <f t="shared" si="4"/>
        <v>3215.625</v>
      </c>
      <c r="W1451" s="24">
        <f t="shared" si="5"/>
        <v>3.593142857</v>
      </c>
    </row>
    <row r="1452" hidden="1">
      <c r="A1452" s="15" t="s">
        <v>3544</v>
      </c>
      <c r="B1452" s="18"/>
      <c r="C1452" s="15" t="s">
        <v>8165</v>
      </c>
      <c r="D1452" s="18"/>
      <c r="E1452" s="17" t="s">
        <v>3545</v>
      </c>
      <c r="F1452" s="18"/>
      <c r="G1452" s="18"/>
      <c r="H1452" s="15" t="s">
        <v>3546</v>
      </c>
      <c r="I1452" s="18"/>
      <c r="J1452" s="33"/>
      <c r="K1452" s="19" t="s">
        <v>3521</v>
      </c>
      <c r="L1452" s="19" t="s">
        <v>38</v>
      </c>
      <c r="M1452" s="20">
        <f t="shared" si="1"/>
        <v>0</v>
      </c>
      <c r="N1452" s="22"/>
      <c r="O1452" s="19" t="s">
        <v>1145</v>
      </c>
      <c r="P1452" s="18"/>
      <c r="Q1452" s="18"/>
      <c r="R1452" s="23">
        <v>0.0</v>
      </c>
      <c r="S1452" s="23">
        <v>0.0</v>
      </c>
      <c r="T1452" s="23">
        <f t="shared" si="2"/>
        <v>0</v>
      </c>
      <c r="U1452" s="23">
        <f t="shared" si="3"/>
        <v>0</v>
      </c>
      <c r="V1452" s="23">
        <f t="shared" si="4"/>
        <v>0</v>
      </c>
      <c r="W1452" s="24" t="str">
        <f t="shared" si="5"/>
        <v>#DIV/0!</v>
      </c>
    </row>
    <row r="1453" hidden="1">
      <c r="A1453" s="15" t="s">
        <v>3547</v>
      </c>
      <c r="B1453" s="18"/>
      <c r="C1453" s="15" t="s">
        <v>8166</v>
      </c>
      <c r="D1453" s="18"/>
      <c r="E1453" s="17" t="s">
        <v>3548</v>
      </c>
      <c r="F1453" s="18"/>
      <c r="G1453" s="18"/>
      <c r="H1453" s="15" t="s">
        <v>3549</v>
      </c>
      <c r="I1453" s="15" t="s">
        <v>3550</v>
      </c>
      <c r="J1453" s="33"/>
      <c r="K1453" s="19" t="s">
        <v>2396</v>
      </c>
      <c r="L1453" s="19" t="s">
        <v>38</v>
      </c>
      <c r="M1453" s="20">
        <f t="shared" si="1"/>
        <v>0</v>
      </c>
      <c r="N1453" s="22"/>
      <c r="O1453" s="19" t="s">
        <v>1145</v>
      </c>
      <c r="P1453" s="18"/>
      <c r="Q1453" s="18"/>
      <c r="R1453" s="23">
        <v>0.0</v>
      </c>
      <c r="S1453" s="23">
        <v>0.0</v>
      </c>
      <c r="T1453" s="23">
        <f t="shared" si="2"/>
        <v>0</v>
      </c>
      <c r="U1453" s="23">
        <f t="shared" si="3"/>
        <v>0</v>
      </c>
      <c r="V1453" s="23">
        <f t="shared" si="4"/>
        <v>0</v>
      </c>
      <c r="W1453" s="24" t="str">
        <f t="shared" si="5"/>
        <v>#DIV/0!</v>
      </c>
    </row>
    <row r="1454" hidden="1">
      <c r="A1454" s="15" t="s">
        <v>3551</v>
      </c>
      <c r="B1454" s="18"/>
      <c r="C1454" s="15" t="s">
        <v>8167</v>
      </c>
      <c r="D1454" s="18"/>
      <c r="E1454" s="17" t="s">
        <v>3552</v>
      </c>
      <c r="F1454" s="18"/>
      <c r="G1454" s="18"/>
      <c r="H1454" s="15" t="s">
        <v>3553</v>
      </c>
      <c r="I1454" s="15" t="s">
        <v>3554</v>
      </c>
      <c r="J1454" s="33"/>
      <c r="K1454" s="19" t="s">
        <v>2396</v>
      </c>
      <c r="L1454" s="19" t="s">
        <v>38</v>
      </c>
      <c r="M1454" s="20">
        <f t="shared" si="1"/>
        <v>0</v>
      </c>
      <c r="N1454" s="22"/>
      <c r="O1454" s="19" t="s">
        <v>1145</v>
      </c>
      <c r="P1454" s="18"/>
      <c r="Q1454" s="18"/>
      <c r="R1454" s="23">
        <v>0.0</v>
      </c>
      <c r="S1454" s="23">
        <v>0.0</v>
      </c>
      <c r="T1454" s="23">
        <f t="shared" si="2"/>
        <v>0</v>
      </c>
      <c r="U1454" s="23">
        <f t="shared" si="3"/>
        <v>0</v>
      </c>
      <c r="V1454" s="23">
        <f t="shared" si="4"/>
        <v>0</v>
      </c>
      <c r="W1454" s="24" t="str">
        <f t="shared" si="5"/>
        <v>#DIV/0!</v>
      </c>
    </row>
    <row r="1455" hidden="1">
      <c r="A1455" s="15" t="s">
        <v>3555</v>
      </c>
      <c r="B1455" s="18"/>
      <c r="C1455" s="15" t="s">
        <v>8168</v>
      </c>
      <c r="D1455" s="18"/>
      <c r="E1455" s="17" t="s">
        <v>3556</v>
      </c>
      <c r="F1455" s="18"/>
      <c r="G1455" s="18"/>
      <c r="H1455" s="15" t="s">
        <v>3557</v>
      </c>
      <c r="I1455" s="15" t="s">
        <v>3558</v>
      </c>
      <c r="J1455" s="33"/>
      <c r="K1455" s="19" t="s">
        <v>2396</v>
      </c>
      <c r="L1455" s="19" t="s">
        <v>38</v>
      </c>
      <c r="M1455" s="20">
        <f t="shared" si="1"/>
        <v>0</v>
      </c>
      <c r="N1455" s="22"/>
      <c r="O1455" s="19" t="s">
        <v>1145</v>
      </c>
      <c r="P1455" s="18"/>
      <c r="Q1455" s="18"/>
      <c r="R1455" s="23">
        <v>0.0</v>
      </c>
      <c r="S1455" s="23">
        <v>0.0</v>
      </c>
      <c r="T1455" s="23">
        <f t="shared" si="2"/>
        <v>0</v>
      </c>
      <c r="U1455" s="23">
        <f t="shared" si="3"/>
        <v>0</v>
      </c>
      <c r="V1455" s="23">
        <f t="shared" si="4"/>
        <v>0</v>
      </c>
      <c r="W1455" s="24" t="str">
        <f t="shared" si="5"/>
        <v>#DIV/0!</v>
      </c>
    </row>
    <row r="1456" hidden="1">
      <c r="A1456" s="15" t="s">
        <v>3559</v>
      </c>
      <c r="B1456" s="18"/>
      <c r="C1456" s="15" t="s">
        <v>8169</v>
      </c>
      <c r="D1456" s="18"/>
      <c r="E1456" s="17" t="s">
        <v>3560</v>
      </c>
      <c r="F1456" s="18"/>
      <c r="G1456" s="18"/>
      <c r="H1456" s="15" t="s">
        <v>3561</v>
      </c>
      <c r="I1456" s="15" t="s">
        <v>3562</v>
      </c>
      <c r="J1456" s="33"/>
      <c r="K1456" s="19" t="s">
        <v>2396</v>
      </c>
      <c r="L1456" s="19" t="s">
        <v>38</v>
      </c>
      <c r="M1456" s="20">
        <f t="shared" si="1"/>
        <v>0</v>
      </c>
      <c r="N1456" s="22"/>
      <c r="O1456" s="19" t="s">
        <v>1145</v>
      </c>
      <c r="P1456" s="18"/>
      <c r="Q1456" s="18"/>
      <c r="R1456" s="23">
        <v>0.0</v>
      </c>
      <c r="S1456" s="23">
        <v>0.0</v>
      </c>
      <c r="T1456" s="23">
        <f t="shared" si="2"/>
        <v>0</v>
      </c>
      <c r="U1456" s="23">
        <f t="shared" si="3"/>
        <v>0</v>
      </c>
      <c r="V1456" s="23">
        <f t="shared" si="4"/>
        <v>0</v>
      </c>
      <c r="W1456" s="24" t="str">
        <f t="shared" si="5"/>
        <v>#DIV/0!</v>
      </c>
    </row>
    <row r="1457" hidden="1">
      <c r="A1457" s="15" t="s">
        <v>80</v>
      </c>
      <c r="B1457" s="18"/>
      <c r="C1457" s="18"/>
      <c r="D1457" s="15" t="s">
        <v>81</v>
      </c>
      <c r="E1457" s="17" t="s">
        <v>82</v>
      </c>
      <c r="F1457" s="18"/>
      <c r="G1457" s="18"/>
      <c r="H1457" s="15" t="s">
        <v>83</v>
      </c>
      <c r="I1457" s="18"/>
      <c r="J1457" s="19" t="s">
        <v>59</v>
      </c>
      <c r="K1457" s="19" t="s">
        <v>60</v>
      </c>
      <c r="L1457" s="19" t="s">
        <v>38</v>
      </c>
      <c r="M1457" s="20">
        <f t="shared" si="1"/>
        <v>2504.16</v>
      </c>
      <c r="N1457" s="31">
        <v>2.0</v>
      </c>
      <c r="O1457" s="19" t="s">
        <v>61</v>
      </c>
      <c r="P1457" s="18"/>
      <c r="Q1457" s="18"/>
      <c r="R1457" s="23">
        <v>40.0</v>
      </c>
      <c r="S1457" s="23">
        <v>141.0</v>
      </c>
      <c r="T1457" s="23">
        <f t="shared" si="2"/>
        <v>135.36</v>
      </c>
      <c r="U1457" s="23">
        <f t="shared" si="3"/>
        <v>49</v>
      </c>
      <c r="V1457" s="23">
        <f t="shared" si="4"/>
        <v>918.75</v>
      </c>
      <c r="W1457" s="24">
        <f t="shared" si="5"/>
        <v>3.384</v>
      </c>
    </row>
    <row r="1458">
      <c r="A1458" s="15" t="s">
        <v>877</v>
      </c>
      <c r="B1458" s="18"/>
      <c r="C1458" s="18"/>
      <c r="D1458" s="15" t="s">
        <v>878</v>
      </c>
      <c r="E1458" s="17" t="s">
        <v>879</v>
      </c>
      <c r="F1458" s="18"/>
      <c r="G1458" s="18"/>
      <c r="H1458" s="15" t="s">
        <v>880</v>
      </c>
      <c r="I1458" s="18"/>
      <c r="J1458" s="19" t="s">
        <v>59</v>
      </c>
      <c r="K1458" s="19" t="s">
        <v>60</v>
      </c>
      <c r="L1458" s="19" t="s">
        <v>38</v>
      </c>
      <c r="M1458" s="20">
        <f t="shared" si="1"/>
        <v>4972.8</v>
      </c>
      <c r="N1458" s="31">
        <v>2.0</v>
      </c>
      <c r="O1458" s="19" t="s">
        <v>107</v>
      </c>
      <c r="P1458" s="18"/>
      <c r="Q1458" s="18"/>
      <c r="R1458" s="23">
        <v>68.0</v>
      </c>
      <c r="S1458" s="23">
        <v>280.0</v>
      </c>
      <c r="T1458" s="23">
        <f t="shared" si="2"/>
        <v>268.8</v>
      </c>
      <c r="U1458" s="23">
        <f t="shared" si="3"/>
        <v>83.3</v>
      </c>
      <c r="V1458" s="23">
        <f t="shared" si="4"/>
        <v>1561.875</v>
      </c>
      <c r="W1458" s="24">
        <f t="shared" si="5"/>
        <v>3.952941176</v>
      </c>
    </row>
    <row r="1459">
      <c r="A1459" s="15" t="s">
        <v>881</v>
      </c>
      <c r="B1459" s="18"/>
      <c r="C1459" s="18"/>
      <c r="D1459" s="15" t="s">
        <v>882</v>
      </c>
      <c r="E1459" s="17" t="s">
        <v>883</v>
      </c>
      <c r="F1459" s="18"/>
      <c r="G1459" s="18"/>
      <c r="H1459" s="15" t="s">
        <v>884</v>
      </c>
      <c r="I1459" s="18"/>
      <c r="J1459" s="19" t="s">
        <v>59</v>
      </c>
      <c r="K1459" s="19" t="s">
        <v>60</v>
      </c>
      <c r="L1459" s="19" t="s">
        <v>38</v>
      </c>
      <c r="M1459" s="20">
        <f t="shared" si="1"/>
        <v>3285.6</v>
      </c>
      <c r="N1459" s="31">
        <v>2.0</v>
      </c>
      <c r="O1459" s="19" t="s">
        <v>107</v>
      </c>
      <c r="P1459" s="18"/>
      <c r="Q1459" s="18"/>
      <c r="R1459" s="23">
        <v>45.0</v>
      </c>
      <c r="S1459" s="23">
        <v>185.0</v>
      </c>
      <c r="T1459" s="23">
        <f t="shared" si="2"/>
        <v>177.6</v>
      </c>
      <c r="U1459" s="23">
        <f t="shared" si="3"/>
        <v>55.125</v>
      </c>
      <c r="V1459" s="23">
        <f t="shared" si="4"/>
        <v>1033.59375</v>
      </c>
      <c r="W1459" s="24">
        <f t="shared" si="5"/>
        <v>3.946666667</v>
      </c>
    </row>
    <row r="1460">
      <c r="A1460" s="15" t="s">
        <v>136</v>
      </c>
      <c r="B1460" s="15" t="s">
        <v>137</v>
      </c>
      <c r="C1460" s="18"/>
      <c r="D1460" s="15" t="s">
        <v>138</v>
      </c>
      <c r="E1460" s="17" t="s">
        <v>139</v>
      </c>
      <c r="F1460" s="18"/>
      <c r="G1460" s="15" t="s">
        <v>140</v>
      </c>
      <c r="H1460" s="15" t="s">
        <v>141</v>
      </c>
      <c r="I1460" s="18"/>
      <c r="J1460" s="19" t="s">
        <v>36</v>
      </c>
      <c r="K1460" s="19" t="s">
        <v>60</v>
      </c>
      <c r="L1460" s="19" t="s">
        <v>135</v>
      </c>
      <c r="M1460" s="20">
        <f t="shared" si="1"/>
        <v>1651.68</v>
      </c>
      <c r="N1460" s="31">
        <v>4.0</v>
      </c>
      <c r="O1460" s="19" t="s">
        <v>107</v>
      </c>
      <c r="P1460" s="18"/>
      <c r="Q1460" s="18"/>
      <c r="R1460" s="23">
        <v>4.0</v>
      </c>
      <c r="S1460" s="23">
        <v>93.0</v>
      </c>
      <c r="T1460" s="23">
        <f t="shared" si="2"/>
        <v>89.28</v>
      </c>
      <c r="U1460" s="23">
        <f t="shared" si="3"/>
        <v>4.9</v>
      </c>
      <c r="V1460" s="23">
        <f t="shared" si="4"/>
        <v>91.875</v>
      </c>
      <c r="W1460" s="24">
        <f t="shared" si="5"/>
        <v>22.32</v>
      </c>
    </row>
    <row r="1461">
      <c r="A1461" s="15" t="s">
        <v>891</v>
      </c>
      <c r="B1461" s="45" t="s">
        <v>892</v>
      </c>
      <c r="C1461" s="46"/>
      <c r="D1461" s="45" t="s">
        <v>893</v>
      </c>
      <c r="E1461" s="47" t="s">
        <v>894</v>
      </c>
      <c r="F1461" s="46"/>
      <c r="G1461" s="46"/>
      <c r="H1461" s="45" t="s">
        <v>895</v>
      </c>
      <c r="I1461" s="46"/>
      <c r="J1461" s="48" t="s">
        <v>36</v>
      </c>
      <c r="K1461" s="81"/>
      <c r="L1461" s="48" t="s">
        <v>269</v>
      </c>
      <c r="M1461" s="49">
        <f t="shared" si="1"/>
        <v>10034.4</v>
      </c>
      <c r="N1461" s="31">
        <v>3.0</v>
      </c>
      <c r="O1461" s="48" t="s">
        <v>107</v>
      </c>
      <c r="P1461" s="46"/>
      <c r="Q1461" s="46"/>
      <c r="R1461" s="50">
        <v>140.0</v>
      </c>
      <c r="S1461" s="50">
        <v>565.0</v>
      </c>
      <c r="T1461" s="50">
        <f t="shared" si="2"/>
        <v>542.4</v>
      </c>
      <c r="U1461" s="50">
        <f t="shared" si="3"/>
        <v>171.5</v>
      </c>
      <c r="V1461" s="50">
        <f t="shared" si="4"/>
        <v>3215.625</v>
      </c>
      <c r="W1461" s="82">
        <f t="shared" si="5"/>
        <v>3.874285714</v>
      </c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</row>
    <row r="1462" hidden="1">
      <c r="A1462" s="15" t="s">
        <v>5975</v>
      </c>
      <c r="B1462" s="83" t="s">
        <v>5976</v>
      </c>
      <c r="C1462" s="55" t="s">
        <v>5977</v>
      </c>
      <c r="D1462" s="35" t="s">
        <v>5978</v>
      </c>
      <c r="E1462" s="35" t="s">
        <v>5979</v>
      </c>
      <c r="F1462" s="56"/>
      <c r="G1462" s="56"/>
      <c r="H1462" s="35" t="s">
        <v>5980</v>
      </c>
      <c r="I1462" s="56"/>
      <c r="J1462" s="57" t="s">
        <v>283</v>
      </c>
      <c r="K1462" s="58" t="s">
        <v>4972</v>
      </c>
      <c r="L1462" s="59" t="s">
        <v>38</v>
      </c>
      <c r="M1462" s="60">
        <f t="shared" si="1"/>
        <v>88.8</v>
      </c>
      <c r="N1462" s="22"/>
      <c r="O1462" s="61" t="s">
        <v>3578</v>
      </c>
      <c r="P1462" s="56"/>
      <c r="Q1462" s="56"/>
      <c r="R1462" s="62">
        <v>2.0</v>
      </c>
      <c r="S1462" s="63">
        <v>5.0</v>
      </c>
      <c r="T1462" s="62">
        <f t="shared" si="2"/>
        <v>4.8</v>
      </c>
      <c r="U1462" s="62">
        <f t="shared" si="3"/>
        <v>2.45</v>
      </c>
      <c r="V1462" s="62">
        <f t="shared" si="4"/>
        <v>45.9375</v>
      </c>
      <c r="W1462" s="84">
        <f t="shared" si="5"/>
        <v>2.4</v>
      </c>
    </row>
    <row r="1463" hidden="1">
      <c r="A1463" s="15" t="s">
        <v>5981</v>
      </c>
      <c r="B1463" s="83" t="s">
        <v>5982</v>
      </c>
      <c r="C1463" s="15" t="s">
        <v>5983</v>
      </c>
      <c r="D1463" s="15" t="s">
        <v>5984</v>
      </c>
      <c r="E1463" s="17" t="s">
        <v>5985</v>
      </c>
      <c r="F1463" s="18"/>
      <c r="G1463" s="18"/>
      <c r="H1463" s="15" t="s">
        <v>5986</v>
      </c>
      <c r="I1463" s="18"/>
      <c r="J1463" s="19" t="s">
        <v>283</v>
      </c>
      <c r="K1463" s="19" t="s">
        <v>4972</v>
      </c>
      <c r="L1463" s="19" t="s">
        <v>135</v>
      </c>
      <c r="M1463" s="20">
        <f t="shared" si="1"/>
        <v>337.44</v>
      </c>
      <c r="N1463" s="22"/>
      <c r="O1463" s="19" t="s">
        <v>3578</v>
      </c>
      <c r="P1463" s="18"/>
      <c r="Q1463" s="18"/>
      <c r="R1463" s="23">
        <v>24.0</v>
      </c>
      <c r="S1463" s="23">
        <v>19.0</v>
      </c>
      <c r="T1463" s="23">
        <f t="shared" si="2"/>
        <v>18.24</v>
      </c>
      <c r="U1463" s="23">
        <f t="shared" si="3"/>
        <v>29.4</v>
      </c>
      <c r="V1463" s="23">
        <f t="shared" si="4"/>
        <v>551.25</v>
      </c>
      <c r="W1463" s="24">
        <f t="shared" si="5"/>
        <v>0.76</v>
      </c>
    </row>
    <row r="1464" hidden="1">
      <c r="A1464" s="15" t="s">
        <v>5954</v>
      </c>
      <c r="B1464" s="83" t="s">
        <v>5955</v>
      </c>
      <c r="C1464" s="15" t="s">
        <v>5983</v>
      </c>
      <c r="D1464" s="15" t="s">
        <v>5956</v>
      </c>
      <c r="E1464" s="17" t="s">
        <v>5957</v>
      </c>
      <c r="F1464" s="18"/>
      <c r="G1464" s="18"/>
      <c r="H1464" s="15" t="s">
        <v>5958</v>
      </c>
      <c r="I1464" s="18"/>
      <c r="J1464" s="19" t="s">
        <v>283</v>
      </c>
      <c r="K1464" s="19" t="s">
        <v>4972</v>
      </c>
      <c r="L1464" s="19" t="s">
        <v>135</v>
      </c>
      <c r="M1464" s="20">
        <f t="shared" si="1"/>
        <v>337.44</v>
      </c>
      <c r="N1464" s="22"/>
      <c r="O1464" s="19" t="s">
        <v>3578</v>
      </c>
      <c r="P1464" s="18"/>
      <c r="Q1464" s="18"/>
      <c r="R1464" s="23">
        <v>7.0</v>
      </c>
      <c r="S1464" s="23">
        <v>19.0</v>
      </c>
      <c r="T1464" s="23">
        <f t="shared" si="2"/>
        <v>18.24</v>
      </c>
      <c r="U1464" s="23">
        <f t="shared" si="3"/>
        <v>8.575</v>
      </c>
      <c r="V1464" s="23">
        <f t="shared" si="4"/>
        <v>160.78125</v>
      </c>
      <c r="W1464" s="24">
        <f t="shared" si="5"/>
        <v>2.605714286</v>
      </c>
    </row>
    <row r="1465" hidden="1">
      <c r="A1465" s="15" t="s">
        <v>5959</v>
      </c>
      <c r="B1465" s="83" t="s">
        <v>5960</v>
      </c>
      <c r="C1465" s="15" t="s">
        <v>5983</v>
      </c>
      <c r="D1465" s="15" t="s">
        <v>5961</v>
      </c>
      <c r="E1465" s="17" t="s">
        <v>5962</v>
      </c>
      <c r="F1465" s="18"/>
      <c r="G1465" s="18"/>
      <c r="H1465" s="15" t="s">
        <v>5963</v>
      </c>
      <c r="I1465" s="18"/>
      <c r="J1465" s="19" t="s">
        <v>283</v>
      </c>
      <c r="K1465" s="19" t="s">
        <v>4972</v>
      </c>
      <c r="L1465" s="19" t="s">
        <v>135</v>
      </c>
      <c r="M1465" s="20">
        <f t="shared" si="1"/>
        <v>337.44</v>
      </c>
      <c r="N1465" s="22"/>
      <c r="O1465" s="19" t="s">
        <v>3578</v>
      </c>
      <c r="P1465" s="18"/>
      <c r="Q1465" s="18"/>
      <c r="R1465" s="23">
        <v>7.0</v>
      </c>
      <c r="S1465" s="23">
        <v>19.0</v>
      </c>
      <c r="T1465" s="23">
        <f t="shared" si="2"/>
        <v>18.24</v>
      </c>
      <c r="U1465" s="23">
        <f t="shared" si="3"/>
        <v>8.575</v>
      </c>
      <c r="V1465" s="23">
        <f t="shared" si="4"/>
        <v>160.78125</v>
      </c>
      <c r="W1465" s="24">
        <f t="shared" si="5"/>
        <v>2.605714286</v>
      </c>
    </row>
    <row r="1466" hidden="1">
      <c r="A1466" s="15" t="s">
        <v>5964</v>
      </c>
      <c r="B1466" s="35" t="s">
        <v>5965</v>
      </c>
      <c r="C1466" s="15" t="s">
        <v>5983</v>
      </c>
      <c r="D1466" s="15" t="s">
        <v>5966</v>
      </c>
      <c r="E1466" s="17" t="s">
        <v>5967</v>
      </c>
      <c r="F1466" s="18"/>
      <c r="G1466" s="18"/>
      <c r="H1466" s="15" t="s">
        <v>5968</v>
      </c>
      <c r="I1466" s="18"/>
      <c r="J1466" s="19" t="s">
        <v>283</v>
      </c>
      <c r="K1466" s="19" t="s">
        <v>4972</v>
      </c>
      <c r="L1466" s="19" t="s">
        <v>135</v>
      </c>
      <c r="M1466" s="20">
        <f t="shared" si="1"/>
        <v>337.44</v>
      </c>
      <c r="N1466" s="22"/>
      <c r="O1466" s="19" t="s">
        <v>3578</v>
      </c>
      <c r="P1466" s="18"/>
      <c r="Q1466" s="18"/>
      <c r="R1466" s="23">
        <v>7.0</v>
      </c>
      <c r="S1466" s="23">
        <v>19.0</v>
      </c>
      <c r="T1466" s="23">
        <f t="shared" si="2"/>
        <v>18.24</v>
      </c>
      <c r="U1466" s="23">
        <f t="shared" si="3"/>
        <v>8.575</v>
      </c>
      <c r="V1466" s="23">
        <f t="shared" si="4"/>
        <v>160.78125</v>
      </c>
      <c r="W1466" s="24">
        <f t="shared" si="5"/>
        <v>2.605714286</v>
      </c>
    </row>
    <row r="1467">
      <c r="A1467" s="15" t="s">
        <v>996</v>
      </c>
      <c r="B1467" s="45" t="s">
        <v>997</v>
      </c>
      <c r="C1467" s="18"/>
      <c r="D1467" s="15" t="s">
        <v>998</v>
      </c>
      <c r="E1467" s="17" t="s">
        <v>999</v>
      </c>
      <c r="F1467" s="18"/>
      <c r="G1467" s="15" t="s">
        <v>1000</v>
      </c>
      <c r="H1467" s="15" t="s">
        <v>1001</v>
      </c>
      <c r="I1467" s="18"/>
      <c r="J1467" s="19" t="s">
        <v>1002</v>
      </c>
      <c r="K1467" s="19" t="s">
        <v>114</v>
      </c>
      <c r="L1467" s="19" t="s">
        <v>115</v>
      </c>
      <c r="M1467" s="20">
        <f t="shared" si="1"/>
        <v>0</v>
      </c>
      <c r="N1467" s="31">
        <v>6.0</v>
      </c>
      <c r="O1467" s="19" t="s">
        <v>107</v>
      </c>
      <c r="P1467" s="18"/>
      <c r="Q1467" s="18"/>
      <c r="R1467" s="23">
        <v>0.0</v>
      </c>
      <c r="S1467" s="23">
        <v>0.0</v>
      </c>
      <c r="T1467" s="23">
        <f t="shared" si="2"/>
        <v>0</v>
      </c>
      <c r="U1467" s="23">
        <f t="shared" si="3"/>
        <v>0</v>
      </c>
      <c r="V1467" s="23">
        <f t="shared" si="4"/>
        <v>0</v>
      </c>
      <c r="W1467" s="24" t="str">
        <f t="shared" si="5"/>
        <v>#DIV/0!</v>
      </c>
    </row>
    <row r="1468" hidden="1">
      <c r="A1468" s="15" t="s">
        <v>5336</v>
      </c>
      <c r="B1468" s="83" t="s">
        <v>5337</v>
      </c>
      <c r="C1468" s="15" t="s">
        <v>7317</v>
      </c>
      <c r="D1468" s="15" t="s">
        <v>5338</v>
      </c>
      <c r="E1468" s="17" t="s">
        <v>5339</v>
      </c>
      <c r="F1468" s="18"/>
      <c r="G1468" s="18"/>
      <c r="H1468" s="15" t="s">
        <v>5340</v>
      </c>
      <c r="I1468" s="18"/>
      <c r="J1468" s="19" t="s">
        <v>283</v>
      </c>
      <c r="K1468" s="19" t="s">
        <v>4972</v>
      </c>
      <c r="L1468" s="19" t="s">
        <v>38</v>
      </c>
      <c r="M1468" s="20">
        <f t="shared" si="1"/>
        <v>355.2</v>
      </c>
      <c r="N1468" s="22"/>
      <c r="O1468" s="19" t="s">
        <v>3578</v>
      </c>
      <c r="P1468" s="18"/>
      <c r="Q1468" s="18"/>
      <c r="R1468" s="23">
        <v>0.0</v>
      </c>
      <c r="S1468" s="23">
        <v>20.0</v>
      </c>
      <c r="T1468" s="23">
        <f t="shared" si="2"/>
        <v>19.2</v>
      </c>
      <c r="U1468" s="23">
        <f t="shared" si="3"/>
        <v>0</v>
      </c>
      <c r="V1468" s="23">
        <f t="shared" si="4"/>
        <v>0</v>
      </c>
      <c r="W1468" s="24" t="str">
        <f t="shared" si="5"/>
        <v>#DIV/0!</v>
      </c>
    </row>
    <row r="1469" hidden="1">
      <c r="A1469" s="15" t="s">
        <v>5341</v>
      </c>
      <c r="B1469" s="83" t="s">
        <v>5342</v>
      </c>
      <c r="C1469" s="15" t="s">
        <v>7317</v>
      </c>
      <c r="D1469" s="15" t="s">
        <v>5343</v>
      </c>
      <c r="E1469" s="17" t="s">
        <v>5344</v>
      </c>
      <c r="F1469" s="18"/>
      <c r="G1469" s="18"/>
      <c r="H1469" s="15" t="s">
        <v>5345</v>
      </c>
      <c r="I1469" s="18"/>
      <c r="J1469" s="19" t="s">
        <v>283</v>
      </c>
      <c r="K1469" s="19" t="s">
        <v>4972</v>
      </c>
      <c r="L1469" s="19" t="s">
        <v>38</v>
      </c>
      <c r="M1469" s="20">
        <f t="shared" si="1"/>
        <v>532.8</v>
      </c>
      <c r="N1469" s="22"/>
      <c r="O1469" s="19" t="s">
        <v>3578</v>
      </c>
      <c r="P1469" s="18"/>
      <c r="Q1469" s="18"/>
      <c r="R1469" s="23">
        <v>0.0</v>
      </c>
      <c r="S1469" s="23">
        <v>30.0</v>
      </c>
      <c r="T1469" s="23">
        <f t="shared" si="2"/>
        <v>28.8</v>
      </c>
      <c r="U1469" s="23">
        <f t="shared" si="3"/>
        <v>0</v>
      </c>
      <c r="V1469" s="23">
        <f t="shared" si="4"/>
        <v>0</v>
      </c>
      <c r="W1469" s="24" t="str">
        <f t="shared" si="5"/>
        <v>#DIV/0!</v>
      </c>
    </row>
    <row r="1470">
      <c r="A1470" s="15" t="s">
        <v>416</v>
      </c>
      <c r="B1470" s="83" t="s">
        <v>417</v>
      </c>
      <c r="C1470" s="15" t="s">
        <v>6100</v>
      </c>
      <c r="D1470" s="15" t="s">
        <v>418</v>
      </c>
      <c r="E1470" s="17" t="s">
        <v>419</v>
      </c>
      <c r="F1470" s="18"/>
      <c r="G1470" s="15" t="s">
        <v>164</v>
      </c>
      <c r="H1470" s="15" t="s">
        <v>420</v>
      </c>
      <c r="I1470" s="15" t="s">
        <v>421</v>
      </c>
      <c r="J1470" s="19" t="s">
        <v>104</v>
      </c>
      <c r="K1470" s="19" t="s">
        <v>160</v>
      </c>
      <c r="L1470" s="19" t="s">
        <v>106</v>
      </c>
      <c r="M1470" s="20">
        <f t="shared" si="1"/>
        <v>1918.08</v>
      </c>
      <c r="N1470" s="31">
        <v>12.0</v>
      </c>
      <c r="O1470" s="19" t="s">
        <v>107</v>
      </c>
      <c r="P1470" s="18"/>
      <c r="Q1470" s="18"/>
      <c r="R1470" s="23">
        <v>15.0</v>
      </c>
      <c r="S1470" s="23">
        <v>108.0</v>
      </c>
      <c r="T1470" s="23">
        <f t="shared" si="2"/>
        <v>103.68</v>
      </c>
      <c r="U1470" s="23">
        <f t="shared" si="3"/>
        <v>18.375</v>
      </c>
      <c r="V1470" s="23">
        <f t="shared" si="4"/>
        <v>344.53125</v>
      </c>
      <c r="W1470" s="24">
        <f t="shared" si="5"/>
        <v>6.912</v>
      </c>
    </row>
    <row r="1471" hidden="1">
      <c r="A1471" s="15" t="s">
        <v>5346</v>
      </c>
      <c r="B1471" s="15" t="s">
        <v>5347</v>
      </c>
      <c r="C1471" s="18"/>
      <c r="D1471" s="15" t="s">
        <v>5348</v>
      </c>
      <c r="E1471" s="17" t="s">
        <v>5349</v>
      </c>
      <c r="F1471" s="18"/>
      <c r="G1471" s="18"/>
      <c r="H1471" s="15" t="s">
        <v>5350</v>
      </c>
      <c r="I1471" s="18"/>
      <c r="J1471" s="19" t="s">
        <v>59</v>
      </c>
      <c r="K1471" s="19" t="s">
        <v>52</v>
      </c>
      <c r="L1471" s="19" t="s">
        <v>84</v>
      </c>
      <c r="M1471" s="20">
        <f t="shared" si="1"/>
        <v>0</v>
      </c>
      <c r="N1471" s="22"/>
      <c r="O1471" s="19" t="s">
        <v>3578</v>
      </c>
      <c r="P1471" s="18"/>
      <c r="Q1471" s="18"/>
      <c r="R1471" s="23">
        <v>0.0</v>
      </c>
      <c r="S1471" s="23">
        <v>0.0</v>
      </c>
      <c r="T1471" s="23">
        <f t="shared" si="2"/>
        <v>0</v>
      </c>
      <c r="U1471" s="23">
        <f t="shared" si="3"/>
        <v>0</v>
      </c>
      <c r="V1471" s="23">
        <f t="shared" si="4"/>
        <v>0</v>
      </c>
      <c r="W1471" s="24" t="str">
        <f t="shared" si="5"/>
        <v>#DIV/0!</v>
      </c>
    </row>
    <row r="1472" hidden="1">
      <c r="A1472" s="15" t="s">
        <v>5351</v>
      </c>
      <c r="B1472" s="15" t="s">
        <v>5352</v>
      </c>
      <c r="C1472" s="18"/>
      <c r="D1472" s="15" t="s">
        <v>5353</v>
      </c>
      <c r="E1472" s="17" t="s">
        <v>5354</v>
      </c>
      <c r="F1472" s="18"/>
      <c r="G1472" s="18"/>
      <c r="H1472" s="15" t="s">
        <v>5355</v>
      </c>
      <c r="I1472" s="18"/>
      <c r="J1472" s="33"/>
      <c r="K1472" s="33"/>
      <c r="L1472" s="19" t="s">
        <v>38</v>
      </c>
      <c r="M1472" s="20">
        <f t="shared" si="1"/>
        <v>0</v>
      </c>
      <c r="N1472" s="22"/>
      <c r="O1472" s="19" t="s">
        <v>3578</v>
      </c>
      <c r="P1472" s="18"/>
      <c r="Q1472" s="18"/>
      <c r="R1472" s="23">
        <v>0.0</v>
      </c>
      <c r="S1472" s="23">
        <v>0.0</v>
      </c>
      <c r="T1472" s="23">
        <f t="shared" si="2"/>
        <v>0</v>
      </c>
      <c r="U1472" s="23">
        <f t="shared" si="3"/>
        <v>0</v>
      </c>
      <c r="V1472" s="23">
        <f t="shared" si="4"/>
        <v>0</v>
      </c>
      <c r="W1472" s="24" t="str">
        <f t="shared" si="5"/>
        <v>#DIV/0!</v>
      </c>
    </row>
    <row r="1473" hidden="1">
      <c r="A1473" s="15" t="s">
        <v>8170</v>
      </c>
      <c r="B1473" s="18"/>
      <c r="C1473" s="18"/>
      <c r="D1473" s="18"/>
      <c r="E1473" s="17" t="s">
        <v>8171</v>
      </c>
      <c r="F1473" s="18"/>
      <c r="G1473" s="18"/>
      <c r="H1473" s="15" t="s">
        <v>4685</v>
      </c>
      <c r="I1473" s="18"/>
      <c r="J1473" s="19" t="s">
        <v>104</v>
      </c>
      <c r="K1473" s="19" t="s">
        <v>52</v>
      </c>
      <c r="L1473" s="19" t="s">
        <v>52</v>
      </c>
      <c r="M1473" s="20">
        <f t="shared" si="1"/>
        <v>0</v>
      </c>
      <c r="N1473" s="22"/>
      <c r="O1473" s="19" t="s">
        <v>3578</v>
      </c>
      <c r="P1473" s="18"/>
      <c r="Q1473" s="18"/>
      <c r="R1473" s="23">
        <v>0.0</v>
      </c>
      <c r="S1473" s="23">
        <v>0.0</v>
      </c>
      <c r="T1473" s="23">
        <f t="shared" si="2"/>
        <v>0</v>
      </c>
      <c r="U1473" s="23">
        <f t="shared" si="3"/>
        <v>0</v>
      </c>
      <c r="V1473" s="23">
        <f t="shared" si="4"/>
        <v>0</v>
      </c>
      <c r="W1473" s="24" t="str">
        <f t="shared" si="5"/>
        <v>#DIV/0!</v>
      </c>
    </row>
    <row r="1474" hidden="1">
      <c r="A1474" s="15" t="s">
        <v>5357</v>
      </c>
      <c r="B1474" s="15" t="s">
        <v>5358</v>
      </c>
      <c r="C1474" s="18"/>
      <c r="D1474" s="18"/>
      <c r="E1474" s="17" t="s">
        <v>5359</v>
      </c>
      <c r="F1474" s="18"/>
      <c r="G1474" s="18"/>
      <c r="H1474" s="18"/>
      <c r="I1474" s="18"/>
      <c r="J1474" s="19" t="s">
        <v>104</v>
      </c>
      <c r="K1474" s="19" t="s">
        <v>717</v>
      </c>
      <c r="L1474" s="19" t="s">
        <v>106</v>
      </c>
      <c r="M1474" s="20">
        <f t="shared" si="1"/>
        <v>0</v>
      </c>
      <c r="N1474" s="22"/>
      <c r="O1474" s="19" t="s">
        <v>3578</v>
      </c>
      <c r="P1474" s="18"/>
      <c r="Q1474" s="18"/>
      <c r="R1474" s="23">
        <v>0.0</v>
      </c>
      <c r="S1474" s="23">
        <v>0.0</v>
      </c>
      <c r="T1474" s="23">
        <f t="shared" si="2"/>
        <v>0</v>
      </c>
      <c r="U1474" s="23">
        <f t="shared" si="3"/>
        <v>0</v>
      </c>
      <c r="V1474" s="23">
        <f t="shared" si="4"/>
        <v>0</v>
      </c>
      <c r="W1474" s="24" t="str">
        <f t="shared" si="5"/>
        <v>#DIV/0!</v>
      </c>
    </row>
    <row r="1475">
      <c r="A1475" s="15" t="s">
        <v>1003</v>
      </c>
      <c r="B1475" s="15" t="s">
        <v>1004</v>
      </c>
      <c r="C1475" s="15" t="s">
        <v>1131</v>
      </c>
      <c r="D1475" s="15" t="s">
        <v>1005</v>
      </c>
      <c r="E1475" s="17" t="s">
        <v>8172</v>
      </c>
      <c r="F1475" s="18"/>
      <c r="G1475" s="15" t="s">
        <v>1007</v>
      </c>
      <c r="H1475" s="15"/>
      <c r="I1475" s="18"/>
      <c r="J1475" s="19" t="s">
        <v>104</v>
      </c>
      <c r="K1475" s="19" t="s">
        <v>160</v>
      </c>
      <c r="L1475" s="19" t="s">
        <v>106</v>
      </c>
      <c r="M1475" s="20">
        <f t="shared" si="1"/>
        <v>3374.4</v>
      </c>
      <c r="N1475" s="31">
        <v>2.0</v>
      </c>
      <c r="O1475" s="19" t="s">
        <v>107</v>
      </c>
      <c r="P1475" s="18"/>
      <c r="Q1475" s="18"/>
      <c r="R1475" s="23">
        <v>54.0</v>
      </c>
      <c r="S1475" s="23">
        <v>190.0</v>
      </c>
      <c r="T1475" s="23">
        <f t="shared" si="2"/>
        <v>182.4</v>
      </c>
      <c r="U1475" s="23">
        <f t="shared" si="3"/>
        <v>66.15</v>
      </c>
      <c r="V1475" s="23">
        <f t="shared" si="4"/>
        <v>1240.3125</v>
      </c>
      <c r="W1475" s="24">
        <f t="shared" si="5"/>
        <v>3.377777778</v>
      </c>
    </row>
    <row r="1476" hidden="1">
      <c r="A1476" s="15" t="s">
        <v>5360</v>
      </c>
      <c r="B1476" s="15" t="s">
        <v>5361</v>
      </c>
      <c r="C1476" s="18"/>
      <c r="D1476" s="18"/>
      <c r="E1476" s="17" t="s">
        <v>5362</v>
      </c>
      <c r="F1476" s="18"/>
      <c r="G1476" s="18"/>
      <c r="H1476" s="18"/>
      <c r="I1476" s="18"/>
      <c r="J1476" s="19" t="s">
        <v>104</v>
      </c>
      <c r="K1476" s="19" t="s">
        <v>160</v>
      </c>
      <c r="L1476" s="19" t="s">
        <v>106</v>
      </c>
      <c r="M1476" s="20">
        <f t="shared" si="1"/>
        <v>0</v>
      </c>
      <c r="N1476" s="22"/>
      <c r="O1476" s="19" t="s">
        <v>3578</v>
      </c>
      <c r="P1476" s="18"/>
      <c r="Q1476" s="18"/>
      <c r="R1476" s="23">
        <v>0.0</v>
      </c>
      <c r="S1476" s="23">
        <v>0.0</v>
      </c>
      <c r="T1476" s="23">
        <f t="shared" si="2"/>
        <v>0</v>
      </c>
      <c r="U1476" s="23">
        <f t="shared" si="3"/>
        <v>0</v>
      </c>
      <c r="V1476" s="23">
        <f t="shared" si="4"/>
        <v>0</v>
      </c>
      <c r="W1476" s="24" t="str">
        <f t="shared" si="5"/>
        <v>#DIV/0!</v>
      </c>
    </row>
    <row r="1477" hidden="1">
      <c r="A1477" s="15" t="s">
        <v>5363</v>
      </c>
      <c r="B1477" s="15" t="s">
        <v>5364</v>
      </c>
      <c r="C1477" s="18"/>
      <c r="D1477" s="15" t="s">
        <v>5365</v>
      </c>
      <c r="E1477" s="17" t="s">
        <v>5366</v>
      </c>
      <c r="F1477" s="18"/>
      <c r="G1477" s="18"/>
      <c r="H1477" s="15" t="s">
        <v>5367</v>
      </c>
      <c r="I1477" s="18"/>
      <c r="J1477" s="19" t="s">
        <v>59</v>
      </c>
      <c r="K1477" s="33"/>
      <c r="L1477" s="19" t="s">
        <v>38</v>
      </c>
      <c r="M1477" s="20">
        <f t="shared" si="1"/>
        <v>0</v>
      </c>
      <c r="N1477" s="22"/>
      <c r="O1477" s="19" t="s">
        <v>3578</v>
      </c>
      <c r="P1477" s="18"/>
      <c r="Q1477" s="18"/>
      <c r="R1477" s="23">
        <v>0.0</v>
      </c>
      <c r="S1477" s="23">
        <v>0.0</v>
      </c>
      <c r="T1477" s="23">
        <f t="shared" si="2"/>
        <v>0</v>
      </c>
      <c r="U1477" s="23">
        <f t="shared" si="3"/>
        <v>0</v>
      </c>
      <c r="V1477" s="23">
        <f t="shared" si="4"/>
        <v>0</v>
      </c>
      <c r="W1477" s="24" t="str">
        <f t="shared" si="5"/>
        <v>#DIV/0!</v>
      </c>
    </row>
    <row r="1478" hidden="1">
      <c r="A1478" s="15" t="s">
        <v>5368</v>
      </c>
      <c r="B1478" s="15" t="s">
        <v>5369</v>
      </c>
      <c r="C1478" s="18"/>
      <c r="D1478" s="15" t="s">
        <v>5370</v>
      </c>
      <c r="E1478" s="17" t="s">
        <v>5371</v>
      </c>
      <c r="F1478" s="18"/>
      <c r="G1478" s="18"/>
      <c r="H1478" s="15" t="s">
        <v>2898</v>
      </c>
      <c r="I1478" s="18"/>
      <c r="J1478" s="19" t="s">
        <v>59</v>
      </c>
      <c r="K1478" s="33"/>
      <c r="L1478" s="19" t="s">
        <v>38</v>
      </c>
      <c r="M1478" s="20">
        <f t="shared" si="1"/>
        <v>0</v>
      </c>
      <c r="N1478" s="22"/>
      <c r="O1478" s="19" t="s">
        <v>3578</v>
      </c>
      <c r="P1478" s="18"/>
      <c r="Q1478" s="18"/>
      <c r="R1478" s="23">
        <v>0.0</v>
      </c>
      <c r="S1478" s="23">
        <v>0.0</v>
      </c>
      <c r="T1478" s="23">
        <f t="shared" si="2"/>
        <v>0</v>
      </c>
      <c r="U1478" s="23">
        <f t="shared" si="3"/>
        <v>0</v>
      </c>
      <c r="V1478" s="23">
        <f t="shared" si="4"/>
        <v>0</v>
      </c>
      <c r="W1478" s="24" t="str">
        <f t="shared" si="5"/>
        <v>#DIV/0!</v>
      </c>
    </row>
    <row r="1479" hidden="1">
      <c r="A1479" s="15" t="s">
        <v>5372</v>
      </c>
      <c r="B1479" s="15" t="s">
        <v>5373</v>
      </c>
      <c r="C1479" s="18"/>
      <c r="D1479" s="15" t="s">
        <v>5374</v>
      </c>
      <c r="E1479" s="17" t="s">
        <v>5375</v>
      </c>
      <c r="F1479" s="18"/>
      <c r="G1479" s="18"/>
      <c r="H1479" s="15" t="s">
        <v>5376</v>
      </c>
      <c r="I1479" s="18"/>
      <c r="J1479" s="19" t="s">
        <v>59</v>
      </c>
      <c r="K1479" s="33"/>
      <c r="L1479" s="19" t="s">
        <v>38</v>
      </c>
      <c r="M1479" s="20">
        <f t="shared" si="1"/>
        <v>0</v>
      </c>
      <c r="N1479" s="22"/>
      <c r="O1479" s="19" t="s">
        <v>3578</v>
      </c>
      <c r="P1479" s="18"/>
      <c r="Q1479" s="18"/>
      <c r="R1479" s="23">
        <v>0.0</v>
      </c>
      <c r="S1479" s="23">
        <v>0.0</v>
      </c>
      <c r="T1479" s="23">
        <f t="shared" si="2"/>
        <v>0</v>
      </c>
      <c r="U1479" s="23">
        <f t="shared" si="3"/>
        <v>0</v>
      </c>
      <c r="V1479" s="23">
        <f t="shared" si="4"/>
        <v>0</v>
      </c>
      <c r="W1479" s="24" t="str">
        <f t="shared" si="5"/>
        <v>#DIV/0!</v>
      </c>
    </row>
    <row r="1480" hidden="1">
      <c r="A1480" s="15" t="s">
        <v>5377</v>
      </c>
      <c r="B1480" s="15" t="s">
        <v>5378</v>
      </c>
      <c r="C1480" s="18"/>
      <c r="D1480" s="15" t="s">
        <v>5379</v>
      </c>
      <c r="E1480" s="17" t="s">
        <v>5380</v>
      </c>
      <c r="F1480" s="18"/>
      <c r="G1480" s="18"/>
      <c r="H1480" s="15" t="s">
        <v>5381</v>
      </c>
      <c r="I1480" s="18"/>
      <c r="J1480" s="19" t="s">
        <v>36</v>
      </c>
      <c r="K1480" s="33"/>
      <c r="L1480" s="19" t="s">
        <v>38</v>
      </c>
      <c r="M1480" s="20">
        <f t="shared" si="1"/>
        <v>0</v>
      </c>
      <c r="N1480" s="22"/>
      <c r="O1480" s="19" t="s">
        <v>3578</v>
      </c>
      <c r="P1480" s="18"/>
      <c r="Q1480" s="18"/>
      <c r="R1480" s="23">
        <v>0.0</v>
      </c>
      <c r="S1480" s="23">
        <v>0.0</v>
      </c>
      <c r="T1480" s="23">
        <f t="shared" si="2"/>
        <v>0</v>
      </c>
      <c r="U1480" s="23">
        <f t="shared" si="3"/>
        <v>0</v>
      </c>
      <c r="V1480" s="23">
        <f t="shared" si="4"/>
        <v>0</v>
      </c>
      <c r="W1480" s="24" t="str">
        <f t="shared" si="5"/>
        <v>#DIV/0!</v>
      </c>
    </row>
    <row r="1481" hidden="1">
      <c r="A1481" s="15" t="s">
        <v>5382</v>
      </c>
      <c r="B1481" s="15" t="s">
        <v>5383</v>
      </c>
      <c r="C1481" s="18"/>
      <c r="D1481" s="15" t="s">
        <v>4315</v>
      </c>
      <c r="E1481" s="17" t="s">
        <v>192</v>
      </c>
      <c r="F1481" s="18"/>
      <c r="G1481" s="18"/>
      <c r="H1481" s="15" t="s">
        <v>5384</v>
      </c>
      <c r="I1481" s="18"/>
      <c r="J1481" s="19" t="s">
        <v>36</v>
      </c>
      <c r="K1481" s="33"/>
      <c r="L1481" s="19" t="s">
        <v>38</v>
      </c>
      <c r="M1481" s="20">
        <f t="shared" si="1"/>
        <v>0</v>
      </c>
      <c r="N1481" s="22"/>
      <c r="O1481" s="19" t="s">
        <v>3578</v>
      </c>
      <c r="P1481" s="18"/>
      <c r="Q1481" s="18"/>
      <c r="R1481" s="23">
        <v>0.0</v>
      </c>
      <c r="S1481" s="23">
        <v>0.0</v>
      </c>
      <c r="T1481" s="23">
        <f t="shared" si="2"/>
        <v>0</v>
      </c>
      <c r="U1481" s="23">
        <f t="shared" si="3"/>
        <v>0</v>
      </c>
      <c r="V1481" s="23">
        <f t="shared" si="4"/>
        <v>0</v>
      </c>
      <c r="W1481" s="24" t="str">
        <f t="shared" si="5"/>
        <v>#DIV/0!</v>
      </c>
    </row>
    <row r="1482" hidden="1">
      <c r="A1482" s="15" t="s">
        <v>5385</v>
      </c>
      <c r="B1482" s="15" t="s">
        <v>5386</v>
      </c>
      <c r="C1482" s="18"/>
      <c r="D1482" s="15" t="s">
        <v>5387</v>
      </c>
      <c r="E1482" s="17" t="s">
        <v>5388</v>
      </c>
      <c r="F1482" s="18"/>
      <c r="G1482" s="18"/>
      <c r="H1482" s="18"/>
      <c r="I1482" s="18"/>
      <c r="J1482" s="19" t="s">
        <v>36</v>
      </c>
      <c r="K1482" s="33"/>
      <c r="L1482" s="19" t="s">
        <v>38</v>
      </c>
      <c r="M1482" s="20">
        <f t="shared" si="1"/>
        <v>0</v>
      </c>
      <c r="N1482" s="22"/>
      <c r="O1482" s="19" t="s">
        <v>3578</v>
      </c>
      <c r="P1482" s="18"/>
      <c r="Q1482" s="18"/>
      <c r="R1482" s="23">
        <v>0.0</v>
      </c>
      <c r="S1482" s="23">
        <v>0.0</v>
      </c>
      <c r="T1482" s="23">
        <f t="shared" si="2"/>
        <v>0</v>
      </c>
      <c r="U1482" s="23">
        <f t="shared" si="3"/>
        <v>0</v>
      </c>
      <c r="V1482" s="23">
        <f t="shared" si="4"/>
        <v>0</v>
      </c>
      <c r="W1482" s="24" t="str">
        <f t="shared" si="5"/>
        <v>#DIV/0!</v>
      </c>
    </row>
    <row r="1483" hidden="1">
      <c r="A1483" s="15" t="s">
        <v>5389</v>
      </c>
      <c r="B1483" s="15" t="s">
        <v>5390</v>
      </c>
      <c r="C1483" s="18"/>
      <c r="D1483" s="18"/>
      <c r="E1483" s="17" t="s">
        <v>5391</v>
      </c>
      <c r="F1483" s="18"/>
      <c r="G1483" s="18"/>
      <c r="H1483" s="15" t="s">
        <v>5392</v>
      </c>
      <c r="I1483" s="18"/>
      <c r="J1483" s="19" t="s">
        <v>36</v>
      </c>
      <c r="K1483" s="33"/>
      <c r="L1483" s="19" t="s">
        <v>38</v>
      </c>
      <c r="M1483" s="20">
        <f t="shared" si="1"/>
        <v>0</v>
      </c>
      <c r="N1483" s="22"/>
      <c r="O1483" s="19" t="s">
        <v>3578</v>
      </c>
      <c r="P1483" s="18"/>
      <c r="Q1483" s="18"/>
      <c r="R1483" s="23">
        <v>0.0</v>
      </c>
      <c r="S1483" s="23">
        <v>0.0</v>
      </c>
      <c r="T1483" s="23">
        <f t="shared" si="2"/>
        <v>0</v>
      </c>
      <c r="U1483" s="23">
        <f t="shared" si="3"/>
        <v>0</v>
      </c>
      <c r="V1483" s="23">
        <f t="shared" si="4"/>
        <v>0</v>
      </c>
      <c r="W1483" s="24" t="str">
        <f t="shared" si="5"/>
        <v>#DIV/0!</v>
      </c>
    </row>
    <row r="1484" hidden="1">
      <c r="A1484" s="15" t="s">
        <v>5393</v>
      </c>
      <c r="B1484" s="18"/>
      <c r="C1484" s="18"/>
      <c r="D1484" s="18"/>
      <c r="E1484" s="85"/>
      <c r="F1484" s="18"/>
      <c r="G1484" s="18"/>
      <c r="H1484" s="18"/>
      <c r="I1484" s="18"/>
      <c r="J1484" s="33"/>
      <c r="K1484" s="33"/>
      <c r="L1484" s="19" t="s">
        <v>38</v>
      </c>
      <c r="M1484" s="20">
        <f t="shared" si="1"/>
        <v>0</v>
      </c>
      <c r="N1484" s="22"/>
      <c r="O1484" s="19" t="s">
        <v>1145</v>
      </c>
      <c r="P1484" s="18"/>
      <c r="Q1484" s="18"/>
      <c r="R1484" s="23">
        <v>0.0</v>
      </c>
      <c r="S1484" s="23">
        <v>0.0</v>
      </c>
      <c r="T1484" s="23">
        <f t="shared" si="2"/>
        <v>0</v>
      </c>
      <c r="U1484" s="23">
        <f t="shared" si="3"/>
        <v>0</v>
      </c>
      <c r="V1484" s="23">
        <f t="shared" si="4"/>
        <v>0</v>
      </c>
      <c r="W1484" s="24" t="str">
        <f t="shared" si="5"/>
        <v>#DIV/0!</v>
      </c>
    </row>
    <row r="1485" hidden="1">
      <c r="A1485" s="15" t="s">
        <v>5398</v>
      </c>
      <c r="B1485" s="18"/>
      <c r="C1485" s="18"/>
      <c r="D1485" s="18"/>
      <c r="E1485" s="85"/>
      <c r="F1485" s="18"/>
      <c r="G1485" s="18"/>
      <c r="H1485" s="18"/>
      <c r="I1485" s="18"/>
      <c r="J1485" s="33"/>
      <c r="K1485" s="33"/>
      <c r="L1485" s="19" t="s">
        <v>38</v>
      </c>
      <c r="M1485" s="20">
        <f t="shared" si="1"/>
        <v>0</v>
      </c>
      <c r="N1485" s="22"/>
      <c r="O1485" s="19" t="s">
        <v>1145</v>
      </c>
      <c r="P1485" s="18"/>
      <c r="Q1485" s="18"/>
      <c r="R1485" s="23">
        <v>0.0</v>
      </c>
      <c r="S1485" s="23">
        <v>0.0</v>
      </c>
      <c r="T1485" s="23">
        <f t="shared" si="2"/>
        <v>0</v>
      </c>
      <c r="U1485" s="23">
        <f t="shared" si="3"/>
        <v>0</v>
      </c>
      <c r="V1485" s="23">
        <f t="shared" si="4"/>
        <v>0</v>
      </c>
      <c r="W1485" s="24" t="str">
        <f t="shared" si="5"/>
        <v>#DIV/0!</v>
      </c>
    </row>
    <row r="1486" hidden="1">
      <c r="A1486" s="15" t="s">
        <v>5403</v>
      </c>
      <c r="B1486" s="18"/>
      <c r="C1486" s="18"/>
      <c r="D1486" s="18"/>
      <c r="E1486" s="85"/>
      <c r="F1486" s="18"/>
      <c r="G1486" s="18"/>
      <c r="H1486" s="18"/>
      <c r="I1486" s="18"/>
      <c r="J1486" s="33"/>
      <c r="K1486" s="33"/>
      <c r="L1486" s="19" t="s">
        <v>38</v>
      </c>
      <c r="M1486" s="20">
        <f t="shared" si="1"/>
        <v>0</v>
      </c>
      <c r="N1486" s="22"/>
      <c r="O1486" s="19" t="s">
        <v>1145</v>
      </c>
      <c r="P1486" s="18"/>
      <c r="Q1486" s="18"/>
      <c r="R1486" s="23">
        <v>0.0</v>
      </c>
      <c r="S1486" s="23">
        <v>0.0</v>
      </c>
      <c r="T1486" s="23">
        <f t="shared" si="2"/>
        <v>0</v>
      </c>
      <c r="U1486" s="23">
        <f t="shared" si="3"/>
        <v>0</v>
      </c>
      <c r="V1486" s="23">
        <f t="shared" si="4"/>
        <v>0</v>
      </c>
      <c r="W1486" s="24" t="str">
        <f t="shared" si="5"/>
        <v>#DIV/0!</v>
      </c>
    </row>
    <row r="1487" hidden="1">
      <c r="A1487" s="15" t="s">
        <v>5408</v>
      </c>
      <c r="B1487" s="18"/>
      <c r="C1487" s="18"/>
      <c r="D1487" s="18"/>
      <c r="E1487" s="85"/>
      <c r="F1487" s="18"/>
      <c r="G1487" s="18"/>
      <c r="H1487" s="18"/>
      <c r="I1487" s="18"/>
      <c r="J1487" s="33"/>
      <c r="K1487" s="33"/>
      <c r="L1487" s="19" t="s">
        <v>38</v>
      </c>
      <c r="M1487" s="20">
        <f t="shared" si="1"/>
        <v>0</v>
      </c>
      <c r="N1487" s="22"/>
      <c r="O1487" s="19" t="s">
        <v>1145</v>
      </c>
      <c r="P1487" s="18"/>
      <c r="Q1487" s="18"/>
      <c r="R1487" s="23">
        <v>0.0</v>
      </c>
      <c r="S1487" s="23">
        <v>0.0</v>
      </c>
      <c r="T1487" s="23">
        <f t="shared" si="2"/>
        <v>0</v>
      </c>
      <c r="U1487" s="23">
        <f t="shared" si="3"/>
        <v>0</v>
      </c>
      <c r="V1487" s="23">
        <f t="shared" si="4"/>
        <v>0</v>
      </c>
      <c r="W1487" s="24" t="str">
        <f t="shared" si="5"/>
        <v>#DIV/0!</v>
      </c>
    </row>
    <row r="1488" hidden="1">
      <c r="A1488" s="15" t="s">
        <v>5414</v>
      </c>
      <c r="B1488" s="18"/>
      <c r="C1488" s="18"/>
      <c r="D1488" s="18"/>
      <c r="E1488" s="85"/>
      <c r="F1488" s="18"/>
      <c r="G1488" s="18"/>
      <c r="H1488" s="18"/>
      <c r="I1488" s="18"/>
      <c r="J1488" s="33"/>
      <c r="K1488" s="33"/>
      <c r="L1488" s="19" t="s">
        <v>38</v>
      </c>
      <c r="M1488" s="20">
        <f t="shared" si="1"/>
        <v>0</v>
      </c>
      <c r="N1488" s="22"/>
      <c r="O1488" s="19" t="s">
        <v>1145</v>
      </c>
      <c r="P1488" s="18"/>
      <c r="Q1488" s="18"/>
      <c r="R1488" s="23">
        <v>0.0</v>
      </c>
      <c r="S1488" s="23">
        <v>0.0</v>
      </c>
      <c r="T1488" s="23">
        <f t="shared" si="2"/>
        <v>0</v>
      </c>
      <c r="U1488" s="23">
        <f t="shared" si="3"/>
        <v>0</v>
      </c>
      <c r="V1488" s="23">
        <f t="shared" si="4"/>
        <v>0</v>
      </c>
      <c r="W1488" s="24" t="str">
        <f t="shared" si="5"/>
        <v>#DIV/0!</v>
      </c>
    </row>
    <row r="1489" hidden="1">
      <c r="A1489" s="15" t="s">
        <v>5419</v>
      </c>
      <c r="B1489" s="18"/>
      <c r="C1489" s="18"/>
      <c r="D1489" s="18"/>
      <c r="E1489" s="85"/>
      <c r="F1489" s="18"/>
      <c r="G1489" s="18"/>
      <c r="H1489" s="18"/>
      <c r="I1489" s="18"/>
      <c r="J1489" s="33"/>
      <c r="K1489" s="33"/>
      <c r="L1489" s="19" t="s">
        <v>38</v>
      </c>
      <c r="M1489" s="20">
        <f t="shared" si="1"/>
        <v>0</v>
      </c>
      <c r="N1489" s="22"/>
      <c r="O1489" s="19" t="s">
        <v>1145</v>
      </c>
      <c r="P1489" s="18"/>
      <c r="Q1489" s="18"/>
      <c r="R1489" s="23">
        <v>0.0</v>
      </c>
      <c r="S1489" s="23">
        <v>0.0</v>
      </c>
      <c r="T1489" s="23">
        <f t="shared" si="2"/>
        <v>0</v>
      </c>
      <c r="U1489" s="23">
        <f t="shared" si="3"/>
        <v>0</v>
      </c>
      <c r="V1489" s="23">
        <f t="shared" si="4"/>
        <v>0</v>
      </c>
      <c r="W1489" s="24" t="str">
        <f t="shared" si="5"/>
        <v>#DIV/0!</v>
      </c>
    </row>
    <row r="1490" hidden="1">
      <c r="A1490" s="15" t="s">
        <v>5422</v>
      </c>
      <c r="B1490" s="18"/>
      <c r="C1490" s="18"/>
      <c r="D1490" s="18"/>
      <c r="E1490" s="85"/>
      <c r="F1490" s="18"/>
      <c r="G1490" s="18"/>
      <c r="H1490" s="18"/>
      <c r="I1490" s="18"/>
      <c r="J1490" s="33"/>
      <c r="K1490" s="33"/>
      <c r="L1490" s="19" t="s">
        <v>38</v>
      </c>
      <c r="M1490" s="20">
        <f t="shared" si="1"/>
        <v>0</v>
      </c>
      <c r="N1490" s="22"/>
      <c r="O1490" s="19" t="s">
        <v>1145</v>
      </c>
      <c r="P1490" s="18"/>
      <c r="Q1490" s="18"/>
      <c r="R1490" s="23">
        <v>0.0</v>
      </c>
      <c r="S1490" s="23">
        <v>0.0</v>
      </c>
      <c r="T1490" s="23">
        <f t="shared" si="2"/>
        <v>0</v>
      </c>
      <c r="U1490" s="23">
        <f t="shared" si="3"/>
        <v>0</v>
      </c>
      <c r="V1490" s="23">
        <f t="shared" si="4"/>
        <v>0</v>
      </c>
      <c r="W1490" s="24" t="str">
        <f t="shared" si="5"/>
        <v>#DIV/0!</v>
      </c>
    </row>
    <row r="1491" hidden="1">
      <c r="A1491" s="15" t="s">
        <v>5427</v>
      </c>
      <c r="B1491" s="18"/>
      <c r="C1491" s="18"/>
      <c r="D1491" s="18"/>
      <c r="E1491" s="85"/>
      <c r="F1491" s="18"/>
      <c r="G1491" s="18"/>
      <c r="H1491" s="18"/>
      <c r="I1491" s="18"/>
      <c r="J1491" s="33"/>
      <c r="K1491" s="33"/>
      <c r="L1491" s="19" t="s">
        <v>38</v>
      </c>
      <c r="M1491" s="20">
        <f t="shared" si="1"/>
        <v>0</v>
      </c>
      <c r="N1491" s="22"/>
      <c r="O1491" s="19" t="s">
        <v>1145</v>
      </c>
      <c r="P1491" s="18"/>
      <c r="Q1491" s="18"/>
      <c r="R1491" s="23">
        <v>0.0</v>
      </c>
      <c r="S1491" s="23">
        <v>0.0</v>
      </c>
      <c r="T1491" s="23">
        <f t="shared" si="2"/>
        <v>0</v>
      </c>
      <c r="U1491" s="23">
        <f t="shared" si="3"/>
        <v>0</v>
      </c>
      <c r="V1491" s="23">
        <f t="shared" si="4"/>
        <v>0</v>
      </c>
      <c r="W1491" s="24" t="str">
        <f t="shared" si="5"/>
        <v>#DIV/0!</v>
      </c>
    </row>
    <row r="1492" hidden="1">
      <c r="A1492" s="15" t="s">
        <v>5432</v>
      </c>
      <c r="B1492" s="18"/>
      <c r="C1492" s="18"/>
      <c r="D1492" s="18"/>
      <c r="E1492" s="85"/>
      <c r="F1492" s="18"/>
      <c r="G1492" s="18"/>
      <c r="H1492" s="18"/>
      <c r="I1492" s="18"/>
      <c r="J1492" s="33"/>
      <c r="K1492" s="33"/>
      <c r="L1492" s="19" t="s">
        <v>38</v>
      </c>
      <c r="M1492" s="20">
        <f t="shared" si="1"/>
        <v>0</v>
      </c>
      <c r="N1492" s="22"/>
      <c r="O1492" s="19" t="s">
        <v>1145</v>
      </c>
      <c r="P1492" s="18"/>
      <c r="Q1492" s="18"/>
      <c r="R1492" s="23">
        <v>0.0</v>
      </c>
      <c r="S1492" s="23">
        <v>0.0</v>
      </c>
      <c r="T1492" s="23">
        <f t="shared" si="2"/>
        <v>0</v>
      </c>
      <c r="U1492" s="23">
        <f t="shared" si="3"/>
        <v>0</v>
      </c>
      <c r="V1492" s="23">
        <f t="shared" si="4"/>
        <v>0</v>
      </c>
      <c r="W1492" s="24" t="str">
        <f t="shared" si="5"/>
        <v>#DIV/0!</v>
      </c>
    </row>
    <row r="1493" hidden="1">
      <c r="A1493" s="15" t="s">
        <v>3563</v>
      </c>
      <c r="B1493" s="18"/>
      <c r="C1493" s="18"/>
      <c r="D1493" s="18"/>
      <c r="E1493" s="85"/>
      <c r="F1493" s="18"/>
      <c r="G1493" s="18"/>
      <c r="H1493" s="18"/>
      <c r="I1493" s="18"/>
      <c r="J1493" s="33"/>
      <c r="K1493" s="33"/>
      <c r="L1493" s="19" t="s">
        <v>38</v>
      </c>
      <c r="M1493" s="20">
        <f t="shared" si="1"/>
        <v>0</v>
      </c>
      <c r="N1493" s="22"/>
      <c r="O1493" s="19" t="s">
        <v>1145</v>
      </c>
      <c r="P1493" s="18"/>
      <c r="Q1493" s="18"/>
      <c r="R1493" s="23">
        <v>0.0</v>
      </c>
      <c r="S1493" s="23">
        <v>0.0</v>
      </c>
      <c r="T1493" s="23">
        <f t="shared" si="2"/>
        <v>0</v>
      </c>
      <c r="U1493" s="23">
        <f t="shared" si="3"/>
        <v>0</v>
      </c>
      <c r="V1493" s="23">
        <f t="shared" si="4"/>
        <v>0</v>
      </c>
      <c r="W1493" s="24" t="str">
        <f t="shared" si="5"/>
        <v>#DIV/0!</v>
      </c>
    </row>
    <row r="1494" hidden="1">
      <c r="A1494" s="15" t="s">
        <v>5438</v>
      </c>
      <c r="B1494" s="18"/>
      <c r="C1494" s="18"/>
      <c r="D1494" s="18"/>
      <c r="E1494" s="85"/>
      <c r="F1494" s="18"/>
      <c r="G1494" s="18"/>
      <c r="H1494" s="18"/>
      <c r="I1494" s="18"/>
      <c r="J1494" s="33"/>
      <c r="K1494" s="33"/>
      <c r="L1494" s="19" t="s">
        <v>38</v>
      </c>
      <c r="M1494" s="20">
        <f t="shared" si="1"/>
        <v>0</v>
      </c>
      <c r="N1494" s="22"/>
      <c r="O1494" s="19" t="s">
        <v>1145</v>
      </c>
      <c r="P1494" s="18"/>
      <c r="Q1494" s="18"/>
      <c r="R1494" s="23">
        <v>0.0</v>
      </c>
      <c r="S1494" s="23">
        <v>0.0</v>
      </c>
      <c r="T1494" s="23">
        <f t="shared" si="2"/>
        <v>0</v>
      </c>
      <c r="U1494" s="23">
        <f t="shared" si="3"/>
        <v>0</v>
      </c>
      <c r="V1494" s="23">
        <f t="shared" si="4"/>
        <v>0</v>
      </c>
      <c r="W1494" s="24" t="str">
        <f t="shared" si="5"/>
        <v>#DIV/0!</v>
      </c>
    </row>
    <row r="1495" hidden="1">
      <c r="A1495" s="15" t="s">
        <v>5443</v>
      </c>
      <c r="B1495" s="18"/>
      <c r="C1495" s="18"/>
      <c r="D1495" s="18"/>
      <c r="E1495" s="85"/>
      <c r="F1495" s="18"/>
      <c r="G1495" s="18"/>
      <c r="H1495" s="18"/>
      <c r="I1495" s="18"/>
      <c r="J1495" s="33"/>
      <c r="K1495" s="33"/>
      <c r="L1495" s="19" t="s">
        <v>38</v>
      </c>
      <c r="M1495" s="20">
        <f t="shared" si="1"/>
        <v>0</v>
      </c>
      <c r="N1495" s="22"/>
      <c r="O1495" s="19" t="s">
        <v>1145</v>
      </c>
      <c r="P1495" s="18"/>
      <c r="Q1495" s="18"/>
      <c r="R1495" s="23">
        <v>0.0</v>
      </c>
      <c r="S1495" s="23">
        <v>0.0</v>
      </c>
      <c r="T1495" s="23">
        <f t="shared" si="2"/>
        <v>0</v>
      </c>
      <c r="U1495" s="23">
        <f t="shared" si="3"/>
        <v>0</v>
      </c>
      <c r="V1495" s="23">
        <f t="shared" si="4"/>
        <v>0</v>
      </c>
      <c r="W1495" s="24" t="str">
        <f t="shared" si="5"/>
        <v>#DIV/0!</v>
      </c>
    </row>
    <row r="1496" hidden="1">
      <c r="A1496" s="15" t="s">
        <v>5448</v>
      </c>
      <c r="B1496" s="18"/>
      <c r="C1496" s="18"/>
      <c r="D1496" s="18"/>
      <c r="E1496" s="85"/>
      <c r="F1496" s="18"/>
      <c r="G1496" s="18"/>
      <c r="H1496" s="18"/>
      <c r="I1496" s="18"/>
      <c r="J1496" s="33"/>
      <c r="K1496" s="33"/>
      <c r="L1496" s="19" t="s">
        <v>38</v>
      </c>
      <c r="M1496" s="20">
        <f t="shared" si="1"/>
        <v>0</v>
      </c>
      <c r="N1496" s="22"/>
      <c r="O1496" s="19" t="s">
        <v>1145</v>
      </c>
      <c r="P1496" s="18"/>
      <c r="Q1496" s="18"/>
      <c r="R1496" s="23">
        <v>0.0</v>
      </c>
      <c r="S1496" s="23">
        <v>0.0</v>
      </c>
      <c r="T1496" s="23">
        <f t="shared" si="2"/>
        <v>0</v>
      </c>
      <c r="U1496" s="23">
        <f t="shared" si="3"/>
        <v>0</v>
      </c>
      <c r="V1496" s="23">
        <f t="shared" si="4"/>
        <v>0</v>
      </c>
      <c r="W1496" s="24" t="str">
        <f t="shared" si="5"/>
        <v>#DIV/0!</v>
      </c>
    </row>
    <row r="1497" hidden="1">
      <c r="A1497" s="15" t="s">
        <v>5454</v>
      </c>
      <c r="B1497" s="18"/>
      <c r="C1497" s="18"/>
      <c r="D1497" s="18"/>
      <c r="E1497" s="85"/>
      <c r="F1497" s="18"/>
      <c r="G1497" s="18"/>
      <c r="H1497" s="18"/>
      <c r="I1497" s="18"/>
      <c r="J1497" s="33"/>
      <c r="K1497" s="33"/>
      <c r="L1497" s="19" t="s">
        <v>38</v>
      </c>
      <c r="M1497" s="20">
        <f t="shared" si="1"/>
        <v>0</v>
      </c>
      <c r="N1497" s="22"/>
      <c r="O1497" s="19" t="s">
        <v>1145</v>
      </c>
      <c r="P1497" s="18"/>
      <c r="Q1497" s="18"/>
      <c r="R1497" s="23">
        <v>0.0</v>
      </c>
      <c r="S1497" s="23">
        <v>0.0</v>
      </c>
      <c r="T1497" s="23">
        <f t="shared" si="2"/>
        <v>0</v>
      </c>
      <c r="U1497" s="23">
        <f t="shared" si="3"/>
        <v>0</v>
      </c>
      <c r="V1497" s="23">
        <f t="shared" si="4"/>
        <v>0</v>
      </c>
      <c r="W1497" s="24" t="str">
        <f t="shared" si="5"/>
        <v>#DIV/0!</v>
      </c>
    </row>
    <row r="1498" hidden="1">
      <c r="A1498" s="15" t="s">
        <v>5459</v>
      </c>
      <c r="B1498" s="18"/>
      <c r="C1498" s="18"/>
      <c r="D1498" s="18"/>
      <c r="E1498" s="85"/>
      <c r="F1498" s="18"/>
      <c r="G1498" s="18"/>
      <c r="H1498" s="18"/>
      <c r="I1498" s="18"/>
      <c r="J1498" s="33"/>
      <c r="K1498" s="33"/>
      <c r="L1498" s="19" t="s">
        <v>38</v>
      </c>
      <c r="M1498" s="20">
        <f t="shared" si="1"/>
        <v>0</v>
      </c>
      <c r="N1498" s="22"/>
      <c r="O1498" s="19" t="s">
        <v>1145</v>
      </c>
      <c r="P1498" s="18"/>
      <c r="Q1498" s="18"/>
      <c r="R1498" s="23">
        <v>0.0</v>
      </c>
      <c r="S1498" s="23">
        <v>0.0</v>
      </c>
      <c r="T1498" s="23">
        <f t="shared" si="2"/>
        <v>0</v>
      </c>
      <c r="U1498" s="23">
        <f t="shared" si="3"/>
        <v>0</v>
      </c>
      <c r="V1498" s="23">
        <f t="shared" si="4"/>
        <v>0</v>
      </c>
      <c r="W1498" s="24" t="str">
        <f t="shared" si="5"/>
        <v>#DIV/0!</v>
      </c>
    </row>
    <row r="1499" hidden="1">
      <c r="A1499" s="15" t="s">
        <v>5464</v>
      </c>
      <c r="B1499" s="18"/>
      <c r="C1499" s="18"/>
      <c r="D1499" s="18"/>
      <c r="E1499" s="85"/>
      <c r="F1499" s="18"/>
      <c r="G1499" s="18"/>
      <c r="H1499" s="18"/>
      <c r="I1499" s="18"/>
      <c r="J1499" s="33"/>
      <c r="K1499" s="33"/>
      <c r="L1499" s="19" t="s">
        <v>38</v>
      </c>
      <c r="M1499" s="20">
        <f t="shared" si="1"/>
        <v>0</v>
      </c>
      <c r="N1499" s="22"/>
      <c r="O1499" s="19" t="s">
        <v>1145</v>
      </c>
      <c r="P1499" s="18"/>
      <c r="Q1499" s="18"/>
      <c r="R1499" s="23">
        <v>0.0</v>
      </c>
      <c r="S1499" s="23">
        <v>0.0</v>
      </c>
      <c r="T1499" s="23">
        <f t="shared" si="2"/>
        <v>0</v>
      </c>
      <c r="U1499" s="23">
        <f t="shared" si="3"/>
        <v>0</v>
      </c>
      <c r="V1499" s="23">
        <f t="shared" si="4"/>
        <v>0</v>
      </c>
      <c r="W1499" s="24" t="str">
        <f t="shared" si="5"/>
        <v>#DIV/0!</v>
      </c>
    </row>
    <row r="1500" hidden="1">
      <c r="A1500" s="15" t="s">
        <v>5470</v>
      </c>
      <c r="B1500" s="18"/>
      <c r="C1500" s="18"/>
      <c r="D1500" s="18"/>
      <c r="E1500" s="85"/>
      <c r="F1500" s="18"/>
      <c r="G1500" s="18"/>
      <c r="H1500" s="18"/>
      <c r="I1500" s="18"/>
      <c r="J1500" s="33"/>
      <c r="K1500" s="33"/>
      <c r="L1500" s="19" t="s">
        <v>38</v>
      </c>
      <c r="M1500" s="20">
        <f t="shared" si="1"/>
        <v>0</v>
      </c>
      <c r="N1500" s="22"/>
      <c r="O1500" s="19" t="s">
        <v>1145</v>
      </c>
      <c r="P1500" s="18"/>
      <c r="Q1500" s="18"/>
      <c r="R1500" s="23">
        <v>0.0</v>
      </c>
      <c r="S1500" s="23">
        <v>0.0</v>
      </c>
      <c r="T1500" s="23">
        <f t="shared" si="2"/>
        <v>0</v>
      </c>
      <c r="U1500" s="23">
        <f t="shared" si="3"/>
        <v>0</v>
      </c>
      <c r="V1500" s="23">
        <f t="shared" si="4"/>
        <v>0</v>
      </c>
      <c r="W1500" s="24" t="str">
        <f t="shared" si="5"/>
        <v>#DIV/0!</v>
      </c>
    </row>
    <row r="1501" hidden="1">
      <c r="A1501" s="15" t="s">
        <v>5475</v>
      </c>
      <c r="B1501" s="18"/>
      <c r="C1501" s="18"/>
      <c r="D1501" s="18"/>
      <c r="E1501" s="85"/>
      <c r="F1501" s="18"/>
      <c r="G1501" s="18"/>
      <c r="H1501" s="18"/>
      <c r="I1501" s="18"/>
      <c r="J1501" s="33"/>
      <c r="K1501" s="33"/>
      <c r="L1501" s="19" t="s">
        <v>38</v>
      </c>
      <c r="M1501" s="20">
        <f t="shared" si="1"/>
        <v>0</v>
      </c>
      <c r="N1501" s="22"/>
      <c r="O1501" s="19" t="s">
        <v>1145</v>
      </c>
      <c r="P1501" s="18"/>
      <c r="Q1501" s="18"/>
      <c r="R1501" s="23">
        <v>0.0</v>
      </c>
      <c r="S1501" s="23">
        <v>0.0</v>
      </c>
      <c r="T1501" s="23">
        <f t="shared" si="2"/>
        <v>0</v>
      </c>
      <c r="U1501" s="23">
        <f t="shared" si="3"/>
        <v>0</v>
      </c>
      <c r="V1501" s="23">
        <f t="shared" si="4"/>
        <v>0</v>
      </c>
      <c r="W1501" s="24" t="str">
        <f t="shared" si="5"/>
        <v>#DIV/0!</v>
      </c>
    </row>
    <row r="1502" hidden="1">
      <c r="A1502" s="15" t="s">
        <v>5481</v>
      </c>
      <c r="B1502" s="18"/>
      <c r="C1502" s="18"/>
      <c r="D1502" s="18"/>
      <c r="E1502" s="85"/>
      <c r="F1502" s="18"/>
      <c r="G1502" s="18"/>
      <c r="H1502" s="18"/>
      <c r="I1502" s="18"/>
      <c r="J1502" s="33"/>
      <c r="K1502" s="33"/>
      <c r="L1502" s="19" t="s">
        <v>38</v>
      </c>
      <c r="M1502" s="20">
        <f t="shared" si="1"/>
        <v>0</v>
      </c>
      <c r="N1502" s="22"/>
      <c r="O1502" s="19" t="s">
        <v>1145</v>
      </c>
      <c r="P1502" s="18"/>
      <c r="Q1502" s="18"/>
      <c r="R1502" s="23">
        <v>0.0</v>
      </c>
      <c r="S1502" s="23">
        <v>0.0</v>
      </c>
      <c r="T1502" s="23">
        <f t="shared" si="2"/>
        <v>0</v>
      </c>
      <c r="U1502" s="23">
        <f t="shared" si="3"/>
        <v>0</v>
      </c>
      <c r="V1502" s="23">
        <f t="shared" si="4"/>
        <v>0</v>
      </c>
      <c r="W1502" s="24" t="str">
        <f t="shared" si="5"/>
        <v>#DIV/0!</v>
      </c>
    </row>
    <row r="1503" hidden="1">
      <c r="A1503" s="15" t="s">
        <v>5486</v>
      </c>
      <c r="B1503" s="18"/>
      <c r="C1503" s="18"/>
      <c r="D1503" s="18"/>
      <c r="E1503" s="85"/>
      <c r="F1503" s="18"/>
      <c r="G1503" s="18"/>
      <c r="H1503" s="18"/>
      <c r="I1503" s="18"/>
      <c r="J1503" s="33"/>
      <c r="K1503" s="33"/>
      <c r="L1503" s="19" t="s">
        <v>38</v>
      </c>
      <c r="M1503" s="20">
        <f t="shared" si="1"/>
        <v>0</v>
      </c>
      <c r="N1503" s="22"/>
      <c r="O1503" s="19" t="s">
        <v>1145</v>
      </c>
      <c r="P1503" s="18"/>
      <c r="Q1503" s="18"/>
      <c r="R1503" s="23">
        <v>0.0</v>
      </c>
      <c r="S1503" s="23">
        <v>0.0</v>
      </c>
      <c r="T1503" s="23">
        <f t="shared" si="2"/>
        <v>0</v>
      </c>
      <c r="U1503" s="23">
        <f t="shared" si="3"/>
        <v>0</v>
      </c>
      <c r="V1503" s="23">
        <f t="shared" si="4"/>
        <v>0</v>
      </c>
      <c r="W1503" s="24" t="str">
        <f t="shared" si="5"/>
        <v>#DIV/0!</v>
      </c>
    </row>
    <row r="1504" hidden="1">
      <c r="A1504" s="15" t="s">
        <v>5491</v>
      </c>
      <c r="B1504" s="18"/>
      <c r="C1504" s="18"/>
      <c r="D1504" s="18"/>
      <c r="E1504" s="85"/>
      <c r="F1504" s="18"/>
      <c r="G1504" s="18"/>
      <c r="H1504" s="18"/>
      <c r="I1504" s="18"/>
      <c r="J1504" s="33"/>
      <c r="K1504" s="33"/>
      <c r="L1504" s="19" t="s">
        <v>38</v>
      </c>
      <c r="M1504" s="20">
        <f t="shared" si="1"/>
        <v>0</v>
      </c>
      <c r="N1504" s="22"/>
      <c r="O1504" s="19" t="s">
        <v>1145</v>
      </c>
      <c r="P1504" s="18"/>
      <c r="Q1504" s="18"/>
      <c r="R1504" s="23">
        <v>0.0</v>
      </c>
      <c r="S1504" s="23">
        <v>0.0</v>
      </c>
      <c r="T1504" s="23">
        <f t="shared" si="2"/>
        <v>0</v>
      </c>
      <c r="U1504" s="23">
        <f t="shared" si="3"/>
        <v>0</v>
      </c>
      <c r="V1504" s="23">
        <f t="shared" si="4"/>
        <v>0</v>
      </c>
      <c r="W1504" s="24" t="str">
        <f t="shared" si="5"/>
        <v>#DIV/0!</v>
      </c>
    </row>
    <row r="1505" hidden="1">
      <c r="A1505" s="15" t="s">
        <v>5496</v>
      </c>
      <c r="B1505" s="18"/>
      <c r="C1505" s="18"/>
      <c r="D1505" s="18"/>
      <c r="E1505" s="85"/>
      <c r="F1505" s="18"/>
      <c r="G1505" s="18"/>
      <c r="H1505" s="18"/>
      <c r="I1505" s="18"/>
      <c r="J1505" s="33"/>
      <c r="K1505" s="33"/>
      <c r="L1505" s="19" t="s">
        <v>38</v>
      </c>
      <c r="M1505" s="20">
        <f t="shared" si="1"/>
        <v>0</v>
      </c>
      <c r="N1505" s="22"/>
      <c r="O1505" s="19" t="s">
        <v>1145</v>
      </c>
      <c r="P1505" s="18"/>
      <c r="Q1505" s="18"/>
      <c r="R1505" s="23">
        <v>0.0</v>
      </c>
      <c r="S1505" s="23">
        <v>0.0</v>
      </c>
      <c r="T1505" s="23">
        <f t="shared" si="2"/>
        <v>0</v>
      </c>
      <c r="U1505" s="23">
        <f t="shared" si="3"/>
        <v>0</v>
      </c>
      <c r="V1505" s="23">
        <f t="shared" si="4"/>
        <v>0</v>
      </c>
      <c r="W1505" s="24" t="str">
        <f t="shared" si="5"/>
        <v>#DIV/0!</v>
      </c>
    </row>
    <row r="1506" hidden="1">
      <c r="A1506" s="15" t="s">
        <v>5501</v>
      </c>
      <c r="B1506" s="18"/>
      <c r="C1506" s="18"/>
      <c r="D1506" s="18"/>
      <c r="E1506" s="85"/>
      <c r="F1506" s="18"/>
      <c r="G1506" s="18"/>
      <c r="H1506" s="18"/>
      <c r="I1506" s="18"/>
      <c r="J1506" s="33"/>
      <c r="K1506" s="33"/>
      <c r="L1506" s="19" t="s">
        <v>38</v>
      </c>
      <c r="M1506" s="20">
        <f t="shared" si="1"/>
        <v>0</v>
      </c>
      <c r="N1506" s="22"/>
      <c r="O1506" s="19" t="s">
        <v>1145</v>
      </c>
      <c r="P1506" s="18"/>
      <c r="Q1506" s="18"/>
      <c r="R1506" s="23">
        <v>0.0</v>
      </c>
      <c r="S1506" s="23">
        <v>0.0</v>
      </c>
      <c r="T1506" s="23">
        <f t="shared" si="2"/>
        <v>0</v>
      </c>
      <c r="U1506" s="23">
        <f t="shared" si="3"/>
        <v>0</v>
      </c>
      <c r="V1506" s="23">
        <f t="shared" si="4"/>
        <v>0</v>
      </c>
      <c r="W1506" s="24" t="str">
        <f t="shared" si="5"/>
        <v>#DIV/0!</v>
      </c>
    </row>
    <row r="1507" hidden="1">
      <c r="A1507" s="15" t="s">
        <v>5506</v>
      </c>
      <c r="B1507" s="18"/>
      <c r="C1507" s="18"/>
      <c r="D1507" s="18"/>
      <c r="E1507" s="85"/>
      <c r="F1507" s="18"/>
      <c r="G1507" s="18"/>
      <c r="H1507" s="18"/>
      <c r="I1507" s="18"/>
      <c r="J1507" s="33"/>
      <c r="K1507" s="33"/>
      <c r="L1507" s="19" t="s">
        <v>38</v>
      </c>
      <c r="M1507" s="20">
        <f t="shared" si="1"/>
        <v>0</v>
      </c>
      <c r="N1507" s="22"/>
      <c r="O1507" s="19" t="s">
        <v>1145</v>
      </c>
      <c r="P1507" s="18"/>
      <c r="Q1507" s="18"/>
      <c r="R1507" s="23">
        <v>0.0</v>
      </c>
      <c r="S1507" s="23">
        <v>0.0</v>
      </c>
      <c r="T1507" s="23">
        <f t="shared" si="2"/>
        <v>0</v>
      </c>
      <c r="U1507" s="23">
        <f t="shared" si="3"/>
        <v>0</v>
      </c>
      <c r="V1507" s="23">
        <f t="shared" si="4"/>
        <v>0</v>
      </c>
      <c r="W1507" s="24" t="str">
        <f t="shared" si="5"/>
        <v>#DIV/0!</v>
      </c>
    </row>
    <row r="1508" hidden="1">
      <c r="A1508" s="15" t="s">
        <v>5512</v>
      </c>
      <c r="B1508" s="18"/>
      <c r="C1508" s="18"/>
      <c r="D1508" s="18"/>
      <c r="E1508" s="85"/>
      <c r="F1508" s="18"/>
      <c r="G1508" s="18"/>
      <c r="H1508" s="18"/>
      <c r="I1508" s="18"/>
      <c r="J1508" s="33"/>
      <c r="K1508" s="33"/>
      <c r="L1508" s="19" t="s">
        <v>38</v>
      </c>
      <c r="M1508" s="20">
        <f t="shared" si="1"/>
        <v>0</v>
      </c>
      <c r="N1508" s="22"/>
      <c r="O1508" s="19" t="s">
        <v>1145</v>
      </c>
      <c r="P1508" s="18"/>
      <c r="Q1508" s="18"/>
      <c r="R1508" s="23">
        <v>0.0</v>
      </c>
      <c r="S1508" s="23">
        <v>0.0</v>
      </c>
      <c r="T1508" s="23">
        <f t="shared" si="2"/>
        <v>0</v>
      </c>
      <c r="U1508" s="23">
        <f t="shared" si="3"/>
        <v>0</v>
      </c>
      <c r="V1508" s="23">
        <f t="shared" si="4"/>
        <v>0</v>
      </c>
      <c r="W1508" s="24" t="str">
        <f t="shared" si="5"/>
        <v>#DIV/0!</v>
      </c>
    </row>
    <row r="1509" hidden="1">
      <c r="A1509" s="15" t="s">
        <v>5517</v>
      </c>
      <c r="B1509" s="18"/>
      <c r="C1509" s="18"/>
      <c r="D1509" s="18"/>
      <c r="E1509" s="85"/>
      <c r="F1509" s="18"/>
      <c r="G1509" s="18"/>
      <c r="H1509" s="18"/>
      <c r="I1509" s="18"/>
      <c r="J1509" s="33"/>
      <c r="K1509" s="33"/>
      <c r="L1509" s="19" t="s">
        <v>38</v>
      </c>
      <c r="M1509" s="20">
        <f t="shared" si="1"/>
        <v>0</v>
      </c>
      <c r="N1509" s="22"/>
      <c r="O1509" s="19" t="s">
        <v>1145</v>
      </c>
      <c r="P1509" s="18"/>
      <c r="Q1509" s="18"/>
      <c r="R1509" s="23">
        <v>0.0</v>
      </c>
      <c r="S1509" s="23">
        <v>0.0</v>
      </c>
      <c r="T1509" s="23">
        <f t="shared" si="2"/>
        <v>0</v>
      </c>
      <c r="U1509" s="23">
        <f t="shared" si="3"/>
        <v>0</v>
      </c>
      <c r="V1509" s="23">
        <f t="shared" si="4"/>
        <v>0</v>
      </c>
      <c r="W1509" s="24" t="str">
        <f t="shared" si="5"/>
        <v>#DIV/0!</v>
      </c>
    </row>
    <row r="1510" hidden="1">
      <c r="A1510" s="15" t="s">
        <v>5522</v>
      </c>
      <c r="B1510" s="18"/>
      <c r="C1510" s="18"/>
      <c r="D1510" s="18"/>
      <c r="E1510" s="85"/>
      <c r="F1510" s="18"/>
      <c r="G1510" s="18"/>
      <c r="H1510" s="18"/>
      <c r="I1510" s="18"/>
      <c r="J1510" s="33"/>
      <c r="K1510" s="33"/>
      <c r="L1510" s="19" t="s">
        <v>38</v>
      </c>
      <c r="M1510" s="20">
        <f t="shared" si="1"/>
        <v>0</v>
      </c>
      <c r="N1510" s="22"/>
      <c r="O1510" s="19" t="s">
        <v>1145</v>
      </c>
      <c r="P1510" s="18"/>
      <c r="Q1510" s="18"/>
      <c r="R1510" s="23">
        <v>0.0</v>
      </c>
      <c r="S1510" s="23">
        <v>0.0</v>
      </c>
      <c r="T1510" s="23">
        <f t="shared" si="2"/>
        <v>0</v>
      </c>
      <c r="U1510" s="23">
        <f t="shared" si="3"/>
        <v>0</v>
      </c>
      <c r="V1510" s="23">
        <f t="shared" si="4"/>
        <v>0</v>
      </c>
      <c r="W1510" s="24" t="str">
        <f t="shared" si="5"/>
        <v>#DIV/0!</v>
      </c>
    </row>
    <row r="1511" hidden="1">
      <c r="A1511" s="15" t="s">
        <v>5527</v>
      </c>
      <c r="B1511" s="18"/>
      <c r="C1511" s="18"/>
      <c r="D1511" s="18"/>
      <c r="E1511" s="85"/>
      <c r="F1511" s="18"/>
      <c r="G1511" s="18"/>
      <c r="H1511" s="18"/>
      <c r="I1511" s="18"/>
      <c r="J1511" s="33"/>
      <c r="K1511" s="33"/>
      <c r="L1511" s="19" t="s">
        <v>38</v>
      </c>
      <c r="M1511" s="20">
        <f t="shared" si="1"/>
        <v>0</v>
      </c>
      <c r="N1511" s="22"/>
      <c r="O1511" s="19" t="s">
        <v>1145</v>
      </c>
      <c r="P1511" s="18"/>
      <c r="Q1511" s="18"/>
      <c r="R1511" s="23">
        <v>0.0</v>
      </c>
      <c r="S1511" s="23">
        <v>0.0</v>
      </c>
      <c r="T1511" s="23">
        <f t="shared" si="2"/>
        <v>0</v>
      </c>
      <c r="U1511" s="23">
        <f t="shared" si="3"/>
        <v>0</v>
      </c>
      <c r="V1511" s="23">
        <f t="shared" si="4"/>
        <v>0</v>
      </c>
      <c r="W1511" s="24" t="str">
        <f t="shared" si="5"/>
        <v>#DIV/0!</v>
      </c>
    </row>
    <row r="1512" hidden="1">
      <c r="A1512" s="15" t="s">
        <v>5532</v>
      </c>
      <c r="B1512" s="18"/>
      <c r="C1512" s="18"/>
      <c r="D1512" s="18"/>
      <c r="E1512" s="85"/>
      <c r="F1512" s="18"/>
      <c r="G1512" s="18"/>
      <c r="H1512" s="18"/>
      <c r="I1512" s="18"/>
      <c r="J1512" s="33"/>
      <c r="K1512" s="33"/>
      <c r="L1512" s="19" t="s">
        <v>38</v>
      </c>
      <c r="M1512" s="20">
        <f t="shared" si="1"/>
        <v>0</v>
      </c>
      <c r="N1512" s="22"/>
      <c r="O1512" s="19" t="s">
        <v>1145</v>
      </c>
      <c r="P1512" s="18"/>
      <c r="Q1512" s="18"/>
      <c r="R1512" s="23">
        <v>0.0</v>
      </c>
      <c r="S1512" s="23">
        <v>0.0</v>
      </c>
      <c r="T1512" s="23">
        <f t="shared" si="2"/>
        <v>0</v>
      </c>
      <c r="U1512" s="23">
        <f t="shared" si="3"/>
        <v>0</v>
      </c>
      <c r="V1512" s="23">
        <f t="shared" si="4"/>
        <v>0</v>
      </c>
      <c r="W1512" s="24" t="str">
        <f t="shared" si="5"/>
        <v>#DIV/0!</v>
      </c>
    </row>
    <row r="1513" hidden="1">
      <c r="A1513" s="15" t="s">
        <v>5537</v>
      </c>
      <c r="B1513" s="18"/>
      <c r="C1513" s="18"/>
      <c r="D1513" s="18"/>
      <c r="E1513" s="85"/>
      <c r="F1513" s="18"/>
      <c r="G1513" s="18"/>
      <c r="H1513" s="18"/>
      <c r="I1513" s="18"/>
      <c r="J1513" s="33"/>
      <c r="K1513" s="33"/>
      <c r="L1513" s="19" t="s">
        <v>38</v>
      </c>
      <c r="M1513" s="20">
        <f t="shared" si="1"/>
        <v>0</v>
      </c>
      <c r="N1513" s="22"/>
      <c r="O1513" s="19" t="s">
        <v>1145</v>
      </c>
      <c r="P1513" s="18"/>
      <c r="Q1513" s="18"/>
      <c r="R1513" s="23">
        <v>0.0</v>
      </c>
      <c r="S1513" s="23">
        <v>0.0</v>
      </c>
      <c r="T1513" s="23">
        <f t="shared" si="2"/>
        <v>0</v>
      </c>
      <c r="U1513" s="23">
        <f t="shared" si="3"/>
        <v>0</v>
      </c>
      <c r="V1513" s="23">
        <f t="shared" si="4"/>
        <v>0</v>
      </c>
      <c r="W1513" s="24" t="str">
        <f t="shared" si="5"/>
        <v>#DIV/0!</v>
      </c>
    </row>
    <row r="1514" hidden="1">
      <c r="A1514" s="15" t="s">
        <v>5541</v>
      </c>
      <c r="B1514" s="18"/>
      <c r="C1514" s="18"/>
      <c r="D1514" s="18"/>
      <c r="E1514" s="85"/>
      <c r="F1514" s="18"/>
      <c r="G1514" s="18"/>
      <c r="H1514" s="18"/>
      <c r="I1514" s="18"/>
      <c r="J1514" s="33"/>
      <c r="K1514" s="33"/>
      <c r="L1514" s="19" t="s">
        <v>38</v>
      </c>
      <c r="M1514" s="20">
        <f t="shared" si="1"/>
        <v>0</v>
      </c>
      <c r="N1514" s="22"/>
      <c r="O1514" s="19" t="s">
        <v>1145</v>
      </c>
      <c r="P1514" s="18"/>
      <c r="Q1514" s="18"/>
      <c r="R1514" s="23">
        <v>0.0</v>
      </c>
      <c r="S1514" s="23">
        <v>0.0</v>
      </c>
      <c r="T1514" s="23">
        <f t="shared" si="2"/>
        <v>0</v>
      </c>
      <c r="U1514" s="23">
        <f t="shared" si="3"/>
        <v>0</v>
      </c>
      <c r="V1514" s="23">
        <f t="shared" si="4"/>
        <v>0</v>
      </c>
      <c r="W1514" s="24" t="str">
        <f t="shared" si="5"/>
        <v>#DIV/0!</v>
      </c>
    </row>
    <row r="1515" hidden="1">
      <c r="A1515" s="15" t="s">
        <v>5545</v>
      </c>
      <c r="B1515" s="18"/>
      <c r="C1515" s="18"/>
      <c r="D1515" s="18"/>
      <c r="E1515" s="85"/>
      <c r="F1515" s="18"/>
      <c r="G1515" s="18"/>
      <c r="H1515" s="18"/>
      <c r="I1515" s="18"/>
      <c r="J1515" s="33"/>
      <c r="K1515" s="33"/>
      <c r="L1515" s="19" t="s">
        <v>38</v>
      </c>
      <c r="M1515" s="20">
        <f t="shared" si="1"/>
        <v>0</v>
      </c>
      <c r="N1515" s="22"/>
      <c r="O1515" s="19" t="s">
        <v>1145</v>
      </c>
      <c r="P1515" s="18"/>
      <c r="Q1515" s="18"/>
      <c r="R1515" s="23">
        <v>0.0</v>
      </c>
      <c r="S1515" s="23">
        <v>0.0</v>
      </c>
      <c r="T1515" s="23">
        <f t="shared" si="2"/>
        <v>0</v>
      </c>
      <c r="U1515" s="23">
        <f t="shared" si="3"/>
        <v>0</v>
      </c>
      <c r="V1515" s="23">
        <f t="shared" si="4"/>
        <v>0</v>
      </c>
      <c r="W1515" s="24" t="str">
        <f t="shared" si="5"/>
        <v>#DIV/0!</v>
      </c>
    </row>
    <row r="1516" hidden="1">
      <c r="A1516" s="15" t="s">
        <v>5549</v>
      </c>
      <c r="B1516" s="18"/>
      <c r="C1516" s="18"/>
      <c r="D1516" s="18"/>
      <c r="E1516" s="85"/>
      <c r="F1516" s="18"/>
      <c r="G1516" s="18"/>
      <c r="H1516" s="18"/>
      <c r="I1516" s="18"/>
      <c r="J1516" s="33"/>
      <c r="K1516" s="33"/>
      <c r="L1516" s="19" t="s">
        <v>38</v>
      </c>
      <c r="M1516" s="20">
        <f t="shared" si="1"/>
        <v>0</v>
      </c>
      <c r="N1516" s="22"/>
      <c r="O1516" s="19" t="s">
        <v>1145</v>
      </c>
      <c r="P1516" s="18"/>
      <c r="Q1516" s="18"/>
      <c r="R1516" s="23">
        <v>0.0</v>
      </c>
      <c r="S1516" s="23">
        <v>0.0</v>
      </c>
      <c r="T1516" s="23">
        <f t="shared" si="2"/>
        <v>0</v>
      </c>
      <c r="U1516" s="23">
        <f t="shared" si="3"/>
        <v>0</v>
      </c>
      <c r="V1516" s="23">
        <f t="shared" si="4"/>
        <v>0</v>
      </c>
      <c r="W1516" s="24" t="str">
        <f t="shared" si="5"/>
        <v>#DIV/0!</v>
      </c>
    </row>
    <row r="1517" hidden="1">
      <c r="J1517" s="54"/>
      <c r="K1517" s="54"/>
      <c r="L1517" s="54"/>
    </row>
    <row r="1518">
      <c r="A1518" s="66"/>
      <c r="B1518" s="66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20">
        <f>SUM(Inventory_tracker_3[$ Venta])</f>
        <v>910963.68</v>
      </c>
      <c r="N1518" s="66">
        <f>SUM(Inventory_tracker_3[Stock])</f>
        <v>1814</v>
      </c>
      <c r="O1518" s="66"/>
      <c r="P1518" s="66"/>
      <c r="Q1518" s="66"/>
      <c r="R1518" s="20">
        <f>SUM(Inventory_tracker_3[$ Venta])</f>
        <v>910963.68</v>
      </c>
      <c r="S1518" s="20">
        <f>SUM(Inventory_tracker_3[$ Venta])</f>
        <v>910963.68</v>
      </c>
      <c r="T1518" s="20">
        <f>SUM(Inventory_tracker_3[$ Venta])</f>
        <v>910963.68</v>
      </c>
      <c r="U1518" s="20">
        <f>SUM(Inventory_tracker_3[$ Venta])</f>
        <v>910963.68</v>
      </c>
      <c r="V1518" s="20">
        <f>SUM(Inventory_tracker_3[$ Venta])</f>
        <v>910963.68</v>
      </c>
      <c r="W1518" s="68"/>
    </row>
  </sheetData>
  <conditionalFormatting sqref="R4:W1517">
    <cfRule type="cellIs" dxfId="6" priority="1" operator="equal">
      <formula>0</formula>
    </cfRule>
  </conditionalFormatting>
  <dataValidations>
    <dataValidation type="list" allowBlank="1" sqref="K4:K1517">
      <formula1>"BARRA V-ROCK,AGITADOR V-ROCK,FILTROS,TUBERIA ACERO,TUBERIA FLEXIBLE,REDUCTOR,HIDRAULICO,OTROS,SISTEMA DE BOMBEO,TANQUE DE AGUA,CANALONES Y TOLVAS,TOLVA,SIN ASIGNAR"</formula1>
    </dataValidation>
    <dataValidation type="list" allowBlank="1" sqref="L4:L1517">
      <formula1>"FILTROS,EMPAQUES,ENGRANES,BALEROS,VALVULAS,BOMBAS,ANILLOS METALICOS,CASQUILLOS,TUBOS,SIN ASIGNAR,TRANSMISIONES,PISTONES,RODILLOS,ACCESORIOS ,RELAYS,MOTORES,MEDIDORES,CABLES,VIBRADORES"</formula1>
    </dataValidation>
    <dataValidation type="custom" allowBlank="1" showDropDown="1" sqref="M4:N1517 R4:V1517">
      <formula1>AND(ISNUMBER(M4),(NOT(OR(NOT(ISERROR(DATEVALUE(M4))), AND(ISNUMBER(M4), LEFT(CELL("format", M4))="D")))))</formula1>
    </dataValidation>
    <dataValidation allowBlank="1" showDropDown="1" sqref="A4:I1517 P4:Q1517"/>
    <dataValidation type="custom" allowBlank="1" showDropDown="1" sqref="W4:W1517">
      <formula1>AND(ISNUMBER(W4),(NOT(OR(NOT(ISERROR(DATEVALUE(W4))), AND(ISNUMBER(W4), LEFT(CELL("format", W4))="D")))))</formula1>
    </dataValidation>
    <dataValidation type="list" allowBlank="1" sqref="J4:J1517">
      <formula1>"Olla Revolvedora,Sitrak,Schwing,Putzmeister,WAM,Tuberia,Otro,CIFA"</formula1>
    </dataValidation>
    <dataValidation type="list" allowBlank="1" sqref="O4:O1517">
      <formula1>"In stock,No Available,To Re-purchase,Sold out,borrar,Falta Ubicar"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2"/>
      <c r="E1" s="1"/>
      <c r="F1" s="2"/>
      <c r="G1" s="2"/>
      <c r="H1" s="3" t="s">
        <v>1</v>
      </c>
      <c r="I1" s="4">
        <v>18.5</v>
      </c>
      <c r="J1" s="2"/>
      <c r="K1" s="3" t="s">
        <v>2</v>
      </c>
      <c r="L1" s="5">
        <v>0.96</v>
      </c>
      <c r="M1" s="3" t="s">
        <v>3</v>
      </c>
      <c r="N1" s="5">
        <v>0.0</v>
      </c>
      <c r="O1" s="3" t="s">
        <v>4</v>
      </c>
      <c r="P1" s="5">
        <v>0.225</v>
      </c>
      <c r="Q1" s="3" t="s">
        <v>5</v>
      </c>
      <c r="R1" s="7">
        <v>18.75</v>
      </c>
      <c r="Z1" s="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0"/>
    </row>
    <row r="3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3" t="s">
        <v>30</v>
      </c>
    </row>
    <row r="4">
      <c r="A4" s="15" t="s">
        <v>466</v>
      </c>
      <c r="B4" s="15" t="s">
        <v>467</v>
      </c>
      <c r="C4" s="15" t="s">
        <v>6175</v>
      </c>
      <c r="D4" s="15" t="s">
        <v>468</v>
      </c>
      <c r="E4" s="17" t="s">
        <v>469</v>
      </c>
      <c r="F4" s="18"/>
      <c r="G4" s="15" t="s">
        <v>470</v>
      </c>
      <c r="H4" s="15" t="s">
        <v>471</v>
      </c>
      <c r="I4" s="18"/>
      <c r="J4" s="19" t="s">
        <v>283</v>
      </c>
      <c r="K4" s="19" t="s">
        <v>284</v>
      </c>
      <c r="L4" s="19" t="s">
        <v>285</v>
      </c>
      <c r="M4" s="20">
        <f t="shared" ref="M4:M6" si="1">T4*$I$1</f>
        <v>710.4</v>
      </c>
      <c r="N4" s="31">
        <v>5.0</v>
      </c>
      <c r="O4" s="19" t="s">
        <v>107</v>
      </c>
      <c r="P4" s="18"/>
      <c r="Q4" s="18"/>
      <c r="R4" s="23">
        <v>6.0</v>
      </c>
      <c r="S4" s="23">
        <v>40.0</v>
      </c>
      <c r="T4" s="23">
        <f t="shared" ref="T4:T6" si="2">S4*$L$1</f>
        <v>38.4</v>
      </c>
      <c r="U4" s="23">
        <f t="shared" ref="U4:U6" si="3">R4+((R4*$N$1)+(R4*$P$1))</f>
        <v>7.35</v>
      </c>
      <c r="V4" s="23">
        <f t="shared" ref="V4:V6" si="4">U4*$R$1</f>
        <v>137.8125</v>
      </c>
      <c r="W4" s="24">
        <f t="shared" ref="W4:W6" si="5">T4/R4</f>
        <v>6.4</v>
      </c>
    </row>
    <row r="5">
      <c r="A5" s="15" t="s">
        <v>404</v>
      </c>
      <c r="B5" s="15" t="s">
        <v>405</v>
      </c>
      <c r="C5" s="15" t="s">
        <v>6176</v>
      </c>
      <c r="D5" s="15" t="s">
        <v>406</v>
      </c>
      <c r="E5" s="17" t="s">
        <v>407</v>
      </c>
      <c r="F5" s="18"/>
      <c r="G5" s="15" t="s">
        <v>408</v>
      </c>
      <c r="H5" s="15" t="s">
        <v>409</v>
      </c>
      <c r="I5" s="18"/>
      <c r="J5" s="19" t="s">
        <v>283</v>
      </c>
      <c r="K5" s="19" t="s">
        <v>284</v>
      </c>
      <c r="L5" s="19" t="s">
        <v>285</v>
      </c>
      <c r="M5" s="20">
        <f t="shared" si="1"/>
        <v>781.44</v>
      </c>
      <c r="N5" s="31">
        <v>5.0</v>
      </c>
      <c r="O5" s="19" t="s">
        <v>107</v>
      </c>
      <c r="P5" s="18"/>
      <c r="Q5" s="18"/>
      <c r="R5" s="23">
        <v>6.0</v>
      </c>
      <c r="S5" s="23">
        <v>44.0</v>
      </c>
      <c r="T5" s="23">
        <f t="shared" si="2"/>
        <v>42.24</v>
      </c>
      <c r="U5" s="23">
        <f t="shared" si="3"/>
        <v>7.35</v>
      </c>
      <c r="V5" s="23">
        <f t="shared" si="4"/>
        <v>137.8125</v>
      </c>
      <c r="W5" s="24">
        <f t="shared" si="5"/>
        <v>7.04</v>
      </c>
    </row>
    <row r="6">
      <c r="A6" s="15" t="s">
        <v>277</v>
      </c>
      <c r="B6" s="15" t="s">
        <v>278</v>
      </c>
      <c r="C6" s="15" t="s">
        <v>6177</v>
      </c>
      <c r="D6" s="15" t="s">
        <v>279</v>
      </c>
      <c r="E6" s="17" t="s">
        <v>280</v>
      </c>
      <c r="F6" s="18"/>
      <c r="G6" s="15" t="s">
        <v>281</v>
      </c>
      <c r="H6" s="15" t="s">
        <v>282</v>
      </c>
      <c r="I6" s="18"/>
      <c r="J6" s="19" t="s">
        <v>283</v>
      </c>
      <c r="K6" s="19" t="s">
        <v>284</v>
      </c>
      <c r="L6" s="19" t="s">
        <v>285</v>
      </c>
      <c r="M6" s="20">
        <f t="shared" si="1"/>
        <v>888</v>
      </c>
      <c r="N6" s="31">
        <v>5.0</v>
      </c>
      <c r="O6" s="19" t="s">
        <v>107</v>
      </c>
      <c r="P6" s="18"/>
      <c r="Q6" s="18"/>
      <c r="R6" s="23">
        <v>6.0</v>
      </c>
      <c r="S6" s="23">
        <v>50.0</v>
      </c>
      <c r="T6" s="23">
        <f t="shared" si="2"/>
        <v>48</v>
      </c>
      <c r="U6" s="23">
        <f t="shared" si="3"/>
        <v>7.35</v>
      </c>
      <c r="V6" s="23">
        <f t="shared" si="4"/>
        <v>137.8125</v>
      </c>
      <c r="W6" s="24">
        <f t="shared" si="5"/>
        <v>8</v>
      </c>
    </row>
  </sheetData>
  <conditionalFormatting sqref="R4:W6">
    <cfRule type="cellIs" dxfId="6" priority="1" operator="equal">
      <formula>0</formula>
    </cfRule>
  </conditionalFormatting>
  <dataValidations>
    <dataValidation type="list" allowBlank="1" sqref="K4:K6">
      <formula1>"BARRA V-ROCK,AGITADOR V-ROCK,FILTROS,TUBERIA ACERO,TUBERIA FLEXIBLE,REDUCTOR,HIDRAULICO,OTROS,SISTEMA DE BOMBEO,TANQUE DE AGUA,CANALONES Y TOLVAS,TOLVA,SIN ASIGNAR"</formula1>
    </dataValidation>
    <dataValidation type="list" allowBlank="1" sqref="L4:L6">
      <formula1>"FILTROS,EMPAQUES,ENGRANES,BALEROS,VALVULAS,BOMBAS,ANILLOS METALICOS,CASQUILLOS,TUBOS,SIN ASIGNAR,TRANSMISIONES,PISTONES,RODILLOS,ACCESORIOS ,RELAYS,MOTORES,MEDIDORES,CABLES,VIBRADORES"</formula1>
    </dataValidation>
    <dataValidation type="custom" allowBlank="1" showDropDown="1" sqref="M4:N6 R4:V6">
      <formula1>AND(ISNUMBER(M4),(NOT(OR(NOT(ISERROR(DATEVALUE(M4))), AND(ISNUMBER(M4), LEFT(CELL("format", M4))="D")))))</formula1>
    </dataValidation>
    <dataValidation allowBlank="1" showDropDown="1" sqref="A4:I6 P4:Q6"/>
    <dataValidation type="custom" allowBlank="1" showDropDown="1" sqref="W4:W6">
      <formula1>AND(ISNUMBER(W4),(NOT(OR(NOT(ISERROR(DATEVALUE(W4))), AND(ISNUMBER(W4), LEFT(CELL("format", W4))="D")))))</formula1>
    </dataValidation>
    <dataValidation type="list" allowBlank="1" sqref="J4:J6">
      <formula1>"Olla Revolvedora,Sitrak,Schwing,Putzmeister,WAM,Tuberia,Otro,CIFA"</formula1>
    </dataValidation>
    <dataValidation type="list" allowBlank="1" sqref="O4:O6">
      <formula1>"In stock,No Available,To Re-purchase,Sold out,borrar,Falta Ubicar"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86" t="str">
        <f>IFERROR(__xludf.DUMMYFUNCTION("QUERY('Inventario-backup'!A3:Y5017, """",1)"),"ID")</f>
        <v>ID</v>
      </c>
      <c r="C2" s="74" t="str">
        <f>IFERROR(__xludf.DUMMYFUNCTION("""COMPUTED_VALUE"""),"Barcode")</f>
        <v>Barcode</v>
      </c>
      <c r="D2" s="74" t="str">
        <f>IFERROR(__xludf.DUMMYFUNCTION("""COMPUTED_VALUE"""),"Foto URL")</f>
        <v>Foto URL</v>
      </c>
      <c r="E2" s="74" t="str">
        <f>IFERROR(__xludf.DUMMYFUNCTION("""COMPUTED_VALUE"""),"Nombre Eng")</f>
        <v>Nombre Eng</v>
      </c>
      <c r="F2" s="74" t="str">
        <f>IFERROR(__xludf.DUMMYFUNCTION("""COMPUTED_VALUE"""),"Nombre Esp")</f>
        <v>Nombre Esp</v>
      </c>
      <c r="G2" s="74" t="str">
        <f>IFERROR(__xludf.DUMMYFUNCTION("""COMPUTED_VALUE"""),"Descripcion")</f>
        <v>Descripcion</v>
      </c>
      <c r="H2" s="74" t="str">
        <f>IFERROR(__xludf.DUMMYFUNCTION("""COMPUTED_VALUE"""),"UVA Nombre")</f>
        <v>UVA Nombre</v>
      </c>
      <c r="I2" s="74" t="str">
        <f>IFERROR(__xludf.DUMMYFUNCTION("""COMPUTED_VALUE"""),"Item Code")</f>
        <v>Item Code</v>
      </c>
      <c r="J2" s="74" t="str">
        <f>IFERROR(__xludf.DUMMYFUNCTION("""COMPUTED_VALUE"""),"Uni Code")</f>
        <v>Uni Code</v>
      </c>
      <c r="K2" s="74" t="str">
        <f>IFERROR(__xludf.DUMMYFUNCTION("""COMPUTED_VALUE"""),"Categoria")</f>
        <v>Categoria</v>
      </c>
      <c r="L2" s="74" t="str">
        <f>IFERROR(__xludf.DUMMYFUNCTION("""COMPUTED_VALUE"""),"Montaje")</f>
        <v>Montaje</v>
      </c>
      <c r="M2" s="74" t="str">
        <f>IFERROR(__xludf.DUMMYFUNCTION("""COMPUTED_VALUE"""),"Tipo")</f>
        <v>Tipo</v>
      </c>
      <c r="N2" s="74" t="str">
        <f>IFERROR(__xludf.DUMMYFUNCTION("""COMPUTED_VALUE"""),"$ Venta")</f>
        <v>$ Venta</v>
      </c>
      <c r="O2" s="74" t="str">
        <f>IFERROR(__xludf.DUMMYFUNCTION("""COMPUTED_VALUE"""),"Stock")</f>
        <v>Stock</v>
      </c>
      <c r="P2" s="74" t="str">
        <f>IFERROR(__xludf.DUMMYFUNCTION("""COMPUTED_VALUE"""),"Status")</f>
        <v>Status</v>
      </c>
      <c r="Q2" s="74" t="str">
        <f>IFERROR(__xludf.DUMMYFUNCTION("""COMPUTED_VALUE"""),"Notes")</f>
        <v>Notes</v>
      </c>
      <c r="R2" s="74" t="str">
        <f>IFERROR(__xludf.DUMMYFUNCTION("""COMPUTED_VALUE"""),"Pedido ")</f>
        <v>Pedido </v>
      </c>
      <c r="S2" s="74" t="str">
        <f>IFERROR(__xludf.DUMMYFUNCTION("""COMPUTED_VALUE"""),"$ ZG")</f>
        <v>$ ZG</v>
      </c>
      <c r="T2" s="74" t="str">
        <f>IFERROR(__xludf.DUMMYFUNCTION("""COMPUTED_VALUE"""),"$ Oth")</f>
        <v>$ Oth</v>
      </c>
      <c r="U2" s="74" t="str">
        <f>IFERROR(__xludf.DUMMYFUNCTION("""COMPUTED_VALUE"""),"$ BM")</f>
        <v>$ BM</v>
      </c>
      <c r="V2" s="74" t="str">
        <f>IFERROR(__xludf.DUMMYFUNCTION("""COMPUTED_VALUE"""),"$ Ptij dll")</f>
        <v>$ Ptij dll</v>
      </c>
      <c r="W2" s="74" t="str">
        <f>IFERROR(__xludf.DUMMYFUNCTION("""COMPUTED_VALUE"""),"$ Ptij mxn")</f>
        <v>$ Ptij mxn</v>
      </c>
      <c r="X2" s="74" t="str">
        <f>IFERROR(__xludf.DUMMYFUNCTION("""COMPUTED_VALUE"""),"Veces G")</f>
        <v>Veces G</v>
      </c>
      <c r="Y2" s="74" t="str">
        <f>IFERROR(__xludf.DUMMYFUNCTION("""COMPUTED_VALUE"""),"")</f>
        <v/>
      </c>
      <c r="Z2" s="74" t="str">
        <f>IFERROR(__xludf.DUMMYFUNCTION("""COMPUTED_VALUE"""),"")</f>
        <v/>
      </c>
    </row>
    <row r="3">
      <c r="B3" s="74" t="str">
        <f>IFERROR(__xludf.DUMMYFUNCTION("""COMPUTED_VALUE"""),"1000")</f>
        <v>1000</v>
      </c>
      <c r="C3" s="74" t="str">
        <f>IFERROR(__xludf.DUMMYFUNCTION("""COMPUTED_VALUE"""),"75045891000")</f>
        <v>75045891000</v>
      </c>
      <c r="D3" s="74" t="str">
        <f>IFERROR(__xludf.DUMMYFUNCTION("""COMPUTED_VALUE"""),"\\MCA-S\mk\2_BM\0_BMat\08_PYM\Inventario\excel\Imagen de refacciones\Ollas revolvedoras\MIRLLA_TUBO DE PLASTICO P_TANQUE DE AGUA")</f>
        <v>\\MCA-S\mk\2_BM\0_BMat\08_PYM\Inventario\excel\Imagen de refacciones\Ollas revolvedoras\MIRLLA_TUBO DE PLASTICO P_TANQUE DE AGUA</v>
      </c>
      <c r="E3" s="74"/>
      <c r="F3" s="74" t="str">
        <f>IFERROR(__xludf.DUMMYFUNCTION("""COMPUTED_VALUE"""),"MIRLLA/TUBO DE PLASTICO P/TANQUE DE AGUA")</f>
        <v>MIRLLA/TUBO DE PLASTICO P/TANQUE DE AGUA</v>
      </c>
      <c r="G3" s="74"/>
      <c r="H3" s="74"/>
      <c r="I3" s="74" t="str">
        <f>IFERROR(__xludf.DUMMYFUNCTION("""COMPUTED_VALUE"""),"4014174622")</f>
        <v>4014174622</v>
      </c>
      <c r="J3" s="74"/>
      <c r="K3" s="74" t="str">
        <f>IFERROR(__xludf.DUMMYFUNCTION("""COMPUTED_VALUE"""),"Olla Revolvedora")</f>
        <v>Olla Revolvedora</v>
      </c>
      <c r="L3" s="74" t="str">
        <f>IFERROR(__xludf.DUMMYFUNCTION("""COMPUTED_VALUE"""),"Componentes estructurales y de montaje")</f>
        <v>Componentes estructurales y de montaje</v>
      </c>
      <c r="M3" s="74" t="str">
        <f>IFERROR(__xludf.DUMMYFUNCTION("""COMPUTED_VALUE"""),"Sin Asignar")</f>
        <v>Sin Asignar</v>
      </c>
      <c r="N3" s="87">
        <f>IFERROR(__xludf.DUMMYFUNCTION("""COMPUTED_VALUE"""),0.0)</f>
        <v>0</v>
      </c>
      <c r="O3" s="74"/>
      <c r="P3" s="74" t="str">
        <f>IFERROR(__xludf.DUMMYFUNCTION("""COMPUTED_VALUE"""),"To Re-purchase")</f>
        <v>To Re-purchase</v>
      </c>
      <c r="Q3" s="74"/>
      <c r="R3" s="74"/>
      <c r="S3" s="87">
        <f>IFERROR(__xludf.DUMMYFUNCTION("""COMPUTED_VALUE"""),0.0)</f>
        <v>0</v>
      </c>
      <c r="T3" s="87">
        <f>IFERROR(__xludf.DUMMYFUNCTION("""COMPUTED_VALUE"""),0.0)</f>
        <v>0</v>
      </c>
      <c r="U3" s="87">
        <f>IFERROR(__xludf.DUMMYFUNCTION("""COMPUTED_VALUE"""),0.0)</f>
        <v>0</v>
      </c>
      <c r="V3" s="87">
        <f>IFERROR(__xludf.DUMMYFUNCTION("""COMPUTED_VALUE"""),0.0)</f>
        <v>0</v>
      </c>
      <c r="W3" s="87">
        <f>IFERROR(__xludf.DUMMYFUNCTION("""COMPUTED_VALUE"""),0.0)</f>
        <v>0</v>
      </c>
      <c r="X3" s="88"/>
      <c r="Y3" s="74"/>
      <c r="Z3" s="74"/>
    </row>
    <row r="4">
      <c r="B4" s="74" t="str">
        <f>IFERROR(__xludf.DUMMYFUNCTION("""COMPUTED_VALUE"""),"1001")</f>
        <v>1001</v>
      </c>
      <c r="C4" s="74" t="str">
        <f>IFERROR(__xludf.DUMMYFUNCTION("""COMPUTED_VALUE"""),"75045891001")</f>
        <v>75045891001</v>
      </c>
      <c r="D4" s="74" t="str">
        <f>IFERROR(__xludf.DUMMYFUNCTION("""COMPUTED_VALUE"""),"\\MCA-S\mk\2_BM\0_BMat\08_PYM\Inventario\excel\Imagen de refacciones\Ollas revolvedoras\canalon principal mtm - tipo nuevo")</f>
        <v>\\MCA-S\mk\2_BM\0_BMat\08_PYM\Inventario\excel\Imagen de refacciones\Ollas revolvedoras\canalon principal mtm - tipo nuevo</v>
      </c>
      <c r="E4" s="74" t="str">
        <f>IFERROR(__xludf.DUMMYFUNCTION("""COMPUTED_VALUE"""),"MAIN CHUTE ")</f>
        <v>MAIN CHUTE </v>
      </c>
      <c r="F4" s="74" t="str">
        <f>IFERROR(__xludf.DUMMYFUNCTION("""COMPUTED_VALUE"""),"CANALON PRINCIPAL MTM-TIPO NUEVO ")</f>
        <v>CANALON PRINCIPAL MTM-TIPO NUEVO </v>
      </c>
      <c r="G4" s="74"/>
      <c r="H4" s="74"/>
      <c r="I4" s="74" t="str">
        <f>IFERROR(__xludf.DUMMYFUNCTION("""COMPUTED_VALUE"""),"440.152625")</f>
        <v>440.152625</v>
      </c>
      <c r="J4" s="74"/>
      <c r="K4" s="74" t="str">
        <f>IFERROR(__xludf.DUMMYFUNCTION("""COMPUTED_VALUE"""),"Olla Revolvedora")</f>
        <v>Olla Revolvedora</v>
      </c>
      <c r="L4" s="74" t="str">
        <f>IFERROR(__xludf.DUMMYFUNCTION("""COMPUTED_VALUE"""),"Sistema de bombeo de concreto")</f>
        <v>Sistema de bombeo de concreto</v>
      </c>
      <c r="M4" s="74" t="str">
        <f>IFERROR(__xludf.DUMMYFUNCTION("""COMPUTED_VALUE"""),"Sin Asignar")</f>
        <v>Sin Asignar</v>
      </c>
      <c r="N4" s="87">
        <f>IFERROR(__xludf.DUMMYFUNCTION("""COMPUTED_VALUE"""),0.0)</f>
        <v>0</v>
      </c>
      <c r="O4" s="74"/>
      <c r="P4" s="74" t="str">
        <f>IFERROR(__xludf.DUMMYFUNCTION("""COMPUTED_VALUE"""),"To Re-purchase")</f>
        <v>To Re-purchase</v>
      </c>
      <c r="Q4" s="74"/>
      <c r="R4" s="74"/>
      <c r="S4" s="87">
        <f>IFERROR(__xludf.DUMMYFUNCTION("""COMPUTED_VALUE"""),0.0)</f>
        <v>0</v>
      </c>
      <c r="T4" s="87">
        <f>IFERROR(__xludf.DUMMYFUNCTION("""COMPUTED_VALUE"""),0.0)</f>
        <v>0</v>
      </c>
      <c r="U4" s="87">
        <f>IFERROR(__xludf.DUMMYFUNCTION("""COMPUTED_VALUE"""),0.0)</f>
        <v>0</v>
      </c>
      <c r="V4" s="87">
        <f>IFERROR(__xludf.DUMMYFUNCTION("""COMPUTED_VALUE"""),0.0)</f>
        <v>0</v>
      </c>
      <c r="W4" s="87">
        <f>IFERROR(__xludf.DUMMYFUNCTION("""COMPUTED_VALUE"""),0.0)</f>
        <v>0</v>
      </c>
      <c r="X4" s="88"/>
      <c r="Y4" s="74"/>
      <c r="Z4" s="74"/>
    </row>
    <row r="5">
      <c r="B5" s="74" t="str">
        <f>IFERROR(__xludf.DUMMYFUNCTION("""COMPUTED_VALUE"""),"1002")</f>
        <v>1002</v>
      </c>
      <c r="C5" s="74" t="str">
        <f>IFERROR(__xludf.DUMMYFUNCTION("""COMPUTED_VALUE"""),"75045891002")</f>
        <v>75045891002</v>
      </c>
      <c r="D5" s="74" t="str">
        <f>IFERROR(__xludf.DUMMYFUNCTION("""COMPUTED_VALUE"""),"\\MCA-S\mk\2_BM\0_BMat\08_PYM\Inventario\excel\Imagen de refacciones\Ollas revolvedoras\Canalon secundario mtm - tipo nuevo")</f>
        <v>\\MCA-S\mk\2_BM\0_BMat\08_PYM\Inventario\excel\Imagen de refacciones\Ollas revolvedoras\Canalon secundario mtm - tipo nuevo</v>
      </c>
      <c r="E5" s="74" t="str">
        <f>IFERROR(__xludf.DUMMYFUNCTION("""COMPUTED_VALUE"""),"FOLDOVER CHUTE ")</f>
        <v>FOLDOVER CHUTE </v>
      </c>
      <c r="F5" s="74" t="str">
        <f>IFERROR(__xludf.DUMMYFUNCTION("""COMPUTED_VALUE"""),"CANALON SECUNDARIO MTM- TIPO NUEVO")</f>
        <v>CANALON SECUNDARIO MTM- TIPO NUEVO</v>
      </c>
      <c r="G5" s="74"/>
      <c r="H5" s="74"/>
      <c r="I5" s="74" t="str">
        <f>IFERROR(__xludf.DUMMYFUNCTION("""COMPUTED_VALUE"""),"440.152630")</f>
        <v>440.152630</v>
      </c>
      <c r="J5" s="74"/>
      <c r="K5" s="74" t="str">
        <f>IFERROR(__xludf.DUMMYFUNCTION("""COMPUTED_VALUE"""),"Olla Revolvedora")</f>
        <v>Olla Revolvedora</v>
      </c>
      <c r="L5" s="74" t="str">
        <f>IFERROR(__xludf.DUMMYFUNCTION("""COMPUTED_VALUE"""),"Componentes estructurales y de montaje")</f>
        <v>Componentes estructurales y de montaje</v>
      </c>
      <c r="M5" s="74" t="str">
        <f>IFERROR(__xludf.DUMMYFUNCTION("""COMPUTED_VALUE"""),"Sin Asignar")</f>
        <v>Sin Asignar</v>
      </c>
      <c r="N5" s="87">
        <f>IFERROR(__xludf.DUMMYFUNCTION("""COMPUTED_VALUE"""),0.0)</f>
        <v>0</v>
      </c>
      <c r="O5" s="74"/>
      <c r="P5" s="74" t="str">
        <f>IFERROR(__xludf.DUMMYFUNCTION("""COMPUTED_VALUE"""),"To Re-purchase")</f>
        <v>To Re-purchase</v>
      </c>
      <c r="Q5" s="74"/>
      <c r="R5" s="74"/>
      <c r="S5" s="87">
        <f>IFERROR(__xludf.DUMMYFUNCTION("""COMPUTED_VALUE"""),0.0)</f>
        <v>0</v>
      </c>
      <c r="T5" s="87">
        <f>IFERROR(__xludf.DUMMYFUNCTION("""COMPUTED_VALUE"""),0.0)</f>
        <v>0</v>
      </c>
      <c r="U5" s="87">
        <f>IFERROR(__xludf.DUMMYFUNCTION("""COMPUTED_VALUE"""),0.0)</f>
        <v>0</v>
      </c>
      <c r="V5" s="87">
        <f>IFERROR(__xludf.DUMMYFUNCTION("""COMPUTED_VALUE"""),0.0)</f>
        <v>0</v>
      </c>
      <c r="W5" s="87">
        <f>IFERROR(__xludf.DUMMYFUNCTION("""COMPUTED_VALUE"""),0.0)</f>
        <v>0</v>
      </c>
      <c r="X5" s="88"/>
      <c r="Y5" s="74"/>
      <c r="Z5" s="74"/>
    </row>
    <row r="6">
      <c r="B6" s="74" t="str">
        <f>IFERROR(__xludf.DUMMYFUNCTION("""COMPUTED_VALUE"""),"1003")</f>
        <v>1003</v>
      </c>
      <c r="C6" s="74" t="str">
        <f>IFERROR(__xludf.DUMMYFUNCTION("""COMPUTED_VALUE"""),"75045891003")</f>
        <v>75045891003</v>
      </c>
      <c r="D6" s="74" t="str">
        <f>IFERROR(__xludf.DUMMYFUNCTION("""COMPUTED_VALUE"""),"\\MCA-S\mk\2_BM\0_BMat\08_PYM\Inventario\excel\Imagen de refacciones\Ollas revolvedoras\Extensión de canalon mtm - tipo nuevo")</f>
        <v>\\MCA-S\mk\2_BM\0_BMat\08_PYM\Inventario\excel\Imagen de refacciones\Ollas revolvedoras\Extensión de canalon mtm - tipo nuevo</v>
      </c>
      <c r="E6" s="74" t="str">
        <f>IFERROR(__xludf.DUMMYFUNCTION("""COMPUTED_VALUE"""),"PRIMERED STEEL CHUTE")</f>
        <v>PRIMERED STEEL CHUTE</v>
      </c>
      <c r="F6" s="74" t="str">
        <f>IFERROR(__xludf.DUMMYFUNCTION("""COMPUTED_VALUE"""),"EXTENSION DE CANALON MTM-TIPO NUEVO")</f>
        <v>EXTENSION DE CANALON MTM-TIPO NUEVO</v>
      </c>
      <c r="G6" s="74"/>
      <c r="H6" s="74"/>
      <c r="I6" s="74" t="str">
        <f>IFERROR(__xludf.DUMMYFUNCTION("""COMPUTED_VALUE"""),"440.82300")</f>
        <v>440.82300</v>
      </c>
      <c r="J6" s="74"/>
      <c r="K6" s="74" t="str">
        <f>IFERROR(__xludf.DUMMYFUNCTION("""COMPUTED_VALUE"""),"Olla Revolvedora")</f>
        <v>Olla Revolvedora</v>
      </c>
      <c r="L6" s="74" t="str">
        <f>IFERROR(__xludf.DUMMYFUNCTION("""COMPUTED_VALUE"""),"Sistema de bombeo de concreto")</f>
        <v>Sistema de bombeo de concreto</v>
      </c>
      <c r="M6" s="74" t="str">
        <f>IFERROR(__xludf.DUMMYFUNCTION("""COMPUTED_VALUE"""),"Sin Asignar")</f>
        <v>Sin Asignar</v>
      </c>
      <c r="N6" s="87">
        <f>IFERROR(__xludf.DUMMYFUNCTION("""COMPUTED_VALUE"""),0.0)</f>
        <v>0</v>
      </c>
      <c r="O6" s="74"/>
      <c r="P6" s="74" t="str">
        <f>IFERROR(__xludf.DUMMYFUNCTION("""COMPUTED_VALUE"""),"To Re-purchase")</f>
        <v>To Re-purchase</v>
      </c>
      <c r="Q6" s="74"/>
      <c r="R6" s="74"/>
      <c r="S6" s="87">
        <f>IFERROR(__xludf.DUMMYFUNCTION("""COMPUTED_VALUE"""),0.0)</f>
        <v>0</v>
      </c>
      <c r="T6" s="87">
        <f>IFERROR(__xludf.DUMMYFUNCTION("""COMPUTED_VALUE"""),0.0)</f>
        <v>0</v>
      </c>
      <c r="U6" s="87">
        <f>IFERROR(__xludf.DUMMYFUNCTION("""COMPUTED_VALUE"""),0.0)</f>
        <v>0</v>
      </c>
      <c r="V6" s="87">
        <f>IFERROR(__xludf.DUMMYFUNCTION("""COMPUTED_VALUE"""),0.0)</f>
        <v>0</v>
      </c>
      <c r="W6" s="87">
        <f>IFERROR(__xludf.DUMMYFUNCTION("""COMPUTED_VALUE"""),0.0)</f>
        <v>0</v>
      </c>
      <c r="X6" s="88"/>
      <c r="Y6" s="74"/>
      <c r="Z6" s="74"/>
    </row>
    <row r="7">
      <c r="B7" s="74" t="str">
        <f>IFERROR(__xludf.DUMMYFUNCTION("""COMPUTED_VALUE"""),"1004")</f>
        <v>1004</v>
      </c>
      <c r="C7" s="74" t="str">
        <f>IFERROR(__xludf.DUMMYFUNCTION("""COMPUTED_VALUE"""),"75045891004")</f>
        <v>75045891004</v>
      </c>
      <c r="D7" s="74" t="str">
        <f>IFERROR(__xludf.DUMMYFUNCTION("""COMPUTED_VALUE"""),"\\MCA-S\mk\2_BM\0_BMat\08_PYM\Inventario\excel\Imagen de refacciones\Ollas revolvedoras\Cono de carga")</f>
        <v>\\MCA-S\mk\2_BM\0_BMat\08_PYM\Inventario\excel\Imagen de refacciones\Ollas revolvedoras\Cono de carga</v>
      </c>
      <c r="E7" s="74" t="str">
        <f>IFERROR(__xludf.DUMMYFUNCTION("""COMPUTED_VALUE"""),"STANDARD OR FLIP-UP CHARGE HOPPER ")</f>
        <v>STANDARD OR FLIP-UP CHARGE HOPPER </v>
      </c>
      <c r="F7" s="74" t="str">
        <f>IFERROR(__xludf.DUMMYFUNCTION("""COMPUTED_VALUE"""),"CONO DE CARGA ")</f>
        <v>CONO DE CARGA </v>
      </c>
      <c r="G7" s="74"/>
      <c r="H7" s="74"/>
      <c r="I7" s="74" t="str">
        <f>IFERROR(__xludf.DUMMYFUNCTION("""COMPUTED_VALUE"""),"153370")</f>
        <v>153370</v>
      </c>
      <c r="J7" s="74"/>
      <c r="K7" s="74" t="str">
        <f>IFERROR(__xludf.DUMMYFUNCTION("""COMPUTED_VALUE"""),"Olla Revolvedora")</f>
        <v>Olla Revolvedora</v>
      </c>
      <c r="L7" s="74" t="str">
        <f>IFERROR(__xludf.DUMMYFUNCTION("""COMPUTED_VALUE"""),"Componentes para silos")</f>
        <v>Componentes para silos</v>
      </c>
      <c r="M7" s="74" t="str">
        <f>IFERROR(__xludf.DUMMYFUNCTION("""COMPUTED_VALUE"""),"Sin Asignar")</f>
        <v>Sin Asignar</v>
      </c>
      <c r="N7" s="87">
        <f>IFERROR(__xludf.DUMMYFUNCTION("""COMPUTED_VALUE"""),0.0)</f>
        <v>0</v>
      </c>
      <c r="O7" s="74"/>
      <c r="P7" s="74" t="str">
        <f>IFERROR(__xludf.DUMMYFUNCTION("""COMPUTED_VALUE"""),"To Re-purchase")</f>
        <v>To Re-purchase</v>
      </c>
      <c r="Q7" s="74"/>
      <c r="R7" s="74"/>
      <c r="S7" s="87">
        <f>IFERROR(__xludf.DUMMYFUNCTION("""COMPUTED_VALUE"""),0.0)</f>
        <v>0</v>
      </c>
      <c r="T7" s="87">
        <f>IFERROR(__xludf.DUMMYFUNCTION("""COMPUTED_VALUE"""),0.0)</f>
        <v>0</v>
      </c>
      <c r="U7" s="87">
        <f>IFERROR(__xludf.DUMMYFUNCTION("""COMPUTED_VALUE"""),0.0)</f>
        <v>0</v>
      </c>
      <c r="V7" s="87">
        <f>IFERROR(__xludf.DUMMYFUNCTION("""COMPUTED_VALUE"""),0.0)</f>
        <v>0</v>
      </c>
      <c r="W7" s="87">
        <f>IFERROR(__xludf.DUMMYFUNCTION("""COMPUTED_VALUE"""),0.0)</f>
        <v>0</v>
      </c>
      <c r="X7" s="88"/>
      <c r="Y7" s="74"/>
      <c r="Z7" s="74"/>
    </row>
    <row r="8">
      <c r="B8" s="74" t="str">
        <f>IFERROR(__xludf.DUMMYFUNCTION("""COMPUTED_VALUE"""),"1005")</f>
        <v>1005</v>
      </c>
      <c r="C8" s="74"/>
      <c r="D8" s="74" t="str">
        <f>IFERROR(__xludf.DUMMYFUNCTION("""COMPUTED_VALUE"""),"\\MCA-S\mk\2_BM\0_BMat\08_PYM\Inventario\excel\Imagen de refacciones\Ollas revolvedoras\tolva de carga  vampiro")</f>
        <v>\\MCA-S\mk\2_BM\0_BMat\08_PYM\Inventario\excel\Imagen de refacciones\Ollas revolvedoras\tolva de carga  vampiro</v>
      </c>
      <c r="E8" s="74" t="str">
        <f>IFERROR(__xludf.DUMMYFUNCTION("""COMPUTED_VALUE"""),"DISCHARGE HOPPER COLLECTOR CHUTE STANDARD")</f>
        <v>DISCHARGE HOPPER COLLECTOR CHUTE STANDARD</v>
      </c>
      <c r="F8" s="74" t="str">
        <f>IFERROR(__xludf.DUMMYFUNCTION("""COMPUTED_VALUE"""),"tolva de carga  vampiro")</f>
        <v>tolva de carga  vampiro</v>
      </c>
      <c r="G8" s="74"/>
      <c r="H8" s="74"/>
      <c r="I8" s="74" t="str">
        <f>IFERROR(__xludf.DUMMYFUNCTION("""COMPUTED_VALUE"""),"153330")</f>
        <v>153330</v>
      </c>
      <c r="J8" s="74"/>
      <c r="K8" s="74" t="str">
        <f>IFERROR(__xludf.DUMMYFUNCTION("""COMPUTED_VALUE"""),"Olla Revolvedora")</f>
        <v>Olla Revolvedora</v>
      </c>
      <c r="L8" s="74" t="str">
        <f>IFERROR(__xludf.DUMMYFUNCTION("""COMPUTED_VALUE"""),"Sistema de bombeo de concreto")</f>
        <v>Sistema de bombeo de concreto</v>
      </c>
      <c r="M8" s="74" t="str">
        <f>IFERROR(__xludf.DUMMYFUNCTION("""COMPUTED_VALUE"""),"Sin Asignar")</f>
        <v>Sin Asignar</v>
      </c>
      <c r="N8" s="87">
        <f>IFERROR(__xludf.DUMMYFUNCTION("""COMPUTED_VALUE"""),0.0)</f>
        <v>0</v>
      </c>
      <c r="O8" s="74"/>
      <c r="P8" s="74" t="str">
        <f>IFERROR(__xludf.DUMMYFUNCTION("""COMPUTED_VALUE"""),"No Available")</f>
        <v>No Available</v>
      </c>
      <c r="Q8" s="74"/>
      <c r="R8" s="74"/>
      <c r="S8" s="87">
        <f>IFERROR(__xludf.DUMMYFUNCTION("""COMPUTED_VALUE"""),0.0)</f>
        <v>0</v>
      </c>
      <c r="T8" s="87">
        <f>IFERROR(__xludf.DUMMYFUNCTION("""COMPUTED_VALUE"""),0.0)</f>
        <v>0</v>
      </c>
      <c r="U8" s="87">
        <f>IFERROR(__xludf.DUMMYFUNCTION("""COMPUTED_VALUE"""),0.0)</f>
        <v>0</v>
      </c>
      <c r="V8" s="87">
        <f>IFERROR(__xludf.DUMMYFUNCTION("""COMPUTED_VALUE"""),0.0)</f>
        <v>0</v>
      </c>
      <c r="W8" s="87">
        <f>IFERROR(__xludf.DUMMYFUNCTION("""COMPUTED_VALUE"""),0.0)</f>
        <v>0</v>
      </c>
      <c r="X8" s="88"/>
      <c r="Y8" s="74"/>
      <c r="Z8" s="74"/>
    </row>
    <row r="9">
      <c r="B9" s="74" t="str">
        <f>IFERROR(__xludf.DUMMYFUNCTION("""COMPUTED_VALUE"""),"1006")</f>
        <v>1006</v>
      </c>
      <c r="C9" s="74" t="str">
        <f>IFERROR(__xludf.DUMMYFUNCTION("""COMPUTED_VALUE"""),"75045891006")</f>
        <v>75045891006</v>
      </c>
      <c r="D9" s="74" t="str">
        <f>IFERROR(__xludf.DUMMYFUNCTION("""COMPUTED_VALUE"""),"\\MCA-S\mk\2_BM\0_BMat\08_PYM\Inventario\excel\Imagen de refacciones\Ollas revolvedoras\Ensamble de liga y gancho de plastico")</f>
        <v>\\MCA-S\mk\2_BM\0_BMat\08_PYM\Inventario\excel\Imagen de refacciones\Ollas revolvedoras\Ensamble de liga y gancho de plastico</v>
      </c>
      <c r="E9" s="74" t="str">
        <f>IFERROR(__xludf.DUMMYFUNCTION("""COMPUTED_VALUE"""),"ALUMINUM CHUTE HOLD DOWN HANDLE WITH 10IN RUBBER STRAP")</f>
        <v>ALUMINUM CHUTE HOLD DOWN HANDLE WITH 10IN RUBBER STRAP</v>
      </c>
      <c r="F9" s="74" t="str">
        <f>IFERROR(__xludf.DUMMYFUNCTION("""COMPUTED_VALUE"""),"ENSAMBLE DE LIGA Y GANCHO DE PLASTICO ")</f>
        <v>ENSAMBLE DE LIGA Y GANCHO DE PLASTICO </v>
      </c>
      <c r="G9" s="74"/>
      <c r="H9" s="74"/>
      <c r="I9" s="74" t="str">
        <f>IFERROR(__xludf.DUMMYFUNCTION("""COMPUTED_VALUE"""),"780.82629")</f>
        <v>780.82629</v>
      </c>
      <c r="J9" s="74"/>
      <c r="K9" s="74" t="str">
        <f>IFERROR(__xludf.DUMMYFUNCTION("""COMPUTED_VALUE"""),"Olla Revolvedora")</f>
        <v>Olla Revolvedora</v>
      </c>
      <c r="L9" s="74" t="str">
        <f>IFERROR(__xludf.DUMMYFUNCTION("""COMPUTED_VALUE"""),"Componentes estructurales y de montaje")</f>
        <v>Componentes estructurales y de montaje</v>
      </c>
      <c r="M9" s="74" t="str">
        <f>IFERROR(__xludf.DUMMYFUNCTION("""COMPUTED_VALUE"""),"Sin Asignar")</f>
        <v>Sin Asignar</v>
      </c>
      <c r="N9" s="87">
        <f>IFERROR(__xludf.DUMMYFUNCTION("""COMPUTED_VALUE"""),0.0)</f>
        <v>0</v>
      </c>
      <c r="O9" s="74"/>
      <c r="P9" s="74" t="str">
        <f>IFERROR(__xludf.DUMMYFUNCTION("""COMPUTED_VALUE"""),"To Re-purchase")</f>
        <v>To Re-purchase</v>
      </c>
      <c r="Q9" s="74"/>
      <c r="R9" s="74"/>
      <c r="S9" s="87">
        <f>IFERROR(__xludf.DUMMYFUNCTION("""COMPUTED_VALUE"""),0.0)</f>
        <v>0</v>
      </c>
      <c r="T9" s="87">
        <f>IFERROR(__xludf.DUMMYFUNCTION("""COMPUTED_VALUE"""),0.0)</f>
        <v>0</v>
      </c>
      <c r="U9" s="87">
        <f>IFERROR(__xludf.DUMMYFUNCTION("""COMPUTED_VALUE"""),0.0)</f>
        <v>0</v>
      </c>
      <c r="V9" s="87">
        <f>IFERROR(__xludf.DUMMYFUNCTION("""COMPUTED_VALUE"""),0.0)</f>
        <v>0</v>
      </c>
      <c r="W9" s="87">
        <f>IFERROR(__xludf.DUMMYFUNCTION("""COMPUTED_VALUE"""),0.0)</f>
        <v>0</v>
      </c>
      <c r="X9" s="88"/>
      <c r="Y9" s="74"/>
      <c r="Z9" s="74"/>
    </row>
    <row r="10">
      <c r="B10" s="74" t="str">
        <f>IFERROR(__xludf.DUMMYFUNCTION("""COMPUTED_VALUE"""),"1007")</f>
        <v>1007</v>
      </c>
      <c r="C10" s="74"/>
      <c r="D10" s="74" t="str">
        <f>IFERROR(__xludf.DUMMYFUNCTION("""COMPUTED_VALUE"""),"\\MCA-S\mk\2_BM\0_BMat\08_PYM\Inventario\excel\Imagen de refacciones\Ollas revolvedoras\Kit de 2 baleros con taza y 2 retenes para rodillo mtm 3-7_8_")</f>
        <v>\\MCA-S\mk\2_BM\0_BMat\08_PYM\Inventario\excel\Imagen de refacciones\Ollas revolvedoras\Kit de 2 baleros con taza y 2 retenes para rodillo mtm 3-7_8_</v>
      </c>
      <c r="E10" s="74"/>
      <c r="F10" s="74" t="str">
        <f>IFERROR(__xludf.DUMMYFUNCTION("""COMPUTED_VALUE"""),"Kit de 2 baleros con taza y 2 retenes para rodillo mtm 3-7/8""")</f>
        <v>Kit de 2 baleros con taza y 2 retenes para rodillo mtm 3-7/8"</v>
      </c>
      <c r="G10" s="74"/>
      <c r="H10" s="74"/>
      <c r="I10" s="74" t="str">
        <f>IFERROR(__xludf.DUMMYFUNCTION("""COMPUTED_VALUE"""),"150440BK")</f>
        <v>150440BK</v>
      </c>
      <c r="J10" s="74"/>
      <c r="K10" s="74" t="str">
        <f>IFERROR(__xludf.DUMMYFUNCTION("""COMPUTED_VALUE"""),"Olla Revolvedora")</f>
        <v>Olla Revolvedora</v>
      </c>
      <c r="L10" s="74" t="str">
        <f>IFERROR(__xludf.DUMMYFUNCTION("""COMPUTED_VALUE"""),"Transmisión mecánica")</f>
        <v>Transmisión mecánica</v>
      </c>
      <c r="M10" s="74" t="str">
        <f>IFERROR(__xludf.DUMMYFUNCTION("""COMPUTED_VALUE"""),"Sin Asignar")</f>
        <v>Sin Asignar</v>
      </c>
      <c r="N10" s="87">
        <f>IFERROR(__xludf.DUMMYFUNCTION("""COMPUTED_VALUE"""),0.0)</f>
        <v>0</v>
      </c>
      <c r="O10" s="74"/>
      <c r="P10" s="74" t="str">
        <f>IFERROR(__xludf.DUMMYFUNCTION("""COMPUTED_VALUE"""),"No Available")</f>
        <v>No Available</v>
      </c>
      <c r="Q10" s="74"/>
      <c r="R10" s="74"/>
      <c r="S10" s="87">
        <f>IFERROR(__xludf.DUMMYFUNCTION("""COMPUTED_VALUE"""),0.0)</f>
        <v>0</v>
      </c>
      <c r="T10" s="87">
        <f>IFERROR(__xludf.DUMMYFUNCTION("""COMPUTED_VALUE"""),0.0)</f>
        <v>0</v>
      </c>
      <c r="U10" s="87">
        <f>IFERROR(__xludf.DUMMYFUNCTION("""COMPUTED_VALUE"""),0.0)</f>
        <v>0</v>
      </c>
      <c r="V10" s="87">
        <f>IFERROR(__xludf.DUMMYFUNCTION("""COMPUTED_VALUE"""),0.0)</f>
        <v>0</v>
      </c>
      <c r="W10" s="87">
        <f>IFERROR(__xludf.DUMMYFUNCTION("""COMPUTED_VALUE"""),0.0)</f>
        <v>0</v>
      </c>
      <c r="X10" s="88"/>
      <c r="Y10" s="74"/>
      <c r="Z10" s="74"/>
    </row>
    <row r="11">
      <c r="B11" s="74" t="str">
        <f>IFERROR(__xludf.DUMMYFUNCTION("""COMPUTED_VALUE"""),"1008")</f>
        <v>1008</v>
      </c>
      <c r="C11" s="74" t="str">
        <f>IFERROR(__xludf.DUMMYFUNCTION("""COMPUTED_VALUE"""),"75045891008")</f>
        <v>75045891008</v>
      </c>
      <c r="D11" s="74" t="str">
        <f>IFERROR(__xludf.DUMMYFUNCTION("""COMPUTED_VALUE"""),"\\MCA-S\mk\2_BM\0_BMat\08_PYM\Inventario\excel\Imagen de refacciones\Ollas revolvedoras\Rodillo solo MTM 3-7_8_")</f>
        <v>\\MCA-S\mk\2_BM\0_BMat\08_PYM\Inventario\excel\Imagen de refacciones\Ollas revolvedoras\Rodillo solo MTM 3-7_8_</v>
      </c>
      <c r="E11" s="74" t="str">
        <f>IFERROR(__xludf.DUMMYFUNCTION("""COMPUTED_VALUE"""),"MCNEILUS MTM 3-7/8"" DRUM ROLLER ")</f>
        <v>MCNEILUS MTM 3-7/8" DRUM ROLLER </v>
      </c>
      <c r="F11" s="74" t="str">
        <f>IFERROR(__xludf.DUMMYFUNCTION("""COMPUTED_VALUE"""),"RODILLO SOLO MTM 3-7/8"" ")</f>
        <v>RODILLO SOLO MTM 3-7/8" </v>
      </c>
      <c r="G11" s="74"/>
      <c r="H11" s="74"/>
      <c r="I11" s="74" t="str">
        <f>IFERROR(__xludf.DUMMYFUNCTION("""COMPUTED_VALUE"""),"150442")</f>
        <v>150442</v>
      </c>
      <c r="J11" s="74"/>
      <c r="K11" s="74" t="str">
        <f>IFERROR(__xludf.DUMMYFUNCTION("""COMPUTED_VALUE"""),"Olla Revolvedora")</f>
        <v>Olla Revolvedora</v>
      </c>
      <c r="L11" s="74" t="str">
        <f>IFERROR(__xludf.DUMMYFUNCTION("""COMPUTED_VALUE"""),"Componentes estructurales y de montaje")</f>
        <v>Componentes estructurales y de montaje</v>
      </c>
      <c r="M11" s="74" t="str">
        <f>IFERROR(__xludf.DUMMYFUNCTION("""COMPUTED_VALUE"""),"Sin Asignar")</f>
        <v>Sin Asignar</v>
      </c>
      <c r="N11" s="87">
        <f>IFERROR(__xludf.DUMMYFUNCTION("""COMPUTED_VALUE"""),0.0)</f>
        <v>0</v>
      </c>
      <c r="O11" s="74"/>
      <c r="P11" s="74" t="str">
        <f>IFERROR(__xludf.DUMMYFUNCTION("""COMPUTED_VALUE"""),"To Re-purchase")</f>
        <v>To Re-purchase</v>
      </c>
      <c r="Q11" s="74"/>
      <c r="R11" s="74"/>
      <c r="S11" s="87">
        <f>IFERROR(__xludf.DUMMYFUNCTION("""COMPUTED_VALUE"""),0.0)</f>
        <v>0</v>
      </c>
      <c r="T11" s="87">
        <f>IFERROR(__xludf.DUMMYFUNCTION("""COMPUTED_VALUE"""),0.0)</f>
        <v>0</v>
      </c>
      <c r="U11" s="87">
        <f>IFERROR(__xludf.DUMMYFUNCTION("""COMPUTED_VALUE"""),0.0)</f>
        <v>0</v>
      </c>
      <c r="V11" s="87">
        <f>IFERROR(__xludf.DUMMYFUNCTION("""COMPUTED_VALUE"""),0.0)</f>
        <v>0</v>
      </c>
      <c r="W11" s="87">
        <f>IFERROR(__xludf.DUMMYFUNCTION("""COMPUTED_VALUE"""),0.0)</f>
        <v>0</v>
      </c>
      <c r="X11" s="88"/>
      <c r="Y11" s="74"/>
      <c r="Z11" s="74"/>
    </row>
    <row r="12">
      <c r="B12" s="74" t="str">
        <f>IFERROR(__xludf.DUMMYFUNCTION("""COMPUTED_VALUE"""),"1009")</f>
        <v>1009</v>
      </c>
      <c r="C12" s="74" t="str">
        <f>IFERROR(__xludf.DUMMYFUNCTION("""COMPUTED_VALUE"""),"75045891009")</f>
        <v>75045891009</v>
      </c>
      <c r="D12" s="74" t="str">
        <f>IFERROR(__xludf.DUMMYFUNCTION("""COMPUTED_VALUE"""),"\\MCA-S\mk\2_BM\0_BMat\08_PYM\Inventario\excel\Imagen de refacciones\Ollas revolvedoras\Barra de rodillo mtm 8_")</f>
        <v>\\MCA-S\mk\2_BM\0_BMat\08_PYM\Inventario\excel\Imagen de refacciones\Ollas revolvedoras\Barra de rodillo mtm 8_</v>
      </c>
      <c r="E12" s="74" t="str">
        <f>IFERROR(__xludf.DUMMYFUNCTION("""COMPUTED_VALUE"""),"DRUM ROLLER SHAFT 8IN OVERALL LENGTH")</f>
        <v>DRUM ROLLER SHAFT 8IN OVERALL LENGTH</v>
      </c>
      <c r="F12" s="74" t="str">
        <f>IFERROR(__xludf.DUMMYFUNCTION("""COMPUTED_VALUE"""),"BARRA DE RODILLO MTM 8""")</f>
        <v>BARRA DE RODILLO MTM 8"</v>
      </c>
      <c r="G12" s="74"/>
      <c r="H12" s="74"/>
      <c r="I12" s="74" t="str">
        <f>IFERROR(__xludf.DUMMYFUNCTION("""COMPUTED_VALUE"""),"150443")</f>
        <v>150443</v>
      </c>
      <c r="J12" s="74"/>
      <c r="K12" s="74" t="str">
        <f>IFERROR(__xludf.DUMMYFUNCTION("""COMPUTED_VALUE"""),"Olla Revolvedora")</f>
        <v>Olla Revolvedora</v>
      </c>
      <c r="L12" s="74" t="str">
        <f>IFERROR(__xludf.DUMMYFUNCTION("""COMPUTED_VALUE"""),"Componentes estructurales y de montaje")</f>
        <v>Componentes estructurales y de montaje</v>
      </c>
      <c r="M12" s="74" t="str">
        <f>IFERROR(__xludf.DUMMYFUNCTION("""COMPUTED_VALUE"""),"Sin Asignar")</f>
        <v>Sin Asignar</v>
      </c>
      <c r="N12" s="87">
        <f>IFERROR(__xludf.DUMMYFUNCTION("""COMPUTED_VALUE"""),0.0)</f>
        <v>0</v>
      </c>
      <c r="O12" s="74"/>
      <c r="P12" s="74" t="str">
        <f>IFERROR(__xludf.DUMMYFUNCTION("""COMPUTED_VALUE"""),"To Re-purchase")</f>
        <v>To Re-purchase</v>
      </c>
      <c r="Q12" s="74"/>
      <c r="R12" s="74"/>
      <c r="S12" s="87">
        <f>IFERROR(__xludf.DUMMYFUNCTION("""COMPUTED_VALUE"""),0.0)</f>
        <v>0</v>
      </c>
      <c r="T12" s="87">
        <f>IFERROR(__xludf.DUMMYFUNCTION("""COMPUTED_VALUE"""),0.0)</f>
        <v>0</v>
      </c>
      <c r="U12" s="87">
        <f>IFERROR(__xludf.DUMMYFUNCTION("""COMPUTED_VALUE"""),0.0)</f>
        <v>0</v>
      </c>
      <c r="V12" s="87">
        <f>IFERROR(__xludf.DUMMYFUNCTION("""COMPUTED_VALUE"""),0.0)</f>
        <v>0</v>
      </c>
      <c r="W12" s="87">
        <f>IFERROR(__xludf.DUMMYFUNCTION("""COMPUTED_VALUE"""),0.0)</f>
        <v>0</v>
      </c>
      <c r="X12" s="88"/>
      <c r="Y12" s="74"/>
      <c r="Z12" s="74"/>
    </row>
    <row r="13">
      <c r="B13" s="74" t="str">
        <f>IFERROR(__xludf.DUMMYFUNCTION("""COMPUTED_VALUE"""),"1010")</f>
        <v>1010</v>
      </c>
      <c r="C13" s="74" t="str">
        <f>IFERROR(__xludf.DUMMYFUNCTION("""COMPUTED_VALUE"""),"75045891010")</f>
        <v>75045891010</v>
      </c>
      <c r="D13" s="74" t="str">
        <f>IFERROR(__xludf.DUMMYFUNCTION("""COMPUTED_VALUE"""),"\\MCA-S\mk\2_BM\0_BMat\08_PYM\Inventario\excel\Imagen de refacciones\Ollas revolvedoras\Tuerca de seguridad mtm")</f>
        <v>\\MCA-S\mk\2_BM\0_BMat\08_PYM\Inventario\excel\Imagen de refacciones\Ollas revolvedoras\Tuerca de seguridad mtm</v>
      </c>
      <c r="E13" s="74" t="str">
        <f>IFERROR(__xludf.DUMMYFUNCTION("""COMPUTED_VALUE"""),"DRUM ROLLER LOCKNUT")</f>
        <v>DRUM ROLLER LOCKNUT</v>
      </c>
      <c r="F13" s="74" t="str">
        <f>IFERROR(__xludf.DUMMYFUNCTION("""COMPUTED_VALUE"""),"TUERCA DE SEGURIDAD MTM")</f>
        <v>TUERCA DE SEGURIDAD MTM</v>
      </c>
      <c r="G13" s="74"/>
      <c r="H13" s="74"/>
      <c r="I13" s="74" t="str">
        <f>IFERROR(__xludf.DUMMYFUNCTION("""COMPUTED_VALUE"""),"1030670")</f>
        <v>1030670</v>
      </c>
      <c r="J13" s="74"/>
      <c r="K13" s="74" t="str">
        <f>IFERROR(__xludf.DUMMYFUNCTION("""COMPUTED_VALUE"""),"Olla Revolvedora")</f>
        <v>Olla Revolvedora</v>
      </c>
      <c r="L13" s="74" t="str">
        <f>IFERROR(__xludf.DUMMYFUNCTION("""COMPUTED_VALUE"""),"Componentes estructurales y de montaje")</f>
        <v>Componentes estructurales y de montaje</v>
      </c>
      <c r="M13" s="74" t="str">
        <f>IFERROR(__xludf.DUMMYFUNCTION("""COMPUTED_VALUE"""),"Sin Asignar")</f>
        <v>Sin Asignar</v>
      </c>
      <c r="N13" s="87">
        <f>IFERROR(__xludf.DUMMYFUNCTION("""COMPUTED_VALUE"""),0.0)</f>
        <v>0</v>
      </c>
      <c r="O13" s="74"/>
      <c r="P13" s="74" t="str">
        <f>IFERROR(__xludf.DUMMYFUNCTION("""COMPUTED_VALUE"""),"To Re-purchase")</f>
        <v>To Re-purchase</v>
      </c>
      <c r="Q13" s="74"/>
      <c r="R13" s="74"/>
      <c r="S13" s="87">
        <f>IFERROR(__xludf.DUMMYFUNCTION("""COMPUTED_VALUE"""),0.0)</f>
        <v>0</v>
      </c>
      <c r="T13" s="87">
        <f>IFERROR(__xludf.DUMMYFUNCTION("""COMPUTED_VALUE"""),0.0)</f>
        <v>0</v>
      </c>
      <c r="U13" s="87">
        <f>IFERROR(__xludf.DUMMYFUNCTION("""COMPUTED_VALUE"""),0.0)</f>
        <v>0</v>
      </c>
      <c r="V13" s="87">
        <f>IFERROR(__xludf.DUMMYFUNCTION("""COMPUTED_VALUE"""),0.0)</f>
        <v>0</v>
      </c>
      <c r="W13" s="87">
        <f>IFERROR(__xludf.DUMMYFUNCTION("""COMPUTED_VALUE"""),0.0)</f>
        <v>0</v>
      </c>
      <c r="X13" s="88"/>
      <c r="Y13" s="74"/>
      <c r="Z13" s="74"/>
    </row>
    <row r="14">
      <c r="B14" s="74" t="str">
        <f>IFERROR(__xludf.DUMMYFUNCTION("""COMPUTED_VALUE"""),"1011")</f>
        <v>1011</v>
      </c>
      <c r="C14" s="74" t="str">
        <f>IFERROR(__xludf.DUMMYFUNCTION("""COMPUTED_VALUE"""),"75045891011")</f>
        <v>75045891011</v>
      </c>
      <c r="D14" s="74" t="str">
        <f>IFERROR(__xludf.DUMMYFUNCTION("""COMPUTED_VALUE"""),"\\MCA-S\mk\2_BM\0_BMat\08_PYM\Inventario\excel\Imagen de refacciones\Ollas revolvedoras\Rodillo solo london 4-3_4_")</f>
        <v>\\MCA-S\mk\2_BM\0_BMat\08_PYM\Inventario\excel\Imagen de refacciones\Ollas revolvedoras\Rodillo solo london 4-3_4_</v>
      </c>
      <c r="E14" s="74" t="str">
        <f>IFERROR(__xludf.DUMMYFUNCTION("""COMPUTED_VALUE"""),"LONDON DRUM ROLLER ASSEMBLY 4-3/4""")</f>
        <v>LONDON DRUM ROLLER ASSEMBLY 4-3/4"</v>
      </c>
      <c r="F14" s="74" t="str">
        <f>IFERROR(__xludf.DUMMYFUNCTION("""COMPUTED_VALUE"""),"RODILLO SOLO LONDON 4-3/4""")</f>
        <v>RODILLO SOLO LONDON 4-3/4"</v>
      </c>
      <c r="G14" s="74"/>
      <c r="H14" s="74"/>
      <c r="I14" s="74" t="str">
        <f>IFERROR(__xludf.DUMMYFUNCTION("""COMPUTED_VALUE"""),"28852-C")</f>
        <v>28852-C</v>
      </c>
      <c r="J14" s="74"/>
      <c r="K14" s="74" t="str">
        <f>IFERROR(__xludf.DUMMYFUNCTION("""COMPUTED_VALUE"""),"Olla Revolvedora")</f>
        <v>Olla Revolvedora</v>
      </c>
      <c r="L14" s="74" t="str">
        <f>IFERROR(__xludf.DUMMYFUNCTION("""COMPUTED_VALUE"""),"Componentes estructurales y de montaje")</f>
        <v>Componentes estructurales y de montaje</v>
      </c>
      <c r="M14" s="74" t="str">
        <f>IFERROR(__xludf.DUMMYFUNCTION("""COMPUTED_VALUE"""),"Sin Asignar")</f>
        <v>Sin Asignar</v>
      </c>
      <c r="N14" s="87">
        <f>IFERROR(__xludf.DUMMYFUNCTION("""COMPUTED_VALUE"""),0.0)</f>
        <v>0</v>
      </c>
      <c r="O14" s="74"/>
      <c r="P14" s="74" t="str">
        <f>IFERROR(__xludf.DUMMYFUNCTION("""COMPUTED_VALUE"""),"To Re-purchase")</f>
        <v>To Re-purchase</v>
      </c>
      <c r="Q14" s="74"/>
      <c r="R14" s="74"/>
      <c r="S14" s="87">
        <f>IFERROR(__xludf.DUMMYFUNCTION("""COMPUTED_VALUE"""),0.0)</f>
        <v>0</v>
      </c>
      <c r="T14" s="87">
        <f>IFERROR(__xludf.DUMMYFUNCTION("""COMPUTED_VALUE"""),0.0)</f>
        <v>0</v>
      </c>
      <c r="U14" s="87">
        <f>IFERROR(__xludf.DUMMYFUNCTION("""COMPUTED_VALUE"""),0.0)</f>
        <v>0</v>
      </c>
      <c r="V14" s="87">
        <f>IFERROR(__xludf.DUMMYFUNCTION("""COMPUTED_VALUE"""),0.0)</f>
        <v>0</v>
      </c>
      <c r="W14" s="87">
        <f>IFERROR(__xludf.DUMMYFUNCTION("""COMPUTED_VALUE"""),0.0)</f>
        <v>0</v>
      </c>
      <c r="X14" s="88"/>
      <c r="Y14" s="74"/>
      <c r="Z14" s="74"/>
    </row>
    <row r="15">
      <c r="B15" s="74" t="str">
        <f>IFERROR(__xludf.DUMMYFUNCTION("""COMPUTED_VALUE"""),"1012")</f>
        <v>1012</v>
      </c>
      <c r="C15" s="74"/>
      <c r="D15" s="74" t="str">
        <f>IFERROR(__xludf.DUMMYFUNCTION("""COMPUTED_VALUE"""),"\\MCA-S\mk\2_BM\0_BMat\08_PYM\Inventario\excel\Imagen de refacciones\Ollas revolvedoras\Perlilla negra para caja de control de cabina")</f>
        <v>\\MCA-S\mk\2_BM\0_BMat\08_PYM\Inventario\excel\Imagen de refacciones\Ollas revolvedoras\Perlilla negra para caja de control de cabina</v>
      </c>
      <c r="E15" s="74"/>
      <c r="F15" s="74" t="str">
        <f>IFERROR(__xludf.DUMMYFUNCTION("""COMPUTED_VALUE"""),"Perlilla negra para caja de control de cabina")</f>
        <v>Perlilla negra para caja de control de cabina</v>
      </c>
      <c r="G15" s="74"/>
      <c r="H15" s="74"/>
      <c r="I15" s="74" t="str">
        <f>IFERROR(__xludf.DUMMYFUNCTION("""COMPUTED_VALUE"""),"82485")</f>
        <v>82485</v>
      </c>
      <c r="J15" s="74"/>
      <c r="K15" s="74" t="str">
        <f>IFERROR(__xludf.DUMMYFUNCTION("""COMPUTED_VALUE"""),"Olla Revolvedora")</f>
        <v>Olla Revolvedora</v>
      </c>
      <c r="L15" s="74" t="str">
        <f>IFERROR(__xludf.DUMMYFUNCTION("""COMPUTED_VALUE"""),"Componentes eléctricos")</f>
        <v>Componentes eléctricos</v>
      </c>
      <c r="M15" s="74" t="str">
        <f>IFERROR(__xludf.DUMMYFUNCTION("""COMPUTED_VALUE"""),"Sin Asignar")</f>
        <v>Sin Asignar</v>
      </c>
      <c r="N15" s="87">
        <f>IFERROR(__xludf.DUMMYFUNCTION("""COMPUTED_VALUE"""),0.0)</f>
        <v>0</v>
      </c>
      <c r="O15" s="74"/>
      <c r="P15" s="74" t="str">
        <f>IFERROR(__xludf.DUMMYFUNCTION("""COMPUTED_VALUE"""),"No Available")</f>
        <v>No Available</v>
      </c>
      <c r="Q15" s="74"/>
      <c r="R15" s="74"/>
      <c r="S15" s="87">
        <f>IFERROR(__xludf.DUMMYFUNCTION("""COMPUTED_VALUE"""),0.0)</f>
        <v>0</v>
      </c>
      <c r="T15" s="87">
        <f>IFERROR(__xludf.DUMMYFUNCTION("""COMPUTED_VALUE"""),0.0)</f>
        <v>0</v>
      </c>
      <c r="U15" s="87">
        <f>IFERROR(__xludf.DUMMYFUNCTION("""COMPUTED_VALUE"""),0.0)</f>
        <v>0</v>
      </c>
      <c r="V15" s="87">
        <f>IFERROR(__xludf.DUMMYFUNCTION("""COMPUTED_VALUE"""),0.0)</f>
        <v>0</v>
      </c>
      <c r="W15" s="87">
        <f>IFERROR(__xludf.DUMMYFUNCTION("""COMPUTED_VALUE"""),0.0)</f>
        <v>0</v>
      </c>
      <c r="X15" s="88"/>
      <c r="Y15" s="74"/>
      <c r="Z15" s="74"/>
    </row>
    <row r="16">
      <c r="B16" s="74" t="str">
        <f>IFERROR(__xludf.DUMMYFUNCTION("""COMPUTED_VALUE"""),"1013")</f>
        <v>1013</v>
      </c>
      <c r="C16" s="74" t="str">
        <f>IFERROR(__xludf.DUMMYFUNCTION("""COMPUTED_VALUE"""),"75045891013")</f>
        <v>75045891013</v>
      </c>
      <c r="D16" s="74" t="str">
        <f>IFERROR(__xludf.DUMMYFUNCTION("""COMPUTED_VALUE"""),"\\MCA-S\mk\2_BM\0_BMat\08_PYM\Inventario\excel\Imagen de refacciones\Ollas revolvedoras\Palanca sin agarradera")</f>
        <v>\\MCA-S\mk\2_BM\0_BMat\08_PYM\Inventario\excel\Imagen de refacciones\Ollas revolvedoras\Palanca sin agarradera</v>
      </c>
      <c r="E16" s="74" t="str">
        <f>IFERROR(__xludf.DUMMYFUNCTION("""COMPUTED_VALUE"""),"REAR CONTROL BOX LEVER ARM")</f>
        <v>REAR CONTROL BOX LEVER ARM</v>
      </c>
      <c r="F16" s="74" t="str">
        <f>IFERROR(__xludf.DUMMYFUNCTION("""COMPUTED_VALUE"""),"PALANCA SIN AGARRADERA ")</f>
        <v>PALANCA SIN AGARRADERA </v>
      </c>
      <c r="G16" s="74"/>
      <c r="H16" s="74"/>
      <c r="I16" s="74" t="str">
        <f>IFERROR(__xludf.DUMMYFUNCTION("""COMPUTED_VALUE"""),"153885")</f>
        <v>153885</v>
      </c>
      <c r="J16" s="74"/>
      <c r="K16" s="74" t="str">
        <f>IFERROR(__xludf.DUMMYFUNCTION("""COMPUTED_VALUE"""),"Olla Revolvedora")</f>
        <v>Olla Revolvedora</v>
      </c>
      <c r="L16" s="74" t="str">
        <f>IFERROR(__xludf.DUMMYFUNCTION("""COMPUTED_VALUE"""),"Componentes estructurales y de montaje")</f>
        <v>Componentes estructurales y de montaje</v>
      </c>
      <c r="M16" s="74" t="str">
        <f>IFERROR(__xludf.DUMMYFUNCTION("""COMPUTED_VALUE"""),"Sin Asignar")</f>
        <v>Sin Asignar</v>
      </c>
      <c r="N16" s="87">
        <f>IFERROR(__xludf.DUMMYFUNCTION("""COMPUTED_VALUE"""),0.0)</f>
        <v>0</v>
      </c>
      <c r="O16" s="74"/>
      <c r="P16" s="74" t="str">
        <f>IFERROR(__xludf.DUMMYFUNCTION("""COMPUTED_VALUE"""),"To Re-purchase")</f>
        <v>To Re-purchase</v>
      </c>
      <c r="Q16" s="74"/>
      <c r="R16" s="74"/>
      <c r="S16" s="87">
        <f>IFERROR(__xludf.DUMMYFUNCTION("""COMPUTED_VALUE"""),0.0)</f>
        <v>0</v>
      </c>
      <c r="T16" s="87">
        <f>IFERROR(__xludf.DUMMYFUNCTION("""COMPUTED_VALUE"""),0.0)</f>
        <v>0</v>
      </c>
      <c r="U16" s="87">
        <f>IFERROR(__xludf.DUMMYFUNCTION("""COMPUTED_VALUE"""),0.0)</f>
        <v>0</v>
      </c>
      <c r="V16" s="87">
        <f>IFERROR(__xludf.DUMMYFUNCTION("""COMPUTED_VALUE"""),0.0)</f>
        <v>0</v>
      </c>
      <c r="W16" s="87">
        <f>IFERROR(__xludf.DUMMYFUNCTION("""COMPUTED_VALUE"""),0.0)</f>
        <v>0</v>
      </c>
      <c r="X16" s="88"/>
      <c r="Y16" s="74"/>
      <c r="Z16" s="74"/>
    </row>
    <row r="17">
      <c r="B17" s="74" t="str">
        <f>IFERROR(__xludf.DUMMYFUNCTION("""COMPUTED_VALUE"""),"1014")</f>
        <v>1014</v>
      </c>
      <c r="C17" s="74" t="str">
        <f>IFERROR(__xludf.DUMMYFUNCTION("""COMPUTED_VALUE"""),"75045891014")</f>
        <v>75045891014</v>
      </c>
      <c r="D17" s="74" t="str">
        <f>IFERROR(__xludf.DUMMYFUNCTION("""COMPUTED_VALUE"""),"\\MCA-S\mk\2_BM\0_BMat\08_PYM\Inventario\excel\Imagen de refacciones\Ollas revolvedoras\Switch cola de rata - retractril")</f>
        <v>\\MCA-S\mk\2_BM\0_BMat\08_PYM\Inventario\excel\Imagen de refacciones\Ollas revolvedoras\Switch cola de rata - retractril</v>
      </c>
      <c r="E17" s="74" t="str">
        <f>IFERROR(__xludf.DUMMYFUNCTION("""COMPUTED_VALUE"""),"ELECTRICAL SWITCH W/PIGTAIL MOMENTARY")</f>
        <v>ELECTRICAL SWITCH W/PIGTAIL MOMENTARY</v>
      </c>
      <c r="F17" s="74" t="str">
        <f>IFERROR(__xludf.DUMMYFUNCTION("""COMPUTED_VALUE"""),"SWITCH COLA DE RATA RETRACTIL")</f>
        <v>SWITCH COLA DE RATA RETRACTIL</v>
      </c>
      <c r="G17" s="74"/>
      <c r="H17" s="74"/>
      <c r="I17" s="74" t="str">
        <f>IFERROR(__xludf.DUMMYFUNCTION("""COMPUTED_VALUE"""),"85693HW")</f>
        <v>85693HW</v>
      </c>
      <c r="J17" s="74"/>
      <c r="K17" s="74" t="str">
        <f>IFERROR(__xludf.DUMMYFUNCTION("""COMPUTED_VALUE"""),"Olla Revolvedora")</f>
        <v>Olla Revolvedora</v>
      </c>
      <c r="L17" s="74" t="str">
        <f>IFERROR(__xludf.DUMMYFUNCTION("""COMPUTED_VALUE"""),"Componentes eléctricos")</f>
        <v>Componentes eléctricos</v>
      </c>
      <c r="M17" s="74" t="str">
        <f>IFERROR(__xludf.DUMMYFUNCTION("""COMPUTED_VALUE"""),"Sin Asignar")</f>
        <v>Sin Asignar</v>
      </c>
      <c r="N17" s="87">
        <f>IFERROR(__xludf.DUMMYFUNCTION("""COMPUTED_VALUE"""),0.0)</f>
        <v>0</v>
      </c>
      <c r="O17" s="74"/>
      <c r="P17" s="74" t="str">
        <f>IFERROR(__xludf.DUMMYFUNCTION("""COMPUTED_VALUE"""),"To Re-purchase")</f>
        <v>To Re-purchase</v>
      </c>
      <c r="Q17" s="74"/>
      <c r="R17" s="74"/>
      <c r="S17" s="87">
        <f>IFERROR(__xludf.DUMMYFUNCTION("""COMPUTED_VALUE"""),0.0)</f>
        <v>0</v>
      </c>
      <c r="T17" s="87">
        <f>IFERROR(__xludf.DUMMYFUNCTION("""COMPUTED_VALUE"""),0.0)</f>
        <v>0</v>
      </c>
      <c r="U17" s="87">
        <f>IFERROR(__xludf.DUMMYFUNCTION("""COMPUTED_VALUE"""),0.0)</f>
        <v>0</v>
      </c>
      <c r="V17" s="87">
        <f>IFERROR(__xludf.DUMMYFUNCTION("""COMPUTED_VALUE"""),0.0)</f>
        <v>0</v>
      </c>
      <c r="W17" s="87">
        <f>IFERROR(__xludf.DUMMYFUNCTION("""COMPUTED_VALUE"""),0.0)</f>
        <v>0</v>
      </c>
      <c r="X17" s="88"/>
      <c r="Y17" s="74"/>
      <c r="Z17" s="74"/>
    </row>
    <row r="18">
      <c r="B18" s="74" t="str">
        <f>IFERROR(__xludf.DUMMYFUNCTION("""COMPUTED_VALUE"""),"1015")</f>
        <v>1015</v>
      </c>
      <c r="C18" s="74" t="str">
        <f>IFERROR(__xludf.DUMMYFUNCTION("""COMPUTED_VALUE"""),"75045891015")</f>
        <v>75045891015</v>
      </c>
      <c r="D18" s="74" t="str">
        <f>IFERROR(__xludf.DUMMYFUNCTION("""COMPUTED_VALUE"""),"\\MCA-S\mk\2_BM\0_BMat\08_PYM\Inventario\excel\Imagen de refacciones\Ollas revolvedoras\Swithc cola de rata - estático")</f>
        <v>\\MCA-S\mk\2_BM\0_BMat\08_PYM\Inventario\excel\Imagen de refacciones\Ollas revolvedoras\Swithc cola de rata - estático</v>
      </c>
      <c r="E18" s="74" t="str">
        <f>IFERROR(__xludf.DUMMYFUNCTION("""COMPUTED_VALUE"""),"ELECTRICAL SWITCH W/PIGTAIL ")</f>
        <v>ELECTRICAL SWITCH W/PIGTAIL </v>
      </c>
      <c r="F18" s="74" t="str">
        <f>IFERROR(__xludf.DUMMYFUNCTION("""COMPUTED_VALUE"""),"SWITCH COLA DE RATA ESTATICO")</f>
        <v>SWITCH COLA DE RATA ESTATICO</v>
      </c>
      <c r="G18" s="74"/>
      <c r="H18" s="74"/>
      <c r="I18" s="74" t="str">
        <f>IFERROR(__xludf.DUMMYFUNCTION("""COMPUTED_VALUE"""),"110195HW")</f>
        <v>110195HW</v>
      </c>
      <c r="J18" s="74"/>
      <c r="K18" s="74" t="str">
        <f>IFERROR(__xludf.DUMMYFUNCTION("""COMPUTED_VALUE"""),"Olla Revolvedora")</f>
        <v>Olla Revolvedora</v>
      </c>
      <c r="L18" s="74" t="str">
        <f>IFERROR(__xludf.DUMMYFUNCTION("""COMPUTED_VALUE"""),"Componentes eléctricos")</f>
        <v>Componentes eléctricos</v>
      </c>
      <c r="M18" s="74" t="str">
        <f>IFERROR(__xludf.DUMMYFUNCTION("""COMPUTED_VALUE"""),"Sin Asignar")</f>
        <v>Sin Asignar</v>
      </c>
      <c r="N18" s="87">
        <f>IFERROR(__xludf.DUMMYFUNCTION("""COMPUTED_VALUE"""),0.0)</f>
        <v>0</v>
      </c>
      <c r="O18" s="74"/>
      <c r="P18" s="74" t="str">
        <f>IFERROR(__xludf.DUMMYFUNCTION("""COMPUTED_VALUE"""),"To Re-purchase")</f>
        <v>To Re-purchase</v>
      </c>
      <c r="Q18" s="74"/>
      <c r="R18" s="74"/>
      <c r="S18" s="87">
        <f>IFERROR(__xludf.DUMMYFUNCTION("""COMPUTED_VALUE"""),0.0)</f>
        <v>0</v>
      </c>
      <c r="T18" s="87">
        <f>IFERROR(__xludf.DUMMYFUNCTION("""COMPUTED_VALUE"""),0.0)</f>
        <v>0</v>
      </c>
      <c r="U18" s="87">
        <f>IFERROR(__xludf.DUMMYFUNCTION("""COMPUTED_VALUE"""),0.0)</f>
        <v>0</v>
      </c>
      <c r="V18" s="87">
        <f>IFERROR(__xludf.DUMMYFUNCTION("""COMPUTED_VALUE"""),0.0)</f>
        <v>0</v>
      </c>
      <c r="W18" s="87">
        <f>IFERROR(__xludf.DUMMYFUNCTION("""COMPUTED_VALUE"""),0.0)</f>
        <v>0</v>
      </c>
      <c r="X18" s="88"/>
      <c r="Y18" s="74"/>
      <c r="Z18" s="74"/>
    </row>
    <row r="19">
      <c r="B19" s="74" t="str">
        <f>IFERROR(__xludf.DUMMYFUNCTION("""COMPUTED_VALUE"""),"1016")</f>
        <v>1016</v>
      </c>
      <c r="C19" s="74" t="str">
        <f>IFERROR(__xludf.DUMMYFUNCTION("""COMPUTED_VALUE"""),"75045891016")</f>
        <v>75045891016</v>
      </c>
      <c r="D19" s="74" t="str">
        <f>IFERROR(__xludf.DUMMYFUNCTION("""COMPUTED_VALUE"""),"\\MCA-S\mk\2_BM\0_BMat\08_PYM\Inventario\excel\Imagen de refacciones\Ollas revolvedoras\Swithc eléctrico on_off")</f>
        <v>\\MCA-S\mk\2_BM\0_BMat\08_PYM\Inventario\excel\Imagen de refacciones\Ollas revolvedoras\Swithc eléctrico on_off</v>
      </c>
      <c r="E19" s="74" t="str">
        <f>IFERROR(__xludf.DUMMYFUNCTION("""COMPUTED_VALUE"""),"ELECTRIC TOGGLE SWITCH  ON/OFF/ON")</f>
        <v>ELECTRIC TOGGLE SWITCH  ON/OFF/ON</v>
      </c>
      <c r="F19" s="74" t="str">
        <f>IFERROR(__xludf.DUMMYFUNCTION("""COMPUTED_VALUE"""),"SWITCH ELECTRICO ON/OFF")</f>
        <v>SWITCH ELECTRICO ON/OFF</v>
      </c>
      <c r="G19" s="74"/>
      <c r="H19" s="74"/>
      <c r="I19" s="74" t="str">
        <f>IFERROR(__xludf.DUMMYFUNCTION("""COMPUTED_VALUE"""),"189135")</f>
        <v>189135</v>
      </c>
      <c r="J19" s="74"/>
      <c r="K19" s="74" t="str">
        <f>IFERROR(__xludf.DUMMYFUNCTION("""COMPUTED_VALUE"""),"Olla Revolvedora")</f>
        <v>Olla Revolvedora</v>
      </c>
      <c r="L19" s="74" t="str">
        <f>IFERROR(__xludf.DUMMYFUNCTION("""COMPUTED_VALUE"""),"Componentes eléctricos")</f>
        <v>Componentes eléctricos</v>
      </c>
      <c r="M19" s="74" t="str">
        <f>IFERROR(__xludf.DUMMYFUNCTION("""COMPUTED_VALUE"""),"Sin Asignar")</f>
        <v>Sin Asignar</v>
      </c>
      <c r="N19" s="87">
        <f>IFERROR(__xludf.DUMMYFUNCTION("""COMPUTED_VALUE"""),0.0)</f>
        <v>0</v>
      </c>
      <c r="O19" s="74"/>
      <c r="P19" s="74" t="str">
        <f>IFERROR(__xludf.DUMMYFUNCTION("""COMPUTED_VALUE"""),"To Re-purchase")</f>
        <v>To Re-purchase</v>
      </c>
      <c r="Q19" s="74"/>
      <c r="R19" s="74"/>
      <c r="S19" s="87">
        <f>IFERROR(__xludf.DUMMYFUNCTION("""COMPUTED_VALUE"""),0.0)</f>
        <v>0</v>
      </c>
      <c r="T19" s="87">
        <f>IFERROR(__xludf.DUMMYFUNCTION("""COMPUTED_VALUE"""),0.0)</f>
        <v>0</v>
      </c>
      <c r="U19" s="87">
        <f>IFERROR(__xludf.DUMMYFUNCTION("""COMPUTED_VALUE"""),0.0)</f>
        <v>0</v>
      </c>
      <c r="V19" s="87">
        <f>IFERROR(__xludf.DUMMYFUNCTION("""COMPUTED_VALUE"""),0.0)</f>
        <v>0</v>
      </c>
      <c r="W19" s="87">
        <f>IFERROR(__xludf.DUMMYFUNCTION("""COMPUTED_VALUE"""),0.0)</f>
        <v>0</v>
      </c>
      <c r="X19" s="88"/>
      <c r="Y19" s="74"/>
      <c r="Z19" s="74"/>
    </row>
    <row r="20">
      <c r="B20" s="74" t="str">
        <f>IFERROR(__xludf.DUMMYFUNCTION("""COMPUTED_VALUE"""),"1017")</f>
        <v>1017</v>
      </c>
      <c r="C20" s="74" t="str">
        <f>IFERROR(__xludf.DUMMYFUNCTION("""COMPUTED_VALUE"""),"7504891017")</f>
        <v>7504891017</v>
      </c>
      <c r="D20" s="74" t="str">
        <f>IFERROR(__xludf.DUMMYFUNCTION("""COMPUTED_VALUE"""),"\\MCA-S\mk\2_BM\0_BMat\08_PYM\Inventario\excel\Imagen de refacciones\Ollas revolvedoras\Switch control aceleración")</f>
        <v>\\MCA-S\mk\2_BM\0_BMat\08_PYM\Inventario\excel\Imagen de refacciones\Ollas revolvedoras\Switch control aceleración</v>
      </c>
      <c r="E20" s="74" t="str">
        <f>IFERROR(__xludf.DUMMYFUNCTION("""COMPUTED_VALUE"""),"PRESSURE SWITCH")</f>
        <v>PRESSURE SWITCH</v>
      </c>
      <c r="F20" s="74" t="str">
        <f>IFERROR(__xludf.DUMMYFUNCTION("""COMPUTED_VALUE"""),"SWITCH CONTROL ACELERACION  ")</f>
        <v>SWITCH CONTROL ACELERACION  </v>
      </c>
      <c r="G20" s="74"/>
      <c r="H20" s="74"/>
      <c r="I20" s="74" t="str">
        <f>IFERROR(__xludf.DUMMYFUNCTION("""COMPUTED_VALUE"""),"110215")</f>
        <v>110215</v>
      </c>
      <c r="J20" s="74" t="str">
        <f>IFERROR(__xludf.DUMMYFUNCTION("""COMPUTED_VALUE"""),"060.110215 ")</f>
        <v>060.110215 </v>
      </c>
      <c r="K20" s="74" t="str">
        <f>IFERROR(__xludf.DUMMYFUNCTION("""COMPUTED_VALUE"""),"Olla Revolvedora")</f>
        <v>Olla Revolvedora</v>
      </c>
      <c r="L20" s="74" t="str">
        <f>IFERROR(__xludf.DUMMYFUNCTION("""COMPUTED_VALUE"""),"Componentes eléctricos")</f>
        <v>Componentes eléctricos</v>
      </c>
      <c r="M20" s="74" t="str">
        <f>IFERROR(__xludf.DUMMYFUNCTION("""COMPUTED_VALUE"""),"Sin Asignar")</f>
        <v>Sin Asignar</v>
      </c>
      <c r="N20" s="87">
        <f>IFERROR(__xludf.DUMMYFUNCTION("""COMPUTED_VALUE"""),0.0)</f>
        <v>0</v>
      </c>
      <c r="O20" s="74"/>
      <c r="P20" s="74" t="str">
        <f>IFERROR(__xludf.DUMMYFUNCTION("""COMPUTED_VALUE"""),"To Re-purchase")</f>
        <v>To Re-purchase</v>
      </c>
      <c r="Q20" s="74"/>
      <c r="R20" s="74"/>
      <c r="S20" s="87">
        <f>IFERROR(__xludf.DUMMYFUNCTION("""COMPUTED_VALUE"""),0.0)</f>
        <v>0</v>
      </c>
      <c r="T20" s="87">
        <f>IFERROR(__xludf.DUMMYFUNCTION("""COMPUTED_VALUE"""),0.0)</f>
        <v>0</v>
      </c>
      <c r="U20" s="87">
        <f>IFERROR(__xludf.DUMMYFUNCTION("""COMPUTED_VALUE"""),0.0)</f>
        <v>0</v>
      </c>
      <c r="V20" s="87">
        <f>IFERROR(__xludf.DUMMYFUNCTION("""COMPUTED_VALUE"""),0.0)</f>
        <v>0</v>
      </c>
      <c r="W20" s="87">
        <f>IFERROR(__xludf.DUMMYFUNCTION("""COMPUTED_VALUE"""),0.0)</f>
        <v>0</v>
      </c>
      <c r="X20" s="88"/>
      <c r="Y20" s="74"/>
      <c r="Z20" s="74"/>
    </row>
    <row r="21">
      <c r="B21" s="74" t="str">
        <f>IFERROR(__xludf.DUMMYFUNCTION("""COMPUTED_VALUE"""),"1018")</f>
        <v>1018</v>
      </c>
      <c r="C21" s="74" t="str">
        <f>IFERROR(__xludf.DUMMYFUNCTION("""COMPUTED_VALUE"""),"7504891018")</f>
        <v>7504891018</v>
      </c>
      <c r="D21" s="74" t="str">
        <f>IFERROR(__xludf.DUMMYFUNCTION("""COMPUTED_VALUE"""),"\\MCA-S\mk\2_BM\0_BMat\08_PYM\Inventario\excel\Imagen de refacciones\Ollas revolvedoras\flecha de transmisión de olla de 42_")</f>
        <v>\\MCA-S\mk\2_BM\0_BMat\08_PYM\Inventario\excel\Imagen de refacciones\Ollas revolvedoras\flecha de transmisión de olla de 42_</v>
      </c>
      <c r="E21" s="74"/>
      <c r="F21" s="74" t="str">
        <f>IFERROR(__xludf.DUMMYFUNCTION("""COMPUTED_VALUE"""),"FLECHA TRANSMISION DE OLLA 42"" ")</f>
        <v>FLECHA TRANSMISION DE OLLA 42" </v>
      </c>
      <c r="G21" s="74"/>
      <c r="H21" s="74"/>
      <c r="I21" s="74" t="str">
        <f>IFERROR(__xludf.DUMMYFUNCTION("""COMPUTED_VALUE"""),"MTM0000740")</f>
        <v>MTM0000740</v>
      </c>
      <c r="J21" s="74"/>
      <c r="K21" s="74" t="str">
        <f>IFERROR(__xludf.DUMMYFUNCTION("""COMPUTED_VALUE"""),"Olla Revolvedora")</f>
        <v>Olla Revolvedora</v>
      </c>
      <c r="L21" s="74" t="str">
        <f>IFERROR(__xludf.DUMMYFUNCTION("""COMPUTED_VALUE"""),"Transmisión mecánica")</f>
        <v>Transmisión mecánica</v>
      </c>
      <c r="M21" s="74" t="str">
        <f>IFERROR(__xludf.DUMMYFUNCTION("""COMPUTED_VALUE"""),"Sin Asignar")</f>
        <v>Sin Asignar</v>
      </c>
      <c r="N21" s="87">
        <f>IFERROR(__xludf.DUMMYFUNCTION("""COMPUTED_VALUE"""),0.0)</f>
        <v>0</v>
      </c>
      <c r="O21" s="74"/>
      <c r="P21" s="74" t="str">
        <f>IFERROR(__xludf.DUMMYFUNCTION("""COMPUTED_VALUE"""),"To Re-purchase")</f>
        <v>To Re-purchase</v>
      </c>
      <c r="Q21" s="74"/>
      <c r="R21" s="74"/>
      <c r="S21" s="87">
        <f>IFERROR(__xludf.DUMMYFUNCTION("""COMPUTED_VALUE"""),0.0)</f>
        <v>0</v>
      </c>
      <c r="T21" s="87">
        <f>IFERROR(__xludf.DUMMYFUNCTION("""COMPUTED_VALUE"""),0.0)</f>
        <v>0</v>
      </c>
      <c r="U21" s="87">
        <f>IFERROR(__xludf.DUMMYFUNCTION("""COMPUTED_VALUE"""),0.0)</f>
        <v>0</v>
      </c>
      <c r="V21" s="87">
        <f>IFERROR(__xludf.DUMMYFUNCTION("""COMPUTED_VALUE"""),0.0)</f>
        <v>0</v>
      </c>
      <c r="W21" s="87">
        <f>IFERROR(__xludf.DUMMYFUNCTION("""COMPUTED_VALUE"""),0.0)</f>
        <v>0</v>
      </c>
      <c r="X21" s="88"/>
      <c r="Y21" s="74"/>
      <c r="Z21" s="74"/>
    </row>
    <row r="22">
      <c r="B22" s="74" t="str">
        <f>IFERROR(__xludf.DUMMYFUNCTION("""COMPUTED_VALUE"""),"1019")</f>
        <v>1019</v>
      </c>
      <c r="C22" s="74" t="str">
        <f>IFERROR(__xludf.DUMMYFUNCTION("""COMPUTED_VALUE"""),"7504891019")</f>
        <v>7504891019</v>
      </c>
      <c r="D22" s="74" t="str">
        <f>IFERROR(__xludf.DUMMYFUNCTION("""COMPUTED_VALUE"""),"\\MCA-S\mk\2_BM\0_BMat\08_PYM\Inventario\excel\Imagen de refacciones\Ollas revolvedoras\Rodillo completo Rex_Challenge")</f>
        <v>\\MCA-S\mk\2_BM\0_BMat\08_PYM\Inventario\excel\Imagen de refacciones\Ollas revolvedoras\Rodillo completo Rex_Challenge</v>
      </c>
      <c r="E22" s="74" t="str">
        <f>IFERROR(__xludf.DUMMYFUNCTION("""COMPUTED_VALUE"""),"COMPLETE DTUM ROLLER ASSEMBLY")</f>
        <v>COMPLETE DTUM ROLLER ASSEMBLY</v>
      </c>
      <c r="F22" s="74" t="str">
        <f>IFERROR(__xludf.DUMMYFUNCTION("""COMPUTED_VALUE"""),"RODILLO COMPLETO REX/CHALLENGE")</f>
        <v>RODILLO COMPLETO REX/CHALLENGE</v>
      </c>
      <c r="G22" s="74"/>
      <c r="H22" s="74"/>
      <c r="I22" s="74" t="str">
        <f>IFERROR(__xludf.DUMMYFUNCTION("""COMPUTED_VALUE"""),"5002358")</f>
        <v>5002358</v>
      </c>
      <c r="J22" s="74"/>
      <c r="K22" s="74" t="str">
        <f>IFERROR(__xludf.DUMMYFUNCTION("""COMPUTED_VALUE"""),"Olla Revolvedora")</f>
        <v>Olla Revolvedora</v>
      </c>
      <c r="L22" s="74" t="str">
        <f>IFERROR(__xludf.DUMMYFUNCTION("""COMPUTED_VALUE"""),"Componentes estructurales y de montaje")</f>
        <v>Componentes estructurales y de montaje</v>
      </c>
      <c r="M22" s="74" t="str">
        <f>IFERROR(__xludf.DUMMYFUNCTION("""COMPUTED_VALUE"""),"Sin Asignar")</f>
        <v>Sin Asignar</v>
      </c>
      <c r="N22" s="87">
        <f>IFERROR(__xludf.DUMMYFUNCTION("""COMPUTED_VALUE"""),0.0)</f>
        <v>0</v>
      </c>
      <c r="O22" s="74"/>
      <c r="P22" s="74" t="str">
        <f>IFERROR(__xludf.DUMMYFUNCTION("""COMPUTED_VALUE"""),"To Re-purchase")</f>
        <v>To Re-purchase</v>
      </c>
      <c r="Q22" s="74"/>
      <c r="R22" s="74"/>
      <c r="S22" s="87">
        <f>IFERROR(__xludf.DUMMYFUNCTION("""COMPUTED_VALUE"""),0.0)</f>
        <v>0</v>
      </c>
      <c r="T22" s="87">
        <f>IFERROR(__xludf.DUMMYFUNCTION("""COMPUTED_VALUE"""),0.0)</f>
        <v>0</v>
      </c>
      <c r="U22" s="87">
        <f>IFERROR(__xludf.DUMMYFUNCTION("""COMPUTED_VALUE"""),0.0)</f>
        <v>0</v>
      </c>
      <c r="V22" s="87">
        <f>IFERROR(__xludf.DUMMYFUNCTION("""COMPUTED_VALUE"""),0.0)</f>
        <v>0</v>
      </c>
      <c r="W22" s="87">
        <f>IFERROR(__xludf.DUMMYFUNCTION("""COMPUTED_VALUE"""),0.0)</f>
        <v>0</v>
      </c>
      <c r="X22" s="88"/>
      <c r="Y22" s="74"/>
      <c r="Z22" s="74"/>
    </row>
    <row r="23">
      <c r="B23" s="74" t="str">
        <f>IFERROR(__xludf.DUMMYFUNCTION("""COMPUTED_VALUE"""),"1020")</f>
        <v>1020</v>
      </c>
      <c r="C23" s="74"/>
      <c r="D23" s="74" t="str">
        <f>IFERROR(__xludf.DUMMYFUNCTION("""COMPUTED_VALUE"""),"\\MCA-S\mk\2_BM\0_BMat\08_PYM\Inventario\excel\Imagen de refacciones\Ollas revolvedoras\Rodillo para olla revolvedora foton")</f>
        <v>\\MCA-S\mk\2_BM\0_BMat\08_PYM\Inventario\excel\Imagen de refacciones\Ollas revolvedoras\Rodillo para olla revolvedora foton</v>
      </c>
      <c r="E23" s="74"/>
      <c r="F23" s="74" t="str">
        <f>IFERROR(__xludf.DUMMYFUNCTION("""COMPUTED_VALUE"""),"Rodillo para olla revolvedora foton")</f>
        <v>Rodillo para olla revolvedora foton</v>
      </c>
      <c r="G23" s="74"/>
      <c r="H23" s="74"/>
      <c r="I23" s="74" t="str">
        <f>IFERROR(__xludf.DUMMYFUNCTION("""COMPUTED_VALUE"""),"Rodillo foton")</f>
        <v>Rodillo foton</v>
      </c>
      <c r="J23" s="74"/>
      <c r="K23" s="74" t="str">
        <f>IFERROR(__xludf.DUMMYFUNCTION("""COMPUTED_VALUE"""),"Olla Revolvedora")</f>
        <v>Olla Revolvedora</v>
      </c>
      <c r="L23" s="74" t="str">
        <f>IFERROR(__xludf.DUMMYFUNCTION("""COMPUTED_VALUE"""),"Componentes estructurales y de montaje")</f>
        <v>Componentes estructurales y de montaje</v>
      </c>
      <c r="M23" s="74" t="str">
        <f>IFERROR(__xludf.DUMMYFUNCTION("""COMPUTED_VALUE"""),"Sin Asignar")</f>
        <v>Sin Asignar</v>
      </c>
      <c r="N23" s="87">
        <f>IFERROR(__xludf.DUMMYFUNCTION("""COMPUTED_VALUE"""),0.0)</f>
        <v>0</v>
      </c>
      <c r="O23" s="74"/>
      <c r="P23" s="74" t="str">
        <f>IFERROR(__xludf.DUMMYFUNCTION("""COMPUTED_VALUE"""),"No Available")</f>
        <v>No Available</v>
      </c>
      <c r="Q23" s="74"/>
      <c r="R23" s="74"/>
      <c r="S23" s="87">
        <f>IFERROR(__xludf.DUMMYFUNCTION("""COMPUTED_VALUE"""),0.0)</f>
        <v>0</v>
      </c>
      <c r="T23" s="87">
        <f>IFERROR(__xludf.DUMMYFUNCTION("""COMPUTED_VALUE"""),0.0)</f>
        <v>0</v>
      </c>
      <c r="U23" s="87">
        <f>IFERROR(__xludf.DUMMYFUNCTION("""COMPUTED_VALUE"""),0.0)</f>
        <v>0</v>
      </c>
      <c r="V23" s="87">
        <f>IFERROR(__xludf.DUMMYFUNCTION("""COMPUTED_VALUE"""),0.0)</f>
        <v>0</v>
      </c>
      <c r="W23" s="87">
        <f>IFERROR(__xludf.DUMMYFUNCTION("""COMPUTED_VALUE"""),0.0)</f>
        <v>0</v>
      </c>
      <c r="X23" s="88"/>
      <c r="Y23" s="74"/>
      <c r="Z23" s="74"/>
    </row>
    <row r="24">
      <c r="B24" s="74" t="str">
        <f>IFERROR(__xludf.DUMMYFUNCTION("""COMPUTED_VALUE"""),"1021")</f>
        <v>1021</v>
      </c>
      <c r="C24" s="74"/>
      <c r="D24" s="74" t="str">
        <f>IFERROR(__xludf.DUMMYFUNCTION("""COMPUTED_VALUE"""),"\\MCA-S\mk\2_BM\0_BMat\08_PYM\Inventario\excel\Imagen de refacciones\Ollas revolvedoras\Cable de aceleración 10FT x1_4_ X 4_")</f>
        <v>\\MCA-S\mk\2_BM\0_BMat\08_PYM\Inventario\excel\Imagen de refacciones\Ollas revolvedoras\Cable de aceleración 10FT x1_4_ X 4_</v>
      </c>
      <c r="E24" s="74"/>
      <c r="F24" s="74" t="str">
        <f>IFERROR(__xludf.DUMMYFUNCTION("""COMPUTED_VALUE"""),"CABLE DE ACELERACIÓN 1.5M 6MM/6MM PARA CAMION REVOLVEDOR")</f>
        <v>CABLE DE ACELERACIÓN 1.5M 6MM/6MM PARA CAMION REVOLVEDOR</v>
      </c>
      <c r="G24" s="74"/>
      <c r="H24" s="74"/>
      <c r="I24" s="74" t="str">
        <f>IFERROR(__xludf.DUMMYFUNCTION("""COMPUTED_VALUE"""),"380.215810A")</f>
        <v>380.215810A</v>
      </c>
      <c r="J24" s="74"/>
      <c r="K24" s="74" t="str">
        <f>IFERROR(__xludf.DUMMYFUNCTION("""COMPUTED_VALUE"""),"Olla Revolvedora")</f>
        <v>Olla Revolvedora</v>
      </c>
      <c r="L24" s="74" t="str">
        <f>IFERROR(__xludf.DUMMYFUNCTION("""COMPUTED_VALUE"""),"Transmisión mecánica")</f>
        <v>Transmisión mecánica</v>
      </c>
      <c r="M24" s="74" t="str">
        <f>IFERROR(__xludf.DUMMYFUNCTION("""COMPUTED_VALUE"""),"Sin Asignar")</f>
        <v>Sin Asignar</v>
      </c>
      <c r="N24" s="87">
        <f>IFERROR(__xludf.DUMMYFUNCTION("""COMPUTED_VALUE"""),0.0)</f>
        <v>0</v>
      </c>
      <c r="O24" s="74">
        <f>IFERROR(__xludf.DUMMYFUNCTION("""COMPUTED_VALUE"""),5.0)</f>
        <v>5</v>
      </c>
      <c r="P24" s="74" t="str">
        <f>IFERROR(__xludf.DUMMYFUNCTION("""COMPUTED_VALUE"""),"No Available")</f>
        <v>No Available</v>
      </c>
      <c r="Q24" s="74"/>
      <c r="R24" s="74"/>
      <c r="S24" s="87">
        <f>IFERROR(__xludf.DUMMYFUNCTION("""COMPUTED_VALUE"""),0.0)</f>
        <v>0</v>
      </c>
      <c r="T24" s="87">
        <f>IFERROR(__xludf.DUMMYFUNCTION("""COMPUTED_VALUE"""),0.0)</f>
        <v>0</v>
      </c>
      <c r="U24" s="87">
        <f>IFERROR(__xludf.DUMMYFUNCTION("""COMPUTED_VALUE"""),0.0)</f>
        <v>0</v>
      </c>
      <c r="V24" s="87">
        <f>IFERROR(__xludf.DUMMYFUNCTION("""COMPUTED_VALUE"""),0.0)</f>
        <v>0</v>
      </c>
      <c r="W24" s="87">
        <f>IFERROR(__xludf.DUMMYFUNCTION("""COMPUTED_VALUE"""),0.0)</f>
        <v>0</v>
      </c>
      <c r="X24" s="88"/>
      <c r="Y24" s="74"/>
      <c r="Z24" s="74"/>
    </row>
    <row r="25">
      <c r="B25" s="74" t="str">
        <f>IFERROR(__xludf.DUMMYFUNCTION("""COMPUTED_VALUE"""),"1022")</f>
        <v>1022</v>
      </c>
      <c r="C25" s="74"/>
      <c r="D25" s="74" t="str">
        <f>IFERROR(__xludf.DUMMYFUNCTION("""COMPUTED_VALUE"""),"\\MCA-S\mk\2_BM\0_BMat\08_PYM\Inventario\excel\Imagen de refacciones\Ollas revolvedoras\Cables de aceleración 23FT x 1_4_ x 4_")</f>
        <v>\\MCA-S\mk\2_BM\0_BMat\08_PYM\Inventario\excel\Imagen de refacciones\Ollas revolvedoras\Cables de aceleración 23FT x 1_4_ x 4_</v>
      </c>
      <c r="E25" s="74"/>
      <c r="F25" s="74" t="str">
        <f>IFERROR(__xludf.DUMMYFUNCTION("""COMPUTED_VALUE"""),"Cables de aceleración 23FT x 1/4"" x 4""")</f>
        <v>Cables de aceleración 23FT x 1/4" x 4"</v>
      </c>
      <c r="G25" s="74"/>
      <c r="H25" s="74"/>
      <c r="I25" s="74" t="str">
        <f>IFERROR(__xludf.DUMMYFUNCTION("""COMPUTED_VALUE"""),"380.215810A")</f>
        <v>380.215810A</v>
      </c>
      <c r="J25" s="74"/>
      <c r="K25" s="74" t="str">
        <f>IFERROR(__xludf.DUMMYFUNCTION("""COMPUTED_VALUE"""),"Olla Revolvedora")</f>
        <v>Olla Revolvedora</v>
      </c>
      <c r="L25" s="74" t="str">
        <f>IFERROR(__xludf.DUMMYFUNCTION("""COMPUTED_VALUE"""),"Transmisión mecánica")</f>
        <v>Transmisión mecánica</v>
      </c>
      <c r="M25" s="74" t="str">
        <f>IFERROR(__xludf.DUMMYFUNCTION("""COMPUTED_VALUE"""),"Sin Asignar")</f>
        <v>Sin Asignar</v>
      </c>
      <c r="N25" s="87">
        <f>IFERROR(__xludf.DUMMYFUNCTION("""COMPUTED_VALUE"""),0.0)</f>
        <v>0</v>
      </c>
      <c r="O25" s="74"/>
      <c r="P25" s="74" t="str">
        <f>IFERROR(__xludf.DUMMYFUNCTION("""COMPUTED_VALUE"""),"borrar")</f>
        <v>borrar</v>
      </c>
      <c r="Q25" s="74"/>
      <c r="R25" s="74"/>
      <c r="S25" s="87">
        <f>IFERROR(__xludf.DUMMYFUNCTION("""COMPUTED_VALUE"""),0.0)</f>
        <v>0</v>
      </c>
      <c r="T25" s="87">
        <f>IFERROR(__xludf.DUMMYFUNCTION("""COMPUTED_VALUE"""),0.0)</f>
        <v>0</v>
      </c>
      <c r="U25" s="87">
        <f>IFERROR(__xludf.DUMMYFUNCTION("""COMPUTED_VALUE"""),0.0)</f>
        <v>0</v>
      </c>
      <c r="V25" s="87">
        <f>IFERROR(__xludf.DUMMYFUNCTION("""COMPUTED_VALUE"""),0.0)</f>
        <v>0</v>
      </c>
      <c r="W25" s="87">
        <f>IFERROR(__xludf.DUMMYFUNCTION("""COMPUTED_VALUE"""),0.0)</f>
        <v>0</v>
      </c>
      <c r="X25" s="88"/>
      <c r="Y25" s="74"/>
      <c r="Z25" s="74"/>
    </row>
    <row r="26">
      <c r="B26" s="74" t="str">
        <f>IFERROR(__xludf.DUMMYFUNCTION("""COMPUTED_VALUE"""),"1023")</f>
        <v>1023</v>
      </c>
      <c r="C26" s="74"/>
      <c r="D26" s="74" t="str">
        <f>IFERROR(__xludf.DUMMYFUNCTION("""COMPUTED_VALUE"""),"\\MCA-S\mk\2_BM\0_BMat\08_PYM\Inventario\excel\Imagen de refacciones\Ollas revolvedoras\Cable de aceleración 23FT x1_4_ X 3_")</f>
        <v>\\MCA-S\mk\2_BM\0_BMat\08_PYM\Inventario\excel\Imagen de refacciones\Ollas revolvedoras\Cable de aceleración 23FT x1_4_ X 3_</v>
      </c>
      <c r="E26" s="74"/>
      <c r="F26" s="74" t="str">
        <f>IFERROR(__xludf.DUMMYFUNCTION("""COMPUTED_VALUE"""),"CABLE DE ACELERACIÓN 8M 6MM/6MM PARA CAMION REVOLVEDOR")</f>
        <v>CABLE DE ACELERACIÓN 8M 6MM/6MM PARA CAMION REVOLVEDOR</v>
      </c>
      <c r="G26" s="74"/>
      <c r="H26" s="74"/>
      <c r="I26" s="74" t="str">
        <f>IFERROR(__xludf.DUMMYFUNCTION("""COMPUTED_VALUE"""),"380.00823A")</f>
        <v>380.00823A</v>
      </c>
      <c r="J26" s="74"/>
      <c r="K26" s="74" t="str">
        <f>IFERROR(__xludf.DUMMYFUNCTION("""COMPUTED_VALUE"""),"Olla Revolvedora")</f>
        <v>Olla Revolvedora</v>
      </c>
      <c r="L26" s="74" t="str">
        <f>IFERROR(__xludf.DUMMYFUNCTION("""COMPUTED_VALUE"""),"Transmisión mecánica")</f>
        <v>Transmisión mecánica</v>
      </c>
      <c r="M26" s="74" t="str">
        <f>IFERROR(__xludf.DUMMYFUNCTION("""COMPUTED_VALUE"""),"Sin Asignar")</f>
        <v>Sin Asignar</v>
      </c>
      <c r="N26" s="87">
        <f>IFERROR(__xludf.DUMMYFUNCTION("""COMPUTED_VALUE"""),0.0)</f>
        <v>0</v>
      </c>
      <c r="O26" s="74"/>
      <c r="P26" s="74" t="str">
        <f>IFERROR(__xludf.DUMMYFUNCTION("""COMPUTED_VALUE"""),"No Available")</f>
        <v>No Available</v>
      </c>
      <c r="Q26" s="74"/>
      <c r="R26" s="74"/>
      <c r="S26" s="87">
        <f>IFERROR(__xludf.DUMMYFUNCTION("""COMPUTED_VALUE"""),0.0)</f>
        <v>0</v>
      </c>
      <c r="T26" s="87">
        <f>IFERROR(__xludf.DUMMYFUNCTION("""COMPUTED_VALUE"""),0.0)</f>
        <v>0</v>
      </c>
      <c r="U26" s="87">
        <f>IFERROR(__xludf.DUMMYFUNCTION("""COMPUTED_VALUE"""),0.0)</f>
        <v>0</v>
      </c>
      <c r="V26" s="87">
        <f>IFERROR(__xludf.DUMMYFUNCTION("""COMPUTED_VALUE"""),0.0)</f>
        <v>0</v>
      </c>
      <c r="W26" s="87">
        <f>IFERROR(__xludf.DUMMYFUNCTION("""COMPUTED_VALUE"""),0.0)</f>
        <v>0</v>
      </c>
      <c r="X26" s="88"/>
      <c r="Y26" s="74"/>
      <c r="Z26" s="74"/>
    </row>
    <row r="27">
      <c r="B27" s="74" t="str">
        <f>IFERROR(__xludf.DUMMYFUNCTION("""COMPUTED_VALUE"""),"1024")</f>
        <v>1024</v>
      </c>
      <c r="C27" s="74"/>
      <c r="D27" s="74" t="str">
        <f>IFERROR(__xludf.DUMMYFUNCTION("""COMPUTED_VALUE"""),"\\MCA-S\mk\2_BM\0_BMat\08_PYM\Inventario\excel\Imagen de refacciones\Ollas revolvedoras\Cable de aceleración 27FT x1_4_ X 4_")</f>
        <v>\\MCA-S\mk\2_BM\0_BMat\08_PYM\Inventario\excel\Imagen de refacciones\Ollas revolvedoras\Cable de aceleración 27FT x1_4_ X 4_</v>
      </c>
      <c r="E27" s="74"/>
      <c r="F27" s="74" t="str">
        <f>IFERROR(__xludf.DUMMYFUNCTION("""COMPUTED_VALUE"""),"Cable de aceleración 27FT x1/4"" X 4""")</f>
        <v>Cable de aceleración 27FT x1/4" X 4"</v>
      </c>
      <c r="G27" s="74"/>
      <c r="H27" s="74"/>
      <c r="I27" s="74" t="str">
        <f>IFERROR(__xludf.DUMMYFUNCTION("""COMPUTED_VALUE"""),"380.215827A")</f>
        <v>380.215827A</v>
      </c>
      <c r="J27" s="74"/>
      <c r="K27" s="74" t="str">
        <f>IFERROR(__xludf.DUMMYFUNCTION("""COMPUTED_VALUE"""),"Olla Revolvedora")</f>
        <v>Olla Revolvedora</v>
      </c>
      <c r="L27" s="74" t="str">
        <f>IFERROR(__xludf.DUMMYFUNCTION("""COMPUTED_VALUE"""),"Transmisión mecánica")</f>
        <v>Transmisión mecánica</v>
      </c>
      <c r="M27" s="74" t="str">
        <f>IFERROR(__xludf.DUMMYFUNCTION("""COMPUTED_VALUE"""),"Sin Asignar")</f>
        <v>Sin Asignar</v>
      </c>
      <c r="N27" s="87">
        <f>IFERROR(__xludf.DUMMYFUNCTION("""COMPUTED_VALUE"""),0.0)</f>
        <v>0</v>
      </c>
      <c r="O27" s="74"/>
      <c r="P27" s="74" t="str">
        <f>IFERROR(__xludf.DUMMYFUNCTION("""COMPUTED_VALUE"""),"No Available")</f>
        <v>No Available</v>
      </c>
      <c r="Q27" s="74"/>
      <c r="R27" s="74"/>
      <c r="S27" s="87">
        <f>IFERROR(__xludf.DUMMYFUNCTION("""COMPUTED_VALUE"""),0.0)</f>
        <v>0</v>
      </c>
      <c r="T27" s="87">
        <f>IFERROR(__xludf.DUMMYFUNCTION("""COMPUTED_VALUE"""),0.0)</f>
        <v>0</v>
      </c>
      <c r="U27" s="87">
        <f>IFERROR(__xludf.DUMMYFUNCTION("""COMPUTED_VALUE"""),0.0)</f>
        <v>0</v>
      </c>
      <c r="V27" s="87">
        <f>IFERROR(__xludf.DUMMYFUNCTION("""COMPUTED_VALUE"""),0.0)</f>
        <v>0</v>
      </c>
      <c r="W27" s="87">
        <f>IFERROR(__xludf.DUMMYFUNCTION("""COMPUTED_VALUE"""),0.0)</f>
        <v>0</v>
      </c>
      <c r="X27" s="88"/>
      <c r="Y27" s="74"/>
      <c r="Z27" s="74"/>
    </row>
    <row r="28">
      <c r="B28" s="74" t="str">
        <f>IFERROR(__xludf.DUMMYFUNCTION("""COMPUTED_VALUE"""),"1025")</f>
        <v>1025</v>
      </c>
      <c r="C28" s="74"/>
      <c r="D28" s="74" t="str">
        <f>IFERROR(__xludf.DUMMYFUNCTION("""COMPUTED_VALUE"""),"\\MCA-S\mk\2_BM\0_BMat\08_PYM\Inventario\excel\Imagen de refacciones\Ollas revolvedoras\Cable de aceleración 30FT x1_4_ X 4_")</f>
        <v>\\MCA-S\mk\2_BM\0_BMat\08_PYM\Inventario\excel\Imagen de refacciones\Ollas revolvedoras\Cable de aceleración 30FT x1_4_ X 4_</v>
      </c>
      <c r="E28" s="74"/>
      <c r="F28" s="74" t="str">
        <f>IFERROR(__xludf.DUMMYFUNCTION("""COMPUTED_VALUE"""),"Cable de aceleración 30FT x1/4"" X 4""")</f>
        <v>Cable de aceleración 30FT x1/4" X 4"</v>
      </c>
      <c r="G28" s="74"/>
      <c r="H28" s="74"/>
      <c r="I28" s="74" t="str">
        <f>IFERROR(__xludf.DUMMYFUNCTION("""COMPUTED_VALUE"""),"380.00830A")</f>
        <v>380.00830A</v>
      </c>
      <c r="J28" s="74"/>
      <c r="K28" s="74" t="str">
        <f>IFERROR(__xludf.DUMMYFUNCTION("""COMPUTED_VALUE"""),"Olla Revolvedora")</f>
        <v>Olla Revolvedora</v>
      </c>
      <c r="L28" s="74" t="str">
        <f>IFERROR(__xludf.DUMMYFUNCTION("""COMPUTED_VALUE"""),"Transmisión mecánica")</f>
        <v>Transmisión mecánica</v>
      </c>
      <c r="M28" s="74" t="str">
        <f>IFERROR(__xludf.DUMMYFUNCTION("""COMPUTED_VALUE"""),"Sin Asignar")</f>
        <v>Sin Asignar</v>
      </c>
      <c r="N28" s="87">
        <f>IFERROR(__xludf.DUMMYFUNCTION("""COMPUTED_VALUE"""),0.0)</f>
        <v>0</v>
      </c>
      <c r="O28" s="74"/>
      <c r="P28" s="74" t="str">
        <f>IFERROR(__xludf.DUMMYFUNCTION("""COMPUTED_VALUE"""),"No Available")</f>
        <v>No Available</v>
      </c>
      <c r="Q28" s="74"/>
      <c r="R28" s="74"/>
      <c r="S28" s="87">
        <f>IFERROR(__xludf.DUMMYFUNCTION("""COMPUTED_VALUE"""),0.0)</f>
        <v>0</v>
      </c>
      <c r="T28" s="87">
        <f>IFERROR(__xludf.DUMMYFUNCTION("""COMPUTED_VALUE"""),0.0)</f>
        <v>0</v>
      </c>
      <c r="U28" s="87">
        <f>IFERROR(__xludf.DUMMYFUNCTION("""COMPUTED_VALUE"""),0.0)</f>
        <v>0</v>
      </c>
      <c r="V28" s="87">
        <f>IFERROR(__xludf.DUMMYFUNCTION("""COMPUTED_VALUE"""),0.0)</f>
        <v>0</v>
      </c>
      <c r="W28" s="87">
        <f>IFERROR(__xludf.DUMMYFUNCTION("""COMPUTED_VALUE"""),0.0)</f>
        <v>0</v>
      </c>
      <c r="X28" s="88"/>
      <c r="Y28" s="74"/>
      <c r="Z28" s="74"/>
    </row>
    <row r="29">
      <c r="B29" s="74" t="str">
        <f>IFERROR(__xludf.DUMMYFUNCTION("""COMPUTED_VALUE"""),"1026")</f>
        <v>1026</v>
      </c>
      <c r="C29" s="74"/>
      <c r="D29" s="74" t="str">
        <f>IFERROR(__xludf.DUMMYFUNCTION("""COMPUTED_VALUE"""),"\\MCA-S\mk\2_BM\0_BMat\08_PYM\Inventario\excel\Imagen de refacciones\Ollas revolvedoras\Cables de aceleración 30FT x1_4_ X 4_")</f>
        <v>\\MCA-S\mk\2_BM\0_BMat\08_PYM\Inventario\excel\Imagen de refacciones\Ollas revolvedoras\Cables de aceleración 30FT x1_4_ X 4_</v>
      </c>
      <c r="E29" s="74"/>
      <c r="F29" s="74" t="str">
        <f>IFERROR(__xludf.DUMMYFUNCTION("""COMPUTED_VALUE"""),"Cables de aceleración 30FT x1/4"" X 4""")</f>
        <v>Cables de aceleración 30FT x1/4" X 4"</v>
      </c>
      <c r="G29" s="74"/>
      <c r="H29" s="74"/>
      <c r="I29" s="74" t="str">
        <f>IFERROR(__xludf.DUMMYFUNCTION("""COMPUTED_VALUE"""),"380.215830A")</f>
        <v>380.215830A</v>
      </c>
      <c r="J29" s="74"/>
      <c r="K29" s="74" t="str">
        <f>IFERROR(__xludf.DUMMYFUNCTION("""COMPUTED_VALUE"""),"Olla Revolvedora")</f>
        <v>Olla Revolvedora</v>
      </c>
      <c r="L29" s="74" t="str">
        <f>IFERROR(__xludf.DUMMYFUNCTION("""COMPUTED_VALUE"""),"Transmisión mecánica")</f>
        <v>Transmisión mecánica</v>
      </c>
      <c r="M29" s="74" t="str">
        <f>IFERROR(__xludf.DUMMYFUNCTION("""COMPUTED_VALUE"""),"Sin Asignar")</f>
        <v>Sin Asignar</v>
      </c>
      <c r="N29" s="87">
        <f>IFERROR(__xludf.DUMMYFUNCTION("""COMPUTED_VALUE"""),0.0)</f>
        <v>0</v>
      </c>
      <c r="O29" s="74"/>
      <c r="P29" s="74" t="str">
        <f>IFERROR(__xludf.DUMMYFUNCTION("""COMPUTED_VALUE"""),"No Available")</f>
        <v>No Available</v>
      </c>
      <c r="Q29" s="74"/>
      <c r="R29" s="74"/>
      <c r="S29" s="87">
        <f>IFERROR(__xludf.DUMMYFUNCTION("""COMPUTED_VALUE"""),0.0)</f>
        <v>0</v>
      </c>
      <c r="T29" s="87">
        <f>IFERROR(__xludf.DUMMYFUNCTION("""COMPUTED_VALUE"""),0.0)</f>
        <v>0</v>
      </c>
      <c r="U29" s="87">
        <f>IFERROR(__xludf.DUMMYFUNCTION("""COMPUTED_VALUE"""),0.0)</f>
        <v>0</v>
      </c>
      <c r="V29" s="87">
        <f>IFERROR(__xludf.DUMMYFUNCTION("""COMPUTED_VALUE"""),0.0)</f>
        <v>0</v>
      </c>
      <c r="W29" s="87">
        <f>IFERROR(__xludf.DUMMYFUNCTION("""COMPUTED_VALUE"""),0.0)</f>
        <v>0</v>
      </c>
      <c r="X29" s="88"/>
      <c r="Y29" s="74"/>
      <c r="Z29" s="74"/>
    </row>
    <row r="30">
      <c r="B30" s="74" t="str">
        <f>IFERROR(__xludf.DUMMYFUNCTION("""COMPUTED_VALUE"""),"1027")</f>
        <v>1027</v>
      </c>
      <c r="C30" s="74"/>
      <c r="D30" s="74" t="str">
        <f>IFERROR(__xludf.DUMMYFUNCTION("""COMPUTED_VALUE"""),"\\MCA-S\mk\2_BM\0_BMat\08_PYM\Inventario\excel\Imagen de refacciones\Ollas revolvedoras\Cable de aceleración 5FT x1_4_ X 4_")</f>
        <v>\\MCA-S\mk\2_BM\0_BMat\08_PYM\Inventario\excel\Imagen de refacciones\Ollas revolvedoras\Cable de aceleración 5FT x1_4_ X 4_</v>
      </c>
      <c r="E30" s="74"/>
      <c r="F30" s="74" t="str">
        <f>IFERROR(__xludf.DUMMYFUNCTION("""COMPUTED_VALUE"""),"Cable de aceleración 5FT x1/4"" X 4""")</f>
        <v>Cable de aceleración 5FT x1/4" X 4"</v>
      </c>
      <c r="G30" s="74"/>
      <c r="H30" s="74"/>
      <c r="I30" s="74" t="str">
        <f>IFERROR(__xludf.DUMMYFUNCTION("""COMPUTED_VALUE"""),"380.215805A")</f>
        <v>380.215805A</v>
      </c>
      <c r="J30" s="74"/>
      <c r="K30" s="74" t="str">
        <f>IFERROR(__xludf.DUMMYFUNCTION("""COMPUTED_VALUE"""),"Olla Revolvedora")</f>
        <v>Olla Revolvedora</v>
      </c>
      <c r="L30" s="74" t="str">
        <f>IFERROR(__xludf.DUMMYFUNCTION("""COMPUTED_VALUE"""),"Transmisión mecánica")</f>
        <v>Transmisión mecánica</v>
      </c>
      <c r="M30" s="74" t="str">
        <f>IFERROR(__xludf.DUMMYFUNCTION("""COMPUTED_VALUE"""),"Sin Asignar")</f>
        <v>Sin Asignar</v>
      </c>
      <c r="N30" s="87">
        <f>IFERROR(__xludf.DUMMYFUNCTION("""COMPUTED_VALUE"""),0.0)</f>
        <v>0</v>
      </c>
      <c r="O30" s="74"/>
      <c r="P30" s="74" t="str">
        <f>IFERROR(__xludf.DUMMYFUNCTION("""COMPUTED_VALUE"""),"No Available")</f>
        <v>No Available</v>
      </c>
      <c r="Q30" s="74"/>
      <c r="R30" s="74"/>
      <c r="S30" s="87">
        <f>IFERROR(__xludf.DUMMYFUNCTION("""COMPUTED_VALUE"""),0.0)</f>
        <v>0</v>
      </c>
      <c r="T30" s="87">
        <f>IFERROR(__xludf.DUMMYFUNCTION("""COMPUTED_VALUE"""),0.0)</f>
        <v>0</v>
      </c>
      <c r="U30" s="87">
        <f>IFERROR(__xludf.DUMMYFUNCTION("""COMPUTED_VALUE"""),0.0)</f>
        <v>0</v>
      </c>
      <c r="V30" s="87">
        <f>IFERROR(__xludf.DUMMYFUNCTION("""COMPUTED_VALUE"""),0.0)</f>
        <v>0</v>
      </c>
      <c r="W30" s="87">
        <f>IFERROR(__xludf.DUMMYFUNCTION("""COMPUTED_VALUE"""),0.0)</f>
        <v>0</v>
      </c>
      <c r="X30" s="88"/>
      <c r="Y30" s="74"/>
      <c r="Z30" s="74"/>
    </row>
    <row r="31">
      <c r="B31" s="74" t="str">
        <f>IFERROR(__xludf.DUMMYFUNCTION("""COMPUTED_VALUE"""),"1028")</f>
        <v>1028</v>
      </c>
      <c r="C31" s="74"/>
      <c r="D31" s="74" t="str">
        <f>IFERROR(__xludf.DUMMYFUNCTION("""COMPUTED_VALUE"""),"\\MCA-S\mk\2_BM\0_BMat\08_PYM\Inventario\excel\Imagen de refacciones\Ollas revolvedoras\Cable de aceleración 5FT x1_4_ X 4_ (1)")</f>
        <v>\\MCA-S\mk\2_BM\0_BMat\08_PYM\Inventario\excel\Imagen de refacciones\Ollas revolvedoras\Cable de aceleración 5FT x1_4_ X 4_ (1)</v>
      </c>
      <c r="E31" s="74"/>
      <c r="F31" s="74" t="str">
        <f>IFERROR(__xludf.DUMMYFUNCTION("""COMPUTED_VALUE"""),"Cable de aceleración 5FT x1/4"" X 4""")</f>
        <v>Cable de aceleración 5FT x1/4" X 4"</v>
      </c>
      <c r="G31" s="74"/>
      <c r="H31" s="74"/>
      <c r="I31" s="74" t="str">
        <f>IFERROR(__xludf.DUMMYFUNCTION("""COMPUTED_VALUE"""),"380.215830A")</f>
        <v>380.215830A</v>
      </c>
      <c r="J31" s="74"/>
      <c r="K31" s="74" t="str">
        <f>IFERROR(__xludf.DUMMYFUNCTION("""COMPUTED_VALUE"""),"Olla Revolvedora")</f>
        <v>Olla Revolvedora</v>
      </c>
      <c r="L31" s="74" t="str">
        <f>IFERROR(__xludf.DUMMYFUNCTION("""COMPUTED_VALUE"""),"Transmisión mecánica")</f>
        <v>Transmisión mecánica</v>
      </c>
      <c r="M31" s="74" t="str">
        <f>IFERROR(__xludf.DUMMYFUNCTION("""COMPUTED_VALUE"""),"Sin Asignar")</f>
        <v>Sin Asignar</v>
      </c>
      <c r="N31" s="87">
        <f>IFERROR(__xludf.DUMMYFUNCTION("""COMPUTED_VALUE"""),0.0)</f>
        <v>0</v>
      </c>
      <c r="O31" s="74"/>
      <c r="P31" s="74" t="str">
        <f>IFERROR(__xludf.DUMMYFUNCTION("""COMPUTED_VALUE"""),"No Available")</f>
        <v>No Available</v>
      </c>
      <c r="Q31" s="74"/>
      <c r="R31" s="74"/>
      <c r="S31" s="87">
        <f>IFERROR(__xludf.DUMMYFUNCTION("""COMPUTED_VALUE"""),0.0)</f>
        <v>0</v>
      </c>
      <c r="T31" s="87">
        <f>IFERROR(__xludf.DUMMYFUNCTION("""COMPUTED_VALUE"""),0.0)</f>
        <v>0</v>
      </c>
      <c r="U31" s="87">
        <f>IFERROR(__xludf.DUMMYFUNCTION("""COMPUTED_VALUE"""),0.0)</f>
        <v>0</v>
      </c>
      <c r="V31" s="87">
        <f>IFERROR(__xludf.DUMMYFUNCTION("""COMPUTED_VALUE"""),0.0)</f>
        <v>0</v>
      </c>
      <c r="W31" s="87">
        <f>IFERROR(__xludf.DUMMYFUNCTION("""COMPUTED_VALUE"""),0.0)</f>
        <v>0</v>
      </c>
      <c r="X31" s="88"/>
      <c r="Y31" s="74"/>
      <c r="Z31" s="74"/>
    </row>
    <row r="32">
      <c r="B32" s="74" t="str">
        <f>IFERROR(__xludf.DUMMYFUNCTION("""COMPUTED_VALUE"""),"1029")</f>
        <v>1029</v>
      </c>
      <c r="C32" s="74"/>
      <c r="D32" s="74" t="str">
        <f>IFERROR(__xludf.DUMMYFUNCTION("""COMPUTED_VALUE"""),"\\MCA-S\mk\2_BM\0_BMat\08_PYM\Inventario\excel\Imagen de refacciones\Ollas revolvedoras\Cable de aceleración 33FT x1_4_ X 4_")</f>
        <v>\\MCA-S\mk\2_BM\0_BMat\08_PYM\Inventario\excel\Imagen de refacciones\Ollas revolvedoras\Cable de aceleración 33FT x1_4_ X 4_</v>
      </c>
      <c r="E32" s="74"/>
      <c r="F32" s="74" t="str">
        <f>IFERROR(__xludf.DUMMYFUNCTION("""COMPUTED_VALUE"""),"Cable de aceleración 33FT x1/4"" X 4""")</f>
        <v>Cable de aceleración 33FT x1/4" X 4"</v>
      </c>
      <c r="G32" s="74"/>
      <c r="H32" s="74"/>
      <c r="I32" s="74" t="str">
        <f>IFERROR(__xludf.DUMMYFUNCTION("""COMPUTED_VALUE"""),"380.215833A")</f>
        <v>380.215833A</v>
      </c>
      <c r="J32" s="74"/>
      <c r="K32" s="74" t="str">
        <f>IFERROR(__xludf.DUMMYFUNCTION("""COMPUTED_VALUE"""),"Olla Revolvedora")</f>
        <v>Olla Revolvedora</v>
      </c>
      <c r="L32" s="74" t="str">
        <f>IFERROR(__xludf.DUMMYFUNCTION("""COMPUTED_VALUE"""),"Transmisión mecánica")</f>
        <v>Transmisión mecánica</v>
      </c>
      <c r="M32" s="74" t="str">
        <f>IFERROR(__xludf.DUMMYFUNCTION("""COMPUTED_VALUE"""),"Sin Asignar")</f>
        <v>Sin Asignar</v>
      </c>
      <c r="N32" s="87">
        <f>IFERROR(__xludf.DUMMYFUNCTION("""COMPUTED_VALUE"""),0.0)</f>
        <v>0</v>
      </c>
      <c r="O32" s="74"/>
      <c r="P32" s="74" t="str">
        <f>IFERROR(__xludf.DUMMYFUNCTION("""COMPUTED_VALUE"""),"No Available")</f>
        <v>No Available</v>
      </c>
      <c r="Q32" s="74"/>
      <c r="R32" s="74"/>
      <c r="S32" s="87">
        <f>IFERROR(__xludf.DUMMYFUNCTION("""COMPUTED_VALUE"""),0.0)</f>
        <v>0</v>
      </c>
      <c r="T32" s="87">
        <f>IFERROR(__xludf.DUMMYFUNCTION("""COMPUTED_VALUE"""),0.0)</f>
        <v>0</v>
      </c>
      <c r="U32" s="87">
        <f>IFERROR(__xludf.DUMMYFUNCTION("""COMPUTED_VALUE"""),0.0)</f>
        <v>0</v>
      </c>
      <c r="V32" s="87">
        <f>IFERROR(__xludf.DUMMYFUNCTION("""COMPUTED_VALUE"""),0.0)</f>
        <v>0</v>
      </c>
      <c r="W32" s="87">
        <f>IFERROR(__xludf.DUMMYFUNCTION("""COMPUTED_VALUE"""),0.0)</f>
        <v>0</v>
      </c>
      <c r="X32" s="88"/>
      <c r="Y32" s="74"/>
      <c r="Z32" s="74"/>
    </row>
    <row r="33">
      <c r="B33" s="74" t="str">
        <f>IFERROR(__xludf.DUMMYFUNCTION("""COMPUTED_VALUE"""),"1030")</f>
        <v>1030</v>
      </c>
      <c r="C33" s="74"/>
      <c r="D33" s="74" t="str">
        <f>IFERROR(__xludf.DUMMYFUNCTION("""COMPUTED_VALUE"""),"\\MCA-S\mk\2_BM\0_BMat\08_PYM\Inventario\excel\Imagen de refacciones\Ollas revolvedoras\Cable de aceleración 16FT x1_4_ X 4_")</f>
        <v>\\MCA-S\mk\2_BM\0_BMat\08_PYM\Inventario\excel\Imagen de refacciones\Ollas revolvedoras\Cable de aceleración 16FT x1_4_ X 4_</v>
      </c>
      <c r="E33" s="74"/>
      <c r="F33" s="74" t="str">
        <f>IFERROR(__xludf.DUMMYFUNCTION("""COMPUTED_VALUE"""),"CABLE DE ACELERACIÓN 6M 6MM/6MM PARA CAMION REVOLVEDOR")</f>
        <v>CABLE DE ACELERACIÓN 6M 6MM/6MM PARA CAMION REVOLVEDOR</v>
      </c>
      <c r="G33" s="74"/>
      <c r="H33" s="74"/>
      <c r="I33" s="74" t="str">
        <f>IFERROR(__xludf.DUMMYFUNCTION("""COMPUTED_VALUE"""),"380.215814A")</f>
        <v>380.215814A</v>
      </c>
      <c r="J33" s="74"/>
      <c r="K33" s="74" t="str">
        <f>IFERROR(__xludf.DUMMYFUNCTION("""COMPUTED_VALUE"""),"Olla Revolvedora")</f>
        <v>Olla Revolvedora</v>
      </c>
      <c r="L33" s="74" t="str">
        <f>IFERROR(__xludf.DUMMYFUNCTION("""COMPUTED_VALUE"""),"Transmisión mecánica")</f>
        <v>Transmisión mecánica</v>
      </c>
      <c r="M33" s="74" t="str">
        <f>IFERROR(__xludf.DUMMYFUNCTION("""COMPUTED_VALUE"""),"Sin Asignar")</f>
        <v>Sin Asignar</v>
      </c>
      <c r="N33" s="87">
        <f>IFERROR(__xludf.DUMMYFUNCTION("""COMPUTED_VALUE"""),0.0)</f>
        <v>0</v>
      </c>
      <c r="O33" s="74"/>
      <c r="P33" s="74" t="str">
        <f>IFERROR(__xludf.DUMMYFUNCTION("""COMPUTED_VALUE"""),"No Available")</f>
        <v>No Available</v>
      </c>
      <c r="Q33" s="74"/>
      <c r="R33" s="74"/>
      <c r="S33" s="87">
        <f>IFERROR(__xludf.DUMMYFUNCTION("""COMPUTED_VALUE"""),0.0)</f>
        <v>0</v>
      </c>
      <c r="T33" s="87">
        <f>IFERROR(__xludf.DUMMYFUNCTION("""COMPUTED_VALUE"""),0.0)</f>
        <v>0</v>
      </c>
      <c r="U33" s="87">
        <f>IFERROR(__xludf.DUMMYFUNCTION("""COMPUTED_VALUE"""),0.0)</f>
        <v>0</v>
      </c>
      <c r="V33" s="87">
        <f>IFERROR(__xludf.DUMMYFUNCTION("""COMPUTED_VALUE"""),0.0)</f>
        <v>0</v>
      </c>
      <c r="W33" s="87">
        <f>IFERROR(__xludf.DUMMYFUNCTION("""COMPUTED_VALUE"""),0.0)</f>
        <v>0</v>
      </c>
      <c r="X33" s="88"/>
      <c r="Y33" s="74"/>
      <c r="Z33" s="74"/>
    </row>
    <row r="34">
      <c r="B34" s="74" t="str">
        <f>IFERROR(__xludf.DUMMYFUNCTION("""COMPUTED_VALUE"""),"1031")</f>
        <v>1031</v>
      </c>
      <c r="C34" s="74"/>
      <c r="D34" s="74" t="str">
        <f>IFERROR(__xludf.DUMMYFUNCTION("""COMPUTED_VALUE"""),"\\MCA-S\mk\2_BM\0_BMat\08_PYM\Inventario\excel\Imagen de refacciones\Ollas revolvedoras\Cable de aceleración 14FT x1_4_ X 4_")</f>
        <v>\\MCA-S\mk\2_BM\0_BMat\08_PYM\Inventario\excel\Imagen de refacciones\Ollas revolvedoras\Cable de aceleración 14FT x1_4_ X 4_</v>
      </c>
      <c r="E34" s="74"/>
      <c r="F34" s="74" t="str">
        <f>IFERROR(__xludf.DUMMYFUNCTION("""COMPUTED_VALUE"""),"CABLE DE ACELERACIÓN 2.5M 6MM/6MM PARA CAMION REVOLVEDOR")</f>
        <v>CABLE DE ACELERACIÓN 2.5M 6MM/6MM PARA CAMION REVOLVEDOR</v>
      </c>
      <c r="G34" s="74"/>
      <c r="H34" s="74"/>
      <c r="I34" s="74" t="str">
        <f>IFERROR(__xludf.DUMMYFUNCTION("""COMPUTED_VALUE"""),"380.215814A")</f>
        <v>380.215814A</v>
      </c>
      <c r="J34" s="74"/>
      <c r="K34" s="74" t="str">
        <f>IFERROR(__xludf.DUMMYFUNCTION("""COMPUTED_VALUE"""),"Olla Revolvedora")</f>
        <v>Olla Revolvedora</v>
      </c>
      <c r="L34" s="74" t="str">
        <f>IFERROR(__xludf.DUMMYFUNCTION("""COMPUTED_VALUE"""),"Transmisión mecánica")</f>
        <v>Transmisión mecánica</v>
      </c>
      <c r="M34" s="74" t="str">
        <f>IFERROR(__xludf.DUMMYFUNCTION("""COMPUTED_VALUE"""),"Sin Asignar")</f>
        <v>Sin Asignar</v>
      </c>
      <c r="N34" s="87">
        <f>IFERROR(__xludf.DUMMYFUNCTION("""COMPUTED_VALUE"""),0.0)</f>
        <v>0</v>
      </c>
      <c r="O34" s="74"/>
      <c r="P34" s="74" t="str">
        <f>IFERROR(__xludf.DUMMYFUNCTION("""COMPUTED_VALUE"""),"No Available")</f>
        <v>No Available</v>
      </c>
      <c r="Q34" s="74"/>
      <c r="R34" s="74"/>
      <c r="S34" s="87">
        <f>IFERROR(__xludf.DUMMYFUNCTION("""COMPUTED_VALUE"""),0.0)</f>
        <v>0</v>
      </c>
      <c r="T34" s="87">
        <f>IFERROR(__xludf.DUMMYFUNCTION("""COMPUTED_VALUE"""),0.0)</f>
        <v>0</v>
      </c>
      <c r="U34" s="87">
        <f>IFERROR(__xludf.DUMMYFUNCTION("""COMPUTED_VALUE"""),0.0)</f>
        <v>0</v>
      </c>
      <c r="V34" s="87">
        <f>IFERROR(__xludf.DUMMYFUNCTION("""COMPUTED_VALUE"""),0.0)</f>
        <v>0</v>
      </c>
      <c r="W34" s="87">
        <f>IFERROR(__xludf.DUMMYFUNCTION("""COMPUTED_VALUE"""),0.0)</f>
        <v>0</v>
      </c>
      <c r="X34" s="88"/>
      <c r="Y34" s="74"/>
      <c r="Z34" s="74"/>
    </row>
    <row r="35">
      <c r="B35" s="74" t="str">
        <f>IFERROR(__xludf.DUMMYFUNCTION("""COMPUTED_VALUE"""),"1032")</f>
        <v>1032</v>
      </c>
      <c r="C35" s="74"/>
      <c r="D35" s="74" t="str">
        <f>IFERROR(__xludf.DUMMYFUNCTION("""COMPUTED_VALUE"""),"\\MCA-S\mk\2_BM\0_BMat\08_PYM\Inventario\excel\Imagen de refacciones\Ollas revolvedoras\Cable de aceleración 14FT x1_4_ X 4_ (1)")</f>
        <v>\\MCA-S\mk\2_BM\0_BMat\08_PYM\Inventario\excel\Imagen de refacciones\Ollas revolvedoras\Cable de aceleración 14FT x1_4_ X 4_ (1)</v>
      </c>
      <c r="E35" s="74"/>
      <c r="F35" s="74" t="str">
        <f>IFERROR(__xludf.DUMMYFUNCTION("""COMPUTED_VALUE"""),"CABLE DE ACELERACIÓN 4M 6MM/6MM PARA CAMION REVOLVEDOR")</f>
        <v>CABLE DE ACELERACIÓN 4M 6MM/6MM PARA CAMION REVOLVEDOR</v>
      </c>
      <c r="G35" s="74"/>
      <c r="H35" s="74"/>
      <c r="I35" s="74" t="str">
        <f>IFERROR(__xludf.DUMMYFUNCTION("""COMPUTED_VALUE"""),"380.215814A")</f>
        <v>380.215814A</v>
      </c>
      <c r="J35" s="74"/>
      <c r="K35" s="74" t="str">
        <f>IFERROR(__xludf.DUMMYFUNCTION("""COMPUTED_VALUE"""),"Olla Revolvedora")</f>
        <v>Olla Revolvedora</v>
      </c>
      <c r="L35" s="74" t="str">
        <f>IFERROR(__xludf.DUMMYFUNCTION("""COMPUTED_VALUE"""),"Transmisión mecánica")</f>
        <v>Transmisión mecánica</v>
      </c>
      <c r="M35" s="74" t="str">
        <f>IFERROR(__xludf.DUMMYFUNCTION("""COMPUTED_VALUE"""),"Sin Asignar")</f>
        <v>Sin Asignar</v>
      </c>
      <c r="N35" s="87">
        <f>IFERROR(__xludf.DUMMYFUNCTION("""COMPUTED_VALUE"""),0.0)</f>
        <v>0</v>
      </c>
      <c r="O35" s="74"/>
      <c r="P35" s="74" t="str">
        <f>IFERROR(__xludf.DUMMYFUNCTION("""COMPUTED_VALUE"""),"No Available")</f>
        <v>No Available</v>
      </c>
      <c r="Q35" s="74"/>
      <c r="R35" s="74"/>
      <c r="S35" s="87">
        <f>IFERROR(__xludf.DUMMYFUNCTION("""COMPUTED_VALUE"""),0.0)</f>
        <v>0</v>
      </c>
      <c r="T35" s="87">
        <f>IFERROR(__xludf.DUMMYFUNCTION("""COMPUTED_VALUE"""),0.0)</f>
        <v>0</v>
      </c>
      <c r="U35" s="87">
        <f>IFERROR(__xludf.DUMMYFUNCTION("""COMPUTED_VALUE"""),0.0)</f>
        <v>0</v>
      </c>
      <c r="V35" s="87">
        <f>IFERROR(__xludf.DUMMYFUNCTION("""COMPUTED_VALUE"""),0.0)</f>
        <v>0</v>
      </c>
      <c r="W35" s="87">
        <f>IFERROR(__xludf.DUMMYFUNCTION("""COMPUTED_VALUE"""),0.0)</f>
        <v>0</v>
      </c>
      <c r="X35" s="88"/>
      <c r="Y35" s="74"/>
      <c r="Z35" s="74"/>
    </row>
    <row r="36">
      <c r="B36" s="74" t="str">
        <f>IFERROR(__xludf.DUMMYFUNCTION("""COMPUTED_VALUE"""),"1033")</f>
        <v>1033</v>
      </c>
      <c r="C36" s="74"/>
      <c r="D36" s="74" t="str">
        <f>IFERROR(__xludf.DUMMYFUNCTION("""COMPUTED_VALUE"""),"\\MCA-S\mk\2_BM\0_BMat\08_PYM\Inventario\excel\Imagen de refacciones\Ollas revolvedoras\Cable de aceleración 17FT x1_4_ X 4_")</f>
        <v>\\MCA-S\mk\2_BM\0_BMat\08_PYM\Inventario\excel\Imagen de refacciones\Ollas revolvedoras\Cable de aceleración 17FT x1_4_ X 4_</v>
      </c>
      <c r="E36" s="74"/>
      <c r="F36" s="74" t="str">
        <f>IFERROR(__xludf.DUMMYFUNCTION("""COMPUTED_VALUE"""),"CABLE DE ACELERACIÓN 7M 6MM/6MM PARA CAMION REVOLVEDOR")</f>
        <v>CABLE DE ACELERACIÓN 7M 6MM/6MM PARA CAMION REVOLVEDOR</v>
      </c>
      <c r="G36" s="74"/>
      <c r="H36" s="74"/>
      <c r="I36" s="74" t="str">
        <f>IFERROR(__xludf.DUMMYFUNCTION("""COMPUTED_VALUE"""),"380.215817A")</f>
        <v>380.215817A</v>
      </c>
      <c r="J36" s="74"/>
      <c r="K36" s="74" t="str">
        <f>IFERROR(__xludf.DUMMYFUNCTION("""COMPUTED_VALUE"""),"Olla Revolvedora")</f>
        <v>Olla Revolvedora</v>
      </c>
      <c r="L36" s="74" t="str">
        <f>IFERROR(__xludf.DUMMYFUNCTION("""COMPUTED_VALUE"""),"Transmisión mecánica")</f>
        <v>Transmisión mecánica</v>
      </c>
      <c r="M36" s="74" t="str">
        <f>IFERROR(__xludf.DUMMYFUNCTION("""COMPUTED_VALUE"""),"Sin Asignar")</f>
        <v>Sin Asignar</v>
      </c>
      <c r="N36" s="87">
        <f>IFERROR(__xludf.DUMMYFUNCTION("""COMPUTED_VALUE"""),0.0)</f>
        <v>0</v>
      </c>
      <c r="O36" s="74"/>
      <c r="P36" s="74" t="str">
        <f>IFERROR(__xludf.DUMMYFUNCTION("""COMPUTED_VALUE"""),"No Available")</f>
        <v>No Available</v>
      </c>
      <c r="Q36" s="74"/>
      <c r="R36" s="74"/>
      <c r="S36" s="87">
        <f>IFERROR(__xludf.DUMMYFUNCTION("""COMPUTED_VALUE"""),0.0)</f>
        <v>0</v>
      </c>
      <c r="T36" s="87">
        <f>IFERROR(__xludf.DUMMYFUNCTION("""COMPUTED_VALUE"""),0.0)</f>
        <v>0</v>
      </c>
      <c r="U36" s="87">
        <f>IFERROR(__xludf.DUMMYFUNCTION("""COMPUTED_VALUE"""),0.0)</f>
        <v>0</v>
      </c>
      <c r="V36" s="87">
        <f>IFERROR(__xludf.DUMMYFUNCTION("""COMPUTED_VALUE"""),0.0)</f>
        <v>0</v>
      </c>
      <c r="W36" s="87">
        <f>IFERROR(__xludf.DUMMYFUNCTION("""COMPUTED_VALUE"""),0.0)</f>
        <v>0</v>
      </c>
      <c r="X36" s="88"/>
      <c r="Y36" s="74"/>
      <c r="Z36" s="74"/>
    </row>
    <row r="37">
      <c r="B37" s="74" t="str">
        <f>IFERROR(__xludf.DUMMYFUNCTION("""COMPUTED_VALUE"""),"1034")</f>
        <v>1034</v>
      </c>
      <c r="C37" s="74"/>
      <c r="D37" s="74" t="str">
        <f>IFERROR(__xludf.DUMMYFUNCTION("""COMPUTED_VALUE"""),"\\MCA-S\mk\2_BM\0_BMat\08_PYM\Inventario\excel\Imagen de refacciones\Ollas revolvedoras\Cables de control para olla MCNEILUS")</f>
        <v>\\MCA-S\mk\2_BM\0_BMat\08_PYM\Inventario\excel\Imagen de refacciones\Ollas revolvedoras\Cables de control para olla MCNEILUS</v>
      </c>
      <c r="E37" s="74"/>
      <c r="F37" s="74" t="str">
        <f>IFERROR(__xludf.DUMMYFUNCTION("""COMPUTED_VALUE"""),"Cables de control para olla MCNEILUS")</f>
        <v>Cables de control para olla MCNEILUS</v>
      </c>
      <c r="G37" s="74"/>
      <c r="H37" s="74"/>
      <c r="I37" s="74" t="str">
        <f>IFERROR(__xludf.DUMMYFUNCTION("""COMPUTED_VALUE"""),"380.00810")</f>
        <v>380.00810</v>
      </c>
      <c r="J37" s="74"/>
      <c r="K37" s="74" t="str">
        <f>IFERROR(__xludf.DUMMYFUNCTION("""COMPUTED_VALUE"""),"Olla Revolvedora")</f>
        <v>Olla Revolvedora</v>
      </c>
      <c r="L37" s="74" t="str">
        <f>IFERROR(__xludf.DUMMYFUNCTION("""COMPUTED_VALUE"""),"Transmisión mecánica")</f>
        <v>Transmisión mecánica</v>
      </c>
      <c r="M37" s="74" t="str">
        <f>IFERROR(__xludf.DUMMYFUNCTION("""COMPUTED_VALUE"""),"Sin Asignar")</f>
        <v>Sin Asignar</v>
      </c>
      <c r="N37" s="87">
        <f>IFERROR(__xludf.DUMMYFUNCTION("""COMPUTED_VALUE"""),0.0)</f>
        <v>0</v>
      </c>
      <c r="O37" s="74"/>
      <c r="P37" s="74" t="str">
        <f>IFERROR(__xludf.DUMMYFUNCTION("""COMPUTED_VALUE"""),"No Available")</f>
        <v>No Available</v>
      </c>
      <c r="Q37" s="74"/>
      <c r="R37" s="74"/>
      <c r="S37" s="87">
        <f>IFERROR(__xludf.DUMMYFUNCTION("""COMPUTED_VALUE"""),0.0)</f>
        <v>0</v>
      </c>
      <c r="T37" s="87">
        <f>IFERROR(__xludf.DUMMYFUNCTION("""COMPUTED_VALUE"""),0.0)</f>
        <v>0</v>
      </c>
      <c r="U37" s="87">
        <f>IFERROR(__xludf.DUMMYFUNCTION("""COMPUTED_VALUE"""),0.0)</f>
        <v>0</v>
      </c>
      <c r="V37" s="87">
        <f>IFERROR(__xludf.DUMMYFUNCTION("""COMPUTED_VALUE"""),0.0)</f>
        <v>0</v>
      </c>
      <c r="W37" s="87">
        <f>IFERROR(__xludf.DUMMYFUNCTION("""COMPUTED_VALUE"""),0.0)</f>
        <v>0</v>
      </c>
      <c r="X37" s="88"/>
      <c r="Y37" s="74"/>
      <c r="Z37" s="74"/>
    </row>
    <row r="38">
      <c r="B38" s="74" t="str">
        <f>IFERROR(__xludf.DUMMYFUNCTION("""COMPUTED_VALUE"""),"1035")</f>
        <v>1035</v>
      </c>
      <c r="C38" s="74" t="str">
        <f>IFERROR(__xludf.DUMMYFUNCTION("""COMPUTED_VALUE"""),"75045880357")</f>
        <v>75045880357</v>
      </c>
      <c r="D38" s="74" t="str">
        <f>IFERROR(__xludf.DUMMYFUNCTION("""COMPUTED_VALUE"""),"\\MCA-S\mk\2_BM\0_BMat\08_PYM\Inventario\excel\Imagen de refacciones\Ollas revolvedoras\Cables de control para olla mcneilus 10FT x1_4_ x 3_")</f>
        <v>\\MCA-S\mk\2_BM\0_BMat\08_PYM\Inventario\excel\Imagen de refacciones\Ollas revolvedoras\Cables de control para olla mcneilus 10FT x1_4_ x 3_</v>
      </c>
      <c r="E38" s="74" t="str">
        <f>IFERROR(__xludf.DUMMYFUNCTION("""COMPUTED_VALUE"""),"DRIVER CONTROL CABLE 716D 1.5mx1/4""x4""")</f>
        <v>DRIVER CONTROL CABLE 716D 1.5mx1/4"x4"</v>
      </c>
      <c r="F38" s="74" t="str">
        <f>IFERROR(__xludf.DUMMYFUNCTION("""COMPUTED_VALUE"""),"CABLE DE CONTROL DE MANDO 716D 1.5mx1/4""x4""")</f>
        <v>CABLE DE CONTROL DE MANDO 716D 1.5mx1/4"x4"</v>
      </c>
      <c r="G38" s="74"/>
      <c r="H38" s="74" t="str">
        <f>IFERROR(__xludf.DUMMYFUNCTION("""COMPUTED_VALUE"""),"CABLE DE ACELERACIÓN 1.5M 6MM/6MM PARA CAMION REVOLVEDOR")</f>
        <v>CABLE DE ACELERACIÓN 1.5M 6MM/6MM PARA CAMION REVOLVEDOR</v>
      </c>
      <c r="I38" s="74" t="str">
        <f>IFERROR(__xludf.DUMMYFUNCTION("""COMPUTED_VALUE"""),"760.1500.6.100")</f>
        <v>760.1500.6.100</v>
      </c>
      <c r="J38" s="74"/>
      <c r="K38" s="74" t="str">
        <f>IFERROR(__xludf.DUMMYFUNCTION("""COMPUTED_VALUE"""),"Olla Revolvedora")</f>
        <v>Olla Revolvedora</v>
      </c>
      <c r="L38" s="74" t="str">
        <f>IFERROR(__xludf.DUMMYFUNCTION("""COMPUTED_VALUE"""),"Transmisión mecánica")</f>
        <v>Transmisión mecánica</v>
      </c>
      <c r="M38" s="74" t="str">
        <f>IFERROR(__xludf.DUMMYFUNCTION("""COMPUTED_VALUE"""),"CABLES")</f>
        <v>CABLES</v>
      </c>
      <c r="N38" s="87">
        <f>IFERROR(__xludf.DUMMYFUNCTION("""COMPUTED_VALUE"""),710.4)</f>
        <v>710.4</v>
      </c>
      <c r="O38" s="74">
        <f>IFERROR(__xludf.DUMMYFUNCTION("""COMPUTED_VALUE"""),5.0)</f>
        <v>5</v>
      </c>
      <c r="P38" s="74" t="str">
        <f>IFERROR(__xludf.DUMMYFUNCTION("""COMPUTED_VALUE"""),"In stock")</f>
        <v>In stock</v>
      </c>
      <c r="Q38" s="74"/>
      <c r="R38" s="74"/>
      <c r="S38" s="87">
        <f>IFERROR(__xludf.DUMMYFUNCTION("""COMPUTED_VALUE"""),6.0)</f>
        <v>6</v>
      </c>
      <c r="T38" s="87">
        <f>IFERROR(__xludf.DUMMYFUNCTION("""COMPUTED_VALUE"""),40.0)</f>
        <v>40</v>
      </c>
      <c r="U38" s="87">
        <f>IFERROR(__xludf.DUMMYFUNCTION("""COMPUTED_VALUE"""),38.4)</f>
        <v>38.4</v>
      </c>
      <c r="V38" s="87">
        <f>IFERROR(__xludf.DUMMYFUNCTION("""COMPUTED_VALUE"""),7.35)</f>
        <v>7.35</v>
      </c>
      <c r="W38" s="87">
        <f>IFERROR(__xludf.DUMMYFUNCTION("""COMPUTED_VALUE"""),137.8125)</f>
        <v>137.8125</v>
      </c>
      <c r="X38" s="88">
        <f>IFERROR(__xludf.DUMMYFUNCTION("""COMPUTED_VALUE"""),6.3999999999999995)</f>
        <v>6.4</v>
      </c>
      <c r="Y38" s="74"/>
      <c r="Z38" s="74"/>
    </row>
    <row r="39">
      <c r="B39" s="74" t="str">
        <f>IFERROR(__xludf.DUMMYFUNCTION("""COMPUTED_VALUE"""),"1036")</f>
        <v>1036</v>
      </c>
      <c r="C39" s="74" t="str">
        <f>IFERROR(__xludf.DUMMYFUNCTION("""COMPUTED_VALUE"""),"75045880360")</f>
        <v>75045880360</v>
      </c>
      <c r="D39" s="74" t="str">
        <f>IFERROR(__xludf.DUMMYFUNCTION("""COMPUTED_VALUE"""),"\\MCA-S\mk\2_BM\0_BMat\08_PYM\Inventario\excel\Imagen de refacciones\Ollas revolvedoras\Cables de control para olla mcneilus 10FT x1_4_ x 4_")</f>
        <v>\\MCA-S\mk\2_BM\0_BMat\08_PYM\Inventario\excel\Imagen de refacciones\Ollas revolvedoras\Cables de control para olla mcneilus 10FT x1_4_ x 4_</v>
      </c>
      <c r="E39" s="74" t="str">
        <f>IFERROR(__xludf.DUMMYFUNCTION("""COMPUTED_VALUE"""),"DRIVER CONTROL CABLE 716D 2.5mx1/4""x4""")</f>
        <v>DRIVER CONTROL CABLE 716D 2.5mx1/4"x4"</v>
      </c>
      <c r="F39" s="74" t="str">
        <f>IFERROR(__xludf.DUMMYFUNCTION("""COMPUTED_VALUE"""),"CABLE DE CONTROL DE MANDO 716D 2.5mx1/4""x4""")</f>
        <v>CABLE DE CONTROL DE MANDO 716D 2.5mx1/4"x4"</v>
      </c>
      <c r="G39" s="74"/>
      <c r="H39" s="74" t="str">
        <f>IFERROR(__xludf.DUMMYFUNCTION("""COMPUTED_VALUE"""),"CABLE DE ACELERACIÓN 2.5M 6MM/6MM PARA CAMION REVOLVEDOR")</f>
        <v>CABLE DE ACELERACIÓN 2.5M 6MM/6MM PARA CAMION REVOLVEDOR</v>
      </c>
      <c r="I39" s="74" t="str">
        <f>IFERROR(__xludf.DUMMYFUNCTION("""COMPUTED_VALUE"""),"760.2500.6.100")</f>
        <v>760.2500.6.100</v>
      </c>
      <c r="J39" s="74"/>
      <c r="K39" s="74" t="str">
        <f>IFERROR(__xludf.DUMMYFUNCTION("""COMPUTED_VALUE"""),"Olla Revolvedora")</f>
        <v>Olla Revolvedora</v>
      </c>
      <c r="L39" s="74" t="str">
        <f>IFERROR(__xludf.DUMMYFUNCTION("""COMPUTED_VALUE"""),"Transmisión mecánica")</f>
        <v>Transmisión mecánica</v>
      </c>
      <c r="M39" s="74" t="str">
        <f>IFERROR(__xludf.DUMMYFUNCTION("""COMPUTED_VALUE"""),"CABLES")</f>
        <v>CABLES</v>
      </c>
      <c r="N39" s="87">
        <f>IFERROR(__xludf.DUMMYFUNCTION("""COMPUTED_VALUE"""),781.4399999999999)</f>
        <v>781.44</v>
      </c>
      <c r="O39" s="74">
        <f>IFERROR(__xludf.DUMMYFUNCTION("""COMPUTED_VALUE"""),5.0)</f>
        <v>5</v>
      </c>
      <c r="P39" s="74" t="str">
        <f>IFERROR(__xludf.DUMMYFUNCTION("""COMPUTED_VALUE"""),"In stock")</f>
        <v>In stock</v>
      </c>
      <c r="Q39" s="74"/>
      <c r="R39" s="74"/>
      <c r="S39" s="87">
        <f>IFERROR(__xludf.DUMMYFUNCTION("""COMPUTED_VALUE"""),6.0)</f>
        <v>6</v>
      </c>
      <c r="T39" s="87">
        <f>IFERROR(__xludf.DUMMYFUNCTION("""COMPUTED_VALUE"""),44.0)</f>
        <v>44</v>
      </c>
      <c r="U39" s="87">
        <f>IFERROR(__xludf.DUMMYFUNCTION("""COMPUTED_VALUE"""),42.239999999999995)</f>
        <v>42.24</v>
      </c>
      <c r="V39" s="87">
        <f>IFERROR(__xludf.DUMMYFUNCTION("""COMPUTED_VALUE"""),7.35)</f>
        <v>7.35</v>
      </c>
      <c r="W39" s="87">
        <f>IFERROR(__xludf.DUMMYFUNCTION("""COMPUTED_VALUE"""),137.8125)</f>
        <v>137.8125</v>
      </c>
      <c r="X39" s="88">
        <f>IFERROR(__xludf.DUMMYFUNCTION("""COMPUTED_VALUE"""),7.039999999999999)</f>
        <v>7.04</v>
      </c>
      <c r="Y39" s="74"/>
      <c r="Z39" s="74"/>
    </row>
    <row r="40">
      <c r="B40" s="74" t="str">
        <f>IFERROR(__xludf.DUMMYFUNCTION("""COMPUTED_VALUE"""),"1037")</f>
        <v>1037</v>
      </c>
      <c r="C40" s="74" t="str">
        <f>IFERROR(__xludf.DUMMYFUNCTION("""COMPUTED_VALUE"""),"75045880361")</f>
        <v>75045880361</v>
      </c>
      <c r="D40" s="74" t="str">
        <f>IFERROR(__xludf.DUMMYFUNCTION("""COMPUTED_VALUE"""),"\\MCA-S\mk\2_BM\0_BMat\08_PYM\Inventario\excel\Imagen de refacciones\Ollas revolvedoras\Cables de control para olla mcneilus 16FT x1_4_ x 3_")</f>
        <v>\\MCA-S\mk\2_BM\0_BMat\08_PYM\Inventario\excel\Imagen de refacciones\Ollas revolvedoras\Cables de control para olla mcneilus 16FT x1_4_ x 3_</v>
      </c>
      <c r="E40" s="74" t="str">
        <f>IFERROR(__xludf.DUMMYFUNCTION("""COMPUTED_VALUE"""),"DRIVER CONTROL CABLE 716D 4mx1/4""x4""")</f>
        <v>DRIVER CONTROL CABLE 716D 4mx1/4"x4"</v>
      </c>
      <c r="F40" s="74" t="str">
        <f>IFERROR(__xludf.DUMMYFUNCTION("""COMPUTED_VALUE"""),"CABLE DE CONTROL DE MANDO 716D 4mx1/4""x4""")</f>
        <v>CABLE DE CONTROL DE MANDO 716D 4mx1/4"x4"</v>
      </c>
      <c r="G40" s="74"/>
      <c r="H40" s="74" t="str">
        <f>IFERROR(__xludf.DUMMYFUNCTION("""COMPUTED_VALUE"""),"CABLE DE ACELERACIÓN 4M 6MM/6MM PARA CAMION REVOLVEDOR")</f>
        <v>CABLE DE ACELERACIÓN 4M 6MM/6MM PARA CAMION REVOLVEDOR</v>
      </c>
      <c r="I40" s="74" t="str">
        <f>IFERROR(__xludf.DUMMYFUNCTION("""COMPUTED_VALUE"""),"760.4000.6.100")</f>
        <v>760.4000.6.100</v>
      </c>
      <c r="J40" s="74"/>
      <c r="K40" s="74" t="str">
        <f>IFERROR(__xludf.DUMMYFUNCTION("""COMPUTED_VALUE"""),"Olla Revolvedora")</f>
        <v>Olla Revolvedora</v>
      </c>
      <c r="L40" s="74" t="str">
        <f>IFERROR(__xludf.DUMMYFUNCTION("""COMPUTED_VALUE"""),"Transmisión mecánica")</f>
        <v>Transmisión mecánica</v>
      </c>
      <c r="M40" s="74" t="str">
        <f>IFERROR(__xludf.DUMMYFUNCTION("""COMPUTED_VALUE"""),"CABLES")</f>
        <v>CABLES</v>
      </c>
      <c r="N40" s="87">
        <f>IFERROR(__xludf.DUMMYFUNCTION("""COMPUTED_VALUE"""),888.0)</f>
        <v>888</v>
      </c>
      <c r="O40" s="74">
        <f>IFERROR(__xludf.DUMMYFUNCTION("""COMPUTED_VALUE"""),5.0)</f>
        <v>5</v>
      </c>
      <c r="P40" s="74" t="str">
        <f>IFERROR(__xludf.DUMMYFUNCTION("""COMPUTED_VALUE"""),"In stock")</f>
        <v>In stock</v>
      </c>
      <c r="Q40" s="74"/>
      <c r="R40" s="74"/>
      <c r="S40" s="87">
        <f>IFERROR(__xludf.DUMMYFUNCTION("""COMPUTED_VALUE"""),6.0)</f>
        <v>6</v>
      </c>
      <c r="T40" s="87">
        <f>IFERROR(__xludf.DUMMYFUNCTION("""COMPUTED_VALUE"""),50.0)</f>
        <v>50</v>
      </c>
      <c r="U40" s="87">
        <f>IFERROR(__xludf.DUMMYFUNCTION("""COMPUTED_VALUE"""),48.0)</f>
        <v>48</v>
      </c>
      <c r="V40" s="87">
        <f>IFERROR(__xludf.DUMMYFUNCTION("""COMPUTED_VALUE"""),7.35)</f>
        <v>7.35</v>
      </c>
      <c r="W40" s="87">
        <f>IFERROR(__xludf.DUMMYFUNCTION("""COMPUTED_VALUE"""),137.8125)</f>
        <v>137.8125</v>
      </c>
      <c r="X40" s="88">
        <f>IFERROR(__xludf.DUMMYFUNCTION("""COMPUTED_VALUE"""),8.0)</f>
        <v>8</v>
      </c>
      <c r="Y40" s="74"/>
      <c r="Z40" s="74"/>
    </row>
    <row r="41">
      <c r="B41" s="74" t="str">
        <f>IFERROR(__xludf.DUMMYFUNCTION("""COMPUTED_VALUE"""),"1038")</f>
        <v>1038</v>
      </c>
      <c r="C41" s="74" t="str">
        <f>IFERROR(__xludf.DUMMYFUNCTION("""COMPUTED_VALUE"""),"75045880359")</f>
        <v>75045880359</v>
      </c>
      <c r="D41" s="74" t="str">
        <f>IFERROR(__xludf.DUMMYFUNCTION("""COMPUTED_VALUE"""),"\\MCA-S\mk\2_BM\0_BMat\08_PYM\Inventario\excel\Imagen de refacciones\Ollas revolvedoras\Cables de control para olla mcneilus 16FT x1_4_ x 3_ (1)")</f>
        <v>\\MCA-S\mk\2_BM\0_BMat\08_PYM\Inventario\excel\Imagen de refacciones\Ollas revolvedoras\Cables de control para olla mcneilus 16FT x1_4_ x 3_ (1)</v>
      </c>
      <c r="E41" s="74" t="str">
        <f>IFERROR(__xludf.DUMMYFUNCTION("""COMPUTED_VALUE"""),"DRIVER CONTROL CABLE 716D 6mx1/4""x4""")</f>
        <v>DRIVER CONTROL CABLE 716D 6mx1/4"x4"</v>
      </c>
      <c r="F41" s="74" t="str">
        <f>IFERROR(__xludf.DUMMYFUNCTION("""COMPUTED_VALUE"""),"CABLE DE CONTROL DE MANDO 716D 6mx1/4""x4""")</f>
        <v>CABLE DE CONTROL DE MANDO 716D 6mx1/4"x4"</v>
      </c>
      <c r="G41" s="74"/>
      <c r="H41" s="74" t="str">
        <f>IFERROR(__xludf.DUMMYFUNCTION("""COMPUTED_VALUE"""),"CABLE DE ACELERACIÓN 6M 6MM/6MM PARA CAMION REVOLVEDOR")</f>
        <v>CABLE DE ACELERACIÓN 6M 6MM/6MM PARA CAMION REVOLVEDOR</v>
      </c>
      <c r="I41" s="74" t="str">
        <f>IFERROR(__xludf.DUMMYFUNCTION("""COMPUTED_VALUE"""),"760.6000.6.100")</f>
        <v>760.6000.6.100</v>
      </c>
      <c r="J41" s="74"/>
      <c r="K41" s="74" t="str">
        <f>IFERROR(__xludf.DUMMYFUNCTION("""COMPUTED_VALUE"""),"Olla Revolvedora")</f>
        <v>Olla Revolvedora</v>
      </c>
      <c r="L41" s="74" t="str">
        <f>IFERROR(__xludf.DUMMYFUNCTION("""COMPUTED_VALUE"""),"Transmisión mecánica")</f>
        <v>Transmisión mecánica</v>
      </c>
      <c r="M41" s="74" t="str">
        <f>IFERROR(__xludf.DUMMYFUNCTION("""COMPUTED_VALUE"""),"CABLES")</f>
        <v>CABLES</v>
      </c>
      <c r="N41" s="87">
        <f>IFERROR(__xludf.DUMMYFUNCTION("""COMPUTED_VALUE"""),888.0)</f>
        <v>888</v>
      </c>
      <c r="O41" s="74">
        <f>IFERROR(__xludf.DUMMYFUNCTION("""COMPUTED_VALUE"""),5.0)</f>
        <v>5</v>
      </c>
      <c r="P41" s="74" t="str">
        <f>IFERROR(__xludf.DUMMYFUNCTION("""COMPUTED_VALUE"""),"In stock")</f>
        <v>In stock</v>
      </c>
      <c r="Q41" s="74"/>
      <c r="R41" s="74"/>
      <c r="S41" s="87">
        <f>IFERROR(__xludf.DUMMYFUNCTION("""COMPUTED_VALUE"""),8.0)</f>
        <v>8</v>
      </c>
      <c r="T41" s="87">
        <f>IFERROR(__xludf.DUMMYFUNCTION("""COMPUTED_VALUE"""),50.0)</f>
        <v>50</v>
      </c>
      <c r="U41" s="87">
        <f>IFERROR(__xludf.DUMMYFUNCTION("""COMPUTED_VALUE"""),48.0)</f>
        <v>48</v>
      </c>
      <c r="V41" s="87">
        <f>IFERROR(__xludf.DUMMYFUNCTION("""COMPUTED_VALUE"""),9.8)</f>
        <v>9.8</v>
      </c>
      <c r="W41" s="87">
        <f>IFERROR(__xludf.DUMMYFUNCTION("""COMPUTED_VALUE"""),183.75)</f>
        <v>183.75</v>
      </c>
      <c r="X41" s="88">
        <f>IFERROR(__xludf.DUMMYFUNCTION("""COMPUTED_VALUE"""),6.0)</f>
        <v>6</v>
      </c>
      <c r="Y41" s="74"/>
      <c r="Z41" s="74"/>
    </row>
    <row r="42">
      <c r="B42" s="74" t="str">
        <f>IFERROR(__xludf.DUMMYFUNCTION("""COMPUTED_VALUE"""),"1039")</f>
        <v>1039</v>
      </c>
      <c r="C42" s="74" t="str">
        <f>IFERROR(__xludf.DUMMYFUNCTION("""COMPUTED_VALUE"""),"75045880362")</f>
        <v>75045880362</v>
      </c>
      <c r="D42" s="74" t="str">
        <f>IFERROR(__xludf.DUMMYFUNCTION("""COMPUTED_VALUE"""),"\\MCA-S\mk\2_BM\0_BMat\08_PYM\Inventario\excel\Imagen de refacciones\Ollas revolvedoras\Cables de control para olla mcneilus 16FT x1_4_ x 4_")</f>
        <v>\\MCA-S\mk\2_BM\0_BMat\08_PYM\Inventario\excel\Imagen de refacciones\Ollas revolvedoras\Cables de control para olla mcneilus 16FT x1_4_ x 4_</v>
      </c>
      <c r="E42" s="74" t="str">
        <f>IFERROR(__xludf.DUMMYFUNCTION("""COMPUTED_VALUE"""),"DRIVER CONTROL CABLE 716D 7mx1/4""x4""")</f>
        <v>DRIVER CONTROL CABLE 716D 7mx1/4"x4"</v>
      </c>
      <c r="F42" s="74" t="str">
        <f>IFERROR(__xludf.DUMMYFUNCTION("""COMPUTED_VALUE"""),"CABLE DE CONTROL DE MANDO 716D 7mx1/4""x4""")</f>
        <v>CABLE DE CONTROL DE MANDO 716D 7mx1/4"x4"</v>
      </c>
      <c r="G42" s="74"/>
      <c r="H42" s="74" t="str">
        <f>IFERROR(__xludf.DUMMYFUNCTION("""COMPUTED_VALUE"""),"CABLE DE ACELERACIÓN 7M 6MM/6MM PARA CAMION REVOLVEDOR")</f>
        <v>CABLE DE ACELERACIÓN 7M 6MM/6MM PARA CAMION REVOLVEDOR</v>
      </c>
      <c r="I42" s="74" t="str">
        <f>IFERROR(__xludf.DUMMYFUNCTION("""COMPUTED_VALUE"""),"760.7000.6.100")</f>
        <v>760.7000.6.100</v>
      </c>
      <c r="J42" s="74"/>
      <c r="K42" s="74" t="str">
        <f>IFERROR(__xludf.DUMMYFUNCTION("""COMPUTED_VALUE"""),"Olla Revolvedora")</f>
        <v>Olla Revolvedora</v>
      </c>
      <c r="L42" s="74" t="str">
        <f>IFERROR(__xludf.DUMMYFUNCTION("""COMPUTED_VALUE"""),"Transmisión mecánica")</f>
        <v>Transmisión mecánica</v>
      </c>
      <c r="M42" s="74" t="str">
        <f>IFERROR(__xludf.DUMMYFUNCTION("""COMPUTED_VALUE"""),"CABLES")</f>
        <v>CABLES</v>
      </c>
      <c r="N42" s="87">
        <f>IFERROR(__xludf.DUMMYFUNCTION("""COMPUTED_VALUE"""),888.0)</f>
        <v>888</v>
      </c>
      <c r="O42" s="74">
        <f>IFERROR(__xludf.DUMMYFUNCTION("""COMPUTED_VALUE"""),5.0)</f>
        <v>5</v>
      </c>
      <c r="P42" s="74" t="str">
        <f>IFERROR(__xludf.DUMMYFUNCTION("""COMPUTED_VALUE"""),"In stock")</f>
        <v>In stock</v>
      </c>
      <c r="Q42" s="74"/>
      <c r="R42" s="74"/>
      <c r="S42" s="87">
        <f>IFERROR(__xludf.DUMMYFUNCTION("""COMPUTED_VALUE"""),9.0)</f>
        <v>9</v>
      </c>
      <c r="T42" s="87">
        <f>IFERROR(__xludf.DUMMYFUNCTION("""COMPUTED_VALUE"""),50.0)</f>
        <v>50</v>
      </c>
      <c r="U42" s="87">
        <f>IFERROR(__xludf.DUMMYFUNCTION("""COMPUTED_VALUE"""),48.0)</f>
        <v>48</v>
      </c>
      <c r="V42" s="87">
        <f>IFERROR(__xludf.DUMMYFUNCTION("""COMPUTED_VALUE"""),11.025)</f>
        <v>11.025</v>
      </c>
      <c r="W42" s="87">
        <f>IFERROR(__xludf.DUMMYFUNCTION("""COMPUTED_VALUE"""),206.71875)</f>
        <v>206.71875</v>
      </c>
      <c r="X42" s="88">
        <f>IFERROR(__xludf.DUMMYFUNCTION("""COMPUTED_VALUE"""),5.333333333333333)</f>
        <v>5.333333333</v>
      </c>
      <c r="Y42" s="74"/>
      <c r="Z42" s="74"/>
    </row>
    <row r="43">
      <c r="B43" s="74" t="str">
        <f>IFERROR(__xludf.DUMMYFUNCTION("""COMPUTED_VALUE"""),"1040")</f>
        <v>1040</v>
      </c>
      <c r="C43" s="74" t="str">
        <f>IFERROR(__xludf.DUMMYFUNCTION("""COMPUTED_VALUE"""),"75045880358")</f>
        <v>75045880358</v>
      </c>
      <c r="D43" s="74" t="str">
        <f>IFERROR(__xludf.DUMMYFUNCTION("""COMPUTED_VALUE"""),"\\MCA-S\mk\2_BM\0_BMat\08_PYM\Inventario\excel\Imagen de refacciones\Ollas revolvedoras\Cables de control para olla mcneilus 30FT x1_4_ x 4_")</f>
        <v>\\MCA-S\mk\2_BM\0_BMat\08_PYM\Inventario\excel\Imagen de refacciones\Ollas revolvedoras\Cables de control para olla mcneilus 30FT x1_4_ x 4_</v>
      </c>
      <c r="E43" s="74" t="str">
        <f>IFERROR(__xludf.DUMMYFUNCTION("""COMPUTED_VALUE"""),"DRIVER CONTROL CABLE 716D 8mx1/4""x4""")</f>
        <v>DRIVER CONTROL CABLE 716D 8mx1/4"x4"</v>
      </c>
      <c r="F43" s="74" t="str">
        <f>IFERROR(__xludf.DUMMYFUNCTION("""COMPUTED_VALUE"""),"CABLE DE CONTROL DE MANDO 716D 8mx1/4""x4""")</f>
        <v>CABLE DE CONTROL DE MANDO 716D 8mx1/4"x4"</v>
      </c>
      <c r="G43" s="74"/>
      <c r="H43" s="74" t="str">
        <f>IFERROR(__xludf.DUMMYFUNCTION("""COMPUTED_VALUE"""),"CABLE DE ACELERACIÓN 8M 6MM/6MM PARA CAMION REVOLVEDOR")</f>
        <v>CABLE DE ACELERACIÓN 8M 6MM/6MM PARA CAMION REVOLVEDOR</v>
      </c>
      <c r="I43" s="74" t="str">
        <f>IFERROR(__xludf.DUMMYFUNCTION("""COMPUTED_VALUE"""),"760.8000.6.100")</f>
        <v>760.8000.6.100</v>
      </c>
      <c r="J43" s="74"/>
      <c r="K43" s="74" t="str">
        <f>IFERROR(__xludf.DUMMYFUNCTION("""COMPUTED_VALUE"""),"Olla Revolvedora")</f>
        <v>Olla Revolvedora</v>
      </c>
      <c r="L43" s="74" t="str">
        <f>IFERROR(__xludf.DUMMYFUNCTION("""COMPUTED_VALUE"""),"Transmisión mecánica")</f>
        <v>Transmisión mecánica</v>
      </c>
      <c r="M43" s="74" t="str">
        <f>IFERROR(__xludf.DUMMYFUNCTION("""COMPUTED_VALUE"""),"CABLES")</f>
        <v>CABLES</v>
      </c>
      <c r="N43" s="87">
        <f>IFERROR(__xludf.DUMMYFUNCTION("""COMPUTED_VALUE"""),1012.3199999999999)</f>
        <v>1012.32</v>
      </c>
      <c r="O43" s="74">
        <f>IFERROR(__xludf.DUMMYFUNCTION("""COMPUTED_VALUE"""),5.0)</f>
        <v>5</v>
      </c>
      <c r="P43" s="74" t="str">
        <f>IFERROR(__xludf.DUMMYFUNCTION("""COMPUTED_VALUE"""),"In stock")</f>
        <v>In stock</v>
      </c>
      <c r="Q43" s="74"/>
      <c r="R43" s="74"/>
      <c r="S43" s="87">
        <f>IFERROR(__xludf.DUMMYFUNCTION("""COMPUTED_VALUE"""),10.0)</f>
        <v>10</v>
      </c>
      <c r="T43" s="87">
        <f>IFERROR(__xludf.DUMMYFUNCTION("""COMPUTED_VALUE"""),57.0)</f>
        <v>57</v>
      </c>
      <c r="U43" s="87">
        <f>IFERROR(__xludf.DUMMYFUNCTION("""COMPUTED_VALUE"""),54.72)</f>
        <v>54.72</v>
      </c>
      <c r="V43" s="87">
        <f>IFERROR(__xludf.DUMMYFUNCTION("""COMPUTED_VALUE"""),12.25)</f>
        <v>12.25</v>
      </c>
      <c r="W43" s="87">
        <f>IFERROR(__xludf.DUMMYFUNCTION("""COMPUTED_VALUE"""),229.6875)</f>
        <v>229.6875</v>
      </c>
      <c r="X43" s="88">
        <f>IFERROR(__xludf.DUMMYFUNCTION("""COMPUTED_VALUE"""),5.4719999999999995)</f>
        <v>5.472</v>
      </c>
      <c r="Y43" s="74"/>
      <c r="Z43" s="74"/>
    </row>
    <row r="44">
      <c r="B44" s="74" t="str">
        <f>IFERROR(__xludf.DUMMYFUNCTION("""COMPUTED_VALUE"""),"1041")</f>
        <v>1041</v>
      </c>
      <c r="C44" s="74"/>
      <c r="D44" s="74" t="str">
        <f>IFERROR(__xludf.DUMMYFUNCTION("""COMPUTED_VALUE"""),"\\MCA-S\mk\2_BM\0_BMat\08_PYM\Inventario\excel\Imagen de refacciones\Ollas revolvedoras\Cables de control para olla mcneilus 33FT x1_4_ x 3_")</f>
        <v>\\MCA-S\mk\2_BM\0_BMat\08_PYM\Inventario\excel\Imagen de refacciones\Ollas revolvedoras\Cables de control para olla mcneilus 33FT x1_4_ x 3_</v>
      </c>
      <c r="E44" s="74"/>
      <c r="F44" s="74" t="str">
        <f>IFERROR(__xludf.DUMMYFUNCTION("""COMPUTED_VALUE"""),"Cables de control para olla mcneilus 33FT x1/4"" x 3""")</f>
        <v>Cables de control para olla mcneilus 33FT x1/4" x 3"</v>
      </c>
      <c r="G44" s="74"/>
      <c r="H44" s="74"/>
      <c r="I44" s="74" t="str">
        <f>IFERROR(__xludf.DUMMYFUNCTION("""COMPUTED_VALUE"""),"380.00833")</f>
        <v>380.00833</v>
      </c>
      <c r="J44" s="74"/>
      <c r="K44" s="74" t="str">
        <f>IFERROR(__xludf.DUMMYFUNCTION("""COMPUTED_VALUE"""),"Olla Revolvedora")</f>
        <v>Olla Revolvedora</v>
      </c>
      <c r="L44" s="74" t="str">
        <f>IFERROR(__xludf.DUMMYFUNCTION("""COMPUTED_VALUE"""),"Transmisión mecánica")</f>
        <v>Transmisión mecánica</v>
      </c>
      <c r="M44" s="74" t="str">
        <f>IFERROR(__xludf.DUMMYFUNCTION("""COMPUTED_VALUE"""),"Sin Asignar")</f>
        <v>Sin Asignar</v>
      </c>
      <c r="N44" s="87">
        <f>IFERROR(__xludf.DUMMYFUNCTION("""COMPUTED_VALUE"""),0.0)</f>
        <v>0</v>
      </c>
      <c r="O44" s="74"/>
      <c r="P44" s="74" t="str">
        <f>IFERROR(__xludf.DUMMYFUNCTION("""COMPUTED_VALUE"""),"No Available")</f>
        <v>No Available</v>
      </c>
      <c r="Q44" s="74"/>
      <c r="R44" s="74"/>
      <c r="S44" s="87">
        <f>IFERROR(__xludf.DUMMYFUNCTION("""COMPUTED_VALUE"""),0.0)</f>
        <v>0</v>
      </c>
      <c r="T44" s="87">
        <f>IFERROR(__xludf.DUMMYFUNCTION("""COMPUTED_VALUE"""),0.0)</f>
        <v>0</v>
      </c>
      <c r="U44" s="87">
        <f>IFERROR(__xludf.DUMMYFUNCTION("""COMPUTED_VALUE"""),0.0)</f>
        <v>0</v>
      </c>
      <c r="V44" s="87">
        <f>IFERROR(__xludf.DUMMYFUNCTION("""COMPUTED_VALUE"""),0.0)</f>
        <v>0</v>
      </c>
      <c r="W44" s="87">
        <f>IFERROR(__xludf.DUMMYFUNCTION("""COMPUTED_VALUE"""),0.0)</f>
        <v>0</v>
      </c>
      <c r="X44" s="88"/>
      <c r="Y44" s="74"/>
      <c r="Z44" s="74"/>
    </row>
    <row r="45">
      <c r="B45" s="74" t="str">
        <f>IFERROR(__xludf.DUMMYFUNCTION("""COMPUTED_VALUE"""),"1042")</f>
        <v>1042</v>
      </c>
      <c r="C45" s="74"/>
      <c r="D45" s="74" t="str">
        <f>IFERROR(__xludf.DUMMYFUNCTION("""COMPUTED_VALUE"""),"\\MCA-S\mk\2_BM\0_BMat\08_PYM\Inventario\excel\Imagen de refacciones\Ollas revolvedoras\Cables de control para olla mcneilus 26FT x1_4_ x 4_")</f>
        <v>\\MCA-S\mk\2_BM\0_BMat\08_PYM\Inventario\excel\Imagen de refacciones\Ollas revolvedoras\Cables de control para olla mcneilus 26FT x1_4_ x 4_</v>
      </c>
      <c r="E45" s="74"/>
      <c r="F45" s="74" t="str">
        <f>IFERROR(__xludf.DUMMYFUNCTION("""COMPUTED_VALUE"""),"Cables de control para olla mcneilus 26FT x1/4"" x 4""")</f>
        <v>Cables de control para olla mcneilus 26FT x1/4" x 4"</v>
      </c>
      <c r="G45" s="74"/>
      <c r="H45" s="74"/>
      <c r="I45" s="74" t="str">
        <f>IFERROR(__xludf.DUMMYFUNCTION("""COMPUTED_VALUE"""),"380.215826")</f>
        <v>380.215826</v>
      </c>
      <c r="J45" s="74"/>
      <c r="K45" s="74" t="str">
        <f>IFERROR(__xludf.DUMMYFUNCTION("""COMPUTED_VALUE"""),"Olla Revolvedora")</f>
        <v>Olla Revolvedora</v>
      </c>
      <c r="L45" s="74" t="str">
        <f>IFERROR(__xludf.DUMMYFUNCTION("""COMPUTED_VALUE"""),"Transmisión mecánica")</f>
        <v>Transmisión mecánica</v>
      </c>
      <c r="M45" s="74" t="str">
        <f>IFERROR(__xludf.DUMMYFUNCTION("""COMPUTED_VALUE"""),"Sin Asignar")</f>
        <v>Sin Asignar</v>
      </c>
      <c r="N45" s="87">
        <f>IFERROR(__xludf.DUMMYFUNCTION("""COMPUTED_VALUE"""),0.0)</f>
        <v>0</v>
      </c>
      <c r="O45" s="74"/>
      <c r="P45" s="74" t="str">
        <f>IFERROR(__xludf.DUMMYFUNCTION("""COMPUTED_VALUE"""),"No Available")</f>
        <v>No Available</v>
      </c>
      <c r="Q45" s="74"/>
      <c r="R45" s="74"/>
      <c r="S45" s="87">
        <f>IFERROR(__xludf.DUMMYFUNCTION("""COMPUTED_VALUE"""),0.0)</f>
        <v>0</v>
      </c>
      <c r="T45" s="87">
        <f>IFERROR(__xludf.DUMMYFUNCTION("""COMPUTED_VALUE"""),0.0)</f>
        <v>0</v>
      </c>
      <c r="U45" s="87">
        <f>IFERROR(__xludf.DUMMYFUNCTION("""COMPUTED_VALUE"""),0.0)</f>
        <v>0</v>
      </c>
      <c r="V45" s="87">
        <f>IFERROR(__xludf.DUMMYFUNCTION("""COMPUTED_VALUE"""),0.0)</f>
        <v>0</v>
      </c>
      <c r="W45" s="87">
        <f>IFERROR(__xludf.DUMMYFUNCTION("""COMPUTED_VALUE"""),0.0)</f>
        <v>0</v>
      </c>
      <c r="X45" s="88"/>
      <c r="Y45" s="74"/>
      <c r="Z45" s="74"/>
    </row>
    <row r="46">
      <c r="B46" s="74" t="str">
        <f>IFERROR(__xludf.DUMMYFUNCTION("""COMPUTED_VALUE"""),"1043")</f>
        <v>1043</v>
      </c>
      <c r="C46" s="74"/>
      <c r="D46" s="74" t="str">
        <f>IFERROR(__xludf.DUMMYFUNCTION("""COMPUTED_VALUE"""),"\\MCA-S\mk\2_BM\0_BMat\08_PYM\Inventario\excel\Imagen de refacciones\Ollas revolvedoras\Cables de control para olla mcneilus 30FT x1_4_ x 3_")</f>
        <v>\\MCA-S\mk\2_BM\0_BMat\08_PYM\Inventario\excel\Imagen de refacciones\Ollas revolvedoras\Cables de control para olla mcneilus 30FT x1_4_ x 3_</v>
      </c>
      <c r="E46" s="74"/>
      <c r="F46" s="74" t="str">
        <f>IFERROR(__xludf.DUMMYFUNCTION("""COMPUTED_VALUE"""),"Cables de control para olla mcneilus 30FT x1/4"" x 3""")</f>
        <v>Cables de control para olla mcneilus 30FT x1/4" x 3"</v>
      </c>
      <c r="G46" s="74"/>
      <c r="H46" s="74"/>
      <c r="I46" s="74" t="str">
        <f>IFERROR(__xludf.DUMMYFUNCTION("""COMPUTED_VALUE"""),"380.00808")</f>
        <v>380.00808</v>
      </c>
      <c r="J46" s="74"/>
      <c r="K46" s="74" t="str">
        <f>IFERROR(__xludf.DUMMYFUNCTION("""COMPUTED_VALUE"""),"Olla Revolvedora")</f>
        <v>Olla Revolvedora</v>
      </c>
      <c r="L46" s="74" t="str">
        <f>IFERROR(__xludf.DUMMYFUNCTION("""COMPUTED_VALUE"""),"Transmisión mecánica")</f>
        <v>Transmisión mecánica</v>
      </c>
      <c r="M46" s="74" t="str">
        <f>IFERROR(__xludf.DUMMYFUNCTION("""COMPUTED_VALUE"""),"Sin Asignar")</f>
        <v>Sin Asignar</v>
      </c>
      <c r="N46" s="87">
        <f>IFERROR(__xludf.DUMMYFUNCTION("""COMPUTED_VALUE"""),0.0)</f>
        <v>0</v>
      </c>
      <c r="O46" s="74"/>
      <c r="P46" s="74" t="str">
        <f>IFERROR(__xludf.DUMMYFUNCTION("""COMPUTED_VALUE"""),"No Available")</f>
        <v>No Available</v>
      </c>
      <c r="Q46" s="74"/>
      <c r="R46" s="74"/>
      <c r="S46" s="87">
        <f>IFERROR(__xludf.DUMMYFUNCTION("""COMPUTED_VALUE"""),0.0)</f>
        <v>0</v>
      </c>
      <c r="T46" s="87">
        <f>IFERROR(__xludf.DUMMYFUNCTION("""COMPUTED_VALUE"""),0.0)</f>
        <v>0</v>
      </c>
      <c r="U46" s="87">
        <f>IFERROR(__xludf.DUMMYFUNCTION("""COMPUTED_VALUE"""),0.0)</f>
        <v>0</v>
      </c>
      <c r="V46" s="87">
        <f>IFERROR(__xludf.DUMMYFUNCTION("""COMPUTED_VALUE"""),0.0)</f>
        <v>0</v>
      </c>
      <c r="W46" s="87">
        <f>IFERROR(__xludf.DUMMYFUNCTION("""COMPUTED_VALUE"""),0.0)</f>
        <v>0</v>
      </c>
      <c r="X46" s="88"/>
      <c r="Y46" s="74"/>
      <c r="Z46" s="74"/>
    </row>
    <row r="47">
      <c r="B47" s="74" t="str">
        <f>IFERROR(__xludf.DUMMYFUNCTION("""COMPUTED_VALUE"""),"1044")</f>
        <v>1044</v>
      </c>
      <c r="C47" s="74"/>
      <c r="D47" s="74" t="str">
        <f>IFERROR(__xludf.DUMMYFUNCTION("""COMPUTED_VALUE"""),"\\MCA-S\mk\2_BM\0_BMat\08_PYM\Inventario\excel\Imagen de refacciones\Ollas revolvedoras\Cables de control para olla mcneilus 27FT x1_4_ x 3_")</f>
        <v>\\MCA-S\mk\2_BM\0_BMat\08_PYM\Inventario\excel\Imagen de refacciones\Ollas revolvedoras\Cables de control para olla mcneilus 27FT x1_4_ x 3_</v>
      </c>
      <c r="E47" s="74"/>
      <c r="F47" s="74" t="str">
        <f>IFERROR(__xludf.DUMMYFUNCTION("""COMPUTED_VALUE"""),"Cables de control para olla mcneilus 27FT x1/4"" x 3""")</f>
        <v>Cables de control para olla mcneilus 27FT x1/4" x 3"</v>
      </c>
      <c r="G47" s="74"/>
      <c r="H47" s="74"/>
      <c r="I47" s="74" t="str">
        <f>IFERROR(__xludf.DUMMYFUNCTION("""COMPUTED_VALUE"""),"380.00827")</f>
        <v>380.00827</v>
      </c>
      <c r="J47" s="74"/>
      <c r="K47" s="74" t="str">
        <f>IFERROR(__xludf.DUMMYFUNCTION("""COMPUTED_VALUE"""),"Olla Revolvedora")</f>
        <v>Olla Revolvedora</v>
      </c>
      <c r="L47" s="74" t="str">
        <f>IFERROR(__xludf.DUMMYFUNCTION("""COMPUTED_VALUE"""),"Transmisión mecánica")</f>
        <v>Transmisión mecánica</v>
      </c>
      <c r="M47" s="74" t="str">
        <f>IFERROR(__xludf.DUMMYFUNCTION("""COMPUTED_VALUE"""),"Sin Asignar")</f>
        <v>Sin Asignar</v>
      </c>
      <c r="N47" s="87">
        <f>IFERROR(__xludf.DUMMYFUNCTION("""COMPUTED_VALUE"""),0.0)</f>
        <v>0</v>
      </c>
      <c r="O47" s="74"/>
      <c r="P47" s="74" t="str">
        <f>IFERROR(__xludf.DUMMYFUNCTION("""COMPUTED_VALUE"""),"No Available")</f>
        <v>No Available</v>
      </c>
      <c r="Q47" s="74"/>
      <c r="R47" s="74"/>
      <c r="S47" s="87">
        <f>IFERROR(__xludf.DUMMYFUNCTION("""COMPUTED_VALUE"""),0.0)</f>
        <v>0</v>
      </c>
      <c r="T47" s="87">
        <f>IFERROR(__xludf.DUMMYFUNCTION("""COMPUTED_VALUE"""),0.0)</f>
        <v>0</v>
      </c>
      <c r="U47" s="87">
        <f>IFERROR(__xludf.DUMMYFUNCTION("""COMPUTED_VALUE"""),0.0)</f>
        <v>0</v>
      </c>
      <c r="V47" s="87">
        <f>IFERROR(__xludf.DUMMYFUNCTION("""COMPUTED_VALUE"""),0.0)</f>
        <v>0</v>
      </c>
      <c r="W47" s="87">
        <f>IFERROR(__xludf.DUMMYFUNCTION("""COMPUTED_VALUE"""),0.0)</f>
        <v>0</v>
      </c>
      <c r="X47" s="88"/>
      <c r="Y47" s="74"/>
      <c r="Z47" s="74"/>
    </row>
    <row r="48">
      <c r="B48" s="74" t="str">
        <f>IFERROR(__xludf.DUMMYFUNCTION("""COMPUTED_VALUE"""),"1045")</f>
        <v>1045</v>
      </c>
      <c r="C48" s="74"/>
      <c r="D48" s="74" t="str">
        <f>IFERROR(__xludf.DUMMYFUNCTION("""COMPUTED_VALUE"""),"\\MCA-S\mk\2_BM\0_BMat\08_PYM\Inventario\excel\Imagen de refacciones\Ollas revolvedoras\Cables de control para olla mcneilus 33FT x1_4_ x 3_ (1)")</f>
        <v>\\MCA-S\mk\2_BM\0_BMat\08_PYM\Inventario\excel\Imagen de refacciones\Ollas revolvedoras\Cables de control para olla mcneilus 33FT x1_4_ x 3_ (1)</v>
      </c>
      <c r="E48" s="74"/>
      <c r="F48" s="74" t="str">
        <f>IFERROR(__xludf.DUMMYFUNCTION("""COMPUTED_VALUE"""),"Cables de control para olla mcneilus 33FT x1/4"" x 3""")</f>
        <v>Cables de control para olla mcneilus 33FT x1/4" x 3"</v>
      </c>
      <c r="G48" s="74"/>
      <c r="H48" s="74"/>
      <c r="I48" s="74" t="str">
        <f>IFERROR(__xludf.DUMMYFUNCTION("""COMPUTED_VALUE"""),"380.00833")</f>
        <v>380.00833</v>
      </c>
      <c r="J48" s="74"/>
      <c r="K48" s="74" t="str">
        <f>IFERROR(__xludf.DUMMYFUNCTION("""COMPUTED_VALUE"""),"Olla Revolvedora")</f>
        <v>Olla Revolvedora</v>
      </c>
      <c r="L48" s="74" t="str">
        <f>IFERROR(__xludf.DUMMYFUNCTION("""COMPUTED_VALUE"""),"Transmisión mecánica")</f>
        <v>Transmisión mecánica</v>
      </c>
      <c r="M48" s="74" t="str">
        <f>IFERROR(__xludf.DUMMYFUNCTION("""COMPUTED_VALUE"""),"Sin Asignar")</f>
        <v>Sin Asignar</v>
      </c>
      <c r="N48" s="87">
        <f>IFERROR(__xludf.DUMMYFUNCTION("""COMPUTED_VALUE"""),0.0)</f>
        <v>0</v>
      </c>
      <c r="O48" s="74"/>
      <c r="P48" s="74" t="str">
        <f>IFERROR(__xludf.DUMMYFUNCTION("""COMPUTED_VALUE"""),"No Available")</f>
        <v>No Available</v>
      </c>
      <c r="Q48" s="74"/>
      <c r="R48" s="74"/>
      <c r="S48" s="87">
        <f>IFERROR(__xludf.DUMMYFUNCTION("""COMPUTED_VALUE"""),0.0)</f>
        <v>0</v>
      </c>
      <c r="T48" s="87">
        <f>IFERROR(__xludf.DUMMYFUNCTION("""COMPUTED_VALUE"""),0.0)</f>
        <v>0</v>
      </c>
      <c r="U48" s="87">
        <f>IFERROR(__xludf.DUMMYFUNCTION("""COMPUTED_VALUE"""),0.0)</f>
        <v>0</v>
      </c>
      <c r="V48" s="87">
        <f>IFERROR(__xludf.DUMMYFUNCTION("""COMPUTED_VALUE"""),0.0)</f>
        <v>0</v>
      </c>
      <c r="W48" s="87">
        <f>IFERROR(__xludf.DUMMYFUNCTION("""COMPUTED_VALUE"""),0.0)</f>
        <v>0</v>
      </c>
      <c r="X48" s="88"/>
      <c r="Y48" s="74"/>
      <c r="Z48" s="74"/>
    </row>
    <row r="49">
      <c r="B49" s="74" t="str">
        <f>IFERROR(__xludf.DUMMYFUNCTION("""COMPUTED_VALUE"""),"1046")</f>
        <v>1046</v>
      </c>
      <c r="C49" s="74"/>
      <c r="D49" s="74" t="str">
        <f>IFERROR(__xludf.DUMMYFUNCTION("""COMPUTED_VALUE"""),"\\MCA-S\mk\2_BM\0_BMat\08_PYM\Inventario\excel\Imagen de refacciones\Ollas revolvedoras\Cables de control para olla mcneilus 6FT x1_4_ x 4_")</f>
        <v>\\MCA-S\mk\2_BM\0_BMat\08_PYM\Inventario\excel\Imagen de refacciones\Ollas revolvedoras\Cables de control para olla mcneilus 6FT x1_4_ x 4_</v>
      </c>
      <c r="E49" s="74"/>
      <c r="F49" s="74" t="str">
        <f>IFERROR(__xludf.DUMMYFUNCTION("""COMPUTED_VALUE"""),"Cables de control para olla mcneilus 6FT x1/4"" x 4""")</f>
        <v>Cables de control para olla mcneilus 6FT x1/4" x 4"</v>
      </c>
      <c r="G49" s="74"/>
      <c r="H49" s="74"/>
      <c r="I49" s="74" t="str">
        <f>IFERROR(__xludf.DUMMYFUNCTION("""COMPUTED_VALUE"""),"380.215806")</f>
        <v>380.215806</v>
      </c>
      <c r="J49" s="74"/>
      <c r="K49" s="74" t="str">
        <f>IFERROR(__xludf.DUMMYFUNCTION("""COMPUTED_VALUE"""),"Olla Revolvedora")</f>
        <v>Olla Revolvedora</v>
      </c>
      <c r="L49" s="74" t="str">
        <f>IFERROR(__xludf.DUMMYFUNCTION("""COMPUTED_VALUE"""),"Transmisión mecánica")</f>
        <v>Transmisión mecánica</v>
      </c>
      <c r="M49" s="74" t="str">
        <f>IFERROR(__xludf.DUMMYFUNCTION("""COMPUTED_VALUE"""),"Sin Asignar")</f>
        <v>Sin Asignar</v>
      </c>
      <c r="N49" s="87">
        <f>IFERROR(__xludf.DUMMYFUNCTION("""COMPUTED_VALUE"""),0.0)</f>
        <v>0</v>
      </c>
      <c r="O49" s="74"/>
      <c r="P49" s="74" t="str">
        <f>IFERROR(__xludf.DUMMYFUNCTION("""COMPUTED_VALUE"""),"No Available")</f>
        <v>No Available</v>
      </c>
      <c r="Q49" s="74"/>
      <c r="R49" s="74"/>
      <c r="S49" s="87">
        <f>IFERROR(__xludf.DUMMYFUNCTION("""COMPUTED_VALUE"""),0.0)</f>
        <v>0</v>
      </c>
      <c r="T49" s="87">
        <f>IFERROR(__xludf.DUMMYFUNCTION("""COMPUTED_VALUE"""),0.0)</f>
        <v>0</v>
      </c>
      <c r="U49" s="87">
        <f>IFERROR(__xludf.DUMMYFUNCTION("""COMPUTED_VALUE"""),0.0)</f>
        <v>0</v>
      </c>
      <c r="V49" s="87">
        <f>IFERROR(__xludf.DUMMYFUNCTION("""COMPUTED_VALUE"""),0.0)</f>
        <v>0</v>
      </c>
      <c r="W49" s="87">
        <f>IFERROR(__xludf.DUMMYFUNCTION("""COMPUTED_VALUE"""),0.0)</f>
        <v>0</v>
      </c>
      <c r="X49" s="88"/>
      <c r="Y49" s="74"/>
      <c r="Z49" s="74"/>
    </row>
    <row r="50">
      <c r="B50" s="74" t="str">
        <f>IFERROR(__xludf.DUMMYFUNCTION("""COMPUTED_VALUE"""),"1047")</f>
        <v>1047</v>
      </c>
      <c r="C50" s="74"/>
      <c r="D50" s="74" t="str">
        <f>IFERROR(__xludf.DUMMYFUNCTION("""COMPUTED_VALUE"""),"\\MCA-S\mk\2_BM\0_BMat\08_PYM\Inventario\excel\Imagen de refacciones\Ollas revolvedoras\Cables de control para olla mcneilus 19FT x1_4_ x 4_")</f>
        <v>\\MCA-S\mk\2_BM\0_BMat\08_PYM\Inventario\excel\Imagen de refacciones\Ollas revolvedoras\Cables de control para olla mcneilus 19FT x1_4_ x 4_</v>
      </c>
      <c r="E50" s="74"/>
      <c r="F50" s="74" t="str">
        <f>IFERROR(__xludf.DUMMYFUNCTION("""COMPUTED_VALUE"""),"Cables de control para olla mcneilus 19FT x1/4"" x 4""")</f>
        <v>Cables de control para olla mcneilus 19FT x1/4" x 4"</v>
      </c>
      <c r="G50" s="74"/>
      <c r="H50" s="74"/>
      <c r="I50" s="74" t="str">
        <f>IFERROR(__xludf.DUMMYFUNCTION("""COMPUTED_VALUE"""),"380.215819")</f>
        <v>380.215819</v>
      </c>
      <c r="J50" s="74"/>
      <c r="K50" s="74" t="str">
        <f>IFERROR(__xludf.DUMMYFUNCTION("""COMPUTED_VALUE"""),"Olla Revolvedora")</f>
        <v>Olla Revolvedora</v>
      </c>
      <c r="L50" s="74" t="str">
        <f>IFERROR(__xludf.DUMMYFUNCTION("""COMPUTED_VALUE"""),"Transmisión mecánica")</f>
        <v>Transmisión mecánica</v>
      </c>
      <c r="M50" s="74" t="str">
        <f>IFERROR(__xludf.DUMMYFUNCTION("""COMPUTED_VALUE"""),"Sin Asignar")</f>
        <v>Sin Asignar</v>
      </c>
      <c r="N50" s="87">
        <f>IFERROR(__xludf.DUMMYFUNCTION("""COMPUTED_VALUE"""),0.0)</f>
        <v>0</v>
      </c>
      <c r="O50" s="74"/>
      <c r="P50" s="74" t="str">
        <f>IFERROR(__xludf.DUMMYFUNCTION("""COMPUTED_VALUE"""),"No Available")</f>
        <v>No Available</v>
      </c>
      <c r="Q50" s="74"/>
      <c r="R50" s="74"/>
      <c r="S50" s="87">
        <f>IFERROR(__xludf.DUMMYFUNCTION("""COMPUTED_VALUE"""),0.0)</f>
        <v>0</v>
      </c>
      <c r="T50" s="87">
        <f>IFERROR(__xludf.DUMMYFUNCTION("""COMPUTED_VALUE"""),0.0)</f>
        <v>0</v>
      </c>
      <c r="U50" s="87">
        <f>IFERROR(__xludf.DUMMYFUNCTION("""COMPUTED_VALUE"""),0.0)</f>
        <v>0</v>
      </c>
      <c r="V50" s="87">
        <f>IFERROR(__xludf.DUMMYFUNCTION("""COMPUTED_VALUE"""),0.0)</f>
        <v>0</v>
      </c>
      <c r="W50" s="87">
        <f>IFERROR(__xludf.DUMMYFUNCTION("""COMPUTED_VALUE"""),0.0)</f>
        <v>0</v>
      </c>
      <c r="X50" s="88"/>
      <c r="Y50" s="74"/>
      <c r="Z50" s="74"/>
    </row>
    <row r="51">
      <c r="B51" s="74" t="str">
        <f>IFERROR(__xludf.DUMMYFUNCTION("""COMPUTED_VALUE"""),"1048")</f>
        <v>1048</v>
      </c>
      <c r="C51" s="74"/>
      <c r="D51" s="74" t="str">
        <f>IFERROR(__xludf.DUMMYFUNCTION("""COMPUTED_VALUE"""),"\\MCA-S\mk\2_BM\0_BMat\08_PYM\Inventario\excel\Imagen de refacciones\Ollas revolvedoras\Cables de control para olla mcneilus 23FT x1_4_ x 4_")</f>
        <v>\\MCA-S\mk\2_BM\0_BMat\08_PYM\Inventario\excel\Imagen de refacciones\Ollas revolvedoras\Cables de control para olla mcneilus 23FT x1_4_ x 4_</v>
      </c>
      <c r="E51" s="74"/>
      <c r="F51" s="74" t="str">
        <f>IFERROR(__xludf.DUMMYFUNCTION("""COMPUTED_VALUE"""),"Cables de control para olla mcneilus 23FT x1/4"" x 4""")</f>
        <v>Cables de control para olla mcneilus 23FT x1/4" x 4"</v>
      </c>
      <c r="G51" s="74"/>
      <c r="H51" s="74"/>
      <c r="I51" s="74" t="str">
        <f>IFERROR(__xludf.DUMMYFUNCTION("""COMPUTED_VALUE"""),"380.215823")</f>
        <v>380.215823</v>
      </c>
      <c r="J51" s="74"/>
      <c r="K51" s="74" t="str">
        <f>IFERROR(__xludf.DUMMYFUNCTION("""COMPUTED_VALUE"""),"Olla Revolvedora")</f>
        <v>Olla Revolvedora</v>
      </c>
      <c r="L51" s="74" t="str">
        <f>IFERROR(__xludf.DUMMYFUNCTION("""COMPUTED_VALUE"""),"Transmisión mecánica")</f>
        <v>Transmisión mecánica</v>
      </c>
      <c r="M51" s="74" t="str">
        <f>IFERROR(__xludf.DUMMYFUNCTION("""COMPUTED_VALUE"""),"Sin Asignar")</f>
        <v>Sin Asignar</v>
      </c>
      <c r="N51" s="87">
        <f>IFERROR(__xludf.DUMMYFUNCTION("""COMPUTED_VALUE"""),0.0)</f>
        <v>0</v>
      </c>
      <c r="O51" s="74"/>
      <c r="P51" s="74" t="str">
        <f>IFERROR(__xludf.DUMMYFUNCTION("""COMPUTED_VALUE"""),"No Available")</f>
        <v>No Available</v>
      </c>
      <c r="Q51" s="74"/>
      <c r="R51" s="74"/>
      <c r="S51" s="87">
        <f>IFERROR(__xludf.DUMMYFUNCTION("""COMPUTED_VALUE"""),0.0)</f>
        <v>0</v>
      </c>
      <c r="T51" s="87">
        <f>IFERROR(__xludf.DUMMYFUNCTION("""COMPUTED_VALUE"""),0.0)</f>
        <v>0</v>
      </c>
      <c r="U51" s="87">
        <f>IFERROR(__xludf.DUMMYFUNCTION("""COMPUTED_VALUE"""),0.0)</f>
        <v>0</v>
      </c>
      <c r="V51" s="87">
        <f>IFERROR(__xludf.DUMMYFUNCTION("""COMPUTED_VALUE"""),0.0)</f>
        <v>0</v>
      </c>
      <c r="W51" s="87">
        <f>IFERROR(__xludf.DUMMYFUNCTION("""COMPUTED_VALUE"""),0.0)</f>
        <v>0</v>
      </c>
      <c r="X51" s="88"/>
      <c r="Y51" s="74"/>
      <c r="Z51" s="74"/>
    </row>
    <row r="52">
      <c r="B52" s="74" t="str">
        <f>IFERROR(__xludf.DUMMYFUNCTION("""COMPUTED_VALUE"""),"1049")</f>
        <v>1049</v>
      </c>
      <c r="C52" s="74"/>
      <c r="D52" s="74" t="str">
        <f>IFERROR(__xludf.DUMMYFUNCTION("""COMPUTED_VALUE"""),"\\MCA-S\mk\2_BM\0_BMat\08_PYM\Inventario\excel\Imagen de refacciones\Ollas revolvedoras\Cables de control para olla mcneilus 11FT x1_4_ x 3_")</f>
        <v>\\MCA-S\mk\2_BM\0_BMat\08_PYM\Inventario\excel\Imagen de refacciones\Ollas revolvedoras\Cables de control para olla mcneilus 11FT x1_4_ x 3_</v>
      </c>
      <c r="E52" s="74"/>
      <c r="F52" s="74" t="str">
        <f>IFERROR(__xludf.DUMMYFUNCTION("""COMPUTED_VALUE"""),"Cables de control para olla mcneilus 11FT x1/4"" x 3""")</f>
        <v>Cables de control para olla mcneilus 11FT x1/4" x 3"</v>
      </c>
      <c r="G52" s="74"/>
      <c r="H52" s="74"/>
      <c r="I52" s="74" t="str">
        <f>IFERROR(__xludf.DUMMYFUNCTION("""COMPUTED_VALUE"""),"380.00811")</f>
        <v>380.00811</v>
      </c>
      <c r="J52" s="74"/>
      <c r="K52" s="74" t="str">
        <f>IFERROR(__xludf.DUMMYFUNCTION("""COMPUTED_VALUE"""),"Olla Revolvedora")</f>
        <v>Olla Revolvedora</v>
      </c>
      <c r="L52" s="74" t="str">
        <f>IFERROR(__xludf.DUMMYFUNCTION("""COMPUTED_VALUE"""),"Transmisión mecánica")</f>
        <v>Transmisión mecánica</v>
      </c>
      <c r="M52" s="74" t="str">
        <f>IFERROR(__xludf.DUMMYFUNCTION("""COMPUTED_VALUE"""),"Sin Asignar")</f>
        <v>Sin Asignar</v>
      </c>
      <c r="N52" s="87">
        <f>IFERROR(__xludf.DUMMYFUNCTION("""COMPUTED_VALUE"""),0.0)</f>
        <v>0</v>
      </c>
      <c r="O52" s="74"/>
      <c r="P52" s="74" t="str">
        <f>IFERROR(__xludf.DUMMYFUNCTION("""COMPUTED_VALUE"""),"No Available")</f>
        <v>No Available</v>
      </c>
      <c r="Q52" s="74"/>
      <c r="R52" s="74"/>
      <c r="S52" s="87">
        <f>IFERROR(__xludf.DUMMYFUNCTION("""COMPUTED_VALUE"""),0.0)</f>
        <v>0</v>
      </c>
      <c r="T52" s="87">
        <f>IFERROR(__xludf.DUMMYFUNCTION("""COMPUTED_VALUE"""),0.0)</f>
        <v>0</v>
      </c>
      <c r="U52" s="87">
        <f>IFERROR(__xludf.DUMMYFUNCTION("""COMPUTED_VALUE"""),0.0)</f>
        <v>0</v>
      </c>
      <c r="V52" s="87">
        <f>IFERROR(__xludf.DUMMYFUNCTION("""COMPUTED_VALUE"""),0.0)</f>
        <v>0</v>
      </c>
      <c r="W52" s="87">
        <f>IFERROR(__xludf.DUMMYFUNCTION("""COMPUTED_VALUE"""),0.0)</f>
        <v>0</v>
      </c>
      <c r="X52" s="88"/>
      <c r="Y52" s="74"/>
      <c r="Z52" s="74"/>
    </row>
    <row r="53">
      <c r="B53" s="74" t="str">
        <f>IFERROR(__xludf.DUMMYFUNCTION("""COMPUTED_VALUE"""),"1050")</f>
        <v>1050</v>
      </c>
      <c r="C53" s="74"/>
      <c r="D53" s="74" t="str">
        <f>IFERROR(__xludf.DUMMYFUNCTION("""COMPUTED_VALUE"""),"\\MCA-S\mk\2_BM\0_BMat\08_PYM\Inventario\excel\Imagen de refacciones\Ollas revolvedoras\Cables de control para olla mcneilus 11FT x1_4_ x 4_")</f>
        <v>\\MCA-S\mk\2_BM\0_BMat\08_PYM\Inventario\excel\Imagen de refacciones\Ollas revolvedoras\Cables de control para olla mcneilus 11FT x1_4_ x 4_</v>
      </c>
      <c r="E53" s="74"/>
      <c r="F53" s="74" t="str">
        <f>IFERROR(__xludf.DUMMYFUNCTION("""COMPUTED_VALUE"""),"Cables de control para olla mcneilus 11FT x1/4"" x 4""")</f>
        <v>Cables de control para olla mcneilus 11FT x1/4" x 4"</v>
      </c>
      <c r="G53" s="74"/>
      <c r="H53" s="74"/>
      <c r="I53" s="74" t="str">
        <f>IFERROR(__xludf.DUMMYFUNCTION("""COMPUTED_VALUE"""),"380.00826")</f>
        <v>380.00826</v>
      </c>
      <c r="J53" s="74"/>
      <c r="K53" s="74" t="str">
        <f>IFERROR(__xludf.DUMMYFUNCTION("""COMPUTED_VALUE"""),"Olla Revolvedora")</f>
        <v>Olla Revolvedora</v>
      </c>
      <c r="L53" s="74" t="str">
        <f>IFERROR(__xludf.DUMMYFUNCTION("""COMPUTED_VALUE"""),"Transmisión mecánica")</f>
        <v>Transmisión mecánica</v>
      </c>
      <c r="M53" s="74" t="str">
        <f>IFERROR(__xludf.DUMMYFUNCTION("""COMPUTED_VALUE"""),"Sin Asignar")</f>
        <v>Sin Asignar</v>
      </c>
      <c r="N53" s="87">
        <f>IFERROR(__xludf.DUMMYFUNCTION("""COMPUTED_VALUE"""),0.0)</f>
        <v>0</v>
      </c>
      <c r="O53" s="74"/>
      <c r="P53" s="74" t="str">
        <f>IFERROR(__xludf.DUMMYFUNCTION("""COMPUTED_VALUE"""),"No Available")</f>
        <v>No Available</v>
      </c>
      <c r="Q53" s="74"/>
      <c r="R53" s="74"/>
      <c r="S53" s="87">
        <f>IFERROR(__xludf.DUMMYFUNCTION("""COMPUTED_VALUE"""),0.0)</f>
        <v>0</v>
      </c>
      <c r="T53" s="87">
        <f>IFERROR(__xludf.DUMMYFUNCTION("""COMPUTED_VALUE"""),0.0)</f>
        <v>0</v>
      </c>
      <c r="U53" s="87">
        <f>IFERROR(__xludf.DUMMYFUNCTION("""COMPUTED_VALUE"""),0.0)</f>
        <v>0</v>
      </c>
      <c r="V53" s="87">
        <f>IFERROR(__xludf.DUMMYFUNCTION("""COMPUTED_VALUE"""),0.0)</f>
        <v>0</v>
      </c>
      <c r="W53" s="87">
        <f>IFERROR(__xludf.DUMMYFUNCTION("""COMPUTED_VALUE"""),0.0)</f>
        <v>0</v>
      </c>
      <c r="X53" s="88"/>
      <c r="Y53" s="74"/>
      <c r="Z53" s="74"/>
    </row>
    <row r="54">
      <c r="B54" s="74" t="str">
        <f>IFERROR(__xludf.DUMMYFUNCTION("""COMPUTED_VALUE"""),"1051")</f>
        <v>1051</v>
      </c>
      <c r="C54" s="74"/>
      <c r="D54" s="74" t="str">
        <f>IFERROR(__xludf.DUMMYFUNCTION("""COMPUTED_VALUE"""),"\\MCA-S\mk\2_BM\0_BMat\08_PYM\Inventario\excel\Imagen de refacciones\Ollas revolvedoras\Cables de control para olla mcneilus 21FT x1_4_ x 3_")</f>
        <v>\\MCA-S\mk\2_BM\0_BMat\08_PYM\Inventario\excel\Imagen de refacciones\Ollas revolvedoras\Cables de control para olla mcneilus 21FT x1_4_ x 3_</v>
      </c>
      <c r="E54" s="74"/>
      <c r="F54" s="74" t="str">
        <f>IFERROR(__xludf.DUMMYFUNCTION("""COMPUTED_VALUE"""),"Cables de control para olla mcneilus 21FT x1/4"" x 3""")</f>
        <v>Cables de control para olla mcneilus 21FT x1/4" x 3"</v>
      </c>
      <c r="G54" s="74"/>
      <c r="H54" s="74"/>
      <c r="I54" s="74"/>
      <c r="J54" s="74"/>
      <c r="K54" s="74" t="str">
        <f>IFERROR(__xludf.DUMMYFUNCTION("""COMPUTED_VALUE"""),"Olla Revolvedora")</f>
        <v>Olla Revolvedora</v>
      </c>
      <c r="L54" s="74" t="str">
        <f>IFERROR(__xludf.DUMMYFUNCTION("""COMPUTED_VALUE"""),"Transmisión mecánica")</f>
        <v>Transmisión mecánica</v>
      </c>
      <c r="M54" s="74" t="str">
        <f>IFERROR(__xludf.DUMMYFUNCTION("""COMPUTED_VALUE"""),"Sin Asignar")</f>
        <v>Sin Asignar</v>
      </c>
      <c r="N54" s="87">
        <f>IFERROR(__xludf.DUMMYFUNCTION("""COMPUTED_VALUE"""),0.0)</f>
        <v>0</v>
      </c>
      <c r="O54" s="74"/>
      <c r="P54" s="74" t="str">
        <f>IFERROR(__xludf.DUMMYFUNCTION("""COMPUTED_VALUE"""),"No Available")</f>
        <v>No Available</v>
      </c>
      <c r="Q54" s="74"/>
      <c r="R54" s="74"/>
      <c r="S54" s="87">
        <f>IFERROR(__xludf.DUMMYFUNCTION("""COMPUTED_VALUE"""),0.0)</f>
        <v>0</v>
      </c>
      <c r="T54" s="87">
        <f>IFERROR(__xludf.DUMMYFUNCTION("""COMPUTED_VALUE"""),0.0)</f>
        <v>0</v>
      </c>
      <c r="U54" s="87">
        <f>IFERROR(__xludf.DUMMYFUNCTION("""COMPUTED_VALUE"""),0.0)</f>
        <v>0</v>
      </c>
      <c r="V54" s="87">
        <f>IFERROR(__xludf.DUMMYFUNCTION("""COMPUTED_VALUE"""),0.0)</f>
        <v>0</v>
      </c>
      <c r="W54" s="87">
        <f>IFERROR(__xludf.DUMMYFUNCTION("""COMPUTED_VALUE"""),0.0)</f>
        <v>0</v>
      </c>
      <c r="X54" s="88"/>
      <c r="Y54" s="74"/>
      <c r="Z54" s="74"/>
    </row>
    <row r="55">
      <c r="B55" s="74" t="str">
        <f>IFERROR(__xludf.DUMMYFUNCTION("""COMPUTED_VALUE"""),"1052")</f>
        <v>1052</v>
      </c>
      <c r="C55" s="74"/>
      <c r="D55" s="74" t="str">
        <f>IFERROR(__xludf.DUMMYFUNCTION("""COMPUTED_VALUE"""),"\\MCA-S\mk\2_BM\0_BMat\08_PYM\Inventario\excel\Imagen de refacciones\Ollas revolvedoras\Cables de control para olla mcneilus 21FT x1_4_ x 4_")</f>
        <v>\\MCA-S\mk\2_BM\0_BMat\08_PYM\Inventario\excel\Imagen de refacciones\Ollas revolvedoras\Cables de control para olla mcneilus 21FT x1_4_ x 4_</v>
      </c>
      <c r="E55" s="74"/>
      <c r="F55" s="74" t="str">
        <f>IFERROR(__xludf.DUMMYFUNCTION("""COMPUTED_VALUE"""),"Cables de control para olla mcneilus 21FT x1/4"" x 4""")</f>
        <v>Cables de control para olla mcneilus 21FT x1/4" x 4"</v>
      </c>
      <c r="G55" s="74"/>
      <c r="H55" s="74"/>
      <c r="I55" s="74" t="str">
        <f>IFERROR(__xludf.DUMMYFUNCTION("""COMPUTED_VALUE"""),"380.215821")</f>
        <v>380.215821</v>
      </c>
      <c r="J55" s="74"/>
      <c r="K55" s="74" t="str">
        <f>IFERROR(__xludf.DUMMYFUNCTION("""COMPUTED_VALUE"""),"Olla Revolvedora")</f>
        <v>Olla Revolvedora</v>
      </c>
      <c r="L55" s="74" t="str">
        <f>IFERROR(__xludf.DUMMYFUNCTION("""COMPUTED_VALUE"""),"Transmisión mecánica")</f>
        <v>Transmisión mecánica</v>
      </c>
      <c r="M55" s="74" t="str">
        <f>IFERROR(__xludf.DUMMYFUNCTION("""COMPUTED_VALUE"""),"Sin Asignar")</f>
        <v>Sin Asignar</v>
      </c>
      <c r="N55" s="87">
        <f>IFERROR(__xludf.DUMMYFUNCTION("""COMPUTED_VALUE"""),0.0)</f>
        <v>0</v>
      </c>
      <c r="O55" s="74"/>
      <c r="P55" s="74" t="str">
        <f>IFERROR(__xludf.DUMMYFUNCTION("""COMPUTED_VALUE"""),"No Available")</f>
        <v>No Available</v>
      </c>
      <c r="Q55" s="74"/>
      <c r="R55" s="74"/>
      <c r="S55" s="87">
        <f>IFERROR(__xludf.DUMMYFUNCTION("""COMPUTED_VALUE"""),0.0)</f>
        <v>0</v>
      </c>
      <c r="T55" s="87">
        <f>IFERROR(__xludf.DUMMYFUNCTION("""COMPUTED_VALUE"""),0.0)</f>
        <v>0</v>
      </c>
      <c r="U55" s="87">
        <f>IFERROR(__xludf.DUMMYFUNCTION("""COMPUTED_VALUE"""),0.0)</f>
        <v>0</v>
      </c>
      <c r="V55" s="87">
        <f>IFERROR(__xludf.DUMMYFUNCTION("""COMPUTED_VALUE"""),0.0)</f>
        <v>0</v>
      </c>
      <c r="W55" s="87">
        <f>IFERROR(__xludf.DUMMYFUNCTION("""COMPUTED_VALUE"""),0.0)</f>
        <v>0</v>
      </c>
      <c r="X55" s="88"/>
      <c r="Y55" s="74"/>
      <c r="Z55" s="74"/>
    </row>
    <row r="56">
      <c r="B56" s="74" t="str">
        <f>IFERROR(__xludf.DUMMYFUNCTION("""COMPUTED_VALUE"""),"1053")</f>
        <v>1053</v>
      </c>
      <c r="C56" s="74"/>
      <c r="D56" s="74" t="str">
        <f>IFERROR(__xludf.DUMMYFUNCTION("""COMPUTED_VALUE"""),"\\MCA-S\mk\2_BM\0_BMat\08_PYM\Inventario\excel\Imagen de refacciones\Ollas revolvedoras\Cables de control para olla mcneilus 19FT x1_4_ x 3_")</f>
        <v>\\MCA-S\mk\2_BM\0_BMat\08_PYM\Inventario\excel\Imagen de refacciones\Ollas revolvedoras\Cables de control para olla mcneilus 19FT x1_4_ x 3_</v>
      </c>
      <c r="E56" s="74"/>
      <c r="F56" s="74" t="str">
        <f>IFERROR(__xludf.DUMMYFUNCTION("""COMPUTED_VALUE"""),"Cables de control para olla mcneilus 19FT x1/4"" x 3""")</f>
        <v>Cables de control para olla mcneilus 19FT x1/4" x 3"</v>
      </c>
      <c r="G56" s="74"/>
      <c r="H56" s="74"/>
      <c r="I56" s="74" t="str">
        <f>IFERROR(__xludf.DUMMYFUNCTION("""COMPUTED_VALUE"""),"380.00819")</f>
        <v>380.00819</v>
      </c>
      <c r="J56" s="74"/>
      <c r="K56" s="74" t="str">
        <f>IFERROR(__xludf.DUMMYFUNCTION("""COMPUTED_VALUE"""),"Olla Revolvedora")</f>
        <v>Olla Revolvedora</v>
      </c>
      <c r="L56" s="74" t="str">
        <f>IFERROR(__xludf.DUMMYFUNCTION("""COMPUTED_VALUE"""),"Transmisión mecánica")</f>
        <v>Transmisión mecánica</v>
      </c>
      <c r="M56" s="74" t="str">
        <f>IFERROR(__xludf.DUMMYFUNCTION("""COMPUTED_VALUE"""),"Sin Asignar")</f>
        <v>Sin Asignar</v>
      </c>
      <c r="N56" s="87">
        <f>IFERROR(__xludf.DUMMYFUNCTION("""COMPUTED_VALUE"""),0.0)</f>
        <v>0</v>
      </c>
      <c r="O56" s="74"/>
      <c r="P56" s="74" t="str">
        <f>IFERROR(__xludf.DUMMYFUNCTION("""COMPUTED_VALUE"""),"No Available")</f>
        <v>No Available</v>
      </c>
      <c r="Q56" s="74"/>
      <c r="R56" s="74"/>
      <c r="S56" s="87">
        <f>IFERROR(__xludf.DUMMYFUNCTION("""COMPUTED_VALUE"""),0.0)</f>
        <v>0</v>
      </c>
      <c r="T56" s="87">
        <f>IFERROR(__xludf.DUMMYFUNCTION("""COMPUTED_VALUE"""),0.0)</f>
        <v>0</v>
      </c>
      <c r="U56" s="87">
        <f>IFERROR(__xludf.DUMMYFUNCTION("""COMPUTED_VALUE"""),0.0)</f>
        <v>0</v>
      </c>
      <c r="V56" s="87">
        <f>IFERROR(__xludf.DUMMYFUNCTION("""COMPUTED_VALUE"""),0.0)</f>
        <v>0</v>
      </c>
      <c r="W56" s="87">
        <f>IFERROR(__xludf.DUMMYFUNCTION("""COMPUTED_VALUE"""),0.0)</f>
        <v>0</v>
      </c>
      <c r="X56" s="88"/>
      <c r="Y56" s="74"/>
      <c r="Z56" s="74"/>
    </row>
    <row r="57">
      <c r="B57" s="74" t="str">
        <f>IFERROR(__xludf.DUMMYFUNCTION("""COMPUTED_VALUE"""),"1054")</f>
        <v>1054</v>
      </c>
      <c r="C57" s="74"/>
      <c r="D57" s="74" t="str">
        <f>IFERROR(__xludf.DUMMYFUNCTION("""COMPUTED_VALUE"""),"\\MCA-S\mk\2_BM\0_BMat\08_PYM\Inventario\excel\Imagen de refacciones\Ollas revolvedoras\Cables de control para olla mcneilus 6FT x1_4_ x 3_")</f>
        <v>\\MCA-S\mk\2_BM\0_BMat\08_PYM\Inventario\excel\Imagen de refacciones\Ollas revolvedoras\Cables de control para olla mcneilus 6FT x1_4_ x 3_</v>
      </c>
      <c r="E57" s="74"/>
      <c r="F57" s="74" t="str">
        <f>IFERROR(__xludf.DUMMYFUNCTION("""COMPUTED_VALUE"""),"Cables de control para olla mcneilus 6FT x1/4"" x 3""")</f>
        <v>Cables de control para olla mcneilus 6FT x1/4" x 3"</v>
      </c>
      <c r="G57" s="74"/>
      <c r="H57" s="74"/>
      <c r="I57" s="74" t="str">
        <f>IFERROR(__xludf.DUMMYFUNCTION("""COMPUTED_VALUE"""),"380.00806")</f>
        <v>380.00806</v>
      </c>
      <c r="J57" s="74"/>
      <c r="K57" s="74" t="str">
        <f>IFERROR(__xludf.DUMMYFUNCTION("""COMPUTED_VALUE"""),"Olla Revolvedora")</f>
        <v>Olla Revolvedora</v>
      </c>
      <c r="L57" s="74" t="str">
        <f>IFERROR(__xludf.DUMMYFUNCTION("""COMPUTED_VALUE"""),"Transmisión mecánica")</f>
        <v>Transmisión mecánica</v>
      </c>
      <c r="M57" s="74" t="str">
        <f>IFERROR(__xludf.DUMMYFUNCTION("""COMPUTED_VALUE"""),"Sin Asignar")</f>
        <v>Sin Asignar</v>
      </c>
      <c r="N57" s="87">
        <f>IFERROR(__xludf.DUMMYFUNCTION("""COMPUTED_VALUE"""),0.0)</f>
        <v>0</v>
      </c>
      <c r="O57" s="74"/>
      <c r="P57" s="74" t="str">
        <f>IFERROR(__xludf.DUMMYFUNCTION("""COMPUTED_VALUE"""),"No Available")</f>
        <v>No Available</v>
      </c>
      <c r="Q57" s="74"/>
      <c r="R57" s="74"/>
      <c r="S57" s="87">
        <f>IFERROR(__xludf.DUMMYFUNCTION("""COMPUTED_VALUE"""),0.0)</f>
        <v>0</v>
      </c>
      <c r="T57" s="87">
        <f>IFERROR(__xludf.DUMMYFUNCTION("""COMPUTED_VALUE"""),0.0)</f>
        <v>0</v>
      </c>
      <c r="U57" s="87">
        <f>IFERROR(__xludf.DUMMYFUNCTION("""COMPUTED_VALUE"""),0.0)</f>
        <v>0</v>
      </c>
      <c r="V57" s="87">
        <f>IFERROR(__xludf.DUMMYFUNCTION("""COMPUTED_VALUE"""),0.0)</f>
        <v>0</v>
      </c>
      <c r="W57" s="87">
        <f>IFERROR(__xludf.DUMMYFUNCTION("""COMPUTED_VALUE"""),0.0)</f>
        <v>0</v>
      </c>
      <c r="X57" s="88"/>
      <c r="Y57" s="74"/>
      <c r="Z57" s="74"/>
    </row>
    <row r="58">
      <c r="B58" s="74" t="str">
        <f>IFERROR(__xludf.DUMMYFUNCTION("""COMPUTED_VALUE"""),"1055")</f>
        <v>1055</v>
      </c>
      <c r="C58" s="74"/>
      <c r="D58" s="74" t="str">
        <f>IFERROR(__xludf.DUMMYFUNCTION("""COMPUTED_VALUE"""),"\\MCA-S\mk\2_BM\0_BMat\08_PYM\Inventario\excel\Imagen de refacciones\Ollas revolvedoras\Cables de control para olla mcneilus 10FT x1_4_ x  4_")</f>
        <v>\\MCA-S\mk\2_BM\0_BMat\08_PYM\Inventario\excel\Imagen de refacciones\Ollas revolvedoras\Cables de control para olla mcneilus 10FT x1_4_ x  4_</v>
      </c>
      <c r="E58" s="74"/>
      <c r="F58" s="74" t="str">
        <f>IFERROR(__xludf.DUMMYFUNCTION("""COMPUTED_VALUE"""),"Cables de control para olla mcneilus 10FT x1/4"" x  4""")</f>
        <v>Cables de control para olla mcneilus 10FT x1/4" x  4"</v>
      </c>
      <c r="G58" s="74"/>
      <c r="H58" s="74"/>
      <c r="I58" s="74" t="str">
        <f>IFERROR(__xludf.DUMMYFUNCTION("""COMPUTED_VALUE"""),"380.215810A")</f>
        <v>380.215810A</v>
      </c>
      <c r="J58" s="74"/>
      <c r="K58" s="74" t="str">
        <f>IFERROR(__xludf.DUMMYFUNCTION("""COMPUTED_VALUE"""),"Olla Revolvedora")</f>
        <v>Olla Revolvedora</v>
      </c>
      <c r="L58" s="74" t="str">
        <f>IFERROR(__xludf.DUMMYFUNCTION("""COMPUTED_VALUE"""),"Transmisión mecánica")</f>
        <v>Transmisión mecánica</v>
      </c>
      <c r="M58" s="74" t="str">
        <f>IFERROR(__xludf.DUMMYFUNCTION("""COMPUTED_VALUE"""),"Sin Asignar")</f>
        <v>Sin Asignar</v>
      </c>
      <c r="N58" s="87">
        <f>IFERROR(__xludf.DUMMYFUNCTION("""COMPUTED_VALUE"""),0.0)</f>
        <v>0</v>
      </c>
      <c r="O58" s="74"/>
      <c r="P58" s="74" t="str">
        <f>IFERROR(__xludf.DUMMYFUNCTION("""COMPUTED_VALUE"""),"No Available")</f>
        <v>No Available</v>
      </c>
      <c r="Q58" s="74"/>
      <c r="R58" s="74"/>
      <c r="S58" s="87">
        <f>IFERROR(__xludf.DUMMYFUNCTION("""COMPUTED_VALUE"""),0.0)</f>
        <v>0</v>
      </c>
      <c r="T58" s="87">
        <f>IFERROR(__xludf.DUMMYFUNCTION("""COMPUTED_VALUE"""),0.0)</f>
        <v>0</v>
      </c>
      <c r="U58" s="87">
        <f>IFERROR(__xludf.DUMMYFUNCTION("""COMPUTED_VALUE"""),0.0)</f>
        <v>0</v>
      </c>
      <c r="V58" s="87">
        <f>IFERROR(__xludf.DUMMYFUNCTION("""COMPUTED_VALUE"""),0.0)</f>
        <v>0</v>
      </c>
      <c r="W58" s="87">
        <f>IFERROR(__xludf.DUMMYFUNCTION("""COMPUTED_VALUE"""),0.0)</f>
        <v>0</v>
      </c>
      <c r="X58" s="88"/>
      <c r="Y58" s="74"/>
      <c r="Z58" s="74"/>
    </row>
    <row r="59">
      <c r="B59" s="74" t="str">
        <f>IFERROR(__xludf.DUMMYFUNCTION("""COMPUTED_VALUE"""),"1056")</f>
        <v>1056</v>
      </c>
      <c r="C59" s="74"/>
      <c r="D59" s="74" t="str">
        <f>IFERROR(__xludf.DUMMYFUNCTION("""COMPUTED_VALUE"""),"\\MCA-S\mk\2_BM\0_BMat\08_PYM\Inventario\excel\Imagen de refacciones\Ollas revolvedoras\Cables de control para olla mcneilus 10FT x1_4_ x 4_ (1)")</f>
        <v>\\MCA-S\mk\2_BM\0_BMat\08_PYM\Inventario\excel\Imagen de refacciones\Ollas revolvedoras\Cables de control para olla mcneilus 10FT x1_4_ x 4_ (1)</v>
      </c>
      <c r="E59" s="74"/>
      <c r="F59" s="74" t="str">
        <f>IFERROR(__xludf.DUMMYFUNCTION("""COMPUTED_VALUE"""),"Cables de control para olla mcneilus 10FT x1/4"" x 4""")</f>
        <v>Cables de control para olla mcneilus 10FT x1/4" x 4"</v>
      </c>
      <c r="G59" s="74"/>
      <c r="H59" s="74"/>
      <c r="I59" s="74" t="str">
        <f>IFERROR(__xludf.DUMMYFUNCTION("""COMPUTED_VALUE"""),"380.215810A")</f>
        <v>380.215810A</v>
      </c>
      <c r="J59" s="74"/>
      <c r="K59" s="74" t="str">
        <f>IFERROR(__xludf.DUMMYFUNCTION("""COMPUTED_VALUE"""),"Olla Revolvedora")</f>
        <v>Olla Revolvedora</v>
      </c>
      <c r="L59" s="74" t="str">
        <f>IFERROR(__xludf.DUMMYFUNCTION("""COMPUTED_VALUE"""),"Transmisión mecánica")</f>
        <v>Transmisión mecánica</v>
      </c>
      <c r="M59" s="74" t="str">
        <f>IFERROR(__xludf.DUMMYFUNCTION("""COMPUTED_VALUE"""),"Sin Asignar")</f>
        <v>Sin Asignar</v>
      </c>
      <c r="N59" s="87">
        <f>IFERROR(__xludf.DUMMYFUNCTION("""COMPUTED_VALUE"""),0.0)</f>
        <v>0</v>
      </c>
      <c r="O59" s="74"/>
      <c r="P59" s="74" t="str">
        <f>IFERROR(__xludf.DUMMYFUNCTION("""COMPUTED_VALUE"""),"No Available")</f>
        <v>No Available</v>
      </c>
      <c r="Q59" s="74"/>
      <c r="R59" s="74"/>
      <c r="S59" s="87">
        <f>IFERROR(__xludf.DUMMYFUNCTION("""COMPUTED_VALUE"""),0.0)</f>
        <v>0</v>
      </c>
      <c r="T59" s="87">
        <f>IFERROR(__xludf.DUMMYFUNCTION("""COMPUTED_VALUE"""),0.0)</f>
        <v>0</v>
      </c>
      <c r="U59" s="87">
        <f>IFERROR(__xludf.DUMMYFUNCTION("""COMPUTED_VALUE"""),0.0)</f>
        <v>0</v>
      </c>
      <c r="V59" s="87">
        <f>IFERROR(__xludf.DUMMYFUNCTION("""COMPUTED_VALUE"""),0.0)</f>
        <v>0</v>
      </c>
      <c r="W59" s="87">
        <f>IFERROR(__xludf.DUMMYFUNCTION("""COMPUTED_VALUE"""),0.0)</f>
        <v>0</v>
      </c>
      <c r="X59" s="88"/>
      <c r="Y59" s="74"/>
      <c r="Z59" s="74"/>
    </row>
    <row r="60">
      <c r="B60" s="74" t="str">
        <f>IFERROR(__xludf.DUMMYFUNCTION("""COMPUTED_VALUE"""),"1057")</f>
        <v>1057</v>
      </c>
      <c r="C60" s="74" t="str">
        <f>IFERROR(__xludf.DUMMYFUNCTION("""COMPUTED_VALUE"""),"7504891057")</f>
        <v>7504891057</v>
      </c>
      <c r="D60" s="74" t="str">
        <f>IFERROR(__xludf.DUMMYFUNCTION("""COMPUTED_VALUE"""),"\\MCA-S\mk\2_BM\0_BMat\08_PYM\Inventario\excel\Imagen de refacciones\Ollas revolvedoras\Marcador temperatura rex")</f>
        <v>\\MCA-S\mk\2_BM\0_BMat\08_PYM\Inventario\excel\Imagen de refacciones\Ollas revolvedoras\Marcador temperatura rex</v>
      </c>
      <c r="E60" s="74" t="str">
        <f>IFERROR(__xludf.DUMMYFUNCTION("""COMPUTED_VALUE"""),"HYDRAULIC OIL THERMOMETER SIGHT GAUGE")</f>
        <v>HYDRAULIC OIL THERMOMETER SIGHT GAUGE</v>
      </c>
      <c r="F60" s="74" t="str">
        <f>IFERROR(__xludf.DUMMYFUNCTION("""COMPUTED_VALUE"""),"MARCADOR TEMPERATURA REX  ")</f>
        <v>MARCADOR TEMPERATURA REX  </v>
      </c>
      <c r="G60" s="74"/>
      <c r="H60" s="74"/>
      <c r="I60" s="74" t="str">
        <f>IFERROR(__xludf.DUMMYFUNCTION("""COMPUTED_VALUE"""),"2980218156")</f>
        <v>2980218156</v>
      </c>
      <c r="J60" s="74"/>
      <c r="K60" s="74" t="str">
        <f>IFERROR(__xludf.DUMMYFUNCTION("""COMPUTED_VALUE"""),"Olla Revolvedora")</f>
        <v>Olla Revolvedora</v>
      </c>
      <c r="L60" s="74" t="str">
        <f>IFERROR(__xludf.DUMMYFUNCTION("""COMPUTED_VALUE"""),"Elementos de medición y control")</f>
        <v>Elementos de medición y control</v>
      </c>
      <c r="M60" s="74" t="str">
        <f>IFERROR(__xludf.DUMMYFUNCTION("""COMPUTED_VALUE"""),"Sin Asignar")</f>
        <v>Sin Asignar</v>
      </c>
      <c r="N60" s="87">
        <f>IFERROR(__xludf.DUMMYFUNCTION("""COMPUTED_VALUE"""),0.0)</f>
        <v>0</v>
      </c>
      <c r="O60" s="74"/>
      <c r="P60" s="74" t="str">
        <f>IFERROR(__xludf.DUMMYFUNCTION("""COMPUTED_VALUE"""),"To Re-purchase")</f>
        <v>To Re-purchase</v>
      </c>
      <c r="Q60" s="74"/>
      <c r="R60" s="74"/>
      <c r="S60" s="87">
        <f>IFERROR(__xludf.DUMMYFUNCTION("""COMPUTED_VALUE"""),0.0)</f>
        <v>0</v>
      </c>
      <c r="T60" s="87">
        <f>IFERROR(__xludf.DUMMYFUNCTION("""COMPUTED_VALUE"""),0.0)</f>
        <v>0</v>
      </c>
      <c r="U60" s="87">
        <f>IFERROR(__xludf.DUMMYFUNCTION("""COMPUTED_VALUE"""),0.0)</f>
        <v>0</v>
      </c>
      <c r="V60" s="87">
        <f>IFERROR(__xludf.DUMMYFUNCTION("""COMPUTED_VALUE"""),0.0)</f>
        <v>0</v>
      </c>
      <c r="W60" s="87">
        <f>IFERROR(__xludf.DUMMYFUNCTION("""COMPUTED_VALUE"""),0.0)</f>
        <v>0</v>
      </c>
      <c r="X60" s="88"/>
      <c r="Y60" s="74"/>
      <c r="Z60" s="74"/>
    </row>
    <row r="61">
      <c r="B61" s="74" t="str">
        <f>IFERROR(__xludf.DUMMYFUNCTION("""COMPUTED_VALUE"""),"1058")</f>
        <v>1058</v>
      </c>
      <c r="C61" s="74"/>
      <c r="D61" s="74" t="str">
        <f>IFERROR(__xludf.DUMMYFUNCTION("""COMPUTED_VALUE"""),"\\MCA-S\mk\2_BM\0_BMat\08_PYM\Inventario\excel\Imagen de refacciones\Ollas revolvedoras\Bomba hidraulica london hyd pump")</f>
        <v>\\MCA-S\mk\2_BM\0_BMat\08_PYM\Inventario\excel\Imagen de refacciones\Ollas revolvedoras\Bomba hidraulica london hyd pump</v>
      </c>
      <c r="E61" s="74"/>
      <c r="F61" s="74" t="str">
        <f>IFERROR(__xludf.DUMMYFUNCTION("""COMPUTED_VALUE"""),"Bomba hidraulica london hyd pump")</f>
        <v>Bomba hidraulica london hyd pump</v>
      </c>
      <c r="G61" s="74"/>
      <c r="H61" s="74"/>
      <c r="I61" s="74" t="str">
        <f>IFERROR(__xludf.DUMMYFUNCTION("""COMPUTED_VALUE"""),"MA-31737")</f>
        <v>MA-31737</v>
      </c>
      <c r="J61" s="74"/>
      <c r="K61" s="74" t="str">
        <f>IFERROR(__xludf.DUMMYFUNCTION("""COMPUTED_VALUE"""),"Olla Revolvedora")</f>
        <v>Olla Revolvedora</v>
      </c>
      <c r="L61" s="74" t="str">
        <f>IFERROR(__xludf.DUMMYFUNCTION("""COMPUTED_VALUE"""),"Componentes hidráulicos")</f>
        <v>Componentes hidráulicos</v>
      </c>
      <c r="M61" s="74" t="str">
        <f>IFERROR(__xludf.DUMMYFUNCTION("""COMPUTED_VALUE"""),"Sin Asignar")</f>
        <v>Sin Asignar</v>
      </c>
      <c r="N61" s="87">
        <f>IFERROR(__xludf.DUMMYFUNCTION("""COMPUTED_VALUE"""),0.0)</f>
        <v>0</v>
      </c>
      <c r="O61" s="74"/>
      <c r="P61" s="74" t="str">
        <f>IFERROR(__xludf.DUMMYFUNCTION("""COMPUTED_VALUE"""),"No Available")</f>
        <v>No Available</v>
      </c>
      <c r="Q61" s="74"/>
      <c r="R61" s="74"/>
      <c r="S61" s="87">
        <f>IFERROR(__xludf.DUMMYFUNCTION("""COMPUTED_VALUE"""),0.0)</f>
        <v>0</v>
      </c>
      <c r="T61" s="87">
        <f>IFERROR(__xludf.DUMMYFUNCTION("""COMPUTED_VALUE"""),0.0)</f>
        <v>0</v>
      </c>
      <c r="U61" s="87">
        <f>IFERROR(__xludf.DUMMYFUNCTION("""COMPUTED_VALUE"""),0.0)</f>
        <v>0</v>
      </c>
      <c r="V61" s="87">
        <f>IFERROR(__xludf.DUMMYFUNCTION("""COMPUTED_VALUE"""),0.0)</f>
        <v>0</v>
      </c>
      <c r="W61" s="87">
        <f>IFERROR(__xludf.DUMMYFUNCTION("""COMPUTED_VALUE"""),0.0)</f>
        <v>0</v>
      </c>
      <c r="X61" s="88"/>
      <c r="Y61" s="74"/>
      <c r="Z61" s="74"/>
    </row>
    <row r="62">
      <c r="B62" s="74" t="str">
        <f>IFERROR(__xludf.DUMMYFUNCTION("""COMPUTED_VALUE"""),"1059")</f>
        <v>1059</v>
      </c>
      <c r="C62" s="74"/>
      <c r="D62" s="74" t="str">
        <f>IFERROR(__xludf.DUMMYFUNCTION("""COMPUTED_VALUE"""),"\\MCA-S\mk\2_BM\0_BMat\08_PYM\Inventario\excel\Imagen de refacciones\Ollas revolvedoras\Kit de Sellos para Eje de Bomba Eaton - Tipo Mecánico")</f>
        <v>\\MCA-S\mk\2_BM\0_BMat\08_PYM\Inventario\excel\Imagen de refacciones\Ollas revolvedoras\Kit de Sellos para Eje de Bomba Eaton - Tipo Mecánico</v>
      </c>
      <c r="E62" s="74"/>
      <c r="F62" s="74" t="str">
        <f>IFERROR(__xludf.DUMMYFUNCTION("""COMPUTED_VALUE"""),"Kit de Sellos para Eje de Bomba Eaton - Tipo Mecánico")</f>
        <v>Kit de Sellos para Eje de Bomba Eaton - Tipo Mecánico</v>
      </c>
      <c r="G62" s="74"/>
      <c r="H62" s="74"/>
      <c r="I62" s="74" t="str">
        <f>IFERROR(__xludf.DUMMYFUNCTION("""COMPUTED_VALUE"""),"990231")</f>
        <v>990231</v>
      </c>
      <c r="J62" s="74"/>
      <c r="K62" s="74" t="str">
        <f>IFERROR(__xludf.DUMMYFUNCTION("""COMPUTED_VALUE"""),"Olla Revolvedora")</f>
        <v>Olla Revolvedora</v>
      </c>
      <c r="L62" s="74" t="str">
        <f>IFERROR(__xludf.DUMMYFUNCTION("""COMPUTED_VALUE"""),"Sellos y retenes")</f>
        <v>Sellos y retenes</v>
      </c>
      <c r="M62" s="74" t="str">
        <f>IFERROR(__xludf.DUMMYFUNCTION("""COMPUTED_VALUE"""),"Sin Asignar")</f>
        <v>Sin Asignar</v>
      </c>
      <c r="N62" s="87">
        <f>IFERROR(__xludf.DUMMYFUNCTION("""COMPUTED_VALUE"""),0.0)</f>
        <v>0</v>
      </c>
      <c r="O62" s="74"/>
      <c r="P62" s="74" t="str">
        <f>IFERROR(__xludf.DUMMYFUNCTION("""COMPUTED_VALUE"""),"No Available")</f>
        <v>No Available</v>
      </c>
      <c r="Q62" s="74"/>
      <c r="R62" s="74"/>
      <c r="S62" s="87">
        <f>IFERROR(__xludf.DUMMYFUNCTION("""COMPUTED_VALUE"""),0.0)</f>
        <v>0</v>
      </c>
      <c r="T62" s="87">
        <f>IFERROR(__xludf.DUMMYFUNCTION("""COMPUTED_VALUE"""),0.0)</f>
        <v>0</v>
      </c>
      <c r="U62" s="87">
        <f>IFERROR(__xludf.DUMMYFUNCTION("""COMPUTED_VALUE"""),0.0)</f>
        <v>0</v>
      </c>
      <c r="V62" s="87">
        <f>IFERROR(__xludf.DUMMYFUNCTION("""COMPUTED_VALUE"""),0.0)</f>
        <v>0</v>
      </c>
      <c r="W62" s="87">
        <f>IFERROR(__xludf.DUMMYFUNCTION("""COMPUTED_VALUE"""),0.0)</f>
        <v>0</v>
      </c>
      <c r="X62" s="88"/>
      <c r="Y62" s="74"/>
      <c r="Z62" s="74"/>
    </row>
    <row r="63">
      <c r="B63" s="74" t="str">
        <f>IFERROR(__xludf.DUMMYFUNCTION("""COMPUTED_VALUE"""),"1060")</f>
        <v>1060</v>
      </c>
      <c r="C63" s="74"/>
      <c r="D63" s="74" t="str">
        <f>IFERROR(__xludf.DUMMYFUNCTION("""COMPUTED_VALUE"""),"\\MCA-S\mk\2_BM\0_BMat\08_PYM\Inventario\excel\Imagen de refacciones\Ollas revolvedoras\kit de sellos para eje de bomba eaton - tipo retén")</f>
        <v>\\MCA-S\mk\2_BM\0_BMat\08_PYM\Inventario\excel\Imagen de refacciones\Ollas revolvedoras\kit de sellos para eje de bomba eaton - tipo retén</v>
      </c>
      <c r="E63" s="74"/>
      <c r="F63" s="74" t="str">
        <f>IFERROR(__xludf.DUMMYFUNCTION("""COMPUTED_VALUE"""),"kit de sellos para eje de bomba eaton - tipo retén")</f>
        <v>kit de sellos para eje de bomba eaton - tipo retén</v>
      </c>
      <c r="G63" s="74"/>
      <c r="H63" s="74"/>
      <c r="I63" s="74" t="str">
        <f>IFERROR(__xludf.DUMMYFUNCTION("""COMPUTED_VALUE"""),"990709")</f>
        <v>990709</v>
      </c>
      <c r="J63" s="74"/>
      <c r="K63" s="74" t="str">
        <f>IFERROR(__xludf.DUMMYFUNCTION("""COMPUTED_VALUE"""),"Olla Revolvedora")</f>
        <v>Olla Revolvedora</v>
      </c>
      <c r="L63" s="74" t="str">
        <f>IFERROR(__xludf.DUMMYFUNCTION("""COMPUTED_VALUE"""),"Sellos y retenes")</f>
        <v>Sellos y retenes</v>
      </c>
      <c r="M63" s="74" t="str">
        <f>IFERROR(__xludf.DUMMYFUNCTION("""COMPUTED_VALUE"""),"Sin Asignar")</f>
        <v>Sin Asignar</v>
      </c>
      <c r="N63" s="87">
        <f>IFERROR(__xludf.DUMMYFUNCTION("""COMPUTED_VALUE"""),0.0)</f>
        <v>0</v>
      </c>
      <c r="O63" s="74"/>
      <c r="P63" s="74" t="str">
        <f>IFERROR(__xludf.DUMMYFUNCTION("""COMPUTED_VALUE"""),"No Available")</f>
        <v>No Available</v>
      </c>
      <c r="Q63" s="74"/>
      <c r="R63" s="74"/>
      <c r="S63" s="87">
        <f>IFERROR(__xludf.DUMMYFUNCTION("""COMPUTED_VALUE"""),0.0)</f>
        <v>0</v>
      </c>
      <c r="T63" s="87">
        <f>IFERROR(__xludf.DUMMYFUNCTION("""COMPUTED_VALUE"""),0.0)</f>
        <v>0</v>
      </c>
      <c r="U63" s="87">
        <f>IFERROR(__xludf.DUMMYFUNCTION("""COMPUTED_VALUE"""),0.0)</f>
        <v>0</v>
      </c>
      <c r="V63" s="87">
        <f>IFERROR(__xludf.DUMMYFUNCTION("""COMPUTED_VALUE"""),0.0)</f>
        <v>0</v>
      </c>
      <c r="W63" s="87">
        <f>IFERROR(__xludf.DUMMYFUNCTION("""COMPUTED_VALUE"""),0.0)</f>
        <v>0</v>
      </c>
      <c r="X63" s="88"/>
      <c r="Y63" s="74"/>
      <c r="Z63" s="74"/>
    </row>
    <row r="64">
      <c r="B64" s="74" t="str">
        <f>IFERROR(__xludf.DUMMYFUNCTION("""COMPUTED_VALUE"""),"1061")</f>
        <v>1061</v>
      </c>
      <c r="C64" s="74"/>
      <c r="D64" s="74" t="str">
        <f>IFERROR(__xludf.DUMMYFUNCTION("""COMPUTED_VALUE"""),"\\MCA-S\mk\2_BM\0_BMat\08_PYM\Inventario\excel\Imagen de refacciones\Ollas revolvedoras\kit de sellos para piston canalón")</f>
        <v>\\MCA-S\mk\2_BM\0_BMat\08_PYM\Inventario\excel\Imagen de refacciones\Ollas revolvedoras\kit de sellos para piston canalón</v>
      </c>
      <c r="E64" s="74"/>
      <c r="F64" s="74" t="str">
        <f>IFERROR(__xludf.DUMMYFUNCTION("""COMPUTED_VALUE"""),"kit de sellos para piston canalón")</f>
        <v>kit de sellos para piston canalón</v>
      </c>
      <c r="G64" s="74"/>
      <c r="H64" s="74"/>
      <c r="I64" s="74" t="str">
        <f>IFERROR(__xludf.DUMMYFUNCTION("""COMPUTED_VALUE"""),"25121")</f>
        <v>25121</v>
      </c>
      <c r="J64" s="74"/>
      <c r="K64" s="74" t="str">
        <f>IFERROR(__xludf.DUMMYFUNCTION("""COMPUTED_VALUE"""),"Olla Revolvedora")</f>
        <v>Olla Revolvedora</v>
      </c>
      <c r="L64" s="74" t="str">
        <f>IFERROR(__xludf.DUMMYFUNCTION("""COMPUTED_VALUE"""),"Sellos y retenes")</f>
        <v>Sellos y retenes</v>
      </c>
      <c r="M64" s="74" t="str">
        <f>IFERROR(__xludf.DUMMYFUNCTION("""COMPUTED_VALUE"""),"Sin Asignar")</f>
        <v>Sin Asignar</v>
      </c>
      <c r="N64" s="87">
        <f>IFERROR(__xludf.DUMMYFUNCTION("""COMPUTED_VALUE"""),0.0)</f>
        <v>0</v>
      </c>
      <c r="O64" s="74"/>
      <c r="P64" s="74" t="str">
        <f>IFERROR(__xludf.DUMMYFUNCTION("""COMPUTED_VALUE"""),"No Available")</f>
        <v>No Available</v>
      </c>
      <c r="Q64" s="74"/>
      <c r="R64" s="74"/>
      <c r="S64" s="87">
        <f>IFERROR(__xludf.DUMMYFUNCTION("""COMPUTED_VALUE"""),0.0)</f>
        <v>0</v>
      </c>
      <c r="T64" s="87">
        <f>IFERROR(__xludf.DUMMYFUNCTION("""COMPUTED_VALUE"""),0.0)</f>
        <v>0</v>
      </c>
      <c r="U64" s="87">
        <f>IFERROR(__xludf.DUMMYFUNCTION("""COMPUTED_VALUE"""),0.0)</f>
        <v>0</v>
      </c>
      <c r="V64" s="87">
        <f>IFERROR(__xludf.DUMMYFUNCTION("""COMPUTED_VALUE"""),0.0)</f>
        <v>0</v>
      </c>
      <c r="W64" s="87">
        <f>IFERROR(__xludf.DUMMYFUNCTION("""COMPUTED_VALUE"""),0.0)</f>
        <v>0</v>
      </c>
      <c r="X64" s="88"/>
      <c r="Y64" s="74"/>
      <c r="Z64" s="74"/>
    </row>
    <row r="65">
      <c r="B65" s="74" t="str">
        <f>IFERROR(__xludf.DUMMYFUNCTION("""COMPUTED_VALUE"""),"1062")</f>
        <v>1062</v>
      </c>
      <c r="C65" s="74"/>
      <c r="D65" s="74" t="str">
        <f>IFERROR(__xludf.DUMMYFUNCTION("""COMPUTED_VALUE"""),"\\MCA-S\mk\2_BM\0_BMat\08_PYM\Inventario\excel\Imagen de refacciones\Ollas revolvedoras\kit de sellos para transmisión zf")</f>
        <v>\\MCA-S\mk\2_BM\0_BMat\08_PYM\Inventario\excel\Imagen de refacciones\Ollas revolvedoras\kit de sellos para transmisión zf</v>
      </c>
      <c r="E65" s="74"/>
      <c r="F65" s="74" t="str">
        <f>IFERROR(__xludf.DUMMYFUNCTION("""COMPUTED_VALUE"""),"kit de sellos para transmisión zf")</f>
        <v>kit de sellos para transmisión zf</v>
      </c>
      <c r="G65" s="74"/>
      <c r="H65" s="74"/>
      <c r="I65" s="74" t="str">
        <f>IFERROR(__xludf.DUMMYFUNCTION("""COMPUTED_VALUE"""),"PK-5300SK")</f>
        <v>PK-5300SK</v>
      </c>
      <c r="J65" s="74"/>
      <c r="K65" s="74" t="str">
        <f>IFERROR(__xludf.DUMMYFUNCTION("""COMPUTED_VALUE"""),"Olla Revolvedora")</f>
        <v>Olla Revolvedora</v>
      </c>
      <c r="L65" s="74" t="str">
        <f>IFERROR(__xludf.DUMMYFUNCTION("""COMPUTED_VALUE"""),"Sellos y retenes")</f>
        <v>Sellos y retenes</v>
      </c>
      <c r="M65" s="74" t="str">
        <f>IFERROR(__xludf.DUMMYFUNCTION("""COMPUTED_VALUE"""),"Sin Asignar")</f>
        <v>Sin Asignar</v>
      </c>
      <c r="N65" s="87">
        <f>IFERROR(__xludf.DUMMYFUNCTION("""COMPUTED_VALUE"""),0.0)</f>
        <v>0</v>
      </c>
      <c r="O65" s="74"/>
      <c r="P65" s="74" t="str">
        <f>IFERROR(__xludf.DUMMYFUNCTION("""COMPUTED_VALUE"""),"No Available")</f>
        <v>No Available</v>
      </c>
      <c r="Q65" s="74"/>
      <c r="R65" s="74"/>
      <c r="S65" s="87">
        <f>IFERROR(__xludf.DUMMYFUNCTION("""COMPUTED_VALUE"""),0.0)</f>
        <v>0</v>
      </c>
      <c r="T65" s="87">
        <f>IFERROR(__xludf.DUMMYFUNCTION("""COMPUTED_VALUE"""),0.0)</f>
        <v>0</v>
      </c>
      <c r="U65" s="87">
        <f>IFERROR(__xludf.DUMMYFUNCTION("""COMPUTED_VALUE"""),0.0)</f>
        <v>0</v>
      </c>
      <c r="V65" s="87">
        <f>IFERROR(__xludf.DUMMYFUNCTION("""COMPUTED_VALUE"""),0.0)</f>
        <v>0</v>
      </c>
      <c r="W65" s="87">
        <f>IFERROR(__xludf.DUMMYFUNCTION("""COMPUTED_VALUE"""),0.0)</f>
        <v>0</v>
      </c>
      <c r="X65" s="88"/>
      <c r="Y65" s="74"/>
      <c r="Z65" s="74"/>
    </row>
    <row r="66">
      <c r="B66" s="74" t="str">
        <f>IFERROR(__xludf.DUMMYFUNCTION("""COMPUTED_VALUE"""),"1063")</f>
        <v>1063</v>
      </c>
      <c r="C66" s="74" t="str">
        <f>IFERROR(__xludf.DUMMYFUNCTION("""COMPUTED_VALUE"""),"7504891063")</f>
        <v>7504891063</v>
      </c>
      <c r="D66" s="74" t="str">
        <f>IFERROR(__xludf.DUMMYFUNCTION("""COMPUTED_VALUE"""),"\\MCA-S\mk\2_BM\0_BMat\08_PYM\Inventario\excel\Imagen de refacciones\Ollas revolvedoras\Ensamble interruptor de arranque")</f>
        <v>\\MCA-S\mk\2_BM\0_BMat\08_PYM\Inventario\excel\Imagen de refacciones\Ollas revolvedoras\Ensamble interruptor de arranque</v>
      </c>
      <c r="E66" s="74" t="str">
        <f>IFERROR(__xludf.DUMMYFUNCTION("""COMPUTED_VALUE"""),"START SWITCH BRACKET ASSEMBLY")</f>
        <v>START SWITCH BRACKET ASSEMBLY</v>
      </c>
      <c r="F66" s="74" t="str">
        <f>IFERROR(__xludf.DUMMYFUNCTION("""COMPUTED_VALUE"""),"ENSAMBLE INTERRUPTOR DE ARRANQUE")</f>
        <v>ENSAMBLE INTERRUPTOR DE ARRANQUE</v>
      </c>
      <c r="G66" s="74"/>
      <c r="H66" s="74"/>
      <c r="I66" s="74" t="str">
        <f>IFERROR(__xludf.DUMMYFUNCTION("""COMPUTED_VALUE"""),"73412")</f>
        <v>73412</v>
      </c>
      <c r="J66" s="74"/>
      <c r="K66" s="74" t="str">
        <f>IFERROR(__xludf.DUMMYFUNCTION("""COMPUTED_VALUE"""),"Olla Revolvedora")</f>
        <v>Olla Revolvedora</v>
      </c>
      <c r="L66" s="74" t="str">
        <f>IFERROR(__xludf.DUMMYFUNCTION("""COMPUTED_VALUE"""),"Componentes eléctricos")</f>
        <v>Componentes eléctricos</v>
      </c>
      <c r="M66" s="74" t="str">
        <f>IFERROR(__xludf.DUMMYFUNCTION("""COMPUTED_VALUE"""),"Sin Asignar")</f>
        <v>Sin Asignar</v>
      </c>
      <c r="N66" s="87">
        <f>IFERROR(__xludf.DUMMYFUNCTION("""COMPUTED_VALUE"""),0.0)</f>
        <v>0</v>
      </c>
      <c r="O66" s="74"/>
      <c r="P66" s="74" t="str">
        <f>IFERROR(__xludf.DUMMYFUNCTION("""COMPUTED_VALUE"""),"To Re-purchase")</f>
        <v>To Re-purchase</v>
      </c>
      <c r="Q66" s="74"/>
      <c r="R66" s="74"/>
      <c r="S66" s="87">
        <f>IFERROR(__xludf.DUMMYFUNCTION("""COMPUTED_VALUE"""),0.0)</f>
        <v>0</v>
      </c>
      <c r="T66" s="87">
        <f>IFERROR(__xludf.DUMMYFUNCTION("""COMPUTED_VALUE"""),0.0)</f>
        <v>0</v>
      </c>
      <c r="U66" s="87">
        <f>IFERROR(__xludf.DUMMYFUNCTION("""COMPUTED_VALUE"""),0.0)</f>
        <v>0</v>
      </c>
      <c r="V66" s="87">
        <f>IFERROR(__xludf.DUMMYFUNCTION("""COMPUTED_VALUE"""),0.0)</f>
        <v>0</v>
      </c>
      <c r="W66" s="87">
        <f>IFERROR(__xludf.DUMMYFUNCTION("""COMPUTED_VALUE"""),0.0)</f>
        <v>0</v>
      </c>
      <c r="X66" s="88"/>
      <c r="Y66" s="74"/>
      <c r="Z66" s="74"/>
    </row>
    <row r="67">
      <c r="B67" s="74" t="str">
        <f>IFERROR(__xludf.DUMMYFUNCTION("""COMPUTED_VALUE"""),"1064")</f>
        <v>1064</v>
      </c>
      <c r="C67" s="74" t="str">
        <f>IFERROR(__xludf.DUMMYFUNCTION("""COMPUTED_VALUE"""),"7504891064")</f>
        <v>7504891064</v>
      </c>
      <c r="D67" s="74" t="str">
        <f>IFERROR(__xludf.DUMMYFUNCTION("""COMPUTED_VALUE"""),"\\MCA-S\mk\2_BM\0_BMat\08_PYM\Inventario\excel\Imagen de refacciones\Ollas revolvedoras\Interruptor de arranque")</f>
        <v>\\MCA-S\mk\2_BM\0_BMat\08_PYM\Inventario\excel\Imagen de refacciones\Ollas revolvedoras\Interruptor de arranque</v>
      </c>
      <c r="E67" s="74" t="str">
        <f>IFERROR(__xludf.DUMMYFUNCTION("""COMPUTED_VALUE"""),"START SWITCH ")</f>
        <v>START SWITCH </v>
      </c>
      <c r="F67" s="74" t="str">
        <f>IFERROR(__xludf.DUMMYFUNCTION("""COMPUTED_VALUE"""),"INTERRUPTOR ARRANQUE")</f>
        <v>INTERRUPTOR ARRANQUE</v>
      </c>
      <c r="G67" s="74"/>
      <c r="H67" s="74"/>
      <c r="I67" s="74" t="str">
        <f>IFERROR(__xludf.DUMMYFUNCTION("""COMPUTED_VALUE"""),"106784")</f>
        <v>106784</v>
      </c>
      <c r="J67" s="74"/>
      <c r="K67" s="74" t="str">
        <f>IFERROR(__xludf.DUMMYFUNCTION("""COMPUTED_VALUE"""),"Olla Revolvedora")</f>
        <v>Olla Revolvedora</v>
      </c>
      <c r="L67" s="74" t="str">
        <f>IFERROR(__xludf.DUMMYFUNCTION("""COMPUTED_VALUE"""),"Componentes eléctricos")</f>
        <v>Componentes eléctricos</v>
      </c>
      <c r="M67" s="74" t="str">
        <f>IFERROR(__xludf.DUMMYFUNCTION("""COMPUTED_VALUE"""),"Sin Asignar")</f>
        <v>Sin Asignar</v>
      </c>
      <c r="N67" s="87">
        <f>IFERROR(__xludf.DUMMYFUNCTION("""COMPUTED_VALUE"""),0.0)</f>
        <v>0</v>
      </c>
      <c r="O67" s="74"/>
      <c r="P67" s="74" t="str">
        <f>IFERROR(__xludf.DUMMYFUNCTION("""COMPUTED_VALUE"""),"To Re-purchase")</f>
        <v>To Re-purchase</v>
      </c>
      <c r="Q67" s="74"/>
      <c r="R67" s="74"/>
      <c r="S67" s="87">
        <f>IFERROR(__xludf.DUMMYFUNCTION("""COMPUTED_VALUE"""),0.0)</f>
        <v>0</v>
      </c>
      <c r="T67" s="87">
        <f>IFERROR(__xludf.DUMMYFUNCTION("""COMPUTED_VALUE"""),0.0)</f>
        <v>0</v>
      </c>
      <c r="U67" s="87">
        <f>IFERROR(__xludf.DUMMYFUNCTION("""COMPUTED_VALUE"""),0.0)</f>
        <v>0</v>
      </c>
      <c r="V67" s="87">
        <f>IFERROR(__xludf.DUMMYFUNCTION("""COMPUTED_VALUE"""),0.0)</f>
        <v>0</v>
      </c>
      <c r="W67" s="87">
        <f>IFERROR(__xludf.DUMMYFUNCTION("""COMPUTED_VALUE"""),0.0)</f>
        <v>0</v>
      </c>
      <c r="X67" s="88"/>
      <c r="Y67" s="74"/>
      <c r="Z67" s="74"/>
    </row>
    <row r="68">
      <c r="B68" s="74" t="str">
        <f>IFERROR(__xludf.DUMMYFUNCTION("""COMPUTED_VALUE"""),"1065")</f>
        <v>1065</v>
      </c>
      <c r="C68" s="74"/>
      <c r="D68" s="74" t="str">
        <f>IFERROR(__xludf.DUMMYFUNCTION("""COMPUTED_VALUE"""),"\\MCA-S\mk\2_BM\0_BMat\08_PYM\Inventario\excel\Imagen de refacciones\Ollas revolvedoras\Interruptor electrico")</f>
        <v>\\MCA-S\mk\2_BM\0_BMat\08_PYM\Inventario\excel\Imagen de refacciones\Ollas revolvedoras\Interruptor electrico</v>
      </c>
      <c r="E68" s="74"/>
      <c r="F68" s="74" t="str">
        <f>IFERROR(__xludf.DUMMYFUNCTION("""COMPUTED_VALUE"""),"Interruptor electrico")</f>
        <v>Interruptor electrico</v>
      </c>
      <c r="G68" s="74"/>
      <c r="H68" s="74"/>
      <c r="I68" s="74" t="str">
        <f>IFERROR(__xludf.DUMMYFUNCTION("""COMPUTED_VALUE"""),"110256")</f>
        <v>110256</v>
      </c>
      <c r="J68" s="74"/>
      <c r="K68" s="74" t="str">
        <f>IFERROR(__xludf.DUMMYFUNCTION("""COMPUTED_VALUE"""),"Olla Revolvedora")</f>
        <v>Olla Revolvedora</v>
      </c>
      <c r="L68" s="74" t="str">
        <f>IFERROR(__xludf.DUMMYFUNCTION("""COMPUTED_VALUE"""),"Componentes eléctricos")</f>
        <v>Componentes eléctricos</v>
      </c>
      <c r="M68" s="74" t="str">
        <f>IFERROR(__xludf.DUMMYFUNCTION("""COMPUTED_VALUE"""),"Sin Asignar")</f>
        <v>Sin Asignar</v>
      </c>
      <c r="N68" s="87">
        <f>IFERROR(__xludf.DUMMYFUNCTION("""COMPUTED_VALUE"""),0.0)</f>
        <v>0</v>
      </c>
      <c r="O68" s="74"/>
      <c r="P68" s="74" t="str">
        <f>IFERROR(__xludf.DUMMYFUNCTION("""COMPUTED_VALUE"""),"No Available")</f>
        <v>No Available</v>
      </c>
      <c r="Q68" s="74"/>
      <c r="R68" s="74"/>
      <c r="S68" s="87">
        <f>IFERROR(__xludf.DUMMYFUNCTION("""COMPUTED_VALUE"""),0.0)</f>
        <v>0</v>
      </c>
      <c r="T68" s="87">
        <f>IFERROR(__xludf.DUMMYFUNCTION("""COMPUTED_VALUE"""),0.0)</f>
        <v>0</v>
      </c>
      <c r="U68" s="87">
        <f>IFERROR(__xludf.DUMMYFUNCTION("""COMPUTED_VALUE"""),0.0)</f>
        <v>0</v>
      </c>
      <c r="V68" s="87">
        <f>IFERROR(__xludf.DUMMYFUNCTION("""COMPUTED_VALUE"""),0.0)</f>
        <v>0</v>
      </c>
      <c r="W68" s="87">
        <f>IFERROR(__xludf.DUMMYFUNCTION("""COMPUTED_VALUE"""),0.0)</f>
        <v>0</v>
      </c>
      <c r="X68" s="88"/>
      <c r="Y68" s="74"/>
      <c r="Z68" s="74"/>
    </row>
    <row r="69">
      <c r="B69" s="74" t="str">
        <f>IFERROR(__xludf.DUMMYFUNCTION("""COMPUTED_VALUE"""),"1066")</f>
        <v>1066</v>
      </c>
      <c r="C69" s="74" t="str">
        <f>IFERROR(__xludf.DUMMYFUNCTION("""COMPUTED_VALUE"""),"75045891066")</f>
        <v>75045891066</v>
      </c>
      <c r="D69" s="74" t="str">
        <f>IFERROR(__xludf.DUMMYFUNCTION("""COMPUTED_VALUE"""),"\\MCA-S\mk\2_BM\0_BMat\08_PYM\Inventario\excel\Imagen de refacciones\Ollas revolvedoras\Bobina para levante de canalón (COIL)")</f>
        <v>\\MCA-S\mk\2_BM\0_BMat\08_PYM\Inventario\excel\Imagen de refacciones\Ollas revolvedoras\Bobina para levante de canalón (COIL)</v>
      </c>
      <c r="E69" s="74" t="str">
        <f>IFERROR(__xludf.DUMMYFUNCTION("""COMPUTED_VALUE"""),"SOLENOID VALVE COIL 12V")</f>
        <v>SOLENOID VALVE COIL 12V</v>
      </c>
      <c r="F69" s="74" t="str">
        <f>IFERROR(__xludf.DUMMYFUNCTION("""COMPUTED_VALUE"""),"BOBINA LEVANTE DE CANALON (COIL)")</f>
        <v>BOBINA LEVANTE DE CANALON (COIL)</v>
      </c>
      <c r="G69" s="74"/>
      <c r="H69" s="74"/>
      <c r="I69" s="74" t="str">
        <f>IFERROR(__xludf.DUMMYFUNCTION("""COMPUTED_VALUE"""),"CAP012D")</f>
        <v>CAP012D</v>
      </c>
      <c r="J69" s="74"/>
      <c r="K69" s="74" t="str">
        <f>IFERROR(__xludf.DUMMYFUNCTION("""COMPUTED_VALUE"""),"Olla Revolvedora")</f>
        <v>Olla Revolvedora</v>
      </c>
      <c r="L69" s="74" t="str">
        <f>IFERROR(__xludf.DUMMYFUNCTION("""COMPUTED_VALUE"""),"Componentes eléctricos")</f>
        <v>Componentes eléctricos</v>
      </c>
      <c r="M69" s="74" t="str">
        <f>IFERROR(__xludf.DUMMYFUNCTION("""COMPUTED_VALUE"""),"Sin Asignar")</f>
        <v>Sin Asignar</v>
      </c>
      <c r="N69" s="87">
        <f>IFERROR(__xludf.DUMMYFUNCTION("""COMPUTED_VALUE"""),0.0)</f>
        <v>0</v>
      </c>
      <c r="O69" s="74"/>
      <c r="P69" s="74" t="str">
        <f>IFERROR(__xludf.DUMMYFUNCTION("""COMPUTED_VALUE"""),"To Re-purchase")</f>
        <v>To Re-purchase</v>
      </c>
      <c r="Q69" s="74"/>
      <c r="R69" s="74"/>
      <c r="S69" s="87">
        <f>IFERROR(__xludf.DUMMYFUNCTION("""COMPUTED_VALUE"""),0.0)</f>
        <v>0</v>
      </c>
      <c r="T69" s="87">
        <f>IFERROR(__xludf.DUMMYFUNCTION("""COMPUTED_VALUE"""),0.0)</f>
        <v>0</v>
      </c>
      <c r="U69" s="87">
        <f>IFERROR(__xludf.DUMMYFUNCTION("""COMPUTED_VALUE"""),0.0)</f>
        <v>0</v>
      </c>
      <c r="V69" s="87">
        <f>IFERROR(__xludf.DUMMYFUNCTION("""COMPUTED_VALUE"""),0.0)</f>
        <v>0</v>
      </c>
      <c r="W69" s="87">
        <f>IFERROR(__xludf.DUMMYFUNCTION("""COMPUTED_VALUE"""),0.0)</f>
        <v>0</v>
      </c>
      <c r="X69" s="88"/>
      <c r="Y69" s="74"/>
      <c r="Z69" s="74"/>
    </row>
    <row r="70">
      <c r="B70" s="74" t="str">
        <f>IFERROR(__xludf.DUMMYFUNCTION("""COMPUTED_VALUE"""),"1067")</f>
        <v>1067</v>
      </c>
      <c r="C70" s="74" t="str">
        <f>IFERROR(__xludf.DUMMYFUNCTION("""COMPUTED_VALUE"""),"75045891067")</f>
        <v>75045891067</v>
      </c>
      <c r="D70" s="74" t="str">
        <f>IFERROR(__xludf.DUMMYFUNCTION("""COMPUTED_VALUE"""),"\\MCA-S\mk\2_BM\0_BMat\08_PYM\Inventario\excel\Imagen de refacciones\Ollas revolvedoras\760212")</f>
        <v>\\MCA-S\mk\2_BM\0_BMat\08_PYM\Inventario\excel\Imagen de refacciones\Ollas revolvedoras\760212</v>
      </c>
      <c r="E70" s="74"/>
      <c r="F70" s="74" t="str">
        <f>IFERROR(__xludf.DUMMYFUNCTION("""COMPUTED_VALUE"""),"BOBINA SUN HYDRAULICS 12VDC (COIL)")</f>
        <v>BOBINA SUN HYDRAULICS 12VDC (COIL)</v>
      </c>
      <c r="G70" s="74"/>
      <c r="H70" s="74"/>
      <c r="I70" s="74" t="str">
        <f>IFERROR(__xludf.DUMMYFUNCTION("""COMPUTED_VALUE"""),"760212")</f>
        <v>760212</v>
      </c>
      <c r="J70" s="74"/>
      <c r="K70" s="74" t="str">
        <f>IFERROR(__xludf.DUMMYFUNCTION("""COMPUTED_VALUE"""),"Olla Revolvedora")</f>
        <v>Olla Revolvedora</v>
      </c>
      <c r="L70" s="74" t="str">
        <f>IFERROR(__xludf.DUMMYFUNCTION("""COMPUTED_VALUE"""),"Componentes hidráulicos")</f>
        <v>Componentes hidráulicos</v>
      </c>
      <c r="M70" s="74" t="str">
        <f>IFERROR(__xludf.DUMMYFUNCTION("""COMPUTED_VALUE"""),"Sin Asignar")</f>
        <v>Sin Asignar</v>
      </c>
      <c r="N70" s="87">
        <f>IFERROR(__xludf.DUMMYFUNCTION("""COMPUTED_VALUE"""),0.0)</f>
        <v>0</v>
      </c>
      <c r="O70" s="74"/>
      <c r="P70" s="74" t="str">
        <f>IFERROR(__xludf.DUMMYFUNCTION("""COMPUTED_VALUE"""),"To Re-purchase")</f>
        <v>To Re-purchase</v>
      </c>
      <c r="Q70" s="74"/>
      <c r="R70" s="74"/>
      <c r="S70" s="87">
        <f>IFERROR(__xludf.DUMMYFUNCTION("""COMPUTED_VALUE"""),0.0)</f>
        <v>0</v>
      </c>
      <c r="T70" s="87">
        <f>IFERROR(__xludf.DUMMYFUNCTION("""COMPUTED_VALUE"""),0.0)</f>
        <v>0</v>
      </c>
      <c r="U70" s="87">
        <f>IFERROR(__xludf.DUMMYFUNCTION("""COMPUTED_VALUE"""),0.0)</f>
        <v>0</v>
      </c>
      <c r="V70" s="87">
        <f>IFERROR(__xludf.DUMMYFUNCTION("""COMPUTED_VALUE"""),0.0)</f>
        <v>0</v>
      </c>
      <c r="W70" s="87">
        <f>IFERROR(__xludf.DUMMYFUNCTION("""COMPUTED_VALUE"""),0.0)</f>
        <v>0</v>
      </c>
      <c r="X70" s="88"/>
      <c r="Y70" s="74"/>
      <c r="Z70" s="74"/>
    </row>
    <row r="71">
      <c r="B71" s="74" t="str">
        <f>IFERROR(__xludf.DUMMYFUNCTION("""COMPUTED_VALUE"""),"1068")</f>
        <v>1068</v>
      </c>
      <c r="C71" s="74"/>
      <c r="D71" s="74" t="str">
        <f>IFERROR(__xludf.DUMMYFUNCTION("""COMPUTED_VALUE"""),"\\MCA-S\mk\2_BM\0_BMat\08_PYM\Inventario\excel\Imagen de refacciones\Ollas revolvedoras\Bobina para dynachute m-179")</f>
        <v>\\MCA-S\mk\2_BM\0_BMat\08_PYM\Inventario\excel\Imagen de refacciones\Ollas revolvedoras\Bobina para dynachute m-179</v>
      </c>
      <c r="E71" s="74"/>
      <c r="F71" s="74" t="str">
        <f>IFERROR(__xludf.DUMMYFUNCTION("""COMPUTED_VALUE"""),"Bobina para dynachute m-179")</f>
        <v>Bobina para dynachute m-179</v>
      </c>
      <c r="G71" s="74"/>
      <c r="H71" s="74"/>
      <c r="I71" s="74" t="str">
        <f>IFERROR(__xludf.DUMMYFUNCTION("""COMPUTED_VALUE"""),"106749")</f>
        <v>106749</v>
      </c>
      <c r="J71" s="74"/>
      <c r="K71" s="74" t="str">
        <f>IFERROR(__xludf.DUMMYFUNCTION("""COMPUTED_VALUE"""),"Olla Revolvedora")</f>
        <v>Olla Revolvedora</v>
      </c>
      <c r="L71" s="74" t="str">
        <f>IFERROR(__xludf.DUMMYFUNCTION("""COMPUTED_VALUE"""),"Componentes eléctricos")</f>
        <v>Componentes eléctricos</v>
      </c>
      <c r="M71" s="74" t="str">
        <f>IFERROR(__xludf.DUMMYFUNCTION("""COMPUTED_VALUE"""),"Sin Asignar")</f>
        <v>Sin Asignar</v>
      </c>
      <c r="N71" s="87">
        <f>IFERROR(__xludf.DUMMYFUNCTION("""COMPUTED_VALUE"""),0.0)</f>
        <v>0</v>
      </c>
      <c r="O71" s="74"/>
      <c r="P71" s="74" t="str">
        <f>IFERROR(__xludf.DUMMYFUNCTION("""COMPUTED_VALUE"""),"No Available")</f>
        <v>No Available</v>
      </c>
      <c r="Q71" s="74"/>
      <c r="R71" s="74"/>
      <c r="S71" s="87">
        <f>IFERROR(__xludf.DUMMYFUNCTION("""COMPUTED_VALUE"""),0.0)</f>
        <v>0</v>
      </c>
      <c r="T71" s="87">
        <f>IFERROR(__xludf.DUMMYFUNCTION("""COMPUTED_VALUE"""),0.0)</f>
        <v>0</v>
      </c>
      <c r="U71" s="87">
        <f>IFERROR(__xludf.DUMMYFUNCTION("""COMPUTED_VALUE"""),0.0)</f>
        <v>0</v>
      </c>
      <c r="V71" s="87">
        <f>IFERROR(__xludf.DUMMYFUNCTION("""COMPUTED_VALUE"""),0.0)</f>
        <v>0</v>
      </c>
      <c r="W71" s="87">
        <f>IFERROR(__xludf.DUMMYFUNCTION("""COMPUTED_VALUE"""),0.0)</f>
        <v>0</v>
      </c>
      <c r="X71" s="88"/>
      <c r="Y71" s="74"/>
      <c r="Z71" s="74"/>
    </row>
    <row r="72">
      <c r="B72" s="74" t="str">
        <f>IFERROR(__xludf.DUMMYFUNCTION("""COMPUTED_VALUE"""),"1069")</f>
        <v>1069</v>
      </c>
      <c r="C72" s="74"/>
      <c r="D72" s="74" t="str">
        <f>IFERROR(__xludf.DUMMYFUNCTION("""COMPUTED_VALUE"""),"\\MCA-S\mk\2_BM\0_BMat\08_PYM\Inventario\excel\Imagen de refacciones\Ollas revolvedoras\Bobina COIL HYDAC 12 VDC")</f>
        <v>\\MCA-S\mk\2_BM\0_BMat\08_PYM\Inventario\excel\Imagen de refacciones\Ollas revolvedoras\Bobina COIL HYDAC 12 VDC</v>
      </c>
      <c r="E72" s="74"/>
      <c r="F72" s="74" t="str">
        <f>IFERROR(__xludf.DUMMYFUNCTION("""COMPUTED_VALUE"""),"Bobina COIL HYDAC 12 VDC")</f>
        <v>Bobina COIL HYDAC 12 VDC</v>
      </c>
      <c r="G72" s="74"/>
      <c r="H72" s="74"/>
      <c r="I72" s="74" t="str">
        <f>IFERROR(__xludf.DUMMYFUNCTION("""COMPUTED_VALUE"""),"26COIL12VN")</f>
        <v>26COIL12VN</v>
      </c>
      <c r="J72" s="74"/>
      <c r="K72" s="74" t="str">
        <f>IFERROR(__xludf.DUMMYFUNCTION("""COMPUTED_VALUE"""),"Olla Revolvedora")</f>
        <v>Olla Revolvedora</v>
      </c>
      <c r="L72" s="74" t="str">
        <f>IFERROR(__xludf.DUMMYFUNCTION("""COMPUTED_VALUE"""),"Componentes hidráulicos")</f>
        <v>Componentes hidráulicos</v>
      </c>
      <c r="M72" s="74" t="str">
        <f>IFERROR(__xludf.DUMMYFUNCTION("""COMPUTED_VALUE"""),"Sin Asignar")</f>
        <v>Sin Asignar</v>
      </c>
      <c r="N72" s="87">
        <f>IFERROR(__xludf.DUMMYFUNCTION("""COMPUTED_VALUE"""),0.0)</f>
        <v>0</v>
      </c>
      <c r="O72" s="74"/>
      <c r="P72" s="74" t="str">
        <f>IFERROR(__xludf.DUMMYFUNCTION("""COMPUTED_VALUE"""),"No Available")</f>
        <v>No Available</v>
      </c>
      <c r="Q72" s="74"/>
      <c r="R72" s="74"/>
      <c r="S72" s="87">
        <f>IFERROR(__xludf.DUMMYFUNCTION("""COMPUTED_VALUE"""),0.0)</f>
        <v>0</v>
      </c>
      <c r="T72" s="87">
        <f>IFERROR(__xludf.DUMMYFUNCTION("""COMPUTED_VALUE"""),0.0)</f>
        <v>0</v>
      </c>
      <c r="U72" s="87">
        <f>IFERROR(__xludf.DUMMYFUNCTION("""COMPUTED_VALUE"""),0.0)</f>
        <v>0</v>
      </c>
      <c r="V72" s="87">
        <f>IFERROR(__xludf.DUMMYFUNCTION("""COMPUTED_VALUE"""),0.0)</f>
        <v>0</v>
      </c>
      <c r="W72" s="87">
        <f>IFERROR(__xludf.DUMMYFUNCTION("""COMPUTED_VALUE"""),0.0)</f>
        <v>0</v>
      </c>
      <c r="X72" s="88"/>
      <c r="Y72" s="74"/>
      <c r="Z72" s="74"/>
    </row>
    <row r="73">
      <c r="B73" s="74" t="str">
        <f>IFERROR(__xludf.DUMMYFUNCTION("""COMPUTED_VALUE"""),"1070")</f>
        <v>1070</v>
      </c>
      <c r="C73" s="74"/>
      <c r="D73" s="74" t="str">
        <f>IFERROR(__xludf.DUMMYFUNCTION("""COMPUTED_VALUE"""),"\\MCA-S\mk\2_BM\0_BMat\08_PYM\Inventario\excel\Imagen de refacciones\Ollas revolvedoras\Bobina coil hydraforce 12 VDC cromado - DGL")</f>
        <v>\\MCA-S\mk\2_BM\0_BMat\08_PYM\Inventario\excel\Imagen de refacciones\Ollas revolvedoras\Bobina coil hydraforce 12 VDC cromado - DGL</v>
      </c>
      <c r="E73" s="74"/>
      <c r="F73" s="74" t="str">
        <f>IFERROR(__xludf.DUMMYFUNCTION("""COMPUTED_VALUE"""),"Bobina coil hydraforce 12 VDC cromado - DGL")</f>
        <v>Bobina coil hydraforce 12 VDC cromado - DGL</v>
      </c>
      <c r="G73" s="74"/>
      <c r="H73" s="74"/>
      <c r="I73" s="74" t="str">
        <f>IFERROR(__xludf.DUMMYFUNCTION("""COMPUTED_VALUE"""),"26COIL12VC")</f>
        <v>26COIL12VC</v>
      </c>
      <c r="J73" s="74"/>
      <c r="K73" s="74" t="str">
        <f>IFERROR(__xludf.DUMMYFUNCTION("""COMPUTED_VALUE"""),"Olla Revolvedora")</f>
        <v>Olla Revolvedora</v>
      </c>
      <c r="L73" s="74" t="str">
        <f>IFERROR(__xludf.DUMMYFUNCTION("""COMPUTED_VALUE"""),"Componentes hidráulicos")</f>
        <v>Componentes hidráulicos</v>
      </c>
      <c r="M73" s="74" t="str">
        <f>IFERROR(__xludf.DUMMYFUNCTION("""COMPUTED_VALUE"""),"Sin Asignar")</f>
        <v>Sin Asignar</v>
      </c>
      <c r="N73" s="87">
        <f>IFERROR(__xludf.DUMMYFUNCTION("""COMPUTED_VALUE"""),0.0)</f>
        <v>0</v>
      </c>
      <c r="O73" s="74"/>
      <c r="P73" s="74" t="str">
        <f>IFERROR(__xludf.DUMMYFUNCTION("""COMPUTED_VALUE"""),"No Available")</f>
        <v>No Available</v>
      </c>
      <c r="Q73" s="74"/>
      <c r="R73" s="74"/>
      <c r="S73" s="87">
        <f>IFERROR(__xludf.DUMMYFUNCTION("""COMPUTED_VALUE"""),0.0)</f>
        <v>0</v>
      </c>
      <c r="T73" s="87">
        <f>IFERROR(__xludf.DUMMYFUNCTION("""COMPUTED_VALUE"""),0.0)</f>
        <v>0</v>
      </c>
      <c r="U73" s="87">
        <f>IFERROR(__xludf.DUMMYFUNCTION("""COMPUTED_VALUE"""),0.0)</f>
        <v>0</v>
      </c>
      <c r="V73" s="87">
        <f>IFERROR(__xludf.DUMMYFUNCTION("""COMPUTED_VALUE"""),0.0)</f>
        <v>0</v>
      </c>
      <c r="W73" s="87">
        <f>IFERROR(__xludf.DUMMYFUNCTION("""COMPUTED_VALUE"""),0.0)</f>
        <v>0</v>
      </c>
      <c r="X73" s="88"/>
      <c r="Y73" s="74"/>
      <c r="Z73" s="74"/>
    </row>
    <row r="74">
      <c r="B74" s="74" t="str">
        <f>IFERROR(__xludf.DUMMYFUNCTION("""COMPUTED_VALUE"""),"1071")</f>
        <v>1071</v>
      </c>
      <c r="C74" s="74" t="str">
        <f>IFERROR(__xludf.DUMMYFUNCTION("""COMPUTED_VALUE"""),"75045891071")</f>
        <v>75045891071</v>
      </c>
      <c r="D74" s="74" t="str">
        <f>IFERROR(__xludf.DUMMYFUNCTION("""COMPUTED_VALUE"""),"\\MCA-S\mk\2_BM\0_BMat\08_PYM\Inventario\excel\Imagen de refacciones\Ollas revolvedoras\Bobina command con- trols e83758#E200N (COIL)")</f>
        <v>\\MCA-S\mk\2_BM\0_BMat\08_PYM\Inventario\excel\Imagen de refacciones\Ollas revolvedoras\Bobina command con- trols e83758#E200N (COIL)</v>
      </c>
      <c r="E74" s="74"/>
      <c r="F74" s="74" t="str">
        <f>IFERROR(__xludf.DUMMYFUNCTION("""COMPUTED_VALUE"""),"BOBINA COMMAND CONTROLS E83758#E200N (COIL)")</f>
        <v>BOBINA COMMAND CONTROLS E83758#E200N (COIL)</v>
      </c>
      <c r="G74" s="74"/>
      <c r="H74" s="74"/>
      <c r="I74" s="74"/>
      <c r="J74" s="74"/>
      <c r="K74" s="74" t="str">
        <f>IFERROR(__xludf.DUMMYFUNCTION("""COMPUTED_VALUE"""),"Olla Revolvedora")</f>
        <v>Olla Revolvedora</v>
      </c>
      <c r="L74" s="74" t="str">
        <f>IFERROR(__xludf.DUMMYFUNCTION("""COMPUTED_VALUE"""),"Componentes eléctricos")</f>
        <v>Componentes eléctricos</v>
      </c>
      <c r="M74" s="74" t="str">
        <f>IFERROR(__xludf.DUMMYFUNCTION("""COMPUTED_VALUE"""),"Sin Asignar")</f>
        <v>Sin Asignar</v>
      </c>
      <c r="N74" s="87">
        <f>IFERROR(__xludf.DUMMYFUNCTION("""COMPUTED_VALUE"""),0.0)</f>
        <v>0</v>
      </c>
      <c r="O74" s="74"/>
      <c r="P74" s="74" t="str">
        <f>IFERROR(__xludf.DUMMYFUNCTION("""COMPUTED_VALUE"""),"To Re-purchase")</f>
        <v>To Re-purchase</v>
      </c>
      <c r="Q74" s="74"/>
      <c r="R74" s="74"/>
      <c r="S74" s="87">
        <f>IFERROR(__xludf.DUMMYFUNCTION("""COMPUTED_VALUE"""),0.0)</f>
        <v>0</v>
      </c>
      <c r="T74" s="87">
        <f>IFERROR(__xludf.DUMMYFUNCTION("""COMPUTED_VALUE"""),0.0)</f>
        <v>0</v>
      </c>
      <c r="U74" s="87">
        <f>IFERROR(__xludf.DUMMYFUNCTION("""COMPUTED_VALUE"""),0.0)</f>
        <v>0</v>
      </c>
      <c r="V74" s="87">
        <f>IFERROR(__xludf.DUMMYFUNCTION("""COMPUTED_VALUE"""),0.0)</f>
        <v>0</v>
      </c>
      <c r="W74" s="87">
        <f>IFERROR(__xludf.DUMMYFUNCTION("""COMPUTED_VALUE"""),0.0)</f>
        <v>0</v>
      </c>
      <c r="X74" s="88"/>
      <c r="Y74" s="74"/>
      <c r="Z74" s="74"/>
    </row>
    <row r="75">
      <c r="B75" s="74" t="str">
        <f>IFERROR(__xludf.DUMMYFUNCTION("""COMPUTED_VALUE"""),"1072")</f>
        <v>1072</v>
      </c>
      <c r="C75" s="74" t="str">
        <f>IFERROR(__xludf.DUMMYFUNCTION("""COMPUTED_VALUE"""),"75045891072")</f>
        <v>75045891072</v>
      </c>
      <c r="D75" s="74" t="str">
        <f>IFERROR(__xludf.DUMMYFUNCTION("""COMPUTED_VALUE"""),"\\MCA-S\mk\2_BM\0_BMat\08_PYM\Inventario\excel\Imagen de refacciones\Ollas revolvedoras\Selenoide de 3 postes para dynachute M-719 tipo vijeo")</f>
        <v>\\MCA-S\mk\2_BM\0_BMat\08_PYM\Inventario\excel\Imagen de refacciones\Ollas revolvedoras\Selenoide de 3 postes para dynachute M-719 tipo vijeo</v>
      </c>
      <c r="E75" s="74"/>
      <c r="F75" s="74" t="str">
        <f>IFERROR(__xludf.DUMMYFUNCTION("""COMPUTED_VALUE"""),"SELENOIDE 3 POSTES DYNACHUTE M-719 TIPO VIEJO")</f>
        <v>SELENOIDE 3 POSTES DYNACHUTE M-719 TIPO VIEJO</v>
      </c>
      <c r="G75" s="74"/>
      <c r="H75" s="74"/>
      <c r="I75" s="74" t="str">
        <f>IFERROR(__xludf.DUMMYFUNCTION("""COMPUTED_VALUE"""),"73336A")</f>
        <v>73336A</v>
      </c>
      <c r="J75" s="74"/>
      <c r="K75" s="74" t="str">
        <f>IFERROR(__xludf.DUMMYFUNCTION("""COMPUTED_VALUE"""),"Olla Revolvedora")</f>
        <v>Olla Revolvedora</v>
      </c>
      <c r="L75" s="74" t="str">
        <f>IFERROR(__xludf.DUMMYFUNCTION("""COMPUTED_VALUE"""),"Componentes eléctricos")</f>
        <v>Componentes eléctricos</v>
      </c>
      <c r="M75" s="74" t="str">
        <f>IFERROR(__xludf.DUMMYFUNCTION("""COMPUTED_VALUE"""),"Sin Asignar")</f>
        <v>Sin Asignar</v>
      </c>
      <c r="N75" s="87">
        <f>IFERROR(__xludf.DUMMYFUNCTION("""COMPUTED_VALUE"""),0.0)</f>
        <v>0</v>
      </c>
      <c r="O75" s="74"/>
      <c r="P75" s="74" t="str">
        <f>IFERROR(__xludf.DUMMYFUNCTION("""COMPUTED_VALUE"""),"To Re-purchase")</f>
        <v>To Re-purchase</v>
      </c>
      <c r="Q75" s="74"/>
      <c r="R75" s="74"/>
      <c r="S75" s="87">
        <f>IFERROR(__xludf.DUMMYFUNCTION("""COMPUTED_VALUE"""),0.0)</f>
        <v>0</v>
      </c>
      <c r="T75" s="87">
        <f>IFERROR(__xludf.DUMMYFUNCTION("""COMPUTED_VALUE"""),0.0)</f>
        <v>0</v>
      </c>
      <c r="U75" s="87">
        <f>IFERROR(__xludf.DUMMYFUNCTION("""COMPUTED_VALUE"""),0.0)</f>
        <v>0</v>
      </c>
      <c r="V75" s="87">
        <f>IFERROR(__xludf.DUMMYFUNCTION("""COMPUTED_VALUE"""),0.0)</f>
        <v>0</v>
      </c>
      <c r="W75" s="87">
        <f>IFERROR(__xludf.DUMMYFUNCTION("""COMPUTED_VALUE"""),0.0)</f>
        <v>0</v>
      </c>
      <c r="X75" s="88"/>
      <c r="Y75" s="74"/>
      <c r="Z75" s="74"/>
    </row>
    <row r="76">
      <c r="B76" s="74" t="str">
        <f>IFERROR(__xludf.DUMMYFUNCTION("""COMPUTED_VALUE"""),"1073")</f>
        <v>1073</v>
      </c>
      <c r="C76" s="74" t="str">
        <f>IFERROR(__xludf.DUMMYFUNCTION("""COMPUTED_VALUE"""),"75045891073")</f>
        <v>75045891073</v>
      </c>
      <c r="D76" s="74" t="str">
        <f>IFERROR(__xludf.DUMMYFUNCTION("""COMPUTED_VALUE"""),"\\MCA-S\mk\2_BM\0_BMat\08_PYM\Inventario\excel\Imagen de refacciones\Ollas revolvedoras\Switch de presión hidraulica")</f>
        <v>\\MCA-S\mk\2_BM\0_BMat\08_PYM\Inventario\excel\Imagen de refacciones\Ollas revolvedoras\Switch de presión hidraulica</v>
      </c>
      <c r="E76" s="74"/>
      <c r="F76" s="74" t="str">
        <f>IFERROR(__xludf.DUMMYFUNCTION("""COMPUTED_VALUE"""),"SWITCH PRESION HIDRAULICA")</f>
        <v>SWITCH PRESION HIDRAULICA</v>
      </c>
      <c r="G76" s="74"/>
      <c r="H76" s="74"/>
      <c r="I76" s="74" t="str">
        <f>IFERROR(__xludf.DUMMYFUNCTION("""COMPUTED_VALUE"""),"11021")</f>
        <v>11021</v>
      </c>
      <c r="J76" s="74"/>
      <c r="K76" s="74" t="str">
        <f>IFERROR(__xludf.DUMMYFUNCTION("""COMPUTED_VALUE"""),"Olla Revolvedora")</f>
        <v>Olla Revolvedora</v>
      </c>
      <c r="L76" s="74" t="str">
        <f>IFERROR(__xludf.DUMMYFUNCTION("""COMPUTED_VALUE"""),"Elementos de medición y control")</f>
        <v>Elementos de medición y control</v>
      </c>
      <c r="M76" s="74" t="str">
        <f>IFERROR(__xludf.DUMMYFUNCTION("""COMPUTED_VALUE"""),"Sin Asignar")</f>
        <v>Sin Asignar</v>
      </c>
      <c r="N76" s="87">
        <f>IFERROR(__xludf.DUMMYFUNCTION("""COMPUTED_VALUE"""),0.0)</f>
        <v>0</v>
      </c>
      <c r="O76" s="74"/>
      <c r="P76" s="74" t="str">
        <f>IFERROR(__xludf.DUMMYFUNCTION("""COMPUTED_VALUE"""),"To Re-purchase")</f>
        <v>To Re-purchase</v>
      </c>
      <c r="Q76" s="74"/>
      <c r="R76" s="74"/>
      <c r="S76" s="87">
        <f>IFERROR(__xludf.DUMMYFUNCTION("""COMPUTED_VALUE"""),0.0)</f>
        <v>0</v>
      </c>
      <c r="T76" s="87">
        <f>IFERROR(__xludf.DUMMYFUNCTION("""COMPUTED_VALUE"""),0.0)</f>
        <v>0</v>
      </c>
      <c r="U76" s="87">
        <f>IFERROR(__xludf.DUMMYFUNCTION("""COMPUTED_VALUE"""),0.0)</f>
        <v>0</v>
      </c>
      <c r="V76" s="87">
        <f>IFERROR(__xludf.DUMMYFUNCTION("""COMPUTED_VALUE"""),0.0)</f>
        <v>0</v>
      </c>
      <c r="W76" s="87">
        <f>IFERROR(__xludf.DUMMYFUNCTION("""COMPUTED_VALUE"""),0.0)</f>
        <v>0</v>
      </c>
      <c r="X76" s="88"/>
      <c r="Y76" s="74"/>
      <c r="Z76" s="74"/>
    </row>
    <row r="77">
      <c r="B77" s="74" t="str">
        <f>IFERROR(__xludf.DUMMYFUNCTION("""COMPUTED_VALUE"""),"1074")</f>
        <v>1074</v>
      </c>
      <c r="C77" s="74" t="str">
        <f>IFERROR(__xludf.DUMMYFUNCTION("""COMPUTED_VALUE"""),"75045891074")</f>
        <v>75045891074</v>
      </c>
      <c r="D77" s="74" t="str">
        <f>IFERROR(__xludf.DUMMYFUNCTION("""COMPUTED_VALUE"""),"\\MCA-S\mk\2_BM\0_BMat\08_PYM\Inventario\excel\Imagen de refacciones\Ollas revolvedoras\Sensor de temperatura para aceite hidráulico")</f>
        <v>\\MCA-S\mk\2_BM\0_BMat\08_PYM\Inventario\excel\Imagen de refacciones\Ollas revolvedoras\Sensor de temperatura para aceite hidráulico</v>
      </c>
      <c r="E77" s="74" t="str">
        <f>IFERROR(__xludf.DUMMYFUNCTION("""COMPUTED_VALUE"""),"TEMPERATURE SENSOR ")</f>
        <v>TEMPERATURE SENSOR </v>
      </c>
      <c r="F77" s="74" t="str">
        <f>IFERROR(__xludf.DUMMYFUNCTION("""COMPUTED_VALUE"""),"SENSOR TEMPERATURA PARA ACEITE HIDRAULICO")</f>
        <v>SENSOR TEMPERATURA PARA ACEITE HIDRAULICO</v>
      </c>
      <c r="G77" s="74"/>
      <c r="H77" s="74"/>
      <c r="I77" s="74" t="str">
        <f>IFERROR(__xludf.DUMMYFUNCTION("""COMPUTED_VALUE"""),"189134")</f>
        <v>189134</v>
      </c>
      <c r="J77" s="74"/>
      <c r="K77" s="74" t="str">
        <f>IFERROR(__xludf.DUMMYFUNCTION("""COMPUTED_VALUE"""),"Olla Revolvedora")</f>
        <v>Olla Revolvedora</v>
      </c>
      <c r="L77" s="74" t="str">
        <f>IFERROR(__xludf.DUMMYFUNCTION("""COMPUTED_VALUE"""),"Elementos de medición y control")</f>
        <v>Elementos de medición y control</v>
      </c>
      <c r="M77" s="74" t="str">
        <f>IFERROR(__xludf.DUMMYFUNCTION("""COMPUTED_VALUE"""),"Sin Asignar")</f>
        <v>Sin Asignar</v>
      </c>
      <c r="N77" s="87">
        <f>IFERROR(__xludf.DUMMYFUNCTION("""COMPUTED_VALUE"""),0.0)</f>
        <v>0</v>
      </c>
      <c r="O77" s="74"/>
      <c r="P77" s="74" t="str">
        <f>IFERROR(__xludf.DUMMYFUNCTION("""COMPUTED_VALUE"""),"To Re-purchase")</f>
        <v>To Re-purchase</v>
      </c>
      <c r="Q77" s="74"/>
      <c r="R77" s="74"/>
      <c r="S77" s="87">
        <f>IFERROR(__xludf.DUMMYFUNCTION("""COMPUTED_VALUE"""),0.0)</f>
        <v>0</v>
      </c>
      <c r="T77" s="87">
        <f>IFERROR(__xludf.DUMMYFUNCTION("""COMPUTED_VALUE"""),0.0)</f>
        <v>0</v>
      </c>
      <c r="U77" s="87">
        <f>IFERROR(__xludf.DUMMYFUNCTION("""COMPUTED_VALUE"""),0.0)</f>
        <v>0</v>
      </c>
      <c r="V77" s="87">
        <f>IFERROR(__xludf.DUMMYFUNCTION("""COMPUTED_VALUE"""),0.0)</f>
        <v>0</v>
      </c>
      <c r="W77" s="87">
        <f>IFERROR(__xludf.DUMMYFUNCTION("""COMPUTED_VALUE"""),0.0)</f>
        <v>0</v>
      </c>
      <c r="X77" s="88"/>
      <c r="Y77" s="74"/>
      <c r="Z77" s="74"/>
    </row>
    <row r="78">
      <c r="B78" s="74" t="str">
        <f>IFERROR(__xludf.DUMMYFUNCTION("""COMPUTED_VALUE"""),"1075")</f>
        <v>1075</v>
      </c>
      <c r="C78" s="74" t="str">
        <f>IFERROR(__xludf.DUMMYFUNCTION("""COMPUTED_VALUE"""),"75045891075")</f>
        <v>75045891075</v>
      </c>
      <c r="D78" s="74" t="str">
        <f>IFERROR(__xludf.DUMMYFUNCTION("""COMPUTED_VALUE"""),"\\MCA-S\mk\2_BM\0_BMat\08_PYM\Inventario\excel\Imagen de refacciones\Ollas revolvedoras\Piston para canalon acción doble")</f>
        <v>\\MCA-S\mk\2_BM\0_BMat\08_PYM\Inventario\excel\Imagen de refacciones\Ollas revolvedoras\Piston para canalon acción doble</v>
      </c>
      <c r="E78" s="74" t="str">
        <f>IFERROR(__xludf.DUMMYFUNCTION("""COMPUTED_VALUE"""),"MIXER DOUBLE ACTING CHUTE LIFT CYLINDER")</f>
        <v>MIXER DOUBLE ACTING CHUTE LIFT CYLINDER</v>
      </c>
      <c r="F78" s="74" t="str">
        <f>IFERROR(__xludf.DUMMYFUNCTION("""COMPUTED_VALUE"""),"PISTON CANALON ACCION DOBLE")</f>
        <v>PISTON CANALON ACCION DOBLE</v>
      </c>
      <c r="G78" s="74"/>
      <c r="H78" s="74"/>
      <c r="I78" s="74" t="str">
        <f>IFERROR(__xludf.DUMMYFUNCTION("""COMPUTED_VALUE"""),"107596")</f>
        <v>107596</v>
      </c>
      <c r="J78" s="74"/>
      <c r="K78" s="74" t="str">
        <f>IFERROR(__xludf.DUMMYFUNCTION("""COMPUTED_VALUE"""),"Olla Revolvedora")</f>
        <v>Olla Revolvedora</v>
      </c>
      <c r="L78" s="74" t="str">
        <f>IFERROR(__xludf.DUMMYFUNCTION("""COMPUTED_VALUE"""),"HIDRAULICO")</f>
        <v>HIDRAULICO</v>
      </c>
      <c r="M78" s="74" t="str">
        <f>IFERROR(__xludf.DUMMYFUNCTION("""COMPUTED_VALUE"""),"PISTONES")</f>
        <v>PISTONES</v>
      </c>
      <c r="N78" s="87">
        <f>IFERROR(__xludf.DUMMYFUNCTION("""COMPUTED_VALUE"""),0.0)</f>
        <v>0</v>
      </c>
      <c r="O78" s="74"/>
      <c r="P78" s="74" t="str">
        <f>IFERROR(__xludf.DUMMYFUNCTION("""COMPUTED_VALUE"""),"To Re-purchase")</f>
        <v>To Re-purchase</v>
      </c>
      <c r="Q78" s="74"/>
      <c r="R78" s="74"/>
      <c r="S78" s="87">
        <f>IFERROR(__xludf.DUMMYFUNCTION("""COMPUTED_VALUE"""),0.0)</f>
        <v>0</v>
      </c>
      <c r="T78" s="87">
        <f>IFERROR(__xludf.DUMMYFUNCTION("""COMPUTED_VALUE"""),0.0)</f>
        <v>0</v>
      </c>
      <c r="U78" s="87">
        <f>IFERROR(__xludf.DUMMYFUNCTION("""COMPUTED_VALUE"""),0.0)</f>
        <v>0</v>
      </c>
      <c r="V78" s="87">
        <f>IFERROR(__xludf.DUMMYFUNCTION("""COMPUTED_VALUE"""),0.0)</f>
        <v>0</v>
      </c>
      <c r="W78" s="87">
        <f>IFERROR(__xludf.DUMMYFUNCTION("""COMPUTED_VALUE"""),0.0)</f>
        <v>0</v>
      </c>
      <c r="X78" s="88"/>
      <c r="Y78" s="74"/>
      <c r="Z78" s="74"/>
    </row>
    <row r="79">
      <c r="B79" s="74" t="str">
        <f>IFERROR(__xludf.DUMMYFUNCTION("""COMPUTED_VALUE"""),"1076")</f>
        <v>1076</v>
      </c>
      <c r="C79" s="74" t="str">
        <f>IFERROR(__xludf.DUMMYFUNCTION("""COMPUTED_VALUE"""),"75045891076")</f>
        <v>75045891076</v>
      </c>
      <c r="D79" s="74" t="str">
        <f>IFERROR(__xludf.DUMMYFUNCTION("""COMPUTED_VALUE"""),"\\MCA-S\mk\2_BM\0_BMat\08_PYM\Inventario\excel\Imagen de refacciones\Ollas revolvedoras\cuenta litros para olla de 1° - digital")</f>
        <v>\\MCA-S\mk\2_BM\0_BMat\08_PYM\Inventario\excel\Imagen de refacciones\Ollas revolvedoras\cuenta litros para olla de 1° - digital</v>
      </c>
      <c r="E79" s="74"/>
      <c r="F79" s="74" t="str">
        <f>IFERROR(__xludf.DUMMYFUNCTION("""COMPUTED_VALUE"""),"CUENTA LISTROS PARA OLLA DE 1"" DIGITAL")</f>
        <v>CUENTA LISTROS PARA OLLA DE 1" DIGITAL</v>
      </c>
      <c r="G79" s="74"/>
      <c r="H79" s="74"/>
      <c r="I79" s="74" t="str">
        <f>IFERROR(__xludf.DUMMYFUNCTION("""COMPUTED_VALUE"""),"31801")</f>
        <v>31801</v>
      </c>
      <c r="J79" s="74"/>
      <c r="K79" s="74" t="str">
        <f>IFERROR(__xludf.DUMMYFUNCTION("""COMPUTED_VALUE"""),"Olla Revolvedora")</f>
        <v>Olla Revolvedora</v>
      </c>
      <c r="L79" s="74" t="str">
        <f>IFERROR(__xludf.DUMMYFUNCTION("""COMPUTED_VALUE"""),"HIDRAULICO")</f>
        <v>HIDRAULICO</v>
      </c>
      <c r="M79" s="74" t="str">
        <f>IFERROR(__xludf.DUMMYFUNCTION("""COMPUTED_VALUE"""),"Sin Asignar")</f>
        <v>Sin Asignar</v>
      </c>
      <c r="N79" s="87">
        <f>IFERROR(__xludf.DUMMYFUNCTION("""COMPUTED_VALUE"""),0.0)</f>
        <v>0</v>
      </c>
      <c r="O79" s="74"/>
      <c r="P79" s="74" t="str">
        <f>IFERROR(__xludf.DUMMYFUNCTION("""COMPUTED_VALUE"""),"To Re-purchase")</f>
        <v>To Re-purchase</v>
      </c>
      <c r="Q79" s="74"/>
      <c r="R79" s="74"/>
      <c r="S79" s="87">
        <f>IFERROR(__xludf.DUMMYFUNCTION("""COMPUTED_VALUE"""),0.0)</f>
        <v>0</v>
      </c>
      <c r="T79" s="87">
        <f>IFERROR(__xludf.DUMMYFUNCTION("""COMPUTED_VALUE"""),0.0)</f>
        <v>0</v>
      </c>
      <c r="U79" s="87">
        <f>IFERROR(__xludf.DUMMYFUNCTION("""COMPUTED_VALUE"""),0.0)</f>
        <v>0</v>
      </c>
      <c r="V79" s="87">
        <f>IFERROR(__xludf.DUMMYFUNCTION("""COMPUTED_VALUE"""),0.0)</f>
        <v>0</v>
      </c>
      <c r="W79" s="87">
        <f>IFERROR(__xludf.DUMMYFUNCTION("""COMPUTED_VALUE"""),0.0)</f>
        <v>0</v>
      </c>
      <c r="X79" s="88"/>
      <c r="Y79" s="74"/>
      <c r="Z79" s="74"/>
    </row>
    <row r="80">
      <c r="B80" s="74" t="str">
        <f>IFERROR(__xludf.DUMMYFUNCTION("""COMPUTED_VALUE"""),"1077")</f>
        <v>1077</v>
      </c>
      <c r="C80" s="74" t="str">
        <f>IFERROR(__xludf.DUMMYFUNCTION("""COMPUTED_VALUE"""),"75045891077")</f>
        <v>75045891077</v>
      </c>
      <c r="D80" s="74" t="str">
        <f>IFERROR(__xludf.DUMMYFUNCTION("""COMPUTED_VALUE"""),"\\MCA-S\mk\2_BM\0_BMat\08_PYM\Inventario\excel\Imagen de refacciones\Ollas revolvedoras\Roto chamber t30_30")</f>
        <v>\\MCA-S\mk\2_BM\0_BMat\08_PYM\Inventario\excel\Imagen de refacciones\Ollas revolvedoras\Roto chamber t30_30</v>
      </c>
      <c r="E80" s="74" t="str">
        <f>IFERROR(__xludf.DUMMYFUNCTION("""COMPUTED_VALUE"""),"BREKE CHAMBER T30/30")</f>
        <v>BREKE CHAMBER T30/30</v>
      </c>
      <c r="F80" s="74" t="str">
        <f>IFERROR(__xludf.DUMMYFUNCTION("""COMPUTED_VALUE"""),"ROTO CHAMBER T30/30")</f>
        <v>ROTO CHAMBER T30/30</v>
      </c>
      <c r="G80" s="74"/>
      <c r="H80" s="74"/>
      <c r="I80" s="74" t="str">
        <f>IFERROR(__xludf.DUMMYFUNCTION("""COMPUTED_VALUE"""),"T30/30")</f>
        <v>T30/30</v>
      </c>
      <c r="J80" s="74"/>
      <c r="K80" s="74" t="str">
        <f>IFERROR(__xludf.DUMMYFUNCTION("""COMPUTED_VALUE"""),"Olla Revolvedora")</f>
        <v>Olla Revolvedora</v>
      </c>
      <c r="L80" s="74" t="str">
        <f>IFERROR(__xludf.DUMMYFUNCTION("""COMPUTED_VALUE"""),"Sistema de bombeo de concreto")</f>
        <v>Sistema de bombeo de concreto</v>
      </c>
      <c r="M80" s="74" t="str">
        <f>IFERROR(__xludf.DUMMYFUNCTION("""COMPUTED_VALUE"""),"Sin Asignar")</f>
        <v>Sin Asignar</v>
      </c>
      <c r="N80" s="87">
        <f>IFERROR(__xludf.DUMMYFUNCTION("""COMPUTED_VALUE"""),0.0)</f>
        <v>0</v>
      </c>
      <c r="O80" s="74"/>
      <c r="P80" s="74" t="str">
        <f>IFERROR(__xludf.DUMMYFUNCTION("""COMPUTED_VALUE"""),"To Re-purchase")</f>
        <v>To Re-purchase</v>
      </c>
      <c r="Q80" s="74"/>
      <c r="R80" s="74"/>
      <c r="S80" s="87">
        <f>IFERROR(__xludf.DUMMYFUNCTION("""COMPUTED_VALUE"""),0.0)</f>
        <v>0</v>
      </c>
      <c r="T80" s="87">
        <f>IFERROR(__xludf.DUMMYFUNCTION("""COMPUTED_VALUE"""),0.0)</f>
        <v>0</v>
      </c>
      <c r="U80" s="87">
        <f>IFERROR(__xludf.DUMMYFUNCTION("""COMPUTED_VALUE"""),0.0)</f>
        <v>0</v>
      </c>
      <c r="V80" s="87">
        <f>IFERROR(__xludf.DUMMYFUNCTION("""COMPUTED_VALUE"""),0.0)</f>
        <v>0</v>
      </c>
      <c r="W80" s="87">
        <f>IFERROR(__xludf.DUMMYFUNCTION("""COMPUTED_VALUE"""),0.0)</f>
        <v>0</v>
      </c>
      <c r="X80" s="88"/>
      <c r="Y80" s="74"/>
      <c r="Z80" s="74"/>
    </row>
    <row r="81">
      <c r="B81" s="74" t="str">
        <f>IFERROR(__xludf.DUMMYFUNCTION("""COMPUTED_VALUE"""),"1078")</f>
        <v>1078</v>
      </c>
      <c r="C81" s="74" t="str">
        <f>IFERROR(__xludf.DUMMYFUNCTION("""COMPUTED_VALUE"""),"75045891078")</f>
        <v>75045891078</v>
      </c>
      <c r="D81" s="74" t="str">
        <f>IFERROR(__xludf.DUMMYFUNCTION("""COMPUTED_VALUE"""),"\\MCA-S\mk\2_BM\0_BMat\08_PYM\Inventario\excel\Imagen de refacciones\Ollas revolvedoras\Balero seccionado para reductor ZF")</f>
        <v>\\MCA-S\mk\2_BM\0_BMat\08_PYM\Inventario\excel\Imagen de refacciones\Ollas revolvedoras\Balero seccionado para reductor ZF</v>
      </c>
      <c r="E81" s="74" t="str">
        <f>IFERROR(__xludf.DUMMYFUNCTION("""COMPUTED_VALUE"""),"NTN MAIN BEARING WITH BRASS CAGE ZF")</f>
        <v>NTN MAIN BEARING WITH BRASS CAGE ZF</v>
      </c>
      <c r="F81" s="74" t="str">
        <f>IFERROR(__xludf.DUMMYFUNCTION("""COMPUTED_VALUE"""),"BALERO SECCIONADO PARA REDUCTOR ZF")</f>
        <v>BALERO SECCIONADO PARA REDUCTOR ZF</v>
      </c>
      <c r="G81" s="74"/>
      <c r="H81" s="74"/>
      <c r="I81" s="74" t="str">
        <f>IFERROR(__xludf.DUMMYFUNCTION("""COMPUTED_VALUE"""),"2P2206")</f>
        <v>2P2206</v>
      </c>
      <c r="J81" s="74"/>
      <c r="K81" s="74" t="str">
        <f>IFERROR(__xludf.DUMMYFUNCTION("""COMPUTED_VALUE"""),"Olla Revolvedora")</f>
        <v>Olla Revolvedora</v>
      </c>
      <c r="L81" s="74" t="str">
        <f>IFERROR(__xludf.DUMMYFUNCTION("""COMPUTED_VALUE"""),"Transmisión mecánica")</f>
        <v>Transmisión mecánica</v>
      </c>
      <c r="M81" s="74" t="str">
        <f>IFERROR(__xludf.DUMMYFUNCTION("""COMPUTED_VALUE"""),"BALEROS")</f>
        <v>BALEROS</v>
      </c>
      <c r="N81" s="87">
        <f>IFERROR(__xludf.DUMMYFUNCTION("""COMPUTED_VALUE"""),0.0)</f>
        <v>0</v>
      </c>
      <c r="O81" s="74"/>
      <c r="P81" s="74" t="str">
        <f>IFERROR(__xludf.DUMMYFUNCTION("""COMPUTED_VALUE"""),"To Re-purchase")</f>
        <v>To Re-purchase</v>
      </c>
      <c r="Q81" s="74"/>
      <c r="R81" s="74"/>
      <c r="S81" s="87">
        <f>IFERROR(__xludf.DUMMYFUNCTION("""COMPUTED_VALUE"""),0.0)</f>
        <v>0</v>
      </c>
      <c r="T81" s="87">
        <f>IFERROR(__xludf.DUMMYFUNCTION("""COMPUTED_VALUE"""),0.0)</f>
        <v>0</v>
      </c>
      <c r="U81" s="87">
        <f>IFERROR(__xludf.DUMMYFUNCTION("""COMPUTED_VALUE"""),0.0)</f>
        <v>0</v>
      </c>
      <c r="V81" s="87">
        <f>IFERROR(__xludf.DUMMYFUNCTION("""COMPUTED_VALUE"""),0.0)</f>
        <v>0</v>
      </c>
      <c r="W81" s="87">
        <f>IFERROR(__xludf.DUMMYFUNCTION("""COMPUTED_VALUE"""),0.0)</f>
        <v>0</v>
      </c>
      <c r="X81" s="88"/>
      <c r="Y81" s="74"/>
      <c r="Z81" s="74"/>
    </row>
    <row r="82">
      <c r="B82" s="74" t="str">
        <f>IFERROR(__xludf.DUMMYFUNCTION("""COMPUTED_VALUE"""),"1079")</f>
        <v>1079</v>
      </c>
      <c r="C82" s="74" t="str">
        <f>IFERROR(__xludf.DUMMYFUNCTION("""COMPUTED_VALUE"""),"75045891079")</f>
        <v>75045891079</v>
      </c>
      <c r="D82" s="74" t="str">
        <f>IFERROR(__xludf.DUMMYFUNCTION("""COMPUTED_VALUE"""),"\\MCA-S\mk\2_BM\0_BMat\08_PYM\Inventario\excel\Imagen de refacciones\Ollas revolvedoras\Balero para reductor ZF")</f>
        <v>\\MCA-S\mk\2_BM\0_BMat\08_PYM\Inventario\excel\Imagen de refacciones\Ollas revolvedoras\Balero para reductor ZF</v>
      </c>
      <c r="E82" s="74" t="str">
        <f>IFERROR(__xludf.DUMMYFUNCTION("""COMPUTED_VALUE"""),"CYLINDRICAL ROLLER BEARING")</f>
        <v>CYLINDRICAL ROLLER BEARING</v>
      </c>
      <c r="F82" s="74" t="str">
        <f>IFERROR(__xludf.DUMMYFUNCTION("""COMPUTED_VALUE"""),"BALERO REDUCTOR ZF")</f>
        <v>BALERO REDUCTOR ZF</v>
      </c>
      <c r="G82" s="74"/>
      <c r="H82" s="74"/>
      <c r="I82" s="74" t="str">
        <f>IFERROR(__xludf.DUMMYFUNCTION("""COMPUTED_VALUE"""),"F801806")</f>
        <v>F801806</v>
      </c>
      <c r="J82" s="74"/>
      <c r="K82" s="74" t="str">
        <f>IFERROR(__xludf.DUMMYFUNCTION("""COMPUTED_VALUE"""),"Olla Revolvedora")</f>
        <v>Olla Revolvedora</v>
      </c>
      <c r="L82" s="74" t="str">
        <f>IFERROR(__xludf.DUMMYFUNCTION("""COMPUTED_VALUE"""),"Transmisión mecánica")</f>
        <v>Transmisión mecánica</v>
      </c>
      <c r="M82" s="74" t="str">
        <f>IFERROR(__xludf.DUMMYFUNCTION("""COMPUTED_VALUE"""),"BALEROS")</f>
        <v>BALEROS</v>
      </c>
      <c r="N82" s="87">
        <f>IFERROR(__xludf.DUMMYFUNCTION("""COMPUTED_VALUE"""),0.0)</f>
        <v>0</v>
      </c>
      <c r="O82" s="74"/>
      <c r="P82" s="74" t="str">
        <f>IFERROR(__xludf.DUMMYFUNCTION("""COMPUTED_VALUE"""),"To Re-purchase")</f>
        <v>To Re-purchase</v>
      </c>
      <c r="Q82" s="74"/>
      <c r="R82" s="74"/>
      <c r="S82" s="87">
        <f>IFERROR(__xludf.DUMMYFUNCTION("""COMPUTED_VALUE"""),0.0)</f>
        <v>0</v>
      </c>
      <c r="T82" s="87">
        <f>IFERROR(__xludf.DUMMYFUNCTION("""COMPUTED_VALUE"""),0.0)</f>
        <v>0</v>
      </c>
      <c r="U82" s="87">
        <f>IFERROR(__xludf.DUMMYFUNCTION("""COMPUTED_VALUE"""),0.0)</f>
        <v>0</v>
      </c>
      <c r="V82" s="87">
        <f>IFERROR(__xludf.DUMMYFUNCTION("""COMPUTED_VALUE"""),0.0)</f>
        <v>0</v>
      </c>
      <c r="W82" s="87">
        <f>IFERROR(__xludf.DUMMYFUNCTION("""COMPUTED_VALUE"""),0.0)</f>
        <v>0</v>
      </c>
      <c r="X82" s="88"/>
      <c r="Y82" s="74"/>
      <c r="Z82" s="74"/>
    </row>
    <row r="83">
      <c r="B83" s="74" t="str">
        <f>IFERROR(__xludf.DUMMYFUNCTION("""COMPUTED_VALUE"""),"1080")</f>
        <v>1080</v>
      </c>
      <c r="C83" s="74" t="str">
        <f>IFERROR(__xludf.DUMMYFUNCTION("""COMPUTED_VALUE"""),"75045891080")</f>
        <v>75045891080</v>
      </c>
      <c r="D83" s="74" t="str">
        <f>IFERROR(__xludf.DUMMYFUNCTION("""COMPUTED_VALUE"""),"\\MCA-S\mk\2_BM\0_BMat\08_PYM\Inventario\excel\Imagen de refacciones\Ollas revolvedoras\Empaque para escotilla - ractangular")</f>
        <v>\\MCA-S\mk\2_BM\0_BMat\08_PYM\Inventario\excel\Imagen de refacciones\Ollas revolvedoras\Empaque para escotilla - ractangular</v>
      </c>
      <c r="E83" s="74" t="str">
        <f>IFERROR(__xludf.DUMMYFUNCTION("""COMPUTED_VALUE"""),"DRUM HATCH GASKET")</f>
        <v>DRUM HATCH GASKET</v>
      </c>
      <c r="F83" s="74" t="str">
        <f>IFERROR(__xludf.DUMMYFUNCTION("""COMPUTED_VALUE"""),"EMPAQUE ESCOTILLA RECTANGULAR")</f>
        <v>EMPAQUE ESCOTILLA RECTANGULAR</v>
      </c>
      <c r="G83" s="74"/>
      <c r="H83" s="74"/>
      <c r="I83" s="74" t="str">
        <f>IFERROR(__xludf.DUMMYFUNCTION("""COMPUTED_VALUE"""),"215208")</f>
        <v>215208</v>
      </c>
      <c r="J83" s="74"/>
      <c r="K83" s="74" t="str">
        <f>IFERROR(__xludf.DUMMYFUNCTION("""COMPUTED_VALUE"""),"Olla Revolvedora")</f>
        <v>Olla Revolvedora</v>
      </c>
      <c r="L83" s="74" t="str">
        <f>IFERROR(__xludf.DUMMYFUNCTION("""COMPUTED_VALUE"""),"Sellos y retenes")</f>
        <v>Sellos y retenes</v>
      </c>
      <c r="M83" s="74" t="str">
        <f>IFERROR(__xludf.DUMMYFUNCTION("""COMPUTED_VALUE"""),"EMPAQUES")</f>
        <v>EMPAQUES</v>
      </c>
      <c r="N83" s="87">
        <f>IFERROR(__xludf.DUMMYFUNCTION("""COMPUTED_VALUE"""),0.0)</f>
        <v>0</v>
      </c>
      <c r="O83" s="74"/>
      <c r="P83" s="74" t="str">
        <f>IFERROR(__xludf.DUMMYFUNCTION("""COMPUTED_VALUE"""),"To Re-purchase")</f>
        <v>To Re-purchase</v>
      </c>
      <c r="Q83" s="74"/>
      <c r="R83" s="74"/>
      <c r="S83" s="87">
        <f>IFERROR(__xludf.DUMMYFUNCTION("""COMPUTED_VALUE"""),0.0)</f>
        <v>0</v>
      </c>
      <c r="T83" s="87">
        <f>IFERROR(__xludf.DUMMYFUNCTION("""COMPUTED_VALUE"""),0.0)</f>
        <v>0</v>
      </c>
      <c r="U83" s="87">
        <f>IFERROR(__xludf.DUMMYFUNCTION("""COMPUTED_VALUE"""),0.0)</f>
        <v>0</v>
      </c>
      <c r="V83" s="87">
        <f>IFERROR(__xludf.DUMMYFUNCTION("""COMPUTED_VALUE"""),0.0)</f>
        <v>0</v>
      </c>
      <c r="W83" s="87">
        <f>IFERROR(__xludf.DUMMYFUNCTION("""COMPUTED_VALUE"""),0.0)</f>
        <v>0</v>
      </c>
      <c r="X83" s="88"/>
      <c r="Y83" s="74"/>
      <c r="Z83" s="74"/>
    </row>
    <row r="84">
      <c r="B84" s="74" t="str">
        <f>IFERROR(__xludf.DUMMYFUNCTION("""COMPUTED_VALUE"""),"1081")</f>
        <v>1081</v>
      </c>
      <c r="C84" s="74" t="str">
        <f>IFERROR(__xludf.DUMMYFUNCTION("""COMPUTED_VALUE"""),"75045891081")</f>
        <v>75045891081</v>
      </c>
      <c r="D84" s="74" t="str">
        <f>IFERROR(__xludf.DUMMYFUNCTION("""COMPUTED_VALUE"""),"\\MCA-S\mk\2_BM\0_BMat\08_PYM\Inventario\excel\Imagen de refacciones\Ollas revolvedoras\Flecha para reductor ZF")</f>
        <v>\\MCA-S\mk\2_BM\0_BMat\08_PYM\Inventario\excel\Imagen de refacciones\Ollas revolvedoras\Flecha para reductor ZF</v>
      </c>
      <c r="E84" s="74" t="str">
        <f>IFERROR(__xludf.DUMMYFUNCTION("""COMPUTED_VALUE"""),"MIXER DRUM DRIVE INPUT SHAFT ZF")</f>
        <v>MIXER DRUM DRIVE INPUT SHAFT ZF</v>
      </c>
      <c r="F84" s="74" t="str">
        <f>IFERROR(__xludf.DUMMYFUNCTION("""COMPUTED_VALUE"""),"FLECHA REDUCTOR ZF")</f>
        <v>FLECHA REDUCTOR ZF</v>
      </c>
      <c r="G84" s="74"/>
      <c r="H84" s="74"/>
      <c r="I84" s="74" t="str">
        <f>IFERROR(__xludf.DUMMYFUNCTION("""COMPUTED_VALUE"""),"4108-301-450")</f>
        <v>4108-301-450</v>
      </c>
      <c r="J84" s="74" t="str">
        <f>IFERROR(__xludf.DUMMYFUNCTION("""COMPUTED_VALUE"""),"4108301450")</f>
        <v>4108301450</v>
      </c>
      <c r="K84" s="74" t="str">
        <f>IFERROR(__xludf.DUMMYFUNCTION("""COMPUTED_VALUE"""),"Olla Revolvedora")</f>
        <v>Olla Revolvedora</v>
      </c>
      <c r="L84" s="74" t="str">
        <f>IFERROR(__xludf.DUMMYFUNCTION("""COMPUTED_VALUE"""),"Transmisión mecánica")</f>
        <v>Transmisión mecánica</v>
      </c>
      <c r="M84" s="74" t="str">
        <f>IFERROR(__xludf.DUMMYFUNCTION("""COMPUTED_VALUE"""),"Sin Asignar")</f>
        <v>Sin Asignar</v>
      </c>
      <c r="N84" s="87">
        <f>IFERROR(__xludf.DUMMYFUNCTION("""COMPUTED_VALUE"""),0.0)</f>
        <v>0</v>
      </c>
      <c r="O84" s="74"/>
      <c r="P84" s="74" t="str">
        <f>IFERROR(__xludf.DUMMYFUNCTION("""COMPUTED_VALUE"""),"To Re-purchase")</f>
        <v>To Re-purchase</v>
      </c>
      <c r="Q84" s="74"/>
      <c r="R84" s="74"/>
      <c r="S84" s="87">
        <f>IFERROR(__xludf.DUMMYFUNCTION("""COMPUTED_VALUE"""),0.0)</f>
        <v>0</v>
      </c>
      <c r="T84" s="87">
        <f>IFERROR(__xludf.DUMMYFUNCTION("""COMPUTED_VALUE"""),0.0)</f>
        <v>0</v>
      </c>
      <c r="U84" s="87">
        <f>IFERROR(__xludf.DUMMYFUNCTION("""COMPUTED_VALUE"""),0.0)</f>
        <v>0</v>
      </c>
      <c r="V84" s="87">
        <f>IFERROR(__xludf.DUMMYFUNCTION("""COMPUTED_VALUE"""),0.0)</f>
        <v>0</v>
      </c>
      <c r="W84" s="87">
        <f>IFERROR(__xludf.DUMMYFUNCTION("""COMPUTED_VALUE"""),0.0)</f>
        <v>0</v>
      </c>
      <c r="X84" s="88"/>
      <c r="Y84" s="74"/>
      <c r="Z84" s="74"/>
    </row>
    <row r="85">
      <c r="B85" s="74" t="str">
        <f>IFERROR(__xludf.DUMMYFUNCTION("""COMPUTED_VALUE"""),"1082")</f>
        <v>1082</v>
      </c>
      <c r="C85" s="74"/>
      <c r="D85" s="74" t="str">
        <f>IFERROR(__xludf.DUMMYFUNCTION("""COMPUTED_VALUE"""),"\\MCA-S\mk\2_BM\0_BMat\08_PYM\Inventario\excel\Imagen de refacciones\Ollas revolvedoras\Balero para reductor ZF (1)")</f>
        <v>\\MCA-S\mk\2_BM\0_BMat\08_PYM\Inventario\excel\Imagen de refacciones\Ollas revolvedoras\Balero para reductor ZF (1)</v>
      </c>
      <c r="E85" s="74"/>
      <c r="F85" s="74" t="str">
        <f>IFERROR(__xludf.DUMMYFUNCTION("""COMPUTED_VALUE"""),"Balero para reductor ZF")</f>
        <v>Balero para reductor ZF</v>
      </c>
      <c r="G85" s="74"/>
      <c r="H85" s="74"/>
      <c r="I85" s="74" t="str">
        <f>IFERROR(__xludf.DUMMYFUNCTION("""COMPUTED_VALUE"""),"0750-116-227")</f>
        <v>0750-116-227</v>
      </c>
      <c r="J85" s="74"/>
      <c r="K85" s="74" t="str">
        <f>IFERROR(__xludf.DUMMYFUNCTION("""COMPUTED_VALUE"""),"Olla Revolvedora")</f>
        <v>Olla Revolvedora</v>
      </c>
      <c r="L85" s="74" t="str">
        <f>IFERROR(__xludf.DUMMYFUNCTION("""COMPUTED_VALUE"""),"Transmisión mecánica")</f>
        <v>Transmisión mecánica</v>
      </c>
      <c r="M85" s="74" t="str">
        <f>IFERROR(__xludf.DUMMYFUNCTION("""COMPUTED_VALUE"""),"Sin Asignar")</f>
        <v>Sin Asignar</v>
      </c>
      <c r="N85" s="87">
        <f>IFERROR(__xludf.DUMMYFUNCTION("""COMPUTED_VALUE"""),0.0)</f>
        <v>0</v>
      </c>
      <c r="O85" s="74"/>
      <c r="P85" s="74" t="str">
        <f>IFERROR(__xludf.DUMMYFUNCTION("""COMPUTED_VALUE"""),"No Available")</f>
        <v>No Available</v>
      </c>
      <c r="Q85" s="74"/>
      <c r="R85" s="74"/>
      <c r="S85" s="87">
        <f>IFERROR(__xludf.DUMMYFUNCTION("""COMPUTED_VALUE"""),0.0)</f>
        <v>0</v>
      </c>
      <c r="T85" s="87">
        <f>IFERROR(__xludf.DUMMYFUNCTION("""COMPUTED_VALUE"""),0.0)</f>
        <v>0</v>
      </c>
      <c r="U85" s="87">
        <f>IFERROR(__xludf.DUMMYFUNCTION("""COMPUTED_VALUE"""),0.0)</f>
        <v>0</v>
      </c>
      <c r="V85" s="87">
        <f>IFERROR(__xludf.DUMMYFUNCTION("""COMPUTED_VALUE"""),0.0)</f>
        <v>0</v>
      </c>
      <c r="W85" s="87">
        <f>IFERROR(__xludf.DUMMYFUNCTION("""COMPUTED_VALUE"""),0.0)</f>
        <v>0</v>
      </c>
      <c r="X85" s="88"/>
      <c r="Y85" s="74"/>
      <c r="Z85" s="74"/>
    </row>
    <row r="86">
      <c r="B86" s="74" t="str">
        <f>IFERROR(__xludf.DUMMYFUNCTION("""COMPUTED_VALUE"""),"1083")</f>
        <v>1083</v>
      </c>
      <c r="C86" s="74" t="str">
        <f>IFERROR(__xludf.DUMMYFUNCTION("""COMPUTED_VALUE"""),"75045891083")</f>
        <v>75045891083</v>
      </c>
      <c r="D86" s="74" t="str">
        <f>IFERROR(__xludf.DUMMYFUNCTION("""COMPUTED_VALUE"""),"\\MCA-S\mk\2_BM\0_BMat\08_PYM\Inventario\excel\Imagen de refacciones\Ollas revolvedoras\Empaque para reductor ZF")</f>
        <v>\\MCA-S\mk\2_BM\0_BMat\08_PYM\Inventario\excel\Imagen de refacciones\Ollas revolvedoras\Empaque para reductor ZF</v>
      </c>
      <c r="E86" s="74" t="str">
        <f>IFERROR(__xludf.DUMMYFUNCTION("""COMPUTED_VALUE"""),"GEARBOX GASKET")</f>
        <v>GEARBOX GASKET</v>
      </c>
      <c r="F86" s="74" t="str">
        <f>IFERROR(__xludf.DUMMYFUNCTION("""COMPUTED_VALUE"""),"EMPAQUE REDUCTOR ZF")</f>
        <v>EMPAQUE REDUCTOR ZF</v>
      </c>
      <c r="G86" s="74"/>
      <c r="H86" s="74"/>
      <c r="I86" s="74" t="str">
        <f>IFERROR(__xludf.DUMMYFUNCTION("""COMPUTED_VALUE"""),"4108-306-172")</f>
        <v>4108-306-172</v>
      </c>
      <c r="J86" s="74" t="str">
        <f>IFERROR(__xludf.DUMMYFUNCTION("""COMPUTED_VALUE"""),"4108306172")</f>
        <v>4108306172</v>
      </c>
      <c r="K86" s="74" t="str">
        <f>IFERROR(__xludf.DUMMYFUNCTION("""COMPUTED_VALUE"""),"Olla Revolvedora")</f>
        <v>Olla Revolvedora</v>
      </c>
      <c r="L86" s="74" t="str">
        <f>IFERROR(__xludf.DUMMYFUNCTION("""COMPUTED_VALUE"""),"HIDRAULICO")</f>
        <v>HIDRAULICO</v>
      </c>
      <c r="M86" s="74" t="str">
        <f>IFERROR(__xludf.DUMMYFUNCTION("""COMPUTED_VALUE"""),"EMPAQUES")</f>
        <v>EMPAQUES</v>
      </c>
      <c r="N86" s="87">
        <f>IFERROR(__xludf.DUMMYFUNCTION("""COMPUTED_VALUE"""),0.0)</f>
        <v>0</v>
      </c>
      <c r="O86" s="74"/>
      <c r="P86" s="74" t="str">
        <f>IFERROR(__xludf.DUMMYFUNCTION("""COMPUTED_VALUE"""),"To Re-purchase")</f>
        <v>To Re-purchase</v>
      </c>
      <c r="Q86" s="74"/>
      <c r="R86" s="74"/>
      <c r="S86" s="87">
        <f>IFERROR(__xludf.DUMMYFUNCTION("""COMPUTED_VALUE"""),0.0)</f>
        <v>0</v>
      </c>
      <c r="T86" s="87">
        <f>IFERROR(__xludf.DUMMYFUNCTION("""COMPUTED_VALUE"""),0.0)</f>
        <v>0</v>
      </c>
      <c r="U86" s="87">
        <f>IFERROR(__xludf.DUMMYFUNCTION("""COMPUTED_VALUE"""),0.0)</f>
        <v>0</v>
      </c>
      <c r="V86" s="87">
        <f>IFERROR(__xludf.DUMMYFUNCTION("""COMPUTED_VALUE"""),0.0)</f>
        <v>0</v>
      </c>
      <c r="W86" s="87">
        <f>IFERROR(__xludf.DUMMYFUNCTION("""COMPUTED_VALUE"""),0.0)</f>
        <v>0</v>
      </c>
      <c r="X86" s="88"/>
      <c r="Y86" s="74"/>
      <c r="Z86" s="74"/>
    </row>
    <row r="87">
      <c r="B87" s="74" t="str">
        <f>IFERROR(__xludf.DUMMYFUNCTION("""COMPUTED_VALUE"""),"1084")</f>
        <v>1084</v>
      </c>
      <c r="C87" s="74" t="str">
        <f>IFERROR(__xludf.DUMMYFUNCTION("""COMPUTED_VALUE"""),"75045891084")</f>
        <v>75045891084</v>
      </c>
      <c r="D87" s="74" t="str">
        <f>IFERROR(__xludf.DUMMYFUNCTION("""COMPUTED_VALUE"""),"\\MCA-S\mk\2_BM\0_BMat\08_PYM\Inventario\excel\Imagen de refacciones\Ollas revolvedoras\barra dentada de reductor ZF")</f>
        <v>\\MCA-S\mk\2_BM\0_BMat\08_PYM\Inventario\excel\Imagen de refacciones\Ollas revolvedoras\barra dentada de reductor ZF</v>
      </c>
      <c r="E87" s="74" t="str">
        <f>IFERROR(__xludf.DUMMYFUNCTION("""COMPUTED_VALUE"""),"ZF SUNGEAR FOR P-7300")</f>
        <v>ZF SUNGEAR FOR P-7300</v>
      </c>
      <c r="F87" s="74" t="str">
        <f>IFERROR(__xludf.DUMMYFUNCTION("""COMPUTED_VALUE"""),"BARRA DENTADA REDUCTOR ZF")</f>
        <v>BARRA DENTADA REDUCTOR ZF</v>
      </c>
      <c r="G87" s="74"/>
      <c r="H87" s="74"/>
      <c r="I87" s="74" t="str">
        <f>IFERROR(__xludf.DUMMYFUNCTION("""COMPUTED_VALUE"""),"4108-303-296")</f>
        <v>4108-303-296</v>
      </c>
      <c r="J87" s="74" t="str">
        <f>IFERROR(__xludf.DUMMYFUNCTION("""COMPUTED_VALUE"""),"4108303296")</f>
        <v>4108303296</v>
      </c>
      <c r="K87" s="74" t="str">
        <f>IFERROR(__xludf.DUMMYFUNCTION("""COMPUTED_VALUE"""),"Olla Revolvedora")</f>
        <v>Olla Revolvedora</v>
      </c>
      <c r="L87" s="74" t="str">
        <f>IFERROR(__xludf.DUMMYFUNCTION("""COMPUTED_VALUE"""),"HIDRAULICO")</f>
        <v>HIDRAULICO</v>
      </c>
      <c r="M87" s="74" t="str">
        <f>IFERROR(__xludf.DUMMYFUNCTION("""COMPUTED_VALUE"""),"Sin Asignar")</f>
        <v>Sin Asignar</v>
      </c>
      <c r="N87" s="87">
        <f>IFERROR(__xludf.DUMMYFUNCTION("""COMPUTED_VALUE"""),0.0)</f>
        <v>0</v>
      </c>
      <c r="O87" s="74"/>
      <c r="P87" s="74" t="str">
        <f>IFERROR(__xludf.DUMMYFUNCTION("""COMPUTED_VALUE"""),"To Re-purchase")</f>
        <v>To Re-purchase</v>
      </c>
      <c r="Q87" s="74"/>
      <c r="R87" s="74"/>
      <c r="S87" s="87">
        <f>IFERROR(__xludf.DUMMYFUNCTION("""COMPUTED_VALUE"""),0.0)</f>
        <v>0</v>
      </c>
      <c r="T87" s="87">
        <f>IFERROR(__xludf.DUMMYFUNCTION("""COMPUTED_VALUE"""),0.0)</f>
        <v>0</v>
      </c>
      <c r="U87" s="87">
        <f>IFERROR(__xludf.DUMMYFUNCTION("""COMPUTED_VALUE"""),0.0)</f>
        <v>0</v>
      </c>
      <c r="V87" s="87">
        <f>IFERROR(__xludf.DUMMYFUNCTION("""COMPUTED_VALUE"""),0.0)</f>
        <v>0</v>
      </c>
      <c r="W87" s="87">
        <f>IFERROR(__xludf.DUMMYFUNCTION("""COMPUTED_VALUE"""),0.0)</f>
        <v>0</v>
      </c>
      <c r="X87" s="88"/>
      <c r="Y87" s="74"/>
      <c r="Z87" s="74"/>
    </row>
    <row r="88">
      <c r="B88" s="74" t="str">
        <f>IFERROR(__xludf.DUMMYFUNCTION("""COMPUTED_VALUE"""),"1085")</f>
        <v>1085</v>
      </c>
      <c r="C88" s="74"/>
      <c r="D88" s="74" t="str">
        <f>IFERROR(__xludf.DUMMYFUNCTION("""COMPUTED_VALUE"""),"\\MCA-S\mk\2_BM\0_BMat\08_PYM\Inventario\excel\Imagen de refacciones\Ollas revolvedoras\Balero rotula para reductor")</f>
        <v>\\MCA-S\mk\2_BM\0_BMat\08_PYM\Inventario\excel\Imagen de refacciones\Ollas revolvedoras\Balero rotula para reductor</v>
      </c>
      <c r="E88" s="74"/>
      <c r="F88" s="74" t="str">
        <f>IFERROR(__xludf.DUMMYFUNCTION("""COMPUTED_VALUE"""),"Balero rotula para reductor")</f>
        <v>Balero rotula para reductor</v>
      </c>
      <c r="G88" s="74"/>
      <c r="H88" s="74"/>
      <c r="I88" s="74" t="str">
        <f>IFERROR(__xludf.DUMMYFUNCTION("""COMPUTED_VALUE"""),"0635-285-014")</f>
        <v>0635-285-014</v>
      </c>
      <c r="J88" s="74"/>
      <c r="K88" s="74" t="str">
        <f>IFERROR(__xludf.DUMMYFUNCTION("""COMPUTED_VALUE"""),"Olla Revolvedora")</f>
        <v>Olla Revolvedora</v>
      </c>
      <c r="L88" s="74" t="str">
        <f>IFERROR(__xludf.DUMMYFUNCTION("""COMPUTED_VALUE"""),"Transmisión mecánica")</f>
        <v>Transmisión mecánica</v>
      </c>
      <c r="M88" s="74" t="str">
        <f>IFERROR(__xludf.DUMMYFUNCTION("""COMPUTED_VALUE"""),"Sin Asignar")</f>
        <v>Sin Asignar</v>
      </c>
      <c r="N88" s="87">
        <f>IFERROR(__xludf.DUMMYFUNCTION("""COMPUTED_VALUE"""),0.0)</f>
        <v>0</v>
      </c>
      <c r="O88" s="74"/>
      <c r="P88" s="74" t="str">
        <f>IFERROR(__xludf.DUMMYFUNCTION("""COMPUTED_VALUE"""),"No Available")</f>
        <v>No Available</v>
      </c>
      <c r="Q88" s="74"/>
      <c r="R88" s="74"/>
      <c r="S88" s="87">
        <f>IFERROR(__xludf.DUMMYFUNCTION("""COMPUTED_VALUE"""),0.0)</f>
        <v>0</v>
      </c>
      <c r="T88" s="87">
        <f>IFERROR(__xludf.DUMMYFUNCTION("""COMPUTED_VALUE"""),0.0)</f>
        <v>0</v>
      </c>
      <c r="U88" s="87">
        <f>IFERROR(__xludf.DUMMYFUNCTION("""COMPUTED_VALUE"""),0.0)</f>
        <v>0</v>
      </c>
      <c r="V88" s="87">
        <f>IFERROR(__xludf.DUMMYFUNCTION("""COMPUTED_VALUE"""),0.0)</f>
        <v>0</v>
      </c>
      <c r="W88" s="87">
        <f>IFERROR(__xludf.DUMMYFUNCTION("""COMPUTED_VALUE"""),0.0)</f>
        <v>0</v>
      </c>
      <c r="X88" s="88"/>
      <c r="Y88" s="74"/>
      <c r="Z88" s="74"/>
    </row>
    <row r="89">
      <c r="B89" s="74" t="str">
        <f>IFERROR(__xludf.DUMMYFUNCTION("""COMPUTED_VALUE"""),"1086")</f>
        <v>1086</v>
      </c>
      <c r="C89" s="74" t="str">
        <f>IFERROR(__xludf.DUMMYFUNCTION("""COMPUTED_VALUE"""),"75045891086")</f>
        <v>75045891086</v>
      </c>
      <c r="D89" s="74" t="str">
        <f>IFERROR(__xludf.DUMMYFUNCTION("""COMPUTED_VALUE"""),"\\MCA-S\mk\2_BM\0_BMat\08_PYM\Inventario\excel\Imagen de refacciones\Ollas revolvedoras\Balero rotula para reductor (1)")</f>
        <v>\\MCA-S\mk\2_BM\0_BMat\08_PYM\Inventario\excel\Imagen de refacciones\Ollas revolvedoras\Balero rotula para reductor (1)</v>
      </c>
      <c r="E89" s="74" t="str">
        <f>IFERROR(__xludf.DUMMYFUNCTION("""COMPUTED_VALUE"""),"ZF 1.5748IN INNR DIAMETER BALL BUSHING")</f>
        <v>ZF 1.5748IN INNR DIAMETER BALL BUSHING</v>
      </c>
      <c r="F89" s="74" t="str">
        <f>IFERROR(__xludf.DUMMYFUNCTION("""COMPUTED_VALUE"""),"BALERO ROTULA PARA REDUCTOR")</f>
        <v>BALERO ROTULA PARA REDUCTOR</v>
      </c>
      <c r="G89" s="74"/>
      <c r="H89" s="74"/>
      <c r="I89" s="74" t="str">
        <f>IFERROR(__xludf.DUMMYFUNCTION("""COMPUTED_VALUE"""),"0635-285-013")</f>
        <v>0635-285-013</v>
      </c>
      <c r="J89" s="74" t="str">
        <f>IFERROR(__xludf.DUMMYFUNCTION("""COMPUTED_VALUE"""),"0635285013")</f>
        <v>0635285013</v>
      </c>
      <c r="K89" s="74" t="str">
        <f>IFERROR(__xludf.DUMMYFUNCTION("""COMPUTED_VALUE"""),"Olla Revolvedora")</f>
        <v>Olla Revolvedora</v>
      </c>
      <c r="L89" s="74" t="str">
        <f>IFERROR(__xludf.DUMMYFUNCTION("""COMPUTED_VALUE"""),"Transmisión mecánica")</f>
        <v>Transmisión mecánica</v>
      </c>
      <c r="M89" s="74" t="str">
        <f>IFERROR(__xludf.DUMMYFUNCTION("""COMPUTED_VALUE"""),"BALEROS")</f>
        <v>BALEROS</v>
      </c>
      <c r="N89" s="87">
        <f>IFERROR(__xludf.DUMMYFUNCTION("""COMPUTED_VALUE"""),0.0)</f>
        <v>0</v>
      </c>
      <c r="O89" s="74"/>
      <c r="P89" s="74" t="str">
        <f>IFERROR(__xludf.DUMMYFUNCTION("""COMPUTED_VALUE"""),"To Re-purchase")</f>
        <v>To Re-purchase</v>
      </c>
      <c r="Q89" s="74"/>
      <c r="R89" s="74"/>
      <c r="S89" s="87">
        <f>IFERROR(__xludf.DUMMYFUNCTION("""COMPUTED_VALUE"""),0.0)</f>
        <v>0</v>
      </c>
      <c r="T89" s="87">
        <f>IFERROR(__xludf.DUMMYFUNCTION("""COMPUTED_VALUE"""),0.0)</f>
        <v>0</v>
      </c>
      <c r="U89" s="87">
        <f>IFERROR(__xludf.DUMMYFUNCTION("""COMPUTED_VALUE"""),0.0)</f>
        <v>0</v>
      </c>
      <c r="V89" s="87">
        <f>IFERROR(__xludf.DUMMYFUNCTION("""COMPUTED_VALUE"""),0.0)</f>
        <v>0</v>
      </c>
      <c r="W89" s="87">
        <f>IFERROR(__xludf.DUMMYFUNCTION("""COMPUTED_VALUE"""),0.0)</f>
        <v>0</v>
      </c>
      <c r="X89" s="88"/>
      <c r="Y89" s="74"/>
      <c r="Z89" s="74"/>
    </row>
    <row r="90">
      <c r="B90" s="74" t="str">
        <f>IFERROR(__xludf.DUMMYFUNCTION("""COMPUTED_VALUE"""),"1087")</f>
        <v>1087</v>
      </c>
      <c r="C90" s="74" t="str">
        <f>IFERROR(__xludf.DUMMYFUNCTION("""COMPUTED_VALUE"""),"75045891087")</f>
        <v>75045891087</v>
      </c>
      <c r="D90" s="74" t="str">
        <f>IFERROR(__xludf.DUMMYFUNCTION("""COMPUTED_VALUE"""),"\\MCA-S\mk\2_BM\0_BMat\08_PYM\Inventario\excel\Imagen de refacciones\Ollas revolvedoras\Manguera de 3_4 para agua 8 mts")</f>
        <v>\\MCA-S\mk\2_BM\0_BMat\08_PYM\Inventario\excel\Imagen de refacciones\Ollas revolvedoras\Manguera de 3_4 para agua 8 mts</v>
      </c>
      <c r="E90" s="74"/>
      <c r="F90" s="74" t="str">
        <f>IFERROR(__xludf.DUMMYFUNCTION("""COMPUTED_VALUE"""),"MANGUERA 3/4"" PARA AGUA 8MTS")</f>
        <v>MANGUERA 3/4" PARA AGUA 8MTS</v>
      </c>
      <c r="G90" s="74"/>
      <c r="H90" s="74"/>
      <c r="I90" s="74" t="str">
        <f>IFERROR(__xludf.DUMMYFUNCTION("""COMPUTED_VALUE"""),"A121045")</f>
        <v>A121045</v>
      </c>
      <c r="J90" s="74"/>
      <c r="K90" s="74" t="str">
        <f>IFERROR(__xludf.DUMMYFUNCTION("""COMPUTED_VALUE"""),"Olla Revolvedora")</f>
        <v>Olla Revolvedora</v>
      </c>
      <c r="L90" s="74" t="str">
        <f>IFERROR(__xludf.DUMMYFUNCTION("""COMPUTED_VALUE"""),"Componentes hidráulicos")</f>
        <v>Componentes hidráulicos</v>
      </c>
      <c r="M90" s="74" t="str">
        <f>IFERROR(__xludf.DUMMYFUNCTION("""COMPUTED_VALUE"""),"Sin Asignar")</f>
        <v>Sin Asignar</v>
      </c>
      <c r="N90" s="87">
        <f>IFERROR(__xludf.DUMMYFUNCTION("""COMPUTED_VALUE"""),0.0)</f>
        <v>0</v>
      </c>
      <c r="O90" s="74"/>
      <c r="P90" s="74" t="str">
        <f>IFERROR(__xludf.DUMMYFUNCTION("""COMPUTED_VALUE"""),"To Re-purchase")</f>
        <v>To Re-purchase</v>
      </c>
      <c r="Q90" s="74"/>
      <c r="R90" s="74"/>
      <c r="S90" s="87">
        <f>IFERROR(__xludf.DUMMYFUNCTION("""COMPUTED_VALUE"""),0.0)</f>
        <v>0</v>
      </c>
      <c r="T90" s="87">
        <f>IFERROR(__xludf.DUMMYFUNCTION("""COMPUTED_VALUE"""),0.0)</f>
        <v>0</v>
      </c>
      <c r="U90" s="87">
        <f>IFERROR(__xludf.DUMMYFUNCTION("""COMPUTED_VALUE"""),0.0)</f>
        <v>0</v>
      </c>
      <c r="V90" s="87">
        <f>IFERROR(__xludf.DUMMYFUNCTION("""COMPUTED_VALUE"""),0.0)</f>
        <v>0</v>
      </c>
      <c r="W90" s="87">
        <f>IFERROR(__xludf.DUMMYFUNCTION("""COMPUTED_VALUE"""),0.0)</f>
        <v>0</v>
      </c>
      <c r="X90" s="88"/>
      <c r="Y90" s="74"/>
      <c r="Z90" s="74"/>
    </row>
    <row r="91">
      <c r="B91" s="74" t="str">
        <f>IFERROR(__xludf.DUMMYFUNCTION("""COMPUTED_VALUE"""),"1088")</f>
        <v>1088</v>
      </c>
      <c r="C91" s="74" t="str">
        <f>IFERROR(__xludf.DUMMYFUNCTION("""COMPUTED_VALUE"""),"75045891088")</f>
        <v>75045891088</v>
      </c>
      <c r="D91" s="74" t="str">
        <f>IFERROR(__xludf.DUMMYFUNCTION("""COMPUTED_VALUE"""),"\\MCA-S\mk\2_BM\0_BMat\08_PYM\Inventario\excel\Imagen de refacciones\Ollas revolvedoras\Anillo de respaldo para redictpr ZF")</f>
        <v>\\MCA-S\mk\2_BM\0_BMat\08_PYM\Inventario\excel\Imagen de refacciones\Ollas revolvedoras\Anillo de respaldo para redictpr ZF</v>
      </c>
      <c r="E91" s="74" t="str">
        <f>IFERROR(__xludf.DUMMYFUNCTION("""COMPUTED_VALUE"""),"ZF GEARBOX MAIN SEAL RING")</f>
        <v>ZF GEARBOX MAIN SEAL RING</v>
      </c>
      <c r="F91" s="74" t="str">
        <f>IFERROR(__xludf.DUMMYFUNCTION("""COMPUTED_VALUE"""),"ANILLO RESPALDO PARA REDUCTOR ZF")</f>
        <v>ANILLO RESPALDO PARA REDUCTOR ZF</v>
      </c>
      <c r="G91" s="74"/>
      <c r="H91" s="74"/>
      <c r="I91" s="74" t="str">
        <f>IFERROR(__xludf.DUMMYFUNCTION("""COMPUTED_VALUE"""),"4108-306-102")</f>
        <v>4108-306-102</v>
      </c>
      <c r="J91" s="74"/>
      <c r="K91" s="74" t="str">
        <f>IFERROR(__xludf.DUMMYFUNCTION("""COMPUTED_VALUE"""),"Olla Revolvedora")</f>
        <v>Olla Revolvedora</v>
      </c>
      <c r="L91" s="74" t="str">
        <f>IFERROR(__xludf.DUMMYFUNCTION("""COMPUTED_VALUE"""),"Sellos y retenes")</f>
        <v>Sellos y retenes</v>
      </c>
      <c r="M91" s="74" t="str">
        <f>IFERROR(__xludf.DUMMYFUNCTION("""COMPUTED_VALUE"""),"Sin Asignar")</f>
        <v>Sin Asignar</v>
      </c>
      <c r="N91" s="87">
        <f>IFERROR(__xludf.DUMMYFUNCTION("""COMPUTED_VALUE"""),0.0)</f>
        <v>0</v>
      </c>
      <c r="O91" s="74"/>
      <c r="P91" s="74" t="str">
        <f>IFERROR(__xludf.DUMMYFUNCTION("""COMPUTED_VALUE"""),"To Re-purchase")</f>
        <v>To Re-purchase</v>
      </c>
      <c r="Q91" s="74"/>
      <c r="R91" s="74"/>
      <c r="S91" s="87">
        <f>IFERROR(__xludf.DUMMYFUNCTION("""COMPUTED_VALUE"""),0.0)</f>
        <v>0</v>
      </c>
      <c r="T91" s="87">
        <f>IFERROR(__xludf.DUMMYFUNCTION("""COMPUTED_VALUE"""),0.0)</f>
        <v>0</v>
      </c>
      <c r="U91" s="87">
        <f>IFERROR(__xludf.DUMMYFUNCTION("""COMPUTED_VALUE"""),0.0)</f>
        <v>0</v>
      </c>
      <c r="V91" s="87">
        <f>IFERROR(__xludf.DUMMYFUNCTION("""COMPUTED_VALUE"""),0.0)</f>
        <v>0</v>
      </c>
      <c r="W91" s="87">
        <f>IFERROR(__xludf.DUMMYFUNCTION("""COMPUTED_VALUE"""),0.0)</f>
        <v>0</v>
      </c>
      <c r="X91" s="88"/>
      <c r="Y91" s="74"/>
      <c r="Z91" s="74"/>
    </row>
    <row r="92">
      <c r="B92" s="74" t="str">
        <f>IFERROR(__xludf.DUMMYFUNCTION("""COMPUTED_VALUE"""),"1089")</f>
        <v>1089</v>
      </c>
      <c r="C92" s="74" t="str">
        <f>IFERROR(__xludf.DUMMYFUNCTION("""COMPUTED_VALUE"""),"75045891089")</f>
        <v>75045891089</v>
      </c>
      <c r="D92" s="74" t="str">
        <f>IFERROR(__xludf.DUMMYFUNCTION("""COMPUTED_VALUE"""),"\\MCA-S\mk\2_BM\0_BMat\08_PYM\Inventario\excel\Imagen de refacciones\Ollas revolvedoras\control mtm con 3 switches")</f>
        <v>\\MCA-S\mk\2_BM\0_BMat\08_PYM\Inventario\excel\Imagen de refacciones\Ollas revolvedoras\control mtm con 3 switches</v>
      </c>
      <c r="E92" s="74"/>
      <c r="F92" s="74" t="str">
        <f>IFERROR(__xludf.DUMMYFUNCTION("""COMPUTED_VALUE"""),"CONTROL MTM 3 SWITCHES")</f>
        <v>CONTROL MTM 3 SWITCHES</v>
      </c>
      <c r="G92" s="74"/>
      <c r="H92" s="74"/>
      <c r="I92" s="74" t="str">
        <f>IFERROR(__xludf.DUMMYFUNCTION("""COMPUTED_VALUE"""),"108052")</f>
        <v>108052</v>
      </c>
      <c r="J92" s="74"/>
      <c r="K92" s="74" t="str">
        <f>IFERROR(__xludf.DUMMYFUNCTION("""COMPUTED_VALUE"""),"Olla Revolvedora")</f>
        <v>Olla Revolvedora</v>
      </c>
      <c r="L92" s="74" t="str">
        <f>IFERROR(__xludf.DUMMYFUNCTION("""COMPUTED_VALUE"""),"Componentes eléctricos")</f>
        <v>Componentes eléctricos</v>
      </c>
      <c r="M92" s="74" t="str">
        <f>IFERROR(__xludf.DUMMYFUNCTION("""COMPUTED_VALUE"""),"Sin Asignar")</f>
        <v>Sin Asignar</v>
      </c>
      <c r="N92" s="87">
        <f>IFERROR(__xludf.DUMMYFUNCTION("""COMPUTED_VALUE"""),0.0)</f>
        <v>0</v>
      </c>
      <c r="O92" s="74"/>
      <c r="P92" s="74" t="str">
        <f>IFERROR(__xludf.DUMMYFUNCTION("""COMPUTED_VALUE"""),"To Re-purchase")</f>
        <v>To Re-purchase</v>
      </c>
      <c r="Q92" s="74"/>
      <c r="R92" s="74"/>
      <c r="S92" s="87">
        <f>IFERROR(__xludf.DUMMYFUNCTION("""COMPUTED_VALUE"""),0.0)</f>
        <v>0</v>
      </c>
      <c r="T92" s="87">
        <f>IFERROR(__xludf.DUMMYFUNCTION("""COMPUTED_VALUE"""),0.0)</f>
        <v>0</v>
      </c>
      <c r="U92" s="87">
        <f>IFERROR(__xludf.DUMMYFUNCTION("""COMPUTED_VALUE"""),0.0)</f>
        <v>0</v>
      </c>
      <c r="V92" s="87">
        <f>IFERROR(__xludf.DUMMYFUNCTION("""COMPUTED_VALUE"""),0.0)</f>
        <v>0</v>
      </c>
      <c r="W92" s="87">
        <f>IFERROR(__xludf.DUMMYFUNCTION("""COMPUTED_VALUE"""),0.0)</f>
        <v>0</v>
      </c>
      <c r="X92" s="88"/>
      <c r="Y92" s="74"/>
      <c r="Z92" s="74"/>
    </row>
    <row r="93">
      <c r="B93" s="74" t="str">
        <f>IFERROR(__xludf.DUMMYFUNCTION("""COMPUTED_VALUE"""),"1090")</f>
        <v>1090</v>
      </c>
      <c r="C93" s="74" t="str">
        <f>IFERROR(__xludf.DUMMYFUNCTION("""COMPUTED_VALUE"""),"75045891090")</f>
        <v>75045891090</v>
      </c>
      <c r="D93" s="74" t="str">
        <f>IFERROR(__xludf.DUMMYFUNCTION("""COMPUTED_VALUE"""),"\\MCA-S\mk\2_BM\0_BMat\08_PYM\Inventario\excel\Imagen de refacciones\Ollas revolvedoras\Foco auxiliar")</f>
        <v>\\MCA-S\mk\2_BM\0_BMat\08_PYM\Inventario\excel\Imagen de refacciones\Ollas revolvedoras\Foco auxiliar</v>
      </c>
      <c r="E93" s="74"/>
      <c r="F93" s="74" t="str">
        <f>IFERROR(__xludf.DUMMYFUNCTION("""COMPUTED_VALUE"""),"FOCO AUXILIAR")</f>
        <v>FOCO AUXILIAR</v>
      </c>
      <c r="G93" s="74"/>
      <c r="H93" s="74"/>
      <c r="I93" s="74" t="str">
        <f>IFERROR(__xludf.DUMMYFUNCTION("""COMPUTED_VALUE"""),"10007247")</f>
        <v>10007247</v>
      </c>
      <c r="J93" s="74"/>
      <c r="K93" s="74" t="str">
        <f>IFERROR(__xludf.DUMMYFUNCTION("""COMPUTED_VALUE"""),"Olla Revolvedora")</f>
        <v>Olla Revolvedora</v>
      </c>
      <c r="L93" s="74" t="str">
        <f>IFERROR(__xludf.DUMMYFUNCTION("""COMPUTED_VALUE"""),"Componentes eléctricos")</f>
        <v>Componentes eléctricos</v>
      </c>
      <c r="M93" s="74" t="str">
        <f>IFERROR(__xludf.DUMMYFUNCTION("""COMPUTED_VALUE"""),"Sin Asignar")</f>
        <v>Sin Asignar</v>
      </c>
      <c r="N93" s="87">
        <f>IFERROR(__xludf.DUMMYFUNCTION("""COMPUTED_VALUE"""),0.0)</f>
        <v>0</v>
      </c>
      <c r="O93" s="74"/>
      <c r="P93" s="74" t="str">
        <f>IFERROR(__xludf.DUMMYFUNCTION("""COMPUTED_VALUE"""),"To Re-purchase")</f>
        <v>To Re-purchase</v>
      </c>
      <c r="Q93" s="74"/>
      <c r="R93" s="74"/>
      <c r="S93" s="87">
        <f>IFERROR(__xludf.DUMMYFUNCTION("""COMPUTED_VALUE"""),0.0)</f>
        <v>0</v>
      </c>
      <c r="T93" s="87">
        <f>IFERROR(__xludf.DUMMYFUNCTION("""COMPUTED_VALUE"""),0.0)</f>
        <v>0</v>
      </c>
      <c r="U93" s="87">
        <f>IFERROR(__xludf.DUMMYFUNCTION("""COMPUTED_VALUE"""),0.0)</f>
        <v>0</v>
      </c>
      <c r="V93" s="87">
        <f>IFERROR(__xludf.DUMMYFUNCTION("""COMPUTED_VALUE"""),0.0)</f>
        <v>0</v>
      </c>
      <c r="W93" s="87">
        <f>IFERROR(__xludf.DUMMYFUNCTION("""COMPUTED_VALUE"""),0.0)</f>
        <v>0</v>
      </c>
      <c r="X93" s="88"/>
      <c r="Y93" s="74"/>
      <c r="Z93" s="74"/>
    </row>
    <row r="94">
      <c r="B94" s="74" t="str">
        <f>IFERROR(__xludf.DUMMYFUNCTION("""COMPUTED_VALUE"""),"1091")</f>
        <v>1091</v>
      </c>
      <c r="C94" s="74" t="str">
        <f>IFERROR(__xludf.DUMMYFUNCTION("""COMPUTED_VALUE"""),"75045891091")</f>
        <v>75045891091</v>
      </c>
      <c r="D94" s="74" t="str">
        <f>IFERROR(__xludf.DUMMYFUNCTION("""COMPUTED_VALUE"""),"\\MCA-S\mk\2_BM\0_BMat\08_PYM\Inventario\excel\Imagen de refacciones\Ollas revolvedoras\Foco auxiliar LED")</f>
        <v>\\MCA-S\mk\2_BM\0_BMat\08_PYM\Inventario\excel\Imagen de refacciones\Ollas revolvedoras\Foco auxiliar LED</v>
      </c>
      <c r="E94" s="74"/>
      <c r="F94" s="74" t="str">
        <f>IFERROR(__xludf.DUMMYFUNCTION("""COMPUTED_VALUE"""),"FOCO AUXILIAR LED")</f>
        <v>FOCO AUXILIAR LED</v>
      </c>
      <c r="G94" s="74"/>
      <c r="H94" s="74"/>
      <c r="I94" s="74" t="str">
        <f>IFERROR(__xludf.DUMMYFUNCTION("""COMPUTED_VALUE"""),"L16-0069")</f>
        <v>L16-0069</v>
      </c>
      <c r="J94" s="74"/>
      <c r="K94" s="74" t="str">
        <f>IFERROR(__xludf.DUMMYFUNCTION("""COMPUTED_VALUE"""),"Olla Revolvedora")</f>
        <v>Olla Revolvedora</v>
      </c>
      <c r="L94" s="74" t="str">
        <f>IFERROR(__xludf.DUMMYFUNCTION("""COMPUTED_VALUE"""),"Componentes eléctricos")</f>
        <v>Componentes eléctricos</v>
      </c>
      <c r="M94" s="74" t="str">
        <f>IFERROR(__xludf.DUMMYFUNCTION("""COMPUTED_VALUE"""),"Sin Asignar")</f>
        <v>Sin Asignar</v>
      </c>
      <c r="N94" s="87">
        <f>IFERROR(__xludf.DUMMYFUNCTION("""COMPUTED_VALUE"""),0.0)</f>
        <v>0</v>
      </c>
      <c r="O94" s="74"/>
      <c r="P94" s="74" t="str">
        <f>IFERROR(__xludf.DUMMYFUNCTION("""COMPUTED_VALUE"""),"To Re-purchase")</f>
        <v>To Re-purchase</v>
      </c>
      <c r="Q94" s="74"/>
      <c r="R94" s="74"/>
      <c r="S94" s="87">
        <f>IFERROR(__xludf.DUMMYFUNCTION("""COMPUTED_VALUE"""),0.0)</f>
        <v>0</v>
      </c>
      <c r="T94" s="87">
        <f>IFERROR(__xludf.DUMMYFUNCTION("""COMPUTED_VALUE"""),0.0)</f>
        <v>0</v>
      </c>
      <c r="U94" s="87">
        <f>IFERROR(__xludf.DUMMYFUNCTION("""COMPUTED_VALUE"""),0.0)</f>
        <v>0</v>
      </c>
      <c r="V94" s="87">
        <f>IFERROR(__xludf.DUMMYFUNCTION("""COMPUTED_VALUE"""),0.0)</f>
        <v>0</v>
      </c>
      <c r="W94" s="87">
        <f>IFERROR(__xludf.DUMMYFUNCTION("""COMPUTED_VALUE"""),0.0)</f>
        <v>0</v>
      </c>
      <c r="X94" s="88"/>
      <c r="Y94" s="74"/>
      <c r="Z94" s="74"/>
    </row>
    <row r="95">
      <c r="B95" s="74" t="str">
        <f>IFERROR(__xludf.DUMMYFUNCTION("""COMPUTED_VALUE"""),"1092")</f>
        <v>1092</v>
      </c>
      <c r="C95" s="74" t="str">
        <f>IFERROR(__xludf.DUMMYFUNCTION("""COMPUTED_VALUE"""),"75045891092")</f>
        <v>75045891092</v>
      </c>
      <c r="D95" s="74" t="str">
        <f>IFERROR(__xludf.DUMMYFUNCTION("""COMPUTED_VALUE"""),"\\MCA-S\mk\2_BM\0_BMat\08_PYM\Inventario\excel\Imagen de refacciones\Ollas revolvedoras\Olla con capacidad de 8 mt3")</f>
        <v>\\MCA-S\mk\2_BM\0_BMat\08_PYM\Inventario\excel\Imagen de refacciones\Ollas revolvedoras\Olla con capacidad de 8 mt3</v>
      </c>
      <c r="E95" s="74"/>
      <c r="F95" s="74" t="str">
        <f>IFERROR(__xludf.DUMMYFUNCTION("""COMPUTED_VALUE"""),"OLLA CAPACIDA 8MT3")</f>
        <v>OLLA CAPACIDA 8MT3</v>
      </c>
      <c r="G95" s="74"/>
      <c r="H95" s="74"/>
      <c r="I95" s="74" t="str">
        <f>IFERROR(__xludf.DUMMYFUNCTION("""COMPUTED_VALUE"""),"Olla")</f>
        <v>Olla</v>
      </c>
      <c r="J95" s="74"/>
      <c r="K95" s="74" t="str">
        <f>IFERROR(__xludf.DUMMYFUNCTION("""COMPUTED_VALUE"""),"Olla Revolvedora")</f>
        <v>Olla Revolvedora</v>
      </c>
      <c r="L95" s="74" t="str">
        <f>IFERROR(__xludf.DUMMYFUNCTION("""COMPUTED_VALUE"""),"Sistema de bombeo de concreto")</f>
        <v>Sistema de bombeo de concreto</v>
      </c>
      <c r="M95" s="74" t="str">
        <f>IFERROR(__xludf.DUMMYFUNCTION("""COMPUTED_VALUE"""),"Sin Asignar")</f>
        <v>Sin Asignar</v>
      </c>
      <c r="N95" s="87">
        <f>IFERROR(__xludf.DUMMYFUNCTION("""COMPUTED_VALUE"""),0.0)</f>
        <v>0</v>
      </c>
      <c r="O95" s="74"/>
      <c r="P95" s="74" t="str">
        <f>IFERROR(__xludf.DUMMYFUNCTION("""COMPUTED_VALUE"""),"To Re-purchase")</f>
        <v>To Re-purchase</v>
      </c>
      <c r="Q95" s="74"/>
      <c r="R95" s="74"/>
      <c r="S95" s="87">
        <f>IFERROR(__xludf.DUMMYFUNCTION("""COMPUTED_VALUE"""),0.0)</f>
        <v>0</v>
      </c>
      <c r="T95" s="87">
        <f>IFERROR(__xludf.DUMMYFUNCTION("""COMPUTED_VALUE"""),0.0)</f>
        <v>0</v>
      </c>
      <c r="U95" s="87">
        <f>IFERROR(__xludf.DUMMYFUNCTION("""COMPUTED_VALUE"""),0.0)</f>
        <v>0</v>
      </c>
      <c r="V95" s="87">
        <f>IFERROR(__xludf.DUMMYFUNCTION("""COMPUTED_VALUE"""),0.0)</f>
        <v>0</v>
      </c>
      <c r="W95" s="87">
        <f>IFERROR(__xludf.DUMMYFUNCTION("""COMPUTED_VALUE"""),0.0)</f>
        <v>0</v>
      </c>
      <c r="X95" s="88"/>
      <c r="Y95" s="74"/>
      <c r="Z95" s="74"/>
    </row>
    <row r="96">
      <c r="B96" s="74" t="str">
        <f>IFERROR(__xludf.DUMMYFUNCTION("""COMPUTED_VALUE"""),"1093")</f>
        <v>1093</v>
      </c>
      <c r="C96" s="74" t="str">
        <f>IFERROR(__xludf.DUMMYFUNCTION("""COMPUTED_VALUE"""),"75045891093")</f>
        <v>75045891093</v>
      </c>
      <c r="D96" s="74" t="str">
        <f>IFERROR(__xludf.DUMMYFUNCTION("""COMPUTED_VALUE"""),"\\MCA-S\mk\2_BM\0_BMat\08_PYM\Inventario\excel\Imagen de refacciones\Ollas revolvedoras\Tanque de agua 100 GAL")</f>
        <v>\\MCA-S\mk\2_BM\0_BMat\08_PYM\Inventario\excel\Imagen de refacciones\Ollas revolvedoras\Tanque de agua 100 GAL</v>
      </c>
      <c r="E96" s="74" t="str">
        <f>IFERROR(__xludf.DUMMYFUNCTION("""COMPUTED_VALUE"""),"WATER TANK 100GAL  ALUMINUM SF")</f>
        <v>WATER TANK 100GAL  ALUMINUM SF</v>
      </c>
      <c r="F96" s="74" t="str">
        <f>IFERROR(__xludf.DUMMYFUNCTION("""COMPUTED_VALUE"""),"TANQUE AGUA 100GAL")</f>
        <v>TANQUE AGUA 100GAL</v>
      </c>
      <c r="G96" s="74"/>
      <c r="H96" s="74"/>
      <c r="I96" s="74" t="str">
        <f>IFERROR(__xludf.DUMMYFUNCTION("""COMPUTED_VALUE"""),"TANQUE 100GAL")</f>
        <v>TANQUE 100GAL</v>
      </c>
      <c r="J96" s="74"/>
      <c r="K96" s="74" t="str">
        <f>IFERROR(__xludf.DUMMYFUNCTION("""COMPUTED_VALUE"""),"Olla Revolvedora")</f>
        <v>Olla Revolvedora</v>
      </c>
      <c r="L96" s="74" t="str">
        <f>IFERROR(__xludf.DUMMYFUNCTION("""COMPUTED_VALUE"""),"Componentes hidráulicos")</f>
        <v>Componentes hidráulicos</v>
      </c>
      <c r="M96" s="74" t="str">
        <f>IFERROR(__xludf.DUMMYFUNCTION("""COMPUTED_VALUE"""),"Sin Asignar")</f>
        <v>Sin Asignar</v>
      </c>
      <c r="N96" s="87">
        <f>IFERROR(__xludf.DUMMYFUNCTION("""COMPUTED_VALUE"""),0.0)</f>
        <v>0</v>
      </c>
      <c r="O96" s="74"/>
      <c r="P96" s="74" t="str">
        <f>IFERROR(__xludf.DUMMYFUNCTION("""COMPUTED_VALUE"""),"To Re-purchase")</f>
        <v>To Re-purchase</v>
      </c>
      <c r="Q96" s="74"/>
      <c r="R96" s="74"/>
      <c r="S96" s="87">
        <f>IFERROR(__xludf.DUMMYFUNCTION("""COMPUTED_VALUE"""),0.0)</f>
        <v>0</v>
      </c>
      <c r="T96" s="87">
        <f>IFERROR(__xludf.DUMMYFUNCTION("""COMPUTED_VALUE"""),0.0)</f>
        <v>0</v>
      </c>
      <c r="U96" s="87">
        <f>IFERROR(__xludf.DUMMYFUNCTION("""COMPUTED_VALUE"""),0.0)</f>
        <v>0</v>
      </c>
      <c r="V96" s="87">
        <f>IFERROR(__xludf.DUMMYFUNCTION("""COMPUTED_VALUE"""),0.0)</f>
        <v>0</v>
      </c>
      <c r="W96" s="87">
        <f>IFERROR(__xludf.DUMMYFUNCTION("""COMPUTED_VALUE"""),0.0)</f>
        <v>0</v>
      </c>
      <c r="X96" s="88"/>
      <c r="Y96" s="74"/>
      <c r="Z96" s="74"/>
    </row>
    <row r="97">
      <c r="B97" s="74" t="str">
        <f>IFERROR(__xludf.DUMMYFUNCTION("""COMPUTED_VALUE"""),"1094")</f>
        <v>1094</v>
      </c>
      <c r="C97" s="74" t="str">
        <f>IFERROR(__xludf.DUMMYFUNCTION("""COMPUTED_VALUE"""),"75045891094")</f>
        <v>75045891094</v>
      </c>
      <c r="D97" s="74" t="str">
        <f>IFERROR(__xludf.DUMMYFUNCTION("""COMPUTED_VALUE"""),"\\MCA-S\mk\2_BM\0_BMat\08_PYM\Inventario\excel\Imagen de refacciones\Ollas revolvedoras\Pedestal trasero (no incluye accesorios)")</f>
        <v>\\MCA-S\mk\2_BM\0_BMat\08_PYM\Inventario\excel\Imagen de refacciones\Ollas revolvedoras\Pedestal trasero (no incluye accesorios)</v>
      </c>
      <c r="E97" s="74"/>
      <c r="F97" s="74" t="str">
        <f>IFERROR(__xludf.DUMMYFUNCTION("""COMPUTED_VALUE"""),"PEDESTAL TRASERO (NO INCLUYE ACCESORIOS)")</f>
        <v>PEDESTAL TRASERO (NO INCLUYE ACCESORIOS)</v>
      </c>
      <c r="G97" s="74"/>
      <c r="H97" s="74"/>
      <c r="I97" s="74" t="str">
        <f>IFERROR(__xludf.DUMMYFUNCTION("""COMPUTED_VALUE"""),"PEDESTAL TRASERO")</f>
        <v>PEDESTAL TRASERO</v>
      </c>
      <c r="J97" s="74"/>
      <c r="K97" s="74" t="str">
        <f>IFERROR(__xludf.DUMMYFUNCTION("""COMPUTED_VALUE"""),"Olla Revolvedora")</f>
        <v>Olla Revolvedora</v>
      </c>
      <c r="L97" s="74" t="str">
        <f>IFERROR(__xludf.DUMMYFUNCTION("""COMPUTED_VALUE"""),"Componentes estructurales y de montaje")</f>
        <v>Componentes estructurales y de montaje</v>
      </c>
      <c r="M97" s="74" t="str">
        <f>IFERROR(__xludf.DUMMYFUNCTION("""COMPUTED_VALUE"""),"Sin Asignar")</f>
        <v>Sin Asignar</v>
      </c>
      <c r="N97" s="87">
        <f>IFERROR(__xludf.DUMMYFUNCTION("""COMPUTED_VALUE"""),0.0)</f>
        <v>0</v>
      </c>
      <c r="O97" s="74"/>
      <c r="P97" s="74" t="str">
        <f>IFERROR(__xludf.DUMMYFUNCTION("""COMPUTED_VALUE"""),"To Re-purchase")</f>
        <v>To Re-purchase</v>
      </c>
      <c r="Q97" s="74"/>
      <c r="R97" s="74"/>
      <c r="S97" s="87">
        <f>IFERROR(__xludf.DUMMYFUNCTION("""COMPUTED_VALUE"""),0.0)</f>
        <v>0</v>
      </c>
      <c r="T97" s="87">
        <f>IFERROR(__xludf.DUMMYFUNCTION("""COMPUTED_VALUE"""),0.0)</f>
        <v>0</v>
      </c>
      <c r="U97" s="87">
        <f>IFERROR(__xludf.DUMMYFUNCTION("""COMPUTED_VALUE"""),0.0)</f>
        <v>0</v>
      </c>
      <c r="V97" s="87">
        <f>IFERROR(__xludf.DUMMYFUNCTION("""COMPUTED_VALUE"""),0.0)</f>
        <v>0</v>
      </c>
      <c r="W97" s="87">
        <f>IFERROR(__xludf.DUMMYFUNCTION("""COMPUTED_VALUE"""),0.0)</f>
        <v>0</v>
      </c>
      <c r="X97" s="88"/>
      <c r="Y97" s="74"/>
      <c r="Z97" s="74"/>
    </row>
    <row r="98">
      <c r="B98" s="74" t="str">
        <f>IFERROR(__xludf.DUMMYFUNCTION("""COMPUTED_VALUE"""),"1095")</f>
        <v>1095</v>
      </c>
      <c r="C98" s="74" t="str">
        <f>IFERROR(__xludf.DUMMYFUNCTION("""COMPUTED_VALUE"""),"75045891095")</f>
        <v>75045891095</v>
      </c>
      <c r="D98" s="74" t="str">
        <f>IFERROR(__xludf.DUMMYFUNCTION("""COMPUTED_VALUE"""),"\\MCA-S\mk\2_BM\0_BMat\08_PYM\Inventario\excel\Imagen de refacciones\Ollas revolvedoras\Kit de cuenta vueltas para olla")</f>
        <v>\\MCA-S\mk\2_BM\0_BMat\08_PYM\Inventario\excel\Imagen de refacciones\Ollas revolvedoras\Kit de cuenta vueltas para olla</v>
      </c>
      <c r="E98" s="74"/>
      <c r="F98" s="74" t="str">
        <f>IFERROR(__xludf.DUMMYFUNCTION("""COMPUTED_VALUE"""),"KIT CUENTA VUELTAS PARA OLLA")</f>
        <v>KIT CUENTA VUELTAS PARA OLLA</v>
      </c>
      <c r="G98" s="74"/>
      <c r="H98" s="74"/>
      <c r="I98" s="74" t="str">
        <f>IFERROR(__xludf.DUMMYFUNCTION("""COMPUTED_VALUE"""),"1429581")</f>
        <v>1429581</v>
      </c>
      <c r="J98" s="74"/>
      <c r="K98" s="74" t="str">
        <f>IFERROR(__xludf.DUMMYFUNCTION("""COMPUTED_VALUE"""),"Olla Revolvedora")</f>
        <v>Olla Revolvedora</v>
      </c>
      <c r="L98" s="74" t="str">
        <f>IFERROR(__xludf.DUMMYFUNCTION("""COMPUTED_VALUE"""),"Elementos de medición y control")</f>
        <v>Elementos de medición y control</v>
      </c>
      <c r="M98" s="74" t="str">
        <f>IFERROR(__xludf.DUMMYFUNCTION("""COMPUTED_VALUE"""),"Sin Asignar")</f>
        <v>Sin Asignar</v>
      </c>
      <c r="N98" s="87">
        <f>IFERROR(__xludf.DUMMYFUNCTION("""COMPUTED_VALUE"""),0.0)</f>
        <v>0</v>
      </c>
      <c r="O98" s="74"/>
      <c r="P98" s="74" t="str">
        <f>IFERROR(__xludf.DUMMYFUNCTION("""COMPUTED_VALUE"""),"To Re-purchase")</f>
        <v>To Re-purchase</v>
      </c>
      <c r="Q98" s="74"/>
      <c r="R98" s="74"/>
      <c r="S98" s="87">
        <f>IFERROR(__xludf.DUMMYFUNCTION("""COMPUTED_VALUE"""),0.0)</f>
        <v>0</v>
      </c>
      <c r="T98" s="87">
        <f>IFERROR(__xludf.DUMMYFUNCTION("""COMPUTED_VALUE"""),0.0)</f>
        <v>0</v>
      </c>
      <c r="U98" s="87">
        <f>IFERROR(__xludf.DUMMYFUNCTION("""COMPUTED_VALUE"""),0.0)</f>
        <v>0</v>
      </c>
      <c r="V98" s="87">
        <f>IFERROR(__xludf.DUMMYFUNCTION("""COMPUTED_VALUE"""),0.0)</f>
        <v>0</v>
      </c>
      <c r="W98" s="87">
        <f>IFERROR(__xludf.DUMMYFUNCTION("""COMPUTED_VALUE"""),0.0)</f>
        <v>0</v>
      </c>
      <c r="X98" s="88"/>
      <c r="Y98" s="74"/>
      <c r="Z98" s="74"/>
    </row>
    <row r="99">
      <c r="B99" s="74" t="str">
        <f>IFERROR(__xludf.DUMMYFUNCTION("""COMPUTED_VALUE"""),"1096")</f>
        <v>1096</v>
      </c>
      <c r="C99" s="74"/>
      <c r="D99" s="74" t="str">
        <f>IFERROR(__xludf.DUMMYFUNCTION("""COMPUTED_VALUE"""),"\\MCA-S\mk\2_BM\0_BMat\08_PYM\Inventario\excel\Imagen de refacciones\Ollas revolvedoras\Bearing flange")</f>
        <v>\\MCA-S\mk\2_BM\0_BMat\08_PYM\Inventario\excel\Imagen de refacciones\Ollas revolvedoras\Bearing flange</v>
      </c>
      <c r="E99" s="74"/>
      <c r="F99" s="74" t="str">
        <f>IFERROR(__xludf.DUMMYFUNCTION("""COMPUTED_VALUE"""),"Bearing flange")</f>
        <v>Bearing flange</v>
      </c>
      <c r="G99" s="74"/>
      <c r="H99" s="74"/>
      <c r="I99" s="74" t="str">
        <f>IFERROR(__xludf.DUMMYFUNCTION("""COMPUTED_VALUE"""),"4108-303-292")</f>
        <v>4108-303-292</v>
      </c>
      <c r="J99" s="74"/>
      <c r="K99" s="74" t="str">
        <f>IFERROR(__xludf.DUMMYFUNCTION("""COMPUTED_VALUE"""),"Olla Revolvedora")</f>
        <v>Olla Revolvedora</v>
      </c>
      <c r="L99" s="74" t="str">
        <f>IFERROR(__xludf.DUMMYFUNCTION("""COMPUTED_VALUE"""),"Componentes estructurales y de montaje")</f>
        <v>Componentes estructurales y de montaje</v>
      </c>
      <c r="M99" s="74" t="str">
        <f>IFERROR(__xludf.DUMMYFUNCTION("""COMPUTED_VALUE"""),"Sin Asignar")</f>
        <v>Sin Asignar</v>
      </c>
      <c r="N99" s="87">
        <f>IFERROR(__xludf.DUMMYFUNCTION("""COMPUTED_VALUE"""),0.0)</f>
        <v>0</v>
      </c>
      <c r="O99" s="74"/>
      <c r="P99" s="74" t="str">
        <f>IFERROR(__xludf.DUMMYFUNCTION("""COMPUTED_VALUE"""),"No Available")</f>
        <v>No Available</v>
      </c>
      <c r="Q99" s="74"/>
      <c r="R99" s="74"/>
      <c r="S99" s="87">
        <f>IFERROR(__xludf.DUMMYFUNCTION("""COMPUTED_VALUE"""),0.0)</f>
        <v>0</v>
      </c>
      <c r="T99" s="87">
        <f>IFERROR(__xludf.DUMMYFUNCTION("""COMPUTED_VALUE"""),0.0)</f>
        <v>0</v>
      </c>
      <c r="U99" s="87">
        <f>IFERROR(__xludf.DUMMYFUNCTION("""COMPUTED_VALUE"""),0.0)</f>
        <v>0</v>
      </c>
      <c r="V99" s="87">
        <f>IFERROR(__xludf.DUMMYFUNCTION("""COMPUTED_VALUE"""),0.0)</f>
        <v>0</v>
      </c>
      <c r="W99" s="87">
        <f>IFERROR(__xludf.DUMMYFUNCTION("""COMPUTED_VALUE"""),0.0)</f>
        <v>0</v>
      </c>
      <c r="X99" s="88"/>
      <c r="Y99" s="74"/>
      <c r="Z99" s="74"/>
    </row>
    <row r="100">
      <c r="B100" s="74" t="str">
        <f>IFERROR(__xludf.DUMMYFUNCTION("""COMPUTED_VALUE"""),"1097")</f>
        <v>1097</v>
      </c>
      <c r="C100" s="74"/>
      <c r="D100" s="74" t="str">
        <f>IFERROR(__xludf.DUMMYFUNCTION("""COMPUTED_VALUE"""),"\\MCA-S\mk\2_BM\0_BMat\08_PYM\Inventario\excel\Imagen de refacciones\Ollas revolvedoras\Sealing collar")</f>
        <v>\\MCA-S\mk\2_BM\0_BMat\08_PYM\Inventario\excel\Imagen de refacciones\Ollas revolvedoras\Sealing collar</v>
      </c>
      <c r="E100" s="74"/>
      <c r="F100" s="74" t="str">
        <f>IFERROR(__xludf.DUMMYFUNCTION("""COMPUTED_VALUE"""),"Sealing collar")</f>
        <v>Sealing collar</v>
      </c>
      <c r="G100" s="74"/>
      <c r="H100" s="74"/>
      <c r="I100" s="74" t="str">
        <f>IFERROR(__xludf.DUMMYFUNCTION("""COMPUTED_VALUE"""),"4108-306-102")</f>
        <v>4108-306-102</v>
      </c>
      <c r="J100" s="74"/>
      <c r="K100" s="74" t="str">
        <f>IFERROR(__xludf.DUMMYFUNCTION("""COMPUTED_VALUE"""),"Olla Revolvedora")</f>
        <v>Olla Revolvedora</v>
      </c>
      <c r="L100" s="74" t="str">
        <f>IFERROR(__xludf.DUMMYFUNCTION("""COMPUTED_VALUE"""),"Sellos y retenes")</f>
        <v>Sellos y retenes</v>
      </c>
      <c r="M100" s="74" t="str">
        <f>IFERROR(__xludf.DUMMYFUNCTION("""COMPUTED_VALUE"""),"Sin Asignar")</f>
        <v>Sin Asignar</v>
      </c>
      <c r="N100" s="87">
        <f>IFERROR(__xludf.DUMMYFUNCTION("""COMPUTED_VALUE"""),0.0)</f>
        <v>0</v>
      </c>
      <c r="O100" s="74"/>
      <c r="P100" s="74" t="str">
        <f>IFERROR(__xludf.DUMMYFUNCTION("""COMPUTED_VALUE"""),"No Available")</f>
        <v>No Available</v>
      </c>
      <c r="Q100" s="74"/>
      <c r="R100" s="74"/>
      <c r="S100" s="87">
        <f>IFERROR(__xludf.DUMMYFUNCTION("""COMPUTED_VALUE"""),0.0)</f>
        <v>0</v>
      </c>
      <c r="T100" s="87">
        <f>IFERROR(__xludf.DUMMYFUNCTION("""COMPUTED_VALUE"""),0.0)</f>
        <v>0</v>
      </c>
      <c r="U100" s="87">
        <f>IFERROR(__xludf.DUMMYFUNCTION("""COMPUTED_VALUE"""),0.0)</f>
        <v>0</v>
      </c>
      <c r="V100" s="87">
        <f>IFERROR(__xludf.DUMMYFUNCTION("""COMPUTED_VALUE"""),0.0)</f>
        <v>0</v>
      </c>
      <c r="W100" s="87">
        <f>IFERROR(__xludf.DUMMYFUNCTION("""COMPUTED_VALUE"""),0.0)</f>
        <v>0</v>
      </c>
      <c r="X100" s="88"/>
      <c r="Y100" s="74"/>
      <c r="Z100" s="74"/>
    </row>
    <row r="101">
      <c r="B101" s="74" t="str">
        <f>IFERROR(__xludf.DUMMYFUNCTION("""COMPUTED_VALUE"""),"1098")</f>
        <v>1098</v>
      </c>
      <c r="C101" s="74"/>
      <c r="D101" s="74" t="str">
        <f>IFERROR(__xludf.DUMMYFUNCTION("""COMPUTED_VALUE"""),"\\MCA-S\mk\2_BM\0_BMat\08_PYM\Inventario\excel\Imagen de refacciones\Ollas revolvedoras\ring")</f>
        <v>\\MCA-S\mk\2_BM\0_BMat\08_PYM\Inventario\excel\Imagen de refacciones\Ollas revolvedoras\ring</v>
      </c>
      <c r="E101" s="74"/>
      <c r="F101" s="74" t="str">
        <f>IFERROR(__xludf.DUMMYFUNCTION("""COMPUTED_VALUE"""),"ring")</f>
        <v>ring</v>
      </c>
      <c r="G101" s="74"/>
      <c r="H101" s="74"/>
      <c r="I101" s="74" t="str">
        <f>IFERROR(__xludf.DUMMYFUNCTION("""COMPUTED_VALUE"""),"4108-306-102")</f>
        <v>4108-306-102</v>
      </c>
      <c r="J101" s="74"/>
      <c r="K101" s="74" t="str">
        <f>IFERROR(__xludf.DUMMYFUNCTION("""COMPUTED_VALUE"""),"Olla Revolvedora")</f>
        <v>Olla Revolvedora</v>
      </c>
      <c r="L101" s="74" t="str">
        <f>IFERROR(__xludf.DUMMYFUNCTION("""COMPUTED_VALUE"""),"Componentes estructurales y de montaje")</f>
        <v>Componentes estructurales y de montaje</v>
      </c>
      <c r="M101" s="74" t="str">
        <f>IFERROR(__xludf.DUMMYFUNCTION("""COMPUTED_VALUE"""),"Sin Asignar")</f>
        <v>Sin Asignar</v>
      </c>
      <c r="N101" s="87">
        <f>IFERROR(__xludf.DUMMYFUNCTION("""COMPUTED_VALUE"""),0.0)</f>
        <v>0</v>
      </c>
      <c r="O101" s="74"/>
      <c r="P101" s="74" t="str">
        <f>IFERROR(__xludf.DUMMYFUNCTION("""COMPUTED_VALUE"""),"No Available")</f>
        <v>No Available</v>
      </c>
      <c r="Q101" s="74"/>
      <c r="R101" s="74"/>
      <c r="S101" s="87">
        <f>IFERROR(__xludf.DUMMYFUNCTION("""COMPUTED_VALUE"""),0.0)</f>
        <v>0</v>
      </c>
      <c r="T101" s="87">
        <f>IFERROR(__xludf.DUMMYFUNCTION("""COMPUTED_VALUE"""),0.0)</f>
        <v>0</v>
      </c>
      <c r="U101" s="87">
        <f>IFERROR(__xludf.DUMMYFUNCTION("""COMPUTED_VALUE"""),0.0)</f>
        <v>0</v>
      </c>
      <c r="V101" s="87">
        <f>IFERROR(__xludf.DUMMYFUNCTION("""COMPUTED_VALUE"""),0.0)</f>
        <v>0</v>
      </c>
      <c r="W101" s="87">
        <f>IFERROR(__xludf.DUMMYFUNCTION("""COMPUTED_VALUE"""),0.0)</f>
        <v>0</v>
      </c>
      <c r="X101" s="88"/>
      <c r="Y101" s="74"/>
      <c r="Z101" s="74"/>
    </row>
    <row r="102">
      <c r="B102" s="74" t="str">
        <f>IFERROR(__xludf.DUMMYFUNCTION("""COMPUTED_VALUE"""),"1099")</f>
        <v>1099</v>
      </c>
      <c r="C102" s="74"/>
      <c r="D102" s="74" t="str">
        <f>IFERROR(__xludf.DUMMYFUNCTION("""COMPUTED_VALUE"""),"\\MCA-S\mk\2_BM\0_BMat\08_PYM\Inventario\excel\Imagen de refacciones\Ollas revolvedoras\Thrust Disk")</f>
        <v>\\MCA-S\mk\2_BM\0_BMat\08_PYM\Inventario\excel\Imagen de refacciones\Ollas revolvedoras\Thrust Disk</v>
      </c>
      <c r="E102" s="74"/>
      <c r="F102" s="74" t="str">
        <f>IFERROR(__xludf.DUMMYFUNCTION("""COMPUTED_VALUE"""),"Thrust Disk")</f>
        <v>Thrust Disk</v>
      </c>
      <c r="G102" s="74"/>
      <c r="H102" s="74"/>
      <c r="I102" s="74" t="str">
        <f>IFERROR(__xludf.DUMMYFUNCTION("""COMPUTED_VALUE"""),"0630-004-189")</f>
        <v>0630-004-189</v>
      </c>
      <c r="J102" s="74"/>
      <c r="K102" s="74" t="str">
        <f>IFERROR(__xludf.DUMMYFUNCTION("""COMPUTED_VALUE"""),"Olla Revolvedora")</f>
        <v>Olla Revolvedora</v>
      </c>
      <c r="L102" s="74" t="str">
        <f>IFERROR(__xludf.DUMMYFUNCTION("""COMPUTED_VALUE"""),"Transmisión mecánica")</f>
        <v>Transmisión mecánica</v>
      </c>
      <c r="M102" s="74" t="str">
        <f>IFERROR(__xludf.DUMMYFUNCTION("""COMPUTED_VALUE"""),"Sin Asignar")</f>
        <v>Sin Asignar</v>
      </c>
      <c r="N102" s="87">
        <f>IFERROR(__xludf.DUMMYFUNCTION("""COMPUTED_VALUE"""),0.0)</f>
        <v>0</v>
      </c>
      <c r="O102" s="74"/>
      <c r="P102" s="74" t="str">
        <f>IFERROR(__xludf.DUMMYFUNCTION("""COMPUTED_VALUE"""),"No Available")</f>
        <v>No Available</v>
      </c>
      <c r="Q102" s="74"/>
      <c r="R102" s="74"/>
      <c r="S102" s="87">
        <f>IFERROR(__xludf.DUMMYFUNCTION("""COMPUTED_VALUE"""),0.0)</f>
        <v>0</v>
      </c>
      <c r="T102" s="87">
        <f>IFERROR(__xludf.DUMMYFUNCTION("""COMPUTED_VALUE"""),0.0)</f>
        <v>0</v>
      </c>
      <c r="U102" s="87">
        <f>IFERROR(__xludf.DUMMYFUNCTION("""COMPUTED_VALUE"""),0.0)</f>
        <v>0</v>
      </c>
      <c r="V102" s="87">
        <f>IFERROR(__xludf.DUMMYFUNCTION("""COMPUTED_VALUE"""),0.0)</f>
        <v>0</v>
      </c>
      <c r="W102" s="87">
        <f>IFERROR(__xludf.DUMMYFUNCTION("""COMPUTED_VALUE"""),0.0)</f>
        <v>0</v>
      </c>
      <c r="X102" s="88"/>
      <c r="Y102" s="74"/>
      <c r="Z102" s="74"/>
    </row>
    <row r="103">
      <c r="B103" s="74" t="str">
        <f>IFERROR(__xludf.DUMMYFUNCTION("""COMPUTED_VALUE"""),"1100")</f>
        <v>1100</v>
      </c>
      <c r="C103" s="74"/>
      <c r="D103" s="74" t="str">
        <f>IFERROR(__xludf.DUMMYFUNCTION("""COMPUTED_VALUE"""),"\\MCA-S\mk\2_BM\0_BMat\08_PYM\Inventario\excel\Imagen de refacciones\Ollas revolvedoras\Roller bearing")</f>
        <v>\\MCA-S\mk\2_BM\0_BMat\08_PYM\Inventario\excel\Imagen de refacciones\Ollas revolvedoras\Roller bearing</v>
      </c>
      <c r="E103" s="74"/>
      <c r="F103" s="74" t="str">
        <f>IFERROR(__xludf.DUMMYFUNCTION("""COMPUTED_VALUE"""),"Roller bearing")</f>
        <v>Roller bearing</v>
      </c>
      <c r="G103" s="74"/>
      <c r="H103" s="74"/>
      <c r="I103" s="74" t="str">
        <f>IFERROR(__xludf.DUMMYFUNCTION("""COMPUTED_VALUE"""),"0750 117-735")</f>
        <v>0750 117-735</v>
      </c>
      <c r="J103" s="74"/>
      <c r="K103" s="74" t="str">
        <f>IFERROR(__xludf.DUMMYFUNCTION("""COMPUTED_VALUE"""),"Olla Revolvedora")</f>
        <v>Olla Revolvedora</v>
      </c>
      <c r="L103" s="74" t="str">
        <f>IFERROR(__xludf.DUMMYFUNCTION("""COMPUTED_VALUE"""),"Transmisión mecánica")</f>
        <v>Transmisión mecánica</v>
      </c>
      <c r="M103" s="74" t="str">
        <f>IFERROR(__xludf.DUMMYFUNCTION("""COMPUTED_VALUE"""),"Sin Asignar")</f>
        <v>Sin Asignar</v>
      </c>
      <c r="N103" s="87">
        <f>IFERROR(__xludf.DUMMYFUNCTION("""COMPUTED_VALUE"""),0.0)</f>
        <v>0</v>
      </c>
      <c r="O103" s="74"/>
      <c r="P103" s="74" t="str">
        <f>IFERROR(__xludf.DUMMYFUNCTION("""COMPUTED_VALUE"""),"No Available")</f>
        <v>No Available</v>
      </c>
      <c r="Q103" s="74"/>
      <c r="R103" s="74"/>
      <c r="S103" s="87">
        <f>IFERROR(__xludf.DUMMYFUNCTION("""COMPUTED_VALUE"""),0.0)</f>
        <v>0</v>
      </c>
      <c r="T103" s="87">
        <f>IFERROR(__xludf.DUMMYFUNCTION("""COMPUTED_VALUE"""),0.0)</f>
        <v>0</v>
      </c>
      <c r="U103" s="87">
        <f>IFERROR(__xludf.DUMMYFUNCTION("""COMPUTED_VALUE"""),0.0)</f>
        <v>0</v>
      </c>
      <c r="V103" s="87">
        <f>IFERROR(__xludf.DUMMYFUNCTION("""COMPUTED_VALUE"""),0.0)</f>
        <v>0</v>
      </c>
      <c r="W103" s="87">
        <f>IFERROR(__xludf.DUMMYFUNCTION("""COMPUTED_VALUE"""),0.0)</f>
        <v>0</v>
      </c>
      <c r="X103" s="88"/>
      <c r="Y103" s="74"/>
      <c r="Z103" s="74"/>
    </row>
    <row r="104">
      <c r="B104" s="74" t="str">
        <f>IFERROR(__xludf.DUMMYFUNCTION("""COMPUTED_VALUE"""),"1101")</f>
        <v>1101</v>
      </c>
      <c r="C104" s="74"/>
      <c r="D104" s="74" t="str">
        <f>IFERROR(__xludf.DUMMYFUNCTION("""COMPUTED_VALUE"""),"\\MCA-S\mk\2_BM\0_BMat\08_PYM\Inventario\excel\Imagen de refacciones\Ollas revolvedoras\Oil dipstick")</f>
        <v>\\MCA-S\mk\2_BM\0_BMat\08_PYM\Inventario\excel\Imagen de refacciones\Ollas revolvedoras\Oil dipstick</v>
      </c>
      <c r="E104" s="74"/>
      <c r="F104" s="74" t="str">
        <f>IFERROR(__xludf.DUMMYFUNCTION("""COMPUTED_VALUE"""),"Oil dipstick")</f>
        <v>Oil dipstick</v>
      </c>
      <c r="G104" s="74"/>
      <c r="H104" s="74"/>
      <c r="I104" s="74" t="str">
        <f>IFERROR(__xludf.DUMMYFUNCTION("""COMPUTED_VALUE"""),"4108-203-149")</f>
        <v>4108-203-149</v>
      </c>
      <c r="J104" s="74"/>
      <c r="K104" s="74" t="str">
        <f>IFERROR(__xludf.DUMMYFUNCTION("""COMPUTED_VALUE"""),"Olla Revolvedora")</f>
        <v>Olla Revolvedora</v>
      </c>
      <c r="L104" s="74" t="str">
        <f>IFERROR(__xludf.DUMMYFUNCTION("""COMPUTED_VALUE"""),"Elementos de medición y control")</f>
        <v>Elementos de medición y control</v>
      </c>
      <c r="M104" s="74" t="str">
        <f>IFERROR(__xludf.DUMMYFUNCTION("""COMPUTED_VALUE"""),"Sin Asignar")</f>
        <v>Sin Asignar</v>
      </c>
      <c r="N104" s="87">
        <f>IFERROR(__xludf.DUMMYFUNCTION("""COMPUTED_VALUE"""),0.0)</f>
        <v>0</v>
      </c>
      <c r="O104" s="74"/>
      <c r="P104" s="74" t="str">
        <f>IFERROR(__xludf.DUMMYFUNCTION("""COMPUTED_VALUE"""),"No Available")</f>
        <v>No Available</v>
      </c>
      <c r="Q104" s="74"/>
      <c r="R104" s="74"/>
      <c r="S104" s="87">
        <f>IFERROR(__xludf.DUMMYFUNCTION("""COMPUTED_VALUE"""),0.0)</f>
        <v>0</v>
      </c>
      <c r="T104" s="87">
        <f>IFERROR(__xludf.DUMMYFUNCTION("""COMPUTED_VALUE"""),0.0)</f>
        <v>0</v>
      </c>
      <c r="U104" s="87">
        <f>IFERROR(__xludf.DUMMYFUNCTION("""COMPUTED_VALUE"""),0.0)</f>
        <v>0</v>
      </c>
      <c r="V104" s="87">
        <f>IFERROR(__xludf.DUMMYFUNCTION("""COMPUTED_VALUE"""),0.0)</f>
        <v>0</v>
      </c>
      <c r="W104" s="87">
        <f>IFERROR(__xludf.DUMMYFUNCTION("""COMPUTED_VALUE"""),0.0)</f>
        <v>0</v>
      </c>
      <c r="X104" s="88"/>
      <c r="Y104" s="74"/>
      <c r="Z104" s="74"/>
    </row>
    <row r="105">
      <c r="B105" s="74" t="str">
        <f>IFERROR(__xludf.DUMMYFUNCTION("""COMPUTED_VALUE"""),"1102")</f>
        <v>1102</v>
      </c>
      <c r="C105" s="74"/>
      <c r="D105" s="74" t="str">
        <f>IFERROR(__xludf.DUMMYFUNCTION("""COMPUTED_VALUE"""),"\\MCA-S\mk\2_BM\0_BMat\08_PYM\Inventario\excel\Imagen de refacciones\Ollas revolvedoras\Bearing Housing")</f>
        <v>\\MCA-S\mk\2_BM\0_BMat\08_PYM\Inventario\excel\Imagen de refacciones\Ollas revolvedoras\Bearing Housing</v>
      </c>
      <c r="E105" s="74"/>
      <c r="F105" s="74" t="str">
        <f>IFERROR(__xludf.DUMMYFUNCTION("""COMPUTED_VALUE"""),"Bearing Housing")</f>
        <v>Bearing Housing</v>
      </c>
      <c r="G105" s="74"/>
      <c r="H105" s="74"/>
      <c r="I105" s="74" t="str">
        <f>IFERROR(__xludf.DUMMYFUNCTION("""COMPUTED_VALUE"""),"4108-203-154")</f>
        <v>4108-203-154</v>
      </c>
      <c r="J105" s="74"/>
      <c r="K105" s="74" t="str">
        <f>IFERROR(__xludf.DUMMYFUNCTION("""COMPUTED_VALUE"""),"Olla Revolvedora")</f>
        <v>Olla Revolvedora</v>
      </c>
      <c r="L105" s="74" t="str">
        <f>IFERROR(__xludf.DUMMYFUNCTION("""COMPUTED_VALUE"""),"Componentes estructurales y de montaje")</f>
        <v>Componentes estructurales y de montaje</v>
      </c>
      <c r="M105" s="74" t="str">
        <f>IFERROR(__xludf.DUMMYFUNCTION("""COMPUTED_VALUE"""),"Sin Asignar")</f>
        <v>Sin Asignar</v>
      </c>
      <c r="N105" s="87">
        <f>IFERROR(__xludf.DUMMYFUNCTION("""COMPUTED_VALUE"""),0.0)</f>
        <v>0</v>
      </c>
      <c r="O105" s="74"/>
      <c r="P105" s="74" t="str">
        <f>IFERROR(__xludf.DUMMYFUNCTION("""COMPUTED_VALUE"""),"No Available")</f>
        <v>No Available</v>
      </c>
      <c r="Q105" s="74"/>
      <c r="R105" s="74"/>
      <c r="S105" s="87">
        <f>IFERROR(__xludf.DUMMYFUNCTION("""COMPUTED_VALUE"""),0.0)</f>
        <v>0</v>
      </c>
      <c r="T105" s="87">
        <f>IFERROR(__xludf.DUMMYFUNCTION("""COMPUTED_VALUE"""),0.0)</f>
        <v>0</v>
      </c>
      <c r="U105" s="87">
        <f>IFERROR(__xludf.DUMMYFUNCTION("""COMPUTED_VALUE"""),0.0)</f>
        <v>0</v>
      </c>
      <c r="V105" s="87">
        <f>IFERROR(__xludf.DUMMYFUNCTION("""COMPUTED_VALUE"""),0.0)</f>
        <v>0</v>
      </c>
      <c r="W105" s="87">
        <f>IFERROR(__xludf.DUMMYFUNCTION("""COMPUTED_VALUE"""),0.0)</f>
        <v>0</v>
      </c>
      <c r="X105" s="88"/>
      <c r="Y105" s="74"/>
      <c r="Z105" s="74"/>
    </row>
    <row r="106">
      <c r="B106" s="74" t="str">
        <f>IFERROR(__xludf.DUMMYFUNCTION("""COMPUTED_VALUE"""),"1103")</f>
        <v>1103</v>
      </c>
      <c r="C106" s="74"/>
      <c r="D106" s="74" t="str">
        <f>IFERROR(__xludf.DUMMYFUNCTION("""COMPUTED_VALUE"""),"\\MCA-S\mk\2_BM\0_BMat\08_PYM\Inventario\excel\Imagen de refacciones\Ollas revolvedoras\CLUTCH HOUSING")</f>
        <v>\\MCA-S\mk\2_BM\0_BMat\08_PYM\Inventario\excel\Imagen de refacciones\Ollas revolvedoras\CLUTCH HOUSING</v>
      </c>
      <c r="E106" s="74"/>
      <c r="F106" s="74" t="str">
        <f>IFERROR(__xludf.DUMMYFUNCTION("""COMPUTED_VALUE"""),"CLUTCH HOUSING")</f>
        <v>CLUTCH HOUSING</v>
      </c>
      <c r="G106" s="74"/>
      <c r="H106" s="74"/>
      <c r="I106" s="74" t="str">
        <f>IFERROR(__xludf.DUMMYFUNCTION("""COMPUTED_VALUE"""),"4108-303-320")</f>
        <v>4108-303-320</v>
      </c>
      <c r="J106" s="74"/>
      <c r="K106" s="74" t="str">
        <f>IFERROR(__xludf.DUMMYFUNCTION("""COMPUTED_VALUE"""),"Olla Revolvedora")</f>
        <v>Olla Revolvedora</v>
      </c>
      <c r="L106" s="74" t="str">
        <f>IFERROR(__xludf.DUMMYFUNCTION("""COMPUTED_VALUE"""),"Transmisión mecánica")</f>
        <v>Transmisión mecánica</v>
      </c>
      <c r="M106" s="74" t="str">
        <f>IFERROR(__xludf.DUMMYFUNCTION("""COMPUTED_VALUE"""),"Sin Asignar")</f>
        <v>Sin Asignar</v>
      </c>
      <c r="N106" s="87">
        <f>IFERROR(__xludf.DUMMYFUNCTION("""COMPUTED_VALUE"""),0.0)</f>
        <v>0</v>
      </c>
      <c r="O106" s="74"/>
      <c r="P106" s="74" t="str">
        <f>IFERROR(__xludf.DUMMYFUNCTION("""COMPUTED_VALUE"""),"No Available")</f>
        <v>No Available</v>
      </c>
      <c r="Q106" s="74"/>
      <c r="R106" s="74"/>
      <c r="S106" s="87">
        <f>IFERROR(__xludf.DUMMYFUNCTION("""COMPUTED_VALUE"""),0.0)</f>
        <v>0</v>
      </c>
      <c r="T106" s="87">
        <f>IFERROR(__xludf.DUMMYFUNCTION("""COMPUTED_VALUE"""),0.0)</f>
        <v>0</v>
      </c>
      <c r="U106" s="87">
        <f>IFERROR(__xludf.DUMMYFUNCTION("""COMPUTED_VALUE"""),0.0)</f>
        <v>0</v>
      </c>
      <c r="V106" s="87">
        <f>IFERROR(__xludf.DUMMYFUNCTION("""COMPUTED_VALUE"""),0.0)</f>
        <v>0</v>
      </c>
      <c r="W106" s="87">
        <f>IFERROR(__xludf.DUMMYFUNCTION("""COMPUTED_VALUE"""),0.0)</f>
        <v>0</v>
      </c>
      <c r="X106" s="88"/>
      <c r="Y106" s="74"/>
      <c r="Z106" s="74"/>
    </row>
    <row r="107">
      <c r="B107" s="74" t="str">
        <f>IFERROR(__xludf.DUMMYFUNCTION("""COMPUTED_VALUE"""),"1104")</f>
        <v>1104</v>
      </c>
      <c r="C107" s="74"/>
      <c r="D107" s="74" t="str">
        <f>IFERROR(__xludf.DUMMYFUNCTION("""COMPUTED_VALUE"""),"\\MCA-S\mk\2_BM\0_BMat\08_PYM\Inventario\excel\Imagen de refacciones\Ollas revolvedoras\SOLTTED NUT")</f>
        <v>\\MCA-S\mk\2_BM\0_BMat\08_PYM\Inventario\excel\Imagen de refacciones\Ollas revolvedoras\SOLTTED NUT</v>
      </c>
      <c r="E107" s="74"/>
      <c r="F107" s="74" t="str">
        <f>IFERROR(__xludf.DUMMYFUNCTION("""COMPUTED_VALUE"""),"SOLTTED NUT")</f>
        <v>SOLTTED NUT</v>
      </c>
      <c r="G107" s="74"/>
      <c r="H107" s="74"/>
      <c r="I107" s="74" t="str">
        <f>IFERROR(__xludf.DUMMYFUNCTION("""COMPUTED_VALUE"""),"0737-7502-084")</f>
        <v>0737-7502-084</v>
      </c>
      <c r="J107" s="74"/>
      <c r="K107" s="74" t="str">
        <f>IFERROR(__xludf.DUMMYFUNCTION("""COMPUTED_VALUE"""),"Olla Revolvedora")</f>
        <v>Olla Revolvedora</v>
      </c>
      <c r="L107" s="74" t="str">
        <f>IFERROR(__xludf.DUMMYFUNCTION("""COMPUTED_VALUE"""),"Componentes estructurales y de montaje")</f>
        <v>Componentes estructurales y de montaje</v>
      </c>
      <c r="M107" s="74" t="str">
        <f>IFERROR(__xludf.DUMMYFUNCTION("""COMPUTED_VALUE"""),"Sin Asignar")</f>
        <v>Sin Asignar</v>
      </c>
      <c r="N107" s="87">
        <f>IFERROR(__xludf.DUMMYFUNCTION("""COMPUTED_VALUE"""),0.0)</f>
        <v>0</v>
      </c>
      <c r="O107" s="74"/>
      <c r="P107" s="74" t="str">
        <f>IFERROR(__xludf.DUMMYFUNCTION("""COMPUTED_VALUE"""),"No Available")</f>
        <v>No Available</v>
      </c>
      <c r="Q107" s="74"/>
      <c r="R107" s="74"/>
      <c r="S107" s="87">
        <f>IFERROR(__xludf.DUMMYFUNCTION("""COMPUTED_VALUE"""),0.0)</f>
        <v>0</v>
      </c>
      <c r="T107" s="87">
        <f>IFERROR(__xludf.DUMMYFUNCTION("""COMPUTED_VALUE"""),0.0)</f>
        <v>0</v>
      </c>
      <c r="U107" s="87">
        <f>IFERROR(__xludf.DUMMYFUNCTION("""COMPUTED_VALUE"""),0.0)</f>
        <v>0</v>
      </c>
      <c r="V107" s="87">
        <f>IFERROR(__xludf.DUMMYFUNCTION("""COMPUTED_VALUE"""),0.0)</f>
        <v>0</v>
      </c>
      <c r="W107" s="87">
        <f>IFERROR(__xludf.DUMMYFUNCTION("""COMPUTED_VALUE"""),0.0)</f>
        <v>0</v>
      </c>
      <c r="X107" s="88"/>
      <c r="Y107" s="74"/>
      <c r="Z107" s="74"/>
    </row>
    <row r="108">
      <c r="B108" s="74" t="str">
        <f>IFERROR(__xludf.DUMMYFUNCTION("""COMPUTED_VALUE"""),"1105")</f>
        <v>1105</v>
      </c>
      <c r="C108" s="74"/>
      <c r="D108" s="74" t="str">
        <f>IFERROR(__xludf.DUMMYFUNCTION("""COMPUTED_VALUE"""),"\\MCA-S\mk\2_BM\0_BMat\08_PYM\Inventario\excel\Imagen de refacciones\Ollas revolvedoras\RETAINING RING")</f>
        <v>\\MCA-S\mk\2_BM\0_BMat\08_PYM\Inventario\excel\Imagen de refacciones\Ollas revolvedoras\RETAINING RING</v>
      </c>
      <c r="E108" s="74"/>
      <c r="F108" s="74" t="str">
        <f>IFERROR(__xludf.DUMMYFUNCTION("""COMPUTED_VALUE"""),"RETAINING RING")</f>
        <v>RETAINING RING</v>
      </c>
      <c r="G108" s="74"/>
      <c r="H108" s="74"/>
      <c r="I108" s="74" t="str">
        <f>IFERROR(__xludf.DUMMYFUNCTION("""COMPUTED_VALUE"""),"0630-501-031")</f>
        <v>0630-501-031</v>
      </c>
      <c r="J108" s="74"/>
      <c r="K108" s="74" t="str">
        <f>IFERROR(__xludf.DUMMYFUNCTION("""COMPUTED_VALUE"""),"Olla Revolvedora")</f>
        <v>Olla Revolvedora</v>
      </c>
      <c r="L108" s="74" t="str">
        <f>IFERROR(__xludf.DUMMYFUNCTION("""COMPUTED_VALUE"""),"Transmisión mecánica")</f>
        <v>Transmisión mecánica</v>
      </c>
      <c r="M108" s="74" t="str">
        <f>IFERROR(__xludf.DUMMYFUNCTION("""COMPUTED_VALUE"""),"Sin Asignar")</f>
        <v>Sin Asignar</v>
      </c>
      <c r="N108" s="87">
        <f>IFERROR(__xludf.DUMMYFUNCTION("""COMPUTED_VALUE"""),0.0)</f>
        <v>0</v>
      </c>
      <c r="O108" s="74"/>
      <c r="P108" s="74" t="str">
        <f>IFERROR(__xludf.DUMMYFUNCTION("""COMPUTED_VALUE"""),"No Available")</f>
        <v>No Available</v>
      </c>
      <c r="Q108" s="74"/>
      <c r="R108" s="74"/>
      <c r="S108" s="87">
        <f>IFERROR(__xludf.DUMMYFUNCTION("""COMPUTED_VALUE"""),0.0)</f>
        <v>0</v>
      </c>
      <c r="T108" s="87">
        <f>IFERROR(__xludf.DUMMYFUNCTION("""COMPUTED_VALUE"""),0.0)</f>
        <v>0</v>
      </c>
      <c r="U108" s="87">
        <f>IFERROR(__xludf.DUMMYFUNCTION("""COMPUTED_VALUE"""),0.0)</f>
        <v>0</v>
      </c>
      <c r="V108" s="87">
        <f>IFERROR(__xludf.DUMMYFUNCTION("""COMPUTED_VALUE"""),0.0)</f>
        <v>0</v>
      </c>
      <c r="W108" s="87">
        <f>IFERROR(__xludf.DUMMYFUNCTION("""COMPUTED_VALUE"""),0.0)</f>
        <v>0</v>
      </c>
      <c r="X108" s="88"/>
      <c r="Y108" s="74"/>
      <c r="Z108" s="74"/>
    </row>
    <row r="109">
      <c r="B109" s="74" t="str">
        <f>IFERROR(__xludf.DUMMYFUNCTION("""COMPUTED_VALUE"""),"1106")</f>
        <v>1106</v>
      </c>
      <c r="C109" s="74"/>
      <c r="D109" s="74" t="str">
        <f>IFERROR(__xludf.DUMMYFUNCTION("""COMPUTED_VALUE"""),"\\MCA-S\mk\2_BM\0_BMat\08_PYM\Inventario\excel\Imagen de refacciones\Ollas revolvedoras\JOINT BEARING")</f>
        <v>\\MCA-S\mk\2_BM\0_BMat\08_PYM\Inventario\excel\Imagen de refacciones\Ollas revolvedoras\JOINT BEARING</v>
      </c>
      <c r="E109" s="74"/>
      <c r="F109" s="74" t="str">
        <f>IFERROR(__xludf.DUMMYFUNCTION("""COMPUTED_VALUE"""),"JOINT BEARING")</f>
        <v>JOINT BEARING</v>
      </c>
      <c r="G109" s="74"/>
      <c r="H109" s="74"/>
      <c r="I109" s="74" t="str">
        <f>IFERROR(__xludf.DUMMYFUNCTION("""COMPUTED_VALUE"""),"0635-285-013")</f>
        <v>0635-285-013</v>
      </c>
      <c r="J109" s="74"/>
      <c r="K109" s="74" t="str">
        <f>IFERROR(__xludf.DUMMYFUNCTION("""COMPUTED_VALUE"""),"Olla Revolvedora")</f>
        <v>Olla Revolvedora</v>
      </c>
      <c r="L109" s="74" t="str">
        <f>IFERROR(__xludf.DUMMYFUNCTION("""COMPUTED_VALUE"""),"Transmisión mecánica")</f>
        <v>Transmisión mecánica</v>
      </c>
      <c r="M109" s="74" t="str">
        <f>IFERROR(__xludf.DUMMYFUNCTION("""COMPUTED_VALUE"""),"Sin Asignar")</f>
        <v>Sin Asignar</v>
      </c>
      <c r="N109" s="87">
        <f>IFERROR(__xludf.DUMMYFUNCTION("""COMPUTED_VALUE"""),0.0)</f>
        <v>0</v>
      </c>
      <c r="O109" s="74"/>
      <c r="P109" s="74" t="str">
        <f>IFERROR(__xludf.DUMMYFUNCTION("""COMPUTED_VALUE"""),"borrar")</f>
        <v>borrar</v>
      </c>
      <c r="Q109" s="74"/>
      <c r="R109" s="74"/>
      <c r="S109" s="87">
        <f>IFERROR(__xludf.DUMMYFUNCTION("""COMPUTED_VALUE"""),0.0)</f>
        <v>0</v>
      </c>
      <c r="T109" s="87">
        <f>IFERROR(__xludf.DUMMYFUNCTION("""COMPUTED_VALUE"""),0.0)</f>
        <v>0</v>
      </c>
      <c r="U109" s="87">
        <f>IFERROR(__xludf.DUMMYFUNCTION("""COMPUTED_VALUE"""),0.0)</f>
        <v>0</v>
      </c>
      <c r="V109" s="87">
        <f>IFERROR(__xludf.DUMMYFUNCTION("""COMPUTED_VALUE"""),0.0)</f>
        <v>0</v>
      </c>
      <c r="W109" s="87">
        <f>IFERROR(__xludf.DUMMYFUNCTION("""COMPUTED_VALUE"""),0.0)</f>
        <v>0</v>
      </c>
      <c r="X109" s="88"/>
      <c r="Y109" s="74"/>
      <c r="Z109" s="74"/>
    </row>
    <row r="110">
      <c r="B110" s="74" t="str">
        <f>IFERROR(__xludf.DUMMYFUNCTION("""COMPUTED_VALUE"""),"1107")</f>
        <v>1107</v>
      </c>
      <c r="C110" s="74"/>
      <c r="D110" s="74" t="str">
        <f>IFERROR(__xludf.DUMMYFUNCTION("""COMPUTED_VALUE"""),"\\MCA-S\mk\2_BM\0_BMat\08_PYM\Inventario\excel\Imagen de refacciones\Ollas revolvedoras\PLANETARY CARRIER")</f>
        <v>\\MCA-S\mk\2_BM\0_BMat\08_PYM\Inventario\excel\Imagen de refacciones\Ollas revolvedoras\PLANETARY CARRIER</v>
      </c>
      <c r="E110" s="74"/>
      <c r="F110" s="74" t="str">
        <f>IFERROR(__xludf.DUMMYFUNCTION("""COMPUTED_VALUE"""),"PLANETARY CARRIER")</f>
        <v>PLANETARY CARRIER</v>
      </c>
      <c r="G110" s="74"/>
      <c r="H110" s="74"/>
      <c r="I110" s="74" t="str">
        <f>IFERROR(__xludf.DUMMYFUNCTION("""COMPUTED_VALUE"""),"4108 303-283")</f>
        <v>4108 303-283</v>
      </c>
      <c r="J110" s="74"/>
      <c r="K110" s="74" t="str">
        <f>IFERROR(__xludf.DUMMYFUNCTION("""COMPUTED_VALUE"""),"Olla Revolvedora")</f>
        <v>Olla Revolvedora</v>
      </c>
      <c r="L110" s="74" t="str">
        <f>IFERROR(__xludf.DUMMYFUNCTION("""COMPUTED_VALUE"""),"Transmisión mecánica")</f>
        <v>Transmisión mecánica</v>
      </c>
      <c r="M110" s="74" t="str">
        <f>IFERROR(__xludf.DUMMYFUNCTION("""COMPUTED_VALUE"""),"Sin Asignar")</f>
        <v>Sin Asignar</v>
      </c>
      <c r="N110" s="87">
        <f>IFERROR(__xludf.DUMMYFUNCTION("""COMPUTED_VALUE"""),0.0)</f>
        <v>0</v>
      </c>
      <c r="O110" s="74"/>
      <c r="P110" s="74" t="str">
        <f>IFERROR(__xludf.DUMMYFUNCTION("""COMPUTED_VALUE"""),"No Available")</f>
        <v>No Available</v>
      </c>
      <c r="Q110" s="74"/>
      <c r="R110" s="74"/>
      <c r="S110" s="87">
        <f>IFERROR(__xludf.DUMMYFUNCTION("""COMPUTED_VALUE"""),0.0)</f>
        <v>0</v>
      </c>
      <c r="T110" s="87">
        <f>IFERROR(__xludf.DUMMYFUNCTION("""COMPUTED_VALUE"""),0.0)</f>
        <v>0</v>
      </c>
      <c r="U110" s="87">
        <f>IFERROR(__xludf.DUMMYFUNCTION("""COMPUTED_VALUE"""),0.0)</f>
        <v>0</v>
      </c>
      <c r="V110" s="87">
        <f>IFERROR(__xludf.DUMMYFUNCTION("""COMPUTED_VALUE"""),0.0)</f>
        <v>0</v>
      </c>
      <c r="W110" s="87">
        <f>IFERROR(__xludf.DUMMYFUNCTION("""COMPUTED_VALUE"""),0.0)</f>
        <v>0</v>
      </c>
      <c r="X110" s="88"/>
      <c r="Y110" s="74"/>
      <c r="Z110" s="74"/>
    </row>
    <row r="111">
      <c r="B111" s="74" t="str">
        <f>IFERROR(__xludf.DUMMYFUNCTION("""COMPUTED_VALUE"""),"1108")</f>
        <v>1108</v>
      </c>
      <c r="C111" s="74"/>
      <c r="D111" s="74" t="str">
        <f>IFERROR(__xludf.DUMMYFUNCTION("""COMPUTED_VALUE"""),"\\MCA-S\mk\2_BM\0_BMat\08_PYM\Inventario\excel\Imagen de refacciones\Ollas revolvedoras\PIN")</f>
        <v>\\MCA-S\mk\2_BM\0_BMat\08_PYM\Inventario\excel\Imagen de refacciones\Ollas revolvedoras\PIN</v>
      </c>
      <c r="E111" s="74"/>
      <c r="F111" s="74" t="str">
        <f>IFERROR(__xludf.DUMMYFUNCTION("""COMPUTED_VALUE"""),"PIN")</f>
        <v>PIN</v>
      </c>
      <c r="G111" s="74"/>
      <c r="H111" s="74"/>
      <c r="I111" s="74" t="str">
        <f>IFERROR(__xludf.DUMMYFUNCTION("""COMPUTED_VALUE"""),"4108 303-289")</f>
        <v>4108 303-289</v>
      </c>
      <c r="J111" s="74"/>
      <c r="K111" s="74" t="str">
        <f>IFERROR(__xludf.DUMMYFUNCTION("""COMPUTED_VALUE"""),"Olla Revolvedora")</f>
        <v>Olla Revolvedora</v>
      </c>
      <c r="L111" s="74" t="str">
        <f>IFERROR(__xludf.DUMMYFUNCTION("""COMPUTED_VALUE"""),"Componentes estructurales y de montaje")</f>
        <v>Componentes estructurales y de montaje</v>
      </c>
      <c r="M111" s="74" t="str">
        <f>IFERROR(__xludf.DUMMYFUNCTION("""COMPUTED_VALUE"""),"Sin Asignar")</f>
        <v>Sin Asignar</v>
      </c>
      <c r="N111" s="87">
        <f>IFERROR(__xludf.DUMMYFUNCTION("""COMPUTED_VALUE"""),0.0)</f>
        <v>0</v>
      </c>
      <c r="O111" s="74"/>
      <c r="P111" s="74" t="str">
        <f>IFERROR(__xludf.DUMMYFUNCTION("""COMPUTED_VALUE"""),"No Available")</f>
        <v>No Available</v>
      </c>
      <c r="Q111" s="74"/>
      <c r="R111" s="74"/>
      <c r="S111" s="87">
        <f>IFERROR(__xludf.DUMMYFUNCTION("""COMPUTED_VALUE"""),0.0)</f>
        <v>0</v>
      </c>
      <c r="T111" s="87">
        <f>IFERROR(__xludf.DUMMYFUNCTION("""COMPUTED_VALUE"""),0.0)</f>
        <v>0</v>
      </c>
      <c r="U111" s="87">
        <f>IFERROR(__xludf.DUMMYFUNCTION("""COMPUTED_VALUE"""),0.0)</f>
        <v>0</v>
      </c>
      <c r="V111" s="87">
        <f>IFERROR(__xludf.DUMMYFUNCTION("""COMPUTED_VALUE"""),0.0)</f>
        <v>0</v>
      </c>
      <c r="W111" s="87">
        <f>IFERROR(__xludf.DUMMYFUNCTION("""COMPUTED_VALUE"""),0.0)</f>
        <v>0</v>
      </c>
      <c r="X111" s="88"/>
      <c r="Y111" s="74"/>
      <c r="Z111" s="74"/>
    </row>
    <row r="112">
      <c r="B112" s="74" t="str">
        <f>IFERROR(__xludf.DUMMYFUNCTION("""COMPUTED_VALUE"""),"1109")</f>
        <v>1109</v>
      </c>
      <c r="C112" s="74"/>
      <c r="D112" s="74" t="str">
        <f>IFERROR(__xludf.DUMMYFUNCTION("""COMPUTED_VALUE"""),"\\MCA-S\mk\2_BM\0_BMat\08_PYM\Inventario\excel\Imagen de refacciones\Ollas revolvedoras\THRUST WASHER")</f>
        <v>\\MCA-S\mk\2_BM\0_BMat\08_PYM\Inventario\excel\Imagen de refacciones\Ollas revolvedoras\THRUST WASHER</v>
      </c>
      <c r="E112" s="74"/>
      <c r="F112" s="74" t="str">
        <f>IFERROR(__xludf.DUMMYFUNCTION("""COMPUTED_VALUE"""),"THRUST WASHER")</f>
        <v>THRUST WASHER</v>
      </c>
      <c r="G112" s="74"/>
      <c r="H112" s="74"/>
      <c r="I112" s="74" t="str">
        <f>IFERROR(__xludf.DUMMYFUNCTION("""COMPUTED_VALUE"""),"0730-102 684")</f>
        <v>0730-102 684</v>
      </c>
      <c r="J112" s="74"/>
      <c r="K112" s="74" t="str">
        <f>IFERROR(__xludf.DUMMYFUNCTION("""COMPUTED_VALUE"""),"Olla Revolvedora")</f>
        <v>Olla Revolvedora</v>
      </c>
      <c r="L112" s="74" t="str">
        <f>IFERROR(__xludf.DUMMYFUNCTION("""COMPUTED_VALUE"""),"Componentes estructurales y de montaje")</f>
        <v>Componentes estructurales y de montaje</v>
      </c>
      <c r="M112" s="74" t="str">
        <f>IFERROR(__xludf.DUMMYFUNCTION("""COMPUTED_VALUE"""),"Sin Asignar")</f>
        <v>Sin Asignar</v>
      </c>
      <c r="N112" s="87">
        <f>IFERROR(__xludf.DUMMYFUNCTION("""COMPUTED_VALUE"""),0.0)</f>
        <v>0</v>
      </c>
      <c r="O112" s="74"/>
      <c r="P112" s="74" t="str">
        <f>IFERROR(__xludf.DUMMYFUNCTION("""COMPUTED_VALUE"""),"No Available")</f>
        <v>No Available</v>
      </c>
      <c r="Q112" s="74"/>
      <c r="R112" s="74"/>
      <c r="S112" s="87">
        <f>IFERROR(__xludf.DUMMYFUNCTION("""COMPUTED_VALUE"""),0.0)</f>
        <v>0</v>
      </c>
      <c r="T112" s="87">
        <f>IFERROR(__xludf.DUMMYFUNCTION("""COMPUTED_VALUE"""),0.0)</f>
        <v>0</v>
      </c>
      <c r="U112" s="87">
        <f>IFERROR(__xludf.DUMMYFUNCTION("""COMPUTED_VALUE"""),0.0)</f>
        <v>0</v>
      </c>
      <c r="V112" s="87">
        <f>IFERROR(__xludf.DUMMYFUNCTION("""COMPUTED_VALUE"""),0.0)</f>
        <v>0</v>
      </c>
      <c r="W112" s="87">
        <f>IFERROR(__xludf.DUMMYFUNCTION("""COMPUTED_VALUE"""),0.0)</f>
        <v>0</v>
      </c>
      <c r="X112" s="88"/>
      <c r="Y112" s="74"/>
      <c r="Z112" s="74"/>
    </row>
    <row r="113">
      <c r="B113" s="74" t="str">
        <f>IFERROR(__xludf.DUMMYFUNCTION("""COMPUTED_VALUE"""),"1110")</f>
        <v>1110</v>
      </c>
      <c r="C113" s="74"/>
      <c r="D113" s="74" t="str">
        <f>IFERROR(__xludf.DUMMYFUNCTION("""COMPUTED_VALUE"""),"\\MCA-S\mk\2_BM\0_BMat\08_PYM\Inventario\excel\Imagen de refacciones\Ollas revolvedoras\INTERMEDIATE WASHER")</f>
        <v>\\MCA-S\mk\2_BM\0_BMat\08_PYM\Inventario\excel\Imagen de refacciones\Ollas revolvedoras\INTERMEDIATE WASHER</v>
      </c>
      <c r="E113" s="74"/>
      <c r="F113" s="74" t="str">
        <f>IFERROR(__xludf.DUMMYFUNCTION("""COMPUTED_VALUE"""),"INTERMEDIATE WASHER")</f>
        <v>INTERMEDIATE WASHER</v>
      </c>
      <c r="G113" s="74"/>
      <c r="H113" s="74"/>
      <c r="I113" s="74" t="str">
        <f>IFERROR(__xludf.DUMMYFUNCTION("""COMPUTED_VALUE"""),"0730-102-816")</f>
        <v>0730-102-816</v>
      </c>
      <c r="J113" s="74"/>
      <c r="K113" s="74" t="str">
        <f>IFERROR(__xludf.DUMMYFUNCTION("""COMPUTED_VALUE"""),"Olla Revolvedora")</f>
        <v>Olla Revolvedora</v>
      </c>
      <c r="L113" s="74" t="str">
        <f>IFERROR(__xludf.DUMMYFUNCTION("""COMPUTED_VALUE"""),"Componentes estructurales y de montaje")</f>
        <v>Componentes estructurales y de montaje</v>
      </c>
      <c r="M113" s="74" t="str">
        <f>IFERROR(__xludf.DUMMYFUNCTION("""COMPUTED_VALUE"""),"Sin Asignar")</f>
        <v>Sin Asignar</v>
      </c>
      <c r="N113" s="87">
        <f>IFERROR(__xludf.DUMMYFUNCTION("""COMPUTED_VALUE"""),0.0)</f>
        <v>0</v>
      </c>
      <c r="O113" s="74"/>
      <c r="P113" s="74" t="str">
        <f>IFERROR(__xludf.DUMMYFUNCTION("""COMPUTED_VALUE"""),"No Available")</f>
        <v>No Available</v>
      </c>
      <c r="Q113" s="74"/>
      <c r="R113" s="74"/>
      <c r="S113" s="87">
        <f>IFERROR(__xludf.DUMMYFUNCTION("""COMPUTED_VALUE"""),0.0)</f>
        <v>0</v>
      </c>
      <c r="T113" s="87">
        <f>IFERROR(__xludf.DUMMYFUNCTION("""COMPUTED_VALUE"""),0.0)</f>
        <v>0</v>
      </c>
      <c r="U113" s="87">
        <f>IFERROR(__xludf.DUMMYFUNCTION("""COMPUTED_VALUE"""),0.0)</f>
        <v>0</v>
      </c>
      <c r="V113" s="87">
        <f>IFERROR(__xludf.DUMMYFUNCTION("""COMPUTED_VALUE"""),0.0)</f>
        <v>0</v>
      </c>
      <c r="W113" s="87">
        <f>IFERROR(__xludf.DUMMYFUNCTION("""COMPUTED_VALUE"""),0.0)</f>
        <v>0</v>
      </c>
      <c r="X113" s="88"/>
      <c r="Y113" s="74"/>
      <c r="Z113" s="74"/>
    </row>
    <row r="114">
      <c r="B114" s="74" t="str">
        <f>IFERROR(__xludf.DUMMYFUNCTION("""COMPUTED_VALUE"""),"1111")</f>
        <v>1111</v>
      </c>
      <c r="C114" s="74"/>
      <c r="D114" s="74" t="str">
        <f>IFERROR(__xludf.DUMMYFUNCTION("""COMPUTED_VALUE"""),"\\MCA-S\mk\2_BM\0_BMat\08_PYM\Inventario\excel\Imagen de refacciones\Ollas revolvedoras\PLANETARY GEAR")</f>
        <v>\\MCA-S\mk\2_BM\0_BMat\08_PYM\Inventario\excel\Imagen de refacciones\Ollas revolvedoras\PLANETARY GEAR</v>
      </c>
      <c r="E114" s="74"/>
      <c r="F114" s="74" t="str">
        <f>IFERROR(__xludf.DUMMYFUNCTION("""COMPUTED_VALUE"""),"PLANETARY GEAR")</f>
        <v>PLANETARY GEAR</v>
      </c>
      <c r="G114" s="74"/>
      <c r="H114" s="74"/>
      <c r="I114" s="74" t="str">
        <f>IFERROR(__xludf.DUMMYFUNCTION("""COMPUTED_VALUE"""),"4108-303-298")</f>
        <v>4108-303-298</v>
      </c>
      <c r="J114" s="74"/>
      <c r="K114" s="74" t="str">
        <f>IFERROR(__xludf.DUMMYFUNCTION("""COMPUTED_VALUE"""),"Olla Revolvedora")</f>
        <v>Olla Revolvedora</v>
      </c>
      <c r="L114" s="74" t="str">
        <f>IFERROR(__xludf.DUMMYFUNCTION("""COMPUTED_VALUE"""),"Transmisión mecánica")</f>
        <v>Transmisión mecánica</v>
      </c>
      <c r="M114" s="74" t="str">
        <f>IFERROR(__xludf.DUMMYFUNCTION("""COMPUTED_VALUE"""),"Sin Asignar")</f>
        <v>Sin Asignar</v>
      </c>
      <c r="N114" s="87">
        <f>IFERROR(__xludf.DUMMYFUNCTION("""COMPUTED_VALUE"""),0.0)</f>
        <v>0</v>
      </c>
      <c r="O114" s="74"/>
      <c r="P114" s="74" t="str">
        <f>IFERROR(__xludf.DUMMYFUNCTION("""COMPUTED_VALUE"""),"No Available")</f>
        <v>No Available</v>
      </c>
      <c r="Q114" s="74"/>
      <c r="R114" s="74"/>
      <c r="S114" s="87">
        <f>IFERROR(__xludf.DUMMYFUNCTION("""COMPUTED_VALUE"""),0.0)</f>
        <v>0</v>
      </c>
      <c r="T114" s="87">
        <f>IFERROR(__xludf.DUMMYFUNCTION("""COMPUTED_VALUE"""),0.0)</f>
        <v>0</v>
      </c>
      <c r="U114" s="87">
        <f>IFERROR(__xludf.DUMMYFUNCTION("""COMPUTED_VALUE"""),0.0)</f>
        <v>0</v>
      </c>
      <c r="V114" s="87">
        <f>IFERROR(__xludf.DUMMYFUNCTION("""COMPUTED_VALUE"""),0.0)</f>
        <v>0</v>
      </c>
      <c r="W114" s="87">
        <f>IFERROR(__xludf.DUMMYFUNCTION("""COMPUTED_VALUE"""),0.0)</f>
        <v>0</v>
      </c>
      <c r="X114" s="88"/>
      <c r="Y114" s="74"/>
      <c r="Z114" s="74"/>
    </row>
    <row r="115">
      <c r="B115" s="74" t="str">
        <f>IFERROR(__xludf.DUMMYFUNCTION("""COMPUTED_VALUE"""),"1112")</f>
        <v>1112</v>
      </c>
      <c r="C115" s="74"/>
      <c r="D115" s="74" t="str">
        <f>IFERROR(__xludf.DUMMYFUNCTION("""COMPUTED_VALUE"""),"\\MCA-S\mk\2_BM\0_BMat\08_PYM\Inventario\excel\Imagen de refacciones\Ollas revolvedoras\NEEDLE BEARING")</f>
        <v>\\MCA-S\mk\2_BM\0_BMat\08_PYM\Inventario\excel\Imagen de refacciones\Ollas revolvedoras\NEEDLE BEARING</v>
      </c>
      <c r="E115" s="74"/>
      <c r="F115" s="74" t="str">
        <f>IFERROR(__xludf.DUMMYFUNCTION("""COMPUTED_VALUE"""),"NEEDLE BEARING")</f>
        <v>NEEDLE BEARING</v>
      </c>
      <c r="G115" s="74"/>
      <c r="H115" s="74"/>
      <c r="I115" s="74" t="str">
        <f>IFERROR(__xludf.DUMMYFUNCTION("""COMPUTED_VALUE"""),"0750 119-092")</f>
        <v>0750 119-092</v>
      </c>
      <c r="J115" s="74"/>
      <c r="K115" s="74" t="str">
        <f>IFERROR(__xludf.DUMMYFUNCTION("""COMPUTED_VALUE"""),"Olla Revolvedora")</f>
        <v>Olla Revolvedora</v>
      </c>
      <c r="L115" s="74" t="str">
        <f>IFERROR(__xludf.DUMMYFUNCTION("""COMPUTED_VALUE"""),"Transmisión mecánica")</f>
        <v>Transmisión mecánica</v>
      </c>
      <c r="M115" s="74" t="str">
        <f>IFERROR(__xludf.DUMMYFUNCTION("""COMPUTED_VALUE"""),"Sin Asignar")</f>
        <v>Sin Asignar</v>
      </c>
      <c r="N115" s="87">
        <f>IFERROR(__xludf.DUMMYFUNCTION("""COMPUTED_VALUE"""),0.0)</f>
        <v>0</v>
      </c>
      <c r="O115" s="74"/>
      <c r="P115" s="74" t="str">
        <f>IFERROR(__xludf.DUMMYFUNCTION("""COMPUTED_VALUE"""),"No Available")</f>
        <v>No Available</v>
      </c>
      <c r="Q115" s="74"/>
      <c r="R115" s="74"/>
      <c r="S115" s="87">
        <f>IFERROR(__xludf.DUMMYFUNCTION("""COMPUTED_VALUE"""),0.0)</f>
        <v>0</v>
      </c>
      <c r="T115" s="87">
        <f>IFERROR(__xludf.DUMMYFUNCTION("""COMPUTED_VALUE"""),0.0)</f>
        <v>0</v>
      </c>
      <c r="U115" s="87">
        <f>IFERROR(__xludf.DUMMYFUNCTION("""COMPUTED_VALUE"""),0.0)</f>
        <v>0</v>
      </c>
      <c r="V115" s="87">
        <f>IFERROR(__xludf.DUMMYFUNCTION("""COMPUTED_VALUE"""),0.0)</f>
        <v>0</v>
      </c>
      <c r="W115" s="87">
        <f>IFERROR(__xludf.DUMMYFUNCTION("""COMPUTED_VALUE"""),0.0)</f>
        <v>0</v>
      </c>
      <c r="X115" s="88"/>
      <c r="Y115" s="74"/>
      <c r="Z115" s="74"/>
    </row>
    <row r="116">
      <c r="B116" s="74" t="str">
        <f>IFERROR(__xludf.DUMMYFUNCTION("""COMPUTED_VALUE"""),"1113")</f>
        <v>1113</v>
      </c>
      <c r="C116" s="74" t="str">
        <f>IFERROR(__xludf.DUMMYFUNCTION("""COMPUTED_VALUE"""),"75045891113")</f>
        <v>75045891113</v>
      </c>
      <c r="D116" s="74" t="str">
        <f>IFERROR(__xludf.DUMMYFUNCTION("""COMPUTED_VALUE"""),"\\MCA-S\mk\2_BM\0_BMat\08_PYM\Inventario\excel\Imagen de refacciones\Ollas revolvedoras\Ball Bearing")</f>
        <v>\\MCA-S\mk\2_BM\0_BMat\08_PYM\Inventario\excel\Imagen de refacciones\Ollas revolvedoras\Ball Bearing</v>
      </c>
      <c r="E116" s="74" t="str">
        <f>IFERROR(__xludf.DUMMYFUNCTION("""COMPUTED_VALUE"""),"BALL BEARING")</f>
        <v>BALL BEARING</v>
      </c>
      <c r="F116" s="74" t="str">
        <f>IFERROR(__xludf.DUMMYFUNCTION("""COMPUTED_VALUE"""),"BALERO P/REDUCTOR ZF")</f>
        <v>BALERO P/REDUCTOR ZF</v>
      </c>
      <c r="G116" s="74"/>
      <c r="H116" s="74"/>
      <c r="I116" s="74" t="str">
        <f>IFERROR(__xludf.DUMMYFUNCTION("""COMPUTED_VALUE"""),"0750-116-322")</f>
        <v>0750-116-322</v>
      </c>
      <c r="J116" s="74" t="str">
        <f>IFERROR(__xludf.DUMMYFUNCTION("""COMPUTED_VALUE"""),"0750116322")</f>
        <v>0750116322</v>
      </c>
      <c r="K116" s="74" t="str">
        <f>IFERROR(__xludf.DUMMYFUNCTION("""COMPUTED_VALUE"""),"Olla Revolvedora")</f>
        <v>Olla Revolvedora</v>
      </c>
      <c r="L116" s="74" t="str">
        <f>IFERROR(__xludf.DUMMYFUNCTION("""COMPUTED_VALUE"""),"Transmisión mecánica")</f>
        <v>Transmisión mecánica</v>
      </c>
      <c r="M116" s="74" t="str">
        <f>IFERROR(__xludf.DUMMYFUNCTION("""COMPUTED_VALUE"""),"BALEROS")</f>
        <v>BALEROS</v>
      </c>
      <c r="N116" s="87">
        <f>IFERROR(__xludf.DUMMYFUNCTION("""COMPUTED_VALUE"""),0.0)</f>
        <v>0</v>
      </c>
      <c r="O116" s="74"/>
      <c r="P116" s="74" t="str">
        <f>IFERROR(__xludf.DUMMYFUNCTION("""COMPUTED_VALUE"""),"To Re-purchase")</f>
        <v>To Re-purchase</v>
      </c>
      <c r="Q116" s="74"/>
      <c r="R116" s="74"/>
      <c r="S116" s="87">
        <f>IFERROR(__xludf.DUMMYFUNCTION("""COMPUTED_VALUE"""),0.0)</f>
        <v>0</v>
      </c>
      <c r="T116" s="87">
        <f>IFERROR(__xludf.DUMMYFUNCTION("""COMPUTED_VALUE"""),0.0)</f>
        <v>0</v>
      </c>
      <c r="U116" s="87">
        <f>IFERROR(__xludf.DUMMYFUNCTION("""COMPUTED_VALUE"""),0.0)</f>
        <v>0</v>
      </c>
      <c r="V116" s="87">
        <f>IFERROR(__xludf.DUMMYFUNCTION("""COMPUTED_VALUE"""),0.0)</f>
        <v>0</v>
      </c>
      <c r="W116" s="87">
        <f>IFERROR(__xludf.DUMMYFUNCTION("""COMPUTED_VALUE"""),0.0)</f>
        <v>0</v>
      </c>
      <c r="X116" s="88"/>
      <c r="Y116" s="74"/>
      <c r="Z116" s="74"/>
    </row>
    <row r="117">
      <c r="B117" s="74" t="str">
        <f>IFERROR(__xludf.DUMMYFUNCTION("""COMPUTED_VALUE"""),"1114")</f>
        <v>1114</v>
      </c>
      <c r="C117" s="74"/>
      <c r="D117" s="74" t="str">
        <f>IFERROR(__xludf.DUMMYFUNCTION("""COMPUTED_VALUE"""),"\\MCA-S\mk\2_BM\0_BMat\08_PYM\Inventario\excel\Imagen de refacciones\Ollas revolvedoras\SNAP RING")</f>
        <v>\\MCA-S\mk\2_BM\0_BMat\08_PYM\Inventario\excel\Imagen de refacciones\Ollas revolvedoras\SNAP RING</v>
      </c>
      <c r="E117" s="74"/>
      <c r="F117" s="74" t="str">
        <f>IFERROR(__xludf.DUMMYFUNCTION("""COMPUTED_VALUE"""),"SNAP RING")</f>
        <v>SNAP RING</v>
      </c>
      <c r="G117" s="74"/>
      <c r="H117" s="74"/>
      <c r="I117" s="74" t="str">
        <f>IFERROR(__xludf.DUMMYFUNCTION("""COMPUTED_VALUE"""),"0630 503-018")</f>
        <v>0630 503-018</v>
      </c>
      <c r="J117" s="74"/>
      <c r="K117" s="74" t="str">
        <f>IFERROR(__xludf.DUMMYFUNCTION("""COMPUTED_VALUE"""),"Olla Revolvedora")</f>
        <v>Olla Revolvedora</v>
      </c>
      <c r="L117" s="74" t="str">
        <f>IFERROR(__xludf.DUMMYFUNCTION("""COMPUTED_VALUE"""),"Componentes estructurales y de montaje")</f>
        <v>Componentes estructurales y de montaje</v>
      </c>
      <c r="M117" s="74" t="str">
        <f>IFERROR(__xludf.DUMMYFUNCTION("""COMPUTED_VALUE"""),"Sin Asignar")</f>
        <v>Sin Asignar</v>
      </c>
      <c r="N117" s="87">
        <f>IFERROR(__xludf.DUMMYFUNCTION("""COMPUTED_VALUE"""),0.0)</f>
        <v>0</v>
      </c>
      <c r="O117" s="74"/>
      <c r="P117" s="74" t="str">
        <f>IFERROR(__xludf.DUMMYFUNCTION("""COMPUTED_VALUE"""),"No Available")</f>
        <v>No Available</v>
      </c>
      <c r="Q117" s="74"/>
      <c r="R117" s="74"/>
      <c r="S117" s="87">
        <f>IFERROR(__xludf.DUMMYFUNCTION("""COMPUTED_VALUE"""),0.0)</f>
        <v>0</v>
      </c>
      <c r="T117" s="87">
        <f>IFERROR(__xludf.DUMMYFUNCTION("""COMPUTED_VALUE"""),0.0)</f>
        <v>0</v>
      </c>
      <c r="U117" s="87">
        <f>IFERROR(__xludf.DUMMYFUNCTION("""COMPUTED_VALUE"""),0.0)</f>
        <v>0</v>
      </c>
      <c r="V117" s="87">
        <f>IFERROR(__xludf.DUMMYFUNCTION("""COMPUTED_VALUE"""),0.0)</f>
        <v>0</v>
      </c>
      <c r="W117" s="87">
        <f>IFERROR(__xludf.DUMMYFUNCTION("""COMPUTED_VALUE"""),0.0)</f>
        <v>0</v>
      </c>
      <c r="X117" s="88"/>
      <c r="Y117" s="74"/>
      <c r="Z117" s="74"/>
    </row>
    <row r="118">
      <c r="B118" s="74" t="str">
        <f>IFERROR(__xludf.DUMMYFUNCTION("""COMPUTED_VALUE"""),"1115")</f>
        <v>1115</v>
      </c>
      <c r="C118" s="74"/>
      <c r="D118" s="74" t="str">
        <f>IFERROR(__xludf.DUMMYFUNCTION("""COMPUTED_VALUE"""),"\\MCA-S\mk\2_BM\0_BMat\08_PYM\Inventario\excel\Imagen de refacciones\Ollas revolvedoras\BEARING COVER")</f>
        <v>\\MCA-S\mk\2_BM\0_BMat\08_PYM\Inventario\excel\Imagen de refacciones\Ollas revolvedoras\BEARING COVER</v>
      </c>
      <c r="E118" s="74"/>
      <c r="F118" s="74" t="str">
        <f>IFERROR(__xludf.DUMMYFUNCTION("""COMPUTED_VALUE"""),"BEARING COVER")</f>
        <v>BEARING COVER</v>
      </c>
      <c r="G118" s="74"/>
      <c r="H118" s="74"/>
      <c r="I118" s="74" t="str">
        <f>IFERROR(__xludf.DUMMYFUNCTION("""COMPUTED_VALUE"""),"4108-301-293")</f>
        <v>4108-301-293</v>
      </c>
      <c r="J118" s="74"/>
      <c r="K118" s="74" t="str">
        <f>IFERROR(__xludf.DUMMYFUNCTION("""COMPUTED_VALUE"""),"Olla Revolvedora")</f>
        <v>Olla Revolvedora</v>
      </c>
      <c r="L118" s="74" t="str">
        <f>IFERROR(__xludf.DUMMYFUNCTION("""COMPUTED_VALUE"""),"Componentes estructurales y de montaje")</f>
        <v>Componentes estructurales y de montaje</v>
      </c>
      <c r="M118" s="74" t="str">
        <f>IFERROR(__xludf.DUMMYFUNCTION("""COMPUTED_VALUE"""),"Sin Asignar")</f>
        <v>Sin Asignar</v>
      </c>
      <c r="N118" s="87">
        <f>IFERROR(__xludf.DUMMYFUNCTION("""COMPUTED_VALUE"""),0.0)</f>
        <v>0</v>
      </c>
      <c r="O118" s="74"/>
      <c r="P118" s="74" t="str">
        <f>IFERROR(__xludf.DUMMYFUNCTION("""COMPUTED_VALUE"""),"No Available")</f>
        <v>No Available</v>
      </c>
      <c r="Q118" s="74"/>
      <c r="R118" s="74"/>
      <c r="S118" s="87">
        <f>IFERROR(__xludf.DUMMYFUNCTION("""COMPUTED_VALUE"""),0.0)</f>
        <v>0</v>
      </c>
      <c r="T118" s="87">
        <f>IFERROR(__xludf.DUMMYFUNCTION("""COMPUTED_VALUE"""),0.0)</f>
        <v>0</v>
      </c>
      <c r="U118" s="87">
        <f>IFERROR(__xludf.DUMMYFUNCTION("""COMPUTED_VALUE"""),0.0)</f>
        <v>0</v>
      </c>
      <c r="V118" s="87">
        <f>IFERROR(__xludf.DUMMYFUNCTION("""COMPUTED_VALUE"""),0.0)</f>
        <v>0</v>
      </c>
      <c r="W118" s="87">
        <f>IFERROR(__xludf.DUMMYFUNCTION("""COMPUTED_VALUE"""),0.0)</f>
        <v>0</v>
      </c>
      <c r="X118" s="88"/>
      <c r="Y118" s="74"/>
      <c r="Z118" s="74"/>
    </row>
    <row r="119">
      <c r="B119" s="74" t="str">
        <f>IFERROR(__xludf.DUMMYFUNCTION("""COMPUTED_VALUE"""),"1116")</f>
        <v>1116</v>
      </c>
      <c r="C119" s="74"/>
      <c r="D119" s="74" t="str">
        <f>IFERROR(__xludf.DUMMYFUNCTION("""COMPUTED_VALUE"""),"\\MCA-S\mk\2_BM\0_BMat\08_PYM\Inventario\excel\Imagen de refacciones\Ollas revolvedoras\Planetary carrier (1)")</f>
        <v>\\MCA-S\mk\2_BM\0_BMat\08_PYM\Inventario\excel\Imagen de refacciones\Ollas revolvedoras\Planetary carrier (1)</v>
      </c>
      <c r="E119" s="74"/>
      <c r="F119" s="74" t="str">
        <f>IFERROR(__xludf.DUMMYFUNCTION("""COMPUTED_VALUE"""),"Planetary carrier")</f>
        <v>Planetary carrier</v>
      </c>
      <c r="G119" s="74"/>
      <c r="H119" s="74"/>
      <c r="I119" s="74" t="str">
        <f>IFERROR(__xludf.DUMMYFUNCTION("""COMPUTED_VALUE"""),"4108-302-192")</f>
        <v>4108-302-192</v>
      </c>
      <c r="J119" s="74"/>
      <c r="K119" s="74" t="str">
        <f>IFERROR(__xludf.DUMMYFUNCTION("""COMPUTED_VALUE"""),"Olla Revolvedora")</f>
        <v>Olla Revolvedora</v>
      </c>
      <c r="L119" s="74" t="str">
        <f>IFERROR(__xludf.DUMMYFUNCTION("""COMPUTED_VALUE"""),"Transmisión mecánica")</f>
        <v>Transmisión mecánica</v>
      </c>
      <c r="M119" s="74" t="str">
        <f>IFERROR(__xludf.DUMMYFUNCTION("""COMPUTED_VALUE"""),"Sin Asignar")</f>
        <v>Sin Asignar</v>
      </c>
      <c r="N119" s="87">
        <f>IFERROR(__xludf.DUMMYFUNCTION("""COMPUTED_VALUE"""),0.0)</f>
        <v>0</v>
      </c>
      <c r="O119" s="74"/>
      <c r="P119" s="74" t="str">
        <f>IFERROR(__xludf.DUMMYFUNCTION("""COMPUTED_VALUE"""),"No Available")</f>
        <v>No Available</v>
      </c>
      <c r="Q119" s="74"/>
      <c r="R119" s="74"/>
      <c r="S119" s="87">
        <f>IFERROR(__xludf.DUMMYFUNCTION("""COMPUTED_VALUE"""),0.0)</f>
        <v>0</v>
      </c>
      <c r="T119" s="87">
        <f>IFERROR(__xludf.DUMMYFUNCTION("""COMPUTED_VALUE"""),0.0)</f>
        <v>0</v>
      </c>
      <c r="U119" s="87">
        <f>IFERROR(__xludf.DUMMYFUNCTION("""COMPUTED_VALUE"""),0.0)</f>
        <v>0</v>
      </c>
      <c r="V119" s="87">
        <f>IFERROR(__xludf.DUMMYFUNCTION("""COMPUTED_VALUE"""),0.0)</f>
        <v>0</v>
      </c>
      <c r="W119" s="87">
        <f>IFERROR(__xludf.DUMMYFUNCTION("""COMPUTED_VALUE"""),0.0)</f>
        <v>0</v>
      </c>
      <c r="X119" s="88"/>
      <c r="Y119" s="74"/>
      <c r="Z119" s="74"/>
    </row>
    <row r="120">
      <c r="B120" s="74" t="str">
        <f>IFERROR(__xludf.DUMMYFUNCTION("""COMPUTED_VALUE"""),"1117")</f>
        <v>1117</v>
      </c>
      <c r="C120" s="74"/>
      <c r="D120" s="74" t="str">
        <f>IFERROR(__xludf.DUMMYFUNCTION("""COMPUTED_VALUE"""),"\\MCA-S\mk\2_BM\0_BMat\08_PYM\Inventario\excel\Imagen de refacciones\Ollas revolvedoras\Bearing plate")</f>
        <v>\\MCA-S\mk\2_BM\0_BMat\08_PYM\Inventario\excel\Imagen de refacciones\Ollas revolvedoras\Bearing plate</v>
      </c>
      <c r="E120" s="74"/>
      <c r="F120" s="74" t="str">
        <f>IFERROR(__xludf.DUMMYFUNCTION("""COMPUTED_VALUE"""),"Bearing plate")</f>
        <v>Bearing plate</v>
      </c>
      <c r="G120" s="74"/>
      <c r="H120" s="74"/>
      <c r="I120" s="74" t="str">
        <f>IFERROR(__xludf.DUMMYFUNCTION("""COMPUTED_VALUE"""),"4108-302-007")</f>
        <v>4108-302-007</v>
      </c>
      <c r="J120" s="74"/>
      <c r="K120" s="74" t="str">
        <f>IFERROR(__xludf.DUMMYFUNCTION("""COMPUTED_VALUE"""),"Olla Revolvedora")</f>
        <v>Olla Revolvedora</v>
      </c>
      <c r="L120" s="74" t="str">
        <f>IFERROR(__xludf.DUMMYFUNCTION("""COMPUTED_VALUE"""),"Componentes estructurales y de montaje")</f>
        <v>Componentes estructurales y de montaje</v>
      </c>
      <c r="M120" s="74" t="str">
        <f>IFERROR(__xludf.DUMMYFUNCTION("""COMPUTED_VALUE"""),"Sin Asignar")</f>
        <v>Sin Asignar</v>
      </c>
      <c r="N120" s="87">
        <f>IFERROR(__xludf.DUMMYFUNCTION("""COMPUTED_VALUE"""),0.0)</f>
        <v>0</v>
      </c>
      <c r="O120" s="74"/>
      <c r="P120" s="74" t="str">
        <f>IFERROR(__xludf.DUMMYFUNCTION("""COMPUTED_VALUE"""),"No Available")</f>
        <v>No Available</v>
      </c>
      <c r="Q120" s="74"/>
      <c r="R120" s="74"/>
      <c r="S120" s="87">
        <f>IFERROR(__xludf.DUMMYFUNCTION("""COMPUTED_VALUE"""),0.0)</f>
        <v>0</v>
      </c>
      <c r="T120" s="87">
        <f>IFERROR(__xludf.DUMMYFUNCTION("""COMPUTED_VALUE"""),0.0)</f>
        <v>0</v>
      </c>
      <c r="U120" s="87">
        <f>IFERROR(__xludf.DUMMYFUNCTION("""COMPUTED_VALUE"""),0.0)</f>
        <v>0</v>
      </c>
      <c r="V120" s="87">
        <f>IFERROR(__xludf.DUMMYFUNCTION("""COMPUTED_VALUE"""),0.0)</f>
        <v>0</v>
      </c>
      <c r="W120" s="87">
        <f>IFERROR(__xludf.DUMMYFUNCTION("""COMPUTED_VALUE"""),0.0)</f>
        <v>0</v>
      </c>
      <c r="X120" s="88"/>
      <c r="Y120" s="74"/>
      <c r="Z120" s="74"/>
    </row>
    <row r="121">
      <c r="B121" s="74" t="str">
        <f>IFERROR(__xludf.DUMMYFUNCTION("""COMPUTED_VALUE"""),"1118")</f>
        <v>1118</v>
      </c>
      <c r="C121" s="74"/>
      <c r="D121" s="74" t="str">
        <f>IFERROR(__xludf.DUMMYFUNCTION("""COMPUTED_VALUE"""),"\\MCA-S\mk\2_BM\0_BMat\08_PYM\Inventario\excel\Imagen de refacciones\Ollas revolvedoras\BALL BEARING (1)")</f>
        <v>\\MCA-S\mk\2_BM\0_BMat\08_PYM\Inventario\excel\Imagen de refacciones\Ollas revolvedoras\BALL BEARING (1)</v>
      </c>
      <c r="E121" s="74"/>
      <c r="F121" s="74" t="str">
        <f>IFERROR(__xludf.DUMMYFUNCTION("""COMPUTED_VALUE"""),"BALL BEARING")</f>
        <v>BALL BEARING</v>
      </c>
      <c r="G121" s="74"/>
      <c r="H121" s="74"/>
      <c r="I121" s="74" t="str">
        <f>IFERROR(__xludf.DUMMYFUNCTION("""COMPUTED_VALUE"""),"0750-116-343")</f>
        <v>0750-116-343</v>
      </c>
      <c r="J121" s="74"/>
      <c r="K121" s="74" t="str">
        <f>IFERROR(__xludf.DUMMYFUNCTION("""COMPUTED_VALUE"""),"Olla Revolvedora")</f>
        <v>Olla Revolvedora</v>
      </c>
      <c r="L121" s="74" t="str">
        <f>IFERROR(__xludf.DUMMYFUNCTION("""COMPUTED_VALUE"""),"Transmisión mecánica")</f>
        <v>Transmisión mecánica</v>
      </c>
      <c r="M121" s="74" t="str">
        <f>IFERROR(__xludf.DUMMYFUNCTION("""COMPUTED_VALUE"""),"Sin Asignar")</f>
        <v>Sin Asignar</v>
      </c>
      <c r="N121" s="87">
        <f>IFERROR(__xludf.DUMMYFUNCTION("""COMPUTED_VALUE"""),0.0)</f>
        <v>0</v>
      </c>
      <c r="O121" s="74"/>
      <c r="P121" s="74" t="str">
        <f>IFERROR(__xludf.DUMMYFUNCTION("""COMPUTED_VALUE"""),"No Available")</f>
        <v>No Available</v>
      </c>
      <c r="Q121" s="74"/>
      <c r="R121" s="74"/>
      <c r="S121" s="87">
        <f>IFERROR(__xludf.DUMMYFUNCTION("""COMPUTED_VALUE"""),0.0)</f>
        <v>0</v>
      </c>
      <c r="T121" s="87">
        <f>IFERROR(__xludf.DUMMYFUNCTION("""COMPUTED_VALUE"""),0.0)</f>
        <v>0</v>
      </c>
      <c r="U121" s="87">
        <f>IFERROR(__xludf.DUMMYFUNCTION("""COMPUTED_VALUE"""),0.0)</f>
        <v>0</v>
      </c>
      <c r="V121" s="87">
        <f>IFERROR(__xludf.DUMMYFUNCTION("""COMPUTED_VALUE"""),0.0)</f>
        <v>0</v>
      </c>
      <c r="W121" s="87">
        <f>IFERROR(__xludf.DUMMYFUNCTION("""COMPUTED_VALUE"""),0.0)</f>
        <v>0</v>
      </c>
      <c r="X121" s="88"/>
      <c r="Y121" s="74"/>
      <c r="Z121" s="74"/>
    </row>
    <row r="122">
      <c r="B122" s="74" t="str">
        <f>IFERROR(__xludf.DUMMYFUNCTION("""COMPUTED_VALUE"""),"1119")</f>
        <v>1119</v>
      </c>
      <c r="C122" s="74"/>
      <c r="D122" s="74" t="str">
        <f>IFERROR(__xludf.DUMMYFUNCTION("""COMPUTED_VALUE"""),"\\MCA-S\mk\2_BM\0_BMat\08_PYM\Inventario\excel\Imagen de refacciones\Ollas revolvedoras\BEARING PIN")</f>
        <v>\\MCA-S\mk\2_BM\0_BMat\08_PYM\Inventario\excel\Imagen de refacciones\Ollas revolvedoras\BEARING PIN</v>
      </c>
      <c r="E122" s="74"/>
      <c r="F122" s="74" t="str">
        <f>IFERROR(__xludf.DUMMYFUNCTION("""COMPUTED_VALUE"""),"BEARING PIN")</f>
        <v>BEARING PIN</v>
      </c>
      <c r="G122" s="74"/>
      <c r="H122" s="74"/>
      <c r="I122" s="74" t="str">
        <f>IFERROR(__xludf.DUMMYFUNCTION("""COMPUTED_VALUE"""),"4108-302-062")</f>
        <v>4108-302-062</v>
      </c>
      <c r="J122" s="74"/>
      <c r="K122" s="74" t="str">
        <f>IFERROR(__xludf.DUMMYFUNCTION("""COMPUTED_VALUE"""),"Olla Revolvedora")</f>
        <v>Olla Revolvedora</v>
      </c>
      <c r="L122" s="74" t="str">
        <f>IFERROR(__xludf.DUMMYFUNCTION("""COMPUTED_VALUE"""),"Transmisión mecánica")</f>
        <v>Transmisión mecánica</v>
      </c>
      <c r="M122" s="74" t="str">
        <f>IFERROR(__xludf.DUMMYFUNCTION("""COMPUTED_VALUE"""),"Sin Asignar")</f>
        <v>Sin Asignar</v>
      </c>
      <c r="N122" s="87">
        <f>IFERROR(__xludf.DUMMYFUNCTION("""COMPUTED_VALUE"""),0.0)</f>
        <v>0</v>
      </c>
      <c r="O122" s="74"/>
      <c r="P122" s="74" t="str">
        <f>IFERROR(__xludf.DUMMYFUNCTION("""COMPUTED_VALUE"""),"No Available")</f>
        <v>No Available</v>
      </c>
      <c r="Q122" s="74"/>
      <c r="R122" s="74"/>
      <c r="S122" s="87">
        <f>IFERROR(__xludf.DUMMYFUNCTION("""COMPUTED_VALUE"""),0.0)</f>
        <v>0</v>
      </c>
      <c r="T122" s="87">
        <f>IFERROR(__xludf.DUMMYFUNCTION("""COMPUTED_VALUE"""),0.0)</f>
        <v>0</v>
      </c>
      <c r="U122" s="87">
        <f>IFERROR(__xludf.DUMMYFUNCTION("""COMPUTED_VALUE"""),0.0)</f>
        <v>0</v>
      </c>
      <c r="V122" s="87">
        <f>IFERROR(__xludf.DUMMYFUNCTION("""COMPUTED_VALUE"""),0.0)</f>
        <v>0</v>
      </c>
      <c r="W122" s="87">
        <f>IFERROR(__xludf.DUMMYFUNCTION("""COMPUTED_VALUE"""),0.0)</f>
        <v>0</v>
      </c>
      <c r="X122" s="88"/>
      <c r="Y122" s="74"/>
      <c r="Z122" s="74"/>
    </row>
    <row r="123">
      <c r="B123" s="74" t="str">
        <f>IFERROR(__xludf.DUMMYFUNCTION("""COMPUTED_VALUE"""),"1120")</f>
        <v>1120</v>
      </c>
      <c r="C123" s="74"/>
      <c r="D123" s="74" t="str">
        <f>IFERROR(__xludf.DUMMYFUNCTION("""COMPUTED_VALUE"""),"\\MCA-S\mk\2_BM\0_BMat\08_PYM\Inventario\excel\Imagen de refacciones\Ollas revolvedoras\PLANETARY GEAR (1)")</f>
        <v>\\MCA-S\mk\2_BM\0_BMat\08_PYM\Inventario\excel\Imagen de refacciones\Ollas revolvedoras\PLANETARY GEAR (1)</v>
      </c>
      <c r="E123" s="74"/>
      <c r="F123" s="74" t="str">
        <f>IFERROR(__xludf.DUMMYFUNCTION("""COMPUTED_VALUE"""),"PLANETARY GEAR")</f>
        <v>PLANETARY GEAR</v>
      </c>
      <c r="G123" s="74"/>
      <c r="H123" s="74"/>
      <c r="I123" s="74" t="str">
        <f>IFERROR(__xludf.DUMMYFUNCTION("""COMPUTED_VALUE"""),"4108-302-190")</f>
        <v>4108-302-190</v>
      </c>
      <c r="J123" s="74"/>
      <c r="K123" s="74" t="str">
        <f>IFERROR(__xludf.DUMMYFUNCTION("""COMPUTED_VALUE"""),"Olla Revolvedora")</f>
        <v>Olla Revolvedora</v>
      </c>
      <c r="L123" s="74" t="str">
        <f>IFERROR(__xludf.DUMMYFUNCTION("""COMPUTED_VALUE"""),"Transmisión mecánica")</f>
        <v>Transmisión mecánica</v>
      </c>
      <c r="M123" s="74" t="str">
        <f>IFERROR(__xludf.DUMMYFUNCTION("""COMPUTED_VALUE"""),"Sin Asignar")</f>
        <v>Sin Asignar</v>
      </c>
      <c r="N123" s="87">
        <f>IFERROR(__xludf.DUMMYFUNCTION("""COMPUTED_VALUE"""),0.0)</f>
        <v>0</v>
      </c>
      <c r="O123" s="74"/>
      <c r="P123" s="74" t="str">
        <f>IFERROR(__xludf.DUMMYFUNCTION("""COMPUTED_VALUE"""),"No Available")</f>
        <v>No Available</v>
      </c>
      <c r="Q123" s="74"/>
      <c r="R123" s="74"/>
      <c r="S123" s="87">
        <f>IFERROR(__xludf.DUMMYFUNCTION("""COMPUTED_VALUE"""),0.0)</f>
        <v>0</v>
      </c>
      <c r="T123" s="87">
        <f>IFERROR(__xludf.DUMMYFUNCTION("""COMPUTED_VALUE"""),0.0)</f>
        <v>0</v>
      </c>
      <c r="U123" s="87">
        <f>IFERROR(__xludf.DUMMYFUNCTION("""COMPUTED_VALUE"""),0.0)</f>
        <v>0</v>
      </c>
      <c r="V123" s="87">
        <f>IFERROR(__xludf.DUMMYFUNCTION("""COMPUTED_VALUE"""),0.0)</f>
        <v>0</v>
      </c>
      <c r="W123" s="87">
        <f>IFERROR(__xludf.DUMMYFUNCTION("""COMPUTED_VALUE"""),0.0)</f>
        <v>0</v>
      </c>
      <c r="X123" s="88"/>
      <c r="Y123" s="74"/>
      <c r="Z123" s="74"/>
    </row>
    <row r="124">
      <c r="B124" s="74" t="str">
        <f>IFERROR(__xludf.DUMMYFUNCTION("""COMPUTED_VALUE"""),"1121")</f>
        <v>1121</v>
      </c>
      <c r="C124" s="74"/>
      <c r="D124" s="74" t="str">
        <f>IFERROR(__xludf.DUMMYFUNCTION("""COMPUTED_VALUE"""),"\\MCA-S\mk\2_BM\0_BMat\08_PYM\Inventario\excel\Imagen de refacciones\Ollas revolvedoras\THRUST WASHER (1)")</f>
        <v>\\MCA-S\mk\2_BM\0_BMat\08_PYM\Inventario\excel\Imagen de refacciones\Ollas revolvedoras\THRUST WASHER (1)</v>
      </c>
      <c r="E124" s="74"/>
      <c r="F124" s="74" t="str">
        <f>IFERROR(__xludf.DUMMYFUNCTION("""COMPUTED_VALUE"""),"THRUST WASHER")</f>
        <v>THRUST WASHER</v>
      </c>
      <c r="G124" s="74"/>
      <c r="H124" s="74"/>
      <c r="I124" s="74" t="str">
        <f>IFERROR(__xludf.DUMMYFUNCTION("""COMPUTED_VALUE"""),"0730 105-878")</f>
        <v>0730 105-878</v>
      </c>
      <c r="J124" s="74"/>
      <c r="K124" s="74" t="str">
        <f>IFERROR(__xludf.DUMMYFUNCTION("""COMPUTED_VALUE"""),"Olla Revolvedora")</f>
        <v>Olla Revolvedora</v>
      </c>
      <c r="L124" s="74" t="str">
        <f>IFERROR(__xludf.DUMMYFUNCTION("""COMPUTED_VALUE"""),"Componentes estructurales y de montaje")</f>
        <v>Componentes estructurales y de montaje</v>
      </c>
      <c r="M124" s="74" t="str">
        <f>IFERROR(__xludf.DUMMYFUNCTION("""COMPUTED_VALUE"""),"Sin Asignar")</f>
        <v>Sin Asignar</v>
      </c>
      <c r="N124" s="87">
        <f>IFERROR(__xludf.DUMMYFUNCTION("""COMPUTED_VALUE"""),0.0)</f>
        <v>0</v>
      </c>
      <c r="O124" s="74"/>
      <c r="P124" s="74" t="str">
        <f>IFERROR(__xludf.DUMMYFUNCTION("""COMPUTED_VALUE"""),"No Available")</f>
        <v>No Available</v>
      </c>
      <c r="Q124" s="74"/>
      <c r="R124" s="74"/>
      <c r="S124" s="87">
        <f>IFERROR(__xludf.DUMMYFUNCTION("""COMPUTED_VALUE"""),0.0)</f>
        <v>0</v>
      </c>
      <c r="T124" s="87">
        <f>IFERROR(__xludf.DUMMYFUNCTION("""COMPUTED_VALUE"""),0.0)</f>
        <v>0</v>
      </c>
      <c r="U124" s="87">
        <f>IFERROR(__xludf.DUMMYFUNCTION("""COMPUTED_VALUE"""),0.0)</f>
        <v>0</v>
      </c>
      <c r="V124" s="87">
        <f>IFERROR(__xludf.DUMMYFUNCTION("""COMPUTED_VALUE"""),0.0)</f>
        <v>0</v>
      </c>
      <c r="W124" s="87">
        <f>IFERROR(__xludf.DUMMYFUNCTION("""COMPUTED_VALUE"""),0.0)</f>
        <v>0</v>
      </c>
      <c r="X124" s="88"/>
      <c r="Y124" s="74"/>
      <c r="Z124" s="74"/>
    </row>
    <row r="125">
      <c r="B125" s="74" t="str">
        <f>IFERROR(__xludf.DUMMYFUNCTION("""COMPUTED_VALUE"""),"1122")</f>
        <v>1122</v>
      </c>
      <c r="C125" s="74"/>
      <c r="D125" s="74" t="str">
        <f>IFERROR(__xludf.DUMMYFUNCTION("""COMPUTED_VALUE"""),"\\MCA-S\mk\2_BM\0_BMat\08_PYM\Inventario\excel\Imagen de refacciones\Ollas revolvedoras\INTERMEDIATE WASHER (1)")</f>
        <v>\\MCA-S\mk\2_BM\0_BMat\08_PYM\Inventario\excel\Imagen de refacciones\Ollas revolvedoras\INTERMEDIATE WASHER (1)</v>
      </c>
      <c r="E125" s="74"/>
      <c r="F125" s="74" t="str">
        <f>IFERROR(__xludf.DUMMYFUNCTION("""COMPUTED_VALUE"""),"INTERMEDIATE WASHER")</f>
        <v>INTERMEDIATE WASHER</v>
      </c>
      <c r="G125" s="74"/>
      <c r="H125" s="74"/>
      <c r="I125" s="74" t="str">
        <f>IFERROR(__xludf.DUMMYFUNCTION("""COMPUTED_VALUE"""),"0730-102-644")</f>
        <v>0730-102-644</v>
      </c>
      <c r="J125" s="74"/>
      <c r="K125" s="74" t="str">
        <f>IFERROR(__xludf.DUMMYFUNCTION("""COMPUTED_VALUE"""),"Olla Revolvedora")</f>
        <v>Olla Revolvedora</v>
      </c>
      <c r="L125" s="74" t="str">
        <f>IFERROR(__xludf.DUMMYFUNCTION("""COMPUTED_VALUE"""),"Componentes estructurales y de montaje")</f>
        <v>Componentes estructurales y de montaje</v>
      </c>
      <c r="M125" s="74" t="str">
        <f>IFERROR(__xludf.DUMMYFUNCTION("""COMPUTED_VALUE"""),"Sin Asignar")</f>
        <v>Sin Asignar</v>
      </c>
      <c r="N125" s="87">
        <f>IFERROR(__xludf.DUMMYFUNCTION("""COMPUTED_VALUE"""),0.0)</f>
        <v>0</v>
      </c>
      <c r="O125" s="74"/>
      <c r="P125" s="74" t="str">
        <f>IFERROR(__xludf.DUMMYFUNCTION("""COMPUTED_VALUE"""),"No Available")</f>
        <v>No Available</v>
      </c>
      <c r="Q125" s="74"/>
      <c r="R125" s="74"/>
      <c r="S125" s="87">
        <f>IFERROR(__xludf.DUMMYFUNCTION("""COMPUTED_VALUE"""),0.0)</f>
        <v>0</v>
      </c>
      <c r="T125" s="87">
        <f>IFERROR(__xludf.DUMMYFUNCTION("""COMPUTED_VALUE"""),0.0)</f>
        <v>0</v>
      </c>
      <c r="U125" s="87">
        <f>IFERROR(__xludf.DUMMYFUNCTION("""COMPUTED_VALUE"""),0.0)</f>
        <v>0</v>
      </c>
      <c r="V125" s="87">
        <f>IFERROR(__xludf.DUMMYFUNCTION("""COMPUTED_VALUE"""),0.0)</f>
        <v>0</v>
      </c>
      <c r="W125" s="87">
        <f>IFERROR(__xludf.DUMMYFUNCTION("""COMPUTED_VALUE"""),0.0)</f>
        <v>0</v>
      </c>
      <c r="X125" s="88"/>
      <c r="Y125" s="74"/>
      <c r="Z125" s="74"/>
    </row>
    <row r="126">
      <c r="B126" s="74" t="str">
        <f>IFERROR(__xludf.DUMMYFUNCTION("""COMPUTED_VALUE"""),"1123")</f>
        <v>1123</v>
      </c>
      <c r="C126" s="74"/>
      <c r="D126" s="74" t="str">
        <f>IFERROR(__xludf.DUMMYFUNCTION("""COMPUTED_VALUE"""),"\\MCA-S\mk\2_BM\0_BMat\08_PYM\Inventario\excel\Imagen de refacciones\Ollas revolvedoras\NEEDLE BEARING (1)")</f>
        <v>\\MCA-S\mk\2_BM\0_BMat\08_PYM\Inventario\excel\Imagen de refacciones\Ollas revolvedoras\NEEDLE BEARING (1)</v>
      </c>
      <c r="E126" s="74"/>
      <c r="F126" s="74" t="str">
        <f>IFERROR(__xludf.DUMMYFUNCTION("""COMPUTED_VALUE"""),"NEEDLE BEARING")</f>
        <v>NEEDLE BEARING</v>
      </c>
      <c r="G126" s="74"/>
      <c r="H126" s="74"/>
      <c r="I126" s="74" t="str">
        <f>IFERROR(__xludf.DUMMYFUNCTION("""COMPUTED_VALUE"""),"0735-470 120")</f>
        <v>0735-470 120</v>
      </c>
      <c r="J126" s="74"/>
      <c r="K126" s="74" t="str">
        <f>IFERROR(__xludf.DUMMYFUNCTION("""COMPUTED_VALUE"""),"Olla Revolvedora")</f>
        <v>Olla Revolvedora</v>
      </c>
      <c r="L126" s="74" t="str">
        <f>IFERROR(__xludf.DUMMYFUNCTION("""COMPUTED_VALUE"""),"Transmisión mecánica")</f>
        <v>Transmisión mecánica</v>
      </c>
      <c r="M126" s="74" t="str">
        <f>IFERROR(__xludf.DUMMYFUNCTION("""COMPUTED_VALUE"""),"Sin Asignar")</f>
        <v>Sin Asignar</v>
      </c>
      <c r="N126" s="87">
        <f>IFERROR(__xludf.DUMMYFUNCTION("""COMPUTED_VALUE"""),0.0)</f>
        <v>0</v>
      </c>
      <c r="O126" s="74"/>
      <c r="P126" s="74" t="str">
        <f>IFERROR(__xludf.DUMMYFUNCTION("""COMPUTED_VALUE"""),"No Available")</f>
        <v>No Available</v>
      </c>
      <c r="Q126" s="74"/>
      <c r="R126" s="74"/>
      <c r="S126" s="87">
        <f>IFERROR(__xludf.DUMMYFUNCTION("""COMPUTED_VALUE"""),0.0)</f>
        <v>0</v>
      </c>
      <c r="T126" s="87">
        <f>IFERROR(__xludf.DUMMYFUNCTION("""COMPUTED_VALUE"""),0.0)</f>
        <v>0</v>
      </c>
      <c r="U126" s="87">
        <f>IFERROR(__xludf.DUMMYFUNCTION("""COMPUTED_VALUE"""),0.0)</f>
        <v>0</v>
      </c>
      <c r="V126" s="87">
        <f>IFERROR(__xludf.DUMMYFUNCTION("""COMPUTED_VALUE"""),0.0)</f>
        <v>0</v>
      </c>
      <c r="W126" s="87">
        <f>IFERROR(__xludf.DUMMYFUNCTION("""COMPUTED_VALUE"""),0.0)</f>
        <v>0</v>
      </c>
      <c r="X126" s="88"/>
      <c r="Y126" s="74"/>
      <c r="Z126" s="74"/>
    </row>
    <row r="127">
      <c r="B127" s="74" t="str">
        <f>IFERROR(__xludf.DUMMYFUNCTION("""COMPUTED_VALUE"""),"1124")</f>
        <v>1124</v>
      </c>
      <c r="C127" s="74"/>
      <c r="D127" s="74" t="str">
        <f>IFERROR(__xludf.DUMMYFUNCTION("""COMPUTED_VALUE"""),"\\MCA-S\mk\2_BM\0_BMat\08_PYM\Inventario\excel\Imagen de refacciones\Ollas revolvedoras\GASKET")</f>
        <v>\\MCA-S\mk\2_BM\0_BMat\08_PYM\Inventario\excel\Imagen de refacciones\Ollas revolvedoras\GASKET</v>
      </c>
      <c r="E127" s="74"/>
      <c r="F127" s="74" t="str">
        <f>IFERROR(__xludf.DUMMYFUNCTION("""COMPUTED_VALUE"""),"GASKET")</f>
        <v>GASKET</v>
      </c>
      <c r="G127" s="74"/>
      <c r="H127" s="74"/>
      <c r="I127" s="74" t="str">
        <f>IFERROR(__xludf.DUMMYFUNCTION("""COMPUTED_VALUE"""),"4108-306-172")</f>
        <v>4108-306-172</v>
      </c>
      <c r="J127" s="74"/>
      <c r="K127" s="74" t="str">
        <f>IFERROR(__xludf.DUMMYFUNCTION("""COMPUTED_VALUE"""),"Olla Revolvedora")</f>
        <v>Olla Revolvedora</v>
      </c>
      <c r="L127" s="74" t="str">
        <f>IFERROR(__xludf.DUMMYFUNCTION("""COMPUTED_VALUE"""),"Sellos y retenes")</f>
        <v>Sellos y retenes</v>
      </c>
      <c r="M127" s="74" t="str">
        <f>IFERROR(__xludf.DUMMYFUNCTION("""COMPUTED_VALUE"""),"Sin Asignar")</f>
        <v>Sin Asignar</v>
      </c>
      <c r="N127" s="87">
        <f>IFERROR(__xludf.DUMMYFUNCTION("""COMPUTED_VALUE"""),0.0)</f>
        <v>0</v>
      </c>
      <c r="O127" s="74"/>
      <c r="P127" s="74" t="str">
        <f>IFERROR(__xludf.DUMMYFUNCTION("""COMPUTED_VALUE"""),"borrar")</f>
        <v>borrar</v>
      </c>
      <c r="Q127" s="74"/>
      <c r="R127" s="74"/>
      <c r="S127" s="87">
        <f>IFERROR(__xludf.DUMMYFUNCTION("""COMPUTED_VALUE"""),0.0)</f>
        <v>0</v>
      </c>
      <c r="T127" s="87">
        <f>IFERROR(__xludf.DUMMYFUNCTION("""COMPUTED_VALUE"""),0.0)</f>
        <v>0</v>
      </c>
      <c r="U127" s="87">
        <f>IFERROR(__xludf.DUMMYFUNCTION("""COMPUTED_VALUE"""),0.0)</f>
        <v>0</v>
      </c>
      <c r="V127" s="87">
        <f>IFERROR(__xludf.DUMMYFUNCTION("""COMPUTED_VALUE"""),0.0)</f>
        <v>0</v>
      </c>
      <c r="W127" s="87">
        <f>IFERROR(__xludf.DUMMYFUNCTION("""COMPUTED_VALUE"""),0.0)</f>
        <v>0</v>
      </c>
      <c r="X127" s="88"/>
      <c r="Y127" s="74"/>
      <c r="Z127" s="74"/>
    </row>
    <row r="128">
      <c r="B128" s="74" t="str">
        <f>IFERROR(__xludf.DUMMYFUNCTION("""COMPUTED_VALUE"""),"1125")</f>
        <v>1125</v>
      </c>
      <c r="C128" s="74" t="str">
        <f>IFERROR(__xludf.DUMMYFUNCTION("""COMPUTED_VALUE"""),"75045880305")</f>
        <v>75045880305</v>
      </c>
      <c r="D128" s="74" t="str">
        <f>IFERROR(__xludf.DUMMYFUNCTION("""COMPUTED_VALUE"""),"\\MCA-S\mk\2_BM\0_BMat\08_PYM\Inventario\excel\Imagen de refacciones\Ollas revolvedoras\OILSIGHT GLASS")</f>
        <v>\\MCA-S\mk\2_BM\0_BMat\08_PYM\Inventario\excel\Imagen de refacciones\Ollas revolvedoras\OILSIGHT GLASS</v>
      </c>
      <c r="E128" s="74" t="str">
        <f>IFERROR(__xludf.DUMMYFUNCTION("""COMPUTED_VALUE"""),"MIXER DRUM DRIVE GEARBOX SIGHT OIL PLUG")</f>
        <v>MIXER DRUM DRIVE GEARBOX SIGHT OIL PLUG</v>
      </c>
      <c r="F128" s="74" t="str">
        <f>IFERROR(__xludf.DUMMYFUNCTION("""COMPUTED_VALUE"""),"MIRILLA PARA REDUCTOR ZF")</f>
        <v>MIRILLA PARA REDUCTOR ZF</v>
      </c>
      <c r="G128" s="74"/>
      <c r="H128" s="74"/>
      <c r="I128" s="74" t="str">
        <f>IFERROR(__xludf.DUMMYFUNCTION("""COMPUTED_VALUE"""),"0632-610-066")</f>
        <v>0632-610-066</v>
      </c>
      <c r="J128" s="74" t="str">
        <f>IFERROR(__xludf.DUMMYFUNCTION("""COMPUTED_VALUE"""),"063261006")</f>
        <v>063261006</v>
      </c>
      <c r="K128" s="74" t="str">
        <f>IFERROR(__xludf.DUMMYFUNCTION("""COMPUTED_VALUE"""),"Olla Revolvedora")</f>
        <v>Olla Revolvedora</v>
      </c>
      <c r="L128" s="74" t="str">
        <f>IFERROR(__xludf.DUMMYFUNCTION("""COMPUTED_VALUE"""),"Elementos de medición y control")</f>
        <v>Elementos de medición y control</v>
      </c>
      <c r="M128" s="74" t="str">
        <f>IFERROR(__xludf.DUMMYFUNCTION("""COMPUTED_VALUE"""),"Sin Asignar")</f>
        <v>Sin Asignar</v>
      </c>
      <c r="N128" s="87">
        <f>IFERROR(__xludf.DUMMYFUNCTION("""COMPUTED_VALUE"""),0.0)</f>
        <v>0</v>
      </c>
      <c r="O128" s="74"/>
      <c r="P128" s="74" t="str">
        <f>IFERROR(__xludf.DUMMYFUNCTION("""COMPUTED_VALUE"""),"To Re-purchase")</f>
        <v>To Re-purchase</v>
      </c>
      <c r="Q128" s="74"/>
      <c r="R128" s="74"/>
      <c r="S128" s="87">
        <f>IFERROR(__xludf.DUMMYFUNCTION("""COMPUTED_VALUE"""),0.0)</f>
        <v>0</v>
      </c>
      <c r="T128" s="87">
        <f>IFERROR(__xludf.DUMMYFUNCTION("""COMPUTED_VALUE"""),0.0)</f>
        <v>0</v>
      </c>
      <c r="U128" s="87">
        <f>IFERROR(__xludf.DUMMYFUNCTION("""COMPUTED_VALUE"""),0.0)</f>
        <v>0</v>
      </c>
      <c r="V128" s="87">
        <f>IFERROR(__xludf.DUMMYFUNCTION("""COMPUTED_VALUE"""),0.0)</f>
        <v>0</v>
      </c>
      <c r="W128" s="87">
        <f>IFERROR(__xludf.DUMMYFUNCTION("""COMPUTED_VALUE"""),0.0)</f>
        <v>0</v>
      </c>
      <c r="X128" s="88"/>
      <c r="Y128" s="74"/>
      <c r="Z128" s="74"/>
    </row>
    <row r="129">
      <c r="B129" s="74" t="str">
        <f>IFERROR(__xludf.DUMMYFUNCTION("""COMPUTED_VALUE"""),"1126")</f>
        <v>1126</v>
      </c>
      <c r="C129" s="74"/>
      <c r="D129" s="74" t="str">
        <f>IFERROR(__xludf.DUMMYFUNCTION("""COMPUTED_VALUE"""),"\\MCA-S\mk\2_BM\0_BMat\08_PYM\Inventario\excel\Imagen de refacciones\Ollas revolvedoras\HOUSING")</f>
        <v>\\MCA-S\mk\2_BM\0_BMat\08_PYM\Inventario\excel\Imagen de refacciones\Ollas revolvedoras\HOUSING</v>
      </c>
      <c r="E129" s="74"/>
      <c r="F129" s="74" t="str">
        <f>IFERROR(__xludf.DUMMYFUNCTION("""COMPUTED_VALUE"""),"HOUSING")</f>
        <v>HOUSING</v>
      </c>
      <c r="G129" s="74"/>
      <c r="H129" s="74"/>
      <c r="I129" s="74" t="str">
        <f>IFERROR(__xludf.DUMMYFUNCTION("""COMPUTED_VALUE"""),"4108-201-279")</f>
        <v>4108-201-279</v>
      </c>
      <c r="J129" s="74"/>
      <c r="K129" s="74" t="str">
        <f>IFERROR(__xludf.DUMMYFUNCTION("""COMPUTED_VALUE"""),"Olla Revolvedora")</f>
        <v>Olla Revolvedora</v>
      </c>
      <c r="L129" s="74" t="str">
        <f>IFERROR(__xludf.DUMMYFUNCTION("""COMPUTED_VALUE"""),"Componentes estructurales y de montaje")</f>
        <v>Componentes estructurales y de montaje</v>
      </c>
      <c r="M129" s="74" t="str">
        <f>IFERROR(__xludf.DUMMYFUNCTION("""COMPUTED_VALUE"""),"Sin Asignar")</f>
        <v>Sin Asignar</v>
      </c>
      <c r="N129" s="87">
        <f>IFERROR(__xludf.DUMMYFUNCTION("""COMPUTED_VALUE"""),0.0)</f>
        <v>0</v>
      </c>
      <c r="O129" s="74"/>
      <c r="P129" s="74" t="str">
        <f>IFERROR(__xludf.DUMMYFUNCTION("""COMPUTED_VALUE"""),"No Available")</f>
        <v>No Available</v>
      </c>
      <c r="Q129" s="74"/>
      <c r="R129" s="74"/>
      <c r="S129" s="87">
        <f>IFERROR(__xludf.DUMMYFUNCTION("""COMPUTED_VALUE"""),0.0)</f>
        <v>0</v>
      </c>
      <c r="T129" s="87">
        <f>IFERROR(__xludf.DUMMYFUNCTION("""COMPUTED_VALUE"""),0.0)</f>
        <v>0</v>
      </c>
      <c r="U129" s="87">
        <f>IFERROR(__xludf.DUMMYFUNCTION("""COMPUTED_VALUE"""),0.0)</f>
        <v>0</v>
      </c>
      <c r="V129" s="87">
        <f>IFERROR(__xludf.DUMMYFUNCTION("""COMPUTED_VALUE"""),0.0)</f>
        <v>0</v>
      </c>
      <c r="W129" s="87">
        <f>IFERROR(__xludf.DUMMYFUNCTION("""COMPUTED_VALUE"""),0.0)</f>
        <v>0</v>
      </c>
      <c r="X129" s="88"/>
      <c r="Y129" s="74"/>
      <c r="Z129" s="74"/>
    </row>
    <row r="130">
      <c r="B130" s="74" t="str">
        <f>IFERROR(__xludf.DUMMYFUNCTION("""COMPUTED_VALUE"""),"1127")</f>
        <v>1127</v>
      </c>
      <c r="C130" s="74"/>
      <c r="D130" s="74" t="str">
        <f>IFERROR(__xludf.DUMMYFUNCTION("""COMPUTED_VALUE"""),"\\MCA-S\mk\2_BM\0_BMat\08_PYM\Inventario\excel\Imagen de refacciones\Ollas revolvedoras\SEALING RING")</f>
        <v>\\MCA-S\mk\2_BM\0_BMat\08_PYM\Inventario\excel\Imagen de refacciones\Ollas revolvedoras\SEALING RING</v>
      </c>
      <c r="E130" s="74"/>
      <c r="F130" s="74" t="str">
        <f>IFERROR(__xludf.DUMMYFUNCTION("""COMPUTED_VALUE"""),"SEALING RING")</f>
        <v>SEALING RING</v>
      </c>
      <c r="G130" s="74"/>
      <c r="H130" s="74"/>
      <c r="I130" s="74" t="str">
        <f>IFERROR(__xludf.DUMMYFUNCTION("""COMPUTED_VALUE"""),"0634-80 057")</f>
        <v>0634-80 057</v>
      </c>
      <c r="J130" s="74"/>
      <c r="K130" s="74" t="str">
        <f>IFERROR(__xludf.DUMMYFUNCTION("""COMPUTED_VALUE"""),"Olla Revolvedora")</f>
        <v>Olla Revolvedora</v>
      </c>
      <c r="L130" s="74" t="str">
        <f>IFERROR(__xludf.DUMMYFUNCTION("""COMPUTED_VALUE"""),"Sellos y retenes")</f>
        <v>Sellos y retenes</v>
      </c>
      <c r="M130" s="74" t="str">
        <f>IFERROR(__xludf.DUMMYFUNCTION("""COMPUTED_VALUE"""),"Sin Asignar")</f>
        <v>Sin Asignar</v>
      </c>
      <c r="N130" s="87">
        <f>IFERROR(__xludf.DUMMYFUNCTION("""COMPUTED_VALUE"""),0.0)</f>
        <v>0</v>
      </c>
      <c r="O130" s="74"/>
      <c r="P130" s="74" t="str">
        <f>IFERROR(__xludf.DUMMYFUNCTION("""COMPUTED_VALUE"""),"No Available")</f>
        <v>No Available</v>
      </c>
      <c r="Q130" s="74"/>
      <c r="R130" s="74"/>
      <c r="S130" s="87">
        <f>IFERROR(__xludf.DUMMYFUNCTION("""COMPUTED_VALUE"""),0.0)</f>
        <v>0</v>
      </c>
      <c r="T130" s="87">
        <f>IFERROR(__xludf.DUMMYFUNCTION("""COMPUTED_VALUE"""),0.0)</f>
        <v>0</v>
      </c>
      <c r="U130" s="87">
        <f>IFERROR(__xludf.DUMMYFUNCTION("""COMPUTED_VALUE"""),0.0)</f>
        <v>0</v>
      </c>
      <c r="V130" s="87">
        <f>IFERROR(__xludf.DUMMYFUNCTION("""COMPUTED_VALUE"""),0.0)</f>
        <v>0</v>
      </c>
      <c r="W130" s="87">
        <f>IFERROR(__xludf.DUMMYFUNCTION("""COMPUTED_VALUE"""),0.0)</f>
        <v>0</v>
      </c>
      <c r="X130" s="88"/>
      <c r="Y130" s="74"/>
      <c r="Z130" s="74"/>
    </row>
    <row r="131">
      <c r="B131" s="74" t="str">
        <f>IFERROR(__xludf.DUMMYFUNCTION("""COMPUTED_VALUE"""),"1128")</f>
        <v>1128</v>
      </c>
      <c r="C131" s="74"/>
      <c r="D131" s="74" t="str">
        <f>IFERROR(__xludf.DUMMYFUNCTION("""COMPUTED_VALUE"""),"\\MCA-S\mk\2_BM\0_BMat\08_PYM\Inventario\excel\Imagen de refacciones\Ollas revolvedoras\SCREW PLU")</f>
        <v>\\MCA-S\mk\2_BM\0_BMat\08_PYM\Inventario\excel\Imagen de refacciones\Ollas revolvedoras\SCREW PLU</v>
      </c>
      <c r="E131" s="74"/>
      <c r="F131" s="74" t="str">
        <f>IFERROR(__xludf.DUMMYFUNCTION("""COMPUTED_VALUE"""),"SCREW PLU")</f>
        <v>SCREW PLU</v>
      </c>
      <c r="G131" s="74"/>
      <c r="H131" s="74"/>
      <c r="I131" s="74" t="str">
        <f>IFERROR(__xludf.DUMMYFUNCTION("""COMPUTED_VALUE"""),"4475-280-018")</f>
        <v>4475-280-018</v>
      </c>
      <c r="J131" s="74"/>
      <c r="K131" s="74" t="str">
        <f>IFERROR(__xludf.DUMMYFUNCTION("""COMPUTED_VALUE"""),"Olla Revolvedora")</f>
        <v>Olla Revolvedora</v>
      </c>
      <c r="L131" s="74" t="str">
        <f>IFERROR(__xludf.DUMMYFUNCTION("""COMPUTED_VALUE"""),"Componentes estructurales y de montaje")</f>
        <v>Componentes estructurales y de montaje</v>
      </c>
      <c r="M131" s="74" t="str">
        <f>IFERROR(__xludf.DUMMYFUNCTION("""COMPUTED_VALUE"""),"Sin Asignar")</f>
        <v>Sin Asignar</v>
      </c>
      <c r="N131" s="87">
        <f>IFERROR(__xludf.DUMMYFUNCTION("""COMPUTED_VALUE"""),0.0)</f>
        <v>0</v>
      </c>
      <c r="O131" s="74"/>
      <c r="P131" s="74" t="str">
        <f>IFERROR(__xludf.DUMMYFUNCTION("""COMPUTED_VALUE"""),"No Available")</f>
        <v>No Available</v>
      </c>
      <c r="Q131" s="74"/>
      <c r="R131" s="74"/>
      <c r="S131" s="87">
        <f>IFERROR(__xludf.DUMMYFUNCTION("""COMPUTED_VALUE"""),0.0)</f>
        <v>0</v>
      </c>
      <c r="T131" s="87">
        <f>IFERROR(__xludf.DUMMYFUNCTION("""COMPUTED_VALUE"""),0.0)</f>
        <v>0</v>
      </c>
      <c r="U131" s="87">
        <f>IFERROR(__xludf.DUMMYFUNCTION("""COMPUTED_VALUE"""),0.0)</f>
        <v>0</v>
      </c>
      <c r="V131" s="87">
        <f>IFERROR(__xludf.DUMMYFUNCTION("""COMPUTED_VALUE"""),0.0)</f>
        <v>0</v>
      </c>
      <c r="W131" s="87">
        <f>IFERROR(__xludf.DUMMYFUNCTION("""COMPUTED_VALUE"""),0.0)</f>
        <v>0</v>
      </c>
      <c r="X131" s="88"/>
      <c r="Y131" s="74"/>
      <c r="Z131" s="74"/>
    </row>
    <row r="132">
      <c r="B132" s="74" t="str">
        <f>IFERROR(__xludf.DUMMYFUNCTION("""COMPUTED_VALUE"""),"1129")</f>
        <v>1129</v>
      </c>
      <c r="C132" s="74"/>
      <c r="D132" s="74" t="str">
        <f>IFERROR(__xludf.DUMMYFUNCTION("""COMPUTED_VALUE"""),"\\MCA-S\mk\2_BM\0_BMat\08_PYM\Inventario\excel\Imagen de refacciones\Ollas revolvedoras\NAME PIATE")</f>
        <v>\\MCA-S\mk\2_BM\0_BMat\08_PYM\Inventario\excel\Imagen de refacciones\Ollas revolvedoras\NAME PIATE</v>
      </c>
      <c r="E132" s="74"/>
      <c r="F132" s="74" t="str">
        <f>IFERROR(__xludf.DUMMYFUNCTION("""COMPUTED_VALUE"""),"NAME PIATE")</f>
        <v>NAME PIATE</v>
      </c>
      <c r="G132" s="74"/>
      <c r="H132" s="74"/>
      <c r="I132" s="74" t="str">
        <f>IFERROR(__xludf.DUMMYFUNCTION("""COMPUTED_VALUE"""),"0730-365-127")</f>
        <v>0730-365-127</v>
      </c>
      <c r="J132" s="74"/>
      <c r="K132" s="74" t="str">
        <f>IFERROR(__xludf.DUMMYFUNCTION("""COMPUTED_VALUE"""),"Olla Revolvedora")</f>
        <v>Olla Revolvedora</v>
      </c>
      <c r="L132" s="74" t="str">
        <f>IFERROR(__xludf.DUMMYFUNCTION("""COMPUTED_VALUE"""),"Componentes estructurales y de montaje")</f>
        <v>Componentes estructurales y de montaje</v>
      </c>
      <c r="M132" s="74" t="str">
        <f>IFERROR(__xludf.DUMMYFUNCTION("""COMPUTED_VALUE"""),"Sin Asignar")</f>
        <v>Sin Asignar</v>
      </c>
      <c r="N132" s="87">
        <f>IFERROR(__xludf.DUMMYFUNCTION("""COMPUTED_VALUE"""),0.0)</f>
        <v>0</v>
      </c>
      <c r="O132" s="74"/>
      <c r="P132" s="74" t="str">
        <f>IFERROR(__xludf.DUMMYFUNCTION("""COMPUTED_VALUE"""),"No Available")</f>
        <v>No Available</v>
      </c>
      <c r="Q132" s="74"/>
      <c r="R132" s="74"/>
      <c r="S132" s="87">
        <f>IFERROR(__xludf.DUMMYFUNCTION("""COMPUTED_VALUE"""),0.0)</f>
        <v>0</v>
      </c>
      <c r="T132" s="87">
        <f>IFERROR(__xludf.DUMMYFUNCTION("""COMPUTED_VALUE"""),0.0)</f>
        <v>0</v>
      </c>
      <c r="U132" s="87">
        <f>IFERROR(__xludf.DUMMYFUNCTION("""COMPUTED_VALUE"""),0.0)</f>
        <v>0</v>
      </c>
      <c r="V132" s="87">
        <f>IFERROR(__xludf.DUMMYFUNCTION("""COMPUTED_VALUE"""),0.0)</f>
        <v>0</v>
      </c>
      <c r="W132" s="87">
        <f>IFERROR(__xludf.DUMMYFUNCTION("""COMPUTED_VALUE"""),0.0)</f>
        <v>0</v>
      </c>
      <c r="X132" s="88"/>
      <c r="Y132" s="74"/>
      <c r="Z132" s="74"/>
    </row>
    <row r="133">
      <c r="B133" s="74" t="str">
        <f>IFERROR(__xludf.DUMMYFUNCTION("""COMPUTED_VALUE"""),"1130")</f>
        <v>1130</v>
      </c>
      <c r="C133" s="74"/>
      <c r="D133" s="74" t="str">
        <f>IFERROR(__xludf.DUMMYFUNCTION("""COMPUTED_VALUE"""),"\\MCA-S\mk\2_BM\0_BMat\08_PYM\Inventario\excel\Imagen de refacciones\Ollas revolvedoras\GROO VED PIN")</f>
        <v>\\MCA-S\mk\2_BM\0_BMat\08_PYM\Inventario\excel\Imagen de refacciones\Ollas revolvedoras\GROO VED PIN</v>
      </c>
      <c r="E133" s="74"/>
      <c r="F133" s="74" t="str">
        <f>IFERROR(__xludf.DUMMYFUNCTION("""COMPUTED_VALUE"""),"GROO VED PIN")</f>
        <v>GROO VED PIN</v>
      </c>
      <c r="G133" s="74"/>
      <c r="H133" s="74"/>
      <c r="I133" s="74" t="str">
        <f>IFERROR(__xludf.DUMMYFUNCTION("""COMPUTED_VALUE"""),"0631-311-009")</f>
        <v>0631-311-009</v>
      </c>
      <c r="J133" s="74"/>
      <c r="K133" s="74" t="str">
        <f>IFERROR(__xludf.DUMMYFUNCTION("""COMPUTED_VALUE"""),"Olla Revolvedora")</f>
        <v>Olla Revolvedora</v>
      </c>
      <c r="L133" s="74" t="str">
        <f>IFERROR(__xludf.DUMMYFUNCTION("""COMPUTED_VALUE"""),"Componentes estructurales y de montaje")</f>
        <v>Componentes estructurales y de montaje</v>
      </c>
      <c r="M133" s="74" t="str">
        <f>IFERROR(__xludf.DUMMYFUNCTION("""COMPUTED_VALUE"""),"Sin Asignar")</f>
        <v>Sin Asignar</v>
      </c>
      <c r="N133" s="87">
        <f>IFERROR(__xludf.DUMMYFUNCTION("""COMPUTED_VALUE"""),0.0)</f>
        <v>0</v>
      </c>
      <c r="O133" s="74"/>
      <c r="P133" s="74" t="str">
        <f>IFERROR(__xludf.DUMMYFUNCTION("""COMPUTED_VALUE"""),"No Available")</f>
        <v>No Available</v>
      </c>
      <c r="Q133" s="74"/>
      <c r="R133" s="74"/>
      <c r="S133" s="87">
        <f>IFERROR(__xludf.DUMMYFUNCTION("""COMPUTED_VALUE"""),0.0)</f>
        <v>0</v>
      </c>
      <c r="T133" s="87">
        <f>IFERROR(__xludf.DUMMYFUNCTION("""COMPUTED_VALUE"""),0.0)</f>
        <v>0</v>
      </c>
      <c r="U133" s="87">
        <f>IFERROR(__xludf.DUMMYFUNCTION("""COMPUTED_VALUE"""),0.0)</f>
        <v>0</v>
      </c>
      <c r="V133" s="87">
        <f>IFERROR(__xludf.DUMMYFUNCTION("""COMPUTED_VALUE"""),0.0)</f>
        <v>0</v>
      </c>
      <c r="W133" s="87">
        <f>IFERROR(__xludf.DUMMYFUNCTION("""COMPUTED_VALUE"""),0.0)</f>
        <v>0</v>
      </c>
      <c r="X133" s="88"/>
      <c r="Y133" s="74"/>
      <c r="Z133" s="74"/>
    </row>
    <row r="134">
      <c r="B134" s="74" t="str">
        <f>IFERROR(__xludf.DUMMYFUNCTION("""COMPUTED_VALUE"""),"1131")</f>
        <v>1131</v>
      </c>
      <c r="C134" s="74"/>
      <c r="D134" s="74" t="str">
        <f>IFERROR(__xludf.DUMMYFUNCTION("""COMPUTED_VALUE"""),"\\MCA-S\mk\2_BM\0_BMat\08_PYM\Inventario\excel\Imagen de refacciones\Ollas revolvedoras\SOCKET HEAD CAP SCREW")</f>
        <v>\\MCA-S\mk\2_BM\0_BMat\08_PYM\Inventario\excel\Imagen de refacciones\Ollas revolvedoras\SOCKET HEAD CAP SCREW</v>
      </c>
      <c r="E134" s="74"/>
      <c r="F134" s="74" t="str">
        <f>IFERROR(__xludf.DUMMYFUNCTION("""COMPUTED_VALUE"""),"SOCKET HEAD CAP SCREW")</f>
        <v>SOCKET HEAD CAP SCREW</v>
      </c>
      <c r="G134" s="74"/>
      <c r="H134" s="74"/>
      <c r="I134" s="74" t="str">
        <f>IFERROR(__xludf.DUMMYFUNCTION("""COMPUTED_VALUE"""),"0636-101-073")</f>
        <v>0636-101-073</v>
      </c>
      <c r="J134" s="74"/>
      <c r="K134" s="74" t="str">
        <f>IFERROR(__xludf.DUMMYFUNCTION("""COMPUTED_VALUE"""),"Olla Revolvedora")</f>
        <v>Olla Revolvedora</v>
      </c>
      <c r="L134" s="74" t="str">
        <f>IFERROR(__xludf.DUMMYFUNCTION("""COMPUTED_VALUE"""),"Transmisión mecánica")</f>
        <v>Transmisión mecánica</v>
      </c>
      <c r="M134" s="74" t="str">
        <f>IFERROR(__xludf.DUMMYFUNCTION("""COMPUTED_VALUE"""),"Sin Asignar")</f>
        <v>Sin Asignar</v>
      </c>
      <c r="N134" s="87">
        <f>IFERROR(__xludf.DUMMYFUNCTION("""COMPUTED_VALUE"""),0.0)</f>
        <v>0</v>
      </c>
      <c r="O134" s="74"/>
      <c r="P134" s="74" t="str">
        <f>IFERROR(__xludf.DUMMYFUNCTION("""COMPUTED_VALUE"""),"No Available")</f>
        <v>No Available</v>
      </c>
      <c r="Q134" s="74"/>
      <c r="R134" s="74"/>
      <c r="S134" s="87">
        <f>IFERROR(__xludf.DUMMYFUNCTION("""COMPUTED_VALUE"""),0.0)</f>
        <v>0</v>
      </c>
      <c r="T134" s="87">
        <f>IFERROR(__xludf.DUMMYFUNCTION("""COMPUTED_VALUE"""),0.0)</f>
        <v>0</v>
      </c>
      <c r="U134" s="87">
        <f>IFERROR(__xludf.DUMMYFUNCTION("""COMPUTED_VALUE"""),0.0)</f>
        <v>0</v>
      </c>
      <c r="V134" s="87">
        <f>IFERROR(__xludf.DUMMYFUNCTION("""COMPUTED_VALUE"""),0.0)</f>
        <v>0</v>
      </c>
      <c r="W134" s="87">
        <f>IFERROR(__xludf.DUMMYFUNCTION("""COMPUTED_VALUE"""),0.0)</f>
        <v>0</v>
      </c>
      <c r="X134" s="88"/>
      <c r="Y134" s="74"/>
      <c r="Z134" s="74"/>
    </row>
    <row r="135">
      <c r="B135" s="74" t="str">
        <f>IFERROR(__xludf.DUMMYFUNCTION("""COMPUTED_VALUE"""),"1132")</f>
        <v>1132</v>
      </c>
      <c r="C135" s="74"/>
      <c r="D135" s="74" t="str">
        <f>IFERROR(__xludf.DUMMYFUNCTION("""COMPUTED_VALUE"""),"\\MCA-S\mk\2_BM\0_BMat\08_PYM\Inventario\excel\Imagen de refacciones\Ollas revolvedoras\SOCKET HEAD CAP SCREW (1)")</f>
        <v>\\MCA-S\mk\2_BM\0_BMat\08_PYM\Inventario\excel\Imagen de refacciones\Ollas revolvedoras\SOCKET HEAD CAP SCREW (1)</v>
      </c>
      <c r="E135" s="74"/>
      <c r="F135" s="74" t="str">
        <f>IFERROR(__xludf.DUMMYFUNCTION("""COMPUTED_VALUE"""),"SOCKET HEAD CAP SCREW")</f>
        <v>SOCKET HEAD CAP SCREW</v>
      </c>
      <c r="G135" s="74"/>
      <c r="H135" s="74"/>
      <c r="I135" s="74" t="str">
        <f>IFERROR(__xludf.DUMMYFUNCTION("""COMPUTED_VALUE"""),"0636-101-071")</f>
        <v>0636-101-071</v>
      </c>
      <c r="J135" s="74"/>
      <c r="K135" s="74" t="str">
        <f>IFERROR(__xludf.DUMMYFUNCTION("""COMPUTED_VALUE"""),"Olla Revolvedora")</f>
        <v>Olla Revolvedora</v>
      </c>
      <c r="L135" s="74" t="str">
        <f>IFERROR(__xludf.DUMMYFUNCTION("""COMPUTED_VALUE"""),"Transmisión mecánica")</f>
        <v>Transmisión mecánica</v>
      </c>
      <c r="M135" s="74" t="str">
        <f>IFERROR(__xludf.DUMMYFUNCTION("""COMPUTED_VALUE"""),"Sin Asignar")</f>
        <v>Sin Asignar</v>
      </c>
      <c r="N135" s="87">
        <f>IFERROR(__xludf.DUMMYFUNCTION("""COMPUTED_VALUE"""),0.0)</f>
        <v>0</v>
      </c>
      <c r="O135" s="74"/>
      <c r="P135" s="74" t="str">
        <f>IFERROR(__xludf.DUMMYFUNCTION("""COMPUTED_VALUE"""),"No Available")</f>
        <v>No Available</v>
      </c>
      <c r="Q135" s="74"/>
      <c r="R135" s="74"/>
      <c r="S135" s="87">
        <f>IFERROR(__xludf.DUMMYFUNCTION("""COMPUTED_VALUE"""),0.0)</f>
        <v>0</v>
      </c>
      <c r="T135" s="87">
        <f>IFERROR(__xludf.DUMMYFUNCTION("""COMPUTED_VALUE"""),0.0)</f>
        <v>0</v>
      </c>
      <c r="U135" s="87">
        <f>IFERROR(__xludf.DUMMYFUNCTION("""COMPUTED_VALUE"""),0.0)</f>
        <v>0</v>
      </c>
      <c r="V135" s="87">
        <f>IFERROR(__xludf.DUMMYFUNCTION("""COMPUTED_VALUE"""),0.0)</f>
        <v>0</v>
      </c>
      <c r="W135" s="87">
        <f>IFERROR(__xludf.DUMMYFUNCTION("""COMPUTED_VALUE"""),0.0)</f>
        <v>0</v>
      </c>
      <c r="X135" s="88"/>
      <c r="Y135" s="74"/>
      <c r="Z135" s="74"/>
    </row>
    <row r="136">
      <c r="B136" s="74" t="str">
        <f>IFERROR(__xludf.DUMMYFUNCTION("""COMPUTED_VALUE"""),"1133")</f>
        <v>1133</v>
      </c>
      <c r="C136" s="74"/>
      <c r="D136" s="74" t="str">
        <f>IFERROR(__xludf.DUMMYFUNCTION("""COMPUTED_VALUE"""),"\\MCA-S\mk\2_BM\0_BMat\08_PYM\Inventario\excel\Imagen de refacciones\Ollas revolvedoras\RETAINING RING (1)")</f>
        <v>\\MCA-S\mk\2_BM\0_BMat\08_PYM\Inventario\excel\Imagen de refacciones\Ollas revolvedoras\RETAINING RING (1)</v>
      </c>
      <c r="E136" s="74"/>
      <c r="F136" s="74" t="str">
        <f>IFERROR(__xludf.DUMMYFUNCTION("""COMPUTED_VALUE"""),"RETAINING RING")</f>
        <v>RETAINING RING</v>
      </c>
      <c r="G136" s="74"/>
      <c r="H136" s="74"/>
      <c r="I136" s="74" t="str">
        <f>IFERROR(__xludf.DUMMYFUNCTION("""COMPUTED_VALUE"""),"0630-531-064")</f>
        <v>0630-531-064</v>
      </c>
      <c r="J136" s="74"/>
      <c r="K136" s="74" t="str">
        <f>IFERROR(__xludf.DUMMYFUNCTION("""COMPUTED_VALUE"""),"Olla Revolvedora")</f>
        <v>Olla Revolvedora</v>
      </c>
      <c r="L136" s="74" t="str">
        <f>IFERROR(__xludf.DUMMYFUNCTION("""COMPUTED_VALUE"""),"Sellos y retenes")</f>
        <v>Sellos y retenes</v>
      </c>
      <c r="M136" s="74" t="str">
        <f>IFERROR(__xludf.DUMMYFUNCTION("""COMPUTED_VALUE"""),"Sin Asignar")</f>
        <v>Sin Asignar</v>
      </c>
      <c r="N136" s="87">
        <f>IFERROR(__xludf.DUMMYFUNCTION("""COMPUTED_VALUE"""),0.0)</f>
        <v>0</v>
      </c>
      <c r="O136" s="74"/>
      <c r="P136" s="74" t="str">
        <f>IFERROR(__xludf.DUMMYFUNCTION("""COMPUTED_VALUE"""),"No Available")</f>
        <v>No Available</v>
      </c>
      <c r="Q136" s="74"/>
      <c r="R136" s="74"/>
      <c r="S136" s="87">
        <f>IFERROR(__xludf.DUMMYFUNCTION("""COMPUTED_VALUE"""),0.0)</f>
        <v>0</v>
      </c>
      <c r="T136" s="87">
        <f>IFERROR(__xludf.DUMMYFUNCTION("""COMPUTED_VALUE"""),0.0)</f>
        <v>0</v>
      </c>
      <c r="U136" s="87">
        <f>IFERROR(__xludf.DUMMYFUNCTION("""COMPUTED_VALUE"""),0.0)</f>
        <v>0</v>
      </c>
      <c r="V136" s="87">
        <f>IFERROR(__xludf.DUMMYFUNCTION("""COMPUTED_VALUE"""),0.0)</f>
        <v>0</v>
      </c>
      <c r="W136" s="87">
        <f>IFERROR(__xludf.DUMMYFUNCTION("""COMPUTED_VALUE"""),0.0)</f>
        <v>0</v>
      </c>
      <c r="X136" s="88"/>
      <c r="Y136" s="74"/>
      <c r="Z136" s="74"/>
    </row>
    <row r="137">
      <c r="B137" s="74" t="str">
        <f>IFERROR(__xludf.DUMMYFUNCTION("""COMPUTED_VALUE"""),"1134")</f>
        <v>1134</v>
      </c>
      <c r="C137" s="74" t="str">
        <f>IFERROR(__xludf.DUMMYFUNCTION("""COMPUTED_VALUE"""),"75045891134")</f>
        <v>75045891134</v>
      </c>
      <c r="D137" s="74" t="str">
        <f>IFERROR(__xludf.DUMMYFUNCTION("""COMPUTED_VALUE"""),"\\MCA-S\mk\2_BM\0_BMat\08_PYM\Inventario\excel\Imagen de refacciones\Ollas revolvedoras\BALL BEARING (2)")</f>
        <v>\\MCA-S\mk\2_BM\0_BMat\08_PYM\Inventario\excel\Imagen de refacciones\Ollas revolvedoras\BALL BEARING (2)</v>
      </c>
      <c r="E137" s="74" t="str">
        <f>IFERROR(__xludf.DUMMYFUNCTION("""COMPUTED_VALUE"""),"ZF GEARBOX INPUT BALL BEARING")</f>
        <v>ZF GEARBOX INPUT BALL BEARING</v>
      </c>
      <c r="F137" s="74" t="str">
        <f>IFERROR(__xludf.DUMMYFUNCTION("""COMPUTED_VALUE"""),"BALERO P/REDUCTOR ZF")</f>
        <v>BALERO P/REDUCTOR ZF</v>
      </c>
      <c r="G137" s="74"/>
      <c r="H137" s="74"/>
      <c r="I137" s="74" t="str">
        <f>IFERROR(__xludf.DUMMYFUNCTION("""COMPUTED_VALUE"""),"0750-116-277")</f>
        <v>0750-116-277</v>
      </c>
      <c r="J137" s="74" t="str">
        <f>IFERROR(__xludf.DUMMYFUNCTION("""COMPUTED_VALUE"""),"0750116277")</f>
        <v>0750116277</v>
      </c>
      <c r="K137" s="74" t="str">
        <f>IFERROR(__xludf.DUMMYFUNCTION("""COMPUTED_VALUE"""),"Olla Revolvedora")</f>
        <v>Olla Revolvedora</v>
      </c>
      <c r="L137" s="74" t="str">
        <f>IFERROR(__xludf.DUMMYFUNCTION("""COMPUTED_VALUE"""),"Transmisión mecánica")</f>
        <v>Transmisión mecánica</v>
      </c>
      <c r="M137" s="74" t="str">
        <f>IFERROR(__xludf.DUMMYFUNCTION("""COMPUTED_VALUE"""),"BALEROS")</f>
        <v>BALEROS</v>
      </c>
      <c r="N137" s="87">
        <f>IFERROR(__xludf.DUMMYFUNCTION("""COMPUTED_VALUE"""),0.0)</f>
        <v>0</v>
      </c>
      <c r="O137" s="74"/>
      <c r="P137" s="74" t="str">
        <f>IFERROR(__xludf.DUMMYFUNCTION("""COMPUTED_VALUE"""),"To Re-purchase")</f>
        <v>To Re-purchase</v>
      </c>
      <c r="Q137" s="74"/>
      <c r="R137" s="74"/>
      <c r="S137" s="87">
        <f>IFERROR(__xludf.DUMMYFUNCTION("""COMPUTED_VALUE"""),0.0)</f>
        <v>0</v>
      </c>
      <c r="T137" s="87">
        <f>IFERROR(__xludf.DUMMYFUNCTION("""COMPUTED_VALUE"""),0.0)</f>
        <v>0</v>
      </c>
      <c r="U137" s="87">
        <f>IFERROR(__xludf.DUMMYFUNCTION("""COMPUTED_VALUE"""),0.0)</f>
        <v>0</v>
      </c>
      <c r="V137" s="87">
        <f>IFERROR(__xludf.DUMMYFUNCTION("""COMPUTED_VALUE"""),0.0)</f>
        <v>0</v>
      </c>
      <c r="W137" s="87">
        <f>IFERROR(__xludf.DUMMYFUNCTION("""COMPUTED_VALUE"""),0.0)</f>
        <v>0</v>
      </c>
      <c r="X137" s="88"/>
      <c r="Y137" s="74"/>
      <c r="Z137" s="74"/>
    </row>
    <row r="138">
      <c r="B138" s="74" t="str">
        <f>IFERROR(__xludf.DUMMYFUNCTION("""COMPUTED_VALUE"""),"1135")</f>
        <v>1135</v>
      </c>
      <c r="C138" s="74"/>
      <c r="D138" s="74" t="str">
        <f>IFERROR(__xludf.DUMMYFUNCTION("""COMPUTED_VALUE"""),"\\MCA-S\mk\2_BM\0_BMat\08_PYM\Inventario\excel\Imagen de refacciones\Ollas revolvedoras\INPUT SHAFT-21 SPUNE")</f>
        <v>\\MCA-S\mk\2_BM\0_BMat\08_PYM\Inventario\excel\Imagen de refacciones\Ollas revolvedoras\INPUT SHAFT-21 SPUNE</v>
      </c>
      <c r="E138" s="74"/>
      <c r="F138" s="74" t="str">
        <f>IFERROR(__xludf.DUMMYFUNCTION("""COMPUTED_VALUE"""),"INPUT SHAFT-21 SPUNE")</f>
        <v>INPUT SHAFT-21 SPUNE</v>
      </c>
      <c r="G138" s="74"/>
      <c r="H138" s="74"/>
      <c r="I138" s="74" t="str">
        <f>IFERROR(__xludf.DUMMYFUNCTION("""COMPUTED_VALUE"""),"4108-301-450")</f>
        <v>4108-301-450</v>
      </c>
      <c r="J138" s="74"/>
      <c r="K138" s="74" t="str">
        <f>IFERROR(__xludf.DUMMYFUNCTION("""COMPUTED_VALUE"""),"Olla Revolvedora")</f>
        <v>Olla Revolvedora</v>
      </c>
      <c r="L138" s="74" t="str">
        <f>IFERROR(__xludf.DUMMYFUNCTION("""COMPUTED_VALUE"""),"Transmisión mecánica")</f>
        <v>Transmisión mecánica</v>
      </c>
      <c r="M138" s="74" t="str">
        <f>IFERROR(__xludf.DUMMYFUNCTION("""COMPUTED_VALUE"""),"Sin Asignar")</f>
        <v>Sin Asignar</v>
      </c>
      <c r="N138" s="87">
        <f>IFERROR(__xludf.DUMMYFUNCTION("""COMPUTED_VALUE"""),0.0)</f>
        <v>0</v>
      </c>
      <c r="O138" s="74"/>
      <c r="P138" s="74" t="str">
        <f>IFERROR(__xludf.DUMMYFUNCTION("""COMPUTED_VALUE"""),"borrar")</f>
        <v>borrar</v>
      </c>
      <c r="Q138" s="74"/>
      <c r="R138" s="74"/>
      <c r="S138" s="87">
        <f>IFERROR(__xludf.DUMMYFUNCTION("""COMPUTED_VALUE"""),0.0)</f>
        <v>0</v>
      </c>
      <c r="T138" s="87">
        <f>IFERROR(__xludf.DUMMYFUNCTION("""COMPUTED_VALUE"""),0.0)</f>
        <v>0</v>
      </c>
      <c r="U138" s="87">
        <f>IFERROR(__xludf.DUMMYFUNCTION("""COMPUTED_VALUE"""),0.0)</f>
        <v>0</v>
      </c>
      <c r="V138" s="87">
        <f>IFERROR(__xludf.DUMMYFUNCTION("""COMPUTED_VALUE"""),0.0)</f>
        <v>0</v>
      </c>
      <c r="W138" s="87">
        <f>IFERROR(__xludf.DUMMYFUNCTION("""COMPUTED_VALUE"""),0.0)</f>
        <v>0</v>
      </c>
      <c r="X138" s="88"/>
      <c r="Y138" s="74"/>
      <c r="Z138" s="74"/>
    </row>
    <row r="139">
      <c r="B139" s="74" t="str">
        <f>IFERROR(__xludf.DUMMYFUNCTION("""COMPUTED_VALUE"""),"1136")</f>
        <v>1136</v>
      </c>
      <c r="C139" s="74"/>
      <c r="D139" s="74" t="str">
        <f>IFERROR(__xludf.DUMMYFUNCTION("""COMPUTED_VALUE"""),"\\MCA-S\mk\2_BM\0_BMat\08_PYM\Inventario\excel\Imagen de refacciones\Ollas revolvedoras\RETAINING RING (2)")</f>
        <v>\\MCA-S\mk\2_BM\0_BMat\08_PYM\Inventario\excel\Imagen de refacciones\Ollas revolvedoras\RETAINING RING (2)</v>
      </c>
      <c r="E139" s="74"/>
      <c r="F139" s="74" t="str">
        <f>IFERROR(__xludf.DUMMYFUNCTION("""COMPUTED_VALUE"""),"RETAINING RING")</f>
        <v>RETAINING RING</v>
      </c>
      <c r="G139" s="74"/>
      <c r="H139" s="74"/>
      <c r="I139" s="74" t="str">
        <f>IFERROR(__xludf.DUMMYFUNCTION("""COMPUTED_VALUE"""),"0630 502-039")</f>
        <v>0630 502-039</v>
      </c>
      <c r="J139" s="74"/>
      <c r="K139" s="74" t="str">
        <f>IFERROR(__xludf.DUMMYFUNCTION("""COMPUTED_VALUE"""),"Olla Revolvedora")</f>
        <v>Olla Revolvedora</v>
      </c>
      <c r="L139" s="74" t="str">
        <f>IFERROR(__xludf.DUMMYFUNCTION("""COMPUTED_VALUE"""),"Sellos y retenes")</f>
        <v>Sellos y retenes</v>
      </c>
      <c r="M139" s="74" t="str">
        <f>IFERROR(__xludf.DUMMYFUNCTION("""COMPUTED_VALUE"""),"Sin Asignar")</f>
        <v>Sin Asignar</v>
      </c>
      <c r="N139" s="87">
        <f>IFERROR(__xludf.DUMMYFUNCTION("""COMPUTED_VALUE"""),0.0)</f>
        <v>0</v>
      </c>
      <c r="O139" s="74"/>
      <c r="P139" s="74" t="str">
        <f>IFERROR(__xludf.DUMMYFUNCTION("""COMPUTED_VALUE"""),"No Available")</f>
        <v>No Available</v>
      </c>
      <c r="Q139" s="74"/>
      <c r="R139" s="74"/>
      <c r="S139" s="87">
        <f>IFERROR(__xludf.DUMMYFUNCTION("""COMPUTED_VALUE"""),0.0)</f>
        <v>0</v>
      </c>
      <c r="T139" s="87">
        <f>IFERROR(__xludf.DUMMYFUNCTION("""COMPUTED_VALUE"""),0.0)</f>
        <v>0</v>
      </c>
      <c r="U139" s="87">
        <f>IFERROR(__xludf.DUMMYFUNCTION("""COMPUTED_VALUE"""),0.0)</f>
        <v>0</v>
      </c>
      <c r="V139" s="87">
        <f>IFERROR(__xludf.DUMMYFUNCTION("""COMPUTED_VALUE"""),0.0)</f>
        <v>0</v>
      </c>
      <c r="W139" s="87">
        <f>IFERROR(__xludf.DUMMYFUNCTION("""COMPUTED_VALUE"""),0.0)</f>
        <v>0</v>
      </c>
      <c r="X139" s="88"/>
      <c r="Y139" s="74"/>
      <c r="Z139" s="74"/>
    </row>
    <row r="140">
      <c r="B140" s="74" t="str">
        <f>IFERROR(__xludf.DUMMYFUNCTION("""COMPUTED_VALUE"""),"1137")</f>
        <v>1137</v>
      </c>
      <c r="C140" s="74"/>
      <c r="D140" s="74" t="str">
        <f>IFERROR(__xludf.DUMMYFUNCTION("""COMPUTED_VALUE"""),"\\MCA-S\mk\2_BM\0_BMat\08_PYM\Inventario\excel\Imagen de refacciones\Ollas revolvedoras\SHAFT SEAL")</f>
        <v>\\MCA-S\mk\2_BM\0_BMat\08_PYM\Inventario\excel\Imagen de refacciones\Ollas revolvedoras\SHAFT SEAL</v>
      </c>
      <c r="E140" s="74"/>
      <c r="F140" s="74" t="str">
        <f>IFERROR(__xludf.DUMMYFUNCTION("""COMPUTED_VALUE"""),"SHAFT SEAL")</f>
        <v>SHAFT SEAL</v>
      </c>
      <c r="G140" s="74"/>
      <c r="H140" s="74"/>
      <c r="I140" s="74" t="str">
        <f>IFERROR(__xludf.DUMMYFUNCTION("""COMPUTED_VALUE"""),"0634-300-610")</f>
        <v>0634-300-610</v>
      </c>
      <c r="J140" s="74"/>
      <c r="K140" s="74" t="str">
        <f>IFERROR(__xludf.DUMMYFUNCTION("""COMPUTED_VALUE"""),"Olla Revolvedora")</f>
        <v>Olla Revolvedora</v>
      </c>
      <c r="L140" s="74" t="str">
        <f>IFERROR(__xludf.DUMMYFUNCTION("""COMPUTED_VALUE"""),"Sellos y retenes")</f>
        <v>Sellos y retenes</v>
      </c>
      <c r="M140" s="74" t="str">
        <f>IFERROR(__xludf.DUMMYFUNCTION("""COMPUTED_VALUE"""),"Sin Asignar")</f>
        <v>Sin Asignar</v>
      </c>
      <c r="N140" s="87">
        <f>IFERROR(__xludf.DUMMYFUNCTION("""COMPUTED_VALUE"""),0.0)</f>
        <v>0</v>
      </c>
      <c r="O140" s="74"/>
      <c r="P140" s="74" t="str">
        <f>IFERROR(__xludf.DUMMYFUNCTION("""COMPUTED_VALUE"""),"No Available")</f>
        <v>No Available</v>
      </c>
      <c r="Q140" s="74"/>
      <c r="R140" s="74"/>
      <c r="S140" s="87">
        <f>IFERROR(__xludf.DUMMYFUNCTION("""COMPUTED_VALUE"""),0.0)</f>
        <v>0</v>
      </c>
      <c r="T140" s="87">
        <f>IFERROR(__xludf.DUMMYFUNCTION("""COMPUTED_VALUE"""),0.0)</f>
        <v>0</v>
      </c>
      <c r="U140" s="87">
        <f>IFERROR(__xludf.DUMMYFUNCTION("""COMPUTED_VALUE"""),0.0)</f>
        <v>0</v>
      </c>
      <c r="V140" s="87">
        <f>IFERROR(__xludf.DUMMYFUNCTION("""COMPUTED_VALUE"""),0.0)</f>
        <v>0</v>
      </c>
      <c r="W140" s="87">
        <f>IFERROR(__xludf.DUMMYFUNCTION("""COMPUTED_VALUE"""),0.0)</f>
        <v>0</v>
      </c>
      <c r="X140" s="88"/>
      <c r="Y140" s="74"/>
      <c r="Z140" s="74"/>
    </row>
    <row r="141">
      <c r="B141" s="74" t="str">
        <f>IFERROR(__xludf.DUMMYFUNCTION("""COMPUTED_VALUE"""),"1138")</f>
        <v>1138</v>
      </c>
      <c r="C141" s="74"/>
      <c r="D141" s="74" t="str">
        <f>IFERROR(__xludf.DUMMYFUNCTION("""COMPUTED_VALUE"""),"\\MCA-S\mk\2_BM\0_BMat\08_PYM\Inventario\excel\Imagen de refacciones\Ollas revolvedoras\GASKET (1)")</f>
        <v>\\MCA-S\mk\2_BM\0_BMat\08_PYM\Inventario\excel\Imagen de refacciones\Ollas revolvedoras\GASKET (1)</v>
      </c>
      <c r="E141" s="74"/>
      <c r="F141" s="74" t="str">
        <f>IFERROR(__xludf.DUMMYFUNCTION("""COMPUTED_VALUE"""),"GASKET")</f>
        <v>GASKET</v>
      </c>
      <c r="G141" s="74"/>
      <c r="H141" s="74"/>
      <c r="I141" s="74" t="str">
        <f>IFERROR(__xludf.DUMMYFUNCTION("""COMPUTED_VALUE"""),"4108-302-139")</f>
        <v>4108-302-139</v>
      </c>
      <c r="J141" s="74"/>
      <c r="K141" s="74" t="str">
        <f>IFERROR(__xludf.DUMMYFUNCTION("""COMPUTED_VALUE"""),"Olla Revolvedora")</f>
        <v>Olla Revolvedora</v>
      </c>
      <c r="L141" s="74" t="str">
        <f>IFERROR(__xludf.DUMMYFUNCTION("""COMPUTED_VALUE"""),"Sellos y retenes")</f>
        <v>Sellos y retenes</v>
      </c>
      <c r="M141" s="74" t="str">
        <f>IFERROR(__xludf.DUMMYFUNCTION("""COMPUTED_VALUE"""),"Sin Asignar")</f>
        <v>Sin Asignar</v>
      </c>
      <c r="N141" s="87">
        <f>IFERROR(__xludf.DUMMYFUNCTION("""COMPUTED_VALUE"""),0.0)</f>
        <v>0</v>
      </c>
      <c r="O141" s="74"/>
      <c r="P141" s="74" t="str">
        <f>IFERROR(__xludf.DUMMYFUNCTION("""COMPUTED_VALUE"""),"No Available")</f>
        <v>No Available</v>
      </c>
      <c r="Q141" s="74"/>
      <c r="R141" s="74"/>
      <c r="S141" s="87">
        <f>IFERROR(__xludf.DUMMYFUNCTION("""COMPUTED_VALUE"""),0.0)</f>
        <v>0</v>
      </c>
      <c r="T141" s="87">
        <f>IFERROR(__xludf.DUMMYFUNCTION("""COMPUTED_VALUE"""),0.0)</f>
        <v>0</v>
      </c>
      <c r="U141" s="87">
        <f>IFERROR(__xludf.DUMMYFUNCTION("""COMPUTED_VALUE"""),0.0)</f>
        <v>0</v>
      </c>
      <c r="V141" s="87">
        <f>IFERROR(__xludf.DUMMYFUNCTION("""COMPUTED_VALUE"""),0.0)</f>
        <v>0</v>
      </c>
      <c r="W141" s="87">
        <f>IFERROR(__xludf.DUMMYFUNCTION("""COMPUTED_VALUE"""),0.0)</f>
        <v>0</v>
      </c>
      <c r="X141" s="88"/>
      <c r="Y141" s="74"/>
      <c r="Z141" s="74"/>
    </row>
    <row r="142">
      <c r="B142" s="74" t="str">
        <f>IFERROR(__xludf.DUMMYFUNCTION("""COMPUTED_VALUE"""),"1139")</f>
        <v>1139</v>
      </c>
      <c r="C142" s="74" t="str">
        <f>IFERROR(__xludf.DUMMYFUNCTION("""COMPUTED_VALUE"""),"75045891139")</f>
        <v>75045891139</v>
      </c>
      <c r="D142" s="74" t="str">
        <f>IFERROR(__xludf.DUMMYFUNCTION("""COMPUTED_VALUE"""),"\\MCA-S\mk\2_BM\0_BMat\08_PYM\Inventario\excel\Imagen de refacciones\Ollas revolvedoras\Valvula Rock")</f>
        <v>\\MCA-S\mk\2_BM\0_BMat\08_PYM\Inventario\excel\Imagen de refacciones\Ollas revolvedoras\Valvula Rock</v>
      </c>
      <c r="E142" s="74" t="str">
        <f>IFERROR(__xludf.DUMMYFUNCTION("""COMPUTED_VALUE"""),"ROCK VALVE DN 210/180")</f>
        <v>ROCK VALVE DN 210/180</v>
      </c>
      <c r="F142" s="74" t="str">
        <f>IFERROR(__xludf.DUMMYFUNCTION("""COMPUTED_VALUE"""),"VALVULA ROCK DN210/180")</f>
        <v>VALVULA ROCK DN210/180</v>
      </c>
      <c r="G142" s="74"/>
      <c r="H142" s="74"/>
      <c r="I142" s="74" t="str">
        <f>IFERROR(__xludf.DUMMYFUNCTION("""COMPUTED_VALUE"""),"10059467")</f>
        <v>10059467</v>
      </c>
      <c r="J142" s="74"/>
      <c r="K142" s="74" t="str">
        <f>IFERROR(__xludf.DUMMYFUNCTION("""COMPUTED_VALUE"""),"Olla Revolvedora")</f>
        <v>Olla Revolvedora</v>
      </c>
      <c r="L142" s="74" t="str">
        <f>IFERROR(__xludf.DUMMYFUNCTION("""COMPUTED_VALUE"""),"Sistema de bombeo de concreto")</f>
        <v>Sistema de bombeo de concreto</v>
      </c>
      <c r="M142" s="74" t="str">
        <f>IFERROR(__xludf.DUMMYFUNCTION("""COMPUTED_VALUE"""),"Sin Asignar")</f>
        <v>Sin Asignar</v>
      </c>
      <c r="N142" s="87">
        <f>IFERROR(__xludf.DUMMYFUNCTION("""COMPUTED_VALUE"""),0.0)</f>
        <v>0</v>
      </c>
      <c r="O142" s="74"/>
      <c r="P142" s="74" t="str">
        <f>IFERROR(__xludf.DUMMYFUNCTION("""COMPUTED_VALUE"""),"To Re-purchase")</f>
        <v>To Re-purchase</v>
      </c>
      <c r="Q142" s="74"/>
      <c r="R142" s="74"/>
      <c r="S142" s="87">
        <f>IFERROR(__xludf.DUMMYFUNCTION("""COMPUTED_VALUE"""),0.0)</f>
        <v>0</v>
      </c>
      <c r="T142" s="87">
        <f>IFERROR(__xludf.DUMMYFUNCTION("""COMPUTED_VALUE"""),0.0)</f>
        <v>0</v>
      </c>
      <c r="U142" s="87">
        <f>IFERROR(__xludf.DUMMYFUNCTION("""COMPUTED_VALUE"""),0.0)</f>
        <v>0</v>
      </c>
      <c r="V142" s="87">
        <f>IFERROR(__xludf.DUMMYFUNCTION("""COMPUTED_VALUE"""),0.0)</f>
        <v>0</v>
      </c>
      <c r="W142" s="87">
        <f>IFERROR(__xludf.DUMMYFUNCTION("""COMPUTED_VALUE"""),0.0)</f>
        <v>0</v>
      </c>
      <c r="X142" s="88"/>
      <c r="Y142" s="74"/>
      <c r="Z142" s="74"/>
    </row>
    <row r="143">
      <c r="B143" s="74" t="str">
        <f>IFERROR(__xludf.DUMMYFUNCTION("""COMPUTED_VALUE"""),"1140")</f>
        <v>1140</v>
      </c>
      <c r="C143" s="74"/>
      <c r="D143" s="74" t="str">
        <f>IFERROR(__xludf.DUMMYFUNCTION("""COMPUTED_VALUE"""),"\\MCA-S\mk\2_BM\0_BMat\08_PYM\Inventario\excel\Imagen de refacciones\Ollas revolvedoras\Perno piston valvula rock")</f>
        <v>\\MCA-S\mk\2_BM\0_BMat\08_PYM\Inventario\excel\Imagen de refacciones\Ollas revolvedoras\Perno piston valvula rock</v>
      </c>
      <c r="E143" s="74" t="str">
        <f>IFERROR(__xludf.DUMMYFUNCTION("""COMPUTED_VALUE"""),"BOLT V-ROCK")</f>
        <v>BOLT V-ROCK</v>
      </c>
      <c r="F143" s="74" t="str">
        <f>IFERROR(__xludf.DUMMYFUNCTION("""COMPUTED_VALUE"""),"PERNO PISTON VALVULA ROCK")</f>
        <v>PERNO PISTON VALVULA ROCK</v>
      </c>
      <c r="G143" s="74"/>
      <c r="H143" s="74"/>
      <c r="I143" s="74"/>
      <c r="J143" s="74"/>
      <c r="K143" s="74" t="str">
        <f>IFERROR(__xludf.DUMMYFUNCTION("""COMPUTED_VALUE"""),"Olla Revolvedora")</f>
        <v>Olla Revolvedora</v>
      </c>
      <c r="L143" s="74" t="str">
        <f>IFERROR(__xludf.DUMMYFUNCTION("""COMPUTED_VALUE"""),"BARRA V-ROCK")</f>
        <v>BARRA V-ROCK</v>
      </c>
      <c r="M143" s="74" t="str">
        <f>IFERROR(__xludf.DUMMYFUNCTION("""COMPUTED_VALUE"""),"Sin Asignar")</f>
        <v>Sin Asignar</v>
      </c>
      <c r="N143" s="87">
        <f>IFERROR(__xludf.DUMMYFUNCTION("""COMPUTED_VALUE"""),0.0)</f>
        <v>0</v>
      </c>
      <c r="O143" s="74"/>
      <c r="P143" s="74" t="str">
        <f>IFERROR(__xludf.DUMMYFUNCTION("""COMPUTED_VALUE"""),"borrar")</f>
        <v>borrar</v>
      </c>
      <c r="Q143" s="74"/>
      <c r="R143" s="74"/>
      <c r="S143" s="87">
        <f>IFERROR(__xludf.DUMMYFUNCTION("""COMPUTED_VALUE"""),0.0)</f>
        <v>0</v>
      </c>
      <c r="T143" s="87">
        <f>IFERROR(__xludf.DUMMYFUNCTION("""COMPUTED_VALUE"""),0.0)</f>
        <v>0</v>
      </c>
      <c r="U143" s="87">
        <f>IFERROR(__xludf.DUMMYFUNCTION("""COMPUTED_VALUE"""),0.0)</f>
        <v>0</v>
      </c>
      <c r="V143" s="87">
        <f>IFERROR(__xludf.DUMMYFUNCTION("""COMPUTED_VALUE"""),0.0)</f>
        <v>0</v>
      </c>
      <c r="W143" s="87">
        <f>IFERROR(__xludf.DUMMYFUNCTION("""COMPUTED_VALUE"""),0.0)</f>
        <v>0</v>
      </c>
      <c r="X143" s="88"/>
      <c r="Y143" s="74"/>
      <c r="Z143" s="74"/>
    </row>
    <row r="144">
      <c r="B144" s="74" t="str">
        <f>IFERROR(__xludf.DUMMYFUNCTION("""COMPUTED_VALUE"""),"1141")</f>
        <v>1141</v>
      </c>
      <c r="C144" s="74" t="str">
        <f>IFERROR(__xludf.DUMMYFUNCTION("""COMPUTED_VALUE"""),"75045891141")</f>
        <v>75045891141</v>
      </c>
      <c r="D144" s="74" t="str">
        <f>IFERROR(__xludf.DUMMYFUNCTION("""COMPUTED_VALUE"""),"\\MCA-S\mk\2_BM\0_BMat\08_PYM\Inventario\excel\Imagen de refacciones\Ollas revolvedoras\Barra con tope")</f>
        <v>\\MCA-S\mk\2_BM\0_BMat\08_PYM\Inventario\excel\Imagen de refacciones\Ollas revolvedoras\Barra con tope</v>
      </c>
      <c r="E144" s="74" t="str">
        <f>IFERROR(__xludf.DUMMYFUNCTION("""COMPUTED_VALUE"""),"FLANGED SHAFT BEARING SIDE ")</f>
        <v>FLANGED SHAFT BEARING SIDE </v>
      </c>
      <c r="F144" s="74" t="str">
        <f>IFERROR(__xludf.DUMMYFUNCTION("""COMPUTED_VALUE"""),"BARRA CON TOPE")</f>
        <v>BARRA CON TOPE</v>
      </c>
      <c r="G144" s="74"/>
      <c r="H144" s="74"/>
      <c r="I144" s="74" t="str">
        <f>IFERROR(__xludf.DUMMYFUNCTION("""COMPUTED_VALUE"""),"10004178")</f>
        <v>10004178</v>
      </c>
      <c r="J144" s="74"/>
      <c r="K144" s="74" t="str">
        <f>IFERROR(__xludf.DUMMYFUNCTION("""COMPUTED_VALUE"""),"Olla Revolvedora")</f>
        <v>Olla Revolvedora</v>
      </c>
      <c r="L144" s="74" t="str">
        <f>IFERROR(__xludf.DUMMYFUNCTION("""COMPUTED_VALUE"""),"BARRA V-ROCK")</f>
        <v>BARRA V-ROCK</v>
      </c>
      <c r="M144" s="74" t="str">
        <f>IFERROR(__xludf.DUMMYFUNCTION("""COMPUTED_VALUE"""),"Sin Asignar")</f>
        <v>Sin Asignar</v>
      </c>
      <c r="N144" s="87">
        <f>IFERROR(__xludf.DUMMYFUNCTION("""COMPUTED_VALUE"""),0.0)</f>
        <v>0</v>
      </c>
      <c r="O144" s="74"/>
      <c r="P144" s="74" t="str">
        <f>IFERROR(__xludf.DUMMYFUNCTION("""COMPUTED_VALUE"""),"To Re-purchase")</f>
        <v>To Re-purchase</v>
      </c>
      <c r="Q144" s="74"/>
      <c r="R144" s="74"/>
      <c r="S144" s="87">
        <f>IFERROR(__xludf.DUMMYFUNCTION("""COMPUTED_VALUE"""),0.0)</f>
        <v>0</v>
      </c>
      <c r="T144" s="87">
        <f>IFERROR(__xludf.DUMMYFUNCTION("""COMPUTED_VALUE"""),0.0)</f>
        <v>0</v>
      </c>
      <c r="U144" s="87">
        <f>IFERROR(__xludf.DUMMYFUNCTION("""COMPUTED_VALUE"""),0.0)</f>
        <v>0</v>
      </c>
      <c r="V144" s="87">
        <f>IFERROR(__xludf.DUMMYFUNCTION("""COMPUTED_VALUE"""),0.0)</f>
        <v>0</v>
      </c>
      <c r="W144" s="87">
        <f>IFERROR(__xludf.DUMMYFUNCTION("""COMPUTED_VALUE"""),0.0)</f>
        <v>0</v>
      </c>
      <c r="X144" s="88"/>
      <c r="Y144" s="74"/>
      <c r="Z144" s="74"/>
    </row>
    <row r="145">
      <c r="B145" s="74" t="str">
        <f>IFERROR(__xludf.DUMMYFUNCTION("""COMPUTED_VALUE"""),"1142")</f>
        <v>1142</v>
      </c>
      <c r="C145" s="74" t="str">
        <f>IFERROR(__xludf.DUMMYFUNCTION("""COMPUTED_VALUE"""),"75045891142")</f>
        <v>75045891142</v>
      </c>
      <c r="D145" s="74" t="str">
        <f>IFERROR(__xludf.DUMMYFUNCTION("""COMPUTED_VALUE"""),"\\MCA-S\mk\2_BM\0_BMat\08_PYM\Inventario\excel\Imagen de refacciones\Ollas revolvedoras\Tornillos para valvula rock")</f>
        <v>\\MCA-S\mk\2_BM\0_BMat\08_PYM\Inventario\excel\Imagen de refacciones\Ollas revolvedoras\Tornillos para valvula rock</v>
      </c>
      <c r="E145" s="74" t="str">
        <f>IFERROR(__xludf.DUMMYFUNCTION("""COMPUTED_VALUE"""),"HEX HEAD CAP SCREW BOLT DIN931 M30x150-8.8-A3C")</f>
        <v>HEX HEAD CAP SCREW BOLT DIN931 M30x150-8.8-A3C</v>
      </c>
      <c r="F145" s="74" t="str">
        <f>IFERROR(__xludf.DUMMYFUNCTION("""COMPUTED_VALUE"""),"TORNILLO VALVULA ROCK")</f>
        <v>TORNILLO VALVULA ROCK</v>
      </c>
      <c r="G145" s="74"/>
      <c r="H145" s="74"/>
      <c r="I145" s="74" t="str">
        <f>IFERROR(__xludf.DUMMYFUNCTION("""COMPUTED_VALUE"""),"10001295")</f>
        <v>10001295</v>
      </c>
      <c r="J145" s="74"/>
      <c r="K145" s="74" t="str">
        <f>IFERROR(__xludf.DUMMYFUNCTION("""COMPUTED_VALUE"""),"Olla Revolvedora")</f>
        <v>Olla Revolvedora</v>
      </c>
      <c r="L145" s="74" t="str">
        <f>IFERROR(__xludf.DUMMYFUNCTION("""COMPUTED_VALUE"""),"BARRA V-ROCK")</f>
        <v>BARRA V-ROCK</v>
      </c>
      <c r="M145" s="74" t="str">
        <f>IFERROR(__xludf.DUMMYFUNCTION("""COMPUTED_VALUE"""),"Sin Asignar")</f>
        <v>Sin Asignar</v>
      </c>
      <c r="N145" s="87">
        <f>IFERROR(__xludf.DUMMYFUNCTION("""COMPUTED_VALUE"""),0.0)</f>
        <v>0</v>
      </c>
      <c r="O145" s="74"/>
      <c r="P145" s="74" t="str">
        <f>IFERROR(__xludf.DUMMYFUNCTION("""COMPUTED_VALUE"""),"To Re-purchase")</f>
        <v>To Re-purchase</v>
      </c>
      <c r="Q145" s="74"/>
      <c r="R145" s="74"/>
      <c r="S145" s="87">
        <f>IFERROR(__xludf.DUMMYFUNCTION("""COMPUTED_VALUE"""),0.0)</f>
        <v>0</v>
      </c>
      <c r="T145" s="87">
        <f>IFERROR(__xludf.DUMMYFUNCTION("""COMPUTED_VALUE"""),0.0)</f>
        <v>0</v>
      </c>
      <c r="U145" s="87">
        <f>IFERROR(__xludf.DUMMYFUNCTION("""COMPUTED_VALUE"""),0.0)</f>
        <v>0</v>
      </c>
      <c r="V145" s="87">
        <f>IFERROR(__xludf.DUMMYFUNCTION("""COMPUTED_VALUE"""),0.0)</f>
        <v>0</v>
      </c>
      <c r="W145" s="87">
        <f>IFERROR(__xludf.DUMMYFUNCTION("""COMPUTED_VALUE"""),0.0)</f>
        <v>0</v>
      </c>
      <c r="X145" s="88"/>
      <c r="Y145" s="74"/>
      <c r="Z145" s="74"/>
    </row>
    <row r="146">
      <c r="B146" s="74" t="str">
        <f>IFERROR(__xludf.DUMMYFUNCTION("""COMPUTED_VALUE"""),"1143")</f>
        <v>1143</v>
      </c>
      <c r="C146" s="74" t="str">
        <f>IFERROR(__xludf.DUMMYFUNCTION("""COMPUTED_VALUE"""),"75045891143")</f>
        <v>75045891143</v>
      </c>
      <c r="D146" s="74" t="str">
        <f>IFERROR(__xludf.DUMMYFUNCTION("""COMPUTED_VALUE"""),"\\MCA-S\mk\2_BM\0_BMat\08_PYM\Inventario\excel\Imagen de refacciones\Ollas revolvedoras\Rondana para valvula rock")</f>
        <v>\\MCA-S\mk\2_BM\0_BMat\08_PYM\Inventario\excel\Imagen de refacciones\Ollas revolvedoras\Rondana para valvula rock</v>
      </c>
      <c r="E146" s="74" t="str">
        <f>IFERROR(__xludf.DUMMYFUNCTION("""COMPUTED_VALUE"""),"LOCK WASHER SAFETY DISC, S 30, BURNISHED")</f>
        <v>LOCK WASHER SAFETY DISC, S 30, BURNISHED</v>
      </c>
      <c r="F146" s="74" t="str">
        <f>IFERROR(__xludf.DUMMYFUNCTION("""COMPUTED_VALUE"""),"RONDANA PARA VALVULA ROCK")</f>
        <v>RONDANA PARA VALVULA ROCK</v>
      </c>
      <c r="G146" s="74"/>
      <c r="H146" s="74"/>
      <c r="I146" s="74" t="str">
        <f>IFERROR(__xludf.DUMMYFUNCTION("""COMPUTED_VALUE"""),"10015401")</f>
        <v>10015401</v>
      </c>
      <c r="J146" s="74"/>
      <c r="K146" s="74" t="str">
        <f>IFERROR(__xludf.DUMMYFUNCTION("""COMPUTED_VALUE"""),"Olla Revolvedora")</f>
        <v>Olla Revolvedora</v>
      </c>
      <c r="L146" s="74" t="str">
        <f>IFERROR(__xludf.DUMMYFUNCTION("""COMPUTED_VALUE"""),"BARRA V-ROCK")</f>
        <v>BARRA V-ROCK</v>
      </c>
      <c r="M146" s="74" t="str">
        <f>IFERROR(__xludf.DUMMYFUNCTION("""COMPUTED_VALUE"""),"Sin Asignar")</f>
        <v>Sin Asignar</v>
      </c>
      <c r="N146" s="87">
        <f>IFERROR(__xludf.DUMMYFUNCTION("""COMPUTED_VALUE"""),0.0)</f>
        <v>0</v>
      </c>
      <c r="O146" s="74"/>
      <c r="P146" s="74" t="str">
        <f>IFERROR(__xludf.DUMMYFUNCTION("""COMPUTED_VALUE"""),"To Re-purchase")</f>
        <v>To Re-purchase</v>
      </c>
      <c r="Q146" s="74"/>
      <c r="R146" s="74"/>
      <c r="S146" s="87">
        <f>IFERROR(__xludf.DUMMYFUNCTION("""COMPUTED_VALUE"""),0.0)</f>
        <v>0</v>
      </c>
      <c r="T146" s="87">
        <f>IFERROR(__xludf.DUMMYFUNCTION("""COMPUTED_VALUE"""),0.0)</f>
        <v>0</v>
      </c>
      <c r="U146" s="87">
        <f>IFERROR(__xludf.DUMMYFUNCTION("""COMPUTED_VALUE"""),0.0)</f>
        <v>0</v>
      </c>
      <c r="V146" s="87">
        <f>IFERROR(__xludf.DUMMYFUNCTION("""COMPUTED_VALUE"""),0.0)</f>
        <v>0</v>
      </c>
      <c r="W146" s="87">
        <f>IFERROR(__xludf.DUMMYFUNCTION("""COMPUTED_VALUE"""),0.0)</f>
        <v>0</v>
      </c>
      <c r="X146" s="88"/>
      <c r="Y146" s="74"/>
      <c r="Z146" s="74"/>
    </row>
    <row r="147">
      <c r="B147" s="74" t="str">
        <f>IFERROR(__xludf.DUMMYFUNCTION("""COMPUTED_VALUE"""),"1144")</f>
        <v>1144</v>
      </c>
      <c r="C147" s="74" t="str">
        <f>IFERROR(__xludf.DUMMYFUNCTION("""COMPUTED_VALUE"""),"75045891144")</f>
        <v>75045891144</v>
      </c>
      <c r="D147" s="74" t="str">
        <f>IFERROR(__xludf.DUMMYFUNCTION("""COMPUTED_VALUE"""),"\\MCA-S\mk\2_BM\0_BMat\08_PYM\Inventario\excel\Imagen de refacciones\Ollas revolvedoras\Conector para embolo pivote")</f>
        <v>\\MCA-S\mk\2_BM\0_BMat\08_PYM\Inventario\excel\Imagen de refacciones\Ollas revolvedoras\Conector para embolo pivote</v>
      </c>
      <c r="E147" s="74" t="str">
        <f>IFERROR(__xludf.DUMMYFUNCTION("""COMPUTED_VALUE"""),"PISTON CONNECTION")</f>
        <v>PISTON CONNECTION</v>
      </c>
      <c r="F147" s="74" t="str">
        <f>IFERROR(__xludf.DUMMYFUNCTION("""COMPUTED_VALUE"""),"CONECTOR PARA EMBOLO PIVOTE")</f>
        <v>CONECTOR PARA EMBOLO PIVOTE</v>
      </c>
      <c r="G147" s="74"/>
      <c r="H147" s="74"/>
      <c r="I147" s="74" t="str">
        <f>IFERROR(__xludf.DUMMYFUNCTION("""COMPUTED_VALUE"""),"10002325")</f>
        <v>10002325</v>
      </c>
      <c r="J147" s="74"/>
      <c r="K147" s="74" t="str">
        <f>IFERROR(__xludf.DUMMYFUNCTION("""COMPUTED_VALUE"""),"Olla Revolvedora")</f>
        <v>Olla Revolvedora</v>
      </c>
      <c r="L147" s="74" t="str">
        <f>IFERROR(__xludf.DUMMYFUNCTION("""COMPUTED_VALUE"""),"Sistema de bombeo de concreto")</f>
        <v>Sistema de bombeo de concreto</v>
      </c>
      <c r="M147" s="74" t="str">
        <f>IFERROR(__xludf.DUMMYFUNCTION("""COMPUTED_VALUE"""),"Sin Asignar")</f>
        <v>Sin Asignar</v>
      </c>
      <c r="N147" s="87">
        <f>IFERROR(__xludf.DUMMYFUNCTION("""COMPUTED_VALUE"""),0.0)</f>
        <v>0</v>
      </c>
      <c r="O147" s="74"/>
      <c r="P147" s="74" t="str">
        <f>IFERROR(__xludf.DUMMYFUNCTION("""COMPUTED_VALUE"""),"To Re-purchase")</f>
        <v>To Re-purchase</v>
      </c>
      <c r="Q147" s="74"/>
      <c r="R147" s="74"/>
      <c r="S147" s="87">
        <f>IFERROR(__xludf.DUMMYFUNCTION("""COMPUTED_VALUE"""),0.0)</f>
        <v>0</v>
      </c>
      <c r="T147" s="87">
        <f>IFERROR(__xludf.DUMMYFUNCTION("""COMPUTED_VALUE"""),0.0)</f>
        <v>0</v>
      </c>
      <c r="U147" s="87">
        <f>IFERROR(__xludf.DUMMYFUNCTION("""COMPUTED_VALUE"""),0.0)</f>
        <v>0</v>
      </c>
      <c r="V147" s="87">
        <f>IFERROR(__xludf.DUMMYFUNCTION("""COMPUTED_VALUE"""),0.0)</f>
        <v>0</v>
      </c>
      <c r="W147" s="87">
        <f>IFERROR(__xludf.DUMMYFUNCTION("""COMPUTED_VALUE"""),0.0)</f>
        <v>0</v>
      </c>
      <c r="X147" s="88"/>
      <c r="Y147" s="74"/>
      <c r="Z147" s="74"/>
    </row>
    <row r="148">
      <c r="B148" s="74" t="str">
        <f>IFERROR(__xludf.DUMMYFUNCTION("""COMPUTED_VALUE"""),"1145")</f>
        <v>1145</v>
      </c>
      <c r="C148" s="74" t="str">
        <f>IFERROR(__xludf.DUMMYFUNCTION("""COMPUTED_VALUE"""),"75045891145")</f>
        <v>75045891145</v>
      </c>
      <c r="D148" s="74" t="str">
        <f>IFERROR(__xludf.DUMMYFUNCTION("""COMPUTED_VALUE"""),"\\MCA-S\mk\2_BM\0_BMat\08_PYM\Inventario\excel\Imagen de refacciones\Schwing\Porta insertos")</f>
        <v>\\MCA-S\mk\2_BM\0_BMat\08_PYM\Inventario\excel\Imagen de refacciones\Schwing\Porta insertos</v>
      </c>
      <c r="E148" s="74" t="str">
        <f>IFERROR(__xludf.DUMMYFUNCTION("""COMPUTED_VALUE"""),"BASE PlLATE ASSEMBLY CPL")</f>
        <v>BASE PlLATE ASSEMBLY CPL</v>
      </c>
      <c r="F148" s="74" t="str">
        <f>IFERROR(__xludf.DUMMYFUNCTION("""COMPUTED_VALUE"""),"PORTA INSERTOS")</f>
        <v>PORTA INSERTOS</v>
      </c>
      <c r="G148" s="74"/>
      <c r="H148" s="74"/>
      <c r="I148" s="74" t="str">
        <f>IFERROR(__xludf.DUMMYFUNCTION("""COMPUTED_VALUE"""),"10146062")</f>
        <v>10146062</v>
      </c>
      <c r="J148" s="74"/>
      <c r="K148" s="74" t="str">
        <f>IFERROR(__xludf.DUMMYFUNCTION("""COMPUTED_VALUE"""),"Schwing")</f>
        <v>Schwing</v>
      </c>
      <c r="L148" s="74" t="str">
        <f>IFERROR(__xludf.DUMMYFUNCTION("""COMPUTED_VALUE"""),"BARRA V-ROCK")</f>
        <v>BARRA V-ROCK</v>
      </c>
      <c r="M148" s="74" t="str">
        <f>IFERROR(__xludf.DUMMYFUNCTION("""COMPUTED_VALUE"""),"SIN ASIGNAR")</f>
        <v>SIN ASIGNAR</v>
      </c>
      <c r="N148" s="87">
        <f>IFERROR(__xludf.DUMMYFUNCTION("""COMPUTED_VALUE"""),0.0)</f>
        <v>0</v>
      </c>
      <c r="O148" s="74"/>
      <c r="P148" s="74" t="str">
        <f>IFERROR(__xludf.DUMMYFUNCTION("""COMPUTED_VALUE"""),"To Re-purchase")</f>
        <v>To Re-purchase</v>
      </c>
      <c r="Q148" s="74"/>
      <c r="R148" s="74"/>
      <c r="S148" s="87">
        <f>IFERROR(__xludf.DUMMYFUNCTION("""COMPUTED_VALUE"""),0.0)</f>
        <v>0</v>
      </c>
      <c r="T148" s="87">
        <f>IFERROR(__xludf.DUMMYFUNCTION("""COMPUTED_VALUE"""),0.0)</f>
        <v>0</v>
      </c>
      <c r="U148" s="87">
        <f>IFERROR(__xludf.DUMMYFUNCTION("""COMPUTED_VALUE"""),0.0)</f>
        <v>0</v>
      </c>
      <c r="V148" s="87">
        <f>IFERROR(__xludf.DUMMYFUNCTION("""COMPUTED_VALUE"""),0.0)</f>
        <v>0</v>
      </c>
      <c r="W148" s="87">
        <f>IFERROR(__xludf.DUMMYFUNCTION("""COMPUTED_VALUE"""),0.0)</f>
        <v>0</v>
      </c>
      <c r="X148" s="88"/>
      <c r="Y148" s="74"/>
      <c r="Z148" s="74"/>
    </row>
    <row r="149">
      <c r="B149" s="74" t="str">
        <f>IFERROR(__xludf.DUMMYFUNCTION("""COMPUTED_VALUE"""),"1146")</f>
        <v>1146</v>
      </c>
      <c r="C149" s="74" t="str">
        <f>IFERROR(__xludf.DUMMYFUNCTION("""COMPUTED_VALUE"""),"75045891146")</f>
        <v>75045891146</v>
      </c>
      <c r="D149" s="74" t="str">
        <f>IFERROR(__xludf.DUMMYFUNCTION("""COMPUTED_VALUE"""),"\\MCA-S\mk\2_BM\0_BMat\08_PYM\Inventario\excel\Imagen de refacciones\Schwing\Triangulo (chico y grande)")</f>
        <v>\\MCA-S\mk\2_BM\0_BMat\08_PYM\Inventario\excel\Imagen de refacciones\Schwing\Triangulo (chico y grande)</v>
      </c>
      <c r="E149" s="74" t="str">
        <f>IFERROR(__xludf.DUMMYFUNCTION("""COMPUTED_VALUE"""),"SMALL HARDENED WEAR PLATE PUMPKIT")</f>
        <v>SMALL HARDENED WEAR PLATE PUMPKIT</v>
      </c>
      <c r="F149" s="74" t="str">
        <f>IFERROR(__xludf.DUMMYFUNCTION("""COMPUTED_VALUE"""),"TRIANGULO CHICO")</f>
        <v>TRIANGULO CHICO</v>
      </c>
      <c r="G149" s="74"/>
      <c r="H149" s="74"/>
      <c r="I149" s="74" t="str">
        <f>IFERROR(__xludf.DUMMYFUNCTION("""COMPUTED_VALUE"""),"10146064")</f>
        <v>10146064</v>
      </c>
      <c r="J149" s="74" t="str">
        <f>IFERROR(__xludf.DUMMYFUNCTION("""COMPUTED_VALUE"""),"10183641")</f>
        <v>10183641</v>
      </c>
      <c r="K149" s="74" t="str">
        <f>IFERROR(__xludf.DUMMYFUNCTION("""COMPUTED_VALUE"""),"Schwing")</f>
        <v>Schwing</v>
      </c>
      <c r="L149" s="74" t="str">
        <f>IFERROR(__xludf.DUMMYFUNCTION("""COMPUTED_VALUE"""),"Sistema de bombeo de concreto")</f>
        <v>Sistema de bombeo de concreto</v>
      </c>
      <c r="M149" s="74" t="str">
        <f>IFERROR(__xludf.DUMMYFUNCTION("""COMPUTED_VALUE"""),"SIN ASIGNAR")</f>
        <v>SIN ASIGNAR</v>
      </c>
      <c r="N149" s="87">
        <f>IFERROR(__xludf.DUMMYFUNCTION("""COMPUTED_VALUE"""),0.0)</f>
        <v>0</v>
      </c>
      <c r="O149" s="74"/>
      <c r="P149" s="74" t="str">
        <f>IFERROR(__xludf.DUMMYFUNCTION("""COMPUTED_VALUE"""),"To Re-purchase")</f>
        <v>To Re-purchase</v>
      </c>
      <c r="Q149" s="74"/>
      <c r="R149" s="74"/>
      <c r="S149" s="87">
        <f>IFERROR(__xludf.DUMMYFUNCTION("""COMPUTED_VALUE"""),0.0)</f>
        <v>0</v>
      </c>
      <c r="T149" s="87">
        <f>IFERROR(__xludf.DUMMYFUNCTION("""COMPUTED_VALUE"""),0.0)</f>
        <v>0</v>
      </c>
      <c r="U149" s="87">
        <f>IFERROR(__xludf.DUMMYFUNCTION("""COMPUTED_VALUE"""),0.0)</f>
        <v>0</v>
      </c>
      <c r="V149" s="87">
        <f>IFERROR(__xludf.DUMMYFUNCTION("""COMPUTED_VALUE"""),0.0)</f>
        <v>0</v>
      </c>
      <c r="W149" s="87">
        <f>IFERROR(__xludf.DUMMYFUNCTION("""COMPUTED_VALUE"""),0.0)</f>
        <v>0</v>
      </c>
      <c r="X149" s="88"/>
      <c r="Y149" s="74"/>
      <c r="Z149" s="74"/>
    </row>
    <row r="150">
      <c r="B150" s="74" t="str">
        <f>IFERROR(__xludf.DUMMYFUNCTION("""COMPUTED_VALUE"""),"1147")</f>
        <v>1147</v>
      </c>
      <c r="C150" s="74" t="str">
        <f>IFERROR(__xludf.DUMMYFUNCTION("""COMPUTED_VALUE"""),"75045891147")</f>
        <v>75045891147</v>
      </c>
      <c r="D150" s="74" t="str">
        <f>IFERROR(__xludf.DUMMYFUNCTION("""COMPUTED_VALUE"""),"\\MCA-S\mk\2_BM\0_BMat\08_PYM\Inventario\excel\Imagen de refacciones\Schwing\dona para corredera valvula gate 42x15.5")</f>
        <v>\\MCA-S\mk\2_BM\0_BMat\08_PYM\Inventario\excel\Imagen de refacciones\Schwing\dona para corredera valvula gate 42x15.5</v>
      </c>
      <c r="E150" s="74" t="str">
        <f>IFERROR(__xludf.DUMMYFUNCTION("""COMPUTED_VALUE"""),"VALVULE GATE 42X15.5")</f>
        <v>VALVULE GATE 42X15.5</v>
      </c>
      <c r="F150" s="74" t="str">
        <f>IFERROR(__xludf.DUMMYFUNCTION("""COMPUTED_VALUE"""),"DONA CORREDERA VALVULA GATE 42X15.5")</f>
        <v>DONA CORREDERA VALVULA GATE 42X15.5</v>
      </c>
      <c r="G150" s="74"/>
      <c r="H150" s="74"/>
      <c r="I150" s="74" t="str">
        <f>IFERROR(__xludf.DUMMYFUNCTION("""COMPUTED_VALUE"""),"10004197")</f>
        <v>10004197</v>
      </c>
      <c r="J150" s="74"/>
      <c r="K150" s="74" t="str">
        <f>IFERROR(__xludf.DUMMYFUNCTION("""COMPUTED_VALUE"""),"Schwing")</f>
        <v>Schwing</v>
      </c>
      <c r="L150" s="74" t="str">
        <f>IFERROR(__xludf.DUMMYFUNCTION("""COMPUTED_VALUE"""),"SIN ASIGNAR")</f>
        <v>SIN ASIGNAR</v>
      </c>
      <c r="M150" s="74" t="str">
        <f>IFERROR(__xludf.DUMMYFUNCTION("""COMPUTED_VALUE"""),"SIN ASIGNAR")</f>
        <v>SIN ASIGNAR</v>
      </c>
      <c r="N150" s="87">
        <f>IFERROR(__xludf.DUMMYFUNCTION("""COMPUTED_VALUE"""),0.0)</f>
        <v>0</v>
      </c>
      <c r="O150" s="74"/>
      <c r="P150" s="74" t="str">
        <f>IFERROR(__xludf.DUMMYFUNCTION("""COMPUTED_VALUE"""),"To Re-purchase")</f>
        <v>To Re-purchase</v>
      </c>
      <c r="Q150" s="74"/>
      <c r="R150" s="74"/>
      <c r="S150" s="87">
        <f>IFERROR(__xludf.DUMMYFUNCTION("""COMPUTED_VALUE"""),0.0)</f>
        <v>0</v>
      </c>
      <c r="T150" s="87">
        <f>IFERROR(__xludf.DUMMYFUNCTION("""COMPUTED_VALUE"""),0.0)</f>
        <v>0</v>
      </c>
      <c r="U150" s="87">
        <f>IFERROR(__xludf.DUMMYFUNCTION("""COMPUTED_VALUE"""),0.0)</f>
        <v>0</v>
      </c>
      <c r="V150" s="87">
        <f>IFERROR(__xludf.DUMMYFUNCTION("""COMPUTED_VALUE"""),0.0)</f>
        <v>0</v>
      </c>
      <c r="W150" s="87">
        <f>IFERROR(__xludf.DUMMYFUNCTION("""COMPUTED_VALUE"""),0.0)</f>
        <v>0</v>
      </c>
      <c r="X150" s="88"/>
      <c r="Y150" s="74"/>
      <c r="Z150" s="74"/>
    </row>
    <row r="151">
      <c r="B151" s="74" t="str">
        <f>IFERROR(__xludf.DUMMYFUNCTION("""COMPUTED_VALUE"""),"1148")</f>
        <v>1148</v>
      </c>
      <c r="C151" s="74" t="str">
        <f>IFERROR(__xludf.DUMMYFUNCTION("""COMPUTED_VALUE"""),"75045891148")</f>
        <v>75045891148</v>
      </c>
      <c r="D151" s="74" t="str">
        <f>IFERROR(__xludf.DUMMYFUNCTION("""COMPUTED_VALUE"""),"\\MCA-S\mk\2_BM\0_BMat\08_PYM\Inventario\excel\Imagen de refacciones\Ollas revolvedoras\dona para corredera valvula gate 50x16")</f>
        <v>\\MCA-S\mk\2_BM\0_BMat\08_PYM\Inventario\excel\Imagen de refacciones\Ollas revolvedoras\dona para corredera valvula gate 50x16</v>
      </c>
      <c r="E151" s="74" t="str">
        <f>IFERROR(__xludf.DUMMYFUNCTION("""COMPUTED_VALUE"""),"FORM LACE RING 50X16")</f>
        <v>FORM LACE RING 50X16</v>
      </c>
      <c r="F151" s="74" t="str">
        <f>IFERROR(__xludf.DUMMYFUNCTION("""COMPUTED_VALUE"""),"DONA CORREDERA VALVULA GATE 50X16")</f>
        <v>DONA CORREDERA VALVULA GATE 50X16</v>
      </c>
      <c r="G151" s="74"/>
      <c r="H151" s="74"/>
      <c r="I151" s="74" t="str">
        <f>IFERROR(__xludf.DUMMYFUNCTION("""COMPUTED_VALUE"""),"10001108")</f>
        <v>10001108</v>
      </c>
      <c r="J151" s="74"/>
      <c r="K151" s="74" t="str">
        <f>IFERROR(__xludf.DUMMYFUNCTION("""COMPUTED_VALUE"""),"Olla Revolvedora")</f>
        <v>Olla Revolvedora</v>
      </c>
      <c r="L151" s="74" t="str">
        <f>IFERROR(__xludf.DUMMYFUNCTION("""COMPUTED_VALUE"""),"SIN ASIGNAR")</f>
        <v>SIN ASIGNAR</v>
      </c>
      <c r="M151" s="74" t="str">
        <f>IFERROR(__xludf.DUMMYFUNCTION("""COMPUTED_VALUE"""),"VALVULAS")</f>
        <v>VALVULAS</v>
      </c>
      <c r="N151" s="87">
        <f>IFERROR(__xludf.DUMMYFUNCTION("""COMPUTED_VALUE"""),0.0)</f>
        <v>0</v>
      </c>
      <c r="O151" s="74"/>
      <c r="P151" s="74" t="str">
        <f>IFERROR(__xludf.DUMMYFUNCTION("""COMPUTED_VALUE"""),"To Re-purchase")</f>
        <v>To Re-purchase</v>
      </c>
      <c r="Q151" s="74"/>
      <c r="R151" s="74"/>
      <c r="S151" s="87">
        <f>IFERROR(__xludf.DUMMYFUNCTION("""COMPUTED_VALUE"""),0.0)</f>
        <v>0</v>
      </c>
      <c r="T151" s="87">
        <f>IFERROR(__xludf.DUMMYFUNCTION("""COMPUTED_VALUE"""),0.0)</f>
        <v>0</v>
      </c>
      <c r="U151" s="87">
        <f>IFERROR(__xludf.DUMMYFUNCTION("""COMPUTED_VALUE"""),0.0)</f>
        <v>0</v>
      </c>
      <c r="V151" s="87">
        <f>IFERROR(__xludf.DUMMYFUNCTION("""COMPUTED_VALUE"""),0.0)</f>
        <v>0</v>
      </c>
      <c r="W151" s="87">
        <f>IFERROR(__xludf.DUMMYFUNCTION("""COMPUTED_VALUE"""),0.0)</f>
        <v>0</v>
      </c>
      <c r="X151" s="88"/>
      <c r="Y151" s="74"/>
      <c r="Z151" s="74"/>
    </row>
    <row r="152">
      <c r="B152" s="74" t="str">
        <f>IFERROR(__xludf.DUMMYFUNCTION("""COMPUTED_VALUE"""),"1149")</f>
        <v>1149</v>
      </c>
      <c r="C152" s="74" t="str">
        <f>IFERROR(__xludf.DUMMYFUNCTION("""COMPUTED_VALUE"""),"75045891149")</f>
        <v>75045891149</v>
      </c>
      <c r="D152" s="74" t="str">
        <f>IFERROR(__xludf.DUMMYFUNCTION("""COMPUTED_VALUE"""),"\\MCA-S\mk\2_BM\0_BMat\08_PYM\Inventario\excel\Imagen de refacciones\Schwing\Corredera Grande para Válvula Gate")</f>
        <v>\\MCA-S\mk\2_BM\0_BMat\08_PYM\Inventario\excel\Imagen de refacciones\Schwing\Corredera Grande para Válvula Gate</v>
      </c>
      <c r="E152" s="74" t="str">
        <f>IFERROR(__xludf.DUMMYFUNCTION("""COMPUTED_VALUE"""),"FLAT GATE VALVE 210/55/30")</f>
        <v>FLAT GATE VALVE 210/55/30</v>
      </c>
      <c r="F152" s="74" t="str">
        <f>IFERROR(__xludf.DUMMYFUNCTION("""COMPUTED_VALUE"""),"CORREA GRANDE VALVULA GATE")</f>
        <v>CORREA GRANDE VALVULA GATE</v>
      </c>
      <c r="G152" s="74"/>
      <c r="H152" s="74"/>
      <c r="I152" s="74" t="str">
        <f>IFERROR(__xludf.DUMMYFUNCTION("""COMPUTED_VALUE"""),"10003037")</f>
        <v>10003037</v>
      </c>
      <c r="J152" s="74"/>
      <c r="K152" s="74" t="str">
        <f>IFERROR(__xludf.DUMMYFUNCTION("""COMPUTED_VALUE"""),"Schwing")</f>
        <v>Schwing</v>
      </c>
      <c r="L152" s="74" t="str">
        <f>IFERROR(__xludf.DUMMYFUNCTION("""COMPUTED_VALUE"""),"Sistema de bombeo de concreto")</f>
        <v>Sistema de bombeo de concreto</v>
      </c>
      <c r="M152" s="74" t="str">
        <f>IFERROR(__xludf.DUMMYFUNCTION("""COMPUTED_VALUE"""),"Sin Asignar")</f>
        <v>Sin Asignar</v>
      </c>
      <c r="N152" s="87">
        <f>IFERROR(__xludf.DUMMYFUNCTION("""COMPUTED_VALUE"""),0.0)</f>
        <v>0</v>
      </c>
      <c r="O152" s="74"/>
      <c r="P152" s="74" t="str">
        <f>IFERROR(__xludf.DUMMYFUNCTION("""COMPUTED_VALUE"""),"To Re-purchase")</f>
        <v>To Re-purchase</v>
      </c>
      <c r="Q152" s="74"/>
      <c r="R152" s="74"/>
      <c r="S152" s="87">
        <f>IFERROR(__xludf.DUMMYFUNCTION("""COMPUTED_VALUE"""),0.0)</f>
        <v>0</v>
      </c>
      <c r="T152" s="87">
        <f>IFERROR(__xludf.DUMMYFUNCTION("""COMPUTED_VALUE"""),0.0)</f>
        <v>0</v>
      </c>
      <c r="U152" s="87">
        <f>IFERROR(__xludf.DUMMYFUNCTION("""COMPUTED_VALUE"""),0.0)</f>
        <v>0</v>
      </c>
      <c r="V152" s="87">
        <f>IFERROR(__xludf.DUMMYFUNCTION("""COMPUTED_VALUE"""),0.0)</f>
        <v>0</v>
      </c>
      <c r="W152" s="87">
        <f>IFERROR(__xludf.DUMMYFUNCTION("""COMPUTED_VALUE"""),0.0)</f>
        <v>0</v>
      </c>
      <c r="X152" s="88"/>
      <c r="Y152" s="74"/>
      <c r="Z152" s="74"/>
    </row>
    <row r="153">
      <c r="B153" s="74" t="str">
        <f>IFERROR(__xludf.DUMMYFUNCTION("""COMPUTED_VALUE"""),"1150")</f>
        <v>1150</v>
      </c>
      <c r="C153" s="74" t="str">
        <f>IFERROR(__xludf.DUMMYFUNCTION("""COMPUTED_VALUE"""),"75045891150")</f>
        <v>75045891150</v>
      </c>
      <c r="D153" s="74" t="str">
        <f>IFERROR(__xludf.DUMMYFUNCTION("""COMPUTED_VALUE"""),"\\MCA-S\mk\2_BM\0_BMat\08_PYM\Inventario\excel\Imagen de refacciones\Schwing\corredera chica - valvula gate")</f>
        <v>\\MCA-S\mk\2_BM\0_BMat\08_PYM\Inventario\excel\Imagen de refacciones\Schwing\corredera chica - valvula gate</v>
      </c>
      <c r="E153" s="74" t="str">
        <f>IFERROR(__xludf.DUMMYFUNCTION("""COMPUTED_VALUE"""),"FLAT GATE VALVE 180/55/25")</f>
        <v>FLAT GATE VALVE 180/55/25</v>
      </c>
      <c r="F153" s="74" t="str">
        <f>IFERROR(__xludf.DUMMYFUNCTION("""COMPUTED_VALUE"""),"CORREDERA CHICA VALVULA GATE")</f>
        <v>CORREDERA CHICA VALVULA GATE</v>
      </c>
      <c r="G153" s="74"/>
      <c r="H153" s="74"/>
      <c r="I153" s="74" t="str">
        <f>IFERROR(__xludf.DUMMYFUNCTION("""COMPUTED_VALUE"""),"10002348")</f>
        <v>10002348</v>
      </c>
      <c r="J153" s="74"/>
      <c r="K153" s="74" t="str">
        <f>IFERROR(__xludf.DUMMYFUNCTION("""COMPUTED_VALUE"""),"Schwing")</f>
        <v>Schwing</v>
      </c>
      <c r="L153" s="74" t="str">
        <f>IFERROR(__xludf.DUMMYFUNCTION("""COMPUTED_VALUE"""),"SIN ASIGNAR")</f>
        <v>SIN ASIGNAR</v>
      </c>
      <c r="M153" s="74" t="str">
        <f>IFERROR(__xludf.DUMMYFUNCTION("""COMPUTED_VALUE"""),"VALVULAS")</f>
        <v>VALVULAS</v>
      </c>
      <c r="N153" s="87">
        <f>IFERROR(__xludf.DUMMYFUNCTION("""COMPUTED_VALUE"""),0.0)</f>
        <v>0</v>
      </c>
      <c r="O153" s="74"/>
      <c r="P153" s="74" t="str">
        <f>IFERROR(__xludf.DUMMYFUNCTION("""COMPUTED_VALUE"""),"To Re-purchase")</f>
        <v>To Re-purchase</v>
      </c>
      <c r="Q153" s="74"/>
      <c r="R153" s="74"/>
      <c r="S153" s="87">
        <f>IFERROR(__xludf.DUMMYFUNCTION("""COMPUTED_VALUE"""),0.0)</f>
        <v>0</v>
      </c>
      <c r="T153" s="87">
        <f>IFERROR(__xludf.DUMMYFUNCTION("""COMPUTED_VALUE"""),0.0)</f>
        <v>0</v>
      </c>
      <c r="U153" s="87">
        <f>IFERROR(__xludf.DUMMYFUNCTION("""COMPUTED_VALUE"""),0.0)</f>
        <v>0</v>
      </c>
      <c r="V153" s="87">
        <f>IFERROR(__xludf.DUMMYFUNCTION("""COMPUTED_VALUE"""),0.0)</f>
        <v>0</v>
      </c>
      <c r="W153" s="87">
        <f>IFERROR(__xludf.DUMMYFUNCTION("""COMPUTED_VALUE"""),0.0)</f>
        <v>0</v>
      </c>
      <c r="X153" s="88"/>
      <c r="Y153" s="74"/>
      <c r="Z153" s="74"/>
    </row>
    <row r="154">
      <c r="B154" s="74" t="str">
        <f>IFERROR(__xludf.DUMMYFUNCTION("""COMPUTED_VALUE"""),"1151")</f>
        <v>1151</v>
      </c>
      <c r="C154" s="74" t="str">
        <f>IFERROR(__xludf.DUMMYFUNCTION("""COMPUTED_VALUE"""),"75045891151")</f>
        <v>75045891151</v>
      </c>
      <c r="D154" s="74" t="str">
        <f>IFERROR(__xludf.DUMMYFUNCTION("""COMPUTED_VALUE"""),"\\MCA-S\mk\2_BM\0_BMat\08_PYM\Inventario\excel\Imagen de refacciones\Schwing\Perla DN210 para Válvula Gate")</f>
        <v>\\MCA-S\mk\2_BM\0_BMat\08_PYM\Inventario\excel\Imagen de refacciones\Schwing\Perla DN210 para Válvula Gate</v>
      </c>
      <c r="E154" s="74" t="str">
        <f>IFERROR(__xludf.DUMMYFUNCTION("""COMPUTED_VALUE"""),"SHELL CUP BODY 210/55/30")</f>
        <v>SHELL CUP BODY 210/55/30</v>
      </c>
      <c r="F154" s="74" t="str">
        <f>IFERROR(__xludf.DUMMYFUNCTION("""COMPUTED_VALUE"""),"PERLA DN210VALVULA GATE")</f>
        <v>PERLA DN210VALVULA GATE</v>
      </c>
      <c r="G154" s="74"/>
      <c r="H154" s="74"/>
      <c r="I154" s="74" t="str">
        <f>IFERROR(__xludf.DUMMYFUNCTION("""COMPUTED_VALUE"""),"10014012")</f>
        <v>10014012</v>
      </c>
      <c r="J154" s="74"/>
      <c r="K154" s="74" t="str">
        <f>IFERROR(__xludf.DUMMYFUNCTION("""COMPUTED_VALUE"""),"Schwing")</f>
        <v>Schwing</v>
      </c>
      <c r="L154" s="74" t="str">
        <f>IFERROR(__xludf.DUMMYFUNCTION("""COMPUTED_VALUE"""),"SIN ASIGNAR")</f>
        <v>SIN ASIGNAR</v>
      </c>
      <c r="M154" s="74" t="str">
        <f>IFERROR(__xludf.DUMMYFUNCTION("""COMPUTED_VALUE"""),"SIN ASIGNAR")</f>
        <v>SIN ASIGNAR</v>
      </c>
      <c r="N154" s="87">
        <f>IFERROR(__xludf.DUMMYFUNCTION("""COMPUTED_VALUE"""),0.0)</f>
        <v>0</v>
      </c>
      <c r="O154" s="74"/>
      <c r="P154" s="74" t="str">
        <f>IFERROR(__xludf.DUMMYFUNCTION("""COMPUTED_VALUE"""),"To Re-purchase")</f>
        <v>To Re-purchase</v>
      </c>
      <c r="Q154" s="74"/>
      <c r="R154" s="74"/>
      <c r="S154" s="87">
        <f>IFERROR(__xludf.DUMMYFUNCTION("""COMPUTED_VALUE"""),0.0)</f>
        <v>0</v>
      </c>
      <c r="T154" s="87">
        <f>IFERROR(__xludf.DUMMYFUNCTION("""COMPUTED_VALUE"""),0.0)</f>
        <v>0</v>
      </c>
      <c r="U154" s="87">
        <f>IFERROR(__xludf.DUMMYFUNCTION("""COMPUTED_VALUE"""),0.0)</f>
        <v>0</v>
      </c>
      <c r="V154" s="87">
        <f>IFERROR(__xludf.DUMMYFUNCTION("""COMPUTED_VALUE"""),0.0)</f>
        <v>0</v>
      </c>
      <c r="W154" s="87">
        <f>IFERROR(__xludf.DUMMYFUNCTION("""COMPUTED_VALUE"""),0.0)</f>
        <v>0</v>
      </c>
      <c r="X154" s="88"/>
      <c r="Y154" s="74"/>
      <c r="Z154" s="74"/>
    </row>
    <row r="155">
      <c r="B155" s="74" t="str">
        <f>IFERROR(__xludf.DUMMYFUNCTION("""COMPUTED_VALUE"""),"1152")</f>
        <v>1152</v>
      </c>
      <c r="C155" s="74" t="str">
        <f>IFERROR(__xludf.DUMMYFUNCTION("""COMPUTED_VALUE"""),"75045891152")</f>
        <v>75045891152</v>
      </c>
      <c r="D155" s="74" t="str">
        <f>IFERROR(__xludf.DUMMYFUNCTION("""COMPUTED_VALUE"""),"\\MCA-S\mk\2_BM\0_BMat\08_PYM\Inventario\excel\Imagen de refacciones\Schwing\Perla DN180 Válvula gate")</f>
        <v>\\MCA-S\mk\2_BM\0_BMat\08_PYM\Inventario\excel\Imagen de refacciones\Schwing\Perla DN180 Válvula gate</v>
      </c>
      <c r="E155" s="74" t="str">
        <f>IFERROR(__xludf.DUMMYFUNCTION("""COMPUTED_VALUE"""),"SHELL CUP BODY 180/55/25")</f>
        <v>SHELL CUP BODY 180/55/25</v>
      </c>
      <c r="F155" s="74" t="str">
        <f>IFERROR(__xludf.DUMMYFUNCTION("""COMPUTED_VALUE"""),"PERLA DN180 VALVULA GATE")</f>
        <v>PERLA DN180 VALVULA GATE</v>
      </c>
      <c r="G155" s="74"/>
      <c r="H155" s="74"/>
      <c r="I155" s="74" t="str">
        <f>IFERROR(__xludf.DUMMYFUNCTION("""COMPUTED_VALUE"""),"10014011")</f>
        <v>10014011</v>
      </c>
      <c r="J155" s="74"/>
      <c r="K155" s="74" t="str">
        <f>IFERROR(__xludf.DUMMYFUNCTION("""COMPUTED_VALUE"""),"Schwing")</f>
        <v>Schwing</v>
      </c>
      <c r="L155" s="74" t="str">
        <f>IFERROR(__xludf.DUMMYFUNCTION("""COMPUTED_VALUE"""),"SIN ASIGNAR")</f>
        <v>SIN ASIGNAR</v>
      </c>
      <c r="M155" s="74" t="str">
        <f>IFERROR(__xludf.DUMMYFUNCTION("""COMPUTED_VALUE"""),"SIN ASIGNAR")</f>
        <v>SIN ASIGNAR</v>
      </c>
      <c r="N155" s="87">
        <f>IFERROR(__xludf.DUMMYFUNCTION("""COMPUTED_VALUE"""),0.0)</f>
        <v>0</v>
      </c>
      <c r="O155" s="74"/>
      <c r="P155" s="74" t="str">
        <f>IFERROR(__xludf.DUMMYFUNCTION("""COMPUTED_VALUE"""),"To Re-purchase")</f>
        <v>To Re-purchase</v>
      </c>
      <c r="Q155" s="74"/>
      <c r="R155" s="74"/>
      <c r="S155" s="87">
        <f>IFERROR(__xludf.DUMMYFUNCTION("""COMPUTED_VALUE"""),0.0)</f>
        <v>0</v>
      </c>
      <c r="T155" s="87">
        <f>IFERROR(__xludf.DUMMYFUNCTION("""COMPUTED_VALUE"""),0.0)</f>
        <v>0</v>
      </c>
      <c r="U155" s="87">
        <f>IFERROR(__xludf.DUMMYFUNCTION("""COMPUTED_VALUE"""),0.0)</f>
        <v>0</v>
      </c>
      <c r="V155" s="87">
        <f>IFERROR(__xludf.DUMMYFUNCTION("""COMPUTED_VALUE"""),0.0)</f>
        <v>0</v>
      </c>
      <c r="W155" s="87">
        <f>IFERROR(__xludf.DUMMYFUNCTION("""COMPUTED_VALUE"""),0.0)</f>
        <v>0</v>
      </c>
      <c r="X155" s="88"/>
      <c r="Y155" s="74"/>
      <c r="Z155" s="74"/>
    </row>
    <row r="156">
      <c r="B156" s="74" t="str">
        <f>IFERROR(__xludf.DUMMYFUNCTION("""COMPUTED_VALUE"""),"1153")</f>
        <v>1153</v>
      </c>
      <c r="C156" s="74" t="str">
        <f>IFERROR(__xludf.DUMMYFUNCTION("""COMPUTED_VALUE"""),"75045891153")</f>
        <v>75045891153</v>
      </c>
      <c r="D156" s="74" t="str">
        <f>IFERROR(__xludf.DUMMYFUNCTION("""COMPUTED_VALUE"""),"\\MCA-S\mk\2_BM\0_BMat\08_PYM\Inventario\excel\Imagen de refacciones\Schwing\Buje para Corredera 70×55_68")</f>
        <v>\\MCA-S\mk\2_BM\0_BMat\08_PYM\Inventario\excel\Imagen de refacciones\Schwing\Buje para Corredera 70×55_68</v>
      </c>
      <c r="E156" s="74" t="str">
        <f>IFERROR(__xludf.DUMMYFUNCTION("""COMPUTED_VALUE"""),"GUIDE SLEEVE 70X55/68")</f>
        <v>GUIDE SLEEVE 70X55/68</v>
      </c>
      <c r="F156" s="74" t="str">
        <f>IFERROR(__xludf.DUMMYFUNCTION("""COMPUTED_VALUE"""),"BUJE CORREDERA 70X55/68")</f>
        <v>BUJE CORREDERA 70X55/68</v>
      </c>
      <c r="G156" s="74"/>
      <c r="H156" s="74"/>
      <c r="I156" s="74" t="str">
        <f>IFERROR(__xludf.DUMMYFUNCTION("""COMPUTED_VALUE"""),"10013830")</f>
        <v>10013830</v>
      </c>
      <c r="J156" s="74"/>
      <c r="K156" s="74" t="str">
        <f>IFERROR(__xludf.DUMMYFUNCTION("""COMPUTED_VALUE"""),"Schwing")</f>
        <v>Schwing</v>
      </c>
      <c r="L156" s="74" t="str">
        <f>IFERROR(__xludf.DUMMYFUNCTION("""COMPUTED_VALUE"""),"SIN ASIGNAR")</f>
        <v>SIN ASIGNAR</v>
      </c>
      <c r="M156" s="74" t="str">
        <f>IFERROR(__xludf.DUMMYFUNCTION("""COMPUTED_VALUE"""),"BALEROS")</f>
        <v>BALEROS</v>
      </c>
      <c r="N156" s="87">
        <f>IFERROR(__xludf.DUMMYFUNCTION("""COMPUTED_VALUE"""),0.0)</f>
        <v>0</v>
      </c>
      <c r="O156" s="74"/>
      <c r="P156" s="74" t="str">
        <f>IFERROR(__xludf.DUMMYFUNCTION("""COMPUTED_VALUE"""),"To Re-purchase")</f>
        <v>To Re-purchase</v>
      </c>
      <c r="Q156" s="74"/>
      <c r="R156" s="74"/>
      <c r="S156" s="87">
        <f>IFERROR(__xludf.DUMMYFUNCTION("""COMPUTED_VALUE"""),0.0)</f>
        <v>0</v>
      </c>
      <c r="T156" s="87">
        <f>IFERROR(__xludf.DUMMYFUNCTION("""COMPUTED_VALUE"""),0.0)</f>
        <v>0</v>
      </c>
      <c r="U156" s="87">
        <f>IFERROR(__xludf.DUMMYFUNCTION("""COMPUTED_VALUE"""),0.0)</f>
        <v>0</v>
      </c>
      <c r="V156" s="87">
        <f>IFERROR(__xludf.DUMMYFUNCTION("""COMPUTED_VALUE"""),0.0)</f>
        <v>0</v>
      </c>
      <c r="W156" s="87">
        <f>IFERROR(__xludf.DUMMYFUNCTION("""COMPUTED_VALUE"""),0.0)</f>
        <v>0</v>
      </c>
      <c r="X156" s="88"/>
      <c r="Y156" s="74"/>
      <c r="Z156" s="74"/>
    </row>
    <row r="157">
      <c r="B157" s="74" t="str">
        <f>IFERROR(__xludf.DUMMYFUNCTION("""COMPUTED_VALUE"""),"1154")</f>
        <v>1154</v>
      </c>
      <c r="C157" s="74" t="str">
        <f>IFERROR(__xludf.DUMMYFUNCTION("""COMPUTED_VALUE"""),"75045891154")</f>
        <v>75045891154</v>
      </c>
      <c r="D157" s="74" t="str">
        <f>IFERROR(__xludf.DUMMYFUNCTION("""COMPUTED_VALUE"""),"\\MCA-S\mk\2_BM\0_BMat\08_PYM\Inventario\excel\Imagen de refacciones\Schwing\Pistón de cambio para válvula rock")</f>
        <v>\\MCA-S\mk\2_BM\0_BMat\08_PYM\Inventario\excel\Imagen de refacciones\Schwing\Pistón de cambio para válvula rock</v>
      </c>
      <c r="E157" s="74" t="str">
        <f>IFERROR(__xludf.DUMMYFUNCTION("""COMPUTED_VALUE"""),"SLEWING CYLINDER")</f>
        <v>SLEWING CYLINDER</v>
      </c>
      <c r="F157" s="74" t="str">
        <f>IFERROR(__xludf.DUMMYFUNCTION("""COMPUTED_VALUE"""),"PISTON CAMBIO VALVULA ROCK")</f>
        <v>PISTON CAMBIO VALVULA ROCK</v>
      </c>
      <c r="G157" s="74"/>
      <c r="H157" s="74"/>
      <c r="I157" s="74" t="str">
        <f>IFERROR(__xludf.DUMMYFUNCTION("""COMPUTED_VALUE"""),"10094569")</f>
        <v>10094569</v>
      </c>
      <c r="J157" s="74"/>
      <c r="K157" s="74" t="str">
        <f>IFERROR(__xludf.DUMMYFUNCTION("""COMPUTED_VALUE"""),"Schwing")</f>
        <v>Schwing</v>
      </c>
      <c r="L157" s="74" t="str">
        <f>IFERROR(__xludf.DUMMYFUNCTION("""COMPUTED_VALUE"""),"BARRA V-ROCK")</f>
        <v>BARRA V-ROCK</v>
      </c>
      <c r="M157" s="74" t="str">
        <f>IFERROR(__xludf.DUMMYFUNCTION("""COMPUTED_VALUE"""),"PISTONES")</f>
        <v>PISTONES</v>
      </c>
      <c r="N157" s="87">
        <f>IFERROR(__xludf.DUMMYFUNCTION("""COMPUTED_VALUE"""),0.0)</f>
        <v>0</v>
      </c>
      <c r="O157" s="74"/>
      <c r="P157" s="74" t="str">
        <f>IFERROR(__xludf.DUMMYFUNCTION("""COMPUTED_VALUE"""),"To Re-purchase")</f>
        <v>To Re-purchase</v>
      </c>
      <c r="Q157" s="74"/>
      <c r="R157" s="74"/>
      <c r="S157" s="87">
        <f>IFERROR(__xludf.DUMMYFUNCTION("""COMPUTED_VALUE"""),0.0)</f>
        <v>0</v>
      </c>
      <c r="T157" s="87">
        <f>IFERROR(__xludf.DUMMYFUNCTION("""COMPUTED_VALUE"""),0.0)</f>
        <v>0</v>
      </c>
      <c r="U157" s="87">
        <f>IFERROR(__xludf.DUMMYFUNCTION("""COMPUTED_VALUE"""),0.0)</f>
        <v>0</v>
      </c>
      <c r="V157" s="87">
        <f>IFERROR(__xludf.DUMMYFUNCTION("""COMPUTED_VALUE"""),0.0)</f>
        <v>0</v>
      </c>
      <c r="W157" s="87">
        <f>IFERROR(__xludf.DUMMYFUNCTION("""COMPUTED_VALUE"""),0.0)</f>
        <v>0</v>
      </c>
      <c r="X157" s="88"/>
      <c r="Y157" s="74"/>
      <c r="Z157" s="74"/>
    </row>
    <row r="158">
      <c r="B158" s="74" t="str">
        <f>IFERROR(__xludf.DUMMYFUNCTION("""COMPUTED_VALUE"""),"1155")</f>
        <v>1155</v>
      </c>
      <c r="C158" s="74" t="str">
        <f>IFERROR(__xludf.DUMMYFUNCTION("""COMPUTED_VALUE"""),"75045891155")</f>
        <v>75045891155</v>
      </c>
      <c r="D158" s="74" t="str">
        <f>IFERROR(__xludf.DUMMYFUNCTION("""COMPUTED_VALUE"""),"\\MCA-S\mk\2_BM\0_BMat\08_PYM\Inventario\excel\Imagen de refacciones\Schwing\Kit de Sellos para Pistón de Cambio")</f>
        <v>\\MCA-S\mk\2_BM\0_BMat\08_PYM\Inventario\excel\Imagen de refacciones\Schwing\Kit de Sellos para Pistón de Cambio</v>
      </c>
      <c r="E158" s="74" t="str">
        <f>IFERROR(__xludf.DUMMYFUNCTION("""COMPUTED_VALUE"""),"SEAL KIT FOR SLEWING CYL")</f>
        <v>SEAL KIT FOR SLEWING CYL</v>
      </c>
      <c r="F158" s="74" t="str">
        <f>IFERROR(__xludf.DUMMYFUNCTION("""COMPUTED_VALUE"""),"KIT SELLOS PISTON DE CAMBIO")</f>
        <v>KIT SELLOS PISTON DE CAMBIO</v>
      </c>
      <c r="G158" s="74"/>
      <c r="H158" s="74"/>
      <c r="I158" s="74" t="str">
        <f>IFERROR(__xludf.DUMMYFUNCTION("""COMPUTED_VALUE"""),"100064756")</f>
        <v>100064756</v>
      </c>
      <c r="J158" s="74"/>
      <c r="K158" s="74" t="str">
        <f>IFERROR(__xludf.DUMMYFUNCTION("""COMPUTED_VALUE"""),"Schwing")</f>
        <v>Schwing</v>
      </c>
      <c r="L158" s="74" t="str">
        <f>IFERROR(__xludf.DUMMYFUNCTION("""COMPUTED_VALUE"""),"Transmisión mecánica")</f>
        <v>Transmisión mecánica</v>
      </c>
      <c r="M158" s="74" t="str">
        <f>IFERROR(__xludf.DUMMYFUNCTION("""COMPUTED_VALUE"""),"EMPAQUES")</f>
        <v>EMPAQUES</v>
      </c>
      <c r="N158" s="87">
        <f>IFERROR(__xludf.DUMMYFUNCTION("""COMPUTED_VALUE"""),0.0)</f>
        <v>0</v>
      </c>
      <c r="O158" s="74"/>
      <c r="P158" s="74" t="str">
        <f>IFERROR(__xludf.DUMMYFUNCTION("""COMPUTED_VALUE"""),"To Re-purchase")</f>
        <v>To Re-purchase</v>
      </c>
      <c r="Q158" s="74"/>
      <c r="R158" s="74"/>
      <c r="S158" s="87">
        <f>IFERROR(__xludf.DUMMYFUNCTION("""COMPUTED_VALUE"""),0.0)</f>
        <v>0</v>
      </c>
      <c r="T158" s="87">
        <f>IFERROR(__xludf.DUMMYFUNCTION("""COMPUTED_VALUE"""),0.0)</f>
        <v>0</v>
      </c>
      <c r="U158" s="87">
        <f>IFERROR(__xludf.DUMMYFUNCTION("""COMPUTED_VALUE"""),0.0)</f>
        <v>0</v>
      </c>
      <c r="V158" s="87">
        <f>IFERROR(__xludf.DUMMYFUNCTION("""COMPUTED_VALUE"""),0.0)</f>
        <v>0</v>
      </c>
      <c r="W158" s="87">
        <f>IFERROR(__xludf.DUMMYFUNCTION("""COMPUTED_VALUE"""),0.0)</f>
        <v>0</v>
      </c>
      <c r="X158" s="88"/>
      <c r="Y158" s="74"/>
      <c r="Z158" s="74"/>
    </row>
    <row r="159">
      <c r="B159" s="74" t="str">
        <f>IFERROR(__xludf.DUMMYFUNCTION("""COMPUTED_VALUE"""),"1156")</f>
        <v>1156</v>
      </c>
      <c r="C159" s="74" t="str">
        <f>IFERROR(__xludf.DUMMYFUNCTION("""COMPUTED_VALUE"""),"75045891156")</f>
        <v>75045891156</v>
      </c>
      <c r="D159" s="74" t="str">
        <f>IFERROR(__xludf.DUMMYFUNCTION("""COMPUTED_VALUE"""),"\\MCA-S\mk\2_BM\0_BMat\08_PYM\Inventario\excel\Imagen de refacciones\Schwing\Barra para piston de cambio de v-rock")</f>
        <v>\\MCA-S\mk\2_BM\0_BMat\08_PYM\Inventario\excel\Imagen de refacciones\Schwing\Barra para piston de cambio de v-rock</v>
      </c>
      <c r="E159" s="74" t="str">
        <f>IFERROR(__xludf.DUMMYFUNCTION("""COMPUTED_VALUE"""),"PISTON ROD V-ROCK")</f>
        <v>PISTON ROD V-ROCK</v>
      </c>
      <c r="F159" s="74" t="str">
        <f>IFERROR(__xludf.DUMMYFUNCTION("""COMPUTED_VALUE"""),"BARRA PISTON DE CAMBIO V-ROCK")</f>
        <v>BARRA PISTON DE CAMBIO V-ROCK</v>
      </c>
      <c r="G159" s="74"/>
      <c r="H159" s="74"/>
      <c r="I159" s="74" t="str">
        <f>IFERROR(__xludf.DUMMYFUNCTION("""COMPUTED_VALUE"""),"10017556")</f>
        <v>10017556</v>
      </c>
      <c r="J159" s="74"/>
      <c r="K159" s="74" t="str">
        <f>IFERROR(__xludf.DUMMYFUNCTION("""COMPUTED_VALUE"""),"Schwing")</f>
        <v>Schwing</v>
      </c>
      <c r="L159" s="74" t="str">
        <f>IFERROR(__xludf.DUMMYFUNCTION("""COMPUTED_VALUE"""),"BARRA V-ROCK")</f>
        <v>BARRA V-ROCK</v>
      </c>
      <c r="M159" s="74" t="str">
        <f>IFERROR(__xludf.DUMMYFUNCTION("""COMPUTED_VALUE"""),"PISTONES")</f>
        <v>PISTONES</v>
      </c>
      <c r="N159" s="87">
        <f>IFERROR(__xludf.DUMMYFUNCTION("""COMPUTED_VALUE"""),0.0)</f>
        <v>0</v>
      </c>
      <c r="O159" s="74"/>
      <c r="P159" s="74" t="str">
        <f>IFERROR(__xludf.DUMMYFUNCTION("""COMPUTED_VALUE"""),"To Re-purchase")</f>
        <v>To Re-purchase</v>
      </c>
      <c r="Q159" s="74"/>
      <c r="R159" s="74"/>
      <c r="S159" s="87">
        <f>IFERROR(__xludf.DUMMYFUNCTION("""COMPUTED_VALUE"""),0.0)</f>
        <v>0</v>
      </c>
      <c r="T159" s="87">
        <f>IFERROR(__xludf.DUMMYFUNCTION("""COMPUTED_VALUE"""),0.0)</f>
        <v>0</v>
      </c>
      <c r="U159" s="87">
        <f>IFERROR(__xludf.DUMMYFUNCTION("""COMPUTED_VALUE"""),0.0)</f>
        <v>0</v>
      </c>
      <c r="V159" s="87">
        <f>IFERROR(__xludf.DUMMYFUNCTION("""COMPUTED_VALUE"""),0.0)</f>
        <v>0</v>
      </c>
      <c r="W159" s="87">
        <f>IFERROR(__xludf.DUMMYFUNCTION("""COMPUTED_VALUE"""),0.0)</f>
        <v>0</v>
      </c>
      <c r="X159" s="88"/>
      <c r="Y159" s="74"/>
      <c r="Z159" s="74"/>
    </row>
    <row r="160">
      <c r="B160" s="74" t="str">
        <f>IFERROR(__xludf.DUMMYFUNCTION("""COMPUTED_VALUE"""),"1157")</f>
        <v>1157</v>
      </c>
      <c r="C160" s="74"/>
      <c r="D160" s="74" t="str">
        <f>IFERROR(__xludf.DUMMYFUNCTION("""COMPUTED_VALUE"""),"\\MCA-S\mk\2_BM\0_BMat\08_PYM\Inventario\excel\Imagen de refacciones\Schwing\Kit de reparación de motor agitador completo, barra cuña, sellos, retenes y baleros")</f>
        <v>\\MCA-S\mk\2_BM\0_BMat\08_PYM\Inventario\excel\Imagen de refacciones\Schwing\Kit de reparación de motor agitador completo, barra cuña, sellos, retenes y baleros</v>
      </c>
      <c r="E160" s="74"/>
      <c r="F160" s="74" t="str">
        <f>IFERROR(__xludf.DUMMYFUNCTION("""COMPUTED_VALUE"""),"Kit de reparación de motor agitador completo, barra cuña, sellos, retenes y baleros")</f>
        <v>Kit de reparación de motor agitador completo, barra cuña, sellos, retenes y baleros</v>
      </c>
      <c r="G160" s="74"/>
      <c r="H160" s="74"/>
      <c r="I160" s="74" t="str">
        <f>IFERROR(__xludf.DUMMYFUNCTION("""COMPUTED_VALUE"""),"10039180-AK")</f>
        <v>10039180-AK</v>
      </c>
      <c r="J160" s="74"/>
      <c r="K160" s="74" t="str">
        <f>IFERROR(__xludf.DUMMYFUNCTION("""COMPUTED_VALUE"""),"Schwing")</f>
        <v>Schwing</v>
      </c>
      <c r="L160" s="74" t="str">
        <f>IFERROR(__xludf.DUMMYFUNCTION("""COMPUTED_VALUE"""),"Sistema de bombeo de concreto")</f>
        <v>Sistema de bombeo de concreto</v>
      </c>
      <c r="M160" s="74" t="str">
        <f>IFERROR(__xludf.DUMMYFUNCTION("""COMPUTED_VALUE"""),"Sin Asignar")</f>
        <v>Sin Asignar</v>
      </c>
      <c r="N160" s="87">
        <f>IFERROR(__xludf.DUMMYFUNCTION("""COMPUTED_VALUE"""),0.0)</f>
        <v>0</v>
      </c>
      <c r="O160" s="74"/>
      <c r="P160" s="74" t="str">
        <f>IFERROR(__xludf.DUMMYFUNCTION("""COMPUTED_VALUE"""),"No Available")</f>
        <v>No Available</v>
      </c>
      <c r="Q160" s="74"/>
      <c r="R160" s="74"/>
      <c r="S160" s="87">
        <f>IFERROR(__xludf.DUMMYFUNCTION("""COMPUTED_VALUE"""),0.0)</f>
        <v>0</v>
      </c>
      <c r="T160" s="87">
        <f>IFERROR(__xludf.DUMMYFUNCTION("""COMPUTED_VALUE"""),0.0)</f>
        <v>0</v>
      </c>
      <c r="U160" s="87">
        <f>IFERROR(__xludf.DUMMYFUNCTION("""COMPUTED_VALUE"""),0.0)</f>
        <v>0</v>
      </c>
      <c r="V160" s="87">
        <f>IFERROR(__xludf.DUMMYFUNCTION("""COMPUTED_VALUE"""),0.0)</f>
        <v>0</v>
      </c>
      <c r="W160" s="87">
        <f>IFERROR(__xludf.DUMMYFUNCTION("""COMPUTED_VALUE"""),0.0)</f>
        <v>0</v>
      </c>
      <c r="X160" s="88"/>
      <c r="Y160" s="74"/>
      <c r="Z160" s="74"/>
    </row>
    <row r="161">
      <c r="B161" s="74" t="str">
        <f>IFERROR(__xludf.DUMMYFUNCTION("""COMPUTED_VALUE"""),"1158")</f>
        <v>1158</v>
      </c>
      <c r="C161" s="74" t="str">
        <f>IFERROR(__xludf.DUMMYFUNCTION("""COMPUTED_VALUE"""),"75045891158")</f>
        <v>75045891158</v>
      </c>
      <c r="D161" s="74" t="str">
        <f>IFERROR(__xludf.DUMMYFUNCTION("""COMPUTED_VALUE"""),"\\MCA-S\mk\2_BM\0_BMat\08_PYM\Inventario\excel\Imagen de refacciones\Schwing\Barra para motor agitador con cuña")</f>
        <v>\\MCA-S\mk\2_BM\0_BMat\08_PYM\Inventario\excel\Imagen de refacciones\Schwing\Barra para motor agitador con cuña</v>
      </c>
      <c r="E161" s="74" t="str">
        <f>IFERROR(__xludf.DUMMYFUNCTION("""COMPUTED_VALUE"""),"SHAFT FOR HYDRAULIC MOTOR")</f>
        <v>SHAFT FOR HYDRAULIC MOTOR</v>
      </c>
      <c r="F161" s="74" t="str">
        <f>IFERROR(__xludf.DUMMYFUNCTION("""COMPUTED_VALUE"""),"BARRA PARA MOTOR AGITADOR CON CUÑA")</f>
        <v>BARRA PARA MOTOR AGITADOR CON CUÑA</v>
      </c>
      <c r="G161" s="74"/>
      <c r="H161" s="74"/>
      <c r="I161" s="74" t="str">
        <f>IFERROR(__xludf.DUMMYFUNCTION("""COMPUTED_VALUE"""),"30334088")</f>
        <v>30334088</v>
      </c>
      <c r="J161" s="74"/>
      <c r="K161" s="74" t="str">
        <f>IFERROR(__xludf.DUMMYFUNCTION("""COMPUTED_VALUE"""),"Schwing")</f>
        <v>Schwing</v>
      </c>
      <c r="L161" s="74" t="str">
        <f>IFERROR(__xludf.DUMMYFUNCTION("""COMPUTED_VALUE"""),"Sistema de bombeo de concreto")</f>
        <v>Sistema de bombeo de concreto</v>
      </c>
      <c r="M161" s="74" t="str">
        <f>IFERROR(__xludf.DUMMYFUNCTION("""COMPUTED_VALUE"""),"Sin Asignar")</f>
        <v>Sin Asignar</v>
      </c>
      <c r="N161" s="87">
        <f>IFERROR(__xludf.DUMMYFUNCTION("""COMPUTED_VALUE"""),0.0)</f>
        <v>0</v>
      </c>
      <c r="O161" s="74"/>
      <c r="P161" s="74" t="str">
        <f>IFERROR(__xludf.DUMMYFUNCTION("""COMPUTED_VALUE"""),"To Re-purchase")</f>
        <v>To Re-purchase</v>
      </c>
      <c r="Q161" s="74"/>
      <c r="R161" s="74"/>
      <c r="S161" s="87">
        <f>IFERROR(__xludf.DUMMYFUNCTION("""COMPUTED_VALUE"""),0.0)</f>
        <v>0</v>
      </c>
      <c r="T161" s="87">
        <f>IFERROR(__xludf.DUMMYFUNCTION("""COMPUTED_VALUE"""),0.0)</f>
        <v>0</v>
      </c>
      <c r="U161" s="87">
        <f>IFERROR(__xludf.DUMMYFUNCTION("""COMPUTED_VALUE"""),0.0)</f>
        <v>0</v>
      </c>
      <c r="V161" s="87">
        <f>IFERROR(__xludf.DUMMYFUNCTION("""COMPUTED_VALUE"""),0.0)</f>
        <v>0</v>
      </c>
      <c r="W161" s="87">
        <f>IFERROR(__xludf.DUMMYFUNCTION("""COMPUTED_VALUE"""),0.0)</f>
        <v>0</v>
      </c>
      <c r="X161" s="88"/>
      <c r="Y161" s="74"/>
      <c r="Z161" s="74"/>
    </row>
    <row r="162">
      <c r="B162" s="74" t="str">
        <f>IFERROR(__xludf.DUMMYFUNCTION("""COMPUTED_VALUE"""),"1159")</f>
        <v>1159</v>
      </c>
      <c r="C162" s="74" t="str">
        <f>IFERROR(__xludf.DUMMYFUNCTION("""COMPUTED_VALUE"""),"75045891159")</f>
        <v>75045891159</v>
      </c>
      <c r="D162" s="74" t="str">
        <f>IFERROR(__xludf.DUMMYFUNCTION("""COMPUTED_VALUE"""),"\\MCA-S\mk\2_BM\0_BMat\08_PYM\Inventario\excel\Imagen de refacciones\Schwing\Codo de 14_ de transición entre tolva y codo bisagra")</f>
        <v>\\MCA-S\mk\2_BM\0_BMat\08_PYM\Inventario\excel\Imagen de refacciones\Schwing\Codo de 14_ de transición entre tolva y codo bisagra</v>
      </c>
      <c r="E162" s="74" t="str">
        <f>IFERROR(__xludf.DUMMYFUNCTION("""COMPUTED_VALUE"""),"CONNECTION BEND 14 DEGREES")</f>
        <v>CONNECTION BEND 14 DEGREES</v>
      </c>
      <c r="F162" s="74" t="str">
        <f>IFERROR(__xludf.DUMMYFUNCTION("""COMPUTED_VALUE""")," CODO 14"" TRANSICION ENTRE TOLVA Y CODO BISAGRA")</f>
        <v> CODO 14" TRANSICION ENTRE TOLVA Y CODO BISAGRA</v>
      </c>
      <c r="G162" s="74"/>
      <c r="H162" s="74"/>
      <c r="I162" s="74" t="str">
        <f>IFERROR(__xludf.DUMMYFUNCTION("""COMPUTED_VALUE"""),"10026159")</f>
        <v>10026159</v>
      </c>
      <c r="J162" s="74"/>
      <c r="K162" s="74" t="str">
        <f>IFERROR(__xludf.DUMMYFUNCTION("""COMPUTED_VALUE"""),"Schwing")</f>
        <v>Schwing</v>
      </c>
      <c r="L162" s="74" t="str">
        <f>IFERROR(__xludf.DUMMYFUNCTION("""COMPUTED_VALUE"""),"Sistema de bombeo de concreto")</f>
        <v>Sistema de bombeo de concreto</v>
      </c>
      <c r="M162" s="74" t="str">
        <f>IFERROR(__xludf.DUMMYFUNCTION("""COMPUTED_VALUE"""),"Sin Asignar")</f>
        <v>Sin Asignar</v>
      </c>
      <c r="N162" s="87">
        <f>IFERROR(__xludf.DUMMYFUNCTION("""COMPUTED_VALUE"""),0.0)</f>
        <v>0</v>
      </c>
      <c r="O162" s="74"/>
      <c r="P162" s="74" t="str">
        <f>IFERROR(__xludf.DUMMYFUNCTION("""COMPUTED_VALUE"""),"To Re-purchase")</f>
        <v>To Re-purchase</v>
      </c>
      <c r="Q162" s="74"/>
      <c r="R162" s="74"/>
      <c r="S162" s="87">
        <f>IFERROR(__xludf.DUMMYFUNCTION("""COMPUTED_VALUE"""),0.0)</f>
        <v>0</v>
      </c>
      <c r="T162" s="87">
        <f>IFERROR(__xludf.DUMMYFUNCTION("""COMPUTED_VALUE"""),0.0)</f>
        <v>0</v>
      </c>
      <c r="U162" s="87">
        <f>IFERROR(__xludf.DUMMYFUNCTION("""COMPUTED_VALUE"""),0.0)</f>
        <v>0</v>
      </c>
      <c r="V162" s="87">
        <f>IFERROR(__xludf.DUMMYFUNCTION("""COMPUTED_VALUE"""),0.0)</f>
        <v>0</v>
      </c>
      <c r="W162" s="87">
        <f>IFERROR(__xludf.DUMMYFUNCTION("""COMPUTED_VALUE"""),0.0)</f>
        <v>0</v>
      </c>
      <c r="X162" s="88"/>
      <c r="Y162" s="74"/>
      <c r="Z162" s="74"/>
    </row>
    <row r="163">
      <c r="B163" s="74" t="str">
        <f>IFERROR(__xludf.DUMMYFUNCTION("""COMPUTED_VALUE"""),"1160")</f>
        <v>1160</v>
      </c>
      <c r="C163" s="74" t="str">
        <f>IFERROR(__xludf.DUMMYFUNCTION("""COMPUTED_VALUE"""),"75045891160")</f>
        <v>75045891160</v>
      </c>
      <c r="D163" s="74" t="str">
        <f>IFERROR(__xludf.DUMMYFUNCTION("""COMPUTED_VALUE"""),"\\MCA-S\mk\2_BM\0_BMat\08_PYM\Inventario\excel\Imagen de refacciones\Schwing\Conector de transición DN200")</f>
        <v>\\MCA-S\mk\2_BM\0_BMat\08_PYM\Inventario\excel\Imagen de refacciones\Schwing\Conector de transición DN200</v>
      </c>
      <c r="E163" s="74" t="str">
        <f>IFERROR(__xludf.DUMMYFUNCTION("""COMPUTED_VALUE"""),"TRANSITION PIECE DN 200/200")</f>
        <v>TRANSITION PIECE DN 200/200</v>
      </c>
      <c r="F163" s="74" t="str">
        <f>IFERROR(__xludf.DUMMYFUNCTION("""COMPUTED_VALUE"""),"CONECTOR DE TRANSICIONDN200")</f>
        <v>CONECTOR DE TRANSICIONDN200</v>
      </c>
      <c r="G163" s="74"/>
      <c r="H163" s="74"/>
      <c r="I163" s="74" t="str">
        <f>IFERROR(__xludf.DUMMYFUNCTION("""COMPUTED_VALUE"""),"10077886")</f>
        <v>10077886</v>
      </c>
      <c r="J163" s="74"/>
      <c r="K163" s="74" t="str">
        <f>IFERROR(__xludf.DUMMYFUNCTION("""COMPUTED_VALUE"""),"Schwing")</f>
        <v>Schwing</v>
      </c>
      <c r="L163" s="74" t="str">
        <f>IFERROR(__xludf.DUMMYFUNCTION("""COMPUTED_VALUE"""),"Sistema de bombeo de concreto")</f>
        <v>Sistema de bombeo de concreto</v>
      </c>
      <c r="M163" s="74" t="str">
        <f>IFERROR(__xludf.DUMMYFUNCTION("""COMPUTED_VALUE"""),"Sin Asignar")</f>
        <v>Sin Asignar</v>
      </c>
      <c r="N163" s="87">
        <f>IFERROR(__xludf.DUMMYFUNCTION("""COMPUTED_VALUE"""),0.0)</f>
        <v>0</v>
      </c>
      <c r="O163" s="74"/>
      <c r="P163" s="74" t="str">
        <f>IFERROR(__xludf.DUMMYFUNCTION("""COMPUTED_VALUE"""),"To Re-purchase")</f>
        <v>To Re-purchase</v>
      </c>
      <c r="Q163" s="74"/>
      <c r="R163" s="74"/>
      <c r="S163" s="87">
        <f>IFERROR(__xludf.DUMMYFUNCTION("""COMPUTED_VALUE"""),0.0)</f>
        <v>0</v>
      </c>
      <c r="T163" s="87">
        <f>IFERROR(__xludf.DUMMYFUNCTION("""COMPUTED_VALUE"""),0.0)</f>
        <v>0</v>
      </c>
      <c r="U163" s="87">
        <f>IFERROR(__xludf.DUMMYFUNCTION("""COMPUTED_VALUE"""),0.0)</f>
        <v>0</v>
      </c>
      <c r="V163" s="87">
        <f>IFERROR(__xludf.DUMMYFUNCTION("""COMPUTED_VALUE"""),0.0)</f>
        <v>0</v>
      </c>
      <c r="W163" s="87">
        <f>IFERROR(__xludf.DUMMYFUNCTION("""COMPUTED_VALUE"""),0.0)</f>
        <v>0</v>
      </c>
      <c r="X163" s="88"/>
      <c r="Y163" s="74"/>
      <c r="Z163" s="74"/>
    </row>
    <row r="164">
      <c r="B164" s="74" t="str">
        <f>IFERROR(__xludf.DUMMYFUNCTION("""COMPUTED_VALUE"""),"1161")</f>
        <v>1161</v>
      </c>
      <c r="C164" s="74" t="str">
        <f>IFERROR(__xludf.DUMMYFUNCTION("""COMPUTED_VALUE"""),"75045891161")</f>
        <v>75045891161</v>
      </c>
      <c r="D164" s="74" t="str">
        <f>IFERROR(__xludf.DUMMYFUNCTION("""COMPUTED_VALUE"""),"\\MCA-S\mk\2_BM\0_BMat\08_PYM\Inventario\excel\Imagen de refacciones\Schwing\Vibrador de 24 V para parrilla de la bomba")</f>
        <v>\\MCA-S\mk\2_BM\0_BMat\08_PYM\Inventario\excel\Imagen de refacciones\Schwing\Vibrador de 24 V para parrilla de la bomba</v>
      </c>
      <c r="E164" s="74" t="str">
        <f>IFERROR(__xludf.DUMMYFUNCTION("""COMPUTED_VALUE"""),"VIBRATOR , 24V")</f>
        <v>VIBRATOR , 24V</v>
      </c>
      <c r="F164" s="74" t="str">
        <f>IFERROR(__xludf.DUMMYFUNCTION("""COMPUTED_VALUE"""),"VIBRADOR 24V PARRILLA PARA BOMBA")</f>
        <v>VIBRADOR 24V PARRILLA PARA BOMBA</v>
      </c>
      <c r="G164" s="74"/>
      <c r="H164" s="74"/>
      <c r="I164" s="74" t="str">
        <f>IFERROR(__xludf.DUMMYFUNCTION("""COMPUTED_VALUE"""),"10072108")</f>
        <v>10072108</v>
      </c>
      <c r="J164" s="74" t="str">
        <f>IFERROR(__xludf.DUMMYFUNCTION("""COMPUTED_VALUE"""),"98416044")</f>
        <v>98416044</v>
      </c>
      <c r="K164" s="74" t="str">
        <f>IFERROR(__xludf.DUMMYFUNCTION("""COMPUTED_VALUE"""),"Schwing")</f>
        <v>Schwing</v>
      </c>
      <c r="L164" s="74" t="str">
        <f>IFERROR(__xludf.DUMMYFUNCTION("""COMPUTED_VALUE"""),"Sistema de bombeo de concreto")</f>
        <v>Sistema de bombeo de concreto</v>
      </c>
      <c r="M164" s="74" t="str">
        <f>IFERROR(__xludf.DUMMYFUNCTION("""COMPUTED_VALUE"""),"Sin Asignar")</f>
        <v>Sin Asignar</v>
      </c>
      <c r="N164" s="87">
        <f>IFERROR(__xludf.DUMMYFUNCTION("""COMPUTED_VALUE"""),0.0)</f>
        <v>0</v>
      </c>
      <c r="O164" s="74"/>
      <c r="P164" s="74" t="str">
        <f>IFERROR(__xludf.DUMMYFUNCTION("""COMPUTED_VALUE"""),"To Re-purchase")</f>
        <v>To Re-purchase</v>
      </c>
      <c r="Q164" s="74"/>
      <c r="R164" s="74"/>
      <c r="S164" s="87">
        <f>IFERROR(__xludf.DUMMYFUNCTION("""COMPUTED_VALUE"""),0.0)</f>
        <v>0</v>
      </c>
      <c r="T164" s="87">
        <f>IFERROR(__xludf.DUMMYFUNCTION("""COMPUTED_VALUE"""),0.0)</f>
        <v>0</v>
      </c>
      <c r="U164" s="87">
        <f>IFERROR(__xludf.DUMMYFUNCTION("""COMPUTED_VALUE"""),0.0)</f>
        <v>0</v>
      </c>
      <c r="V164" s="87">
        <f>IFERROR(__xludf.DUMMYFUNCTION("""COMPUTED_VALUE"""),0.0)</f>
        <v>0</v>
      </c>
      <c r="W164" s="87">
        <f>IFERROR(__xludf.DUMMYFUNCTION("""COMPUTED_VALUE"""),0.0)</f>
        <v>0</v>
      </c>
      <c r="X164" s="88"/>
      <c r="Y164" s="74"/>
      <c r="Z164" s="74"/>
    </row>
    <row r="165">
      <c r="B165" s="74" t="str">
        <f>IFERROR(__xludf.DUMMYFUNCTION("""COMPUTED_VALUE"""),"1162")</f>
        <v>1162</v>
      </c>
      <c r="C165" s="74" t="str">
        <f>IFERROR(__xludf.DUMMYFUNCTION("""COMPUTED_VALUE"""),"75045891162")</f>
        <v>75045891162</v>
      </c>
      <c r="D165" s="74" t="str">
        <f>IFERROR(__xludf.DUMMYFUNCTION("""COMPUTED_VALUE"""),"\\MCA-S\mk\2_BM\0_BMat\08_PYM\Inventario\excel\Imagen de refacciones\Schwing\Perno sujetador")</f>
        <v>\\MCA-S\mk\2_BM\0_BMat\08_PYM\Inventario\excel\Imagen de refacciones\Schwing\Perno sujetador</v>
      </c>
      <c r="E165" s="74" t="str">
        <f>IFERROR(__xludf.DUMMYFUNCTION("""COMPUTED_VALUE"""),"MOUNTING BOLT")</f>
        <v>MOUNTING BOLT</v>
      </c>
      <c r="F165" s="74" t="str">
        <f>IFERROR(__xludf.DUMMYFUNCTION("""COMPUTED_VALUE"""),"PERNO SUJETADOR")</f>
        <v>PERNO SUJETADOR</v>
      </c>
      <c r="G165" s="74"/>
      <c r="H165" s="74"/>
      <c r="I165" s="74" t="str">
        <f>IFERROR(__xludf.DUMMYFUNCTION("""COMPUTED_VALUE"""),"10002386")</f>
        <v>10002386</v>
      </c>
      <c r="J165" s="74"/>
      <c r="K165" s="74" t="str">
        <f>IFERROR(__xludf.DUMMYFUNCTION("""COMPUTED_VALUE"""),"Schwing")</f>
        <v>Schwing</v>
      </c>
      <c r="L165" s="74" t="str">
        <f>IFERROR(__xludf.DUMMYFUNCTION("""COMPUTED_VALUE"""),"Componentes estructurales y de montaje")</f>
        <v>Componentes estructurales y de montaje</v>
      </c>
      <c r="M165" s="74" t="str">
        <f>IFERROR(__xludf.DUMMYFUNCTION("""COMPUTED_VALUE"""),"Sin Asignar")</f>
        <v>Sin Asignar</v>
      </c>
      <c r="N165" s="87">
        <f>IFERROR(__xludf.DUMMYFUNCTION("""COMPUTED_VALUE"""),0.0)</f>
        <v>0</v>
      </c>
      <c r="O165" s="74"/>
      <c r="P165" s="74" t="str">
        <f>IFERROR(__xludf.DUMMYFUNCTION("""COMPUTED_VALUE"""),"To Re-purchase")</f>
        <v>To Re-purchase</v>
      </c>
      <c r="Q165" s="74"/>
      <c r="R165" s="74"/>
      <c r="S165" s="87">
        <f>IFERROR(__xludf.DUMMYFUNCTION("""COMPUTED_VALUE"""),0.0)</f>
        <v>0</v>
      </c>
      <c r="T165" s="87">
        <f>IFERROR(__xludf.DUMMYFUNCTION("""COMPUTED_VALUE"""),0.0)</f>
        <v>0</v>
      </c>
      <c r="U165" s="87">
        <f>IFERROR(__xludf.DUMMYFUNCTION("""COMPUTED_VALUE"""),0.0)</f>
        <v>0</v>
      </c>
      <c r="V165" s="87">
        <f>IFERROR(__xludf.DUMMYFUNCTION("""COMPUTED_VALUE"""),0.0)</f>
        <v>0</v>
      </c>
      <c r="W165" s="87">
        <f>IFERROR(__xludf.DUMMYFUNCTION("""COMPUTED_VALUE"""),0.0)</f>
        <v>0</v>
      </c>
      <c r="X165" s="88"/>
      <c r="Y165" s="74"/>
      <c r="Z165" s="74"/>
    </row>
    <row r="166">
      <c r="B166" s="74" t="str">
        <f>IFERROR(__xludf.DUMMYFUNCTION("""COMPUTED_VALUE"""),"1163")</f>
        <v>1163</v>
      </c>
      <c r="C166" s="74" t="str">
        <f>IFERROR(__xludf.DUMMYFUNCTION("""COMPUTED_VALUE"""),"75045891163")</f>
        <v>75045891163</v>
      </c>
      <c r="D166" s="74" t="str">
        <f>IFERROR(__xludf.DUMMYFUNCTION("""COMPUTED_VALUE"""),"\\MCA-S\mk\2_BM\0_BMat\08_PYM\Inventario\excel\Imagen de refacciones\Schwing\Codo bisagra")</f>
        <v>\\MCA-S\mk\2_BM\0_BMat\08_PYM\Inventario\excel\Imagen de refacciones\Schwing\Codo bisagra</v>
      </c>
      <c r="E166" s="74" t="str">
        <f>IFERROR(__xludf.DUMMYFUNCTION("""COMPUTED_VALUE"""),"TAPERED BEND DN 180/150")</f>
        <v>TAPERED BEND DN 180/150</v>
      </c>
      <c r="F166" s="74" t="str">
        <f>IFERROR(__xludf.DUMMYFUNCTION("""COMPUTED_VALUE"""),"CODO BISAGRA")</f>
        <v>CODO BISAGRA</v>
      </c>
      <c r="G166" s="74"/>
      <c r="H166" s="74"/>
      <c r="I166" s="74" t="str">
        <f>IFERROR(__xludf.DUMMYFUNCTION("""COMPUTED_VALUE"""),"10017547")</f>
        <v>10017547</v>
      </c>
      <c r="J166" s="74"/>
      <c r="K166" s="74" t="str">
        <f>IFERROR(__xludf.DUMMYFUNCTION("""COMPUTED_VALUE"""),"Schwing")</f>
        <v>Schwing</v>
      </c>
      <c r="L166" s="74" t="str">
        <f>IFERROR(__xludf.DUMMYFUNCTION("""COMPUTED_VALUE"""),"Sistema de bombeo de concreto")</f>
        <v>Sistema de bombeo de concreto</v>
      </c>
      <c r="M166" s="74" t="str">
        <f>IFERROR(__xludf.DUMMYFUNCTION("""COMPUTED_VALUE"""),"Sin Asignar")</f>
        <v>Sin Asignar</v>
      </c>
      <c r="N166" s="87">
        <f>IFERROR(__xludf.DUMMYFUNCTION("""COMPUTED_VALUE"""),0.0)</f>
        <v>0</v>
      </c>
      <c r="O166" s="74"/>
      <c r="P166" s="74" t="str">
        <f>IFERROR(__xludf.DUMMYFUNCTION("""COMPUTED_VALUE"""),"To Re-purchase")</f>
        <v>To Re-purchase</v>
      </c>
      <c r="Q166" s="74"/>
      <c r="R166" s="74"/>
      <c r="S166" s="87">
        <f>IFERROR(__xludf.DUMMYFUNCTION("""COMPUTED_VALUE"""),0.0)</f>
        <v>0</v>
      </c>
      <c r="T166" s="87">
        <f>IFERROR(__xludf.DUMMYFUNCTION("""COMPUTED_VALUE"""),0.0)</f>
        <v>0</v>
      </c>
      <c r="U166" s="87">
        <f>IFERROR(__xludf.DUMMYFUNCTION("""COMPUTED_VALUE"""),0.0)</f>
        <v>0</v>
      </c>
      <c r="V166" s="87">
        <f>IFERROR(__xludf.DUMMYFUNCTION("""COMPUTED_VALUE"""),0.0)</f>
        <v>0</v>
      </c>
      <c r="W166" s="87">
        <f>IFERROR(__xludf.DUMMYFUNCTION("""COMPUTED_VALUE"""),0.0)</f>
        <v>0</v>
      </c>
      <c r="X166" s="88"/>
      <c r="Y166" s="74"/>
      <c r="Z166" s="74"/>
    </row>
    <row r="167">
      <c r="B167" s="74" t="str">
        <f>IFERROR(__xludf.DUMMYFUNCTION("""COMPUTED_VALUE"""),"1164")</f>
        <v>1164</v>
      </c>
      <c r="C167" s="74" t="str">
        <f>IFERROR(__xludf.DUMMYFUNCTION("""COMPUTED_VALUE"""),"75045891164")</f>
        <v>75045891164</v>
      </c>
      <c r="D167" s="74" t="str">
        <f>IFERROR(__xludf.DUMMYFUNCTION("""COMPUTED_VALUE"""),"\\MCA-S\mk\2_BM\0_BMat\08_PYM\Inventario\excel\Imagen de refacciones\Schwing\tornillo para perno sujetador schwing")</f>
        <v>\\MCA-S\mk\2_BM\0_BMat\08_PYM\Inventario\excel\Imagen de refacciones\Schwing\tornillo para perno sujetador schwing</v>
      </c>
      <c r="E167" s="74" t="str">
        <f>IFERROR(__xludf.DUMMYFUNCTION("""COMPUTED_VALUE"""),"SCREW DIN")</f>
        <v>SCREW DIN</v>
      </c>
      <c r="F167" s="74" t="str">
        <f>IFERROR(__xludf.DUMMYFUNCTION("""COMPUTED_VALUE"""),"TORNILLO PERNO SUJETADOR SCHWING")</f>
        <v>TORNILLO PERNO SUJETADOR SCHWING</v>
      </c>
      <c r="G167" s="74"/>
      <c r="H167" s="74"/>
      <c r="I167" s="74" t="str">
        <f>IFERROR(__xludf.DUMMYFUNCTION("""COMPUTED_VALUE"""),"10018117")</f>
        <v>10018117</v>
      </c>
      <c r="J167" s="74"/>
      <c r="K167" s="74" t="str">
        <f>IFERROR(__xludf.DUMMYFUNCTION("""COMPUTED_VALUE"""),"Schwing")</f>
        <v>Schwing</v>
      </c>
      <c r="L167" s="74" t="str">
        <f>IFERROR(__xludf.DUMMYFUNCTION("""COMPUTED_VALUE"""),"Componentes estructurales y de montaje")</f>
        <v>Componentes estructurales y de montaje</v>
      </c>
      <c r="M167" s="74" t="str">
        <f>IFERROR(__xludf.DUMMYFUNCTION("""COMPUTED_VALUE"""),"Sin Asignar")</f>
        <v>Sin Asignar</v>
      </c>
      <c r="N167" s="87">
        <f>IFERROR(__xludf.DUMMYFUNCTION("""COMPUTED_VALUE"""),0.0)</f>
        <v>0</v>
      </c>
      <c r="O167" s="74"/>
      <c r="P167" s="74" t="str">
        <f>IFERROR(__xludf.DUMMYFUNCTION("""COMPUTED_VALUE"""),"To Re-purchase")</f>
        <v>To Re-purchase</v>
      </c>
      <c r="Q167" s="74"/>
      <c r="R167" s="74"/>
      <c r="S167" s="87">
        <f>IFERROR(__xludf.DUMMYFUNCTION("""COMPUTED_VALUE"""),0.0)</f>
        <v>0</v>
      </c>
      <c r="T167" s="87">
        <f>IFERROR(__xludf.DUMMYFUNCTION("""COMPUTED_VALUE"""),0.0)</f>
        <v>0</v>
      </c>
      <c r="U167" s="87">
        <f>IFERROR(__xludf.DUMMYFUNCTION("""COMPUTED_VALUE"""),0.0)</f>
        <v>0</v>
      </c>
      <c r="V167" s="87">
        <f>IFERROR(__xludf.DUMMYFUNCTION("""COMPUTED_VALUE"""),0.0)</f>
        <v>0</v>
      </c>
      <c r="W167" s="87">
        <f>IFERROR(__xludf.DUMMYFUNCTION("""COMPUTED_VALUE"""),0.0)</f>
        <v>0</v>
      </c>
      <c r="X167" s="88"/>
      <c r="Y167" s="74"/>
      <c r="Z167" s="74"/>
    </row>
    <row r="168">
      <c r="B168" s="74" t="str">
        <f>IFERROR(__xludf.DUMMYFUNCTION("""COMPUTED_VALUE"""),"1165")</f>
        <v>1165</v>
      </c>
      <c r="C168" s="74" t="str">
        <f>IFERROR(__xludf.DUMMYFUNCTION("""COMPUTED_VALUE"""),"75045891165")</f>
        <v>75045891165</v>
      </c>
      <c r="D168" s="74" t="str">
        <f>IFERROR(__xludf.DUMMYFUNCTION("""COMPUTED_VALUE"""),"\\MCA-S\mk\2_BM\0_BMat\08_PYM\Inventario\excel\Imagen de refacciones\Schwing\codo secundario 6_x90_ con extension")</f>
        <v>\\MCA-S\mk\2_BM\0_BMat\08_PYM\Inventario\excel\Imagen de refacciones\Schwing\codo secundario 6_x90_ con extension</v>
      </c>
      <c r="E168" s="74" t="str">
        <f>IFERROR(__xludf.DUMMYFUNCTION("""COMPUTED_VALUE"""),"ELBOW DN 150 M/F JOINT")</f>
        <v>ELBOW DN 150 M/F JOINT</v>
      </c>
      <c r="F168" s="74" t="str">
        <f>IFERROR(__xludf.DUMMYFUNCTION("""COMPUTED_VALUE"""),"CODO SECUNDARIO 6""X90"" CON EXTENSION")</f>
        <v>CODO SECUNDARIO 6"X90" CON EXTENSION</v>
      </c>
      <c r="G168" s="74"/>
      <c r="H168" s="74"/>
      <c r="I168" s="74" t="str">
        <f>IFERROR(__xludf.DUMMYFUNCTION("""COMPUTED_VALUE"""),"10069521")</f>
        <v>10069521</v>
      </c>
      <c r="J168" s="74"/>
      <c r="K168" s="74" t="str">
        <f>IFERROR(__xludf.DUMMYFUNCTION("""COMPUTED_VALUE"""),"Schwing")</f>
        <v>Schwing</v>
      </c>
      <c r="L168" s="74" t="str">
        <f>IFERROR(__xludf.DUMMYFUNCTION("""COMPUTED_VALUE"""),"Sistema de bombeo de concreto")</f>
        <v>Sistema de bombeo de concreto</v>
      </c>
      <c r="M168" s="74" t="str">
        <f>IFERROR(__xludf.DUMMYFUNCTION("""COMPUTED_VALUE"""),"Sin Asignar")</f>
        <v>Sin Asignar</v>
      </c>
      <c r="N168" s="87">
        <f>IFERROR(__xludf.DUMMYFUNCTION("""COMPUTED_VALUE"""),0.0)</f>
        <v>0</v>
      </c>
      <c r="O168" s="74"/>
      <c r="P168" s="74" t="str">
        <f>IFERROR(__xludf.DUMMYFUNCTION("""COMPUTED_VALUE"""),"To Re-purchase")</f>
        <v>To Re-purchase</v>
      </c>
      <c r="Q168" s="74"/>
      <c r="R168" s="74"/>
      <c r="S168" s="87">
        <f>IFERROR(__xludf.DUMMYFUNCTION("""COMPUTED_VALUE"""),0.0)</f>
        <v>0</v>
      </c>
      <c r="T168" s="87">
        <f>IFERROR(__xludf.DUMMYFUNCTION("""COMPUTED_VALUE"""),0.0)</f>
        <v>0</v>
      </c>
      <c r="U168" s="87">
        <f>IFERROR(__xludf.DUMMYFUNCTION("""COMPUTED_VALUE"""),0.0)</f>
        <v>0</v>
      </c>
      <c r="V168" s="87">
        <f>IFERROR(__xludf.DUMMYFUNCTION("""COMPUTED_VALUE"""),0.0)</f>
        <v>0</v>
      </c>
      <c r="W168" s="87">
        <f>IFERROR(__xludf.DUMMYFUNCTION("""COMPUTED_VALUE"""),0.0)</f>
        <v>0</v>
      </c>
      <c r="X168" s="88"/>
      <c r="Y168" s="74"/>
      <c r="Z168" s="74"/>
    </row>
    <row r="169">
      <c r="B169" s="74" t="str">
        <f>IFERROR(__xludf.DUMMYFUNCTION("""COMPUTED_VALUE"""),"1166")</f>
        <v>1166</v>
      </c>
      <c r="C169" s="74" t="str">
        <f>IFERROR(__xludf.DUMMYFUNCTION("""COMPUTED_VALUE"""),"75045891166")</f>
        <v>75045891166</v>
      </c>
      <c r="D169" s="74" t="str">
        <f>IFERROR(__xludf.DUMMYFUNCTION("""COMPUTED_VALUE"""),"\\MCA-S\mk\2_BM\0_BMat\08_PYM\Inventario\excel\Imagen de refacciones\Schwing\O-Ring 200 X 10")</f>
        <v>\\MCA-S\mk\2_BM\0_BMat\08_PYM\Inventario\excel\Imagen de refacciones\Schwing\O-Ring 200 X 10</v>
      </c>
      <c r="E169" s="74" t="str">
        <f>IFERROR(__xludf.DUMMYFUNCTION("""COMPUTED_VALUE"""),"O-RING 200 x 10 NBR 70")</f>
        <v>O-RING 200 x 10 NBR 70</v>
      </c>
      <c r="F169" s="74" t="str">
        <f>IFERROR(__xludf.DUMMYFUNCTION("""COMPUTED_VALUE"""),"O-RING 200X10")</f>
        <v>O-RING 200X10</v>
      </c>
      <c r="G169" s="74"/>
      <c r="H169" s="74"/>
      <c r="I169" s="74" t="str">
        <f>IFERROR(__xludf.DUMMYFUNCTION("""COMPUTED_VALUE"""),"10000602")</f>
        <v>10000602</v>
      </c>
      <c r="J169" s="74"/>
      <c r="K169" s="74" t="str">
        <f>IFERROR(__xludf.DUMMYFUNCTION("""COMPUTED_VALUE"""),"Schwing")</f>
        <v>Schwing</v>
      </c>
      <c r="L169" s="74" t="str">
        <f>IFERROR(__xludf.DUMMYFUNCTION("""COMPUTED_VALUE"""),"Sellos y retenes")</f>
        <v>Sellos y retenes</v>
      </c>
      <c r="M169" s="74" t="str">
        <f>IFERROR(__xludf.DUMMYFUNCTION("""COMPUTED_VALUE"""),"Sin Asignar")</f>
        <v>Sin Asignar</v>
      </c>
      <c r="N169" s="87">
        <f>IFERROR(__xludf.DUMMYFUNCTION("""COMPUTED_VALUE"""),0.0)</f>
        <v>0</v>
      </c>
      <c r="O169" s="74"/>
      <c r="P169" s="74" t="str">
        <f>IFERROR(__xludf.DUMMYFUNCTION("""COMPUTED_VALUE"""),"To Re-purchase")</f>
        <v>To Re-purchase</v>
      </c>
      <c r="Q169" s="74"/>
      <c r="R169" s="74"/>
      <c r="S169" s="87">
        <f>IFERROR(__xludf.DUMMYFUNCTION("""COMPUTED_VALUE"""),0.0)</f>
        <v>0</v>
      </c>
      <c r="T169" s="87">
        <f>IFERROR(__xludf.DUMMYFUNCTION("""COMPUTED_VALUE"""),0.0)</f>
        <v>0</v>
      </c>
      <c r="U169" s="87">
        <f>IFERROR(__xludf.DUMMYFUNCTION("""COMPUTED_VALUE"""),0.0)</f>
        <v>0</v>
      </c>
      <c r="V169" s="87">
        <f>IFERROR(__xludf.DUMMYFUNCTION("""COMPUTED_VALUE"""),0.0)</f>
        <v>0</v>
      </c>
      <c r="W169" s="87">
        <f>IFERROR(__xludf.DUMMYFUNCTION("""COMPUTED_VALUE"""),0.0)</f>
        <v>0</v>
      </c>
      <c r="X169" s="88"/>
      <c r="Y169" s="74"/>
      <c r="Z169" s="74"/>
    </row>
    <row r="170">
      <c r="B170" s="74" t="str">
        <f>IFERROR(__xludf.DUMMYFUNCTION("""COMPUTED_VALUE"""),"1167")</f>
        <v>1167</v>
      </c>
      <c r="C170" s="74" t="str">
        <f>IFERROR(__xludf.DUMMYFUNCTION("""COMPUTED_VALUE"""),"75045891167")</f>
        <v>75045891167</v>
      </c>
      <c r="D170" s="74" t="str">
        <f>IFERROR(__xludf.DUMMYFUNCTION("""COMPUTED_VALUE"""),"\\MCA-S\mk\2_BM\0_BMat\08_PYM\Inventario\excel\Imagen de refacciones\Schwing\O-Ring 6_ - DN150")</f>
        <v>\\MCA-S\mk\2_BM\0_BMat\08_PYM\Inventario\excel\Imagen de refacciones\Schwing\O-Ring 6_ - DN150</v>
      </c>
      <c r="E170" s="74" t="str">
        <f>IFERROR(__xludf.DUMMYFUNCTION("""COMPUTED_VALUE"""),"D SEAL DN 150")</f>
        <v>D SEAL DN 150</v>
      </c>
      <c r="F170" s="74" t="str">
        <f>IFERROR(__xludf.DUMMYFUNCTION("""COMPUTED_VALUE"""),"O-RING 6"" DN150")</f>
        <v>O-RING 6" DN150</v>
      </c>
      <c r="G170" s="74"/>
      <c r="H170" s="74"/>
      <c r="I170" s="74" t="str">
        <f>IFERROR(__xludf.DUMMYFUNCTION("""COMPUTED_VALUE"""),"10004761")</f>
        <v>10004761</v>
      </c>
      <c r="J170" s="74"/>
      <c r="K170" s="74" t="str">
        <f>IFERROR(__xludf.DUMMYFUNCTION("""COMPUTED_VALUE"""),"Schwing")</f>
        <v>Schwing</v>
      </c>
      <c r="L170" s="74" t="str">
        <f>IFERROR(__xludf.DUMMYFUNCTION("""COMPUTED_VALUE"""),"Sellos y retenes")</f>
        <v>Sellos y retenes</v>
      </c>
      <c r="M170" s="74" t="str">
        <f>IFERROR(__xludf.DUMMYFUNCTION("""COMPUTED_VALUE"""),"Sin Asignar")</f>
        <v>Sin Asignar</v>
      </c>
      <c r="N170" s="87">
        <f>IFERROR(__xludf.DUMMYFUNCTION("""COMPUTED_VALUE"""),0.0)</f>
        <v>0</v>
      </c>
      <c r="O170" s="74"/>
      <c r="P170" s="74" t="str">
        <f>IFERROR(__xludf.DUMMYFUNCTION("""COMPUTED_VALUE"""),"To Re-purchase")</f>
        <v>To Re-purchase</v>
      </c>
      <c r="Q170" s="74"/>
      <c r="R170" s="74"/>
      <c r="S170" s="87">
        <f>IFERROR(__xludf.DUMMYFUNCTION("""COMPUTED_VALUE"""),0.0)</f>
        <v>0</v>
      </c>
      <c r="T170" s="87">
        <f>IFERROR(__xludf.DUMMYFUNCTION("""COMPUTED_VALUE"""),0.0)</f>
        <v>0</v>
      </c>
      <c r="U170" s="87">
        <f>IFERROR(__xludf.DUMMYFUNCTION("""COMPUTED_VALUE"""),0.0)</f>
        <v>0</v>
      </c>
      <c r="V170" s="87">
        <f>IFERROR(__xludf.DUMMYFUNCTION("""COMPUTED_VALUE"""),0.0)</f>
        <v>0</v>
      </c>
      <c r="W170" s="87">
        <f>IFERROR(__xludf.DUMMYFUNCTION("""COMPUTED_VALUE"""),0.0)</f>
        <v>0</v>
      </c>
      <c r="X170" s="88"/>
      <c r="Y170" s="74"/>
      <c r="Z170" s="74"/>
    </row>
    <row r="171">
      <c r="B171" s="74" t="str">
        <f>IFERROR(__xludf.DUMMYFUNCTION("""COMPUTED_VALUE"""),"1168")</f>
        <v>1168</v>
      </c>
      <c r="C171" s="74" t="str">
        <f>IFERROR(__xludf.DUMMYFUNCTION("""COMPUTED_VALUE"""),"75045891168")</f>
        <v>75045891168</v>
      </c>
      <c r="D171" s="74" t="str">
        <f>IFERROR(__xludf.DUMMYFUNCTION("""COMPUTED_VALUE"""),"\\MCA-S\mk\2_BM\0_BMat\08_PYM\Inventario\excel\Imagen de refacciones\Schwing\Reductor de 6_x5_ x 1600MM")</f>
        <v>\\MCA-S\mk\2_BM\0_BMat\08_PYM\Inventario\excel\Imagen de refacciones\Schwing\Reductor de 6_x5_ x 1600MM</v>
      </c>
      <c r="E171" s="74" t="str">
        <f>IFERROR(__xludf.DUMMYFUNCTION("""COMPUTED_VALUE"""),"REDUCER 6""X6""X1600MM")</f>
        <v>REDUCER 6"X6"X1600MM</v>
      </c>
      <c r="F171" s="74" t="str">
        <f>IFERROR(__xludf.DUMMYFUNCTION("""COMPUTED_VALUE"""),"REDUCTOR 6""x5"" x 1600MM")</f>
        <v>REDUCTOR 6"x5" x 1600MM</v>
      </c>
      <c r="G171" s="74"/>
      <c r="H171" s="74"/>
      <c r="I171" s="74" t="str">
        <f>IFERROR(__xludf.DUMMYFUNCTION("""COMPUTED_VALUE"""),"10029635")</f>
        <v>10029635</v>
      </c>
      <c r="J171" s="74"/>
      <c r="K171" s="74" t="str">
        <f>IFERROR(__xludf.DUMMYFUNCTION("""COMPUTED_VALUE"""),"Schwing")</f>
        <v>Schwing</v>
      </c>
      <c r="L171" s="74" t="str">
        <f>IFERROR(__xludf.DUMMYFUNCTION("""COMPUTED_VALUE"""),"Sistema de bombeo de concreto")</f>
        <v>Sistema de bombeo de concreto</v>
      </c>
      <c r="M171" s="74" t="str">
        <f>IFERROR(__xludf.DUMMYFUNCTION("""COMPUTED_VALUE"""),"Sin Asignar")</f>
        <v>Sin Asignar</v>
      </c>
      <c r="N171" s="87">
        <f>IFERROR(__xludf.DUMMYFUNCTION("""COMPUTED_VALUE"""),0.0)</f>
        <v>0</v>
      </c>
      <c r="O171" s="74"/>
      <c r="P171" s="74" t="str">
        <f>IFERROR(__xludf.DUMMYFUNCTION("""COMPUTED_VALUE"""),"To Re-purchase")</f>
        <v>To Re-purchase</v>
      </c>
      <c r="Q171" s="74"/>
      <c r="R171" s="74"/>
      <c r="S171" s="87">
        <f>IFERROR(__xludf.DUMMYFUNCTION("""COMPUTED_VALUE"""),0.0)</f>
        <v>0</v>
      </c>
      <c r="T171" s="87">
        <f>IFERROR(__xludf.DUMMYFUNCTION("""COMPUTED_VALUE"""),0.0)</f>
        <v>0</v>
      </c>
      <c r="U171" s="87">
        <f>IFERROR(__xludf.DUMMYFUNCTION("""COMPUTED_VALUE"""),0.0)</f>
        <v>0</v>
      </c>
      <c r="V171" s="87">
        <f>IFERROR(__xludf.DUMMYFUNCTION("""COMPUTED_VALUE"""),0.0)</f>
        <v>0</v>
      </c>
      <c r="W171" s="87">
        <f>IFERROR(__xludf.DUMMYFUNCTION("""COMPUTED_VALUE"""),0.0)</f>
        <v>0</v>
      </c>
      <c r="X171" s="88"/>
      <c r="Y171" s="74"/>
      <c r="Z171" s="74"/>
    </row>
    <row r="172">
      <c r="B172" s="74" t="str">
        <f>IFERROR(__xludf.DUMMYFUNCTION("""COMPUTED_VALUE"""),"1169")</f>
        <v>1169</v>
      </c>
      <c r="C172" s="74" t="str">
        <f>IFERROR(__xludf.DUMMYFUNCTION("""COMPUTED_VALUE"""),"75045891169")</f>
        <v>75045891169</v>
      </c>
      <c r="D172" s="74" t="str">
        <f>IFERROR(__xludf.DUMMYFUNCTION("""COMPUTED_VALUE"""),"\\MCA-S\mk\2_BM\0_BMat\08_PYM\Inventario\excel\Imagen de refacciones\Schwing\Buje de flotación para horquilla de cilindro de resortera")</f>
        <v>\\MCA-S\mk\2_BM\0_BMat\08_PYM\Inventario\excel\Imagen de refacciones\Schwing\Buje de flotación para horquilla de cilindro de resortera</v>
      </c>
      <c r="E172" s="74" t="str">
        <f>IFERROR(__xludf.DUMMYFUNCTION("""COMPUTED_VALUE"""),"BUSHING")</f>
        <v>BUSHING</v>
      </c>
      <c r="F172" s="74" t="str">
        <f>IFERROR(__xludf.DUMMYFUNCTION("""COMPUTED_VALUE"""),"BUJE FLUTACION HORQUILLA PARA CILINDRO DE ROSORTERA")</f>
        <v>BUJE FLUTACION HORQUILLA PARA CILINDRO DE ROSORTERA</v>
      </c>
      <c r="G172" s="74"/>
      <c r="H172" s="74"/>
      <c r="I172" s="74" t="str">
        <f>IFERROR(__xludf.DUMMYFUNCTION("""COMPUTED_VALUE"""),"10060528")</f>
        <v>10060528</v>
      </c>
      <c r="J172" s="74"/>
      <c r="K172" s="74" t="str">
        <f>IFERROR(__xludf.DUMMYFUNCTION("""COMPUTED_VALUE"""),"Schwing")</f>
        <v>Schwing</v>
      </c>
      <c r="L172" s="74" t="str">
        <f>IFERROR(__xludf.DUMMYFUNCTION("""COMPUTED_VALUE"""),"Sistema de bombeo de concreto")</f>
        <v>Sistema de bombeo de concreto</v>
      </c>
      <c r="M172" s="74" t="str">
        <f>IFERROR(__xludf.DUMMYFUNCTION("""COMPUTED_VALUE"""),"Sin Asignar")</f>
        <v>Sin Asignar</v>
      </c>
      <c r="N172" s="87">
        <f>IFERROR(__xludf.DUMMYFUNCTION("""COMPUTED_VALUE"""),0.0)</f>
        <v>0</v>
      </c>
      <c r="O172" s="74"/>
      <c r="P172" s="74" t="str">
        <f>IFERROR(__xludf.DUMMYFUNCTION("""COMPUTED_VALUE"""),"To Re-purchase")</f>
        <v>To Re-purchase</v>
      </c>
      <c r="Q172" s="74"/>
      <c r="R172" s="74"/>
      <c r="S172" s="87">
        <f>IFERROR(__xludf.DUMMYFUNCTION("""COMPUTED_VALUE"""),0.0)</f>
        <v>0</v>
      </c>
      <c r="T172" s="87">
        <f>IFERROR(__xludf.DUMMYFUNCTION("""COMPUTED_VALUE"""),0.0)</f>
        <v>0</v>
      </c>
      <c r="U172" s="87">
        <f>IFERROR(__xludf.DUMMYFUNCTION("""COMPUTED_VALUE"""),0.0)</f>
        <v>0</v>
      </c>
      <c r="V172" s="87">
        <f>IFERROR(__xludf.DUMMYFUNCTION("""COMPUTED_VALUE"""),0.0)</f>
        <v>0</v>
      </c>
      <c r="W172" s="87">
        <f>IFERROR(__xludf.DUMMYFUNCTION("""COMPUTED_VALUE"""),0.0)</f>
        <v>0</v>
      </c>
      <c r="X172" s="88"/>
      <c r="Y172" s="74"/>
      <c r="Z172" s="74"/>
    </row>
    <row r="173">
      <c r="B173" s="74" t="str">
        <f>IFERROR(__xludf.DUMMYFUNCTION("""COMPUTED_VALUE"""),"1170")</f>
        <v>1170</v>
      </c>
      <c r="C173" s="74" t="str">
        <f>IFERROR(__xludf.DUMMYFUNCTION("""COMPUTED_VALUE"""),"75045880353")</f>
        <v>75045880353</v>
      </c>
      <c r="D173" s="74" t="str">
        <f>IFERROR(__xludf.DUMMYFUNCTION("""COMPUTED_VALUE"""),"\\MCA-S\mk\2_BM\0_BMat\08_PYM\Inventario\excel\Imagen de refacciones\Schwing\Soporte para parrilla del agitador")</f>
        <v>\\MCA-S\mk\2_BM\0_BMat\08_PYM\Inventario\excel\Imagen de refacciones\Schwing\Soporte para parrilla del agitador</v>
      </c>
      <c r="E173" s="74" t="str">
        <f>IFERROR(__xludf.DUMMYFUNCTION("""COMPUTED_VALUE"""),"RUBBER BUFFER 75x55")</f>
        <v>RUBBER BUFFER 75x55</v>
      </c>
      <c r="F173" s="74" t="str">
        <f>IFERROR(__xludf.DUMMYFUNCTION("""COMPUTED_VALUE"""),"SOPORTE PARA PARRILLA DEL AGITADOR 75x55")</f>
        <v>SOPORTE PARA PARRILLA DEL AGITADOR 75x55</v>
      </c>
      <c r="G173" s="74"/>
      <c r="H173" s="74"/>
      <c r="I173" s="74" t="str">
        <f>IFERROR(__xludf.DUMMYFUNCTION("""COMPUTED_VALUE"""),"10007599")</f>
        <v>10007599</v>
      </c>
      <c r="J173" s="74"/>
      <c r="K173" s="74" t="str">
        <f>IFERROR(__xludf.DUMMYFUNCTION("""COMPUTED_VALUE"""),"Schwing")</f>
        <v>Schwing</v>
      </c>
      <c r="L173" s="74" t="str">
        <f>IFERROR(__xludf.DUMMYFUNCTION("""COMPUTED_VALUE"""),"Sistema de bombeo de concreto")</f>
        <v>Sistema de bombeo de concreto</v>
      </c>
      <c r="M173" s="74" t="str">
        <f>IFERROR(__xludf.DUMMYFUNCTION("""COMPUTED_VALUE"""),"Sin Asignar")</f>
        <v>Sin Asignar</v>
      </c>
      <c r="N173" s="87">
        <f>IFERROR(__xludf.DUMMYFUNCTION("""COMPUTED_VALUE"""),426.24)</f>
        <v>426.24</v>
      </c>
      <c r="O173" s="74"/>
      <c r="P173" s="74" t="str">
        <f>IFERROR(__xludf.DUMMYFUNCTION("""COMPUTED_VALUE"""),"To Re-purchase")</f>
        <v>To Re-purchase</v>
      </c>
      <c r="Q173" s="74"/>
      <c r="R173" s="74"/>
      <c r="S173" s="87">
        <f>IFERROR(__xludf.DUMMYFUNCTION("""COMPUTED_VALUE"""),7.0)</f>
        <v>7</v>
      </c>
      <c r="T173" s="87">
        <f>IFERROR(__xludf.DUMMYFUNCTION("""COMPUTED_VALUE"""),24.0)</f>
        <v>24</v>
      </c>
      <c r="U173" s="87">
        <f>IFERROR(__xludf.DUMMYFUNCTION("""COMPUTED_VALUE"""),23.04)</f>
        <v>23.04</v>
      </c>
      <c r="V173" s="87">
        <f>IFERROR(__xludf.DUMMYFUNCTION("""COMPUTED_VALUE"""),8.575)</f>
        <v>8.575</v>
      </c>
      <c r="W173" s="87">
        <f>IFERROR(__xludf.DUMMYFUNCTION("""COMPUTED_VALUE"""),160.78125)</f>
        <v>160.78125</v>
      </c>
      <c r="X173" s="88">
        <f>IFERROR(__xludf.DUMMYFUNCTION("""COMPUTED_VALUE"""),3.2914285714285714)</f>
        <v>3.291428571</v>
      </c>
      <c r="Y173" s="74"/>
      <c r="Z173" s="74"/>
    </row>
    <row r="174">
      <c r="B174" s="74" t="str">
        <f>IFERROR(__xludf.DUMMYFUNCTION("""COMPUTED_VALUE"""),"1171")</f>
        <v>1171</v>
      </c>
      <c r="C174" s="74" t="str">
        <f>IFERROR(__xludf.DUMMYFUNCTION("""COMPUTED_VALUE"""),"75045891171")</f>
        <v>75045891171</v>
      </c>
      <c r="D174" s="74" t="str">
        <f>IFERROR(__xludf.DUMMYFUNCTION("""COMPUTED_VALUE"""),"\\MCA-S\mk\2_BM\0_BMat\08_PYM\Inventario\excel\Imagen de refacciones\Schwing\Buje 120_80 para cilindro hidraulico de bombeo")</f>
        <v>\\MCA-S\mk\2_BM\0_BMat\08_PYM\Inventario\excel\Imagen de refacciones\Schwing\Buje 120_80 para cilindro hidraulico de bombeo</v>
      </c>
      <c r="E174" s="74" t="str">
        <f>IFERROR(__xludf.DUMMYFUNCTION("""COMPUTED_VALUE"""),"GUIDE BUSHING D120/80")</f>
        <v>GUIDE BUSHING D120/80</v>
      </c>
      <c r="F174" s="74" t="str">
        <f>IFERROR(__xludf.DUMMYFUNCTION("""COMPUTED_VALUE"""),"BUJE D120/80 CILINDRO HIDRAULICO DE BOMBEO")</f>
        <v>BUJE D120/80 CILINDRO HIDRAULICO DE BOMBEO</v>
      </c>
      <c r="G174" s="74"/>
      <c r="H174" s="74"/>
      <c r="I174" s="74" t="str">
        <f>IFERROR(__xludf.DUMMYFUNCTION("""COMPUTED_VALUE"""),"10102071")</f>
        <v>10102071</v>
      </c>
      <c r="J174" s="74"/>
      <c r="K174" s="74" t="str">
        <f>IFERROR(__xludf.DUMMYFUNCTION("""COMPUTED_VALUE"""),"Schwing")</f>
        <v>Schwing</v>
      </c>
      <c r="L174" s="74" t="str">
        <f>IFERROR(__xludf.DUMMYFUNCTION("""COMPUTED_VALUE"""),"Componentes hidráulicos")</f>
        <v>Componentes hidráulicos</v>
      </c>
      <c r="M174" s="74" t="str">
        <f>IFERROR(__xludf.DUMMYFUNCTION("""COMPUTED_VALUE"""),"Sin Asignar")</f>
        <v>Sin Asignar</v>
      </c>
      <c r="N174" s="87">
        <f>IFERROR(__xludf.DUMMYFUNCTION("""COMPUTED_VALUE"""),0.0)</f>
        <v>0</v>
      </c>
      <c r="O174" s="74"/>
      <c r="P174" s="74" t="str">
        <f>IFERROR(__xludf.DUMMYFUNCTION("""COMPUTED_VALUE"""),"To Re-purchase")</f>
        <v>To Re-purchase</v>
      </c>
      <c r="Q174" s="74"/>
      <c r="R174" s="74"/>
      <c r="S174" s="87">
        <f>IFERROR(__xludf.DUMMYFUNCTION("""COMPUTED_VALUE"""),0.0)</f>
        <v>0</v>
      </c>
      <c r="T174" s="87">
        <f>IFERROR(__xludf.DUMMYFUNCTION("""COMPUTED_VALUE"""),0.0)</f>
        <v>0</v>
      </c>
      <c r="U174" s="87">
        <f>IFERROR(__xludf.DUMMYFUNCTION("""COMPUTED_VALUE"""),0.0)</f>
        <v>0</v>
      </c>
      <c r="V174" s="87">
        <f>IFERROR(__xludf.DUMMYFUNCTION("""COMPUTED_VALUE"""),0.0)</f>
        <v>0</v>
      </c>
      <c r="W174" s="87">
        <f>IFERROR(__xludf.DUMMYFUNCTION("""COMPUTED_VALUE"""),0.0)</f>
        <v>0</v>
      </c>
      <c r="X174" s="88"/>
      <c r="Y174" s="74"/>
      <c r="Z174" s="74"/>
    </row>
    <row r="175">
      <c r="B175" s="74" t="str">
        <f>IFERROR(__xludf.DUMMYFUNCTION("""COMPUTED_VALUE"""),"1172")</f>
        <v>1172</v>
      </c>
      <c r="C175" s="74"/>
      <c r="D175" s="74" t="str">
        <f>IFERROR(__xludf.DUMMYFUNCTION("""COMPUTED_VALUE"""),"\\MCA-S\mk\2_BM\0_BMat\08_PYM\Inventario\excel\Imagen de refacciones\Schwing\Cilindro de bombeo DN200x1600")</f>
        <v>\\MCA-S\mk\2_BM\0_BMat\08_PYM\Inventario\excel\Imagen de refacciones\Schwing\Cilindro de bombeo DN200x1600</v>
      </c>
      <c r="E175" s="74" t="str">
        <f>IFERROR(__xludf.DUMMYFUNCTION("""COMPUTED_VALUE"""),"CONCRETE PUMP CYLINDER DN200x1600")</f>
        <v>CONCRETE PUMP CYLINDER DN200x1600</v>
      </c>
      <c r="F175" s="74" t="str">
        <f>IFERROR(__xludf.DUMMYFUNCTION("""COMPUTED_VALUE"""),"CILINDRO BOMBEO DN200x1600")</f>
        <v>CILINDRO BOMBEO DN200x1600</v>
      </c>
      <c r="G175" s="74"/>
      <c r="H175" s="74"/>
      <c r="I175" s="74"/>
      <c r="J175" s="74"/>
      <c r="K175" s="74" t="str">
        <f>IFERROR(__xludf.DUMMYFUNCTION("""COMPUTED_VALUE"""),"Schwing")</f>
        <v>Schwing</v>
      </c>
      <c r="L175" s="74" t="str">
        <f>IFERROR(__xludf.DUMMYFUNCTION("""COMPUTED_VALUE"""),"Sistema de bombeo de concreto")</f>
        <v>Sistema de bombeo de concreto</v>
      </c>
      <c r="M175" s="74" t="str">
        <f>IFERROR(__xludf.DUMMYFUNCTION("""COMPUTED_VALUE"""),"Sin Asignar")</f>
        <v>Sin Asignar</v>
      </c>
      <c r="N175" s="87">
        <f>IFERROR(__xludf.DUMMYFUNCTION("""COMPUTED_VALUE"""),0.0)</f>
        <v>0</v>
      </c>
      <c r="O175" s="74"/>
      <c r="P175" s="74" t="str">
        <f>IFERROR(__xludf.DUMMYFUNCTION("""COMPUTED_VALUE"""),"borrar")</f>
        <v>borrar</v>
      </c>
      <c r="Q175" s="74"/>
      <c r="R175" s="74"/>
      <c r="S175" s="87">
        <f>IFERROR(__xludf.DUMMYFUNCTION("""COMPUTED_VALUE"""),0.0)</f>
        <v>0</v>
      </c>
      <c r="T175" s="87">
        <f>IFERROR(__xludf.DUMMYFUNCTION("""COMPUTED_VALUE"""),0.0)</f>
        <v>0</v>
      </c>
      <c r="U175" s="87">
        <f>IFERROR(__xludf.DUMMYFUNCTION("""COMPUTED_VALUE"""),0.0)</f>
        <v>0</v>
      </c>
      <c r="V175" s="87">
        <f>IFERROR(__xludf.DUMMYFUNCTION("""COMPUTED_VALUE"""),0.0)</f>
        <v>0</v>
      </c>
      <c r="W175" s="87">
        <f>IFERROR(__xludf.DUMMYFUNCTION("""COMPUTED_VALUE"""),0.0)</f>
        <v>0</v>
      </c>
      <c r="X175" s="88"/>
      <c r="Y175" s="74"/>
      <c r="Z175" s="74"/>
    </row>
    <row r="176">
      <c r="B176" s="74" t="str">
        <f>IFERROR(__xludf.DUMMYFUNCTION("""COMPUTED_VALUE"""),"1173")</f>
        <v>1173</v>
      </c>
      <c r="C176" s="74" t="str">
        <f>IFERROR(__xludf.DUMMYFUNCTION("""COMPUTED_VALUE"""),"75045891173")</f>
        <v>75045891173</v>
      </c>
      <c r="D176" s="74" t="str">
        <f>IFERROR(__xludf.DUMMYFUNCTION("""COMPUTED_VALUE"""),"\\MCA-S\mk\2_BM\0_BMat\08_PYM\Inventario\excel\Imagen de refacciones\Schwing\Cilindro de bombeo DN200x1775")</f>
        <v>\\MCA-S\mk\2_BM\0_BMat\08_PYM\Inventario\excel\Imagen de refacciones\Schwing\Cilindro de bombeo DN200x1775</v>
      </c>
      <c r="E176" s="74" t="str">
        <f>IFERROR(__xludf.DUMMYFUNCTION("""COMPUTED_VALUE"""),"CONCRETE PUMP CYLINDER DN200x1775")</f>
        <v>CONCRETE PUMP CYLINDER DN200x1775</v>
      </c>
      <c r="F176" s="74" t="str">
        <f>IFERROR(__xludf.DUMMYFUNCTION("""COMPUTED_VALUE"""),"CILINDRO BOMBEO DN200x1775")</f>
        <v>CILINDRO BOMBEO DN200x1775</v>
      </c>
      <c r="G176" s="74"/>
      <c r="H176" s="74"/>
      <c r="I176" s="74" t="str">
        <f>IFERROR(__xludf.DUMMYFUNCTION("""COMPUTED_VALUE"""),"10006084")</f>
        <v>10006084</v>
      </c>
      <c r="J176" s="74"/>
      <c r="K176" s="74" t="str">
        <f>IFERROR(__xludf.DUMMYFUNCTION("""COMPUTED_VALUE"""),"Schwing")</f>
        <v>Schwing</v>
      </c>
      <c r="L176" s="74" t="str">
        <f>IFERROR(__xludf.DUMMYFUNCTION("""COMPUTED_VALUE"""),"Sistema de bombeo de concreto")</f>
        <v>Sistema de bombeo de concreto</v>
      </c>
      <c r="M176" s="74" t="str">
        <f>IFERROR(__xludf.DUMMYFUNCTION("""COMPUTED_VALUE"""),"Sin Asignar")</f>
        <v>Sin Asignar</v>
      </c>
      <c r="N176" s="87">
        <f>IFERROR(__xludf.DUMMYFUNCTION("""COMPUTED_VALUE"""),0.0)</f>
        <v>0</v>
      </c>
      <c r="O176" s="74"/>
      <c r="P176" s="74" t="str">
        <f>IFERROR(__xludf.DUMMYFUNCTION("""COMPUTED_VALUE"""),"To Re-purchase")</f>
        <v>To Re-purchase</v>
      </c>
      <c r="Q176" s="74"/>
      <c r="R176" s="74"/>
      <c r="S176" s="87">
        <f>IFERROR(__xludf.DUMMYFUNCTION("""COMPUTED_VALUE"""),0.0)</f>
        <v>0</v>
      </c>
      <c r="T176" s="87">
        <f>IFERROR(__xludf.DUMMYFUNCTION("""COMPUTED_VALUE"""),0.0)</f>
        <v>0</v>
      </c>
      <c r="U176" s="87">
        <f>IFERROR(__xludf.DUMMYFUNCTION("""COMPUTED_VALUE"""),0.0)</f>
        <v>0</v>
      </c>
      <c r="V176" s="87">
        <f>IFERROR(__xludf.DUMMYFUNCTION("""COMPUTED_VALUE"""),0.0)</f>
        <v>0</v>
      </c>
      <c r="W176" s="87">
        <f>IFERROR(__xludf.DUMMYFUNCTION("""COMPUTED_VALUE"""),0.0)</f>
        <v>0</v>
      </c>
      <c r="X176" s="88"/>
      <c r="Y176" s="74"/>
      <c r="Z176" s="74"/>
    </row>
    <row r="177">
      <c r="B177" s="74" t="str">
        <f>IFERROR(__xludf.DUMMYFUNCTION("""COMPUTED_VALUE"""),"1174")</f>
        <v>1174</v>
      </c>
      <c r="C177" s="74" t="str">
        <f>IFERROR(__xludf.DUMMYFUNCTION("""COMPUTED_VALUE"""),"75045891174")</f>
        <v>75045891174</v>
      </c>
      <c r="D177" s="74" t="str">
        <f>IFERROR(__xludf.DUMMYFUNCTION("""COMPUTED_VALUE"""),"\\MCA-S\mk\2_BM\0_BMat\08_PYM\Inventario\excel\Imagen de refacciones\Schwing\Cilindro de bombeo DN200x2125")</f>
        <v>\\MCA-S\mk\2_BM\0_BMat\08_PYM\Inventario\excel\Imagen de refacciones\Schwing\Cilindro de bombeo DN200x2125</v>
      </c>
      <c r="E177" s="74" t="str">
        <f>IFERROR(__xludf.DUMMYFUNCTION("""COMPUTED_VALUE"""),"CONCRETE PUMP CYLINDER DN200x2125")</f>
        <v>CONCRETE PUMP CYLINDER DN200x2125</v>
      </c>
      <c r="F177" s="74" t="str">
        <f>IFERROR(__xludf.DUMMYFUNCTION("""COMPUTED_VALUE"""),"CILINDRO BOMBEO DN200x2125")</f>
        <v>CILINDRO BOMBEO DN200x2125</v>
      </c>
      <c r="G177" s="74"/>
      <c r="H177" s="74"/>
      <c r="I177" s="74" t="str">
        <f>IFERROR(__xludf.DUMMYFUNCTION("""COMPUTED_VALUE"""),"10027875")</f>
        <v>10027875</v>
      </c>
      <c r="J177" s="74"/>
      <c r="K177" s="74" t="str">
        <f>IFERROR(__xludf.DUMMYFUNCTION("""COMPUTED_VALUE"""),"Schwing")</f>
        <v>Schwing</v>
      </c>
      <c r="L177" s="74" t="str">
        <f>IFERROR(__xludf.DUMMYFUNCTION("""COMPUTED_VALUE"""),"Sistema de bombeo de concreto")</f>
        <v>Sistema de bombeo de concreto</v>
      </c>
      <c r="M177" s="74" t="str">
        <f>IFERROR(__xludf.DUMMYFUNCTION("""COMPUTED_VALUE"""),"Sin Asignar")</f>
        <v>Sin Asignar</v>
      </c>
      <c r="N177" s="87">
        <f>IFERROR(__xludf.DUMMYFUNCTION("""COMPUTED_VALUE"""),0.0)</f>
        <v>0</v>
      </c>
      <c r="O177" s="74"/>
      <c r="P177" s="74" t="str">
        <f>IFERROR(__xludf.DUMMYFUNCTION("""COMPUTED_VALUE"""),"To Re-purchase")</f>
        <v>To Re-purchase</v>
      </c>
      <c r="Q177" s="74"/>
      <c r="R177" s="74"/>
      <c r="S177" s="87">
        <f>IFERROR(__xludf.DUMMYFUNCTION("""COMPUTED_VALUE"""),0.0)</f>
        <v>0</v>
      </c>
      <c r="T177" s="87">
        <f>IFERROR(__xludf.DUMMYFUNCTION("""COMPUTED_VALUE"""),0.0)</f>
        <v>0</v>
      </c>
      <c r="U177" s="87">
        <f>IFERROR(__xludf.DUMMYFUNCTION("""COMPUTED_VALUE"""),0.0)</f>
        <v>0</v>
      </c>
      <c r="V177" s="87">
        <f>IFERROR(__xludf.DUMMYFUNCTION("""COMPUTED_VALUE"""),0.0)</f>
        <v>0</v>
      </c>
      <c r="W177" s="87">
        <f>IFERROR(__xludf.DUMMYFUNCTION("""COMPUTED_VALUE"""),0.0)</f>
        <v>0</v>
      </c>
      <c r="X177" s="88"/>
      <c r="Y177" s="74"/>
      <c r="Z177" s="74"/>
    </row>
    <row r="178">
      <c r="B178" s="74" t="str">
        <f>IFERROR(__xludf.DUMMYFUNCTION("""COMPUTED_VALUE"""),"1175")</f>
        <v>1175</v>
      </c>
      <c r="C178" s="74" t="str">
        <f>IFERROR(__xludf.DUMMYFUNCTION("""COMPUTED_VALUE"""),"75045891175")</f>
        <v>75045891175</v>
      </c>
      <c r="D178" s="74" t="str">
        <f>IFERROR(__xludf.DUMMYFUNCTION("""COMPUTED_VALUE"""),"\\MCA-S\mk\2_BM\0_BMat\08_PYM\Inventario\excel\Imagen de refacciones\Schwing\Cilindro de bombeo DN250x2500")</f>
        <v>\\MCA-S\mk\2_BM\0_BMat\08_PYM\Inventario\excel\Imagen de refacciones\Schwing\Cilindro de bombeo DN250x2500</v>
      </c>
      <c r="E178" s="74" t="str">
        <f>IFERROR(__xludf.DUMMYFUNCTION("""COMPUTED_VALUE"""),"CONCRETE PUMP CYLINDER DN250x2635")</f>
        <v>CONCRETE PUMP CYLINDER DN250x2635</v>
      </c>
      <c r="F178" s="74" t="str">
        <f>IFERROR(__xludf.DUMMYFUNCTION("""COMPUTED_VALUE"""),"CILINDRO BOMBEO DN250x2635")</f>
        <v>CILINDRO BOMBEO DN250x2635</v>
      </c>
      <c r="G178" s="74"/>
      <c r="H178" s="74"/>
      <c r="I178" s="74" t="str">
        <f>IFERROR(__xludf.DUMMYFUNCTION("""COMPUTED_VALUE"""),"10178873")</f>
        <v>10178873</v>
      </c>
      <c r="J178" s="74"/>
      <c r="K178" s="74" t="str">
        <f>IFERROR(__xludf.DUMMYFUNCTION("""COMPUTED_VALUE"""),"Schwing")</f>
        <v>Schwing</v>
      </c>
      <c r="L178" s="74" t="str">
        <f>IFERROR(__xludf.DUMMYFUNCTION("""COMPUTED_VALUE"""),"Sistema de bombeo de concreto")</f>
        <v>Sistema de bombeo de concreto</v>
      </c>
      <c r="M178" s="74" t="str">
        <f>IFERROR(__xludf.DUMMYFUNCTION("""COMPUTED_VALUE"""),"Sin Asignar")</f>
        <v>Sin Asignar</v>
      </c>
      <c r="N178" s="87">
        <f>IFERROR(__xludf.DUMMYFUNCTION("""COMPUTED_VALUE"""),0.0)</f>
        <v>0</v>
      </c>
      <c r="O178" s="74"/>
      <c r="P178" s="74" t="str">
        <f>IFERROR(__xludf.DUMMYFUNCTION("""COMPUTED_VALUE"""),"To Re-purchase")</f>
        <v>To Re-purchase</v>
      </c>
      <c r="Q178" s="74"/>
      <c r="R178" s="74"/>
      <c r="S178" s="87">
        <f>IFERROR(__xludf.DUMMYFUNCTION("""COMPUTED_VALUE"""),0.0)</f>
        <v>0</v>
      </c>
      <c r="T178" s="87">
        <f>IFERROR(__xludf.DUMMYFUNCTION("""COMPUTED_VALUE"""),0.0)</f>
        <v>0</v>
      </c>
      <c r="U178" s="87">
        <f>IFERROR(__xludf.DUMMYFUNCTION("""COMPUTED_VALUE"""),0.0)</f>
        <v>0</v>
      </c>
      <c r="V178" s="87">
        <f>IFERROR(__xludf.DUMMYFUNCTION("""COMPUTED_VALUE"""),0.0)</f>
        <v>0</v>
      </c>
      <c r="W178" s="87">
        <f>IFERROR(__xludf.DUMMYFUNCTION("""COMPUTED_VALUE"""),0.0)</f>
        <v>0</v>
      </c>
      <c r="X178" s="88"/>
      <c r="Y178" s="74"/>
      <c r="Z178" s="74"/>
    </row>
    <row r="179">
      <c r="B179" s="74" t="str">
        <f>IFERROR(__xludf.DUMMYFUNCTION("""COMPUTED_VALUE"""),"1176")</f>
        <v>1176</v>
      </c>
      <c r="C179" s="74" t="str">
        <f>IFERROR(__xludf.DUMMYFUNCTION("""COMPUTED_VALUE"""),"75045891176")</f>
        <v>75045891176</v>
      </c>
      <c r="D179" s="74" t="str">
        <f>IFERROR(__xludf.DUMMYFUNCTION("""COMPUTED_VALUE"""),"\\MCA-S\mk\2_BM\0_BMat\08_PYM\Inventario\excel\Imagen de refacciones\Schwing\Cilindro de bombeo DN230x2125")</f>
        <v>\\MCA-S\mk\2_BM\0_BMat\08_PYM\Inventario\excel\Imagen de refacciones\Schwing\Cilindro de bombeo DN230x2125</v>
      </c>
      <c r="E179" s="74" t="str">
        <f>IFERROR(__xludf.DUMMYFUNCTION("""COMPUTED_VALUE"""),"CONCRETE PUMP CYLINDER DN230X2000")</f>
        <v>CONCRETE PUMP CYLINDER DN230X2000</v>
      </c>
      <c r="F179" s="74" t="str">
        <f>IFERROR(__xludf.DUMMYFUNCTION("""COMPUTED_VALUE"""),"CILINDRO BOMBEO DN230x2000")</f>
        <v>CILINDRO BOMBEO DN230x2000</v>
      </c>
      <c r="G179" s="74"/>
      <c r="H179" s="74"/>
      <c r="I179" s="74" t="str">
        <f>IFERROR(__xludf.DUMMYFUNCTION("""COMPUTED_VALUE"""),"10019377")</f>
        <v>10019377</v>
      </c>
      <c r="J179" s="74"/>
      <c r="K179" s="74" t="str">
        <f>IFERROR(__xludf.DUMMYFUNCTION("""COMPUTED_VALUE"""),"Schwing")</f>
        <v>Schwing</v>
      </c>
      <c r="L179" s="74" t="str">
        <f>IFERROR(__xludf.DUMMYFUNCTION("""COMPUTED_VALUE"""),"Sistema de bombeo de concreto")</f>
        <v>Sistema de bombeo de concreto</v>
      </c>
      <c r="M179" s="74" t="str">
        <f>IFERROR(__xludf.DUMMYFUNCTION("""COMPUTED_VALUE"""),"Sin Asignar")</f>
        <v>Sin Asignar</v>
      </c>
      <c r="N179" s="87">
        <f>IFERROR(__xludf.DUMMYFUNCTION("""COMPUTED_VALUE"""),0.0)</f>
        <v>0</v>
      </c>
      <c r="O179" s="74"/>
      <c r="P179" s="74" t="str">
        <f>IFERROR(__xludf.DUMMYFUNCTION("""COMPUTED_VALUE"""),"To Re-purchase")</f>
        <v>To Re-purchase</v>
      </c>
      <c r="Q179" s="74"/>
      <c r="R179" s="74"/>
      <c r="S179" s="87">
        <f>IFERROR(__xludf.DUMMYFUNCTION("""COMPUTED_VALUE"""),0.0)</f>
        <v>0</v>
      </c>
      <c r="T179" s="87">
        <f>IFERROR(__xludf.DUMMYFUNCTION("""COMPUTED_VALUE"""),0.0)</f>
        <v>0</v>
      </c>
      <c r="U179" s="87">
        <f>IFERROR(__xludf.DUMMYFUNCTION("""COMPUTED_VALUE"""),0.0)</f>
        <v>0</v>
      </c>
      <c r="V179" s="87">
        <f>IFERROR(__xludf.DUMMYFUNCTION("""COMPUTED_VALUE"""),0.0)</f>
        <v>0</v>
      </c>
      <c r="W179" s="87">
        <f>IFERROR(__xludf.DUMMYFUNCTION("""COMPUTED_VALUE"""),0.0)</f>
        <v>0</v>
      </c>
      <c r="X179" s="88"/>
      <c r="Y179" s="74"/>
      <c r="Z179" s="74"/>
    </row>
    <row r="180">
      <c r="B180" s="74" t="str">
        <f>IFERROR(__xludf.DUMMYFUNCTION("""COMPUTED_VALUE"""),"1177")</f>
        <v>1177</v>
      </c>
      <c r="C180" s="74" t="str">
        <f>IFERROR(__xludf.DUMMYFUNCTION("""COMPUTED_VALUE"""),"75045891177")</f>
        <v>75045891177</v>
      </c>
      <c r="D180" s="74" t="str">
        <f>IFERROR(__xludf.DUMMYFUNCTION("""COMPUTED_VALUE"""),"\\MCA-S\mk\2_BM\0_BMat\08_PYM\Inventario\excel\Imagen de refacciones\Schwing\Inserto o aumento de cañon DN230")</f>
        <v>\\MCA-S\mk\2_BM\0_BMat\08_PYM\Inventario\excel\Imagen de refacciones\Schwing\Inserto o aumento de cañon DN230</v>
      </c>
      <c r="E180" s="74" t="str">
        <f>IFERROR(__xludf.DUMMYFUNCTION("""COMPUTED_VALUE"""),"TRANSITION PIECE DN 230/210")</f>
        <v>TRANSITION PIECE DN 230/210</v>
      </c>
      <c r="F180" s="74" t="str">
        <f>IFERROR(__xludf.DUMMYFUNCTION("""COMPUTED_VALUE"""),"INSERTO O AUMENTO CAÑON DN230")</f>
        <v>INSERTO O AUMENTO CAÑON DN230</v>
      </c>
      <c r="G180" s="74"/>
      <c r="H180" s="74"/>
      <c r="I180" s="74" t="str">
        <f>IFERROR(__xludf.DUMMYFUNCTION("""COMPUTED_VALUE"""),"10078435")</f>
        <v>10078435</v>
      </c>
      <c r="J180" s="74"/>
      <c r="K180" s="74" t="str">
        <f>IFERROR(__xludf.DUMMYFUNCTION("""COMPUTED_VALUE"""),"Schwing")</f>
        <v>Schwing</v>
      </c>
      <c r="L180" s="74" t="str">
        <f>IFERROR(__xludf.DUMMYFUNCTION("""COMPUTED_VALUE"""),"Sistema de bombeo de concreto")</f>
        <v>Sistema de bombeo de concreto</v>
      </c>
      <c r="M180" s="74" t="str">
        <f>IFERROR(__xludf.DUMMYFUNCTION("""COMPUTED_VALUE"""),"Sin Asignar")</f>
        <v>Sin Asignar</v>
      </c>
      <c r="N180" s="87">
        <f>IFERROR(__xludf.DUMMYFUNCTION("""COMPUTED_VALUE"""),0.0)</f>
        <v>0</v>
      </c>
      <c r="O180" s="74"/>
      <c r="P180" s="74" t="str">
        <f>IFERROR(__xludf.DUMMYFUNCTION("""COMPUTED_VALUE"""),"To Re-purchase")</f>
        <v>To Re-purchase</v>
      </c>
      <c r="Q180" s="74"/>
      <c r="R180" s="74"/>
      <c r="S180" s="87">
        <f>IFERROR(__xludf.DUMMYFUNCTION("""COMPUTED_VALUE"""),0.0)</f>
        <v>0</v>
      </c>
      <c r="T180" s="87">
        <f>IFERROR(__xludf.DUMMYFUNCTION("""COMPUTED_VALUE"""),0.0)</f>
        <v>0</v>
      </c>
      <c r="U180" s="87">
        <f>IFERROR(__xludf.DUMMYFUNCTION("""COMPUTED_VALUE"""),0.0)</f>
        <v>0</v>
      </c>
      <c r="V180" s="87">
        <f>IFERROR(__xludf.DUMMYFUNCTION("""COMPUTED_VALUE"""),0.0)</f>
        <v>0</v>
      </c>
      <c r="W180" s="87">
        <f>IFERROR(__xludf.DUMMYFUNCTION("""COMPUTED_VALUE"""),0.0)</f>
        <v>0</v>
      </c>
      <c r="X180" s="88"/>
      <c r="Y180" s="74"/>
      <c r="Z180" s="74"/>
    </row>
    <row r="181">
      <c r="B181" s="74" t="str">
        <f>IFERROR(__xludf.DUMMYFUNCTION("""COMPUTED_VALUE"""),"1178")</f>
        <v>1178</v>
      </c>
      <c r="C181" s="74" t="str">
        <f>IFERROR(__xludf.DUMMYFUNCTION("""COMPUTED_VALUE"""),"75045891178")</f>
        <v>75045891178</v>
      </c>
      <c r="D181" s="74" t="str">
        <f>IFERROR(__xludf.DUMMYFUNCTION("""COMPUTED_VALUE"""),"\\MCA-S\mk\2_BM\0_BMat\08_PYM\Inventario\excel\Imagen de refacciones\Schwing\Vastago de bombeo 80mm de diametro")</f>
        <v>\\MCA-S\mk\2_BM\0_BMat\08_PYM\Inventario\excel\Imagen de refacciones\Schwing\Vastago de bombeo 80mm de diametro</v>
      </c>
      <c r="E181" s="74" t="str">
        <f>IFERROR(__xludf.DUMMYFUNCTION("""COMPUTED_VALUE"""),"PISTON ROD 80")</f>
        <v>PISTON ROD 80</v>
      </c>
      <c r="F181" s="74" t="str">
        <f>IFERROR(__xludf.DUMMYFUNCTION("""COMPUTED_VALUE"""),"VASTAGO DE BOMBEO DIAMETRO 80MM ")</f>
        <v>VASTAGO DE BOMBEO DIAMETRO 80MM </v>
      </c>
      <c r="G181" s="74"/>
      <c r="H181" s="74"/>
      <c r="I181" s="74" t="str">
        <f>IFERROR(__xludf.DUMMYFUNCTION("""COMPUTED_VALUE"""),"10015085")</f>
        <v>10015085</v>
      </c>
      <c r="J181" s="74"/>
      <c r="K181" s="74" t="str">
        <f>IFERROR(__xludf.DUMMYFUNCTION("""COMPUTED_VALUE"""),"Schwing")</f>
        <v>Schwing</v>
      </c>
      <c r="L181" s="74" t="str">
        <f>IFERROR(__xludf.DUMMYFUNCTION("""COMPUTED_VALUE"""),"Sistema de bombeo de concreto")</f>
        <v>Sistema de bombeo de concreto</v>
      </c>
      <c r="M181" s="74" t="str">
        <f>IFERROR(__xludf.DUMMYFUNCTION("""COMPUTED_VALUE"""),"Sin Asignar")</f>
        <v>Sin Asignar</v>
      </c>
      <c r="N181" s="87">
        <f>IFERROR(__xludf.DUMMYFUNCTION("""COMPUTED_VALUE"""),0.0)</f>
        <v>0</v>
      </c>
      <c r="O181" s="74"/>
      <c r="P181" s="74" t="str">
        <f>IFERROR(__xludf.DUMMYFUNCTION("""COMPUTED_VALUE"""),"To Re-purchase")</f>
        <v>To Re-purchase</v>
      </c>
      <c r="Q181" s="74"/>
      <c r="R181" s="74"/>
      <c r="S181" s="87">
        <f>IFERROR(__xludf.DUMMYFUNCTION("""COMPUTED_VALUE"""),0.0)</f>
        <v>0</v>
      </c>
      <c r="T181" s="87">
        <f>IFERROR(__xludf.DUMMYFUNCTION("""COMPUTED_VALUE"""),0.0)</f>
        <v>0</v>
      </c>
      <c r="U181" s="87">
        <f>IFERROR(__xludf.DUMMYFUNCTION("""COMPUTED_VALUE"""),0.0)</f>
        <v>0</v>
      </c>
      <c r="V181" s="87">
        <f>IFERROR(__xludf.DUMMYFUNCTION("""COMPUTED_VALUE"""),0.0)</f>
        <v>0</v>
      </c>
      <c r="W181" s="87">
        <f>IFERROR(__xludf.DUMMYFUNCTION("""COMPUTED_VALUE"""),0.0)</f>
        <v>0</v>
      </c>
      <c r="X181" s="88"/>
      <c r="Y181" s="74"/>
      <c r="Z181" s="74"/>
    </row>
    <row r="182">
      <c r="B182" s="74" t="str">
        <f>IFERROR(__xludf.DUMMYFUNCTION("""COMPUTED_VALUE"""),"1179")</f>
        <v>1179</v>
      </c>
      <c r="C182" s="74" t="str">
        <f>IFERROR(__xludf.DUMMYFUNCTION("""COMPUTED_VALUE"""),"75045891179")</f>
        <v>75045891179</v>
      </c>
      <c r="D182" s="74" t="str">
        <f>IFERROR(__xludf.DUMMYFUNCTION("""COMPUTED_VALUE"""),"\\MCA-S\mk\2_BM\0_BMat\08_PYM\Inventario\excel\Imagen de refacciones\Schwing\Conector RAM para émbolo y vástago")</f>
        <v>\\MCA-S\mk\2_BM\0_BMat\08_PYM\Inventario\excel\Imagen de refacciones\Schwing\Conector RAM para émbolo y vástago</v>
      </c>
      <c r="E182" s="74" t="str">
        <f>IFERROR(__xludf.DUMMYFUNCTION("""COMPUTED_VALUE"""),"RAM CONNECTION")</f>
        <v>RAM CONNECTION</v>
      </c>
      <c r="F182" s="74" t="str">
        <f>IFERROR(__xludf.DUMMYFUNCTION("""COMPUTED_VALUE"""),"CONECTOR RAM PARA EMBOLO Y VASTAGO ")</f>
        <v>CONECTOR RAM PARA EMBOLO Y VASTAGO </v>
      </c>
      <c r="G182" s="74"/>
      <c r="H182" s="74"/>
      <c r="I182" s="74" t="str">
        <f>IFERROR(__xludf.DUMMYFUNCTION("""COMPUTED_VALUE"""),"10011642")</f>
        <v>10011642</v>
      </c>
      <c r="J182" s="74"/>
      <c r="K182" s="74" t="str">
        <f>IFERROR(__xludf.DUMMYFUNCTION("""COMPUTED_VALUE"""),"Schwing")</f>
        <v>Schwing</v>
      </c>
      <c r="L182" s="74" t="str">
        <f>IFERROR(__xludf.DUMMYFUNCTION("""COMPUTED_VALUE"""),"Transmisión mecánica")</f>
        <v>Transmisión mecánica</v>
      </c>
      <c r="M182" s="74" t="str">
        <f>IFERROR(__xludf.DUMMYFUNCTION("""COMPUTED_VALUE"""),"Sin Asignar")</f>
        <v>Sin Asignar</v>
      </c>
      <c r="N182" s="87">
        <f>IFERROR(__xludf.DUMMYFUNCTION("""COMPUTED_VALUE"""),0.0)</f>
        <v>0</v>
      </c>
      <c r="O182" s="74"/>
      <c r="P182" s="74" t="str">
        <f>IFERROR(__xludf.DUMMYFUNCTION("""COMPUTED_VALUE"""),"To Re-purchase")</f>
        <v>To Re-purchase</v>
      </c>
      <c r="Q182" s="74"/>
      <c r="R182" s="74"/>
      <c r="S182" s="87">
        <f>IFERROR(__xludf.DUMMYFUNCTION("""COMPUTED_VALUE"""),0.0)</f>
        <v>0</v>
      </c>
      <c r="T182" s="87">
        <f>IFERROR(__xludf.DUMMYFUNCTION("""COMPUTED_VALUE"""),0.0)</f>
        <v>0</v>
      </c>
      <c r="U182" s="87">
        <f>IFERROR(__xludf.DUMMYFUNCTION("""COMPUTED_VALUE"""),0.0)</f>
        <v>0</v>
      </c>
      <c r="V182" s="87">
        <f>IFERROR(__xludf.DUMMYFUNCTION("""COMPUTED_VALUE"""),0.0)</f>
        <v>0</v>
      </c>
      <c r="W182" s="87">
        <f>IFERROR(__xludf.DUMMYFUNCTION("""COMPUTED_VALUE"""),0.0)</f>
        <v>0</v>
      </c>
      <c r="X182" s="88"/>
      <c r="Y182" s="74"/>
      <c r="Z182" s="74"/>
    </row>
    <row r="183">
      <c r="B183" s="74" t="str">
        <f>IFERROR(__xludf.DUMMYFUNCTION("""COMPUTED_VALUE"""),"1180")</f>
        <v>1180</v>
      </c>
      <c r="C183" s="74" t="str">
        <f>IFERROR(__xludf.DUMMYFUNCTION("""COMPUTED_VALUE"""),"75045891180")</f>
        <v>75045891180</v>
      </c>
      <c r="D183" s="74" t="str">
        <f>IFERROR(__xludf.DUMMYFUNCTION("""COMPUTED_VALUE"""),"\\MCA-S\mk\2_BM\0_BMat\08_PYM\Inventario\excel\Imagen de refacciones\Schwing\Anillo para cabezal de bronce 90_82.3X3")</f>
        <v>\\MCA-S\mk\2_BM\0_BMat\08_PYM\Inventario\excel\Imagen de refacciones\Schwing\Anillo para cabezal de bronce 90_82.3X3</v>
      </c>
      <c r="E183" s="74" t="str">
        <f>IFERROR(__xludf.DUMMYFUNCTION("""COMPUTED_VALUE"""),"RING 90/82.3X3")</f>
        <v>RING 90/82.3X3</v>
      </c>
      <c r="F183" s="74" t="str">
        <f>IFERROR(__xludf.DUMMYFUNCTION("""COMPUTED_VALUE"""),"ANILLO CABEZA DE BRONCE 90/82.3X3")</f>
        <v>ANILLO CABEZA DE BRONCE 90/82.3X3</v>
      </c>
      <c r="G183" s="74"/>
      <c r="H183" s="74"/>
      <c r="I183" s="74" t="str">
        <f>IFERROR(__xludf.DUMMYFUNCTION("""COMPUTED_VALUE"""),"10007991")</f>
        <v>10007991</v>
      </c>
      <c r="J183" s="74"/>
      <c r="K183" s="74" t="str">
        <f>IFERROR(__xludf.DUMMYFUNCTION("""COMPUTED_VALUE"""),"Schwing")</f>
        <v>Schwing</v>
      </c>
      <c r="L183" s="74" t="str">
        <f>IFERROR(__xludf.DUMMYFUNCTION("""COMPUTED_VALUE"""),"Sellos y retenes")</f>
        <v>Sellos y retenes</v>
      </c>
      <c r="M183" s="74" t="str">
        <f>IFERROR(__xludf.DUMMYFUNCTION("""COMPUTED_VALUE"""),"Sin Asignar")</f>
        <v>Sin Asignar</v>
      </c>
      <c r="N183" s="87">
        <f>IFERROR(__xludf.DUMMYFUNCTION("""COMPUTED_VALUE"""),0.0)</f>
        <v>0</v>
      </c>
      <c r="O183" s="74"/>
      <c r="P183" s="74" t="str">
        <f>IFERROR(__xludf.DUMMYFUNCTION("""COMPUTED_VALUE"""),"To Re-purchase")</f>
        <v>To Re-purchase</v>
      </c>
      <c r="Q183" s="74"/>
      <c r="R183" s="74"/>
      <c r="S183" s="87">
        <f>IFERROR(__xludf.DUMMYFUNCTION("""COMPUTED_VALUE"""),0.0)</f>
        <v>0</v>
      </c>
      <c r="T183" s="87">
        <f>IFERROR(__xludf.DUMMYFUNCTION("""COMPUTED_VALUE"""),0.0)</f>
        <v>0</v>
      </c>
      <c r="U183" s="87">
        <f>IFERROR(__xludf.DUMMYFUNCTION("""COMPUTED_VALUE"""),0.0)</f>
        <v>0</v>
      </c>
      <c r="V183" s="87">
        <f>IFERROR(__xludf.DUMMYFUNCTION("""COMPUTED_VALUE"""),0.0)</f>
        <v>0</v>
      </c>
      <c r="W183" s="87">
        <f>IFERROR(__xludf.DUMMYFUNCTION("""COMPUTED_VALUE"""),0.0)</f>
        <v>0</v>
      </c>
      <c r="X183" s="88"/>
      <c r="Y183" s="74"/>
      <c r="Z183" s="74"/>
    </row>
    <row r="184">
      <c r="B184" s="74" t="str">
        <f>IFERROR(__xludf.DUMMYFUNCTION("""COMPUTED_VALUE"""),"1181")</f>
        <v>1181</v>
      </c>
      <c r="C184" s="74" t="str">
        <f>IFERROR(__xludf.DUMMYFUNCTION("""COMPUTED_VALUE"""),"75045891181")</f>
        <v>75045891181</v>
      </c>
      <c r="D184" s="74" t="str">
        <f>IFERROR(__xludf.DUMMYFUNCTION("""COMPUTED_VALUE"""),"\\MCA-S\mk\2_BM\0_BMat\08_PYM\Inventario\excel\Imagen de refacciones\Schwing\Anillo para cabezal de bronce 130_119.2X4")</f>
        <v>\\MCA-S\mk\2_BM\0_BMat\08_PYM\Inventario\excel\Imagen de refacciones\Schwing\Anillo para cabezal de bronce 130_119.2X4</v>
      </c>
      <c r="E184" s="74" t="str">
        <f>IFERROR(__xludf.DUMMYFUNCTION("""COMPUTED_VALUE"""),"RING 130/119.2X4")</f>
        <v>RING 130/119.2X4</v>
      </c>
      <c r="F184" s="74" t="str">
        <f>IFERROR(__xludf.DUMMYFUNCTION("""COMPUTED_VALUE"""),"ANILLO CABEZA DE BRONCE 130/119.2X4")</f>
        <v>ANILLO CABEZA DE BRONCE 130/119.2X4</v>
      </c>
      <c r="G184" s="74"/>
      <c r="H184" s="74"/>
      <c r="I184" s="74" t="str">
        <f>IFERROR(__xludf.DUMMYFUNCTION("""COMPUTED_VALUE"""),"10007056")</f>
        <v>10007056</v>
      </c>
      <c r="J184" s="74"/>
      <c r="K184" s="74" t="str">
        <f>IFERROR(__xludf.DUMMYFUNCTION("""COMPUTED_VALUE"""),"Schwing")</f>
        <v>Schwing</v>
      </c>
      <c r="L184" s="74" t="str">
        <f>IFERROR(__xludf.DUMMYFUNCTION("""COMPUTED_VALUE"""),"Sellos y retenes")</f>
        <v>Sellos y retenes</v>
      </c>
      <c r="M184" s="74" t="str">
        <f>IFERROR(__xludf.DUMMYFUNCTION("""COMPUTED_VALUE"""),"Sin Asignar")</f>
        <v>Sin Asignar</v>
      </c>
      <c r="N184" s="87">
        <f>IFERROR(__xludf.DUMMYFUNCTION("""COMPUTED_VALUE"""),0.0)</f>
        <v>0</v>
      </c>
      <c r="O184" s="74"/>
      <c r="P184" s="74" t="str">
        <f>IFERROR(__xludf.DUMMYFUNCTION("""COMPUTED_VALUE"""),"To Re-purchase")</f>
        <v>To Re-purchase</v>
      </c>
      <c r="Q184" s="74"/>
      <c r="R184" s="74"/>
      <c r="S184" s="87">
        <f>IFERROR(__xludf.DUMMYFUNCTION("""COMPUTED_VALUE"""),0.0)</f>
        <v>0</v>
      </c>
      <c r="T184" s="87">
        <f>IFERROR(__xludf.DUMMYFUNCTION("""COMPUTED_VALUE"""),0.0)</f>
        <v>0</v>
      </c>
      <c r="U184" s="87">
        <f>IFERROR(__xludf.DUMMYFUNCTION("""COMPUTED_VALUE"""),0.0)</f>
        <v>0</v>
      </c>
      <c r="V184" s="87">
        <f>IFERROR(__xludf.DUMMYFUNCTION("""COMPUTED_VALUE"""),0.0)</f>
        <v>0</v>
      </c>
      <c r="W184" s="87">
        <f>IFERROR(__xludf.DUMMYFUNCTION("""COMPUTED_VALUE"""),0.0)</f>
        <v>0</v>
      </c>
      <c r="X184" s="88"/>
      <c r="Y184" s="74"/>
      <c r="Z184" s="74"/>
    </row>
    <row r="185">
      <c r="B185" s="74" t="str">
        <f>IFERROR(__xludf.DUMMYFUNCTION("""COMPUTED_VALUE"""),"1182")</f>
        <v>1182</v>
      </c>
      <c r="C185" s="74" t="str">
        <f>IFERROR(__xludf.DUMMYFUNCTION("""COMPUTED_VALUE"""),"75045891182")</f>
        <v>75045891182</v>
      </c>
      <c r="D185" s="74" t="str">
        <f>IFERROR(__xludf.DUMMYFUNCTION("""COMPUTED_VALUE"""),"\\MCA-S\mk\2_BM\0_BMat\08_PYM\Inventario\excel\Imagen de refacciones\Schwing\Anillo para cabezal de bronce 110_100.8X3")</f>
        <v>\\MCA-S\mk\2_BM\0_BMat\08_PYM\Inventario\excel\Imagen de refacciones\Schwing\Anillo para cabezal de bronce 110_100.8X3</v>
      </c>
      <c r="E185" s="74" t="str">
        <f>IFERROR(__xludf.DUMMYFUNCTION("""COMPUTED_VALUE"""),"RING 110/100.8X3")</f>
        <v>RING 110/100.8X3</v>
      </c>
      <c r="F185" s="74" t="str">
        <f>IFERROR(__xludf.DUMMYFUNCTION("""COMPUTED_VALUE"""),"ANILLO CABEZA DE BRONCE 110/100.8X3")</f>
        <v>ANILLO CABEZA DE BRONCE 110/100.8X3</v>
      </c>
      <c r="G185" s="74"/>
      <c r="H185" s="74"/>
      <c r="I185" s="74" t="str">
        <f>IFERROR(__xludf.DUMMYFUNCTION("""COMPUTED_VALUE"""),"10007990")</f>
        <v>10007990</v>
      </c>
      <c r="J185" s="74"/>
      <c r="K185" s="74" t="str">
        <f>IFERROR(__xludf.DUMMYFUNCTION("""COMPUTED_VALUE"""),"Schwing")</f>
        <v>Schwing</v>
      </c>
      <c r="L185" s="74" t="str">
        <f>IFERROR(__xludf.DUMMYFUNCTION("""COMPUTED_VALUE"""),"Sellos y retenes")</f>
        <v>Sellos y retenes</v>
      </c>
      <c r="M185" s="74" t="str">
        <f>IFERROR(__xludf.DUMMYFUNCTION("""COMPUTED_VALUE"""),"Sin Asignar")</f>
        <v>Sin Asignar</v>
      </c>
      <c r="N185" s="87">
        <f>IFERROR(__xludf.DUMMYFUNCTION("""COMPUTED_VALUE"""),0.0)</f>
        <v>0</v>
      </c>
      <c r="O185" s="74"/>
      <c r="P185" s="74" t="str">
        <f>IFERROR(__xludf.DUMMYFUNCTION("""COMPUTED_VALUE"""),"To Re-purchase")</f>
        <v>To Re-purchase</v>
      </c>
      <c r="Q185" s="74"/>
      <c r="R185" s="74"/>
      <c r="S185" s="87">
        <f>IFERROR(__xludf.DUMMYFUNCTION("""COMPUTED_VALUE"""),0.0)</f>
        <v>0</v>
      </c>
      <c r="T185" s="87">
        <f>IFERROR(__xludf.DUMMYFUNCTION("""COMPUTED_VALUE"""),0.0)</f>
        <v>0</v>
      </c>
      <c r="U185" s="87">
        <f>IFERROR(__xludf.DUMMYFUNCTION("""COMPUTED_VALUE"""),0.0)</f>
        <v>0</v>
      </c>
      <c r="V185" s="87">
        <f>IFERROR(__xludf.DUMMYFUNCTION("""COMPUTED_VALUE"""),0.0)</f>
        <v>0</v>
      </c>
      <c r="W185" s="87">
        <f>IFERROR(__xludf.DUMMYFUNCTION("""COMPUTED_VALUE"""),0.0)</f>
        <v>0</v>
      </c>
      <c r="X185" s="88"/>
      <c r="Y185" s="74"/>
      <c r="Z185" s="74"/>
    </row>
    <row r="186">
      <c r="B186" s="74" t="str">
        <f>IFERROR(__xludf.DUMMYFUNCTION("""COMPUTED_VALUE"""),"1183")</f>
        <v>1183</v>
      </c>
      <c r="C186" s="74" t="str">
        <f>IFERROR(__xludf.DUMMYFUNCTION("""COMPUTED_VALUE"""),"75045891183")</f>
        <v>75045891183</v>
      </c>
      <c r="D186" s="74" t="str">
        <f>IFERROR(__xludf.DUMMYFUNCTION("""COMPUTED_VALUE"""),"\\MCA-S\mk\2_BM\0_BMat\08_PYM\Inventario\excel\Imagen de refacciones\Schwing\Anillo para cabezal de bronce 100_91.4X3")</f>
        <v>\\MCA-S\mk\2_BM\0_BMat\08_PYM\Inventario\excel\Imagen de refacciones\Schwing\Anillo para cabezal de bronce 100_91.4X3</v>
      </c>
      <c r="E186" s="74" t="str">
        <f>IFERROR(__xludf.DUMMYFUNCTION("""COMPUTED_VALUE"""),"RING 100/91.4X3")</f>
        <v>RING 100/91.4X3</v>
      </c>
      <c r="F186" s="74" t="str">
        <f>IFERROR(__xludf.DUMMYFUNCTION("""COMPUTED_VALUE"""),"ANILLO CABEZA DE BRONCE 100/91.4X3")</f>
        <v>ANILLO CABEZA DE BRONCE 100/91.4X3</v>
      </c>
      <c r="G186" s="74"/>
      <c r="H186" s="74"/>
      <c r="I186" s="74" t="str">
        <f>IFERROR(__xludf.DUMMYFUNCTION("""COMPUTED_VALUE"""),"1004225")</f>
        <v>1004225</v>
      </c>
      <c r="J186" s="74"/>
      <c r="K186" s="74" t="str">
        <f>IFERROR(__xludf.DUMMYFUNCTION("""COMPUTED_VALUE"""),"Schwing")</f>
        <v>Schwing</v>
      </c>
      <c r="L186" s="74" t="str">
        <f>IFERROR(__xludf.DUMMYFUNCTION("""COMPUTED_VALUE"""),"Sellos y retenes")</f>
        <v>Sellos y retenes</v>
      </c>
      <c r="M186" s="74" t="str">
        <f>IFERROR(__xludf.DUMMYFUNCTION("""COMPUTED_VALUE"""),"Sin Asignar")</f>
        <v>Sin Asignar</v>
      </c>
      <c r="N186" s="87">
        <f>IFERROR(__xludf.DUMMYFUNCTION("""COMPUTED_VALUE"""),0.0)</f>
        <v>0</v>
      </c>
      <c r="O186" s="74"/>
      <c r="P186" s="74" t="str">
        <f>IFERROR(__xludf.DUMMYFUNCTION("""COMPUTED_VALUE"""),"No Available")</f>
        <v>No Available</v>
      </c>
      <c r="Q186" s="74"/>
      <c r="R186" s="74"/>
      <c r="S186" s="87">
        <f>IFERROR(__xludf.DUMMYFUNCTION("""COMPUTED_VALUE"""),0.0)</f>
        <v>0</v>
      </c>
      <c r="T186" s="87">
        <f>IFERROR(__xludf.DUMMYFUNCTION("""COMPUTED_VALUE"""),0.0)</f>
        <v>0</v>
      </c>
      <c r="U186" s="87">
        <f>IFERROR(__xludf.DUMMYFUNCTION("""COMPUTED_VALUE"""),0.0)</f>
        <v>0</v>
      </c>
      <c r="V186" s="87">
        <f>IFERROR(__xludf.DUMMYFUNCTION("""COMPUTED_VALUE"""),0.0)</f>
        <v>0</v>
      </c>
      <c r="W186" s="87">
        <f>IFERROR(__xludf.DUMMYFUNCTION("""COMPUTED_VALUE"""),0.0)</f>
        <v>0</v>
      </c>
      <c r="X186" s="88"/>
      <c r="Y186" s="74"/>
      <c r="Z186" s="74"/>
    </row>
    <row r="187">
      <c r="B187" s="74" t="str">
        <f>IFERROR(__xludf.DUMMYFUNCTION("""COMPUTED_VALUE"""),"1184")</f>
        <v>1184</v>
      </c>
      <c r="C187" s="74" t="str">
        <f>IFERROR(__xludf.DUMMYFUNCTION("""COMPUTED_VALUE"""),"75045891184")</f>
        <v>75045891184</v>
      </c>
      <c r="D187" s="74" t="str">
        <f>IFERROR(__xludf.DUMMYFUNCTION("""COMPUTED_VALUE"""),"\\MCA-S\mk\2_BM\0_BMat\08_PYM\Inventario\excel\Imagen de refacciones\Schwing\Anillo para cabezal de bronce 125_114.6X4")</f>
        <v>\\MCA-S\mk\2_BM\0_BMat\08_PYM\Inventario\excel\Imagen de refacciones\Schwing\Anillo para cabezal de bronce 125_114.6X4</v>
      </c>
      <c r="E187" s="74" t="str">
        <f>IFERROR(__xludf.DUMMYFUNCTION("""COMPUTED_VALUE"""),"RING 125/114.6X4")</f>
        <v>RING 125/114.6X4</v>
      </c>
      <c r="F187" s="74" t="str">
        <f>IFERROR(__xludf.DUMMYFUNCTION("""COMPUTED_VALUE"""),"ANILLO CABEZA DE BRONCE 125/114.6X4")</f>
        <v>ANILLO CABEZA DE BRONCE 125/114.6X4</v>
      </c>
      <c r="G187" s="74"/>
      <c r="H187" s="74"/>
      <c r="I187" s="74" t="str">
        <f>IFERROR(__xludf.DUMMYFUNCTION("""COMPUTED_VALUE"""),"10007054")</f>
        <v>10007054</v>
      </c>
      <c r="J187" s="74"/>
      <c r="K187" s="74" t="str">
        <f>IFERROR(__xludf.DUMMYFUNCTION("""COMPUTED_VALUE"""),"Schwing")</f>
        <v>Schwing</v>
      </c>
      <c r="L187" s="74" t="str">
        <f>IFERROR(__xludf.DUMMYFUNCTION("""COMPUTED_VALUE"""),"Sellos y retenes")</f>
        <v>Sellos y retenes</v>
      </c>
      <c r="M187" s="74" t="str">
        <f>IFERROR(__xludf.DUMMYFUNCTION("""COMPUTED_VALUE"""),"Sin Asignar")</f>
        <v>Sin Asignar</v>
      </c>
      <c r="N187" s="87">
        <f>IFERROR(__xludf.DUMMYFUNCTION("""COMPUTED_VALUE"""),0.0)</f>
        <v>0</v>
      </c>
      <c r="O187" s="74"/>
      <c r="P187" s="74" t="str">
        <f>IFERROR(__xludf.DUMMYFUNCTION("""COMPUTED_VALUE"""),"To Re-purchase")</f>
        <v>To Re-purchase</v>
      </c>
      <c r="Q187" s="74"/>
      <c r="R187" s="74"/>
      <c r="S187" s="87">
        <f>IFERROR(__xludf.DUMMYFUNCTION("""COMPUTED_VALUE"""),0.0)</f>
        <v>0</v>
      </c>
      <c r="T187" s="87">
        <f>IFERROR(__xludf.DUMMYFUNCTION("""COMPUTED_VALUE"""),0.0)</f>
        <v>0</v>
      </c>
      <c r="U187" s="87">
        <f>IFERROR(__xludf.DUMMYFUNCTION("""COMPUTED_VALUE"""),0.0)</f>
        <v>0</v>
      </c>
      <c r="V187" s="87">
        <f>IFERROR(__xludf.DUMMYFUNCTION("""COMPUTED_VALUE"""),0.0)</f>
        <v>0</v>
      </c>
      <c r="W187" s="87">
        <f>IFERROR(__xludf.DUMMYFUNCTION("""COMPUTED_VALUE"""),0.0)</f>
        <v>0</v>
      </c>
      <c r="X187" s="88"/>
      <c r="Y187" s="74"/>
      <c r="Z187" s="74"/>
    </row>
    <row r="188">
      <c r="B188" s="74" t="str">
        <f>IFERROR(__xludf.DUMMYFUNCTION("""COMPUTED_VALUE"""),"1185")</f>
        <v>1185</v>
      </c>
      <c r="C188" s="74"/>
      <c r="D188" s="74" t="str">
        <f>IFERROR(__xludf.DUMMYFUNCTION("""COMPUTED_VALUE"""),"\\MCA-S\mk\2_BM\0_BMat\08_PYM\Inventario\excel\Imagen de refacciones\Schwing\émbolo DN180 con pivote")</f>
        <v>\\MCA-S\mk\2_BM\0_BMat\08_PYM\Inventario\excel\Imagen de refacciones\Schwing\émbolo DN180 con pivote</v>
      </c>
      <c r="E188" s="74"/>
      <c r="F188" s="74" t="str">
        <f>IFERROR(__xludf.DUMMYFUNCTION("""COMPUTED_VALUE"""),"ÉMBOLO CON BASE DN180 PARA BOMBA DE HORMIGON")</f>
        <v>ÉMBOLO CON BASE DN180 PARA BOMBA DE HORMIGON</v>
      </c>
      <c r="G188" s="74"/>
      <c r="H188" s="74" t="str">
        <f>IFERROR(__xludf.DUMMYFUNCTION("""COMPUTED_VALUE"""),"ÉMBOLO CON BASE DN180 PARA BOMBA DE HORMIGON")</f>
        <v>ÉMBOLO CON BASE DN180 PARA BOMBA DE HORMIGON</v>
      </c>
      <c r="I188" s="74" t="str">
        <f>IFERROR(__xludf.DUMMYFUNCTION("""COMPUTED_VALUE"""),"1007943")</f>
        <v>1007943</v>
      </c>
      <c r="J188" s="74"/>
      <c r="K188" s="74" t="str">
        <f>IFERROR(__xludf.DUMMYFUNCTION("""COMPUTED_VALUE"""),"Schwing")</f>
        <v>Schwing</v>
      </c>
      <c r="L188" s="74" t="str">
        <f>IFERROR(__xludf.DUMMYFUNCTION("""COMPUTED_VALUE"""),"Sistema de bombeo de concreto")</f>
        <v>Sistema de bombeo de concreto</v>
      </c>
      <c r="M188" s="74" t="str">
        <f>IFERROR(__xludf.DUMMYFUNCTION("""COMPUTED_VALUE"""),"Sin Asignar")</f>
        <v>Sin Asignar</v>
      </c>
      <c r="N188" s="87">
        <f>IFERROR(__xludf.DUMMYFUNCTION("""COMPUTED_VALUE"""),0.0)</f>
        <v>0</v>
      </c>
      <c r="O188" s="74"/>
      <c r="P188" s="74" t="str">
        <f>IFERROR(__xludf.DUMMYFUNCTION("""COMPUTED_VALUE"""),"No Available")</f>
        <v>No Available</v>
      </c>
      <c r="Q188" s="74"/>
      <c r="R188" s="74"/>
      <c r="S188" s="87">
        <f>IFERROR(__xludf.DUMMYFUNCTION("""COMPUTED_VALUE"""),0.0)</f>
        <v>0</v>
      </c>
      <c r="T188" s="87">
        <f>IFERROR(__xludf.DUMMYFUNCTION("""COMPUTED_VALUE"""),0.0)</f>
        <v>0</v>
      </c>
      <c r="U188" s="87">
        <f>IFERROR(__xludf.DUMMYFUNCTION("""COMPUTED_VALUE"""),0.0)</f>
        <v>0</v>
      </c>
      <c r="V188" s="87">
        <f>IFERROR(__xludf.DUMMYFUNCTION("""COMPUTED_VALUE"""),0.0)</f>
        <v>0</v>
      </c>
      <c r="W188" s="87">
        <f>IFERROR(__xludf.DUMMYFUNCTION("""COMPUTED_VALUE"""),0.0)</f>
        <v>0</v>
      </c>
      <c r="X188" s="88"/>
      <c r="Y188" s="74"/>
      <c r="Z188" s="74"/>
    </row>
    <row r="189">
      <c r="B189" s="74" t="str">
        <f>IFERROR(__xludf.DUMMYFUNCTION("""COMPUTED_VALUE"""),"1186")</f>
        <v>1186</v>
      </c>
      <c r="C189" s="74" t="str">
        <f>IFERROR(__xludf.DUMMYFUNCTION("""COMPUTED_VALUE"""),"75045891186")</f>
        <v>75045891186</v>
      </c>
      <c r="D189" s="74" t="str">
        <f>IFERROR(__xludf.DUMMYFUNCTION("""COMPUTED_VALUE"""),"\\MCA-S\mk\2_BM\0_BMat\08_PYM\Inventario\excel\Imagen de refacciones\Schwing\Empaques tipo o-ring para cañon 220X3 NBR 70 para DN200")</f>
        <v>\\MCA-S\mk\2_BM\0_BMat\08_PYM\Inventario\excel\Imagen de refacciones\Schwing\Empaques tipo o-ring para cañon 220X3 NBR 70 para DN200</v>
      </c>
      <c r="E189" s="74" t="str">
        <f>IFERROR(__xludf.DUMMYFUNCTION("""COMPUTED_VALUE"""),"O-RING 220x3 NBR 70")</f>
        <v>O-RING 220x3 NBR 70</v>
      </c>
      <c r="F189" s="74" t="str">
        <f>IFERROR(__xludf.DUMMYFUNCTION("""COMPUTED_VALUE"""),"EMPAQUE TIPO O-RING CAÑON 220X3 NBR 70 PARA DN200")</f>
        <v>EMPAQUE TIPO O-RING CAÑON 220X3 NBR 70 PARA DN200</v>
      </c>
      <c r="G189" s="74"/>
      <c r="H189" s="74"/>
      <c r="I189" s="74" t="str">
        <f>IFERROR(__xludf.DUMMYFUNCTION("""COMPUTED_VALUE"""),"10000630")</f>
        <v>10000630</v>
      </c>
      <c r="J189" s="74"/>
      <c r="K189" s="74" t="str">
        <f>IFERROR(__xludf.DUMMYFUNCTION("""COMPUTED_VALUE"""),"Schwing")</f>
        <v>Schwing</v>
      </c>
      <c r="L189" s="74" t="str">
        <f>IFERROR(__xludf.DUMMYFUNCTION("""COMPUTED_VALUE"""),"Sellos y retenes")</f>
        <v>Sellos y retenes</v>
      </c>
      <c r="M189" s="74" t="str">
        <f>IFERROR(__xludf.DUMMYFUNCTION("""COMPUTED_VALUE"""),"Sin Asignar")</f>
        <v>Sin Asignar</v>
      </c>
      <c r="N189" s="87">
        <f>IFERROR(__xludf.DUMMYFUNCTION("""COMPUTED_VALUE"""),0.0)</f>
        <v>0</v>
      </c>
      <c r="O189" s="74"/>
      <c r="P189" s="74" t="str">
        <f>IFERROR(__xludf.DUMMYFUNCTION("""COMPUTED_VALUE"""),"To Re-purchase")</f>
        <v>To Re-purchase</v>
      </c>
      <c r="Q189" s="74"/>
      <c r="R189" s="74"/>
      <c r="S189" s="87">
        <f>IFERROR(__xludf.DUMMYFUNCTION("""COMPUTED_VALUE"""),0.0)</f>
        <v>0</v>
      </c>
      <c r="T189" s="87">
        <f>IFERROR(__xludf.DUMMYFUNCTION("""COMPUTED_VALUE"""),0.0)</f>
        <v>0</v>
      </c>
      <c r="U189" s="87">
        <f>IFERROR(__xludf.DUMMYFUNCTION("""COMPUTED_VALUE"""),0.0)</f>
        <v>0</v>
      </c>
      <c r="V189" s="87">
        <f>IFERROR(__xludf.DUMMYFUNCTION("""COMPUTED_VALUE"""),0.0)</f>
        <v>0</v>
      </c>
      <c r="W189" s="87">
        <f>IFERROR(__xludf.DUMMYFUNCTION("""COMPUTED_VALUE"""),0.0)</f>
        <v>0</v>
      </c>
      <c r="X189" s="88"/>
      <c r="Y189" s="74"/>
      <c r="Z189" s="74"/>
    </row>
    <row r="190">
      <c r="B190" s="74" t="str">
        <f>IFERROR(__xludf.DUMMYFUNCTION("""COMPUTED_VALUE"""),"1187")</f>
        <v>1187</v>
      </c>
      <c r="C190" s="74" t="str">
        <f>IFERROR(__xludf.DUMMYFUNCTION("""COMPUTED_VALUE"""),"75045891187")</f>
        <v>75045891187</v>
      </c>
      <c r="D190" s="74" t="str">
        <f>IFERROR(__xludf.DUMMYFUNCTION("""COMPUTED_VALUE"""),"\\MCA-S\mk\2_BM\0_BMat\08_PYM\Inventario\excel\Imagen de refacciones\Schwing\Empaques tipo o-ring para cañon 207X3 NBR 70 para DN200")</f>
        <v>\\MCA-S\mk\2_BM\0_BMat\08_PYM\Inventario\excel\Imagen de refacciones\Schwing\Empaques tipo o-ring para cañon 207X3 NBR 70 para DN200</v>
      </c>
      <c r="E190" s="74" t="str">
        <f>IFERROR(__xludf.DUMMYFUNCTION("""COMPUTED_VALUE"""),"O-RING 207x3 NBR 70")</f>
        <v>O-RING 207x3 NBR 70</v>
      </c>
      <c r="F190" s="74" t="str">
        <f>IFERROR(__xludf.DUMMYFUNCTION("""COMPUTED_VALUE"""),"EMPAQUE TIPO O-RING CAÑON 207X3 NBR 70 PARA DN200")</f>
        <v>EMPAQUE TIPO O-RING CAÑON 207X3 NBR 70 PARA DN200</v>
      </c>
      <c r="G190" s="74"/>
      <c r="H190" s="74"/>
      <c r="I190" s="74" t="str">
        <f>IFERROR(__xludf.DUMMYFUNCTION("""COMPUTED_VALUE"""),"10014002")</f>
        <v>10014002</v>
      </c>
      <c r="J190" s="74"/>
      <c r="K190" s="74" t="str">
        <f>IFERROR(__xludf.DUMMYFUNCTION("""COMPUTED_VALUE"""),"Schwing")</f>
        <v>Schwing</v>
      </c>
      <c r="L190" s="74" t="str">
        <f>IFERROR(__xludf.DUMMYFUNCTION("""COMPUTED_VALUE"""),"Sellos y retenes")</f>
        <v>Sellos y retenes</v>
      </c>
      <c r="M190" s="74" t="str">
        <f>IFERROR(__xludf.DUMMYFUNCTION("""COMPUTED_VALUE"""),"Sin Asignar")</f>
        <v>Sin Asignar</v>
      </c>
      <c r="N190" s="87">
        <f>IFERROR(__xludf.DUMMYFUNCTION("""COMPUTED_VALUE"""),0.0)</f>
        <v>0</v>
      </c>
      <c r="O190" s="74"/>
      <c r="P190" s="74" t="str">
        <f>IFERROR(__xludf.DUMMYFUNCTION("""COMPUTED_VALUE"""),"To Re-purchase")</f>
        <v>To Re-purchase</v>
      </c>
      <c r="Q190" s="74"/>
      <c r="R190" s="74"/>
      <c r="S190" s="87">
        <f>IFERROR(__xludf.DUMMYFUNCTION("""COMPUTED_VALUE"""),0.0)</f>
        <v>0</v>
      </c>
      <c r="T190" s="87">
        <f>IFERROR(__xludf.DUMMYFUNCTION("""COMPUTED_VALUE"""),0.0)</f>
        <v>0</v>
      </c>
      <c r="U190" s="87">
        <f>IFERROR(__xludf.DUMMYFUNCTION("""COMPUTED_VALUE"""),0.0)</f>
        <v>0</v>
      </c>
      <c r="V190" s="87">
        <f>IFERROR(__xludf.DUMMYFUNCTION("""COMPUTED_VALUE"""),0.0)</f>
        <v>0</v>
      </c>
      <c r="W190" s="87">
        <f>IFERROR(__xludf.DUMMYFUNCTION("""COMPUTED_VALUE"""),0.0)</f>
        <v>0</v>
      </c>
      <c r="X190" s="88"/>
      <c r="Y190" s="74"/>
      <c r="Z190" s="74"/>
    </row>
    <row r="191">
      <c r="B191" s="74" t="str">
        <f>IFERROR(__xludf.DUMMYFUNCTION("""COMPUTED_VALUE"""),"1188")</f>
        <v>1188</v>
      </c>
      <c r="C191" s="74" t="str">
        <f>IFERROR(__xludf.DUMMYFUNCTION("""COMPUTED_VALUE"""),"75045891188")</f>
        <v>75045891188</v>
      </c>
      <c r="D191" s="74" t="str">
        <f>IFERROR(__xludf.DUMMYFUNCTION("""COMPUTED_VALUE"""),"\\MCA-S\mk\2_BM\0_BMat\08_PYM\Inventario\excel\Imagen de refacciones\Schwing\Empaques tipo o-ring para cañon 270X3 NBR  70 para DN230")</f>
        <v>\\MCA-S\mk\2_BM\0_BMat\08_PYM\Inventario\excel\Imagen de refacciones\Schwing\Empaques tipo o-ring para cañon 270X3 NBR  70 para DN230</v>
      </c>
      <c r="E191" s="74" t="str">
        <f>IFERROR(__xludf.DUMMYFUNCTION("""COMPUTED_VALUE"""),"ORING 270 x 3 NBR 70")</f>
        <v>ORING 270 x 3 NBR 70</v>
      </c>
      <c r="F191" s="74" t="str">
        <f>IFERROR(__xludf.DUMMYFUNCTION("""COMPUTED_VALUE"""),"EMPAQUE TIPO O-RING CAÑON 270X3 NBR  70 PARA DN230")</f>
        <v>EMPAQUE TIPO O-RING CAÑON 270X3 NBR  70 PARA DN230</v>
      </c>
      <c r="G191" s="74"/>
      <c r="H191" s="74"/>
      <c r="I191" s="74" t="str">
        <f>IFERROR(__xludf.DUMMYFUNCTION("""COMPUTED_VALUE"""),"10000666")</f>
        <v>10000666</v>
      </c>
      <c r="J191" s="74"/>
      <c r="K191" s="74" t="str">
        <f>IFERROR(__xludf.DUMMYFUNCTION("""COMPUTED_VALUE"""),"Schwing")</f>
        <v>Schwing</v>
      </c>
      <c r="L191" s="74" t="str">
        <f>IFERROR(__xludf.DUMMYFUNCTION("""COMPUTED_VALUE"""),"Sellos y retenes")</f>
        <v>Sellos y retenes</v>
      </c>
      <c r="M191" s="74" t="str">
        <f>IFERROR(__xludf.DUMMYFUNCTION("""COMPUTED_VALUE"""),"Sin Asignar")</f>
        <v>Sin Asignar</v>
      </c>
      <c r="N191" s="87">
        <f>IFERROR(__xludf.DUMMYFUNCTION("""COMPUTED_VALUE"""),0.0)</f>
        <v>0</v>
      </c>
      <c r="O191" s="74"/>
      <c r="P191" s="74" t="str">
        <f>IFERROR(__xludf.DUMMYFUNCTION("""COMPUTED_VALUE"""),"To Re-purchase")</f>
        <v>To Re-purchase</v>
      </c>
      <c r="Q191" s="74"/>
      <c r="R191" s="74"/>
      <c r="S191" s="87">
        <f>IFERROR(__xludf.DUMMYFUNCTION("""COMPUTED_VALUE"""),0.0)</f>
        <v>0</v>
      </c>
      <c r="T191" s="87">
        <f>IFERROR(__xludf.DUMMYFUNCTION("""COMPUTED_VALUE"""),0.0)</f>
        <v>0</v>
      </c>
      <c r="U191" s="87">
        <f>IFERROR(__xludf.DUMMYFUNCTION("""COMPUTED_VALUE"""),0.0)</f>
        <v>0</v>
      </c>
      <c r="V191" s="87">
        <f>IFERROR(__xludf.DUMMYFUNCTION("""COMPUTED_VALUE"""),0.0)</f>
        <v>0</v>
      </c>
      <c r="W191" s="87">
        <f>IFERROR(__xludf.DUMMYFUNCTION("""COMPUTED_VALUE"""),0.0)</f>
        <v>0</v>
      </c>
      <c r="X191" s="88"/>
      <c r="Y191" s="74"/>
      <c r="Z191" s="74"/>
    </row>
    <row r="192">
      <c r="B192" s="74" t="str">
        <f>IFERROR(__xludf.DUMMYFUNCTION("""COMPUTED_VALUE"""),"1189")</f>
        <v>1189</v>
      </c>
      <c r="C192" s="74" t="str">
        <f>IFERROR(__xludf.DUMMYFUNCTION("""COMPUTED_VALUE"""),"75045891189")</f>
        <v>75045891189</v>
      </c>
      <c r="D192" s="74" t="str">
        <f>IFERROR(__xludf.DUMMYFUNCTION("""COMPUTED_VALUE"""),"\\MCA-S\mk\2_BM\0_BMat\08_PYM\Inventario\excel\Imagen de refacciones\Schwing\Empaques tipo o-ring para cañon 240X3 NBR 70 para DN230")</f>
        <v>\\MCA-S\mk\2_BM\0_BMat\08_PYM\Inventario\excel\Imagen de refacciones\Schwing\Empaques tipo o-ring para cañon 240X3 NBR 70 para DN230</v>
      </c>
      <c r="E192" s="74" t="str">
        <f>IFERROR(__xludf.DUMMYFUNCTION("""COMPUTED_VALUE"""),"ORING 240 x 3 NBR 70")</f>
        <v>ORING 240 x 3 NBR 70</v>
      </c>
      <c r="F192" s="74" t="str">
        <f>IFERROR(__xludf.DUMMYFUNCTION("""COMPUTED_VALUE"""),"EMPAQUE TIPO O-RING CAÑON 240X3 NBR 70 PARA DN230")</f>
        <v>EMPAQUE TIPO O-RING CAÑON 240X3 NBR 70 PARA DN230</v>
      </c>
      <c r="G192" s="74"/>
      <c r="H192" s="74"/>
      <c r="I192" s="74" t="str">
        <f>IFERROR(__xludf.DUMMYFUNCTION("""COMPUTED_VALUE"""),"10000650")</f>
        <v>10000650</v>
      </c>
      <c r="J192" s="74"/>
      <c r="K192" s="74" t="str">
        <f>IFERROR(__xludf.DUMMYFUNCTION("""COMPUTED_VALUE"""),"Schwing")</f>
        <v>Schwing</v>
      </c>
      <c r="L192" s="74" t="str">
        <f>IFERROR(__xludf.DUMMYFUNCTION("""COMPUTED_VALUE"""),"Sellos y retenes")</f>
        <v>Sellos y retenes</v>
      </c>
      <c r="M192" s="74" t="str">
        <f>IFERROR(__xludf.DUMMYFUNCTION("""COMPUTED_VALUE"""),"Sin Asignar")</f>
        <v>Sin Asignar</v>
      </c>
      <c r="N192" s="87">
        <f>IFERROR(__xludf.DUMMYFUNCTION("""COMPUTED_VALUE"""),0.0)</f>
        <v>0</v>
      </c>
      <c r="O192" s="74"/>
      <c r="P192" s="74" t="str">
        <f>IFERROR(__xludf.DUMMYFUNCTION("""COMPUTED_VALUE"""),"To Re-purchase")</f>
        <v>To Re-purchase</v>
      </c>
      <c r="Q192" s="74"/>
      <c r="R192" s="74"/>
      <c r="S192" s="87">
        <f>IFERROR(__xludf.DUMMYFUNCTION("""COMPUTED_VALUE"""),0.0)</f>
        <v>0</v>
      </c>
      <c r="T192" s="87">
        <f>IFERROR(__xludf.DUMMYFUNCTION("""COMPUTED_VALUE"""),0.0)</f>
        <v>0</v>
      </c>
      <c r="U192" s="87">
        <f>IFERROR(__xludf.DUMMYFUNCTION("""COMPUTED_VALUE"""),0.0)</f>
        <v>0</v>
      </c>
      <c r="V192" s="87">
        <f>IFERROR(__xludf.DUMMYFUNCTION("""COMPUTED_VALUE"""),0.0)</f>
        <v>0</v>
      </c>
      <c r="W192" s="87">
        <f>IFERROR(__xludf.DUMMYFUNCTION("""COMPUTED_VALUE"""),0.0)</f>
        <v>0</v>
      </c>
      <c r="X192" s="88"/>
      <c r="Y192" s="74"/>
      <c r="Z192" s="74"/>
    </row>
    <row r="193">
      <c r="B193" s="74" t="str">
        <f>IFERROR(__xludf.DUMMYFUNCTION("""COMPUTED_VALUE"""),"1190")</f>
        <v>1190</v>
      </c>
      <c r="C193" s="74" t="str">
        <f>IFERROR(__xludf.DUMMYFUNCTION("""COMPUTED_VALUE"""),"75045891190")</f>
        <v>75045891190</v>
      </c>
      <c r="D193" s="74" t="str">
        <f>IFERROR(__xludf.DUMMYFUNCTION("""COMPUTED_VALUE"""),"\\MCA-S\mk\2_BM\0_BMat\08_PYM\Inventario\excel\Imagen de refacciones\Schwing\Batería para equipo brasileño")</f>
        <v>\\MCA-S\mk\2_BM\0_BMat\08_PYM\Inventario\excel\Imagen de refacciones\Schwing\Batería para equipo brasileño</v>
      </c>
      <c r="E193" s="74" t="str">
        <f>IFERROR(__xludf.DUMMYFUNCTION("""COMPUTED_VALUE"""),"BATTERY 7,2V")</f>
        <v>BATTERY 7,2V</v>
      </c>
      <c r="F193" s="74" t="str">
        <f>IFERROR(__xludf.DUMMYFUNCTION("""COMPUTED_VALUE"""),"BATERIA EQUIPO BRASILEÑO")</f>
        <v>BATERIA EQUIPO BRASILEÑO</v>
      </c>
      <c r="G193" s="74"/>
      <c r="H193" s="74"/>
      <c r="I193" s="74" t="str">
        <f>IFERROR(__xludf.DUMMYFUNCTION("""COMPUTED_VALUE"""),"10191556")</f>
        <v>10191556</v>
      </c>
      <c r="J193" s="74"/>
      <c r="K193" s="74" t="str">
        <f>IFERROR(__xludf.DUMMYFUNCTION("""COMPUTED_VALUE"""),"Schwing")</f>
        <v>Schwing</v>
      </c>
      <c r="L193" s="74" t="str">
        <f>IFERROR(__xludf.DUMMYFUNCTION("""COMPUTED_VALUE"""),"Componentes eléctricos")</f>
        <v>Componentes eléctricos</v>
      </c>
      <c r="M193" s="74" t="str">
        <f>IFERROR(__xludf.DUMMYFUNCTION("""COMPUTED_VALUE"""),"Sin Asignar")</f>
        <v>Sin Asignar</v>
      </c>
      <c r="N193" s="87">
        <f>IFERROR(__xludf.DUMMYFUNCTION("""COMPUTED_VALUE"""),0.0)</f>
        <v>0</v>
      </c>
      <c r="O193" s="74"/>
      <c r="P193" s="74" t="str">
        <f>IFERROR(__xludf.DUMMYFUNCTION("""COMPUTED_VALUE"""),"To Re-purchase")</f>
        <v>To Re-purchase</v>
      </c>
      <c r="Q193" s="74"/>
      <c r="R193" s="74"/>
      <c r="S193" s="87">
        <f>IFERROR(__xludf.DUMMYFUNCTION("""COMPUTED_VALUE"""),0.0)</f>
        <v>0</v>
      </c>
      <c r="T193" s="87">
        <f>IFERROR(__xludf.DUMMYFUNCTION("""COMPUTED_VALUE"""),0.0)</f>
        <v>0</v>
      </c>
      <c r="U193" s="87">
        <f>IFERROR(__xludf.DUMMYFUNCTION("""COMPUTED_VALUE"""),0.0)</f>
        <v>0</v>
      </c>
      <c r="V193" s="87">
        <f>IFERROR(__xludf.DUMMYFUNCTION("""COMPUTED_VALUE"""),0.0)</f>
        <v>0</v>
      </c>
      <c r="W193" s="87">
        <f>IFERROR(__xludf.DUMMYFUNCTION("""COMPUTED_VALUE"""),0.0)</f>
        <v>0</v>
      </c>
      <c r="X193" s="88"/>
      <c r="Y193" s="74"/>
      <c r="Z193" s="74"/>
    </row>
    <row r="194">
      <c r="B194" s="74" t="str">
        <f>IFERROR(__xludf.DUMMYFUNCTION("""COMPUTED_VALUE"""),"1191")</f>
        <v>1191</v>
      </c>
      <c r="C194" s="74" t="str">
        <f>IFERROR(__xludf.DUMMYFUNCTION("""COMPUTED_VALUE"""),"75045891191")</f>
        <v>75045891191</v>
      </c>
      <c r="D194" s="74" t="str">
        <f>IFERROR(__xludf.DUMMYFUNCTION("""COMPUTED_VALUE"""),"\\MCA-S\mk\2_BM\0_BMat\08_PYM\Inventario\excel\Imagen de refacciones\Schwing\Caja de transferencia completa con bombas hidráulicas reconstruidas")</f>
        <v>\\MCA-S\mk\2_BM\0_BMat\08_PYM\Inventario\excel\Imagen de refacciones\Schwing\Caja de transferencia completa con bombas hidráulicas reconstruidas</v>
      </c>
      <c r="E194" s="74" t="str">
        <f>IFERROR(__xludf.DUMMYFUNCTION("""COMPUTED_VALUE"""),"GEARBOX G61")</f>
        <v>GEARBOX G61</v>
      </c>
      <c r="F194" s="74" t="str">
        <f>IFERROR(__xludf.DUMMYFUNCTION("""COMPUTED_VALUE"""),"CAJA DE TRANSFERENCIA COMPLETA CON BOMBA HIDRAULICA RECOSTRUIDA")</f>
        <v>CAJA DE TRANSFERENCIA COMPLETA CON BOMBA HIDRAULICA RECOSTRUIDA</v>
      </c>
      <c r="G194" s="74"/>
      <c r="H194" s="74"/>
      <c r="I194" s="74" t="str">
        <f>IFERROR(__xludf.DUMMYFUNCTION("""COMPUTED_VALUE"""),"280914000")</f>
        <v>280914000</v>
      </c>
      <c r="J194" s="74"/>
      <c r="K194" s="74" t="str">
        <f>IFERROR(__xludf.DUMMYFUNCTION("""COMPUTED_VALUE"""),"Schwing")</f>
        <v>Schwing</v>
      </c>
      <c r="L194" s="74" t="str">
        <f>IFERROR(__xludf.DUMMYFUNCTION("""COMPUTED_VALUE"""),"Componentes hidráulicos")</f>
        <v>Componentes hidráulicos</v>
      </c>
      <c r="M194" s="74" t="str">
        <f>IFERROR(__xludf.DUMMYFUNCTION("""COMPUTED_VALUE"""),"Sin Asignar")</f>
        <v>Sin Asignar</v>
      </c>
      <c r="N194" s="87">
        <f>IFERROR(__xludf.DUMMYFUNCTION("""COMPUTED_VALUE"""),0.0)</f>
        <v>0</v>
      </c>
      <c r="O194" s="74"/>
      <c r="P194" s="74" t="str">
        <f>IFERROR(__xludf.DUMMYFUNCTION("""COMPUTED_VALUE"""),"To Re-purchase")</f>
        <v>To Re-purchase</v>
      </c>
      <c r="Q194" s="74"/>
      <c r="R194" s="74"/>
      <c r="S194" s="87">
        <f>IFERROR(__xludf.DUMMYFUNCTION("""COMPUTED_VALUE"""),0.0)</f>
        <v>0</v>
      </c>
      <c r="T194" s="87">
        <f>IFERROR(__xludf.DUMMYFUNCTION("""COMPUTED_VALUE"""),0.0)</f>
        <v>0</v>
      </c>
      <c r="U194" s="87">
        <f>IFERROR(__xludf.DUMMYFUNCTION("""COMPUTED_VALUE"""),0.0)</f>
        <v>0</v>
      </c>
      <c r="V194" s="87">
        <f>IFERROR(__xludf.DUMMYFUNCTION("""COMPUTED_VALUE"""),0.0)</f>
        <v>0</v>
      </c>
      <c r="W194" s="87">
        <f>IFERROR(__xludf.DUMMYFUNCTION("""COMPUTED_VALUE"""),0.0)</f>
        <v>0</v>
      </c>
      <c r="X194" s="88"/>
      <c r="Y194" s="74"/>
      <c r="Z194" s="74"/>
    </row>
    <row r="195">
      <c r="B195" s="74" t="str">
        <f>IFERROR(__xludf.DUMMYFUNCTION("""COMPUTED_VALUE"""),"1192")</f>
        <v>1192</v>
      </c>
      <c r="C195" s="74" t="str">
        <f>IFERROR(__xludf.DUMMYFUNCTION("""COMPUTED_VALUE"""),"75045891192")</f>
        <v>75045891192</v>
      </c>
      <c r="D195" s="74" t="str">
        <f>IFERROR(__xludf.DUMMYFUNCTION("""COMPUTED_VALUE"""),"\\MCA-S\mk\2_BM\0_BMat\08_PYM\Inventario\excel\Imagen de refacciones\Schwing\Barra 4193 para caja de transferencia")</f>
        <v>\\MCA-S\mk\2_BM\0_BMat\08_PYM\Inventario\excel\Imagen de refacciones\Schwing\Barra 4193 para caja de transferencia</v>
      </c>
      <c r="E195" s="74" t="str">
        <f>IFERROR(__xludf.DUMMYFUNCTION("""COMPUTED_VALUE"""),"SHAFT FOR TRANSFER BOX 4193")</f>
        <v>SHAFT FOR TRANSFER BOX 4193</v>
      </c>
      <c r="F195" s="74" t="str">
        <f>IFERROR(__xludf.DUMMYFUNCTION("""COMPUTED_VALUE"""),"BARRA 4193 CAJA TRANSFERENCIA")</f>
        <v>BARRA 4193 CAJA TRANSFERENCIA</v>
      </c>
      <c r="G195" s="74"/>
      <c r="H195" s="74"/>
      <c r="I195" s="74" t="str">
        <f>IFERROR(__xludf.DUMMYFUNCTION("""COMPUTED_VALUE"""),"10013033")</f>
        <v>10013033</v>
      </c>
      <c r="J195" s="74"/>
      <c r="K195" s="74" t="str">
        <f>IFERROR(__xludf.DUMMYFUNCTION("""COMPUTED_VALUE"""),"Schwing")</f>
        <v>Schwing</v>
      </c>
      <c r="L195" s="74" t="str">
        <f>IFERROR(__xludf.DUMMYFUNCTION("""COMPUTED_VALUE"""),"Transmisión mecánica")</f>
        <v>Transmisión mecánica</v>
      </c>
      <c r="M195" s="74" t="str">
        <f>IFERROR(__xludf.DUMMYFUNCTION("""COMPUTED_VALUE"""),"Sin Asignar")</f>
        <v>Sin Asignar</v>
      </c>
      <c r="N195" s="87">
        <f>IFERROR(__xludf.DUMMYFUNCTION("""COMPUTED_VALUE"""),0.0)</f>
        <v>0</v>
      </c>
      <c r="O195" s="74"/>
      <c r="P195" s="74" t="str">
        <f>IFERROR(__xludf.DUMMYFUNCTION("""COMPUTED_VALUE"""),"To Re-purchase")</f>
        <v>To Re-purchase</v>
      </c>
      <c r="Q195" s="74"/>
      <c r="R195" s="74"/>
      <c r="S195" s="87">
        <f>IFERROR(__xludf.DUMMYFUNCTION("""COMPUTED_VALUE"""),0.0)</f>
        <v>0</v>
      </c>
      <c r="T195" s="87">
        <f>IFERROR(__xludf.DUMMYFUNCTION("""COMPUTED_VALUE"""),0.0)</f>
        <v>0</v>
      </c>
      <c r="U195" s="87">
        <f>IFERROR(__xludf.DUMMYFUNCTION("""COMPUTED_VALUE"""),0.0)</f>
        <v>0</v>
      </c>
      <c r="V195" s="87">
        <f>IFERROR(__xludf.DUMMYFUNCTION("""COMPUTED_VALUE"""),0.0)</f>
        <v>0</v>
      </c>
      <c r="W195" s="87">
        <f>IFERROR(__xludf.DUMMYFUNCTION("""COMPUTED_VALUE"""),0.0)</f>
        <v>0</v>
      </c>
      <c r="X195" s="88"/>
      <c r="Y195" s="74"/>
      <c r="Z195" s="74"/>
    </row>
    <row r="196">
      <c r="B196" s="74" t="str">
        <f>IFERROR(__xludf.DUMMYFUNCTION("""COMPUTED_VALUE"""),"1193")</f>
        <v>1193</v>
      </c>
      <c r="C196" s="74" t="str">
        <f>IFERROR(__xludf.DUMMYFUNCTION("""COMPUTED_VALUE"""),"75045891193")</f>
        <v>75045891193</v>
      </c>
      <c r="D196" s="74" t="str">
        <f>IFERROR(__xludf.DUMMYFUNCTION("""COMPUTED_VALUE"""),"\\MCA-S\mk\2_BM\0_BMat\08_PYM\Inventario\excel\Imagen de refacciones\Schwing\Soporte para caja de transferencia - cone megi")</f>
        <v>\\MCA-S\mk\2_BM\0_BMat\08_PYM\Inventario\excel\Imagen de refacciones\Schwing\Soporte para caja de transferencia - cone megi</v>
      </c>
      <c r="E196" s="74" t="str">
        <f>IFERROR(__xludf.DUMMYFUNCTION("""COMPUTED_VALUE"""),"MEGI CONE")</f>
        <v>MEGI CONE</v>
      </c>
      <c r="F196" s="74" t="str">
        <f>IFERROR(__xludf.DUMMYFUNCTION("""COMPUTED_VALUE"""),"SOPORTE CAJA TRASFERENCIA- CONE MEGI")</f>
        <v>SOPORTE CAJA TRASFERENCIA- CONE MEGI</v>
      </c>
      <c r="G196" s="74"/>
      <c r="H196" s="74"/>
      <c r="I196" s="74" t="str">
        <f>IFERROR(__xludf.DUMMYFUNCTION("""COMPUTED_VALUE"""),"10020465")</f>
        <v>10020465</v>
      </c>
      <c r="J196" s="74"/>
      <c r="K196" s="74" t="str">
        <f>IFERROR(__xludf.DUMMYFUNCTION("""COMPUTED_VALUE"""),"Schwing")</f>
        <v>Schwing</v>
      </c>
      <c r="L196" s="74" t="str">
        <f>IFERROR(__xludf.DUMMYFUNCTION("""COMPUTED_VALUE"""),"Componentes estructurales y de montaje")</f>
        <v>Componentes estructurales y de montaje</v>
      </c>
      <c r="M196" s="74" t="str">
        <f>IFERROR(__xludf.DUMMYFUNCTION("""COMPUTED_VALUE"""),"Sin Asignar")</f>
        <v>Sin Asignar</v>
      </c>
      <c r="N196" s="87">
        <f>IFERROR(__xludf.DUMMYFUNCTION("""COMPUTED_VALUE"""),0.0)</f>
        <v>0</v>
      </c>
      <c r="O196" s="74"/>
      <c r="P196" s="74" t="str">
        <f>IFERROR(__xludf.DUMMYFUNCTION("""COMPUTED_VALUE"""),"To Re-purchase")</f>
        <v>To Re-purchase</v>
      </c>
      <c r="Q196" s="74"/>
      <c r="R196" s="74"/>
      <c r="S196" s="87">
        <f>IFERROR(__xludf.DUMMYFUNCTION("""COMPUTED_VALUE"""),0.0)</f>
        <v>0</v>
      </c>
      <c r="T196" s="87">
        <f>IFERROR(__xludf.DUMMYFUNCTION("""COMPUTED_VALUE"""),0.0)</f>
        <v>0</v>
      </c>
      <c r="U196" s="87">
        <f>IFERROR(__xludf.DUMMYFUNCTION("""COMPUTED_VALUE"""),0.0)</f>
        <v>0</v>
      </c>
      <c r="V196" s="87">
        <f>IFERROR(__xludf.DUMMYFUNCTION("""COMPUTED_VALUE"""),0.0)</f>
        <v>0</v>
      </c>
      <c r="W196" s="87">
        <f>IFERROR(__xludf.DUMMYFUNCTION("""COMPUTED_VALUE"""),0.0)</f>
        <v>0</v>
      </c>
      <c r="X196" s="88"/>
      <c r="Y196" s="74"/>
      <c r="Z196" s="74"/>
    </row>
    <row r="197">
      <c r="B197" s="74" t="str">
        <f>IFERROR(__xludf.DUMMYFUNCTION("""COMPUTED_VALUE"""),"1194")</f>
        <v>1194</v>
      </c>
      <c r="C197" s="74" t="str">
        <f>IFERROR(__xludf.DUMMYFUNCTION("""COMPUTED_VALUE"""),"75045891194")</f>
        <v>75045891194</v>
      </c>
      <c r="D197" s="74" t="str">
        <f>IFERROR(__xludf.DUMMYFUNCTION("""COMPUTED_VALUE"""),"\\MCA-S\mk\2_BM\0_BMat\08_PYM\Inventario\excel\Imagen de refacciones\Schwing\Tornillo hueco 1_2_ con rondanas")</f>
        <v>\\MCA-S\mk\2_BM\0_BMat\08_PYM\Inventario\excel\Imagen de refacciones\Schwing\Tornillo hueco 1_2_ con rondanas</v>
      </c>
      <c r="E197" s="74"/>
      <c r="F197" s="74" t="str">
        <f>IFERROR(__xludf.DUMMYFUNCTION("""COMPUTED_VALUE"""),"TORNILLO HUECO 1/2"" CON REDONDAS")</f>
        <v>TORNILLO HUECO 1/2" CON REDONDAS</v>
      </c>
      <c r="G197" s="74"/>
      <c r="H197" s="74"/>
      <c r="I197" s="74" t="str">
        <f>IFERROR(__xludf.DUMMYFUNCTION("""COMPUTED_VALUE"""),"10010282")</f>
        <v>10010282</v>
      </c>
      <c r="J197" s="74"/>
      <c r="K197" s="74" t="str">
        <f>IFERROR(__xludf.DUMMYFUNCTION("""COMPUTED_VALUE"""),"Schwing")</f>
        <v>Schwing</v>
      </c>
      <c r="L197" s="74" t="str">
        <f>IFERROR(__xludf.DUMMYFUNCTION("""COMPUTED_VALUE"""),"Componentes estructurales y de montaje")</f>
        <v>Componentes estructurales y de montaje</v>
      </c>
      <c r="M197" s="74" t="str">
        <f>IFERROR(__xludf.DUMMYFUNCTION("""COMPUTED_VALUE"""),"Sin Asignar")</f>
        <v>Sin Asignar</v>
      </c>
      <c r="N197" s="87">
        <f>IFERROR(__xludf.DUMMYFUNCTION("""COMPUTED_VALUE"""),0.0)</f>
        <v>0</v>
      </c>
      <c r="O197" s="74"/>
      <c r="P197" s="74" t="str">
        <f>IFERROR(__xludf.DUMMYFUNCTION("""COMPUTED_VALUE"""),"To Re-purchase")</f>
        <v>To Re-purchase</v>
      </c>
      <c r="Q197" s="74"/>
      <c r="R197" s="74"/>
      <c r="S197" s="87">
        <f>IFERROR(__xludf.DUMMYFUNCTION("""COMPUTED_VALUE"""),0.0)</f>
        <v>0</v>
      </c>
      <c r="T197" s="87">
        <f>IFERROR(__xludf.DUMMYFUNCTION("""COMPUTED_VALUE"""),0.0)</f>
        <v>0</v>
      </c>
      <c r="U197" s="87">
        <f>IFERROR(__xludf.DUMMYFUNCTION("""COMPUTED_VALUE"""),0.0)</f>
        <v>0</v>
      </c>
      <c r="V197" s="87">
        <f>IFERROR(__xludf.DUMMYFUNCTION("""COMPUTED_VALUE"""),0.0)</f>
        <v>0</v>
      </c>
      <c r="W197" s="87">
        <f>IFERROR(__xludf.DUMMYFUNCTION("""COMPUTED_VALUE"""),0.0)</f>
        <v>0</v>
      </c>
      <c r="X197" s="88"/>
      <c r="Y197" s="74"/>
      <c r="Z197" s="74"/>
    </row>
    <row r="198">
      <c r="B198" s="74" t="str">
        <f>IFERROR(__xludf.DUMMYFUNCTION("""COMPUTED_VALUE"""),"1195")</f>
        <v>1195</v>
      </c>
      <c r="C198" s="74" t="str">
        <f>IFERROR(__xludf.DUMMYFUNCTION("""COMPUTED_VALUE"""),"75045891195")</f>
        <v>75045891195</v>
      </c>
      <c r="D198" s="74" t="str">
        <f>IFERROR(__xludf.DUMMYFUNCTION("""COMPUTED_VALUE"""),"\\MCA-S\mk\2_BM\0_BMat\08_PYM\Inventario\excel\Imagen de refacciones\Schwing\Nipples reductor de 22mm a 1_4")</f>
        <v>\\MCA-S\mk\2_BM\0_BMat\08_PYM\Inventario\excel\Imagen de refacciones\Schwing\Nipples reductor de 22mm a 1_4</v>
      </c>
      <c r="E198" s="74"/>
      <c r="F198" s="74" t="str">
        <f>IFERROR(__xludf.DUMMYFUNCTION("""COMPUTED_VALUE"""),"NIPPLES RECUTOR 22MM A 1/4""")</f>
        <v>NIPPLES RECUTOR 22MM A 1/4"</v>
      </c>
      <c r="G198" s="74"/>
      <c r="H198" s="74"/>
      <c r="I198" s="74" t="str">
        <f>IFERROR(__xludf.DUMMYFUNCTION("""COMPUTED_VALUE"""),"10008100")</f>
        <v>10008100</v>
      </c>
      <c r="J198" s="74"/>
      <c r="K198" s="74" t="str">
        <f>IFERROR(__xludf.DUMMYFUNCTION("""COMPUTED_VALUE"""),"Schwing")</f>
        <v>Schwing</v>
      </c>
      <c r="L198" s="74" t="str">
        <f>IFERROR(__xludf.DUMMYFUNCTION("""COMPUTED_VALUE"""),"Componentes hidráulicos")</f>
        <v>Componentes hidráulicos</v>
      </c>
      <c r="M198" s="74" t="str">
        <f>IFERROR(__xludf.DUMMYFUNCTION("""COMPUTED_VALUE"""),"Sin Asignar")</f>
        <v>Sin Asignar</v>
      </c>
      <c r="N198" s="87">
        <f>IFERROR(__xludf.DUMMYFUNCTION("""COMPUTED_VALUE"""),0.0)</f>
        <v>0</v>
      </c>
      <c r="O198" s="74"/>
      <c r="P198" s="74" t="str">
        <f>IFERROR(__xludf.DUMMYFUNCTION("""COMPUTED_VALUE"""),"To Re-purchase")</f>
        <v>To Re-purchase</v>
      </c>
      <c r="Q198" s="74"/>
      <c r="R198" s="74"/>
      <c r="S198" s="87">
        <f>IFERROR(__xludf.DUMMYFUNCTION("""COMPUTED_VALUE"""),0.0)</f>
        <v>0</v>
      </c>
      <c r="T198" s="87">
        <f>IFERROR(__xludf.DUMMYFUNCTION("""COMPUTED_VALUE"""),0.0)</f>
        <v>0</v>
      </c>
      <c r="U198" s="87">
        <f>IFERROR(__xludf.DUMMYFUNCTION("""COMPUTED_VALUE"""),0.0)</f>
        <v>0</v>
      </c>
      <c r="V198" s="87">
        <f>IFERROR(__xludf.DUMMYFUNCTION("""COMPUTED_VALUE"""),0.0)</f>
        <v>0</v>
      </c>
      <c r="W198" s="87">
        <f>IFERROR(__xludf.DUMMYFUNCTION("""COMPUTED_VALUE"""),0.0)</f>
        <v>0</v>
      </c>
      <c r="X198" s="88"/>
      <c r="Y198" s="74"/>
      <c r="Z198" s="74"/>
    </row>
    <row r="199">
      <c r="B199" s="74" t="str">
        <f>IFERROR(__xludf.DUMMYFUNCTION("""COMPUTED_VALUE"""),"1196")</f>
        <v>1196</v>
      </c>
      <c r="C199" s="74" t="str">
        <f>IFERROR(__xludf.DUMMYFUNCTION("""COMPUTED_VALUE"""),"75045891196")</f>
        <v>75045891196</v>
      </c>
      <c r="D199" s="74" t="str">
        <f>IFERROR(__xludf.DUMMYFUNCTION("""COMPUTED_VALUE"""),"\\MCA-S\mk\2_BM\0_BMat\08_PYM\Inventario\excel\Imagen de refacciones\Schwing\Conector hidráulico codo 22mm")</f>
        <v>\\MCA-S\mk\2_BM\0_BMat\08_PYM\Inventario\excel\Imagen de refacciones\Schwing\Conector hidráulico codo 22mm</v>
      </c>
      <c r="E199" s="74" t="str">
        <f>IFERROR(__xludf.DUMMYFUNCTION("""COMPUTED_VALUE"""),"HYD. FITTING")</f>
        <v>HYD. FITTING</v>
      </c>
      <c r="F199" s="74" t="str">
        <f>IFERROR(__xludf.DUMMYFUNCTION("""COMPUTED_VALUE"""),"CONECTOR HIDRAULICOS CODO 22MM")</f>
        <v>CONECTOR HIDRAULICOS CODO 22MM</v>
      </c>
      <c r="G199" s="74"/>
      <c r="H199" s="74"/>
      <c r="I199" s="74" t="str">
        <f>IFERROR(__xludf.DUMMYFUNCTION("""COMPUTED_VALUE"""),"10008084")</f>
        <v>10008084</v>
      </c>
      <c r="J199" s="74"/>
      <c r="K199" s="74" t="str">
        <f>IFERROR(__xludf.DUMMYFUNCTION("""COMPUTED_VALUE"""),"Schwing")</f>
        <v>Schwing</v>
      </c>
      <c r="L199" s="74" t="str">
        <f>IFERROR(__xludf.DUMMYFUNCTION("""COMPUTED_VALUE"""),"Componentes hidráulicos")</f>
        <v>Componentes hidráulicos</v>
      </c>
      <c r="M199" s="74" t="str">
        <f>IFERROR(__xludf.DUMMYFUNCTION("""COMPUTED_VALUE"""),"Sin Asignar")</f>
        <v>Sin Asignar</v>
      </c>
      <c r="N199" s="87">
        <f>IFERROR(__xludf.DUMMYFUNCTION("""COMPUTED_VALUE"""),0.0)</f>
        <v>0</v>
      </c>
      <c r="O199" s="74"/>
      <c r="P199" s="74" t="str">
        <f>IFERROR(__xludf.DUMMYFUNCTION("""COMPUTED_VALUE"""),"To Re-purchase")</f>
        <v>To Re-purchase</v>
      </c>
      <c r="Q199" s="74"/>
      <c r="R199" s="74"/>
      <c r="S199" s="87">
        <f>IFERROR(__xludf.DUMMYFUNCTION("""COMPUTED_VALUE"""),0.0)</f>
        <v>0</v>
      </c>
      <c r="T199" s="87">
        <f>IFERROR(__xludf.DUMMYFUNCTION("""COMPUTED_VALUE"""),0.0)</f>
        <v>0</v>
      </c>
      <c r="U199" s="87">
        <f>IFERROR(__xludf.DUMMYFUNCTION("""COMPUTED_VALUE"""),0.0)</f>
        <v>0</v>
      </c>
      <c r="V199" s="87">
        <f>IFERROR(__xludf.DUMMYFUNCTION("""COMPUTED_VALUE"""),0.0)</f>
        <v>0</v>
      </c>
      <c r="W199" s="87">
        <f>IFERROR(__xludf.DUMMYFUNCTION("""COMPUTED_VALUE"""),0.0)</f>
        <v>0</v>
      </c>
      <c r="X199" s="88"/>
      <c r="Y199" s="74"/>
      <c r="Z199" s="74"/>
    </row>
    <row r="200">
      <c r="B200" s="74" t="str">
        <f>IFERROR(__xludf.DUMMYFUNCTION("""COMPUTED_VALUE"""),"1197")</f>
        <v>1197</v>
      </c>
      <c r="C200" s="74" t="str">
        <f>IFERROR(__xludf.DUMMYFUNCTION("""COMPUTED_VALUE"""),"75045891197")</f>
        <v>75045891197</v>
      </c>
      <c r="D200" s="74" t="str">
        <f>IFERROR(__xludf.DUMMYFUNCTION("""COMPUTED_VALUE"""),"\\MCA-S\mk\2_BM\0_BMat\08_PYM\Inventario\excel\Imagen de refacciones\Schwing\Nipple hidráulico 65 12L 3_8_")</f>
        <v>\\MCA-S\mk\2_BM\0_BMat\08_PYM\Inventario\excel\Imagen de refacciones\Schwing\Nipple hidráulico 65 12L 3_8_</v>
      </c>
      <c r="E200" s="74"/>
      <c r="F200" s="74" t="str">
        <f>IFERROR(__xludf.DUMMYFUNCTION("""COMPUTED_VALUE"""),"NIPPLE HIDRAULICO 65 12L 3/8"" ")</f>
        <v>NIPPLE HIDRAULICO 65 12L 3/8" </v>
      </c>
      <c r="G200" s="74"/>
      <c r="H200" s="74"/>
      <c r="I200" s="74" t="str">
        <f>IFERROR(__xludf.DUMMYFUNCTION("""COMPUTED_VALUE"""),"10008083")</f>
        <v>10008083</v>
      </c>
      <c r="J200" s="74"/>
      <c r="K200" s="74" t="str">
        <f>IFERROR(__xludf.DUMMYFUNCTION("""COMPUTED_VALUE"""),"Schwing")</f>
        <v>Schwing</v>
      </c>
      <c r="L200" s="74" t="str">
        <f>IFERROR(__xludf.DUMMYFUNCTION("""COMPUTED_VALUE"""),"Componentes hidráulicos")</f>
        <v>Componentes hidráulicos</v>
      </c>
      <c r="M200" s="74" t="str">
        <f>IFERROR(__xludf.DUMMYFUNCTION("""COMPUTED_VALUE"""),"Sin Asignar")</f>
        <v>Sin Asignar</v>
      </c>
      <c r="N200" s="87">
        <f>IFERROR(__xludf.DUMMYFUNCTION("""COMPUTED_VALUE"""),0.0)</f>
        <v>0</v>
      </c>
      <c r="O200" s="74"/>
      <c r="P200" s="74" t="str">
        <f>IFERROR(__xludf.DUMMYFUNCTION("""COMPUTED_VALUE"""),"To Re-purchase")</f>
        <v>To Re-purchase</v>
      </c>
      <c r="Q200" s="74"/>
      <c r="R200" s="74"/>
      <c r="S200" s="87">
        <f>IFERROR(__xludf.DUMMYFUNCTION("""COMPUTED_VALUE"""),0.0)</f>
        <v>0</v>
      </c>
      <c r="T200" s="87">
        <f>IFERROR(__xludf.DUMMYFUNCTION("""COMPUTED_VALUE"""),0.0)</f>
        <v>0</v>
      </c>
      <c r="U200" s="87">
        <f>IFERROR(__xludf.DUMMYFUNCTION("""COMPUTED_VALUE"""),0.0)</f>
        <v>0</v>
      </c>
      <c r="V200" s="87">
        <f>IFERROR(__xludf.DUMMYFUNCTION("""COMPUTED_VALUE"""),0.0)</f>
        <v>0</v>
      </c>
      <c r="W200" s="87">
        <f>IFERROR(__xludf.DUMMYFUNCTION("""COMPUTED_VALUE"""),0.0)</f>
        <v>0</v>
      </c>
      <c r="X200" s="88"/>
      <c r="Y200" s="74"/>
      <c r="Z200" s="74"/>
    </row>
    <row r="201">
      <c r="B201" s="74" t="str">
        <f>IFERROR(__xludf.DUMMYFUNCTION("""COMPUTED_VALUE"""),"1198")</f>
        <v>1198</v>
      </c>
      <c r="C201" s="74" t="str">
        <f>IFERROR(__xludf.DUMMYFUNCTION("""COMPUTED_VALUE"""),"75045891198")</f>
        <v>75045891198</v>
      </c>
      <c r="D201" s="74" t="str">
        <f>IFERROR(__xludf.DUMMYFUNCTION("""COMPUTED_VALUE"""),"\\MCA-S\mk\2_BM\0_BMat\08_PYM\Inventario\excel\Imagen de refacciones\Schwing\Engrane para horquilla")</f>
        <v>\\MCA-S\mk\2_BM\0_BMat\08_PYM\Inventario\excel\Imagen de refacciones\Schwing\Engrane para horquilla</v>
      </c>
      <c r="E201" s="74" t="str">
        <f>IFERROR(__xludf.DUMMYFUNCTION("""COMPUTED_VALUE"""),"SLIDING CLUTCH 4194/ GEAR BOX SLIDE COUPLING")</f>
        <v>SLIDING CLUTCH 4194/ GEAR BOX SLIDE COUPLING</v>
      </c>
      <c r="F201" s="74" t="str">
        <f>IFERROR(__xludf.DUMMYFUNCTION("""COMPUTED_VALUE"""),"ENGRANE PARA HORQUILLA")</f>
        <v>ENGRANE PARA HORQUILLA</v>
      </c>
      <c r="G201" s="74"/>
      <c r="H201" s="74"/>
      <c r="I201" s="74" t="str">
        <f>IFERROR(__xludf.DUMMYFUNCTION("""COMPUTED_VALUE"""),"10004989")</f>
        <v>10004989</v>
      </c>
      <c r="J201" s="74"/>
      <c r="K201" s="74" t="str">
        <f>IFERROR(__xludf.DUMMYFUNCTION("""COMPUTED_VALUE"""),"Schwing")</f>
        <v>Schwing</v>
      </c>
      <c r="L201" s="74" t="str">
        <f>IFERROR(__xludf.DUMMYFUNCTION("""COMPUTED_VALUE"""),"Transmisión mecánica")</f>
        <v>Transmisión mecánica</v>
      </c>
      <c r="M201" s="74" t="str">
        <f>IFERROR(__xludf.DUMMYFUNCTION("""COMPUTED_VALUE"""),"Sin Asignar")</f>
        <v>Sin Asignar</v>
      </c>
      <c r="N201" s="87">
        <f>IFERROR(__xludf.DUMMYFUNCTION("""COMPUTED_VALUE"""),0.0)</f>
        <v>0</v>
      </c>
      <c r="O201" s="74"/>
      <c r="P201" s="74" t="str">
        <f>IFERROR(__xludf.DUMMYFUNCTION("""COMPUTED_VALUE"""),"To Re-purchase")</f>
        <v>To Re-purchase</v>
      </c>
      <c r="Q201" s="74"/>
      <c r="R201" s="74"/>
      <c r="S201" s="87">
        <f>IFERROR(__xludf.DUMMYFUNCTION("""COMPUTED_VALUE"""),0.0)</f>
        <v>0</v>
      </c>
      <c r="T201" s="87">
        <f>IFERROR(__xludf.DUMMYFUNCTION("""COMPUTED_VALUE"""),0.0)</f>
        <v>0</v>
      </c>
      <c r="U201" s="87">
        <f>IFERROR(__xludf.DUMMYFUNCTION("""COMPUTED_VALUE"""),0.0)</f>
        <v>0</v>
      </c>
      <c r="V201" s="87">
        <f>IFERROR(__xludf.DUMMYFUNCTION("""COMPUTED_VALUE"""),0.0)</f>
        <v>0</v>
      </c>
      <c r="W201" s="87">
        <f>IFERROR(__xludf.DUMMYFUNCTION("""COMPUTED_VALUE"""),0.0)</f>
        <v>0</v>
      </c>
      <c r="X201" s="88"/>
      <c r="Y201" s="74"/>
      <c r="Z201" s="74"/>
    </row>
    <row r="202">
      <c r="B202" s="74" t="str">
        <f>IFERROR(__xludf.DUMMYFUNCTION("""COMPUTED_VALUE"""),"1199")</f>
        <v>1199</v>
      </c>
      <c r="C202" s="74" t="str">
        <f>IFERROR(__xludf.DUMMYFUNCTION("""COMPUTED_VALUE"""),"75045891199")</f>
        <v>75045891199</v>
      </c>
      <c r="D202" s="74" t="str">
        <f>IFERROR(__xludf.DUMMYFUNCTION("""COMPUTED_VALUE"""),"\\MCA-S\mk\2_BM\0_BMat\08_PYM\Inventario\excel\Imagen de refacciones\Schwing\Barra hueca dentada d79_46x168")</f>
        <v>\\MCA-S\mk\2_BM\0_BMat\08_PYM\Inventario\excel\Imagen de refacciones\Schwing\Barra hueca dentada d79_46x168</v>
      </c>
      <c r="E202" s="74" t="str">
        <f>IFERROR(__xludf.DUMMYFUNCTION("""COMPUTED_VALUE"""),"PUMP HOLLOW PTO SHAFT/ SUPPORT CONCRETE PUMP INPUT GEAR SHAFT")</f>
        <v>PUMP HOLLOW PTO SHAFT/ SUPPORT CONCRETE PUMP INPUT GEAR SHAFT</v>
      </c>
      <c r="F202" s="74" t="str">
        <f>IFERROR(__xludf.DUMMYFUNCTION("""COMPUTED_VALUE"""),"BARRA HUECA DENTADA D79/46X168")</f>
        <v>BARRA HUECA DENTADA D79/46X168</v>
      </c>
      <c r="G202" s="74"/>
      <c r="H202" s="74"/>
      <c r="I202" s="74" t="str">
        <f>IFERROR(__xludf.DUMMYFUNCTION("""COMPUTED_VALUE"""),"10037454")</f>
        <v>10037454</v>
      </c>
      <c r="J202" s="74"/>
      <c r="K202" s="74" t="str">
        <f>IFERROR(__xludf.DUMMYFUNCTION("""COMPUTED_VALUE"""),"Schwing")</f>
        <v>Schwing</v>
      </c>
      <c r="L202" s="74" t="str">
        <f>IFERROR(__xludf.DUMMYFUNCTION("""COMPUTED_VALUE"""),"Transmisión mecánica")</f>
        <v>Transmisión mecánica</v>
      </c>
      <c r="M202" s="74" t="str">
        <f>IFERROR(__xludf.DUMMYFUNCTION("""COMPUTED_VALUE"""),"Sin Asignar")</f>
        <v>Sin Asignar</v>
      </c>
      <c r="N202" s="87">
        <f>IFERROR(__xludf.DUMMYFUNCTION("""COMPUTED_VALUE"""),0.0)</f>
        <v>0</v>
      </c>
      <c r="O202" s="74"/>
      <c r="P202" s="74" t="str">
        <f>IFERROR(__xludf.DUMMYFUNCTION("""COMPUTED_VALUE"""),"To Re-purchase")</f>
        <v>To Re-purchase</v>
      </c>
      <c r="Q202" s="74"/>
      <c r="R202" s="74"/>
      <c r="S202" s="87">
        <f>IFERROR(__xludf.DUMMYFUNCTION("""COMPUTED_VALUE"""),0.0)</f>
        <v>0</v>
      </c>
      <c r="T202" s="87">
        <f>IFERROR(__xludf.DUMMYFUNCTION("""COMPUTED_VALUE"""),0.0)</f>
        <v>0</v>
      </c>
      <c r="U202" s="87">
        <f>IFERROR(__xludf.DUMMYFUNCTION("""COMPUTED_VALUE"""),0.0)</f>
        <v>0</v>
      </c>
      <c r="V202" s="87">
        <f>IFERROR(__xludf.DUMMYFUNCTION("""COMPUTED_VALUE"""),0.0)</f>
        <v>0</v>
      </c>
      <c r="W202" s="87">
        <f>IFERROR(__xludf.DUMMYFUNCTION("""COMPUTED_VALUE"""),0.0)</f>
        <v>0</v>
      </c>
      <c r="X202" s="88"/>
      <c r="Y202" s="74"/>
      <c r="Z202" s="74"/>
    </row>
    <row r="203">
      <c r="B203" s="74" t="str">
        <f>IFERROR(__xludf.DUMMYFUNCTION("""COMPUTED_VALUE"""),"1200")</f>
        <v>1200</v>
      </c>
      <c r="C203" s="74"/>
      <c r="D203" s="74" t="str">
        <f>IFERROR(__xludf.DUMMYFUNCTION("""COMPUTED_VALUE"""),"\\MCA-S\mk\2_BM\0_BMat\08_PYM\Inventario\excel\Imagen de refacciones\Schwing\Barra dentada para caja de transferencia")</f>
        <v>\\MCA-S\mk\2_BM\0_BMat\08_PYM\Inventario\excel\Imagen de refacciones\Schwing\Barra dentada para caja de transferencia</v>
      </c>
      <c r="E203" s="74"/>
      <c r="F203" s="74" t="str">
        <f>IFERROR(__xludf.DUMMYFUNCTION("""COMPUTED_VALUE"""),"Barra dentada para caja de transferencia")</f>
        <v>Barra dentada para caja de transferencia</v>
      </c>
      <c r="G203" s="74"/>
      <c r="H203" s="74"/>
      <c r="I203" s="74" t="str">
        <f>IFERROR(__xludf.DUMMYFUNCTION("""COMPUTED_VALUE"""),"10074769")</f>
        <v>10074769</v>
      </c>
      <c r="J203" s="74"/>
      <c r="K203" s="74" t="str">
        <f>IFERROR(__xludf.DUMMYFUNCTION("""COMPUTED_VALUE"""),"Schwing")</f>
        <v>Schwing</v>
      </c>
      <c r="L203" s="74" t="str">
        <f>IFERROR(__xludf.DUMMYFUNCTION("""COMPUTED_VALUE"""),"Transmisión mecánica")</f>
        <v>Transmisión mecánica</v>
      </c>
      <c r="M203" s="74" t="str">
        <f>IFERROR(__xludf.DUMMYFUNCTION("""COMPUTED_VALUE"""),"Sin Asignar")</f>
        <v>Sin Asignar</v>
      </c>
      <c r="N203" s="87">
        <f>IFERROR(__xludf.DUMMYFUNCTION("""COMPUTED_VALUE"""),0.0)</f>
        <v>0</v>
      </c>
      <c r="O203" s="74"/>
      <c r="P203" s="74" t="str">
        <f>IFERROR(__xludf.DUMMYFUNCTION("""COMPUTED_VALUE"""),"borrar")</f>
        <v>borrar</v>
      </c>
      <c r="Q203" s="74"/>
      <c r="R203" s="74"/>
      <c r="S203" s="87">
        <f>IFERROR(__xludf.DUMMYFUNCTION("""COMPUTED_VALUE"""),0.0)</f>
        <v>0</v>
      </c>
      <c r="T203" s="87">
        <f>IFERROR(__xludf.DUMMYFUNCTION("""COMPUTED_VALUE"""),0.0)</f>
        <v>0</v>
      </c>
      <c r="U203" s="87">
        <f>IFERROR(__xludf.DUMMYFUNCTION("""COMPUTED_VALUE"""),0.0)</f>
        <v>0</v>
      </c>
      <c r="V203" s="87">
        <f>IFERROR(__xludf.DUMMYFUNCTION("""COMPUTED_VALUE"""),0.0)</f>
        <v>0</v>
      </c>
      <c r="W203" s="87">
        <f>IFERROR(__xludf.DUMMYFUNCTION("""COMPUTED_VALUE"""),0.0)</f>
        <v>0</v>
      </c>
      <c r="X203" s="88"/>
      <c r="Y203" s="74"/>
      <c r="Z203" s="74"/>
    </row>
    <row r="204">
      <c r="B204" s="74" t="str">
        <f>IFERROR(__xludf.DUMMYFUNCTION("""COMPUTED_VALUE"""),"1201")</f>
        <v>1201</v>
      </c>
      <c r="C204" s="74" t="str">
        <f>IFERROR(__xludf.DUMMYFUNCTION("""COMPUTED_VALUE"""),"75045891201")</f>
        <v>75045891201</v>
      </c>
      <c r="D204" s="74" t="str">
        <f>IFERROR(__xludf.DUMMYFUNCTION("""COMPUTED_VALUE"""),"\\MCA-S\mk\2_BM\0_BMat\08_PYM\Inventario\excel\Imagen de refacciones\Schwing\Cople de ensamble para bomba de agua -galleta")</f>
        <v>\\MCA-S\mk\2_BM\0_BMat\08_PYM\Inventario\excel\Imagen de refacciones\Schwing\Cople de ensamble para bomba de agua -galleta</v>
      </c>
      <c r="E204" s="74" t="str">
        <f>IFERROR(__xludf.DUMMYFUNCTION("""COMPUTED_VALUE"""),"SHAFT COUPLING ASSEMBLY")</f>
        <v>SHAFT COUPLING ASSEMBLY</v>
      </c>
      <c r="F204" s="74" t="str">
        <f>IFERROR(__xludf.DUMMYFUNCTION("""COMPUTED_VALUE"""),"COPLE ENSAMBLE PARA BOMBA DE AGUA-GALLETA")</f>
        <v>COPLE ENSAMBLE PARA BOMBA DE AGUA-GALLETA</v>
      </c>
      <c r="G204" s="74"/>
      <c r="H204" s="74"/>
      <c r="I204" s="74" t="str">
        <f>IFERROR(__xludf.DUMMYFUNCTION("""COMPUTED_VALUE"""),"30355768")</f>
        <v>30355768</v>
      </c>
      <c r="J204" s="74"/>
      <c r="K204" s="74" t="str">
        <f>IFERROR(__xludf.DUMMYFUNCTION("""COMPUTED_VALUE"""),"Schwing")</f>
        <v>Schwing</v>
      </c>
      <c r="L204" s="74" t="str">
        <f>IFERROR(__xludf.DUMMYFUNCTION("""COMPUTED_VALUE"""),"SIN ASIGNAR")</f>
        <v>SIN ASIGNAR</v>
      </c>
      <c r="M204" s="74" t="str">
        <f>IFERROR(__xludf.DUMMYFUNCTION("""COMPUTED_VALUE"""),"SIN ASIGNAR")</f>
        <v>SIN ASIGNAR</v>
      </c>
      <c r="N204" s="87">
        <f>IFERROR(__xludf.DUMMYFUNCTION("""COMPUTED_VALUE"""),0.0)</f>
        <v>0</v>
      </c>
      <c r="O204" s="74"/>
      <c r="P204" s="74" t="str">
        <f>IFERROR(__xludf.DUMMYFUNCTION("""COMPUTED_VALUE"""),"To Re-purchase")</f>
        <v>To Re-purchase</v>
      </c>
      <c r="Q204" s="74"/>
      <c r="R204" s="74"/>
      <c r="S204" s="87">
        <f>IFERROR(__xludf.DUMMYFUNCTION("""COMPUTED_VALUE"""),0.0)</f>
        <v>0</v>
      </c>
      <c r="T204" s="87">
        <f>IFERROR(__xludf.DUMMYFUNCTION("""COMPUTED_VALUE"""),0.0)</f>
        <v>0</v>
      </c>
      <c r="U204" s="87">
        <f>IFERROR(__xludf.DUMMYFUNCTION("""COMPUTED_VALUE"""),0.0)</f>
        <v>0</v>
      </c>
      <c r="V204" s="87">
        <f>IFERROR(__xludf.DUMMYFUNCTION("""COMPUTED_VALUE"""),0.0)</f>
        <v>0</v>
      </c>
      <c r="W204" s="87">
        <f>IFERROR(__xludf.DUMMYFUNCTION("""COMPUTED_VALUE"""),0.0)</f>
        <v>0</v>
      </c>
      <c r="X204" s="88"/>
      <c r="Y204" s="74"/>
      <c r="Z204" s="74"/>
    </row>
    <row r="205">
      <c r="B205" s="74" t="str">
        <f>IFERROR(__xludf.DUMMYFUNCTION("""COMPUTED_VALUE"""),"1202")</f>
        <v>1202</v>
      </c>
      <c r="C205" s="74" t="str">
        <f>IFERROR(__xludf.DUMMYFUNCTION("""COMPUTED_VALUE"""),"75045891202")</f>
        <v>75045891202</v>
      </c>
      <c r="D205" s="74" t="str">
        <f>IFERROR(__xludf.DUMMYFUNCTION("""COMPUTED_VALUE"""),"\\MCA-S\mk\2_BM\0_BMat\08_PYM\Inventario\excel\Imagen de refacciones\Schwing\Retenes 28X40X6")</f>
        <v>\\MCA-S\mk\2_BM\0_BMat\08_PYM\Inventario\excel\Imagen de refacciones\Schwing\Retenes 28X40X6</v>
      </c>
      <c r="E205" s="74"/>
      <c r="F205" s="74" t="str">
        <f>IFERROR(__xludf.DUMMYFUNCTION("""COMPUTED_VALUE"""),"RETENES 28X40X6")</f>
        <v>RETENES 28X40X6</v>
      </c>
      <c r="G205" s="74"/>
      <c r="H205" s="74"/>
      <c r="I205" s="74" t="str">
        <f>IFERROR(__xludf.DUMMYFUNCTION("""COMPUTED_VALUE"""),"30320067")</f>
        <v>30320067</v>
      </c>
      <c r="J205" s="74"/>
      <c r="K205" s="74" t="str">
        <f>IFERROR(__xludf.DUMMYFUNCTION("""COMPUTED_VALUE"""),"Schwing")</f>
        <v>Schwing</v>
      </c>
      <c r="L205" s="74" t="str">
        <f>IFERROR(__xludf.DUMMYFUNCTION("""COMPUTED_VALUE"""),"SIN ASIGNAR")</f>
        <v>SIN ASIGNAR</v>
      </c>
      <c r="M205" s="74" t="str">
        <f>IFERROR(__xludf.DUMMYFUNCTION("""COMPUTED_VALUE"""),"SIN ASIGNAR")</f>
        <v>SIN ASIGNAR</v>
      </c>
      <c r="N205" s="87">
        <f>IFERROR(__xludf.DUMMYFUNCTION("""COMPUTED_VALUE"""),0.0)</f>
        <v>0</v>
      </c>
      <c r="O205" s="74"/>
      <c r="P205" s="74" t="str">
        <f>IFERROR(__xludf.DUMMYFUNCTION("""COMPUTED_VALUE"""),"To Re-purchase")</f>
        <v>To Re-purchase</v>
      </c>
      <c r="Q205" s="74"/>
      <c r="R205" s="74"/>
      <c r="S205" s="87">
        <f>IFERROR(__xludf.DUMMYFUNCTION("""COMPUTED_VALUE"""),0.0)</f>
        <v>0</v>
      </c>
      <c r="T205" s="87">
        <f>IFERROR(__xludf.DUMMYFUNCTION("""COMPUTED_VALUE"""),0.0)</f>
        <v>0</v>
      </c>
      <c r="U205" s="87">
        <f>IFERROR(__xludf.DUMMYFUNCTION("""COMPUTED_VALUE"""),0.0)</f>
        <v>0</v>
      </c>
      <c r="V205" s="87">
        <f>IFERROR(__xludf.DUMMYFUNCTION("""COMPUTED_VALUE"""),0.0)</f>
        <v>0</v>
      </c>
      <c r="W205" s="87">
        <f>IFERROR(__xludf.DUMMYFUNCTION("""COMPUTED_VALUE"""),0.0)</f>
        <v>0</v>
      </c>
      <c r="X205" s="88"/>
      <c r="Y205" s="74"/>
      <c r="Z205" s="74"/>
    </row>
    <row r="206">
      <c r="B206" s="74" t="str">
        <f>IFERROR(__xludf.DUMMYFUNCTION("""COMPUTED_VALUE"""),"1203")</f>
        <v>1203</v>
      </c>
      <c r="C206" s="74"/>
      <c r="D206" s="74" t="str">
        <f>IFERROR(__xludf.DUMMYFUNCTION("""COMPUTED_VALUE"""),"\\MCA-S\mk\2_BM\0_BMat\08_PYM\Inventario\excel\Imagen de refacciones\Schwing\Reten 28X40X6")</f>
        <v>\\MCA-S\mk\2_BM\0_BMat\08_PYM\Inventario\excel\Imagen de refacciones\Schwing\Reten 28X40X6</v>
      </c>
      <c r="E206" s="74"/>
      <c r="F206" s="74" t="str">
        <f>IFERROR(__xludf.DUMMYFUNCTION("""COMPUTED_VALUE"""),"Reten 28X40X6")</f>
        <v>Reten 28X40X6</v>
      </c>
      <c r="G206" s="74"/>
      <c r="H206" s="74"/>
      <c r="I206" s="74"/>
      <c r="J206" s="74"/>
      <c r="K206" s="74" t="str">
        <f>IFERROR(__xludf.DUMMYFUNCTION("""COMPUTED_VALUE"""),"Schwing")</f>
        <v>Schwing</v>
      </c>
      <c r="L206" s="74" t="str">
        <f>IFERROR(__xludf.DUMMYFUNCTION("""COMPUTED_VALUE"""),"Sellos y retenes")</f>
        <v>Sellos y retenes</v>
      </c>
      <c r="M206" s="74" t="str">
        <f>IFERROR(__xludf.DUMMYFUNCTION("""COMPUTED_VALUE"""),"Sin Asignar")</f>
        <v>Sin Asignar</v>
      </c>
      <c r="N206" s="87">
        <f>IFERROR(__xludf.DUMMYFUNCTION("""COMPUTED_VALUE"""),0.0)</f>
        <v>0</v>
      </c>
      <c r="O206" s="74"/>
      <c r="P206" s="74" t="str">
        <f>IFERROR(__xludf.DUMMYFUNCTION("""COMPUTED_VALUE"""),"No Available")</f>
        <v>No Available</v>
      </c>
      <c r="Q206" s="74"/>
      <c r="R206" s="74"/>
      <c r="S206" s="87">
        <f>IFERROR(__xludf.DUMMYFUNCTION("""COMPUTED_VALUE"""),0.0)</f>
        <v>0</v>
      </c>
      <c r="T206" s="87">
        <f>IFERROR(__xludf.DUMMYFUNCTION("""COMPUTED_VALUE"""),0.0)</f>
        <v>0</v>
      </c>
      <c r="U206" s="87">
        <f>IFERROR(__xludf.DUMMYFUNCTION("""COMPUTED_VALUE"""),0.0)</f>
        <v>0</v>
      </c>
      <c r="V206" s="87">
        <f>IFERROR(__xludf.DUMMYFUNCTION("""COMPUTED_VALUE"""),0.0)</f>
        <v>0</v>
      </c>
      <c r="W206" s="87">
        <f>IFERROR(__xludf.DUMMYFUNCTION("""COMPUTED_VALUE"""),0.0)</f>
        <v>0</v>
      </c>
      <c r="X206" s="88"/>
      <c r="Y206" s="74"/>
      <c r="Z206" s="74"/>
    </row>
    <row r="207">
      <c r="B207" s="74" t="str">
        <f>IFERROR(__xludf.DUMMYFUNCTION("""COMPUTED_VALUE"""),"1204")</f>
        <v>1204</v>
      </c>
      <c r="C207" s="74"/>
      <c r="D207" s="74" t="str">
        <f>IFERROR(__xludf.DUMMYFUNCTION("""COMPUTED_VALUE"""),"\\MCA-S\mk\2_BM\0_BMat\08_PYM\Inventario\excel\Imagen de refacciones\Schwing\Manguera hidráulica 3_8")</f>
        <v>\\MCA-S\mk\2_BM\0_BMat\08_PYM\Inventario\excel\Imagen de refacciones\Schwing\Manguera hidráulica 3_8</v>
      </c>
      <c r="E207" s="74"/>
      <c r="F207" s="74" t="str">
        <f>IFERROR(__xludf.DUMMYFUNCTION("""COMPUTED_VALUE"""),"Manguera hidráulica 3/8")</f>
        <v>Manguera hidráulica 3/8</v>
      </c>
      <c r="G207" s="74"/>
      <c r="H207" s="74"/>
      <c r="I207" s="74" t="str">
        <f>IFERROR(__xludf.DUMMYFUNCTION("""COMPUTED_VALUE"""),"4014038")</f>
        <v>4014038</v>
      </c>
      <c r="J207" s="74"/>
      <c r="K207" s="74" t="str">
        <f>IFERROR(__xludf.DUMMYFUNCTION("""COMPUTED_VALUE"""),"Schwing")</f>
        <v>Schwing</v>
      </c>
      <c r="L207" s="74" t="str">
        <f>IFERROR(__xludf.DUMMYFUNCTION("""COMPUTED_VALUE"""),"Sellos y retenes")</f>
        <v>Sellos y retenes</v>
      </c>
      <c r="M207" s="74" t="str">
        <f>IFERROR(__xludf.DUMMYFUNCTION("""COMPUTED_VALUE"""),"Sin Asignar")</f>
        <v>Sin Asignar</v>
      </c>
      <c r="N207" s="87">
        <f>IFERROR(__xludf.DUMMYFUNCTION("""COMPUTED_VALUE"""),0.0)</f>
        <v>0</v>
      </c>
      <c r="O207" s="74"/>
      <c r="P207" s="74" t="str">
        <f>IFERROR(__xludf.DUMMYFUNCTION("""COMPUTED_VALUE"""),"No Available")</f>
        <v>No Available</v>
      </c>
      <c r="Q207" s="74"/>
      <c r="R207" s="74"/>
      <c r="S207" s="87">
        <f>IFERROR(__xludf.DUMMYFUNCTION("""COMPUTED_VALUE"""),0.0)</f>
        <v>0</v>
      </c>
      <c r="T207" s="87">
        <f>IFERROR(__xludf.DUMMYFUNCTION("""COMPUTED_VALUE"""),0.0)</f>
        <v>0</v>
      </c>
      <c r="U207" s="87">
        <f>IFERROR(__xludf.DUMMYFUNCTION("""COMPUTED_VALUE"""),0.0)</f>
        <v>0</v>
      </c>
      <c r="V207" s="87">
        <f>IFERROR(__xludf.DUMMYFUNCTION("""COMPUTED_VALUE"""),0.0)</f>
        <v>0</v>
      </c>
      <c r="W207" s="87">
        <f>IFERROR(__xludf.DUMMYFUNCTION("""COMPUTED_VALUE"""),0.0)</f>
        <v>0</v>
      </c>
      <c r="X207" s="88"/>
      <c r="Y207" s="74"/>
      <c r="Z207" s="74"/>
    </row>
    <row r="208">
      <c r="B208" s="74" t="str">
        <f>IFERROR(__xludf.DUMMYFUNCTION("""COMPUTED_VALUE"""),"1205")</f>
        <v>1205</v>
      </c>
      <c r="C208" s="74"/>
      <c r="D208" s="74" t="str">
        <f>IFERROR(__xludf.DUMMYFUNCTION("""COMPUTED_VALUE"""),"\\MCA-S\mk\2_BM\0_BMat\08_PYM\Inventario\excel\Imagen de refacciones\Schwing\Manguera hidráulica 1_2")</f>
        <v>\\MCA-S\mk\2_BM\0_BMat\08_PYM\Inventario\excel\Imagen de refacciones\Schwing\Manguera hidráulica 1_2</v>
      </c>
      <c r="E208" s="74"/>
      <c r="F208" s="74" t="str">
        <f>IFERROR(__xludf.DUMMYFUNCTION("""COMPUTED_VALUE"""),"Manguera hidráulica 1/2")</f>
        <v>Manguera hidráulica 1/2</v>
      </c>
      <c r="G208" s="74"/>
      <c r="H208" s="74"/>
      <c r="I208" s="74" t="str">
        <f>IFERROR(__xludf.DUMMYFUNCTION("""COMPUTED_VALUE"""),"4014202")</f>
        <v>4014202</v>
      </c>
      <c r="J208" s="74"/>
      <c r="K208" s="74" t="str">
        <f>IFERROR(__xludf.DUMMYFUNCTION("""COMPUTED_VALUE"""),"Schwing")</f>
        <v>Schwing</v>
      </c>
      <c r="L208" s="74" t="str">
        <f>IFERROR(__xludf.DUMMYFUNCTION("""COMPUTED_VALUE"""),"Componentes hidráulicos")</f>
        <v>Componentes hidráulicos</v>
      </c>
      <c r="M208" s="74" t="str">
        <f>IFERROR(__xludf.DUMMYFUNCTION("""COMPUTED_VALUE"""),"Sin Asignar")</f>
        <v>Sin Asignar</v>
      </c>
      <c r="N208" s="87">
        <f>IFERROR(__xludf.DUMMYFUNCTION("""COMPUTED_VALUE"""),0.0)</f>
        <v>0</v>
      </c>
      <c r="O208" s="74"/>
      <c r="P208" s="74" t="str">
        <f>IFERROR(__xludf.DUMMYFUNCTION("""COMPUTED_VALUE"""),"No Available")</f>
        <v>No Available</v>
      </c>
      <c r="Q208" s="74"/>
      <c r="R208" s="74"/>
      <c r="S208" s="87">
        <f>IFERROR(__xludf.DUMMYFUNCTION("""COMPUTED_VALUE"""),0.0)</f>
        <v>0</v>
      </c>
      <c r="T208" s="87">
        <f>IFERROR(__xludf.DUMMYFUNCTION("""COMPUTED_VALUE"""),0.0)</f>
        <v>0</v>
      </c>
      <c r="U208" s="87">
        <f>IFERROR(__xludf.DUMMYFUNCTION("""COMPUTED_VALUE"""),0.0)</f>
        <v>0</v>
      </c>
      <c r="V208" s="87">
        <f>IFERROR(__xludf.DUMMYFUNCTION("""COMPUTED_VALUE"""),0.0)</f>
        <v>0</v>
      </c>
      <c r="W208" s="87">
        <f>IFERROR(__xludf.DUMMYFUNCTION("""COMPUTED_VALUE"""),0.0)</f>
        <v>0</v>
      </c>
      <c r="X208" s="88"/>
      <c r="Y208" s="74"/>
      <c r="Z208" s="74"/>
    </row>
    <row r="209">
      <c r="B209" s="74" t="str">
        <f>IFERROR(__xludf.DUMMYFUNCTION("""COMPUTED_VALUE"""),"1206")</f>
        <v>1206</v>
      </c>
      <c r="C209" s="74" t="str">
        <f>IFERROR(__xludf.DUMMYFUNCTION("""COMPUTED_VALUE"""),"75045891206")</f>
        <v>75045891206</v>
      </c>
      <c r="D209" s="74" t="str">
        <f>IFERROR(__xludf.DUMMYFUNCTION("""COMPUTED_VALUE"""),"\\MCA-S\mk\2_BM\0_BMat\08_PYM\Inventario\excel\Imagen de refacciones\Schwing\Set de sellos para cilindro de giro")</f>
        <v>\\MCA-S\mk\2_BM\0_BMat\08_PYM\Inventario\excel\Imagen de refacciones\Schwing\Set de sellos para cilindro de giro</v>
      </c>
      <c r="E209" s="74" t="str">
        <f>IFERROR(__xludf.DUMMYFUNCTION("""COMPUTED_VALUE"""),"SEALING SET FOR  SLEWING CY")</f>
        <v>SEALING SET FOR  SLEWING CY</v>
      </c>
      <c r="F209" s="74" t="str">
        <f>IFERROR(__xludf.DUMMYFUNCTION("""COMPUTED_VALUE"""),"SET SELLOS CILINDRO DE GIRO")</f>
        <v>SET SELLOS CILINDRO DE GIRO</v>
      </c>
      <c r="G209" s="74"/>
      <c r="H209" s="74"/>
      <c r="I209" s="74" t="str">
        <f>IFERROR(__xludf.DUMMYFUNCTION("""COMPUTED_VALUE"""),"10011802")</f>
        <v>10011802</v>
      </c>
      <c r="J209" s="74"/>
      <c r="K209" s="74" t="str">
        <f>IFERROR(__xludf.DUMMYFUNCTION("""COMPUTED_VALUE"""),"Schwing")</f>
        <v>Schwing</v>
      </c>
      <c r="L209" s="74" t="str">
        <f>IFERROR(__xludf.DUMMYFUNCTION("""COMPUTED_VALUE"""),"SIN ASIGNAR")</f>
        <v>SIN ASIGNAR</v>
      </c>
      <c r="M209" s="74" t="str">
        <f>IFERROR(__xludf.DUMMYFUNCTION("""COMPUTED_VALUE"""),"EMPAQUES")</f>
        <v>EMPAQUES</v>
      </c>
      <c r="N209" s="87">
        <f>IFERROR(__xludf.DUMMYFUNCTION("""COMPUTED_VALUE"""),0.0)</f>
        <v>0</v>
      </c>
      <c r="O209" s="74"/>
      <c r="P209" s="74" t="str">
        <f>IFERROR(__xludf.DUMMYFUNCTION("""COMPUTED_VALUE"""),"To Re-purchase")</f>
        <v>To Re-purchase</v>
      </c>
      <c r="Q209" s="74"/>
      <c r="R209" s="74"/>
      <c r="S209" s="87">
        <f>IFERROR(__xludf.DUMMYFUNCTION("""COMPUTED_VALUE"""),0.0)</f>
        <v>0</v>
      </c>
      <c r="T209" s="87">
        <f>IFERROR(__xludf.DUMMYFUNCTION("""COMPUTED_VALUE"""),0.0)</f>
        <v>0</v>
      </c>
      <c r="U209" s="87">
        <f>IFERROR(__xludf.DUMMYFUNCTION("""COMPUTED_VALUE"""),0.0)</f>
        <v>0</v>
      </c>
      <c r="V209" s="87">
        <f>IFERROR(__xludf.DUMMYFUNCTION("""COMPUTED_VALUE"""),0.0)</f>
        <v>0</v>
      </c>
      <c r="W209" s="87">
        <f>IFERROR(__xludf.DUMMYFUNCTION("""COMPUTED_VALUE"""),0.0)</f>
        <v>0</v>
      </c>
      <c r="X209" s="88"/>
      <c r="Y209" s="74"/>
      <c r="Z209" s="74"/>
    </row>
    <row r="210">
      <c r="B210" s="74" t="str">
        <f>IFERROR(__xludf.DUMMYFUNCTION("""COMPUTED_VALUE"""),"1207")</f>
        <v>1207</v>
      </c>
      <c r="C210" s="74" t="str">
        <f>IFERROR(__xludf.DUMMYFUNCTION("""COMPUTED_VALUE"""),"75045891207")</f>
        <v>75045891207</v>
      </c>
      <c r="D210" s="74" t="str">
        <f>IFERROR(__xludf.DUMMYFUNCTION("""COMPUTED_VALUE"""),"\\MCA-S\mk\2_BM\0_BMat\08_PYM\Inventario\excel\Imagen de refacciones\Schwing\Empaquetadura para vástago de bombeo 45_65 X 27.5")</f>
        <v>\\MCA-S\mk\2_BM\0_BMat\08_PYM\Inventario\excel\Imagen de refacciones\Schwing\Empaquetadura para vástago de bombeo 45_65 X 27.5</v>
      </c>
      <c r="E210" s="74" t="str">
        <f>IFERROR(__xludf.DUMMYFUNCTION("""COMPUTED_VALUE"""),"SEAL GLAND SET 45/65x27.5")</f>
        <v>SEAL GLAND SET 45/65x27.5</v>
      </c>
      <c r="F210" s="74" t="str">
        <f>IFERROR(__xludf.DUMMYFUNCTION("""COMPUTED_VALUE"""),"EMPAQUETADURA VASTAGO DE BOMBEO 45/65 X 27.5")</f>
        <v>EMPAQUETADURA VASTAGO DE BOMBEO 45/65 X 27.5</v>
      </c>
      <c r="G210" s="74"/>
      <c r="H210" s="74"/>
      <c r="I210" s="74" t="str">
        <f>IFERROR(__xludf.DUMMYFUNCTION("""COMPUTED_VALUE"""),"10007414")</f>
        <v>10007414</v>
      </c>
      <c r="J210" s="74"/>
      <c r="K210" s="74" t="str">
        <f>IFERROR(__xludf.DUMMYFUNCTION("""COMPUTED_VALUE"""),"Schwing")</f>
        <v>Schwing</v>
      </c>
      <c r="L210" s="74" t="str">
        <f>IFERROR(__xludf.DUMMYFUNCTION("""COMPUTED_VALUE"""),"BARRA V-ROCK")</f>
        <v>BARRA V-ROCK</v>
      </c>
      <c r="M210" s="74" t="str">
        <f>IFERROR(__xludf.DUMMYFUNCTION("""COMPUTED_VALUE"""),"EMPAQUES")</f>
        <v>EMPAQUES</v>
      </c>
      <c r="N210" s="87">
        <f>IFERROR(__xludf.DUMMYFUNCTION("""COMPUTED_VALUE"""),0.0)</f>
        <v>0</v>
      </c>
      <c r="O210" s="74"/>
      <c r="P210" s="74" t="str">
        <f>IFERROR(__xludf.DUMMYFUNCTION("""COMPUTED_VALUE"""),"To Re-purchase")</f>
        <v>To Re-purchase</v>
      </c>
      <c r="Q210" s="74"/>
      <c r="R210" s="74"/>
      <c r="S210" s="87">
        <f>IFERROR(__xludf.DUMMYFUNCTION("""COMPUTED_VALUE"""),0.0)</f>
        <v>0</v>
      </c>
      <c r="T210" s="87">
        <f>IFERROR(__xludf.DUMMYFUNCTION("""COMPUTED_VALUE"""),0.0)</f>
        <v>0</v>
      </c>
      <c r="U210" s="87">
        <f>IFERROR(__xludf.DUMMYFUNCTION("""COMPUTED_VALUE"""),0.0)</f>
        <v>0</v>
      </c>
      <c r="V210" s="87">
        <f>IFERROR(__xludf.DUMMYFUNCTION("""COMPUTED_VALUE"""),0.0)</f>
        <v>0</v>
      </c>
      <c r="W210" s="87">
        <f>IFERROR(__xludf.DUMMYFUNCTION("""COMPUTED_VALUE"""),0.0)</f>
        <v>0</v>
      </c>
      <c r="X210" s="88"/>
      <c r="Y210" s="74"/>
      <c r="Z210" s="74"/>
    </row>
    <row r="211">
      <c r="B211" s="74" t="str">
        <f>IFERROR(__xludf.DUMMYFUNCTION("""COMPUTED_VALUE"""),"1208")</f>
        <v>1208</v>
      </c>
      <c r="C211" s="74" t="str">
        <f>IFERROR(__xludf.DUMMYFUNCTION("""COMPUTED_VALUE"""),"75045891208")</f>
        <v>75045891208</v>
      </c>
      <c r="D211" s="74" t="str">
        <f>IFERROR(__xludf.DUMMYFUNCTION("""COMPUTED_VALUE"""),"\\MCA-S\mk\2_BM\0_BMat\08_PYM\Inventario\excel\Imagen de refacciones\Schwing\Empaquetadura para vástago de bombeo 63_ 83X37")</f>
        <v>\\MCA-S\mk\2_BM\0_BMat\08_PYM\Inventario\excel\Imagen de refacciones\Schwing\Empaquetadura para vástago de bombeo 63_ 83X37</v>
      </c>
      <c r="E211" s="74" t="str">
        <f>IFERROR(__xludf.DUMMYFUNCTION("""COMPUTED_VALUE"""),"SEALING GLAND SET 63/83×37 ")</f>
        <v>SEALING GLAND SET 63/83×37 </v>
      </c>
      <c r="F211" s="74" t="str">
        <f>IFERROR(__xludf.DUMMYFUNCTION("""COMPUTED_VALUE"""),"EMPAQUETADURA VASTAGO DE BOMBEO 63/ 83X37")</f>
        <v>EMPAQUETADURA VASTAGO DE BOMBEO 63/ 83X37</v>
      </c>
      <c r="G211" s="74"/>
      <c r="H211" s="74"/>
      <c r="I211" s="74" t="str">
        <f>IFERROR(__xludf.DUMMYFUNCTION("""COMPUTED_VALUE"""),"10003423")</f>
        <v>10003423</v>
      </c>
      <c r="J211" s="74"/>
      <c r="K211" s="74" t="str">
        <f>IFERROR(__xludf.DUMMYFUNCTION("""COMPUTED_VALUE"""),"Schwing")</f>
        <v>Schwing</v>
      </c>
      <c r="L211" s="74" t="str">
        <f>IFERROR(__xludf.DUMMYFUNCTION("""COMPUTED_VALUE"""),"BARRA V-ROCK")</f>
        <v>BARRA V-ROCK</v>
      </c>
      <c r="M211" s="74" t="str">
        <f>IFERROR(__xludf.DUMMYFUNCTION("""COMPUTED_VALUE"""),"EMPAQUES")</f>
        <v>EMPAQUES</v>
      </c>
      <c r="N211" s="87">
        <f>IFERROR(__xludf.DUMMYFUNCTION("""COMPUTED_VALUE"""),0.0)</f>
        <v>0</v>
      </c>
      <c r="O211" s="74"/>
      <c r="P211" s="74" t="str">
        <f>IFERROR(__xludf.DUMMYFUNCTION("""COMPUTED_VALUE"""),"To Re-purchase")</f>
        <v>To Re-purchase</v>
      </c>
      <c r="Q211" s="74"/>
      <c r="R211" s="74"/>
      <c r="S211" s="87">
        <f>IFERROR(__xludf.DUMMYFUNCTION("""COMPUTED_VALUE"""),0.0)</f>
        <v>0</v>
      </c>
      <c r="T211" s="87">
        <f>IFERROR(__xludf.DUMMYFUNCTION("""COMPUTED_VALUE"""),0.0)</f>
        <v>0</v>
      </c>
      <c r="U211" s="87">
        <f>IFERROR(__xludf.DUMMYFUNCTION("""COMPUTED_VALUE"""),0.0)</f>
        <v>0</v>
      </c>
      <c r="V211" s="87">
        <f>IFERROR(__xludf.DUMMYFUNCTION("""COMPUTED_VALUE"""),0.0)</f>
        <v>0</v>
      </c>
      <c r="W211" s="87">
        <f>IFERROR(__xludf.DUMMYFUNCTION("""COMPUTED_VALUE"""),0.0)</f>
        <v>0</v>
      </c>
      <c r="X211" s="88"/>
      <c r="Y211" s="74"/>
      <c r="Z211" s="74"/>
    </row>
    <row r="212">
      <c r="B212" s="74" t="str">
        <f>IFERROR(__xludf.DUMMYFUNCTION("""COMPUTED_VALUE"""),"1209")</f>
        <v>1209</v>
      </c>
      <c r="C212" s="74" t="str">
        <f>IFERROR(__xludf.DUMMYFUNCTION("""COMPUTED_VALUE"""),"75045891209")</f>
        <v>75045891209</v>
      </c>
      <c r="D212" s="74" t="str">
        <f>IFERROR(__xludf.DUMMYFUNCTION("""COMPUTED_VALUE"""),"\\MCA-S\mk\2_BM\0_BMat\08_PYM\Inventario\excel\Imagen de refacciones\Schwing\Empaquetadura para vástago de bombeo 80_100X7")</f>
        <v>\\MCA-S\mk\2_BM\0_BMat\08_PYM\Inventario\excel\Imagen de refacciones\Schwing\Empaquetadura para vástago de bombeo 80_100X7</v>
      </c>
      <c r="E212" s="74" t="str">
        <f>IFERROR(__xludf.DUMMYFUNCTION("""COMPUTED_VALUE"""),"MAIN CYLINDER SEAL 80/100X7")</f>
        <v>MAIN CYLINDER SEAL 80/100X7</v>
      </c>
      <c r="F212" s="74" t="str">
        <f>IFERROR(__xludf.DUMMYFUNCTION("""COMPUTED_VALUE"""),"EMPAQUETADURA VASTAGO DE BOMBEO 80X100X7")</f>
        <v>EMPAQUETADURA VASTAGO DE BOMBEO 80X100X7</v>
      </c>
      <c r="G212" s="74"/>
      <c r="H212" s="74"/>
      <c r="I212" s="74" t="str">
        <f>IFERROR(__xludf.DUMMYFUNCTION("""COMPUTED_VALUE"""),"10003421")</f>
        <v>10003421</v>
      </c>
      <c r="J212" s="74"/>
      <c r="K212" s="74" t="str">
        <f>IFERROR(__xludf.DUMMYFUNCTION("""COMPUTED_VALUE"""),"Schwing")</f>
        <v>Schwing</v>
      </c>
      <c r="L212" s="74" t="str">
        <f>IFERROR(__xludf.DUMMYFUNCTION("""COMPUTED_VALUE"""),"BARRA V-ROCK")</f>
        <v>BARRA V-ROCK</v>
      </c>
      <c r="M212" s="74" t="str">
        <f>IFERROR(__xludf.DUMMYFUNCTION("""COMPUTED_VALUE"""),"EMPAQUES")</f>
        <v>EMPAQUES</v>
      </c>
      <c r="N212" s="87">
        <f>IFERROR(__xludf.DUMMYFUNCTION("""COMPUTED_VALUE"""),1420.8)</f>
        <v>1420.8</v>
      </c>
      <c r="O212" s="74">
        <f>IFERROR(__xludf.DUMMYFUNCTION("""COMPUTED_VALUE"""),6.0)</f>
        <v>6</v>
      </c>
      <c r="P212" s="74" t="str">
        <f>IFERROR(__xludf.DUMMYFUNCTION("""COMPUTED_VALUE"""),"In stock")</f>
        <v>In stock</v>
      </c>
      <c r="Q212" s="74"/>
      <c r="R212" s="74"/>
      <c r="S212" s="87">
        <f>IFERROR(__xludf.DUMMYFUNCTION("""COMPUTED_VALUE"""),10.0)</f>
        <v>10</v>
      </c>
      <c r="T212" s="87">
        <f>IFERROR(__xludf.DUMMYFUNCTION("""COMPUTED_VALUE"""),80.0)</f>
        <v>80</v>
      </c>
      <c r="U212" s="87">
        <f>IFERROR(__xludf.DUMMYFUNCTION("""COMPUTED_VALUE"""),76.8)</f>
        <v>76.8</v>
      </c>
      <c r="V212" s="87">
        <f>IFERROR(__xludf.DUMMYFUNCTION("""COMPUTED_VALUE"""),12.25)</f>
        <v>12.25</v>
      </c>
      <c r="W212" s="87">
        <f>IFERROR(__xludf.DUMMYFUNCTION("""COMPUTED_VALUE"""),229.6875)</f>
        <v>229.6875</v>
      </c>
      <c r="X212" s="88">
        <f>IFERROR(__xludf.DUMMYFUNCTION("""COMPUTED_VALUE"""),7.68)</f>
        <v>7.68</v>
      </c>
      <c r="Y212" s="74"/>
      <c r="Z212" s="74"/>
    </row>
    <row r="213">
      <c r="B213" s="74" t="str">
        <f>IFERROR(__xludf.DUMMYFUNCTION("""COMPUTED_VALUE"""),"1210")</f>
        <v>1210</v>
      </c>
      <c r="C213" s="74" t="str">
        <f>IFERROR(__xludf.DUMMYFUNCTION("""COMPUTED_VALUE"""),"75045891210")</f>
        <v>75045891210</v>
      </c>
      <c r="D213" s="74" t="str">
        <f>IFERROR(__xludf.DUMMYFUNCTION("""COMPUTED_VALUE"""),"\\MCA-S\mk\2_BM\0_BMat\08_PYM\Inventario\excel\Imagen de refacciones\Schwing\Valvula reguladora de potencia de bombeo")</f>
        <v>\\MCA-S\mk\2_BM\0_BMat\08_PYM\Inventario\excel\Imagen de refacciones\Schwing\Valvula reguladora de potencia de bombeo</v>
      </c>
      <c r="E213" s="74" t="str">
        <f>IFERROR(__xludf.DUMMYFUNCTION("""COMPUTED_VALUE"""),"PUMP HYDRAULIC SAFETY VALVE")</f>
        <v>PUMP HYDRAULIC SAFETY VALVE</v>
      </c>
      <c r="F213" s="74" t="str">
        <f>IFERROR(__xludf.DUMMYFUNCTION("""COMPUTED_VALUE"""),"VALVULA REGULADORA DE POTENCIA PARA BOMBEO ")</f>
        <v>VALVULA REGULADORA DE POTENCIA PARA BOMBEO </v>
      </c>
      <c r="G213" s="74"/>
      <c r="H213" s="74"/>
      <c r="I213" s="74" t="str">
        <f>IFERROR(__xludf.DUMMYFUNCTION("""COMPUTED_VALUE"""),"10009673")</f>
        <v>10009673</v>
      </c>
      <c r="J213" s="74"/>
      <c r="K213" s="74" t="str">
        <f>IFERROR(__xludf.DUMMYFUNCTION("""COMPUTED_VALUE"""),"Schwing")</f>
        <v>Schwing</v>
      </c>
      <c r="L213" s="74" t="str">
        <f>IFERROR(__xludf.DUMMYFUNCTION("""COMPUTED_VALUE"""),"SIN ASIGNAR")</f>
        <v>SIN ASIGNAR</v>
      </c>
      <c r="M213" s="74" t="str">
        <f>IFERROR(__xludf.DUMMYFUNCTION("""COMPUTED_VALUE"""),"SIN ASIGNAR")</f>
        <v>SIN ASIGNAR</v>
      </c>
      <c r="N213" s="87">
        <f>IFERROR(__xludf.DUMMYFUNCTION("""COMPUTED_VALUE"""),0.0)</f>
        <v>0</v>
      </c>
      <c r="O213" s="74"/>
      <c r="P213" s="74" t="str">
        <f>IFERROR(__xludf.DUMMYFUNCTION("""COMPUTED_VALUE"""),"To Re-purchase")</f>
        <v>To Re-purchase</v>
      </c>
      <c r="Q213" s="74"/>
      <c r="R213" s="74"/>
      <c r="S213" s="87">
        <f>IFERROR(__xludf.DUMMYFUNCTION("""COMPUTED_VALUE"""),0.0)</f>
        <v>0</v>
      </c>
      <c r="T213" s="87">
        <f>IFERROR(__xludf.DUMMYFUNCTION("""COMPUTED_VALUE"""),0.0)</f>
        <v>0</v>
      </c>
      <c r="U213" s="87">
        <f>IFERROR(__xludf.DUMMYFUNCTION("""COMPUTED_VALUE"""),0.0)</f>
        <v>0</v>
      </c>
      <c r="V213" s="87">
        <f>IFERROR(__xludf.DUMMYFUNCTION("""COMPUTED_VALUE"""),0.0)</f>
        <v>0</v>
      </c>
      <c r="W213" s="87">
        <f>IFERROR(__xludf.DUMMYFUNCTION("""COMPUTED_VALUE"""),0.0)</f>
        <v>0</v>
      </c>
      <c r="X213" s="88"/>
      <c r="Y213" s="74"/>
      <c r="Z213" s="74"/>
    </row>
    <row r="214">
      <c r="B214" s="74" t="str">
        <f>IFERROR(__xludf.DUMMYFUNCTION("""COMPUTED_VALUE"""),"1211")</f>
        <v>1211</v>
      </c>
      <c r="C214" s="74" t="str">
        <f>IFERROR(__xludf.DUMMYFUNCTION("""COMPUTED_VALUE"""),"75045891211")</f>
        <v>75045891211</v>
      </c>
      <c r="D214" s="74" t="str">
        <f>IFERROR(__xludf.DUMMYFUNCTION("""COMPUTED_VALUE"""),"\\MCA-S\mk\2_BM\0_BMat\08_PYM\Inventario\excel\Imagen de refacciones\Schwing\Rascador (wisper_scrapper) medida 45_55X 7")</f>
        <v>\\MCA-S\mk\2_BM\0_BMat\08_PYM\Inventario\excel\Imagen de refacciones\Schwing\Rascador (wisper_scrapper) medida 45_55X 7</v>
      </c>
      <c r="E214" s="74" t="str">
        <f>IFERROR(__xludf.DUMMYFUNCTION("""COMPUTED_VALUE"""),"WISPER/SCRAPPER RING 45 x 55 x 7")</f>
        <v>WISPER/SCRAPPER RING 45 x 55 x 7</v>
      </c>
      <c r="F214" s="74" t="str">
        <f>IFERROR(__xludf.DUMMYFUNCTION("""COMPUTED_VALUE"""),"RASCADOR (WISPER/SCRAPPER) MEDIDAS 45/55X 7")</f>
        <v>RASCADOR (WISPER/SCRAPPER) MEDIDAS 45/55X 7</v>
      </c>
      <c r="G214" s="74"/>
      <c r="H214" s="74"/>
      <c r="I214" s="74" t="str">
        <f>IFERROR(__xludf.DUMMYFUNCTION("""COMPUTED_VALUE"""),"10006804")</f>
        <v>10006804</v>
      </c>
      <c r="J214" s="74"/>
      <c r="K214" s="74" t="str">
        <f>IFERROR(__xludf.DUMMYFUNCTION("""COMPUTED_VALUE"""),"Schwing")</f>
        <v>Schwing</v>
      </c>
      <c r="L214" s="74" t="str">
        <f>IFERROR(__xludf.DUMMYFUNCTION("""COMPUTED_VALUE"""),"SIN ASIGNAR")</f>
        <v>SIN ASIGNAR</v>
      </c>
      <c r="M214" s="74" t="str">
        <f>IFERROR(__xludf.DUMMYFUNCTION("""COMPUTED_VALUE"""),"EMPAQUES")</f>
        <v>EMPAQUES</v>
      </c>
      <c r="N214" s="87">
        <f>IFERROR(__xludf.DUMMYFUNCTION("""COMPUTED_VALUE"""),0.0)</f>
        <v>0</v>
      </c>
      <c r="O214" s="74"/>
      <c r="P214" s="74" t="str">
        <f>IFERROR(__xludf.DUMMYFUNCTION("""COMPUTED_VALUE"""),"To Re-purchase")</f>
        <v>To Re-purchase</v>
      </c>
      <c r="Q214" s="74"/>
      <c r="R214" s="74"/>
      <c r="S214" s="87">
        <f>IFERROR(__xludf.DUMMYFUNCTION("""COMPUTED_VALUE"""),0.0)</f>
        <v>0</v>
      </c>
      <c r="T214" s="87">
        <f>IFERROR(__xludf.DUMMYFUNCTION("""COMPUTED_VALUE"""),0.0)</f>
        <v>0</v>
      </c>
      <c r="U214" s="87">
        <f>IFERROR(__xludf.DUMMYFUNCTION("""COMPUTED_VALUE"""),0.0)</f>
        <v>0</v>
      </c>
      <c r="V214" s="87">
        <f>IFERROR(__xludf.DUMMYFUNCTION("""COMPUTED_VALUE"""),0.0)</f>
        <v>0</v>
      </c>
      <c r="W214" s="87">
        <f>IFERROR(__xludf.DUMMYFUNCTION("""COMPUTED_VALUE"""),0.0)</f>
        <v>0</v>
      </c>
      <c r="X214" s="88"/>
      <c r="Y214" s="74"/>
      <c r="Z214" s="74"/>
    </row>
    <row r="215">
      <c r="B215" s="74" t="str">
        <f>IFERROR(__xludf.DUMMYFUNCTION("""COMPUTED_VALUE"""),"1212")</f>
        <v>1212</v>
      </c>
      <c r="C215" s="74" t="str">
        <f>IFERROR(__xludf.DUMMYFUNCTION("""COMPUTED_VALUE"""),"75045891212")</f>
        <v>75045891212</v>
      </c>
      <c r="D215" s="74" t="str">
        <f>IFERROR(__xludf.DUMMYFUNCTION("""COMPUTED_VALUE"""),"\\MCA-S\mk\2_BM\0_BMat\08_PYM\Inventario\excel\Imagen de refacciones\Schwing\Rascador (wisper_scrapper) medida 63_73 X 7")</f>
        <v>\\MCA-S\mk\2_BM\0_BMat\08_PYM\Inventario\excel\Imagen de refacciones\Schwing\Rascador (wisper_scrapper) medida 63_73 X 7</v>
      </c>
      <c r="E215" s="74" t="str">
        <f>IFERROR(__xludf.DUMMYFUNCTION("""COMPUTED_VALUE"""),"WISPER/SCRAPPER RING 63/73x7")</f>
        <v>WISPER/SCRAPPER RING 63/73x7</v>
      </c>
      <c r="F215" s="74" t="str">
        <f>IFERROR(__xludf.DUMMYFUNCTION("""COMPUTED_VALUE"""),"RASCADOR (WISPER/SCRAPPER) MEDIDAS 63/73 X 7")</f>
        <v>RASCADOR (WISPER/SCRAPPER) MEDIDAS 63/73 X 7</v>
      </c>
      <c r="G215" s="74"/>
      <c r="H215" s="74"/>
      <c r="I215" s="74" t="str">
        <f>IFERROR(__xludf.DUMMYFUNCTION("""COMPUTED_VALUE"""),"10003870")</f>
        <v>10003870</v>
      </c>
      <c r="J215" s="74"/>
      <c r="K215" s="74" t="str">
        <f>IFERROR(__xludf.DUMMYFUNCTION("""COMPUTED_VALUE"""),"Schwing")</f>
        <v>Schwing</v>
      </c>
      <c r="L215" s="74" t="str">
        <f>IFERROR(__xludf.DUMMYFUNCTION("""COMPUTED_VALUE"""),"SIN ASIGNAR")</f>
        <v>SIN ASIGNAR</v>
      </c>
      <c r="M215" s="74" t="str">
        <f>IFERROR(__xludf.DUMMYFUNCTION("""COMPUTED_VALUE"""),"EMPAQUES")</f>
        <v>EMPAQUES</v>
      </c>
      <c r="N215" s="87">
        <f>IFERROR(__xludf.DUMMYFUNCTION("""COMPUTED_VALUE"""),0.0)</f>
        <v>0</v>
      </c>
      <c r="O215" s="74"/>
      <c r="P215" s="74" t="str">
        <f>IFERROR(__xludf.DUMMYFUNCTION("""COMPUTED_VALUE"""),"To Re-purchase")</f>
        <v>To Re-purchase</v>
      </c>
      <c r="Q215" s="74"/>
      <c r="R215" s="74"/>
      <c r="S215" s="87">
        <f>IFERROR(__xludf.DUMMYFUNCTION("""COMPUTED_VALUE"""),0.0)</f>
        <v>0</v>
      </c>
      <c r="T215" s="87">
        <f>IFERROR(__xludf.DUMMYFUNCTION("""COMPUTED_VALUE"""),0.0)</f>
        <v>0</v>
      </c>
      <c r="U215" s="87">
        <f>IFERROR(__xludf.DUMMYFUNCTION("""COMPUTED_VALUE"""),0.0)</f>
        <v>0</v>
      </c>
      <c r="V215" s="87">
        <f>IFERROR(__xludf.DUMMYFUNCTION("""COMPUTED_VALUE"""),0.0)</f>
        <v>0</v>
      </c>
      <c r="W215" s="87">
        <f>IFERROR(__xludf.DUMMYFUNCTION("""COMPUTED_VALUE"""),0.0)</f>
        <v>0</v>
      </c>
      <c r="X215" s="88"/>
      <c r="Y215" s="74"/>
      <c r="Z215" s="74"/>
    </row>
    <row r="216">
      <c r="B216" s="74" t="str">
        <f>IFERROR(__xludf.DUMMYFUNCTION("""COMPUTED_VALUE"""),"1213")</f>
        <v>1213</v>
      </c>
      <c r="C216" s="74" t="str">
        <f>IFERROR(__xludf.DUMMYFUNCTION("""COMPUTED_VALUE"""),"75045891213")</f>
        <v>75045891213</v>
      </c>
      <c r="D216" s="74" t="str">
        <f>IFERROR(__xludf.DUMMYFUNCTION("""COMPUTED_VALUE"""),"\\MCA-S\mk\2_BM\0_BMat\08_PYM\Inventario\excel\Imagen de refacciones\Schwing\Rascador (wisper_scrapper) medida 80_92.2 X 12")</f>
        <v>\\MCA-S\mk\2_BM\0_BMat\08_PYM\Inventario\excel\Imagen de refacciones\Schwing\Rascador (wisper_scrapper) medida 80_92.2 X 12</v>
      </c>
      <c r="E216" s="74" t="str">
        <f>IFERROR(__xludf.DUMMYFUNCTION("""COMPUTED_VALUE"""),"WISPER/SCRAPPER RING 80/92.2 X 12")</f>
        <v>WISPER/SCRAPPER RING 80/92.2 X 12</v>
      </c>
      <c r="F216" s="74" t="str">
        <f>IFERROR(__xludf.DUMMYFUNCTION("""COMPUTED_VALUE"""),"RASCADOR (WISPER/SCRAPPER) MEDIDAS 80/92.2 X 12")</f>
        <v>RASCADOR (WISPER/SCRAPPER) MEDIDAS 80/92.2 X 12</v>
      </c>
      <c r="G216" s="74"/>
      <c r="H216" s="74"/>
      <c r="I216" s="74" t="str">
        <f>IFERROR(__xludf.DUMMYFUNCTION("""COMPUTED_VALUE"""),"10002329")</f>
        <v>10002329</v>
      </c>
      <c r="J216" s="74"/>
      <c r="K216" s="74" t="str">
        <f>IFERROR(__xludf.DUMMYFUNCTION("""COMPUTED_VALUE"""),"Schwing")</f>
        <v>Schwing</v>
      </c>
      <c r="L216" s="74" t="str">
        <f>IFERROR(__xludf.DUMMYFUNCTION("""COMPUTED_VALUE"""),"SIN ASIGNAR")</f>
        <v>SIN ASIGNAR</v>
      </c>
      <c r="M216" s="74" t="str">
        <f>IFERROR(__xludf.DUMMYFUNCTION("""COMPUTED_VALUE"""),"EMPAQUES")</f>
        <v>EMPAQUES</v>
      </c>
      <c r="N216" s="87">
        <f>IFERROR(__xludf.DUMMYFUNCTION("""COMPUTED_VALUE"""),0.0)</f>
        <v>0</v>
      </c>
      <c r="O216" s="74"/>
      <c r="P216" s="74" t="str">
        <f>IFERROR(__xludf.DUMMYFUNCTION("""COMPUTED_VALUE"""),"To Re-purchase")</f>
        <v>To Re-purchase</v>
      </c>
      <c r="Q216" s="74"/>
      <c r="R216" s="74"/>
      <c r="S216" s="87">
        <f>IFERROR(__xludf.DUMMYFUNCTION("""COMPUTED_VALUE"""),0.0)</f>
        <v>0</v>
      </c>
      <c r="T216" s="87">
        <f>IFERROR(__xludf.DUMMYFUNCTION("""COMPUTED_VALUE"""),0.0)</f>
        <v>0</v>
      </c>
      <c r="U216" s="87">
        <f>IFERROR(__xludf.DUMMYFUNCTION("""COMPUTED_VALUE"""),0.0)</f>
        <v>0</v>
      </c>
      <c r="V216" s="87">
        <f>IFERROR(__xludf.DUMMYFUNCTION("""COMPUTED_VALUE"""),0.0)</f>
        <v>0</v>
      </c>
      <c r="W216" s="87">
        <f>IFERROR(__xludf.DUMMYFUNCTION("""COMPUTED_VALUE"""),0.0)</f>
        <v>0</v>
      </c>
      <c r="X216" s="88"/>
      <c r="Y216" s="74"/>
      <c r="Z216" s="74"/>
    </row>
    <row r="217">
      <c r="B217" s="74" t="str">
        <f>IFERROR(__xludf.DUMMYFUNCTION("""COMPUTED_VALUE"""),"1214")</f>
        <v>1214</v>
      </c>
      <c r="C217" s="74" t="str">
        <f>IFERROR(__xludf.DUMMYFUNCTION("""COMPUTED_VALUE"""),"75045891214")</f>
        <v>75045891214</v>
      </c>
      <c r="D217" s="74" t="str">
        <f>IFERROR(__xludf.DUMMYFUNCTION("""COMPUTED_VALUE"""),"\\MCA-S\mk\2_BM\0_BMat\08_PYM\Inventario\excel\Imagen de refacciones\Schwing\Rascador (wisper_scrapper) medida 63_73 X 7 (1)")</f>
        <v>\\MCA-S\mk\2_BM\0_BMat\08_PYM\Inventario\excel\Imagen de refacciones\Schwing\Rascador (wisper_scrapper) medida 63_73 X 7 (1)</v>
      </c>
      <c r="E217" s="74"/>
      <c r="F217" s="74" t="str">
        <f>IFERROR(__xludf.DUMMYFUNCTION("""COMPUTED_VALUE"""),"Rascador (wisper/scrapper) medida 63/73 X 7")</f>
        <v>Rascador (wisper/scrapper) medida 63/73 X 7</v>
      </c>
      <c r="G217" s="74"/>
      <c r="H217" s="74"/>
      <c r="I217" s="74" t="str">
        <f>IFERROR(__xludf.DUMMYFUNCTION("""COMPUTED_VALUE"""),"10003870")</f>
        <v>10003870</v>
      </c>
      <c r="J217" s="74"/>
      <c r="K217" s="74" t="str">
        <f>IFERROR(__xludf.DUMMYFUNCTION("""COMPUTED_VALUE"""),"Schwing")</f>
        <v>Schwing</v>
      </c>
      <c r="L217" s="74" t="str">
        <f>IFERROR(__xludf.DUMMYFUNCTION("""COMPUTED_VALUE"""),"Sellos y retenes")</f>
        <v>Sellos y retenes</v>
      </c>
      <c r="M217" s="74" t="str">
        <f>IFERROR(__xludf.DUMMYFUNCTION("""COMPUTED_VALUE"""),"Sin Asignar")</f>
        <v>Sin Asignar</v>
      </c>
      <c r="N217" s="87">
        <f>IFERROR(__xludf.DUMMYFUNCTION("""COMPUTED_VALUE"""),0.0)</f>
        <v>0</v>
      </c>
      <c r="O217" s="74"/>
      <c r="P217" s="74" t="str">
        <f>IFERROR(__xludf.DUMMYFUNCTION("""COMPUTED_VALUE"""),"No Available")</f>
        <v>No Available</v>
      </c>
      <c r="Q217" s="74"/>
      <c r="R217" s="74"/>
      <c r="S217" s="87">
        <f>IFERROR(__xludf.DUMMYFUNCTION("""COMPUTED_VALUE"""),0.0)</f>
        <v>0</v>
      </c>
      <c r="T217" s="87">
        <f>IFERROR(__xludf.DUMMYFUNCTION("""COMPUTED_VALUE"""),0.0)</f>
        <v>0</v>
      </c>
      <c r="U217" s="87">
        <f>IFERROR(__xludf.DUMMYFUNCTION("""COMPUTED_VALUE"""),0.0)</f>
        <v>0</v>
      </c>
      <c r="V217" s="87">
        <f>IFERROR(__xludf.DUMMYFUNCTION("""COMPUTED_VALUE"""),0.0)</f>
        <v>0</v>
      </c>
      <c r="W217" s="87">
        <f>IFERROR(__xludf.DUMMYFUNCTION("""COMPUTED_VALUE"""),0.0)</f>
        <v>0</v>
      </c>
      <c r="X217" s="88"/>
      <c r="Y217" s="74"/>
      <c r="Z217" s="74"/>
    </row>
    <row r="218">
      <c r="B218" s="74" t="str">
        <f>IFERROR(__xludf.DUMMYFUNCTION("""COMPUTED_VALUE"""),"1215")</f>
        <v>1215</v>
      </c>
      <c r="C218" s="74"/>
      <c r="D218" s="74" t="str">
        <f>IFERROR(__xludf.DUMMYFUNCTION("""COMPUTED_VALUE"""),"\\MCA-S\mk\2_BM\0_BMat\08_PYM\Inventario\excel\Imagen de refacciones\Schwing\Rascador (wisper_scrapper) medida 80_92.2 X 12 (1)")</f>
        <v>\\MCA-S\mk\2_BM\0_BMat\08_PYM\Inventario\excel\Imagen de refacciones\Schwing\Rascador (wisper_scrapper) medida 80_92.2 X 12 (1)</v>
      </c>
      <c r="E218" s="74"/>
      <c r="F218" s="74" t="str">
        <f>IFERROR(__xludf.DUMMYFUNCTION("""COMPUTED_VALUE"""),"Rascador (wisper/scrapper) medida 80/92.2 X 12")</f>
        <v>Rascador (wisper/scrapper) medida 80/92.2 X 12</v>
      </c>
      <c r="G218" s="74"/>
      <c r="H218" s="74"/>
      <c r="I218" s="74" t="str">
        <f>IFERROR(__xludf.DUMMYFUNCTION("""COMPUTED_VALUE"""),"10002329")</f>
        <v>10002329</v>
      </c>
      <c r="J218" s="74"/>
      <c r="K218" s="74" t="str">
        <f>IFERROR(__xludf.DUMMYFUNCTION("""COMPUTED_VALUE"""),"Schwing")</f>
        <v>Schwing</v>
      </c>
      <c r="L218" s="74" t="str">
        <f>IFERROR(__xludf.DUMMYFUNCTION("""COMPUTED_VALUE"""),"Sellos y retenes")</f>
        <v>Sellos y retenes</v>
      </c>
      <c r="M218" s="74" t="str">
        <f>IFERROR(__xludf.DUMMYFUNCTION("""COMPUTED_VALUE"""),"Sin Asignar")</f>
        <v>Sin Asignar</v>
      </c>
      <c r="N218" s="87">
        <f>IFERROR(__xludf.DUMMYFUNCTION("""COMPUTED_VALUE"""),0.0)</f>
        <v>0</v>
      </c>
      <c r="O218" s="74"/>
      <c r="P218" s="74" t="str">
        <f>IFERROR(__xludf.DUMMYFUNCTION("""COMPUTED_VALUE"""),"No Available")</f>
        <v>No Available</v>
      </c>
      <c r="Q218" s="74"/>
      <c r="R218" s="74"/>
      <c r="S218" s="87">
        <f>IFERROR(__xludf.DUMMYFUNCTION("""COMPUTED_VALUE"""),0.0)</f>
        <v>0</v>
      </c>
      <c r="T218" s="87">
        <f>IFERROR(__xludf.DUMMYFUNCTION("""COMPUTED_VALUE"""),0.0)</f>
        <v>0</v>
      </c>
      <c r="U218" s="87">
        <f>IFERROR(__xludf.DUMMYFUNCTION("""COMPUTED_VALUE"""),0.0)</f>
        <v>0</v>
      </c>
      <c r="V218" s="87">
        <f>IFERROR(__xludf.DUMMYFUNCTION("""COMPUTED_VALUE"""),0.0)</f>
        <v>0</v>
      </c>
      <c r="W218" s="87">
        <f>IFERROR(__xludf.DUMMYFUNCTION("""COMPUTED_VALUE"""),0.0)</f>
        <v>0</v>
      </c>
      <c r="X218" s="88"/>
      <c r="Y218" s="74"/>
      <c r="Z218" s="74"/>
    </row>
    <row r="219">
      <c r="B219" s="74" t="str">
        <f>IFERROR(__xludf.DUMMYFUNCTION("""COMPUTED_VALUE"""),"1216")</f>
        <v>1216</v>
      </c>
      <c r="C219" s="74" t="str">
        <f>IFERROR(__xludf.DUMMYFUNCTION("""COMPUTED_VALUE"""),"75045891216")</f>
        <v>75045891216</v>
      </c>
      <c r="D219" s="74" t="str">
        <f>IFERROR(__xludf.DUMMYFUNCTION("""COMPUTED_VALUE"""),"\\MCA-S\mk\2_BM\0_BMat\08_PYM\Inventario\excel\Imagen de refacciones\Schwing\Rascador (wisper_scrapper) medida 55_62 X 7")</f>
        <v>\\MCA-S\mk\2_BM\0_BMat\08_PYM\Inventario\excel\Imagen de refacciones\Schwing\Rascador (wisper_scrapper) medida 55_62 X 7</v>
      </c>
      <c r="E219" s="74" t="str">
        <f>IFERROR(__xludf.DUMMYFUNCTION("""COMPUTED_VALUE"""),"WISPER/SCRAPPER RING 55/62 X 7")</f>
        <v>WISPER/SCRAPPER RING 55/62 X 7</v>
      </c>
      <c r="F219" s="74" t="str">
        <f>IFERROR(__xludf.DUMMYFUNCTION("""COMPUTED_VALUE"""),"RASCADOR (WISPER/SCRAPPER) MEDIDAS 55/62 X 7")</f>
        <v>RASCADOR (WISPER/SCRAPPER) MEDIDAS 55/62 X 7</v>
      </c>
      <c r="G219" s="74"/>
      <c r="H219" s="74"/>
      <c r="I219" s="74" t="str">
        <f>IFERROR(__xludf.DUMMYFUNCTION("""COMPUTED_VALUE"""),"10079310")</f>
        <v>10079310</v>
      </c>
      <c r="J219" s="74"/>
      <c r="K219" s="74" t="str">
        <f>IFERROR(__xludf.DUMMYFUNCTION("""COMPUTED_VALUE"""),"Schwing")</f>
        <v>Schwing</v>
      </c>
      <c r="L219" s="74" t="str">
        <f>IFERROR(__xludf.DUMMYFUNCTION("""COMPUTED_VALUE"""),"SIN ASIGNAR")</f>
        <v>SIN ASIGNAR</v>
      </c>
      <c r="M219" s="74" t="str">
        <f>IFERROR(__xludf.DUMMYFUNCTION("""COMPUTED_VALUE"""),"EMPAQUES")</f>
        <v>EMPAQUES</v>
      </c>
      <c r="N219" s="87">
        <f>IFERROR(__xludf.DUMMYFUNCTION("""COMPUTED_VALUE"""),0.0)</f>
        <v>0</v>
      </c>
      <c r="O219" s="74"/>
      <c r="P219" s="74" t="str">
        <f>IFERROR(__xludf.DUMMYFUNCTION("""COMPUTED_VALUE"""),"To Re-purchase")</f>
        <v>To Re-purchase</v>
      </c>
      <c r="Q219" s="74"/>
      <c r="R219" s="74"/>
      <c r="S219" s="87">
        <f>IFERROR(__xludf.DUMMYFUNCTION("""COMPUTED_VALUE"""),0.0)</f>
        <v>0</v>
      </c>
      <c r="T219" s="87">
        <f>IFERROR(__xludf.DUMMYFUNCTION("""COMPUTED_VALUE"""),0.0)</f>
        <v>0</v>
      </c>
      <c r="U219" s="87">
        <f>IFERROR(__xludf.DUMMYFUNCTION("""COMPUTED_VALUE"""),0.0)</f>
        <v>0</v>
      </c>
      <c r="V219" s="87">
        <f>IFERROR(__xludf.DUMMYFUNCTION("""COMPUTED_VALUE"""),0.0)</f>
        <v>0</v>
      </c>
      <c r="W219" s="87">
        <f>IFERROR(__xludf.DUMMYFUNCTION("""COMPUTED_VALUE"""),0.0)</f>
        <v>0</v>
      </c>
      <c r="X219" s="88"/>
      <c r="Y219" s="74"/>
      <c r="Z219" s="74"/>
    </row>
    <row r="220">
      <c r="B220" s="74" t="str">
        <f>IFERROR(__xludf.DUMMYFUNCTION("""COMPUTED_VALUE"""),"1217")</f>
        <v>1217</v>
      </c>
      <c r="C220" s="74" t="str">
        <f>IFERROR(__xludf.DUMMYFUNCTION("""COMPUTED_VALUE"""),"75045891217")</f>
        <v>75045891217</v>
      </c>
      <c r="D220" s="74" t="str">
        <f>IFERROR(__xludf.DUMMYFUNCTION("""COMPUTED_VALUE"""),"\\MCA-S\mk\2_BM\0_BMat\08_PYM\Inventario\excel\Imagen de refacciones\Schwing\Manometro (gauses) para medir presión del sistema hidráulico 0 - 400 BAR")</f>
        <v>\\MCA-S\mk\2_BM\0_BMat\08_PYM\Inventario\excel\Imagen de refacciones\Schwing\Manometro (gauses) para medir presión del sistema hidráulico 0 - 400 BAR</v>
      </c>
      <c r="E220" s="74" t="str">
        <f>IFERROR(__xludf.DUMMYFUNCTION("""COMPUTED_VALUE"""),"GAUGE - HYD, PRESSURE , 0-400 BAR")</f>
        <v>GAUGE - HYD, PRESSURE , 0-400 BAR</v>
      </c>
      <c r="F220" s="74" t="str">
        <f>IFERROR(__xludf.DUMMYFUNCTION("""COMPUTED_VALUE"""),"MANOMETRO (GAUGES) PARA MEDIR  PRESION DEL SISTEMA HIDRAULICO 0-400BAR")</f>
        <v>MANOMETRO (GAUGES) PARA MEDIR  PRESION DEL SISTEMA HIDRAULICO 0-400BAR</v>
      </c>
      <c r="G220" s="74"/>
      <c r="H220" s="74"/>
      <c r="I220" s="74" t="str">
        <f>IFERROR(__xludf.DUMMYFUNCTION("""COMPUTED_VALUE"""),"10004662")</f>
        <v>10004662</v>
      </c>
      <c r="J220" s="74"/>
      <c r="K220" s="74" t="str">
        <f>IFERROR(__xludf.DUMMYFUNCTION("""COMPUTED_VALUE"""),"Schwing")</f>
        <v>Schwing</v>
      </c>
      <c r="L220" s="74" t="str">
        <f>IFERROR(__xludf.DUMMYFUNCTION("""COMPUTED_VALUE"""),"Elementos de medición y control")</f>
        <v>Elementos de medición y control</v>
      </c>
      <c r="M220" s="74" t="str">
        <f>IFERROR(__xludf.DUMMYFUNCTION("""COMPUTED_VALUE"""),"Sin Asignar")</f>
        <v>Sin Asignar</v>
      </c>
      <c r="N220" s="87">
        <f>IFERROR(__xludf.DUMMYFUNCTION("""COMPUTED_VALUE"""),0.0)</f>
        <v>0</v>
      </c>
      <c r="O220" s="74"/>
      <c r="P220" s="74" t="str">
        <f>IFERROR(__xludf.DUMMYFUNCTION("""COMPUTED_VALUE"""),"To Re-purchase")</f>
        <v>To Re-purchase</v>
      </c>
      <c r="Q220" s="74"/>
      <c r="R220" s="74"/>
      <c r="S220" s="87">
        <f>IFERROR(__xludf.DUMMYFUNCTION("""COMPUTED_VALUE"""),0.0)</f>
        <v>0</v>
      </c>
      <c r="T220" s="87">
        <f>IFERROR(__xludf.DUMMYFUNCTION("""COMPUTED_VALUE"""),0.0)</f>
        <v>0</v>
      </c>
      <c r="U220" s="87">
        <f>IFERROR(__xludf.DUMMYFUNCTION("""COMPUTED_VALUE"""),0.0)</f>
        <v>0</v>
      </c>
      <c r="V220" s="87">
        <f>IFERROR(__xludf.DUMMYFUNCTION("""COMPUTED_VALUE"""),0.0)</f>
        <v>0</v>
      </c>
      <c r="W220" s="87">
        <f>IFERROR(__xludf.DUMMYFUNCTION("""COMPUTED_VALUE"""),0.0)</f>
        <v>0</v>
      </c>
      <c r="X220" s="88"/>
      <c r="Y220" s="74"/>
      <c r="Z220" s="74"/>
    </row>
    <row r="221">
      <c r="B221" s="74" t="str">
        <f>IFERROR(__xludf.DUMMYFUNCTION("""COMPUTED_VALUE"""),"1218")</f>
        <v>1218</v>
      </c>
      <c r="C221" s="74" t="str">
        <f>IFERROR(__xludf.DUMMYFUNCTION("""COMPUTED_VALUE"""),"75045891218")</f>
        <v>75045891218</v>
      </c>
      <c r="D221" s="74" t="str">
        <f>IFERROR(__xludf.DUMMYFUNCTION("""COMPUTED_VALUE"""),"\\MCA-S\mk\2_BM\0_BMat\08_PYM\Inventario\excel\Imagen de refacciones\Schwing\Manometro (gauses) para medir presión del sistema hidráulico 0 - 250 BAR")</f>
        <v>\\MCA-S\mk\2_BM\0_BMat\08_PYM\Inventario\excel\Imagen de refacciones\Schwing\Manometro (gauses) para medir presión del sistema hidráulico 0 - 250 BAR</v>
      </c>
      <c r="E221" s="74" t="str">
        <f>IFERROR(__xludf.DUMMYFUNCTION("""COMPUTED_VALUE"""),"GAUGE - HYD, PRESSURE , 0-250 BAR")</f>
        <v>GAUGE - HYD, PRESSURE , 0-250 BAR</v>
      </c>
      <c r="F221" s="74" t="str">
        <f>IFERROR(__xludf.DUMMYFUNCTION("""COMPUTED_VALUE"""),"MANOMETRO (GAUGES) PARA MEDIR  PRESION DEL SISTEMA HIDRAULICO 0-250BAR")</f>
        <v>MANOMETRO (GAUGES) PARA MEDIR  PRESION DEL SISTEMA HIDRAULICO 0-250BAR</v>
      </c>
      <c r="G221" s="74"/>
      <c r="H221" s="74"/>
      <c r="I221" s="74" t="str">
        <f>IFERROR(__xludf.DUMMYFUNCTION("""COMPUTED_VALUE"""),"10004663")</f>
        <v>10004663</v>
      </c>
      <c r="J221" s="74"/>
      <c r="K221" s="74" t="str">
        <f>IFERROR(__xludf.DUMMYFUNCTION("""COMPUTED_VALUE"""),"Schwing")</f>
        <v>Schwing</v>
      </c>
      <c r="L221" s="74" t="str">
        <f>IFERROR(__xludf.DUMMYFUNCTION("""COMPUTED_VALUE"""),"Elementos de medición y control")</f>
        <v>Elementos de medición y control</v>
      </c>
      <c r="M221" s="74" t="str">
        <f>IFERROR(__xludf.DUMMYFUNCTION("""COMPUTED_VALUE"""),"Sin Asignar")</f>
        <v>Sin Asignar</v>
      </c>
      <c r="N221" s="87">
        <f>IFERROR(__xludf.DUMMYFUNCTION("""COMPUTED_VALUE"""),0.0)</f>
        <v>0</v>
      </c>
      <c r="O221" s="74"/>
      <c r="P221" s="74" t="str">
        <f>IFERROR(__xludf.DUMMYFUNCTION("""COMPUTED_VALUE"""),"To Re-purchase")</f>
        <v>To Re-purchase</v>
      </c>
      <c r="Q221" s="74"/>
      <c r="R221" s="74"/>
      <c r="S221" s="87">
        <f>IFERROR(__xludf.DUMMYFUNCTION("""COMPUTED_VALUE"""),0.0)</f>
        <v>0</v>
      </c>
      <c r="T221" s="87">
        <f>IFERROR(__xludf.DUMMYFUNCTION("""COMPUTED_VALUE"""),0.0)</f>
        <v>0</v>
      </c>
      <c r="U221" s="87">
        <f>IFERROR(__xludf.DUMMYFUNCTION("""COMPUTED_VALUE"""),0.0)</f>
        <v>0</v>
      </c>
      <c r="V221" s="87">
        <f>IFERROR(__xludf.DUMMYFUNCTION("""COMPUTED_VALUE"""),0.0)</f>
        <v>0</v>
      </c>
      <c r="W221" s="87">
        <f>IFERROR(__xludf.DUMMYFUNCTION("""COMPUTED_VALUE"""),0.0)</f>
        <v>0</v>
      </c>
      <c r="X221" s="88"/>
      <c r="Y221" s="74"/>
      <c r="Z221" s="74"/>
    </row>
    <row r="222">
      <c r="B222" s="74" t="str">
        <f>IFERROR(__xludf.DUMMYFUNCTION("""COMPUTED_VALUE"""),"1219")</f>
        <v>1219</v>
      </c>
      <c r="C222" s="74" t="str">
        <f>IFERROR(__xludf.DUMMYFUNCTION("""COMPUTED_VALUE"""),"75045891219")</f>
        <v>75045891219</v>
      </c>
      <c r="D222" s="74" t="str">
        <f>IFERROR(__xludf.DUMMYFUNCTION("""COMPUTED_VALUE"""),"\\MCA-S\mk\2_BM\0_BMat\08_PYM\Inventario\excel\Imagen de refacciones\Schwing\Manometro (gauses) para medir presión del sistema hidráulico 0 - 600 BAR")</f>
        <v>\\MCA-S\mk\2_BM\0_BMat\08_PYM\Inventario\excel\Imagen de refacciones\Schwing\Manometro (gauses) para medir presión del sistema hidráulico 0 - 600 BAR</v>
      </c>
      <c r="E222" s="74" t="str">
        <f>IFERROR(__xludf.DUMMYFUNCTION("""COMPUTED_VALUE"""),"GAUGE - HYD, PRESSURE , 0-600 BAR")</f>
        <v>GAUGE - HYD, PRESSURE , 0-600 BAR</v>
      </c>
      <c r="F222" s="74" t="str">
        <f>IFERROR(__xludf.DUMMYFUNCTION("""COMPUTED_VALUE"""),"MANOMETRO (GAUGES) PARA MEDIR  PRESION DEL SISTEMA HIDRAULICO 0-600BAR")</f>
        <v>MANOMETRO (GAUGES) PARA MEDIR  PRESION DEL SISTEMA HIDRAULICO 0-600BAR</v>
      </c>
      <c r="G222" s="74"/>
      <c r="H222" s="74"/>
      <c r="I222" s="74" t="str">
        <f>IFERROR(__xludf.DUMMYFUNCTION("""COMPUTED_VALUE"""),"10004661")</f>
        <v>10004661</v>
      </c>
      <c r="J222" s="74"/>
      <c r="K222" s="74" t="str">
        <f>IFERROR(__xludf.DUMMYFUNCTION("""COMPUTED_VALUE"""),"Schwing")</f>
        <v>Schwing</v>
      </c>
      <c r="L222" s="74" t="str">
        <f>IFERROR(__xludf.DUMMYFUNCTION("""COMPUTED_VALUE"""),"Elementos de medición y control")</f>
        <v>Elementos de medición y control</v>
      </c>
      <c r="M222" s="74" t="str">
        <f>IFERROR(__xludf.DUMMYFUNCTION("""COMPUTED_VALUE"""),"Sin Asignar")</f>
        <v>Sin Asignar</v>
      </c>
      <c r="N222" s="87">
        <f>IFERROR(__xludf.DUMMYFUNCTION("""COMPUTED_VALUE"""),0.0)</f>
        <v>0</v>
      </c>
      <c r="O222" s="74"/>
      <c r="P222" s="74" t="str">
        <f>IFERROR(__xludf.DUMMYFUNCTION("""COMPUTED_VALUE"""),"To Re-purchase")</f>
        <v>To Re-purchase</v>
      </c>
      <c r="Q222" s="74"/>
      <c r="R222" s="74"/>
      <c r="S222" s="87">
        <f>IFERROR(__xludf.DUMMYFUNCTION("""COMPUTED_VALUE"""),0.0)</f>
        <v>0</v>
      </c>
      <c r="T222" s="87">
        <f>IFERROR(__xludf.DUMMYFUNCTION("""COMPUTED_VALUE"""),0.0)</f>
        <v>0</v>
      </c>
      <c r="U222" s="87">
        <f>IFERROR(__xludf.DUMMYFUNCTION("""COMPUTED_VALUE"""),0.0)</f>
        <v>0</v>
      </c>
      <c r="V222" s="87">
        <f>IFERROR(__xludf.DUMMYFUNCTION("""COMPUTED_VALUE"""),0.0)</f>
        <v>0</v>
      </c>
      <c r="W222" s="87">
        <f>IFERROR(__xludf.DUMMYFUNCTION("""COMPUTED_VALUE"""),0.0)</f>
        <v>0</v>
      </c>
      <c r="X222" s="88"/>
      <c r="Y222" s="74"/>
      <c r="Z222" s="74"/>
    </row>
    <row r="223">
      <c r="B223" s="74" t="str">
        <f>IFERROR(__xludf.DUMMYFUNCTION("""COMPUTED_VALUE"""),"1220")</f>
        <v>1220</v>
      </c>
      <c r="C223" s="74" t="str">
        <f>IFERROR(__xludf.DUMMYFUNCTION("""COMPUTED_VALUE"""),"75045891220")</f>
        <v>75045891220</v>
      </c>
      <c r="D223" s="74" t="str">
        <f>IFERROR(__xludf.DUMMYFUNCTION("""COMPUTED_VALUE"""),"\\MCA-S\mk\2_BM\0_BMat\08_PYM\Inventario\excel\Imagen de refacciones\Schwing\kit de reparación para válvula reguladora de potencia")</f>
        <v>\\MCA-S\mk\2_BM\0_BMat\08_PYM\Inventario\excel\Imagen de refacciones\Schwing\kit de reparación para válvula reguladora de potencia</v>
      </c>
      <c r="E223" s="74" t="str">
        <f>IFERROR(__xludf.DUMMYFUNCTION("""COMPUTED_VALUE"""),"KIT WEAR PART DBP-32-D-6/350")</f>
        <v>KIT WEAR PART DBP-32-D-6/350</v>
      </c>
      <c r="F223" s="74" t="str">
        <f>IFERROR(__xludf.DUMMYFUNCTION("""COMPUTED_VALUE"""),"KIT DE REPARCION VALVULA  REGULADORA DE POTENCIA")</f>
        <v>KIT DE REPARCION VALVULA  REGULADORA DE POTENCIA</v>
      </c>
      <c r="G223" s="74"/>
      <c r="H223" s="74"/>
      <c r="I223" s="74" t="str">
        <f>IFERROR(__xludf.DUMMYFUNCTION("""COMPUTED_VALUE"""),"10045633")</f>
        <v>10045633</v>
      </c>
      <c r="J223" s="74"/>
      <c r="K223" s="74" t="str">
        <f>IFERROR(__xludf.DUMMYFUNCTION("""COMPUTED_VALUE"""),"Schwing")</f>
        <v>Schwing</v>
      </c>
      <c r="L223" s="74" t="str">
        <f>IFERROR(__xludf.DUMMYFUNCTION("""COMPUTED_VALUE"""),"SIN ASIGNAR")</f>
        <v>SIN ASIGNAR</v>
      </c>
      <c r="M223" s="74" t="str">
        <f>IFERROR(__xludf.DUMMYFUNCTION("""COMPUTED_VALUE"""),"SIN ASIGNAR")</f>
        <v>SIN ASIGNAR</v>
      </c>
      <c r="N223" s="87">
        <f>IFERROR(__xludf.DUMMYFUNCTION("""COMPUTED_VALUE"""),0.0)</f>
        <v>0</v>
      </c>
      <c r="O223" s="74"/>
      <c r="P223" s="74" t="str">
        <f>IFERROR(__xludf.DUMMYFUNCTION("""COMPUTED_VALUE"""),"To Re-purchase")</f>
        <v>To Re-purchase</v>
      </c>
      <c r="Q223" s="74"/>
      <c r="R223" s="74"/>
      <c r="S223" s="87">
        <f>IFERROR(__xludf.DUMMYFUNCTION("""COMPUTED_VALUE"""),0.0)</f>
        <v>0</v>
      </c>
      <c r="T223" s="87">
        <f>IFERROR(__xludf.DUMMYFUNCTION("""COMPUTED_VALUE"""),0.0)</f>
        <v>0</v>
      </c>
      <c r="U223" s="87">
        <f>IFERROR(__xludf.DUMMYFUNCTION("""COMPUTED_VALUE"""),0.0)</f>
        <v>0</v>
      </c>
      <c r="V223" s="87">
        <f>IFERROR(__xludf.DUMMYFUNCTION("""COMPUTED_VALUE"""),0.0)</f>
        <v>0</v>
      </c>
      <c r="W223" s="87">
        <f>IFERROR(__xludf.DUMMYFUNCTION("""COMPUTED_VALUE"""),0.0)</f>
        <v>0</v>
      </c>
      <c r="X223" s="88"/>
      <c r="Y223" s="74"/>
      <c r="Z223" s="74"/>
    </row>
    <row r="224">
      <c r="B224" s="74" t="str">
        <f>IFERROR(__xludf.DUMMYFUNCTION("""COMPUTED_VALUE"""),"1221")</f>
        <v>1221</v>
      </c>
      <c r="C224" s="74" t="str">
        <f>IFERROR(__xludf.DUMMYFUNCTION("""COMPUTED_VALUE"""),"75045891221")</f>
        <v>75045891221</v>
      </c>
      <c r="D224" s="74" t="str">
        <f>IFERROR(__xludf.DUMMYFUNCTION("""COMPUTED_VALUE"""),"\\MCA-S\mk\2_BM\0_BMat\08_PYM\Inventario\excel\Imagen de refacciones\Schwing\Cabezal para cilindro piston de VR chico")</f>
        <v>\\MCA-S\mk\2_BM\0_BMat\08_PYM\Inventario\excel\Imagen de refacciones\Schwing\Cabezal para cilindro piston de VR chico</v>
      </c>
      <c r="E224" s="74" t="str">
        <f>IFERROR(__xludf.DUMMYFUNCTION("""COMPUTED_VALUE"""),"CYLINDER HEAD SMALL")</f>
        <v>CYLINDER HEAD SMALL</v>
      </c>
      <c r="F224" s="74" t="str">
        <f>IFERROR(__xludf.DUMMYFUNCTION("""COMPUTED_VALUE"""),"CABEZA PARA CILINDRO PISTON DE VR CHICO")</f>
        <v>CABEZA PARA CILINDRO PISTON DE VR CHICO</v>
      </c>
      <c r="G224" s="74"/>
      <c r="H224" s="74"/>
      <c r="I224" s="74" t="str">
        <f>IFERROR(__xludf.DUMMYFUNCTION("""COMPUTED_VALUE"""),"10094649")</f>
        <v>10094649</v>
      </c>
      <c r="J224" s="74" t="str">
        <f>IFERROR(__xludf.DUMMYFUNCTION("""COMPUTED_VALUE"""),"10017558")</f>
        <v>10017558</v>
      </c>
      <c r="K224" s="74" t="str">
        <f>IFERROR(__xludf.DUMMYFUNCTION("""COMPUTED_VALUE"""),"Schwing")</f>
        <v>Schwing</v>
      </c>
      <c r="L224" s="74" t="str">
        <f>IFERROR(__xludf.DUMMYFUNCTION("""COMPUTED_VALUE"""),"BARRA V-ROCK")</f>
        <v>BARRA V-ROCK</v>
      </c>
      <c r="M224" s="74" t="str">
        <f>IFERROR(__xludf.DUMMYFUNCTION("""COMPUTED_VALUE"""),"PISTONES")</f>
        <v>PISTONES</v>
      </c>
      <c r="N224" s="87">
        <f>IFERROR(__xludf.DUMMYFUNCTION("""COMPUTED_VALUE"""),0.0)</f>
        <v>0</v>
      </c>
      <c r="O224" s="74"/>
      <c r="P224" s="74" t="str">
        <f>IFERROR(__xludf.DUMMYFUNCTION("""COMPUTED_VALUE"""),"To Re-purchase")</f>
        <v>To Re-purchase</v>
      </c>
      <c r="Q224" s="74"/>
      <c r="R224" s="74"/>
      <c r="S224" s="87">
        <f>IFERROR(__xludf.DUMMYFUNCTION("""COMPUTED_VALUE"""),0.0)</f>
        <v>0</v>
      </c>
      <c r="T224" s="87">
        <f>IFERROR(__xludf.DUMMYFUNCTION("""COMPUTED_VALUE"""),0.0)</f>
        <v>0</v>
      </c>
      <c r="U224" s="87">
        <f>IFERROR(__xludf.DUMMYFUNCTION("""COMPUTED_VALUE"""),0.0)</f>
        <v>0</v>
      </c>
      <c r="V224" s="87">
        <f>IFERROR(__xludf.DUMMYFUNCTION("""COMPUTED_VALUE"""),0.0)</f>
        <v>0</v>
      </c>
      <c r="W224" s="87">
        <f>IFERROR(__xludf.DUMMYFUNCTION("""COMPUTED_VALUE"""),0.0)</f>
        <v>0</v>
      </c>
      <c r="X224" s="88"/>
      <c r="Y224" s="74"/>
      <c r="Z224" s="74"/>
    </row>
    <row r="225">
      <c r="B225" s="74" t="str">
        <f>IFERROR(__xludf.DUMMYFUNCTION("""COMPUTED_VALUE"""),"1222")</f>
        <v>1222</v>
      </c>
      <c r="C225" s="74" t="str">
        <f>IFERROR(__xludf.DUMMYFUNCTION("""COMPUTED_VALUE"""),"75045891222")</f>
        <v>75045891222</v>
      </c>
      <c r="D225" s="74" t="str">
        <f>IFERROR(__xludf.DUMMYFUNCTION("""COMPUTED_VALUE"""),"\\MCA-S\mk\2_BM\0_BMat\08_PYM\Inventario\excel\Imagen de refacciones\Schwing\Cabezal para cilindro piston de VR grande")</f>
        <v>\\MCA-S\mk\2_BM\0_BMat\08_PYM\Inventario\excel\Imagen de refacciones\Schwing\Cabezal para cilindro piston de VR grande</v>
      </c>
      <c r="E225" s="74" t="str">
        <f>IFERROR(__xludf.DUMMYFUNCTION("""COMPUTED_VALUE"""),"CYLINDER HEAD LARGE")</f>
        <v>CYLINDER HEAD LARGE</v>
      </c>
      <c r="F225" s="74" t="str">
        <f>IFERROR(__xludf.DUMMYFUNCTION("""COMPUTED_VALUE"""),"CABEZA PARA CILINDRO PISTON DE VR GRANDE")</f>
        <v>CABEZA PARA CILINDRO PISTON DE VR GRANDE</v>
      </c>
      <c r="G225" s="74"/>
      <c r="H225" s="74"/>
      <c r="I225" s="74" t="str">
        <f>IFERROR(__xludf.DUMMYFUNCTION("""COMPUTED_VALUE"""),"10017555")</f>
        <v>10017555</v>
      </c>
      <c r="J225" s="74"/>
      <c r="K225" s="74" t="str">
        <f>IFERROR(__xludf.DUMMYFUNCTION("""COMPUTED_VALUE"""),"Schwing")</f>
        <v>Schwing</v>
      </c>
      <c r="L225" s="74" t="str">
        <f>IFERROR(__xludf.DUMMYFUNCTION("""COMPUTED_VALUE"""),"Componentes hidráulicos")</f>
        <v>Componentes hidráulicos</v>
      </c>
      <c r="M225" s="74" t="str">
        <f>IFERROR(__xludf.DUMMYFUNCTION("""COMPUTED_VALUE"""),"Sin Asignar")</f>
        <v>Sin Asignar</v>
      </c>
      <c r="N225" s="87">
        <f>IFERROR(__xludf.DUMMYFUNCTION("""COMPUTED_VALUE"""),0.0)</f>
        <v>0</v>
      </c>
      <c r="O225" s="74"/>
      <c r="P225" s="74" t="str">
        <f>IFERROR(__xludf.DUMMYFUNCTION("""COMPUTED_VALUE"""),"To Re-purchase")</f>
        <v>To Re-purchase</v>
      </c>
      <c r="Q225" s="74"/>
      <c r="R225" s="74"/>
      <c r="S225" s="87">
        <f>IFERROR(__xludf.DUMMYFUNCTION("""COMPUTED_VALUE"""),0.0)</f>
        <v>0</v>
      </c>
      <c r="T225" s="87">
        <f>IFERROR(__xludf.DUMMYFUNCTION("""COMPUTED_VALUE"""),0.0)</f>
        <v>0</v>
      </c>
      <c r="U225" s="87">
        <f>IFERROR(__xludf.DUMMYFUNCTION("""COMPUTED_VALUE"""),0.0)</f>
        <v>0</v>
      </c>
      <c r="V225" s="87">
        <f>IFERROR(__xludf.DUMMYFUNCTION("""COMPUTED_VALUE"""),0.0)</f>
        <v>0</v>
      </c>
      <c r="W225" s="87">
        <f>IFERROR(__xludf.DUMMYFUNCTION("""COMPUTED_VALUE"""),0.0)</f>
        <v>0</v>
      </c>
      <c r="X225" s="88"/>
      <c r="Y225" s="74"/>
      <c r="Z225" s="74"/>
    </row>
    <row r="226">
      <c r="B226" s="74" t="str">
        <f>IFERROR(__xludf.DUMMYFUNCTION("""COMPUTED_VALUE"""),"1223")</f>
        <v>1223</v>
      </c>
      <c r="C226" s="74"/>
      <c r="D226" s="74" t="str">
        <f>IFERROR(__xludf.DUMMYFUNCTION("""COMPUTED_VALUE"""),"\\MCA-S\mk\2_BM\0_BMat\08_PYM\Inventario\excel\Imagen de refacciones\Schwing\Mangueras hidráulicas 60MM X 1 M")</f>
        <v>\\MCA-S\mk\2_BM\0_BMat\08_PYM\Inventario\excel\Imagen de refacciones\Schwing\Mangueras hidráulicas 60MM X 1 M</v>
      </c>
      <c r="E226" s="74"/>
      <c r="F226" s="74" t="str">
        <f>IFERROR(__xludf.DUMMYFUNCTION("""COMPUTED_VALUE"""),"MANGUERA HIDRAULICA 60MM X 1M")</f>
        <v>MANGUERA HIDRAULICA 60MM X 1M</v>
      </c>
      <c r="G226" s="74"/>
      <c r="H226" s="74"/>
      <c r="I226" s="74" t="str">
        <f>IFERROR(__xludf.DUMMYFUNCTION("""COMPUTED_VALUE"""),"40160X1HID")</f>
        <v>40160X1HID</v>
      </c>
      <c r="J226" s="74"/>
      <c r="K226" s="74" t="str">
        <f>IFERROR(__xludf.DUMMYFUNCTION("""COMPUTED_VALUE"""),"Schwing")</f>
        <v>Schwing</v>
      </c>
      <c r="L226" s="74" t="str">
        <f>IFERROR(__xludf.DUMMYFUNCTION("""COMPUTED_VALUE"""),"Componentes hidráulicos")</f>
        <v>Componentes hidráulicos</v>
      </c>
      <c r="M226" s="74" t="str">
        <f>IFERROR(__xludf.DUMMYFUNCTION("""COMPUTED_VALUE"""),"Sin Asignar")</f>
        <v>Sin Asignar</v>
      </c>
      <c r="N226" s="87">
        <f>IFERROR(__xludf.DUMMYFUNCTION("""COMPUTED_VALUE"""),0.0)</f>
        <v>0</v>
      </c>
      <c r="O226" s="74"/>
      <c r="P226" s="74" t="str">
        <f>IFERROR(__xludf.DUMMYFUNCTION("""COMPUTED_VALUE"""),"No Available")</f>
        <v>No Available</v>
      </c>
      <c r="Q226" s="74"/>
      <c r="R226" s="74"/>
      <c r="S226" s="87">
        <f>IFERROR(__xludf.DUMMYFUNCTION("""COMPUTED_VALUE"""),0.0)</f>
        <v>0</v>
      </c>
      <c r="T226" s="87">
        <f>IFERROR(__xludf.DUMMYFUNCTION("""COMPUTED_VALUE"""),0.0)</f>
        <v>0</v>
      </c>
      <c r="U226" s="87">
        <f>IFERROR(__xludf.DUMMYFUNCTION("""COMPUTED_VALUE"""),0.0)</f>
        <v>0</v>
      </c>
      <c r="V226" s="87">
        <f>IFERROR(__xludf.DUMMYFUNCTION("""COMPUTED_VALUE"""),0.0)</f>
        <v>0</v>
      </c>
      <c r="W226" s="87">
        <f>IFERROR(__xludf.DUMMYFUNCTION("""COMPUTED_VALUE"""),0.0)</f>
        <v>0</v>
      </c>
      <c r="X226" s="88"/>
      <c r="Y226" s="74"/>
      <c r="Z226" s="74"/>
    </row>
    <row r="227">
      <c r="B227" s="74" t="str">
        <f>IFERROR(__xludf.DUMMYFUNCTION("""COMPUTED_VALUE"""),"1224")</f>
        <v>1224</v>
      </c>
      <c r="C227" s="74"/>
      <c r="D227" s="74" t="str">
        <f>IFERROR(__xludf.DUMMYFUNCTION("""COMPUTED_VALUE"""),"\\MCA-S\mk\2_BM\0_BMat\08_PYM\Inventario\excel\Imagen de refacciones\Schwing\Mangueras hidráulicas 600 X 1.20 M")</f>
        <v>\\MCA-S\mk\2_BM\0_BMat\08_PYM\Inventario\excel\Imagen de refacciones\Schwing\Mangueras hidráulicas 600 X 1.20 M</v>
      </c>
      <c r="E227" s="74"/>
      <c r="F227" s="74" t="str">
        <f>IFERROR(__xludf.DUMMYFUNCTION("""COMPUTED_VALUE"""),"Mangueras hidráulicas 600 X 1.20 M")</f>
        <v>Mangueras hidráulicas 600 X 1.20 M</v>
      </c>
      <c r="G227" s="74"/>
      <c r="H227" s="74"/>
      <c r="I227" s="74" t="str">
        <f>IFERROR(__xludf.DUMMYFUNCTION("""COMPUTED_VALUE"""),"40160X120H")</f>
        <v>40160X120H</v>
      </c>
      <c r="J227" s="74"/>
      <c r="K227" s="74" t="str">
        <f>IFERROR(__xludf.DUMMYFUNCTION("""COMPUTED_VALUE"""),"Schwing")</f>
        <v>Schwing</v>
      </c>
      <c r="L227" s="74" t="str">
        <f>IFERROR(__xludf.DUMMYFUNCTION("""COMPUTED_VALUE"""),"Componentes hidráulicos")</f>
        <v>Componentes hidráulicos</v>
      </c>
      <c r="M227" s="74" t="str">
        <f>IFERROR(__xludf.DUMMYFUNCTION("""COMPUTED_VALUE"""),"Sin Asignar")</f>
        <v>Sin Asignar</v>
      </c>
      <c r="N227" s="87">
        <f>IFERROR(__xludf.DUMMYFUNCTION("""COMPUTED_VALUE"""),0.0)</f>
        <v>0</v>
      </c>
      <c r="O227" s="74"/>
      <c r="P227" s="74" t="str">
        <f>IFERROR(__xludf.DUMMYFUNCTION("""COMPUTED_VALUE"""),"No Available")</f>
        <v>No Available</v>
      </c>
      <c r="Q227" s="74"/>
      <c r="R227" s="74"/>
      <c r="S227" s="87">
        <f>IFERROR(__xludf.DUMMYFUNCTION("""COMPUTED_VALUE"""),0.0)</f>
        <v>0</v>
      </c>
      <c r="T227" s="87">
        <f>IFERROR(__xludf.DUMMYFUNCTION("""COMPUTED_VALUE"""),0.0)</f>
        <v>0</v>
      </c>
      <c r="U227" s="87">
        <f>IFERROR(__xludf.DUMMYFUNCTION("""COMPUTED_VALUE"""),0.0)</f>
        <v>0</v>
      </c>
      <c r="V227" s="87">
        <f>IFERROR(__xludf.DUMMYFUNCTION("""COMPUTED_VALUE"""),0.0)</f>
        <v>0</v>
      </c>
      <c r="W227" s="87">
        <f>IFERROR(__xludf.DUMMYFUNCTION("""COMPUTED_VALUE"""),0.0)</f>
        <v>0</v>
      </c>
      <c r="X227" s="88"/>
      <c r="Y227" s="74"/>
      <c r="Z227" s="74"/>
    </row>
    <row r="228">
      <c r="B228" s="74" t="str">
        <f>IFERROR(__xludf.DUMMYFUNCTION("""COMPUTED_VALUE"""),"1225")</f>
        <v>1225</v>
      </c>
      <c r="C228" s="74"/>
      <c r="D228" s="74" t="str">
        <f>IFERROR(__xludf.DUMMYFUNCTION("""COMPUTED_VALUE"""),"\\MCA-S\mk\2_BM\0_BMat\08_PYM\Inventario\excel\Imagen de refacciones\Schwing\O - RING 240 X 3 NBR 70")</f>
        <v>\\MCA-S\mk\2_BM\0_BMat\08_PYM\Inventario\excel\Imagen de refacciones\Schwing\O - RING 240 X 3 NBR 70</v>
      </c>
      <c r="E228" s="74"/>
      <c r="F228" s="74" t="str">
        <f>IFERROR(__xludf.DUMMYFUNCTION("""COMPUTED_VALUE"""),"O - RING 240 X 3 NBR 70")</f>
        <v>O - RING 240 X 3 NBR 70</v>
      </c>
      <c r="G228" s="74"/>
      <c r="H228" s="74"/>
      <c r="I228" s="74" t="str">
        <f>IFERROR(__xludf.DUMMYFUNCTION("""COMPUTED_VALUE"""),"10000650")</f>
        <v>10000650</v>
      </c>
      <c r="J228" s="74"/>
      <c r="K228" s="74" t="str">
        <f>IFERROR(__xludf.DUMMYFUNCTION("""COMPUTED_VALUE"""),"Schwing")</f>
        <v>Schwing</v>
      </c>
      <c r="L228" s="74" t="str">
        <f>IFERROR(__xludf.DUMMYFUNCTION("""COMPUTED_VALUE"""),"Sellos y retenes")</f>
        <v>Sellos y retenes</v>
      </c>
      <c r="M228" s="74" t="str">
        <f>IFERROR(__xludf.DUMMYFUNCTION("""COMPUTED_VALUE"""),"Sin Asignar")</f>
        <v>Sin Asignar</v>
      </c>
      <c r="N228" s="87">
        <f>IFERROR(__xludf.DUMMYFUNCTION("""COMPUTED_VALUE"""),0.0)</f>
        <v>0</v>
      </c>
      <c r="O228" s="74"/>
      <c r="P228" s="74" t="str">
        <f>IFERROR(__xludf.DUMMYFUNCTION("""COMPUTED_VALUE"""),"borrar")</f>
        <v>borrar</v>
      </c>
      <c r="Q228" s="74"/>
      <c r="R228" s="74"/>
      <c r="S228" s="87">
        <f>IFERROR(__xludf.DUMMYFUNCTION("""COMPUTED_VALUE"""),0.0)</f>
        <v>0</v>
      </c>
      <c r="T228" s="87">
        <f>IFERROR(__xludf.DUMMYFUNCTION("""COMPUTED_VALUE"""),0.0)</f>
        <v>0</v>
      </c>
      <c r="U228" s="87">
        <f>IFERROR(__xludf.DUMMYFUNCTION("""COMPUTED_VALUE"""),0.0)</f>
        <v>0</v>
      </c>
      <c r="V228" s="87">
        <f>IFERROR(__xludf.DUMMYFUNCTION("""COMPUTED_VALUE"""),0.0)</f>
        <v>0</v>
      </c>
      <c r="W228" s="87">
        <f>IFERROR(__xludf.DUMMYFUNCTION("""COMPUTED_VALUE"""),0.0)</f>
        <v>0</v>
      </c>
      <c r="X228" s="88"/>
      <c r="Y228" s="74"/>
      <c r="Z228" s="74"/>
    </row>
    <row r="229">
      <c r="B229" s="74" t="str">
        <f>IFERROR(__xludf.DUMMYFUNCTION("""COMPUTED_VALUE"""),"1226")</f>
        <v>1226</v>
      </c>
      <c r="C229" s="74" t="str">
        <f>IFERROR(__xludf.DUMMYFUNCTION("""COMPUTED_VALUE"""),"75045891226")</f>
        <v>75045891226</v>
      </c>
      <c r="D229" s="74" t="str">
        <f>IFERROR(__xludf.DUMMYFUNCTION("""COMPUTED_VALUE"""),"\\MCA-S\mk\2_BM\0_BMat\08_PYM\Inventario\excel\Imagen de refacciones\Schwing\O ring - 250 X 10 NBR 70")</f>
        <v>\\MCA-S\mk\2_BM\0_BMat\08_PYM\Inventario\excel\Imagen de refacciones\Schwing\O ring - 250 X 10 NBR 70</v>
      </c>
      <c r="E229" s="74" t="str">
        <f>IFERROR(__xludf.DUMMYFUNCTION("""COMPUTED_VALUE"""),"ORING 250 x 10 NBR 70")</f>
        <v>ORING 250 x 10 NBR 70</v>
      </c>
      <c r="F229" s="74" t="str">
        <f>IFERROR(__xludf.DUMMYFUNCTION("""COMPUTED_VALUE"""),"EMPAQUE TIPO O-RING 250X10 NBR 70")</f>
        <v>EMPAQUE TIPO O-RING 250X10 NBR 70</v>
      </c>
      <c r="G229" s="74"/>
      <c r="H229" s="74"/>
      <c r="I229" s="74" t="str">
        <f>IFERROR(__xludf.DUMMYFUNCTION("""COMPUTED_VALUE"""),"10000658")</f>
        <v>10000658</v>
      </c>
      <c r="J229" s="74"/>
      <c r="K229" s="74" t="str">
        <f>IFERROR(__xludf.DUMMYFUNCTION("""COMPUTED_VALUE"""),"Schwing")</f>
        <v>Schwing</v>
      </c>
      <c r="L229" s="74" t="str">
        <f>IFERROR(__xludf.DUMMYFUNCTION("""COMPUTED_VALUE"""),"Sellos y retenes")</f>
        <v>Sellos y retenes</v>
      </c>
      <c r="M229" s="74" t="str">
        <f>IFERROR(__xludf.DUMMYFUNCTION("""COMPUTED_VALUE"""),"Sin Asignar")</f>
        <v>Sin Asignar</v>
      </c>
      <c r="N229" s="87">
        <f>IFERROR(__xludf.DUMMYFUNCTION("""COMPUTED_VALUE"""),0.0)</f>
        <v>0</v>
      </c>
      <c r="O229" s="74"/>
      <c r="P229" s="74" t="str">
        <f>IFERROR(__xludf.DUMMYFUNCTION("""COMPUTED_VALUE"""),"To Re-purchase")</f>
        <v>To Re-purchase</v>
      </c>
      <c r="Q229" s="74"/>
      <c r="R229" s="74"/>
      <c r="S229" s="87">
        <f>IFERROR(__xludf.DUMMYFUNCTION("""COMPUTED_VALUE"""),0.0)</f>
        <v>0</v>
      </c>
      <c r="T229" s="87">
        <f>IFERROR(__xludf.DUMMYFUNCTION("""COMPUTED_VALUE"""),0.0)</f>
        <v>0</v>
      </c>
      <c r="U229" s="87">
        <f>IFERROR(__xludf.DUMMYFUNCTION("""COMPUTED_VALUE"""),0.0)</f>
        <v>0</v>
      </c>
      <c r="V229" s="87">
        <f>IFERROR(__xludf.DUMMYFUNCTION("""COMPUTED_VALUE"""),0.0)</f>
        <v>0</v>
      </c>
      <c r="W229" s="87">
        <f>IFERROR(__xludf.DUMMYFUNCTION("""COMPUTED_VALUE"""),0.0)</f>
        <v>0</v>
      </c>
      <c r="X229" s="88"/>
      <c r="Y229" s="74"/>
      <c r="Z229" s="74"/>
    </row>
    <row r="230">
      <c r="B230" s="74" t="str">
        <f>IFERROR(__xludf.DUMMYFUNCTION("""COMPUTED_VALUE"""),"1227")</f>
        <v>1227</v>
      </c>
      <c r="C230" s="74" t="str">
        <f>IFERROR(__xludf.DUMMYFUNCTION("""COMPUTED_VALUE"""),"75045891227")</f>
        <v>75045891227</v>
      </c>
      <c r="D230" s="74" t="str">
        <f>IFERROR(__xludf.DUMMYFUNCTION("""COMPUTED_VALUE"""),"\\MCA-S\mk\2_BM\0_BMat\08_PYM\Inventario\excel\Imagen de refacciones\Schwing\O Ring - 29.2 X 3 NBR 90")</f>
        <v>\\MCA-S\mk\2_BM\0_BMat\08_PYM\Inventario\excel\Imagen de refacciones\Schwing\O Ring - 29.2 X 3 NBR 90</v>
      </c>
      <c r="E230" s="74" t="str">
        <f>IFERROR(__xludf.DUMMYFUNCTION("""COMPUTED_VALUE"""),"ORING 29.2 x 3 NBR 90")</f>
        <v>ORING 29.2 x 3 NBR 90</v>
      </c>
      <c r="F230" s="74" t="str">
        <f>IFERROR(__xludf.DUMMYFUNCTION("""COMPUTED_VALUE"""),"EMPAQUE TIPO O-RING  29.2X3 NBR 90 ")</f>
        <v>EMPAQUE TIPO O-RING  29.2X3 NBR 90 </v>
      </c>
      <c r="G230" s="74"/>
      <c r="H230" s="74"/>
      <c r="I230" s="74" t="str">
        <f>IFERROR(__xludf.DUMMYFUNCTION("""COMPUTED_VALUE"""),"1000469")</f>
        <v>1000469</v>
      </c>
      <c r="J230" s="74"/>
      <c r="K230" s="74" t="str">
        <f>IFERROR(__xludf.DUMMYFUNCTION("""COMPUTED_VALUE"""),"Schwing")</f>
        <v>Schwing</v>
      </c>
      <c r="L230" s="74" t="str">
        <f>IFERROR(__xludf.DUMMYFUNCTION("""COMPUTED_VALUE"""),"Sellos y retenes")</f>
        <v>Sellos y retenes</v>
      </c>
      <c r="M230" s="74" t="str">
        <f>IFERROR(__xludf.DUMMYFUNCTION("""COMPUTED_VALUE"""),"Sin Asignar")</f>
        <v>Sin Asignar</v>
      </c>
      <c r="N230" s="87">
        <f>IFERROR(__xludf.DUMMYFUNCTION("""COMPUTED_VALUE"""),0.0)</f>
        <v>0</v>
      </c>
      <c r="O230" s="74"/>
      <c r="P230" s="74" t="str">
        <f>IFERROR(__xludf.DUMMYFUNCTION("""COMPUTED_VALUE"""),"To Re-purchase")</f>
        <v>To Re-purchase</v>
      </c>
      <c r="Q230" s="74"/>
      <c r="R230" s="74"/>
      <c r="S230" s="87">
        <f>IFERROR(__xludf.DUMMYFUNCTION("""COMPUTED_VALUE"""),0.0)</f>
        <v>0</v>
      </c>
      <c r="T230" s="87">
        <f>IFERROR(__xludf.DUMMYFUNCTION("""COMPUTED_VALUE"""),0.0)</f>
        <v>0</v>
      </c>
      <c r="U230" s="87">
        <f>IFERROR(__xludf.DUMMYFUNCTION("""COMPUTED_VALUE"""),0.0)</f>
        <v>0</v>
      </c>
      <c r="V230" s="87">
        <f>IFERROR(__xludf.DUMMYFUNCTION("""COMPUTED_VALUE"""),0.0)</f>
        <v>0</v>
      </c>
      <c r="W230" s="87">
        <f>IFERROR(__xludf.DUMMYFUNCTION("""COMPUTED_VALUE"""),0.0)</f>
        <v>0</v>
      </c>
      <c r="X230" s="88"/>
      <c r="Y230" s="74"/>
      <c r="Z230" s="74"/>
    </row>
    <row r="231">
      <c r="B231" s="74" t="str">
        <f>IFERROR(__xludf.DUMMYFUNCTION("""COMPUTED_VALUE"""),"1228")</f>
        <v>1228</v>
      </c>
      <c r="C231" s="74" t="str">
        <f>IFERROR(__xludf.DUMMYFUNCTION("""COMPUTED_VALUE"""),"75045891228")</f>
        <v>75045891228</v>
      </c>
      <c r="D231" s="74" t="str">
        <f>IFERROR(__xludf.DUMMYFUNCTION("""COMPUTED_VALUE"""),"\\MCA-S\mk\2_BM\0_BMat\08_PYM\Inventario\excel\Imagen de refacciones\Schwing\O ring 70X5 NBR 70")</f>
        <v>\\MCA-S\mk\2_BM\0_BMat\08_PYM\Inventario\excel\Imagen de refacciones\Schwing\O ring 70X5 NBR 70</v>
      </c>
      <c r="E231" s="74" t="str">
        <f>IFERROR(__xludf.DUMMYFUNCTION("""COMPUTED_VALUE"""),"ORing 70 x 5 NBR 70")</f>
        <v>ORing 70 x 5 NBR 70</v>
      </c>
      <c r="F231" s="74" t="str">
        <f>IFERROR(__xludf.DUMMYFUNCTION("""COMPUTED_VALUE"""),"EMPAQUE TIPO O-RING 70X5 NBR 70")</f>
        <v>EMPAQUE TIPO O-RING 70X5 NBR 70</v>
      </c>
      <c r="G231" s="74"/>
      <c r="H231" s="74"/>
      <c r="I231" s="74" t="str">
        <f>IFERROR(__xludf.DUMMYFUNCTION("""COMPUTED_VALUE"""),"10000927")</f>
        <v>10000927</v>
      </c>
      <c r="J231" s="74"/>
      <c r="K231" s="74" t="str">
        <f>IFERROR(__xludf.DUMMYFUNCTION("""COMPUTED_VALUE"""),"Schwing")</f>
        <v>Schwing</v>
      </c>
      <c r="L231" s="74" t="str">
        <f>IFERROR(__xludf.DUMMYFUNCTION("""COMPUTED_VALUE"""),"Sellos y retenes")</f>
        <v>Sellos y retenes</v>
      </c>
      <c r="M231" s="74" t="str">
        <f>IFERROR(__xludf.DUMMYFUNCTION("""COMPUTED_VALUE"""),"Sin Asignar")</f>
        <v>Sin Asignar</v>
      </c>
      <c r="N231" s="87">
        <f>IFERROR(__xludf.DUMMYFUNCTION("""COMPUTED_VALUE"""),0.0)</f>
        <v>0</v>
      </c>
      <c r="O231" s="74"/>
      <c r="P231" s="74" t="str">
        <f>IFERROR(__xludf.DUMMYFUNCTION("""COMPUTED_VALUE"""),"To Re-purchase")</f>
        <v>To Re-purchase</v>
      </c>
      <c r="Q231" s="74"/>
      <c r="R231" s="74"/>
      <c r="S231" s="87">
        <f>IFERROR(__xludf.DUMMYFUNCTION("""COMPUTED_VALUE"""),0.0)</f>
        <v>0</v>
      </c>
      <c r="T231" s="87">
        <f>IFERROR(__xludf.DUMMYFUNCTION("""COMPUTED_VALUE"""),0.0)</f>
        <v>0</v>
      </c>
      <c r="U231" s="87">
        <f>IFERROR(__xludf.DUMMYFUNCTION("""COMPUTED_VALUE"""),0.0)</f>
        <v>0</v>
      </c>
      <c r="V231" s="87">
        <f>IFERROR(__xludf.DUMMYFUNCTION("""COMPUTED_VALUE"""),0.0)</f>
        <v>0</v>
      </c>
      <c r="W231" s="87">
        <f>IFERROR(__xludf.DUMMYFUNCTION("""COMPUTED_VALUE"""),0.0)</f>
        <v>0</v>
      </c>
      <c r="X231" s="88"/>
      <c r="Y231" s="74"/>
      <c r="Z231" s="74"/>
    </row>
    <row r="232">
      <c r="B232" s="74" t="str">
        <f>IFERROR(__xludf.DUMMYFUNCTION("""COMPUTED_VALUE"""),"1229")</f>
        <v>1229</v>
      </c>
      <c r="C232" s="74" t="str">
        <f>IFERROR(__xludf.DUMMYFUNCTION("""COMPUTED_VALUE"""),"75045891229")</f>
        <v>75045891229</v>
      </c>
      <c r="D232" s="74" t="str">
        <f>IFERROR(__xludf.DUMMYFUNCTION("""COMPUTED_VALUE"""),"\\MCA-S\mk\2_BM\0_BMat\08_PYM\Inventario\excel\Imagen de refacciones\Schwing\Piston d120_8 para vástago de bombeo")</f>
        <v>\\MCA-S\mk\2_BM\0_BMat\08_PYM\Inventario\excel\Imagen de refacciones\Schwing\Piston d120_8 para vástago de bombeo</v>
      </c>
      <c r="E232" s="74" t="str">
        <f>IFERROR(__xludf.DUMMYFUNCTION("""COMPUTED_VALUE"""),"HYDRAULIC PISTON D120/80")</f>
        <v>HYDRAULIC PISTON D120/80</v>
      </c>
      <c r="F232" s="74" t="str">
        <f>IFERROR(__xludf.DUMMYFUNCTION("""COMPUTED_VALUE"""),"PISTON D120/80 VASTAGO DE BOMBEO")</f>
        <v>PISTON D120/80 VASTAGO DE BOMBEO</v>
      </c>
      <c r="G232" s="74"/>
      <c r="H232" s="74"/>
      <c r="I232" s="74" t="str">
        <f>IFERROR(__xludf.DUMMYFUNCTION("""COMPUTED_VALUE"""),"10017529")</f>
        <v>10017529</v>
      </c>
      <c r="J232" s="74"/>
      <c r="K232" s="74" t="str">
        <f>IFERROR(__xludf.DUMMYFUNCTION("""COMPUTED_VALUE"""),"Schwing")</f>
        <v>Schwing</v>
      </c>
      <c r="L232" s="74" t="str">
        <f>IFERROR(__xludf.DUMMYFUNCTION("""COMPUTED_VALUE"""),"SIN ASIGNAR")</f>
        <v>SIN ASIGNAR</v>
      </c>
      <c r="M232" s="74" t="str">
        <f>IFERROR(__xludf.DUMMYFUNCTION("""COMPUTED_VALUE"""),"PISTONES")</f>
        <v>PISTONES</v>
      </c>
      <c r="N232" s="87">
        <f>IFERROR(__xludf.DUMMYFUNCTION("""COMPUTED_VALUE"""),0.0)</f>
        <v>0</v>
      </c>
      <c r="O232" s="74"/>
      <c r="P232" s="74" t="str">
        <f>IFERROR(__xludf.DUMMYFUNCTION("""COMPUTED_VALUE"""),"To Re-purchase")</f>
        <v>To Re-purchase</v>
      </c>
      <c r="Q232" s="74"/>
      <c r="R232" s="74"/>
      <c r="S232" s="87">
        <f>IFERROR(__xludf.DUMMYFUNCTION("""COMPUTED_VALUE"""),0.0)</f>
        <v>0</v>
      </c>
      <c r="T232" s="87">
        <f>IFERROR(__xludf.DUMMYFUNCTION("""COMPUTED_VALUE"""),0.0)</f>
        <v>0</v>
      </c>
      <c r="U232" s="87">
        <f>IFERROR(__xludf.DUMMYFUNCTION("""COMPUTED_VALUE"""),0.0)</f>
        <v>0</v>
      </c>
      <c r="V232" s="87">
        <f>IFERROR(__xludf.DUMMYFUNCTION("""COMPUTED_VALUE"""),0.0)</f>
        <v>0</v>
      </c>
      <c r="W232" s="87">
        <f>IFERROR(__xludf.DUMMYFUNCTION("""COMPUTED_VALUE"""),0.0)</f>
        <v>0</v>
      </c>
      <c r="X232" s="88"/>
      <c r="Y232" s="74"/>
      <c r="Z232" s="74"/>
    </row>
    <row r="233">
      <c r="B233" s="74" t="str">
        <f>IFERROR(__xludf.DUMMYFUNCTION("""COMPUTED_VALUE"""),"1230")</f>
        <v>1230</v>
      </c>
      <c r="C233" s="74" t="str">
        <f>IFERROR(__xludf.DUMMYFUNCTION("""COMPUTED_VALUE"""),"75045891230")</f>
        <v>75045891230</v>
      </c>
      <c r="D233" s="74" t="str">
        <f>IFERROR(__xludf.DUMMYFUNCTION("""COMPUTED_VALUE"""),"\\MCA-S\mk\2_BM\0_BMat\08_PYM\Inventario\excel\Imagen de refacciones\Schwing\Pistón d125_8 para vástago de bombeo")</f>
        <v>\\MCA-S\mk\2_BM\0_BMat\08_PYM\Inventario\excel\Imagen de refacciones\Schwing\Pistón d125_8 para vástago de bombeo</v>
      </c>
      <c r="E233" s="74" t="str">
        <f>IFERROR(__xludf.DUMMYFUNCTION("""COMPUTED_VALUE"""),"HYDRAULIC PISTON D125/80")</f>
        <v>HYDRAULIC PISTON D125/80</v>
      </c>
      <c r="F233" s="74" t="str">
        <f>IFERROR(__xludf.DUMMYFUNCTION("""COMPUTED_VALUE"""),"PISTON D125/80 VASTAGO DE BOMBEO")</f>
        <v>PISTON D125/80 VASTAGO DE BOMBEO</v>
      </c>
      <c r="G233" s="74"/>
      <c r="H233" s="74"/>
      <c r="I233" s="74" t="str">
        <f>IFERROR(__xludf.DUMMYFUNCTION("""COMPUTED_VALUE"""),"10014343")</f>
        <v>10014343</v>
      </c>
      <c r="J233" s="74"/>
      <c r="K233" s="74" t="str">
        <f>IFERROR(__xludf.DUMMYFUNCTION("""COMPUTED_VALUE"""),"Schwing")</f>
        <v>Schwing</v>
      </c>
      <c r="L233" s="74" t="str">
        <f>IFERROR(__xludf.DUMMYFUNCTION("""COMPUTED_VALUE"""),"Sistema de bombeo de concreto")</f>
        <v>Sistema de bombeo de concreto</v>
      </c>
      <c r="M233" s="74" t="str">
        <f>IFERROR(__xludf.DUMMYFUNCTION("""COMPUTED_VALUE"""),"PISTONES")</f>
        <v>PISTONES</v>
      </c>
      <c r="N233" s="87">
        <f>IFERROR(__xludf.DUMMYFUNCTION("""COMPUTED_VALUE"""),0.0)</f>
        <v>0</v>
      </c>
      <c r="O233" s="74"/>
      <c r="P233" s="74" t="str">
        <f>IFERROR(__xludf.DUMMYFUNCTION("""COMPUTED_VALUE"""),"To Re-purchase")</f>
        <v>To Re-purchase</v>
      </c>
      <c r="Q233" s="74"/>
      <c r="R233" s="74"/>
      <c r="S233" s="87">
        <f>IFERROR(__xludf.DUMMYFUNCTION("""COMPUTED_VALUE"""),0.0)</f>
        <v>0</v>
      </c>
      <c r="T233" s="87">
        <f>IFERROR(__xludf.DUMMYFUNCTION("""COMPUTED_VALUE"""),0.0)</f>
        <v>0</v>
      </c>
      <c r="U233" s="87">
        <f>IFERROR(__xludf.DUMMYFUNCTION("""COMPUTED_VALUE"""),0.0)</f>
        <v>0</v>
      </c>
      <c r="V233" s="87">
        <f>IFERROR(__xludf.DUMMYFUNCTION("""COMPUTED_VALUE"""),0.0)</f>
        <v>0</v>
      </c>
      <c r="W233" s="87">
        <f>IFERROR(__xludf.DUMMYFUNCTION("""COMPUTED_VALUE"""),0.0)</f>
        <v>0</v>
      </c>
      <c r="X233" s="88"/>
      <c r="Y233" s="74"/>
      <c r="Z233" s="74"/>
    </row>
    <row r="234">
      <c r="B234" s="74" t="str">
        <f>IFERROR(__xludf.DUMMYFUNCTION("""COMPUTED_VALUE"""),"1231")</f>
        <v>1231</v>
      </c>
      <c r="C234" s="74"/>
      <c r="D234" s="74" t="str">
        <f>IFERROR(__xludf.DUMMYFUNCTION("""COMPUTED_VALUE"""),"\\MCA-S\mk\2_BM\0_BMat\08_PYM\Inventario\excel\Imagen de refacciones\Schwing\electroválvula 12v (1)")</f>
        <v>\\MCA-S\mk\2_BM\0_BMat\08_PYM\Inventario\excel\Imagen de refacciones\Schwing\electroválvula 12v (1)</v>
      </c>
      <c r="E234" s="74"/>
      <c r="F234" s="74" t="str">
        <f>IFERROR(__xludf.DUMMYFUNCTION("""COMPUTED_VALUE"""),"electroválvula 12v")</f>
        <v>electroválvula 12v</v>
      </c>
      <c r="G234" s="74"/>
      <c r="H234" s="74"/>
      <c r="I234" s="74" t="str">
        <f>IFERROR(__xludf.DUMMYFUNCTION("""COMPUTED_VALUE"""),"98316451")</f>
        <v>98316451</v>
      </c>
      <c r="J234" s="74"/>
      <c r="K234" s="74" t="str">
        <f>IFERROR(__xludf.DUMMYFUNCTION("""COMPUTED_VALUE"""),"Schwing")</f>
        <v>Schwing</v>
      </c>
      <c r="L234" s="74" t="str">
        <f>IFERROR(__xludf.DUMMYFUNCTION("""COMPUTED_VALUE"""),"Componentes eléctricos")</f>
        <v>Componentes eléctricos</v>
      </c>
      <c r="M234" s="74" t="str">
        <f>IFERROR(__xludf.DUMMYFUNCTION("""COMPUTED_VALUE"""),"Sin Asignar")</f>
        <v>Sin Asignar</v>
      </c>
      <c r="N234" s="87">
        <f>IFERROR(__xludf.DUMMYFUNCTION("""COMPUTED_VALUE"""),0.0)</f>
        <v>0</v>
      </c>
      <c r="O234" s="74"/>
      <c r="P234" s="74" t="str">
        <f>IFERROR(__xludf.DUMMYFUNCTION("""COMPUTED_VALUE"""),"borrar")</f>
        <v>borrar</v>
      </c>
      <c r="Q234" s="74"/>
      <c r="R234" s="74"/>
      <c r="S234" s="87">
        <f>IFERROR(__xludf.DUMMYFUNCTION("""COMPUTED_VALUE"""),0.0)</f>
        <v>0</v>
      </c>
      <c r="T234" s="87">
        <f>IFERROR(__xludf.DUMMYFUNCTION("""COMPUTED_VALUE"""),0.0)</f>
        <v>0</v>
      </c>
      <c r="U234" s="87">
        <f>IFERROR(__xludf.DUMMYFUNCTION("""COMPUTED_VALUE"""),0.0)</f>
        <v>0</v>
      </c>
      <c r="V234" s="87">
        <f>IFERROR(__xludf.DUMMYFUNCTION("""COMPUTED_VALUE"""),0.0)</f>
        <v>0</v>
      </c>
      <c r="W234" s="87">
        <f>IFERROR(__xludf.DUMMYFUNCTION("""COMPUTED_VALUE"""),0.0)</f>
        <v>0</v>
      </c>
      <c r="X234" s="88"/>
      <c r="Y234" s="74"/>
      <c r="Z234" s="74"/>
    </row>
    <row r="235">
      <c r="B235" s="74" t="str">
        <f>IFERROR(__xludf.DUMMYFUNCTION("""COMPUTED_VALUE"""),"1232")</f>
        <v>1232</v>
      </c>
      <c r="C235" s="74" t="str">
        <f>IFERROR(__xludf.DUMMYFUNCTION("""COMPUTED_VALUE"""),"75045880348")</f>
        <v>75045880348</v>
      </c>
      <c r="D235" s="74" t="str">
        <f>IFERROR(__xludf.DUMMYFUNCTION("""COMPUTED_VALUE"""),"\\MCA-S\mk\2_BM\0_BMat\08_PYM\Inventario\excel\Imagen de refacciones\Schwing\Balero articulado GE60")</f>
        <v>\\MCA-S\mk\2_BM\0_BMat\08_PYM\Inventario\excel\Imagen de refacciones\Schwing\Balero articulado GE60</v>
      </c>
      <c r="E235" s="74"/>
      <c r="F235" s="74" t="str">
        <f>IFERROR(__xludf.DUMMYFUNCTION("""COMPUTED_VALUE"""),"BALERO ARTICULADO GE60")</f>
        <v>BALERO ARTICULADO GE60</v>
      </c>
      <c r="G235" s="74"/>
      <c r="H235" s="74"/>
      <c r="I235" s="74" t="str">
        <f>IFERROR(__xludf.DUMMYFUNCTION("""COMPUTED_VALUE"""),"10002746")</f>
        <v>10002746</v>
      </c>
      <c r="J235" s="74"/>
      <c r="K235" s="74" t="str">
        <f>IFERROR(__xludf.DUMMYFUNCTION("""COMPUTED_VALUE"""),"Schwing")</f>
        <v>Schwing</v>
      </c>
      <c r="L235" s="74" t="str">
        <f>IFERROR(__xludf.DUMMYFUNCTION("""COMPUTED_VALUE"""),"Componentes estructurales y de montaje")</f>
        <v>Componentes estructurales y de montaje</v>
      </c>
      <c r="M235" s="74" t="str">
        <f>IFERROR(__xludf.DUMMYFUNCTION("""COMPUTED_VALUE"""),"BALEROS")</f>
        <v>BALEROS</v>
      </c>
      <c r="N235" s="87">
        <f>IFERROR(__xludf.DUMMYFUNCTION("""COMPUTED_VALUE"""),0.0)</f>
        <v>0</v>
      </c>
      <c r="O235" s="74"/>
      <c r="P235" s="74" t="str">
        <f>IFERROR(__xludf.DUMMYFUNCTION("""COMPUTED_VALUE"""),"borrar")</f>
        <v>borrar</v>
      </c>
      <c r="Q235" s="74"/>
      <c r="R235" s="74"/>
      <c r="S235" s="87">
        <f>IFERROR(__xludf.DUMMYFUNCTION("""COMPUTED_VALUE"""),0.0)</f>
        <v>0</v>
      </c>
      <c r="T235" s="87">
        <f>IFERROR(__xludf.DUMMYFUNCTION("""COMPUTED_VALUE"""),0.0)</f>
        <v>0</v>
      </c>
      <c r="U235" s="87">
        <f>IFERROR(__xludf.DUMMYFUNCTION("""COMPUTED_VALUE"""),0.0)</f>
        <v>0</v>
      </c>
      <c r="V235" s="87">
        <f>IFERROR(__xludf.DUMMYFUNCTION("""COMPUTED_VALUE"""),0.0)</f>
        <v>0</v>
      </c>
      <c r="W235" s="87">
        <f>IFERROR(__xludf.DUMMYFUNCTION("""COMPUTED_VALUE"""),0.0)</f>
        <v>0</v>
      </c>
      <c r="X235" s="88"/>
      <c r="Y235" s="74"/>
      <c r="Z235" s="74"/>
    </row>
    <row r="236">
      <c r="B236" s="74" t="str">
        <f>IFERROR(__xludf.DUMMYFUNCTION("""COMPUTED_VALUE"""),"1233")</f>
        <v>1233</v>
      </c>
      <c r="C236" s="74"/>
      <c r="D236" s="74" t="str">
        <f>IFERROR(__xludf.DUMMYFUNCTION("""COMPUTED_VALUE"""),"\\MCA-S\mk\2_BM\0_BMat\08_PYM\Inventario\excel\Imagen de refacciones\Schwing\balero articulado 90GE (1)")</f>
        <v>\\MCA-S\mk\2_BM\0_BMat\08_PYM\Inventario\excel\Imagen de refacciones\Schwing\balero articulado 90GE (1)</v>
      </c>
      <c r="E236" s="74"/>
      <c r="F236" s="74" t="str">
        <f>IFERROR(__xludf.DUMMYFUNCTION("""COMPUTED_VALUE"""),"balero articulado 90GE")</f>
        <v>balero articulado 90GE</v>
      </c>
      <c r="G236" s="74"/>
      <c r="H236" s="74"/>
      <c r="I236" s="74" t="str">
        <f>IFERROR(__xludf.DUMMYFUNCTION("""COMPUTED_VALUE"""),"100240099")</f>
        <v>100240099</v>
      </c>
      <c r="J236" s="74"/>
      <c r="K236" s="74" t="str">
        <f>IFERROR(__xludf.DUMMYFUNCTION("""COMPUTED_VALUE"""),"Schwing")</f>
        <v>Schwing</v>
      </c>
      <c r="L236" s="74" t="str">
        <f>IFERROR(__xludf.DUMMYFUNCTION("""COMPUTED_VALUE"""),"Componentes estructurales y de montaje")</f>
        <v>Componentes estructurales y de montaje</v>
      </c>
      <c r="M236" s="74" t="str">
        <f>IFERROR(__xludf.DUMMYFUNCTION("""COMPUTED_VALUE"""),"Sin Asignar")</f>
        <v>Sin Asignar</v>
      </c>
      <c r="N236" s="87">
        <f>IFERROR(__xludf.DUMMYFUNCTION("""COMPUTED_VALUE"""),0.0)</f>
        <v>0</v>
      </c>
      <c r="O236" s="74"/>
      <c r="P236" s="74" t="str">
        <f>IFERROR(__xludf.DUMMYFUNCTION("""COMPUTED_VALUE"""),"borrar")</f>
        <v>borrar</v>
      </c>
      <c r="Q236" s="74"/>
      <c r="R236" s="74"/>
      <c r="S236" s="87">
        <f>IFERROR(__xludf.DUMMYFUNCTION("""COMPUTED_VALUE"""),0.0)</f>
        <v>0</v>
      </c>
      <c r="T236" s="87">
        <f>IFERROR(__xludf.DUMMYFUNCTION("""COMPUTED_VALUE"""),0.0)</f>
        <v>0</v>
      </c>
      <c r="U236" s="87">
        <f>IFERROR(__xludf.DUMMYFUNCTION("""COMPUTED_VALUE"""),0.0)</f>
        <v>0</v>
      </c>
      <c r="V236" s="87">
        <f>IFERROR(__xludf.DUMMYFUNCTION("""COMPUTED_VALUE"""),0.0)</f>
        <v>0</v>
      </c>
      <c r="W236" s="87">
        <f>IFERROR(__xludf.DUMMYFUNCTION("""COMPUTED_VALUE"""),0.0)</f>
        <v>0</v>
      </c>
      <c r="X236" s="88"/>
      <c r="Y236" s="74"/>
      <c r="Z236" s="74"/>
    </row>
    <row r="237">
      <c r="B237" s="74" t="str">
        <f>IFERROR(__xludf.DUMMYFUNCTION("""COMPUTED_VALUE"""),"1234")</f>
        <v>1234</v>
      </c>
      <c r="C237" s="74"/>
      <c r="D237" s="74" t="str">
        <f>IFERROR(__xludf.DUMMYFUNCTION("""COMPUTED_VALUE"""),"\\MCA-S\mk\2_BM\0_BMat\08_PYM\Inventario\excel\Imagen de refacciones\Schwing\Lodera Schwing")</f>
        <v>\\MCA-S\mk\2_BM\0_BMat\08_PYM\Inventario\excel\Imagen de refacciones\Schwing\Lodera Schwing</v>
      </c>
      <c r="E237" s="74"/>
      <c r="F237" s="74" t="str">
        <f>IFERROR(__xludf.DUMMYFUNCTION("""COMPUTED_VALUE"""),"Lodera Schwing")</f>
        <v>Lodera Schwing</v>
      </c>
      <c r="G237" s="74"/>
      <c r="H237" s="74"/>
      <c r="I237" s="74" t="str">
        <f>IFERROR(__xludf.DUMMYFUNCTION("""COMPUTED_VALUE"""),"25172609L")</f>
        <v>25172609L</v>
      </c>
      <c r="J237" s="74"/>
      <c r="K237" s="74" t="str">
        <f>IFERROR(__xludf.DUMMYFUNCTION("""COMPUTED_VALUE"""),"Schwing")</f>
        <v>Schwing</v>
      </c>
      <c r="L237" s="74" t="str">
        <f>IFERROR(__xludf.DUMMYFUNCTION("""COMPUTED_VALUE"""),"Componentes estructurales y de montaje")</f>
        <v>Componentes estructurales y de montaje</v>
      </c>
      <c r="M237" s="74" t="str">
        <f>IFERROR(__xludf.DUMMYFUNCTION("""COMPUTED_VALUE"""),"Sin Asignar")</f>
        <v>Sin Asignar</v>
      </c>
      <c r="N237" s="87">
        <f>IFERROR(__xludf.DUMMYFUNCTION("""COMPUTED_VALUE"""),0.0)</f>
        <v>0</v>
      </c>
      <c r="O237" s="74"/>
      <c r="P237" s="74" t="str">
        <f>IFERROR(__xludf.DUMMYFUNCTION("""COMPUTED_VALUE"""),"No Available")</f>
        <v>No Available</v>
      </c>
      <c r="Q237" s="74"/>
      <c r="R237" s="74"/>
      <c r="S237" s="87">
        <f>IFERROR(__xludf.DUMMYFUNCTION("""COMPUTED_VALUE"""),0.0)</f>
        <v>0</v>
      </c>
      <c r="T237" s="87">
        <f>IFERROR(__xludf.DUMMYFUNCTION("""COMPUTED_VALUE"""),0.0)</f>
        <v>0</v>
      </c>
      <c r="U237" s="87">
        <f>IFERROR(__xludf.DUMMYFUNCTION("""COMPUTED_VALUE"""),0.0)</f>
        <v>0</v>
      </c>
      <c r="V237" s="87">
        <f>IFERROR(__xludf.DUMMYFUNCTION("""COMPUTED_VALUE"""),0.0)</f>
        <v>0</v>
      </c>
      <c r="W237" s="87">
        <f>IFERROR(__xludf.DUMMYFUNCTION("""COMPUTED_VALUE"""),0.0)</f>
        <v>0</v>
      </c>
      <c r="X237" s="88"/>
      <c r="Y237" s="74"/>
      <c r="Z237" s="74"/>
    </row>
    <row r="238">
      <c r="B238" s="74" t="str">
        <f>IFERROR(__xludf.DUMMYFUNCTION("""COMPUTED_VALUE"""),"1235")</f>
        <v>1235</v>
      </c>
      <c r="C238" s="74"/>
      <c r="D238" s="74" t="str">
        <f>IFERROR(__xludf.DUMMYFUNCTION("""COMPUTED_VALUE"""),"\\MCA-S\mk\2_BM\0_BMat\08_PYM\Inventario\excel\Imagen de refacciones\Schwing\Soporte para pluma 4_ x 12_ x 2.5_")</f>
        <v>\\MCA-S\mk\2_BM\0_BMat\08_PYM\Inventario\excel\Imagen de refacciones\Schwing\Soporte para pluma 4_ x 12_ x 2.5_</v>
      </c>
      <c r="E238" s="74"/>
      <c r="F238" s="74" t="str">
        <f>IFERROR(__xludf.DUMMYFUNCTION("""COMPUTED_VALUE"""),"Soporte para pluma 4"" x 12"" x 2.5""")</f>
        <v>Soporte para pluma 4" x 12" x 2.5"</v>
      </c>
      <c r="G238" s="74"/>
      <c r="H238" s="74"/>
      <c r="I238" s="74" t="str">
        <f>IFERROR(__xludf.DUMMYFUNCTION("""COMPUTED_VALUE"""),"10033863")</f>
        <v>10033863</v>
      </c>
      <c r="J238" s="74"/>
      <c r="K238" s="74" t="str">
        <f>IFERROR(__xludf.DUMMYFUNCTION("""COMPUTED_VALUE"""),"Schwing")</f>
        <v>Schwing</v>
      </c>
      <c r="L238" s="74" t="str">
        <f>IFERROR(__xludf.DUMMYFUNCTION("""COMPUTED_VALUE"""),"Componentes estructurales y de montaje")</f>
        <v>Componentes estructurales y de montaje</v>
      </c>
      <c r="M238" s="74" t="str">
        <f>IFERROR(__xludf.DUMMYFUNCTION("""COMPUTED_VALUE"""),"Sin Asignar")</f>
        <v>Sin Asignar</v>
      </c>
      <c r="N238" s="87">
        <f>IFERROR(__xludf.DUMMYFUNCTION("""COMPUTED_VALUE"""),0.0)</f>
        <v>0</v>
      </c>
      <c r="O238" s="74"/>
      <c r="P238" s="74" t="str">
        <f>IFERROR(__xludf.DUMMYFUNCTION("""COMPUTED_VALUE"""),"No Available")</f>
        <v>No Available</v>
      </c>
      <c r="Q238" s="74"/>
      <c r="R238" s="74"/>
      <c r="S238" s="87">
        <f>IFERROR(__xludf.DUMMYFUNCTION("""COMPUTED_VALUE"""),0.0)</f>
        <v>0</v>
      </c>
      <c r="T238" s="87">
        <f>IFERROR(__xludf.DUMMYFUNCTION("""COMPUTED_VALUE"""),0.0)</f>
        <v>0</v>
      </c>
      <c r="U238" s="87">
        <f>IFERROR(__xludf.DUMMYFUNCTION("""COMPUTED_VALUE"""),0.0)</f>
        <v>0</v>
      </c>
      <c r="V238" s="87">
        <f>IFERROR(__xludf.DUMMYFUNCTION("""COMPUTED_VALUE"""),0.0)</f>
        <v>0</v>
      </c>
      <c r="W238" s="87">
        <f>IFERROR(__xludf.DUMMYFUNCTION("""COMPUTED_VALUE"""),0.0)</f>
        <v>0</v>
      </c>
      <c r="X238" s="88"/>
      <c r="Y238" s="74"/>
      <c r="Z238" s="74"/>
    </row>
    <row r="239">
      <c r="B239" s="74" t="str">
        <f>IFERROR(__xludf.DUMMYFUNCTION("""COMPUTED_VALUE"""),"1236")</f>
        <v>1236</v>
      </c>
      <c r="C239" s="74" t="str">
        <f>IFERROR(__xludf.DUMMYFUNCTION("""COMPUTED_VALUE"""),"75045880510")</f>
        <v>75045880510</v>
      </c>
      <c r="D239" s="74" t="str">
        <f>IFERROR(__xludf.DUMMYFUNCTION("""COMPUTED_VALUE"""),"\\MCA-S\mk\2_BM\0_BMat\08_PYM\Inventario\excel\Imagen de refacciones\Putzmeister\Anillo de desgaste")</f>
        <v>\\MCA-S\mk\2_BM\0_BMat\08_PYM\Inventario\excel\Imagen de refacciones\Putzmeister\Anillo de desgaste</v>
      </c>
      <c r="E239" s="74"/>
      <c r="F239" s="74" t="str">
        <f>IFERROR(__xludf.DUMMYFUNCTION("""COMPUTED_VALUE"""),"Anillo de desgaste")</f>
        <v>Anillo de desgaste</v>
      </c>
      <c r="G239" s="74"/>
      <c r="H239" s="74"/>
      <c r="I239" s="74" t="str">
        <f>IFERROR(__xludf.DUMMYFUNCTION("""COMPUTED_VALUE"""),"251031066")</f>
        <v>251031066</v>
      </c>
      <c r="J239" s="74"/>
      <c r="K239" s="74" t="str">
        <f>IFERROR(__xludf.DUMMYFUNCTION("""COMPUTED_VALUE"""),"Putzmeister")</f>
        <v>Putzmeister</v>
      </c>
      <c r="L239" s="74" t="str">
        <f>IFERROR(__xludf.DUMMYFUNCTION("""COMPUTED_VALUE"""),"Sistema de bombeo de concreto")</f>
        <v>Sistema de bombeo de concreto</v>
      </c>
      <c r="M239" s="74" t="str">
        <f>IFERROR(__xludf.DUMMYFUNCTION("""COMPUTED_VALUE"""),"Sin Asignar")</f>
        <v>Sin Asignar</v>
      </c>
      <c r="N239" s="87">
        <f>IFERROR(__xludf.DUMMYFUNCTION("""COMPUTED_VALUE"""),0.0)</f>
        <v>0</v>
      </c>
      <c r="O239" s="74"/>
      <c r="P239" s="74" t="str">
        <f>IFERROR(__xludf.DUMMYFUNCTION("""COMPUTED_VALUE"""),"No Available")</f>
        <v>No Available</v>
      </c>
      <c r="Q239" s="74"/>
      <c r="R239" s="74"/>
      <c r="S239" s="87">
        <f>IFERROR(__xludf.DUMMYFUNCTION("""COMPUTED_VALUE"""),0.0)</f>
        <v>0</v>
      </c>
      <c r="T239" s="87">
        <f>IFERROR(__xludf.DUMMYFUNCTION("""COMPUTED_VALUE"""),0.0)</f>
        <v>0</v>
      </c>
      <c r="U239" s="87">
        <f>IFERROR(__xludf.DUMMYFUNCTION("""COMPUTED_VALUE"""),0.0)</f>
        <v>0</v>
      </c>
      <c r="V239" s="87">
        <f>IFERROR(__xludf.DUMMYFUNCTION("""COMPUTED_VALUE"""),0.0)</f>
        <v>0</v>
      </c>
      <c r="W239" s="87">
        <f>IFERROR(__xludf.DUMMYFUNCTION("""COMPUTED_VALUE"""),0.0)</f>
        <v>0</v>
      </c>
      <c r="X239" s="88"/>
      <c r="Y239" s="74"/>
      <c r="Z239" s="74"/>
    </row>
    <row r="240">
      <c r="B240" s="74" t="str">
        <f>IFERROR(__xludf.DUMMYFUNCTION("""COMPUTED_VALUE"""),"1237")</f>
        <v>1237</v>
      </c>
      <c r="C240" s="74" t="str">
        <f>IFERROR(__xludf.DUMMYFUNCTION("""COMPUTED_VALUE"""),"75045891237")</f>
        <v>75045891237</v>
      </c>
      <c r="D240" s="74" t="str">
        <f>IFERROR(__xludf.DUMMYFUNCTION("""COMPUTED_VALUE"""),"\\MCA-S\mk\2_BM\0_BMat\08_PYM\Inventario\excel\Imagen de refacciones\Putzmeister\Placa de desgaste")</f>
        <v>\\MCA-S\mk\2_BM\0_BMat\08_PYM\Inventario\excel\Imagen de refacciones\Putzmeister\Placa de desgaste</v>
      </c>
      <c r="E240" s="74" t="str">
        <f>IFERROR(__xludf.DUMMYFUNCTION("""COMPUTED_VALUE"""),"SPECTACLE WEAR PLATE")</f>
        <v>SPECTACLE WEAR PLATE</v>
      </c>
      <c r="F240" s="74" t="str">
        <f>IFERROR(__xludf.DUMMYFUNCTION("""COMPUTED_VALUE"""),"PLACA DESGASTE")</f>
        <v>PLACA DESGASTE</v>
      </c>
      <c r="G240" s="74"/>
      <c r="H240" s="74"/>
      <c r="I240" s="74" t="str">
        <f>IFERROR(__xludf.DUMMYFUNCTION("""COMPUTED_VALUE"""),"229488005")</f>
        <v>229488005</v>
      </c>
      <c r="J240" s="74"/>
      <c r="K240" s="74" t="str">
        <f>IFERROR(__xludf.DUMMYFUNCTION("""COMPUTED_VALUE"""),"Putzmeister")</f>
        <v>Putzmeister</v>
      </c>
      <c r="L240" s="74" t="str">
        <f>IFERROR(__xludf.DUMMYFUNCTION("""COMPUTED_VALUE"""),"Sistema de bombeo de concreto")</f>
        <v>Sistema de bombeo de concreto</v>
      </c>
      <c r="M240" s="74" t="str">
        <f>IFERROR(__xludf.DUMMYFUNCTION("""COMPUTED_VALUE"""),"Sin Asignar")</f>
        <v>Sin Asignar</v>
      </c>
      <c r="N240" s="87">
        <f>IFERROR(__xludf.DUMMYFUNCTION("""COMPUTED_VALUE"""),0.0)</f>
        <v>0</v>
      </c>
      <c r="O240" s="74"/>
      <c r="P240" s="74" t="str">
        <f>IFERROR(__xludf.DUMMYFUNCTION("""COMPUTED_VALUE"""),"To Re-purchase")</f>
        <v>To Re-purchase</v>
      </c>
      <c r="Q240" s="74"/>
      <c r="R240" s="74"/>
      <c r="S240" s="87">
        <f>IFERROR(__xludf.DUMMYFUNCTION("""COMPUTED_VALUE"""),0.0)</f>
        <v>0</v>
      </c>
      <c r="T240" s="87">
        <f>IFERROR(__xludf.DUMMYFUNCTION("""COMPUTED_VALUE"""),0.0)</f>
        <v>0</v>
      </c>
      <c r="U240" s="87">
        <f>IFERROR(__xludf.DUMMYFUNCTION("""COMPUTED_VALUE"""),0.0)</f>
        <v>0</v>
      </c>
      <c r="V240" s="87">
        <f>IFERROR(__xludf.DUMMYFUNCTION("""COMPUTED_VALUE"""),0.0)</f>
        <v>0</v>
      </c>
      <c r="W240" s="87">
        <f>IFERROR(__xludf.DUMMYFUNCTION("""COMPUTED_VALUE"""),0.0)</f>
        <v>0</v>
      </c>
      <c r="X240" s="88"/>
      <c r="Y240" s="74"/>
      <c r="Z240" s="74"/>
    </row>
    <row r="241">
      <c r="B241" s="74" t="str">
        <f>IFERROR(__xludf.DUMMYFUNCTION("""COMPUTED_VALUE"""),"1238")</f>
        <v>1238</v>
      </c>
      <c r="C241" s="74" t="str">
        <f>IFERROR(__xludf.DUMMYFUNCTION("""COMPUTED_VALUE"""),"75045891238")</f>
        <v>75045891238</v>
      </c>
      <c r="D241" s="74" t="str">
        <f>IFERROR(__xludf.DUMMYFUNCTION("""COMPUTED_VALUE"""),"\\MCA-S\mk\2_BM\0_BMat\08_PYM\Inventario\excel\Imagen de refacciones\Putzmeister\cilindro de cambio gato buzo 80MM (1)")</f>
        <v>\\MCA-S\mk\2_BM\0_BMat\08_PYM\Inventario\excel\Imagen de refacciones\Putzmeister\cilindro de cambio gato buzo 80MM (1)</v>
      </c>
      <c r="E241" s="74" t="str">
        <f>IFERROR(__xludf.DUMMYFUNCTION("""COMPUTED_VALUE"""),"PLUNGER CYLINDER 160-60")</f>
        <v>PLUNGER CYLINDER 160-60</v>
      </c>
      <c r="F241" s="74" t="str">
        <f>IFERROR(__xludf.DUMMYFUNCTION("""COMPUTED_VALUE"""),"CILINDRO CAMBIO/GATO BUZO 160-60MM")</f>
        <v>CILINDRO CAMBIO/GATO BUZO 160-60MM</v>
      </c>
      <c r="G241" s="74"/>
      <c r="H241" s="74"/>
      <c r="I241" s="74" t="str">
        <f>IFERROR(__xludf.DUMMYFUNCTION("""COMPUTED_VALUE"""),"541668")</f>
        <v>541668</v>
      </c>
      <c r="J241" s="74"/>
      <c r="K241" s="74" t="str">
        <f>IFERROR(__xludf.DUMMYFUNCTION("""COMPUTED_VALUE"""),"Putzmeister")</f>
        <v>Putzmeister</v>
      </c>
      <c r="L241" s="74" t="str">
        <f>IFERROR(__xludf.DUMMYFUNCTION("""COMPUTED_VALUE"""),"BARRA V-ROCK")</f>
        <v>BARRA V-ROCK</v>
      </c>
      <c r="M241" s="74" t="str">
        <f>IFERROR(__xludf.DUMMYFUNCTION("""COMPUTED_VALUE"""),"PISTONES")</f>
        <v>PISTONES</v>
      </c>
      <c r="N241" s="87">
        <f>IFERROR(__xludf.DUMMYFUNCTION("""COMPUTED_VALUE"""),4138.08)</f>
        <v>4138.08</v>
      </c>
      <c r="O241" s="74">
        <f>IFERROR(__xludf.DUMMYFUNCTION("""COMPUTED_VALUE"""),4.0)</f>
        <v>4</v>
      </c>
      <c r="P241" s="74" t="str">
        <f>IFERROR(__xludf.DUMMYFUNCTION("""COMPUTED_VALUE"""),"In stock")</f>
        <v>In stock</v>
      </c>
      <c r="Q241" s="74"/>
      <c r="R241" s="74"/>
      <c r="S241" s="87">
        <f>IFERROR(__xludf.DUMMYFUNCTION("""COMPUTED_VALUE"""),80.0)</f>
        <v>80</v>
      </c>
      <c r="T241" s="87">
        <f>IFERROR(__xludf.DUMMYFUNCTION("""COMPUTED_VALUE"""),233.0)</f>
        <v>233</v>
      </c>
      <c r="U241" s="87">
        <f>IFERROR(__xludf.DUMMYFUNCTION("""COMPUTED_VALUE"""),223.67999999999998)</f>
        <v>223.68</v>
      </c>
      <c r="V241" s="87">
        <f>IFERROR(__xludf.DUMMYFUNCTION("""COMPUTED_VALUE"""),98.0)</f>
        <v>98</v>
      </c>
      <c r="W241" s="87">
        <f>IFERROR(__xludf.DUMMYFUNCTION("""COMPUTED_VALUE"""),1837.5)</f>
        <v>1837.5</v>
      </c>
      <c r="X241" s="88">
        <f>IFERROR(__xludf.DUMMYFUNCTION("""COMPUTED_VALUE"""),2.796)</f>
        <v>2.796</v>
      </c>
      <c r="Y241" s="74"/>
      <c r="Z241" s="74"/>
    </row>
    <row r="242">
      <c r="B242" s="74" t="str">
        <f>IFERROR(__xludf.DUMMYFUNCTION("""COMPUTED_VALUE"""),"1239")</f>
        <v>1239</v>
      </c>
      <c r="C242" s="74" t="str">
        <f>IFERROR(__xludf.DUMMYFUNCTION("""COMPUTED_VALUE"""),"75045891239")</f>
        <v>75045891239</v>
      </c>
      <c r="D242" s="74" t="str">
        <f>IFERROR(__xludf.DUMMYFUNCTION("""COMPUTED_VALUE"""),"\\MCA-S\mk\2_BM\0_BMat\08_PYM\Inventario\excel\Imagen de refacciones\Putzmeister\Interruptor limitador")</f>
        <v>\\MCA-S\mk\2_BM\0_BMat\08_PYM\Inventario\excel\Imagen de refacciones\Putzmeister\Interruptor limitador</v>
      </c>
      <c r="E242" s="74" t="str">
        <f>IFERROR(__xludf.DUMMYFUNCTION("""COMPUTED_VALUE"""),"MECHANICAL LIMIT SWITCH")</f>
        <v>MECHANICAL LIMIT SWITCH</v>
      </c>
      <c r="F242" s="74" t="str">
        <f>IFERROR(__xludf.DUMMYFUNCTION("""COMPUTED_VALUE"""),"INTERRUPTOR LIMITADOR")</f>
        <v>INTERRUPTOR LIMITADOR</v>
      </c>
      <c r="G242" s="74"/>
      <c r="H242" s="74"/>
      <c r="I242" s="74" t="str">
        <f>IFERROR(__xludf.DUMMYFUNCTION("""COMPUTED_VALUE"""),"63249002")</f>
        <v>63249002</v>
      </c>
      <c r="J242" s="74"/>
      <c r="K242" s="74" t="str">
        <f>IFERROR(__xludf.DUMMYFUNCTION("""COMPUTED_VALUE"""),"Putzmeister")</f>
        <v>Putzmeister</v>
      </c>
      <c r="L242" s="74" t="str">
        <f>IFERROR(__xludf.DUMMYFUNCTION("""COMPUTED_VALUE"""),"Sistema de bombeo de concreto")</f>
        <v>Sistema de bombeo de concreto</v>
      </c>
      <c r="M242" s="74" t="str">
        <f>IFERROR(__xludf.DUMMYFUNCTION("""COMPUTED_VALUE"""),"Sin Asignar")</f>
        <v>Sin Asignar</v>
      </c>
      <c r="N242" s="87">
        <f>IFERROR(__xludf.DUMMYFUNCTION("""COMPUTED_VALUE"""),0.0)</f>
        <v>0</v>
      </c>
      <c r="O242" s="74"/>
      <c r="P242" s="74" t="str">
        <f>IFERROR(__xludf.DUMMYFUNCTION("""COMPUTED_VALUE"""),"To Re-purchase")</f>
        <v>To Re-purchase</v>
      </c>
      <c r="Q242" s="74"/>
      <c r="R242" s="74"/>
      <c r="S242" s="87">
        <f>IFERROR(__xludf.DUMMYFUNCTION("""COMPUTED_VALUE"""),0.0)</f>
        <v>0</v>
      </c>
      <c r="T242" s="87">
        <f>IFERROR(__xludf.DUMMYFUNCTION("""COMPUTED_VALUE"""),0.0)</f>
        <v>0</v>
      </c>
      <c r="U242" s="87">
        <f>IFERROR(__xludf.DUMMYFUNCTION("""COMPUTED_VALUE"""),0.0)</f>
        <v>0</v>
      </c>
      <c r="V242" s="87">
        <f>IFERROR(__xludf.DUMMYFUNCTION("""COMPUTED_VALUE"""),0.0)</f>
        <v>0</v>
      </c>
      <c r="W242" s="87">
        <f>IFERROR(__xludf.DUMMYFUNCTION("""COMPUTED_VALUE"""),0.0)</f>
        <v>0</v>
      </c>
      <c r="X242" s="88"/>
      <c r="Y242" s="74"/>
      <c r="Z242" s="74"/>
    </row>
    <row r="243">
      <c r="B243" s="74" t="str">
        <f>IFERROR(__xludf.DUMMYFUNCTION("""COMPUTED_VALUE"""),"1240")</f>
        <v>1240</v>
      </c>
      <c r="C243" s="74" t="str">
        <f>IFERROR(__xludf.DUMMYFUNCTION("""COMPUTED_VALUE"""),"75045891240")</f>
        <v>75045891240</v>
      </c>
      <c r="D243" s="74" t="str">
        <f>IFERROR(__xludf.DUMMYFUNCTION("""COMPUTED_VALUE"""),"\\MCA-S\mk\2_BM\0_BMat\08_PYM\Inventario\excel\Imagen de refacciones\Putzmeister\Barra del eje agitador 37.4_")</f>
        <v>\\MCA-S\mk\2_BM\0_BMat\08_PYM\Inventario\excel\Imagen de refacciones\Putzmeister\Barra del eje agitador 37.4_</v>
      </c>
      <c r="E243" s="74" t="str">
        <f>IFERROR(__xludf.DUMMYFUNCTION("""COMPUTED_VALUE"""),"MIXER SHAFT")</f>
        <v>MIXER SHAFT</v>
      </c>
      <c r="F243" s="74" t="str">
        <f>IFERROR(__xludf.DUMMYFUNCTION("""COMPUTED_VALUE"""),"BARRA EJE AGITADOR 37.4""")</f>
        <v>BARRA EJE AGITADOR 37.4"</v>
      </c>
      <c r="G243" s="74"/>
      <c r="H243" s="74"/>
      <c r="I243" s="74" t="str">
        <f>IFERROR(__xludf.DUMMYFUNCTION("""COMPUTED_VALUE"""),"243189005")</f>
        <v>243189005</v>
      </c>
      <c r="J243" s="74"/>
      <c r="K243" s="74" t="str">
        <f>IFERROR(__xludf.DUMMYFUNCTION("""COMPUTED_VALUE"""),"Putzmeister")</f>
        <v>Putzmeister</v>
      </c>
      <c r="L243" s="74" t="str">
        <f>IFERROR(__xludf.DUMMYFUNCTION("""COMPUTED_VALUE"""),"Componentes estructurales y de montaje")</f>
        <v>Componentes estructurales y de montaje</v>
      </c>
      <c r="M243" s="74" t="str">
        <f>IFERROR(__xludf.DUMMYFUNCTION("""COMPUTED_VALUE"""),"Sin Asignar")</f>
        <v>Sin Asignar</v>
      </c>
      <c r="N243" s="87">
        <f>IFERROR(__xludf.DUMMYFUNCTION("""COMPUTED_VALUE"""),0.0)</f>
        <v>0</v>
      </c>
      <c r="O243" s="74"/>
      <c r="P243" s="74" t="str">
        <f>IFERROR(__xludf.DUMMYFUNCTION("""COMPUTED_VALUE"""),"To Re-purchase")</f>
        <v>To Re-purchase</v>
      </c>
      <c r="Q243" s="74"/>
      <c r="R243" s="74"/>
      <c r="S243" s="87">
        <f>IFERROR(__xludf.DUMMYFUNCTION("""COMPUTED_VALUE"""),0.0)</f>
        <v>0</v>
      </c>
      <c r="T243" s="87">
        <f>IFERROR(__xludf.DUMMYFUNCTION("""COMPUTED_VALUE"""),0.0)</f>
        <v>0</v>
      </c>
      <c r="U243" s="87">
        <f>IFERROR(__xludf.DUMMYFUNCTION("""COMPUTED_VALUE"""),0.0)</f>
        <v>0</v>
      </c>
      <c r="V243" s="87">
        <f>IFERROR(__xludf.DUMMYFUNCTION("""COMPUTED_VALUE"""),0.0)</f>
        <v>0</v>
      </c>
      <c r="W243" s="87">
        <f>IFERROR(__xludf.DUMMYFUNCTION("""COMPUTED_VALUE"""),0.0)</f>
        <v>0</v>
      </c>
      <c r="X243" s="88"/>
      <c r="Y243" s="74"/>
      <c r="Z243" s="74"/>
    </row>
    <row r="244">
      <c r="B244" s="74" t="str">
        <f>IFERROR(__xludf.DUMMYFUNCTION("""COMPUTED_VALUE"""),"1241")</f>
        <v>1241</v>
      </c>
      <c r="C244" s="74" t="str">
        <f>IFERROR(__xludf.DUMMYFUNCTION("""COMPUTED_VALUE"""),"75045891241")</f>
        <v>75045891241</v>
      </c>
      <c r="D244" s="74" t="str">
        <f>IFERROR(__xludf.DUMMYFUNCTION("""COMPUTED_VALUE"""),"\\MCA-S\mk\2_BM\0_BMat\08_PYM\Inventario\excel\Imagen de refacciones\Putzmeister\Buje de bronce para guia de alojamiento de 80MM")</f>
        <v>\\MCA-S\mk\2_BM\0_BMat\08_PYM\Inventario\excel\Imagen de refacciones\Putzmeister\Buje de bronce para guia de alojamiento de 80MM</v>
      </c>
      <c r="E244" s="74"/>
      <c r="F244" s="74" t="str">
        <f>IFERROR(__xludf.DUMMYFUNCTION("""COMPUTED_VALUE"""),"BUJE DE BRONCE PARA GUIA DE ALOJAMIENTO 80MM")</f>
        <v>BUJE DE BRONCE PARA GUIA DE ALOJAMIENTO 80MM</v>
      </c>
      <c r="G244" s="74"/>
      <c r="H244" s="74"/>
      <c r="I244" s="74" t="str">
        <f>IFERROR(__xludf.DUMMYFUNCTION("""COMPUTED_VALUE"""),"28550008")</f>
        <v>28550008</v>
      </c>
      <c r="J244" s="74"/>
      <c r="K244" s="74" t="str">
        <f>IFERROR(__xludf.DUMMYFUNCTION("""COMPUTED_VALUE"""),"Putzmeister")</f>
        <v>Putzmeister</v>
      </c>
      <c r="L244" s="74" t="str">
        <f>IFERROR(__xludf.DUMMYFUNCTION("""COMPUTED_VALUE"""),"Transmisión mecánica")</f>
        <v>Transmisión mecánica</v>
      </c>
      <c r="M244" s="74" t="str">
        <f>IFERROR(__xludf.DUMMYFUNCTION("""COMPUTED_VALUE"""),"Sin Asignar")</f>
        <v>Sin Asignar</v>
      </c>
      <c r="N244" s="87">
        <f>IFERROR(__xludf.DUMMYFUNCTION("""COMPUTED_VALUE"""),0.0)</f>
        <v>0</v>
      </c>
      <c r="O244" s="74"/>
      <c r="P244" s="74" t="str">
        <f>IFERROR(__xludf.DUMMYFUNCTION("""COMPUTED_VALUE"""),"To Re-purchase")</f>
        <v>To Re-purchase</v>
      </c>
      <c r="Q244" s="74"/>
      <c r="R244" s="74"/>
      <c r="S244" s="87">
        <f>IFERROR(__xludf.DUMMYFUNCTION("""COMPUTED_VALUE"""),0.0)</f>
        <v>0</v>
      </c>
      <c r="T244" s="87">
        <f>IFERROR(__xludf.DUMMYFUNCTION("""COMPUTED_VALUE"""),0.0)</f>
        <v>0</v>
      </c>
      <c r="U244" s="87">
        <f>IFERROR(__xludf.DUMMYFUNCTION("""COMPUTED_VALUE"""),0.0)</f>
        <v>0</v>
      </c>
      <c r="V244" s="87">
        <f>IFERROR(__xludf.DUMMYFUNCTION("""COMPUTED_VALUE"""),0.0)</f>
        <v>0</v>
      </c>
      <c r="W244" s="87">
        <f>IFERROR(__xludf.DUMMYFUNCTION("""COMPUTED_VALUE"""),0.0)</f>
        <v>0</v>
      </c>
      <c r="X244" s="88"/>
      <c r="Y244" s="74"/>
      <c r="Z244" s="74"/>
    </row>
    <row r="245">
      <c r="B245" s="74" t="str">
        <f>IFERROR(__xludf.DUMMYFUNCTION("""COMPUTED_VALUE"""),"1242")</f>
        <v>1242</v>
      </c>
      <c r="C245" s="74" t="str">
        <f>IFERROR(__xludf.DUMMYFUNCTION("""COMPUTED_VALUE"""),"75045891242")</f>
        <v>75045891242</v>
      </c>
      <c r="D245" s="74" t="str">
        <f>IFERROR(__xludf.DUMMYFUNCTION("""COMPUTED_VALUE"""),"\\MCA-S\mk\2_BM\0_BMat\08_PYM\Inventario\excel\Imagen de refacciones\Putzmeister\Buje de plástico")</f>
        <v>\\MCA-S\mk\2_BM\0_BMat\08_PYM\Inventario\excel\Imagen de refacciones\Putzmeister\Buje de plástico</v>
      </c>
      <c r="E245" s="74" t="str">
        <f>IFERROR(__xludf.DUMMYFUNCTION("""COMPUTED_VALUE"""),"PLASTIC BUSH ")</f>
        <v>PLASTIC BUSH </v>
      </c>
      <c r="F245" s="74" t="str">
        <f>IFERROR(__xludf.DUMMYFUNCTION("""COMPUTED_VALUE"""),"BUJE PLASTICO")</f>
        <v>BUJE PLASTICO</v>
      </c>
      <c r="G245" s="74"/>
      <c r="H245" s="74"/>
      <c r="I245" s="74" t="str">
        <f>IFERROR(__xludf.DUMMYFUNCTION("""COMPUTED_VALUE"""),"235087005")</f>
        <v>235087005</v>
      </c>
      <c r="J245" s="74"/>
      <c r="K245" s="74" t="str">
        <f>IFERROR(__xludf.DUMMYFUNCTION("""COMPUTED_VALUE"""),"Putzmeister")</f>
        <v>Putzmeister</v>
      </c>
      <c r="L245" s="74" t="str">
        <f>IFERROR(__xludf.DUMMYFUNCTION("""COMPUTED_VALUE"""),"Transmisión mecánica")</f>
        <v>Transmisión mecánica</v>
      </c>
      <c r="M245" s="74" t="str">
        <f>IFERROR(__xludf.DUMMYFUNCTION("""COMPUTED_VALUE"""),"Sin Asignar")</f>
        <v>Sin Asignar</v>
      </c>
      <c r="N245" s="87">
        <f>IFERROR(__xludf.DUMMYFUNCTION("""COMPUTED_VALUE"""),0.0)</f>
        <v>0</v>
      </c>
      <c r="O245" s="74"/>
      <c r="P245" s="74" t="str">
        <f>IFERROR(__xludf.DUMMYFUNCTION("""COMPUTED_VALUE"""),"To Re-purchase")</f>
        <v>To Re-purchase</v>
      </c>
      <c r="Q245" s="74"/>
      <c r="R245" s="74"/>
      <c r="S245" s="87">
        <f>IFERROR(__xludf.DUMMYFUNCTION("""COMPUTED_VALUE"""),0.0)</f>
        <v>0</v>
      </c>
      <c r="T245" s="87">
        <f>IFERROR(__xludf.DUMMYFUNCTION("""COMPUTED_VALUE"""),0.0)</f>
        <v>0</v>
      </c>
      <c r="U245" s="87">
        <f>IFERROR(__xludf.DUMMYFUNCTION("""COMPUTED_VALUE"""),0.0)</f>
        <v>0</v>
      </c>
      <c r="V245" s="87">
        <f>IFERROR(__xludf.DUMMYFUNCTION("""COMPUTED_VALUE"""),0.0)</f>
        <v>0</v>
      </c>
      <c r="W245" s="87">
        <f>IFERROR(__xludf.DUMMYFUNCTION("""COMPUTED_VALUE"""),0.0)</f>
        <v>0</v>
      </c>
      <c r="X245" s="88"/>
      <c r="Y245" s="74"/>
      <c r="Z245" s="74"/>
    </row>
    <row r="246">
      <c r="B246" s="74" t="str">
        <f>IFERROR(__xludf.DUMMYFUNCTION("""COMPUTED_VALUE"""),"1243")</f>
        <v>1243</v>
      </c>
      <c r="C246" s="74" t="str">
        <f>IFERROR(__xludf.DUMMYFUNCTION("""COMPUTED_VALUE"""),"75045891243")</f>
        <v>75045891243</v>
      </c>
      <c r="D246" s="74" t="str">
        <f>IFERROR(__xludf.DUMMYFUNCTION("""COMPUTED_VALUE"""),"\\MCA-S\mk\2_BM\0_BMat\08_PYM\Inventario\excel\Imagen de refacciones\Putzmeister\kit de empaques para cilindro buzo gigante")</f>
        <v>\\MCA-S\mk\2_BM\0_BMat\08_PYM\Inventario\excel\Imagen de refacciones\Putzmeister\kit de empaques para cilindro buzo gigante</v>
      </c>
      <c r="E246" s="74" t="str">
        <f>IFERROR(__xludf.DUMMYFUNCTION("""COMPUTED_VALUE"""),"SEAL SET ")</f>
        <v>SEAL SET </v>
      </c>
      <c r="F246" s="74" t="str">
        <f>IFERROR(__xludf.DUMMYFUNCTION("""COMPUTED_VALUE"""),"KIT EMPAQUE PARA CLILINDRO BUZO GIGANTE")</f>
        <v>KIT EMPAQUE PARA CLILINDRO BUZO GIGANTE</v>
      </c>
      <c r="G246" s="74"/>
      <c r="H246" s="74"/>
      <c r="I246" s="74" t="str">
        <f>IFERROR(__xludf.DUMMYFUNCTION("""COMPUTED_VALUE"""),"234994005")</f>
        <v>234994005</v>
      </c>
      <c r="J246" s="74"/>
      <c r="K246" s="74" t="str">
        <f>IFERROR(__xludf.DUMMYFUNCTION("""COMPUTED_VALUE"""),"Putzmeister")</f>
        <v>Putzmeister</v>
      </c>
      <c r="L246" s="74" t="str">
        <f>IFERROR(__xludf.DUMMYFUNCTION("""COMPUTED_VALUE"""),"Sellos y retenes")</f>
        <v>Sellos y retenes</v>
      </c>
      <c r="M246" s="74" t="str">
        <f>IFERROR(__xludf.DUMMYFUNCTION("""COMPUTED_VALUE"""),"Sin Asignar")</f>
        <v>Sin Asignar</v>
      </c>
      <c r="N246" s="87">
        <f>IFERROR(__xludf.DUMMYFUNCTION("""COMPUTED_VALUE"""),0.0)</f>
        <v>0</v>
      </c>
      <c r="O246" s="74"/>
      <c r="P246" s="74" t="str">
        <f>IFERROR(__xludf.DUMMYFUNCTION("""COMPUTED_VALUE"""),"To Re-purchase")</f>
        <v>To Re-purchase</v>
      </c>
      <c r="Q246" s="74"/>
      <c r="R246" s="74"/>
      <c r="S246" s="87">
        <f>IFERROR(__xludf.DUMMYFUNCTION("""COMPUTED_VALUE"""),0.0)</f>
        <v>0</v>
      </c>
      <c r="T246" s="87">
        <f>IFERROR(__xludf.DUMMYFUNCTION("""COMPUTED_VALUE"""),0.0)</f>
        <v>0</v>
      </c>
      <c r="U246" s="87">
        <f>IFERROR(__xludf.DUMMYFUNCTION("""COMPUTED_VALUE"""),0.0)</f>
        <v>0</v>
      </c>
      <c r="V246" s="87">
        <f>IFERROR(__xludf.DUMMYFUNCTION("""COMPUTED_VALUE"""),0.0)</f>
        <v>0</v>
      </c>
      <c r="W246" s="87">
        <f>IFERROR(__xludf.DUMMYFUNCTION("""COMPUTED_VALUE"""),0.0)</f>
        <v>0</v>
      </c>
      <c r="X246" s="88"/>
      <c r="Y246" s="74"/>
      <c r="Z246" s="74"/>
    </row>
    <row r="247">
      <c r="B247" s="74" t="str">
        <f>IFERROR(__xludf.DUMMYFUNCTION("""COMPUTED_VALUE"""),"1244")</f>
        <v>1244</v>
      </c>
      <c r="C247" s="74" t="str">
        <f>IFERROR(__xludf.DUMMYFUNCTION("""COMPUTED_VALUE"""),"75045891244")</f>
        <v>75045891244</v>
      </c>
      <c r="D247" s="74" t="str">
        <f>IFERROR(__xludf.DUMMYFUNCTION("""COMPUTED_VALUE"""),"\\MCA-S\mk\2_BM\0_BMat\08_PYM\Inventario\excel\Imagen de refacciones\Putzmeister\Placa mezcladora izquierda")</f>
        <v>\\MCA-S\mk\2_BM\0_BMat\08_PYM\Inventario\excel\Imagen de refacciones\Putzmeister\Placa mezcladora izquierda</v>
      </c>
      <c r="E247" s="74" t="str">
        <f>IFERROR(__xludf.DUMMYFUNCTION("""COMPUTED_VALUE"""),"MIXING PADDLE LEFT")</f>
        <v>MIXING PADDLE LEFT</v>
      </c>
      <c r="F247" s="74" t="str">
        <f>IFERROR(__xludf.DUMMYFUNCTION("""COMPUTED_VALUE"""),"PLACA MEZCLADORA IZQUIERDA")</f>
        <v>PLACA MEZCLADORA IZQUIERDA</v>
      </c>
      <c r="G247" s="74"/>
      <c r="H247" s="74"/>
      <c r="I247" s="74" t="str">
        <f>IFERROR(__xludf.DUMMYFUNCTION("""COMPUTED_VALUE"""),"441541")</f>
        <v>441541</v>
      </c>
      <c r="J247" s="74" t="str">
        <f>IFERROR(__xludf.DUMMYFUNCTION("""COMPUTED_VALUE"""),"406795")</f>
        <v>406795</v>
      </c>
      <c r="K247" s="74" t="str">
        <f>IFERROR(__xludf.DUMMYFUNCTION("""COMPUTED_VALUE"""),"Putzmeister")</f>
        <v>Putzmeister</v>
      </c>
      <c r="L247" s="74" t="str">
        <f>IFERROR(__xludf.DUMMYFUNCTION("""COMPUTED_VALUE"""),"Sistema de bombeo de concreto")</f>
        <v>Sistema de bombeo de concreto</v>
      </c>
      <c r="M247" s="74" t="str">
        <f>IFERROR(__xludf.DUMMYFUNCTION("""COMPUTED_VALUE"""),"Sin Asignar")</f>
        <v>Sin Asignar</v>
      </c>
      <c r="N247" s="87">
        <f>IFERROR(__xludf.DUMMYFUNCTION("""COMPUTED_VALUE"""),0.0)</f>
        <v>0</v>
      </c>
      <c r="O247" s="74"/>
      <c r="P247" s="74" t="str">
        <f>IFERROR(__xludf.DUMMYFUNCTION("""COMPUTED_VALUE"""),"To Re-purchase")</f>
        <v>To Re-purchase</v>
      </c>
      <c r="Q247" s="74"/>
      <c r="R247" s="74"/>
      <c r="S247" s="87">
        <f>IFERROR(__xludf.DUMMYFUNCTION("""COMPUTED_VALUE"""),0.0)</f>
        <v>0</v>
      </c>
      <c r="T247" s="87">
        <f>IFERROR(__xludf.DUMMYFUNCTION("""COMPUTED_VALUE"""),0.0)</f>
        <v>0</v>
      </c>
      <c r="U247" s="87">
        <f>IFERROR(__xludf.DUMMYFUNCTION("""COMPUTED_VALUE"""),0.0)</f>
        <v>0</v>
      </c>
      <c r="V247" s="87">
        <f>IFERROR(__xludf.DUMMYFUNCTION("""COMPUTED_VALUE"""),0.0)</f>
        <v>0</v>
      </c>
      <c r="W247" s="87">
        <f>IFERROR(__xludf.DUMMYFUNCTION("""COMPUTED_VALUE"""),0.0)</f>
        <v>0</v>
      </c>
      <c r="X247" s="88"/>
      <c r="Y247" s="74"/>
      <c r="Z247" s="74"/>
    </row>
    <row r="248">
      <c r="B248" s="74" t="str">
        <f>IFERROR(__xludf.DUMMYFUNCTION("""COMPUTED_VALUE"""),"1245")</f>
        <v>1245</v>
      </c>
      <c r="C248" s="74" t="str">
        <f>IFERROR(__xludf.DUMMYFUNCTION("""COMPUTED_VALUE"""),"75045891245")</f>
        <v>75045891245</v>
      </c>
      <c r="D248" s="74" t="str">
        <f>IFERROR(__xludf.DUMMYFUNCTION("""COMPUTED_VALUE"""),"\\MCA-S\mk\2_BM\0_BMat\08_PYM\Inventario\excel\Imagen de refacciones\Putzmeister\Placa mezcladora derecha")</f>
        <v>\\MCA-S\mk\2_BM\0_BMat\08_PYM\Inventario\excel\Imagen de refacciones\Putzmeister\Placa mezcladora derecha</v>
      </c>
      <c r="E248" s="74" t="str">
        <f>IFERROR(__xludf.DUMMYFUNCTION("""COMPUTED_VALUE"""),"MIXING PADDLE RIGHT")</f>
        <v>MIXING PADDLE RIGHT</v>
      </c>
      <c r="F248" s="74" t="str">
        <f>IFERROR(__xludf.DUMMYFUNCTION("""COMPUTED_VALUE"""),"PLACA MEZCLADORA DERECHA")</f>
        <v>PLACA MEZCLADORA DERECHA</v>
      </c>
      <c r="G248" s="74"/>
      <c r="H248" s="74"/>
      <c r="I248" s="74" t="str">
        <f>IFERROR(__xludf.DUMMYFUNCTION("""COMPUTED_VALUE"""),"441540")</f>
        <v>441540</v>
      </c>
      <c r="J248" s="74" t="str">
        <f>IFERROR(__xludf.DUMMYFUNCTION("""COMPUTED_VALUE"""),"406796")</f>
        <v>406796</v>
      </c>
      <c r="K248" s="74" t="str">
        <f>IFERROR(__xludf.DUMMYFUNCTION("""COMPUTED_VALUE"""),"Putzmeister")</f>
        <v>Putzmeister</v>
      </c>
      <c r="L248" s="74" t="str">
        <f>IFERROR(__xludf.DUMMYFUNCTION("""COMPUTED_VALUE"""),"Sistema de bombeo de concreto")</f>
        <v>Sistema de bombeo de concreto</v>
      </c>
      <c r="M248" s="74" t="str">
        <f>IFERROR(__xludf.DUMMYFUNCTION("""COMPUTED_VALUE"""),"Sin Asignar")</f>
        <v>Sin Asignar</v>
      </c>
      <c r="N248" s="87">
        <f>IFERROR(__xludf.DUMMYFUNCTION("""COMPUTED_VALUE"""),0.0)</f>
        <v>0</v>
      </c>
      <c r="O248" s="74"/>
      <c r="P248" s="74" t="str">
        <f>IFERROR(__xludf.DUMMYFUNCTION("""COMPUTED_VALUE"""),"To Re-purchase")</f>
        <v>To Re-purchase</v>
      </c>
      <c r="Q248" s="74"/>
      <c r="R248" s="74"/>
      <c r="S248" s="87">
        <f>IFERROR(__xludf.DUMMYFUNCTION("""COMPUTED_VALUE"""),0.0)</f>
        <v>0</v>
      </c>
      <c r="T248" s="87">
        <f>IFERROR(__xludf.DUMMYFUNCTION("""COMPUTED_VALUE"""),0.0)</f>
        <v>0</v>
      </c>
      <c r="U248" s="87">
        <f>IFERROR(__xludf.DUMMYFUNCTION("""COMPUTED_VALUE"""),0.0)</f>
        <v>0</v>
      </c>
      <c r="V248" s="87">
        <f>IFERROR(__xludf.DUMMYFUNCTION("""COMPUTED_VALUE"""),0.0)</f>
        <v>0</v>
      </c>
      <c r="W248" s="87">
        <f>IFERROR(__xludf.DUMMYFUNCTION("""COMPUTED_VALUE"""),0.0)</f>
        <v>0</v>
      </c>
      <c r="X248" s="88"/>
      <c r="Y248" s="74"/>
      <c r="Z248" s="74"/>
    </row>
    <row r="249">
      <c r="B249" s="74" t="str">
        <f>IFERROR(__xludf.DUMMYFUNCTION("""COMPUTED_VALUE"""),"1246")</f>
        <v>1246</v>
      </c>
      <c r="C249" s="74" t="str">
        <f>IFERROR(__xludf.DUMMYFUNCTION("""COMPUTED_VALUE"""),"75045891246")</f>
        <v>75045891246</v>
      </c>
      <c r="D249" s="74" t="str">
        <f>IFERROR(__xludf.DUMMYFUNCTION("""COMPUTED_VALUE"""),"\\MCA-S\mk\2_BM\0_BMat\08_PYM\Inventario\excel\Imagen de refacciones\Putzmeister\Codo bisagra")</f>
        <v>\\MCA-S\mk\2_BM\0_BMat\08_PYM\Inventario\excel\Imagen de refacciones\Putzmeister\Codo bisagra</v>
      </c>
      <c r="E249" s="74" t="str">
        <f>IFERROR(__xludf.DUMMYFUNCTION("""COMPUTED_VALUE"""),"REDUCTION ELBOW SR0342")</f>
        <v>REDUCTION ELBOW SR0342</v>
      </c>
      <c r="F249" s="74" t="str">
        <f>IFERROR(__xludf.DUMMYFUNCTION("""COMPUTED_VALUE"""),"CODO BISAGRA")</f>
        <v>CODO BISAGRA</v>
      </c>
      <c r="G249" s="74"/>
      <c r="H249" s="74"/>
      <c r="I249" s="74" t="str">
        <f>IFERROR(__xludf.DUMMYFUNCTION("""COMPUTED_VALUE"""),"242327004")</f>
        <v>242327004</v>
      </c>
      <c r="J249" s="74"/>
      <c r="K249" s="74" t="str">
        <f>IFERROR(__xludf.DUMMYFUNCTION("""COMPUTED_VALUE"""),"Putzmeister")</f>
        <v>Putzmeister</v>
      </c>
      <c r="L249" s="74" t="str">
        <f>IFERROR(__xludf.DUMMYFUNCTION("""COMPUTED_VALUE"""),"Componentes estructurales y de montaje")</f>
        <v>Componentes estructurales y de montaje</v>
      </c>
      <c r="M249" s="74" t="str">
        <f>IFERROR(__xludf.DUMMYFUNCTION("""COMPUTED_VALUE"""),"Sin Asignar")</f>
        <v>Sin Asignar</v>
      </c>
      <c r="N249" s="87">
        <f>IFERROR(__xludf.DUMMYFUNCTION("""COMPUTED_VALUE"""),0.0)</f>
        <v>0</v>
      </c>
      <c r="O249" s="74"/>
      <c r="P249" s="74" t="str">
        <f>IFERROR(__xludf.DUMMYFUNCTION("""COMPUTED_VALUE"""),"To Re-purchase")</f>
        <v>To Re-purchase</v>
      </c>
      <c r="Q249" s="74"/>
      <c r="R249" s="74"/>
      <c r="S249" s="87">
        <f>IFERROR(__xludf.DUMMYFUNCTION("""COMPUTED_VALUE"""),0.0)</f>
        <v>0</v>
      </c>
      <c r="T249" s="87">
        <f>IFERROR(__xludf.DUMMYFUNCTION("""COMPUTED_VALUE"""),0.0)</f>
        <v>0</v>
      </c>
      <c r="U249" s="87">
        <f>IFERROR(__xludf.DUMMYFUNCTION("""COMPUTED_VALUE"""),0.0)</f>
        <v>0</v>
      </c>
      <c r="V249" s="87">
        <f>IFERROR(__xludf.DUMMYFUNCTION("""COMPUTED_VALUE"""),0.0)</f>
        <v>0</v>
      </c>
      <c r="W249" s="87">
        <f>IFERROR(__xludf.DUMMYFUNCTION("""COMPUTED_VALUE"""),0.0)</f>
        <v>0</v>
      </c>
      <c r="X249" s="88"/>
      <c r="Y249" s="74"/>
      <c r="Z249" s="74"/>
    </row>
    <row r="250">
      <c r="B250" s="74" t="str">
        <f>IFERROR(__xludf.DUMMYFUNCTION("""COMPUTED_VALUE"""),"1247")</f>
        <v>1247</v>
      </c>
      <c r="C250" s="74" t="str">
        <f>IFERROR(__xludf.DUMMYFUNCTION("""COMPUTED_VALUE"""),"75045891247")</f>
        <v>75045891247</v>
      </c>
      <c r="D250" s="74" t="str">
        <f>IFERROR(__xludf.DUMMYFUNCTION("""COMPUTED_VALUE"""),"\\MCA-S\mk\2_BM\0_BMat\08_PYM\Inventario\excel\Imagen de refacciones\Putzmeister\Tapa para puerto de codo bisagra")</f>
        <v>\\MCA-S\mk\2_BM\0_BMat\08_PYM\Inventario\excel\Imagen de refacciones\Putzmeister\Tapa para puerto de codo bisagra</v>
      </c>
      <c r="E250" s="74" t="str">
        <f>IFERROR(__xludf.DUMMYFUNCTION("""COMPUTED_VALUE"""),"SEALING COVER")</f>
        <v>SEALING COVER</v>
      </c>
      <c r="F250" s="74" t="str">
        <f>IFERROR(__xludf.DUMMYFUNCTION("""COMPUTED_VALUE"""),"TAPA PARA PUERTO DE BISAGRA")</f>
        <v>TAPA PARA PUERTO DE BISAGRA</v>
      </c>
      <c r="G250" s="74"/>
      <c r="H250" s="74"/>
      <c r="I250" s="74" t="str">
        <f>IFERROR(__xludf.DUMMYFUNCTION("""COMPUTED_VALUE"""),"54720006")</f>
        <v>54720006</v>
      </c>
      <c r="J250" s="74"/>
      <c r="K250" s="74" t="str">
        <f>IFERROR(__xludf.DUMMYFUNCTION("""COMPUTED_VALUE"""),"Putzmeister")</f>
        <v>Putzmeister</v>
      </c>
      <c r="L250" s="74" t="str">
        <f>IFERROR(__xludf.DUMMYFUNCTION("""COMPUTED_VALUE"""),"Sellos y retenes")</f>
        <v>Sellos y retenes</v>
      </c>
      <c r="M250" s="74" t="str">
        <f>IFERROR(__xludf.DUMMYFUNCTION("""COMPUTED_VALUE"""),"Sin Asignar")</f>
        <v>Sin Asignar</v>
      </c>
      <c r="N250" s="87">
        <f>IFERROR(__xludf.DUMMYFUNCTION("""COMPUTED_VALUE"""),0.0)</f>
        <v>0</v>
      </c>
      <c r="O250" s="74"/>
      <c r="P250" s="74" t="str">
        <f>IFERROR(__xludf.DUMMYFUNCTION("""COMPUTED_VALUE"""),"To Re-purchase")</f>
        <v>To Re-purchase</v>
      </c>
      <c r="Q250" s="74"/>
      <c r="R250" s="74"/>
      <c r="S250" s="87">
        <f>IFERROR(__xludf.DUMMYFUNCTION("""COMPUTED_VALUE"""),0.0)</f>
        <v>0</v>
      </c>
      <c r="T250" s="87">
        <f>IFERROR(__xludf.DUMMYFUNCTION("""COMPUTED_VALUE"""),0.0)</f>
        <v>0</v>
      </c>
      <c r="U250" s="87">
        <f>IFERROR(__xludf.DUMMYFUNCTION("""COMPUTED_VALUE"""),0.0)</f>
        <v>0</v>
      </c>
      <c r="V250" s="87">
        <f>IFERROR(__xludf.DUMMYFUNCTION("""COMPUTED_VALUE"""),0.0)</f>
        <v>0</v>
      </c>
      <c r="W250" s="87">
        <f>IFERROR(__xludf.DUMMYFUNCTION("""COMPUTED_VALUE"""),0.0)</f>
        <v>0</v>
      </c>
      <c r="X250" s="88"/>
      <c r="Y250" s="74"/>
      <c r="Z250" s="74"/>
    </row>
    <row r="251">
      <c r="B251" s="74" t="str">
        <f>IFERROR(__xludf.DUMMYFUNCTION("""COMPUTED_VALUE"""),"1248")</f>
        <v>1248</v>
      </c>
      <c r="C251" s="74" t="str">
        <f>IFERROR(__xludf.DUMMYFUNCTION("""COMPUTED_VALUE"""),"75045891248")</f>
        <v>75045891248</v>
      </c>
      <c r="D251" s="74" t="str">
        <f>IFERROR(__xludf.DUMMYFUNCTION("""COMPUTED_VALUE"""),"\\MCA-S\mk\2_BM\0_BMat\08_PYM\Inventario\excel\Imagen de refacciones\Putzmeister\Codo secundario 6_ x 90°")</f>
        <v>\\MCA-S\mk\2_BM\0_BMat\08_PYM\Inventario\excel\Imagen de refacciones\Putzmeister\Codo secundario 6_ x 90°</v>
      </c>
      <c r="E251" s="74" t="str">
        <f>IFERROR(__xludf.DUMMYFUNCTION("""COMPUTED_VALUE"""),"ELBOW 6"" 90 DEGREE")</f>
        <v>ELBOW 6" 90 DEGREE</v>
      </c>
      <c r="F251" s="74" t="str">
        <f>IFERROR(__xludf.DUMMYFUNCTION("""COMPUTED_VALUE"""),"CODO SECUNDARIO 6"" x 90°")</f>
        <v>CODO SECUNDARIO 6" x 90°</v>
      </c>
      <c r="G251" s="74"/>
      <c r="H251" s="74"/>
      <c r="I251" s="74" t="str">
        <f>IFERROR(__xludf.DUMMYFUNCTION("""COMPUTED_VALUE"""),"292079001")</f>
        <v>292079001</v>
      </c>
      <c r="J251" s="74"/>
      <c r="K251" s="74" t="str">
        <f>IFERROR(__xludf.DUMMYFUNCTION("""COMPUTED_VALUE"""),"Putzmeister")</f>
        <v>Putzmeister</v>
      </c>
      <c r="L251" s="74" t="str">
        <f>IFERROR(__xludf.DUMMYFUNCTION("""COMPUTED_VALUE"""),"Sistema de bombeo de concreto")</f>
        <v>Sistema de bombeo de concreto</v>
      </c>
      <c r="M251" s="74" t="str">
        <f>IFERROR(__xludf.DUMMYFUNCTION("""COMPUTED_VALUE"""),"Sin Asignar")</f>
        <v>Sin Asignar</v>
      </c>
      <c r="N251" s="87">
        <f>IFERROR(__xludf.DUMMYFUNCTION("""COMPUTED_VALUE"""),0.0)</f>
        <v>0</v>
      </c>
      <c r="O251" s="74"/>
      <c r="P251" s="74" t="str">
        <f>IFERROR(__xludf.DUMMYFUNCTION("""COMPUTED_VALUE"""),"To Re-purchase")</f>
        <v>To Re-purchase</v>
      </c>
      <c r="Q251" s="74"/>
      <c r="R251" s="74"/>
      <c r="S251" s="87">
        <f>IFERROR(__xludf.DUMMYFUNCTION("""COMPUTED_VALUE"""),0.0)</f>
        <v>0</v>
      </c>
      <c r="T251" s="87">
        <f>IFERROR(__xludf.DUMMYFUNCTION("""COMPUTED_VALUE"""),0.0)</f>
        <v>0</v>
      </c>
      <c r="U251" s="87">
        <f>IFERROR(__xludf.DUMMYFUNCTION("""COMPUTED_VALUE"""),0.0)</f>
        <v>0</v>
      </c>
      <c r="V251" s="87">
        <f>IFERROR(__xludf.DUMMYFUNCTION("""COMPUTED_VALUE"""),0.0)</f>
        <v>0</v>
      </c>
      <c r="W251" s="87">
        <f>IFERROR(__xludf.DUMMYFUNCTION("""COMPUTED_VALUE"""),0.0)</f>
        <v>0</v>
      </c>
      <c r="X251" s="88"/>
      <c r="Y251" s="74"/>
      <c r="Z251" s="74"/>
    </row>
    <row r="252">
      <c r="B252" s="74" t="str">
        <f>IFERROR(__xludf.DUMMYFUNCTION("""COMPUTED_VALUE"""),"1249")</f>
        <v>1249</v>
      </c>
      <c r="C252" s="74" t="str">
        <f>IFERROR(__xludf.DUMMYFUNCTION("""COMPUTED_VALUE"""),"75045891249")</f>
        <v>75045891249</v>
      </c>
      <c r="D252" s="74" t="str">
        <f>IFERROR(__xludf.DUMMYFUNCTION("""COMPUTED_VALUE"""),"\\MCA-S\mk\2_BM\0_BMat\08_PYM\Inventario\excel\Imagen de refacciones\Putzmeister\Codo 5_ x 45° con extensión")</f>
        <v>\\MCA-S\mk\2_BM\0_BMat\08_PYM\Inventario\excel\Imagen de refacciones\Putzmeister\Codo 5_ x 45° con extensión</v>
      </c>
      <c r="E252" s="74" t="str">
        <f>IFERROR(__xludf.DUMMYFUNCTION("""COMPUTED_VALUE"""),"ELBOW 45 DEGREE LONG")</f>
        <v>ELBOW 45 DEGREE LONG</v>
      </c>
      <c r="F252" s="74" t="str">
        <f>IFERROR(__xludf.DUMMYFUNCTION("""COMPUTED_VALUE"""),"CODO 5""x 45° CON EXTENSIO")</f>
        <v>CODO 5"x 45° CON EXTENSIO</v>
      </c>
      <c r="G252" s="74"/>
      <c r="H252" s="74"/>
      <c r="I252" s="74" t="str">
        <f>IFERROR(__xludf.DUMMYFUNCTION("""COMPUTED_VALUE"""),"427190")</f>
        <v>427190</v>
      </c>
      <c r="J252" s="74"/>
      <c r="K252" s="74" t="str">
        <f>IFERROR(__xludf.DUMMYFUNCTION("""COMPUTED_VALUE"""),"Putzmeister")</f>
        <v>Putzmeister</v>
      </c>
      <c r="L252" s="74" t="str">
        <f>IFERROR(__xludf.DUMMYFUNCTION("""COMPUTED_VALUE"""),"SIN ASIGNAR")</f>
        <v>SIN ASIGNAR</v>
      </c>
      <c r="M252" s="74" t="str">
        <f>IFERROR(__xludf.DUMMYFUNCTION("""COMPUTED_VALUE"""),"SIN ASIGNAR")</f>
        <v>SIN ASIGNAR</v>
      </c>
      <c r="N252" s="87">
        <f>IFERROR(__xludf.DUMMYFUNCTION("""COMPUTED_VALUE"""),0.0)</f>
        <v>0</v>
      </c>
      <c r="O252" s="74"/>
      <c r="P252" s="74" t="str">
        <f>IFERROR(__xludf.DUMMYFUNCTION("""COMPUTED_VALUE"""),"To Re-purchase")</f>
        <v>To Re-purchase</v>
      </c>
      <c r="Q252" s="74"/>
      <c r="R252" s="74"/>
      <c r="S252" s="87">
        <f>IFERROR(__xludf.DUMMYFUNCTION("""COMPUTED_VALUE"""),0.0)</f>
        <v>0</v>
      </c>
      <c r="T252" s="87">
        <f>IFERROR(__xludf.DUMMYFUNCTION("""COMPUTED_VALUE"""),0.0)</f>
        <v>0</v>
      </c>
      <c r="U252" s="87">
        <f>IFERROR(__xludf.DUMMYFUNCTION("""COMPUTED_VALUE"""),0.0)</f>
        <v>0</v>
      </c>
      <c r="V252" s="87">
        <f>IFERROR(__xludf.DUMMYFUNCTION("""COMPUTED_VALUE"""),0.0)</f>
        <v>0</v>
      </c>
      <c r="W252" s="87">
        <f>IFERROR(__xludf.DUMMYFUNCTION("""COMPUTED_VALUE"""),0.0)</f>
        <v>0</v>
      </c>
      <c r="X252" s="88"/>
      <c r="Y252" s="74"/>
      <c r="Z252" s="74"/>
    </row>
    <row r="253">
      <c r="B253" s="74" t="str">
        <f>IFERROR(__xludf.DUMMYFUNCTION("""COMPUTED_VALUE"""),"1250")</f>
        <v>1250</v>
      </c>
      <c r="C253" s="74" t="str">
        <f>IFERROR(__xludf.DUMMYFUNCTION("""COMPUTED_VALUE"""),"75045891250")</f>
        <v>75045891250</v>
      </c>
      <c r="D253" s="74" t="str">
        <f>IFERROR(__xludf.DUMMYFUNCTION("""COMPUTED_VALUE"""),"\\MCA-S\mk\2_BM\0_BMat\08_PYM\Inventario\excel\Imagen de refacciones\Putzmeister\Tornillo para perno sujetador")</f>
        <v>\\MCA-S\mk\2_BM\0_BMat\08_PYM\Inventario\excel\Imagen de refacciones\Putzmeister\Tornillo para perno sujetador</v>
      </c>
      <c r="E253" s="74" t="str">
        <f>IFERROR(__xludf.DUMMYFUNCTION("""COMPUTED_VALUE"""),"TIE RID")</f>
        <v>TIE RID</v>
      </c>
      <c r="F253" s="74" t="str">
        <f>IFERROR(__xludf.DUMMYFUNCTION("""COMPUTED_VALUE"""),"TORNILLO PARA PERNO SUJETADOR")</f>
        <v>TORNILLO PARA PERNO SUJETADOR</v>
      </c>
      <c r="G253" s="74"/>
      <c r="H253" s="74"/>
      <c r="I253" s="74" t="str">
        <f>IFERROR(__xludf.DUMMYFUNCTION("""COMPUTED_VALUE"""),"264392004")</f>
        <v>264392004</v>
      </c>
      <c r="J253" s="74"/>
      <c r="K253" s="74" t="str">
        <f>IFERROR(__xludf.DUMMYFUNCTION("""COMPUTED_VALUE"""),"Putzmeister")</f>
        <v>Putzmeister</v>
      </c>
      <c r="L253" s="74" t="str">
        <f>IFERROR(__xludf.DUMMYFUNCTION("""COMPUTED_VALUE"""),"Componentes estructurales y de montaje")</f>
        <v>Componentes estructurales y de montaje</v>
      </c>
      <c r="M253" s="74" t="str">
        <f>IFERROR(__xludf.DUMMYFUNCTION("""COMPUTED_VALUE"""),"Sin Asignar")</f>
        <v>Sin Asignar</v>
      </c>
      <c r="N253" s="87">
        <f>IFERROR(__xludf.DUMMYFUNCTION("""COMPUTED_VALUE"""),0.0)</f>
        <v>0</v>
      </c>
      <c r="O253" s="74"/>
      <c r="P253" s="74" t="str">
        <f>IFERROR(__xludf.DUMMYFUNCTION("""COMPUTED_VALUE"""),"To Re-purchase")</f>
        <v>To Re-purchase</v>
      </c>
      <c r="Q253" s="74"/>
      <c r="R253" s="74"/>
      <c r="S253" s="87">
        <f>IFERROR(__xludf.DUMMYFUNCTION("""COMPUTED_VALUE"""),0.0)</f>
        <v>0</v>
      </c>
      <c r="T253" s="87">
        <f>IFERROR(__xludf.DUMMYFUNCTION("""COMPUTED_VALUE"""),0.0)</f>
        <v>0</v>
      </c>
      <c r="U253" s="87">
        <f>IFERROR(__xludf.DUMMYFUNCTION("""COMPUTED_VALUE"""),0.0)</f>
        <v>0</v>
      </c>
      <c r="V253" s="87">
        <f>IFERROR(__xludf.DUMMYFUNCTION("""COMPUTED_VALUE"""),0.0)</f>
        <v>0</v>
      </c>
      <c r="W253" s="87">
        <f>IFERROR(__xludf.DUMMYFUNCTION("""COMPUTED_VALUE"""),0.0)</f>
        <v>0</v>
      </c>
      <c r="X253" s="88"/>
      <c r="Y253" s="74"/>
      <c r="Z253" s="74"/>
    </row>
    <row r="254">
      <c r="B254" s="74" t="str">
        <f>IFERROR(__xludf.DUMMYFUNCTION("""COMPUTED_VALUE"""),"1251")</f>
        <v>1251</v>
      </c>
      <c r="C254" s="74" t="str">
        <f>IFERROR(__xludf.DUMMYFUNCTION("""COMPUTED_VALUE"""),"75045891251")</f>
        <v>75045891251</v>
      </c>
      <c r="D254" s="74" t="str">
        <f>IFERROR(__xludf.DUMMYFUNCTION("""COMPUTED_VALUE"""),"\\MCA-S\mk\2_BM\0_BMat\08_PYM\Inventario\excel\Imagen de refacciones\Putzmeister\Ensabmble completa para bomba de agua y motor hidráulico")</f>
        <v>\\MCA-S\mk\2_BM\0_BMat\08_PYM\Inventario\excel\Imagen de refacciones\Putzmeister\Ensabmble completa para bomba de agua y motor hidráulico</v>
      </c>
      <c r="E254" s="74" t="str">
        <f>IFERROR(__xludf.DUMMYFUNCTION("""COMPUTED_VALUE"""),"COUPLING ASSEMBLY FOR WATER PUMP")</f>
        <v>COUPLING ASSEMBLY FOR WATER PUMP</v>
      </c>
      <c r="F254" s="74" t="str">
        <f>IFERROR(__xludf.DUMMYFUNCTION("""COMPUTED_VALUE"""),"ENSAMBLE COMPLETO PARA BOMBA DE AGUA Y MOTOR  HIDRAULICO")</f>
        <v>ENSAMBLE COMPLETO PARA BOMBA DE AGUA Y MOTOR  HIDRAULICO</v>
      </c>
      <c r="G254" s="74"/>
      <c r="H254" s="74"/>
      <c r="I254" s="74" t="str">
        <f>IFERROR(__xludf.DUMMYFUNCTION("""COMPUTED_VALUE"""),"AT139288")</f>
        <v>AT139288</v>
      </c>
      <c r="J254" s="74"/>
      <c r="K254" s="74" t="str">
        <f>IFERROR(__xludf.DUMMYFUNCTION("""COMPUTED_VALUE"""),"Putzmeister")</f>
        <v>Putzmeister</v>
      </c>
      <c r="L254" s="74" t="str">
        <f>IFERROR(__xludf.DUMMYFUNCTION("""COMPUTED_VALUE"""),"Componentes hidráulicos")</f>
        <v>Componentes hidráulicos</v>
      </c>
      <c r="M254" s="74" t="str">
        <f>IFERROR(__xludf.DUMMYFUNCTION("""COMPUTED_VALUE"""),"Sin Asignar")</f>
        <v>Sin Asignar</v>
      </c>
      <c r="N254" s="87">
        <f>IFERROR(__xludf.DUMMYFUNCTION("""COMPUTED_VALUE"""),0.0)</f>
        <v>0</v>
      </c>
      <c r="O254" s="74"/>
      <c r="P254" s="74" t="str">
        <f>IFERROR(__xludf.DUMMYFUNCTION("""COMPUTED_VALUE"""),"To Re-purchase")</f>
        <v>To Re-purchase</v>
      </c>
      <c r="Q254" s="74"/>
      <c r="R254" s="74"/>
      <c r="S254" s="87">
        <f>IFERROR(__xludf.DUMMYFUNCTION("""COMPUTED_VALUE"""),0.0)</f>
        <v>0</v>
      </c>
      <c r="T254" s="87">
        <f>IFERROR(__xludf.DUMMYFUNCTION("""COMPUTED_VALUE"""),0.0)</f>
        <v>0</v>
      </c>
      <c r="U254" s="87">
        <f>IFERROR(__xludf.DUMMYFUNCTION("""COMPUTED_VALUE"""),0.0)</f>
        <v>0</v>
      </c>
      <c r="V254" s="87">
        <f>IFERROR(__xludf.DUMMYFUNCTION("""COMPUTED_VALUE"""),0.0)</f>
        <v>0</v>
      </c>
      <c r="W254" s="87">
        <f>IFERROR(__xludf.DUMMYFUNCTION("""COMPUTED_VALUE"""),0.0)</f>
        <v>0</v>
      </c>
      <c r="X254" s="88"/>
      <c r="Y254" s="74"/>
      <c r="Z254" s="74"/>
    </row>
    <row r="255">
      <c r="B255" s="74" t="str">
        <f>IFERROR(__xludf.DUMMYFUNCTION("""COMPUTED_VALUE"""),"1252")</f>
        <v>1252</v>
      </c>
      <c r="C255" s="74" t="str">
        <f>IFERROR(__xludf.DUMMYFUNCTION("""COMPUTED_VALUE"""),"75045891252")</f>
        <v>75045891252</v>
      </c>
      <c r="D255" s="74" t="str">
        <f>IFERROR(__xludf.DUMMYFUNCTION("""COMPUTED_VALUE"""),"\\MCA-S\mk\2_BM\0_BMat\08_PYM\Inventario\excel\Imagen de refacciones\Putzmeister\Bomba de agua sumergible")</f>
        <v>\\MCA-S\mk\2_BM\0_BMat\08_PYM\Inventario\excel\Imagen de refacciones\Putzmeister\Bomba de agua sumergible</v>
      </c>
      <c r="E255" s="74" t="str">
        <f>IFERROR(__xludf.DUMMYFUNCTION("""COMPUTED_VALUE"""),"FLUSHING WATER PUMP")</f>
        <v>FLUSHING WATER PUMP</v>
      </c>
      <c r="F255" s="74" t="str">
        <f>IFERROR(__xludf.DUMMYFUNCTION("""COMPUTED_VALUE"""),"BOMBA AGUA SUMERGIBLE")</f>
        <v>BOMBA AGUA SUMERGIBLE</v>
      </c>
      <c r="G255" s="74"/>
      <c r="H255" s="74"/>
      <c r="I255" s="74" t="str">
        <f>IFERROR(__xludf.DUMMYFUNCTION("""COMPUTED_VALUE"""),"404435")</f>
        <v>404435</v>
      </c>
      <c r="J255" s="74"/>
      <c r="K255" s="74" t="str">
        <f>IFERROR(__xludf.DUMMYFUNCTION("""COMPUTED_VALUE"""),"Putzmeister")</f>
        <v>Putzmeister</v>
      </c>
      <c r="L255" s="74" t="str">
        <f>IFERROR(__xludf.DUMMYFUNCTION("""COMPUTED_VALUE"""),"Sistema de bombeo de concreto")</f>
        <v>Sistema de bombeo de concreto</v>
      </c>
      <c r="M255" s="74" t="str">
        <f>IFERROR(__xludf.DUMMYFUNCTION("""COMPUTED_VALUE"""),"Sin Asignar")</f>
        <v>Sin Asignar</v>
      </c>
      <c r="N255" s="87">
        <f>IFERROR(__xludf.DUMMYFUNCTION("""COMPUTED_VALUE"""),0.0)</f>
        <v>0</v>
      </c>
      <c r="O255" s="74"/>
      <c r="P255" s="74" t="str">
        <f>IFERROR(__xludf.DUMMYFUNCTION("""COMPUTED_VALUE"""),"To Re-purchase")</f>
        <v>To Re-purchase</v>
      </c>
      <c r="Q255" s="74"/>
      <c r="R255" s="74"/>
      <c r="S255" s="87">
        <f>IFERROR(__xludf.DUMMYFUNCTION("""COMPUTED_VALUE"""),0.0)</f>
        <v>0</v>
      </c>
      <c r="T255" s="87">
        <f>IFERROR(__xludf.DUMMYFUNCTION("""COMPUTED_VALUE"""),0.0)</f>
        <v>0</v>
      </c>
      <c r="U255" s="87">
        <f>IFERROR(__xludf.DUMMYFUNCTION("""COMPUTED_VALUE"""),0.0)</f>
        <v>0</v>
      </c>
      <c r="V255" s="87">
        <f>IFERROR(__xludf.DUMMYFUNCTION("""COMPUTED_VALUE"""),0.0)</f>
        <v>0</v>
      </c>
      <c r="W255" s="87">
        <f>IFERROR(__xludf.DUMMYFUNCTION("""COMPUTED_VALUE"""),0.0)</f>
        <v>0</v>
      </c>
      <c r="X255" s="88"/>
      <c r="Y255" s="74"/>
      <c r="Z255" s="74"/>
    </row>
    <row r="256">
      <c r="B256" s="74" t="str">
        <f>IFERROR(__xludf.DUMMYFUNCTION("""COMPUTED_VALUE"""),"1253")</f>
        <v>1253</v>
      </c>
      <c r="C256" s="74" t="str">
        <f>IFERROR(__xludf.DUMMYFUNCTION("""COMPUTED_VALUE"""),"75045891253")</f>
        <v>75045891253</v>
      </c>
      <c r="D256" s="74" t="str">
        <f>IFERROR(__xludf.DUMMYFUNCTION("""COMPUTED_VALUE"""),"\\MCA-S\mk\2_BM\0_BMat\08_PYM\Inventario\excel\Imagen de refacciones\Putzmeister\Motor hidraulico 5.5 cm3 para bomba de agua, sumergible")</f>
        <v>\\MCA-S\mk\2_BM\0_BMat\08_PYM\Inventario\excel\Imagen de refacciones\Putzmeister\Motor hidraulico 5.5 cm3 para bomba de agua, sumergible</v>
      </c>
      <c r="E256" s="74" t="str">
        <f>IFERROR(__xludf.DUMMYFUNCTION("""COMPUTED_VALUE"""),"HYDRAULIC MOTOR 5.5 CM3")</f>
        <v>HYDRAULIC MOTOR 5.5 CM3</v>
      </c>
      <c r="F256" s="74" t="str">
        <f>IFERROR(__xludf.DUMMYFUNCTION("""COMPUTED_VALUE"""),"MOTOR HIDRAULICO 5.5cm3 BOMBA DE AGUA, SUMERGIBLE.")</f>
        <v>MOTOR HIDRAULICO 5.5cm3 BOMBA DE AGUA, SUMERGIBLE.</v>
      </c>
      <c r="G256" s="74"/>
      <c r="H256" s="74"/>
      <c r="I256" s="74" t="str">
        <f>IFERROR(__xludf.DUMMYFUNCTION("""COMPUTED_VALUE"""),"229178001")</f>
        <v>229178001</v>
      </c>
      <c r="J256" s="74"/>
      <c r="K256" s="74" t="str">
        <f>IFERROR(__xludf.DUMMYFUNCTION("""COMPUTED_VALUE"""),"Putzmeister")</f>
        <v>Putzmeister</v>
      </c>
      <c r="L256" s="74" t="str">
        <f>IFERROR(__xludf.DUMMYFUNCTION("""COMPUTED_VALUE"""),"Componentes hidráulicos")</f>
        <v>Componentes hidráulicos</v>
      </c>
      <c r="M256" s="74" t="str">
        <f>IFERROR(__xludf.DUMMYFUNCTION("""COMPUTED_VALUE"""),"Sin Asignar")</f>
        <v>Sin Asignar</v>
      </c>
      <c r="N256" s="87">
        <f>IFERROR(__xludf.DUMMYFUNCTION("""COMPUTED_VALUE"""),0.0)</f>
        <v>0</v>
      </c>
      <c r="O256" s="74"/>
      <c r="P256" s="74" t="str">
        <f>IFERROR(__xludf.DUMMYFUNCTION("""COMPUTED_VALUE"""),"To Re-purchase")</f>
        <v>To Re-purchase</v>
      </c>
      <c r="Q256" s="74"/>
      <c r="R256" s="74"/>
      <c r="S256" s="87">
        <f>IFERROR(__xludf.DUMMYFUNCTION("""COMPUTED_VALUE"""),0.0)</f>
        <v>0</v>
      </c>
      <c r="T256" s="87">
        <f>IFERROR(__xludf.DUMMYFUNCTION("""COMPUTED_VALUE"""),0.0)</f>
        <v>0</v>
      </c>
      <c r="U256" s="87">
        <f>IFERROR(__xludf.DUMMYFUNCTION("""COMPUTED_VALUE"""),0.0)</f>
        <v>0</v>
      </c>
      <c r="V256" s="87">
        <f>IFERROR(__xludf.DUMMYFUNCTION("""COMPUTED_VALUE"""),0.0)</f>
        <v>0</v>
      </c>
      <c r="W256" s="87">
        <f>IFERROR(__xludf.DUMMYFUNCTION("""COMPUTED_VALUE"""),0.0)</f>
        <v>0</v>
      </c>
      <c r="X256" s="88"/>
      <c r="Y256" s="74"/>
      <c r="Z256" s="74"/>
    </row>
    <row r="257">
      <c r="B257" s="74" t="str">
        <f>IFERROR(__xludf.DUMMYFUNCTION("""COMPUTED_VALUE"""),"1254")</f>
        <v>1254</v>
      </c>
      <c r="C257" s="74" t="str">
        <f>IFERROR(__xludf.DUMMYFUNCTION("""COMPUTED_VALUE"""),"75045891254")</f>
        <v>75045891254</v>
      </c>
      <c r="D257" s="74" t="str">
        <f>IFERROR(__xludf.DUMMYFUNCTION("""COMPUTED_VALUE"""),"\\MCA-S\mk\2_BM\0_BMat\08_PYM\Inventario\excel\Imagen de refacciones\Putzmeister\Kit de sellos para motor agitador OHM 500")</f>
        <v>\\MCA-S\mk\2_BM\0_BMat\08_PYM\Inventario\excel\Imagen de refacciones\Putzmeister\Kit de sellos para motor agitador OHM 500</v>
      </c>
      <c r="E257" s="74" t="str">
        <f>IFERROR(__xludf.DUMMYFUNCTION("""COMPUTED_VALUE"""),"SEAL SET FOR HYDRAULIC MOTOR OMH 500")</f>
        <v>SEAL SET FOR HYDRAULIC MOTOR OMH 500</v>
      </c>
      <c r="F257" s="74" t="str">
        <f>IFERROR(__xludf.DUMMYFUNCTION("""COMPUTED_VALUE"""),"KIT SELLO MOTOR AGITADOR OHM 500")</f>
        <v>KIT SELLO MOTOR AGITADOR OHM 500</v>
      </c>
      <c r="G257" s="74"/>
      <c r="H257" s="74"/>
      <c r="I257" s="74" t="str">
        <f>IFERROR(__xludf.DUMMYFUNCTION("""COMPUTED_VALUE"""),"239696007")</f>
        <v>239696007</v>
      </c>
      <c r="J257" s="74"/>
      <c r="K257" s="74" t="str">
        <f>IFERROR(__xludf.DUMMYFUNCTION("""COMPUTED_VALUE"""),"Putzmeister")</f>
        <v>Putzmeister</v>
      </c>
      <c r="L257" s="74" t="str">
        <f>IFERROR(__xludf.DUMMYFUNCTION("""COMPUTED_VALUE"""),"Sellos y retenes")</f>
        <v>Sellos y retenes</v>
      </c>
      <c r="M257" s="74" t="str">
        <f>IFERROR(__xludf.DUMMYFUNCTION("""COMPUTED_VALUE"""),"Sin Asignar")</f>
        <v>Sin Asignar</v>
      </c>
      <c r="N257" s="87">
        <f>IFERROR(__xludf.DUMMYFUNCTION("""COMPUTED_VALUE"""),0.0)</f>
        <v>0</v>
      </c>
      <c r="O257" s="74"/>
      <c r="P257" s="74" t="str">
        <f>IFERROR(__xludf.DUMMYFUNCTION("""COMPUTED_VALUE"""),"To Re-purchase")</f>
        <v>To Re-purchase</v>
      </c>
      <c r="Q257" s="74"/>
      <c r="R257" s="74"/>
      <c r="S257" s="87">
        <f>IFERROR(__xludf.DUMMYFUNCTION("""COMPUTED_VALUE"""),0.0)</f>
        <v>0</v>
      </c>
      <c r="T257" s="87">
        <f>IFERROR(__xludf.DUMMYFUNCTION("""COMPUTED_VALUE"""),0.0)</f>
        <v>0</v>
      </c>
      <c r="U257" s="87">
        <f>IFERROR(__xludf.DUMMYFUNCTION("""COMPUTED_VALUE"""),0.0)</f>
        <v>0</v>
      </c>
      <c r="V257" s="87">
        <f>IFERROR(__xludf.DUMMYFUNCTION("""COMPUTED_VALUE"""),0.0)</f>
        <v>0</v>
      </c>
      <c r="W257" s="87">
        <f>IFERROR(__xludf.DUMMYFUNCTION("""COMPUTED_VALUE"""),0.0)</f>
        <v>0</v>
      </c>
      <c r="X257" s="88"/>
      <c r="Y257" s="74"/>
      <c r="Z257" s="74"/>
    </row>
    <row r="258">
      <c r="B258" s="74" t="str">
        <f>IFERROR(__xludf.DUMMYFUNCTION("""COMPUTED_VALUE"""),"1255")</f>
        <v>1255</v>
      </c>
      <c r="C258" s="74" t="str">
        <f>IFERROR(__xludf.DUMMYFUNCTION("""COMPUTED_VALUE"""),"75045891255")</f>
        <v>75045891255</v>
      </c>
      <c r="D258" s="74" t="str">
        <f>IFERROR(__xludf.DUMMYFUNCTION("""COMPUTED_VALUE"""),"\\MCA-S\mk\2_BM\0_BMat\08_PYM\Inventario\excel\Imagen de refacciones\Putzmeister\Barra con cuña para motor agitador OHM 500 de codo bisagra")</f>
        <v>\\MCA-S\mk\2_BM\0_BMat\08_PYM\Inventario\excel\Imagen de refacciones\Putzmeister\Barra con cuña para motor agitador OHM 500 de codo bisagra</v>
      </c>
      <c r="E258" s="74" t="str">
        <f>IFERROR(__xludf.DUMMYFUNCTION("""COMPUTED_VALUE"""),"SHAFT FOR HYDRAULICK MOTOR OMH 500")</f>
        <v>SHAFT FOR HYDRAULICK MOTOR OMH 500</v>
      </c>
      <c r="F258" s="74" t="str">
        <f>IFERROR(__xludf.DUMMYFUNCTION("""COMPUTED_VALUE"""),"BARRA CON CUÑA MOTOR AGITADOR OHM500 DE CODO CON BISAGRA")</f>
        <v>BARRA CON CUÑA MOTOR AGITADOR OHM500 DE CODO CON BISAGRA</v>
      </c>
      <c r="G258" s="74"/>
      <c r="H258" s="74"/>
      <c r="I258" s="74" t="str">
        <f>IFERROR(__xludf.DUMMYFUNCTION("""COMPUTED_VALUE"""),"23813001")</f>
        <v>23813001</v>
      </c>
      <c r="J258" s="74"/>
      <c r="K258" s="74" t="str">
        <f>IFERROR(__xludf.DUMMYFUNCTION("""COMPUTED_VALUE"""),"Putzmeister")</f>
        <v>Putzmeister</v>
      </c>
      <c r="L258" s="74" t="str">
        <f>IFERROR(__xludf.DUMMYFUNCTION("""COMPUTED_VALUE"""),"Componentes estructurales y de montaje")</f>
        <v>Componentes estructurales y de montaje</v>
      </c>
      <c r="M258" s="74" t="str">
        <f>IFERROR(__xludf.DUMMYFUNCTION("""COMPUTED_VALUE"""),"Sin Asignar")</f>
        <v>Sin Asignar</v>
      </c>
      <c r="N258" s="87">
        <f>IFERROR(__xludf.DUMMYFUNCTION("""COMPUTED_VALUE"""),0.0)</f>
        <v>0</v>
      </c>
      <c r="O258" s="74"/>
      <c r="P258" s="74" t="str">
        <f>IFERROR(__xludf.DUMMYFUNCTION("""COMPUTED_VALUE"""),"To Re-purchase")</f>
        <v>To Re-purchase</v>
      </c>
      <c r="Q258" s="74"/>
      <c r="R258" s="74"/>
      <c r="S258" s="87">
        <f>IFERROR(__xludf.DUMMYFUNCTION("""COMPUTED_VALUE"""),0.0)</f>
        <v>0</v>
      </c>
      <c r="T258" s="87">
        <f>IFERROR(__xludf.DUMMYFUNCTION("""COMPUTED_VALUE"""),0.0)</f>
        <v>0</v>
      </c>
      <c r="U258" s="87">
        <f>IFERROR(__xludf.DUMMYFUNCTION("""COMPUTED_VALUE"""),0.0)</f>
        <v>0</v>
      </c>
      <c r="V258" s="87">
        <f>IFERROR(__xludf.DUMMYFUNCTION("""COMPUTED_VALUE"""),0.0)</f>
        <v>0</v>
      </c>
      <c r="W258" s="87">
        <f>IFERROR(__xludf.DUMMYFUNCTION("""COMPUTED_VALUE"""),0.0)</f>
        <v>0</v>
      </c>
      <c r="X258" s="88"/>
      <c r="Y258" s="74"/>
      <c r="Z258" s="74"/>
    </row>
    <row r="259">
      <c r="B259" s="74" t="str">
        <f>IFERROR(__xludf.DUMMYFUNCTION("""COMPUTED_VALUE"""),"1256")</f>
        <v>1256</v>
      </c>
      <c r="C259" s="74" t="str">
        <f>IFERROR(__xludf.DUMMYFUNCTION("""COMPUTED_VALUE"""),"75045880321")</f>
        <v>75045880321</v>
      </c>
      <c r="D259" s="74" t="str">
        <f>IFERROR(__xludf.DUMMYFUNCTION("""COMPUTED_VALUE"""),"\\MCA-S\mk\2_BM\0_BMat\08_PYM\Inventario\excel\Imagen de refacciones\Putzmeister\Barra mezcladora")</f>
        <v>\\MCA-S\mk\2_BM\0_BMat\08_PYM\Inventario\excel\Imagen de refacciones\Putzmeister\Barra mezcladora</v>
      </c>
      <c r="E259" s="74" t="str">
        <f>IFERROR(__xludf.DUMMYFUNCTION("""COMPUTED_VALUE"""),"MIXER SHAFT Q60")</f>
        <v>MIXER SHAFT Q60</v>
      </c>
      <c r="F259" s="74" t="str">
        <f>IFERROR(__xludf.DUMMYFUNCTION("""COMPUTED_VALUE"""),"BARRA MEZCLADORA Q60")</f>
        <v>BARRA MEZCLADORA Q60</v>
      </c>
      <c r="G259" s="74"/>
      <c r="H259" s="74" t="str">
        <f>IFERROR(__xludf.DUMMYFUNCTION("""COMPUTED_VALUE"""),"EJE MEZCLADOR PARA BOMBA DE HORMIGON")</f>
        <v>EJE MEZCLADOR PARA BOMBA DE HORMIGON</v>
      </c>
      <c r="I259" s="74" t="str">
        <f>IFERROR(__xludf.DUMMYFUNCTION("""COMPUTED_VALUE"""),"275587002")</f>
        <v>275587002</v>
      </c>
      <c r="J259" s="74"/>
      <c r="K259" s="74" t="str">
        <f>IFERROR(__xludf.DUMMYFUNCTION("""COMPUTED_VALUE"""),"Putzmeister")</f>
        <v>Putzmeister</v>
      </c>
      <c r="L259" s="74" t="str">
        <f>IFERROR(__xludf.DUMMYFUNCTION("""COMPUTED_VALUE"""),"Componentes estructurales y de montaje")</f>
        <v>Componentes estructurales y de montaje</v>
      </c>
      <c r="M259" s="74" t="str">
        <f>IFERROR(__xludf.DUMMYFUNCTION("""COMPUTED_VALUE"""),"Sin Asignar")</f>
        <v>Sin Asignar</v>
      </c>
      <c r="N259" s="87">
        <f>IFERROR(__xludf.DUMMYFUNCTION("""COMPUTED_VALUE"""),1918.08)</f>
        <v>1918.08</v>
      </c>
      <c r="O259" s="74">
        <f>IFERROR(__xludf.DUMMYFUNCTION("""COMPUTED_VALUE"""),8.0)</f>
        <v>8</v>
      </c>
      <c r="P259" s="74" t="str">
        <f>IFERROR(__xludf.DUMMYFUNCTION("""COMPUTED_VALUE"""),"In stock")</f>
        <v>In stock</v>
      </c>
      <c r="Q259" s="74"/>
      <c r="R259" s="74"/>
      <c r="S259" s="87">
        <f>IFERROR(__xludf.DUMMYFUNCTION("""COMPUTED_VALUE"""),18.0)</f>
        <v>18</v>
      </c>
      <c r="T259" s="87">
        <f>IFERROR(__xludf.DUMMYFUNCTION("""COMPUTED_VALUE"""),108.0)</f>
        <v>108</v>
      </c>
      <c r="U259" s="87">
        <f>IFERROR(__xludf.DUMMYFUNCTION("""COMPUTED_VALUE"""),103.67999999999999)</f>
        <v>103.68</v>
      </c>
      <c r="V259" s="87">
        <f>IFERROR(__xludf.DUMMYFUNCTION("""COMPUTED_VALUE"""),22.05)</f>
        <v>22.05</v>
      </c>
      <c r="W259" s="87">
        <f>IFERROR(__xludf.DUMMYFUNCTION("""COMPUTED_VALUE"""),413.4375)</f>
        <v>413.4375</v>
      </c>
      <c r="X259" s="88">
        <f>IFERROR(__xludf.DUMMYFUNCTION("""COMPUTED_VALUE"""),5.76)</f>
        <v>5.76</v>
      </c>
      <c r="Y259" s="74"/>
      <c r="Z259" s="74"/>
    </row>
    <row r="260">
      <c r="B260" s="74" t="str">
        <f>IFERROR(__xludf.DUMMYFUNCTION("""COMPUTED_VALUE"""),"1257")</f>
        <v>1257</v>
      </c>
      <c r="C260" s="74" t="str">
        <f>IFERROR(__xludf.DUMMYFUNCTION("""COMPUTED_VALUE"""),"75045880325")</f>
        <v>75045880325</v>
      </c>
      <c r="D260" s="74" t="str">
        <f>IFERROR(__xludf.DUMMYFUNCTION("""COMPUTED_VALUE"""),"\\MCA-S\mk\2_BM\0_BMat\08_PYM\Inventario\excel\Imagen de refacciones\Putzmeister\Guia de apoyo 60mm")</f>
        <v>\\MCA-S\mk\2_BM\0_BMat\08_PYM\Inventario\excel\Imagen de refacciones\Putzmeister\Guia de apoyo 60mm</v>
      </c>
      <c r="E260" s="74" t="str">
        <f>IFERROR(__xludf.DUMMYFUNCTION("""COMPUTED_VALUE"""),"BEARING FLANGE D60/ BEARING FLANGE Q60")</f>
        <v>BEARING FLANGE D60/ BEARING FLANGE Q60</v>
      </c>
      <c r="F260" s="74" t="str">
        <f>IFERROR(__xludf.DUMMYFUNCTION("""COMPUTED_VALUE"""),"RODAMIENTO DE MEZCLADOR Q60")</f>
        <v>RODAMIENTO DE MEZCLADOR Q60</v>
      </c>
      <c r="G260" s="74"/>
      <c r="H260" s="74" t="str">
        <f>IFERROR(__xludf.DUMMYFUNCTION("""COMPUTED_VALUE"""),"RODAMIENTO DE MEZCLADOR PARA BOMBA DE HORMIGON")</f>
        <v>RODAMIENTO DE MEZCLADOR PARA BOMBA DE HORMIGON</v>
      </c>
      <c r="I260" s="74" t="str">
        <f>IFERROR(__xludf.DUMMYFUNCTION("""COMPUTED_VALUE"""),"242573007")</f>
        <v>242573007</v>
      </c>
      <c r="J260" s="74"/>
      <c r="K260" s="74" t="str">
        <f>IFERROR(__xludf.DUMMYFUNCTION("""COMPUTED_VALUE"""),"Putzmeister")</f>
        <v>Putzmeister</v>
      </c>
      <c r="L260" s="74" t="str">
        <f>IFERROR(__xludf.DUMMYFUNCTION("""COMPUTED_VALUE"""),"Componentes estructurales y de montaje")</f>
        <v>Componentes estructurales y de montaje</v>
      </c>
      <c r="M260" s="74" t="str">
        <f>IFERROR(__xludf.DUMMYFUNCTION("""COMPUTED_VALUE"""),"Sin Asignar")</f>
        <v>Sin Asignar</v>
      </c>
      <c r="N260" s="87">
        <f>IFERROR(__xludf.DUMMYFUNCTION("""COMPUTED_VALUE"""),1243.2)</f>
        <v>1243.2</v>
      </c>
      <c r="O260" s="74">
        <f>IFERROR(__xludf.DUMMYFUNCTION("""COMPUTED_VALUE"""),8.0)</f>
        <v>8</v>
      </c>
      <c r="P260" s="74" t="str">
        <f>IFERROR(__xludf.DUMMYFUNCTION("""COMPUTED_VALUE"""),"In stock")</f>
        <v>In stock</v>
      </c>
      <c r="Q260" s="74"/>
      <c r="R260" s="74"/>
      <c r="S260" s="87">
        <f>IFERROR(__xludf.DUMMYFUNCTION("""COMPUTED_VALUE"""),12.0)</f>
        <v>12</v>
      </c>
      <c r="T260" s="87">
        <f>IFERROR(__xludf.DUMMYFUNCTION("""COMPUTED_VALUE"""),70.0)</f>
        <v>70</v>
      </c>
      <c r="U260" s="87">
        <f>IFERROR(__xludf.DUMMYFUNCTION("""COMPUTED_VALUE"""),67.2)</f>
        <v>67.2</v>
      </c>
      <c r="V260" s="87">
        <f>IFERROR(__xludf.DUMMYFUNCTION("""COMPUTED_VALUE"""),14.7)</f>
        <v>14.7</v>
      </c>
      <c r="W260" s="87">
        <f>IFERROR(__xludf.DUMMYFUNCTION("""COMPUTED_VALUE"""),275.625)</f>
        <v>275.625</v>
      </c>
      <c r="X260" s="88">
        <f>IFERROR(__xludf.DUMMYFUNCTION("""COMPUTED_VALUE"""),5.6000000000000005)</f>
        <v>5.6</v>
      </c>
      <c r="Y260" s="74"/>
      <c r="Z260" s="74"/>
    </row>
    <row r="261">
      <c r="B261" s="74" t="str">
        <f>IFERROR(__xludf.DUMMYFUNCTION("""COMPUTED_VALUE"""),"1258")</f>
        <v>1258</v>
      </c>
      <c r="C261" s="74"/>
      <c r="D261" s="74" t="str">
        <f>IFERROR(__xludf.DUMMYFUNCTION("""COMPUTED_VALUE"""),"\\MCA-S\mk\2_BM\0_BMat\08_PYM\Inventario\excel\Imagen de refacciones\Putzmeister\Buje guia 50mm")</f>
        <v>\\MCA-S\mk\2_BM\0_BMat\08_PYM\Inventario\excel\Imagen de refacciones\Putzmeister\Buje guia 50mm</v>
      </c>
      <c r="E261" s="74"/>
      <c r="F261" s="74" t="str">
        <f>IFERROR(__xludf.DUMMYFUNCTION("""COMPUTED_VALUE"""),"Buje guia 50mm")</f>
        <v>Buje guia 50mm</v>
      </c>
      <c r="G261" s="74"/>
      <c r="H261" s="74"/>
      <c r="I261" s="74" t="str">
        <f>IFERROR(__xludf.DUMMYFUNCTION("""COMPUTED_VALUE"""),"235087005")</f>
        <v>235087005</v>
      </c>
      <c r="J261" s="74"/>
      <c r="K261" s="74" t="str">
        <f>IFERROR(__xludf.DUMMYFUNCTION("""COMPUTED_VALUE"""),"Putzmeister")</f>
        <v>Putzmeister</v>
      </c>
      <c r="L261" s="74" t="str">
        <f>IFERROR(__xludf.DUMMYFUNCTION("""COMPUTED_VALUE"""),"Componentes estructurales y de montaje")</f>
        <v>Componentes estructurales y de montaje</v>
      </c>
      <c r="M261" s="74" t="str">
        <f>IFERROR(__xludf.DUMMYFUNCTION("""COMPUTED_VALUE"""),"Sin Asignar")</f>
        <v>Sin Asignar</v>
      </c>
      <c r="N261" s="87">
        <f>IFERROR(__xludf.DUMMYFUNCTION("""COMPUTED_VALUE"""),0.0)</f>
        <v>0</v>
      </c>
      <c r="O261" s="74"/>
      <c r="P261" s="74" t="str">
        <f>IFERROR(__xludf.DUMMYFUNCTION("""COMPUTED_VALUE"""),"borrar")</f>
        <v>borrar</v>
      </c>
      <c r="Q261" s="74"/>
      <c r="R261" s="74"/>
      <c r="S261" s="87">
        <f>IFERROR(__xludf.DUMMYFUNCTION("""COMPUTED_VALUE"""),0.0)</f>
        <v>0</v>
      </c>
      <c r="T261" s="87">
        <f>IFERROR(__xludf.DUMMYFUNCTION("""COMPUTED_VALUE"""),0.0)</f>
        <v>0</v>
      </c>
      <c r="U261" s="87">
        <f>IFERROR(__xludf.DUMMYFUNCTION("""COMPUTED_VALUE"""),0.0)</f>
        <v>0</v>
      </c>
      <c r="V261" s="87">
        <f>IFERROR(__xludf.DUMMYFUNCTION("""COMPUTED_VALUE"""),0.0)</f>
        <v>0</v>
      </c>
      <c r="W261" s="87">
        <f>IFERROR(__xludf.DUMMYFUNCTION("""COMPUTED_VALUE"""),0.0)</f>
        <v>0</v>
      </c>
      <c r="X261" s="88"/>
      <c r="Y261" s="74"/>
      <c r="Z261" s="74"/>
    </row>
    <row r="262">
      <c r="B262" s="74" t="str">
        <f>IFERROR(__xludf.DUMMYFUNCTION("""COMPUTED_VALUE"""),"1259")</f>
        <v>1259</v>
      </c>
      <c r="C262" s="74" t="str">
        <f>IFERROR(__xludf.DUMMYFUNCTION("""COMPUTED_VALUE"""),"75045891259")</f>
        <v>75045891259</v>
      </c>
      <c r="D262" s="74" t="str">
        <f>IFERROR(__xludf.DUMMYFUNCTION("""COMPUTED_VALUE"""),"\\MCA-S\mk\2_BM\0_BMat\08_PYM\Inventario\excel\Imagen de refacciones\Putzmeister\acoplamiento para caja y bomba g61")</f>
        <v>\\MCA-S\mk\2_BM\0_BMat\08_PYM\Inventario\excel\Imagen de refacciones\Putzmeister\acoplamiento para caja y bomba g61</v>
      </c>
      <c r="E262" s="74" t="str">
        <f>IFERROR(__xludf.DUMMYFUNCTION("""COMPUTED_VALUE"""),"COUPLING PIECE G61")</f>
        <v>COUPLING PIECE G61</v>
      </c>
      <c r="F262" s="74" t="str">
        <f>IFERROR(__xludf.DUMMYFUNCTION("""COMPUTED_VALUE"""),"ACOPLAMIENTO PARA CAJA Y COMBA G61")</f>
        <v>ACOPLAMIENTO PARA CAJA Y COMBA G61</v>
      </c>
      <c r="G262" s="74"/>
      <c r="H262" s="74"/>
      <c r="I262" s="74" t="str">
        <f>IFERROR(__xludf.DUMMYFUNCTION("""COMPUTED_VALUE"""),"258694006")</f>
        <v>258694006</v>
      </c>
      <c r="J262" s="74" t="str">
        <f>IFERROR(__xludf.DUMMYFUNCTION("""COMPUTED_VALUE"""),"G61-F24")</f>
        <v>G61-F24</v>
      </c>
      <c r="K262" s="74" t="str">
        <f>IFERROR(__xludf.DUMMYFUNCTION("""COMPUTED_VALUE"""),"Putzmeister")</f>
        <v>Putzmeister</v>
      </c>
      <c r="L262" s="74" t="str">
        <f>IFERROR(__xludf.DUMMYFUNCTION("""COMPUTED_VALUE"""),"Transmisión mecánica")</f>
        <v>Transmisión mecánica</v>
      </c>
      <c r="M262" s="74" t="str">
        <f>IFERROR(__xludf.DUMMYFUNCTION("""COMPUTED_VALUE"""),"Sin Asignar")</f>
        <v>Sin Asignar</v>
      </c>
      <c r="N262" s="87">
        <f>IFERROR(__xludf.DUMMYFUNCTION("""COMPUTED_VALUE"""),0.0)</f>
        <v>0</v>
      </c>
      <c r="O262" s="74"/>
      <c r="P262" s="74" t="str">
        <f>IFERROR(__xludf.DUMMYFUNCTION("""COMPUTED_VALUE"""),"To Re-purchase")</f>
        <v>To Re-purchase</v>
      </c>
      <c r="Q262" s="74"/>
      <c r="R262" s="74"/>
      <c r="S262" s="87">
        <f>IFERROR(__xludf.DUMMYFUNCTION("""COMPUTED_VALUE"""),0.0)</f>
        <v>0</v>
      </c>
      <c r="T262" s="87">
        <f>IFERROR(__xludf.DUMMYFUNCTION("""COMPUTED_VALUE"""),0.0)</f>
        <v>0</v>
      </c>
      <c r="U262" s="87">
        <f>IFERROR(__xludf.DUMMYFUNCTION("""COMPUTED_VALUE"""),0.0)</f>
        <v>0</v>
      </c>
      <c r="V262" s="87">
        <f>IFERROR(__xludf.DUMMYFUNCTION("""COMPUTED_VALUE"""),0.0)</f>
        <v>0</v>
      </c>
      <c r="W262" s="87">
        <f>IFERROR(__xludf.DUMMYFUNCTION("""COMPUTED_VALUE"""),0.0)</f>
        <v>0</v>
      </c>
      <c r="X262" s="88"/>
      <c r="Y262" s="74"/>
      <c r="Z262" s="74"/>
    </row>
    <row r="263">
      <c r="B263" s="74" t="str">
        <f>IFERROR(__xludf.DUMMYFUNCTION("""COMPUTED_VALUE"""),"1260")</f>
        <v>1260</v>
      </c>
      <c r="C263" s="74" t="str">
        <f>IFERROR(__xludf.DUMMYFUNCTION("""COMPUTED_VALUE"""),"75045891260")</f>
        <v>75045891260</v>
      </c>
      <c r="D263" s="74" t="str">
        <f>IFERROR(__xludf.DUMMYFUNCTION("""COMPUTED_VALUE"""),"\\MCA-S\mk\2_BM\0_BMat\08_PYM\Inventario\excel\Imagen de refacciones\Putzmeister\Buje guía conector 40.7 X60.5 X 40")</f>
        <v>\\MCA-S\mk\2_BM\0_BMat\08_PYM\Inventario\excel\Imagen de refacciones\Putzmeister\Buje guía conector 40.7 X60.5 X 40</v>
      </c>
      <c r="E263" s="74" t="str">
        <f>IFERROR(__xludf.DUMMYFUNCTION("""COMPUTED_VALUE"""),"BUSHING 40,7x60,5x40")</f>
        <v>BUSHING 40,7x60,5x40</v>
      </c>
      <c r="F263" s="74" t="str">
        <f>IFERROR(__xludf.DUMMYFUNCTION("""COMPUTED_VALUE"""),"BUJE GUIA CONECTOR 40.7 X60.5 X 40")</f>
        <v>BUJE GUIA CONECTOR 40.7 X60.5 X 40</v>
      </c>
      <c r="G263" s="74"/>
      <c r="H263" s="74"/>
      <c r="I263" s="74" t="str">
        <f>IFERROR(__xludf.DUMMYFUNCTION("""COMPUTED_VALUE"""),"205220009")</f>
        <v>205220009</v>
      </c>
      <c r="J263" s="74"/>
      <c r="K263" s="74" t="str">
        <f>IFERROR(__xludf.DUMMYFUNCTION("""COMPUTED_VALUE"""),"Putzmeister")</f>
        <v>Putzmeister</v>
      </c>
      <c r="L263" s="74" t="str">
        <f>IFERROR(__xludf.DUMMYFUNCTION("""COMPUTED_VALUE"""),"Componentes estructurales y de montaje")</f>
        <v>Componentes estructurales y de montaje</v>
      </c>
      <c r="M263" s="74" t="str">
        <f>IFERROR(__xludf.DUMMYFUNCTION("""COMPUTED_VALUE"""),"Sin Asignar")</f>
        <v>Sin Asignar</v>
      </c>
      <c r="N263" s="87">
        <f>IFERROR(__xludf.DUMMYFUNCTION("""COMPUTED_VALUE"""),0.0)</f>
        <v>0</v>
      </c>
      <c r="O263" s="74"/>
      <c r="P263" s="74" t="str">
        <f>IFERROR(__xludf.DUMMYFUNCTION("""COMPUTED_VALUE"""),"To Re-purchase")</f>
        <v>To Re-purchase</v>
      </c>
      <c r="Q263" s="74"/>
      <c r="R263" s="74"/>
      <c r="S263" s="87">
        <f>IFERROR(__xludf.DUMMYFUNCTION("""COMPUTED_VALUE"""),0.0)</f>
        <v>0</v>
      </c>
      <c r="T263" s="87">
        <f>IFERROR(__xludf.DUMMYFUNCTION("""COMPUTED_VALUE"""),0.0)</f>
        <v>0</v>
      </c>
      <c r="U263" s="87">
        <f>IFERROR(__xludf.DUMMYFUNCTION("""COMPUTED_VALUE"""),0.0)</f>
        <v>0</v>
      </c>
      <c r="V263" s="87">
        <f>IFERROR(__xludf.DUMMYFUNCTION("""COMPUTED_VALUE"""),0.0)</f>
        <v>0</v>
      </c>
      <c r="W263" s="87">
        <f>IFERROR(__xludf.DUMMYFUNCTION("""COMPUTED_VALUE"""),0.0)</f>
        <v>0</v>
      </c>
      <c r="X263" s="88"/>
      <c r="Y263" s="74"/>
      <c r="Z263" s="74"/>
    </row>
    <row r="264">
      <c r="B264" s="74" t="str">
        <f>IFERROR(__xludf.DUMMYFUNCTION("""COMPUTED_VALUE"""),"1261")</f>
        <v>1261</v>
      </c>
      <c r="C264" s="74" t="str">
        <f>IFERROR(__xludf.DUMMYFUNCTION("""COMPUTED_VALUE"""),"75045891261")</f>
        <v>75045891261</v>
      </c>
      <c r="D264" s="74" t="str">
        <f>IFERROR(__xludf.DUMMYFUNCTION("""COMPUTED_VALUE"""),"\\MCA-S\mk\2_BM\0_BMat\08_PYM\Inventario\excel\Imagen de refacciones\Putzmeister\Balero grande para bomba hidráulica A11VO260")</f>
        <v>\\MCA-S\mk\2_BM\0_BMat\08_PYM\Inventario\excel\Imagen de refacciones\Putzmeister\Balero grande para bomba hidráulica A11VO260</v>
      </c>
      <c r="E264" s="74" t="str">
        <f>IFERROR(__xludf.DUMMYFUNCTION("""COMPUTED_VALUE"""),"CYLINDRICAL ROLLER BEARING")</f>
        <v>CYLINDRICAL ROLLER BEARING</v>
      </c>
      <c r="F264" s="74" t="str">
        <f>IFERROR(__xludf.DUMMYFUNCTION("""COMPUTED_VALUE"""),"BALERO GRANDE PARA BOMBA HIDRAULICA A11VO260")</f>
        <v>BALERO GRANDE PARA BOMBA HIDRAULICA A11VO260</v>
      </c>
      <c r="G264" s="74"/>
      <c r="H264" s="74"/>
      <c r="I264" s="74" t="str">
        <f>IFERROR(__xludf.DUMMYFUNCTION("""COMPUTED_VALUE"""),"F207407")</f>
        <v>F207407</v>
      </c>
      <c r="J264" s="74"/>
      <c r="K264" s="74" t="str">
        <f>IFERROR(__xludf.DUMMYFUNCTION("""COMPUTED_VALUE"""),"Putzmeister")</f>
        <v>Putzmeister</v>
      </c>
      <c r="L264" s="74" t="str">
        <f>IFERROR(__xludf.DUMMYFUNCTION("""COMPUTED_VALUE"""),"Componentes hidráulicos")</f>
        <v>Componentes hidráulicos</v>
      </c>
      <c r="M264" s="74" t="str">
        <f>IFERROR(__xludf.DUMMYFUNCTION("""COMPUTED_VALUE"""),"BALEROS")</f>
        <v>BALEROS</v>
      </c>
      <c r="N264" s="87">
        <f>IFERROR(__xludf.DUMMYFUNCTION("""COMPUTED_VALUE"""),0.0)</f>
        <v>0</v>
      </c>
      <c r="O264" s="74"/>
      <c r="P264" s="74" t="str">
        <f>IFERROR(__xludf.DUMMYFUNCTION("""COMPUTED_VALUE"""),"To Re-purchase")</f>
        <v>To Re-purchase</v>
      </c>
      <c r="Q264" s="74"/>
      <c r="R264" s="74"/>
      <c r="S264" s="87">
        <f>IFERROR(__xludf.DUMMYFUNCTION("""COMPUTED_VALUE"""),0.0)</f>
        <v>0</v>
      </c>
      <c r="T264" s="87">
        <f>IFERROR(__xludf.DUMMYFUNCTION("""COMPUTED_VALUE"""),0.0)</f>
        <v>0</v>
      </c>
      <c r="U264" s="87">
        <f>IFERROR(__xludf.DUMMYFUNCTION("""COMPUTED_VALUE"""),0.0)</f>
        <v>0</v>
      </c>
      <c r="V264" s="87">
        <f>IFERROR(__xludf.DUMMYFUNCTION("""COMPUTED_VALUE"""),0.0)</f>
        <v>0</v>
      </c>
      <c r="W264" s="87">
        <f>IFERROR(__xludf.DUMMYFUNCTION("""COMPUTED_VALUE"""),0.0)</f>
        <v>0</v>
      </c>
      <c r="X264" s="88"/>
      <c r="Y264" s="74"/>
      <c r="Z264" s="74"/>
    </row>
    <row r="265">
      <c r="B265" s="74" t="str">
        <f>IFERROR(__xludf.DUMMYFUNCTION("""COMPUTED_VALUE"""),"1262")</f>
        <v>1262</v>
      </c>
      <c r="C265" s="74" t="str">
        <f>IFERROR(__xludf.DUMMYFUNCTION("""COMPUTED_VALUE"""),"75045891262")</f>
        <v>75045891262</v>
      </c>
      <c r="D265" s="74" t="str">
        <f>IFERROR(__xludf.DUMMYFUNCTION("""COMPUTED_VALUE"""),"\\MCA-S\mk\2_BM\0_BMat\08_PYM\Inventario\excel\Imagen de refacciones\Putzmeister\Balero chico para bomba hidráulica A11Vo260")</f>
        <v>\\MCA-S\mk\2_BM\0_BMat\08_PYM\Inventario\excel\Imagen de refacciones\Putzmeister\Balero chico para bomba hidráulica A11Vo260</v>
      </c>
      <c r="E265" s="74" t="str">
        <f>IFERROR(__xludf.DUMMYFUNCTION("""COMPUTED_VALUE"""),"RNU CYLINDRICAL ROLLER BEARING FOR HYDRAULIC PUMPS")</f>
        <v>RNU CYLINDRICAL ROLLER BEARING FOR HYDRAULIC PUMPS</v>
      </c>
      <c r="F265" s="74" t="str">
        <f>IFERROR(__xludf.DUMMYFUNCTION("""COMPUTED_VALUE"""),"BALERO BOMBA HIDRAULICA  A11Vo260")</f>
        <v>BALERO BOMBA HIDRAULICA  A11Vo260</v>
      </c>
      <c r="G265" s="74"/>
      <c r="H265" s="74"/>
      <c r="I265" s="74" t="str">
        <f>IFERROR(__xludf.DUMMYFUNCTION("""COMPUTED_VALUE"""),"F204754 RNU")</f>
        <v>F204754 RNU</v>
      </c>
      <c r="J265" s="74"/>
      <c r="K265" s="74" t="str">
        <f>IFERROR(__xludf.DUMMYFUNCTION("""COMPUTED_VALUE"""),"Putzmeister")</f>
        <v>Putzmeister</v>
      </c>
      <c r="L265" s="74" t="str">
        <f>IFERROR(__xludf.DUMMYFUNCTION("""COMPUTED_VALUE"""),"Componentes hidráulicos")</f>
        <v>Componentes hidráulicos</v>
      </c>
      <c r="M265" s="74" t="str">
        <f>IFERROR(__xludf.DUMMYFUNCTION("""COMPUTED_VALUE"""),"BALEROS")</f>
        <v>BALEROS</v>
      </c>
      <c r="N265" s="87">
        <f>IFERROR(__xludf.DUMMYFUNCTION("""COMPUTED_VALUE"""),0.0)</f>
        <v>0</v>
      </c>
      <c r="O265" s="74"/>
      <c r="P265" s="74" t="str">
        <f>IFERROR(__xludf.DUMMYFUNCTION("""COMPUTED_VALUE"""),"To Re-purchase")</f>
        <v>To Re-purchase</v>
      </c>
      <c r="Q265" s="74"/>
      <c r="R265" s="74"/>
      <c r="S265" s="87">
        <f>IFERROR(__xludf.DUMMYFUNCTION("""COMPUTED_VALUE"""),0.0)</f>
        <v>0</v>
      </c>
      <c r="T265" s="87">
        <f>IFERROR(__xludf.DUMMYFUNCTION("""COMPUTED_VALUE"""),0.0)</f>
        <v>0</v>
      </c>
      <c r="U265" s="87">
        <f>IFERROR(__xludf.DUMMYFUNCTION("""COMPUTED_VALUE"""),0.0)</f>
        <v>0</v>
      </c>
      <c r="V265" s="87">
        <f>IFERROR(__xludf.DUMMYFUNCTION("""COMPUTED_VALUE"""),0.0)</f>
        <v>0</v>
      </c>
      <c r="W265" s="87">
        <f>IFERROR(__xludf.DUMMYFUNCTION("""COMPUTED_VALUE"""),0.0)</f>
        <v>0</v>
      </c>
      <c r="X265" s="88"/>
      <c r="Y265" s="74"/>
      <c r="Z265" s="74"/>
    </row>
    <row r="266">
      <c r="B266" s="74" t="str">
        <f>IFERROR(__xludf.DUMMYFUNCTION("""COMPUTED_VALUE"""),"1263")</f>
        <v>1263</v>
      </c>
      <c r="C266" s="74" t="str">
        <f>IFERROR(__xludf.DUMMYFUNCTION("""COMPUTED_VALUE"""),"75045891263")</f>
        <v>75045891263</v>
      </c>
      <c r="D266" s="74" t="str">
        <f>IFERROR(__xludf.DUMMYFUNCTION("""COMPUTED_VALUE"""),"\\MCA-S\mk\2_BM\0_BMat\08_PYM\Inventario\excel\Imagen de refacciones\Putzmeister\Réten 45 X 62 X 7 para bomba A7VO55")</f>
        <v>\\MCA-S\mk\2_BM\0_BMat\08_PYM\Inventario\excel\Imagen de refacciones\Putzmeister\Réten 45 X 62 X 7 para bomba A7VO55</v>
      </c>
      <c r="E266" s="74"/>
      <c r="F266" s="74" t="str">
        <f>IFERROR(__xludf.DUMMYFUNCTION("""COMPUTED_VALUE"""),"RETEN 45x62x7 PARA BOMBA A7VO55")</f>
        <v>RETEN 45x62x7 PARA BOMBA A7VO55</v>
      </c>
      <c r="G266" s="74"/>
      <c r="H266" s="74"/>
      <c r="I266" s="74" t="str">
        <f>IFERROR(__xludf.DUMMYFUNCTION("""COMPUTED_VALUE"""),"30321870")</f>
        <v>30321870</v>
      </c>
      <c r="J266" s="74"/>
      <c r="K266" s="74" t="str">
        <f>IFERROR(__xludf.DUMMYFUNCTION("""COMPUTED_VALUE"""),"Putzmeister")</f>
        <v>Putzmeister</v>
      </c>
      <c r="L266" s="74" t="str">
        <f>IFERROR(__xludf.DUMMYFUNCTION("""COMPUTED_VALUE"""),"Sellos y retenes")</f>
        <v>Sellos y retenes</v>
      </c>
      <c r="M266" s="74" t="str">
        <f>IFERROR(__xludf.DUMMYFUNCTION("""COMPUTED_VALUE"""),"Sin Asignar")</f>
        <v>Sin Asignar</v>
      </c>
      <c r="N266" s="87">
        <f>IFERROR(__xludf.DUMMYFUNCTION("""COMPUTED_VALUE"""),0.0)</f>
        <v>0</v>
      </c>
      <c r="O266" s="74"/>
      <c r="P266" s="74" t="str">
        <f>IFERROR(__xludf.DUMMYFUNCTION("""COMPUTED_VALUE"""),"To Re-purchase")</f>
        <v>To Re-purchase</v>
      </c>
      <c r="Q266" s="74"/>
      <c r="R266" s="74"/>
      <c r="S266" s="87">
        <f>IFERROR(__xludf.DUMMYFUNCTION("""COMPUTED_VALUE"""),0.0)</f>
        <v>0</v>
      </c>
      <c r="T266" s="87">
        <f>IFERROR(__xludf.DUMMYFUNCTION("""COMPUTED_VALUE"""),0.0)</f>
        <v>0</v>
      </c>
      <c r="U266" s="87">
        <f>IFERROR(__xludf.DUMMYFUNCTION("""COMPUTED_VALUE"""),0.0)</f>
        <v>0</v>
      </c>
      <c r="V266" s="87">
        <f>IFERROR(__xludf.DUMMYFUNCTION("""COMPUTED_VALUE"""),0.0)</f>
        <v>0</v>
      </c>
      <c r="W266" s="87">
        <f>IFERROR(__xludf.DUMMYFUNCTION("""COMPUTED_VALUE"""),0.0)</f>
        <v>0</v>
      </c>
      <c r="X266" s="88"/>
      <c r="Y266" s="74"/>
      <c r="Z266" s="74"/>
    </row>
    <row r="267">
      <c r="B267" s="74" t="str">
        <f>IFERROR(__xludf.DUMMYFUNCTION("""COMPUTED_VALUE"""),"1264")</f>
        <v>1264</v>
      </c>
      <c r="C267" s="74" t="str">
        <f>IFERROR(__xludf.DUMMYFUNCTION("""COMPUTED_VALUE"""),"75045891264")</f>
        <v>75045891264</v>
      </c>
      <c r="D267" s="74" t="str">
        <f>IFERROR(__xludf.DUMMYFUNCTION("""COMPUTED_VALUE"""),"\\MCA-S\mk\2_BM\0_BMat\08_PYM\Inventario\excel\Imagen de refacciones\Putzmeister\RETEN 50 X 72 X 7_7.5")</f>
        <v>\\MCA-S\mk\2_BM\0_BMat\08_PYM\Inventario\excel\Imagen de refacciones\Putzmeister\RETEN 50 X 72 X 7_7.5</v>
      </c>
      <c r="E267" s="74"/>
      <c r="F267" s="74" t="str">
        <f>IFERROR(__xludf.DUMMYFUNCTION("""COMPUTED_VALUE"""),"RETEN 50x72x7/7.5")</f>
        <v>RETEN 50x72x7/7.5</v>
      </c>
      <c r="G267" s="74"/>
      <c r="H267" s="74"/>
      <c r="I267" s="74" t="str">
        <f>IFERROR(__xludf.DUMMYFUNCTION("""COMPUTED_VALUE"""),"30310063")</f>
        <v>30310063</v>
      </c>
      <c r="J267" s="74"/>
      <c r="K267" s="74" t="str">
        <f>IFERROR(__xludf.DUMMYFUNCTION("""COMPUTED_VALUE"""),"Putzmeister")</f>
        <v>Putzmeister</v>
      </c>
      <c r="L267" s="74" t="str">
        <f>IFERROR(__xludf.DUMMYFUNCTION("""COMPUTED_VALUE"""),"Sellos y retenes")</f>
        <v>Sellos y retenes</v>
      </c>
      <c r="M267" s="74" t="str">
        <f>IFERROR(__xludf.DUMMYFUNCTION("""COMPUTED_VALUE"""),"Sin Asignar")</f>
        <v>Sin Asignar</v>
      </c>
      <c r="N267" s="87">
        <f>IFERROR(__xludf.DUMMYFUNCTION("""COMPUTED_VALUE"""),0.0)</f>
        <v>0</v>
      </c>
      <c r="O267" s="74"/>
      <c r="P267" s="74" t="str">
        <f>IFERROR(__xludf.DUMMYFUNCTION("""COMPUTED_VALUE"""),"To Re-purchase")</f>
        <v>To Re-purchase</v>
      </c>
      <c r="Q267" s="74"/>
      <c r="R267" s="74"/>
      <c r="S267" s="87">
        <f>IFERROR(__xludf.DUMMYFUNCTION("""COMPUTED_VALUE"""),0.0)</f>
        <v>0</v>
      </c>
      <c r="T267" s="87">
        <f>IFERROR(__xludf.DUMMYFUNCTION("""COMPUTED_VALUE"""),0.0)</f>
        <v>0</v>
      </c>
      <c r="U267" s="87">
        <f>IFERROR(__xludf.DUMMYFUNCTION("""COMPUTED_VALUE"""),0.0)</f>
        <v>0</v>
      </c>
      <c r="V267" s="87">
        <f>IFERROR(__xludf.DUMMYFUNCTION("""COMPUTED_VALUE"""),0.0)</f>
        <v>0</v>
      </c>
      <c r="W267" s="87">
        <f>IFERROR(__xludf.DUMMYFUNCTION("""COMPUTED_VALUE"""),0.0)</f>
        <v>0</v>
      </c>
      <c r="X267" s="88"/>
      <c r="Y267" s="74"/>
      <c r="Z267" s="74"/>
    </row>
    <row r="268">
      <c r="B268" s="74" t="str">
        <f>IFERROR(__xludf.DUMMYFUNCTION("""COMPUTED_VALUE"""),"1265")</f>
        <v>1265</v>
      </c>
      <c r="C268" s="74" t="str">
        <f>IFERROR(__xludf.DUMMYFUNCTION("""COMPUTED_VALUE"""),"75045891265")</f>
        <v>75045891265</v>
      </c>
      <c r="D268" s="74" t="str">
        <f>IFERROR(__xludf.DUMMYFUNCTION("""COMPUTED_VALUE"""),"\\MCA-S\mk\2_BM\0_BMat\08_PYM\Inventario\excel\Imagen de refacciones\Putzmeister\Reten 60 X 80 X 7")</f>
        <v>\\MCA-S\mk\2_BM\0_BMat\08_PYM\Inventario\excel\Imagen de refacciones\Putzmeister\Reten 60 X 80 X 7</v>
      </c>
      <c r="E268" s="74"/>
      <c r="F268" s="74" t="str">
        <f>IFERROR(__xludf.DUMMYFUNCTION("""COMPUTED_VALUE"""),"RETEN 60x80x7")</f>
        <v>RETEN 60x80x7</v>
      </c>
      <c r="G268" s="74"/>
      <c r="H268" s="74"/>
      <c r="I268" s="74" t="str">
        <f>IFERROR(__xludf.DUMMYFUNCTION("""COMPUTED_VALUE"""),"30321872")</f>
        <v>30321872</v>
      </c>
      <c r="J268" s="74"/>
      <c r="K268" s="74" t="str">
        <f>IFERROR(__xludf.DUMMYFUNCTION("""COMPUTED_VALUE"""),"Putzmeister")</f>
        <v>Putzmeister</v>
      </c>
      <c r="L268" s="74" t="str">
        <f>IFERROR(__xludf.DUMMYFUNCTION("""COMPUTED_VALUE"""),"Sellos y retenes")</f>
        <v>Sellos y retenes</v>
      </c>
      <c r="M268" s="74" t="str">
        <f>IFERROR(__xludf.DUMMYFUNCTION("""COMPUTED_VALUE"""),"Sin Asignar")</f>
        <v>Sin Asignar</v>
      </c>
      <c r="N268" s="87">
        <f>IFERROR(__xludf.DUMMYFUNCTION("""COMPUTED_VALUE"""),0.0)</f>
        <v>0</v>
      </c>
      <c r="O268" s="74"/>
      <c r="P268" s="74" t="str">
        <f>IFERROR(__xludf.DUMMYFUNCTION("""COMPUTED_VALUE"""),"To Re-purchase")</f>
        <v>To Re-purchase</v>
      </c>
      <c r="Q268" s="74"/>
      <c r="R268" s="74"/>
      <c r="S268" s="87">
        <f>IFERROR(__xludf.DUMMYFUNCTION("""COMPUTED_VALUE"""),0.0)</f>
        <v>0</v>
      </c>
      <c r="T268" s="87">
        <f>IFERROR(__xludf.DUMMYFUNCTION("""COMPUTED_VALUE"""),0.0)</f>
        <v>0</v>
      </c>
      <c r="U268" s="87">
        <f>IFERROR(__xludf.DUMMYFUNCTION("""COMPUTED_VALUE"""),0.0)</f>
        <v>0</v>
      </c>
      <c r="V268" s="87">
        <f>IFERROR(__xludf.DUMMYFUNCTION("""COMPUTED_VALUE"""),0.0)</f>
        <v>0</v>
      </c>
      <c r="W268" s="87">
        <f>IFERROR(__xludf.DUMMYFUNCTION("""COMPUTED_VALUE"""),0.0)</f>
        <v>0</v>
      </c>
      <c r="X268" s="88"/>
      <c r="Y268" s="74"/>
      <c r="Z268" s="74"/>
    </row>
    <row r="269">
      <c r="B269" s="74" t="str">
        <f>IFERROR(__xludf.DUMMYFUNCTION("""COMPUTED_VALUE"""),"1266")</f>
        <v>1266</v>
      </c>
      <c r="C269" s="74" t="str">
        <f>IFERROR(__xludf.DUMMYFUNCTION("""COMPUTED_VALUE"""),"75045880336")</f>
        <v>75045880336</v>
      </c>
      <c r="D269" s="74" t="str">
        <f>IFERROR(__xludf.DUMMYFUNCTION("""COMPUTED_VALUE"""),"\\MCA-S\mk\2_BM\0_BMat\08_PYM\Inventario\excel\Imagen de refacciones\Putzmeister\Empaquetadura para vastago de bombeo 80_100 X 40")</f>
        <v>\\MCA-S\mk\2_BM\0_BMat\08_PYM\Inventario\excel\Imagen de refacciones\Putzmeister\Empaquetadura para vastago de bombeo 80_100 X 40</v>
      </c>
      <c r="E269" s="74" t="str">
        <f>IFERROR(__xludf.DUMMYFUNCTION("""COMPUTED_VALUE"""),"MAIN CYLINDER SEAL 80/100")</f>
        <v>MAIN CYLINDER SEAL 80/100</v>
      </c>
      <c r="F269" s="74" t="str">
        <f>IFERROR(__xludf.DUMMYFUNCTION("""COMPUTED_VALUE"""),"EMPAQUETADURA PARA VASTAGO DE BOMBA 80/100x40      ")</f>
        <v>EMPAQUETADURA PARA VASTAGO DE BOMBA 80/100x40      </v>
      </c>
      <c r="G269" s="74"/>
      <c r="H269" s="74"/>
      <c r="I269" s="74" t="str">
        <f>IFERROR(__xludf.DUMMYFUNCTION("""COMPUTED_VALUE"""),"24160007")</f>
        <v>24160007</v>
      </c>
      <c r="J269" s="74"/>
      <c r="K269" s="74" t="str">
        <f>IFERROR(__xludf.DUMMYFUNCTION("""COMPUTED_VALUE"""),"Putzmeister")</f>
        <v>Putzmeister</v>
      </c>
      <c r="L269" s="74" t="str">
        <f>IFERROR(__xludf.DUMMYFUNCTION("""COMPUTED_VALUE"""),"Sellos y retenes")</f>
        <v>Sellos y retenes</v>
      </c>
      <c r="M269" s="74" t="str">
        <f>IFERROR(__xludf.DUMMYFUNCTION("""COMPUTED_VALUE"""),"Sin Asignar")</f>
        <v>Sin Asignar</v>
      </c>
      <c r="N269" s="87">
        <f>IFERROR(__xludf.DUMMYFUNCTION("""COMPUTED_VALUE"""),0.0)</f>
        <v>0</v>
      </c>
      <c r="O269" s="74"/>
      <c r="P269" s="74" t="str">
        <f>IFERROR(__xludf.DUMMYFUNCTION("""COMPUTED_VALUE"""),"To Re-purchase")</f>
        <v>To Re-purchase</v>
      </c>
      <c r="Q269" s="74"/>
      <c r="R269" s="74"/>
      <c r="S269" s="87">
        <f>IFERROR(__xludf.DUMMYFUNCTION("""COMPUTED_VALUE"""),0.0)</f>
        <v>0</v>
      </c>
      <c r="T269" s="87">
        <f>IFERROR(__xludf.DUMMYFUNCTION("""COMPUTED_VALUE"""),0.0)</f>
        <v>0</v>
      </c>
      <c r="U269" s="87">
        <f>IFERROR(__xludf.DUMMYFUNCTION("""COMPUTED_VALUE"""),0.0)</f>
        <v>0</v>
      </c>
      <c r="V269" s="87">
        <f>IFERROR(__xludf.DUMMYFUNCTION("""COMPUTED_VALUE"""),0.0)</f>
        <v>0</v>
      </c>
      <c r="W269" s="87">
        <f>IFERROR(__xludf.DUMMYFUNCTION("""COMPUTED_VALUE"""),0.0)</f>
        <v>0</v>
      </c>
      <c r="X269" s="88"/>
      <c r="Y269" s="74"/>
      <c r="Z269" s="74"/>
    </row>
    <row r="270">
      <c r="B270" s="74" t="str">
        <f>IFERROR(__xludf.DUMMYFUNCTION("""COMPUTED_VALUE"""),"1267")</f>
        <v>1267</v>
      </c>
      <c r="C270" s="74" t="str">
        <f>IFERROR(__xludf.DUMMYFUNCTION("""COMPUTED_VALUE"""),"75045891267")</f>
        <v>75045891267</v>
      </c>
      <c r="D270" s="74" t="str">
        <f>IFERROR(__xludf.DUMMYFUNCTION("""COMPUTED_VALUE"""),"\\MCA-S\mk\2_BM\0_BMat\08_PYM\Inventario\excel\Imagen de refacciones\Putzmeister\anillo guía de reten de pistón DN200")</f>
        <v>\\MCA-S\mk\2_BM\0_BMat\08_PYM\Inventario\excel\Imagen de refacciones\Putzmeister\anillo guía de reten de pistón DN200</v>
      </c>
      <c r="E270" s="74" t="str">
        <f>IFERROR(__xludf.DUMMYFUNCTION("""COMPUTED_VALUE"""),"GUIDE RING Q200")</f>
        <v>GUIDE RING Q200</v>
      </c>
      <c r="F270" s="74" t="str">
        <f>IFERROR(__xludf.DUMMYFUNCTION("""COMPUTED_VALUE"""),"ANILLO GUIA RETEN DE PISTON DN200")</f>
        <v>ANILLO GUIA RETEN DE PISTON DN200</v>
      </c>
      <c r="G270" s="74"/>
      <c r="H270" s="74"/>
      <c r="I270" s="74" t="str">
        <f>IFERROR(__xludf.DUMMYFUNCTION("""COMPUTED_VALUE"""),"080794006")</f>
        <v>080794006</v>
      </c>
      <c r="J270" s="74" t="str">
        <f>IFERROR(__xludf.DUMMYFUNCTION("""COMPUTED_VALUE"""),"080372004")</f>
        <v>080372004</v>
      </c>
      <c r="K270" s="74" t="str">
        <f>IFERROR(__xludf.DUMMYFUNCTION("""COMPUTED_VALUE"""),"Putzmeister")</f>
        <v>Putzmeister</v>
      </c>
      <c r="L270" s="74" t="str">
        <f>IFERROR(__xludf.DUMMYFUNCTION("""COMPUTED_VALUE"""),"Sellos y retenes")</f>
        <v>Sellos y retenes</v>
      </c>
      <c r="M270" s="74" t="str">
        <f>IFERROR(__xludf.DUMMYFUNCTION("""COMPUTED_VALUE"""),"Sin Asignar")</f>
        <v>Sin Asignar</v>
      </c>
      <c r="N270" s="87">
        <f>IFERROR(__xludf.DUMMYFUNCTION("""COMPUTED_VALUE"""),0.0)</f>
        <v>0</v>
      </c>
      <c r="O270" s="74"/>
      <c r="P270" s="74" t="str">
        <f>IFERROR(__xludf.DUMMYFUNCTION("""COMPUTED_VALUE"""),"To Re-purchase")</f>
        <v>To Re-purchase</v>
      </c>
      <c r="Q270" s="74"/>
      <c r="R270" s="74"/>
      <c r="S270" s="87">
        <f>IFERROR(__xludf.DUMMYFUNCTION("""COMPUTED_VALUE"""),0.0)</f>
        <v>0</v>
      </c>
      <c r="T270" s="87">
        <f>IFERROR(__xludf.DUMMYFUNCTION("""COMPUTED_VALUE"""),0.0)</f>
        <v>0</v>
      </c>
      <c r="U270" s="87">
        <f>IFERROR(__xludf.DUMMYFUNCTION("""COMPUTED_VALUE"""),0.0)</f>
        <v>0</v>
      </c>
      <c r="V270" s="87">
        <f>IFERROR(__xludf.DUMMYFUNCTION("""COMPUTED_VALUE"""),0.0)</f>
        <v>0</v>
      </c>
      <c r="W270" s="87">
        <f>IFERROR(__xludf.DUMMYFUNCTION("""COMPUTED_VALUE"""),0.0)</f>
        <v>0</v>
      </c>
      <c r="X270" s="88"/>
      <c r="Y270" s="74"/>
      <c r="Z270" s="74"/>
    </row>
    <row r="271">
      <c r="B271" s="74" t="str">
        <f>IFERROR(__xludf.DUMMYFUNCTION("""COMPUTED_VALUE"""),"1268")</f>
        <v>1268</v>
      </c>
      <c r="C271" s="74" t="str">
        <f>IFERROR(__xludf.DUMMYFUNCTION("""COMPUTED_VALUE"""),"75045891268")</f>
        <v>75045891268</v>
      </c>
      <c r="D271" s="74" t="str">
        <f>IFERROR(__xludf.DUMMYFUNCTION("""COMPUTED_VALUE"""),"\\MCA-S\mk\2_BM\0_BMat\08_PYM\Inventario\excel\Imagen de refacciones\Putzmeister\anillo guía de reten de pistón DN230")</f>
        <v>\\MCA-S\mk\2_BM\0_BMat\08_PYM\Inventario\excel\Imagen de refacciones\Putzmeister\anillo guía de reten de pistón DN230</v>
      </c>
      <c r="E271" s="74" t="str">
        <f>IFERROR(__xludf.DUMMYFUNCTION("""COMPUTED_VALUE"""),"DELIVERY PISTON SEAL Q230")</f>
        <v>DELIVERY PISTON SEAL Q230</v>
      </c>
      <c r="F271" s="74" t="str">
        <f>IFERROR(__xludf.DUMMYFUNCTION("""COMPUTED_VALUE"""),"ANILLO GUIA RETEN DE PISTON DN230")</f>
        <v>ANILLO GUIA RETEN DE PISTON DN230</v>
      </c>
      <c r="G271" s="74"/>
      <c r="H271" s="74"/>
      <c r="I271" s="74" t="str">
        <f>IFERROR(__xludf.DUMMYFUNCTION("""COMPUTED_VALUE"""),"80672005")</f>
        <v>80672005</v>
      </c>
      <c r="J271" s="74" t="str">
        <f>IFERROR(__xludf.DUMMYFUNCTION("""COMPUTED_VALUE"""),"080373003")</f>
        <v>080373003</v>
      </c>
      <c r="K271" s="74" t="str">
        <f>IFERROR(__xludf.DUMMYFUNCTION("""COMPUTED_VALUE"""),"Putzmeister")</f>
        <v>Putzmeister</v>
      </c>
      <c r="L271" s="74" t="str">
        <f>IFERROR(__xludf.DUMMYFUNCTION("""COMPUTED_VALUE"""),"Sellos y retenes")</f>
        <v>Sellos y retenes</v>
      </c>
      <c r="M271" s="74" t="str">
        <f>IFERROR(__xludf.DUMMYFUNCTION("""COMPUTED_VALUE"""),"Sin Asignar")</f>
        <v>Sin Asignar</v>
      </c>
      <c r="N271" s="87">
        <f>IFERROR(__xludf.DUMMYFUNCTION("""COMPUTED_VALUE"""),0.0)</f>
        <v>0</v>
      </c>
      <c r="O271" s="74"/>
      <c r="P271" s="74" t="str">
        <f>IFERROR(__xludf.DUMMYFUNCTION("""COMPUTED_VALUE"""),"To Re-purchase")</f>
        <v>To Re-purchase</v>
      </c>
      <c r="Q271" s="74"/>
      <c r="R271" s="74"/>
      <c r="S271" s="87">
        <f>IFERROR(__xludf.DUMMYFUNCTION("""COMPUTED_VALUE"""),0.0)</f>
        <v>0</v>
      </c>
      <c r="T271" s="87">
        <f>IFERROR(__xludf.DUMMYFUNCTION("""COMPUTED_VALUE"""),0.0)</f>
        <v>0</v>
      </c>
      <c r="U271" s="87">
        <f>IFERROR(__xludf.DUMMYFUNCTION("""COMPUTED_VALUE"""),0.0)</f>
        <v>0</v>
      </c>
      <c r="V271" s="87">
        <f>IFERROR(__xludf.DUMMYFUNCTION("""COMPUTED_VALUE"""),0.0)</f>
        <v>0</v>
      </c>
      <c r="W271" s="87">
        <f>IFERROR(__xludf.DUMMYFUNCTION("""COMPUTED_VALUE"""),0.0)</f>
        <v>0</v>
      </c>
      <c r="X271" s="88"/>
      <c r="Y271" s="74"/>
      <c r="Z271" s="74"/>
    </row>
    <row r="272">
      <c r="B272" s="74" t="str">
        <f>IFERROR(__xludf.DUMMYFUNCTION("""COMPUTED_VALUE"""),"1269")</f>
        <v>1269</v>
      </c>
      <c r="C272" s="74" t="str">
        <f>IFERROR(__xludf.DUMMYFUNCTION("""COMPUTED_VALUE"""),"75045891269")</f>
        <v>75045891269</v>
      </c>
      <c r="D272" s="74" t="str">
        <f>IFERROR(__xludf.DUMMYFUNCTION("""COMPUTED_VALUE"""),"\\MCA-S\mk\2_BM\0_BMat\08_PYM\Inventario\excel\Imagen de refacciones\Putzmeister\Retén 220")</f>
        <v>\\MCA-S\mk\2_BM\0_BMat\08_PYM\Inventario\excel\Imagen de refacciones\Putzmeister\Retén 220</v>
      </c>
      <c r="E272" s="74" t="str">
        <f>IFERROR(__xludf.DUMMYFUNCTION("""COMPUTED_VALUE"""),"LIP SEAL RING 220x240x15")</f>
        <v>LIP SEAL RING 220x240x15</v>
      </c>
      <c r="F272" s="74" t="str">
        <f>IFERROR(__xludf.DUMMYFUNCTION("""COMPUTED_VALUE"""),"RETEN 220")</f>
        <v>RETEN 220</v>
      </c>
      <c r="G272" s="74"/>
      <c r="H272" s="74"/>
      <c r="I272" s="74" t="str">
        <f>IFERROR(__xludf.DUMMYFUNCTION("""COMPUTED_VALUE"""),"247565007")</f>
        <v>247565007</v>
      </c>
      <c r="J272" s="74"/>
      <c r="K272" s="74" t="str">
        <f>IFERROR(__xludf.DUMMYFUNCTION("""COMPUTED_VALUE"""),"Putzmeister")</f>
        <v>Putzmeister</v>
      </c>
      <c r="L272" s="74" t="str">
        <f>IFERROR(__xludf.DUMMYFUNCTION("""COMPUTED_VALUE"""),"Sellos y retenes")</f>
        <v>Sellos y retenes</v>
      </c>
      <c r="M272" s="74" t="str">
        <f>IFERROR(__xludf.DUMMYFUNCTION("""COMPUTED_VALUE"""),"Sin Asignar")</f>
        <v>Sin Asignar</v>
      </c>
      <c r="N272" s="87">
        <f>IFERROR(__xludf.DUMMYFUNCTION("""COMPUTED_VALUE"""),0.0)</f>
        <v>0</v>
      </c>
      <c r="O272" s="74"/>
      <c r="P272" s="74" t="str">
        <f>IFERROR(__xludf.DUMMYFUNCTION("""COMPUTED_VALUE"""),"To Re-purchase")</f>
        <v>To Re-purchase</v>
      </c>
      <c r="Q272" s="74"/>
      <c r="R272" s="74"/>
      <c r="S272" s="87">
        <f>IFERROR(__xludf.DUMMYFUNCTION("""COMPUTED_VALUE"""),0.0)</f>
        <v>0</v>
      </c>
      <c r="T272" s="87">
        <f>IFERROR(__xludf.DUMMYFUNCTION("""COMPUTED_VALUE"""),0.0)</f>
        <v>0</v>
      </c>
      <c r="U272" s="87">
        <f>IFERROR(__xludf.DUMMYFUNCTION("""COMPUTED_VALUE"""),0.0)</f>
        <v>0</v>
      </c>
      <c r="V272" s="87">
        <f>IFERROR(__xludf.DUMMYFUNCTION("""COMPUTED_VALUE"""),0.0)</f>
        <v>0</v>
      </c>
      <c r="W272" s="87">
        <f>IFERROR(__xludf.DUMMYFUNCTION("""COMPUTED_VALUE"""),0.0)</f>
        <v>0</v>
      </c>
      <c r="X272" s="88"/>
      <c r="Y272" s="74"/>
      <c r="Z272" s="74"/>
    </row>
    <row r="273">
      <c r="B273" s="74" t="str">
        <f>IFERROR(__xludf.DUMMYFUNCTION("""COMPUTED_VALUE"""),"1270")</f>
        <v>1270</v>
      </c>
      <c r="C273" s="74" t="str">
        <f>IFERROR(__xludf.DUMMYFUNCTION("""COMPUTED_VALUE"""),"75045880285")</f>
        <v>75045880285</v>
      </c>
      <c r="D273" s="74" t="str">
        <f>IFERROR(__xludf.DUMMYFUNCTION("""COMPUTED_VALUE"""),"\\MCA-S\mk\2_BM\0_BMat\08_PYM\Inventario\excel\Imagen de refacciones\Putzmeister\Anillo de empuje dn200 y dn230")</f>
        <v>\\MCA-S\mk\2_BM\0_BMat\08_PYM\Inventario\excel\Imagen de refacciones\Putzmeister\Anillo de empuje dn200 y dn230</v>
      </c>
      <c r="E273" s="74" t="str">
        <f>IFERROR(__xludf.DUMMYFUNCTION("""COMPUTED_VALUE"""),"THRUST RING DN230")</f>
        <v>THRUST RING DN230</v>
      </c>
      <c r="F273" s="74" t="str">
        <f>IFERROR(__xludf.DUMMYFUNCTION("""COMPUTED_VALUE"""),"ANILLO DE EMPUJE DN230")</f>
        <v>ANILLO DE EMPUJE DN230</v>
      </c>
      <c r="G273" s="74"/>
      <c r="H273" s="74" t="str">
        <f>IFERROR(__xludf.DUMMYFUNCTION("""COMPUTED_VALUE"""),"ANILLO DE EMPUJE DN230 PARA BOMBA DE HORMIGON")</f>
        <v>ANILLO DE EMPUJE DN230 PARA BOMBA DE HORMIGON</v>
      </c>
      <c r="I273" s="74" t="str">
        <f>IFERROR(__xludf.DUMMYFUNCTION("""COMPUTED_VALUE"""),"252898002")</f>
        <v>252898002</v>
      </c>
      <c r="J273" s="74"/>
      <c r="K273" s="74" t="str">
        <f>IFERROR(__xludf.DUMMYFUNCTION("""COMPUTED_VALUE"""),"Putzmeister")</f>
        <v>Putzmeister</v>
      </c>
      <c r="L273" s="74" t="str">
        <f>IFERROR(__xludf.DUMMYFUNCTION("""COMPUTED_VALUE"""),"Sellos y retenes")</f>
        <v>Sellos y retenes</v>
      </c>
      <c r="M273" s="74" t="str">
        <f>IFERROR(__xludf.DUMMYFUNCTION("""COMPUTED_VALUE"""),"Sin Asignar")</f>
        <v>Sin Asignar</v>
      </c>
      <c r="N273" s="87">
        <f>IFERROR(__xludf.DUMMYFUNCTION("""COMPUTED_VALUE"""),532.8)</f>
        <v>532.8</v>
      </c>
      <c r="O273" s="74">
        <f>IFERROR(__xludf.DUMMYFUNCTION("""COMPUTED_VALUE"""),10.0)</f>
        <v>10</v>
      </c>
      <c r="P273" s="74" t="str">
        <f>IFERROR(__xludf.DUMMYFUNCTION("""COMPUTED_VALUE"""),"In stock")</f>
        <v>In stock</v>
      </c>
      <c r="Q273" s="74"/>
      <c r="R273" s="74"/>
      <c r="S273" s="87">
        <f>IFERROR(__xludf.DUMMYFUNCTION("""COMPUTED_VALUE"""),3.0)</f>
        <v>3</v>
      </c>
      <c r="T273" s="87">
        <f>IFERROR(__xludf.DUMMYFUNCTION("""COMPUTED_VALUE"""),30.0)</f>
        <v>30</v>
      </c>
      <c r="U273" s="87">
        <f>IFERROR(__xludf.DUMMYFUNCTION("""COMPUTED_VALUE"""),28.799999999999997)</f>
        <v>28.8</v>
      </c>
      <c r="V273" s="87">
        <f>IFERROR(__xludf.DUMMYFUNCTION("""COMPUTED_VALUE"""),3.675)</f>
        <v>3.675</v>
      </c>
      <c r="W273" s="87">
        <f>IFERROR(__xludf.DUMMYFUNCTION("""COMPUTED_VALUE"""),68.90625)</f>
        <v>68.90625</v>
      </c>
      <c r="X273" s="88">
        <f>IFERROR(__xludf.DUMMYFUNCTION("""COMPUTED_VALUE"""),9.6)</f>
        <v>9.6</v>
      </c>
      <c r="Y273" s="74"/>
      <c r="Z273" s="74"/>
    </row>
    <row r="274">
      <c r="B274" s="74" t="str">
        <f>IFERROR(__xludf.DUMMYFUNCTION("""COMPUTED_VALUE"""),"1271")</f>
        <v>1271</v>
      </c>
      <c r="C274" s="74"/>
      <c r="D274" s="74" t="str">
        <f>IFERROR(__xludf.DUMMYFUNCTION("""COMPUTED_VALUE"""),"\\MCA-S\mk\2_BM\0_BMat\08_PYM\Inventario\excel\Imagen de refacciones\Putzmeister\Cilindros de bombeo DN150 X 1099MM")</f>
        <v>\\MCA-S\mk\2_BM\0_BMat\08_PYM\Inventario\excel\Imagen de refacciones\Putzmeister\Cilindros de bombeo DN150 X 1099MM</v>
      </c>
      <c r="E274" s="74"/>
      <c r="F274" s="74" t="str">
        <f>IFERROR(__xludf.DUMMYFUNCTION("""COMPUTED_VALUE"""),"Cilindros de bombeo DN150 X 1099MM")</f>
        <v>Cilindros de bombeo DN150 X 1099MM</v>
      </c>
      <c r="G274" s="74"/>
      <c r="H274" s="74"/>
      <c r="I274" s="74" t="str">
        <f>IFERROR(__xludf.DUMMYFUNCTION("""COMPUTED_VALUE"""),"81123003")</f>
        <v>81123003</v>
      </c>
      <c r="J274" s="74"/>
      <c r="K274" s="74" t="str">
        <f>IFERROR(__xludf.DUMMYFUNCTION("""COMPUTED_VALUE"""),"Putzmeister")</f>
        <v>Putzmeister</v>
      </c>
      <c r="L274" s="74" t="str">
        <f>IFERROR(__xludf.DUMMYFUNCTION("""COMPUTED_VALUE"""),"Componentes hidráulicos")</f>
        <v>Componentes hidráulicos</v>
      </c>
      <c r="M274" s="74" t="str">
        <f>IFERROR(__xludf.DUMMYFUNCTION("""COMPUTED_VALUE"""),"Sin Asignar")</f>
        <v>Sin Asignar</v>
      </c>
      <c r="N274" s="87">
        <f>IFERROR(__xludf.DUMMYFUNCTION("""COMPUTED_VALUE"""),0.0)</f>
        <v>0</v>
      </c>
      <c r="O274" s="74"/>
      <c r="P274" s="74" t="str">
        <f>IFERROR(__xludf.DUMMYFUNCTION("""COMPUTED_VALUE"""),"No Available")</f>
        <v>No Available</v>
      </c>
      <c r="Q274" s="74"/>
      <c r="R274" s="74"/>
      <c r="S274" s="87">
        <f>IFERROR(__xludf.DUMMYFUNCTION("""COMPUTED_VALUE"""),0.0)</f>
        <v>0</v>
      </c>
      <c r="T274" s="87">
        <f>IFERROR(__xludf.DUMMYFUNCTION("""COMPUTED_VALUE"""),0.0)</f>
        <v>0</v>
      </c>
      <c r="U274" s="87">
        <f>IFERROR(__xludf.DUMMYFUNCTION("""COMPUTED_VALUE"""),0.0)</f>
        <v>0</v>
      </c>
      <c r="V274" s="87">
        <f>IFERROR(__xludf.DUMMYFUNCTION("""COMPUTED_VALUE"""),0.0)</f>
        <v>0</v>
      </c>
      <c r="W274" s="87">
        <f>IFERROR(__xludf.DUMMYFUNCTION("""COMPUTED_VALUE"""),0.0)</f>
        <v>0</v>
      </c>
      <c r="X274" s="88"/>
      <c r="Y274" s="74"/>
      <c r="Z274" s="74"/>
    </row>
    <row r="275">
      <c r="B275" s="74" t="str">
        <f>IFERROR(__xludf.DUMMYFUNCTION("""COMPUTED_VALUE"""),"1272")</f>
        <v>1272</v>
      </c>
      <c r="C275" s="74"/>
      <c r="D275" s="74" t="str">
        <f>IFERROR(__xludf.DUMMYFUNCTION("""COMPUTED_VALUE"""),"\\MCA-S\mk\2_BM\0_BMat\08_PYM\Inventario\excel\Imagen de refacciones\Putzmeister\Cilindros de bombeo DN180 X 1099MM")</f>
        <v>\\MCA-S\mk\2_BM\0_BMat\08_PYM\Inventario\excel\Imagen de refacciones\Putzmeister\Cilindros de bombeo DN180 X 1099MM</v>
      </c>
      <c r="E275" s="74"/>
      <c r="F275" s="74" t="str">
        <f>IFERROR(__xludf.DUMMYFUNCTION("""COMPUTED_VALUE"""),"Cilindros de bombeo DN180 X 1099MM")</f>
        <v>Cilindros de bombeo DN180 X 1099MM</v>
      </c>
      <c r="G275" s="74"/>
      <c r="H275" s="74"/>
      <c r="I275" s="74" t="str">
        <f>IFERROR(__xludf.DUMMYFUNCTION("""COMPUTED_VALUE"""),"88358004")</f>
        <v>88358004</v>
      </c>
      <c r="J275" s="74"/>
      <c r="K275" s="74" t="str">
        <f>IFERROR(__xludf.DUMMYFUNCTION("""COMPUTED_VALUE"""),"Putzmeister")</f>
        <v>Putzmeister</v>
      </c>
      <c r="L275" s="74" t="str">
        <f>IFERROR(__xludf.DUMMYFUNCTION("""COMPUTED_VALUE"""),"Componentes hidráulicos")</f>
        <v>Componentes hidráulicos</v>
      </c>
      <c r="M275" s="74" t="str">
        <f>IFERROR(__xludf.DUMMYFUNCTION("""COMPUTED_VALUE"""),"Sin Asignar")</f>
        <v>Sin Asignar</v>
      </c>
      <c r="N275" s="87">
        <f>IFERROR(__xludf.DUMMYFUNCTION("""COMPUTED_VALUE"""),0.0)</f>
        <v>0</v>
      </c>
      <c r="O275" s="74"/>
      <c r="P275" s="74" t="str">
        <f>IFERROR(__xludf.DUMMYFUNCTION("""COMPUTED_VALUE"""),"No Available")</f>
        <v>No Available</v>
      </c>
      <c r="Q275" s="74"/>
      <c r="R275" s="74"/>
      <c r="S275" s="87">
        <f>IFERROR(__xludf.DUMMYFUNCTION("""COMPUTED_VALUE"""),0.0)</f>
        <v>0</v>
      </c>
      <c r="T275" s="87">
        <f>IFERROR(__xludf.DUMMYFUNCTION("""COMPUTED_VALUE"""),0.0)</f>
        <v>0</v>
      </c>
      <c r="U275" s="87">
        <f>IFERROR(__xludf.DUMMYFUNCTION("""COMPUTED_VALUE"""),0.0)</f>
        <v>0</v>
      </c>
      <c r="V275" s="87">
        <f>IFERROR(__xludf.DUMMYFUNCTION("""COMPUTED_VALUE"""),0.0)</f>
        <v>0</v>
      </c>
      <c r="W275" s="87">
        <f>IFERROR(__xludf.DUMMYFUNCTION("""COMPUTED_VALUE"""),0.0)</f>
        <v>0</v>
      </c>
      <c r="X275" s="88"/>
      <c r="Y275" s="74"/>
      <c r="Z275" s="74"/>
    </row>
    <row r="276">
      <c r="B276" s="74" t="str">
        <f>IFERROR(__xludf.DUMMYFUNCTION("""COMPUTED_VALUE"""),"1273")</f>
        <v>1273</v>
      </c>
      <c r="C276" s="74"/>
      <c r="D276" s="74" t="str">
        <f>IFERROR(__xludf.DUMMYFUNCTION("""COMPUTED_VALUE"""),"\\MCA-S\mk\2_BM\0_BMat\08_PYM\Inventario\excel\Imagen de refacciones\Putzmeister\Cilindros de bombeo DN250 X 2310MM")</f>
        <v>\\MCA-S\mk\2_BM\0_BMat\08_PYM\Inventario\excel\Imagen de refacciones\Putzmeister\Cilindros de bombeo DN250 X 2310MM</v>
      </c>
      <c r="E276" s="74"/>
      <c r="F276" s="74" t="str">
        <f>IFERROR(__xludf.DUMMYFUNCTION("""COMPUTED_VALUE"""),"Cilindros de bombeo DN250 X 2310MM")</f>
        <v>Cilindros de bombeo DN250 X 2310MM</v>
      </c>
      <c r="G276" s="74"/>
      <c r="H276" s="74"/>
      <c r="I276" s="74" t="str">
        <f>IFERROR(__xludf.DUMMYFUNCTION("""COMPUTED_VALUE"""),"BCR00250X2310")</f>
        <v>BCR00250X2310</v>
      </c>
      <c r="J276" s="74"/>
      <c r="K276" s="74" t="str">
        <f>IFERROR(__xludf.DUMMYFUNCTION("""COMPUTED_VALUE"""),"Putzmeister")</f>
        <v>Putzmeister</v>
      </c>
      <c r="L276" s="74" t="str">
        <f>IFERROR(__xludf.DUMMYFUNCTION("""COMPUTED_VALUE"""),"Componentes hidráulicos")</f>
        <v>Componentes hidráulicos</v>
      </c>
      <c r="M276" s="74" t="str">
        <f>IFERROR(__xludf.DUMMYFUNCTION("""COMPUTED_VALUE"""),"Sin Asignar")</f>
        <v>Sin Asignar</v>
      </c>
      <c r="N276" s="87">
        <f>IFERROR(__xludf.DUMMYFUNCTION("""COMPUTED_VALUE"""),0.0)</f>
        <v>0</v>
      </c>
      <c r="O276" s="74"/>
      <c r="P276" s="74" t="str">
        <f>IFERROR(__xludf.DUMMYFUNCTION("""COMPUTED_VALUE"""),"No Available")</f>
        <v>No Available</v>
      </c>
      <c r="Q276" s="74"/>
      <c r="R276" s="74"/>
      <c r="S276" s="87">
        <f>IFERROR(__xludf.DUMMYFUNCTION("""COMPUTED_VALUE"""),0.0)</f>
        <v>0</v>
      </c>
      <c r="T276" s="87">
        <f>IFERROR(__xludf.DUMMYFUNCTION("""COMPUTED_VALUE"""),0.0)</f>
        <v>0</v>
      </c>
      <c r="U276" s="87">
        <f>IFERROR(__xludf.DUMMYFUNCTION("""COMPUTED_VALUE"""),0.0)</f>
        <v>0</v>
      </c>
      <c r="V276" s="87">
        <f>IFERROR(__xludf.DUMMYFUNCTION("""COMPUTED_VALUE"""),0.0)</f>
        <v>0</v>
      </c>
      <c r="W276" s="87">
        <f>IFERROR(__xludf.DUMMYFUNCTION("""COMPUTED_VALUE"""),0.0)</f>
        <v>0</v>
      </c>
      <c r="X276" s="88"/>
      <c r="Y276" s="74"/>
      <c r="Z276" s="74"/>
    </row>
    <row r="277">
      <c r="B277" s="74" t="str">
        <f>IFERROR(__xludf.DUMMYFUNCTION("""COMPUTED_VALUE"""),"1274")</f>
        <v>1274</v>
      </c>
      <c r="C277" s="74"/>
      <c r="D277" s="74" t="str">
        <f>IFERROR(__xludf.DUMMYFUNCTION("""COMPUTED_VALUE"""),"\\MCA-S\mk\2_BM\0_BMat\08_PYM\Inventario\excel\Imagen de refacciones\Putzmeister\Cilindros de bombeo DN230 X 2100MM")</f>
        <v>\\MCA-S\mk\2_BM\0_BMat\08_PYM\Inventario\excel\Imagen de refacciones\Putzmeister\Cilindros de bombeo DN230 X 2100MM</v>
      </c>
      <c r="E277" s="74"/>
      <c r="F277" s="74" t="str">
        <f>IFERROR(__xludf.DUMMYFUNCTION("""COMPUTED_VALUE"""),"Cilindros de bombeo DN230 X 2100MM")</f>
        <v>Cilindros de bombeo DN230 X 2100MM</v>
      </c>
      <c r="G277" s="74"/>
      <c r="H277" s="74"/>
      <c r="I277" s="74" t="str">
        <f>IFERROR(__xludf.DUMMYFUNCTION("""COMPUTED_VALUE"""),"239867001")</f>
        <v>239867001</v>
      </c>
      <c r="J277" s="74"/>
      <c r="K277" s="74" t="str">
        <f>IFERROR(__xludf.DUMMYFUNCTION("""COMPUTED_VALUE"""),"Putzmeister")</f>
        <v>Putzmeister</v>
      </c>
      <c r="L277" s="74" t="str">
        <f>IFERROR(__xludf.DUMMYFUNCTION("""COMPUTED_VALUE"""),"Componentes hidráulicos")</f>
        <v>Componentes hidráulicos</v>
      </c>
      <c r="M277" s="74" t="str">
        <f>IFERROR(__xludf.DUMMYFUNCTION("""COMPUTED_VALUE"""),"Sin Asignar")</f>
        <v>Sin Asignar</v>
      </c>
      <c r="N277" s="87">
        <f>IFERROR(__xludf.DUMMYFUNCTION("""COMPUTED_VALUE"""),0.0)</f>
        <v>0</v>
      </c>
      <c r="O277" s="74"/>
      <c r="P277" s="74" t="str">
        <f>IFERROR(__xludf.DUMMYFUNCTION("""COMPUTED_VALUE"""),"No Available")</f>
        <v>No Available</v>
      </c>
      <c r="Q277" s="74"/>
      <c r="R277" s="74"/>
      <c r="S277" s="87">
        <f>IFERROR(__xludf.DUMMYFUNCTION("""COMPUTED_VALUE"""),0.0)</f>
        <v>0</v>
      </c>
      <c r="T277" s="87">
        <f>IFERROR(__xludf.DUMMYFUNCTION("""COMPUTED_VALUE"""),0.0)</f>
        <v>0</v>
      </c>
      <c r="U277" s="87">
        <f>IFERROR(__xludf.DUMMYFUNCTION("""COMPUTED_VALUE"""),0.0)</f>
        <v>0</v>
      </c>
      <c r="V277" s="87">
        <f>IFERROR(__xludf.DUMMYFUNCTION("""COMPUTED_VALUE"""),0.0)</f>
        <v>0</v>
      </c>
      <c r="W277" s="87">
        <f>IFERROR(__xludf.DUMMYFUNCTION("""COMPUTED_VALUE"""),0.0)</f>
        <v>0</v>
      </c>
      <c r="X277" s="88"/>
      <c r="Y277" s="74"/>
      <c r="Z277" s="74"/>
    </row>
    <row r="278">
      <c r="B278" s="74" t="str">
        <f>IFERROR(__xludf.DUMMYFUNCTION("""COMPUTED_VALUE"""),"1275")</f>
        <v>1275</v>
      </c>
      <c r="C278" s="74"/>
      <c r="D278" s="74" t="str">
        <f>IFERROR(__xludf.DUMMYFUNCTION("""COMPUTED_VALUE"""),"\\MCA-S\mk\2_BM\0_BMat\08_PYM\Inventario\excel\Imagen de refacciones\Putzmeister\Cilindros de bombeo DN230 X 2320MM")</f>
        <v>\\MCA-S\mk\2_BM\0_BMat\08_PYM\Inventario\excel\Imagen de refacciones\Putzmeister\Cilindros de bombeo DN230 X 2320MM</v>
      </c>
      <c r="E278" s="74"/>
      <c r="F278" s="74" t="str">
        <f>IFERROR(__xludf.DUMMYFUNCTION("""COMPUTED_VALUE"""),"Cilindros de bombeo DN230 X 2320MM")</f>
        <v>Cilindros de bombeo DN230 X 2320MM</v>
      </c>
      <c r="G278" s="74"/>
      <c r="H278" s="74"/>
      <c r="I278" s="74" t="str">
        <f>IFERROR(__xludf.DUMMYFUNCTION("""COMPUTED_VALUE"""),"239862320")</f>
        <v>239862320</v>
      </c>
      <c r="J278" s="74"/>
      <c r="K278" s="74" t="str">
        <f>IFERROR(__xludf.DUMMYFUNCTION("""COMPUTED_VALUE"""),"Putzmeister")</f>
        <v>Putzmeister</v>
      </c>
      <c r="L278" s="74" t="str">
        <f>IFERROR(__xludf.DUMMYFUNCTION("""COMPUTED_VALUE"""),"Componentes hidráulicos")</f>
        <v>Componentes hidráulicos</v>
      </c>
      <c r="M278" s="74" t="str">
        <f>IFERROR(__xludf.DUMMYFUNCTION("""COMPUTED_VALUE"""),"Sin Asignar")</f>
        <v>Sin Asignar</v>
      </c>
      <c r="N278" s="87">
        <f>IFERROR(__xludf.DUMMYFUNCTION("""COMPUTED_VALUE"""),0.0)</f>
        <v>0</v>
      </c>
      <c r="O278" s="74"/>
      <c r="P278" s="74" t="str">
        <f>IFERROR(__xludf.DUMMYFUNCTION("""COMPUTED_VALUE"""),"No Available")</f>
        <v>No Available</v>
      </c>
      <c r="Q278" s="74"/>
      <c r="R278" s="74"/>
      <c r="S278" s="87">
        <f>IFERROR(__xludf.DUMMYFUNCTION("""COMPUTED_VALUE"""),0.0)</f>
        <v>0</v>
      </c>
      <c r="T278" s="87">
        <f>IFERROR(__xludf.DUMMYFUNCTION("""COMPUTED_VALUE"""),0.0)</f>
        <v>0</v>
      </c>
      <c r="U278" s="87">
        <f>IFERROR(__xludf.DUMMYFUNCTION("""COMPUTED_VALUE"""),0.0)</f>
        <v>0</v>
      </c>
      <c r="V278" s="87">
        <f>IFERROR(__xludf.DUMMYFUNCTION("""COMPUTED_VALUE"""),0.0)</f>
        <v>0</v>
      </c>
      <c r="W278" s="87">
        <f>IFERROR(__xludf.DUMMYFUNCTION("""COMPUTED_VALUE"""),0.0)</f>
        <v>0</v>
      </c>
      <c r="X278" s="88"/>
      <c r="Y278" s="74"/>
      <c r="Z278" s="74"/>
    </row>
    <row r="279">
      <c r="B279" s="74" t="str">
        <f>IFERROR(__xludf.DUMMYFUNCTION("""COMPUTED_VALUE"""),"1276")</f>
        <v>1276</v>
      </c>
      <c r="C279" s="74" t="str">
        <f>IFERROR(__xludf.DUMMYFUNCTION("""COMPUTED_VALUE"""),"75045891276")</f>
        <v>75045891276</v>
      </c>
      <c r="D279" s="74" t="str">
        <f>IFERROR(__xludf.DUMMYFUNCTION("""COMPUTED_VALUE"""),"\\MCA-S\mk\2_BM\0_BMat\08_PYM\Inventario\excel\Imagen de refacciones\Putzmeister\Filtro hidraulico")</f>
        <v>\\MCA-S\mk\2_BM\0_BMat\08_PYM\Inventario\excel\Imagen de refacciones\Putzmeister\Filtro hidraulico</v>
      </c>
      <c r="E279" s="74" t="str">
        <f>IFERROR(__xludf.DUMMYFUNCTION("""COMPUTED_VALUE"""),"FILTER ELEMENT")</f>
        <v>FILTER ELEMENT</v>
      </c>
      <c r="F279" s="74" t="str">
        <f>IFERROR(__xludf.DUMMYFUNCTION("""COMPUTED_VALUE"""),"FILTRO HIDRAULICO")</f>
        <v>FILTRO HIDRAULICO</v>
      </c>
      <c r="G279" s="74"/>
      <c r="H279" s="74"/>
      <c r="I279" s="74" t="str">
        <f>IFERROR(__xludf.DUMMYFUNCTION("""COMPUTED_VALUE"""),"416341")</f>
        <v>416341</v>
      </c>
      <c r="J279" s="74"/>
      <c r="K279" s="74" t="str">
        <f>IFERROR(__xludf.DUMMYFUNCTION("""COMPUTED_VALUE"""),"Putzmeister")</f>
        <v>Putzmeister</v>
      </c>
      <c r="L279" s="74" t="str">
        <f>IFERROR(__xludf.DUMMYFUNCTION("""COMPUTED_VALUE"""),"Componentes hidráulicos")</f>
        <v>Componentes hidráulicos</v>
      </c>
      <c r="M279" s="74" t="str">
        <f>IFERROR(__xludf.DUMMYFUNCTION("""COMPUTED_VALUE"""),"Sin Asignar")</f>
        <v>Sin Asignar</v>
      </c>
      <c r="N279" s="87">
        <f>IFERROR(__xludf.DUMMYFUNCTION("""COMPUTED_VALUE"""),0.0)</f>
        <v>0</v>
      </c>
      <c r="O279" s="74"/>
      <c r="P279" s="74" t="str">
        <f>IFERROR(__xludf.DUMMYFUNCTION("""COMPUTED_VALUE"""),"To Re-purchase")</f>
        <v>To Re-purchase</v>
      </c>
      <c r="Q279" s="74"/>
      <c r="R279" s="74"/>
      <c r="S279" s="87">
        <f>IFERROR(__xludf.DUMMYFUNCTION("""COMPUTED_VALUE"""),0.0)</f>
        <v>0</v>
      </c>
      <c r="T279" s="87">
        <f>IFERROR(__xludf.DUMMYFUNCTION("""COMPUTED_VALUE"""),0.0)</f>
        <v>0</v>
      </c>
      <c r="U279" s="87">
        <f>IFERROR(__xludf.DUMMYFUNCTION("""COMPUTED_VALUE"""),0.0)</f>
        <v>0</v>
      </c>
      <c r="V279" s="87">
        <f>IFERROR(__xludf.DUMMYFUNCTION("""COMPUTED_VALUE"""),0.0)</f>
        <v>0</v>
      </c>
      <c r="W279" s="87">
        <f>IFERROR(__xludf.DUMMYFUNCTION("""COMPUTED_VALUE"""),0.0)</f>
        <v>0</v>
      </c>
      <c r="X279" s="88"/>
      <c r="Y279" s="74"/>
      <c r="Z279" s="74"/>
    </row>
    <row r="280">
      <c r="B280" s="74" t="str">
        <f>IFERROR(__xludf.DUMMYFUNCTION("""COMPUTED_VALUE"""),"1277")</f>
        <v>1277</v>
      </c>
      <c r="C280" s="74" t="str">
        <f>IFERROR(__xludf.DUMMYFUNCTION("""COMPUTED_VALUE"""),"75045880431")</f>
        <v>75045880431</v>
      </c>
      <c r="D280" s="74" t="str">
        <f>IFERROR(__xludf.DUMMYFUNCTION("""COMPUTED_VALUE"""),"\\MCA-S\mk\2_BM\0_BMat\08_PYM\Inventario\excel\Imagen de refacciones\Putzmeister\Filtro hidráulico (1)")</f>
        <v>\\MCA-S\mk\2_BM\0_BMat\08_PYM\Inventario\excel\Imagen de refacciones\Putzmeister\Filtro hidráulico (1)</v>
      </c>
      <c r="E280" s="74"/>
      <c r="F280" s="74" t="str">
        <f>IFERROR(__xludf.DUMMYFUNCTION("""COMPUTED_VALUE"""),"Filtro hidráulico")</f>
        <v>Filtro hidráulico</v>
      </c>
      <c r="G280" s="74"/>
      <c r="H280" s="74"/>
      <c r="I280" s="74" t="str">
        <f>IFERROR(__xludf.DUMMYFUNCTION("""COMPUTED_VALUE"""),"23827007")</f>
        <v>23827007</v>
      </c>
      <c r="J280" s="74"/>
      <c r="K280" s="74" t="str">
        <f>IFERROR(__xludf.DUMMYFUNCTION("""COMPUTED_VALUE"""),"Putzmeister")</f>
        <v>Putzmeister</v>
      </c>
      <c r="L280" s="74" t="str">
        <f>IFERROR(__xludf.DUMMYFUNCTION("""COMPUTED_VALUE"""),"Componentes hidráulicos")</f>
        <v>Componentes hidráulicos</v>
      </c>
      <c r="M280" s="74" t="str">
        <f>IFERROR(__xludf.DUMMYFUNCTION("""COMPUTED_VALUE"""),"Sin Asignar")</f>
        <v>Sin Asignar</v>
      </c>
      <c r="N280" s="87">
        <f>IFERROR(__xludf.DUMMYFUNCTION("""COMPUTED_VALUE"""),0.0)</f>
        <v>0</v>
      </c>
      <c r="O280" s="74"/>
      <c r="P280" s="74" t="str">
        <f>IFERROR(__xludf.DUMMYFUNCTION("""COMPUTED_VALUE"""),"No Available")</f>
        <v>No Available</v>
      </c>
      <c r="Q280" s="74"/>
      <c r="R280" s="74"/>
      <c r="S280" s="87">
        <f>IFERROR(__xludf.DUMMYFUNCTION("""COMPUTED_VALUE"""),0.0)</f>
        <v>0</v>
      </c>
      <c r="T280" s="87">
        <f>IFERROR(__xludf.DUMMYFUNCTION("""COMPUTED_VALUE"""),0.0)</f>
        <v>0</v>
      </c>
      <c r="U280" s="87">
        <f>IFERROR(__xludf.DUMMYFUNCTION("""COMPUTED_VALUE"""),0.0)</f>
        <v>0</v>
      </c>
      <c r="V280" s="87">
        <f>IFERROR(__xludf.DUMMYFUNCTION("""COMPUTED_VALUE"""),0.0)</f>
        <v>0</v>
      </c>
      <c r="W280" s="87">
        <f>IFERROR(__xludf.DUMMYFUNCTION("""COMPUTED_VALUE"""),0.0)</f>
        <v>0</v>
      </c>
      <c r="X280" s="88"/>
      <c r="Y280" s="74"/>
      <c r="Z280" s="74"/>
    </row>
    <row r="281">
      <c r="B281" s="74" t="str">
        <f>IFERROR(__xludf.DUMMYFUNCTION("""COMPUTED_VALUE"""),"1278")</f>
        <v>1278</v>
      </c>
      <c r="C281" s="74" t="str">
        <f>IFERROR(__xludf.DUMMYFUNCTION("""COMPUTED_VALUE"""),"75045891278")</f>
        <v>75045891278</v>
      </c>
      <c r="D281" s="74" t="str">
        <f>IFERROR(__xludf.DUMMYFUNCTION("""COMPUTED_VALUE"""),"\\MCA-S\mk\2_BM\0_BMat\08_PYM\Inventario\excel\Imagen de refacciones\Putzmeister\Filtro hidráulico (2)")</f>
        <v>\\MCA-S\mk\2_BM\0_BMat\08_PYM\Inventario\excel\Imagen de refacciones\Putzmeister\Filtro hidráulico (2)</v>
      </c>
      <c r="E281" s="74" t="str">
        <f>IFERROR(__xludf.DUMMYFUNCTION("""COMPUTED_VALUE"""),"FILTER ELEMENT")</f>
        <v>FILTER ELEMENT</v>
      </c>
      <c r="F281" s="74" t="str">
        <f>IFERROR(__xludf.DUMMYFUNCTION("""COMPUTED_VALUE"""),"FILTRO HIDRAULICO")</f>
        <v>FILTRO HIDRAULICO</v>
      </c>
      <c r="G281" s="74"/>
      <c r="H281" s="74"/>
      <c r="I281" s="74" t="str">
        <f>IFERROR(__xludf.DUMMYFUNCTION("""COMPUTED_VALUE"""),"248911003")</f>
        <v>248911003</v>
      </c>
      <c r="J281" s="74"/>
      <c r="K281" s="74" t="str">
        <f>IFERROR(__xludf.DUMMYFUNCTION("""COMPUTED_VALUE"""),"Putzmeister")</f>
        <v>Putzmeister</v>
      </c>
      <c r="L281" s="74" t="str">
        <f>IFERROR(__xludf.DUMMYFUNCTION("""COMPUTED_VALUE"""),"Componentes hidráulicos")</f>
        <v>Componentes hidráulicos</v>
      </c>
      <c r="M281" s="74" t="str">
        <f>IFERROR(__xludf.DUMMYFUNCTION("""COMPUTED_VALUE"""),"Sin Asignar")</f>
        <v>Sin Asignar</v>
      </c>
      <c r="N281" s="87">
        <f>IFERROR(__xludf.DUMMYFUNCTION("""COMPUTED_VALUE"""),0.0)</f>
        <v>0</v>
      </c>
      <c r="O281" s="74"/>
      <c r="P281" s="74" t="str">
        <f>IFERROR(__xludf.DUMMYFUNCTION("""COMPUTED_VALUE"""),"To Re-purchase")</f>
        <v>To Re-purchase</v>
      </c>
      <c r="Q281" s="74"/>
      <c r="R281" s="74"/>
      <c r="S281" s="87">
        <f>IFERROR(__xludf.DUMMYFUNCTION("""COMPUTED_VALUE"""),0.0)</f>
        <v>0</v>
      </c>
      <c r="T281" s="87">
        <f>IFERROR(__xludf.DUMMYFUNCTION("""COMPUTED_VALUE"""),0.0)</f>
        <v>0</v>
      </c>
      <c r="U281" s="87">
        <f>IFERROR(__xludf.DUMMYFUNCTION("""COMPUTED_VALUE"""),0.0)</f>
        <v>0</v>
      </c>
      <c r="V281" s="87">
        <f>IFERROR(__xludf.DUMMYFUNCTION("""COMPUTED_VALUE"""),0.0)</f>
        <v>0</v>
      </c>
      <c r="W281" s="87">
        <f>IFERROR(__xludf.DUMMYFUNCTION("""COMPUTED_VALUE"""),0.0)</f>
        <v>0</v>
      </c>
      <c r="X281" s="88"/>
      <c r="Y281" s="74"/>
      <c r="Z281" s="74"/>
    </row>
    <row r="282">
      <c r="B282" s="74" t="str">
        <f>IFERROR(__xludf.DUMMYFUNCTION("""COMPUTED_VALUE"""),"1279")</f>
        <v>1279</v>
      </c>
      <c r="C282" s="74" t="str">
        <f>IFERROR(__xludf.DUMMYFUNCTION("""COMPUTED_VALUE"""),"75045891279")</f>
        <v>75045891279</v>
      </c>
      <c r="D282" s="74" t="str">
        <f>IFERROR(__xludf.DUMMYFUNCTION("""COMPUTED_VALUE"""),"\\MCA-S\mk\2_BM\0_BMat\08_PYM\Inventario\excel\Imagen de refacciones\Putzmeister\Filtro hidráulico (3)")</f>
        <v>\\MCA-S\mk\2_BM\0_BMat\08_PYM\Inventario\excel\Imagen de refacciones\Putzmeister\Filtro hidráulico (3)</v>
      </c>
      <c r="E282" s="74" t="str">
        <f>IFERROR(__xludf.DUMMYFUNCTION("""COMPUTED_VALUE"""),"FILTER ELEMENT")</f>
        <v>FILTER ELEMENT</v>
      </c>
      <c r="F282" s="74" t="str">
        <f>IFERROR(__xludf.DUMMYFUNCTION("""COMPUTED_VALUE"""),"FILTRO HIDRAULICO")</f>
        <v>FILTRO HIDRAULICO</v>
      </c>
      <c r="G282" s="74"/>
      <c r="H282" s="74"/>
      <c r="I282" s="74" t="str">
        <f>IFERROR(__xludf.DUMMYFUNCTION("""COMPUTED_VALUE"""),"222895006")</f>
        <v>222895006</v>
      </c>
      <c r="J282" s="74"/>
      <c r="K282" s="74" t="str">
        <f>IFERROR(__xludf.DUMMYFUNCTION("""COMPUTED_VALUE"""),"Putzmeister")</f>
        <v>Putzmeister</v>
      </c>
      <c r="L282" s="74" t="str">
        <f>IFERROR(__xludf.DUMMYFUNCTION("""COMPUTED_VALUE"""),"Componentes hidráulicos")</f>
        <v>Componentes hidráulicos</v>
      </c>
      <c r="M282" s="74" t="str">
        <f>IFERROR(__xludf.DUMMYFUNCTION("""COMPUTED_VALUE"""),"Sin Asignar")</f>
        <v>Sin Asignar</v>
      </c>
      <c r="N282" s="87">
        <f>IFERROR(__xludf.DUMMYFUNCTION("""COMPUTED_VALUE"""),0.0)</f>
        <v>0</v>
      </c>
      <c r="O282" s="74"/>
      <c r="P282" s="74" t="str">
        <f>IFERROR(__xludf.DUMMYFUNCTION("""COMPUTED_VALUE"""),"To Re-purchase")</f>
        <v>To Re-purchase</v>
      </c>
      <c r="Q282" s="74"/>
      <c r="R282" s="74"/>
      <c r="S282" s="87">
        <f>IFERROR(__xludf.DUMMYFUNCTION("""COMPUTED_VALUE"""),0.0)</f>
        <v>0</v>
      </c>
      <c r="T282" s="87">
        <f>IFERROR(__xludf.DUMMYFUNCTION("""COMPUTED_VALUE"""),0.0)</f>
        <v>0</v>
      </c>
      <c r="U282" s="87">
        <f>IFERROR(__xludf.DUMMYFUNCTION("""COMPUTED_VALUE"""),0.0)</f>
        <v>0</v>
      </c>
      <c r="V282" s="87">
        <f>IFERROR(__xludf.DUMMYFUNCTION("""COMPUTED_VALUE"""),0.0)</f>
        <v>0</v>
      </c>
      <c r="W282" s="87">
        <f>IFERROR(__xludf.DUMMYFUNCTION("""COMPUTED_VALUE"""),0.0)</f>
        <v>0</v>
      </c>
      <c r="X282" s="88"/>
      <c r="Y282" s="74"/>
      <c r="Z282" s="74"/>
    </row>
    <row r="283">
      <c r="B283" s="74" t="str">
        <f>IFERROR(__xludf.DUMMYFUNCTION("""COMPUTED_VALUE"""),"1280")</f>
        <v>1280</v>
      </c>
      <c r="C283" s="74" t="str">
        <f>IFERROR(__xludf.DUMMYFUNCTION("""COMPUTED_VALUE"""),"75045891280")</f>
        <v>75045891280</v>
      </c>
      <c r="D283" s="74" t="str">
        <f>IFERROR(__xludf.DUMMYFUNCTION("""COMPUTED_VALUE"""),"\\MCA-S\mk\2_BM\0_BMat\08_PYM\Inventario\excel\Imagen de refacciones\Putzmeister\Bomba hidráulica A2F12")</f>
        <v>\\MCA-S\mk\2_BM\0_BMat\08_PYM\Inventario\excel\Imagen de refacciones\Putzmeister\Bomba hidráulica A2F12</v>
      </c>
      <c r="E283" s="74"/>
      <c r="F283" s="74" t="str">
        <f>IFERROR(__xludf.DUMMYFUNCTION("""COMPUTED_VALUE"""),"BOMBA HIDRAULICA DE PISTON FIJO A2F12")</f>
        <v>BOMBA HIDRAULICA DE PISTON FIJO A2F12</v>
      </c>
      <c r="G283" s="74"/>
      <c r="H283" s="74"/>
      <c r="I283" s="74" t="str">
        <f>IFERROR(__xludf.DUMMYFUNCTION("""COMPUTED_VALUE"""),"63927007")</f>
        <v>63927007</v>
      </c>
      <c r="J283" s="74"/>
      <c r="K283" s="74" t="str">
        <f>IFERROR(__xludf.DUMMYFUNCTION("""COMPUTED_VALUE"""),"Putzmeister")</f>
        <v>Putzmeister</v>
      </c>
      <c r="L283" s="74" t="str">
        <f>IFERROR(__xludf.DUMMYFUNCTION("""COMPUTED_VALUE"""),"Componentes hidráulicos")</f>
        <v>Componentes hidráulicos</v>
      </c>
      <c r="M283" s="74" t="str">
        <f>IFERROR(__xludf.DUMMYFUNCTION("""COMPUTED_VALUE"""),"Sin Asignar")</f>
        <v>Sin Asignar</v>
      </c>
      <c r="N283" s="87">
        <f>IFERROR(__xludf.DUMMYFUNCTION("""COMPUTED_VALUE"""),0.0)</f>
        <v>0</v>
      </c>
      <c r="O283" s="74"/>
      <c r="P283" s="74" t="str">
        <f>IFERROR(__xludf.DUMMYFUNCTION("""COMPUTED_VALUE"""),"To Re-purchase")</f>
        <v>To Re-purchase</v>
      </c>
      <c r="Q283" s="74"/>
      <c r="R283" s="74"/>
      <c r="S283" s="87">
        <f>IFERROR(__xludf.DUMMYFUNCTION("""COMPUTED_VALUE"""),0.0)</f>
        <v>0</v>
      </c>
      <c r="T283" s="87">
        <f>IFERROR(__xludf.DUMMYFUNCTION("""COMPUTED_VALUE"""),0.0)</f>
        <v>0</v>
      </c>
      <c r="U283" s="87">
        <f>IFERROR(__xludf.DUMMYFUNCTION("""COMPUTED_VALUE"""),0.0)</f>
        <v>0</v>
      </c>
      <c r="V283" s="87">
        <f>IFERROR(__xludf.DUMMYFUNCTION("""COMPUTED_VALUE"""),0.0)</f>
        <v>0</v>
      </c>
      <c r="W283" s="87">
        <f>IFERROR(__xludf.DUMMYFUNCTION("""COMPUTED_VALUE"""),0.0)</f>
        <v>0</v>
      </c>
      <c r="X283" s="88"/>
      <c r="Y283" s="74"/>
      <c r="Z283" s="74"/>
    </row>
    <row r="284">
      <c r="B284" s="74" t="str">
        <f>IFERROR(__xludf.DUMMYFUNCTION("""COMPUTED_VALUE"""),"1281")</f>
        <v>1281</v>
      </c>
      <c r="C284" s="74" t="str">
        <f>IFERROR(__xludf.DUMMYFUNCTION("""COMPUTED_VALUE"""),"75045891281")</f>
        <v>75045891281</v>
      </c>
      <c r="D284" s="74" t="str">
        <f>IFERROR(__xludf.DUMMYFUNCTION("""COMPUTED_VALUE"""),"\\MCA-S\mk\2_BM\0_BMat\08_PYM\Inventario\excel\Imagen de refacciones\Putzmeister\Bomba hidráulica a10vo28")</f>
        <v>\\MCA-S\mk\2_BM\0_BMat\08_PYM\Inventario\excel\Imagen de refacciones\Putzmeister\Bomba hidráulica a10vo28</v>
      </c>
      <c r="E284" s="74" t="str">
        <f>IFERROR(__xludf.DUMMYFUNCTION("""COMPUTED_VALUE"""),"HYDRAULIC PUMP A10VO28(13) DR")</f>
        <v>HYDRAULIC PUMP A10VO28(13) DR</v>
      </c>
      <c r="F284" s="74" t="str">
        <f>IFERROR(__xludf.DUMMYFUNCTION("""COMPUTED_VALUE"""),"BOMBA HIDRAULICA A10VO28")</f>
        <v>BOMBA HIDRAULICA A10VO28</v>
      </c>
      <c r="G284" s="74"/>
      <c r="H284" s="74"/>
      <c r="I284" s="74" t="str">
        <f>IFERROR(__xludf.DUMMYFUNCTION("""COMPUTED_VALUE"""),"67370003")</f>
        <v>67370003</v>
      </c>
      <c r="J284" s="74"/>
      <c r="K284" s="74" t="str">
        <f>IFERROR(__xludf.DUMMYFUNCTION("""COMPUTED_VALUE"""),"Putzmeister")</f>
        <v>Putzmeister</v>
      </c>
      <c r="L284" s="74" t="str">
        <f>IFERROR(__xludf.DUMMYFUNCTION("""COMPUTED_VALUE"""),"Componentes hidráulicos")</f>
        <v>Componentes hidráulicos</v>
      </c>
      <c r="M284" s="74" t="str">
        <f>IFERROR(__xludf.DUMMYFUNCTION("""COMPUTED_VALUE"""),"Sin Asignar")</f>
        <v>Sin Asignar</v>
      </c>
      <c r="N284" s="87">
        <f>IFERROR(__xludf.DUMMYFUNCTION("""COMPUTED_VALUE"""),0.0)</f>
        <v>0</v>
      </c>
      <c r="O284" s="74"/>
      <c r="P284" s="74" t="str">
        <f>IFERROR(__xludf.DUMMYFUNCTION("""COMPUTED_VALUE"""),"To Re-purchase")</f>
        <v>To Re-purchase</v>
      </c>
      <c r="Q284" s="74"/>
      <c r="R284" s="74"/>
      <c r="S284" s="87">
        <f>IFERROR(__xludf.DUMMYFUNCTION("""COMPUTED_VALUE"""),0.0)</f>
        <v>0</v>
      </c>
      <c r="T284" s="87">
        <f>IFERROR(__xludf.DUMMYFUNCTION("""COMPUTED_VALUE"""),0.0)</f>
        <v>0</v>
      </c>
      <c r="U284" s="87">
        <f>IFERROR(__xludf.DUMMYFUNCTION("""COMPUTED_VALUE"""),0.0)</f>
        <v>0</v>
      </c>
      <c r="V284" s="87">
        <f>IFERROR(__xludf.DUMMYFUNCTION("""COMPUTED_VALUE"""),0.0)</f>
        <v>0</v>
      </c>
      <c r="W284" s="87">
        <f>IFERROR(__xludf.DUMMYFUNCTION("""COMPUTED_VALUE"""),0.0)</f>
        <v>0</v>
      </c>
      <c r="X284" s="88"/>
      <c r="Y284" s="74"/>
      <c r="Z284" s="74"/>
    </row>
    <row r="285">
      <c r="B285" s="74" t="str">
        <f>IFERROR(__xludf.DUMMYFUNCTION("""COMPUTED_VALUE"""),"1282")</f>
        <v>1282</v>
      </c>
      <c r="C285" s="74" t="str">
        <f>IFERROR(__xludf.DUMMYFUNCTION("""COMPUTED_VALUE"""),"75045891282")</f>
        <v>75045891282</v>
      </c>
      <c r="D285" s="74" t="str">
        <f>IFERROR(__xludf.DUMMYFUNCTION("""COMPUTED_VALUE"""),"\\MCA-S\mk\2_BM\0_BMat\08_PYM\Inventario\excel\Imagen de refacciones\Putzmeister\Filtro para pluma 30_ LG")</f>
        <v>\\MCA-S\mk\2_BM\0_BMat\08_PYM\Inventario\excel\Imagen de refacciones\Putzmeister\Filtro para pluma 30_ LG</v>
      </c>
      <c r="E285" s="74" t="str">
        <f>IFERROR(__xludf.DUMMYFUNCTION("""COMPUTED_VALUE"""),"FILTER ELEMENT")</f>
        <v>FILTER ELEMENT</v>
      </c>
      <c r="F285" s="74" t="str">
        <f>IFERROR(__xludf.DUMMYFUNCTION("""COMPUTED_VALUE"""),"FILTRO PARA PLUMA 30"" LG")</f>
        <v>FILTRO PARA PLUMA 30" LG</v>
      </c>
      <c r="G285" s="74"/>
      <c r="H285" s="74"/>
      <c r="I285" s="74" t="str">
        <f>IFERROR(__xludf.DUMMYFUNCTION("""COMPUTED_VALUE"""),"61127003")</f>
        <v>61127003</v>
      </c>
      <c r="J285" s="74"/>
      <c r="K285" s="74" t="str">
        <f>IFERROR(__xludf.DUMMYFUNCTION("""COMPUTED_VALUE"""),"Putzmeister")</f>
        <v>Putzmeister</v>
      </c>
      <c r="L285" s="74" t="str">
        <f>IFERROR(__xludf.DUMMYFUNCTION("""COMPUTED_VALUE"""),"Componentes hidráulicos")</f>
        <v>Componentes hidráulicos</v>
      </c>
      <c r="M285" s="74" t="str">
        <f>IFERROR(__xludf.DUMMYFUNCTION("""COMPUTED_VALUE"""),"Sin Asignar")</f>
        <v>Sin Asignar</v>
      </c>
      <c r="N285" s="87">
        <f>IFERROR(__xludf.DUMMYFUNCTION("""COMPUTED_VALUE"""),0.0)</f>
        <v>0</v>
      </c>
      <c r="O285" s="74"/>
      <c r="P285" s="74" t="str">
        <f>IFERROR(__xludf.DUMMYFUNCTION("""COMPUTED_VALUE"""),"To Re-purchase")</f>
        <v>To Re-purchase</v>
      </c>
      <c r="Q285" s="74"/>
      <c r="R285" s="74"/>
      <c r="S285" s="87">
        <f>IFERROR(__xludf.DUMMYFUNCTION("""COMPUTED_VALUE"""),0.0)</f>
        <v>0</v>
      </c>
      <c r="T285" s="87">
        <f>IFERROR(__xludf.DUMMYFUNCTION("""COMPUTED_VALUE"""),0.0)</f>
        <v>0</v>
      </c>
      <c r="U285" s="87">
        <f>IFERROR(__xludf.DUMMYFUNCTION("""COMPUTED_VALUE"""),0.0)</f>
        <v>0</v>
      </c>
      <c r="V285" s="87">
        <f>IFERROR(__xludf.DUMMYFUNCTION("""COMPUTED_VALUE"""),0.0)</f>
        <v>0</v>
      </c>
      <c r="W285" s="87">
        <f>IFERROR(__xludf.DUMMYFUNCTION("""COMPUTED_VALUE"""),0.0)</f>
        <v>0</v>
      </c>
      <c r="X285" s="88"/>
      <c r="Y285" s="74"/>
      <c r="Z285" s="74"/>
    </row>
    <row r="286">
      <c r="B286" s="74" t="str">
        <f>IFERROR(__xludf.DUMMYFUNCTION("""COMPUTED_VALUE"""),"1283")</f>
        <v>1283</v>
      </c>
      <c r="C286" s="74" t="str">
        <f>IFERROR(__xludf.DUMMYFUNCTION("""COMPUTED_VALUE"""),"75045880431")</f>
        <v>75045880431</v>
      </c>
      <c r="D286" s="74" t="str">
        <f>IFERROR(__xludf.DUMMYFUNCTION("""COMPUTED_VALUE"""),"\\MCA-S\mk\2_BM\0_BMat\08_PYM\Inventario\excel\Imagen de refacciones\Putzmeister\Filtro hidráulico (4)")</f>
        <v>\\MCA-S\mk\2_BM\0_BMat\08_PYM\Inventario\excel\Imagen de refacciones\Putzmeister\Filtro hidráulico (4)</v>
      </c>
      <c r="E286" s="74"/>
      <c r="F286" s="74" t="str">
        <f>IFERROR(__xludf.DUMMYFUNCTION("""COMPUTED_VALUE"""),"Filtro hidráulico")</f>
        <v>Filtro hidráulico</v>
      </c>
      <c r="G286" s="74"/>
      <c r="H286" s="74"/>
      <c r="I286" s="74" t="str">
        <f>IFERROR(__xludf.DUMMYFUNCTION("""COMPUTED_VALUE"""),"238627006")</f>
        <v>238627006</v>
      </c>
      <c r="J286" s="74"/>
      <c r="K286" s="74" t="str">
        <f>IFERROR(__xludf.DUMMYFUNCTION("""COMPUTED_VALUE"""),"Putzmeister")</f>
        <v>Putzmeister</v>
      </c>
      <c r="L286" s="74" t="str">
        <f>IFERROR(__xludf.DUMMYFUNCTION("""COMPUTED_VALUE"""),"Componentes hidráulicos")</f>
        <v>Componentes hidráulicos</v>
      </c>
      <c r="M286" s="74" t="str">
        <f>IFERROR(__xludf.DUMMYFUNCTION("""COMPUTED_VALUE"""),"Sin Asignar")</f>
        <v>Sin Asignar</v>
      </c>
      <c r="N286" s="87">
        <f>IFERROR(__xludf.DUMMYFUNCTION("""COMPUTED_VALUE"""),0.0)</f>
        <v>0</v>
      </c>
      <c r="O286" s="74"/>
      <c r="P286" s="74" t="str">
        <f>IFERROR(__xludf.DUMMYFUNCTION("""COMPUTED_VALUE"""),"No Available")</f>
        <v>No Available</v>
      </c>
      <c r="Q286" s="74"/>
      <c r="R286" s="74"/>
      <c r="S286" s="87">
        <f>IFERROR(__xludf.DUMMYFUNCTION("""COMPUTED_VALUE"""),0.0)</f>
        <v>0</v>
      </c>
      <c r="T286" s="87">
        <f>IFERROR(__xludf.DUMMYFUNCTION("""COMPUTED_VALUE"""),0.0)</f>
        <v>0</v>
      </c>
      <c r="U286" s="87">
        <f>IFERROR(__xludf.DUMMYFUNCTION("""COMPUTED_VALUE"""),0.0)</f>
        <v>0</v>
      </c>
      <c r="V286" s="87">
        <f>IFERROR(__xludf.DUMMYFUNCTION("""COMPUTED_VALUE"""),0.0)</f>
        <v>0</v>
      </c>
      <c r="W286" s="87">
        <f>IFERROR(__xludf.DUMMYFUNCTION("""COMPUTED_VALUE"""),0.0)</f>
        <v>0</v>
      </c>
      <c r="X286" s="88"/>
      <c r="Y286" s="74"/>
      <c r="Z286" s="74"/>
    </row>
    <row r="287">
      <c r="B287" s="74" t="str">
        <f>IFERROR(__xludf.DUMMYFUNCTION("""COMPUTED_VALUE"""),"1284")</f>
        <v>1284</v>
      </c>
      <c r="C287" s="74"/>
      <c r="D287" s="74" t="str">
        <f>IFERROR(__xludf.DUMMYFUNCTION("""COMPUTED_VALUE"""),"\\MCA-S\mk\2_BM\0_BMat\08_PYM\Inventario\excel\Imagen de refacciones\Putzmeister\Kit de sellos putzmeister")</f>
        <v>\\MCA-S\mk\2_BM\0_BMat\08_PYM\Inventario\excel\Imagen de refacciones\Putzmeister\Kit de sellos putzmeister</v>
      </c>
      <c r="E287" s="74"/>
      <c r="F287" s="74" t="str">
        <f>IFERROR(__xludf.DUMMYFUNCTION("""COMPUTED_VALUE"""),"Kit de sellos putzmeister")</f>
        <v>Kit de sellos putzmeister</v>
      </c>
      <c r="G287" s="74"/>
      <c r="H287" s="74"/>
      <c r="I287" s="74" t="str">
        <f>IFERROR(__xludf.DUMMYFUNCTION("""COMPUTED_VALUE"""),"225639007")</f>
        <v>225639007</v>
      </c>
      <c r="J287" s="74"/>
      <c r="K287" s="74" t="str">
        <f>IFERROR(__xludf.DUMMYFUNCTION("""COMPUTED_VALUE"""),"Putzmeister")</f>
        <v>Putzmeister</v>
      </c>
      <c r="L287" s="74" t="str">
        <f>IFERROR(__xludf.DUMMYFUNCTION("""COMPUTED_VALUE"""),"Sellos y retenes")</f>
        <v>Sellos y retenes</v>
      </c>
      <c r="M287" s="74" t="str">
        <f>IFERROR(__xludf.DUMMYFUNCTION("""COMPUTED_VALUE"""),"Sin Asignar")</f>
        <v>Sin Asignar</v>
      </c>
      <c r="N287" s="87">
        <f>IFERROR(__xludf.DUMMYFUNCTION("""COMPUTED_VALUE"""),0.0)</f>
        <v>0</v>
      </c>
      <c r="O287" s="74"/>
      <c r="P287" s="74" t="str">
        <f>IFERROR(__xludf.DUMMYFUNCTION("""COMPUTED_VALUE"""),"No Available")</f>
        <v>No Available</v>
      </c>
      <c r="Q287" s="74"/>
      <c r="R287" s="74"/>
      <c r="S287" s="87">
        <f>IFERROR(__xludf.DUMMYFUNCTION("""COMPUTED_VALUE"""),0.0)</f>
        <v>0</v>
      </c>
      <c r="T287" s="87">
        <f>IFERROR(__xludf.DUMMYFUNCTION("""COMPUTED_VALUE"""),0.0)</f>
        <v>0</v>
      </c>
      <c r="U287" s="87">
        <f>IFERROR(__xludf.DUMMYFUNCTION("""COMPUTED_VALUE"""),0.0)</f>
        <v>0</v>
      </c>
      <c r="V287" s="87">
        <f>IFERROR(__xludf.DUMMYFUNCTION("""COMPUTED_VALUE"""),0.0)</f>
        <v>0</v>
      </c>
      <c r="W287" s="87">
        <f>IFERROR(__xludf.DUMMYFUNCTION("""COMPUTED_VALUE"""),0.0)</f>
        <v>0</v>
      </c>
      <c r="X287" s="88"/>
      <c r="Y287" s="74"/>
      <c r="Z287" s="74"/>
    </row>
    <row r="288">
      <c r="B288" s="74" t="str">
        <f>IFERROR(__xludf.DUMMYFUNCTION("""COMPUTED_VALUE"""),"1285")</f>
        <v>1285</v>
      </c>
      <c r="C288" s="74" t="str">
        <f>IFERROR(__xludf.DUMMYFUNCTION("""COMPUTED_VALUE"""),"75045891285")</f>
        <v>75045891285</v>
      </c>
      <c r="D288" s="74" t="str">
        <f>IFERROR(__xludf.DUMMYFUNCTION("""COMPUTED_VALUE"""),"\\MCA-S\mk\2_BM\0_BMat\08_PYM\Inventario\excel\Imagen de refacciones\Putzmeister\Kit de sellos para cilindro hidráulico D115_70")</f>
        <v>\\MCA-S\mk\2_BM\0_BMat\08_PYM\Inventario\excel\Imagen de refacciones\Putzmeister\Kit de sellos para cilindro hidráulico D115_70</v>
      </c>
      <c r="E288" s="74" t="str">
        <f>IFERROR(__xludf.DUMMYFUNCTION("""COMPUTED_VALUE"""),"SEAL SET FOR BOOM CYLINDER D115/70")</f>
        <v>SEAL SET FOR BOOM CYLINDER D115/70</v>
      </c>
      <c r="F288" s="74" t="str">
        <f>IFERROR(__xludf.DUMMYFUNCTION("""COMPUTED_VALUE"""),"KIT SELLOS PARA CILINDRO HIDRAULICO D115/70")</f>
        <v>KIT SELLOS PARA CILINDRO HIDRAULICO D115/70</v>
      </c>
      <c r="G288" s="74"/>
      <c r="H288" s="74"/>
      <c r="I288" s="74" t="str">
        <f>IFERROR(__xludf.DUMMYFUNCTION("""COMPUTED_VALUE"""),"445760")</f>
        <v>445760</v>
      </c>
      <c r="J288" s="74"/>
      <c r="K288" s="74" t="str">
        <f>IFERROR(__xludf.DUMMYFUNCTION("""COMPUTED_VALUE"""),"Putzmeister")</f>
        <v>Putzmeister</v>
      </c>
      <c r="L288" s="74" t="str">
        <f>IFERROR(__xludf.DUMMYFUNCTION("""COMPUTED_VALUE"""),"Sellos y retenes")</f>
        <v>Sellos y retenes</v>
      </c>
      <c r="M288" s="74" t="str">
        <f>IFERROR(__xludf.DUMMYFUNCTION("""COMPUTED_VALUE"""),"Sin Asignar")</f>
        <v>Sin Asignar</v>
      </c>
      <c r="N288" s="87">
        <f>IFERROR(__xludf.DUMMYFUNCTION("""COMPUTED_VALUE"""),0.0)</f>
        <v>0</v>
      </c>
      <c r="O288" s="74"/>
      <c r="P288" s="74" t="str">
        <f>IFERROR(__xludf.DUMMYFUNCTION("""COMPUTED_VALUE"""),"To Re-purchase")</f>
        <v>To Re-purchase</v>
      </c>
      <c r="Q288" s="74"/>
      <c r="R288" s="74"/>
      <c r="S288" s="87">
        <f>IFERROR(__xludf.DUMMYFUNCTION("""COMPUTED_VALUE"""),0.0)</f>
        <v>0</v>
      </c>
      <c r="T288" s="87">
        <f>IFERROR(__xludf.DUMMYFUNCTION("""COMPUTED_VALUE"""),0.0)</f>
        <v>0</v>
      </c>
      <c r="U288" s="87">
        <f>IFERROR(__xludf.DUMMYFUNCTION("""COMPUTED_VALUE"""),0.0)</f>
        <v>0</v>
      </c>
      <c r="V288" s="87">
        <f>IFERROR(__xludf.DUMMYFUNCTION("""COMPUTED_VALUE"""),0.0)</f>
        <v>0</v>
      </c>
      <c r="W288" s="87">
        <f>IFERROR(__xludf.DUMMYFUNCTION("""COMPUTED_VALUE"""),0.0)</f>
        <v>0</v>
      </c>
      <c r="X288" s="88"/>
      <c r="Y288" s="74"/>
      <c r="Z288" s="74"/>
    </row>
    <row r="289">
      <c r="B289" s="74" t="str">
        <f>IFERROR(__xludf.DUMMYFUNCTION("""COMPUTED_VALUE"""),"1286")</f>
        <v>1286</v>
      </c>
      <c r="C289" s="74" t="str">
        <f>IFERROR(__xludf.DUMMYFUNCTION("""COMPUTED_VALUE"""),"75045891286")</f>
        <v>75045891286</v>
      </c>
      <c r="D289" s="74" t="str">
        <f>IFERROR(__xludf.DUMMYFUNCTION("""COMPUTED_VALUE"""),"\\MCA-S\mk\2_BM\0_BMat\08_PYM\Inventario\excel\Imagen de refacciones\Putzmeister\Kit de sellos para cilindro hidráulico D200_125")</f>
        <v>\\MCA-S\mk\2_BM\0_BMat\08_PYM\Inventario\excel\Imagen de refacciones\Putzmeister\Kit de sellos para cilindro hidráulico D200_125</v>
      </c>
      <c r="E289" s="74" t="str">
        <f>IFERROR(__xludf.DUMMYFUNCTION("""COMPUTED_VALUE"""),"SEAL SET FOR BOOM CYLINDER D200/125")</f>
        <v>SEAL SET FOR BOOM CYLINDER D200/125</v>
      </c>
      <c r="F289" s="74" t="str">
        <f>IFERROR(__xludf.DUMMYFUNCTION("""COMPUTED_VALUE"""),"KIT SELLOS PARA CILINDRO HIDRAULICO D200/125")</f>
        <v>KIT SELLOS PARA CILINDRO HIDRAULICO D200/125</v>
      </c>
      <c r="G289" s="74"/>
      <c r="H289" s="74"/>
      <c r="I289" s="74" t="str">
        <f>IFERROR(__xludf.DUMMYFUNCTION("""COMPUTED_VALUE"""),"445769")</f>
        <v>445769</v>
      </c>
      <c r="J289" s="74"/>
      <c r="K289" s="74" t="str">
        <f>IFERROR(__xludf.DUMMYFUNCTION("""COMPUTED_VALUE"""),"Putzmeister")</f>
        <v>Putzmeister</v>
      </c>
      <c r="L289" s="74" t="str">
        <f>IFERROR(__xludf.DUMMYFUNCTION("""COMPUTED_VALUE"""),"Sellos y retenes")</f>
        <v>Sellos y retenes</v>
      </c>
      <c r="M289" s="74" t="str">
        <f>IFERROR(__xludf.DUMMYFUNCTION("""COMPUTED_VALUE"""),"Sin Asignar")</f>
        <v>Sin Asignar</v>
      </c>
      <c r="N289" s="87">
        <f>IFERROR(__xludf.DUMMYFUNCTION("""COMPUTED_VALUE"""),0.0)</f>
        <v>0</v>
      </c>
      <c r="O289" s="74"/>
      <c r="P289" s="74" t="str">
        <f>IFERROR(__xludf.DUMMYFUNCTION("""COMPUTED_VALUE"""),"To Re-purchase")</f>
        <v>To Re-purchase</v>
      </c>
      <c r="Q289" s="74"/>
      <c r="R289" s="74"/>
      <c r="S289" s="87">
        <f>IFERROR(__xludf.DUMMYFUNCTION("""COMPUTED_VALUE"""),0.0)</f>
        <v>0</v>
      </c>
      <c r="T289" s="87">
        <f>IFERROR(__xludf.DUMMYFUNCTION("""COMPUTED_VALUE"""),0.0)</f>
        <v>0</v>
      </c>
      <c r="U289" s="87">
        <f>IFERROR(__xludf.DUMMYFUNCTION("""COMPUTED_VALUE"""),0.0)</f>
        <v>0</v>
      </c>
      <c r="V289" s="87">
        <f>IFERROR(__xludf.DUMMYFUNCTION("""COMPUTED_VALUE"""),0.0)</f>
        <v>0</v>
      </c>
      <c r="W289" s="87">
        <f>IFERROR(__xludf.DUMMYFUNCTION("""COMPUTED_VALUE"""),0.0)</f>
        <v>0</v>
      </c>
      <c r="X289" s="88"/>
      <c r="Y289" s="74"/>
      <c r="Z289" s="74"/>
    </row>
    <row r="290">
      <c r="B290" s="74" t="str">
        <f>IFERROR(__xludf.DUMMYFUNCTION("""COMPUTED_VALUE"""),"1287")</f>
        <v>1287</v>
      </c>
      <c r="C290" s="74" t="str">
        <f>IFERROR(__xludf.DUMMYFUNCTION("""COMPUTED_VALUE"""),"75045891287")</f>
        <v>75045891287</v>
      </c>
      <c r="D290" s="74" t="str">
        <f>IFERROR(__xludf.DUMMYFUNCTION("""COMPUTED_VALUE"""),"\\MCA-S\mk\2_BM\0_BMat\08_PYM\Inventario\excel\Imagen de refacciones\Putzmeister\Kit de sellos para cilindro hidráulico DN165_105")</f>
        <v>\\MCA-S\mk\2_BM\0_BMat\08_PYM\Inventario\excel\Imagen de refacciones\Putzmeister\Kit de sellos para cilindro hidráulico DN165_105</v>
      </c>
      <c r="E290" s="74" t="str">
        <f>IFERROR(__xludf.DUMMYFUNCTION("""COMPUTED_VALUE"""),"SEAL SET FOR BOOM CYLINDER DN165/105")</f>
        <v>SEAL SET FOR BOOM CYLINDER DN165/105</v>
      </c>
      <c r="F290" s="74" t="str">
        <f>IFERROR(__xludf.DUMMYFUNCTION("""COMPUTED_VALUE"""),"KIT SELLOS PARA CILINDRO HIDRAULICO DN165/105")</f>
        <v>KIT SELLOS PARA CILINDRO HIDRAULICO DN165/105</v>
      </c>
      <c r="G290" s="74"/>
      <c r="H290" s="74"/>
      <c r="I290" s="74" t="str">
        <f>IFERROR(__xludf.DUMMYFUNCTION("""COMPUTED_VALUE"""),"445766")</f>
        <v>445766</v>
      </c>
      <c r="J290" s="74"/>
      <c r="K290" s="74" t="str">
        <f>IFERROR(__xludf.DUMMYFUNCTION("""COMPUTED_VALUE"""),"Putzmeister")</f>
        <v>Putzmeister</v>
      </c>
      <c r="L290" s="74" t="str">
        <f>IFERROR(__xludf.DUMMYFUNCTION("""COMPUTED_VALUE"""),"Sellos y retenes")</f>
        <v>Sellos y retenes</v>
      </c>
      <c r="M290" s="74" t="str">
        <f>IFERROR(__xludf.DUMMYFUNCTION("""COMPUTED_VALUE"""),"Sin Asignar")</f>
        <v>Sin Asignar</v>
      </c>
      <c r="N290" s="87">
        <f>IFERROR(__xludf.DUMMYFUNCTION("""COMPUTED_VALUE"""),0.0)</f>
        <v>0</v>
      </c>
      <c r="O290" s="74"/>
      <c r="P290" s="74" t="str">
        <f>IFERROR(__xludf.DUMMYFUNCTION("""COMPUTED_VALUE"""),"To Re-purchase")</f>
        <v>To Re-purchase</v>
      </c>
      <c r="Q290" s="74"/>
      <c r="R290" s="74"/>
      <c r="S290" s="87">
        <f>IFERROR(__xludf.DUMMYFUNCTION("""COMPUTED_VALUE"""),0.0)</f>
        <v>0</v>
      </c>
      <c r="T290" s="87">
        <f>IFERROR(__xludf.DUMMYFUNCTION("""COMPUTED_VALUE"""),0.0)</f>
        <v>0</v>
      </c>
      <c r="U290" s="87">
        <f>IFERROR(__xludf.DUMMYFUNCTION("""COMPUTED_VALUE"""),0.0)</f>
        <v>0</v>
      </c>
      <c r="V290" s="87">
        <f>IFERROR(__xludf.DUMMYFUNCTION("""COMPUTED_VALUE"""),0.0)</f>
        <v>0</v>
      </c>
      <c r="W290" s="87">
        <f>IFERROR(__xludf.DUMMYFUNCTION("""COMPUTED_VALUE"""),0.0)</f>
        <v>0</v>
      </c>
      <c r="X290" s="88"/>
      <c r="Y290" s="74"/>
      <c r="Z290" s="74"/>
    </row>
    <row r="291">
      <c r="B291" s="74" t="str">
        <f>IFERROR(__xludf.DUMMYFUNCTION("""COMPUTED_VALUE"""),"1288")</f>
        <v>1288</v>
      </c>
      <c r="C291" s="74" t="str">
        <f>IFERROR(__xludf.DUMMYFUNCTION("""COMPUTED_VALUE"""),"75045891288")</f>
        <v>75045891288</v>
      </c>
      <c r="D291" s="74" t="str">
        <f>IFERROR(__xludf.DUMMYFUNCTION("""COMPUTED_VALUE"""),"\\MCA-S\mk\2_BM\0_BMat\08_PYM\Inventario\excel\Imagen de refacciones\Putzmeister\Kit de sellos para cilindro hidráulico DN225_125")</f>
        <v>\\MCA-S\mk\2_BM\0_BMat\08_PYM\Inventario\excel\Imagen de refacciones\Putzmeister\Kit de sellos para cilindro hidráulico DN225_125</v>
      </c>
      <c r="E291" s="74" t="str">
        <f>IFERROR(__xludf.DUMMYFUNCTION("""COMPUTED_VALUE"""),"SEAL SET FOR BOOM CYLINDER DN225/125")</f>
        <v>SEAL SET FOR BOOM CYLINDER DN225/125</v>
      </c>
      <c r="F291" s="74" t="str">
        <f>IFERROR(__xludf.DUMMYFUNCTION("""COMPUTED_VALUE"""),"KIT SELLOS PARA CILINDRO HIDRAULICO DN225/125")</f>
        <v>KIT SELLOS PARA CILINDRO HIDRAULICO DN225/125</v>
      </c>
      <c r="G291" s="74"/>
      <c r="H291" s="74"/>
      <c r="I291" s="74" t="str">
        <f>IFERROR(__xludf.DUMMYFUNCTION("""COMPUTED_VALUE"""),"445777")</f>
        <v>445777</v>
      </c>
      <c r="J291" s="74"/>
      <c r="K291" s="74" t="str">
        <f>IFERROR(__xludf.DUMMYFUNCTION("""COMPUTED_VALUE"""),"Putzmeister")</f>
        <v>Putzmeister</v>
      </c>
      <c r="L291" s="74" t="str">
        <f>IFERROR(__xludf.DUMMYFUNCTION("""COMPUTED_VALUE"""),"Sellos y retenes")</f>
        <v>Sellos y retenes</v>
      </c>
      <c r="M291" s="74" t="str">
        <f>IFERROR(__xludf.DUMMYFUNCTION("""COMPUTED_VALUE"""),"Sin Asignar")</f>
        <v>Sin Asignar</v>
      </c>
      <c r="N291" s="87">
        <f>IFERROR(__xludf.DUMMYFUNCTION("""COMPUTED_VALUE"""),0.0)</f>
        <v>0</v>
      </c>
      <c r="O291" s="74"/>
      <c r="P291" s="74" t="str">
        <f>IFERROR(__xludf.DUMMYFUNCTION("""COMPUTED_VALUE"""),"To Re-purchase")</f>
        <v>To Re-purchase</v>
      </c>
      <c r="Q291" s="74"/>
      <c r="R291" s="74"/>
      <c r="S291" s="87">
        <f>IFERROR(__xludf.DUMMYFUNCTION("""COMPUTED_VALUE"""),0.0)</f>
        <v>0</v>
      </c>
      <c r="T291" s="87">
        <f>IFERROR(__xludf.DUMMYFUNCTION("""COMPUTED_VALUE"""),0.0)</f>
        <v>0</v>
      </c>
      <c r="U291" s="87">
        <f>IFERROR(__xludf.DUMMYFUNCTION("""COMPUTED_VALUE"""),0.0)</f>
        <v>0</v>
      </c>
      <c r="V291" s="87">
        <f>IFERROR(__xludf.DUMMYFUNCTION("""COMPUTED_VALUE"""),0.0)</f>
        <v>0</v>
      </c>
      <c r="W291" s="87">
        <f>IFERROR(__xludf.DUMMYFUNCTION("""COMPUTED_VALUE"""),0.0)</f>
        <v>0</v>
      </c>
      <c r="X291" s="88"/>
      <c r="Y291" s="74"/>
      <c r="Z291" s="74"/>
    </row>
    <row r="292">
      <c r="B292" s="74" t="str">
        <f>IFERROR(__xludf.DUMMYFUNCTION("""COMPUTED_VALUE"""),"1289")</f>
        <v>1289</v>
      </c>
      <c r="C292" s="74" t="str">
        <f>IFERROR(__xludf.DUMMYFUNCTION("""COMPUTED_VALUE"""),"75045891289")</f>
        <v>75045891289</v>
      </c>
      <c r="D292" s="74" t="str">
        <f>IFERROR(__xludf.DUMMYFUNCTION("""COMPUTED_VALUE"""),"\\MCA-S\mk\2_BM\0_BMat\08_PYM\Inventario\excel\Imagen de refacciones\Putzmeister\Kit de sellos para piston estabilizador dn-150 dn250")</f>
        <v>\\MCA-S\mk\2_BM\0_BMat\08_PYM\Inventario\excel\Imagen de refacciones\Putzmeister\Kit de sellos para piston estabilizador dn-150 dn250</v>
      </c>
      <c r="E292" s="74" t="str">
        <f>IFERROR(__xludf.DUMMYFUNCTION("""COMPUTED_VALUE"""),"OUTRIGGER HYDRAULIC CYLINDER SEAL KIT DN-150/DN250")</f>
        <v>OUTRIGGER HYDRAULIC CYLINDER SEAL KIT DN-150/DN250</v>
      </c>
      <c r="F292" s="74" t="str">
        <f>IFERROR(__xludf.DUMMYFUNCTION("""COMPUTED_VALUE"""),"KIT SELLOS PARA PISTON ESTABILIZADOR DN-150/DN250")</f>
        <v>KIT SELLOS PARA PISTON ESTABILIZADOR DN-150/DN250</v>
      </c>
      <c r="G292" s="74"/>
      <c r="H292" s="74"/>
      <c r="I292" s="74" t="str">
        <f>IFERROR(__xludf.DUMMYFUNCTION("""COMPUTED_VALUE"""),"088610001")</f>
        <v>088610001</v>
      </c>
      <c r="J292" s="74"/>
      <c r="K292" s="74" t="str">
        <f>IFERROR(__xludf.DUMMYFUNCTION("""COMPUTED_VALUE"""),"Putzmeister")</f>
        <v>Putzmeister</v>
      </c>
      <c r="L292" s="74" t="str">
        <f>IFERROR(__xludf.DUMMYFUNCTION("""COMPUTED_VALUE"""),"Sellos y retenes")</f>
        <v>Sellos y retenes</v>
      </c>
      <c r="M292" s="74" t="str">
        <f>IFERROR(__xludf.DUMMYFUNCTION("""COMPUTED_VALUE"""),"Sin Asignar")</f>
        <v>Sin Asignar</v>
      </c>
      <c r="N292" s="87">
        <f>IFERROR(__xludf.DUMMYFUNCTION("""COMPUTED_VALUE"""),0.0)</f>
        <v>0</v>
      </c>
      <c r="O292" s="74"/>
      <c r="P292" s="74" t="str">
        <f>IFERROR(__xludf.DUMMYFUNCTION("""COMPUTED_VALUE"""),"To Re-purchase")</f>
        <v>To Re-purchase</v>
      </c>
      <c r="Q292" s="74"/>
      <c r="R292" s="74"/>
      <c r="S292" s="87">
        <f>IFERROR(__xludf.DUMMYFUNCTION("""COMPUTED_VALUE"""),0.0)</f>
        <v>0</v>
      </c>
      <c r="T292" s="87">
        <f>IFERROR(__xludf.DUMMYFUNCTION("""COMPUTED_VALUE"""),0.0)</f>
        <v>0</v>
      </c>
      <c r="U292" s="87">
        <f>IFERROR(__xludf.DUMMYFUNCTION("""COMPUTED_VALUE"""),0.0)</f>
        <v>0</v>
      </c>
      <c r="V292" s="87">
        <f>IFERROR(__xludf.DUMMYFUNCTION("""COMPUTED_VALUE"""),0.0)</f>
        <v>0</v>
      </c>
      <c r="W292" s="87">
        <f>IFERROR(__xludf.DUMMYFUNCTION("""COMPUTED_VALUE"""),0.0)</f>
        <v>0</v>
      </c>
      <c r="X292" s="88"/>
      <c r="Y292" s="74"/>
      <c r="Z292" s="74"/>
    </row>
    <row r="293">
      <c r="B293" s="74" t="str">
        <f>IFERROR(__xludf.DUMMYFUNCTION("""COMPUTED_VALUE"""),"1290")</f>
        <v>1290</v>
      </c>
      <c r="C293" s="74" t="str">
        <f>IFERROR(__xludf.DUMMYFUNCTION("""COMPUTED_VALUE"""),"75045891290")</f>
        <v>75045891290</v>
      </c>
      <c r="D293" s="74" t="str">
        <f>IFERROR(__xludf.DUMMYFUNCTION("""COMPUTED_VALUE"""),"\\MCA-S\mk\2_BM\0_BMat\08_PYM\Inventario\excel\Imagen de refacciones\Putzmeister\Kit de sellos para piston estabilizador  d50_40")</f>
        <v>\\MCA-S\mk\2_BM\0_BMat\08_PYM\Inventario\excel\Imagen de refacciones\Putzmeister\Kit de sellos para piston estabilizador  d50_40</v>
      </c>
      <c r="E293" s="74" t="str">
        <f>IFERROR(__xludf.DUMMYFUNCTION("""COMPUTED_VALUE"""),"OUTRIGGER HYDRAULIC CYLINDER SEAL KIT DN50/40")</f>
        <v>OUTRIGGER HYDRAULIC CYLINDER SEAL KIT DN50/40</v>
      </c>
      <c r="F293" s="74" t="str">
        <f>IFERROR(__xludf.DUMMYFUNCTION("""COMPUTED_VALUE"""),"KIT SELLOS PARA PISTON ESTABILIZADOR  DN50/40")</f>
        <v>KIT SELLOS PARA PISTON ESTABILIZADOR  DN50/40</v>
      </c>
      <c r="G293" s="74"/>
      <c r="H293" s="74"/>
      <c r="I293" s="74" t="str">
        <f>IFERROR(__xludf.DUMMYFUNCTION("""COMPUTED_VALUE"""),"086085007")</f>
        <v>086085007</v>
      </c>
      <c r="J293" s="74"/>
      <c r="K293" s="74" t="str">
        <f>IFERROR(__xludf.DUMMYFUNCTION("""COMPUTED_VALUE"""),"Putzmeister")</f>
        <v>Putzmeister</v>
      </c>
      <c r="L293" s="74" t="str">
        <f>IFERROR(__xludf.DUMMYFUNCTION("""COMPUTED_VALUE"""),"Sellos y retenes")</f>
        <v>Sellos y retenes</v>
      </c>
      <c r="M293" s="74" t="str">
        <f>IFERROR(__xludf.DUMMYFUNCTION("""COMPUTED_VALUE"""),"Sin Asignar")</f>
        <v>Sin Asignar</v>
      </c>
      <c r="N293" s="87">
        <f>IFERROR(__xludf.DUMMYFUNCTION("""COMPUTED_VALUE"""),0.0)</f>
        <v>0</v>
      </c>
      <c r="O293" s="74"/>
      <c r="P293" s="74" t="str">
        <f>IFERROR(__xludf.DUMMYFUNCTION("""COMPUTED_VALUE"""),"To Re-purchase")</f>
        <v>To Re-purchase</v>
      </c>
      <c r="Q293" s="74"/>
      <c r="R293" s="74"/>
      <c r="S293" s="87">
        <f>IFERROR(__xludf.DUMMYFUNCTION("""COMPUTED_VALUE"""),0.0)</f>
        <v>0</v>
      </c>
      <c r="T293" s="87">
        <f>IFERROR(__xludf.DUMMYFUNCTION("""COMPUTED_VALUE"""),0.0)</f>
        <v>0</v>
      </c>
      <c r="U293" s="87">
        <f>IFERROR(__xludf.DUMMYFUNCTION("""COMPUTED_VALUE"""),0.0)</f>
        <v>0</v>
      </c>
      <c r="V293" s="87">
        <f>IFERROR(__xludf.DUMMYFUNCTION("""COMPUTED_VALUE"""),0.0)</f>
        <v>0</v>
      </c>
      <c r="W293" s="87">
        <f>IFERROR(__xludf.DUMMYFUNCTION("""COMPUTED_VALUE"""),0.0)</f>
        <v>0</v>
      </c>
      <c r="X293" s="88"/>
      <c r="Y293" s="74"/>
      <c r="Z293" s="74"/>
    </row>
    <row r="294">
      <c r="B294" s="74" t="str">
        <f>IFERROR(__xludf.DUMMYFUNCTION("""COMPUTED_VALUE"""),"1291")</f>
        <v>1291</v>
      </c>
      <c r="C294" s="74" t="str">
        <f>IFERROR(__xludf.DUMMYFUNCTION("""COMPUTED_VALUE"""),"75045891291")</f>
        <v>75045891291</v>
      </c>
      <c r="D294" s="74" t="str">
        <f>IFERROR(__xludf.DUMMYFUNCTION("""COMPUTED_VALUE"""),"\\MCA-S\mk\2_BM\0_BMat\08_PYM\Inventario\excel\Imagen de refacciones\Putzmeister\Kit de sellos para piston estabilizador d80_63")</f>
        <v>\\MCA-S\mk\2_BM\0_BMat\08_PYM\Inventario\excel\Imagen de refacciones\Putzmeister\Kit de sellos para piston estabilizador d80_63</v>
      </c>
      <c r="E294" s="74" t="str">
        <f>IFERROR(__xludf.DUMMYFUNCTION("""COMPUTED_VALUE"""),"OUTRIGGER OIL CYLINDER SEAL KIT DN80/63")</f>
        <v>OUTRIGGER OIL CYLINDER SEAL KIT DN80/63</v>
      </c>
      <c r="F294" s="74" t="str">
        <f>IFERROR(__xludf.DUMMYFUNCTION("""COMPUTED_VALUE"""),"KIT SELLOS PARA PISTON ESTABILIZADOR DN80/63")</f>
        <v>KIT SELLOS PARA PISTON ESTABILIZADOR DN80/63</v>
      </c>
      <c r="G294" s="74"/>
      <c r="H294" s="74"/>
      <c r="I294" s="74" t="str">
        <f>IFERROR(__xludf.DUMMYFUNCTION("""COMPUTED_VALUE"""),"251411008")</f>
        <v>251411008</v>
      </c>
      <c r="J294" s="74"/>
      <c r="K294" s="74" t="str">
        <f>IFERROR(__xludf.DUMMYFUNCTION("""COMPUTED_VALUE"""),"Putzmeister")</f>
        <v>Putzmeister</v>
      </c>
      <c r="L294" s="74" t="str">
        <f>IFERROR(__xludf.DUMMYFUNCTION("""COMPUTED_VALUE"""),"Sellos y retenes")</f>
        <v>Sellos y retenes</v>
      </c>
      <c r="M294" s="74" t="str">
        <f>IFERROR(__xludf.DUMMYFUNCTION("""COMPUTED_VALUE"""),"Sin Asignar")</f>
        <v>Sin Asignar</v>
      </c>
      <c r="N294" s="87">
        <f>IFERROR(__xludf.DUMMYFUNCTION("""COMPUTED_VALUE"""),0.0)</f>
        <v>0</v>
      </c>
      <c r="O294" s="74"/>
      <c r="P294" s="74" t="str">
        <f>IFERROR(__xludf.DUMMYFUNCTION("""COMPUTED_VALUE"""),"To Re-purchase")</f>
        <v>To Re-purchase</v>
      </c>
      <c r="Q294" s="74"/>
      <c r="R294" s="74"/>
      <c r="S294" s="87">
        <f>IFERROR(__xludf.DUMMYFUNCTION("""COMPUTED_VALUE"""),0.0)</f>
        <v>0</v>
      </c>
      <c r="T294" s="87">
        <f>IFERROR(__xludf.DUMMYFUNCTION("""COMPUTED_VALUE"""),0.0)</f>
        <v>0</v>
      </c>
      <c r="U294" s="87">
        <f>IFERROR(__xludf.DUMMYFUNCTION("""COMPUTED_VALUE"""),0.0)</f>
        <v>0</v>
      </c>
      <c r="V294" s="87">
        <f>IFERROR(__xludf.DUMMYFUNCTION("""COMPUTED_VALUE"""),0.0)</f>
        <v>0</v>
      </c>
      <c r="W294" s="87">
        <f>IFERROR(__xludf.DUMMYFUNCTION("""COMPUTED_VALUE"""),0.0)</f>
        <v>0</v>
      </c>
      <c r="X294" s="88"/>
      <c r="Y294" s="74"/>
      <c r="Z294" s="74"/>
    </row>
    <row r="295">
      <c r="B295" s="74" t="str">
        <f>IFERROR(__xludf.DUMMYFUNCTION("""COMPUTED_VALUE"""),"1292")</f>
        <v>1292</v>
      </c>
      <c r="C295" s="74"/>
      <c r="D295" s="74" t="str">
        <f>IFERROR(__xludf.DUMMYFUNCTION("""COMPUTED_VALUE"""),"\\MCA-S\mk\2_BM\0_BMat\08_PYM\Inventario\excel\Imagen de refacciones\Putzmeister\Valvula de retención")</f>
        <v>\\MCA-S\mk\2_BM\0_BMat\08_PYM\Inventario\excel\Imagen de refacciones\Putzmeister\Valvula de retención</v>
      </c>
      <c r="E295" s="74"/>
      <c r="F295" s="74" t="str">
        <f>IFERROR(__xludf.DUMMYFUNCTION("""COMPUTED_VALUE"""),"Valvula de retención")</f>
        <v>Valvula de retención</v>
      </c>
      <c r="G295" s="74"/>
      <c r="H295" s="74"/>
      <c r="I295" s="74" t="str">
        <f>IFERROR(__xludf.DUMMYFUNCTION("""COMPUTED_VALUE"""),"251779009")</f>
        <v>251779009</v>
      </c>
      <c r="J295" s="74"/>
      <c r="K295" s="74" t="str">
        <f>IFERROR(__xludf.DUMMYFUNCTION("""COMPUTED_VALUE"""),"Putzmeister")</f>
        <v>Putzmeister</v>
      </c>
      <c r="L295" s="74" t="str">
        <f>IFERROR(__xludf.DUMMYFUNCTION("""COMPUTED_VALUE"""),"Componentes hidráulicos")</f>
        <v>Componentes hidráulicos</v>
      </c>
      <c r="M295" s="74" t="str">
        <f>IFERROR(__xludf.DUMMYFUNCTION("""COMPUTED_VALUE"""),"Sin Asignar")</f>
        <v>Sin Asignar</v>
      </c>
      <c r="N295" s="87">
        <f>IFERROR(__xludf.DUMMYFUNCTION("""COMPUTED_VALUE"""),0.0)</f>
        <v>0</v>
      </c>
      <c r="O295" s="74"/>
      <c r="P295" s="74" t="str">
        <f>IFERROR(__xludf.DUMMYFUNCTION("""COMPUTED_VALUE"""),"borrar")</f>
        <v>borrar</v>
      </c>
      <c r="Q295" s="74"/>
      <c r="R295" s="74"/>
      <c r="S295" s="87">
        <f>IFERROR(__xludf.DUMMYFUNCTION("""COMPUTED_VALUE"""),0.0)</f>
        <v>0</v>
      </c>
      <c r="T295" s="87">
        <f>IFERROR(__xludf.DUMMYFUNCTION("""COMPUTED_VALUE"""),0.0)</f>
        <v>0</v>
      </c>
      <c r="U295" s="87">
        <f>IFERROR(__xludf.DUMMYFUNCTION("""COMPUTED_VALUE"""),0.0)</f>
        <v>0</v>
      </c>
      <c r="V295" s="87">
        <f>IFERROR(__xludf.DUMMYFUNCTION("""COMPUTED_VALUE"""),0.0)</f>
        <v>0</v>
      </c>
      <c r="W295" s="87">
        <f>IFERROR(__xludf.DUMMYFUNCTION("""COMPUTED_VALUE"""),0.0)</f>
        <v>0</v>
      </c>
      <c r="X295" s="88"/>
      <c r="Y295" s="74"/>
      <c r="Z295" s="74"/>
    </row>
    <row r="296">
      <c r="B296" s="74" t="str">
        <f>IFERROR(__xludf.DUMMYFUNCTION("""COMPUTED_VALUE"""),"1293")</f>
        <v>1293</v>
      </c>
      <c r="C296" s="74"/>
      <c r="D296" s="74" t="str">
        <f>IFERROR(__xludf.DUMMYFUNCTION("""COMPUTED_VALUE"""),"\\MCA-S\mk\2_BM\0_BMat\08_PYM\Inventario\excel\Imagen de refacciones\Putzmeister\Valvula de retención de 310 BAR")</f>
        <v>\\MCA-S\mk\2_BM\0_BMat\08_PYM\Inventario\excel\Imagen de refacciones\Putzmeister\Valvula de retención de 310 BAR</v>
      </c>
      <c r="E296" s="74"/>
      <c r="F296" s="74" t="str">
        <f>IFERROR(__xludf.DUMMYFUNCTION("""COMPUTED_VALUE"""),"VALVULA RETENCION 310 BAR")</f>
        <v>VALVULA RETENCION 310 BAR</v>
      </c>
      <c r="G296" s="74"/>
      <c r="H296" s="74"/>
      <c r="I296" s="74" t="str">
        <f>IFERROR(__xludf.DUMMYFUNCTION("""COMPUTED_VALUE"""),"251779009")</f>
        <v>251779009</v>
      </c>
      <c r="J296" s="74"/>
      <c r="K296" s="74" t="str">
        <f>IFERROR(__xludf.DUMMYFUNCTION("""COMPUTED_VALUE"""),"Putzmeister")</f>
        <v>Putzmeister</v>
      </c>
      <c r="L296" s="74" t="str">
        <f>IFERROR(__xludf.DUMMYFUNCTION("""COMPUTED_VALUE"""),"Componentes hidráulicos")</f>
        <v>Componentes hidráulicos</v>
      </c>
      <c r="M296" s="74" t="str">
        <f>IFERROR(__xludf.DUMMYFUNCTION("""COMPUTED_VALUE"""),"Sin Asignar")</f>
        <v>Sin Asignar</v>
      </c>
      <c r="N296" s="87">
        <f>IFERROR(__xludf.DUMMYFUNCTION("""COMPUTED_VALUE"""),0.0)</f>
        <v>0</v>
      </c>
      <c r="O296" s="74"/>
      <c r="P296" s="74" t="str">
        <f>IFERROR(__xludf.DUMMYFUNCTION("""COMPUTED_VALUE"""),"To Re-purchase")</f>
        <v>To Re-purchase</v>
      </c>
      <c r="Q296" s="74"/>
      <c r="R296" s="74"/>
      <c r="S296" s="87">
        <f>IFERROR(__xludf.DUMMYFUNCTION("""COMPUTED_VALUE"""),0.0)</f>
        <v>0</v>
      </c>
      <c r="T296" s="87">
        <f>IFERROR(__xludf.DUMMYFUNCTION("""COMPUTED_VALUE"""),0.0)</f>
        <v>0</v>
      </c>
      <c r="U296" s="87">
        <f>IFERROR(__xludf.DUMMYFUNCTION("""COMPUTED_VALUE"""),0.0)</f>
        <v>0</v>
      </c>
      <c r="V296" s="87">
        <f>IFERROR(__xludf.DUMMYFUNCTION("""COMPUTED_VALUE"""),0.0)</f>
        <v>0</v>
      </c>
      <c r="W296" s="87">
        <f>IFERROR(__xludf.DUMMYFUNCTION("""COMPUTED_VALUE"""),0.0)</f>
        <v>0</v>
      </c>
      <c r="X296" s="88"/>
      <c r="Y296" s="74"/>
      <c r="Z296" s="74"/>
    </row>
    <row r="297">
      <c r="B297" s="74" t="str">
        <f>IFERROR(__xludf.DUMMYFUNCTION("""COMPUTED_VALUE"""),"1294")</f>
        <v>1294</v>
      </c>
      <c r="C297" s="74"/>
      <c r="D297" s="74" t="str">
        <f>IFERROR(__xludf.DUMMYFUNCTION("""COMPUTED_VALUE"""),"\\MCA-S\mk\2_BM\0_BMat\08_PYM\Inventario\excel\Imagen de refacciones\Putzmeister\Valvula de retención de 320 BAR")</f>
        <v>\\MCA-S\mk\2_BM\0_BMat\08_PYM\Inventario\excel\Imagen de refacciones\Putzmeister\Valvula de retención de 320 BAR</v>
      </c>
      <c r="E297" s="74"/>
      <c r="F297" s="74" t="str">
        <f>IFERROR(__xludf.DUMMYFUNCTION("""COMPUTED_VALUE"""),"Valvula de retención de 320 BAR")</f>
        <v>Valvula de retención de 320 BAR</v>
      </c>
      <c r="G297" s="74"/>
      <c r="H297" s="74"/>
      <c r="I297" s="74" t="str">
        <f>IFERROR(__xludf.DUMMYFUNCTION("""COMPUTED_VALUE"""),"415655")</f>
        <v>415655</v>
      </c>
      <c r="J297" s="74"/>
      <c r="K297" s="74" t="str">
        <f>IFERROR(__xludf.DUMMYFUNCTION("""COMPUTED_VALUE"""),"Putzmeister")</f>
        <v>Putzmeister</v>
      </c>
      <c r="L297" s="74" t="str">
        <f>IFERROR(__xludf.DUMMYFUNCTION("""COMPUTED_VALUE"""),"Componentes hidráulicos")</f>
        <v>Componentes hidráulicos</v>
      </c>
      <c r="M297" s="74" t="str">
        <f>IFERROR(__xludf.DUMMYFUNCTION("""COMPUTED_VALUE"""),"Sin Asignar")</f>
        <v>Sin Asignar</v>
      </c>
      <c r="N297" s="87">
        <f>IFERROR(__xludf.DUMMYFUNCTION("""COMPUTED_VALUE"""),0.0)</f>
        <v>0</v>
      </c>
      <c r="O297" s="74"/>
      <c r="P297" s="74" t="str">
        <f>IFERROR(__xludf.DUMMYFUNCTION("""COMPUTED_VALUE"""),"No Available")</f>
        <v>No Available</v>
      </c>
      <c r="Q297" s="74"/>
      <c r="R297" s="74"/>
      <c r="S297" s="87">
        <f>IFERROR(__xludf.DUMMYFUNCTION("""COMPUTED_VALUE"""),0.0)</f>
        <v>0</v>
      </c>
      <c r="T297" s="87">
        <f>IFERROR(__xludf.DUMMYFUNCTION("""COMPUTED_VALUE"""),0.0)</f>
        <v>0</v>
      </c>
      <c r="U297" s="87">
        <f>IFERROR(__xludf.DUMMYFUNCTION("""COMPUTED_VALUE"""),0.0)</f>
        <v>0</v>
      </c>
      <c r="V297" s="87">
        <f>IFERROR(__xludf.DUMMYFUNCTION("""COMPUTED_VALUE"""),0.0)</f>
        <v>0</v>
      </c>
      <c r="W297" s="87">
        <f>IFERROR(__xludf.DUMMYFUNCTION("""COMPUTED_VALUE"""),0.0)</f>
        <v>0</v>
      </c>
      <c r="X297" s="88"/>
      <c r="Y297" s="74"/>
      <c r="Z297" s="74"/>
    </row>
    <row r="298">
      <c r="B298" s="74" t="str">
        <f>IFERROR(__xludf.DUMMYFUNCTION("""COMPUTED_VALUE"""),"1295")</f>
        <v>1295</v>
      </c>
      <c r="C298" s="74"/>
      <c r="D298" s="74" t="str">
        <f>IFERROR(__xludf.DUMMYFUNCTION("""COMPUTED_VALUE"""),"\\MCA-S\mk\2_BM\0_BMat\08_PYM\Inventario\excel\Imagen de refacciones\Putzmeister\Valvula de retención de 350 BAR")</f>
        <v>\\MCA-S\mk\2_BM\0_BMat\08_PYM\Inventario\excel\Imagen de refacciones\Putzmeister\Valvula de retención de 350 BAR</v>
      </c>
      <c r="E298" s="74"/>
      <c r="F298" s="74" t="str">
        <f>IFERROR(__xludf.DUMMYFUNCTION("""COMPUTED_VALUE"""),"Valvula de retención de 350 BAR")</f>
        <v>Valvula de retención de 350 BAR</v>
      </c>
      <c r="G298" s="74"/>
      <c r="H298" s="74"/>
      <c r="I298" s="74" t="str">
        <f>IFERROR(__xludf.DUMMYFUNCTION("""COMPUTED_VALUE"""),"412538")</f>
        <v>412538</v>
      </c>
      <c r="J298" s="74"/>
      <c r="K298" s="74" t="str">
        <f>IFERROR(__xludf.DUMMYFUNCTION("""COMPUTED_VALUE"""),"Putzmeister")</f>
        <v>Putzmeister</v>
      </c>
      <c r="L298" s="74" t="str">
        <f>IFERROR(__xludf.DUMMYFUNCTION("""COMPUTED_VALUE"""),"Componentes hidráulicos")</f>
        <v>Componentes hidráulicos</v>
      </c>
      <c r="M298" s="74" t="str">
        <f>IFERROR(__xludf.DUMMYFUNCTION("""COMPUTED_VALUE"""),"Sin Asignar")</f>
        <v>Sin Asignar</v>
      </c>
      <c r="N298" s="87">
        <f>IFERROR(__xludf.DUMMYFUNCTION("""COMPUTED_VALUE"""),0.0)</f>
        <v>0</v>
      </c>
      <c r="O298" s="74"/>
      <c r="P298" s="74" t="str">
        <f>IFERROR(__xludf.DUMMYFUNCTION("""COMPUTED_VALUE"""),"No Available")</f>
        <v>No Available</v>
      </c>
      <c r="Q298" s="74"/>
      <c r="R298" s="74"/>
      <c r="S298" s="87">
        <f>IFERROR(__xludf.DUMMYFUNCTION("""COMPUTED_VALUE"""),0.0)</f>
        <v>0</v>
      </c>
      <c r="T298" s="87">
        <f>IFERROR(__xludf.DUMMYFUNCTION("""COMPUTED_VALUE"""),0.0)</f>
        <v>0</v>
      </c>
      <c r="U298" s="87">
        <f>IFERROR(__xludf.DUMMYFUNCTION("""COMPUTED_VALUE"""),0.0)</f>
        <v>0</v>
      </c>
      <c r="V298" s="87">
        <f>IFERROR(__xludf.DUMMYFUNCTION("""COMPUTED_VALUE"""),0.0)</f>
        <v>0</v>
      </c>
      <c r="W298" s="87">
        <f>IFERROR(__xludf.DUMMYFUNCTION("""COMPUTED_VALUE"""),0.0)</f>
        <v>0</v>
      </c>
      <c r="X298" s="88"/>
      <c r="Y298" s="74"/>
      <c r="Z298" s="74"/>
    </row>
    <row r="299">
      <c r="B299" s="74" t="str">
        <f>IFERROR(__xludf.DUMMYFUNCTION("""COMPUTED_VALUE"""),"1296")</f>
        <v>1296</v>
      </c>
      <c r="C299" s="74"/>
      <c r="D299" s="74" t="str">
        <f>IFERROR(__xludf.DUMMYFUNCTION("""COMPUTED_VALUE"""),"\\MCA-S\mk\2_BM\0_BMat\08_PYM\Inventario\excel\Imagen de refacciones\Putzmeister\Válvulas de retención de 400 BAR")</f>
        <v>\\MCA-S\mk\2_BM\0_BMat\08_PYM\Inventario\excel\Imagen de refacciones\Putzmeister\Válvulas de retención de 400 BAR</v>
      </c>
      <c r="E299" s="74"/>
      <c r="F299" s="74" t="str">
        <f>IFERROR(__xludf.DUMMYFUNCTION("""COMPUTED_VALUE"""),"Válvulas de retención de 400 BAR")</f>
        <v>Válvulas de retención de 400 BAR</v>
      </c>
      <c r="G299" s="74"/>
      <c r="H299" s="74"/>
      <c r="I299" s="74" t="str">
        <f>IFERROR(__xludf.DUMMYFUNCTION("""COMPUTED_VALUE"""),"25193000")</f>
        <v>25193000</v>
      </c>
      <c r="J299" s="74"/>
      <c r="K299" s="74" t="str">
        <f>IFERROR(__xludf.DUMMYFUNCTION("""COMPUTED_VALUE"""),"Putzmeister")</f>
        <v>Putzmeister</v>
      </c>
      <c r="L299" s="74" t="str">
        <f>IFERROR(__xludf.DUMMYFUNCTION("""COMPUTED_VALUE"""),"Componentes hidráulicos")</f>
        <v>Componentes hidráulicos</v>
      </c>
      <c r="M299" s="74" t="str">
        <f>IFERROR(__xludf.DUMMYFUNCTION("""COMPUTED_VALUE"""),"Sin Asignar")</f>
        <v>Sin Asignar</v>
      </c>
      <c r="N299" s="87">
        <f>IFERROR(__xludf.DUMMYFUNCTION("""COMPUTED_VALUE"""),0.0)</f>
        <v>0</v>
      </c>
      <c r="O299" s="74"/>
      <c r="P299" s="74" t="str">
        <f>IFERROR(__xludf.DUMMYFUNCTION("""COMPUTED_VALUE"""),"No Available")</f>
        <v>No Available</v>
      </c>
      <c r="Q299" s="74"/>
      <c r="R299" s="74"/>
      <c r="S299" s="87">
        <f>IFERROR(__xludf.DUMMYFUNCTION("""COMPUTED_VALUE"""),0.0)</f>
        <v>0</v>
      </c>
      <c r="T299" s="87">
        <f>IFERROR(__xludf.DUMMYFUNCTION("""COMPUTED_VALUE"""),0.0)</f>
        <v>0</v>
      </c>
      <c r="U299" s="87">
        <f>IFERROR(__xludf.DUMMYFUNCTION("""COMPUTED_VALUE"""),0.0)</f>
        <v>0</v>
      </c>
      <c r="V299" s="87">
        <f>IFERROR(__xludf.DUMMYFUNCTION("""COMPUTED_VALUE"""),0.0)</f>
        <v>0</v>
      </c>
      <c r="W299" s="87">
        <f>IFERROR(__xludf.DUMMYFUNCTION("""COMPUTED_VALUE"""),0.0)</f>
        <v>0</v>
      </c>
      <c r="X299" s="88"/>
      <c r="Y299" s="74"/>
      <c r="Z299" s="74"/>
    </row>
    <row r="300">
      <c r="B300" s="74" t="str">
        <f>IFERROR(__xludf.DUMMYFUNCTION("""COMPUTED_VALUE"""),"1297")</f>
        <v>1297</v>
      </c>
      <c r="C300" s="74"/>
      <c r="D300" s="74" t="str">
        <f>IFERROR(__xludf.DUMMYFUNCTION("""COMPUTED_VALUE"""),"\\MCA-S\mk\2_BM\0_BMat\08_PYM\Inventario\excel\Imagen de refacciones\Putzmeister\Valvula de retención de 330 BAR")</f>
        <v>\\MCA-S\mk\2_BM\0_BMat\08_PYM\Inventario\excel\Imagen de refacciones\Putzmeister\Valvula de retención de 330 BAR</v>
      </c>
      <c r="E300" s="74"/>
      <c r="F300" s="74" t="str">
        <f>IFERROR(__xludf.DUMMYFUNCTION("""COMPUTED_VALUE"""),"Valvula de retención de 330 BAR")</f>
        <v>Valvula de retención de 330 BAR</v>
      </c>
      <c r="G300" s="74"/>
      <c r="H300" s="74"/>
      <c r="I300" s="74" t="str">
        <f>IFERROR(__xludf.DUMMYFUNCTION("""COMPUTED_VALUE"""),"413445")</f>
        <v>413445</v>
      </c>
      <c r="J300" s="74"/>
      <c r="K300" s="74" t="str">
        <f>IFERROR(__xludf.DUMMYFUNCTION("""COMPUTED_VALUE"""),"Putzmeister")</f>
        <v>Putzmeister</v>
      </c>
      <c r="L300" s="74" t="str">
        <f>IFERROR(__xludf.DUMMYFUNCTION("""COMPUTED_VALUE"""),"Componentes hidráulicos")</f>
        <v>Componentes hidráulicos</v>
      </c>
      <c r="M300" s="74" t="str">
        <f>IFERROR(__xludf.DUMMYFUNCTION("""COMPUTED_VALUE"""),"Sin Asignar")</f>
        <v>Sin Asignar</v>
      </c>
      <c r="N300" s="87">
        <f>IFERROR(__xludf.DUMMYFUNCTION("""COMPUTED_VALUE"""),0.0)</f>
        <v>0</v>
      </c>
      <c r="O300" s="74"/>
      <c r="P300" s="74" t="str">
        <f>IFERROR(__xludf.DUMMYFUNCTION("""COMPUTED_VALUE"""),"No Available")</f>
        <v>No Available</v>
      </c>
      <c r="Q300" s="74"/>
      <c r="R300" s="74"/>
      <c r="S300" s="87">
        <f>IFERROR(__xludf.DUMMYFUNCTION("""COMPUTED_VALUE"""),0.0)</f>
        <v>0</v>
      </c>
      <c r="T300" s="87">
        <f>IFERROR(__xludf.DUMMYFUNCTION("""COMPUTED_VALUE"""),0.0)</f>
        <v>0</v>
      </c>
      <c r="U300" s="87">
        <f>IFERROR(__xludf.DUMMYFUNCTION("""COMPUTED_VALUE"""),0.0)</f>
        <v>0</v>
      </c>
      <c r="V300" s="87">
        <f>IFERROR(__xludf.DUMMYFUNCTION("""COMPUTED_VALUE"""),0.0)</f>
        <v>0</v>
      </c>
      <c r="W300" s="87">
        <f>IFERROR(__xludf.DUMMYFUNCTION("""COMPUTED_VALUE"""),0.0)</f>
        <v>0</v>
      </c>
      <c r="X300" s="88"/>
      <c r="Y300" s="74"/>
      <c r="Z300" s="74"/>
    </row>
    <row r="301">
      <c r="B301" s="74" t="str">
        <f>IFERROR(__xludf.DUMMYFUNCTION("""COMPUTED_VALUE"""),"1298")</f>
        <v>1298</v>
      </c>
      <c r="C301" s="74"/>
      <c r="D301" s="74" t="str">
        <f>IFERROR(__xludf.DUMMYFUNCTION("""COMPUTED_VALUE"""),"\\MCA-S\mk\2_BM\0_BMat\08_PYM\Inventario\excel\Imagen de refacciones\Putzmeister\Valvula de retención de 360 BAR")</f>
        <v>\\MCA-S\mk\2_BM\0_BMat\08_PYM\Inventario\excel\Imagen de refacciones\Putzmeister\Valvula de retención de 360 BAR</v>
      </c>
      <c r="E301" s="74"/>
      <c r="F301" s="74" t="str">
        <f>IFERROR(__xludf.DUMMYFUNCTION("""COMPUTED_VALUE"""),"Valvula de retención de 360 BAR")</f>
        <v>Valvula de retención de 360 BAR</v>
      </c>
      <c r="G301" s="74"/>
      <c r="H301" s="74"/>
      <c r="I301" s="74" t="str">
        <f>IFERROR(__xludf.DUMMYFUNCTION("""COMPUTED_VALUE"""),"429736")</f>
        <v>429736</v>
      </c>
      <c r="J301" s="74"/>
      <c r="K301" s="74" t="str">
        <f>IFERROR(__xludf.DUMMYFUNCTION("""COMPUTED_VALUE"""),"Putzmeister")</f>
        <v>Putzmeister</v>
      </c>
      <c r="L301" s="74" t="str">
        <f>IFERROR(__xludf.DUMMYFUNCTION("""COMPUTED_VALUE"""),"Componentes hidráulicos")</f>
        <v>Componentes hidráulicos</v>
      </c>
      <c r="M301" s="74" t="str">
        <f>IFERROR(__xludf.DUMMYFUNCTION("""COMPUTED_VALUE"""),"Sin Asignar")</f>
        <v>Sin Asignar</v>
      </c>
      <c r="N301" s="87">
        <f>IFERROR(__xludf.DUMMYFUNCTION("""COMPUTED_VALUE"""),0.0)</f>
        <v>0</v>
      </c>
      <c r="O301" s="74"/>
      <c r="P301" s="74" t="str">
        <f>IFERROR(__xludf.DUMMYFUNCTION("""COMPUTED_VALUE"""),"No Available")</f>
        <v>No Available</v>
      </c>
      <c r="Q301" s="74"/>
      <c r="R301" s="74"/>
      <c r="S301" s="87">
        <f>IFERROR(__xludf.DUMMYFUNCTION("""COMPUTED_VALUE"""),0.0)</f>
        <v>0</v>
      </c>
      <c r="T301" s="87">
        <f>IFERROR(__xludf.DUMMYFUNCTION("""COMPUTED_VALUE"""),0.0)</f>
        <v>0</v>
      </c>
      <c r="U301" s="87">
        <f>IFERROR(__xludf.DUMMYFUNCTION("""COMPUTED_VALUE"""),0.0)</f>
        <v>0</v>
      </c>
      <c r="V301" s="87">
        <f>IFERROR(__xludf.DUMMYFUNCTION("""COMPUTED_VALUE"""),0.0)</f>
        <v>0</v>
      </c>
      <c r="W301" s="87">
        <f>IFERROR(__xludf.DUMMYFUNCTION("""COMPUTED_VALUE"""),0.0)</f>
        <v>0</v>
      </c>
      <c r="X301" s="88"/>
      <c r="Y301" s="74"/>
      <c r="Z301" s="74"/>
    </row>
    <row r="302">
      <c r="B302" s="74" t="str">
        <f>IFERROR(__xludf.DUMMYFUNCTION("""COMPUTED_VALUE"""),"1299")</f>
        <v>1299</v>
      </c>
      <c r="C302" s="74"/>
      <c r="D302" s="74" t="str">
        <f>IFERROR(__xludf.DUMMYFUNCTION("""COMPUTED_VALUE"""),"\\MCA-S\mk\2_BM\0_BMat\08_PYM\Inventario\excel\Imagen de refacciones\Putzmeister\Tapon hidráulico")</f>
        <v>\\MCA-S\mk\2_BM\0_BMat\08_PYM\Inventario\excel\Imagen de refacciones\Putzmeister\Tapon hidráulico</v>
      </c>
      <c r="E302" s="74"/>
      <c r="F302" s="74" t="str">
        <f>IFERROR(__xludf.DUMMYFUNCTION("""COMPUTED_VALUE"""),"Tapon hidráulico")</f>
        <v>Tapon hidráulico</v>
      </c>
      <c r="G302" s="74"/>
      <c r="H302" s="74"/>
      <c r="I302" s="74" t="str">
        <f>IFERROR(__xludf.DUMMYFUNCTION("""COMPUTED_VALUE"""),"54720066")</f>
        <v>54720066</v>
      </c>
      <c r="J302" s="74"/>
      <c r="K302" s="74" t="str">
        <f>IFERROR(__xludf.DUMMYFUNCTION("""COMPUTED_VALUE"""),"Putzmeister")</f>
        <v>Putzmeister</v>
      </c>
      <c r="L302" s="74" t="str">
        <f>IFERROR(__xludf.DUMMYFUNCTION("""COMPUTED_VALUE"""),"Componentes hidráulicos")</f>
        <v>Componentes hidráulicos</v>
      </c>
      <c r="M302" s="74" t="str">
        <f>IFERROR(__xludf.DUMMYFUNCTION("""COMPUTED_VALUE"""),"Sin Asignar")</f>
        <v>Sin Asignar</v>
      </c>
      <c r="N302" s="87">
        <f>IFERROR(__xludf.DUMMYFUNCTION("""COMPUTED_VALUE"""),0.0)</f>
        <v>0</v>
      </c>
      <c r="O302" s="74"/>
      <c r="P302" s="74" t="str">
        <f>IFERROR(__xludf.DUMMYFUNCTION("""COMPUTED_VALUE"""),"To Re-purchase")</f>
        <v>To Re-purchase</v>
      </c>
      <c r="Q302" s="74"/>
      <c r="R302" s="74"/>
      <c r="S302" s="87">
        <f>IFERROR(__xludf.DUMMYFUNCTION("""COMPUTED_VALUE"""),0.0)</f>
        <v>0</v>
      </c>
      <c r="T302" s="87">
        <f>IFERROR(__xludf.DUMMYFUNCTION("""COMPUTED_VALUE"""),0.0)</f>
        <v>0</v>
      </c>
      <c r="U302" s="87">
        <f>IFERROR(__xludf.DUMMYFUNCTION("""COMPUTED_VALUE"""),0.0)</f>
        <v>0</v>
      </c>
      <c r="V302" s="87">
        <f>IFERROR(__xludf.DUMMYFUNCTION("""COMPUTED_VALUE"""),0.0)</f>
        <v>0</v>
      </c>
      <c r="W302" s="87">
        <f>IFERROR(__xludf.DUMMYFUNCTION("""COMPUTED_VALUE"""),0.0)</f>
        <v>0</v>
      </c>
      <c r="X302" s="88"/>
      <c r="Y302" s="74"/>
      <c r="Z302" s="74"/>
    </row>
    <row r="303">
      <c r="B303" s="74" t="str">
        <f>IFERROR(__xludf.DUMMYFUNCTION("""COMPUTED_VALUE"""),"1300")</f>
        <v>1300</v>
      </c>
      <c r="C303" s="74" t="str">
        <f>IFERROR(__xludf.DUMMYFUNCTION("""COMPUTED_VALUE"""),"75045891300")</f>
        <v>75045891300</v>
      </c>
      <c r="D303" s="74" t="str">
        <f>IFERROR(__xludf.DUMMYFUNCTION("""COMPUTED_VALUE"""),"\\MCA-S\mk\2_BM\0_BMat\08_PYM\Inventario\excel\Imagen de refacciones\Putzmeister\Manguito de acoplamiento para bomba hidráulica")</f>
        <v>\\MCA-S\mk\2_BM\0_BMat\08_PYM\Inventario\excel\Imagen de refacciones\Putzmeister\Manguito de acoplamiento para bomba hidráulica</v>
      </c>
      <c r="E303" s="74"/>
      <c r="F303" s="74" t="str">
        <f>IFERROR(__xludf.DUMMYFUNCTION("""COMPUTED_VALUE"""),"MANGUITO DE ACOPLAMIENTO PARA BOMBA HIDRAULICA")</f>
        <v>MANGUITO DE ACOPLAMIENTO PARA BOMBA HIDRAULICA</v>
      </c>
      <c r="G303" s="74"/>
      <c r="H303" s="74"/>
      <c r="I303" s="74" t="str">
        <f>IFERROR(__xludf.DUMMYFUNCTION("""COMPUTED_VALUE"""),"62589006")</f>
        <v>62589006</v>
      </c>
      <c r="J303" s="74"/>
      <c r="K303" s="74" t="str">
        <f>IFERROR(__xludf.DUMMYFUNCTION("""COMPUTED_VALUE"""),"Putzmeister")</f>
        <v>Putzmeister</v>
      </c>
      <c r="L303" s="74" t="str">
        <f>IFERROR(__xludf.DUMMYFUNCTION("""COMPUTED_VALUE"""),"Transmisión mecánica")</f>
        <v>Transmisión mecánica</v>
      </c>
      <c r="M303" s="74" t="str">
        <f>IFERROR(__xludf.DUMMYFUNCTION("""COMPUTED_VALUE"""),"Sin Asignar")</f>
        <v>Sin Asignar</v>
      </c>
      <c r="N303" s="87">
        <f>IFERROR(__xludf.DUMMYFUNCTION("""COMPUTED_VALUE"""),0.0)</f>
        <v>0</v>
      </c>
      <c r="O303" s="74"/>
      <c r="P303" s="74" t="str">
        <f>IFERROR(__xludf.DUMMYFUNCTION("""COMPUTED_VALUE"""),"To Re-purchase")</f>
        <v>To Re-purchase</v>
      </c>
      <c r="Q303" s="74"/>
      <c r="R303" s="74"/>
      <c r="S303" s="87">
        <f>IFERROR(__xludf.DUMMYFUNCTION("""COMPUTED_VALUE"""),0.0)</f>
        <v>0</v>
      </c>
      <c r="T303" s="87">
        <f>IFERROR(__xludf.DUMMYFUNCTION("""COMPUTED_VALUE"""),0.0)</f>
        <v>0</v>
      </c>
      <c r="U303" s="87">
        <f>IFERROR(__xludf.DUMMYFUNCTION("""COMPUTED_VALUE"""),0.0)</f>
        <v>0</v>
      </c>
      <c r="V303" s="87">
        <f>IFERROR(__xludf.DUMMYFUNCTION("""COMPUTED_VALUE"""),0.0)</f>
        <v>0</v>
      </c>
      <c r="W303" s="87">
        <f>IFERROR(__xludf.DUMMYFUNCTION("""COMPUTED_VALUE"""),0.0)</f>
        <v>0</v>
      </c>
      <c r="X303" s="88"/>
      <c r="Y303" s="74"/>
      <c r="Z303" s="74"/>
    </row>
    <row r="304">
      <c r="B304" s="74" t="str">
        <f>IFERROR(__xludf.DUMMYFUNCTION("""COMPUTED_VALUE"""),"1301")</f>
        <v>1301</v>
      </c>
      <c r="C304" s="74" t="str">
        <f>IFERROR(__xludf.DUMMYFUNCTION("""COMPUTED_VALUE"""),"75045891301")</f>
        <v>75045891301</v>
      </c>
      <c r="D304" s="74" t="str">
        <f>IFERROR(__xludf.DUMMYFUNCTION("""COMPUTED_VALUE"""),"\\MCA-S\mk\2_BM\0_BMat\08_PYM\Inventario\excel\Imagen de refacciones\Putzmeister\Engrane para manguito")</f>
        <v>\\MCA-S\mk\2_BM\0_BMat\08_PYM\Inventario\excel\Imagen de refacciones\Putzmeister\Engrane para manguito</v>
      </c>
      <c r="E304" s="74"/>
      <c r="F304" s="74" t="str">
        <f>IFERROR(__xludf.DUMMYFUNCTION("""COMPUTED_VALUE"""),"ENGRANE PARA MANGUITO ")</f>
        <v>ENGRANE PARA MANGUITO </v>
      </c>
      <c r="G304" s="74"/>
      <c r="H304" s="74"/>
      <c r="I304" s="74" t="str">
        <f>IFERROR(__xludf.DUMMYFUNCTION("""COMPUTED_VALUE"""),"66899006")</f>
        <v>66899006</v>
      </c>
      <c r="J304" s="74"/>
      <c r="K304" s="74" t="str">
        <f>IFERROR(__xludf.DUMMYFUNCTION("""COMPUTED_VALUE"""),"Putzmeister")</f>
        <v>Putzmeister</v>
      </c>
      <c r="L304" s="74" t="str">
        <f>IFERROR(__xludf.DUMMYFUNCTION("""COMPUTED_VALUE"""),"Transmisión mecánica")</f>
        <v>Transmisión mecánica</v>
      </c>
      <c r="M304" s="74" t="str">
        <f>IFERROR(__xludf.DUMMYFUNCTION("""COMPUTED_VALUE"""),"Sin Asignar")</f>
        <v>Sin Asignar</v>
      </c>
      <c r="N304" s="87">
        <f>IFERROR(__xludf.DUMMYFUNCTION("""COMPUTED_VALUE"""),0.0)</f>
        <v>0</v>
      </c>
      <c r="O304" s="74"/>
      <c r="P304" s="74" t="str">
        <f>IFERROR(__xludf.DUMMYFUNCTION("""COMPUTED_VALUE"""),"No Available")</f>
        <v>No Available</v>
      </c>
      <c r="Q304" s="74"/>
      <c r="R304" s="74"/>
      <c r="S304" s="87">
        <f>IFERROR(__xludf.DUMMYFUNCTION("""COMPUTED_VALUE"""),0.0)</f>
        <v>0</v>
      </c>
      <c r="T304" s="87">
        <f>IFERROR(__xludf.DUMMYFUNCTION("""COMPUTED_VALUE"""),0.0)</f>
        <v>0</v>
      </c>
      <c r="U304" s="87">
        <f>IFERROR(__xludf.DUMMYFUNCTION("""COMPUTED_VALUE"""),0.0)</f>
        <v>0</v>
      </c>
      <c r="V304" s="87">
        <f>IFERROR(__xludf.DUMMYFUNCTION("""COMPUTED_VALUE"""),0.0)</f>
        <v>0</v>
      </c>
      <c r="W304" s="87">
        <f>IFERROR(__xludf.DUMMYFUNCTION("""COMPUTED_VALUE"""),0.0)</f>
        <v>0</v>
      </c>
      <c r="X304" s="88"/>
      <c r="Y304" s="74"/>
      <c r="Z304" s="74"/>
    </row>
    <row r="305">
      <c r="B305" s="74" t="str">
        <f>IFERROR(__xludf.DUMMYFUNCTION("""COMPUTED_VALUE"""),"1302")</f>
        <v>1302</v>
      </c>
      <c r="C305" s="74" t="str">
        <f>IFERROR(__xludf.DUMMYFUNCTION("""COMPUTED_VALUE"""),"75045891302")</f>
        <v>75045891302</v>
      </c>
      <c r="D305" s="74" t="str">
        <f>IFERROR(__xludf.DUMMYFUNCTION("""COMPUTED_VALUE"""),"\\MCA-S\mk\2_BM\0_BMat\08_PYM\Inventario\excel\Imagen de refacciones\Putzmeister\Flecha para caja de transferencia G64")</f>
        <v>\\MCA-S\mk\2_BM\0_BMat\08_PYM\Inventario\excel\Imagen de refacciones\Putzmeister\Flecha para caja de transferencia G64</v>
      </c>
      <c r="E305" s="74" t="str">
        <f>IFERROR(__xludf.DUMMYFUNCTION("""COMPUTED_VALUE"""),"CLUTCH SHAFT")</f>
        <v>CLUTCH SHAFT</v>
      </c>
      <c r="F305" s="74" t="str">
        <f>IFERROR(__xludf.DUMMYFUNCTION("""COMPUTED_VALUE"""),"FLECHA CAJA DE TRANSFERENCIA G64")</f>
        <v>FLECHA CAJA DE TRANSFERENCIA G64</v>
      </c>
      <c r="G305" s="74"/>
      <c r="H305" s="74"/>
      <c r="I305" s="74" t="str">
        <f>IFERROR(__xludf.DUMMYFUNCTION("""COMPUTED_VALUE"""),"284949000")</f>
        <v>284949000</v>
      </c>
      <c r="J305" s="74"/>
      <c r="K305" s="74" t="str">
        <f>IFERROR(__xludf.DUMMYFUNCTION("""COMPUTED_VALUE"""),"Putzmeister")</f>
        <v>Putzmeister</v>
      </c>
      <c r="L305" s="74" t="str">
        <f>IFERROR(__xludf.DUMMYFUNCTION("""COMPUTED_VALUE"""),"Transmisión mecánica")</f>
        <v>Transmisión mecánica</v>
      </c>
      <c r="M305" s="74" t="str">
        <f>IFERROR(__xludf.DUMMYFUNCTION("""COMPUTED_VALUE"""),"Sin Asignar")</f>
        <v>Sin Asignar</v>
      </c>
      <c r="N305" s="87">
        <f>IFERROR(__xludf.DUMMYFUNCTION("""COMPUTED_VALUE"""),0.0)</f>
        <v>0</v>
      </c>
      <c r="O305" s="74"/>
      <c r="P305" s="74" t="str">
        <f>IFERROR(__xludf.DUMMYFUNCTION("""COMPUTED_VALUE"""),"To Re-purchase")</f>
        <v>To Re-purchase</v>
      </c>
      <c r="Q305" s="74"/>
      <c r="R305" s="74"/>
      <c r="S305" s="87">
        <f>IFERROR(__xludf.DUMMYFUNCTION("""COMPUTED_VALUE"""),0.0)</f>
        <v>0</v>
      </c>
      <c r="T305" s="87">
        <f>IFERROR(__xludf.DUMMYFUNCTION("""COMPUTED_VALUE"""),0.0)</f>
        <v>0</v>
      </c>
      <c r="U305" s="87">
        <f>IFERROR(__xludf.DUMMYFUNCTION("""COMPUTED_VALUE"""),0.0)</f>
        <v>0</v>
      </c>
      <c r="V305" s="87">
        <f>IFERROR(__xludf.DUMMYFUNCTION("""COMPUTED_VALUE"""),0.0)</f>
        <v>0</v>
      </c>
      <c r="W305" s="87">
        <f>IFERROR(__xludf.DUMMYFUNCTION("""COMPUTED_VALUE"""),0.0)</f>
        <v>0</v>
      </c>
      <c r="X305" s="88"/>
      <c r="Y305" s="74"/>
      <c r="Z305" s="74"/>
    </row>
    <row r="306">
      <c r="B306" s="74" t="str">
        <f>IFERROR(__xludf.DUMMYFUNCTION("""COMPUTED_VALUE"""),"1303")</f>
        <v>1303</v>
      </c>
      <c r="C306" s="74"/>
      <c r="D306" s="74" t="str">
        <f>IFERROR(__xludf.DUMMYFUNCTION("""COMPUTED_VALUE"""),"\\MCA-S\mk\2_BM\0_BMat\08_PYM\Inventario\excel\Imagen de refacciones\Putzmeister\Kit de sellos para bomba hidráulica")</f>
        <v>\\MCA-S\mk\2_BM\0_BMat\08_PYM\Inventario\excel\Imagen de refacciones\Putzmeister\Kit de sellos para bomba hidráulica</v>
      </c>
      <c r="E306" s="74"/>
      <c r="F306" s="74" t="str">
        <f>IFERROR(__xludf.DUMMYFUNCTION("""COMPUTED_VALUE"""),"Kit de sellos para bomba hidráulica")</f>
        <v>Kit de sellos para bomba hidráulica</v>
      </c>
      <c r="G306" s="74"/>
      <c r="H306" s="74"/>
      <c r="I306" s="74" t="str">
        <f>IFERROR(__xludf.DUMMYFUNCTION("""COMPUTED_VALUE"""),"a4VG1 25-SK")</f>
        <v>a4VG1 25-SK</v>
      </c>
      <c r="J306" s="74"/>
      <c r="K306" s="74" t="str">
        <f>IFERROR(__xludf.DUMMYFUNCTION("""COMPUTED_VALUE"""),"Putzmeister")</f>
        <v>Putzmeister</v>
      </c>
      <c r="L306" s="74" t="str">
        <f>IFERROR(__xludf.DUMMYFUNCTION("""COMPUTED_VALUE"""),"Sellos y retenes")</f>
        <v>Sellos y retenes</v>
      </c>
      <c r="M306" s="74" t="str">
        <f>IFERROR(__xludf.DUMMYFUNCTION("""COMPUTED_VALUE"""),"Sin Asignar")</f>
        <v>Sin Asignar</v>
      </c>
      <c r="N306" s="87">
        <f>IFERROR(__xludf.DUMMYFUNCTION("""COMPUTED_VALUE"""),0.0)</f>
        <v>0</v>
      </c>
      <c r="O306" s="74"/>
      <c r="P306" s="74" t="str">
        <f>IFERROR(__xludf.DUMMYFUNCTION("""COMPUTED_VALUE"""),"No Available")</f>
        <v>No Available</v>
      </c>
      <c r="Q306" s="74"/>
      <c r="R306" s="74"/>
      <c r="S306" s="87">
        <f>IFERROR(__xludf.DUMMYFUNCTION("""COMPUTED_VALUE"""),0.0)</f>
        <v>0</v>
      </c>
      <c r="T306" s="87">
        <f>IFERROR(__xludf.DUMMYFUNCTION("""COMPUTED_VALUE"""),0.0)</f>
        <v>0</v>
      </c>
      <c r="U306" s="87">
        <f>IFERROR(__xludf.DUMMYFUNCTION("""COMPUTED_VALUE"""),0.0)</f>
        <v>0</v>
      </c>
      <c r="V306" s="87">
        <f>IFERROR(__xludf.DUMMYFUNCTION("""COMPUTED_VALUE"""),0.0)</f>
        <v>0</v>
      </c>
      <c r="W306" s="87">
        <f>IFERROR(__xludf.DUMMYFUNCTION("""COMPUTED_VALUE"""),0.0)</f>
        <v>0</v>
      </c>
      <c r="X306" s="88"/>
      <c r="Y306" s="74"/>
      <c r="Z306" s="74"/>
    </row>
    <row r="307">
      <c r="B307" s="74" t="str">
        <f>IFERROR(__xludf.DUMMYFUNCTION("""COMPUTED_VALUE"""),"1304")</f>
        <v>1304</v>
      </c>
      <c r="C307" s="74"/>
      <c r="D307" s="74" t="str">
        <f>IFERROR(__xludf.DUMMYFUNCTION("""COMPUTED_VALUE"""),"\\MCA-S\mk\2_BM\0_BMat\08_PYM\Inventario\excel\Imagen de refacciones\Putzmeister\Kit de sellos para bomba hidráulica (1)")</f>
        <v>\\MCA-S\mk\2_BM\0_BMat\08_PYM\Inventario\excel\Imagen de refacciones\Putzmeister\Kit de sellos para bomba hidráulica (1)</v>
      </c>
      <c r="E307" s="74"/>
      <c r="F307" s="74" t="str">
        <f>IFERROR(__xludf.DUMMYFUNCTION("""COMPUTED_VALUE"""),"Kit de sellos para bomba hidráulica")</f>
        <v>Kit de sellos para bomba hidráulica</v>
      </c>
      <c r="G307" s="74"/>
      <c r="H307" s="74"/>
      <c r="I307" s="74" t="str">
        <f>IFERROR(__xludf.DUMMYFUNCTION("""COMPUTED_VALUE"""),"A4VG1 25-SK")</f>
        <v>A4VG1 25-SK</v>
      </c>
      <c r="J307" s="74"/>
      <c r="K307" s="74" t="str">
        <f>IFERROR(__xludf.DUMMYFUNCTION("""COMPUTED_VALUE"""),"Putzmeister")</f>
        <v>Putzmeister</v>
      </c>
      <c r="L307" s="74" t="str">
        <f>IFERROR(__xludf.DUMMYFUNCTION("""COMPUTED_VALUE"""),"Sellos y retenes")</f>
        <v>Sellos y retenes</v>
      </c>
      <c r="M307" s="74" t="str">
        <f>IFERROR(__xludf.DUMMYFUNCTION("""COMPUTED_VALUE"""),"Sin Asignar")</f>
        <v>Sin Asignar</v>
      </c>
      <c r="N307" s="87">
        <f>IFERROR(__xludf.DUMMYFUNCTION("""COMPUTED_VALUE"""),0.0)</f>
        <v>0</v>
      </c>
      <c r="O307" s="74"/>
      <c r="P307" s="74" t="str">
        <f>IFERROR(__xludf.DUMMYFUNCTION("""COMPUTED_VALUE"""),"No Available")</f>
        <v>No Available</v>
      </c>
      <c r="Q307" s="74"/>
      <c r="R307" s="74"/>
      <c r="S307" s="87">
        <f>IFERROR(__xludf.DUMMYFUNCTION("""COMPUTED_VALUE"""),0.0)</f>
        <v>0</v>
      </c>
      <c r="T307" s="87">
        <f>IFERROR(__xludf.DUMMYFUNCTION("""COMPUTED_VALUE"""),0.0)</f>
        <v>0</v>
      </c>
      <c r="U307" s="87">
        <f>IFERROR(__xludf.DUMMYFUNCTION("""COMPUTED_VALUE"""),0.0)</f>
        <v>0</v>
      </c>
      <c r="V307" s="87">
        <f>IFERROR(__xludf.DUMMYFUNCTION("""COMPUTED_VALUE"""),0.0)</f>
        <v>0</v>
      </c>
      <c r="W307" s="87">
        <f>IFERROR(__xludf.DUMMYFUNCTION("""COMPUTED_VALUE"""),0.0)</f>
        <v>0</v>
      </c>
      <c r="X307" s="88"/>
      <c r="Y307" s="74"/>
      <c r="Z307" s="74"/>
    </row>
    <row r="308">
      <c r="B308" s="74" t="str">
        <f>IFERROR(__xludf.DUMMYFUNCTION("""COMPUTED_VALUE"""),"1305")</f>
        <v>1305</v>
      </c>
      <c r="C308" s="74" t="str">
        <f>IFERROR(__xludf.DUMMYFUNCTION("""COMPUTED_VALUE"""),"75045891305")</f>
        <v>75045891305</v>
      </c>
      <c r="D308" s="74" t="str">
        <f>IFERROR(__xludf.DUMMYFUNCTION("""COMPUTED_VALUE"""),"\\MCA-S\mk\2_BM\0_BMat\08_PYM\Inventario\excel\Imagen de refacciones\Putzmeister\BARRA DENTADA HUECA")</f>
        <v>\\MCA-S\mk\2_BM\0_BMat\08_PYM\Inventario\excel\Imagen de refacciones\Putzmeister\BARRA DENTADA HUECA</v>
      </c>
      <c r="E308" s="74" t="str">
        <f>IFERROR(__xludf.DUMMYFUNCTION("""COMPUTED_VALUE"""),"SPLINED SHAFT ")</f>
        <v>SPLINED SHAFT </v>
      </c>
      <c r="F308" s="74" t="str">
        <f>IFERROR(__xludf.DUMMYFUNCTION("""COMPUTED_VALUE"""),"BARRA DENTADA HUECA")</f>
        <v>BARRA DENTADA HUECA</v>
      </c>
      <c r="G308" s="74"/>
      <c r="H308" s="74"/>
      <c r="I308" s="74" t="str">
        <f>IFERROR(__xludf.DUMMYFUNCTION("""COMPUTED_VALUE"""),"284940009")</f>
        <v>284940009</v>
      </c>
      <c r="J308" s="74"/>
      <c r="K308" s="74" t="str">
        <f>IFERROR(__xludf.DUMMYFUNCTION("""COMPUTED_VALUE"""),"Putzmeister")</f>
        <v>Putzmeister</v>
      </c>
      <c r="L308" s="74" t="str">
        <f>IFERROR(__xludf.DUMMYFUNCTION("""COMPUTED_VALUE"""),"Transmisión mecánica")</f>
        <v>Transmisión mecánica</v>
      </c>
      <c r="M308" s="74" t="str">
        <f>IFERROR(__xludf.DUMMYFUNCTION("""COMPUTED_VALUE"""),"Sin Asignar")</f>
        <v>Sin Asignar</v>
      </c>
      <c r="N308" s="87">
        <f>IFERROR(__xludf.DUMMYFUNCTION("""COMPUTED_VALUE"""),0.0)</f>
        <v>0</v>
      </c>
      <c r="O308" s="74"/>
      <c r="P308" s="74" t="str">
        <f>IFERROR(__xludf.DUMMYFUNCTION("""COMPUTED_VALUE"""),"To Re-purchase")</f>
        <v>To Re-purchase</v>
      </c>
      <c r="Q308" s="74"/>
      <c r="R308" s="74"/>
      <c r="S308" s="87">
        <f>IFERROR(__xludf.DUMMYFUNCTION("""COMPUTED_VALUE"""),0.0)</f>
        <v>0</v>
      </c>
      <c r="T308" s="87">
        <f>IFERROR(__xludf.DUMMYFUNCTION("""COMPUTED_VALUE"""),0.0)</f>
        <v>0</v>
      </c>
      <c r="U308" s="87">
        <f>IFERROR(__xludf.DUMMYFUNCTION("""COMPUTED_VALUE"""),0.0)</f>
        <v>0</v>
      </c>
      <c r="V308" s="87">
        <f>IFERROR(__xludf.DUMMYFUNCTION("""COMPUTED_VALUE"""),0.0)</f>
        <v>0</v>
      </c>
      <c r="W308" s="87">
        <f>IFERROR(__xludf.DUMMYFUNCTION("""COMPUTED_VALUE"""),0.0)</f>
        <v>0</v>
      </c>
      <c r="X308" s="88"/>
      <c r="Y308" s="74"/>
      <c r="Z308" s="74"/>
    </row>
    <row r="309">
      <c r="B309" s="74" t="str">
        <f>IFERROR(__xludf.DUMMYFUNCTION("""COMPUTED_VALUE"""),"1306")</f>
        <v>1306</v>
      </c>
      <c r="C309" s="74" t="str">
        <f>IFERROR(__xludf.DUMMYFUNCTION("""COMPUTED_VALUE"""),"75045891306")</f>
        <v>75045891306</v>
      </c>
      <c r="D309" s="74" t="str">
        <f>IFERROR(__xludf.DUMMYFUNCTION("""COMPUTED_VALUE"""),"\\MCA-S\mk\2_BM\0_BMat\08_PYM\Inventario\excel\Imagen de refacciones\Putzmeister\BOMBAS DE PRECARGA")</f>
        <v>\\MCA-S\mk\2_BM\0_BMat\08_PYM\Inventario\excel\Imagen de refacciones\Putzmeister\BOMBAS DE PRECARGA</v>
      </c>
      <c r="E309" s="74"/>
      <c r="F309" s="74" t="str">
        <f>IFERROR(__xludf.DUMMYFUNCTION("""COMPUTED_VALUE"""),"BOMBAS DE PRECARGA")</f>
        <v>BOMBAS DE PRECARGA</v>
      </c>
      <c r="G309" s="74"/>
      <c r="H309" s="74"/>
      <c r="I309" s="74" t="str">
        <f>IFERROR(__xludf.DUMMYFUNCTION("""COMPUTED_VALUE"""),"A4VG125-F69")</f>
        <v>A4VG125-F69</v>
      </c>
      <c r="J309" s="74"/>
      <c r="K309" s="74" t="str">
        <f>IFERROR(__xludf.DUMMYFUNCTION("""COMPUTED_VALUE"""),"Putzmeister")</f>
        <v>Putzmeister</v>
      </c>
      <c r="L309" s="74" t="str">
        <f>IFERROR(__xludf.DUMMYFUNCTION("""COMPUTED_VALUE"""),"Sistema de bombeo de concreto")</f>
        <v>Sistema de bombeo de concreto</v>
      </c>
      <c r="M309" s="74" t="str">
        <f>IFERROR(__xludf.DUMMYFUNCTION("""COMPUTED_VALUE"""),"Sin Asignar")</f>
        <v>Sin Asignar</v>
      </c>
      <c r="N309" s="87">
        <f>IFERROR(__xludf.DUMMYFUNCTION("""COMPUTED_VALUE"""),0.0)</f>
        <v>0</v>
      </c>
      <c r="O309" s="74"/>
      <c r="P309" s="74" t="str">
        <f>IFERROR(__xludf.DUMMYFUNCTION("""COMPUTED_VALUE"""),"To Re-purchase")</f>
        <v>To Re-purchase</v>
      </c>
      <c r="Q309" s="74"/>
      <c r="R309" s="74"/>
      <c r="S309" s="87">
        <f>IFERROR(__xludf.DUMMYFUNCTION("""COMPUTED_VALUE"""),0.0)</f>
        <v>0</v>
      </c>
      <c r="T309" s="87">
        <f>IFERROR(__xludf.DUMMYFUNCTION("""COMPUTED_VALUE"""),0.0)</f>
        <v>0</v>
      </c>
      <c r="U309" s="87">
        <f>IFERROR(__xludf.DUMMYFUNCTION("""COMPUTED_VALUE"""),0.0)</f>
        <v>0</v>
      </c>
      <c r="V309" s="87">
        <f>IFERROR(__xludf.DUMMYFUNCTION("""COMPUTED_VALUE"""),0.0)</f>
        <v>0</v>
      </c>
      <c r="W309" s="87">
        <f>IFERROR(__xludf.DUMMYFUNCTION("""COMPUTED_VALUE"""),0.0)</f>
        <v>0</v>
      </c>
      <c r="X309" s="88"/>
      <c r="Y309" s="74"/>
      <c r="Z309" s="74"/>
    </row>
    <row r="310">
      <c r="B310" s="74" t="str">
        <f>IFERROR(__xludf.DUMMYFUNCTION("""COMPUTED_VALUE"""),"1307")</f>
        <v>1307</v>
      </c>
      <c r="C310" s="74" t="str">
        <f>IFERROR(__xludf.DUMMYFUNCTION("""COMPUTED_VALUE"""),"75045891307")</f>
        <v>75045891307</v>
      </c>
      <c r="D310" s="74" t="str">
        <f>IFERROR(__xludf.DUMMYFUNCTION("""COMPUTED_VALUE"""),"\\MCA-S\mk\2_BM\0_BMat\08_PYM\Inventario\excel\Imagen de refacciones\Putzmeister\Bomba hidráulica A4VG 125HD ROTACIÓN DERECHA")</f>
        <v>\\MCA-S\mk\2_BM\0_BMat\08_PYM\Inventario\excel\Imagen de refacciones\Putzmeister\Bomba hidráulica A4VG 125HD ROTACIÓN DERECHA</v>
      </c>
      <c r="E310" s="74" t="str">
        <f>IFERROR(__xludf.DUMMYFUNCTION("""COMPUTED_VALUE"""),"HYDRAULIC PUMP R A4V125HD")</f>
        <v>HYDRAULIC PUMP R A4V125HD</v>
      </c>
      <c r="F310" s="74" t="str">
        <f>IFERROR(__xludf.DUMMYFUNCTION("""COMPUTED_VALUE"""),"BOMBA HIDRAULICA A4VG 125HD ROTACIÓN DERECHA")</f>
        <v>BOMBA HIDRAULICA A4VG 125HD ROTACIÓN DERECHA</v>
      </c>
      <c r="G310" s="74"/>
      <c r="H310" s="74"/>
      <c r="I310" s="74" t="str">
        <f>IFERROR(__xludf.DUMMYFUNCTION("""COMPUTED_VALUE"""),"266680002")</f>
        <v>266680002</v>
      </c>
      <c r="J310" s="74"/>
      <c r="K310" s="74" t="str">
        <f>IFERROR(__xludf.DUMMYFUNCTION("""COMPUTED_VALUE"""),"Putzmeister")</f>
        <v>Putzmeister</v>
      </c>
      <c r="L310" s="74" t="str">
        <f>IFERROR(__xludf.DUMMYFUNCTION("""COMPUTED_VALUE"""),"Componentes hidráulicos")</f>
        <v>Componentes hidráulicos</v>
      </c>
      <c r="M310" s="74" t="str">
        <f>IFERROR(__xludf.DUMMYFUNCTION("""COMPUTED_VALUE"""),"Sin Asignar")</f>
        <v>Sin Asignar</v>
      </c>
      <c r="N310" s="87">
        <f>IFERROR(__xludf.DUMMYFUNCTION("""COMPUTED_VALUE"""),0.0)</f>
        <v>0</v>
      </c>
      <c r="O310" s="74"/>
      <c r="P310" s="74" t="str">
        <f>IFERROR(__xludf.DUMMYFUNCTION("""COMPUTED_VALUE"""),"To Re-purchase")</f>
        <v>To Re-purchase</v>
      </c>
      <c r="Q310" s="74"/>
      <c r="R310" s="74"/>
      <c r="S310" s="87">
        <f>IFERROR(__xludf.DUMMYFUNCTION("""COMPUTED_VALUE"""),0.0)</f>
        <v>0</v>
      </c>
      <c r="T310" s="87">
        <f>IFERROR(__xludf.DUMMYFUNCTION("""COMPUTED_VALUE"""),0.0)</f>
        <v>0</v>
      </c>
      <c r="U310" s="87">
        <f>IFERROR(__xludf.DUMMYFUNCTION("""COMPUTED_VALUE"""),0.0)</f>
        <v>0</v>
      </c>
      <c r="V310" s="87">
        <f>IFERROR(__xludf.DUMMYFUNCTION("""COMPUTED_VALUE"""),0.0)</f>
        <v>0</v>
      </c>
      <c r="W310" s="87">
        <f>IFERROR(__xludf.DUMMYFUNCTION("""COMPUTED_VALUE"""),0.0)</f>
        <v>0</v>
      </c>
      <c r="X310" s="88"/>
      <c r="Y310" s="74"/>
      <c r="Z310" s="74"/>
    </row>
    <row r="311">
      <c r="B311" s="74" t="str">
        <f>IFERROR(__xludf.DUMMYFUNCTION("""COMPUTED_VALUE"""),"1308")</f>
        <v>1308</v>
      </c>
      <c r="C311" s="74" t="str">
        <f>IFERROR(__xludf.DUMMYFUNCTION("""COMPUTED_VALUE"""),"75045891308")</f>
        <v>75045891308</v>
      </c>
      <c r="D311" s="74" t="str">
        <f>IFERROR(__xludf.DUMMYFUNCTION("""COMPUTED_VALUE"""),"\\MCA-S\mk\2_BM\0_BMat\08_PYM\Inventario\excel\Imagen de refacciones\Putzmeister\Kit de sellos")</f>
        <v>\\MCA-S\mk\2_BM\0_BMat\08_PYM\Inventario\excel\Imagen de refacciones\Putzmeister\Kit de sellos</v>
      </c>
      <c r="E311" s="74" t="str">
        <f>IFERROR(__xludf.DUMMYFUNCTION("""COMPUTED_VALUE"""),"SEAL SET")</f>
        <v>SEAL SET</v>
      </c>
      <c r="F311" s="74" t="str">
        <f>IFERROR(__xludf.DUMMYFUNCTION("""COMPUTED_VALUE"""),"KIT SELLOS")</f>
        <v>KIT SELLOS</v>
      </c>
      <c r="G311" s="74"/>
      <c r="H311" s="74"/>
      <c r="I311" s="74" t="str">
        <f>IFERROR(__xludf.DUMMYFUNCTION("""COMPUTED_VALUE"""),"445763")</f>
        <v>445763</v>
      </c>
      <c r="J311" s="74"/>
      <c r="K311" s="74" t="str">
        <f>IFERROR(__xludf.DUMMYFUNCTION("""COMPUTED_VALUE"""),"Putzmeister")</f>
        <v>Putzmeister</v>
      </c>
      <c r="L311" s="74" t="str">
        <f>IFERROR(__xludf.DUMMYFUNCTION("""COMPUTED_VALUE"""),"Sellos y retenes")</f>
        <v>Sellos y retenes</v>
      </c>
      <c r="M311" s="74" t="str">
        <f>IFERROR(__xludf.DUMMYFUNCTION("""COMPUTED_VALUE"""),"Sin Asignar")</f>
        <v>Sin Asignar</v>
      </c>
      <c r="N311" s="87">
        <f>IFERROR(__xludf.DUMMYFUNCTION("""COMPUTED_VALUE"""),0.0)</f>
        <v>0</v>
      </c>
      <c r="O311" s="74"/>
      <c r="P311" s="74" t="str">
        <f>IFERROR(__xludf.DUMMYFUNCTION("""COMPUTED_VALUE"""),"To Re-purchase")</f>
        <v>To Re-purchase</v>
      </c>
      <c r="Q311" s="74"/>
      <c r="R311" s="74"/>
      <c r="S311" s="87">
        <f>IFERROR(__xludf.DUMMYFUNCTION("""COMPUTED_VALUE"""),0.0)</f>
        <v>0</v>
      </c>
      <c r="T311" s="87">
        <f>IFERROR(__xludf.DUMMYFUNCTION("""COMPUTED_VALUE"""),0.0)</f>
        <v>0</v>
      </c>
      <c r="U311" s="87">
        <f>IFERROR(__xludf.DUMMYFUNCTION("""COMPUTED_VALUE"""),0.0)</f>
        <v>0</v>
      </c>
      <c r="V311" s="87">
        <f>IFERROR(__xludf.DUMMYFUNCTION("""COMPUTED_VALUE"""),0.0)</f>
        <v>0</v>
      </c>
      <c r="W311" s="87">
        <f>IFERROR(__xludf.DUMMYFUNCTION("""COMPUTED_VALUE"""),0.0)</f>
        <v>0</v>
      </c>
      <c r="X311" s="88"/>
      <c r="Y311" s="74"/>
      <c r="Z311" s="74"/>
    </row>
    <row r="312">
      <c r="B312" s="74" t="str">
        <f>IFERROR(__xludf.DUMMYFUNCTION("""COMPUTED_VALUE"""),"1309")</f>
        <v>1309</v>
      </c>
      <c r="C312" s="74" t="str">
        <f>IFERROR(__xludf.DUMMYFUNCTION("""COMPUTED_VALUE"""),"75045891309")</f>
        <v>75045891309</v>
      </c>
      <c r="D312" s="74" t="str">
        <f>IFERROR(__xludf.DUMMYFUNCTION("""COMPUTED_VALUE"""),"\\MCA-S\mk\2_BM\0_BMat\08_PYM\Inventario\excel\Imagen de refacciones\Putzmeister\Kit de sellos putzmeister  (1)")</f>
        <v>\\MCA-S\mk\2_BM\0_BMat\08_PYM\Inventario\excel\Imagen de refacciones\Putzmeister\Kit de sellos putzmeister  (1)</v>
      </c>
      <c r="E312" s="74" t="str">
        <f>IFERROR(__xludf.DUMMYFUNCTION("""COMPUTED_VALUE"""),"SEAL SET")</f>
        <v>SEAL SET</v>
      </c>
      <c r="F312" s="74" t="str">
        <f>IFERROR(__xludf.DUMMYFUNCTION("""COMPUTED_VALUE"""),"KIT SELLOS")</f>
        <v>KIT SELLOS</v>
      </c>
      <c r="G312" s="74"/>
      <c r="H312" s="74"/>
      <c r="I312" s="74" t="str">
        <f>IFERROR(__xludf.DUMMYFUNCTION("""COMPUTED_VALUE"""),"445764")</f>
        <v>445764</v>
      </c>
      <c r="J312" s="74"/>
      <c r="K312" s="74" t="str">
        <f>IFERROR(__xludf.DUMMYFUNCTION("""COMPUTED_VALUE"""),"Putzmeister")</f>
        <v>Putzmeister</v>
      </c>
      <c r="L312" s="74" t="str">
        <f>IFERROR(__xludf.DUMMYFUNCTION("""COMPUTED_VALUE"""),"Sellos y retenes")</f>
        <v>Sellos y retenes</v>
      </c>
      <c r="M312" s="74" t="str">
        <f>IFERROR(__xludf.DUMMYFUNCTION("""COMPUTED_VALUE"""),"Sin Asignar")</f>
        <v>Sin Asignar</v>
      </c>
      <c r="N312" s="87">
        <f>IFERROR(__xludf.DUMMYFUNCTION("""COMPUTED_VALUE"""),0.0)</f>
        <v>0</v>
      </c>
      <c r="O312" s="74"/>
      <c r="P312" s="74" t="str">
        <f>IFERROR(__xludf.DUMMYFUNCTION("""COMPUTED_VALUE"""),"To Re-purchase")</f>
        <v>To Re-purchase</v>
      </c>
      <c r="Q312" s="74"/>
      <c r="R312" s="74"/>
      <c r="S312" s="87">
        <f>IFERROR(__xludf.DUMMYFUNCTION("""COMPUTED_VALUE"""),0.0)</f>
        <v>0</v>
      </c>
      <c r="T312" s="87">
        <f>IFERROR(__xludf.DUMMYFUNCTION("""COMPUTED_VALUE"""),0.0)</f>
        <v>0</v>
      </c>
      <c r="U312" s="87">
        <f>IFERROR(__xludf.DUMMYFUNCTION("""COMPUTED_VALUE"""),0.0)</f>
        <v>0</v>
      </c>
      <c r="V312" s="87">
        <f>IFERROR(__xludf.DUMMYFUNCTION("""COMPUTED_VALUE"""),0.0)</f>
        <v>0</v>
      </c>
      <c r="W312" s="87">
        <f>IFERROR(__xludf.DUMMYFUNCTION("""COMPUTED_VALUE"""),0.0)</f>
        <v>0</v>
      </c>
      <c r="X312" s="88"/>
      <c r="Y312" s="74"/>
      <c r="Z312" s="74"/>
    </row>
    <row r="313">
      <c r="B313" s="74" t="str">
        <f>IFERROR(__xludf.DUMMYFUNCTION("""COMPUTED_VALUE"""),"1310")</f>
        <v>1310</v>
      </c>
      <c r="C313" s="74" t="str">
        <f>IFERROR(__xludf.DUMMYFUNCTION("""COMPUTED_VALUE"""),"75045891310")</f>
        <v>75045891310</v>
      </c>
      <c r="D313" s="74" t="str">
        <f>IFERROR(__xludf.DUMMYFUNCTION("""COMPUTED_VALUE"""),"\\MCA-S\mk\2_BM\0_BMat\08_PYM\Inventario\excel\Imagen de refacciones\Putzmeister\Electro válvula 12V")</f>
        <v>\\MCA-S\mk\2_BM\0_BMat\08_PYM\Inventario\excel\Imagen de refacciones\Putzmeister\Electro válvula 12V</v>
      </c>
      <c r="E313" s="74" t="str">
        <f>IFERROR(__xludf.DUMMYFUNCTION("""COMPUTED_VALUE"""),"SOLENOID PRESSURE CONTROL VALVE 12V")</f>
        <v>SOLENOID PRESSURE CONTROL VALVE 12V</v>
      </c>
      <c r="F313" s="74" t="str">
        <f>IFERROR(__xludf.DUMMYFUNCTION("""COMPUTED_VALUE"""),"ELECTRO VALVULA 12V / VALVULA SELENOIDE DE RETENCION HIDRAULICA PARA PLACA")</f>
        <v>ELECTRO VALVULA 12V / VALVULA SELENOIDE DE RETENCION HIDRAULICA PARA PLACA</v>
      </c>
      <c r="G313" s="74"/>
      <c r="H313" s="74"/>
      <c r="I313" s="74" t="str">
        <f>IFERROR(__xludf.DUMMYFUNCTION("""COMPUTED_VALUE"""),"SWH-G02")</f>
        <v>SWH-G02</v>
      </c>
      <c r="J313" s="74"/>
      <c r="K313" s="74" t="str">
        <f>IFERROR(__xludf.DUMMYFUNCTION("""COMPUTED_VALUE"""),"Putzmeister")</f>
        <v>Putzmeister</v>
      </c>
      <c r="L313" s="74" t="str">
        <f>IFERROR(__xludf.DUMMYFUNCTION("""COMPUTED_VALUE"""),"Componentes eléctricos")</f>
        <v>Componentes eléctricos</v>
      </c>
      <c r="M313" s="74" t="str">
        <f>IFERROR(__xludf.DUMMYFUNCTION("""COMPUTED_VALUE"""),"Sin Asignar")</f>
        <v>Sin Asignar</v>
      </c>
      <c r="N313" s="87">
        <f>IFERROR(__xludf.DUMMYFUNCTION("""COMPUTED_VALUE"""),0.0)</f>
        <v>0</v>
      </c>
      <c r="O313" s="74"/>
      <c r="P313" s="74" t="str">
        <f>IFERROR(__xludf.DUMMYFUNCTION("""COMPUTED_VALUE"""),"To Re-purchase")</f>
        <v>To Re-purchase</v>
      </c>
      <c r="Q313" s="74"/>
      <c r="R313" s="74"/>
      <c r="S313" s="87">
        <f>IFERROR(__xludf.DUMMYFUNCTION("""COMPUTED_VALUE"""),0.0)</f>
        <v>0</v>
      </c>
      <c r="T313" s="87">
        <f>IFERROR(__xludf.DUMMYFUNCTION("""COMPUTED_VALUE"""),0.0)</f>
        <v>0</v>
      </c>
      <c r="U313" s="87">
        <f>IFERROR(__xludf.DUMMYFUNCTION("""COMPUTED_VALUE"""),0.0)</f>
        <v>0</v>
      </c>
      <c r="V313" s="87">
        <f>IFERROR(__xludf.DUMMYFUNCTION("""COMPUTED_VALUE"""),0.0)</f>
        <v>0</v>
      </c>
      <c r="W313" s="87">
        <f>IFERROR(__xludf.DUMMYFUNCTION("""COMPUTED_VALUE"""),0.0)</f>
        <v>0</v>
      </c>
      <c r="X313" s="88"/>
      <c r="Y313" s="74"/>
      <c r="Z313" s="74"/>
    </row>
    <row r="314">
      <c r="B314" s="74" t="str">
        <f>IFERROR(__xludf.DUMMYFUNCTION("""COMPUTED_VALUE"""),"1311")</f>
        <v>1311</v>
      </c>
      <c r="C314" s="74" t="str">
        <f>IFERROR(__xludf.DUMMYFUNCTION("""COMPUTED_VALUE"""),"75045891311")</f>
        <v>75045891311</v>
      </c>
      <c r="D314" s="74" t="str">
        <f>IFERROR(__xludf.DUMMYFUNCTION("""COMPUTED_VALUE"""),"\\MCA-S\mk\2_BM\0_BMat\08_PYM\Inventario\excel\Imagen de refacciones\Putzmeister\Loderas putzmeister")</f>
        <v>\\MCA-S\mk\2_BM\0_BMat\08_PYM\Inventario\excel\Imagen de refacciones\Putzmeister\Loderas putzmeister</v>
      </c>
      <c r="E314" s="74" t="str">
        <f>IFERROR(__xludf.DUMMYFUNCTION("""COMPUTED_VALUE"""),"MUD FLAPS")</f>
        <v>MUD FLAPS</v>
      </c>
      <c r="F314" s="74" t="str">
        <f>IFERROR(__xludf.DUMMYFUNCTION("""COMPUTED_VALUE"""),"LODERAS")</f>
        <v>LODERAS</v>
      </c>
      <c r="G314" s="74"/>
      <c r="H314" s="74"/>
      <c r="I314" s="74" t="str">
        <f>IFERROR(__xludf.DUMMYFUNCTION("""COMPUTED_VALUE"""),"441523")</f>
        <v>441523</v>
      </c>
      <c r="J314" s="74"/>
      <c r="K314" s="74" t="str">
        <f>IFERROR(__xludf.DUMMYFUNCTION("""COMPUTED_VALUE"""),"Putzmeister")</f>
        <v>Putzmeister</v>
      </c>
      <c r="L314" s="74" t="str">
        <f>IFERROR(__xludf.DUMMYFUNCTION("""COMPUTED_VALUE"""),"Componentes estructurales y de montaje")</f>
        <v>Componentes estructurales y de montaje</v>
      </c>
      <c r="M314" s="74" t="str">
        <f>IFERROR(__xludf.DUMMYFUNCTION("""COMPUTED_VALUE"""),"Sin Asignar")</f>
        <v>Sin Asignar</v>
      </c>
      <c r="N314" s="87">
        <f>IFERROR(__xludf.DUMMYFUNCTION("""COMPUTED_VALUE"""),0.0)</f>
        <v>0</v>
      </c>
      <c r="O314" s="74"/>
      <c r="P314" s="74" t="str">
        <f>IFERROR(__xludf.DUMMYFUNCTION("""COMPUTED_VALUE"""),"To Re-purchase")</f>
        <v>To Re-purchase</v>
      </c>
      <c r="Q314" s="74"/>
      <c r="R314" s="74"/>
      <c r="S314" s="87">
        <f>IFERROR(__xludf.DUMMYFUNCTION("""COMPUTED_VALUE"""),0.0)</f>
        <v>0</v>
      </c>
      <c r="T314" s="87">
        <f>IFERROR(__xludf.DUMMYFUNCTION("""COMPUTED_VALUE"""),0.0)</f>
        <v>0</v>
      </c>
      <c r="U314" s="87">
        <f>IFERROR(__xludf.DUMMYFUNCTION("""COMPUTED_VALUE"""),0.0)</f>
        <v>0</v>
      </c>
      <c r="V314" s="87">
        <f>IFERROR(__xludf.DUMMYFUNCTION("""COMPUTED_VALUE"""),0.0)</f>
        <v>0</v>
      </c>
      <c r="W314" s="87">
        <f>IFERROR(__xludf.DUMMYFUNCTION("""COMPUTED_VALUE"""),0.0)</f>
        <v>0</v>
      </c>
      <c r="X314" s="88"/>
      <c r="Y314" s="74"/>
      <c r="Z314" s="74"/>
    </row>
    <row r="315">
      <c r="B315" s="74" t="str">
        <f>IFERROR(__xludf.DUMMYFUNCTION("""COMPUTED_VALUE"""),"1312")</f>
        <v>1312</v>
      </c>
      <c r="C315" s="74" t="str">
        <f>IFERROR(__xludf.DUMMYFUNCTION("""COMPUTED_VALUE"""),"75045891312")</f>
        <v>75045891312</v>
      </c>
      <c r="D315" s="74" t="str">
        <f>IFERROR(__xludf.DUMMYFUNCTION("""COMPUTED_VALUE"""),"\\MCA-S\mk\2_BM\0_BMat\08_PYM\Inventario\excel\Imagen de refacciones\Putzmeister\Cable para sensor de proximidad 750m")</f>
        <v>\\MCA-S\mk\2_BM\0_BMat\08_PYM\Inventario\excel\Imagen de refacciones\Putzmeister\Cable para sensor de proximidad 750m</v>
      </c>
      <c r="E315" s="74" t="str">
        <f>IFERROR(__xludf.DUMMYFUNCTION("""COMPUTED_VALUE"""),"PROXIMITY SWITCH CONNECTING CABLE 750cm")</f>
        <v>PROXIMITY SWITCH CONNECTING CABLE 750cm</v>
      </c>
      <c r="F315" s="74" t="str">
        <f>IFERROR(__xludf.DUMMYFUNCTION("""COMPUTED_VALUE"""),"CABLE SENSOR DE PROXIMIDAD 750cm")</f>
        <v>CABLE SENSOR DE PROXIMIDAD 750cm</v>
      </c>
      <c r="G315" s="74"/>
      <c r="H315" s="74"/>
      <c r="I315" s="74" t="str">
        <f>IFERROR(__xludf.DUMMYFUNCTION("""COMPUTED_VALUE"""),"259748003")</f>
        <v>259748003</v>
      </c>
      <c r="J315" s="74"/>
      <c r="K315" s="74" t="str">
        <f>IFERROR(__xludf.DUMMYFUNCTION("""COMPUTED_VALUE"""),"Putzmeister")</f>
        <v>Putzmeister</v>
      </c>
      <c r="L315" s="74" t="str">
        <f>IFERROR(__xludf.DUMMYFUNCTION("""COMPUTED_VALUE"""),"Componentes eléctricos")</f>
        <v>Componentes eléctricos</v>
      </c>
      <c r="M315" s="74" t="str">
        <f>IFERROR(__xludf.DUMMYFUNCTION("""COMPUTED_VALUE"""),"Sin Asignar")</f>
        <v>Sin Asignar</v>
      </c>
      <c r="N315" s="87">
        <f>IFERROR(__xludf.DUMMYFUNCTION("""COMPUTED_VALUE"""),0.0)</f>
        <v>0</v>
      </c>
      <c r="O315" s="74"/>
      <c r="P315" s="74" t="str">
        <f>IFERROR(__xludf.DUMMYFUNCTION("""COMPUTED_VALUE"""),"To Re-purchase")</f>
        <v>To Re-purchase</v>
      </c>
      <c r="Q315" s="74"/>
      <c r="R315" s="74"/>
      <c r="S315" s="87">
        <f>IFERROR(__xludf.DUMMYFUNCTION("""COMPUTED_VALUE"""),0.0)</f>
        <v>0</v>
      </c>
      <c r="T315" s="87">
        <f>IFERROR(__xludf.DUMMYFUNCTION("""COMPUTED_VALUE"""),0.0)</f>
        <v>0</v>
      </c>
      <c r="U315" s="87">
        <f>IFERROR(__xludf.DUMMYFUNCTION("""COMPUTED_VALUE"""),0.0)</f>
        <v>0</v>
      </c>
      <c r="V315" s="87">
        <f>IFERROR(__xludf.DUMMYFUNCTION("""COMPUTED_VALUE"""),0.0)</f>
        <v>0</v>
      </c>
      <c r="W315" s="87">
        <f>IFERROR(__xludf.DUMMYFUNCTION("""COMPUTED_VALUE"""),0.0)</f>
        <v>0</v>
      </c>
      <c r="X315" s="88"/>
      <c r="Y315" s="74"/>
      <c r="Z315" s="74"/>
    </row>
    <row r="316">
      <c r="B316" s="74" t="str">
        <f>IFERROR(__xludf.DUMMYFUNCTION("""COMPUTED_VALUE"""),"1313")</f>
        <v>1313</v>
      </c>
      <c r="C316" s="74" t="str">
        <f>IFERROR(__xludf.DUMMYFUNCTION("""COMPUTED_VALUE"""),"75045891313")</f>
        <v>75045891313</v>
      </c>
      <c r="D316" s="74" t="str">
        <f>IFERROR(__xludf.DUMMYFUNCTION("""COMPUTED_VALUE"""),"\\MCA-S\mk\2_BM\0_BMat\08_PYM\Inventario\excel\Imagen de refacciones\Putzmeister\Cable para sensor de proximidad 2 mts")</f>
        <v>\\MCA-S\mk\2_BM\0_BMat\08_PYM\Inventario\excel\Imagen de refacciones\Putzmeister\Cable para sensor de proximidad 2 mts</v>
      </c>
      <c r="E316" s="74" t="str">
        <f>IFERROR(__xludf.DUMMYFUNCTION("""COMPUTED_VALUE"""),"PROXIMITY SWITCH CONNECTING CABLE 2m")</f>
        <v>PROXIMITY SWITCH CONNECTING CABLE 2m</v>
      </c>
      <c r="F316" s="74" t="str">
        <f>IFERROR(__xludf.DUMMYFUNCTION("""COMPUTED_VALUE"""),"CABLE SENSOR DE PROXIMIDAD 2m")</f>
        <v>CABLE SENSOR DE PROXIMIDAD 2m</v>
      </c>
      <c r="G316" s="74"/>
      <c r="H316" s="74"/>
      <c r="I316" s="74" t="str">
        <f>IFERROR(__xludf.DUMMYFUNCTION("""COMPUTED_VALUE"""),"257562003")</f>
        <v>257562003</v>
      </c>
      <c r="J316" s="74"/>
      <c r="K316" s="74" t="str">
        <f>IFERROR(__xludf.DUMMYFUNCTION("""COMPUTED_VALUE"""),"Putzmeister")</f>
        <v>Putzmeister</v>
      </c>
      <c r="L316" s="74" t="str">
        <f>IFERROR(__xludf.DUMMYFUNCTION("""COMPUTED_VALUE"""),"Componentes eléctricos")</f>
        <v>Componentes eléctricos</v>
      </c>
      <c r="M316" s="74" t="str">
        <f>IFERROR(__xludf.DUMMYFUNCTION("""COMPUTED_VALUE"""),"Sin Asignar")</f>
        <v>Sin Asignar</v>
      </c>
      <c r="N316" s="87">
        <f>IFERROR(__xludf.DUMMYFUNCTION("""COMPUTED_VALUE"""),0.0)</f>
        <v>0</v>
      </c>
      <c r="O316" s="74"/>
      <c r="P316" s="74" t="str">
        <f>IFERROR(__xludf.DUMMYFUNCTION("""COMPUTED_VALUE"""),"To Re-purchase")</f>
        <v>To Re-purchase</v>
      </c>
      <c r="Q316" s="74"/>
      <c r="R316" s="74"/>
      <c r="S316" s="87">
        <f>IFERROR(__xludf.DUMMYFUNCTION("""COMPUTED_VALUE"""),0.0)</f>
        <v>0</v>
      </c>
      <c r="T316" s="87">
        <f>IFERROR(__xludf.DUMMYFUNCTION("""COMPUTED_VALUE"""),0.0)</f>
        <v>0</v>
      </c>
      <c r="U316" s="87">
        <f>IFERROR(__xludf.DUMMYFUNCTION("""COMPUTED_VALUE"""),0.0)</f>
        <v>0</v>
      </c>
      <c r="V316" s="87">
        <f>IFERROR(__xludf.DUMMYFUNCTION("""COMPUTED_VALUE"""),0.0)</f>
        <v>0</v>
      </c>
      <c r="W316" s="87">
        <f>IFERROR(__xludf.DUMMYFUNCTION("""COMPUTED_VALUE"""),0.0)</f>
        <v>0</v>
      </c>
      <c r="X316" s="88"/>
      <c r="Y316" s="74"/>
      <c r="Z316" s="74"/>
    </row>
    <row r="317">
      <c r="B317" s="74" t="str">
        <f>IFERROR(__xludf.DUMMYFUNCTION("""COMPUTED_VALUE"""),"1314")</f>
        <v>1314</v>
      </c>
      <c r="C317" s="74" t="str">
        <f>IFERROR(__xludf.DUMMYFUNCTION("""COMPUTED_VALUE"""),"75045891314")</f>
        <v>75045891314</v>
      </c>
      <c r="D317" s="74" t="str">
        <f>IFERROR(__xludf.DUMMYFUNCTION("""COMPUTED_VALUE"""),"\\MCA-S\mk\2_BM\0_BMat\08_PYM\Inventario\excel\Imagen de refacciones\Putzmeister\Cable para sensor de proximidad 3mts")</f>
        <v>\\MCA-S\mk\2_BM\0_BMat\08_PYM\Inventario\excel\Imagen de refacciones\Putzmeister\Cable para sensor de proximidad 3mts</v>
      </c>
      <c r="E317" s="74" t="str">
        <f>IFERROR(__xludf.DUMMYFUNCTION("""COMPUTED_VALUE"""),"PROXIMITY SWITCH CONNECTING CABLE 3m")</f>
        <v>PROXIMITY SWITCH CONNECTING CABLE 3m</v>
      </c>
      <c r="F317" s="74" t="str">
        <f>IFERROR(__xludf.DUMMYFUNCTION("""COMPUTED_VALUE"""),"CABLE SENSOR DE PROXIMIDAD 3m")</f>
        <v>CABLE SENSOR DE PROXIMIDAD 3m</v>
      </c>
      <c r="G317" s="74"/>
      <c r="H317" s="74"/>
      <c r="I317" s="74" t="str">
        <f>IFERROR(__xludf.DUMMYFUNCTION("""COMPUTED_VALUE"""),"257563002")</f>
        <v>257563002</v>
      </c>
      <c r="J317" s="74"/>
      <c r="K317" s="74" t="str">
        <f>IFERROR(__xludf.DUMMYFUNCTION("""COMPUTED_VALUE"""),"Putzmeister")</f>
        <v>Putzmeister</v>
      </c>
      <c r="L317" s="74" t="str">
        <f>IFERROR(__xludf.DUMMYFUNCTION("""COMPUTED_VALUE"""),"Componentes eléctricos")</f>
        <v>Componentes eléctricos</v>
      </c>
      <c r="M317" s="74" t="str">
        <f>IFERROR(__xludf.DUMMYFUNCTION("""COMPUTED_VALUE"""),"Sin Asignar")</f>
        <v>Sin Asignar</v>
      </c>
      <c r="N317" s="87">
        <f>IFERROR(__xludf.DUMMYFUNCTION("""COMPUTED_VALUE"""),0.0)</f>
        <v>0</v>
      </c>
      <c r="O317" s="74"/>
      <c r="P317" s="74" t="str">
        <f>IFERROR(__xludf.DUMMYFUNCTION("""COMPUTED_VALUE"""),"To Re-purchase")</f>
        <v>To Re-purchase</v>
      </c>
      <c r="Q317" s="74"/>
      <c r="R317" s="74"/>
      <c r="S317" s="87">
        <f>IFERROR(__xludf.DUMMYFUNCTION("""COMPUTED_VALUE"""),0.0)</f>
        <v>0</v>
      </c>
      <c r="T317" s="87">
        <f>IFERROR(__xludf.DUMMYFUNCTION("""COMPUTED_VALUE"""),0.0)</f>
        <v>0</v>
      </c>
      <c r="U317" s="87">
        <f>IFERROR(__xludf.DUMMYFUNCTION("""COMPUTED_VALUE"""),0.0)</f>
        <v>0</v>
      </c>
      <c r="V317" s="87">
        <f>IFERROR(__xludf.DUMMYFUNCTION("""COMPUTED_VALUE"""),0.0)</f>
        <v>0</v>
      </c>
      <c r="W317" s="87">
        <f>IFERROR(__xludf.DUMMYFUNCTION("""COMPUTED_VALUE"""),0.0)</f>
        <v>0</v>
      </c>
      <c r="X317" s="88"/>
      <c r="Y317" s="74"/>
      <c r="Z317" s="74"/>
    </row>
    <row r="318">
      <c r="B318" s="74" t="str">
        <f>IFERROR(__xludf.DUMMYFUNCTION("""COMPUTED_VALUE"""),"1315")</f>
        <v>1315</v>
      </c>
      <c r="C318" s="74"/>
      <c r="D318" s="74" t="str">
        <f>IFERROR(__xludf.DUMMYFUNCTION("""COMPUTED_VALUE"""),"\\MCA-S\mk\2_BM\0_BMat\08_PYM\Inventario\excel\Imagen de refacciones\Putzmeister\Limit swicht")</f>
        <v>\\MCA-S\mk\2_BM\0_BMat\08_PYM\Inventario\excel\Imagen de refacciones\Putzmeister\Limit swicht</v>
      </c>
      <c r="E318" s="74"/>
      <c r="F318" s="74" t="str">
        <f>IFERROR(__xludf.DUMMYFUNCTION("""COMPUTED_VALUE"""),"Limit swicht")</f>
        <v>Limit swicht</v>
      </c>
      <c r="G318" s="74"/>
      <c r="H318" s="74"/>
      <c r="I318" s="74" t="str">
        <f>IFERROR(__xludf.DUMMYFUNCTION("""COMPUTED_VALUE"""),"6763004")</f>
        <v>6763004</v>
      </c>
      <c r="J318" s="74"/>
      <c r="K318" s="74" t="str">
        <f>IFERROR(__xludf.DUMMYFUNCTION("""COMPUTED_VALUE"""),"Putzmeister")</f>
        <v>Putzmeister</v>
      </c>
      <c r="L318" s="74" t="str">
        <f>IFERROR(__xludf.DUMMYFUNCTION("""COMPUTED_VALUE"""),"Componentes eléctricos")</f>
        <v>Componentes eléctricos</v>
      </c>
      <c r="M318" s="74" t="str">
        <f>IFERROR(__xludf.DUMMYFUNCTION("""COMPUTED_VALUE"""),"Sin Asignar")</f>
        <v>Sin Asignar</v>
      </c>
      <c r="N318" s="87">
        <f>IFERROR(__xludf.DUMMYFUNCTION("""COMPUTED_VALUE"""),0.0)</f>
        <v>0</v>
      </c>
      <c r="O318" s="74"/>
      <c r="P318" s="74" t="str">
        <f>IFERROR(__xludf.DUMMYFUNCTION("""COMPUTED_VALUE"""),"No Available")</f>
        <v>No Available</v>
      </c>
      <c r="Q318" s="74"/>
      <c r="R318" s="74"/>
      <c r="S318" s="87">
        <f>IFERROR(__xludf.DUMMYFUNCTION("""COMPUTED_VALUE"""),0.0)</f>
        <v>0</v>
      </c>
      <c r="T318" s="87">
        <f>IFERROR(__xludf.DUMMYFUNCTION("""COMPUTED_VALUE"""),0.0)</f>
        <v>0</v>
      </c>
      <c r="U318" s="87">
        <f>IFERROR(__xludf.DUMMYFUNCTION("""COMPUTED_VALUE"""),0.0)</f>
        <v>0</v>
      </c>
      <c r="V318" s="87">
        <f>IFERROR(__xludf.DUMMYFUNCTION("""COMPUTED_VALUE"""),0.0)</f>
        <v>0</v>
      </c>
      <c r="W318" s="87">
        <f>IFERROR(__xludf.DUMMYFUNCTION("""COMPUTED_VALUE"""),0.0)</f>
        <v>0</v>
      </c>
      <c r="X318" s="88"/>
      <c r="Y318" s="74"/>
      <c r="Z318" s="74"/>
    </row>
    <row r="319">
      <c r="B319" s="74" t="str">
        <f>IFERROR(__xludf.DUMMYFUNCTION("""COMPUTED_VALUE"""),"1316")</f>
        <v>1316</v>
      </c>
      <c r="C319" s="74" t="str">
        <f>IFERROR(__xludf.DUMMYFUNCTION("""COMPUTED_VALUE"""),"75045891316")</f>
        <v>75045891316</v>
      </c>
      <c r="D319" s="74" t="str">
        <f>IFERROR(__xludf.DUMMYFUNCTION("""COMPUTED_VALUE"""),"\\MCA-S\mk\2_BM\0_BMat\08_PYM\Inventario\excel\Imagen de refacciones\Putzmeister\selenoide 24V")</f>
        <v>\\MCA-S\mk\2_BM\0_BMat\08_PYM\Inventario\excel\Imagen de refacciones\Putzmeister\selenoide 24V</v>
      </c>
      <c r="E319" s="74" t="str">
        <f>IFERROR(__xludf.DUMMYFUNCTION("""COMPUTED_VALUE"""),"SOLENOID 24V")</f>
        <v>SOLENOID 24V</v>
      </c>
      <c r="F319" s="74" t="str">
        <f>IFERROR(__xludf.DUMMYFUNCTION("""COMPUTED_VALUE"""),"SELENOIDE 24V")</f>
        <v>SELENOIDE 24V</v>
      </c>
      <c r="G319" s="74"/>
      <c r="H319" s="74"/>
      <c r="I319" s="74" t="str">
        <f>IFERROR(__xludf.DUMMYFUNCTION("""COMPUTED_VALUE"""),"256078006")</f>
        <v>256078006</v>
      </c>
      <c r="J319" s="74"/>
      <c r="K319" s="74" t="str">
        <f>IFERROR(__xludf.DUMMYFUNCTION("""COMPUTED_VALUE"""),"Putzmeister")</f>
        <v>Putzmeister</v>
      </c>
      <c r="L319" s="74" t="str">
        <f>IFERROR(__xludf.DUMMYFUNCTION("""COMPUTED_VALUE"""),"Componentes eléctricos")</f>
        <v>Componentes eléctricos</v>
      </c>
      <c r="M319" s="74" t="str">
        <f>IFERROR(__xludf.DUMMYFUNCTION("""COMPUTED_VALUE"""),"Sin Asignar")</f>
        <v>Sin Asignar</v>
      </c>
      <c r="N319" s="87">
        <f>IFERROR(__xludf.DUMMYFUNCTION("""COMPUTED_VALUE"""),0.0)</f>
        <v>0</v>
      </c>
      <c r="O319" s="74"/>
      <c r="P319" s="74" t="str">
        <f>IFERROR(__xludf.DUMMYFUNCTION("""COMPUTED_VALUE"""),"To Re-purchase")</f>
        <v>To Re-purchase</v>
      </c>
      <c r="Q319" s="74"/>
      <c r="R319" s="74"/>
      <c r="S319" s="87">
        <f>IFERROR(__xludf.DUMMYFUNCTION("""COMPUTED_VALUE"""),0.0)</f>
        <v>0</v>
      </c>
      <c r="T319" s="87">
        <f>IFERROR(__xludf.DUMMYFUNCTION("""COMPUTED_VALUE"""),0.0)</f>
        <v>0</v>
      </c>
      <c r="U319" s="87">
        <f>IFERROR(__xludf.DUMMYFUNCTION("""COMPUTED_VALUE"""),0.0)</f>
        <v>0</v>
      </c>
      <c r="V319" s="87">
        <f>IFERROR(__xludf.DUMMYFUNCTION("""COMPUTED_VALUE"""),0.0)</f>
        <v>0</v>
      </c>
      <c r="W319" s="87">
        <f>IFERROR(__xludf.DUMMYFUNCTION("""COMPUTED_VALUE"""),0.0)</f>
        <v>0</v>
      </c>
      <c r="X319" s="88"/>
      <c r="Y319" s="74"/>
      <c r="Z319" s="74"/>
    </row>
    <row r="320">
      <c r="B320" s="74" t="str">
        <f>IFERROR(__xludf.DUMMYFUNCTION("""COMPUTED_VALUE"""),"1317")</f>
        <v>1317</v>
      </c>
      <c r="C320" s="74"/>
      <c r="D320" s="74" t="str">
        <f>IFERROR(__xludf.DUMMYFUNCTION("""COMPUTED_VALUE"""),"\\MCA-S\mk\2_BM\0_BMat\08_PYM\Inventario\excel\Imagen de refacciones\Putzmeister\Control press reducer")</f>
        <v>\\MCA-S\mk\2_BM\0_BMat\08_PYM\Inventario\excel\Imagen de refacciones\Putzmeister\Control press reducer</v>
      </c>
      <c r="E320" s="74"/>
      <c r="F320" s="74" t="str">
        <f>IFERROR(__xludf.DUMMYFUNCTION("""COMPUTED_VALUE"""),"CONTROL PRESS REDUCER ")</f>
        <v>CONTROL PRESS REDUCER </v>
      </c>
      <c r="G320" s="74"/>
      <c r="H320" s="74"/>
      <c r="I320" s="74" t="str">
        <f>IFERROR(__xludf.DUMMYFUNCTION("""COMPUTED_VALUE"""),"258897007")</f>
        <v>258897007</v>
      </c>
      <c r="J320" s="74"/>
      <c r="K320" s="74" t="str">
        <f>IFERROR(__xludf.DUMMYFUNCTION("""COMPUTED_VALUE"""),"Putzmeister")</f>
        <v>Putzmeister</v>
      </c>
      <c r="L320" s="74" t="str">
        <f>IFERROR(__xludf.DUMMYFUNCTION("""COMPUTED_VALUE"""),"Elementos de medición y control")</f>
        <v>Elementos de medición y control</v>
      </c>
      <c r="M320" s="74" t="str">
        <f>IFERROR(__xludf.DUMMYFUNCTION("""COMPUTED_VALUE"""),"Sin Asignar")</f>
        <v>Sin Asignar</v>
      </c>
      <c r="N320" s="87">
        <f>IFERROR(__xludf.DUMMYFUNCTION("""COMPUTED_VALUE"""),0.0)</f>
        <v>0</v>
      </c>
      <c r="O320" s="74"/>
      <c r="P320" s="74" t="str">
        <f>IFERROR(__xludf.DUMMYFUNCTION("""COMPUTED_VALUE"""),"No Available")</f>
        <v>No Available</v>
      </c>
      <c r="Q320" s="74"/>
      <c r="R320" s="74"/>
      <c r="S320" s="87">
        <f>IFERROR(__xludf.DUMMYFUNCTION("""COMPUTED_VALUE"""),0.0)</f>
        <v>0</v>
      </c>
      <c r="T320" s="87">
        <f>IFERROR(__xludf.DUMMYFUNCTION("""COMPUTED_VALUE"""),0.0)</f>
        <v>0</v>
      </c>
      <c r="U320" s="87">
        <f>IFERROR(__xludf.DUMMYFUNCTION("""COMPUTED_VALUE"""),0.0)</f>
        <v>0</v>
      </c>
      <c r="V320" s="87">
        <f>IFERROR(__xludf.DUMMYFUNCTION("""COMPUTED_VALUE"""),0.0)</f>
        <v>0</v>
      </c>
      <c r="W320" s="87">
        <f>IFERROR(__xludf.DUMMYFUNCTION("""COMPUTED_VALUE"""),0.0)</f>
        <v>0</v>
      </c>
      <c r="X320" s="88"/>
      <c r="Y320" s="74"/>
      <c r="Z320" s="74"/>
    </row>
    <row r="321">
      <c r="B321" s="74" t="str">
        <f>IFERROR(__xludf.DUMMYFUNCTION("""COMPUTED_VALUE"""),"1318")</f>
        <v>1318</v>
      </c>
      <c r="C321" s="74" t="str">
        <f>IFERROR(__xludf.DUMMYFUNCTION("""COMPUTED_VALUE"""),"75045891318")</f>
        <v>75045891318</v>
      </c>
      <c r="D321" s="74" t="str">
        <f>IFERROR(__xludf.DUMMYFUNCTION("""COMPUTED_VALUE"""),"\\MCA-S\mk\2_BM\0_BMat\08_PYM\Inventario\excel\Imagen de refacciones\Putzmeister\Engrane para caja de transferencia 46T")</f>
        <v>\\MCA-S\mk\2_BM\0_BMat\08_PYM\Inventario\excel\Imagen de refacciones\Putzmeister\Engrane para caja de transferencia 46T</v>
      </c>
      <c r="E321" s="74" t="str">
        <f>IFERROR(__xludf.DUMMYFUNCTION("""COMPUTED_VALUE"""),"TEETH CONCRETE PUMP TRUCK SPARE PARTS ")</f>
        <v>TEETH CONCRETE PUMP TRUCK SPARE PARTS </v>
      </c>
      <c r="F321" s="74" t="str">
        <f>IFERROR(__xludf.DUMMYFUNCTION("""COMPUTED_VALUE"""),"ENGRANE PARA CAJA DE TRANSFERENCIA 46T")</f>
        <v>ENGRANE PARA CAJA DE TRANSFERENCIA 46T</v>
      </c>
      <c r="G321" s="74"/>
      <c r="H321" s="74"/>
      <c r="I321" s="74" t="str">
        <f>IFERROR(__xludf.DUMMYFUNCTION("""COMPUTED_VALUE"""),"222199003")</f>
        <v>222199003</v>
      </c>
      <c r="J321" s="74"/>
      <c r="K321" s="74" t="str">
        <f>IFERROR(__xludf.DUMMYFUNCTION("""COMPUTED_VALUE"""),"Putzmeister")</f>
        <v>Putzmeister</v>
      </c>
      <c r="L321" s="74" t="str">
        <f>IFERROR(__xludf.DUMMYFUNCTION("""COMPUTED_VALUE"""),"Transmisión mecánica")</f>
        <v>Transmisión mecánica</v>
      </c>
      <c r="M321" s="74" t="str">
        <f>IFERROR(__xludf.DUMMYFUNCTION("""COMPUTED_VALUE"""),"Sin Asignar")</f>
        <v>Sin Asignar</v>
      </c>
      <c r="N321" s="87">
        <f>IFERROR(__xludf.DUMMYFUNCTION("""COMPUTED_VALUE"""),0.0)</f>
        <v>0</v>
      </c>
      <c r="O321" s="74"/>
      <c r="P321" s="74" t="str">
        <f>IFERROR(__xludf.DUMMYFUNCTION("""COMPUTED_VALUE"""),"To Re-purchase")</f>
        <v>To Re-purchase</v>
      </c>
      <c r="Q321" s="74"/>
      <c r="R321" s="74"/>
      <c r="S321" s="87">
        <f>IFERROR(__xludf.DUMMYFUNCTION("""COMPUTED_VALUE"""),0.0)</f>
        <v>0</v>
      </c>
      <c r="T321" s="87">
        <f>IFERROR(__xludf.DUMMYFUNCTION("""COMPUTED_VALUE"""),0.0)</f>
        <v>0</v>
      </c>
      <c r="U321" s="87">
        <f>IFERROR(__xludf.DUMMYFUNCTION("""COMPUTED_VALUE"""),0.0)</f>
        <v>0</v>
      </c>
      <c r="V321" s="87">
        <f>IFERROR(__xludf.DUMMYFUNCTION("""COMPUTED_VALUE"""),0.0)</f>
        <v>0</v>
      </c>
      <c r="W321" s="87">
        <f>IFERROR(__xludf.DUMMYFUNCTION("""COMPUTED_VALUE"""),0.0)</f>
        <v>0</v>
      </c>
      <c r="X321" s="88"/>
      <c r="Y321" s="74"/>
      <c r="Z321" s="74"/>
    </row>
    <row r="322">
      <c r="B322" s="74" t="str">
        <f>IFERROR(__xludf.DUMMYFUNCTION("""COMPUTED_VALUE"""),"1319")</f>
        <v>1319</v>
      </c>
      <c r="C322" s="74" t="str">
        <f>IFERROR(__xludf.DUMMYFUNCTION("""COMPUTED_VALUE"""),"75045891319")</f>
        <v>75045891319</v>
      </c>
      <c r="D322" s="74" t="str">
        <f>IFERROR(__xludf.DUMMYFUNCTION("""COMPUTED_VALUE"""),"\\MCA-S\mk\2_BM\0_BMat\08_PYM\Inventario\excel\Imagen de refacciones\Putzmeister\Interruptor dentada 18 dientes para caja G61")</f>
        <v>\\MCA-S\mk\2_BM\0_BMat\08_PYM\Inventario\excel\Imagen de refacciones\Putzmeister\Interruptor dentada 18 dientes para caja G61</v>
      </c>
      <c r="E322" s="74"/>
      <c r="F322" s="74" t="str">
        <f>IFERROR(__xludf.DUMMYFUNCTION("""COMPUTED_VALUE"""),"BARRA DENTADA 18 DIENTES PARA CAJA G61")</f>
        <v>BARRA DENTADA 18 DIENTES PARA CAJA G61</v>
      </c>
      <c r="G322" s="74"/>
      <c r="H322" s="74"/>
      <c r="I322" s="74" t="str">
        <f>IFERROR(__xludf.DUMMYFUNCTION("""COMPUTED_VALUE"""),"66040004")</f>
        <v>66040004</v>
      </c>
      <c r="J322" s="74"/>
      <c r="K322" s="74" t="str">
        <f>IFERROR(__xludf.DUMMYFUNCTION("""COMPUTED_VALUE"""),"Putzmeister")</f>
        <v>Putzmeister</v>
      </c>
      <c r="L322" s="74" t="str">
        <f>IFERROR(__xludf.DUMMYFUNCTION("""COMPUTED_VALUE"""),"Transmisión mecánica")</f>
        <v>Transmisión mecánica</v>
      </c>
      <c r="M322" s="74" t="str">
        <f>IFERROR(__xludf.DUMMYFUNCTION("""COMPUTED_VALUE"""),"Sin Asignar")</f>
        <v>Sin Asignar</v>
      </c>
      <c r="N322" s="87">
        <f>IFERROR(__xludf.DUMMYFUNCTION("""COMPUTED_VALUE"""),0.0)</f>
        <v>0</v>
      </c>
      <c r="O322" s="74"/>
      <c r="P322" s="74" t="str">
        <f>IFERROR(__xludf.DUMMYFUNCTION("""COMPUTED_VALUE"""),"To Re-purchase")</f>
        <v>To Re-purchase</v>
      </c>
      <c r="Q322" s="74"/>
      <c r="R322" s="74"/>
      <c r="S322" s="87">
        <f>IFERROR(__xludf.DUMMYFUNCTION("""COMPUTED_VALUE"""),0.0)</f>
        <v>0</v>
      </c>
      <c r="T322" s="87">
        <f>IFERROR(__xludf.DUMMYFUNCTION("""COMPUTED_VALUE"""),0.0)</f>
        <v>0</v>
      </c>
      <c r="U322" s="87">
        <f>IFERROR(__xludf.DUMMYFUNCTION("""COMPUTED_VALUE"""),0.0)</f>
        <v>0</v>
      </c>
      <c r="V322" s="87">
        <f>IFERROR(__xludf.DUMMYFUNCTION("""COMPUTED_VALUE"""),0.0)</f>
        <v>0</v>
      </c>
      <c r="W322" s="87">
        <f>IFERROR(__xludf.DUMMYFUNCTION("""COMPUTED_VALUE"""),0.0)</f>
        <v>0</v>
      </c>
      <c r="X322" s="88"/>
      <c r="Y322" s="74"/>
      <c r="Z322" s="74"/>
    </row>
    <row r="323">
      <c r="B323" s="74" t="str">
        <f>IFERROR(__xludf.DUMMYFUNCTION("""COMPUTED_VALUE"""),"1320")</f>
        <v>1320</v>
      </c>
      <c r="C323" s="74"/>
      <c r="D323" s="74" t="str">
        <f>IFERROR(__xludf.DUMMYFUNCTION("""COMPUTED_VALUE"""),"\\MCA-S\mk\2_BM\0_BMat\08_PYM\Inventario\excel\Imagen de refacciones\Putzmeister\Caja de transferencia g64")</f>
        <v>\\MCA-S\mk\2_BM\0_BMat\08_PYM\Inventario\excel\Imagen de refacciones\Putzmeister\Caja de transferencia g64</v>
      </c>
      <c r="E323" s="74"/>
      <c r="F323" s="74" t="str">
        <f>IFERROR(__xludf.DUMMYFUNCTION("""COMPUTED_VALUE"""),"Caja de transferencia g64")</f>
        <v>Caja de transferencia g64</v>
      </c>
      <c r="G323" s="74"/>
      <c r="H323" s="74"/>
      <c r="I323" s="74" t="str">
        <f>IFERROR(__xludf.DUMMYFUNCTION("""COMPUTED_VALUE"""),"2780223000")</f>
        <v>2780223000</v>
      </c>
      <c r="J323" s="74"/>
      <c r="K323" s="74" t="str">
        <f>IFERROR(__xludf.DUMMYFUNCTION("""COMPUTED_VALUE"""),"Putzmeister")</f>
        <v>Putzmeister</v>
      </c>
      <c r="L323" s="74" t="str">
        <f>IFERROR(__xludf.DUMMYFUNCTION("""COMPUTED_VALUE"""),"Transmisión mecánica")</f>
        <v>Transmisión mecánica</v>
      </c>
      <c r="M323" s="74" t="str">
        <f>IFERROR(__xludf.DUMMYFUNCTION("""COMPUTED_VALUE"""),"Sin Asignar")</f>
        <v>Sin Asignar</v>
      </c>
      <c r="N323" s="87">
        <f>IFERROR(__xludf.DUMMYFUNCTION("""COMPUTED_VALUE"""),0.0)</f>
        <v>0</v>
      </c>
      <c r="O323" s="74"/>
      <c r="P323" s="74" t="str">
        <f>IFERROR(__xludf.DUMMYFUNCTION("""COMPUTED_VALUE"""),"No Available")</f>
        <v>No Available</v>
      </c>
      <c r="Q323" s="74"/>
      <c r="R323" s="74"/>
      <c r="S323" s="87">
        <f>IFERROR(__xludf.DUMMYFUNCTION("""COMPUTED_VALUE"""),0.0)</f>
        <v>0</v>
      </c>
      <c r="T323" s="87">
        <f>IFERROR(__xludf.DUMMYFUNCTION("""COMPUTED_VALUE"""),0.0)</f>
        <v>0</v>
      </c>
      <c r="U323" s="87">
        <f>IFERROR(__xludf.DUMMYFUNCTION("""COMPUTED_VALUE"""),0.0)</f>
        <v>0</v>
      </c>
      <c r="V323" s="87">
        <f>IFERROR(__xludf.DUMMYFUNCTION("""COMPUTED_VALUE"""),0.0)</f>
        <v>0</v>
      </c>
      <c r="W323" s="87">
        <f>IFERROR(__xludf.DUMMYFUNCTION("""COMPUTED_VALUE"""),0.0)</f>
        <v>0</v>
      </c>
      <c r="X323" s="88"/>
      <c r="Y323" s="74"/>
      <c r="Z323" s="74"/>
    </row>
    <row r="324">
      <c r="B324" s="74" t="str">
        <f>IFERROR(__xludf.DUMMYFUNCTION("""COMPUTED_VALUE"""),"1321")</f>
        <v>1321</v>
      </c>
      <c r="C324" s="74"/>
      <c r="D324" s="74" t="str">
        <f>IFERROR(__xludf.DUMMYFUNCTION("""COMPUTED_VALUE"""),"\\MCA-S\mk\2_BM\0_BMat\08_PYM\Inventario\excel\Imagen de refacciones\Putzmeister\Buje para bomba de precarga B12 Y F69")</f>
        <v>\\MCA-S\mk\2_BM\0_BMat\08_PYM\Inventario\excel\Imagen de refacciones\Putzmeister\Buje para bomba de precarga B12 Y F69</v>
      </c>
      <c r="E324" s="74"/>
      <c r="F324" s="74" t="str">
        <f>IFERROR(__xludf.DUMMYFUNCTION("""COMPUTED_VALUE"""),"BUJE PARA BOMBA DE PRECARGA B12 Y F69")</f>
        <v>BUJE PARA BOMBA DE PRECARGA B12 Y F69</v>
      </c>
      <c r="G324" s="74"/>
      <c r="H324" s="74"/>
      <c r="I324" s="74" t="str">
        <f>IFERROR(__xludf.DUMMYFUNCTION("""COMPUTED_VALUE"""),"BUJE B12/F69")</f>
        <v>BUJE B12/F69</v>
      </c>
      <c r="J324" s="74"/>
      <c r="K324" s="74" t="str">
        <f>IFERROR(__xludf.DUMMYFUNCTION("""COMPUTED_VALUE"""),"Putzmeister")</f>
        <v>Putzmeister</v>
      </c>
      <c r="L324" s="74" t="str">
        <f>IFERROR(__xludf.DUMMYFUNCTION("""COMPUTED_VALUE"""),"Componentes hidráulicos")</f>
        <v>Componentes hidráulicos</v>
      </c>
      <c r="M324" s="74" t="str">
        <f>IFERROR(__xludf.DUMMYFUNCTION("""COMPUTED_VALUE"""),"Sin Asignar")</f>
        <v>Sin Asignar</v>
      </c>
      <c r="N324" s="87">
        <f>IFERROR(__xludf.DUMMYFUNCTION("""COMPUTED_VALUE"""),0.0)</f>
        <v>0</v>
      </c>
      <c r="O324" s="74"/>
      <c r="P324" s="74" t="str">
        <f>IFERROR(__xludf.DUMMYFUNCTION("""COMPUTED_VALUE"""),"To Re-purchase")</f>
        <v>To Re-purchase</v>
      </c>
      <c r="Q324" s="74"/>
      <c r="R324" s="74"/>
      <c r="S324" s="87">
        <f>IFERROR(__xludf.DUMMYFUNCTION("""COMPUTED_VALUE"""),0.0)</f>
        <v>0</v>
      </c>
      <c r="T324" s="87">
        <f>IFERROR(__xludf.DUMMYFUNCTION("""COMPUTED_VALUE"""),0.0)</f>
        <v>0</v>
      </c>
      <c r="U324" s="87">
        <f>IFERROR(__xludf.DUMMYFUNCTION("""COMPUTED_VALUE"""),0.0)</f>
        <v>0</v>
      </c>
      <c r="V324" s="87">
        <f>IFERROR(__xludf.DUMMYFUNCTION("""COMPUTED_VALUE"""),0.0)</f>
        <v>0</v>
      </c>
      <c r="W324" s="87">
        <f>IFERROR(__xludf.DUMMYFUNCTION("""COMPUTED_VALUE"""),0.0)</f>
        <v>0</v>
      </c>
      <c r="X324" s="88"/>
      <c r="Y324" s="74"/>
      <c r="Z324" s="74"/>
    </row>
    <row r="325">
      <c r="B325" s="74" t="str">
        <f>IFERROR(__xludf.DUMMYFUNCTION("""COMPUTED_VALUE"""),"1322")</f>
        <v>1322</v>
      </c>
      <c r="C325" s="74"/>
      <c r="D325" s="74" t="str">
        <f>IFERROR(__xludf.DUMMYFUNCTION("""COMPUTED_VALUE"""),"\\MCA-S\mk\2_BM\0_BMat\08_PYM\Inventario\excel\Imagen de refacciones\WAM\Regulador de aire con marcador")</f>
        <v>\\MCA-S\mk\2_BM\0_BMat\08_PYM\Inventario\excel\Imagen de refacciones\WAM\Regulador de aire con marcador</v>
      </c>
      <c r="E325" s="74"/>
      <c r="F325" s="74" t="str">
        <f>IFERROR(__xludf.DUMMYFUNCTION("""COMPUTED_VALUE"""),"REGULADOR DE AIRE CON MARCADOR")</f>
        <v>REGULADOR DE AIRE CON MARCADOR</v>
      </c>
      <c r="G325" s="74"/>
      <c r="H325" s="74"/>
      <c r="I325" s="74" t="str">
        <f>IFERROR(__xludf.DUMMYFUNCTION("""COMPUTED_VALUE"""),"P6180731")</f>
        <v>P6180731</v>
      </c>
      <c r="J325" s="74"/>
      <c r="K325" s="74" t="str">
        <f>IFERROR(__xludf.DUMMYFUNCTION("""COMPUTED_VALUE"""),"WAM")</f>
        <v>WAM</v>
      </c>
      <c r="L325" s="74" t="str">
        <f>IFERROR(__xludf.DUMMYFUNCTION("""COMPUTED_VALUE"""),"Elementos de medición y control")</f>
        <v>Elementos de medición y control</v>
      </c>
      <c r="M325" s="74" t="str">
        <f>IFERROR(__xludf.DUMMYFUNCTION("""COMPUTED_VALUE"""),"Sin Asignar")</f>
        <v>Sin Asignar</v>
      </c>
      <c r="N325" s="87">
        <f>IFERROR(__xludf.DUMMYFUNCTION("""COMPUTED_VALUE"""),0.0)</f>
        <v>0</v>
      </c>
      <c r="O325" s="74"/>
      <c r="P325" s="74" t="str">
        <f>IFERROR(__xludf.DUMMYFUNCTION("""COMPUTED_VALUE"""),"To Re-purchase")</f>
        <v>To Re-purchase</v>
      </c>
      <c r="Q325" s="74"/>
      <c r="R325" s="74"/>
      <c r="S325" s="87">
        <f>IFERROR(__xludf.DUMMYFUNCTION("""COMPUTED_VALUE"""),0.0)</f>
        <v>0</v>
      </c>
      <c r="T325" s="87">
        <f>IFERROR(__xludf.DUMMYFUNCTION("""COMPUTED_VALUE"""),0.0)</f>
        <v>0</v>
      </c>
      <c r="U325" s="87">
        <f>IFERROR(__xludf.DUMMYFUNCTION("""COMPUTED_VALUE"""),0.0)</f>
        <v>0</v>
      </c>
      <c r="V325" s="87">
        <f>IFERROR(__xludf.DUMMYFUNCTION("""COMPUTED_VALUE"""),0.0)</f>
        <v>0</v>
      </c>
      <c r="W325" s="87">
        <f>IFERROR(__xludf.DUMMYFUNCTION("""COMPUTED_VALUE"""),0.0)</f>
        <v>0</v>
      </c>
      <c r="X325" s="88"/>
      <c r="Y325" s="74"/>
      <c r="Z325" s="74"/>
    </row>
    <row r="326">
      <c r="B326" s="74" t="str">
        <f>IFERROR(__xludf.DUMMYFUNCTION("""COMPUTED_VALUE"""),"1323")</f>
        <v>1323</v>
      </c>
      <c r="C326" s="74"/>
      <c r="D326" s="74" t="str">
        <f>IFERROR(__xludf.DUMMYFUNCTION("""COMPUTED_VALUE"""),"\\MCA-S\mk\2_BM\0_BMat\08_PYM\Inventario\excel\Imagen de refacciones\WAM\Regulador filtro de aire y lubricador ensamble")</f>
        <v>\\MCA-S\mk\2_BM\0_BMat\08_PYM\Inventario\excel\Imagen de refacciones\WAM\Regulador filtro de aire y lubricador ensamble</v>
      </c>
      <c r="E326" s="74"/>
      <c r="F326" s="74" t="str">
        <f>IFERROR(__xludf.DUMMYFUNCTION("""COMPUTED_VALUE"""),"Regulador filtro de aire y lubricador ensamble")</f>
        <v>Regulador filtro de aire y lubricador ensamble</v>
      </c>
      <c r="G326" s="74"/>
      <c r="H326" s="74"/>
      <c r="I326" s="74" t="str">
        <f>IFERROR(__xludf.DUMMYFUNCTION("""COMPUTED_VALUE"""),"NAL-4000-NOT-3")</f>
        <v>NAL-4000-NOT-3</v>
      </c>
      <c r="J326" s="74"/>
      <c r="K326" s="74" t="str">
        <f>IFERROR(__xludf.DUMMYFUNCTION("""COMPUTED_VALUE"""),"WAM")</f>
        <v>WAM</v>
      </c>
      <c r="L326" s="74" t="str">
        <f>IFERROR(__xludf.DUMMYFUNCTION("""COMPUTED_VALUE"""),"Componentes neumáticos")</f>
        <v>Componentes neumáticos</v>
      </c>
      <c r="M326" s="74" t="str">
        <f>IFERROR(__xludf.DUMMYFUNCTION("""COMPUTED_VALUE"""),"Sin Asignar")</f>
        <v>Sin Asignar</v>
      </c>
      <c r="N326" s="87">
        <f>IFERROR(__xludf.DUMMYFUNCTION("""COMPUTED_VALUE"""),0.0)</f>
        <v>0</v>
      </c>
      <c r="O326" s="74"/>
      <c r="P326" s="74" t="str">
        <f>IFERROR(__xludf.DUMMYFUNCTION("""COMPUTED_VALUE"""),"No Available")</f>
        <v>No Available</v>
      </c>
      <c r="Q326" s="74"/>
      <c r="R326" s="74"/>
      <c r="S326" s="87">
        <f>IFERROR(__xludf.DUMMYFUNCTION("""COMPUTED_VALUE"""),0.0)</f>
        <v>0</v>
      </c>
      <c r="T326" s="87">
        <f>IFERROR(__xludf.DUMMYFUNCTION("""COMPUTED_VALUE"""),0.0)</f>
        <v>0</v>
      </c>
      <c r="U326" s="87">
        <f>IFERROR(__xludf.DUMMYFUNCTION("""COMPUTED_VALUE"""),0.0)</f>
        <v>0</v>
      </c>
      <c r="V326" s="87">
        <f>IFERROR(__xludf.DUMMYFUNCTION("""COMPUTED_VALUE"""),0.0)</f>
        <v>0</v>
      </c>
      <c r="W326" s="87">
        <f>IFERROR(__xludf.DUMMYFUNCTION("""COMPUTED_VALUE"""),0.0)</f>
        <v>0</v>
      </c>
      <c r="X326" s="88"/>
      <c r="Y326" s="74"/>
      <c r="Z326" s="74"/>
    </row>
    <row r="327">
      <c r="B327" s="74" t="str">
        <f>IFERROR(__xludf.DUMMYFUNCTION("""COMPUTED_VALUE"""),"1324")</f>
        <v>1324</v>
      </c>
      <c r="C327" s="74"/>
      <c r="D327" s="74" t="str">
        <f>IFERROR(__xludf.DUMMYFUNCTION("""COMPUTED_VALUE"""),"\\MCA-S\mk\2_BM\0_BMat\08_PYM\Inventario\excel\Imagen de refacciones\WAM\Regulador filtro de aire y lubricador ensamble (1)")</f>
        <v>\\MCA-S\mk\2_BM\0_BMat\08_PYM\Inventario\excel\Imagen de refacciones\WAM\Regulador filtro de aire y lubricador ensamble (1)</v>
      </c>
      <c r="E327" s="74"/>
      <c r="F327" s="74" t="str">
        <f>IFERROR(__xludf.DUMMYFUNCTION("""COMPUTED_VALUE"""),"Regulador filtro de aire y lubricador ensamble")</f>
        <v>Regulador filtro de aire y lubricador ensamble</v>
      </c>
      <c r="G327" s="74"/>
      <c r="H327" s="74"/>
      <c r="I327" s="74" t="str">
        <f>IFERROR(__xludf.DUMMYFUNCTION("""COMPUTED_VALUE"""),"P6186DG3")</f>
        <v>P6186DG3</v>
      </c>
      <c r="J327" s="74"/>
      <c r="K327" s="74" t="str">
        <f>IFERROR(__xludf.DUMMYFUNCTION("""COMPUTED_VALUE"""),"WAM")</f>
        <v>WAM</v>
      </c>
      <c r="L327" s="74" t="str">
        <f>IFERROR(__xludf.DUMMYFUNCTION("""COMPUTED_VALUE"""),"Componentes neumáticos")</f>
        <v>Componentes neumáticos</v>
      </c>
      <c r="M327" s="74" t="str">
        <f>IFERROR(__xludf.DUMMYFUNCTION("""COMPUTED_VALUE"""),"Sin Asignar")</f>
        <v>Sin Asignar</v>
      </c>
      <c r="N327" s="87">
        <f>IFERROR(__xludf.DUMMYFUNCTION("""COMPUTED_VALUE"""),0.0)</f>
        <v>0</v>
      </c>
      <c r="O327" s="74"/>
      <c r="P327" s="74" t="str">
        <f>IFERROR(__xludf.DUMMYFUNCTION("""COMPUTED_VALUE"""),"No Available")</f>
        <v>No Available</v>
      </c>
      <c r="Q327" s="74"/>
      <c r="R327" s="74"/>
      <c r="S327" s="87">
        <f>IFERROR(__xludf.DUMMYFUNCTION("""COMPUTED_VALUE"""),0.0)</f>
        <v>0</v>
      </c>
      <c r="T327" s="87">
        <f>IFERROR(__xludf.DUMMYFUNCTION("""COMPUTED_VALUE"""),0.0)</f>
        <v>0</v>
      </c>
      <c r="U327" s="87">
        <f>IFERROR(__xludf.DUMMYFUNCTION("""COMPUTED_VALUE"""),0.0)</f>
        <v>0</v>
      </c>
      <c r="V327" s="87">
        <f>IFERROR(__xludf.DUMMYFUNCTION("""COMPUTED_VALUE"""),0.0)</f>
        <v>0</v>
      </c>
      <c r="W327" s="87">
        <f>IFERROR(__xludf.DUMMYFUNCTION("""COMPUTED_VALUE"""),0.0)</f>
        <v>0</v>
      </c>
      <c r="X327" s="88"/>
      <c r="Y327" s="74"/>
      <c r="Z327" s="74"/>
    </row>
    <row r="328">
      <c r="B328" s="74" t="str">
        <f>IFERROR(__xludf.DUMMYFUNCTION("""COMPUTED_VALUE"""),"1325")</f>
        <v>1325</v>
      </c>
      <c r="C328" s="74" t="str">
        <f>IFERROR(__xludf.DUMMYFUNCTION("""COMPUTED_VALUE"""),"75045891325")</f>
        <v>75045891325</v>
      </c>
      <c r="D328" s="74" t="str">
        <f>IFERROR(__xludf.DUMMYFUNCTION("""COMPUTED_VALUE"""),"\\MCA-S\mk\2_BM\0_BMat\08_PYM\Inventario\excel\Imagen de refacciones\WAM\CAJA DE UNION DE 4 CANALES AFTERMARKET")</f>
        <v>\\MCA-S\mk\2_BM\0_BMat\08_PYM\Inventario\excel\Imagen de refacciones\WAM\CAJA DE UNION DE 4 CANALES AFTERMARKET</v>
      </c>
      <c r="E328" s="74" t="str">
        <f>IFERROR(__xludf.DUMMYFUNCTION("""COMPUTED_VALUE"""),"FOUR CHANNEL JB4SS JUNCTION BOX")</f>
        <v>FOUR CHANNEL JB4SS JUNCTION BOX</v>
      </c>
      <c r="F328" s="74" t="str">
        <f>IFERROR(__xludf.DUMMYFUNCTION("""COMPUTED_VALUE"""),"CAJA DE UNION DE 4 CANALES AFTERMARKET")</f>
        <v>CAJA DE UNION DE 4 CANALES AFTERMARKET</v>
      </c>
      <c r="G328" s="74"/>
      <c r="H328" s="74"/>
      <c r="I328" s="74" t="str">
        <f>IFERROR(__xludf.DUMMYFUNCTION("""COMPUTED_VALUE"""),"BOX JB4S")</f>
        <v>BOX JB4S</v>
      </c>
      <c r="J328" s="74"/>
      <c r="K328" s="74" t="str">
        <f>IFERROR(__xludf.DUMMYFUNCTION("""COMPUTED_VALUE"""),"WAM")</f>
        <v>WAM</v>
      </c>
      <c r="L328" s="74" t="str">
        <f>IFERROR(__xludf.DUMMYFUNCTION("""COMPUTED_VALUE"""),"Componentes eléctricos")</f>
        <v>Componentes eléctricos</v>
      </c>
      <c r="M328" s="74" t="str">
        <f>IFERROR(__xludf.DUMMYFUNCTION("""COMPUTED_VALUE"""),"Sin Asignar")</f>
        <v>Sin Asignar</v>
      </c>
      <c r="N328" s="87">
        <f>IFERROR(__xludf.DUMMYFUNCTION("""COMPUTED_VALUE"""),0.0)</f>
        <v>0</v>
      </c>
      <c r="O328" s="74"/>
      <c r="P328" s="74" t="str">
        <f>IFERROR(__xludf.DUMMYFUNCTION("""COMPUTED_VALUE"""),"To Re-purchase")</f>
        <v>To Re-purchase</v>
      </c>
      <c r="Q328" s="74"/>
      <c r="R328" s="74"/>
      <c r="S328" s="87">
        <f>IFERROR(__xludf.DUMMYFUNCTION("""COMPUTED_VALUE"""),0.0)</f>
        <v>0</v>
      </c>
      <c r="T328" s="87">
        <f>IFERROR(__xludf.DUMMYFUNCTION("""COMPUTED_VALUE"""),0.0)</f>
        <v>0</v>
      </c>
      <c r="U328" s="87">
        <f>IFERROR(__xludf.DUMMYFUNCTION("""COMPUTED_VALUE"""),0.0)</f>
        <v>0</v>
      </c>
      <c r="V328" s="87">
        <f>IFERROR(__xludf.DUMMYFUNCTION("""COMPUTED_VALUE"""),0.0)</f>
        <v>0</v>
      </c>
      <c r="W328" s="87">
        <f>IFERROR(__xludf.DUMMYFUNCTION("""COMPUTED_VALUE"""),0.0)</f>
        <v>0</v>
      </c>
      <c r="X328" s="88"/>
      <c r="Y328" s="74"/>
      <c r="Z328" s="74"/>
    </row>
    <row r="329">
      <c r="B329" s="74" t="str">
        <f>IFERROR(__xludf.DUMMYFUNCTION("""COMPUTED_VALUE"""),"1326")</f>
        <v>1326</v>
      </c>
      <c r="C329" s="74"/>
      <c r="D329" s="74" t="str">
        <f>IFERROR(__xludf.DUMMYFUNCTION("""COMPUTED_VALUE"""),"\\MCA-S\mk\2_BM\0_BMat\08_PYM\Inventario\excel\Imagen de refacciones\WAM\Tapón para polea transportadora lenta")</f>
        <v>\\MCA-S\mk\2_BM\0_BMat\08_PYM\Inventario\excel\Imagen de refacciones\WAM\Tapón para polea transportadora lenta</v>
      </c>
      <c r="E329" s="74"/>
      <c r="F329" s="74" t="str">
        <f>IFERROR(__xludf.DUMMYFUNCTION("""COMPUTED_VALUE"""),"Tapón para polea transportadora lenta")</f>
        <v>Tapón para polea transportadora lenta</v>
      </c>
      <c r="G329" s="74"/>
      <c r="H329" s="74"/>
      <c r="I329" s="74" t="str">
        <f>IFERROR(__xludf.DUMMYFUNCTION("""COMPUTED_VALUE"""),"PM12L26")</f>
        <v>PM12L26</v>
      </c>
      <c r="J329" s="74"/>
      <c r="K329" s="74" t="str">
        <f>IFERROR(__xludf.DUMMYFUNCTION("""COMPUTED_VALUE"""),"WAM")</f>
        <v>WAM</v>
      </c>
      <c r="L329" s="74" t="str">
        <f>IFERROR(__xludf.DUMMYFUNCTION("""COMPUTED_VALUE"""),"Componentes estructurales y de montaje")</f>
        <v>Componentes estructurales y de montaje</v>
      </c>
      <c r="M329" s="74" t="str">
        <f>IFERROR(__xludf.DUMMYFUNCTION("""COMPUTED_VALUE"""),"Sin Asignar")</f>
        <v>Sin Asignar</v>
      </c>
      <c r="N329" s="87">
        <f>IFERROR(__xludf.DUMMYFUNCTION("""COMPUTED_VALUE"""),0.0)</f>
        <v>0</v>
      </c>
      <c r="O329" s="74"/>
      <c r="P329" s="74" t="str">
        <f>IFERROR(__xludf.DUMMYFUNCTION("""COMPUTED_VALUE"""),"To Re-purchase")</f>
        <v>To Re-purchase</v>
      </c>
      <c r="Q329" s="74"/>
      <c r="R329" s="74"/>
      <c r="S329" s="87">
        <f>IFERROR(__xludf.DUMMYFUNCTION("""COMPUTED_VALUE"""),0.0)</f>
        <v>0</v>
      </c>
      <c r="T329" s="87">
        <f>IFERROR(__xludf.DUMMYFUNCTION("""COMPUTED_VALUE"""),0.0)</f>
        <v>0</v>
      </c>
      <c r="U329" s="87">
        <f>IFERROR(__xludf.DUMMYFUNCTION("""COMPUTED_VALUE"""),0.0)</f>
        <v>0</v>
      </c>
      <c r="V329" s="87">
        <f>IFERROR(__xludf.DUMMYFUNCTION("""COMPUTED_VALUE"""),0.0)</f>
        <v>0</v>
      </c>
      <c r="W329" s="87">
        <f>IFERROR(__xludf.DUMMYFUNCTION("""COMPUTED_VALUE"""),0.0)</f>
        <v>0</v>
      </c>
      <c r="X329" s="88"/>
      <c r="Y329" s="74"/>
      <c r="Z329" s="74"/>
    </row>
    <row r="330">
      <c r="B330" s="74" t="str">
        <f>IFERROR(__xludf.DUMMYFUNCTION("""COMPUTED_VALUE"""),"1327")</f>
        <v>1327</v>
      </c>
      <c r="C330" s="74" t="str">
        <f>IFERROR(__xludf.DUMMYFUNCTION("""COMPUTED_VALUE"""),"75045891327")</f>
        <v>75045891327</v>
      </c>
      <c r="D330" s="74" t="str">
        <f>IFERROR(__xludf.DUMMYFUNCTION("""COMPUTED_VALUE"""),"\\MCA-S\mk\2_BM\0_BMat\08_PYM\Inventario\excel\Imagen de refacciones\WAM\Bobina de 24V para colector de polvos")</f>
        <v>\\MCA-S\mk\2_BM\0_BMat\08_PYM\Inventario\excel\Imagen de refacciones\WAM\Bobina de 24V para colector de polvos</v>
      </c>
      <c r="E330" s="74"/>
      <c r="F330" s="74" t="str">
        <f>IFERROR(__xludf.DUMMYFUNCTION("""COMPUTED_VALUE"""),"BOBINA 24V PARA COLECTOR DE POLVOS")</f>
        <v>BOBINA 24V PARA COLECTOR DE POLVOS</v>
      </c>
      <c r="G330" s="74"/>
      <c r="H330" s="74"/>
      <c r="I330" s="74" t="str">
        <f>IFERROR(__xludf.DUMMYFUNCTION("""COMPUTED_VALUE"""),"NR0200")</f>
        <v>NR0200</v>
      </c>
      <c r="J330" s="74"/>
      <c r="K330" s="74" t="str">
        <f>IFERROR(__xludf.DUMMYFUNCTION("""COMPUTED_VALUE"""),"WAM")</f>
        <v>WAM</v>
      </c>
      <c r="L330" s="74" t="str">
        <f>IFERROR(__xludf.DUMMYFUNCTION("""COMPUTED_VALUE"""),"Componentes eléctricos")</f>
        <v>Componentes eléctricos</v>
      </c>
      <c r="M330" s="74" t="str">
        <f>IFERROR(__xludf.DUMMYFUNCTION("""COMPUTED_VALUE"""),"Sin Asignar")</f>
        <v>Sin Asignar</v>
      </c>
      <c r="N330" s="87">
        <f>IFERROR(__xludf.DUMMYFUNCTION("""COMPUTED_VALUE"""),0.0)</f>
        <v>0</v>
      </c>
      <c r="O330" s="74"/>
      <c r="P330" s="74" t="str">
        <f>IFERROR(__xludf.DUMMYFUNCTION("""COMPUTED_VALUE"""),"To Re-purchase")</f>
        <v>To Re-purchase</v>
      </c>
      <c r="Q330" s="74"/>
      <c r="R330" s="74"/>
      <c r="S330" s="87">
        <f>IFERROR(__xludf.DUMMYFUNCTION("""COMPUTED_VALUE"""),0.0)</f>
        <v>0</v>
      </c>
      <c r="T330" s="87">
        <f>IFERROR(__xludf.DUMMYFUNCTION("""COMPUTED_VALUE"""),0.0)</f>
        <v>0</v>
      </c>
      <c r="U330" s="87">
        <f>IFERROR(__xludf.DUMMYFUNCTION("""COMPUTED_VALUE"""),0.0)</f>
        <v>0</v>
      </c>
      <c r="V330" s="87">
        <f>IFERROR(__xludf.DUMMYFUNCTION("""COMPUTED_VALUE"""),0.0)</f>
        <v>0</v>
      </c>
      <c r="W330" s="87">
        <f>IFERROR(__xludf.DUMMYFUNCTION("""COMPUTED_VALUE"""),0.0)</f>
        <v>0</v>
      </c>
      <c r="X330" s="88"/>
      <c r="Y330" s="74"/>
      <c r="Z330" s="74"/>
    </row>
    <row r="331">
      <c r="B331" s="74" t="str">
        <f>IFERROR(__xludf.DUMMYFUNCTION("""COMPUTED_VALUE"""),"1328")</f>
        <v>1328</v>
      </c>
      <c r="C331" s="74"/>
      <c r="D331" s="74" t="str">
        <f>IFERROR(__xludf.DUMMYFUNCTION("""COMPUTED_VALUE"""),"\\MCA-S\mk\2_BM\0_BMat\08_PYM\Inventario\excel\Imagen de refacciones\WAM\BARRA DE 7_ COMPLETA CHUMACERA")</f>
        <v>\\MCA-S\mk\2_BM\0_BMat\08_PYM\Inventario\excel\Imagen de refacciones\WAM\BARRA DE 7_ COMPLETA CHUMACERA</v>
      </c>
      <c r="E331" s="74"/>
      <c r="F331" s="74" t="str">
        <f>IFERROR(__xludf.DUMMYFUNCTION("""COMPUTED_VALUE"""),"BARRA DE 7"" COMPLETA CHUMACERA")</f>
        <v>BARRA DE 7" COMPLETA CHUMACERA</v>
      </c>
      <c r="G331" s="74"/>
      <c r="H331" s="74"/>
      <c r="I331" s="74" t="str">
        <f>IFERROR(__xludf.DUMMYFUNCTION("""COMPUTED_VALUE"""),"PCA7-5651")</f>
        <v>PCA7-5651</v>
      </c>
      <c r="J331" s="74"/>
      <c r="K331" s="74" t="str">
        <f>IFERROR(__xludf.DUMMYFUNCTION("""COMPUTED_VALUE"""),"WAM")</f>
        <v>WAM</v>
      </c>
      <c r="L331" s="74" t="str">
        <f>IFERROR(__xludf.DUMMYFUNCTION("""COMPUTED_VALUE"""),"Componentes estructurales y de montaje")</f>
        <v>Componentes estructurales y de montaje</v>
      </c>
      <c r="M331" s="74" t="str">
        <f>IFERROR(__xludf.DUMMYFUNCTION("""COMPUTED_VALUE"""),"Sin Asignar")</f>
        <v>Sin Asignar</v>
      </c>
      <c r="N331" s="87">
        <f>IFERROR(__xludf.DUMMYFUNCTION("""COMPUTED_VALUE"""),0.0)</f>
        <v>0</v>
      </c>
      <c r="O331" s="74"/>
      <c r="P331" s="74" t="str">
        <f>IFERROR(__xludf.DUMMYFUNCTION("""COMPUTED_VALUE"""),"To Re-purchase")</f>
        <v>To Re-purchase</v>
      </c>
      <c r="Q331" s="74"/>
      <c r="R331" s="74"/>
      <c r="S331" s="87">
        <f>IFERROR(__xludf.DUMMYFUNCTION("""COMPUTED_VALUE"""),0.0)</f>
        <v>0</v>
      </c>
      <c r="T331" s="87">
        <f>IFERROR(__xludf.DUMMYFUNCTION("""COMPUTED_VALUE"""),0.0)</f>
        <v>0</v>
      </c>
      <c r="U331" s="87">
        <f>IFERROR(__xludf.DUMMYFUNCTION("""COMPUTED_VALUE"""),0.0)</f>
        <v>0</v>
      </c>
      <c r="V331" s="87">
        <f>IFERROR(__xludf.DUMMYFUNCTION("""COMPUTED_VALUE"""),0.0)</f>
        <v>0</v>
      </c>
      <c r="W331" s="87">
        <f>IFERROR(__xludf.DUMMYFUNCTION("""COMPUTED_VALUE"""),0.0)</f>
        <v>0</v>
      </c>
      <c r="X331" s="88"/>
      <c r="Y331" s="74"/>
      <c r="Z331" s="74"/>
    </row>
    <row r="332">
      <c r="B332" s="74" t="str">
        <f>IFERROR(__xludf.DUMMYFUNCTION("""COMPUTED_VALUE"""),"1329")</f>
        <v>1329</v>
      </c>
      <c r="C332" s="74"/>
      <c r="D332" s="74" t="str">
        <f>IFERROR(__xludf.DUMMYFUNCTION("""COMPUTED_VALUE"""),"\\MCA-S\mk\2_BM\0_BMat\08_PYM\Inventario\excel\Imagen de refacciones\WAM\Válvula selenoide WAM")</f>
        <v>\\MCA-S\mk\2_BM\0_BMat\08_PYM\Inventario\excel\Imagen de refacciones\WAM\Válvula selenoide WAM</v>
      </c>
      <c r="E332" s="74"/>
      <c r="F332" s="74" t="str">
        <f>IFERROR(__xludf.DUMMYFUNCTION("""COMPUTED_VALUE"""),"Válvula selenoide WAM")</f>
        <v>Válvula selenoide WAM</v>
      </c>
      <c r="G332" s="74"/>
      <c r="H332" s="74"/>
      <c r="I332" s="74" t="str">
        <f>IFERROR(__xludf.DUMMYFUNCTION("""COMPUTED_VALUE"""),"VSVV40")</f>
        <v>VSVV40</v>
      </c>
      <c r="J332" s="74"/>
      <c r="K332" s="74" t="str">
        <f>IFERROR(__xludf.DUMMYFUNCTION("""COMPUTED_VALUE"""),"WAM")</f>
        <v>WAM</v>
      </c>
      <c r="L332" s="74" t="str">
        <f>IFERROR(__xludf.DUMMYFUNCTION("""COMPUTED_VALUE"""),"Componentes eléctricos")</f>
        <v>Componentes eléctricos</v>
      </c>
      <c r="M332" s="74" t="str">
        <f>IFERROR(__xludf.DUMMYFUNCTION("""COMPUTED_VALUE"""),"Sin Asignar")</f>
        <v>Sin Asignar</v>
      </c>
      <c r="N332" s="87">
        <f>IFERROR(__xludf.DUMMYFUNCTION("""COMPUTED_VALUE"""),0.0)</f>
        <v>0</v>
      </c>
      <c r="O332" s="74"/>
      <c r="P332" s="74" t="str">
        <f>IFERROR(__xludf.DUMMYFUNCTION("""COMPUTED_VALUE"""),"No Available")</f>
        <v>No Available</v>
      </c>
      <c r="Q332" s="74"/>
      <c r="R332" s="74"/>
      <c r="S332" s="87">
        <f>IFERROR(__xludf.DUMMYFUNCTION("""COMPUTED_VALUE"""),0.0)</f>
        <v>0</v>
      </c>
      <c r="T332" s="87">
        <f>IFERROR(__xludf.DUMMYFUNCTION("""COMPUTED_VALUE"""),0.0)</f>
        <v>0</v>
      </c>
      <c r="U332" s="87">
        <f>IFERROR(__xludf.DUMMYFUNCTION("""COMPUTED_VALUE"""),0.0)</f>
        <v>0</v>
      </c>
      <c r="V332" s="87">
        <f>IFERROR(__xludf.DUMMYFUNCTION("""COMPUTED_VALUE"""),0.0)</f>
        <v>0</v>
      </c>
      <c r="W332" s="87">
        <f>IFERROR(__xludf.DUMMYFUNCTION("""COMPUTED_VALUE"""),0.0)</f>
        <v>0</v>
      </c>
      <c r="X332" s="88"/>
      <c r="Y332" s="74"/>
      <c r="Z332" s="74"/>
    </row>
    <row r="333">
      <c r="B333" s="74" t="str">
        <f>IFERROR(__xludf.DUMMYFUNCTION("""COMPUTED_VALUE"""),"1330")</f>
        <v>1330</v>
      </c>
      <c r="C333" s="74" t="str">
        <f>IFERROR(__xludf.DUMMYFUNCTION("""COMPUTED_VALUE"""),"75045891330")</f>
        <v>75045891330</v>
      </c>
      <c r="D333" s="74" t="str">
        <f>IFERROR(__xludf.DUMMYFUNCTION("""COMPUTED_VALUE"""),"\\MCA-S\mk\2_BM\0_BMat\08_PYM\Inventario\excel\Imagen de refacciones\WAM\Transportadora de presición de canalón lento")</f>
        <v>\\MCA-S\mk\2_BM\0_BMat\08_PYM\Inventario\excel\Imagen de refacciones\WAM\Transportadora de presición de canalón lento</v>
      </c>
      <c r="E333" s="74" t="str">
        <f>IFERROR(__xludf.DUMMYFUNCTION("""COMPUTED_VALUE"""),"PRECISION BATCH PLANT IDLERS")</f>
        <v>PRECISION BATCH PLANT IDLERS</v>
      </c>
      <c r="F333" s="74" t="str">
        <f>IFERROR(__xludf.DUMMYFUNCTION("""COMPUTED_VALUE"""),"TRANSPORTADORA DE PRESICION CANALON LENTO")</f>
        <v>TRANSPORTADORA DE PRESICION CANALON LENTO</v>
      </c>
      <c r="G333" s="74"/>
      <c r="H333" s="74"/>
      <c r="I333" s="74" t="str">
        <f>IFERROR(__xludf.DUMMYFUNCTION("""COMPUTED_VALUE"""),"PIDL-B4-20TE-30SB")</f>
        <v>PIDL-B4-20TE-30SB</v>
      </c>
      <c r="J333" s="74"/>
      <c r="K333" s="74" t="str">
        <f>IFERROR(__xludf.DUMMYFUNCTION("""COMPUTED_VALUE"""),"WAM")</f>
        <v>WAM</v>
      </c>
      <c r="L333" s="74" t="str">
        <f>IFERROR(__xludf.DUMMYFUNCTION("""COMPUTED_VALUE"""),"Componentes estructurales y de montaje")</f>
        <v>Componentes estructurales y de montaje</v>
      </c>
      <c r="M333" s="74" t="str">
        <f>IFERROR(__xludf.DUMMYFUNCTION("""COMPUTED_VALUE"""),"Sin Asignar")</f>
        <v>Sin Asignar</v>
      </c>
      <c r="N333" s="87">
        <f>IFERROR(__xludf.DUMMYFUNCTION("""COMPUTED_VALUE"""),0.0)</f>
        <v>0</v>
      </c>
      <c r="O333" s="74"/>
      <c r="P333" s="74" t="str">
        <f>IFERROR(__xludf.DUMMYFUNCTION("""COMPUTED_VALUE"""),"To Re-purchase")</f>
        <v>To Re-purchase</v>
      </c>
      <c r="Q333" s="74"/>
      <c r="R333" s="74"/>
      <c r="S333" s="87">
        <f>IFERROR(__xludf.DUMMYFUNCTION("""COMPUTED_VALUE"""),0.0)</f>
        <v>0</v>
      </c>
      <c r="T333" s="87">
        <f>IFERROR(__xludf.DUMMYFUNCTION("""COMPUTED_VALUE"""),0.0)</f>
        <v>0</v>
      </c>
      <c r="U333" s="87">
        <f>IFERROR(__xludf.DUMMYFUNCTION("""COMPUTED_VALUE"""),0.0)</f>
        <v>0</v>
      </c>
      <c r="V333" s="87">
        <f>IFERROR(__xludf.DUMMYFUNCTION("""COMPUTED_VALUE"""),0.0)</f>
        <v>0</v>
      </c>
      <c r="W333" s="87">
        <f>IFERROR(__xludf.DUMMYFUNCTION("""COMPUTED_VALUE"""),0.0)</f>
        <v>0</v>
      </c>
      <c r="X333" s="88"/>
      <c r="Y333" s="74"/>
      <c r="Z333" s="74"/>
    </row>
    <row r="334">
      <c r="B334" s="74" t="str">
        <f>IFERROR(__xludf.DUMMYFUNCTION("""COMPUTED_VALUE"""),"1331")</f>
        <v>1331</v>
      </c>
      <c r="C334" s="74" t="str">
        <f>IFERROR(__xludf.DUMMYFUNCTION("""COMPUTED_VALUE"""),"75045891331")</f>
        <v>75045891331</v>
      </c>
      <c r="D334" s="74" t="str">
        <f>IFERROR(__xludf.DUMMYFUNCTION("""COMPUTED_VALUE"""),"\\MCA-S\mk\2_BM\0_BMat\08_PYM\Inventario\excel\Imagen de refacciones\WAM\Transportadora de presición plano lento")</f>
        <v>\\MCA-S\mk\2_BM\0_BMat\08_PYM\Inventario\excel\Imagen de refacciones\WAM\Transportadora de presición plano lento</v>
      </c>
      <c r="E334" s="74" t="str">
        <f>IFERROR(__xludf.DUMMYFUNCTION("""COMPUTED_VALUE"""),"PRECISION PULLEY &amp; IDLER")</f>
        <v>PRECISION PULLEY &amp; IDLER</v>
      </c>
      <c r="F334" s="74" t="str">
        <f>IFERROR(__xludf.DUMMYFUNCTION("""COMPUTED_VALUE"""),"TRANSPORTADORA DE PRESION PLANO LENTO")</f>
        <v>TRANSPORTADORA DE PRESION PLANO LENTO</v>
      </c>
      <c r="G334" s="74"/>
      <c r="H334" s="74"/>
      <c r="I334" s="74" t="str">
        <f>IFERROR(__xludf.DUMMYFUNCTION("""COMPUTED_VALUE"""),"PIDL-B5-F-24SB-1")</f>
        <v>PIDL-B5-F-24SB-1</v>
      </c>
      <c r="J334" s="74"/>
      <c r="K334" s="74" t="str">
        <f>IFERROR(__xludf.DUMMYFUNCTION("""COMPUTED_VALUE"""),"WAM")</f>
        <v>WAM</v>
      </c>
      <c r="L334" s="74" t="str">
        <f>IFERROR(__xludf.DUMMYFUNCTION("""COMPUTED_VALUE"""),"Componentes estructurales y de montaje")</f>
        <v>Componentes estructurales y de montaje</v>
      </c>
      <c r="M334" s="74" t="str">
        <f>IFERROR(__xludf.DUMMYFUNCTION("""COMPUTED_VALUE"""),"Sin Asignar")</f>
        <v>Sin Asignar</v>
      </c>
      <c r="N334" s="87">
        <f>IFERROR(__xludf.DUMMYFUNCTION("""COMPUTED_VALUE"""),0.0)</f>
        <v>0</v>
      </c>
      <c r="O334" s="74"/>
      <c r="P334" s="74" t="str">
        <f>IFERROR(__xludf.DUMMYFUNCTION("""COMPUTED_VALUE"""),"To Re-purchase")</f>
        <v>To Re-purchase</v>
      </c>
      <c r="Q334" s="74"/>
      <c r="R334" s="74"/>
      <c r="S334" s="87">
        <f>IFERROR(__xludf.DUMMYFUNCTION("""COMPUTED_VALUE"""),0.0)</f>
        <v>0</v>
      </c>
      <c r="T334" s="87">
        <f>IFERROR(__xludf.DUMMYFUNCTION("""COMPUTED_VALUE"""),0.0)</f>
        <v>0</v>
      </c>
      <c r="U334" s="87">
        <f>IFERROR(__xludf.DUMMYFUNCTION("""COMPUTED_VALUE"""),0.0)</f>
        <v>0</v>
      </c>
      <c r="V334" s="87">
        <f>IFERROR(__xludf.DUMMYFUNCTION("""COMPUTED_VALUE"""),0.0)</f>
        <v>0</v>
      </c>
      <c r="W334" s="87">
        <f>IFERROR(__xludf.DUMMYFUNCTION("""COMPUTED_VALUE"""),0.0)</f>
        <v>0</v>
      </c>
      <c r="X334" s="88"/>
      <c r="Y334" s="74"/>
      <c r="Z334" s="74"/>
    </row>
    <row r="335">
      <c r="B335" s="74" t="str">
        <f>IFERROR(__xludf.DUMMYFUNCTION("""COMPUTED_VALUE"""),"1332")</f>
        <v>1332</v>
      </c>
      <c r="C335" s="74" t="str">
        <f>IFERROR(__xludf.DUMMYFUNCTION("""COMPUTED_VALUE"""),"75045891332")</f>
        <v>75045891332</v>
      </c>
      <c r="D335" s="74" t="str">
        <f>IFERROR(__xludf.DUMMYFUNCTION("""COMPUTED_VALUE"""),"\\MCA-S\mk\2_BM\0_BMat\08_PYM\Inventario\excel\Imagen de refacciones\WAM\Transportador superior de canalón lento")</f>
        <v>\\MCA-S\mk\2_BM\0_BMat\08_PYM\Inventario\excel\Imagen de refacciones\WAM\Transportador superior de canalón lento</v>
      </c>
      <c r="E335" s="74" t="str">
        <f>IFERROR(__xludf.DUMMYFUNCTION("""COMPUTED_VALUE"""),"SUPERIOR INDUSTRIES C5-20E-36 EQUAL IMPACT TROUGHING IDLER 20  DEDREE FOR 36""BELT")</f>
        <v>SUPERIOR INDUSTRIES C5-20E-36 EQUAL IMPACT TROUGHING IDLER 20  DEDREE FOR 36"BELT</v>
      </c>
      <c r="F335" s="74" t="str">
        <f>IFERROR(__xludf.DUMMYFUNCTION("""COMPUTED_VALUE"""),"TRANSPORTADOR SUPERIOR DE CANALON LENTO")</f>
        <v>TRANSPORTADOR SUPERIOR DE CANALON LENTO</v>
      </c>
      <c r="G335" s="74"/>
      <c r="H335" s="74"/>
      <c r="I335" s="74" t="str">
        <f>IFERROR(__xludf.DUMMYFUNCTION("""COMPUTED_VALUE"""),"PIDL-2030")</f>
        <v>PIDL-2030</v>
      </c>
      <c r="J335" s="74"/>
      <c r="K335" s="74" t="str">
        <f>IFERROR(__xludf.DUMMYFUNCTION("""COMPUTED_VALUE"""),"WAM")</f>
        <v>WAM</v>
      </c>
      <c r="L335" s="74" t="str">
        <f>IFERROR(__xludf.DUMMYFUNCTION("""COMPUTED_VALUE"""),"Componentes estructurales y de montaje")</f>
        <v>Componentes estructurales y de montaje</v>
      </c>
      <c r="M335" s="74" t="str">
        <f>IFERROR(__xludf.DUMMYFUNCTION("""COMPUTED_VALUE"""),"Sin Asignar")</f>
        <v>Sin Asignar</v>
      </c>
      <c r="N335" s="87">
        <f>IFERROR(__xludf.DUMMYFUNCTION("""COMPUTED_VALUE"""),0.0)</f>
        <v>0</v>
      </c>
      <c r="O335" s="74"/>
      <c r="P335" s="74" t="str">
        <f>IFERROR(__xludf.DUMMYFUNCTION("""COMPUTED_VALUE"""),"To Re-purchase")</f>
        <v>To Re-purchase</v>
      </c>
      <c r="Q335" s="74"/>
      <c r="R335" s="74"/>
      <c r="S335" s="87">
        <f>IFERROR(__xludf.DUMMYFUNCTION("""COMPUTED_VALUE"""),0.0)</f>
        <v>0</v>
      </c>
      <c r="T335" s="87">
        <f>IFERROR(__xludf.DUMMYFUNCTION("""COMPUTED_VALUE"""),0.0)</f>
        <v>0</v>
      </c>
      <c r="U335" s="87">
        <f>IFERROR(__xludf.DUMMYFUNCTION("""COMPUTED_VALUE"""),0.0)</f>
        <v>0</v>
      </c>
      <c r="V335" s="87">
        <f>IFERROR(__xludf.DUMMYFUNCTION("""COMPUTED_VALUE"""),0.0)</f>
        <v>0</v>
      </c>
      <c r="W335" s="87">
        <f>IFERROR(__xludf.DUMMYFUNCTION("""COMPUTED_VALUE"""),0.0)</f>
        <v>0</v>
      </c>
      <c r="X335" s="88"/>
      <c r="Y335" s="74"/>
      <c r="Z335" s="74"/>
    </row>
    <row r="336">
      <c r="B336" s="74" t="str">
        <f>IFERROR(__xludf.DUMMYFUNCTION("""COMPUTED_VALUE"""),"1333")</f>
        <v>1333</v>
      </c>
      <c r="C336" s="74" t="str">
        <f>IFERROR(__xludf.DUMMYFUNCTION("""COMPUTED_VALUE"""),"75045880417")</f>
        <v>75045880417</v>
      </c>
      <c r="D336" s="74" t="str">
        <f>IFERROR(__xludf.DUMMYFUNCTION("""COMPUTED_VALUE"""),"\\MCA-S\mk\2_BM\0_BMat\08_PYM\Inventario\excel\Imagen de refacciones\WAM\Electroválvula (1)")</f>
        <v>\\MCA-S\mk\2_BM\0_BMat\08_PYM\Inventario\excel\Imagen de refacciones\WAM\Electroválvula (1)</v>
      </c>
      <c r="E336" s="74"/>
      <c r="F336" s="74" t="str">
        <f>IFERROR(__xludf.DUMMYFUNCTION("""COMPUTED_VALUE"""),"Electroválvula")</f>
        <v>Electroválvula</v>
      </c>
      <c r="G336" s="74"/>
      <c r="H336" s="74"/>
      <c r="I336" s="74" t="str">
        <f>IFERROR(__xludf.DUMMYFUNCTION("""COMPUTED_VALUE"""),"72452A")</f>
        <v>72452A</v>
      </c>
      <c r="J336" s="74"/>
      <c r="K336" s="74" t="str">
        <f>IFERROR(__xludf.DUMMYFUNCTION("""COMPUTED_VALUE"""),"WAM")</f>
        <v>WAM</v>
      </c>
      <c r="L336" s="74" t="str">
        <f>IFERROR(__xludf.DUMMYFUNCTION("""COMPUTED_VALUE"""),"Componentes eléctricos")</f>
        <v>Componentes eléctricos</v>
      </c>
      <c r="M336" s="74" t="str">
        <f>IFERROR(__xludf.DUMMYFUNCTION("""COMPUTED_VALUE"""),"Sin Asignar")</f>
        <v>Sin Asignar</v>
      </c>
      <c r="N336" s="87">
        <f>IFERROR(__xludf.DUMMYFUNCTION("""COMPUTED_VALUE"""),0.0)</f>
        <v>0</v>
      </c>
      <c r="O336" s="74"/>
      <c r="P336" s="74" t="str">
        <f>IFERROR(__xludf.DUMMYFUNCTION("""COMPUTED_VALUE"""),"No Available")</f>
        <v>No Available</v>
      </c>
      <c r="Q336" s="74"/>
      <c r="R336" s="74"/>
      <c r="S336" s="87">
        <f>IFERROR(__xludf.DUMMYFUNCTION("""COMPUTED_VALUE"""),0.0)</f>
        <v>0</v>
      </c>
      <c r="T336" s="87">
        <f>IFERROR(__xludf.DUMMYFUNCTION("""COMPUTED_VALUE"""),0.0)</f>
        <v>0</v>
      </c>
      <c r="U336" s="87">
        <f>IFERROR(__xludf.DUMMYFUNCTION("""COMPUTED_VALUE"""),0.0)</f>
        <v>0</v>
      </c>
      <c r="V336" s="87">
        <f>IFERROR(__xludf.DUMMYFUNCTION("""COMPUTED_VALUE"""),0.0)</f>
        <v>0</v>
      </c>
      <c r="W336" s="87">
        <f>IFERROR(__xludf.DUMMYFUNCTION("""COMPUTED_VALUE"""),0.0)</f>
        <v>0</v>
      </c>
      <c r="X336" s="88"/>
      <c r="Y336" s="74"/>
      <c r="Z336" s="74"/>
    </row>
    <row r="337">
      <c r="B337" s="74" t="str">
        <f>IFERROR(__xludf.DUMMYFUNCTION("""COMPUTED_VALUE"""),"1334")</f>
        <v>1334</v>
      </c>
      <c r="C337" s="74" t="str">
        <f>IFERROR(__xludf.DUMMYFUNCTION("""COMPUTED_VALUE"""),"75045880417")</f>
        <v>75045880417</v>
      </c>
      <c r="D337" s="74" t="str">
        <f>IFERROR(__xludf.DUMMYFUNCTION("""COMPUTED_VALUE"""),"\\MCA-S\mk\2_BM\0_BMat\08_PYM\Inventario\excel\Imagen de refacciones\WAM\Electroválvula (2)")</f>
        <v>\\MCA-S\mk\2_BM\0_BMat\08_PYM\Inventario\excel\Imagen de refacciones\WAM\Electroválvula (2)</v>
      </c>
      <c r="E337" s="74"/>
      <c r="F337" s="74" t="str">
        <f>IFERROR(__xludf.DUMMYFUNCTION("""COMPUTED_VALUE"""),"ELECTROVALVULA")</f>
        <v>ELECTROVALVULA</v>
      </c>
      <c r="G337" s="74"/>
      <c r="H337" s="74"/>
      <c r="I337" s="74" t="str">
        <f>IFERROR(__xludf.DUMMYFUNCTION("""COMPUTED_VALUE"""),"P1220376")</f>
        <v>P1220376</v>
      </c>
      <c r="J337" s="74"/>
      <c r="K337" s="74" t="str">
        <f>IFERROR(__xludf.DUMMYFUNCTION("""COMPUTED_VALUE"""),"WAM")</f>
        <v>WAM</v>
      </c>
      <c r="L337" s="74" t="str">
        <f>IFERROR(__xludf.DUMMYFUNCTION("""COMPUTED_VALUE"""),"Componentes eléctricos")</f>
        <v>Componentes eléctricos</v>
      </c>
      <c r="M337" s="74" t="str">
        <f>IFERROR(__xludf.DUMMYFUNCTION("""COMPUTED_VALUE"""),"Sin Asignar")</f>
        <v>Sin Asignar</v>
      </c>
      <c r="N337" s="87">
        <f>IFERROR(__xludf.DUMMYFUNCTION("""COMPUTED_VALUE"""),0.0)</f>
        <v>0</v>
      </c>
      <c r="O337" s="74"/>
      <c r="P337" s="74" t="str">
        <f>IFERROR(__xludf.DUMMYFUNCTION("""COMPUTED_VALUE"""),"No Available")</f>
        <v>No Available</v>
      </c>
      <c r="Q337" s="74"/>
      <c r="R337" s="74"/>
      <c r="S337" s="87">
        <f>IFERROR(__xludf.DUMMYFUNCTION("""COMPUTED_VALUE"""),0.0)</f>
        <v>0</v>
      </c>
      <c r="T337" s="87">
        <f>IFERROR(__xludf.DUMMYFUNCTION("""COMPUTED_VALUE"""),0.0)</f>
        <v>0</v>
      </c>
      <c r="U337" s="87">
        <f>IFERROR(__xludf.DUMMYFUNCTION("""COMPUTED_VALUE"""),0.0)</f>
        <v>0</v>
      </c>
      <c r="V337" s="87">
        <f>IFERROR(__xludf.DUMMYFUNCTION("""COMPUTED_VALUE"""),0.0)</f>
        <v>0</v>
      </c>
      <c r="W337" s="87">
        <f>IFERROR(__xludf.DUMMYFUNCTION("""COMPUTED_VALUE"""),0.0)</f>
        <v>0</v>
      </c>
      <c r="X337" s="88"/>
      <c r="Y337" s="74"/>
      <c r="Z337" s="74"/>
    </row>
    <row r="338">
      <c r="B338" s="74" t="str">
        <f>IFERROR(__xludf.DUMMYFUNCTION("""COMPUTED_VALUE"""),"1335")</f>
        <v>1335</v>
      </c>
      <c r="C338" s="74"/>
      <c r="D338" s="74" t="str">
        <f>IFERROR(__xludf.DUMMYFUNCTION("""COMPUTED_VALUE"""),"\\MCA-S\mk\2_BM\0_BMat\08_PYM\Inventario\excel\Imagen de refacciones\WAM\Mangas rectas de hule para transportadora para silo 8_ X 1_4'")</f>
        <v>\\MCA-S\mk\2_BM\0_BMat\08_PYM\Inventario\excel\Imagen de refacciones\WAM\Mangas rectas de hule para transportadora para silo 8_ X 1_4'</v>
      </c>
      <c r="E338" s="74"/>
      <c r="F338" s="74" t="str">
        <f>IFERROR(__xludf.DUMMYFUNCTION("""COMPUTED_VALUE"""),"Mangas rectas de hule para transportadora para silo 8* X 1/4'")</f>
        <v>Mangas rectas de hule para transportadora para silo 8* X 1/4'</v>
      </c>
      <c r="G338" s="74"/>
      <c r="H338" s="74"/>
      <c r="I338" s="74"/>
      <c r="J338" s="74"/>
      <c r="K338" s="74" t="str">
        <f>IFERROR(__xludf.DUMMYFUNCTION("""COMPUTED_VALUE"""),"WAM")</f>
        <v>WAM</v>
      </c>
      <c r="L338" s="74" t="str">
        <f>IFERROR(__xludf.DUMMYFUNCTION("""COMPUTED_VALUE"""),"Componentes para silos")</f>
        <v>Componentes para silos</v>
      </c>
      <c r="M338" s="74" t="str">
        <f>IFERROR(__xludf.DUMMYFUNCTION("""COMPUTED_VALUE"""),"Sin Asignar")</f>
        <v>Sin Asignar</v>
      </c>
      <c r="N338" s="87">
        <f>IFERROR(__xludf.DUMMYFUNCTION("""COMPUTED_VALUE"""),0.0)</f>
        <v>0</v>
      </c>
      <c r="O338" s="74"/>
      <c r="P338" s="74" t="str">
        <f>IFERROR(__xludf.DUMMYFUNCTION("""COMPUTED_VALUE"""),"No Available")</f>
        <v>No Available</v>
      </c>
      <c r="Q338" s="74"/>
      <c r="R338" s="74"/>
      <c r="S338" s="87">
        <f>IFERROR(__xludf.DUMMYFUNCTION("""COMPUTED_VALUE"""),0.0)</f>
        <v>0</v>
      </c>
      <c r="T338" s="87">
        <f>IFERROR(__xludf.DUMMYFUNCTION("""COMPUTED_VALUE"""),0.0)</f>
        <v>0</v>
      </c>
      <c r="U338" s="87">
        <f>IFERROR(__xludf.DUMMYFUNCTION("""COMPUTED_VALUE"""),0.0)</f>
        <v>0</v>
      </c>
      <c r="V338" s="87">
        <f>IFERROR(__xludf.DUMMYFUNCTION("""COMPUTED_VALUE"""),0.0)</f>
        <v>0</v>
      </c>
      <c r="W338" s="87">
        <f>IFERROR(__xludf.DUMMYFUNCTION("""COMPUTED_VALUE"""),0.0)</f>
        <v>0</v>
      </c>
      <c r="X338" s="88"/>
      <c r="Y338" s="74"/>
      <c r="Z338" s="74"/>
    </row>
    <row r="339">
      <c r="B339" s="74" t="str">
        <f>IFERROR(__xludf.DUMMYFUNCTION("""COMPUTED_VALUE"""),"1336")</f>
        <v>1336</v>
      </c>
      <c r="C339" s="74"/>
      <c r="D339" s="74" t="str">
        <f>IFERROR(__xludf.DUMMYFUNCTION("""COMPUTED_VALUE"""),"\\MCA-S\mk\2_BM\0_BMat\08_PYM\Inventario\excel\Imagen de refacciones\WAM\Mangas rectas de hule para transportadora para silo 8-1_2_ X 1_4'")</f>
        <v>\\MCA-S\mk\2_BM\0_BMat\08_PYM\Inventario\excel\Imagen de refacciones\WAM\Mangas rectas de hule para transportadora para silo 8-1_2_ X 1_4'</v>
      </c>
      <c r="E339" s="74"/>
      <c r="F339" s="74" t="str">
        <f>IFERROR(__xludf.DUMMYFUNCTION("""COMPUTED_VALUE"""),"Mangas rectas de hule para transportadora para silo 8-1/2* X 1/4'")</f>
        <v>Mangas rectas de hule para transportadora para silo 8-1/2* X 1/4'</v>
      </c>
      <c r="G339" s="74"/>
      <c r="H339" s="74"/>
      <c r="I339" s="74"/>
      <c r="J339" s="74"/>
      <c r="K339" s="74" t="str">
        <f>IFERROR(__xludf.DUMMYFUNCTION("""COMPUTED_VALUE"""),"WAM")</f>
        <v>WAM</v>
      </c>
      <c r="L339" s="74" t="str">
        <f>IFERROR(__xludf.DUMMYFUNCTION("""COMPUTED_VALUE"""),"Componentes para silos")</f>
        <v>Componentes para silos</v>
      </c>
      <c r="M339" s="74" t="str">
        <f>IFERROR(__xludf.DUMMYFUNCTION("""COMPUTED_VALUE"""),"Sin Asignar")</f>
        <v>Sin Asignar</v>
      </c>
      <c r="N339" s="87">
        <f>IFERROR(__xludf.DUMMYFUNCTION("""COMPUTED_VALUE"""),0.0)</f>
        <v>0</v>
      </c>
      <c r="O339" s="74"/>
      <c r="P339" s="74" t="str">
        <f>IFERROR(__xludf.DUMMYFUNCTION("""COMPUTED_VALUE"""),"No Available")</f>
        <v>No Available</v>
      </c>
      <c r="Q339" s="74"/>
      <c r="R339" s="74"/>
      <c r="S339" s="87">
        <f>IFERROR(__xludf.DUMMYFUNCTION("""COMPUTED_VALUE"""),0.0)</f>
        <v>0</v>
      </c>
      <c r="T339" s="87">
        <f>IFERROR(__xludf.DUMMYFUNCTION("""COMPUTED_VALUE"""),0.0)</f>
        <v>0</v>
      </c>
      <c r="U339" s="87">
        <f>IFERROR(__xludf.DUMMYFUNCTION("""COMPUTED_VALUE"""),0.0)</f>
        <v>0</v>
      </c>
      <c r="V339" s="87">
        <f>IFERROR(__xludf.DUMMYFUNCTION("""COMPUTED_VALUE"""),0.0)</f>
        <v>0</v>
      </c>
      <c r="W339" s="87">
        <f>IFERROR(__xludf.DUMMYFUNCTION("""COMPUTED_VALUE"""),0.0)</f>
        <v>0</v>
      </c>
      <c r="X339" s="88"/>
      <c r="Y339" s="74"/>
      <c r="Z339" s="74"/>
    </row>
    <row r="340">
      <c r="B340" s="74" t="str">
        <f>IFERROR(__xludf.DUMMYFUNCTION("""COMPUTED_VALUE"""),"1337")</f>
        <v>1337</v>
      </c>
      <c r="C340" s="74"/>
      <c r="D340" s="74" t="str">
        <f>IFERROR(__xludf.DUMMYFUNCTION("""COMPUTED_VALUE"""),"\\MCA-S\mk\2_BM\0_BMat\08_PYM\Inventario\excel\Imagen de refacciones\WAM\Mangas rectas de hule para transportadora para silo 10'X 1_4'")</f>
        <v>\\MCA-S\mk\2_BM\0_BMat\08_PYM\Inventario\excel\Imagen de refacciones\WAM\Mangas rectas de hule para transportadora para silo 10'X 1_4'</v>
      </c>
      <c r="E340" s="74"/>
      <c r="F340" s="74" t="str">
        <f>IFERROR(__xludf.DUMMYFUNCTION("""COMPUTED_VALUE"""),"Mangas rectas de hule para transportadora para silo 10'X 1/4'")</f>
        <v>Mangas rectas de hule para transportadora para silo 10'X 1/4'</v>
      </c>
      <c r="G340" s="74"/>
      <c r="H340" s="74"/>
      <c r="I340" s="74" t="str">
        <f>IFERROR(__xludf.DUMMYFUNCTION("""COMPUTED_VALUE"""),"10'X 1/4'")</f>
        <v>10'X 1/4'</v>
      </c>
      <c r="J340" s="74"/>
      <c r="K340" s="74" t="str">
        <f>IFERROR(__xludf.DUMMYFUNCTION("""COMPUTED_VALUE"""),"WAM")</f>
        <v>WAM</v>
      </c>
      <c r="L340" s="74" t="str">
        <f>IFERROR(__xludf.DUMMYFUNCTION("""COMPUTED_VALUE"""),"Componentes para silos")</f>
        <v>Componentes para silos</v>
      </c>
      <c r="M340" s="74" t="str">
        <f>IFERROR(__xludf.DUMMYFUNCTION("""COMPUTED_VALUE"""),"Sin Asignar")</f>
        <v>Sin Asignar</v>
      </c>
      <c r="N340" s="87">
        <f>IFERROR(__xludf.DUMMYFUNCTION("""COMPUTED_VALUE"""),0.0)</f>
        <v>0</v>
      </c>
      <c r="O340" s="74"/>
      <c r="P340" s="74" t="str">
        <f>IFERROR(__xludf.DUMMYFUNCTION("""COMPUTED_VALUE"""),"No Available")</f>
        <v>No Available</v>
      </c>
      <c r="Q340" s="74"/>
      <c r="R340" s="74"/>
      <c r="S340" s="87">
        <f>IFERROR(__xludf.DUMMYFUNCTION("""COMPUTED_VALUE"""),0.0)</f>
        <v>0</v>
      </c>
      <c r="T340" s="87">
        <f>IFERROR(__xludf.DUMMYFUNCTION("""COMPUTED_VALUE"""),0.0)</f>
        <v>0</v>
      </c>
      <c r="U340" s="87">
        <f>IFERROR(__xludf.DUMMYFUNCTION("""COMPUTED_VALUE"""),0.0)</f>
        <v>0</v>
      </c>
      <c r="V340" s="87">
        <f>IFERROR(__xludf.DUMMYFUNCTION("""COMPUTED_VALUE"""),0.0)</f>
        <v>0</v>
      </c>
      <c r="W340" s="87">
        <f>IFERROR(__xludf.DUMMYFUNCTION("""COMPUTED_VALUE"""),0.0)</f>
        <v>0</v>
      </c>
      <c r="X340" s="88"/>
      <c r="Y340" s="74"/>
      <c r="Z340" s="74"/>
    </row>
    <row r="341">
      <c r="B341" s="74" t="str">
        <f>IFERROR(__xludf.DUMMYFUNCTION("""COMPUTED_VALUE"""),"1338")</f>
        <v>1338</v>
      </c>
      <c r="C341" s="74"/>
      <c r="D341" s="74" t="str">
        <f>IFERROR(__xludf.DUMMYFUNCTION("""COMPUTED_VALUE"""),"\\MCA-S\mk\2_BM\0_BMat\08_PYM\Inventario\excel\Imagen de refacciones\WAM\Mangas rectas de hule para transportadora para silo 10-1_2_ X 1_4'")</f>
        <v>\\MCA-S\mk\2_BM\0_BMat\08_PYM\Inventario\excel\Imagen de refacciones\WAM\Mangas rectas de hule para transportadora para silo 10-1_2_ X 1_4'</v>
      </c>
      <c r="E341" s="74"/>
      <c r="F341" s="74" t="str">
        <f>IFERROR(__xludf.DUMMYFUNCTION("""COMPUTED_VALUE"""),"Mangas rectas de hule para transportadora para silo 10-1/2* X 1/4'")</f>
        <v>Mangas rectas de hule para transportadora para silo 10-1/2* X 1/4'</v>
      </c>
      <c r="G341" s="74"/>
      <c r="H341" s="74"/>
      <c r="I341" s="74" t="str">
        <f>IFERROR(__xludf.DUMMYFUNCTION("""COMPUTED_VALUE"""),"10-1/2* X 1/4'")</f>
        <v>10-1/2* X 1/4'</v>
      </c>
      <c r="J341" s="74"/>
      <c r="K341" s="74" t="str">
        <f>IFERROR(__xludf.DUMMYFUNCTION("""COMPUTED_VALUE"""),"WAM")</f>
        <v>WAM</v>
      </c>
      <c r="L341" s="74" t="str">
        <f>IFERROR(__xludf.DUMMYFUNCTION("""COMPUTED_VALUE"""),"Componentes para silos")</f>
        <v>Componentes para silos</v>
      </c>
      <c r="M341" s="74" t="str">
        <f>IFERROR(__xludf.DUMMYFUNCTION("""COMPUTED_VALUE"""),"Sin Asignar")</f>
        <v>Sin Asignar</v>
      </c>
      <c r="N341" s="87">
        <f>IFERROR(__xludf.DUMMYFUNCTION("""COMPUTED_VALUE"""),0.0)</f>
        <v>0</v>
      </c>
      <c r="O341" s="74"/>
      <c r="P341" s="74" t="str">
        <f>IFERROR(__xludf.DUMMYFUNCTION("""COMPUTED_VALUE"""),"No Available")</f>
        <v>No Available</v>
      </c>
      <c r="Q341" s="74"/>
      <c r="R341" s="74"/>
      <c r="S341" s="87">
        <f>IFERROR(__xludf.DUMMYFUNCTION("""COMPUTED_VALUE"""),0.0)</f>
        <v>0</v>
      </c>
      <c r="T341" s="87">
        <f>IFERROR(__xludf.DUMMYFUNCTION("""COMPUTED_VALUE"""),0.0)</f>
        <v>0</v>
      </c>
      <c r="U341" s="87">
        <f>IFERROR(__xludf.DUMMYFUNCTION("""COMPUTED_VALUE"""),0.0)</f>
        <v>0</v>
      </c>
      <c r="V341" s="87">
        <f>IFERROR(__xludf.DUMMYFUNCTION("""COMPUTED_VALUE"""),0.0)</f>
        <v>0</v>
      </c>
      <c r="W341" s="87">
        <f>IFERROR(__xludf.DUMMYFUNCTION("""COMPUTED_VALUE"""),0.0)</f>
        <v>0</v>
      </c>
      <c r="X341" s="88"/>
      <c r="Y341" s="74"/>
      <c r="Z341" s="74"/>
    </row>
    <row r="342">
      <c r="B342" s="74" t="str">
        <f>IFERROR(__xludf.DUMMYFUNCTION("""COMPUTED_VALUE"""),"1339")</f>
        <v>1339</v>
      </c>
      <c r="C342" s="74"/>
      <c r="D342" s="74" t="str">
        <f>IFERROR(__xludf.DUMMYFUNCTION("""COMPUTED_VALUE"""),"\\MCA-S\mk\2_BM\0_BMat\08_PYM\Inventario\excel\Imagen de refacciones\WAM\Mangas rectas de hule para transportadora para silo 11_X 1_4'")</f>
        <v>\\MCA-S\mk\2_BM\0_BMat\08_PYM\Inventario\excel\Imagen de refacciones\WAM\Mangas rectas de hule para transportadora para silo 11_X 1_4'</v>
      </c>
      <c r="E342" s="74"/>
      <c r="F342" s="74" t="str">
        <f>IFERROR(__xludf.DUMMYFUNCTION("""COMPUTED_VALUE"""),"Mangas rectas de hule para transportadora para silo 11*X 1/4'")</f>
        <v>Mangas rectas de hule para transportadora para silo 11*X 1/4'</v>
      </c>
      <c r="G342" s="74"/>
      <c r="H342" s="74"/>
      <c r="I342" s="74" t="str">
        <f>IFERROR(__xludf.DUMMYFUNCTION("""COMPUTED_VALUE"""),"11*X 1/4'")</f>
        <v>11*X 1/4'</v>
      </c>
      <c r="J342" s="74"/>
      <c r="K342" s="74" t="str">
        <f>IFERROR(__xludf.DUMMYFUNCTION("""COMPUTED_VALUE"""),"WAM")</f>
        <v>WAM</v>
      </c>
      <c r="L342" s="74" t="str">
        <f>IFERROR(__xludf.DUMMYFUNCTION("""COMPUTED_VALUE"""),"Componentes para silos")</f>
        <v>Componentes para silos</v>
      </c>
      <c r="M342" s="74" t="str">
        <f>IFERROR(__xludf.DUMMYFUNCTION("""COMPUTED_VALUE"""),"Sin Asignar")</f>
        <v>Sin Asignar</v>
      </c>
      <c r="N342" s="87">
        <f>IFERROR(__xludf.DUMMYFUNCTION("""COMPUTED_VALUE"""),0.0)</f>
        <v>0</v>
      </c>
      <c r="O342" s="74"/>
      <c r="P342" s="74" t="str">
        <f>IFERROR(__xludf.DUMMYFUNCTION("""COMPUTED_VALUE"""),"No Available")</f>
        <v>No Available</v>
      </c>
      <c r="Q342" s="74"/>
      <c r="R342" s="74"/>
      <c r="S342" s="87">
        <f>IFERROR(__xludf.DUMMYFUNCTION("""COMPUTED_VALUE"""),0.0)</f>
        <v>0</v>
      </c>
      <c r="T342" s="87">
        <f>IFERROR(__xludf.DUMMYFUNCTION("""COMPUTED_VALUE"""),0.0)</f>
        <v>0</v>
      </c>
      <c r="U342" s="87">
        <f>IFERROR(__xludf.DUMMYFUNCTION("""COMPUTED_VALUE"""),0.0)</f>
        <v>0</v>
      </c>
      <c r="V342" s="87">
        <f>IFERROR(__xludf.DUMMYFUNCTION("""COMPUTED_VALUE"""),0.0)</f>
        <v>0</v>
      </c>
      <c r="W342" s="87">
        <f>IFERROR(__xludf.DUMMYFUNCTION("""COMPUTED_VALUE"""),0.0)</f>
        <v>0</v>
      </c>
      <c r="X342" s="88"/>
      <c r="Y342" s="74"/>
      <c r="Z342" s="74"/>
    </row>
    <row r="343">
      <c r="B343" s="74" t="str">
        <f>IFERROR(__xludf.DUMMYFUNCTION("""COMPUTED_VALUE"""),"1340")</f>
        <v>1340</v>
      </c>
      <c r="C343" s="74"/>
      <c r="D343" s="74" t="str">
        <f>IFERROR(__xludf.DUMMYFUNCTION("""COMPUTED_VALUE"""),"\\MCA-S\mk\2_BM\0_BMat\08_PYM\Inventario\excel\Imagen de refacciones\WAM\Mangas rectas de hule para transportadora para silo 22'X 1_4'")</f>
        <v>\\MCA-S\mk\2_BM\0_BMat\08_PYM\Inventario\excel\Imagen de refacciones\WAM\Mangas rectas de hule para transportadora para silo 22'X 1_4'</v>
      </c>
      <c r="E343" s="74"/>
      <c r="F343" s="74" t="str">
        <f>IFERROR(__xludf.DUMMYFUNCTION("""COMPUTED_VALUE"""),"Mangas rectas de hule para transportadora para silo 22'X 1/4'")</f>
        <v>Mangas rectas de hule para transportadora para silo 22'X 1/4'</v>
      </c>
      <c r="G343" s="74"/>
      <c r="H343" s="74"/>
      <c r="I343" s="74" t="str">
        <f>IFERROR(__xludf.DUMMYFUNCTION("""COMPUTED_VALUE"""),"22'X 1/4'")</f>
        <v>22'X 1/4'</v>
      </c>
      <c r="J343" s="74"/>
      <c r="K343" s="74" t="str">
        <f>IFERROR(__xludf.DUMMYFUNCTION("""COMPUTED_VALUE"""),"WAM")</f>
        <v>WAM</v>
      </c>
      <c r="L343" s="74" t="str">
        <f>IFERROR(__xludf.DUMMYFUNCTION("""COMPUTED_VALUE"""),"Componentes para silos")</f>
        <v>Componentes para silos</v>
      </c>
      <c r="M343" s="74" t="str">
        <f>IFERROR(__xludf.DUMMYFUNCTION("""COMPUTED_VALUE"""),"Sin Asignar")</f>
        <v>Sin Asignar</v>
      </c>
      <c r="N343" s="87">
        <f>IFERROR(__xludf.DUMMYFUNCTION("""COMPUTED_VALUE"""),0.0)</f>
        <v>0</v>
      </c>
      <c r="O343" s="74"/>
      <c r="P343" s="74" t="str">
        <f>IFERROR(__xludf.DUMMYFUNCTION("""COMPUTED_VALUE"""),"No Available")</f>
        <v>No Available</v>
      </c>
      <c r="Q343" s="74"/>
      <c r="R343" s="74"/>
      <c r="S343" s="87">
        <f>IFERROR(__xludf.DUMMYFUNCTION("""COMPUTED_VALUE"""),0.0)</f>
        <v>0</v>
      </c>
      <c r="T343" s="87">
        <f>IFERROR(__xludf.DUMMYFUNCTION("""COMPUTED_VALUE"""),0.0)</f>
        <v>0</v>
      </c>
      <c r="U343" s="87">
        <f>IFERROR(__xludf.DUMMYFUNCTION("""COMPUTED_VALUE"""),0.0)</f>
        <v>0</v>
      </c>
      <c r="V343" s="87">
        <f>IFERROR(__xludf.DUMMYFUNCTION("""COMPUTED_VALUE"""),0.0)</f>
        <v>0</v>
      </c>
      <c r="W343" s="87">
        <f>IFERROR(__xludf.DUMMYFUNCTION("""COMPUTED_VALUE"""),0.0)</f>
        <v>0</v>
      </c>
      <c r="X343" s="88"/>
      <c r="Y343" s="74"/>
      <c r="Z343" s="74"/>
    </row>
    <row r="344">
      <c r="B344" s="74" t="str">
        <f>IFERROR(__xludf.DUMMYFUNCTION("""COMPUTED_VALUE"""),"1341")</f>
        <v>1341</v>
      </c>
      <c r="C344" s="74"/>
      <c r="D344" s="74" t="str">
        <f>IFERROR(__xludf.DUMMYFUNCTION("""COMPUTED_VALUE"""),"\\MCA-S\mk\2_BM\0_BMat\08_PYM\Inventario\excel\Imagen de refacciones\WAM\Mangas rectas de hule para transportadora para silo 23'X1_4'")</f>
        <v>\\MCA-S\mk\2_BM\0_BMat\08_PYM\Inventario\excel\Imagen de refacciones\WAM\Mangas rectas de hule para transportadora para silo 23'X1_4'</v>
      </c>
      <c r="E344" s="74"/>
      <c r="F344" s="74" t="str">
        <f>IFERROR(__xludf.DUMMYFUNCTION("""COMPUTED_VALUE"""),"Mangas rectas de hule para transportadora para silo 23'X1/4'")</f>
        <v>Mangas rectas de hule para transportadora para silo 23'X1/4'</v>
      </c>
      <c r="G344" s="74"/>
      <c r="H344" s="74"/>
      <c r="I344" s="74" t="str">
        <f>IFERROR(__xludf.DUMMYFUNCTION("""COMPUTED_VALUE"""),"23'X1/4'")</f>
        <v>23'X1/4'</v>
      </c>
      <c r="J344" s="74"/>
      <c r="K344" s="74" t="str">
        <f>IFERROR(__xludf.DUMMYFUNCTION("""COMPUTED_VALUE"""),"WAM")</f>
        <v>WAM</v>
      </c>
      <c r="L344" s="74" t="str">
        <f>IFERROR(__xludf.DUMMYFUNCTION("""COMPUTED_VALUE"""),"Componentes para silos")</f>
        <v>Componentes para silos</v>
      </c>
      <c r="M344" s="74" t="str">
        <f>IFERROR(__xludf.DUMMYFUNCTION("""COMPUTED_VALUE"""),"Sin Asignar")</f>
        <v>Sin Asignar</v>
      </c>
      <c r="N344" s="87">
        <f>IFERROR(__xludf.DUMMYFUNCTION("""COMPUTED_VALUE"""),0.0)</f>
        <v>0</v>
      </c>
      <c r="O344" s="74"/>
      <c r="P344" s="74" t="str">
        <f>IFERROR(__xludf.DUMMYFUNCTION("""COMPUTED_VALUE"""),"No Available")</f>
        <v>No Available</v>
      </c>
      <c r="Q344" s="74"/>
      <c r="R344" s="74"/>
      <c r="S344" s="87">
        <f>IFERROR(__xludf.DUMMYFUNCTION("""COMPUTED_VALUE"""),0.0)</f>
        <v>0</v>
      </c>
      <c r="T344" s="87">
        <f>IFERROR(__xludf.DUMMYFUNCTION("""COMPUTED_VALUE"""),0.0)</f>
        <v>0</v>
      </c>
      <c r="U344" s="87">
        <f>IFERROR(__xludf.DUMMYFUNCTION("""COMPUTED_VALUE"""),0.0)</f>
        <v>0</v>
      </c>
      <c r="V344" s="87">
        <f>IFERROR(__xludf.DUMMYFUNCTION("""COMPUTED_VALUE"""),0.0)</f>
        <v>0</v>
      </c>
      <c r="W344" s="87">
        <f>IFERROR(__xludf.DUMMYFUNCTION("""COMPUTED_VALUE"""),0.0)</f>
        <v>0</v>
      </c>
      <c r="X344" s="88"/>
      <c r="Y344" s="74"/>
      <c r="Z344" s="74"/>
    </row>
    <row r="345">
      <c r="B345" s="74" t="str">
        <f>IFERROR(__xludf.DUMMYFUNCTION("""COMPUTED_VALUE"""),"1342")</f>
        <v>1342</v>
      </c>
      <c r="C345" s="74"/>
      <c r="D345" s="74" t="str">
        <f>IFERROR(__xludf.DUMMYFUNCTION("""COMPUTED_VALUE"""),"\\MCA-S\mk\2_BM\0_BMat\08_PYM\Inventario\excel\Imagen de refacciones\WAM\Mangas rectas de hule para transportadora para silo 24_ X 1_4'")</f>
        <v>\\MCA-S\mk\2_BM\0_BMat\08_PYM\Inventario\excel\Imagen de refacciones\WAM\Mangas rectas de hule para transportadora para silo 24_ X 1_4'</v>
      </c>
      <c r="E345" s="74"/>
      <c r="F345" s="74" t="str">
        <f>IFERROR(__xludf.DUMMYFUNCTION("""COMPUTED_VALUE"""),"Mangas rectas de hule para transportadora para silo 24* X 1/4'")</f>
        <v>Mangas rectas de hule para transportadora para silo 24* X 1/4'</v>
      </c>
      <c r="G345" s="74"/>
      <c r="H345" s="74"/>
      <c r="I345" s="74" t="str">
        <f>IFERROR(__xludf.DUMMYFUNCTION("""COMPUTED_VALUE"""),"24* X 1/4'")</f>
        <v>24* X 1/4'</v>
      </c>
      <c r="J345" s="74"/>
      <c r="K345" s="74" t="str">
        <f>IFERROR(__xludf.DUMMYFUNCTION("""COMPUTED_VALUE"""),"WAM")</f>
        <v>WAM</v>
      </c>
      <c r="L345" s="74" t="str">
        <f>IFERROR(__xludf.DUMMYFUNCTION("""COMPUTED_VALUE"""),"Componentes para silos")</f>
        <v>Componentes para silos</v>
      </c>
      <c r="M345" s="74" t="str">
        <f>IFERROR(__xludf.DUMMYFUNCTION("""COMPUTED_VALUE"""),"Sin Asignar")</f>
        <v>Sin Asignar</v>
      </c>
      <c r="N345" s="87">
        <f>IFERROR(__xludf.DUMMYFUNCTION("""COMPUTED_VALUE"""),0.0)</f>
        <v>0</v>
      </c>
      <c r="O345" s="74"/>
      <c r="P345" s="74" t="str">
        <f>IFERROR(__xludf.DUMMYFUNCTION("""COMPUTED_VALUE"""),"No Available")</f>
        <v>No Available</v>
      </c>
      <c r="Q345" s="74"/>
      <c r="R345" s="74"/>
      <c r="S345" s="87">
        <f>IFERROR(__xludf.DUMMYFUNCTION("""COMPUTED_VALUE"""),0.0)</f>
        <v>0</v>
      </c>
      <c r="T345" s="87">
        <f>IFERROR(__xludf.DUMMYFUNCTION("""COMPUTED_VALUE"""),0.0)</f>
        <v>0</v>
      </c>
      <c r="U345" s="87">
        <f>IFERROR(__xludf.DUMMYFUNCTION("""COMPUTED_VALUE"""),0.0)</f>
        <v>0</v>
      </c>
      <c r="V345" s="87">
        <f>IFERROR(__xludf.DUMMYFUNCTION("""COMPUTED_VALUE"""),0.0)</f>
        <v>0</v>
      </c>
      <c r="W345" s="87">
        <f>IFERROR(__xludf.DUMMYFUNCTION("""COMPUTED_VALUE"""),0.0)</f>
        <v>0</v>
      </c>
      <c r="X345" s="88"/>
      <c r="Y345" s="74"/>
      <c r="Z345" s="74"/>
    </row>
    <row r="346">
      <c r="B346" s="74" t="str">
        <f>IFERROR(__xludf.DUMMYFUNCTION("""COMPUTED_VALUE"""),"1343")</f>
        <v>1343</v>
      </c>
      <c r="C346" s="74"/>
      <c r="D346" s="74" t="str">
        <f>IFERROR(__xludf.DUMMYFUNCTION("""COMPUTED_VALUE"""),"\\MCA-S\mk\2_BM\0_BMat\08_PYM\Inventario\excel\Imagen de refacciones\WAM\Mangas rectas de hule para transportadora para silo 26' X 1_4'")</f>
        <v>\\MCA-S\mk\2_BM\0_BMat\08_PYM\Inventario\excel\Imagen de refacciones\WAM\Mangas rectas de hule para transportadora para silo 26' X 1_4'</v>
      </c>
      <c r="E346" s="74"/>
      <c r="F346" s="74" t="str">
        <f>IFERROR(__xludf.DUMMYFUNCTION("""COMPUTED_VALUE"""),"Mangas rectas de hule para transportadora para silo 26' X 1/4'")</f>
        <v>Mangas rectas de hule para transportadora para silo 26' X 1/4'</v>
      </c>
      <c r="G346" s="74"/>
      <c r="H346" s="74"/>
      <c r="I346" s="74" t="str">
        <f>IFERROR(__xludf.DUMMYFUNCTION("""COMPUTED_VALUE"""),"26' X 1/4'")</f>
        <v>26' X 1/4'</v>
      </c>
      <c r="J346" s="74"/>
      <c r="K346" s="74" t="str">
        <f>IFERROR(__xludf.DUMMYFUNCTION("""COMPUTED_VALUE"""),"WAM")</f>
        <v>WAM</v>
      </c>
      <c r="L346" s="74" t="str">
        <f>IFERROR(__xludf.DUMMYFUNCTION("""COMPUTED_VALUE"""),"Componentes para silos")</f>
        <v>Componentes para silos</v>
      </c>
      <c r="M346" s="74" t="str">
        <f>IFERROR(__xludf.DUMMYFUNCTION("""COMPUTED_VALUE"""),"Sin Asignar")</f>
        <v>Sin Asignar</v>
      </c>
      <c r="N346" s="87">
        <f>IFERROR(__xludf.DUMMYFUNCTION("""COMPUTED_VALUE"""),0.0)</f>
        <v>0</v>
      </c>
      <c r="O346" s="74"/>
      <c r="P346" s="74" t="str">
        <f>IFERROR(__xludf.DUMMYFUNCTION("""COMPUTED_VALUE"""),"No Available")</f>
        <v>No Available</v>
      </c>
      <c r="Q346" s="74"/>
      <c r="R346" s="74"/>
      <c r="S346" s="87">
        <f>IFERROR(__xludf.DUMMYFUNCTION("""COMPUTED_VALUE"""),0.0)</f>
        <v>0</v>
      </c>
      <c r="T346" s="87">
        <f>IFERROR(__xludf.DUMMYFUNCTION("""COMPUTED_VALUE"""),0.0)</f>
        <v>0</v>
      </c>
      <c r="U346" s="87">
        <f>IFERROR(__xludf.DUMMYFUNCTION("""COMPUTED_VALUE"""),0.0)</f>
        <v>0</v>
      </c>
      <c r="V346" s="87">
        <f>IFERROR(__xludf.DUMMYFUNCTION("""COMPUTED_VALUE"""),0.0)</f>
        <v>0</v>
      </c>
      <c r="W346" s="87">
        <f>IFERROR(__xludf.DUMMYFUNCTION("""COMPUTED_VALUE"""),0.0)</f>
        <v>0</v>
      </c>
      <c r="X346" s="88"/>
      <c r="Y346" s="74"/>
      <c r="Z346" s="74"/>
    </row>
    <row r="347">
      <c r="B347" s="74" t="str">
        <f>IFERROR(__xludf.DUMMYFUNCTION("""COMPUTED_VALUE"""),"1344")</f>
        <v>1344</v>
      </c>
      <c r="C347" s="74"/>
      <c r="D347" s="74" t="str">
        <f>IFERROR(__xludf.DUMMYFUNCTION("""COMPUTED_VALUE"""),"\\MCA-S\mk\2_BM\0_BMat\08_PYM\Inventario\excel\Imagen de refacciones\WAM\Mangas rectas de hule para transportadora para silo 28_ X 1_4'")</f>
        <v>\\MCA-S\mk\2_BM\0_BMat\08_PYM\Inventario\excel\Imagen de refacciones\WAM\Mangas rectas de hule para transportadora para silo 28_ X 1_4'</v>
      </c>
      <c r="E347" s="74"/>
      <c r="F347" s="74" t="str">
        <f>IFERROR(__xludf.DUMMYFUNCTION("""COMPUTED_VALUE"""),"Mangas rectas de hule para transportadora para silo 28* X 1/4'")</f>
        <v>Mangas rectas de hule para transportadora para silo 28* X 1/4'</v>
      </c>
      <c r="G347" s="74"/>
      <c r="H347" s="74"/>
      <c r="I347" s="74" t="str">
        <f>IFERROR(__xludf.DUMMYFUNCTION("""COMPUTED_VALUE"""),"28* X 1/4'")</f>
        <v>28* X 1/4'</v>
      </c>
      <c r="J347" s="74"/>
      <c r="K347" s="74" t="str">
        <f>IFERROR(__xludf.DUMMYFUNCTION("""COMPUTED_VALUE"""),"WAM")</f>
        <v>WAM</v>
      </c>
      <c r="L347" s="74" t="str">
        <f>IFERROR(__xludf.DUMMYFUNCTION("""COMPUTED_VALUE"""),"Componentes para silos")</f>
        <v>Componentes para silos</v>
      </c>
      <c r="M347" s="74" t="str">
        <f>IFERROR(__xludf.DUMMYFUNCTION("""COMPUTED_VALUE"""),"Sin Asignar")</f>
        <v>Sin Asignar</v>
      </c>
      <c r="N347" s="87">
        <f>IFERROR(__xludf.DUMMYFUNCTION("""COMPUTED_VALUE"""),0.0)</f>
        <v>0</v>
      </c>
      <c r="O347" s="74"/>
      <c r="P347" s="74" t="str">
        <f>IFERROR(__xludf.DUMMYFUNCTION("""COMPUTED_VALUE"""),"No Available")</f>
        <v>No Available</v>
      </c>
      <c r="Q347" s="74"/>
      <c r="R347" s="74"/>
      <c r="S347" s="87">
        <f>IFERROR(__xludf.DUMMYFUNCTION("""COMPUTED_VALUE"""),0.0)</f>
        <v>0</v>
      </c>
      <c r="T347" s="87">
        <f>IFERROR(__xludf.DUMMYFUNCTION("""COMPUTED_VALUE"""),0.0)</f>
        <v>0</v>
      </c>
      <c r="U347" s="87">
        <f>IFERROR(__xludf.DUMMYFUNCTION("""COMPUTED_VALUE"""),0.0)</f>
        <v>0</v>
      </c>
      <c r="V347" s="87">
        <f>IFERROR(__xludf.DUMMYFUNCTION("""COMPUTED_VALUE"""),0.0)</f>
        <v>0</v>
      </c>
      <c r="W347" s="87">
        <f>IFERROR(__xludf.DUMMYFUNCTION("""COMPUTED_VALUE"""),0.0)</f>
        <v>0</v>
      </c>
      <c r="X347" s="88"/>
      <c r="Y347" s="74"/>
      <c r="Z347" s="74"/>
    </row>
    <row r="348">
      <c r="B348" s="74" t="str">
        <f>IFERROR(__xludf.DUMMYFUNCTION("""COMPUTED_VALUE"""),"1345")</f>
        <v>1345</v>
      </c>
      <c r="C348" s="74" t="str">
        <f>IFERROR(__xludf.DUMMYFUNCTION("""COMPUTED_VALUE"""),"75045880544")</f>
        <v>75045880544</v>
      </c>
      <c r="D348" s="74" t="str">
        <f>IFERROR(__xludf.DUMMYFUNCTION("""COMPUTED_VALUE"""),"\\MCA-S\mk\2_BM\0_BMat\08_PYM\Inventario\excel\Imagen de refacciones\WAM\Válvula mariposa 10_")</f>
        <v>\\MCA-S\mk\2_BM\0_BMat\08_PYM\Inventario\excel\Imagen de refacciones\WAM\Válvula mariposa 10_</v>
      </c>
      <c r="E348" s="74" t="str">
        <f>IFERROR(__xludf.DUMMYFUNCTION("""COMPUTED_VALUE"""),"BUTTERFLY VALVE 10""")</f>
        <v>BUTTERFLY VALVE 10"</v>
      </c>
      <c r="F348" s="74" t="str">
        <f>IFERROR(__xludf.DUMMYFUNCTION("""COMPUTED_VALUE"""),"VALVULA MARIPOSA 10"" BRIDA SIMPLE HIGH QUALITY")</f>
        <v>VALVULA MARIPOSA 10" BRIDA SIMPLE HIGH QUALITY</v>
      </c>
      <c r="G348" s="74"/>
      <c r="H348" s="74"/>
      <c r="I348" s="74" t="str">
        <f>IFERROR(__xludf.DUMMYFUNCTION("""COMPUTED_VALUE"""),"PBV-10BRAY")</f>
        <v>PBV-10BRAY</v>
      </c>
      <c r="J348" s="74"/>
      <c r="K348" s="74" t="str">
        <f>IFERROR(__xludf.DUMMYFUNCTION("""COMPUTED_VALUE"""),"WAM")</f>
        <v>WAM</v>
      </c>
      <c r="L348" s="74" t="str">
        <f>IFERROR(__xludf.DUMMYFUNCTION("""COMPUTED_VALUE"""),"Componentes hidráulicos")</f>
        <v>Componentes hidráulicos</v>
      </c>
      <c r="M348" s="74" t="str">
        <f>IFERROR(__xludf.DUMMYFUNCTION("""COMPUTED_VALUE"""),"Sin Asignar")</f>
        <v>Sin Asignar</v>
      </c>
      <c r="N348" s="87">
        <f>IFERROR(__xludf.DUMMYFUNCTION("""COMPUTED_VALUE"""),0.0)</f>
        <v>0</v>
      </c>
      <c r="O348" s="74"/>
      <c r="P348" s="74" t="str">
        <f>IFERROR(__xludf.DUMMYFUNCTION("""COMPUTED_VALUE"""),"To Re-purchase")</f>
        <v>To Re-purchase</v>
      </c>
      <c r="Q348" s="74"/>
      <c r="R348" s="74"/>
      <c r="S348" s="87">
        <f>IFERROR(__xludf.DUMMYFUNCTION("""COMPUTED_VALUE"""),0.0)</f>
        <v>0</v>
      </c>
      <c r="T348" s="87">
        <f>IFERROR(__xludf.DUMMYFUNCTION("""COMPUTED_VALUE"""),0.0)</f>
        <v>0</v>
      </c>
      <c r="U348" s="87">
        <f>IFERROR(__xludf.DUMMYFUNCTION("""COMPUTED_VALUE"""),0.0)</f>
        <v>0</v>
      </c>
      <c r="V348" s="87">
        <f>IFERROR(__xludf.DUMMYFUNCTION("""COMPUTED_VALUE"""),0.0)</f>
        <v>0</v>
      </c>
      <c r="W348" s="87">
        <f>IFERROR(__xludf.DUMMYFUNCTION("""COMPUTED_VALUE"""),0.0)</f>
        <v>0</v>
      </c>
      <c r="X348" s="88"/>
      <c r="Y348" s="74"/>
      <c r="Z348" s="74"/>
    </row>
    <row r="349">
      <c r="B349" s="74" t="str">
        <f>IFERROR(__xludf.DUMMYFUNCTION("""COMPUTED_VALUE"""),"1346")</f>
        <v>1346</v>
      </c>
      <c r="C349" s="74" t="str">
        <f>IFERROR(__xludf.DUMMYFUNCTION("""COMPUTED_VALUE"""),"75045880545")</f>
        <v>75045880545</v>
      </c>
      <c r="D349" s="74" t="str">
        <f>IFERROR(__xludf.DUMMYFUNCTION("""COMPUTED_VALUE"""),"\\MCA-S\mk\2_BM\0_BMat\08_PYM\Inventario\excel\Imagen de refacciones\WAM\Medidor de turbo 2_ con PFT -4E escalable con transmisión")</f>
        <v>\\MCA-S\mk\2_BM\0_BMat\08_PYM\Inventario\excel\Imagen de refacciones\WAM\Medidor de turbo 2_ con PFT -4E escalable con transmisión</v>
      </c>
      <c r="E349" s="74" t="str">
        <f>IFERROR(__xludf.DUMMYFUNCTION("""COMPUTED_VALUE"""),"2IN TURBO METER ONLY WITH PFT-4E SCALABLE")</f>
        <v>2IN TURBO METER ONLY WITH PFT-4E SCALABLE</v>
      </c>
      <c r="F349" s="74" t="str">
        <f>IFERROR(__xludf.DUMMYFUNCTION("""COMPUTED_VALUE"""),"MEDIDOR TURBO 2"" CON PFT-4E ESCALABLE CON TRANSMISION")</f>
        <v>MEDIDOR TURBO 2" CON PFT-4E ESCALABLE CON TRANSMISION</v>
      </c>
      <c r="G349" s="74"/>
      <c r="H349" s="74"/>
      <c r="I349" s="74" t="str">
        <f>IFERROR(__xludf.DUMMYFUNCTION("""COMPUTED_VALUE"""),"258094")</f>
        <v>258094</v>
      </c>
      <c r="J349" s="74" t="str">
        <f>IFERROR(__xludf.DUMMYFUNCTION("""COMPUTED_VALUE"""),"WCM258094")</f>
        <v>WCM258094</v>
      </c>
      <c r="K349" s="74" t="str">
        <f>IFERROR(__xludf.DUMMYFUNCTION("""COMPUTED_VALUE"""),"WAM")</f>
        <v>WAM</v>
      </c>
      <c r="L349" s="74" t="str">
        <f>IFERROR(__xludf.DUMMYFUNCTION("""COMPUTED_VALUE"""),"Elementos de medición y control")</f>
        <v>Elementos de medición y control</v>
      </c>
      <c r="M349" s="74" t="str">
        <f>IFERROR(__xludf.DUMMYFUNCTION("""COMPUTED_VALUE"""),"Sin Asignar")</f>
        <v>Sin Asignar</v>
      </c>
      <c r="N349" s="87">
        <f>IFERROR(__xludf.DUMMYFUNCTION("""COMPUTED_VALUE"""),0.0)</f>
        <v>0</v>
      </c>
      <c r="O349" s="74"/>
      <c r="P349" s="74" t="str">
        <f>IFERROR(__xludf.DUMMYFUNCTION("""COMPUTED_VALUE"""),"To Re-purchase")</f>
        <v>To Re-purchase</v>
      </c>
      <c r="Q349" s="74"/>
      <c r="R349" s="74"/>
      <c r="S349" s="87">
        <f>IFERROR(__xludf.DUMMYFUNCTION("""COMPUTED_VALUE"""),0.0)</f>
        <v>0</v>
      </c>
      <c r="T349" s="87">
        <f>IFERROR(__xludf.DUMMYFUNCTION("""COMPUTED_VALUE"""),0.0)</f>
        <v>0</v>
      </c>
      <c r="U349" s="87">
        <f>IFERROR(__xludf.DUMMYFUNCTION("""COMPUTED_VALUE"""),0.0)</f>
        <v>0</v>
      </c>
      <c r="V349" s="87">
        <f>IFERROR(__xludf.DUMMYFUNCTION("""COMPUTED_VALUE"""),0.0)</f>
        <v>0</v>
      </c>
      <c r="W349" s="87">
        <f>IFERROR(__xludf.DUMMYFUNCTION("""COMPUTED_VALUE"""),0.0)</f>
        <v>0</v>
      </c>
      <c r="X349" s="88"/>
      <c r="Y349" s="74"/>
      <c r="Z349" s="74"/>
    </row>
    <row r="350">
      <c r="B350" s="74" t="str">
        <f>IFERROR(__xludf.DUMMYFUNCTION("""COMPUTED_VALUE"""),"1347")</f>
        <v>1347</v>
      </c>
      <c r="C350" s="74" t="str">
        <f>IFERROR(__xludf.DUMMYFUNCTION("""COMPUTED_VALUE"""),"75045880406")</f>
        <v>75045880406</v>
      </c>
      <c r="D350" s="74" t="str">
        <f>IFERROR(__xludf.DUMMYFUNCTION("""COMPUTED_VALUE"""),"\\MCA-S\mk\2_BM\0_BMat\08_PYM\Inventario\excel\Imagen de refacciones\WAM\Medidor de turbo 3_ con PFT - 4E escalable con transmisor")</f>
        <v>\\MCA-S\mk\2_BM\0_BMat\08_PYM\Inventario\excel\Imagen de refacciones\WAM\Medidor de turbo 3_ con PFT - 4E escalable con transmisor</v>
      </c>
      <c r="E350" s="74" t="str">
        <f>IFERROR(__xludf.DUMMYFUNCTION("""COMPUTED_VALUE"""),"3IN TURBO METER ONLY WITH PFT-4E SCALABLE
PFT-4E Scalable Transmitter")</f>
        <v>3IN TURBO METER ONLY WITH PFT-4E SCALABLE
PFT-4E Scalable Transmitter</v>
      </c>
      <c r="F350" s="74" t="str">
        <f>IFERROR(__xludf.DUMMYFUNCTION("""COMPUTED_VALUE"""),"MEDIDOR TURBO 3"" CON PFT-4E CON TRANSMISOR ")</f>
        <v>MEDIDOR TURBO 3" CON PFT-4E CON TRANSMISOR </v>
      </c>
      <c r="G350" s="74"/>
      <c r="H350" s="74"/>
      <c r="I350" s="74" t="str">
        <f>IFERROR(__xludf.DUMMYFUNCTION("""COMPUTED_VALUE"""),"258095")</f>
        <v>258095</v>
      </c>
      <c r="J350" s="74" t="str">
        <f>IFERROR(__xludf.DUMMYFUNCTION("""COMPUTED_VALUE"""),"WCM258095")</f>
        <v>WCM258095</v>
      </c>
      <c r="K350" s="74" t="str">
        <f>IFERROR(__xludf.DUMMYFUNCTION("""COMPUTED_VALUE"""),"WAM")</f>
        <v>WAM</v>
      </c>
      <c r="L350" s="74" t="str">
        <f>IFERROR(__xludf.DUMMYFUNCTION("""COMPUTED_VALUE"""),"Elementos de medición y control")</f>
        <v>Elementos de medición y control</v>
      </c>
      <c r="M350" s="74" t="str">
        <f>IFERROR(__xludf.DUMMYFUNCTION("""COMPUTED_VALUE"""),"Sin Asignar")</f>
        <v>Sin Asignar</v>
      </c>
      <c r="N350" s="87">
        <f>IFERROR(__xludf.DUMMYFUNCTION("""COMPUTED_VALUE"""),0.0)</f>
        <v>0</v>
      </c>
      <c r="O350" s="74"/>
      <c r="P350" s="74" t="str">
        <f>IFERROR(__xludf.DUMMYFUNCTION("""COMPUTED_VALUE"""),"To Re-purchase")</f>
        <v>To Re-purchase</v>
      </c>
      <c r="Q350" s="74"/>
      <c r="R350" s="74"/>
      <c r="S350" s="87">
        <f>IFERROR(__xludf.DUMMYFUNCTION("""COMPUTED_VALUE"""),0.0)</f>
        <v>0</v>
      </c>
      <c r="T350" s="87">
        <f>IFERROR(__xludf.DUMMYFUNCTION("""COMPUTED_VALUE"""),0.0)</f>
        <v>0</v>
      </c>
      <c r="U350" s="87">
        <f>IFERROR(__xludf.DUMMYFUNCTION("""COMPUTED_VALUE"""),0.0)</f>
        <v>0</v>
      </c>
      <c r="V350" s="87">
        <f>IFERROR(__xludf.DUMMYFUNCTION("""COMPUTED_VALUE"""),0.0)</f>
        <v>0</v>
      </c>
      <c r="W350" s="87">
        <f>IFERROR(__xludf.DUMMYFUNCTION("""COMPUTED_VALUE"""),0.0)</f>
        <v>0</v>
      </c>
      <c r="X350" s="88"/>
      <c r="Y350" s="74"/>
      <c r="Z350" s="74"/>
    </row>
    <row r="351">
      <c r="B351" s="74" t="str">
        <f>IFERROR(__xludf.DUMMYFUNCTION("""COMPUTED_VALUE"""),"1348")</f>
        <v>1348</v>
      </c>
      <c r="C351" s="74" t="str">
        <f>IFERROR(__xludf.DUMMYFUNCTION("""COMPUTED_VALUE"""),"75045880250")</f>
        <v>75045880250</v>
      </c>
      <c r="D351" s="74" t="str">
        <f>IFERROR(__xludf.DUMMYFUNCTION("""COMPUTED_VALUE"""),"\\MCA-S\mk\2_BM\0_BMat\08_PYM\Inventario\excel\Imagen de refacciones\WAM\Medidor de turbo 4_ con pft -4E escalable con transmisor")</f>
        <v>\\MCA-S\mk\2_BM\0_BMat\08_PYM\Inventario\excel\Imagen de refacciones\WAM\Medidor de turbo 4_ con pft -4E escalable con transmisor</v>
      </c>
      <c r="E351" s="74" t="str">
        <f>IFERROR(__xludf.DUMMYFUNCTION("""COMPUTED_VALUE"""),"4IN TURBO METER ONLY WITH PFT-4E SCALABLE")</f>
        <v>4IN TURBO METER ONLY WITH PFT-4E SCALABLE</v>
      </c>
      <c r="F351" s="74" t="str">
        <f>IFERROR(__xludf.DUMMYFUNCTION("""COMPUTED_VALUE"""),"MEDIDOR TURBO 4"" CON PFT-4E ESCALABLE CON TRANSMISION")</f>
        <v>MEDIDOR TURBO 4" CON PFT-4E ESCALABLE CON TRANSMISION</v>
      </c>
      <c r="G351" s="74"/>
      <c r="H351" s="74"/>
      <c r="I351" s="74" t="str">
        <f>IFERROR(__xludf.DUMMYFUNCTION("""COMPUTED_VALUE"""),"258141")</f>
        <v>258141</v>
      </c>
      <c r="J351" s="74" t="str">
        <f>IFERROR(__xludf.DUMMYFUNCTION("""COMPUTED_VALUE"""),"WCM258141")</f>
        <v>WCM258141</v>
      </c>
      <c r="K351" s="74" t="str">
        <f>IFERROR(__xludf.DUMMYFUNCTION("""COMPUTED_VALUE"""),"WAM")</f>
        <v>WAM</v>
      </c>
      <c r="L351" s="74" t="str">
        <f>IFERROR(__xludf.DUMMYFUNCTION("""COMPUTED_VALUE"""),"Elementos de medición y control")</f>
        <v>Elementos de medición y control</v>
      </c>
      <c r="M351" s="74" t="str">
        <f>IFERROR(__xludf.DUMMYFUNCTION("""COMPUTED_VALUE"""),"Sin Asignar")</f>
        <v>Sin Asignar</v>
      </c>
      <c r="N351" s="87">
        <f>IFERROR(__xludf.DUMMYFUNCTION("""COMPUTED_VALUE"""),0.0)</f>
        <v>0</v>
      </c>
      <c r="O351" s="74"/>
      <c r="P351" s="74" t="str">
        <f>IFERROR(__xludf.DUMMYFUNCTION("""COMPUTED_VALUE"""),"To Re-purchase")</f>
        <v>To Re-purchase</v>
      </c>
      <c r="Q351" s="74"/>
      <c r="R351" s="74"/>
      <c r="S351" s="87">
        <f>IFERROR(__xludf.DUMMYFUNCTION("""COMPUTED_VALUE"""),0.0)</f>
        <v>0</v>
      </c>
      <c r="T351" s="87">
        <f>IFERROR(__xludf.DUMMYFUNCTION("""COMPUTED_VALUE"""),0.0)</f>
        <v>0</v>
      </c>
      <c r="U351" s="87">
        <f>IFERROR(__xludf.DUMMYFUNCTION("""COMPUTED_VALUE"""),0.0)</f>
        <v>0</v>
      </c>
      <c r="V351" s="87">
        <f>IFERROR(__xludf.DUMMYFUNCTION("""COMPUTED_VALUE"""),0.0)</f>
        <v>0</v>
      </c>
      <c r="W351" s="87">
        <f>IFERROR(__xludf.DUMMYFUNCTION("""COMPUTED_VALUE"""),0.0)</f>
        <v>0</v>
      </c>
      <c r="X351" s="88"/>
      <c r="Y351" s="74"/>
      <c r="Z351" s="74"/>
    </row>
    <row r="352">
      <c r="B352" s="74" t="str">
        <f>IFERROR(__xludf.DUMMYFUNCTION("""COMPUTED_VALUE"""),"1349")</f>
        <v>1349</v>
      </c>
      <c r="C352" s="74" t="str">
        <f>IFERROR(__xludf.DUMMYFUNCTION("""COMPUTED_VALUE"""),"75045880286")</f>
        <v>75045880286</v>
      </c>
      <c r="D352" s="74" t="str">
        <f>IFERROR(__xludf.DUMMYFUNCTION("""COMPUTED_VALUE"""),"\\MCA-S\mk\2_BM\0_BMat\08_PYM\Inventario\excel\Imagen de refacciones\WAM\Medidor de turbo 2_ sin transmisor")</f>
        <v>\\MCA-S\mk\2_BM\0_BMat\08_PYM\Inventario\excel\Imagen de refacciones\WAM\Medidor de turbo 2_ sin transmisor</v>
      </c>
      <c r="E352" s="74" t="str">
        <f>IFERROR(__xludf.DUMMYFUNCTION("""COMPUTED_VALUE"""),"2IN TURBO METER ONLY NO TRANSMITTER")</f>
        <v>2IN TURBO METER ONLY NO TRANSMITTER</v>
      </c>
      <c r="F352" s="74" t="str">
        <f>IFERROR(__xludf.DUMMYFUNCTION("""COMPUTED_VALUE"""),"MEDIDOR TURBO 2"" SIN TRANSMISOR")</f>
        <v>MEDIDOR TURBO 2" SIN TRANSMISOR</v>
      </c>
      <c r="G352" s="74"/>
      <c r="H352" s="74"/>
      <c r="I352" s="74" t="str">
        <f>IFERROR(__xludf.DUMMYFUNCTION("""COMPUTED_VALUE"""),"258013")</f>
        <v>258013</v>
      </c>
      <c r="J352" s="74" t="str">
        <f>IFERROR(__xludf.DUMMYFUNCTION("""COMPUTED_VALUE"""),"WCM258013")</f>
        <v>WCM258013</v>
      </c>
      <c r="K352" s="74" t="str">
        <f>IFERROR(__xludf.DUMMYFUNCTION("""COMPUTED_VALUE"""),"WAM")</f>
        <v>WAM</v>
      </c>
      <c r="L352" s="74" t="str">
        <f>IFERROR(__xludf.DUMMYFUNCTION("""COMPUTED_VALUE"""),"Elementos de medición y control")</f>
        <v>Elementos de medición y control</v>
      </c>
      <c r="M352" s="74" t="str">
        <f>IFERROR(__xludf.DUMMYFUNCTION("""COMPUTED_VALUE"""),"Sin Asignar")</f>
        <v>Sin Asignar</v>
      </c>
      <c r="N352" s="87">
        <f>IFERROR(__xludf.DUMMYFUNCTION("""COMPUTED_VALUE"""),0.0)</f>
        <v>0</v>
      </c>
      <c r="O352" s="74"/>
      <c r="P352" s="74" t="str">
        <f>IFERROR(__xludf.DUMMYFUNCTION("""COMPUTED_VALUE"""),"To Re-purchase")</f>
        <v>To Re-purchase</v>
      </c>
      <c r="Q352" s="74"/>
      <c r="R352" s="74"/>
      <c r="S352" s="87">
        <f>IFERROR(__xludf.DUMMYFUNCTION("""COMPUTED_VALUE"""),0.0)</f>
        <v>0</v>
      </c>
      <c r="T352" s="87">
        <f>IFERROR(__xludf.DUMMYFUNCTION("""COMPUTED_VALUE"""),0.0)</f>
        <v>0</v>
      </c>
      <c r="U352" s="87">
        <f>IFERROR(__xludf.DUMMYFUNCTION("""COMPUTED_VALUE"""),0.0)</f>
        <v>0</v>
      </c>
      <c r="V352" s="87">
        <f>IFERROR(__xludf.DUMMYFUNCTION("""COMPUTED_VALUE"""),0.0)</f>
        <v>0</v>
      </c>
      <c r="W352" s="87">
        <f>IFERROR(__xludf.DUMMYFUNCTION("""COMPUTED_VALUE"""),0.0)</f>
        <v>0</v>
      </c>
      <c r="X352" s="88"/>
      <c r="Y352" s="74"/>
      <c r="Z352" s="74"/>
    </row>
    <row r="353">
      <c r="B353" s="74" t="str">
        <f>IFERROR(__xludf.DUMMYFUNCTION("""COMPUTED_VALUE"""),"1350")</f>
        <v>1350</v>
      </c>
      <c r="C353" s="74" t="str">
        <f>IFERROR(__xludf.DUMMYFUNCTION("""COMPUTED_VALUE"""),"75045880407")</f>
        <v>75045880407</v>
      </c>
      <c r="D353" s="74" t="str">
        <f>IFERROR(__xludf.DUMMYFUNCTION("""COMPUTED_VALUE"""),"\\MCA-S\mk\2_BM\0_BMat\08_PYM\Inventario\excel\Imagen de refacciones\WAM\Limitador para actuador neumático")</f>
        <v>\\MCA-S\mk\2_BM\0_BMat\08_PYM\Inventario\excel\Imagen de refacciones\WAM\Limitador para actuador neumático</v>
      </c>
      <c r="E353" s="74" t="str">
        <f>IFERROR(__xludf.DUMMYFUNCTION("""COMPUTED_VALUE"""),"LIMIT SWITCH FOR 4IN TO 16IN BUTTERFLY VALVES")</f>
        <v>LIMIT SWITCH FOR 4IN TO 16IN BUTTERFLY VALVES</v>
      </c>
      <c r="F353" s="74" t="str">
        <f>IFERROR(__xludf.DUMMYFUNCTION("""COMPUTED_VALUE"""),"LIMPIADOR ACTUADOR NEUMATICO")</f>
        <v>LIMPIADOR ACTUADOR NEUMATICO</v>
      </c>
      <c r="G353" s="74"/>
      <c r="H353" s="74"/>
      <c r="I353" s="74" t="str">
        <f>IFERROR(__xludf.DUMMYFUNCTION("""COMPUTED_VALUE"""),"MIC23")</f>
        <v>MIC23</v>
      </c>
      <c r="J353" s="74"/>
      <c r="K353" s="74" t="str">
        <f>IFERROR(__xludf.DUMMYFUNCTION("""COMPUTED_VALUE"""),"WAM")</f>
        <v>WAM</v>
      </c>
      <c r="L353" s="74" t="str">
        <f>IFERROR(__xludf.DUMMYFUNCTION("""COMPUTED_VALUE"""),"Componentes neumáticos")</f>
        <v>Componentes neumáticos</v>
      </c>
      <c r="M353" s="74" t="str">
        <f>IFERROR(__xludf.DUMMYFUNCTION("""COMPUTED_VALUE"""),"Sin Asignar")</f>
        <v>Sin Asignar</v>
      </c>
      <c r="N353" s="87">
        <f>IFERROR(__xludf.DUMMYFUNCTION("""COMPUTED_VALUE"""),0.0)</f>
        <v>0</v>
      </c>
      <c r="O353" s="74"/>
      <c r="P353" s="74" t="str">
        <f>IFERROR(__xludf.DUMMYFUNCTION("""COMPUTED_VALUE"""),"To Re-purchase")</f>
        <v>To Re-purchase</v>
      </c>
      <c r="Q353" s="74"/>
      <c r="R353" s="74"/>
      <c r="S353" s="87">
        <f>IFERROR(__xludf.DUMMYFUNCTION("""COMPUTED_VALUE"""),0.0)</f>
        <v>0</v>
      </c>
      <c r="T353" s="87">
        <f>IFERROR(__xludf.DUMMYFUNCTION("""COMPUTED_VALUE"""),0.0)</f>
        <v>0</v>
      </c>
      <c r="U353" s="87">
        <f>IFERROR(__xludf.DUMMYFUNCTION("""COMPUTED_VALUE"""),0.0)</f>
        <v>0</v>
      </c>
      <c r="V353" s="87">
        <f>IFERROR(__xludf.DUMMYFUNCTION("""COMPUTED_VALUE"""),0.0)</f>
        <v>0</v>
      </c>
      <c r="W353" s="87">
        <f>IFERROR(__xludf.DUMMYFUNCTION("""COMPUTED_VALUE"""),0.0)</f>
        <v>0</v>
      </c>
      <c r="X353" s="88"/>
      <c r="Y353" s="74"/>
      <c r="Z353" s="74"/>
    </row>
    <row r="354">
      <c r="B354" s="74" t="str">
        <f>IFERROR(__xludf.DUMMYFUNCTION("""COMPUTED_VALUE"""),"1351")</f>
        <v>1351</v>
      </c>
      <c r="C354" s="74" t="str">
        <f>IFERROR(__xludf.DUMMYFUNCTION("""COMPUTED_VALUE"""),"75045880485")</f>
        <v>75045880485</v>
      </c>
      <c r="D354" s="74" t="str">
        <f>IFERROR(__xludf.DUMMYFUNCTION("""COMPUTED_VALUE"""),"\\MCA-S\mk\2_BM\0_BMat\08_PYM\Inventario\excel\Imagen de refacciones\WAM\Set de filtros colectores (7 filtros)")</f>
        <v>\\MCA-S\mk\2_BM\0_BMat\08_PYM\Inventario\excel\Imagen de refacciones\WAM\Set de filtros colectores (7 filtros)</v>
      </c>
      <c r="E354" s="74" t="str">
        <f>IFERROR(__xludf.DUMMYFUNCTION("""COMPUTED_VALUE"""),"DUST COLLECTOR FILTER CARTRIDGE SET OF 7")</f>
        <v>DUST COLLECTOR FILTER CARTRIDGE SET OF 7</v>
      </c>
      <c r="F354" s="74" t="str">
        <f>IFERROR(__xludf.DUMMYFUNCTION("""COMPUTED_VALUE"""),"SET FILTROS COLECTORES (7 FILTROS)")</f>
        <v>SET FILTROS COLECTORES (7 FILTROS)</v>
      </c>
      <c r="G354" s="74"/>
      <c r="H354" s="74"/>
      <c r="I354" s="74" t="str">
        <f>IFERROR(__xludf.DUMMYFUNCTION("""COMPUTED_VALUE"""),"PDC50R01CK")</f>
        <v>PDC50R01CK</v>
      </c>
      <c r="J354" s="74"/>
      <c r="K354" s="74" t="str">
        <f>IFERROR(__xludf.DUMMYFUNCTION("""COMPUTED_VALUE"""),"WAM")</f>
        <v>WAM</v>
      </c>
      <c r="L354" s="74" t="str">
        <f>IFERROR(__xludf.DUMMYFUNCTION("""COMPUTED_VALUE"""),"Componentes para silos")</f>
        <v>Componentes para silos</v>
      </c>
      <c r="M354" s="74" t="str">
        <f>IFERROR(__xludf.DUMMYFUNCTION("""COMPUTED_VALUE"""),"Sin Asignar")</f>
        <v>Sin Asignar</v>
      </c>
      <c r="N354" s="87">
        <f>IFERROR(__xludf.DUMMYFUNCTION("""COMPUTED_VALUE"""),0.0)</f>
        <v>0</v>
      </c>
      <c r="O354" s="74"/>
      <c r="P354" s="74" t="str">
        <f>IFERROR(__xludf.DUMMYFUNCTION("""COMPUTED_VALUE"""),"No Available")</f>
        <v>No Available</v>
      </c>
      <c r="Q354" s="74"/>
      <c r="R354" s="74"/>
      <c r="S354" s="87">
        <f>IFERROR(__xludf.DUMMYFUNCTION("""COMPUTED_VALUE"""),0.0)</f>
        <v>0</v>
      </c>
      <c r="T354" s="87">
        <f>IFERROR(__xludf.DUMMYFUNCTION("""COMPUTED_VALUE"""),0.0)</f>
        <v>0</v>
      </c>
      <c r="U354" s="87">
        <f>IFERROR(__xludf.DUMMYFUNCTION("""COMPUTED_VALUE"""),0.0)</f>
        <v>0</v>
      </c>
      <c r="V354" s="87">
        <f>IFERROR(__xludf.DUMMYFUNCTION("""COMPUTED_VALUE"""),0.0)</f>
        <v>0</v>
      </c>
      <c r="W354" s="87">
        <f>IFERROR(__xludf.DUMMYFUNCTION("""COMPUTED_VALUE"""),0.0)</f>
        <v>0</v>
      </c>
      <c r="X354" s="88"/>
      <c r="Y354" s="74"/>
      <c r="Z354" s="74"/>
    </row>
    <row r="355">
      <c r="B355" s="74" t="str">
        <f>IFERROR(__xludf.DUMMYFUNCTION("""COMPUTED_VALUE"""),"1352")</f>
        <v>1352</v>
      </c>
      <c r="C355" s="74" t="str">
        <f>IFERROR(__xludf.DUMMYFUNCTION("""COMPUTED_VALUE"""),"75045880287")</f>
        <v>75045880287</v>
      </c>
      <c r="D355" s="74" t="str">
        <f>IFERROR(__xludf.DUMMYFUNCTION("""COMPUTED_VALUE"""),"\\MCA-S\mk\2_BM\0_BMat\08_PYM\Inventario\excel\Imagen de refacciones\WAM\Filtro colector de polvo")</f>
        <v>\\MCA-S\mk\2_BM\0_BMat\08_PYM\Inventario\excel\Imagen de refacciones\WAM\Filtro colector de polvo</v>
      </c>
      <c r="E355" s="74" t="str">
        <f>IFERROR(__xludf.DUMMYFUNCTION("""COMPUTED_VALUE"""),"JET PULSE CARTRIDGE FILTER")</f>
        <v>JET PULSE CARTRIDGE FILTER</v>
      </c>
      <c r="F355" s="74" t="str">
        <f>IFERROR(__xludf.DUMMYFUNCTION("""COMPUTED_VALUE"""),"FILTRO COLECTOR DE POLVO")</f>
        <v>FILTRO COLECTOR DE POLVO</v>
      </c>
      <c r="G355" s="74"/>
      <c r="H355" s="74"/>
      <c r="I355" s="74" t="str">
        <f>IFERROR(__xludf.DUMMYFUNCTION("""COMPUTED_VALUE"""),"P10245")</f>
        <v>P10245</v>
      </c>
      <c r="J355" s="74"/>
      <c r="K355" s="74" t="str">
        <f>IFERROR(__xludf.DUMMYFUNCTION("""COMPUTED_VALUE"""),"WAM")</f>
        <v>WAM</v>
      </c>
      <c r="L355" s="74" t="str">
        <f>IFERROR(__xludf.DUMMYFUNCTION("""COMPUTED_VALUE"""),"Componentes para silos")</f>
        <v>Componentes para silos</v>
      </c>
      <c r="M355" s="74" t="str">
        <f>IFERROR(__xludf.DUMMYFUNCTION("""COMPUTED_VALUE"""),"Sin Asignar")</f>
        <v>Sin Asignar</v>
      </c>
      <c r="N355" s="87">
        <f>IFERROR(__xludf.DUMMYFUNCTION("""COMPUTED_VALUE"""),0.0)</f>
        <v>0</v>
      </c>
      <c r="O355" s="74"/>
      <c r="P355" s="74" t="str">
        <f>IFERROR(__xludf.DUMMYFUNCTION("""COMPUTED_VALUE"""),"To Re-purchase")</f>
        <v>To Re-purchase</v>
      </c>
      <c r="Q355" s="74"/>
      <c r="R355" s="74"/>
      <c r="S355" s="87">
        <f>IFERROR(__xludf.DUMMYFUNCTION("""COMPUTED_VALUE"""),0.0)</f>
        <v>0</v>
      </c>
      <c r="T355" s="87">
        <f>IFERROR(__xludf.DUMMYFUNCTION("""COMPUTED_VALUE"""),0.0)</f>
        <v>0</v>
      </c>
      <c r="U355" s="87">
        <f>IFERROR(__xludf.DUMMYFUNCTION("""COMPUTED_VALUE"""),0.0)</f>
        <v>0</v>
      </c>
      <c r="V355" s="87">
        <f>IFERROR(__xludf.DUMMYFUNCTION("""COMPUTED_VALUE"""),0.0)</f>
        <v>0</v>
      </c>
      <c r="W355" s="87">
        <f>IFERROR(__xludf.DUMMYFUNCTION("""COMPUTED_VALUE"""),0.0)</f>
        <v>0</v>
      </c>
      <c r="X355" s="88"/>
      <c r="Y355" s="74"/>
      <c r="Z355" s="74"/>
    </row>
    <row r="356">
      <c r="B356" s="74" t="str">
        <f>IFERROR(__xludf.DUMMYFUNCTION("""COMPUTED_VALUE"""),"1353")</f>
        <v>1353</v>
      </c>
      <c r="C356" s="74"/>
      <c r="D356" s="74" t="str">
        <f>IFERROR(__xludf.DUMMYFUNCTION("""COMPUTED_VALUE"""),"\\MCA-S\mk\2_BM\0_BMat\08_PYM\Inventario\excel\Imagen de refacciones\WAM\Colector de polvo de pulso WAM")</f>
        <v>\\MCA-S\mk\2_BM\0_BMat\08_PYM\Inventario\excel\Imagen de refacciones\WAM\Colector de polvo de pulso WAM</v>
      </c>
      <c r="E356" s="74"/>
      <c r="F356" s="74" t="str">
        <f>IFERROR(__xludf.DUMMYFUNCTION("""COMPUTED_VALUE"""),"Colector de polvo de pulso WAM")</f>
        <v>Colector de polvo de pulso WAM</v>
      </c>
      <c r="G356" s="74"/>
      <c r="H356" s="74"/>
      <c r="I356" s="74" t="str">
        <f>IFERROR(__xludf.DUMMYFUNCTION("""COMPUTED_VALUE"""),"PFC.3J.24")</f>
        <v>PFC.3J.24</v>
      </c>
      <c r="J356" s="74"/>
      <c r="K356" s="74" t="str">
        <f>IFERROR(__xludf.DUMMYFUNCTION("""COMPUTED_VALUE"""),"WAM")</f>
        <v>WAM</v>
      </c>
      <c r="L356" s="74" t="str">
        <f>IFERROR(__xludf.DUMMYFUNCTION("""COMPUTED_VALUE"""),"Componentes para silos")</f>
        <v>Componentes para silos</v>
      </c>
      <c r="M356" s="74" t="str">
        <f>IFERROR(__xludf.DUMMYFUNCTION("""COMPUTED_VALUE"""),"Sin Asignar")</f>
        <v>Sin Asignar</v>
      </c>
      <c r="N356" s="87">
        <f>IFERROR(__xludf.DUMMYFUNCTION("""COMPUTED_VALUE"""),0.0)</f>
        <v>0</v>
      </c>
      <c r="O356" s="74"/>
      <c r="P356" s="74" t="str">
        <f>IFERROR(__xludf.DUMMYFUNCTION("""COMPUTED_VALUE"""),"No Available")</f>
        <v>No Available</v>
      </c>
      <c r="Q356" s="74"/>
      <c r="R356" s="74"/>
      <c r="S356" s="87">
        <f>IFERROR(__xludf.DUMMYFUNCTION("""COMPUTED_VALUE"""),0.0)</f>
        <v>0</v>
      </c>
      <c r="T356" s="87">
        <f>IFERROR(__xludf.DUMMYFUNCTION("""COMPUTED_VALUE"""),0.0)</f>
        <v>0</v>
      </c>
      <c r="U356" s="87">
        <f>IFERROR(__xludf.DUMMYFUNCTION("""COMPUTED_VALUE"""),0.0)</f>
        <v>0</v>
      </c>
      <c r="V356" s="87">
        <f>IFERROR(__xludf.DUMMYFUNCTION("""COMPUTED_VALUE"""),0.0)</f>
        <v>0</v>
      </c>
      <c r="W356" s="87">
        <f>IFERROR(__xludf.DUMMYFUNCTION("""COMPUTED_VALUE"""),0.0)</f>
        <v>0</v>
      </c>
      <c r="X356" s="88"/>
      <c r="Y356" s="74"/>
      <c r="Z356" s="74"/>
    </row>
    <row r="357">
      <c r="B357" s="74" t="str">
        <f>IFERROR(__xludf.DUMMYFUNCTION("""COMPUTED_VALUE"""),"1354")</f>
        <v>1354</v>
      </c>
      <c r="C357" s="74" t="str">
        <f>IFERROR(__xludf.DUMMYFUNCTION("""COMPUTED_VALUE"""),"75045891354")</f>
        <v>75045891354</v>
      </c>
      <c r="D357" s="74" t="str">
        <f>IFERROR(__xludf.DUMMYFUNCTION("""COMPUTED_VALUE"""),"\\MCA-S\mk\2_BM\0_BMat\08_PYM\Inventario\excel\Imagen de refacciones\WAM\Filtro cilíndrico 30_X 6_ para silo de cemento")</f>
        <v>\\MCA-S\mk\2_BM\0_BMat\08_PYM\Inventario\excel\Imagen de refacciones\WAM\Filtro cilíndrico 30_X 6_ para silo de cemento</v>
      </c>
      <c r="E357" s="74" t="str">
        <f>IFERROR(__xludf.DUMMYFUNCTION("""COMPUTED_VALUE"""),"FILTER CARTRIDGE   ")</f>
        <v>FILTER CARTRIDGE   </v>
      </c>
      <c r="F357" s="74" t="str">
        <f>IFERROR(__xludf.DUMMYFUNCTION("""COMPUTED_VALUE"""),"FILTRO CILINDRICO 30X6"" PARA SILO DE CEMENTO")</f>
        <v>FILTRO CILINDRICO 30X6" PARA SILO DE CEMENTO</v>
      </c>
      <c r="G357" s="74"/>
      <c r="H357" s="74"/>
      <c r="I357" s="74" t="str">
        <f>IFERROR(__xludf.DUMMYFUNCTION("""COMPUTED_VALUE"""),"KFEC2001PP3JC")</f>
        <v>KFEC2001PP3JC</v>
      </c>
      <c r="J357" s="74"/>
      <c r="K357" s="74" t="str">
        <f>IFERROR(__xludf.DUMMYFUNCTION("""COMPUTED_VALUE"""),"WAM")</f>
        <v>WAM</v>
      </c>
      <c r="L357" s="74" t="str">
        <f>IFERROR(__xludf.DUMMYFUNCTION("""COMPUTED_VALUE"""),"Componentes para silos")</f>
        <v>Componentes para silos</v>
      </c>
      <c r="M357" s="74" t="str">
        <f>IFERROR(__xludf.DUMMYFUNCTION("""COMPUTED_VALUE"""),"Sin Asignar")</f>
        <v>Sin Asignar</v>
      </c>
      <c r="N357" s="87">
        <f>IFERROR(__xludf.DUMMYFUNCTION("""COMPUTED_VALUE"""),0.0)</f>
        <v>0</v>
      </c>
      <c r="O357" s="74"/>
      <c r="P357" s="74" t="str">
        <f>IFERROR(__xludf.DUMMYFUNCTION("""COMPUTED_VALUE"""),"To Re-purchase")</f>
        <v>To Re-purchase</v>
      </c>
      <c r="Q357" s="74"/>
      <c r="R357" s="74"/>
      <c r="S357" s="87">
        <f>IFERROR(__xludf.DUMMYFUNCTION("""COMPUTED_VALUE"""),0.0)</f>
        <v>0</v>
      </c>
      <c r="T357" s="87">
        <f>IFERROR(__xludf.DUMMYFUNCTION("""COMPUTED_VALUE"""),0.0)</f>
        <v>0</v>
      </c>
      <c r="U357" s="87">
        <f>IFERROR(__xludf.DUMMYFUNCTION("""COMPUTED_VALUE"""),0.0)</f>
        <v>0</v>
      </c>
      <c r="V357" s="87">
        <f>IFERROR(__xludf.DUMMYFUNCTION("""COMPUTED_VALUE"""),0.0)</f>
        <v>0</v>
      </c>
      <c r="W357" s="87">
        <f>IFERROR(__xludf.DUMMYFUNCTION("""COMPUTED_VALUE"""),0.0)</f>
        <v>0</v>
      </c>
      <c r="X357" s="88"/>
      <c r="Y357" s="74"/>
      <c r="Z357" s="74"/>
    </row>
    <row r="358">
      <c r="B358" s="74" t="str">
        <f>IFERROR(__xludf.DUMMYFUNCTION("""COMPUTED_VALUE"""),"1355")</f>
        <v>1355</v>
      </c>
      <c r="C358" s="74" t="str">
        <f>IFERROR(__xludf.DUMMYFUNCTION("""COMPUTED_VALUE"""),"75045891355")</f>
        <v>75045891355</v>
      </c>
      <c r="D358" s="74" t="str">
        <f>IFERROR(__xludf.DUMMYFUNCTION("""COMPUTED_VALUE"""),"\\MCA-S\mk\2_BM\0_BMat\08_PYM\Inventario\excel\Imagen de refacciones\WAM\Filtro de aire compacto")</f>
        <v>\\MCA-S\mk\2_BM\0_BMat\08_PYM\Inventario\excel\Imagen de refacciones\WAM\Filtro de aire compacto</v>
      </c>
      <c r="E358" s="74"/>
      <c r="F358" s="74" t="str">
        <f>IFERROR(__xludf.DUMMYFUNCTION("""COMPUTED_VALUE"""),"FILTRO DE AIRE COMPACTO")</f>
        <v>FILTRO DE AIRE COMPACTO</v>
      </c>
      <c r="G358" s="74"/>
      <c r="H358" s="74"/>
      <c r="I358" s="74" t="str">
        <f>IFERROR(__xludf.DUMMYFUNCTION("""COMPUTED_VALUE"""),"P6180618")</f>
        <v>P6180618</v>
      </c>
      <c r="J358" s="74"/>
      <c r="K358" s="74" t="str">
        <f>IFERROR(__xludf.DUMMYFUNCTION("""COMPUTED_VALUE"""),"WAM")</f>
        <v>WAM</v>
      </c>
      <c r="L358" s="74" t="str">
        <f>IFERROR(__xludf.DUMMYFUNCTION("""COMPUTED_VALUE"""),"Componentes neumáticos")</f>
        <v>Componentes neumáticos</v>
      </c>
      <c r="M358" s="74" t="str">
        <f>IFERROR(__xludf.DUMMYFUNCTION("""COMPUTED_VALUE"""),"Sin Asignar")</f>
        <v>Sin Asignar</v>
      </c>
      <c r="N358" s="87">
        <f>IFERROR(__xludf.DUMMYFUNCTION("""COMPUTED_VALUE"""),0.0)</f>
        <v>0</v>
      </c>
      <c r="O358" s="74"/>
      <c r="P358" s="74" t="str">
        <f>IFERROR(__xludf.DUMMYFUNCTION("""COMPUTED_VALUE"""),"To Re-purchase")</f>
        <v>To Re-purchase</v>
      </c>
      <c r="Q358" s="74"/>
      <c r="R358" s="74"/>
      <c r="S358" s="87">
        <f>IFERROR(__xludf.DUMMYFUNCTION("""COMPUTED_VALUE"""),0.0)</f>
        <v>0</v>
      </c>
      <c r="T358" s="87">
        <f>IFERROR(__xludf.DUMMYFUNCTION("""COMPUTED_VALUE"""),0.0)</f>
        <v>0</v>
      </c>
      <c r="U358" s="87">
        <f>IFERROR(__xludf.DUMMYFUNCTION("""COMPUTED_VALUE"""),0.0)</f>
        <v>0</v>
      </c>
      <c r="V358" s="87">
        <f>IFERROR(__xludf.DUMMYFUNCTION("""COMPUTED_VALUE"""),0.0)</f>
        <v>0</v>
      </c>
      <c r="W358" s="87">
        <f>IFERROR(__xludf.DUMMYFUNCTION("""COMPUTED_VALUE"""),0.0)</f>
        <v>0</v>
      </c>
      <c r="X358" s="88"/>
      <c r="Y358" s="74"/>
      <c r="Z358" s="74"/>
    </row>
    <row r="359">
      <c r="B359" s="74" t="str">
        <f>IFERROR(__xludf.DUMMYFUNCTION("""COMPUTED_VALUE"""),"1356")</f>
        <v>1356</v>
      </c>
      <c r="C359" s="74" t="str">
        <f>IFERROR(__xludf.DUMMYFUNCTION("""COMPUTED_VALUE"""),"750458801356")</f>
        <v>750458801356</v>
      </c>
      <c r="D359" s="74" t="str">
        <f>IFERROR(__xludf.DUMMYFUNCTION("""COMPUTED_VALUE"""),"\\MCA-S\mk\2_BM\0_BMat\08_PYM\Inventario\excel\Imagen de refacciones\WAM\Filtro de aire con drenado automático")</f>
        <v>\\MCA-S\mk\2_BM\0_BMat\08_PYM\Inventario\excel\Imagen de refacciones\WAM\Filtro de aire con drenado automático</v>
      </c>
      <c r="E359" s="74" t="str">
        <f>IFERROR(__xludf.DUMMYFUNCTION("""COMPUTED_VALUE"""),"COMPRESSED AIR FILTER: PARTICULATE, 1/2 in NPT, 40 micron, 130 cfm, 150 psi Max Op Pressure")</f>
        <v>COMPRESSED AIR FILTER: PARTICULATE, 1/2 in NPT, 40 micron, 130 cfm, 150 psi Max Op Pressure</v>
      </c>
      <c r="F359" s="74" t="str">
        <f>IFERROR(__xludf.DUMMYFUNCTION("""COMPUTED_VALUE"""),"FILTRO AIRE CON DRENADO AUTOMATICO")</f>
        <v>FILTRO AIRE CON DRENADO AUTOMATICO</v>
      </c>
      <c r="G359" s="74"/>
      <c r="H359" s="74"/>
      <c r="I359" s="74" t="str">
        <f>IFERROR(__xludf.DUMMYFUNCTION("""COMPUTED_VALUE"""),"07F36AC")</f>
        <v>07F36AC</v>
      </c>
      <c r="J359" s="74"/>
      <c r="K359" s="74" t="str">
        <f>IFERROR(__xludf.DUMMYFUNCTION("""COMPUTED_VALUE"""),"WAM")</f>
        <v>WAM</v>
      </c>
      <c r="L359" s="74" t="str">
        <f>IFERROR(__xludf.DUMMYFUNCTION("""COMPUTED_VALUE"""),"Componentes neumáticos")</f>
        <v>Componentes neumáticos</v>
      </c>
      <c r="M359" s="74" t="str">
        <f>IFERROR(__xludf.DUMMYFUNCTION("""COMPUTED_VALUE"""),"Sin Asignar")</f>
        <v>Sin Asignar</v>
      </c>
      <c r="N359" s="87">
        <f>IFERROR(__xludf.DUMMYFUNCTION("""COMPUTED_VALUE"""),0.0)</f>
        <v>0</v>
      </c>
      <c r="O359" s="74"/>
      <c r="P359" s="74" t="str">
        <f>IFERROR(__xludf.DUMMYFUNCTION("""COMPUTED_VALUE"""),"To Re-purchase")</f>
        <v>To Re-purchase</v>
      </c>
      <c r="Q359" s="74"/>
      <c r="R359" s="74"/>
      <c r="S359" s="87">
        <f>IFERROR(__xludf.DUMMYFUNCTION("""COMPUTED_VALUE"""),0.0)</f>
        <v>0</v>
      </c>
      <c r="T359" s="87">
        <f>IFERROR(__xludf.DUMMYFUNCTION("""COMPUTED_VALUE"""),0.0)</f>
        <v>0</v>
      </c>
      <c r="U359" s="87">
        <f>IFERROR(__xludf.DUMMYFUNCTION("""COMPUTED_VALUE"""),0.0)</f>
        <v>0</v>
      </c>
      <c r="V359" s="87">
        <f>IFERROR(__xludf.DUMMYFUNCTION("""COMPUTED_VALUE"""),0.0)</f>
        <v>0</v>
      </c>
      <c r="W359" s="87">
        <f>IFERROR(__xludf.DUMMYFUNCTION("""COMPUTED_VALUE"""),0.0)</f>
        <v>0</v>
      </c>
      <c r="X359" s="88"/>
      <c r="Y359" s="74"/>
      <c r="Z359" s="74"/>
    </row>
    <row r="360">
      <c r="B360" s="74" t="str">
        <f>IFERROR(__xludf.DUMMYFUNCTION("""COMPUTED_VALUE"""),"1357")</f>
        <v>1357</v>
      </c>
      <c r="C360" s="74" t="str">
        <f>IFERROR(__xludf.DUMMYFUNCTION("""COMPUTED_VALUE"""),"750458801357")</f>
        <v>750458801357</v>
      </c>
      <c r="D360" s="74" t="str">
        <f>IFERROR(__xludf.DUMMYFUNCTION("""COMPUTED_VALUE"""),"\\MCA-S\mk\2_BM\0_BMat\08_PYM\Inventario\excel\Imagen de refacciones\WAM\Colector de polvo")</f>
        <v>\\MCA-S\mk\2_BM\0_BMat\08_PYM\Inventario\excel\Imagen de refacciones\WAM\Colector de polvo</v>
      </c>
      <c r="E360" s="74"/>
      <c r="F360" s="74" t="str">
        <f>IFERROR(__xludf.DUMMYFUNCTION("""COMPUTED_VALUE"""),"COLECTOR DE POLVO")</f>
        <v>COLECTOR DE POLVO</v>
      </c>
      <c r="G360" s="74"/>
      <c r="H360" s="74"/>
      <c r="I360" s="74" t="str">
        <f>IFERROR(__xludf.DUMMYFUNCTION("""COMPUTED_VALUE"""),"PR03")</f>
        <v>PR03</v>
      </c>
      <c r="J360" s="74"/>
      <c r="K360" s="74" t="str">
        <f>IFERROR(__xludf.DUMMYFUNCTION("""COMPUTED_VALUE"""),"WAM")</f>
        <v>WAM</v>
      </c>
      <c r="L360" s="74" t="str">
        <f>IFERROR(__xludf.DUMMYFUNCTION("""COMPUTED_VALUE"""),"Componentes para silos")</f>
        <v>Componentes para silos</v>
      </c>
      <c r="M360" s="74" t="str">
        <f>IFERROR(__xludf.DUMMYFUNCTION("""COMPUTED_VALUE"""),"Sin Asignar")</f>
        <v>Sin Asignar</v>
      </c>
      <c r="N360" s="87">
        <f>IFERROR(__xludf.DUMMYFUNCTION("""COMPUTED_VALUE"""),0.0)</f>
        <v>0</v>
      </c>
      <c r="O360" s="74"/>
      <c r="P360" s="74" t="str">
        <f>IFERROR(__xludf.DUMMYFUNCTION("""COMPUTED_VALUE"""),"To Re-purchase")</f>
        <v>To Re-purchase</v>
      </c>
      <c r="Q360" s="74"/>
      <c r="R360" s="74"/>
      <c r="S360" s="87">
        <f>IFERROR(__xludf.DUMMYFUNCTION("""COMPUTED_VALUE"""),0.0)</f>
        <v>0</v>
      </c>
      <c r="T360" s="87">
        <f>IFERROR(__xludf.DUMMYFUNCTION("""COMPUTED_VALUE"""),0.0)</f>
        <v>0</v>
      </c>
      <c r="U360" s="87">
        <f>IFERROR(__xludf.DUMMYFUNCTION("""COMPUTED_VALUE"""),0.0)</f>
        <v>0</v>
      </c>
      <c r="V360" s="87">
        <f>IFERROR(__xludf.DUMMYFUNCTION("""COMPUTED_VALUE"""),0.0)</f>
        <v>0</v>
      </c>
      <c r="W360" s="87">
        <f>IFERROR(__xludf.DUMMYFUNCTION("""COMPUTED_VALUE"""),0.0)</f>
        <v>0</v>
      </c>
      <c r="X360" s="88"/>
      <c r="Y360" s="74"/>
      <c r="Z360" s="74"/>
    </row>
    <row r="361">
      <c r="B361" s="74" t="str">
        <f>IFERROR(__xludf.DUMMYFUNCTION("""COMPUTED_VALUE"""),"1358")</f>
        <v>1358</v>
      </c>
      <c r="C361" s="74" t="str">
        <f>IFERROR(__xludf.DUMMYFUNCTION("""COMPUTED_VALUE"""),"75045891358")</f>
        <v>75045891358</v>
      </c>
      <c r="D361" s="74" t="str">
        <f>IFERROR(__xludf.DUMMYFUNCTION("""COMPUTED_VALUE"""),"\\MCA-S\mk\2_BM\0_BMat\08_PYM\Inventario\excel\Imagen de refacciones\WAM\Tapa de colector de polvo PR03")</f>
        <v>\\MCA-S\mk\2_BM\0_BMat\08_PYM\Inventario\excel\Imagen de refacciones\WAM\Tapa de colector de polvo PR03</v>
      </c>
      <c r="E361" s="74"/>
      <c r="F361" s="74" t="str">
        <f>IFERROR(__xludf.DUMMYFUNCTION("""COMPUTED_VALUE"""),"TAPA COLECTOR DE POLVO PR03 ")</f>
        <v>TAPA COLECTOR DE POLVO PR03 </v>
      </c>
      <c r="G361" s="74"/>
      <c r="H361" s="74"/>
      <c r="I361" s="74" t="str">
        <f>IFERROR(__xludf.DUMMYFUNCTION("""COMPUTED_VALUE"""),"TAPA PARA PR03")</f>
        <v>TAPA PARA PR03</v>
      </c>
      <c r="J361" s="74"/>
      <c r="K361" s="74" t="str">
        <f>IFERROR(__xludf.DUMMYFUNCTION("""COMPUTED_VALUE"""),"WAM")</f>
        <v>WAM</v>
      </c>
      <c r="L361" s="74" t="str">
        <f>IFERROR(__xludf.DUMMYFUNCTION("""COMPUTED_VALUE"""),"Componentes para silos")</f>
        <v>Componentes para silos</v>
      </c>
      <c r="M361" s="74" t="str">
        <f>IFERROR(__xludf.DUMMYFUNCTION("""COMPUTED_VALUE"""),"Sin Asignar")</f>
        <v>Sin Asignar</v>
      </c>
      <c r="N361" s="87">
        <f>IFERROR(__xludf.DUMMYFUNCTION("""COMPUTED_VALUE"""),0.0)</f>
        <v>0</v>
      </c>
      <c r="O361" s="74"/>
      <c r="P361" s="74" t="str">
        <f>IFERROR(__xludf.DUMMYFUNCTION("""COMPUTED_VALUE"""),"To Re-purchase")</f>
        <v>To Re-purchase</v>
      </c>
      <c r="Q361" s="74"/>
      <c r="R361" s="74"/>
      <c r="S361" s="87">
        <f>IFERROR(__xludf.DUMMYFUNCTION("""COMPUTED_VALUE"""),0.0)</f>
        <v>0</v>
      </c>
      <c r="T361" s="87">
        <f>IFERROR(__xludf.DUMMYFUNCTION("""COMPUTED_VALUE"""),0.0)</f>
        <v>0</v>
      </c>
      <c r="U361" s="87">
        <f>IFERROR(__xludf.DUMMYFUNCTION("""COMPUTED_VALUE"""),0.0)</f>
        <v>0</v>
      </c>
      <c r="V361" s="87">
        <f>IFERROR(__xludf.DUMMYFUNCTION("""COMPUTED_VALUE"""),0.0)</f>
        <v>0</v>
      </c>
      <c r="W361" s="87">
        <f>IFERROR(__xludf.DUMMYFUNCTION("""COMPUTED_VALUE"""),0.0)</f>
        <v>0</v>
      </c>
      <c r="X361" s="88"/>
      <c r="Y361" s="74"/>
      <c r="Z361" s="74"/>
    </row>
    <row r="362">
      <c r="B362" s="74" t="str">
        <f>IFERROR(__xludf.DUMMYFUNCTION("""COMPUTED_VALUE"""),"1359")</f>
        <v>1359</v>
      </c>
      <c r="C362" s="74" t="str">
        <f>IFERROR(__xludf.DUMMYFUNCTION("""COMPUTED_VALUE"""),"75045880486")</f>
        <v>75045880486</v>
      </c>
      <c r="D362" s="74" t="str">
        <f>IFERROR(__xludf.DUMMYFUNCTION("""COMPUTED_VALUE"""),"\\MCA-S\mk\2_BM\0_BMat\08_PYM\Inventario\excel\Imagen de refacciones\WAM\Vibradores eléctricos 220V, 1Ph, 3000 RPM 66Kg")</f>
        <v>\\MCA-S\mk\2_BM\0_BMat\08_PYM\Inventario\excel\Imagen de refacciones\WAM\Vibradores eléctricos 220V, 1Ph, 3000 RPM 66Kg</v>
      </c>
      <c r="E362" s="74" t="str">
        <f>IFERROR(__xludf.DUMMYFUNCTION("""COMPUTED_VALUE"""),"VIBRADOR 1-PHASE 220V, 1PH, 3000RPM MVE300/3M FC:321KG")</f>
        <v>VIBRADOR 1-PHASE 220V, 1PH, 3000RPM MVE300/3M FC:321KG</v>
      </c>
      <c r="F362" s="74" t="str">
        <f>IFERROR(__xludf.DUMMYFUNCTION("""COMPUTED_VALUE"""),"VIBRADOR ELECTRICO 220V, 1PH, 3000RPM MVE300/3M FC:321KG")</f>
        <v>VIBRADOR ELECTRICO 220V, 1PH, 3000RPM MVE300/3M FC:321KG</v>
      </c>
      <c r="G362" s="74"/>
      <c r="H362" s="74"/>
      <c r="I362" s="74" t="str">
        <f>IFERROR(__xludf.DUMMYFUNCTION("""COMPUTED_VALUE"""),"MVE 300/3M")</f>
        <v>MVE 300/3M</v>
      </c>
      <c r="J362" s="74"/>
      <c r="K362" s="74" t="str">
        <f>IFERROR(__xludf.DUMMYFUNCTION("""COMPUTED_VALUE"""),"WAM")</f>
        <v>WAM</v>
      </c>
      <c r="L362" s="74" t="str">
        <f>IFERROR(__xludf.DUMMYFUNCTION("""COMPUTED_VALUE"""),"SIN ASIGNAR")</f>
        <v>SIN ASIGNAR</v>
      </c>
      <c r="M362" s="74" t="str">
        <f>IFERROR(__xludf.DUMMYFUNCTION("""COMPUTED_VALUE"""),"VIBRADORES")</f>
        <v>VIBRADORES</v>
      </c>
      <c r="N362" s="87">
        <f>IFERROR(__xludf.DUMMYFUNCTION("""COMPUTED_VALUE"""),4884.0)</f>
        <v>4884</v>
      </c>
      <c r="O362" s="74">
        <f>IFERROR(__xludf.DUMMYFUNCTION("""COMPUTED_VALUE"""),2.0)</f>
        <v>2</v>
      </c>
      <c r="P362" s="74" t="str">
        <f>IFERROR(__xludf.DUMMYFUNCTION("""COMPUTED_VALUE"""),"In stock")</f>
        <v>In stock</v>
      </c>
      <c r="Q362" s="74"/>
      <c r="R362" s="74"/>
      <c r="S362" s="87">
        <f>IFERROR(__xludf.DUMMYFUNCTION("""COMPUTED_VALUE"""),65.0)</f>
        <v>65</v>
      </c>
      <c r="T362" s="87">
        <f>IFERROR(__xludf.DUMMYFUNCTION("""COMPUTED_VALUE"""),275.0)</f>
        <v>275</v>
      </c>
      <c r="U362" s="87">
        <f>IFERROR(__xludf.DUMMYFUNCTION("""COMPUTED_VALUE"""),264.0)</f>
        <v>264</v>
      </c>
      <c r="V362" s="87">
        <f>IFERROR(__xludf.DUMMYFUNCTION("""COMPUTED_VALUE"""),79.625)</f>
        <v>79.625</v>
      </c>
      <c r="W362" s="87">
        <f>IFERROR(__xludf.DUMMYFUNCTION("""COMPUTED_VALUE"""),1492.96875)</f>
        <v>1492.96875</v>
      </c>
      <c r="X362" s="88">
        <f>IFERROR(__xludf.DUMMYFUNCTION("""COMPUTED_VALUE"""),4.061538461538461)</f>
        <v>4.061538462</v>
      </c>
      <c r="Y362" s="74"/>
      <c r="Z362" s="74"/>
    </row>
    <row r="363">
      <c r="B363" s="74" t="str">
        <f>IFERROR(__xludf.DUMMYFUNCTION("""COMPUTED_VALUE"""),"1360")</f>
        <v>1360</v>
      </c>
      <c r="C363" s="74" t="str">
        <f>IFERROR(__xludf.DUMMYFUNCTION("""COMPUTED_VALUE"""),"75045880487")</f>
        <v>75045880487</v>
      </c>
      <c r="D363" s="74" t="str">
        <f>IFERROR(__xludf.DUMMYFUNCTION("""COMPUTED_VALUE"""),"\\MCA-S\mk\2_BM\0_BMat\08_PYM\Inventario\excel\Imagen de refacciones\WAM\Vibradores eléctricos 220V, 1Ph, 3000 RPM 98 Kg")</f>
        <v>\\MCA-S\mk\2_BM\0_BMat\08_PYM\Inventario\excel\Imagen de refacciones\WAM\Vibradores eléctricos 220V, 1Ph, 3000 RPM 98 Kg</v>
      </c>
      <c r="E363" s="74" t="str">
        <f>IFERROR(__xludf.DUMMYFUNCTION("""COMPUTED_VALUE"""),"VIBRATOR 1-PHASE 220V, 1PH, 3000RPM MVE300/3M FC:321KG HIGH QUALITY")</f>
        <v>VIBRATOR 1-PHASE 220V, 1PH, 3000RPM MVE300/3M FC:321KG HIGH QUALITY</v>
      </c>
      <c r="F363" s="74" t="str">
        <f>IFERROR(__xludf.DUMMYFUNCTION("""COMPUTED_VALUE"""),"VIBRADOR ELECTRICO 220V, 1PH, 3000RPM MVE300/3M FC:321KG HIGH QUALITY")</f>
        <v>VIBRADOR ELECTRICO 220V, 1PH, 3000RPM MVE300/3M FC:321KG HIGH QUALITY</v>
      </c>
      <c r="G363" s="74"/>
      <c r="H363" s="74"/>
      <c r="I363" s="74" t="str">
        <f>IFERROR(__xludf.DUMMYFUNCTION("""COMPUTED_VALUE"""),"MVE 300/3M HQ")</f>
        <v>MVE 300/3M HQ</v>
      </c>
      <c r="J363" s="74"/>
      <c r="K363" s="74" t="str">
        <f>IFERROR(__xludf.DUMMYFUNCTION("""COMPUTED_VALUE"""),"WAM")</f>
        <v>WAM</v>
      </c>
      <c r="L363" s="74" t="str">
        <f>IFERROR(__xludf.DUMMYFUNCTION("""COMPUTED_VALUE"""),"SIN ASIGNAR")</f>
        <v>SIN ASIGNAR</v>
      </c>
      <c r="M363" s="74" t="str">
        <f>IFERROR(__xludf.DUMMYFUNCTION("""COMPUTED_VALUE"""),"VIBRADORES")</f>
        <v>VIBRADORES</v>
      </c>
      <c r="N363" s="87">
        <f>IFERROR(__xludf.DUMMYFUNCTION("""COMPUTED_VALUE"""),5256.959999999999)</f>
        <v>5256.96</v>
      </c>
      <c r="O363" s="74">
        <f>IFERROR(__xludf.DUMMYFUNCTION("""COMPUTED_VALUE"""),2.0)</f>
        <v>2</v>
      </c>
      <c r="P363" s="74" t="str">
        <f>IFERROR(__xludf.DUMMYFUNCTION("""COMPUTED_VALUE"""),"In stock")</f>
        <v>In stock</v>
      </c>
      <c r="Q363" s="74"/>
      <c r="R363" s="74"/>
      <c r="S363" s="87">
        <f>IFERROR(__xludf.DUMMYFUNCTION("""COMPUTED_VALUE"""),85.0)</f>
        <v>85</v>
      </c>
      <c r="T363" s="87">
        <f>IFERROR(__xludf.DUMMYFUNCTION("""COMPUTED_VALUE"""),296.0)</f>
        <v>296</v>
      </c>
      <c r="U363" s="87">
        <f>IFERROR(__xludf.DUMMYFUNCTION("""COMPUTED_VALUE"""),284.15999999999997)</f>
        <v>284.16</v>
      </c>
      <c r="V363" s="87">
        <f>IFERROR(__xludf.DUMMYFUNCTION("""COMPUTED_VALUE"""),104.125)</f>
        <v>104.125</v>
      </c>
      <c r="W363" s="87">
        <f>IFERROR(__xludf.DUMMYFUNCTION("""COMPUTED_VALUE"""),1952.34375)</f>
        <v>1952.34375</v>
      </c>
      <c r="X363" s="88">
        <f>IFERROR(__xludf.DUMMYFUNCTION("""COMPUTED_VALUE"""),3.3430588235294114)</f>
        <v>3.343058824</v>
      </c>
      <c r="Y363" s="74"/>
      <c r="Z363" s="74"/>
    </row>
    <row r="364">
      <c r="B364" s="74" t="str">
        <f>IFERROR(__xludf.DUMMYFUNCTION("""COMPUTED_VALUE"""),"1361")</f>
        <v>1361</v>
      </c>
      <c r="C364" s="74" t="str">
        <f>IFERROR(__xludf.DUMMYFUNCTION("""COMPUTED_VALUE"""),"75045880491")</f>
        <v>75045880491</v>
      </c>
      <c r="D364" s="74" t="str">
        <f>IFERROR(__xludf.DUMMYFUNCTION("""COMPUTED_VALUE"""),"\\MCA-S\mk\2_BM\0_BMat\08_PYM\Inventario\excel\Imagen de refacciones\WAM\Vibradores eléctricos 220V, 1Ph, 3000 RPM 187 Kg")</f>
        <v>\\MCA-S\mk\2_BM\0_BMat\08_PYM\Inventario\excel\Imagen de refacciones\WAM\Vibradores eléctricos 220V, 1Ph, 3000 RPM 187 Kg</v>
      </c>
      <c r="E364" s="74" t="str">
        <f>IFERROR(__xludf.DUMMYFUNCTION("""COMPUTED_VALUE"""),"VIBRATOR 1-PHASE 220V, 1PH, 3000RPM MVE100/3M FC:98KG")</f>
        <v>VIBRATOR 1-PHASE 220V, 1PH, 3000RPM MVE100/3M FC:98KG</v>
      </c>
      <c r="F364" s="74" t="str">
        <f>IFERROR(__xludf.DUMMYFUNCTION("""COMPUTED_VALUE"""),"VIBRADOR ELECTRICO 220V, 1PH, 3000RPM MVE100/3M FC:98KG")</f>
        <v>VIBRADOR ELECTRICO 220V, 1PH, 3000RPM MVE100/3M FC:98KG</v>
      </c>
      <c r="G364" s="74"/>
      <c r="H364" s="74"/>
      <c r="I364" s="74" t="str">
        <f>IFERROR(__xludf.DUMMYFUNCTION("""COMPUTED_VALUE"""),"MVE 100/3M ")</f>
        <v>MVE 100/3M </v>
      </c>
      <c r="J364" s="74"/>
      <c r="K364" s="74" t="str">
        <f>IFERROR(__xludf.DUMMYFUNCTION("""COMPUTED_VALUE"""),"WAM")</f>
        <v>WAM</v>
      </c>
      <c r="L364" s="74" t="str">
        <f>IFERROR(__xludf.DUMMYFUNCTION("""COMPUTED_VALUE"""),"SIN ASIGNAR")</f>
        <v>SIN ASIGNAR</v>
      </c>
      <c r="M364" s="74" t="str">
        <f>IFERROR(__xludf.DUMMYFUNCTION("""COMPUTED_VALUE"""),"VIBRADORES")</f>
        <v>VIBRADORES</v>
      </c>
      <c r="N364" s="87">
        <f>IFERROR(__xludf.DUMMYFUNCTION("""COMPUTED_VALUE"""),3996.0)</f>
        <v>3996</v>
      </c>
      <c r="O364" s="74">
        <f>IFERROR(__xludf.DUMMYFUNCTION("""COMPUTED_VALUE"""),2.0)</f>
        <v>2</v>
      </c>
      <c r="P364" s="74" t="str">
        <f>IFERROR(__xludf.DUMMYFUNCTION("""COMPUTED_VALUE"""),"In stock")</f>
        <v>In stock</v>
      </c>
      <c r="Q364" s="74"/>
      <c r="R364" s="74"/>
      <c r="S364" s="87">
        <f>IFERROR(__xludf.DUMMYFUNCTION("""COMPUTED_VALUE"""),45.0)</f>
        <v>45</v>
      </c>
      <c r="T364" s="87">
        <f>IFERROR(__xludf.DUMMYFUNCTION("""COMPUTED_VALUE"""),225.0)</f>
        <v>225</v>
      </c>
      <c r="U364" s="87">
        <f>IFERROR(__xludf.DUMMYFUNCTION("""COMPUTED_VALUE"""),216.0)</f>
        <v>216</v>
      </c>
      <c r="V364" s="87">
        <f>IFERROR(__xludf.DUMMYFUNCTION("""COMPUTED_VALUE"""),55.125)</f>
        <v>55.125</v>
      </c>
      <c r="W364" s="87">
        <f>IFERROR(__xludf.DUMMYFUNCTION("""COMPUTED_VALUE"""),1033.59375)</f>
        <v>1033.59375</v>
      </c>
      <c r="X364" s="88">
        <f>IFERROR(__xludf.DUMMYFUNCTION("""COMPUTED_VALUE"""),4.8)</f>
        <v>4.8</v>
      </c>
      <c r="Y364" s="74"/>
      <c r="Z364" s="74"/>
    </row>
    <row r="365">
      <c r="B365" s="74" t="str">
        <f>IFERROR(__xludf.DUMMYFUNCTION("""COMPUTED_VALUE"""),"1362")</f>
        <v>1362</v>
      </c>
      <c r="C365" s="74" t="str">
        <f>IFERROR(__xludf.DUMMYFUNCTION("""COMPUTED_VALUE"""),"75045880489")</f>
        <v>75045880489</v>
      </c>
      <c r="D365" s="74" t="str">
        <f>IFERROR(__xludf.DUMMYFUNCTION("""COMPUTED_VALUE"""),"\\MCA-S\mk\2_BM\0_BMat\08_PYM\Inventario\excel\Imagen de refacciones\WAM\Vibradores eléctricos 220V, 1Ph, 3000 RPM_ 321 Kg")</f>
        <v>\\MCA-S\mk\2_BM\0_BMat\08_PYM\Inventario\excel\Imagen de refacciones\WAM\Vibradores eléctricos 220V, 1Ph, 3000 RPM_ 321 Kg</v>
      </c>
      <c r="E365" s="74" t="str">
        <f>IFERROR(__xludf.DUMMYFUNCTION("""COMPUTED_VALUE"""),"VIBRATOR 1-PHASE 220V, 1PH, 3000RPM MVE60/3M FC:66KG")</f>
        <v>VIBRATOR 1-PHASE 220V, 1PH, 3000RPM MVE60/3M FC:66KG</v>
      </c>
      <c r="F365" s="74" t="str">
        <f>IFERROR(__xludf.DUMMYFUNCTION("""COMPUTED_VALUE"""),"VIBRADOR ELECTRICO 220V, 1PH, 3000RPM MVE60/3M FC:66KG")</f>
        <v>VIBRADOR ELECTRICO 220V, 1PH, 3000RPM MVE60/3M FC:66KG</v>
      </c>
      <c r="G365" s="74"/>
      <c r="H365" s="74"/>
      <c r="I365" s="74" t="str">
        <f>IFERROR(__xludf.DUMMYFUNCTION("""COMPUTED_VALUE"""),"MVE 60/3M")</f>
        <v>MVE 60/3M</v>
      </c>
      <c r="J365" s="74"/>
      <c r="K365" s="74" t="str">
        <f>IFERROR(__xludf.DUMMYFUNCTION("""COMPUTED_VALUE"""),"WAM")</f>
        <v>WAM</v>
      </c>
      <c r="L365" s="74" t="str">
        <f>IFERROR(__xludf.DUMMYFUNCTION("""COMPUTED_VALUE"""),"SIN ASIGNAR")</f>
        <v>SIN ASIGNAR</v>
      </c>
      <c r="M365" s="74" t="str">
        <f>IFERROR(__xludf.DUMMYFUNCTION("""COMPUTED_VALUE"""),"VIBRADORES")</f>
        <v>VIBRADORES</v>
      </c>
      <c r="N365" s="87">
        <f>IFERROR(__xludf.DUMMYFUNCTION("""COMPUTED_VALUE"""),0.0)</f>
        <v>0</v>
      </c>
      <c r="O365" s="74"/>
      <c r="P365" s="74" t="str">
        <f>IFERROR(__xludf.DUMMYFUNCTION("""COMPUTED_VALUE"""),"To Re-purchase")</f>
        <v>To Re-purchase</v>
      </c>
      <c r="Q365" s="74"/>
      <c r="R365" s="74"/>
      <c r="S365" s="87">
        <f>IFERROR(__xludf.DUMMYFUNCTION("""COMPUTED_VALUE"""),0.0)</f>
        <v>0</v>
      </c>
      <c r="T365" s="87">
        <f>IFERROR(__xludf.DUMMYFUNCTION("""COMPUTED_VALUE"""),0.0)</f>
        <v>0</v>
      </c>
      <c r="U365" s="87">
        <f>IFERROR(__xludf.DUMMYFUNCTION("""COMPUTED_VALUE"""),0.0)</f>
        <v>0</v>
      </c>
      <c r="V365" s="87">
        <f>IFERROR(__xludf.DUMMYFUNCTION("""COMPUTED_VALUE"""),0.0)</f>
        <v>0</v>
      </c>
      <c r="W365" s="87">
        <f>IFERROR(__xludf.DUMMYFUNCTION("""COMPUTED_VALUE"""),0.0)</f>
        <v>0</v>
      </c>
      <c r="X365" s="88"/>
      <c r="Y365" s="74"/>
      <c r="Z365" s="74"/>
    </row>
    <row r="366">
      <c r="B366" s="74" t="str">
        <f>IFERROR(__xludf.DUMMYFUNCTION("""COMPUTED_VALUE"""),"1363")</f>
        <v>1363</v>
      </c>
      <c r="C366" s="74" t="str">
        <f>IFERROR(__xludf.DUMMYFUNCTION("""COMPUTED_VALUE"""),"75045880492")</f>
        <v>75045880492</v>
      </c>
      <c r="D366" s="74" t="str">
        <f>IFERROR(__xludf.DUMMYFUNCTION("""COMPUTED_VALUE"""),"\\MCA-S\mk\2_BM\0_BMat\08_PYM\Inventario\excel\Imagen de refacciones\WAM\Vibradores eléctricos 220V, 1Ph, 3000 RPM 407 Kg")</f>
        <v>\\MCA-S\mk\2_BM\0_BMat\08_PYM\Inventario\excel\Imagen de refacciones\WAM\Vibradores eléctricos 220V, 1Ph, 3000 RPM 407 Kg</v>
      </c>
      <c r="E366" s="74" t="str">
        <f>IFERROR(__xludf.DUMMYFUNCTION("""COMPUTED_VALUE"""),"VIBRATOR 1-PHASE 220V, 1PH, 3000RPM MVE200/3M FC:187KG")</f>
        <v>VIBRATOR 1-PHASE 220V, 1PH, 3000RPM MVE200/3M FC:187KG</v>
      </c>
      <c r="F366" s="74" t="str">
        <f>IFERROR(__xludf.DUMMYFUNCTION("""COMPUTED_VALUE"""),"VIBRADOR ELECTRICO 220V, 1PH, 3000RPM MVE200/3M FC:187KG")</f>
        <v>VIBRADOR ELECTRICO 220V, 1PH, 3000RPM MVE200/3M FC:187KG</v>
      </c>
      <c r="G366" s="74"/>
      <c r="H366" s="74"/>
      <c r="I366" s="74" t="str">
        <f>IFERROR(__xludf.DUMMYFUNCTION("""COMPUTED_VALUE"""),"MVE 200/3M ")</f>
        <v>MVE 200/3M </v>
      </c>
      <c r="J366" s="74"/>
      <c r="K366" s="74" t="str">
        <f>IFERROR(__xludf.DUMMYFUNCTION("""COMPUTED_VALUE"""),"WAM")</f>
        <v>WAM</v>
      </c>
      <c r="L366" s="74" t="str">
        <f>IFERROR(__xludf.DUMMYFUNCTION("""COMPUTED_VALUE"""),"SIN ASIGNAR")</f>
        <v>SIN ASIGNAR</v>
      </c>
      <c r="M366" s="74" t="str">
        <f>IFERROR(__xludf.DUMMYFUNCTION("""COMPUTED_VALUE"""),"VIBRADORES")</f>
        <v>VIBRADORES</v>
      </c>
      <c r="N366" s="87">
        <f>IFERROR(__xludf.DUMMYFUNCTION("""COMPUTED_VALUE"""),4440.0)</f>
        <v>4440</v>
      </c>
      <c r="O366" s="74">
        <f>IFERROR(__xludf.DUMMYFUNCTION("""COMPUTED_VALUE"""),2.0)</f>
        <v>2</v>
      </c>
      <c r="P366" s="74" t="str">
        <f>IFERROR(__xludf.DUMMYFUNCTION("""COMPUTED_VALUE"""),"In stock")</f>
        <v>In stock</v>
      </c>
      <c r="Q366" s="74"/>
      <c r="R366" s="74"/>
      <c r="S366" s="87">
        <f>IFERROR(__xludf.DUMMYFUNCTION("""COMPUTED_VALUE"""),55.0)</f>
        <v>55</v>
      </c>
      <c r="T366" s="87">
        <f>IFERROR(__xludf.DUMMYFUNCTION("""COMPUTED_VALUE"""),250.0)</f>
        <v>250</v>
      </c>
      <c r="U366" s="87">
        <f>IFERROR(__xludf.DUMMYFUNCTION("""COMPUTED_VALUE"""),240.0)</f>
        <v>240</v>
      </c>
      <c r="V366" s="87">
        <f>IFERROR(__xludf.DUMMYFUNCTION("""COMPUTED_VALUE"""),67.375)</f>
        <v>67.375</v>
      </c>
      <c r="W366" s="87">
        <f>IFERROR(__xludf.DUMMYFUNCTION("""COMPUTED_VALUE"""),1263.28125)</f>
        <v>1263.28125</v>
      </c>
      <c r="X366" s="88">
        <f>IFERROR(__xludf.DUMMYFUNCTION("""COMPUTED_VALUE"""),4.363636363636363)</f>
        <v>4.363636364</v>
      </c>
      <c r="Y366" s="74"/>
      <c r="Z366" s="74"/>
    </row>
    <row r="367">
      <c r="B367" s="74" t="str">
        <f>IFERROR(__xludf.DUMMYFUNCTION("""COMPUTED_VALUE"""),"1364")</f>
        <v>1364</v>
      </c>
      <c r="C367" s="74" t="str">
        <f>IFERROR(__xludf.DUMMYFUNCTION("""COMPUTED_VALUE"""),"75045880488")</f>
        <v>75045880488</v>
      </c>
      <c r="D367" s="74" t="str">
        <f>IFERROR(__xludf.DUMMYFUNCTION("""COMPUTED_VALUE"""),"\\MCA-S\mk\2_BM\0_BMat\08_PYM\Inventario\excel\Imagen de refacciones\WAM\Vibradores eléctricos 220V, 1Ph, 3000 RPM 758 Kg")</f>
        <v>\\MCA-S\mk\2_BM\0_BMat\08_PYM\Inventario\excel\Imagen de refacciones\WAM\Vibradores eléctricos 220V, 1Ph, 3000 RPM 758 Kg</v>
      </c>
      <c r="E367" s="74" t="str">
        <f>IFERROR(__xludf.DUMMYFUNCTION("""COMPUTED_VALUE"""),"VIBRATOR 1-PHASE 220V, 1PH, 3000RPM MVE100/3M FC:98KG HIGH QUALITY")</f>
        <v>VIBRATOR 1-PHASE 220V, 1PH, 3000RPM MVE100/3M FC:98KG HIGH QUALITY</v>
      </c>
      <c r="F367" s="74" t="str">
        <f>IFERROR(__xludf.DUMMYFUNCTION("""COMPUTED_VALUE"""),"VIBRADOR ELECTRICO 220V, 1PH, 3000RPM MVE100/3M FC:98KG HIGH QUALITY")</f>
        <v>VIBRADOR ELECTRICO 220V, 1PH, 3000RPM MVE100/3M FC:98KG HIGH QUALITY</v>
      </c>
      <c r="G367" s="74"/>
      <c r="H367" s="74"/>
      <c r="I367" s="74" t="str">
        <f>IFERROR(__xludf.DUMMYFUNCTION("""COMPUTED_VALUE"""),"MVE 100/3M HQ")</f>
        <v>MVE 100/3M HQ</v>
      </c>
      <c r="J367" s="74"/>
      <c r="K367" s="74" t="str">
        <f>IFERROR(__xludf.DUMMYFUNCTION("""COMPUTED_VALUE"""),"WAM")</f>
        <v>WAM</v>
      </c>
      <c r="L367" s="74" t="str">
        <f>IFERROR(__xludf.DUMMYFUNCTION("""COMPUTED_VALUE"""),"SIN ASIGNAR")</f>
        <v>SIN ASIGNAR</v>
      </c>
      <c r="M367" s="74" t="str">
        <f>IFERROR(__xludf.DUMMYFUNCTION("""COMPUTED_VALUE"""),"VIBRADORES")</f>
        <v>VIBRADORES</v>
      </c>
      <c r="N367" s="87">
        <f>IFERROR(__xludf.DUMMYFUNCTION("""COMPUTED_VALUE"""),4457.759999999999)</f>
        <v>4457.76</v>
      </c>
      <c r="O367" s="74">
        <f>IFERROR(__xludf.DUMMYFUNCTION("""COMPUTED_VALUE"""),2.0)</f>
        <v>2</v>
      </c>
      <c r="P367" s="74" t="str">
        <f>IFERROR(__xludf.DUMMYFUNCTION("""COMPUTED_VALUE"""),"In stock")</f>
        <v>In stock</v>
      </c>
      <c r="Q367" s="74"/>
      <c r="R367" s="74"/>
      <c r="S367" s="87">
        <f>IFERROR(__xludf.DUMMYFUNCTION("""COMPUTED_VALUE"""),55.0)</f>
        <v>55</v>
      </c>
      <c r="T367" s="87">
        <f>IFERROR(__xludf.DUMMYFUNCTION("""COMPUTED_VALUE"""),251.0)</f>
        <v>251</v>
      </c>
      <c r="U367" s="87">
        <f>IFERROR(__xludf.DUMMYFUNCTION("""COMPUTED_VALUE"""),240.95999999999998)</f>
        <v>240.96</v>
      </c>
      <c r="V367" s="87">
        <f>IFERROR(__xludf.DUMMYFUNCTION("""COMPUTED_VALUE"""),67.375)</f>
        <v>67.375</v>
      </c>
      <c r="W367" s="87">
        <f>IFERROR(__xludf.DUMMYFUNCTION("""COMPUTED_VALUE"""),1263.28125)</f>
        <v>1263.28125</v>
      </c>
      <c r="X367" s="88">
        <f>IFERROR(__xludf.DUMMYFUNCTION("""COMPUTED_VALUE"""),4.381090909090909)</f>
        <v>4.381090909</v>
      </c>
      <c r="Y367" s="74"/>
      <c r="Z367" s="74"/>
    </row>
    <row r="368">
      <c r="B368" s="74" t="str">
        <f>IFERROR(__xludf.DUMMYFUNCTION("""COMPUTED_VALUE"""),"1365")</f>
        <v>1365</v>
      </c>
      <c r="C368" s="74" t="str">
        <f>IFERROR(__xludf.DUMMYFUNCTION("""COMPUTED_VALUE"""),"75045880490")</f>
        <v>75045880490</v>
      </c>
      <c r="D368" s="74" t="str">
        <f>IFERROR(__xludf.DUMMYFUNCTION("""COMPUTED_VALUE"""),"\\MCA-S\mk\2_BM\0_BMat\08_PYM\Inventario\excel\Imagen de refacciones\WAM\Vibradores eléctricos 220V, 1Ph, 3000 RPM 794 Kg")</f>
        <v>\\MCA-S\mk\2_BM\0_BMat\08_PYM\Inventario\excel\Imagen de refacciones\WAM\Vibradores eléctricos 220V, 1Ph, 3000 RPM 794 Kg</v>
      </c>
      <c r="E368" s="74" t="str">
        <f>IFERROR(__xludf.DUMMYFUNCTION("""COMPUTED_VALUE"""),"VIBRATOR 1-PHASE 220V, 1PH, 3000RPM MVE200/3M FC:187KG HIGH QUALITY")</f>
        <v>VIBRATOR 1-PHASE 220V, 1PH, 3000RPM MVE200/3M FC:187KG HIGH QUALITY</v>
      </c>
      <c r="F368" s="74" t="str">
        <f>IFERROR(__xludf.DUMMYFUNCTION("""COMPUTED_VALUE"""),"VIBRADOR ELECTRICO 220V, 1PH, 3000RPM MVE200/3M FC:187KG HIGH QUALITY")</f>
        <v>VIBRADOR ELECTRICO 220V, 1PH, 3000RPM MVE200/3M FC:187KG HIGH QUALITY</v>
      </c>
      <c r="G368" s="74"/>
      <c r="H368" s="74"/>
      <c r="I368" s="74" t="str">
        <f>IFERROR(__xludf.DUMMYFUNCTION("""COMPUTED_VALUE"""),"MVE 200/3M HQ")</f>
        <v>MVE 200/3M HQ</v>
      </c>
      <c r="J368" s="74"/>
      <c r="K368" s="74" t="str">
        <f>IFERROR(__xludf.DUMMYFUNCTION("""COMPUTED_VALUE"""),"WAM")</f>
        <v>WAM</v>
      </c>
      <c r="L368" s="74" t="str">
        <f>IFERROR(__xludf.DUMMYFUNCTION("""COMPUTED_VALUE"""),"SIN ASIGNAR")</f>
        <v>SIN ASIGNAR</v>
      </c>
      <c r="M368" s="74" t="str">
        <f>IFERROR(__xludf.DUMMYFUNCTION("""COMPUTED_VALUE"""),"VIBRADORES")</f>
        <v>VIBRADORES</v>
      </c>
      <c r="N368" s="87">
        <f>IFERROR(__xludf.DUMMYFUNCTION("""COMPUTED_VALUE"""),4955.04)</f>
        <v>4955.04</v>
      </c>
      <c r="O368" s="74">
        <f>IFERROR(__xludf.DUMMYFUNCTION("""COMPUTED_VALUE"""),2.0)</f>
        <v>2</v>
      </c>
      <c r="P368" s="74" t="str">
        <f>IFERROR(__xludf.DUMMYFUNCTION("""COMPUTED_VALUE"""),"In stock")</f>
        <v>In stock</v>
      </c>
      <c r="Q368" s="74"/>
      <c r="R368" s="74"/>
      <c r="S368" s="87">
        <f>IFERROR(__xludf.DUMMYFUNCTION("""COMPUTED_VALUE"""),75.0)</f>
        <v>75</v>
      </c>
      <c r="T368" s="87">
        <f>IFERROR(__xludf.DUMMYFUNCTION("""COMPUTED_VALUE"""),279.0)</f>
        <v>279</v>
      </c>
      <c r="U368" s="87">
        <f>IFERROR(__xludf.DUMMYFUNCTION("""COMPUTED_VALUE"""),267.84)</f>
        <v>267.84</v>
      </c>
      <c r="V368" s="87">
        <f>IFERROR(__xludf.DUMMYFUNCTION("""COMPUTED_VALUE"""),91.875)</f>
        <v>91.875</v>
      </c>
      <c r="W368" s="87">
        <f>IFERROR(__xludf.DUMMYFUNCTION("""COMPUTED_VALUE"""),1722.65625)</f>
        <v>1722.65625</v>
      </c>
      <c r="X368" s="88">
        <f>IFERROR(__xludf.DUMMYFUNCTION("""COMPUTED_VALUE"""),3.5711999999999997)</f>
        <v>3.5712</v>
      </c>
      <c r="Y368" s="74"/>
      <c r="Z368" s="74"/>
    </row>
    <row r="369">
      <c r="B369" s="74" t="str">
        <f>IFERROR(__xludf.DUMMYFUNCTION("""COMPUTED_VALUE"""),"1366")</f>
        <v>1366</v>
      </c>
      <c r="C369" s="74" t="str">
        <f>IFERROR(__xludf.DUMMYFUNCTION("""COMPUTED_VALUE"""),"75045891366")</f>
        <v>75045891366</v>
      </c>
      <c r="D369" s="74" t="str">
        <f>IFERROR(__xludf.DUMMYFUNCTION("""COMPUTED_VALUE"""),"\\MCA-S\mk\2_BM\0_BMat\08_PYM\Inventario\excel\Imagen de refacciones\WAM\Vibradores neumáticos de 25,000 VIB_MIN")</f>
        <v>\\MCA-S\mk\2_BM\0_BMat\08_PYM\Inventario\excel\Imagen de refacciones\WAM\Vibradores neumáticos de 25,000 VIB_MIN</v>
      </c>
      <c r="E369" s="74" t="str">
        <f>IFERROR(__xludf.DUMMYFUNCTION("""COMPUTED_VALUE"""),"ROTARY BALL VIBRATORS S8 DE25000 VIB/MIN - PNEUMATIC VIBRATOR S8 DE25000 VIB/MI")</f>
        <v>ROTARY BALL VIBRATORS S8 DE25000 VIB/MIN - PNEUMATIC VIBRATOR S8 DE25000 VIB/MI</v>
      </c>
      <c r="F369" s="74" t="str">
        <f>IFERROR(__xludf.DUMMYFUNCTION("""COMPUTED_VALUE"""),"VIBRADOR NEUMATICO - S8 DE25000 VIB/MIN")</f>
        <v>VIBRADOR NEUMATICO - S8 DE25000 VIB/MIN</v>
      </c>
      <c r="G369" s="74"/>
      <c r="H369" s="74"/>
      <c r="I369" s="74" t="str">
        <f>IFERROR(__xludf.DUMMYFUNCTION("""COMPUTED_VALUE"""),"S8")</f>
        <v>S8</v>
      </c>
      <c r="J369" s="74"/>
      <c r="K369" s="74" t="str">
        <f>IFERROR(__xludf.DUMMYFUNCTION("""COMPUTED_VALUE"""),"WAM")</f>
        <v>WAM</v>
      </c>
      <c r="L369" s="74" t="str">
        <f>IFERROR(__xludf.DUMMYFUNCTION("""COMPUTED_VALUE"""),"SIN ASIGNAR")</f>
        <v>SIN ASIGNAR</v>
      </c>
      <c r="M369" s="74" t="str">
        <f>IFERROR(__xludf.DUMMYFUNCTION("""COMPUTED_VALUE"""),"VIBRADORES")</f>
        <v>VIBRADORES</v>
      </c>
      <c r="N369" s="87">
        <f>IFERROR(__xludf.DUMMYFUNCTION("""COMPUTED_VALUE"""),0.0)</f>
        <v>0</v>
      </c>
      <c r="O369" s="74"/>
      <c r="P369" s="74" t="str">
        <f>IFERROR(__xludf.DUMMYFUNCTION("""COMPUTED_VALUE"""),"To Re-purchase")</f>
        <v>To Re-purchase</v>
      </c>
      <c r="Q369" s="74"/>
      <c r="R369" s="74"/>
      <c r="S369" s="87">
        <f>IFERROR(__xludf.DUMMYFUNCTION("""COMPUTED_VALUE"""),0.0)</f>
        <v>0</v>
      </c>
      <c r="T369" s="87">
        <f>IFERROR(__xludf.DUMMYFUNCTION("""COMPUTED_VALUE"""),0.0)</f>
        <v>0</v>
      </c>
      <c r="U369" s="87">
        <f>IFERROR(__xludf.DUMMYFUNCTION("""COMPUTED_VALUE"""),0.0)</f>
        <v>0</v>
      </c>
      <c r="V369" s="87">
        <f>IFERROR(__xludf.DUMMYFUNCTION("""COMPUTED_VALUE"""),0.0)</f>
        <v>0</v>
      </c>
      <c r="W369" s="87">
        <f>IFERROR(__xludf.DUMMYFUNCTION("""COMPUTED_VALUE"""),0.0)</f>
        <v>0</v>
      </c>
      <c r="X369" s="88"/>
      <c r="Y369" s="74"/>
      <c r="Z369" s="74"/>
    </row>
    <row r="370">
      <c r="B370" s="74" t="str">
        <f>IFERROR(__xludf.DUMMYFUNCTION("""COMPUTED_VALUE"""),"1367")</f>
        <v>1367</v>
      </c>
      <c r="C370" s="74" t="str">
        <f>IFERROR(__xludf.DUMMYFUNCTION("""COMPUTED_VALUE"""),"75045880408")</f>
        <v>75045880408</v>
      </c>
      <c r="D370" s="74" t="str">
        <f>IFERROR(__xludf.DUMMYFUNCTION("""COMPUTED_VALUE"""),"\\MCA-S\mk\2_BM\0_BMat\08_PYM\Inventario\excel\Imagen de refacciones\WAM\Vibradores neumáticos de22,500 VIB_MIN")</f>
        <v>\\MCA-S\mk\2_BM\0_BMat\08_PYM\Inventario\excel\Imagen de refacciones\WAM\Vibradores neumáticos de22,500 VIB_MIN</v>
      </c>
      <c r="E370" s="74" t="str">
        <f>IFERROR(__xludf.DUMMYFUNCTION("""COMPUTED_VALUE"""),"ROTARY BALL VIBRATORS S10 DE22500 VIB/MIN - PNEUMATIC VIBRATOR S10 DE22500 VIB/MIN")</f>
        <v>ROTARY BALL VIBRATORS S10 DE22500 VIB/MIN - PNEUMATIC VIBRATOR S10 DE22500 VIB/MIN</v>
      </c>
      <c r="F370" s="74" t="str">
        <f>IFERROR(__xludf.DUMMYFUNCTION("""COMPUTED_VALUE"""),"VIBRADOR NEUMATICO - S10 DE22500 VIB/MIN")</f>
        <v>VIBRADOR NEUMATICO - S10 DE22500 VIB/MIN</v>
      </c>
      <c r="G370" s="74"/>
      <c r="H370" s="74"/>
      <c r="I370" s="74" t="str">
        <f>IFERROR(__xludf.DUMMYFUNCTION("""COMPUTED_VALUE"""),"S10")</f>
        <v>S10</v>
      </c>
      <c r="J370" s="74"/>
      <c r="K370" s="74" t="str">
        <f>IFERROR(__xludf.DUMMYFUNCTION("""COMPUTED_VALUE"""),"WAM")</f>
        <v>WAM</v>
      </c>
      <c r="L370" s="74" t="str">
        <f>IFERROR(__xludf.DUMMYFUNCTION("""COMPUTED_VALUE"""),"Componentes neumáticos")</f>
        <v>Componentes neumáticos</v>
      </c>
      <c r="M370" s="74" t="str">
        <f>IFERROR(__xludf.DUMMYFUNCTION("""COMPUTED_VALUE"""),"Sin Asignar")</f>
        <v>Sin Asignar</v>
      </c>
      <c r="N370" s="87">
        <f>IFERROR(__xludf.DUMMYFUNCTION("""COMPUTED_VALUE"""),0.0)</f>
        <v>0</v>
      </c>
      <c r="O370" s="74"/>
      <c r="P370" s="74" t="str">
        <f>IFERROR(__xludf.DUMMYFUNCTION("""COMPUTED_VALUE"""),"No Available")</f>
        <v>No Available</v>
      </c>
      <c r="Q370" s="74"/>
      <c r="R370" s="74"/>
      <c r="S370" s="87">
        <f>IFERROR(__xludf.DUMMYFUNCTION("""COMPUTED_VALUE"""),0.0)</f>
        <v>0</v>
      </c>
      <c r="T370" s="87">
        <f>IFERROR(__xludf.DUMMYFUNCTION("""COMPUTED_VALUE"""),0.0)</f>
        <v>0</v>
      </c>
      <c r="U370" s="87">
        <f>IFERROR(__xludf.DUMMYFUNCTION("""COMPUTED_VALUE"""),0.0)</f>
        <v>0</v>
      </c>
      <c r="V370" s="87">
        <f>IFERROR(__xludf.DUMMYFUNCTION("""COMPUTED_VALUE"""),0.0)</f>
        <v>0</v>
      </c>
      <c r="W370" s="87">
        <f>IFERROR(__xludf.DUMMYFUNCTION("""COMPUTED_VALUE"""),0.0)</f>
        <v>0</v>
      </c>
      <c r="X370" s="88"/>
      <c r="Y370" s="74"/>
      <c r="Z370" s="74"/>
    </row>
    <row r="371">
      <c r="B371" s="74" t="str">
        <f>IFERROR(__xludf.DUMMYFUNCTION("""COMPUTED_VALUE"""),"1368")</f>
        <v>1368</v>
      </c>
      <c r="C371" s="74" t="str">
        <f>IFERROR(__xludf.DUMMYFUNCTION("""COMPUTED_VALUE"""),"75045880421")</f>
        <v>75045880421</v>
      </c>
      <c r="D371" s="74" t="str">
        <f>IFERROR(__xludf.DUMMYFUNCTION("""COMPUTED_VALUE"""),"\\MCA-S\mk\2_BM\0_BMat\08_PYM\Inventario\excel\Imagen de refacciones\WAM\Vibradores neumáticos de 15,000 VIB_MIN")</f>
        <v>\\MCA-S\mk\2_BM\0_BMat\08_PYM\Inventario\excel\Imagen de refacciones\WAM\Vibradores neumáticos de 15,000 VIB_MIN</v>
      </c>
      <c r="E371" s="74" t="str">
        <f>IFERROR(__xludf.DUMMYFUNCTION("""COMPUTED_VALUE"""),"ROTARY BALL VIBRATORS S13 DE15000 VIB/MIN - PNEUMATIC VIBRATOR S13 DE15000 VIB/MIN")</f>
        <v>ROTARY BALL VIBRATORS S13 DE15000 VIB/MIN - PNEUMATIC VIBRATOR S13 DE15000 VIB/MIN</v>
      </c>
      <c r="F371" s="74" t="str">
        <f>IFERROR(__xludf.DUMMYFUNCTION("""COMPUTED_VALUE"""),"VIBRADOR NEUMATICO - S13 DE 15000 VIB/MIN")</f>
        <v>VIBRADOR NEUMATICO - S13 DE 15000 VIB/MIN</v>
      </c>
      <c r="G371" s="74"/>
      <c r="H371" s="74"/>
      <c r="I371" s="74" t="str">
        <f>IFERROR(__xludf.DUMMYFUNCTION("""COMPUTED_VALUE"""),"S13")</f>
        <v>S13</v>
      </c>
      <c r="J371" s="74"/>
      <c r="K371" s="74" t="str">
        <f>IFERROR(__xludf.DUMMYFUNCTION("""COMPUTED_VALUE"""),"WAM")</f>
        <v>WAM</v>
      </c>
      <c r="L371" s="74" t="str">
        <f>IFERROR(__xludf.DUMMYFUNCTION("""COMPUTED_VALUE"""),"SIN ASIGNAR")</f>
        <v>SIN ASIGNAR</v>
      </c>
      <c r="M371" s="74" t="str">
        <f>IFERROR(__xludf.DUMMYFUNCTION("""COMPUTED_VALUE"""),"VIBRADORES")</f>
        <v>VIBRADORES</v>
      </c>
      <c r="N371" s="87">
        <f>IFERROR(__xludf.DUMMYFUNCTION("""COMPUTED_VALUE"""),1651.68)</f>
        <v>1651.68</v>
      </c>
      <c r="O371" s="74">
        <f>IFERROR(__xludf.DUMMYFUNCTION("""COMPUTED_VALUE"""),4.0)</f>
        <v>4</v>
      </c>
      <c r="P371" s="74" t="str">
        <f>IFERROR(__xludf.DUMMYFUNCTION("""COMPUTED_VALUE"""),"In stock")</f>
        <v>In stock</v>
      </c>
      <c r="Q371" s="74"/>
      <c r="R371" s="74"/>
      <c r="S371" s="87">
        <f>IFERROR(__xludf.DUMMYFUNCTION("""COMPUTED_VALUE"""),25.0)</f>
        <v>25</v>
      </c>
      <c r="T371" s="87">
        <f>IFERROR(__xludf.DUMMYFUNCTION("""COMPUTED_VALUE"""),93.0)</f>
        <v>93</v>
      </c>
      <c r="U371" s="87">
        <f>IFERROR(__xludf.DUMMYFUNCTION("""COMPUTED_VALUE"""),89.28)</f>
        <v>89.28</v>
      </c>
      <c r="V371" s="87">
        <f>IFERROR(__xludf.DUMMYFUNCTION("""COMPUTED_VALUE"""),30.625)</f>
        <v>30.625</v>
      </c>
      <c r="W371" s="87">
        <f>IFERROR(__xludf.DUMMYFUNCTION("""COMPUTED_VALUE"""),574.21875)</f>
        <v>574.21875</v>
      </c>
      <c r="X371" s="88">
        <f>IFERROR(__xludf.DUMMYFUNCTION("""COMPUTED_VALUE"""),3.5712)</f>
        <v>3.5712</v>
      </c>
      <c r="Y371" s="74"/>
      <c r="Z371" s="74"/>
    </row>
    <row r="372">
      <c r="B372" s="74" t="str">
        <f>IFERROR(__xludf.DUMMYFUNCTION("""COMPUTED_VALUE"""),"1369")</f>
        <v>1369</v>
      </c>
      <c r="C372" s="74" t="str">
        <f>IFERROR(__xludf.DUMMYFUNCTION("""COMPUTED_VALUE"""),"75045880420")</f>
        <v>75045880420</v>
      </c>
      <c r="D372" s="74" t="str">
        <f>IFERROR(__xludf.DUMMYFUNCTION("""COMPUTED_VALUE"""),"\\MCA-S\mk\2_BM\0_BMat\08_PYM\Inventario\excel\Imagen de refacciones\WAM\Vibradores neumáticos de 13,000 VIB_MIN")</f>
        <v>\\MCA-S\mk\2_BM\0_BMat\08_PYM\Inventario\excel\Imagen de refacciones\WAM\Vibradores neumáticos de 13,000 VIB_MIN</v>
      </c>
      <c r="E372" s="74" t="str">
        <f>IFERROR(__xludf.DUMMYFUNCTION("""COMPUTED_VALUE"""),"ROTARY BALL VIBRATORS S16 DE13000 VIB/MIN - PNEUMATIC VIBRATOR S16 DE13000 VIB/MIN")</f>
        <v>ROTARY BALL VIBRATORS S16 DE13000 VIB/MIN - PNEUMATIC VIBRATOR S16 DE13000 VIB/MIN</v>
      </c>
      <c r="F372" s="74" t="str">
        <f>IFERROR(__xludf.DUMMYFUNCTION("""COMPUTED_VALUE"""),"VIBRADOR NEUMATICO - S16 DE13000 VIB/MIN")</f>
        <v>VIBRADOR NEUMATICO - S16 DE13000 VIB/MIN</v>
      </c>
      <c r="G372" s="74"/>
      <c r="H372" s="74"/>
      <c r="I372" s="74" t="str">
        <f>IFERROR(__xludf.DUMMYFUNCTION("""COMPUTED_VALUE"""),"S16")</f>
        <v>S16</v>
      </c>
      <c r="J372" s="74"/>
      <c r="K372" s="74" t="str">
        <f>IFERROR(__xludf.DUMMYFUNCTION("""COMPUTED_VALUE"""),"WAM")</f>
        <v>WAM</v>
      </c>
      <c r="L372" s="74" t="str">
        <f>IFERROR(__xludf.DUMMYFUNCTION("""COMPUTED_VALUE"""),"SIN ASIGNAR")</f>
        <v>SIN ASIGNAR</v>
      </c>
      <c r="M372" s="74" t="str">
        <f>IFERROR(__xludf.DUMMYFUNCTION("""COMPUTED_VALUE"""),"VIBRADORES")</f>
        <v>VIBRADORES</v>
      </c>
      <c r="N372" s="87">
        <f>IFERROR(__xludf.DUMMYFUNCTION("""COMPUTED_VALUE"""),1651.68)</f>
        <v>1651.68</v>
      </c>
      <c r="O372" s="74">
        <f>IFERROR(__xludf.DUMMYFUNCTION("""COMPUTED_VALUE"""),4.0)</f>
        <v>4</v>
      </c>
      <c r="P372" s="74" t="str">
        <f>IFERROR(__xludf.DUMMYFUNCTION("""COMPUTED_VALUE"""),"In stock")</f>
        <v>In stock</v>
      </c>
      <c r="Q372" s="74"/>
      <c r="R372" s="74"/>
      <c r="S372" s="87">
        <f>IFERROR(__xludf.DUMMYFUNCTION("""COMPUTED_VALUE"""),25.0)</f>
        <v>25</v>
      </c>
      <c r="T372" s="87">
        <f>IFERROR(__xludf.DUMMYFUNCTION("""COMPUTED_VALUE"""),93.0)</f>
        <v>93</v>
      </c>
      <c r="U372" s="87">
        <f>IFERROR(__xludf.DUMMYFUNCTION("""COMPUTED_VALUE"""),89.28)</f>
        <v>89.28</v>
      </c>
      <c r="V372" s="87">
        <f>IFERROR(__xludf.DUMMYFUNCTION("""COMPUTED_VALUE"""),30.625)</f>
        <v>30.625</v>
      </c>
      <c r="W372" s="87">
        <f>IFERROR(__xludf.DUMMYFUNCTION("""COMPUTED_VALUE"""),574.21875)</f>
        <v>574.21875</v>
      </c>
      <c r="X372" s="88">
        <f>IFERROR(__xludf.DUMMYFUNCTION("""COMPUTED_VALUE"""),3.5712)</f>
        <v>3.5712</v>
      </c>
      <c r="Y372" s="74"/>
      <c r="Z372" s="74"/>
    </row>
    <row r="373">
      <c r="B373" s="74" t="str">
        <f>IFERROR(__xludf.DUMMYFUNCTION("""COMPUTED_VALUE"""),"1370")</f>
        <v>1370</v>
      </c>
      <c r="C373" s="74" t="str">
        <f>IFERROR(__xludf.DUMMYFUNCTION("""COMPUTED_VALUE"""),"75045880411")</f>
        <v>75045880411</v>
      </c>
      <c r="D373" s="74" t="str">
        <f>IFERROR(__xludf.DUMMYFUNCTION("""COMPUTED_VALUE"""),"\\MCA-S\mk\2_BM\0_BMat\08_PYM\Inventario\excel\Imagen de refacciones\WAM\Vibradores neumáticos de 10,500 VIB_MIN")</f>
        <v>\\MCA-S\mk\2_BM\0_BMat\08_PYM\Inventario\excel\Imagen de refacciones\WAM\Vibradores neumáticos de 10,500 VIB_MIN</v>
      </c>
      <c r="E373" s="74" t="str">
        <f>IFERROR(__xludf.DUMMYFUNCTION("""COMPUTED_VALUE"""),"ROTARY BALL VIBRATORS S20 DE10500 VIB/MIN - PNEUMATIC VIBRATOR S20 DE10500 VIB/MIN")</f>
        <v>ROTARY BALL VIBRATORS S20 DE10500 VIB/MIN - PNEUMATIC VIBRATOR S20 DE10500 VIB/MIN</v>
      </c>
      <c r="F373" s="74" t="str">
        <f>IFERROR(__xludf.DUMMYFUNCTION("""COMPUTED_VALUE"""),"VIBRADOR NEUMATICO - S20 DE10500 VIB/MIN")</f>
        <v>VIBRADOR NEUMATICO - S20 DE10500 VIB/MIN</v>
      </c>
      <c r="G373" s="74"/>
      <c r="H373" s="74"/>
      <c r="I373" s="74" t="str">
        <f>IFERROR(__xludf.DUMMYFUNCTION("""COMPUTED_VALUE"""),"S20")</f>
        <v>S20</v>
      </c>
      <c r="J373" s="74"/>
      <c r="K373" s="74" t="str">
        <f>IFERROR(__xludf.DUMMYFUNCTION("""COMPUTED_VALUE"""),"WAM")</f>
        <v>WAM</v>
      </c>
      <c r="L373" s="74" t="str">
        <f>IFERROR(__xludf.DUMMYFUNCTION("""COMPUTED_VALUE"""),"SIN ASIGNAR")</f>
        <v>SIN ASIGNAR</v>
      </c>
      <c r="M373" s="74" t="str">
        <f>IFERROR(__xludf.DUMMYFUNCTION("""COMPUTED_VALUE"""),"VIBRADORES")</f>
        <v>VIBRADORES</v>
      </c>
      <c r="N373" s="87">
        <f>IFERROR(__xludf.DUMMYFUNCTION("""COMPUTED_VALUE"""),0.0)</f>
        <v>0</v>
      </c>
      <c r="O373" s="74"/>
      <c r="P373" s="74" t="str">
        <f>IFERROR(__xludf.DUMMYFUNCTION("""COMPUTED_VALUE"""),"To Re-purchase")</f>
        <v>To Re-purchase</v>
      </c>
      <c r="Q373" s="74"/>
      <c r="R373" s="74"/>
      <c r="S373" s="87">
        <f>IFERROR(__xludf.DUMMYFUNCTION("""COMPUTED_VALUE"""),0.0)</f>
        <v>0</v>
      </c>
      <c r="T373" s="87">
        <f>IFERROR(__xludf.DUMMYFUNCTION("""COMPUTED_VALUE"""),0.0)</f>
        <v>0</v>
      </c>
      <c r="U373" s="87">
        <f>IFERROR(__xludf.DUMMYFUNCTION("""COMPUTED_VALUE"""),0.0)</f>
        <v>0</v>
      </c>
      <c r="V373" s="87">
        <f>IFERROR(__xludf.DUMMYFUNCTION("""COMPUTED_VALUE"""),0.0)</f>
        <v>0</v>
      </c>
      <c r="W373" s="87">
        <f>IFERROR(__xludf.DUMMYFUNCTION("""COMPUTED_VALUE"""),0.0)</f>
        <v>0</v>
      </c>
      <c r="X373" s="88"/>
      <c r="Y373" s="74"/>
      <c r="Z373" s="74"/>
    </row>
    <row r="374">
      <c r="B374" s="74" t="str">
        <f>IFERROR(__xludf.DUMMYFUNCTION("""COMPUTED_VALUE"""),"1371")</f>
        <v>1371</v>
      </c>
      <c r="C374" s="74" t="str">
        <f>IFERROR(__xludf.DUMMYFUNCTION("""COMPUTED_VALUE"""),"75045880412")</f>
        <v>75045880412</v>
      </c>
      <c r="D374" s="74" t="str">
        <f>IFERROR(__xludf.DUMMYFUNCTION("""COMPUTED_VALUE"""),"\\MCA-S\mk\2_BM\0_BMat\08_PYM\Inventario\excel\Imagen de refacciones\WAM\Vibradores neumáticos de 9,200 VIB_MIN")</f>
        <v>\\MCA-S\mk\2_BM\0_BMat\08_PYM\Inventario\excel\Imagen de refacciones\WAM\Vibradores neumáticos de 9,200 VIB_MIN</v>
      </c>
      <c r="E374" s="74" t="str">
        <f>IFERROR(__xludf.DUMMYFUNCTION("""COMPUTED_VALUE"""),"ROTARY BALL VIBRATORS S25 DE9200 VIB/MIN - PNEUMATIC VIBRATOR S25 DE9200 VIB/MIN")</f>
        <v>ROTARY BALL VIBRATORS S25 DE9200 VIB/MIN - PNEUMATIC VIBRATOR S25 DE9200 VIB/MIN</v>
      </c>
      <c r="F374" s="74" t="str">
        <f>IFERROR(__xludf.DUMMYFUNCTION("""COMPUTED_VALUE"""),"VIBRADOR NEUMATICO - S25 DE9200 VIB/MIN")</f>
        <v>VIBRADOR NEUMATICO - S25 DE9200 VIB/MIN</v>
      </c>
      <c r="G374" s="74"/>
      <c r="H374" s="74"/>
      <c r="I374" s="74" t="str">
        <f>IFERROR(__xludf.DUMMYFUNCTION("""COMPUTED_VALUE"""),"S25")</f>
        <v>S25</v>
      </c>
      <c r="J374" s="74"/>
      <c r="K374" s="74" t="str">
        <f>IFERROR(__xludf.DUMMYFUNCTION("""COMPUTED_VALUE"""),"WAM")</f>
        <v>WAM</v>
      </c>
      <c r="L374" s="74" t="str">
        <f>IFERROR(__xludf.DUMMYFUNCTION("""COMPUTED_VALUE"""),"SIN ASIGNAR")</f>
        <v>SIN ASIGNAR</v>
      </c>
      <c r="M374" s="74" t="str">
        <f>IFERROR(__xludf.DUMMYFUNCTION("""COMPUTED_VALUE"""),"VIBRADORES")</f>
        <v>VIBRADORES</v>
      </c>
      <c r="N374" s="87">
        <f>IFERROR(__xludf.DUMMYFUNCTION("""COMPUTED_VALUE"""),0.0)</f>
        <v>0</v>
      </c>
      <c r="O374" s="74"/>
      <c r="P374" s="74" t="str">
        <f>IFERROR(__xludf.DUMMYFUNCTION("""COMPUTED_VALUE"""),"To Re-purchase")</f>
        <v>To Re-purchase</v>
      </c>
      <c r="Q374" s="74"/>
      <c r="R374" s="74"/>
      <c r="S374" s="87">
        <f>IFERROR(__xludf.DUMMYFUNCTION("""COMPUTED_VALUE"""),0.0)</f>
        <v>0</v>
      </c>
      <c r="T374" s="87">
        <f>IFERROR(__xludf.DUMMYFUNCTION("""COMPUTED_VALUE"""),0.0)</f>
        <v>0</v>
      </c>
      <c r="U374" s="87">
        <f>IFERROR(__xludf.DUMMYFUNCTION("""COMPUTED_VALUE"""),0.0)</f>
        <v>0</v>
      </c>
      <c r="V374" s="87">
        <f>IFERROR(__xludf.DUMMYFUNCTION("""COMPUTED_VALUE"""),0.0)</f>
        <v>0</v>
      </c>
      <c r="W374" s="87">
        <f>IFERROR(__xludf.DUMMYFUNCTION("""COMPUTED_VALUE"""),0.0)</f>
        <v>0</v>
      </c>
      <c r="X374" s="88"/>
      <c r="Y374" s="74"/>
      <c r="Z374" s="74"/>
    </row>
    <row r="375">
      <c r="B375" s="74" t="str">
        <f>IFERROR(__xludf.DUMMYFUNCTION("""COMPUTED_VALUE"""),"1372")</f>
        <v>1372</v>
      </c>
      <c r="C375" s="74" t="str">
        <f>IFERROR(__xludf.DUMMYFUNCTION("""COMPUTED_VALUE"""),"75045880413")</f>
        <v>75045880413</v>
      </c>
      <c r="D375" s="74" t="str">
        <f>IFERROR(__xludf.DUMMYFUNCTION("""COMPUTED_VALUE"""),"\\MCA-S\mk\2_BM\0_BMat\08_PYM\Inventario\excel\Imagen de refacciones\WAM\Vibradores neumáticos de 7,800 VIB_MIN")</f>
        <v>\\MCA-S\mk\2_BM\0_BMat\08_PYM\Inventario\excel\Imagen de refacciones\WAM\Vibradores neumáticos de 7,800 VIB_MIN</v>
      </c>
      <c r="E375" s="74" t="str">
        <f>IFERROR(__xludf.DUMMYFUNCTION("""COMPUTED_VALUE"""),"ROTARY BALL VIBRATORS S30 DE7800  VIB/MIN - PNEUMATIC VIBRATOR S30 DE7800 VIB/MIN")</f>
        <v>ROTARY BALL VIBRATORS S30 DE7800  VIB/MIN - PNEUMATIC VIBRATOR S30 DE7800 VIB/MIN</v>
      </c>
      <c r="F375" s="74" t="str">
        <f>IFERROR(__xludf.DUMMYFUNCTION("""COMPUTED_VALUE"""),"VIBRADOR NEUMATICO - S30 DE7800 VIB/MIN")</f>
        <v>VIBRADOR NEUMATICO - S30 DE7800 VIB/MIN</v>
      </c>
      <c r="G375" s="74"/>
      <c r="H375" s="74"/>
      <c r="I375" s="74" t="str">
        <f>IFERROR(__xludf.DUMMYFUNCTION("""COMPUTED_VALUE"""),"S30")</f>
        <v>S30</v>
      </c>
      <c r="J375" s="74"/>
      <c r="K375" s="74" t="str">
        <f>IFERROR(__xludf.DUMMYFUNCTION("""COMPUTED_VALUE"""),"WAM")</f>
        <v>WAM</v>
      </c>
      <c r="L375" s="74" t="str">
        <f>IFERROR(__xludf.DUMMYFUNCTION("""COMPUTED_VALUE"""),"SIN ASIGNAR")</f>
        <v>SIN ASIGNAR</v>
      </c>
      <c r="M375" s="74" t="str">
        <f>IFERROR(__xludf.DUMMYFUNCTION("""COMPUTED_VALUE"""),"VIBRADORES")</f>
        <v>VIBRADORES</v>
      </c>
      <c r="N375" s="87">
        <f>IFERROR(__xludf.DUMMYFUNCTION("""COMPUTED_VALUE"""),0.0)</f>
        <v>0</v>
      </c>
      <c r="O375" s="74"/>
      <c r="P375" s="74" t="str">
        <f>IFERROR(__xludf.DUMMYFUNCTION("""COMPUTED_VALUE"""),"To Re-purchase")</f>
        <v>To Re-purchase</v>
      </c>
      <c r="Q375" s="74"/>
      <c r="R375" s="74"/>
      <c r="S375" s="87">
        <f>IFERROR(__xludf.DUMMYFUNCTION("""COMPUTED_VALUE"""),0.0)</f>
        <v>0</v>
      </c>
      <c r="T375" s="87">
        <f>IFERROR(__xludf.DUMMYFUNCTION("""COMPUTED_VALUE"""),0.0)</f>
        <v>0</v>
      </c>
      <c r="U375" s="87">
        <f>IFERROR(__xludf.DUMMYFUNCTION("""COMPUTED_VALUE"""),0.0)</f>
        <v>0</v>
      </c>
      <c r="V375" s="87">
        <f>IFERROR(__xludf.DUMMYFUNCTION("""COMPUTED_VALUE"""),0.0)</f>
        <v>0</v>
      </c>
      <c r="W375" s="87">
        <f>IFERROR(__xludf.DUMMYFUNCTION("""COMPUTED_VALUE"""),0.0)</f>
        <v>0</v>
      </c>
      <c r="X375" s="88"/>
      <c r="Y375" s="74"/>
      <c r="Z375" s="74"/>
    </row>
    <row r="376">
      <c r="B376" s="74" t="str">
        <f>IFERROR(__xludf.DUMMYFUNCTION("""COMPUTED_VALUE"""),"1373")</f>
        <v>1373</v>
      </c>
      <c r="C376" s="74" t="str">
        <f>IFERROR(__xludf.DUMMYFUNCTION("""COMPUTED_VALUE"""),"75045880414")</f>
        <v>75045880414</v>
      </c>
      <c r="D376" s="74" t="str">
        <f>IFERROR(__xludf.DUMMYFUNCTION("""COMPUTED_VALUE"""),"\\MCA-S\mk\2_BM\0_BMat\08_PYM\Inventario\excel\Imagen de refacciones\WAM\Vibradores neumáticos de 7,300 VIB_MIN")</f>
        <v>\\MCA-S\mk\2_BM\0_BMat\08_PYM\Inventario\excel\Imagen de refacciones\WAM\Vibradores neumáticos de 7,300 VIB_MIN</v>
      </c>
      <c r="E376" s="74" t="str">
        <f>IFERROR(__xludf.DUMMYFUNCTION("""COMPUTED_VALUE"""),"ROTARY BALL VIBRATORS S36 DE7300  VIB/MIN - PNEUMATIC VIBRATOR S36 DE7300 VIB/MIN")</f>
        <v>ROTARY BALL VIBRATORS S36 DE7300  VIB/MIN - PNEUMATIC VIBRATOR S36 DE7300 VIB/MIN</v>
      </c>
      <c r="F376" s="74" t="str">
        <f>IFERROR(__xludf.DUMMYFUNCTION("""COMPUTED_VALUE"""),"VIBRADOR NEUMATICO - S36 DE7300 VIB/MIN")</f>
        <v>VIBRADOR NEUMATICO - S36 DE7300 VIB/MIN</v>
      </c>
      <c r="G376" s="74"/>
      <c r="H376" s="74"/>
      <c r="I376" s="74" t="str">
        <f>IFERROR(__xludf.DUMMYFUNCTION("""COMPUTED_VALUE"""),"S36")</f>
        <v>S36</v>
      </c>
      <c r="J376" s="74"/>
      <c r="K376" s="74" t="str">
        <f>IFERROR(__xludf.DUMMYFUNCTION("""COMPUTED_VALUE"""),"WAM")</f>
        <v>WAM</v>
      </c>
      <c r="L376" s="74" t="str">
        <f>IFERROR(__xludf.DUMMYFUNCTION("""COMPUTED_VALUE"""),"SIN ASIGNAR")</f>
        <v>SIN ASIGNAR</v>
      </c>
      <c r="M376" s="74" t="str">
        <f>IFERROR(__xludf.DUMMYFUNCTION("""COMPUTED_VALUE"""),"VIBRADORES")</f>
        <v>VIBRADORES</v>
      </c>
      <c r="N376" s="87">
        <f>IFERROR(__xludf.DUMMYFUNCTION("""COMPUTED_VALUE"""),0.0)</f>
        <v>0</v>
      </c>
      <c r="O376" s="74"/>
      <c r="P376" s="74" t="str">
        <f>IFERROR(__xludf.DUMMYFUNCTION("""COMPUTED_VALUE"""),"To Re-purchase")</f>
        <v>To Re-purchase</v>
      </c>
      <c r="Q376" s="74"/>
      <c r="R376" s="74"/>
      <c r="S376" s="87">
        <f>IFERROR(__xludf.DUMMYFUNCTION("""COMPUTED_VALUE"""),0.0)</f>
        <v>0</v>
      </c>
      <c r="T376" s="87">
        <f>IFERROR(__xludf.DUMMYFUNCTION("""COMPUTED_VALUE"""),0.0)</f>
        <v>0</v>
      </c>
      <c r="U376" s="87">
        <f>IFERROR(__xludf.DUMMYFUNCTION("""COMPUTED_VALUE"""),0.0)</f>
        <v>0</v>
      </c>
      <c r="V376" s="87">
        <f>IFERROR(__xludf.DUMMYFUNCTION("""COMPUTED_VALUE"""),0.0)</f>
        <v>0</v>
      </c>
      <c r="W376" s="87">
        <f>IFERROR(__xludf.DUMMYFUNCTION("""COMPUTED_VALUE"""),0.0)</f>
        <v>0</v>
      </c>
      <c r="X376" s="88"/>
      <c r="Y376" s="74"/>
      <c r="Z376" s="74"/>
    </row>
    <row r="377">
      <c r="B377" s="74" t="str">
        <f>IFERROR(__xludf.DUMMYFUNCTION("""COMPUTED_VALUE"""),"1374")</f>
        <v>1374</v>
      </c>
      <c r="C377" s="74" t="str">
        <f>IFERROR(__xludf.DUMMYFUNCTION("""COMPUTED_VALUE"""),"75045891374")</f>
        <v>75045891374</v>
      </c>
      <c r="D377" s="74" t="str">
        <f>IFERROR(__xludf.DUMMYFUNCTION("""COMPUTED_VALUE"""),"\\MCA-S\mk\2_BM\0_BMat\08_PYM\Inventario\excel\Imagen de refacciones\WAM\Tarjeta para cuenta litros badger meter")</f>
        <v>\\MCA-S\mk\2_BM\0_BMat\08_PYM\Inventario\excel\Imagen de refacciones\WAM\Tarjeta para cuenta litros badger meter</v>
      </c>
      <c r="E377" s="74" t="str">
        <f>IFERROR(__xludf.DUMMYFUNCTION("""COMPUTED_VALUE"""),"SCALER BOARD ")</f>
        <v>SCALER BOARD </v>
      </c>
      <c r="F377" s="74" t="str">
        <f>IFERROR(__xludf.DUMMYFUNCTION("""COMPUTED_VALUE"""),"TARJETA PARA CUENTA LITROS BADGER METER")</f>
        <v>TARJETA PARA CUENTA LITROS BADGER METER</v>
      </c>
      <c r="G377" s="74"/>
      <c r="H377" s="74"/>
      <c r="I377" s="74" t="str">
        <f>IFERROR(__xludf.DUMMYFUNCTION("""COMPUTED_VALUE"""),"250256")</f>
        <v>250256</v>
      </c>
      <c r="J377" s="74"/>
      <c r="K377" s="74" t="str">
        <f>IFERROR(__xludf.DUMMYFUNCTION("""COMPUTED_VALUE"""),"WAM")</f>
        <v>WAM</v>
      </c>
      <c r="L377" s="74" t="str">
        <f>IFERROR(__xludf.DUMMYFUNCTION("""COMPUTED_VALUE"""),"Elementos de medición y control")</f>
        <v>Elementos de medición y control</v>
      </c>
      <c r="M377" s="74" t="str">
        <f>IFERROR(__xludf.DUMMYFUNCTION("""COMPUTED_VALUE"""),"Sin Asignar")</f>
        <v>Sin Asignar</v>
      </c>
      <c r="N377" s="87">
        <f>IFERROR(__xludf.DUMMYFUNCTION("""COMPUTED_VALUE"""),0.0)</f>
        <v>0</v>
      </c>
      <c r="O377" s="74"/>
      <c r="P377" s="74" t="str">
        <f>IFERROR(__xludf.DUMMYFUNCTION("""COMPUTED_VALUE"""),"To Re-purchase")</f>
        <v>To Re-purchase</v>
      </c>
      <c r="Q377" s="74"/>
      <c r="R377" s="74"/>
      <c r="S377" s="87">
        <f>IFERROR(__xludf.DUMMYFUNCTION("""COMPUTED_VALUE"""),0.0)</f>
        <v>0</v>
      </c>
      <c r="T377" s="87">
        <f>IFERROR(__xludf.DUMMYFUNCTION("""COMPUTED_VALUE"""),0.0)</f>
        <v>0</v>
      </c>
      <c r="U377" s="87">
        <f>IFERROR(__xludf.DUMMYFUNCTION("""COMPUTED_VALUE"""),0.0)</f>
        <v>0</v>
      </c>
      <c r="V377" s="87">
        <f>IFERROR(__xludf.DUMMYFUNCTION("""COMPUTED_VALUE"""),0.0)</f>
        <v>0</v>
      </c>
      <c r="W377" s="87">
        <f>IFERROR(__xludf.DUMMYFUNCTION("""COMPUTED_VALUE"""),0.0)</f>
        <v>0</v>
      </c>
      <c r="X377" s="88"/>
      <c r="Y377" s="74"/>
      <c r="Z377" s="74"/>
    </row>
    <row r="378">
      <c r="B378" s="74" t="str">
        <f>IFERROR(__xludf.DUMMYFUNCTION("""COMPUTED_VALUE"""),"1375")</f>
        <v>1375</v>
      </c>
      <c r="C378" s="74"/>
      <c r="D378" s="74" t="str">
        <f>IFERROR(__xludf.DUMMYFUNCTION("""COMPUTED_VALUE"""),"\\MCA-S\mk\2_BM\0_BMat\08_PYM\Inventario\excel\Imagen de refacciones\WAM\Boquilla para colector de polvos")</f>
        <v>\\MCA-S\mk\2_BM\0_BMat\08_PYM\Inventario\excel\Imagen de refacciones\WAM\Boquilla para colector de polvos</v>
      </c>
      <c r="E378" s="74"/>
      <c r="F378" s="74" t="str">
        <f>IFERROR(__xludf.DUMMYFUNCTION("""COMPUTED_VALUE"""),"BOQUILLA COLECTOR DE POLVOS ")</f>
        <v>BOQUILLA COLECTOR DE POLVOS </v>
      </c>
      <c r="G378" s="74"/>
      <c r="H378" s="74"/>
      <c r="I378" s="74" t="str">
        <f>IFERROR(__xludf.DUMMYFUNCTION("""COMPUTED_VALUE"""),"VALVE PULSEJET")</f>
        <v>VALVE PULSEJET</v>
      </c>
      <c r="J378" s="74"/>
      <c r="K378" s="74" t="str">
        <f>IFERROR(__xludf.DUMMYFUNCTION("""COMPUTED_VALUE"""),"WAM")</f>
        <v>WAM</v>
      </c>
      <c r="L378" s="74" t="str">
        <f>IFERROR(__xludf.DUMMYFUNCTION("""COMPUTED_VALUE"""),"Componentes para silos")</f>
        <v>Componentes para silos</v>
      </c>
      <c r="M378" s="74" t="str">
        <f>IFERROR(__xludf.DUMMYFUNCTION("""COMPUTED_VALUE"""),"Sin Asignar")</f>
        <v>Sin Asignar</v>
      </c>
      <c r="N378" s="87">
        <f>IFERROR(__xludf.DUMMYFUNCTION("""COMPUTED_VALUE"""),0.0)</f>
        <v>0</v>
      </c>
      <c r="O378" s="74"/>
      <c r="P378" s="74" t="str">
        <f>IFERROR(__xludf.DUMMYFUNCTION("""COMPUTED_VALUE"""),"No Available")</f>
        <v>No Available</v>
      </c>
      <c r="Q378" s="74"/>
      <c r="R378" s="74"/>
      <c r="S378" s="87">
        <f>IFERROR(__xludf.DUMMYFUNCTION("""COMPUTED_VALUE"""),0.0)</f>
        <v>0</v>
      </c>
      <c r="T378" s="87">
        <f>IFERROR(__xludf.DUMMYFUNCTION("""COMPUTED_VALUE"""),0.0)</f>
        <v>0</v>
      </c>
      <c r="U378" s="87">
        <f>IFERROR(__xludf.DUMMYFUNCTION("""COMPUTED_VALUE"""),0.0)</f>
        <v>0</v>
      </c>
      <c r="V378" s="87">
        <f>IFERROR(__xludf.DUMMYFUNCTION("""COMPUTED_VALUE"""),0.0)</f>
        <v>0</v>
      </c>
      <c r="W378" s="87">
        <f>IFERROR(__xludf.DUMMYFUNCTION("""COMPUTED_VALUE"""),0.0)</f>
        <v>0</v>
      </c>
      <c r="X378" s="88"/>
      <c r="Y378" s="74"/>
      <c r="Z378" s="74"/>
    </row>
    <row r="379">
      <c r="B379" s="74" t="str">
        <f>IFERROR(__xludf.DUMMYFUNCTION("""COMPUTED_VALUE"""),"1376")</f>
        <v>1376</v>
      </c>
      <c r="C379" s="74" t="str">
        <f>IFERROR(__xludf.DUMMYFUNCTION("""COMPUTED_VALUE"""),"75045891376")</f>
        <v>75045891376</v>
      </c>
      <c r="D379" s="74" t="str">
        <f>IFERROR(__xludf.DUMMYFUNCTION("""COMPUTED_VALUE"""),"\\MCA-S\mk\2_BM\0_BMat\08_PYM\Inventario\excel\Imagen de refacciones\WAM\Coil para válvula WAM 110V")</f>
        <v>\\MCA-S\mk\2_BM\0_BMat\08_PYM\Inventario\excel\Imagen de refacciones\WAM\Coil para válvula WAM 110V</v>
      </c>
      <c r="E379" s="74" t="str">
        <f>IFERROR(__xludf.DUMMYFUNCTION("""COMPUTED_VALUE"""),"SOLENOID COIL 110V")</f>
        <v>SOLENOID COIL 110V</v>
      </c>
      <c r="F379" s="74" t="str">
        <f>IFERROR(__xludf.DUMMYFUNCTION("""COMPUTED_VALUE"""),"COIL VALVULA 110V")</f>
        <v>COIL VALVULA 110V</v>
      </c>
      <c r="G379" s="74"/>
      <c r="H379" s="74"/>
      <c r="I379" s="74" t="str">
        <f>IFERROR(__xludf.DUMMYFUNCTION("""COMPUTED_VALUE"""),"BOB11050")</f>
        <v>BOB11050</v>
      </c>
      <c r="J379" s="74"/>
      <c r="K379" s="74" t="str">
        <f>IFERROR(__xludf.DUMMYFUNCTION("""COMPUTED_VALUE"""),"WAM")</f>
        <v>WAM</v>
      </c>
      <c r="L379" s="74" t="str">
        <f>IFERROR(__xludf.DUMMYFUNCTION("""COMPUTED_VALUE"""),"Componentes eléctricos")</f>
        <v>Componentes eléctricos</v>
      </c>
      <c r="M379" s="74" t="str">
        <f>IFERROR(__xludf.DUMMYFUNCTION("""COMPUTED_VALUE"""),"Sin Asignar")</f>
        <v>Sin Asignar</v>
      </c>
      <c r="N379" s="87">
        <f>IFERROR(__xludf.DUMMYFUNCTION("""COMPUTED_VALUE"""),0.0)</f>
        <v>0</v>
      </c>
      <c r="O379" s="74"/>
      <c r="P379" s="74" t="str">
        <f>IFERROR(__xludf.DUMMYFUNCTION("""COMPUTED_VALUE"""),"To Re-purchase")</f>
        <v>To Re-purchase</v>
      </c>
      <c r="Q379" s="74"/>
      <c r="R379" s="74"/>
      <c r="S379" s="87">
        <f>IFERROR(__xludf.DUMMYFUNCTION("""COMPUTED_VALUE"""),0.0)</f>
        <v>0</v>
      </c>
      <c r="T379" s="87">
        <f>IFERROR(__xludf.DUMMYFUNCTION("""COMPUTED_VALUE"""),0.0)</f>
        <v>0</v>
      </c>
      <c r="U379" s="87">
        <f>IFERROR(__xludf.DUMMYFUNCTION("""COMPUTED_VALUE"""),0.0)</f>
        <v>0</v>
      </c>
      <c r="V379" s="87">
        <f>IFERROR(__xludf.DUMMYFUNCTION("""COMPUTED_VALUE"""),0.0)</f>
        <v>0</v>
      </c>
      <c r="W379" s="87">
        <f>IFERROR(__xludf.DUMMYFUNCTION("""COMPUTED_VALUE"""),0.0)</f>
        <v>0</v>
      </c>
      <c r="X379" s="88"/>
      <c r="Y379" s="74"/>
      <c r="Z379" s="74"/>
    </row>
    <row r="380">
      <c r="B380" s="74" t="str">
        <f>IFERROR(__xludf.DUMMYFUNCTION("""COMPUTED_VALUE"""),"1377")</f>
        <v>1377</v>
      </c>
      <c r="C380" s="74" t="str">
        <f>IFERROR(__xludf.DUMMYFUNCTION("""COMPUTED_VALUE"""),"75045891377")</f>
        <v>75045891377</v>
      </c>
      <c r="D380" s="74" t="str">
        <f>IFERROR(__xludf.DUMMYFUNCTION("""COMPUTED_VALUE"""),"\\MCA-S\mk\2_BM\0_BMat\08_PYM\Inventario\excel\Imagen de refacciones\WAM\Bobina para colector de polvos WAM")</f>
        <v>\\MCA-S\mk\2_BM\0_BMat\08_PYM\Inventario\excel\Imagen de refacciones\WAM\Bobina para colector de polvos WAM</v>
      </c>
      <c r="E380" s="74" t="str">
        <f>IFERROR(__xludf.DUMMYFUNCTION("""COMPUTED_VALUE"""),"ELECTRIC OVER AIR SOLENOID VALVE")</f>
        <v>ELECTRIC OVER AIR SOLENOID VALVE</v>
      </c>
      <c r="F380" s="74" t="str">
        <f>IFERROR(__xludf.DUMMYFUNCTION("""COMPUTED_VALUE"""),"BOBINA COLECTOR DE POLVOS")</f>
        <v>BOBINA COLECTOR DE POLVOS</v>
      </c>
      <c r="G380" s="74"/>
      <c r="H380" s="74"/>
      <c r="I380" s="74" t="str">
        <f>IFERROR(__xludf.DUMMYFUNCTION("""COMPUTED_VALUE"""),"NR0200")</f>
        <v>NR0200</v>
      </c>
      <c r="J380" s="74"/>
      <c r="K380" s="74" t="str">
        <f>IFERROR(__xludf.DUMMYFUNCTION("""COMPUTED_VALUE"""),"WAM")</f>
        <v>WAM</v>
      </c>
      <c r="L380" s="74" t="str">
        <f>IFERROR(__xludf.DUMMYFUNCTION("""COMPUTED_VALUE"""),"Componentes eléctricos")</f>
        <v>Componentes eléctricos</v>
      </c>
      <c r="M380" s="74" t="str">
        <f>IFERROR(__xludf.DUMMYFUNCTION("""COMPUTED_VALUE"""),"Sin Asignar")</f>
        <v>Sin Asignar</v>
      </c>
      <c r="N380" s="87">
        <f>IFERROR(__xludf.DUMMYFUNCTION("""COMPUTED_VALUE"""),0.0)</f>
        <v>0</v>
      </c>
      <c r="O380" s="74"/>
      <c r="P380" s="74" t="str">
        <f>IFERROR(__xludf.DUMMYFUNCTION("""COMPUTED_VALUE"""),"To Re-purchase")</f>
        <v>To Re-purchase</v>
      </c>
      <c r="Q380" s="74"/>
      <c r="R380" s="74"/>
      <c r="S380" s="87">
        <f>IFERROR(__xludf.DUMMYFUNCTION("""COMPUTED_VALUE"""),0.0)</f>
        <v>0</v>
      </c>
      <c r="T380" s="87">
        <f>IFERROR(__xludf.DUMMYFUNCTION("""COMPUTED_VALUE"""),0.0)</f>
        <v>0</v>
      </c>
      <c r="U380" s="87">
        <f>IFERROR(__xludf.DUMMYFUNCTION("""COMPUTED_VALUE"""),0.0)</f>
        <v>0</v>
      </c>
      <c r="V380" s="87">
        <f>IFERROR(__xludf.DUMMYFUNCTION("""COMPUTED_VALUE"""),0.0)</f>
        <v>0</v>
      </c>
      <c r="W380" s="87">
        <f>IFERROR(__xludf.DUMMYFUNCTION("""COMPUTED_VALUE"""),0.0)</f>
        <v>0</v>
      </c>
      <c r="X380" s="88"/>
      <c r="Y380" s="74"/>
      <c r="Z380" s="74"/>
    </row>
    <row r="381">
      <c r="B381" s="74" t="str">
        <f>IFERROR(__xludf.DUMMYFUNCTION("""COMPUTED_VALUE"""),"1378")</f>
        <v>1378</v>
      </c>
      <c r="C381" s="74" t="str">
        <f>IFERROR(__xludf.DUMMYFUNCTION("""COMPUTED_VALUE"""),"75045891378")</f>
        <v>75045891378</v>
      </c>
      <c r="D381" s="74" t="str">
        <f>IFERROR(__xludf.DUMMYFUNCTION("""COMPUTED_VALUE"""),"\\MCA-S\mk\2_BM\0_BMat\08_PYM\Inventario\excel\Imagen de refacciones\WAM\Aerador tipo PAD")</f>
        <v>\\MCA-S\mk\2_BM\0_BMat\08_PYM\Inventario\excel\Imagen de refacciones\WAM\Aerador tipo PAD</v>
      </c>
      <c r="E381" s="74"/>
      <c r="F381" s="74" t="str">
        <f>IFERROR(__xludf.DUMMYFUNCTION("""COMPUTED_VALUE"""),"AIRADOR TIPO PAD")</f>
        <v>AIRADOR TIPO PAD</v>
      </c>
      <c r="G381" s="74"/>
      <c r="H381" s="74"/>
      <c r="I381" s="74" t="str">
        <f>IFERROR(__xludf.DUMMYFUNCTION("""COMPUTED_VALUE"""),"1100N")</f>
        <v>1100N</v>
      </c>
      <c r="J381" s="74"/>
      <c r="K381" s="74" t="str">
        <f>IFERROR(__xludf.DUMMYFUNCTION("""COMPUTED_VALUE"""),"WAM")</f>
        <v>WAM</v>
      </c>
      <c r="L381" s="74" t="str">
        <f>IFERROR(__xludf.DUMMYFUNCTION("""COMPUTED_VALUE"""),"Componentes para silos")</f>
        <v>Componentes para silos</v>
      </c>
      <c r="M381" s="74" t="str">
        <f>IFERROR(__xludf.DUMMYFUNCTION("""COMPUTED_VALUE"""),"Sin Asignar")</f>
        <v>Sin Asignar</v>
      </c>
      <c r="N381" s="87">
        <f>IFERROR(__xludf.DUMMYFUNCTION("""COMPUTED_VALUE"""),0.0)</f>
        <v>0</v>
      </c>
      <c r="O381" s="74"/>
      <c r="P381" s="74" t="str">
        <f>IFERROR(__xludf.DUMMYFUNCTION("""COMPUTED_VALUE"""),"To Re-purchase")</f>
        <v>To Re-purchase</v>
      </c>
      <c r="Q381" s="74"/>
      <c r="R381" s="74"/>
      <c r="S381" s="87">
        <f>IFERROR(__xludf.DUMMYFUNCTION("""COMPUTED_VALUE"""),0.0)</f>
        <v>0</v>
      </c>
      <c r="T381" s="87">
        <f>IFERROR(__xludf.DUMMYFUNCTION("""COMPUTED_VALUE"""),0.0)</f>
        <v>0</v>
      </c>
      <c r="U381" s="87">
        <f>IFERROR(__xludf.DUMMYFUNCTION("""COMPUTED_VALUE"""),0.0)</f>
        <v>0</v>
      </c>
      <c r="V381" s="87">
        <f>IFERROR(__xludf.DUMMYFUNCTION("""COMPUTED_VALUE"""),0.0)</f>
        <v>0</v>
      </c>
      <c r="W381" s="87">
        <f>IFERROR(__xludf.DUMMYFUNCTION("""COMPUTED_VALUE"""),0.0)</f>
        <v>0</v>
      </c>
      <c r="X381" s="88"/>
      <c r="Y381" s="74"/>
      <c r="Z381" s="74"/>
    </row>
    <row r="382">
      <c r="B382" s="74" t="str">
        <f>IFERROR(__xludf.DUMMYFUNCTION("""COMPUTED_VALUE"""),"1379")</f>
        <v>1379</v>
      </c>
      <c r="C382" s="74" t="str">
        <f>IFERROR(__xludf.DUMMYFUNCTION("""COMPUTED_VALUE"""),"75045891379")</f>
        <v>75045891379</v>
      </c>
      <c r="D382" s="74" t="str">
        <f>IFERROR(__xludf.DUMMYFUNCTION("""COMPUTED_VALUE"""),"\\MCA-S\mk\2_BM\0_BMat\08_PYM\Inventario\excel\Imagen de refacciones\WAM\Kit airador de montaje de ventilación")</f>
        <v>\\MCA-S\mk\2_BM\0_BMat\08_PYM\Inventario\excel\Imagen de refacciones\WAM\Kit airador de montaje de ventilación</v>
      </c>
      <c r="E382" s="74" t="str">
        <f>IFERROR(__xludf.DUMMYFUNCTION("""COMPUTED_VALUE"""),"CEMENT SILO AERATION PAD ASSEMBLY RECTANGULAR ")</f>
        <v>CEMENT SILO AERATION PAD ASSEMBLY RECTANGULAR </v>
      </c>
      <c r="F382" s="74" t="str">
        <f>IFERROR(__xludf.DUMMYFUNCTION("""COMPUTED_VALUE"""),"KIT AIRADOR MONTAJE DE VENTILACION")</f>
        <v>KIT AIRADOR MONTAJE DE VENTILACION</v>
      </c>
      <c r="G382" s="74"/>
      <c r="H382" s="74"/>
      <c r="I382" s="74" t="str">
        <f>IFERROR(__xludf.DUMMYFUNCTION("""COMPUTED_VALUE"""),"P101698")</f>
        <v>P101698</v>
      </c>
      <c r="J382" s="74"/>
      <c r="K382" s="74" t="str">
        <f>IFERROR(__xludf.DUMMYFUNCTION("""COMPUTED_VALUE"""),"WAM")</f>
        <v>WAM</v>
      </c>
      <c r="L382" s="74" t="str">
        <f>IFERROR(__xludf.DUMMYFUNCTION("""COMPUTED_VALUE"""),"Componentes para silos")</f>
        <v>Componentes para silos</v>
      </c>
      <c r="M382" s="74" t="str">
        <f>IFERROR(__xludf.DUMMYFUNCTION("""COMPUTED_VALUE"""),"Sin Asignar")</f>
        <v>Sin Asignar</v>
      </c>
      <c r="N382" s="87">
        <f>IFERROR(__xludf.DUMMYFUNCTION("""COMPUTED_VALUE"""),0.0)</f>
        <v>0</v>
      </c>
      <c r="O382" s="74"/>
      <c r="P382" s="74" t="str">
        <f>IFERROR(__xludf.DUMMYFUNCTION("""COMPUTED_VALUE"""),"To Re-purchase")</f>
        <v>To Re-purchase</v>
      </c>
      <c r="Q382" s="74"/>
      <c r="R382" s="74"/>
      <c r="S382" s="87">
        <f>IFERROR(__xludf.DUMMYFUNCTION("""COMPUTED_VALUE"""),0.0)</f>
        <v>0</v>
      </c>
      <c r="T382" s="87">
        <f>IFERROR(__xludf.DUMMYFUNCTION("""COMPUTED_VALUE"""),0.0)</f>
        <v>0</v>
      </c>
      <c r="U382" s="87">
        <f>IFERROR(__xludf.DUMMYFUNCTION("""COMPUTED_VALUE"""),0.0)</f>
        <v>0</v>
      </c>
      <c r="V382" s="87">
        <f>IFERROR(__xludf.DUMMYFUNCTION("""COMPUTED_VALUE"""),0.0)</f>
        <v>0</v>
      </c>
      <c r="W382" s="87">
        <f>IFERROR(__xludf.DUMMYFUNCTION("""COMPUTED_VALUE"""),0.0)</f>
        <v>0</v>
      </c>
      <c r="X382" s="88"/>
      <c r="Y382" s="74"/>
      <c r="Z382" s="74"/>
    </row>
    <row r="383">
      <c r="B383" s="74" t="str">
        <f>IFERROR(__xludf.DUMMYFUNCTION("""COMPUTED_VALUE"""),"1380")</f>
        <v>1380</v>
      </c>
      <c r="C383" s="74" t="str">
        <f>IFERROR(__xludf.DUMMYFUNCTION("""COMPUTED_VALUE"""),"75045880407")</f>
        <v>75045880407</v>
      </c>
      <c r="D383" s="74" t="str">
        <f>IFERROR(__xludf.DUMMYFUNCTION("""COMPUTED_VALUE"""),"\\MCA-S\mk\2_BM\0_BMat\08_PYM\Inventario\excel\Imagen de refacciones\WAM\Limitador para actuador neumático (1)")</f>
        <v>\\MCA-S\mk\2_BM\0_BMat\08_PYM\Inventario\excel\Imagen de refacciones\WAM\Limitador para actuador neumático (1)</v>
      </c>
      <c r="E383" s="74"/>
      <c r="F383" s="74" t="str">
        <f>IFERROR(__xludf.DUMMYFUNCTION("""COMPUTED_VALUE"""),"LIMITADOR PARA ACTUADOR NEUMATICO")</f>
        <v>LIMITADOR PARA ACTUADOR NEUMATICO</v>
      </c>
      <c r="G383" s="74"/>
      <c r="H383" s="74"/>
      <c r="I383" s="74" t="str">
        <f>IFERROR(__xludf.DUMMYFUNCTION("""COMPUTED_VALUE"""),"P101376")</f>
        <v>P101376</v>
      </c>
      <c r="J383" s="74"/>
      <c r="K383" s="74" t="str">
        <f>IFERROR(__xludf.DUMMYFUNCTION("""COMPUTED_VALUE"""),"WAM")</f>
        <v>WAM</v>
      </c>
      <c r="L383" s="74" t="str">
        <f>IFERROR(__xludf.DUMMYFUNCTION("""COMPUTED_VALUE"""),"SIN ASIGNAR")</f>
        <v>SIN ASIGNAR</v>
      </c>
      <c r="M383" s="74" t="str">
        <f>IFERROR(__xludf.DUMMYFUNCTION("""COMPUTED_VALUE"""),"VIBRADORES")</f>
        <v>VIBRADORES</v>
      </c>
      <c r="N383" s="87">
        <f>IFERROR(__xludf.DUMMYFUNCTION("""COMPUTED_VALUE"""),0.0)</f>
        <v>0</v>
      </c>
      <c r="O383" s="74"/>
      <c r="P383" s="74" t="str">
        <f>IFERROR(__xludf.DUMMYFUNCTION("""COMPUTED_VALUE"""),"To Re-purchase")</f>
        <v>To Re-purchase</v>
      </c>
      <c r="Q383" s="74"/>
      <c r="R383" s="74"/>
      <c r="S383" s="87">
        <f>IFERROR(__xludf.DUMMYFUNCTION("""COMPUTED_VALUE"""),0.0)</f>
        <v>0</v>
      </c>
      <c r="T383" s="87">
        <f>IFERROR(__xludf.DUMMYFUNCTION("""COMPUTED_VALUE"""),0.0)</f>
        <v>0</v>
      </c>
      <c r="U383" s="87">
        <f>IFERROR(__xludf.DUMMYFUNCTION("""COMPUTED_VALUE"""),0.0)</f>
        <v>0</v>
      </c>
      <c r="V383" s="87">
        <f>IFERROR(__xludf.DUMMYFUNCTION("""COMPUTED_VALUE"""),0.0)</f>
        <v>0</v>
      </c>
      <c r="W383" s="87">
        <f>IFERROR(__xludf.DUMMYFUNCTION("""COMPUTED_VALUE"""),0.0)</f>
        <v>0</v>
      </c>
      <c r="X383" s="88"/>
      <c r="Y383" s="74"/>
      <c r="Z383" s="74"/>
    </row>
    <row r="384">
      <c r="B384" s="74" t="str">
        <f>IFERROR(__xludf.DUMMYFUNCTION("""COMPUTED_VALUE"""),"1381")</f>
        <v>1381</v>
      </c>
      <c r="C384" s="74"/>
      <c r="D384" s="74" t="str">
        <f>IFERROR(__xludf.DUMMYFUNCTION("""COMPUTED_VALUE"""),"\\MCA-S\mk\2_BM\0_BMat\08_PYM\Inventario\excel\Imagen de refacciones\WAM\Celda de poder 10,000- triple artech")</f>
        <v>\\MCA-S\mk\2_BM\0_BMat\08_PYM\Inventario\excel\Imagen de refacciones\WAM\Celda de poder 10,000- triple artech</v>
      </c>
      <c r="E384" s="74"/>
      <c r="F384" s="74" t="str">
        <f>IFERROR(__xludf.DUMMYFUNCTION("""COMPUTED_VALUE"""),"CELDA DE PODER 10,000 TIPE ARTECH")</f>
        <v>CELDA DE PODER 10,000 TIPE ARTECH</v>
      </c>
      <c r="G384" s="74"/>
      <c r="H384" s="74"/>
      <c r="I384" s="74" t="str">
        <f>IFERROR(__xludf.DUMMYFUNCTION("""COMPUTED_VALUE"""),"P111010")</f>
        <v>P111010</v>
      </c>
      <c r="J384" s="74"/>
      <c r="K384" s="74" t="str">
        <f>IFERROR(__xludf.DUMMYFUNCTION("""COMPUTED_VALUE"""),"WAM")</f>
        <v>WAM</v>
      </c>
      <c r="L384" s="74" t="str">
        <f>IFERROR(__xludf.DUMMYFUNCTION("""COMPUTED_VALUE"""),"Elementos de medición y control")</f>
        <v>Elementos de medición y control</v>
      </c>
      <c r="M384" s="74" t="str">
        <f>IFERROR(__xludf.DUMMYFUNCTION("""COMPUTED_VALUE"""),"Sin Asignar")</f>
        <v>Sin Asignar</v>
      </c>
      <c r="N384" s="87">
        <f>IFERROR(__xludf.DUMMYFUNCTION("""COMPUTED_VALUE"""),0.0)</f>
        <v>0</v>
      </c>
      <c r="O384" s="74"/>
      <c r="P384" s="74" t="str">
        <f>IFERROR(__xludf.DUMMYFUNCTION("""COMPUTED_VALUE"""),"To Re-purchase")</f>
        <v>To Re-purchase</v>
      </c>
      <c r="Q384" s="74"/>
      <c r="R384" s="74"/>
      <c r="S384" s="87">
        <f>IFERROR(__xludf.DUMMYFUNCTION("""COMPUTED_VALUE"""),0.0)</f>
        <v>0</v>
      </c>
      <c r="T384" s="87">
        <f>IFERROR(__xludf.DUMMYFUNCTION("""COMPUTED_VALUE"""),0.0)</f>
        <v>0</v>
      </c>
      <c r="U384" s="87">
        <f>IFERROR(__xludf.DUMMYFUNCTION("""COMPUTED_VALUE"""),0.0)</f>
        <v>0</v>
      </c>
      <c r="V384" s="87">
        <f>IFERROR(__xludf.DUMMYFUNCTION("""COMPUTED_VALUE"""),0.0)</f>
        <v>0</v>
      </c>
      <c r="W384" s="87">
        <f>IFERROR(__xludf.DUMMYFUNCTION("""COMPUTED_VALUE"""),0.0)</f>
        <v>0</v>
      </c>
      <c r="X384" s="88"/>
      <c r="Y384" s="74"/>
      <c r="Z384" s="74"/>
    </row>
    <row r="385">
      <c r="B385" s="74" t="str">
        <f>IFERROR(__xludf.DUMMYFUNCTION("""COMPUTED_VALUE"""),"1382")</f>
        <v>1382</v>
      </c>
      <c r="C385" s="74"/>
      <c r="D385" s="74" t="str">
        <f>IFERROR(__xludf.DUMMYFUNCTION("""COMPUTED_VALUE"""),"\\MCA-S\mk\2_BM\0_BMat\08_PYM\Inventario\excel\Imagen de refacciones\WAM\Control de giro")</f>
        <v>\\MCA-S\mk\2_BM\0_BMat\08_PYM\Inventario\excel\Imagen de refacciones\WAM\Control de giro</v>
      </c>
      <c r="E385" s="74"/>
      <c r="F385" s="74" t="str">
        <f>IFERROR(__xludf.DUMMYFUNCTION("""COMPUTED_VALUE"""),"CONTROL DE GIRO")</f>
        <v>CONTROL DE GIRO</v>
      </c>
      <c r="G385" s="74"/>
      <c r="H385" s="74"/>
      <c r="I385" s="74" t="str">
        <f>IFERROR(__xludf.DUMMYFUNCTION("""COMPUTED_VALUE"""),"P73911")</f>
        <v>P73911</v>
      </c>
      <c r="J385" s="74"/>
      <c r="K385" s="74" t="str">
        <f>IFERROR(__xludf.DUMMYFUNCTION("""COMPUTED_VALUE"""),"WAM")</f>
        <v>WAM</v>
      </c>
      <c r="L385" s="74" t="str">
        <f>IFERROR(__xludf.DUMMYFUNCTION("""COMPUTED_VALUE"""),"Elementos de medición y control")</f>
        <v>Elementos de medición y control</v>
      </c>
      <c r="M385" s="74" t="str">
        <f>IFERROR(__xludf.DUMMYFUNCTION("""COMPUTED_VALUE"""),"Sin Asignar")</f>
        <v>Sin Asignar</v>
      </c>
      <c r="N385" s="87">
        <f>IFERROR(__xludf.DUMMYFUNCTION("""COMPUTED_VALUE"""),0.0)</f>
        <v>0</v>
      </c>
      <c r="O385" s="74"/>
      <c r="P385" s="74" t="str">
        <f>IFERROR(__xludf.DUMMYFUNCTION("""COMPUTED_VALUE"""),"To Re-purchase")</f>
        <v>To Re-purchase</v>
      </c>
      <c r="Q385" s="74"/>
      <c r="R385" s="74"/>
      <c r="S385" s="87">
        <f>IFERROR(__xludf.DUMMYFUNCTION("""COMPUTED_VALUE"""),0.0)</f>
        <v>0</v>
      </c>
      <c r="T385" s="87">
        <f>IFERROR(__xludf.DUMMYFUNCTION("""COMPUTED_VALUE"""),0.0)</f>
        <v>0</v>
      </c>
      <c r="U385" s="87">
        <f>IFERROR(__xludf.DUMMYFUNCTION("""COMPUTED_VALUE"""),0.0)</f>
        <v>0</v>
      </c>
      <c r="V385" s="87">
        <f>IFERROR(__xludf.DUMMYFUNCTION("""COMPUTED_VALUE"""),0.0)</f>
        <v>0</v>
      </c>
      <c r="W385" s="87">
        <f>IFERROR(__xludf.DUMMYFUNCTION("""COMPUTED_VALUE"""),0.0)</f>
        <v>0</v>
      </c>
      <c r="X385" s="88"/>
      <c r="Y385" s="74"/>
      <c r="Z385" s="74"/>
    </row>
    <row r="386">
      <c r="B386" s="74" t="str">
        <f>IFERROR(__xludf.DUMMYFUNCTION("""COMPUTED_VALUE"""),"1383")</f>
        <v>1383</v>
      </c>
      <c r="C386" s="74"/>
      <c r="D386" s="74" t="str">
        <f>IFERROR(__xludf.DUMMYFUNCTION("""COMPUTED_VALUE"""),"\\MCA-S\mk\2_BM\0_BMat\08_PYM\Inventario\excel\Imagen de refacciones\WAM\Electroválvula WAM")</f>
        <v>\\MCA-S\mk\2_BM\0_BMat\08_PYM\Inventario\excel\Imagen de refacciones\WAM\Electroválvula WAM</v>
      </c>
      <c r="E386" s="74"/>
      <c r="F386" s="74" t="str">
        <f>IFERROR(__xludf.DUMMYFUNCTION("""COMPUTED_VALUE"""),"Electroválvula WAM")</f>
        <v>Electroválvula WAM</v>
      </c>
      <c r="G386" s="74"/>
      <c r="H386" s="74"/>
      <c r="I386" s="74" t="str">
        <f>IFERROR(__xludf.DUMMYFUNCTION("""COMPUTED_VALUE"""),"91220152")</f>
        <v>91220152</v>
      </c>
      <c r="J386" s="74"/>
      <c r="K386" s="74" t="str">
        <f>IFERROR(__xludf.DUMMYFUNCTION("""COMPUTED_VALUE"""),"WAM")</f>
        <v>WAM</v>
      </c>
      <c r="L386" s="74" t="str">
        <f>IFERROR(__xludf.DUMMYFUNCTION("""COMPUTED_VALUE"""),"Componentes eléctricos")</f>
        <v>Componentes eléctricos</v>
      </c>
      <c r="M386" s="74" t="str">
        <f>IFERROR(__xludf.DUMMYFUNCTION("""COMPUTED_VALUE"""),"Sin Asignar")</f>
        <v>Sin Asignar</v>
      </c>
      <c r="N386" s="87">
        <f>IFERROR(__xludf.DUMMYFUNCTION("""COMPUTED_VALUE"""),0.0)</f>
        <v>0</v>
      </c>
      <c r="O386" s="74"/>
      <c r="P386" s="74" t="str">
        <f>IFERROR(__xludf.DUMMYFUNCTION("""COMPUTED_VALUE"""),"No Available")</f>
        <v>No Available</v>
      </c>
      <c r="Q386" s="74"/>
      <c r="R386" s="74"/>
      <c r="S386" s="87">
        <f>IFERROR(__xludf.DUMMYFUNCTION("""COMPUTED_VALUE"""),0.0)</f>
        <v>0</v>
      </c>
      <c r="T386" s="87">
        <f>IFERROR(__xludf.DUMMYFUNCTION("""COMPUTED_VALUE"""),0.0)</f>
        <v>0</v>
      </c>
      <c r="U386" s="87">
        <f>IFERROR(__xludf.DUMMYFUNCTION("""COMPUTED_VALUE"""),0.0)</f>
        <v>0</v>
      </c>
      <c r="V386" s="87">
        <f>IFERROR(__xludf.DUMMYFUNCTION("""COMPUTED_VALUE"""),0.0)</f>
        <v>0</v>
      </c>
      <c r="W386" s="87">
        <f>IFERROR(__xludf.DUMMYFUNCTION("""COMPUTED_VALUE"""),0.0)</f>
        <v>0</v>
      </c>
      <c r="X386" s="88"/>
      <c r="Y386" s="74"/>
      <c r="Z386" s="74"/>
    </row>
    <row r="387">
      <c r="B387" s="74" t="str">
        <f>IFERROR(__xludf.DUMMYFUNCTION("""COMPUTED_VALUE"""),"1384")</f>
        <v>1384</v>
      </c>
      <c r="C387" s="74"/>
      <c r="D387" s="74" t="str">
        <f>IFERROR(__xludf.DUMMYFUNCTION("""COMPUTED_VALUE"""),"\\MCA-S\mk\2_BM\0_BMat\08_PYM\Inventario\excel\Imagen de refacciones\WAM\Electroválvula 2 WAM")</f>
        <v>\\MCA-S\mk\2_BM\0_BMat\08_PYM\Inventario\excel\Imagen de refacciones\WAM\Electroválvula 2 WAM</v>
      </c>
      <c r="E387" s="74"/>
      <c r="F387" s="74" t="str">
        <f>IFERROR(__xludf.DUMMYFUNCTION("""COMPUTED_VALUE"""),"Electroválvula 2 WAM 
")</f>
        <v>Electroválvula 2 WAM 
</v>
      </c>
      <c r="G387" s="74"/>
      <c r="H387" s="74"/>
      <c r="I387" s="74" t="str">
        <f>IFERROR(__xludf.DUMMYFUNCTION("""COMPUTED_VALUE"""),"PAV-4300-000")</f>
        <v>PAV-4300-000</v>
      </c>
      <c r="J387" s="74"/>
      <c r="K387" s="74" t="str">
        <f>IFERROR(__xludf.DUMMYFUNCTION("""COMPUTED_VALUE"""),"WAM")</f>
        <v>WAM</v>
      </c>
      <c r="L387" s="74" t="str">
        <f>IFERROR(__xludf.DUMMYFUNCTION("""COMPUTED_VALUE"""),"Componentes eléctricos")</f>
        <v>Componentes eléctricos</v>
      </c>
      <c r="M387" s="74" t="str">
        <f>IFERROR(__xludf.DUMMYFUNCTION("""COMPUTED_VALUE"""),"Sin Asignar")</f>
        <v>Sin Asignar</v>
      </c>
      <c r="N387" s="87">
        <f>IFERROR(__xludf.DUMMYFUNCTION("""COMPUTED_VALUE"""),0.0)</f>
        <v>0</v>
      </c>
      <c r="O387" s="74"/>
      <c r="P387" s="74" t="str">
        <f>IFERROR(__xludf.DUMMYFUNCTION("""COMPUTED_VALUE"""),"No Available")</f>
        <v>No Available</v>
      </c>
      <c r="Q387" s="74"/>
      <c r="R387" s="74"/>
      <c r="S387" s="87">
        <f>IFERROR(__xludf.DUMMYFUNCTION("""COMPUTED_VALUE"""),0.0)</f>
        <v>0</v>
      </c>
      <c r="T387" s="87">
        <f>IFERROR(__xludf.DUMMYFUNCTION("""COMPUTED_VALUE"""),0.0)</f>
        <v>0</v>
      </c>
      <c r="U387" s="87">
        <f>IFERROR(__xludf.DUMMYFUNCTION("""COMPUTED_VALUE"""),0.0)</f>
        <v>0</v>
      </c>
      <c r="V387" s="87">
        <f>IFERROR(__xludf.DUMMYFUNCTION("""COMPUTED_VALUE"""),0.0)</f>
        <v>0</v>
      </c>
      <c r="W387" s="87">
        <f>IFERROR(__xludf.DUMMYFUNCTION("""COMPUTED_VALUE"""),0.0)</f>
        <v>0</v>
      </c>
      <c r="X387" s="88"/>
      <c r="Y387" s="74"/>
      <c r="Z387" s="74"/>
    </row>
    <row r="388">
      <c r="B388" s="74" t="str">
        <f>IFERROR(__xludf.DUMMYFUNCTION("""COMPUTED_VALUE"""),"1385")</f>
        <v>1385</v>
      </c>
      <c r="C388" s="74"/>
      <c r="D388" s="74" t="str">
        <f>IFERROR(__xludf.DUMMYFUNCTION("""COMPUTED_VALUE"""),"\\MCA-S\mk\2_BM\0_BMat\08_PYM\Inventario\excel\Imagen de refacciones\WAM\Conjunto lubricador con regulador y filtro WAM 1")</f>
        <v>\\MCA-S\mk\2_BM\0_BMat\08_PYM\Inventario\excel\Imagen de refacciones\WAM\Conjunto lubricador con regulador y filtro WAM 1</v>
      </c>
      <c r="E388" s="74"/>
      <c r="F388" s="74" t="str">
        <f>IFERROR(__xludf.DUMMYFUNCTION("""COMPUTED_VALUE"""),"Conjunto lubricador con regulador y filtro WAM 1")</f>
        <v>Conjunto lubricador con regulador y filtro WAM 1</v>
      </c>
      <c r="G388" s="74"/>
      <c r="H388" s="74"/>
      <c r="I388" s="74" t="str">
        <f>IFERROR(__xludf.DUMMYFUNCTION("""COMPUTED_VALUE"""),"AC5000-06")</f>
        <v>AC5000-06</v>
      </c>
      <c r="J388" s="74"/>
      <c r="K388" s="74" t="str">
        <f>IFERROR(__xludf.DUMMYFUNCTION("""COMPUTED_VALUE"""),"WAM")</f>
        <v>WAM</v>
      </c>
      <c r="L388" s="74" t="str">
        <f>IFERROR(__xludf.DUMMYFUNCTION("""COMPUTED_VALUE"""),"Componentes neumáticos")</f>
        <v>Componentes neumáticos</v>
      </c>
      <c r="M388" s="74" t="str">
        <f>IFERROR(__xludf.DUMMYFUNCTION("""COMPUTED_VALUE"""),"Sin Asignar")</f>
        <v>Sin Asignar</v>
      </c>
      <c r="N388" s="87">
        <f>IFERROR(__xludf.DUMMYFUNCTION("""COMPUTED_VALUE"""),0.0)</f>
        <v>0</v>
      </c>
      <c r="O388" s="74"/>
      <c r="P388" s="74" t="str">
        <f>IFERROR(__xludf.DUMMYFUNCTION("""COMPUTED_VALUE"""),"No Available")</f>
        <v>No Available</v>
      </c>
      <c r="Q388" s="74"/>
      <c r="R388" s="74"/>
      <c r="S388" s="87">
        <f>IFERROR(__xludf.DUMMYFUNCTION("""COMPUTED_VALUE"""),0.0)</f>
        <v>0</v>
      </c>
      <c r="T388" s="87">
        <f>IFERROR(__xludf.DUMMYFUNCTION("""COMPUTED_VALUE"""),0.0)</f>
        <v>0</v>
      </c>
      <c r="U388" s="87">
        <f>IFERROR(__xludf.DUMMYFUNCTION("""COMPUTED_VALUE"""),0.0)</f>
        <v>0</v>
      </c>
      <c r="V388" s="87">
        <f>IFERROR(__xludf.DUMMYFUNCTION("""COMPUTED_VALUE"""),0.0)</f>
        <v>0</v>
      </c>
      <c r="W388" s="87">
        <f>IFERROR(__xludf.DUMMYFUNCTION("""COMPUTED_VALUE"""),0.0)</f>
        <v>0</v>
      </c>
      <c r="X388" s="88"/>
      <c r="Y388" s="74"/>
      <c r="Z388" s="74"/>
    </row>
    <row r="389">
      <c r="B389" s="74" t="str">
        <f>IFERROR(__xludf.DUMMYFUNCTION("""COMPUTED_VALUE"""),"1386")</f>
        <v>1386</v>
      </c>
      <c r="C389" s="74"/>
      <c r="D389" s="74" t="str">
        <f>IFERROR(__xludf.DUMMYFUNCTION("""COMPUTED_VALUE"""),"\\MCA-S\mk\2_BM\0_BMat\08_PYM\Inventario\excel\Imagen de refacciones\WAM\Conjunto lubricador con regulador y filtro WAM 2")</f>
        <v>\\MCA-S\mk\2_BM\0_BMat\08_PYM\Inventario\excel\Imagen de refacciones\WAM\Conjunto lubricador con regulador y filtro WAM 2</v>
      </c>
      <c r="E389" s="74"/>
      <c r="F389" s="74" t="str">
        <f>IFERROR(__xludf.DUMMYFUNCTION("""COMPUTED_VALUE"""),"Conjunto lubricador con regulador y filtro WAM 2")</f>
        <v>Conjunto lubricador con regulador y filtro WAM 2</v>
      </c>
      <c r="G389" s="74"/>
      <c r="H389" s="74"/>
      <c r="I389" s="74" t="str">
        <f>IFERROR(__xludf.DUMMYFUNCTION("""COMPUTED_VALUE"""),"AC400-04")</f>
        <v>AC400-04</v>
      </c>
      <c r="J389" s="74"/>
      <c r="K389" s="74" t="str">
        <f>IFERROR(__xludf.DUMMYFUNCTION("""COMPUTED_VALUE"""),"WAM")</f>
        <v>WAM</v>
      </c>
      <c r="L389" s="74" t="str">
        <f>IFERROR(__xludf.DUMMYFUNCTION("""COMPUTED_VALUE"""),"Componentes neumáticos")</f>
        <v>Componentes neumáticos</v>
      </c>
      <c r="M389" s="74" t="str">
        <f>IFERROR(__xludf.DUMMYFUNCTION("""COMPUTED_VALUE"""),"Sin Asignar")</f>
        <v>Sin Asignar</v>
      </c>
      <c r="N389" s="87">
        <f>IFERROR(__xludf.DUMMYFUNCTION("""COMPUTED_VALUE"""),0.0)</f>
        <v>0</v>
      </c>
      <c r="O389" s="74"/>
      <c r="P389" s="74" t="str">
        <f>IFERROR(__xludf.DUMMYFUNCTION("""COMPUTED_VALUE"""),"No Available")</f>
        <v>No Available</v>
      </c>
      <c r="Q389" s="74"/>
      <c r="R389" s="74"/>
      <c r="S389" s="87">
        <f>IFERROR(__xludf.DUMMYFUNCTION("""COMPUTED_VALUE"""),0.0)</f>
        <v>0</v>
      </c>
      <c r="T389" s="87">
        <f>IFERROR(__xludf.DUMMYFUNCTION("""COMPUTED_VALUE"""),0.0)</f>
        <v>0</v>
      </c>
      <c r="U389" s="87">
        <f>IFERROR(__xludf.DUMMYFUNCTION("""COMPUTED_VALUE"""),0.0)</f>
        <v>0</v>
      </c>
      <c r="V389" s="87">
        <f>IFERROR(__xludf.DUMMYFUNCTION("""COMPUTED_VALUE"""),0.0)</f>
        <v>0</v>
      </c>
      <c r="W389" s="87">
        <f>IFERROR(__xludf.DUMMYFUNCTION("""COMPUTED_VALUE"""),0.0)</f>
        <v>0</v>
      </c>
      <c r="X389" s="88"/>
      <c r="Y389" s="74"/>
      <c r="Z389" s="74"/>
    </row>
    <row r="390">
      <c r="B390" s="74" t="str">
        <f>IFERROR(__xludf.DUMMYFUNCTION("""COMPUTED_VALUE"""),"1387")</f>
        <v>1387</v>
      </c>
      <c r="C390" s="74"/>
      <c r="D390" s="74" t="str">
        <f>IFERROR(__xludf.DUMMYFUNCTION("""COMPUTED_VALUE"""),"\\MCA-S\mk\2_BM\0_BMat\08_PYM\Inventario\excel\Imagen de refacciones\WAM\Conjunto lubricador con regulador y filtro WAM 3")</f>
        <v>\\MCA-S\mk\2_BM\0_BMat\08_PYM\Inventario\excel\Imagen de refacciones\WAM\Conjunto lubricador con regulador y filtro WAM 3</v>
      </c>
      <c r="E390" s="74"/>
      <c r="F390" s="74" t="str">
        <f>IFERROR(__xludf.DUMMYFUNCTION("""COMPUTED_VALUE"""),"Conjunto lubricador con regulador y filtro WAM 3")</f>
        <v>Conjunto lubricador con regulador y filtro WAM 3</v>
      </c>
      <c r="G390" s="74"/>
      <c r="H390" s="74"/>
      <c r="I390" s="74" t="str">
        <f>IFERROR(__xludf.DUMMYFUNCTION("""COMPUTED_VALUE"""),"P1220376")</f>
        <v>P1220376</v>
      </c>
      <c r="J390" s="74"/>
      <c r="K390" s="74" t="str">
        <f>IFERROR(__xludf.DUMMYFUNCTION("""COMPUTED_VALUE"""),"WAM")</f>
        <v>WAM</v>
      </c>
      <c r="L390" s="74" t="str">
        <f>IFERROR(__xludf.DUMMYFUNCTION("""COMPUTED_VALUE"""),"Componentes neumáticos")</f>
        <v>Componentes neumáticos</v>
      </c>
      <c r="M390" s="74" t="str">
        <f>IFERROR(__xludf.DUMMYFUNCTION("""COMPUTED_VALUE"""),"Sin Asignar")</f>
        <v>Sin Asignar</v>
      </c>
      <c r="N390" s="87">
        <f>IFERROR(__xludf.DUMMYFUNCTION("""COMPUTED_VALUE"""),0.0)</f>
        <v>0</v>
      </c>
      <c r="O390" s="74"/>
      <c r="P390" s="74" t="str">
        <f>IFERROR(__xludf.DUMMYFUNCTION("""COMPUTED_VALUE"""),"No Available")</f>
        <v>No Available</v>
      </c>
      <c r="Q390" s="74"/>
      <c r="R390" s="74"/>
      <c r="S390" s="87">
        <f>IFERROR(__xludf.DUMMYFUNCTION("""COMPUTED_VALUE"""),0.0)</f>
        <v>0</v>
      </c>
      <c r="T390" s="87">
        <f>IFERROR(__xludf.DUMMYFUNCTION("""COMPUTED_VALUE"""),0.0)</f>
        <v>0</v>
      </c>
      <c r="U390" s="87">
        <f>IFERROR(__xludf.DUMMYFUNCTION("""COMPUTED_VALUE"""),0.0)</f>
        <v>0</v>
      </c>
      <c r="V390" s="87">
        <f>IFERROR(__xludf.DUMMYFUNCTION("""COMPUTED_VALUE"""),0.0)</f>
        <v>0</v>
      </c>
      <c r="W390" s="87">
        <f>IFERROR(__xludf.DUMMYFUNCTION("""COMPUTED_VALUE"""),0.0)</f>
        <v>0</v>
      </c>
      <c r="X390" s="88"/>
      <c r="Y390" s="74"/>
      <c r="Z390" s="74"/>
    </row>
    <row r="391">
      <c r="B391" s="74" t="str">
        <f>IFERROR(__xludf.DUMMYFUNCTION("""COMPUTED_VALUE"""),"1388")</f>
        <v>1388</v>
      </c>
      <c r="C391" s="74"/>
      <c r="D391" s="74" t="str">
        <f>IFERROR(__xludf.DUMMYFUNCTION("""COMPUTED_VALUE"""),"\\MCA-S\mk\2_BM\0_BMat\08_PYM\Inventario\excel\Imagen de refacciones\WAM\Evaso lubricador con reguladorc")</f>
        <v>\\MCA-S\mk\2_BM\0_BMat\08_PYM\Inventario\excel\Imagen de refacciones\WAM\Evaso lubricador con reguladorc</v>
      </c>
      <c r="E391" s="74"/>
      <c r="F391" s="74" t="str">
        <f>IFERROR(__xludf.DUMMYFUNCTION("""COMPUTED_VALUE"""),"Evaso lubricador con reguladorc")</f>
        <v>Evaso lubricador con reguladorc</v>
      </c>
      <c r="G391" s="74"/>
      <c r="H391" s="74"/>
      <c r="I391" s="74" t="str">
        <f>IFERROR(__xludf.DUMMYFUNCTION("""COMPUTED_VALUE"""),"AW300")</f>
        <v>AW300</v>
      </c>
      <c r="J391" s="74"/>
      <c r="K391" s="74" t="str">
        <f>IFERROR(__xludf.DUMMYFUNCTION("""COMPUTED_VALUE"""),"WAM")</f>
        <v>WAM</v>
      </c>
      <c r="L391" s="74" t="str">
        <f>IFERROR(__xludf.DUMMYFUNCTION("""COMPUTED_VALUE"""),"Componentes neumáticos")</f>
        <v>Componentes neumáticos</v>
      </c>
      <c r="M391" s="74" t="str">
        <f>IFERROR(__xludf.DUMMYFUNCTION("""COMPUTED_VALUE"""),"Sin Asignar")</f>
        <v>Sin Asignar</v>
      </c>
      <c r="N391" s="87">
        <f>IFERROR(__xludf.DUMMYFUNCTION("""COMPUTED_VALUE"""),0.0)</f>
        <v>0</v>
      </c>
      <c r="O391" s="74"/>
      <c r="P391" s="74" t="str">
        <f>IFERROR(__xludf.DUMMYFUNCTION("""COMPUTED_VALUE"""),"No Available")</f>
        <v>No Available</v>
      </c>
      <c r="Q391" s="74"/>
      <c r="R391" s="74"/>
      <c r="S391" s="87">
        <f>IFERROR(__xludf.DUMMYFUNCTION("""COMPUTED_VALUE"""),0.0)</f>
        <v>0</v>
      </c>
      <c r="T391" s="87">
        <f>IFERROR(__xludf.DUMMYFUNCTION("""COMPUTED_VALUE"""),0.0)</f>
        <v>0</v>
      </c>
      <c r="U391" s="87">
        <f>IFERROR(__xludf.DUMMYFUNCTION("""COMPUTED_VALUE"""),0.0)</f>
        <v>0</v>
      </c>
      <c r="V391" s="87">
        <f>IFERROR(__xludf.DUMMYFUNCTION("""COMPUTED_VALUE"""),0.0)</f>
        <v>0</v>
      </c>
      <c r="W391" s="87">
        <f>IFERROR(__xludf.DUMMYFUNCTION("""COMPUTED_VALUE"""),0.0)</f>
        <v>0</v>
      </c>
      <c r="X391" s="88"/>
      <c r="Y391" s="74"/>
      <c r="Z391" s="74"/>
    </row>
    <row r="392">
      <c r="B392" s="74" t="str">
        <f>IFERROR(__xludf.DUMMYFUNCTION("""COMPUTED_VALUE"""),"1389")</f>
        <v>1389</v>
      </c>
      <c r="C392" s="74"/>
      <c r="D392" s="74" t="str">
        <f>IFERROR(__xludf.DUMMYFUNCTION("""COMPUTED_VALUE"""),"\\MCA-S\mk\2_BM\0_BMat\08_PYM\Inventario\excel\Imagen de refacciones\WAM\Electroválvula 3 WAM")</f>
        <v>\\MCA-S\mk\2_BM\0_BMat\08_PYM\Inventario\excel\Imagen de refacciones\WAM\Electroválvula 3 WAM</v>
      </c>
      <c r="E392" s="74"/>
      <c r="F392" s="74" t="str">
        <f>IFERROR(__xludf.DUMMYFUNCTION("""COMPUTED_VALUE"""),"Electroválvula 3 WAM")</f>
        <v>Electroválvula 3 WAM</v>
      </c>
      <c r="G392" s="74"/>
      <c r="H392" s="74"/>
      <c r="I392" s="74" t="str">
        <f>IFERROR(__xludf.DUMMYFUNCTION("""COMPUTED_VALUE"""),"PL665392113MAC")</f>
        <v>PL665392113MAC</v>
      </c>
      <c r="J392" s="74"/>
      <c r="K392" s="74" t="str">
        <f>IFERROR(__xludf.DUMMYFUNCTION("""COMPUTED_VALUE"""),"WAM")</f>
        <v>WAM</v>
      </c>
      <c r="L392" s="74" t="str">
        <f>IFERROR(__xludf.DUMMYFUNCTION("""COMPUTED_VALUE"""),"Componentes eléctricos")</f>
        <v>Componentes eléctricos</v>
      </c>
      <c r="M392" s="74" t="str">
        <f>IFERROR(__xludf.DUMMYFUNCTION("""COMPUTED_VALUE"""),"Sin Asignar")</f>
        <v>Sin Asignar</v>
      </c>
      <c r="N392" s="87">
        <f>IFERROR(__xludf.DUMMYFUNCTION("""COMPUTED_VALUE"""),0.0)</f>
        <v>0</v>
      </c>
      <c r="O392" s="74"/>
      <c r="P392" s="74" t="str">
        <f>IFERROR(__xludf.DUMMYFUNCTION("""COMPUTED_VALUE"""),"No Available")</f>
        <v>No Available</v>
      </c>
      <c r="Q392" s="74"/>
      <c r="R392" s="74"/>
      <c r="S392" s="87">
        <f>IFERROR(__xludf.DUMMYFUNCTION("""COMPUTED_VALUE"""),0.0)</f>
        <v>0</v>
      </c>
      <c r="T392" s="87">
        <f>IFERROR(__xludf.DUMMYFUNCTION("""COMPUTED_VALUE"""),0.0)</f>
        <v>0</v>
      </c>
      <c r="U392" s="87">
        <f>IFERROR(__xludf.DUMMYFUNCTION("""COMPUTED_VALUE"""),0.0)</f>
        <v>0</v>
      </c>
      <c r="V392" s="87">
        <f>IFERROR(__xludf.DUMMYFUNCTION("""COMPUTED_VALUE"""),0.0)</f>
        <v>0</v>
      </c>
      <c r="W392" s="87">
        <f>IFERROR(__xludf.DUMMYFUNCTION("""COMPUTED_VALUE"""),0.0)</f>
        <v>0</v>
      </c>
      <c r="X392" s="88"/>
      <c r="Y392" s="74"/>
      <c r="Z392" s="74"/>
    </row>
    <row r="393">
      <c r="B393" s="74" t="str">
        <f>IFERROR(__xludf.DUMMYFUNCTION("""COMPUTED_VALUE"""),"1390")</f>
        <v>1390</v>
      </c>
      <c r="C393" s="74"/>
      <c r="D393" s="74" t="str">
        <f>IFERROR(__xludf.DUMMYFUNCTION("""COMPUTED_VALUE"""),"\\MCA-S\mk\2_BM\0_BMat\08_PYM\Inventario\excel\Imagen de refacciones\WAM\Electroválvula 4 WAM")</f>
        <v>\\MCA-S\mk\2_BM\0_BMat\08_PYM\Inventario\excel\Imagen de refacciones\WAM\Electroválvula 4 WAM</v>
      </c>
      <c r="E393" s="74"/>
      <c r="F393" s="74" t="str">
        <f>IFERROR(__xludf.DUMMYFUNCTION("""COMPUTED_VALUE"""),"Electroválvula 4 WAM")</f>
        <v>Electroválvula 4 WAM</v>
      </c>
      <c r="G393" s="74"/>
      <c r="H393" s="74"/>
      <c r="I393" s="74" t="str">
        <f>IFERROR(__xludf.DUMMYFUNCTION("""COMPUTED_VALUE"""),"PAV-2626")</f>
        <v>PAV-2626</v>
      </c>
      <c r="J393" s="74"/>
      <c r="K393" s="74" t="str">
        <f>IFERROR(__xludf.DUMMYFUNCTION("""COMPUTED_VALUE"""),"WAM")</f>
        <v>WAM</v>
      </c>
      <c r="L393" s="74" t="str">
        <f>IFERROR(__xludf.DUMMYFUNCTION("""COMPUTED_VALUE"""),"Componentes eléctricos")</f>
        <v>Componentes eléctricos</v>
      </c>
      <c r="M393" s="74" t="str">
        <f>IFERROR(__xludf.DUMMYFUNCTION("""COMPUTED_VALUE"""),"Sin Asignar")</f>
        <v>Sin Asignar</v>
      </c>
      <c r="N393" s="87">
        <f>IFERROR(__xludf.DUMMYFUNCTION("""COMPUTED_VALUE"""),0.0)</f>
        <v>0</v>
      </c>
      <c r="O393" s="74"/>
      <c r="P393" s="74" t="str">
        <f>IFERROR(__xludf.DUMMYFUNCTION("""COMPUTED_VALUE"""),"No Available")</f>
        <v>No Available</v>
      </c>
      <c r="Q393" s="74"/>
      <c r="R393" s="74"/>
      <c r="S393" s="87">
        <f>IFERROR(__xludf.DUMMYFUNCTION("""COMPUTED_VALUE"""),0.0)</f>
        <v>0</v>
      </c>
      <c r="T393" s="87">
        <f>IFERROR(__xludf.DUMMYFUNCTION("""COMPUTED_VALUE"""),0.0)</f>
        <v>0</v>
      </c>
      <c r="U393" s="87">
        <f>IFERROR(__xludf.DUMMYFUNCTION("""COMPUTED_VALUE"""),0.0)</f>
        <v>0</v>
      </c>
      <c r="V393" s="87">
        <f>IFERROR(__xludf.DUMMYFUNCTION("""COMPUTED_VALUE"""),0.0)</f>
        <v>0</v>
      </c>
      <c r="W393" s="87">
        <f>IFERROR(__xludf.DUMMYFUNCTION("""COMPUTED_VALUE"""),0.0)</f>
        <v>0</v>
      </c>
      <c r="X393" s="88"/>
      <c r="Y393" s="74"/>
      <c r="Z393" s="74"/>
    </row>
    <row r="394">
      <c r="B394" s="74" t="str">
        <f>IFERROR(__xludf.DUMMYFUNCTION("""COMPUTED_VALUE"""),"1391")</f>
        <v>1391</v>
      </c>
      <c r="C394" s="74"/>
      <c r="D394" s="74" t="str">
        <f>IFERROR(__xludf.DUMMYFUNCTION("""COMPUTED_VALUE"""),"\\MCA-S\mk\2_BM\0_BMat\08_PYM\Inventario\excel\Imagen de refacciones\Sistema tuberia\Tubo de 5_ x3 metros- calibre 7 metrico")</f>
        <v>\\MCA-S\mk\2_BM\0_BMat\08_PYM\Inventario\excel\Imagen de refacciones\Sistema tuberia\Tubo de 5_ x3 metros- calibre 7 metrico</v>
      </c>
      <c r="E394" s="74"/>
      <c r="F394" s="74" t="str">
        <f>IFERROR(__xludf.DUMMYFUNCTION("""COMPUTED_VALUE"""),"Tubo de 5"" x3 metros- calibre 7 metrico")</f>
        <v>Tubo de 5" x3 metros- calibre 7 metrico</v>
      </c>
      <c r="G394" s="74"/>
      <c r="H394" s="74"/>
      <c r="I394" s="74" t="str">
        <f>IFERROR(__xludf.DUMMYFUNCTION("""COMPUTED_VALUE"""),"10004349")</f>
        <v>10004349</v>
      </c>
      <c r="J394" s="74"/>
      <c r="K394" s="74" t="str">
        <f>IFERROR(__xludf.DUMMYFUNCTION("""COMPUTED_VALUE"""),"Tuberia")</f>
        <v>Tuberia</v>
      </c>
      <c r="L394" s="74" t="str">
        <f>IFERROR(__xludf.DUMMYFUNCTION("""COMPUTED_VALUE"""),"Componentes estructurales y de montaje")</f>
        <v>Componentes estructurales y de montaje</v>
      </c>
      <c r="M394" s="74" t="str">
        <f>IFERROR(__xludf.DUMMYFUNCTION("""COMPUTED_VALUE"""),"Sin Asignar")</f>
        <v>Sin Asignar</v>
      </c>
      <c r="N394" s="87">
        <f>IFERROR(__xludf.DUMMYFUNCTION("""COMPUTED_VALUE"""),0.0)</f>
        <v>0</v>
      </c>
      <c r="O394" s="74"/>
      <c r="P394" s="74" t="str">
        <f>IFERROR(__xludf.DUMMYFUNCTION("""COMPUTED_VALUE"""),"No Available")</f>
        <v>No Available</v>
      </c>
      <c r="Q394" s="74"/>
      <c r="R394" s="74"/>
      <c r="S394" s="87">
        <f>IFERROR(__xludf.DUMMYFUNCTION("""COMPUTED_VALUE"""),0.0)</f>
        <v>0</v>
      </c>
      <c r="T394" s="87">
        <f>IFERROR(__xludf.DUMMYFUNCTION("""COMPUTED_VALUE"""),0.0)</f>
        <v>0</v>
      </c>
      <c r="U394" s="87">
        <f>IFERROR(__xludf.DUMMYFUNCTION("""COMPUTED_VALUE"""),0.0)</f>
        <v>0</v>
      </c>
      <c r="V394" s="87">
        <f>IFERROR(__xludf.DUMMYFUNCTION("""COMPUTED_VALUE"""),0.0)</f>
        <v>0</v>
      </c>
      <c r="W394" s="87">
        <f>IFERROR(__xludf.DUMMYFUNCTION("""COMPUTED_VALUE"""),0.0)</f>
        <v>0</v>
      </c>
      <c r="X394" s="88"/>
      <c r="Y394" s="74"/>
      <c r="Z394" s="74"/>
    </row>
    <row r="395">
      <c r="B395" s="74" t="str">
        <f>IFERROR(__xludf.DUMMYFUNCTION("""COMPUTED_VALUE"""),"1392")</f>
        <v>1392</v>
      </c>
      <c r="C395" s="74"/>
      <c r="D395" s="74" t="str">
        <f>IFERROR(__xludf.DUMMYFUNCTION("""COMPUTED_VALUE"""),"\\MCA-S\mk\2_BM\0_BMat\08_PYM\Inventario\excel\Imagen de refacciones\Sistema tuberia\Tubo de 5_ x3 metros- calibre 11 HD")</f>
        <v>\\MCA-S\mk\2_BM\0_BMat\08_PYM\Inventario\excel\Imagen de refacciones\Sistema tuberia\Tubo de 5_ x3 metros- calibre 11 HD</v>
      </c>
      <c r="E395" s="74"/>
      <c r="F395" s="74" t="str">
        <f>IFERROR(__xludf.DUMMYFUNCTION("""COMPUTED_VALUE"""),"Tubo de 5"" x3 metros- calibre 11 HD")</f>
        <v>Tubo de 5" x3 metros- calibre 11 HD</v>
      </c>
      <c r="G395" s="74"/>
      <c r="H395" s="74"/>
      <c r="I395" s="74" t="str">
        <f>IFERROR(__xludf.DUMMYFUNCTION("""COMPUTED_VALUE"""),"T5X3C7HD")</f>
        <v>T5X3C7HD</v>
      </c>
      <c r="J395" s="74"/>
      <c r="K395" s="74" t="str">
        <f>IFERROR(__xludf.DUMMYFUNCTION("""COMPUTED_VALUE"""),"Tuberia")</f>
        <v>Tuberia</v>
      </c>
      <c r="L395" s="74" t="str">
        <f>IFERROR(__xludf.DUMMYFUNCTION("""COMPUTED_VALUE"""),"Componentes estructurales y de montaje")</f>
        <v>Componentes estructurales y de montaje</v>
      </c>
      <c r="M395" s="74" t="str">
        <f>IFERROR(__xludf.DUMMYFUNCTION("""COMPUTED_VALUE"""),"Sin Asignar")</f>
        <v>Sin Asignar</v>
      </c>
      <c r="N395" s="87">
        <f>IFERROR(__xludf.DUMMYFUNCTION("""COMPUTED_VALUE"""),0.0)</f>
        <v>0</v>
      </c>
      <c r="O395" s="74"/>
      <c r="P395" s="74" t="str">
        <f>IFERROR(__xludf.DUMMYFUNCTION("""COMPUTED_VALUE"""),"No Available")</f>
        <v>No Available</v>
      </c>
      <c r="Q395" s="74"/>
      <c r="R395" s="74"/>
      <c r="S395" s="87">
        <f>IFERROR(__xludf.DUMMYFUNCTION("""COMPUTED_VALUE"""),0.0)</f>
        <v>0</v>
      </c>
      <c r="T395" s="87">
        <f>IFERROR(__xludf.DUMMYFUNCTION("""COMPUTED_VALUE"""),0.0)</f>
        <v>0</v>
      </c>
      <c r="U395" s="87">
        <f>IFERROR(__xludf.DUMMYFUNCTION("""COMPUTED_VALUE"""),0.0)</f>
        <v>0</v>
      </c>
      <c r="V395" s="87">
        <f>IFERROR(__xludf.DUMMYFUNCTION("""COMPUTED_VALUE"""),0.0)</f>
        <v>0</v>
      </c>
      <c r="W395" s="87">
        <f>IFERROR(__xludf.DUMMYFUNCTION("""COMPUTED_VALUE"""),0.0)</f>
        <v>0</v>
      </c>
      <c r="X395" s="88"/>
      <c r="Y395" s="74"/>
      <c r="Z395" s="74"/>
    </row>
    <row r="396">
      <c r="B396" s="74" t="str">
        <f>IFERROR(__xludf.DUMMYFUNCTION("""COMPUTED_VALUE"""),"1393")</f>
        <v>1393</v>
      </c>
      <c r="C396" s="74"/>
      <c r="D396" s="74" t="str">
        <f>IFERROR(__xludf.DUMMYFUNCTION("""COMPUTED_VALUE"""),"\\MCA-S\mk\2_BM\0_BMat\08_PYM\Inventario\excel\Imagen de refacciones\Sistema tuberia\Tubo de 4_ x3 metros HD")</f>
        <v>\\MCA-S\mk\2_BM\0_BMat\08_PYM\Inventario\excel\Imagen de refacciones\Sistema tuberia\Tubo de 4_ x3 metros HD</v>
      </c>
      <c r="E396" s="74"/>
      <c r="F396" s="74" t="str">
        <f>IFERROR(__xludf.DUMMYFUNCTION("""COMPUTED_VALUE"""),"Tubo de 4"" x3 metros HD")</f>
        <v>Tubo de 4" x3 metros HD</v>
      </c>
      <c r="G396" s="74"/>
      <c r="H396" s="74"/>
      <c r="I396" s="74" t="str">
        <f>IFERROR(__xludf.DUMMYFUNCTION("""COMPUTED_VALUE"""),"T4X3HD")</f>
        <v>T4X3HD</v>
      </c>
      <c r="J396" s="74"/>
      <c r="K396" s="74" t="str">
        <f>IFERROR(__xludf.DUMMYFUNCTION("""COMPUTED_VALUE"""),"Tuberia")</f>
        <v>Tuberia</v>
      </c>
      <c r="L396" s="74" t="str">
        <f>IFERROR(__xludf.DUMMYFUNCTION("""COMPUTED_VALUE"""),"Componentes estructurales y de montaje")</f>
        <v>Componentes estructurales y de montaje</v>
      </c>
      <c r="M396" s="74" t="str">
        <f>IFERROR(__xludf.DUMMYFUNCTION("""COMPUTED_VALUE"""),"Sin Asignar")</f>
        <v>Sin Asignar</v>
      </c>
      <c r="N396" s="87">
        <f>IFERROR(__xludf.DUMMYFUNCTION("""COMPUTED_VALUE"""),0.0)</f>
        <v>0</v>
      </c>
      <c r="O396" s="74"/>
      <c r="P396" s="74" t="str">
        <f>IFERROR(__xludf.DUMMYFUNCTION("""COMPUTED_VALUE"""),"No Available")</f>
        <v>No Available</v>
      </c>
      <c r="Q396" s="74"/>
      <c r="R396" s="74"/>
      <c r="S396" s="87">
        <f>IFERROR(__xludf.DUMMYFUNCTION("""COMPUTED_VALUE"""),0.0)</f>
        <v>0</v>
      </c>
      <c r="T396" s="87">
        <f>IFERROR(__xludf.DUMMYFUNCTION("""COMPUTED_VALUE"""),0.0)</f>
        <v>0</v>
      </c>
      <c r="U396" s="87">
        <f>IFERROR(__xludf.DUMMYFUNCTION("""COMPUTED_VALUE"""),0.0)</f>
        <v>0</v>
      </c>
      <c r="V396" s="87">
        <f>IFERROR(__xludf.DUMMYFUNCTION("""COMPUTED_VALUE"""),0.0)</f>
        <v>0</v>
      </c>
      <c r="W396" s="87">
        <f>IFERROR(__xludf.DUMMYFUNCTION("""COMPUTED_VALUE"""),0.0)</f>
        <v>0</v>
      </c>
      <c r="X396" s="88"/>
      <c r="Y396" s="74"/>
      <c r="Z396" s="74"/>
    </row>
    <row r="397">
      <c r="B397" s="74" t="str">
        <f>IFERROR(__xludf.DUMMYFUNCTION("""COMPUTED_VALUE"""),"1394")</f>
        <v>1394</v>
      </c>
      <c r="C397" s="74"/>
      <c r="D397" s="74" t="str">
        <f>IFERROR(__xludf.DUMMYFUNCTION("""COMPUTED_VALUE"""),"\\MCA-S\mk\2_BM\0_BMat\08_PYM\Inventario\excel\Imagen de refacciones\Sistema tuberia\TUBO DE 3_ X 3 METROS HD")</f>
        <v>\\MCA-S\mk\2_BM\0_BMat\08_PYM\Inventario\excel\Imagen de refacciones\Sistema tuberia\TUBO DE 3_ X 3 METROS HD</v>
      </c>
      <c r="E397" s="74"/>
      <c r="F397" s="74" t="str">
        <f>IFERROR(__xludf.DUMMYFUNCTION("""COMPUTED_VALUE"""),"TUBO DE 3"" X 3 METROS HD")</f>
        <v>TUBO DE 3" X 3 METROS HD</v>
      </c>
      <c r="G397" s="74"/>
      <c r="H397" s="74"/>
      <c r="I397" s="74" t="str">
        <f>IFERROR(__xludf.DUMMYFUNCTION("""COMPUTED_VALUE"""),"T3X3HD")</f>
        <v>T3X3HD</v>
      </c>
      <c r="J397" s="74"/>
      <c r="K397" s="74" t="str">
        <f>IFERROR(__xludf.DUMMYFUNCTION("""COMPUTED_VALUE"""),"Tuberia")</f>
        <v>Tuberia</v>
      </c>
      <c r="L397" s="74" t="str">
        <f>IFERROR(__xludf.DUMMYFUNCTION("""COMPUTED_VALUE"""),"Componentes estructurales y de montaje")</f>
        <v>Componentes estructurales y de montaje</v>
      </c>
      <c r="M397" s="74" t="str">
        <f>IFERROR(__xludf.DUMMYFUNCTION("""COMPUTED_VALUE"""),"Sin Asignar")</f>
        <v>Sin Asignar</v>
      </c>
      <c r="N397" s="87">
        <f>IFERROR(__xludf.DUMMYFUNCTION("""COMPUTED_VALUE"""),0.0)</f>
        <v>0</v>
      </c>
      <c r="O397" s="74"/>
      <c r="P397" s="74" t="str">
        <f>IFERROR(__xludf.DUMMYFUNCTION("""COMPUTED_VALUE"""),"No Available")</f>
        <v>No Available</v>
      </c>
      <c r="Q397" s="74"/>
      <c r="R397" s="74"/>
      <c r="S397" s="87">
        <f>IFERROR(__xludf.DUMMYFUNCTION("""COMPUTED_VALUE"""),0.0)</f>
        <v>0</v>
      </c>
      <c r="T397" s="87">
        <f>IFERROR(__xludf.DUMMYFUNCTION("""COMPUTED_VALUE"""),0.0)</f>
        <v>0</v>
      </c>
      <c r="U397" s="87">
        <f>IFERROR(__xludf.DUMMYFUNCTION("""COMPUTED_VALUE"""),0.0)</f>
        <v>0</v>
      </c>
      <c r="V397" s="87">
        <f>IFERROR(__xludf.DUMMYFUNCTION("""COMPUTED_VALUE"""),0.0)</f>
        <v>0</v>
      </c>
      <c r="W397" s="87">
        <f>IFERROR(__xludf.DUMMYFUNCTION("""COMPUTED_VALUE"""),0.0)</f>
        <v>0</v>
      </c>
      <c r="X397" s="88"/>
      <c r="Y397" s="74"/>
      <c r="Z397" s="74"/>
    </row>
    <row r="398">
      <c r="B398" s="74" t="str">
        <f>IFERROR(__xludf.DUMMYFUNCTION("""COMPUTED_VALUE"""),"1395")</f>
        <v>1395</v>
      </c>
      <c r="C398" s="74"/>
      <c r="D398" s="74" t="str">
        <f>IFERROR(__xludf.DUMMYFUNCTION("""COMPUTED_VALUE"""),"\\MCA-S\mk\2_BM\0_BMat\08_PYM\Inventario\excel\Imagen de refacciones\Sistema tuberia\TUBO DE 5_ X 4 METROS MMCAL7")</f>
        <v>\\MCA-S\mk\2_BM\0_BMat\08_PYM\Inventario\excel\Imagen de refacciones\Sistema tuberia\TUBO DE 5_ X 4 METROS MMCAL7</v>
      </c>
      <c r="E398" s="74"/>
      <c r="F398" s="74" t="str">
        <f>IFERROR(__xludf.DUMMYFUNCTION("""COMPUTED_VALUE"""),"TUBO DE 5"" X 4 METROS MMCAL7")</f>
        <v>TUBO DE 5" X 4 METROS MMCAL7</v>
      </c>
      <c r="G398" s="74"/>
      <c r="H398" s="74"/>
      <c r="I398" s="74" t="str">
        <f>IFERROR(__xludf.DUMMYFUNCTION("""COMPUTED_VALUE"""),"T5X4C7MM")</f>
        <v>T5X4C7MM</v>
      </c>
      <c r="J398" s="74"/>
      <c r="K398" s="74" t="str">
        <f>IFERROR(__xludf.DUMMYFUNCTION("""COMPUTED_VALUE"""),"Tuberia")</f>
        <v>Tuberia</v>
      </c>
      <c r="L398" s="74" t="str">
        <f>IFERROR(__xludf.DUMMYFUNCTION("""COMPUTED_VALUE"""),"Componentes estructurales y de montaje")</f>
        <v>Componentes estructurales y de montaje</v>
      </c>
      <c r="M398" s="74" t="str">
        <f>IFERROR(__xludf.DUMMYFUNCTION("""COMPUTED_VALUE"""),"Sin Asignar")</f>
        <v>Sin Asignar</v>
      </c>
      <c r="N398" s="87">
        <f>IFERROR(__xludf.DUMMYFUNCTION("""COMPUTED_VALUE"""),0.0)</f>
        <v>0</v>
      </c>
      <c r="O398" s="74"/>
      <c r="P398" s="74" t="str">
        <f>IFERROR(__xludf.DUMMYFUNCTION("""COMPUTED_VALUE"""),"No Available")</f>
        <v>No Available</v>
      </c>
      <c r="Q398" s="74"/>
      <c r="R398" s="74"/>
      <c r="S398" s="87">
        <f>IFERROR(__xludf.DUMMYFUNCTION("""COMPUTED_VALUE"""),0.0)</f>
        <v>0</v>
      </c>
      <c r="T398" s="87">
        <f>IFERROR(__xludf.DUMMYFUNCTION("""COMPUTED_VALUE"""),0.0)</f>
        <v>0</v>
      </c>
      <c r="U398" s="87">
        <f>IFERROR(__xludf.DUMMYFUNCTION("""COMPUTED_VALUE"""),0.0)</f>
        <v>0</v>
      </c>
      <c r="V398" s="87">
        <f>IFERROR(__xludf.DUMMYFUNCTION("""COMPUTED_VALUE"""),0.0)</f>
        <v>0</v>
      </c>
      <c r="W398" s="87">
        <f>IFERROR(__xludf.DUMMYFUNCTION("""COMPUTED_VALUE"""),0.0)</f>
        <v>0</v>
      </c>
      <c r="X398" s="88"/>
      <c r="Y398" s="74"/>
      <c r="Z398" s="74"/>
    </row>
    <row r="399">
      <c r="B399" s="74" t="str">
        <f>IFERROR(__xludf.DUMMYFUNCTION("""COMPUTED_VALUE"""),"1396")</f>
        <v>1396</v>
      </c>
      <c r="C399" s="74"/>
      <c r="D399" s="74" t="str">
        <f>IFERROR(__xludf.DUMMYFUNCTION("""COMPUTED_VALUE"""),"\\MCA-S\mk\2_BM\0_BMat\08_PYM\Inventario\excel\Imagen de refacciones\Sistema tuberia\Tubo 5_ x 6 metros 5mm")</f>
        <v>\\MCA-S\mk\2_BM\0_BMat\08_PYM\Inventario\excel\Imagen de refacciones\Sistema tuberia\Tubo 5_ x 6 metros 5mm</v>
      </c>
      <c r="E399" s="74"/>
      <c r="F399" s="74" t="str">
        <f>IFERROR(__xludf.DUMMYFUNCTION("""COMPUTED_VALUE"""),"Tubo 5"" x 6 metros 5mm")</f>
        <v>Tubo 5" x 6 metros 5mm</v>
      </c>
      <c r="G399" s="74"/>
      <c r="H399" s="74"/>
      <c r="I399" s="74" t="str">
        <f>IFERROR(__xludf.DUMMYFUNCTION("""COMPUTED_VALUE"""),"T5X6C7MM")</f>
        <v>T5X6C7MM</v>
      </c>
      <c r="J399" s="74"/>
      <c r="K399" s="74" t="str">
        <f>IFERROR(__xludf.DUMMYFUNCTION("""COMPUTED_VALUE"""),"Tuberia")</f>
        <v>Tuberia</v>
      </c>
      <c r="L399" s="74" t="str">
        <f>IFERROR(__xludf.DUMMYFUNCTION("""COMPUTED_VALUE"""),"Componentes estructurales y de montaje")</f>
        <v>Componentes estructurales y de montaje</v>
      </c>
      <c r="M399" s="74" t="str">
        <f>IFERROR(__xludf.DUMMYFUNCTION("""COMPUTED_VALUE"""),"Sin Asignar")</f>
        <v>Sin Asignar</v>
      </c>
      <c r="N399" s="87">
        <f>IFERROR(__xludf.DUMMYFUNCTION("""COMPUTED_VALUE"""),0.0)</f>
        <v>0</v>
      </c>
      <c r="O399" s="74"/>
      <c r="P399" s="74" t="str">
        <f>IFERROR(__xludf.DUMMYFUNCTION("""COMPUTED_VALUE"""),"No Available")</f>
        <v>No Available</v>
      </c>
      <c r="Q399" s="74"/>
      <c r="R399" s="74"/>
      <c r="S399" s="87">
        <f>IFERROR(__xludf.DUMMYFUNCTION("""COMPUTED_VALUE"""),0.0)</f>
        <v>0</v>
      </c>
      <c r="T399" s="87">
        <f>IFERROR(__xludf.DUMMYFUNCTION("""COMPUTED_VALUE"""),0.0)</f>
        <v>0</v>
      </c>
      <c r="U399" s="87">
        <f>IFERROR(__xludf.DUMMYFUNCTION("""COMPUTED_VALUE"""),0.0)</f>
        <v>0</v>
      </c>
      <c r="V399" s="87">
        <f>IFERROR(__xludf.DUMMYFUNCTION("""COMPUTED_VALUE"""),0.0)</f>
        <v>0</v>
      </c>
      <c r="W399" s="87">
        <f>IFERROR(__xludf.DUMMYFUNCTION("""COMPUTED_VALUE"""),0.0)</f>
        <v>0</v>
      </c>
      <c r="X399" s="88"/>
      <c r="Y399" s="74"/>
      <c r="Z399" s="74"/>
    </row>
    <row r="400">
      <c r="B400" s="74" t="str">
        <f>IFERROR(__xludf.DUMMYFUNCTION("""COMPUTED_VALUE"""),"1397")</f>
        <v>1397</v>
      </c>
      <c r="C400" s="74" t="str">
        <f>IFERROR(__xludf.DUMMYFUNCTION("""COMPUTED_VALUE"""),"75045880365")</f>
        <v>75045880365</v>
      </c>
      <c r="D400" s="74" t="str">
        <f>IFERROR(__xludf.DUMMYFUNCTION("""COMPUTED_VALUE"""),"\\MCA-S\mk\2_BM\0_BMat\08_PYM\Inventario\excel\Imagen de refacciones\Sistema tuberia\Codo de 5_ x 90° - metrico")</f>
        <v>\\MCA-S\mk\2_BM\0_BMat\08_PYM\Inventario\excel\Imagen de refacciones\Sistema tuberia\Codo de 5_ x 90° - metrico</v>
      </c>
      <c r="E400" s="74"/>
      <c r="F400" s="74" t="str">
        <f>IFERROR(__xludf.DUMMYFUNCTION("""COMPUTED_VALUE"""),"Codo de 5"" x 90° - metrico")</f>
        <v>Codo de 5" x 90° - metrico</v>
      </c>
      <c r="G400" s="74"/>
      <c r="H400" s="74"/>
      <c r="I400" s="74" t="str">
        <f>IFERROR(__xludf.DUMMYFUNCTION("""COMPUTED_VALUE"""),"10010479")</f>
        <v>10010479</v>
      </c>
      <c r="J400" s="74"/>
      <c r="K400" s="74" t="str">
        <f>IFERROR(__xludf.DUMMYFUNCTION("""COMPUTED_VALUE"""),"Tuberia")</f>
        <v>Tuberia</v>
      </c>
      <c r="L400" s="74" t="str">
        <f>IFERROR(__xludf.DUMMYFUNCTION("""COMPUTED_VALUE"""),"Componentes estructurales y de montaje")</f>
        <v>Componentes estructurales y de montaje</v>
      </c>
      <c r="M400" s="74" t="str">
        <f>IFERROR(__xludf.DUMMYFUNCTION("""COMPUTED_VALUE"""),"Sin Asignar")</f>
        <v>Sin Asignar</v>
      </c>
      <c r="N400" s="87">
        <f>IFERROR(__xludf.DUMMYFUNCTION("""COMPUTED_VALUE"""),0.0)</f>
        <v>0</v>
      </c>
      <c r="O400" s="74"/>
      <c r="P400" s="74" t="str">
        <f>IFERROR(__xludf.DUMMYFUNCTION("""COMPUTED_VALUE"""),"No Available")</f>
        <v>No Available</v>
      </c>
      <c r="Q400" s="74"/>
      <c r="R400" s="74"/>
      <c r="S400" s="87">
        <f>IFERROR(__xludf.DUMMYFUNCTION("""COMPUTED_VALUE"""),0.0)</f>
        <v>0</v>
      </c>
      <c r="T400" s="87">
        <f>IFERROR(__xludf.DUMMYFUNCTION("""COMPUTED_VALUE"""),0.0)</f>
        <v>0</v>
      </c>
      <c r="U400" s="87">
        <f>IFERROR(__xludf.DUMMYFUNCTION("""COMPUTED_VALUE"""),0.0)</f>
        <v>0</v>
      </c>
      <c r="V400" s="87">
        <f>IFERROR(__xludf.DUMMYFUNCTION("""COMPUTED_VALUE"""),0.0)</f>
        <v>0</v>
      </c>
      <c r="W400" s="87">
        <f>IFERROR(__xludf.DUMMYFUNCTION("""COMPUTED_VALUE"""),0.0)</f>
        <v>0</v>
      </c>
      <c r="X400" s="88"/>
      <c r="Y400" s="74"/>
      <c r="Z400" s="74"/>
    </row>
    <row r="401">
      <c r="B401" s="74" t="str">
        <f>IFERROR(__xludf.DUMMYFUNCTION("""COMPUTED_VALUE"""),"1398")</f>
        <v>1398</v>
      </c>
      <c r="C401" s="74"/>
      <c r="D401" s="74" t="str">
        <f>IFERROR(__xludf.DUMMYFUNCTION("""COMPUTED_VALUE"""),"\\MCA-S\mk\2_BM\0_BMat\08_PYM\Inventario\excel\Imagen de refacciones\Sistema tuberia\CODO DE 5_X 90° METRICO")</f>
        <v>\\MCA-S\mk\2_BM\0_BMat\08_PYM\Inventario\excel\Imagen de refacciones\Sistema tuberia\CODO DE 5_X 90° METRICO</v>
      </c>
      <c r="E401" s="74"/>
      <c r="F401" s="74" t="str">
        <f>IFERROR(__xludf.DUMMYFUNCTION("""COMPUTED_VALUE"""),"CODO DE 5"" X 90° PARA BOMBA DE HORMIGON")</f>
        <v>CODO DE 5" X 90° PARA BOMBA DE HORMIGON</v>
      </c>
      <c r="G401" s="74"/>
      <c r="H401" s="74"/>
      <c r="I401" s="74" t="str">
        <f>IFERROR(__xludf.DUMMYFUNCTION("""COMPUTED_VALUE"""),"10010479")</f>
        <v>10010479</v>
      </c>
      <c r="J401" s="74"/>
      <c r="K401" s="74" t="str">
        <f>IFERROR(__xludf.DUMMYFUNCTION("""COMPUTED_VALUE"""),"Tuberia")</f>
        <v>Tuberia</v>
      </c>
      <c r="L401" s="74" t="str">
        <f>IFERROR(__xludf.DUMMYFUNCTION("""COMPUTED_VALUE"""),"Componentes estructurales y de montaje")</f>
        <v>Componentes estructurales y de montaje</v>
      </c>
      <c r="M401" s="74" t="str">
        <f>IFERROR(__xludf.DUMMYFUNCTION("""COMPUTED_VALUE"""),"Sin Asignar")</f>
        <v>Sin Asignar</v>
      </c>
      <c r="N401" s="87">
        <f>IFERROR(__xludf.DUMMYFUNCTION("""COMPUTED_VALUE"""),0.0)</f>
        <v>0</v>
      </c>
      <c r="O401" s="74"/>
      <c r="P401" s="74" t="str">
        <f>IFERROR(__xludf.DUMMYFUNCTION("""COMPUTED_VALUE"""),"No Available")</f>
        <v>No Available</v>
      </c>
      <c r="Q401" s="74"/>
      <c r="R401" s="74"/>
      <c r="S401" s="87">
        <f>IFERROR(__xludf.DUMMYFUNCTION("""COMPUTED_VALUE"""),0.0)</f>
        <v>0</v>
      </c>
      <c r="T401" s="87">
        <f>IFERROR(__xludf.DUMMYFUNCTION("""COMPUTED_VALUE"""),0.0)</f>
        <v>0</v>
      </c>
      <c r="U401" s="87">
        <f>IFERROR(__xludf.DUMMYFUNCTION("""COMPUTED_VALUE"""),0.0)</f>
        <v>0</v>
      </c>
      <c r="V401" s="87">
        <f>IFERROR(__xludf.DUMMYFUNCTION("""COMPUTED_VALUE"""),0.0)</f>
        <v>0</v>
      </c>
      <c r="W401" s="87">
        <f>IFERROR(__xludf.DUMMYFUNCTION("""COMPUTED_VALUE"""),0.0)</f>
        <v>0</v>
      </c>
      <c r="X401" s="88"/>
      <c r="Y401" s="74"/>
      <c r="Z401" s="74"/>
    </row>
    <row r="402">
      <c r="B402" s="74" t="str">
        <f>IFERROR(__xludf.DUMMYFUNCTION("""COMPUTED_VALUE"""),"1399")</f>
        <v>1399</v>
      </c>
      <c r="C402" s="74" t="str">
        <f>IFERROR(__xludf.DUMMYFUNCTION("""COMPUTED_VALUE"""),"75045880260")</f>
        <v>75045880260</v>
      </c>
      <c r="D402" s="74" t="str">
        <f>IFERROR(__xludf.DUMMYFUNCTION("""COMPUTED_VALUE"""),"\\MCA-S\mk\2_BM\0_BMat\08_PYM\Inventario\excel\Imagen de refacciones\Sistema tuberia\Codo de 5_ x 90° - metrico Twin wall")</f>
        <v>\\MCA-S\mk\2_BM\0_BMat\08_PYM\Inventario\excel\Imagen de refacciones\Sistema tuberia\Codo de 5_ x 90° - metrico Twin wall</v>
      </c>
      <c r="E402" s="74" t="str">
        <f>IFERROR(__xludf.DUMMYFUNCTION("""COMPUTED_VALUE"""),"ELBOW MET. TWIN WALL DN125 R275 5""x90° 80000m3")</f>
        <v>ELBOW MET. TWIN WALL DN125 R275 5"x90° 80000m3</v>
      </c>
      <c r="F402" s="74" t="str">
        <f>IFERROR(__xludf.DUMMYFUNCTION("""COMPUTED_VALUE"""),"CODO MET. DOBLE CAPA DN125 R275 5""x90° 80000m3")</f>
        <v>CODO MET. DOBLE CAPA DN125 R275 5"x90° 80000m3</v>
      </c>
      <c r="G402" s="74"/>
      <c r="H402" s="74" t="str">
        <f>IFERROR(__xludf.DUMMYFUNCTION("""COMPUTED_VALUE"""),"CODO DE 5"" X 90° PARA BOMBA DE HORMIGON")</f>
        <v>CODO DE 5" X 90° PARA BOMBA DE HORMIGON</v>
      </c>
      <c r="I402" s="74" t="str">
        <f>IFERROR(__xludf.DUMMYFUNCTION("""COMPUTED_VALUE"""),"10081212")</f>
        <v>10081212</v>
      </c>
      <c r="J402" s="74"/>
      <c r="K402" s="74" t="str">
        <f>IFERROR(__xludf.DUMMYFUNCTION("""COMPUTED_VALUE"""),"Tuberia")</f>
        <v>Tuberia</v>
      </c>
      <c r="L402" s="74" t="str">
        <f>IFERROR(__xludf.DUMMYFUNCTION("""COMPUTED_VALUE"""),"TUBERIA ACERO")</f>
        <v>TUBERIA ACERO</v>
      </c>
      <c r="M402" s="74" t="str">
        <f>IFERROR(__xludf.DUMMYFUNCTION("""COMPUTED_VALUE"""),"TUBOS")</f>
        <v>TUBOS</v>
      </c>
      <c r="N402" s="87">
        <f>IFERROR(__xludf.DUMMYFUNCTION("""COMPUTED_VALUE"""),1687.2)</f>
        <v>1687.2</v>
      </c>
      <c r="O402" s="74">
        <f>IFERROR(__xludf.DUMMYFUNCTION("""COMPUTED_VALUE"""),30.0)</f>
        <v>30</v>
      </c>
      <c r="P402" s="74" t="str">
        <f>IFERROR(__xludf.DUMMYFUNCTION("""COMPUTED_VALUE"""),"In stock")</f>
        <v>In stock</v>
      </c>
      <c r="Q402" s="74"/>
      <c r="R402" s="74"/>
      <c r="S402" s="87">
        <f>IFERROR(__xludf.DUMMYFUNCTION("""COMPUTED_VALUE"""),38.0)</f>
        <v>38</v>
      </c>
      <c r="T402" s="87">
        <f>IFERROR(__xludf.DUMMYFUNCTION("""COMPUTED_VALUE"""),95.0)</f>
        <v>95</v>
      </c>
      <c r="U402" s="87">
        <f>IFERROR(__xludf.DUMMYFUNCTION("""COMPUTED_VALUE"""),91.2)</f>
        <v>91.2</v>
      </c>
      <c r="V402" s="87">
        <f>IFERROR(__xludf.DUMMYFUNCTION("""COMPUTED_VALUE"""),46.55)</f>
        <v>46.55</v>
      </c>
      <c r="W402" s="87">
        <f>IFERROR(__xludf.DUMMYFUNCTION("""COMPUTED_VALUE"""),872.8125)</f>
        <v>872.8125</v>
      </c>
      <c r="X402" s="88">
        <f>IFERROR(__xludf.DUMMYFUNCTION("""COMPUTED_VALUE"""),2.4)</f>
        <v>2.4</v>
      </c>
      <c r="Y402" s="74"/>
      <c r="Z402" s="74"/>
    </row>
    <row r="403">
      <c r="B403" s="74" t="str">
        <f>IFERROR(__xludf.DUMMYFUNCTION("""COMPUTED_VALUE"""),"1400")</f>
        <v>1400</v>
      </c>
      <c r="C403" s="74" t="str">
        <f>IFERROR(__xludf.DUMMYFUNCTION("""COMPUTED_VALUE"""),"75045880317")</f>
        <v>75045880317</v>
      </c>
      <c r="D403" s="74" t="str">
        <f>IFERROR(__xludf.DUMMYFUNCTION("""COMPUTED_VALUE"""),"\\MCA-S\mk\2_BM\0_BMat\08_PYM\Inventario\excel\Imagen de refacciones\Sistema tuberia\COOO DE 5_X 45°-METRICO")</f>
        <v>\\MCA-S\mk\2_BM\0_BMat\08_PYM\Inventario\excel\Imagen de refacciones\Sistema tuberia\COOO DE 5_X 45°-METRICO</v>
      </c>
      <c r="E403" s="74" t="str">
        <f>IFERROR(__xludf.DUMMYFUNCTION("""COMPUTED_VALUE"""),"ELBOW MET. TWIN WALL DN125 R275 5""x45° 80000m3")</f>
        <v>ELBOW MET. TWIN WALL DN125 R275 5"x45° 80000m3</v>
      </c>
      <c r="F403" s="74" t="str">
        <f>IFERROR(__xludf.DUMMYFUNCTION("""COMPUTED_VALUE"""),"CODO MET. DOBLE CAPA DN125 R275 5""x45° 80000m3")</f>
        <v>CODO MET. DOBLE CAPA DN125 R275 5"x45° 80000m3</v>
      </c>
      <c r="G403" s="74"/>
      <c r="H403" s="74" t="str">
        <f>IFERROR(__xludf.DUMMYFUNCTION("""COMPUTED_VALUE"""),"CODO DE 5"" X 45° PARA BOMBA DE HORMIGON")</f>
        <v>CODO DE 5" X 45° PARA BOMBA DE HORMIGON</v>
      </c>
      <c r="I403" s="74" t="str">
        <f>IFERROR(__xludf.DUMMYFUNCTION("""COMPUTED_VALUE"""),"10014526")</f>
        <v>10014526</v>
      </c>
      <c r="J403" s="74"/>
      <c r="K403" s="74" t="str">
        <f>IFERROR(__xludf.DUMMYFUNCTION("""COMPUTED_VALUE"""),"Tuberia")</f>
        <v>Tuberia</v>
      </c>
      <c r="L403" s="74" t="str">
        <f>IFERROR(__xludf.DUMMYFUNCTION("""COMPUTED_VALUE"""),"TUBERIA ACERO")</f>
        <v>TUBERIA ACERO</v>
      </c>
      <c r="M403" s="74" t="str">
        <f>IFERROR(__xludf.DUMMYFUNCTION("""COMPUTED_VALUE"""),"TUBOS")</f>
        <v>TUBOS</v>
      </c>
      <c r="N403" s="87">
        <f>IFERROR(__xludf.DUMMYFUNCTION("""COMPUTED_VALUE"""),1154.3999999999999)</f>
        <v>1154.4</v>
      </c>
      <c r="O403" s="74">
        <f>IFERROR(__xludf.DUMMYFUNCTION("""COMPUTED_VALUE"""),10.0)</f>
        <v>10</v>
      </c>
      <c r="P403" s="74" t="str">
        <f>IFERROR(__xludf.DUMMYFUNCTION("""COMPUTED_VALUE"""),"In stock")</f>
        <v>In stock</v>
      </c>
      <c r="Q403" s="74"/>
      <c r="R403" s="74"/>
      <c r="S403" s="87">
        <f>IFERROR(__xludf.DUMMYFUNCTION("""COMPUTED_VALUE"""),25.0)</f>
        <v>25</v>
      </c>
      <c r="T403" s="87">
        <f>IFERROR(__xludf.DUMMYFUNCTION("""COMPUTED_VALUE"""),65.0)</f>
        <v>65</v>
      </c>
      <c r="U403" s="87">
        <f>IFERROR(__xludf.DUMMYFUNCTION("""COMPUTED_VALUE"""),62.4)</f>
        <v>62.4</v>
      </c>
      <c r="V403" s="87">
        <f>IFERROR(__xludf.DUMMYFUNCTION("""COMPUTED_VALUE"""),30.625)</f>
        <v>30.625</v>
      </c>
      <c r="W403" s="87">
        <f>IFERROR(__xludf.DUMMYFUNCTION("""COMPUTED_VALUE"""),574.21875)</f>
        <v>574.21875</v>
      </c>
      <c r="X403" s="88">
        <f>IFERROR(__xludf.DUMMYFUNCTION("""COMPUTED_VALUE"""),2.496)</f>
        <v>2.496</v>
      </c>
      <c r="Y403" s="74"/>
      <c r="Z403" s="74"/>
    </row>
    <row r="404">
      <c r="B404" s="74" t="str">
        <f>IFERROR(__xludf.DUMMYFUNCTION("""COMPUTED_VALUE"""),"1401")</f>
        <v>1401</v>
      </c>
      <c r="C404" s="74"/>
      <c r="D404" s="74" t="str">
        <f>IFERROR(__xludf.DUMMYFUNCTION("""COMPUTED_VALUE"""),"\\MCA-S\mk\2_BM\0_BMat\08_PYM\Inventario\excel\Imagen de refacciones\Sistema tuberia\COOO DE 5_X 90° - HD")</f>
        <v>\\MCA-S\mk\2_BM\0_BMat\08_PYM\Inventario\excel\Imagen de refacciones\Sistema tuberia\COOO DE 5_X 90° - HD</v>
      </c>
      <c r="E404" s="74"/>
      <c r="F404" s="74" t="str">
        <f>IFERROR(__xludf.DUMMYFUNCTION("""COMPUTED_VALUE"""),"COOO DE 5""X 90° - HD")</f>
        <v>COOO DE 5"X 90° - HD</v>
      </c>
      <c r="G404" s="74"/>
      <c r="H404" s="74"/>
      <c r="I404" s="74" t="str">
        <f>IFERROR(__xludf.DUMMYFUNCTION("""COMPUTED_VALUE"""),"30316477")</f>
        <v>30316477</v>
      </c>
      <c r="J404" s="74"/>
      <c r="K404" s="74" t="str">
        <f>IFERROR(__xludf.DUMMYFUNCTION("""COMPUTED_VALUE"""),"Tuberia")</f>
        <v>Tuberia</v>
      </c>
      <c r="L404" s="74" t="str">
        <f>IFERROR(__xludf.DUMMYFUNCTION("""COMPUTED_VALUE"""),"Componentes estructurales y de montaje")</f>
        <v>Componentes estructurales y de montaje</v>
      </c>
      <c r="M404" s="74" t="str">
        <f>IFERROR(__xludf.DUMMYFUNCTION("""COMPUTED_VALUE"""),"Sin Asignar")</f>
        <v>Sin Asignar</v>
      </c>
      <c r="N404" s="87">
        <f>IFERROR(__xludf.DUMMYFUNCTION("""COMPUTED_VALUE"""),0.0)</f>
        <v>0</v>
      </c>
      <c r="O404" s="74"/>
      <c r="P404" s="74" t="str">
        <f>IFERROR(__xludf.DUMMYFUNCTION("""COMPUTED_VALUE"""),"No Available")</f>
        <v>No Available</v>
      </c>
      <c r="Q404" s="74"/>
      <c r="R404" s="74"/>
      <c r="S404" s="87">
        <f>IFERROR(__xludf.DUMMYFUNCTION("""COMPUTED_VALUE"""),0.0)</f>
        <v>0</v>
      </c>
      <c r="T404" s="87">
        <f>IFERROR(__xludf.DUMMYFUNCTION("""COMPUTED_VALUE"""),0.0)</f>
        <v>0</v>
      </c>
      <c r="U404" s="87">
        <f>IFERROR(__xludf.DUMMYFUNCTION("""COMPUTED_VALUE"""),0.0)</f>
        <v>0</v>
      </c>
      <c r="V404" s="87">
        <f>IFERROR(__xludf.DUMMYFUNCTION("""COMPUTED_VALUE"""),0.0)</f>
        <v>0</v>
      </c>
      <c r="W404" s="87">
        <f>IFERROR(__xludf.DUMMYFUNCTION("""COMPUTED_VALUE"""),0.0)</f>
        <v>0</v>
      </c>
      <c r="X404" s="88"/>
      <c r="Y404" s="74"/>
      <c r="Z404" s="74"/>
    </row>
    <row r="405">
      <c r="B405" s="74" t="str">
        <f>IFERROR(__xludf.DUMMYFUNCTION("""COMPUTED_VALUE"""),"1402")</f>
        <v>1402</v>
      </c>
      <c r="C405" s="74"/>
      <c r="D405" s="74" t="str">
        <f>IFERROR(__xludf.DUMMYFUNCTION("""COMPUTED_VALUE"""),"\\MCA-S\mk\2_BM\0_BMat\08_PYM\Inventario\excel\Imagen de refacciones\Sistema tuberia\CODO DE 5_X 30° MM")</f>
        <v>\\MCA-S\mk\2_BM\0_BMat\08_PYM\Inventario\excel\Imagen de refacciones\Sistema tuberia\CODO DE 5_X 30° MM</v>
      </c>
      <c r="E405" s="74"/>
      <c r="F405" s="74" t="str">
        <f>IFERROR(__xludf.DUMMYFUNCTION("""COMPUTED_VALUE"""),"CODO DE 5""X 30° MM")</f>
        <v>CODO DE 5"X 30° MM</v>
      </c>
      <c r="G405" s="74"/>
      <c r="H405" s="74"/>
      <c r="I405" s="74" t="str">
        <f>IFERROR(__xludf.DUMMYFUNCTION("""COMPUTED_VALUE"""),"258935008")</f>
        <v>258935008</v>
      </c>
      <c r="J405" s="74"/>
      <c r="K405" s="74" t="str">
        <f>IFERROR(__xludf.DUMMYFUNCTION("""COMPUTED_VALUE"""),"Tuberia")</f>
        <v>Tuberia</v>
      </c>
      <c r="L405" s="74" t="str">
        <f>IFERROR(__xludf.DUMMYFUNCTION("""COMPUTED_VALUE"""),"Componentes estructurales y de montaje")</f>
        <v>Componentes estructurales y de montaje</v>
      </c>
      <c r="M405" s="74" t="str">
        <f>IFERROR(__xludf.DUMMYFUNCTION("""COMPUTED_VALUE"""),"Sin Asignar")</f>
        <v>Sin Asignar</v>
      </c>
      <c r="N405" s="87">
        <f>IFERROR(__xludf.DUMMYFUNCTION("""COMPUTED_VALUE"""),0.0)</f>
        <v>0</v>
      </c>
      <c r="O405" s="74"/>
      <c r="P405" s="74" t="str">
        <f>IFERROR(__xludf.DUMMYFUNCTION("""COMPUTED_VALUE"""),"No Available")</f>
        <v>No Available</v>
      </c>
      <c r="Q405" s="74"/>
      <c r="R405" s="74"/>
      <c r="S405" s="87">
        <f>IFERROR(__xludf.DUMMYFUNCTION("""COMPUTED_VALUE"""),0.0)</f>
        <v>0</v>
      </c>
      <c r="T405" s="87">
        <f>IFERROR(__xludf.DUMMYFUNCTION("""COMPUTED_VALUE"""),0.0)</f>
        <v>0</v>
      </c>
      <c r="U405" s="87">
        <f>IFERROR(__xludf.DUMMYFUNCTION("""COMPUTED_VALUE"""),0.0)</f>
        <v>0</v>
      </c>
      <c r="V405" s="87">
        <f>IFERROR(__xludf.DUMMYFUNCTION("""COMPUTED_VALUE"""),0.0)</f>
        <v>0</v>
      </c>
      <c r="W405" s="87">
        <f>IFERROR(__xludf.DUMMYFUNCTION("""COMPUTED_VALUE"""),0.0)</f>
        <v>0</v>
      </c>
      <c r="X405" s="88"/>
      <c r="Y405" s="74"/>
      <c r="Z405" s="74"/>
    </row>
    <row r="406">
      <c r="B406" s="74" t="str">
        <f>IFERROR(__xludf.DUMMYFUNCTION("""COMPUTED_VALUE"""),"1403")</f>
        <v>1403</v>
      </c>
      <c r="C406" s="74" t="str">
        <f>IFERROR(__xludf.DUMMYFUNCTION("""COMPUTED_VALUE"""),"75045880366")</f>
        <v>75045880366</v>
      </c>
      <c r="D406" s="74" t="str">
        <f>IFERROR(__xludf.DUMMYFUNCTION("""COMPUTED_VALUE"""),"\\MCA-S\mk\2_BM\0_BMat\08_PYM\Inventario\excel\Imagen de refacciones\Sistema tuberia\Codo de 3_ x 45° HD")</f>
        <v>\\MCA-S\mk\2_BM\0_BMat\08_PYM\Inventario\excel\Imagen de refacciones\Sistema tuberia\Codo de 3_ x 45° HD</v>
      </c>
      <c r="E406" s="74"/>
      <c r="F406" s="74" t="str">
        <f>IFERROR(__xludf.DUMMYFUNCTION("""COMPUTED_VALUE"""),"Codo de 3"" x 45° HD")</f>
        <v>Codo de 3" x 45° HD</v>
      </c>
      <c r="G406" s="74"/>
      <c r="H406" s="74"/>
      <c r="I406" s="74" t="str">
        <f>IFERROR(__xludf.DUMMYFUNCTION("""COMPUTED_VALUE"""),"303523X45")</f>
        <v>303523X45</v>
      </c>
      <c r="J406" s="74"/>
      <c r="K406" s="74" t="str">
        <f>IFERROR(__xludf.DUMMYFUNCTION("""COMPUTED_VALUE"""),"Tuberia")</f>
        <v>Tuberia</v>
      </c>
      <c r="L406" s="74" t="str">
        <f>IFERROR(__xludf.DUMMYFUNCTION("""COMPUTED_VALUE"""),"Componentes estructurales y de montaje")</f>
        <v>Componentes estructurales y de montaje</v>
      </c>
      <c r="M406" s="74" t="str">
        <f>IFERROR(__xludf.DUMMYFUNCTION("""COMPUTED_VALUE"""),"Sin Asignar")</f>
        <v>Sin Asignar</v>
      </c>
      <c r="N406" s="87">
        <f>IFERROR(__xludf.DUMMYFUNCTION("""COMPUTED_VALUE"""),0.0)</f>
        <v>0</v>
      </c>
      <c r="O406" s="74"/>
      <c r="P406" s="74" t="str">
        <f>IFERROR(__xludf.DUMMYFUNCTION("""COMPUTED_VALUE"""),"No Available")</f>
        <v>No Available</v>
      </c>
      <c r="Q406" s="74"/>
      <c r="R406" s="74"/>
      <c r="S406" s="87">
        <f>IFERROR(__xludf.DUMMYFUNCTION("""COMPUTED_VALUE"""),0.0)</f>
        <v>0</v>
      </c>
      <c r="T406" s="87">
        <f>IFERROR(__xludf.DUMMYFUNCTION("""COMPUTED_VALUE"""),0.0)</f>
        <v>0</v>
      </c>
      <c r="U406" s="87">
        <f>IFERROR(__xludf.DUMMYFUNCTION("""COMPUTED_VALUE"""),0.0)</f>
        <v>0</v>
      </c>
      <c r="V406" s="87">
        <f>IFERROR(__xludf.DUMMYFUNCTION("""COMPUTED_VALUE"""),0.0)</f>
        <v>0</v>
      </c>
      <c r="W406" s="87">
        <f>IFERROR(__xludf.DUMMYFUNCTION("""COMPUTED_VALUE"""),0.0)</f>
        <v>0</v>
      </c>
      <c r="X406" s="88"/>
      <c r="Y406" s="74"/>
      <c r="Z406" s="74"/>
    </row>
    <row r="407">
      <c r="B407" s="74" t="str">
        <f>IFERROR(__xludf.DUMMYFUNCTION("""COMPUTED_VALUE"""),"1404")</f>
        <v>1404</v>
      </c>
      <c r="C407" s="74" t="str">
        <f>IFERROR(__xludf.DUMMYFUNCTION("""COMPUTED_VALUE"""),"75045880367")</f>
        <v>75045880367</v>
      </c>
      <c r="D407" s="74" t="str">
        <f>IFERROR(__xludf.DUMMYFUNCTION("""COMPUTED_VALUE"""),"\\MCA-S\mk\2_BM\0_BMat\08_PYM\Inventario\excel\Imagen de refacciones\Sistema tuberia\COOO DE 3_X 90_ HD")</f>
        <v>\\MCA-S\mk\2_BM\0_BMat\08_PYM\Inventario\excel\Imagen de refacciones\Sistema tuberia\COOO DE 3_X 90_ HD</v>
      </c>
      <c r="E407" s="74"/>
      <c r="F407" s="74" t="str">
        <f>IFERROR(__xludf.DUMMYFUNCTION("""COMPUTED_VALUE"""),"COOO DE 3""X 90* HD")</f>
        <v>COOO DE 3"X 90* HD</v>
      </c>
      <c r="G407" s="74"/>
      <c r="H407" s="74"/>
      <c r="I407" s="74" t="str">
        <f>IFERROR(__xludf.DUMMYFUNCTION("""COMPUTED_VALUE"""),"303523X90")</f>
        <v>303523X90</v>
      </c>
      <c r="J407" s="74"/>
      <c r="K407" s="74" t="str">
        <f>IFERROR(__xludf.DUMMYFUNCTION("""COMPUTED_VALUE"""),"Tuberia")</f>
        <v>Tuberia</v>
      </c>
      <c r="L407" s="74" t="str">
        <f>IFERROR(__xludf.DUMMYFUNCTION("""COMPUTED_VALUE"""),"Componentes estructurales y de montaje")</f>
        <v>Componentes estructurales y de montaje</v>
      </c>
      <c r="M407" s="74" t="str">
        <f>IFERROR(__xludf.DUMMYFUNCTION("""COMPUTED_VALUE"""),"Sin Asignar")</f>
        <v>Sin Asignar</v>
      </c>
      <c r="N407" s="87">
        <f>IFERROR(__xludf.DUMMYFUNCTION("""COMPUTED_VALUE"""),0.0)</f>
        <v>0</v>
      </c>
      <c r="O407" s="74"/>
      <c r="P407" s="74" t="str">
        <f>IFERROR(__xludf.DUMMYFUNCTION("""COMPUTED_VALUE"""),"No Available")</f>
        <v>No Available</v>
      </c>
      <c r="Q407" s="74"/>
      <c r="R407" s="74"/>
      <c r="S407" s="87">
        <f>IFERROR(__xludf.DUMMYFUNCTION("""COMPUTED_VALUE"""),0.0)</f>
        <v>0</v>
      </c>
      <c r="T407" s="87">
        <f>IFERROR(__xludf.DUMMYFUNCTION("""COMPUTED_VALUE"""),0.0)</f>
        <v>0</v>
      </c>
      <c r="U407" s="87">
        <f>IFERROR(__xludf.DUMMYFUNCTION("""COMPUTED_VALUE"""),0.0)</f>
        <v>0</v>
      </c>
      <c r="V407" s="87">
        <f>IFERROR(__xludf.DUMMYFUNCTION("""COMPUTED_VALUE"""),0.0)</f>
        <v>0</v>
      </c>
      <c r="W407" s="87">
        <f>IFERROR(__xludf.DUMMYFUNCTION("""COMPUTED_VALUE"""),0.0)</f>
        <v>0</v>
      </c>
      <c r="X407" s="88"/>
      <c r="Y407" s="74"/>
      <c r="Z407" s="74"/>
    </row>
    <row r="408">
      <c r="B408" s="74" t="str">
        <f>IFERROR(__xludf.DUMMYFUNCTION("""COMPUTED_VALUE"""),"1405")</f>
        <v>1405</v>
      </c>
      <c r="C408" s="74" t="str">
        <f>IFERROR(__xludf.DUMMYFUNCTION("""COMPUTED_VALUE"""),"75045880368")</f>
        <v>75045880368</v>
      </c>
      <c r="D408" s="74" t="str">
        <f>IFERROR(__xludf.DUMMYFUNCTION("""COMPUTED_VALUE"""),"\\MCA-S\mk\2_BM\0_BMat\08_PYM\Inventario\excel\Imagen de refacciones\Sistema tuberia\CODO DE 3-X 90-HD RADIO LARGO (R30010)")</f>
        <v>\\MCA-S\mk\2_BM\0_BMat\08_PYM\Inventario\excel\Imagen de refacciones\Sistema tuberia\CODO DE 3-X 90-HD RADIO LARGO (R30010)</v>
      </c>
      <c r="E408" s="74"/>
      <c r="F408" s="74" t="str">
        <f>IFERROR(__xludf.DUMMYFUNCTION("""COMPUTED_VALUE"""),"CODO DE 3-X 90-HD RADIO LARGO (R30010)")</f>
        <v>CODO DE 3-X 90-HD RADIO LARGO (R30010)</v>
      </c>
      <c r="G408" s="74"/>
      <c r="H408" s="74"/>
      <c r="I408" s="74" t="str">
        <f>IFERROR(__xludf.DUMMYFUNCTION("""COMPUTED_VALUE"""),"30316477RL")</f>
        <v>30316477RL</v>
      </c>
      <c r="J408" s="74"/>
      <c r="K408" s="74" t="str">
        <f>IFERROR(__xludf.DUMMYFUNCTION("""COMPUTED_VALUE"""),"Tuberia")</f>
        <v>Tuberia</v>
      </c>
      <c r="L408" s="74" t="str">
        <f>IFERROR(__xludf.DUMMYFUNCTION("""COMPUTED_VALUE"""),"Componentes estructurales y de montaje")</f>
        <v>Componentes estructurales y de montaje</v>
      </c>
      <c r="M408" s="74" t="str">
        <f>IFERROR(__xludf.DUMMYFUNCTION("""COMPUTED_VALUE"""),"Sin Asignar")</f>
        <v>Sin Asignar</v>
      </c>
      <c r="N408" s="87">
        <f>IFERROR(__xludf.DUMMYFUNCTION("""COMPUTED_VALUE"""),0.0)</f>
        <v>0</v>
      </c>
      <c r="O408" s="74"/>
      <c r="P408" s="74" t="str">
        <f>IFERROR(__xludf.DUMMYFUNCTION("""COMPUTED_VALUE"""),"No Available")</f>
        <v>No Available</v>
      </c>
      <c r="Q408" s="74"/>
      <c r="R408" s="74"/>
      <c r="S408" s="87">
        <f>IFERROR(__xludf.DUMMYFUNCTION("""COMPUTED_VALUE"""),0.0)</f>
        <v>0</v>
      </c>
      <c r="T408" s="87">
        <f>IFERROR(__xludf.DUMMYFUNCTION("""COMPUTED_VALUE"""),0.0)</f>
        <v>0</v>
      </c>
      <c r="U408" s="87">
        <f>IFERROR(__xludf.DUMMYFUNCTION("""COMPUTED_VALUE"""),0.0)</f>
        <v>0</v>
      </c>
      <c r="V408" s="87">
        <f>IFERROR(__xludf.DUMMYFUNCTION("""COMPUTED_VALUE"""),0.0)</f>
        <v>0</v>
      </c>
      <c r="W408" s="87">
        <f>IFERROR(__xludf.DUMMYFUNCTION("""COMPUTED_VALUE"""),0.0)</f>
        <v>0</v>
      </c>
      <c r="X408" s="88"/>
      <c r="Y408" s="74"/>
      <c r="Z408" s="74"/>
    </row>
    <row r="409">
      <c r="B409" s="74" t="str">
        <f>IFERROR(__xludf.DUMMYFUNCTION("""COMPUTED_VALUE"""),"1406")</f>
        <v>1406</v>
      </c>
      <c r="C409" s="74" t="str">
        <f>IFERROR(__xludf.DUMMYFUNCTION("""COMPUTED_VALUE"""),"75045880322")</f>
        <v>75045880322</v>
      </c>
      <c r="D409" s="74" t="str">
        <f>IFERROR(__xludf.DUMMYFUNCTION("""COMPUTED_VALUE"""),"\\MCA-S\mk\2_BM\0_BMat\08_PYM\Inventario\excel\Imagen de refacciones\Sistema tuberia\REDUCTOR DE 6_ X 5_ X 1240 MM")</f>
        <v>\\MCA-S\mk\2_BM\0_BMat\08_PYM\Inventario\excel\Imagen de refacciones\Sistema tuberia\REDUCTOR DE 6_ X 5_ X 1240 MM</v>
      </c>
      <c r="E409" s="74"/>
      <c r="F409" s="74" t="str">
        <f>IFERROR(__xludf.DUMMYFUNCTION("""COMPUTED_VALUE"""),"REDUCTOR DE 6"" X 5"" X 1240 MM")</f>
        <v>REDUCTOR DE 6" X 5" X 1240 MM</v>
      </c>
      <c r="G409" s="74"/>
      <c r="H409" s="74"/>
      <c r="I409" s="74" t="str">
        <f>IFERROR(__xludf.DUMMYFUNCTION("""COMPUTED_VALUE"""),"10011748")</f>
        <v>10011748</v>
      </c>
      <c r="J409" s="74"/>
      <c r="K409" s="74" t="str">
        <f>IFERROR(__xludf.DUMMYFUNCTION("""COMPUTED_VALUE"""),"Tuberia")</f>
        <v>Tuberia</v>
      </c>
      <c r="L409" s="74" t="str">
        <f>IFERROR(__xludf.DUMMYFUNCTION("""COMPUTED_VALUE"""),"Componentes estructurales y de montaje")</f>
        <v>Componentes estructurales y de montaje</v>
      </c>
      <c r="M409" s="74" t="str">
        <f>IFERROR(__xludf.DUMMYFUNCTION("""COMPUTED_VALUE"""),"Sin Asignar")</f>
        <v>Sin Asignar</v>
      </c>
      <c r="N409" s="87">
        <f>IFERROR(__xludf.DUMMYFUNCTION("""COMPUTED_VALUE"""),0.0)</f>
        <v>0</v>
      </c>
      <c r="O409" s="74"/>
      <c r="P409" s="74" t="str">
        <f>IFERROR(__xludf.DUMMYFUNCTION("""COMPUTED_VALUE"""),"No Available")</f>
        <v>No Available</v>
      </c>
      <c r="Q409" s="74"/>
      <c r="R409" s="74"/>
      <c r="S409" s="87">
        <f>IFERROR(__xludf.DUMMYFUNCTION("""COMPUTED_VALUE"""),0.0)</f>
        <v>0</v>
      </c>
      <c r="T409" s="87">
        <f>IFERROR(__xludf.DUMMYFUNCTION("""COMPUTED_VALUE"""),0.0)</f>
        <v>0</v>
      </c>
      <c r="U409" s="87">
        <f>IFERROR(__xludf.DUMMYFUNCTION("""COMPUTED_VALUE"""),0.0)</f>
        <v>0</v>
      </c>
      <c r="V409" s="87">
        <f>IFERROR(__xludf.DUMMYFUNCTION("""COMPUTED_VALUE"""),0.0)</f>
        <v>0</v>
      </c>
      <c r="W409" s="87">
        <f>IFERROR(__xludf.DUMMYFUNCTION("""COMPUTED_VALUE"""),0.0)</f>
        <v>0</v>
      </c>
      <c r="X409" s="88"/>
      <c r="Y409" s="74"/>
      <c r="Z409" s="74"/>
    </row>
    <row r="410">
      <c r="B410" s="74" t="str">
        <f>IFERROR(__xludf.DUMMYFUNCTION("""COMPUTED_VALUE"""),"1407")</f>
        <v>1407</v>
      </c>
      <c r="C410" s="74" t="str">
        <f>IFERROR(__xludf.DUMMYFUNCTION("""COMPUTED_VALUE"""),"75045880323")</f>
        <v>75045880323</v>
      </c>
      <c r="D410" s="74" t="str">
        <f>IFERROR(__xludf.DUMMYFUNCTION("""COMPUTED_VALUE"""),"\\MCA-S\mk\2_BM\0_BMat\08_PYM\Inventario\excel\Imagen de refacciones\Sistema tuberia\REDUCTOR DE 6_ X 5_ HD X 1260MM")</f>
        <v>\\MCA-S\mk\2_BM\0_BMat\08_PYM\Inventario\excel\Imagen de refacciones\Sistema tuberia\REDUCTOR DE 6_ X 5_ HD X 1260MM</v>
      </c>
      <c r="E410" s="74"/>
      <c r="F410" s="74" t="str">
        <f>IFERROR(__xludf.DUMMYFUNCTION("""COMPUTED_VALUE"""),"REDUCTOR DE 6"" X 5"" HD X 1260MM")</f>
        <v>REDUCTOR DE 6" X 5" HD X 1260MM</v>
      </c>
      <c r="G410" s="74"/>
      <c r="H410" s="74"/>
      <c r="I410" s="74" t="str">
        <f>IFERROR(__xludf.DUMMYFUNCTION("""COMPUTED_VALUE"""),"10911842")</f>
        <v>10911842</v>
      </c>
      <c r="J410" s="74"/>
      <c r="K410" s="74" t="str">
        <f>IFERROR(__xludf.DUMMYFUNCTION("""COMPUTED_VALUE"""),"Tuberia")</f>
        <v>Tuberia</v>
      </c>
      <c r="L410" s="74" t="str">
        <f>IFERROR(__xludf.DUMMYFUNCTION("""COMPUTED_VALUE"""),"Componentes estructurales y de montaje")</f>
        <v>Componentes estructurales y de montaje</v>
      </c>
      <c r="M410" s="74" t="str">
        <f>IFERROR(__xludf.DUMMYFUNCTION("""COMPUTED_VALUE"""),"Sin Asignar")</f>
        <v>Sin Asignar</v>
      </c>
      <c r="N410" s="87">
        <f>IFERROR(__xludf.DUMMYFUNCTION("""COMPUTED_VALUE"""),0.0)</f>
        <v>0</v>
      </c>
      <c r="O410" s="74"/>
      <c r="P410" s="74" t="str">
        <f>IFERROR(__xludf.DUMMYFUNCTION("""COMPUTED_VALUE"""),"No Available")</f>
        <v>No Available</v>
      </c>
      <c r="Q410" s="74"/>
      <c r="R410" s="74"/>
      <c r="S410" s="87">
        <f>IFERROR(__xludf.DUMMYFUNCTION("""COMPUTED_VALUE"""),0.0)</f>
        <v>0</v>
      </c>
      <c r="T410" s="87">
        <f>IFERROR(__xludf.DUMMYFUNCTION("""COMPUTED_VALUE"""),0.0)</f>
        <v>0</v>
      </c>
      <c r="U410" s="87">
        <f>IFERROR(__xludf.DUMMYFUNCTION("""COMPUTED_VALUE"""),0.0)</f>
        <v>0</v>
      </c>
      <c r="V410" s="87">
        <f>IFERROR(__xludf.DUMMYFUNCTION("""COMPUTED_VALUE"""),0.0)</f>
        <v>0</v>
      </c>
      <c r="W410" s="87">
        <f>IFERROR(__xludf.DUMMYFUNCTION("""COMPUTED_VALUE"""),0.0)</f>
        <v>0</v>
      </c>
      <c r="X410" s="88"/>
      <c r="Y410" s="74"/>
      <c r="Z410" s="74"/>
    </row>
    <row r="411">
      <c r="B411" s="74" t="str">
        <f>IFERROR(__xludf.DUMMYFUNCTION("""COMPUTED_VALUE"""),"1408")</f>
        <v>1408</v>
      </c>
      <c r="C411" s="74" t="str">
        <f>IFERROR(__xludf.DUMMYFUNCTION("""COMPUTED_VALUE"""),"75045880324")</f>
        <v>75045880324</v>
      </c>
      <c r="D411" s="74" t="str">
        <f>IFERROR(__xludf.DUMMYFUNCTION("""COMPUTED_VALUE"""),"\\MCA-S\mk\2_BM\0_BMat\08_PYM\Inventario\excel\Imagen de refacciones\Sistema tuberia\REDUCTOR DE 6_ X 5_ HD X 1000 MM")</f>
        <v>\\MCA-S\mk\2_BM\0_BMat\08_PYM\Inventario\excel\Imagen de refacciones\Sistema tuberia\REDUCTOR DE 6_ X 5_ HD X 1000 MM</v>
      </c>
      <c r="E411" s="74"/>
      <c r="F411" s="74" t="str">
        <f>IFERROR(__xludf.DUMMYFUNCTION("""COMPUTED_VALUE"""),"REDUCTOR DE 6"" X 5"" HD X 1000 MM")</f>
        <v>REDUCTOR DE 6" X 5" HD X 1000 MM</v>
      </c>
      <c r="G411" s="74"/>
      <c r="H411" s="74"/>
      <c r="I411" s="74" t="str">
        <f>IFERROR(__xludf.DUMMYFUNCTION("""COMPUTED_VALUE"""),"30315815")</f>
        <v>30315815</v>
      </c>
      <c r="J411" s="74"/>
      <c r="K411" s="74" t="str">
        <f>IFERROR(__xludf.DUMMYFUNCTION("""COMPUTED_VALUE"""),"Tuberia")</f>
        <v>Tuberia</v>
      </c>
      <c r="L411" s="74" t="str">
        <f>IFERROR(__xludf.DUMMYFUNCTION("""COMPUTED_VALUE"""),"Componentes estructurales y de montaje")</f>
        <v>Componentes estructurales y de montaje</v>
      </c>
      <c r="M411" s="74" t="str">
        <f>IFERROR(__xludf.DUMMYFUNCTION("""COMPUTED_VALUE"""),"Sin Asignar")</f>
        <v>Sin Asignar</v>
      </c>
      <c r="N411" s="87">
        <f>IFERROR(__xludf.DUMMYFUNCTION("""COMPUTED_VALUE"""),0.0)</f>
        <v>0</v>
      </c>
      <c r="O411" s="74"/>
      <c r="P411" s="74" t="str">
        <f>IFERROR(__xludf.DUMMYFUNCTION("""COMPUTED_VALUE"""),"No Available")</f>
        <v>No Available</v>
      </c>
      <c r="Q411" s="74"/>
      <c r="R411" s="74"/>
      <c r="S411" s="87">
        <f>IFERROR(__xludf.DUMMYFUNCTION("""COMPUTED_VALUE"""),0.0)</f>
        <v>0</v>
      </c>
      <c r="T411" s="87">
        <f>IFERROR(__xludf.DUMMYFUNCTION("""COMPUTED_VALUE"""),0.0)</f>
        <v>0</v>
      </c>
      <c r="U411" s="87">
        <f>IFERROR(__xludf.DUMMYFUNCTION("""COMPUTED_VALUE"""),0.0)</f>
        <v>0</v>
      </c>
      <c r="V411" s="87">
        <f>IFERROR(__xludf.DUMMYFUNCTION("""COMPUTED_VALUE"""),0.0)</f>
        <v>0</v>
      </c>
      <c r="W411" s="87">
        <f>IFERROR(__xludf.DUMMYFUNCTION("""COMPUTED_VALUE"""),0.0)</f>
        <v>0</v>
      </c>
      <c r="X411" s="88"/>
      <c r="Y411" s="74"/>
      <c r="Z411" s="74"/>
    </row>
    <row r="412">
      <c r="B412" s="74" t="str">
        <f>IFERROR(__xludf.DUMMYFUNCTION("""COMPUTED_VALUE"""),"1409")</f>
        <v>1409</v>
      </c>
      <c r="C412" s="74"/>
      <c r="D412" s="74" t="str">
        <f>IFERROR(__xludf.DUMMYFUNCTION("""COMPUTED_VALUE"""),"\\MCA-S\mk\2_BM\0_BMat\08_PYM\Inventario\excel\Imagen de refacciones\Sistema tuberia\Cuerda de seguridad con y sin gancho")</f>
        <v>\\MCA-S\mk\2_BM\0_BMat\08_PYM\Inventario\excel\Imagen de refacciones\Sistema tuberia\Cuerda de seguridad con y sin gancho</v>
      </c>
      <c r="E412" s="74"/>
      <c r="F412" s="74" t="str">
        <f>IFERROR(__xludf.DUMMYFUNCTION("""COMPUTED_VALUE"""),"Cuerda de seguridad con y sin gancho")</f>
        <v>Cuerda de seguridad con y sin gancho</v>
      </c>
      <c r="G412" s="74"/>
      <c r="H412" s="74"/>
      <c r="I412" s="74" t="str">
        <f>IFERROR(__xludf.DUMMYFUNCTION("""COMPUTED_VALUE"""),"30374306")</f>
        <v>30374306</v>
      </c>
      <c r="J412" s="74"/>
      <c r="K412" s="74" t="str">
        <f>IFERROR(__xludf.DUMMYFUNCTION("""COMPUTED_VALUE"""),"Tuberia")</f>
        <v>Tuberia</v>
      </c>
      <c r="L412" s="74" t="str">
        <f>IFERROR(__xludf.DUMMYFUNCTION("""COMPUTED_VALUE"""),"Componentes estructurales y de montaje")</f>
        <v>Componentes estructurales y de montaje</v>
      </c>
      <c r="M412" s="74" t="str">
        <f>IFERROR(__xludf.DUMMYFUNCTION("""COMPUTED_VALUE"""),"Sin Asignar")</f>
        <v>Sin Asignar</v>
      </c>
      <c r="N412" s="87">
        <f>IFERROR(__xludf.DUMMYFUNCTION("""COMPUTED_VALUE"""),0.0)</f>
        <v>0</v>
      </c>
      <c r="O412" s="74"/>
      <c r="P412" s="74" t="str">
        <f>IFERROR(__xludf.DUMMYFUNCTION("""COMPUTED_VALUE"""),"No Available")</f>
        <v>No Available</v>
      </c>
      <c r="Q412" s="74"/>
      <c r="R412" s="74"/>
      <c r="S412" s="87">
        <f>IFERROR(__xludf.DUMMYFUNCTION("""COMPUTED_VALUE"""),0.0)</f>
        <v>0</v>
      </c>
      <c r="T412" s="87">
        <f>IFERROR(__xludf.DUMMYFUNCTION("""COMPUTED_VALUE"""),0.0)</f>
        <v>0</v>
      </c>
      <c r="U412" s="87">
        <f>IFERROR(__xludf.DUMMYFUNCTION("""COMPUTED_VALUE"""),0.0)</f>
        <v>0</v>
      </c>
      <c r="V412" s="87">
        <f>IFERROR(__xludf.DUMMYFUNCTION("""COMPUTED_VALUE"""),0.0)</f>
        <v>0</v>
      </c>
      <c r="W412" s="87">
        <f>IFERROR(__xludf.DUMMYFUNCTION("""COMPUTED_VALUE"""),0.0)</f>
        <v>0</v>
      </c>
      <c r="X412" s="88"/>
      <c r="Y412" s="74"/>
      <c r="Z412" s="74"/>
    </row>
    <row r="413">
      <c r="B413" s="74" t="str">
        <f>IFERROR(__xludf.DUMMYFUNCTION("""COMPUTED_VALUE"""),"1410")</f>
        <v>1410</v>
      </c>
      <c r="C413" s="74" t="str">
        <f>IFERROR(__xludf.DUMMYFUNCTION("""COMPUTED_VALUE"""),"75045891410")</f>
        <v>75045891410</v>
      </c>
      <c r="D413" s="74" t="str">
        <f>IFERROR(__xludf.DUMMYFUNCTION("""COMPUTED_VALUE"""),"\\MCA-S\mk\2_BM\0_BMat\08_PYM\Inventario\excel\Imagen de refacciones\Sistema tuberia\checador ultrasonico de calibre para tuberia")</f>
        <v>\\MCA-S\mk\2_BM\0_BMat\08_PYM\Inventario\excel\Imagen de refacciones\Sistema tuberia\checador ultrasonico de calibre para tuberia</v>
      </c>
      <c r="E413" s="74" t="str">
        <f>IFERROR(__xludf.DUMMYFUNCTION("""COMPUTED_VALUE"""),"ULTRASONIC THICKNESS GAUGE")</f>
        <v>ULTRASONIC THICKNESS GAUGE</v>
      </c>
      <c r="F413" s="74" t="str">
        <f>IFERROR(__xludf.DUMMYFUNCTION("""COMPUTED_VALUE"""),"CHECADOR ULTRASONICO PARA CALIBRE DE TUBERIA")</f>
        <v>CHECADOR ULTRASONICO PARA CALIBRE DE TUBERIA</v>
      </c>
      <c r="G413" s="74"/>
      <c r="H413" s="74"/>
      <c r="I413" s="74" t="str">
        <f>IFERROR(__xludf.DUMMYFUNCTION("""COMPUTED_VALUE"""),"MT150/GM100")</f>
        <v>MT150/GM100</v>
      </c>
      <c r="J413" s="74"/>
      <c r="K413" s="74" t="str">
        <f>IFERROR(__xludf.DUMMYFUNCTION("""COMPUTED_VALUE"""),"Tuberia")</f>
        <v>Tuberia</v>
      </c>
      <c r="L413" s="74" t="str">
        <f>IFERROR(__xludf.DUMMYFUNCTION("""COMPUTED_VALUE"""),"Elementos de medición y control")</f>
        <v>Elementos de medición y control</v>
      </c>
      <c r="M413" s="74" t="str">
        <f>IFERROR(__xludf.DUMMYFUNCTION("""COMPUTED_VALUE"""),"Sin Asignar")</f>
        <v>Sin Asignar</v>
      </c>
      <c r="N413" s="87">
        <f>IFERROR(__xludf.DUMMYFUNCTION("""COMPUTED_VALUE"""),0.0)</f>
        <v>0</v>
      </c>
      <c r="O413" s="74"/>
      <c r="P413" s="74" t="str">
        <f>IFERROR(__xludf.DUMMYFUNCTION("""COMPUTED_VALUE"""),"To Re-purchase")</f>
        <v>To Re-purchase</v>
      </c>
      <c r="Q413" s="74"/>
      <c r="R413" s="74"/>
      <c r="S413" s="87">
        <f>IFERROR(__xludf.DUMMYFUNCTION("""COMPUTED_VALUE"""),0.0)</f>
        <v>0</v>
      </c>
      <c r="T413" s="87">
        <f>IFERROR(__xludf.DUMMYFUNCTION("""COMPUTED_VALUE"""),0.0)</f>
        <v>0</v>
      </c>
      <c r="U413" s="87">
        <f>IFERROR(__xludf.DUMMYFUNCTION("""COMPUTED_VALUE"""),0.0)</f>
        <v>0</v>
      </c>
      <c r="V413" s="87">
        <f>IFERROR(__xludf.DUMMYFUNCTION("""COMPUTED_VALUE"""),0.0)</f>
        <v>0</v>
      </c>
      <c r="W413" s="87">
        <f>IFERROR(__xludf.DUMMYFUNCTION("""COMPUTED_VALUE"""),0.0)</f>
        <v>0</v>
      </c>
      <c r="X413" s="88"/>
      <c r="Y413" s="74"/>
      <c r="Z413" s="74"/>
    </row>
    <row r="414">
      <c r="B414" s="74" t="str">
        <f>IFERROR(__xludf.DUMMYFUNCTION("""COMPUTED_VALUE"""),"1411")</f>
        <v>1411</v>
      </c>
      <c r="C414" s="74" t="str">
        <f>IFERROR(__xludf.DUMMYFUNCTION("""COMPUTED_VALUE"""),"75045880546")</f>
        <v>75045880546</v>
      </c>
      <c r="D414" s="74" t="str">
        <f>IFERROR(__xludf.DUMMYFUNCTION("""COMPUTED_VALUE"""),"\\MCA-S\mk\2_BM\0_BMat\08_PYM\Inventario\excel\Imagen de refacciones\Sistema tuberia\GO DEVILS")</f>
        <v>\\MCA-S\mk\2_BM\0_BMat\08_PYM\Inventario\excel\Imagen de refacciones\Sistema tuberia\GO DEVILS</v>
      </c>
      <c r="E414" s="74" t="str">
        <f>IFERROR(__xludf.DUMMYFUNCTION("""COMPUTED_VALUE"""),"GO DEVILS D50 / 5""")</f>
        <v>GO DEVILS D50 / 5"</v>
      </c>
      <c r="F414" s="74" t="str">
        <f>IFERROR(__xludf.DUMMYFUNCTION("""COMPUTED_VALUE"""),"GO DEVILS D50 / 5""")</f>
        <v>GO DEVILS D50 / 5"</v>
      </c>
      <c r="G414" s="74"/>
      <c r="H414" s="74"/>
      <c r="I414" s="74" t="str">
        <f>IFERROR(__xludf.DUMMYFUNCTION("""COMPUTED_VALUE"""),"MGD50C")</f>
        <v>MGD50C</v>
      </c>
      <c r="J414" s="74"/>
      <c r="K414" s="74" t="str">
        <f>IFERROR(__xludf.DUMMYFUNCTION("""COMPUTED_VALUE"""),"Tuberia")</f>
        <v>Tuberia</v>
      </c>
      <c r="L414" s="74" t="str">
        <f>IFERROR(__xludf.DUMMYFUNCTION("""COMPUTED_VALUE"""),"TUBERIA ACERO")</f>
        <v>TUBERIA ACERO</v>
      </c>
      <c r="M414" s="74" t="str">
        <f>IFERROR(__xludf.DUMMYFUNCTION("""COMPUTED_VALUE"""),"LIMPIEZA")</f>
        <v>LIMPIEZA</v>
      </c>
      <c r="N414" s="87">
        <f>IFERROR(__xludf.DUMMYFUNCTION("""COMPUTED_VALUE"""),0.0)</f>
        <v>0</v>
      </c>
      <c r="O414" s="74"/>
      <c r="P414" s="74" t="str">
        <f>IFERROR(__xludf.DUMMYFUNCTION("""COMPUTED_VALUE"""),"To Re-purchase")</f>
        <v>To Re-purchase</v>
      </c>
      <c r="Q414" s="74"/>
      <c r="R414" s="74"/>
      <c r="S414" s="87">
        <f>IFERROR(__xludf.DUMMYFUNCTION("""COMPUTED_VALUE"""),0.0)</f>
        <v>0</v>
      </c>
      <c r="T414" s="87">
        <f>IFERROR(__xludf.DUMMYFUNCTION("""COMPUTED_VALUE"""),0.0)</f>
        <v>0</v>
      </c>
      <c r="U414" s="87">
        <f>IFERROR(__xludf.DUMMYFUNCTION("""COMPUTED_VALUE"""),0.0)</f>
        <v>0</v>
      </c>
      <c r="V414" s="87">
        <f>IFERROR(__xludf.DUMMYFUNCTION("""COMPUTED_VALUE"""),0.0)</f>
        <v>0</v>
      </c>
      <c r="W414" s="87">
        <f>IFERROR(__xludf.DUMMYFUNCTION("""COMPUTED_VALUE"""),0.0)</f>
        <v>0</v>
      </c>
      <c r="X414" s="88"/>
      <c r="Y414" s="74"/>
      <c r="Z414" s="74"/>
    </row>
    <row r="415">
      <c r="B415" s="74" t="str">
        <f>IFERROR(__xludf.DUMMYFUNCTION("""COMPUTED_VALUE"""),"1412")</f>
        <v>1412</v>
      </c>
      <c r="C415" s="74" t="str">
        <f>IFERROR(__xludf.DUMMYFUNCTION("""COMPUTED_VALUE"""),"75045880355")</f>
        <v>75045880355</v>
      </c>
      <c r="D415" s="74" t="str">
        <f>IFERROR(__xludf.DUMMYFUNCTION("""COMPUTED_VALUE"""),"\\MCA-S\mk\2_BM\0_BMat\08_PYM\Inventario\excel\Imagen de refacciones\Sistema tuberia\Abrazadera de 5_ metrica con base de un tornillo zk-k 5")</f>
        <v>\\MCA-S\mk\2_BM\0_BMat\08_PYM\Inventario\excel\Imagen de refacciones\Sistema tuberia\Abrazadera de 5_ metrica con base de un tornillo zk-k 5</v>
      </c>
      <c r="E415" s="74" t="str">
        <f>IFERROR(__xludf.DUMMYFUNCTION("""COMPUTED_VALUE"""),"CLAMP 2BOLT DN125 SK148 MOUNTING")</f>
        <v>CLAMP 2BOLT DN125 SK148 MOUNTING</v>
      </c>
      <c r="F415" s="74" t="str">
        <f>IFERROR(__xludf.DUMMYFUNCTION("""COMPUTED_VALUE"""),"ABRAZADERA 5"" METRICA DOBLE TORNILLO CON BASE")</f>
        <v>ABRAZADERA 5" METRICA DOBLE TORNILLO CON BASE</v>
      </c>
      <c r="G415" s="74"/>
      <c r="H415" s="74"/>
      <c r="I415" s="74"/>
      <c r="J415" s="74"/>
      <c r="K415" s="74" t="str">
        <f>IFERROR(__xludf.DUMMYFUNCTION("""COMPUTED_VALUE"""),"Tuberia")</f>
        <v>Tuberia</v>
      </c>
      <c r="L415" s="74" t="str">
        <f>IFERROR(__xludf.DUMMYFUNCTION("""COMPUTED_VALUE"""),"Componentes estructurales y de montaje")</f>
        <v>Componentes estructurales y de montaje</v>
      </c>
      <c r="M415" s="74" t="str">
        <f>IFERROR(__xludf.DUMMYFUNCTION("""COMPUTED_VALUE"""),"TUBOS")</f>
        <v>TUBOS</v>
      </c>
      <c r="N415" s="87">
        <f>IFERROR(__xludf.DUMMYFUNCTION("""COMPUTED_VALUE"""),0.0)</f>
        <v>0</v>
      </c>
      <c r="O415" s="74">
        <f>IFERROR(__xludf.DUMMYFUNCTION("""COMPUTED_VALUE"""),10.0)</f>
        <v>10</v>
      </c>
      <c r="P415" s="74" t="str">
        <f>IFERROR(__xludf.DUMMYFUNCTION("""COMPUTED_VALUE"""),"In stock")</f>
        <v>In stock</v>
      </c>
      <c r="Q415" s="74"/>
      <c r="R415" s="74"/>
      <c r="S415" s="87">
        <f>IFERROR(__xludf.DUMMYFUNCTION("""COMPUTED_VALUE"""),0.0)</f>
        <v>0</v>
      </c>
      <c r="T415" s="87">
        <f>IFERROR(__xludf.DUMMYFUNCTION("""COMPUTED_VALUE"""),0.0)</f>
        <v>0</v>
      </c>
      <c r="U415" s="87">
        <f>IFERROR(__xludf.DUMMYFUNCTION("""COMPUTED_VALUE"""),0.0)</f>
        <v>0</v>
      </c>
      <c r="V415" s="87">
        <f>IFERROR(__xludf.DUMMYFUNCTION("""COMPUTED_VALUE"""),0.0)</f>
        <v>0</v>
      </c>
      <c r="W415" s="87">
        <f>IFERROR(__xludf.DUMMYFUNCTION("""COMPUTED_VALUE"""),0.0)</f>
        <v>0</v>
      </c>
      <c r="X415" s="88"/>
      <c r="Y415" s="74"/>
      <c r="Z415" s="74"/>
    </row>
    <row r="416">
      <c r="B416" s="74" t="str">
        <f>IFERROR(__xludf.DUMMYFUNCTION("""COMPUTED_VALUE"""),"1413")</f>
        <v>1413</v>
      </c>
      <c r="C416" s="74"/>
      <c r="D416" s="74" t="str">
        <f>IFERROR(__xludf.DUMMYFUNCTION("""COMPUTED_VALUE"""),"\\MCA-S\mk\2_BM\0_BMat\08_PYM\Inventario\excel\Imagen de refacciones\Sistema tuberia\Soporte metalico con 2 abrazaderas tipo U")</f>
        <v>\\MCA-S\mk\2_BM\0_BMat\08_PYM\Inventario\excel\Imagen de refacciones\Sistema tuberia\Soporte metalico con 2 abrazaderas tipo U</v>
      </c>
      <c r="E416" s="74"/>
      <c r="F416" s="74" t="str">
        <f>IFERROR(__xludf.DUMMYFUNCTION("""COMPUTED_VALUE"""),"Soporte metalico con 2 abrazaderas tipo U")</f>
        <v>Soporte metalico con 2 abrazaderas tipo U</v>
      </c>
      <c r="G416" s="74"/>
      <c r="H416" s="74"/>
      <c r="I416" s="74"/>
      <c r="J416" s="74"/>
      <c r="K416" s="74" t="str">
        <f>IFERROR(__xludf.DUMMYFUNCTION("""COMPUTED_VALUE"""),"Tuberia")</f>
        <v>Tuberia</v>
      </c>
      <c r="L416" s="74" t="str">
        <f>IFERROR(__xludf.DUMMYFUNCTION("""COMPUTED_VALUE"""),"Componentes estructurales y de montaje")</f>
        <v>Componentes estructurales y de montaje</v>
      </c>
      <c r="M416" s="74" t="str">
        <f>IFERROR(__xludf.DUMMYFUNCTION("""COMPUTED_VALUE"""),"Sin Asignar")</f>
        <v>Sin Asignar</v>
      </c>
      <c r="N416" s="87">
        <f>IFERROR(__xludf.DUMMYFUNCTION("""COMPUTED_VALUE"""),0.0)</f>
        <v>0</v>
      </c>
      <c r="O416" s="74"/>
      <c r="P416" s="74" t="str">
        <f>IFERROR(__xludf.DUMMYFUNCTION("""COMPUTED_VALUE"""),"No Available")</f>
        <v>No Available</v>
      </c>
      <c r="Q416" s="74"/>
      <c r="R416" s="74"/>
      <c r="S416" s="87">
        <f>IFERROR(__xludf.DUMMYFUNCTION("""COMPUTED_VALUE"""),0.0)</f>
        <v>0</v>
      </c>
      <c r="T416" s="87">
        <f>IFERROR(__xludf.DUMMYFUNCTION("""COMPUTED_VALUE"""),0.0)</f>
        <v>0</v>
      </c>
      <c r="U416" s="87">
        <f>IFERROR(__xludf.DUMMYFUNCTION("""COMPUTED_VALUE"""),0.0)</f>
        <v>0</v>
      </c>
      <c r="V416" s="87">
        <f>IFERROR(__xludf.DUMMYFUNCTION("""COMPUTED_VALUE"""),0.0)</f>
        <v>0</v>
      </c>
      <c r="W416" s="87">
        <f>IFERROR(__xludf.DUMMYFUNCTION("""COMPUTED_VALUE"""),0.0)</f>
        <v>0</v>
      </c>
      <c r="X416" s="88"/>
      <c r="Y416" s="74"/>
      <c r="Z416" s="74"/>
    </row>
    <row r="417">
      <c r="B417" s="74" t="str">
        <f>IFERROR(__xludf.DUMMYFUNCTION("""COMPUTED_VALUE"""),"1414")</f>
        <v>1414</v>
      </c>
      <c r="C417" s="74"/>
      <c r="D417" s="74" t="str">
        <f>IFERROR(__xludf.DUMMYFUNCTION("""COMPUTED_VALUE"""),"\\MCA-S\mk\2_BM\0_BMat\08_PYM\Inventario\excel\Imagen de refacciones\Sistema tuberia\Abrazadera de 1.5_ HD")</f>
        <v>\\MCA-S\mk\2_BM\0_BMat\08_PYM\Inventario\excel\Imagen de refacciones\Sistema tuberia\Abrazadera de 1.5_ HD</v>
      </c>
      <c r="E417" s="74"/>
      <c r="F417" s="74" t="str">
        <f>IFERROR(__xludf.DUMMYFUNCTION("""COMPUTED_VALUE"""),"Abrazadera de 1.5"" HD")</f>
        <v>Abrazadera de 1.5" HD</v>
      </c>
      <c r="G417" s="74"/>
      <c r="H417" s="74"/>
      <c r="I417" s="74" t="str">
        <f>IFERROR(__xludf.DUMMYFUNCTION("""COMPUTED_VALUE"""),"BC15SD")</f>
        <v>BC15SD</v>
      </c>
      <c r="J417" s="74"/>
      <c r="K417" s="74" t="str">
        <f>IFERROR(__xludf.DUMMYFUNCTION("""COMPUTED_VALUE"""),"Tuberia")</f>
        <v>Tuberia</v>
      </c>
      <c r="L417" s="74" t="str">
        <f>IFERROR(__xludf.DUMMYFUNCTION("""COMPUTED_VALUE"""),"Componentes estructurales y de montaje")</f>
        <v>Componentes estructurales y de montaje</v>
      </c>
      <c r="M417" s="74" t="str">
        <f>IFERROR(__xludf.DUMMYFUNCTION("""COMPUTED_VALUE"""),"Sin Asignar")</f>
        <v>Sin Asignar</v>
      </c>
      <c r="N417" s="87">
        <f>IFERROR(__xludf.DUMMYFUNCTION("""COMPUTED_VALUE"""),0.0)</f>
        <v>0</v>
      </c>
      <c r="O417" s="74"/>
      <c r="P417" s="74" t="str">
        <f>IFERROR(__xludf.DUMMYFUNCTION("""COMPUTED_VALUE"""),"No Available")</f>
        <v>No Available</v>
      </c>
      <c r="Q417" s="74"/>
      <c r="R417" s="74"/>
      <c r="S417" s="87">
        <f>IFERROR(__xludf.DUMMYFUNCTION("""COMPUTED_VALUE"""),0.0)</f>
        <v>0</v>
      </c>
      <c r="T417" s="87">
        <f>IFERROR(__xludf.DUMMYFUNCTION("""COMPUTED_VALUE"""),0.0)</f>
        <v>0</v>
      </c>
      <c r="U417" s="87">
        <f>IFERROR(__xludf.DUMMYFUNCTION("""COMPUTED_VALUE"""),0.0)</f>
        <v>0</v>
      </c>
      <c r="V417" s="87">
        <f>IFERROR(__xludf.DUMMYFUNCTION("""COMPUTED_VALUE"""),0.0)</f>
        <v>0</v>
      </c>
      <c r="W417" s="87">
        <f>IFERROR(__xludf.DUMMYFUNCTION("""COMPUTED_VALUE"""),0.0)</f>
        <v>0</v>
      </c>
      <c r="X417" s="88"/>
      <c r="Y417" s="74"/>
      <c r="Z417" s="74"/>
    </row>
    <row r="418">
      <c r="B418" s="74" t="str">
        <f>IFERROR(__xludf.DUMMYFUNCTION("""COMPUTED_VALUE"""),"1415")</f>
        <v>1415</v>
      </c>
      <c r="C418" s="74"/>
      <c r="D418" s="74" t="str">
        <f>IFERROR(__xludf.DUMMYFUNCTION("""COMPUTED_VALUE"""),"\\MCA-S\mk\2_BM\0_BMat\08_PYM\Inventario\excel\Imagen de refacciones\Sistema tuberia\Abrazadera de 2_ HD")</f>
        <v>\\MCA-S\mk\2_BM\0_BMat\08_PYM\Inventario\excel\Imagen de refacciones\Sistema tuberia\Abrazadera de 2_ HD</v>
      </c>
      <c r="E418" s="74"/>
      <c r="F418" s="74" t="str">
        <f>IFERROR(__xludf.DUMMYFUNCTION("""COMPUTED_VALUE"""),"Abrazadera de 2"" HD")</f>
        <v>Abrazadera de 2" HD</v>
      </c>
      <c r="G418" s="74"/>
      <c r="H418" s="74"/>
      <c r="I418" s="74" t="str">
        <f>IFERROR(__xludf.DUMMYFUNCTION("""COMPUTED_VALUE"""),"BC20SD")</f>
        <v>BC20SD</v>
      </c>
      <c r="J418" s="74"/>
      <c r="K418" s="74" t="str">
        <f>IFERROR(__xludf.DUMMYFUNCTION("""COMPUTED_VALUE"""),"Tuberia")</f>
        <v>Tuberia</v>
      </c>
      <c r="L418" s="74" t="str">
        <f>IFERROR(__xludf.DUMMYFUNCTION("""COMPUTED_VALUE"""),"Componentes estructurales y de montaje")</f>
        <v>Componentes estructurales y de montaje</v>
      </c>
      <c r="M418" s="74" t="str">
        <f>IFERROR(__xludf.DUMMYFUNCTION("""COMPUTED_VALUE"""),"Sin Asignar")</f>
        <v>Sin Asignar</v>
      </c>
      <c r="N418" s="87">
        <f>IFERROR(__xludf.DUMMYFUNCTION("""COMPUTED_VALUE"""),0.0)</f>
        <v>0</v>
      </c>
      <c r="O418" s="74"/>
      <c r="P418" s="74" t="str">
        <f>IFERROR(__xludf.DUMMYFUNCTION("""COMPUTED_VALUE"""),"No Available")</f>
        <v>No Available</v>
      </c>
      <c r="Q418" s="74"/>
      <c r="R418" s="74"/>
      <c r="S418" s="87">
        <f>IFERROR(__xludf.DUMMYFUNCTION("""COMPUTED_VALUE"""),0.0)</f>
        <v>0</v>
      </c>
      <c r="T418" s="87">
        <f>IFERROR(__xludf.DUMMYFUNCTION("""COMPUTED_VALUE"""),0.0)</f>
        <v>0</v>
      </c>
      <c r="U418" s="87">
        <f>IFERROR(__xludf.DUMMYFUNCTION("""COMPUTED_VALUE"""),0.0)</f>
        <v>0</v>
      </c>
      <c r="V418" s="87">
        <f>IFERROR(__xludf.DUMMYFUNCTION("""COMPUTED_VALUE"""),0.0)</f>
        <v>0</v>
      </c>
      <c r="W418" s="87">
        <f>IFERROR(__xludf.DUMMYFUNCTION("""COMPUTED_VALUE"""),0.0)</f>
        <v>0</v>
      </c>
      <c r="X418" s="88"/>
      <c r="Y418" s="74"/>
      <c r="Z418" s="74"/>
    </row>
    <row r="419">
      <c r="B419" s="74" t="str">
        <f>IFERROR(__xludf.DUMMYFUNCTION("""COMPUTED_VALUE"""),"1416")</f>
        <v>1416</v>
      </c>
      <c r="C419" s="74"/>
      <c r="D419" s="74" t="str">
        <f>IFERROR(__xludf.DUMMYFUNCTION("""COMPUTED_VALUE"""),"\\MCA-S\mk\2_BM\0_BMat\08_PYM\Inventario\excel\Imagen de refacciones\Sistema tuberia\ABRAZADERA DE 2.5_ HD no ajustable")</f>
        <v>\\MCA-S\mk\2_BM\0_BMat\08_PYM\Inventario\excel\Imagen de refacciones\Sistema tuberia\ABRAZADERA DE 2.5_ HD no ajustable</v>
      </c>
      <c r="E419" s="74"/>
      <c r="F419" s="74" t="str">
        <f>IFERROR(__xludf.DUMMYFUNCTION("""COMPUTED_VALUE"""),"ABRAZADERA DE 2.5"" HD no ajustable")</f>
        <v>ABRAZADERA DE 2.5" HD no ajustable</v>
      </c>
      <c r="G419" s="74"/>
      <c r="H419" s="74"/>
      <c r="I419" s="74" t="str">
        <f>IFERROR(__xludf.DUMMYFUNCTION("""COMPUTED_VALUE"""),"26101725")</f>
        <v>26101725</v>
      </c>
      <c r="J419" s="74"/>
      <c r="K419" s="74" t="str">
        <f>IFERROR(__xludf.DUMMYFUNCTION("""COMPUTED_VALUE"""),"Tuberia")</f>
        <v>Tuberia</v>
      </c>
      <c r="L419" s="74" t="str">
        <f>IFERROR(__xludf.DUMMYFUNCTION("""COMPUTED_VALUE"""),"Componentes estructurales y de montaje")</f>
        <v>Componentes estructurales y de montaje</v>
      </c>
      <c r="M419" s="74" t="str">
        <f>IFERROR(__xludf.DUMMYFUNCTION("""COMPUTED_VALUE"""),"Sin Asignar")</f>
        <v>Sin Asignar</v>
      </c>
      <c r="N419" s="87">
        <f>IFERROR(__xludf.DUMMYFUNCTION("""COMPUTED_VALUE"""),0.0)</f>
        <v>0</v>
      </c>
      <c r="O419" s="74"/>
      <c r="P419" s="74" t="str">
        <f>IFERROR(__xludf.DUMMYFUNCTION("""COMPUTED_VALUE"""),"No Available")</f>
        <v>No Available</v>
      </c>
      <c r="Q419" s="74"/>
      <c r="R419" s="74"/>
      <c r="S419" s="87">
        <f>IFERROR(__xludf.DUMMYFUNCTION("""COMPUTED_VALUE"""),0.0)</f>
        <v>0</v>
      </c>
      <c r="T419" s="87">
        <f>IFERROR(__xludf.DUMMYFUNCTION("""COMPUTED_VALUE"""),0.0)</f>
        <v>0</v>
      </c>
      <c r="U419" s="87">
        <f>IFERROR(__xludf.DUMMYFUNCTION("""COMPUTED_VALUE"""),0.0)</f>
        <v>0</v>
      </c>
      <c r="V419" s="87">
        <f>IFERROR(__xludf.DUMMYFUNCTION("""COMPUTED_VALUE"""),0.0)</f>
        <v>0</v>
      </c>
      <c r="W419" s="87">
        <f>IFERROR(__xludf.DUMMYFUNCTION("""COMPUTED_VALUE"""),0.0)</f>
        <v>0</v>
      </c>
      <c r="X419" s="88"/>
      <c r="Y419" s="74"/>
      <c r="Z419" s="74"/>
    </row>
    <row r="420">
      <c r="B420" s="74" t="str">
        <f>IFERROR(__xludf.DUMMYFUNCTION("""COMPUTED_VALUE"""),"1417")</f>
        <v>1417</v>
      </c>
      <c r="C420" s="74"/>
      <c r="D420" s="74" t="str">
        <f>IFERROR(__xludf.DUMMYFUNCTION("""COMPUTED_VALUE"""),"\\MCA-S\mk\2_BM\0_BMat\08_PYM\Inventario\excel\Imagen de refacciones\Sistema tuberia\Abrazadera de 3_ HD")</f>
        <v>\\MCA-S\mk\2_BM\0_BMat\08_PYM\Inventario\excel\Imagen de refacciones\Sistema tuberia\Abrazadera de 3_ HD</v>
      </c>
      <c r="E420" s="74" t="str">
        <f>IFERROR(__xludf.DUMMYFUNCTION("""COMPUTED_VALUE"""),"CLAMP SNAP 3""")</f>
        <v>CLAMP SNAP 3"</v>
      </c>
      <c r="F420" s="74" t="str">
        <f>IFERROR(__xludf.DUMMYFUNCTION("""COMPUTED_VALUE"""),"ABRAZADERA 3"" HD COLA DE RATA")</f>
        <v>ABRAZADERA 3" HD COLA DE RATA</v>
      </c>
      <c r="G420" s="74"/>
      <c r="H420" s="74"/>
      <c r="I420" s="74" t="str">
        <f>IFERROR(__xludf.DUMMYFUNCTION("""COMPUTED_VALUE"""),"30372216")</f>
        <v>30372216</v>
      </c>
      <c r="J420" s="74"/>
      <c r="K420" s="74" t="str">
        <f>IFERROR(__xludf.DUMMYFUNCTION("""COMPUTED_VALUE"""),"Tuberia")</f>
        <v>Tuberia</v>
      </c>
      <c r="L420" s="74" t="str">
        <f>IFERROR(__xludf.DUMMYFUNCTION("""COMPUTED_VALUE"""),"TUBERIA ACERO")</f>
        <v>TUBERIA ACERO</v>
      </c>
      <c r="M420" s="74" t="str">
        <f>IFERROR(__xludf.DUMMYFUNCTION("""COMPUTED_VALUE"""),"TUBOS")</f>
        <v>TUBOS</v>
      </c>
      <c r="N420" s="87">
        <f>IFERROR(__xludf.DUMMYFUNCTION("""COMPUTED_VALUE"""),0.0)</f>
        <v>0</v>
      </c>
      <c r="O420" s="74"/>
      <c r="P420" s="74" t="str">
        <f>IFERROR(__xludf.DUMMYFUNCTION("""COMPUTED_VALUE"""),"To Re-purchase")</f>
        <v>To Re-purchase</v>
      </c>
      <c r="Q420" s="74"/>
      <c r="R420" s="74"/>
      <c r="S420" s="87">
        <f>IFERROR(__xludf.DUMMYFUNCTION("""COMPUTED_VALUE"""),0.0)</f>
        <v>0</v>
      </c>
      <c r="T420" s="87">
        <f>IFERROR(__xludf.DUMMYFUNCTION("""COMPUTED_VALUE"""),0.0)</f>
        <v>0</v>
      </c>
      <c r="U420" s="87">
        <f>IFERROR(__xludf.DUMMYFUNCTION("""COMPUTED_VALUE"""),0.0)</f>
        <v>0</v>
      </c>
      <c r="V420" s="87">
        <f>IFERROR(__xludf.DUMMYFUNCTION("""COMPUTED_VALUE"""),0.0)</f>
        <v>0</v>
      </c>
      <c r="W420" s="87">
        <f>IFERROR(__xludf.DUMMYFUNCTION("""COMPUTED_VALUE"""),0.0)</f>
        <v>0</v>
      </c>
      <c r="X420" s="88"/>
      <c r="Y420" s="74"/>
      <c r="Z420" s="74"/>
    </row>
    <row r="421">
      <c r="B421" s="74" t="str">
        <f>IFERROR(__xludf.DUMMYFUNCTION("""COMPUTED_VALUE"""),"1418")</f>
        <v>1418</v>
      </c>
      <c r="C421" s="74" t="str">
        <f>IFERROR(__xludf.DUMMYFUNCTION("""COMPUTED_VALUE"""),"75045891418")</f>
        <v>75045891418</v>
      </c>
      <c r="D421" s="74" t="str">
        <f>IFERROR(__xludf.DUMMYFUNCTION("""COMPUTED_VALUE"""),"\\MCA-S\mk\2_BM\0_BMat\08_PYM\Inventario\excel\Imagen de refacciones\Sistema tuberia\ABRAZADERA DE 4_ HD")</f>
        <v>\\MCA-S\mk\2_BM\0_BMat\08_PYM\Inventario\excel\Imagen de refacciones\Sistema tuberia\ABRAZADERA DE 4_ HD</v>
      </c>
      <c r="E421" s="74" t="str">
        <f>IFERROR(__xludf.DUMMYFUNCTION("""COMPUTED_VALUE"""),"CLAMP SNAP 4""")</f>
        <v>CLAMP SNAP 4"</v>
      </c>
      <c r="F421" s="74" t="str">
        <f>IFERROR(__xludf.DUMMYFUNCTION("""COMPUTED_VALUE"""),"ABRAZADERA 4"" HD COLA DE RATA")</f>
        <v>ABRAZADERA 4" HD COLA DE RATA</v>
      </c>
      <c r="G421" s="74"/>
      <c r="H421" s="74"/>
      <c r="I421" s="74" t="str">
        <f>IFERROR(__xludf.DUMMYFUNCTION("""COMPUTED_VALUE"""),"30372220")</f>
        <v>30372220</v>
      </c>
      <c r="J421" s="74"/>
      <c r="K421" s="74" t="str">
        <f>IFERROR(__xludf.DUMMYFUNCTION("""COMPUTED_VALUE"""),"Tuberia")</f>
        <v>Tuberia</v>
      </c>
      <c r="L421" s="74" t="str">
        <f>IFERROR(__xludf.DUMMYFUNCTION("""COMPUTED_VALUE"""),"TUBERIA ACERO")</f>
        <v>TUBERIA ACERO</v>
      </c>
      <c r="M421" s="74" t="str">
        <f>IFERROR(__xludf.DUMMYFUNCTION("""COMPUTED_VALUE"""),"TUBOS")</f>
        <v>TUBOS</v>
      </c>
      <c r="N421" s="87">
        <f>IFERROR(__xludf.DUMMYFUNCTION("""COMPUTED_VALUE"""),0.0)</f>
        <v>0</v>
      </c>
      <c r="O421" s="74"/>
      <c r="P421" s="74" t="str">
        <f>IFERROR(__xludf.DUMMYFUNCTION("""COMPUTED_VALUE"""),"To Re-purchase")</f>
        <v>To Re-purchase</v>
      </c>
      <c r="Q421" s="74"/>
      <c r="R421" s="74"/>
      <c r="S421" s="87">
        <f>IFERROR(__xludf.DUMMYFUNCTION("""COMPUTED_VALUE"""),0.0)</f>
        <v>0</v>
      </c>
      <c r="T421" s="87">
        <f>IFERROR(__xludf.DUMMYFUNCTION("""COMPUTED_VALUE"""),0.0)</f>
        <v>0</v>
      </c>
      <c r="U421" s="87">
        <f>IFERROR(__xludf.DUMMYFUNCTION("""COMPUTED_VALUE"""),0.0)</f>
        <v>0</v>
      </c>
      <c r="V421" s="87">
        <f>IFERROR(__xludf.DUMMYFUNCTION("""COMPUTED_VALUE"""),0.0)</f>
        <v>0</v>
      </c>
      <c r="W421" s="87">
        <f>IFERROR(__xludf.DUMMYFUNCTION("""COMPUTED_VALUE"""),0.0)</f>
        <v>0</v>
      </c>
      <c r="X421" s="88"/>
      <c r="Y421" s="74"/>
      <c r="Z421" s="74"/>
    </row>
    <row r="422">
      <c r="B422" s="74" t="str">
        <f>IFERROR(__xludf.DUMMYFUNCTION("""COMPUTED_VALUE"""),"1419")</f>
        <v>1419</v>
      </c>
      <c r="C422" s="74" t="str">
        <f>IFERROR(__xludf.DUMMYFUNCTION("""COMPUTED_VALUE"""),"75045891419")</f>
        <v>75045891419</v>
      </c>
      <c r="D422" s="74" t="str">
        <f>IFERROR(__xludf.DUMMYFUNCTION("""COMPUTED_VALUE"""),"\\MCA-S\mk\2_BM\0_BMat\08_PYM\Inventario\excel\Imagen de refacciones\Sistema tuberia\ABRAZADERA DE 5 HD")</f>
        <v>\\MCA-S\mk\2_BM\0_BMat\08_PYM\Inventario\excel\Imagen de refacciones\Sistema tuberia\ABRAZADERA DE 5 HD</v>
      </c>
      <c r="E422" s="74" t="str">
        <f>IFERROR(__xludf.DUMMYFUNCTION("""COMPUTED_VALUE"""),"CLAMP SNAP 5""")</f>
        <v>CLAMP SNAP 5"</v>
      </c>
      <c r="F422" s="74" t="str">
        <f>IFERROR(__xludf.DUMMYFUNCTION("""COMPUTED_VALUE"""),"ABRAZADERA 5"" HD COLA DE RATA")</f>
        <v>ABRAZADERA 5" HD COLA DE RATA</v>
      </c>
      <c r="G422" s="74"/>
      <c r="H422" s="74"/>
      <c r="I422" s="74" t="str">
        <f>IFERROR(__xludf.DUMMYFUNCTION("""COMPUTED_VALUE"""),"30372226")</f>
        <v>30372226</v>
      </c>
      <c r="J422" s="74"/>
      <c r="K422" s="74" t="str">
        <f>IFERROR(__xludf.DUMMYFUNCTION("""COMPUTED_VALUE"""),"Tuberia")</f>
        <v>Tuberia</v>
      </c>
      <c r="L422" s="74" t="str">
        <f>IFERROR(__xludf.DUMMYFUNCTION("""COMPUTED_VALUE"""),"TUBERIA ACERO")</f>
        <v>TUBERIA ACERO</v>
      </c>
      <c r="M422" s="74" t="str">
        <f>IFERROR(__xludf.DUMMYFUNCTION("""COMPUTED_VALUE"""),"TUBOS")</f>
        <v>TUBOS</v>
      </c>
      <c r="N422" s="87">
        <f>IFERROR(__xludf.DUMMYFUNCTION("""COMPUTED_VALUE"""),0.0)</f>
        <v>0</v>
      </c>
      <c r="O422" s="74"/>
      <c r="P422" s="74" t="str">
        <f>IFERROR(__xludf.DUMMYFUNCTION("""COMPUTED_VALUE"""),"To Re-purchase")</f>
        <v>To Re-purchase</v>
      </c>
      <c r="Q422" s="74"/>
      <c r="R422" s="74"/>
      <c r="S422" s="87">
        <f>IFERROR(__xludf.DUMMYFUNCTION("""COMPUTED_VALUE"""),0.0)</f>
        <v>0</v>
      </c>
      <c r="T422" s="87">
        <f>IFERROR(__xludf.DUMMYFUNCTION("""COMPUTED_VALUE"""),0.0)</f>
        <v>0</v>
      </c>
      <c r="U422" s="87">
        <f>IFERROR(__xludf.DUMMYFUNCTION("""COMPUTED_VALUE"""),0.0)</f>
        <v>0</v>
      </c>
      <c r="V422" s="87">
        <f>IFERROR(__xludf.DUMMYFUNCTION("""COMPUTED_VALUE"""),0.0)</f>
        <v>0</v>
      </c>
      <c r="W422" s="87">
        <f>IFERROR(__xludf.DUMMYFUNCTION("""COMPUTED_VALUE"""),0.0)</f>
        <v>0</v>
      </c>
      <c r="X422" s="88"/>
      <c r="Y422" s="74"/>
      <c r="Z422" s="74"/>
    </row>
    <row r="423">
      <c r="B423" s="74" t="str">
        <f>IFERROR(__xludf.DUMMYFUNCTION("""COMPUTED_VALUE"""),"1420")</f>
        <v>1420</v>
      </c>
      <c r="C423" s="74" t="str">
        <f>IFERROR(__xludf.DUMMYFUNCTION("""COMPUTED_VALUE"""),"75045891420")</f>
        <v>75045891420</v>
      </c>
      <c r="D423" s="74" t="str">
        <f>IFERROR(__xludf.DUMMYFUNCTION("""COMPUTED_VALUE"""),"\\MCA-S\mk\2_BM\0_BMat\08_PYM\Inventario\excel\Imagen de refacciones\Sistema tuberia\Kit boquilla choscrete de 2_ HD")</f>
        <v>\\MCA-S\mk\2_BM\0_BMat\08_PYM\Inventario\excel\Imagen de refacciones\Sistema tuberia\Kit boquilla choscrete de 2_ HD</v>
      </c>
      <c r="E423" s="74" t="str">
        <f>IFERROR(__xludf.DUMMYFUNCTION("""COMPUTED_VALUE"""),"SHOTCRETE NOZZLE ASSEMBLY 2"" HD")</f>
        <v>SHOTCRETE NOZZLE ASSEMBLY 2" HD</v>
      </c>
      <c r="F423" s="74" t="str">
        <f>IFERROR(__xludf.DUMMYFUNCTION("""COMPUTED_VALUE"""),"KIT BOQUILLA CHOSCRETE DE 2""HD")</f>
        <v>KIT BOQUILLA CHOSCRETE DE 2"HD</v>
      </c>
      <c r="G423" s="74"/>
      <c r="H423" s="74"/>
      <c r="I423" s="74" t="str">
        <f>IFERROR(__xludf.DUMMYFUNCTION("""COMPUTED_VALUE"""),"30373440")</f>
        <v>30373440</v>
      </c>
      <c r="J423" s="74"/>
      <c r="K423" s="74" t="str">
        <f>IFERROR(__xludf.DUMMYFUNCTION("""COMPUTED_VALUE"""),"Tuberia")</f>
        <v>Tuberia</v>
      </c>
      <c r="L423" s="74" t="str">
        <f>IFERROR(__xludf.DUMMYFUNCTION("""COMPUTED_VALUE"""),"Sistema de bombeo de concreto")</f>
        <v>Sistema de bombeo de concreto</v>
      </c>
      <c r="M423" s="74" t="str">
        <f>IFERROR(__xludf.DUMMYFUNCTION("""COMPUTED_VALUE"""),"Sin Asignar")</f>
        <v>Sin Asignar</v>
      </c>
      <c r="N423" s="87">
        <f>IFERROR(__xludf.DUMMYFUNCTION("""COMPUTED_VALUE"""),0.0)</f>
        <v>0</v>
      </c>
      <c r="O423" s="74"/>
      <c r="P423" s="74" t="str">
        <f>IFERROR(__xludf.DUMMYFUNCTION("""COMPUTED_VALUE"""),"To Re-purchase")</f>
        <v>To Re-purchase</v>
      </c>
      <c r="Q423" s="74"/>
      <c r="R423" s="74"/>
      <c r="S423" s="87">
        <f>IFERROR(__xludf.DUMMYFUNCTION("""COMPUTED_VALUE"""),0.0)</f>
        <v>0</v>
      </c>
      <c r="T423" s="87">
        <f>IFERROR(__xludf.DUMMYFUNCTION("""COMPUTED_VALUE"""),0.0)</f>
        <v>0</v>
      </c>
      <c r="U423" s="87">
        <f>IFERROR(__xludf.DUMMYFUNCTION("""COMPUTED_VALUE"""),0.0)</f>
        <v>0</v>
      </c>
      <c r="V423" s="87">
        <f>IFERROR(__xludf.DUMMYFUNCTION("""COMPUTED_VALUE"""),0.0)</f>
        <v>0</v>
      </c>
      <c r="W423" s="87">
        <f>IFERROR(__xludf.DUMMYFUNCTION("""COMPUTED_VALUE"""),0.0)</f>
        <v>0</v>
      </c>
      <c r="X423" s="88"/>
      <c r="Y423" s="74"/>
      <c r="Z423" s="74"/>
    </row>
    <row r="424">
      <c r="B424" s="74" t="str">
        <f>IFERROR(__xludf.DUMMYFUNCTION("""COMPUTED_VALUE"""),"1421")</f>
        <v>1421</v>
      </c>
      <c r="C424" s="74"/>
      <c r="D424" s="74" t="str">
        <f>IFERROR(__xludf.DUMMYFUNCTION("""COMPUTED_VALUE"""),"\\MCA-S\mk\2_BM\0_BMat\08_PYM\Inventario\excel\Imagen de refacciones\Sistema tuberia\Empaque de 4_ HD")</f>
        <v>\\MCA-S\mk\2_BM\0_BMat\08_PYM\Inventario\excel\Imagen de refacciones\Sistema tuberia\Empaque de 4_ HD</v>
      </c>
      <c r="E424" s="74"/>
      <c r="F424" s="74" t="str">
        <f>IFERROR(__xludf.DUMMYFUNCTION("""COMPUTED_VALUE"""),"Empaque de 4"" HD")</f>
        <v>Empaque de 4" HD</v>
      </c>
      <c r="G424" s="74"/>
      <c r="H424" s="74"/>
      <c r="I424" s="74" t="str">
        <f>IFERROR(__xludf.DUMMYFUNCTION("""COMPUTED_VALUE"""),"CG40D")</f>
        <v>CG40D</v>
      </c>
      <c r="J424" s="74"/>
      <c r="K424" s="74" t="str">
        <f>IFERROR(__xludf.DUMMYFUNCTION("""COMPUTED_VALUE"""),"Tuberia")</f>
        <v>Tuberia</v>
      </c>
      <c r="L424" s="74" t="str">
        <f>IFERROR(__xludf.DUMMYFUNCTION("""COMPUTED_VALUE"""),"Sellos y retenes")</f>
        <v>Sellos y retenes</v>
      </c>
      <c r="M424" s="74" t="str">
        <f>IFERROR(__xludf.DUMMYFUNCTION("""COMPUTED_VALUE"""),"Sin Asignar")</f>
        <v>Sin Asignar</v>
      </c>
      <c r="N424" s="87">
        <f>IFERROR(__xludf.DUMMYFUNCTION("""COMPUTED_VALUE"""),0.0)</f>
        <v>0</v>
      </c>
      <c r="O424" s="74"/>
      <c r="P424" s="74" t="str">
        <f>IFERROR(__xludf.DUMMYFUNCTION("""COMPUTED_VALUE"""),"No Available")</f>
        <v>No Available</v>
      </c>
      <c r="Q424" s="74"/>
      <c r="R424" s="74"/>
      <c r="S424" s="87">
        <f>IFERROR(__xludf.DUMMYFUNCTION("""COMPUTED_VALUE"""),0.0)</f>
        <v>0</v>
      </c>
      <c r="T424" s="87">
        <f>IFERROR(__xludf.DUMMYFUNCTION("""COMPUTED_VALUE"""),0.0)</f>
        <v>0</v>
      </c>
      <c r="U424" s="87">
        <f>IFERROR(__xludf.DUMMYFUNCTION("""COMPUTED_VALUE"""),0.0)</f>
        <v>0</v>
      </c>
      <c r="V424" s="87">
        <f>IFERROR(__xludf.DUMMYFUNCTION("""COMPUTED_VALUE"""),0.0)</f>
        <v>0</v>
      </c>
      <c r="W424" s="87">
        <f>IFERROR(__xludf.DUMMYFUNCTION("""COMPUTED_VALUE"""),0.0)</f>
        <v>0</v>
      </c>
      <c r="X424" s="88"/>
      <c r="Y424" s="74"/>
      <c r="Z424" s="74"/>
    </row>
    <row r="425">
      <c r="B425" s="74" t="str">
        <f>IFERROR(__xludf.DUMMYFUNCTION("""COMPUTED_VALUE"""),"1422")</f>
        <v>1422</v>
      </c>
      <c r="C425" s="74" t="str">
        <f>IFERROR(__xludf.DUMMYFUNCTION("""COMPUTED_VALUE"""),"7504891422")</f>
        <v>7504891422</v>
      </c>
      <c r="D425" s="74" t="str">
        <f>IFERROR(__xludf.DUMMYFUNCTION("""COMPUTED_VALUE"""),"\\MCA-S\mk\2_BM\0_BMat\08_PYM\Inventario\excel\Imagen de refacciones\Sistema tuberia\Empaque de 5_ HD")</f>
        <v>\\MCA-S\mk\2_BM\0_BMat\08_PYM\Inventario\excel\Imagen de refacciones\Sistema tuberia\Empaque de 5_ HD</v>
      </c>
      <c r="E425" s="74" t="str">
        <f>IFERROR(__xludf.DUMMYFUNCTION("""COMPUTED_VALUE"""),"SEAL COUPLING 5"" ")</f>
        <v>SEAL COUPLING 5" </v>
      </c>
      <c r="F425" s="74" t="str">
        <f>IFERROR(__xludf.DUMMYFUNCTION("""COMPUTED_VALUE"""),"EMPAQUE 5""HD CON CEJA")</f>
        <v>EMPAQUE 5"HD CON CEJA</v>
      </c>
      <c r="G425" s="74"/>
      <c r="H425" s="74"/>
      <c r="I425" s="74" t="str">
        <f>IFERROR(__xludf.DUMMYFUNCTION("""COMPUTED_VALUE"""),"81669004")</f>
        <v>81669004</v>
      </c>
      <c r="J425" s="74"/>
      <c r="K425" s="74" t="str">
        <f>IFERROR(__xludf.DUMMYFUNCTION("""COMPUTED_VALUE"""),"Tuberia")</f>
        <v>Tuberia</v>
      </c>
      <c r="L425" s="74" t="str">
        <f>IFERROR(__xludf.DUMMYFUNCTION("""COMPUTED_VALUE"""),"Sellos y retenes")</f>
        <v>Sellos y retenes</v>
      </c>
      <c r="M425" s="74" t="str">
        <f>IFERROR(__xludf.DUMMYFUNCTION("""COMPUTED_VALUE"""),"Sin Asignar")</f>
        <v>Sin Asignar</v>
      </c>
      <c r="N425" s="87">
        <f>IFERROR(__xludf.DUMMYFUNCTION("""COMPUTED_VALUE"""),0.0)</f>
        <v>0</v>
      </c>
      <c r="O425" s="74"/>
      <c r="P425" s="74" t="str">
        <f>IFERROR(__xludf.DUMMYFUNCTION("""COMPUTED_VALUE"""),"To Re-purchase")</f>
        <v>To Re-purchase</v>
      </c>
      <c r="Q425" s="74"/>
      <c r="R425" s="74"/>
      <c r="S425" s="87">
        <f>IFERROR(__xludf.DUMMYFUNCTION("""COMPUTED_VALUE"""),0.0)</f>
        <v>0</v>
      </c>
      <c r="T425" s="87">
        <f>IFERROR(__xludf.DUMMYFUNCTION("""COMPUTED_VALUE"""),0.0)</f>
        <v>0</v>
      </c>
      <c r="U425" s="87">
        <f>IFERROR(__xludf.DUMMYFUNCTION("""COMPUTED_VALUE"""),0.0)</f>
        <v>0</v>
      </c>
      <c r="V425" s="87">
        <f>IFERROR(__xludf.DUMMYFUNCTION("""COMPUTED_VALUE"""),0.0)</f>
        <v>0</v>
      </c>
      <c r="W425" s="87">
        <f>IFERROR(__xludf.DUMMYFUNCTION("""COMPUTED_VALUE"""),0.0)</f>
        <v>0</v>
      </c>
      <c r="X425" s="88"/>
      <c r="Y425" s="74"/>
      <c r="Z425" s="74"/>
    </row>
    <row r="426">
      <c r="B426" s="74" t="str">
        <f>IFERROR(__xludf.DUMMYFUNCTION("""COMPUTED_VALUE"""),"1423")</f>
        <v>1423</v>
      </c>
      <c r="C426" s="74"/>
      <c r="D426" s="74" t="str">
        <f>IFERROR(__xludf.DUMMYFUNCTION("""COMPUTED_VALUE"""),"\\MCA-S\mk\2_BM\0_BMat\08_PYM\Inventario\excel\Imagen de refacciones\Sistema tuberia\Empaque de 6_ HD")</f>
        <v>\\MCA-S\mk\2_BM\0_BMat\08_PYM\Inventario\excel\Imagen de refacciones\Sistema tuberia\Empaque de 6_ HD</v>
      </c>
      <c r="E426" s="74"/>
      <c r="F426" s="74" t="str">
        <f>IFERROR(__xludf.DUMMYFUNCTION("""COMPUTED_VALUE"""),"Empaque de 6"" HD")</f>
        <v>Empaque de 6" HD</v>
      </c>
      <c r="G426" s="74"/>
      <c r="H426" s="74"/>
      <c r="I426" s="74" t="str">
        <f>IFERROR(__xludf.DUMMYFUNCTION("""COMPUTED_VALUE"""),"CG60D")</f>
        <v>CG60D</v>
      </c>
      <c r="J426" s="74"/>
      <c r="K426" s="74" t="str">
        <f>IFERROR(__xludf.DUMMYFUNCTION("""COMPUTED_VALUE"""),"Tuberia")</f>
        <v>Tuberia</v>
      </c>
      <c r="L426" s="74" t="str">
        <f>IFERROR(__xludf.DUMMYFUNCTION("""COMPUTED_VALUE"""),"Sellos y retenes")</f>
        <v>Sellos y retenes</v>
      </c>
      <c r="M426" s="74" t="str">
        <f>IFERROR(__xludf.DUMMYFUNCTION("""COMPUTED_VALUE"""),"Sin Asignar")</f>
        <v>Sin Asignar</v>
      </c>
      <c r="N426" s="87">
        <f>IFERROR(__xludf.DUMMYFUNCTION("""COMPUTED_VALUE"""),0.0)</f>
        <v>0</v>
      </c>
      <c r="O426" s="74"/>
      <c r="P426" s="74" t="str">
        <f>IFERROR(__xludf.DUMMYFUNCTION("""COMPUTED_VALUE"""),"No Available")</f>
        <v>No Available</v>
      </c>
      <c r="Q426" s="74"/>
      <c r="R426" s="74"/>
      <c r="S426" s="87">
        <f>IFERROR(__xludf.DUMMYFUNCTION("""COMPUTED_VALUE"""),0.0)</f>
        <v>0</v>
      </c>
      <c r="T426" s="87">
        <f>IFERROR(__xludf.DUMMYFUNCTION("""COMPUTED_VALUE"""),0.0)</f>
        <v>0</v>
      </c>
      <c r="U426" s="87">
        <f>IFERROR(__xludf.DUMMYFUNCTION("""COMPUTED_VALUE"""),0.0)</f>
        <v>0</v>
      </c>
      <c r="V426" s="87">
        <f>IFERROR(__xludf.DUMMYFUNCTION("""COMPUTED_VALUE"""),0.0)</f>
        <v>0</v>
      </c>
      <c r="W426" s="87">
        <f>IFERROR(__xludf.DUMMYFUNCTION("""COMPUTED_VALUE"""),0.0)</f>
        <v>0</v>
      </c>
      <c r="X426" s="88"/>
      <c r="Y426" s="74"/>
      <c r="Z426" s="74"/>
    </row>
    <row r="427">
      <c r="B427" s="74" t="str">
        <f>IFERROR(__xludf.DUMMYFUNCTION("""COMPUTED_VALUE"""),"1424")</f>
        <v>1424</v>
      </c>
      <c r="C427" s="74"/>
      <c r="D427" s="74" t="str">
        <f>IFERROR(__xludf.DUMMYFUNCTION("""COMPUTED_VALUE"""),"\\MCA-S\mk\2_BM\0_BMat\08_PYM\Inventario\excel\Imagen de refacciones\Sistema tuberia\Empaque de 1.5 HD")</f>
        <v>\\MCA-S\mk\2_BM\0_BMat\08_PYM\Inventario\excel\Imagen de refacciones\Sistema tuberia\Empaque de 1.5 HD</v>
      </c>
      <c r="E427" s="74"/>
      <c r="F427" s="74" t="str">
        <f>IFERROR(__xludf.DUMMYFUNCTION("""COMPUTED_VALUE"""),"Empaque de 1.5 HD")</f>
        <v>Empaque de 1.5 HD</v>
      </c>
      <c r="G427" s="74"/>
      <c r="H427" s="74"/>
      <c r="I427" s="74" t="str">
        <f>IFERROR(__xludf.DUMMYFUNCTION("""COMPUTED_VALUE"""),"CG15D")</f>
        <v>CG15D</v>
      </c>
      <c r="J427" s="74"/>
      <c r="K427" s="74" t="str">
        <f>IFERROR(__xludf.DUMMYFUNCTION("""COMPUTED_VALUE"""),"Tuberia")</f>
        <v>Tuberia</v>
      </c>
      <c r="L427" s="74" t="str">
        <f>IFERROR(__xludf.DUMMYFUNCTION("""COMPUTED_VALUE"""),"Sellos y retenes")</f>
        <v>Sellos y retenes</v>
      </c>
      <c r="M427" s="74" t="str">
        <f>IFERROR(__xludf.DUMMYFUNCTION("""COMPUTED_VALUE"""),"Sin Asignar")</f>
        <v>Sin Asignar</v>
      </c>
      <c r="N427" s="87">
        <f>IFERROR(__xludf.DUMMYFUNCTION("""COMPUTED_VALUE"""),0.0)</f>
        <v>0</v>
      </c>
      <c r="O427" s="74"/>
      <c r="P427" s="74" t="str">
        <f>IFERROR(__xludf.DUMMYFUNCTION("""COMPUTED_VALUE"""),"No Available")</f>
        <v>No Available</v>
      </c>
      <c r="Q427" s="74"/>
      <c r="R427" s="74"/>
      <c r="S427" s="87">
        <f>IFERROR(__xludf.DUMMYFUNCTION("""COMPUTED_VALUE"""),0.0)</f>
        <v>0</v>
      </c>
      <c r="T427" s="87">
        <f>IFERROR(__xludf.DUMMYFUNCTION("""COMPUTED_VALUE"""),0.0)</f>
        <v>0</v>
      </c>
      <c r="U427" s="87">
        <f>IFERROR(__xludf.DUMMYFUNCTION("""COMPUTED_VALUE"""),0.0)</f>
        <v>0</v>
      </c>
      <c r="V427" s="87">
        <f>IFERROR(__xludf.DUMMYFUNCTION("""COMPUTED_VALUE"""),0.0)</f>
        <v>0</v>
      </c>
      <c r="W427" s="87">
        <f>IFERROR(__xludf.DUMMYFUNCTION("""COMPUTED_VALUE"""),0.0)</f>
        <v>0</v>
      </c>
      <c r="X427" s="88"/>
      <c r="Y427" s="74"/>
      <c r="Z427" s="74"/>
    </row>
    <row r="428">
      <c r="B428" s="74" t="str">
        <f>IFERROR(__xludf.DUMMYFUNCTION("""COMPUTED_VALUE"""),"1425")</f>
        <v>1425</v>
      </c>
      <c r="C428" s="74"/>
      <c r="D428" s="74" t="str">
        <f>IFERROR(__xludf.DUMMYFUNCTION("""COMPUTED_VALUE"""),"\\MCA-S\mk\2_BM\0_BMat\08_PYM\Inventario\excel\Imagen de refacciones\Sistema tuberia\Empaque de 2_ HD")</f>
        <v>\\MCA-S\mk\2_BM\0_BMat\08_PYM\Inventario\excel\Imagen de refacciones\Sistema tuberia\Empaque de 2_ HD</v>
      </c>
      <c r="E428" s="74"/>
      <c r="F428" s="74" t="str">
        <f>IFERROR(__xludf.DUMMYFUNCTION("""COMPUTED_VALUE"""),"Empaque de 2"" HD")</f>
        <v>Empaque de 2" HD</v>
      </c>
      <c r="G428" s="74"/>
      <c r="H428" s="74"/>
      <c r="I428" s="74" t="str">
        <f>IFERROR(__xludf.DUMMYFUNCTION("""COMPUTED_VALUE"""),"CG20D")</f>
        <v>CG20D</v>
      </c>
      <c r="J428" s="74"/>
      <c r="K428" s="74" t="str">
        <f>IFERROR(__xludf.DUMMYFUNCTION("""COMPUTED_VALUE"""),"Tuberia")</f>
        <v>Tuberia</v>
      </c>
      <c r="L428" s="74" t="str">
        <f>IFERROR(__xludf.DUMMYFUNCTION("""COMPUTED_VALUE"""),"Sellos y retenes")</f>
        <v>Sellos y retenes</v>
      </c>
      <c r="M428" s="74" t="str">
        <f>IFERROR(__xludf.DUMMYFUNCTION("""COMPUTED_VALUE"""),"Sin Asignar")</f>
        <v>Sin Asignar</v>
      </c>
      <c r="N428" s="87">
        <f>IFERROR(__xludf.DUMMYFUNCTION("""COMPUTED_VALUE"""),0.0)</f>
        <v>0</v>
      </c>
      <c r="O428" s="74"/>
      <c r="P428" s="74" t="str">
        <f>IFERROR(__xludf.DUMMYFUNCTION("""COMPUTED_VALUE"""),"No Available")</f>
        <v>No Available</v>
      </c>
      <c r="Q428" s="74"/>
      <c r="R428" s="74"/>
      <c r="S428" s="87">
        <f>IFERROR(__xludf.DUMMYFUNCTION("""COMPUTED_VALUE"""),0.0)</f>
        <v>0</v>
      </c>
      <c r="T428" s="87">
        <f>IFERROR(__xludf.DUMMYFUNCTION("""COMPUTED_VALUE"""),0.0)</f>
        <v>0</v>
      </c>
      <c r="U428" s="87">
        <f>IFERROR(__xludf.DUMMYFUNCTION("""COMPUTED_VALUE"""),0.0)</f>
        <v>0</v>
      </c>
      <c r="V428" s="87">
        <f>IFERROR(__xludf.DUMMYFUNCTION("""COMPUTED_VALUE"""),0.0)</f>
        <v>0</v>
      </c>
      <c r="W428" s="87">
        <f>IFERROR(__xludf.DUMMYFUNCTION("""COMPUTED_VALUE"""),0.0)</f>
        <v>0</v>
      </c>
      <c r="X428" s="88"/>
      <c r="Y428" s="74"/>
      <c r="Z428" s="74"/>
    </row>
    <row r="429">
      <c r="B429" s="74" t="str">
        <f>IFERROR(__xludf.DUMMYFUNCTION("""COMPUTED_VALUE"""),"1426")</f>
        <v>1426</v>
      </c>
      <c r="C429" s="74"/>
      <c r="D429" s="74" t="str">
        <f>IFERROR(__xludf.DUMMYFUNCTION("""COMPUTED_VALUE"""),"\\MCA-S\mk\2_BM\0_BMat\08_PYM\Inventario\excel\Imagen de refacciones\Sistema tuberia\Empaque de 2_ HD (1)")</f>
        <v>\\MCA-S\mk\2_BM\0_BMat\08_PYM\Inventario\excel\Imagen de refacciones\Sistema tuberia\Empaque de 2_ HD (1)</v>
      </c>
      <c r="E429" s="74"/>
      <c r="F429" s="74" t="str">
        <f>IFERROR(__xludf.DUMMYFUNCTION("""COMPUTED_VALUE"""),"Empaque de 2"" HD")</f>
        <v>Empaque de 2" HD</v>
      </c>
      <c r="G429" s="74"/>
      <c r="H429" s="74"/>
      <c r="I429" s="74" t="str">
        <f>IFERROR(__xludf.DUMMYFUNCTION("""COMPUTED_VALUE"""),"CG20D")</f>
        <v>CG20D</v>
      </c>
      <c r="J429" s="74"/>
      <c r="K429" s="74" t="str">
        <f>IFERROR(__xludf.DUMMYFUNCTION("""COMPUTED_VALUE"""),"Tuberia")</f>
        <v>Tuberia</v>
      </c>
      <c r="L429" s="74" t="str">
        <f>IFERROR(__xludf.DUMMYFUNCTION("""COMPUTED_VALUE"""),"Sellos y retenes")</f>
        <v>Sellos y retenes</v>
      </c>
      <c r="M429" s="74" t="str">
        <f>IFERROR(__xludf.DUMMYFUNCTION("""COMPUTED_VALUE"""),"Sin Asignar")</f>
        <v>Sin Asignar</v>
      </c>
      <c r="N429" s="87">
        <f>IFERROR(__xludf.DUMMYFUNCTION("""COMPUTED_VALUE"""),0.0)</f>
        <v>0</v>
      </c>
      <c r="O429" s="74"/>
      <c r="P429" s="74" t="str">
        <f>IFERROR(__xludf.DUMMYFUNCTION("""COMPUTED_VALUE"""),"No Available")</f>
        <v>No Available</v>
      </c>
      <c r="Q429" s="74"/>
      <c r="R429" s="74"/>
      <c r="S429" s="87">
        <f>IFERROR(__xludf.DUMMYFUNCTION("""COMPUTED_VALUE"""),0.0)</f>
        <v>0</v>
      </c>
      <c r="T429" s="87">
        <f>IFERROR(__xludf.DUMMYFUNCTION("""COMPUTED_VALUE"""),0.0)</f>
        <v>0</v>
      </c>
      <c r="U429" s="87">
        <f>IFERROR(__xludf.DUMMYFUNCTION("""COMPUTED_VALUE"""),0.0)</f>
        <v>0</v>
      </c>
      <c r="V429" s="87">
        <f>IFERROR(__xludf.DUMMYFUNCTION("""COMPUTED_VALUE"""),0.0)</f>
        <v>0</v>
      </c>
      <c r="W429" s="87">
        <f>IFERROR(__xludf.DUMMYFUNCTION("""COMPUTED_VALUE"""),0.0)</f>
        <v>0</v>
      </c>
      <c r="X429" s="88"/>
      <c r="Y429" s="74"/>
      <c r="Z429" s="74"/>
    </row>
    <row r="430">
      <c r="B430" s="74" t="str">
        <f>IFERROR(__xludf.DUMMYFUNCTION("""COMPUTED_VALUE"""),"1427")</f>
        <v>1427</v>
      </c>
      <c r="C430" s="74"/>
      <c r="D430" s="74" t="str">
        <f>IFERROR(__xludf.DUMMYFUNCTION("""COMPUTED_VALUE"""),"\\MCA-S\mk\2_BM\0_BMat\08_PYM\Inventario\excel\Imagen de refacciones\Sistema tuberia\Empaque 2.5_ HD")</f>
        <v>\\MCA-S\mk\2_BM\0_BMat\08_PYM\Inventario\excel\Imagen de refacciones\Sistema tuberia\Empaque 2.5_ HD</v>
      </c>
      <c r="E430" s="74"/>
      <c r="F430" s="74" t="str">
        <f>IFERROR(__xludf.DUMMYFUNCTION("""COMPUTED_VALUE"""),"Empaque 2.5"" HD")</f>
        <v>Empaque 2.5" HD</v>
      </c>
      <c r="G430" s="74"/>
      <c r="H430" s="74"/>
      <c r="I430" s="74" t="str">
        <f>IFERROR(__xludf.DUMMYFUNCTION("""COMPUTED_VALUE"""),"CG25D")</f>
        <v>CG25D</v>
      </c>
      <c r="J430" s="74"/>
      <c r="K430" s="74" t="str">
        <f>IFERROR(__xludf.DUMMYFUNCTION("""COMPUTED_VALUE"""),"Tuberia")</f>
        <v>Tuberia</v>
      </c>
      <c r="L430" s="74" t="str">
        <f>IFERROR(__xludf.DUMMYFUNCTION("""COMPUTED_VALUE"""),"Sellos y retenes")</f>
        <v>Sellos y retenes</v>
      </c>
      <c r="M430" s="74" t="str">
        <f>IFERROR(__xludf.DUMMYFUNCTION("""COMPUTED_VALUE"""),"Sin Asignar")</f>
        <v>Sin Asignar</v>
      </c>
      <c r="N430" s="87">
        <f>IFERROR(__xludf.DUMMYFUNCTION("""COMPUTED_VALUE"""),0.0)</f>
        <v>0</v>
      </c>
      <c r="O430" s="74"/>
      <c r="P430" s="74" t="str">
        <f>IFERROR(__xludf.DUMMYFUNCTION("""COMPUTED_VALUE"""),"No Available")</f>
        <v>No Available</v>
      </c>
      <c r="Q430" s="74"/>
      <c r="R430" s="74"/>
      <c r="S430" s="87">
        <f>IFERROR(__xludf.DUMMYFUNCTION("""COMPUTED_VALUE"""),0.0)</f>
        <v>0</v>
      </c>
      <c r="T430" s="87">
        <f>IFERROR(__xludf.DUMMYFUNCTION("""COMPUTED_VALUE"""),0.0)</f>
        <v>0</v>
      </c>
      <c r="U430" s="87">
        <f>IFERROR(__xludf.DUMMYFUNCTION("""COMPUTED_VALUE"""),0.0)</f>
        <v>0</v>
      </c>
      <c r="V430" s="87">
        <f>IFERROR(__xludf.DUMMYFUNCTION("""COMPUTED_VALUE"""),0.0)</f>
        <v>0</v>
      </c>
      <c r="W430" s="87">
        <f>IFERROR(__xludf.DUMMYFUNCTION("""COMPUTED_VALUE"""),0.0)</f>
        <v>0</v>
      </c>
      <c r="X430" s="88"/>
      <c r="Y430" s="74"/>
      <c r="Z430" s="74"/>
    </row>
    <row r="431">
      <c r="B431" s="74" t="str">
        <f>IFERROR(__xludf.DUMMYFUNCTION("""COMPUTED_VALUE"""),"1428")</f>
        <v>1428</v>
      </c>
      <c r="C431" s="74"/>
      <c r="D431" s="74" t="str">
        <f>IFERROR(__xludf.DUMMYFUNCTION("""COMPUTED_VALUE"""),"\\MCA-S\mk\2_BM\0_BMat\08_PYM\Inventario\excel\Imagen de refacciones\Sistema tuberia\Empague 3_ HD")</f>
        <v>\\MCA-S\mk\2_BM\0_BMat\08_PYM\Inventario\excel\Imagen de refacciones\Sistema tuberia\Empague 3_ HD</v>
      </c>
      <c r="E431" s="74"/>
      <c r="F431" s="74" t="str">
        <f>IFERROR(__xludf.DUMMYFUNCTION("""COMPUTED_VALUE"""),"Empague 3"" HD")</f>
        <v>Empague 3" HD</v>
      </c>
      <c r="G431" s="74"/>
      <c r="H431" s="74"/>
      <c r="I431" s="74" t="str">
        <f>IFERROR(__xludf.DUMMYFUNCTION("""COMPUTED_VALUE"""),"CG30D")</f>
        <v>CG30D</v>
      </c>
      <c r="J431" s="74"/>
      <c r="K431" s="74" t="str">
        <f>IFERROR(__xludf.DUMMYFUNCTION("""COMPUTED_VALUE"""),"Tuberia")</f>
        <v>Tuberia</v>
      </c>
      <c r="L431" s="74" t="str">
        <f>IFERROR(__xludf.DUMMYFUNCTION("""COMPUTED_VALUE"""),"Sellos y retenes")</f>
        <v>Sellos y retenes</v>
      </c>
      <c r="M431" s="74" t="str">
        <f>IFERROR(__xludf.DUMMYFUNCTION("""COMPUTED_VALUE"""),"Sin Asignar")</f>
        <v>Sin Asignar</v>
      </c>
      <c r="N431" s="87">
        <f>IFERROR(__xludf.DUMMYFUNCTION("""COMPUTED_VALUE"""),0.0)</f>
        <v>0</v>
      </c>
      <c r="O431" s="74"/>
      <c r="P431" s="74" t="str">
        <f>IFERROR(__xludf.DUMMYFUNCTION("""COMPUTED_VALUE"""),"No Available")</f>
        <v>No Available</v>
      </c>
      <c r="Q431" s="74"/>
      <c r="R431" s="74"/>
      <c r="S431" s="87">
        <f>IFERROR(__xludf.DUMMYFUNCTION("""COMPUTED_VALUE"""),0.0)</f>
        <v>0</v>
      </c>
      <c r="T431" s="87">
        <f>IFERROR(__xludf.DUMMYFUNCTION("""COMPUTED_VALUE"""),0.0)</f>
        <v>0</v>
      </c>
      <c r="U431" s="87">
        <f>IFERROR(__xludf.DUMMYFUNCTION("""COMPUTED_VALUE"""),0.0)</f>
        <v>0</v>
      </c>
      <c r="V431" s="87">
        <f>IFERROR(__xludf.DUMMYFUNCTION("""COMPUTED_VALUE"""),0.0)</f>
        <v>0</v>
      </c>
      <c r="W431" s="87">
        <f>IFERROR(__xludf.DUMMYFUNCTION("""COMPUTED_VALUE"""),0.0)</f>
        <v>0</v>
      </c>
      <c r="X431" s="88"/>
      <c r="Y431" s="74"/>
      <c r="Z431" s="74"/>
    </row>
    <row r="432">
      <c r="B432" s="74" t="str">
        <f>IFERROR(__xludf.DUMMYFUNCTION("""COMPUTED_VALUE"""),"1429")</f>
        <v>1429</v>
      </c>
      <c r="C432" s="74" t="str">
        <f>IFERROR(__xludf.DUMMYFUNCTION("""COMPUTED_VALUE"""),"75045880248")</f>
        <v>75045880248</v>
      </c>
      <c r="D432" s="74" t="str">
        <f>IFERROR(__xludf.DUMMYFUNCTION("""COMPUTED_VALUE"""),"\\MCA-S\mk\2_BM\0_BMat\08_PYM\Inventario\excel\Imagen de refacciones\Sistema tuberia\EMPAQUE DE 5_ - METRICO CON CEJA")</f>
        <v>\\MCA-S\mk\2_BM\0_BMat\08_PYM\Inventario\excel\Imagen de refacciones\Sistema tuberia\EMPAQUE DE 5_ - METRICO CON CEJA</v>
      </c>
      <c r="E432" s="74" t="str">
        <f>IFERROR(__xludf.DUMMYFUNCTION("""COMPUTED_VALUE"""),"SEAL COUPLING DN125 5-1/2"" MET. WITH LIP")</f>
        <v>SEAL COUPLING DN125 5-1/2" MET. WITH LIP</v>
      </c>
      <c r="F432" s="74" t="str">
        <f>IFERROR(__xludf.DUMMYFUNCTION("""COMPUTED_VALUE"""),"EMPAQUE DN125 5-1/2"" MET. CON CEJA ")</f>
        <v>EMPAQUE DN125 5-1/2" MET. CON CEJA </v>
      </c>
      <c r="G432" s="74" t="str">
        <f>IFERROR(__xludf.DUMMYFUNCTION("""COMPUTED_VALUE"""),"EMPAQUE 5"" MET. CON CEJA")</f>
        <v>EMPAQUE 5" MET. CON CEJA</v>
      </c>
      <c r="H432" s="74" t="str">
        <f>IFERROR(__xludf.DUMMYFUNCTION("""COMPUTED_VALUE"""),"EMPAQUETADURA DE GOMA DN125 CON LABIO MEDIO PARA BOMBA DE HORMIGON")</f>
        <v>EMPAQUETADURA DE GOMA DN125 CON LABIO MEDIO PARA BOMBA DE HORMIGON</v>
      </c>
      <c r="I432" s="74" t="str">
        <f>IFERROR(__xludf.DUMMYFUNCTION("""COMPUTED_VALUE"""),"81669004")</f>
        <v>81669004</v>
      </c>
      <c r="J432" s="74"/>
      <c r="K432" s="74" t="str">
        <f>IFERROR(__xludf.DUMMYFUNCTION("""COMPUTED_VALUE"""),"Tuberia")</f>
        <v>Tuberia</v>
      </c>
      <c r="L432" s="74" t="str">
        <f>IFERROR(__xludf.DUMMYFUNCTION("""COMPUTED_VALUE"""),"TUBERIA")</f>
        <v>TUBERIA</v>
      </c>
      <c r="M432" s="74" t="str">
        <f>IFERROR(__xludf.DUMMYFUNCTION("""COMPUTED_VALUE"""),"EMPAQUES")</f>
        <v>EMPAQUES</v>
      </c>
      <c r="N432" s="87">
        <f>IFERROR(__xludf.DUMMYFUNCTION("""COMPUTED_VALUE"""),53.28)</f>
        <v>53.28</v>
      </c>
      <c r="O432" s="74">
        <f>IFERROR(__xludf.DUMMYFUNCTION("""COMPUTED_VALUE"""),250.0)</f>
        <v>250</v>
      </c>
      <c r="P432" s="74" t="str">
        <f>IFERROR(__xludf.DUMMYFUNCTION("""COMPUTED_VALUE"""),"In stock")</f>
        <v>In stock</v>
      </c>
      <c r="Q432" s="74"/>
      <c r="R432" s="74"/>
      <c r="S432" s="87">
        <f>IFERROR(__xludf.DUMMYFUNCTION("""COMPUTED_VALUE"""),0.7)</f>
        <v>0.7</v>
      </c>
      <c r="T432" s="87">
        <f>IFERROR(__xludf.DUMMYFUNCTION("""COMPUTED_VALUE"""),3.0)</f>
        <v>3</v>
      </c>
      <c r="U432" s="87">
        <f>IFERROR(__xludf.DUMMYFUNCTION("""COMPUTED_VALUE"""),2.88)</f>
        <v>2.88</v>
      </c>
      <c r="V432" s="87">
        <f>IFERROR(__xludf.DUMMYFUNCTION("""COMPUTED_VALUE"""),0.8574999999999999)</f>
        <v>0.8575</v>
      </c>
      <c r="W432" s="87">
        <f>IFERROR(__xludf.DUMMYFUNCTION("""COMPUTED_VALUE"""),16.078125)</f>
        <v>16.078125</v>
      </c>
      <c r="X432" s="88">
        <f>IFERROR(__xludf.DUMMYFUNCTION("""COMPUTED_VALUE"""),4.114285714285715)</f>
        <v>4.114285714</v>
      </c>
      <c r="Y432" s="74"/>
      <c r="Z432" s="74"/>
    </row>
    <row r="433">
      <c r="B433" s="74" t="str">
        <f>IFERROR(__xludf.DUMMYFUNCTION("""COMPUTED_VALUE"""),"1430")</f>
        <v>1430</v>
      </c>
      <c r="C433" s="74" t="str">
        <f>IFERROR(__xludf.DUMMYFUNCTION("""COMPUTED_VALUE"""),"75045880247")</f>
        <v>75045880247</v>
      </c>
      <c r="D433" s="74" t="str">
        <f>IFERROR(__xludf.DUMMYFUNCTION("""COMPUTED_VALUE"""),"\\MCA-S\mk\2_BM\0_BMat\08_PYM\Inventario\excel\Imagen de refacciones\Sistema tuberia\Empaque de 5_ - metrico sin ceja")</f>
        <v>\\MCA-S\mk\2_BM\0_BMat\08_PYM\Inventario\excel\Imagen de refacciones\Sistema tuberia\Empaque de 5_ - metrico sin ceja</v>
      </c>
      <c r="E433" s="74" t="str">
        <f>IFERROR(__xludf.DUMMYFUNCTION("""COMPUTED_VALUE"""),"SEAL COUPLING DN125 5-1/2"" MET. NO LIP")</f>
        <v>SEAL COUPLING DN125 5-1/2" MET. NO LIP</v>
      </c>
      <c r="F433" s="74" t="str">
        <f>IFERROR(__xludf.DUMMYFUNCTION("""COMPUTED_VALUE"""),"EMPAQUE DN125 5-1/2"" MET. SIN CEJA")</f>
        <v>EMPAQUE DN125 5-1/2" MET. SIN CEJA</v>
      </c>
      <c r="G433" s="74" t="str">
        <f>IFERROR(__xludf.DUMMYFUNCTION("""COMPUTED_VALUE"""),"EMPAQUE 5"" MET. SIN CEJA")</f>
        <v>EMPAQUE 5" MET. SIN CEJA</v>
      </c>
      <c r="H433" s="74" t="str">
        <f>IFERROR(__xludf.DUMMYFUNCTION("""COMPUTED_VALUE"""),"EMPAQUETADURA DE GOMA DN125 PARA BOMBA DE HORMIGON")</f>
        <v>EMPAQUETADURA DE GOMA DN125 PARA BOMBA DE HORMIGON</v>
      </c>
      <c r="I433" s="74" t="str">
        <f>IFERROR(__xludf.DUMMYFUNCTION("""COMPUTED_VALUE"""),"10002526")</f>
        <v>10002526</v>
      </c>
      <c r="J433" s="74"/>
      <c r="K433" s="74" t="str">
        <f>IFERROR(__xludf.DUMMYFUNCTION("""COMPUTED_VALUE"""),"Tuberia")</f>
        <v>Tuberia</v>
      </c>
      <c r="L433" s="74" t="str">
        <f>IFERROR(__xludf.DUMMYFUNCTION("""COMPUTED_VALUE"""),"TUBERIA")</f>
        <v>TUBERIA</v>
      </c>
      <c r="M433" s="74" t="str">
        <f>IFERROR(__xludf.DUMMYFUNCTION("""COMPUTED_VALUE"""),"EMPAQUES")</f>
        <v>EMPAQUES</v>
      </c>
      <c r="N433" s="87">
        <f>IFERROR(__xludf.DUMMYFUNCTION("""COMPUTED_VALUE"""),53.28)</f>
        <v>53.28</v>
      </c>
      <c r="O433" s="74">
        <f>IFERROR(__xludf.DUMMYFUNCTION("""COMPUTED_VALUE"""),250.0)</f>
        <v>250</v>
      </c>
      <c r="P433" s="74" t="str">
        <f>IFERROR(__xludf.DUMMYFUNCTION("""COMPUTED_VALUE"""),"In stock")</f>
        <v>In stock</v>
      </c>
      <c r="Q433" s="74"/>
      <c r="R433" s="74"/>
      <c r="S433" s="87">
        <f>IFERROR(__xludf.DUMMYFUNCTION("""COMPUTED_VALUE"""),0.7)</f>
        <v>0.7</v>
      </c>
      <c r="T433" s="87">
        <f>IFERROR(__xludf.DUMMYFUNCTION("""COMPUTED_VALUE"""),3.0)</f>
        <v>3</v>
      </c>
      <c r="U433" s="87">
        <f>IFERROR(__xludf.DUMMYFUNCTION("""COMPUTED_VALUE"""),2.88)</f>
        <v>2.88</v>
      </c>
      <c r="V433" s="87">
        <f>IFERROR(__xludf.DUMMYFUNCTION("""COMPUTED_VALUE"""),0.8574999999999999)</f>
        <v>0.8575</v>
      </c>
      <c r="W433" s="87">
        <f>IFERROR(__xludf.DUMMYFUNCTION("""COMPUTED_VALUE"""),16.078125)</f>
        <v>16.078125</v>
      </c>
      <c r="X433" s="88">
        <f>IFERROR(__xludf.DUMMYFUNCTION("""COMPUTED_VALUE"""),4.114285714285715)</f>
        <v>4.114285714</v>
      </c>
      <c r="Y433" s="74"/>
      <c r="Z433" s="74"/>
    </row>
    <row r="434">
      <c r="B434" s="74" t="str">
        <f>IFERROR(__xludf.DUMMYFUNCTION("""COMPUTED_VALUE"""),"1431")</f>
        <v>1431</v>
      </c>
      <c r="C434" s="74"/>
      <c r="D434" s="74" t="str">
        <f>IFERROR(__xludf.DUMMYFUNCTION("""COMPUTED_VALUE"""),"\\MCA-S\mk\2_BM\0_BMat\08_PYM\Inventario\excel\Imagen de refacciones\Bombeo de concreto\end hose 5_ 2 MT double flange _ Manguera terminal doble brida")</f>
        <v>\\MCA-S\mk\2_BM\0_BMat\08_PYM\Inventario\excel\Imagen de refacciones\Bombeo de concreto\end hose 5_ 2 MT double flange _ Manguera terminal doble brida</v>
      </c>
      <c r="E434" s="74"/>
      <c r="F434" s="74" t="str">
        <f>IFERROR(__xludf.DUMMYFUNCTION("""COMPUTED_VALUE"""),"end hose 5"" 2 MT double flange / Manguera terminal doble brida")</f>
        <v>end hose 5" 2 MT double flange / Manguera terminal doble brida</v>
      </c>
      <c r="G434" s="74"/>
      <c r="H434" s="74"/>
      <c r="I434" s="74" t="str">
        <f>IFERROR(__xludf.DUMMYFUNCTION("""COMPUTED_VALUE"""),"SOM10003")</f>
        <v>SOM10003</v>
      </c>
      <c r="J434" s="74"/>
      <c r="K434" s="74" t="str">
        <f>IFERROR(__xludf.DUMMYFUNCTION("""COMPUTED_VALUE"""),"Tuberia")</f>
        <v>Tuberia</v>
      </c>
      <c r="L434" s="74" t="str">
        <f>IFERROR(__xludf.DUMMYFUNCTION("""COMPUTED_VALUE"""),"Sistema de bombeo de concreto")</f>
        <v>Sistema de bombeo de concreto</v>
      </c>
      <c r="M434" s="74" t="str">
        <f>IFERROR(__xludf.DUMMYFUNCTION("""COMPUTED_VALUE"""),"Sin Asignar")</f>
        <v>Sin Asignar</v>
      </c>
      <c r="N434" s="87">
        <f>IFERROR(__xludf.DUMMYFUNCTION("""COMPUTED_VALUE"""),0.0)</f>
        <v>0</v>
      </c>
      <c r="O434" s="74"/>
      <c r="P434" s="74" t="str">
        <f>IFERROR(__xludf.DUMMYFUNCTION("""COMPUTED_VALUE"""),"No Available")</f>
        <v>No Available</v>
      </c>
      <c r="Q434" s="74"/>
      <c r="R434" s="74"/>
      <c r="S434" s="87">
        <f>IFERROR(__xludf.DUMMYFUNCTION("""COMPUTED_VALUE"""),0.0)</f>
        <v>0</v>
      </c>
      <c r="T434" s="87">
        <f>IFERROR(__xludf.DUMMYFUNCTION("""COMPUTED_VALUE"""),0.0)</f>
        <v>0</v>
      </c>
      <c r="U434" s="87">
        <f>IFERROR(__xludf.DUMMYFUNCTION("""COMPUTED_VALUE"""),0.0)</f>
        <v>0</v>
      </c>
      <c r="V434" s="87">
        <f>IFERROR(__xludf.DUMMYFUNCTION("""COMPUTED_VALUE"""),0.0)</f>
        <v>0</v>
      </c>
      <c r="W434" s="87">
        <f>IFERROR(__xludf.DUMMYFUNCTION("""COMPUTED_VALUE"""),0.0)</f>
        <v>0</v>
      </c>
      <c r="X434" s="88"/>
      <c r="Y434" s="74"/>
      <c r="Z434" s="74"/>
    </row>
    <row r="435">
      <c r="B435" s="74" t="str">
        <f>IFERROR(__xludf.DUMMYFUNCTION("""COMPUTED_VALUE"""),"1432")</f>
        <v>1432</v>
      </c>
      <c r="C435" s="74"/>
      <c r="D435" s="74" t="str">
        <f>IFERROR(__xludf.DUMMYFUNCTION("""COMPUTED_VALUE"""),"\\MCA-S\mk\2_BM\0_BMat\08_PYM\Inventario\excel\Imagen de refacciones\Bombeo de concreto\End hose 5_ 3 MT double flange _ Manguera terminal 5_ 3MT doble brida")</f>
        <v>\\MCA-S\mk\2_BM\0_BMat\08_PYM\Inventario\excel\Imagen de refacciones\Bombeo de concreto\End hose 5_ 3 MT double flange _ Manguera terminal 5_ 3MT doble brida</v>
      </c>
      <c r="E435" s="74"/>
      <c r="F435" s="74" t="str">
        <f>IFERROR(__xludf.DUMMYFUNCTION("""COMPUTED_VALUE"""),"End hose 5"" 3 MT double flange / Manguera terminal 5"" 3MT doble brida")</f>
        <v>End hose 5" 3 MT double flange / Manguera terminal 5" 3MT doble brida</v>
      </c>
      <c r="G435" s="74"/>
      <c r="H435" s="74"/>
      <c r="I435" s="74" t="str">
        <f>IFERROR(__xludf.DUMMYFUNCTION("""COMPUTED_VALUE"""),"SOM10004")</f>
        <v>SOM10004</v>
      </c>
      <c r="J435" s="74"/>
      <c r="K435" s="74" t="str">
        <f>IFERROR(__xludf.DUMMYFUNCTION("""COMPUTED_VALUE"""),"Tuberia")</f>
        <v>Tuberia</v>
      </c>
      <c r="L435" s="74" t="str">
        <f>IFERROR(__xludf.DUMMYFUNCTION("""COMPUTED_VALUE"""),"Sistema de bombeo de concreto")</f>
        <v>Sistema de bombeo de concreto</v>
      </c>
      <c r="M435" s="74" t="str">
        <f>IFERROR(__xludf.DUMMYFUNCTION("""COMPUTED_VALUE"""),"Sin Asignar")</f>
        <v>Sin Asignar</v>
      </c>
      <c r="N435" s="87">
        <f>IFERROR(__xludf.DUMMYFUNCTION("""COMPUTED_VALUE"""),0.0)</f>
        <v>0</v>
      </c>
      <c r="O435" s="74"/>
      <c r="P435" s="74" t="str">
        <f>IFERROR(__xludf.DUMMYFUNCTION("""COMPUTED_VALUE"""),"No Available")</f>
        <v>No Available</v>
      </c>
      <c r="Q435" s="74"/>
      <c r="R435" s="74"/>
      <c r="S435" s="87">
        <f>IFERROR(__xludf.DUMMYFUNCTION("""COMPUTED_VALUE"""),0.0)</f>
        <v>0</v>
      </c>
      <c r="T435" s="87">
        <f>IFERROR(__xludf.DUMMYFUNCTION("""COMPUTED_VALUE"""),0.0)</f>
        <v>0</v>
      </c>
      <c r="U435" s="87">
        <f>IFERROR(__xludf.DUMMYFUNCTION("""COMPUTED_VALUE"""),0.0)</f>
        <v>0</v>
      </c>
      <c r="V435" s="87">
        <f>IFERROR(__xludf.DUMMYFUNCTION("""COMPUTED_VALUE"""),0.0)</f>
        <v>0</v>
      </c>
      <c r="W435" s="87">
        <f>IFERROR(__xludf.DUMMYFUNCTION("""COMPUTED_VALUE"""),0.0)</f>
        <v>0</v>
      </c>
      <c r="X435" s="88"/>
      <c r="Y435" s="74"/>
      <c r="Z435" s="74"/>
    </row>
    <row r="436">
      <c r="B436" s="74" t="str">
        <f>IFERROR(__xludf.DUMMYFUNCTION("""COMPUTED_VALUE"""),"1433")</f>
        <v>1433</v>
      </c>
      <c r="C436" s="74"/>
      <c r="D436" s="74" t="str">
        <f>IFERROR(__xludf.DUMMYFUNCTION("""COMPUTED_VALUE"""),"\\MCA-S\mk\2_BM\0_BMat\08_PYM\Inventario\excel\Imagen de refacciones\Bombeo de concreto\End hose 5_ 3 MT single flange _ Manguera terminal 5_ 3MT simple brida")</f>
        <v>\\MCA-S\mk\2_BM\0_BMat\08_PYM\Inventario\excel\Imagen de refacciones\Bombeo de concreto\End hose 5_ 3 MT single flange _ Manguera terminal 5_ 3MT simple brida</v>
      </c>
      <c r="E436" s="74"/>
      <c r="F436" s="74" t="str">
        <f>IFERROR(__xludf.DUMMYFUNCTION("""COMPUTED_VALUE"""),"End hose 5"" 3 MT single flange / Manguera terminal 5"" 3MT simple brida")</f>
        <v>End hose 5" 3 MT single flange / Manguera terminal 5" 3MT simple brida</v>
      </c>
      <c r="G436" s="74"/>
      <c r="H436" s="74"/>
      <c r="I436" s="74" t="str">
        <f>IFERROR(__xludf.DUMMYFUNCTION("""COMPUTED_VALUE"""),"SOM10005")</f>
        <v>SOM10005</v>
      </c>
      <c r="J436" s="74"/>
      <c r="K436" s="74" t="str">
        <f>IFERROR(__xludf.DUMMYFUNCTION("""COMPUTED_VALUE"""),"Tuberia")</f>
        <v>Tuberia</v>
      </c>
      <c r="L436" s="74" t="str">
        <f>IFERROR(__xludf.DUMMYFUNCTION("""COMPUTED_VALUE"""),"Sistema de bombeo de concreto")</f>
        <v>Sistema de bombeo de concreto</v>
      </c>
      <c r="M436" s="74" t="str">
        <f>IFERROR(__xludf.DUMMYFUNCTION("""COMPUTED_VALUE"""),"Sin Asignar")</f>
        <v>Sin Asignar</v>
      </c>
      <c r="N436" s="87">
        <f>IFERROR(__xludf.DUMMYFUNCTION("""COMPUTED_VALUE"""),0.0)</f>
        <v>0</v>
      </c>
      <c r="O436" s="74"/>
      <c r="P436" s="74" t="str">
        <f>IFERROR(__xludf.DUMMYFUNCTION("""COMPUTED_VALUE"""),"No Available")</f>
        <v>No Available</v>
      </c>
      <c r="Q436" s="74"/>
      <c r="R436" s="74"/>
      <c r="S436" s="87">
        <f>IFERROR(__xludf.DUMMYFUNCTION("""COMPUTED_VALUE"""),0.0)</f>
        <v>0</v>
      </c>
      <c r="T436" s="87">
        <f>IFERROR(__xludf.DUMMYFUNCTION("""COMPUTED_VALUE"""),0.0)</f>
        <v>0</v>
      </c>
      <c r="U436" s="87">
        <f>IFERROR(__xludf.DUMMYFUNCTION("""COMPUTED_VALUE"""),0.0)</f>
        <v>0</v>
      </c>
      <c r="V436" s="87">
        <f>IFERROR(__xludf.DUMMYFUNCTION("""COMPUTED_VALUE"""),0.0)</f>
        <v>0</v>
      </c>
      <c r="W436" s="87">
        <f>IFERROR(__xludf.DUMMYFUNCTION("""COMPUTED_VALUE"""),0.0)</f>
        <v>0</v>
      </c>
      <c r="X436" s="88"/>
      <c r="Y436" s="74"/>
      <c r="Z436" s="74"/>
    </row>
    <row r="437">
      <c r="B437" s="74" t="str">
        <f>IFERROR(__xludf.DUMMYFUNCTION("""COMPUTED_VALUE"""),"1434")</f>
        <v>1434</v>
      </c>
      <c r="C437" s="74"/>
      <c r="D437" s="74" t="str">
        <f>IFERROR(__xludf.DUMMYFUNCTION("""COMPUTED_VALUE"""),"\\MCA-S\mk\2_BM\0_BMat\08_PYM\Inventario\excel\Imagen de refacciones\Bombeo de concreto\End hose 5_ 4 MT single flange DN 125_ Manguera terminal 5_ 4MT doble brida DN 125")</f>
        <v>\\MCA-S\mk\2_BM\0_BMat\08_PYM\Inventario\excel\Imagen de refacciones\Bombeo de concreto\End hose 5_ 4 MT single flange DN 125_ Manguera terminal 5_ 4MT doble brida DN 125</v>
      </c>
      <c r="E437" s="74" t="str">
        <f>IFERROR(__xludf.DUMMYFUNCTION("""COMPUTED_VALUE"""),"FLEXIBLE HOSE 4 LAYER MET. DN125 SK148 5""X4m SINGLE END")</f>
        <v>FLEXIBLE HOSE 4 LAYER MET. DN125 SK148 5"X4m SINGLE END</v>
      </c>
      <c r="F437" s="74" t="str">
        <f>IFERROR(__xludf.DUMMYFUNCTION("""COMPUTED_VALUE"""),"MANGUERA FLEXIBLE 4 CAPAS MET. DN125 SK148 5""X4m BOQUILLA SENCILLA")</f>
        <v>MANGUERA FLEXIBLE 4 CAPAS MET. DN125 SK148 5"X4m BOQUILLA SENCILLA</v>
      </c>
      <c r="G437" s="74" t="str">
        <f>IFERROR(__xludf.DUMMYFUNCTION("""COMPUTED_VALUE"""),"MANGUERA 4 CAPAS 5""x4m MET. BOQUILLA SENCILLA")</f>
        <v>MANGUERA 4 CAPAS 5"x4m MET. BOQUILLA SENCILLA</v>
      </c>
      <c r="H437" s="74"/>
      <c r="I437" s="74" t="str">
        <f>IFERROR(__xludf.DUMMYFUNCTION("""COMPUTED_VALUE"""),"BMFH40001F")</f>
        <v>BMFH40001F</v>
      </c>
      <c r="J437" s="74"/>
      <c r="K437" s="74" t="str">
        <f>IFERROR(__xludf.DUMMYFUNCTION("""COMPUTED_VALUE"""),"Tuberia")</f>
        <v>Tuberia</v>
      </c>
      <c r="L437" s="74" t="str">
        <f>IFERROR(__xludf.DUMMYFUNCTION("""COMPUTED_VALUE"""),"TUBERIA FLEXIBLE")</f>
        <v>TUBERIA FLEXIBLE</v>
      </c>
      <c r="M437" s="74" t="str">
        <f>IFERROR(__xludf.DUMMYFUNCTION("""COMPUTED_VALUE"""),"TUBOS")</f>
        <v>TUBOS</v>
      </c>
      <c r="N437" s="87">
        <f>IFERROR(__xludf.DUMMYFUNCTION("""COMPUTED_VALUE"""),12662.880000000001)</f>
        <v>12662.88</v>
      </c>
      <c r="O437" s="74">
        <f>IFERROR(__xludf.DUMMYFUNCTION("""COMPUTED_VALUE"""),0.0)</f>
        <v>0</v>
      </c>
      <c r="P437" s="74" t="str">
        <f>IFERROR(__xludf.DUMMYFUNCTION("""COMPUTED_VALUE"""),"To Re-purchase")</f>
        <v>To Re-purchase</v>
      </c>
      <c r="Q437" s="74"/>
      <c r="R437" s="74"/>
      <c r="S437" s="87">
        <f>IFERROR(__xludf.DUMMYFUNCTION("""COMPUTED_VALUE"""),135.0)</f>
        <v>135</v>
      </c>
      <c r="T437" s="87">
        <f>IFERROR(__xludf.DUMMYFUNCTION("""COMPUTED_VALUE"""),713.0)</f>
        <v>713</v>
      </c>
      <c r="U437" s="87">
        <f>IFERROR(__xludf.DUMMYFUNCTION("""COMPUTED_VALUE"""),684.48)</f>
        <v>684.48</v>
      </c>
      <c r="V437" s="87">
        <f>IFERROR(__xludf.DUMMYFUNCTION("""COMPUTED_VALUE"""),165.375)</f>
        <v>165.375</v>
      </c>
      <c r="W437" s="87">
        <f>IFERROR(__xludf.DUMMYFUNCTION("""COMPUTED_VALUE"""),3100.78125)</f>
        <v>3100.78125</v>
      </c>
      <c r="X437" s="88">
        <f>IFERROR(__xludf.DUMMYFUNCTION("""COMPUTED_VALUE"""),5.070222222222222)</f>
        <v>5.070222222</v>
      </c>
      <c r="Y437" s="74"/>
      <c r="Z437" s="74"/>
    </row>
    <row r="438">
      <c r="B438" s="74" t="str">
        <f>IFERROR(__xludf.DUMMYFUNCTION("""COMPUTED_VALUE"""),"1435")</f>
        <v>1435</v>
      </c>
      <c r="C438" s="74" t="str">
        <f>IFERROR(__xludf.DUMMYFUNCTION("""COMPUTED_VALUE"""),"75045880454")</f>
        <v>75045880454</v>
      </c>
      <c r="D438" s="74" t="str">
        <f>IFERROR(__xludf.DUMMYFUNCTION("""COMPUTED_VALUE"""),"\\MCA-S\mk\2_BM\0_BMat\08_PYM\Inventario\excel\Imagen de refacciones\Bombeo de concreto\End hose 5_ 4 MT double flange DN125 _ Manguera terminal 5_ 4MT doble brida DN125")</f>
        <v>\\MCA-S\mk\2_BM\0_BMat\08_PYM\Inventario\excel\Imagen de refacciones\Bombeo de concreto\End hose 5_ 4 MT double flange DN125 _ Manguera terminal 5_ 4MT doble brida DN125</v>
      </c>
      <c r="E438" s="74" t="str">
        <f>IFERROR(__xludf.DUMMYFUNCTION("""COMPUTED_VALUE"""),"FLEXIBLE HOSE 4 LAYER MET. DN125 SK148 5""X4m DOUBLE END")</f>
        <v>FLEXIBLE HOSE 4 LAYER MET. DN125 SK148 5"X4m DOUBLE END</v>
      </c>
      <c r="F438" s="74" t="str">
        <f>IFERROR(__xludf.DUMMYFUNCTION("""COMPUTED_VALUE"""),"MANGUERA FLEXIBLE 4 CAPAS MET. DN125 SK148 5""X4m BOQUILLA DOBLE")</f>
        <v>MANGUERA FLEXIBLE 4 CAPAS MET. DN125 SK148 5"X4m BOQUILLA DOBLE</v>
      </c>
      <c r="G438" s="74" t="str">
        <f>IFERROR(__xludf.DUMMYFUNCTION("""COMPUTED_VALUE"""),"MANGUERA 4 CAPAS 5""x4m MET. BOQUILLA DOBLE")</f>
        <v>MANGUERA 4 CAPAS 5"x4m MET. BOQUILLA DOBLE</v>
      </c>
      <c r="H438" s="74" t="str">
        <f>IFERROR(__xludf.DUMMYFUNCTION("""COMPUTED_VALUE"""),"MANGUERA FLEXIBLE 4M PARA BOMBA DE HORMIGON")</f>
        <v>MANGUERA FLEXIBLE 4M PARA BOMBA DE HORMIGON</v>
      </c>
      <c r="I438" s="74" t="str">
        <f>IFERROR(__xludf.DUMMYFUNCTION("""COMPUTED_VALUE"""),"BMFH40002F")</f>
        <v>BMFH40002F</v>
      </c>
      <c r="J438" s="74"/>
      <c r="K438" s="74" t="str">
        <f>IFERROR(__xludf.DUMMYFUNCTION("""COMPUTED_VALUE"""),"Tuberia")</f>
        <v>Tuberia</v>
      </c>
      <c r="L438" s="74" t="str">
        <f>IFERROR(__xludf.DUMMYFUNCTION("""COMPUTED_VALUE"""),"TUBERIA FLEXIBLE")</f>
        <v>TUBERIA FLEXIBLE</v>
      </c>
      <c r="M438" s="74" t="str">
        <f>IFERROR(__xludf.DUMMYFUNCTION("""COMPUTED_VALUE"""),"TUBOS")</f>
        <v>TUBOS</v>
      </c>
      <c r="N438" s="87">
        <f>IFERROR(__xludf.DUMMYFUNCTION("""COMPUTED_VALUE"""),12662.880000000001)</f>
        <v>12662.88</v>
      </c>
      <c r="O438" s="74">
        <f>IFERROR(__xludf.DUMMYFUNCTION("""COMPUTED_VALUE"""),3.0)</f>
        <v>3</v>
      </c>
      <c r="P438" s="74" t="str">
        <f>IFERROR(__xludf.DUMMYFUNCTION("""COMPUTED_VALUE"""),"In stock")</f>
        <v>In stock</v>
      </c>
      <c r="Q438" s="74"/>
      <c r="R438" s="74"/>
      <c r="S438" s="87">
        <f>IFERROR(__xludf.DUMMYFUNCTION("""COMPUTED_VALUE"""),143.0)</f>
        <v>143</v>
      </c>
      <c r="T438" s="87">
        <f>IFERROR(__xludf.DUMMYFUNCTION("""COMPUTED_VALUE"""),713.0)</f>
        <v>713</v>
      </c>
      <c r="U438" s="87">
        <f>IFERROR(__xludf.DUMMYFUNCTION("""COMPUTED_VALUE"""),684.48)</f>
        <v>684.48</v>
      </c>
      <c r="V438" s="87">
        <f>IFERROR(__xludf.DUMMYFUNCTION("""COMPUTED_VALUE"""),175.175)</f>
        <v>175.175</v>
      </c>
      <c r="W438" s="87">
        <f>IFERROR(__xludf.DUMMYFUNCTION("""COMPUTED_VALUE"""),3284.53125)</f>
        <v>3284.53125</v>
      </c>
      <c r="X438" s="88">
        <f>IFERROR(__xludf.DUMMYFUNCTION("""COMPUTED_VALUE"""),4.786573426573427)</f>
        <v>4.786573427</v>
      </c>
      <c r="Y438" s="74"/>
      <c r="Z438" s="74"/>
    </row>
    <row r="439">
      <c r="B439" s="74" t="str">
        <f>IFERROR(__xludf.DUMMYFUNCTION("""COMPUTED_VALUE"""),"1436")</f>
        <v>1436</v>
      </c>
      <c r="C439" s="74"/>
      <c r="D439" s="74" t="str">
        <f>IFERROR(__xludf.DUMMYFUNCTION("""COMPUTED_VALUE"""),"\\MCA-S\mk\2_BM\0_BMat\08_PYM\Inventario\excel\Imagen de refacciones\Bombeo de concreto\End hose 5_ 4 MT double flange _ Manguera terminal 5_ 4MT doble brida")</f>
        <v>\\MCA-S\mk\2_BM\0_BMat\08_PYM\Inventario\excel\Imagen de refacciones\Bombeo de concreto\End hose 5_ 4 MT double flange _ Manguera terminal 5_ 4MT doble brida</v>
      </c>
      <c r="E439" s="74"/>
      <c r="F439" s="74" t="str">
        <f>IFERROR(__xludf.DUMMYFUNCTION("""COMPUTED_VALUE"""),"End hose 5"" 4 MT double flange / Manguera terminal 5"" 4MT doble brida")</f>
        <v>End hose 5" 4 MT double flange / Manguera terminal 5" 4MT doble brida</v>
      </c>
      <c r="G439" s="74"/>
      <c r="H439" s="74"/>
      <c r="I439" s="74" t="str">
        <f>IFERROR(__xludf.DUMMYFUNCTION("""COMPUTED_VALUE"""),"SOM10009")</f>
        <v>SOM10009</v>
      </c>
      <c r="J439" s="74"/>
      <c r="K439" s="74" t="str">
        <f>IFERROR(__xludf.DUMMYFUNCTION("""COMPUTED_VALUE"""),"Tuberia")</f>
        <v>Tuberia</v>
      </c>
      <c r="L439" s="74" t="str">
        <f>IFERROR(__xludf.DUMMYFUNCTION("""COMPUTED_VALUE"""),"Sistema de bombeo de concreto")</f>
        <v>Sistema de bombeo de concreto</v>
      </c>
      <c r="M439" s="74" t="str">
        <f>IFERROR(__xludf.DUMMYFUNCTION("""COMPUTED_VALUE"""),"Sin Asignar")</f>
        <v>Sin Asignar</v>
      </c>
      <c r="N439" s="87">
        <f>IFERROR(__xludf.DUMMYFUNCTION("""COMPUTED_VALUE"""),0.0)</f>
        <v>0</v>
      </c>
      <c r="O439" s="74"/>
      <c r="P439" s="74" t="str">
        <f>IFERROR(__xludf.DUMMYFUNCTION("""COMPUTED_VALUE"""),"No Available")</f>
        <v>No Available</v>
      </c>
      <c r="Q439" s="74"/>
      <c r="R439" s="74"/>
      <c r="S439" s="87">
        <f>IFERROR(__xludf.DUMMYFUNCTION("""COMPUTED_VALUE"""),0.0)</f>
        <v>0</v>
      </c>
      <c r="T439" s="87">
        <f>IFERROR(__xludf.DUMMYFUNCTION("""COMPUTED_VALUE"""),0.0)</f>
        <v>0</v>
      </c>
      <c r="U439" s="87">
        <f>IFERROR(__xludf.DUMMYFUNCTION("""COMPUTED_VALUE"""),0.0)</f>
        <v>0</v>
      </c>
      <c r="V439" s="87">
        <f>IFERROR(__xludf.DUMMYFUNCTION("""COMPUTED_VALUE"""),0.0)</f>
        <v>0</v>
      </c>
      <c r="W439" s="87">
        <f>IFERROR(__xludf.DUMMYFUNCTION("""COMPUTED_VALUE"""),0.0)</f>
        <v>0</v>
      </c>
      <c r="X439" s="88"/>
      <c r="Y439" s="74"/>
      <c r="Z439" s="74"/>
    </row>
    <row r="440">
      <c r="B440" s="74" t="str">
        <f>IFERROR(__xludf.DUMMYFUNCTION("""COMPUTED_VALUE"""),"1437")</f>
        <v>1437</v>
      </c>
      <c r="C440" s="74"/>
      <c r="D440" s="74" t="str">
        <f>IFERROR(__xludf.DUMMYFUNCTION("""COMPUTED_VALUE"""),"\\MCA-S\mk\2_BM\0_BMat\08_PYM\Inventario\excel\Imagen de refacciones\Sistema tuberia\End hose 5_ 5 MT double flange _ Manguera terminal 5_ 5MT doble brida")</f>
        <v>\\MCA-S\mk\2_BM\0_BMat\08_PYM\Inventario\excel\Imagen de refacciones\Sistema tuberia\End hose 5_ 5 MT double flange _ Manguera terminal 5_ 5MT doble brida</v>
      </c>
      <c r="E440" s="74"/>
      <c r="F440" s="74" t="str">
        <f>IFERROR(__xludf.DUMMYFUNCTION("""COMPUTED_VALUE"""),"End hose 5"" 5 MT double flange / Manguera terminal 5"" 5MT doble brida")</f>
        <v>End hose 5" 5 MT double flange / Manguera terminal 5" 5MT doble brida</v>
      </c>
      <c r="G440" s="74"/>
      <c r="H440" s="74"/>
      <c r="I440" s="74" t="str">
        <f>IFERROR(__xludf.DUMMYFUNCTION("""COMPUTED_VALUE"""),"SOM10010")</f>
        <v>SOM10010</v>
      </c>
      <c r="J440" s="74"/>
      <c r="K440" s="74" t="str">
        <f>IFERROR(__xludf.DUMMYFUNCTION("""COMPUTED_VALUE"""),"Tuberia")</f>
        <v>Tuberia</v>
      </c>
      <c r="L440" s="74" t="str">
        <f>IFERROR(__xludf.DUMMYFUNCTION("""COMPUTED_VALUE"""),"Sistema de bombeo de concreto")</f>
        <v>Sistema de bombeo de concreto</v>
      </c>
      <c r="M440" s="74" t="str">
        <f>IFERROR(__xludf.DUMMYFUNCTION("""COMPUTED_VALUE"""),"Sin Asignar")</f>
        <v>Sin Asignar</v>
      </c>
      <c r="N440" s="87">
        <f>IFERROR(__xludf.DUMMYFUNCTION("""COMPUTED_VALUE"""),0.0)</f>
        <v>0</v>
      </c>
      <c r="O440" s="74"/>
      <c r="P440" s="74" t="str">
        <f>IFERROR(__xludf.DUMMYFUNCTION("""COMPUTED_VALUE"""),"No Available")</f>
        <v>No Available</v>
      </c>
      <c r="Q440" s="74"/>
      <c r="R440" s="74"/>
      <c r="S440" s="87">
        <f>IFERROR(__xludf.DUMMYFUNCTION("""COMPUTED_VALUE"""),0.0)</f>
        <v>0</v>
      </c>
      <c r="T440" s="87">
        <f>IFERROR(__xludf.DUMMYFUNCTION("""COMPUTED_VALUE"""),0.0)</f>
        <v>0</v>
      </c>
      <c r="U440" s="87">
        <f>IFERROR(__xludf.DUMMYFUNCTION("""COMPUTED_VALUE"""),0.0)</f>
        <v>0</v>
      </c>
      <c r="V440" s="87">
        <f>IFERROR(__xludf.DUMMYFUNCTION("""COMPUTED_VALUE"""),0.0)</f>
        <v>0</v>
      </c>
      <c r="W440" s="87">
        <f>IFERROR(__xludf.DUMMYFUNCTION("""COMPUTED_VALUE"""),0.0)</f>
        <v>0</v>
      </c>
      <c r="X440" s="88"/>
      <c r="Y440" s="74"/>
      <c r="Z440" s="74"/>
    </row>
    <row r="441">
      <c r="B441" s="74" t="str">
        <f>IFERROR(__xludf.DUMMYFUNCTION("""COMPUTED_VALUE"""),"1438")</f>
        <v>1438</v>
      </c>
      <c r="C441" s="74"/>
      <c r="D441" s="74" t="str">
        <f>IFERROR(__xludf.DUMMYFUNCTION("""COMPUTED_VALUE"""),"\\MCA-S\mk\2_BM\0_BMat\08_PYM\Inventario\excel\Imagen de refacciones\Bombeo de concreto\End hose 5_ 5 MT double flange _ Manguera terminal 5_ 5MT doble brida")</f>
        <v>\\MCA-S\mk\2_BM\0_BMat\08_PYM\Inventario\excel\Imagen de refacciones\Bombeo de concreto\End hose 5_ 5 MT double flange _ Manguera terminal 5_ 5MT doble brida</v>
      </c>
      <c r="E441" s="74"/>
      <c r="F441" s="74" t="str">
        <f>IFERROR(__xludf.DUMMYFUNCTION("""COMPUTED_VALUE"""),"End hose 5"" 5 MT double flange / Manguera terminal 5"" 5MT doble brida")</f>
        <v>End hose 5" 5 MT double flange / Manguera terminal 5" 5MT doble brida</v>
      </c>
      <c r="G441" s="74"/>
      <c r="H441" s="74"/>
      <c r="I441" s="74" t="str">
        <f>IFERROR(__xludf.DUMMYFUNCTION("""COMPUTED_VALUE"""),"SOM10011")</f>
        <v>SOM10011</v>
      </c>
      <c r="J441" s="74"/>
      <c r="K441" s="74" t="str">
        <f>IFERROR(__xludf.DUMMYFUNCTION("""COMPUTED_VALUE"""),"Tuberia")</f>
        <v>Tuberia</v>
      </c>
      <c r="L441" s="74" t="str">
        <f>IFERROR(__xludf.DUMMYFUNCTION("""COMPUTED_VALUE"""),"Sistema de bombeo de concreto")</f>
        <v>Sistema de bombeo de concreto</v>
      </c>
      <c r="M441" s="74" t="str">
        <f>IFERROR(__xludf.DUMMYFUNCTION("""COMPUTED_VALUE"""),"Sin Asignar")</f>
        <v>Sin Asignar</v>
      </c>
      <c r="N441" s="87">
        <f>IFERROR(__xludf.DUMMYFUNCTION("""COMPUTED_VALUE"""),0.0)</f>
        <v>0</v>
      </c>
      <c r="O441" s="74"/>
      <c r="P441" s="74" t="str">
        <f>IFERROR(__xludf.DUMMYFUNCTION("""COMPUTED_VALUE"""),"No Available")</f>
        <v>No Available</v>
      </c>
      <c r="Q441" s="74"/>
      <c r="R441" s="74"/>
      <c r="S441" s="87">
        <f>IFERROR(__xludf.DUMMYFUNCTION("""COMPUTED_VALUE"""),0.0)</f>
        <v>0</v>
      </c>
      <c r="T441" s="87">
        <f>IFERROR(__xludf.DUMMYFUNCTION("""COMPUTED_VALUE"""),0.0)</f>
        <v>0</v>
      </c>
      <c r="U441" s="87">
        <f>IFERROR(__xludf.DUMMYFUNCTION("""COMPUTED_VALUE"""),0.0)</f>
        <v>0</v>
      </c>
      <c r="V441" s="87">
        <f>IFERROR(__xludf.DUMMYFUNCTION("""COMPUTED_VALUE"""),0.0)</f>
        <v>0</v>
      </c>
      <c r="W441" s="87">
        <f>IFERROR(__xludf.DUMMYFUNCTION("""COMPUTED_VALUE"""),0.0)</f>
        <v>0</v>
      </c>
      <c r="X441" s="88"/>
      <c r="Y441" s="74"/>
      <c r="Z441" s="74"/>
    </row>
    <row r="442">
      <c r="B442" s="74" t="str">
        <f>IFERROR(__xludf.DUMMYFUNCTION("""COMPUTED_VALUE"""),"1439")</f>
        <v>1439</v>
      </c>
      <c r="C442" s="74"/>
      <c r="D442" s="74" t="str">
        <f>IFERROR(__xludf.DUMMYFUNCTION("""COMPUTED_VALUE"""),"\\MCA-S\mk\2_BM\0_BMat\08_PYM\Inventario\excel\Imagen de refacciones\Bombeo de concreto\End hose 5_ 6 MT double flange _ Manguera terminal 5_ 6MT doble brida")</f>
        <v>\\MCA-S\mk\2_BM\0_BMat\08_PYM\Inventario\excel\Imagen de refacciones\Bombeo de concreto\End hose 5_ 6 MT double flange _ Manguera terminal 5_ 6MT doble brida</v>
      </c>
      <c r="E442" s="74" t="str">
        <f>IFERROR(__xludf.DUMMYFUNCTION("""COMPUTED_VALUE"""),"FLEXIBLE HOSE 4 LAYER MET. DN125 SK148 5""X7m SINGLE END")</f>
        <v>FLEXIBLE HOSE 4 LAYER MET. DN125 SK148 5"X7m SINGLE END</v>
      </c>
      <c r="F442" s="74" t="str">
        <f>IFERROR(__xludf.DUMMYFUNCTION("""COMPUTED_VALUE"""),"MANGUERA FLEXIBLE 4 CAPAS MET. DN125 SK148 5""X7m BOQUILLA SENCILLA")</f>
        <v>MANGUERA FLEXIBLE 4 CAPAS MET. DN125 SK148 5"X7m BOQUILLA SENCILLA</v>
      </c>
      <c r="G442" s="74" t="str">
        <f>IFERROR(__xludf.DUMMYFUNCTION("""COMPUTED_VALUE"""),"MANGUERA 4 CAPAS 5""x7m MET. BOQUILLA SENCILLA")</f>
        <v>MANGUERA 4 CAPAS 5"x7m MET. BOQUILLA SENCILLA</v>
      </c>
      <c r="H442" s="74"/>
      <c r="I442" s="74" t="str">
        <f>IFERROR(__xludf.DUMMYFUNCTION("""COMPUTED_VALUE"""),"BMFH70001F")</f>
        <v>BMFH70001F</v>
      </c>
      <c r="J442" s="74"/>
      <c r="K442" s="74" t="str">
        <f>IFERROR(__xludf.DUMMYFUNCTION("""COMPUTED_VALUE"""),"Tuberia")</f>
        <v>Tuberia</v>
      </c>
      <c r="L442" s="74" t="str">
        <f>IFERROR(__xludf.DUMMYFUNCTION("""COMPUTED_VALUE"""),"TUBERIA FLEXIBLE")</f>
        <v>TUBERIA FLEXIBLE</v>
      </c>
      <c r="M442" s="74" t="str">
        <f>IFERROR(__xludf.DUMMYFUNCTION("""COMPUTED_VALUE"""),"TUBOS")</f>
        <v>TUBOS</v>
      </c>
      <c r="N442" s="87">
        <f>IFERROR(__xludf.DUMMYFUNCTION("""COMPUTED_VALUE"""),19340.64)</f>
        <v>19340.64</v>
      </c>
      <c r="O442" s="74">
        <f>IFERROR(__xludf.DUMMYFUNCTION("""COMPUTED_VALUE"""),0.0)</f>
        <v>0</v>
      </c>
      <c r="P442" s="74" t="str">
        <f>IFERROR(__xludf.DUMMYFUNCTION("""COMPUTED_VALUE"""),"To Re-purchase")</f>
        <v>To Re-purchase</v>
      </c>
      <c r="Q442" s="74"/>
      <c r="R442" s="74"/>
      <c r="S442" s="87">
        <f>IFERROR(__xludf.DUMMYFUNCTION("""COMPUTED_VALUE"""),237.0)</f>
        <v>237</v>
      </c>
      <c r="T442" s="87">
        <f>IFERROR(__xludf.DUMMYFUNCTION("""COMPUTED_VALUE"""),1089.0)</f>
        <v>1089</v>
      </c>
      <c r="U442" s="87">
        <f>IFERROR(__xludf.DUMMYFUNCTION("""COMPUTED_VALUE"""),1045.44)</f>
        <v>1045.44</v>
      </c>
      <c r="V442" s="87">
        <f>IFERROR(__xludf.DUMMYFUNCTION("""COMPUTED_VALUE"""),290.325)</f>
        <v>290.325</v>
      </c>
      <c r="W442" s="87">
        <f>IFERROR(__xludf.DUMMYFUNCTION("""COMPUTED_VALUE"""),5443.59375)</f>
        <v>5443.59375</v>
      </c>
      <c r="X442" s="88">
        <f>IFERROR(__xludf.DUMMYFUNCTION("""COMPUTED_VALUE"""),4.411139240506329)</f>
        <v>4.411139241</v>
      </c>
      <c r="Y442" s="74"/>
      <c r="Z442" s="74"/>
    </row>
    <row r="443">
      <c r="B443" s="74" t="str">
        <f>IFERROR(__xludf.DUMMYFUNCTION("""COMPUTED_VALUE"""),"1440")</f>
        <v>1440</v>
      </c>
      <c r="C443" s="74"/>
      <c r="D443" s="74" t="str">
        <f>IFERROR(__xludf.DUMMYFUNCTION("""COMPUTED_VALUE"""),"\\MCA-S\mk\2_BM\0_BMat\08_PYM\Inventario\excel\Imagen de refacciones\Bombeo de concreto\End hose 5_ 6 MT single flange _ Manguera terminal 5_ 6MT single brida")</f>
        <v>\\MCA-S\mk\2_BM\0_BMat\08_PYM\Inventario\excel\Imagen de refacciones\Bombeo de concreto\End hose 5_ 6 MT single flange _ Manguera terminal 5_ 6MT single brida</v>
      </c>
      <c r="E443" s="74" t="str">
        <f>IFERROR(__xludf.DUMMYFUNCTION("""COMPUTED_VALUE"""),"FLEXIBLE HOSE 4 LAYER MET. DN125 SK148 5""X7m DOUBLE END")</f>
        <v>FLEXIBLE HOSE 4 LAYER MET. DN125 SK148 5"X7m DOUBLE END</v>
      </c>
      <c r="F443" s="74" t="str">
        <f>IFERROR(__xludf.DUMMYFUNCTION("""COMPUTED_VALUE"""),"MANGUERA FLEXIBLE 4 CAPAS MET. DN125 SK148 5""X7m BOQUILLA DOBLE")</f>
        <v>MANGUERA FLEXIBLE 4 CAPAS MET. DN125 SK148 5"X7m BOQUILLA DOBLE</v>
      </c>
      <c r="G443" s="74" t="str">
        <f>IFERROR(__xludf.DUMMYFUNCTION("""COMPUTED_VALUE"""),"MANGUERA 4 CAPAS 5""x7m MET. BOQUILLA DOBLE")</f>
        <v>MANGUERA 4 CAPAS 5"x7m MET. BOQUILLA DOBLE</v>
      </c>
      <c r="H443" s="74"/>
      <c r="I443" s="74" t="str">
        <f>IFERROR(__xludf.DUMMYFUNCTION("""COMPUTED_VALUE"""),"BMFH70002F")</f>
        <v>BMFH70002F</v>
      </c>
      <c r="J443" s="74"/>
      <c r="K443" s="74" t="str">
        <f>IFERROR(__xludf.DUMMYFUNCTION("""COMPUTED_VALUE"""),"Tuberia")</f>
        <v>Tuberia</v>
      </c>
      <c r="L443" s="74" t="str">
        <f>IFERROR(__xludf.DUMMYFUNCTION("""COMPUTED_VALUE"""),"TUBERIA FLEXIBLE")</f>
        <v>TUBERIA FLEXIBLE</v>
      </c>
      <c r="M443" s="74" t="str">
        <f>IFERROR(__xludf.DUMMYFUNCTION("""COMPUTED_VALUE"""),"TUBOS")</f>
        <v>TUBOS</v>
      </c>
      <c r="N443" s="87">
        <f>IFERROR(__xludf.DUMMYFUNCTION("""COMPUTED_VALUE"""),19340.64)</f>
        <v>19340.64</v>
      </c>
      <c r="O443" s="74">
        <f>IFERROR(__xludf.DUMMYFUNCTION("""COMPUTED_VALUE"""),8.0)</f>
        <v>8</v>
      </c>
      <c r="P443" s="74" t="str">
        <f>IFERROR(__xludf.DUMMYFUNCTION("""COMPUTED_VALUE"""),"In stock")</f>
        <v>In stock</v>
      </c>
      <c r="Q443" s="74"/>
      <c r="R443" s="74"/>
      <c r="S443" s="87">
        <f>IFERROR(__xludf.DUMMYFUNCTION("""COMPUTED_VALUE"""),245.0)</f>
        <v>245</v>
      </c>
      <c r="T443" s="87">
        <f>IFERROR(__xludf.DUMMYFUNCTION("""COMPUTED_VALUE"""),1089.0)</f>
        <v>1089</v>
      </c>
      <c r="U443" s="87">
        <f>IFERROR(__xludf.DUMMYFUNCTION("""COMPUTED_VALUE"""),1045.44)</f>
        <v>1045.44</v>
      </c>
      <c r="V443" s="87">
        <f>IFERROR(__xludf.DUMMYFUNCTION("""COMPUTED_VALUE"""),300.125)</f>
        <v>300.125</v>
      </c>
      <c r="W443" s="87">
        <f>IFERROR(__xludf.DUMMYFUNCTION("""COMPUTED_VALUE"""),5627.34375)</f>
        <v>5627.34375</v>
      </c>
      <c r="X443" s="88">
        <f>IFERROR(__xludf.DUMMYFUNCTION("""COMPUTED_VALUE"""),4.267102040816327)</f>
        <v>4.267102041</v>
      </c>
      <c r="Y443" s="74"/>
      <c r="Z443" s="74"/>
    </row>
    <row r="444">
      <c r="B444" s="74" t="str">
        <f>IFERROR(__xludf.DUMMYFUNCTION("""COMPUTED_VALUE"""),"1441")</f>
        <v>1441</v>
      </c>
      <c r="C444" s="74"/>
      <c r="D444" s="74" t="str">
        <f>IFERROR(__xludf.DUMMYFUNCTION("""COMPUTED_VALUE"""),"\\MCA-S\mk\2_BM\0_BMat\08_PYM\Inventario\excel\Imagen de refacciones\Bombeo de concreto\End hose 5_ 6 MT double flange _ Manguera terminal 5_ 6MT doble brida (1)")</f>
        <v>\\MCA-S\mk\2_BM\0_BMat\08_PYM\Inventario\excel\Imagen de refacciones\Bombeo de concreto\End hose 5_ 6 MT double flange _ Manguera terminal 5_ 6MT doble brida (1)</v>
      </c>
      <c r="E444" s="74"/>
      <c r="F444" s="74" t="str">
        <f>IFERROR(__xludf.DUMMYFUNCTION("""COMPUTED_VALUE"""),"End hose 5"" 6 MT double flange / Manguera terminal 5"" 6MT doble brida")</f>
        <v>End hose 5" 6 MT double flange / Manguera terminal 5" 6MT doble brida</v>
      </c>
      <c r="G444" s="74"/>
      <c r="H444" s="74"/>
      <c r="I444" s="74" t="str">
        <f>IFERROR(__xludf.DUMMYFUNCTION("""COMPUTED_VALUE"""),"SOM10019")</f>
        <v>SOM10019</v>
      </c>
      <c r="J444" s="74"/>
      <c r="K444" s="74" t="str">
        <f>IFERROR(__xludf.DUMMYFUNCTION("""COMPUTED_VALUE"""),"Tuberia")</f>
        <v>Tuberia</v>
      </c>
      <c r="L444" s="74" t="str">
        <f>IFERROR(__xludf.DUMMYFUNCTION("""COMPUTED_VALUE"""),"Sistema de bombeo de concreto")</f>
        <v>Sistema de bombeo de concreto</v>
      </c>
      <c r="M444" s="74" t="str">
        <f>IFERROR(__xludf.DUMMYFUNCTION("""COMPUTED_VALUE"""),"Sin Asignar")</f>
        <v>Sin Asignar</v>
      </c>
      <c r="N444" s="87">
        <f>IFERROR(__xludf.DUMMYFUNCTION("""COMPUTED_VALUE"""),0.0)</f>
        <v>0</v>
      </c>
      <c r="O444" s="74"/>
      <c r="P444" s="74" t="str">
        <f>IFERROR(__xludf.DUMMYFUNCTION("""COMPUTED_VALUE"""),"No Available")</f>
        <v>No Available</v>
      </c>
      <c r="Q444" s="74"/>
      <c r="R444" s="74"/>
      <c r="S444" s="87">
        <f>IFERROR(__xludf.DUMMYFUNCTION("""COMPUTED_VALUE"""),0.0)</f>
        <v>0</v>
      </c>
      <c r="T444" s="87">
        <f>IFERROR(__xludf.DUMMYFUNCTION("""COMPUTED_VALUE"""),0.0)</f>
        <v>0</v>
      </c>
      <c r="U444" s="87">
        <f>IFERROR(__xludf.DUMMYFUNCTION("""COMPUTED_VALUE"""),0.0)</f>
        <v>0</v>
      </c>
      <c r="V444" s="87">
        <f>IFERROR(__xludf.DUMMYFUNCTION("""COMPUTED_VALUE"""),0.0)</f>
        <v>0</v>
      </c>
      <c r="W444" s="87">
        <f>IFERROR(__xludf.DUMMYFUNCTION("""COMPUTED_VALUE"""),0.0)</f>
        <v>0</v>
      </c>
      <c r="X444" s="88"/>
      <c r="Y444" s="74"/>
      <c r="Z444" s="74"/>
    </row>
    <row r="445">
      <c r="B445" s="74" t="str">
        <f>IFERROR(__xludf.DUMMYFUNCTION("""COMPUTED_VALUE"""),"1442")</f>
        <v>1442</v>
      </c>
      <c r="C445" s="74"/>
      <c r="D445" s="74" t="str">
        <f>IFERROR(__xludf.DUMMYFUNCTION("""COMPUTED_VALUE"""),"\\MCA-S\mk\2_BM\0_BMat\08_PYM\Inventario\excel\Imagen de refacciones\Bombeo de concreto\End hose 4_ 3 MT single flange _ Manguera terminal 4_ 3 MT single brida")</f>
        <v>\\MCA-S\mk\2_BM\0_BMat\08_PYM\Inventario\excel\Imagen de refacciones\Bombeo de concreto\End hose 4_ 3 MT single flange _ Manguera terminal 4_ 3 MT single brida</v>
      </c>
      <c r="E445" s="74"/>
      <c r="F445" s="74" t="str">
        <f>IFERROR(__xludf.DUMMYFUNCTION("""COMPUTED_VALUE"""),"End hose 4"" 3 MT single flange / Manguera terminal 4"" 3 MT single brida")</f>
        <v>End hose 4" 3 MT single flange / Manguera terminal 4" 3 MT single brida</v>
      </c>
      <c r="G445" s="74"/>
      <c r="H445" s="74"/>
      <c r="I445" s="74" t="str">
        <f>IFERROR(__xludf.DUMMYFUNCTION("""COMPUTED_VALUE"""),"SOM10020")</f>
        <v>SOM10020</v>
      </c>
      <c r="J445" s="74"/>
      <c r="K445" s="74" t="str">
        <f>IFERROR(__xludf.DUMMYFUNCTION("""COMPUTED_VALUE"""),"Tuberia")</f>
        <v>Tuberia</v>
      </c>
      <c r="L445" s="74" t="str">
        <f>IFERROR(__xludf.DUMMYFUNCTION("""COMPUTED_VALUE"""),"Sistema de bombeo de concreto")</f>
        <v>Sistema de bombeo de concreto</v>
      </c>
      <c r="M445" s="74" t="str">
        <f>IFERROR(__xludf.DUMMYFUNCTION("""COMPUTED_VALUE"""),"Sin Asignar")</f>
        <v>Sin Asignar</v>
      </c>
      <c r="N445" s="87">
        <f>IFERROR(__xludf.DUMMYFUNCTION("""COMPUTED_VALUE"""),0.0)</f>
        <v>0</v>
      </c>
      <c r="O445" s="74"/>
      <c r="P445" s="74" t="str">
        <f>IFERROR(__xludf.DUMMYFUNCTION("""COMPUTED_VALUE"""),"No Available")</f>
        <v>No Available</v>
      </c>
      <c r="Q445" s="74"/>
      <c r="R445" s="74"/>
      <c r="S445" s="87">
        <f>IFERROR(__xludf.DUMMYFUNCTION("""COMPUTED_VALUE"""),0.0)</f>
        <v>0</v>
      </c>
      <c r="T445" s="87">
        <f>IFERROR(__xludf.DUMMYFUNCTION("""COMPUTED_VALUE"""),0.0)</f>
        <v>0</v>
      </c>
      <c r="U445" s="87">
        <f>IFERROR(__xludf.DUMMYFUNCTION("""COMPUTED_VALUE"""),0.0)</f>
        <v>0</v>
      </c>
      <c r="V445" s="87">
        <f>IFERROR(__xludf.DUMMYFUNCTION("""COMPUTED_VALUE"""),0.0)</f>
        <v>0</v>
      </c>
      <c r="W445" s="87">
        <f>IFERROR(__xludf.DUMMYFUNCTION("""COMPUTED_VALUE"""),0.0)</f>
        <v>0</v>
      </c>
      <c r="X445" s="88"/>
      <c r="Y445" s="74"/>
      <c r="Z445" s="74"/>
    </row>
    <row r="446">
      <c r="B446" s="74" t="str">
        <f>IFERROR(__xludf.DUMMYFUNCTION("""COMPUTED_VALUE"""),"1443")</f>
        <v>1443</v>
      </c>
      <c r="C446" s="74"/>
      <c r="D446" s="74" t="str">
        <f>IFERROR(__xludf.DUMMYFUNCTION("""COMPUTED_VALUE"""),"\\MCA-S\mk\2_BM\0_BMat\08_PYM\Inventario\excel\Imagen de refacciones\Bombeo de concreto\End hose 4_ 3 MT double flange _ Manguera terminal 4_ 3MT doble brida")</f>
        <v>\\MCA-S\mk\2_BM\0_BMat\08_PYM\Inventario\excel\Imagen de refacciones\Bombeo de concreto\End hose 4_ 3 MT double flange _ Manguera terminal 4_ 3MT doble brida</v>
      </c>
      <c r="E446" s="74"/>
      <c r="F446" s="74" t="str">
        <f>IFERROR(__xludf.DUMMYFUNCTION("""COMPUTED_VALUE"""),"End hose 4"" 3 MT double flange / Manguera terminal 4"" 3MT doble brida")</f>
        <v>End hose 4" 3 MT double flange / Manguera terminal 4" 3MT doble brida</v>
      </c>
      <c r="G446" s="74"/>
      <c r="H446" s="74"/>
      <c r="I446" s="74" t="str">
        <f>IFERROR(__xludf.DUMMYFUNCTION("""COMPUTED_VALUE"""),"SOM10021")</f>
        <v>SOM10021</v>
      </c>
      <c r="J446" s="74"/>
      <c r="K446" s="74" t="str">
        <f>IFERROR(__xludf.DUMMYFUNCTION("""COMPUTED_VALUE"""),"Tuberia")</f>
        <v>Tuberia</v>
      </c>
      <c r="L446" s="74" t="str">
        <f>IFERROR(__xludf.DUMMYFUNCTION("""COMPUTED_VALUE"""),"Sistema de bombeo de concreto")</f>
        <v>Sistema de bombeo de concreto</v>
      </c>
      <c r="M446" s="74" t="str">
        <f>IFERROR(__xludf.DUMMYFUNCTION("""COMPUTED_VALUE"""),"Sin Asignar")</f>
        <v>Sin Asignar</v>
      </c>
      <c r="N446" s="87">
        <f>IFERROR(__xludf.DUMMYFUNCTION("""COMPUTED_VALUE"""),0.0)</f>
        <v>0</v>
      </c>
      <c r="O446" s="74"/>
      <c r="P446" s="74" t="str">
        <f>IFERROR(__xludf.DUMMYFUNCTION("""COMPUTED_VALUE"""),"No Available")</f>
        <v>No Available</v>
      </c>
      <c r="Q446" s="74"/>
      <c r="R446" s="74"/>
      <c r="S446" s="87">
        <f>IFERROR(__xludf.DUMMYFUNCTION("""COMPUTED_VALUE"""),0.0)</f>
        <v>0</v>
      </c>
      <c r="T446" s="87">
        <f>IFERROR(__xludf.DUMMYFUNCTION("""COMPUTED_VALUE"""),0.0)</f>
        <v>0</v>
      </c>
      <c r="U446" s="87">
        <f>IFERROR(__xludf.DUMMYFUNCTION("""COMPUTED_VALUE"""),0.0)</f>
        <v>0</v>
      </c>
      <c r="V446" s="87">
        <f>IFERROR(__xludf.DUMMYFUNCTION("""COMPUTED_VALUE"""),0.0)</f>
        <v>0</v>
      </c>
      <c r="W446" s="87">
        <f>IFERROR(__xludf.DUMMYFUNCTION("""COMPUTED_VALUE"""),0.0)</f>
        <v>0</v>
      </c>
      <c r="X446" s="88"/>
      <c r="Y446" s="74"/>
      <c r="Z446" s="74"/>
    </row>
    <row r="447">
      <c r="B447" s="74" t="str">
        <f>IFERROR(__xludf.DUMMYFUNCTION("""COMPUTED_VALUE"""),"1444")</f>
        <v>1444</v>
      </c>
      <c r="C447" s="74"/>
      <c r="D447" s="74" t="str">
        <f>IFERROR(__xludf.DUMMYFUNCTION("""COMPUTED_VALUE"""),"\\MCA-S\mk\2_BM\0_BMat\08_PYM\Inventario\excel\Imagen de refacciones\Bombeo de concreto\End hose 4_ 4 MT double flange _ Manguera terminal 4_ 4 MT doble brida")</f>
        <v>\\MCA-S\mk\2_BM\0_BMat\08_PYM\Inventario\excel\Imagen de refacciones\Bombeo de concreto\End hose 4_ 4 MT double flange _ Manguera terminal 4_ 4 MT doble brida</v>
      </c>
      <c r="E447" s="74"/>
      <c r="F447" s="74" t="str">
        <f>IFERROR(__xludf.DUMMYFUNCTION("""COMPUTED_VALUE"""),"End hose 4"" 4 MT double flange / Manguera terminal 4"" 4 MT doble brida")</f>
        <v>End hose 4" 4 MT double flange / Manguera terminal 4" 4 MT doble brida</v>
      </c>
      <c r="G447" s="74"/>
      <c r="H447" s="74"/>
      <c r="I447" s="74" t="str">
        <f>IFERROR(__xludf.DUMMYFUNCTION("""COMPUTED_VALUE"""),"SOM10022")</f>
        <v>SOM10022</v>
      </c>
      <c r="J447" s="74"/>
      <c r="K447" s="74" t="str">
        <f>IFERROR(__xludf.DUMMYFUNCTION("""COMPUTED_VALUE"""),"Tuberia")</f>
        <v>Tuberia</v>
      </c>
      <c r="L447" s="74" t="str">
        <f>IFERROR(__xludf.DUMMYFUNCTION("""COMPUTED_VALUE"""),"Sistema de bombeo de concreto")</f>
        <v>Sistema de bombeo de concreto</v>
      </c>
      <c r="M447" s="74" t="str">
        <f>IFERROR(__xludf.DUMMYFUNCTION("""COMPUTED_VALUE"""),"Sin Asignar")</f>
        <v>Sin Asignar</v>
      </c>
      <c r="N447" s="87">
        <f>IFERROR(__xludf.DUMMYFUNCTION("""COMPUTED_VALUE"""),0.0)</f>
        <v>0</v>
      </c>
      <c r="O447" s="74"/>
      <c r="P447" s="74" t="str">
        <f>IFERROR(__xludf.DUMMYFUNCTION("""COMPUTED_VALUE"""),"No Available")</f>
        <v>No Available</v>
      </c>
      <c r="Q447" s="74"/>
      <c r="R447" s="74"/>
      <c r="S447" s="87">
        <f>IFERROR(__xludf.DUMMYFUNCTION("""COMPUTED_VALUE"""),0.0)</f>
        <v>0</v>
      </c>
      <c r="T447" s="87">
        <f>IFERROR(__xludf.DUMMYFUNCTION("""COMPUTED_VALUE"""),0.0)</f>
        <v>0</v>
      </c>
      <c r="U447" s="87">
        <f>IFERROR(__xludf.DUMMYFUNCTION("""COMPUTED_VALUE"""),0.0)</f>
        <v>0</v>
      </c>
      <c r="V447" s="87">
        <f>IFERROR(__xludf.DUMMYFUNCTION("""COMPUTED_VALUE"""),0.0)</f>
        <v>0</v>
      </c>
      <c r="W447" s="87">
        <f>IFERROR(__xludf.DUMMYFUNCTION("""COMPUTED_VALUE"""),0.0)</f>
        <v>0</v>
      </c>
      <c r="X447" s="88"/>
      <c r="Y447" s="74"/>
      <c r="Z447" s="74"/>
    </row>
    <row r="448">
      <c r="B448" s="74" t="str">
        <f>IFERROR(__xludf.DUMMYFUNCTION("""COMPUTED_VALUE"""),"1445")</f>
        <v>1445</v>
      </c>
      <c r="C448" s="74"/>
      <c r="D448" s="74" t="str">
        <f>IFERROR(__xludf.DUMMYFUNCTION("""COMPUTED_VALUE"""),"\\MCA-S\mk\2_BM\0_BMat\08_PYM\Inventario\excel\Imagen de refacciones\Bombeo de concreto\End hose 4_ 4 MT double flange _ Manguera terminal 4_ 4 MT doble brida (1)")</f>
        <v>\\MCA-S\mk\2_BM\0_BMat\08_PYM\Inventario\excel\Imagen de refacciones\Bombeo de concreto\End hose 4_ 4 MT double flange _ Manguera terminal 4_ 4 MT doble brida (1)</v>
      </c>
      <c r="E448" s="74"/>
      <c r="F448" s="74" t="str">
        <f>IFERROR(__xludf.DUMMYFUNCTION("""COMPUTED_VALUE"""),"End hose 4"" 4 MT double flange / Manguera terminal 4"" 4 MT doble brida")</f>
        <v>End hose 4" 4 MT double flange / Manguera terminal 4" 4 MT doble brida</v>
      </c>
      <c r="G448" s="74"/>
      <c r="H448" s="74"/>
      <c r="I448" s="74" t="str">
        <f>IFERROR(__xludf.DUMMYFUNCTION("""COMPUTED_VALUE"""),"SOM10023")</f>
        <v>SOM10023</v>
      </c>
      <c r="J448" s="74"/>
      <c r="K448" s="74" t="str">
        <f>IFERROR(__xludf.DUMMYFUNCTION("""COMPUTED_VALUE"""),"Tuberia")</f>
        <v>Tuberia</v>
      </c>
      <c r="L448" s="74" t="str">
        <f>IFERROR(__xludf.DUMMYFUNCTION("""COMPUTED_VALUE"""),"Sistema de bombeo de concreto")</f>
        <v>Sistema de bombeo de concreto</v>
      </c>
      <c r="M448" s="74" t="str">
        <f>IFERROR(__xludf.DUMMYFUNCTION("""COMPUTED_VALUE"""),"Sin Asignar")</f>
        <v>Sin Asignar</v>
      </c>
      <c r="N448" s="87">
        <f>IFERROR(__xludf.DUMMYFUNCTION("""COMPUTED_VALUE"""),0.0)</f>
        <v>0</v>
      </c>
      <c r="O448" s="74"/>
      <c r="P448" s="74" t="str">
        <f>IFERROR(__xludf.DUMMYFUNCTION("""COMPUTED_VALUE"""),"No Available")</f>
        <v>No Available</v>
      </c>
      <c r="Q448" s="74"/>
      <c r="R448" s="74"/>
      <c r="S448" s="87">
        <f>IFERROR(__xludf.DUMMYFUNCTION("""COMPUTED_VALUE"""),0.0)</f>
        <v>0</v>
      </c>
      <c r="T448" s="87">
        <f>IFERROR(__xludf.DUMMYFUNCTION("""COMPUTED_VALUE"""),0.0)</f>
        <v>0</v>
      </c>
      <c r="U448" s="87">
        <f>IFERROR(__xludf.DUMMYFUNCTION("""COMPUTED_VALUE"""),0.0)</f>
        <v>0</v>
      </c>
      <c r="V448" s="87">
        <f>IFERROR(__xludf.DUMMYFUNCTION("""COMPUTED_VALUE"""),0.0)</f>
        <v>0</v>
      </c>
      <c r="W448" s="87">
        <f>IFERROR(__xludf.DUMMYFUNCTION("""COMPUTED_VALUE"""),0.0)</f>
        <v>0</v>
      </c>
      <c r="X448" s="88"/>
      <c r="Y448" s="74"/>
      <c r="Z448" s="74"/>
    </row>
    <row r="449">
      <c r="B449" s="74" t="str">
        <f>IFERROR(__xludf.DUMMYFUNCTION("""COMPUTED_VALUE"""),"1446")</f>
        <v>1446</v>
      </c>
      <c r="C449" s="74"/>
      <c r="D449" s="74" t="str">
        <f>IFERROR(__xludf.DUMMYFUNCTION("""COMPUTED_VALUE"""),"\\MCA-S\mk\2_BM\0_BMat\08_PYM\Inventario\excel\Imagen de refacciones\Bombeo de concreto\End hose 4_ 5 MT single flange _ Manguera terminal 4_ 5 Mt single  brida")</f>
        <v>\\MCA-S\mk\2_BM\0_BMat\08_PYM\Inventario\excel\Imagen de refacciones\Bombeo de concreto\End hose 4_ 5 MT single flange _ Manguera terminal 4_ 5 Mt single  brida</v>
      </c>
      <c r="E449" s="74"/>
      <c r="F449" s="74" t="str">
        <f>IFERROR(__xludf.DUMMYFUNCTION("""COMPUTED_VALUE"""),"End hose 4"" 5 MT single flange / Manguera terminal 4"" 5 Mt single  brida")</f>
        <v>End hose 4" 5 MT single flange / Manguera terminal 4" 5 Mt single  brida</v>
      </c>
      <c r="G449" s="74"/>
      <c r="H449" s="74"/>
      <c r="I449" s="74" t="str">
        <f>IFERROR(__xludf.DUMMYFUNCTION("""COMPUTED_VALUE"""),"SOM10024")</f>
        <v>SOM10024</v>
      </c>
      <c r="J449" s="74"/>
      <c r="K449" s="74" t="str">
        <f>IFERROR(__xludf.DUMMYFUNCTION("""COMPUTED_VALUE"""),"Tuberia")</f>
        <v>Tuberia</v>
      </c>
      <c r="L449" s="74" t="str">
        <f>IFERROR(__xludf.DUMMYFUNCTION("""COMPUTED_VALUE"""),"Sistema de bombeo de concreto")</f>
        <v>Sistema de bombeo de concreto</v>
      </c>
      <c r="M449" s="74" t="str">
        <f>IFERROR(__xludf.DUMMYFUNCTION("""COMPUTED_VALUE"""),"Sin Asignar")</f>
        <v>Sin Asignar</v>
      </c>
      <c r="N449" s="87">
        <f>IFERROR(__xludf.DUMMYFUNCTION("""COMPUTED_VALUE"""),0.0)</f>
        <v>0</v>
      </c>
      <c r="O449" s="74"/>
      <c r="P449" s="74" t="str">
        <f>IFERROR(__xludf.DUMMYFUNCTION("""COMPUTED_VALUE"""),"No Available")</f>
        <v>No Available</v>
      </c>
      <c r="Q449" s="74"/>
      <c r="R449" s="74"/>
      <c r="S449" s="87">
        <f>IFERROR(__xludf.DUMMYFUNCTION("""COMPUTED_VALUE"""),0.0)</f>
        <v>0</v>
      </c>
      <c r="T449" s="87">
        <f>IFERROR(__xludf.DUMMYFUNCTION("""COMPUTED_VALUE"""),0.0)</f>
        <v>0</v>
      </c>
      <c r="U449" s="87">
        <f>IFERROR(__xludf.DUMMYFUNCTION("""COMPUTED_VALUE"""),0.0)</f>
        <v>0</v>
      </c>
      <c r="V449" s="87">
        <f>IFERROR(__xludf.DUMMYFUNCTION("""COMPUTED_VALUE"""),0.0)</f>
        <v>0</v>
      </c>
      <c r="W449" s="87">
        <f>IFERROR(__xludf.DUMMYFUNCTION("""COMPUTED_VALUE"""),0.0)</f>
        <v>0</v>
      </c>
      <c r="X449" s="88"/>
      <c r="Y449" s="74"/>
      <c r="Z449" s="74"/>
    </row>
    <row r="450">
      <c r="B450" s="74" t="str">
        <f>IFERROR(__xludf.DUMMYFUNCTION("""COMPUTED_VALUE"""),"1447")</f>
        <v>1447</v>
      </c>
      <c r="C450" s="74"/>
      <c r="D450" s="74" t="str">
        <f>IFERROR(__xludf.DUMMYFUNCTION("""COMPUTED_VALUE"""),"\\MCA-S\mk\2_BM\0_BMat\08_PYM\Inventario\excel\Imagen de refacciones\Bombeo de concreto\End hose 4_ 5 MT double flange _ Manguera terminal 4_ 5 MT doble brida")</f>
        <v>\\MCA-S\mk\2_BM\0_BMat\08_PYM\Inventario\excel\Imagen de refacciones\Bombeo de concreto\End hose 4_ 5 MT double flange _ Manguera terminal 4_ 5 MT doble brida</v>
      </c>
      <c r="E450" s="74"/>
      <c r="F450" s="74" t="str">
        <f>IFERROR(__xludf.DUMMYFUNCTION("""COMPUTED_VALUE"""),"End hose 4"" 5 MT double flange / Manguera terminal 4"" 5 MT doble brida")</f>
        <v>End hose 4" 5 MT double flange / Manguera terminal 4" 5 MT doble brida</v>
      </c>
      <c r="G450" s="74"/>
      <c r="H450" s="74"/>
      <c r="I450" s="74" t="str">
        <f>IFERROR(__xludf.DUMMYFUNCTION("""COMPUTED_VALUE"""),"SOM10025")</f>
        <v>SOM10025</v>
      </c>
      <c r="J450" s="74"/>
      <c r="K450" s="74" t="str">
        <f>IFERROR(__xludf.DUMMYFUNCTION("""COMPUTED_VALUE"""),"Tuberia")</f>
        <v>Tuberia</v>
      </c>
      <c r="L450" s="74" t="str">
        <f>IFERROR(__xludf.DUMMYFUNCTION("""COMPUTED_VALUE"""),"Sistema de bombeo de concreto")</f>
        <v>Sistema de bombeo de concreto</v>
      </c>
      <c r="M450" s="74" t="str">
        <f>IFERROR(__xludf.DUMMYFUNCTION("""COMPUTED_VALUE"""),"Sin Asignar")</f>
        <v>Sin Asignar</v>
      </c>
      <c r="N450" s="87">
        <f>IFERROR(__xludf.DUMMYFUNCTION("""COMPUTED_VALUE"""),0.0)</f>
        <v>0</v>
      </c>
      <c r="O450" s="74"/>
      <c r="P450" s="74" t="str">
        <f>IFERROR(__xludf.DUMMYFUNCTION("""COMPUTED_VALUE"""),"No Available")</f>
        <v>No Available</v>
      </c>
      <c r="Q450" s="74"/>
      <c r="R450" s="74"/>
      <c r="S450" s="87">
        <f>IFERROR(__xludf.DUMMYFUNCTION("""COMPUTED_VALUE"""),0.0)</f>
        <v>0</v>
      </c>
      <c r="T450" s="87">
        <f>IFERROR(__xludf.DUMMYFUNCTION("""COMPUTED_VALUE"""),0.0)</f>
        <v>0</v>
      </c>
      <c r="U450" s="87">
        <f>IFERROR(__xludf.DUMMYFUNCTION("""COMPUTED_VALUE"""),0.0)</f>
        <v>0</v>
      </c>
      <c r="V450" s="87">
        <f>IFERROR(__xludf.DUMMYFUNCTION("""COMPUTED_VALUE"""),0.0)</f>
        <v>0</v>
      </c>
      <c r="W450" s="87">
        <f>IFERROR(__xludf.DUMMYFUNCTION("""COMPUTED_VALUE"""),0.0)</f>
        <v>0</v>
      </c>
      <c r="X450" s="88"/>
      <c r="Y450" s="74"/>
      <c r="Z450" s="74"/>
    </row>
    <row r="451">
      <c r="B451" s="74" t="str">
        <f>IFERROR(__xludf.DUMMYFUNCTION("""COMPUTED_VALUE"""),"1448")</f>
        <v>1448</v>
      </c>
      <c r="C451" s="74"/>
      <c r="D451" s="74" t="str">
        <f>IFERROR(__xludf.DUMMYFUNCTION("""COMPUTED_VALUE"""),"\\MCA-S\mk\2_BM\0_BMat\08_PYM\Inventario\excel\Imagen de refacciones\Bombeo de concreto\End hose 4_ 6 MT single flange _ Manguera terminal 4_ 6 MT single brida")</f>
        <v>\\MCA-S\mk\2_BM\0_BMat\08_PYM\Inventario\excel\Imagen de refacciones\Bombeo de concreto\End hose 4_ 6 MT single flange _ Manguera terminal 4_ 6 MT single brida</v>
      </c>
      <c r="E451" s="74"/>
      <c r="F451" s="74" t="str">
        <f>IFERROR(__xludf.DUMMYFUNCTION("""COMPUTED_VALUE"""),"End hose 4"" 6 MT single flange / Manguera terminal 4"" 6 MT single brida")</f>
        <v>End hose 4" 6 MT single flange / Manguera terminal 4" 6 MT single brida</v>
      </c>
      <c r="G451" s="74"/>
      <c r="H451" s="74"/>
      <c r="I451" s="74" t="str">
        <f>IFERROR(__xludf.DUMMYFUNCTION("""COMPUTED_VALUE"""),"SOM10026")</f>
        <v>SOM10026</v>
      </c>
      <c r="J451" s="74"/>
      <c r="K451" s="74" t="str">
        <f>IFERROR(__xludf.DUMMYFUNCTION("""COMPUTED_VALUE"""),"Tuberia")</f>
        <v>Tuberia</v>
      </c>
      <c r="L451" s="74" t="str">
        <f>IFERROR(__xludf.DUMMYFUNCTION("""COMPUTED_VALUE"""),"Sistema de bombeo de concreto")</f>
        <v>Sistema de bombeo de concreto</v>
      </c>
      <c r="M451" s="74" t="str">
        <f>IFERROR(__xludf.DUMMYFUNCTION("""COMPUTED_VALUE"""),"Sin Asignar")</f>
        <v>Sin Asignar</v>
      </c>
      <c r="N451" s="87">
        <f>IFERROR(__xludf.DUMMYFUNCTION("""COMPUTED_VALUE"""),0.0)</f>
        <v>0</v>
      </c>
      <c r="O451" s="74"/>
      <c r="P451" s="74" t="str">
        <f>IFERROR(__xludf.DUMMYFUNCTION("""COMPUTED_VALUE"""),"No Available")</f>
        <v>No Available</v>
      </c>
      <c r="Q451" s="74"/>
      <c r="R451" s="74"/>
      <c r="S451" s="87">
        <f>IFERROR(__xludf.DUMMYFUNCTION("""COMPUTED_VALUE"""),0.0)</f>
        <v>0</v>
      </c>
      <c r="T451" s="87">
        <f>IFERROR(__xludf.DUMMYFUNCTION("""COMPUTED_VALUE"""),0.0)</f>
        <v>0</v>
      </c>
      <c r="U451" s="87">
        <f>IFERROR(__xludf.DUMMYFUNCTION("""COMPUTED_VALUE"""),0.0)</f>
        <v>0</v>
      </c>
      <c r="V451" s="87">
        <f>IFERROR(__xludf.DUMMYFUNCTION("""COMPUTED_VALUE"""),0.0)</f>
        <v>0</v>
      </c>
      <c r="W451" s="87">
        <f>IFERROR(__xludf.DUMMYFUNCTION("""COMPUTED_VALUE"""),0.0)</f>
        <v>0</v>
      </c>
      <c r="X451" s="88"/>
      <c r="Y451" s="74"/>
      <c r="Z451" s="74"/>
    </row>
    <row r="452">
      <c r="B452" s="74" t="str">
        <f>IFERROR(__xludf.DUMMYFUNCTION("""COMPUTED_VALUE"""),"1449")</f>
        <v>1449</v>
      </c>
      <c r="C452" s="74"/>
      <c r="D452" s="74" t="str">
        <f>IFERROR(__xludf.DUMMYFUNCTION("""COMPUTED_VALUE"""),"\\MCA-S\mk\2_BM\0_BMat\08_PYM\Inventario\excel\Imagen de refacciones\Bombeo de concreto\End hose 4_ 6 MT double flange _ Manguera terminal 4_ 6 MT doble brida")</f>
        <v>\\MCA-S\mk\2_BM\0_BMat\08_PYM\Inventario\excel\Imagen de refacciones\Bombeo de concreto\End hose 4_ 6 MT double flange _ Manguera terminal 4_ 6 MT doble brida</v>
      </c>
      <c r="E452" s="74"/>
      <c r="F452" s="74" t="str">
        <f>IFERROR(__xludf.DUMMYFUNCTION("""COMPUTED_VALUE"""),"End hose 4"" 6 MT double flange / Manguera terminal 4"" 6 MT doble brida")</f>
        <v>End hose 4" 6 MT double flange / Manguera terminal 4" 6 MT doble brida</v>
      </c>
      <c r="G452" s="74"/>
      <c r="H452" s="74"/>
      <c r="I452" s="74" t="str">
        <f>IFERROR(__xludf.DUMMYFUNCTION("""COMPUTED_VALUE"""),"SOM10091")</f>
        <v>SOM10091</v>
      </c>
      <c r="J452" s="74"/>
      <c r="K452" s="74" t="str">
        <f>IFERROR(__xludf.DUMMYFUNCTION("""COMPUTED_VALUE"""),"Tuberia")</f>
        <v>Tuberia</v>
      </c>
      <c r="L452" s="74" t="str">
        <f>IFERROR(__xludf.DUMMYFUNCTION("""COMPUTED_VALUE"""),"Sistema de bombeo de concreto")</f>
        <v>Sistema de bombeo de concreto</v>
      </c>
      <c r="M452" s="74" t="str">
        <f>IFERROR(__xludf.DUMMYFUNCTION("""COMPUTED_VALUE"""),"Sin Asignar")</f>
        <v>Sin Asignar</v>
      </c>
      <c r="N452" s="87">
        <f>IFERROR(__xludf.DUMMYFUNCTION("""COMPUTED_VALUE"""),0.0)</f>
        <v>0</v>
      </c>
      <c r="O452" s="74"/>
      <c r="P452" s="74" t="str">
        <f>IFERROR(__xludf.DUMMYFUNCTION("""COMPUTED_VALUE"""),"No Available")</f>
        <v>No Available</v>
      </c>
      <c r="Q452" s="74"/>
      <c r="R452" s="74"/>
      <c r="S452" s="87">
        <f>IFERROR(__xludf.DUMMYFUNCTION("""COMPUTED_VALUE"""),0.0)</f>
        <v>0</v>
      </c>
      <c r="T452" s="87">
        <f>IFERROR(__xludf.DUMMYFUNCTION("""COMPUTED_VALUE"""),0.0)</f>
        <v>0</v>
      </c>
      <c r="U452" s="87">
        <f>IFERROR(__xludf.DUMMYFUNCTION("""COMPUTED_VALUE"""),0.0)</f>
        <v>0</v>
      </c>
      <c r="V452" s="87">
        <f>IFERROR(__xludf.DUMMYFUNCTION("""COMPUTED_VALUE"""),0.0)</f>
        <v>0</v>
      </c>
      <c r="W452" s="87">
        <f>IFERROR(__xludf.DUMMYFUNCTION("""COMPUTED_VALUE"""),0.0)</f>
        <v>0</v>
      </c>
      <c r="X452" s="88"/>
      <c r="Y452" s="74"/>
      <c r="Z452" s="74"/>
    </row>
    <row r="453">
      <c r="B453" s="74" t="str">
        <f>IFERROR(__xludf.DUMMYFUNCTION("""COMPUTED_VALUE"""),"1450")</f>
        <v>1450</v>
      </c>
      <c r="C453" s="74"/>
      <c r="D453" s="74" t="str">
        <f>IFERROR(__xludf.DUMMYFUNCTION("""COMPUTED_VALUE"""),"\\MCA-S\mk\2_BM\0_BMat\08_PYM\Inventario\excel\Imagen de refacciones\Bombeo de concreto\cone hose 5_ - 4_ 3,5 mt _ Manguera cónica reductora 5_ a 4_ x 3.5 metros")</f>
        <v>\\MCA-S\mk\2_BM\0_BMat\08_PYM\Inventario\excel\Imagen de refacciones\Bombeo de concreto\cone hose 5_ - 4_ 3,5 mt _ Manguera cónica reductora 5_ a 4_ x 3.5 metros</v>
      </c>
      <c r="E453" s="74"/>
      <c r="F453" s="74" t="str">
        <f>IFERROR(__xludf.DUMMYFUNCTION("""COMPUTED_VALUE"""),"cone hose 5"" - 4"" 3,5 mt / Manguera cónica reductora 5"" a 4"" x 3.5 metros")</f>
        <v>cone hose 5" - 4" 3,5 mt / Manguera cónica reductora 5" a 4" x 3.5 metros</v>
      </c>
      <c r="G453" s="74"/>
      <c r="H453" s="74"/>
      <c r="I453" s="74" t="str">
        <f>IFERROR(__xludf.DUMMYFUNCTION("""COMPUTED_VALUE"""),"SOM10092")</f>
        <v>SOM10092</v>
      </c>
      <c r="J453" s="74"/>
      <c r="K453" s="74" t="str">
        <f>IFERROR(__xludf.DUMMYFUNCTION("""COMPUTED_VALUE"""),"Tuberia")</f>
        <v>Tuberia</v>
      </c>
      <c r="L453" s="74" t="str">
        <f>IFERROR(__xludf.DUMMYFUNCTION("""COMPUTED_VALUE"""),"Sistema de bombeo de concreto")</f>
        <v>Sistema de bombeo de concreto</v>
      </c>
      <c r="M453" s="74" t="str">
        <f>IFERROR(__xludf.DUMMYFUNCTION("""COMPUTED_VALUE"""),"Sin Asignar")</f>
        <v>Sin Asignar</v>
      </c>
      <c r="N453" s="87">
        <f>IFERROR(__xludf.DUMMYFUNCTION("""COMPUTED_VALUE"""),0.0)</f>
        <v>0</v>
      </c>
      <c r="O453" s="74"/>
      <c r="P453" s="74" t="str">
        <f>IFERROR(__xludf.DUMMYFUNCTION("""COMPUTED_VALUE"""),"No Available")</f>
        <v>No Available</v>
      </c>
      <c r="Q453" s="74"/>
      <c r="R453" s="74"/>
      <c r="S453" s="87">
        <f>IFERROR(__xludf.DUMMYFUNCTION("""COMPUTED_VALUE"""),0.0)</f>
        <v>0</v>
      </c>
      <c r="T453" s="87">
        <f>IFERROR(__xludf.DUMMYFUNCTION("""COMPUTED_VALUE"""),0.0)</f>
        <v>0</v>
      </c>
      <c r="U453" s="87">
        <f>IFERROR(__xludf.DUMMYFUNCTION("""COMPUTED_VALUE"""),0.0)</f>
        <v>0</v>
      </c>
      <c r="V453" s="87">
        <f>IFERROR(__xludf.DUMMYFUNCTION("""COMPUTED_VALUE"""),0.0)</f>
        <v>0</v>
      </c>
      <c r="W453" s="87">
        <f>IFERROR(__xludf.DUMMYFUNCTION("""COMPUTED_VALUE"""),0.0)</f>
        <v>0</v>
      </c>
      <c r="X453" s="88"/>
      <c r="Y453" s="74"/>
      <c r="Z453" s="74"/>
    </row>
    <row r="454">
      <c r="B454" s="74" t="str">
        <f>IFERROR(__xludf.DUMMYFUNCTION("""COMPUTED_VALUE"""),"1451")</f>
        <v>1451</v>
      </c>
      <c r="C454" s="74"/>
      <c r="D454" s="74" t="str">
        <f>IFERROR(__xludf.DUMMYFUNCTION("""COMPUTED_VALUE"""),"\\MCA-S\mk\2_BM\0_BMat\08_PYM\Inventario\excel\Imagen de refacciones\Bombeo de concreto\cone hose 5_ - 4_ 3,5 mt _ Manguera cónica reductora 5_ a 4_ x 3.5 metros (1)")</f>
        <v>\\MCA-S\mk\2_BM\0_BMat\08_PYM\Inventario\excel\Imagen de refacciones\Bombeo de concreto\cone hose 5_ - 4_ 3,5 mt _ Manguera cónica reductora 5_ a 4_ x 3.5 metros (1)</v>
      </c>
      <c r="E454" s="74"/>
      <c r="F454" s="74" t="str">
        <f>IFERROR(__xludf.DUMMYFUNCTION("""COMPUTED_VALUE"""),"cone hose 5"" - 4"" 3,5 mt / Manguera cónica reductora 5"" a 4"" x 3.5 metros")</f>
        <v>cone hose 5" - 4" 3,5 mt / Manguera cónica reductora 5" a 4" x 3.5 metros</v>
      </c>
      <c r="G454" s="74"/>
      <c r="H454" s="74"/>
      <c r="I454" s="74" t="str">
        <f>IFERROR(__xludf.DUMMYFUNCTION("""COMPUTED_VALUE"""),"SOM10093")</f>
        <v>SOM10093</v>
      </c>
      <c r="J454" s="74"/>
      <c r="K454" s="74" t="str">
        <f>IFERROR(__xludf.DUMMYFUNCTION("""COMPUTED_VALUE"""),"Tuberia")</f>
        <v>Tuberia</v>
      </c>
      <c r="L454" s="74" t="str">
        <f>IFERROR(__xludf.DUMMYFUNCTION("""COMPUTED_VALUE"""),"Sistema de bombeo de concreto")</f>
        <v>Sistema de bombeo de concreto</v>
      </c>
      <c r="M454" s="74" t="str">
        <f>IFERROR(__xludf.DUMMYFUNCTION("""COMPUTED_VALUE"""),"Sin Asignar")</f>
        <v>Sin Asignar</v>
      </c>
      <c r="N454" s="87">
        <f>IFERROR(__xludf.DUMMYFUNCTION("""COMPUTED_VALUE"""),0.0)</f>
        <v>0</v>
      </c>
      <c r="O454" s="74"/>
      <c r="P454" s="74" t="str">
        <f>IFERROR(__xludf.DUMMYFUNCTION("""COMPUTED_VALUE"""),"No Available")</f>
        <v>No Available</v>
      </c>
      <c r="Q454" s="74"/>
      <c r="R454" s="74"/>
      <c r="S454" s="87">
        <f>IFERROR(__xludf.DUMMYFUNCTION("""COMPUTED_VALUE"""),0.0)</f>
        <v>0</v>
      </c>
      <c r="T454" s="87">
        <f>IFERROR(__xludf.DUMMYFUNCTION("""COMPUTED_VALUE"""),0.0)</f>
        <v>0</v>
      </c>
      <c r="U454" s="87">
        <f>IFERROR(__xludf.DUMMYFUNCTION("""COMPUTED_VALUE"""),0.0)</f>
        <v>0</v>
      </c>
      <c r="V454" s="87">
        <f>IFERROR(__xludf.DUMMYFUNCTION("""COMPUTED_VALUE"""),0.0)</f>
        <v>0</v>
      </c>
      <c r="W454" s="87">
        <f>IFERROR(__xludf.DUMMYFUNCTION("""COMPUTED_VALUE"""),0.0)</f>
        <v>0</v>
      </c>
      <c r="X454" s="88"/>
      <c r="Y454" s="74"/>
      <c r="Z454" s="74"/>
    </row>
    <row r="455">
      <c r="B455" s="74" t="str">
        <f>IFERROR(__xludf.DUMMYFUNCTION("""COMPUTED_VALUE"""),"1452")</f>
        <v>1452</v>
      </c>
      <c r="C455" s="74"/>
      <c r="D455" s="74" t="str">
        <f>IFERROR(__xludf.DUMMYFUNCTION("""COMPUTED_VALUE"""),"\\MCA-S\mk\2_BM\0_BMat\08_PYM\Inventario\excel\Imagen de refacciones\Bombeo de concreto\cone hose 4_ - 3_ 3 mt _ Manguera cónica reductora 4_ a 3_ x 3 metros")</f>
        <v>\\MCA-S\mk\2_BM\0_BMat\08_PYM\Inventario\excel\Imagen de refacciones\Bombeo de concreto\cone hose 4_ - 3_ 3 mt _ Manguera cónica reductora 4_ a 3_ x 3 metros</v>
      </c>
      <c r="E455" s="74"/>
      <c r="F455" s="74" t="str">
        <f>IFERROR(__xludf.DUMMYFUNCTION("""COMPUTED_VALUE"""),"cone hose 4"" - 3"" 3 mt / Manguera cónica reductora 4"" a 3"" x 3 metros")</f>
        <v>cone hose 4" - 3" 3 mt / Manguera cónica reductora 4" a 3" x 3 metros</v>
      </c>
      <c r="G455" s="74"/>
      <c r="H455" s="74"/>
      <c r="I455" s="74" t="str">
        <f>IFERROR(__xludf.DUMMYFUNCTION("""COMPUTED_VALUE"""),"SOM10093")</f>
        <v>SOM10093</v>
      </c>
      <c r="J455" s="74"/>
      <c r="K455" s="74" t="str">
        <f>IFERROR(__xludf.DUMMYFUNCTION("""COMPUTED_VALUE"""),"Tuberia")</f>
        <v>Tuberia</v>
      </c>
      <c r="L455" s="74" t="str">
        <f>IFERROR(__xludf.DUMMYFUNCTION("""COMPUTED_VALUE"""),"Sistema de bombeo de concreto")</f>
        <v>Sistema de bombeo de concreto</v>
      </c>
      <c r="M455" s="74" t="str">
        <f>IFERROR(__xludf.DUMMYFUNCTION("""COMPUTED_VALUE"""),"Sin Asignar")</f>
        <v>Sin Asignar</v>
      </c>
      <c r="N455" s="87">
        <f>IFERROR(__xludf.DUMMYFUNCTION("""COMPUTED_VALUE"""),0.0)</f>
        <v>0</v>
      </c>
      <c r="O455" s="74"/>
      <c r="P455" s="74" t="str">
        <f>IFERROR(__xludf.DUMMYFUNCTION("""COMPUTED_VALUE"""),"No Available")</f>
        <v>No Available</v>
      </c>
      <c r="Q455" s="74"/>
      <c r="R455" s="74"/>
      <c r="S455" s="87">
        <f>IFERROR(__xludf.DUMMYFUNCTION("""COMPUTED_VALUE"""),0.0)</f>
        <v>0</v>
      </c>
      <c r="T455" s="87">
        <f>IFERROR(__xludf.DUMMYFUNCTION("""COMPUTED_VALUE"""),0.0)</f>
        <v>0</v>
      </c>
      <c r="U455" s="87">
        <f>IFERROR(__xludf.DUMMYFUNCTION("""COMPUTED_VALUE"""),0.0)</f>
        <v>0</v>
      </c>
      <c r="V455" s="87">
        <f>IFERROR(__xludf.DUMMYFUNCTION("""COMPUTED_VALUE"""),0.0)</f>
        <v>0</v>
      </c>
      <c r="W455" s="87">
        <f>IFERROR(__xludf.DUMMYFUNCTION("""COMPUTED_VALUE"""),0.0)</f>
        <v>0</v>
      </c>
      <c r="X455" s="88"/>
      <c r="Y455" s="74"/>
      <c r="Z455" s="74"/>
    </row>
    <row r="456">
      <c r="B456" s="74" t="str">
        <f>IFERROR(__xludf.DUMMYFUNCTION("""COMPUTED_VALUE"""),"1453")</f>
        <v>1453</v>
      </c>
      <c r="C456" s="74"/>
      <c r="D456" s="74" t="str">
        <f>IFERROR(__xludf.DUMMYFUNCTION("""COMPUTED_VALUE"""),"\\MCA-S\mk\2_BM\0_BMat\08_PYM\Inventario\excel\Imagen de refacciones\Bombeo de concreto\delivery hose handle _ Asa_mango para mangueras")</f>
        <v>\\MCA-S\mk\2_BM\0_BMat\08_PYM\Inventario\excel\Imagen de refacciones\Bombeo de concreto\delivery hose handle _ Asa_mango para mangueras</v>
      </c>
      <c r="E456" s="74"/>
      <c r="F456" s="74" t="str">
        <f>IFERROR(__xludf.DUMMYFUNCTION("""COMPUTED_VALUE"""),"delivery hose handle / Asa/mango para mangueras")</f>
        <v>delivery hose handle / Asa/mango para mangueras</v>
      </c>
      <c r="G456" s="74"/>
      <c r="H456" s="74"/>
      <c r="I456" s="74" t="str">
        <f>IFERROR(__xludf.DUMMYFUNCTION("""COMPUTED_VALUE"""),"SOM10094")</f>
        <v>SOM10094</v>
      </c>
      <c r="J456" s="74"/>
      <c r="K456" s="74" t="str">
        <f>IFERROR(__xludf.DUMMYFUNCTION("""COMPUTED_VALUE"""),"Tuberia")</f>
        <v>Tuberia</v>
      </c>
      <c r="L456" s="74" t="str">
        <f>IFERROR(__xludf.DUMMYFUNCTION("""COMPUTED_VALUE"""),"Sistema de bombeo de concreto")</f>
        <v>Sistema de bombeo de concreto</v>
      </c>
      <c r="M456" s="74" t="str">
        <f>IFERROR(__xludf.DUMMYFUNCTION("""COMPUTED_VALUE"""),"Sin Asignar")</f>
        <v>Sin Asignar</v>
      </c>
      <c r="N456" s="87">
        <f>IFERROR(__xludf.DUMMYFUNCTION("""COMPUTED_VALUE"""),0.0)</f>
        <v>0</v>
      </c>
      <c r="O456" s="74"/>
      <c r="P456" s="74" t="str">
        <f>IFERROR(__xludf.DUMMYFUNCTION("""COMPUTED_VALUE"""),"No Available")</f>
        <v>No Available</v>
      </c>
      <c r="Q456" s="74"/>
      <c r="R456" s="74"/>
      <c r="S456" s="87">
        <f>IFERROR(__xludf.DUMMYFUNCTION("""COMPUTED_VALUE"""),0.0)</f>
        <v>0</v>
      </c>
      <c r="T456" s="87">
        <f>IFERROR(__xludf.DUMMYFUNCTION("""COMPUTED_VALUE"""),0.0)</f>
        <v>0</v>
      </c>
      <c r="U456" s="87">
        <f>IFERROR(__xludf.DUMMYFUNCTION("""COMPUTED_VALUE"""),0.0)</f>
        <v>0</v>
      </c>
      <c r="V456" s="87">
        <f>IFERROR(__xludf.DUMMYFUNCTION("""COMPUTED_VALUE"""),0.0)</f>
        <v>0</v>
      </c>
      <c r="W456" s="87">
        <f>IFERROR(__xludf.DUMMYFUNCTION("""COMPUTED_VALUE"""),0.0)</f>
        <v>0</v>
      </c>
      <c r="X456" s="88"/>
      <c r="Y456" s="74"/>
      <c r="Z456" s="74"/>
    </row>
    <row r="457">
      <c r="B457" s="74" t="str">
        <f>IFERROR(__xludf.DUMMYFUNCTION("""COMPUTED_VALUE"""),"1454")</f>
        <v>1454</v>
      </c>
      <c r="C457" s="74"/>
      <c r="D457" s="74" t="str">
        <f>IFERROR(__xludf.DUMMYFUNCTION("""COMPUTED_VALUE"""),"\\MCA-S\mk\2_BM\0_BMat\08_PYM\Inventario\excel\Imagen de refacciones\Bombeo de concreto\5,5_ 30 degree twin wall elbow R275 _ Codo de 5.5_ a 30° Twin Wall (doble pared) R275")</f>
        <v>\\MCA-S\mk\2_BM\0_BMat\08_PYM\Inventario\excel\Imagen de refacciones\Bombeo de concreto\5,5_ 30 degree twin wall elbow R275 _ Codo de 5.5_ a 30° Twin Wall (doble pared) R275</v>
      </c>
      <c r="E457" s="74"/>
      <c r="F457" s="74" t="str">
        <f>IFERROR(__xludf.DUMMYFUNCTION("""COMPUTED_VALUE"""),"5,5"" 30 degree twin wall elbow R275 / Codo de 5.5"" a 30° Twin Wall (doble pared) R275")</f>
        <v>5,5" 30 degree twin wall elbow R275 / Codo de 5.5" a 30° Twin Wall (doble pared) R275</v>
      </c>
      <c r="G457" s="74"/>
      <c r="H457" s="74"/>
      <c r="I457" s="74" t="str">
        <f>IFERROR(__xludf.DUMMYFUNCTION("""COMPUTED_VALUE"""),"SOM10095")</f>
        <v>SOM10095</v>
      </c>
      <c r="J457" s="74"/>
      <c r="K457" s="74" t="str">
        <f>IFERROR(__xludf.DUMMYFUNCTION("""COMPUTED_VALUE"""),"Tuberia")</f>
        <v>Tuberia</v>
      </c>
      <c r="L457" s="74" t="str">
        <f>IFERROR(__xludf.DUMMYFUNCTION("""COMPUTED_VALUE"""),"Componentes estructurales y de montaje")</f>
        <v>Componentes estructurales y de montaje</v>
      </c>
      <c r="M457" s="74" t="str">
        <f>IFERROR(__xludf.DUMMYFUNCTION("""COMPUTED_VALUE"""),"Sin Asignar")</f>
        <v>Sin Asignar</v>
      </c>
      <c r="N457" s="87">
        <f>IFERROR(__xludf.DUMMYFUNCTION("""COMPUTED_VALUE"""),0.0)</f>
        <v>0</v>
      </c>
      <c r="O457" s="74"/>
      <c r="P457" s="74" t="str">
        <f>IFERROR(__xludf.DUMMYFUNCTION("""COMPUTED_VALUE"""),"No Available")</f>
        <v>No Available</v>
      </c>
      <c r="Q457" s="74"/>
      <c r="R457" s="74"/>
      <c r="S457" s="87">
        <f>IFERROR(__xludf.DUMMYFUNCTION("""COMPUTED_VALUE"""),0.0)</f>
        <v>0</v>
      </c>
      <c r="T457" s="87">
        <f>IFERROR(__xludf.DUMMYFUNCTION("""COMPUTED_VALUE"""),0.0)</f>
        <v>0</v>
      </c>
      <c r="U457" s="87">
        <f>IFERROR(__xludf.DUMMYFUNCTION("""COMPUTED_VALUE"""),0.0)</f>
        <v>0</v>
      </c>
      <c r="V457" s="87">
        <f>IFERROR(__xludf.DUMMYFUNCTION("""COMPUTED_VALUE"""),0.0)</f>
        <v>0</v>
      </c>
      <c r="W457" s="87">
        <f>IFERROR(__xludf.DUMMYFUNCTION("""COMPUTED_VALUE"""),0.0)</f>
        <v>0</v>
      </c>
      <c r="X457" s="88"/>
      <c r="Y457" s="74"/>
      <c r="Z457" s="74"/>
    </row>
    <row r="458">
      <c r="B458" s="74" t="str">
        <f>IFERROR(__xludf.DUMMYFUNCTION("""COMPUTED_VALUE"""),"1455")</f>
        <v>1455</v>
      </c>
      <c r="C458" s="74"/>
      <c r="D458" s="74" t="str">
        <f>IFERROR(__xludf.DUMMYFUNCTION("""COMPUTED_VALUE"""),"\\MCA-S\mk\2_BM\0_BMat\08_PYM\Inventario\excel\Imagen de refacciones\Bombeo de concreto\5,5_ 45 degree twin wall elbow R275 _ Codo de 5.5_ a 45° Twin Wall (doble pared) R275")</f>
        <v>\\MCA-S\mk\2_BM\0_BMat\08_PYM\Inventario\excel\Imagen de refacciones\Bombeo de concreto\5,5_ 45 degree twin wall elbow R275 _ Codo de 5.5_ a 45° Twin Wall (doble pared) R275</v>
      </c>
      <c r="E458" s="74"/>
      <c r="F458" s="74" t="str">
        <f>IFERROR(__xludf.DUMMYFUNCTION("""COMPUTED_VALUE"""),"5,5"" 45 degree twin wall elbow R275 / Codo de 5.5"" a 45° Twin Wall (doble pared) R275")</f>
        <v>5,5" 45 degree twin wall elbow R275 / Codo de 5.5" a 45° Twin Wall (doble pared) R275</v>
      </c>
      <c r="G458" s="74"/>
      <c r="H458" s="74"/>
      <c r="I458" s="74" t="str">
        <f>IFERROR(__xludf.DUMMYFUNCTION("""COMPUTED_VALUE"""),"SOM10096")</f>
        <v>SOM10096</v>
      </c>
      <c r="J458" s="74"/>
      <c r="K458" s="74" t="str">
        <f>IFERROR(__xludf.DUMMYFUNCTION("""COMPUTED_VALUE"""),"Tuberia")</f>
        <v>Tuberia</v>
      </c>
      <c r="L458" s="74" t="str">
        <f>IFERROR(__xludf.DUMMYFUNCTION("""COMPUTED_VALUE"""),"Sistema de bombeo de concreto")</f>
        <v>Sistema de bombeo de concreto</v>
      </c>
      <c r="M458" s="74" t="str">
        <f>IFERROR(__xludf.DUMMYFUNCTION("""COMPUTED_VALUE"""),"Sin Asignar")</f>
        <v>Sin Asignar</v>
      </c>
      <c r="N458" s="87">
        <f>IFERROR(__xludf.DUMMYFUNCTION("""COMPUTED_VALUE"""),0.0)</f>
        <v>0</v>
      </c>
      <c r="O458" s="74"/>
      <c r="P458" s="74" t="str">
        <f>IFERROR(__xludf.DUMMYFUNCTION("""COMPUTED_VALUE"""),"No Available")</f>
        <v>No Available</v>
      </c>
      <c r="Q458" s="74"/>
      <c r="R458" s="74"/>
      <c r="S458" s="87">
        <f>IFERROR(__xludf.DUMMYFUNCTION("""COMPUTED_VALUE"""),0.0)</f>
        <v>0</v>
      </c>
      <c r="T458" s="87">
        <f>IFERROR(__xludf.DUMMYFUNCTION("""COMPUTED_VALUE"""),0.0)</f>
        <v>0</v>
      </c>
      <c r="U458" s="87">
        <f>IFERROR(__xludf.DUMMYFUNCTION("""COMPUTED_VALUE"""),0.0)</f>
        <v>0</v>
      </c>
      <c r="V458" s="87">
        <f>IFERROR(__xludf.DUMMYFUNCTION("""COMPUTED_VALUE"""),0.0)</f>
        <v>0</v>
      </c>
      <c r="W458" s="87">
        <f>IFERROR(__xludf.DUMMYFUNCTION("""COMPUTED_VALUE"""),0.0)</f>
        <v>0</v>
      </c>
      <c r="X458" s="88"/>
      <c r="Y458" s="74"/>
      <c r="Z458" s="74"/>
    </row>
    <row r="459">
      <c r="B459" s="74" t="str">
        <f>IFERROR(__xludf.DUMMYFUNCTION("""COMPUTED_VALUE"""),"1456")</f>
        <v>1456</v>
      </c>
      <c r="C459" s="74"/>
      <c r="D459" s="74" t="str">
        <f>IFERROR(__xludf.DUMMYFUNCTION("""COMPUTED_VALUE"""),"\\MCA-S\mk\2_BM\0_BMat\08_PYM\Inventario\excel\Imagen de refacciones\Bombeo de concreto\5,5_ 90° degree twin wall elbow R275 _ Codo de 5.5_ a 90° Twin Wall (doble pared) R275")</f>
        <v>\\MCA-S\mk\2_BM\0_BMat\08_PYM\Inventario\excel\Imagen de refacciones\Bombeo de concreto\5,5_ 90° degree twin wall elbow R275 _ Codo de 5.5_ a 90° Twin Wall (doble pared) R275</v>
      </c>
      <c r="E459" s="74"/>
      <c r="F459" s="74" t="str">
        <f>IFERROR(__xludf.DUMMYFUNCTION("""COMPUTED_VALUE"""),"5,5"" 90° degree twin wall elbow R275 / Codo de 5.5"" a 90° Twin Wall (doble pared) R275")</f>
        <v>5,5" 90° degree twin wall elbow R275 / Codo de 5.5" a 90° Twin Wall (doble pared) R275</v>
      </c>
      <c r="G459" s="74"/>
      <c r="H459" s="74"/>
      <c r="I459" s="74" t="str">
        <f>IFERROR(__xludf.DUMMYFUNCTION("""COMPUTED_VALUE"""),"SOM10097")</f>
        <v>SOM10097</v>
      </c>
      <c r="J459" s="74"/>
      <c r="K459" s="74" t="str">
        <f>IFERROR(__xludf.DUMMYFUNCTION("""COMPUTED_VALUE"""),"Tuberia")</f>
        <v>Tuberia</v>
      </c>
      <c r="L459" s="74" t="str">
        <f>IFERROR(__xludf.DUMMYFUNCTION("""COMPUTED_VALUE"""),"Componentes estructurales y de montaje")</f>
        <v>Componentes estructurales y de montaje</v>
      </c>
      <c r="M459" s="74" t="str">
        <f>IFERROR(__xludf.DUMMYFUNCTION("""COMPUTED_VALUE"""),"Sin Asignar")</f>
        <v>Sin Asignar</v>
      </c>
      <c r="N459" s="87">
        <f>IFERROR(__xludf.DUMMYFUNCTION("""COMPUTED_VALUE"""),0.0)</f>
        <v>0</v>
      </c>
      <c r="O459" s="74"/>
      <c r="P459" s="74" t="str">
        <f>IFERROR(__xludf.DUMMYFUNCTION("""COMPUTED_VALUE"""),"No Available")</f>
        <v>No Available</v>
      </c>
      <c r="Q459" s="74"/>
      <c r="R459" s="74"/>
      <c r="S459" s="87">
        <f>IFERROR(__xludf.DUMMYFUNCTION("""COMPUTED_VALUE"""),0.0)</f>
        <v>0</v>
      </c>
      <c r="T459" s="87">
        <f>IFERROR(__xludf.DUMMYFUNCTION("""COMPUTED_VALUE"""),0.0)</f>
        <v>0</v>
      </c>
      <c r="U459" s="87">
        <f>IFERROR(__xludf.DUMMYFUNCTION("""COMPUTED_VALUE"""),0.0)</f>
        <v>0</v>
      </c>
      <c r="V459" s="87">
        <f>IFERROR(__xludf.DUMMYFUNCTION("""COMPUTED_VALUE"""),0.0)</f>
        <v>0</v>
      </c>
      <c r="W459" s="87">
        <f>IFERROR(__xludf.DUMMYFUNCTION("""COMPUTED_VALUE"""),0.0)</f>
        <v>0</v>
      </c>
      <c r="X459" s="88"/>
      <c r="Y459" s="74"/>
      <c r="Z459" s="74"/>
    </row>
    <row r="460">
      <c r="B460" s="74" t="str">
        <f>IFERROR(__xludf.DUMMYFUNCTION("""COMPUTED_VALUE"""),"1457")</f>
        <v>1457</v>
      </c>
      <c r="C460" s="74"/>
      <c r="D460" s="74" t="str">
        <f>IFERROR(__xludf.DUMMYFUNCTION("""COMPUTED_VALUE"""),"\\MCA-S\mk\2_BM\0_BMat\08_PYM\Inventario\excel\Imagen de refacciones\Bombeo de concreto\5,5_ TWIN WALL PIPE 3 MT _ Tubo Twin Wall (doble pared) de 5.5_ x 3 metros")</f>
        <v>\\MCA-S\mk\2_BM\0_BMat\08_PYM\Inventario\excel\Imagen de refacciones\Bombeo de concreto\5,5_ TWIN WALL PIPE 3 MT _ Tubo Twin Wall (doble pared) de 5.5_ x 3 metros</v>
      </c>
      <c r="E460" s="74"/>
      <c r="F460" s="74" t="str">
        <f>IFERROR(__xludf.DUMMYFUNCTION("""COMPUTED_VALUE"""),"5,5"" TWIN WALL PIPE 3 MT / Tubo Twin Wall (doble pared) de 5.5"" x 3 metros")</f>
        <v>5,5" TWIN WALL PIPE 3 MT / Tubo Twin Wall (doble pared) de 5.5" x 3 metros</v>
      </c>
      <c r="G460" s="74"/>
      <c r="H460" s="74"/>
      <c r="I460" s="74" t="str">
        <f>IFERROR(__xludf.DUMMYFUNCTION("""COMPUTED_VALUE"""),"SOM10098")</f>
        <v>SOM10098</v>
      </c>
      <c r="J460" s="74"/>
      <c r="K460" s="74" t="str">
        <f>IFERROR(__xludf.DUMMYFUNCTION("""COMPUTED_VALUE"""),"Tuberia")</f>
        <v>Tuberia</v>
      </c>
      <c r="L460" s="74" t="str">
        <f>IFERROR(__xludf.DUMMYFUNCTION("""COMPUTED_VALUE"""),"Sistema de bombeo de concreto")</f>
        <v>Sistema de bombeo de concreto</v>
      </c>
      <c r="M460" s="74" t="str">
        <f>IFERROR(__xludf.DUMMYFUNCTION("""COMPUTED_VALUE"""),"Sin Asignar")</f>
        <v>Sin Asignar</v>
      </c>
      <c r="N460" s="87">
        <f>IFERROR(__xludf.DUMMYFUNCTION("""COMPUTED_VALUE"""),0.0)</f>
        <v>0</v>
      </c>
      <c r="O460" s="74"/>
      <c r="P460" s="74" t="str">
        <f>IFERROR(__xludf.DUMMYFUNCTION("""COMPUTED_VALUE"""),"No Available")</f>
        <v>No Available</v>
      </c>
      <c r="Q460" s="74"/>
      <c r="R460" s="74"/>
      <c r="S460" s="87">
        <f>IFERROR(__xludf.DUMMYFUNCTION("""COMPUTED_VALUE"""),0.0)</f>
        <v>0</v>
      </c>
      <c r="T460" s="87">
        <f>IFERROR(__xludf.DUMMYFUNCTION("""COMPUTED_VALUE"""),0.0)</f>
        <v>0</v>
      </c>
      <c r="U460" s="87">
        <f>IFERROR(__xludf.DUMMYFUNCTION("""COMPUTED_VALUE"""),0.0)</f>
        <v>0</v>
      </c>
      <c r="V460" s="87">
        <f>IFERROR(__xludf.DUMMYFUNCTION("""COMPUTED_VALUE"""),0.0)</f>
        <v>0</v>
      </c>
      <c r="W460" s="87">
        <f>IFERROR(__xludf.DUMMYFUNCTION("""COMPUTED_VALUE"""),0.0)</f>
        <v>0</v>
      </c>
      <c r="X460" s="88"/>
      <c r="Y460" s="74"/>
      <c r="Z460" s="74"/>
    </row>
    <row r="461">
      <c r="B461" s="74" t="str">
        <f>IFERROR(__xludf.DUMMYFUNCTION("""COMPUTED_VALUE"""),"1458")</f>
        <v>1458</v>
      </c>
      <c r="C461" s="74"/>
      <c r="D461" s="74" t="str">
        <f>IFERROR(__xludf.DUMMYFUNCTION("""COMPUTED_VALUE"""),"\\MCA-S\mk\2_BM\0_BMat\08_PYM\Inventario\excel\Imagen de refacciones\Bombeo de concreto\5,5_ TWIN WALL PIPE 3 MT (EXTRA H.Q) _ Tubo endurecido de 5.5_ x 3 metros (Extra Alta Calidad)")</f>
        <v>\\MCA-S\mk\2_BM\0_BMat\08_PYM\Inventario\excel\Imagen de refacciones\Bombeo de concreto\5,5_ TWIN WALL PIPE 3 MT (EXTRA H.Q) _ Tubo endurecido de 5.5_ x 3 metros (Extra Alta Calidad)</v>
      </c>
      <c r="E461" s="74"/>
      <c r="F461" s="74" t="str">
        <f>IFERROR(__xludf.DUMMYFUNCTION("""COMPUTED_VALUE"""),"5,5"" TWIN WALL PIPE 3 MT (EXTRA H.Q) / Tubo endurecido de 5.5"" x 3 metros (Extra Alta Calidad)")</f>
        <v>5,5" TWIN WALL PIPE 3 MT (EXTRA H.Q) / Tubo endurecido de 5.5" x 3 metros (Extra Alta Calidad)</v>
      </c>
      <c r="G461" s="74"/>
      <c r="H461" s="74"/>
      <c r="I461" s="74" t="str">
        <f>IFERROR(__xludf.DUMMYFUNCTION("""COMPUTED_VALUE"""),"SOM10110")</f>
        <v>SOM10110</v>
      </c>
      <c r="J461" s="74"/>
      <c r="K461" s="74" t="str">
        <f>IFERROR(__xludf.DUMMYFUNCTION("""COMPUTED_VALUE"""),"Tuberia")</f>
        <v>Tuberia</v>
      </c>
      <c r="L461" s="74" t="str">
        <f>IFERROR(__xludf.DUMMYFUNCTION("""COMPUTED_VALUE"""),"Componentes estructurales y de montaje")</f>
        <v>Componentes estructurales y de montaje</v>
      </c>
      <c r="M461" s="74" t="str">
        <f>IFERROR(__xludf.DUMMYFUNCTION("""COMPUTED_VALUE"""),"Sin Asignar")</f>
        <v>Sin Asignar</v>
      </c>
      <c r="N461" s="87">
        <f>IFERROR(__xludf.DUMMYFUNCTION("""COMPUTED_VALUE"""),0.0)</f>
        <v>0</v>
      </c>
      <c r="O461" s="74"/>
      <c r="P461" s="74" t="str">
        <f>IFERROR(__xludf.DUMMYFUNCTION("""COMPUTED_VALUE"""),"No Available")</f>
        <v>No Available</v>
      </c>
      <c r="Q461" s="74"/>
      <c r="R461" s="74"/>
      <c r="S461" s="87">
        <f>IFERROR(__xludf.DUMMYFUNCTION("""COMPUTED_VALUE"""),0.0)</f>
        <v>0</v>
      </c>
      <c r="T461" s="87">
        <f>IFERROR(__xludf.DUMMYFUNCTION("""COMPUTED_VALUE"""),0.0)</f>
        <v>0</v>
      </c>
      <c r="U461" s="87">
        <f>IFERROR(__xludf.DUMMYFUNCTION("""COMPUTED_VALUE"""),0.0)</f>
        <v>0</v>
      </c>
      <c r="V461" s="87">
        <f>IFERROR(__xludf.DUMMYFUNCTION("""COMPUTED_VALUE"""),0.0)</f>
        <v>0</v>
      </c>
      <c r="W461" s="87">
        <f>IFERROR(__xludf.DUMMYFUNCTION("""COMPUTED_VALUE"""),0.0)</f>
        <v>0</v>
      </c>
      <c r="X461" s="88"/>
      <c r="Y461" s="74"/>
      <c r="Z461" s="74"/>
    </row>
    <row r="462">
      <c r="B462" s="74" t="str">
        <f>IFERROR(__xludf.DUMMYFUNCTION("""COMPUTED_VALUE"""),"1459")</f>
        <v>1459</v>
      </c>
      <c r="C462" s="74"/>
      <c r="D462" s="74" t="str">
        <f>IFERROR(__xludf.DUMMYFUNCTION("""COMPUTED_VALUE"""),"\\MCA-S\mk\2_BM\0_BMat\08_PYM\Inventario\excel\Imagen de refacciones\Bombeo de concreto\5,5_ ST-52 steel pipe 3 mt _ Tubo de acero ST-52 de 5.5_ (140mm) x 3 metros")</f>
        <v>\\MCA-S\mk\2_BM\0_BMat\08_PYM\Inventario\excel\Imagen de refacciones\Bombeo de concreto\5,5_ ST-52 steel pipe 3 mt _ Tubo de acero ST-52 de 5.5_ (140mm) x 3 metros</v>
      </c>
      <c r="E462" s="74"/>
      <c r="F462" s="74" t="str">
        <f>IFERROR(__xludf.DUMMYFUNCTION("""COMPUTED_VALUE"""),"5,5"" ST-52 steel pipe 3 mt / Tubo de acero ST-52 de 5.5"" (140mm) x 3 metros")</f>
        <v>5,5" ST-52 steel pipe 3 mt / Tubo de acero ST-52 de 5.5" (140mm) x 3 metros</v>
      </c>
      <c r="G462" s="74"/>
      <c r="H462" s="74"/>
      <c r="I462" s="74" t="str">
        <f>IFERROR(__xludf.DUMMYFUNCTION("""COMPUTED_VALUE"""),"SOM10150")</f>
        <v>SOM10150</v>
      </c>
      <c r="J462" s="74"/>
      <c r="K462" s="74" t="str">
        <f>IFERROR(__xludf.DUMMYFUNCTION("""COMPUTED_VALUE"""),"Tuberia")</f>
        <v>Tuberia</v>
      </c>
      <c r="L462" s="74" t="str">
        <f>IFERROR(__xludf.DUMMYFUNCTION("""COMPUTED_VALUE"""),"Componentes estructurales y de montaje")</f>
        <v>Componentes estructurales y de montaje</v>
      </c>
      <c r="M462" s="74" t="str">
        <f>IFERROR(__xludf.DUMMYFUNCTION("""COMPUTED_VALUE"""),"Sin Asignar")</f>
        <v>Sin Asignar</v>
      </c>
      <c r="N462" s="87">
        <f>IFERROR(__xludf.DUMMYFUNCTION("""COMPUTED_VALUE"""),0.0)</f>
        <v>0</v>
      </c>
      <c r="O462" s="74"/>
      <c r="P462" s="74" t="str">
        <f>IFERROR(__xludf.DUMMYFUNCTION("""COMPUTED_VALUE"""),"No Available")</f>
        <v>No Available</v>
      </c>
      <c r="Q462" s="74"/>
      <c r="R462" s="74"/>
      <c r="S462" s="87">
        <f>IFERROR(__xludf.DUMMYFUNCTION("""COMPUTED_VALUE"""),0.0)</f>
        <v>0</v>
      </c>
      <c r="T462" s="87">
        <f>IFERROR(__xludf.DUMMYFUNCTION("""COMPUTED_VALUE"""),0.0)</f>
        <v>0</v>
      </c>
      <c r="U462" s="87">
        <f>IFERROR(__xludf.DUMMYFUNCTION("""COMPUTED_VALUE"""),0.0)</f>
        <v>0</v>
      </c>
      <c r="V462" s="87">
        <f>IFERROR(__xludf.DUMMYFUNCTION("""COMPUTED_VALUE"""),0.0)</f>
        <v>0</v>
      </c>
      <c r="W462" s="87">
        <f>IFERROR(__xludf.DUMMYFUNCTION("""COMPUTED_VALUE"""),0.0)</f>
        <v>0</v>
      </c>
      <c r="X462" s="88"/>
      <c r="Y462" s="74"/>
      <c r="Z462" s="74"/>
    </row>
    <row r="463">
      <c r="B463" s="74" t="str">
        <f>IFERROR(__xludf.DUMMYFUNCTION("""COMPUTED_VALUE"""),"1460")</f>
        <v>1460</v>
      </c>
      <c r="C463" s="74"/>
      <c r="D463" s="74" t="str">
        <f>IFERROR(__xludf.DUMMYFUNCTION("""COMPUTED_VALUE"""),"\\MCA-S\mk\2_BM\0_BMat\08_PYM\Inventario\excel\Imagen de refacciones\Bombeo de concreto\4,5_ pipe flange _ Brida para tubería de 4.5_")</f>
        <v>\\MCA-S\mk\2_BM\0_BMat\08_PYM\Inventario\excel\Imagen de refacciones\Bombeo de concreto\4,5_ pipe flange _ Brida para tubería de 4.5_</v>
      </c>
      <c r="E463" s="74"/>
      <c r="F463" s="74" t="str">
        <f>IFERROR(__xludf.DUMMYFUNCTION("""COMPUTED_VALUE"""),"4,5"" pipe flange / Brida para tubería de 4.5""")</f>
        <v>4,5" pipe flange / Brida para tubería de 4.5"</v>
      </c>
      <c r="G463" s="74"/>
      <c r="H463" s="74"/>
      <c r="I463" s="74" t="str">
        <f>IFERROR(__xludf.DUMMYFUNCTION("""COMPUTED_VALUE"""),"SOM10160")</f>
        <v>SOM10160</v>
      </c>
      <c r="J463" s="74"/>
      <c r="K463" s="74" t="str">
        <f>IFERROR(__xludf.DUMMYFUNCTION("""COMPUTED_VALUE"""),"Tuberia")</f>
        <v>Tuberia</v>
      </c>
      <c r="L463" s="74" t="str">
        <f>IFERROR(__xludf.DUMMYFUNCTION("""COMPUTED_VALUE"""),"Componentes estructurales y de montaje")</f>
        <v>Componentes estructurales y de montaje</v>
      </c>
      <c r="M463" s="74" t="str">
        <f>IFERROR(__xludf.DUMMYFUNCTION("""COMPUTED_VALUE"""),"Sin Asignar")</f>
        <v>Sin Asignar</v>
      </c>
      <c r="N463" s="87">
        <f>IFERROR(__xludf.DUMMYFUNCTION("""COMPUTED_VALUE"""),0.0)</f>
        <v>0</v>
      </c>
      <c r="O463" s="74"/>
      <c r="P463" s="74" t="str">
        <f>IFERROR(__xludf.DUMMYFUNCTION("""COMPUTED_VALUE"""),"No Available")</f>
        <v>No Available</v>
      </c>
      <c r="Q463" s="74"/>
      <c r="R463" s="74"/>
      <c r="S463" s="87">
        <f>IFERROR(__xludf.DUMMYFUNCTION("""COMPUTED_VALUE"""),0.0)</f>
        <v>0</v>
      </c>
      <c r="T463" s="87">
        <f>IFERROR(__xludf.DUMMYFUNCTION("""COMPUTED_VALUE"""),0.0)</f>
        <v>0</v>
      </c>
      <c r="U463" s="87">
        <f>IFERROR(__xludf.DUMMYFUNCTION("""COMPUTED_VALUE"""),0.0)</f>
        <v>0</v>
      </c>
      <c r="V463" s="87">
        <f>IFERROR(__xludf.DUMMYFUNCTION("""COMPUTED_VALUE"""),0.0)</f>
        <v>0</v>
      </c>
      <c r="W463" s="87">
        <f>IFERROR(__xludf.DUMMYFUNCTION("""COMPUTED_VALUE"""),0.0)</f>
        <v>0</v>
      </c>
      <c r="X463" s="88"/>
      <c r="Y463" s="74"/>
      <c r="Z463" s="74"/>
    </row>
    <row r="464">
      <c r="B464" s="74" t="str">
        <f>IFERROR(__xludf.DUMMYFUNCTION("""COMPUTED_VALUE"""),"1461")</f>
        <v>1461</v>
      </c>
      <c r="C464" s="74"/>
      <c r="D464" s="74" t="str">
        <f>IFERROR(__xludf.DUMMYFUNCTION("""COMPUTED_VALUE"""),"\\MCA-S\mk\2_BM\0_BMat\08_PYM\Inventario\excel\Imagen de refacciones\Bombeo de concreto\5,5_ pipe flange _ Brida para tubería de 4.5_")</f>
        <v>\\MCA-S\mk\2_BM\0_BMat\08_PYM\Inventario\excel\Imagen de refacciones\Bombeo de concreto\5,5_ pipe flange _ Brida para tubería de 4.5_</v>
      </c>
      <c r="E464" s="74"/>
      <c r="F464" s="74" t="str">
        <f>IFERROR(__xludf.DUMMYFUNCTION("""COMPUTED_VALUE"""),"5,5"" pipe flange / Brida para tubería de 4.5""")</f>
        <v>5,5" pipe flange / Brida para tubería de 4.5"</v>
      </c>
      <c r="G464" s="74"/>
      <c r="H464" s="74"/>
      <c r="I464" s="74" t="str">
        <f>IFERROR(__xludf.DUMMYFUNCTION("""COMPUTED_VALUE"""),"SOM10161")</f>
        <v>SOM10161</v>
      </c>
      <c r="J464" s="74"/>
      <c r="K464" s="74" t="str">
        <f>IFERROR(__xludf.DUMMYFUNCTION("""COMPUTED_VALUE"""),"Tuberia")</f>
        <v>Tuberia</v>
      </c>
      <c r="L464" s="74" t="str">
        <f>IFERROR(__xludf.DUMMYFUNCTION("""COMPUTED_VALUE"""),"Componentes estructurales y de montaje")</f>
        <v>Componentes estructurales y de montaje</v>
      </c>
      <c r="M464" s="74" t="str">
        <f>IFERROR(__xludf.DUMMYFUNCTION("""COMPUTED_VALUE"""),"Sin Asignar")</f>
        <v>Sin Asignar</v>
      </c>
      <c r="N464" s="87">
        <f>IFERROR(__xludf.DUMMYFUNCTION("""COMPUTED_VALUE"""),0.0)</f>
        <v>0</v>
      </c>
      <c r="O464" s="74"/>
      <c r="P464" s="74" t="str">
        <f>IFERROR(__xludf.DUMMYFUNCTION("""COMPUTED_VALUE"""),"No Available")</f>
        <v>No Available</v>
      </c>
      <c r="Q464" s="74"/>
      <c r="R464" s="74"/>
      <c r="S464" s="87">
        <f>IFERROR(__xludf.DUMMYFUNCTION("""COMPUTED_VALUE"""),0.0)</f>
        <v>0</v>
      </c>
      <c r="T464" s="87">
        <f>IFERROR(__xludf.DUMMYFUNCTION("""COMPUTED_VALUE"""),0.0)</f>
        <v>0</v>
      </c>
      <c r="U464" s="87">
        <f>IFERROR(__xludf.DUMMYFUNCTION("""COMPUTED_VALUE"""),0.0)</f>
        <v>0</v>
      </c>
      <c r="V464" s="87">
        <f>IFERROR(__xludf.DUMMYFUNCTION("""COMPUTED_VALUE"""),0.0)</f>
        <v>0</v>
      </c>
      <c r="W464" s="87">
        <f>IFERROR(__xludf.DUMMYFUNCTION("""COMPUTED_VALUE"""),0.0)</f>
        <v>0</v>
      </c>
      <c r="X464" s="88"/>
      <c r="Y464" s="74"/>
      <c r="Z464" s="74"/>
    </row>
    <row r="465">
      <c r="B465" s="74" t="str">
        <f>IFERROR(__xludf.DUMMYFUNCTION("""COMPUTED_VALUE"""),"1462")</f>
        <v>1462</v>
      </c>
      <c r="C465" s="74"/>
      <c r="D465" s="74" t="str">
        <f>IFERROR(__xludf.DUMMYFUNCTION("""COMPUTED_VALUE"""),"\\MCA-S\mk\2_BM\0_BMat\08_PYM\Inventario\excel\Imagen de refacciones\Bombeo de concreto\5,5_ pipe flange head type _ Brida tipo _Head_ de 5.5_ (140mm)")</f>
        <v>\\MCA-S\mk\2_BM\0_BMat\08_PYM\Inventario\excel\Imagen de refacciones\Bombeo de concreto\5,5_ pipe flange head type _ Brida tipo _Head_ de 5.5_ (140mm)</v>
      </c>
      <c r="E465" s="74"/>
      <c r="F465" s="74" t="str">
        <f>IFERROR(__xludf.DUMMYFUNCTION("""COMPUTED_VALUE"""),"5,5"" pipe flange head type / Brida tipo ""Head"" de 5.5"" (140mm)")</f>
        <v>5,5" pipe flange head type / Brida tipo "Head" de 5.5" (140mm)</v>
      </c>
      <c r="G465" s="74"/>
      <c r="H465" s="74"/>
      <c r="I465" s="74" t="str">
        <f>IFERROR(__xludf.DUMMYFUNCTION("""COMPUTED_VALUE"""),"SOM10162")</f>
        <v>SOM10162</v>
      </c>
      <c r="J465" s="74"/>
      <c r="K465" s="74" t="str">
        <f>IFERROR(__xludf.DUMMYFUNCTION("""COMPUTED_VALUE"""),"Tuberia")</f>
        <v>Tuberia</v>
      </c>
      <c r="L465" s="74" t="str">
        <f>IFERROR(__xludf.DUMMYFUNCTION("""COMPUTED_VALUE"""),"Componentes estructurales y de montaje")</f>
        <v>Componentes estructurales y de montaje</v>
      </c>
      <c r="M465" s="74" t="str">
        <f>IFERROR(__xludf.DUMMYFUNCTION("""COMPUTED_VALUE"""),"Sin Asignar")</f>
        <v>Sin Asignar</v>
      </c>
      <c r="N465" s="87">
        <f>IFERROR(__xludf.DUMMYFUNCTION("""COMPUTED_VALUE"""),0.0)</f>
        <v>0</v>
      </c>
      <c r="O465" s="74"/>
      <c r="P465" s="74" t="str">
        <f>IFERROR(__xludf.DUMMYFUNCTION("""COMPUTED_VALUE"""),"No Available")</f>
        <v>No Available</v>
      </c>
      <c r="Q465" s="74"/>
      <c r="R465" s="74"/>
      <c r="S465" s="87">
        <f>IFERROR(__xludf.DUMMYFUNCTION("""COMPUTED_VALUE"""),0.0)</f>
        <v>0</v>
      </c>
      <c r="T465" s="87">
        <f>IFERROR(__xludf.DUMMYFUNCTION("""COMPUTED_VALUE"""),0.0)</f>
        <v>0</v>
      </c>
      <c r="U465" s="87">
        <f>IFERROR(__xludf.DUMMYFUNCTION("""COMPUTED_VALUE"""),0.0)</f>
        <v>0</v>
      </c>
      <c r="V465" s="87">
        <f>IFERROR(__xludf.DUMMYFUNCTION("""COMPUTED_VALUE"""),0.0)</f>
        <v>0</v>
      </c>
      <c r="W465" s="87">
        <f>IFERROR(__xludf.DUMMYFUNCTION("""COMPUTED_VALUE"""),0.0)</f>
        <v>0</v>
      </c>
      <c r="X465" s="88"/>
      <c r="Y465" s="74"/>
      <c r="Z465" s="74"/>
    </row>
    <row r="466">
      <c r="B466" s="74" t="str">
        <f>IFERROR(__xludf.DUMMYFUNCTION("""COMPUTED_VALUE"""),"1463")</f>
        <v>1463</v>
      </c>
      <c r="C466" s="74"/>
      <c r="D466" s="74" t="str">
        <f>IFERROR(__xludf.DUMMYFUNCTION("""COMPUTED_VALUE"""),"\\MCA-S\mk\2_BM\0_BMat\08_PYM\Inventario\excel\Imagen de refacciones\Bombeo de concreto\5,5_ 30 degree elbow R275 _ Codo de 5.5_ a 30° con radio R275")</f>
        <v>\\MCA-S\mk\2_BM\0_BMat\08_PYM\Inventario\excel\Imagen de refacciones\Bombeo de concreto\5,5_ 30 degree elbow R275 _ Codo de 5.5_ a 30° con radio R275</v>
      </c>
      <c r="E466" s="74"/>
      <c r="F466" s="74" t="str">
        <f>IFERROR(__xludf.DUMMYFUNCTION("""COMPUTED_VALUE"""),"5,5"" 30 degree elbow R275 / Codo de 5.5"" a 30° con radio R275")</f>
        <v>5,5" 30 degree elbow R275 / Codo de 5.5" a 30° con radio R275</v>
      </c>
      <c r="G466" s="74"/>
      <c r="H466" s="74"/>
      <c r="I466" s="74" t="str">
        <f>IFERROR(__xludf.DUMMYFUNCTION("""COMPUTED_VALUE"""),"SOM10163")</f>
        <v>SOM10163</v>
      </c>
      <c r="J466" s="74"/>
      <c r="K466" s="74" t="str">
        <f>IFERROR(__xludf.DUMMYFUNCTION("""COMPUTED_VALUE"""),"Tuberia")</f>
        <v>Tuberia</v>
      </c>
      <c r="L466" s="74" t="str">
        <f>IFERROR(__xludf.DUMMYFUNCTION("""COMPUTED_VALUE"""),"Componentes estructurales y de montaje")</f>
        <v>Componentes estructurales y de montaje</v>
      </c>
      <c r="M466" s="74" t="str">
        <f>IFERROR(__xludf.DUMMYFUNCTION("""COMPUTED_VALUE"""),"Sin Asignar")</f>
        <v>Sin Asignar</v>
      </c>
      <c r="N466" s="87">
        <f>IFERROR(__xludf.DUMMYFUNCTION("""COMPUTED_VALUE"""),0.0)</f>
        <v>0</v>
      </c>
      <c r="O466" s="74"/>
      <c r="P466" s="74" t="str">
        <f>IFERROR(__xludf.DUMMYFUNCTION("""COMPUTED_VALUE"""),"No Available")</f>
        <v>No Available</v>
      </c>
      <c r="Q466" s="74"/>
      <c r="R466" s="74"/>
      <c r="S466" s="87">
        <f>IFERROR(__xludf.DUMMYFUNCTION("""COMPUTED_VALUE"""),0.0)</f>
        <v>0</v>
      </c>
      <c r="T466" s="87">
        <f>IFERROR(__xludf.DUMMYFUNCTION("""COMPUTED_VALUE"""),0.0)</f>
        <v>0</v>
      </c>
      <c r="U466" s="87">
        <f>IFERROR(__xludf.DUMMYFUNCTION("""COMPUTED_VALUE"""),0.0)</f>
        <v>0</v>
      </c>
      <c r="V466" s="87">
        <f>IFERROR(__xludf.DUMMYFUNCTION("""COMPUTED_VALUE"""),0.0)</f>
        <v>0</v>
      </c>
      <c r="W466" s="87">
        <f>IFERROR(__xludf.DUMMYFUNCTION("""COMPUTED_VALUE"""),0.0)</f>
        <v>0</v>
      </c>
      <c r="X466" s="88"/>
      <c r="Y466" s="74"/>
      <c r="Z466" s="74"/>
    </row>
    <row r="467">
      <c r="B467" s="74" t="str">
        <f>IFERROR(__xludf.DUMMYFUNCTION("""COMPUTED_VALUE"""),"1464")</f>
        <v>1464</v>
      </c>
      <c r="C467" s="74"/>
      <c r="D467" s="74" t="str">
        <f>IFERROR(__xludf.DUMMYFUNCTION("""COMPUTED_VALUE"""),"\\MCA-S\mk\2_BM\0_BMat\08_PYM\Inventario\excel\Imagen de refacciones\Bombeo de concreto\5,5_ 45 degree elbow R275 _ Codo de 5.5_ a 45° con radio R275")</f>
        <v>\\MCA-S\mk\2_BM\0_BMat\08_PYM\Inventario\excel\Imagen de refacciones\Bombeo de concreto\5,5_ 45 degree elbow R275 _ Codo de 5.5_ a 45° con radio R275</v>
      </c>
      <c r="E467" s="74"/>
      <c r="F467" s="74" t="str">
        <f>IFERROR(__xludf.DUMMYFUNCTION("""COMPUTED_VALUE"""),"5,5"" 45 degree elbow R275 / Codo de 5.5"" a 45° con radio R275")</f>
        <v>5,5" 45 degree elbow R275 / Codo de 5.5" a 45° con radio R275</v>
      </c>
      <c r="G467" s="74"/>
      <c r="H467" s="74"/>
      <c r="I467" s="74" t="str">
        <f>IFERROR(__xludf.DUMMYFUNCTION("""COMPUTED_VALUE"""),"SOM10164")</f>
        <v>SOM10164</v>
      </c>
      <c r="J467" s="74"/>
      <c r="K467" s="74" t="str">
        <f>IFERROR(__xludf.DUMMYFUNCTION("""COMPUTED_VALUE"""),"Tuberia")</f>
        <v>Tuberia</v>
      </c>
      <c r="L467" s="74" t="str">
        <f>IFERROR(__xludf.DUMMYFUNCTION("""COMPUTED_VALUE"""),"Componentes estructurales y de montaje")</f>
        <v>Componentes estructurales y de montaje</v>
      </c>
      <c r="M467" s="74" t="str">
        <f>IFERROR(__xludf.DUMMYFUNCTION("""COMPUTED_VALUE"""),"Sin Asignar")</f>
        <v>Sin Asignar</v>
      </c>
      <c r="N467" s="87">
        <f>IFERROR(__xludf.DUMMYFUNCTION("""COMPUTED_VALUE"""),0.0)</f>
        <v>0</v>
      </c>
      <c r="O467" s="74"/>
      <c r="P467" s="74" t="str">
        <f>IFERROR(__xludf.DUMMYFUNCTION("""COMPUTED_VALUE"""),"No Available")</f>
        <v>No Available</v>
      </c>
      <c r="Q467" s="74"/>
      <c r="R467" s="74"/>
      <c r="S467" s="87">
        <f>IFERROR(__xludf.DUMMYFUNCTION("""COMPUTED_VALUE"""),0.0)</f>
        <v>0</v>
      </c>
      <c r="T467" s="87">
        <f>IFERROR(__xludf.DUMMYFUNCTION("""COMPUTED_VALUE"""),0.0)</f>
        <v>0</v>
      </c>
      <c r="U467" s="87">
        <f>IFERROR(__xludf.DUMMYFUNCTION("""COMPUTED_VALUE"""),0.0)</f>
        <v>0</v>
      </c>
      <c r="V467" s="87">
        <f>IFERROR(__xludf.DUMMYFUNCTION("""COMPUTED_VALUE"""),0.0)</f>
        <v>0</v>
      </c>
      <c r="W467" s="87">
        <f>IFERROR(__xludf.DUMMYFUNCTION("""COMPUTED_VALUE"""),0.0)</f>
        <v>0</v>
      </c>
      <c r="X467" s="88"/>
      <c r="Y467" s="74"/>
      <c r="Z467" s="74"/>
    </row>
    <row r="468">
      <c r="B468" s="74" t="str">
        <f>IFERROR(__xludf.DUMMYFUNCTION("""COMPUTED_VALUE"""),"1465")</f>
        <v>1465</v>
      </c>
      <c r="C468" s="74"/>
      <c r="D468" s="74" t="str">
        <f>IFERROR(__xludf.DUMMYFUNCTION("""COMPUTED_VALUE"""),"\\MCA-S\mk\2_BM\0_BMat\08_PYM\Inventario\excel\Imagen de refacciones\Bombeo de concreto\5,5_ 90 degree elbow R275 _ Codo de 5.5_ a 90° con radio R275")</f>
        <v>\\MCA-S\mk\2_BM\0_BMat\08_PYM\Inventario\excel\Imagen de refacciones\Bombeo de concreto\5,5_ 90 degree elbow R275 _ Codo de 5.5_ a 90° con radio R275</v>
      </c>
      <c r="E468" s="74"/>
      <c r="F468" s="74" t="str">
        <f>IFERROR(__xludf.DUMMYFUNCTION("""COMPUTED_VALUE"""),"5,5"" 90 degree elbow R275 / Codo de 5.5"" a 90° con radio R275")</f>
        <v>5,5" 90 degree elbow R275 / Codo de 5.5" a 90° con radio R275</v>
      </c>
      <c r="G468" s="74"/>
      <c r="H468" s="74"/>
      <c r="I468" s="74" t="str">
        <f>IFERROR(__xludf.DUMMYFUNCTION("""COMPUTED_VALUE"""),"SOM10165")</f>
        <v>SOM10165</v>
      </c>
      <c r="J468" s="74"/>
      <c r="K468" s="74" t="str">
        <f>IFERROR(__xludf.DUMMYFUNCTION("""COMPUTED_VALUE"""),"Tuberia")</f>
        <v>Tuberia</v>
      </c>
      <c r="L468" s="74" t="str">
        <f>IFERROR(__xludf.DUMMYFUNCTION("""COMPUTED_VALUE"""),"Componentes estructurales y de montaje")</f>
        <v>Componentes estructurales y de montaje</v>
      </c>
      <c r="M468" s="74" t="str">
        <f>IFERROR(__xludf.DUMMYFUNCTION("""COMPUTED_VALUE"""),"Sin Asignar")</f>
        <v>Sin Asignar</v>
      </c>
      <c r="N468" s="87">
        <f>IFERROR(__xludf.DUMMYFUNCTION("""COMPUTED_VALUE"""),0.0)</f>
        <v>0</v>
      </c>
      <c r="O468" s="74"/>
      <c r="P468" s="74" t="str">
        <f>IFERROR(__xludf.DUMMYFUNCTION("""COMPUTED_VALUE"""),"No Available")</f>
        <v>No Available</v>
      </c>
      <c r="Q468" s="74"/>
      <c r="R468" s="74"/>
      <c r="S468" s="87">
        <f>IFERROR(__xludf.DUMMYFUNCTION("""COMPUTED_VALUE"""),0.0)</f>
        <v>0</v>
      </c>
      <c r="T468" s="87">
        <f>IFERROR(__xludf.DUMMYFUNCTION("""COMPUTED_VALUE"""),0.0)</f>
        <v>0</v>
      </c>
      <c r="U468" s="87">
        <f>IFERROR(__xludf.DUMMYFUNCTION("""COMPUTED_VALUE"""),0.0)</f>
        <v>0</v>
      </c>
      <c r="V468" s="87">
        <f>IFERROR(__xludf.DUMMYFUNCTION("""COMPUTED_VALUE"""),0.0)</f>
        <v>0</v>
      </c>
      <c r="W468" s="87">
        <f>IFERROR(__xludf.DUMMYFUNCTION("""COMPUTED_VALUE"""),0.0)</f>
        <v>0</v>
      </c>
      <c r="X468" s="88"/>
      <c r="Y468" s="74"/>
      <c r="Z468" s="74"/>
    </row>
    <row r="469">
      <c r="B469" s="74" t="str">
        <f>IFERROR(__xludf.DUMMYFUNCTION("""COMPUTED_VALUE"""),"1466")</f>
        <v>1466</v>
      </c>
      <c r="C469" s="74"/>
      <c r="D469" s="74" t="str">
        <f>IFERROR(__xludf.DUMMYFUNCTION("""COMPUTED_VALUE"""),"\\MCA-S\mk\2_BM\0_BMat\08_PYM\Inventario\excel\Imagen de refacciones\Bombeo de concreto\4,5_ 90 degree elbow R275 _ Codo de 4.5_ a 90° con radio R275")</f>
        <v>\\MCA-S\mk\2_BM\0_BMat\08_PYM\Inventario\excel\Imagen de refacciones\Bombeo de concreto\4,5_ 90 degree elbow R275 _ Codo de 4.5_ a 90° con radio R275</v>
      </c>
      <c r="E469" s="74"/>
      <c r="F469" s="74" t="str">
        <f>IFERROR(__xludf.DUMMYFUNCTION("""COMPUTED_VALUE"""),"4,5"" 90 degree elbow R275 / Codo de 4.5"" a 90° con radio R275")</f>
        <v>4,5" 90 degree elbow R275 / Codo de 4.5" a 90° con radio R275</v>
      </c>
      <c r="G469" s="74"/>
      <c r="H469" s="74"/>
      <c r="I469" s="74" t="str">
        <f>IFERROR(__xludf.DUMMYFUNCTION("""COMPUTED_VALUE"""),"SOM10167")</f>
        <v>SOM10167</v>
      </c>
      <c r="J469" s="74"/>
      <c r="K469" s="74" t="str">
        <f>IFERROR(__xludf.DUMMYFUNCTION("""COMPUTED_VALUE"""),"Tuberia")</f>
        <v>Tuberia</v>
      </c>
      <c r="L469" s="74" t="str">
        <f>IFERROR(__xludf.DUMMYFUNCTION("""COMPUTED_VALUE"""),"Componentes estructurales y de montaje")</f>
        <v>Componentes estructurales y de montaje</v>
      </c>
      <c r="M469" s="74" t="str">
        <f>IFERROR(__xludf.DUMMYFUNCTION("""COMPUTED_VALUE"""),"Sin Asignar")</f>
        <v>Sin Asignar</v>
      </c>
      <c r="N469" s="87">
        <f>IFERROR(__xludf.DUMMYFUNCTION("""COMPUTED_VALUE"""),0.0)</f>
        <v>0</v>
      </c>
      <c r="O469" s="74"/>
      <c r="P469" s="74" t="str">
        <f>IFERROR(__xludf.DUMMYFUNCTION("""COMPUTED_VALUE"""),"No Available")</f>
        <v>No Available</v>
      </c>
      <c r="Q469" s="74"/>
      <c r="R469" s="74"/>
      <c r="S469" s="87">
        <f>IFERROR(__xludf.DUMMYFUNCTION("""COMPUTED_VALUE"""),0.0)</f>
        <v>0</v>
      </c>
      <c r="T469" s="87">
        <f>IFERROR(__xludf.DUMMYFUNCTION("""COMPUTED_VALUE"""),0.0)</f>
        <v>0</v>
      </c>
      <c r="U469" s="87">
        <f>IFERROR(__xludf.DUMMYFUNCTION("""COMPUTED_VALUE"""),0.0)</f>
        <v>0</v>
      </c>
      <c r="V469" s="87">
        <f>IFERROR(__xludf.DUMMYFUNCTION("""COMPUTED_VALUE"""),0.0)</f>
        <v>0</v>
      </c>
      <c r="W469" s="87">
        <f>IFERROR(__xludf.DUMMYFUNCTION("""COMPUTED_VALUE"""),0.0)</f>
        <v>0</v>
      </c>
      <c r="X469" s="88"/>
      <c r="Y469" s="74"/>
      <c r="Z469" s="74"/>
    </row>
    <row r="470">
      <c r="B470" s="74" t="str">
        <f>IFERROR(__xludf.DUMMYFUNCTION("""COMPUTED_VALUE"""),"1467")</f>
        <v>1467</v>
      </c>
      <c r="C470" s="74"/>
      <c r="D470" s="74" t="str">
        <f>IFERROR(__xludf.DUMMYFUNCTION("""COMPUTED_VALUE"""),"\\MCA-S\mk\2_BM\0_BMat\08_PYM\Inventario\excel\Imagen de refacciones\Bombeo de concreto\4,5_ ST-52 Steel pipe 3MT _ Tubo de acero ST-52 de 4.5_ (114.3mm) x 3 metros")</f>
        <v>\\MCA-S\mk\2_BM\0_BMat\08_PYM\Inventario\excel\Imagen de refacciones\Bombeo de concreto\4,5_ ST-52 Steel pipe 3MT _ Tubo de acero ST-52 de 4.5_ (114.3mm) x 3 metros</v>
      </c>
      <c r="E470" s="74"/>
      <c r="F470" s="74" t="str">
        <f>IFERROR(__xludf.DUMMYFUNCTION("""COMPUTED_VALUE"""),"4,5"" ST-52 Steel pipe 3MT / Tubo de acero ST-52 de 4.5"" (114.3mm) x 3 metros")</f>
        <v>4,5" ST-52 Steel pipe 3MT / Tubo de acero ST-52 de 4.5" (114.3mm) x 3 metros</v>
      </c>
      <c r="G470" s="74"/>
      <c r="H470" s="74"/>
      <c r="I470" s="74" t="str">
        <f>IFERROR(__xludf.DUMMYFUNCTION("""COMPUTED_VALUE"""),"SOM10169")</f>
        <v>SOM10169</v>
      </c>
      <c r="J470" s="74"/>
      <c r="K470" s="74" t="str">
        <f>IFERROR(__xludf.DUMMYFUNCTION("""COMPUTED_VALUE"""),"Tuberia")</f>
        <v>Tuberia</v>
      </c>
      <c r="L470" s="74" t="str">
        <f>IFERROR(__xludf.DUMMYFUNCTION("""COMPUTED_VALUE"""),"Componentes estructurales y de montaje")</f>
        <v>Componentes estructurales y de montaje</v>
      </c>
      <c r="M470" s="74" t="str">
        <f>IFERROR(__xludf.DUMMYFUNCTION("""COMPUTED_VALUE"""),"Sin Asignar")</f>
        <v>Sin Asignar</v>
      </c>
      <c r="N470" s="87">
        <f>IFERROR(__xludf.DUMMYFUNCTION("""COMPUTED_VALUE"""),0.0)</f>
        <v>0</v>
      </c>
      <c r="O470" s="74"/>
      <c r="P470" s="74" t="str">
        <f>IFERROR(__xludf.DUMMYFUNCTION("""COMPUTED_VALUE"""),"No Available")</f>
        <v>No Available</v>
      </c>
      <c r="Q470" s="74"/>
      <c r="R470" s="74"/>
      <c r="S470" s="87">
        <f>IFERROR(__xludf.DUMMYFUNCTION("""COMPUTED_VALUE"""),0.0)</f>
        <v>0</v>
      </c>
      <c r="T470" s="87">
        <f>IFERROR(__xludf.DUMMYFUNCTION("""COMPUTED_VALUE"""),0.0)</f>
        <v>0</v>
      </c>
      <c r="U470" s="87">
        <f>IFERROR(__xludf.DUMMYFUNCTION("""COMPUTED_VALUE"""),0.0)</f>
        <v>0</v>
      </c>
      <c r="V470" s="87">
        <f>IFERROR(__xludf.DUMMYFUNCTION("""COMPUTED_VALUE"""),0.0)</f>
        <v>0</v>
      </c>
      <c r="W470" s="87">
        <f>IFERROR(__xludf.DUMMYFUNCTION("""COMPUTED_VALUE"""),0.0)</f>
        <v>0</v>
      </c>
      <c r="X470" s="88"/>
      <c r="Y470" s="74"/>
      <c r="Z470" s="74"/>
    </row>
    <row r="471">
      <c r="B471" s="74" t="str">
        <f>IFERROR(__xludf.DUMMYFUNCTION("""COMPUTED_VALUE"""),"1468")</f>
        <v>1468</v>
      </c>
      <c r="C471" s="74"/>
      <c r="D471" s="74" t="str">
        <f>IFERROR(__xludf.DUMMYFUNCTION("""COMPUTED_VALUE"""),"\\MCA-S\mk\2_BM\0_BMat\08_PYM\Inventario\excel\Imagen de refacciones\Bombeo de concreto\5,5_ clamp coupling _ Acoplamiento de abrazadera de 5.5_")</f>
        <v>\\MCA-S\mk\2_BM\0_BMat\08_PYM\Inventario\excel\Imagen de refacciones\Bombeo de concreto\5,5_ clamp coupling _ Acoplamiento de abrazadera de 5.5_</v>
      </c>
      <c r="E471" s="74"/>
      <c r="F471" s="74" t="str">
        <f>IFERROR(__xludf.DUMMYFUNCTION("""COMPUTED_VALUE"""),"5,5"" clamp coupling / Acoplamiento de abrazadera de 5.5""")</f>
        <v>5,5" clamp coupling / Acoplamiento de abrazadera de 5.5"</v>
      </c>
      <c r="G471" s="74"/>
      <c r="H471" s="74"/>
      <c r="I471" s="74" t="str">
        <f>IFERROR(__xludf.DUMMYFUNCTION("""COMPUTED_VALUE"""),"SOM10176")</f>
        <v>SOM10176</v>
      </c>
      <c r="J471" s="74"/>
      <c r="K471" s="74" t="str">
        <f>IFERROR(__xludf.DUMMYFUNCTION("""COMPUTED_VALUE"""),"Tuberia")</f>
        <v>Tuberia</v>
      </c>
      <c r="L471" s="74" t="str">
        <f>IFERROR(__xludf.DUMMYFUNCTION("""COMPUTED_VALUE"""),"Componentes estructurales y de montaje")</f>
        <v>Componentes estructurales y de montaje</v>
      </c>
      <c r="M471" s="74" t="str">
        <f>IFERROR(__xludf.DUMMYFUNCTION("""COMPUTED_VALUE"""),"Sin Asignar")</f>
        <v>Sin Asignar</v>
      </c>
      <c r="N471" s="87">
        <f>IFERROR(__xludf.DUMMYFUNCTION("""COMPUTED_VALUE"""),0.0)</f>
        <v>0</v>
      </c>
      <c r="O471" s="74"/>
      <c r="P471" s="74" t="str">
        <f>IFERROR(__xludf.DUMMYFUNCTION("""COMPUTED_VALUE"""),"No Available")</f>
        <v>No Available</v>
      </c>
      <c r="Q471" s="74"/>
      <c r="R471" s="74"/>
      <c r="S471" s="87">
        <f>IFERROR(__xludf.DUMMYFUNCTION("""COMPUTED_VALUE"""),0.0)</f>
        <v>0</v>
      </c>
      <c r="T471" s="87">
        <f>IFERROR(__xludf.DUMMYFUNCTION("""COMPUTED_VALUE"""),0.0)</f>
        <v>0</v>
      </c>
      <c r="U471" s="87">
        <f>IFERROR(__xludf.DUMMYFUNCTION("""COMPUTED_VALUE"""),0.0)</f>
        <v>0</v>
      </c>
      <c r="V471" s="87">
        <f>IFERROR(__xludf.DUMMYFUNCTION("""COMPUTED_VALUE"""),0.0)</f>
        <v>0</v>
      </c>
      <c r="W471" s="87">
        <f>IFERROR(__xludf.DUMMYFUNCTION("""COMPUTED_VALUE"""),0.0)</f>
        <v>0</v>
      </c>
      <c r="X471" s="88"/>
      <c r="Y471" s="74"/>
      <c r="Z471" s="74"/>
    </row>
    <row r="472">
      <c r="B472" s="74" t="str">
        <f>IFERROR(__xludf.DUMMYFUNCTION("""COMPUTED_VALUE"""),"1469")</f>
        <v>1469</v>
      </c>
      <c r="C472" s="74"/>
      <c r="D472" s="74" t="str">
        <f>IFERROR(__xludf.DUMMYFUNCTION("""COMPUTED_VALUE"""),"\\MCA-S\mk\2_BM\0_BMat\08_PYM\Inventario\excel\Imagen de refacciones\Bombeo de concreto\5,5_ Allen coupling _ Acoplamiento Allen de 5.5_")</f>
        <v>\\MCA-S\mk\2_BM\0_BMat\08_PYM\Inventario\excel\Imagen de refacciones\Bombeo de concreto\5,5_ Allen coupling _ Acoplamiento Allen de 5.5_</v>
      </c>
      <c r="E472" s="74"/>
      <c r="F472" s="74" t="str">
        <f>IFERROR(__xludf.DUMMYFUNCTION("""COMPUTED_VALUE"""),"5,5"" Allen coupling / Acoplamiento Allen de 5.5""")</f>
        <v>5,5" Allen coupling / Acoplamiento Allen de 5.5"</v>
      </c>
      <c r="G472" s="74"/>
      <c r="H472" s="74"/>
      <c r="I472" s="74" t="str">
        <f>IFERROR(__xludf.DUMMYFUNCTION("""COMPUTED_VALUE"""),"SOM10177")</f>
        <v>SOM10177</v>
      </c>
      <c r="J472" s="74"/>
      <c r="K472" s="74" t="str">
        <f>IFERROR(__xludf.DUMMYFUNCTION("""COMPUTED_VALUE"""),"Tuberia")</f>
        <v>Tuberia</v>
      </c>
      <c r="L472" s="74" t="str">
        <f>IFERROR(__xludf.DUMMYFUNCTION("""COMPUTED_VALUE"""),"Componentes estructurales y de montaje")</f>
        <v>Componentes estructurales y de montaje</v>
      </c>
      <c r="M472" s="74" t="str">
        <f>IFERROR(__xludf.DUMMYFUNCTION("""COMPUTED_VALUE"""),"Sin Asignar")</f>
        <v>Sin Asignar</v>
      </c>
      <c r="N472" s="87">
        <f>IFERROR(__xludf.DUMMYFUNCTION("""COMPUTED_VALUE"""),0.0)</f>
        <v>0</v>
      </c>
      <c r="O472" s="74"/>
      <c r="P472" s="74" t="str">
        <f>IFERROR(__xludf.DUMMYFUNCTION("""COMPUTED_VALUE"""),"No Available")</f>
        <v>No Available</v>
      </c>
      <c r="Q472" s="74"/>
      <c r="R472" s="74"/>
      <c r="S472" s="87">
        <f>IFERROR(__xludf.DUMMYFUNCTION("""COMPUTED_VALUE"""),0.0)</f>
        <v>0</v>
      </c>
      <c r="T472" s="87">
        <f>IFERROR(__xludf.DUMMYFUNCTION("""COMPUTED_VALUE"""),0.0)</f>
        <v>0</v>
      </c>
      <c r="U472" s="87">
        <f>IFERROR(__xludf.DUMMYFUNCTION("""COMPUTED_VALUE"""),0.0)</f>
        <v>0</v>
      </c>
      <c r="V472" s="87">
        <f>IFERROR(__xludf.DUMMYFUNCTION("""COMPUTED_VALUE"""),0.0)</f>
        <v>0</v>
      </c>
      <c r="W472" s="87">
        <f>IFERROR(__xludf.DUMMYFUNCTION("""COMPUTED_VALUE"""),0.0)</f>
        <v>0</v>
      </c>
      <c r="X472" s="88"/>
      <c r="Y472" s="74"/>
      <c r="Z472" s="74"/>
    </row>
    <row r="473">
      <c r="B473" s="74" t="str">
        <f>IFERROR(__xludf.DUMMYFUNCTION("""COMPUTED_VALUE"""),"1470")</f>
        <v>1470</v>
      </c>
      <c r="C473" s="74"/>
      <c r="D473" s="74" t="str">
        <f>IFERROR(__xludf.DUMMYFUNCTION("""COMPUTED_VALUE"""),"\\MCA-S\mk\2_BM\0_BMat\08_PYM\Inventario\excel\Imagen de refacciones\Bombeo de concreto\5,5_ mounted Allen coupling _ Acoplamiento Allen montado de 5.5_")</f>
        <v>\\MCA-S\mk\2_BM\0_BMat\08_PYM\Inventario\excel\Imagen de refacciones\Bombeo de concreto\5,5_ mounted Allen coupling _ Acoplamiento Allen montado de 5.5_</v>
      </c>
      <c r="E473" s="74"/>
      <c r="F473" s="74" t="str">
        <f>IFERROR(__xludf.DUMMYFUNCTION("""COMPUTED_VALUE"""),"5,5"" mounted Allen coupling / Acoplamiento Allen montado de 5.5""")</f>
        <v>5,5" mounted Allen coupling / Acoplamiento Allen montado de 5.5"</v>
      </c>
      <c r="G473" s="74"/>
      <c r="H473" s="74"/>
      <c r="I473" s="74" t="str">
        <f>IFERROR(__xludf.DUMMYFUNCTION("""COMPUTED_VALUE"""),"SOM10178")</f>
        <v>SOM10178</v>
      </c>
      <c r="J473" s="74"/>
      <c r="K473" s="74" t="str">
        <f>IFERROR(__xludf.DUMMYFUNCTION("""COMPUTED_VALUE"""),"Tuberia")</f>
        <v>Tuberia</v>
      </c>
      <c r="L473" s="74" t="str">
        <f>IFERROR(__xludf.DUMMYFUNCTION("""COMPUTED_VALUE"""),"Componentes estructurales y de montaje")</f>
        <v>Componentes estructurales y de montaje</v>
      </c>
      <c r="M473" s="74" t="str">
        <f>IFERROR(__xludf.DUMMYFUNCTION("""COMPUTED_VALUE"""),"Sin Asignar")</f>
        <v>Sin Asignar</v>
      </c>
      <c r="N473" s="87">
        <f>IFERROR(__xludf.DUMMYFUNCTION("""COMPUTED_VALUE"""),0.0)</f>
        <v>0</v>
      </c>
      <c r="O473" s="74"/>
      <c r="P473" s="74" t="str">
        <f>IFERROR(__xludf.DUMMYFUNCTION("""COMPUTED_VALUE"""),"No Available")</f>
        <v>No Available</v>
      </c>
      <c r="Q473" s="74"/>
      <c r="R473" s="74"/>
      <c r="S473" s="87">
        <f>IFERROR(__xludf.DUMMYFUNCTION("""COMPUTED_VALUE"""),0.0)</f>
        <v>0</v>
      </c>
      <c r="T473" s="87">
        <f>IFERROR(__xludf.DUMMYFUNCTION("""COMPUTED_VALUE"""),0.0)</f>
        <v>0</v>
      </c>
      <c r="U473" s="87">
        <f>IFERROR(__xludf.DUMMYFUNCTION("""COMPUTED_VALUE"""),0.0)</f>
        <v>0</v>
      </c>
      <c r="V473" s="87">
        <f>IFERROR(__xludf.DUMMYFUNCTION("""COMPUTED_VALUE"""),0.0)</f>
        <v>0</v>
      </c>
      <c r="W473" s="87">
        <f>IFERROR(__xludf.DUMMYFUNCTION("""COMPUTED_VALUE"""),0.0)</f>
        <v>0</v>
      </c>
      <c r="X473" s="88"/>
      <c r="Y473" s="74"/>
      <c r="Z473" s="74"/>
    </row>
    <row r="474">
      <c r="B474" s="74" t="str">
        <f>IFERROR(__xludf.DUMMYFUNCTION("""COMPUTED_VALUE"""),"1471")</f>
        <v>1471</v>
      </c>
      <c r="C474" s="74"/>
      <c r="D474" s="74" t="str">
        <f>IFERROR(__xludf.DUMMYFUNCTION("""COMPUTED_VALUE"""),"\\MCA-S\mk\2_BM\0_BMat\08_PYM\Inventario\excel\Imagen de refacciones\Bombeo de concreto\5,5_ m16 bolt clamp coupling _ Acoplamiento de abrazadera de 5.5_ con tornillos M16")</f>
        <v>\\MCA-S\mk\2_BM\0_BMat\08_PYM\Inventario\excel\Imagen de refacciones\Bombeo de concreto\5,5_ m16 bolt clamp coupling _ Acoplamiento de abrazadera de 5.5_ con tornillos M16</v>
      </c>
      <c r="E474" s="74"/>
      <c r="F474" s="74" t="str">
        <f>IFERROR(__xludf.DUMMYFUNCTION("""COMPUTED_VALUE"""),"5,5"" m16 bolt clamp coupling / Acoplamiento de abrazadera de 5.5"" con tornillos M16")</f>
        <v>5,5" m16 bolt clamp coupling / Acoplamiento de abrazadera de 5.5" con tornillos M16</v>
      </c>
      <c r="G474" s="74"/>
      <c r="H474" s="74"/>
      <c r="I474" s="74" t="str">
        <f>IFERROR(__xludf.DUMMYFUNCTION("""COMPUTED_VALUE"""),"SOM10179")</f>
        <v>SOM10179</v>
      </c>
      <c r="J474" s="74"/>
      <c r="K474" s="74" t="str">
        <f>IFERROR(__xludf.DUMMYFUNCTION("""COMPUTED_VALUE"""),"Tuberia")</f>
        <v>Tuberia</v>
      </c>
      <c r="L474" s="74" t="str">
        <f>IFERROR(__xludf.DUMMYFUNCTION("""COMPUTED_VALUE"""),"Componentes estructurales y de montaje")</f>
        <v>Componentes estructurales y de montaje</v>
      </c>
      <c r="M474" s="74" t="str">
        <f>IFERROR(__xludf.DUMMYFUNCTION("""COMPUTED_VALUE"""),"Sin Asignar")</f>
        <v>Sin Asignar</v>
      </c>
      <c r="N474" s="87">
        <f>IFERROR(__xludf.DUMMYFUNCTION("""COMPUTED_VALUE"""),0.0)</f>
        <v>0</v>
      </c>
      <c r="O474" s="74"/>
      <c r="P474" s="74" t="str">
        <f>IFERROR(__xludf.DUMMYFUNCTION("""COMPUTED_VALUE"""),"No Available")</f>
        <v>No Available</v>
      </c>
      <c r="Q474" s="74"/>
      <c r="R474" s="74"/>
      <c r="S474" s="87">
        <f>IFERROR(__xludf.DUMMYFUNCTION("""COMPUTED_VALUE"""),0.0)</f>
        <v>0</v>
      </c>
      <c r="T474" s="87">
        <f>IFERROR(__xludf.DUMMYFUNCTION("""COMPUTED_VALUE"""),0.0)</f>
        <v>0</v>
      </c>
      <c r="U474" s="87">
        <f>IFERROR(__xludf.DUMMYFUNCTION("""COMPUTED_VALUE"""),0.0)</f>
        <v>0</v>
      </c>
      <c r="V474" s="87">
        <f>IFERROR(__xludf.DUMMYFUNCTION("""COMPUTED_VALUE"""),0.0)</f>
        <v>0</v>
      </c>
      <c r="W474" s="87">
        <f>IFERROR(__xludf.DUMMYFUNCTION("""COMPUTED_VALUE"""),0.0)</f>
        <v>0</v>
      </c>
      <c r="X474" s="88"/>
      <c r="Y474" s="74"/>
      <c r="Z474" s="74"/>
    </row>
    <row r="475">
      <c r="B475" s="74" t="str">
        <f>IFERROR(__xludf.DUMMYFUNCTION("""COMPUTED_VALUE"""),"1472")</f>
        <v>1472</v>
      </c>
      <c r="C475" s="74"/>
      <c r="D475" s="74" t="str">
        <f>IFERROR(__xludf.DUMMYFUNCTION("""COMPUTED_VALUE"""),"\\MCA-S\mk\2_BM\0_BMat\08_PYM\Inventario\excel\Imagen de refacciones\Bombeo de concreto\5,5_ Small mounted clamp coupling _ Acoplamiento de abrazadera pequeño montado de 5.5_")</f>
        <v>\\MCA-S\mk\2_BM\0_BMat\08_PYM\Inventario\excel\Imagen de refacciones\Bombeo de concreto\5,5_ Small mounted clamp coupling _ Acoplamiento de abrazadera pequeño montado de 5.5_</v>
      </c>
      <c r="E475" s="74"/>
      <c r="F475" s="74" t="str">
        <f>IFERROR(__xludf.DUMMYFUNCTION("""COMPUTED_VALUE"""),"5,5"" Small mounted clamp coupling / Acoplamiento de abrazadera pequeño montado de 5.5""")</f>
        <v>5,5" Small mounted clamp coupling / Acoplamiento de abrazadera pequeño montado de 5.5"</v>
      </c>
      <c r="G475" s="74"/>
      <c r="H475" s="74"/>
      <c r="I475" s="74" t="str">
        <f>IFERROR(__xludf.DUMMYFUNCTION("""COMPUTED_VALUE"""),"SOM10181")</f>
        <v>SOM10181</v>
      </c>
      <c r="J475" s="74"/>
      <c r="K475" s="74" t="str">
        <f>IFERROR(__xludf.DUMMYFUNCTION("""COMPUTED_VALUE"""),"Tuberia")</f>
        <v>Tuberia</v>
      </c>
      <c r="L475" s="74" t="str">
        <f>IFERROR(__xludf.DUMMYFUNCTION("""COMPUTED_VALUE"""),"Componentes estructurales y de montaje")</f>
        <v>Componentes estructurales y de montaje</v>
      </c>
      <c r="M475" s="74" t="str">
        <f>IFERROR(__xludf.DUMMYFUNCTION("""COMPUTED_VALUE"""),"Sin Asignar")</f>
        <v>Sin Asignar</v>
      </c>
      <c r="N475" s="87">
        <f>IFERROR(__xludf.DUMMYFUNCTION("""COMPUTED_VALUE"""),0.0)</f>
        <v>0</v>
      </c>
      <c r="O475" s="74"/>
      <c r="P475" s="74" t="str">
        <f>IFERROR(__xludf.DUMMYFUNCTION("""COMPUTED_VALUE"""),"No Available")</f>
        <v>No Available</v>
      </c>
      <c r="Q475" s="74"/>
      <c r="R475" s="74"/>
      <c r="S475" s="87">
        <f>IFERROR(__xludf.DUMMYFUNCTION("""COMPUTED_VALUE"""),0.0)</f>
        <v>0</v>
      </c>
      <c r="T475" s="87">
        <f>IFERROR(__xludf.DUMMYFUNCTION("""COMPUTED_VALUE"""),0.0)</f>
        <v>0</v>
      </c>
      <c r="U475" s="87">
        <f>IFERROR(__xludf.DUMMYFUNCTION("""COMPUTED_VALUE"""),0.0)</f>
        <v>0</v>
      </c>
      <c r="V475" s="87">
        <f>IFERROR(__xludf.DUMMYFUNCTION("""COMPUTED_VALUE"""),0.0)</f>
        <v>0</v>
      </c>
      <c r="W475" s="87">
        <f>IFERROR(__xludf.DUMMYFUNCTION("""COMPUTED_VALUE"""),0.0)</f>
        <v>0</v>
      </c>
      <c r="X475" s="88"/>
      <c r="Y475" s="74"/>
      <c r="Z475" s="74"/>
    </row>
    <row r="476">
      <c r="B476" s="74" t="str">
        <f>IFERROR(__xludf.DUMMYFUNCTION("""COMPUTED_VALUE"""),"1473")</f>
        <v>1473</v>
      </c>
      <c r="C476" s="74"/>
      <c r="D476" s="74" t="str">
        <f>IFERROR(__xludf.DUMMYFUNCTION("""COMPUTED_VALUE"""),"\\MCA-S\mk\2_BM\0_BMat\08_PYM\Inventario\excel\Imagen de refacciones\Bombeo de concreto\5,5_ long mounted clamp coupling _ Acoplamiento de abrazadera largo montado de 5.5_")</f>
        <v>\\MCA-S\mk\2_BM\0_BMat\08_PYM\Inventario\excel\Imagen de refacciones\Bombeo de concreto\5,5_ long mounted clamp coupling _ Acoplamiento de abrazadera largo montado de 5.5_</v>
      </c>
      <c r="E476" s="74"/>
      <c r="F476" s="74" t="str">
        <f>IFERROR(__xludf.DUMMYFUNCTION("""COMPUTED_VALUE"""),"5,5"" long mounted clamp coupling / Acoplamiento de abrazadera largo montado de 5.5""")</f>
        <v>5,5" long mounted clamp coupling / Acoplamiento de abrazadera largo montado de 5.5"</v>
      </c>
      <c r="G476" s="74"/>
      <c r="H476" s="74"/>
      <c r="I476" s="74" t="str">
        <f>IFERROR(__xludf.DUMMYFUNCTION("""COMPUTED_VALUE"""),"SOM10183")</f>
        <v>SOM10183</v>
      </c>
      <c r="J476" s="74"/>
      <c r="K476" s="74" t="str">
        <f>IFERROR(__xludf.DUMMYFUNCTION("""COMPUTED_VALUE"""),"Tuberia")</f>
        <v>Tuberia</v>
      </c>
      <c r="L476" s="74" t="str">
        <f>IFERROR(__xludf.DUMMYFUNCTION("""COMPUTED_VALUE"""),"Componentes estructurales y de montaje")</f>
        <v>Componentes estructurales y de montaje</v>
      </c>
      <c r="M476" s="74" t="str">
        <f>IFERROR(__xludf.DUMMYFUNCTION("""COMPUTED_VALUE"""),"Sin Asignar")</f>
        <v>Sin Asignar</v>
      </c>
      <c r="N476" s="87">
        <f>IFERROR(__xludf.DUMMYFUNCTION("""COMPUTED_VALUE"""),0.0)</f>
        <v>0</v>
      </c>
      <c r="O476" s="74"/>
      <c r="P476" s="74" t="str">
        <f>IFERROR(__xludf.DUMMYFUNCTION("""COMPUTED_VALUE"""),"No Available")</f>
        <v>No Available</v>
      </c>
      <c r="Q476" s="74"/>
      <c r="R476" s="74"/>
      <c r="S476" s="87">
        <f>IFERROR(__xludf.DUMMYFUNCTION("""COMPUTED_VALUE"""),0.0)</f>
        <v>0</v>
      </c>
      <c r="T476" s="87">
        <f>IFERROR(__xludf.DUMMYFUNCTION("""COMPUTED_VALUE"""),0.0)</f>
        <v>0</v>
      </c>
      <c r="U476" s="87">
        <f>IFERROR(__xludf.DUMMYFUNCTION("""COMPUTED_VALUE"""),0.0)</f>
        <v>0</v>
      </c>
      <c r="V476" s="87">
        <f>IFERROR(__xludf.DUMMYFUNCTION("""COMPUTED_VALUE"""),0.0)</f>
        <v>0</v>
      </c>
      <c r="W476" s="87">
        <f>IFERROR(__xludf.DUMMYFUNCTION("""COMPUTED_VALUE"""),0.0)</f>
        <v>0</v>
      </c>
      <c r="X476" s="88"/>
      <c r="Y476" s="74"/>
      <c r="Z476" s="74"/>
    </row>
    <row r="477">
      <c r="B477" s="74" t="str">
        <f>IFERROR(__xludf.DUMMYFUNCTION("""COMPUTED_VALUE"""),"1474")</f>
        <v>1474</v>
      </c>
      <c r="C477" s="74"/>
      <c r="D477" s="74" t="str">
        <f>IFERROR(__xludf.DUMMYFUNCTION("""COMPUTED_VALUE"""),"\\MCA-S\mk\2_BM\0_BMat\08_PYM\Inventario\excel\Imagen de refacciones\Bombeo de concreto\5,5_ M16 BOLT clamp coupling _ Acoplamiento de abrazadera de 5.5_ con tornillos M16  (1)")</f>
        <v>\\MCA-S\mk\2_BM\0_BMat\08_PYM\Inventario\excel\Imagen de refacciones\Bombeo de concreto\5,5_ M16 BOLT clamp coupling _ Acoplamiento de abrazadera de 5.5_ con tornillos M16  (1)</v>
      </c>
      <c r="E477" s="74"/>
      <c r="F477" s="74" t="str">
        <f>IFERROR(__xludf.DUMMYFUNCTION("""COMPUTED_VALUE"""),"5,5"" M16 BOLT clamp coupling / Acoplamiento de abrazadera de 5.5"" con tornillos M16")</f>
        <v>5,5" M16 BOLT clamp coupling / Acoplamiento de abrazadera de 5.5" con tornillos M16</v>
      </c>
      <c r="G477" s="74"/>
      <c r="H477" s="74"/>
      <c r="I477" s="74" t="str">
        <f>IFERROR(__xludf.DUMMYFUNCTION("""COMPUTED_VALUE"""),"SOM10184")</f>
        <v>SOM10184</v>
      </c>
      <c r="J477" s="74"/>
      <c r="K477" s="74" t="str">
        <f>IFERROR(__xludf.DUMMYFUNCTION("""COMPUTED_VALUE"""),"Tuberia")</f>
        <v>Tuberia</v>
      </c>
      <c r="L477" s="74" t="str">
        <f>IFERROR(__xludf.DUMMYFUNCTION("""COMPUTED_VALUE"""),"Componentes estructurales y de montaje")</f>
        <v>Componentes estructurales y de montaje</v>
      </c>
      <c r="M477" s="74" t="str">
        <f>IFERROR(__xludf.DUMMYFUNCTION("""COMPUTED_VALUE"""),"Sin Asignar")</f>
        <v>Sin Asignar</v>
      </c>
      <c r="N477" s="87">
        <f>IFERROR(__xludf.DUMMYFUNCTION("""COMPUTED_VALUE"""),0.0)</f>
        <v>0</v>
      </c>
      <c r="O477" s="74"/>
      <c r="P477" s="74" t="str">
        <f>IFERROR(__xludf.DUMMYFUNCTION("""COMPUTED_VALUE"""),"No Available")</f>
        <v>No Available</v>
      </c>
      <c r="Q477" s="74"/>
      <c r="R477" s="74"/>
      <c r="S477" s="87">
        <f>IFERROR(__xludf.DUMMYFUNCTION("""COMPUTED_VALUE"""),0.0)</f>
        <v>0</v>
      </c>
      <c r="T477" s="87">
        <f>IFERROR(__xludf.DUMMYFUNCTION("""COMPUTED_VALUE"""),0.0)</f>
        <v>0</v>
      </c>
      <c r="U477" s="87">
        <f>IFERROR(__xludf.DUMMYFUNCTION("""COMPUTED_VALUE"""),0.0)</f>
        <v>0</v>
      </c>
      <c r="V477" s="87">
        <f>IFERROR(__xludf.DUMMYFUNCTION("""COMPUTED_VALUE"""),0.0)</f>
        <v>0</v>
      </c>
      <c r="W477" s="87">
        <f>IFERROR(__xludf.DUMMYFUNCTION("""COMPUTED_VALUE"""),0.0)</f>
        <v>0</v>
      </c>
      <c r="X477" s="88"/>
      <c r="Y477" s="74"/>
      <c r="Z477" s="74"/>
    </row>
    <row r="478">
      <c r="B478" s="74" t="str">
        <f>IFERROR(__xludf.DUMMYFUNCTION("""COMPUTED_VALUE"""),"1475")</f>
        <v>1475</v>
      </c>
      <c r="C478" s="74"/>
      <c r="D478" s="74" t="str">
        <f>IFERROR(__xludf.DUMMYFUNCTION("""COMPUTED_VALUE"""),"\\MCA-S\mk\2_BM\0_BMat\08_PYM\Inventario\excel\Imagen de refacciones\Bombeo de concreto\5,5_ M16 BOLT MOUNTED CLAMP COUPLING _ Acoplamiento de abrazadera montado de 5.5_ con tornillos M16")</f>
        <v>\\MCA-S\mk\2_BM\0_BMat\08_PYM\Inventario\excel\Imagen de refacciones\Bombeo de concreto\5,5_ M16 BOLT MOUNTED CLAMP COUPLING _ Acoplamiento de abrazadera montado de 5.5_ con tornillos M16</v>
      </c>
      <c r="E478" s="74"/>
      <c r="F478" s="74" t="str">
        <f>IFERROR(__xludf.DUMMYFUNCTION("""COMPUTED_VALUE"""),"5,5"" M16 BOLT MOUNTED CLAMP COUPLING / Acoplamiento de abrazadera montado de 5.5"" con tornillos M16")</f>
        <v>5,5" M16 BOLT MOUNTED CLAMP COUPLING / Acoplamiento de abrazadera montado de 5.5" con tornillos M16</v>
      </c>
      <c r="G478" s="74"/>
      <c r="H478" s="74"/>
      <c r="I478" s="74" t="str">
        <f>IFERROR(__xludf.DUMMYFUNCTION("""COMPUTED_VALUE"""),"SOM10185")</f>
        <v>SOM10185</v>
      </c>
      <c r="J478" s="74"/>
      <c r="K478" s="74" t="str">
        <f>IFERROR(__xludf.DUMMYFUNCTION("""COMPUTED_VALUE"""),"Tuberia")</f>
        <v>Tuberia</v>
      </c>
      <c r="L478" s="74" t="str">
        <f>IFERROR(__xludf.DUMMYFUNCTION("""COMPUTED_VALUE"""),"Componentes estructurales y de montaje")</f>
        <v>Componentes estructurales y de montaje</v>
      </c>
      <c r="M478" s="74" t="str">
        <f>IFERROR(__xludf.DUMMYFUNCTION("""COMPUTED_VALUE"""),"Sin Asignar")</f>
        <v>Sin Asignar</v>
      </c>
      <c r="N478" s="87">
        <f>IFERROR(__xludf.DUMMYFUNCTION("""COMPUTED_VALUE"""),0.0)</f>
        <v>0</v>
      </c>
      <c r="O478" s="74"/>
      <c r="P478" s="74" t="str">
        <f>IFERROR(__xludf.DUMMYFUNCTION("""COMPUTED_VALUE"""),"No Available")</f>
        <v>No Available</v>
      </c>
      <c r="Q478" s="74"/>
      <c r="R478" s="74"/>
      <c r="S478" s="87">
        <f>IFERROR(__xludf.DUMMYFUNCTION("""COMPUTED_VALUE"""),0.0)</f>
        <v>0</v>
      </c>
      <c r="T478" s="87">
        <f>IFERROR(__xludf.DUMMYFUNCTION("""COMPUTED_VALUE"""),0.0)</f>
        <v>0</v>
      </c>
      <c r="U478" s="87">
        <f>IFERROR(__xludf.DUMMYFUNCTION("""COMPUTED_VALUE"""),0.0)</f>
        <v>0</v>
      </c>
      <c r="V478" s="87">
        <f>IFERROR(__xludf.DUMMYFUNCTION("""COMPUTED_VALUE"""),0.0)</f>
        <v>0</v>
      </c>
      <c r="W478" s="87">
        <f>IFERROR(__xludf.DUMMYFUNCTION("""COMPUTED_VALUE"""),0.0)</f>
        <v>0</v>
      </c>
      <c r="X478" s="88"/>
      <c r="Y478" s="74"/>
      <c r="Z478" s="74"/>
    </row>
    <row r="479">
      <c r="B479" s="74" t="str">
        <f>IFERROR(__xludf.DUMMYFUNCTION("""COMPUTED_VALUE"""),"1476")</f>
        <v>1476</v>
      </c>
      <c r="C479" s="74"/>
      <c r="D479" s="74" t="str">
        <f>IFERROR(__xludf.DUMMYFUNCTION("""COMPUTED_VALUE"""),"\\MCA-S\mk\2_BM\0_BMat\08_PYM\Inventario\excel\Imagen de refacciones\Bombeo de concreto\5,5_ scew front fixing long mounted coupling _Acoplamiento largo montado de 5.5_ con fijación frontal roscada")</f>
        <v>\\MCA-S\mk\2_BM\0_BMat\08_PYM\Inventario\excel\Imagen de refacciones\Bombeo de concreto\5,5_ scew front fixing long mounted coupling _Acoplamiento largo montado de 5.5_ con fijación frontal roscada</v>
      </c>
      <c r="E479" s="74"/>
      <c r="F479" s="74" t="str">
        <f>IFERROR(__xludf.DUMMYFUNCTION("""COMPUTED_VALUE"""),"5,5"" scew front fixing long mounted coupling /Acoplamiento largo montado de 5.5"" con fijación frontal roscada")</f>
        <v>5,5" scew front fixing long mounted coupling /Acoplamiento largo montado de 5.5" con fijación frontal roscada</v>
      </c>
      <c r="G479" s="74"/>
      <c r="H479" s="74"/>
      <c r="I479" s="74" t="str">
        <f>IFERROR(__xludf.DUMMYFUNCTION("""COMPUTED_VALUE"""),"SOM10186")</f>
        <v>SOM10186</v>
      </c>
      <c r="J479" s="74"/>
      <c r="K479" s="74" t="str">
        <f>IFERROR(__xludf.DUMMYFUNCTION("""COMPUTED_VALUE"""),"Tuberia")</f>
        <v>Tuberia</v>
      </c>
      <c r="L479" s="74" t="str">
        <f>IFERROR(__xludf.DUMMYFUNCTION("""COMPUTED_VALUE"""),"Componentes estructurales y de montaje")</f>
        <v>Componentes estructurales y de montaje</v>
      </c>
      <c r="M479" s="74" t="str">
        <f>IFERROR(__xludf.DUMMYFUNCTION("""COMPUTED_VALUE"""),"Sin Asignar")</f>
        <v>Sin Asignar</v>
      </c>
      <c r="N479" s="87">
        <f>IFERROR(__xludf.DUMMYFUNCTION("""COMPUTED_VALUE"""),0.0)</f>
        <v>0</v>
      </c>
      <c r="O479" s="74"/>
      <c r="P479" s="74" t="str">
        <f>IFERROR(__xludf.DUMMYFUNCTION("""COMPUTED_VALUE"""),"No Available")</f>
        <v>No Available</v>
      </c>
      <c r="Q479" s="74"/>
      <c r="R479" s="74"/>
      <c r="S479" s="87">
        <f>IFERROR(__xludf.DUMMYFUNCTION("""COMPUTED_VALUE"""),0.0)</f>
        <v>0</v>
      </c>
      <c r="T479" s="87">
        <f>IFERROR(__xludf.DUMMYFUNCTION("""COMPUTED_VALUE"""),0.0)</f>
        <v>0</v>
      </c>
      <c r="U479" s="87">
        <f>IFERROR(__xludf.DUMMYFUNCTION("""COMPUTED_VALUE"""),0.0)</f>
        <v>0</v>
      </c>
      <c r="V479" s="87">
        <f>IFERROR(__xludf.DUMMYFUNCTION("""COMPUTED_VALUE"""),0.0)</f>
        <v>0</v>
      </c>
      <c r="W479" s="87">
        <f>IFERROR(__xludf.DUMMYFUNCTION("""COMPUTED_VALUE"""),0.0)</f>
        <v>0</v>
      </c>
      <c r="X479" s="88"/>
      <c r="Y479" s="74"/>
      <c r="Z479" s="74"/>
    </row>
    <row r="480">
      <c r="B480" s="74" t="str">
        <f>IFERROR(__xludf.DUMMYFUNCTION("""COMPUTED_VALUE"""),"1477")</f>
        <v>1477</v>
      </c>
      <c r="C480" s="74"/>
      <c r="D480" s="74" t="str">
        <f>IFERROR(__xludf.DUMMYFUNCTION("""COMPUTED_VALUE"""),"\\MCA-S\mk\2_BM\0_BMat\08_PYM\Inventario\excel\Imagen de refacciones\Bombeo de concreto\Round steel strip _ Tira de acero redonda")</f>
        <v>\\MCA-S\mk\2_BM\0_BMat\08_PYM\Inventario\excel\Imagen de refacciones\Bombeo de concreto\Round steel strip _ Tira de acero redonda</v>
      </c>
      <c r="E480" s="74"/>
      <c r="F480" s="74" t="str">
        <f>IFERROR(__xludf.DUMMYFUNCTION("""COMPUTED_VALUE"""),"Round steel strip / Tira de acero redonda")</f>
        <v>Round steel strip / Tira de acero redonda</v>
      </c>
      <c r="G480" s="74"/>
      <c r="H480" s="74"/>
      <c r="I480" s="74" t="str">
        <f>IFERROR(__xludf.DUMMYFUNCTION("""COMPUTED_VALUE"""),"SOM10187")</f>
        <v>SOM10187</v>
      </c>
      <c r="J480" s="74"/>
      <c r="K480" s="74" t="str">
        <f>IFERROR(__xludf.DUMMYFUNCTION("""COMPUTED_VALUE"""),"Bombeo de concreto")</f>
        <v>Bombeo de concreto</v>
      </c>
      <c r="L480" s="74" t="str">
        <f>IFERROR(__xludf.DUMMYFUNCTION("""COMPUTED_VALUE"""),"Componentes estructurales y de montaje")</f>
        <v>Componentes estructurales y de montaje</v>
      </c>
      <c r="M480" s="74" t="str">
        <f>IFERROR(__xludf.DUMMYFUNCTION("""COMPUTED_VALUE"""),"Sin Asignar")</f>
        <v>Sin Asignar</v>
      </c>
      <c r="N480" s="87">
        <f>IFERROR(__xludf.DUMMYFUNCTION("""COMPUTED_VALUE"""),0.0)</f>
        <v>0</v>
      </c>
      <c r="O480" s="74"/>
      <c r="P480" s="74" t="str">
        <f>IFERROR(__xludf.DUMMYFUNCTION("""COMPUTED_VALUE"""),"No Available")</f>
        <v>No Available</v>
      </c>
      <c r="Q480" s="74"/>
      <c r="R480" s="74"/>
      <c r="S480" s="87">
        <f>IFERROR(__xludf.DUMMYFUNCTION("""COMPUTED_VALUE"""),0.0)</f>
        <v>0</v>
      </c>
      <c r="T480" s="87">
        <f>IFERROR(__xludf.DUMMYFUNCTION("""COMPUTED_VALUE"""),0.0)</f>
        <v>0</v>
      </c>
      <c r="U480" s="87">
        <f>IFERROR(__xludf.DUMMYFUNCTION("""COMPUTED_VALUE"""),0.0)</f>
        <v>0</v>
      </c>
      <c r="V480" s="87">
        <f>IFERROR(__xludf.DUMMYFUNCTION("""COMPUTED_VALUE"""),0.0)</f>
        <v>0</v>
      </c>
      <c r="W480" s="87">
        <f>IFERROR(__xludf.DUMMYFUNCTION("""COMPUTED_VALUE"""),0.0)</f>
        <v>0</v>
      </c>
      <c r="X480" s="88"/>
      <c r="Y480" s="74"/>
      <c r="Z480" s="74"/>
    </row>
    <row r="481">
      <c r="B481" s="74" t="str">
        <f>IFERROR(__xludf.DUMMYFUNCTION("""COMPUTED_VALUE"""),"1478")</f>
        <v>1478</v>
      </c>
      <c r="C481" s="74"/>
      <c r="D481" s="74" t="str">
        <f>IFERROR(__xludf.DUMMYFUNCTION("""COMPUTED_VALUE"""),"\\MCA-S\mk\2_BM\0_BMat\08_PYM\Inventario\excel\Imagen de refacciones\Bombeo de concreto\Round Steel Rubber _ Junta tórica redonda de acero")</f>
        <v>\\MCA-S\mk\2_BM\0_BMat\08_PYM\Inventario\excel\Imagen de refacciones\Bombeo de concreto\Round Steel Rubber _ Junta tórica redonda de acero</v>
      </c>
      <c r="E481" s="74"/>
      <c r="F481" s="74" t="str">
        <f>IFERROR(__xludf.DUMMYFUNCTION("""COMPUTED_VALUE"""),"Round Steel Rubber / Junta tórica redonda de acero")</f>
        <v>Round Steel Rubber / Junta tórica redonda de acero</v>
      </c>
      <c r="G481" s="74"/>
      <c r="H481" s="74"/>
      <c r="I481" s="74" t="str">
        <f>IFERROR(__xludf.DUMMYFUNCTION("""COMPUTED_VALUE"""),"SOM10188")</f>
        <v>SOM10188</v>
      </c>
      <c r="J481" s="74"/>
      <c r="K481" s="74" t="str">
        <f>IFERROR(__xludf.DUMMYFUNCTION("""COMPUTED_VALUE"""),"Bombeo de concreto")</f>
        <v>Bombeo de concreto</v>
      </c>
      <c r="L481" s="74" t="str">
        <f>IFERROR(__xludf.DUMMYFUNCTION("""COMPUTED_VALUE"""),"Sellos y retenes")</f>
        <v>Sellos y retenes</v>
      </c>
      <c r="M481" s="74" t="str">
        <f>IFERROR(__xludf.DUMMYFUNCTION("""COMPUTED_VALUE"""),"Sin Asignar")</f>
        <v>Sin Asignar</v>
      </c>
      <c r="N481" s="87">
        <f>IFERROR(__xludf.DUMMYFUNCTION("""COMPUTED_VALUE"""),0.0)</f>
        <v>0</v>
      </c>
      <c r="O481" s="74"/>
      <c r="P481" s="74" t="str">
        <f>IFERROR(__xludf.DUMMYFUNCTION("""COMPUTED_VALUE"""),"No Available")</f>
        <v>No Available</v>
      </c>
      <c r="Q481" s="74"/>
      <c r="R481" s="74"/>
      <c r="S481" s="87">
        <f>IFERROR(__xludf.DUMMYFUNCTION("""COMPUTED_VALUE"""),0.0)</f>
        <v>0</v>
      </c>
      <c r="T481" s="87">
        <f>IFERROR(__xludf.DUMMYFUNCTION("""COMPUTED_VALUE"""),0.0)</f>
        <v>0</v>
      </c>
      <c r="U481" s="87">
        <f>IFERROR(__xludf.DUMMYFUNCTION("""COMPUTED_VALUE"""),0.0)</f>
        <v>0</v>
      </c>
      <c r="V481" s="87">
        <f>IFERROR(__xludf.DUMMYFUNCTION("""COMPUTED_VALUE"""),0.0)</f>
        <v>0</v>
      </c>
      <c r="W481" s="87">
        <f>IFERROR(__xludf.DUMMYFUNCTION("""COMPUTED_VALUE"""),0.0)</f>
        <v>0</v>
      </c>
      <c r="X481" s="88"/>
      <c r="Y481" s="74"/>
      <c r="Z481" s="74"/>
    </row>
    <row r="482">
      <c r="B482" s="74" t="str">
        <f>IFERROR(__xludf.DUMMYFUNCTION("""COMPUTED_VALUE"""),"1479")</f>
        <v>1479</v>
      </c>
      <c r="C482" s="74"/>
      <c r="D482" s="74" t="str">
        <f>IFERROR(__xludf.DUMMYFUNCTION("""COMPUTED_VALUE"""),"\\MCA-S\mk\2_BM\0_BMat\08_PYM\Inventario\excel\Imagen de refacciones\Bombeo de concreto\Cleaning ball Q100 Medium _ Cleaning ball Q100 Medium")</f>
        <v>\\MCA-S\mk\2_BM\0_BMat\08_PYM\Inventario\excel\Imagen de refacciones\Bombeo de concreto\Cleaning ball Q100 Medium _ Cleaning ball Q100 Medium</v>
      </c>
      <c r="E482" s="74"/>
      <c r="F482" s="74" t="str">
        <f>IFERROR(__xludf.DUMMYFUNCTION("""COMPUTED_VALUE"""),"Cleaning ball Q100 Medium / Cleaning ball Q100 Medium")</f>
        <v>Cleaning ball Q100 Medium / Cleaning ball Q100 Medium</v>
      </c>
      <c r="G482" s="74"/>
      <c r="H482" s="74"/>
      <c r="I482" s="74" t="str">
        <f>IFERROR(__xludf.DUMMYFUNCTION("""COMPUTED_VALUE"""),"SOM10193")</f>
        <v>SOM10193</v>
      </c>
      <c r="J482" s="74"/>
      <c r="K482" s="74" t="str">
        <f>IFERROR(__xludf.DUMMYFUNCTION("""COMPUTED_VALUE"""),"Bombeo de concreto")</f>
        <v>Bombeo de concreto</v>
      </c>
      <c r="L482" s="74" t="str">
        <f>IFERROR(__xludf.DUMMYFUNCTION("""COMPUTED_VALUE"""),"Sistema de bombeo de concreto")</f>
        <v>Sistema de bombeo de concreto</v>
      </c>
      <c r="M482" s="74" t="str">
        <f>IFERROR(__xludf.DUMMYFUNCTION("""COMPUTED_VALUE"""),"Sin Asignar")</f>
        <v>Sin Asignar</v>
      </c>
      <c r="N482" s="87">
        <f>IFERROR(__xludf.DUMMYFUNCTION("""COMPUTED_VALUE"""),0.0)</f>
        <v>0</v>
      </c>
      <c r="O482" s="74"/>
      <c r="P482" s="74" t="str">
        <f>IFERROR(__xludf.DUMMYFUNCTION("""COMPUTED_VALUE"""),"No Available")</f>
        <v>No Available</v>
      </c>
      <c r="Q482" s="74"/>
      <c r="R482" s="74"/>
      <c r="S482" s="87">
        <f>IFERROR(__xludf.DUMMYFUNCTION("""COMPUTED_VALUE"""),0.0)</f>
        <v>0</v>
      </c>
      <c r="T482" s="87">
        <f>IFERROR(__xludf.DUMMYFUNCTION("""COMPUTED_VALUE"""),0.0)</f>
        <v>0</v>
      </c>
      <c r="U482" s="87">
        <f>IFERROR(__xludf.DUMMYFUNCTION("""COMPUTED_VALUE"""),0.0)</f>
        <v>0</v>
      </c>
      <c r="V482" s="87">
        <f>IFERROR(__xludf.DUMMYFUNCTION("""COMPUTED_VALUE"""),0.0)</f>
        <v>0</v>
      </c>
      <c r="W482" s="87">
        <f>IFERROR(__xludf.DUMMYFUNCTION("""COMPUTED_VALUE"""),0.0)</f>
        <v>0</v>
      </c>
      <c r="X482" s="88"/>
      <c r="Y482" s="74"/>
      <c r="Z482" s="74"/>
    </row>
    <row r="483">
      <c r="B483" s="74" t="str">
        <f>IFERROR(__xludf.DUMMYFUNCTION("""COMPUTED_VALUE"""),"1480")</f>
        <v>1480</v>
      </c>
      <c r="C483" s="74"/>
      <c r="D483" s="74" t="str">
        <f>IFERROR(__xludf.DUMMYFUNCTION("""COMPUTED_VALUE"""),"\\MCA-S\mk\2_BM\0_BMat\08_PYM\Inventario\excel\Imagen de refacciones\Bombeo de concreto\Cleaning ball Q125 Medium _ Bola de limpieza Q125 Medium")</f>
        <v>\\MCA-S\mk\2_BM\0_BMat\08_PYM\Inventario\excel\Imagen de refacciones\Bombeo de concreto\Cleaning ball Q125 Medium _ Bola de limpieza Q125 Medium</v>
      </c>
      <c r="E483" s="74"/>
      <c r="F483" s="74" t="str">
        <f>IFERROR(__xludf.DUMMYFUNCTION("""COMPUTED_VALUE"""),"BOLA DE LIMPIEZA DE BOMBA DE HORMIGON")</f>
        <v>BOLA DE LIMPIEZA DE BOMBA DE HORMIGON</v>
      </c>
      <c r="G483" s="74"/>
      <c r="H483" s="74"/>
      <c r="I483" s="74" t="str">
        <f>IFERROR(__xludf.DUMMYFUNCTION("""COMPUTED_VALUE"""),"SOM10196")</f>
        <v>SOM10196</v>
      </c>
      <c r="J483" s="74"/>
      <c r="K483" s="74" t="str">
        <f>IFERROR(__xludf.DUMMYFUNCTION("""COMPUTED_VALUE"""),"Bombeo de concreto")</f>
        <v>Bombeo de concreto</v>
      </c>
      <c r="L483" s="74" t="str">
        <f>IFERROR(__xludf.DUMMYFUNCTION("""COMPUTED_VALUE"""),"Sistema de bombeo de concreto")</f>
        <v>Sistema de bombeo de concreto</v>
      </c>
      <c r="M483" s="74" t="str">
        <f>IFERROR(__xludf.DUMMYFUNCTION("""COMPUTED_VALUE"""),"Sin Asignar")</f>
        <v>Sin Asignar</v>
      </c>
      <c r="N483" s="87">
        <f>IFERROR(__xludf.DUMMYFUNCTION("""COMPUTED_VALUE"""),0.0)</f>
        <v>0</v>
      </c>
      <c r="O483" s="74"/>
      <c r="P483" s="74" t="str">
        <f>IFERROR(__xludf.DUMMYFUNCTION("""COMPUTED_VALUE"""),"borrar")</f>
        <v>borrar</v>
      </c>
      <c r="Q483" s="74"/>
      <c r="R483" s="74"/>
      <c r="S483" s="87">
        <f>IFERROR(__xludf.DUMMYFUNCTION("""COMPUTED_VALUE"""),0.0)</f>
        <v>0</v>
      </c>
      <c r="T483" s="87">
        <f>IFERROR(__xludf.DUMMYFUNCTION("""COMPUTED_VALUE"""),0.0)</f>
        <v>0</v>
      </c>
      <c r="U483" s="87">
        <f>IFERROR(__xludf.DUMMYFUNCTION("""COMPUTED_VALUE"""),0.0)</f>
        <v>0</v>
      </c>
      <c r="V483" s="87">
        <f>IFERROR(__xludf.DUMMYFUNCTION("""COMPUTED_VALUE"""),0.0)</f>
        <v>0</v>
      </c>
      <c r="W483" s="87">
        <f>IFERROR(__xludf.DUMMYFUNCTION("""COMPUTED_VALUE"""),0.0)</f>
        <v>0</v>
      </c>
      <c r="X483" s="88"/>
      <c r="Y483" s="74"/>
      <c r="Z483" s="74"/>
    </row>
    <row r="484">
      <c r="B484" s="74" t="str">
        <f>IFERROR(__xludf.DUMMYFUNCTION("""COMPUTED_VALUE"""),"1481")</f>
        <v>1481</v>
      </c>
      <c r="C484" s="74"/>
      <c r="D484" s="74" t="str">
        <f>IFERROR(__xludf.DUMMYFUNCTION("""COMPUTED_VALUE"""),"\\MCA-S\mk\2_BM\0_BMat\08_PYM\Inventario\excel\Imagen de refacciones\Bombeo de concreto\Cleaning ball Q150 Medium _ Bola de limpieza Q150 Medium")</f>
        <v>\\MCA-S\mk\2_BM\0_BMat\08_PYM\Inventario\excel\Imagen de refacciones\Bombeo de concreto\Cleaning ball Q150 Medium _ Bola de limpieza Q150 Medium</v>
      </c>
      <c r="E484" s="74"/>
      <c r="F484" s="74" t="str">
        <f>IFERROR(__xludf.DUMMYFUNCTION("""COMPUTED_VALUE"""),"Cleaning ball Q150 Medium / Bola de limpieza Q150 Medium")</f>
        <v>Cleaning ball Q150 Medium / Bola de limpieza Q150 Medium</v>
      </c>
      <c r="G484" s="74"/>
      <c r="H484" s="74"/>
      <c r="I484" s="74" t="str">
        <f>IFERROR(__xludf.DUMMYFUNCTION("""COMPUTED_VALUE"""),"SOM10199")</f>
        <v>SOM10199</v>
      </c>
      <c r="J484" s="74"/>
      <c r="K484" s="74" t="str">
        <f>IFERROR(__xludf.DUMMYFUNCTION("""COMPUTED_VALUE"""),"Bombeo de concreto")</f>
        <v>Bombeo de concreto</v>
      </c>
      <c r="L484" s="74" t="str">
        <f>IFERROR(__xludf.DUMMYFUNCTION("""COMPUTED_VALUE"""),"Sistema de bombeo de concreto")</f>
        <v>Sistema de bombeo de concreto</v>
      </c>
      <c r="M484" s="74" t="str">
        <f>IFERROR(__xludf.DUMMYFUNCTION("""COMPUTED_VALUE"""),"Sin Asignar")</f>
        <v>Sin Asignar</v>
      </c>
      <c r="N484" s="87">
        <f>IFERROR(__xludf.DUMMYFUNCTION("""COMPUTED_VALUE"""),0.0)</f>
        <v>0</v>
      </c>
      <c r="O484" s="74"/>
      <c r="P484" s="74" t="str">
        <f>IFERROR(__xludf.DUMMYFUNCTION("""COMPUTED_VALUE"""),"borrar")</f>
        <v>borrar</v>
      </c>
      <c r="Q484" s="74"/>
      <c r="R484" s="74"/>
      <c r="S484" s="87">
        <f>IFERROR(__xludf.DUMMYFUNCTION("""COMPUTED_VALUE"""),0.0)</f>
        <v>0</v>
      </c>
      <c r="T484" s="87">
        <f>IFERROR(__xludf.DUMMYFUNCTION("""COMPUTED_VALUE"""),0.0)</f>
        <v>0</v>
      </c>
      <c r="U484" s="87">
        <f>IFERROR(__xludf.DUMMYFUNCTION("""COMPUTED_VALUE"""),0.0)</f>
        <v>0</v>
      </c>
      <c r="V484" s="87">
        <f>IFERROR(__xludf.DUMMYFUNCTION("""COMPUTED_VALUE"""),0.0)</f>
        <v>0</v>
      </c>
      <c r="W484" s="87">
        <f>IFERROR(__xludf.DUMMYFUNCTION("""COMPUTED_VALUE"""),0.0)</f>
        <v>0</v>
      </c>
      <c r="X484" s="88"/>
      <c r="Y484" s="74"/>
      <c r="Z484" s="74"/>
    </row>
    <row r="485">
      <c r="B485" s="74" t="str">
        <f>IFERROR(__xludf.DUMMYFUNCTION("""COMPUTED_VALUE"""),"1482")</f>
        <v>1482</v>
      </c>
      <c r="C485" s="74"/>
      <c r="D485" s="74" t="str">
        <f>IFERROR(__xludf.DUMMYFUNCTION("""COMPUTED_VALUE"""),"\\MCA-S\mk\2_BM\0_BMat\08_PYM\Inventario\excel\Imagen de refacciones\Bombeo de concreto\Cleaning ball Q175 Medium _ Bola de limpieza Q175 Medium")</f>
        <v>\\MCA-S\mk\2_BM\0_BMat\08_PYM\Inventario\excel\Imagen de refacciones\Bombeo de concreto\Cleaning ball Q175 Medium _ Bola de limpieza Q175 Medium</v>
      </c>
      <c r="E485" s="74"/>
      <c r="F485" s="74" t="str">
        <f>IFERROR(__xludf.DUMMYFUNCTION("""COMPUTED_VALUE"""),"Cleaning ball Q175 Medium / Bola de limpieza Q175 Medium")</f>
        <v>Cleaning ball Q175 Medium / Bola de limpieza Q175 Medium</v>
      </c>
      <c r="G485" s="74"/>
      <c r="H485" s="74"/>
      <c r="I485" s="74" t="str">
        <f>IFERROR(__xludf.DUMMYFUNCTION("""COMPUTED_VALUE"""),"SOM10202")</f>
        <v>SOM10202</v>
      </c>
      <c r="J485" s="74"/>
      <c r="K485" s="74" t="str">
        <f>IFERROR(__xludf.DUMMYFUNCTION("""COMPUTED_VALUE"""),"Bombeo de concreto")</f>
        <v>Bombeo de concreto</v>
      </c>
      <c r="L485" s="74" t="str">
        <f>IFERROR(__xludf.DUMMYFUNCTION("""COMPUTED_VALUE"""),"Sistema de bombeo de concreto")</f>
        <v>Sistema de bombeo de concreto</v>
      </c>
      <c r="M485" s="74" t="str">
        <f>IFERROR(__xludf.DUMMYFUNCTION("""COMPUTED_VALUE"""),"Sin Asignar")</f>
        <v>Sin Asignar</v>
      </c>
      <c r="N485" s="87">
        <f>IFERROR(__xludf.DUMMYFUNCTION("""COMPUTED_VALUE"""),0.0)</f>
        <v>0</v>
      </c>
      <c r="O485" s="74"/>
      <c r="P485" s="74" t="str">
        <f>IFERROR(__xludf.DUMMYFUNCTION("""COMPUTED_VALUE"""),"borrar")</f>
        <v>borrar</v>
      </c>
      <c r="Q485" s="74"/>
      <c r="R485" s="74"/>
      <c r="S485" s="87">
        <f>IFERROR(__xludf.DUMMYFUNCTION("""COMPUTED_VALUE"""),0.0)</f>
        <v>0</v>
      </c>
      <c r="T485" s="87">
        <f>IFERROR(__xludf.DUMMYFUNCTION("""COMPUTED_VALUE"""),0.0)</f>
        <v>0</v>
      </c>
      <c r="U485" s="87">
        <f>IFERROR(__xludf.DUMMYFUNCTION("""COMPUTED_VALUE"""),0.0)</f>
        <v>0</v>
      </c>
      <c r="V485" s="87">
        <f>IFERROR(__xludf.DUMMYFUNCTION("""COMPUTED_VALUE"""),0.0)</f>
        <v>0</v>
      </c>
      <c r="W485" s="87">
        <f>IFERROR(__xludf.DUMMYFUNCTION("""COMPUTED_VALUE"""),0.0)</f>
        <v>0</v>
      </c>
      <c r="X485" s="88"/>
      <c r="Y485" s="74"/>
      <c r="Z485" s="74"/>
    </row>
    <row r="486">
      <c r="B486" s="74" t="str">
        <f>IFERROR(__xludf.DUMMYFUNCTION("""COMPUTED_VALUE"""),"1483")</f>
        <v>1483</v>
      </c>
      <c r="C486" s="74"/>
      <c r="D486" s="74" t="str">
        <f>IFERROR(__xludf.DUMMYFUNCTION("""COMPUTED_VALUE"""),"\\MCA-S\mk\2_BM\0_BMat\08_PYM\Inventario\excel\Imagen de refacciones\Bombeo de concreto\Sealing 5,5_ _ Sello de 5.5_")</f>
        <v>\\MCA-S\mk\2_BM\0_BMat\08_PYM\Inventario\excel\Imagen de refacciones\Bombeo de concreto\Sealing 5,5_ _ Sello de 5.5_</v>
      </c>
      <c r="E486" s="74"/>
      <c r="F486" s="74" t="str">
        <f>IFERROR(__xludf.DUMMYFUNCTION("""COMPUTED_VALUE"""),"Sealing 5,5"" / Sello de 5.5""")</f>
        <v>Sealing 5,5" / Sello de 5.5"</v>
      </c>
      <c r="G486" s="74"/>
      <c r="H486" s="74"/>
      <c r="I486" s="74" t="str">
        <f>IFERROR(__xludf.DUMMYFUNCTION("""COMPUTED_VALUE"""),"SOM10215")</f>
        <v>SOM10215</v>
      </c>
      <c r="J486" s="74"/>
      <c r="K486" s="74" t="str">
        <f>IFERROR(__xludf.DUMMYFUNCTION("""COMPUTED_VALUE"""),"Bombeo de concreto")</f>
        <v>Bombeo de concreto</v>
      </c>
      <c r="L486" s="74" t="str">
        <f>IFERROR(__xludf.DUMMYFUNCTION("""COMPUTED_VALUE"""),"Sellos y retenes")</f>
        <v>Sellos y retenes</v>
      </c>
      <c r="M486" s="74" t="str">
        <f>IFERROR(__xludf.DUMMYFUNCTION("""COMPUTED_VALUE"""),"Sin Asignar")</f>
        <v>Sin Asignar</v>
      </c>
      <c r="N486" s="87">
        <f>IFERROR(__xludf.DUMMYFUNCTION("""COMPUTED_VALUE"""),0.0)</f>
        <v>0</v>
      </c>
      <c r="O486" s="74"/>
      <c r="P486" s="74" t="str">
        <f>IFERROR(__xludf.DUMMYFUNCTION("""COMPUTED_VALUE"""),"No Available")</f>
        <v>No Available</v>
      </c>
      <c r="Q486" s="74"/>
      <c r="R486" s="74"/>
      <c r="S486" s="87">
        <f>IFERROR(__xludf.DUMMYFUNCTION("""COMPUTED_VALUE"""),0.0)</f>
        <v>0</v>
      </c>
      <c r="T486" s="87">
        <f>IFERROR(__xludf.DUMMYFUNCTION("""COMPUTED_VALUE"""),0.0)</f>
        <v>0</v>
      </c>
      <c r="U486" s="87">
        <f>IFERROR(__xludf.DUMMYFUNCTION("""COMPUTED_VALUE"""),0.0)</f>
        <v>0</v>
      </c>
      <c r="V486" s="87">
        <f>IFERROR(__xludf.DUMMYFUNCTION("""COMPUTED_VALUE"""),0.0)</f>
        <v>0</v>
      </c>
      <c r="W486" s="87">
        <f>IFERROR(__xludf.DUMMYFUNCTION("""COMPUTED_VALUE"""),0.0)</f>
        <v>0</v>
      </c>
      <c r="X486" s="88"/>
      <c r="Y486" s="74"/>
      <c r="Z486" s="74"/>
    </row>
    <row r="487">
      <c r="B487" s="74" t="str">
        <f>IFERROR(__xludf.DUMMYFUNCTION("""COMPUTED_VALUE"""),"1484")</f>
        <v>1484</v>
      </c>
      <c r="C487" s="74"/>
      <c r="D487" s="74" t="str">
        <f>IFERROR(__xludf.DUMMYFUNCTION("""COMPUTED_VALUE"""),"\\MCA-S\mk\2_BM\0_BMat\08_PYM\Inventario\excel\Imagen de refacciones\Bombeo de concreto\Sealing 5,5_ with lip _ Sello laberinto de 5.5_ con labio")</f>
        <v>\\MCA-S\mk\2_BM\0_BMat\08_PYM\Inventario\excel\Imagen de refacciones\Bombeo de concreto\Sealing 5,5_ with lip _ Sello laberinto de 5.5_ con labio</v>
      </c>
      <c r="E487" s="74"/>
      <c r="F487" s="74" t="str">
        <f>IFERROR(__xludf.DUMMYFUNCTION("""COMPUTED_VALUE"""),"Sealing 5,5"" with lip / Sello laberinto de 5.5"" con labio")</f>
        <v>Sealing 5,5" with lip / Sello laberinto de 5.5" con labio</v>
      </c>
      <c r="G487" s="74"/>
      <c r="H487" s="74"/>
      <c r="I487" s="74" t="str">
        <f>IFERROR(__xludf.DUMMYFUNCTION("""COMPUTED_VALUE"""),"SOM10216")</f>
        <v>SOM10216</v>
      </c>
      <c r="J487" s="74"/>
      <c r="K487" s="74" t="str">
        <f>IFERROR(__xludf.DUMMYFUNCTION("""COMPUTED_VALUE"""),"Bombeo de concreto")</f>
        <v>Bombeo de concreto</v>
      </c>
      <c r="L487" s="74" t="str">
        <f>IFERROR(__xludf.DUMMYFUNCTION("""COMPUTED_VALUE"""),"Sistema de bombeo de concreto")</f>
        <v>Sistema de bombeo de concreto</v>
      </c>
      <c r="M487" s="74" t="str">
        <f>IFERROR(__xludf.DUMMYFUNCTION("""COMPUTED_VALUE"""),"Sin Asignar")</f>
        <v>Sin Asignar</v>
      </c>
      <c r="N487" s="87">
        <f>IFERROR(__xludf.DUMMYFUNCTION("""COMPUTED_VALUE"""),0.0)</f>
        <v>0</v>
      </c>
      <c r="O487" s="74"/>
      <c r="P487" s="74" t="str">
        <f>IFERROR(__xludf.DUMMYFUNCTION("""COMPUTED_VALUE"""),"borrar")</f>
        <v>borrar</v>
      </c>
      <c r="Q487" s="74"/>
      <c r="R487" s="74"/>
      <c r="S487" s="87">
        <f>IFERROR(__xludf.DUMMYFUNCTION("""COMPUTED_VALUE"""),0.0)</f>
        <v>0</v>
      </c>
      <c r="T487" s="87">
        <f>IFERROR(__xludf.DUMMYFUNCTION("""COMPUTED_VALUE"""),0.0)</f>
        <v>0</v>
      </c>
      <c r="U487" s="87">
        <f>IFERROR(__xludf.DUMMYFUNCTION("""COMPUTED_VALUE"""),0.0)</f>
        <v>0</v>
      </c>
      <c r="V487" s="87">
        <f>IFERROR(__xludf.DUMMYFUNCTION("""COMPUTED_VALUE"""),0.0)</f>
        <v>0</v>
      </c>
      <c r="W487" s="87">
        <f>IFERROR(__xludf.DUMMYFUNCTION("""COMPUTED_VALUE"""),0.0)</f>
        <v>0</v>
      </c>
      <c r="X487" s="88"/>
      <c r="Y487" s="74"/>
      <c r="Z487" s="74"/>
    </row>
    <row r="488">
      <c r="B488" s="74" t="str">
        <f>IFERROR(__xludf.DUMMYFUNCTION("""COMPUTED_VALUE"""),"1485")</f>
        <v>1485</v>
      </c>
      <c r="C488" s="74"/>
      <c r="D488" s="74" t="str">
        <f>IFERROR(__xludf.DUMMYFUNCTION("""COMPUTED_VALUE"""),"\\MCA-S\mk\2_BM\0_BMat\08_PYM\Inventario\excel\Imagen de refacciones\Bombeo de concreto\Sealing 6_ _ Sello de 6_")</f>
        <v>\\MCA-S\mk\2_BM\0_BMat\08_PYM\Inventario\excel\Imagen de refacciones\Bombeo de concreto\Sealing 6_ _ Sello de 6_</v>
      </c>
      <c r="E488" s="74"/>
      <c r="F488" s="74" t="str">
        <f>IFERROR(__xludf.DUMMYFUNCTION("""COMPUTED_VALUE"""),"Sealing 6"" / Sello de 6""")</f>
        <v>Sealing 6" / Sello de 6"</v>
      </c>
      <c r="G488" s="74"/>
      <c r="H488" s="74"/>
      <c r="I488" s="74" t="str">
        <f>IFERROR(__xludf.DUMMYFUNCTION("""COMPUTED_VALUE"""),"SOM10217")</f>
        <v>SOM10217</v>
      </c>
      <c r="J488" s="74"/>
      <c r="K488" s="74" t="str">
        <f>IFERROR(__xludf.DUMMYFUNCTION("""COMPUTED_VALUE"""),"Bombeo de concreto")</f>
        <v>Bombeo de concreto</v>
      </c>
      <c r="L488" s="74" t="str">
        <f>IFERROR(__xludf.DUMMYFUNCTION("""COMPUTED_VALUE"""),"Sellos y retenes")</f>
        <v>Sellos y retenes</v>
      </c>
      <c r="M488" s="74" t="str">
        <f>IFERROR(__xludf.DUMMYFUNCTION("""COMPUTED_VALUE"""),"Sin Asignar")</f>
        <v>Sin Asignar</v>
      </c>
      <c r="N488" s="87">
        <f>IFERROR(__xludf.DUMMYFUNCTION("""COMPUTED_VALUE"""),0.0)</f>
        <v>0</v>
      </c>
      <c r="O488" s="74"/>
      <c r="P488" s="74" t="str">
        <f>IFERROR(__xludf.DUMMYFUNCTION("""COMPUTED_VALUE"""),"No Available")</f>
        <v>No Available</v>
      </c>
      <c r="Q488" s="74"/>
      <c r="R488" s="74"/>
      <c r="S488" s="87">
        <f>IFERROR(__xludf.DUMMYFUNCTION("""COMPUTED_VALUE"""),0.0)</f>
        <v>0</v>
      </c>
      <c r="T488" s="87">
        <f>IFERROR(__xludf.DUMMYFUNCTION("""COMPUTED_VALUE"""),0.0)</f>
        <v>0</v>
      </c>
      <c r="U488" s="87">
        <f>IFERROR(__xludf.DUMMYFUNCTION("""COMPUTED_VALUE"""),0.0)</f>
        <v>0</v>
      </c>
      <c r="V488" s="87">
        <f>IFERROR(__xludf.DUMMYFUNCTION("""COMPUTED_VALUE"""),0.0)</f>
        <v>0</v>
      </c>
      <c r="W488" s="87">
        <f>IFERROR(__xludf.DUMMYFUNCTION("""COMPUTED_VALUE"""),0.0)</f>
        <v>0</v>
      </c>
      <c r="X488" s="88"/>
      <c r="Y488" s="74"/>
      <c r="Z488" s="74"/>
    </row>
    <row r="489">
      <c r="B489" s="74" t="str">
        <f>IFERROR(__xludf.DUMMYFUNCTION("""COMPUTED_VALUE"""),"1486")</f>
        <v>1486</v>
      </c>
      <c r="C489" s="74"/>
      <c r="D489" s="74" t="str">
        <f>IFERROR(__xludf.DUMMYFUNCTION("""COMPUTED_VALUE"""),"\\MCA-S\mk\2_BM\0_BMat\08_PYM\Inventario\excel\Imagen de refacciones\Bombeo de concreto\Support plate 55 x 55 x 6 _ Placa de soporte de 55x55x6 mm")</f>
        <v>\\MCA-S\mk\2_BM\0_BMat\08_PYM\Inventario\excel\Imagen de refacciones\Bombeo de concreto\Support plate 55 x 55 x 6 _ Placa de soporte de 55x55x6 mm</v>
      </c>
      <c r="E489" s="74"/>
      <c r="F489" s="74" t="str">
        <f>IFERROR(__xludf.DUMMYFUNCTION("""COMPUTED_VALUE"""),"Support plate 55 x 55 x 6 / Placa de soporte de 55x55x6 mm")</f>
        <v>Support plate 55 x 55 x 6 / Placa de soporte de 55x55x6 mm</v>
      </c>
      <c r="G489" s="74"/>
      <c r="H489" s="74"/>
      <c r="I489" s="74" t="str">
        <f>IFERROR(__xludf.DUMMYFUNCTION("""COMPUTED_VALUE"""),"SOM10219")</f>
        <v>SOM10219</v>
      </c>
      <c r="J489" s="74"/>
      <c r="K489" s="74" t="str">
        <f>IFERROR(__xludf.DUMMYFUNCTION("""COMPUTED_VALUE"""),"Bombeo de concreto")</f>
        <v>Bombeo de concreto</v>
      </c>
      <c r="L489" s="74" t="str">
        <f>IFERROR(__xludf.DUMMYFUNCTION("""COMPUTED_VALUE"""),"Componentes estructurales y de montaje")</f>
        <v>Componentes estructurales y de montaje</v>
      </c>
      <c r="M489" s="74" t="str">
        <f>IFERROR(__xludf.DUMMYFUNCTION("""COMPUTED_VALUE"""),"Sin Asignar")</f>
        <v>Sin Asignar</v>
      </c>
      <c r="N489" s="87">
        <f>IFERROR(__xludf.DUMMYFUNCTION("""COMPUTED_VALUE"""),0.0)</f>
        <v>0</v>
      </c>
      <c r="O489" s="74"/>
      <c r="P489" s="74" t="str">
        <f>IFERROR(__xludf.DUMMYFUNCTION("""COMPUTED_VALUE"""),"No Available")</f>
        <v>No Available</v>
      </c>
      <c r="Q489" s="74"/>
      <c r="R489" s="74"/>
      <c r="S489" s="87">
        <f>IFERROR(__xludf.DUMMYFUNCTION("""COMPUTED_VALUE"""),0.0)</f>
        <v>0</v>
      </c>
      <c r="T489" s="87">
        <f>IFERROR(__xludf.DUMMYFUNCTION("""COMPUTED_VALUE"""),0.0)</f>
        <v>0</v>
      </c>
      <c r="U489" s="87">
        <f>IFERROR(__xludf.DUMMYFUNCTION("""COMPUTED_VALUE"""),0.0)</f>
        <v>0</v>
      </c>
      <c r="V489" s="87">
        <f>IFERROR(__xludf.DUMMYFUNCTION("""COMPUTED_VALUE"""),0.0)</f>
        <v>0</v>
      </c>
      <c r="W489" s="87">
        <f>IFERROR(__xludf.DUMMYFUNCTION("""COMPUTED_VALUE"""),0.0)</f>
        <v>0</v>
      </c>
      <c r="X489" s="88"/>
      <c r="Y489" s="74"/>
      <c r="Z489" s="74"/>
    </row>
    <row r="490">
      <c r="B490" s="74" t="str">
        <f>IFERROR(__xludf.DUMMYFUNCTION("""COMPUTED_VALUE"""),"1487")</f>
        <v>1487</v>
      </c>
      <c r="C490" s="74"/>
      <c r="D490" s="74" t="str">
        <f>IFERROR(__xludf.DUMMYFUNCTION("""COMPUTED_VALUE"""),"\\MCA-S\mk\2_BM\0_BMat\08_PYM\Inventario\excel\Imagen de refacciones\Bombeo de concreto\Support plate 60 x 60 x 6 _ Placa de soporte de 60 x 60 x6 mm")</f>
        <v>\\MCA-S\mk\2_BM\0_BMat\08_PYM\Inventario\excel\Imagen de refacciones\Bombeo de concreto\Support plate 60 x 60 x 6 _ Placa de soporte de 60 x 60 x6 mm</v>
      </c>
      <c r="E490" s="74"/>
      <c r="F490" s="74" t="str">
        <f>IFERROR(__xludf.DUMMYFUNCTION("""COMPUTED_VALUE"""),"Support plate 60 x 60 x 6 / Placa de soporte de 60 x 60 x6 mm")</f>
        <v>Support plate 60 x 60 x 6 / Placa de soporte de 60 x 60 x6 mm</v>
      </c>
      <c r="G490" s="74"/>
      <c r="H490" s="74"/>
      <c r="I490" s="74" t="str">
        <f>IFERROR(__xludf.DUMMYFUNCTION("""COMPUTED_VALUE"""),"SOM10220")</f>
        <v>SOM10220</v>
      </c>
      <c r="J490" s="74"/>
      <c r="K490" s="74" t="str">
        <f>IFERROR(__xludf.DUMMYFUNCTION("""COMPUTED_VALUE"""),"Bombeo de concreto")</f>
        <v>Bombeo de concreto</v>
      </c>
      <c r="L490" s="74" t="str">
        <f>IFERROR(__xludf.DUMMYFUNCTION("""COMPUTED_VALUE"""),"Componentes estructurales y de montaje")</f>
        <v>Componentes estructurales y de montaje</v>
      </c>
      <c r="M490" s="74" t="str">
        <f>IFERROR(__xludf.DUMMYFUNCTION("""COMPUTED_VALUE"""),"Sin Asignar")</f>
        <v>Sin Asignar</v>
      </c>
      <c r="N490" s="87">
        <f>IFERROR(__xludf.DUMMYFUNCTION("""COMPUTED_VALUE"""),0.0)</f>
        <v>0</v>
      </c>
      <c r="O490" s="74"/>
      <c r="P490" s="74" t="str">
        <f>IFERROR(__xludf.DUMMYFUNCTION("""COMPUTED_VALUE"""),"No Available")</f>
        <v>No Available</v>
      </c>
      <c r="Q490" s="74"/>
      <c r="R490" s="74"/>
      <c r="S490" s="87">
        <f>IFERROR(__xludf.DUMMYFUNCTION("""COMPUTED_VALUE"""),0.0)</f>
        <v>0</v>
      </c>
      <c r="T490" s="87">
        <f>IFERROR(__xludf.DUMMYFUNCTION("""COMPUTED_VALUE"""),0.0)</f>
        <v>0</v>
      </c>
      <c r="U490" s="87">
        <f>IFERROR(__xludf.DUMMYFUNCTION("""COMPUTED_VALUE"""),0.0)</f>
        <v>0</v>
      </c>
      <c r="V490" s="87">
        <f>IFERROR(__xludf.DUMMYFUNCTION("""COMPUTED_VALUE"""),0.0)</f>
        <v>0</v>
      </c>
      <c r="W490" s="87">
        <f>IFERROR(__xludf.DUMMYFUNCTION("""COMPUTED_VALUE"""),0.0)</f>
        <v>0</v>
      </c>
      <c r="X490" s="88"/>
      <c r="Y490" s="74"/>
      <c r="Z490" s="74"/>
    </row>
    <row r="491">
      <c r="B491" s="74" t="str">
        <f>IFERROR(__xludf.DUMMYFUNCTION("""COMPUTED_VALUE"""),"1488")</f>
        <v>1488</v>
      </c>
      <c r="C491" s="74"/>
      <c r="D491" s="74" t="str">
        <f>IFERROR(__xludf.DUMMYFUNCTION("""COMPUTED_VALUE"""),"\\MCA-S\mk\2_BM\0_BMat\08_PYM\Inventario\excel\Imagen de refacciones\Bombeo de concreto\Shut Off valve 5,5_ _ Válvula de cierre (shut-off) de 5.5_")</f>
        <v>\\MCA-S\mk\2_BM\0_BMat\08_PYM\Inventario\excel\Imagen de refacciones\Bombeo de concreto\Shut Off valve 5,5_ _ Válvula de cierre (shut-off) de 5.5_</v>
      </c>
      <c r="E491" s="74"/>
      <c r="F491" s="74" t="str">
        <f>IFERROR(__xludf.DUMMYFUNCTION("""COMPUTED_VALUE"""),"Shut Off valve 5,5"" / Válvula de cierre (shut-off) de 5.5""")</f>
        <v>Shut Off valve 5,5" / Válvula de cierre (shut-off) de 5.5"</v>
      </c>
      <c r="G491" s="74"/>
      <c r="H491" s="74"/>
      <c r="I491" s="74" t="str">
        <f>IFERROR(__xludf.DUMMYFUNCTION("""COMPUTED_VALUE"""),"SOM10222")</f>
        <v>SOM10222</v>
      </c>
      <c r="J491" s="74"/>
      <c r="K491" s="74" t="str">
        <f>IFERROR(__xludf.DUMMYFUNCTION("""COMPUTED_VALUE"""),"Bombeo de concreto")</f>
        <v>Bombeo de concreto</v>
      </c>
      <c r="L491" s="74" t="str">
        <f>IFERROR(__xludf.DUMMYFUNCTION("""COMPUTED_VALUE"""),"Componentes hidráulicos")</f>
        <v>Componentes hidráulicos</v>
      </c>
      <c r="M491" s="74" t="str">
        <f>IFERROR(__xludf.DUMMYFUNCTION("""COMPUTED_VALUE"""),"Sin Asignar")</f>
        <v>Sin Asignar</v>
      </c>
      <c r="N491" s="87">
        <f>IFERROR(__xludf.DUMMYFUNCTION("""COMPUTED_VALUE"""),0.0)</f>
        <v>0</v>
      </c>
      <c r="O491" s="74"/>
      <c r="P491" s="74" t="str">
        <f>IFERROR(__xludf.DUMMYFUNCTION("""COMPUTED_VALUE"""),"No Available")</f>
        <v>No Available</v>
      </c>
      <c r="Q491" s="74"/>
      <c r="R491" s="74"/>
      <c r="S491" s="87">
        <f>IFERROR(__xludf.DUMMYFUNCTION("""COMPUTED_VALUE"""),0.0)</f>
        <v>0</v>
      </c>
      <c r="T491" s="87">
        <f>IFERROR(__xludf.DUMMYFUNCTION("""COMPUTED_VALUE"""),0.0)</f>
        <v>0</v>
      </c>
      <c r="U491" s="87">
        <f>IFERROR(__xludf.DUMMYFUNCTION("""COMPUTED_VALUE"""),0.0)</f>
        <v>0</v>
      </c>
      <c r="V491" s="87">
        <f>IFERROR(__xludf.DUMMYFUNCTION("""COMPUTED_VALUE"""),0.0)</f>
        <v>0</v>
      </c>
      <c r="W491" s="87">
        <f>IFERROR(__xludf.DUMMYFUNCTION("""COMPUTED_VALUE"""),0.0)</f>
        <v>0</v>
      </c>
      <c r="X491" s="88"/>
      <c r="Y491" s="74"/>
      <c r="Z491" s="74"/>
    </row>
    <row r="492">
      <c r="B492" s="74" t="str">
        <f>IFERROR(__xludf.DUMMYFUNCTION("""COMPUTED_VALUE"""),"1489")</f>
        <v>1489</v>
      </c>
      <c r="C492" s="74"/>
      <c r="D492" s="74" t="str">
        <f>IFERROR(__xludf.DUMMYFUNCTION("""COMPUTED_VALUE"""),"\\MCA-S\mk\2_BM\0_BMat\08_PYM\Inventario\excel\Imagen de refacciones\Bombeo de concreto\Shut off valve 4,5_ _ Válvula de cierre (shut-off) de 4.5_")</f>
        <v>\\MCA-S\mk\2_BM\0_BMat\08_PYM\Inventario\excel\Imagen de refacciones\Bombeo de concreto\Shut off valve 4,5_ _ Válvula de cierre (shut-off) de 4.5_</v>
      </c>
      <c r="E492" s="74"/>
      <c r="F492" s="74" t="str">
        <f>IFERROR(__xludf.DUMMYFUNCTION("""COMPUTED_VALUE"""),"Shut off valve 4,5"" / Válvula de cierre (shut-off) de 4.5""")</f>
        <v>Shut off valve 4,5" / Válvula de cierre (shut-off) de 4.5"</v>
      </c>
      <c r="G492" s="74"/>
      <c r="H492" s="74"/>
      <c r="I492" s="74" t="str">
        <f>IFERROR(__xludf.DUMMYFUNCTION("""COMPUTED_VALUE"""),"SOM10223")</f>
        <v>SOM10223</v>
      </c>
      <c r="J492" s="74"/>
      <c r="K492" s="74" t="str">
        <f>IFERROR(__xludf.DUMMYFUNCTION("""COMPUTED_VALUE"""),"Bombeo de concreto")</f>
        <v>Bombeo de concreto</v>
      </c>
      <c r="L492" s="74" t="str">
        <f>IFERROR(__xludf.DUMMYFUNCTION("""COMPUTED_VALUE"""),"Componentes hidráulicos")</f>
        <v>Componentes hidráulicos</v>
      </c>
      <c r="M492" s="74" t="str">
        <f>IFERROR(__xludf.DUMMYFUNCTION("""COMPUTED_VALUE"""),"Sin Asignar")</f>
        <v>Sin Asignar</v>
      </c>
      <c r="N492" s="87">
        <f>IFERROR(__xludf.DUMMYFUNCTION("""COMPUTED_VALUE"""),0.0)</f>
        <v>0</v>
      </c>
      <c r="O492" s="74"/>
      <c r="P492" s="74" t="str">
        <f>IFERROR(__xludf.DUMMYFUNCTION("""COMPUTED_VALUE"""),"No Available")</f>
        <v>No Available</v>
      </c>
      <c r="Q492" s="74"/>
      <c r="R492" s="74"/>
      <c r="S492" s="87">
        <f>IFERROR(__xludf.DUMMYFUNCTION("""COMPUTED_VALUE"""),0.0)</f>
        <v>0</v>
      </c>
      <c r="T492" s="87">
        <f>IFERROR(__xludf.DUMMYFUNCTION("""COMPUTED_VALUE"""),0.0)</f>
        <v>0</v>
      </c>
      <c r="U492" s="87">
        <f>IFERROR(__xludf.DUMMYFUNCTION("""COMPUTED_VALUE"""),0.0)</f>
        <v>0</v>
      </c>
      <c r="V492" s="87">
        <f>IFERROR(__xludf.DUMMYFUNCTION("""COMPUTED_VALUE"""),0.0)</f>
        <v>0</v>
      </c>
      <c r="W492" s="87">
        <f>IFERROR(__xludf.DUMMYFUNCTION("""COMPUTED_VALUE"""),0.0)</f>
        <v>0</v>
      </c>
      <c r="X492" s="88"/>
      <c r="Y492" s="74"/>
      <c r="Z492" s="74"/>
    </row>
    <row r="493">
      <c r="B493" s="74" t="str">
        <f>IFERROR(__xludf.DUMMYFUNCTION("""COMPUTED_VALUE"""),"1490")</f>
        <v>1490</v>
      </c>
      <c r="C493" s="74"/>
      <c r="D493" s="74" t="str">
        <f>IFERROR(__xludf.DUMMYFUNCTION("""COMPUTED_VALUE"""),"\\MCA-S\mk\2_BM\0_BMat\08_PYM\Inventario\excel\Imagen de refacciones\Bombeo de concreto\Concrete pump hose placing steel disc _ Disco de acero para mangueras de bombeo de concreto")</f>
        <v>\\MCA-S\mk\2_BM\0_BMat\08_PYM\Inventario\excel\Imagen de refacciones\Bombeo de concreto\Concrete pump hose placing steel disc _ Disco de acero para mangueras de bombeo de concreto</v>
      </c>
      <c r="E493" s="74"/>
      <c r="F493" s="74" t="str">
        <f>IFERROR(__xludf.DUMMYFUNCTION("""COMPUTED_VALUE"""),"Concrete pump hose placing steel disc / Disco de acero para mangueras de bombeo de concreto")</f>
        <v>Concrete pump hose placing steel disc / Disco de acero para mangueras de bombeo de concreto</v>
      </c>
      <c r="G493" s="74"/>
      <c r="H493" s="74"/>
      <c r="I493" s="74" t="str">
        <f>IFERROR(__xludf.DUMMYFUNCTION("""COMPUTED_VALUE"""),"SOM10228")</f>
        <v>SOM10228</v>
      </c>
      <c r="J493" s="74"/>
      <c r="K493" s="74" t="str">
        <f>IFERROR(__xludf.DUMMYFUNCTION("""COMPUTED_VALUE"""),"Bombeo de concreto")</f>
        <v>Bombeo de concreto</v>
      </c>
      <c r="L493" s="74" t="str">
        <f>IFERROR(__xludf.DUMMYFUNCTION("""COMPUTED_VALUE"""),"Sistema de bombeo de concreto")</f>
        <v>Sistema de bombeo de concreto</v>
      </c>
      <c r="M493" s="74" t="str">
        <f>IFERROR(__xludf.DUMMYFUNCTION("""COMPUTED_VALUE"""),"Sin Asignar")</f>
        <v>Sin Asignar</v>
      </c>
      <c r="N493" s="87">
        <f>IFERROR(__xludf.DUMMYFUNCTION("""COMPUTED_VALUE"""),0.0)</f>
        <v>0</v>
      </c>
      <c r="O493" s="74"/>
      <c r="P493" s="74" t="str">
        <f>IFERROR(__xludf.DUMMYFUNCTION("""COMPUTED_VALUE"""),"No Available")</f>
        <v>No Available</v>
      </c>
      <c r="Q493" s="74"/>
      <c r="R493" s="74"/>
      <c r="S493" s="87">
        <f>IFERROR(__xludf.DUMMYFUNCTION("""COMPUTED_VALUE"""),0.0)</f>
        <v>0</v>
      </c>
      <c r="T493" s="87">
        <f>IFERROR(__xludf.DUMMYFUNCTION("""COMPUTED_VALUE"""),0.0)</f>
        <v>0</v>
      </c>
      <c r="U493" s="87">
        <f>IFERROR(__xludf.DUMMYFUNCTION("""COMPUTED_VALUE"""),0.0)</f>
        <v>0</v>
      </c>
      <c r="V493" s="87">
        <f>IFERROR(__xludf.DUMMYFUNCTION("""COMPUTED_VALUE"""),0.0)</f>
        <v>0</v>
      </c>
      <c r="W493" s="87">
        <f>IFERROR(__xludf.DUMMYFUNCTION("""COMPUTED_VALUE"""),0.0)</f>
        <v>0</v>
      </c>
      <c r="X493" s="88"/>
      <c r="Y493" s="74"/>
      <c r="Z493" s="74"/>
    </row>
    <row r="494">
      <c r="B494" s="74" t="str">
        <f>IFERROR(__xludf.DUMMYFUNCTION("""COMPUTED_VALUE"""),"1491")</f>
        <v>1491</v>
      </c>
      <c r="C494" s="74"/>
      <c r="D494" s="74" t="str">
        <f>IFERROR(__xludf.DUMMYFUNCTION("""COMPUTED_VALUE"""),"\\MCA-S\mk\2_BM\0_BMat\08_PYM\Inventario\excel\Imagen de refacciones\Bombeo de concreto\4,5_ 90° degree elbow R180 _ Codo de 4.5_ a 90° con radio R180")</f>
        <v>\\MCA-S\mk\2_BM\0_BMat\08_PYM\Inventario\excel\Imagen de refacciones\Bombeo de concreto\4,5_ 90° degree elbow R180 _ Codo de 4.5_ a 90° con radio R180</v>
      </c>
      <c r="E494" s="74"/>
      <c r="F494" s="74" t="str">
        <f>IFERROR(__xludf.DUMMYFUNCTION("""COMPUTED_VALUE"""),"4,5"" 90° degree elbow R180 / Codo de 4.5"" a 90° con radio R180")</f>
        <v>4,5" 90° degree elbow R180 / Codo de 4.5" a 90° con radio R180</v>
      </c>
      <c r="G494" s="74"/>
      <c r="H494" s="74"/>
      <c r="I494" s="74" t="str">
        <f>IFERROR(__xludf.DUMMYFUNCTION("""COMPUTED_VALUE"""),"SOM10254")</f>
        <v>SOM10254</v>
      </c>
      <c r="J494" s="74"/>
      <c r="K494" s="74" t="str">
        <f>IFERROR(__xludf.DUMMYFUNCTION("""COMPUTED_VALUE"""),"Bombeo de concreto")</f>
        <v>Bombeo de concreto</v>
      </c>
      <c r="L494" s="74" t="str">
        <f>IFERROR(__xludf.DUMMYFUNCTION("""COMPUTED_VALUE"""),"Componentes estructurales y de montaje")</f>
        <v>Componentes estructurales y de montaje</v>
      </c>
      <c r="M494" s="74" t="str">
        <f>IFERROR(__xludf.DUMMYFUNCTION("""COMPUTED_VALUE"""),"Sin Asignar")</f>
        <v>Sin Asignar</v>
      </c>
      <c r="N494" s="87">
        <f>IFERROR(__xludf.DUMMYFUNCTION("""COMPUTED_VALUE"""),0.0)</f>
        <v>0</v>
      </c>
      <c r="O494" s="74"/>
      <c r="P494" s="74" t="str">
        <f>IFERROR(__xludf.DUMMYFUNCTION("""COMPUTED_VALUE"""),"No Available")</f>
        <v>No Available</v>
      </c>
      <c r="Q494" s="74"/>
      <c r="R494" s="74"/>
      <c r="S494" s="87">
        <f>IFERROR(__xludf.DUMMYFUNCTION("""COMPUTED_VALUE"""),0.0)</f>
        <v>0</v>
      </c>
      <c r="T494" s="87">
        <f>IFERROR(__xludf.DUMMYFUNCTION("""COMPUTED_VALUE"""),0.0)</f>
        <v>0</v>
      </c>
      <c r="U494" s="87">
        <f>IFERROR(__xludf.DUMMYFUNCTION("""COMPUTED_VALUE"""),0.0)</f>
        <v>0</v>
      </c>
      <c r="V494" s="87">
        <f>IFERROR(__xludf.DUMMYFUNCTION("""COMPUTED_VALUE"""),0.0)</f>
        <v>0</v>
      </c>
      <c r="W494" s="87">
        <f>IFERROR(__xludf.DUMMYFUNCTION("""COMPUTED_VALUE"""),0.0)</f>
        <v>0</v>
      </c>
      <c r="X494" s="88"/>
      <c r="Y494" s="74"/>
      <c r="Z494" s="74"/>
    </row>
    <row r="495">
      <c r="B495" s="74" t="str">
        <f>IFERROR(__xludf.DUMMYFUNCTION("""COMPUTED_VALUE"""),"1492")</f>
        <v>1492</v>
      </c>
      <c r="C495" s="74"/>
      <c r="D495" s="74" t="str">
        <f>IFERROR(__xludf.DUMMYFUNCTION("""COMPUTED_VALUE"""),"\\MCA-S\mk\2_BM\0_BMat\08_PYM\Inventario\excel\Imagen de refacciones\Bombeo de concreto\External shut off valve 5,5_ _ Válvula de cierre externa de 5.5_")</f>
        <v>\\MCA-S\mk\2_BM\0_BMat\08_PYM\Inventario\excel\Imagen de refacciones\Bombeo de concreto\External shut off valve 5,5_ _ Válvula de cierre externa de 5.5_</v>
      </c>
      <c r="E495" s="74"/>
      <c r="F495" s="74" t="str">
        <f>IFERROR(__xludf.DUMMYFUNCTION("""COMPUTED_VALUE"""),"External shut off valve 5,5"" / Válvula de cierre externa de 5.5""")</f>
        <v>External shut off valve 5,5" / Válvula de cierre externa de 5.5"</v>
      </c>
      <c r="G495" s="74"/>
      <c r="H495" s="74"/>
      <c r="I495" s="74" t="str">
        <f>IFERROR(__xludf.DUMMYFUNCTION("""COMPUTED_VALUE"""),"SOM10260")</f>
        <v>SOM10260</v>
      </c>
      <c r="J495" s="74"/>
      <c r="K495" s="74" t="str">
        <f>IFERROR(__xludf.DUMMYFUNCTION("""COMPUTED_VALUE"""),"Bombeo de concreto")</f>
        <v>Bombeo de concreto</v>
      </c>
      <c r="L495" s="74" t="str">
        <f>IFERROR(__xludf.DUMMYFUNCTION("""COMPUTED_VALUE"""),"Componentes hidráulicos")</f>
        <v>Componentes hidráulicos</v>
      </c>
      <c r="M495" s="74" t="str">
        <f>IFERROR(__xludf.DUMMYFUNCTION("""COMPUTED_VALUE"""),"Sin Asignar")</f>
        <v>Sin Asignar</v>
      </c>
      <c r="N495" s="87">
        <f>IFERROR(__xludf.DUMMYFUNCTION("""COMPUTED_VALUE"""),0.0)</f>
        <v>0</v>
      </c>
      <c r="O495" s="74"/>
      <c r="P495" s="74" t="str">
        <f>IFERROR(__xludf.DUMMYFUNCTION("""COMPUTED_VALUE"""),"No Available")</f>
        <v>No Available</v>
      </c>
      <c r="Q495" s="74"/>
      <c r="R495" s="74"/>
      <c r="S495" s="87">
        <f>IFERROR(__xludf.DUMMYFUNCTION("""COMPUTED_VALUE"""),0.0)</f>
        <v>0</v>
      </c>
      <c r="T495" s="87">
        <f>IFERROR(__xludf.DUMMYFUNCTION("""COMPUTED_VALUE"""),0.0)</f>
        <v>0</v>
      </c>
      <c r="U495" s="87">
        <f>IFERROR(__xludf.DUMMYFUNCTION("""COMPUTED_VALUE"""),0.0)</f>
        <v>0</v>
      </c>
      <c r="V495" s="87">
        <f>IFERROR(__xludf.DUMMYFUNCTION("""COMPUTED_VALUE"""),0.0)</f>
        <v>0</v>
      </c>
      <c r="W495" s="87">
        <f>IFERROR(__xludf.DUMMYFUNCTION("""COMPUTED_VALUE"""),0.0)</f>
        <v>0</v>
      </c>
      <c r="X495" s="88"/>
      <c r="Y495" s="74"/>
      <c r="Z495" s="74"/>
    </row>
    <row r="496">
      <c r="B496" s="74" t="str">
        <f>IFERROR(__xludf.DUMMYFUNCTION("""COMPUTED_VALUE"""),"1493")</f>
        <v>1493</v>
      </c>
      <c r="C496" s="74"/>
      <c r="D496" s="74" t="str">
        <f>IFERROR(__xludf.DUMMYFUNCTION("""COMPUTED_VALUE"""),"\\MCA-S\mk\2_BM\0_BMat\08_PYM\Inventario\excel\Imagen de refacciones\Bombeo de concreto\5,5_ degree elbow R275 - extra _ Codo extra de 5.5_ a 90° con radio R275")</f>
        <v>\\MCA-S\mk\2_BM\0_BMat\08_PYM\Inventario\excel\Imagen de refacciones\Bombeo de concreto\5,5_ degree elbow R275 - extra _ Codo extra de 5.5_ a 90° con radio R275</v>
      </c>
      <c r="E496" s="74"/>
      <c r="F496" s="74" t="str">
        <f>IFERROR(__xludf.DUMMYFUNCTION("""COMPUTED_VALUE"""),"5,5"" degree elbow R275 - extra / Codo extra de 5.5"" a 90° con radio R275")</f>
        <v>5,5" degree elbow R275 - extra / Codo extra de 5.5" a 90° con radio R275</v>
      </c>
      <c r="G496" s="74"/>
      <c r="H496" s="74"/>
      <c r="I496" s="74" t="str">
        <f>IFERROR(__xludf.DUMMYFUNCTION("""COMPUTED_VALUE"""),"SOM10261")</f>
        <v>SOM10261</v>
      </c>
      <c r="J496" s="74"/>
      <c r="K496" s="74" t="str">
        <f>IFERROR(__xludf.DUMMYFUNCTION("""COMPUTED_VALUE"""),"Bombeo de concreto")</f>
        <v>Bombeo de concreto</v>
      </c>
      <c r="L496" s="74" t="str">
        <f>IFERROR(__xludf.DUMMYFUNCTION("""COMPUTED_VALUE"""),"Componentes estructurales y de montaje")</f>
        <v>Componentes estructurales y de montaje</v>
      </c>
      <c r="M496" s="74" t="str">
        <f>IFERROR(__xludf.DUMMYFUNCTION("""COMPUTED_VALUE"""),"Sin Asignar")</f>
        <v>Sin Asignar</v>
      </c>
      <c r="N496" s="87">
        <f>IFERROR(__xludf.DUMMYFUNCTION("""COMPUTED_VALUE"""),0.0)</f>
        <v>0</v>
      </c>
      <c r="O496" s="74"/>
      <c r="P496" s="74" t="str">
        <f>IFERROR(__xludf.DUMMYFUNCTION("""COMPUTED_VALUE"""),"No Available")</f>
        <v>No Available</v>
      </c>
      <c r="Q496" s="74"/>
      <c r="R496" s="74"/>
      <c r="S496" s="87">
        <f>IFERROR(__xludf.DUMMYFUNCTION("""COMPUTED_VALUE"""),0.0)</f>
        <v>0</v>
      </c>
      <c r="T496" s="87">
        <f>IFERROR(__xludf.DUMMYFUNCTION("""COMPUTED_VALUE"""),0.0)</f>
        <v>0</v>
      </c>
      <c r="U496" s="87">
        <f>IFERROR(__xludf.DUMMYFUNCTION("""COMPUTED_VALUE"""),0.0)</f>
        <v>0</v>
      </c>
      <c r="V496" s="87">
        <f>IFERROR(__xludf.DUMMYFUNCTION("""COMPUTED_VALUE"""),0.0)</f>
        <v>0</v>
      </c>
      <c r="W496" s="87">
        <f>IFERROR(__xludf.DUMMYFUNCTION("""COMPUTED_VALUE"""),0.0)</f>
        <v>0</v>
      </c>
      <c r="X496" s="88"/>
      <c r="Y496" s="74"/>
      <c r="Z496" s="74"/>
    </row>
    <row r="497">
      <c r="B497" s="74" t="str">
        <f>IFERROR(__xludf.DUMMYFUNCTION("""COMPUTED_VALUE"""),"1494")</f>
        <v>1494</v>
      </c>
      <c r="C497" s="74"/>
      <c r="D497" s="74" t="str">
        <f>IFERROR(__xludf.DUMMYFUNCTION("""COMPUTED_VALUE"""),"\\MCA-S\mk\2_BM\0_BMat\08_PYM\Inventario\excel\Imagen de refacciones\Bombeo de concreto\Q155 x 175 cylindrical sponge ball soft _ Bola esponja cilíndrica suave Q155 x 175")</f>
        <v>\\MCA-S\mk\2_BM\0_BMat\08_PYM\Inventario\excel\Imagen de refacciones\Bombeo de concreto\Q155 x 175 cylindrical sponge ball soft _ Bola esponja cilíndrica suave Q155 x 175</v>
      </c>
      <c r="E497" s="74"/>
      <c r="F497" s="74" t="str">
        <f>IFERROR(__xludf.DUMMYFUNCTION("""COMPUTED_VALUE"""),"Q155 x 175 cylindrical sponge ball soft / Bola esponja cilíndrica suave Q155 x 175")</f>
        <v>Q155 x 175 cylindrical sponge ball soft / Bola esponja cilíndrica suave Q155 x 175</v>
      </c>
      <c r="G497" s="74"/>
      <c r="H497" s="74"/>
      <c r="I497" s="74" t="str">
        <f>IFERROR(__xludf.DUMMYFUNCTION("""COMPUTED_VALUE"""),"SOM10277")</f>
        <v>SOM10277</v>
      </c>
      <c r="J497" s="74"/>
      <c r="K497" s="74" t="str">
        <f>IFERROR(__xludf.DUMMYFUNCTION("""COMPUTED_VALUE"""),"Bombeo de concreto")</f>
        <v>Bombeo de concreto</v>
      </c>
      <c r="L497" s="74" t="str">
        <f>IFERROR(__xludf.DUMMYFUNCTION("""COMPUTED_VALUE"""),"Sistema de bombeo de concreto")</f>
        <v>Sistema de bombeo de concreto</v>
      </c>
      <c r="M497" s="74" t="str">
        <f>IFERROR(__xludf.DUMMYFUNCTION("""COMPUTED_VALUE"""),"Sin Asignar")</f>
        <v>Sin Asignar</v>
      </c>
      <c r="N497" s="87">
        <f>IFERROR(__xludf.DUMMYFUNCTION("""COMPUTED_VALUE"""),0.0)</f>
        <v>0</v>
      </c>
      <c r="O497" s="74"/>
      <c r="P497" s="74" t="str">
        <f>IFERROR(__xludf.DUMMYFUNCTION("""COMPUTED_VALUE"""),"No Available")</f>
        <v>No Available</v>
      </c>
      <c r="Q497" s="74"/>
      <c r="R497" s="74"/>
      <c r="S497" s="87">
        <f>IFERROR(__xludf.DUMMYFUNCTION("""COMPUTED_VALUE"""),0.0)</f>
        <v>0</v>
      </c>
      <c r="T497" s="87">
        <f>IFERROR(__xludf.DUMMYFUNCTION("""COMPUTED_VALUE"""),0.0)</f>
        <v>0</v>
      </c>
      <c r="U497" s="87">
        <f>IFERROR(__xludf.DUMMYFUNCTION("""COMPUTED_VALUE"""),0.0)</f>
        <v>0</v>
      </c>
      <c r="V497" s="87">
        <f>IFERROR(__xludf.DUMMYFUNCTION("""COMPUTED_VALUE"""),0.0)</f>
        <v>0</v>
      </c>
      <c r="W497" s="87">
        <f>IFERROR(__xludf.DUMMYFUNCTION("""COMPUTED_VALUE"""),0.0)</f>
        <v>0</v>
      </c>
      <c r="X497" s="88"/>
      <c r="Y497" s="74"/>
      <c r="Z497" s="74"/>
    </row>
    <row r="498">
      <c r="B498" s="74" t="str">
        <f>IFERROR(__xludf.DUMMYFUNCTION("""COMPUTED_VALUE"""),"1495")</f>
        <v>1495</v>
      </c>
      <c r="C498" s="74"/>
      <c r="D498" s="74" t="str">
        <f>IFERROR(__xludf.DUMMYFUNCTION("""COMPUTED_VALUE"""),"\\MCA-S\mk\2_BM\0_BMat\08_PYM\Inventario\excel\Imagen de refacciones\Putzmeister\S valve 2018N _ Válvula tipo S modelo 2018N")</f>
        <v>\\MCA-S\mk\2_BM\0_BMat\08_PYM\Inventario\excel\Imagen de refacciones\Putzmeister\S valve 2018N _ Válvula tipo S modelo 2018N</v>
      </c>
      <c r="E498" s="74"/>
      <c r="F498" s="74" t="str">
        <f>IFERROR(__xludf.DUMMYFUNCTION("""COMPUTED_VALUE"""),"S valve 2018N / Válvula tipo S modelo 2018N")</f>
        <v>S valve 2018N / Válvula tipo S modelo 2018N</v>
      </c>
      <c r="G498" s="74"/>
      <c r="H498" s="74"/>
      <c r="I498" s="74" t="str">
        <f>IFERROR(__xludf.DUMMYFUNCTION("""COMPUTED_VALUE"""),"SOM20001")</f>
        <v>SOM20001</v>
      </c>
      <c r="J498" s="74" t="str">
        <f>IFERROR(__xludf.DUMMYFUNCTION("""COMPUTED_VALUE"""),"251013008 / 402865")</f>
        <v>251013008 / 402865</v>
      </c>
      <c r="K498" s="74" t="str">
        <f>IFERROR(__xludf.DUMMYFUNCTION("""COMPUTED_VALUE"""),"Putzmeister")</f>
        <v>Putzmeister</v>
      </c>
      <c r="L498" s="74" t="str">
        <f>IFERROR(__xludf.DUMMYFUNCTION("""COMPUTED_VALUE"""),"Componentes hidráulicos")</f>
        <v>Componentes hidráulicos</v>
      </c>
      <c r="M498" s="74" t="str">
        <f>IFERROR(__xludf.DUMMYFUNCTION("""COMPUTED_VALUE"""),"Sin Asignar")</f>
        <v>Sin Asignar</v>
      </c>
      <c r="N498" s="87">
        <f>IFERROR(__xludf.DUMMYFUNCTION("""COMPUTED_VALUE"""),0.0)</f>
        <v>0</v>
      </c>
      <c r="O498" s="74"/>
      <c r="P498" s="74" t="str">
        <f>IFERROR(__xludf.DUMMYFUNCTION("""COMPUTED_VALUE"""),"borrar")</f>
        <v>borrar</v>
      </c>
      <c r="Q498" s="74"/>
      <c r="R498" s="74"/>
      <c r="S498" s="87">
        <f>IFERROR(__xludf.DUMMYFUNCTION("""COMPUTED_VALUE"""),0.0)</f>
        <v>0</v>
      </c>
      <c r="T498" s="87">
        <f>IFERROR(__xludf.DUMMYFUNCTION("""COMPUTED_VALUE"""),0.0)</f>
        <v>0</v>
      </c>
      <c r="U498" s="87">
        <f>IFERROR(__xludf.DUMMYFUNCTION("""COMPUTED_VALUE"""),0.0)</f>
        <v>0</v>
      </c>
      <c r="V498" s="87">
        <f>IFERROR(__xludf.DUMMYFUNCTION("""COMPUTED_VALUE"""),0.0)</f>
        <v>0</v>
      </c>
      <c r="W498" s="87">
        <f>IFERROR(__xludf.DUMMYFUNCTION("""COMPUTED_VALUE"""),0.0)</f>
        <v>0</v>
      </c>
      <c r="X498" s="88"/>
      <c r="Y498" s="74"/>
      <c r="Z498" s="74"/>
    </row>
    <row r="499">
      <c r="B499" s="74" t="str">
        <f>IFERROR(__xludf.DUMMYFUNCTION("""COMPUTED_VALUE"""),"1496")</f>
        <v>1496</v>
      </c>
      <c r="C499" s="74"/>
      <c r="D499" s="74" t="str">
        <f>IFERROR(__xludf.DUMMYFUNCTION("""COMPUTED_VALUE"""),"\\MCA-S\mk\2_BM\0_BMat\08_PYM\Inventario\excel\Imagen de refacciones\Putzmeister\Wear sleeve _ camisa de desgaste")</f>
        <v>\\MCA-S\mk\2_BM\0_BMat\08_PYM\Inventario\excel\Imagen de refacciones\Putzmeister\Wear sleeve _ camisa de desgaste</v>
      </c>
      <c r="E499" s="74"/>
      <c r="F499" s="74" t="str">
        <f>IFERROR(__xludf.DUMMYFUNCTION("""COMPUTED_VALUE"""),"Wear sleeve / camisa de desgaste")</f>
        <v>Wear sleeve / camisa de desgaste</v>
      </c>
      <c r="G499" s="74"/>
      <c r="H499" s="74"/>
      <c r="I499" s="74" t="str">
        <f>IFERROR(__xludf.DUMMYFUNCTION("""COMPUTED_VALUE"""),"SOM20002")</f>
        <v>SOM20002</v>
      </c>
      <c r="J499" s="74" t="str">
        <f>IFERROR(__xludf.DUMMYFUNCTION("""COMPUTED_VALUE"""),"228383004")</f>
        <v>228383004</v>
      </c>
      <c r="K499" s="74" t="str">
        <f>IFERROR(__xludf.DUMMYFUNCTION("""COMPUTED_VALUE"""),"Putzmeister")</f>
        <v>Putzmeister</v>
      </c>
      <c r="L499" s="74" t="str">
        <f>IFERROR(__xludf.DUMMYFUNCTION("""COMPUTED_VALUE"""),"Sellos y retenes")</f>
        <v>Sellos y retenes</v>
      </c>
      <c r="M499" s="74" t="str">
        <f>IFERROR(__xludf.DUMMYFUNCTION("""COMPUTED_VALUE"""),"Sin Asignar")</f>
        <v>Sin Asignar</v>
      </c>
      <c r="N499" s="87">
        <f>IFERROR(__xludf.DUMMYFUNCTION("""COMPUTED_VALUE"""),0.0)</f>
        <v>0</v>
      </c>
      <c r="O499" s="74"/>
      <c r="P499" s="74" t="str">
        <f>IFERROR(__xludf.DUMMYFUNCTION("""COMPUTED_VALUE"""),"borrar")</f>
        <v>borrar</v>
      </c>
      <c r="Q499" s="74"/>
      <c r="R499" s="74"/>
      <c r="S499" s="87">
        <f>IFERROR(__xludf.DUMMYFUNCTION("""COMPUTED_VALUE"""),0.0)</f>
        <v>0</v>
      </c>
      <c r="T499" s="87">
        <f>IFERROR(__xludf.DUMMYFUNCTION("""COMPUTED_VALUE"""),0.0)</f>
        <v>0</v>
      </c>
      <c r="U499" s="87">
        <f>IFERROR(__xludf.DUMMYFUNCTION("""COMPUTED_VALUE"""),0.0)</f>
        <v>0</v>
      </c>
      <c r="V499" s="87">
        <f>IFERROR(__xludf.DUMMYFUNCTION("""COMPUTED_VALUE"""),0.0)</f>
        <v>0</v>
      </c>
      <c r="W499" s="87">
        <f>IFERROR(__xludf.DUMMYFUNCTION("""COMPUTED_VALUE"""),0.0)</f>
        <v>0</v>
      </c>
      <c r="X499" s="88"/>
      <c r="Y499" s="74"/>
      <c r="Z499" s="74"/>
    </row>
    <row r="500">
      <c r="B500" s="74" t="str">
        <f>IFERROR(__xludf.DUMMYFUNCTION("""COMPUTED_VALUE"""),"1497")</f>
        <v>1497</v>
      </c>
      <c r="C500" s="74"/>
      <c r="D500" s="74" t="str">
        <f>IFERROR(__xludf.DUMMYFUNCTION("""COMPUTED_VALUE"""),"\\MCA-S\mk\2_BM\0_BMat\08_PYM\Inventario\excel\Imagen de refacciones\Putzmeister\Spectacle wear plate duro 22 _ Placa de desgaste tipo espectáculo Duro 22")</f>
        <v>\\MCA-S\mk\2_BM\0_BMat\08_PYM\Inventario\excel\Imagen de refacciones\Putzmeister\Spectacle wear plate duro 22 _ Placa de desgaste tipo espectáculo Duro 22</v>
      </c>
      <c r="E500" s="74"/>
      <c r="F500" s="74" t="str">
        <f>IFERROR(__xludf.DUMMYFUNCTION("""COMPUTED_VALUE"""),"Spectacle wear plate duro 22 / Placa de desgaste tipo espectáculo Duro 22")</f>
        <v>Spectacle wear plate duro 22 / Placa de desgaste tipo espectáculo Duro 22</v>
      </c>
      <c r="G500" s="74"/>
      <c r="H500" s="74"/>
      <c r="I500" s="74" t="str">
        <f>IFERROR(__xludf.DUMMYFUNCTION("""COMPUTED_VALUE"""),"SOM20003")</f>
        <v>SOM20003</v>
      </c>
      <c r="J500" s="74" t="str">
        <f>IFERROR(__xludf.DUMMYFUNCTION("""COMPUTED_VALUE"""),"240111005 / 229488005")</f>
        <v>240111005 / 229488005</v>
      </c>
      <c r="K500" s="74" t="str">
        <f>IFERROR(__xludf.DUMMYFUNCTION("""COMPUTED_VALUE"""),"Putzmeister")</f>
        <v>Putzmeister</v>
      </c>
      <c r="L500" s="74" t="str">
        <f>IFERROR(__xludf.DUMMYFUNCTION("""COMPUTED_VALUE"""),"Componentes estructurales y de montaje")</f>
        <v>Componentes estructurales y de montaje</v>
      </c>
      <c r="M500" s="74" t="str">
        <f>IFERROR(__xludf.DUMMYFUNCTION("""COMPUTED_VALUE"""),"Sin Asignar")</f>
        <v>Sin Asignar</v>
      </c>
      <c r="N500" s="87">
        <f>IFERROR(__xludf.DUMMYFUNCTION("""COMPUTED_VALUE"""),0.0)</f>
        <v>0</v>
      </c>
      <c r="O500" s="74"/>
      <c r="P500" s="74" t="str">
        <f>IFERROR(__xludf.DUMMYFUNCTION("""COMPUTED_VALUE"""),"borrar")</f>
        <v>borrar</v>
      </c>
      <c r="Q500" s="74"/>
      <c r="R500" s="74"/>
      <c r="S500" s="87">
        <f>IFERROR(__xludf.DUMMYFUNCTION("""COMPUTED_VALUE"""),0.0)</f>
        <v>0</v>
      </c>
      <c r="T500" s="87">
        <f>IFERROR(__xludf.DUMMYFUNCTION("""COMPUTED_VALUE"""),0.0)</f>
        <v>0</v>
      </c>
      <c r="U500" s="87">
        <f>IFERROR(__xludf.DUMMYFUNCTION("""COMPUTED_VALUE"""),0.0)</f>
        <v>0</v>
      </c>
      <c r="V500" s="87">
        <f>IFERROR(__xludf.DUMMYFUNCTION("""COMPUTED_VALUE"""),0.0)</f>
        <v>0</v>
      </c>
      <c r="W500" s="87">
        <f>IFERROR(__xludf.DUMMYFUNCTION("""COMPUTED_VALUE"""),0.0)</f>
        <v>0</v>
      </c>
      <c r="X500" s="88"/>
      <c r="Y500" s="74"/>
      <c r="Z500" s="74"/>
    </row>
    <row r="501">
      <c r="B501" s="74" t="str">
        <f>IFERROR(__xludf.DUMMYFUNCTION("""COMPUTED_VALUE"""),"1498")</f>
        <v>1498</v>
      </c>
      <c r="C501" s="74" t="str">
        <f>IFERROR(__xludf.DUMMYFUNCTION("""COMPUTED_VALUE"""),"75045891498")</f>
        <v>75045891498</v>
      </c>
      <c r="D501" s="74" t="str">
        <f>IFERROR(__xludf.DUMMYFUNCTION("""COMPUTED_VALUE"""),"\\MCA-S\mk\2_BM\0_BMat\08_PYM\Inventario\excel\Imagen de refacciones\Putzmeister\Wear ring duro 22 _ Anillo de desgaste Duro 22")</f>
        <v>\\MCA-S\mk\2_BM\0_BMat\08_PYM\Inventario\excel\Imagen de refacciones\Putzmeister\Wear ring duro 22 _ Anillo de desgaste Duro 22</v>
      </c>
      <c r="E501" s="74" t="str">
        <f>IFERROR(__xludf.DUMMYFUNCTION("""COMPUTED_VALUE"""),"CUTTING /WEAR RING")</f>
        <v>CUTTING /WEAR RING</v>
      </c>
      <c r="F501" s="74" t="str">
        <f>IFERROR(__xludf.DUMMYFUNCTION("""COMPUTED_VALUE"""),"ANILLO DE DESGASTE/ CORTE (FALTA DIAMETRO)")</f>
        <v>ANILLO DE DESGASTE/ CORTE (FALTA DIAMETRO)</v>
      </c>
      <c r="G501" s="74"/>
      <c r="H501" s="74"/>
      <c r="I501" s="74" t="str">
        <f>IFERROR(__xludf.DUMMYFUNCTION("""COMPUTED_VALUE"""),"251031006")</f>
        <v>251031006</v>
      </c>
      <c r="J501" s="74"/>
      <c r="K501" s="74" t="str">
        <f>IFERROR(__xludf.DUMMYFUNCTION("""COMPUTED_VALUE"""),"Putzmeister")</f>
        <v>Putzmeister</v>
      </c>
      <c r="L501" s="74" t="str">
        <f>IFERROR(__xludf.DUMMYFUNCTION("""COMPUTED_VALUE"""),"Sellos y retenes")</f>
        <v>Sellos y retenes</v>
      </c>
      <c r="M501" s="74" t="str">
        <f>IFERROR(__xludf.DUMMYFUNCTION("""COMPUTED_VALUE"""),"Sin Asignar")</f>
        <v>Sin Asignar</v>
      </c>
      <c r="N501" s="87">
        <f>IFERROR(__xludf.DUMMYFUNCTION("""COMPUTED_VALUE"""),0.0)</f>
        <v>0</v>
      </c>
      <c r="O501" s="74"/>
      <c r="P501" s="74" t="str">
        <f>IFERROR(__xludf.DUMMYFUNCTION("""COMPUTED_VALUE"""),"To Re-purchase")</f>
        <v>To Re-purchase</v>
      </c>
      <c r="Q501" s="74"/>
      <c r="R501" s="74"/>
      <c r="S501" s="87">
        <f>IFERROR(__xludf.DUMMYFUNCTION("""COMPUTED_VALUE"""),0.0)</f>
        <v>0</v>
      </c>
      <c r="T501" s="87">
        <f>IFERROR(__xludf.DUMMYFUNCTION("""COMPUTED_VALUE"""),0.0)</f>
        <v>0</v>
      </c>
      <c r="U501" s="87">
        <f>IFERROR(__xludf.DUMMYFUNCTION("""COMPUTED_VALUE"""),0.0)</f>
        <v>0</v>
      </c>
      <c r="V501" s="87">
        <f>IFERROR(__xludf.DUMMYFUNCTION("""COMPUTED_VALUE"""),0.0)</f>
        <v>0</v>
      </c>
      <c r="W501" s="87">
        <f>IFERROR(__xludf.DUMMYFUNCTION("""COMPUTED_VALUE"""),0.0)</f>
        <v>0</v>
      </c>
      <c r="X501" s="88"/>
      <c r="Y501" s="74"/>
      <c r="Z501" s="74"/>
    </row>
    <row r="502">
      <c r="B502" s="74" t="str">
        <f>IFERROR(__xludf.DUMMYFUNCTION("""COMPUTED_VALUE"""),"1499")</f>
        <v>1499</v>
      </c>
      <c r="C502" s="74"/>
      <c r="D502" s="74" t="str">
        <f>IFERROR(__xludf.DUMMYFUNCTION("""COMPUTED_VALUE"""),"\\MCA-S\mk\2_BM\0_BMat\08_PYM\Inventario\excel\Imagen de refacciones\Putzmeister\Thrust ring whit steel _ Anillo de empuje con acero")</f>
        <v>\\MCA-S\mk\2_BM\0_BMat\08_PYM\Inventario\excel\Imagen de refacciones\Putzmeister\Thrust ring whit steel _ Anillo de empuje con acero</v>
      </c>
      <c r="E502" s="74"/>
      <c r="F502" s="74" t="str">
        <f>IFERROR(__xludf.DUMMYFUNCTION("""COMPUTED_VALUE"""),"Thrust ring whit steel / Anillo de empuje con acero")</f>
        <v>Thrust ring whit steel / Anillo de empuje con acero</v>
      </c>
      <c r="G502" s="74"/>
      <c r="H502" s="74"/>
      <c r="I502" s="74" t="str">
        <f>IFERROR(__xludf.DUMMYFUNCTION("""COMPUTED_VALUE"""),"SOM20005")</f>
        <v>SOM20005</v>
      </c>
      <c r="J502" s="74" t="str">
        <f>IFERROR(__xludf.DUMMYFUNCTION("""COMPUTED_VALUE"""),"252898002")</f>
        <v>252898002</v>
      </c>
      <c r="K502" s="74" t="str">
        <f>IFERROR(__xludf.DUMMYFUNCTION("""COMPUTED_VALUE"""),"Putzmeister")</f>
        <v>Putzmeister</v>
      </c>
      <c r="L502" s="74" t="str">
        <f>IFERROR(__xludf.DUMMYFUNCTION("""COMPUTED_VALUE"""),"Componentes estructurales y de montaje")</f>
        <v>Componentes estructurales y de montaje</v>
      </c>
      <c r="M502" s="74" t="str">
        <f>IFERROR(__xludf.DUMMYFUNCTION("""COMPUTED_VALUE"""),"Sin Asignar")</f>
        <v>Sin Asignar</v>
      </c>
      <c r="N502" s="87">
        <f>IFERROR(__xludf.DUMMYFUNCTION("""COMPUTED_VALUE"""),0.0)</f>
        <v>0</v>
      </c>
      <c r="O502" s="74"/>
      <c r="P502" s="74" t="str">
        <f>IFERROR(__xludf.DUMMYFUNCTION("""COMPUTED_VALUE"""),"borrar")</f>
        <v>borrar</v>
      </c>
      <c r="Q502" s="74"/>
      <c r="R502" s="74"/>
      <c r="S502" s="87">
        <f>IFERROR(__xludf.DUMMYFUNCTION("""COMPUTED_VALUE"""),0.0)</f>
        <v>0</v>
      </c>
      <c r="T502" s="87">
        <f>IFERROR(__xludf.DUMMYFUNCTION("""COMPUTED_VALUE"""),0.0)</f>
        <v>0</v>
      </c>
      <c r="U502" s="87">
        <f>IFERROR(__xludf.DUMMYFUNCTION("""COMPUTED_VALUE"""),0.0)</f>
        <v>0</v>
      </c>
      <c r="V502" s="87">
        <f>IFERROR(__xludf.DUMMYFUNCTION("""COMPUTED_VALUE"""),0.0)</f>
        <v>0</v>
      </c>
      <c r="W502" s="87">
        <f>IFERROR(__xludf.DUMMYFUNCTION("""COMPUTED_VALUE"""),0.0)</f>
        <v>0</v>
      </c>
      <c r="X502" s="88"/>
      <c r="Y502" s="74"/>
      <c r="Z502" s="74"/>
    </row>
    <row r="503">
      <c r="B503" s="74" t="str">
        <f>IFERROR(__xludf.DUMMYFUNCTION("""COMPUTED_VALUE"""),"1500")</f>
        <v>1500</v>
      </c>
      <c r="C503" s="74"/>
      <c r="D503" s="74" t="str">
        <f>IFERROR(__xludf.DUMMYFUNCTION("""COMPUTED_VALUE"""),"\\MCA-S\mk\2_BM\0_BMat\08_PYM\Inventario\excel\Imagen de refacciones\Putzmeister\Spectacle wear plate duro 22 _ Placa de desgaste tipo _espectáculo_ Duro 22")</f>
        <v>\\MCA-S\mk\2_BM\0_BMat\08_PYM\Inventario\excel\Imagen de refacciones\Putzmeister\Spectacle wear plate duro 22 _ Placa de desgaste tipo _espectáculo_ Duro 22</v>
      </c>
      <c r="E503" s="74"/>
      <c r="F503" s="74" t="str">
        <f>IFERROR(__xludf.DUMMYFUNCTION("""COMPUTED_VALUE"""),"Spectacle wear plate duro 22 / Placa de desgaste tipo ""espectáculo"" Duro 22")</f>
        <v>Spectacle wear plate duro 22 / Placa de desgaste tipo "espectáculo" Duro 22</v>
      </c>
      <c r="G503" s="74"/>
      <c r="H503" s="74"/>
      <c r="I503" s="74" t="str">
        <f>IFERROR(__xludf.DUMMYFUNCTION("""COMPUTED_VALUE"""),"SOM20003")</f>
        <v>SOM20003</v>
      </c>
      <c r="J503" s="74" t="str">
        <f>IFERROR(__xludf.DUMMYFUNCTION("""COMPUTED_VALUE"""),"240111005 / 229488005")</f>
        <v>240111005 / 229488005</v>
      </c>
      <c r="K503" s="74" t="str">
        <f>IFERROR(__xludf.DUMMYFUNCTION("""COMPUTED_VALUE"""),"Putzmeister")</f>
        <v>Putzmeister</v>
      </c>
      <c r="L503" s="74" t="str">
        <f>IFERROR(__xludf.DUMMYFUNCTION("""COMPUTED_VALUE"""),"Componentes estructurales y de montaje")</f>
        <v>Componentes estructurales y de montaje</v>
      </c>
      <c r="M503" s="74" t="str">
        <f>IFERROR(__xludf.DUMMYFUNCTION("""COMPUTED_VALUE"""),"Sin Asignar")</f>
        <v>Sin Asignar</v>
      </c>
      <c r="N503" s="87">
        <f>IFERROR(__xludf.DUMMYFUNCTION("""COMPUTED_VALUE"""),0.0)</f>
        <v>0</v>
      </c>
      <c r="O503" s="74"/>
      <c r="P503" s="74" t="str">
        <f>IFERROR(__xludf.DUMMYFUNCTION("""COMPUTED_VALUE"""),"borrar")</f>
        <v>borrar</v>
      </c>
      <c r="Q503" s="74"/>
      <c r="R503" s="74"/>
      <c r="S503" s="87">
        <f>IFERROR(__xludf.DUMMYFUNCTION("""COMPUTED_VALUE"""),0.0)</f>
        <v>0</v>
      </c>
      <c r="T503" s="87">
        <f>IFERROR(__xludf.DUMMYFUNCTION("""COMPUTED_VALUE"""),0.0)</f>
        <v>0</v>
      </c>
      <c r="U503" s="87">
        <f>IFERROR(__xludf.DUMMYFUNCTION("""COMPUTED_VALUE"""),0.0)</f>
        <v>0</v>
      </c>
      <c r="V503" s="87">
        <f>IFERROR(__xludf.DUMMYFUNCTION("""COMPUTED_VALUE"""),0.0)</f>
        <v>0</v>
      </c>
      <c r="W503" s="87">
        <f>IFERROR(__xludf.DUMMYFUNCTION("""COMPUTED_VALUE"""),0.0)</f>
        <v>0</v>
      </c>
      <c r="X503" s="88"/>
      <c r="Y503" s="74"/>
      <c r="Z503" s="74"/>
    </row>
    <row r="504">
      <c r="B504" s="74" t="str">
        <f>IFERROR(__xludf.DUMMYFUNCTION("""COMPUTED_VALUE"""),"1501")</f>
        <v>1501</v>
      </c>
      <c r="C504" s="74"/>
      <c r="D504" s="74" t="str">
        <f>IFERROR(__xludf.DUMMYFUNCTION("""COMPUTED_VALUE"""),"\\MCA-S\mk\2_BM\0_BMat\08_PYM\Inventario\excel\Imagen de refacciones\Putzmeister\Thrust ring without steel _ Anillo de empuje sin acero")</f>
        <v>\\MCA-S\mk\2_BM\0_BMat\08_PYM\Inventario\excel\Imagen de refacciones\Putzmeister\Thrust ring without steel _ Anillo de empuje sin acero</v>
      </c>
      <c r="E504" s="74"/>
      <c r="F504" s="74" t="str">
        <f>IFERROR(__xludf.DUMMYFUNCTION("""COMPUTED_VALUE"""),"Thrust ring without steel / Anillo de empuje sin acero")</f>
        <v>Thrust ring without steel / Anillo de empuje sin acero</v>
      </c>
      <c r="G504" s="74"/>
      <c r="H504" s="74"/>
      <c r="I504" s="74" t="str">
        <f>IFERROR(__xludf.DUMMYFUNCTION("""COMPUTED_VALUE"""),"SOM20006")</f>
        <v>SOM20006</v>
      </c>
      <c r="J504" s="74" t="str">
        <f>IFERROR(__xludf.DUMMYFUNCTION("""COMPUTED_VALUE"""),"269380008")</f>
        <v>269380008</v>
      </c>
      <c r="K504" s="74" t="str">
        <f>IFERROR(__xludf.DUMMYFUNCTION("""COMPUTED_VALUE"""),"Putzmeister")</f>
        <v>Putzmeister</v>
      </c>
      <c r="L504" s="74" t="str">
        <f>IFERROR(__xludf.DUMMYFUNCTION("""COMPUTED_VALUE"""),"Sellos y retenes")</f>
        <v>Sellos y retenes</v>
      </c>
      <c r="M504" s="74" t="str">
        <f>IFERROR(__xludf.DUMMYFUNCTION("""COMPUTED_VALUE"""),"Sin Asignar")</f>
        <v>Sin Asignar</v>
      </c>
      <c r="N504" s="87">
        <f>IFERROR(__xludf.DUMMYFUNCTION("""COMPUTED_VALUE"""),0.0)</f>
        <v>0</v>
      </c>
      <c r="O504" s="74"/>
      <c r="P504" s="74" t="str">
        <f>IFERROR(__xludf.DUMMYFUNCTION("""COMPUTED_VALUE"""),"No Available")</f>
        <v>No Available</v>
      </c>
      <c r="Q504" s="74"/>
      <c r="R504" s="74"/>
      <c r="S504" s="87">
        <f>IFERROR(__xludf.DUMMYFUNCTION("""COMPUTED_VALUE"""),0.0)</f>
        <v>0</v>
      </c>
      <c r="T504" s="87">
        <f>IFERROR(__xludf.DUMMYFUNCTION("""COMPUTED_VALUE"""),0.0)</f>
        <v>0</v>
      </c>
      <c r="U504" s="87">
        <f>IFERROR(__xludf.DUMMYFUNCTION("""COMPUTED_VALUE"""),0.0)</f>
        <v>0</v>
      </c>
      <c r="V504" s="87">
        <f>IFERROR(__xludf.DUMMYFUNCTION("""COMPUTED_VALUE"""),0.0)</f>
        <v>0</v>
      </c>
      <c r="W504" s="87">
        <f>IFERROR(__xludf.DUMMYFUNCTION("""COMPUTED_VALUE"""),0.0)</f>
        <v>0</v>
      </c>
      <c r="X504" s="88"/>
      <c r="Y504" s="74"/>
      <c r="Z504" s="74"/>
    </row>
    <row r="505">
      <c r="B505" s="74" t="str">
        <f>IFERROR(__xludf.DUMMYFUNCTION("""COMPUTED_VALUE"""),"1502")</f>
        <v>1502</v>
      </c>
      <c r="C505" s="74"/>
      <c r="D505" s="74" t="str">
        <f>IFERROR(__xludf.DUMMYFUNCTION("""COMPUTED_VALUE"""),"\\MCA-S\mk\2_BM\0_BMat\08_PYM\Inventario\excel\Imagen de refacciones\Putzmeister\Spacer Disc _ Disco espaciador")</f>
        <v>\\MCA-S\mk\2_BM\0_BMat\08_PYM\Inventario\excel\Imagen de refacciones\Putzmeister\Spacer Disc _ Disco espaciador</v>
      </c>
      <c r="E505" s="74"/>
      <c r="F505" s="74" t="str">
        <f>IFERROR(__xludf.DUMMYFUNCTION("""COMPUTED_VALUE"""),"Spacer Disc / Disco espaciador")</f>
        <v>Spacer Disc / Disco espaciador</v>
      </c>
      <c r="G505" s="74"/>
      <c r="H505" s="74"/>
      <c r="I505" s="74" t="str">
        <f>IFERROR(__xludf.DUMMYFUNCTION("""COMPUTED_VALUE"""),"SOM20007")</f>
        <v>SOM20007</v>
      </c>
      <c r="J505" s="74" t="str">
        <f>IFERROR(__xludf.DUMMYFUNCTION("""COMPUTED_VALUE"""),"284606000")</f>
        <v>284606000</v>
      </c>
      <c r="K505" s="74" t="str">
        <f>IFERROR(__xludf.DUMMYFUNCTION("""COMPUTED_VALUE"""),"Putzmeister")</f>
        <v>Putzmeister</v>
      </c>
      <c r="L505" s="74" t="str">
        <f>IFERROR(__xludf.DUMMYFUNCTION("""COMPUTED_VALUE"""),"Componentes estructurales y de montaje")</f>
        <v>Componentes estructurales y de montaje</v>
      </c>
      <c r="M505" s="74" t="str">
        <f>IFERROR(__xludf.DUMMYFUNCTION("""COMPUTED_VALUE"""),"Sin Asignar")</f>
        <v>Sin Asignar</v>
      </c>
      <c r="N505" s="87">
        <f>IFERROR(__xludf.DUMMYFUNCTION("""COMPUTED_VALUE"""),0.0)</f>
        <v>0</v>
      </c>
      <c r="O505" s="74"/>
      <c r="P505" s="74" t="str">
        <f>IFERROR(__xludf.DUMMYFUNCTION("""COMPUTED_VALUE"""),"No Available")</f>
        <v>No Available</v>
      </c>
      <c r="Q505" s="74"/>
      <c r="R505" s="74"/>
      <c r="S505" s="87">
        <f>IFERROR(__xludf.DUMMYFUNCTION("""COMPUTED_VALUE"""),0.0)</f>
        <v>0</v>
      </c>
      <c r="T505" s="87">
        <f>IFERROR(__xludf.DUMMYFUNCTION("""COMPUTED_VALUE"""),0.0)</f>
        <v>0</v>
      </c>
      <c r="U505" s="87">
        <f>IFERROR(__xludf.DUMMYFUNCTION("""COMPUTED_VALUE"""),0.0)</f>
        <v>0</v>
      </c>
      <c r="V505" s="87">
        <f>IFERROR(__xludf.DUMMYFUNCTION("""COMPUTED_VALUE"""),0.0)</f>
        <v>0</v>
      </c>
      <c r="W505" s="87">
        <f>IFERROR(__xludf.DUMMYFUNCTION("""COMPUTED_VALUE"""),0.0)</f>
        <v>0</v>
      </c>
      <c r="X505" s="88"/>
      <c r="Y505" s="74"/>
      <c r="Z505" s="74"/>
    </row>
    <row r="506">
      <c r="B506" s="74" t="str">
        <f>IFERROR(__xludf.DUMMYFUNCTION("""COMPUTED_VALUE"""),"1503")</f>
        <v>1503</v>
      </c>
      <c r="C506" s="74"/>
      <c r="D506" s="74" t="str">
        <f>IFERROR(__xludf.DUMMYFUNCTION("""COMPUTED_VALUE"""),"\\MCA-S\mk\2_BM\0_BMat\08_PYM\Inventario\excel\Imagen de refacciones\Putzmeister\Slewing lever Q80 _ Palanca giratoria Q80")</f>
        <v>\\MCA-S\mk\2_BM\0_BMat\08_PYM\Inventario\excel\Imagen de refacciones\Putzmeister\Slewing lever Q80 _ Palanca giratoria Q80</v>
      </c>
      <c r="E506" s="74"/>
      <c r="F506" s="74" t="str">
        <f>IFERROR(__xludf.DUMMYFUNCTION("""COMPUTED_VALUE"""),"Slewing lever Q80 / Palanca giratoria Q80")</f>
        <v>Slewing lever Q80 / Palanca giratoria Q80</v>
      </c>
      <c r="G506" s="74"/>
      <c r="H506" s="74"/>
      <c r="I506" s="74" t="str">
        <f>IFERROR(__xludf.DUMMYFUNCTION("""COMPUTED_VALUE"""),"SOM20008")</f>
        <v>SOM20008</v>
      </c>
      <c r="J506" s="74" t="str">
        <f>IFERROR(__xludf.DUMMYFUNCTION("""COMPUTED_VALUE"""),"254424005 / 458733")</f>
        <v>254424005 / 458733</v>
      </c>
      <c r="K506" s="74" t="str">
        <f>IFERROR(__xludf.DUMMYFUNCTION("""COMPUTED_VALUE"""),"Putzmeister")</f>
        <v>Putzmeister</v>
      </c>
      <c r="L506" s="74" t="str">
        <f>IFERROR(__xludf.DUMMYFUNCTION("""COMPUTED_VALUE"""),"Componentes estructurales y de montaje")</f>
        <v>Componentes estructurales y de montaje</v>
      </c>
      <c r="M506" s="74" t="str">
        <f>IFERROR(__xludf.DUMMYFUNCTION("""COMPUTED_VALUE"""),"Sin Asignar")</f>
        <v>Sin Asignar</v>
      </c>
      <c r="N506" s="87">
        <f>IFERROR(__xludf.DUMMYFUNCTION("""COMPUTED_VALUE"""),0.0)</f>
        <v>0</v>
      </c>
      <c r="O506" s="74"/>
      <c r="P506" s="74" t="str">
        <f>IFERROR(__xludf.DUMMYFUNCTION("""COMPUTED_VALUE"""),"borrar")</f>
        <v>borrar</v>
      </c>
      <c r="Q506" s="74"/>
      <c r="R506" s="74"/>
      <c r="S506" s="87">
        <f>IFERROR(__xludf.DUMMYFUNCTION("""COMPUTED_VALUE"""),0.0)</f>
        <v>0</v>
      </c>
      <c r="T506" s="87">
        <f>IFERROR(__xludf.DUMMYFUNCTION("""COMPUTED_VALUE"""),0.0)</f>
        <v>0</v>
      </c>
      <c r="U506" s="87">
        <f>IFERROR(__xludf.DUMMYFUNCTION("""COMPUTED_VALUE"""),0.0)</f>
        <v>0</v>
      </c>
      <c r="V506" s="87">
        <f>IFERROR(__xludf.DUMMYFUNCTION("""COMPUTED_VALUE"""),0.0)</f>
        <v>0</v>
      </c>
      <c r="W506" s="87">
        <f>IFERROR(__xludf.DUMMYFUNCTION("""COMPUTED_VALUE"""),0.0)</f>
        <v>0</v>
      </c>
      <c r="X506" s="88"/>
      <c r="Y506" s="74"/>
      <c r="Z506" s="74"/>
    </row>
    <row r="507">
      <c r="B507" s="74" t="str">
        <f>IFERROR(__xludf.DUMMYFUNCTION("""COMPUTED_VALUE"""),"1504")</f>
        <v>1504</v>
      </c>
      <c r="C507" s="74"/>
      <c r="D507" s="74" t="str">
        <f>IFERROR(__xludf.DUMMYFUNCTION("""COMPUTED_VALUE"""),"\\MCA-S\mk\2_BM\0_BMat\08_PYM\Inventario\excel\Imagen de refacciones\Putzmeister\Securing plate _ Placa de sujeción")</f>
        <v>\\MCA-S\mk\2_BM\0_BMat\08_PYM\Inventario\excel\Imagen de refacciones\Putzmeister\Securing plate _ Placa de sujeción</v>
      </c>
      <c r="E507" s="74"/>
      <c r="F507" s="74" t="str">
        <f>IFERROR(__xludf.DUMMYFUNCTION("""COMPUTED_VALUE"""),"Securing plate / Placa de sujeción")</f>
        <v>Securing plate / Placa de sujeción</v>
      </c>
      <c r="G507" s="74"/>
      <c r="H507" s="74"/>
      <c r="I507" s="74" t="str">
        <f>IFERROR(__xludf.DUMMYFUNCTION("""COMPUTED_VALUE"""),"SOM20009")</f>
        <v>SOM20009</v>
      </c>
      <c r="J507" s="74" t="str">
        <f>IFERROR(__xludf.DUMMYFUNCTION("""COMPUTED_VALUE"""),"254200000")</f>
        <v>254200000</v>
      </c>
      <c r="K507" s="74" t="str">
        <f>IFERROR(__xludf.DUMMYFUNCTION("""COMPUTED_VALUE"""),"Putzmeister")</f>
        <v>Putzmeister</v>
      </c>
      <c r="L507" s="74" t="str">
        <f>IFERROR(__xludf.DUMMYFUNCTION("""COMPUTED_VALUE"""),"Componentes estructurales y de montaje")</f>
        <v>Componentes estructurales y de montaje</v>
      </c>
      <c r="M507" s="74" t="str">
        <f>IFERROR(__xludf.DUMMYFUNCTION("""COMPUTED_VALUE"""),"Sin Asignar")</f>
        <v>Sin Asignar</v>
      </c>
      <c r="N507" s="87">
        <f>IFERROR(__xludf.DUMMYFUNCTION("""COMPUTED_VALUE"""),0.0)</f>
        <v>0</v>
      </c>
      <c r="O507" s="74"/>
      <c r="P507" s="74" t="str">
        <f>IFERROR(__xludf.DUMMYFUNCTION("""COMPUTED_VALUE"""),"No Available")</f>
        <v>No Available</v>
      </c>
      <c r="Q507" s="74"/>
      <c r="R507" s="74"/>
      <c r="S507" s="87">
        <f>IFERROR(__xludf.DUMMYFUNCTION("""COMPUTED_VALUE"""),0.0)</f>
        <v>0</v>
      </c>
      <c r="T507" s="87">
        <f>IFERROR(__xludf.DUMMYFUNCTION("""COMPUTED_VALUE"""),0.0)</f>
        <v>0</v>
      </c>
      <c r="U507" s="87">
        <f>IFERROR(__xludf.DUMMYFUNCTION("""COMPUTED_VALUE"""),0.0)</f>
        <v>0</v>
      </c>
      <c r="V507" s="87">
        <f>IFERROR(__xludf.DUMMYFUNCTION("""COMPUTED_VALUE"""),0.0)</f>
        <v>0</v>
      </c>
      <c r="W507" s="87">
        <f>IFERROR(__xludf.DUMMYFUNCTION("""COMPUTED_VALUE"""),0.0)</f>
        <v>0</v>
      </c>
      <c r="X507" s="88"/>
      <c r="Y507" s="74"/>
      <c r="Z507" s="74"/>
    </row>
    <row r="508">
      <c r="B508" s="74" t="str">
        <f>IFERROR(__xludf.DUMMYFUNCTION("""COMPUTED_VALUE"""),"1505")</f>
        <v>1505</v>
      </c>
      <c r="C508" s="74"/>
      <c r="D508" s="74" t="str">
        <f>IFERROR(__xludf.DUMMYFUNCTION("""COMPUTED_VALUE"""),"\\MCA-S\mk\2_BM\0_BMat\08_PYM\Inventario\excel\Imagen de refacciones\Putzmeister\S valve shaft Q80 _ Eje para válvula tipo S modelo Q80")</f>
        <v>\\MCA-S\mk\2_BM\0_BMat\08_PYM\Inventario\excel\Imagen de refacciones\Putzmeister\S valve shaft Q80 _ Eje para válvula tipo S modelo Q80</v>
      </c>
      <c r="E508" s="74"/>
      <c r="F508" s="74" t="str">
        <f>IFERROR(__xludf.DUMMYFUNCTION("""COMPUTED_VALUE"""),"S valve shaft Q80 / Eje para válvula tipo S modelo Q80")</f>
        <v>S valve shaft Q80 / Eje para válvula tipo S modelo Q80</v>
      </c>
      <c r="G508" s="74"/>
      <c r="H508" s="74"/>
      <c r="I508" s="74" t="str">
        <f>IFERROR(__xludf.DUMMYFUNCTION("""COMPUTED_VALUE"""),"SOM20010")</f>
        <v>SOM20010</v>
      </c>
      <c r="J508" s="74" t="str">
        <f>IFERROR(__xludf.DUMMYFUNCTION("""COMPUTED_VALUE"""),"242467003")</f>
        <v>242467003</v>
      </c>
      <c r="K508" s="74" t="str">
        <f>IFERROR(__xludf.DUMMYFUNCTION("""COMPUTED_VALUE"""),"Putzmeister")</f>
        <v>Putzmeister</v>
      </c>
      <c r="L508" s="74" t="str">
        <f>IFERROR(__xludf.DUMMYFUNCTION("""COMPUTED_VALUE"""),"Componentes hidráulicos")</f>
        <v>Componentes hidráulicos</v>
      </c>
      <c r="M508" s="74" t="str">
        <f>IFERROR(__xludf.DUMMYFUNCTION("""COMPUTED_VALUE"""),"Sin Asignar")</f>
        <v>Sin Asignar</v>
      </c>
      <c r="N508" s="87">
        <f>IFERROR(__xludf.DUMMYFUNCTION("""COMPUTED_VALUE"""),0.0)</f>
        <v>0</v>
      </c>
      <c r="O508" s="74"/>
      <c r="P508" s="74" t="str">
        <f>IFERROR(__xludf.DUMMYFUNCTION("""COMPUTED_VALUE"""),"No Available")</f>
        <v>No Available</v>
      </c>
      <c r="Q508" s="74"/>
      <c r="R508" s="74"/>
      <c r="S508" s="87">
        <f>IFERROR(__xludf.DUMMYFUNCTION("""COMPUTED_VALUE"""),0.0)</f>
        <v>0</v>
      </c>
      <c r="T508" s="87">
        <f>IFERROR(__xludf.DUMMYFUNCTION("""COMPUTED_VALUE"""),0.0)</f>
        <v>0</v>
      </c>
      <c r="U508" s="87">
        <f>IFERROR(__xludf.DUMMYFUNCTION("""COMPUTED_VALUE"""),0.0)</f>
        <v>0</v>
      </c>
      <c r="V508" s="87">
        <f>IFERROR(__xludf.DUMMYFUNCTION("""COMPUTED_VALUE"""),0.0)</f>
        <v>0</v>
      </c>
      <c r="W508" s="87">
        <f>IFERROR(__xludf.DUMMYFUNCTION("""COMPUTED_VALUE"""),0.0)</f>
        <v>0</v>
      </c>
      <c r="X508" s="88"/>
      <c r="Y508" s="74"/>
      <c r="Z508" s="74"/>
    </row>
    <row r="509">
      <c r="B509" s="74" t="str">
        <f>IFERROR(__xludf.DUMMYFUNCTION("""COMPUTED_VALUE"""),"1506")</f>
        <v>1506</v>
      </c>
      <c r="C509" s="74"/>
      <c r="D509" s="74" t="str">
        <f>IFERROR(__xludf.DUMMYFUNCTION("""COMPUTED_VALUE"""),"\\MCA-S\mk\2_BM\0_BMat\08_PYM\Inventario\excel\Imagen de refacciones\Putzmeister\Hexagonal Nut _ Tuerca hexagonal")</f>
        <v>\\MCA-S\mk\2_BM\0_BMat\08_PYM\Inventario\excel\Imagen de refacciones\Putzmeister\Hexagonal Nut _ Tuerca hexagonal</v>
      </c>
      <c r="E509" s="74"/>
      <c r="F509" s="74" t="str">
        <f>IFERROR(__xludf.DUMMYFUNCTION("""COMPUTED_VALUE"""),"Hexagonal Nut / Tuerca hexagonal")</f>
        <v>Hexagonal Nut / Tuerca hexagonal</v>
      </c>
      <c r="G509" s="74"/>
      <c r="H509" s="74"/>
      <c r="I509" s="74" t="str">
        <f>IFERROR(__xludf.DUMMYFUNCTION("""COMPUTED_VALUE"""),"SOM20011")</f>
        <v>SOM20011</v>
      </c>
      <c r="J509" s="74" t="str">
        <f>IFERROR(__xludf.DUMMYFUNCTION("""COMPUTED_VALUE"""),"33718000")</f>
        <v>33718000</v>
      </c>
      <c r="K509" s="74" t="str">
        <f>IFERROR(__xludf.DUMMYFUNCTION("""COMPUTED_VALUE"""),"Putzmeister")</f>
        <v>Putzmeister</v>
      </c>
      <c r="L509" s="74" t="str">
        <f>IFERROR(__xludf.DUMMYFUNCTION("""COMPUTED_VALUE"""),"Componentes estructurales y de montaje")</f>
        <v>Componentes estructurales y de montaje</v>
      </c>
      <c r="M509" s="74" t="str">
        <f>IFERROR(__xludf.DUMMYFUNCTION("""COMPUTED_VALUE"""),"Sin Asignar")</f>
        <v>Sin Asignar</v>
      </c>
      <c r="N509" s="87">
        <f>IFERROR(__xludf.DUMMYFUNCTION("""COMPUTED_VALUE"""),0.0)</f>
        <v>0</v>
      </c>
      <c r="O509" s="74"/>
      <c r="P509" s="74" t="str">
        <f>IFERROR(__xludf.DUMMYFUNCTION("""COMPUTED_VALUE"""),"No Available")</f>
        <v>No Available</v>
      </c>
      <c r="Q509" s="74"/>
      <c r="R509" s="74"/>
      <c r="S509" s="87">
        <f>IFERROR(__xludf.DUMMYFUNCTION("""COMPUTED_VALUE"""),0.0)</f>
        <v>0</v>
      </c>
      <c r="T509" s="87">
        <f>IFERROR(__xludf.DUMMYFUNCTION("""COMPUTED_VALUE"""),0.0)</f>
        <v>0</v>
      </c>
      <c r="U509" s="87">
        <f>IFERROR(__xludf.DUMMYFUNCTION("""COMPUTED_VALUE"""),0.0)</f>
        <v>0</v>
      </c>
      <c r="V509" s="87">
        <f>IFERROR(__xludf.DUMMYFUNCTION("""COMPUTED_VALUE"""),0.0)</f>
        <v>0</v>
      </c>
      <c r="W509" s="87">
        <f>IFERROR(__xludf.DUMMYFUNCTION("""COMPUTED_VALUE"""),0.0)</f>
        <v>0</v>
      </c>
      <c r="X509" s="88"/>
      <c r="Y509" s="74"/>
      <c r="Z509" s="74"/>
    </row>
    <row r="510">
      <c r="B510" s="74" t="str">
        <f>IFERROR(__xludf.DUMMYFUNCTION("""COMPUTED_VALUE"""),"1507")</f>
        <v>1507</v>
      </c>
      <c r="C510" s="74"/>
      <c r="D510" s="74" t="str">
        <f>IFERROR(__xludf.DUMMYFUNCTION("""COMPUTED_VALUE"""),"\\MCA-S\mk\2_BM\0_BMat\08_PYM\Inventario\excel\Imagen de refacciones\Putzmeister\Complete upper housing q80 _ Carcasa superior completa Q80  Descripción de uso_")</f>
        <v>\\MCA-S\mk\2_BM\0_BMat\08_PYM\Inventario\excel\Imagen de refacciones\Putzmeister\Complete upper housing q80 _ Carcasa superior completa Q80  Descripción de uso_</v>
      </c>
      <c r="E510" s="74"/>
      <c r="F510" s="74" t="str">
        <f>IFERROR(__xludf.DUMMYFUNCTION("""COMPUTED_VALUE"""),"Complete upper housing q80 / Carcasa superior completa Q80")</f>
        <v>Complete upper housing q80 / Carcasa superior completa Q80</v>
      </c>
      <c r="G510" s="74"/>
      <c r="H510" s="74"/>
      <c r="I510" s="74" t="str">
        <f>IFERROR(__xludf.DUMMYFUNCTION("""COMPUTED_VALUE"""),"SOM20012")</f>
        <v>SOM20012</v>
      </c>
      <c r="J510" s="74" t="str">
        <f>IFERROR(__xludf.DUMMYFUNCTION("""COMPUTED_VALUE"""),"401783 / 27864009")</f>
        <v>401783 / 27864009</v>
      </c>
      <c r="K510" s="74" t="str">
        <f>IFERROR(__xludf.DUMMYFUNCTION("""COMPUTED_VALUE"""),"Putzmeister")</f>
        <v>Putzmeister</v>
      </c>
      <c r="L510" s="74" t="str">
        <f>IFERROR(__xludf.DUMMYFUNCTION("""COMPUTED_VALUE"""),"Componentes estructurales y de montaje")</f>
        <v>Componentes estructurales y de montaje</v>
      </c>
      <c r="M510" s="74" t="str">
        <f>IFERROR(__xludf.DUMMYFUNCTION("""COMPUTED_VALUE"""),"Sin Asignar")</f>
        <v>Sin Asignar</v>
      </c>
      <c r="N510" s="87">
        <f>IFERROR(__xludf.DUMMYFUNCTION("""COMPUTED_VALUE"""),0.0)</f>
        <v>0</v>
      </c>
      <c r="O510" s="74"/>
      <c r="P510" s="74" t="str">
        <f>IFERROR(__xludf.DUMMYFUNCTION("""COMPUTED_VALUE"""),"borrar")</f>
        <v>borrar</v>
      </c>
      <c r="Q510" s="74"/>
      <c r="R510" s="74"/>
      <c r="S510" s="87">
        <f>IFERROR(__xludf.DUMMYFUNCTION("""COMPUTED_VALUE"""),0.0)</f>
        <v>0</v>
      </c>
      <c r="T510" s="87">
        <f>IFERROR(__xludf.DUMMYFUNCTION("""COMPUTED_VALUE"""),0.0)</f>
        <v>0</v>
      </c>
      <c r="U510" s="87">
        <f>IFERROR(__xludf.DUMMYFUNCTION("""COMPUTED_VALUE"""),0.0)</f>
        <v>0</v>
      </c>
      <c r="V510" s="87">
        <f>IFERROR(__xludf.DUMMYFUNCTION("""COMPUTED_VALUE"""),0.0)</f>
        <v>0</v>
      </c>
      <c r="W510" s="87">
        <f>IFERROR(__xludf.DUMMYFUNCTION("""COMPUTED_VALUE"""),0.0)</f>
        <v>0</v>
      </c>
      <c r="X510" s="88"/>
      <c r="Y510" s="74"/>
      <c r="Z510" s="74"/>
    </row>
    <row r="511">
      <c r="B511" s="74" t="str">
        <f>IFERROR(__xludf.DUMMYFUNCTION("""COMPUTED_VALUE"""),"1508")</f>
        <v>1508</v>
      </c>
      <c r="C511" s="74"/>
      <c r="D511" s="74" t="str">
        <f>IFERROR(__xludf.DUMMYFUNCTION("""COMPUTED_VALUE"""),"\\MCA-S\mk\2_BM\0_BMat\08_PYM\Inventario\excel\Imagen de refacciones\Putzmeister\Collar disc _ Disco de collar")</f>
        <v>\\MCA-S\mk\2_BM\0_BMat\08_PYM\Inventario\excel\Imagen de refacciones\Putzmeister\Collar disc _ Disco de collar</v>
      </c>
      <c r="E511" s="74"/>
      <c r="F511" s="74" t="str">
        <f>IFERROR(__xludf.DUMMYFUNCTION("""COMPUTED_VALUE"""),"Collar disc / Disco de collar")</f>
        <v>Collar disc / Disco de collar</v>
      </c>
      <c r="G511" s="74"/>
      <c r="H511" s="74"/>
      <c r="I511" s="74" t="str">
        <f>IFERROR(__xludf.DUMMYFUNCTION("""COMPUTED_VALUE"""),"SOM20013")</f>
        <v>SOM20013</v>
      </c>
      <c r="J511" s="74" t="str">
        <f>IFERROR(__xludf.DUMMYFUNCTION("""COMPUTED_VALUE"""),"66586005")</f>
        <v>66586005</v>
      </c>
      <c r="K511" s="74" t="str">
        <f>IFERROR(__xludf.DUMMYFUNCTION("""COMPUTED_VALUE"""),"Putzmeister")</f>
        <v>Putzmeister</v>
      </c>
      <c r="L511" s="74" t="str">
        <f>IFERROR(__xludf.DUMMYFUNCTION("""COMPUTED_VALUE"""),"Componentes estructurales y de montaje")</f>
        <v>Componentes estructurales y de montaje</v>
      </c>
      <c r="M511" s="74" t="str">
        <f>IFERROR(__xludf.DUMMYFUNCTION("""COMPUTED_VALUE"""),"Sin Asignar")</f>
        <v>Sin Asignar</v>
      </c>
      <c r="N511" s="87">
        <f>IFERROR(__xludf.DUMMYFUNCTION("""COMPUTED_VALUE"""),0.0)</f>
        <v>0</v>
      </c>
      <c r="O511" s="74"/>
      <c r="P511" s="74" t="str">
        <f>IFERROR(__xludf.DUMMYFUNCTION("""COMPUTED_VALUE"""),"No Available")</f>
        <v>No Available</v>
      </c>
      <c r="Q511" s="74"/>
      <c r="R511" s="74"/>
      <c r="S511" s="87">
        <f>IFERROR(__xludf.DUMMYFUNCTION("""COMPUTED_VALUE"""),0.0)</f>
        <v>0</v>
      </c>
      <c r="T511" s="87">
        <f>IFERROR(__xludf.DUMMYFUNCTION("""COMPUTED_VALUE"""),0.0)</f>
        <v>0</v>
      </c>
      <c r="U511" s="87">
        <f>IFERROR(__xludf.DUMMYFUNCTION("""COMPUTED_VALUE"""),0.0)</f>
        <v>0</v>
      </c>
      <c r="V511" s="87">
        <f>IFERROR(__xludf.DUMMYFUNCTION("""COMPUTED_VALUE"""),0.0)</f>
        <v>0</v>
      </c>
      <c r="W511" s="87">
        <f>IFERROR(__xludf.DUMMYFUNCTION("""COMPUTED_VALUE"""),0.0)</f>
        <v>0</v>
      </c>
      <c r="X511" s="88"/>
      <c r="Y511" s="74"/>
      <c r="Z511" s="74"/>
    </row>
    <row r="512">
      <c r="B512" s="74" t="str">
        <f>IFERROR(__xludf.DUMMYFUNCTION("""COMPUTED_VALUE"""),"1509")</f>
        <v>1509</v>
      </c>
      <c r="C512" s="74"/>
      <c r="D512" s="74" t="str">
        <f>IFERROR(__xludf.DUMMYFUNCTION("""COMPUTED_VALUE"""),"\\MCA-S\mk\2_BM\0_BMat\08_PYM\Inventario\excel\Imagen de refacciones\Putzmeister\Wear sleeve Q80 _ Camisa de desgaste Q80")</f>
        <v>\\MCA-S\mk\2_BM\0_BMat\08_PYM\Inventario\excel\Imagen de refacciones\Putzmeister\Wear sleeve Q80 _ Camisa de desgaste Q80</v>
      </c>
      <c r="E512" s="74"/>
      <c r="F512" s="74" t="str">
        <f>IFERROR(__xludf.DUMMYFUNCTION("""COMPUTED_VALUE"""),"Wear sleeve Q80 / Camisa de desgaste Q80")</f>
        <v>Wear sleeve Q80 / Camisa de desgaste Q80</v>
      </c>
      <c r="G512" s="74"/>
      <c r="H512" s="74"/>
      <c r="I512" s="74" t="str">
        <f>IFERROR(__xludf.DUMMYFUNCTION("""COMPUTED_VALUE"""),"SOM20014")</f>
        <v>SOM20014</v>
      </c>
      <c r="J512" s="74" t="str">
        <f>IFERROR(__xludf.DUMMYFUNCTION("""COMPUTED_VALUE"""),"27782000")</f>
        <v>27782000</v>
      </c>
      <c r="K512" s="74" t="str">
        <f>IFERROR(__xludf.DUMMYFUNCTION("""COMPUTED_VALUE"""),"Putzmeister")</f>
        <v>Putzmeister</v>
      </c>
      <c r="L512" s="74" t="str">
        <f>IFERROR(__xludf.DUMMYFUNCTION("""COMPUTED_VALUE"""),"Sellos y retenes")</f>
        <v>Sellos y retenes</v>
      </c>
      <c r="M512" s="74" t="str">
        <f>IFERROR(__xludf.DUMMYFUNCTION("""COMPUTED_VALUE"""),"Sin Asignar")</f>
        <v>Sin Asignar</v>
      </c>
      <c r="N512" s="87">
        <f>IFERROR(__xludf.DUMMYFUNCTION("""COMPUTED_VALUE"""),0.0)</f>
        <v>0</v>
      </c>
      <c r="O512" s="74"/>
      <c r="P512" s="74" t="str">
        <f>IFERROR(__xludf.DUMMYFUNCTION("""COMPUTED_VALUE"""),"No Available")</f>
        <v>No Available</v>
      </c>
      <c r="Q512" s="74"/>
      <c r="R512" s="74"/>
      <c r="S512" s="87">
        <f>IFERROR(__xludf.DUMMYFUNCTION("""COMPUTED_VALUE"""),0.0)</f>
        <v>0</v>
      </c>
      <c r="T512" s="87">
        <f>IFERROR(__xludf.DUMMYFUNCTION("""COMPUTED_VALUE"""),0.0)</f>
        <v>0</v>
      </c>
      <c r="U512" s="87">
        <f>IFERROR(__xludf.DUMMYFUNCTION("""COMPUTED_VALUE"""),0.0)</f>
        <v>0</v>
      </c>
      <c r="V512" s="87">
        <f>IFERROR(__xludf.DUMMYFUNCTION("""COMPUTED_VALUE"""),0.0)</f>
        <v>0</v>
      </c>
      <c r="W512" s="87">
        <f>IFERROR(__xludf.DUMMYFUNCTION("""COMPUTED_VALUE"""),0.0)</f>
        <v>0</v>
      </c>
      <c r="X512" s="88"/>
      <c r="Y512" s="74"/>
      <c r="Z512" s="74"/>
    </row>
    <row r="513">
      <c r="B513" s="74" t="str">
        <f>IFERROR(__xludf.DUMMYFUNCTION("""COMPUTED_VALUE"""),"1510")</f>
        <v>1510</v>
      </c>
      <c r="C513" s="74"/>
      <c r="D513" s="74" t="str">
        <f>IFERROR(__xludf.DUMMYFUNCTION("""COMPUTED_VALUE"""),"\\MCA-S\mk\2_BM\0_BMat\08_PYM\Inventario\excel\Imagen de refacciones\Putzmeister\Support Flange Q80 _ Brida de soporte Q80")</f>
        <v>\\MCA-S\mk\2_BM\0_BMat\08_PYM\Inventario\excel\Imagen de refacciones\Putzmeister\Support Flange Q80 _ Brida de soporte Q80</v>
      </c>
      <c r="E513" s="74"/>
      <c r="F513" s="74" t="str">
        <f>IFERROR(__xludf.DUMMYFUNCTION("""COMPUTED_VALUE"""),"Support Flange Q80 / Brida de soporte Q80")</f>
        <v>Support Flange Q80 / Brida de soporte Q80</v>
      </c>
      <c r="G513" s="74"/>
      <c r="H513" s="74"/>
      <c r="I513" s="74" t="str">
        <f>IFERROR(__xludf.DUMMYFUNCTION("""COMPUTED_VALUE"""),"SOM200015")</f>
        <v>SOM200015</v>
      </c>
      <c r="J513" s="74" t="str">
        <f>IFERROR(__xludf.DUMMYFUNCTION("""COMPUTED_VALUE"""),"27783009")</f>
        <v>27783009</v>
      </c>
      <c r="K513" s="74" t="str">
        <f>IFERROR(__xludf.DUMMYFUNCTION("""COMPUTED_VALUE"""),"Putzmeister")</f>
        <v>Putzmeister</v>
      </c>
      <c r="L513" s="74" t="str">
        <f>IFERROR(__xludf.DUMMYFUNCTION("""COMPUTED_VALUE"""),"Componentes estructurales y de montaje")</f>
        <v>Componentes estructurales y de montaje</v>
      </c>
      <c r="M513" s="74" t="str">
        <f>IFERROR(__xludf.DUMMYFUNCTION("""COMPUTED_VALUE"""),"Sin Asignar")</f>
        <v>Sin Asignar</v>
      </c>
      <c r="N513" s="87">
        <f>IFERROR(__xludf.DUMMYFUNCTION("""COMPUTED_VALUE"""),0.0)</f>
        <v>0</v>
      </c>
      <c r="O513" s="74"/>
      <c r="P513" s="74" t="str">
        <f>IFERROR(__xludf.DUMMYFUNCTION("""COMPUTED_VALUE"""),"No Available")</f>
        <v>No Available</v>
      </c>
      <c r="Q513" s="74"/>
      <c r="R513" s="74"/>
      <c r="S513" s="87">
        <f>IFERROR(__xludf.DUMMYFUNCTION("""COMPUTED_VALUE"""),0.0)</f>
        <v>0</v>
      </c>
      <c r="T513" s="87">
        <f>IFERROR(__xludf.DUMMYFUNCTION("""COMPUTED_VALUE"""),0.0)</f>
        <v>0</v>
      </c>
      <c r="U513" s="87">
        <f>IFERROR(__xludf.DUMMYFUNCTION("""COMPUTED_VALUE"""),0.0)</f>
        <v>0</v>
      </c>
      <c r="V513" s="87">
        <f>IFERROR(__xludf.DUMMYFUNCTION("""COMPUTED_VALUE"""),0.0)</f>
        <v>0</v>
      </c>
      <c r="W513" s="87">
        <f>IFERROR(__xludf.DUMMYFUNCTION("""COMPUTED_VALUE"""),0.0)</f>
        <v>0</v>
      </c>
      <c r="X513" s="88"/>
      <c r="Y513" s="74"/>
      <c r="Z513" s="74"/>
    </row>
    <row r="514">
      <c r="B514" s="74" t="str">
        <f>IFERROR(__xludf.DUMMYFUNCTION("""COMPUTED_VALUE"""),"1511")</f>
        <v>1511</v>
      </c>
      <c r="C514" s="74"/>
      <c r="D514" s="74" t="str">
        <f>IFERROR(__xludf.DUMMYFUNCTION("""COMPUTED_VALUE"""),"\\MCA-S\mk\2_BM\0_BMat\08_PYM\Inventario\excel\Imagen de refacciones\Putzmeister\Lip seal ring _ Anillo de sello de labio")</f>
        <v>\\MCA-S\mk\2_BM\0_BMat\08_PYM\Inventario\excel\Imagen de refacciones\Putzmeister\Lip seal ring _ Anillo de sello de labio</v>
      </c>
      <c r="E514" s="74"/>
      <c r="F514" s="74" t="str">
        <f>IFERROR(__xludf.DUMMYFUNCTION("""COMPUTED_VALUE"""),"Lip seal ring / Anillo de sello de labio")</f>
        <v>Lip seal ring / Anillo de sello de labio</v>
      </c>
      <c r="G514" s="74"/>
      <c r="H514" s="74"/>
      <c r="I514" s="74" t="str">
        <f>IFERROR(__xludf.DUMMYFUNCTION("""COMPUTED_VALUE"""),"som20016")</f>
        <v>som20016</v>
      </c>
      <c r="J514" s="74" t="str">
        <f>IFERROR(__xludf.DUMMYFUNCTION("""COMPUTED_VALUE"""),"42174004")</f>
        <v>42174004</v>
      </c>
      <c r="K514" s="74" t="str">
        <f>IFERROR(__xludf.DUMMYFUNCTION("""COMPUTED_VALUE"""),"Putzmeister")</f>
        <v>Putzmeister</v>
      </c>
      <c r="L514" s="74" t="str">
        <f>IFERROR(__xludf.DUMMYFUNCTION("""COMPUTED_VALUE"""),"Sellos y retenes")</f>
        <v>Sellos y retenes</v>
      </c>
      <c r="M514" s="74" t="str">
        <f>IFERROR(__xludf.DUMMYFUNCTION("""COMPUTED_VALUE"""),"Sin Asignar")</f>
        <v>Sin Asignar</v>
      </c>
      <c r="N514" s="87">
        <f>IFERROR(__xludf.DUMMYFUNCTION("""COMPUTED_VALUE"""),0.0)</f>
        <v>0</v>
      </c>
      <c r="O514" s="74"/>
      <c r="P514" s="74" t="str">
        <f>IFERROR(__xludf.DUMMYFUNCTION("""COMPUTED_VALUE"""),"No Available")</f>
        <v>No Available</v>
      </c>
      <c r="Q514" s="74"/>
      <c r="R514" s="74"/>
      <c r="S514" s="87">
        <f>IFERROR(__xludf.DUMMYFUNCTION("""COMPUTED_VALUE"""),0.0)</f>
        <v>0</v>
      </c>
      <c r="T514" s="87">
        <f>IFERROR(__xludf.DUMMYFUNCTION("""COMPUTED_VALUE"""),0.0)</f>
        <v>0</v>
      </c>
      <c r="U514" s="87">
        <f>IFERROR(__xludf.DUMMYFUNCTION("""COMPUTED_VALUE"""),0.0)</f>
        <v>0</v>
      </c>
      <c r="V514" s="87">
        <f>IFERROR(__xludf.DUMMYFUNCTION("""COMPUTED_VALUE"""),0.0)</f>
        <v>0</v>
      </c>
      <c r="W514" s="87">
        <f>IFERROR(__xludf.DUMMYFUNCTION("""COMPUTED_VALUE"""),0.0)</f>
        <v>0</v>
      </c>
      <c r="X514" s="88"/>
      <c r="Y514" s="74"/>
      <c r="Z514" s="74"/>
    </row>
    <row r="515">
      <c r="B515" s="74" t="str">
        <f>IFERROR(__xludf.DUMMYFUNCTION("""COMPUTED_VALUE"""),"1512")</f>
        <v>1512</v>
      </c>
      <c r="C515" s="74"/>
      <c r="D515" s="74" t="str">
        <f>IFERROR(__xludf.DUMMYFUNCTION("""COMPUTED_VALUE"""),"\\MCA-S\mk\2_BM\0_BMat\08_PYM\Inventario\excel\Imagen de refacciones\Putzmeister\Bush _ Buje")</f>
        <v>\\MCA-S\mk\2_BM\0_BMat\08_PYM\Inventario\excel\Imagen de refacciones\Putzmeister\Bush _ Buje</v>
      </c>
      <c r="E515" s="74"/>
      <c r="F515" s="74" t="str">
        <f>IFERROR(__xludf.DUMMYFUNCTION("""COMPUTED_VALUE"""),"Bush / Buje")</f>
        <v>Bush / Buje</v>
      </c>
      <c r="G515" s="74"/>
      <c r="H515" s="74"/>
      <c r="I515" s="74" t="str">
        <f>IFERROR(__xludf.DUMMYFUNCTION("""COMPUTED_VALUE"""),"SOM20017")</f>
        <v>SOM20017</v>
      </c>
      <c r="J515" s="74" t="str">
        <f>IFERROR(__xludf.DUMMYFUNCTION("""COMPUTED_VALUE"""),"28550008")</f>
        <v>28550008</v>
      </c>
      <c r="K515" s="74" t="str">
        <f>IFERROR(__xludf.DUMMYFUNCTION("""COMPUTED_VALUE"""),"Putzmeister")</f>
        <v>Putzmeister</v>
      </c>
      <c r="L515" s="74" t="str">
        <f>IFERROR(__xludf.DUMMYFUNCTION("""COMPUTED_VALUE"""),"Componentes estructurales y de montaje")</f>
        <v>Componentes estructurales y de montaje</v>
      </c>
      <c r="M515" s="74" t="str">
        <f>IFERROR(__xludf.DUMMYFUNCTION("""COMPUTED_VALUE"""),"Sin Asignar")</f>
        <v>Sin Asignar</v>
      </c>
      <c r="N515" s="87">
        <f>IFERROR(__xludf.DUMMYFUNCTION("""COMPUTED_VALUE"""),0.0)</f>
        <v>0</v>
      </c>
      <c r="O515" s="74"/>
      <c r="P515" s="74" t="str">
        <f>IFERROR(__xludf.DUMMYFUNCTION("""COMPUTED_VALUE"""),"borrar")</f>
        <v>borrar</v>
      </c>
      <c r="Q515" s="74"/>
      <c r="R515" s="74"/>
      <c r="S515" s="87">
        <f>IFERROR(__xludf.DUMMYFUNCTION("""COMPUTED_VALUE"""),0.0)</f>
        <v>0</v>
      </c>
      <c r="T515" s="87">
        <f>IFERROR(__xludf.DUMMYFUNCTION("""COMPUTED_VALUE"""),0.0)</f>
        <v>0</v>
      </c>
      <c r="U515" s="87">
        <f>IFERROR(__xludf.DUMMYFUNCTION("""COMPUTED_VALUE"""),0.0)</f>
        <v>0</v>
      </c>
      <c r="V515" s="87">
        <f>IFERROR(__xludf.DUMMYFUNCTION("""COMPUTED_VALUE"""),0.0)</f>
        <v>0</v>
      </c>
      <c r="W515" s="87">
        <f>IFERROR(__xludf.DUMMYFUNCTION("""COMPUTED_VALUE"""),0.0)</f>
        <v>0</v>
      </c>
      <c r="X515" s="88"/>
      <c r="Y515" s="74"/>
      <c r="Z515" s="74"/>
    </row>
    <row r="516">
      <c r="B516" s="74" t="str">
        <f>IFERROR(__xludf.DUMMYFUNCTION("""COMPUTED_VALUE"""),"1513")</f>
        <v>1513</v>
      </c>
      <c r="C516" s="74"/>
      <c r="D516" s="74" t="str">
        <f>IFERROR(__xludf.DUMMYFUNCTION("""COMPUTED_VALUE"""),"\\MCA-S\mk\2_BM\0_BMat\08_PYM\Inventario\excel\Imagen de refacciones\Putzmeister\Seal set for upper housing Q80 _ Juego de sellos para carcasa superior Q80")</f>
        <v>\\MCA-S\mk\2_BM\0_BMat\08_PYM\Inventario\excel\Imagen de refacciones\Putzmeister\Seal set for upper housing Q80 _ Juego de sellos para carcasa superior Q80</v>
      </c>
      <c r="E516" s="74"/>
      <c r="F516" s="74" t="str">
        <f>IFERROR(__xludf.DUMMYFUNCTION("""COMPUTED_VALUE"""),"KIT DE SELLOS PARA GUÍAS DE ALOJAMIENTO 80 MM PARA BOMBA DE HORMIGON")</f>
        <v>KIT DE SELLOS PARA GUÍAS DE ALOJAMIENTO 80 MM PARA BOMBA DE HORMIGON</v>
      </c>
      <c r="G516" s="74"/>
      <c r="H516" s="74"/>
      <c r="I516" s="74" t="str">
        <f>IFERROR(__xludf.DUMMYFUNCTION("""COMPUTED_VALUE"""),"SOM20018")</f>
        <v>SOM20018</v>
      </c>
      <c r="J516" s="74" t="str">
        <f>IFERROR(__xludf.DUMMYFUNCTION("""COMPUTED_VALUE"""),"401783KIT")</f>
        <v>401783KIT</v>
      </c>
      <c r="K516" s="74" t="str">
        <f>IFERROR(__xludf.DUMMYFUNCTION("""COMPUTED_VALUE"""),"Putzmeister")</f>
        <v>Putzmeister</v>
      </c>
      <c r="L516" s="74" t="str">
        <f>IFERROR(__xludf.DUMMYFUNCTION("""COMPUTED_VALUE"""),"Sellos y retenes")</f>
        <v>Sellos y retenes</v>
      </c>
      <c r="M516" s="74" t="str">
        <f>IFERROR(__xludf.DUMMYFUNCTION("""COMPUTED_VALUE"""),"Sin Asignar")</f>
        <v>Sin Asignar</v>
      </c>
      <c r="N516" s="87">
        <f>IFERROR(__xludf.DUMMYFUNCTION("""COMPUTED_VALUE"""),0.0)</f>
        <v>0</v>
      </c>
      <c r="O516" s="74"/>
      <c r="P516" s="74" t="str">
        <f>IFERROR(__xludf.DUMMYFUNCTION("""COMPUTED_VALUE"""),"borrar")</f>
        <v>borrar</v>
      </c>
      <c r="Q516" s="74"/>
      <c r="R516" s="74"/>
      <c r="S516" s="87">
        <f>IFERROR(__xludf.DUMMYFUNCTION("""COMPUTED_VALUE"""),0.0)</f>
        <v>0</v>
      </c>
      <c r="T516" s="87">
        <f>IFERROR(__xludf.DUMMYFUNCTION("""COMPUTED_VALUE"""),0.0)</f>
        <v>0</v>
      </c>
      <c r="U516" s="87">
        <f>IFERROR(__xludf.DUMMYFUNCTION("""COMPUTED_VALUE"""),0.0)</f>
        <v>0</v>
      </c>
      <c r="V516" s="87">
        <f>IFERROR(__xludf.DUMMYFUNCTION("""COMPUTED_VALUE"""),0.0)</f>
        <v>0</v>
      </c>
      <c r="W516" s="87">
        <f>IFERROR(__xludf.DUMMYFUNCTION("""COMPUTED_VALUE"""),0.0)</f>
        <v>0</v>
      </c>
      <c r="X516" s="88"/>
      <c r="Y516" s="74"/>
      <c r="Z516" s="74"/>
    </row>
    <row r="517">
      <c r="B517" s="74" t="str">
        <f>IFERROR(__xludf.DUMMYFUNCTION("""COMPUTED_VALUE"""),"1514")</f>
        <v>1514</v>
      </c>
      <c r="C517" s="74"/>
      <c r="D517" s="74" t="str">
        <f>IFERROR(__xludf.DUMMYFUNCTION("""COMPUTED_VALUE"""),"\\MCA-S\mk\2_BM\0_BMat\08_PYM\Inventario\excel\Imagen de refacciones\Putzmeister\Discharge support _ Soporte de descarga")</f>
        <v>\\MCA-S\mk\2_BM\0_BMat\08_PYM\Inventario\excel\Imagen de refacciones\Putzmeister\Discharge support _ Soporte de descarga</v>
      </c>
      <c r="E517" s="74"/>
      <c r="F517" s="74" t="str">
        <f>IFERROR(__xludf.DUMMYFUNCTION("""COMPUTED_VALUE"""),"Discharge support / Soporte de descarga")</f>
        <v>Discharge support / Soporte de descarga</v>
      </c>
      <c r="G517" s="74"/>
      <c r="H517" s="74"/>
      <c r="I517" s="74" t="str">
        <f>IFERROR(__xludf.DUMMYFUNCTION("""COMPUTED_VALUE"""),"SOM20019")</f>
        <v>SOM20019</v>
      </c>
      <c r="J517" s="74" t="str">
        <f>IFERROR(__xludf.DUMMYFUNCTION("""COMPUTED_VALUE"""),"240390004")</f>
        <v>240390004</v>
      </c>
      <c r="K517" s="74" t="str">
        <f>IFERROR(__xludf.DUMMYFUNCTION("""COMPUTED_VALUE"""),"Putzmeister")</f>
        <v>Putzmeister</v>
      </c>
      <c r="L517" s="74" t="str">
        <f>IFERROR(__xludf.DUMMYFUNCTION("""COMPUTED_VALUE"""),"Componentes estructurales y de montaje")</f>
        <v>Componentes estructurales y de montaje</v>
      </c>
      <c r="M517" s="74" t="str">
        <f>IFERROR(__xludf.DUMMYFUNCTION("""COMPUTED_VALUE"""),"Sin Asignar")</f>
        <v>Sin Asignar</v>
      </c>
      <c r="N517" s="87">
        <f>IFERROR(__xludf.DUMMYFUNCTION("""COMPUTED_VALUE"""),0.0)</f>
        <v>0</v>
      </c>
      <c r="O517" s="74"/>
      <c r="P517" s="74" t="str">
        <f>IFERROR(__xludf.DUMMYFUNCTION("""COMPUTED_VALUE"""),"No Available")</f>
        <v>No Available</v>
      </c>
      <c r="Q517" s="74"/>
      <c r="R517" s="74"/>
      <c r="S517" s="87">
        <f>IFERROR(__xludf.DUMMYFUNCTION("""COMPUTED_VALUE"""),0.0)</f>
        <v>0</v>
      </c>
      <c r="T517" s="87">
        <f>IFERROR(__xludf.DUMMYFUNCTION("""COMPUTED_VALUE"""),0.0)</f>
        <v>0</v>
      </c>
      <c r="U517" s="87">
        <f>IFERROR(__xludf.DUMMYFUNCTION("""COMPUTED_VALUE"""),0.0)</f>
        <v>0</v>
      </c>
      <c r="V517" s="87">
        <f>IFERROR(__xludf.DUMMYFUNCTION("""COMPUTED_VALUE"""),0.0)</f>
        <v>0</v>
      </c>
      <c r="W517" s="87">
        <f>IFERROR(__xludf.DUMMYFUNCTION("""COMPUTED_VALUE"""),0.0)</f>
        <v>0</v>
      </c>
      <c r="X517" s="88"/>
      <c r="Y517" s="74"/>
      <c r="Z517" s="74"/>
    </row>
    <row r="518">
      <c r="B518" s="74" t="str">
        <f>IFERROR(__xludf.DUMMYFUNCTION("""COMPUTED_VALUE"""),"1515")</f>
        <v>1515</v>
      </c>
      <c r="C518" s="74"/>
      <c r="D518" s="74" t="str">
        <f>IFERROR(__xludf.DUMMYFUNCTION("""COMPUTED_VALUE"""),"\\MCA-S\mk\2_BM\0_BMat\08_PYM\Inventario\excel\Imagen de refacciones\Putzmeister\Outher housing _ Carcasa exterior")</f>
        <v>\\MCA-S\mk\2_BM\0_BMat\08_PYM\Inventario\excel\Imagen de refacciones\Putzmeister\Outher housing _ Carcasa exterior</v>
      </c>
      <c r="E518" s="74"/>
      <c r="F518" s="74" t="str">
        <f>IFERROR(__xludf.DUMMYFUNCTION("""COMPUTED_VALUE"""),"Outher housing / Carcasa exterior")</f>
        <v>Outher housing / Carcasa exterior</v>
      </c>
      <c r="G518" s="74"/>
      <c r="H518" s="74"/>
      <c r="I518" s="74" t="str">
        <f>IFERROR(__xludf.DUMMYFUNCTION("""COMPUTED_VALUE"""),"SOM20020")</f>
        <v>SOM20020</v>
      </c>
      <c r="J518" s="74" t="str">
        <f>IFERROR(__xludf.DUMMYFUNCTION("""COMPUTED_VALUE"""),"240391003")</f>
        <v>240391003</v>
      </c>
      <c r="K518" s="74" t="str">
        <f>IFERROR(__xludf.DUMMYFUNCTION("""COMPUTED_VALUE"""),"Putzmeister")</f>
        <v>Putzmeister</v>
      </c>
      <c r="L518" s="74" t="str">
        <f>IFERROR(__xludf.DUMMYFUNCTION("""COMPUTED_VALUE"""),"Componentes estructurales y de montaje")</f>
        <v>Componentes estructurales y de montaje</v>
      </c>
      <c r="M518" s="74" t="str">
        <f>IFERROR(__xludf.DUMMYFUNCTION("""COMPUTED_VALUE"""),"Sin Asignar")</f>
        <v>Sin Asignar</v>
      </c>
      <c r="N518" s="87">
        <f>IFERROR(__xludf.DUMMYFUNCTION("""COMPUTED_VALUE"""),0.0)</f>
        <v>0</v>
      </c>
      <c r="O518" s="74"/>
      <c r="P518" s="74" t="str">
        <f>IFERROR(__xludf.DUMMYFUNCTION("""COMPUTED_VALUE"""),"borrar")</f>
        <v>borrar</v>
      </c>
      <c r="Q518" s="74"/>
      <c r="R518" s="74"/>
      <c r="S518" s="87">
        <f>IFERROR(__xludf.DUMMYFUNCTION("""COMPUTED_VALUE"""),0.0)</f>
        <v>0</v>
      </c>
      <c r="T518" s="87">
        <f>IFERROR(__xludf.DUMMYFUNCTION("""COMPUTED_VALUE"""),0.0)</f>
        <v>0</v>
      </c>
      <c r="U518" s="87">
        <f>IFERROR(__xludf.DUMMYFUNCTION("""COMPUTED_VALUE"""),0.0)</f>
        <v>0</v>
      </c>
      <c r="V518" s="87">
        <f>IFERROR(__xludf.DUMMYFUNCTION("""COMPUTED_VALUE"""),0.0)</f>
        <v>0</v>
      </c>
      <c r="W518" s="87">
        <f>IFERROR(__xludf.DUMMYFUNCTION("""COMPUTED_VALUE"""),0.0)</f>
        <v>0</v>
      </c>
      <c r="X518" s="88"/>
      <c r="Y518" s="74"/>
      <c r="Z518" s="74"/>
    </row>
    <row r="519">
      <c r="B519" s="74" t="str">
        <f>IFERROR(__xludf.DUMMYFUNCTION("""COMPUTED_VALUE"""),"1516")</f>
        <v>1516</v>
      </c>
      <c r="C519" s="74"/>
      <c r="D519" s="74" t="str">
        <f>IFERROR(__xludf.DUMMYFUNCTION("""COMPUTED_VALUE"""),"\\MCA-S\mk\2_BM\0_BMat\08_PYM\Inventario\excel\Imagen de refacciones\Putzmeister\Plain compressión ring _ Anillo de compresión liso")</f>
        <v>\\MCA-S\mk\2_BM\0_BMat\08_PYM\Inventario\excel\Imagen de refacciones\Putzmeister\Plain compressión ring _ Anillo de compresión liso</v>
      </c>
      <c r="E519" s="74"/>
      <c r="F519" s="74" t="str">
        <f>IFERROR(__xludf.DUMMYFUNCTION("""COMPUTED_VALUE"""),"Plain compressión ring / Anillo de compresión liso")</f>
        <v>Plain compressión ring / Anillo de compresión liso</v>
      </c>
      <c r="G519" s="74"/>
      <c r="H519" s="74"/>
      <c r="I519" s="74" t="str">
        <f>IFERROR(__xludf.DUMMYFUNCTION("""COMPUTED_VALUE"""),"SOM20021")</f>
        <v>SOM20021</v>
      </c>
      <c r="J519" s="74" t="str">
        <f>IFERROR(__xludf.DUMMYFUNCTION("""COMPUTED_VALUE"""),"240421009")</f>
        <v>240421009</v>
      </c>
      <c r="K519" s="74" t="str">
        <f>IFERROR(__xludf.DUMMYFUNCTION("""COMPUTED_VALUE"""),"Putzmeister")</f>
        <v>Putzmeister</v>
      </c>
      <c r="L519" s="74" t="str">
        <f>IFERROR(__xludf.DUMMYFUNCTION("""COMPUTED_VALUE"""),"Sellos y retenes")</f>
        <v>Sellos y retenes</v>
      </c>
      <c r="M519" s="74" t="str">
        <f>IFERROR(__xludf.DUMMYFUNCTION("""COMPUTED_VALUE"""),"Sin Asignar")</f>
        <v>Sin Asignar</v>
      </c>
      <c r="N519" s="87">
        <f>IFERROR(__xludf.DUMMYFUNCTION("""COMPUTED_VALUE"""),0.0)</f>
        <v>0</v>
      </c>
      <c r="O519" s="74"/>
      <c r="P519" s="74" t="str">
        <f>IFERROR(__xludf.DUMMYFUNCTION("""COMPUTED_VALUE"""),"No Available")</f>
        <v>No Available</v>
      </c>
      <c r="Q519" s="74"/>
      <c r="R519" s="74"/>
      <c r="S519" s="87">
        <f>IFERROR(__xludf.DUMMYFUNCTION("""COMPUTED_VALUE"""),0.0)</f>
        <v>0</v>
      </c>
      <c r="T519" s="87">
        <f>IFERROR(__xludf.DUMMYFUNCTION("""COMPUTED_VALUE"""),0.0)</f>
        <v>0</v>
      </c>
      <c r="U519" s="87">
        <f>IFERROR(__xludf.DUMMYFUNCTION("""COMPUTED_VALUE"""),0.0)</f>
        <v>0</v>
      </c>
      <c r="V519" s="87">
        <f>IFERROR(__xludf.DUMMYFUNCTION("""COMPUTED_VALUE"""),0.0)</f>
        <v>0</v>
      </c>
      <c r="W519" s="87">
        <f>IFERROR(__xludf.DUMMYFUNCTION("""COMPUTED_VALUE"""),0.0)</f>
        <v>0</v>
      </c>
      <c r="X519" s="88"/>
      <c r="Y519" s="74"/>
      <c r="Z519" s="74"/>
    </row>
    <row r="520">
      <c r="B520" s="74" t="str">
        <f>IFERROR(__xludf.DUMMYFUNCTION("""COMPUTED_VALUE"""),"1517")</f>
        <v>1517</v>
      </c>
      <c r="C520" s="74"/>
      <c r="D520" s="74" t="str">
        <f>IFERROR(__xludf.DUMMYFUNCTION("""COMPUTED_VALUE"""),"\\MCA-S\mk\2_BM\0_BMat\08_PYM\Inventario\excel\Imagen de refacciones\Putzmeister\Lip seal ring _Anillo de sello de labio")</f>
        <v>\\MCA-S\mk\2_BM\0_BMat\08_PYM\Inventario\excel\Imagen de refacciones\Putzmeister\Lip seal ring _Anillo de sello de labio</v>
      </c>
      <c r="E520" s="74"/>
      <c r="F520" s="74" t="str">
        <f>IFERROR(__xludf.DUMMYFUNCTION("""COMPUTED_VALUE"""),"Lip seal ring /Anillo de sello de labio")</f>
        <v>Lip seal ring /Anillo de sello de labio</v>
      </c>
      <c r="G520" s="74"/>
      <c r="H520" s="74"/>
      <c r="I520" s="74" t="str">
        <f>IFERROR(__xludf.DUMMYFUNCTION("""COMPUTED_VALUE"""),"SOM20022")</f>
        <v>SOM20022</v>
      </c>
      <c r="J520" s="74" t="str">
        <f>IFERROR(__xludf.DUMMYFUNCTION("""COMPUTED_VALUE"""),"247565007 / 228577001")</f>
        <v>247565007 / 228577001</v>
      </c>
      <c r="K520" s="74" t="str">
        <f>IFERROR(__xludf.DUMMYFUNCTION("""COMPUTED_VALUE"""),"Putzmeister")</f>
        <v>Putzmeister</v>
      </c>
      <c r="L520" s="74" t="str">
        <f>IFERROR(__xludf.DUMMYFUNCTION("""COMPUTED_VALUE"""),"Sellos y retenes")</f>
        <v>Sellos y retenes</v>
      </c>
      <c r="M520" s="74" t="str">
        <f>IFERROR(__xludf.DUMMYFUNCTION("""COMPUTED_VALUE"""),"Sin Asignar")</f>
        <v>Sin Asignar</v>
      </c>
      <c r="N520" s="87">
        <f>IFERROR(__xludf.DUMMYFUNCTION("""COMPUTED_VALUE"""),0.0)</f>
        <v>0</v>
      </c>
      <c r="O520" s="74"/>
      <c r="P520" s="74" t="str">
        <f>IFERROR(__xludf.DUMMYFUNCTION("""COMPUTED_VALUE"""),"borrar")</f>
        <v>borrar</v>
      </c>
      <c r="Q520" s="74"/>
      <c r="R520" s="74"/>
      <c r="S520" s="87">
        <f>IFERROR(__xludf.DUMMYFUNCTION("""COMPUTED_VALUE"""),0.0)</f>
        <v>0</v>
      </c>
      <c r="T520" s="87">
        <f>IFERROR(__xludf.DUMMYFUNCTION("""COMPUTED_VALUE"""),0.0)</f>
        <v>0</v>
      </c>
      <c r="U520" s="87">
        <f>IFERROR(__xludf.DUMMYFUNCTION("""COMPUTED_VALUE"""),0.0)</f>
        <v>0</v>
      </c>
      <c r="V520" s="87">
        <f>IFERROR(__xludf.DUMMYFUNCTION("""COMPUTED_VALUE"""),0.0)</f>
        <v>0</v>
      </c>
      <c r="W520" s="87">
        <f>IFERROR(__xludf.DUMMYFUNCTION("""COMPUTED_VALUE"""),0.0)</f>
        <v>0</v>
      </c>
      <c r="X520" s="88"/>
      <c r="Y520" s="74"/>
      <c r="Z520" s="74"/>
    </row>
    <row r="521">
      <c r="B521" s="74" t="str">
        <f>IFERROR(__xludf.DUMMYFUNCTION("""COMPUTED_VALUE"""),"1518")</f>
        <v>1518</v>
      </c>
      <c r="C521" s="74"/>
      <c r="D521" s="74" t="str">
        <f>IFERROR(__xludf.DUMMYFUNCTION("""COMPUTED_VALUE"""),"\\MCA-S\mk\2_BM\0_BMat\08_PYM\Inventario\excel\Imagen de refacciones\Putzmeister\G BAND _ Junta tipo G")</f>
        <v>\\MCA-S\mk\2_BM\0_BMat\08_PYM\Inventario\excel\Imagen de refacciones\Putzmeister\G BAND _ Junta tipo G</v>
      </c>
      <c r="E521" s="74"/>
      <c r="F521" s="74" t="str">
        <f>IFERROR(__xludf.DUMMYFUNCTION("""COMPUTED_VALUE"""),"G BAND / Junta tipo G")</f>
        <v>G BAND / Junta tipo G</v>
      </c>
      <c r="G521" s="74"/>
      <c r="H521" s="74"/>
      <c r="I521" s="74" t="str">
        <f>IFERROR(__xludf.DUMMYFUNCTION("""COMPUTED_VALUE"""),"SOM20023")</f>
        <v>SOM20023</v>
      </c>
      <c r="J521" s="74" t="str">
        <f>IFERROR(__xludf.DUMMYFUNCTION("""COMPUTED_VALUE"""),"295355007")</f>
        <v>295355007</v>
      </c>
      <c r="K521" s="74" t="str">
        <f>IFERROR(__xludf.DUMMYFUNCTION("""COMPUTED_VALUE"""),"Putzmeister")</f>
        <v>Putzmeister</v>
      </c>
      <c r="L521" s="74" t="str">
        <f>IFERROR(__xludf.DUMMYFUNCTION("""COMPUTED_VALUE"""),"Sellos y retenes")</f>
        <v>Sellos y retenes</v>
      </c>
      <c r="M521" s="74" t="str">
        <f>IFERROR(__xludf.DUMMYFUNCTION("""COMPUTED_VALUE"""),"Sin Asignar")</f>
        <v>Sin Asignar</v>
      </c>
      <c r="N521" s="87">
        <f>IFERROR(__xludf.DUMMYFUNCTION("""COMPUTED_VALUE"""),0.0)</f>
        <v>0</v>
      </c>
      <c r="O521" s="74"/>
      <c r="P521" s="74" t="str">
        <f>IFERROR(__xludf.DUMMYFUNCTION("""COMPUTED_VALUE"""),"No Available")</f>
        <v>No Available</v>
      </c>
      <c r="Q521" s="74"/>
      <c r="R521" s="74"/>
      <c r="S521" s="87">
        <f>IFERROR(__xludf.DUMMYFUNCTION("""COMPUTED_VALUE"""),0.0)</f>
        <v>0</v>
      </c>
      <c r="T521" s="87">
        <f>IFERROR(__xludf.DUMMYFUNCTION("""COMPUTED_VALUE"""),0.0)</f>
        <v>0</v>
      </c>
      <c r="U521" s="87">
        <f>IFERROR(__xludf.DUMMYFUNCTION("""COMPUTED_VALUE"""),0.0)</f>
        <v>0</v>
      </c>
      <c r="V521" s="87">
        <f>IFERROR(__xludf.DUMMYFUNCTION("""COMPUTED_VALUE"""),0.0)</f>
        <v>0</v>
      </c>
      <c r="W521" s="87">
        <f>IFERROR(__xludf.DUMMYFUNCTION("""COMPUTED_VALUE"""),0.0)</f>
        <v>0</v>
      </c>
      <c r="X521" s="88"/>
      <c r="Y521" s="74"/>
      <c r="Z521" s="74"/>
    </row>
    <row r="522">
      <c r="B522" s="74" t="str">
        <f>IFERROR(__xludf.DUMMYFUNCTION("""COMPUTED_VALUE"""),"1519")</f>
        <v>1519</v>
      </c>
      <c r="C522" s="74"/>
      <c r="D522" s="74" t="str">
        <f>IFERROR(__xludf.DUMMYFUNCTION("""COMPUTED_VALUE"""),"\\MCA-S\mk\2_BM\0_BMat\08_PYM\Inventario\excel\Imagen de refacciones\Putzmeister\O ring _ junta tórica")</f>
        <v>\\MCA-S\mk\2_BM\0_BMat\08_PYM\Inventario\excel\Imagen de refacciones\Putzmeister\O ring _ junta tórica</v>
      </c>
      <c r="E522" s="74"/>
      <c r="F522" s="74" t="str">
        <f>IFERROR(__xludf.DUMMYFUNCTION("""COMPUTED_VALUE"""),"O ring / junta tórica")</f>
        <v>O ring / junta tórica</v>
      </c>
      <c r="G522" s="74"/>
      <c r="H522" s="74"/>
      <c r="I522" s="74" t="str">
        <f>IFERROR(__xludf.DUMMYFUNCTION("""COMPUTED_VALUE"""),"SOM20024")</f>
        <v>SOM20024</v>
      </c>
      <c r="J522" s="74" t="str">
        <f>IFERROR(__xludf.DUMMYFUNCTION("""COMPUTED_VALUE"""),"43520000")</f>
        <v>43520000</v>
      </c>
      <c r="K522" s="74" t="str">
        <f>IFERROR(__xludf.DUMMYFUNCTION("""COMPUTED_VALUE"""),"Putzmeister")</f>
        <v>Putzmeister</v>
      </c>
      <c r="L522" s="74" t="str">
        <f>IFERROR(__xludf.DUMMYFUNCTION("""COMPUTED_VALUE"""),"Sellos y retenes")</f>
        <v>Sellos y retenes</v>
      </c>
      <c r="M522" s="74" t="str">
        <f>IFERROR(__xludf.DUMMYFUNCTION("""COMPUTED_VALUE"""),"Sin Asignar")</f>
        <v>Sin Asignar</v>
      </c>
      <c r="N522" s="87">
        <f>IFERROR(__xludf.DUMMYFUNCTION("""COMPUTED_VALUE"""),0.0)</f>
        <v>0</v>
      </c>
      <c r="O522" s="74"/>
      <c r="P522" s="74" t="str">
        <f>IFERROR(__xludf.DUMMYFUNCTION("""COMPUTED_VALUE"""),"No Available")</f>
        <v>No Available</v>
      </c>
      <c r="Q522" s="74"/>
      <c r="R522" s="74"/>
      <c r="S522" s="87">
        <f>IFERROR(__xludf.DUMMYFUNCTION("""COMPUTED_VALUE"""),0.0)</f>
        <v>0</v>
      </c>
      <c r="T522" s="87">
        <f>IFERROR(__xludf.DUMMYFUNCTION("""COMPUTED_VALUE"""),0.0)</f>
        <v>0</v>
      </c>
      <c r="U522" s="87">
        <f>IFERROR(__xludf.DUMMYFUNCTION("""COMPUTED_VALUE"""),0.0)</f>
        <v>0</v>
      </c>
      <c r="V522" s="87">
        <f>IFERROR(__xludf.DUMMYFUNCTION("""COMPUTED_VALUE"""),0.0)</f>
        <v>0</v>
      </c>
      <c r="W522" s="87">
        <f>IFERROR(__xludf.DUMMYFUNCTION("""COMPUTED_VALUE"""),0.0)</f>
        <v>0</v>
      </c>
      <c r="X522" s="88"/>
      <c r="Y522" s="74"/>
      <c r="Z522" s="74"/>
    </row>
    <row r="523">
      <c r="B523" s="74" t="str">
        <f>IFERROR(__xludf.DUMMYFUNCTION("""COMPUTED_VALUE"""),"1520")</f>
        <v>1520</v>
      </c>
      <c r="C523" s="74"/>
      <c r="D523" s="74" t="str">
        <f>IFERROR(__xludf.DUMMYFUNCTION("""COMPUTED_VALUE"""),"\\MCA-S\mk\2_BM\0_BMat\08_PYM\Inventario\excel\Imagen de refacciones\Putzmeister\SCRAPER RING _ Anillo rascador")</f>
        <v>\\MCA-S\mk\2_BM\0_BMat\08_PYM\Inventario\excel\Imagen de refacciones\Putzmeister\SCRAPER RING _ Anillo rascador</v>
      </c>
      <c r="E523" s="74"/>
      <c r="F523" s="74" t="str">
        <f>IFERROR(__xludf.DUMMYFUNCTION("""COMPUTED_VALUE"""),"SCRAPER RING / Anillo rascador")</f>
        <v>SCRAPER RING / Anillo rascador</v>
      </c>
      <c r="G523" s="74"/>
      <c r="H523" s="74"/>
      <c r="I523" s="74" t="str">
        <f>IFERROR(__xludf.DUMMYFUNCTION("""COMPUTED_VALUE"""),"SOM20025")</f>
        <v>SOM20025</v>
      </c>
      <c r="J523" s="74" t="str">
        <f>IFERROR(__xludf.DUMMYFUNCTION("""COMPUTED_VALUE"""),"238585009 / 437267")</f>
        <v>238585009 / 437267</v>
      </c>
      <c r="K523" s="74" t="str">
        <f>IFERROR(__xludf.DUMMYFUNCTION("""COMPUTED_VALUE"""),"Putzmeister")</f>
        <v>Putzmeister</v>
      </c>
      <c r="L523" s="74" t="str">
        <f>IFERROR(__xludf.DUMMYFUNCTION("""COMPUTED_VALUE"""),"Sellos y retenes")</f>
        <v>Sellos y retenes</v>
      </c>
      <c r="M523" s="74" t="str">
        <f>IFERROR(__xludf.DUMMYFUNCTION("""COMPUTED_VALUE"""),"Sin Asignar")</f>
        <v>Sin Asignar</v>
      </c>
      <c r="N523" s="87">
        <f>IFERROR(__xludf.DUMMYFUNCTION("""COMPUTED_VALUE"""),0.0)</f>
        <v>0</v>
      </c>
      <c r="O523" s="74"/>
      <c r="P523" s="74" t="str">
        <f>IFERROR(__xludf.DUMMYFUNCTION("""COMPUTED_VALUE"""),"No Available")</f>
        <v>No Available</v>
      </c>
      <c r="Q523" s="74"/>
      <c r="R523" s="74"/>
      <c r="S523" s="87">
        <f>IFERROR(__xludf.DUMMYFUNCTION("""COMPUTED_VALUE"""),0.0)</f>
        <v>0</v>
      </c>
      <c r="T523" s="87">
        <f>IFERROR(__xludf.DUMMYFUNCTION("""COMPUTED_VALUE"""),0.0)</f>
        <v>0</v>
      </c>
      <c r="U523" s="87">
        <f>IFERROR(__xludf.DUMMYFUNCTION("""COMPUTED_VALUE"""),0.0)</f>
        <v>0</v>
      </c>
      <c r="V523" s="87">
        <f>IFERROR(__xludf.DUMMYFUNCTION("""COMPUTED_VALUE"""),0.0)</f>
        <v>0</v>
      </c>
      <c r="W523" s="87">
        <f>IFERROR(__xludf.DUMMYFUNCTION("""COMPUTED_VALUE"""),0.0)</f>
        <v>0</v>
      </c>
      <c r="X523" s="88"/>
      <c r="Y523" s="74"/>
      <c r="Z523" s="74"/>
    </row>
    <row r="524">
      <c r="B524" s="74" t="str">
        <f>IFERROR(__xludf.DUMMYFUNCTION("""COMPUTED_VALUE"""),"1521")</f>
        <v>1521</v>
      </c>
      <c r="C524" s="74"/>
      <c r="D524" s="74" t="str">
        <f>IFERROR(__xludf.DUMMYFUNCTION("""COMPUTED_VALUE"""),"\\MCA-S\mk\2_BM\0_BMat\08_PYM\Inventario\excel\Imagen de refacciones\Putzmeister\Back up ring _ Anillo de respaldo")</f>
        <v>\\MCA-S\mk\2_BM\0_BMat\08_PYM\Inventario\excel\Imagen de refacciones\Putzmeister\Back up ring _ Anillo de respaldo</v>
      </c>
      <c r="E524" s="74"/>
      <c r="F524" s="74" t="str">
        <f>IFERROR(__xludf.DUMMYFUNCTION("""COMPUTED_VALUE"""),"Back up ring / Anillo de respaldo")</f>
        <v>Back up ring / Anillo de respaldo</v>
      </c>
      <c r="G524" s="74"/>
      <c r="H524" s="74"/>
      <c r="I524" s="74" t="str">
        <f>IFERROR(__xludf.DUMMYFUNCTION("""COMPUTED_VALUE"""),"SOM20026")</f>
        <v>SOM20026</v>
      </c>
      <c r="J524" s="74" t="str">
        <f>IFERROR(__xludf.DUMMYFUNCTION("""COMPUTED_VALUE"""),"263288009")</f>
        <v>263288009</v>
      </c>
      <c r="K524" s="74" t="str">
        <f>IFERROR(__xludf.DUMMYFUNCTION("""COMPUTED_VALUE"""),"Putzmeister")</f>
        <v>Putzmeister</v>
      </c>
      <c r="L524" s="74" t="str">
        <f>IFERROR(__xludf.DUMMYFUNCTION("""COMPUTED_VALUE"""),"Sellos y retenes")</f>
        <v>Sellos y retenes</v>
      </c>
      <c r="M524" s="74" t="str">
        <f>IFERROR(__xludf.DUMMYFUNCTION("""COMPUTED_VALUE"""),"Sin Asignar")</f>
        <v>Sin Asignar</v>
      </c>
      <c r="N524" s="87">
        <f>IFERROR(__xludf.DUMMYFUNCTION("""COMPUTED_VALUE"""),0.0)</f>
        <v>0</v>
      </c>
      <c r="O524" s="74"/>
      <c r="P524" s="74" t="str">
        <f>IFERROR(__xludf.DUMMYFUNCTION("""COMPUTED_VALUE"""),"No Available")</f>
        <v>No Available</v>
      </c>
      <c r="Q524" s="74"/>
      <c r="R524" s="74"/>
      <c r="S524" s="87">
        <f>IFERROR(__xludf.DUMMYFUNCTION("""COMPUTED_VALUE"""),0.0)</f>
        <v>0</v>
      </c>
      <c r="T524" s="87">
        <f>IFERROR(__xludf.DUMMYFUNCTION("""COMPUTED_VALUE"""),0.0)</f>
        <v>0</v>
      </c>
      <c r="U524" s="87">
        <f>IFERROR(__xludf.DUMMYFUNCTION("""COMPUTED_VALUE"""),0.0)</f>
        <v>0</v>
      </c>
      <c r="V524" s="87">
        <f>IFERROR(__xludf.DUMMYFUNCTION("""COMPUTED_VALUE"""),0.0)</f>
        <v>0</v>
      </c>
      <c r="W524" s="87">
        <f>IFERROR(__xludf.DUMMYFUNCTION("""COMPUTED_VALUE"""),0.0)</f>
        <v>0</v>
      </c>
      <c r="X524" s="88"/>
      <c r="Y524" s="74"/>
      <c r="Z524" s="74"/>
    </row>
    <row r="525">
      <c r="B525" s="74" t="str">
        <f>IFERROR(__xludf.DUMMYFUNCTION("""COMPUTED_VALUE"""),"1522")</f>
        <v>1522</v>
      </c>
      <c r="C525" s="74"/>
      <c r="D525" s="74" t="str">
        <f>IFERROR(__xludf.DUMMYFUNCTION("""COMPUTED_VALUE"""),"\\MCA-S\mk\2_BM\0_BMat\08_PYM\Inventario\excel\Imagen de refacciones\Putzmeister\SEAL SET FOR OUTHER HOUSING _ Juego de sellos para carcasa exterior")</f>
        <v>\\MCA-S\mk\2_BM\0_BMat\08_PYM\Inventario\excel\Imagen de refacciones\Putzmeister\SEAL SET FOR OUTHER HOUSING _ Juego de sellos para carcasa exterior</v>
      </c>
      <c r="E525" s="74"/>
      <c r="F525" s="74" t="str">
        <f>IFERROR(__xludf.DUMMYFUNCTION("""COMPUTED_VALUE"""),"SEAL SET FOR OUTHER HOUSING / Juego de sellos para carcasa exterior")</f>
        <v>SEAL SET FOR OUTHER HOUSING / Juego de sellos para carcasa exterior</v>
      </c>
      <c r="G525" s="74"/>
      <c r="H525" s="74"/>
      <c r="I525" s="74" t="str">
        <f>IFERROR(__xludf.DUMMYFUNCTION("""COMPUTED_VALUE"""),"SOM200027")</f>
        <v>SOM200027</v>
      </c>
      <c r="J525" s="74" t="str">
        <f>IFERROR(__xludf.DUMMYFUNCTION("""COMPUTED_VALUE"""),"24039000KIT")</f>
        <v>24039000KIT</v>
      </c>
      <c r="K525" s="74" t="str">
        <f>IFERROR(__xludf.DUMMYFUNCTION("""COMPUTED_VALUE"""),"Putzmeister")</f>
        <v>Putzmeister</v>
      </c>
      <c r="L525" s="74" t="str">
        <f>IFERROR(__xludf.DUMMYFUNCTION("""COMPUTED_VALUE"""),"Sellos y retenes")</f>
        <v>Sellos y retenes</v>
      </c>
      <c r="M525" s="74" t="str">
        <f>IFERROR(__xludf.DUMMYFUNCTION("""COMPUTED_VALUE"""),"Sin Asignar")</f>
        <v>Sin Asignar</v>
      </c>
      <c r="N525" s="87">
        <f>IFERROR(__xludf.DUMMYFUNCTION("""COMPUTED_VALUE"""),0.0)</f>
        <v>0</v>
      </c>
      <c r="O525" s="74"/>
      <c r="P525" s="74" t="str">
        <f>IFERROR(__xludf.DUMMYFUNCTION("""COMPUTED_VALUE"""),"No Available")</f>
        <v>No Available</v>
      </c>
      <c r="Q525" s="74"/>
      <c r="R525" s="74"/>
      <c r="S525" s="87">
        <f>IFERROR(__xludf.DUMMYFUNCTION("""COMPUTED_VALUE"""),0.0)</f>
        <v>0</v>
      </c>
      <c r="T525" s="87">
        <f>IFERROR(__xludf.DUMMYFUNCTION("""COMPUTED_VALUE"""),0.0)</f>
        <v>0</v>
      </c>
      <c r="U525" s="87">
        <f>IFERROR(__xludf.DUMMYFUNCTION("""COMPUTED_VALUE"""),0.0)</f>
        <v>0</v>
      </c>
      <c r="V525" s="87">
        <f>IFERROR(__xludf.DUMMYFUNCTION("""COMPUTED_VALUE"""),0.0)</f>
        <v>0</v>
      </c>
      <c r="W525" s="87">
        <f>IFERROR(__xludf.DUMMYFUNCTION("""COMPUTED_VALUE"""),0.0)</f>
        <v>0</v>
      </c>
      <c r="X525" s="88"/>
      <c r="Y525" s="74"/>
      <c r="Z525" s="74"/>
    </row>
    <row r="526">
      <c r="B526" s="74" t="str">
        <f>IFERROR(__xludf.DUMMYFUNCTION("""COMPUTED_VALUE"""),"1523")</f>
        <v>1523</v>
      </c>
      <c r="C526" s="74"/>
      <c r="D526" s="74" t="str">
        <f>IFERROR(__xludf.DUMMYFUNCTION("""COMPUTED_VALUE"""),"\\MCA-S\mk\2_BM\0_BMat\08_PYM\Inventario\excel\Imagen de refacciones\Putzmeister\Hopper RS905 CPL _ Tolva RS905 CPL")</f>
        <v>\\MCA-S\mk\2_BM\0_BMat\08_PYM\Inventario\excel\Imagen de refacciones\Putzmeister\Hopper RS905 CPL _ Tolva RS905 CPL</v>
      </c>
      <c r="E526" s="74"/>
      <c r="F526" s="74" t="str">
        <f>IFERROR(__xludf.DUMMYFUNCTION("""COMPUTED_VALUE"""),"Hopper RS905 CPL / Tolva RS905 CPL")</f>
        <v>Hopper RS905 CPL / Tolva RS905 CPL</v>
      </c>
      <c r="G526" s="74"/>
      <c r="H526" s="74"/>
      <c r="I526" s="74" t="str">
        <f>IFERROR(__xludf.DUMMYFUNCTION("""COMPUTED_VALUE"""),"SOM20028")</f>
        <v>SOM20028</v>
      </c>
      <c r="J526" s="74" t="str">
        <f>IFERROR(__xludf.DUMMYFUNCTION("""COMPUTED_VALUE"""),"454413")</f>
        <v>454413</v>
      </c>
      <c r="K526" s="74" t="str">
        <f>IFERROR(__xludf.DUMMYFUNCTION("""COMPUTED_VALUE"""),"Putzmeister")</f>
        <v>Putzmeister</v>
      </c>
      <c r="L526" s="74" t="str">
        <f>IFERROR(__xludf.DUMMYFUNCTION("""COMPUTED_VALUE"""),"Componentes para silos")</f>
        <v>Componentes para silos</v>
      </c>
      <c r="M526" s="74" t="str">
        <f>IFERROR(__xludf.DUMMYFUNCTION("""COMPUTED_VALUE"""),"Sin Asignar")</f>
        <v>Sin Asignar</v>
      </c>
      <c r="N526" s="87">
        <f>IFERROR(__xludf.DUMMYFUNCTION("""COMPUTED_VALUE"""),0.0)</f>
        <v>0</v>
      </c>
      <c r="O526" s="74"/>
      <c r="P526" s="74" t="str">
        <f>IFERROR(__xludf.DUMMYFUNCTION("""COMPUTED_VALUE"""),"No Available")</f>
        <v>No Available</v>
      </c>
      <c r="Q526" s="74"/>
      <c r="R526" s="74"/>
      <c r="S526" s="87">
        <f>IFERROR(__xludf.DUMMYFUNCTION("""COMPUTED_VALUE"""),0.0)</f>
        <v>0</v>
      </c>
      <c r="T526" s="87">
        <f>IFERROR(__xludf.DUMMYFUNCTION("""COMPUTED_VALUE"""),0.0)</f>
        <v>0</v>
      </c>
      <c r="U526" s="87">
        <f>IFERROR(__xludf.DUMMYFUNCTION("""COMPUTED_VALUE"""),0.0)</f>
        <v>0</v>
      </c>
      <c r="V526" s="87">
        <f>IFERROR(__xludf.DUMMYFUNCTION("""COMPUTED_VALUE"""),0.0)</f>
        <v>0</v>
      </c>
      <c r="W526" s="87">
        <f>IFERROR(__xludf.DUMMYFUNCTION("""COMPUTED_VALUE"""),0.0)</f>
        <v>0</v>
      </c>
      <c r="X526" s="88"/>
      <c r="Y526" s="74"/>
      <c r="Z526" s="74"/>
    </row>
    <row r="527">
      <c r="B527" s="74" t="str">
        <f>IFERROR(__xludf.DUMMYFUNCTION("""COMPUTED_VALUE"""),"1524")</f>
        <v>1524</v>
      </c>
      <c r="C527" s="74"/>
      <c r="D527" s="74" t="str">
        <f>IFERROR(__xludf.DUMMYFUNCTION("""COMPUTED_VALUE"""),"\\MCA-S\mk\2_BM\0_BMat\08_PYM\Inventario\excel\Imagen de refacciones\Putzmeister\GRILL RS905 FOLDABLE _ Rejilla plegable RS905")</f>
        <v>\\MCA-S\mk\2_BM\0_BMat\08_PYM\Inventario\excel\Imagen de refacciones\Putzmeister\GRILL RS905 FOLDABLE _ Rejilla plegable RS905</v>
      </c>
      <c r="E527" s="74"/>
      <c r="F527" s="74" t="str">
        <f>IFERROR(__xludf.DUMMYFUNCTION("""COMPUTED_VALUE"""),"GRILL RS905 FOLDABLE / Rejilla plegable RS905")</f>
        <v>GRILL RS905 FOLDABLE / Rejilla plegable RS905</v>
      </c>
      <c r="G527" s="74"/>
      <c r="H527" s="74"/>
      <c r="I527" s="74" t="str">
        <f>IFERROR(__xludf.DUMMYFUNCTION("""COMPUTED_VALUE"""),"SOM20029")</f>
        <v>SOM20029</v>
      </c>
      <c r="J527" s="74" t="str">
        <f>IFERROR(__xludf.DUMMYFUNCTION("""COMPUTED_VALUE"""),"242456001 / 400915")</f>
        <v>242456001 / 400915</v>
      </c>
      <c r="K527" s="74" t="str">
        <f>IFERROR(__xludf.DUMMYFUNCTION("""COMPUTED_VALUE"""),"Putzmeister")</f>
        <v>Putzmeister</v>
      </c>
      <c r="L527" s="74" t="str">
        <f>IFERROR(__xludf.DUMMYFUNCTION("""COMPUTED_VALUE"""),"Componentes para silos")</f>
        <v>Componentes para silos</v>
      </c>
      <c r="M527" s="74" t="str">
        <f>IFERROR(__xludf.DUMMYFUNCTION("""COMPUTED_VALUE"""),"Sin Asignar")</f>
        <v>Sin Asignar</v>
      </c>
      <c r="N527" s="87">
        <f>IFERROR(__xludf.DUMMYFUNCTION("""COMPUTED_VALUE"""),0.0)</f>
        <v>0</v>
      </c>
      <c r="O527" s="74"/>
      <c r="P527" s="74" t="str">
        <f>IFERROR(__xludf.DUMMYFUNCTION("""COMPUTED_VALUE"""),"No Available")</f>
        <v>No Available</v>
      </c>
      <c r="Q527" s="74"/>
      <c r="R527" s="74"/>
      <c r="S527" s="87">
        <f>IFERROR(__xludf.DUMMYFUNCTION("""COMPUTED_VALUE"""),0.0)</f>
        <v>0</v>
      </c>
      <c r="T527" s="87">
        <f>IFERROR(__xludf.DUMMYFUNCTION("""COMPUTED_VALUE"""),0.0)</f>
        <v>0</v>
      </c>
      <c r="U527" s="87">
        <f>IFERROR(__xludf.DUMMYFUNCTION("""COMPUTED_VALUE"""),0.0)</f>
        <v>0</v>
      </c>
      <c r="V527" s="87">
        <f>IFERROR(__xludf.DUMMYFUNCTION("""COMPUTED_VALUE"""),0.0)</f>
        <v>0</v>
      </c>
      <c r="W527" s="87">
        <f>IFERROR(__xludf.DUMMYFUNCTION("""COMPUTED_VALUE"""),0.0)</f>
        <v>0</v>
      </c>
      <c r="X527" s="88"/>
      <c r="Y527" s="74"/>
      <c r="Z527" s="74"/>
    </row>
    <row r="528">
      <c r="B528" s="74" t="str">
        <f>IFERROR(__xludf.DUMMYFUNCTION("""COMPUTED_VALUE"""),"1525")</f>
        <v>1525</v>
      </c>
      <c r="C528" s="74"/>
      <c r="D528" s="74" t="str">
        <f>IFERROR(__xludf.DUMMYFUNCTION("""COMPUTED_VALUE"""),"\\MCA-S\mk\2_BM\0_BMat\08_PYM\Inventario\excel\Imagen de refacciones\Putzmeister\Rubber buffer u part _ Amortiguador de goma en forma de u")</f>
        <v>\\MCA-S\mk\2_BM\0_BMat\08_PYM\Inventario\excel\Imagen de refacciones\Putzmeister\Rubber buffer u part _ Amortiguador de goma en forma de u</v>
      </c>
      <c r="E528" s="74"/>
      <c r="F528" s="74" t="str">
        <f>IFERROR(__xludf.DUMMYFUNCTION("""COMPUTED_VALUE"""),"Rubber buffer u part / Amortiguador de goma en forma de u")</f>
        <v>Rubber buffer u part / Amortiguador de goma en forma de u</v>
      </c>
      <c r="G528" s="74"/>
      <c r="H528" s="74"/>
      <c r="I528" s="74" t="str">
        <f>IFERROR(__xludf.DUMMYFUNCTION("""COMPUTED_VALUE"""),"som20033")</f>
        <v>som20033</v>
      </c>
      <c r="J528" s="74" t="str">
        <f>IFERROR(__xludf.DUMMYFUNCTION("""COMPUTED_VALUE"""),"19137003")</f>
        <v>19137003</v>
      </c>
      <c r="K528" s="74" t="str">
        <f>IFERROR(__xludf.DUMMYFUNCTION("""COMPUTED_VALUE"""),"Putzmeister")</f>
        <v>Putzmeister</v>
      </c>
      <c r="L528" s="74" t="str">
        <f>IFERROR(__xludf.DUMMYFUNCTION("""COMPUTED_VALUE"""),"Componentes estructurales y de montaje")</f>
        <v>Componentes estructurales y de montaje</v>
      </c>
      <c r="M528" s="74" t="str">
        <f>IFERROR(__xludf.DUMMYFUNCTION("""COMPUTED_VALUE"""),"Sin Asignar")</f>
        <v>Sin Asignar</v>
      </c>
      <c r="N528" s="87">
        <f>IFERROR(__xludf.DUMMYFUNCTION("""COMPUTED_VALUE"""),0.0)</f>
        <v>0</v>
      </c>
      <c r="O528" s="74"/>
      <c r="P528" s="74" t="str">
        <f>IFERROR(__xludf.DUMMYFUNCTION("""COMPUTED_VALUE"""),"borrar")</f>
        <v>borrar</v>
      </c>
      <c r="Q528" s="74"/>
      <c r="R528" s="74"/>
      <c r="S528" s="87">
        <f>IFERROR(__xludf.DUMMYFUNCTION("""COMPUTED_VALUE"""),0.0)</f>
        <v>0</v>
      </c>
      <c r="T528" s="87">
        <f>IFERROR(__xludf.DUMMYFUNCTION("""COMPUTED_VALUE"""),0.0)</f>
        <v>0</v>
      </c>
      <c r="U528" s="87">
        <f>IFERROR(__xludf.DUMMYFUNCTION("""COMPUTED_VALUE"""),0.0)</f>
        <v>0</v>
      </c>
      <c r="V528" s="87">
        <f>IFERROR(__xludf.DUMMYFUNCTION("""COMPUTED_VALUE"""),0.0)</f>
        <v>0</v>
      </c>
      <c r="W528" s="87">
        <f>IFERROR(__xludf.DUMMYFUNCTION("""COMPUTED_VALUE"""),0.0)</f>
        <v>0</v>
      </c>
      <c r="X528" s="88"/>
      <c r="Y528" s="74"/>
      <c r="Z528" s="74"/>
    </row>
    <row r="529">
      <c r="B529" s="74" t="str">
        <f>IFERROR(__xludf.DUMMYFUNCTION("""COMPUTED_VALUE"""),"1526")</f>
        <v>1526</v>
      </c>
      <c r="C529" s="74"/>
      <c r="D529" s="74" t="str">
        <f>IFERROR(__xludf.DUMMYFUNCTION("""COMPUTED_VALUE"""),"\\MCA-S\mk\2_BM\0_BMat\08_PYM\Inventario\excel\Imagen de refacciones\Putzmeister\Rubber buffer _ Amortiguador de goma")</f>
        <v>\\MCA-S\mk\2_BM\0_BMat\08_PYM\Inventario\excel\Imagen de refacciones\Putzmeister\Rubber buffer _ Amortiguador de goma</v>
      </c>
      <c r="E529" s="74"/>
      <c r="F529" s="74" t="str">
        <f>IFERROR(__xludf.DUMMYFUNCTION("""COMPUTED_VALUE"""),"Rubber buffer / Amortiguador de goma")</f>
        <v>Rubber buffer / Amortiguador de goma</v>
      </c>
      <c r="G529" s="74"/>
      <c r="H529" s="74"/>
      <c r="I529" s="74" t="str">
        <f>IFERROR(__xludf.DUMMYFUNCTION("""COMPUTED_VALUE"""),"SOM20034")</f>
        <v>SOM20034</v>
      </c>
      <c r="J529" s="74" t="str">
        <f>IFERROR(__xludf.DUMMYFUNCTION("""COMPUTED_VALUE"""),"4587002 / 4266007")</f>
        <v>4587002 / 4266007</v>
      </c>
      <c r="K529" s="74" t="str">
        <f>IFERROR(__xludf.DUMMYFUNCTION("""COMPUTED_VALUE"""),"Putzmeister")</f>
        <v>Putzmeister</v>
      </c>
      <c r="L529" s="74" t="str">
        <f>IFERROR(__xludf.DUMMYFUNCTION("""COMPUTED_VALUE"""),"Componentes estructurales y de montaje")</f>
        <v>Componentes estructurales y de montaje</v>
      </c>
      <c r="M529" s="74" t="str">
        <f>IFERROR(__xludf.DUMMYFUNCTION("""COMPUTED_VALUE"""),"Sin Asignar")</f>
        <v>Sin Asignar</v>
      </c>
      <c r="N529" s="87">
        <f>IFERROR(__xludf.DUMMYFUNCTION("""COMPUTED_VALUE"""),0.0)</f>
        <v>0</v>
      </c>
      <c r="O529" s="74"/>
      <c r="P529" s="74" t="str">
        <f>IFERROR(__xludf.DUMMYFUNCTION("""COMPUTED_VALUE"""),"No Available")</f>
        <v>No Available</v>
      </c>
      <c r="Q529" s="74"/>
      <c r="R529" s="74"/>
      <c r="S529" s="87">
        <f>IFERROR(__xludf.DUMMYFUNCTION("""COMPUTED_VALUE"""),0.0)</f>
        <v>0</v>
      </c>
      <c r="T529" s="87">
        <f>IFERROR(__xludf.DUMMYFUNCTION("""COMPUTED_VALUE"""),0.0)</f>
        <v>0</v>
      </c>
      <c r="U529" s="87">
        <f>IFERROR(__xludf.DUMMYFUNCTION("""COMPUTED_VALUE"""),0.0)</f>
        <v>0</v>
      </c>
      <c r="V529" s="87">
        <f>IFERROR(__xludf.DUMMYFUNCTION("""COMPUTED_VALUE"""),0.0)</f>
        <v>0</v>
      </c>
      <c r="W529" s="87">
        <f>IFERROR(__xludf.DUMMYFUNCTION("""COMPUTED_VALUE"""),0.0)</f>
        <v>0</v>
      </c>
      <c r="X529" s="88"/>
      <c r="Y529" s="74"/>
      <c r="Z529" s="74"/>
    </row>
    <row r="530">
      <c r="B530" s="74" t="str">
        <f>IFERROR(__xludf.DUMMYFUNCTION("""COMPUTED_VALUE"""),"1527")</f>
        <v>1527</v>
      </c>
      <c r="C530" s="74"/>
      <c r="D530" s="74" t="str">
        <f>IFERROR(__xludf.DUMMYFUNCTION("""COMPUTED_VALUE"""),"\\MCA-S\mk\2_BM\0_BMat\08_PYM\Inventario\excel\Imagen de refacciones\Putzmeister\Pluger cylinder Q160 - 60 _ Cilindro de émbolo Q160 - 60")</f>
        <v>\\MCA-S\mk\2_BM\0_BMat\08_PYM\Inventario\excel\Imagen de refacciones\Putzmeister\Pluger cylinder Q160 - 60 _ Cilindro de émbolo Q160 - 60</v>
      </c>
      <c r="E530" s="74"/>
      <c r="F530" s="74" t="str">
        <f>IFERROR(__xludf.DUMMYFUNCTION("""COMPUTED_VALUE"""),"Pluger cylinder Q160 - 60 / Cilindro de émbolo Q160 - 60")</f>
        <v>Pluger cylinder Q160 - 60 / Cilindro de émbolo Q160 - 60</v>
      </c>
      <c r="G530" s="74"/>
      <c r="H530" s="74"/>
      <c r="I530" s="74" t="str">
        <f>IFERROR(__xludf.DUMMYFUNCTION("""COMPUTED_VALUE"""),"SOM20035")</f>
        <v>SOM20035</v>
      </c>
      <c r="J530" s="74" t="str">
        <f>IFERROR(__xludf.DUMMYFUNCTION("""COMPUTED_VALUE"""),"26840008")</f>
        <v>26840008</v>
      </c>
      <c r="K530" s="74" t="str">
        <f>IFERROR(__xludf.DUMMYFUNCTION("""COMPUTED_VALUE"""),"Putzmeister")</f>
        <v>Putzmeister</v>
      </c>
      <c r="L530" s="74" t="str">
        <f>IFERROR(__xludf.DUMMYFUNCTION("""COMPUTED_VALUE"""),"Componentes hidráulicos")</f>
        <v>Componentes hidráulicos</v>
      </c>
      <c r="M530" s="74" t="str">
        <f>IFERROR(__xludf.DUMMYFUNCTION("""COMPUTED_VALUE"""),"Sin Asignar")</f>
        <v>Sin Asignar</v>
      </c>
      <c r="N530" s="87">
        <f>IFERROR(__xludf.DUMMYFUNCTION("""COMPUTED_VALUE"""),0.0)</f>
        <v>0</v>
      </c>
      <c r="O530" s="74"/>
      <c r="P530" s="74" t="str">
        <f>IFERROR(__xludf.DUMMYFUNCTION("""COMPUTED_VALUE"""),"borrar")</f>
        <v>borrar</v>
      </c>
      <c r="Q530" s="74"/>
      <c r="R530" s="74"/>
      <c r="S530" s="87">
        <f>IFERROR(__xludf.DUMMYFUNCTION("""COMPUTED_VALUE"""),0.0)</f>
        <v>0</v>
      </c>
      <c r="T530" s="87">
        <f>IFERROR(__xludf.DUMMYFUNCTION("""COMPUTED_VALUE"""),0.0)</f>
        <v>0</v>
      </c>
      <c r="U530" s="87">
        <f>IFERROR(__xludf.DUMMYFUNCTION("""COMPUTED_VALUE"""),0.0)</f>
        <v>0</v>
      </c>
      <c r="V530" s="87">
        <f>IFERROR(__xludf.DUMMYFUNCTION("""COMPUTED_VALUE"""),0.0)</f>
        <v>0</v>
      </c>
      <c r="W530" s="87">
        <f>IFERROR(__xludf.DUMMYFUNCTION("""COMPUTED_VALUE"""),0.0)</f>
        <v>0</v>
      </c>
      <c r="X530" s="88"/>
      <c r="Y530" s="74"/>
      <c r="Z530" s="74"/>
    </row>
    <row r="531">
      <c r="B531" s="74" t="str">
        <f>IFERROR(__xludf.DUMMYFUNCTION("""COMPUTED_VALUE"""),"1528")</f>
        <v>1528</v>
      </c>
      <c r="C531" s="74"/>
      <c r="D531" s="74" t="str">
        <f>IFERROR(__xludf.DUMMYFUNCTION("""COMPUTED_VALUE"""),"\\MCA-S\mk\2_BM\0_BMat\08_PYM\Inventario\excel\Imagen de refacciones\Putzmeister\Plunger cylinder single hole 160-60 _ Cilindro de émbolo de orificio simple 160-60")</f>
        <v>\\MCA-S\mk\2_BM\0_BMat\08_PYM\Inventario\excel\Imagen de refacciones\Putzmeister\Plunger cylinder single hole 160-60 _ Cilindro de émbolo de orificio simple 160-60</v>
      </c>
      <c r="E531" s="74"/>
      <c r="F531" s="74" t="str">
        <f>IFERROR(__xludf.DUMMYFUNCTION("""COMPUTED_VALUE"""),"CILINDRO DE CAMBIO GATO BUZO 80 MM PARA BOMBA DE HORMIGON")</f>
        <v>CILINDRO DE CAMBIO GATO BUZO 80 MM PARA BOMBA DE HORMIGON</v>
      </c>
      <c r="G531" s="74"/>
      <c r="H531" s="74"/>
      <c r="I531" s="74" t="str">
        <f>IFERROR(__xludf.DUMMYFUNCTION("""COMPUTED_VALUE"""),"SOM20036")</f>
        <v>SOM20036</v>
      </c>
      <c r="J531" s="74" t="str">
        <f>IFERROR(__xludf.DUMMYFUNCTION("""COMPUTED_VALUE"""),"541668")</f>
        <v>541668</v>
      </c>
      <c r="K531" s="74" t="str">
        <f>IFERROR(__xludf.DUMMYFUNCTION("""COMPUTED_VALUE"""),"Putzmeister")</f>
        <v>Putzmeister</v>
      </c>
      <c r="L531" s="74" t="str">
        <f>IFERROR(__xludf.DUMMYFUNCTION("""COMPUTED_VALUE"""),"Componentes hidráulicos")</f>
        <v>Componentes hidráulicos</v>
      </c>
      <c r="M531" s="74" t="str">
        <f>IFERROR(__xludf.DUMMYFUNCTION("""COMPUTED_VALUE"""),"Sin Asignar")</f>
        <v>Sin Asignar</v>
      </c>
      <c r="N531" s="87">
        <f>IFERROR(__xludf.DUMMYFUNCTION("""COMPUTED_VALUE"""),0.0)</f>
        <v>0</v>
      </c>
      <c r="O531" s="74"/>
      <c r="P531" s="74" t="str">
        <f>IFERROR(__xludf.DUMMYFUNCTION("""COMPUTED_VALUE"""),"borrar")</f>
        <v>borrar</v>
      </c>
      <c r="Q531" s="74"/>
      <c r="R531" s="74"/>
      <c r="S531" s="87">
        <f>IFERROR(__xludf.DUMMYFUNCTION("""COMPUTED_VALUE"""),0.0)</f>
        <v>0</v>
      </c>
      <c r="T531" s="87">
        <f>IFERROR(__xludf.DUMMYFUNCTION("""COMPUTED_VALUE"""),0.0)</f>
        <v>0</v>
      </c>
      <c r="U531" s="87">
        <f>IFERROR(__xludf.DUMMYFUNCTION("""COMPUTED_VALUE"""),0.0)</f>
        <v>0</v>
      </c>
      <c r="V531" s="87">
        <f>IFERROR(__xludf.DUMMYFUNCTION("""COMPUTED_VALUE"""),0.0)</f>
        <v>0</v>
      </c>
      <c r="W531" s="87">
        <f>IFERROR(__xludf.DUMMYFUNCTION("""COMPUTED_VALUE"""),0.0)</f>
        <v>0</v>
      </c>
      <c r="X531" s="88"/>
      <c r="Y531" s="74"/>
      <c r="Z531" s="74"/>
    </row>
    <row r="532">
      <c r="B532" s="74" t="str">
        <f>IFERROR(__xludf.DUMMYFUNCTION("""COMPUTED_VALUE"""),"1529")</f>
        <v>1529</v>
      </c>
      <c r="C532" s="74"/>
      <c r="D532" s="74" t="str">
        <f>IFERROR(__xludf.DUMMYFUNCTION("""COMPUTED_VALUE"""),"\\MCA-S\mk\2_BM\0_BMat\08_PYM\Inventario\excel\Imagen de refacciones\Putzmeister\Plunger tube Q160-60  _ Tubo de émbolo Q160-60")</f>
        <v>\\MCA-S\mk\2_BM\0_BMat\08_PYM\Inventario\excel\Imagen de refacciones\Putzmeister\Plunger tube Q160-60  _ Tubo de émbolo Q160-60</v>
      </c>
      <c r="E532" s="74"/>
      <c r="F532" s="74" t="str">
        <f>IFERROR(__xludf.DUMMYFUNCTION("""COMPUTED_VALUE"""),"Plunger tube Q160-60  / Tubo de émbolo Q160-60")</f>
        <v>Plunger tube Q160-60  / Tubo de émbolo Q160-60</v>
      </c>
      <c r="G532" s="74"/>
      <c r="H532" s="74"/>
      <c r="I532" s="74" t="str">
        <f>IFERROR(__xludf.DUMMYFUNCTION("""COMPUTED_VALUE"""),"SOM20037")</f>
        <v>SOM20037</v>
      </c>
      <c r="J532" s="74" t="str">
        <f>IFERROR(__xludf.DUMMYFUNCTION("""COMPUTED_VALUE"""),"254428001")</f>
        <v>254428001</v>
      </c>
      <c r="K532" s="74" t="str">
        <f>IFERROR(__xludf.DUMMYFUNCTION("""COMPUTED_VALUE"""),"Putzmeister")</f>
        <v>Putzmeister</v>
      </c>
      <c r="L532" s="74" t="str">
        <f>IFERROR(__xludf.DUMMYFUNCTION("""COMPUTED_VALUE"""),"Componentes hidráulicos")</f>
        <v>Componentes hidráulicos</v>
      </c>
      <c r="M532" s="74" t="str">
        <f>IFERROR(__xludf.DUMMYFUNCTION("""COMPUTED_VALUE"""),"Sin Asignar")</f>
        <v>Sin Asignar</v>
      </c>
      <c r="N532" s="87">
        <f>IFERROR(__xludf.DUMMYFUNCTION("""COMPUTED_VALUE"""),0.0)</f>
        <v>0</v>
      </c>
      <c r="O532" s="74"/>
      <c r="P532" s="74" t="str">
        <f>IFERROR(__xludf.DUMMYFUNCTION("""COMPUTED_VALUE"""),"No Available")</f>
        <v>No Available</v>
      </c>
      <c r="Q532" s="74"/>
      <c r="R532" s="74"/>
      <c r="S532" s="87">
        <f>IFERROR(__xludf.DUMMYFUNCTION("""COMPUTED_VALUE"""),0.0)</f>
        <v>0</v>
      </c>
      <c r="T532" s="87">
        <f>IFERROR(__xludf.DUMMYFUNCTION("""COMPUTED_VALUE"""),0.0)</f>
        <v>0</v>
      </c>
      <c r="U532" s="87">
        <f>IFERROR(__xludf.DUMMYFUNCTION("""COMPUTED_VALUE"""),0.0)</f>
        <v>0</v>
      </c>
      <c r="V532" s="87">
        <f>IFERROR(__xludf.DUMMYFUNCTION("""COMPUTED_VALUE"""),0.0)</f>
        <v>0</v>
      </c>
      <c r="W532" s="87">
        <f>IFERROR(__xludf.DUMMYFUNCTION("""COMPUTED_VALUE"""),0.0)</f>
        <v>0</v>
      </c>
      <c r="X532" s="88"/>
      <c r="Y532" s="74"/>
      <c r="Z532" s="74"/>
    </row>
    <row r="533">
      <c r="B533" s="74" t="str">
        <f>IFERROR(__xludf.DUMMYFUNCTION("""COMPUTED_VALUE"""),"1530")</f>
        <v>1530</v>
      </c>
      <c r="C533" s="74"/>
      <c r="D533" s="74" t="str">
        <f>IFERROR(__xludf.DUMMYFUNCTION("""COMPUTED_VALUE"""),"\\MCA-S\mk\2_BM\0_BMat\08_PYM\Inventario\excel\Imagen de refacciones\Putzmeister\Piston ROD Q160-60 _ Vástago de pistón Q160-60")</f>
        <v>\\MCA-S\mk\2_BM\0_BMat\08_PYM\Inventario\excel\Imagen de refacciones\Putzmeister\Piston ROD Q160-60 _ Vástago de pistón Q160-60</v>
      </c>
      <c r="E533" s="74"/>
      <c r="F533" s="74" t="str">
        <f>IFERROR(__xludf.DUMMYFUNCTION("""COMPUTED_VALUE"""),"Piston ROD Q160-60 / Vástago de pistón Q160-60")</f>
        <v>Piston ROD Q160-60 / Vástago de pistón Q160-60</v>
      </c>
      <c r="G533" s="74"/>
      <c r="H533" s="74"/>
      <c r="I533" s="74" t="str">
        <f>IFERROR(__xludf.DUMMYFUNCTION("""COMPUTED_VALUE"""),"SOM20038")</f>
        <v>SOM20038</v>
      </c>
      <c r="J533" s="74" t="str">
        <f>IFERROR(__xludf.DUMMYFUNCTION("""COMPUTED_VALUE"""),"254427002")</f>
        <v>254427002</v>
      </c>
      <c r="K533" s="74" t="str">
        <f>IFERROR(__xludf.DUMMYFUNCTION("""COMPUTED_VALUE"""),"Putzmeister")</f>
        <v>Putzmeister</v>
      </c>
      <c r="L533" s="74" t="str">
        <f>IFERROR(__xludf.DUMMYFUNCTION("""COMPUTED_VALUE"""),"Componentes hidráulicos")</f>
        <v>Componentes hidráulicos</v>
      </c>
      <c r="M533" s="74" t="str">
        <f>IFERROR(__xludf.DUMMYFUNCTION("""COMPUTED_VALUE"""),"Sin Asignar")</f>
        <v>Sin Asignar</v>
      </c>
      <c r="N533" s="87">
        <f>IFERROR(__xludf.DUMMYFUNCTION("""COMPUTED_VALUE"""),0.0)</f>
        <v>0</v>
      </c>
      <c r="O533" s="74"/>
      <c r="P533" s="74" t="str">
        <f>IFERROR(__xludf.DUMMYFUNCTION("""COMPUTED_VALUE"""),"No Available")</f>
        <v>No Available</v>
      </c>
      <c r="Q533" s="74"/>
      <c r="R533" s="74"/>
      <c r="S533" s="87">
        <f>IFERROR(__xludf.DUMMYFUNCTION("""COMPUTED_VALUE"""),0.0)</f>
        <v>0</v>
      </c>
      <c r="T533" s="87">
        <f>IFERROR(__xludf.DUMMYFUNCTION("""COMPUTED_VALUE"""),0.0)</f>
        <v>0</v>
      </c>
      <c r="U533" s="87">
        <f>IFERROR(__xludf.DUMMYFUNCTION("""COMPUTED_VALUE"""),0.0)</f>
        <v>0</v>
      </c>
      <c r="V533" s="87">
        <f>IFERROR(__xludf.DUMMYFUNCTION("""COMPUTED_VALUE"""),0.0)</f>
        <v>0</v>
      </c>
      <c r="W533" s="87">
        <f>IFERROR(__xludf.DUMMYFUNCTION("""COMPUTED_VALUE"""),0.0)</f>
        <v>0</v>
      </c>
      <c r="X533" s="88"/>
      <c r="Y533" s="74"/>
      <c r="Z533" s="74"/>
    </row>
    <row r="534">
      <c r="B534" s="74" t="str">
        <f>IFERROR(__xludf.DUMMYFUNCTION("""COMPUTED_VALUE"""),"1531")</f>
        <v>1531</v>
      </c>
      <c r="C534" s="74" t="str">
        <f>IFERROR(__xludf.DUMMYFUNCTION("""COMPUTED_VALUE"""),"75045880424")</f>
        <v>75045880424</v>
      </c>
      <c r="D534" s="74" t="str">
        <f>IFERROR(__xludf.DUMMYFUNCTION("""COMPUTED_VALUE"""),"\\MCA-S\mk\2_BM\0_BMat\08_PYM\Inventario\excel\Imagen de refacciones\Putzmeister\SEAL SET FOR PLUNGERY CYLINDER Q160-60 _Juego de sellos para cilindro de émbolo Q160-60")</f>
        <v>\\MCA-S\mk\2_BM\0_BMat\08_PYM\Inventario\excel\Imagen de refacciones\Putzmeister\SEAL SET FOR PLUNGERY CYLINDER Q160-60 _Juego de sellos para cilindro de émbolo Q160-60</v>
      </c>
      <c r="E534" s="74"/>
      <c r="F534" s="74" t="str">
        <f>IFERROR(__xludf.DUMMYFUNCTION("""COMPUTED_VALUE"""),"SEAL SET FOR PLUNGERY CYLINDER Q160-60 /Juego de sellos para cilindro de émbolo Q160-60")</f>
        <v>SEAL SET FOR PLUNGERY CYLINDER Q160-60 /Juego de sellos para cilindro de émbolo Q160-60</v>
      </c>
      <c r="G534" s="74"/>
      <c r="H534" s="74"/>
      <c r="I534" s="74" t="str">
        <f>IFERROR(__xludf.DUMMYFUNCTION("""COMPUTED_VALUE"""),"SOM20039")</f>
        <v>SOM20039</v>
      </c>
      <c r="J534" s="74" t="str">
        <f>IFERROR(__xludf.DUMMYFUNCTION("""COMPUTED_VALUE"""),"262840008KIT")</f>
        <v>262840008KIT</v>
      </c>
      <c r="K534" s="74" t="str">
        <f>IFERROR(__xludf.DUMMYFUNCTION("""COMPUTED_VALUE"""),"Putzmeister")</f>
        <v>Putzmeister</v>
      </c>
      <c r="L534" s="74" t="str">
        <f>IFERROR(__xludf.DUMMYFUNCTION("""COMPUTED_VALUE"""),"Sellos y retenes")</f>
        <v>Sellos y retenes</v>
      </c>
      <c r="M534" s="74" t="str">
        <f>IFERROR(__xludf.DUMMYFUNCTION("""COMPUTED_VALUE"""),"Sin Asignar")</f>
        <v>Sin Asignar</v>
      </c>
      <c r="N534" s="87">
        <f>IFERROR(__xludf.DUMMYFUNCTION("""COMPUTED_VALUE"""),0.0)</f>
        <v>0</v>
      </c>
      <c r="O534" s="74"/>
      <c r="P534" s="74" t="str">
        <f>IFERROR(__xludf.DUMMYFUNCTION("""COMPUTED_VALUE"""),"borrar")</f>
        <v>borrar</v>
      </c>
      <c r="Q534" s="74"/>
      <c r="R534" s="74"/>
      <c r="S534" s="87">
        <f>IFERROR(__xludf.DUMMYFUNCTION("""COMPUTED_VALUE"""),0.0)</f>
        <v>0</v>
      </c>
      <c r="T534" s="87">
        <f>IFERROR(__xludf.DUMMYFUNCTION("""COMPUTED_VALUE"""),0.0)</f>
        <v>0</v>
      </c>
      <c r="U534" s="87">
        <f>IFERROR(__xludf.DUMMYFUNCTION("""COMPUTED_VALUE"""),0.0)</f>
        <v>0</v>
      </c>
      <c r="V534" s="87">
        <f>IFERROR(__xludf.DUMMYFUNCTION("""COMPUTED_VALUE"""),0.0)</f>
        <v>0</v>
      </c>
      <c r="W534" s="87">
        <f>IFERROR(__xludf.DUMMYFUNCTION("""COMPUTED_VALUE"""),0.0)</f>
        <v>0</v>
      </c>
      <c r="X534" s="88"/>
      <c r="Y534" s="74"/>
      <c r="Z534" s="74"/>
    </row>
    <row r="535">
      <c r="B535" s="74" t="str">
        <f>IFERROR(__xludf.DUMMYFUNCTION("""COMPUTED_VALUE"""),"1532")</f>
        <v>1532</v>
      </c>
      <c r="C535" s="74"/>
      <c r="D535" s="74" t="str">
        <f>IFERROR(__xludf.DUMMYFUNCTION("""COMPUTED_VALUE"""),"\\MCA-S\mk\2_BM\0_BMat\08_PYM\Inventario\excel\Imagen de refacciones\Putzmeister\Ball cup 160_60 _")</f>
        <v>\\MCA-S\mk\2_BM\0_BMat\08_PYM\Inventario\excel\Imagen de refacciones\Putzmeister\Ball cup 160_60 _</v>
      </c>
      <c r="E535" s="74"/>
      <c r="F535" s="74" t="str">
        <f>IFERROR(__xludf.DUMMYFUNCTION("""COMPUTED_VALUE"""),"Ball cup 160/60 /")</f>
        <v>Ball cup 160/60 /</v>
      </c>
      <c r="G535" s="74"/>
      <c r="H535" s="74"/>
      <c r="I535" s="74" t="str">
        <f>IFERROR(__xludf.DUMMYFUNCTION("""COMPUTED_VALUE"""),"SOM20040")</f>
        <v>SOM20040</v>
      </c>
      <c r="J535" s="74" t="str">
        <f>IFERROR(__xludf.DUMMYFUNCTION("""COMPUTED_VALUE"""),"256300004")</f>
        <v>256300004</v>
      </c>
      <c r="K535" s="74" t="str">
        <f>IFERROR(__xludf.DUMMYFUNCTION("""COMPUTED_VALUE"""),"Putzmeister")</f>
        <v>Putzmeister</v>
      </c>
      <c r="L535" s="74" t="str">
        <f>IFERROR(__xludf.DUMMYFUNCTION("""COMPUTED_VALUE"""),"Componentes hidráulicos")</f>
        <v>Componentes hidráulicos</v>
      </c>
      <c r="M535" s="74" t="str">
        <f>IFERROR(__xludf.DUMMYFUNCTION("""COMPUTED_VALUE"""),"Sin Asignar")</f>
        <v>Sin Asignar</v>
      </c>
      <c r="N535" s="87">
        <f>IFERROR(__xludf.DUMMYFUNCTION("""COMPUTED_VALUE"""),0.0)</f>
        <v>0</v>
      </c>
      <c r="O535" s="74"/>
      <c r="P535" s="74" t="str">
        <f>IFERROR(__xludf.DUMMYFUNCTION("""COMPUTED_VALUE"""),"borrar")</f>
        <v>borrar</v>
      </c>
      <c r="Q535" s="74"/>
      <c r="R535" s="74"/>
      <c r="S535" s="87">
        <f>IFERROR(__xludf.DUMMYFUNCTION("""COMPUTED_VALUE"""),0.0)</f>
        <v>0</v>
      </c>
      <c r="T535" s="87">
        <f>IFERROR(__xludf.DUMMYFUNCTION("""COMPUTED_VALUE"""),0.0)</f>
        <v>0</v>
      </c>
      <c r="U535" s="87">
        <f>IFERROR(__xludf.DUMMYFUNCTION("""COMPUTED_VALUE"""),0.0)</f>
        <v>0</v>
      </c>
      <c r="V535" s="87">
        <f>IFERROR(__xludf.DUMMYFUNCTION("""COMPUTED_VALUE"""),0.0)</f>
        <v>0</v>
      </c>
      <c r="W535" s="87">
        <f>IFERROR(__xludf.DUMMYFUNCTION("""COMPUTED_VALUE"""),0.0)</f>
        <v>0</v>
      </c>
      <c r="X535" s="88"/>
      <c r="Y535" s="74"/>
      <c r="Z535" s="74"/>
    </row>
    <row r="536">
      <c r="B536" s="74" t="str">
        <f>IFERROR(__xludf.DUMMYFUNCTION("""COMPUTED_VALUE"""),"1533")</f>
        <v>1533</v>
      </c>
      <c r="C536" s="74"/>
      <c r="D536" s="74" t="str">
        <f>IFERROR(__xludf.DUMMYFUNCTION("""COMPUTED_VALUE"""),"\\MCA-S\mk\2_BM\0_BMat\08_PYM\Inventario\excel\Imagen de refacciones\Putzmeister\Ball cup 160_40 _ Copa de bola 160_40")</f>
        <v>\\MCA-S\mk\2_BM\0_BMat\08_PYM\Inventario\excel\Imagen de refacciones\Putzmeister\Ball cup 160_40 _ Copa de bola 160_40</v>
      </c>
      <c r="E536" s="74"/>
      <c r="F536" s="74" t="str">
        <f>IFERROR(__xludf.DUMMYFUNCTION("""COMPUTED_VALUE"""),"Ball cup 160/40 / Copa de bola 160/40")</f>
        <v>Ball cup 160/40 / Copa de bola 160/40</v>
      </c>
      <c r="G536" s="74"/>
      <c r="H536" s="74"/>
      <c r="I536" s="74" t="str">
        <f>IFERROR(__xludf.DUMMYFUNCTION("""COMPUTED_VALUE"""),"SOM20041")</f>
        <v>SOM20041</v>
      </c>
      <c r="J536" s="74" t="str">
        <f>IFERROR(__xludf.DUMMYFUNCTION("""COMPUTED_VALUE"""),"87079009")</f>
        <v>87079009</v>
      </c>
      <c r="K536" s="74" t="str">
        <f>IFERROR(__xludf.DUMMYFUNCTION("""COMPUTED_VALUE"""),"Putzmeister")</f>
        <v>Putzmeister</v>
      </c>
      <c r="L536" s="74" t="str">
        <f>IFERROR(__xludf.DUMMYFUNCTION("""COMPUTED_VALUE"""),"Componentes hidráulicos")</f>
        <v>Componentes hidráulicos</v>
      </c>
      <c r="M536" s="74" t="str">
        <f>IFERROR(__xludf.DUMMYFUNCTION("""COMPUTED_VALUE"""),"Sin Asignar")</f>
        <v>Sin Asignar</v>
      </c>
      <c r="N536" s="87">
        <f>IFERROR(__xludf.DUMMYFUNCTION("""COMPUTED_VALUE"""),0.0)</f>
        <v>0</v>
      </c>
      <c r="O536" s="74"/>
      <c r="P536" s="74" t="str">
        <f>IFERROR(__xludf.DUMMYFUNCTION("""COMPUTED_VALUE"""),"No Available")</f>
        <v>No Available</v>
      </c>
      <c r="Q536" s="74"/>
      <c r="R536" s="74"/>
      <c r="S536" s="87">
        <f>IFERROR(__xludf.DUMMYFUNCTION("""COMPUTED_VALUE"""),0.0)</f>
        <v>0</v>
      </c>
      <c r="T536" s="87">
        <f>IFERROR(__xludf.DUMMYFUNCTION("""COMPUTED_VALUE"""),0.0)</f>
        <v>0</v>
      </c>
      <c r="U536" s="87">
        <f>IFERROR(__xludf.DUMMYFUNCTION("""COMPUTED_VALUE"""),0.0)</f>
        <v>0</v>
      </c>
      <c r="V536" s="87">
        <f>IFERROR(__xludf.DUMMYFUNCTION("""COMPUTED_VALUE"""),0.0)</f>
        <v>0</v>
      </c>
      <c r="W536" s="87">
        <f>IFERROR(__xludf.DUMMYFUNCTION("""COMPUTED_VALUE"""),0.0)</f>
        <v>0</v>
      </c>
      <c r="X536" s="88"/>
      <c r="Y536" s="74"/>
      <c r="Z536" s="74"/>
    </row>
    <row r="537">
      <c r="B537" s="74" t="str">
        <f>IFERROR(__xludf.DUMMYFUNCTION("""COMPUTED_VALUE"""),"1534")</f>
        <v>1534</v>
      </c>
      <c r="C537" s="74"/>
      <c r="D537" s="74" t="str">
        <f>IFERROR(__xludf.DUMMYFUNCTION("""COMPUTED_VALUE"""),"\\MCA-S\mk\2_BM\0_BMat\08_PYM\Inventario\excel\Imagen de refacciones\Putzmeister\S VALVE 2318N _ Válvula tipo S modelo 2318N")</f>
        <v>\\MCA-S\mk\2_BM\0_BMat\08_PYM\Inventario\excel\Imagen de refacciones\Putzmeister\S VALVE 2318N _ Válvula tipo S modelo 2318N</v>
      </c>
      <c r="E537" s="74"/>
      <c r="F537" s="74" t="str">
        <f>IFERROR(__xludf.DUMMYFUNCTION("""COMPUTED_VALUE"""),"S VALVE 2318N / Válvula tipo S modelo 2318N")</f>
        <v>S VALVE 2318N / Válvula tipo S modelo 2318N</v>
      </c>
      <c r="G537" s="74"/>
      <c r="H537" s="74"/>
      <c r="I537" s="74" t="str">
        <f>IFERROR(__xludf.DUMMYFUNCTION("""COMPUTED_VALUE"""),"SOM20042")</f>
        <v>SOM20042</v>
      </c>
      <c r="J537" s="74" t="str">
        <f>IFERROR(__xludf.DUMMYFUNCTION("""COMPUTED_VALUE"""),"434023")</f>
        <v>434023</v>
      </c>
      <c r="K537" s="74" t="str">
        <f>IFERROR(__xludf.DUMMYFUNCTION("""COMPUTED_VALUE"""),"Putzmeister")</f>
        <v>Putzmeister</v>
      </c>
      <c r="L537" s="74" t="str">
        <f>IFERROR(__xludf.DUMMYFUNCTION("""COMPUTED_VALUE"""),"Componentes hidráulicos")</f>
        <v>Componentes hidráulicos</v>
      </c>
      <c r="M537" s="74" t="str">
        <f>IFERROR(__xludf.DUMMYFUNCTION("""COMPUTED_VALUE"""),"Sin Asignar")</f>
        <v>Sin Asignar</v>
      </c>
      <c r="N537" s="87">
        <f>IFERROR(__xludf.DUMMYFUNCTION("""COMPUTED_VALUE"""),0.0)</f>
        <v>0</v>
      </c>
      <c r="O537" s="74"/>
      <c r="P537" s="74" t="str">
        <f>IFERROR(__xludf.DUMMYFUNCTION("""COMPUTED_VALUE"""),"No Available")</f>
        <v>No Available</v>
      </c>
      <c r="Q537" s="74"/>
      <c r="R537" s="74"/>
      <c r="S537" s="87">
        <f>IFERROR(__xludf.DUMMYFUNCTION("""COMPUTED_VALUE"""),0.0)</f>
        <v>0</v>
      </c>
      <c r="T537" s="87">
        <f>IFERROR(__xludf.DUMMYFUNCTION("""COMPUTED_VALUE"""),0.0)</f>
        <v>0</v>
      </c>
      <c r="U537" s="87">
        <f>IFERROR(__xludf.DUMMYFUNCTION("""COMPUTED_VALUE"""),0.0)</f>
        <v>0</v>
      </c>
      <c r="V537" s="87">
        <f>IFERROR(__xludf.DUMMYFUNCTION("""COMPUTED_VALUE"""),0.0)</f>
        <v>0</v>
      </c>
      <c r="W537" s="87">
        <f>IFERROR(__xludf.DUMMYFUNCTION("""COMPUTED_VALUE"""),0.0)</f>
        <v>0</v>
      </c>
      <c r="X537" s="88"/>
      <c r="Y537" s="74"/>
      <c r="Z537" s="74"/>
    </row>
    <row r="538">
      <c r="B538" s="74" t="str">
        <f>IFERROR(__xludf.DUMMYFUNCTION("""COMPUTED_VALUE"""),"1535")</f>
        <v>1535</v>
      </c>
      <c r="C538" s="74"/>
      <c r="D538" s="74" t="str">
        <f>IFERROR(__xludf.DUMMYFUNCTION("""COMPUTED_VALUE"""),"\\MCA-S\mk\2_BM\0_BMat\08_PYM\Inventario\excel\Imagen de refacciones\Putzmeister\SPECTACLE WEAR PLATE DURO 22 _ Placa de desgaste tipo _espectáculo_ Duro 22 (1)")</f>
        <v>\\MCA-S\mk\2_BM\0_BMat\08_PYM\Inventario\excel\Imagen de refacciones\Putzmeister\SPECTACLE WEAR PLATE DURO 22 _ Placa de desgaste tipo _espectáculo_ Duro 22 (1)</v>
      </c>
      <c r="E538" s="74"/>
      <c r="F538" s="74" t="str">
        <f>IFERROR(__xludf.DUMMYFUNCTION("""COMPUTED_VALUE"""),"SPECTACLE WEAR PLATE DURO 22 / Placa de desgaste tipo ""espectáculo"" Duro 22")</f>
        <v>SPECTACLE WEAR PLATE DURO 22 / Placa de desgaste tipo "espectáculo" Duro 22</v>
      </c>
      <c r="G538" s="74"/>
      <c r="H538" s="74"/>
      <c r="I538" s="74" t="str">
        <f>IFERROR(__xludf.DUMMYFUNCTION("""COMPUTED_VALUE"""),"som20043")</f>
        <v>som20043</v>
      </c>
      <c r="J538" s="74" t="str">
        <f>IFERROR(__xludf.DUMMYFUNCTION("""COMPUTED_VALUE"""),"261122002")</f>
        <v>261122002</v>
      </c>
      <c r="K538" s="74" t="str">
        <f>IFERROR(__xludf.DUMMYFUNCTION("""COMPUTED_VALUE"""),"Putzmeister")</f>
        <v>Putzmeister</v>
      </c>
      <c r="L538" s="74" t="str">
        <f>IFERROR(__xludf.DUMMYFUNCTION("""COMPUTED_VALUE"""),"Componentes estructurales y de montaje")</f>
        <v>Componentes estructurales y de montaje</v>
      </c>
      <c r="M538" s="74" t="str">
        <f>IFERROR(__xludf.DUMMYFUNCTION("""COMPUTED_VALUE"""),"Sin Asignar")</f>
        <v>Sin Asignar</v>
      </c>
      <c r="N538" s="87">
        <f>IFERROR(__xludf.DUMMYFUNCTION("""COMPUTED_VALUE"""),0.0)</f>
        <v>0</v>
      </c>
      <c r="O538" s="74"/>
      <c r="P538" s="74" t="str">
        <f>IFERROR(__xludf.DUMMYFUNCTION("""COMPUTED_VALUE"""),"No Available")</f>
        <v>No Available</v>
      </c>
      <c r="Q538" s="74"/>
      <c r="R538" s="74"/>
      <c r="S538" s="87">
        <f>IFERROR(__xludf.DUMMYFUNCTION("""COMPUTED_VALUE"""),0.0)</f>
        <v>0</v>
      </c>
      <c r="T538" s="87">
        <f>IFERROR(__xludf.DUMMYFUNCTION("""COMPUTED_VALUE"""),0.0)</f>
        <v>0</v>
      </c>
      <c r="U538" s="87">
        <f>IFERROR(__xludf.DUMMYFUNCTION("""COMPUTED_VALUE"""),0.0)</f>
        <v>0</v>
      </c>
      <c r="V538" s="87">
        <f>IFERROR(__xludf.DUMMYFUNCTION("""COMPUTED_VALUE"""),0.0)</f>
        <v>0</v>
      </c>
      <c r="W538" s="87">
        <f>IFERROR(__xludf.DUMMYFUNCTION("""COMPUTED_VALUE"""),0.0)</f>
        <v>0</v>
      </c>
      <c r="X538" s="88"/>
      <c r="Y538" s="74"/>
      <c r="Z538" s="74"/>
    </row>
    <row r="539">
      <c r="B539" s="74" t="str">
        <f>IFERROR(__xludf.DUMMYFUNCTION("""COMPUTED_VALUE"""),"1536")</f>
        <v>1536</v>
      </c>
      <c r="C539" s="74"/>
      <c r="D539" s="74" t="str">
        <f>IFERROR(__xludf.DUMMYFUNCTION("""COMPUTED_VALUE"""),"\\MCA-S\mk\2_BM\0_BMat\08_PYM\Inventario\excel\Imagen de refacciones\Putzmeister\wear ring duro 22 _ Anillo de desgaste Duro 22 (1)")</f>
        <v>\\MCA-S\mk\2_BM\0_BMat\08_PYM\Inventario\excel\Imagen de refacciones\Putzmeister\wear ring duro 22 _ Anillo de desgaste Duro 22 (1)</v>
      </c>
      <c r="E539" s="74"/>
      <c r="F539" s="74" t="str">
        <f>IFERROR(__xludf.DUMMYFUNCTION("""COMPUTED_VALUE"""),"wear ring duro 22 / Anillo de desgaste Duro 22")</f>
        <v>wear ring duro 22 / Anillo de desgaste Duro 22</v>
      </c>
      <c r="G539" s="74"/>
      <c r="H539" s="74"/>
      <c r="I539" s="74" t="str">
        <f>IFERROR(__xludf.DUMMYFUNCTION("""COMPUTED_VALUE"""),"SOM20044")</f>
        <v>SOM20044</v>
      </c>
      <c r="J539" s="74" t="str">
        <f>IFERROR(__xludf.DUMMYFUNCTION("""COMPUTED_VALUE"""),"261123001 / 285180004 / 269866001")</f>
        <v>261123001 / 285180004 / 269866001</v>
      </c>
      <c r="K539" s="74" t="str">
        <f>IFERROR(__xludf.DUMMYFUNCTION("""COMPUTED_VALUE"""),"Putzmeister")</f>
        <v>Putzmeister</v>
      </c>
      <c r="L539" s="74" t="str">
        <f>IFERROR(__xludf.DUMMYFUNCTION("""COMPUTED_VALUE"""),"Sellos y retenes")</f>
        <v>Sellos y retenes</v>
      </c>
      <c r="M539" s="74" t="str">
        <f>IFERROR(__xludf.DUMMYFUNCTION("""COMPUTED_VALUE"""),"Sin Asignar")</f>
        <v>Sin Asignar</v>
      </c>
      <c r="N539" s="87">
        <f>IFERROR(__xludf.DUMMYFUNCTION("""COMPUTED_VALUE"""),0.0)</f>
        <v>0</v>
      </c>
      <c r="O539" s="74"/>
      <c r="P539" s="74" t="str">
        <f>IFERROR(__xludf.DUMMYFUNCTION("""COMPUTED_VALUE"""),"borrar")</f>
        <v>borrar</v>
      </c>
      <c r="Q539" s="74"/>
      <c r="R539" s="74"/>
      <c r="S539" s="87">
        <f>IFERROR(__xludf.DUMMYFUNCTION("""COMPUTED_VALUE"""),0.0)</f>
        <v>0</v>
      </c>
      <c r="T539" s="87">
        <f>IFERROR(__xludf.DUMMYFUNCTION("""COMPUTED_VALUE"""),0.0)</f>
        <v>0</v>
      </c>
      <c r="U539" s="87">
        <f>IFERROR(__xludf.DUMMYFUNCTION("""COMPUTED_VALUE"""),0.0)</f>
        <v>0</v>
      </c>
      <c r="V539" s="87">
        <f>IFERROR(__xludf.DUMMYFUNCTION("""COMPUTED_VALUE"""),0.0)</f>
        <v>0</v>
      </c>
      <c r="W539" s="87">
        <f>IFERROR(__xludf.DUMMYFUNCTION("""COMPUTED_VALUE"""),0.0)</f>
        <v>0</v>
      </c>
      <c r="X539" s="88"/>
      <c r="Y539" s="74"/>
      <c r="Z539" s="74"/>
    </row>
    <row r="540">
      <c r="B540" s="74" t="str">
        <f>IFERROR(__xludf.DUMMYFUNCTION("""COMPUTED_VALUE"""),"1537")</f>
        <v>1537</v>
      </c>
      <c r="C540" s="74"/>
      <c r="D540" s="74" t="str">
        <f>IFERROR(__xludf.DUMMYFUNCTION("""COMPUTED_VALUE"""),"\\MCA-S\mk\2_BM\0_BMat\08_PYM\Inventario\excel\Imagen de refacciones\Putzmeister\DN230 THRUST RING WITH STEEL _ Anillo de empuje DN230 con refuerzo de acero")</f>
        <v>\\MCA-S\mk\2_BM\0_BMat\08_PYM\Inventario\excel\Imagen de refacciones\Putzmeister\DN230 THRUST RING WITH STEEL _ Anillo de empuje DN230 con refuerzo de acero</v>
      </c>
      <c r="E540" s="74"/>
      <c r="F540" s="74" t="str">
        <f>IFERROR(__xludf.DUMMYFUNCTION("""COMPUTED_VALUE"""),"DN230 THRUST RING WITH STEEL / Anillo de empuje DN230 con refuerzo de acero")</f>
        <v>DN230 THRUST RING WITH STEEL / Anillo de empuje DN230 con refuerzo de acero</v>
      </c>
      <c r="G540" s="74"/>
      <c r="H540" s="74"/>
      <c r="I540" s="74" t="str">
        <f>IFERROR(__xludf.DUMMYFUNCTION("""COMPUTED_VALUE"""),"SOM20046")</f>
        <v>SOM20046</v>
      </c>
      <c r="J540" s="74" t="str">
        <f>IFERROR(__xludf.DUMMYFUNCTION("""COMPUTED_VALUE"""),"458878 / 2695520004")</f>
        <v>458878 / 2695520004</v>
      </c>
      <c r="K540" s="74" t="str">
        <f>IFERROR(__xludf.DUMMYFUNCTION("""COMPUTED_VALUE"""),"Putzmeister")</f>
        <v>Putzmeister</v>
      </c>
      <c r="L540" s="74" t="str">
        <f>IFERROR(__xludf.DUMMYFUNCTION("""COMPUTED_VALUE"""),"Componentes estructurales y de montaje")</f>
        <v>Componentes estructurales y de montaje</v>
      </c>
      <c r="M540" s="74" t="str">
        <f>IFERROR(__xludf.DUMMYFUNCTION("""COMPUTED_VALUE"""),"Sin Asignar")</f>
        <v>Sin Asignar</v>
      </c>
      <c r="N540" s="87">
        <f>IFERROR(__xludf.DUMMYFUNCTION("""COMPUTED_VALUE"""),0.0)</f>
        <v>0</v>
      </c>
      <c r="O540" s="74"/>
      <c r="P540" s="74" t="str">
        <f>IFERROR(__xludf.DUMMYFUNCTION("""COMPUTED_VALUE"""),"No Available")</f>
        <v>No Available</v>
      </c>
      <c r="Q540" s="74"/>
      <c r="R540" s="74"/>
      <c r="S540" s="87">
        <f>IFERROR(__xludf.DUMMYFUNCTION("""COMPUTED_VALUE"""),0.0)</f>
        <v>0</v>
      </c>
      <c r="T540" s="87">
        <f>IFERROR(__xludf.DUMMYFUNCTION("""COMPUTED_VALUE"""),0.0)</f>
        <v>0</v>
      </c>
      <c r="U540" s="87">
        <f>IFERROR(__xludf.DUMMYFUNCTION("""COMPUTED_VALUE"""),0.0)</f>
        <v>0</v>
      </c>
      <c r="V540" s="87">
        <f>IFERROR(__xludf.DUMMYFUNCTION("""COMPUTED_VALUE"""),0.0)</f>
        <v>0</v>
      </c>
      <c r="W540" s="87">
        <f>IFERROR(__xludf.DUMMYFUNCTION("""COMPUTED_VALUE"""),0.0)</f>
        <v>0</v>
      </c>
      <c r="X540" s="88"/>
      <c r="Y540" s="74"/>
      <c r="Z540" s="74"/>
    </row>
    <row r="541">
      <c r="B541" s="74" t="str">
        <f>IFERROR(__xludf.DUMMYFUNCTION("""COMPUTED_VALUE"""),"1538")</f>
        <v>1538</v>
      </c>
      <c r="C541" s="74"/>
      <c r="D541" s="74" t="str">
        <f>IFERROR(__xludf.DUMMYFUNCTION("""COMPUTED_VALUE"""),"\\MCA-S\mk\2_BM\0_BMat\08_PYM\Inventario\excel\Imagen de refacciones\Putzmeister\S VALVE SHAFT Q90 _ Eje para válvula tipo S modelo Q90")</f>
        <v>\\MCA-S\mk\2_BM\0_BMat\08_PYM\Inventario\excel\Imagen de refacciones\Putzmeister\S VALVE SHAFT Q90 _ Eje para válvula tipo S modelo Q90</v>
      </c>
      <c r="E541" s="74"/>
      <c r="F541" s="74" t="str">
        <f>IFERROR(__xludf.DUMMYFUNCTION("""COMPUTED_VALUE"""),"S VALVE SHAFT Q90 / Eje para válvula tipo S modelo Q90")</f>
        <v>S VALVE SHAFT Q90 / Eje para válvula tipo S modelo Q90</v>
      </c>
      <c r="G541" s="74"/>
      <c r="H541" s="74"/>
      <c r="I541" s="74" t="str">
        <f>IFERROR(__xludf.DUMMYFUNCTION("""COMPUTED_VALUE"""),"SOM20047")</f>
        <v>SOM20047</v>
      </c>
      <c r="J541" s="74"/>
      <c r="K541" s="74" t="str">
        <f>IFERROR(__xludf.DUMMYFUNCTION("""COMPUTED_VALUE"""),"Putzmeister")</f>
        <v>Putzmeister</v>
      </c>
      <c r="L541" s="74" t="str">
        <f>IFERROR(__xludf.DUMMYFUNCTION("""COMPUTED_VALUE"""),"Componentes hidráulicos")</f>
        <v>Componentes hidráulicos</v>
      </c>
      <c r="M541" s="74" t="str">
        <f>IFERROR(__xludf.DUMMYFUNCTION("""COMPUTED_VALUE"""),"Sin Asignar")</f>
        <v>Sin Asignar</v>
      </c>
      <c r="N541" s="87">
        <f>IFERROR(__xludf.DUMMYFUNCTION("""COMPUTED_VALUE"""),0.0)</f>
        <v>0</v>
      </c>
      <c r="O541" s="74"/>
      <c r="P541" s="74" t="str">
        <f>IFERROR(__xludf.DUMMYFUNCTION("""COMPUTED_VALUE"""),"No Available")</f>
        <v>No Available</v>
      </c>
      <c r="Q541" s="74"/>
      <c r="R541" s="74"/>
      <c r="S541" s="87">
        <f>IFERROR(__xludf.DUMMYFUNCTION("""COMPUTED_VALUE"""),0.0)</f>
        <v>0</v>
      </c>
      <c r="T541" s="87">
        <f>IFERROR(__xludf.DUMMYFUNCTION("""COMPUTED_VALUE"""),0.0)</f>
        <v>0</v>
      </c>
      <c r="U541" s="87">
        <f>IFERROR(__xludf.DUMMYFUNCTION("""COMPUTED_VALUE"""),0.0)</f>
        <v>0</v>
      </c>
      <c r="V541" s="87">
        <f>IFERROR(__xludf.DUMMYFUNCTION("""COMPUTED_VALUE"""),0.0)</f>
        <v>0</v>
      </c>
      <c r="W541" s="87">
        <f>IFERROR(__xludf.DUMMYFUNCTION("""COMPUTED_VALUE"""),0.0)</f>
        <v>0</v>
      </c>
      <c r="X541" s="88"/>
      <c r="Y541" s="74"/>
      <c r="Z541" s="74"/>
    </row>
    <row r="542">
      <c r="B542" s="74" t="str">
        <f>IFERROR(__xludf.DUMMYFUNCTION("""COMPUTED_VALUE"""),"1539")</f>
        <v>1539</v>
      </c>
      <c r="C542" s="74"/>
      <c r="D542" s="74" t="str">
        <f>IFERROR(__xludf.DUMMYFUNCTION("""COMPUTED_VALUE"""),"\\MCA-S\mk\2_BM\0_BMat\08_PYM\Inventario\excel\Imagen de refacciones\Putzmeister\SLEWING LEVER Q90 _ Palanca giratoria Q90")</f>
        <v>\\MCA-S\mk\2_BM\0_BMat\08_PYM\Inventario\excel\Imagen de refacciones\Putzmeister\SLEWING LEVER Q90 _ Palanca giratoria Q90</v>
      </c>
      <c r="E542" s="74"/>
      <c r="F542" s="74" t="str">
        <f>IFERROR(__xludf.DUMMYFUNCTION("""COMPUTED_VALUE"""),"SLEWING LEVER Q90 / Palanca giratoria Q90")</f>
        <v>SLEWING LEVER Q90 / Palanca giratoria Q90</v>
      </c>
      <c r="G542" s="74"/>
      <c r="H542" s="74"/>
      <c r="I542" s="74" t="str">
        <f>IFERROR(__xludf.DUMMYFUNCTION("""COMPUTED_VALUE"""),"SOM20048")</f>
        <v>SOM20048</v>
      </c>
      <c r="J542" s="74" t="str">
        <f>IFERROR(__xludf.DUMMYFUNCTION("""COMPUTED_VALUE"""),"274877001")</f>
        <v>274877001</v>
      </c>
      <c r="K542" s="74" t="str">
        <f>IFERROR(__xludf.DUMMYFUNCTION("""COMPUTED_VALUE"""),"Putzmeister")</f>
        <v>Putzmeister</v>
      </c>
      <c r="L542" s="74" t="str">
        <f>IFERROR(__xludf.DUMMYFUNCTION("""COMPUTED_VALUE"""),"Componentes estructurales y de montaje")</f>
        <v>Componentes estructurales y de montaje</v>
      </c>
      <c r="M542" s="74" t="str">
        <f>IFERROR(__xludf.DUMMYFUNCTION("""COMPUTED_VALUE"""),"Sin Asignar")</f>
        <v>Sin Asignar</v>
      </c>
      <c r="N542" s="87">
        <f>IFERROR(__xludf.DUMMYFUNCTION("""COMPUTED_VALUE"""),0.0)</f>
        <v>0</v>
      </c>
      <c r="O542" s="74"/>
      <c r="P542" s="74" t="str">
        <f>IFERROR(__xludf.DUMMYFUNCTION("""COMPUTED_VALUE"""),"borrar")</f>
        <v>borrar</v>
      </c>
      <c r="Q542" s="74"/>
      <c r="R542" s="74"/>
      <c r="S542" s="87">
        <f>IFERROR(__xludf.DUMMYFUNCTION("""COMPUTED_VALUE"""),0.0)</f>
        <v>0</v>
      </c>
      <c r="T542" s="87">
        <f>IFERROR(__xludf.DUMMYFUNCTION("""COMPUTED_VALUE"""),0.0)</f>
        <v>0</v>
      </c>
      <c r="U542" s="87">
        <f>IFERROR(__xludf.DUMMYFUNCTION("""COMPUTED_VALUE"""),0.0)</f>
        <v>0</v>
      </c>
      <c r="V542" s="87">
        <f>IFERROR(__xludf.DUMMYFUNCTION("""COMPUTED_VALUE"""),0.0)</f>
        <v>0</v>
      </c>
      <c r="W542" s="87">
        <f>IFERROR(__xludf.DUMMYFUNCTION("""COMPUTED_VALUE"""),0.0)</f>
        <v>0</v>
      </c>
      <c r="X542" s="88"/>
      <c r="Y542" s="74"/>
      <c r="Z542" s="74"/>
    </row>
    <row r="543">
      <c r="B543" s="74" t="str">
        <f>IFERROR(__xludf.DUMMYFUNCTION("""COMPUTED_VALUE"""),"1540")</f>
        <v>1540</v>
      </c>
      <c r="C543" s="74"/>
      <c r="D543" s="74" t="str">
        <f>IFERROR(__xludf.DUMMYFUNCTION("""COMPUTED_VALUE"""),"\\MCA-S\mk\2_BM\0_BMat\08_PYM\Inventario\excel\Imagen de refacciones\Putzmeister\COMPLETE UPPER HOUSING Q90 _ Carcasa superior completa Q90")</f>
        <v>\\MCA-S\mk\2_BM\0_BMat\08_PYM\Inventario\excel\Imagen de refacciones\Putzmeister\COMPLETE UPPER HOUSING Q90 _ Carcasa superior completa Q90</v>
      </c>
      <c r="E543" s="74"/>
      <c r="F543" s="74" t="str">
        <f>IFERROR(__xludf.DUMMYFUNCTION("""COMPUTED_VALUE"""),"COMPLETE UPPER HOUSING Q90 / Carcasa superior completa Q90")</f>
        <v>COMPLETE UPPER HOUSING Q90 / Carcasa superior completa Q90</v>
      </c>
      <c r="G543" s="74"/>
      <c r="H543" s="74"/>
      <c r="I543" s="74" t="str">
        <f>IFERROR(__xludf.DUMMYFUNCTION("""COMPUTED_VALUE"""),"SOM20049")</f>
        <v>SOM20049</v>
      </c>
      <c r="J543" s="74" t="str">
        <f>IFERROR(__xludf.DUMMYFUNCTION("""COMPUTED_VALUE"""),"27483001")</f>
        <v>27483001</v>
      </c>
      <c r="K543" s="74" t="str">
        <f>IFERROR(__xludf.DUMMYFUNCTION("""COMPUTED_VALUE"""),"Putzmeister")</f>
        <v>Putzmeister</v>
      </c>
      <c r="L543" s="74" t="str">
        <f>IFERROR(__xludf.DUMMYFUNCTION("""COMPUTED_VALUE"""),"Componentes estructurales y de montaje")</f>
        <v>Componentes estructurales y de montaje</v>
      </c>
      <c r="M543" s="74" t="str">
        <f>IFERROR(__xludf.DUMMYFUNCTION("""COMPUTED_VALUE"""),"Sin Asignar")</f>
        <v>Sin Asignar</v>
      </c>
      <c r="N543" s="87">
        <f>IFERROR(__xludf.DUMMYFUNCTION("""COMPUTED_VALUE"""),0.0)</f>
        <v>0</v>
      </c>
      <c r="O543" s="74"/>
      <c r="P543" s="74" t="str">
        <f>IFERROR(__xludf.DUMMYFUNCTION("""COMPUTED_VALUE"""),"No Available")</f>
        <v>No Available</v>
      </c>
      <c r="Q543" s="74"/>
      <c r="R543" s="74"/>
      <c r="S543" s="87">
        <f>IFERROR(__xludf.DUMMYFUNCTION("""COMPUTED_VALUE"""),0.0)</f>
        <v>0</v>
      </c>
      <c r="T543" s="87">
        <f>IFERROR(__xludf.DUMMYFUNCTION("""COMPUTED_VALUE"""),0.0)</f>
        <v>0</v>
      </c>
      <c r="U543" s="87">
        <f>IFERROR(__xludf.DUMMYFUNCTION("""COMPUTED_VALUE"""),0.0)</f>
        <v>0</v>
      </c>
      <c r="V543" s="87">
        <f>IFERROR(__xludf.DUMMYFUNCTION("""COMPUTED_VALUE"""),0.0)</f>
        <v>0</v>
      </c>
      <c r="W543" s="87">
        <f>IFERROR(__xludf.DUMMYFUNCTION("""COMPUTED_VALUE"""),0.0)</f>
        <v>0</v>
      </c>
      <c r="X543" s="88"/>
      <c r="Y543" s="74"/>
      <c r="Z543" s="74"/>
    </row>
    <row r="544">
      <c r="B544" s="74" t="str">
        <f>IFERROR(__xludf.DUMMYFUNCTION("""COMPUTED_VALUE"""),"1541")</f>
        <v>1541</v>
      </c>
      <c r="C544" s="74"/>
      <c r="D544" s="74" t="str">
        <f>IFERROR(__xludf.DUMMYFUNCTION("""COMPUTED_VALUE"""),"\\MCA-S\mk\2_BM\0_BMat\08_PYM\Inventario\excel\Imagen de refacciones\Putzmeister\COLLAR DISC _ Disco de collar (1)")</f>
        <v>\\MCA-S\mk\2_BM\0_BMat\08_PYM\Inventario\excel\Imagen de refacciones\Putzmeister\COLLAR DISC _ Disco de collar (1)</v>
      </c>
      <c r="E544" s="74"/>
      <c r="F544" s="74" t="str">
        <f>IFERROR(__xludf.DUMMYFUNCTION("""COMPUTED_VALUE"""),"COLLAR DISC / Disco de collar")</f>
        <v>COLLAR DISC / Disco de collar</v>
      </c>
      <c r="G544" s="74"/>
      <c r="H544" s="74"/>
      <c r="I544" s="74" t="str">
        <f>IFERROR(__xludf.DUMMYFUNCTION("""COMPUTED_VALUE"""),"SOM20050")</f>
        <v>SOM20050</v>
      </c>
      <c r="J544" s="74" t="str">
        <f>IFERROR(__xludf.DUMMYFUNCTION("""COMPUTED_VALUE"""),"427720")</f>
        <v>427720</v>
      </c>
      <c r="K544" s="74" t="str">
        <f>IFERROR(__xludf.DUMMYFUNCTION("""COMPUTED_VALUE"""),"Putzmeister")</f>
        <v>Putzmeister</v>
      </c>
      <c r="L544" s="74" t="str">
        <f>IFERROR(__xludf.DUMMYFUNCTION("""COMPUTED_VALUE"""),"Componentes estructurales y de montaje")</f>
        <v>Componentes estructurales y de montaje</v>
      </c>
      <c r="M544" s="74" t="str">
        <f>IFERROR(__xludf.DUMMYFUNCTION("""COMPUTED_VALUE"""),"Sin Asignar")</f>
        <v>Sin Asignar</v>
      </c>
      <c r="N544" s="87">
        <f>IFERROR(__xludf.DUMMYFUNCTION("""COMPUTED_VALUE"""),0.0)</f>
        <v>0</v>
      </c>
      <c r="O544" s="74"/>
      <c r="P544" s="74" t="str">
        <f>IFERROR(__xludf.DUMMYFUNCTION("""COMPUTED_VALUE"""),"No Available")</f>
        <v>No Available</v>
      </c>
      <c r="Q544" s="74"/>
      <c r="R544" s="74"/>
      <c r="S544" s="87">
        <f>IFERROR(__xludf.DUMMYFUNCTION("""COMPUTED_VALUE"""),0.0)</f>
        <v>0</v>
      </c>
      <c r="T544" s="87">
        <f>IFERROR(__xludf.DUMMYFUNCTION("""COMPUTED_VALUE"""),0.0)</f>
        <v>0</v>
      </c>
      <c r="U544" s="87">
        <f>IFERROR(__xludf.DUMMYFUNCTION("""COMPUTED_VALUE"""),0.0)</f>
        <v>0</v>
      </c>
      <c r="V544" s="87">
        <f>IFERROR(__xludf.DUMMYFUNCTION("""COMPUTED_VALUE"""),0.0)</f>
        <v>0</v>
      </c>
      <c r="W544" s="87">
        <f>IFERROR(__xludf.DUMMYFUNCTION("""COMPUTED_VALUE"""),0.0)</f>
        <v>0</v>
      </c>
      <c r="X544" s="88"/>
      <c r="Y544" s="74"/>
      <c r="Z544" s="74"/>
    </row>
    <row r="545">
      <c r="B545" s="74" t="str">
        <f>IFERROR(__xludf.DUMMYFUNCTION("""COMPUTED_VALUE"""),"1542")</f>
        <v>1542</v>
      </c>
      <c r="C545" s="74"/>
      <c r="D545" s="74" t="str">
        <f>IFERROR(__xludf.DUMMYFUNCTION("""COMPUTED_VALUE"""),"\\MCA-S\mk\2_BM\0_BMat\08_PYM\Inventario\excel\Imagen de refacciones\Putzmeister\Support flange Q90 _")</f>
        <v>\\MCA-S\mk\2_BM\0_BMat\08_PYM\Inventario\excel\Imagen de refacciones\Putzmeister\Support flange Q90 _</v>
      </c>
      <c r="E545" s="74"/>
      <c r="F545" s="74" t="str">
        <f>IFERROR(__xludf.DUMMYFUNCTION("""COMPUTED_VALUE"""),"Support flange Q90 /")</f>
        <v>Support flange Q90 /</v>
      </c>
      <c r="G545" s="74"/>
      <c r="H545" s="74"/>
      <c r="I545" s="74" t="str">
        <f>IFERROR(__xludf.DUMMYFUNCTION("""COMPUTED_VALUE"""),"SOM20051")</f>
        <v>SOM20051</v>
      </c>
      <c r="J545" s="74" t="str">
        <f>IFERROR(__xludf.DUMMYFUNCTION("""COMPUTED_VALUE"""),"274889002")</f>
        <v>274889002</v>
      </c>
      <c r="K545" s="74" t="str">
        <f>IFERROR(__xludf.DUMMYFUNCTION("""COMPUTED_VALUE"""),"Putzmeister")</f>
        <v>Putzmeister</v>
      </c>
      <c r="L545" s="74" t="str">
        <f>IFERROR(__xludf.DUMMYFUNCTION("""COMPUTED_VALUE"""),"Componentes estructurales y de montaje")</f>
        <v>Componentes estructurales y de montaje</v>
      </c>
      <c r="M545" s="74" t="str">
        <f>IFERROR(__xludf.DUMMYFUNCTION("""COMPUTED_VALUE"""),"Sin Asignar")</f>
        <v>Sin Asignar</v>
      </c>
      <c r="N545" s="87">
        <f>IFERROR(__xludf.DUMMYFUNCTION("""COMPUTED_VALUE"""),0.0)</f>
        <v>0</v>
      </c>
      <c r="O545" s="74"/>
      <c r="P545" s="74" t="str">
        <f>IFERROR(__xludf.DUMMYFUNCTION("""COMPUTED_VALUE"""),"No Available")</f>
        <v>No Available</v>
      </c>
      <c r="Q545" s="74"/>
      <c r="R545" s="74"/>
      <c r="S545" s="87">
        <f>IFERROR(__xludf.DUMMYFUNCTION("""COMPUTED_VALUE"""),0.0)</f>
        <v>0</v>
      </c>
      <c r="T545" s="87">
        <f>IFERROR(__xludf.DUMMYFUNCTION("""COMPUTED_VALUE"""),0.0)</f>
        <v>0</v>
      </c>
      <c r="U545" s="87">
        <f>IFERROR(__xludf.DUMMYFUNCTION("""COMPUTED_VALUE"""),0.0)</f>
        <v>0</v>
      </c>
      <c r="V545" s="87">
        <f>IFERROR(__xludf.DUMMYFUNCTION("""COMPUTED_VALUE"""),0.0)</f>
        <v>0</v>
      </c>
      <c r="W545" s="87">
        <f>IFERROR(__xludf.DUMMYFUNCTION("""COMPUTED_VALUE"""),0.0)</f>
        <v>0</v>
      </c>
      <c r="X545" s="88"/>
      <c r="Y545" s="74"/>
      <c r="Z545" s="74"/>
    </row>
    <row r="546">
      <c r="B546" s="74" t="str">
        <f>IFERROR(__xludf.DUMMYFUNCTION("""COMPUTED_VALUE"""),"1543")</f>
        <v>1543</v>
      </c>
      <c r="C546" s="74"/>
      <c r="D546" s="74" t="str">
        <f>IFERROR(__xludf.DUMMYFUNCTION("""COMPUTED_VALUE"""),"\\MCA-S\mk\2_BM\0_BMat\08_PYM\Inventario\excel\Imagen de refacciones\Putzmeister\WEAR SLEEVE Q90 _ Camisa de desgaste Q90")</f>
        <v>\\MCA-S\mk\2_BM\0_BMat\08_PYM\Inventario\excel\Imagen de refacciones\Putzmeister\WEAR SLEEVE Q90 _ Camisa de desgaste Q90</v>
      </c>
      <c r="E546" s="74"/>
      <c r="F546" s="74" t="str">
        <f>IFERROR(__xludf.DUMMYFUNCTION("""COMPUTED_VALUE"""),"WEAR SLEEVE Q90 / Camisa de desgaste Q90")</f>
        <v>WEAR SLEEVE Q90 / Camisa de desgaste Q90</v>
      </c>
      <c r="G546" s="74"/>
      <c r="H546" s="74"/>
      <c r="I546" s="74" t="str">
        <f>IFERROR(__xludf.DUMMYFUNCTION("""COMPUTED_VALUE"""),"SOM20052")</f>
        <v>SOM20052</v>
      </c>
      <c r="J546" s="74" t="str">
        <f>IFERROR(__xludf.DUMMYFUNCTION("""COMPUTED_VALUE"""),"274884007")</f>
        <v>274884007</v>
      </c>
      <c r="K546" s="74" t="str">
        <f>IFERROR(__xludf.DUMMYFUNCTION("""COMPUTED_VALUE"""),"Putzmeister")</f>
        <v>Putzmeister</v>
      </c>
      <c r="L546" s="74" t="str">
        <f>IFERROR(__xludf.DUMMYFUNCTION("""COMPUTED_VALUE"""),"Sellos y retenes")</f>
        <v>Sellos y retenes</v>
      </c>
      <c r="M546" s="74" t="str">
        <f>IFERROR(__xludf.DUMMYFUNCTION("""COMPUTED_VALUE"""),"Sin Asignar")</f>
        <v>Sin Asignar</v>
      </c>
      <c r="N546" s="87">
        <f>IFERROR(__xludf.DUMMYFUNCTION("""COMPUTED_VALUE"""),0.0)</f>
        <v>0</v>
      </c>
      <c r="O546" s="74"/>
      <c r="P546" s="74" t="str">
        <f>IFERROR(__xludf.DUMMYFUNCTION("""COMPUTED_VALUE"""),"No Available")</f>
        <v>No Available</v>
      </c>
      <c r="Q546" s="74"/>
      <c r="R546" s="74"/>
      <c r="S546" s="87">
        <f>IFERROR(__xludf.DUMMYFUNCTION("""COMPUTED_VALUE"""),0.0)</f>
        <v>0</v>
      </c>
      <c r="T546" s="87">
        <f>IFERROR(__xludf.DUMMYFUNCTION("""COMPUTED_VALUE"""),0.0)</f>
        <v>0</v>
      </c>
      <c r="U546" s="87">
        <f>IFERROR(__xludf.DUMMYFUNCTION("""COMPUTED_VALUE"""),0.0)</f>
        <v>0</v>
      </c>
      <c r="V546" s="87">
        <f>IFERROR(__xludf.DUMMYFUNCTION("""COMPUTED_VALUE"""),0.0)</f>
        <v>0</v>
      </c>
      <c r="W546" s="87">
        <f>IFERROR(__xludf.DUMMYFUNCTION("""COMPUTED_VALUE"""),0.0)</f>
        <v>0</v>
      </c>
      <c r="X546" s="88"/>
      <c r="Y546" s="74"/>
      <c r="Z546" s="74"/>
    </row>
    <row r="547">
      <c r="B547" s="74" t="str">
        <f>IFERROR(__xludf.DUMMYFUNCTION("""COMPUTED_VALUE"""),"1544")</f>
        <v>1544</v>
      </c>
      <c r="C547" s="74" t="str">
        <f>IFERROR(__xludf.DUMMYFUNCTION("""COMPUTED_VALUE"""),"75045880573")</f>
        <v>75045880573</v>
      </c>
      <c r="D547" s="74" t="str">
        <f>IFERROR(__xludf.DUMMYFUNCTION("""COMPUTED_VALUE"""),"\\MCA-S\mk\2_BM\0_BMat\08_PYM\Inventario\excel\Imagen de refacciones\Putzmeister\SEAL SET FOR UPPER HOUSING Q90 _ Juego de sellos para carcasa superior Q90")</f>
        <v>\\MCA-S\mk\2_BM\0_BMat\08_PYM\Inventario\excel\Imagen de refacciones\Putzmeister\SEAL SET FOR UPPER HOUSING Q90 _ Juego de sellos para carcasa superior Q90</v>
      </c>
      <c r="E547" s="74"/>
      <c r="F547" s="74" t="str">
        <f>IFERROR(__xludf.DUMMYFUNCTION("""COMPUTED_VALUE"""),"KIT DE SELLOS PARA GUÍAS DE ALOJAMIENTO 90 MM PARA BOMBA DE HORMIGON")</f>
        <v>KIT DE SELLOS PARA GUÍAS DE ALOJAMIENTO 90 MM PARA BOMBA DE HORMIGON</v>
      </c>
      <c r="G547" s="74"/>
      <c r="H547" s="74"/>
      <c r="I547" s="74" t="str">
        <f>IFERROR(__xludf.DUMMYFUNCTION("""COMPUTED_VALUE"""),"SOM20053")</f>
        <v>SOM20053</v>
      </c>
      <c r="J547" s="74" t="str">
        <f>IFERROR(__xludf.DUMMYFUNCTION("""COMPUTED_VALUE"""),"274893001KIT")</f>
        <v>274893001KIT</v>
      </c>
      <c r="K547" s="74" t="str">
        <f>IFERROR(__xludf.DUMMYFUNCTION("""COMPUTED_VALUE"""),"Putzmeister")</f>
        <v>Putzmeister</v>
      </c>
      <c r="L547" s="74" t="str">
        <f>IFERROR(__xludf.DUMMYFUNCTION("""COMPUTED_VALUE"""),"Sellos y retenes")</f>
        <v>Sellos y retenes</v>
      </c>
      <c r="M547" s="74" t="str">
        <f>IFERROR(__xludf.DUMMYFUNCTION("""COMPUTED_VALUE"""),"Sin Asignar")</f>
        <v>Sin Asignar</v>
      </c>
      <c r="N547" s="87">
        <f>IFERROR(__xludf.DUMMYFUNCTION("""COMPUTED_VALUE"""),0.0)</f>
        <v>0</v>
      </c>
      <c r="O547" s="74"/>
      <c r="P547" s="74" t="str">
        <f>IFERROR(__xludf.DUMMYFUNCTION("""COMPUTED_VALUE"""),"borrar")</f>
        <v>borrar</v>
      </c>
      <c r="Q547" s="74"/>
      <c r="R547" s="74"/>
      <c r="S547" s="87">
        <f>IFERROR(__xludf.DUMMYFUNCTION("""COMPUTED_VALUE"""),0.0)</f>
        <v>0</v>
      </c>
      <c r="T547" s="87">
        <f>IFERROR(__xludf.DUMMYFUNCTION("""COMPUTED_VALUE"""),0.0)</f>
        <v>0</v>
      </c>
      <c r="U547" s="87">
        <f>IFERROR(__xludf.DUMMYFUNCTION("""COMPUTED_VALUE"""),0.0)</f>
        <v>0</v>
      </c>
      <c r="V547" s="87">
        <f>IFERROR(__xludf.DUMMYFUNCTION("""COMPUTED_VALUE"""),0.0)</f>
        <v>0</v>
      </c>
      <c r="W547" s="87">
        <f>IFERROR(__xludf.DUMMYFUNCTION("""COMPUTED_VALUE"""),0.0)</f>
        <v>0</v>
      </c>
      <c r="X547" s="88"/>
      <c r="Y547" s="74"/>
      <c r="Z547" s="74"/>
    </row>
    <row r="548">
      <c r="B548" s="74" t="str">
        <f>IFERROR(__xludf.DUMMYFUNCTION("""COMPUTED_VALUE"""),"1545")</f>
        <v>1545</v>
      </c>
      <c r="C548" s="74"/>
      <c r="D548" s="74" t="str">
        <f>IFERROR(__xludf.DUMMYFUNCTION("""COMPUTED_VALUE"""),"\\MCA-S\mk\2_BM\0_BMat\08_PYM\Inventario\excel\Imagen de refacciones\Putzmeister\Complete upper housing Q90 New type _ Carcasa superior completa Q90 (nuevo modelo)")</f>
        <v>\\MCA-S\mk\2_BM\0_BMat\08_PYM\Inventario\excel\Imagen de refacciones\Putzmeister\Complete upper housing Q90 New type _ Carcasa superior completa Q90 (nuevo modelo)</v>
      </c>
      <c r="E548" s="74"/>
      <c r="F548" s="74" t="str">
        <f>IFERROR(__xludf.DUMMYFUNCTION("""COMPUTED_VALUE"""),"Complete upper housing Q90 New type / Carcasa superior completa Q90 (nuevo modelo)")</f>
        <v>Complete upper housing Q90 New type / Carcasa superior completa Q90 (nuevo modelo)</v>
      </c>
      <c r="G548" s="74"/>
      <c r="H548" s="74"/>
      <c r="I548" s="74" t="str">
        <f>IFERROR(__xludf.DUMMYFUNCTION("""COMPUTED_VALUE"""),"SOM20054")</f>
        <v>SOM20054</v>
      </c>
      <c r="J548" s="74" t="str">
        <f>IFERROR(__xludf.DUMMYFUNCTION("""COMPUTED_VALUE"""),"519127")</f>
        <v>519127</v>
      </c>
      <c r="K548" s="74" t="str">
        <f>IFERROR(__xludf.DUMMYFUNCTION("""COMPUTED_VALUE"""),"Putzmeister")</f>
        <v>Putzmeister</v>
      </c>
      <c r="L548" s="74" t="str">
        <f>IFERROR(__xludf.DUMMYFUNCTION("""COMPUTED_VALUE"""),"Componentes estructurales y de montaje")</f>
        <v>Componentes estructurales y de montaje</v>
      </c>
      <c r="M548" s="74" t="str">
        <f>IFERROR(__xludf.DUMMYFUNCTION("""COMPUTED_VALUE"""),"Sin Asignar")</f>
        <v>Sin Asignar</v>
      </c>
      <c r="N548" s="87">
        <f>IFERROR(__xludf.DUMMYFUNCTION("""COMPUTED_VALUE"""),0.0)</f>
        <v>0</v>
      </c>
      <c r="O548" s="74"/>
      <c r="P548" s="74" t="str">
        <f>IFERROR(__xludf.DUMMYFUNCTION("""COMPUTED_VALUE"""),"borrar")</f>
        <v>borrar</v>
      </c>
      <c r="Q548" s="74"/>
      <c r="R548" s="74"/>
      <c r="S548" s="87">
        <f>IFERROR(__xludf.DUMMYFUNCTION("""COMPUTED_VALUE"""),0.0)</f>
        <v>0</v>
      </c>
      <c r="T548" s="87">
        <f>IFERROR(__xludf.DUMMYFUNCTION("""COMPUTED_VALUE"""),0.0)</f>
        <v>0</v>
      </c>
      <c r="U548" s="87">
        <f>IFERROR(__xludf.DUMMYFUNCTION("""COMPUTED_VALUE"""),0.0)</f>
        <v>0</v>
      </c>
      <c r="V548" s="87">
        <f>IFERROR(__xludf.DUMMYFUNCTION("""COMPUTED_VALUE"""),0.0)</f>
        <v>0</v>
      </c>
      <c r="W548" s="87">
        <f>IFERROR(__xludf.DUMMYFUNCTION("""COMPUTED_VALUE"""),0.0)</f>
        <v>0</v>
      </c>
      <c r="X548" s="88"/>
      <c r="Y548" s="74"/>
      <c r="Z548" s="74"/>
    </row>
    <row r="549">
      <c r="B549" s="74" t="str">
        <f>IFERROR(__xludf.DUMMYFUNCTION("""COMPUTED_VALUE"""),"1546")</f>
        <v>1546</v>
      </c>
      <c r="C549" s="74" t="str">
        <f>IFERROR(__xludf.DUMMYFUNCTION("""COMPUTED_VALUE"""),"75045880423")</f>
        <v>75045880423</v>
      </c>
      <c r="D549" s="74" t="str">
        <f>IFERROR(__xludf.DUMMYFUNCTION("""COMPUTED_VALUE"""),"\\MCA-S\mk\2_BM\0_BMat\08_PYM\Inventario\excel\Imagen de refacciones\Putzmeister\Plunger cylinder Q160-80 _ Cilindro de émbolo Q160-80")</f>
        <v>\\MCA-S\mk\2_BM\0_BMat\08_PYM\Inventario\excel\Imagen de refacciones\Putzmeister\Plunger cylinder Q160-80 _ Cilindro de émbolo Q160-80</v>
      </c>
      <c r="E549" s="74" t="str">
        <f>IFERROR(__xludf.DUMMYFUNCTION("""COMPUTED_VALUE"""),"PLUNGER CYLINDER 160-80")</f>
        <v>PLUNGER CYLINDER 160-80</v>
      </c>
      <c r="F549" s="74" t="str">
        <f>IFERROR(__xludf.DUMMYFUNCTION("""COMPUTED_VALUE"""),"CILINDRO CAMBIO/ GATO BUZO 160-80")</f>
        <v>CILINDRO CAMBIO/ GATO BUZO 160-80</v>
      </c>
      <c r="G549" s="74"/>
      <c r="H549" s="74"/>
      <c r="I549" s="74" t="str">
        <f>IFERROR(__xludf.DUMMYFUNCTION("""COMPUTED_VALUE"""),"C40224400")</f>
        <v>C40224400</v>
      </c>
      <c r="J549" s="74"/>
      <c r="K549" s="74" t="str">
        <f>IFERROR(__xludf.DUMMYFUNCTION("""COMPUTED_VALUE"""),"Putzmeister")</f>
        <v>Putzmeister</v>
      </c>
      <c r="L549" s="74" t="str">
        <f>IFERROR(__xludf.DUMMYFUNCTION("""COMPUTED_VALUE"""),"BARRA V-ROCK")</f>
        <v>BARRA V-ROCK</v>
      </c>
      <c r="M549" s="74" t="str">
        <f>IFERROR(__xludf.DUMMYFUNCTION("""COMPUTED_VALUE"""),"PISTONES")</f>
        <v>PISTONES</v>
      </c>
      <c r="N549" s="87">
        <f>IFERROR(__xludf.DUMMYFUNCTION("""COMPUTED_VALUE"""),4138.08)</f>
        <v>4138.08</v>
      </c>
      <c r="O549" s="74">
        <f>IFERROR(__xludf.DUMMYFUNCTION("""COMPUTED_VALUE"""),4.0)</f>
        <v>4</v>
      </c>
      <c r="P549" s="74" t="str">
        <f>IFERROR(__xludf.DUMMYFUNCTION("""COMPUTED_VALUE"""),"In stock")</f>
        <v>In stock</v>
      </c>
      <c r="Q549" s="74"/>
      <c r="R549" s="74"/>
      <c r="S549" s="87">
        <f>IFERROR(__xludf.DUMMYFUNCTION("""COMPUTED_VALUE"""),80.0)</f>
        <v>80</v>
      </c>
      <c r="T549" s="87">
        <f>IFERROR(__xludf.DUMMYFUNCTION("""COMPUTED_VALUE"""),233.0)</f>
        <v>233</v>
      </c>
      <c r="U549" s="87">
        <f>IFERROR(__xludf.DUMMYFUNCTION("""COMPUTED_VALUE"""),223.67999999999998)</f>
        <v>223.68</v>
      </c>
      <c r="V549" s="87">
        <f>IFERROR(__xludf.DUMMYFUNCTION("""COMPUTED_VALUE"""),98.0)</f>
        <v>98</v>
      </c>
      <c r="W549" s="87">
        <f>IFERROR(__xludf.DUMMYFUNCTION("""COMPUTED_VALUE"""),1837.5)</f>
        <v>1837.5</v>
      </c>
      <c r="X549" s="88">
        <f>IFERROR(__xludf.DUMMYFUNCTION("""COMPUTED_VALUE"""),2.796)</f>
        <v>2.796</v>
      </c>
      <c r="Y549" s="74"/>
      <c r="Z549" s="74"/>
    </row>
    <row r="550">
      <c r="B550" s="74" t="str">
        <f>IFERROR(__xludf.DUMMYFUNCTION("""COMPUTED_VALUE"""),"1547")</f>
        <v>1547</v>
      </c>
      <c r="C550" s="74"/>
      <c r="D550" s="74" t="str">
        <f>IFERROR(__xludf.DUMMYFUNCTION("""COMPUTED_VALUE"""),"\\MCA-S\mk\2_BM\0_BMat\08_PYM\Inventario\excel\Imagen de refacciones\Putzmeister\Plunger tube Q160-80 _ Tubo de émbolo Q160-80")</f>
        <v>\\MCA-S\mk\2_BM\0_BMat\08_PYM\Inventario\excel\Imagen de refacciones\Putzmeister\Plunger tube Q160-80 _ Tubo de émbolo Q160-80</v>
      </c>
      <c r="E550" s="74"/>
      <c r="F550" s="74" t="str">
        <f>IFERROR(__xludf.DUMMYFUNCTION("""COMPUTED_VALUE"""),"Plunger tube Q160-80 / Tubo de émbolo Q160-80")</f>
        <v>Plunger tube Q160-80 / Tubo de émbolo Q160-80</v>
      </c>
      <c r="G550" s="74"/>
      <c r="H550" s="74"/>
      <c r="I550" s="74" t="str">
        <f>IFERROR(__xludf.DUMMYFUNCTION("""COMPUTED_VALUE"""),"SOM20056")</f>
        <v>SOM20056</v>
      </c>
      <c r="J550" s="74" t="str">
        <f>IFERROR(__xludf.DUMMYFUNCTION("""COMPUTED_VALUE"""),"247574001")</f>
        <v>247574001</v>
      </c>
      <c r="K550" s="74" t="str">
        <f>IFERROR(__xludf.DUMMYFUNCTION("""COMPUTED_VALUE"""),"Putzmeister")</f>
        <v>Putzmeister</v>
      </c>
      <c r="L550" s="74" t="str">
        <f>IFERROR(__xludf.DUMMYFUNCTION("""COMPUTED_VALUE"""),"Componentes hidráulicos")</f>
        <v>Componentes hidráulicos</v>
      </c>
      <c r="M550" s="74" t="str">
        <f>IFERROR(__xludf.DUMMYFUNCTION("""COMPUTED_VALUE"""),"Sin Asignar")</f>
        <v>Sin Asignar</v>
      </c>
      <c r="N550" s="87">
        <f>IFERROR(__xludf.DUMMYFUNCTION("""COMPUTED_VALUE"""),0.0)</f>
        <v>0</v>
      </c>
      <c r="O550" s="74"/>
      <c r="P550" s="74" t="str">
        <f>IFERROR(__xludf.DUMMYFUNCTION("""COMPUTED_VALUE"""),"No Available")</f>
        <v>No Available</v>
      </c>
      <c r="Q550" s="74"/>
      <c r="R550" s="74"/>
      <c r="S550" s="87">
        <f>IFERROR(__xludf.DUMMYFUNCTION("""COMPUTED_VALUE"""),0.0)</f>
        <v>0</v>
      </c>
      <c r="T550" s="87">
        <f>IFERROR(__xludf.DUMMYFUNCTION("""COMPUTED_VALUE"""),0.0)</f>
        <v>0</v>
      </c>
      <c r="U550" s="87">
        <f>IFERROR(__xludf.DUMMYFUNCTION("""COMPUTED_VALUE"""),0.0)</f>
        <v>0</v>
      </c>
      <c r="V550" s="87">
        <f>IFERROR(__xludf.DUMMYFUNCTION("""COMPUTED_VALUE"""),0.0)</f>
        <v>0</v>
      </c>
      <c r="W550" s="87">
        <f>IFERROR(__xludf.DUMMYFUNCTION("""COMPUTED_VALUE"""),0.0)</f>
        <v>0</v>
      </c>
      <c r="X550" s="88"/>
      <c r="Y550" s="74"/>
      <c r="Z550" s="74"/>
    </row>
    <row r="551">
      <c r="B551" s="74" t="str">
        <f>IFERROR(__xludf.DUMMYFUNCTION("""COMPUTED_VALUE"""),"1548")</f>
        <v>1548</v>
      </c>
      <c r="C551" s="74"/>
      <c r="D551" s="74" t="str">
        <f>IFERROR(__xludf.DUMMYFUNCTION("""COMPUTED_VALUE"""),"\\MCA-S\mk\2_BM\0_BMat\08_PYM\Inventario\excel\Imagen de refacciones\Putzmeister\Piston Rod Q160-80 _ Vástago de pistón Q160-80")</f>
        <v>\\MCA-S\mk\2_BM\0_BMat\08_PYM\Inventario\excel\Imagen de refacciones\Putzmeister\Piston Rod Q160-80 _ Vástago de pistón Q160-80</v>
      </c>
      <c r="E551" s="74"/>
      <c r="F551" s="74" t="str">
        <f>IFERROR(__xludf.DUMMYFUNCTION("""COMPUTED_VALUE"""),"Piston Rod Q160-80 / Vástago de pistón Q160-80")</f>
        <v>Piston Rod Q160-80 / Vástago de pistón Q160-80</v>
      </c>
      <c r="G551" s="74"/>
      <c r="H551" s="74"/>
      <c r="I551" s="74" t="str">
        <f>IFERROR(__xludf.DUMMYFUNCTION("""COMPUTED_VALUE"""),"SOM20057")</f>
        <v>SOM20057</v>
      </c>
      <c r="J551" s="74" t="str">
        <f>IFERROR(__xludf.DUMMYFUNCTION("""COMPUTED_VALUE"""),"247573002")</f>
        <v>247573002</v>
      </c>
      <c r="K551" s="74" t="str">
        <f>IFERROR(__xludf.DUMMYFUNCTION("""COMPUTED_VALUE"""),"Putzmeister")</f>
        <v>Putzmeister</v>
      </c>
      <c r="L551" s="74" t="str">
        <f>IFERROR(__xludf.DUMMYFUNCTION("""COMPUTED_VALUE"""),"Componentes hidráulicos")</f>
        <v>Componentes hidráulicos</v>
      </c>
      <c r="M551" s="74" t="str">
        <f>IFERROR(__xludf.DUMMYFUNCTION("""COMPUTED_VALUE"""),"Sin Asignar")</f>
        <v>Sin Asignar</v>
      </c>
      <c r="N551" s="87">
        <f>IFERROR(__xludf.DUMMYFUNCTION("""COMPUTED_VALUE"""),0.0)</f>
        <v>0</v>
      </c>
      <c r="O551" s="74"/>
      <c r="P551" s="74" t="str">
        <f>IFERROR(__xludf.DUMMYFUNCTION("""COMPUTED_VALUE"""),"No Available")</f>
        <v>No Available</v>
      </c>
      <c r="Q551" s="74"/>
      <c r="R551" s="74"/>
      <c r="S551" s="87">
        <f>IFERROR(__xludf.DUMMYFUNCTION("""COMPUTED_VALUE"""),0.0)</f>
        <v>0</v>
      </c>
      <c r="T551" s="87">
        <f>IFERROR(__xludf.DUMMYFUNCTION("""COMPUTED_VALUE"""),0.0)</f>
        <v>0</v>
      </c>
      <c r="U551" s="87">
        <f>IFERROR(__xludf.DUMMYFUNCTION("""COMPUTED_VALUE"""),0.0)</f>
        <v>0</v>
      </c>
      <c r="V551" s="87">
        <f>IFERROR(__xludf.DUMMYFUNCTION("""COMPUTED_VALUE"""),0.0)</f>
        <v>0</v>
      </c>
      <c r="W551" s="87">
        <f>IFERROR(__xludf.DUMMYFUNCTION("""COMPUTED_VALUE"""),0.0)</f>
        <v>0</v>
      </c>
      <c r="X551" s="88"/>
      <c r="Y551" s="74"/>
      <c r="Z551" s="74"/>
    </row>
    <row r="552">
      <c r="B552" s="74" t="str">
        <f>IFERROR(__xludf.DUMMYFUNCTION("""COMPUTED_VALUE"""),"1549")</f>
        <v>1549</v>
      </c>
      <c r="C552" s="74"/>
      <c r="D552" s="74" t="str">
        <f>IFERROR(__xludf.DUMMYFUNCTION("""COMPUTED_VALUE"""),"\\MCA-S\mk\2_BM\0_BMat\08_PYM\Inventario\excel\Imagen de refacciones\Putzmeister\Seal set for plunger cylinder Q160-80 _Juego de sellos para cilindro de émbolo Q160-80")</f>
        <v>\\MCA-S\mk\2_BM\0_BMat\08_PYM\Inventario\excel\Imagen de refacciones\Putzmeister\Seal set for plunger cylinder Q160-80 _Juego de sellos para cilindro de émbolo Q160-80</v>
      </c>
      <c r="E552" s="74"/>
      <c r="F552" s="74" t="str">
        <f>IFERROR(__xludf.DUMMYFUNCTION("""COMPUTED_VALUE"""),"Seal set for plunger cylinder Q160-80 /Juego de sellos para cilindro de émbolo Q160-80")</f>
        <v>Seal set for plunger cylinder Q160-80 /Juego de sellos para cilindro de émbolo Q160-80</v>
      </c>
      <c r="G552" s="74"/>
      <c r="H552" s="74"/>
      <c r="I552" s="74" t="str">
        <f>IFERROR(__xludf.DUMMYFUNCTION("""COMPUTED_VALUE"""),"som20058")</f>
        <v>som20058</v>
      </c>
      <c r="J552" s="74" t="str">
        <f>IFERROR(__xludf.DUMMYFUNCTION("""COMPUTED_VALUE"""),"247093003kit")</f>
        <v>247093003kit</v>
      </c>
      <c r="K552" s="74" t="str">
        <f>IFERROR(__xludf.DUMMYFUNCTION("""COMPUTED_VALUE"""),"Putzmeister")</f>
        <v>Putzmeister</v>
      </c>
      <c r="L552" s="74" t="str">
        <f>IFERROR(__xludf.DUMMYFUNCTION("""COMPUTED_VALUE"""),"Sellos y retenes")</f>
        <v>Sellos y retenes</v>
      </c>
      <c r="M552" s="74" t="str">
        <f>IFERROR(__xludf.DUMMYFUNCTION("""COMPUTED_VALUE"""),"Sin Asignar")</f>
        <v>Sin Asignar</v>
      </c>
      <c r="N552" s="87">
        <f>IFERROR(__xludf.DUMMYFUNCTION("""COMPUTED_VALUE"""),0.0)</f>
        <v>0</v>
      </c>
      <c r="O552" s="74"/>
      <c r="P552" s="74" t="str">
        <f>IFERROR(__xludf.DUMMYFUNCTION("""COMPUTED_VALUE"""),"No Available")</f>
        <v>No Available</v>
      </c>
      <c r="Q552" s="74"/>
      <c r="R552" s="74"/>
      <c r="S552" s="87">
        <f>IFERROR(__xludf.DUMMYFUNCTION("""COMPUTED_VALUE"""),0.0)</f>
        <v>0</v>
      </c>
      <c r="T552" s="87">
        <f>IFERROR(__xludf.DUMMYFUNCTION("""COMPUTED_VALUE"""),0.0)</f>
        <v>0</v>
      </c>
      <c r="U552" s="87">
        <f>IFERROR(__xludf.DUMMYFUNCTION("""COMPUTED_VALUE"""),0.0)</f>
        <v>0</v>
      </c>
      <c r="V552" s="87">
        <f>IFERROR(__xludf.DUMMYFUNCTION("""COMPUTED_VALUE"""),0.0)</f>
        <v>0</v>
      </c>
      <c r="W552" s="87">
        <f>IFERROR(__xludf.DUMMYFUNCTION("""COMPUTED_VALUE"""),0.0)</f>
        <v>0</v>
      </c>
      <c r="X552" s="88"/>
      <c r="Y552" s="74"/>
      <c r="Z552" s="74"/>
    </row>
    <row r="553">
      <c r="B553" s="74" t="str">
        <f>IFERROR(__xludf.DUMMYFUNCTION("""COMPUTED_VALUE"""),"1550")</f>
        <v>1550</v>
      </c>
      <c r="C553" s="74"/>
      <c r="D553" s="74" t="str">
        <f>IFERROR(__xludf.DUMMYFUNCTION("""COMPUTED_VALUE"""),"\\MCA-S\mk\2_BM\0_BMat\08_PYM\Inventario\excel\Imagen de refacciones\Putzmeister\Plunger cylinder Q200-80 _ Cilindro de émbolo Q200-80")</f>
        <v>\\MCA-S\mk\2_BM\0_BMat\08_PYM\Inventario\excel\Imagen de refacciones\Putzmeister\Plunger cylinder Q200-80 _ Cilindro de émbolo Q200-80</v>
      </c>
      <c r="E553" s="74"/>
      <c r="F553" s="74" t="str">
        <f>IFERROR(__xludf.DUMMYFUNCTION("""COMPUTED_VALUE"""),"Plunger cylinder Q200-80 / Cilindro de émbolo Q200-80")</f>
        <v>Plunger cylinder Q200-80 / Cilindro de émbolo Q200-80</v>
      </c>
      <c r="G553" s="74"/>
      <c r="H553" s="74"/>
      <c r="I553" s="74" t="str">
        <f>IFERROR(__xludf.DUMMYFUNCTION("""COMPUTED_VALUE"""),"SOM20063")</f>
        <v>SOM20063</v>
      </c>
      <c r="J553" s="74" t="str">
        <f>IFERROR(__xludf.DUMMYFUNCTION("""COMPUTED_VALUE"""),"278901009")</f>
        <v>278901009</v>
      </c>
      <c r="K553" s="74" t="str">
        <f>IFERROR(__xludf.DUMMYFUNCTION("""COMPUTED_VALUE"""),"Putzmeister")</f>
        <v>Putzmeister</v>
      </c>
      <c r="L553" s="74" t="str">
        <f>IFERROR(__xludf.DUMMYFUNCTION("""COMPUTED_VALUE"""),"Componentes hidráulicos")</f>
        <v>Componentes hidráulicos</v>
      </c>
      <c r="M553" s="74" t="str">
        <f>IFERROR(__xludf.DUMMYFUNCTION("""COMPUTED_VALUE"""),"Sin Asignar")</f>
        <v>Sin Asignar</v>
      </c>
      <c r="N553" s="87">
        <f>IFERROR(__xludf.DUMMYFUNCTION("""COMPUTED_VALUE"""),0.0)</f>
        <v>0</v>
      </c>
      <c r="O553" s="74"/>
      <c r="P553" s="74" t="str">
        <f>IFERROR(__xludf.DUMMYFUNCTION("""COMPUTED_VALUE"""),"No Available")</f>
        <v>No Available</v>
      </c>
      <c r="Q553" s="74"/>
      <c r="R553" s="74"/>
      <c r="S553" s="87">
        <f>IFERROR(__xludf.DUMMYFUNCTION("""COMPUTED_VALUE"""),0.0)</f>
        <v>0</v>
      </c>
      <c r="T553" s="87">
        <f>IFERROR(__xludf.DUMMYFUNCTION("""COMPUTED_VALUE"""),0.0)</f>
        <v>0</v>
      </c>
      <c r="U553" s="87">
        <f>IFERROR(__xludf.DUMMYFUNCTION("""COMPUTED_VALUE"""),0.0)</f>
        <v>0</v>
      </c>
      <c r="V553" s="87">
        <f>IFERROR(__xludf.DUMMYFUNCTION("""COMPUTED_VALUE"""),0.0)</f>
        <v>0</v>
      </c>
      <c r="W553" s="87">
        <f>IFERROR(__xludf.DUMMYFUNCTION("""COMPUTED_VALUE"""),0.0)</f>
        <v>0</v>
      </c>
      <c r="X553" s="88"/>
      <c r="Y553" s="74"/>
      <c r="Z553" s="74"/>
    </row>
    <row r="554">
      <c r="B554" s="74" t="str">
        <f>IFERROR(__xludf.DUMMYFUNCTION("""COMPUTED_VALUE"""),"1551")</f>
        <v>1551</v>
      </c>
      <c r="C554" s="74"/>
      <c r="D554" s="74" t="str">
        <f>IFERROR(__xludf.DUMMYFUNCTION("""COMPUTED_VALUE"""),"\\MCA-S\mk\2_BM\0_BMat\08_PYM\Inventario\excel\Imagen de refacciones\Putzmeister\Plunger tube Q200 - 80 _ Tubo de émbolo Q200-80")</f>
        <v>\\MCA-S\mk\2_BM\0_BMat\08_PYM\Inventario\excel\Imagen de refacciones\Putzmeister\Plunger tube Q200 - 80 _ Tubo de émbolo Q200-80</v>
      </c>
      <c r="E554" s="74"/>
      <c r="F554" s="74" t="str">
        <f>IFERROR(__xludf.DUMMYFUNCTION("""COMPUTED_VALUE"""),"Plunger tube Q200 - 80 / Tubo de émbolo Q200-80")</f>
        <v>Plunger tube Q200 - 80 / Tubo de émbolo Q200-80</v>
      </c>
      <c r="G554" s="74"/>
      <c r="H554" s="74"/>
      <c r="I554" s="74" t="str">
        <f>IFERROR(__xludf.DUMMYFUNCTION("""COMPUTED_VALUE"""),"SOM20064")</f>
        <v>SOM20064</v>
      </c>
      <c r="J554" s="74" t="str">
        <f>IFERROR(__xludf.DUMMYFUNCTION("""COMPUTED_VALUE"""),"278902008")</f>
        <v>278902008</v>
      </c>
      <c r="K554" s="74" t="str">
        <f>IFERROR(__xludf.DUMMYFUNCTION("""COMPUTED_VALUE"""),"Putzmeister")</f>
        <v>Putzmeister</v>
      </c>
      <c r="L554" s="74" t="str">
        <f>IFERROR(__xludf.DUMMYFUNCTION("""COMPUTED_VALUE"""),"Componentes hidráulicos")</f>
        <v>Componentes hidráulicos</v>
      </c>
      <c r="M554" s="74" t="str">
        <f>IFERROR(__xludf.DUMMYFUNCTION("""COMPUTED_VALUE"""),"Sin Asignar")</f>
        <v>Sin Asignar</v>
      </c>
      <c r="N554" s="87">
        <f>IFERROR(__xludf.DUMMYFUNCTION("""COMPUTED_VALUE"""),0.0)</f>
        <v>0</v>
      </c>
      <c r="O554" s="74"/>
      <c r="P554" s="74" t="str">
        <f>IFERROR(__xludf.DUMMYFUNCTION("""COMPUTED_VALUE"""),"No Available")</f>
        <v>No Available</v>
      </c>
      <c r="Q554" s="74"/>
      <c r="R554" s="74"/>
      <c r="S554" s="87">
        <f>IFERROR(__xludf.DUMMYFUNCTION("""COMPUTED_VALUE"""),0.0)</f>
        <v>0</v>
      </c>
      <c r="T554" s="87">
        <f>IFERROR(__xludf.DUMMYFUNCTION("""COMPUTED_VALUE"""),0.0)</f>
        <v>0</v>
      </c>
      <c r="U554" s="87">
        <f>IFERROR(__xludf.DUMMYFUNCTION("""COMPUTED_VALUE"""),0.0)</f>
        <v>0</v>
      </c>
      <c r="V554" s="87">
        <f>IFERROR(__xludf.DUMMYFUNCTION("""COMPUTED_VALUE"""),0.0)</f>
        <v>0</v>
      </c>
      <c r="W554" s="87">
        <f>IFERROR(__xludf.DUMMYFUNCTION("""COMPUTED_VALUE"""),0.0)</f>
        <v>0</v>
      </c>
      <c r="X554" s="88"/>
      <c r="Y554" s="74"/>
      <c r="Z554" s="74"/>
    </row>
    <row r="555">
      <c r="B555" s="74" t="str">
        <f>IFERROR(__xludf.DUMMYFUNCTION("""COMPUTED_VALUE"""),"1552")</f>
        <v>1552</v>
      </c>
      <c r="C555" s="74"/>
      <c r="D555" s="74" t="str">
        <f>IFERROR(__xludf.DUMMYFUNCTION("""COMPUTED_VALUE"""),"\\MCA-S\mk\2_BM\0_BMat\08_PYM\Inventario\excel\Imagen de refacciones\Putzmeister\Piston Rod Q200-80 _ Vástago de pistón Q200-80")</f>
        <v>\\MCA-S\mk\2_BM\0_BMat\08_PYM\Inventario\excel\Imagen de refacciones\Putzmeister\Piston Rod Q200-80 _ Vástago de pistón Q200-80</v>
      </c>
      <c r="E555" s="74"/>
      <c r="F555" s="74" t="str">
        <f>IFERROR(__xludf.DUMMYFUNCTION("""COMPUTED_VALUE"""),"Piston Rod Q200-80 / Vástago de pistón Q200-80")</f>
        <v>Piston Rod Q200-80 / Vástago de pistón Q200-80</v>
      </c>
      <c r="G555" s="74"/>
      <c r="H555" s="74"/>
      <c r="I555" s="74" t="str">
        <f>IFERROR(__xludf.DUMMYFUNCTION("""COMPUTED_VALUE"""),"SOM20065")</f>
        <v>SOM20065</v>
      </c>
      <c r="J555" s="74" t="str">
        <f>IFERROR(__xludf.DUMMYFUNCTION("""COMPUTED_VALUE"""),"278904006")</f>
        <v>278904006</v>
      </c>
      <c r="K555" s="74" t="str">
        <f>IFERROR(__xludf.DUMMYFUNCTION("""COMPUTED_VALUE"""),"Putzmeister")</f>
        <v>Putzmeister</v>
      </c>
      <c r="L555" s="74" t="str">
        <f>IFERROR(__xludf.DUMMYFUNCTION("""COMPUTED_VALUE"""),"Componentes hidráulicos")</f>
        <v>Componentes hidráulicos</v>
      </c>
      <c r="M555" s="74" t="str">
        <f>IFERROR(__xludf.DUMMYFUNCTION("""COMPUTED_VALUE"""),"Sin Asignar")</f>
        <v>Sin Asignar</v>
      </c>
      <c r="N555" s="87">
        <f>IFERROR(__xludf.DUMMYFUNCTION("""COMPUTED_VALUE"""),0.0)</f>
        <v>0</v>
      </c>
      <c r="O555" s="74"/>
      <c r="P555" s="74" t="str">
        <f>IFERROR(__xludf.DUMMYFUNCTION("""COMPUTED_VALUE"""),"No Available")</f>
        <v>No Available</v>
      </c>
      <c r="Q555" s="74"/>
      <c r="R555" s="74"/>
      <c r="S555" s="87">
        <f>IFERROR(__xludf.DUMMYFUNCTION("""COMPUTED_VALUE"""),0.0)</f>
        <v>0</v>
      </c>
      <c r="T555" s="87">
        <f>IFERROR(__xludf.DUMMYFUNCTION("""COMPUTED_VALUE"""),0.0)</f>
        <v>0</v>
      </c>
      <c r="U555" s="87">
        <f>IFERROR(__xludf.DUMMYFUNCTION("""COMPUTED_VALUE"""),0.0)</f>
        <v>0</v>
      </c>
      <c r="V555" s="87">
        <f>IFERROR(__xludf.DUMMYFUNCTION("""COMPUTED_VALUE"""),0.0)</f>
        <v>0</v>
      </c>
      <c r="W555" s="87">
        <f>IFERROR(__xludf.DUMMYFUNCTION("""COMPUTED_VALUE"""),0.0)</f>
        <v>0</v>
      </c>
      <c r="X555" s="88"/>
      <c r="Y555" s="74"/>
      <c r="Z555" s="74"/>
    </row>
    <row r="556">
      <c r="B556" s="74" t="str">
        <f>IFERROR(__xludf.DUMMYFUNCTION("""COMPUTED_VALUE"""),"1553")</f>
        <v>1553</v>
      </c>
      <c r="C556" s="74"/>
      <c r="D556" s="74" t="str">
        <f>IFERROR(__xludf.DUMMYFUNCTION("""COMPUTED_VALUE"""),"\\MCA-S\mk\2_BM\0_BMat\08_PYM\Inventario\excel\Imagen de refacciones\Putzmeister\Plunger cylinder Cover Q200-80 _ Tapa cilindro de émbolo Q200-80")</f>
        <v>\\MCA-S\mk\2_BM\0_BMat\08_PYM\Inventario\excel\Imagen de refacciones\Putzmeister\Plunger cylinder Cover Q200-80 _ Tapa cilindro de émbolo Q200-80</v>
      </c>
      <c r="E556" s="74"/>
      <c r="F556" s="74" t="str">
        <f>IFERROR(__xludf.DUMMYFUNCTION("""COMPUTED_VALUE"""),"Plunger cylinder Cover Q200-80 / Tapa cilindro de émbolo Q200-80")</f>
        <v>Plunger cylinder Cover Q200-80 / Tapa cilindro de émbolo Q200-80</v>
      </c>
      <c r="G556" s="74"/>
      <c r="H556" s="74"/>
      <c r="I556" s="74" t="str">
        <f>IFERROR(__xludf.DUMMYFUNCTION("""COMPUTED_VALUE"""),"SOM20066")</f>
        <v>SOM20066</v>
      </c>
      <c r="J556" s="74" t="str">
        <f>IFERROR(__xludf.DUMMYFUNCTION("""COMPUTED_VALUE"""),"278903007")</f>
        <v>278903007</v>
      </c>
      <c r="K556" s="74" t="str">
        <f>IFERROR(__xludf.DUMMYFUNCTION("""COMPUTED_VALUE"""),"Putzmeister")</f>
        <v>Putzmeister</v>
      </c>
      <c r="L556" s="74" t="str">
        <f>IFERROR(__xludf.DUMMYFUNCTION("""COMPUTED_VALUE"""),"Componentes hidráulicos")</f>
        <v>Componentes hidráulicos</v>
      </c>
      <c r="M556" s="74" t="str">
        <f>IFERROR(__xludf.DUMMYFUNCTION("""COMPUTED_VALUE"""),"Sin Asignar")</f>
        <v>Sin Asignar</v>
      </c>
      <c r="N556" s="87">
        <f>IFERROR(__xludf.DUMMYFUNCTION("""COMPUTED_VALUE"""),0.0)</f>
        <v>0</v>
      </c>
      <c r="O556" s="74"/>
      <c r="P556" s="74" t="str">
        <f>IFERROR(__xludf.DUMMYFUNCTION("""COMPUTED_VALUE"""),"No Available")</f>
        <v>No Available</v>
      </c>
      <c r="Q556" s="74"/>
      <c r="R556" s="74"/>
      <c r="S556" s="87">
        <f>IFERROR(__xludf.DUMMYFUNCTION("""COMPUTED_VALUE"""),0.0)</f>
        <v>0</v>
      </c>
      <c r="T556" s="87">
        <f>IFERROR(__xludf.DUMMYFUNCTION("""COMPUTED_VALUE"""),0.0)</f>
        <v>0</v>
      </c>
      <c r="U556" s="87">
        <f>IFERROR(__xludf.DUMMYFUNCTION("""COMPUTED_VALUE"""),0.0)</f>
        <v>0</v>
      </c>
      <c r="V556" s="87">
        <f>IFERROR(__xludf.DUMMYFUNCTION("""COMPUTED_VALUE"""),0.0)</f>
        <v>0</v>
      </c>
      <c r="W556" s="87">
        <f>IFERROR(__xludf.DUMMYFUNCTION("""COMPUTED_VALUE"""),0.0)</f>
        <v>0</v>
      </c>
      <c r="X556" s="88"/>
      <c r="Y556" s="74"/>
      <c r="Z556" s="74"/>
    </row>
    <row r="557">
      <c r="B557" s="74" t="str">
        <f>IFERROR(__xludf.DUMMYFUNCTION("""COMPUTED_VALUE"""),"1554")</f>
        <v>1554</v>
      </c>
      <c r="C557" s="74"/>
      <c r="D557" s="74" t="str">
        <f>IFERROR(__xludf.DUMMYFUNCTION("""COMPUTED_VALUE"""),"\\MCA-S\mk\2_BM\0_BMat\08_PYM\Inventario\excel\Imagen de refacciones\Putzmeister\Juego de sellos para cilindro de émbolo Q200-80 _ Seal set for plunger cyllinder Q200 - 80")</f>
        <v>\\MCA-S\mk\2_BM\0_BMat\08_PYM\Inventario\excel\Imagen de refacciones\Putzmeister\Juego de sellos para cilindro de émbolo Q200-80 _ Seal set for plunger cyllinder Q200 - 80</v>
      </c>
      <c r="E557" s="74"/>
      <c r="F557" s="74" t="str">
        <f>IFERROR(__xludf.DUMMYFUNCTION("""COMPUTED_VALUE"""),"Juego de sellos para cilindro de émbolo Q200-80 / Seal set for plunger cyllinder Q200 - 80")</f>
        <v>Juego de sellos para cilindro de émbolo Q200-80 / Seal set for plunger cyllinder Q200 - 80</v>
      </c>
      <c r="G557" s="74"/>
      <c r="H557" s="74"/>
      <c r="I557" s="74" t="str">
        <f>IFERROR(__xludf.DUMMYFUNCTION("""COMPUTED_VALUE"""),"SOM20067")</f>
        <v>SOM20067</v>
      </c>
      <c r="J557" s="74" t="str">
        <f>IFERROR(__xludf.DUMMYFUNCTION("""COMPUTED_VALUE"""),"278901009KIT")</f>
        <v>278901009KIT</v>
      </c>
      <c r="K557" s="74" t="str">
        <f>IFERROR(__xludf.DUMMYFUNCTION("""COMPUTED_VALUE"""),"Putzmeister")</f>
        <v>Putzmeister</v>
      </c>
      <c r="L557" s="74" t="str">
        <f>IFERROR(__xludf.DUMMYFUNCTION("""COMPUTED_VALUE"""),"Sellos y retenes")</f>
        <v>Sellos y retenes</v>
      </c>
      <c r="M557" s="74" t="str">
        <f>IFERROR(__xludf.DUMMYFUNCTION("""COMPUTED_VALUE"""),"Sin Asignar")</f>
        <v>Sin Asignar</v>
      </c>
      <c r="N557" s="87">
        <f>IFERROR(__xludf.DUMMYFUNCTION("""COMPUTED_VALUE"""),0.0)</f>
        <v>0</v>
      </c>
      <c r="O557" s="74"/>
      <c r="P557" s="74" t="str">
        <f>IFERROR(__xludf.DUMMYFUNCTION("""COMPUTED_VALUE"""),"No Available")</f>
        <v>No Available</v>
      </c>
      <c r="Q557" s="74"/>
      <c r="R557" s="74"/>
      <c r="S557" s="87">
        <f>IFERROR(__xludf.DUMMYFUNCTION("""COMPUTED_VALUE"""),0.0)</f>
        <v>0</v>
      </c>
      <c r="T557" s="87">
        <f>IFERROR(__xludf.DUMMYFUNCTION("""COMPUTED_VALUE"""),0.0)</f>
        <v>0</v>
      </c>
      <c r="U557" s="87">
        <f>IFERROR(__xludf.DUMMYFUNCTION("""COMPUTED_VALUE"""),0.0)</f>
        <v>0</v>
      </c>
      <c r="V557" s="87">
        <f>IFERROR(__xludf.DUMMYFUNCTION("""COMPUTED_VALUE"""),0.0)</f>
        <v>0</v>
      </c>
      <c r="W557" s="87">
        <f>IFERROR(__xludf.DUMMYFUNCTION("""COMPUTED_VALUE"""),0.0)</f>
        <v>0</v>
      </c>
      <c r="X557" s="88"/>
      <c r="Y557" s="74"/>
      <c r="Z557" s="74"/>
    </row>
    <row r="558">
      <c r="B558" s="74" t="str">
        <f>IFERROR(__xludf.DUMMYFUNCTION("""COMPUTED_VALUE"""),"1555")</f>
        <v>1555</v>
      </c>
      <c r="C558" s="74"/>
      <c r="D558" s="74" t="str">
        <f>IFERROR(__xludf.DUMMYFUNCTION("""COMPUTED_VALUE"""),"\\MCA-S\mk\2_BM\0_BMat\08_PYM\Inventario\excel\Imagen de refacciones\Putzmeister\SLIDE _ Guía deslizante")</f>
        <v>\\MCA-S\mk\2_BM\0_BMat\08_PYM\Inventario\excel\Imagen de refacciones\Putzmeister\SLIDE _ Guía deslizante</v>
      </c>
      <c r="E558" s="74"/>
      <c r="F558" s="74" t="str">
        <f>IFERROR(__xludf.DUMMYFUNCTION("""COMPUTED_VALUE"""),"SLIDE / Guía deslizante")</f>
        <v>SLIDE / Guía deslizante</v>
      </c>
      <c r="G558" s="74"/>
      <c r="H558" s="74"/>
      <c r="I558" s="74" t="str">
        <f>IFERROR(__xludf.DUMMYFUNCTION("""COMPUTED_VALUE"""),"SOM20069")</f>
        <v>SOM20069</v>
      </c>
      <c r="J558" s="74" t="str">
        <f>IFERROR(__xludf.DUMMYFUNCTION("""COMPUTED_VALUE"""),"242334000")</f>
        <v>242334000</v>
      </c>
      <c r="K558" s="74" t="str">
        <f>IFERROR(__xludf.DUMMYFUNCTION("""COMPUTED_VALUE"""),"Putzmeister")</f>
        <v>Putzmeister</v>
      </c>
      <c r="L558" s="74" t="str">
        <f>IFERROR(__xludf.DUMMYFUNCTION("""COMPUTED_VALUE"""),"Componentes estructurales y de montaje")</f>
        <v>Componentes estructurales y de montaje</v>
      </c>
      <c r="M558" s="74" t="str">
        <f>IFERROR(__xludf.DUMMYFUNCTION("""COMPUTED_VALUE"""),"Sin Asignar")</f>
        <v>Sin Asignar</v>
      </c>
      <c r="N558" s="87">
        <f>IFERROR(__xludf.DUMMYFUNCTION("""COMPUTED_VALUE"""),0.0)</f>
        <v>0</v>
      </c>
      <c r="O558" s="74"/>
      <c r="P558" s="74" t="str">
        <f>IFERROR(__xludf.DUMMYFUNCTION("""COMPUTED_VALUE"""),"borrar")</f>
        <v>borrar</v>
      </c>
      <c r="Q558" s="74"/>
      <c r="R558" s="74"/>
      <c r="S558" s="87">
        <f>IFERROR(__xludf.DUMMYFUNCTION("""COMPUTED_VALUE"""),0.0)</f>
        <v>0</v>
      </c>
      <c r="T558" s="87">
        <f>IFERROR(__xludf.DUMMYFUNCTION("""COMPUTED_VALUE"""),0.0)</f>
        <v>0</v>
      </c>
      <c r="U558" s="87">
        <f>IFERROR(__xludf.DUMMYFUNCTION("""COMPUTED_VALUE"""),0.0)</f>
        <v>0</v>
      </c>
      <c r="V558" s="87">
        <f>IFERROR(__xludf.DUMMYFUNCTION("""COMPUTED_VALUE"""),0.0)</f>
        <v>0</v>
      </c>
      <c r="W558" s="87">
        <f>IFERROR(__xludf.DUMMYFUNCTION("""COMPUTED_VALUE"""),0.0)</f>
        <v>0</v>
      </c>
      <c r="X558" s="88"/>
      <c r="Y558" s="74"/>
      <c r="Z558" s="74"/>
    </row>
    <row r="559">
      <c r="B559" s="74" t="str">
        <f>IFERROR(__xludf.DUMMYFUNCTION("""COMPUTED_VALUE"""),"1556")</f>
        <v>1556</v>
      </c>
      <c r="C559" s="74"/>
      <c r="D559" s="74" t="str">
        <f>IFERROR(__xludf.DUMMYFUNCTION("""COMPUTED_VALUE"""),"\\MCA-S\mk\2_BM\0_BMat\08_PYM\Inventario\excel\Imagen de refacciones\Putzmeister\Round cord _ Cuerda redonda")</f>
        <v>\\MCA-S\mk\2_BM\0_BMat\08_PYM\Inventario\excel\Imagen de refacciones\Putzmeister\Round cord _ Cuerda redonda</v>
      </c>
      <c r="E559" s="74"/>
      <c r="F559" s="74" t="str">
        <f>IFERROR(__xludf.DUMMYFUNCTION("""COMPUTED_VALUE"""),"Round cord / Cuerda redonda")</f>
        <v>Round cord / Cuerda redonda</v>
      </c>
      <c r="G559" s="74"/>
      <c r="H559" s="74"/>
      <c r="I559" s="74" t="str">
        <f>IFERROR(__xludf.DUMMYFUNCTION("""COMPUTED_VALUE"""),"SOM20070")</f>
        <v>SOM20070</v>
      </c>
      <c r="J559" s="74" t="str">
        <f>IFERROR(__xludf.DUMMYFUNCTION("""COMPUTED_VALUE"""),"233915001")</f>
        <v>233915001</v>
      </c>
      <c r="K559" s="74" t="str">
        <f>IFERROR(__xludf.DUMMYFUNCTION("""COMPUTED_VALUE"""),"Putzmeister")</f>
        <v>Putzmeister</v>
      </c>
      <c r="L559" s="74" t="str">
        <f>IFERROR(__xludf.DUMMYFUNCTION("""COMPUTED_VALUE"""),"Componentes estructurales y de montaje")</f>
        <v>Componentes estructurales y de montaje</v>
      </c>
      <c r="M559" s="74" t="str">
        <f>IFERROR(__xludf.DUMMYFUNCTION("""COMPUTED_VALUE"""),"Sin Asignar")</f>
        <v>Sin Asignar</v>
      </c>
      <c r="N559" s="87">
        <f>IFERROR(__xludf.DUMMYFUNCTION("""COMPUTED_VALUE"""),0.0)</f>
        <v>0</v>
      </c>
      <c r="O559" s="74"/>
      <c r="P559" s="74" t="str">
        <f>IFERROR(__xludf.DUMMYFUNCTION("""COMPUTED_VALUE"""),"No Available")</f>
        <v>No Available</v>
      </c>
      <c r="Q559" s="74"/>
      <c r="R559" s="74"/>
      <c r="S559" s="87">
        <f>IFERROR(__xludf.DUMMYFUNCTION("""COMPUTED_VALUE"""),0.0)</f>
        <v>0</v>
      </c>
      <c r="T559" s="87">
        <f>IFERROR(__xludf.DUMMYFUNCTION("""COMPUTED_VALUE"""),0.0)</f>
        <v>0</v>
      </c>
      <c r="U559" s="87">
        <f>IFERROR(__xludf.DUMMYFUNCTION("""COMPUTED_VALUE"""),0.0)</f>
        <v>0</v>
      </c>
      <c r="V559" s="87">
        <f>IFERROR(__xludf.DUMMYFUNCTION("""COMPUTED_VALUE"""),0.0)</f>
        <v>0</v>
      </c>
      <c r="W559" s="87">
        <f>IFERROR(__xludf.DUMMYFUNCTION("""COMPUTED_VALUE"""),0.0)</f>
        <v>0</v>
      </c>
      <c r="X559" s="88"/>
      <c r="Y559" s="74"/>
      <c r="Z559" s="74"/>
    </row>
    <row r="560">
      <c r="B560" s="74" t="str">
        <f>IFERROR(__xludf.DUMMYFUNCTION("""COMPUTED_VALUE"""),"1557")</f>
        <v>1557</v>
      </c>
      <c r="C560" s="74"/>
      <c r="D560" s="74" t="str">
        <f>IFERROR(__xludf.DUMMYFUNCTION("""COMPUTED_VALUE"""),"\\MCA-S\mk\2_BM\0_BMat\08_PYM\Inventario\excel\Imagen de refacciones\Putzmeister\Bokc, Right Hand Side _ Bloque, lado derecho")</f>
        <v>\\MCA-S\mk\2_BM\0_BMat\08_PYM\Inventario\excel\Imagen de refacciones\Putzmeister\Bokc, Right Hand Side _ Bloque, lado derecho</v>
      </c>
      <c r="E560" s="74"/>
      <c r="F560" s="74" t="str">
        <f>IFERROR(__xludf.DUMMYFUNCTION("""COMPUTED_VALUE"""),"Bokc, Right Hand Side / Bloque, lado derecho")</f>
        <v>Bokc, Right Hand Side / Bloque, lado derecho</v>
      </c>
      <c r="G560" s="74"/>
      <c r="H560" s="74"/>
      <c r="I560" s="74" t="str">
        <f>IFERROR(__xludf.DUMMYFUNCTION("""COMPUTED_VALUE"""),"SOM20071")</f>
        <v>SOM20071</v>
      </c>
      <c r="J560" s="74" t="str">
        <f>IFERROR(__xludf.DUMMYFUNCTION("""COMPUTED_VALUE"""),"252842003")</f>
        <v>252842003</v>
      </c>
      <c r="K560" s="74" t="str">
        <f>IFERROR(__xludf.DUMMYFUNCTION("""COMPUTED_VALUE"""),"Putzmeister")</f>
        <v>Putzmeister</v>
      </c>
      <c r="L560" s="74" t="str">
        <f>IFERROR(__xludf.DUMMYFUNCTION("""COMPUTED_VALUE"""),"Componentes estructurales y de montaje")</f>
        <v>Componentes estructurales y de montaje</v>
      </c>
      <c r="M560" s="74" t="str">
        <f>IFERROR(__xludf.DUMMYFUNCTION("""COMPUTED_VALUE"""),"Sin Asignar")</f>
        <v>Sin Asignar</v>
      </c>
      <c r="N560" s="87">
        <f>IFERROR(__xludf.DUMMYFUNCTION("""COMPUTED_VALUE"""),0.0)</f>
        <v>0</v>
      </c>
      <c r="O560" s="74"/>
      <c r="P560" s="74" t="str">
        <f>IFERROR(__xludf.DUMMYFUNCTION("""COMPUTED_VALUE"""),"No Available")</f>
        <v>No Available</v>
      </c>
      <c r="Q560" s="74"/>
      <c r="R560" s="74"/>
      <c r="S560" s="87">
        <f>IFERROR(__xludf.DUMMYFUNCTION("""COMPUTED_VALUE"""),0.0)</f>
        <v>0</v>
      </c>
      <c r="T560" s="87">
        <f>IFERROR(__xludf.DUMMYFUNCTION("""COMPUTED_VALUE"""),0.0)</f>
        <v>0</v>
      </c>
      <c r="U560" s="87">
        <f>IFERROR(__xludf.DUMMYFUNCTION("""COMPUTED_VALUE"""),0.0)</f>
        <v>0</v>
      </c>
      <c r="V560" s="87">
        <f>IFERROR(__xludf.DUMMYFUNCTION("""COMPUTED_VALUE"""),0.0)</f>
        <v>0</v>
      </c>
      <c r="W560" s="87">
        <f>IFERROR(__xludf.DUMMYFUNCTION("""COMPUTED_VALUE"""),0.0)</f>
        <v>0</v>
      </c>
      <c r="X560" s="88"/>
      <c r="Y560" s="74"/>
      <c r="Z560" s="74"/>
    </row>
    <row r="561">
      <c r="B561" s="74" t="str">
        <f>IFERROR(__xludf.DUMMYFUNCTION("""COMPUTED_VALUE"""),"1558")</f>
        <v>1558</v>
      </c>
      <c r="C561" s="74"/>
      <c r="D561" s="74" t="str">
        <f>IFERROR(__xludf.DUMMYFUNCTION("""COMPUTED_VALUE"""),"\\MCA-S\mk\2_BM\0_BMat\08_PYM\Inventario\excel\Imagen de refacciones\Putzmeister\Bock, left hand side _ Bloque, lado izquierdo")</f>
        <v>\\MCA-S\mk\2_BM\0_BMat\08_PYM\Inventario\excel\Imagen de refacciones\Putzmeister\Bock, left hand side _ Bloque, lado izquierdo</v>
      </c>
      <c r="E561" s="74"/>
      <c r="F561" s="74" t="str">
        <f>IFERROR(__xludf.DUMMYFUNCTION("""COMPUTED_VALUE"""),"Bock, left hand side / Bloque, lado izquierdo")</f>
        <v>Bock, left hand side / Bloque, lado izquierdo</v>
      </c>
      <c r="G561" s="74"/>
      <c r="H561" s="74"/>
      <c r="I561" s="74" t="str">
        <f>IFERROR(__xludf.DUMMYFUNCTION("""COMPUTED_VALUE"""),"SOM20072")</f>
        <v>SOM20072</v>
      </c>
      <c r="J561" s="74" t="str">
        <f>IFERROR(__xludf.DUMMYFUNCTION("""COMPUTED_VALUE"""),"252847004")</f>
        <v>252847004</v>
      </c>
      <c r="K561" s="74" t="str">
        <f>IFERROR(__xludf.DUMMYFUNCTION("""COMPUTED_VALUE"""),"Putzmeister")</f>
        <v>Putzmeister</v>
      </c>
      <c r="L561" s="74" t="str">
        <f>IFERROR(__xludf.DUMMYFUNCTION("""COMPUTED_VALUE"""),"Componentes estructurales y de montaje")</f>
        <v>Componentes estructurales y de montaje</v>
      </c>
      <c r="M561" s="74" t="str">
        <f>IFERROR(__xludf.DUMMYFUNCTION("""COMPUTED_VALUE"""),"Sin Asignar")</f>
        <v>Sin Asignar</v>
      </c>
      <c r="N561" s="87">
        <f>IFERROR(__xludf.DUMMYFUNCTION("""COMPUTED_VALUE"""),0.0)</f>
        <v>0</v>
      </c>
      <c r="O561" s="74"/>
      <c r="P561" s="74" t="str">
        <f>IFERROR(__xludf.DUMMYFUNCTION("""COMPUTED_VALUE"""),"No Available")</f>
        <v>No Available</v>
      </c>
      <c r="Q561" s="74"/>
      <c r="R561" s="74"/>
      <c r="S561" s="87">
        <f>IFERROR(__xludf.DUMMYFUNCTION("""COMPUTED_VALUE"""),0.0)</f>
        <v>0</v>
      </c>
      <c r="T561" s="87">
        <f>IFERROR(__xludf.DUMMYFUNCTION("""COMPUTED_VALUE"""),0.0)</f>
        <v>0</v>
      </c>
      <c r="U561" s="87">
        <f>IFERROR(__xludf.DUMMYFUNCTION("""COMPUTED_VALUE"""),0.0)</f>
        <v>0</v>
      </c>
      <c r="V561" s="87">
        <f>IFERROR(__xludf.DUMMYFUNCTION("""COMPUTED_VALUE"""),0.0)</f>
        <v>0</v>
      </c>
      <c r="W561" s="87">
        <f>IFERROR(__xludf.DUMMYFUNCTION("""COMPUTED_VALUE"""),0.0)</f>
        <v>0</v>
      </c>
      <c r="X561" s="88"/>
      <c r="Y561" s="74"/>
      <c r="Z561" s="74"/>
    </row>
    <row r="562">
      <c r="B562" s="74" t="str">
        <f>IFERROR(__xludf.DUMMYFUNCTION("""COMPUTED_VALUE"""),"1559")</f>
        <v>1559</v>
      </c>
      <c r="C562" s="74"/>
      <c r="D562" s="74" t="str">
        <f>IFERROR(__xludf.DUMMYFUNCTION("""COMPUTED_VALUE"""),"\\MCA-S\mk\2_BM\0_BMat\08_PYM\Inventario\excel\Imagen de refacciones\Putzmeister\Hydraulic motor OMH 500 (BS500) _ Motor hidráulico OMH 500 (BS500)")</f>
        <v>\\MCA-S\mk\2_BM\0_BMat\08_PYM\Inventario\excel\Imagen de refacciones\Putzmeister\Hydraulic motor OMH 500 (BS500) _ Motor hidráulico OMH 500 (BS500)</v>
      </c>
      <c r="E562" s="74"/>
      <c r="F562" s="74" t="str">
        <f>IFERROR(__xludf.DUMMYFUNCTION("""COMPUTED_VALUE"""),"Hydraulic motor OMH 500 (BS500) / Motor hidráulico OMH 500 (BS500)")</f>
        <v>Hydraulic motor OMH 500 (BS500) / Motor hidráulico OMH 500 (BS500)</v>
      </c>
      <c r="G562" s="74"/>
      <c r="H562" s="74"/>
      <c r="I562" s="74" t="str">
        <f>IFERROR(__xludf.DUMMYFUNCTION("""COMPUTED_VALUE"""),"SOM20074")</f>
        <v>SOM20074</v>
      </c>
      <c r="J562" s="74" t="str">
        <f>IFERROR(__xludf.DUMMYFUNCTION("""COMPUTED_VALUE"""),"23813001")</f>
        <v>23813001</v>
      </c>
      <c r="K562" s="74" t="str">
        <f>IFERROR(__xludf.DUMMYFUNCTION("""COMPUTED_VALUE"""),"Putzmeister")</f>
        <v>Putzmeister</v>
      </c>
      <c r="L562" s="74" t="str">
        <f>IFERROR(__xludf.DUMMYFUNCTION("""COMPUTED_VALUE"""),"Componentes hidráulicos")</f>
        <v>Componentes hidráulicos</v>
      </c>
      <c r="M562" s="74" t="str">
        <f>IFERROR(__xludf.DUMMYFUNCTION("""COMPUTED_VALUE"""),"Sin Asignar")</f>
        <v>Sin Asignar</v>
      </c>
      <c r="N562" s="87">
        <f>IFERROR(__xludf.DUMMYFUNCTION("""COMPUTED_VALUE"""),0.0)</f>
        <v>0</v>
      </c>
      <c r="O562" s="74"/>
      <c r="P562" s="74" t="str">
        <f>IFERROR(__xludf.DUMMYFUNCTION("""COMPUTED_VALUE"""),"borrar")</f>
        <v>borrar</v>
      </c>
      <c r="Q562" s="74"/>
      <c r="R562" s="74"/>
      <c r="S562" s="87">
        <f>IFERROR(__xludf.DUMMYFUNCTION("""COMPUTED_VALUE"""),0.0)</f>
        <v>0</v>
      </c>
      <c r="T562" s="87">
        <f>IFERROR(__xludf.DUMMYFUNCTION("""COMPUTED_VALUE"""),0.0)</f>
        <v>0</v>
      </c>
      <c r="U562" s="87">
        <f>IFERROR(__xludf.DUMMYFUNCTION("""COMPUTED_VALUE"""),0.0)</f>
        <v>0</v>
      </c>
      <c r="V562" s="87">
        <f>IFERROR(__xludf.DUMMYFUNCTION("""COMPUTED_VALUE"""),0.0)</f>
        <v>0</v>
      </c>
      <c r="W562" s="87">
        <f>IFERROR(__xludf.DUMMYFUNCTION("""COMPUTED_VALUE"""),0.0)</f>
        <v>0</v>
      </c>
      <c r="X562" s="88"/>
      <c r="Y562" s="74"/>
      <c r="Z562" s="74"/>
    </row>
    <row r="563">
      <c r="B563" s="74" t="str">
        <f>IFERROR(__xludf.DUMMYFUNCTION("""COMPUTED_VALUE"""),"1560")</f>
        <v>1560</v>
      </c>
      <c r="C563" s="74"/>
      <c r="D563" s="74" t="str">
        <f>IFERROR(__xludf.DUMMYFUNCTION("""COMPUTED_VALUE"""),"\\MCA-S\mk\2_BM\0_BMat\08_PYM\Inventario\excel\Imagen de refacciones\Putzmeister\Shaft for hydraulic motor omh 500 _ Eje para motor hidráulico OMH 500")</f>
        <v>\\MCA-S\mk\2_BM\0_BMat\08_PYM\Inventario\excel\Imagen de refacciones\Putzmeister\Shaft for hydraulic motor omh 500 _ Eje para motor hidráulico OMH 500</v>
      </c>
      <c r="E563" s="74"/>
      <c r="F563" s="74" t="str">
        <f>IFERROR(__xludf.DUMMYFUNCTION("""COMPUTED_VALUE"""),"Shaft for hydraulic motor omh 500 / Eje para motor hidráulico OMH 500")</f>
        <v>Shaft for hydraulic motor omh 500 / Eje para motor hidráulico OMH 500</v>
      </c>
      <c r="G563" s="74"/>
      <c r="H563" s="74"/>
      <c r="I563" s="74" t="str">
        <f>IFERROR(__xludf.DUMMYFUNCTION("""COMPUTED_VALUE"""),"som20075")</f>
        <v>som20075</v>
      </c>
      <c r="J563" s="74" t="str">
        <f>IFERROR(__xludf.DUMMYFUNCTION("""COMPUTED_VALUE"""),"23813001")</f>
        <v>23813001</v>
      </c>
      <c r="K563" s="74" t="str">
        <f>IFERROR(__xludf.DUMMYFUNCTION("""COMPUTED_VALUE"""),"Putzmeister")</f>
        <v>Putzmeister</v>
      </c>
      <c r="L563" s="74" t="str">
        <f>IFERROR(__xludf.DUMMYFUNCTION("""COMPUTED_VALUE"""),"Componentes hidráulicos")</f>
        <v>Componentes hidráulicos</v>
      </c>
      <c r="M563" s="74" t="str">
        <f>IFERROR(__xludf.DUMMYFUNCTION("""COMPUTED_VALUE"""),"Sin Asignar")</f>
        <v>Sin Asignar</v>
      </c>
      <c r="N563" s="87">
        <f>IFERROR(__xludf.DUMMYFUNCTION("""COMPUTED_VALUE"""),0.0)</f>
        <v>0</v>
      </c>
      <c r="O563" s="74"/>
      <c r="P563" s="74" t="str">
        <f>IFERROR(__xludf.DUMMYFUNCTION("""COMPUTED_VALUE"""),"borrar")</f>
        <v>borrar</v>
      </c>
      <c r="Q563" s="74"/>
      <c r="R563" s="74"/>
      <c r="S563" s="87">
        <f>IFERROR(__xludf.DUMMYFUNCTION("""COMPUTED_VALUE"""),0.0)</f>
        <v>0</v>
      </c>
      <c r="T563" s="87">
        <f>IFERROR(__xludf.DUMMYFUNCTION("""COMPUTED_VALUE"""),0.0)</f>
        <v>0</v>
      </c>
      <c r="U563" s="87">
        <f>IFERROR(__xludf.DUMMYFUNCTION("""COMPUTED_VALUE"""),0.0)</f>
        <v>0</v>
      </c>
      <c r="V563" s="87">
        <f>IFERROR(__xludf.DUMMYFUNCTION("""COMPUTED_VALUE"""),0.0)</f>
        <v>0</v>
      </c>
      <c r="W563" s="87">
        <f>IFERROR(__xludf.DUMMYFUNCTION("""COMPUTED_VALUE"""),0.0)</f>
        <v>0</v>
      </c>
      <c r="X563" s="88"/>
      <c r="Y563" s="74"/>
      <c r="Z563" s="74"/>
    </row>
    <row r="564">
      <c r="B564" s="74" t="str">
        <f>IFERROR(__xludf.DUMMYFUNCTION("""COMPUTED_VALUE"""),"1561")</f>
        <v>1561</v>
      </c>
      <c r="C564" s="74"/>
      <c r="D564" s="74" t="str">
        <f>IFERROR(__xludf.DUMMYFUNCTION("""COMPUTED_VALUE"""),"\\MCA-S\mk\2_BM\0_BMat\08_PYM\Inventario\excel\Imagen de refacciones\Putzmeister\SEAL SET FOR HYDRAULIC MOTOR OMH 500 _ Juego de sellos para motor hidráulico OMH 500")</f>
        <v>\\MCA-S\mk\2_BM\0_BMat\08_PYM\Inventario\excel\Imagen de refacciones\Putzmeister\SEAL SET FOR HYDRAULIC MOTOR OMH 500 _ Juego de sellos para motor hidráulico OMH 500</v>
      </c>
      <c r="E564" s="74"/>
      <c r="F564" s="74" t="str">
        <f>IFERROR(__xludf.DUMMYFUNCTION("""COMPUTED_VALUE"""),"SEAL SET FOR HYDRAULIC MOTOR OMH 500 / Juego de sellos para motor hidráulico OMH 500")</f>
        <v>SEAL SET FOR HYDRAULIC MOTOR OMH 500 / Juego de sellos para motor hidráulico OMH 500</v>
      </c>
      <c r="G564" s="74"/>
      <c r="H564" s="74"/>
      <c r="I564" s="74" t="str">
        <f>IFERROR(__xludf.DUMMYFUNCTION("""COMPUTED_VALUE"""),"SOM20076")</f>
        <v>SOM20076</v>
      </c>
      <c r="J564" s="74" t="str">
        <f>IFERROR(__xludf.DUMMYFUNCTION("""COMPUTED_VALUE"""),"239696007")</f>
        <v>239696007</v>
      </c>
      <c r="K564" s="74" t="str">
        <f>IFERROR(__xludf.DUMMYFUNCTION("""COMPUTED_VALUE"""),"Putzmeister")</f>
        <v>Putzmeister</v>
      </c>
      <c r="L564" s="74" t="str">
        <f>IFERROR(__xludf.DUMMYFUNCTION("""COMPUTED_VALUE"""),"Sellos y retenes")</f>
        <v>Sellos y retenes</v>
      </c>
      <c r="M564" s="74" t="str">
        <f>IFERROR(__xludf.DUMMYFUNCTION("""COMPUTED_VALUE"""),"Sin Asignar")</f>
        <v>Sin Asignar</v>
      </c>
      <c r="N564" s="87">
        <f>IFERROR(__xludf.DUMMYFUNCTION("""COMPUTED_VALUE"""),0.0)</f>
        <v>0</v>
      </c>
      <c r="O564" s="74"/>
      <c r="P564" s="74" t="str">
        <f>IFERROR(__xludf.DUMMYFUNCTION("""COMPUTED_VALUE"""),"borrar")</f>
        <v>borrar</v>
      </c>
      <c r="Q564" s="74"/>
      <c r="R564" s="74"/>
      <c r="S564" s="87">
        <f>IFERROR(__xludf.DUMMYFUNCTION("""COMPUTED_VALUE"""),0.0)</f>
        <v>0</v>
      </c>
      <c r="T564" s="87">
        <f>IFERROR(__xludf.DUMMYFUNCTION("""COMPUTED_VALUE"""),0.0)</f>
        <v>0</v>
      </c>
      <c r="U564" s="87">
        <f>IFERROR(__xludf.DUMMYFUNCTION("""COMPUTED_VALUE"""),0.0)</f>
        <v>0</v>
      </c>
      <c r="V564" s="87">
        <f>IFERROR(__xludf.DUMMYFUNCTION("""COMPUTED_VALUE"""),0.0)</f>
        <v>0</v>
      </c>
      <c r="W564" s="87">
        <f>IFERROR(__xludf.DUMMYFUNCTION("""COMPUTED_VALUE"""),0.0)</f>
        <v>0</v>
      </c>
      <c r="X564" s="88"/>
      <c r="Y564" s="74"/>
      <c r="Z564" s="74"/>
    </row>
    <row r="565">
      <c r="B565" s="74" t="str">
        <f>IFERROR(__xludf.DUMMYFUNCTION("""COMPUTED_VALUE"""),"1562")</f>
        <v>1562</v>
      </c>
      <c r="C565" s="74"/>
      <c r="D565" s="74" t="str">
        <f>IFERROR(__xludf.DUMMYFUNCTION("""COMPUTED_VALUE"""),"\\MCA-S\mk\2_BM\0_BMat\08_PYM\Inventario\excel\Imagen de refacciones\Putzmeister\Torque support _Soporte de torque")</f>
        <v>\\MCA-S\mk\2_BM\0_BMat\08_PYM\Inventario\excel\Imagen de refacciones\Putzmeister\Torque support _Soporte de torque</v>
      </c>
      <c r="E565" s="74"/>
      <c r="F565" s="74" t="str">
        <f>IFERROR(__xludf.DUMMYFUNCTION("""COMPUTED_VALUE"""),"Torque support /Soporte de torque")</f>
        <v>Torque support /Soporte de torque</v>
      </c>
      <c r="G565" s="74"/>
      <c r="H565" s="74"/>
      <c r="I565" s="74" t="str">
        <f>IFERROR(__xludf.DUMMYFUNCTION("""COMPUTED_VALUE"""),"SOM20077")</f>
        <v>SOM20077</v>
      </c>
      <c r="J565" s="74" t="str">
        <f>IFERROR(__xludf.DUMMYFUNCTION("""COMPUTED_VALUE"""),"258034006")</f>
        <v>258034006</v>
      </c>
      <c r="K565" s="74" t="str">
        <f>IFERROR(__xludf.DUMMYFUNCTION("""COMPUTED_VALUE"""),"Putzmeister")</f>
        <v>Putzmeister</v>
      </c>
      <c r="L565" s="74" t="str">
        <f>IFERROR(__xludf.DUMMYFUNCTION("""COMPUTED_VALUE"""),"Componentes estructurales y de montaje")</f>
        <v>Componentes estructurales y de montaje</v>
      </c>
      <c r="M565" s="74" t="str">
        <f>IFERROR(__xludf.DUMMYFUNCTION("""COMPUTED_VALUE"""),"Sin Asignar")</f>
        <v>Sin Asignar</v>
      </c>
      <c r="N565" s="87">
        <f>IFERROR(__xludf.DUMMYFUNCTION("""COMPUTED_VALUE"""),0.0)</f>
        <v>0</v>
      </c>
      <c r="O565" s="74"/>
      <c r="P565" s="74" t="str">
        <f>IFERROR(__xludf.DUMMYFUNCTION("""COMPUTED_VALUE"""),"No Available")</f>
        <v>No Available</v>
      </c>
      <c r="Q565" s="74"/>
      <c r="R565" s="74"/>
      <c r="S565" s="87">
        <f>IFERROR(__xludf.DUMMYFUNCTION("""COMPUTED_VALUE"""),0.0)</f>
        <v>0</v>
      </c>
      <c r="T565" s="87">
        <f>IFERROR(__xludf.DUMMYFUNCTION("""COMPUTED_VALUE"""),0.0)</f>
        <v>0</v>
      </c>
      <c r="U565" s="87">
        <f>IFERROR(__xludf.DUMMYFUNCTION("""COMPUTED_VALUE"""),0.0)</f>
        <v>0</v>
      </c>
      <c r="V565" s="87">
        <f>IFERROR(__xludf.DUMMYFUNCTION("""COMPUTED_VALUE"""),0.0)</f>
        <v>0</v>
      </c>
      <c r="W565" s="87">
        <f>IFERROR(__xludf.DUMMYFUNCTION("""COMPUTED_VALUE"""),0.0)</f>
        <v>0</v>
      </c>
      <c r="X565" s="88"/>
      <c r="Y565" s="74"/>
      <c r="Z565" s="74"/>
    </row>
    <row r="566">
      <c r="B566" s="74" t="str">
        <f>IFERROR(__xludf.DUMMYFUNCTION("""COMPUTED_VALUE"""),"1563")</f>
        <v>1563</v>
      </c>
      <c r="C566" s="74"/>
      <c r="D566" s="74" t="str">
        <f>IFERROR(__xludf.DUMMYFUNCTION("""COMPUTED_VALUE"""),"\\MCA-S\mk\2_BM\0_BMat\08_PYM\Inventario\excel\Imagen de refacciones\Putzmeister\Bearing flange Q60 _ Brida para rodamiento Q60")</f>
        <v>\\MCA-S\mk\2_BM\0_BMat\08_PYM\Inventario\excel\Imagen de refacciones\Putzmeister\Bearing flange Q60 _ Brida para rodamiento Q60</v>
      </c>
      <c r="E566" s="74"/>
      <c r="F566" s="74" t="str">
        <f>IFERROR(__xludf.DUMMYFUNCTION("""COMPUTED_VALUE"""),"RODAMIENTO DE MEZCLADOR PARA BOMBA DE HORMIGON")</f>
        <v>RODAMIENTO DE MEZCLADOR PARA BOMBA DE HORMIGON</v>
      </c>
      <c r="G566" s="74"/>
      <c r="H566" s="74"/>
      <c r="I566" s="74" t="str">
        <f>IFERROR(__xludf.DUMMYFUNCTION("""COMPUTED_VALUE"""),"SOM20079")</f>
        <v>SOM20079</v>
      </c>
      <c r="J566" s="74" t="str">
        <f>IFERROR(__xludf.DUMMYFUNCTION("""COMPUTED_VALUE"""),"242573007")</f>
        <v>242573007</v>
      </c>
      <c r="K566" s="74" t="str">
        <f>IFERROR(__xludf.DUMMYFUNCTION("""COMPUTED_VALUE"""),"Putzmeister")</f>
        <v>Putzmeister</v>
      </c>
      <c r="L566" s="74" t="str">
        <f>IFERROR(__xludf.DUMMYFUNCTION("""COMPUTED_VALUE"""),"Componentes estructurales y de montaje")</f>
        <v>Componentes estructurales y de montaje</v>
      </c>
      <c r="M566" s="74" t="str">
        <f>IFERROR(__xludf.DUMMYFUNCTION("""COMPUTED_VALUE"""),"Sin Asignar")</f>
        <v>Sin Asignar</v>
      </c>
      <c r="N566" s="87">
        <f>IFERROR(__xludf.DUMMYFUNCTION("""COMPUTED_VALUE"""),0.0)</f>
        <v>0</v>
      </c>
      <c r="O566" s="74"/>
      <c r="P566" s="74" t="str">
        <f>IFERROR(__xludf.DUMMYFUNCTION("""COMPUTED_VALUE"""),"borrar")</f>
        <v>borrar</v>
      </c>
      <c r="Q566" s="74"/>
      <c r="R566" s="74"/>
      <c r="S566" s="87">
        <f>IFERROR(__xludf.DUMMYFUNCTION("""COMPUTED_VALUE"""),0.0)</f>
        <v>0</v>
      </c>
      <c r="T566" s="87">
        <f>IFERROR(__xludf.DUMMYFUNCTION("""COMPUTED_VALUE"""),0.0)</f>
        <v>0</v>
      </c>
      <c r="U566" s="87">
        <f>IFERROR(__xludf.DUMMYFUNCTION("""COMPUTED_VALUE"""),0.0)</f>
        <v>0</v>
      </c>
      <c r="V566" s="87">
        <f>IFERROR(__xludf.DUMMYFUNCTION("""COMPUTED_VALUE"""),0.0)</f>
        <v>0</v>
      </c>
      <c r="W566" s="87">
        <f>IFERROR(__xludf.DUMMYFUNCTION("""COMPUTED_VALUE"""),0.0)</f>
        <v>0</v>
      </c>
      <c r="X566" s="88"/>
      <c r="Y566" s="74"/>
      <c r="Z566" s="74"/>
    </row>
    <row r="567">
      <c r="B567" s="74" t="str">
        <f>IFERROR(__xludf.DUMMYFUNCTION("""COMPUTED_VALUE"""),"1564")</f>
        <v>1564</v>
      </c>
      <c r="C567" s="74"/>
      <c r="D567" s="74" t="str">
        <f>IFERROR(__xludf.DUMMYFUNCTION("""COMPUTED_VALUE"""),"\\MCA-S\mk\2_BM\0_BMat\08_PYM\Inventario\excel\Imagen de refacciones\Putzmeister\Flnage for bearing flange Q60 _ Brida para soporte de rodamiento Q60")</f>
        <v>\\MCA-S\mk\2_BM\0_BMat\08_PYM\Inventario\excel\Imagen de refacciones\Putzmeister\Flnage for bearing flange Q60 _ Brida para soporte de rodamiento Q60</v>
      </c>
      <c r="E567" s="74"/>
      <c r="F567" s="74" t="str">
        <f>IFERROR(__xludf.DUMMYFUNCTION("""COMPUTED_VALUE"""),"Flnage for bearing flange Q60 / Brida para soporte de rodamiento Q60")</f>
        <v>Flnage for bearing flange Q60 / Brida para soporte de rodamiento Q60</v>
      </c>
      <c r="G567" s="74"/>
      <c r="H567" s="74"/>
      <c r="I567" s="74" t="str">
        <f>IFERROR(__xludf.DUMMYFUNCTION("""COMPUTED_VALUE"""),"SOM20080")</f>
        <v>SOM20080</v>
      </c>
      <c r="J567" s="74" t="str">
        <f>IFERROR(__xludf.DUMMYFUNCTION("""COMPUTED_VALUE"""),"262133003")</f>
        <v>262133003</v>
      </c>
      <c r="K567" s="74" t="str">
        <f>IFERROR(__xludf.DUMMYFUNCTION("""COMPUTED_VALUE"""),"Putzmeister")</f>
        <v>Putzmeister</v>
      </c>
      <c r="L567" s="74" t="str">
        <f>IFERROR(__xludf.DUMMYFUNCTION("""COMPUTED_VALUE"""),"Componentes estructurales y de montaje")</f>
        <v>Componentes estructurales y de montaje</v>
      </c>
      <c r="M567" s="74" t="str">
        <f>IFERROR(__xludf.DUMMYFUNCTION("""COMPUTED_VALUE"""),"Sin Asignar")</f>
        <v>Sin Asignar</v>
      </c>
      <c r="N567" s="87">
        <f>IFERROR(__xludf.DUMMYFUNCTION("""COMPUTED_VALUE"""),0.0)</f>
        <v>0</v>
      </c>
      <c r="O567" s="74"/>
      <c r="P567" s="74" t="str">
        <f>IFERROR(__xludf.DUMMYFUNCTION("""COMPUTED_VALUE"""),"No Available")</f>
        <v>No Available</v>
      </c>
      <c r="Q567" s="74"/>
      <c r="R567" s="74"/>
      <c r="S567" s="87">
        <f>IFERROR(__xludf.DUMMYFUNCTION("""COMPUTED_VALUE"""),0.0)</f>
        <v>0</v>
      </c>
      <c r="T567" s="87">
        <f>IFERROR(__xludf.DUMMYFUNCTION("""COMPUTED_VALUE"""),0.0)</f>
        <v>0</v>
      </c>
      <c r="U567" s="87">
        <f>IFERROR(__xludf.DUMMYFUNCTION("""COMPUTED_VALUE"""),0.0)</f>
        <v>0</v>
      </c>
      <c r="V567" s="87">
        <f>IFERROR(__xludf.DUMMYFUNCTION("""COMPUTED_VALUE"""),0.0)</f>
        <v>0</v>
      </c>
      <c r="W567" s="87">
        <f>IFERROR(__xludf.DUMMYFUNCTION("""COMPUTED_VALUE"""),0.0)</f>
        <v>0</v>
      </c>
      <c r="X567" s="88"/>
      <c r="Y567" s="74"/>
      <c r="Z567" s="74"/>
    </row>
    <row r="568">
      <c r="B568" s="74" t="str">
        <f>IFERROR(__xludf.DUMMYFUNCTION("""COMPUTED_VALUE"""),"1565")</f>
        <v>1565</v>
      </c>
      <c r="C568" s="74"/>
      <c r="D568" s="74" t="str">
        <f>IFERROR(__xludf.DUMMYFUNCTION("""COMPUTED_VALUE"""),"\\MCA-S\mk\2_BM\0_BMat\08_PYM\Inventario\excel\Imagen de refacciones\Putzmeister\Bush _ Buje (1)")</f>
        <v>\\MCA-S\mk\2_BM\0_BMat\08_PYM\Inventario\excel\Imagen de refacciones\Putzmeister\Bush _ Buje (1)</v>
      </c>
      <c r="E568" s="74"/>
      <c r="F568" s="74" t="str">
        <f>IFERROR(__xludf.DUMMYFUNCTION("""COMPUTED_VALUE"""),"Bush / Buje")</f>
        <v>Bush / Buje</v>
      </c>
      <c r="G568" s="74"/>
      <c r="H568" s="74"/>
      <c r="I568" s="74" t="str">
        <f>IFERROR(__xludf.DUMMYFUNCTION("""COMPUTED_VALUE"""),"SOM20081")</f>
        <v>SOM20081</v>
      </c>
      <c r="J568" s="74" t="str">
        <f>IFERROR(__xludf.DUMMYFUNCTION("""COMPUTED_VALUE"""),"222484006")</f>
        <v>222484006</v>
      </c>
      <c r="K568" s="74" t="str">
        <f>IFERROR(__xludf.DUMMYFUNCTION("""COMPUTED_VALUE"""),"Putzmeister")</f>
        <v>Putzmeister</v>
      </c>
      <c r="L568" s="74" t="str">
        <f>IFERROR(__xludf.DUMMYFUNCTION("""COMPUTED_VALUE"""),"Componentes estructurales y de montaje")</f>
        <v>Componentes estructurales y de montaje</v>
      </c>
      <c r="M568" s="74" t="str">
        <f>IFERROR(__xludf.DUMMYFUNCTION("""COMPUTED_VALUE"""),"Sin Asignar")</f>
        <v>Sin Asignar</v>
      </c>
      <c r="N568" s="87">
        <f>IFERROR(__xludf.DUMMYFUNCTION("""COMPUTED_VALUE"""),0.0)</f>
        <v>0</v>
      </c>
      <c r="O568" s="74"/>
      <c r="P568" s="74" t="str">
        <f>IFERROR(__xludf.DUMMYFUNCTION("""COMPUTED_VALUE"""),"borrar")</f>
        <v>borrar</v>
      </c>
      <c r="Q568" s="74"/>
      <c r="R568" s="74"/>
      <c r="S568" s="87">
        <f>IFERROR(__xludf.DUMMYFUNCTION("""COMPUTED_VALUE"""),0.0)</f>
        <v>0</v>
      </c>
      <c r="T568" s="87">
        <f>IFERROR(__xludf.DUMMYFUNCTION("""COMPUTED_VALUE"""),0.0)</f>
        <v>0</v>
      </c>
      <c r="U568" s="87">
        <f>IFERROR(__xludf.DUMMYFUNCTION("""COMPUTED_VALUE"""),0.0)</f>
        <v>0</v>
      </c>
      <c r="V568" s="87">
        <f>IFERROR(__xludf.DUMMYFUNCTION("""COMPUTED_VALUE"""),0.0)</f>
        <v>0</v>
      </c>
      <c r="W568" s="87">
        <f>IFERROR(__xludf.DUMMYFUNCTION("""COMPUTED_VALUE"""),0.0)</f>
        <v>0</v>
      </c>
      <c r="X568" s="88"/>
      <c r="Y568" s="74"/>
      <c r="Z568" s="74"/>
    </row>
    <row r="569">
      <c r="B569" s="74" t="str">
        <f>IFERROR(__xludf.DUMMYFUNCTION("""COMPUTED_VALUE"""),"1566")</f>
        <v>1566</v>
      </c>
      <c r="C569" s="74"/>
      <c r="D569" s="74" t="str">
        <f>IFERROR(__xludf.DUMMYFUNCTION("""COMPUTED_VALUE"""),"\\MCA-S\mk\2_BM\0_BMat\08_PYM\Inventario\excel\Imagen de refacciones\Putzmeister\Rubeer disc Q60 _ Disco de goma Q60")</f>
        <v>\\MCA-S\mk\2_BM\0_BMat\08_PYM\Inventario\excel\Imagen de refacciones\Putzmeister\Rubeer disc Q60 _ Disco de goma Q60</v>
      </c>
      <c r="E569" s="74"/>
      <c r="F569" s="74" t="str">
        <f>IFERROR(__xludf.DUMMYFUNCTION("""COMPUTED_VALUE"""),"SELLOS PARA RODAMIENTO DE MEZCLADOR PARA BOMBA DE HORMIGON")</f>
        <v>SELLOS PARA RODAMIENTO DE MEZCLADOR PARA BOMBA DE HORMIGON</v>
      </c>
      <c r="G569" s="74"/>
      <c r="H569" s="74"/>
      <c r="I569" s="74" t="str">
        <f>IFERROR(__xludf.DUMMYFUNCTION("""COMPUTED_VALUE"""),"SOM20082")</f>
        <v>SOM20082</v>
      </c>
      <c r="J569" s="74" t="str">
        <f>IFERROR(__xludf.DUMMYFUNCTION("""COMPUTED_VALUE"""),"242574006")</f>
        <v>242574006</v>
      </c>
      <c r="K569" s="74" t="str">
        <f>IFERROR(__xludf.DUMMYFUNCTION("""COMPUTED_VALUE"""),"Putzmeister")</f>
        <v>Putzmeister</v>
      </c>
      <c r="L569" s="74" t="str">
        <f>IFERROR(__xludf.DUMMYFUNCTION("""COMPUTED_VALUE"""),"Componentes estructurales y de montaje")</f>
        <v>Componentes estructurales y de montaje</v>
      </c>
      <c r="M569" s="74" t="str">
        <f>IFERROR(__xludf.DUMMYFUNCTION("""COMPUTED_VALUE"""),"Sin Asignar")</f>
        <v>Sin Asignar</v>
      </c>
      <c r="N569" s="87">
        <f>IFERROR(__xludf.DUMMYFUNCTION("""COMPUTED_VALUE"""),0.0)</f>
        <v>0</v>
      </c>
      <c r="O569" s="74"/>
      <c r="P569" s="74" t="str">
        <f>IFERROR(__xludf.DUMMYFUNCTION("""COMPUTED_VALUE"""),"borrar")</f>
        <v>borrar</v>
      </c>
      <c r="Q569" s="74"/>
      <c r="R569" s="74"/>
      <c r="S569" s="87">
        <f>IFERROR(__xludf.DUMMYFUNCTION("""COMPUTED_VALUE"""),0.0)</f>
        <v>0</v>
      </c>
      <c r="T569" s="87">
        <f>IFERROR(__xludf.DUMMYFUNCTION("""COMPUTED_VALUE"""),0.0)</f>
        <v>0</v>
      </c>
      <c r="U569" s="87">
        <f>IFERROR(__xludf.DUMMYFUNCTION("""COMPUTED_VALUE"""),0.0)</f>
        <v>0</v>
      </c>
      <c r="V569" s="87">
        <f>IFERROR(__xludf.DUMMYFUNCTION("""COMPUTED_VALUE"""),0.0)</f>
        <v>0</v>
      </c>
      <c r="W569" s="87">
        <f>IFERROR(__xludf.DUMMYFUNCTION("""COMPUTED_VALUE"""),0.0)</f>
        <v>0</v>
      </c>
      <c r="X569" s="88"/>
      <c r="Y569" s="74"/>
      <c r="Z569" s="74"/>
    </row>
    <row r="570">
      <c r="B570" s="74" t="str">
        <f>IFERROR(__xludf.DUMMYFUNCTION("""COMPUTED_VALUE"""),"1567")</f>
        <v>1567</v>
      </c>
      <c r="C570" s="74"/>
      <c r="D570" s="74" t="str">
        <f>IFERROR(__xludf.DUMMYFUNCTION("""COMPUTED_VALUE"""),"\\MCA-S\mk\2_BM\0_BMat\08_PYM\Inventario\excel\Imagen de refacciones\Putzmeister\MIXER SHAFT Q60 X 285mm _ Eje de mezcladora Q60 x 285mm")</f>
        <v>\\MCA-S\mk\2_BM\0_BMat\08_PYM\Inventario\excel\Imagen de refacciones\Putzmeister\MIXER SHAFT Q60 X 285mm _ Eje de mezcladora Q60 x 285mm</v>
      </c>
      <c r="E570" s="74"/>
      <c r="F570" s="74" t="str">
        <f>IFERROR(__xludf.DUMMYFUNCTION("""COMPUTED_VALUE"""),"EJE MEZCLADOR PARA BOMBA DE HORMIGON")</f>
        <v>EJE MEZCLADOR PARA BOMBA DE HORMIGON</v>
      </c>
      <c r="G570" s="74"/>
      <c r="H570" s="74"/>
      <c r="I570" s="74" t="str">
        <f>IFERROR(__xludf.DUMMYFUNCTION("""COMPUTED_VALUE"""),"SOM20083")</f>
        <v>SOM20083</v>
      </c>
      <c r="J570" s="74" t="str">
        <f>IFERROR(__xludf.DUMMYFUNCTION("""COMPUTED_VALUE"""),"275587002")</f>
        <v>275587002</v>
      </c>
      <c r="K570" s="74" t="str">
        <f>IFERROR(__xludf.DUMMYFUNCTION("""COMPUTED_VALUE"""),"Putzmeister")</f>
        <v>Putzmeister</v>
      </c>
      <c r="L570" s="74" t="str">
        <f>IFERROR(__xludf.DUMMYFUNCTION("""COMPUTED_VALUE"""),"Componentes estructurales y de montaje")</f>
        <v>Componentes estructurales y de montaje</v>
      </c>
      <c r="M570" s="74" t="str">
        <f>IFERROR(__xludf.DUMMYFUNCTION("""COMPUTED_VALUE"""),"Sin Asignar")</f>
        <v>Sin Asignar</v>
      </c>
      <c r="N570" s="87">
        <f>IFERROR(__xludf.DUMMYFUNCTION("""COMPUTED_VALUE"""),0.0)</f>
        <v>0</v>
      </c>
      <c r="O570" s="74"/>
      <c r="P570" s="74" t="str">
        <f>IFERROR(__xludf.DUMMYFUNCTION("""COMPUTED_VALUE"""),"borrar")</f>
        <v>borrar</v>
      </c>
      <c r="Q570" s="74"/>
      <c r="R570" s="74"/>
      <c r="S570" s="87">
        <f>IFERROR(__xludf.DUMMYFUNCTION("""COMPUTED_VALUE"""),0.0)</f>
        <v>0</v>
      </c>
      <c r="T570" s="87">
        <f>IFERROR(__xludf.DUMMYFUNCTION("""COMPUTED_VALUE"""),0.0)</f>
        <v>0</v>
      </c>
      <c r="U570" s="87">
        <f>IFERROR(__xludf.DUMMYFUNCTION("""COMPUTED_VALUE"""),0.0)</f>
        <v>0</v>
      </c>
      <c r="V570" s="87">
        <f>IFERROR(__xludf.DUMMYFUNCTION("""COMPUTED_VALUE"""),0.0)</f>
        <v>0</v>
      </c>
      <c r="W570" s="87">
        <f>IFERROR(__xludf.DUMMYFUNCTION("""COMPUTED_VALUE"""),0.0)</f>
        <v>0</v>
      </c>
      <c r="X570" s="88"/>
      <c r="Y570" s="74"/>
      <c r="Z570" s="74"/>
    </row>
    <row r="571">
      <c r="B571" s="74" t="str">
        <f>IFERROR(__xludf.DUMMYFUNCTION("""COMPUTED_VALUE"""),"1568")</f>
        <v>1568</v>
      </c>
      <c r="C571" s="74"/>
      <c r="D571" s="74" t="str">
        <f>IFERROR(__xludf.DUMMYFUNCTION("""COMPUTED_VALUE"""),"\\MCA-S\mk\2_BM\0_BMat\08_PYM\Inventario\excel\Imagen de refacciones\Putzmeister\Washer _ Arandela")</f>
        <v>\\MCA-S\mk\2_BM\0_BMat\08_PYM\Inventario\excel\Imagen de refacciones\Putzmeister\Washer _ Arandela</v>
      </c>
      <c r="E571" s="74"/>
      <c r="F571" s="74" t="str">
        <f>IFERROR(__xludf.DUMMYFUNCTION("""COMPUTED_VALUE"""),"Washer / Arandela")</f>
        <v>Washer / Arandela</v>
      </c>
      <c r="G571" s="74"/>
      <c r="H571" s="74"/>
      <c r="I571" s="74" t="str">
        <f>IFERROR(__xludf.DUMMYFUNCTION("""COMPUTED_VALUE"""),"SOM20084")</f>
        <v>SOM20084</v>
      </c>
      <c r="J571" s="74" t="str">
        <f>IFERROR(__xludf.DUMMYFUNCTION("""COMPUTED_VALUE"""),"55916000")</f>
        <v>55916000</v>
      </c>
      <c r="K571" s="74" t="str">
        <f>IFERROR(__xludf.DUMMYFUNCTION("""COMPUTED_VALUE"""),"Putzmeister")</f>
        <v>Putzmeister</v>
      </c>
      <c r="L571" s="74" t="str">
        <f>IFERROR(__xludf.DUMMYFUNCTION("""COMPUTED_VALUE"""),"Componentes estructurales y de montaje")</f>
        <v>Componentes estructurales y de montaje</v>
      </c>
      <c r="M571" s="74" t="str">
        <f>IFERROR(__xludf.DUMMYFUNCTION("""COMPUTED_VALUE"""),"Sin Asignar")</f>
        <v>Sin Asignar</v>
      </c>
      <c r="N571" s="87">
        <f>IFERROR(__xludf.DUMMYFUNCTION("""COMPUTED_VALUE"""),0.0)</f>
        <v>0</v>
      </c>
      <c r="O571" s="74"/>
      <c r="P571" s="74" t="str">
        <f>IFERROR(__xludf.DUMMYFUNCTION("""COMPUTED_VALUE"""),"No Available")</f>
        <v>No Available</v>
      </c>
      <c r="Q571" s="74"/>
      <c r="R571" s="74"/>
      <c r="S571" s="87">
        <f>IFERROR(__xludf.DUMMYFUNCTION("""COMPUTED_VALUE"""),0.0)</f>
        <v>0</v>
      </c>
      <c r="T571" s="87">
        <f>IFERROR(__xludf.DUMMYFUNCTION("""COMPUTED_VALUE"""),0.0)</f>
        <v>0</v>
      </c>
      <c r="U571" s="87">
        <f>IFERROR(__xludf.DUMMYFUNCTION("""COMPUTED_VALUE"""),0.0)</f>
        <v>0</v>
      </c>
      <c r="V571" s="87">
        <f>IFERROR(__xludf.DUMMYFUNCTION("""COMPUTED_VALUE"""),0.0)</f>
        <v>0</v>
      </c>
      <c r="W571" s="87">
        <f>IFERROR(__xludf.DUMMYFUNCTION("""COMPUTED_VALUE"""),0.0)</f>
        <v>0</v>
      </c>
      <c r="X571" s="88"/>
      <c r="Y571" s="74"/>
      <c r="Z571" s="74"/>
    </row>
    <row r="572">
      <c r="B572" s="74" t="str">
        <f>IFERROR(__xludf.DUMMYFUNCTION("""COMPUTED_VALUE"""),"1569")</f>
        <v>1569</v>
      </c>
      <c r="C572" s="74"/>
      <c r="D572" s="74" t="str">
        <f>IFERROR(__xludf.DUMMYFUNCTION("""COMPUTED_VALUE"""),"\\MCA-S\mk\2_BM\0_BMat\08_PYM\Inventario\excel\Imagen de refacciones\Putzmeister\Mixer shaft center part Q60 _ Parte central del eje de mezcladora Q60")</f>
        <v>\\MCA-S\mk\2_BM\0_BMat\08_PYM\Inventario\excel\Imagen de refacciones\Putzmeister\Mixer shaft center part Q60 _ Parte central del eje de mezcladora Q60</v>
      </c>
      <c r="E572" s="74"/>
      <c r="F572" s="74" t="str">
        <f>IFERROR(__xludf.DUMMYFUNCTION("""COMPUTED_VALUE"""),"Mixer shaft center part Q60 / Parte central del eje de mezcladora Q60")</f>
        <v>Mixer shaft center part Q60 / Parte central del eje de mezcladora Q60</v>
      </c>
      <c r="G572" s="74"/>
      <c r="H572" s="74"/>
      <c r="I572" s="74" t="str">
        <f>IFERROR(__xludf.DUMMYFUNCTION("""COMPUTED_VALUE"""),"SOM20085")</f>
        <v>SOM20085</v>
      </c>
      <c r="J572" s="74" t="str">
        <f>IFERROR(__xludf.DUMMYFUNCTION("""COMPUTED_VALUE"""),"264020004")</f>
        <v>264020004</v>
      </c>
      <c r="K572" s="74" t="str">
        <f>IFERROR(__xludf.DUMMYFUNCTION("""COMPUTED_VALUE"""),"Putzmeister")</f>
        <v>Putzmeister</v>
      </c>
      <c r="L572" s="74" t="str">
        <f>IFERROR(__xludf.DUMMYFUNCTION("""COMPUTED_VALUE"""),"Componentes estructurales y de montaje")</f>
        <v>Componentes estructurales y de montaje</v>
      </c>
      <c r="M572" s="74" t="str">
        <f>IFERROR(__xludf.DUMMYFUNCTION("""COMPUTED_VALUE"""),"Sin Asignar")</f>
        <v>Sin Asignar</v>
      </c>
      <c r="N572" s="87">
        <f>IFERROR(__xludf.DUMMYFUNCTION("""COMPUTED_VALUE"""),0.0)</f>
        <v>0</v>
      </c>
      <c r="O572" s="74"/>
      <c r="P572" s="74" t="str">
        <f>IFERROR(__xludf.DUMMYFUNCTION("""COMPUTED_VALUE"""),"No Available")</f>
        <v>No Available</v>
      </c>
      <c r="Q572" s="74"/>
      <c r="R572" s="74"/>
      <c r="S572" s="87">
        <f>IFERROR(__xludf.DUMMYFUNCTION("""COMPUTED_VALUE"""),0.0)</f>
        <v>0</v>
      </c>
      <c r="T572" s="87">
        <f>IFERROR(__xludf.DUMMYFUNCTION("""COMPUTED_VALUE"""),0.0)</f>
        <v>0</v>
      </c>
      <c r="U572" s="87">
        <f>IFERROR(__xludf.DUMMYFUNCTION("""COMPUTED_VALUE"""),0.0)</f>
        <v>0</v>
      </c>
      <c r="V572" s="87">
        <f>IFERROR(__xludf.DUMMYFUNCTION("""COMPUTED_VALUE"""),0.0)</f>
        <v>0</v>
      </c>
      <c r="W572" s="87">
        <f>IFERROR(__xludf.DUMMYFUNCTION("""COMPUTED_VALUE"""),0.0)</f>
        <v>0</v>
      </c>
      <c r="X572" s="88"/>
      <c r="Y572" s="74"/>
      <c r="Z572" s="74"/>
    </row>
    <row r="573">
      <c r="B573" s="74" t="str">
        <f>IFERROR(__xludf.DUMMYFUNCTION("""COMPUTED_VALUE"""),"1570")</f>
        <v>1570</v>
      </c>
      <c r="C573" s="74"/>
      <c r="D573" s="74" t="str">
        <f>IFERROR(__xludf.DUMMYFUNCTION("""COMPUTED_VALUE"""),"\\MCA-S\mk\2_BM\0_BMat\08_PYM\Inventario\excel\Imagen de refacciones\Putzmeister\Paddle left _ Paleta izquierda")</f>
        <v>\\MCA-S\mk\2_BM\0_BMat\08_PYM\Inventario\excel\Imagen de refacciones\Putzmeister\Paddle left _ Paleta izquierda</v>
      </c>
      <c r="E573" s="74"/>
      <c r="F573" s="74" t="str">
        <f>IFERROR(__xludf.DUMMYFUNCTION("""COMPUTED_VALUE"""),"Paddle left / Paleta izquierda")</f>
        <v>Paddle left / Paleta izquierda</v>
      </c>
      <c r="G573" s="74"/>
      <c r="H573" s="74"/>
      <c r="I573" s="74" t="str">
        <f>IFERROR(__xludf.DUMMYFUNCTION("""COMPUTED_VALUE"""),"SOM20086")</f>
        <v>SOM20086</v>
      </c>
      <c r="J573" s="74" t="str">
        <f>IFERROR(__xludf.DUMMYFUNCTION("""COMPUTED_VALUE"""),"441541")</f>
        <v>441541</v>
      </c>
      <c r="K573" s="74" t="str">
        <f>IFERROR(__xludf.DUMMYFUNCTION("""COMPUTED_VALUE"""),"Putzmeister")</f>
        <v>Putzmeister</v>
      </c>
      <c r="L573" s="74" t="str">
        <f>IFERROR(__xludf.DUMMYFUNCTION("""COMPUTED_VALUE"""),"Componentes estructurales y de montaje")</f>
        <v>Componentes estructurales y de montaje</v>
      </c>
      <c r="M573" s="74" t="str">
        <f>IFERROR(__xludf.DUMMYFUNCTION("""COMPUTED_VALUE"""),"Sin Asignar")</f>
        <v>Sin Asignar</v>
      </c>
      <c r="N573" s="87">
        <f>IFERROR(__xludf.DUMMYFUNCTION("""COMPUTED_VALUE"""),0.0)</f>
        <v>0</v>
      </c>
      <c r="O573" s="74"/>
      <c r="P573" s="74" t="str">
        <f>IFERROR(__xludf.DUMMYFUNCTION("""COMPUTED_VALUE"""),"No Available")</f>
        <v>No Available</v>
      </c>
      <c r="Q573" s="74"/>
      <c r="R573" s="74"/>
      <c r="S573" s="87">
        <f>IFERROR(__xludf.DUMMYFUNCTION("""COMPUTED_VALUE"""),0.0)</f>
        <v>0</v>
      </c>
      <c r="T573" s="87">
        <f>IFERROR(__xludf.DUMMYFUNCTION("""COMPUTED_VALUE"""),0.0)</f>
        <v>0</v>
      </c>
      <c r="U573" s="87">
        <f>IFERROR(__xludf.DUMMYFUNCTION("""COMPUTED_VALUE"""),0.0)</f>
        <v>0</v>
      </c>
      <c r="V573" s="87">
        <f>IFERROR(__xludf.DUMMYFUNCTION("""COMPUTED_VALUE"""),0.0)</f>
        <v>0</v>
      </c>
      <c r="W573" s="87">
        <f>IFERROR(__xludf.DUMMYFUNCTION("""COMPUTED_VALUE"""),0.0)</f>
        <v>0</v>
      </c>
      <c r="X573" s="88"/>
      <c r="Y573" s="74"/>
      <c r="Z573" s="74"/>
    </row>
    <row r="574">
      <c r="B574" s="74" t="str">
        <f>IFERROR(__xludf.DUMMYFUNCTION("""COMPUTED_VALUE"""),"1571")</f>
        <v>1571</v>
      </c>
      <c r="C574" s="74"/>
      <c r="D574" s="74" t="str">
        <f>IFERROR(__xludf.DUMMYFUNCTION("""COMPUTED_VALUE"""),"\\MCA-S\mk\2_BM\0_BMat\08_PYM\Inventario\excel\Imagen de refacciones\Putzmeister\Foldable elbow _ Codo plegable")</f>
        <v>\\MCA-S\mk\2_BM\0_BMat\08_PYM\Inventario\excel\Imagen de refacciones\Putzmeister\Foldable elbow _ Codo plegable</v>
      </c>
      <c r="E574" s="74"/>
      <c r="F574" s="74" t="str">
        <f>IFERROR(__xludf.DUMMYFUNCTION("""COMPUTED_VALUE"""),"Foldable elbow / Codo plegable")</f>
        <v>Foldable elbow / Codo plegable</v>
      </c>
      <c r="G574" s="74"/>
      <c r="H574" s="74"/>
      <c r="I574" s="74" t="str">
        <f>IFERROR(__xludf.DUMMYFUNCTION("""COMPUTED_VALUE"""),"SOM20088")</f>
        <v>SOM20088</v>
      </c>
      <c r="J574" s="74" t="str">
        <f>IFERROR(__xludf.DUMMYFUNCTION("""COMPUTED_VALUE"""),"417730 / 22327004")</f>
        <v>417730 / 22327004</v>
      </c>
      <c r="K574" s="74" t="str">
        <f>IFERROR(__xludf.DUMMYFUNCTION("""COMPUTED_VALUE"""),"Putzmeister")</f>
        <v>Putzmeister</v>
      </c>
      <c r="L574" s="74" t="str">
        <f>IFERROR(__xludf.DUMMYFUNCTION("""COMPUTED_VALUE"""),"Componentes estructurales y de montaje")</f>
        <v>Componentes estructurales y de montaje</v>
      </c>
      <c r="M574" s="74" t="str">
        <f>IFERROR(__xludf.DUMMYFUNCTION("""COMPUTED_VALUE"""),"Sin Asignar")</f>
        <v>Sin Asignar</v>
      </c>
      <c r="N574" s="87">
        <f>IFERROR(__xludf.DUMMYFUNCTION("""COMPUTED_VALUE"""),0.0)</f>
        <v>0</v>
      </c>
      <c r="O574" s="74"/>
      <c r="P574" s="74" t="str">
        <f>IFERROR(__xludf.DUMMYFUNCTION("""COMPUTED_VALUE"""),"No Available")</f>
        <v>No Available</v>
      </c>
      <c r="Q574" s="74"/>
      <c r="R574" s="74"/>
      <c r="S574" s="87">
        <f>IFERROR(__xludf.DUMMYFUNCTION("""COMPUTED_VALUE"""),0.0)</f>
        <v>0</v>
      </c>
      <c r="T574" s="87">
        <f>IFERROR(__xludf.DUMMYFUNCTION("""COMPUTED_VALUE"""),0.0)</f>
        <v>0</v>
      </c>
      <c r="U574" s="87">
        <f>IFERROR(__xludf.DUMMYFUNCTION("""COMPUTED_VALUE"""),0.0)</f>
        <v>0</v>
      </c>
      <c r="V574" s="87">
        <f>IFERROR(__xludf.DUMMYFUNCTION("""COMPUTED_VALUE"""),0.0)</f>
        <v>0</v>
      </c>
      <c r="W574" s="87">
        <f>IFERROR(__xludf.DUMMYFUNCTION("""COMPUTED_VALUE"""),0.0)</f>
        <v>0</v>
      </c>
      <c r="X574" s="88"/>
      <c r="Y574" s="74"/>
      <c r="Z574" s="74"/>
    </row>
    <row r="575">
      <c r="B575" s="74" t="str">
        <f>IFERROR(__xludf.DUMMYFUNCTION("""COMPUTED_VALUE"""),"1572")</f>
        <v>1572</v>
      </c>
      <c r="C575" s="74"/>
      <c r="D575" s="74" t="str">
        <f>IFERROR(__xludf.DUMMYFUNCTION("""COMPUTED_VALUE"""),"\\MCA-S\mk\2_BM\0_BMat\08_PYM\Inventario\excel\Imagen de refacciones\Putzmeister\6_ Elbow ZXM_ZXF _ Codo de 6_ ZXM_ZXF")</f>
        <v>\\MCA-S\mk\2_BM\0_BMat\08_PYM\Inventario\excel\Imagen de refacciones\Putzmeister\6_ Elbow ZXM_ZXF _ Codo de 6_ ZXM_ZXF</v>
      </c>
      <c r="E575" s="74"/>
      <c r="F575" s="74" t="str">
        <f>IFERROR(__xludf.DUMMYFUNCTION("""COMPUTED_VALUE"""),"6"" Elbow ZXM/ZXF / Codo de 6"" ZXM/ZXF")</f>
        <v>6" Elbow ZXM/ZXF / Codo de 6" ZXM/ZXF</v>
      </c>
      <c r="G575" s="74"/>
      <c r="H575" s="74"/>
      <c r="I575" s="74" t="str">
        <f>IFERROR(__xludf.DUMMYFUNCTION("""COMPUTED_VALUE"""),"SOM20089")</f>
        <v>SOM20089</v>
      </c>
      <c r="J575" s="74" t="str">
        <f>IFERROR(__xludf.DUMMYFUNCTION("""COMPUTED_VALUE"""),"292079001")</f>
        <v>292079001</v>
      </c>
      <c r="K575" s="74" t="str">
        <f>IFERROR(__xludf.DUMMYFUNCTION("""COMPUTED_VALUE"""),"Putzmeister")</f>
        <v>Putzmeister</v>
      </c>
      <c r="L575" s="74" t="str">
        <f>IFERROR(__xludf.DUMMYFUNCTION("""COMPUTED_VALUE"""),"Componentes estructurales y de montaje")</f>
        <v>Componentes estructurales y de montaje</v>
      </c>
      <c r="M575" s="74" t="str">
        <f>IFERROR(__xludf.DUMMYFUNCTION("""COMPUTED_VALUE"""),"Sin Asignar")</f>
        <v>Sin Asignar</v>
      </c>
      <c r="N575" s="87">
        <f>IFERROR(__xludf.DUMMYFUNCTION("""COMPUTED_VALUE"""),0.0)</f>
        <v>0</v>
      </c>
      <c r="O575" s="74"/>
      <c r="P575" s="74" t="str">
        <f>IFERROR(__xludf.DUMMYFUNCTION("""COMPUTED_VALUE"""),"borrar")</f>
        <v>borrar</v>
      </c>
      <c r="Q575" s="74"/>
      <c r="R575" s="74"/>
      <c r="S575" s="87">
        <f>IFERROR(__xludf.DUMMYFUNCTION("""COMPUTED_VALUE"""),0.0)</f>
        <v>0</v>
      </c>
      <c r="T575" s="87">
        <f>IFERROR(__xludf.DUMMYFUNCTION("""COMPUTED_VALUE"""),0.0)</f>
        <v>0</v>
      </c>
      <c r="U575" s="87">
        <f>IFERROR(__xludf.DUMMYFUNCTION("""COMPUTED_VALUE"""),0.0)</f>
        <v>0</v>
      </c>
      <c r="V575" s="87">
        <f>IFERROR(__xludf.DUMMYFUNCTION("""COMPUTED_VALUE"""),0.0)</f>
        <v>0</v>
      </c>
      <c r="W575" s="87">
        <f>IFERROR(__xludf.DUMMYFUNCTION("""COMPUTED_VALUE"""),0.0)</f>
        <v>0</v>
      </c>
      <c r="X575" s="88"/>
      <c r="Y575" s="74"/>
      <c r="Z575" s="74"/>
    </row>
    <row r="576">
      <c r="B576" s="74" t="str">
        <f>IFERROR(__xludf.DUMMYFUNCTION("""COMPUTED_VALUE"""),"1573")</f>
        <v>1573</v>
      </c>
      <c r="C576" s="74"/>
      <c r="D576" s="74" t="str">
        <f>IFERROR(__xludf.DUMMYFUNCTION("""COMPUTED_VALUE"""),"\\MCA-S\mk\2_BM\0_BMat\08_PYM\Inventario\excel\Imagen de refacciones\Putzmeister\Reduction pipe 1200 mm _ Tubo reductor de 1200 mm")</f>
        <v>\\MCA-S\mk\2_BM\0_BMat\08_PYM\Inventario\excel\Imagen de refacciones\Putzmeister\Reduction pipe 1200 mm _ Tubo reductor de 1200 mm</v>
      </c>
      <c r="E576" s="74"/>
      <c r="F576" s="74" t="str">
        <f>IFERROR(__xludf.DUMMYFUNCTION("""COMPUTED_VALUE"""),"Reduction pipe 1200 mm / Tubo reductor de 1200 mm")</f>
        <v>Reduction pipe 1200 mm / Tubo reductor de 1200 mm</v>
      </c>
      <c r="G576" s="74"/>
      <c r="H576" s="74"/>
      <c r="I576" s="74" t="str">
        <f>IFERROR(__xludf.DUMMYFUNCTION("""COMPUTED_VALUE"""),"som20090")</f>
        <v>som20090</v>
      </c>
      <c r="J576" s="74" t="str">
        <f>IFERROR(__xludf.DUMMYFUNCTION("""COMPUTED_VALUE"""),"277401005 / 438338")</f>
        <v>277401005 / 438338</v>
      </c>
      <c r="K576" s="74" t="str">
        <f>IFERROR(__xludf.DUMMYFUNCTION("""COMPUTED_VALUE"""),"Putzmeister")</f>
        <v>Putzmeister</v>
      </c>
      <c r="L576" s="74" t="str">
        <f>IFERROR(__xludf.DUMMYFUNCTION("""COMPUTED_VALUE"""),"Componentes estructurales y de montaje")</f>
        <v>Componentes estructurales y de montaje</v>
      </c>
      <c r="M576" s="74" t="str">
        <f>IFERROR(__xludf.DUMMYFUNCTION("""COMPUTED_VALUE"""),"Sin Asignar")</f>
        <v>Sin Asignar</v>
      </c>
      <c r="N576" s="87">
        <f>IFERROR(__xludf.DUMMYFUNCTION("""COMPUTED_VALUE"""),0.0)</f>
        <v>0</v>
      </c>
      <c r="O576" s="74"/>
      <c r="P576" s="74" t="str">
        <f>IFERROR(__xludf.DUMMYFUNCTION("""COMPUTED_VALUE"""),"No Available")</f>
        <v>No Available</v>
      </c>
      <c r="Q576" s="74"/>
      <c r="R576" s="74"/>
      <c r="S576" s="87">
        <f>IFERROR(__xludf.DUMMYFUNCTION("""COMPUTED_VALUE"""),0.0)</f>
        <v>0</v>
      </c>
      <c r="T576" s="87">
        <f>IFERROR(__xludf.DUMMYFUNCTION("""COMPUTED_VALUE"""),0.0)</f>
        <v>0</v>
      </c>
      <c r="U576" s="87">
        <f>IFERROR(__xludf.DUMMYFUNCTION("""COMPUTED_VALUE"""),0.0)</f>
        <v>0</v>
      </c>
      <c r="V576" s="87">
        <f>IFERROR(__xludf.DUMMYFUNCTION("""COMPUTED_VALUE"""),0.0)</f>
        <v>0</v>
      </c>
      <c r="W576" s="87">
        <f>IFERROR(__xludf.DUMMYFUNCTION("""COMPUTED_VALUE"""),0.0)</f>
        <v>0</v>
      </c>
      <c r="X576" s="88"/>
      <c r="Y576" s="74"/>
      <c r="Z576" s="74"/>
    </row>
    <row r="577">
      <c r="B577" s="74" t="str">
        <f>IFERROR(__xludf.DUMMYFUNCTION("""COMPUTED_VALUE"""),"1574")</f>
        <v>1574</v>
      </c>
      <c r="C577" s="74"/>
      <c r="D577" s="74" t="str">
        <f>IFERROR(__xludf.DUMMYFUNCTION("""COMPUTED_VALUE"""),"\\MCA-S\mk\2_BM\0_BMat\08_PYM\Inventario\excel\Imagen de refacciones\Putzmeister\6_ COUPLING WITH EDGE _ Acoplamiento de 6_ con reborde")</f>
        <v>\\MCA-S\mk\2_BM\0_BMat\08_PYM\Inventario\excel\Imagen de refacciones\Putzmeister\6_ COUPLING WITH EDGE _ Acoplamiento de 6_ con reborde</v>
      </c>
      <c r="E577" s="74"/>
      <c r="F577" s="74" t="str">
        <f>IFERROR(__xludf.DUMMYFUNCTION("""COMPUTED_VALUE"""),"6"" COUPLING WITH EDGE / Acoplamiento de 6"" con reborde")</f>
        <v>6" COUPLING WITH EDGE / Acoplamiento de 6" con reborde</v>
      </c>
      <c r="G577" s="74"/>
      <c r="H577" s="74"/>
      <c r="I577" s="74" t="str">
        <f>IFERROR(__xludf.DUMMYFUNCTION("""COMPUTED_VALUE"""),"SOM20091")</f>
        <v>SOM20091</v>
      </c>
      <c r="J577" s="74" t="str">
        <f>IFERROR(__xludf.DUMMYFUNCTION("""COMPUTED_VALUE"""),"240948003")</f>
        <v>240948003</v>
      </c>
      <c r="K577" s="74" t="str">
        <f>IFERROR(__xludf.DUMMYFUNCTION("""COMPUTED_VALUE"""),"Putzmeister")</f>
        <v>Putzmeister</v>
      </c>
      <c r="L577" s="74" t="str">
        <f>IFERROR(__xludf.DUMMYFUNCTION("""COMPUTED_VALUE"""),"Componentes estructurales y de montaje")</f>
        <v>Componentes estructurales y de montaje</v>
      </c>
      <c r="M577" s="74" t="str">
        <f>IFERROR(__xludf.DUMMYFUNCTION("""COMPUTED_VALUE"""),"Sin Asignar")</f>
        <v>Sin Asignar</v>
      </c>
      <c r="N577" s="87">
        <f>IFERROR(__xludf.DUMMYFUNCTION("""COMPUTED_VALUE"""),0.0)</f>
        <v>0</v>
      </c>
      <c r="O577" s="74"/>
      <c r="P577" s="74" t="str">
        <f>IFERROR(__xludf.DUMMYFUNCTION("""COMPUTED_VALUE"""),"borrar")</f>
        <v>borrar</v>
      </c>
      <c r="Q577" s="74"/>
      <c r="R577" s="74"/>
      <c r="S577" s="87">
        <f>IFERROR(__xludf.DUMMYFUNCTION("""COMPUTED_VALUE"""),0.0)</f>
        <v>0</v>
      </c>
      <c r="T577" s="87">
        <f>IFERROR(__xludf.DUMMYFUNCTION("""COMPUTED_VALUE"""),0.0)</f>
        <v>0</v>
      </c>
      <c r="U577" s="87">
        <f>IFERROR(__xludf.DUMMYFUNCTION("""COMPUTED_VALUE"""),0.0)</f>
        <v>0</v>
      </c>
      <c r="V577" s="87">
        <f>IFERROR(__xludf.DUMMYFUNCTION("""COMPUTED_VALUE"""),0.0)</f>
        <v>0</v>
      </c>
      <c r="W577" s="87">
        <f>IFERROR(__xludf.DUMMYFUNCTION("""COMPUTED_VALUE"""),0.0)</f>
        <v>0</v>
      </c>
      <c r="X577" s="88"/>
      <c r="Y577" s="74"/>
      <c r="Z577" s="74"/>
    </row>
    <row r="578">
      <c r="B578" s="74" t="str">
        <f>IFERROR(__xludf.DUMMYFUNCTION("""COMPUTED_VALUE"""),"1575")</f>
        <v>1575</v>
      </c>
      <c r="C578" s="74"/>
      <c r="D578" s="74" t="str">
        <f>IFERROR(__xludf.DUMMYFUNCTION("""COMPUTED_VALUE"""),"\\MCA-S\mk\2_BM\0_BMat\08_PYM\Inventario\excel\Imagen de refacciones\Putzmeister\6_ Coupling with screw _ Acoplamiento de 6_ con tornillo")</f>
        <v>\\MCA-S\mk\2_BM\0_BMat\08_PYM\Inventario\excel\Imagen de refacciones\Putzmeister\6_ Coupling with screw _ Acoplamiento de 6_ con tornillo</v>
      </c>
      <c r="E578" s="74"/>
      <c r="F578" s="74" t="str">
        <f>IFERROR(__xludf.DUMMYFUNCTION("""COMPUTED_VALUE"""),"6"" Coupling with screw / Acoplamiento de 6"" con tornillo")</f>
        <v>6" Coupling with screw / Acoplamiento de 6" con tornillo</v>
      </c>
      <c r="G578" s="74"/>
      <c r="H578" s="74"/>
      <c r="I578" s="74" t="str">
        <f>IFERROR(__xludf.DUMMYFUNCTION("""COMPUTED_VALUE"""),"SOM20093")</f>
        <v>SOM20093</v>
      </c>
      <c r="J578" s="74" t="str">
        <f>IFERROR(__xludf.DUMMYFUNCTION("""COMPUTED_VALUE"""),"241292004")</f>
        <v>241292004</v>
      </c>
      <c r="K578" s="74" t="str">
        <f>IFERROR(__xludf.DUMMYFUNCTION("""COMPUTED_VALUE"""),"Putzmeister")</f>
        <v>Putzmeister</v>
      </c>
      <c r="L578" s="74" t="str">
        <f>IFERROR(__xludf.DUMMYFUNCTION("""COMPUTED_VALUE"""),"Componentes estructurales y de montaje")</f>
        <v>Componentes estructurales y de montaje</v>
      </c>
      <c r="M578" s="74" t="str">
        <f>IFERROR(__xludf.DUMMYFUNCTION("""COMPUTED_VALUE"""),"Sin Asignar")</f>
        <v>Sin Asignar</v>
      </c>
      <c r="N578" s="87">
        <f>IFERROR(__xludf.DUMMYFUNCTION("""COMPUTED_VALUE"""),0.0)</f>
        <v>0</v>
      </c>
      <c r="O578" s="74"/>
      <c r="P578" s="74" t="str">
        <f>IFERROR(__xludf.DUMMYFUNCTION("""COMPUTED_VALUE"""),"No Available")</f>
        <v>No Available</v>
      </c>
      <c r="Q578" s="74"/>
      <c r="R578" s="74"/>
      <c r="S578" s="87">
        <f>IFERROR(__xludf.DUMMYFUNCTION("""COMPUTED_VALUE"""),0.0)</f>
        <v>0</v>
      </c>
      <c r="T578" s="87">
        <f>IFERROR(__xludf.DUMMYFUNCTION("""COMPUTED_VALUE"""),0.0)</f>
        <v>0</v>
      </c>
      <c r="U578" s="87">
        <f>IFERROR(__xludf.DUMMYFUNCTION("""COMPUTED_VALUE"""),0.0)</f>
        <v>0</v>
      </c>
      <c r="V578" s="87">
        <f>IFERROR(__xludf.DUMMYFUNCTION("""COMPUTED_VALUE"""),0.0)</f>
        <v>0</v>
      </c>
      <c r="W578" s="87">
        <f>IFERROR(__xludf.DUMMYFUNCTION("""COMPUTED_VALUE"""),0.0)</f>
        <v>0</v>
      </c>
      <c r="X578" s="88"/>
      <c r="Y578" s="74"/>
      <c r="Z578" s="74"/>
    </row>
    <row r="579">
      <c r="B579" s="74" t="str">
        <f>IFERROR(__xludf.DUMMYFUNCTION("""COMPUTED_VALUE"""),"1576")</f>
        <v>1576</v>
      </c>
      <c r="C579" s="74"/>
      <c r="D579" s="74" t="str">
        <f>IFERROR(__xludf.DUMMYFUNCTION("""COMPUTED_VALUE"""),"\\MCA-S\mk\2_BM\0_BMat\08_PYM\Inventario\excel\Imagen de refacciones\Putzmeister\SEALING COVER COUPLING _ Cubierta de sellado para acoplamiento")</f>
        <v>\\MCA-S\mk\2_BM\0_BMat\08_PYM\Inventario\excel\Imagen de refacciones\Putzmeister\SEALING COVER COUPLING _ Cubierta de sellado para acoplamiento</v>
      </c>
      <c r="E579" s="74"/>
      <c r="F579" s="74" t="str">
        <f>IFERROR(__xludf.DUMMYFUNCTION("""COMPUTED_VALUE"""),"SEALING COVER COUPLING / Cubierta de sellado para acoplamiento")</f>
        <v>SEALING COVER COUPLING / Cubierta de sellado para acoplamiento</v>
      </c>
      <c r="G579" s="74"/>
      <c r="H579" s="74"/>
      <c r="I579" s="74" t="str">
        <f>IFERROR(__xludf.DUMMYFUNCTION("""COMPUTED_VALUE"""),"Som20094")</f>
        <v>Som20094</v>
      </c>
      <c r="J579" s="74" t="str">
        <f>IFERROR(__xludf.DUMMYFUNCTION("""COMPUTED_VALUE"""),"51342005")</f>
        <v>51342005</v>
      </c>
      <c r="K579" s="74" t="str">
        <f>IFERROR(__xludf.DUMMYFUNCTION("""COMPUTED_VALUE"""),"Putzmeister")</f>
        <v>Putzmeister</v>
      </c>
      <c r="L579" s="74" t="str">
        <f>IFERROR(__xludf.DUMMYFUNCTION("""COMPUTED_VALUE"""),"Sellos y retenes")</f>
        <v>Sellos y retenes</v>
      </c>
      <c r="M579" s="74" t="str">
        <f>IFERROR(__xludf.DUMMYFUNCTION("""COMPUTED_VALUE"""),"Sin Asignar")</f>
        <v>Sin Asignar</v>
      </c>
      <c r="N579" s="87">
        <f>IFERROR(__xludf.DUMMYFUNCTION("""COMPUTED_VALUE"""),0.0)</f>
        <v>0</v>
      </c>
      <c r="O579" s="74"/>
      <c r="P579" s="74" t="str">
        <f>IFERROR(__xludf.DUMMYFUNCTION("""COMPUTED_VALUE"""),"No Available")</f>
        <v>No Available</v>
      </c>
      <c r="Q579" s="74"/>
      <c r="R579" s="74"/>
      <c r="S579" s="87">
        <f>IFERROR(__xludf.DUMMYFUNCTION("""COMPUTED_VALUE"""),0.0)</f>
        <v>0</v>
      </c>
      <c r="T579" s="87">
        <f>IFERROR(__xludf.DUMMYFUNCTION("""COMPUTED_VALUE"""),0.0)</f>
        <v>0</v>
      </c>
      <c r="U579" s="87">
        <f>IFERROR(__xludf.DUMMYFUNCTION("""COMPUTED_VALUE"""),0.0)</f>
        <v>0</v>
      </c>
      <c r="V579" s="87">
        <f>IFERROR(__xludf.DUMMYFUNCTION("""COMPUTED_VALUE"""),0.0)</f>
        <v>0</v>
      </c>
      <c r="W579" s="87">
        <f>IFERROR(__xludf.DUMMYFUNCTION("""COMPUTED_VALUE"""),0.0)</f>
        <v>0</v>
      </c>
      <c r="X579" s="88"/>
      <c r="Y579" s="74"/>
      <c r="Z579" s="74"/>
    </row>
    <row r="580">
      <c r="B580" s="74" t="str">
        <f>IFERROR(__xludf.DUMMYFUNCTION("""COMPUTED_VALUE"""),"1577")</f>
        <v>1577</v>
      </c>
      <c r="C580" s="74"/>
      <c r="D580" s="74" t="str">
        <f>IFERROR(__xludf.DUMMYFUNCTION("""COMPUTED_VALUE"""),"\\MCA-S\mk\2_BM\0_BMat\08_PYM\Inventario\excel\Imagen de refacciones\Putzmeister\Sealing cover _ Cubierta de sellado")</f>
        <v>\\MCA-S\mk\2_BM\0_BMat\08_PYM\Inventario\excel\Imagen de refacciones\Putzmeister\Sealing cover _ Cubierta de sellado</v>
      </c>
      <c r="E580" s="74"/>
      <c r="F580" s="74" t="str">
        <f>IFERROR(__xludf.DUMMYFUNCTION("""COMPUTED_VALUE"""),"Sealing cover / Cubierta de sellado")</f>
        <v>Sealing cover / Cubierta de sellado</v>
      </c>
      <c r="G580" s="74"/>
      <c r="H580" s="74"/>
      <c r="I580" s="74" t="str">
        <f>IFERROR(__xludf.DUMMYFUNCTION("""COMPUTED_VALUE"""),"SOM20095")</f>
        <v>SOM20095</v>
      </c>
      <c r="J580" s="74" t="str">
        <f>IFERROR(__xludf.DUMMYFUNCTION("""COMPUTED_VALUE"""),"54720006")</f>
        <v>54720006</v>
      </c>
      <c r="K580" s="74" t="str">
        <f>IFERROR(__xludf.DUMMYFUNCTION("""COMPUTED_VALUE"""),"Putzmeister")</f>
        <v>Putzmeister</v>
      </c>
      <c r="L580" s="74" t="str">
        <f>IFERROR(__xludf.DUMMYFUNCTION("""COMPUTED_VALUE"""),"Sellos y retenes")</f>
        <v>Sellos y retenes</v>
      </c>
      <c r="M580" s="74" t="str">
        <f>IFERROR(__xludf.DUMMYFUNCTION("""COMPUTED_VALUE"""),"Sin Asignar")</f>
        <v>Sin Asignar</v>
      </c>
      <c r="N580" s="87">
        <f>IFERROR(__xludf.DUMMYFUNCTION("""COMPUTED_VALUE"""),0.0)</f>
        <v>0</v>
      </c>
      <c r="O580" s="74"/>
      <c r="P580" s="74" t="str">
        <f>IFERROR(__xludf.DUMMYFUNCTION("""COMPUTED_VALUE"""),"No Available")</f>
        <v>No Available</v>
      </c>
      <c r="Q580" s="74"/>
      <c r="R580" s="74"/>
      <c r="S580" s="87">
        <f>IFERROR(__xludf.DUMMYFUNCTION("""COMPUTED_VALUE"""),0.0)</f>
        <v>0</v>
      </c>
      <c r="T580" s="87">
        <f>IFERROR(__xludf.DUMMYFUNCTION("""COMPUTED_VALUE"""),0.0)</f>
        <v>0</v>
      </c>
      <c r="U580" s="87">
        <f>IFERROR(__xludf.DUMMYFUNCTION("""COMPUTED_VALUE"""),0.0)</f>
        <v>0</v>
      </c>
      <c r="V580" s="87">
        <f>IFERROR(__xludf.DUMMYFUNCTION("""COMPUTED_VALUE"""),0.0)</f>
        <v>0</v>
      </c>
      <c r="W580" s="87">
        <f>IFERROR(__xludf.DUMMYFUNCTION("""COMPUTED_VALUE"""),0.0)</f>
        <v>0</v>
      </c>
      <c r="X580" s="88"/>
      <c r="Y580" s="74"/>
      <c r="Z580" s="74"/>
    </row>
    <row r="581">
      <c r="B581" s="74" t="str">
        <f>IFERROR(__xludf.DUMMYFUNCTION("""COMPUTED_VALUE"""),"1578")</f>
        <v>1578</v>
      </c>
      <c r="C581" s="74"/>
      <c r="D581" s="74" t="str">
        <f>IFERROR(__xludf.DUMMYFUNCTION("""COMPUTED_VALUE"""),"\\MCA-S\mk\2_BM\0_BMat\08_PYM\Inventario\excel\Imagen de refacciones\Putzmeister\Wedge _ Cuña")</f>
        <v>\\MCA-S\mk\2_BM\0_BMat\08_PYM\Inventario\excel\Imagen de refacciones\Putzmeister\Wedge _ Cuña</v>
      </c>
      <c r="E581" s="74"/>
      <c r="F581" s="74" t="str">
        <f>IFERROR(__xludf.DUMMYFUNCTION("""COMPUTED_VALUE"""),"Wedge / Cuña")</f>
        <v>Wedge / Cuña</v>
      </c>
      <c r="G581" s="74"/>
      <c r="H581" s="74"/>
      <c r="I581" s="74" t="str">
        <f>IFERROR(__xludf.DUMMYFUNCTION("""COMPUTED_VALUE"""),"SOM20096")</f>
        <v>SOM20096</v>
      </c>
      <c r="J581" s="74" t="str">
        <f>IFERROR(__xludf.DUMMYFUNCTION("""COMPUTED_VALUE"""),"426793")</f>
        <v>426793</v>
      </c>
      <c r="K581" s="74" t="str">
        <f>IFERROR(__xludf.DUMMYFUNCTION("""COMPUTED_VALUE"""),"Putzmeister")</f>
        <v>Putzmeister</v>
      </c>
      <c r="L581" s="74" t="str">
        <f>IFERROR(__xludf.DUMMYFUNCTION("""COMPUTED_VALUE"""),"Componentes estructurales y de montaje")</f>
        <v>Componentes estructurales y de montaje</v>
      </c>
      <c r="M581" s="74" t="str">
        <f>IFERROR(__xludf.DUMMYFUNCTION("""COMPUTED_VALUE"""),"Sin Asignar")</f>
        <v>Sin Asignar</v>
      </c>
      <c r="N581" s="87">
        <f>IFERROR(__xludf.DUMMYFUNCTION("""COMPUTED_VALUE"""),0.0)</f>
        <v>0</v>
      </c>
      <c r="O581" s="74"/>
      <c r="P581" s="74" t="str">
        <f>IFERROR(__xludf.DUMMYFUNCTION("""COMPUTED_VALUE"""),"borrar")</f>
        <v>borrar</v>
      </c>
      <c r="Q581" s="74"/>
      <c r="R581" s="74"/>
      <c r="S581" s="87">
        <f>IFERROR(__xludf.DUMMYFUNCTION("""COMPUTED_VALUE"""),0.0)</f>
        <v>0</v>
      </c>
      <c r="T581" s="87">
        <f>IFERROR(__xludf.DUMMYFUNCTION("""COMPUTED_VALUE"""),0.0)</f>
        <v>0</v>
      </c>
      <c r="U581" s="87">
        <f>IFERROR(__xludf.DUMMYFUNCTION("""COMPUTED_VALUE"""),0.0)</f>
        <v>0</v>
      </c>
      <c r="V581" s="87">
        <f>IFERROR(__xludf.DUMMYFUNCTION("""COMPUTED_VALUE"""),0.0)</f>
        <v>0</v>
      </c>
      <c r="W581" s="87">
        <f>IFERROR(__xludf.DUMMYFUNCTION("""COMPUTED_VALUE"""),0.0)</f>
        <v>0</v>
      </c>
      <c r="X581" s="88"/>
      <c r="Y581" s="74"/>
      <c r="Z581" s="74"/>
    </row>
    <row r="582">
      <c r="B582" s="74" t="str">
        <f>IFERROR(__xludf.DUMMYFUNCTION("""COMPUTED_VALUE"""),"1579")</f>
        <v>1579</v>
      </c>
      <c r="C582" s="74"/>
      <c r="D582" s="74" t="str">
        <f>IFERROR(__xludf.DUMMYFUNCTION("""COMPUTED_VALUE"""),"\\MCA-S\mk\2_BM\0_BMat\08_PYM\Inventario\excel\Imagen de refacciones\Putzmeister\Mounting (eye) Bolt _ Perno de montaje (con ojo)")</f>
        <v>\\MCA-S\mk\2_BM\0_BMat\08_PYM\Inventario\excel\Imagen de refacciones\Putzmeister\Mounting (eye) Bolt _ Perno de montaje (con ojo)</v>
      </c>
      <c r="E582" s="74"/>
      <c r="F582" s="74" t="str">
        <f>IFERROR(__xludf.DUMMYFUNCTION("""COMPUTED_VALUE"""),"Mounting (eye) Bolt / Perno de montaje (con ojo)")</f>
        <v>Mounting (eye) Bolt / Perno de montaje (con ojo)</v>
      </c>
      <c r="G582" s="74"/>
      <c r="H582" s="74"/>
      <c r="I582" s="74" t="str">
        <f>IFERROR(__xludf.DUMMYFUNCTION("""COMPUTED_VALUE"""),"SOM20097")</f>
        <v>SOM20097</v>
      </c>
      <c r="J582" s="74" t="str">
        <f>IFERROR(__xludf.DUMMYFUNCTION("""COMPUTED_VALUE"""),"262639002")</f>
        <v>262639002</v>
      </c>
      <c r="K582" s="74" t="str">
        <f>IFERROR(__xludf.DUMMYFUNCTION("""COMPUTED_VALUE"""),"Putzmeister")</f>
        <v>Putzmeister</v>
      </c>
      <c r="L582" s="74" t="str">
        <f>IFERROR(__xludf.DUMMYFUNCTION("""COMPUTED_VALUE"""),"Componentes estructurales y de montaje")</f>
        <v>Componentes estructurales y de montaje</v>
      </c>
      <c r="M582" s="74" t="str">
        <f>IFERROR(__xludf.DUMMYFUNCTION("""COMPUTED_VALUE"""),"Sin Asignar")</f>
        <v>Sin Asignar</v>
      </c>
      <c r="N582" s="87">
        <f>IFERROR(__xludf.DUMMYFUNCTION("""COMPUTED_VALUE"""),0.0)</f>
        <v>0</v>
      </c>
      <c r="O582" s="74"/>
      <c r="P582" s="74" t="str">
        <f>IFERROR(__xludf.DUMMYFUNCTION("""COMPUTED_VALUE"""),"borrar")</f>
        <v>borrar</v>
      </c>
      <c r="Q582" s="74"/>
      <c r="R582" s="74"/>
      <c r="S582" s="87">
        <f>IFERROR(__xludf.DUMMYFUNCTION("""COMPUTED_VALUE"""),0.0)</f>
        <v>0</v>
      </c>
      <c r="T582" s="87">
        <f>IFERROR(__xludf.DUMMYFUNCTION("""COMPUTED_VALUE"""),0.0)</f>
        <v>0</v>
      </c>
      <c r="U582" s="87">
        <f>IFERROR(__xludf.DUMMYFUNCTION("""COMPUTED_VALUE"""),0.0)</f>
        <v>0</v>
      </c>
      <c r="V582" s="87">
        <f>IFERROR(__xludf.DUMMYFUNCTION("""COMPUTED_VALUE"""),0.0)</f>
        <v>0</v>
      </c>
      <c r="W582" s="87">
        <f>IFERROR(__xludf.DUMMYFUNCTION("""COMPUTED_VALUE"""),0.0)</f>
        <v>0</v>
      </c>
      <c r="X582" s="88"/>
      <c r="Y582" s="74"/>
      <c r="Z582" s="74"/>
    </row>
    <row r="583">
      <c r="B583" s="74" t="str">
        <f>IFERROR(__xludf.DUMMYFUNCTION("""COMPUTED_VALUE"""),"1580")</f>
        <v>1580</v>
      </c>
      <c r="C583" s="74"/>
      <c r="D583" s="74" t="str">
        <f>IFERROR(__xludf.DUMMYFUNCTION("""COMPUTED_VALUE"""),"\\MCA-S\mk\2_BM\0_BMat\08_PYM\Inventario\excel\Imagen de refacciones\Putzmeister\Tie rod _ Tirante")</f>
        <v>\\MCA-S\mk\2_BM\0_BMat\08_PYM\Inventario\excel\Imagen de refacciones\Putzmeister\Tie rod _ Tirante</v>
      </c>
      <c r="E583" s="74"/>
      <c r="F583" s="74" t="str">
        <f>IFERROR(__xludf.DUMMYFUNCTION("""COMPUTED_VALUE"""),"Tie rod / Tirante")</f>
        <v>Tie rod / Tirante</v>
      </c>
      <c r="G583" s="74"/>
      <c r="H583" s="74"/>
      <c r="I583" s="74" t="str">
        <f>IFERROR(__xludf.DUMMYFUNCTION("""COMPUTED_VALUE"""),"SOM20098")</f>
        <v>SOM20098</v>
      </c>
      <c r="J583" s="74" t="str">
        <f>IFERROR(__xludf.DUMMYFUNCTION("""COMPUTED_VALUE"""),"264392004")</f>
        <v>264392004</v>
      </c>
      <c r="K583" s="74" t="str">
        <f>IFERROR(__xludf.DUMMYFUNCTION("""COMPUTED_VALUE"""),"Putzmeister")</f>
        <v>Putzmeister</v>
      </c>
      <c r="L583" s="74" t="str">
        <f>IFERROR(__xludf.DUMMYFUNCTION("""COMPUTED_VALUE"""),"Componentes estructurales y de montaje")</f>
        <v>Componentes estructurales y de montaje</v>
      </c>
      <c r="M583" s="74" t="str">
        <f>IFERROR(__xludf.DUMMYFUNCTION("""COMPUTED_VALUE"""),"Sin Asignar")</f>
        <v>Sin Asignar</v>
      </c>
      <c r="N583" s="87">
        <f>IFERROR(__xludf.DUMMYFUNCTION("""COMPUTED_VALUE"""),0.0)</f>
        <v>0</v>
      </c>
      <c r="O583" s="74"/>
      <c r="P583" s="74" t="str">
        <f>IFERROR(__xludf.DUMMYFUNCTION("""COMPUTED_VALUE"""),"borrar")</f>
        <v>borrar</v>
      </c>
      <c r="Q583" s="74"/>
      <c r="R583" s="74"/>
      <c r="S583" s="87">
        <f>IFERROR(__xludf.DUMMYFUNCTION("""COMPUTED_VALUE"""),0.0)</f>
        <v>0</v>
      </c>
      <c r="T583" s="87">
        <f>IFERROR(__xludf.DUMMYFUNCTION("""COMPUTED_VALUE"""),0.0)</f>
        <v>0</v>
      </c>
      <c r="U583" s="87">
        <f>IFERROR(__xludf.DUMMYFUNCTION("""COMPUTED_VALUE"""),0.0)</f>
        <v>0</v>
      </c>
      <c r="V583" s="87">
        <f>IFERROR(__xludf.DUMMYFUNCTION("""COMPUTED_VALUE"""),0.0)</f>
        <v>0</v>
      </c>
      <c r="W583" s="87">
        <f>IFERROR(__xludf.DUMMYFUNCTION("""COMPUTED_VALUE"""),0.0)</f>
        <v>0</v>
      </c>
      <c r="X583" s="88"/>
      <c r="Y583" s="74"/>
      <c r="Z583" s="74"/>
    </row>
    <row r="584">
      <c r="B584" s="74" t="str">
        <f>IFERROR(__xludf.DUMMYFUNCTION("""COMPUTED_VALUE"""),"1581")</f>
        <v>1581</v>
      </c>
      <c r="C584" s="74"/>
      <c r="D584" s="74" t="str">
        <f>IFERROR(__xludf.DUMMYFUNCTION("""COMPUTED_VALUE"""),"\\MCA-S\mk\2_BM\0_BMat\08_PYM\Inventario\excel\Imagen de refacciones\Putzmeister\Intermediate ring _ Anillo intermedio")</f>
        <v>\\MCA-S\mk\2_BM\0_BMat\08_PYM\Inventario\excel\Imagen de refacciones\Putzmeister\Intermediate ring _ Anillo intermedio</v>
      </c>
      <c r="E584" s="74"/>
      <c r="F584" s="74" t="str">
        <f>IFERROR(__xludf.DUMMYFUNCTION("""COMPUTED_VALUE"""),"Intermediate ring / Anillo intermedio")</f>
        <v>Intermediate ring / Anillo intermedio</v>
      </c>
      <c r="G584" s="74"/>
      <c r="H584" s="74"/>
      <c r="I584" s="74" t="str">
        <f>IFERROR(__xludf.DUMMYFUNCTION("""COMPUTED_VALUE"""),"SOM20099")</f>
        <v>SOM20099</v>
      </c>
      <c r="J584" s="74" t="str">
        <f>IFERROR(__xludf.DUMMYFUNCTION("""COMPUTED_VALUE"""),"25220001")</f>
        <v>25220001</v>
      </c>
      <c r="K584" s="74" t="str">
        <f>IFERROR(__xludf.DUMMYFUNCTION("""COMPUTED_VALUE"""),"Putzmeister")</f>
        <v>Putzmeister</v>
      </c>
      <c r="L584" s="74" t="str">
        <f>IFERROR(__xludf.DUMMYFUNCTION("""COMPUTED_VALUE"""),"Componentes estructurales y de montaje")</f>
        <v>Componentes estructurales y de montaje</v>
      </c>
      <c r="M584" s="74" t="str">
        <f>IFERROR(__xludf.DUMMYFUNCTION("""COMPUTED_VALUE"""),"Sin Asignar")</f>
        <v>Sin Asignar</v>
      </c>
      <c r="N584" s="87">
        <f>IFERROR(__xludf.DUMMYFUNCTION("""COMPUTED_VALUE"""),0.0)</f>
        <v>0</v>
      </c>
      <c r="O584" s="74"/>
      <c r="P584" s="74" t="str">
        <f>IFERROR(__xludf.DUMMYFUNCTION("""COMPUTED_VALUE"""),"No Available")</f>
        <v>No Available</v>
      </c>
      <c r="Q584" s="74"/>
      <c r="R584" s="74"/>
      <c r="S584" s="87">
        <f>IFERROR(__xludf.DUMMYFUNCTION("""COMPUTED_VALUE"""),0.0)</f>
        <v>0</v>
      </c>
      <c r="T584" s="87">
        <f>IFERROR(__xludf.DUMMYFUNCTION("""COMPUTED_VALUE"""),0.0)</f>
        <v>0</v>
      </c>
      <c r="U584" s="87">
        <f>IFERROR(__xludf.DUMMYFUNCTION("""COMPUTED_VALUE"""),0.0)</f>
        <v>0</v>
      </c>
      <c r="V584" s="87">
        <f>IFERROR(__xludf.DUMMYFUNCTION("""COMPUTED_VALUE"""),0.0)</f>
        <v>0</v>
      </c>
      <c r="W584" s="87">
        <f>IFERROR(__xludf.DUMMYFUNCTION("""COMPUTED_VALUE"""),0.0)</f>
        <v>0</v>
      </c>
      <c r="X584" s="88"/>
      <c r="Y584" s="74"/>
      <c r="Z584" s="74"/>
    </row>
    <row r="585">
      <c r="B585" s="74" t="str">
        <f>IFERROR(__xludf.DUMMYFUNCTION("""COMPUTED_VALUE"""),"1582")</f>
        <v>1582</v>
      </c>
      <c r="C585" s="74"/>
      <c r="D585" s="74" t="str">
        <f>IFERROR(__xludf.DUMMYFUNCTION("""COMPUTED_VALUE"""),"\\MCA-S\mk\2_BM\0_BMat\08_PYM\Inventario\excel\Imagen de refacciones\Putzmeister\Intermediate ring _ Anillo intermedio (1)")</f>
        <v>\\MCA-S\mk\2_BM\0_BMat\08_PYM\Inventario\excel\Imagen de refacciones\Putzmeister\Intermediate ring _ Anillo intermedio (1)</v>
      </c>
      <c r="E585" s="74"/>
      <c r="F585" s="74" t="str">
        <f>IFERROR(__xludf.DUMMYFUNCTION("""COMPUTED_VALUE"""),"Intermediate ring / Anillo intermedio")</f>
        <v>Intermediate ring / Anillo intermedio</v>
      </c>
      <c r="G585" s="74"/>
      <c r="H585" s="74"/>
      <c r="I585" s="74" t="str">
        <f>IFERROR(__xludf.DUMMYFUNCTION("""COMPUTED_VALUE"""),"SOM20100")</f>
        <v>SOM20100</v>
      </c>
      <c r="J585" s="74" t="str">
        <f>IFERROR(__xludf.DUMMYFUNCTION("""COMPUTED_VALUE"""),"263330009")</f>
        <v>263330009</v>
      </c>
      <c r="K585" s="74" t="str">
        <f>IFERROR(__xludf.DUMMYFUNCTION("""COMPUTED_VALUE"""),"Putzmeister")</f>
        <v>Putzmeister</v>
      </c>
      <c r="L585" s="74" t="str">
        <f>IFERROR(__xludf.DUMMYFUNCTION("""COMPUTED_VALUE"""),"Componentes estructurales y de montaje")</f>
        <v>Componentes estructurales y de montaje</v>
      </c>
      <c r="M585" s="74" t="str">
        <f>IFERROR(__xludf.DUMMYFUNCTION("""COMPUTED_VALUE"""),"Sin Asignar")</f>
        <v>Sin Asignar</v>
      </c>
      <c r="N585" s="87">
        <f>IFERROR(__xludf.DUMMYFUNCTION("""COMPUTED_VALUE"""),0.0)</f>
        <v>0</v>
      </c>
      <c r="O585" s="74"/>
      <c r="P585" s="74" t="str">
        <f>IFERROR(__xludf.DUMMYFUNCTION("""COMPUTED_VALUE"""),"No Available")</f>
        <v>No Available</v>
      </c>
      <c r="Q585" s="74"/>
      <c r="R585" s="74"/>
      <c r="S585" s="87">
        <f>IFERROR(__xludf.DUMMYFUNCTION("""COMPUTED_VALUE"""),0.0)</f>
        <v>0</v>
      </c>
      <c r="T585" s="87">
        <f>IFERROR(__xludf.DUMMYFUNCTION("""COMPUTED_VALUE"""),0.0)</f>
        <v>0</v>
      </c>
      <c r="U585" s="87">
        <f>IFERROR(__xludf.DUMMYFUNCTION("""COMPUTED_VALUE"""),0.0)</f>
        <v>0</v>
      </c>
      <c r="V585" s="87">
        <f>IFERROR(__xludf.DUMMYFUNCTION("""COMPUTED_VALUE"""),0.0)</f>
        <v>0</v>
      </c>
      <c r="W585" s="87">
        <f>IFERROR(__xludf.DUMMYFUNCTION("""COMPUTED_VALUE"""),0.0)</f>
        <v>0</v>
      </c>
      <c r="X585" s="88"/>
      <c r="Y585" s="74"/>
      <c r="Z585" s="74"/>
    </row>
    <row r="586">
      <c r="B586" s="74" t="str">
        <f>IFERROR(__xludf.DUMMYFUNCTION("""COMPUTED_VALUE"""),"1583")</f>
        <v>1583</v>
      </c>
      <c r="C586" s="74"/>
      <c r="D586" s="74" t="str">
        <f>IFERROR(__xludf.DUMMYFUNCTION("""COMPUTED_VALUE"""),"\\MCA-S\mk\2_BM\0_BMat\08_PYM\Inventario\excel\Imagen de refacciones\Putzmeister\Delivery cylinder 230X2100")</f>
        <v>\\MCA-S\mk\2_BM\0_BMat\08_PYM\Inventario\excel\Imagen de refacciones\Putzmeister\Delivery cylinder 230X2100</v>
      </c>
      <c r="E586" s="74"/>
      <c r="F586" s="74" t="str">
        <f>IFERROR(__xludf.DUMMYFUNCTION("""COMPUTED_VALUE"""),"Delivery cylinder 230X2100")</f>
        <v>Delivery cylinder 230X2100</v>
      </c>
      <c r="G586" s="74"/>
      <c r="H586" s="74"/>
      <c r="I586" s="74" t="str">
        <f>IFERROR(__xludf.DUMMYFUNCTION("""COMPUTED_VALUE"""),"som20101")</f>
        <v>som20101</v>
      </c>
      <c r="J586" s="74" t="str">
        <f>IFERROR(__xludf.DUMMYFUNCTION("""COMPUTED_VALUE"""),"239867001")</f>
        <v>239867001</v>
      </c>
      <c r="K586" s="74" t="str">
        <f>IFERROR(__xludf.DUMMYFUNCTION("""COMPUTED_VALUE"""),"Putzmeister")</f>
        <v>Putzmeister</v>
      </c>
      <c r="L586" s="74" t="str">
        <f>IFERROR(__xludf.DUMMYFUNCTION("""COMPUTED_VALUE"""),"Componentes hidráulicos")</f>
        <v>Componentes hidráulicos</v>
      </c>
      <c r="M586" s="74" t="str">
        <f>IFERROR(__xludf.DUMMYFUNCTION("""COMPUTED_VALUE"""),"Sin Asignar")</f>
        <v>Sin Asignar</v>
      </c>
      <c r="N586" s="87">
        <f>IFERROR(__xludf.DUMMYFUNCTION("""COMPUTED_VALUE"""),0.0)</f>
        <v>0</v>
      </c>
      <c r="O586" s="74"/>
      <c r="P586" s="74" t="str">
        <f>IFERROR(__xludf.DUMMYFUNCTION("""COMPUTED_VALUE"""),"No Available")</f>
        <v>No Available</v>
      </c>
      <c r="Q586" s="74"/>
      <c r="R586" s="74"/>
      <c r="S586" s="87">
        <f>IFERROR(__xludf.DUMMYFUNCTION("""COMPUTED_VALUE"""),0.0)</f>
        <v>0</v>
      </c>
      <c r="T586" s="87">
        <f>IFERROR(__xludf.DUMMYFUNCTION("""COMPUTED_VALUE"""),0.0)</f>
        <v>0</v>
      </c>
      <c r="U586" s="87">
        <f>IFERROR(__xludf.DUMMYFUNCTION("""COMPUTED_VALUE"""),0.0)</f>
        <v>0</v>
      </c>
      <c r="V586" s="87">
        <f>IFERROR(__xludf.DUMMYFUNCTION("""COMPUTED_VALUE"""),0.0)</f>
        <v>0</v>
      </c>
      <c r="W586" s="87">
        <f>IFERROR(__xludf.DUMMYFUNCTION("""COMPUTED_VALUE"""),0.0)</f>
        <v>0</v>
      </c>
      <c r="X586" s="88"/>
      <c r="Y586" s="74"/>
      <c r="Z586" s="74"/>
    </row>
    <row r="587">
      <c r="B587" s="74" t="str">
        <f>IFERROR(__xludf.DUMMYFUNCTION("""COMPUTED_VALUE"""),"1584")</f>
        <v>1584</v>
      </c>
      <c r="C587" s="74"/>
      <c r="D587" s="74" t="str">
        <f>IFERROR(__xludf.DUMMYFUNCTION("""COMPUTED_VALUE"""),"\\MCA-S\mk\2_BM\0_BMat\08_PYM\Inventario\excel\Imagen de refacciones\Putzmeister\Delivery cylinder 230X2100 _ Cilindro de entrega 230x2100")</f>
        <v>\\MCA-S\mk\2_BM\0_BMat\08_PYM\Inventario\excel\Imagen de refacciones\Putzmeister\Delivery cylinder 230X2100 _ Cilindro de entrega 230x2100</v>
      </c>
      <c r="E587" s="74"/>
      <c r="F587" s="74"/>
      <c r="G587" s="74"/>
      <c r="H587" s="74"/>
      <c r="I587" s="74" t="str">
        <f>IFERROR(__xludf.DUMMYFUNCTION("""COMPUTED_VALUE"""),"SOM20102")</f>
        <v>SOM20102</v>
      </c>
      <c r="J587" s="74" t="str">
        <f>IFERROR(__xludf.DUMMYFUNCTION("""COMPUTED_VALUE"""),"261520002")</f>
        <v>261520002</v>
      </c>
      <c r="K587" s="74" t="str">
        <f>IFERROR(__xludf.DUMMYFUNCTION("""COMPUTED_VALUE"""),"Putzmeister")</f>
        <v>Putzmeister</v>
      </c>
      <c r="L587" s="74" t="str">
        <f>IFERROR(__xludf.DUMMYFUNCTION("""COMPUTED_VALUE"""),"Componentes hidráulicos")</f>
        <v>Componentes hidráulicos</v>
      </c>
      <c r="M587" s="74" t="str">
        <f>IFERROR(__xludf.DUMMYFUNCTION("""COMPUTED_VALUE"""),"Sin Asignar")</f>
        <v>Sin Asignar</v>
      </c>
      <c r="N587" s="87">
        <f>IFERROR(__xludf.DUMMYFUNCTION("""COMPUTED_VALUE"""),0.0)</f>
        <v>0</v>
      </c>
      <c r="O587" s="74"/>
      <c r="P587" s="74" t="str">
        <f>IFERROR(__xludf.DUMMYFUNCTION("""COMPUTED_VALUE"""),"borrar")</f>
        <v>borrar</v>
      </c>
      <c r="Q587" s="74"/>
      <c r="R587" s="74"/>
      <c r="S587" s="87">
        <f>IFERROR(__xludf.DUMMYFUNCTION("""COMPUTED_VALUE"""),0.0)</f>
        <v>0</v>
      </c>
      <c r="T587" s="87">
        <f>IFERROR(__xludf.DUMMYFUNCTION("""COMPUTED_VALUE"""),0.0)</f>
        <v>0</v>
      </c>
      <c r="U587" s="87">
        <f>IFERROR(__xludf.DUMMYFUNCTION("""COMPUTED_VALUE"""),0.0)</f>
        <v>0</v>
      </c>
      <c r="V587" s="87">
        <f>IFERROR(__xludf.DUMMYFUNCTION("""COMPUTED_VALUE"""),0.0)</f>
        <v>0</v>
      </c>
      <c r="W587" s="87">
        <f>IFERROR(__xludf.DUMMYFUNCTION("""COMPUTED_VALUE"""),0.0)</f>
        <v>0</v>
      </c>
      <c r="X587" s="88"/>
      <c r="Y587" s="74"/>
      <c r="Z587" s="74"/>
    </row>
    <row r="588">
      <c r="B588" s="74" t="str">
        <f>IFERROR(__xludf.DUMMYFUNCTION("""COMPUTED_VALUE"""),"1585")</f>
        <v>1585</v>
      </c>
      <c r="C588" s="74"/>
      <c r="D588" s="74" t="str">
        <f>IFERROR(__xludf.DUMMYFUNCTION("""COMPUTED_VALUE"""),"\\MCA-S\mk\2_BM\0_BMat\08_PYM\Inventario\excel\Imagen de refacciones\Putzmeister\Delivery cylinder 200X1400 _  Cilindro de entrega 200X1400")</f>
        <v>\\MCA-S\mk\2_BM\0_BMat\08_PYM\Inventario\excel\Imagen de refacciones\Putzmeister\Delivery cylinder 200X1400 _  Cilindro de entrega 200X1400</v>
      </c>
      <c r="E588" s="74"/>
      <c r="F588" s="74" t="str">
        <f>IFERROR(__xludf.DUMMYFUNCTION("""COMPUTED_VALUE"""),"Delivery cylinder 200X1400 /  Cilindro de entrega 200X1400")</f>
        <v>Delivery cylinder 200X1400 /  Cilindro de entrega 200X1400</v>
      </c>
      <c r="G588" s="74"/>
      <c r="H588" s="74"/>
      <c r="I588" s="74" t="str">
        <f>IFERROR(__xludf.DUMMYFUNCTION("""COMPUTED_VALUE"""),"SOM20103")</f>
        <v>SOM20103</v>
      </c>
      <c r="J588" s="74" t="str">
        <f>IFERROR(__xludf.DUMMYFUNCTION("""COMPUTED_VALUE"""),"240112004")</f>
        <v>240112004</v>
      </c>
      <c r="K588" s="74" t="str">
        <f>IFERROR(__xludf.DUMMYFUNCTION("""COMPUTED_VALUE"""),"Putzmeister")</f>
        <v>Putzmeister</v>
      </c>
      <c r="L588" s="74" t="str">
        <f>IFERROR(__xludf.DUMMYFUNCTION("""COMPUTED_VALUE"""),"Componentes hidráulicos")</f>
        <v>Componentes hidráulicos</v>
      </c>
      <c r="M588" s="74" t="str">
        <f>IFERROR(__xludf.DUMMYFUNCTION("""COMPUTED_VALUE"""),"Sin Asignar")</f>
        <v>Sin Asignar</v>
      </c>
      <c r="N588" s="87">
        <f>IFERROR(__xludf.DUMMYFUNCTION("""COMPUTED_VALUE"""),0.0)</f>
        <v>0</v>
      </c>
      <c r="O588" s="74"/>
      <c r="P588" s="74" t="str">
        <f>IFERROR(__xludf.DUMMYFUNCTION("""COMPUTED_VALUE"""),"No Available")</f>
        <v>No Available</v>
      </c>
      <c r="Q588" s="74"/>
      <c r="R588" s="74"/>
      <c r="S588" s="87">
        <f>IFERROR(__xludf.DUMMYFUNCTION("""COMPUTED_VALUE"""),0.0)</f>
        <v>0</v>
      </c>
      <c r="T588" s="87">
        <f>IFERROR(__xludf.DUMMYFUNCTION("""COMPUTED_VALUE"""),0.0)</f>
        <v>0</v>
      </c>
      <c r="U588" s="87">
        <f>IFERROR(__xludf.DUMMYFUNCTION("""COMPUTED_VALUE"""),0.0)</f>
        <v>0</v>
      </c>
      <c r="V588" s="87">
        <f>IFERROR(__xludf.DUMMYFUNCTION("""COMPUTED_VALUE"""),0.0)</f>
        <v>0</v>
      </c>
      <c r="W588" s="87">
        <f>IFERROR(__xludf.DUMMYFUNCTION("""COMPUTED_VALUE"""),0.0)</f>
        <v>0</v>
      </c>
      <c r="X588" s="88"/>
      <c r="Y588" s="74"/>
      <c r="Z588" s="74"/>
    </row>
    <row r="589">
      <c r="B589" s="74" t="str">
        <f>IFERROR(__xludf.DUMMYFUNCTION("""COMPUTED_VALUE"""),"1586")</f>
        <v>1586</v>
      </c>
      <c r="C589" s="74"/>
      <c r="D589" s="74" t="str">
        <f>IFERROR(__xludf.DUMMYFUNCTION("""COMPUTED_VALUE"""),"\\MCA-S\mk\2_BM\0_BMat\08_PYM\Inventario\excel\Imagen de refacciones\Putzmeister\Delivery cylinder 230X2100 _  Cilindro de entrega 230X2100")</f>
        <v>\\MCA-S\mk\2_BM\0_BMat\08_PYM\Inventario\excel\Imagen de refacciones\Putzmeister\Delivery cylinder 230X2100 _  Cilindro de entrega 230X2100</v>
      </c>
      <c r="E589" s="74"/>
      <c r="F589" s="74" t="str">
        <f>IFERROR(__xludf.DUMMYFUNCTION("""COMPUTED_VALUE"""),"Delivery cylinder 230X2100 /  Cilindro de entrega 230X2100")</f>
        <v>Delivery cylinder 230X2100 /  Cilindro de entrega 230X2100</v>
      </c>
      <c r="G589" s="74"/>
      <c r="H589" s="74"/>
      <c r="I589" s="74" t="str">
        <f>IFERROR(__xludf.DUMMYFUNCTION("""COMPUTED_VALUE"""),"SOM20104")</f>
        <v>SOM20104</v>
      </c>
      <c r="J589" s="74" t="str">
        <f>IFERROR(__xludf.DUMMYFUNCTION("""COMPUTED_VALUE"""),"22051008")</f>
        <v>22051008</v>
      </c>
      <c r="K589" s="74" t="str">
        <f>IFERROR(__xludf.DUMMYFUNCTION("""COMPUTED_VALUE"""),"Putzmeister")</f>
        <v>Putzmeister</v>
      </c>
      <c r="L589" s="74" t="str">
        <f>IFERROR(__xludf.DUMMYFUNCTION("""COMPUTED_VALUE"""),"Componentes hidráulicos")</f>
        <v>Componentes hidráulicos</v>
      </c>
      <c r="M589" s="74" t="str">
        <f>IFERROR(__xludf.DUMMYFUNCTION("""COMPUTED_VALUE"""),"Sin Asignar")</f>
        <v>Sin Asignar</v>
      </c>
      <c r="N589" s="87">
        <f>IFERROR(__xludf.DUMMYFUNCTION("""COMPUTED_VALUE"""),0.0)</f>
        <v>0</v>
      </c>
      <c r="O589" s="74"/>
      <c r="P589" s="74" t="str">
        <f>IFERROR(__xludf.DUMMYFUNCTION("""COMPUTED_VALUE"""),"No Available")</f>
        <v>No Available</v>
      </c>
      <c r="Q589" s="74"/>
      <c r="R589" s="74"/>
      <c r="S589" s="87">
        <f>IFERROR(__xludf.DUMMYFUNCTION("""COMPUTED_VALUE"""),0.0)</f>
        <v>0</v>
      </c>
      <c r="T589" s="87">
        <f>IFERROR(__xludf.DUMMYFUNCTION("""COMPUTED_VALUE"""),0.0)</f>
        <v>0</v>
      </c>
      <c r="U589" s="87">
        <f>IFERROR(__xludf.DUMMYFUNCTION("""COMPUTED_VALUE"""),0.0)</f>
        <v>0</v>
      </c>
      <c r="V589" s="87">
        <f>IFERROR(__xludf.DUMMYFUNCTION("""COMPUTED_VALUE"""),0.0)</f>
        <v>0</v>
      </c>
      <c r="W589" s="87">
        <f>IFERROR(__xludf.DUMMYFUNCTION("""COMPUTED_VALUE"""),0.0)</f>
        <v>0</v>
      </c>
      <c r="X589" s="88"/>
      <c r="Y589" s="74"/>
      <c r="Z589" s="74"/>
    </row>
    <row r="590">
      <c r="B590" s="74" t="str">
        <f>IFERROR(__xludf.DUMMYFUNCTION("""COMPUTED_VALUE"""),"1587")</f>
        <v>1587</v>
      </c>
      <c r="C590" s="74"/>
      <c r="D590" s="74" t="str">
        <f>IFERROR(__xludf.DUMMYFUNCTION("""COMPUTED_VALUE"""),"\\MCA-S\mk\2_BM\0_BMat\08_PYM\Inventario\excel\Imagen de refacciones\Putzmeister\Delivery cylinder 280x2355 _ Cilindro de entrega 280x2355")</f>
        <v>\\MCA-S\mk\2_BM\0_BMat\08_PYM\Inventario\excel\Imagen de refacciones\Putzmeister\Delivery cylinder 280x2355 _ Cilindro de entrega 280x2355</v>
      </c>
      <c r="E590" s="74"/>
      <c r="F590" s="74" t="str">
        <f>IFERROR(__xludf.DUMMYFUNCTION("""COMPUTED_VALUE"""),"Delivery cylinder 280x2355 / Cilindro de entrega 280x2355")</f>
        <v>Delivery cylinder 280x2355 / Cilindro de entrega 280x2355</v>
      </c>
      <c r="G590" s="74"/>
      <c r="H590" s="74"/>
      <c r="I590" s="74" t="str">
        <f>IFERROR(__xludf.DUMMYFUNCTION("""COMPUTED_VALUE"""),"SOM20105")</f>
        <v>SOM20105</v>
      </c>
      <c r="J590" s="74" t="str">
        <f>IFERROR(__xludf.DUMMYFUNCTION("""COMPUTED_VALUE"""),"231149002")</f>
        <v>231149002</v>
      </c>
      <c r="K590" s="74" t="str">
        <f>IFERROR(__xludf.DUMMYFUNCTION("""COMPUTED_VALUE"""),"Putzmeister")</f>
        <v>Putzmeister</v>
      </c>
      <c r="L590" s="74" t="str">
        <f>IFERROR(__xludf.DUMMYFUNCTION("""COMPUTED_VALUE"""),"Componentes hidráulicos")</f>
        <v>Componentes hidráulicos</v>
      </c>
      <c r="M590" s="74" t="str">
        <f>IFERROR(__xludf.DUMMYFUNCTION("""COMPUTED_VALUE"""),"Sin Asignar")</f>
        <v>Sin Asignar</v>
      </c>
      <c r="N590" s="87">
        <f>IFERROR(__xludf.DUMMYFUNCTION("""COMPUTED_VALUE"""),0.0)</f>
        <v>0</v>
      </c>
      <c r="O590" s="74"/>
      <c r="P590" s="74" t="str">
        <f>IFERROR(__xludf.DUMMYFUNCTION("""COMPUTED_VALUE"""),"No Available")</f>
        <v>No Available</v>
      </c>
      <c r="Q590" s="74"/>
      <c r="R590" s="74"/>
      <c r="S590" s="87">
        <f>IFERROR(__xludf.DUMMYFUNCTION("""COMPUTED_VALUE"""),0.0)</f>
        <v>0</v>
      </c>
      <c r="T590" s="87">
        <f>IFERROR(__xludf.DUMMYFUNCTION("""COMPUTED_VALUE"""),0.0)</f>
        <v>0</v>
      </c>
      <c r="U590" s="87">
        <f>IFERROR(__xludf.DUMMYFUNCTION("""COMPUTED_VALUE"""),0.0)</f>
        <v>0</v>
      </c>
      <c r="V590" s="87">
        <f>IFERROR(__xludf.DUMMYFUNCTION("""COMPUTED_VALUE"""),0.0)</f>
        <v>0</v>
      </c>
      <c r="W590" s="87">
        <f>IFERROR(__xludf.DUMMYFUNCTION("""COMPUTED_VALUE"""),0.0)</f>
        <v>0</v>
      </c>
      <c r="X590" s="88"/>
      <c r="Y590" s="74"/>
      <c r="Z590" s="74"/>
    </row>
    <row r="591">
      <c r="B591" s="74" t="str">
        <f>IFERROR(__xludf.DUMMYFUNCTION("""COMPUTED_VALUE"""),"1588")</f>
        <v>1588</v>
      </c>
      <c r="C591" s="74"/>
      <c r="D591" s="74" t="str">
        <f>IFERROR(__xludf.DUMMYFUNCTION("""COMPUTED_VALUE"""),"\\MCA-S\mk\2_BM\0_BMat\08_PYM\Inventario\excel\Imagen de refacciones\Putzmeister\Delivery cylinder 250x2310 _ Cilindro de entrega 250x2310")</f>
        <v>\\MCA-S\mk\2_BM\0_BMat\08_PYM\Inventario\excel\Imagen de refacciones\Putzmeister\Delivery cylinder 250x2310 _ Cilindro de entrega 250x2310</v>
      </c>
      <c r="E591" s="74"/>
      <c r="F591" s="74" t="str">
        <f>IFERROR(__xludf.DUMMYFUNCTION("""COMPUTED_VALUE"""),"Delivery cylinder 250x2310 / Cilindro de entrega 250x2310")</f>
        <v>Delivery cylinder 250x2310 / Cilindro de entrega 250x2310</v>
      </c>
      <c r="G591" s="74"/>
      <c r="H591" s="74"/>
      <c r="I591" s="74" t="str">
        <f>IFERROR(__xludf.DUMMYFUNCTION("""COMPUTED_VALUE"""),"SOM20106")</f>
        <v>SOM20106</v>
      </c>
      <c r="J591" s="74" t="str">
        <f>IFERROR(__xludf.DUMMYFUNCTION("""COMPUTED_VALUE"""),"27483008")</f>
        <v>27483008</v>
      </c>
      <c r="K591" s="74" t="str">
        <f>IFERROR(__xludf.DUMMYFUNCTION("""COMPUTED_VALUE"""),"Putzmeister")</f>
        <v>Putzmeister</v>
      </c>
      <c r="L591" s="74" t="str">
        <f>IFERROR(__xludf.DUMMYFUNCTION("""COMPUTED_VALUE"""),"Componentes hidráulicos")</f>
        <v>Componentes hidráulicos</v>
      </c>
      <c r="M591" s="74" t="str">
        <f>IFERROR(__xludf.DUMMYFUNCTION("""COMPUTED_VALUE"""),"Sin Asignar")</f>
        <v>Sin Asignar</v>
      </c>
      <c r="N591" s="87">
        <f>IFERROR(__xludf.DUMMYFUNCTION("""COMPUTED_VALUE"""),0.0)</f>
        <v>0</v>
      </c>
      <c r="O591" s="74"/>
      <c r="P591" s="74" t="str">
        <f>IFERROR(__xludf.DUMMYFUNCTION("""COMPUTED_VALUE"""),"No Available")</f>
        <v>No Available</v>
      </c>
      <c r="Q591" s="74"/>
      <c r="R591" s="74"/>
      <c r="S591" s="87">
        <f>IFERROR(__xludf.DUMMYFUNCTION("""COMPUTED_VALUE"""),0.0)</f>
        <v>0</v>
      </c>
      <c r="T591" s="87">
        <f>IFERROR(__xludf.DUMMYFUNCTION("""COMPUTED_VALUE"""),0.0)</f>
        <v>0</v>
      </c>
      <c r="U591" s="87">
        <f>IFERROR(__xludf.DUMMYFUNCTION("""COMPUTED_VALUE"""),0.0)</f>
        <v>0</v>
      </c>
      <c r="V591" s="87">
        <f>IFERROR(__xludf.DUMMYFUNCTION("""COMPUTED_VALUE"""),0.0)</f>
        <v>0</v>
      </c>
      <c r="W591" s="87">
        <f>IFERROR(__xludf.DUMMYFUNCTION("""COMPUTED_VALUE"""),0.0)</f>
        <v>0</v>
      </c>
      <c r="X591" s="88"/>
      <c r="Y591" s="74"/>
      <c r="Z591" s="74"/>
    </row>
    <row r="592">
      <c r="B592" s="74" t="str">
        <f>IFERROR(__xludf.DUMMYFUNCTION("""COMPUTED_VALUE"""),"1589")</f>
        <v>1589</v>
      </c>
      <c r="C592" s="74"/>
      <c r="D592" s="74" t="str">
        <f>IFERROR(__xludf.DUMMYFUNCTION("""COMPUTED_VALUE"""),"\\MCA-S\mk\2_BM\0_BMat\08_PYM\Inventario\excel\Imagen de refacciones\Putzmeister\DN180 PISTON RAM _ Émbolo de pistón DN180")</f>
        <v>\\MCA-S\mk\2_BM\0_BMat\08_PYM\Inventario\excel\Imagen de refacciones\Putzmeister\DN180 PISTON RAM _ Émbolo de pistón DN180</v>
      </c>
      <c r="E592" s="74"/>
      <c r="F592" s="74" t="str">
        <f>IFERROR(__xludf.DUMMYFUNCTION("""COMPUTED_VALUE"""),"DN180 PISTON RAM / Émbolo de pistón DN180")</f>
        <v>DN180 PISTON RAM / Émbolo de pistón DN180</v>
      </c>
      <c r="G592" s="74"/>
      <c r="H592" s="74"/>
      <c r="I592" s="74" t="str">
        <f>IFERROR(__xludf.DUMMYFUNCTION("""COMPUTED_VALUE"""),"SOM20107")</f>
        <v>SOM20107</v>
      </c>
      <c r="J592" s="74" t="str">
        <f>IFERROR(__xludf.DUMMYFUNCTION("""COMPUTED_VALUE"""),"19033000")</f>
        <v>19033000</v>
      </c>
      <c r="K592" s="74" t="str">
        <f>IFERROR(__xludf.DUMMYFUNCTION("""COMPUTED_VALUE"""),"Putzmeister")</f>
        <v>Putzmeister</v>
      </c>
      <c r="L592" s="74" t="str">
        <f>IFERROR(__xludf.DUMMYFUNCTION("""COMPUTED_VALUE"""),"Componentes hidráulicos")</f>
        <v>Componentes hidráulicos</v>
      </c>
      <c r="M592" s="74" t="str">
        <f>IFERROR(__xludf.DUMMYFUNCTION("""COMPUTED_VALUE"""),"Sin Asignar")</f>
        <v>Sin Asignar</v>
      </c>
      <c r="N592" s="87">
        <f>IFERROR(__xludf.DUMMYFUNCTION("""COMPUTED_VALUE"""),0.0)</f>
        <v>0</v>
      </c>
      <c r="O592" s="74"/>
      <c r="P592" s="74" t="str">
        <f>IFERROR(__xludf.DUMMYFUNCTION("""COMPUTED_VALUE"""),"No Available")</f>
        <v>No Available</v>
      </c>
      <c r="Q592" s="74"/>
      <c r="R592" s="74"/>
      <c r="S592" s="87">
        <f>IFERROR(__xludf.DUMMYFUNCTION("""COMPUTED_VALUE"""),0.0)</f>
        <v>0</v>
      </c>
      <c r="T592" s="87">
        <f>IFERROR(__xludf.DUMMYFUNCTION("""COMPUTED_VALUE"""),0.0)</f>
        <v>0</v>
      </c>
      <c r="U592" s="87">
        <f>IFERROR(__xludf.DUMMYFUNCTION("""COMPUTED_VALUE"""),0.0)</f>
        <v>0</v>
      </c>
      <c r="V592" s="87">
        <f>IFERROR(__xludf.DUMMYFUNCTION("""COMPUTED_VALUE"""),0.0)</f>
        <v>0</v>
      </c>
      <c r="W592" s="87">
        <f>IFERROR(__xludf.DUMMYFUNCTION("""COMPUTED_VALUE"""),0.0)</f>
        <v>0</v>
      </c>
      <c r="X592" s="88"/>
      <c r="Y592" s="74"/>
      <c r="Z592" s="74"/>
    </row>
    <row r="593">
      <c r="B593" s="74" t="str">
        <f>IFERROR(__xludf.DUMMYFUNCTION("""COMPUTED_VALUE"""),"1590")</f>
        <v>1590</v>
      </c>
      <c r="C593" s="74"/>
      <c r="D593" s="74" t="str">
        <f>IFERROR(__xludf.DUMMYFUNCTION("""COMPUTED_VALUE"""),"\\MCA-S\mk\2_BM\0_BMat\08_PYM\Inventario\excel\Imagen de refacciones\Putzmeister\DN 200 PISTON RAM _ Émbolo de pistón DN200")</f>
        <v>\\MCA-S\mk\2_BM\0_BMat\08_PYM\Inventario\excel\Imagen de refacciones\Putzmeister\DN 200 PISTON RAM _ Émbolo de pistón DN200</v>
      </c>
      <c r="E593" s="74"/>
      <c r="F593" s="74" t="str">
        <f>IFERROR(__xludf.DUMMYFUNCTION("""COMPUTED_VALUE"""),"DN 200 PISTON RAM / Émbolo de pistón DN200")</f>
        <v>DN 200 PISTON RAM / Émbolo de pistón DN200</v>
      </c>
      <c r="G593" s="74"/>
      <c r="H593" s="74"/>
      <c r="I593" s="74" t="str">
        <f>IFERROR(__xludf.DUMMYFUNCTION("""COMPUTED_VALUE"""),"SOM20109")</f>
        <v>SOM20109</v>
      </c>
      <c r="J593" s="74" t="str">
        <f>IFERROR(__xludf.DUMMYFUNCTION("""COMPUTED_VALUE"""),"19004000")</f>
        <v>19004000</v>
      </c>
      <c r="K593" s="74" t="str">
        <f>IFERROR(__xludf.DUMMYFUNCTION("""COMPUTED_VALUE"""),"Putzmeister")</f>
        <v>Putzmeister</v>
      </c>
      <c r="L593" s="74" t="str">
        <f>IFERROR(__xludf.DUMMYFUNCTION("""COMPUTED_VALUE"""),"Componentes hidráulicos")</f>
        <v>Componentes hidráulicos</v>
      </c>
      <c r="M593" s="74" t="str">
        <f>IFERROR(__xludf.DUMMYFUNCTION("""COMPUTED_VALUE"""),"Sin Asignar")</f>
        <v>Sin Asignar</v>
      </c>
      <c r="N593" s="87">
        <f>IFERROR(__xludf.DUMMYFUNCTION("""COMPUTED_VALUE"""),0.0)</f>
        <v>0</v>
      </c>
      <c r="O593" s="74"/>
      <c r="P593" s="74" t="str">
        <f>IFERROR(__xludf.DUMMYFUNCTION("""COMPUTED_VALUE"""),"borrar")</f>
        <v>borrar</v>
      </c>
      <c r="Q593" s="74"/>
      <c r="R593" s="74"/>
      <c r="S593" s="87">
        <f>IFERROR(__xludf.DUMMYFUNCTION("""COMPUTED_VALUE"""),0.0)</f>
        <v>0</v>
      </c>
      <c r="T593" s="87">
        <f>IFERROR(__xludf.DUMMYFUNCTION("""COMPUTED_VALUE"""),0.0)</f>
        <v>0</v>
      </c>
      <c r="U593" s="87">
        <f>IFERROR(__xludf.DUMMYFUNCTION("""COMPUTED_VALUE"""),0.0)</f>
        <v>0</v>
      </c>
      <c r="V593" s="87">
        <f>IFERROR(__xludf.DUMMYFUNCTION("""COMPUTED_VALUE"""),0.0)</f>
        <v>0</v>
      </c>
      <c r="W593" s="87">
        <f>IFERROR(__xludf.DUMMYFUNCTION("""COMPUTED_VALUE"""),0.0)</f>
        <v>0</v>
      </c>
      <c r="X593" s="88"/>
      <c r="Y593" s="74"/>
      <c r="Z593" s="74"/>
    </row>
    <row r="594">
      <c r="B594" s="74" t="str">
        <f>IFERROR(__xludf.DUMMYFUNCTION("""COMPUTED_VALUE"""),"1591")</f>
        <v>1591</v>
      </c>
      <c r="C594" s="74"/>
      <c r="D594" s="74" t="str">
        <f>IFERROR(__xludf.DUMMYFUNCTION("""COMPUTED_VALUE"""),"\\MCA-S\mk\2_BM\0_BMat\08_PYM\Inventario\excel\Imagen de refacciones\Putzmeister\DN230 PISTON RAM 2 HOLE _ Émbolo de pistón DN230 con 2 agujeros")</f>
        <v>\\MCA-S\mk\2_BM\0_BMat\08_PYM\Inventario\excel\Imagen de refacciones\Putzmeister\DN230 PISTON RAM 2 HOLE _ Émbolo de pistón DN230 con 2 agujeros</v>
      </c>
      <c r="E594" s="74"/>
      <c r="F594" s="74" t="str">
        <f>IFERROR(__xludf.DUMMYFUNCTION("""COMPUTED_VALUE"""),"DN230 PISTON RAM 2 HOLE / Émbolo de pistón DN230 con 2 agujeros")</f>
        <v>DN230 PISTON RAM 2 HOLE / Émbolo de pistón DN230 con 2 agujeros</v>
      </c>
      <c r="G594" s="74"/>
      <c r="H594" s="74"/>
      <c r="I594" s="74" t="str">
        <f>IFERROR(__xludf.DUMMYFUNCTION("""COMPUTED_VALUE"""),"SOM20111")</f>
        <v>SOM20111</v>
      </c>
      <c r="J594" s="74" t="str">
        <f>IFERROR(__xludf.DUMMYFUNCTION("""COMPUTED_VALUE"""),"262893000 / 19003001")</f>
        <v>262893000 / 19003001</v>
      </c>
      <c r="K594" s="74" t="str">
        <f>IFERROR(__xludf.DUMMYFUNCTION("""COMPUTED_VALUE"""),"Putzmeister")</f>
        <v>Putzmeister</v>
      </c>
      <c r="L594" s="74" t="str">
        <f>IFERROR(__xludf.DUMMYFUNCTION("""COMPUTED_VALUE"""),"Componentes hidráulicos")</f>
        <v>Componentes hidráulicos</v>
      </c>
      <c r="M594" s="74" t="str">
        <f>IFERROR(__xludf.DUMMYFUNCTION("""COMPUTED_VALUE"""),"Sin Asignar")</f>
        <v>Sin Asignar</v>
      </c>
      <c r="N594" s="87">
        <f>IFERROR(__xludf.DUMMYFUNCTION("""COMPUTED_VALUE"""),0.0)</f>
        <v>0</v>
      </c>
      <c r="O594" s="74"/>
      <c r="P594" s="74" t="str">
        <f>IFERROR(__xludf.DUMMYFUNCTION("""COMPUTED_VALUE"""),"borrar")</f>
        <v>borrar</v>
      </c>
      <c r="Q594" s="74"/>
      <c r="R594" s="74"/>
      <c r="S594" s="87">
        <f>IFERROR(__xludf.DUMMYFUNCTION("""COMPUTED_VALUE"""),0.0)</f>
        <v>0</v>
      </c>
      <c r="T594" s="87">
        <f>IFERROR(__xludf.DUMMYFUNCTION("""COMPUTED_VALUE"""),0.0)</f>
        <v>0</v>
      </c>
      <c r="U594" s="87">
        <f>IFERROR(__xludf.DUMMYFUNCTION("""COMPUTED_VALUE"""),0.0)</f>
        <v>0</v>
      </c>
      <c r="V594" s="87">
        <f>IFERROR(__xludf.DUMMYFUNCTION("""COMPUTED_VALUE"""),0.0)</f>
        <v>0</v>
      </c>
      <c r="W594" s="87">
        <f>IFERROR(__xludf.DUMMYFUNCTION("""COMPUTED_VALUE"""),0.0)</f>
        <v>0</v>
      </c>
      <c r="X594" s="88"/>
      <c r="Y594" s="74"/>
      <c r="Z594" s="74"/>
    </row>
    <row r="595">
      <c r="B595" s="74" t="str">
        <f>IFERROR(__xludf.DUMMYFUNCTION("""COMPUTED_VALUE"""),"1592")</f>
        <v>1592</v>
      </c>
      <c r="C595" s="74"/>
      <c r="D595" s="74" t="str">
        <f>IFERROR(__xludf.DUMMYFUNCTION("""COMPUTED_VALUE"""),"\\MCA-S\mk\2_BM\0_BMat\08_PYM\Inventario\excel\Imagen de refacciones\Putzmeister\DN 230 Piston Ram 4 hole _ Émbolo de pistón DN230 con 4 agujeros")</f>
        <v>\\MCA-S\mk\2_BM\0_BMat\08_PYM\Inventario\excel\Imagen de refacciones\Putzmeister\DN 230 Piston Ram 4 hole _ Émbolo de pistón DN230 con 4 agujeros</v>
      </c>
      <c r="E595" s="74"/>
      <c r="F595" s="74" t="str">
        <f>IFERROR(__xludf.DUMMYFUNCTION("""COMPUTED_VALUE"""),"DN 230 Piston Ram 4 hole / Émbolo de pistón DN230 con 4 agujeros")</f>
        <v>DN 230 Piston Ram 4 hole / Émbolo de pistón DN230 con 4 agujeros</v>
      </c>
      <c r="G595" s="74"/>
      <c r="H595" s="74"/>
      <c r="I595" s="74" t="str">
        <f>IFERROR(__xludf.DUMMYFUNCTION("""COMPUTED_VALUE"""),"SO20113")</f>
        <v>SO20113</v>
      </c>
      <c r="J595" s="74" t="str">
        <f>IFERROR(__xludf.DUMMYFUNCTION("""COMPUTED_VALUE"""),"262893000")</f>
        <v>262893000</v>
      </c>
      <c r="K595" s="74" t="str">
        <f>IFERROR(__xludf.DUMMYFUNCTION("""COMPUTED_VALUE"""),"Putzmeister")</f>
        <v>Putzmeister</v>
      </c>
      <c r="L595" s="74" t="str">
        <f>IFERROR(__xludf.DUMMYFUNCTION("""COMPUTED_VALUE"""),"Componentes hidráulicos")</f>
        <v>Componentes hidráulicos</v>
      </c>
      <c r="M595" s="74" t="str">
        <f>IFERROR(__xludf.DUMMYFUNCTION("""COMPUTED_VALUE"""),"Sin Asignar")</f>
        <v>Sin Asignar</v>
      </c>
      <c r="N595" s="87">
        <f>IFERROR(__xludf.DUMMYFUNCTION("""COMPUTED_VALUE"""),0.0)</f>
        <v>0</v>
      </c>
      <c r="O595" s="74"/>
      <c r="P595" s="74" t="str">
        <f>IFERROR(__xludf.DUMMYFUNCTION("""COMPUTED_VALUE"""),"borrar")</f>
        <v>borrar</v>
      </c>
      <c r="Q595" s="74"/>
      <c r="R595" s="74"/>
      <c r="S595" s="87">
        <f>IFERROR(__xludf.DUMMYFUNCTION("""COMPUTED_VALUE"""),0.0)</f>
        <v>0</v>
      </c>
      <c r="T595" s="87">
        <f>IFERROR(__xludf.DUMMYFUNCTION("""COMPUTED_VALUE"""),0.0)</f>
        <v>0</v>
      </c>
      <c r="U595" s="87">
        <f>IFERROR(__xludf.DUMMYFUNCTION("""COMPUTED_VALUE"""),0.0)</f>
        <v>0</v>
      </c>
      <c r="V595" s="87">
        <f>IFERROR(__xludf.DUMMYFUNCTION("""COMPUTED_VALUE"""),0.0)</f>
        <v>0</v>
      </c>
      <c r="W595" s="87">
        <f>IFERROR(__xludf.DUMMYFUNCTION("""COMPUTED_VALUE"""),0.0)</f>
        <v>0</v>
      </c>
      <c r="X595" s="88"/>
      <c r="Y595" s="74"/>
      <c r="Z595" s="74"/>
    </row>
    <row r="596">
      <c r="B596" s="74" t="str">
        <f>IFERROR(__xludf.DUMMYFUNCTION("""COMPUTED_VALUE"""),"1593")</f>
        <v>1593</v>
      </c>
      <c r="C596" s="74"/>
      <c r="D596" s="74" t="str">
        <f>IFERROR(__xludf.DUMMYFUNCTION("""COMPUTED_VALUE"""),"\\MCA-S\mk\2_BM\0_BMat\08_PYM\Inventario\excel\Imagen de refacciones\Putzmeister\DN 200 SEAL FOR RAM _ Sello para vástago DN200")</f>
        <v>\\MCA-S\mk\2_BM\0_BMat\08_PYM\Inventario\excel\Imagen de refacciones\Putzmeister\DN 200 SEAL FOR RAM _ Sello para vástago DN200</v>
      </c>
      <c r="E596" s="74"/>
      <c r="F596" s="74" t="str">
        <f>IFERROR(__xludf.DUMMYFUNCTION("""COMPUTED_VALUE"""),"DN 200 SEAL FOR RAM / Sello para vástago DN200")</f>
        <v>DN 200 SEAL FOR RAM / Sello para vástago DN200</v>
      </c>
      <c r="G596" s="74"/>
      <c r="H596" s="74"/>
      <c r="I596" s="74" t="str">
        <f>IFERROR(__xludf.DUMMYFUNCTION("""COMPUTED_VALUE"""),"SOM20115")</f>
        <v>SOM20115</v>
      </c>
      <c r="J596" s="74" t="str">
        <f>IFERROR(__xludf.DUMMYFUNCTION("""COMPUTED_VALUE"""),"80372004")</f>
        <v>80372004</v>
      </c>
      <c r="K596" s="74" t="str">
        <f>IFERROR(__xludf.DUMMYFUNCTION("""COMPUTED_VALUE"""),"Putzmeister")</f>
        <v>Putzmeister</v>
      </c>
      <c r="L596" s="74" t="str">
        <f>IFERROR(__xludf.DUMMYFUNCTION("""COMPUTED_VALUE"""),"Componentes hidráulicos")</f>
        <v>Componentes hidráulicos</v>
      </c>
      <c r="M596" s="74" t="str">
        <f>IFERROR(__xludf.DUMMYFUNCTION("""COMPUTED_VALUE"""),"Sin Asignar")</f>
        <v>Sin Asignar</v>
      </c>
      <c r="N596" s="87">
        <f>IFERROR(__xludf.DUMMYFUNCTION("""COMPUTED_VALUE"""),0.0)</f>
        <v>0</v>
      </c>
      <c r="O596" s="74"/>
      <c r="P596" s="74" t="str">
        <f>IFERROR(__xludf.DUMMYFUNCTION("""COMPUTED_VALUE"""),"No Available")</f>
        <v>No Available</v>
      </c>
      <c r="Q596" s="74"/>
      <c r="R596" s="74"/>
      <c r="S596" s="87">
        <f>IFERROR(__xludf.DUMMYFUNCTION("""COMPUTED_VALUE"""),0.0)</f>
        <v>0</v>
      </c>
      <c r="T596" s="87">
        <f>IFERROR(__xludf.DUMMYFUNCTION("""COMPUTED_VALUE"""),0.0)</f>
        <v>0</v>
      </c>
      <c r="U596" s="87">
        <f>IFERROR(__xludf.DUMMYFUNCTION("""COMPUTED_VALUE"""),0.0)</f>
        <v>0</v>
      </c>
      <c r="V596" s="87">
        <f>IFERROR(__xludf.DUMMYFUNCTION("""COMPUTED_VALUE"""),0.0)</f>
        <v>0</v>
      </c>
      <c r="W596" s="87">
        <f>IFERROR(__xludf.DUMMYFUNCTION("""COMPUTED_VALUE"""),0.0)</f>
        <v>0</v>
      </c>
      <c r="X596" s="88"/>
      <c r="Y596" s="74"/>
      <c r="Z596" s="74"/>
    </row>
    <row r="597">
      <c r="B597" s="74" t="str">
        <f>IFERROR(__xludf.DUMMYFUNCTION("""COMPUTED_VALUE"""),"1594")</f>
        <v>1594</v>
      </c>
      <c r="C597" s="74"/>
      <c r="D597" s="74" t="str">
        <f>IFERROR(__xludf.DUMMYFUNCTION("""COMPUTED_VALUE"""),"\\MCA-S\mk\2_BM\0_BMat\08_PYM\Inventario\excel\Imagen de refacciones\Putzmeister\DN 230 SEAL FOR RAM _ Sello para vástago DN230")</f>
        <v>\\MCA-S\mk\2_BM\0_BMat\08_PYM\Inventario\excel\Imagen de refacciones\Putzmeister\DN 230 SEAL FOR RAM _ Sello para vástago DN230</v>
      </c>
      <c r="E597" s="74"/>
      <c r="F597" s="74" t="str">
        <f>IFERROR(__xludf.DUMMYFUNCTION("""COMPUTED_VALUE"""),"DN 230 SEAL FOR RAM / Sello para vástago DN230")</f>
        <v>DN 230 SEAL FOR RAM / Sello para vástago DN230</v>
      </c>
      <c r="G597" s="74"/>
      <c r="H597" s="74"/>
      <c r="I597" s="74" t="str">
        <f>IFERROR(__xludf.DUMMYFUNCTION("""COMPUTED_VALUE"""),"SOM20116")</f>
        <v>SOM20116</v>
      </c>
      <c r="J597" s="74" t="str">
        <f>IFERROR(__xludf.DUMMYFUNCTION("""COMPUTED_VALUE"""),"80373003")</f>
        <v>80373003</v>
      </c>
      <c r="K597" s="74" t="str">
        <f>IFERROR(__xludf.DUMMYFUNCTION("""COMPUTED_VALUE"""),"Putzmeister")</f>
        <v>Putzmeister</v>
      </c>
      <c r="L597" s="74" t="str">
        <f>IFERROR(__xludf.DUMMYFUNCTION("""COMPUTED_VALUE"""),"Sellos y retenes")</f>
        <v>Sellos y retenes</v>
      </c>
      <c r="M597" s="74" t="str">
        <f>IFERROR(__xludf.DUMMYFUNCTION("""COMPUTED_VALUE"""),"Sin Asignar")</f>
        <v>Sin Asignar</v>
      </c>
      <c r="N597" s="87">
        <f>IFERROR(__xludf.DUMMYFUNCTION("""COMPUTED_VALUE"""),0.0)</f>
        <v>0</v>
      </c>
      <c r="O597" s="74"/>
      <c r="P597" s="74" t="str">
        <f>IFERROR(__xludf.DUMMYFUNCTION("""COMPUTED_VALUE"""),"No Available")</f>
        <v>No Available</v>
      </c>
      <c r="Q597" s="74"/>
      <c r="R597" s="74"/>
      <c r="S597" s="87">
        <f>IFERROR(__xludf.DUMMYFUNCTION("""COMPUTED_VALUE"""),0.0)</f>
        <v>0</v>
      </c>
      <c r="T597" s="87">
        <f>IFERROR(__xludf.DUMMYFUNCTION("""COMPUTED_VALUE"""),0.0)</f>
        <v>0</v>
      </c>
      <c r="U597" s="87">
        <f>IFERROR(__xludf.DUMMYFUNCTION("""COMPUTED_VALUE"""),0.0)</f>
        <v>0</v>
      </c>
      <c r="V597" s="87">
        <f>IFERROR(__xludf.DUMMYFUNCTION("""COMPUTED_VALUE"""),0.0)</f>
        <v>0</v>
      </c>
      <c r="W597" s="87">
        <f>IFERROR(__xludf.DUMMYFUNCTION("""COMPUTED_VALUE"""),0.0)</f>
        <v>0</v>
      </c>
      <c r="X597" s="88"/>
      <c r="Y597" s="74"/>
      <c r="Z597" s="74"/>
    </row>
    <row r="598">
      <c r="B598" s="74" t="str">
        <f>IFERROR(__xludf.DUMMYFUNCTION("""COMPUTED_VALUE"""),"1595")</f>
        <v>1595</v>
      </c>
      <c r="C598" s="74"/>
      <c r="D598" s="74" t="str">
        <f>IFERROR(__xludf.DUMMYFUNCTION("""COMPUTED_VALUE"""),"\\MCA-S\mk\2_BM\0_BMat\08_PYM\Inventario\excel\Imagen de refacciones\Putzmeister\Guide ring DN200 _ Anillo guía DN200")</f>
        <v>\\MCA-S\mk\2_BM\0_BMat\08_PYM\Inventario\excel\Imagen de refacciones\Putzmeister\Guide ring DN200 _ Anillo guía DN200</v>
      </c>
      <c r="E598" s="74"/>
      <c r="F598" s="74" t="str">
        <f>IFERROR(__xludf.DUMMYFUNCTION("""COMPUTED_VALUE"""),"Guide ring DN200 / Anillo guía DN200")</f>
        <v>Guide ring DN200 / Anillo guía DN200</v>
      </c>
      <c r="G598" s="74"/>
      <c r="H598" s="74"/>
      <c r="I598" s="74" t="str">
        <f>IFERROR(__xludf.DUMMYFUNCTION("""COMPUTED_VALUE"""),"SOM20117")</f>
        <v>SOM20117</v>
      </c>
      <c r="J598" s="74" t="str">
        <f>IFERROR(__xludf.DUMMYFUNCTION("""COMPUTED_VALUE"""),"80794006")</f>
        <v>80794006</v>
      </c>
      <c r="K598" s="74" t="str">
        <f>IFERROR(__xludf.DUMMYFUNCTION("""COMPUTED_VALUE"""),"Putzmeister")</f>
        <v>Putzmeister</v>
      </c>
      <c r="L598" s="74" t="str">
        <f>IFERROR(__xludf.DUMMYFUNCTION("""COMPUTED_VALUE"""),"Sellos y retenes")</f>
        <v>Sellos y retenes</v>
      </c>
      <c r="M598" s="74" t="str">
        <f>IFERROR(__xludf.DUMMYFUNCTION("""COMPUTED_VALUE"""),"Sin Asignar")</f>
        <v>Sin Asignar</v>
      </c>
      <c r="N598" s="87">
        <f>IFERROR(__xludf.DUMMYFUNCTION("""COMPUTED_VALUE"""),0.0)</f>
        <v>0</v>
      </c>
      <c r="O598" s="74"/>
      <c r="P598" s="74" t="str">
        <f>IFERROR(__xludf.DUMMYFUNCTION("""COMPUTED_VALUE"""),"No Available")</f>
        <v>No Available</v>
      </c>
      <c r="Q598" s="74"/>
      <c r="R598" s="74"/>
      <c r="S598" s="87">
        <f>IFERROR(__xludf.DUMMYFUNCTION("""COMPUTED_VALUE"""),0.0)</f>
        <v>0</v>
      </c>
      <c r="T598" s="87">
        <f>IFERROR(__xludf.DUMMYFUNCTION("""COMPUTED_VALUE"""),0.0)</f>
        <v>0</v>
      </c>
      <c r="U598" s="87">
        <f>IFERROR(__xludf.DUMMYFUNCTION("""COMPUTED_VALUE"""),0.0)</f>
        <v>0</v>
      </c>
      <c r="V598" s="87">
        <f>IFERROR(__xludf.DUMMYFUNCTION("""COMPUTED_VALUE"""),0.0)</f>
        <v>0</v>
      </c>
      <c r="W598" s="87">
        <f>IFERROR(__xludf.DUMMYFUNCTION("""COMPUTED_VALUE"""),0.0)</f>
        <v>0</v>
      </c>
      <c r="X598" s="88"/>
      <c r="Y598" s="74"/>
      <c r="Z598" s="74"/>
    </row>
    <row r="599">
      <c r="B599" s="74" t="str">
        <f>IFERROR(__xludf.DUMMYFUNCTION("""COMPUTED_VALUE"""),"1596")</f>
        <v>1596</v>
      </c>
      <c r="C599" s="74"/>
      <c r="D599" s="74" t="str">
        <f>IFERROR(__xludf.DUMMYFUNCTION("""COMPUTED_VALUE"""),"\\MCA-S\mk\2_BM\0_BMat\08_PYM\Inventario\excel\Imagen de refacciones\Putzmeister\Guide ring DN230 _ Anillo guía DN230")</f>
        <v>\\MCA-S\mk\2_BM\0_BMat\08_PYM\Inventario\excel\Imagen de refacciones\Putzmeister\Guide ring DN230 _ Anillo guía DN230</v>
      </c>
      <c r="E599" s="74"/>
      <c r="F599" s="74" t="str">
        <f>IFERROR(__xludf.DUMMYFUNCTION("""COMPUTED_VALUE"""),"Guide ring DN230 / Anillo guía DN230")</f>
        <v>Guide ring DN230 / Anillo guía DN230</v>
      </c>
      <c r="G599" s="74"/>
      <c r="H599" s="74"/>
      <c r="I599" s="74" t="str">
        <f>IFERROR(__xludf.DUMMYFUNCTION("""COMPUTED_VALUE"""),"SOM20118")</f>
        <v>SOM20118</v>
      </c>
      <c r="J599" s="74" t="str">
        <f>IFERROR(__xludf.DUMMYFUNCTION("""COMPUTED_VALUE"""),"80672005")</f>
        <v>80672005</v>
      </c>
      <c r="K599" s="74" t="str">
        <f>IFERROR(__xludf.DUMMYFUNCTION("""COMPUTED_VALUE"""),"Putzmeister")</f>
        <v>Putzmeister</v>
      </c>
      <c r="L599" s="74" t="str">
        <f>IFERROR(__xludf.DUMMYFUNCTION("""COMPUTED_VALUE"""),"Sellos y retenes")</f>
        <v>Sellos y retenes</v>
      </c>
      <c r="M599" s="74" t="str">
        <f>IFERROR(__xludf.DUMMYFUNCTION("""COMPUTED_VALUE"""),"Sin Asignar")</f>
        <v>Sin Asignar</v>
      </c>
      <c r="N599" s="87">
        <f>IFERROR(__xludf.DUMMYFUNCTION("""COMPUTED_VALUE"""),0.0)</f>
        <v>0</v>
      </c>
      <c r="O599" s="74"/>
      <c r="P599" s="74" t="str">
        <f>IFERROR(__xludf.DUMMYFUNCTION("""COMPUTED_VALUE"""),"No Available")</f>
        <v>No Available</v>
      </c>
      <c r="Q599" s="74"/>
      <c r="R599" s="74"/>
      <c r="S599" s="87">
        <f>IFERROR(__xludf.DUMMYFUNCTION("""COMPUTED_VALUE"""),0.0)</f>
        <v>0</v>
      </c>
      <c r="T599" s="87">
        <f>IFERROR(__xludf.DUMMYFUNCTION("""COMPUTED_VALUE"""),0.0)</f>
        <v>0</v>
      </c>
      <c r="U599" s="87">
        <f>IFERROR(__xludf.DUMMYFUNCTION("""COMPUTED_VALUE"""),0.0)</f>
        <v>0</v>
      </c>
      <c r="V599" s="87">
        <f>IFERROR(__xludf.DUMMYFUNCTION("""COMPUTED_VALUE"""),0.0)</f>
        <v>0</v>
      </c>
      <c r="W599" s="87">
        <f>IFERROR(__xludf.DUMMYFUNCTION("""COMPUTED_VALUE"""),0.0)</f>
        <v>0</v>
      </c>
      <c r="X599" s="88"/>
      <c r="Y599" s="74"/>
      <c r="Z599" s="74"/>
    </row>
    <row r="600">
      <c r="B600" s="74" t="str">
        <f>IFERROR(__xludf.DUMMYFUNCTION("""COMPUTED_VALUE"""),"1597")</f>
        <v>1597</v>
      </c>
      <c r="C600" s="74"/>
      <c r="D600" s="74" t="str">
        <f>IFERROR(__xludf.DUMMYFUNCTION("""COMPUTED_VALUE"""),"\\MCA-S\mk\2_BM\0_BMat\08_PYM\Inventario\excel\Imagen de refacciones\Putzmeister\Brida espaciadora")</f>
        <v>\\MCA-S\mk\2_BM\0_BMat\08_PYM\Inventario\excel\Imagen de refacciones\Putzmeister\Brida espaciadora</v>
      </c>
      <c r="E600" s="74"/>
      <c r="F600" s="74" t="str">
        <f>IFERROR(__xludf.DUMMYFUNCTION("""COMPUTED_VALUE"""),"Brida espaciadora")</f>
        <v>Brida espaciadora</v>
      </c>
      <c r="G600" s="74"/>
      <c r="H600" s="74"/>
      <c r="I600" s="74" t="str">
        <f>IFERROR(__xludf.DUMMYFUNCTION("""COMPUTED_VALUE"""),"SOM20119")</f>
        <v>SOM20119</v>
      </c>
      <c r="J600" s="74" t="str">
        <f>IFERROR(__xludf.DUMMYFUNCTION("""COMPUTED_VALUE"""),"401503")</f>
        <v>401503</v>
      </c>
      <c r="K600" s="74" t="str">
        <f>IFERROR(__xludf.DUMMYFUNCTION("""COMPUTED_VALUE"""),"Putzmeister")</f>
        <v>Putzmeister</v>
      </c>
      <c r="L600" s="74" t="str">
        <f>IFERROR(__xludf.DUMMYFUNCTION("""COMPUTED_VALUE"""),"Componentes estructurales y de montaje")</f>
        <v>Componentes estructurales y de montaje</v>
      </c>
      <c r="M600" s="74" t="str">
        <f>IFERROR(__xludf.DUMMYFUNCTION("""COMPUTED_VALUE"""),"Sin Asignar")</f>
        <v>Sin Asignar</v>
      </c>
      <c r="N600" s="87">
        <f>IFERROR(__xludf.DUMMYFUNCTION("""COMPUTED_VALUE"""),0.0)</f>
        <v>0</v>
      </c>
      <c r="O600" s="74"/>
      <c r="P600" s="74" t="str">
        <f>IFERROR(__xludf.DUMMYFUNCTION("""COMPUTED_VALUE"""),"borrar")</f>
        <v>borrar</v>
      </c>
      <c r="Q600" s="74"/>
      <c r="R600" s="74"/>
      <c r="S600" s="87">
        <f>IFERROR(__xludf.DUMMYFUNCTION("""COMPUTED_VALUE"""),0.0)</f>
        <v>0</v>
      </c>
      <c r="T600" s="87">
        <f>IFERROR(__xludf.DUMMYFUNCTION("""COMPUTED_VALUE"""),0.0)</f>
        <v>0</v>
      </c>
      <c r="U600" s="87">
        <f>IFERROR(__xludf.DUMMYFUNCTION("""COMPUTED_VALUE"""),0.0)</f>
        <v>0</v>
      </c>
      <c r="V600" s="87">
        <f>IFERROR(__xludf.DUMMYFUNCTION("""COMPUTED_VALUE"""),0.0)</f>
        <v>0</v>
      </c>
      <c r="W600" s="87">
        <f>IFERROR(__xludf.DUMMYFUNCTION("""COMPUTED_VALUE"""),0.0)</f>
        <v>0</v>
      </c>
      <c r="X600" s="88"/>
      <c r="Y600" s="74"/>
      <c r="Z600" s="74"/>
    </row>
    <row r="601">
      <c r="B601" s="74" t="str">
        <f>IFERROR(__xludf.DUMMYFUNCTION("""COMPUTED_VALUE"""),"1598")</f>
        <v>1598</v>
      </c>
      <c r="C601" s="74"/>
      <c r="D601" s="74" t="str">
        <f>IFERROR(__xludf.DUMMYFUNCTION("""COMPUTED_VALUE"""),"\\MCA-S\mk\2_BM\0_BMat\08_PYM\Inventario\excel\Imagen de refacciones\Putzmeister\Piston rod flange _ Brida para vástago de pistón")</f>
        <v>\\MCA-S\mk\2_BM\0_BMat\08_PYM\Inventario\excel\Imagen de refacciones\Putzmeister\Piston rod flange _ Brida para vástago de pistón</v>
      </c>
      <c r="E601" s="74"/>
      <c r="F601" s="74" t="str">
        <f>IFERROR(__xludf.DUMMYFUNCTION("""COMPUTED_VALUE"""),"Piston rod flange / Brida para vástago de pistón")</f>
        <v>Piston rod flange / Brida para vástago de pistón</v>
      </c>
      <c r="G601" s="74"/>
      <c r="H601" s="74"/>
      <c r="I601" s="74" t="str">
        <f>IFERROR(__xludf.DUMMYFUNCTION("""COMPUTED_VALUE"""),"SOM20121")</f>
        <v>SOM20121</v>
      </c>
      <c r="J601" s="74" t="str">
        <f>IFERROR(__xludf.DUMMYFUNCTION("""COMPUTED_VALUE"""),"52152003")</f>
        <v>52152003</v>
      </c>
      <c r="K601" s="74" t="str">
        <f>IFERROR(__xludf.DUMMYFUNCTION("""COMPUTED_VALUE"""),"Putzmeister")</f>
        <v>Putzmeister</v>
      </c>
      <c r="L601" s="74" t="str">
        <f>IFERROR(__xludf.DUMMYFUNCTION("""COMPUTED_VALUE"""),"Componentes estructurales y de montaje")</f>
        <v>Componentes estructurales y de montaje</v>
      </c>
      <c r="M601" s="74" t="str">
        <f>IFERROR(__xludf.DUMMYFUNCTION("""COMPUTED_VALUE"""),"Sin Asignar")</f>
        <v>Sin Asignar</v>
      </c>
      <c r="N601" s="87">
        <f>IFERROR(__xludf.DUMMYFUNCTION("""COMPUTED_VALUE"""),0.0)</f>
        <v>0</v>
      </c>
      <c r="O601" s="74"/>
      <c r="P601" s="74" t="str">
        <f>IFERROR(__xludf.DUMMYFUNCTION("""COMPUTED_VALUE"""),"No Available")</f>
        <v>No Available</v>
      </c>
      <c r="Q601" s="74"/>
      <c r="R601" s="74"/>
      <c r="S601" s="87">
        <f>IFERROR(__xludf.DUMMYFUNCTION("""COMPUTED_VALUE"""),0.0)</f>
        <v>0</v>
      </c>
      <c r="T601" s="87">
        <f>IFERROR(__xludf.DUMMYFUNCTION("""COMPUTED_VALUE"""),0.0)</f>
        <v>0</v>
      </c>
      <c r="U601" s="87">
        <f>IFERROR(__xludf.DUMMYFUNCTION("""COMPUTED_VALUE"""),0.0)</f>
        <v>0</v>
      </c>
      <c r="V601" s="87">
        <f>IFERROR(__xludf.DUMMYFUNCTION("""COMPUTED_VALUE"""),0.0)</f>
        <v>0</v>
      </c>
      <c r="W601" s="87">
        <f>IFERROR(__xludf.DUMMYFUNCTION("""COMPUTED_VALUE"""),0.0)</f>
        <v>0</v>
      </c>
      <c r="X601" s="88"/>
      <c r="Y601" s="74"/>
      <c r="Z601" s="74"/>
    </row>
    <row r="602">
      <c r="B602" s="74" t="str">
        <f>IFERROR(__xludf.DUMMYFUNCTION("""COMPUTED_VALUE"""),"1599")</f>
        <v>1599</v>
      </c>
      <c r="C602" s="74"/>
      <c r="D602" s="74" t="str">
        <f>IFERROR(__xludf.DUMMYFUNCTION("""COMPUTED_VALUE"""),"\\MCA-S\mk\2_BM\0_BMat\08_PYM\Inventario\excel\Imagen de refacciones\Putzmeister\Spacer flange _ Brida espaciadora")</f>
        <v>\\MCA-S\mk\2_BM\0_BMat\08_PYM\Inventario\excel\Imagen de refacciones\Putzmeister\Spacer flange _ Brida espaciadora</v>
      </c>
      <c r="E602" s="74"/>
      <c r="F602" s="74" t="str">
        <f>IFERROR(__xludf.DUMMYFUNCTION("""COMPUTED_VALUE"""),"Spacer flange / Brida espaciadora")</f>
        <v>Spacer flange / Brida espaciadora</v>
      </c>
      <c r="G602" s="74"/>
      <c r="H602" s="74"/>
      <c r="I602" s="74" t="str">
        <f>IFERROR(__xludf.DUMMYFUNCTION("""COMPUTED_VALUE"""),"SOM20122")</f>
        <v>SOM20122</v>
      </c>
      <c r="J602" s="74" t="str">
        <f>IFERROR(__xludf.DUMMYFUNCTION("""COMPUTED_VALUE"""),"243989001")</f>
        <v>243989001</v>
      </c>
      <c r="K602" s="74" t="str">
        <f>IFERROR(__xludf.DUMMYFUNCTION("""COMPUTED_VALUE"""),"Putzmeister")</f>
        <v>Putzmeister</v>
      </c>
      <c r="L602" s="74" t="str">
        <f>IFERROR(__xludf.DUMMYFUNCTION("""COMPUTED_VALUE"""),"Componentes estructurales y de montaje")</f>
        <v>Componentes estructurales y de montaje</v>
      </c>
      <c r="M602" s="74" t="str">
        <f>IFERROR(__xludf.DUMMYFUNCTION("""COMPUTED_VALUE"""),"Sin Asignar")</f>
        <v>Sin Asignar</v>
      </c>
      <c r="N602" s="87">
        <f>IFERROR(__xludf.DUMMYFUNCTION("""COMPUTED_VALUE"""),0.0)</f>
        <v>0</v>
      </c>
      <c r="O602" s="74"/>
      <c r="P602" s="74" t="str">
        <f>IFERROR(__xludf.DUMMYFUNCTION("""COMPUTED_VALUE"""),"No Available")</f>
        <v>No Available</v>
      </c>
      <c r="Q602" s="74"/>
      <c r="R602" s="74"/>
      <c r="S602" s="87">
        <f>IFERROR(__xludf.DUMMYFUNCTION("""COMPUTED_VALUE"""),0.0)</f>
        <v>0</v>
      </c>
      <c r="T602" s="87">
        <f>IFERROR(__xludf.DUMMYFUNCTION("""COMPUTED_VALUE"""),0.0)</f>
        <v>0</v>
      </c>
      <c r="U602" s="87">
        <f>IFERROR(__xludf.DUMMYFUNCTION("""COMPUTED_VALUE"""),0.0)</f>
        <v>0</v>
      </c>
      <c r="V602" s="87">
        <f>IFERROR(__xludf.DUMMYFUNCTION("""COMPUTED_VALUE"""),0.0)</f>
        <v>0</v>
      </c>
      <c r="W602" s="87">
        <f>IFERROR(__xludf.DUMMYFUNCTION("""COMPUTED_VALUE"""),0.0)</f>
        <v>0</v>
      </c>
      <c r="X602" s="88"/>
      <c r="Y602" s="74"/>
      <c r="Z602" s="74"/>
    </row>
    <row r="603">
      <c r="B603" s="74" t="str">
        <f>IFERROR(__xludf.DUMMYFUNCTION("""COMPUTED_VALUE"""),"1600")</f>
        <v>1600</v>
      </c>
      <c r="C603" s="74"/>
      <c r="D603" s="74" t="str">
        <f>IFERROR(__xludf.DUMMYFUNCTION("""COMPUTED_VALUE"""),"\\MCA-S\mk\2_BM\0_BMat\08_PYM\Inventario\excel\Imagen de refacciones\Putzmeister\Spectacle wear plate duro 22 new type _ Placa de desgaste tipo _espectáculo_ Duro 22 (nuevo modelo)")</f>
        <v>\\MCA-S\mk\2_BM\0_BMat\08_PYM\Inventario\excel\Imagen de refacciones\Putzmeister\Spectacle wear plate duro 22 new type _ Placa de desgaste tipo _espectáculo_ Duro 22 (nuevo modelo)</v>
      </c>
      <c r="E603" s="74"/>
      <c r="F603" s="74" t="str">
        <f>IFERROR(__xludf.DUMMYFUNCTION("""COMPUTED_VALUE"""),"Spectacle wear plate duro 22 new type / Placa de desgaste tipo ""espectáculo"" Duro 22 (nuevo modelo)")</f>
        <v>Spectacle wear plate duro 22 new type / Placa de desgaste tipo "espectáculo" Duro 22 (nuevo modelo)</v>
      </c>
      <c r="G603" s="74"/>
      <c r="H603" s="74"/>
      <c r="I603" s="74" t="str">
        <f>IFERROR(__xludf.DUMMYFUNCTION("""COMPUTED_VALUE"""),"SOM20123")</f>
        <v>SOM20123</v>
      </c>
      <c r="J603" s="74" t="str">
        <f>IFERROR(__xludf.DUMMYFUNCTION("""COMPUTED_VALUE"""),"519314")</f>
        <v>519314</v>
      </c>
      <c r="K603" s="74" t="str">
        <f>IFERROR(__xludf.DUMMYFUNCTION("""COMPUTED_VALUE"""),"Putzmeister")</f>
        <v>Putzmeister</v>
      </c>
      <c r="L603" s="74" t="str">
        <f>IFERROR(__xludf.DUMMYFUNCTION("""COMPUTED_VALUE"""),"Componentes estructurales y de montaje")</f>
        <v>Componentes estructurales y de montaje</v>
      </c>
      <c r="M603" s="74" t="str">
        <f>IFERROR(__xludf.DUMMYFUNCTION("""COMPUTED_VALUE"""),"Sin Asignar")</f>
        <v>Sin Asignar</v>
      </c>
      <c r="N603" s="87">
        <f>IFERROR(__xludf.DUMMYFUNCTION("""COMPUTED_VALUE"""),0.0)</f>
        <v>0</v>
      </c>
      <c r="O603" s="74"/>
      <c r="P603" s="74" t="str">
        <f>IFERROR(__xludf.DUMMYFUNCTION("""COMPUTED_VALUE"""),"No Available")</f>
        <v>No Available</v>
      </c>
      <c r="Q603" s="74"/>
      <c r="R603" s="74"/>
      <c r="S603" s="87">
        <f>IFERROR(__xludf.DUMMYFUNCTION("""COMPUTED_VALUE"""),0.0)</f>
        <v>0</v>
      </c>
      <c r="T603" s="87">
        <f>IFERROR(__xludf.DUMMYFUNCTION("""COMPUTED_VALUE"""),0.0)</f>
        <v>0</v>
      </c>
      <c r="U603" s="87">
        <f>IFERROR(__xludf.DUMMYFUNCTION("""COMPUTED_VALUE"""),0.0)</f>
        <v>0</v>
      </c>
      <c r="V603" s="87">
        <f>IFERROR(__xludf.DUMMYFUNCTION("""COMPUTED_VALUE"""),0.0)</f>
        <v>0</v>
      </c>
      <c r="W603" s="87">
        <f>IFERROR(__xludf.DUMMYFUNCTION("""COMPUTED_VALUE"""),0.0)</f>
        <v>0</v>
      </c>
      <c r="X603" s="88"/>
      <c r="Y603" s="74"/>
      <c r="Z603" s="74"/>
    </row>
    <row r="604">
      <c r="B604" s="74" t="str">
        <f>IFERROR(__xludf.DUMMYFUNCTION("""COMPUTED_VALUE"""),"1601")</f>
        <v>1601</v>
      </c>
      <c r="C604" s="74"/>
      <c r="D604" s="74" t="str">
        <f>IFERROR(__xludf.DUMMYFUNCTION("""COMPUTED_VALUE"""),"\\MCA-S\mk\2_BM\0_BMat\08_PYM\Inventario\excel\Imagen de refacciones\Putzmeister\Spectacle wear plate elephant _ Placa de desgaste tipo _espectáculo_ Elephant")</f>
        <v>\\MCA-S\mk\2_BM\0_BMat\08_PYM\Inventario\excel\Imagen de refacciones\Putzmeister\Spectacle wear plate elephant _ Placa de desgaste tipo _espectáculo_ Elephant</v>
      </c>
      <c r="E604" s="74"/>
      <c r="F604" s="74" t="str">
        <f>IFERROR(__xludf.DUMMYFUNCTION("""COMPUTED_VALUE"""),"Spectacle wear plate elephant / Placa de desgaste tipo ""espectáculo"" Elephant")</f>
        <v>Spectacle wear plate elephant / Placa de desgaste tipo "espectáculo" Elephant</v>
      </c>
      <c r="G604" s="74"/>
      <c r="H604" s="74"/>
      <c r="I604" s="74" t="str">
        <f>IFERROR(__xludf.DUMMYFUNCTION("""COMPUTED_VALUE"""),"SOM20124")</f>
        <v>SOM20124</v>
      </c>
      <c r="J604" s="74" t="str">
        <f>IFERROR(__xludf.DUMMYFUNCTION("""COMPUTED_VALUE"""),"283353008")</f>
        <v>283353008</v>
      </c>
      <c r="K604" s="74" t="str">
        <f>IFERROR(__xludf.DUMMYFUNCTION("""COMPUTED_VALUE"""),"Putzmeister")</f>
        <v>Putzmeister</v>
      </c>
      <c r="L604" s="74" t="str">
        <f>IFERROR(__xludf.DUMMYFUNCTION("""COMPUTED_VALUE"""),"Componentes estructurales y de montaje")</f>
        <v>Componentes estructurales y de montaje</v>
      </c>
      <c r="M604" s="74" t="str">
        <f>IFERROR(__xludf.DUMMYFUNCTION("""COMPUTED_VALUE"""),"Sin Asignar")</f>
        <v>Sin Asignar</v>
      </c>
      <c r="N604" s="87">
        <f>IFERROR(__xludf.DUMMYFUNCTION("""COMPUTED_VALUE"""),0.0)</f>
        <v>0</v>
      </c>
      <c r="O604" s="74"/>
      <c r="P604" s="74" t="str">
        <f>IFERROR(__xludf.DUMMYFUNCTION("""COMPUTED_VALUE"""),"No Available")</f>
        <v>No Available</v>
      </c>
      <c r="Q604" s="74"/>
      <c r="R604" s="74"/>
      <c r="S604" s="87">
        <f>IFERROR(__xludf.DUMMYFUNCTION("""COMPUTED_VALUE"""),0.0)</f>
        <v>0</v>
      </c>
      <c r="T604" s="87">
        <f>IFERROR(__xludf.DUMMYFUNCTION("""COMPUTED_VALUE"""),0.0)</f>
        <v>0</v>
      </c>
      <c r="U604" s="87">
        <f>IFERROR(__xludf.DUMMYFUNCTION("""COMPUTED_VALUE"""),0.0)</f>
        <v>0</v>
      </c>
      <c r="V604" s="87">
        <f>IFERROR(__xludf.DUMMYFUNCTION("""COMPUTED_VALUE"""),0.0)</f>
        <v>0</v>
      </c>
      <c r="W604" s="87">
        <f>IFERROR(__xludf.DUMMYFUNCTION("""COMPUTED_VALUE"""),0.0)</f>
        <v>0</v>
      </c>
      <c r="X604" s="88"/>
      <c r="Y604" s="74"/>
      <c r="Z604" s="74"/>
    </row>
    <row r="605">
      <c r="B605" s="74" t="str">
        <f>IFERROR(__xludf.DUMMYFUNCTION("""COMPUTED_VALUE"""),"1602")</f>
        <v>1602</v>
      </c>
      <c r="C605" s="74"/>
      <c r="D605" s="74" t="str">
        <f>IFERROR(__xludf.DUMMYFUNCTION("""COMPUTED_VALUE"""),"\\MCA-S\mk\2_BM\0_BMat\08_PYM\Inventario\excel\Imagen de refacciones\Putzmeister\Wear ring elephant _ Anillo de desgaste Elephant")</f>
        <v>\\MCA-S\mk\2_BM\0_BMat\08_PYM\Inventario\excel\Imagen de refacciones\Putzmeister\Wear ring elephant _ Anillo de desgaste Elephant</v>
      </c>
      <c r="E605" s="74"/>
      <c r="F605" s="74" t="str">
        <f>IFERROR(__xludf.DUMMYFUNCTION("""COMPUTED_VALUE"""),"Wear ring elephant / Anillo de desgaste Elephant")</f>
        <v>Wear ring elephant / Anillo de desgaste Elephant</v>
      </c>
      <c r="G605" s="74"/>
      <c r="H605" s="74"/>
      <c r="I605" s="74" t="str">
        <f>IFERROR(__xludf.DUMMYFUNCTION("""COMPUTED_VALUE"""),"SOM20125")</f>
        <v>SOM20125</v>
      </c>
      <c r="J605" s="74" t="str">
        <f>IFERROR(__xludf.DUMMYFUNCTION("""COMPUTED_VALUE"""),"293151009 / 293397009")</f>
        <v>293151009 / 293397009</v>
      </c>
      <c r="K605" s="74" t="str">
        <f>IFERROR(__xludf.DUMMYFUNCTION("""COMPUTED_VALUE"""),"Putzmeister")</f>
        <v>Putzmeister</v>
      </c>
      <c r="L605" s="74" t="str">
        <f>IFERROR(__xludf.DUMMYFUNCTION("""COMPUTED_VALUE"""),"Sellos y retenes")</f>
        <v>Sellos y retenes</v>
      </c>
      <c r="M605" s="74" t="str">
        <f>IFERROR(__xludf.DUMMYFUNCTION("""COMPUTED_VALUE"""),"Sin Asignar")</f>
        <v>Sin Asignar</v>
      </c>
      <c r="N605" s="87">
        <f>IFERROR(__xludf.DUMMYFUNCTION("""COMPUTED_VALUE"""),0.0)</f>
        <v>0</v>
      </c>
      <c r="O605" s="74"/>
      <c r="P605" s="74" t="str">
        <f>IFERROR(__xludf.DUMMYFUNCTION("""COMPUTED_VALUE"""),"No Available")</f>
        <v>No Available</v>
      </c>
      <c r="Q605" s="74"/>
      <c r="R605" s="74"/>
      <c r="S605" s="87">
        <f>IFERROR(__xludf.DUMMYFUNCTION("""COMPUTED_VALUE"""),0.0)</f>
        <v>0</v>
      </c>
      <c r="T605" s="87">
        <f>IFERROR(__xludf.DUMMYFUNCTION("""COMPUTED_VALUE"""),0.0)</f>
        <v>0</v>
      </c>
      <c r="U605" s="87">
        <f>IFERROR(__xludf.DUMMYFUNCTION("""COMPUTED_VALUE"""),0.0)</f>
        <v>0</v>
      </c>
      <c r="V605" s="87">
        <f>IFERROR(__xludf.DUMMYFUNCTION("""COMPUTED_VALUE"""),0.0)</f>
        <v>0</v>
      </c>
      <c r="W605" s="87">
        <f>IFERROR(__xludf.DUMMYFUNCTION("""COMPUTED_VALUE"""),0.0)</f>
        <v>0</v>
      </c>
      <c r="X605" s="88"/>
      <c r="Y605" s="74"/>
      <c r="Z605" s="74"/>
    </row>
    <row r="606">
      <c r="B606" s="74" t="str">
        <f>IFERROR(__xludf.DUMMYFUNCTION("""COMPUTED_VALUE"""),"1603")</f>
        <v>1603</v>
      </c>
      <c r="C606" s="74"/>
      <c r="D606" s="74" t="str">
        <f>IFERROR(__xludf.DUMMYFUNCTION("""COMPUTED_VALUE"""),"\\MCA-S\mk\2_BM\0_BMat\08_PYM\Inventario\excel\Imagen de refacciones\Putzmeister\Spectacle wear plate elephant _ Placa de desgaste tipo _espectáculo_ Elephant (1)")</f>
        <v>\\MCA-S\mk\2_BM\0_BMat\08_PYM\Inventario\excel\Imagen de refacciones\Putzmeister\Spectacle wear plate elephant _ Placa de desgaste tipo _espectáculo_ Elephant (1)</v>
      </c>
      <c r="E606" s="74"/>
      <c r="F606" s="74" t="str">
        <f>IFERROR(__xludf.DUMMYFUNCTION("""COMPUTED_VALUE"""),"Spectacle wear plate elephant / Placa de desgaste tipo ""espectáculo"" Elephant")</f>
        <v>Spectacle wear plate elephant / Placa de desgaste tipo "espectáculo" Elephant</v>
      </c>
      <c r="G606" s="74"/>
      <c r="H606" s="74"/>
      <c r="I606" s="74" t="str">
        <f>IFERROR(__xludf.DUMMYFUNCTION("""COMPUTED_VALUE"""),"SOM20126")</f>
        <v>SOM20126</v>
      </c>
      <c r="J606" s="74" t="str">
        <f>IFERROR(__xludf.DUMMYFUNCTION("""COMPUTED_VALUE"""),"86287009 / 5242002")</f>
        <v>86287009 / 5242002</v>
      </c>
      <c r="K606" s="74" t="str">
        <f>IFERROR(__xludf.DUMMYFUNCTION("""COMPUTED_VALUE"""),"Putzmeister")</f>
        <v>Putzmeister</v>
      </c>
      <c r="L606" s="74" t="str">
        <f>IFERROR(__xludf.DUMMYFUNCTION("""COMPUTED_VALUE"""),"Componentes estructurales y de montaje")</f>
        <v>Componentes estructurales y de montaje</v>
      </c>
      <c r="M606" s="74" t="str">
        <f>IFERROR(__xludf.DUMMYFUNCTION("""COMPUTED_VALUE"""),"Sin Asignar")</f>
        <v>Sin Asignar</v>
      </c>
      <c r="N606" s="87">
        <f>IFERROR(__xludf.DUMMYFUNCTION("""COMPUTED_VALUE"""),0.0)</f>
        <v>0</v>
      </c>
      <c r="O606" s="74"/>
      <c r="P606" s="74" t="str">
        <f>IFERROR(__xludf.DUMMYFUNCTION("""COMPUTED_VALUE"""),"No Available")</f>
        <v>No Available</v>
      </c>
      <c r="Q606" s="74"/>
      <c r="R606" s="74"/>
      <c r="S606" s="87">
        <f>IFERROR(__xludf.DUMMYFUNCTION("""COMPUTED_VALUE"""),0.0)</f>
        <v>0</v>
      </c>
      <c r="T606" s="87">
        <f>IFERROR(__xludf.DUMMYFUNCTION("""COMPUTED_VALUE"""),0.0)</f>
        <v>0</v>
      </c>
      <c r="U606" s="87">
        <f>IFERROR(__xludf.DUMMYFUNCTION("""COMPUTED_VALUE"""),0.0)</f>
        <v>0</v>
      </c>
      <c r="V606" s="87">
        <f>IFERROR(__xludf.DUMMYFUNCTION("""COMPUTED_VALUE"""),0.0)</f>
        <v>0</v>
      </c>
      <c r="W606" s="87">
        <f>IFERROR(__xludf.DUMMYFUNCTION("""COMPUTED_VALUE"""),0.0)</f>
        <v>0</v>
      </c>
      <c r="X606" s="88"/>
      <c r="Y606" s="74"/>
      <c r="Z606" s="74"/>
    </row>
    <row r="607">
      <c r="B607" s="74" t="str">
        <f>IFERROR(__xludf.DUMMYFUNCTION("""COMPUTED_VALUE"""),"1604")</f>
        <v>1604</v>
      </c>
      <c r="C607" s="74"/>
      <c r="D607" s="74" t="str">
        <f>IFERROR(__xludf.DUMMYFUNCTION("""COMPUTED_VALUE"""),"\\MCA-S\mk\2_BM\0_BMat\08_PYM\Inventario\excel\Imagen de refacciones\Putzmeister\Wear ring elephant _ Anillo de desgaste Elephant (1)")</f>
        <v>\\MCA-S\mk\2_BM\0_BMat\08_PYM\Inventario\excel\Imagen de refacciones\Putzmeister\Wear ring elephant _ Anillo de desgaste Elephant (1)</v>
      </c>
      <c r="E607" s="74"/>
      <c r="F607" s="74" t="str">
        <f>IFERROR(__xludf.DUMMYFUNCTION("""COMPUTED_VALUE"""),"Wear ring elephant / Anillo de desgaste Elephant")</f>
        <v>Wear ring elephant / Anillo de desgaste Elephant</v>
      </c>
      <c r="G607" s="74"/>
      <c r="H607" s="74"/>
      <c r="I607" s="74" t="str">
        <f>IFERROR(__xludf.DUMMYFUNCTION("""COMPUTED_VALUE"""),"SOM20127")</f>
        <v>SOM20127</v>
      </c>
      <c r="J607" s="74" t="str">
        <f>IFERROR(__xludf.DUMMYFUNCTION("""COMPUTED_VALUE"""),"258486007")</f>
        <v>258486007</v>
      </c>
      <c r="K607" s="74" t="str">
        <f>IFERROR(__xludf.DUMMYFUNCTION("""COMPUTED_VALUE"""),"Putzmeister")</f>
        <v>Putzmeister</v>
      </c>
      <c r="L607" s="74" t="str">
        <f>IFERROR(__xludf.DUMMYFUNCTION("""COMPUTED_VALUE"""),"Sellos y retenes")</f>
        <v>Sellos y retenes</v>
      </c>
      <c r="M607" s="74" t="str">
        <f>IFERROR(__xludf.DUMMYFUNCTION("""COMPUTED_VALUE"""),"Sin Asignar")</f>
        <v>Sin Asignar</v>
      </c>
      <c r="N607" s="87">
        <f>IFERROR(__xludf.DUMMYFUNCTION("""COMPUTED_VALUE"""),0.0)</f>
        <v>0</v>
      </c>
      <c r="O607" s="74"/>
      <c r="P607" s="74" t="str">
        <f>IFERROR(__xludf.DUMMYFUNCTION("""COMPUTED_VALUE"""),"No Available")</f>
        <v>No Available</v>
      </c>
      <c r="Q607" s="74"/>
      <c r="R607" s="74"/>
      <c r="S607" s="87">
        <f>IFERROR(__xludf.DUMMYFUNCTION("""COMPUTED_VALUE"""),0.0)</f>
        <v>0</v>
      </c>
      <c r="T607" s="87">
        <f>IFERROR(__xludf.DUMMYFUNCTION("""COMPUTED_VALUE"""),0.0)</f>
        <v>0</v>
      </c>
      <c r="U607" s="87">
        <f>IFERROR(__xludf.DUMMYFUNCTION("""COMPUTED_VALUE"""),0.0)</f>
        <v>0</v>
      </c>
      <c r="V607" s="87">
        <f>IFERROR(__xludf.DUMMYFUNCTION("""COMPUTED_VALUE"""),0.0)</f>
        <v>0</v>
      </c>
      <c r="W607" s="87">
        <f>IFERROR(__xludf.DUMMYFUNCTION("""COMPUTED_VALUE"""),0.0)</f>
        <v>0</v>
      </c>
      <c r="X607" s="88"/>
      <c r="Y607" s="74"/>
      <c r="Z607" s="74"/>
    </row>
    <row r="608">
      <c r="B608" s="74" t="str">
        <f>IFERROR(__xludf.DUMMYFUNCTION("""COMPUTED_VALUE"""),"1605")</f>
        <v>1605</v>
      </c>
      <c r="C608" s="74"/>
      <c r="D608" s="74" t="str">
        <f>IFERROR(__xludf.DUMMYFUNCTION("""COMPUTED_VALUE"""),"\\MCA-S\mk\2_BM\0_BMat\08_PYM\Inventario\excel\Imagen de refacciones\Putzmeister\Wear ring elephant _ Anillo de desgaste Elephant (2)")</f>
        <v>\\MCA-S\mk\2_BM\0_BMat\08_PYM\Inventario\excel\Imagen de refacciones\Putzmeister\Wear ring elephant _ Anillo de desgaste Elephant (2)</v>
      </c>
      <c r="E608" s="74"/>
      <c r="F608" s="74" t="str">
        <f>IFERROR(__xludf.DUMMYFUNCTION("""COMPUTED_VALUE"""),"Wear ring elephant / Anillo de desgaste Elephant")</f>
        <v>Wear ring elephant / Anillo de desgaste Elephant</v>
      </c>
      <c r="G608" s="74"/>
      <c r="H608" s="74"/>
      <c r="I608" s="74" t="str">
        <f>IFERROR(__xludf.DUMMYFUNCTION("""COMPUTED_VALUE"""),"SOM20128")</f>
        <v>SOM20128</v>
      </c>
      <c r="J608" s="74" t="str">
        <f>IFERROR(__xludf.DUMMYFUNCTION("""COMPUTED_VALUE"""),"86219006 / 22042004")</f>
        <v>86219006 / 22042004</v>
      </c>
      <c r="K608" s="74" t="str">
        <f>IFERROR(__xludf.DUMMYFUNCTION("""COMPUTED_VALUE"""),"Putzmeister")</f>
        <v>Putzmeister</v>
      </c>
      <c r="L608" s="74" t="str">
        <f>IFERROR(__xludf.DUMMYFUNCTION("""COMPUTED_VALUE"""),"Sellos y retenes")</f>
        <v>Sellos y retenes</v>
      </c>
      <c r="M608" s="74" t="str">
        <f>IFERROR(__xludf.DUMMYFUNCTION("""COMPUTED_VALUE"""),"Sin Asignar")</f>
        <v>Sin Asignar</v>
      </c>
      <c r="N608" s="87">
        <f>IFERROR(__xludf.DUMMYFUNCTION("""COMPUTED_VALUE"""),0.0)</f>
        <v>0</v>
      </c>
      <c r="O608" s="74"/>
      <c r="P608" s="74" t="str">
        <f>IFERROR(__xludf.DUMMYFUNCTION("""COMPUTED_VALUE"""),"No Available")</f>
        <v>No Available</v>
      </c>
      <c r="Q608" s="74"/>
      <c r="R608" s="74"/>
      <c r="S608" s="87">
        <f>IFERROR(__xludf.DUMMYFUNCTION("""COMPUTED_VALUE"""),0.0)</f>
        <v>0</v>
      </c>
      <c r="T608" s="87">
        <f>IFERROR(__xludf.DUMMYFUNCTION("""COMPUTED_VALUE"""),0.0)</f>
        <v>0</v>
      </c>
      <c r="U608" s="87">
        <f>IFERROR(__xludf.DUMMYFUNCTION("""COMPUTED_VALUE"""),0.0)</f>
        <v>0</v>
      </c>
      <c r="V608" s="87">
        <f>IFERROR(__xludf.DUMMYFUNCTION("""COMPUTED_VALUE"""),0.0)</f>
        <v>0</v>
      </c>
      <c r="W608" s="87">
        <f>IFERROR(__xludf.DUMMYFUNCTION("""COMPUTED_VALUE"""),0.0)</f>
        <v>0</v>
      </c>
      <c r="X608" s="88"/>
      <c r="Y608" s="74"/>
      <c r="Z608" s="74"/>
    </row>
    <row r="609">
      <c r="B609" s="74" t="str">
        <f>IFERROR(__xludf.DUMMYFUNCTION("""COMPUTED_VALUE"""),"1606")</f>
        <v>1606</v>
      </c>
      <c r="C609" s="74"/>
      <c r="D609" s="74" t="str">
        <f>IFERROR(__xludf.DUMMYFUNCTION("""COMPUTED_VALUE"""),"\\MCA-S\mk\2_BM\0_BMat\08_PYM\Inventario\excel\Imagen de refacciones\Putzmeister\DN 200 Thrust Ring _ Anillo de empuje DN200")</f>
        <v>\\MCA-S\mk\2_BM\0_BMat\08_PYM\Inventario\excel\Imagen de refacciones\Putzmeister\DN 200 Thrust Ring _ Anillo de empuje DN200</v>
      </c>
      <c r="E609" s="74"/>
      <c r="F609" s="74" t="str">
        <f>IFERROR(__xludf.DUMMYFUNCTION("""COMPUTED_VALUE"""),"DN 200 Thrust Ring / Anillo de empuje DN200")</f>
        <v>DN 200 Thrust Ring / Anillo de empuje DN200</v>
      </c>
      <c r="G609" s="74"/>
      <c r="H609" s="74"/>
      <c r="I609" s="74" t="str">
        <f>IFERROR(__xludf.DUMMYFUNCTION("""COMPUTED_VALUE"""),"258569005")</f>
        <v>258569005</v>
      </c>
      <c r="J609" s="74" t="str">
        <f>IFERROR(__xludf.DUMMYFUNCTION("""COMPUTED_VALUE"""),"269519002")</f>
        <v>269519002</v>
      </c>
      <c r="K609" s="74" t="str">
        <f>IFERROR(__xludf.DUMMYFUNCTION("""COMPUTED_VALUE"""),"Putzmeister")</f>
        <v>Putzmeister</v>
      </c>
      <c r="L609" s="74" t="str">
        <f>IFERROR(__xludf.DUMMYFUNCTION("""COMPUTED_VALUE"""),"Componentes estructurales y de montaje")</f>
        <v>Componentes estructurales y de montaje</v>
      </c>
      <c r="M609" s="74" t="str">
        <f>IFERROR(__xludf.DUMMYFUNCTION("""COMPUTED_VALUE"""),"Sin Asignar")</f>
        <v>Sin Asignar</v>
      </c>
      <c r="N609" s="87">
        <f>IFERROR(__xludf.DUMMYFUNCTION("""COMPUTED_VALUE"""),0.0)</f>
        <v>0</v>
      </c>
      <c r="O609" s="74"/>
      <c r="P609" s="74" t="str">
        <f>IFERROR(__xludf.DUMMYFUNCTION("""COMPUTED_VALUE"""),"borrar")</f>
        <v>borrar</v>
      </c>
      <c r="Q609" s="74"/>
      <c r="R609" s="74"/>
      <c r="S609" s="87">
        <f>IFERROR(__xludf.DUMMYFUNCTION("""COMPUTED_VALUE"""),0.0)</f>
        <v>0</v>
      </c>
      <c r="T609" s="87">
        <f>IFERROR(__xludf.DUMMYFUNCTION("""COMPUTED_VALUE"""),0.0)</f>
        <v>0</v>
      </c>
      <c r="U609" s="87">
        <f>IFERROR(__xludf.DUMMYFUNCTION("""COMPUTED_VALUE"""),0.0)</f>
        <v>0</v>
      </c>
      <c r="V609" s="87">
        <f>IFERROR(__xludf.DUMMYFUNCTION("""COMPUTED_VALUE"""),0.0)</f>
        <v>0</v>
      </c>
      <c r="W609" s="87">
        <f>IFERROR(__xludf.DUMMYFUNCTION("""COMPUTED_VALUE"""),0.0)</f>
        <v>0</v>
      </c>
      <c r="X609" s="88"/>
      <c r="Y609" s="74"/>
      <c r="Z609" s="74"/>
    </row>
    <row r="610">
      <c r="B610" s="74" t="str">
        <f>IFERROR(__xludf.DUMMYFUNCTION("""COMPUTED_VALUE"""),"1607")</f>
        <v>1607</v>
      </c>
      <c r="C610" s="74"/>
      <c r="D610" s="74" t="str">
        <f>IFERROR(__xludf.DUMMYFUNCTION("""COMPUTED_VALUE"""),"\\MCA-S\mk\2_BM\0_BMat\08_PYM\Inventario\excel\Imagen de refacciones\Putzmeister\Placa de desgaste tipo _espectáculo_ Elephant _ Spectacle wear plate elephant")</f>
        <v>\\MCA-S\mk\2_BM\0_BMat\08_PYM\Inventario\excel\Imagen de refacciones\Putzmeister\Placa de desgaste tipo _espectáculo_ Elephant _ Spectacle wear plate elephant</v>
      </c>
      <c r="E610" s="74"/>
      <c r="F610" s="74" t="str">
        <f>IFERROR(__xludf.DUMMYFUNCTION("""COMPUTED_VALUE"""),"Placa de desgaste tipo ""espectáculo"" Elephant / Spectacle wear plate elephant")</f>
        <v>Placa de desgaste tipo "espectáculo" Elephant / Spectacle wear plate elephant</v>
      </c>
      <c r="G610" s="74"/>
      <c r="H610" s="74"/>
      <c r="I610" s="74" t="str">
        <f>IFERROR(__xludf.DUMMYFUNCTION("""COMPUTED_VALUE"""),"SOM20130")</f>
        <v>SOM20130</v>
      </c>
      <c r="J610" s="74" t="str">
        <f>IFERROR(__xludf.DUMMYFUNCTION("""COMPUTED_VALUE"""),"28037000")</f>
        <v>28037000</v>
      </c>
      <c r="K610" s="74" t="str">
        <f>IFERROR(__xludf.DUMMYFUNCTION("""COMPUTED_VALUE"""),"Putzmeister")</f>
        <v>Putzmeister</v>
      </c>
      <c r="L610" s="74" t="str">
        <f>IFERROR(__xludf.DUMMYFUNCTION("""COMPUTED_VALUE"""),"Componentes estructurales y de montaje")</f>
        <v>Componentes estructurales y de montaje</v>
      </c>
      <c r="M610" s="74" t="str">
        <f>IFERROR(__xludf.DUMMYFUNCTION("""COMPUTED_VALUE"""),"Sin Asignar")</f>
        <v>Sin Asignar</v>
      </c>
      <c r="N610" s="87">
        <f>IFERROR(__xludf.DUMMYFUNCTION("""COMPUTED_VALUE"""),0.0)</f>
        <v>0</v>
      </c>
      <c r="O610" s="74"/>
      <c r="P610" s="74" t="str">
        <f>IFERROR(__xludf.DUMMYFUNCTION("""COMPUTED_VALUE"""),"No Available")</f>
        <v>No Available</v>
      </c>
      <c r="Q610" s="74"/>
      <c r="R610" s="74"/>
      <c r="S610" s="87">
        <f>IFERROR(__xludf.DUMMYFUNCTION("""COMPUTED_VALUE"""),0.0)</f>
        <v>0</v>
      </c>
      <c r="T610" s="87">
        <f>IFERROR(__xludf.DUMMYFUNCTION("""COMPUTED_VALUE"""),0.0)</f>
        <v>0</v>
      </c>
      <c r="U610" s="87">
        <f>IFERROR(__xludf.DUMMYFUNCTION("""COMPUTED_VALUE"""),0.0)</f>
        <v>0</v>
      </c>
      <c r="V610" s="87">
        <f>IFERROR(__xludf.DUMMYFUNCTION("""COMPUTED_VALUE"""),0.0)</f>
        <v>0</v>
      </c>
      <c r="W610" s="87">
        <f>IFERROR(__xludf.DUMMYFUNCTION("""COMPUTED_VALUE"""),0.0)</f>
        <v>0</v>
      </c>
      <c r="X610" s="88"/>
      <c r="Y610" s="74"/>
      <c r="Z610" s="74"/>
    </row>
    <row r="611">
      <c r="B611" s="74" t="str">
        <f>IFERROR(__xludf.DUMMYFUNCTION("""COMPUTED_VALUE"""),"1608")</f>
        <v>1608</v>
      </c>
      <c r="C611" s="74"/>
      <c r="D611" s="74" t="str">
        <f>IFERROR(__xludf.DUMMYFUNCTION("""COMPUTED_VALUE"""),"\\MCA-S\mk\2_BM\0_BMat\08_PYM\Inventario\excel\Imagen de refacciones\Putzmeister\Wear strip _ Banda de desgaste")</f>
        <v>\\MCA-S\mk\2_BM\0_BMat\08_PYM\Inventario\excel\Imagen de refacciones\Putzmeister\Wear strip _ Banda de desgaste</v>
      </c>
      <c r="E611" s="74"/>
      <c r="F611" s="74" t="str">
        <f>IFERROR(__xludf.DUMMYFUNCTION("""COMPUTED_VALUE"""),"Wear strip / Banda de desgaste")</f>
        <v>Wear strip / Banda de desgaste</v>
      </c>
      <c r="G611" s="74"/>
      <c r="H611" s="74"/>
      <c r="I611" s="74" t="str">
        <f>IFERROR(__xludf.DUMMYFUNCTION("""COMPUTED_VALUE"""),"SOM20131")</f>
        <v>SOM20131</v>
      </c>
      <c r="J611" s="74" t="str">
        <f>IFERROR(__xludf.DUMMYFUNCTION("""COMPUTED_VALUE"""),"258355002/ 278391004 / 28096009")</f>
        <v>258355002/ 278391004 / 28096009</v>
      </c>
      <c r="K611" s="74" t="str">
        <f>IFERROR(__xludf.DUMMYFUNCTION("""COMPUTED_VALUE"""),"Putzmeister")</f>
        <v>Putzmeister</v>
      </c>
      <c r="L611" s="74" t="str">
        <f>IFERROR(__xludf.DUMMYFUNCTION("""COMPUTED_VALUE"""),"Componentes estructurales y de montaje")</f>
        <v>Componentes estructurales y de montaje</v>
      </c>
      <c r="M611" s="74" t="str">
        <f>IFERROR(__xludf.DUMMYFUNCTION("""COMPUTED_VALUE"""),"Sin Asignar")</f>
        <v>Sin Asignar</v>
      </c>
      <c r="N611" s="87">
        <f>IFERROR(__xludf.DUMMYFUNCTION("""COMPUTED_VALUE"""),0.0)</f>
        <v>0</v>
      </c>
      <c r="O611" s="74"/>
      <c r="P611" s="74" t="str">
        <f>IFERROR(__xludf.DUMMYFUNCTION("""COMPUTED_VALUE"""),"No Available")</f>
        <v>No Available</v>
      </c>
      <c r="Q611" s="74"/>
      <c r="R611" s="74"/>
      <c r="S611" s="87">
        <f>IFERROR(__xludf.DUMMYFUNCTION("""COMPUTED_VALUE"""),0.0)</f>
        <v>0</v>
      </c>
      <c r="T611" s="87">
        <f>IFERROR(__xludf.DUMMYFUNCTION("""COMPUTED_VALUE"""),0.0)</f>
        <v>0</v>
      </c>
      <c r="U611" s="87">
        <f>IFERROR(__xludf.DUMMYFUNCTION("""COMPUTED_VALUE"""),0.0)</f>
        <v>0</v>
      </c>
      <c r="V611" s="87">
        <f>IFERROR(__xludf.DUMMYFUNCTION("""COMPUTED_VALUE"""),0.0)</f>
        <v>0</v>
      </c>
      <c r="W611" s="87">
        <f>IFERROR(__xludf.DUMMYFUNCTION("""COMPUTED_VALUE"""),0.0)</f>
        <v>0</v>
      </c>
      <c r="X611" s="88"/>
      <c r="Y611" s="74"/>
      <c r="Z611" s="74"/>
    </row>
    <row r="612">
      <c r="B612" s="74" t="str">
        <f>IFERROR(__xludf.DUMMYFUNCTION("""COMPUTED_VALUE"""),"1609")</f>
        <v>1609</v>
      </c>
      <c r="C612" s="74"/>
      <c r="D612" s="74" t="str">
        <f>IFERROR(__xludf.DUMMYFUNCTION("""COMPUTED_VALUE"""),"\\MCA-S\mk\2_BM\0_BMat\08_PYM\Inventario\excel\Imagen de refacciones\Putzmeister\wear plate _ Placa de desgaste")</f>
        <v>\\MCA-S\mk\2_BM\0_BMat\08_PYM\Inventario\excel\Imagen de refacciones\Putzmeister\wear plate _ Placa de desgaste</v>
      </c>
      <c r="E612" s="74"/>
      <c r="F612" s="74" t="str">
        <f>IFERROR(__xludf.DUMMYFUNCTION("""COMPUTED_VALUE"""),"wear plate / Placa de desgaste")</f>
        <v>wear plate / Placa de desgaste</v>
      </c>
      <c r="G612" s="74"/>
      <c r="H612" s="74"/>
      <c r="I612" s="74" t="str">
        <f>IFERROR(__xludf.DUMMYFUNCTION("""COMPUTED_VALUE"""),"SOM20132")</f>
        <v>SOM20132</v>
      </c>
      <c r="J612" s="74" t="str">
        <f>IFERROR(__xludf.DUMMYFUNCTION("""COMPUTED_VALUE"""),"258569005 / 269519002")</f>
        <v>258569005 / 269519002</v>
      </c>
      <c r="K612" s="74" t="str">
        <f>IFERROR(__xludf.DUMMYFUNCTION("""COMPUTED_VALUE"""),"Putzmeister")</f>
        <v>Putzmeister</v>
      </c>
      <c r="L612" s="74" t="str">
        <f>IFERROR(__xludf.DUMMYFUNCTION("""COMPUTED_VALUE"""),"Componentes estructurales y de montaje")</f>
        <v>Componentes estructurales y de montaje</v>
      </c>
      <c r="M612" s="74" t="str">
        <f>IFERROR(__xludf.DUMMYFUNCTION("""COMPUTED_VALUE"""),"Sin Asignar")</f>
        <v>Sin Asignar</v>
      </c>
      <c r="N612" s="87">
        <f>IFERROR(__xludf.DUMMYFUNCTION("""COMPUTED_VALUE"""),0.0)</f>
        <v>0</v>
      </c>
      <c r="O612" s="74"/>
      <c r="P612" s="74" t="str">
        <f>IFERROR(__xludf.DUMMYFUNCTION("""COMPUTED_VALUE"""),"borrar")</f>
        <v>borrar</v>
      </c>
      <c r="Q612" s="74"/>
      <c r="R612" s="74"/>
      <c r="S612" s="87">
        <f>IFERROR(__xludf.DUMMYFUNCTION("""COMPUTED_VALUE"""),0.0)</f>
        <v>0</v>
      </c>
      <c r="T612" s="87">
        <f>IFERROR(__xludf.DUMMYFUNCTION("""COMPUTED_VALUE"""),0.0)</f>
        <v>0</v>
      </c>
      <c r="U612" s="87">
        <f>IFERROR(__xludf.DUMMYFUNCTION("""COMPUTED_VALUE"""),0.0)</f>
        <v>0</v>
      </c>
      <c r="V612" s="87">
        <f>IFERROR(__xludf.DUMMYFUNCTION("""COMPUTED_VALUE"""),0.0)</f>
        <v>0</v>
      </c>
      <c r="W612" s="87">
        <f>IFERROR(__xludf.DUMMYFUNCTION("""COMPUTED_VALUE"""),0.0)</f>
        <v>0</v>
      </c>
      <c r="X612" s="88"/>
      <c r="Y612" s="74"/>
      <c r="Z612" s="74"/>
    </row>
    <row r="613">
      <c r="B613" s="74" t="str">
        <f>IFERROR(__xludf.DUMMYFUNCTION("""COMPUTED_VALUE"""),"1610")</f>
        <v>1610</v>
      </c>
      <c r="C613" s="74"/>
      <c r="D613" s="74" t="str">
        <f>IFERROR(__xludf.DUMMYFUNCTION("""COMPUTED_VALUE"""),"\\MCA-S\mk\2_BM\0_BMat\08_PYM\Inventario\excel\Imagen de refacciones\Putzmeister\Pressure plate _ placa de presión")</f>
        <v>\\MCA-S\mk\2_BM\0_BMat\08_PYM\Inventario\excel\Imagen de refacciones\Putzmeister\Pressure plate _ placa de presión</v>
      </c>
      <c r="E613" s="74"/>
      <c r="F613" s="74" t="str">
        <f>IFERROR(__xludf.DUMMYFUNCTION("""COMPUTED_VALUE"""),"Pressure plate / placa de presión")</f>
        <v>Pressure plate / placa de presión</v>
      </c>
      <c r="G613" s="74"/>
      <c r="H613" s="74"/>
      <c r="I613" s="74" t="str">
        <f>IFERROR(__xludf.DUMMYFUNCTION("""COMPUTED_VALUE"""),"SOM20133")</f>
        <v>SOM20133</v>
      </c>
      <c r="J613" s="74" t="str">
        <f>IFERROR(__xludf.DUMMYFUNCTION("""COMPUTED_VALUE"""),"259520001")</f>
        <v>259520001</v>
      </c>
      <c r="K613" s="74" t="str">
        <f>IFERROR(__xludf.DUMMYFUNCTION("""COMPUTED_VALUE"""),"Putzmeister")</f>
        <v>Putzmeister</v>
      </c>
      <c r="L613" s="74" t="str">
        <f>IFERROR(__xludf.DUMMYFUNCTION("""COMPUTED_VALUE"""),"Componentes hidráulicos")</f>
        <v>Componentes hidráulicos</v>
      </c>
      <c r="M613" s="74" t="str">
        <f>IFERROR(__xludf.DUMMYFUNCTION("""COMPUTED_VALUE"""),"Sin Asignar")</f>
        <v>Sin Asignar</v>
      </c>
      <c r="N613" s="87">
        <f>IFERROR(__xludf.DUMMYFUNCTION("""COMPUTED_VALUE"""),0.0)</f>
        <v>0</v>
      </c>
      <c r="O613" s="74"/>
      <c r="P613" s="74" t="str">
        <f>IFERROR(__xludf.DUMMYFUNCTION("""COMPUTED_VALUE"""),"No Available")</f>
        <v>No Available</v>
      </c>
      <c r="Q613" s="74"/>
      <c r="R613" s="74"/>
      <c r="S613" s="87">
        <f>IFERROR(__xludf.DUMMYFUNCTION("""COMPUTED_VALUE"""),0.0)</f>
        <v>0</v>
      </c>
      <c r="T613" s="87">
        <f>IFERROR(__xludf.DUMMYFUNCTION("""COMPUTED_VALUE"""),0.0)</f>
        <v>0</v>
      </c>
      <c r="U613" s="87">
        <f>IFERROR(__xludf.DUMMYFUNCTION("""COMPUTED_VALUE"""),0.0)</f>
        <v>0</v>
      </c>
      <c r="V613" s="87">
        <f>IFERROR(__xludf.DUMMYFUNCTION("""COMPUTED_VALUE"""),0.0)</f>
        <v>0</v>
      </c>
      <c r="W613" s="87">
        <f>IFERROR(__xludf.DUMMYFUNCTION("""COMPUTED_VALUE"""),0.0)</f>
        <v>0</v>
      </c>
      <c r="X613" s="88"/>
      <c r="Y613" s="74"/>
      <c r="Z613" s="74"/>
    </row>
    <row r="614">
      <c r="B614" s="74" t="str">
        <f>IFERROR(__xludf.DUMMYFUNCTION("""COMPUTED_VALUE"""),"1611")</f>
        <v>1611</v>
      </c>
      <c r="C614" s="74"/>
      <c r="D614" s="74" t="str">
        <f>IFERROR(__xludf.DUMMYFUNCTION("""COMPUTED_VALUE"""),"\\MCA-S\mk\2_BM\0_BMat\08_PYM\Inventario\excel\Imagen de refacciones\Putzmeister\Wear plate _ Placa de desgaste  (1)")</f>
        <v>\\MCA-S\mk\2_BM\0_BMat\08_PYM\Inventario\excel\Imagen de refacciones\Putzmeister\Wear plate _ Placa de desgaste  (1)</v>
      </c>
      <c r="E614" s="74"/>
      <c r="F614" s="74" t="str">
        <f>IFERROR(__xludf.DUMMYFUNCTION("""COMPUTED_VALUE"""),"Wear plate / Placa de desgaste")</f>
        <v>Wear plate / Placa de desgaste</v>
      </c>
      <c r="G614" s="74"/>
      <c r="H614" s="74"/>
      <c r="I614" s="74" t="str">
        <f>IFERROR(__xludf.DUMMYFUNCTION("""COMPUTED_VALUE"""),"SOM20134")</f>
        <v>SOM20134</v>
      </c>
      <c r="J614" s="74" t="str">
        <f>IFERROR(__xludf.DUMMYFUNCTION("""COMPUTED_VALUE"""),"269521001 / 259521000")</f>
        <v>269521001 / 259521000</v>
      </c>
      <c r="K614" s="74" t="str">
        <f>IFERROR(__xludf.DUMMYFUNCTION("""COMPUTED_VALUE"""),"Putzmeister")</f>
        <v>Putzmeister</v>
      </c>
      <c r="L614" s="74" t="str">
        <f>IFERROR(__xludf.DUMMYFUNCTION("""COMPUTED_VALUE"""),"Componentes estructurales y de montaje")</f>
        <v>Componentes estructurales y de montaje</v>
      </c>
      <c r="M614" s="74" t="str">
        <f>IFERROR(__xludf.DUMMYFUNCTION("""COMPUTED_VALUE"""),"Sin Asignar")</f>
        <v>Sin Asignar</v>
      </c>
      <c r="N614" s="87">
        <f>IFERROR(__xludf.DUMMYFUNCTION("""COMPUTED_VALUE"""),0.0)</f>
        <v>0</v>
      </c>
      <c r="O614" s="74"/>
      <c r="P614" s="74" t="str">
        <f>IFERROR(__xludf.DUMMYFUNCTION("""COMPUTED_VALUE"""),"No Available")</f>
        <v>No Available</v>
      </c>
      <c r="Q614" s="74"/>
      <c r="R614" s="74"/>
      <c r="S614" s="87">
        <f>IFERROR(__xludf.DUMMYFUNCTION("""COMPUTED_VALUE"""),0.0)</f>
        <v>0</v>
      </c>
      <c r="T614" s="87">
        <f>IFERROR(__xludf.DUMMYFUNCTION("""COMPUTED_VALUE"""),0.0)</f>
        <v>0</v>
      </c>
      <c r="U614" s="87">
        <f>IFERROR(__xludf.DUMMYFUNCTION("""COMPUTED_VALUE"""),0.0)</f>
        <v>0</v>
      </c>
      <c r="V614" s="87">
        <f>IFERROR(__xludf.DUMMYFUNCTION("""COMPUTED_VALUE"""),0.0)</f>
        <v>0</v>
      </c>
      <c r="W614" s="87">
        <f>IFERROR(__xludf.DUMMYFUNCTION("""COMPUTED_VALUE"""),0.0)</f>
        <v>0</v>
      </c>
      <c r="X614" s="88"/>
      <c r="Y614" s="74"/>
      <c r="Z614" s="74"/>
    </row>
    <row r="615">
      <c r="B615" s="74" t="str">
        <f>IFERROR(__xludf.DUMMYFUNCTION("""COMPUTED_VALUE"""),"1612")</f>
        <v>1612</v>
      </c>
      <c r="C615" s="74"/>
      <c r="D615" s="74" t="str">
        <f>IFERROR(__xludf.DUMMYFUNCTION("""COMPUTED_VALUE"""),"\\MCA-S\mk\2_BM\0_BMat\08_PYM\Inventario\excel\Imagen de refacciones\Putzmeister\Hydraulic cylinder 110X63 1400 _ Hydraulic cylinder 110X63 1400")</f>
        <v>\\MCA-S\mk\2_BM\0_BMat\08_PYM\Inventario\excel\Imagen de refacciones\Putzmeister\Hydraulic cylinder 110X63 1400 _ Hydraulic cylinder 110X63 1400</v>
      </c>
      <c r="E615" s="74"/>
      <c r="F615" s="74" t="str">
        <f>IFERROR(__xludf.DUMMYFUNCTION("""COMPUTED_VALUE"""),"Hydraulic cylinder 110X63 1400 / Hydraulic cylinder 110X63 1400")</f>
        <v>Hydraulic cylinder 110X63 1400 / Hydraulic cylinder 110X63 1400</v>
      </c>
      <c r="G615" s="74"/>
      <c r="H615" s="74"/>
      <c r="I615" s="74" t="str">
        <f>IFERROR(__xludf.DUMMYFUNCTION("""COMPUTED_VALUE"""),"SOM20135")</f>
        <v>SOM20135</v>
      </c>
      <c r="J615" s="74" t="str">
        <f>IFERROR(__xludf.DUMMYFUNCTION("""COMPUTED_VALUE"""),"243625006")</f>
        <v>243625006</v>
      </c>
      <c r="K615" s="74" t="str">
        <f>IFERROR(__xludf.DUMMYFUNCTION("""COMPUTED_VALUE"""),"Putzmeister")</f>
        <v>Putzmeister</v>
      </c>
      <c r="L615" s="74" t="str">
        <f>IFERROR(__xludf.DUMMYFUNCTION("""COMPUTED_VALUE"""),"Componentes hidráulicos")</f>
        <v>Componentes hidráulicos</v>
      </c>
      <c r="M615" s="74" t="str">
        <f>IFERROR(__xludf.DUMMYFUNCTION("""COMPUTED_VALUE"""),"Sin Asignar")</f>
        <v>Sin Asignar</v>
      </c>
      <c r="N615" s="87">
        <f>IFERROR(__xludf.DUMMYFUNCTION("""COMPUTED_VALUE"""),0.0)</f>
        <v>0</v>
      </c>
      <c r="O615" s="74"/>
      <c r="P615" s="74" t="str">
        <f>IFERROR(__xludf.DUMMYFUNCTION("""COMPUTED_VALUE"""),"No Available")</f>
        <v>No Available</v>
      </c>
      <c r="Q615" s="74"/>
      <c r="R615" s="74"/>
      <c r="S615" s="87">
        <f>IFERROR(__xludf.DUMMYFUNCTION("""COMPUTED_VALUE"""),0.0)</f>
        <v>0</v>
      </c>
      <c r="T615" s="87">
        <f>IFERROR(__xludf.DUMMYFUNCTION("""COMPUTED_VALUE"""),0.0)</f>
        <v>0</v>
      </c>
      <c r="U615" s="87">
        <f>IFERROR(__xludf.DUMMYFUNCTION("""COMPUTED_VALUE"""),0.0)</f>
        <v>0</v>
      </c>
      <c r="V615" s="87">
        <f>IFERROR(__xludf.DUMMYFUNCTION("""COMPUTED_VALUE"""),0.0)</f>
        <v>0</v>
      </c>
      <c r="W615" s="87">
        <f>IFERROR(__xludf.DUMMYFUNCTION("""COMPUTED_VALUE"""),0.0)</f>
        <v>0</v>
      </c>
      <c r="X615" s="88"/>
      <c r="Y615" s="74"/>
      <c r="Z615" s="74"/>
    </row>
    <row r="616">
      <c r="B616" s="74" t="str">
        <f>IFERROR(__xludf.DUMMYFUNCTION("""COMPUTED_VALUE"""),"1613")</f>
        <v>1613</v>
      </c>
      <c r="C616" s="74"/>
      <c r="D616" s="74" t="str">
        <f>IFERROR(__xludf.DUMMYFUNCTION("""COMPUTED_VALUE"""),"\\MCA-S\mk\2_BM\0_BMat\08_PYM\Inventario\excel\Imagen de refacciones\Putzmeister\Cylinder barrel 110X63 1400 _ barra de cilindro 110x63 1400")</f>
        <v>\\MCA-S\mk\2_BM\0_BMat\08_PYM\Inventario\excel\Imagen de refacciones\Putzmeister\Cylinder barrel 110X63 1400 _ barra de cilindro 110x63 1400</v>
      </c>
      <c r="E616" s="74"/>
      <c r="F616" s="74" t="str">
        <f>IFERROR(__xludf.DUMMYFUNCTION("""COMPUTED_VALUE"""),"Cylinder barrel 110X63 1400 / barra de cilindro 110x63 1400")</f>
        <v>Cylinder barrel 110X63 1400 / barra de cilindro 110x63 1400</v>
      </c>
      <c r="G616" s="74"/>
      <c r="H616" s="74"/>
      <c r="I616" s="74" t="str">
        <f>IFERROR(__xludf.DUMMYFUNCTION("""COMPUTED_VALUE"""),"SOM20136")</f>
        <v>SOM20136</v>
      </c>
      <c r="J616" s="74" t="str">
        <f>IFERROR(__xludf.DUMMYFUNCTION("""COMPUTED_VALUE"""),"243626005")</f>
        <v>243626005</v>
      </c>
      <c r="K616" s="74" t="str">
        <f>IFERROR(__xludf.DUMMYFUNCTION("""COMPUTED_VALUE"""),"Putzmeister")</f>
        <v>Putzmeister</v>
      </c>
      <c r="L616" s="74" t="str">
        <f>IFERROR(__xludf.DUMMYFUNCTION("""COMPUTED_VALUE"""),"Componentes hidráulicos")</f>
        <v>Componentes hidráulicos</v>
      </c>
      <c r="M616" s="74" t="str">
        <f>IFERROR(__xludf.DUMMYFUNCTION("""COMPUTED_VALUE"""),"Sin Asignar")</f>
        <v>Sin Asignar</v>
      </c>
      <c r="N616" s="87">
        <f>IFERROR(__xludf.DUMMYFUNCTION("""COMPUTED_VALUE"""),0.0)</f>
        <v>0</v>
      </c>
      <c r="O616" s="74"/>
      <c r="P616" s="74" t="str">
        <f>IFERROR(__xludf.DUMMYFUNCTION("""COMPUTED_VALUE"""),"No Available")</f>
        <v>No Available</v>
      </c>
      <c r="Q616" s="74"/>
      <c r="R616" s="74"/>
      <c r="S616" s="87">
        <f>IFERROR(__xludf.DUMMYFUNCTION("""COMPUTED_VALUE"""),0.0)</f>
        <v>0</v>
      </c>
      <c r="T616" s="87">
        <f>IFERROR(__xludf.DUMMYFUNCTION("""COMPUTED_VALUE"""),0.0)</f>
        <v>0</v>
      </c>
      <c r="U616" s="87">
        <f>IFERROR(__xludf.DUMMYFUNCTION("""COMPUTED_VALUE"""),0.0)</f>
        <v>0</v>
      </c>
      <c r="V616" s="87">
        <f>IFERROR(__xludf.DUMMYFUNCTION("""COMPUTED_VALUE"""),0.0)</f>
        <v>0</v>
      </c>
      <c r="W616" s="87">
        <f>IFERROR(__xludf.DUMMYFUNCTION("""COMPUTED_VALUE"""),0.0)</f>
        <v>0</v>
      </c>
      <c r="X616" s="88"/>
      <c r="Y616" s="74"/>
      <c r="Z616" s="74"/>
    </row>
    <row r="617">
      <c r="B617" s="74" t="str">
        <f>IFERROR(__xludf.DUMMYFUNCTION("""COMPUTED_VALUE"""),"1614")</f>
        <v>1614</v>
      </c>
      <c r="C617" s="74"/>
      <c r="D617" s="74" t="str">
        <f>IFERROR(__xludf.DUMMYFUNCTION("""COMPUTED_VALUE"""),"\\MCA-S\mk\2_BM\0_BMat\08_PYM\Inventario\excel\Imagen de refacciones\Putzmeister\Piston rod 110X63 1400 _ Vástago de pistón 110x63 1400")</f>
        <v>\\MCA-S\mk\2_BM\0_BMat\08_PYM\Inventario\excel\Imagen de refacciones\Putzmeister\Piston rod 110X63 1400 _ Vástago de pistón 110x63 1400</v>
      </c>
      <c r="E617" s="74"/>
      <c r="F617" s="74" t="str">
        <f>IFERROR(__xludf.DUMMYFUNCTION("""COMPUTED_VALUE"""),"Piston rod 110X63 1400 / Vástago de pistón 110x63 1400")</f>
        <v>Piston rod 110X63 1400 / Vástago de pistón 110x63 1400</v>
      </c>
      <c r="G617" s="74"/>
      <c r="H617" s="74"/>
      <c r="I617" s="74" t="str">
        <f>IFERROR(__xludf.DUMMYFUNCTION("""COMPUTED_VALUE"""),"SOM20137")</f>
        <v>SOM20137</v>
      </c>
      <c r="J617" s="74" t="str">
        <f>IFERROR(__xludf.DUMMYFUNCTION("""COMPUTED_VALUE"""),"24270007")</f>
        <v>24270007</v>
      </c>
      <c r="K617" s="74" t="str">
        <f>IFERROR(__xludf.DUMMYFUNCTION("""COMPUTED_VALUE"""),"Putzmeister")</f>
        <v>Putzmeister</v>
      </c>
      <c r="L617" s="74" t="str">
        <f>IFERROR(__xludf.DUMMYFUNCTION("""COMPUTED_VALUE"""),"Componentes hidráulicos")</f>
        <v>Componentes hidráulicos</v>
      </c>
      <c r="M617" s="74" t="str">
        <f>IFERROR(__xludf.DUMMYFUNCTION("""COMPUTED_VALUE"""),"Sin Asignar")</f>
        <v>Sin Asignar</v>
      </c>
      <c r="N617" s="87">
        <f>IFERROR(__xludf.DUMMYFUNCTION("""COMPUTED_VALUE"""),0.0)</f>
        <v>0</v>
      </c>
      <c r="O617" s="74"/>
      <c r="P617" s="74" t="str">
        <f>IFERROR(__xludf.DUMMYFUNCTION("""COMPUTED_VALUE"""),"No Available")</f>
        <v>No Available</v>
      </c>
      <c r="Q617" s="74"/>
      <c r="R617" s="74"/>
      <c r="S617" s="87">
        <f>IFERROR(__xludf.DUMMYFUNCTION("""COMPUTED_VALUE"""),0.0)</f>
        <v>0</v>
      </c>
      <c r="T617" s="87">
        <f>IFERROR(__xludf.DUMMYFUNCTION("""COMPUTED_VALUE"""),0.0)</f>
        <v>0</v>
      </c>
      <c r="U617" s="87">
        <f>IFERROR(__xludf.DUMMYFUNCTION("""COMPUTED_VALUE"""),0.0)</f>
        <v>0</v>
      </c>
      <c r="V617" s="87">
        <f>IFERROR(__xludf.DUMMYFUNCTION("""COMPUTED_VALUE"""),0.0)</f>
        <v>0</v>
      </c>
      <c r="W617" s="87">
        <f>IFERROR(__xludf.DUMMYFUNCTION("""COMPUTED_VALUE"""),0.0)</f>
        <v>0</v>
      </c>
      <c r="X617" s="88"/>
      <c r="Y617" s="74"/>
      <c r="Z617" s="74"/>
    </row>
    <row r="618">
      <c r="B618" s="74" t="str">
        <f>IFERROR(__xludf.DUMMYFUNCTION("""COMPUTED_VALUE"""),"1615")</f>
        <v>1615</v>
      </c>
      <c r="C618" s="74"/>
      <c r="D618" s="74" t="str">
        <f>IFERROR(__xludf.DUMMYFUNCTION("""COMPUTED_VALUE"""),"\\MCA-S\mk\2_BM\0_BMat\08_PYM\Inventario\excel\Imagen de refacciones\Putzmeister\Piston _ Pistón")</f>
        <v>\\MCA-S\mk\2_BM\0_BMat\08_PYM\Inventario\excel\Imagen de refacciones\Putzmeister\Piston _ Pistón</v>
      </c>
      <c r="E618" s="74"/>
      <c r="F618" s="74" t="str">
        <f>IFERROR(__xludf.DUMMYFUNCTION("""COMPUTED_VALUE"""),"Piston / Pistón")</f>
        <v>Piston / Pistón</v>
      </c>
      <c r="G618" s="74"/>
      <c r="H618" s="74"/>
      <c r="I618" s="74" t="str">
        <f>IFERROR(__xludf.DUMMYFUNCTION("""COMPUTED_VALUE"""),"SOM20138")</f>
        <v>SOM20138</v>
      </c>
      <c r="J618" s="74" t="str">
        <f>IFERROR(__xludf.DUMMYFUNCTION("""COMPUTED_VALUE"""),"2364009")</f>
        <v>2364009</v>
      </c>
      <c r="K618" s="74" t="str">
        <f>IFERROR(__xludf.DUMMYFUNCTION("""COMPUTED_VALUE"""),"Putzmeister")</f>
        <v>Putzmeister</v>
      </c>
      <c r="L618" s="74" t="str">
        <f>IFERROR(__xludf.DUMMYFUNCTION("""COMPUTED_VALUE"""),"Componentes hidráulicos")</f>
        <v>Componentes hidráulicos</v>
      </c>
      <c r="M618" s="74" t="str">
        <f>IFERROR(__xludf.DUMMYFUNCTION("""COMPUTED_VALUE"""),"Sin Asignar")</f>
        <v>Sin Asignar</v>
      </c>
      <c r="N618" s="87">
        <f>IFERROR(__xludf.DUMMYFUNCTION("""COMPUTED_VALUE"""),0.0)</f>
        <v>0</v>
      </c>
      <c r="O618" s="74"/>
      <c r="P618" s="74" t="str">
        <f>IFERROR(__xludf.DUMMYFUNCTION("""COMPUTED_VALUE"""),"No Available")</f>
        <v>No Available</v>
      </c>
      <c r="Q618" s="74"/>
      <c r="R618" s="74"/>
      <c r="S618" s="87">
        <f>IFERROR(__xludf.DUMMYFUNCTION("""COMPUTED_VALUE"""),0.0)</f>
        <v>0</v>
      </c>
      <c r="T618" s="87">
        <f>IFERROR(__xludf.DUMMYFUNCTION("""COMPUTED_VALUE"""),0.0)</f>
        <v>0</v>
      </c>
      <c r="U618" s="87">
        <f>IFERROR(__xludf.DUMMYFUNCTION("""COMPUTED_VALUE"""),0.0)</f>
        <v>0</v>
      </c>
      <c r="V618" s="87">
        <f>IFERROR(__xludf.DUMMYFUNCTION("""COMPUTED_VALUE"""),0.0)</f>
        <v>0</v>
      </c>
      <c r="W618" s="87">
        <f>IFERROR(__xludf.DUMMYFUNCTION("""COMPUTED_VALUE"""),0.0)</f>
        <v>0</v>
      </c>
      <c r="X618" s="88"/>
      <c r="Y618" s="74"/>
      <c r="Z618" s="74"/>
    </row>
    <row r="619">
      <c r="B619" s="74" t="str">
        <f>IFERROR(__xludf.DUMMYFUNCTION("""COMPUTED_VALUE"""),"1616")</f>
        <v>1616</v>
      </c>
      <c r="C619" s="74"/>
      <c r="D619" s="74" t="str">
        <f>IFERROR(__xludf.DUMMYFUNCTION("""COMPUTED_VALUE"""),"\\MCA-S\mk\2_BM\0_BMat\08_PYM\Inventario\excel\Imagen de refacciones\Putzmeister\Guide bush _ Buje guia")</f>
        <v>\\MCA-S\mk\2_BM\0_BMat\08_PYM\Inventario\excel\Imagen de refacciones\Putzmeister\Guide bush _ Buje guia</v>
      </c>
      <c r="E619" s="74"/>
      <c r="F619" s="74" t="str">
        <f>IFERROR(__xludf.DUMMYFUNCTION("""COMPUTED_VALUE"""),"Guide bush / Buje guia")</f>
        <v>Guide bush / Buje guia</v>
      </c>
      <c r="G619" s="74"/>
      <c r="H619" s="74"/>
      <c r="I619" s="74" t="str">
        <f>IFERROR(__xludf.DUMMYFUNCTION("""COMPUTED_VALUE"""),"SOM20139")</f>
        <v>SOM20139</v>
      </c>
      <c r="J619" s="74" t="str">
        <f>IFERROR(__xludf.DUMMYFUNCTION("""COMPUTED_VALUE"""),"227856008")</f>
        <v>227856008</v>
      </c>
      <c r="K619" s="74" t="str">
        <f>IFERROR(__xludf.DUMMYFUNCTION("""COMPUTED_VALUE"""),"Putzmeister")</f>
        <v>Putzmeister</v>
      </c>
      <c r="L619" s="74" t="str">
        <f>IFERROR(__xludf.DUMMYFUNCTION("""COMPUTED_VALUE"""),"Componentes neumáticos")</f>
        <v>Componentes neumáticos</v>
      </c>
      <c r="M619" s="74" t="str">
        <f>IFERROR(__xludf.DUMMYFUNCTION("""COMPUTED_VALUE"""),"Sin Asignar")</f>
        <v>Sin Asignar</v>
      </c>
      <c r="N619" s="87">
        <f>IFERROR(__xludf.DUMMYFUNCTION("""COMPUTED_VALUE"""),0.0)</f>
        <v>0</v>
      </c>
      <c r="O619" s="74"/>
      <c r="P619" s="74" t="str">
        <f>IFERROR(__xludf.DUMMYFUNCTION("""COMPUTED_VALUE"""),"No Available")</f>
        <v>No Available</v>
      </c>
      <c r="Q619" s="74"/>
      <c r="R619" s="74"/>
      <c r="S619" s="87">
        <f>IFERROR(__xludf.DUMMYFUNCTION("""COMPUTED_VALUE"""),0.0)</f>
        <v>0</v>
      </c>
      <c r="T619" s="87">
        <f>IFERROR(__xludf.DUMMYFUNCTION("""COMPUTED_VALUE"""),0.0)</f>
        <v>0</v>
      </c>
      <c r="U619" s="87">
        <f>IFERROR(__xludf.DUMMYFUNCTION("""COMPUTED_VALUE"""),0.0)</f>
        <v>0</v>
      </c>
      <c r="V619" s="87">
        <f>IFERROR(__xludf.DUMMYFUNCTION("""COMPUTED_VALUE"""),0.0)</f>
        <v>0</v>
      </c>
      <c r="W619" s="87">
        <f>IFERROR(__xludf.DUMMYFUNCTION("""COMPUTED_VALUE"""),0.0)</f>
        <v>0</v>
      </c>
      <c r="X619" s="88"/>
      <c r="Y619" s="74"/>
      <c r="Z619" s="74"/>
    </row>
    <row r="620">
      <c r="B620" s="74" t="str">
        <f>IFERROR(__xludf.DUMMYFUNCTION("""COMPUTED_VALUE"""),"1617")</f>
        <v>1617</v>
      </c>
      <c r="C620" s="74"/>
      <c r="D620" s="74" t="str">
        <f>IFERROR(__xludf.DUMMYFUNCTION("""COMPUTED_VALUE"""),"\\MCA-S\mk\2_BM\0_BMat\08_PYM\Inventario\excel\Imagen de refacciones\Putzmeister\head flange _ Brida de cabeza")</f>
        <v>\\MCA-S\mk\2_BM\0_BMat\08_PYM\Inventario\excel\Imagen de refacciones\Putzmeister\head flange _ Brida de cabeza</v>
      </c>
      <c r="E620" s="74"/>
      <c r="F620" s="74" t="str">
        <f>IFERROR(__xludf.DUMMYFUNCTION("""COMPUTED_VALUE"""),"head flange / Brida de cabeza")</f>
        <v>head flange / Brida de cabeza</v>
      </c>
      <c r="G620" s="74"/>
      <c r="H620" s="74"/>
      <c r="I620" s="74" t="str">
        <f>IFERROR(__xludf.DUMMYFUNCTION("""COMPUTED_VALUE"""),"SOM20140")</f>
        <v>SOM20140</v>
      </c>
      <c r="J620" s="74" t="str">
        <f>IFERROR(__xludf.DUMMYFUNCTION("""COMPUTED_VALUE"""),"53409001")</f>
        <v>53409001</v>
      </c>
      <c r="K620" s="74" t="str">
        <f>IFERROR(__xludf.DUMMYFUNCTION("""COMPUTED_VALUE"""),"Putzmeister")</f>
        <v>Putzmeister</v>
      </c>
      <c r="L620" s="74" t="str">
        <f>IFERROR(__xludf.DUMMYFUNCTION("""COMPUTED_VALUE"""),"Componentes hidráulicos")</f>
        <v>Componentes hidráulicos</v>
      </c>
      <c r="M620" s="74" t="str">
        <f>IFERROR(__xludf.DUMMYFUNCTION("""COMPUTED_VALUE"""),"Sin Asignar")</f>
        <v>Sin Asignar</v>
      </c>
      <c r="N620" s="87">
        <f>IFERROR(__xludf.DUMMYFUNCTION("""COMPUTED_VALUE"""),0.0)</f>
        <v>0</v>
      </c>
      <c r="O620" s="74"/>
      <c r="P620" s="74" t="str">
        <f>IFERROR(__xludf.DUMMYFUNCTION("""COMPUTED_VALUE"""),"No Available")</f>
        <v>No Available</v>
      </c>
      <c r="Q620" s="74"/>
      <c r="R620" s="74"/>
      <c r="S620" s="87">
        <f>IFERROR(__xludf.DUMMYFUNCTION("""COMPUTED_VALUE"""),0.0)</f>
        <v>0</v>
      </c>
      <c r="T620" s="87">
        <f>IFERROR(__xludf.DUMMYFUNCTION("""COMPUTED_VALUE"""),0.0)</f>
        <v>0</v>
      </c>
      <c r="U620" s="87">
        <f>IFERROR(__xludf.DUMMYFUNCTION("""COMPUTED_VALUE"""),0.0)</f>
        <v>0</v>
      </c>
      <c r="V620" s="87">
        <f>IFERROR(__xludf.DUMMYFUNCTION("""COMPUTED_VALUE"""),0.0)</f>
        <v>0</v>
      </c>
      <c r="W620" s="87">
        <f>IFERROR(__xludf.DUMMYFUNCTION("""COMPUTED_VALUE"""),0.0)</f>
        <v>0</v>
      </c>
      <c r="X620" s="88"/>
      <c r="Y620" s="74"/>
      <c r="Z620" s="74"/>
    </row>
    <row r="621">
      <c r="B621" s="74" t="str">
        <f>IFERROR(__xludf.DUMMYFUNCTION("""COMPUTED_VALUE"""),"1618")</f>
        <v>1618</v>
      </c>
      <c r="C621" s="74"/>
      <c r="D621" s="74" t="str">
        <f>IFERROR(__xludf.DUMMYFUNCTION("""COMPUTED_VALUE"""),"\\MCA-S\mk\2_BM\0_BMat\08_PYM\Inventario\excel\Imagen de refacciones\Putzmeister\Seal set for hydraulic cylinder 110X63 1400 _ Juego de sellos para cilindro hidráulico 110x63 1400")</f>
        <v>\\MCA-S\mk\2_BM\0_BMat\08_PYM\Inventario\excel\Imagen de refacciones\Putzmeister\Seal set for hydraulic cylinder 110X63 1400 _ Juego de sellos para cilindro hidráulico 110x63 1400</v>
      </c>
      <c r="E621" s="74"/>
      <c r="F621" s="74" t="str">
        <f>IFERROR(__xludf.DUMMYFUNCTION("""COMPUTED_VALUE"""),"Seal set for hydraulic cylinder 110X63 1400 / Juego de sellos para cilindro hidráulico 110x63 1400")</f>
        <v>Seal set for hydraulic cylinder 110X63 1400 / Juego de sellos para cilindro hidráulico 110x63 1400</v>
      </c>
      <c r="G621" s="74"/>
      <c r="H621" s="74"/>
      <c r="I621" s="74" t="str">
        <f>IFERROR(__xludf.DUMMYFUNCTION("""COMPUTED_VALUE"""),"SOM20149")</f>
        <v>SOM20149</v>
      </c>
      <c r="J621" s="74" t="str">
        <f>IFERROR(__xludf.DUMMYFUNCTION("""COMPUTED_VALUE"""),"243625006KIT")</f>
        <v>243625006KIT</v>
      </c>
      <c r="K621" s="74" t="str">
        <f>IFERROR(__xludf.DUMMYFUNCTION("""COMPUTED_VALUE"""),"Putzmeister")</f>
        <v>Putzmeister</v>
      </c>
      <c r="L621" s="74" t="str">
        <f>IFERROR(__xludf.DUMMYFUNCTION("""COMPUTED_VALUE"""),"Sellos y retenes")</f>
        <v>Sellos y retenes</v>
      </c>
      <c r="M621" s="74" t="str">
        <f>IFERROR(__xludf.DUMMYFUNCTION("""COMPUTED_VALUE"""),"Sin Asignar")</f>
        <v>Sin Asignar</v>
      </c>
      <c r="N621" s="87">
        <f>IFERROR(__xludf.DUMMYFUNCTION("""COMPUTED_VALUE"""),0.0)</f>
        <v>0</v>
      </c>
      <c r="O621" s="74"/>
      <c r="P621" s="74" t="str">
        <f>IFERROR(__xludf.DUMMYFUNCTION("""COMPUTED_VALUE"""),"No Available")</f>
        <v>No Available</v>
      </c>
      <c r="Q621" s="74"/>
      <c r="R621" s="74"/>
      <c r="S621" s="87">
        <f>IFERROR(__xludf.DUMMYFUNCTION("""COMPUTED_VALUE"""),0.0)</f>
        <v>0</v>
      </c>
      <c r="T621" s="87">
        <f>IFERROR(__xludf.DUMMYFUNCTION("""COMPUTED_VALUE"""),0.0)</f>
        <v>0</v>
      </c>
      <c r="U621" s="87">
        <f>IFERROR(__xludf.DUMMYFUNCTION("""COMPUTED_VALUE"""),0.0)</f>
        <v>0</v>
      </c>
      <c r="V621" s="87">
        <f>IFERROR(__xludf.DUMMYFUNCTION("""COMPUTED_VALUE"""),0.0)</f>
        <v>0</v>
      </c>
      <c r="W621" s="87">
        <f>IFERROR(__xludf.DUMMYFUNCTION("""COMPUTED_VALUE"""),0.0)</f>
        <v>0</v>
      </c>
      <c r="X621" s="88"/>
      <c r="Y621" s="74"/>
      <c r="Z621" s="74"/>
    </row>
    <row r="622">
      <c r="B622" s="74" t="str">
        <f>IFERROR(__xludf.DUMMYFUNCTION("""COMPUTED_VALUE"""),"1619")</f>
        <v>1619</v>
      </c>
      <c r="C622" s="74"/>
      <c r="D622" s="74" t="str">
        <f>IFERROR(__xludf.DUMMYFUNCTION("""COMPUTED_VALUE"""),"\\MCA-S\mk\2_BM\0_BMat\08_PYM\Inventario\excel\Imagen de refacciones\Putzmeister\Hydraulic cylinder 130X80 2100 _ Hydraulic cylinder 130X80 2100")</f>
        <v>\\MCA-S\mk\2_BM\0_BMat\08_PYM\Inventario\excel\Imagen de refacciones\Putzmeister\Hydraulic cylinder 130X80 2100 _ Hydraulic cylinder 130X80 2100</v>
      </c>
      <c r="E622" s="74"/>
      <c r="F622" s="74" t="str">
        <f>IFERROR(__xludf.DUMMYFUNCTION("""COMPUTED_VALUE"""),"Hydraulic cylinder 130X80 2100 / Hydraulic cylinder 130X80 2100")</f>
        <v>Hydraulic cylinder 130X80 2100 / Hydraulic cylinder 130X80 2100</v>
      </c>
      <c r="G622" s="74"/>
      <c r="H622" s="74"/>
      <c r="I622" s="74" t="str">
        <f>IFERROR(__xludf.DUMMYFUNCTION("""COMPUTED_VALUE"""),"SOM20150")</f>
        <v>SOM20150</v>
      </c>
      <c r="J622" s="74" t="str">
        <f>IFERROR(__xludf.DUMMYFUNCTION("""COMPUTED_VALUE"""),"262822000")</f>
        <v>262822000</v>
      </c>
      <c r="K622" s="74" t="str">
        <f>IFERROR(__xludf.DUMMYFUNCTION("""COMPUTED_VALUE"""),"Putzmeister")</f>
        <v>Putzmeister</v>
      </c>
      <c r="L622" s="74" t="str">
        <f>IFERROR(__xludf.DUMMYFUNCTION("""COMPUTED_VALUE"""),"Componentes hidráulicos")</f>
        <v>Componentes hidráulicos</v>
      </c>
      <c r="M622" s="74" t="str">
        <f>IFERROR(__xludf.DUMMYFUNCTION("""COMPUTED_VALUE"""),"Sin Asignar")</f>
        <v>Sin Asignar</v>
      </c>
      <c r="N622" s="87">
        <f>IFERROR(__xludf.DUMMYFUNCTION("""COMPUTED_VALUE"""),0.0)</f>
        <v>0</v>
      </c>
      <c r="O622" s="74"/>
      <c r="P622" s="74" t="str">
        <f>IFERROR(__xludf.DUMMYFUNCTION("""COMPUTED_VALUE"""),"No Available")</f>
        <v>No Available</v>
      </c>
      <c r="Q622" s="74"/>
      <c r="R622" s="74"/>
      <c r="S622" s="87">
        <f>IFERROR(__xludf.DUMMYFUNCTION("""COMPUTED_VALUE"""),0.0)</f>
        <v>0</v>
      </c>
      <c r="T622" s="87">
        <f>IFERROR(__xludf.DUMMYFUNCTION("""COMPUTED_VALUE"""),0.0)</f>
        <v>0</v>
      </c>
      <c r="U622" s="87">
        <f>IFERROR(__xludf.DUMMYFUNCTION("""COMPUTED_VALUE"""),0.0)</f>
        <v>0</v>
      </c>
      <c r="V622" s="87">
        <f>IFERROR(__xludf.DUMMYFUNCTION("""COMPUTED_VALUE"""),0.0)</f>
        <v>0</v>
      </c>
      <c r="W622" s="87">
        <f>IFERROR(__xludf.DUMMYFUNCTION("""COMPUTED_VALUE"""),0.0)</f>
        <v>0</v>
      </c>
      <c r="X622" s="88"/>
      <c r="Y622" s="74"/>
      <c r="Z622" s="74"/>
    </row>
    <row r="623">
      <c r="B623" s="74" t="str">
        <f>IFERROR(__xludf.DUMMYFUNCTION("""COMPUTED_VALUE"""),"1620")</f>
        <v>1620</v>
      </c>
      <c r="C623" s="74"/>
      <c r="D623" s="74" t="str">
        <f>IFERROR(__xludf.DUMMYFUNCTION("""COMPUTED_VALUE"""),"\\MCA-S\mk\2_BM\0_BMat\08_PYM\Inventario\excel\Imagen de refacciones\Putzmeister\Cylinder barrel 130X80 2100 _ Camisa de cilindro 130x80 2100")</f>
        <v>\\MCA-S\mk\2_BM\0_BMat\08_PYM\Inventario\excel\Imagen de refacciones\Putzmeister\Cylinder barrel 130X80 2100 _ Camisa de cilindro 130x80 2100</v>
      </c>
      <c r="E623" s="74"/>
      <c r="F623" s="74" t="str">
        <f>IFERROR(__xludf.DUMMYFUNCTION("""COMPUTED_VALUE"""),"Cylinder barrel 130X80 2100 / Camisa de cilindro 130x80 2100")</f>
        <v>Cylinder barrel 130X80 2100 / Camisa de cilindro 130x80 2100</v>
      </c>
      <c r="G623" s="74"/>
      <c r="H623" s="74"/>
      <c r="I623" s="74" t="str">
        <f>IFERROR(__xludf.DUMMYFUNCTION("""COMPUTED_VALUE"""),"SOM20150")</f>
        <v>SOM20150</v>
      </c>
      <c r="J623" s="74" t="str">
        <f>IFERROR(__xludf.DUMMYFUNCTION("""COMPUTED_VALUE"""),"262822000")</f>
        <v>262822000</v>
      </c>
      <c r="K623" s="74" t="str">
        <f>IFERROR(__xludf.DUMMYFUNCTION("""COMPUTED_VALUE"""),"Putzmeister")</f>
        <v>Putzmeister</v>
      </c>
      <c r="L623" s="74" t="str">
        <f>IFERROR(__xludf.DUMMYFUNCTION("""COMPUTED_VALUE"""),"Componentes hidráulicos")</f>
        <v>Componentes hidráulicos</v>
      </c>
      <c r="M623" s="74" t="str">
        <f>IFERROR(__xludf.DUMMYFUNCTION("""COMPUTED_VALUE"""),"Sin Asignar")</f>
        <v>Sin Asignar</v>
      </c>
      <c r="N623" s="87">
        <f>IFERROR(__xludf.DUMMYFUNCTION("""COMPUTED_VALUE"""),0.0)</f>
        <v>0</v>
      </c>
      <c r="O623" s="74"/>
      <c r="P623" s="74" t="str">
        <f>IFERROR(__xludf.DUMMYFUNCTION("""COMPUTED_VALUE"""),"No Available")</f>
        <v>No Available</v>
      </c>
      <c r="Q623" s="74"/>
      <c r="R623" s="74"/>
      <c r="S623" s="87">
        <f>IFERROR(__xludf.DUMMYFUNCTION("""COMPUTED_VALUE"""),0.0)</f>
        <v>0</v>
      </c>
      <c r="T623" s="87">
        <f>IFERROR(__xludf.DUMMYFUNCTION("""COMPUTED_VALUE"""),0.0)</f>
        <v>0</v>
      </c>
      <c r="U623" s="87">
        <f>IFERROR(__xludf.DUMMYFUNCTION("""COMPUTED_VALUE"""),0.0)</f>
        <v>0</v>
      </c>
      <c r="V623" s="87">
        <f>IFERROR(__xludf.DUMMYFUNCTION("""COMPUTED_VALUE"""),0.0)</f>
        <v>0</v>
      </c>
      <c r="W623" s="87">
        <f>IFERROR(__xludf.DUMMYFUNCTION("""COMPUTED_VALUE"""),0.0)</f>
        <v>0</v>
      </c>
      <c r="X623" s="88"/>
      <c r="Y623" s="74"/>
      <c r="Z623" s="74"/>
    </row>
    <row r="624">
      <c r="B624" s="74" t="str">
        <f>IFERROR(__xludf.DUMMYFUNCTION("""COMPUTED_VALUE"""),"1621")</f>
        <v>1621</v>
      </c>
      <c r="C624" s="74" t="str">
        <f>IFERROR(__xludf.DUMMYFUNCTION("""COMPUTED_VALUE"""),"75045880501")</f>
        <v>75045880501</v>
      </c>
      <c r="D624" s="74" t="str">
        <f>IFERROR(__xludf.DUMMYFUNCTION("""COMPUTED_VALUE"""),"\\MCA-S\mk\2_BM\0_BMat\08_PYM\Inventario\excel\Imagen de refacciones\Putzmeister\Piston rod 130x80 2300 _ Vástago de pistón 130x80 2300")</f>
        <v>\\MCA-S\mk\2_BM\0_BMat\08_PYM\Inventario\excel\Imagen de refacciones\Putzmeister\Piston rod 130x80 2300 _ Vástago de pistón 130x80 2300</v>
      </c>
      <c r="E624" s="74" t="str">
        <f>IFERROR(__xludf.DUMMYFUNCTION("""COMPUTED_VALUE"""),"PISTON ROD 130x80 2300 ")</f>
        <v>PISTON ROD 130x80 2300 </v>
      </c>
      <c r="F624" s="74" t="str">
        <f>IFERROR(__xludf.DUMMYFUNCTION("""COMPUTED_VALUE"""),"PISTON ROD 130x80 2300")</f>
        <v>PISTON ROD 130x80 2300</v>
      </c>
      <c r="G624" s="74"/>
      <c r="H624" s="74" t="str">
        <f>IFERROR(__xludf.DUMMYFUNCTION("""COMPUTED_VALUE"""),"VARILLA PISTÓN 80X130 PARA BOMBA DE HORMIGON")</f>
        <v>VARILLA PISTÓN 80X130 PARA BOMBA DE HORMIGON</v>
      </c>
      <c r="I624" s="74" t="str">
        <f>IFERROR(__xludf.DUMMYFUNCTION("""COMPUTED_VALUE"""),"87968000")</f>
        <v>87968000</v>
      </c>
      <c r="J624" s="74"/>
      <c r="K624" s="74" t="str">
        <f>IFERROR(__xludf.DUMMYFUNCTION("""COMPUTED_VALUE"""),"Putzmeister")</f>
        <v>Putzmeister</v>
      </c>
      <c r="L624" s="74" t="str">
        <f>IFERROR(__xludf.DUMMYFUNCTION("""COMPUTED_VALUE"""),"SISTEMA DE BOMBEO")</f>
        <v>SISTEMA DE BOMBEO</v>
      </c>
      <c r="M624" s="74" t="str">
        <f>IFERROR(__xludf.DUMMYFUNCTION("""COMPUTED_VALUE"""),"PISTONES")</f>
        <v>PISTONES</v>
      </c>
      <c r="N624" s="87">
        <f>IFERROR(__xludf.DUMMYFUNCTION("""COMPUTED_VALUE"""),0.0)</f>
        <v>0</v>
      </c>
      <c r="O624" s="74">
        <f>IFERROR(__xludf.DUMMYFUNCTION("""COMPUTED_VALUE"""),2.0)</f>
        <v>2</v>
      </c>
      <c r="P624" s="74" t="str">
        <f>IFERROR(__xludf.DUMMYFUNCTION("""COMPUTED_VALUE"""),"In stock")</f>
        <v>In stock</v>
      </c>
      <c r="Q624" s="74"/>
      <c r="R624" s="74"/>
      <c r="S624" s="87">
        <f>IFERROR(__xludf.DUMMYFUNCTION("""COMPUTED_VALUE"""),0.0)</f>
        <v>0</v>
      </c>
      <c r="T624" s="87">
        <f>IFERROR(__xludf.DUMMYFUNCTION("""COMPUTED_VALUE"""),0.0)</f>
        <v>0</v>
      </c>
      <c r="U624" s="87">
        <f>IFERROR(__xludf.DUMMYFUNCTION("""COMPUTED_VALUE"""),0.0)</f>
        <v>0</v>
      </c>
      <c r="V624" s="87">
        <f>IFERROR(__xludf.DUMMYFUNCTION("""COMPUTED_VALUE"""),0.0)</f>
        <v>0</v>
      </c>
      <c r="W624" s="87">
        <f>IFERROR(__xludf.DUMMYFUNCTION("""COMPUTED_VALUE"""),0.0)</f>
        <v>0</v>
      </c>
      <c r="X624" s="88"/>
      <c r="Y624" s="74"/>
      <c r="Z624" s="74"/>
    </row>
    <row r="625">
      <c r="B625" s="74" t="str">
        <f>IFERROR(__xludf.DUMMYFUNCTION("""COMPUTED_VALUE"""),"1622")</f>
        <v>1622</v>
      </c>
      <c r="C625" s="74" t="str">
        <f>IFERROR(__xludf.DUMMYFUNCTION("""COMPUTED_VALUE"""),"75045880547")</f>
        <v>75045880547</v>
      </c>
      <c r="D625" s="74" t="str">
        <f>IFERROR(__xludf.DUMMYFUNCTION("""COMPUTED_VALUE"""),"\\MCA-S\mk\2_BM\0_BMat\08_PYM\Inventario\excel\Imagen de refacciones\Putzmeister\Piston _ Pistón (1)")</f>
        <v>\\MCA-S\mk\2_BM\0_BMat\08_PYM\Inventario\excel\Imagen de refacciones\Putzmeister\Piston _ Pistón (1)</v>
      </c>
      <c r="E625" s="74" t="str">
        <f>IFERROR(__xludf.DUMMYFUNCTION("""COMPUTED_VALUE"""),"PISTON 130 ")</f>
        <v>PISTON 130 </v>
      </c>
      <c r="F625" s="74" t="str">
        <f>IFERROR(__xludf.DUMMYFUNCTION("""COMPUTED_VALUE"""),"PISTON 130")</f>
        <v>PISTON 130</v>
      </c>
      <c r="G625" s="74"/>
      <c r="H625" s="74" t="str">
        <f>IFERROR(__xludf.DUMMYFUNCTION("""COMPUTED_VALUE"""),"PISTON 130 PARA BOMBA DE HORMIGON")</f>
        <v>PISTON 130 PARA BOMBA DE HORMIGON</v>
      </c>
      <c r="I625" s="74" t="str">
        <f>IFERROR(__xludf.DUMMYFUNCTION("""COMPUTED_VALUE"""),"259755009")</f>
        <v>259755009</v>
      </c>
      <c r="J625" s="74"/>
      <c r="K625" s="74" t="str">
        <f>IFERROR(__xludf.DUMMYFUNCTION("""COMPUTED_VALUE"""),"Putzmeister")</f>
        <v>Putzmeister</v>
      </c>
      <c r="L625" s="74" t="str">
        <f>IFERROR(__xludf.DUMMYFUNCTION("""COMPUTED_VALUE"""),"SISTEMA DE BOMBEO")</f>
        <v>SISTEMA DE BOMBEO</v>
      </c>
      <c r="M625" s="74" t="str">
        <f>IFERROR(__xludf.DUMMYFUNCTION("""COMPUTED_VALUE"""),"PISTONES")</f>
        <v>PISTONES</v>
      </c>
      <c r="N625" s="87">
        <f>IFERROR(__xludf.DUMMYFUNCTION("""COMPUTED_VALUE"""),0.0)</f>
        <v>0</v>
      </c>
      <c r="O625" s="74">
        <f>IFERROR(__xludf.DUMMYFUNCTION("""COMPUTED_VALUE"""),1.0)</f>
        <v>1</v>
      </c>
      <c r="P625" s="74" t="str">
        <f>IFERROR(__xludf.DUMMYFUNCTION("""COMPUTED_VALUE"""),"In stock")</f>
        <v>In stock</v>
      </c>
      <c r="Q625" s="74"/>
      <c r="R625" s="74"/>
      <c r="S625" s="87">
        <f>IFERROR(__xludf.DUMMYFUNCTION("""COMPUTED_VALUE"""),0.0)</f>
        <v>0</v>
      </c>
      <c r="T625" s="87">
        <f>IFERROR(__xludf.DUMMYFUNCTION("""COMPUTED_VALUE"""),0.0)</f>
        <v>0</v>
      </c>
      <c r="U625" s="87">
        <f>IFERROR(__xludf.DUMMYFUNCTION("""COMPUTED_VALUE"""),0.0)</f>
        <v>0</v>
      </c>
      <c r="V625" s="87">
        <f>IFERROR(__xludf.DUMMYFUNCTION("""COMPUTED_VALUE"""),0.0)</f>
        <v>0</v>
      </c>
      <c r="W625" s="87">
        <f>IFERROR(__xludf.DUMMYFUNCTION("""COMPUTED_VALUE"""),0.0)</f>
        <v>0</v>
      </c>
      <c r="X625" s="88"/>
      <c r="Y625" s="74"/>
      <c r="Z625" s="74"/>
    </row>
    <row r="626">
      <c r="B626" s="74" t="str">
        <f>IFERROR(__xludf.DUMMYFUNCTION("""COMPUTED_VALUE"""),"1623")</f>
        <v>1623</v>
      </c>
      <c r="C626" s="74"/>
      <c r="D626" s="74" t="str">
        <f>IFERROR(__xludf.DUMMYFUNCTION("""COMPUTED_VALUE"""),"\\MCA-S\mk\2_BM\0_BMat\08_PYM\Inventario\excel\Imagen de refacciones\Putzmeister\Supporting ring _ Anillo de soporte")</f>
        <v>\\MCA-S\mk\2_BM\0_BMat\08_PYM\Inventario\excel\Imagen de refacciones\Putzmeister\Supporting ring _ Anillo de soporte</v>
      </c>
      <c r="E626" s="74"/>
      <c r="F626" s="74" t="str">
        <f>IFERROR(__xludf.DUMMYFUNCTION("""COMPUTED_VALUE"""),"Supporting ring / Anillo de soporte")</f>
        <v>Supporting ring / Anillo de soporte</v>
      </c>
      <c r="G626" s="74"/>
      <c r="H626" s="74"/>
      <c r="I626" s="74" t="str">
        <f>IFERROR(__xludf.DUMMYFUNCTION("""COMPUTED_VALUE"""),"SOM20159")</f>
        <v>SOM20159</v>
      </c>
      <c r="J626" s="74" t="str">
        <f>IFERROR(__xludf.DUMMYFUNCTION("""COMPUTED_VALUE"""),"259756008")</f>
        <v>259756008</v>
      </c>
      <c r="K626" s="74" t="str">
        <f>IFERROR(__xludf.DUMMYFUNCTION("""COMPUTED_VALUE"""),"Putzmeister")</f>
        <v>Putzmeister</v>
      </c>
      <c r="L626" s="74" t="str">
        <f>IFERROR(__xludf.DUMMYFUNCTION("""COMPUTED_VALUE"""),"Componentes hidráulicos")</f>
        <v>Componentes hidráulicos</v>
      </c>
      <c r="M626" s="74" t="str">
        <f>IFERROR(__xludf.DUMMYFUNCTION("""COMPUTED_VALUE"""),"Sin Asignar")</f>
        <v>Sin Asignar</v>
      </c>
      <c r="N626" s="87">
        <f>IFERROR(__xludf.DUMMYFUNCTION("""COMPUTED_VALUE"""),0.0)</f>
        <v>0</v>
      </c>
      <c r="O626" s="74"/>
      <c r="P626" s="74" t="str">
        <f>IFERROR(__xludf.DUMMYFUNCTION("""COMPUTED_VALUE"""),"No Available")</f>
        <v>No Available</v>
      </c>
      <c r="Q626" s="74"/>
      <c r="R626" s="74"/>
      <c r="S626" s="87">
        <f>IFERROR(__xludf.DUMMYFUNCTION("""COMPUTED_VALUE"""),0.0)</f>
        <v>0</v>
      </c>
      <c r="T626" s="87">
        <f>IFERROR(__xludf.DUMMYFUNCTION("""COMPUTED_VALUE"""),0.0)</f>
        <v>0</v>
      </c>
      <c r="U626" s="87">
        <f>IFERROR(__xludf.DUMMYFUNCTION("""COMPUTED_VALUE"""),0.0)</f>
        <v>0</v>
      </c>
      <c r="V626" s="87">
        <f>IFERROR(__xludf.DUMMYFUNCTION("""COMPUTED_VALUE"""),0.0)</f>
        <v>0</v>
      </c>
      <c r="W626" s="87">
        <f>IFERROR(__xludf.DUMMYFUNCTION("""COMPUTED_VALUE"""),0.0)</f>
        <v>0</v>
      </c>
      <c r="X626" s="88"/>
      <c r="Y626" s="74"/>
      <c r="Z626" s="74"/>
    </row>
    <row r="627">
      <c r="B627" s="74" t="str">
        <f>IFERROR(__xludf.DUMMYFUNCTION("""COMPUTED_VALUE"""),"1624")</f>
        <v>1624</v>
      </c>
      <c r="C627" s="74"/>
      <c r="D627" s="74" t="str">
        <f>IFERROR(__xludf.DUMMYFUNCTION("""COMPUTED_VALUE"""),"\\MCA-S\mk\2_BM\0_BMat\08_PYM\Inventario\excel\Imagen de refacciones\Putzmeister\Head flange _ Brida de cabeza (1)")</f>
        <v>\\MCA-S\mk\2_BM\0_BMat\08_PYM\Inventario\excel\Imagen de refacciones\Putzmeister\Head flange _ Brida de cabeza (1)</v>
      </c>
      <c r="E627" s="74"/>
      <c r="F627" s="74" t="str">
        <f>IFERROR(__xludf.DUMMYFUNCTION("""COMPUTED_VALUE"""),"Head flange / Brida de cabeza")</f>
        <v>Head flange / Brida de cabeza</v>
      </c>
      <c r="G627" s="74"/>
      <c r="H627" s="74"/>
      <c r="I627" s="74" t="str">
        <f>IFERROR(__xludf.DUMMYFUNCTION("""COMPUTED_VALUE"""),"SOM20163")</f>
        <v>SOM20163</v>
      </c>
      <c r="J627" s="74" t="str">
        <f>IFERROR(__xludf.DUMMYFUNCTION("""COMPUTED_VALUE"""),"53680008")</f>
        <v>53680008</v>
      </c>
      <c r="K627" s="74" t="str">
        <f>IFERROR(__xludf.DUMMYFUNCTION("""COMPUTED_VALUE"""),"Putzmeister")</f>
        <v>Putzmeister</v>
      </c>
      <c r="L627" s="74" t="str">
        <f>IFERROR(__xludf.DUMMYFUNCTION("""COMPUTED_VALUE"""),"Componentes hidráulicos")</f>
        <v>Componentes hidráulicos</v>
      </c>
      <c r="M627" s="74" t="str">
        <f>IFERROR(__xludf.DUMMYFUNCTION("""COMPUTED_VALUE"""),"Sin Asignar")</f>
        <v>Sin Asignar</v>
      </c>
      <c r="N627" s="87">
        <f>IFERROR(__xludf.DUMMYFUNCTION("""COMPUTED_VALUE"""),0.0)</f>
        <v>0</v>
      </c>
      <c r="O627" s="74"/>
      <c r="P627" s="74" t="str">
        <f>IFERROR(__xludf.DUMMYFUNCTION("""COMPUTED_VALUE"""),"No Available")</f>
        <v>No Available</v>
      </c>
      <c r="Q627" s="74"/>
      <c r="R627" s="74"/>
      <c r="S627" s="87">
        <f>IFERROR(__xludf.DUMMYFUNCTION("""COMPUTED_VALUE"""),0.0)</f>
        <v>0</v>
      </c>
      <c r="T627" s="87">
        <f>IFERROR(__xludf.DUMMYFUNCTION("""COMPUTED_VALUE"""),0.0)</f>
        <v>0</v>
      </c>
      <c r="U627" s="87">
        <f>IFERROR(__xludf.DUMMYFUNCTION("""COMPUTED_VALUE"""),0.0)</f>
        <v>0</v>
      </c>
      <c r="V627" s="87">
        <f>IFERROR(__xludf.DUMMYFUNCTION("""COMPUTED_VALUE"""),0.0)</f>
        <v>0</v>
      </c>
      <c r="W627" s="87">
        <f>IFERROR(__xludf.DUMMYFUNCTION("""COMPUTED_VALUE"""),0.0)</f>
        <v>0</v>
      </c>
      <c r="X627" s="88"/>
      <c r="Y627" s="74"/>
      <c r="Z627" s="74"/>
    </row>
    <row r="628">
      <c r="B628" s="74" t="str">
        <f>IFERROR(__xludf.DUMMYFUNCTION("""COMPUTED_VALUE"""),"1625")</f>
        <v>1625</v>
      </c>
      <c r="C628" s="74"/>
      <c r="D628" s="74" t="str">
        <f>IFERROR(__xludf.DUMMYFUNCTION("""COMPUTED_VALUE"""),"\\MCA-S\mk\2_BM\0_BMat\08_PYM\Inventario\excel\Imagen de refacciones\Putzmeister\Piston 130X80 2100 Complete assy _ Pistón 130x80 2100 (ensamble completo)")</f>
        <v>\\MCA-S\mk\2_BM\0_BMat\08_PYM\Inventario\excel\Imagen de refacciones\Putzmeister\Piston 130X80 2100 Complete assy _ Pistón 130x80 2100 (ensamble completo)</v>
      </c>
      <c r="E628" s="74"/>
      <c r="F628" s="74" t="str">
        <f>IFERROR(__xludf.DUMMYFUNCTION("""COMPUTED_VALUE"""),"Piston 130X80 2100 Complete assy / Pistón 130x80 2100 (ensamble completo)")</f>
        <v>Piston 130X80 2100 Complete assy / Pistón 130x80 2100 (ensamble completo)</v>
      </c>
      <c r="G628" s="74"/>
      <c r="H628" s="74"/>
      <c r="I628" s="74" t="str">
        <f>IFERROR(__xludf.DUMMYFUNCTION("""COMPUTED_VALUE"""),"SOM20165")</f>
        <v>SOM20165</v>
      </c>
      <c r="J628" s="74" t="str">
        <f>IFERROR(__xludf.DUMMYFUNCTION("""COMPUTED_VALUE"""),"259754000")</f>
        <v>259754000</v>
      </c>
      <c r="K628" s="74" t="str">
        <f>IFERROR(__xludf.DUMMYFUNCTION("""COMPUTED_VALUE"""),"Putzmeister")</f>
        <v>Putzmeister</v>
      </c>
      <c r="L628" s="74" t="str">
        <f>IFERROR(__xludf.DUMMYFUNCTION("""COMPUTED_VALUE"""),"Componentes hidráulicos")</f>
        <v>Componentes hidráulicos</v>
      </c>
      <c r="M628" s="74" t="str">
        <f>IFERROR(__xludf.DUMMYFUNCTION("""COMPUTED_VALUE"""),"Sin Asignar")</f>
        <v>Sin Asignar</v>
      </c>
      <c r="N628" s="87">
        <f>IFERROR(__xludf.DUMMYFUNCTION("""COMPUTED_VALUE"""),0.0)</f>
        <v>0</v>
      </c>
      <c r="O628" s="74"/>
      <c r="P628" s="74" t="str">
        <f>IFERROR(__xludf.DUMMYFUNCTION("""COMPUTED_VALUE"""),"No Available")</f>
        <v>No Available</v>
      </c>
      <c r="Q628" s="74"/>
      <c r="R628" s="74"/>
      <c r="S628" s="87">
        <f>IFERROR(__xludf.DUMMYFUNCTION("""COMPUTED_VALUE"""),0.0)</f>
        <v>0</v>
      </c>
      <c r="T628" s="87">
        <f>IFERROR(__xludf.DUMMYFUNCTION("""COMPUTED_VALUE"""),0.0)</f>
        <v>0</v>
      </c>
      <c r="U628" s="87">
        <f>IFERROR(__xludf.DUMMYFUNCTION("""COMPUTED_VALUE"""),0.0)</f>
        <v>0</v>
      </c>
      <c r="V628" s="87">
        <f>IFERROR(__xludf.DUMMYFUNCTION("""COMPUTED_VALUE"""),0.0)</f>
        <v>0</v>
      </c>
      <c r="W628" s="87">
        <f>IFERROR(__xludf.DUMMYFUNCTION("""COMPUTED_VALUE"""),0.0)</f>
        <v>0</v>
      </c>
      <c r="X628" s="88"/>
      <c r="Y628" s="74"/>
      <c r="Z628" s="74"/>
    </row>
    <row r="629">
      <c r="B629" s="74" t="str">
        <f>IFERROR(__xludf.DUMMYFUNCTION("""COMPUTED_VALUE"""),"1626")</f>
        <v>1626</v>
      </c>
      <c r="C629" s="74"/>
      <c r="D629" s="74" t="str">
        <f>IFERROR(__xludf.DUMMYFUNCTION("""COMPUTED_VALUE"""),"\\MCA-S\mk\2_BM\0_BMat\08_PYM\Inventario\excel\Imagen de refacciones\Putzmeister\Trunk b2314 _ Pistón tipo tronco B2314")</f>
        <v>\\MCA-S\mk\2_BM\0_BMat\08_PYM\Inventario\excel\Imagen de refacciones\Putzmeister\Trunk b2314 _ Pistón tipo tronco B2314</v>
      </c>
      <c r="E629" s="74"/>
      <c r="F629" s="74" t="str">
        <f>IFERROR(__xludf.DUMMYFUNCTION("""COMPUTED_VALUE"""),"Trunk b2314 / Pistón tipo tronco B2314")</f>
        <v>Trunk b2314 / Pistón tipo tronco B2314</v>
      </c>
      <c r="G629" s="74"/>
      <c r="H629" s="74"/>
      <c r="I629" s="74" t="str">
        <f>IFERROR(__xludf.DUMMYFUNCTION("""COMPUTED_VALUE"""),"SOM20176")</f>
        <v>SOM20176</v>
      </c>
      <c r="J629" s="74" t="str">
        <f>IFERROR(__xludf.DUMMYFUNCTION("""COMPUTED_VALUE"""),"237965002 / 265468005")</f>
        <v>237965002 / 265468005</v>
      </c>
      <c r="K629" s="74" t="str">
        <f>IFERROR(__xludf.DUMMYFUNCTION("""COMPUTED_VALUE"""),"Putzmeister")</f>
        <v>Putzmeister</v>
      </c>
      <c r="L629" s="74" t="str">
        <f>IFERROR(__xludf.DUMMYFUNCTION("""COMPUTED_VALUE"""),"Componentes hidráulicos")</f>
        <v>Componentes hidráulicos</v>
      </c>
      <c r="M629" s="74" t="str">
        <f>IFERROR(__xludf.DUMMYFUNCTION("""COMPUTED_VALUE"""),"Sin Asignar")</f>
        <v>Sin Asignar</v>
      </c>
      <c r="N629" s="87">
        <f>IFERROR(__xludf.DUMMYFUNCTION("""COMPUTED_VALUE"""),0.0)</f>
        <v>0</v>
      </c>
      <c r="O629" s="74"/>
      <c r="P629" s="74" t="str">
        <f>IFERROR(__xludf.DUMMYFUNCTION("""COMPUTED_VALUE"""),"No Available")</f>
        <v>No Available</v>
      </c>
      <c r="Q629" s="74"/>
      <c r="R629" s="74"/>
      <c r="S629" s="87">
        <f>IFERROR(__xludf.DUMMYFUNCTION("""COMPUTED_VALUE"""),0.0)</f>
        <v>0</v>
      </c>
      <c r="T629" s="87">
        <f>IFERROR(__xludf.DUMMYFUNCTION("""COMPUTED_VALUE"""),0.0)</f>
        <v>0</v>
      </c>
      <c r="U629" s="87">
        <f>IFERROR(__xludf.DUMMYFUNCTION("""COMPUTED_VALUE"""),0.0)</f>
        <v>0</v>
      </c>
      <c r="V629" s="87">
        <f>IFERROR(__xludf.DUMMYFUNCTION("""COMPUTED_VALUE"""),0.0)</f>
        <v>0</v>
      </c>
      <c r="W629" s="87">
        <f>IFERROR(__xludf.DUMMYFUNCTION("""COMPUTED_VALUE"""),0.0)</f>
        <v>0</v>
      </c>
      <c r="X629" s="88"/>
      <c r="Y629" s="74"/>
      <c r="Z629" s="74"/>
    </row>
    <row r="630">
      <c r="B630" s="74" t="str">
        <f>IFERROR(__xludf.DUMMYFUNCTION("""COMPUTED_VALUE"""),"1627")</f>
        <v>1627</v>
      </c>
      <c r="C630" s="74"/>
      <c r="D630" s="74" t="str">
        <f>IFERROR(__xludf.DUMMYFUNCTION("""COMPUTED_VALUE"""),"\\MCA-S\mk\2_BM\0_BMat\08_PYM\Inventario\excel\Imagen de refacciones\Putzmeister\Trunk leve b2314 _ Palanca de tronco B2314")</f>
        <v>\\MCA-S\mk\2_BM\0_BMat\08_PYM\Inventario\excel\Imagen de refacciones\Putzmeister\Trunk leve b2314 _ Palanca de tronco B2314</v>
      </c>
      <c r="E630" s="74"/>
      <c r="F630" s="74" t="str">
        <f>IFERROR(__xludf.DUMMYFUNCTION("""COMPUTED_VALUE"""),"Trunk leve b2314 / Palanca de tronco B2314")</f>
        <v>Trunk leve b2314 / Palanca de tronco B2314</v>
      </c>
      <c r="G630" s="74"/>
      <c r="H630" s="74"/>
      <c r="I630" s="74" t="str">
        <f>IFERROR(__xludf.DUMMYFUNCTION("""COMPUTED_VALUE"""),"SOM20177")</f>
        <v>SOM20177</v>
      </c>
      <c r="J630" s="74" t="str">
        <f>IFERROR(__xludf.DUMMYFUNCTION("""COMPUTED_VALUE"""),"239511001")</f>
        <v>239511001</v>
      </c>
      <c r="K630" s="74" t="str">
        <f>IFERROR(__xludf.DUMMYFUNCTION("""COMPUTED_VALUE"""),"Putzmeister")</f>
        <v>Putzmeister</v>
      </c>
      <c r="L630" s="74" t="str">
        <f>IFERROR(__xludf.DUMMYFUNCTION("""COMPUTED_VALUE"""),"Componentes hidráulicos")</f>
        <v>Componentes hidráulicos</v>
      </c>
      <c r="M630" s="74" t="str">
        <f>IFERROR(__xludf.DUMMYFUNCTION("""COMPUTED_VALUE"""),"Sin Asignar")</f>
        <v>Sin Asignar</v>
      </c>
      <c r="N630" s="87">
        <f>IFERROR(__xludf.DUMMYFUNCTION("""COMPUTED_VALUE"""),0.0)</f>
        <v>0</v>
      </c>
      <c r="O630" s="74"/>
      <c r="P630" s="74" t="str">
        <f>IFERROR(__xludf.DUMMYFUNCTION("""COMPUTED_VALUE"""),"No Available")</f>
        <v>No Available</v>
      </c>
      <c r="Q630" s="74"/>
      <c r="R630" s="74"/>
      <c r="S630" s="87">
        <f>IFERROR(__xludf.DUMMYFUNCTION("""COMPUTED_VALUE"""),0.0)</f>
        <v>0</v>
      </c>
      <c r="T630" s="87">
        <f>IFERROR(__xludf.DUMMYFUNCTION("""COMPUTED_VALUE"""),0.0)</f>
        <v>0</v>
      </c>
      <c r="U630" s="87">
        <f>IFERROR(__xludf.DUMMYFUNCTION("""COMPUTED_VALUE"""),0.0)</f>
        <v>0</v>
      </c>
      <c r="V630" s="87">
        <f>IFERROR(__xludf.DUMMYFUNCTION("""COMPUTED_VALUE"""),0.0)</f>
        <v>0</v>
      </c>
      <c r="W630" s="87">
        <f>IFERROR(__xludf.DUMMYFUNCTION("""COMPUTED_VALUE"""),0.0)</f>
        <v>0</v>
      </c>
      <c r="X630" s="88"/>
      <c r="Y630" s="74"/>
      <c r="Z630" s="74"/>
    </row>
    <row r="631">
      <c r="B631" s="74" t="str">
        <f>IFERROR(__xludf.DUMMYFUNCTION("""COMPUTED_VALUE"""),"1628")</f>
        <v>1628</v>
      </c>
      <c r="C631" s="74"/>
      <c r="D631" s="74" t="str">
        <f>IFERROR(__xludf.DUMMYFUNCTION("""COMPUTED_VALUE"""),"\\MCA-S\mk\2_BM\0_BMat\08_PYM\Inventario\excel\Imagen de refacciones\Putzmeister\Trunnk b2614 _ Soporte de muñón B2614")</f>
        <v>\\MCA-S\mk\2_BM\0_BMat\08_PYM\Inventario\excel\Imagen de refacciones\Putzmeister\Trunnk b2614 _ Soporte de muñón B2614</v>
      </c>
      <c r="E631" s="74"/>
      <c r="F631" s="74" t="str">
        <f>IFERROR(__xludf.DUMMYFUNCTION("""COMPUTED_VALUE"""),"Trunnk b2614 / Soporte de muñón B2614")</f>
        <v>Trunnk b2614 / Soporte de muñón B2614</v>
      </c>
      <c r="G631" s="74"/>
      <c r="H631" s="74"/>
      <c r="I631" s="74" t="str">
        <f>IFERROR(__xludf.DUMMYFUNCTION("""COMPUTED_VALUE"""),"SOM20178")</f>
        <v>SOM20178</v>
      </c>
      <c r="J631" s="74" t="str">
        <f>IFERROR(__xludf.DUMMYFUNCTION("""COMPUTED_VALUE"""),"410180 / 269870000")</f>
        <v>410180 / 269870000</v>
      </c>
      <c r="K631" s="74" t="str">
        <f>IFERROR(__xludf.DUMMYFUNCTION("""COMPUTED_VALUE"""),"Putzmeister")</f>
        <v>Putzmeister</v>
      </c>
      <c r="L631" s="74" t="str">
        <f>IFERROR(__xludf.DUMMYFUNCTION("""COMPUTED_VALUE"""),"Componentes hidráulicos")</f>
        <v>Componentes hidráulicos</v>
      </c>
      <c r="M631" s="74" t="str">
        <f>IFERROR(__xludf.DUMMYFUNCTION("""COMPUTED_VALUE"""),"Sin Asignar")</f>
        <v>Sin Asignar</v>
      </c>
      <c r="N631" s="87">
        <f>IFERROR(__xludf.DUMMYFUNCTION("""COMPUTED_VALUE"""),0.0)</f>
        <v>0</v>
      </c>
      <c r="O631" s="74"/>
      <c r="P631" s="74" t="str">
        <f>IFERROR(__xludf.DUMMYFUNCTION("""COMPUTED_VALUE"""),"No Available")</f>
        <v>No Available</v>
      </c>
      <c r="Q631" s="74"/>
      <c r="R631" s="74"/>
      <c r="S631" s="87">
        <f>IFERROR(__xludf.DUMMYFUNCTION("""COMPUTED_VALUE"""),0.0)</f>
        <v>0</v>
      </c>
      <c r="T631" s="87">
        <f>IFERROR(__xludf.DUMMYFUNCTION("""COMPUTED_VALUE"""),0.0)</f>
        <v>0</v>
      </c>
      <c r="U631" s="87">
        <f>IFERROR(__xludf.DUMMYFUNCTION("""COMPUTED_VALUE"""),0.0)</f>
        <v>0</v>
      </c>
      <c r="V631" s="87">
        <f>IFERROR(__xludf.DUMMYFUNCTION("""COMPUTED_VALUE"""),0.0)</f>
        <v>0</v>
      </c>
      <c r="W631" s="87">
        <f>IFERROR(__xludf.DUMMYFUNCTION("""COMPUTED_VALUE"""),0.0)</f>
        <v>0</v>
      </c>
      <c r="X631" s="88"/>
      <c r="Y631" s="74"/>
      <c r="Z631" s="74"/>
    </row>
    <row r="632">
      <c r="B632" s="74" t="str">
        <f>IFERROR(__xludf.DUMMYFUNCTION("""COMPUTED_VALUE"""),"1629")</f>
        <v>1629</v>
      </c>
      <c r="C632" s="74"/>
      <c r="D632" s="74" t="str">
        <f>IFERROR(__xludf.DUMMYFUNCTION("""COMPUTED_VALUE"""),"\\MCA-S\mk\2_BM\0_BMat\08_PYM\Inventario\excel\Imagen de refacciones\Putzmeister\Trunk lever B2614 _ Palanca de tronco B2614")</f>
        <v>\\MCA-S\mk\2_BM\0_BMat\08_PYM\Inventario\excel\Imagen de refacciones\Putzmeister\Trunk lever B2614 _ Palanca de tronco B2614</v>
      </c>
      <c r="E632" s="74"/>
      <c r="F632" s="74" t="str">
        <f>IFERROR(__xludf.DUMMYFUNCTION("""COMPUTED_VALUE"""),"Trunk lever B2614 / Palanca de tronco B2614")</f>
        <v>Trunk lever B2614 / Palanca de tronco B2614</v>
      </c>
      <c r="G632" s="74"/>
      <c r="H632" s="74"/>
      <c r="I632" s="74" t="str">
        <f>IFERROR(__xludf.DUMMYFUNCTION("""COMPUTED_VALUE"""),"SOM20178")</f>
        <v>SOM20178</v>
      </c>
      <c r="J632" s="74" t="str">
        <f>IFERROR(__xludf.DUMMYFUNCTION("""COMPUTED_VALUE"""),"410180 / 269870000")</f>
        <v>410180 / 269870000</v>
      </c>
      <c r="K632" s="74" t="str">
        <f>IFERROR(__xludf.DUMMYFUNCTION("""COMPUTED_VALUE"""),"Putzmeister")</f>
        <v>Putzmeister</v>
      </c>
      <c r="L632" s="74" t="str">
        <f>IFERROR(__xludf.DUMMYFUNCTION("""COMPUTED_VALUE"""),"Componentes hidráulicos")</f>
        <v>Componentes hidráulicos</v>
      </c>
      <c r="M632" s="74" t="str">
        <f>IFERROR(__xludf.DUMMYFUNCTION("""COMPUTED_VALUE"""),"Sin Asignar")</f>
        <v>Sin Asignar</v>
      </c>
      <c r="N632" s="87">
        <f>IFERROR(__xludf.DUMMYFUNCTION("""COMPUTED_VALUE"""),0.0)</f>
        <v>0</v>
      </c>
      <c r="O632" s="74"/>
      <c r="P632" s="74" t="str">
        <f>IFERROR(__xludf.DUMMYFUNCTION("""COMPUTED_VALUE"""),"No Available")</f>
        <v>No Available</v>
      </c>
      <c r="Q632" s="74"/>
      <c r="R632" s="74"/>
      <c r="S632" s="87">
        <f>IFERROR(__xludf.DUMMYFUNCTION("""COMPUTED_VALUE"""),0.0)</f>
        <v>0</v>
      </c>
      <c r="T632" s="87">
        <f>IFERROR(__xludf.DUMMYFUNCTION("""COMPUTED_VALUE"""),0.0)</f>
        <v>0</v>
      </c>
      <c r="U632" s="87">
        <f>IFERROR(__xludf.DUMMYFUNCTION("""COMPUTED_VALUE"""),0.0)</f>
        <v>0</v>
      </c>
      <c r="V632" s="87">
        <f>IFERROR(__xludf.DUMMYFUNCTION("""COMPUTED_VALUE"""),0.0)</f>
        <v>0</v>
      </c>
      <c r="W632" s="87">
        <f>IFERROR(__xludf.DUMMYFUNCTION("""COMPUTED_VALUE"""),0.0)</f>
        <v>0</v>
      </c>
      <c r="X632" s="88"/>
      <c r="Y632" s="74"/>
      <c r="Z632" s="74"/>
    </row>
    <row r="633">
      <c r="B633" s="74" t="str">
        <f>IFERROR(__xludf.DUMMYFUNCTION("""COMPUTED_VALUE"""),"1630")</f>
        <v>1630</v>
      </c>
      <c r="C633" s="74"/>
      <c r="D633" s="74" t="str">
        <f>IFERROR(__xludf.DUMMYFUNCTION("""COMPUTED_VALUE"""),"\\MCA-S\mk\2_BM\0_BMat\08_PYM\Inventario\excel\Imagen de refacciones\Putzmeister\Trunk lever B2614 _ Palanca de tronco B2614 (1)")</f>
        <v>\\MCA-S\mk\2_BM\0_BMat\08_PYM\Inventario\excel\Imagen de refacciones\Putzmeister\Trunk lever B2614 _ Palanca de tronco B2614 (1)</v>
      </c>
      <c r="E633" s="74"/>
      <c r="F633" s="74" t="str">
        <f>IFERROR(__xludf.DUMMYFUNCTION("""COMPUTED_VALUE"""),"Trunk lever B2614 / Palanca de tronco B2614")</f>
        <v>Trunk lever B2614 / Palanca de tronco B2614</v>
      </c>
      <c r="G633" s="74"/>
      <c r="H633" s="74"/>
      <c r="I633" s="74" t="str">
        <f>IFERROR(__xludf.DUMMYFUNCTION("""COMPUTED_VALUE"""),"SOM20179")</f>
        <v>SOM20179</v>
      </c>
      <c r="J633" s="74" t="str">
        <f>IFERROR(__xludf.DUMMYFUNCTION("""COMPUTED_VALUE"""),"247083000")</f>
        <v>247083000</v>
      </c>
      <c r="K633" s="74" t="str">
        <f>IFERROR(__xludf.DUMMYFUNCTION("""COMPUTED_VALUE"""),"Putzmeister")</f>
        <v>Putzmeister</v>
      </c>
      <c r="L633" s="74" t="str">
        <f>IFERROR(__xludf.DUMMYFUNCTION("""COMPUTED_VALUE"""),"Componentes hidráulicos")</f>
        <v>Componentes hidráulicos</v>
      </c>
      <c r="M633" s="74" t="str">
        <f>IFERROR(__xludf.DUMMYFUNCTION("""COMPUTED_VALUE"""),"Sin Asignar")</f>
        <v>Sin Asignar</v>
      </c>
      <c r="N633" s="87">
        <f>IFERROR(__xludf.DUMMYFUNCTION("""COMPUTED_VALUE"""),0.0)</f>
        <v>0</v>
      </c>
      <c r="O633" s="74"/>
      <c r="P633" s="74" t="str">
        <f>IFERROR(__xludf.DUMMYFUNCTION("""COMPUTED_VALUE"""),"No Available")</f>
        <v>No Available</v>
      </c>
      <c r="Q633" s="74"/>
      <c r="R633" s="74"/>
      <c r="S633" s="87">
        <f>IFERROR(__xludf.DUMMYFUNCTION("""COMPUTED_VALUE"""),0.0)</f>
        <v>0</v>
      </c>
      <c r="T633" s="87">
        <f>IFERROR(__xludf.DUMMYFUNCTION("""COMPUTED_VALUE"""),0.0)</f>
        <v>0</v>
      </c>
      <c r="U633" s="87">
        <f>IFERROR(__xludf.DUMMYFUNCTION("""COMPUTED_VALUE"""),0.0)</f>
        <v>0</v>
      </c>
      <c r="V633" s="87">
        <f>IFERROR(__xludf.DUMMYFUNCTION("""COMPUTED_VALUE"""),0.0)</f>
        <v>0</v>
      </c>
      <c r="W633" s="87">
        <f>IFERROR(__xludf.DUMMYFUNCTION("""COMPUTED_VALUE"""),0.0)</f>
        <v>0</v>
      </c>
      <c r="X633" s="88"/>
      <c r="Y633" s="74"/>
      <c r="Z633" s="74"/>
    </row>
    <row r="634">
      <c r="B634" s="74" t="str">
        <f>IFERROR(__xludf.DUMMYFUNCTION("""COMPUTED_VALUE"""),"1631")</f>
        <v>1631</v>
      </c>
      <c r="C634" s="74"/>
      <c r="D634" s="74" t="str">
        <f>IFERROR(__xludf.DUMMYFUNCTION("""COMPUTED_VALUE"""),"\\MCA-S\mk\2_BM\0_BMat\08_PYM\Inventario\excel\Imagen de refacciones\Putzmeister\Pressure pipe _ Tubería de presión")</f>
        <v>\\MCA-S\mk\2_BM\0_BMat\08_PYM\Inventario\excel\Imagen de refacciones\Putzmeister\Pressure pipe _ Tubería de presión</v>
      </c>
      <c r="E634" s="74"/>
      <c r="F634" s="74" t="str">
        <f>IFERROR(__xludf.DUMMYFUNCTION("""COMPUTED_VALUE"""),"Pressure pipe / Tubería de presión")</f>
        <v>Pressure pipe / Tubería de presión</v>
      </c>
      <c r="G634" s="74"/>
      <c r="H634" s="74"/>
      <c r="I634" s="74" t="str">
        <f>IFERROR(__xludf.DUMMYFUNCTION("""COMPUTED_VALUE"""),"SOM20183")</f>
        <v>SOM20183</v>
      </c>
      <c r="J634" s="74" t="str">
        <f>IFERROR(__xludf.DUMMYFUNCTION("""COMPUTED_VALUE"""),"85770009")</f>
        <v>85770009</v>
      </c>
      <c r="K634" s="74" t="str">
        <f>IFERROR(__xludf.DUMMYFUNCTION("""COMPUTED_VALUE"""),"Putzmeister")</f>
        <v>Putzmeister</v>
      </c>
      <c r="L634" s="74" t="str">
        <f>IFERROR(__xludf.DUMMYFUNCTION("""COMPUTED_VALUE"""),"Componentes hidráulicos")</f>
        <v>Componentes hidráulicos</v>
      </c>
      <c r="M634" s="74" t="str">
        <f>IFERROR(__xludf.DUMMYFUNCTION("""COMPUTED_VALUE"""),"Sin Asignar")</f>
        <v>Sin Asignar</v>
      </c>
      <c r="N634" s="87">
        <f>IFERROR(__xludf.DUMMYFUNCTION("""COMPUTED_VALUE"""),0.0)</f>
        <v>0</v>
      </c>
      <c r="O634" s="74"/>
      <c r="P634" s="74" t="str">
        <f>IFERROR(__xludf.DUMMYFUNCTION("""COMPUTED_VALUE"""),"No Available")</f>
        <v>No Available</v>
      </c>
      <c r="Q634" s="74"/>
      <c r="R634" s="74"/>
      <c r="S634" s="87">
        <f>IFERROR(__xludf.DUMMYFUNCTION("""COMPUTED_VALUE"""),0.0)</f>
        <v>0</v>
      </c>
      <c r="T634" s="87">
        <f>IFERROR(__xludf.DUMMYFUNCTION("""COMPUTED_VALUE"""),0.0)</f>
        <v>0</v>
      </c>
      <c r="U634" s="87">
        <f>IFERROR(__xludf.DUMMYFUNCTION("""COMPUTED_VALUE"""),0.0)</f>
        <v>0</v>
      </c>
      <c r="V634" s="87">
        <f>IFERROR(__xludf.DUMMYFUNCTION("""COMPUTED_VALUE"""),0.0)</f>
        <v>0</v>
      </c>
      <c r="W634" s="87">
        <f>IFERROR(__xludf.DUMMYFUNCTION("""COMPUTED_VALUE"""),0.0)</f>
        <v>0</v>
      </c>
      <c r="X634" s="88"/>
      <c r="Y634" s="74"/>
      <c r="Z634" s="74"/>
    </row>
    <row r="635">
      <c r="B635" s="74" t="str">
        <f>IFERROR(__xludf.DUMMYFUNCTION("""COMPUTED_VALUE"""),"1632")</f>
        <v>1632</v>
      </c>
      <c r="C635" s="74"/>
      <c r="D635" s="74" t="str">
        <f>IFERROR(__xludf.DUMMYFUNCTION("""COMPUTED_VALUE"""),"\\MCA-S\mk\2_BM\0_BMat\08_PYM\Inventario\excel\Imagen de refacciones\Putzmeister\Pressure pipe _ Tubería de presión (1)")</f>
        <v>\\MCA-S\mk\2_BM\0_BMat\08_PYM\Inventario\excel\Imagen de refacciones\Putzmeister\Pressure pipe _ Tubería de presión (1)</v>
      </c>
      <c r="E635" s="74"/>
      <c r="F635" s="74" t="str">
        <f>IFERROR(__xludf.DUMMYFUNCTION("""COMPUTED_VALUE"""),"Pressure pipe / Tubería de presión")</f>
        <v>Pressure pipe / Tubería de presión</v>
      </c>
      <c r="G635" s="74"/>
      <c r="H635" s="74"/>
      <c r="I635" s="74" t="str">
        <f>IFERROR(__xludf.DUMMYFUNCTION("""COMPUTED_VALUE"""),"SOM20181")</f>
        <v>SOM20181</v>
      </c>
      <c r="J635" s="74" t="str">
        <f>IFERROR(__xludf.DUMMYFUNCTION("""COMPUTED_VALUE"""),"50288005")</f>
        <v>50288005</v>
      </c>
      <c r="K635" s="74" t="str">
        <f>IFERROR(__xludf.DUMMYFUNCTION("""COMPUTED_VALUE"""),"Putzmeister")</f>
        <v>Putzmeister</v>
      </c>
      <c r="L635" s="74" t="str">
        <f>IFERROR(__xludf.DUMMYFUNCTION("""COMPUTED_VALUE"""),"Componentes hidráulicos")</f>
        <v>Componentes hidráulicos</v>
      </c>
      <c r="M635" s="74" t="str">
        <f>IFERROR(__xludf.DUMMYFUNCTION("""COMPUTED_VALUE"""),"Sin Asignar")</f>
        <v>Sin Asignar</v>
      </c>
      <c r="N635" s="87">
        <f>IFERROR(__xludf.DUMMYFUNCTION("""COMPUTED_VALUE"""),0.0)</f>
        <v>0</v>
      </c>
      <c r="O635" s="74"/>
      <c r="P635" s="74" t="str">
        <f>IFERROR(__xludf.DUMMYFUNCTION("""COMPUTED_VALUE"""),"No Available")</f>
        <v>No Available</v>
      </c>
      <c r="Q635" s="74"/>
      <c r="R635" s="74"/>
      <c r="S635" s="87">
        <f>IFERROR(__xludf.DUMMYFUNCTION("""COMPUTED_VALUE"""),0.0)</f>
        <v>0</v>
      </c>
      <c r="T635" s="87">
        <f>IFERROR(__xludf.DUMMYFUNCTION("""COMPUTED_VALUE"""),0.0)</f>
        <v>0</v>
      </c>
      <c r="U635" s="87">
        <f>IFERROR(__xludf.DUMMYFUNCTION("""COMPUTED_VALUE"""),0.0)</f>
        <v>0</v>
      </c>
      <c r="V635" s="87">
        <f>IFERROR(__xludf.DUMMYFUNCTION("""COMPUTED_VALUE"""),0.0)</f>
        <v>0</v>
      </c>
      <c r="W635" s="87">
        <f>IFERROR(__xludf.DUMMYFUNCTION("""COMPUTED_VALUE"""),0.0)</f>
        <v>0</v>
      </c>
      <c r="X635" s="88"/>
      <c r="Y635" s="74"/>
      <c r="Z635" s="74"/>
    </row>
    <row r="636">
      <c r="B636" s="74" t="str">
        <f>IFERROR(__xludf.DUMMYFUNCTION("""COMPUTED_VALUE"""),"1633")</f>
        <v>1633</v>
      </c>
      <c r="C636" s="74"/>
      <c r="D636" s="74" t="str">
        <f>IFERROR(__xludf.DUMMYFUNCTION("""COMPUTED_VALUE"""),"\\MCA-S\mk\2_BM\0_BMat\08_PYM\Inventario\excel\Imagen de refacciones\Putzmeister\Flange of pressure pipe _ brida de tubería de presión")</f>
        <v>\\MCA-S\mk\2_BM\0_BMat\08_PYM\Inventario\excel\Imagen de refacciones\Putzmeister\Flange of pressure pipe _ brida de tubería de presión</v>
      </c>
      <c r="E636" s="74"/>
      <c r="F636" s="74" t="str">
        <f>IFERROR(__xludf.DUMMYFUNCTION("""COMPUTED_VALUE"""),"Flange of pressure pipe / brida de tubería de presión")</f>
        <v>Flange of pressure pipe / brida de tubería de presión</v>
      </c>
      <c r="G636" s="74"/>
      <c r="H636" s="74"/>
      <c r="I636" s="74" t="str">
        <f>IFERROR(__xludf.DUMMYFUNCTION("""COMPUTED_VALUE"""),"SOM20182")</f>
        <v>SOM20182</v>
      </c>
      <c r="J636" s="74" t="str">
        <f>IFERROR(__xludf.DUMMYFUNCTION("""COMPUTED_VALUE"""),"82320009")</f>
        <v>82320009</v>
      </c>
      <c r="K636" s="74" t="str">
        <f>IFERROR(__xludf.DUMMYFUNCTION("""COMPUTED_VALUE"""),"Putzmeister")</f>
        <v>Putzmeister</v>
      </c>
      <c r="L636" s="74" t="str">
        <f>IFERROR(__xludf.DUMMYFUNCTION("""COMPUTED_VALUE"""),"Componentes hidráulicos")</f>
        <v>Componentes hidráulicos</v>
      </c>
      <c r="M636" s="74" t="str">
        <f>IFERROR(__xludf.DUMMYFUNCTION("""COMPUTED_VALUE"""),"Sin Asignar")</f>
        <v>Sin Asignar</v>
      </c>
      <c r="N636" s="87">
        <f>IFERROR(__xludf.DUMMYFUNCTION("""COMPUTED_VALUE"""),0.0)</f>
        <v>0</v>
      </c>
      <c r="O636" s="74"/>
      <c r="P636" s="74" t="str">
        <f>IFERROR(__xludf.DUMMYFUNCTION("""COMPUTED_VALUE"""),"No Available")</f>
        <v>No Available</v>
      </c>
      <c r="Q636" s="74"/>
      <c r="R636" s="74"/>
      <c r="S636" s="87">
        <f>IFERROR(__xludf.DUMMYFUNCTION("""COMPUTED_VALUE"""),0.0)</f>
        <v>0</v>
      </c>
      <c r="T636" s="87">
        <f>IFERROR(__xludf.DUMMYFUNCTION("""COMPUTED_VALUE"""),0.0)</f>
        <v>0</v>
      </c>
      <c r="U636" s="87">
        <f>IFERROR(__xludf.DUMMYFUNCTION("""COMPUTED_VALUE"""),0.0)</f>
        <v>0</v>
      </c>
      <c r="V636" s="87">
        <f>IFERROR(__xludf.DUMMYFUNCTION("""COMPUTED_VALUE"""),0.0)</f>
        <v>0</v>
      </c>
      <c r="W636" s="87">
        <f>IFERROR(__xludf.DUMMYFUNCTION("""COMPUTED_VALUE"""),0.0)</f>
        <v>0</v>
      </c>
      <c r="X636" s="88"/>
      <c r="Y636" s="74"/>
      <c r="Z636" s="74"/>
    </row>
    <row r="637">
      <c r="B637" s="74" t="str">
        <f>IFERROR(__xludf.DUMMYFUNCTION("""COMPUTED_VALUE"""),"1634")</f>
        <v>1634</v>
      </c>
      <c r="C637" s="74"/>
      <c r="D637" s="74" t="str">
        <f>IFERROR(__xludf.DUMMYFUNCTION("""COMPUTED_VALUE"""),"\\MCA-S\mk\2_BM\0_BMat\08_PYM\Inventario\excel\Imagen de refacciones\Putzmeister\Hydraulic cylinder _ Cilindro hidráulico")</f>
        <v>\\MCA-S\mk\2_BM\0_BMat\08_PYM\Inventario\excel\Imagen de refacciones\Putzmeister\Hydraulic cylinder _ Cilindro hidráulico</v>
      </c>
      <c r="E637" s="74"/>
      <c r="F637" s="74" t="str">
        <f>IFERROR(__xludf.DUMMYFUNCTION("""COMPUTED_VALUE"""),"Hydraulic cylinder / Cilindro hidráulico")</f>
        <v>Hydraulic cylinder / Cilindro hidráulico</v>
      </c>
      <c r="G637" s="74"/>
      <c r="H637" s="74"/>
      <c r="I637" s="74" t="str">
        <f>IFERROR(__xludf.DUMMYFUNCTION("""COMPUTED_VALUE"""),"SOM20183")</f>
        <v>SOM20183</v>
      </c>
      <c r="J637" s="74" t="str">
        <f>IFERROR(__xludf.DUMMYFUNCTION("""COMPUTED_VALUE"""),"85770009")</f>
        <v>85770009</v>
      </c>
      <c r="K637" s="74" t="str">
        <f>IFERROR(__xludf.DUMMYFUNCTION("""COMPUTED_VALUE"""),"Putzmeister")</f>
        <v>Putzmeister</v>
      </c>
      <c r="L637" s="74" t="str">
        <f>IFERROR(__xludf.DUMMYFUNCTION("""COMPUTED_VALUE"""),"Componentes hidráulicos")</f>
        <v>Componentes hidráulicos</v>
      </c>
      <c r="M637" s="74" t="str">
        <f>IFERROR(__xludf.DUMMYFUNCTION("""COMPUTED_VALUE"""),"Sin Asignar")</f>
        <v>Sin Asignar</v>
      </c>
      <c r="N637" s="87">
        <f>IFERROR(__xludf.DUMMYFUNCTION("""COMPUTED_VALUE"""),0.0)</f>
        <v>0</v>
      </c>
      <c r="O637" s="74"/>
      <c r="P637" s="74" t="str">
        <f>IFERROR(__xludf.DUMMYFUNCTION("""COMPUTED_VALUE"""),"No Available")</f>
        <v>No Available</v>
      </c>
      <c r="Q637" s="74"/>
      <c r="R637" s="74"/>
      <c r="S637" s="87">
        <f>IFERROR(__xludf.DUMMYFUNCTION("""COMPUTED_VALUE"""),0.0)</f>
        <v>0</v>
      </c>
      <c r="T637" s="87">
        <f>IFERROR(__xludf.DUMMYFUNCTION("""COMPUTED_VALUE"""),0.0)</f>
        <v>0</v>
      </c>
      <c r="U637" s="87">
        <f>IFERROR(__xludf.DUMMYFUNCTION("""COMPUTED_VALUE"""),0.0)</f>
        <v>0</v>
      </c>
      <c r="V637" s="87">
        <f>IFERROR(__xludf.DUMMYFUNCTION("""COMPUTED_VALUE"""),0.0)</f>
        <v>0</v>
      </c>
      <c r="W637" s="87">
        <f>IFERROR(__xludf.DUMMYFUNCTION("""COMPUTED_VALUE"""),0.0)</f>
        <v>0</v>
      </c>
      <c r="X637" s="88"/>
      <c r="Y637" s="74"/>
      <c r="Z637" s="74"/>
    </row>
    <row r="638">
      <c r="B638" s="74" t="str">
        <f>IFERROR(__xludf.DUMMYFUNCTION("""COMPUTED_VALUE"""),"1635")</f>
        <v>1635</v>
      </c>
      <c r="C638" s="74"/>
      <c r="D638" s="74" t="str">
        <f>IFERROR(__xludf.DUMMYFUNCTION("""COMPUTED_VALUE"""),"\\MCA-S\mk\2_BM\0_BMat\08_PYM\Inventario\excel\Imagen de refacciones\Putzmeister\Cylinder barrel _ Camisa de cilindro")</f>
        <v>\\MCA-S\mk\2_BM\0_BMat\08_PYM\Inventario\excel\Imagen de refacciones\Putzmeister\Cylinder barrel _ Camisa de cilindro</v>
      </c>
      <c r="E638" s="74"/>
      <c r="F638" s="74" t="str">
        <f>IFERROR(__xludf.DUMMYFUNCTION("""COMPUTED_VALUE"""),"Cylinder barrel / Camisa de cilindro")</f>
        <v>Cylinder barrel / Camisa de cilindro</v>
      </c>
      <c r="G638" s="74"/>
      <c r="H638" s="74"/>
      <c r="I638" s="74" t="str">
        <f>IFERROR(__xludf.DUMMYFUNCTION("""COMPUTED_VALUE"""),"SOM20184")</f>
        <v>SOM20184</v>
      </c>
      <c r="J638" s="74" t="str">
        <f>IFERROR(__xludf.DUMMYFUNCTION("""COMPUTED_VALUE"""),"83637005")</f>
        <v>83637005</v>
      </c>
      <c r="K638" s="74" t="str">
        <f>IFERROR(__xludf.DUMMYFUNCTION("""COMPUTED_VALUE"""),"Putzmeister")</f>
        <v>Putzmeister</v>
      </c>
      <c r="L638" s="74" t="str">
        <f>IFERROR(__xludf.DUMMYFUNCTION("""COMPUTED_VALUE"""),"Componentes hidráulicos")</f>
        <v>Componentes hidráulicos</v>
      </c>
      <c r="M638" s="74" t="str">
        <f>IFERROR(__xludf.DUMMYFUNCTION("""COMPUTED_VALUE"""),"Sin Asignar")</f>
        <v>Sin Asignar</v>
      </c>
      <c r="N638" s="87">
        <f>IFERROR(__xludf.DUMMYFUNCTION("""COMPUTED_VALUE"""),0.0)</f>
        <v>0</v>
      </c>
      <c r="O638" s="74"/>
      <c r="P638" s="74" t="str">
        <f>IFERROR(__xludf.DUMMYFUNCTION("""COMPUTED_VALUE"""),"No Available")</f>
        <v>No Available</v>
      </c>
      <c r="Q638" s="74"/>
      <c r="R638" s="74"/>
      <c r="S638" s="87">
        <f>IFERROR(__xludf.DUMMYFUNCTION("""COMPUTED_VALUE"""),0.0)</f>
        <v>0</v>
      </c>
      <c r="T638" s="87">
        <f>IFERROR(__xludf.DUMMYFUNCTION("""COMPUTED_VALUE"""),0.0)</f>
        <v>0</v>
      </c>
      <c r="U638" s="87">
        <f>IFERROR(__xludf.DUMMYFUNCTION("""COMPUTED_VALUE"""),0.0)</f>
        <v>0</v>
      </c>
      <c r="V638" s="87">
        <f>IFERROR(__xludf.DUMMYFUNCTION("""COMPUTED_VALUE"""),0.0)</f>
        <v>0</v>
      </c>
      <c r="W638" s="87">
        <f>IFERROR(__xludf.DUMMYFUNCTION("""COMPUTED_VALUE"""),0.0)</f>
        <v>0</v>
      </c>
      <c r="X638" s="88"/>
      <c r="Y638" s="74"/>
      <c r="Z638" s="74"/>
    </row>
    <row r="639">
      <c r="B639" s="74" t="str">
        <f>IFERROR(__xludf.DUMMYFUNCTION("""COMPUTED_VALUE"""),"1636")</f>
        <v>1636</v>
      </c>
      <c r="C639" s="74"/>
      <c r="D639" s="74" t="str">
        <f>IFERROR(__xludf.DUMMYFUNCTION("""COMPUTED_VALUE"""),"\\MCA-S\mk\2_BM\0_BMat\08_PYM\Inventario\excel\Imagen de refacciones\Putzmeister\Piston ROD _ Vástago de pistón")</f>
        <v>\\MCA-S\mk\2_BM\0_BMat\08_PYM\Inventario\excel\Imagen de refacciones\Putzmeister\Piston ROD _ Vástago de pistón</v>
      </c>
      <c r="E639" s="74"/>
      <c r="F639" s="74" t="str">
        <f>IFERROR(__xludf.DUMMYFUNCTION("""COMPUTED_VALUE"""),"Piston ROD / Vástago de pistón")</f>
        <v>Piston ROD / Vástago de pistón</v>
      </c>
      <c r="G639" s="74"/>
      <c r="H639" s="74"/>
      <c r="I639" s="74" t="str">
        <f>IFERROR(__xludf.DUMMYFUNCTION("""COMPUTED_VALUE"""),"SOM20185")</f>
        <v>SOM20185</v>
      </c>
      <c r="J639" s="74" t="str">
        <f>IFERROR(__xludf.DUMMYFUNCTION("""COMPUTED_VALUE"""),"83639003")</f>
        <v>83639003</v>
      </c>
      <c r="K639" s="74" t="str">
        <f>IFERROR(__xludf.DUMMYFUNCTION("""COMPUTED_VALUE"""),"Putzmeister")</f>
        <v>Putzmeister</v>
      </c>
      <c r="L639" s="74" t="str">
        <f>IFERROR(__xludf.DUMMYFUNCTION("""COMPUTED_VALUE"""),"Componentes hidráulicos")</f>
        <v>Componentes hidráulicos</v>
      </c>
      <c r="M639" s="74" t="str">
        <f>IFERROR(__xludf.DUMMYFUNCTION("""COMPUTED_VALUE"""),"Sin Asignar")</f>
        <v>Sin Asignar</v>
      </c>
      <c r="N639" s="87">
        <f>IFERROR(__xludf.DUMMYFUNCTION("""COMPUTED_VALUE"""),0.0)</f>
        <v>0</v>
      </c>
      <c r="O639" s="74"/>
      <c r="P639" s="74" t="str">
        <f>IFERROR(__xludf.DUMMYFUNCTION("""COMPUTED_VALUE"""),"No Available")</f>
        <v>No Available</v>
      </c>
      <c r="Q639" s="74"/>
      <c r="R639" s="74"/>
      <c r="S639" s="87">
        <f>IFERROR(__xludf.DUMMYFUNCTION("""COMPUTED_VALUE"""),0.0)</f>
        <v>0</v>
      </c>
      <c r="T639" s="87">
        <f>IFERROR(__xludf.DUMMYFUNCTION("""COMPUTED_VALUE"""),0.0)</f>
        <v>0</v>
      </c>
      <c r="U639" s="87">
        <f>IFERROR(__xludf.DUMMYFUNCTION("""COMPUTED_VALUE"""),0.0)</f>
        <v>0</v>
      </c>
      <c r="V639" s="87">
        <f>IFERROR(__xludf.DUMMYFUNCTION("""COMPUTED_VALUE"""),0.0)</f>
        <v>0</v>
      </c>
      <c r="W639" s="87">
        <f>IFERROR(__xludf.DUMMYFUNCTION("""COMPUTED_VALUE"""),0.0)</f>
        <v>0</v>
      </c>
      <c r="X639" s="88"/>
      <c r="Y639" s="74"/>
      <c r="Z639" s="74"/>
    </row>
    <row r="640">
      <c r="B640" s="74" t="str">
        <f>IFERROR(__xludf.DUMMYFUNCTION("""COMPUTED_VALUE"""),"1637")</f>
        <v>1637</v>
      </c>
      <c r="C640" s="74"/>
      <c r="D640" s="74" t="str">
        <f>IFERROR(__xludf.DUMMYFUNCTION("""COMPUTED_VALUE"""),"\\MCA-S\mk\2_BM\0_BMat\08_PYM\Inventario\excel\Imagen de refacciones\Putzmeister\Join head complete _ Cabeza de unión completa")</f>
        <v>\\MCA-S\mk\2_BM\0_BMat\08_PYM\Inventario\excel\Imagen de refacciones\Putzmeister\Join head complete _ Cabeza de unión completa</v>
      </c>
      <c r="E640" s="74"/>
      <c r="F640" s="74" t="str">
        <f>IFERROR(__xludf.DUMMYFUNCTION("""COMPUTED_VALUE"""),"Join head complete / Cabeza de unión completa")</f>
        <v>Join head complete / Cabeza de unión completa</v>
      </c>
      <c r="G640" s="74"/>
      <c r="H640" s="74"/>
      <c r="I640" s="74" t="str">
        <f>IFERROR(__xludf.DUMMYFUNCTION("""COMPUTED_VALUE"""),"SOM20186")</f>
        <v>SOM20186</v>
      </c>
      <c r="J640" s="74" t="str">
        <f>IFERROR(__xludf.DUMMYFUNCTION("""COMPUTED_VALUE"""),"56454008 / 54821002")</f>
        <v>56454008 / 54821002</v>
      </c>
      <c r="K640" s="74" t="str">
        <f>IFERROR(__xludf.DUMMYFUNCTION("""COMPUTED_VALUE"""),"Putzmeister")</f>
        <v>Putzmeister</v>
      </c>
      <c r="L640" s="74" t="str">
        <f>IFERROR(__xludf.DUMMYFUNCTION("""COMPUTED_VALUE"""),"Componentes hidráulicos")</f>
        <v>Componentes hidráulicos</v>
      </c>
      <c r="M640" s="74" t="str">
        <f>IFERROR(__xludf.DUMMYFUNCTION("""COMPUTED_VALUE"""),"Sin Asignar")</f>
        <v>Sin Asignar</v>
      </c>
      <c r="N640" s="87">
        <f>IFERROR(__xludf.DUMMYFUNCTION("""COMPUTED_VALUE"""),0.0)</f>
        <v>0</v>
      </c>
      <c r="O640" s="74"/>
      <c r="P640" s="74" t="str">
        <f>IFERROR(__xludf.DUMMYFUNCTION("""COMPUTED_VALUE"""),"No Available")</f>
        <v>No Available</v>
      </c>
      <c r="Q640" s="74"/>
      <c r="R640" s="74"/>
      <c r="S640" s="87">
        <f>IFERROR(__xludf.DUMMYFUNCTION("""COMPUTED_VALUE"""),0.0)</f>
        <v>0</v>
      </c>
      <c r="T640" s="87">
        <f>IFERROR(__xludf.DUMMYFUNCTION("""COMPUTED_VALUE"""),0.0)</f>
        <v>0</v>
      </c>
      <c r="U640" s="87">
        <f>IFERROR(__xludf.DUMMYFUNCTION("""COMPUTED_VALUE"""),0.0)</f>
        <v>0</v>
      </c>
      <c r="V640" s="87">
        <f>IFERROR(__xludf.DUMMYFUNCTION("""COMPUTED_VALUE"""),0.0)</f>
        <v>0</v>
      </c>
      <c r="W640" s="87">
        <f>IFERROR(__xludf.DUMMYFUNCTION("""COMPUTED_VALUE"""),0.0)</f>
        <v>0</v>
      </c>
      <c r="X640" s="88"/>
      <c r="Y640" s="74"/>
      <c r="Z640" s="74"/>
    </row>
    <row r="641">
      <c r="B641" s="74" t="str">
        <f>IFERROR(__xludf.DUMMYFUNCTION("""COMPUTED_VALUE"""),"1638")</f>
        <v>1638</v>
      </c>
      <c r="C641" s="74"/>
      <c r="D641" s="74" t="str">
        <f>IFERROR(__xludf.DUMMYFUNCTION("""COMPUTED_VALUE"""),"\\MCA-S\mk\2_BM\0_BMat\08_PYM\Inventario\excel\Imagen de refacciones\Putzmeister\Guide bush _ Buje guía")</f>
        <v>\\MCA-S\mk\2_BM\0_BMat\08_PYM\Inventario\excel\Imagen de refacciones\Putzmeister\Guide bush _ Buje guía</v>
      </c>
      <c r="E641" s="74"/>
      <c r="F641" s="74" t="str">
        <f>IFERROR(__xludf.DUMMYFUNCTION("""COMPUTED_VALUE"""),"Guide bush / Buje guía")</f>
        <v>Guide bush / Buje guía</v>
      </c>
      <c r="G641" s="74"/>
      <c r="H641" s="74"/>
      <c r="I641" s="74" t="str">
        <f>IFERROR(__xludf.DUMMYFUNCTION("""COMPUTED_VALUE"""),"SOM20188")</f>
        <v>SOM20188</v>
      </c>
      <c r="J641" s="74" t="str">
        <f>IFERROR(__xludf.DUMMYFUNCTION("""COMPUTED_VALUE"""),"54219009")</f>
        <v>54219009</v>
      </c>
      <c r="K641" s="74" t="str">
        <f>IFERROR(__xludf.DUMMYFUNCTION("""COMPUTED_VALUE"""),"Putzmeister")</f>
        <v>Putzmeister</v>
      </c>
      <c r="L641" s="74" t="str">
        <f>IFERROR(__xludf.DUMMYFUNCTION("""COMPUTED_VALUE"""),"Componentes hidráulicos")</f>
        <v>Componentes hidráulicos</v>
      </c>
      <c r="M641" s="74" t="str">
        <f>IFERROR(__xludf.DUMMYFUNCTION("""COMPUTED_VALUE"""),"Sin Asignar")</f>
        <v>Sin Asignar</v>
      </c>
      <c r="N641" s="87">
        <f>IFERROR(__xludf.DUMMYFUNCTION("""COMPUTED_VALUE"""),0.0)</f>
        <v>0</v>
      </c>
      <c r="O641" s="74"/>
      <c r="P641" s="74" t="str">
        <f>IFERROR(__xludf.DUMMYFUNCTION("""COMPUTED_VALUE"""),"No Available")</f>
        <v>No Available</v>
      </c>
      <c r="Q641" s="74"/>
      <c r="R641" s="74"/>
      <c r="S641" s="87">
        <f>IFERROR(__xludf.DUMMYFUNCTION("""COMPUTED_VALUE"""),0.0)</f>
        <v>0</v>
      </c>
      <c r="T641" s="87">
        <f>IFERROR(__xludf.DUMMYFUNCTION("""COMPUTED_VALUE"""),0.0)</f>
        <v>0</v>
      </c>
      <c r="U641" s="87">
        <f>IFERROR(__xludf.DUMMYFUNCTION("""COMPUTED_VALUE"""),0.0)</f>
        <v>0</v>
      </c>
      <c r="V641" s="87">
        <f>IFERROR(__xludf.DUMMYFUNCTION("""COMPUTED_VALUE"""),0.0)</f>
        <v>0</v>
      </c>
      <c r="W641" s="87">
        <f>IFERROR(__xludf.DUMMYFUNCTION("""COMPUTED_VALUE"""),0.0)</f>
        <v>0</v>
      </c>
      <c r="X641" s="88"/>
      <c r="Y641" s="74"/>
      <c r="Z641" s="74"/>
    </row>
    <row r="642">
      <c r="B642" s="74" t="str">
        <f>IFERROR(__xludf.DUMMYFUNCTION("""COMPUTED_VALUE"""),"1639")</f>
        <v>1639</v>
      </c>
      <c r="C642" s="74"/>
      <c r="D642" s="74" t="str">
        <f>IFERROR(__xludf.DUMMYFUNCTION("""COMPUTED_VALUE"""),"\\MCA-S\mk\2_BM\0_BMat\08_PYM\Inventario\excel\Imagen de refacciones\Putzmeister\Seal set for hydraulic cylinder _ Juego de sellos para cilindro hidráulico")</f>
        <v>\\MCA-S\mk\2_BM\0_BMat\08_PYM\Inventario\excel\Imagen de refacciones\Putzmeister\Seal set for hydraulic cylinder _ Juego de sellos para cilindro hidráulico</v>
      </c>
      <c r="E642" s="74"/>
      <c r="F642" s="74" t="str">
        <f>IFERROR(__xludf.DUMMYFUNCTION("""COMPUTED_VALUE"""),"Seal set for hydraulic cylinder / Juego de sellos para cilindro hidráulico")</f>
        <v>Seal set for hydraulic cylinder / Juego de sellos para cilindro hidráulico</v>
      </c>
      <c r="G642" s="74"/>
      <c r="H642" s="74"/>
      <c r="I642" s="74" t="str">
        <f>IFERROR(__xludf.DUMMYFUNCTION("""COMPUTED_VALUE"""),"SOM20189")</f>
        <v>SOM20189</v>
      </c>
      <c r="J642" s="74" t="str">
        <f>IFERROR(__xludf.DUMMYFUNCTION("""COMPUTED_VALUE"""),"86677004")</f>
        <v>86677004</v>
      </c>
      <c r="K642" s="74" t="str">
        <f>IFERROR(__xludf.DUMMYFUNCTION("""COMPUTED_VALUE"""),"Putzmeister")</f>
        <v>Putzmeister</v>
      </c>
      <c r="L642" s="74" t="str">
        <f>IFERROR(__xludf.DUMMYFUNCTION("""COMPUTED_VALUE"""),"Sellos y retenes")</f>
        <v>Sellos y retenes</v>
      </c>
      <c r="M642" s="74" t="str">
        <f>IFERROR(__xludf.DUMMYFUNCTION("""COMPUTED_VALUE"""),"Sin Asignar")</f>
        <v>Sin Asignar</v>
      </c>
      <c r="N642" s="87">
        <f>IFERROR(__xludf.DUMMYFUNCTION("""COMPUTED_VALUE"""),0.0)</f>
        <v>0</v>
      </c>
      <c r="O642" s="74"/>
      <c r="P642" s="74" t="str">
        <f>IFERROR(__xludf.DUMMYFUNCTION("""COMPUTED_VALUE"""),"No Available")</f>
        <v>No Available</v>
      </c>
      <c r="Q642" s="74"/>
      <c r="R642" s="74"/>
      <c r="S642" s="87">
        <f>IFERROR(__xludf.DUMMYFUNCTION("""COMPUTED_VALUE"""),0.0)</f>
        <v>0</v>
      </c>
      <c r="T642" s="87">
        <f>IFERROR(__xludf.DUMMYFUNCTION("""COMPUTED_VALUE"""),0.0)</f>
        <v>0</v>
      </c>
      <c r="U642" s="87">
        <f>IFERROR(__xludf.DUMMYFUNCTION("""COMPUTED_VALUE"""),0.0)</f>
        <v>0</v>
      </c>
      <c r="V642" s="87">
        <f>IFERROR(__xludf.DUMMYFUNCTION("""COMPUTED_VALUE"""),0.0)</f>
        <v>0</v>
      </c>
      <c r="W642" s="87">
        <f>IFERROR(__xludf.DUMMYFUNCTION("""COMPUTED_VALUE"""),0.0)</f>
        <v>0</v>
      </c>
      <c r="X642" s="88"/>
      <c r="Y642" s="74"/>
      <c r="Z642" s="74"/>
    </row>
    <row r="643">
      <c r="B643" s="74" t="str">
        <f>IFERROR(__xludf.DUMMYFUNCTION("""COMPUTED_VALUE"""),"1640")</f>
        <v>1640</v>
      </c>
      <c r="C643" s="74"/>
      <c r="D643" s="74" t="str">
        <f>IFERROR(__xludf.DUMMYFUNCTION("""COMPUTED_VALUE"""),"\\MCA-S\mk\2_BM\0_BMat\08_PYM\Inventario\excel\Imagen de refacciones\Putzmeister\Bearing flange closed Q40 _ Brida de rodamiento cerrada Q40")</f>
        <v>\\MCA-S\mk\2_BM\0_BMat\08_PYM\Inventario\excel\Imagen de refacciones\Putzmeister\Bearing flange closed Q40 _ Brida de rodamiento cerrada Q40</v>
      </c>
      <c r="E643" s="74"/>
      <c r="F643" s="74" t="str">
        <f>IFERROR(__xludf.DUMMYFUNCTION("""COMPUTED_VALUE"""),"Bearing flange closed Q40 / Brida de rodamiento cerrada Q40")</f>
        <v>Bearing flange closed Q40 / Brida de rodamiento cerrada Q40</v>
      </c>
      <c r="G643" s="74"/>
      <c r="H643" s="74"/>
      <c r="I643" s="74" t="str">
        <f>IFERROR(__xludf.DUMMYFUNCTION("""COMPUTED_VALUE"""),"SOM20198")</f>
        <v>SOM20198</v>
      </c>
      <c r="J643" s="74" t="str">
        <f>IFERROR(__xludf.DUMMYFUNCTION("""COMPUTED_VALUE"""),"202357001")</f>
        <v>202357001</v>
      </c>
      <c r="K643" s="74" t="str">
        <f>IFERROR(__xludf.DUMMYFUNCTION("""COMPUTED_VALUE"""),"Putzmeister")</f>
        <v>Putzmeister</v>
      </c>
      <c r="L643" s="74" t="str">
        <f>IFERROR(__xludf.DUMMYFUNCTION("""COMPUTED_VALUE"""),"Componentes estructurales y de montaje")</f>
        <v>Componentes estructurales y de montaje</v>
      </c>
      <c r="M643" s="74" t="str">
        <f>IFERROR(__xludf.DUMMYFUNCTION("""COMPUTED_VALUE"""),"Sin Asignar")</f>
        <v>Sin Asignar</v>
      </c>
      <c r="N643" s="87">
        <f>IFERROR(__xludf.DUMMYFUNCTION("""COMPUTED_VALUE"""),0.0)</f>
        <v>0</v>
      </c>
      <c r="O643" s="74"/>
      <c r="P643" s="74" t="str">
        <f>IFERROR(__xludf.DUMMYFUNCTION("""COMPUTED_VALUE"""),"No Available")</f>
        <v>No Available</v>
      </c>
      <c r="Q643" s="74"/>
      <c r="R643" s="74"/>
      <c r="S643" s="87">
        <f>IFERROR(__xludf.DUMMYFUNCTION("""COMPUTED_VALUE"""),0.0)</f>
        <v>0</v>
      </c>
      <c r="T643" s="87">
        <f>IFERROR(__xludf.DUMMYFUNCTION("""COMPUTED_VALUE"""),0.0)</f>
        <v>0</v>
      </c>
      <c r="U643" s="87">
        <f>IFERROR(__xludf.DUMMYFUNCTION("""COMPUTED_VALUE"""),0.0)</f>
        <v>0</v>
      </c>
      <c r="V643" s="87">
        <f>IFERROR(__xludf.DUMMYFUNCTION("""COMPUTED_VALUE"""),0.0)</f>
        <v>0</v>
      </c>
      <c r="W643" s="87">
        <f>IFERROR(__xludf.DUMMYFUNCTION("""COMPUTED_VALUE"""),0.0)</f>
        <v>0</v>
      </c>
      <c r="X643" s="88"/>
      <c r="Y643" s="74"/>
      <c r="Z643" s="74"/>
    </row>
    <row r="644">
      <c r="B644" s="74" t="str">
        <f>IFERROR(__xludf.DUMMYFUNCTION("""COMPUTED_VALUE"""),"1641")</f>
        <v>1641</v>
      </c>
      <c r="C644" s="74"/>
      <c r="D644" s="74" t="str">
        <f>IFERROR(__xludf.DUMMYFUNCTION("""COMPUTED_VALUE"""),"\\MCA-S\mk\2_BM\0_BMat\08_PYM\Inventario\excel\Imagen de refacciones\Putzmeister\Bush Q50 _ Buje Q50")</f>
        <v>\\MCA-S\mk\2_BM\0_BMat\08_PYM\Inventario\excel\Imagen de refacciones\Putzmeister\Bush Q50 _ Buje Q50</v>
      </c>
      <c r="E644" s="74"/>
      <c r="F644" s="74" t="str">
        <f>IFERROR(__xludf.DUMMYFUNCTION("""COMPUTED_VALUE"""),"Bush Q50 / Buje Q50")</f>
        <v>Bush Q50 / Buje Q50</v>
      </c>
      <c r="G644" s="74"/>
      <c r="H644" s="74"/>
      <c r="I644" s="74" t="str">
        <f>IFERROR(__xludf.DUMMYFUNCTION("""COMPUTED_VALUE"""),"SOM20199")</f>
        <v>SOM20199</v>
      </c>
      <c r="J644" s="74" t="str">
        <f>IFERROR(__xludf.DUMMYFUNCTION("""COMPUTED_VALUE"""),"235087005")</f>
        <v>235087005</v>
      </c>
      <c r="K644" s="74" t="str">
        <f>IFERROR(__xludf.DUMMYFUNCTION("""COMPUTED_VALUE"""),"Putzmeister")</f>
        <v>Putzmeister</v>
      </c>
      <c r="L644" s="74" t="str">
        <f>IFERROR(__xludf.DUMMYFUNCTION("""COMPUTED_VALUE"""),"Componentes estructurales y de montaje")</f>
        <v>Componentes estructurales y de montaje</v>
      </c>
      <c r="M644" s="74" t="str">
        <f>IFERROR(__xludf.DUMMYFUNCTION("""COMPUTED_VALUE"""),"Sin Asignar")</f>
        <v>Sin Asignar</v>
      </c>
      <c r="N644" s="87">
        <f>IFERROR(__xludf.DUMMYFUNCTION("""COMPUTED_VALUE"""),0.0)</f>
        <v>0</v>
      </c>
      <c r="O644" s="74"/>
      <c r="P644" s="74" t="str">
        <f>IFERROR(__xludf.DUMMYFUNCTION("""COMPUTED_VALUE"""),"borrar")</f>
        <v>borrar</v>
      </c>
      <c r="Q644" s="74"/>
      <c r="R644" s="74"/>
      <c r="S644" s="87">
        <f>IFERROR(__xludf.DUMMYFUNCTION("""COMPUTED_VALUE"""),0.0)</f>
        <v>0</v>
      </c>
      <c r="T644" s="87">
        <f>IFERROR(__xludf.DUMMYFUNCTION("""COMPUTED_VALUE"""),0.0)</f>
        <v>0</v>
      </c>
      <c r="U644" s="87">
        <f>IFERROR(__xludf.DUMMYFUNCTION("""COMPUTED_VALUE"""),0.0)</f>
        <v>0</v>
      </c>
      <c r="V644" s="87">
        <f>IFERROR(__xludf.DUMMYFUNCTION("""COMPUTED_VALUE"""),0.0)</f>
        <v>0</v>
      </c>
      <c r="W644" s="87">
        <f>IFERROR(__xludf.DUMMYFUNCTION("""COMPUTED_VALUE"""),0.0)</f>
        <v>0</v>
      </c>
      <c r="X644" s="88"/>
      <c r="Y644" s="74"/>
      <c r="Z644" s="74"/>
    </row>
    <row r="645">
      <c r="B645" s="74" t="str">
        <f>IFERROR(__xludf.DUMMYFUNCTION("""COMPUTED_VALUE"""),"1642")</f>
        <v>1642</v>
      </c>
      <c r="C645" s="74"/>
      <c r="D645" s="74" t="str">
        <f>IFERROR(__xludf.DUMMYFUNCTION("""COMPUTED_VALUE"""),"\\MCA-S\mk\2_BM\0_BMat\08_PYM\Inventario\excel\Imagen de refacciones\Putzmeister\Rubber Disc Q50 _ Disco de goma Q50")</f>
        <v>\\MCA-S\mk\2_BM\0_BMat\08_PYM\Inventario\excel\Imagen de refacciones\Putzmeister\Rubber Disc Q50 _ Disco de goma Q50</v>
      </c>
      <c r="E645" s="74"/>
      <c r="F645" s="74" t="str">
        <f>IFERROR(__xludf.DUMMYFUNCTION("""COMPUTED_VALUE"""),"Rubber Disc Q50 / Disco de goma Q50")</f>
        <v>Rubber Disc Q50 / Disco de goma Q50</v>
      </c>
      <c r="G645" s="74"/>
      <c r="H645" s="74"/>
      <c r="I645" s="74" t="str">
        <f>IFERROR(__xludf.DUMMYFUNCTION("""COMPUTED_VALUE"""),"SOM20200")</f>
        <v>SOM20200</v>
      </c>
      <c r="J645" s="74" t="str">
        <f>IFERROR(__xludf.DUMMYFUNCTION("""COMPUTED_VALUE"""),"84013000")</f>
        <v>84013000</v>
      </c>
      <c r="K645" s="74" t="str">
        <f>IFERROR(__xludf.DUMMYFUNCTION("""COMPUTED_VALUE"""),"Putzmeister")</f>
        <v>Putzmeister</v>
      </c>
      <c r="L645" s="74" t="str">
        <f>IFERROR(__xludf.DUMMYFUNCTION("""COMPUTED_VALUE"""),"Componentes estructurales y de montaje")</f>
        <v>Componentes estructurales y de montaje</v>
      </c>
      <c r="M645" s="74" t="str">
        <f>IFERROR(__xludf.DUMMYFUNCTION("""COMPUTED_VALUE"""),"Sin Asignar")</f>
        <v>Sin Asignar</v>
      </c>
      <c r="N645" s="87">
        <f>IFERROR(__xludf.DUMMYFUNCTION("""COMPUTED_VALUE"""),0.0)</f>
        <v>0</v>
      </c>
      <c r="O645" s="74"/>
      <c r="P645" s="74" t="str">
        <f>IFERROR(__xludf.DUMMYFUNCTION("""COMPUTED_VALUE"""),"No Available")</f>
        <v>No Available</v>
      </c>
      <c r="Q645" s="74"/>
      <c r="R645" s="74"/>
      <c r="S645" s="87">
        <f>IFERROR(__xludf.DUMMYFUNCTION("""COMPUTED_VALUE"""),0.0)</f>
        <v>0</v>
      </c>
      <c r="T645" s="87">
        <f>IFERROR(__xludf.DUMMYFUNCTION("""COMPUTED_VALUE"""),0.0)</f>
        <v>0</v>
      </c>
      <c r="U645" s="87">
        <f>IFERROR(__xludf.DUMMYFUNCTION("""COMPUTED_VALUE"""),0.0)</f>
        <v>0</v>
      </c>
      <c r="V645" s="87">
        <f>IFERROR(__xludf.DUMMYFUNCTION("""COMPUTED_VALUE"""),0.0)</f>
        <v>0</v>
      </c>
      <c r="W645" s="87">
        <f>IFERROR(__xludf.DUMMYFUNCTION("""COMPUTED_VALUE"""),0.0)</f>
        <v>0</v>
      </c>
      <c r="X645" s="88"/>
      <c r="Y645" s="74"/>
      <c r="Z645" s="74"/>
    </row>
    <row r="646">
      <c r="B646" s="74" t="str">
        <f>IFERROR(__xludf.DUMMYFUNCTION("""COMPUTED_VALUE"""),"1643")</f>
        <v>1643</v>
      </c>
      <c r="C646" s="74"/>
      <c r="D646" s="74" t="str">
        <f>IFERROR(__xludf.DUMMYFUNCTION("""COMPUTED_VALUE"""),"\\MCA-S\mk\2_BM\0_BMat\08_PYM\Inventario\excel\Imagen de refacciones\Putzmeister\PM conveying Worm Left _ Tornillo sinfín izquierdo para transporte PM")</f>
        <v>\\MCA-S\mk\2_BM\0_BMat\08_PYM\Inventario\excel\Imagen de refacciones\Putzmeister\PM conveying Worm Left _ Tornillo sinfín izquierdo para transporte PM</v>
      </c>
      <c r="E646" s="74"/>
      <c r="F646" s="74" t="str">
        <f>IFERROR(__xludf.DUMMYFUNCTION("""COMPUTED_VALUE"""),"PM conveying Worm Left / Tornillo sinfín izquierdo para transporte PM")</f>
        <v>PM conveying Worm Left / Tornillo sinfín izquierdo para transporte PM</v>
      </c>
      <c r="G646" s="74"/>
      <c r="H646" s="74"/>
      <c r="I646" s="74" t="str">
        <f>IFERROR(__xludf.DUMMYFUNCTION("""COMPUTED_VALUE"""),"SOM20202")</f>
        <v>SOM20202</v>
      </c>
      <c r="J646" s="74" t="str">
        <f>IFERROR(__xludf.DUMMYFUNCTION("""COMPUTED_VALUE"""),"249174001")</f>
        <v>249174001</v>
      </c>
      <c r="K646" s="74" t="str">
        <f>IFERROR(__xludf.DUMMYFUNCTION("""COMPUTED_VALUE"""),"Putzmeister")</f>
        <v>Putzmeister</v>
      </c>
      <c r="L646" s="74" t="str">
        <f>IFERROR(__xludf.DUMMYFUNCTION("""COMPUTED_VALUE"""),"Sistema de bombeo de concreto")</f>
        <v>Sistema de bombeo de concreto</v>
      </c>
      <c r="M646" s="74" t="str">
        <f>IFERROR(__xludf.DUMMYFUNCTION("""COMPUTED_VALUE"""),"Sin Asignar")</f>
        <v>Sin Asignar</v>
      </c>
      <c r="N646" s="87">
        <f>IFERROR(__xludf.DUMMYFUNCTION("""COMPUTED_VALUE"""),0.0)</f>
        <v>0</v>
      </c>
      <c r="O646" s="74"/>
      <c r="P646" s="74" t="str">
        <f>IFERROR(__xludf.DUMMYFUNCTION("""COMPUTED_VALUE"""),"No Available")</f>
        <v>No Available</v>
      </c>
      <c r="Q646" s="74"/>
      <c r="R646" s="74"/>
      <c r="S646" s="87">
        <f>IFERROR(__xludf.DUMMYFUNCTION("""COMPUTED_VALUE"""),0.0)</f>
        <v>0</v>
      </c>
      <c r="T646" s="87">
        <f>IFERROR(__xludf.DUMMYFUNCTION("""COMPUTED_VALUE"""),0.0)</f>
        <v>0</v>
      </c>
      <c r="U646" s="87">
        <f>IFERROR(__xludf.DUMMYFUNCTION("""COMPUTED_VALUE"""),0.0)</f>
        <v>0</v>
      </c>
      <c r="V646" s="87">
        <f>IFERROR(__xludf.DUMMYFUNCTION("""COMPUTED_VALUE"""),0.0)</f>
        <v>0</v>
      </c>
      <c r="W646" s="87">
        <f>IFERROR(__xludf.DUMMYFUNCTION("""COMPUTED_VALUE"""),0.0)</f>
        <v>0</v>
      </c>
      <c r="X646" s="88"/>
      <c r="Y646" s="74"/>
      <c r="Z646" s="74"/>
    </row>
    <row r="647">
      <c r="B647" s="74" t="str">
        <f>IFERROR(__xludf.DUMMYFUNCTION("""COMPUTED_VALUE"""),"1644")</f>
        <v>1644</v>
      </c>
      <c r="C647" s="74"/>
      <c r="D647" s="74" t="str">
        <f>IFERROR(__xludf.DUMMYFUNCTION("""COMPUTED_VALUE"""),"\\MCA-S\mk\2_BM\0_BMat\08_PYM\Inventario\excel\Imagen de refacciones\Putzmeister\PM conveying worm right _ Tornillo sinfín derecho para transporte PM")</f>
        <v>\\MCA-S\mk\2_BM\0_BMat\08_PYM\Inventario\excel\Imagen de refacciones\Putzmeister\PM conveying worm right _ Tornillo sinfín derecho para transporte PM</v>
      </c>
      <c r="E647" s="74"/>
      <c r="F647" s="74" t="str">
        <f>IFERROR(__xludf.DUMMYFUNCTION("""COMPUTED_VALUE"""),"PM conveying worm right / Tornillo sinfín derecho para transporte PM")</f>
        <v>PM conveying worm right / Tornillo sinfín derecho para transporte PM</v>
      </c>
      <c r="G647" s="74"/>
      <c r="H647" s="74"/>
      <c r="I647" s="74" t="str">
        <f>IFERROR(__xludf.DUMMYFUNCTION("""COMPUTED_VALUE"""),"SOM20203")</f>
        <v>SOM20203</v>
      </c>
      <c r="J647" s="74" t="str">
        <f>IFERROR(__xludf.DUMMYFUNCTION("""COMPUTED_VALUE"""),"249175000")</f>
        <v>249175000</v>
      </c>
      <c r="K647" s="74" t="str">
        <f>IFERROR(__xludf.DUMMYFUNCTION("""COMPUTED_VALUE"""),"Putzmeister")</f>
        <v>Putzmeister</v>
      </c>
      <c r="L647" s="74" t="str">
        <f>IFERROR(__xludf.DUMMYFUNCTION("""COMPUTED_VALUE"""),"Sistema de bombeo de concreto")</f>
        <v>Sistema de bombeo de concreto</v>
      </c>
      <c r="M647" s="74" t="str">
        <f>IFERROR(__xludf.DUMMYFUNCTION("""COMPUTED_VALUE"""),"Sin Asignar")</f>
        <v>Sin Asignar</v>
      </c>
      <c r="N647" s="87">
        <f>IFERROR(__xludf.DUMMYFUNCTION("""COMPUTED_VALUE"""),0.0)</f>
        <v>0</v>
      </c>
      <c r="O647" s="74"/>
      <c r="P647" s="74" t="str">
        <f>IFERROR(__xludf.DUMMYFUNCTION("""COMPUTED_VALUE"""),"No Available")</f>
        <v>No Available</v>
      </c>
      <c r="Q647" s="74"/>
      <c r="R647" s="74"/>
      <c r="S647" s="87">
        <f>IFERROR(__xludf.DUMMYFUNCTION("""COMPUTED_VALUE"""),0.0)</f>
        <v>0</v>
      </c>
      <c r="T647" s="87">
        <f>IFERROR(__xludf.DUMMYFUNCTION("""COMPUTED_VALUE"""),0.0)</f>
        <v>0</v>
      </c>
      <c r="U647" s="87">
        <f>IFERROR(__xludf.DUMMYFUNCTION("""COMPUTED_VALUE"""),0.0)</f>
        <v>0</v>
      </c>
      <c r="V647" s="87">
        <f>IFERROR(__xludf.DUMMYFUNCTION("""COMPUTED_VALUE"""),0.0)</f>
        <v>0</v>
      </c>
      <c r="W647" s="87">
        <f>IFERROR(__xludf.DUMMYFUNCTION("""COMPUTED_VALUE"""),0.0)</f>
        <v>0</v>
      </c>
      <c r="X647" s="88"/>
      <c r="Y647" s="74"/>
      <c r="Z647" s="74"/>
    </row>
    <row r="648">
      <c r="B648" s="74" t="str">
        <f>IFERROR(__xludf.DUMMYFUNCTION("""COMPUTED_VALUE"""),"1645")</f>
        <v>1645</v>
      </c>
      <c r="C648" s="74"/>
      <c r="D648" s="74" t="str">
        <f>IFERROR(__xludf.DUMMYFUNCTION("""COMPUTED_VALUE"""),"\\MCA-S\mk\2_BM\0_BMat\08_PYM\Inventario\excel\Imagen de refacciones\Putzmeister\Mixing paddle Right Hand _ Paleta mezcladora lado derecho")</f>
        <v>\\MCA-S\mk\2_BM\0_BMat\08_PYM\Inventario\excel\Imagen de refacciones\Putzmeister\Mixing paddle Right Hand _ Paleta mezcladora lado derecho</v>
      </c>
      <c r="E648" s="74"/>
      <c r="F648" s="74" t="str">
        <f>IFERROR(__xludf.DUMMYFUNCTION("""COMPUTED_VALUE"""),"Mixing paddle Right Hand / Paleta mezcladora lado derecho")</f>
        <v>Mixing paddle Right Hand / Paleta mezcladora lado derecho</v>
      </c>
      <c r="G648" s="74"/>
      <c r="H648" s="74"/>
      <c r="I648" s="74" t="str">
        <f>IFERROR(__xludf.DUMMYFUNCTION("""COMPUTED_VALUE"""),"SOM20206")</f>
        <v>SOM20206</v>
      </c>
      <c r="J648" s="74" t="str">
        <f>IFERROR(__xludf.DUMMYFUNCTION("""COMPUTED_VALUE"""),"264508005")</f>
        <v>264508005</v>
      </c>
      <c r="K648" s="74" t="str">
        <f>IFERROR(__xludf.DUMMYFUNCTION("""COMPUTED_VALUE"""),"Putzmeister")</f>
        <v>Putzmeister</v>
      </c>
      <c r="L648" s="74" t="str">
        <f>IFERROR(__xludf.DUMMYFUNCTION("""COMPUTED_VALUE"""),"Sistema de bombeo de concreto")</f>
        <v>Sistema de bombeo de concreto</v>
      </c>
      <c r="M648" s="74" t="str">
        <f>IFERROR(__xludf.DUMMYFUNCTION("""COMPUTED_VALUE"""),"Sin Asignar")</f>
        <v>Sin Asignar</v>
      </c>
      <c r="N648" s="87">
        <f>IFERROR(__xludf.DUMMYFUNCTION("""COMPUTED_VALUE"""),0.0)</f>
        <v>0</v>
      </c>
      <c r="O648" s="74"/>
      <c r="P648" s="74" t="str">
        <f>IFERROR(__xludf.DUMMYFUNCTION("""COMPUTED_VALUE"""),"No Available")</f>
        <v>No Available</v>
      </c>
      <c r="Q648" s="74"/>
      <c r="R648" s="74"/>
      <c r="S648" s="87">
        <f>IFERROR(__xludf.DUMMYFUNCTION("""COMPUTED_VALUE"""),0.0)</f>
        <v>0</v>
      </c>
      <c r="T648" s="87">
        <f>IFERROR(__xludf.DUMMYFUNCTION("""COMPUTED_VALUE"""),0.0)</f>
        <v>0</v>
      </c>
      <c r="U648" s="87">
        <f>IFERROR(__xludf.DUMMYFUNCTION("""COMPUTED_VALUE"""),0.0)</f>
        <v>0</v>
      </c>
      <c r="V648" s="87">
        <f>IFERROR(__xludf.DUMMYFUNCTION("""COMPUTED_VALUE"""),0.0)</f>
        <v>0</v>
      </c>
      <c r="W648" s="87">
        <f>IFERROR(__xludf.DUMMYFUNCTION("""COMPUTED_VALUE"""),0.0)</f>
        <v>0</v>
      </c>
      <c r="X648" s="88"/>
      <c r="Y648" s="74"/>
      <c r="Z648" s="74"/>
    </row>
    <row r="649">
      <c r="B649" s="74" t="str">
        <f>IFERROR(__xludf.DUMMYFUNCTION("""COMPUTED_VALUE"""),"1646")</f>
        <v>1646</v>
      </c>
      <c r="C649" s="74"/>
      <c r="D649" s="74" t="str">
        <f>IFERROR(__xludf.DUMMYFUNCTION("""COMPUTED_VALUE"""),"\\MCA-S\mk\2_BM\0_BMat\08_PYM\Inventario\excel\Imagen de refacciones\Putzmeister\Mixing paddle left hand _ Mezcla y homogeneiza concreto en bombas con rotación hacia la izquierda.")</f>
        <v>\\MCA-S\mk\2_BM\0_BMat\08_PYM\Inventario\excel\Imagen de refacciones\Putzmeister\Mixing paddle left hand _ Mezcla y homogeneiza concreto en bombas con rotación hacia la izquierda.</v>
      </c>
      <c r="E649" s="74"/>
      <c r="F649" s="74" t="str">
        <f>IFERROR(__xludf.DUMMYFUNCTION("""COMPUTED_VALUE"""),"Mixing paddle left hand / Mezcla y homogeneiza concreto en bombas con rotación hacia la izquierda.")</f>
        <v>Mixing paddle left hand / Mezcla y homogeneiza concreto en bombas con rotación hacia la izquierda.</v>
      </c>
      <c r="G649" s="74"/>
      <c r="H649" s="74"/>
      <c r="I649" s="74" t="str">
        <f>IFERROR(__xludf.DUMMYFUNCTION("""COMPUTED_VALUE"""),"SOM20207")</f>
        <v>SOM20207</v>
      </c>
      <c r="J649" s="74" t="str">
        <f>IFERROR(__xludf.DUMMYFUNCTION("""COMPUTED_VALUE"""),"264507006")</f>
        <v>264507006</v>
      </c>
      <c r="K649" s="74" t="str">
        <f>IFERROR(__xludf.DUMMYFUNCTION("""COMPUTED_VALUE"""),"Putzmeister")</f>
        <v>Putzmeister</v>
      </c>
      <c r="L649" s="74" t="str">
        <f>IFERROR(__xludf.DUMMYFUNCTION("""COMPUTED_VALUE"""),"Sistema de bombeo de concreto")</f>
        <v>Sistema de bombeo de concreto</v>
      </c>
      <c r="M649" s="74" t="str">
        <f>IFERROR(__xludf.DUMMYFUNCTION("""COMPUTED_VALUE"""),"Sin Asignar")</f>
        <v>Sin Asignar</v>
      </c>
      <c r="N649" s="87">
        <f>IFERROR(__xludf.DUMMYFUNCTION("""COMPUTED_VALUE"""),0.0)</f>
        <v>0</v>
      </c>
      <c r="O649" s="74"/>
      <c r="P649" s="74" t="str">
        <f>IFERROR(__xludf.DUMMYFUNCTION("""COMPUTED_VALUE"""),"No Available")</f>
        <v>No Available</v>
      </c>
      <c r="Q649" s="74"/>
      <c r="R649" s="74"/>
      <c r="S649" s="87">
        <f>IFERROR(__xludf.DUMMYFUNCTION("""COMPUTED_VALUE"""),0.0)</f>
        <v>0</v>
      </c>
      <c r="T649" s="87">
        <f>IFERROR(__xludf.DUMMYFUNCTION("""COMPUTED_VALUE"""),0.0)</f>
        <v>0</v>
      </c>
      <c r="U649" s="87">
        <f>IFERROR(__xludf.DUMMYFUNCTION("""COMPUTED_VALUE"""),0.0)</f>
        <v>0</v>
      </c>
      <c r="V649" s="87">
        <f>IFERROR(__xludf.DUMMYFUNCTION("""COMPUTED_VALUE"""),0.0)</f>
        <v>0</v>
      </c>
      <c r="W649" s="87">
        <f>IFERROR(__xludf.DUMMYFUNCTION("""COMPUTED_VALUE"""),0.0)</f>
        <v>0</v>
      </c>
      <c r="X649" s="88"/>
      <c r="Y649" s="74"/>
      <c r="Z649" s="74"/>
    </row>
    <row r="650">
      <c r="B650" s="74" t="str">
        <f>IFERROR(__xludf.DUMMYFUNCTION("""COMPUTED_VALUE"""),"1647")</f>
        <v>1647</v>
      </c>
      <c r="C650" s="74"/>
      <c r="D650" s="74" t="str">
        <f>IFERROR(__xludf.DUMMYFUNCTION("""COMPUTED_VALUE"""),"\\MCA-S\mk\2_BM\0_BMat\08_PYM\Inventario\excel\Imagen de refacciones\Putzmeister\Fork-G61 _ Horquilla G61")</f>
        <v>\\MCA-S\mk\2_BM\0_BMat\08_PYM\Inventario\excel\Imagen de refacciones\Putzmeister\Fork-G61 _ Horquilla G61</v>
      </c>
      <c r="E650" s="74"/>
      <c r="F650" s="74" t="str">
        <f>IFERROR(__xludf.DUMMYFUNCTION("""COMPUTED_VALUE"""),"Fork-G61 / Horquilla G61")</f>
        <v>Fork-G61 / Horquilla G61</v>
      </c>
      <c r="G650" s="74"/>
      <c r="H650" s="74"/>
      <c r="I650" s="74" t="str">
        <f>IFERROR(__xludf.DUMMYFUNCTION("""COMPUTED_VALUE"""),"SOM20208")</f>
        <v>SOM20208</v>
      </c>
      <c r="J650" s="74" t="str">
        <f>IFERROR(__xludf.DUMMYFUNCTION("""COMPUTED_VALUE"""),"62587008")</f>
        <v>62587008</v>
      </c>
      <c r="K650" s="74" t="str">
        <f>IFERROR(__xludf.DUMMYFUNCTION("""COMPUTED_VALUE"""),"Putzmeister")</f>
        <v>Putzmeister</v>
      </c>
      <c r="L650" s="74" t="str">
        <f>IFERROR(__xludf.DUMMYFUNCTION("""COMPUTED_VALUE"""),"Componentes estructurales y de montaje")</f>
        <v>Componentes estructurales y de montaje</v>
      </c>
      <c r="M650" s="74" t="str">
        <f>IFERROR(__xludf.DUMMYFUNCTION("""COMPUTED_VALUE"""),"Sin Asignar")</f>
        <v>Sin Asignar</v>
      </c>
      <c r="N650" s="87">
        <f>IFERROR(__xludf.DUMMYFUNCTION("""COMPUTED_VALUE"""),0.0)</f>
        <v>0</v>
      </c>
      <c r="O650" s="74"/>
      <c r="P650" s="74" t="str">
        <f>IFERROR(__xludf.DUMMYFUNCTION("""COMPUTED_VALUE"""),"No Available")</f>
        <v>No Available</v>
      </c>
      <c r="Q650" s="74"/>
      <c r="R650" s="74"/>
      <c r="S650" s="87">
        <f>IFERROR(__xludf.DUMMYFUNCTION("""COMPUTED_VALUE"""),0.0)</f>
        <v>0</v>
      </c>
      <c r="T650" s="87">
        <f>IFERROR(__xludf.DUMMYFUNCTION("""COMPUTED_VALUE"""),0.0)</f>
        <v>0</v>
      </c>
      <c r="U650" s="87">
        <f>IFERROR(__xludf.DUMMYFUNCTION("""COMPUTED_VALUE"""),0.0)</f>
        <v>0</v>
      </c>
      <c r="V650" s="87">
        <f>IFERROR(__xludf.DUMMYFUNCTION("""COMPUTED_VALUE"""),0.0)</f>
        <v>0</v>
      </c>
      <c r="W650" s="87">
        <f>IFERROR(__xludf.DUMMYFUNCTION("""COMPUTED_VALUE"""),0.0)</f>
        <v>0</v>
      </c>
      <c r="X650" s="88"/>
      <c r="Y650" s="74"/>
      <c r="Z650" s="74"/>
    </row>
    <row r="651">
      <c r="B651" s="74" t="str">
        <f>IFERROR(__xludf.DUMMYFUNCTION("""COMPUTED_VALUE"""),"1648")</f>
        <v>1648</v>
      </c>
      <c r="C651" s="74"/>
      <c r="D651" s="74" t="str">
        <f>IFERROR(__xludf.DUMMYFUNCTION("""COMPUTED_VALUE"""),"\\MCA-S\mk\2_BM\0_BMat\08_PYM\Inventario\excel\Imagen de refacciones\Putzmeister\Sliding gear G61 _ Engrane deslizante G61")</f>
        <v>\\MCA-S\mk\2_BM\0_BMat\08_PYM\Inventario\excel\Imagen de refacciones\Putzmeister\Sliding gear G61 _ Engrane deslizante G61</v>
      </c>
      <c r="E651" s="74"/>
      <c r="F651" s="74" t="str">
        <f>IFERROR(__xludf.DUMMYFUNCTION("""COMPUTED_VALUE"""),"Sliding gear G61 / Engrane deslizante G61")</f>
        <v>Sliding gear G61 / Engrane deslizante G61</v>
      </c>
      <c r="G651" s="74"/>
      <c r="H651" s="74"/>
      <c r="I651" s="74" t="str">
        <f>IFERROR(__xludf.DUMMYFUNCTION("""COMPUTED_VALUE"""),"SOM20209")</f>
        <v>SOM20209</v>
      </c>
      <c r="J651" s="74" t="str">
        <f>IFERROR(__xludf.DUMMYFUNCTION("""COMPUTED_VALUE"""),"62587009")</f>
        <v>62587009</v>
      </c>
      <c r="K651" s="74" t="str">
        <f>IFERROR(__xludf.DUMMYFUNCTION("""COMPUTED_VALUE"""),"Putzmeister")</f>
        <v>Putzmeister</v>
      </c>
      <c r="L651" s="74" t="str">
        <f>IFERROR(__xludf.DUMMYFUNCTION("""COMPUTED_VALUE"""),"Transmisión mecánica")</f>
        <v>Transmisión mecánica</v>
      </c>
      <c r="M651" s="74" t="str">
        <f>IFERROR(__xludf.DUMMYFUNCTION("""COMPUTED_VALUE"""),"Sin Asignar")</f>
        <v>Sin Asignar</v>
      </c>
      <c r="N651" s="87">
        <f>IFERROR(__xludf.DUMMYFUNCTION("""COMPUTED_VALUE"""),0.0)</f>
        <v>0</v>
      </c>
      <c r="O651" s="74"/>
      <c r="P651" s="74" t="str">
        <f>IFERROR(__xludf.DUMMYFUNCTION("""COMPUTED_VALUE"""),"No Available")</f>
        <v>No Available</v>
      </c>
      <c r="Q651" s="74"/>
      <c r="R651" s="74"/>
      <c r="S651" s="87">
        <f>IFERROR(__xludf.DUMMYFUNCTION("""COMPUTED_VALUE"""),0.0)</f>
        <v>0</v>
      </c>
      <c r="T651" s="87">
        <f>IFERROR(__xludf.DUMMYFUNCTION("""COMPUTED_VALUE"""),0.0)</f>
        <v>0</v>
      </c>
      <c r="U651" s="87">
        <f>IFERROR(__xludf.DUMMYFUNCTION("""COMPUTED_VALUE"""),0.0)</f>
        <v>0</v>
      </c>
      <c r="V651" s="87">
        <f>IFERROR(__xludf.DUMMYFUNCTION("""COMPUTED_VALUE"""),0.0)</f>
        <v>0</v>
      </c>
      <c r="W651" s="87">
        <f>IFERROR(__xludf.DUMMYFUNCTION("""COMPUTED_VALUE"""),0.0)</f>
        <v>0</v>
      </c>
      <c r="X651" s="88"/>
      <c r="Y651" s="74"/>
      <c r="Z651" s="74"/>
    </row>
    <row r="652">
      <c r="B652" s="74" t="str">
        <f>IFERROR(__xludf.DUMMYFUNCTION("""COMPUTED_VALUE"""),"1649")</f>
        <v>1649</v>
      </c>
      <c r="C652" s="74"/>
      <c r="D652" s="74" t="str">
        <f>IFERROR(__xludf.DUMMYFUNCTION("""COMPUTED_VALUE"""),"\\MCA-S\mk\2_BM\0_BMat\08_PYM\Inventario\excel\Imagen de refacciones\Putzmeister\Elbow 10 Degree 5,5_ _ Codo de 10° 5,5_")</f>
        <v>\\MCA-S\mk\2_BM\0_BMat\08_PYM\Inventario\excel\Imagen de refacciones\Putzmeister\Elbow 10 Degree 5,5_ _ Codo de 10° 5,5_</v>
      </c>
      <c r="E652" s="74"/>
      <c r="F652" s="74" t="str">
        <f>IFERROR(__xludf.DUMMYFUNCTION("""COMPUTED_VALUE"""),"Elbow 10 Degree 5,5"" / Codo de 10° 5,5""")</f>
        <v>Elbow 10 Degree 5,5" / Codo de 10° 5,5"</v>
      </c>
      <c r="G652" s="74"/>
      <c r="H652" s="74"/>
      <c r="I652" s="74" t="str">
        <f>IFERROR(__xludf.DUMMYFUNCTION("""COMPUTED_VALUE"""),"SOM20210")</f>
        <v>SOM20210</v>
      </c>
      <c r="J652" s="74" t="str">
        <f>IFERROR(__xludf.DUMMYFUNCTION("""COMPUTED_VALUE"""),"23060007")</f>
        <v>23060007</v>
      </c>
      <c r="K652" s="74" t="str">
        <f>IFERROR(__xludf.DUMMYFUNCTION("""COMPUTED_VALUE"""),"Putzmeister")</f>
        <v>Putzmeister</v>
      </c>
      <c r="L652" s="74" t="str">
        <f>IFERROR(__xludf.DUMMYFUNCTION("""COMPUTED_VALUE"""),"Componentes estructurales y de montaje")</f>
        <v>Componentes estructurales y de montaje</v>
      </c>
      <c r="M652" s="74" t="str">
        <f>IFERROR(__xludf.DUMMYFUNCTION("""COMPUTED_VALUE"""),"Sin Asignar")</f>
        <v>Sin Asignar</v>
      </c>
      <c r="N652" s="87">
        <f>IFERROR(__xludf.DUMMYFUNCTION("""COMPUTED_VALUE"""),0.0)</f>
        <v>0</v>
      </c>
      <c r="O652" s="74"/>
      <c r="P652" s="74" t="str">
        <f>IFERROR(__xludf.DUMMYFUNCTION("""COMPUTED_VALUE"""),"No Available")</f>
        <v>No Available</v>
      </c>
      <c r="Q652" s="74"/>
      <c r="R652" s="74"/>
      <c r="S652" s="87">
        <f>IFERROR(__xludf.DUMMYFUNCTION("""COMPUTED_VALUE"""),0.0)</f>
        <v>0</v>
      </c>
      <c r="T652" s="87">
        <f>IFERROR(__xludf.DUMMYFUNCTION("""COMPUTED_VALUE"""),0.0)</f>
        <v>0</v>
      </c>
      <c r="U652" s="87">
        <f>IFERROR(__xludf.DUMMYFUNCTION("""COMPUTED_VALUE"""),0.0)</f>
        <v>0</v>
      </c>
      <c r="V652" s="87">
        <f>IFERROR(__xludf.DUMMYFUNCTION("""COMPUTED_VALUE"""),0.0)</f>
        <v>0</v>
      </c>
      <c r="W652" s="87">
        <f>IFERROR(__xludf.DUMMYFUNCTION("""COMPUTED_VALUE"""),0.0)</f>
        <v>0</v>
      </c>
      <c r="X652" s="88"/>
      <c r="Y652" s="74"/>
      <c r="Z652" s="74"/>
    </row>
    <row r="653">
      <c r="B653" s="74" t="str">
        <f>IFERROR(__xludf.DUMMYFUNCTION("""COMPUTED_VALUE"""),"1650")</f>
        <v>1650</v>
      </c>
      <c r="C653" s="74"/>
      <c r="D653" s="74" t="str">
        <f>IFERROR(__xludf.DUMMYFUNCTION("""COMPUTED_VALUE"""),"\\MCA-S\mk\2_BM\0_BMat\08_PYM\Inventario\excel\Imagen de refacciones\Putzmeister\Elbow 15 degree 5,5_ _ Codo de 15° 5,5_")</f>
        <v>\\MCA-S\mk\2_BM\0_BMat\08_PYM\Inventario\excel\Imagen de refacciones\Putzmeister\Elbow 15 degree 5,5_ _ Codo de 15° 5,5_</v>
      </c>
      <c r="E653" s="74"/>
      <c r="F653" s="74" t="str">
        <f>IFERROR(__xludf.DUMMYFUNCTION("""COMPUTED_VALUE"""),"Elbow 15 degree 5,5"" / Codo de 15° 5,5""")</f>
        <v>Elbow 15 degree 5,5" / Codo de 15° 5,5"</v>
      </c>
      <c r="G653" s="74"/>
      <c r="H653" s="74"/>
      <c r="I653" s="74" t="str">
        <f>IFERROR(__xludf.DUMMYFUNCTION("""COMPUTED_VALUE"""),"SOM20211")</f>
        <v>SOM20211</v>
      </c>
      <c r="J653" s="74" t="str">
        <f>IFERROR(__xludf.DUMMYFUNCTION("""COMPUTED_VALUE"""),"57598002")</f>
        <v>57598002</v>
      </c>
      <c r="K653" s="74" t="str">
        <f>IFERROR(__xludf.DUMMYFUNCTION("""COMPUTED_VALUE"""),"Putzmeister")</f>
        <v>Putzmeister</v>
      </c>
      <c r="L653" s="74" t="str">
        <f>IFERROR(__xludf.DUMMYFUNCTION("""COMPUTED_VALUE"""),"Componentes estructurales y de montaje")</f>
        <v>Componentes estructurales y de montaje</v>
      </c>
      <c r="M653" s="74" t="str">
        <f>IFERROR(__xludf.DUMMYFUNCTION("""COMPUTED_VALUE"""),"Sin Asignar")</f>
        <v>Sin Asignar</v>
      </c>
      <c r="N653" s="87">
        <f>IFERROR(__xludf.DUMMYFUNCTION("""COMPUTED_VALUE"""),0.0)</f>
        <v>0</v>
      </c>
      <c r="O653" s="74"/>
      <c r="P653" s="74" t="str">
        <f>IFERROR(__xludf.DUMMYFUNCTION("""COMPUTED_VALUE"""),"No Available")</f>
        <v>No Available</v>
      </c>
      <c r="Q653" s="74"/>
      <c r="R653" s="74"/>
      <c r="S653" s="87">
        <f>IFERROR(__xludf.DUMMYFUNCTION("""COMPUTED_VALUE"""),0.0)</f>
        <v>0</v>
      </c>
      <c r="T653" s="87">
        <f>IFERROR(__xludf.DUMMYFUNCTION("""COMPUTED_VALUE"""),0.0)</f>
        <v>0</v>
      </c>
      <c r="U653" s="87">
        <f>IFERROR(__xludf.DUMMYFUNCTION("""COMPUTED_VALUE"""),0.0)</f>
        <v>0</v>
      </c>
      <c r="V653" s="87">
        <f>IFERROR(__xludf.DUMMYFUNCTION("""COMPUTED_VALUE"""),0.0)</f>
        <v>0</v>
      </c>
      <c r="W653" s="87">
        <f>IFERROR(__xludf.DUMMYFUNCTION("""COMPUTED_VALUE"""),0.0)</f>
        <v>0</v>
      </c>
      <c r="X653" s="88"/>
      <c r="Y653" s="74"/>
      <c r="Z653" s="74"/>
    </row>
    <row r="654">
      <c r="B654" s="74" t="str">
        <f>IFERROR(__xludf.DUMMYFUNCTION("""COMPUTED_VALUE"""),"1651")</f>
        <v>1651</v>
      </c>
      <c r="C654" s="74"/>
      <c r="D654" s="74" t="str">
        <f>IFERROR(__xludf.DUMMYFUNCTION("""COMPUTED_VALUE"""),"\\MCA-S\mk\2_BM\0_BMat\08_PYM\Inventario\excel\Imagen de refacciones\Putzmeister\Elbow 20 degree 5,5_ _ Codo de 20° 5,5_")</f>
        <v>\\MCA-S\mk\2_BM\0_BMat\08_PYM\Inventario\excel\Imagen de refacciones\Putzmeister\Elbow 20 degree 5,5_ _ Codo de 20° 5,5_</v>
      </c>
      <c r="E654" s="74"/>
      <c r="F654" s="74" t="str">
        <f>IFERROR(__xludf.DUMMYFUNCTION("""COMPUTED_VALUE"""),"Elbow 20 degree 5,5"" / Codo de 20° 5,5""")</f>
        <v>Elbow 20 degree 5,5" / Codo de 20° 5,5"</v>
      </c>
      <c r="G654" s="74"/>
      <c r="H654" s="74"/>
      <c r="I654" s="74" t="str">
        <f>IFERROR(__xludf.DUMMYFUNCTION("""COMPUTED_VALUE"""),"SOM20212")</f>
        <v>SOM20212</v>
      </c>
      <c r="J654" s="74" t="str">
        <f>IFERROR(__xludf.DUMMYFUNCTION("""COMPUTED_VALUE"""),"245484009")</f>
        <v>245484009</v>
      </c>
      <c r="K654" s="74" t="str">
        <f>IFERROR(__xludf.DUMMYFUNCTION("""COMPUTED_VALUE"""),"Putzmeister")</f>
        <v>Putzmeister</v>
      </c>
      <c r="L654" s="74" t="str">
        <f>IFERROR(__xludf.DUMMYFUNCTION("""COMPUTED_VALUE"""),"Componentes estructurales y de montaje")</f>
        <v>Componentes estructurales y de montaje</v>
      </c>
      <c r="M654" s="74" t="str">
        <f>IFERROR(__xludf.DUMMYFUNCTION("""COMPUTED_VALUE"""),"Sin Asignar")</f>
        <v>Sin Asignar</v>
      </c>
      <c r="N654" s="87">
        <f>IFERROR(__xludf.DUMMYFUNCTION("""COMPUTED_VALUE"""),0.0)</f>
        <v>0</v>
      </c>
      <c r="O654" s="74"/>
      <c r="P654" s="74" t="str">
        <f>IFERROR(__xludf.DUMMYFUNCTION("""COMPUTED_VALUE"""),"No Available")</f>
        <v>No Available</v>
      </c>
      <c r="Q654" s="74"/>
      <c r="R654" s="74"/>
      <c r="S654" s="87">
        <f>IFERROR(__xludf.DUMMYFUNCTION("""COMPUTED_VALUE"""),0.0)</f>
        <v>0</v>
      </c>
      <c r="T654" s="87">
        <f>IFERROR(__xludf.DUMMYFUNCTION("""COMPUTED_VALUE"""),0.0)</f>
        <v>0</v>
      </c>
      <c r="U654" s="87">
        <f>IFERROR(__xludf.DUMMYFUNCTION("""COMPUTED_VALUE"""),0.0)</f>
        <v>0</v>
      </c>
      <c r="V654" s="87">
        <f>IFERROR(__xludf.DUMMYFUNCTION("""COMPUTED_VALUE"""),0.0)</f>
        <v>0</v>
      </c>
      <c r="W654" s="87">
        <f>IFERROR(__xludf.DUMMYFUNCTION("""COMPUTED_VALUE"""),0.0)</f>
        <v>0</v>
      </c>
      <c r="X654" s="88"/>
      <c r="Y654" s="74"/>
      <c r="Z654" s="74"/>
    </row>
    <row r="655">
      <c r="B655" s="74" t="str">
        <f>IFERROR(__xludf.DUMMYFUNCTION("""COMPUTED_VALUE"""),"1652")</f>
        <v>1652</v>
      </c>
      <c r="C655" s="74"/>
      <c r="D655" s="74" t="str">
        <f>IFERROR(__xludf.DUMMYFUNCTION("""COMPUTED_VALUE"""),"\\MCA-S\mk\2_BM\0_BMat\08_PYM\Inventario\excel\Imagen de refacciones\Putzmeister\Elbow 30 degree 5,5_ _ Codo de 30° 5,5_")</f>
        <v>\\MCA-S\mk\2_BM\0_BMat\08_PYM\Inventario\excel\Imagen de refacciones\Putzmeister\Elbow 30 degree 5,5_ _ Codo de 30° 5,5_</v>
      </c>
      <c r="E655" s="74"/>
      <c r="F655" s="74" t="str">
        <f>IFERROR(__xludf.DUMMYFUNCTION("""COMPUTED_VALUE"""),"Elbow 30 degree 5,5"" / Codo de 30° 5,5""")</f>
        <v>Elbow 30 degree 5,5" / Codo de 30° 5,5"</v>
      </c>
      <c r="G655" s="74"/>
      <c r="H655" s="74"/>
      <c r="I655" s="74" t="str">
        <f>IFERROR(__xludf.DUMMYFUNCTION("""COMPUTED_VALUE"""),"SOM20213")</f>
        <v>SOM20213</v>
      </c>
      <c r="J655" s="74" t="str">
        <f>IFERROR(__xludf.DUMMYFUNCTION("""COMPUTED_VALUE"""),"57597003")</f>
        <v>57597003</v>
      </c>
      <c r="K655" s="74" t="str">
        <f>IFERROR(__xludf.DUMMYFUNCTION("""COMPUTED_VALUE"""),"Putzmeister")</f>
        <v>Putzmeister</v>
      </c>
      <c r="L655" s="74" t="str">
        <f>IFERROR(__xludf.DUMMYFUNCTION("""COMPUTED_VALUE"""),"Componentes estructurales y de montaje")</f>
        <v>Componentes estructurales y de montaje</v>
      </c>
      <c r="M655" s="74" t="str">
        <f>IFERROR(__xludf.DUMMYFUNCTION("""COMPUTED_VALUE"""),"Sin Asignar")</f>
        <v>Sin Asignar</v>
      </c>
      <c r="N655" s="87">
        <f>IFERROR(__xludf.DUMMYFUNCTION("""COMPUTED_VALUE"""),0.0)</f>
        <v>0</v>
      </c>
      <c r="O655" s="74"/>
      <c r="P655" s="74" t="str">
        <f>IFERROR(__xludf.DUMMYFUNCTION("""COMPUTED_VALUE"""),"No Available")</f>
        <v>No Available</v>
      </c>
      <c r="Q655" s="74"/>
      <c r="R655" s="74"/>
      <c r="S655" s="87">
        <f>IFERROR(__xludf.DUMMYFUNCTION("""COMPUTED_VALUE"""),0.0)</f>
        <v>0</v>
      </c>
      <c r="T655" s="87">
        <f>IFERROR(__xludf.DUMMYFUNCTION("""COMPUTED_VALUE"""),0.0)</f>
        <v>0</v>
      </c>
      <c r="U655" s="87">
        <f>IFERROR(__xludf.DUMMYFUNCTION("""COMPUTED_VALUE"""),0.0)</f>
        <v>0</v>
      </c>
      <c r="V655" s="87">
        <f>IFERROR(__xludf.DUMMYFUNCTION("""COMPUTED_VALUE"""),0.0)</f>
        <v>0</v>
      </c>
      <c r="W655" s="87">
        <f>IFERROR(__xludf.DUMMYFUNCTION("""COMPUTED_VALUE"""),0.0)</f>
        <v>0</v>
      </c>
      <c r="X655" s="88"/>
      <c r="Y655" s="74"/>
      <c r="Z655" s="74"/>
    </row>
    <row r="656">
      <c r="B656" s="74" t="str">
        <f>IFERROR(__xludf.DUMMYFUNCTION("""COMPUTED_VALUE"""),"1653")</f>
        <v>1653</v>
      </c>
      <c r="C656" s="74"/>
      <c r="D656" s="74" t="str">
        <f>IFERROR(__xludf.DUMMYFUNCTION("""COMPUTED_VALUE"""),"\\MCA-S\mk\2_BM\0_BMat\08_PYM\Inventario\excel\Imagen de refacciones\Putzmeister\Elbow 45 degree 5,5_ _ Codo de 45° 5,5_")</f>
        <v>\\MCA-S\mk\2_BM\0_BMat\08_PYM\Inventario\excel\Imagen de refacciones\Putzmeister\Elbow 45 degree 5,5_ _ Codo de 45° 5,5_</v>
      </c>
      <c r="E656" s="74"/>
      <c r="F656" s="74" t="str">
        <f>IFERROR(__xludf.DUMMYFUNCTION("""COMPUTED_VALUE"""),"Elbow 45 degree 5,5"" / Codo de 45° 5,5""")</f>
        <v>Elbow 45 degree 5,5" / Codo de 45° 5,5"</v>
      </c>
      <c r="G656" s="74"/>
      <c r="H656" s="74"/>
      <c r="I656" s="74" t="str">
        <f>IFERROR(__xludf.DUMMYFUNCTION("""COMPUTED_VALUE"""),"SOM20214")</f>
        <v>SOM20214</v>
      </c>
      <c r="J656" s="74" t="str">
        <f>IFERROR(__xludf.DUMMYFUNCTION("""COMPUTED_VALUE"""),"57596004")</f>
        <v>57596004</v>
      </c>
      <c r="K656" s="74" t="str">
        <f>IFERROR(__xludf.DUMMYFUNCTION("""COMPUTED_VALUE"""),"Putzmeister")</f>
        <v>Putzmeister</v>
      </c>
      <c r="L656" s="74" t="str">
        <f>IFERROR(__xludf.DUMMYFUNCTION("""COMPUTED_VALUE"""),"Componentes estructurales y de montaje")</f>
        <v>Componentes estructurales y de montaje</v>
      </c>
      <c r="M656" s="74" t="str">
        <f>IFERROR(__xludf.DUMMYFUNCTION("""COMPUTED_VALUE"""),"Sin Asignar")</f>
        <v>Sin Asignar</v>
      </c>
      <c r="N656" s="87">
        <f>IFERROR(__xludf.DUMMYFUNCTION("""COMPUTED_VALUE"""),0.0)</f>
        <v>0</v>
      </c>
      <c r="O656" s="74"/>
      <c r="P656" s="74" t="str">
        <f>IFERROR(__xludf.DUMMYFUNCTION("""COMPUTED_VALUE"""),"No Available")</f>
        <v>No Available</v>
      </c>
      <c r="Q656" s="74"/>
      <c r="R656" s="74"/>
      <c r="S656" s="87">
        <f>IFERROR(__xludf.DUMMYFUNCTION("""COMPUTED_VALUE"""),0.0)</f>
        <v>0</v>
      </c>
      <c r="T656" s="87">
        <f>IFERROR(__xludf.DUMMYFUNCTION("""COMPUTED_VALUE"""),0.0)</f>
        <v>0</v>
      </c>
      <c r="U656" s="87">
        <f>IFERROR(__xludf.DUMMYFUNCTION("""COMPUTED_VALUE"""),0.0)</f>
        <v>0</v>
      </c>
      <c r="V656" s="87">
        <f>IFERROR(__xludf.DUMMYFUNCTION("""COMPUTED_VALUE"""),0.0)</f>
        <v>0</v>
      </c>
      <c r="W656" s="87">
        <f>IFERROR(__xludf.DUMMYFUNCTION("""COMPUTED_VALUE"""),0.0)</f>
        <v>0</v>
      </c>
      <c r="X656" s="88"/>
      <c r="Y656" s="74"/>
      <c r="Z656" s="74"/>
    </row>
    <row r="657">
      <c r="B657" s="74" t="str">
        <f>IFERROR(__xludf.DUMMYFUNCTION("""COMPUTED_VALUE"""),"1654")</f>
        <v>1654</v>
      </c>
      <c r="C657" s="74"/>
      <c r="D657" s="74" t="str">
        <f>IFERROR(__xludf.DUMMYFUNCTION("""COMPUTED_VALUE"""),"\\MCA-S\mk\2_BM\0_BMat\08_PYM\Inventario\excel\Imagen de refacciones\Putzmeister\Elbow 45 degree long 5,5_ _ Codo largo de 45° 5,5_")</f>
        <v>\\MCA-S\mk\2_BM\0_BMat\08_PYM\Inventario\excel\Imagen de refacciones\Putzmeister\Elbow 45 degree long 5,5_ _ Codo largo de 45° 5,5_</v>
      </c>
      <c r="E657" s="74"/>
      <c r="F657" s="74" t="str">
        <f>IFERROR(__xludf.DUMMYFUNCTION("""COMPUTED_VALUE"""),"Elbow 45 degree long 5,5"" / Codo largo de 45° 5,5""")</f>
        <v>Elbow 45 degree long 5,5" / Codo largo de 45° 5,5"</v>
      </c>
      <c r="G657" s="74"/>
      <c r="H657" s="74"/>
      <c r="I657" s="74" t="str">
        <f>IFERROR(__xludf.DUMMYFUNCTION("""COMPUTED_VALUE"""),"SOM20215")</f>
        <v>SOM20215</v>
      </c>
      <c r="J657" s="74" t="str">
        <f>IFERROR(__xludf.DUMMYFUNCTION("""COMPUTED_VALUE"""),"427190")</f>
        <v>427190</v>
      </c>
      <c r="K657" s="74" t="str">
        <f>IFERROR(__xludf.DUMMYFUNCTION("""COMPUTED_VALUE"""),"Putzmeister")</f>
        <v>Putzmeister</v>
      </c>
      <c r="L657" s="74" t="str">
        <f>IFERROR(__xludf.DUMMYFUNCTION("""COMPUTED_VALUE"""),"Componentes estructurales y de montaje")</f>
        <v>Componentes estructurales y de montaje</v>
      </c>
      <c r="M657" s="74" t="str">
        <f>IFERROR(__xludf.DUMMYFUNCTION("""COMPUTED_VALUE"""),"Sin Asignar")</f>
        <v>Sin Asignar</v>
      </c>
      <c r="N657" s="87">
        <f>IFERROR(__xludf.DUMMYFUNCTION("""COMPUTED_VALUE"""),0.0)</f>
        <v>0</v>
      </c>
      <c r="O657" s="74"/>
      <c r="P657" s="74" t="str">
        <f>IFERROR(__xludf.DUMMYFUNCTION("""COMPUTED_VALUE"""),"borrar")</f>
        <v>borrar</v>
      </c>
      <c r="Q657" s="74"/>
      <c r="R657" s="74"/>
      <c r="S657" s="87">
        <f>IFERROR(__xludf.DUMMYFUNCTION("""COMPUTED_VALUE"""),0.0)</f>
        <v>0</v>
      </c>
      <c r="T657" s="87">
        <f>IFERROR(__xludf.DUMMYFUNCTION("""COMPUTED_VALUE"""),0.0)</f>
        <v>0</v>
      </c>
      <c r="U657" s="87">
        <f>IFERROR(__xludf.DUMMYFUNCTION("""COMPUTED_VALUE"""),0.0)</f>
        <v>0</v>
      </c>
      <c r="V657" s="87">
        <f>IFERROR(__xludf.DUMMYFUNCTION("""COMPUTED_VALUE"""),0.0)</f>
        <v>0</v>
      </c>
      <c r="W657" s="87">
        <f>IFERROR(__xludf.DUMMYFUNCTION("""COMPUTED_VALUE"""),0.0)</f>
        <v>0</v>
      </c>
      <c r="X657" s="88"/>
      <c r="Y657" s="74"/>
      <c r="Z657" s="74"/>
    </row>
    <row r="658">
      <c r="B658" s="74" t="str">
        <f>IFERROR(__xludf.DUMMYFUNCTION("""COMPUTED_VALUE"""),"1655")</f>
        <v>1655</v>
      </c>
      <c r="C658" s="74"/>
      <c r="D658" s="74" t="str">
        <f>IFERROR(__xludf.DUMMYFUNCTION("""COMPUTED_VALUE"""),"\\MCA-S\mk\2_BM\0_BMat\08_PYM\Inventario\excel\Imagen de refacciones\Putzmeister\Elbow 90 degree 5,5_ _ Codo de 90° 5,5_")</f>
        <v>\\MCA-S\mk\2_BM\0_BMat\08_PYM\Inventario\excel\Imagen de refacciones\Putzmeister\Elbow 90 degree 5,5_ _ Codo de 90° 5,5_</v>
      </c>
      <c r="E658" s="74"/>
      <c r="F658" s="74" t="str">
        <f>IFERROR(__xludf.DUMMYFUNCTION("""COMPUTED_VALUE"""),"Elbow 90 degree 5,5"" / Codo de 90° 5,5""")</f>
        <v>Elbow 90 degree 5,5" / Codo de 90° 5,5"</v>
      </c>
      <c r="G658" s="74"/>
      <c r="H658" s="74"/>
      <c r="I658" s="74" t="str">
        <f>IFERROR(__xludf.DUMMYFUNCTION("""COMPUTED_VALUE"""),"SOM20216")</f>
        <v>SOM20216</v>
      </c>
      <c r="J658" s="74" t="str">
        <f>IFERROR(__xludf.DUMMYFUNCTION("""COMPUTED_VALUE"""),"261402007 / 55725000")</f>
        <v>261402007 / 55725000</v>
      </c>
      <c r="K658" s="74" t="str">
        <f>IFERROR(__xludf.DUMMYFUNCTION("""COMPUTED_VALUE"""),"Putzmeister")</f>
        <v>Putzmeister</v>
      </c>
      <c r="L658" s="74" t="str">
        <f>IFERROR(__xludf.DUMMYFUNCTION("""COMPUTED_VALUE"""),"Componentes estructurales y de montaje")</f>
        <v>Componentes estructurales y de montaje</v>
      </c>
      <c r="M658" s="74" t="str">
        <f>IFERROR(__xludf.DUMMYFUNCTION("""COMPUTED_VALUE"""),"Sin Asignar")</f>
        <v>Sin Asignar</v>
      </c>
      <c r="N658" s="87">
        <f>IFERROR(__xludf.DUMMYFUNCTION("""COMPUTED_VALUE"""),0.0)</f>
        <v>0</v>
      </c>
      <c r="O658" s="74"/>
      <c r="P658" s="74" t="str">
        <f>IFERROR(__xludf.DUMMYFUNCTION("""COMPUTED_VALUE"""),"No Available")</f>
        <v>No Available</v>
      </c>
      <c r="Q658" s="74"/>
      <c r="R658" s="74"/>
      <c r="S658" s="87">
        <f>IFERROR(__xludf.DUMMYFUNCTION("""COMPUTED_VALUE"""),0.0)</f>
        <v>0</v>
      </c>
      <c r="T658" s="87">
        <f>IFERROR(__xludf.DUMMYFUNCTION("""COMPUTED_VALUE"""),0.0)</f>
        <v>0</v>
      </c>
      <c r="U658" s="87">
        <f>IFERROR(__xludf.DUMMYFUNCTION("""COMPUTED_VALUE"""),0.0)</f>
        <v>0</v>
      </c>
      <c r="V658" s="87">
        <f>IFERROR(__xludf.DUMMYFUNCTION("""COMPUTED_VALUE"""),0.0)</f>
        <v>0</v>
      </c>
      <c r="W658" s="87">
        <f>IFERROR(__xludf.DUMMYFUNCTION("""COMPUTED_VALUE"""),0.0)</f>
        <v>0</v>
      </c>
      <c r="X658" s="88"/>
      <c r="Y658" s="74"/>
      <c r="Z658" s="74"/>
    </row>
    <row r="659">
      <c r="B659" s="74" t="str">
        <f>IFERROR(__xludf.DUMMYFUNCTION("""COMPUTED_VALUE"""),"1656")</f>
        <v>1656</v>
      </c>
      <c r="C659" s="74"/>
      <c r="D659" s="74" t="str">
        <f>IFERROR(__xludf.DUMMYFUNCTION("""COMPUTED_VALUE"""),"\\MCA-S\mk\2_BM\0_BMat\08_PYM\Inventario\excel\Imagen de refacciones\Putzmeister\5,5_ Elbow 90 degree short type (r180) _ Codo de 90° tipo corto 5,5_ (R180)")</f>
        <v>\\MCA-S\mk\2_BM\0_BMat\08_PYM\Inventario\excel\Imagen de refacciones\Putzmeister\5,5_ Elbow 90 degree short type (r180) _ Codo de 90° tipo corto 5,5_ (R180)</v>
      </c>
      <c r="E659" s="74"/>
      <c r="F659" s="74" t="str">
        <f>IFERROR(__xludf.DUMMYFUNCTION("""COMPUTED_VALUE"""),"5,5"" Elbow 90 degree short type (r180) / Codo de 90° tipo corto 5,5"" (R180)")</f>
        <v>5,5" Elbow 90 degree short type (r180) / Codo de 90° tipo corto 5,5" (R180)</v>
      </c>
      <c r="G659" s="74"/>
      <c r="H659" s="74"/>
      <c r="I659" s="74" t="str">
        <f>IFERROR(__xludf.DUMMYFUNCTION("""COMPUTED_VALUE"""),"SOM20217")</f>
        <v>SOM20217</v>
      </c>
      <c r="J659" s="74" t="str">
        <f>IFERROR(__xludf.DUMMYFUNCTION("""COMPUTED_VALUE"""),"422732")</f>
        <v>422732</v>
      </c>
      <c r="K659" s="74" t="str">
        <f>IFERROR(__xludf.DUMMYFUNCTION("""COMPUTED_VALUE"""),"Putzmeister")</f>
        <v>Putzmeister</v>
      </c>
      <c r="L659" s="74" t="str">
        <f>IFERROR(__xludf.DUMMYFUNCTION("""COMPUTED_VALUE"""),"Componentes estructurales y de montaje")</f>
        <v>Componentes estructurales y de montaje</v>
      </c>
      <c r="M659" s="74" t="str">
        <f>IFERROR(__xludf.DUMMYFUNCTION("""COMPUTED_VALUE"""),"Sin Asignar")</f>
        <v>Sin Asignar</v>
      </c>
      <c r="N659" s="87">
        <f>IFERROR(__xludf.DUMMYFUNCTION("""COMPUTED_VALUE"""),0.0)</f>
        <v>0</v>
      </c>
      <c r="O659" s="74"/>
      <c r="P659" s="74" t="str">
        <f>IFERROR(__xludf.DUMMYFUNCTION("""COMPUTED_VALUE"""),"No Available")</f>
        <v>No Available</v>
      </c>
      <c r="Q659" s="74"/>
      <c r="R659" s="74"/>
      <c r="S659" s="87">
        <f>IFERROR(__xludf.DUMMYFUNCTION("""COMPUTED_VALUE"""),0.0)</f>
        <v>0</v>
      </c>
      <c r="T659" s="87">
        <f>IFERROR(__xludf.DUMMYFUNCTION("""COMPUTED_VALUE"""),0.0)</f>
        <v>0</v>
      </c>
      <c r="U659" s="87">
        <f>IFERROR(__xludf.DUMMYFUNCTION("""COMPUTED_VALUE"""),0.0)</f>
        <v>0</v>
      </c>
      <c r="V659" s="87">
        <f>IFERROR(__xludf.DUMMYFUNCTION("""COMPUTED_VALUE"""),0.0)</f>
        <v>0</v>
      </c>
      <c r="W659" s="87">
        <f>IFERROR(__xludf.DUMMYFUNCTION("""COMPUTED_VALUE"""),0.0)</f>
        <v>0</v>
      </c>
      <c r="X659" s="88"/>
      <c r="Y659" s="74"/>
      <c r="Z659" s="74"/>
    </row>
    <row r="660">
      <c r="B660" s="74" t="str">
        <f>IFERROR(__xludf.DUMMYFUNCTION("""COMPUTED_VALUE"""),"1657")</f>
        <v>1657</v>
      </c>
      <c r="C660" s="74"/>
      <c r="D660" s="74" t="str">
        <f>IFERROR(__xludf.DUMMYFUNCTION("""COMPUTED_VALUE"""),"\\MCA-S\mk\2_BM\0_BMat\08_PYM\Inventario\excel\Imagen de refacciones\Putzmeister\Tuería en S _ s Pipe")</f>
        <v>\\MCA-S\mk\2_BM\0_BMat\08_PYM\Inventario\excel\Imagen de refacciones\Putzmeister\Tuería en S _ s Pipe</v>
      </c>
      <c r="E660" s="74"/>
      <c r="F660" s="74" t="str">
        <f>IFERROR(__xludf.DUMMYFUNCTION("""COMPUTED_VALUE"""),"Tuería en S / s Pipe")</f>
        <v>Tuería en S / s Pipe</v>
      </c>
      <c r="G660" s="74"/>
      <c r="H660" s="74"/>
      <c r="I660" s="74" t="str">
        <f>IFERROR(__xludf.DUMMYFUNCTION("""COMPUTED_VALUE"""),"SOM20219")</f>
        <v>SOM20219</v>
      </c>
      <c r="J660" s="74" t="str">
        <f>IFERROR(__xludf.DUMMYFUNCTION("""COMPUTED_VALUE"""),"27934009")</f>
        <v>27934009</v>
      </c>
      <c r="K660" s="74" t="str">
        <f>IFERROR(__xludf.DUMMYFUNCTION("""COMPUTED_VALUE"""),"Putzmeister")</f>
        <v>Putzmeister</v>
      </c>
      <c r="L660" s="74" t="str">
        <f>IFERROR(__xludf.DUMMYFUNCTION("""COMPUTED_VALUE"""),"Componentes estructurales y de montaje")</f>
        <v>Componentes estructurales y de montaje</v>
      </c>
      <c r="M660" s="74" t="str">
        <f>IFERROR(__xludf.DUMMYFUNCTION("""COMPUTED_VALUE"""),"Sin Asignar")</f>
        <v>Sin Asignar</v>
      </c>
      <c r="N660" s="87">
        <f>IFERROR(__xludf.DUMMYFUNCTION("""COMPUTED_VALUE"""),0.0)</f>
        <v>0</v>
      </c>
      <c r="O660" s="74"/>
      <c r="P660" s="74" t="str">
        <f>IFERROR(__xludf.DUMMYFUNCTION("""COMPUTED_VALUE"""),"No Available")</f>
        <v>No Available</v>
      </c>
      <c r="Q660" s="74"/>
      <c r="R660" s="74"/>
      <c r="S660" s="87">
        <f>IFERROR(__xludf.DUMMYFUNCTION("""COMPUTED_VALUE"""),0.0)</f>
        <v>0</v>
      </c>
      <c r="T660" s="87">
        <f>IFERROR(__xludf.DUMMYFUNCTION("""COMPUTED_VALUE"""),0.0)</f>
        <v>0</v>
      </c>
      <c r="U660" s="87">
        <f>IFERROR(__xludf.DUMMYFUNCTION("""COMPUTED_VALUE"""),0.0)</f>
        <v>0</v>
      </c>
      <c r="V660" s="87">
        <f>IFERROR(__xludf.DUMMYFUNCTION("""COMPUTED_VALUE"""),0.0)</f>
        <v>0</v>
      </c>
      <c r="W660" s="87">
        <f>IFERROR(__xludf.DUMMYFUNCTION("""COMPUTED_VALUE"""),0.0)</f>
        <v>0</v>
      </c>
      <c r="X660" s="88"/>
      <c r="Y660" s="74"/>
      <c r="Z660" s="74"/>
    </row>
    <row r="661">
      <c r="B661" s="74" t="str">
        <f>IFERROR(__xludf.DUMMYFUNCTION("""COMPUTED_VALUE"""),"1658")</f>
        <v>1658</v>
      </c>
      <c r="C661" s="74"/>
      <c r="D661" s="74" t="str">
        <f>IFERROR(__xludf.DUMMYFUNCTION("""COMPUTED_VALUE"""),"\\MCA-S\mk\2_BM\0_BMat\08_PYM\Inventario\excel\Imagen de refacciones\Putzmeister\Elbow 90 degree R=1000 _ Codo de 90° R=1000")</f>
        <v>\\MCA-S\mk\2_BM\0_BMat\08_PYM\Inventario\excel\Imagen de refacciones\Putzmeister\Elbow 90 degree R=1000 _ Codo de 90° R=1000</v>
      </c>
      <c r="E661" s="74"/>
      <c r="F661" s="74" t="str">
        <f>IFERROR(__xludf.DUMMYFUNCTION("""COMPUTED_VALUE"""),"Elbow 90 degree R=1000 / Codo de 90° R=1000")</f>
        <v>Elbow 90 degree R=1000 / Codo de 90° R=1000</v>
      </c>
      <c r="G661" s="74"/>
      <c r="H661" s="74"/>
      <c r="I661" s="74" t="str">
        <f>IFERROR(__xludf.DUMMYFUNCTION("""COMPUTED_VALUE"""),"SOM20220")</f>
        <v>SOM20220</v>
      </c>
      <c r="J661" s="74" t="str">
        <f>IFERROR(__xludf.DUMMYFUNCTION("""COMPUTED_VALUE"""),"223664003")</f>
        <v>223664003</v>
      </c>
      <c r="K661" s="74" t="str">
        <f>IFERROR(__xludf.DUMMYFUNCTION("""COMPUTED_VALUE"""),"Putzmeister")</f>
        <v>Putzmeister</v>
      </c>
      <c r="L661" s="74" t="str">
        <f>IFERROR(__xludf.DUMMYFUNCTION("""COMPUTED_VALUE"""),"Componentes estructurales y de montaje")</f>
        <v>Componentes estructurales y de montaje</v>
      </c>
      <c r="M661" s="74" t="str">
        <f>IFERROR(__xludf.DUMMYFUNCTION("""COMPUTED_VALUE"""),"Sin Asignar")</f>
        <v>Sin Asignar</v>
      </c>
      <c r="N661" s="87">
        <f>IFERROR(__xludf.DUMMYFUNCTION("""COMPUTED_VALUE"""),0.0)</f>
        <v>0</v>
      </c>
      <c r="O661" s="74"/>
      <c r="P661" s="74" t="str">
        <f>IFERROR(__xludf.DUMMYFUNCTION("""COMPUTED_VALUE"""),"No Available")</f>
        <v>No Available</v>
      </c>
      <c r="Q661" s="74"/>
      <c r="R661" s="74"/>
      <c r="S661" s="87">
        <f>IFERROR(__xludf.DUMMYFUNCTION("""COMPUTED_VALUE"""),0.0)</f>
        <v>0</v>
      </c>
      <c r="T661" s="87">
        <f>IFERROR(__xludf.DUMMYFUNCTION("""COMPUTED_VALUE"""),0.0)</f>
        <v>0</v>
      </c>
      <c r="U661" s="87">
        <f>IFERROR(__xludf.DUMMYFUNCTION("""COMPUTED_VALUE"""),0.0)</f>
        <v>0</v>
      </c>
      <c r="V661" s="87">
        <f>IFERROR(__xludf.DUMMYFUNCTION("""COMPUTED_VALUE"""),0.0)</f>
        <v>0</v>
      </c>
      <c r="W661" s="87">
        <f>IFERROR(__xludf.DUMMYFUNCTION("""COMPUTED_VALUE"""),0.0)</f>
        <v>0</v>
      </c>
      <c r="X661" s="88"/>
      <c r="Y661" s="74"/>
      <c r="Z661" s="74"/>
    </row>
    <row r="662">
      <c r="B662" s="74" t="str">
        <f>IFERROR(__xludf.DUMMYFUNCTION("""COMPUTED_VALUE"""),"1659")</f>
        <v>1659</v>
      </c>
      <c r="C662" s="74"/>
      <c r="D662" s="74" t="str">
        <f>IFERROR(__xludf.DUMMYFUNCTION("""COMPUTED_VALUE"""),"\\MCA-S\mk\2_BM\0_BMat\08_PYM\Inventario\excel\Imagen de refacciones\Putzmeister\Reduction pipe 100MM _ Tubo reductor 100MM")</f>
        <v>\\MCA-S\mk\2_BM\0_BMat\08_PYM\Inventario\excel\Imagen de refacciones\Putzmeister\Reduction pipe 100MM _ Tubo reductor 100MM</v>
      </c>
      <c r="E662" s="74"/>
      <c r="F662" s="74" t="str">
        <f>IFERROR(__xludf.DUMMYFUNCTION("""COMPUTED_VALUE"""),"Reduction pipe 100MM / Tubo reductor 100MM")</f>
        <v>Reduction pipe 100MM / Tubo reductor 100MM</v>
      </c>
      <c r="G662" s="74"/>
      <c r="H662" s="74"/>
      <c r="I662" s="74" t="str">
        <f>IFERROR(__xludf.DUMMYFUNCTION("""COMPUTED_VALUE"""),"SOM20221")</f>
        <v>SOM20221</v>
      </c>
      <c r="J662" s="74" t="str">
        <f>IFERROR(__xludf.DUMMYFUNCTION("""COMPUTED_VALUE"""),"81027002")</f>
        <v>81027002</v>
      </c>
      <c r="K662" s="74" t="str">
        <f>IFERROR(__xludf.DUMMYFUNCTION("""COMPUTED_VALUE"""),"Putzmeister")</f>
        <v>Putzmeister</v>
      </c>
      <c r="L662" s="74" t="str">
        <f>IFERROR(__xludf.DUMMYFUNCTION("""COMPUTED_VALUE"""),"Componentes estructurales y de montaje")</f>
        <v>Componentes estructurales y de montaje</v>
      </c>
      <c r="M662" s="74" t="str">
        <f>IFERROR(__xludf.DUMMYFUNCTION("""COMPUTED_VALUE"""),"Sin Asignar")</f>
        <v>Sin Asignar</v>
      </c>
      <c r="N662" s="87">
        <f>IFERROR(__xludf.DUMMYFUNCTION("""COMPUTED_VALUE"""),0.0)</f>
        <v>0</v>
      </c>
      <c r="O662" s="74"/>
      <c r="P662" s="74" t="str">
        <f>IFERROR(__xludf.DUMMYFUNCTION("""COMPUTED_VALUE"""),"No Available")</f>
        <v>No Available</v>
      </c>
      <c r="Q662" s="74"/>
      <c r="R662" s="74"/>
      <c r="S662" s="87">
        <f>IFERROR(__xludf.DUMMYFUNCTION("""COMPUTED_VALUE"""),0.0)</f>
        <v>0</v>
      </c>
      <c r="T662" s="87">
        <f>IFERROR(__xludf.DUMMYFUNCTION("""COMPUTED_VALUE"""),0.0)</f>
        <v>0</v>
      </c>
      <c r="U662" s="87">
        <f>IFERROR(__xludf.DUMMYFUNCTION("""COMPUTED_VALUE"""),0.0)</f>
        <v>0</v>
      </c>
      <c r="V662" s="87">
        <f>IFERROR(__xludf.DUMMYFUNCTION("""COMPUTED_VALUE"""),0.0)</f>
        <v>0</v>
      </c>
      <c r="W662" s="87">
        <f>IFERROR(__xludf.DUMMYFUNCTION("""COMPUTED_VALUE"""),0.0)</f>
        <v>0</v>
      </c>
      <c r="X662" s="88"/>
      <c r="Y662" s="74"/>
      <c r="Z662" s="74"/>
    </row>
    <row r="663">
      <c r="B663" s="74" t="str">
        <f>IFERROR(__xludf.DUMMYFUNCTION("""COMPUTED_VALUE"""),"1660")</f>
        <v>1660</v>
      </c>
      <c r="C663" s="74"/>
      <c r="D663" s="74" t="str">
        <f>IFERROR(__xludf.DUMMYFUNCTION("""COMPUTED_VALUE"""),"\\MCA-S\mk\2_BM\0_BMat\08_PYM\Inventario\excel\Imagen de refacciones\Putzmeister\Reduction pipe 200MM _ Tubo reductor 200MM")</f>
        <v>\\MCA-S\mk\2_BM\0_BMat\08_PYM\Inventario\excel\Imagen de refacciones\Putzmeister\Reduction pipe 200MM _ Tubo reductor 200MM</v>
      </c>
      <c r="E663" s="74"/>
      <c r="F663" s="74" t="str">
        <f>IFERROR(__xludf.DUMMYFUNCTION("""COMPUTED_VALUE"""),"Reduction pipe 200MM / Tubo reductor 200MM")</f>
        <v>Reduction pipe 200MM / Tubo reductor 200MM</v>
      </c>
      <c r="G663" s="74"/>
      <c r="H663" s="74"/>
      <c r="I663" s="74" t="str">
        <f>IFERROR(__xludf.DUMMYFUNCTION("""COMPUTED_VALUE"""),"SOM20222")</f>
        <v>SOM20222</v>
      </c>
      <c r="J663" s="74" t="str">
        <f>IFERROR(__xludf.DUMMYFUNCTION("""COMPUTED_VALUE"""),"81050008")</f>
        <v>81050008</v>
      </c>
      <c r="K663" s="74" t="str">
        <f>IFERROR(__xludf.DUMMYFUNCTION("""COMPUTED_VALUE"""),"Putzmeister")</f>
        <v>Putzmeister</v>
      </c>
      <c r="L663" s="74" t="str">
        <f>IFERROR(__xludf.DUMMYFUNCTION("""COMPUTED_VALUE"""),"Componentes estructurales y de montaje")</f>
        <v>Componentes estructurales y de montaje</v>
      </c>
      <c r="M663" s="74" t="str">
        <f>IFERROR(__xludf.DUMMYFUNCTION("""COMPUTED_VALUE"""),"Sin Asignar")</f>
        <v>Sin Asignar</v>
      </c>
      <c r="N663" s="87">
        <f>IFERROR(__xludf.DUMMYFUNCTION("""COMPUTED_VALUE"""),0.0)</f>
        <v>0</v>
      </c>
      <c r="O663" s="74"/>
      <c r="P663" s="74" t="str">
        <f>IFERROR(__xludf.DUMMYFUNCTION("""COMPUTED_VALUE"""),"No Available")</f>
        <v>No Available</v>
      </c>
      <c r="Q663" s="74"/>
      <c r="R663" s="74"/>
      <c r="S663" s="87">
        <f>IFERROR(__xludf.DUMMYFUNCTION("""COMPUTED_VALUE"""),0.0)</f>
        <v>0</v>
      </c>
      <c r="T663" s="87">
        <f>IFERROR(__xludf.DUMMYFUNCTION("""COMPUTED_VALUE"""),0.0)</f>
        <v>0</v>
      </c>
      <c r="U663" s="87">
        <f>IFERROR(__xludf.DUMMYFUNCTION("""COMPUTED_VALUE"""),0.0)</f>
        <v>0</v>
      </c>
      <c r="V663" s="87">
        <f>IFERROR(__xludf.DUMMYFUNCTION("""COMPUTED_VALUE"""),0.0)</f>
        <v>0</v>
      </c>
      <c r="W663" s="87">
        <f>IFERROR(__xludf.DUMMYFUNCTION("""COMPUTED_VALUE"""),0.0)</f>
        <v>0</v>
      </c>
      <c r="X663" s="88"/>
      <c r="Y663" s="74"/>
      <c r="Z663" s="74"/>
    </row>
    <row r="664">
      <c r="B664" s="74" t="str">
        <f>IFERROR(__xludf.DUMMYFUNCTION("""COMPUTED_VALUE"""),"1661")</f>
        <v>1661</v>
      </c>
      <c r="C664" s="74"/>
      <c r="D664" s="74" t="str">
        <f>IFERROR(__xludf.DUMMYFUNCTION("""COMPUTED_VALUE"""),"\\MCA-S\mk\2_BM\0_BMat\08_PYM\Inventario\excel\Imagen de refacciones\Putzmeister\Screw coupling 5,5_ _ Acoplamiento roscado 5,5_")</f>
        <v>\\MCA-S\mk\2_BM\0_BMat\08_PYM\Inventario\excel\Imagen de refacciones\Putzmeister\Screw coupling 5,5_ _ Acoplamiento roscado 5,5_</v>
      </c>
      <c r="E664" s="74"/>
      <c r="F664" s="74" t="str">
        <f>IFERROR(__xludf.DUMMYFUNCTION("""COMPUTED_VALUE"""),"Screw coupling 5,5"" / Acoplamiento roscado 5,5""")</f>
        <v>Screw coupling 5,5" / Acoplamiento roscado 5,5"</v>
      </c>
      <c r="G664" s="74"/>
      <c r="H664" s="74"/>
      <c r="I664" s="74" t="str">
        <f>IFERROR(__xludf.DUMMYFUNCTION("""COMPUTED_VALUE"""),"SOM20223")</f>
        <v>SOM20223</v>
      </c>
      <c r="J664" s="74" t="str">
        <f>IFERROR(__xludf.DUMMYFUNCTION("""COMPUTED_VALUE"""),"27707001 / 426594")</f>
        <v>27707001 / 426594</v>
      </c>
      <c r="K664" s="74" t="str">
        <f>IFERROR(__xludf.DUMMYFUNCTION("""COMPUTED_VALUE"""),"Putzmeister")</f>
        <v>Putzmeister</v>
      </c>
      <c r="L664" s="74" t="str">
        <f>IFERROR(__xludf.DUMMYFUNCTION("""COMPUTED_VALUE"""),"Componentes estructurales y de montaje")</f>
        <v>Componentes estructurales y de montaje</v>
      </c>
      <c r="M664" s="74" t="str">
        <f>IFERROR(__xludf.DUMMYFUNCTION("""COMPUTED_VALUE"""),"Sin Asignar")</f>
        <v>Sin Asignar</v>
      </c>
      <c r="N664" s="87">
        <f>IFERROR(__xludf.DUMMYFUNCTION("""COMPUTED_VALUE"""),0.0)</f>
        <v>0</v>
      </c>
      <c r="O664" s="74"/>
      <c r="P664" s="74" t="str">
        <f>IFERROR(__xludf.DUMMYFUNCTION("""COMPUTED_VALUE"""),"No Available")</f>
        <v>No Available</v>
      </c>
      <c r="Q664" s="74"/>
      <c r="R664" s="74"/>
      <c r="S664" s="87">
        <f>IFERROR(__xludf.DUMMYFUNCTION("""COMPUTED_VALUE"""),0.0)</f>
        <v>0</v>
      </c>
      <c r="T664" s="87">
        <f>IFERROR(__xludf.DUMMYFUNCTION("""COMPUTED_VALUE"""),0.0)</f>
        <v>0</v>
      </c>
      <c r="U664" s="87">
        <f>IFERROR(__xludf.DUMMYFUNCTION("""COMPUTED_VALUE"""),0.0)</f>
        <v>0</v>
      </c>
      <c r="V664" s="87">
        <f>IFERROR(__xludf.DUMMYFUNCTION("""COMPUTED_VALUE"""),0.0)</f>
        <v>0</v>
      </c>
      <c r="W664" s="87">
        <f>IFERROR(__xludf.DUMMYFUNCTION("""COMPUTED_VALUE"""),0.0)</f>
        <v>0</v>
      </c>
      <c r="X664" s="88"/>
      <c r="Y664" s="74"/>
      <c r="Z664" s="74"/>
    </row>
    <row r="665">
      <c r="B665" s="74" t="str">
        <f>IFERROR(__xludf.DUMMYFUNCTION("""COMPUTED_VALUE"""),"1662")</f>
        <v>1662</v>
      </c>
      <c r="C665" s="74"/>
      <c r="D665" s="74" t="str">
        <f>IFERROR(__xludf.DUMMYFUNCTION("""COMPUTED_VALUE"""),"\\MCA-S\mk\2_BM\0_BMat\08_PYM\Inventario\excel\Imagen de refacciones\Putzmeister\Screw mounting coupling 5,5_ _ Acoplamiento de montaje roscado 5,5_")</f>
        <v>\\MCA-S\mk\2_BM\0_BMat\08_PYM\Inventario\excel\Imagen de refacciones\Putzmeister\Screw mounting coupling 5,5_ _ Acoplamiento de montaje roscado 5,5_</v>
      </c>
      <c r="E665" s="74"/>
      <c r="F665" s="74" t="str">
        <f>IFERROR(__xludf.DUMMYFUNCTION("""COMPUTED_VALUE"""),"Screw mounting coupling 5,5"" / Acoplamiento de montaje roscado 5,5""")</f>
        <v>Screw mounting coupling 5,5" / Acoplamiento de montaje roscado 5,5"</v>
      </c>
      <c r="G665" s="74"/>
      <c r="H665" s="74"/>
      <c r="I665" s="74" t="str">
        <f>IFERROR(__xludf.DUMMYFUNCTION("""COMPUTED_VALUE"""),"SOM20224")</f>
        <v>SOM20224</v>
      </c>
      <c r="J665" s="74" t="str">
        <f>IFERROR(__xludf.DUMMYFUNCTION("""COMPUTED_VALUE"""),"27709009 / 430241")</f>
        <v>27709009 / 430241</v>
      </c>
      <c r="K665" s="74" t="str">
        <f>IFERROR(__xludf.DUMMYFUNCTION("""COMPUTED_VALUE"""),"Putzmeister")</f>
        <v>Putzmeister</v>
      </c>
      <c r="L665" s="74" t="str">
        <f>IFERROR(__xludf.DUMMYFUNCTION("""COMPUTED_VALUE"""),"Componentes estructurales y de montaje")</f>
        <v>Componentes estructurales y de montaje</v>
      </c>
      <c r="M665" s="74" t="str">
        <f>IFERROR(__xludf.DUMMYFUNCTION("""COMPUTED_VALUE"""),"Sin Asignar")</f>
        <v>Sin Asignar</v>
      </c>
      <c r="N665" s="87">
        <f>IFERROR(__xludf.DUMMYFUNCTION("""COMPUTED_VALUE"""),0.0)</f>
        <v>0</v>
      </c>
      <c r="O665" s="74"/>
      <c r="P665" s="74" t="str">
        <f>IFERROR(__xludf.DUMMYFUNCTION("""COMPUTED_VALUE"""),"No Available")</f>
        <v>No Available</v>
      </c>
      <c r="Q665" s="74"/>
      <c r="R665" s="74"/>
      <c r="S665" s="87">
        <f>IFERROR(__xludf.DUMMYFUNCTION("""COMPUTED_VALUE"""),0.0)</f>
        <v>0</v>
      </c>
      <c r="T665" s="87">
        <f>IFERROR(__xludf.DUMMYFUNCTION("""COMPUTED_VALUE"""),0.0)</f>
        <v>0</v>
      </c>
      <c r="U665" s="87">
        <f>IFERROR(__xludf.DUMMYFUNCTION("""COMPUTED_VALUE"""),0.0)</f>
        <v>0</v>
      </c>
      <c r="V665" s="87">
        <f>IFERROR(__xludf.DUMMYFUNCTION("""COMPUTED_VALUE"""),0.0)</f>
        <v>0</v>
      </c>
      <c r="W665" s="87">
        <f>IFERROR(__xludf.DUMMYFUNCTION("""COMPUTED_VALUE"""),0.0)</f>
        <v>0</v>
      </c>
      <c r="X665" s="88"/>
      <c r="Y665" s="74"/>
      <c r="Z665" s="74"/>
    </row>
    <row r="666">
      <c r="B666" s="74" t="str">
        <f>IFERROR(__xludf.DUMMYFUNCTION("""COMPUTED_VALUE"""),"1663")</f>
        <v>1663</v>
      </c>
      <c r="C666" s="74"/>
      <c r="D666" s="74" t="str">
        <f>IFERROR(__xludf.DUMMYFUNCTION("""COMPUTED_VALUE"""),"\\MCA-S\mk\2_BM\0_BMat\08_PYM\Inventario\excel\Imagen de refacciones\Putzmeister\Screw coupling 5,5_ - 4 bolt _ Acoplamiento roscado 5,5_ - 4 pernos")</f>
        <v>\\MCA-S\mk\2_BM\0_BMat\08_PYM\Inventario\excel\Imagen de refacciones\Putzmeister\Screw coupling 5,5_ - 4 bolt _ Acoplamiento roscado 5,5_ - 4 pernos</v>
      </c>
      <c r="E666" s="74"/>
      <c r="F666" s="74" t="str">
        <f>IFERROR(__xludf.DUMMYFUNCTION("""COMPUTED_VALUE"""),"Screw coupling 5,5"" - 4 bolt / Acoplamiento roscado 5,5"" - 4 pernos")</f>
        <v>Screw coupling 5,5" - 4 bolt / Acoplamiento roscado 5,5" - 4 pernos</v>
      </c>
      <c r="G666" s="74"/>
      <c r="H666" s="74"/>
      <c r="I666" s="74" t="str">
        <f>IFERROR(__xludf.DUMMYFUNCTION("""COMPUTED_VALUE"""),"SOM20225")</f>
        <v>SOM20225</v>
      </c>
      <c r="J666" s="74" t="str">
        <f>IFERROR(__xludf.DUMMYFUNCTION("""COMPUTED_VALUE"""),"58102002")</f>
        <v>58102002</v>
      </c>
      <c r="K666" s="74" t="str">
        <f>IFERROR(__xludf.DUMMYFUNCTION("""COMPUTED_VALUE"""),"Putzmeister")</f>
        <v>Putzmeister</v>
      </c>
      <c r="L666" s="74" t="str">
        <f>IFERROR(__xludf.DUMMYFUNCTION("""COMPUTED_VALUE"""),"Componentes estructurales y de montaje")</f>
        <v>Componentes estructurales y de montaje</v>
      </c>
      <c r="M666" s="74" t="str">
        <f>IFERROR(__xludf.DUMMYFUNCTION("""COMPUTED_VALUE"""),"Sin Asignar")</f>
        <v>Sin Asignar</v>
      </c>
      <c r="N666" s="87">
        <f>IFERROR(__xludf.DUMMYFUNCTION("""COMPUTED_VALUE"""),0.0)</f>
        <v>0</v>
      </c>
      <c r="O666" s="74"/>
      <c r="P666" s="74" t="str">
        <f>IFERROR(__xludf.DUMMYFUNCTION("""COMPUTED_VALUE"""),"No Available")</f>
        <v>No Available</v>
      </c>
      <c r="Q666" s="74"/>
      <c r="R666" s="74"/>
      <c r="S666" s="87">
        <f>IFERROR(__xludf.DUMMYFUNCTION("""COMPUTED_VALUE"""),0.0)</f>
        <v>0</v>
      </c>
      <c r="T666" s="87">
        <f>IFERROR(__xludf.DUMMYFUNCTION("""COMPUTED_VALUE"""),0.0)</f>
        <v>0</v>
      </c>
      <c r="U666" s="87">
        <f>IFERROR(__xludf.DUMMYFUNCTION("""COMPUTED_VALUE"""),0.0)</f>
        <v>0</v>
      </c>
      <c r="V666" s="87">
        <f>IFERROR(__xludf.DUMMYFUNCTION("""COMPUTED_VALUE"""),0.0)</f>
        <v>0</v>
      </c>
      <c r="W666" s="87">
        <f>IFERROR(__xludf.DUMMYFUNCTION("""COMPUTED_VALUE"""),0.0)</f>
        <v>0</v>
      </c>
      <c r="X666" s="88"/>
      <c r="Y666" s="74"/>
      <c r="Z666" s="74"/>
    </row>
    <row r="667">
      <c r="B667" s="74" t="str">
        <f>IFERROR(__xludf.DUMMYFUNCTION("""COMPUTED_VALUE"""),"1664")</f>
        <v>1664</v>
      </c>
      <c r="C667" s="74"/>
      <c r="D667" s="74" t="str">
        <f>IFERROR(__xludf.DUMMYFUNCTION("""COMPUTED_VALUE"""),"\\MCA-S\mk\2_BM\0_BMat\08_PYM\Inventario\excel\Imagen de refacciones\Putzmeister\Clamp coupling 5.5_ _ Acoplamiento de abrazadera 5,5_")</f>
        <v>\\MCA-S\mk\2_BM\0_BMat\08_PYM\Inventario\excel\Imagen de refacciones\Putzmeister\Clamp coupling 5.5_ _ Acoplamiento de abrazadera 5,5_</v>
      </c>
      <c r="E667" s="74"/>
      <c r="F667" s="74" t="str">
        <f>IFERROR(__xludf.DUMMYFUNCTION("""COMPUTED_VALUE"""),"Clamp coupling 5.5"" / Acoplamiento de abrazadera 5,5""")</f>
        <v>Clamp coupling 5.5" / Acoplamiento de abrazadera 5,5"</v>
      </c>
      <c r="G667" s="74"/>
      <c r="H667" s="74"/>
      <c r="I667" s="74" t="str">
        <f>IFERROR(__xludf.DUMMYFUNCTION("""COMPUTED_VALUE"""),"SOM20226")</f>
        <v>SOM20226</v>
      </c>
      <c r="J667" s="74" t="str">
        <f>IFERROR(__xludf.DUMMYFUNCTION("""COMPUTED_VALUE"""),"417249 / 57153007")</f>
        <v>417249 / 57153007</v>
      </c>
      <c r="K667" s="74" t="str">
        <f>IFERROR(__xludf.DUMMYFUNCTION("""COMPUTED_VALUE"""),"Putzmeister")</f>
        <v>Putzmeister</v>
      </c>
      <c r="L667" s="74" t="str">
        <f>IFERROR(__xludf.DUMMYFUNCTION("""COMPUTED_VALUE"""),"Componentes estructurales y de montaje")</f>
        <v>Componentes estructurales y de montaje</v>
      </c>
      <c r="M667" s="74" t="str">
        <f>IFERROR(__xludf.DUMMYFUNCTION("""COMPUTED_VALUE"""),"Sin Asignar")</f>
        <v>Sin Asignar</v>
      </c>
      <c r="N667" s="87">
        <f>IFERROR(__xludf.DUMMYFUNCTION("""COMPUTED_VALUE"""),0.0)</f>
        <v>0</v>
      </c>
      <c r="O667" s="74"/>
      <c r="P667" s="74" t="str">
        <f>IFERROR(__xludf.DUMMYFUNCTION("""COMPUTED_VALUE"""),"No Available")</f>
        <v>No Available</v>
      </c>
      <c r="Q667" s="74"/>
      <c r="R667" s="74"/>
      <c r="S667" s="87">
        <f>IFERROR(__xludf.DUMMYFUNCTION("""COMPUTED_VALUE"""),0.0)</f>
        <v>0</v>
      </c>
      <c r="T667" s="87">
        <f>IFERROR(__xludf.DUMMYFUNCTION("""COMPUTED_VALUE"""),0.0)</f>
        <v>0</v>
      </c>
      <c r="U667" s="87">
        <f>IFERROR(__xludf.DUMMYFUNCTION("""COMPUTED_VALUE"""),0.0)</f>
        <v>0</v>
      </c>
      <c r="V667" s="87">
        <f>IFERROR(__xludf.DUMMYFUNCTION("""COMPUTED_VALUE"""),0.0)</f>
        <v>0</v>
      </c>
      <c r="W667" s="87">
        <f>IFERROR(__xludf.DUMMYFUNCTION("""COMPUTED_VALUE"""),0.0)</f>
        <v>0</v>
      </c>
      <c r="X667" s="88"/>
      <c r="Y667" s="74"/>
      <c r="Z667" s="74"/>
    </row>
    <row r="668">
      <c r="B668" s="74" t="str">
        <f>IFERROR(__xludf.DUMMYFUNCTION("""COMPUTED_VALUE"""),"1665")</f>
        <v>1665</v>
      </c>
      <c r="C668" s="74"/>
      <c r="D668" s="74" t="str">
        <f>IFERROR(__xludf.DUMMYFUNCTION("""COMPUTED_VALUE"""),"\\MCA-S\mk\2_BM\0_BMat\08_PYM\Inventario\excel\Imagen de refacciones\Putzmeister\Mounting coupling 5,5_ _ Acoplamiento de montaje 5,5_")</f>
        <v>\\MCA-S\mk\2_BM\0_BMat\08_PYM\Inventario\excel\Imagen de refacciones\Putzmeister\Mounting coupling 5,5_ _ Acoplamiento de montaje 5,5_</v>
      </c>
      <c r="E668" s="74"/>
      <c r="F668" s="74" t="str">
        <f>IFERROR(__xludf.DUMMYFUNCTION("""COMPUTED_VALUE"""),"Mounting coupling 5,5"" / Acoplamiento de montaje 5,5""")</f>
        <v>Mounting coupling 5,5" / Acoplamiento de montaje 5,5"</v>
      </c>
      <c r="G668" s="74"/>
      <c r="H668" s="74"/>
      <c r="I668" s="74" t="str">
        <f>IFERROR(__xludf.DUMMYFUNCTION("""COMPUTED_VALUE"""),"SOM20227")</f>
        <v>SOM20227</v>
      </c>
      <c r="J668" s="74" t="str">
        <f>IFERROR(__xludf.DUMMYFUNCTION("""COMPUTED_VALUE"""),"57633006")</f>
        <v>57633006</v>
      </c>
      <c r="K668" s="74" t="str">
        <f>IFERROR(__xludf.DUMMYFUNCTION("""COMPUTED_VALUE"""),"Putzmeister")</f>
        <v>Putzmeister</v>
      </c>
      <c r="L668" s="74" t="str">
        <f>IFERROR(__xludf.DUMMYFUNCTION("""COMPUTED_VALUE"""),"Componentes estructurales y de montaje")</f>
        <v>Componentes estructurales y de montaje</v>
      </c>
      <c r="M668" s="74" t="str">
        <f>IFERROR(__xludf.DUMMYFUNCTION("""COMPUTED_VALUE"""),"Sin Asignar")</f>
        <v>Sin Asignar</v>
      </c>
      <c r="N668" s="87">
        <f>IFERROR(__xludf.DUMMYFUNCTION("""COMPUTED_VALUE"""),0.0)</f>
        <v>0</v>
      </c>
      <c r="O668" s="74"/>
      <c r="P668" s="74" t="str">
        <f>IFERROR(__xludf.DUMMYFUNCTION("""COMPUTED_VALUE"""),"No Available")</f>
        <v>No Available</v>
      </c>
      <c r="Q668" s="74"/>
      <c r="R668" s="74"/>
      <c r="S668" s="87">
        <f>IFERROR(__xludf.DUMMYFUNCTION("""COMPUTED_VALUE"""),0.0)</f>
        <v>0</v>
      </c>
      <c r="T668" s="87">
        <f>IFERROR(__xludf.DUMMYFUNCTION("""COMPUTED_VALUE"""),0.0)</f>
        <v>0</v>
      </c>
      <c r="U668" s="87">
        <f>IFERROR(__xludf.DUMMYFUNCTION("""COMPUTED_VALUE"""),0.0)</f>
        <v>0</v>
      </c>
      <c r="V668" s="87">
        <f>IFERROR(__xludf.DUMMYFUNCTION("""COMPUTED_VALUE"""),0.0)</f>
        <v>0</v>
      </c>
      <c r="W668" s="87">
        <f>IFERROR(__xludf.DUMMYFUNCTION("""COMPUTED_VALUE"""),0.0)</f>
        <v>0</v>
      </c>
      <c r="X668" s="88"/>
      <c r="Y668" s="74"/>
      <c r="Z668" s="74"/>
    </row>
    <row r="669">
      <c r="B669" s="74" t="str">
        <f>IFERROR(__xludf.DUMMYFUNCTION("""COMPUTED_VALUE"""),"1666")</f>
        <v>1666</v>
      </c>
      <c r="C669" s="74"/>
      <c r="D669" s="74" t="str">
        <f>IFERROR(__xludf.DUMMYFUNCTION("""COMPUTED_VALUE"""),"\\MCA-S\mk\2_BM\0_BMat\08_PYM\Inventario\excel\Imagen de refacciones\Putzmeister\Tightening strap _ Correa de ajuste")</f>
        <v>\\MCA-S\mk\2_BM\0_BMat\08_PYM\Inventario\excel\Imagen de refacciones\Putzmeister\Tightening strap _ Correa de ajuste</v>
      </c>
      <c r="E669" s="74"/>
      <c r="F669" s="74" t="str">
        <f>IFERROR(__xludf.DUMMYFUNCTION("""COMPUTED_VALUE"""),"Tightening strap / Correa de ajuste")</f>
        <v>Tightening strap / Correa de ajuste</v>
      </c>
      <c r="G669" s="74"/>
      <c r="H669" s="74"/>
      <c r="I669" s="74" t="str">
        <f>IFERROR(__xludf.DUMMYFUNCTION("""COMPUTED_VALUE"""),"SOM20228")</f>
        <v>SOM20228</v>
      </c>
      <c r="J669" s="74" t="str">
        <f>IFERROR(__xludf.DUMMYFUNCTION("""COMPUTED_VALUE"""),"245103005")</f>
        <v>245103005</v>
      </c>
      <c r="K669" s="74" t="str">
        <f>IFERROR(__xludf.DUMMYFUNCTION("""COMPUTED_VALUE"""),"Putzmeister")</f>
        <v>Putzmeister</v>
      </c>
      <c r="L669" s="74" t="str">
        <f>IFERROR(__xludf.DUMMYFUNCTION("""COMPUTED_VALUE"""),"Componentes estructurales y de montaje")</f>
        <v>Componentes estructurales y de montaje</v>
      </c>
      <c r="M669" s="74" t="str">
        <f>IFERROR(__xludf.DUMMYFUNCTION("""COMPUTED_VALUE"""),"Sin Asignar")</f>
        <v>Sin Asignar</v>
      </c>
      <c r="N669" s="87">
        <f>IFERROR(__xludf.DUMMYFUNCTION("""COMPUTED_VALUE"""),0.0)</f>
        <v>0</v>
      </c>
      <c r="O669" s="74"/>
      <c r="P669" s="74" t="str">
        <f>IFERROR(__xludf.DUMMYFUNCTION("""COMPUTED_VALUE"""),"No Available")</f>
        <v>No Available</v>
      </c>
      <c r="Q669" s="74"/>
      <c r="R669" s="74"/>
      <c r="S669" s="87">
        <f>IFERROR(__xludf.DUMMYFUNCTION("""COMPUTED_VALUE"""),0.0)</f>
        <v>0</v>
      </c>
      <c r="T669" s="87">
        <f>IFERROR(__xludf.DUMMYFUNCTION("""COMPUTED_VALUE"""),0.0)</f>
        <v>0</v>
      </c>
      <c r="U669" s="87">
        <f>IFERROR(__xludf.DUMMYFUNCTION("""COMPUTED_VALUE"""),0.0)</f>
        <v>0</v>
      </c>
      <c r="V669" s="87">
        <f>IFERROR(__xludf.DUMMYFUNCTION("""COMPUTED_VALUE"""),0.0)</f>
        <v>0</v>
      </c>
      <c r="W669" s="87">
        <f>IFERROR(__xludf.DUMMYFUNCTION("""COMPUTED_VALUE"""),0.0)</f>
        <v>0</v>
      </c>
      <c r="X669" s="88"/>
      <c r="Y669" s="74"/>
      <c r="Z669" s="74"/>
    </row>
    <row r="670">
      <c r="B670" s="74" t="str">
        <f>IFERROR(__xludf.DUMMYFUNCTION("""COMPUTED_VALUE"""),"1667")</f>
        <v>1667</v>
      </c>
      <c r="C670" s="74"/>
      <c r="D670" s="74" t="str">
        <f>IFERROR(__xludf.DUMMYFUNCTION("""COMPUTED_VALUE"""),"\\MCA-S\mk\2_BM\0_BMat\08_PYM\Inventario\excel\Imagen de refacciones\Putzmeister\CLAMP _ Abrazadera")</f>
        <v>\\MCA-S\mk\2_BM\0_BMat\08_PYM\Inventario\excel\Imagen de refacciones\Putzmeister\CLAMP _ Abrazadera</v>
      </c>
      <c r="E670" s="74"/>
      <c r="F670" s="74" t="str">
        <f>IFERROR(__xludf.DUMMYFUNCTION("""COMPUTED_VALUE"""),"CLAMP / Abrazadera")</f>
        <v>CLAMP / Abrazadera</v>
      </c>
      <c r="G670" s="74"/>
      <c r="H670" s="74"/>
      <c r="I670" s="74" t="str">
        <f>IFERROR(__xludf.DUMMYFUNCTION("""COMPUTED_VALUE"""),"SOM20229")</f>
        <v>SOM20229</v>
      </c>
      <c r="J670" s="74" t="str">
        <f>IFERROR(__xludf.DUMMYFUNCTION("""COMPUTED_VALUE"""),"283846007 / 10181242")</f>
        <v>283846007 / 10181242</v>
      </c>
      <c r="K670" s="74" t="str">
        <f>IFERROR(__xludf.DUMMYFUNCTION("""COMPUTED_VALUE"""),"Putzmeister")</f>
        <v>Putzmeister</v>
      </c>
      <c r="L670" s="74" t="str">
        <f>IFERROR(__xludf.DUMMYFUNCTION("""COMPUTED_VALUE"""),"Componentes estructurales y de montaje")</f>
        <v>Componentes estructurales y de montaje</v>
      </c>
      <c r="M670" s="74" t="str">
        <f>IFERROR(__xludf.DUMMYFUNCTION("""COMPUTED_VALUE"""),"Sin Asignar")</f>
        <v>Sin Asignar</v>
      </c>
      <c r="N670" s="87">
        <f>IFERROR(__xludf.DUMMYFUNCTION("""COMPUTED_VALUE"""),0.0)</f>
        <v>0</v>
      </c>
      <c r="O670" s="74"/>
      <c r="P670" s="74" t="str">
        <f>IFERROR(__xludf.DUMMYFUNCTION("""COMPUTED_VALUE"""),"No Available")</f>
        <v>No Available</v>
      </c>
      <c r="Q670" s="74"/>
      <c r="R670" s="74"/>
      <c r="S670" s="87">
        <f>IFERROR(__xludf.DUMMYFUNCTION("""COMPUTED_VALUE"""),0.0)</f>
        <v>0</v>
      </c>
      <c r="T670" s="87">
        <f>IFERROR(__xludf.DUMMYFUNCTION("""COMPUTED_VALUE"""),0.0)</f>
        <v>0</v>
      </c>
      <c r="U670" s="87">
        <f>IFERROR(__xludf.DUMMYFUNCTION("""COMPUTED_VALUE"""),0.0)</f>
        <v>0</v>
      </c>
      <c r="V670" s="87">
        <f>IFERROR(__xludf.DUMMYFUNCTION("""COMPUTED_VALUE"""),0.0)</f>
        <v>0</v>
      </c>
      <c r="W670" s="87">
        <f>IFERROR(__xludf.DUMMYFUNCTION("""COMPUTED_VALUE"""),0.0)</f>
        <v>0</v>
      </c>
      <c r="X670" s="88"/>
      <c r="Y670" s="74"/>
      <c r="Z670" s="74"/>
    </row>
    <row r="671">
      <c r="B671" s="74" t="str">
        <f>IFERROR(__xludf.DUMMYFUNCTION("""COMPUTED_VALUE"""),"1668")</f>
        <v>1668</v>
      </c>
      <c r="C671" s="74"/>
      <c r="D671" s="74" t="str">
        <f>IFERROR(__xludf.DUMMYFUNCTION("""COMPUTED_VALUE"""),"\\MCA-S\mk\2_BM\0_BMat\08_PYM\Inventario\excel\Imagen de refacciones\Putzmeister\U CLAMP _ Abrazadera en U")</f>
        <v>\\MCA-S\mk\2_BM\0_BMat\08_PYM\Inventario\excel\Imagen de refacciones\Putzmeister\U CLAMP _ Abrazadera en U</v>
      </c>
      <c r="E671" s="74"/>
      <c r="F671" s="74" t="str">
        <f>IFERROR(__xludf.DUMMYFUNCTION("""COMPUTED_VALUE"""),"ABRAZADERA EN U PARA PLUMA CON 2 TUERCAS PARA BOMBA DE HORMIGON")</f>
        <v>ABRAZADERA EN U PARA PLUMA CON 2 TUERCAS PARA BOMBA DE HORMIGON</v>
      </c>
      <c r="G671" s="74"/>
      <c r="H671" s="74"/>
      <c r="I671" s="74" t="str">
        <f>IFERROR(__xludf.DUMMYFUNCTION("""COMPUTED_VALUE"""),"SOM20230")</f>
        <v>SOM20230</v>
      </c>
      <c r="J671" s="74" t="str">
        <f>IFERROR(__xludf.DUMMYFUNCTION("""COMPUTED_VALUE"""),"222709008")</f>
        <v>222709008</v>
      </c>
      <c r="K671" s="74" t="str">
        <f>IFERROR(__xludf.DUMMYFUNCTION("""COMPUTED_VALUE"""),"Putzmeister")</f>
        <v>Putzmeister</v>
      </c>
      <c r="L671" s="74" t="str">
        <f>IFERROR(__xludf.DUMMYFUNCTION("""COMPUTED_VALUE"""),"Componentes estructurales y de montaje")</f>
        <v>Componentes estructurales y de montaje</v>
      </c>
      <c r="M671" s="74" t="str">
        <f>IFERROR(__xludf.DUMMYFUNCTION("""COMPUTED_VALUE"""),"Sin Asignar")</f>
        <v>Sin Asignar</v>
      </c>
      <c r="N671" s="87">
        <f>IFERROR(__xludf.DUMMYFUNCTION("""COMPUTED_VALUE"""),0.0)</f>
        <v>0</v>
      </c>
      <c r="O671" s="74"/>
      <c r="P671" s="74" t="str">
        <f>IFERROR(__xludf.DUMMYFUNCTION("""COMPUTED_VALUE"""),"No Available")</f>
        <v>No Available</v>
      </c>
      <c r="Q671" s="74"/>
      <c r="R671" s="74"/>
      <c r="S671" s="87">
        <f>IFERROR(__xludf.DUMMYFUNCTION("""COMPUTED_VALUE"""),0.0)</f>
        <v>0</v>
      </c>
      <c r="T671" s="87">
        <f>IFERROR(__xludf.DUMMYFUNCTION("""COMPUTED_VALUE"""),0.0)</f>
        <v>0</v>
      </c>
      <c r="U671" s="87">
        <f>IFERROR(__xludf.DUMMYFUNCTION("""COMPUTED_VALUE"""),0.0)</f>
        <v>0</v>
      </c>
      <c r="V671" s="87">
        <f>IFERROR(__xludf.DUMMYFUNCTION("""COMPUTED_VALUE"""),0.0)</f>
        <v>0</v>
      </c>
      <c r="W671" s="87">
        <f>IFERROR(__xludf.DUMMYFUNCTION("""COMPUTED_VALUE"""),0.0)</f>
        <v>0</v>
      </c>
      <c r="X671" s="88"/>
      <c r="Y671" s="74"/>
      <c r="Z671" s="74"/>
    </row>
    <row r="672">
      <c r="B672" s="74" t="str">
        <f>IFERROR(__xludf.DUMMYFUNCTION("""COMPUTED_VALUE"""),"1669")</f>
        <v>1669</v>
      </c>
      <c r="C672" s="74"/>
      <c r="D672" s="74" t="str">
        <f>IFERROR(__xludf.DUMMYFUNCTION("""COMPUTED_VALUE"""),"\\MCA-S\mk\2_BM\0_BMat\08_PYM\Inventario\excel\Imagen de refacciones\Putzmeister\PIPE SADDLE _")</f>
        <v>\\MCA-S\mk\2_BM\0_BMat\08_PYM\Inventario\excel\Imagen de refacciones\Putzmeister\PIPE SADDLE _</v>
      </c>
      <c r="E672" s="74"/>
      <c r="F672" s="74" t="str">
        <f>IFERROR(__xludf.DUMMYFUNCTION("""COMPUTED_VALUE"""),"PIPE SADDLE /")</f>
        <v>PIPE SADDLE /</v>
      </c>
      <c r="G672" s="74"/>
      <c r="H672" s="74"/>
      <c r="I672" s="74" t="str">
        <f>IFERROR(__xludf.DUMMYFUNCTION("""COMPUTED_VALUE"""),"SOM20231")</f>
        <v>SOM20231</v>
      </c>
      <c r="J672" s="74" t="str">
        <f>IFERROR(__xludf.DUMMYFUNCTION("""COMPUTED_VALUE"""),"560747")</f>
        <v>560747</v>
      </c>
      <c r="K672" s="74" t="str">
        <f>IFERROR(__xludf.DUMMYFUNCTION("""COMPUTED_VALUE"""),"Putzmeister")</f>
        <v>Putzmeister</v>
      </c>
      <c r="L672" s="74" t="str">
        <f>IFERROR(__xludf.DUMMYFUNCTION("""COMPUTED_VALUE"""),"Componentes estructurales y de montaje")</f>
        <v>Componentes estructurales y de montaje</v>
      </c>
      <c r="M672" s="74" t="str">
        <f>IFERROR(__xludf.DUMMYFUNCTION("""COMPUTED_VALUE"""),"Sin Asignar")</f>
        <v>Sin Asignar</v>
      </c>
      <c r="N672" s="87">
        <f>IFERROR(__xludf.DUMMYFUNCTION("""COMPUTED_VALUE"""),0.0)</f>
        <v>0</v>
      </c>
      <c r="O672" s="74"/>
      <c r="P672" s="74" t="str">
        <f>IFERROR(__xludf.DUMMYFUNCTION("""COMPUTED_VALUE"""),"No Available")</f>
        <v>No Available</v>
      </c>
      <c r="Q672" s="74"/>
      <c r="R672" s="74"/>
      <c r="S672" s="87">
        <f>IFERROR(__xludf.DUMMYFUNCTION("""COMPUTED_VALUE"""),0.0)</f>
        <v>0</v>
      </c>
      <c r="T672" s="87">
        <f>IFERROR(__xludf.DUMMYFUNCTION("""COMPUTED_VALUE"""),0.0)</f>
        <v>0</v>
      </c>
      <c r="U672" s="87">
        <f>IFERROR(__xludf.DUMMYFUNCTION("""COMPUTED_VALUE"""),0.0)</f>
        <v>0</v>
      </c>
      <c r="V672" s="87">
        <f>IFERROR(__xludf.DUMMYFUNCTION("""COMPUTED_VALUE"""),0.0)</f>
        <v>0</v>
      </c>
      <c r="W672" s="87">
        <f>IFERROR(__xludf.DUMMYFUNCTION("""COMPUTED_VALUE"""),0.0)</f>
        <v>0</v>
      </c>
      <c r="X672" s="88"/>
      <c r="Y672" s="74"/>
      <c r="Z672" s="74"/>
    </row>
    <row r="673">
      <c r="B673" s="74" t="str">
        <f>IFERROR(__xludf.DUMMYFUNCTION("""COMPUTED_VALUE"""),"1670")</f>
        <v>1670</v>
      </c>
      <c r="C673" s="74"/>
      <c r="D673" s="74" t="str">
        <f>IFERROR(__xludf.DUMMYFUNCTION("""COMPUTED_VALUE"""),"\\MCA-S\mk\2_BM\0_BMat\08_PYM\Inventario\excel\Imagen de refacciones\Putzmeister\Sponge ball Q175 _ Bola esponja Q175")</f>
        <v>\\MCA-S\mk\2_BM\0_BMat\08_PYM\Inventario\excel\Imagen de refacciones\Putzmeister\Sponge ball Q175 _ Bola esponja Q175</v>
      </c>
      <c r="E673" s="74"/>
      <c r="F673" s="74" t="str">
        <f>IFERROR(__xludf.DUMMYFUNCTION("""COMPUTED_VALUE"""),"Sponge ball Q175 / Bola esponja Q175")</f>
        <v>Sponge ball Q175 / Bola esponja Q175</v>
      </c>
      <c r="G673" s="74"/>
      <c r="H673" s="74"/>
      <c r="I673" s="74" t="str">
        <f>IFERROR(__xludf.DUMMYFUNCTION("""COMPUTED_VALUE"""),"SOM20232")</f>
        <v>SOM20232</v>
      </c>
      <c r="J673" s="74" t="str">
        <f>IFERROR(__xludf.DUMMYFUNCTION("""COMPUTED_VALUE"""),"26650007")</f>
        <v>26650007</v>
      </c>
      <c r="K673" s="74" t="str">
        <f>IFERROR(__xludf.DUMMYFUNCTION("""COMPUTED_VALUE"""),"Putzmeister")</f>
        <v>Putzmeister</v>
      </c>
      <c r="L673" s="74" t="str">
        <f>IFERROR(__xludf.DUMMYFUNCTION("""COMPUTED_VALUE"""),"Sistema de bombeo de concreto")</f>
        <v>Sistema de bombeo de concreto</v>
      </c>
      <c r="M673" s="74" t="str">
        <f>IFERROR(__xludf.DUMMYFUNCTION("""COMPUTED_VALUE"""),"Sin Asignar")</f>
        <v>Sin Asignar</v>
      </c>
      <c r="N673" s="87">
        <f>IFERROR(__xludf.DUMMYFUNCTION("""COMPUTED_VALUE"""),0.0)</f>
        <v>0</v>
      </c>
      <c r="O673" s="74"/>
      <c r="P673" s="74" t="str">
        <f>IFERROR(__xludf.DUMMYFUNCTION("""COMPUTED_VALUE"""),"No Available")</f>
        <v>No Available</v>
      </c>
      <c r="Q673" s="74"/>
      <c r="R673" s="74"/>
      <c r="S673" s="87">
        <f>IFERROR(__xludf.DUMMYFUNCTION("""COMPUTED_VALUE"""),0.0)</f>
        <v>0</v>
      </c>
      <c r="T673" s="87">
        <f>IFERROR(__xludf.DUMMYFUNCTION("""COMPUTED_VALUE"""),0.0)</f>
        <v>0</v>
      </c>
      <c r="U673" s="87">
        <f>IFERROR(__xludf.DUMMYFUNCTION("""COMPUTED_VALUE"""),0.0)</f>
        <v>0</v>
      </c>
      <c r="V673" s="87">
        <f>IFERROR(__xludf.DUMMYFUNCTION("""COMPUTED_VALUE"""),0.0)</f>
        <v>0</v>
      </c>
      <c r="W673" s="87">
        <f>IFERROR(__xludf.DUMMYFUNCTION("""COMPUTED_VALUE"""),0.0)</f>
        <v>0</v>
      </c>
      <c r="X673" s="88"/>
      <c r="Y673" s="74"/>
      <c r="Z673" s="74"/>
    </row>
    <row r="674">
      <c r="B674" s="74" t="str">
        <f>IFERROR(__xludf.DUMMYFUNCTION("""COMPUTED_VALUE"""),"1671")</f>
        <v>1671</v>
      </c>
      <c r="C674" s="74"/>
      <c r="D674" s="74" t="str">
        <f>IFERROR(__xludf.DUMMYFUNCTION("""COMPUTED_VALUE"""),"\\MCA-S\mk\2_BM\0_BMat\08_PYM\Inventario\excel\Imagen de refacciones\Putzmeister\Sponge ball Q150 _ Bola esponja Q150")</f>
        <v>\\MCA-S\mk\2_BM\0_BMat\08_PYM\Inventario\excel\Imagen de refacciones\Putzmeister\Sponge ball Q150 _ Bola esponja Q150</v>
      </c>
      <c r="E674" s="74"/>
      <c r="F674" s="74" t="str">
        <f>IFERROR(__xludf.DUMMYFUNCTION("""COMPUTED_VALUE"""),"Sponge ball Q150 / Bola esponja Q150")</f>
        <v>Sponge ball Q150 / Bola esponja Q150</v>
      </c>
      <c r="G674" s="74"/>
      <c r="H674" s="74"/>
      <c r="I674" s="74" t="str">
        <f>IFERROR(__xludf.DUMMYFUNCTION("""COMPUTED_VALUE"""),"SOM20233")</f>
        <v>SOM20233</v>
      </c>
      <c r="J674" s="74" t="str">
        <f>IFERROR(__xludf.DUMMYFUNCTION("""COMPUTED_VALUE"""),"18841002")</f>
        <v>18841002</v>
      </c>
      <c r="K674" s="74" t="str">
        <f>IFERROR(__xludf.DUMMYFUNCTION("""COMPUTED_VALUE"""),"Putzmeister")</f>
        <v>Putzmeister</v>
      </c>
      <c r="L674" s="74" t="str">
        <f>IFERROR(__xludf.DUMMYFUNCTION("""COMPUTED_VALUE"""),"Sistema de bombeo de concreto")</f>
        <v>Sistema de bombeo de concreto</v>
      </c>
      <c r="M674" s="74" t="str">
        <f>IFERROR(__xludf.DUMMYFUNCTION("""COMPUTED_VALUE"""),"Sin Asignar")</f>
        <v>Sin Asignar</v>
      </c>
      <c r="N674" s="87">
        <f>IFERROR(__xludf.DUMMYFUNCTION("""COMPUTED_VALUE"""),0.0)</f>
        <v>0</v>
      </c>
      <c r="O674" s="74"/>
      <c r="P674" s="74" t="str">
        <f>IFERROR(__xludf.DUMMYFUNCTION("""COMPUTED_VALUE"""),"No Available")</f>
        <v>No Available</v>
      </c>
      <c r="Q674" s="74"/>
      <c r="R674" s="74"/>
      <c r="S674" s="87">
        <f>IFERROR(__xludf.DUMMYFUNCTION("""COMPUTED_VALUE"""),0.0)</f>
        <v>0</v>
      </c>
      <c r="T674" s="87">
        <f>IFERROR(__xludf.DUMMYFUNCTION("""COMPUTED_VALUE"""),0.0)</f>
        <v>0</v>
      </c>
      <c r="U674" s="87">
        <f>IFERROR(__xludf.DUMMYFUNCTION("""COMPUTED_VALUE"""),0.0)</f>
        <v>0</v>
      </c>
      <c r="V674" s="87">
        <f>IFERROR(__xludf.DUMMYFUNCTION("""COMPUTED_VALUE"""),0.0)</f>
        <v>0</v>
      </c>
      <c r="W674" s="87">
        <f>IFERROR(__xludf.DUMMYFUNCTION("""COMPUTED_VALUE"""),0.0)</f>
        <v>0</v>
      </c>
      <c r="X674" s="88"/>
      <c r="Y674" s="74"/>
      <c r="Z674" s="74"/>
    </row>
    <row r="675">
      <c r="B675" s="74" t="str">
        <f>IFERROR(__xludf.DUMMYFUNCTION("""COMPUTED_VALUE"""),"1672")</f>
        <v>1672</v>
      </c>
      <c r="C675" s="74"/>
      <c r="D675" s="74" t="str">
        <f>IFERROR(__xludf.DUMMYFUNCTION("""COMPUTED_VALUE"""),"\\MCA-S\mk\2_BM\0_BMat\08_PYM\Inventario\excel\Imagen de refacciones\Putzmeister\Sealing 5,5_ _ Sello 5,5_")</f>
        <v>\\MCA-S\mk\2_BM\0_BMat\08_PYM\Inventario\excel\Imagen de refacciones\Putzmeister\Sealing 5,5_ _ Sello 5,5_</v>
      </c>
      <c r="E675" s="74"/>
      <c r="F675" s="74" t="str">
        <f>IFERROR(__xludf.DUMMYFUNCTION("""COMPUTED_VALUE"""),"Sealing 5,5"" / Sello 5,5""")</f>
        <v>Sealing 5,5" / Sello 5,5"</v>
      </c>
      <c r="G675" s="74"/>
      <c r="H675" s="74"/>
      <c r="I675" s="74" t="str">
        <f>IFERROR(__xludf.DUMMYFUNCTION("""COMPUTED_VALUE"""),"SOM20234")</f>
        <v>SOM20234</v>
      </c>
      <c r="J675" s="74" t="str">
        <f>IFERROR(__xludf.DUMMYFUNCTION("""COMPUTED_VALUE"""),"55559001")</f>
        <v>55559001</v>
      </c>
      <c r="K675" s="74" t="str">
        <f>IFERROR(__xludf.DUMMYFUNCTION("""COMPUTED_VALUE"""),"Putzmeister")</f>
        <v>Putzmeister</v>
      </c>
      <c r="L675" s="74" t="str">
        <f>IFERROR(__xludf.DUMMYFUNCTION("""COMPUTED_VALUE"""),"Sellos y retenes")</f>
        <v>Sellos y retenes</v>
      </c>
      <c r="M675" s="74" t="str">
        <f>IFERROR(__xludf.DUMMYFUNCTION("""COMPUTED_VALUE"""),"Sin Asignar")</f>
        <v>Sin Asignar</v>
      </c>
      <c r="N675" s="87">
        <f>IFERROR(__xludf.DUMMYFUNCTION("""COMPUTED_VALUE"""),0.0)</f>
        <v>0</v>
      </c>
      <c r="O675" s="74"/>
      <c r="P675" s="74" t="str">
        <f>IFERROR(__xludf.DUMMYFUNCTION("""COMPUTED_VALUE"""),"No Available")</f>
        <v>No Available</v>
      </c>
      <c r="Q675" s="74"/>
      <c r="R675" s="74"/>
      <c r="S675" s="87">
        <f>IFERROR(__xludf.DUMMYFUNCTION("""COMPUTED_VALUE"""),0.0)</f>
        <v>0</v>
      </c>
      <c r="T675" s="87">
        <f>IFERROR(__xludf.DUMMYFUNCTION("""COMPUTED_VALUE"""),0.0)</f>
        <v>0</v>
      </c>
      <c r="U675" s="87">
        <f>IFERROR(__xludf.DUMMYFUNCTION("""COMPUTED_VALUE"""),0.0)</f>
        <v>0</v>
      </c>
      <c r="V675" s="87">
        <f>IFERROR(__xludf.DUMMYFUNCTION("""COMPUTED_VALUE"""),0.0)</f>
        <v>0</v>
      </c>
      <c r="W675" s="87">
        <f>IFERROR(__xludf.DUMMYFUNCTION("""COMPUTED_VALUE"""),0.0)</f>
        <v>0</v>
      </c>
      <c r="X675" s="88"/>
      <c r="Y675" s="74"/>
      <c r="Z675" s="74"/>
    </row>
    <row r="676">
      <c r="B676" s="74" t="str">
        <f>IFERROR(__xludf.DUMMYFUNCTION("""COMPUTED_VALUE"""),"1673")</f>
        <v>1673</v>
      </c>
      <c r="C676" s="74"/>
      <c r="D676" s="74" t="str">
        <f>IFERROR(__xludf.DUMMYFUNCTION("""COMPUTED_VALUE"""),"\\MCA-S\mk\2_BM\0_BMat\08_PYM\Inventario\excel\Imagen de refacciones\Putzmeister\Sealing 6_ _ sello 6_")</f>
        <v>\\MCA-S\mk\2_BM\0_BMat\08_PYM\Inventario\excel\Imagen de refacciones\Putzmeister\Sealing 6_ _ sello 6_</v>
      </c>
      <c r="E676" s="74"/>
      <c r="F676" s="74" t="str">
        <f>IFERROR(__xludf.DUMMYFUNCTION("""COMPUTED_VALUE"""),"Sealing 6"" / sello 6""")</f>
        <v>Sealing 6" / sello 6"</v>
      </c>
      <c r="G676" s="74"/>
      <c r="H676" s="74"/>
      <c r="I676" s="74" t="str">
        <f>IFERROR(__xludf.DUMMYFUNCTION("""COMPUTED_VALUE"""),"SOM20236")</f>
        <v>SOM20236</v>
      </c>
      <c r="J676" s="74" t="str">
        <f>IFERROR(__xludf.DUMMYFUNCTION("""COMPUTED_VALUE"""),"2231000")</f>
        <v>2231000</v>
      </c>
      <c r="K676" s="74" t="str">
        <f>IFERROR(__xludf.DUMMYFUNCTION("""COMPUTED_VALUE"""),"Putzmeister")</f>
        <v>Putzmeister</v>
      </c>
      <c r="L676" s="74" t="str">
        <f>IFERROR(__xludf.DUMMYFUNCTION("""COMPUTED_VALUE"""),"Sellos y retenes")</f>
        <v>Sellos y retenes</v>
      </c>
      <c r="M676" s="74" t="str">
        <f>IFERROR(__xludf.DUMMYFUNCTION("""COMPUTED_VALUE"""),"Sin Asignar")</f>
        <v>Sin Asignar</v>
      </c>
      <c r="N676" s="87">
        <f>IFERROR(__xludf.DUMMYFUNCTION("""COMPUTED_VALUE"""),0.0)</f>
        <v>0</v>
      </c>
      <c r="O676" s="74"/>
      <c r="P676" s="74" t="str">
        <f>IFERROR(__xludf.DUMMYFUNCTION("""COMPUTED_VALUE"""),"No Available")</f>
        <v>No Available</v>
      </c>
      <c r="Q676" s="74"/>
      <c r="R676" s="74"/>
      <c r="S676" s="87">
        <f>IFERROR(__xludf.DUMMYFUNCTION("""COMPUTED_VALUE"""),0.0)</f>
        <v>0</v>
      </c>
      <c r="T676" s="87">
        <f>IFERROR(__xludf.DUMMYFUNCTION("""COMPUTED_VALUE"""),0.0)</f>
        <v>0</v>
      </c>
      <c r="U676" s="87">
        <f>IFERROR(__xludf.DUMMYFUNCTION("""COMPUTED_VALUE"""),0.0)</f>
        <v>0</v>
      </c>
      <c r="V676" s="87">
        <f>IFERROR(__xludf.DUMMYFUNCTION("""COMPUTED_VALUE"""),0.0)</f>
        <v>0</v>
      </c>
      <c r="W676" s="87">
        <f>IFERROR(__xludf.DUMMYFUNCTION("""COMPUTED_VALUE"""),0.0)</f>
        <v>0</v>
      </c>
      <c r="X676" s="88"/>
      <c r="Y676" s="74"/>
      <c r="Z676" s="74"/>
    </row>
    <row r="677">
      <c r="B677" s="74" t="str">
        <f>IFERROR(__xludf.DUMMYFUNCTION("""COMPUTED_VALUE"""),"1674")</f>
        <v>1674</v>
      </c>
      <c r="C677" s="74"/>
      <c r="D677" s="74" t="str">
        <f>IFERROR(__xludf.DUMMYFUNCTION("""COMPUTED_VALUE"""),"\\MCA-S\mk\2_BM\0_BMat\08_PYM\Inventario\excel\Imagen de refacciones\Putzmeister\Flange 5,5_ _ Brida 5,5_")</f>
        <v>\\MCA-S\mk\2_BM\0_BMat\08_PYM\Inventario\excel\Imagen de refacciones\Putzmeister\Flange 5,5_ _ Brida 5,5_</v>
      </c>
      <c r="E677" s="74"/>
      <c r="F677" s="74" t="str">
        <f>IFERROR(__xludf.DUMMYFUNCTION("""COMPUTED_VALUE"""),"Flange 5,5"" / Brida 5,5""")</f>
        <v>Flange 5,5" / Brida 5,5"</v>
      </c>
      <c r="G677" s="74"/>
      <c r="H677" s="74"/>
      <c r="I677" s="74" t="str">
        <f>IFERROR(__xludf.DUMMYFUNCTION("""COMPUTED_VALUE"""),"SOM20239")</f>
        <v>SOM20239</v>
      </c>
      <c r="J677" s="74" t="str">
        <f>IFERROR(__xludf.DUMMYFUNCTION("""COMPUTED_VALUE"""),"56842008")</f>
        <v>56842008</v>
      </c>
      <c r="K677" s="74" t="str">
        <f>IFERROR(__xludf.DUMMYFUNCTION("""COMPUTED_VALUE"""),"Putzmeister")</f>
        <v>Putzmeister</v>
      </c>
      <c r="L677" s="74" t="str">
        <f>IFERROR(__xludf.DUMMYFUNCTION("""COMPUTED_VALUE"""),"Componentes estructurales y de montaje")</f>
        <v>Componentes estructurales y de montaje</v>
      </c>
      <c r="M677" s="74" t="str">
        <f>IFERROR(__xludf.DUMMYFUNCTION("""COMPUTED_VALUE"""),"Sin Asignar")</f>
        <v>Sin Asignar</v>
      </c>
      <c r="N677" s="87">
        <f>IFERROR(__xludf.DUMMYFUNCTION("""COMPUTED_VALUE"""),0.0)</f>
        <v>0</v>
      </c>
      <c r="O677" s="74"/>
      <c r="P677" s="74" t="str">
        <f>IFERROR(__xludf.DUMMYFUNCTION("""COMPUTED_VALUE"""),"No Available")</f>
        <v>No Available</v>
      </c>
      <c r="Q677" s="74"/>
      <c r="R677" s="74"/>
      <c r="S677" s="87">
        <f>IFERROR(__xludf.DUMMYFUNCTION("""COMPUTED_VALUE"""),0.0)</f>
        <v>0</v>
      </c>
      <c r="T677" s="87">
        <f>IFERROR(__xludf.DUMMYFUNCTION("""COMPUTED_VALUE"""),0.0)</f>
        <v>0</v>
      </c>
      <c r="U677" s="87">
        <f>IFERROR(__xludf.DUMMYFUNCTION("""COMPUTED_VALUE"""),0.0)</f>
        <v>0</v>
      </c>
      <c r="V677" s="87">
        <f>IFERROR(__xludf.DUMMYFUNCTION("""COMPUTED_VALUE"""),0.0)</f>
        <v>0</v>
      </c>
      <c r="W677" s="87">
        <f>IFERROR(__xludf.DUMMYFUNCTION("""COMPUTED_VALUE"""),0.0)</f>
        <v>0</v>
      </c>
      <c r="X677" s="88"/>
      <c r="Y677" s="74"/>
      <c r="Z677" s="74"/>
    </row>
    <row r="678">
      <c r="B678" s="74" t="str">
        <f>IFERROR(__xludf.DUMMYFUNCTION("""COMPUTED_VALUE"""),"1675")</f>
        <v>1675</v>
      </c>
      <c r="C678" s="74"/>
      <c r="D678" s="74" t="str">
        <f>IFERROR(__xludf.DUMMYFUNCTION("""COMPUTED_VALUE"""),"\\MCA-S\mk\2_BM\0_BMat\08_PYM\Inventario\excel\Imagen de refacciones\Putzmeister\Flange 5,5_ _ brida 5,5")</f>
        <v>\\MCA-S\mk\2_BM\0_BMat\08_PYM\Inventario\excel\Imagen de refacciones\Putzmeister\Flange 5,5_ _ brida 5,5</v>
      </c>
      <c r="E678" s="74"/>
      <c r="F678" s="74" t="str">
        <f>IFERROR(__xludf.DUMMYFUNCTION("""COMPUTED_VALUE"""),"Flange 5,5"" / brida 5,5")</f>
        <v>Flange 5,5" / brida 5,5</v>
      </c>
      <c r="G678" s="74"/>
      <c r="H678" s="74"/>
      <c r="I678" s="74" t="str">
        <f>IFERROR(__xludf.DUMMYFUNCTION("""COMPUTED_VALUE"""),"SOM20240")</f>
        <v>SOM20240</v>
      </c>
      <c r="J678" s="74" t="str">
        <f>IFERROR(__xludf.DUMMYFUNCTION("""COMPUTED_VALUE"""),"56852007")</f>
        <v>56852007</v>
      </c>
      <c r="K678" s="74" t="str">
        <f>IFERROR(__xludf.DUMMYFUNCTION("""COMPUTED_VALUE"""),"Putzmeister")</f>
        <v>Putzmeister</v>
      </c>
      <c r="L678" s="74" t="str">
        <f>IFERROR(__xludf.DUMMYFUNCTION("""COMPUTED_VALUE"""),"Componentes estructurales y de montaje")</f>
        <v>Componentes estructurales y de montaje</v>
      </c>
      <c r="M678" s="74" t="str">
        <f>IFERROR(__xludf.DUMMYFUNCTION("""COMPUTED_VALUE"""),"Sin Asignar")</f>
        <v>Sin Asignar</v>
      </c>
      <c r="N678" s="87">
        <f>IFERROR(__xludf.DUMMYFUNCTION("""COMPUTED_VALUE"""),0.0)</f>
        <v>0</v>
      </c>
      <c r="O678" s="74"/>
      <c r="P678" s="74" t="str">
        <f>IFERROR(__xludf.DUMMYFUNCTION("""COMPUTED_VALUE"""),"No Available")</f>
        <v>No Available</v>
      </c>
      <c r="Q678" s="74"/>
      <c r="R678" s="74"/>
      <c r="S678" s="87">
        <f>IFERROR(__xludf.DUMMYFUNCTION("""COMPUTED_VALUE"""),0.0)</f>
        <v>0</v>
      </c>
      <c r="T678" s="87">
        <f>IFERROR(__xludf.DUMMYFUNCTION("""COMPUTED_VALUE"""),0.0)</f>
        <v>0</v>
      </c>
      <c r="U678" s="87">
        <f>IFERROR(__xludf.DUMMYFUNCTION("""COMPUTED_VALUE"""),0.0)</f>
        <v>0</v>
      </c>
      <c r="V678" s="87">
        <f>IFERROR(__xludf.DUMMYFUNCTION("""COMPUTED_VALUE"""),0.0)</f>
        <v>0</v>
      </c>
      <c r="W678" s="87">
        <f>IFERROR(__xludf.DUMMYFUNCTION("""COMPUTED_VALUE"""),0.0)</f>
        <v>0</v>
      </c>
      <c r="X678" s="88"/>
      <c r="Y678" s="74"/>
      <c r="Z678" s="74"/>
    </row>
    <row r="679">
      <c r="B679" s="74" t="str">
        <f>IFERROR(__xludf.DUMMYFUNCTION("""COMPUTED_VALUE"""),"1676")</f>
        <v>1676</v>
      </c>
      <c r="C679" s="74"/>
      <c r="D679" s="74" t="str">
        <f>IFERROR(__xludf.DUMMYFUNCTION("""COMPUTED_VALUE"""),"\\MCA-S\mk\2_BM\0_BMat\08_PYM\Inventario\excel\Imagen de refacciones\Putzmeister\Twin pipe 3 mt 5,5_ _ Tubería gemela 3 metros 5,5_")</f>
        <v>\\MCA-S\mk\2_BM\0_BMat\08_PYM\Inventario\excel\Imagen de refacciones\Putzmeister\Twin pipe 3 mt 5,5_ _ Tubería gemela 3 metros 5,5_</v>
      </c>
      <c r="E679" s="74"/>
      <c r="F679" s="74" t="str">
        <f>IFERROR(__xludf.DUMMYFUNCTION("""COMPUTED_VALUE"""),"Twin pipe 3 mt 5,5"" / Tubería gemela 3 metros 5,5""")</f>
        <v>Twin pipe 3 mt 5,5" / Tubería gemela 3 metros 5,5"</v>
      </c>
      <c r="G679" s="74"/>
      <c r="H679" s="74"/>
      <c r="I679" s="74" t="str">
        <f>IFERROR(__xludf.DUMMYFUNCTION("""COMPUTED_VALUE"""),"SOM20241")</f>
        <v>SOM20241</v>
      </c>
      <c r="J679" s="74" t="str">
        <f>IFERROR(__xludf.DUMMYFUNCTION("""COMPUTED_VALUE"""),"267522004")</f>
        <v>267522004</v>
      </c>
      <c r="K679" s="74" t="str">
        <f>IFERROR(__xludf.DUMMYFUNCTION("""COMPUTED_VALUE"""),"Putzmeister")</f>
        <v>Putzmeister</v>
      </c>
      <c r="L679" s="74" t="str">
        <f>IFERROR(__xludf.DUMMYFUNCTION("""COMPUTED_VALUE"""),"Componentes estructurales y de montaje")</f>
        <v>Componentes estructurales y de montaje</v>
      </c>
      <c r="M679" s="74" t="str">
        <f>IFERROR(__xludf.DUMMYFUNCTION("""COMPUTED_VALUE"""),"Sin Asignar")</f>
        <v>Sin Asignar</v>
      </c>
      <c r="N679" s="87">
        <f>IFERROR(__xludf.DUMMYFUNCTION("""COMPUTED_VALUE"""),0.0)</f>
        <v>0</v>
      </c>
      <c r="O679" s="74"/>
      <c r="P679" s="74" t="str">
        <f>IFERROR(__xludf.DUMMYFUNCTION("""COMPUTED_VALUE"""),"No Available")</f>
        <v>No Available</v>
      </c>
      <c r="Q679" s="74"/>
      <c r="R679" s="74"/>
      <c r="S679" s="87">
        <f>IFERROR(__xludf.DUMMYFUNCTION("""COMPUTED_VALUE"""),0.0)</f>
        <v>0</v>
      </c>
      <c r="T679" s="87">
        <f>IFERROR(__xludf.DUMMYFUNCTION("""COMPUTED_VALUE"""),0.0)</f>
        <v>0</v>
      </c>
      <c r="U679" s="87">
        <f>IFERROR(__xludf.DUMMYFUNCTION("""COMPUTED_VALUE"""),0.0)</f>
        <v>0</v>
      </c>
      <c r="V679" s="87">
        <f>IFERROR(__xludf.DUMMYFUNCTION("""COMPUTED_VALUE"""),0.0)</f>
        <v>0</v>
      </c>
      <c r="W679" s="87">
        <f>IFERROR(__xludf.DUMMYFUNCTION("""COMPUTED_VALUE"""),0.0)</f>
        <v>0</v>
      </c>
      <c r="X679" s="88"/>
      <c r="Y679" s="74"/>
      <c r="Z679" s="74"/>
    </row>
    <row r="680">
      <c r="B680" s="74" t="str">
        <f>IFERROR(__xludf.DUMMYFUNCTION("""COMPUTED_VALUE"""),"1677")</f>
        <v>1677</v>
      </c>
      <c r="C680" s="74"/>
      <c r="D680" s="74" t="str">
        <f>IFERROR(__xludf.DUMMYFUNCTION("""COMPUTED_VALUE"""),"\\MCA-S\mk\2_BM\0_BMat\08_PYM\Inventario\excel\Imagen de refacciones\Putzmeister\Forward control valve 24V _ Válvula de control de avance 24V")</f>
        <v>\\MCA-S\mk\2_BM\0_BMat\08_PYM\Inventario\excel\Imagen de refacciones\Putzmeister\Forward control valve 24V _ Válvula de control de avance 24V</v>
      </c>
      <c r="E680" s="74"/>
      <c r="F680" s="74" t="str">
        <f>IFERROR(__xludf.DUMMYFUNCTION("""COMPUTED_VALUE"""),"Forward control valve 24V / Válvula de control de avance 24V")</f>
        <v>Forward control valve 24V / Válvula de control de avance 24V</v>
      </c>
      <c r="G680" s="74"/>
      <c r="H680" s="74"/>
      <c r="I680" s="74" t="str">
        <f>IFERROR(__xludf.DUMMYFUNCTION("""COMPUTED_VALUE"""),"SOM20242")</f>
        <v>SOM20242</v>
      </c>
      <c r="J680" s="74" t="str">
        <f>IFERROR(__xludf.DUMMYFUNCTION("""COMPUTED_VALUE"""),"240888008")</f>
        <v>240888008</v>
      </c>
      <c r="K680" s="74" t="str">
        <f>IFERROR(__xludf.DUMMYFUNCTION("""COMPUTED_VALUE"""),"Putzmeister")</f>
        <v>Putzmeister</v>
      </c>
      <c r="L680" s="74" t="str">
        <f>IFERROR(__xludf.DUMMYFUNCTION("""COMPUTED_VALUE"""),"Componentes eléctricos")</f>
        <v>Componentes eléctricos</v>
      </c>
      <c r="M680" s="74" t="str">
        <f>IFERROR(__xludf.DUMMYFUNCTION("""COMPUTED_VALUE"""),"Sin Asignar")</f>
        <v>Sin Asignar</v>
      </c>
      <c r="N680" s="87">
        <f>IFERROR(__xludf.DUMMYFUNCTION("""COMPUTED_VALUE"""),0.0)</f>
        <v>0</v>
      </c>
      <c r="O680" s="74"/>
      <c r="P680" s="74" t="str">
        <f>IFERROR(__xludf.DUMMYFUNCTION("""COMPUTED_VALUE"""),"No Available")</f>
        <v>No Available</v>
      </c>
      <c r="Q680" s="74"/>
      <c r="R680" s="74"/>
      <c r="S680" s="87">
        <f>IFERROR(__xludf.DUMMYFUNCTION("""COMPUTED_VALUE"""),0.0)</f>
        <v>0</v>
      </c>
      <c r="T680" s="87">
        <f>IFERROR(__xludf.DUMMYFUNCTION("""COMPUTED_VALUE"""),0.0)</f>
        <v>0</v>
      </c>
      <c r="U680" s="87">
        <f>IFERROR(__xludf.DUMMYFUNCTION("""COMPUTED_VALUE"""),0.0)</f>
        <v>0</v>
      </c>
      <c r="V680" s="87">
        <f>IFERROR(__xludf.DUMMYFUNCTION("""COMPUTED_VALUE"""),0.0)</f>
        <v>0</v>
      </c>
      <c r="W680" s="87">
        <f>IFERROR(__xludf.DUMMYFUNCTION("""COMPUTED_VALUE"""),0.0)</f>
        <v>0</v>
      </c>
      <c r="X680" s="88"/>
      <c r="Y680" s="74"/>
      <c r="Z680" s="74"/>
    </row>
    <row r="681">
      <c r="B681" s="74" t="str">
        <f>IFERROR(__xludf.DUMMYFUNCTION("""COMPUTED_VALUE"""),"1678")</f>
        <v>1678</v>
      </c>
      <c r="C681" s="74"/>
      <c r="D681" s="74" t="str">
        <f>IFERROR(__xludf.DUMMYFUNCTION("""COMPUTED_VALUE"""),"\\MCA-S\mk\2_BM\0_BMat\08_PYM\Inventario\excel\Imagen de refacciones\Putzmeister\HW BOOM VALVE _ VÁLVULA DE PLUMA HW")</f>
        <v>\\MCA-S\mk\2_BM\0_BMat\08_PYM\Inventario\excel\Imagen de refacciones\Putzmeister\HW BOOM VALVE _ VÁLVULA DE PLUMA HW</v>
      </c>
      <c r="E681" s="74"/>
      <c r="F681" s="74" t="str">
        <f>IFERROR(__xludf.DUMMYFUNCTION("""COMPUTED_VALUE"""),"HW BOOM VALVE / VÁLVULA DE PLUMA HW")</f>
        <v>HW BOOM VALVE / VÁLVULA DE PLUMA HW</v>
      </c>
      <c r="G681" s="74"/>
      <c r="H681" s="74"/>
      <c r="I681" s="74" t="str">
        <f>IFERROR(__xludf.DUMMYFUNCTION("""COMPUTED_VALUE"""),"SOM20243")</f>
        <v>SOM20243</v>
      </c>
      <c r="J681" s="74" t="str">
        <f>IFERROR(__xludf.DUMMYFUNCTION("""COMPUTED_VALUE"""),"255035008")</f>
        <v>255035008</v>
      </c>
      <c r="K681" s="74" t="str">
        <f>IFERROR(__xludf.DUMMYFUNCTION("""COMPUTED_VALUE"""),"Putzmeister")</f>
        <v>Putzmeister</v>
      </c>
      <c r="L681" s="74" t="str">
        <f>IFERROR(__xludf.DUMMYFUNCTION("""COMPUTED_VALUE"""),"Componentes hidráulicos")</f>
        <v>Componentes hidráulicos</v>
      </c>
      <c r="M681" s="74" t="str">
        <f>IFERROR(__xludf.DUMMYFUNCTION("""COMPUTED_VALUE"""),"Sin Asignar")</f>
        <v>Sin Asignar</v>
      </c>
      <c r="N681" s="87">
        <f>IFERROR(__xludf.DUMMYFUNCTION("""COMPUTED_VALUE"""),0.0)</f>
        <v>0</v>
      </c>
      <c r="O681" s="74"/>
      <c r="P681" s="74" t="str">
        <f>IFERROR(__xludf.DUMMYFUNCTION("""COMPUTED_VALUE"""),"No Available")</f>
        <v>No Available</v>
      </c>
      <c r="Q681" s="74"/>
      <c r="R681" s="74"/>
      <c r="S681" s="87">
        <f>IFERROR(__xludf.DUMMYFUNCTION("""COMPUTED_VALUE"""),0.0)</f>
        <v>0</v>
      </c>
      <c r="T681" s="87">
        <f>IFERROR(__xludf.DUMMYFUNCTION("""COMPUTED_VALUE"""),0.0)</f>
        <v>0</v>
      </c>
      <c r="U681" s="87">
        <f>IFERROR(__xludf.DUMMYFUNCTION("""COMPUTED_VALUE"""),0.0)</f>
        <v>0</v>
      </c>
      <c r="V681" s="87">
        <f>IFERROR(__xludf.DUMMYFUNCTION("""COMPUTED_VALUE"""),0.0)</f>
        <v>0</v>
      </c>
      <c r="W681" s="87">
        <f>IFERROR(__xludf.DUMMYFUNCTION("""COMPUTED_VALUE"""),0.0)</f>
        <v>0</v>
      </c>
      <c r="X681" s="88"/>
      <c r="Y681" s="74"/>
      <c r="Z681" s="74"/>
    </row>
    <row r="682">
      <c r="B682" s="74" t="str">
        <f>IFERROR(__xludf.DUMMYFUNCTION("""COMPUTED_VALUE"""),"1679")</f>
        <v>1679</v>
      </c>
      <c r="C682" s="74"/>
      <c r="D682" s="74" t="str">
        <f>IFERROR(__xludf.DUMMYFUNCTION("""COMPUTED_VALUE"""),"\\MCA-S\mk\2_BM\0_BMat\08_PYM\Inventario\excel\Imagen de refacciones\Putzmeister\Control pressure regulator _ Regulador de presión de control")</f>
        <v>\\MCA-S\mk\2_BM\0_BMat\08_PYM\Inventario\excel\Imagen de refacciones\Putzmeister\Control pressure regulator _ Regulador de presión de control</v>
      </c>
      <c r="E682" s="74"/>
      <c r="F682" s="74" t="str">
        <f>IFERROR(__xludf.DUMMYFUNCTION("""COMPUTED_VALUE"""),"Control pressure regulator / Regulador de presión de control")</f>
        <v>Control pressure regulator / Regulador de presión de control</v>
      </c>
      <c r="G682" s="74"/>
      <c r="H682" s="74"/>
      <c r="I682" s="74" t="str">
        <f>IFERROR(__xludf.DUMMYFUNCTION("""COMPUTED_VALUE"""),"SOM20245")</f>
        <v>SOM20245</v>
      </c>
      <c r="J682" s="74" t="str">
        <f>IFERROR(__xludf.DUMMYFUNCTION("""COMPUTED_VALUE"""),"283736007")</f>
        <v>283736007</v>
      </c>
      <c r="K682" s="74" t="str">
        <f>IFERROR(__xludf.DUMMYFUNCTION("""COMPUTED_VALUE"""),"Putzmeister")</f>
        <v>Putzmeister</v>
      </c>
      <c r="L682" s="74" t="str">
        <f>IFERROR(__xludf.DUMMYFUNCTION("""COMPUTED_VALUE"""),"Elementos de medición y control")</f>
        <v>Elementos de medición y control</v>
      </c>
      <c r="M682" s="74" t="str">
        <f>IFERROR(__xludf.DUMMYFUNCTION("""COMPUTED_VALUE"""),"Sin Asignar")</f>
        <v>Sin Asignar</v>
      </c>
      <c r="N682" s="87">
        <f>IFERROR(__xludf.DUMMYFUNCTION("""COMPUTED_VALUE"""),0.0)</f>
        <v>0</v>
      </c>
      <c r="O682" s="74"/>
      <c r="P682" s="74" t="str">
        <f>IFERROR(__xludf.DUMMYFUNCTION("""COMPUTED_VALUE"""),"No Available")</f>
        <v>No Available</v>
      </c>
      <c r="Q682" s="74"/>
      <c r="R682" s="74"/>
      <c r="S682" s="87">
        <f>IFERROR(__xludf.DUMMYFUNCTION("""COMPUTED_VALUE"""),0.0)</f>
        <v>0</v>
      </c>
      <c r="T682" s="87">
        <f>IFERROR(__xludf.DUMMYFUNCTION("""COMPUTED_VALUE"""),0.0)</f>
        <v>0</v>
      </c>
      <c r="U682" s="87">
        <f>IFERROR(__xludf.DUMMYFUNCTION("""COMPUTED_VALUE"""),0.0)</f>
        <v>0</v>
      </c>
      <c r="V682" s="87">
        <f>IFERROR(__xludf.DUMMYFUNCTION("""COMPUTED_VALUE"""),0.0)</f>
        <v>0</v>
      </c>
      <c r="W682" s="87">
        <f>IFERROR(__xludf.DUMMYFUNCTION("""COMPUTED_VALUE"""),0.0)</f>
        <v>0</v>
      </c>
      <c r="X682" s="88"/>
      <c r="Y682" s="74"/>
      <c r="Z682" s="74"/>
    </row>
    <row r="683">
      <c r="B683" s="74" t="str">
        <f>IFERROR(__xludf.DUMMYFUNCTION("""COMPUTED_VALUE"""),"1680")</f>
        <v>1680</v>
      </c>
      <c r="C683" s="74"/>
      <c r="D683" s="74" t="str">
        <f>IFERROR(__xludf.DUMMYFUNCTION("""COMPUTED_VALUE"""),"\\MCA-S\mk\2_BM\0_BMat\08_PYM\Inventario\excel\Imagen de refacciones\Putzmeister\Valve 5_2 24VR  R1_4__ Válvula 5_2 24V R1_4_")</f>
        <v>\\MCA-S\mk\2_BM\0_BMat\08_PYM\Inventario\excel\Imagen de refacciones\Putzmeister\Valve 5_2 24VR  R1_4__ Válvula 5_2 24V R1_4_</v>
      </c>
      <c r="E683" s="74"/>
      <c r="F683" s="74" t="str">
        <f>IFERROR(__xludf.DUMMYFUNCTION("""COMPUTED_VALUE"""),"Valve 5/2 24VR  R1/4""/ Válvula 5/2 24V R1/4""")</f>
        <v>Valve 5/2 24VR  R1/4"/ Válvula 5/2 24V R1/4"</v>
      </c>
      <c r="G683" s="74"/>
      <c r="H683" s="74"/>
      <c r="I683" s="74" t="str">
        <f>IFERROR(__xludf.DUMMYFUNCTION("""COMPUTED_VALUE"""),"SOM20246")</f>
        <v>SOM20246</v>
      </c>
      <c r="J683" s="74" t="str">
        <f>IFERROR(__xludf.DUMMYFUNCTION("""COMPUTED_VALUE"""),"473835")</f>
        <v>473835</v>
      </c>
      <c r="K683" s="74" t="str">
        <f>IFERROR(__xludf.DUMMYFUNCTION("""COMPUTED_VALUE"""),"Putzmeister")</f>
        <v>Putzmeister</v>
      </c>
      <c r="L683" s="74" t="str">
        <f>IFERROR(__xludf.DUMMYFUNCTION("""COMPUTED_VALUE"""),"Componentes neumáticos")</f>
        <v>Componentes neumáticos</v>
      </c>
      <c r="M683" s="74" t="str">
        <f>IFERROR(__xludf.DUMMYFUNCTION("""COMPUTED_VALUE"""),"Sin Asignar")</f>
        <v>Sin Asignar</v>
      </c>
      <c r="N683" s="87">
        <f>IFERROR(__xludf.DUMMYFUNCTION("""COMPUTED_VALUE"""),0.0)</f>
        <v>0</v>
      </c>
      <c r="O683" s="74"/>
      <c r="P683" s="74" t="str">
        <f>IFERROR(__xludf.DUMMYFUNCTION("""COMPUTED_VALUE"""),"No Available")</f>
        <v>No Available</v>
      </c>
      <c r="Q683" s="74"/>
      <c r="R683" s="74"/>
      <c r="S683" s="87">
        <f>IFERROR(__xludf.DUMMYFUNCTION("""COMPUTED_VALUE"""),0.0)</f>
        <v>0</v>
      </c>
      <c r="T683" s="87">
        <f>IFERROR(__xludf.DUMMYFUNCTION("""COMPUTED_VALUE"""),0.0)</f>
        <v>0</v>
      </c>
      <c r="U683" s="87">
        <f>IFERROR(__xludf.DUMMYFUNCTION("""COMPUTED_VALUE"""),0.0)</f>
        <v>0</v>
      </c>
      <c r="V683" s="87">
        <f>IFERROR(__xludf.DUMMYFUNCTION("""COMPUTED_VALUE"""),0.0)</f>
        <v>0</v>
      </c>
      <c r="W683" s="87">
        <f>IFERROR(__xludf.DUMMYFUNCTION("""COMPUTED_VALUE"""),0.0)</f>
        <v>0</v>
      </c>
      <c r="X683" s="88"/>
      <c r="Y683" s="74"/>
      <c r="Z683" s="74"/>
    </row>
    <row r="684">
      <c r="B684" s="74" t="str">
        <f>IFERROR(__xludf.DUMMYFUNCTION("""COMPUTED_VALUE"""),"1681")</f>
        <v>1681</v>
      </c>
      <c r="C684" s="74"/>
      <c r="D684" s="74" t="str">
        <f>IFERROR(__xludf.DUMMYFUNCTION("""COMPUTED_VALUE"""),"\\MCA-S\mk\2_BM\0_BMat\08_PYM\Inventario\excel\Imagen de refacciones\Putzmeister\Control block _ Bloque de control")</f>
        <v>\\MCA-S\mk\2_BM\0_BMat\08_PYM\Inventario\excel\Imagen de refacciones\Putzmeister\Control block _ Bloque de control</v>
      </c>
      <c r="E684" s="74"/>
      <c r="F684" s="74" t="str">
        <f>IFERROR(__xludf.DUMMYFUNCTION("""COMPUTED_VALUE"""),"Control block / Bloque de control")</f>
        <v>Control block / Bloque de control</v>
      </c>
      <c r="G684" s="74"/>
      <c r="H684" s="74"/>
      <c r="I684" s="74" t="str">
        <f>IFERROR(__xludf.DUMMYFUNCTION("""COMPUTED_VALUE"""),"SOM232072000")</f>
        <v>SOM232072000</v>
      </c>
      <c r="J684" s="74" t="str">
        <f>IFERROR(__xludf.DUMMYFUNCTION("""COMPUTED_VALUE"""),"232072000")</f>
        <v>232072000</v>
      </c>
      <c r="K684" s="74" t="str">
        <f>IFERROR(__xludf.DUMMYFUNCTION("""COMPUTED_VALUE"""),"Putzmeister")</f>
        <v>Putzmeister</v>
      </c>
      <c r="L684" s="74" t="str">
        <f>IFERROR(__xludf.DUMMYFUNCTION("""COMPUTED_VALUE"""),"Componentes hidráulicos")</f>
        <v>Componentes hidráulicos</v>
      </c>
      <c r="M684" s="74" t="str">
        <f>IFERROR(__xludf.DUMMYFUNCTION("""COMPUTED_VALUE"""),"Sin Asignar")</f>
        <v>Sin Asignar</v>
      </c>
      <c r="N684" s="87">
        <f>IFERROR(__xludf.DUMMYFUNCTION("""COMPUTED_VALUE"""),0.0)</f>
        <v>0</v>
      </c>
      <c r="O684" s="74"/>
      <c r="P684" s="74" t="str">
        <f>IFERROR(__xludf.DUMMYFUNCTION("""COMPUTED_VALUE"""),"No Available")</f>
        <v>No Available</v>
      </c>
      <c r="Q684" s="74"/>
      <c r="R684" s="74"/>
      <c r="S684" s="87">
        <f>IFERROR(__xludf.DUMMYFUNCTION("""COMPUTED_VALUE"""),0.0)</f>
        <v>0</v>
      </c>
      <c r="T684" s="87">
        <f>IFERROR(__xludf.DUMMYFUNCTION("""COMPUTED_VALUE"""),0.0)</f>
        <v>0</v>
      </c>
      <c r="U684" s="87">
        <f>IFERROR(__xludf.DUMMYFUNCTION("""COMPUTED_VALUE"""),0.0)</f>
        <v>0</v>
      </c>
      <c r="V684" s="87">
        <f>IFERROR(__xludf.DUMMYFUNCTION("""COMPUTED_VALUE"""),0.0)</f>
        <v>0</v>
      </c>
      <c r="W684" s="87">
        <f>IFERROR(__xludf.DUMMYFUNCTION("""COMPUTED_VALUE"""),0.0)</f>
        <v>0</v>
      </c>
      <c r="X684" s="88"/>
      <c r="Y684" s="74"/>
      <c r="Z684" s="74"/>
    </row>
    <row r="685">
      <c r="B685" s="74" t="str">
        <f>IFERROR(__xludf.DUMMYFUNCTION("""COMPUTED_VALUE"""),"1682")</f>
        <v>1682</v>
      </c>
      <c r="C685" s="74"/>
      <c r="D685" s="74" t="str">
        <f>IFERROR(__xludf.DUMMYFUNCTION("""COMPUTED_VALUE"""),"\\MCA-S\mk\2_BM\0_BMat\08_PYM\Inventario\excel\Imagen de refacciones\Putzmeister\Selenoid 24V _ Solenoide 24V")</f>
        <v>\\MCA-S\mk\2_BM\0_BMat\08_PYM\Inventario\excel\Imagen de refacciones\Putzmeister\Selenoid 24V _ Solenoide 24V</v>
      </c>
      <c r="E685" s="74"/>
      <c r="F685" s="74" t="str">
        <f>IFERROR(__xludf.DUMMYFUNCTION("""COMPUTED_VALUE"""),"Selenoid 24V / Solenoide 24V")</f>
        <v>Selenoid 24V / Solenoide 24V</v>
      </c>
      <c r="G685" s="74"/>
      <c r="H685" s="74"/>
      <c r="I685" s="74" t="str">
        <f>IFERROR(__xludf.DUMMYFUNCTION("""COMPUTED_VALUE"""),"SOM20248")</f>
        <v>SOM20248</v>
      </c>
      <c r="J685" s="74" t="str">
        <f>IFERROR(__xludf.DUMMYFUNCTION("""COMPUTED_VALUE"""),"61678002")</f>
        <v>61678002</v>
      </c>
      <c r="K685" s="74" t="str">
        <f>IFERROR(__xludf.DUMMYFUNCTION("""COMPUTED_VALUE"""),"Putzmeister")</f>
        <v>Putzmeister</v>
      </c>
      <c r="L685" s="74" t="str">
        <f>IFERROR(__xludf.DUMMYFUNCTION("""COMPUTED_VALUE"""),"Componentes eléctricos")</f>
        <v>Componentes eléctricos</v>
      </c>
      <c r="M685" s="74" t="str">
        <f>IFERROR(__xludf.DUMMYFUNCTION("""COMPUTED_VALUE"""),"Sin Asignar")</f>
        <v>Sin Asignar</v>
      </c>
      <c r="N685" s="87">
        <f>IFERROR(__xludf.DUMMYFUNCTION("""COMPUTED_VALUE"""),0.0)</f>
        <v>0</v>
      </c>
      <c r="O685" s="74"/>
      <c r="P685" s="74" t="str">
        <f>IFERROR(__xludf.DUMMYFUNCTION("""COMPUTED_VALUE"""),"No Available")</f>
        <v>No Available</v>
      </c>
      <c r="Q685" s="74"/>
      <c r="R685" s="74"/>
      <c r="S685" s="87">
        <f>IFERROR(__xludf.DUMMYFUNCTION("""COMPUTED_VALUE"""),0.0)</f>
        <v>0</v>
      </c>
      <c r="T685" s="87">
        <f>IFERROR(__xludf.DUMMYFUNCTION("""COMPUTED_VALUE"""),0.0)</f>
        <v>0</v>
      </c>
      <c r="U685" s="87">
        <f>IFERROR(__xludf.DUMMYFUNCTION("""COMPUTED_VALUE"""),0.0)</f>
        <v>0</v>
      </c>
      <c r="V685" s="87">
        <f>IFERROR(__xludf.DUMMYFUNCTION("""COMPUTED_VALUE"""),0.0)</f>
        <v>0</v>
      </c>
      <c r="W685" s="87">
        <f>IFERROR(__xludf.DUMMYFUNCTION("""COMPUTED_VALUE"""),0.0)</f>
        <v>0</v>
      </c>
      <c r="X685" s="88"/>
      <c r="Y685" s="74"/>
      <c r="Z685" s="74"/>
    </row>
    <row r="686">
      <c r="B686" s="74" t="str">
        <f>IFERROR(__xludf.DUMMYFUNCTION("""COMPUTED_VALUE"""),"1683")</f>
        <v>1683</v>
      </c>
      <c r="C686" s="74"/>
      <c r="D686" s="74" t="str">
        <f>IFERROR(__xludf.DUMMYFUNCTION("""COMPUTED_VALUE"""),"\\MCA-S\mk\2_BM\0_BMat\08_PYM\Inventario\excel\Imagen de refacciones\Putzmeister\4_2 WAY VALVE 24V _ Válvula 4_2 vías 24V")</f>
        <v>\\MCA-S\mk\2_BM\0_BMat\08_PYM\Inventario\excel\Imagen de refacciones\Putzmeister\4_2 WAY VALVE 24V _ Válvula 4_2 vías 24V</v>
      </c>
      <c r="E686" s="74"/>
      <c r="F686" s="74" t="str">
        <f>IFERROR(__xludf.DUMMYFUNCTION("""COMPUTED_VALUE"""),"4/2 WAY VALVE 24V / Válvula 4/2 vías 24V")</f>
        <v>4/2 WAY VALVE 24V / Válvula 4/2 vías 24V</v>
      </c>
      <c r="G686" s="74"/>
      <c r="H686" s="74"/>
      <c r="I686" s="74" t="str">
        <f>IFERROR(__xludf.DUMMYFUNCTION("""COMPUTED_VALUE"""),"SOM20251")</f>
        <v>SOM20251</v>
      </c>
      <c r="J686" s="74" t="str">
        <f>IFERROR(__xludf.DUMMYFUNCTION("""COMPUTED_VALUE"""),"67344000")</f>
        <v>67344000</v>
      </c>
      <c r="K686" s="74" t="str">
        <f>IFERROR(__xludf.DUMMYFUNCTION("""COMPUTED_VALUE"""),"Putzmeister")</f>
        <v>Putzmeister</v>
      </c>
      <c r="L686" s="74" t="str">
        <f>IFERROR(__xludf.DUMMYFUNCTION("""COMPUTED_VALUE"""),"Componentes neumáticos")</f>
        <v>Componentes neumáticos</v>
      </c>
      <c r="M686" s="74" t="str">
        <f>IFERROR(__xludf.DUMMYFUNCTION("""COMPUTED_VALUE"""),"Sin Asignar")</f>
        <v>Sin Asignar</v>
      </c>
      <c r="N686" s="87">
        <f>IFERROR(__xludf.DUMMYFUNCTION("""COMPUTED_VALUE"""),0.0)</f>
        <v>0</v>
      </c>
      <c r="O686" s="74"/>
      <c r="P686" s="74" t="str">
        <f>IFERROR(__xludf.DUMMYFUNCTION("""COMPUTED_VALUE"""),"No Available")</f>
        <v>No Available</v>
      </c>
      <c r="Q686" s="74"/>
      <c r="R686" s="74"/>
      <c r="S686" s="87">
        <f>IFERROR(__xludf.DUMMYFUNCTION("""COMPUTED_VALUE"""),0.0)</f>
        <v>0</v>
      </c>
      <c r="T686" s="87">
        <f>IFERROR(__xludf.DUMMYFUNCTION("""COMPUTED_VALUE"""),0.0)</f>
        <v>0</v>
      </c>
      <c r="U686" s="87">
        <f>IFERROR(__xludf.DUMMYFUNCTION("""COMPUTED_VALUE"""),0.0)</f>
        <v>0</v>
      </c>
      <c r="V686" s="87">
        <f>IFERROR(__xludf.DUMMYFUNCTION("""COMPUTED_VALUE"""),0.0)</f>
        <v>0</v>
      </c>
      <c r="W686" s="87">
        <f>IFERROR(__xludf.DUMMYFUNCTION("""COMPUTED_VALUE"""),0.0)</f>
        <v>0</v>
      </c>
      <c r="X686" s="88"/>
      <c r="Y686" s="74"/>
      <c r="Z686" s="74"/>
    </row>
    <row r="687">
      <c r="B687" s="74" t="str">
        <f>IFERROR(__xludf.DUMMYFUNCTION("""COMPUTED_VALUE"""),"1684")</f>
        <v>1684</v>
      </c>
      <c r="C687" s="74"/>
      <c r="D687" s="74" t="str">
        <f>IFERROR(__xludf.DUMMYFUNCTION("""COMPUTED_VALUE"""),"\\MCA-S\mk\2_BM\0_BMat\08_PYM\Inventario\excel\Imagen de refacciones\Putzmeister\4_3 WAY VALVE 24V _ Válvula 4_3 vías 24V")</f>
        <v>\\MCA-S\mk\2_BM\0_BMat\08_PYM\Inventario\excel\Imagen de refacciones\Putzmeister\4_3 WAY VALVE 24V _ Válvula 4_3 vías 24V</v>
      </c>
      <c r="E687" s="74"/>
      <c r="F687" s="74" t="str">
        <f>IFERROR(__xludf.DUMMYFUNCTION("""COMPUTED_VALUE"""),"4/3 WAY VALVE 24V / Válvula 4/3 vías 24V")</f>
        <v>4/3 WAY VALVE 24V / Válvula 4/3 vías 24V</v>
      </c>
      <c r="G687" s="74"/>
      <c r="H687" s="74"/>
      <c r="I687" s="74" t="str">
        <f>IFERROR(__xludf.DUMMYFUNCTION("""COMPUTED_VALUE"""),"SOM20252")</f>
        <v>SOM20252</v>
      </c>
      <c r="J687" s="74" t="str">
        <f>IFERROR(__xludf.DUMMYFUNCTION("""COMPUTED_VALUE"""),"67346008")</f>
        <v>67346008</v>
      </c>
      <c r="K687" s="74" t="str">
        <f>IFERROR(__xludf.DUMMYFUNCTION("""COMPUTED_VALUE"""),"Putzmeister")</f>
        <v>Putzmeister</v>
      </c>
      <c r="L687" s="74" t="str">
        <f>IFERROR(__xludf.DUMMYFUNCTION("""COMPUTED_VALUE"""),"Componentes neumáticos")</f>
        <v>Componentes neumáticos</v>
      </c>
      <c r="M687" s="74" t="str">
        <f>IFERROR(__xludf.DUMMYFUNCTION("""COMPUTED_VALUE"""),"Sin Asignar")</f>
        <v>Sin Asignar</v>
      </c>
      <c r="N687" s="87">
        <f>IFERROR(__xludf.DUMMYFUNCTION("""COMPUTED_VALUE"""),0.0)</f>
        <v>0</v>
      </c>
      <c r="O687" s="74"/>
      <c r="P687" s="74" t="str">
        <f>IFERROR(__xludf.DUMMYFUNCTION("""COMPUTED_VALUE"""),"No Available")</f>
        <v>No Available</v>
      </c>
      <c r="Q687" s="74"/>
      <c r="R687" s="74"/>
      <c r="S687" s="87">
        <f>IFERROR(__xludf.DUMMYFUNCTION("""COMPUTED_VALUE"""),0.0)</f>
        <v>0</v>
      </c>
      <c r="T687" s="87">
        <f>IFERROR(__xludf.DUMMYFUNCTION("""COMPUTED_VALUE"""),0.0)</f>
        <v>0</v>
      </c>
      <c r="U687" s="87">
        <f>IFERROR(__xludf.DUMMYFUNCTION("""COMPUTED_VALUE"""),0.0)</f>
        <v>0</v>
      </c>
      <c r="V687" s="87">
        <f>IFERROR(__xludf.DUMMYFUNCTION("""COMPUTED_VALUE"""),0.0)</f>
        <v>0</v>
      </c>
      <c r="W687" s="87">
        <f>IFERROR(__xludf.DUMMYFUNCTION("""COMPUTED_VALUE"""),0.0)</f>
        <v>0</v>
      </c>
      <c r="X687" s="88"/>
      <c r="Y687" s="74"/>
      <c r="Z687" s="74"/>
    </row>
    <row r="688">
      <c r="B688" s="74" t="str">
        <f>IFERROR(__xludf.DUMMYFUNCTION("""COMPUTED_VALUE"""),"1685")</f>
        <v>1685</v>
      </c>
      <c r="C688" s="74"/>
      <c r="D688" s="74" t="str">
        <f>IFERROR(__xludf.DUMMYFUNCTION("""COMPUTED_VALUE"""),"\\MCA-S\mk\2_BM\0_BMat\08_PYM\Inventario\excel\Imagen de refacciones\Putzmeister\filter element _ Elemento filtrante")</f>
        <v>\\MCA-S\mk\2_BM\0_BMat\08_PYM\Inventario\excel\Imagen de refacciones\Putzmeister\filter element _ Elemento filtrante</v>
      </c>
      <c r="E688" s="74"/>
      <c r="F688" s="74" t="str">
        <f>IFERROR(__xludf.DUMMYFUNCTION("""COMPUTED_VALUE"""),"filter element / Elemento filtrante")</f>
        <v>filter element / Elemento filtrante</v>
      </c>
      <c r="G688" s="74"/>
      <c r="H688" s="74"/>
      <c r="I688" s="74" t="str">
        <f>IFERROR(__xludf.DUMMYFUNCTION("""COMPUTED_VALUE"""),"SOM20253")</f>
        <v>SOM20253</v>
      </c>
      <c r="J688" s="74" t="str">
        <f>IFERROR(__xludf.DUMMYFUNCTION("""COMPUTED_VALUE"""),"294073005")</f>
        <v>294073005</v>
      </c>
      <c r="K688" s="74" t="str">
        <f>IFERROR(__xludf.DUMMYFUNCTION("""COMPUTED_VALUE"""),"Putzmeister")</f>
        <v>Putzmeister</v>
      </c>
      <c r="L688" s="74" t="str">
        <f>IFERROR(__xludf.DUMMYFUNCTION("""COMPUTED_VALUE"""),"Componentes hidráulicos")</f>
        <v>Componentes hidráulicos</v>
      </c>
      <c r="M688" s="74" t="str">
        <f>IFERROR(__xludf.DUMMYFUNCTION("""COMPUTED_VALUE"""),"Sin Asignar")</f>
        <v>Sin Asignar</v>
      </c>
      <c r="N688" s="87">
        <f>IFERROR(__xludf.DUMMYFUNCTION("""COMPUTED_VALUE"""),0.0)</f>
        <v>0</v>
      </c>
      <c r="O688" s="74"/>
      <c r="P688" s="74" t="str">
        <f>IFERROR(__xludf.DUMMYFUNCTION("""COMPUTED_VALUE"""),"No Available")</f>
        <v>No Available</v>
      </c>
      <c r="Q688" s="74"/>
      <c r="R688" s="74"/>
      <c r="S688" s="87">
        <f>IFERROR(__xludf.DUMMYFUNCTION("""COMPUTED_VALUE"""),0.0)</f>
        <v>0</v>
      </c>
      <c r="T688" s="87">
        <f>IFERROR(__xludf.DUMMYFUNCTION("""COMPUTED_VALUE"""),0.0)</f>
        <v>0</v>
      </c>
      <c r="U688" s="87">
        <f>IFERROR(__xludf.DUMMYFUNCTION("""COMPUTED_VALUE"""),0.0)</f>
        <v>0</v>
      </c>
      <c r="V688" s="87">
        <f>IFERROR(__xludf.DUMMYFUNCTION("""COMPUTED_VALUE"""),0.0)</f>
        <v>0</v>
      </c>
      <c r="W688" s="87">
        <f>IFERROR(__xludf.DUMMYFUNCTION("""COMPUTED_VALUE"""),0.0)</f>
        <v>0</v>
      </c>
      <c r="X688" s="88"/>
      <c r="Y688" s="74"/>
      <c r="Z688" s="74"/>
    </row>
    <row r="689">
      <c r="B689" s="74" t="str">
        <f>IFERROR(__xludf.DUMMYFUNCTION("""COMPUTED_VALUE"""),"1686")</f>
        <v>1686</v>
      </c>
      <c r="C689" s="74"/>
      <c r="D689" s="74" t="str">
        <f>IFERROR(__xludf.DUMMYFUNCTION("""COMPUTED_VALUE"""),"\\MCA-S\mk\2_BM\0_BMat\08_PYM\Inventario\excel\Imagen de refacciones\Putzmeister\Filter element _ Elemento de filtro")</f>
        <v>\\MCA-S\mk\2_BM\0_BMat\08_PYM\Inventario\excel\Imagen de refacciones\Putzmeister\Filter element _ Elemento de filtro</v>
      </c>
      <c r="E689" s="74"/>
      <c r="F689" s="74" t="str">
        <f>IFERROR(__xludf.DUMMYFUNCTION("""COMPUTED_VALUE"""),"Filter element / Elemento de filtro")</f>
        <v>Filter element / Elemento de filtro</v>
      </c>
      <c r="G689" s="74"/>
      <c r="H689" s="74"/>
      <c r="I689" s="74" t="str">
        <f>IFERROR(__xludf.DUMMYFUNCTION("""COMPUTED_VALUE"""),"SOM20254")</f>
        <v>SOM20254</v>
      </c>
      <c r="J689" s="74" t="str">
        <f>IFERROR(__xludf.DUMMYFUNCTION("""COMPUTED_VALUE"""),"222895006")</f>
        <v>222895006</v>
      </c>
      <c r="K689" s="74" t="str">
        <f>IFERROR(__xludf.DUMMYFUNCTION("""COMPUTED_VALUE"""),"Putzmeister")</f>
        <v>Putzmeister</v>
      </c>
      <c r="L689" s="74" t="str">
        <f>IFERROR(__xludf.DUMMYFUNCTION("""COMPUTED_VALUE"""),"Componentes hidráulicos")</f>
        <v>Componentes hidráulicos</v>
      </c>
      <c r="M689" s="74" t="str">
        <f>IFERROR(__xludf.DUMMYFUNCTION("""COMPUTED_VALUE"""),"Sin Asignar")</f>
        <v>Sin Asignar</v>
      </c>
      <c r="N689" s="87">
        <f>IFERROR(__xludf.DUMMYFUNCTION("""COMPUTED_VALUE"""),0.0)</f>
        <v>0</v>
      </c>
      <c r="O689" s="74"/>
      <c r="P689" s="74" t="str">
        <f>IFERROR(__xludf.DUMMYFUNCTION("""COMPUTED_VALUE"""),"borrar")</f>
        <v>borrar</v>
      </c>
      <c r="Q689" s="74"/>
      <c r="R689" s="74"/>
      <c r="S689" s="87">
        <f>IFERROR(__xludf.DUMMYFUNCTION("""COMPUTED_VALUE"""),0.0)</f>
        <v>0</v>
      </c>
      <c r="T689" s="87">
        <f>IFERROR(__xludf.DUMMYFUNCTION("""COMPUTED_VALUE"""),0.0)</f>
        <v>0</v>
      </c>
      <c r="U689" s="87">
        <f>IFERROR(__xludf.DUMMYFUNCTION("""COMPUTED_VALUE"""),0.0)</f>
        <v>0</v>
      </c>
      <c r="V689" s="87">
        <f>IFERROR(__xludf.DUMMYFUNCTION("""COMPUTED_VALUE"""),0.0)</f>
        <v>0</v>
      </c>
      <c r="W689" s="87">
        <f>IFERROR(__xludf.DUMMYFUNCTION("""COMPUTED_VALUE"""),0.0)</f>
        <v>0</v>
      </c>
      <c r="X689" s="88"/>
      <c r="Y689" s="74"/>
      <c r="Z689" s="74"/>
    </row>
    <row r="690">
      <c r="B690" s="74" t="str">
        <f>IFERROR(__xludf.DUMMYFUNCTION("""COMPUTED_VALUE"""),"1687")</f>
        <v>1687</v>
      </c>
      <c r="C690" s="74"/>
      <c r="D690" s="74" t="str">
        <f>IFERROR(__xludf.DUMMYFUNCTION("""COMPUTED_VALUE"""),"\\MCA-S\mk\2_BM\0_BMat\08_PYM\Inventario\excel\Imagen de refacciones\Putzmeister\Filter element _ Elemento filtrante (1)")</f>
        <v>\\MCA-S\mk\2_BM\0_BMat\08_PYM\Inventario\excel\Imagen de refacciones\Putzmeister\Filter element _ Elemento filtrante (1)</v>
      </c>
      <c r="E690" s="74"/>
      <c r="F690" s="74" t="str">
        <f>IFERROR(__xludf.DUMMYFUNCTION("""COMPUTED_VALUE"""),"Filter element / Elemento filtrante")</f>
        <v>Filter element / Elemento filtrante</v>
      </c>
      <c r="G690" s="74"/>
      <c r="H690" s="74"/>
      <c r="I690" s="74" t="str">
        <f>IFERROR(__xludf.DUMMYFUNCTION("""COMPUTED_VALUE"""),"SOM20255")</f>
        <v>SOM20255</v>
      </c>
      <c r="J690" s="74" t="str">
        <f>IFERROR(__xludf.DUMMYFUNCTION("""COMPUTED_VALUE"""),"416341")</f>
        <v>416341</v>
      </c>
      <c r="K690" s="74" t="str">
        <f>IFERROR(__xludf.DUMMYFUNCTION("""COMPUTED_VALUE"""),"Putzmeister")</f>
        <v>Putzmeister</v>
      </c>
      <c r="L690" s="74" t="str">
        <f>IFERROR(__xludf.DUMMYFUNCTION("""COMPUTED_VALUE"""),"Componentes hidráulicos")</f>
        <v>Componentes hidráulicos</v>
      </c>
      <c r="M690" s="74" t="str">
        <f>IFERROR(__xludf.DUMMYFUNCTION("""COMPUTED_VALUE"""),"Sin Asignar")</f>
        <v>Sin Asignar</v>
      </c>
      <c r="N690" s="87">
        <f>IFERROR(__xludf.DUMMYFUNCTION("""COMPUTED_VALUE"""),0.0)</f>
        <v>0</v>
      </c>
      <c r="O690" s="74"/>
      <c r="P690" s="74" t="str">
        <f>IFERROR(__xludf.DUMMYFUNCTION("""COMPUTED_VALUE"""),"borrar")</f>
        <v>borrar</v>
      </c>
      <c r="Q690" s="74"/>
      <c r="R690" s="74"/>
      <c r="S690" s="87">
        <f>IFERROR(__xludf.DUMMYFUNCTION("""COMPUTED_VALUE"""),0.0)</f>
        <v>0</v>
      </c>
      <c r="T690" s="87">
        <f>IFERROR(__xludf.DUMMYFUNCTION("""COMPUTED_VALUE"""),0.0)</f>
        <v>0</v>
      </c>
      <c r="U690" s="87">
        <f>IFERROR(__xludf.DUMMYFUNCTION("""COMPUTED_VALUE"""),0.0)</f>
        <v>0</v>
      </c>
      <c r="V690" s="87">
        <f>IFERROR(__xludf.DUMMYFUNCTION("""COMPUTED_VALUE"""),0.0)</f>
        <v>0</v>
      </c>
      <c r="W690" s="87">
        <f>IFERROR(__xludf.DUMMYFUNCTION("""COMPUTED_VALUE"""),0.0)</f>
        <v>0</v>
      </c>
      <c r="X690" s="88"/>
      <c r="Y690" s="74"/>
      <c r="Z690" s="74"/>
    </row>
    <row r="691">
      <c r="B691" s="74" t="str">
        <f>IFERROR(__xludf.DUMMYFUNCTION("""COMPUTED_VALUE"""),"1688")</f>
        <v>1688</v>
      </c>
      <c r="C691" s="74"/>
      <c r="D691" s="74" t="str">
        <f>IFERROR(__xludf.DUMMYFUNCTION("""COMPUTED_VALUE"""),"\\MCA-S\mk\2_BM\0_BMat\08_PYM\Inventario\excel\Imagen de refacciones\Putzmeister\Filter elemnt absolut _ Elemento filtrante absoluto")</f>
        <v>\\MCA-S\mk\2_BM\0_BMat\08_PYM\Inventario\excel\Imagen de refacciones\Putzmeister\Filter elemnt absolut _ Elemento filtrante absoluto</v>
      </c>
      <c r="E691" s="74"/>
      <c r="F691" s="74" t="str">
        <f>IFERROR(__xludf.DUMMYFUNCTION("""COMPUTED_VALUE"""),"Filter elemnt absolut / Elemento filtrante absoluto")</f>
        <v>Filter elemnt absolut / Elemento filtrante absoluto</v>
      </c>
      <c r="G691" s="74"/>
      <c r="H691" s="74"/>
      <c r="I691" s="74" t="str">
        <f>IFERROR(__xludf.DUMMYFUNCTION("""COMPUTED_VALUE"""),"SOM20256")</f>
        <v>SOM20256</v>
      </c>
      <c r="J691" s="74" t="str">
        <f>IFERROR(__xludf.DUMMYFUNCTION("""COMPUTED_VALUE"""),"425836 / 10181242")</f>
        <v>425836 / 10181242</v>
      </c>
      <c r="K691" s="74" t="str">
        <f>IFERROR(__xludf.DUMMYFUNCTION("""COMPUTED_VALUE"""),"Putzmeister")</f>
        <v>Putzmeister</v>
      </c>
      <c r="L691" s="74" t="str">
        <f>IFERROR(__xludf.DUMMYFUNCTION("""COMPUTED_VALUE"""),"Componentes hidráulicos")</f>
        <v>Componentes hidráulicos</v>
      </c>
      <c r="M691" s="74" t="str">
        <f>IFERROR(__xludf.DUMMYFUNCTION("""COMPUTED_VALUE"""),"Sin Asignar")</f>
        <v>Sin Asignar</v>
      </c>
      <c r="N691" s="87">
        <f>IFERROR(__xludf.DUMMYFUNCTION("""COMPUTED_VALUE"""),0.0)</f>
        <v>0</v>
      </c>
      <c r="O691" s="74"/>
      <c r="P691" s="74" t="str">
        <f>IFERROR(__xludf.DUMMYFUNCTION("""COMPUTED_VALUE"""),"No Available")</f>
        <v>No Available</v>
      </c>
      <c r="Q691" s="74"/>
      <c r="R691" s="74"/>
      <c r="S691" s="87">
        <f>IFERROR(__xludf.DUMMYFUNCTION("""COMPUTED_VALUE"""),0.0)</f>
        <v>0</v>
      </c>
      <c r="T691" s="87">
        <f>IFERROR(__xludf.DUMMYFUNCTION("""COMPUTED_VALUE"""),0.0)</f>
        <v>0</v>
      </c>
      <c r="U691" s="87">
        <f>IFERROR(__xludf.DUMMYFUNCTION("""COMPUTED_VALUE"""),0.0)</f>
        <v>0</v>
      </c>
      <c r="V691" s="87">
        <f>IFERROR(__xludf.DUMMYFUNCTION("""COMPUTED_VALUE"""),0.0)</f>
        <v>0</v>
      </c>
      <c r="W691" s="87">
        <f>IFERROR(__xludf.DUMMYFUNCTION("""COMPUTED_VALUE"""),0.0)</f>
        <v>0</v>
      </c>
      <c r="X691" s="88"/>
      <c r="Y691" s="74"/>
      <c r="Z691" s="74"/>
    </row>
    <row r="692">
      <c r="B692" s="74" t="str">
        <f>IFERROR(__xludf.DUMMYFUNCTION("""COMPUTED_VALUE"""),"1689")</f>
        <v>1689</v>
      </c>
      <c r="C692" s="74"/>
      <c r="D692" s="74" t="str">
        <f>IFERROR(__xludf.DUMMYFUNCTION("""COMPUTED_VALUE"""),"\\MCA-S\mk\2_BM\0_BMat\08_PYM\Inventario\excel\Imagen de refacciones\Putzmeister\Filter elemnt suction filter _ Elemento filtrante para filtro de succión")</f>
        <v>\\MCA-S\mk\2_BM\0_BMat\08_PYM\Inventario\excel\Imagen de refacciones\Putzmeister\Filter elemnt suction filter _ Elemento filtrante para filtro de succión</v>
      </c>
      <c r="E692" s="74"/>
      <c r="F692" s="74" t="str">
        <f>IFERROR(__xludf.DUMMYFUNCTION("""COMPUTED_VALUE"""),"Filter elemnt suction filter / Elemento filtrante para filtro de succión")</f>
        <v>Filter elemnt suction filter / Elemento filtrante para filtro de succión</v>
      </c>
      <c r="G692" s="74"/>
      <c r="H692" s="74"/>
      <c r="I692" s="74" t="str">
        <f>IFERROR(__xludf.DUMMYFUNCTION("""COMPUTED_VALUE"""),"SOM20257")</f>
        <v>SOM20257</v>
      </c>
      <c r="J692" s="74" t="str">
        <f>IFERROR(__xludf.DUMMYFUNCTION("""COMPUTED_VALUE"""),"5514796")</f>
        <v>5514796</v>
      </c>
      <c r="K692" s="74" t="str">
        <f>IFERROR(__xludf.DUMMYFUNCTION("""COMPUTED_VALUE"""),"Putzmeister")</f>
        <v>Putzmeister</v>
      </c>
      <c r="L692" s="74" t="str">
        <f>IFERROR(__xludf.DUMMYFUNCTION("""COMPUTED_VALUE"""),"Componentes hidráulicos")</f>
        <v>Componentes hidráulicos</v>
      </c>
      <c r="M692" s="74" t="str">
        <f>IFERROR(__xludf.DUMMYFUNCTION("""COMPUTED_VALUE"""),"Sin Asignar")</f>
        <v>Sin Asignar</v>
      </c>
      <c r="N692" s="87">
        <f>IFERROR(__xludf.DUMMYFUNCTION("""COMPUTED_VALUE"""),0.0)</f>
        <v>0</v>
      </c>
      <c r="O692" s="74"/>
      <c r="P692" s="74" t="str">
        <f>IFERROR(__xludf.DUMMYFUNCTION("""COMPUTED_VALUE"""),"No Available")</f>
        <v>No Available</v>
      </c>
      <c r="Q692" s="74"/>
      <c r="R692" s="74"/>
      <c r="S692" s="87">
        <f>IFERROR(__xludf.DUMMYFUNCTION("""COMPUTED_VALUE"""),0.0)</f>
        <v>0</v>
      </c>
      <c r="T692" s="87">
        <f>IFERROR(__xludf.DUMMYFUNCTION("""COMPUTED_VALUE"""),0.0)</f>
        <v>0</v>
      </c>
      <c r="U692" s="87">
        <f>IFERROR(__xludf.DUMMYFUNCTION("""COMPUTED_VALUE"""),0.0)</f>
        <v>0</v>
      </c>
      <c r="V692" s="87">
        <f>IFERROR(__xludf.DUMMYFUNCTION("""COMPUTED_VALUE"""),0.0)</f>
        <v>0</v>
      </c>
      <c r="W692" s="87">
        <f>IFERROR(__xludf.DUMMYFUNCTION("""COMPUTED_VALUE"""),0.0)</f>
        <v>0</v>
      </c>
      <c r="X692" s="88"/>
      <c r="Y692" s="74"/>
      <c r="Z692" s="74"/>
    </row>
    <row r="693">
      <c r="B693" s="74" t="str">
        <f>IFERROR(__xludf.DUMMYFUNCTION("""COMPUTED_VALUE"""),"1690")</f>
        <v>1690</v>
      </c>
      <c r="C693" s="74"/>
      <c r="D693" s="74" t="str">
        <f>IFERROR(__xludf.DUMMYFUNCTION("""COMPUTED_VALUE"""),"\\MCA-S\mk\2_BM\0_BMat\08_PYM\Inventario\excel\Imagen de refacciones\Putzmeister\Filter element F_return suct filter _ Elemento filtrante para filtro de retorno_succión")</f>
        <v>\\MCA-S\mk\2_BM\0_BMat\08_PYM\Inventario\excel\Imagen de refacciones\Putzmeister\Filter element F_return suct filter _ Elemento filtrante para filtro de retorno_succión</v>
      </c>
      <c r="E693" s="74"/>
      <c r="F693" s="74" t="str">
        <f>IFERROR(__xludf.DUMMYFUNCTION("""COMPUTED_VALUE"""),"Filter element F/return suct filter / Elemento filtrante para filtro de retorno/succión")</f>
        <v>Filter element F/return suct filter / Elemento filtrante para filtro de retorno/succión</v>
      </c>
      <c r="G693" s="74"/>
      <c r="H693" s="74"/>
      <c r="I693" s="74" t="str">
        <f>IFERROR(__xludf.DUMMYFUNCTION("""COMPUTED_VALUE"""),"SOM20258")</f>
        <v>SOM20258</v>
      </c>
      <c r="J693" s="74" t="str">
        <f>IFERROR(__xludf.DUMMYFUNCTION("""COMPUTED_VALUE"""),"534896")</f>
        <v>534896</v>
      </c>
      <c r="K693" s="74" t="str">
        <f>IFERROR(__xludf.DUMMYFUNCTION("""COMPUTED_VALUE"""),"Putzmeister")</f>
        <v>Putzmeister</v>
      </c>
      <c r="L693" s="74" t="str">
        <f>IFERROR(__xludf.DUMMYFUNCTION("""COMPUTED_VALUE"""),"Componentes hidráulicos")</f>
        <v>Componentes hidráulicos</v>
      </c>
      <c r="M693" s="74" t="str">
        <f>IFERROR(__xludf.DUMMYFUNCTION("""COMPUTED_VALUE"""),"Sin Asignar")</f>
        <v>Sin Asignar</v>
      </c>
      <c r="N693" s="87">
        <f>IFERROR(__xludf.DUMMYFUNCTION("""COMPUTED_VALUE"""),0.0)</f>
        <v>0</v>
      </c>
      <c r="O693" s="74"/>
      <c r="P693" s="74" t="str">
        <f>IFERROR(__xludf.DUMMYFUNCTION("""COMPUTED_VALUE"""),"borrar")</f>
        <v>borrar</v>
      </c>
      <c r="Q693" s="74"/>
      <c r="R693" s="74"/>
      <c r="S693" s="87">
        <f>IFERROR(__xludf.DUMMYFUNCTION("""COMPUTED_VALUE"""),0.0)</f>
        <v>0</v>
      </c>
      <c r="T693" s="87">
        <f>IFERROR(__xludf.DUMMYFUNCTION("""COMPUTED_VALUE"""),0.0)</f>
        <v>0</v>
      </c>
      <c r="U693" s="87">
        <f>IFERROR(__xludf.DUMMYFUNCTION("""COMPUTED_VALUE"""),0.0)</f>
        <v>0</v>
      </c>
      <c r="V693" s="87">
        <f>IFERROR(__xludf.DUMMYFUNCTION("""COMPUTED_VALUE"""),0.0)</f>
        <v>0</v>
      </c>
      <c r="W693" s="87">
        <f>IFERROR(__xludf.DUMMYFUNCTION("""COMPUTED_VALUE"""),0.0)</f>
        <v>0</v>
      </c>
      <c r="X693" s="88"/>
      <c r="Y693" s="74"/>
      <c r="Z693" s="74"/>
    </row>
    <row r="694">
      <c r="B694" s="74" t="str">
        <f>IFERROR(__xludf.DUMMYFUNCTION("""COMPUTED_VALUE"""),"1691")</f>
        <v>1691</v>
      </c>
      <c r="C694" s="74"/>
      <c r="D694" s="74" t="str">
        <f>IFERROR(__xludf.DUMMYFUNCTION("""COMPUTED_VALUE"""),"\\MCA-S\mk\2_BM\0_BMat\08_PYM\Inventario\excel\Imagen de refacciones\Putzmeister\BOOM FILTER _ Filtro de pluma")</f>
        <v>\\MCA-S\mk\2_BM\0_BMat\08_PYM\Inventario\excel\Imagen de refacciones\Putzmeister\BOOM FILTER _ Filtro de pluma</v>
      </c>
      <c r="E694" s="74"/>
      <c r="F694" s="74" t="str">
        <f>IFERROR(__xludf.DUMMYFUNCTION("""COMPUTED_VALUE"""),"BOOM FILTER / Filtro de pluma")</f>
        <v>BOOM FILTER / Filtro de pluma</v>
      </c>
      <c r="G694" s="74"/>
      <c r="H694" s="74"/>
      <c r="I694" s="74" t="str">
        <f>IFERROR(__xludf.DUMMYFUNCTION("""COMPUTED_VALUE"""),"SOM20259")</f>
        <v>SOM20259</v>
      </c>
      <c r="J694" s="74" t="str">
        <f>IFERROR(__xludf.DUMMYFUNCTION("""COMPUTED_VALUE"""),"273927007")</f>
        <v>273927007</v>
      </c>
      <c r="K694" s="74" t="str">
        <f>IFERROR(__xludf.DUMMYFUNCTION("""COMPUTED_VALUE"""),"Putzmeister")</f>
        <v>Putzmeister</v>
      </c>
      <c r="L694" s="74" t="str">
        <f>IFERROR(__xludf.DUMMYFUNCTION("""COMPUTED_VALUE"""),"Componentes hidráulicos")</f>
        <v>Componentes hidráulicos</v>
      </c>
      <c r="M694" s="74" t="str">
        <f>IFERROR(__xludf.DUMMYFUNCTION("""COMPUTED_VALUE"""),"Sin Asignar")</f>
        <v>Sin Asignar</v>
      </c>
      <c r="N694" s="87">
        <f>IFERROR(__xludf.DUMMYFUNCTION("""COMPUTED_VALUE"""),0.0)</f>
        <v>0</v>
      </c>
      <c r="O694" s="74"/>
      <c r="P694" s="74" t="str">
        <f>IFERROR(__xludf.DUMMYFUNCTION("""COMPUTED_VALUE"""),"No Available")</f>
        <v>No Available</v>
      </c>
      <c r="Q694" s="74"/>
      <c r="R694" s="74"/>
      <c r="S694" s="87">
        <f>IFERROR(__xludf.DUMMYFUNCTION("""COMPUTED_VALUE"""),0.0)</f>
        <v>0</v>
      </c>
      <c r="T694" s="87">
        <f>IFERROR(__xludf.DUMMYFUNCTION("""COMPUTED_VALUE"""),0.0)</f>
        <v>0</v>
      </c>
      <c r="U694" s="87">
        <f>IFERROR(__xludf.DUMMYFUNCTION("""COMPUTED_VALUE"""),0.0)</f>
        <v>0</v>
      </c>
      <c r="V694" s="87">
        <f>IFERROR(__xludf.DUMMYFUNCTION("""COMPUTED_VALUE"""),0.0)</f>
        <v>0</v>
      </c>
      <c r="W694" s="87">
        <f>IFERROR(__xludf.DUMMYFUNCTION("""COMPUTED_VALUE"""),0.0)</f>
        <v>0</v>
      </c>
      <c r="X694" s="88"/>
      <c r="Y694" s="74"/>
      <c r="Z694" s="74"/>
    </row>
    <row r="695">
      <c r="B695" s="74" t="str">
        <f>IFERROR(__xludf.DUMMYFUNCTION("""COMPUTED_VALUE"""),"1692")</f>
        <v>1692</v>
      </c>
      <c r="C695" s="74" t="str">
        <f>IFERROR(__xludf.DUMMYFUNCTION("""COMPUTED_VALUE"""),"75045880461")</f>
        <v>75045880461</v>
      </c>
      <c r="D695" s="74" t="str">
        <f>IFERROR(__xludf.DUMMYFUNCTION("""COMPUTED_VALUE"""),"\\MCA-S\mk\2_BM\0_BMat\08_PYM\Inventario\excel\Imagen de refacciones\Putzmeister\Radio remote control 24VDC prop _ Control remoto por radio 24VDC PROP")</f>
        <v>\\MCA-S\mk\2_BM\0_BMat\08_PYM\Inventario\excel\Imagen de refacciones\Putzmeister\Radio remote control 24VDC prop _ Control remoto por radio 24VDC PROP</v>
      </c>
      <c r="E695" s="74" t="str">
        <f>IFERROR(__xludf.DUMMYFUNCTION("""COMPUTED_VALUE"""),"REMOTE CONTROL F24-60 24V")</f>
        <v>REMOTE CONTROL F24-60 24V</v>
      </c>
      <c r="F695" s="74" t="str">
        <f>IFERROR(__xludf.DUMMYFUNCTION("""COMPUTED_VALUE"""),"CONTROL REMOTO F24-60 24V")</f>
        <v>CONTROL REMOTO F24-60 24V</v>
      </c>
      <c r="G695" s="74"/>
      <c r="H695" s="74"/>
      <c r="I695" s="74" t="str">
        <f>IFERROR(__xludf.DUMMYFUNCTION("""COMPUTED_VALUE"""),"A053272")</f>
        <v>A053272</v>
      </c>
      <c r="J695" s="74"/>
      <c r="K695" s="74" t="str">
        <f>IFERROR(__xludf.DUMMYFUNCTION("""COMPUTED_VALUE"""),"Otro")</f>
        <v>Otro</v>
      </c>
      <c r="L695" s="74" t="str">
        <f>IFERROR(__xludf.DUMMYFUNCTION("""COMPUTED_VALUE"""),"Componentes eléctricos")</f>
        <v>Componentes eléctricos</v>
      </c>
      <c r="M695" s="74" t="str">
        <f>IFERROR(__xludf.DUMMYFUNCTION("""COMPUTED_VALUE"""),"ACCESORIOS ")</f>
        <v>ACCESORIOS </v>
      </c>
      <c r="N695" s="87">
        <f>IFERROR(__xludf.DUMMYFUNCTION("""COMPUTED_VALUE"""),23088.0)</f>
        <v>23088</v>
      </c>
      <c r="O695" s="74">
        <f>IFERROR(__xludf.DUMMYFUNCTION("""COMPUTED_VALUE"""),3.0)</f>
        <v>3</v>
      </c>
      <c r="P695" s="74" t="str">
        <f>IFERROR(__xludf.DUMMYFUNCTION("""COMPUTED_VALUE"""),"In stock")</f>
        <v>In stock</v>
      </c>
      <c r="Q695" s="74"/>
      <c r="R695" s="74"/>
      <c r="S695" s="87">
        <f>IFERROR(__xludf.DUMMYFUNCTION("""COMPUTED_VALUE"""),240.0)</f>
        <v>240</v>
      </c>
      <c r="T695" s="87">
        <f>IFERROR(__xludf.DUMMYFUNCTION("""COMPUTED_VALUE"""),1300.0)</f>
        <v>1300</v>
      </c>
      <c r="U695" s="87">
        <f>IFERROR(__xludf.DUMMYFUNCTION("""COMPUTED_VALUE"""),1248.0)</f>
        <v>1248</v>
      </c>
      <c r="V695" s="87">
        <f>IFERROR(__xludf.DUMMYFUNCTION("""COMPUTED_VALUE"""),294.0)</f>
        <v>294</v>
      </c>
      <c r="W695" s="87">
        <f>IFERROR(__xludf.DUMMYFUNCTION("""COMPUTED_VALUE"""),5512.5)</f>
        <v>5512.5</v>
      </c>
      <c r="X695" s="88">
        <f>IFERROR(__xludf.DUMMYFUNCTION("""COMPUTED_VALUE"""),5.2)</f>
        <v>5.2</v>
      </c>
      <c r="Y695" s="74"/>
      <c r="Z695" s="74"/>
    </row>
    <row r="696">
      <c r="B696" s="74" t="str">
        <f>IFERROR(__xludf.DUMMYFUNCTION("""COMPUTED_VALUE"""),"1693")</f>
        <v>1693</v>
      </c>
      <c r="C696" s="74"/>
      <c r="D696" s="74" t="str">
        <f>IFERROR(__xludf.DUMMYFUNCTION("""COMPUTED_VALUE"""),"\\MCA-S\mk\2_BM\0_BMat\08_PYM\Inventario\excel\Imagen de refacciones\Putzmeister\Rubber cap _ Tapa de goma")</f>
        <v>\\MCA-S\mk\2_BM\0_BMat\08_PYM\Inventario\excel\Imagen de refacciones\Putzmeister\Rubber cap _ Tapa de goma</v>
      </c>
      <c r="E696" s="74"/>
      <c r="F696" s="74" t="str">
        <f>IFERROR(__xludf.DUMMYFUNCTION("""COMPUTED_VALUE"""),"Rubber cap / Tapa de goma")</f>
        <v>Rubber cap / Tapa de goma</v>
      </c>
      <c r="G696" s="74"/>
      <c r="H696" s="74"/>
      <c r="I696" s="74" t="str">
        <f>IFERROR(__xludf.DUMMYFUNCTION("""COMPUTED_VALUE"""),"SOM20263")</f>
        <v>SOM20263</v>
      </c>
      <c r="J696" s="74" t="str">
        <f>IFERROR(__xludf.DUMMYFUNCTION("""COMPUTED_VALUE"""),"241416000")</f>
        <v>241416000</v>
      </c>
      <c r="K696" s="74" t="str">
        <f>IFERROR(__xludf.DUMMYFUNCTION("""COMPUTED_VALUE"""),"Putzmeister")</f>
        <v>Putzmeister</v>
      </c>
      <c r="L696" s="74" t="str">
        <f>IFERROR(__xludf.DUMMYFUNCTION("""COMPUTED_VALUE"""),"Sellos y retenes")</f>
        <v>Sellos y retenes</v>
      </c>
      <c r="M696" s="74" t="str">
        <f>IFERROR(__xludf.DUMMYFUNCTION("""COMPUTED_VALUE"""),"Sin Asignar")</f>
        <v>Sin Asignar</v>
      </c>
      <c r="N696" s="87">
        <f>IFERROR(__xludf.DUMMYFUNCTION("""COMPUTED_VALUE"""),0.0)</f>
        <v>0</v>
      </c>
      <c r="O696" s="74"/>
      <c r="P696" s="74" t="str">
        <f>IFERROR(__xludf.DUMMYFUNCTION("""COMPUTED_VALUE"""),"No Available")</f>
        <v>No Available</v>
      </c>
      <c r="Q696" s="74"/>
      <c r="R696" s="74"/>
      <c r="S696" s="87">
        <f>IFERROR(__xludf.DUMMYFUNCTION("""COMPUTED_VALUE"""),0.0)</f>
        <v>0</v>
      </c>
      <c r="T696" s="87">
        <f>IFERROR(__xludf.DUMMYFUNCTION("""COMPUTED_VALUE"""),0.0)</f>
        <v>0</v>
      </c>
      <c r="U696" s="87">
        <f>IFERROR(__xludf.DUMMYFUNCTION("""COMPUTED_VALUE"""),0.0)</f>
        <v>0</v>
      </c>
      <c r="V696" s="87">
        <f>IFERROR(__xludf.DUMMYFUNCTION("""COMPUTED_VALUE"""),0.0)</f>
        <v>0</v>
      </c>
      <c r="W696" s="87">
        <f>IFERROR(__xludf.DUMMYFUNCTION("""COMPUTED_VALUE"""),0.0)</f>
        <v>0</v>
      </c>
      <c r="X696" s="88"/>
      <c r="Y696" s="74"/>
      <c r="Z696" s="74"/>
    </row>
    <row r="697">
      <c r="B697" s="74" t="str">
        <f>IFERROR(__xludf.DUMMYFUNCTION("""COMPUTED_VALUE"""),"1694")</f>
        <v>1694</v>
      </c>
      <c r="C697" s="74"/>
      <c r="D697" s="74" t="str">
        <f>IFERROR(__xludf.DUMMYFUNCTION("""COMPUTED_VALUE"""),"\\MCA-S\mk\2_BM\0_BMat\08_PYM\Inventario\excel\Imagen de refacciones\Putzmeister\Rubber cap _ Tapa de goma (1)")</f>
        <v>\\MCA-S\mk\2_BM\0_BMat\08_PYM\Inventario\excel\Imagen de refacciones\Putzmeister\Rubber cap _ Tapa de goma (1)</v>
      </c>
      <c r="E697" s="74"/>
      <c r="F697" s="74" t="str">
        <f>IFERROR(__xludf.DUMMYFUNCTION("""COMPUTED_VALUE"""),"Rubber cap / Tapa de goma")</f>
        <v>Rubber cap / Tapa de goma</v>
      </c>
      <c r="G697" s="74"/>
      <c r="H697" s="74"/>
      <c r="I697" s="74" t="str">
        <f>IFERROR(__xludf.DUMMYFUNCTION("""COMPUTED_VALUE"""),"SOM20264")</f>
        <v>SOM20264</v>
      </c>
      <c r="J697" s="74" t="str">
        <f>IFERROR(__xludf.DUMMYFUNCTION("""COMPUTED_VALUE"""),"249520008")</f>
        <v>249520008</v>
      </c>
      <c r="K697" s="74" t="str">
        <f>IFERROR(__xludf.DUMMYFUNCTION("""COMPUTED_VALUE"""),"Putzmeister")</f>
        <v>Putzmeister</v>
      </c>
      <c r="L697" s="74" t="str">
        <f>IFERROR(__xludf.DUMMYFUNCTION("""COMPUTED_VALUE"""),"Sellos y retenes")</f>
        <v>Sellos y retenes</v>
      </c>
      <c r="M697" s="74" t="str">
        <f>IFERROR(__xludf.DUMMYFUNCTION("""COMPUTED_VALUE"""),"Sin Asignar")</f>
        <v>Sin Asignar</v>
      </c>
      <c r="N697" s="87">
        <f>IFERROR(__xludf.DUMMYFUNCTION("""COMPUTED_VALUE"""),0.0)</f>
        <v>0</v>
      </c>
      <c r="O697" s="74"/>
      <c r="P697" s="74" t="str">
        <f>IFERROR(__xludf.DUMMYFUNCTION("""COMPUTED_VALUE"""),"No Available")</f>
        <v>No Available</v>
      </c>
      <c r="Q697" s="74"/>
      <c r="R697" s="74"/>
      <c r="S697" s="87">
        <f>IFERROR(__xludf.DUMMYFUNCTION("""COMPUTED_VALUE"""),0.0)</f>
        <v>0</v>
      </c>
      <c r="T697" s="87">
        <f>IFERROR(__xludf.DUMMYFUNCTION("""COMPUTED_VALUE"""),0.0)</f>
        <v>0</v>
      </c>
      <c r="U697" s="87">
        <f>IFERROR(__xludf.DUMMYFUNCTION("""COMPUTED_VALUE"""),0.0)</f>
        <v>0</v>
      </c>
      <c r="V697" s="87">
        <f>IFERROR(__xludf.DUMMYFUNCTION("""COMPUTED_VALUE"""),0.0)</f>
        <v>0</v>
      </c>
      <c r="W697" s="87">
        <f>IFERROR(__xludf.DUMMYFUNCTION("""COMPUTED_VALUE"""),0.0)</f>
        <v>0</v>
      </c>
      <c r="X697" s="88"/>
      <c r="Y697" s="74"/>
      <c r="Z697" s="74"/>
    </row>
    <row r="698">
      <c r="B698" s="74" t="str">
        <f>IFERROR(__xludf.DUMMYFUNCTION("""COMPUTED_VALUE"""),"1695")</f>
        <v>1695</v>
      </c>
      <c r="C698" s="74"/>
      <c r="D698" s="74" t="str">
        <f>IFERROR(__xludf.DUMMYFUNCTION("""COMPUTED_VALUE"""),"\\MCA-S\mk\2_BM\0_BMat\08_PYM\Inventario\excel\Imagen de refacciones\Putzmeister\BELLOW (NARROW MOUTH) _ Fuelle (boca estrecha)")</f>
        <v>\\MCA-S\mk\2_BM\0_BMat\08_PYM\Inventario\excel\Imagen de refacciones\Putzmeister\BELLOW (NARROW MOUTH) _ Fuelle (boca estrecha)</v>
      </c>
      <c r="E698" s="74"/>
      <c r="F698" s="74" t="str">
        <f>IFERROR(__xludf.DUMMYFUNCTION("""COMPUTED_VALUE"""),"BELLOW (NARROW MOUTH) / Fuelle (boca estrecha)")</f>
        <v>BELLOW (NARROW MOUTH) / Fuelle (boca estrecha)</v>
      </c>
      <c r="G698" s="74"/>
      <c r="H698" s="74"/>
      <c r="I698" s="74" t="str">
        <f>IFERROR(__xludf.DUMMYFUNCTION("""COMPUTED_VALUE"""),"SOM20265")</f>
        <v>SOM20265</v>
      </c>
      <c r="J698" s="74" t="str">
        <f>IFERROR(__xludf.DUMMYFUNCTION("""COMPUTED_VALUE"""),"241436006")</f>
        <v>241436006</v>
      </c>
      <c r="K698" s="74" t="str">
        <f>IFERROR(__xludf.DUMMYFUNCTION("""COMPUTED_VALUE"""),"Putzmeister")</f>
        <v>Putzmeister</v>
      </c>
      <c r="L698" s="74" t="str">
        <f>IFERROR(__xludf.DUMMYFUNCTION("""COMPUTED_VALUE"""),"Sellos y retenes")</f>
        <v>Sellos y retenes</v>
      </c>
      <c r="M698" s="74" t="str">
        <f>IFERROR(__xludf.DUMMYFUNCTION("""COMPUTED_VALUE"""),"Sin Asignar")</f>
        <v>Sin Asignar</v>
      </c>
      <c r="N698" s="87">
        <f>IFERROR(__xludf.DUMMYFUNCTION("""COMPUTED_VALUE"""),0.0)</f>
        <v>0</v>
      </c>
      <c r="O698" s="74"/>
      <c r="P698" s="74" t="str">
        <f>IFERROR(__xludf.DUMMYFUNCTION("""COMPUTED_VALUE"""),"No Available")</f>
        <v>No Available</v>
      </c>
      <c r="Q698" s="74"/>
      <c r="R698" s="74"/>
      <c r="S698" s="87">
        <f>IFERROR(__xludf.DUMMYFUNCTION("""COMPUTED_VALUE"""),0.0)</f>
        <v>0</v>
      </c>
      <c r="T698" s="87">
        <f>IFERROR(__xludf.DUMMYFUNCTION("""COMPUTED_VALUE"""),0.0)</f>
        <v>0</v>
      </c>
      <c r="U698" s="87">
        <f>IFERROR(__xludf.DUMMYFUNCTION("""COMPUTED_VALUE"""),0.0)</f>
        <v>0</v>
      </c>
      <c r="V698" s="87">
        <f>IFERROR(__xludf.DUMMYFUNCTION("""COMPUTED_VALUE"""),0.0)</f>
        <v>0</v>
      </c>
      <c r="W698" s="87">
        <f>IFERROR(__xludf.DUMMYFUNCTION("""COMPUTED_VALUE"""),0.0)</f>
        <v>0</v>
      </c>
      <c r="X698" s="88"/>
      <c r="Y698" s="74"/>
      <c r="Z698" s="74"/>
    </row>
    <row r="699">
      <c r="B699" s="74" t="str">
        <f>IFERROR(__xludf.DUMMYFUNCTION("""COMPUTED_VALUE"""),"1696")</f>
        <v>1696</v>
      </c>
      <c r="C699" s="74"/>
      <c r="D699" s="74" t="str">
        <f>IFERROR(__xludf.DUMMYFUNCTION("""COMPUTED_VALUE"""),"\\MCA-S\mk\2_BM\0_BMat\08_PYM\Inventario\excel\Imagen de refacciones\Putzmeister\Star handle swicht _ Interruptor de palanca en estrella")</f>
        <v>\\MCA-S\mk\2_BM\0_BMat\08_PYM\Inventario\excel\Imagen de refacciones\Putzmeister\Star handle swicht _ Interruptor de palanca en estrella</v>
      </c>
      <c r="E699" s="74"/>
      <c r="F699" s="74" t="str">
        <f>IFERROR(__xludf.DUMMYFUNCTION("""COMPUTED_VALUE"""),"Star handle swicht / Interruptor de palanca en estrella")</f>
        <v>Star handle swicht / Interruptor de palanca en estrella</v>
      </c>
      <c r="G699" s="74"/>
      <c r="H699" s="74"/>
      <c r="I699" s="74" t="str">
        <f>IFERROR(__xludf.DUMMYFUNCTION("""COMPUTED_VALUE"""),"SOM20266")</f>
        <v>SOM20266</v>
      </c>
      <c r="J699" s="74" t="str">
        <f>IFERROR(__xludf.DUMMYFUNCTION("""COMPUTED_VALUE"""),"292116003")</f>
        <v>292116003</v>
      </c>
      <c r="K699" s="74" t="str">
        <f>IFERROR(__xludf.DUMMYFUNCTION("""COMPUTED_VALUE"""),"Putzmeister")</f>
        <v>Putzmeister</v>
      </c>
      <c r="L699" s="74" t="str">
        <f>IFERROR(__xludf.DUMMYFUNCTION("""COMPUTED_VALUE"""),"Componentes eléctricos")</f>
        <v>Componentes eléctricos</v>
      </c>
      <c r="M699" s="74" t="str">
        <f>IFERROR(__xludf.DUMMYFUNCTION("""COMPUTED_VALUE"""),"Sin Asignar")</f>
        <v>Sin Asignar</v>
      </c>
      <c r="N699" s="87">
        <f>IFERROR(__xludf.DUMMYFUNCTION("""COMPUTED_VALUE"""),0.0)</f>
        <v>0</v>
      </c>
      <c r="O699" s="74"/>
      <c r="P699" s="74" t="str">
        <f>IFERROR(__xludf.DUMMYFUNCTION("""COMPUTED_VALUE"""),"No Available")</f>
        <v>No Available</v>
      </c>
      <c r="Q699" s="74"/>
      <c r="R699" s="74"/>
      <c r="S699" s="87">
        <f>IFERROR(__xludf.DUMMYFUNCTION("""COMPUTED_VALUE"""),0.0)</f>
        <v>0</v>
      </c>
      <c r="T699" s="87">
        <f>IFERROR(__xludf.DUMMYFUNCTION("""COMPUTED_VALUE"""),0.0)</f>
        <v>0</v>
      </c>
      <c r="U699" s="87">
        <f>IFERROR(__xludf.DUMMYFUNCTION("""COMPUTED_VALUE"""),0.0)</f>
        <v>0</v>
      </c>
      <c r="V699" s="87">
        <f>IFERROR(__xludf.DUMMYFUNCTION("""COMPUTED_VALUE"""),0.0)</f>
        <v>0</v>
      </c>
      <c r="W699" s="87">
        <f>IFERROR(__xludf.DUMMYFUNCTION("""COMPUTED_VALUE"""),0.0)</f>
        <v>0</v>
      </c>
      <c r="X699" s="88"/>
      <c r="Y699" s="74"/>
      <c r="Z699" s="74"/>
    </row>
    <row r="700">
      <c r="B700" s="74" t="str">
        <f>IFERROR(__xludf.DUMMYFUNCTION("""COMPUTED_VALUE"""),"1697")</f>
        <v>1697</v>
      </c>
      <c r="C700" s="74"/>
      <c r="D700" s="74" t="str">
        <f>IFERROR(__xludf.DUMMYFUNCTION("""COMPUTED_VALUE"""),"\\MCA-S\mk\2_BM\0_BMat\08_PYM\Inventario\excel\Imagen de refacciones\Putzmeister\Battery _ Batería")</f>
        <v>\\MCA-S\mk\2_BM\0_BMat\08_PYM\Inventario\excel\Imagen de refacciones\Putzmeister\Battery _ Batería</v>
      </c>
      <c r="E700" s="74"/>
      <c r="F700" s="74" t="str">
        <f>IFERROR(__xludf.DUMMYFUNCTION("""COMPUTED_VALUE"""),"SOPORTE PARA ESTABILIZADOR PARA BOMBA DE HORMIGON")</f>
        <v>SOPORTE PARA ESTABILIZADOR PARA BOMBA DE HORMIGON</v>
      </c>
      <c r="G700" s="74"/>
      <c r="H700" s="74"/>
      <c r="I700" s="74"/>
      <c r="J700" s="74" t="str">
        <f>IFERROR(__xludf.DUMMYFUNCTION("""COMPUTED_VALUE"""),"67335006 / 262269004")</f>
        <v>67335006 / 262269004</v>
      </c>
      <c r="K700" s="74" t="str">
        <f>IFERROR(__xludf.DUMMYFUNCTION("""COMPUTED_VALUE"""),"Putzmeister")</f>
        <v>Putzmeister</v>
      </c>
      <c r="L700" s="74" t="str">
        <f>IFERROR(__xludf.DUMMYFUNCTION("""COMPUTED_VALUE"""),"Componentes eléctricos")</f>
        <v>Componentes eléctricos</v>
      </c>
      <c r="M700" s="74" t="str">
        <f>IFERROR(__xludf.DUMMYFUNCTION("""COMPUTED_VALUE"""),"Sin Asignar")</f>
        <v>Sin Asignar</v>
      </c>
      <c r="N700" s="87">
        <f>IFERROR(__xludf.DUMMYFUNCTION("""COMPUTED_VALUE"""),0.0)</f>
        <v>0</v>
      </c>
      <c r="O700" s="74"/>
      <c r="P700" s="74" t="str">
        <f>IFERROR(__xludf.DUMMYFUNCTION("""COMPUTED_VALUE"""),"borrar")</f>
        <v>borrar</v>
      </c>
      <c r="Q700" s="74"/>
      <c r="R700" s="74"/>
      <c r="S700" s="87">
        <f>IFERROR(__xludf.DUMMYFUNCTION("""COMPUTED_VALUE"""),0.0)</f>
        <v>0</v>
      </c>
      <c r="T700" s="87">
        <f>IFERROR(__xludf.DUMMYFUNCTION("""COMPUTED_VALUE"""),0.0)</f>
        <v>0</v>
      </c>
      <c r="U700" s="87">
        <f>IFERROR(__xludf.DUMMYFUNCTION("""COMPUTED_VALUE"""),0.0)</f>
        <v>0</v>
      </c>
      <c r="V700" s="87">
        <f>IFERROR(__xludf.DUMMYFUNCTION("""COMPUTED_VALUE"""),0.0)</f>
        <v>0</v>
      </c>
      <c r="W700" s="87">
        <f>IFERROR(__xludf.DUMMYFUNCTION("""COMPUTED_VALUE"""),0.0)</f>
        <v>0</v>
      </c>
      <c r="X700" s="88"/>
      <c r="Y700" s="74"/>
      <c r="Z700" s="74"/>
    </row>
    <row r="701">
      <c r="B701" s="74" t="str">
        <f>IFERROR(__xludf.DUMMYFUNCTION("""COMPUTED_VALUE"""),"1698")</f>
        <v>1698</v>
      </c>
      <c r="C701" s="74"/>
      <c r="D701" s="74" t="str">
        <f>IFERROR(__xludf.DUMMYFUNCTION("""COMPUTED_VALUE"""),"\\MCA-S\mk\2_BM\0_BMat\08_PYM\Inventario\excel\Imagen de refacciones\Putzmeister\Battery 2100 amper _ Batería 2100 AMPER")</f>
        <v>\\MCA-S\mk\2_BM\0_BMat\08_PYM\Inventario\excel\Imagen de refacciones\Putzmeister\Battery 2100 amper _ Batería 2100 AMPER</v>
      </c>
      <c r="E701" s="74"/>
      <c r="F701" s="74" t="str">
        <f>IFERROR(__xludf.DUMMYFUNCTION("""COMPUTED_VALUE"""),"Battery 2100 amper / Batería 2100 AMPER")</f>
        <v>Battery 2100 amper / Batería 2100 AMPER</v>
      </c>
      <c r="G701" s="74"/>
      <c r="H701" s="74"/>
      <c r="I701" s="74" t="str">
        <f>IFERROR(__xludf.DUMMYFUNCTION("""COMPUTED_VALUE"""),"SOM20271")</f>
        <v>SOM20271</v>
      </c>
      <c r="J701" s="74" t="str">
        <f>IFERROR(__xludf.DUMMYFUNCTION("""COMPUTED_VALUE"""),"452017")</f>
        <v>452017</v>
      </c>
      <c r="K701" s="74" t="str">
        <f>IFERROR(__xludf.DUMMYFUNCTION("""COMPUTED_VALUE"""),"Putzmeister")</f>
        <v>Putzmeister</v>
      </c>
      <c r="L701" s="74" t="str">
        <f>IFERROR(__xludf.DUMMYFUNCTION("""COMPUTED_VALUE"""),"Componentes eléctricos")</f>
        <v>Componentes eléctricos</v>
      </c>
      <c r="M701" s="74" t="str">
        <f>IFERROR(__xludf.DUMMYFUNCTION("""COMPUTED_VALUE"""),"Sin Asignar")</f>
        <v>Sin Asignar</v>
      </c>
      <c r="N701" s="87">
        <f>IFERROR(__xludf.DUMMYFUNCTION("""COMPUTED_VALUE"""),0.0)</f>
        <v>0</v>
      </c>
      <c r="O701" s="74"/>
      <c r="P701" s="74" t="str">
        <f>IFERROR(__xludf.DUMMYFUNCTION("""COMPUTED_VALUE"""),"No Available")</f>
        <v>No Available</v>
      </c>
      <c r="Q701" s="74"/>
      <c r="R701" s="74"/>
      <c r="S701" s="87">
        <f>IFERROR(__xludf.DUMMYFUNCTION("""COMPUTED_VALUE"""),0.0)</f>
        <v>0</v>
      </c>
      <c r="T701" s="87">
        <f>IFERROR(__xludf.DUMMYFUNCTION("""COMPUTED_VALUE"""),0.0)</f>
        <v>0</v>
      </c>
      <c r="U701" s="87">
        <f>IFERROR(__xludf.DUMMYFUNCTION("""COMPUTED_VALUE"""),0.0)</f>
        <v>0</v>
      </c>
      <c r="V701" s="87">
        <f>IFERROR(__xludf.DUMMYFUNCTION("""COMPUTED_VALUE"""),0.0)</f>
        <v>0</v>
      </c>
      <c r="W701" s="87">
        <f>IFERROR(__xludf.DUMMYFUNCTION("""COMPUTED_VALUE"""),0.0)</f>
        <v>0</v>
      </c>
      <c r="X701" s="88"/>
      <c r="Y701" s="74"/>
      <c r="Z701" s="74"/>
    </row>
    <row r="702">
      <c r="B702" s="74" t="str">
        <f>IFERROR(__xludf.DUMMYFUNCTION("""COMPUTED_VALUE"""),"1699")</f>
        <v>1699</v>
      </c>
      <c r="C702" s="74"/>
      <c r="D702" s="74" t="str">
        <f>IFERROR(__xludf.DUMMYFUNCTION("""COMPUTED_VALUE"""),"\\MCA-S\mk\2_BM\0_BMat\08_PYM\Inventario\excel\Imagen de refacciones\Putzmeister\WEIST BELT 82-132 CM _ Correa Weist 82-132 cm")</f>
        <v>\\MCA-S\mk\2_BM\0_BMat\08_PYM\Inventario\excel\Imagen de refacciones\Putzmeister\WEIST BELT 82-132 CM _ Correa Weist 82-132 cm</v>
      </c>
      <c r="E702" s="74"/>
      <c r="F702" s="74" t="str">
        <f>IFERROR(__xludf.DUMMYFUNCTION("""COMPUTED_VALUE"""),"WEIST BELT 82-132 CM / Correa Weist 82-132 cm")</f>
        <v>WEIST BELT 82-132 CM / Correa Weist 82-132 cm</v>
      </c>
      <c r="G702" s="74"/>
      <c r="H702" s="74"/>
      <c r="I702" s="74" t="str">
        <f>IFERROR(__xludf.DUMMYFUNCTION("""COMPUTED_VALUE"""),"som20272")</f>
        <v>som20272</v>
      </c>
      <c r="J702" s="74" t="str">
        <f>IFERROR(__xludf.DUMMYFUNCTION("""COMPUTED_VALUE"""),"288778002")</f>
        <v>288778002</v>
      </c>
      <c r="K702" s="74" t="str">
        <f>IFERROR(__xludf.DUMMYFUNCTION("""COMPUTED_VALUE"""),"Putzmeister")</f>
        <v>Putzmeister</v>
      </c>
      <c r="L702" s="74" t="str">
        <f>IFERROR(__xludf.DUMMYFUNCTION("""COMPUTED_VALUE"""),"Componentes estructurales y de montaje")</f>
        <v>Componentes estructurales y de montaje</v>
      </c>
      <c r="M702" s="74" t="str">
        <f>IFERROR(__xludf.DUMMYFUNCTION("""COMPUTED_VALUE"""),"Sin Asignar")</f>
        <v>Sin Asignar</v>
      </c>
      <c r="N702" s="87">
        <f>IFERROR(__xludf.DUMMYFUNCTION("""COMPUTED_VALUE"""),0.0)</f>
        <v>0</v>
      </c>
      <c r="O702" s="74"/>
      <c r="P702" s="74" t="str">
        <f>IFERROR(__xludf.DUMMYFUNCTION("""COMPUTED_VALUE"""),"No Available")</f>
        <v>No Available</v>
      </c>
      <c r="Q702" s="74"/>
      <c r="R702" s="74"/>
      <c r="S702" s="87">
        <f>IFERROR(__xludf.DUMMYFUNCTION("""COMPUTED_VALUE"""),0.0)</f>
        <v>0</v>
      </c>
      <c r="T702" s="87">
        <f>IFERROR(__xludf.DUMMYFUNCTION("""COMPUTED_VALUE"""),0.0)</f>
        <v>0</v>
      </c>
      <c r="U702" s="87">
        <f>IFERROR(__xludf.DUMMYFUNCTION("""COMPUTED_VALUE"""),0.0)</f>
        <v>0</v>
      </c>
      <c r="V702" s="87">
        <f>IFERROR(__xludf.DUMMYFUNCTION("""COMPUTED_VALUE"""),0.0)</f>
        <v>0</v>
      </c>
      <c r="W702" s="87">
        <f>IFERROR(__xludf.DUMMYFUNCTION("""COMPUTED_VALUE"""),0.0)</f>
        <v>0</v>
      </c>
      <c r="X702" s="88"/>
      <c r="Y702" s="74"/>
      <c r="Z702" s="74"/>
    </row>
    <row r="703">
      <c r="B703" s="74" t="str">
        <f>IFERROR(__xludf.DUMMYFUNCTION("""COMPUTED_VALUE"""),"1700")</f>
        <v>1700</v>
      </c>
      <c r="C703" s="74"/>
      <c r="D703" s="74" t="str">
        <f>IFERROR(__xludf.DUMMYFUNCTION("""COMPUTED_VALUE"""),"\\MCA-S\mk\2_BM\0_BMat\08_PYM\Inventario\excel\Imagen de refacciones\Putzmeister\Remote aerials _ Antenas remotas")</f>
        <v>\\MCA-S\mk\2_BM\0_BMat\08_PYM\Inventario\excel\Imagen de refacciones\Putzmeister\Remote aerials _ Antenas remotas</v>
      </c>
      <c r="E703" s="74"/>
      <c r="F703" s="74" t="str">
        <f>IFERROR(__xludf.DUMMYFUNCTION("""COMPUTED_VALUE"""),"Remote aerials / Antenas remotas")</f>
        <v>Remote aerials / Antenas remotas</v>
      </c>
      <c r="G703" s="74"/>
      <c r="H703" s="74"/>
      <c r="I703" s="74" t="str">
        <f>IFERROR(__xludf.DUMMYFUNCTION("""COMPUTED_VALUE"""),"SOM20273")</f>
        <v>SOM20273</v>
      </c>
      <c r="J703" s="74" t="str">
        <f>IFERROR(__xludf.DUMMYFUNCTION("""COMPUTED_VALUE"""),"280469005")</f>
        <v>280469005</v>
      </c>
      <c r="K703" s="74" t="str">
        <f>IFERROR(__xludf.DUMMYFUNCTION("""COMPUTED_VALUE"""),"Putzmeister")</f>
        <v>Putzmeister</v>
      </c>
      <c r="L703" s="74" t="str">
        <f>IFERROR(__xludf.DUMMYFUNCTION("""COMPUTED_VALUE"""),"Componentes eléctricos")</f>
        <v>Componentes eléctricos</v>
      </c>
      <c r="M703" s="74" t="str">
        <f>IFERROR(__xludf.DUMMYFUNCTION("""COMPUTED_VALUE"""),"Sin Asignar")</f>
        <v>Sin Asignar</v>
      </c>
      <c r="N703" s="87">
        <f>IFERROR(__xludf.DUMMYFUNCTION("""COMPUTED_VALUE"""),0.0)</f>
        <v>0</v>
      </c>
      <c r="O703" s="74"/>
      <c r="P703" s="74" t="str">
        <f>IFERROR(__xludf.DUMMYFUNCTION("""COMPUTED_VALUE"""),"No Available")</f>
        <v>No Available</v>
      </c>
      <c r="Q703" s="74"/>
      <c r="R703" s="74"/>
      <c r="S703" s="87">
        <f>IFERROR(__xludf.DUMMYFUNCTION("""COMPUTED_VALUE"""),0.0)</f>
        <v>0</v>
      </c>
      <c r="T703" s="87">
        <f>IFERROR(__xludf.DUMMYFUNCTION("""COMPUTED_VALUE"""),0.0)</f>
        <v>0</v>
      </c>
      <c r="U703" s="87">
        <f>IFERROR(__xludf.DUMMYFUNCTION("""COMPUTED_VALUE"""),0.0)</f>
        <v>0</v>
      </c>
      <c r="V703" s="87">
        <f>IFERROR(__xludf.DUMMYFUNCTION("""COMPUTED_VALUE"""),0.0)</f>
        <v>0</v>
      </c>
      <c r="W703" s="87">
        <f>IFERROR(__xludf.DUMMYFUNCTION("""COMPUTED_VALUE"""),0.0)</f>
        <v>0</v>
      </c>
      <c r="X703" s="88"/>
      <c r="Y703" s="74"/>
      <c r="Z703" s="74"/>
    </row>
    <row r="704">
      <c r="B704" s="74" t="str">
        <f>IFERROR(__xludf.DUMMYFUNCTION("""COMPUTED_VALUE"""),"1701")</f>
        <v>1701</v>
      </c>
      <c r="C704" s="74"/>
      <c r="D704" s="74" t="str">
        <f>IFERROR(__xludf.DUMMYFUNCTION("""COMPUTED_VALUE"""),"\\MCA-S\mk\2_BM\0_BMat\08_PYM\Inventario\excel\Imagen de refacciones\Putzmeister\Remote aerials _ Antenas remotas (1)")</f>
        <v>\\MCA-S\mk\2_BM\0_BMat\08_PYM\Inventario\excel\Imagen de refacciones\Putzmeister\Remote aerials _ Antenas remotas (1)</v>
      </c>
      <c r="E704" s="74"/>
      <c r="F704" s="74" t="str">
        <f>IFERROR(__xludf.DUMMYFUNCTION("""COMPUTED_VALUE"""),"Remote aerials / Antenas remotas")</f>
        <v>Remote aerials / Antenas remotas</v>
      </c>
      <c r="G704" s="74"/>
      <c r="H704" s="74"/>
      <c r="I704" s="74" t="str">
        <f>IFERROR(__xludf.DUMMYFUNCTION("""COMPUTED_VALUE"""),"SOM20274")</f>
        <v>SOM20274</v>
      </c>
      <c r="J704" s="74" t="str">
        <f>IFERROR(__xludf.DUMMYFUNCTION("""COMPUTED_VALUE"""),"406519")</f>
        <v>406519</v>
      </c>
      <c r="K704" s="74" t="str">
        <f>IFERROR(__xludf.DUMMYFUNCTION("""COMPUTED_VALUE"""),"Putzmeister")</f>
        <v>Putzmeister</v>
      </c>
      <c r="L704" s="74" t="str">
        <f>IFERROR(__xludf.DUMMYFUNCTION("""COMPUTED_VALUE"""),"Componentes eléctricos")</f>
        <v>Componentes eléctricos</v>
      </c>
      <c r="M704" s="74" t="str">
        <f>IFERROR(__xludf.DUMMYFUNCTION("""COMPUTED_VALUE"""),"Sin Asignar")</f>
        <v>Sin Asignar</v>
      </c>
      <c r="N704" s="87">
        <f>IFERROR(__xludf.DUMMYFUNCTION("""COMPUTED_VALUE"""),0.0)</f>
        <v>0</v>
      </c>
      <c r="O704" s="74"/>
      <c r="P704" s="74" t="str">
        <f>IFERROR(__xludf.DUMMYFUNCTION("""COMPUTED_VALUE"""),"No Available")</f>
        <v>No Available</v>
      </c>
      <c r="Q704" s="74"/>
      <c r="R704" s="74"/>
      <c r="S704" s="87">
        <f>IFERROR(__xludf.DUMMYFUNCTION("""COMPUTED_VALUE"""),0.0)</f>
        <v>0</v>
      </c>
      <c r="T704" s="87">
        <f>IFERROR(__xludf.DUMMYFUNCTION("""COMPUTED_VALUE"""),0.0)</f>
        <v>0</v>
      </c>
      <c r="U704" s="87">
        <f>IFERROR(__xludf.DUMMYFUNCTION("""COMPUTED_VALUE"""),0.0)</f>
        <v>0</v>
      </c>
      <c r="V704" s="87">
        <f>IFERROR(__xludf.DUMMYFUNCTION("""COMPUTED_VALUE"""),0.0)</f>
        <v>0</v>
      </c>
      <c r="W704" s="87">
        <f>IFERROR(__xludf.DUMMYFUNCTION("""COMPUTED_VALUE"""),0.0)</f>
        <v>0</v>
      </c>
      <c r="X704" s="88"/>
      <c r="Y704" s="74"/>
      <c r="Z704" s="74"/>
    </row>
    <row r="705">
      <c r="B705" s="74" t="str">
        <f>IFERROR(__xludf.DUMMYFUNCTION("""COMPUTED_VALUE"""),"1702")</f>
        <v>1702</v>
      </c>
      <c r="C705" s="74"/>
      <c r="D705" s="74" t="str">
        <f>IFERROR(__xludf.DUMMYFUNCTION("""COMPUTED_VALUE"""),"\\MCA-S\mk\2_BM\0_BMat\08_PYM\Inventario\excel\Imagen de refacciones\Putzmeister\Remote aerials _ Antenas remotas (2)")</f>
        <v>\\MCA-S\mk\2_BM\0_BMat\08_PYM\Inventario\excel\Imagen de refacciones\Putzmeister\Remote aerials _ Antenas remotas (2)</v>
      </c>
      <c r="E705" s="74"/>
      <c r="F705" s="74" t="str">
        <f>IFERROR(__xludf.DUMMYFUNCTION("""COMPUTED_VALUE"""),"Remote aerials / Antenas remotas")</f>
        <v>Remote aerials / Antenas remotas</v>
      </c>
      <c r="G705" s="74"/>
      <c r="H705" s="74"/>
      <c r="I705" s="74" t="str">
        <f>IFERROR(__xludf.DUMMYFUNCTION("""COMPUTED_VALUE"""),"SOM20275")</f>
        <v>SOM20275</v>
      </c>
      <c r="J705" s="74" t="str">
        <f>IFERROR(__xludf.DUMMYFUNCTION("""COMPUTED_VALUE"""),"225696008")</f>
        <v>225696008</v>
      </c>
      <c r="K705" s="74" t="str">
        <f>IFERROR(__xludf.DUMMYFUNCTION("""COMPUTED_VALUE"""),"Putzmeister")</f>
        <v>Putzmeister</v>
      </c>
      <c r="L705" s="74" t="str">
        <f>IFERROR(__xludf.DUMMYFUNCTION("""COMPUTED_VALUE"""),"Componentes eléctricos")</f>
        <v>Componentes eléctricos</v>
      </c>
      <c r="M705" s="74" t="str">
        <f>IFERROR(__xludf.DUMMYFUNCTION("""COMPUTED_VALUE"""),"Sin Asignar")</f>
        <v>Sin Asignar</v>
      </c>
      <c r="N705" s="87">
        <f>IFERROR(__xludf.DUMMYFUNCTION("""COMPUTED_VALUE"""),0.0)</f>
        <v>0</v>
      </c>
      <c r="O705" s="74"/>
      <c r="P705" s="74" t="str">
        <f>IFERROR(__xludf.DUMMYFUNCTION("""COMPUTED_VALUE"""),"No Available")</f>
        <v>No Available</v>
      </c>
      <c r="Q705" s="74"/>
      <c r="R705" s="74"/>
      <c r="S705" s="87">
        <f>IFERROR(__xludf.DUMMYFUNCTION("""COMPUTED_VALUE"""),0.0)</f>
        <v>0</v>
      </c>
      <c r="T705" s="87">
        <f>IFERROR(__xludf.DUMMYFUNCTION("""COMPUTED_VALUE"""),0.0)</f>
        <v>0</v>
      </c>
      <c r="U705" s="87">
        <f>IFERROR(__xludf.DUMMYFUNCTION("""COMPUTED_VALUE"""),0.0)</f>
        <v>0</v>
      </c>
      <c r="V705" s="87">
        <f>IFERROR(__xludf.DUMMYFUNCTION("""COMPUTED_VALUE"""),0.0)</f>
        <v>0</v>
      </c>
      <c r="W705" s="87">
        <f>IFERROR(__xludf.DUMMYFUNCTION("""COMPUTED_VALUE"""),0.0)</f>
        <v>0</v>
      </c>
      <c r="X705" s="88"/>
      <c r="Y705" s="74"/>
      <c r="Z705" s="74"/>
    </row>
    <row r="706">
      <c r="B706" s="74" t="str">
        <f>IFERROR(__xludf.DUMMYFUNCTION("""COMPUTED_VALUE"""),"1703")</f>
        <v>1703</v>
      </c>
      <c r="C706" s="74"/>
      <c r="D706" s="74" t="str">
        <f>IFERROR(__xludf.DUMMYFUNCTION("""COMPUTED_VALUE"""),"\\MCA-S\mk\2_BM\0_BMat\08_PYM\Inventario\excel\Imagen de refacciones\Putzmeister\Remote control cable 40 MT. (32 poles) _ Cable para control remoto 40 metros (32 polos)")</f>
        <v>\\MCA-S\mk\2_BM\0_BMat\08_PYM\Inventario\excel\Imagen de refacciones\Putzmeister\Remote control cable 40 MT. (32 poles) _ Cable para control remoto 40 metros (32 polos)</v>
      </c>
      <c r="E706" s="74"/>
      <c r="F706" s="74" t="str">
        <f>IFERROR(__xludf.DUMMYFUNCTION("""COMPUTED_VALUE"""),"Remote control cable 40 MT. (32 poles) / Cable para control remoto 40 metros (32 polos)")</f>
        <v>Remote control cable 40 MT. (32 poles) / Cable para control remoto 40 metros (32 polos)</v>
      </c>
      <c r="G706" s="74"/>
      <c r="H706" s="74"/>
      <c r="I706" s="74" t="str">
        <f>IFERROR(__xludf.DUMMYFUNCTION("""COMPUTED_VALUE"""),"som20276")</f>
        <v>som20276</v>
      </c>
      <c r="J706" s="74" t="str">
        <f>IFERROR(__xludf.DUMMYFUNCTION("""COMPUTED_VALUE"""),"433776")</f>
        <v>433776</v>
      </c>
      <c r="K706" s="74" t="str">
        <f>IFERROR(__xludf.DUMMYFUNCTION("""COMPUTED_VALUE"""),"Putzmeister")</f>
        <v>Putzmeister</v>
      </c>
      <c r="L706" s="74" t="str">
        <f>IFERROR(__xludf.DUMMYFUNCTION("""COMPUTED_VALUE"""),"Componentes eléctricos")</f>
        <v>Componentes eléctricos</v>
      </c>
      <c r="M706" s="74" t="str">
        <f>IFERROR(__xludf.DUMMYFUNCTION("""COMPUTED_VALUE"""),"Sin Asignar")</f>
        <v>Sin Asignar</v>
      </c>
      <c r="N706" s="87">
        <f>IFERROR(__xludf.DUMMYFUNCTION("""COMPUTED_VALUE"""),0.0)</f>
        <v>0</v>
      </c>
      <c r="O706" s="74"/>
      <c r="P706" s="74" t="str">
        <f>IFERROR(__xludf.DUMMYFUNCTION("""COMPUTED_VALUE"""),"No Available")</f>
        <v>No Available</v>
      </c>
      <c r="Q706" s="74"/>
      <c r="R706" s="74"/>
      <c r="S706" s="87">
        <f>IFERROR(__xludf.DUMMYFUNCTION("""COMPUTED_VALUE"""),0.0)</f>
        <v>0</v>
      </c>
      <c r="T706" s="87">
        <f>IFERROR(__xludf.DUMMYFUNCTION("""COMPUTED_VALUE"""),0.0)</f>
        <v>0</v>
      </c>
      <c r="U706" s="87">
        <f>IFERROR(__xludf.DUMMYFUNCTION("""COMPUTED_VALUE"""),0.0)</f>
        <v>0</v>
      </c>
      <c r="V706" s="87">
        <f>IFERROR(__xludf.DUMMYFUNCTION("""COMPUTED_VALUE"""),0.0)</f>
        <v>0</v>
      </c>
      <c r="W706" s="87">
        <f>IFERROR(__xludf.DUMMYFUNCTION("""COMPUTED_VALUE"""),0.0)</f>
        <v>0</v>
      </c>
      <c r="X706" s="88"/>
      <c r="Y706" s="74"/>
      <c r="Z706" s="74"/>
    </row>
    <row r="707">
      <c r="B707" s="74" t="str">
        <f>IFERROR(__xludf.DUMMYFUNCTION("""COMPUTED_VALUE"""),"1704")</f>
        <v>1704</v>
      </c>
      <c r="C707" s="74"/>
      <c r="D707" s="74" t="str">
        <f>IFERROR(__xludf.DUMMYFUNCTION("""COMPUTED_VALUE"""),"\\MCA-S\mk\2_BM\0_BMat\08_PYM\Inventario\excel\Imagen de refacciones\Putzmeister\Multiple plug 3M _ Enchufe múltiple 3M")</f>
        <v>\\MCA-S\mk\2_BM\0_BMat\08_PYM\Inventario\excel\Imagen de refacciones\Putzmeister\Multiple plug 3M _ Enchufe múltiple 3M</v>
      </c>
      <c r="E707" s="74"/>
      <c r="F707" s="74" t="str">
        <f>IFERROR(__xludf.DUMMYFUNCTION("""COMPUTED_VALUE"""),"Multiple plug 3M / Enchufe múltiple 3M")</f>
        <v>Multiple plug 3M / Enchufe múltiple 3M</v>
      </c>
      <c r="G707" s="74"/>
      <c r="H707" s="74"/>
      <c r="I707" s="74" t="str">
        <f>IFERROR(__xludf.DUMMYFUNCTION("""COMPUTED_VALUE"""),"SOM20277")</f>
        <v>SOM20277</v>
      </c>
      <c r="J707" s="74" t="str">
        <f>IFERROR(__xludf.DUMMYFUNCTION("""COMPUTED_VALUE"""),"257563002")</f>
        <v>257563002</v>
      </c>
      <c r="K707" s="74" t="str">
        <f>IFERROR(__xludf.DUMMYFUNCTION("""COMPUTED_VALUE"""),"Putzmeister")</f>
        <v>Putzmeister</v>
      </c>
      <c r="L707" s="74" t="str">
        <f>IFERROR(__xludf.DUMMYFUNCTION("""COMPUTED_VALUE"""),"Componentes eléctricos")</f>
        <v>Componentes eléctricos</v>
      </c>
      <c r="M707" s="74" t="str">
        <f>IFERROR(__xludf.DUMMYFUNCTION("""COMPUTED_VALUE"""),"Sin Asignar")</f>
        <v>Sin Asignar</v>
      </c>
      <c r="N707" s="87">
        <f>IFERROR(__xludf.DUMMYFUNCTION("""COMPUTED_VALUE"""),0.0)</f>
        <v>0</v>
      </c>
      <c r="O707" s="74"/>
      <c r="P707" s="74" t="str">
        <f>IFERROR(__xludf.DUMMYFUNCTION("""COMPUTED_VALUE"""),"No Available")</f>
        <v>No Available</v>
      </c>
      <c r="Q707" s="74"/>
      <c r="R707" s="74"/>
      <c r="S707" s="87">
        <f>IFERROR(__xludf.DUMMYFUNCTION("""COMPUTED_VALUE"""),0.0)</f>
        <v>0</v>
      </c>
      <c r="T707" s="87">
        <f>IFERROR(__xludf.DUMMYFUNCTION("""COMPUTED_VALUE"""),0.0)</f>
        <v>0</v>
      </c>
      <c r="U707" s="87">
        <f>IFERROR(__xludf.DUMMYFUNCTION("""COMPUTED_VALUE"""),0.0)</f>
        <v>0</v>
      </c>
      <c r="V707" s="87">
        <f>IFERROR(__xludf.DUMMYFUNCTION("""COMPUTED_VALUE"""),0.0)</f>
        <v>0</v>
      </c>
      <c r="W707" s="87">
        <f>IFERROR(__xludf.DUMMYFUNCTION("""COMPUTED_VALUE"""),0.0)</f>
        <v>0</v>
      </c>
      <c r="X707" s="88"/>
      <c r="Y707" s="74"/>
      <c r="Z707" s="74"/>
    </row>
    <row r="708">
      <c r="B708" s="74" t="str">
        <f>IFERROR(__xludf.DUMMYFUNCTION("""COMPUTED_VALUE"""),"1705")</f>
        <v>1705</v>
      </c>
      <c r="C708" s="74"/>
      <c r="D708" s="74" t="str">
        <f>IFERROR(__xludf.DUMMYFUNCTION("""COMPUTED_VALUE"""),"\\MCA-S\mk\2_BM\0_BMat\08_PYM\Inventario\excel\Imagen de refacciones\Putzmeister\Multiple plug 2M _ Enchufe múltiple 2M")</f>
        <v>\\MCA-S\mk\2_BM\0_BMat\08_PYM\Inventario\excel\Imagen de refacciones\Putzmeister\Multiple plug 2M _ Enchufe múltiple 2M</v>
      </c>
      <c r="E708" s="74"/>
      <c r="F708" s="74" t="str">
        <f>IFERROR(__xludf.DUMMYFUNCTION("""COMPUTED_VALUE"""),"Multiple plug 2M / Enchufe múltiple 2M")</f>
        <v>Multiple plug 2M / Enchufe múltiple 2M</v>
      </c>
      <c r="G708" s="74"/>
      <c r="H708" s="74"/>
      <c r="I708" s="74" t="str">
        <f>IFERROR(__xludf.DUMMYFUNCTION("""COMPUTED_VALUE"""),"SOM20278")</f>
        <v>SOM20278</v>
      </c>
      <c r="J708" s="74" t="str">
        <f>IFERROR(__xludf.DUMMYFUNCTION("""COMPUTED_VALUE"""),"257562003")</f>
        <v>257562003</v>
      </c>
      <c r="K708" s="74" t="str">
        <f>IFERROR(__xludf.DUMMYFUNCTION("""COMPUTED_VALUE"""),"Putzmeister")</f>
        <v>Putzmeister</v>
      </c>
      <c r="L708" s="74" t="str">
        <f>IFERROR(__xludf.DUMMYFUNCTION("""COMPUTED_VALUE"""),"Componentes eléctricos")</f>
        <v>Componentes eléctricos</v>
      </c>
      <c r="M708" s="74" t="str">
        <f>IFERROR(__xludf.DUMMYFUNCTION("""COMPUTED_VALUE"""),"Sin Asignar")</f>
        <v>Sin Asignar</v>
      </c>
      <c r="N708" s="87">
        <f>IFERROR(__xludf.DUMMYFUNCTION("""COMPUTED_VALUE"""),0.0)</f>
        <v>0</v>
      </c>
      <c r="O708" s="74"/>
      <c r="P708" s="74" t="str">
        <f>IFERROR(__xludf.DUMMYFUNCTION("""COMPUTED_VALUE"""),"No Available")</f>
        <v>No Available</v>
      </c>
      <c r="Q708" s="74"/>
      <c r="R708" s="74"/>
      <c r="S708" s="87">
        <f>IFERROR(__xludf.DUMMYFUNCTION("""COMPUTED_VALUE"""),0.0)</f>
        <v>0</v>
      </c>
      <c r="T708" s="87">
        <f>IFERROR(__xludf.DUMMYFUNCTION("""COMPUTED_VALUE"""),0.0)</f>
        <v>0</v>
      </c>
      <c r="U708" s="87">
        <f>IFERROR(__xludf.DUMMYFUNCTION("""COMPUTED_VALUE"""),0.0)</f>
        <v>0</v>
      </c>
      <c r="V708" s="87">
        <f>IFERROR(__xludf.DUMMYFUNCTION("""COMPUTED_VALUE"""),0.0)</f>
        <v>0</v>
      </c>
      <c r="W708" s="87">
        <f>IFERROR(__xludf.DUMMYFUNCTION("""COMPUTED_VALUE"""),0.0)</f>
        <v>0</v>
      </c>
      <c r="X708" s="88"/>
      <c r="Y708" s="74"/>
      <c r="Z708" s="74"/>
    </row>
    <row r="709">
      <c r="B709" s="74" t="str">
        <f>IFERROR(__xludf.DUMMYFUNCTION("""COMPUTED_VALUE"""),"1706")</f>
        <v>1706</v>
      </c>
      <c r="C709" s="74"/>
      <c r="D709" s="74" t="str">
        <f>IFERROR(__xludf.DUMMYFUNCTION("""COMPUTED_VALUE"""),"\\MCA-S\mk\2_BM\0_BMat\08_PYM\Inventario\excel\Imagen de refacciones\Putzmeister\Multple plug 75cm _ Enchufe múltiple 75 cm")</f>
        <v>\\MCA-S\mk\2_BM\0_BMat\08_PYM\Inventario\excel\Imagen de refacciones\Putzmeister\Multple plug 75cm _ Enchufe múltiple 75 cm</v>
      </c>
      <c r="E709" s="74"/>
      <c r="F709" s="74" t="str">
        <f>IFERROR(__xludf.DUMMYFUNCTION("""COMPUTED_VALUE"""),"Multple plug 75cm / Enchufe múltiple 75 cm")</f>
        <v>Multple plug 75cm / Enchufe múltiple 75 cm</v>
      </c>
      <c r="G709" s="74"/>
      <c r="H709" s="74"/>
      <c r="I709" s="74" t="str">
        <f>IFERROR(__xludf.DUMMYFUNCTION("""COMPUTED_VALUE"""),"SOM20279")</f>
        <v>SOM20279</v>
      </c>
      <c r="J709" s="74" t="str">
        <f>IFERROR(__xludf.DUMMYFUNCTION("""COMPUTED_VALUE"""),"259748003")</f>
        <v>259748003</v>
      </c>
      <c r="K709" s="74" t="str">
        <f>IFERROR(__xludf.DUMMYFUNCTION("""COMPUTED_VALUE"""),"Putzmeister")</f>
        <v>Putzmeister</v>
      </c>
      <c r="L709" s="74" t="str">
        <f>IFERROR(__xludf.DUMMYFUNCTION("""COMPUTED_VALUE"""),"Componentes eléctricos")</f>
        <v>Componentes eléctricos</v>
      </c>
      <c r="M709" s="74" t="str">
        <f>IFERROR(__xludf.DUMMYFUNCTION("""COMPUTED_VALUE"""),"Sin Asignar")</f>
        <v>Sin Asignar</v>
      </c>
      <c r="N709" s="87">
        <f>IFERROR(__xludf.DUMMYFUNCTION("""COMPUTED_VALUE"""),0.0)</f>
        <v>0</v>
      </c>
      <c r="O709" s="74"/>
      <c r="P709" s="74" t="str">
        <f>IFERROR(__xludf.DUMMYFUNCTION("""COMPUTED_VALUE"""),"borrar")</f>
        <v>borrar</v>
      </c>
      <c r="Q709" s="74"/>
      <c r="R709" s="74"/>
      <c r="S709" s="87">
        <f>IFERROR(__xludf.DUMMYFUNCTION("""COMPUTED_VALUE"""),0.0)</f>
        <v>0</v>
      </c>
      <c r="T709" s="87">
        <f>IFERROR(__xludf.DUMMYFUNCTION("""COMPUTED_VALUE"""),0.0)</f>
        <v>0</v>
      </c>
      <c r="U709" s="87">
        <f>IFERROR(__xludf.DUMMYFUNCTION("""COMPUTED_VALUE"""),0.0)</f>
        <v>0</v>
      </c>
      <c r="V709" s="87">
        <f>IFERROR(__xludf.DUMMYFUNCTION("""COMPUTED_VALUE"""),0.0)</f>
        <v>0</v>
      </c>
      <c r="W709" s="87">
        <f>IFERROR(__xludf.DUMMYFUNCTION("""COMPUTED_VALUE"""),0.0)</f>
        <v>0</v>
      </c>
      <c r="X709" s="88"/>
      <c r="Y709" s="74"/>
      <c r="Z709" s="74"/>
    </row>
    <row r="710">
      <c r="B710" s="74" t="str">
        <f>IFERROR(__xludf.DUMMYFUNCTION("""COMPUTED_VALUE"""),"1707")</f>
        <v>1707</v>
      </c>
      <c r="C710" s="74" t="str">
        <f>IFERROR(__xludf.DUMMYFUNCTION("""COMPUTED_VALUE"""),"75045891707")</f>
        <v>75045891707</v>
      </c>
      <c r="D710" s="74" t="str">
        <f>IFERROR(__xludf.DUMMYFUNCTION("""COMPUTED_VALUE"""),"\\MCA-S\mk\2_BM\0_BMat\08_PYM\Inventario\excel\Imagen de refacciones\Putzmeister\Limit switch _ Interruptor de límite")</f>
        <v>\\MCA-S\mk\2_BM\0_BMat\08_PYM\Inventario\excel\Imagen de refacciones\Putzmeister\Limit switch _ Interruptor de límite</v>
      </c>
      <c r="E710" s="74" t="str">
        <f>IFERROR(__xludf.DUMMYFUNCTION("""COMPUTED_VALUE"""),"PROXIMITY LIMIT SWITCH")</f>
        <v>PROXIMITY LIMIT SWITCH</v>
      </c>
      <c r="F710" s="74" t="str">
        <f>IFERROR(__xludf.DUMMYFUNCTION("""COMPUTED_VALUE"""),"INTERRUPTOR DE LIMITE / LIMIT SWITCH")</f>
        <v>INTERRUPTOR DE LIMITE / LIMIT SWITCH</v>
      </c>
      <c r="G710" s="74"/>
      <c r="H710" s="74"/>
      <c r="I710" s="74" t="str">
        <f>IFERROR(__xludf.DUMMYFUNCTION("""COMPUTED_VALUE"""),"67638004")</f>
        <v>67638004</v>
      </c>
      <c r="J710" s="74"/>
      <c r="K710" s="74" t="str">
        <f>IFERROR(__xludf.DUMMYFUNCTION("""COMPUTED_VALUE"""),"Putzmeister")</f>
        <v>Putzmeister</v>
      </c>
      <c r="L710" s="74" t="str">
        <f>IFERROR(__xludf.DUMMYFUNCTION("""COMPUTED_VALUE"""),"Componentes eléctricos")</f>
        <v>Componentes eléctricos</v>
      </c>
      <c r="M710" s="74" t="str">
        <f>IFERROR(__xludf.DUMMYFUNCTION("""COMPUTED_VALUE"""),"Sin Asignar")</f>
        <v>Sin Asignar</v>
      </c>
      <c r="N710" s="87">
        <f>IFERROR(__xludf.DUMMYFUNCTION("""COMPUTED_VALUE"""),0.0)</f>
        <v>0</v>
      </c>
      <c r="O710" s="74"/>
      <c r="P710" s="74" t="str">
        <f>IFERROR(__xludf.DUMMYFUNCTION("""COMPUTED_VALUE"""),"To Re-purchase")</f>
        <v>To Re-purchase</v>
      </c>
      <c r="Q710" s="74"/>
      <c r="R710" s="74"/>
      <c r="S710" s="87">
        <f>IFERROR(__xludf.DUMMYFUNCTION("""COMPUTED_VALUE"""),0.0)</f>
        <v>0</v>
      </c>
      <c r="T710" s="87">
        <f>IFERROR(__xludf.DUMMYFUNCTION("""COMPUTED_VALUE"""),0.0)</f>
        <v>0</v>
      </c>
      <c r="U710" s="87">
        <f>IFERROR(__xludf.DUMMYFUNCTION("""COMPUTED_VALUE"""),0.0)</f>
        <v>0</v>
      </c>
      <c r="V710" s="87">
        <f>IFERROR(__xludf.DUMMYFUNCTION("""COMPUTED_VALUE"""),0.0)</f>
        <v>0</v>
      </c>
      <c r="W710" s="87">
        <f>IFERROR(__xludf.DUMMYFUNCTION("""COMPUTED_VALUE"""),0.0)</f>
        <v>0</v>
      </c>
      <c r="X710" s="88"/>
      <c r="Y710" s="74"/>
      <c r="Z710" s="74"/>
    </row>
    <row r="711">
      <c r="B711" s="74" t="str">
        <f>IFERROR(__xludf.DUMMYFUNCTION("""COMPUTED_VALUE"""),"1708")</f>
        <v>1708</v>
      </c>
      <c r="C711" s="74"/>
      <c r="D711" s="74" t="str">
        <f>IFERROR(__xludf.DUMMYFUNCTION("""COMPUTED_VALUE"""),"\\MCA-S\mk\2_BM\0_BMat\08_PYM\Inventario\excel\Imagen de refacciones\Putzmeister\Magnetic switch M12X1 _ Interruptor magnético M12x1")</f>
        <v>\\MCA-S\mk\2_BM\0_BMat\08_PYM\Inventario\excel\Imagen de refacciones\Putzmeister\Magnetic switch M12X1 _ Interruptor magnético M12x1</v>
      </c>
      <c r="E711" s="74"/>
      <c r="F711" s="74" t="str">
        <f>IFERROR(__xludf.DUMMYFUNCTION("""COMPUTED_VALUE"""),"Magnetic switch M12X1 / Interruptor magnético M12x1")</f>
        <v>Magnetic switch M12X1 / Interruptor magnético M12x1</v>
      </c>
      <c r="G711" s="74"/>
      <c r="H711" s="74"/>
      <c r="I711" s="74" t="str">
        <f>IFERROR(__xludf.DUMMYFUNCTION("""COMPUTED_VALUE"""),"SOM20281")</f>
        <v>SOM20281</v>
      </c>
      <c r="J711" s="74" t="str">
        <f>IFERROR(__xludf.DUMMYFUNCTION("""COMPUTED_VALUE"""),"270321001")</f>
        <v>270321001</v>
      </c>
      <c r="K711" s="74" t="str">
        <f>IFERROR(__xludf.DUMMYFUNCTION("""COMPUTED_VALUE"""),"Putzmeister")</f>
        <v>Putzmeister</v>
      </c>
      <c r="L711" s="74" t="str">
        <f>IFERROR(__xludf.DUMMYFUNCTION("""COMPUTED_VALUE"""),"Componentes eléctricos")</f>
        <v>Componentes eléctricos</v>
      </c>
      <c r="M711" s="74" t="str">
        <f>IFERROR(__xludf.DUMMYFUNCTION("""COMPUTED_VALUE"""),"Sin Asignar")</f>
        <v>Sin Asignar</v>
      </c>
      <c r="N711" s="87">
        <f>IFERROR(__xludf.DUMMYFUNCTION("""COMPUTED_VALUE"""),0.0)</f>
        <v>0</v>
      </c>
      <c r="O711" s="74"/>
      <c r="P711" s="74" t="str">
        <f>IFERROR(__xludf.DUMMYFUNCTION("""COMPUTED_VALUE"""),"borrar")</f>
        <v>borrar</v>
      </c>
      <c r="Q711" s="74"/>
      <c r="R711" s="74"/>
      <c r="S711" s="87">
        <f>IFERROR(__xludf.DUMMYFUNCTION("""COMPUTED_VALUE"""),0.0)</f>
        <v>0</v>
      </c>
      <c r="T711" s="87">
        <f>IFERROR(__xludf.DUMMYFUNCTION("""COMPUTED_VALUE"""),0.0)</f>
        <v>0</v>
      </c>
      <c r="U711" s="87">
        <f>IFERROR(__xludf.DUMMYFUNCTION("""COMPUTED_VALUE"""),0.0)</f>
        <v>0</v>
      </c>
      <c r="V711" s="87">
        <f>IFERROR(__xludf.DUMMYFUNCTION("""COMPUTED_VALUE"""),0.0)</f>
        <v>0</v>
      </c>
      <c r="W711" s="87">
        <f>IFERROR(__xludf.DUMMYFUNCTION("""COMPUTED_VALUE"""),0.0)</f>
        <v>0</v>
      </c>
      <c r="X711" s="88"/>
      <c r="Y711" s="74"/>
      <c r="Z711" s="74"/>
    </row>
    <row r="712">
      <c r="B712" s="74" t="str">
        <f>IFERROR(__xludf.DUMMYFUNCTION("""COMPUTED_VALUE"""),"1709")</f>
        <v>1709</v>
      </c>
      <c r="C712" s="74"/>
      <c r="D712" s="74" t="str">
        <f>IFERROR(__xludf.DUMMYFUNCTION("""COMPUTED_VALUE"""),"\\MCA-S\mk\2_BM\0_BMat\08_PYM\Inventario\excel\Imagen de refacciones\Putzmeister\Limit swicht _ Interruptor de límite")</f>
        <v>\\MCA-S\mk\2_BM\0_BMat\08_PYM\Inventario\excel\Imagen de refacciones\Putzmeister\Limit swicht _ Interruptor de límite</v>
      </c>
      <c r="E712" s="74"/>
      <c r="F712" s="74" t="str">
        <f>IFERROR(__xludf.DUMMYFUNCTION("""COMPUTED_VALUE"""),"Limit swicht / Interruptor de límite")</f>
        <v>Limit swicht / Interruptor de límite</v>
      </c>
      <c r="G712" s="74"/>
      <c r="H712" s="74"/>
      <c r="I712" s="74" t="str">
        <f>IFERROR(__xludf.DUMMYFUNCTION("""COMPUTED_VALUE"""),"SOM20282")</f>
        <v>SOM20282</v>
      </c>
      <c r="J712" s="74" t="str">
        <f>IFERROR(__xludf.DUMMYFUNCTION("""COMPUTED_VALUE"""),"63249002")</f>
        <v>63249002</v>
      </c>
      <c r="K712" s="74" t="str">
        <f>IFERROR(__xludf.DUMMYFUNCTION("""COMPUTED_VALUE"""),"Putzmeister")</f>
        <v>Putzmeister</v>
      </c>
      <c r="L712" s="74" t="str">
        <f>IFERROR(__xludf.DUMMYFUNCTION("""COMPUTED_VALUE"""),"Componentes eléctricos")</f>
        <v>Componentes eléctricos</v>
      </c>
      <c r="M712" s="74" t="str">
        <f>IFERROR(__xludf.DUMMYFUNCTION("""COMPUTED_VALUE"""),"Sin Asignar")</f>
        <v>Sin Asignar</v>
      </c>
      <c r="N712" s="87">
        <f>IFERROR(__xludf.DUMMYFUNCTION("""COMPUTED_VALUE"""),0.0)</f>
        <v>0</v>
      </c>
      <c r="O712" s="74"/>
      <c r="P712" s="74" t="str">
        <f>IFERROR(__xludf.DUMMYFUNCTION("""COMPUTED_VALUE"""),"borrar")</f>
        <v>borrar</v>
      </c>
      <c r="Q712" s="74"/>
      <c r="R712" s="74"/>
      <c r="S712" s="87">
        <f>IFERROR(__xludf.DUMMYFUNCTION("""COMPUTED_VALUE"""),0.0)</f>
        <v>0</v>
      </c>
      <c r="T712" s="87">
        <f>IFERROR(__xludf.DUMMYFUNCTION("""COMPUTED_VALUE"""),0.0)</f>
        <v>0</v>
      </c>
      <c r="U712" s="87">
        <f>IFERROR(__xludf.DUMMYFUNCTION("""COMPUTED_VALUE"""),0.0)</f>
        <v>0</v>
      </c>
      <c r="V712" s="87">
        <f>IFERROR(__xludf.DUMMYFUNCTION("""COMPUTED_VALUE"""),0.0)</f>
        <v>0</v>
      </c>
      <c r="W712" s="87">
        <f>IFERROR(__xludf.DUMMYFUNCTION("""COMPUTED_VALUE"""),0.0)</f>
        <v>0</v>
      </c>
      <c r="X712" s="88"/>
      <c r="Y712" s="74"/>
      <c r="Z712" s="74"/>
    </row>
    <row r="713">
      <c r="B713" s="74" t="str">
        <f>IFERROR(__xludf.DUMMYFUNCTION("""COMPUTED_VALUE"""),"1710")</f>
        <v>1710</v>
      </c>
      <c r="C713" s="74"/>
      <c r="D713" s="74" t="str">
        <f>IFERROR(__xludf.DUMMYFUNCTION("""COMPUTED_VALUE"""),"\\MCA-S\mk\2_BM\0_BMat\08_PYM\Inventario\excel\Imagen de refacciones\Putzmeister\Proximity junction box 4-way cyl 1&amp;2 _ Caja de unión de proximidad 4 vías para cilindros 1 y 2")</f>
        <v>\\MCA-S\mk\2_BM\0_BMat\08_PYM\Inventario\excel\Imagen de refacciones\Putzmeister\Proximity junction box 4-way cyl 1&amp;2 _ Caja de unión de proximidad 4 vías para cilindros 1 y 2</v>
      </c>
      <c r="E713" s="74"/>
      <c r="F713" s="74" t="str">
        <f>IFERROR(__xludf.DUMMYFUNCTION("""COMPUTED_VALUE"""),"Proximity junction box 4-way cyl 1&amp;2 / Caja de unión de proximidad 4 vías para cilindros 1 y 2")</f>
        <v>Proximity junction box 4-way cyl 1&amp;2 / Caja de unión de proximidad 4 vías para cilindros 1 y 2</v>
      </c>
      <c r="G713" s="74"/>
      <c r="H713" s="74"/>
      <c r="I713" s="74" t="str">
        <f>IFERROR(__xludf.DUMMYFUNCTION("""COMPUTED_VALUE"""),"SOM20283")</f>
        <v>SOM20283</v>
      </c>
      <c r="J713" s="74" t="str">
        <f>IFERROR(__xludf.DUMMYFUNCTION("""COMPUTED_VALUE"""),"462265")</f>
        <v>462265</v>
      </c>
      <c r="K713" s="74" t="str">
        <f>IFERROR(__xludf.DUMMYFUNCTION("""COMPUTED_VALUE"""),"Putzmeister")</f>
        <v>Putzmeister</v>
      </c>
      <c r="L713" s="74" t="str">
        <f>IFERROR(__xludf.DUMMYFUNCTION("""COMPUTED_VALUE"""),"Componentes eléctricos")</f>
        <v>Componentes eléctricos</v>
      </c>
      <c r="M713" s="74" t="str">
        <f>IFERROR(__xludf.DUMMYFUNCTION("""COMPUTED_VALUE"""),"Sin Asignar")</f>
        <v>Sin Asignar</v>
      </c>
      <c r="N713" s="87">
        <f>IFERROR(__xludf.DUMMYFUNCTION("""COMPUTED_VALUE"""),0.0)</f>
        <v>0</v>
      </c>
      <c r="O713" s="74"/>
      <c r="P713" s="74" t="str">
        <f>IFERROR(__xludf.DUMMYFUNCTION("""COMPUTED_VALUE"""),"No Available")</f>
        <v>No Available</v>
      </c>
      <c r="Q713" s="74"/>
      <c r="R713" s="74"/>
      <c r="S713" s="87">
        <f>IFERROR(__xludf.DUMMYFUNCTION("""COMPUTED_VALUE"""),0.0)</f>
        <v>0</v>
      </c>
      <c r="T713" s="87">
        <f>IFERROR(__xludf.DUMMYFUNCTION("""COMPUTED_VALUE"""),0.0)</f>
        <v>0</v>
      </c>
      <c r="U713" s="87">
        <f>IFERROR(__xludf.DUMMYFUNCTION("""COMPUTED_VALUE"""),0.0)</f>
        <v>0</v>
      </c>
      <c r="V713" s="87">
        <f>IFERROR(__xludf.DUMMYFUNCTION("""COMPUTED_VALUE"""),0.0)</f>
        <v>0</v>
      </c>
      <c r="W713" s="87">
        <f>IFERROR(__xludf.DUMMYFUNCTION("""COMPUTED_VALUE"""),0.0)</f>
        <v>0</v>
      </c>
      <c r="X713" s="88"/>
      <c r="Y713" s="74"/>
      <c r="Z713" s="74"/>
    </row>
    <row r="714">
      <c r="B714" s="74" t="str">
        <f>IFERROR(__xludf.DUMMYFUNCTION("""COMPUTED_VALUE"""),"1711")</f>
        <v>1711</v>
      </c>
      <c r="C714" s="74"/>
      <c r="D714" s="74" t="str">
        <f>IFERROR(__xludf.DUMMYFUNCTION("""COMPUTED_VALUE"""),"\\MCA-S\mk\2_BM\0_BMat\08_PYM\Inventario\excel\Imagen de refacciones\Putzmeister\Bush housing 32-pol _ Alojamiento de buje 32 polos")</f>
        <v>\\MCA-S\mk\2_BM\0_BMat\08_PYM\Inventario\excel\Imagen de refacciones\Putzmeister\Bush housing 32-pol _ Alojamiento de buje 32 polos</v>
      </c>
      <c r="E714" s="74"/>
      <c r="F714" s="74" t="str">
        <f>IFERROR(__xludf.DUMMYFUNCTION("""COMPUTED_VALUE"""),"Bush housing 32-pol / Alojamiento de buje 32 polos")</f>
        <v>Bush housing 32-pol / Alojamiento de buje 32 polos</v>
      </c>
      <c r="G714" s="74"/>
      <c r="H714" s="74"/>
      <c r="I714" s="74" t="str">
        <f>IFERROR(__xludf.DUMMYFUNCTION("""COMPUTED_VALUE"""),"SOM20285")</f>
        <v>SOM20285</v>
      </c>
      <c r="J714" s="74" t="str">
        <f>IFERROR(__xludf.DUMMYFUNCTION("""COMPUTED_VALUE"""),"243708004")</f>
        <v>243708004</v>
      </c>
      <c r="K714" s="74" t="str">
        <f>IFERROR(__xludf.DUMMYFUNCTION("""COMPUTED_VALUE"""),"Putzmeister")</f>
        <v>Putzmeister</v>
      </c>
      <c r="L714" s="74" t="str">
        <f>IFERROR(__xludf.DUMMYFUNCTION("""COMPUTED_VALUE"""),"Componentes estructurales y de montaje")</f>
        <v>Componentes estructurales y de montaje</v>
      </c>
      <c r="M714" s="74" t="str">
        <f>IFERROR(__xludf.DUMMYFUNCTION("""COMPUTED_VALUE"""),"Sin Asignar")</f>
        <v>Sin Asignar</v>
      </c>
      <c r="N714" s="87">
        <f>IFERROR(__xludf.DUMMYFUNCTION("""COMPUTED_VALUE"""),0.0)</f>
        <v>0</v>
      </c>
      <c r="O714" s="74"/>
      <c r="P714" s="74" t="str">
        <f>IFERROR(__xludf.DUMMYFUNCTION("""COMPUTED_VALUE"""),"No Available")</f>
        <v>No Available</v>
      </c>
      <c r="Q714" s="74"/>
      <c r="R714" s="74"/>
      <c r="S714" s="87">
        <f>IFERROR(__xludf.DUMMYFUNCTION("""COMPUTED_VALUE"""),0.0)</f>
        <v>0</v>
      </c>
      <c r="T714" s="87">
        <f>IFERROR(__xludf.DUMMYFUNCTION("""COMPUTED_VALUE"""),0.0)</f>
        <v>0</v>
      </c>
      <c r="U714" s="87">
        <f>IFERROR(__xludf.DUMMYFUNCTION("""COMPUTED_VALUE"""),0.0)</f>
        <v>0</v>
      </c>
      <c r="V714" s="87">
        <f>IFERROR(__xludf.DUMMYFUNCTION("""COMPUTED_VALUE"""),0.0)</f>
        <v>0</v>
      </c>
      <c r="W714" s="87">
        <f>IFERROR(__xludf.DUMMYFUNCTION("""COMPUTED_VALUE"""),0.0)</f>
        <v>0</v>
      </c>
      <c r="X714" s="88"/>
      <c r="Y714" s="74"/>
      <c r="Z714" s="74"/>
    </row>
    <row r="715">
      <c r="B715" s="74" t="str">
        <f>IFERROR(__xludf.DUMMYFUNCTION("""COMPUTED_VALUE"""),"1712")</f>
        <v>1712</v>
      </c>
      <c r="C715" s="74"/>
      <c r="D715" s="74" t="str">
        <f>IFERROR(__xludf.DUMMYFUNCTION("""COMPUTED_VALUE"""),"\\MCA-S\mk\2_BM\0_BMat\08_PYM\Inventario\excel\Imagen de refacciones\Putzmeister\BUSH HOUSING 32_POL")</f>
        <v>\\MCA-S\mk\2_BM\0_BMat\08_PYM\Inventario\excel\Imagen de refacciones\Putzmeister\BUSH HOUSING 32_POL</v>
      </c>
      <c r="E715" s="74"/>
      <c r="F715" s="74" t="str">
        <f>IFERROR(__xludf.DUMMYFUNCTION("""COMPUTED_VALUE"""),"BUSH HOUSING 32/POL")</f>
        <v>BUSH HOUSING 32/POL</v>
      </c>
      <c r="G715" s="74"/>
      <c r="H715" s="74"/>
      <c r="I715" s="74" t="str">
        <f>IFERROR(__xludf.DUMMYFUNCTION("""COMPUTED_VALUE"""),"SOM20286")</f>
        <v>SOM20286</v>
      </c>
      <c r="J715" s="74" t="str">
        <f>IFERROR(__xludf.DUMMYFUNCTION("""COMPUTED_VALUE"""),"243709003")</f>
        <v>243709003</v>
      </c>
      <c r="K715" s="74" t="str">
        <f>IFERROR(__xludf.DUMMYFUNCTION("""COMPUTED_VALUE"""),"Putzmeister")</f>
        <v>Putzmeister</v>
      </c>
      <c r="L715" s="74" t="str">
        <f>IFERROR(__xludf.DUMMYFUNCTION("""COMPUTED_VALUE"""),"Componentes estructurales y de montaje")</f>
        <v>Componentes estructurales y de montaje</v>
      </c>
      <c r="M715" s="74" t="str">
        <f>IFERROR(__xludf.DUMMYFUNCTION("""COMPUTED_VALUE"""),"Sin Asignar")</f>
        <v>Sin Asignar</v>
      </c>
      <c r="N715" s="87">
        <f>IFERROR(__xludf.DUMMYFUNCTION("""COMPUTED_VALUE"""),0.0)</f>
        <v>0</v>
      </c>
      <c r="O715" s="74"/>
      <c r="P715" s="74" t="str">
        <f>IFERROR(__xludf.DUMMYFUNCTION("""COMPUTED_VALUE"""),"No Available")</f>
        <v>No Available</v>
      </c>
      <c r="Q715" s="74"/>
      <c r="R715" s="74"/>
      <c r="S715" s="87">
        <f>IFERROR(__xludf.DUMMYFUNCTION("""COMPUTED_VALUE"""),0.0)</f>
        <v>0</v>
      </c>
      <c r="T715" s="87">
        <f>IFERROR(__xludf.DUMMYFUNCTION("""COMPUTED_VALUE"""),0.0)</f>
        <v>0</v>
      </c>
      <c r="U715" s="87">
        <f>IFERROR(__xludf.DUMMYFUNCTION("""COMPUTED_VALUE"""),0.0)</f>
        <v>0</v>
      </c>
      <c r="V715" s="87">
        <f>IFERROR(__xludf.DUMMYFUNCTION("""COMPUTED_VALUE"""),0.0)</f>
        <v>0</v>
      </c>
      <c r="W715" s="87">
        <f>IFERROR(__xludf.DUMMYFUNCTION("""COMPUTED_VALUE"""),0.0)</f>
        <v>0</v>
      </c>
      <c r="X715" s="88"/>
      <c r="Y715" s="74"/>
      <c r="Z715" s="74"/>
    </row>
    <row r="716">
      <c r="B716" s="74" t="str">
        <f>IFERROR(__xludf.DUMMYFUNCTION("""COMPUTED_VALUE"""),"1713")</f>
        <v>1713</v>
      </c>
      <c r="C716" s="74"/>
      <c r="D716" s="74" t="str">
        <f>IFERROR(__xludf.DUMMYFUNCTION("""COMPUTED_VALUE"""),"\\MCA-S\mk\2_BM\0_BMat\08_PYM\Inventario\excel\Imagen de refacciones\Putzmeister\Pressure sensor 0-600 BAR _ Sensor de presión 0-600 BAR")</f>
        <v>\\MCA-S\mk\2_BM\0_BMat\08_PYM\Inventario\excel\Imagen de refacciones\Putzmeister\Pressure sensor 0-600 BAR _ Sensor de presión 0-600 BAR</v>
      </c>
      <c r="E716" s="74"/>
      <c r="F716" s="74" t="str">
        <f>IFERROR(__xludf.DUMMYFUNCTION("""COMPUTED_VALUE"""),"Pressure sensor 0-600 BAR / Sensor de presión 0-600 BAR")</f>
        <v>Pressure sensor 0-600 BAR / Sensor de presión 0-600 BAR</v>
      </c>
      <c r="G716" s="74"/>
      <c r="H716" s="74"/>
      <c r="I716" s="74" t="str">
        <f>IFERROR(__xludf.DUMMYFUNCTION("""COMPUTED_VALUE"""),"SOM20289")</f>
        <v>SOM20289</v>
      </c>
      <c r="J716" s="74" t="str">
        <f>IFERROR(__xludf.DUMMYFUNCTION("""COMPUTED_VALUE"""),"420220")</f>
        <v>420220</v>
      </c>
      <c r="K716" s="74" t="str">
        <f>IFERROR(__xludf.DUMMYFUNCTION("""COMPUTED_VALUE"""),"Putzmeister")</f>
        <v>Putzmeister</v>
      </c>
      <c r="L716" s="74" t="str">
        <f>IFERROR(__xludf.DUMMYFUNCTION("""COMPUTED_VALUE"""),"Elementos de medición y control")</f>
        <v>Elementos de medición y control</v>
      </c>
      <c r="M716" s="74" t="str">
        <f>IFERROR(__xludf.DUMMYFUNCTION("""COMPUTED_VALUE"""),"Sin Asignar")</f>
        <v>Sin Asignar</v>
      </c>
      <c r="N716" s="87">
        <f>IFERROR(__xludf.DUMMYFUNCTION("""COMPUTED_VALUE"""),0.0)</f>
        <v>0</v>
      </c>
      <c r="O716" s="74"/>
      <c r="P716" s="74" t="str">
        <f>IFERROR(__xludf.DUMMYFUNCTION("""COMPUTED_VALUE"""),"No Available")</f>
        <v>No Available</v>
      </c>
      <c r="Q716" s="74"/>
      <c r="R716" s="74"/>
      <c r="S716" s="87">
        <f>IFERROR(__xludf.DUMMYFUNCTION("""COMPUTED_VALUE"""),0.0)</f>
        <v>0</v>
      </c>
      <c r="T716" s="87">
        <f>IFERROR(__xludf.DUMMYFUNCTION("""COMPUTED_VALUE"""),0.0)</f>
        <v>0</v>
      </c>
      <c r="U716" s="87">
        <f>IFERROR(__xludf.DUMMYFUNCTION("""COMPUTED_VALUE"""),0.0)</f>
        <v>0</v>
      </c>
      <c r="V716" s="87">
        <f>IFERROR(__xludf.DUMMYFUNCTION("""COMPUTED_VALUE"""),0.0)</f>
        <v>0</v>
      </c>
      <c r="W716" s="87">
        <f>IFERROR(__xludf.DUMMYFUNCTION("""COMPUTED_VALUE"""),0.0)</f>
        <v>0</v>
      </c>
      <c r="X716" s="88"/>
      <c r="Y716" s="74"/>
      <c r="Z716" s="74"/>
    </row>
    <row r="717">
      <c r="B717" s="74" t="str">
        <f>IFERROR(__xludf.DUMMYFUNCTION("""COMPUTED_VALUE"""),"1714")</f>
        <v>1714</v>
      </c>
      <c r="C717" s="74"/>
      <c r="D717" s="74" t="str">
        <f>IFERROR(__xludf.DUMMYFUNCTION("""COMPUTED_VALUE"""),"\\MCA-S\mk\2_BM\0_BMat\08_PYM\Inventario\excel\Imagen de refacciones\Putzmeister\Emergency shut off _ Parada de emergencia")</f>
        <v>\\MCA-S\mk\2_BM\0_BMat\08_PYM\Inventario\excel\Imagen de refacciones\Putzmeister\Emergency shut off _ Parada de emergencia</v>
      </c>
      <c r="E717" s="74"/>
      <c r="F717" s="74" t="str">
        <f>IFERROR(__xludf.DUMMYFUNCTION("""COMPUTED_VALUE"""),"Emergency shut off / Parada de emergencia")</f>
        <v>Emergency shut off / Parada de emergencia</v>
      </c>
      <c r="G717" s="74"/>
      <c r="H717" s="74"/>
      <c r="I717" s="74" t="str">
        <f>IFERROR(__xludf.DUMMYFUNCTION("""COMPUTED_VALUE"""),"SOM20292")</f>
        <v>SOM20292</v>
      </c>
      <c r="J717" s="74" t="str">
        <f>IFERROR(__xludf.DUMMYFUNCTION("""COMPUTED_VALUE"""),"405197")</f>
        <v>405197</v>
      </c>
      <c r="K717" s="74" t="str">
        <f>IFERROR(__xludf.DUMMYFUNCTION("""COMPUTED_VALUE"""),"Putzmeister")</f>
        <v>Putzmeister</v>
      </c>
      <c r="L717" s="74" t="str">
        <f>IFERROR(__xludf.DUMMYFUNCTION("""COMPUTED_VALUE"""),"Componentes eléctricos")</f>
        <v>Componentes eléctricos</v>
      </c>
      <c r="M717" s="74" t="str">
        <f>IFERROR(__xludf.DUMMYFUNCTION("""COMPUTED_VALUE"""),"Sin Asignar")</f>
        <v>Sin Asignar</v>
      </c>
      <c r="N717" s="87">
        <f>IFERROR(__xludf.DUMMYFUNCTION("""COMPUTED_VALUE"""),0.0)</f>
        <v>0</v>
      </c>
      <c r="O717" s="74"/>
      <c r="P717" s="74" t="str">
        <f>IFERROR(__xludf.DUMMYFUNCTION("""COMPUTED_VALUE"""),"No Available")</f>
        <v>No Available</v>
      </c>
      <c r="Q717" s="74"/>
      <c r="R717" s="74"/>
      <c r="S717" s="87">
        <f>IFERROR(__xludf.DUMMYFUNCTION("""COMPUTED_VALUE"""),0.0)</f>
        <v>0</v>
      </c>
      <c r="T717" s="87">
        <f>IFERROR(__xludf.DUMMYFUNCTION("""COMPUTED_VALUE"""),0.0)</f>
        <v>0</v>
      </c>
      <c r="U717" s="87">
        <f>IFERROR(__xludf.DUMMYFUNCTION("""COMPUTED_VALUE"""),0.0)</f>
        <v>0</v>
      </c>
      <c r="V717" s="87">
        <f>IFERROR(__xludf.DUMMYFUNCTION("""COMPUTED_VALUE"""),0.0)</f>
        <v>0</v>
      </c>
      <c r="W717" s="87">
        <f>IFERROR(__xludf.DUMMYFUNCTION("""COMPUTED_VALUE"""),0.0)</f>
        <v>0</v>
      </c>
      <c r="X717" s="88"/>
      <c r="Y717" s="74"/>
      <c r="Z717" s="74"/>
    </row>
    <row r="718">
      <c r="B718" s="74" t="str">
        <f>IFERROR(__xludf.DUMMYFUNCTION("""COMPUTED_VALUE"""),"1715")</f>
        <v>1715</v>
      </c>
      <c r="C718" s="74"/>
      <c r="D718" s="74" t="str">
        <f>IFERROR(__xludf.DUMMYFUNCTION("""COMPUTED_VALUE"""),"\\MCA-S\mk\2_BM\0_BMat\08_PYM\Inventario\excel\Imagen de refacciones\Putzmeister\OIL COOLER COMPLETE _ Enfriador de aceite completo")</f>
        <v>\\MCA-S\mk\2_BM\0_BMat\08_PYM\Inventario\excel\Imagen de refacciones\Putzmeister\OIL COOLER COMPLETE _ Enfriador de aceite completo</v>
      </c>
      <c r="E718" s="74"/>
      <c r="F718" s="74" t="str">
        <f>IFERROR(__xludf.DUMMYFUNCTION("""COMPUTED_VALUE"""),"OIL COOLER COMPLETE / Enfriador de aceite completo")</f>
        <v>OIL COOLER COMPLETE / Enfriador de aceite completo</v>
      </c>
      <c r="G718" s="74"/>
      <c r="H718" s="74"/>
      <c r="I718" s="74" t="str">
        <f>IFERROR(__xludf.DUMMYFUNCTION("""COMPUTED_VALUE"""),"som20293")</f>
        <v>som20293</v>
      </c>
      <c r="J718" s="74" t="str">
        <f>IFERROR(__xludf.DUMMYFUNCTION("""COMPUTED_VALUE"""),"277484006")</f>
        <v>277484006</v>
      </c>
      <c r="K718" s="74" t="str">
        <f>IFERROR(__xludf.DUMMYFUNCTION("""COMPUTED_VALUE"""),"Putzmeister")</f>
        <v>Putzmeister</v>
      </c>
      <c r="L718" s="74" t="str">
        <f>IFERROR(__xludf.DUMMYFUNCTION("""COMPUTED_VALUE"""),"Componentes hidráulicos")</f>
        <v>Componentes hidráulicos</v>
      </c>
      <c r="M718" s="74" t="str">
        <f>IFERROR(__xludf.DUMMYFUNCTION("""COMPUTED_VALUE"""),"Sin Asignar")</f>
        <v>Sin Asignar</v>
      </c>
      <c r="N718" s="87">
        <f>IFERROR(__xludf.DUMMYFUNCTION("""COMPUTED_VALUE"""),0.0)</f>
        <v>0</v>
      </c>
      <c r="O718" s="74"/>
      <c r="P718" s="74" t="str">
        <f>IFERROR(__xludf.DUMMYFUNCTION("""COMPUTED_VALUE"""),"No Available")</f>
        <v>No Available</v>
      </c>
      <c r="Q718" s="74"/>
      <c r="R718" s="74"/>
      <c r="S718" s="87">
        <f>IFERROR(__xludf.DUMMYFUNCTION("""COMPUTED_VALUE"""),0.0)</f>
        <v>0</v>
      </c>
      <c r="T718" s="87">
        <f>IFERROR(__xludf.DUMMYFUNCTION("""COMPUTED_VALUE"""),0.0)</f>
        <v>0</v>
      </c>
      <c r="U718" s="87">
        <f>IFERROR(__xludf.DUMMYFUNCTION("""COMPUTED_VALUE"""),0.0)</f>
        <v>0</v>
      </c>
      <c r="V718" s="87">
        <f>IFERROR(__xludf.DUMMYFUNCTION("""COMPUTED_VALUE"""),0.0)</f>
        <v>0</v>
      </c>
      <c r="W718" s="87">
        <f>IFERROR(__xludf.DUMMYFUNCTION("""COMPUTED_VALUE"""),0.0)</f>
        <v>0</v>
      </c>
      <c r="X718" s="88"/>
      <c r="Y718" s="74"/>
      <c r="Z718" s="74"/>
    </row>
    <row r="719">
      <c r="B719" s="74" t="str">
        <f>IFERROR(__xludf.DUMMYFUNCTION("""COMPUTED_VALUE"""),"1716")</f>
        <v>1716</v>
      </c>
      <c r="C719" s="74"/>
      <c r="D719" s="74" t="str">
        <f>IFERROR(__xludf.DUMMYFUNCTION("""COMPUTED_VALUE"""),"\\MCA-S\mk\2_BM\0_BMat\08_PYM\Inventario\excel\Imagen de refacciones\Putzmeister\PM OIL RADIATOR _ Radiador de aceite PM")</f>
        <v>\\MCA-S\mk\2_BM\0_BMat\08_PYM\Inventario\excel\Imagen de refacciones\Putzmeister\PM OIL RADIATOR _ Radiador de aceite PM</v>
      </c>
      <c r="E719" s="74"/>
      <c r="F719" s="74" t="str">
        <f>IFERROR(__xludf.DUMMYFUNCTION("""COMPUTED_VALUE"""),"PM OIL RADIATOR / Radiador de aceite PM")</f>
        <v>PM OIL RADIATOR / Radiador de aceite PM</v>
      </c>
      <c r="G719" s="74"/>
      <c r="H719" s="74"/>
      <c r="I719" s="74" t="str">
        <f>IFERROR(__xludf.DUMMYFUNCTION("""COMPUTED_VALUE"""),"SOM20294")</f>
        <v>SOM20294</v>
      </c>
      <c r="J719" s="74" t="str">
        <f>IFERROR(__xludf.DUMMYFUNCTION("""COMPUTED_VALUE"""),"66337005")</f>
        <v>66337005</v>
      </c>
      <c r="K719" s="74" t="str">
        <f>IFERROR(__xludf.DUMMYFUNCTION("""COMPUTED_VALUE"""),"Putzmeister")</f>
        <v>Putzmeister</v>
      </c>
      <c r="L719" s="74" t="str">
        <f>IFERROR(__xludf.DUMMYFUNCTION("""COMPUTED_VALUE"""),"Componentes hidráulicos")</f>
        <v>Componentes hidráulicos</v>
      </c>
      <c r="M719" s="74" t="str">
        <f>IFERROR(__xludf.DUMMYFUNCTION("""COMPUTED_VALUE"""),"Sin Asignar")</f>
        <v>Sin Asignar</v>
      </c>
      <c r="N719" s="87">
        <f>IFERROR(__xludf.DUMMYFUNCTION("""COMPUTED_VALUE"""),0.0)</f>
        <v>0</v>
      </c>
      <c r="O719" s="74"/>
      <c r="P719" s="74" t="str">
        <f>IFERROR(__xludf.DUMMYFUNCTION("""COMPUTED_VALUE"""),"No Available")</f>
        <v>No Available</v>
      </c>
      <c r="Q719" s="74"/>
      <c r="R719" s="74"/>
      <c r="S719" s="87">
        <f>IFERROR(__xludf.DUMMYFUNCTION("""COMPUTED_VALUE"""),0.0)</f>
        <v>0</v>
      </c>
      <c r="T719" s="87">
        <f>IFERROR(__xludf.DUMMYFUNCTION("""COMPUTED_VALUE"""),0.0)</f>
        <v>0</v>
      </c>
      <c r="U719" s="87">
        <f>IFERROR(__xludf.DUMMYFUNCTION("""COMPUTED_VALUE"""),0.0)</f>
        <v>0</v>
      </c>
      <c r="V719" s="87">
        <f>IFERROR(__xludf.DUMMYFUNCTION("""COMPUTED_VALUE"""),0.0)</f>
        <v>0</v>
      </c>
      <c r="W719" s="87">
        <f>IFERROR(__xludf.DUMMYFUNCTION("""COMPUTED_VALUE"""),0.0)</f>
        <v>0</v>
      </c>
      <c r="X719" s="88"/>
      <c r="Y719" s="74"/>
      <c r="Z719" s="74"/>
    </row>
    <row r="720">
      <c r="B720" s="74" t="str">
        <f>IFERROR(__xludf.DUMMYFUNCTION("""COMPUTED_VALUE"""),"1717")</f>
        <v>1717</v>
      </c>
      <c r="C720" s="74"/>
      <c r="D720" s="74" t="str">
        <f>IFERROR(__xludf.DUMMYFUNCTION("""COMPUTED_VALUE"""),"\\MCA-S\mk\2_BM\0_BMat\08_PYM\Inventario\excel\Imagen de refacciones\Putzmeister\REPLACEMENT FAN FOR HYD OIL COOLER _ Ventilador de repuesto para enfriador de aceite HYS")</f>
        <v>\\MCA-S\mk\2_BM\0_BMat\08_PYM\Inventario\excel\Imagen de refacciones\Putzmeister\REPLACEMENT FAN FOR HYD OIL COOLER _ Ventilador de repuesto para enfriador de aceite HYS</v>
      </c>
      <c r="E720" s="74"/>
      <c r="F720" s="74" t="str">
        <f>IFERROR(__xludf.DUMMYFUNCTION("""COMPUTED_VALUE"""),"REPLACEMENT FAN FOR HYD OIL COOLER / Ventilador de repuesto para enfriador de aceite HYS")</f>
        <v>REPLACEMENT FAN FOR HYD OIL COOLER / Ventilador de repuesto para enfriador de aceite HYS</v>
      </c>
      <c r="G720" s="74"/>
      <c r="H720" s="74"/>
      <c r="I720" s="74" t="str">
        <f>IFERROR(__xludf.DUMMYFUNCTION("""COMPUTED_VALUE"""),"SOM20296")</f>
        <v>SOM20296</v>
      </c>
      <c r="J720" s="74" t="str">
        <f>IFERROR(__xludf.DUMMYFUNCTION("""COMPUTED_VALUE"""),"573969 / 409337")</f>
        <v>573969 / 409337</v>
      </c>
      <c r="K720" s="74" t="str">
        <f>IFERROR(__xludf.DUMMYFUNCTION("""COMPUTED_VALUE"""),"Putzmeister")</f>
        <v>Putzmeister</v>
      </c>
      <c r="L720" s="74" t="str">
        <f>IFERROR(__xludf.DUMMYFUNCTION("""COMPUTED_VALUE"""),"Componentes hidráulicos")</f>
        <v>Componentes hidráulicos</v>
      </c>
      <c r="M720" s="74" t="str">
        <f>IFERROR(__xludf.DUMMYFUNCTION("""COMPUTED_VALUE"""),"Sin Asignar")</f>
        <v>Sin Asignar</v>
      </c>
      <c r="N720" s="87">
        <f>IFERROR(__xludf.DUMMYFUNCTION("""COMPUTED_VALUE"""),0.0)</f>
        <v>0</v>
      </c>
      <c r="O720" s="74"/>
      <c r="P720" s="74" t="str">
        <f>IFERROR(__xludf.DUMMYFUNCTION("""COMPUTED_VALUE"""),"No Available")</f>
        <v>No Available</v>
      </c>
      <c r="Q720" s="74"/>
      <c r="R720" s="74"/>
      <c r="S720" s="87">
        <f>IFERROR(__xludf.DUMMYFUNCTION("""COMPUTED_VALUE"""),0.0)</f>
        <v>0</v>
      </c>
      <c r="T720" s="87">
        <f>IFERROR(__xludf.DUMMYFUNCTION("""COMPUTED_VALUE"""),0.0)</f>
        <v>0</v>
      </c>
      <c r="U720" s="87">
        <f>IFERROR(__xludf.DUMMYFUNCTION("""COMPUTED_VALUE"""),0.0)</f>
        <v>0</v>
      </c>
      <c r="V720" s="87">
        <f>IFERROR(__xludf.DUMMYFUNCTION("""COMPUTED_VALUE"""),0.0)</f>
        <v>0</v>
      </c>
      <c r="W720" s="87">
        <f>IFERROR(__xludf.DUMMYFUNCTION("""COMPUTED_VALUE"""),0.0)</f>
        <v>0</v>
      </c>
      <c r="X720" s="88"/>
      <c r="Y720" s="74"/>
      <c r="Z720" s="74"/>
    </row>
    <row r="721">
      <c r="B721" s="74" t="str">
        <f>IFERROR(__xludf.DUMMYFUNCTION("""COMPUTED_VALUE"""),"1718")</f>
        <v>1718</v>
      </c>
      <c r="C721" s="74"/>
      <c r="D721" s="74" t="str">
        <f>IFERROR(__xludf.DUMMYFUNCTION("""COMPUTED_VALUE"""),"\\MCA-S\mk\2_BM\0_BMat\08_PYM\Inventario\excel\Imagen de refacciones\Putzmeister\Electric motor 24 V _ Motor eléctrico 24V")</f>
        <v>\\MCA-S\mk\2_BM\0_BMat\08_PYM\Inventario\excel\Imagen de refacciones\Putzmeister\Electric motor 24 V _ Motor eléctrico 24V</v>
      </c>
      <c r="E721" s="74"/>
      <c r="F721" s="74" t="str">
        <f>IFERROR(__xludf.DUMMYFUNCTION("""COMPUTED_VALUE"""),"ENGRASADORA AUTOMÁTICA PARA BOMBA DE HORMIGON")</f>
        <v>ENGRASADORA AUTOMÁTICA PARA BOMBA DE HORMIGON</v>
      </c>
      <c r="G721" s="74"/>
      <c r="H721" s="74"/>
      <c r="I721" s="74" t="str">
        <f>IFERROR(__xludf.DUMMYFUNCTION("""COMPUTED_VALUE"""),"SOM20297")</f>
        <v>SOM20297</v>
      </c>
      <c r="J721" s="74" t="str">
        <f>IFERROR(__xludf.DUMMYFUNCTION("""COMPUTED_VALUE"""),"66355003")</f>
        <v>66355003</v>
      </c>
      <c r="K721" s="74" t="str">
        <f>IFERROR(__xludf.DUMMYFUNCTION("""COMPUTED_VALUE"""),"Putzmeister")</f>
        <v>Putzmeister</v>
      </c>
      <c r="L721" s="74" t="str">
        <f>IFERROR(__xludf.DUMMYFUNCTION("""COMPUTED_VALUE"""),"Componentes eléctricos")</f>
        <v>Componentes eléctricos</v>
      </c>
      <c r="M721" s="74" t="str">
        <f>IFERROR(__xludf.DUMMYFUNCTION("""COMPUTED_VALUE"""),"Sin Asignar")</f>
        <v>Sin Asignar</v>
      </c>
      <c r="N721" s="87">
        <f>IFERROR(__xludf.DUMMYFUNCTION("""COMPUTED_VALUE"""),0.0)</f>
        <v>0</v>
      </c>
      <c r="O721" s="74"/>
      <c r="P721" s="74" t="str">
        <f>IFERROR(__xludf.DUMMYFUNCTION("""COMPUTED_VALUE"""),"borrar")</f>
        <v>borrar</v>
      </c>
      <c r="Q721" s="74"/>
      <c r="R721" s="74"/>
      <c r="S721" s="87">
        <f>IFERROR(__xludf.DUMMYFUNCTION("""COMPUTED_VALUE"""),0.0)</f>
        <v>0</v>
      </c>
      <c r="T721" s="87">
        <f>IFERROR(__xludf.DUMMYFUNCTION("""COMPUTED_VALUE"""),0.0)</f>
        <v>0</v>
      </c>
      <c r="U721" s="87">
        <f>IFERROR(__xludf.DUMMYFUNCTION("""COMPUTED_VALUE"""),0.0)</f>
        <v>0</v>
      </c>
      <c r="V721" s="87">
        <f>IFERROR(__xludf.DUMMYFUNCTION("""COMPUTED_VALUE"""),0.0)</f>
        <v>0</v>
      </c>
      <c r="W721" s="87">
        <f>IFERROR(__xludf.DUMMYFUNCTION("""COMPUTED_VALUE"""),0.0)</f>
        <v>0</v>
      </c>
      <c r="X721" s="88"/>
      <c r="Y721" s="74"/>
      <c r="Z721" s="74"/>
    </row>
    <row r="722">
      <c r="B722" s="74" t="str">
        <f>IFERROR(__xludf.DUMMYFUNCTION("""COMPUTED_VALUE"""),"1719")</f>
        <v>1719</v>
      </c>
      <c r="C722" s="74"/>
      <c r="D722" s="74" t="str">
        <f>IFERROR(__xludf.DUMMYFUNCTION("""COMPUTED_VALUE"""),"\\MCA-S\mk\2_BM\0_BMat\08_PYM\Inventario\excel\Imagen de refacciones\Putzmeister\Temperature transmitter 55 degree C _ Transmisor de temperatura 55°C")</f>
        <v>\\MCA-S\mk\2_BM\0_BMat\08_PYM\Inventario\excel\Imagen de refacciones\Putzmeister\Temperature transmitter 55 degree C _ Transmisor de temperatura 55°C</v>
      </c>
      <c r="E722" s="74"/>
      <c r="F722" s="74" t="str">
        <f>IFERROR(__xludf.DUMMYFUNCTION("""COMPUTED_VALUE"""),"Temperature transmitter 55 degree C / Transmisor de temperatura 55°C")</f>
        <v>Temperature transmitter 55 degree C / Transmisor de temperatura 55°C</v>
      </c>
      <c r="G722" s="74"/>
      <c r="H722" s="74"/>
      <c r="I722" s="74" t="str">
        <f>IFERROR(__xludf.DUMMYFUNCTION("""COMPUTED_VALUE"""),"SOM20298")</f>
        <v>SOM20298</v>
      </c>
      <c r="J722" s="74" t="str">
        <f>IFERROR(__xludf.DUMMYFUNCTION("""COMPUTED_VALUE"""),"6786005")</f>
        <v>6786005</v>
      </c>
      <c r="K722" s="74" t="str">
        <f>IFERROR(__xludf.DUMMYFUNCTION("""COMPUTED_VALUE"""),"Putzmeister")</f>
        <v>Putzmeister</v>
      </c>
      <c r="L722" s="74" t="str">
        <f>IFERROR(__xludf.DUMMYFUNCTION("""COMPUTED_VALUE"""),"Elementos de medición y control")</f>
        <v>Elementos de medición y control</v>
      </c>
      <c r="M722" s="74" t="str">
        <f>IFERROR(__xludf.DUMMYFUNCTION("""COMPUTED_VALUE"""),"Sin Asignar")</f>
        <v>Sin Asignar</v>
      </c>
      <c r="N722" s="87">
        <f>IFERROR(__xludf.DUMMYFUNCTION("""COMPUTED_VALUE"""),0.0)</f>
        <v>0</v>
      </c>
      <c r="O722" s="74"/>
      <c r="P722" s="74" t="str">
        <f>IFERROR(__xludf.DUMMYFUNCTION("""COMPUTED_VALUE"""),"No Available")</f>
        <v>No Available</v>
      </c>
      <c r="Q722" s="74"/>
      <c r="R722" s="74"/>
      <c r="S722" s="87">
        <f>IFERROR(__xludf.DUMMYFUNCTION("""COMPUTED_VALUE"""),0.0)</f>
        <v>0</v>
      </c>
      <c r="T722" s="87">
        <f>IFERROR(__xludf.DUMMYFUNCTION("""COMPUTED_VALUE"""),0.0)</f>
        <v>0</v>
      </c>
      <c r="U722" s="87">
        <f>IFERROR(__xludf.DUMMYFUNCTION("""COMPUTED_VALUE"""),0.0)</f>
        <v>0</v>
      </c>
      <c r="V722" s="87">
        <f>IFERROR(__xludf.DUMMYFUNCTION("""COMPUTED_VALUE"""),0.0)</f>
        <v>0</v>
      </c>
      <c r="W722" s="87">
        <f>IFERROR(__xludf.DUMMYFUNCTION("""COMPUTED_VALUE"""),0.0)</f>
        <v>0</v>
      </c>
      <c r="X722" s="88"/>
      <c r="Y722" s="74"/>
      <c r="Z722" s="74"/>
    </row>
    <row r="723">
      <c r="B723" s="74" t="str">
        <f>IFERROR(__xludf.DUMMYFUNCTION("""COMPUTED_VALUE"""),"1720")</f>
        <v>1720</v>
      </c>
      <c r="C723" s="74"/>
      <c r="D723" s="74" t="str">
        <f>IFERROR(__xludf.DUMMYFUNCTION("""COMPUTED_VALUE"""),"\\MCA-S\mk\2_BM\0_BMat\08_PYM\Inventario\excel\Imagen de refacciones\Putzmeister\temperature transmitter 90 degree c _ Transmisor de temperatura 90°C")</f>
        <v>\\MCA-S\mk\2_BM\0_BMat\08_PYM\Inventario\excel\Imagen de refacciones\Putzmeister\temperature transmitter 90 degree c _ Transmisor de temperatura 90°C</v>
      </c>
      <c r="E723" s="74"/>
      <c r="F723" s="74" t="str">
        <f>IFERROR(__xludf.DUMMYFUNCTION("""COMPUTED_VALUE"""),"temperature transmitter 90 degree c / Transmisor de temperatura 90°C")</f>
        <v>temperature transmitter 90 degree c / Transmisor de temperatura 90°C</v>
      </c>
      <c r="G723" s="74"/>
      <c r="H723" s="74"/>
      <c r="I723" s="74" t="str">
        <f>IFERROR(__xludf.DUMMYFUNCTION("""COMPUTED_VALUE"""),"SOM20300")</f>
        <v>SOM20300</v>
      </c>
      <c r="J723" s="74" t="str">
        <f>IFERROR(__xludf.DUMMYFUNCTION("""COMPUTED_VALUE"""),"283611009")</f>
        <v>283611009</v>
      </c>
      <c r="K723" s="74" t="str">
        <f>IFERROR(__xludf.DUMMYFUNCTION("""COMPUTED_VALUE"""),"Putzmeister")</f>
        <v>Putzmeister</v>
      </c>
      <c r="L723" s="74" t="str">
        <f>IFERROR(__xludf.DUMMYFUNCTION("""COMPUTED_VALUE"""),"Elementos de medición y control")</f>
        <v>Elementos de medición y control</v>
      </c>
      <c r="M723" s="74" t="str">
        <f>IFERROR(__xludf.DUMMYFUNCTION("""COMPUTED_VALUE"""),"Sin Asignar")</f>
        <v>Sin Asignar</v>
      </c>
      <c r="N723" s="87">
        <f>IFERROR(__xludf.DUMMYFUNCTION("""COMPUTED_VALUE"""),0.0)</f>
        <v>0</v>
      </c>
      <c r="O723" s="74"/>
      <c r="P723" s="74" t="str">
        <f>IFERROR(__xludf.DUMMYFUNCTION("""COMPUTED_VALUE"""),"borrar")</f>
        <v>borrar</v>
      </c>
      <c r="Q723" s="74"/>
      <c r="R723" s="74"/>
      <c r="S723" s="87">
        <f>IFERROR(__xludf.DUMMYFUNCTION("""COMPUTED_VALUE"""),0.0)</f>
        <v>0</v>
      </c>
      <c r="T723" s="87">
        <f>IFERROR(__xludf.DUMMYFUNCTION("""COMPUTED_VALUE"""),0.0)</f>
        <v>0</v>
      </c>
      <c r="U723" s="87">
        <f>IFERROR(__xludf.DUMMYFUNCTION("""COMPUTED_VALUE"""),0.0)</f>
        <v>0</v>
      </c>
      <c r="V723" s="87">
        <f>IFERROR(__xludf.DUMMYFUNCTION("""COMPUTED_VALUE"""),0.0)</f>
        <v>0</v>
      </c>
      <c r="W723" s="87">
        <f>IFERROR(__xludf.DUMMYFUNCTION("""COMPUTED_VALUE"""),0.0)</f>
        <v>0</v>
      </c>
      <c r="X723" s="88"/>
      <c r="Y723" s="74"/>
      <c r="Z723" s="74"/>
    </row>
    <row r="724">
      <c r="B724" s="74" t="str">
        <f>IFERROR(__xludf.DUMMYFUNCTION("""COMPUTED_VALUE"""),"1721")</f>
        <v>1721</v>
      </c>
      <c r="C724" s="74"/>
      <c r="D724" s="74" t="str">
        <f>IFERROR(__xludf.DUMMYFUNCTION("""COMPUTED_VALUE"""),"\\MCA-S\mk\2_BM\0_BMat\08_PYM\Inventario\excel\Imagen de refacciones\Putzmeister\Temperature transmitter _ Transmisor de temperatura")</f>
        <v>\\MCA-S\mk\2_BM\0_BMat\08_PYM\Inventario\excel\Imagen de refacciones\Putzmeister\Temperature transmitter _ Transmisor de temperatura</v>
      </c>
      <c r="E724" s="74"/>
      <c r="F724" s="74" t="str">
        <f>IFERROR(__xludf.DUMMYFUNCTION("""COMPUTED_VALUE"""),"Temperature transmitter / Transmisor de temperatura")</f>
        <v>Temperature transmitter / Transmisor de temperatura</v>
      </c>
      <c r="G724" s="74"/>
      <c r="H724" s="74"/>
      <c r="I724" s="74" t="str">
        <f>IFERROR(__xludf.DUMMYFUNCTION("""COMPUTED_VALUE"""),"SOM20302")</f>
        <v>SOM20302</v>
      </c>
      <c r="J724" s="74" t="str">
        <f>IFERROR(__xludf.DUMMYFUNCTION("""COMPUTED_VALUE"""),"18098004")</f>
        <v>18098004</v>
      </c>
      <c r="K724" s="74" t="str">
        <f>IFERROR(__xludf.DUMMYFUNCTION("""COMPUTED_VALUE"""),"Putzmeister")</f>
        <v>Putzmeister</v>
      </c>
      <c r="L724" s="74" t="str">
        <f>IFERROR(__xludf.DUMMYFUNCTION("""COMPUTED_VALUE"""),"Elementos de medición y control")</f>
        <v>Elementos de medición y control</v>
      </c>
      <c r="M724" s="74" t="str">
        <f>IFERROR(__xludf.DUMMYFUNCTION("""COMPUTED_VALUE"""),"Sin Asignar")</f>
        <v>Sin Asignar</v>
      </c>
      <c r="N724" s="87">
        <f>IFERROR(__xludf.DUMMYFUNCTION("""COMPUTED_VALUE"""),0.0)</f>
        <v>0</v>
      </c>
      <c r="O724" s="74"/>
      <c r="P724" s="74" t="str">
        <f>IFERROR(__xludf.DUMMYFUNCTION("""COMPUTED_VALUE"""),"borrar")</f>
        <v>borrar</v>
      </c>
      <c r="Q724" s="74"/>
      <c r="R724" s="74"/>
      <c r="S724" s="87">
        <f>IFERROR(__xludf.DUMMYFUNCTION("""COMPUTED_VALUE"""),0.0)</f>
        <v>0</v>
      </c>
      <c r="T724" s="87">
        <f>IFERROR(__xludf.DUMMYFUNCTION("""COMPUTED_VALUE"""),0.0)</f>
        <v>0</v>
      </c>
      <c r="U724" s="87">
        <f>IFERROR(__xludf.DUMMYFUNCTION("""COMPUTED_VALUE"""),0.0)</f>
        <v>0</v>
      </c>
      <c r="V724" s="87">
        <f>IFERROR(__xludf.DUMMYFUNCTION("""COMPUTED_VALUE"""),0.0)</f>
        <v>0</v>
      </c>
      <c r="W724" s="87">
        <f>IFERROR(__xludf.DUMMYFUNCTION("""COMPUTED_VALUE"""),0.0)</f>
        <v>0</v>
      </c>
      <c r="X724" s="88"/>
      <c r="Y724" s="74"/>
      <c r="Z724" s="74"/>
    </row>
    <row r="725">
      <c r="B725" s="74" t="str">
        <f>IFERROR(__xludf.DUMMYFUNCTION("""COMPUTED_VALUE"""),"1722")</f>
        <v>1722</v>
      </c>
      <c r="C725" s="74"/>
      <c r="D725" s="74" t="str">
        <f>IFERROR(__xludf.DUMMYFUNCTION("""COMPUTED_VALUE"""),"\\MCA-S\mk\2_BM\0_BMat\08_PYM\Inventario\excel\Imagen de refacciones\Putzmeister\Control box 24 VDC for ZSK _ Caja de control 24 VDC para ZSK")</f>
        <v>\\MCA-S\mk\2_BM\0_BMat\08_PYM\Inventario\excel\Imagen de refacciones\Putzmeister\Control box 24 VDC for ZSK _ Caja de control 24 VDC para ZSK</v>
      </c>
      <c r="E725" s="74"/>
      <c r="F725" s="74" t="str">
        <f>IFERROR(__xludf.DUMMYFUNCTION("""COMPUTED_VALUE"""),"Control box 24 VDC for ZSK / Caja de control 24 VDC para ZSK")</f>
        <v>Control box 24 VDC for ZSK / Caja de control 24 VDC para ZSK</v>
      </c>
      <c r="G725" s="74"/>
      <c r="H725" s="74"/>
      <c r="I725" s="74" t="str">
        <f>IFERROR(__xludf.DUMMYFUNCTION("""COMPUTED_VALUE"""),"SOM20304")</f>
        <v>SOM20304</v>
      </c>
      <c r="J725" s="74" t="str">
        <f>IFERROR(__xludf.DUMMYFUNCTION("""COMPUTED_VALUE"""),"493715")</f>
        <v>493715</v>
      </c>
      <c r="K725" s="74" t="str">
        <f>IFERROR(__xludf.DUMMYFUNCTION("""COMPUTED_VALUE"""),"Putzmeister")</f>
        <v>Putzmeister</v>
      </c>
      <c r="L725" s="74" t="str">
        <f>IFERROR(__xludf.DUMMYFUNCTION("""COMPUTED_VALUE"""),"Componentes eléctricos")</f>
        <v>Componentes eléctricos</v>
      </c>
      <c r="M725" s="74" t="str">
        <f>IFERROR(__xludf.DUMMYFUNCTION("""COMPUTED_VALUE"""),"Sin Asignar")</f>
        <v>Sin Asignar</v>
      </c>
      <c r="N725" s="87">
        <f>IFERROR(__xludf.DUMMYFUNCTION("""COMPUTED_VALUE"""),0.0)</f>
        <v>0</v>
      </c>
      <c r="O725" s="74"/>
      <c r="P725" s="74" t="str">
        <f>IFERROR(__xludf.DUMMYFUNCTION("""COMPUTED_VALUE"""),"No Available")</f>
        <v>No Available</v>
      </c>
      <c r="Q725" s="74"/>
      <c r="R725" s="74"/>
      <c r="S725" s="87">
        <f>IFERROR(__xludf.DUMMYFUNCTION("""COMPUTED_VALUE"""),0.0)</f>
        <v>0</v>
      </c>
      <c r="T725" s="87">
        <f>IFERROR(__xludf.DUMMYFUNCTION("""COMPUTED_VALUE"""),0.0)</f>
        <v>0</v>
      </c>
      <c r="U725" s="87">
        <f>IFERROR(__xludf.DUMMYFUNCTION("""COMPUTED_VALUE"""),0.0)</f>
        <v>0</v>
      </c>
      <c r="V725" s="87">
        <f>IFERROR(__xludf.DUMMYFUNCTION("""COMPUTED_VALUE"""),0.0)</f>
        <v>0</v>
      </c>
      <c r="W725" s="87">
        <f>IFERROR(__xludf.DUMMYFUNCTION("""COMPUTED_VALUE"""),0.0)</f>
        <v>0</v>
      </c>
      <c r="X725" s="88"/>
      <c r="Y725" s="74"/>
      <c r="Z725" s="74"/>
    </row>
    <row r="726">
      <c r="B726" s="74" t="str">
        <f>IFERROR(__xludf.DUMMYFUNCTION("""COMPUTED_VALUE"""),"1723")</f>
        <v>1723</v>
      </c>
      <c r="C726" s="74"/>
      <c r="D726" s="74" t="str">
        <f>IFERROR(__xludf.DUMMYFUNCTION("""COMPUTED_VALUE"""),"\\MCA-S\mk\2_BM\0_BMat\08_PYM\Inventario\excel\Imagen de refacciones\Putzmeister\Swichtbox 24V _ Caja de interruptores 24V")</f>
        <v>\\MCA-S\mk\2_BM\0_BMat\08_PYM\Inventario\excel\Imagen de refacciones\Putzmeister\Swichtbox 24V _ Caja de interruptores 24V</v>
      </c>
      <c r="E726" s="74"/>
      <c r="F726" s="74" t="str">
        <f>IFERROR(__xludf.DUMMYFUNCTION("""COMPUTED_VALUE"""),"Swichtbox 24V / Caja de interruptores 24V")</f>
        <v>Swichtbox 24V / Caja de interruptores 24V</v>
      </c>
      <c r="G726" s="74"/>
      <c r="H726" s="74"/>
      <c r="I726" s="74" t="str">
        <f>IFERROR(__xludf.DUMMYFUNCTION("""COMPUTED_VALUE"""),"SOM20305")</f>
        <v>SOM20305</v>
      </c>
      <c r="J726" s="74" t="str">
        <f>IFERROR(__xludf.DUMMYFUNCTION("""COMPUTED_VALUE"""),"238390003")</f>
        <v>238390003</v>
      </c>
      <c r="K726" s="74" t="str">
        <f>IFERROR(__xludf.DUMMYFUNCTION("""COMPUTED_VALUE"""),"Putzmeister")</f>
        <v>Putzmeister</v>
      </c>
      <c r="L726" s="74" t="str">
        <f>IFERROR(__xludf.DUMMYFUNCTION("""COMPUTED_VALUE"""),"Componentes eléctricos")</f>
        <v>Componentes eléctricos</v>
      </c>
      <c r="M726" s="74" t="str">
        <f>IFERROR(__xludf.DUMMYFUNCTION("""COMPUTED_VALUE"""),"Sin Asignar")</f>
        <v>Sin Asignar</v>
      </c>
      <c r="N726" s="87">
        <f>IFERROR(__xludf.DUMMYFUNCTION("""COMPUTED_VALUE"""),0.0)</f>
        <v>0</v>
      </c>
      <c r="O726" s="74"/>
      <c r="P726" s="74" t="str">
        <f>IFERROR(__xludf.DUMMYFUNCTION("""COMPUTED_VALUE"""),"No Available")</f>
        <v>No Available</v>
      </c>
      <c r="Q726" s="74"/>
      <c r="R726" s="74"/>
      <c r="S726" s="87">
        <f>IFERROR(__xludf.DUMMYFUNCTION("""COMPUTED_VALUE"""),0.0)</f>
        <v>0</v>
      </c>
      <c r="T726" s="87">
        <f>IFERROR(__xludf.DUMMYFUNCTION("""COMPUTED_VALUE"""),0.0)</f>
        <v>0</v>
      </c>
      <c r="U726" s="87">
        <f>IFERROR(__xludf.DUMMYFUNCTION("""COMPUTED_VALUE"""),0.0)</f>
        <v>0</v>
      </c>
      <c r="V726" s="87">
        <f>IFERROR(__xludf.DUMMYFUNCTION("""COMPUTED_VALUE"""),0.0)</f>
        <v>0</v>
      </c>
      <c r="W726" s="87">
        <f>IFERROR(__xludf.DUMMYFUNCTION("""COMPUTED_VALUE"""),0.0)</f>
        <v>0</v>
      </c>
      <c r="X726" s="88"/>
      <c r="Y726" s="74"/>
      <c r="Z726" s="74"/>
    </row>
    <row r="727">
      <c r="B727" s="74" t="str">
        <f>IFERROR(__xludf.DUMMYFUNCTION("""COMPUTED_VALUE"""),"1724")</f>
        <v>1724</v>
      </c>
      <c r="C727" s="74"/>
      <c r="D727" s="74" t="str">
        <f>IFERROR(__xludf.DUMMYFUNCTION("""COMPUTED_VALUE"""),"\\MCA-S\mk\2_BM\0_BMat\08_PYM\Inventario\excel\Imagen de refacciones\Putzmeister\Change _ over relay 24 V _ Relé de conmutación 24V")</f>
        <v>\\MCA-S\mk\2_BM\0_BMat\08_PYM\Inventario\excel\Imagen de refacciones\Putzmeister\Change _ over relay 24 V _ Relé de conmutación 24V</v>
      </c>
      <c r="E727" s="74"/>
      <c r="F727" s="74" t="str">
        <f>IFERROR(__xludf.DUMMYFUNCTION("""COMPUTED_VALUE"""),"Change / over relay 24 V / Relé de conmutación 24V")</f>
        <v>Change / over relay 24 V / Relé de conmutación 24V</v>
      </c>
      <c r="G727" s="74"/>
      <c r="H727" s="74"/>
      <c r="I727" s="74" t="str">
        <f>IFERROR(__xludf.DUMMYFUNCTION("""COMPUTED_VALUE"""),"SOM20306")</f>
        <v>SOM20306</v>
      </c>
      <c r="J727" s="74" t="str">
        <f>IFERROR(__xludf.DUMMYFUNCTION("""COMPUTED_VALUE"""),"65034008")</f>
        <v>65034008</v>
      </c>
      <c r="K727" s="74" t="str">
        <f>IFERROR(__xludf.DUMMYFUNCTION("""COMPUTED_VALUE"""),"Putzmeister")</f>
        <v>Putzmeister</v>
      </c>
      <c r="L727" s="74" t="str">
        <f>IFERROR(__xludf.DUMMYFUNCTION("""COMPUTED_VALUE"""),"Componentes eléctricos")</f>
        <v>Componentes eléctricos</v>
      </c>
      <c r="M727" s="74" t="str">
        <f>IFERROR(__xludf.DUMMYFUNCTION("""COMPUTED_VALUE"""),"Sin Asignar")</f>
        <v>Sin Asignar</v>
      </c>
      <c r="N727" s="87">
        <f>IFERROR(__xludf.DUMMYFUNCTION("""COMPUTED_VALUE"""),0.0)</f>
        <v>0</v>
      </c>
      <c r="O727" s="74"/>
      <c r="P727" s="74" t="str">
        <f>IFERROR(__xludf.DUMMYFUNCTION("""COMPUTED_VALUE"""),"No Available")</f>
        <v>No Available</v>
      </c>
      <c r="Q727" s="74"/>
      <c r="R727" s="74"/>
      <c r="S727" s="87">
        <f>IFERROR(__xludf.DUMMYFUNCTION("""COMPUTED_VALUE"""),0.0)</f>
        <v>0</v>
      </c>
      <c r="T727" s="87">
        <f>IFERROR(__xludf.DUMMYFUNCTION("""COMPUTED_VALUE"""),0.0)</f>
        <v>0</v>
      </c>
      <c r="U727" s="87">
        <f>IFERROR(__xludf.DUMMYFUNCTION("""COMPUTED_VALUE"""),0.0)</f>
        <v>0</v>
      </c>
      <c r="V727" s="87">
        <f>IFERROR(__xludf.DUMMYFUNCTION("""COMPUTED_VALUE"""),0.0)</f>
        <v>0</v>
      </c>
      <c r="W727" s="87">
        <f>IFERROR(__xludf.DUMMYFUNCTION("""COMPUTED_VALUE"""),0.0)</f>
        <v>0</v>
      </c>
      <c r="X727" s="88"/>
      <c r="Y727" s="74"/>
      <c r="Z727" s="74"/>
    </row>
    <row r="728">
      <c r="B728" s="74" t="str">
        <f>IFERROR(__xludf.DUMMYFUNCTION("""COMPUTED_VALUE"""),"1725")</f>
        <v>1725</v>
      </c>
      <c r="C728" s="74"/>
      <c r="D728" s="74" t="str">
        <f>IFERROR(__xludf.DUMMYFUNCTION("""COMPUTED_VALUE"""),"\\MCA-S\mk\2_BM\0_BMat\08_PYM\Inventario\excel\Imagen de refacciones\Putzmeister\Relay 24V _ Relé 24V")</f>
        <v>\\MCA-S\mk\2_BM\0_BMat\08_PYM\Inventario\excel\Imagen de refacciones\Putzmeister\Relay 24V _ Relé 24V</v>
      </c>
      <c r="E728" s="74"/>
      <c r="F728" s="74" t="str">
        <f>IFERROR(__xludf.DUMMYFUNCTION("""COMPUTED_VALUE"""),"Relay 24V / Relé 24V")</f>
        <v>Relay 24V / Relé 24V</v>
      </c>
      <c r="G728" s="74"/>
      <c r="H728" s="74"/>
      <c r="I728" s="74" t="str">
        <f>IFERROR(__xludf.DUMMYFUNCTION("""COMPUTED_VALUE"""),"SOM20307")</f>
        <v>SOM20307</v>
      </c>
      <c r="J728" s="74" t="str">
        <f>IFERROR(__xludf.DUMMYFUNCTION("""COMPUTED_VALUE"""),"225684007")</f>
        <v>225684007</v>
      </c>
      <c r="K728" s="74" t="str">
        <f>IFERROR(__xludf.DUMMYFUNCTION("""COMPUTED_VALUE"""),"Putzmeister")</f>
        <v>Putzmeister</v>
      </c>
      <c r="L728" s="74" t="str">
        <f>IFERROR(__xludf.DUMMYFUNCTION("""COMPUTED_VALUE"""),"Componentes eléctricos")</f>
        <v>Componentes eléctricos</v>
      </c>
      <c r="M728" s="74" t="str">
        <f>IFERROR(__xludf.DUMMYFUNCTION("""COMPUTED_VALUE"""),"Sin Asignar")</f>
        <v>Sin Asignar</v>
      </c>
      <c r="N728" s="87">
        <f>IFERROR(__xludf.DUMMYFUNCTION("""COMPUTED_VALUE"""),0.0)</f>
        <v>0</v>
      </c>
      <c r="O728" s="74"/>
      <c r="P728" s="74" t="str">
        <f>IFERROR(__xludf.DUMMYFUNCTION("""COMPUTED_VALUE"""),"No Available")</f>
        <v>No Available</v>
      </c>
      <c r="Q728" s="74"/>
      <c r="R728" s="74"/>
      <c r="S728" s="87">
        <f>IFERROR(__xludf.DUMMYFUNCTION("""COMPUTED_VALUE"""),0.0)</f>
        <v>0</v>
      </c>
      <c r="T728" s="87">
        <f>IFERROR(__xludf.DUMMYFUNCTION("""COMPUTED_VALUE"""),0.0)</f>
        <v>0</v>
      </c>
      <c r="U728" s="87">
        <f>IFERROR(__xludf.DUMMYFUNCTION("""COMPUTED_VALUE"""),0.0)</f>
        <v>0</v>
      </c>
      <c r="V728" s="87">
        <f>IFERROR(__xludf.DUMMYFUNCTION("""COMPUTED_VALUE"""),0.0)</f>
        <v>0</v>
      </c>
      <c r="W728" s="87">
        <f>IFERROR(__xludf.DUMMYFUNCTION("""COMPUTED_VALUE"""),0.0)</f>
        <v>0</v>
      </c>
      <c r="X728" s="88"/>
      <c r="Y728" s="74"/>
      <c r="Z728" s="74"/>
    </row>
    <row r="729">
      <c r="B729" s="74" t="str">
        <f>IFERROR(__xludf.DUMMYFUNCTION("""COMPUTED_VALUE"""),"1726")</f>
        <v>1726</v>
      </c>
      <c r="C729" s="74"/>
      <c r="D729" s="74" t="str">
        <f>IFERROR(__xludf.DUMMYFUNCTION("""COMPUTED_VALUE"""),"\\MCA-S\mk\2_BM\0_BMat\08_PYM\Inventario\excel\Imagen de refacciones\Putzmeister\Relay module 24V _ Módulo de relé 24V")</f>
        <v>\\MCA-S\mk\2_BM\0_BMat\08_PYM\Inventario\excel\Imagen de refacciones\Putzmeister\Relay module 24V _ Módulo de relé 24V</v>
      </c>
      <c r="E729" s="74"/>
      <c r="F729" s="74" t="str">
        <f>IFERROR(__xludf.DUMMYFUNCTION("""COMPUTED_VALUE"""),"Relay module 24V / Módulo de relé 24V")</f>
        <v>Relay module 24V / Módulo de relé 24V</v>
      </c>
      <c r="G729" s="74"/>
      <c r="H729" s="74"/>
      <c r="I729" s="74" t="str">
        <f>IFERROR(__xludf.DUMMYFUNCTION("""COMPUTED_VALUE"""),"SOM20309")</f>
        <v>SOM20309</v>
      </c>
      <c r="J729" s="74" t="str">
        <f>IFERROR(__xludf.DUMMYFUNCTION("""COMPUTED_VALUE"""),"244372002")</f>
        <v>244372002</v>
      </c>
      <c r="K729" s="74" t="str">
        <f>IFERROR(__xludf.DUMMYFUNCTION("""COMPUTED_VALUE"""),"Putzmeister")</f>
        <v>Putzmeister</v>
      </c>
      <c r="L729" s="74" t="str">
        <f>IFERROR(__xludf.DUMMYFUNCTION("""COMPUTED_VALUE"""),"Componentes eléctricos")</f>
        <v>Componentes eléctricos</v>
      </c>
      <c r="M729" s="74" t="str">
        <f>IFERROR(__xludf.DUMMYFUNCTION("""COMPUTED_VALUE"""),"Sin Asignar")</f>
        <v>Sin Asignar</v>
      </c>
      <c r="N729" s="87">
        <f>IFERROR(__xludf.DUMMYFUNCTION("""COMPUTED_VALUE"""),0.0)</f>
        <v>0</v>
      </c>
      <c r="O729" s="74"/>
      <c r="P729" s="74" t="str">
        <f>IFERROR(__xludf.DUMMYFUNCTION("""COMPUTED_VALUE"""),"No Available")</f>
        <v>No Available</v>
      </c>
      <c r="Q729" s="74"/>
      <c r="R729" s="74"/>
      <c r="S729" s="87">
        <f>IFERROR(__xludf.DUMMYFUNCTION("""COMPUTED_VALUE"""),0.0)</f>
        <v>0</v>
      </c>
      <c r="T729" s="87">
        <f>IFERROR(__xludf.DUMMYFUNCTION("""COMPUTED_VALUE"""),0.0)</f>
        <v>0</v>
      </c>
      <c r="U729" s="87">
        <f>IFERROR(__xludf.DUMMYFUNCTION("""COMPUTED_VALUE"""),0.0)</f>
        <v>0</v>
      </c>
      <c r="V729" s="87">
        <f>IFERROR(__xludf.DUMMYFUNCTION("""COMPUTED_VALUE"""),0.0)</f>
        <v>0</v>
      </c>
      <c r="W729" s="87">
        <f>IFERROR(__xludf.DUMMYFUNCTION("""COMPUTED_VALUE"""),0.0)</f>
        <v>0</v>
      </c>
      <c r="X729" s="88"/>
      <c r="Y729" s="74"/>
      <c r="Z729" s="74"/>
    </row>
    <row r="730">
      <c r="B730" s="74" t="str">
        <f>IFERROR(__xludf.DUMMYFUNCTION("""COMPUTED_VALUE"""),"1727")</f>
        <v>1727</v>
      </c>
      <c r="C730" s="74"/>
      <c r="D730" s="74" t="str">
        <f>IFERROR(__xludf.DUMMYFUNCTION("""COMPUTED_VALUE"""),"\\MCA-S\mk\2_BM\0_BMat\08_PYM\Inventario\excel\Imagen de refacciones\Putzmeister\Step relay 24V _ Relé escalonado 24V")</f>
        <v>\\MCA-S\mk\2_BM\0_BMat\08_PYM\Inventario\excel\Imagen de refacciones\Putzmeister\Step relay 24V _ Relé escalonado 24V</v>
      </c>
      <c r="E730" s="74"/>
      <c r="F730" s="74" t="str">
        <f>IFERROR(__xludf.DUMMYFUNCTION("""COMPUTED_VALUE"""),"Step relay 24V / Relé escalonado 24V")</f>
        <v>Step relay 24V / Relé escalonado 24V</v>
      </c>
      <c r="G730" s="74"/>
      <c r="H730" s="74"/>
      <c r="I730" s="74" t="str">
        <f>IFERROR(__xludf.DUMMYFUNCTION("""COMPUTED_VALUE"""),"SOM20310")</f>
        <v>SOM20310</v>
      </c>
      <c r="J730" s="74" t="str">
        <f>IFERROR(__xludf.DUMMYFUNCTION("""COMPUTED_VALUE"""),"27845007")</f>
        <v>27845007</v>
      </c>
      <c r="K730" s="74" t="str">
        <f>IFERROR(__xludf.DUMMYFUNCTION("""COMPUTED_VALUE"""),"Putzmeister")</f>
        <v>Putzmeister</v>
      </c>
      <c r="L730" s="74" t="str">
        <f>IFERROR(__xludf.DUMMYFUNCTION("""COMPUTED_VALUE"""),"Componentes eléctricos")</f>
        <v>Componentes eléctricos</v>
      </c>
      <c r="M730" s="74" t="str">
        <f>IFERROR(__xludf.DUMMYFUNCTION("""COMPUTED_VALUE"""),"Sin Asignar")</f>
        <v>Sin Asignar</v>
      </c>
      <c r="N730" s="87">
        <f>IFERROR(__xludf.DUMMYFUNCTION("""COMPUTED_VALUE"""),0.0)</f>
        <v>0</v>
      </c>
      <c r="O730" s="74"/>
      <c r="P730" s="74" t="str">
        <f>IFERROR(__xludf.DUMMYFUNCTION("""COMPUTED_VALUE"""),"No Available")</f>
        <v>No Available</v>
      </c>
      <c r="Q730" s="74"/>
      <c r="R730" s="74"/>
      <c r="S730" s="87">
        <f>IFERROR(__xludf.DUMMYFUNCTION("""COMPUTED_VALUE"""),0.0)</f>
        <v>0</v>
      </c>
      <c r="T730" s="87">
        <f>IFERROR(__xludf.DUMMYFUNCTION("""COMPUTED_VALUE"""),0.0)</f>
        <v>0</v>
      </c>
      <c r="U730" s="87">
        <f>IFERROR(__xludf.DUMMYFUNCTION("""COMPUTED_VALUE"""),0.0)</f>
        <v>0</v>
      </c>
      <c r="V730" s="87">
        <f>IFERROR(__xludf.DUMMYFUNCTION("""COMPUTED_VALUE"""),0.0)</f>
        <v>0</v>
      </c>
      <c r="W730" s="87">
        <f>IFERROR(__xludf.DUMMYFUNCTION("""COMPUTED_VALUE"""),0.0)</f>
        <v>0</v>
      </c>
      <c r="X730" s="88"/>
      <c r="Y730" s="74"/>
      <c r="Z730" s="74"/>
    </row>
    <row r="731">
      <c r="B731" s="74" t="str">
        <f>IFERROR(__xludf.DUMMYFUNCTION("""COMPUTED_VALUE"""),"1728")</f>
        <v>1728</v>
      </c>
      <c r="C731" s="74"/>
      <c r="D731" s="74" t="str">
        <f>IFERROR(__xludf.DUMMYFUNCTION("""COMPUTED_VALUE"""),"\\MCA-S\mk\2_BM\0_BMat\08_PYM\Inventario\excel\Imagen de refacciones\Putzmeister\Poh reverse electronic 10-32V _ Electrónico inversor POH 10_32V")</f>
        <v>\\MCA-S\mk\2_BM\0_BMat\08_PYM\Inventario\excel\Imagen de refacciones\Putzmeister\Poh reverse electronic 10-32V _ Electrónico inversor POH 10_32V</v>
      </c>
      <c r="E731" s="74"/>
      <c r="F731" s="74" t="str">
        <f>IFERROR(__xludf.DUMMYFUNCTION("""COMPUTED_VALUE"""),"Poh reverse electronic 10-32V / Electrónico inversor POH 10/32V")</f>
        <v>Poh reverse electronic 10-32V / Electrónico inversor POH 10/32V</v>
      </c>
      <c r="G731" s="74"/>
      <c r="H731" s="74"/>
      <c r="I731" s="74" t="str">
        <f>IFERROR(__xludf.DUMMYFUNCTION("""COMPUTED_VALUE"""),"SOM20311")</f>
        <v>SOM20311</v>
      </c>
      <c r="J731" s="74" t="str">
        <f>IFERROR(__xludf.DUMMYFUNCTION("""COMPUTED_VALUE"""),"555644")</f>
        <v>555644</v>
      </c>
      <c r="K731" s="74" t="str">
        <f>IFERROR(__xludf.DUMMYFUNCTION("""COMPUTED_VALUE"""),"Putzmeister")</f>
        <v>Putzmeister</v>
      </c>
      <c r="L731" s="74" t="str">
        <f>IFERROR(__xludf.DUMMYFUNCTION("""COMPUTED_VALUE"""),"Componentes eléctricos")</f>
        <v>Componentes eléctricos</v>
      </c>
      <c r="M731" s="74" t="str">
        <f>IFERROR(__xludf.DUMMYFUNCTION("""COMPUTED_VALUE"""),"Sin Asignar")</f>
        <v>Sin Asignar</v>
      </c>
      <c r="N731" s="87">
        <f>IFERROR(__xludf.DUMMYFUNCTION("""COMPUTED_VALUE"""),0.0)</f>
        <v>0</v>
      </c>
      <c r="O731" s="74"/>
      <c r="P731" s="74" t="str">
        <f>IFERROR(__xludf.DUMMYFUNCTION("""COMPUTED_VALUE"""),"No Available")</f>
        <v>No Available</v>
      </c>
      <c r="Q731" s="74"/>
      <c r="R731" s="74"/>
      <c r="S731" s="87">
        <f>IFERROR(__xludf.DUMMYFUNCTION("""COMPUTED_VALUE"""),0.0)</f>
        <v>0</v>
      </c>
      <c r="T731" s="87">
        <f>IFERROR(__xludf.DUMMYFUNCTION("""COMPUTED_VALUE"""),0.0)</f>
        <v>0</v>
      </c>
      <c r="U731" s="87">
        <f>IFERROR(__xludf.DUMMYFUNCTION("""COMPUTED_VALUE"""),0.0)</f>
        <v>0</v>
      </c>
      <c r="V731" s="87">
        <f>IFERROR(__xludf.DUMMYFUNCTION("""COMPUTED_VALUE"""),0.0)</f>
        <v>0</v>
      </c>
      <c r="W731" s="87">
        <f>IFERROR(__xludf.DUMMYFUNCTION("""COMPUTED_VALUE"""),0.0)</f>
        <v>0</v>
      </c>
      <c r="X731" s="88"/>
      <c r="Y731" s="74"/>
      <c r="Z731" s="74"/>
    </row>
    <row r="732">
      <c r="B732" s="74" t="str">
        <f>IFERROR(__xludf.DUMMYFUNCTION("""COMPUTED_VALUE"""),"1729")</f>
        <v>1729</v>
      </c>
      <c r="C732" s="74"/>
      <c r="D732" s="74" t="str">
        <f>IFERROR(__xludf.DUMMYFUNCTION("""COMPUTED_VALUE"""),"\\MCA-S\mk\2_BM\0_BMat\08_PYM\Inventario\excel\Imagen de refacciones\Putzmeister\Accumulator 4lt _ Acumulador 4 litros")</f>
        <v>\\MCA-S\mk\2_BM\0_BMat\08_PYM\Inventario\excel\Imagen de refacciones\Putzmeister\Accumulator 4lt _ Acumulador 4 litros</v>
      </c>
      <c r="E732" s="74" t="str">
        <f>IFERROR(__xludf.DUMMYFUNCTION("""COMPUTED_VALUE"""),"ACCUMULATOR 4lt")</f>
        <v>ACCUMULATOR 4lt</v>
      </c>
      <c r="F732" s="74" t="str">
        <f>IFERROR(__xludf.DUMMYFUNCTION("""COMPUTED_VALUE"""),"ACUMULADOR 4LITROS")</f>
        <v>ACUMULADOR 4LITROS</v>
      </c>
      <c r="G732" s="74"/>
      <c r="H732" s="74"/>
      <c r="I732" s="74" t="str">
        <f>IFERROR(__xludf.DUMMYFUNCTION("""COMPUTED_VALUE"""),"SOM20317")</f>
        <v>SOM20317</v>
      </c>
      <c r="J732" s="74" t="str">
        <f>IFERROR(__xludf.DUMMYFUNCTION("""COMPUTED_VALUE"""),"6660004")</f>
        <v>6660004</v>
      </c>
      <c r="K732" s="74" t="str">
        <f>IFERROR(__xludf.DUMMYFUNCTION("""COMPUTED_VALUE"""),"Putzmeister")</f>
        <v>Putzmeister</v>
      </c>
      <c r="L732" s="74" t="str">
        <f>IFERROR(__xludf.DUMMYFUNCTION("""COMPUTED_VALUE"""),"Componentes hidráulicos")</f>
        <v>Componentes hidráulicos</v>
      </c>
      <c r="M732" s="74" t="str">
        <f>IFERROR(__xludf.DUMMYFUNCTION("""COMPUTED_VALUE"""),"Sin Asignar")</f>
        <v>Sin Asignar</v>
      </c>
      <c r="N732" s="87">
        <f>IFERROR(__xludf.DUMMYFUNCTION("""COMPUTED_VALUE"""),0.0)</f>
        <v>0</v>
      </c>
      <c r="O732" s="74"/>
      <c r="P732" s="74" t="str">
        <f>IFERROR(__xludf.DUMMYFUNCTION("""COMPUTED_VALUE"""),"borrar")</f>
        <v>borrar</v>
      </c>
      <c r="Q732" s="74"/>
      <c r="R732" s="74"/>
      <c r="S732" s="87">
        <f>IFERROR(__xludf.DUMMYFUNCTION("""COMPUTED_VALUE"""),0.0)</f>
        <v>0</v>
      </c>
      <c r="T732" s="87">
        <f>IFERROR(__xludf.DUMMYFUNCTION("""COMPUTED_VALUE"""),0.0)</f>
        <v>0</v>
      </c>
      <c r="U732" s="87">
        <f>IFERROR(__xludf.DUMMYFUNCTION("""COMPUTED_VALUE"""),0.0)</f>
        <v>0</v>
      </c>
      <c r="V732" s="87">
        <f>IFERROR(__xludf.DUMMYFUNCTION("""COMPUTED_VALUE"""),0.0)</f>
        <v>0</v>
      </c>
      <c r="W732" s="87">
        <f>IFERROR(__xludf.DUMMYFUNCTION("""COMPUTED_VALUE"""),0.0)</f>
        <v>0</v>
      </c>
      <c r="X732" s="88"/>
      <c r="Y732" s="74"/>
      <c r="Z732" s="74"/>
    </row>
    <row r="733">
      <c r="B733" s="74" t="str">
        <f>IFERROR(__xludf.DUMMYFUNCTION("""COMPUTED_VALUE"""),"1730")</f>
        <v>1730</v>
      </c>
      <c r="C733" s="74" t="str">
        <f>IFERROR(__xludf.DUMMYFUNCTION("""COMPUTED_VALUE"""),"75045880452")</f>
        <v>75045880452</v>
      </c>
      <c r="D733" s="74" t="str">
        <f>IFERROR(__xludf.DUMMYFUNCTION("""COMPUTED_VALUE"""),"\\MCA-S\mk\2_BM\0_BMat\08_PYM\Inventario\excel\Imagen de refacciones\Putzmeister\Bladder 4LT _ vejiga para acumulador 4 litros")</f>
        <v>\\MCA-S\mk\2_BM\0_BMat\08_PYM\Inventario\excel\Imagen de refacciones\Putzmeister\Bladder 4LT _ vejiga para acumulador 4 litros</v>
      </c>
      <c r="E733" s="74" t="str">
        <f>IFERROR(__xludf.DUMMYFUNCTION("""COMPUTED_VALUE"""),"ACCUMULATOR BLADDER 4L")</f>
        <v>ACCUMULATOR BLADDER 4L</v>
      </c>
      <c r="F733" s="74" t="str">
        <f>IFERROR(__xludf.DUMMYFUNCTION("""COMPUTED_VALUE"""),"VEJIGA ACUMULADORA 4L (BLADDER)")</f>
        <v>VEJIGA ACUMULADORA 4L (BLADDER)</v>
      </c>
      <c r="G733" s="74"/>
      <c r="H733" s="74"/>
      <c r="I733" s="74" t="str">
        <f>IFERROR(__xludf.DUMMYFUNCTION("""COMPUTED_VALUE"""),"0640200000")</f>
        <v>0640200000</v>
      </c>
      <c r="J733" s="74"/>
      <c r="K733" s="74" t="str">
        <f>IFERROR(__xludf.DUMMYFUNCTION("""COMPUTED_VALUE"""),"Putzmeister")</f>
        <v>Putzmeister</v>
      </c>
      <c r="L733" s="74" t="str">
        <f>IFERROR(__xludf.DUMMYFUNCTION("""COMPUTED_VALUE"""),"Componentes hidráulicos")</f>
        <v>Componentes hidráulicos</v>
      </c>
      <c r="M733" s="74" t="str">
        <f>IFERROR(__xludf.DUMMYFUNCTION("""COMPUTED_VALUE"""),"Sin Asignar")</f>
        <v>Sin Asignar</v>
      </c>
      <c r="N733" s="87">
        <f>IFERROR(__xludf.DUMMYFUNCTION("""COMPUTED_VALUE"""),4937.28)</f>
        <v>4937.28</v>
      </c>
      <c r="O733" s="74">
        <f>IFERROR(__xludf.DUMMYFUNCTION("""COMPUTED_VALUE"""),3.0)</f>
        <v>3</v>
      </c>
      <c r="P733" s="74" t="str">
        <f>IFERROR(__xludf.DUMMYFUNCTION("""COMPUTED_VALUE"""),"In stock")</f>
        <v>In stock</v>
      </c>
      <c r="Q733" s="74"/>
      <c r="R733" s="74"/>
      <c r="S733" s="87">
        <f>IFERROR(__xludf.DUMMYFUNCTION("""COMPUTED_VALUE"""),22.0)</f>
        <v>22</v>
      </c>
      <c r="T733" s="87">
        <f>IFERROR(__xludf.DUMMYFUNCTION("""COMPUTED_VALUE"""),278.0)</f>
        <v>278</v>
      </c>
      <c r="U733" s="87">
        <f>IFERROR(__xludf.DUMMYFUNCTION("""COMPUTED_VALUE"""),266.88)</f>
        <v>266.88</v>
      </c>
      <c r="V733" s="87">
        <f>IFERROR(__xludf.DUMMYFUNCTION("""COMPUTED_VALUE"""),26.95)</f>
        <v>26.95</v>
      </c>
      <c r="W733" s="87">
        <f>IFERROR(__xludf.DUMMYFUNCTION("""COMPUTED_VALUE"""),505.3125)</f>
        <v>505.3125</v>
      </c>
      <c r="X733" s="88">
        <f>IFERROR(__xludf.DUMMYFUNCTION("""COMPUTED_VALUE"""),12.13090909090909)</f>
        <v>12.13090909</v>
      </c>
      <c r="Y733" s="74"/>
      <c r="Z733" s="74"/>
    </row>
    <row r="734">
      <c r="B734" s="74" t="str">
        <f>IFERROR(__xludf.DUMMYFUNCTION("""COMPUTED_VALUE"""),"1731")</f>
        <v>1731</v>
      </c>
      <c r="C734" s="74" t="str">
        <f>IFERROR(__xludf.DUMMYFUNCTION("""COMPUTED_VALUE"""),"75045880453")</f>
        <v>75045880453</v>
      </c>
      <c r="D734" s="74" t="str">
        <f>IFERROR(__xludf.DUMMYFUNCTION("""COMPUTED_VALUE"""),"\\MCA-S\mk\2_BM\0_BMat\08_PYM\Inventario\excel\Imagen de refacciones\Putzmeister\Accumulator 6LT _ Acumulador 6 litros")</f>
        <v>\\MCA-S\mk\2_BM\0_BMat\08_PYM\Inventario\excel\Imagen de refacciones\Putzmeister\Accumulator 6LT _ Acumulador 6 litros</v>
      </c>
      <c r="E734" s="74"/>
      <c r="F734" s="74" t="str">
        <f>IFERROR(__xludf.DUMMYFUNCTION("""COMPUTED_VALUE"""),"Accumulator 6LT / Acumulador 6 litros")</f>
        <v>Accumulator 6LT / Acumulador 6 litros</v>
      </c>
      <c r="G734" s="74"/>
      <c r="H734" s="74"/>
      <c r="I734" s="74" t="str">
        <f>IFERROR(__xludf.DUMMYFUNCTION("""COMPUTED_VALUE"""),"SOM20319")</f>
        <v>SOM20319</v>
      </c>
      <c r="J734" s="74" t="str">
        <f>IFERROR(__xludf.DUMMYFUNCTION("""COMPUTED_VALUE"""),"273962001")</f>
        <v>273962001</v>
      </c>
      <c r="K734" s="74" t="str">
        <f>IFERROR(__xludf.DUMMYFUNCTION("""COMPUTED_VALUE"""),"Putzmeister")</f>
        <v>Putzmeister</v>
      </c>
      <c r="L734" s="74" t="str">
        <f>IFERROR(__xludf.DUMMYFUNCTION("""COMPUTED_VALUE"""),"Componentes hidráulicos")</f>
        <v>Componentes hidráulicos</v>
      </c>
      <c r="M734" s="74" t="str">
        <f>IFERROR(__xludf.DUMMYFUNCTION("""COMPUTED_VALUE"""),"Sin Asignar")</f>
        <v>Sin Asignar</v>
      </c>
      <c r="N734" s="87">
        <f>IFERROR(__xludf.DUMMYFUNCTION("""COMPUTED_VALUE"""),0.0)</f>
        <v>0</v>
      </c>
      <c r="O734" s="74"/>
      <c r="P734" s="74" t="str">
        <f>IFERROR(__xludf.DUMMYFUNCTION("""COMPUTED_VALUE"""),"borrar")</f>
        <v>borrar</v>
      </c>
      <c r="Q734" s="74"/>
      <c r="R734" s="74"/>
      <c r="S734" s="87">
        <f>IFERROR(__xludf.DUMMYFUNCTION("""COMPUTED_VALUE"""),0.0)</f>
        <v>0</v>
      </c>
      <c r="T734" s="87">
        <f>IFERROR(__xludf.DUMMYFUNCTION("""COMPUTED_VALUE"""),0.0)</f>
        <v>0</v>
      </c>
      <c r="U734" s="87">
        <f>IFERROR(__xludf.DUMMYFUNCTION("""COMPUTED_VALUE"""),0.0)</f>
        <v>0</v>
      </c>
      <c r="V734" s="87">
        <f>IFERROR(__xludf.DUMMYFUNCTION("""COMPUTED_VALUE"""),0.0)</f>
        <v>0</v>
      </c>
      <c r="W734" s="87">
        <f>IFERROR(__xludf.DUMMYFUNCTION("""COMPUTED_VALUE"""),0.0)</f>
        <v>0</v>
      </c>
      <c r="X734" s="88"/>
      <c r="Y734" s="74"/>
      <c r="Z734" s="74"/>
    </row>
    <row r="735">
      <c r="B735" s="74" t="str">
        <f>IFERROR(__xludf.DUMMYFUNCTION("""COMPUTED_VALUE"""),"1732")</f>
        <v>1732</v>
      </c>
      <c r="C735" s="74" t="str">
        <f>IFERROR(__xludf.DUMMYFUNCTION("""COMPUTED_VALUE"""),"75045880453")</f>
        <v>75045880453</v>
      </c>
      <c r="D735" s="74" t="str">
        <f>IFERROR(__xludf.DUMMYFUNCTION("""COMPUTED_VALUE"""),"\\MCA-S\mk\2_BM\0_BMat\08_PYM\Inventario\excel\Imagen de refacciones\Putzmeister\Bladder 6LT _ Vejiga para acumulador 6 litros")</f>
        <v>\\MCA-S\mk\2_BM\0_BMat\08_PYM\Inventario\excel\Imagen de refacciones\Putzmeister\Bladder 6LT _ Vejiga para acumulador 6 litros</v>
      </c>
      <c r="E735" s="74" t="str">
        <f>IFERROR(__xludf.DUMMYFUNCTION("""COMPUTED_VALUE"""),"ACCUMULATOR BLADDER 6L")</f>
        <v>ACCUMULATOR BLADDER 6L</v>
      </c>
      <c r="F735" s="74" t="str">
        <f>IFERROR(__xludf.DUMMYFUNCTION("""COMPUTED_VALUE"""),"VEJIGA ACUMULADORA 6L (BLADDER)")</f>
        <v>VEJIGA ACUMULADORA 6L (BLADDER)</v>
      </c>
      <c r="G735" s="74"/>
      <c r="H735" s="74"/>
      <c r="I735" s="74" t="str">
        <f>IFERROR(__xludf.DUMMYFUNCTION("""COMPUTED_VALUE"""),"283868001")</f>
        <v>283868001</v>
      </c>
      <c r="J735" s="74"/>
      <c r="K735" s="74" t="str">
        <f>IFERROR(__xludf.DUMMYFUNCTION("""COMPUTED_VALUE"""),"Putzmeister")</f>
        <v>Putzmeister</v>
      </c>
      <c r="L735" s="74" t="str">
        <f>IFERROR(__xludf.DUMMYFUNCTION("""COMPUTED_VALUE"""),"Componentes hidráulicos")</f>
        <v>Componentes hidráulicos</v>
      </c>
      <c r="M735" s="74" t="str">
        <f>IFERROR(__xludf.DUMMYFUNCTION("""COMPUTED_VALUE"""),"Sin Asignar")</f>
        <v>Sin Asignar</v>
      </c>
      <c r="N735" s="87">
        <f>IFERROR(__xludf.DUMMYFUNCTION("""COMPUTED_VALUE"""),5807.52)</f>
        <v>5807.52</v>
      </c>
      <c r="O735" s="74">
        <f>IFERROR(__xludf.DUMMYFUNCTION("""COMPUTED_VALUE"""),3.0)</f>
        <v>3</v>
      </c>
      <c r="P735" s="74" t="str">
        <f>IFERROR(__xludf.DUMMYFUNCTION("""COMPUTED_VALUE"""),"In stock")</f>
        <v>In stock</v>
      </c>
      <c r="Q735" s="74"/>
      <c r="R735" s="74"/>
      <c r="S735" s="87">
        <f>IFERROR(__xludf.DUMMYFUNCTION("""COMPUTED_VALUE"""),25.0)</f>
        <v>25</v>
      </c>
      <c r="T735" s="87">
        <f>IFERROR(__xludf.DUMMYFUNCTION("""COMPUTED_VALUE"""),327.0)</f>
        <v>327</v>
      </c>
      <c r="U735" s="87">
        <f>IFERROR(__xludf.DUMMYFUNCTION("""COMPUTED_VALUE"""),313.92)</f>
        <v>313.92</v>
      </c>
      <c r="V735" s="87">
        <f>IFERROR(__xludf.DUMMYFUNCTION("""COMPUTED_VALUE"""),30.625)</f>
        <v>30.625</v>
      </c>
      <c r="W735" s="87">
        <f>IFERROR(__xludf.DUMMYFUNCTION("""COMPUTED_VALUE"""),574.21875)</f>
        <v>574.21875</v>
      </c>
      <c r="X735" s="88">
        <f>IFERROR(__xludf.DUMMYFUNCTION("""COMPUTED_VALUE"""),12.5568)</f>
        <v>12.5568</v>
      </c>
      <c r="Y735" s="74"/>
      <c r="Z735" s="74"/>
    </row>
    <row r="736">
      <c r="B736" s="74" t="str">
        <f>IFERROR(__xludf.DUMMYFUNCTION("""COMPUTED_VALUE"""),"1733")</f>
        <v>1733</v>
      </c>
      <c r="C736" s="74"/>
      <c r="D736" s="74" t="str">
        <f>IFERROR(__xludf.DUMMYFUNCTION("""COMPUTED_VALUE"""),"\\MCA-S\mk\2_BM\0_BMat\08_PYM\Inventario\excel\Imagen de refacciones\Putzmeister\Accumulator 10Lt _ acumulador de 10 lt")</f>
        <v>\\MCA-S\mk\2_BM\0_BMat\08_PYM\Inventario\excel\Imagen de refacciones\Putzmeister\Accumulator 10Lt _ acumulador de 10 lt</v>
      </c>
      <c r="E736" s="74"/>
      <c r="F736" s="74" t="str">
        <f>IFERROR(__xludf.DUMMYFUNCTION("""COMPUTED_VALUE"""),"Accumulator 10Lt / acumulador de 10 lt")</f>
        <v>Accumulator 10Lt / acumulador de 10 lt</v>
      </c>
      <c r="G736" s="74"/>
      <c r="H736" s="74"/>
      <c r="I736" s="74" t="str">
        <f>IFERROR(__xludf.DUMMYFUNCTION("""COMPUTED_VALUE"""),"SOM20321")</f>
        <v>SOM20321</v>
      </c>
      <c r="J736" s="74" t="str">
        <f>IFERROR(__xludf.DUMMYFUNCTION("""COMPUTED_VALUE"""),"64028002")</f>
        <v>64028002</v>
      </c>
      <c r="K736" s="74" t="str">
        <f>IFERROR(__xludf.DUMMYFUNCTION("""COMPUTED_VALUE"""),"Putzmeister")</f>
        <v>Putzmeister</v>
      </c>
      <c r="L736" s="74" t="str">
        <f>IFERROR(__xludf.DUMMYFUNCTION("""COMPUTED_VALUE"""),"Componentes hidráulicos")</f>
        <v>Componentes hidráulicos</v>
      </c>
      <c r="M736" s="74" t="str">
        <f>IFERROR(__xludf.DUMMYFUNCTION("""COMPUTED_VALUE"""),"Sin Asignar")</f>
        <v>Sin Asignar</v>
      </c>
      <c r="N736" s="87">
        <f>IFERROR(__xludf.DUMMYFUNCTION("""COMPUTED_VALUE"""),0.0)</f>
        <v>0</v>
      </c>
      <c r="O736" s="74"/>
      <c r="P736" s="74" t="str">
        <f>IFERROR(__xludf.DUMMYFUNCTION("""COMPUTED_VALUE"""),"borrar")</f>
        <v>borrar</v>
      </c>
      <c r="Q736" s="74"/>
      <c r="R736" s="74"/>
      <c r="S736" s="87">
        <f>IFERROR(__xludf.DUMMYFUNCTION("""COMPUTED_VALUE"""),0.0)</f>
        <v>0</v>
      </c>
      <c r="T736" s="87">
        <f>IFERROR(__xludf.DUMMYFUNCTION("""COMPUTED_VALUE"""),0.0)</f>
        <v>0</v>
      </c>
      <c r="U736" s="87">
        <f>IFERROR(__xludf.DUMMYFUNCTION("""COMPUTED_VALUE"""),0.0)</f>
        <v>0</v>
      </c>
      <c r="V736" s="87">
        <f>IFERROR(__xludf.DUMMYFUNCTION("""COMPUTED_VALUE"""),0.0)</f>
        <v>0</v>
      </c>
      <c r="W736" s="87">
        <f>IFERROR(__xludf.DUMMYFUNCTION("""COMPUTED_VALUE"""),0.0)</f>
        <v>0</v>
      </c>
      <c r="X736" s="88"/>
      <c r="Y736" s="74"/>
      <c r="Z736" s="74"/>
    </row>
    <row r="737">
      <c r="B737" s="74" t="str">
        <f>IFERROR(__xludf.DUMMYFUNCTION("""COMPUTED_VALUE"""),"1734")</f>
        <v>1734</v>
      </c>
      <c r="C737" s="74"/>
      <c r="D737" s="74" t="str">
        <f>IFERROR(__xludf.DUMMYFUNCTION("""COMPUTED_VALUE"""),"\\MCA-S\mk\2_BM\0_BMat\08_PYM\Inventario\excel\Imagen de refacciones\Putzmeister\Bladder 10 Lt _ vejiga 10 lt")</f>
        <v>\\MCA-S\mk\2_BM\0_BMat\08_PYM\Inventario\excel\Imagen de refacciones\Putzmeister\Bladder 10 Lt _ vejiga 10 lt</v>
      </c>
      <c r="E737" s="74" t="str">
        <f>IFERROR(__xludf.DUMMYFUNCTION("""COMPUTED_VALUE"""),"ACCUMULATOR BLADDER 10L")</f>
        <v>ACCUMULATOR BLADDER 10L</v>
      </c>
      <c r="F737" s="74" t="str">
        <f>IFERROR(__xludf.DUMMYFUNCTION("""COMPUTED_VALUE"""),"VEJIGA ACUMULADORA 10L (BLADDER)")</f>
        <v>VEJIGA ACUMULADORA 10L (BLADDER)</v>
      </c>
      <c r="G737" s="74"/>
      <c r="H737" s="74"/>
      <c r="I737" s="74" t="str">
        <f>IFERROR(__xludf.DUMMYFUNCTION("""COMPUTED_VALUE"""),"SOM20322")</f>
        <v>SOM20322</v>
      </c>
      <c r="J737" s="74" t="str">
        <f>IFERROR(__xludf.DUMMYFUNCTION("""COMPUTED_VALUE"""),"64021009")</f>
        <v>64021009</v>
      </c>
      <c r="K737" s="74" t="str">
        <f>IFERROR(__xludf.DUMMYFUNCTION("""COMPUTED_VALUE"""),"Putzmeister")</f>
        <v>Putzmeister</v>
      </c>
      <c r="L737" s="74" t="str">
        <f>IFERROR(__xludf.DUMMYFUNCTION("""COMPUTED_VALUE"""),"Componentes hidráulicos")</f>
        <v>Componentes hidráulicos</v>
      </c>
      <c r="M737" s="74" t="str">
        <f>IFERROR(__xludf.DUMMYFUNCTION("""COMPUTED_VALUE"""),"Sin Asignar")</f>
        <v>Sin Asignar</v>
      </c>
      <c r="N737" s="87">
        <f>IFERROR(__xludf.DUMMYFUNCTION("""COMPUTED_VALUE"""),0.0)</f>
        <v>0</v>
      </c>
      <c r="O737" s="74"/>
      <c r="P737" s="74" t="str">
        <f>IFERROR(__xludf.DUMMYFUNCTION("""COMPUTED_VALUE"""),"To Re-purchase")</f>
        <v>To Re-purchase</v>
      </c>
      <c r="Q737" s="74"/>
      <c r="R737" s="74"/>
      <c r="S737" s="87">
        <f>IFERROR(__xludf.DUMMYFUNCTION("""COMPUTED_VALUE"""),0.0)</f>
        <v>0</v>
      </c>
      <c r="T737" s="87">
        <f>IFERROR(__xludf.DUMMYFUNCTION("""COMPUTED_VALUE"""),0.0)</f>
        <v>0</v>
      </c>
      <c r="U737" s="87">
        <f>IFERROR(__xludf.DUMMYFUNCTION("""COMPUTED_VALUE"""),0.0)</f>
        <v>0</v>
      </c>
      <c r="V737" s="87">
        <f>IFERROR(__xludf.DUMMYFUNCTION("""COMPUTED_VALUE"""),0.0)</f>
        <v>0</v>
      </c>
      <c r="W737" s="87">
        <f>IFERROR(__xludf.DUMMYFUNCTION("""COMPUTED_VALUE"""),0.0)</f>
        <v>0</v>
      </c>
      <c r="X737" s="88"/>
      <c r="Y737" s="74"/>
      <c r="Z737" s="74"/>
    </row>
    <row r="738">
      <c r="B738" s="74" t="str">
        <f>IFERROR(__xludf.DUMMYFUNCTION("""COMPUTED_VALUE"""),"1735")</f>
        <v>1735</v>
      </c>
      <c r="C738" s="74"/>
      <c r="D738" s="74" t="str">
        <f>IFERROR(__xludf.DUMMYFUNCTION("""COMPUTED_VALUE"""),"\\MCA-S\mk\2_BM\0_BMat\08_PYM\Inventario\excel\Imagen de refacciones\Putzmeister\HOSE CLIP _ Abrazadera para manguera")</f>
        <v>\\MCA-S\mk\2_BM\0_BMat\08_PYM\Inventario\excel\Imagen de refacciones\Putzmeister\HOSE CLIP _ Abrazadera para manguera</v>
      </c>
      <c r="E738" s="74"/>
      <c r="F738" s="74" t="str">
        <f>IFERROR(__xludf.DUMMYFUNCTION("""COMPUTED_VALUE"""),"HOSE CLIP / Abrazadera para manguera")</f>
        <v>HOSE CLIP / Abrazadera para manguera</v>
      </c>
      <c r="G738" s="74"/>
      <c r="H738" s="74"/>
      <c r="I738" s="74" t="str">
        <f>IFERROR(__xludf.DUMMYFUNCTION("""COMPUTED_VALUE"""),"SOM20323")</f>
        <v>SOM20323</v>
      </c>
      <c r="J738" s="74" t="str">
        <f>IFERROR(__xludf.DUMMYFUNCTION("""COMPUTED_VALUE"""),"16368008")</f>
        <v>16368008</v>
      </c>
      <c r="K738" s="74" t="str">
        <f>IFERROR(__xludf.DUMMYFUNCTION("""COMPUTED_VALUE"""),"Putzmeister")</f>
        <v>Putzmeister</v>
      </c>
      <c r="L738" s="74" t="str">
        <f>IFERROR(__xludf.DUMMYFUNCTION("""COMPUTED_VALUE"""),"Componentes estructurales y de montaje")</f>
        <v>Componentes estructurales y de montaje</v>
      </c>
      <c r="M738" s="74" t="str">
        <f>IFERROR(__xludf.DUMMYFUNCTION("""COMPUTED_VALUE"""),"Sin Asignar")</f>
        <v>Sin Asignar</v>
      </c>
      <c r="N738" s="87">
        <f>IFERROR(__xludf.DUMMYFUNCTION("""COMPUTED_VALUE"""),0.0)</f>
        <v>0</v>
      </c>
      <c r="O738" s="74"/>
      <c r="P738" s="74" t="str">
        <f>IFERROR(__xludf.DUMMYFUNCTION("""COMPUTED_VALUE"""),"No Available")</f>
        <v>No Available</v>
      </c>
      <c r="Q738" s="74"/>
      <c r="R738" s="74"/>
      <c r="S738" s="87">
        <f>IFERROR(__xludf.DUMMYFUNCTION("""COMPUTED_VALUE"""),0.0)</f>
        <v>0</v>
      </c>
      <c r="T738" s="87">
        <f>IFERROR(__xludf.DUMMYFUNCTION("""COMPUTED_VALUE"""),0.0)</f>
        <v>0</v>
      </c>
      <c r="U738" s="87">
        <f>IFERROR(__xludf.DUMMYFUNCTION("""COMPUTED_VALUE"""),0.0)</f>
        <v>0</v>
      </c>
      <c r="V738" s="87">
        <f>IFERROR(__xludf.DUMMYFUNCTION("""COMPUTED_VALUE"""),0.0)</f>
        <v>0</v>
      </c>
      <c r="W738" s="87">
        <f>IFERROR(__xludf.DUMMYFUNCTION("""COMPUTED_VALUE"""),0.0)</f>
        <v>0</v>
      </c>
      <c r="X738" s="88"/>
      <c r="Y738" s="74"/>
      <c r="Z738" s="74"/>
    </row>
    <row r="739">
      <c r="B739" s="74" t="str">
        <f>IFERROR(__xludf.DUMMYFUNCTION("""COMPUTED_VALUE"""),"1736")</f>
        <v>1736</v>
      </c>
      <c r="C739" s="74"/>
      <c r="D739" s="74" t="str">
        <f>IFERROR(__xludf.DUMMYFUNCTION("""COMPUTED_VALUE"""),"\\MCA-S\mk\2_BM\0_BMat\08_PYM\Inventario\excel\Imagen de refacciones\Putzmeister\Pressure gauge 60 Bar _ Manómetro 60 Bar")</f>
        <v>\\MCA-S\mk\2_BM\0_BMat\08_PYM\Inventario\excel\Imagen de refacciones\Putzmeister\Pressure gauge 60 Bar _ Manómetro 60 Bar</v>
      </c>
      <c r="E739" s="74"/>
      <c r="F739" s="74" t="str">
        <f>IFERROR(__xludf.DUMMYFUNCTION("""COMPUTED_VALUE"""),"Pressure gauge 60 Bar / Manómetro 60 Bar")</f>
        <v>Pressure gauge 60 Bar / Manómetro 60 Bar</v>
      </c>
      <c r="G739" s="74"/>
      <c r="H739" s="74"/>
      <c r="I739" s="74" t="str">
        <f>IFERROR(__xludf.DUMMYFUNCTION("""COMPUTED_VALUE"""),"SOM20324")</f>
        <v>SOM20324</v>
      </c>
      <c r="J739" s="74" t="str">
        <f>IFERROR(__xludf.DUMMYFUNCTION("""COMPUTED_VALUE"""),"16372007")</f>
        <v>16372007</v>
      </c>
      <c r="K739" s="74" t="str">
        <f>IFERROR(__xludf.DUMMYFUNCTION("""COMPUTED_VALUE"""),"Putzmeister")</f>
        <v>Putzmeister</v>
      </c>
      <c r="L739" s="74" t="str">
        <f>IFERROR(__xludf.DUMMYFUNCTION("""COMPUTED_VALUE"""),"Elementos de medición y control")</f>
        <v>Elementos de medición y control</v>
      </c>
      <c r="M739" s="74" t="str">
        <f>IFERROR(__xludf.DUMMYFUNCTION("""COMPUTED_VALUE"""),"Sin Asignar")</f>
        <v>Sin Asignar</v>
      </c>
      <c r="N739" s="87">
        <f>IFERROR(__xludf.DUMMYFUNCTION("""COMPUTED_VALUE"""),0.0)</f>
        <v>0</v>
      </c>
      <c r="O739" s="74"/>
      <c r="P739" s="74" t="str">
        <f>IFERROR(__xludf.DUMMYFUNCTION("""COMPUTED_VALUE"""),"No Available")</f>
        <v>No Available</v>
      </c>
      <c r="Q739" s="74"/>
      <c r="R739" s="74"/>
      <c r="S739" s="87">
        <f>IFERROR(__xludf.DUMMYFUNCTION("""COMPUTED_VALUE"""),0.0)</f>
        <v>0</v>
      </c>
      <c r="T739" s="87">
        <f>IFERROR(__xludf.DUMMYFUNCTION("""COMPUTED_VALUE"""),0.0)</f>
        <v>0</v>
      </c>
      <c r="U739" s="87">
        <f>IFERROR(__xludf.DUMMYFUNCTION("""COMPUTED_VALUE"""),0.0)</f>
        <v>0</v>
      </c>
      <c r="V739" s="87">
        <f>IFERROR(__xludf.DUMMYFUNCTION("""COMPUTED_VALUE"""),0.0)</f>
        <v>0</v>
      </c>
      <c r="W739" s="87">
        <f>IFERROR(__xludf.DUMMYFUNCTION("""COMPUTED_VALUE"""),0.0)</f>
        <v>0</v>
      </c>
      <c r="X739" s="88"/>
      <c r="Y739" s="74"/>
      <c r="Z739" s="74"/>
    </row>
    <row r="740">
      <c r="B740" s="74" t="str">
        <f>IFERROR(__xludf.DUMMYFUNCTION("""COMPUTED_VALUE"""),"1737")</f>
        <v>1737</v>
      </c>
      <c r="C740" s="74"/>
      <c r="D740" s="74" t="str">
        <f>IFERROR(__xludf.DUMMYFUNCTION("""COMPUTED_VALUE"""),"\\MCA-S\mk\2_BM\0_BMat\08_PYM\Inventario\excel\Imagen de refacciones\Putzmeister\Pressure gauge 400 bar _ Manómetro 400 bar")</f>
        <v>\\MCA-S\mk\2_BM\0_BMat\08_PYM\Inventario\excel\Imagen de refacciones\Putzmeister\Pressure gauge 400 bar _ Manómetro 400 bar</v>
      </c>
      <c r="E740" s="74"/>
      <c r="F740" s="74" t="str">
        <f>IFERROR(__xludf.DUMMYFUNCTION("""COMPUTED_VALUE"""),"Pressure gauge 400 bar / Manómetro 400 bar")</f>
        <v>Pressure gauge 400 bar / Manómetro 400 bar</v>
      </c>
      <c r="G740" s="74"/>
      <c r="H740" s="74"/>
      <c r="I740" s="74" t="str">
        <f>IFERROR(__xludf.DUMMYFUNCTION("""COMPUTED_VALUE"""),"SOM20325")</f>
        <v>SOM20325</v>
      </c>
      <c r="J740" s="74" t="str">
        <f>IFERROR(__xludf.DUMMYFUNCTION("""COMPUTED_VALUE"""),"17250005")</f>
        <v>17250005</v>
      </c>
      <c r="K740" s="74" t="str">
        <f>IFERROR(__xludf.DUMMYFUNCTION("""COMPUTED_VALUE"""),"Putzmeister")</f>
        <v>Putzmeister</v>
      </c>
      <c r="L740" s="74" t="str">
        <f>IFERROR(__xludf.DUMMYFUNCTION("""COMPUTED_VALUE"""),"Elementos de medición y control")</f>
        <v>Elementos de medición y control</v>
      </c>
      <c r="M740" s="74" t="str">
        <f>IFERROR(__xludf.DUMMYFUNCTION("""COMPUTED_VALUE"""),"Sin Asignar")</f>
        <v>Sin Asignar</v>
      </c>
      <c r="N740" s="87">
        <f>IFERROR(__xludf.DUMMYFUNCTION("""COMPUTED_VALUE"""),0.0)</f>
        <v>0</v>
      </c>
      <c r="O740" s="74"/>
      <c r="P740" s="74" t="str">
        <f>IFERROR(__xludf.DUMMYFUNCTION("""COMPUTED_VALUE"""),"borrar")</f>
        <v>borrar</v>
      </c>
      <c r="Q740" s="74"/>
      <c r="R740" s="74"/>
      <c r="S740" s="87">
        <f>IFERROR(__xludf.DUMMYFUNCTION("""COMPUTED_VALUE"""),0.0)</f>
        <v>0</v>
      </c>
      <c r="T740" s="87">
        <f>IFERROR(__xludf.DUMMYFUNCTION("""COMPUTED_VALUE"""),0.0)</f>
        <v>0</v>
      </c>
      <c r="U740" s="87">
        <f>IFERROR(__xludf.DUMMYFUNCTION("""COMPUTED_VALUE"""),0.0)</f>
        <v>0</v>
      </c>
      <c r="V740" s="87">
        <f>IFERROR(__xludf.DUMMYFUNCTION("""COMPUTED_VALUE"""),0.0)</f>
        <v>0</v>
      </c>
      <c r="W740" s="87">
        <f>IFERROR(__xludf.DUMMYFUNCTION("""COMPUTED_VALUE"""),0.0)</f>
        <v>0</v>
      </c>
      <c r="X740" s="88"/>
      <c r="Y740" s="74"/>
      <c r="Z740" s="74"/>
    </row>
    <row r="741">
      <c r="B741" s="74" t="str">
        <f>IFERROR(__xludf.DUMMYFUNCTION("""COMPUTED_VALUE"""),"1738")</f>
        <v>1738</v>
      </c>
      <c r="C741" s="74"/>
      <c r="D741" s="74" t="str">
        <f>IFERROR(__xludf.DUMMYFUNCTION("""COMPUTED_VALUE"""),"\\MCA-S\mk\2_BM\0_BMat\08_PYM\Inventario\excel\Imagen de refacciones\Putzmeister\Vacuum gauge _ Manómetro de vacío")</f>
        <v>\\MCA-S\mk\2_BM\0_BMat\08_PYM\Inventario\excel\Imagen de refacciones\Putzmeister\Vacuum gauge _ Manómetro de vacío</v>
      </c>
      <c r="E741" s="74"/>
      <c r="F741" s="74" t="str">
        <f>IFERROR(__xludf.DUMMYFUNCTION("""COMPUTED_VALUE"""),"Vacuum gauge / Manómetro de vacío")</f>
        <v>Vacuum gauge / Manómetro de vacío</v>
      </c>
      <c r="G741" s="74"/>
      <c r="H741" s="74"/>
      <c r="I741" s="74" t="str">
        <f>IFERROR(__xludf.DUMMYFUNCTION("""COMPUTED_VALUE"""),"SOM20326")</f>
        <v>SOM20326</v>
      </c>
      <c r="J741" s="74" t="str">
        <f>IFERROR(__xludf.DUMMYFUNCTION("""COMPUTED_VALUE"""),"60440008")</f>
        <v>60440008</v>
      </c>
      <c r="K741" s="74" t="str">
        <f>IFERROR(__xludf.DUMMYFUNCTION("""COMPUTED_VALUE"""),"Putzmeister")</f>
        <v>Putzmeister</v>
      </c>
      <c r="L741" s="74" t="str">
        <f>IFERROR(__xludf.DUMMYFUNCTION("""COMPUTED_VALUE"""),"Elementos de medición y control")</f>
        <v>Elementos de medición y control</v>
      </c>
      <c r="M741" s="74" t="str">
        <f>IFERROR(__xludf.DUMMYFUNCTION("""COMPUTED_VALUE"""),"Sin Asignar")</f>
        <v>Sin Asignar</v>
      </c>
      <c r="N741" s="87">
        <f>IFERROR(__xludf.DUMMYFUNCTION("""COMPUTED_VALUE"""),0.0)</f>
        <v>0</v>
      </c>
      <c r="O741" s="74"/>
      <c r="P741" s="74" t="str">
        <f>IFERROR(__xludf.DUMMYFUNCTION("""COMPUTED_VALUE"""),"No Available")</f>
        <v>No Available</v>
      </c>
      <c r="Q741" s="74"/>
      <c r="R741" s="74"/>
      <c r="S741" s="87">
        <f>IFERROR(__xludf.DUMMYFUNCTION("""COMPUTED_VALUE"""),0.0)</f>
        <v>0</v>
      </c>
      <c r="T741" s="87">
        <f>IFERROR(__xludf.DUMMYFUNCTION("""COMPUTED_VALUE"""),0.0)</f>
        <v>0</v>
      </c>
      <c r="U741" s="87">
        <f>IFERROR(__xludf.DUMMYFUNCTION("""COMPUTED_VALUE"""),0.0)</f>
        <v>0</v>
      </c>
      <c r="V741" s="87">
        <f>IFERROR(__xludf.DUMMYFUNCTION("""COMPUTED_VALUE"""),0.0)</f>
        <v>0</v>
      </c>
      <c r="W741" s="87">
        <f>IFERROR(__xludf.DUMMYFUNCTION("""COMPUTED_VALUE"""),0.0)</f>
        <v>0</v>
      </c>
      <c r="X741" s="88"/>
      <c r="Y741" s="74"/>
      <c r="Z741" s="74"/>
    </row>
    <row r="742">
      <c r="B742" s="74" t="str">
        <f>IFERROR(__xludf.DUMMYFUNCTION("""COMPUTED_VALUE"""),"1739")</f>
        <v>1739</v>
      </c>
      <c r="C742" s="74"/>
      <c r="D742" s="74" t="str">
        <f>IFERROR(__xludf.DUMMYFUNCTION("""COMPUTED_VALUE"""),"\\MCA-S\mk\2_BM\0_BMat\08_PYM\Inventario\excel\Imagen de refacciones\Putzmeister\Main pump A4VG125 _ Bomba principal A4VG125")</f>
        <v>\\MCA-S\mk\2_BM\0_BMat\08_PYM\Inventario\excel\Imagen de refacciones\Putzmeister\Main pump A4VG125 _ Bomba principal A4VG125</v>
      </c>
      <c r="E742" s="74"/>
      <c r="F742" s="74" t="str">
        <f>IFERROR(__xludf.DUMMYFUNCTION("""COMPUTED_VALUE"""),"Main pump A4VG125 / Bomba principal A4VG125")</f>
        <v>Main pump A4VG125 / Bomba principal A4VG125</v>
      </c>
      <c r="G742" s="74"/>
      <c r="H742" s="74"/>
      <c r="I742" s="74" t="str">
        <f>IFERROR(__xludf.DUMMYFUNCTION("""COMPUTED_VALUE"""),"SOM20327")</f>
        <v>SOM20327</v>
      </c>
      <c r="J742" s="74" t="str">
        <f>IFERROR(__xludf.DUMMYFUNCTION("""COMPUTED_VALUE"""),"266680002")</f>
        <v>266680002</v>
      </c>
      <c r="K742" s="74" t="str">
        <f>IFERROR(__xludf.DUMMYFUNCTION("""COMPUTED_VALUE"""),"Putzmeister")</f>
        <v>Putzmeister</v>
      </c>
      <c r="L742" s="74" t="str">
        <f>IFERROR(__xludf.DUMMYFUNCTION("""COMPUTED_VALUE"""),"Componentes hidráulicos")</f>
        <v>Componentes hidráulicos</v>
      </c>
      <c r="M742" s="74" t="str">
        <f>IFERROR(__xludf.DUMMYFUNCTION("""COMPUTED_VALUE"""),"Sin Asignar")</f>
        <v>Sin Asignar</v>
      </c>
      <c r="N742" s="87">
        <f>IFERROR(__xludf.DUMMYFUNCTION("""COMPUTED_VALUE"""),0.0)</f>
        <v>0</v>
      </c>
      <c r="O742" s="74"/>
      <c r="P742" s="74" t="str">
        <f>IFERROR(__xludf.DUMMYFUNCTION("""COMPUTED_VALUE"""),"No Available")</f>
        <v>No Available</v>
      </c>
      <c r="Q742" s="74"/>
      <c r="R742" s="74"/>
      <c r="S742" s="87">
        <f>IFERROR(__xludf.DUMMYFUNCTION("""COMPUTED_VALUE"""),0.0)</f>
        <v>0</v>
      </c>
      <c r="T742" s="87">
        <f>IFERROR(__xludf.DUMMYFUNCTION("""COMPUTED_VALUE"""),0.0)</f>
        <v>0</v>
      </c>
      <c r="U742" s="87">
        <f>IFERROR(__xludf.DUMMYFUNCTION("""COMPUTED_VALUE"""),0.0)</f>
        <v>0</v>
      </c>
      <c r="V742" s="87">
        <f>IFERROR(__xludf.DUMMYFUNCTION("""COMPUTED_VALUE"""),0.0)</f>
        <v>0</v>
      </c>
      <c r="W742" s="87">
        <f>IFERROR(__xludf.DUMMYFUNCTION("""COMPUTED_VALUE"""),0.0)</f>
        <v>0</v>
      </c>
      <c r="X742" s="88"/>
      <c r="Y742" s="74"/>
      <c r="Z742" s="74"/>
    </row>
    <row r="743">
      <c r="B743" s="74" t="str">
        <f>IFERROR(__xludf.DUMMYFUNCTION("""COMPUTED_VALUE"""),"1740")</f>
        <v>1740</v>
      </c>
      <c r="C743" s="74"/>
      <c r="D743" s="74" t="str">
        <f>IFERROR(__xludf.DUMMYFUNCTION("""COMPUTED_VALUE"""),"\\MCA-S\mk\2_BM\0_BMat\08_PYM\Inventario\excel\Imagen de refacciones\Putzmeister\Hydraulic pump _ Bomba hidráulica")</f>
        <v>\\MCA-S\mk\2_BM\0_BMat\08_PYM\Inventario\excel\Imagen de refacciones\Putzmeister\Hydraulic pump _ Bomba hidráulica</v>
      </c>
      <c r="E743" s="74"/>
      <c r="F743" s="74" t="str">
        <f>IFERROR(__xludf.DUMMYFUNCTION("""COMPUTED_VALUE"""),"Hydraulic pump / Bomba hidráulica")</f>
        <v>Hydraulic pump / Bomba hidráulica</v>
      </c>
      <c r="G743" s="74"/>
      <c r="H743" s="74"/>
      <c r="I743" s="74" t="str">
        <f>IFERROR(__xludf.DUMMYFUNCTION("""COMPUTED_VALUE"""),"SOM20328")</f>
        <v>SOM20328</v>
      </c>
      <c r="J743" s="74" t="str">
        <f>IFERROR(__xludf.DUMMYFUNCTION("""COMPUTED_VALUE"""),"67370003")</f>
        <v>67370003</v>
      </c>
      <c r="K743" s="74" t="str">
        <f>IFERROR(__xludf.DUMMYFUNCTION("""COMPUTED_VALUE"""),"Putzmeister")</f>
        <v>Putzmeister</v>
      </c>
      <c r="L743" s="74" t="str">
        <f>IFERROR(__xludf.DUMMYFUNCTION("""COMPUTED_VALUE"""),"Componentes hidráulicos")</f>
        <v>Componentes hidráulicos</v>
      </c>
      <c r="M743" s="74" t="str">
        <f>IFERROR(__xludf.DUMMYFUNCTION("""COMPUTED_VALUE"""),"Sin Asignar")</f>
        <v>Sin Asignar</v>
      </c>
      <c r="N743" s="87">
        <f>IFERROR(__xludf.DUMMYFUNCTION("""COMPUTED_VALUE"""),0.0)</f>
        <v>0</v>
      </c>
      <c r="O743" s="74"/>
      <c r="P743" s="74" t="str">
        <f>IFERROR(__xludf.DUMMYFUNCTION("""COMPUTED_VALUE"""),"borrar")</f>
        <v>borrar</v>
      </c>
      <c r="Q743" s="74"/>
      <c r="R743" s="74"/>
      <c r="S743" s="87">
        <f>IFERROR(__xludf.DUMMYFUNCTION("""COMPUTED_VALUE"""),0.0)</f>
        <v>0</v>
      </c>
      <c r="T743" s="87">
        <f>IFERROR(__xludf.DUMMYFUNCTION("""COMPUTED_VALUE"""),0.0)</f>
        <v>0</v>
      </c>
      <c r="U743" s="87">
        <f>IFERROR(__xludf.DUMMYFUNCTION("""COMPUTED_VALUE"""),0.0)</f>
        <v>0</v>
      </c>
      <c r="V743" s="87">
        <f>IFERROR(__xludf.DUMMYFUNCTION("""COMPUTED_VALUE"""),0.0)</f>
        <v>0</v>
      </c>
      <c r="W743" s="87">
        <f>IFERROR(__xludf.DUMMYFUNCTION("""COMPUTED_VALUE"""),0.0)</f>
        <v>0</v>
      </c>
      <c r="X743" s="88"/>
      <c r="Y743" s="74"/>
      <c r="Z743" s="74"/>
    </row>
    <row r="744">
      <c r="B744" s="74" t="str">
        <f>IFERROR(__xludf.DUMMYFUNCTION("""COMPUTED_VALUE"""),"1741")</f>
        <v>1741</v>
      </c>
      <c r="C744" s="74" t="str">
        <f>IFERROR(__xludf.DUMMYFUNCTION("""COMPUTED_VALUE"""),"75045880548")</f>
        <v>75045880548</v>
      </c>
      <c r="D744" s="74" t="str">
        <f>IFERROR(__xludf.DUMMYFUNCTION("""COMPUTED_VALUE"""),"\\MCA-S\mk\2_BM\0_BMat\08_PYM\Inventario\excel\Imagen de refacciones\Putzmeister\Hydraulic pumo r 14 CM _ Bomba hidráulica R 14 CM")</f>
        <v>\\MCA-S\mk\2_BM\0_BMat\08_PYM\Inventario\excel\Imagen de refacciones\Putzmeister\Hydraulic pumo r 14 CM _ Bomba hidráulica R 14 CM</v>
      </c>
      <c r="E744" s="74"/>
      <c r="F744" s="74" t="str">
        <f>IFERROR(__xludf.DUMMYFUNCTION("""COMPUTED_VALUE"""),"Hydraulic pump r 14 CM / Bomba hidráulica R 14 CM")</f>
        <v>Hydraulic pump r 14 CM / Bomba hidráulica R 14 CM</v>
      </c>
      <c r="G744" s="74"/>
      <c r="H744" s="74"/>
      <c r="I744" s="74" t="str">
        <f>IFERROR(__xludf.DUMMYFUNCTION("""COMPUTED_VALUE"""),"SOM20329")</f>
        <v>SOM20329</v>
      </c>
      <c r="J744" s="74" t="str">
        <f>IFERROR(__xludf.DUMMYFUNCTION("""COMPUTED_VALUE"""),"235383000")</f>
        <v>235383000</v>
      </c>
      <c r="K744" s="74" t="str">
        <f>IFERROR(__xludf.DUMMYFUNCTION("""COMPUTED_VALUE"""),"Putzmeister")</f>
        <v>Putzmeister</v>
      </c>
      <c r="L744" s="74" t="str">
        <f>IFERROR(__xludf.DUMMYFUNCTION("""COMPUTED_VALUE"""),"Componentes hidráulicos")</f>
        <v>Componentes hidráulicos</v>
      </c>
      <c r="M744" s="74" t="str">
        <f>IFERROR(__xludf.DUMMYFUNCTION("""COMPUTED_VALUE"""),"Sin Asignar")</f>
        <v>Sin Asignar</v>
      </c>
      <c r="N744" s="87">
        <f>IFERROR(__xludf.DUMMYFUNCTION("""COMPUTED_VALUE"""),0.0)</f>
        <v>0</v>
      </c>
      <c r="O744" s="74"/>
      <c r="P744" s="74" t="str">
        <f>IFERROR(__xludf.DUMMYFUNCTION("""COMPUTED_VALUE"""),"borrar")</f>
        <v>borrar</v>
      </c>
      <c r="Q744" s="74"/>
      <c r="R744" s="74"/>
      <c r="S744" s="87">
        <f>IFERROR(__xludf.DUMMYFUNCTION("""COMPUTED_VALUE"""),0.0)</f>
        <v>0</v>
      </c>
      <c r="T744" s="87">
        <f>IFERROR(__xludf.DUMMYFUNCTION("""COMPUTED_VALUE"""),0.0)</f>
        <v>0</v>
      </c>
      <c r="U744" s="87">
        <f>IFERROR(__xludf.DUMMYFUNCTION("""COMPUTED_VALUE"""),0.0)</f>
        <v>0</v>
      </c>
      <c r="V744" s="87">
        <f>IFERROR(__xludf.DUMMYFUNCTION("""COMPUTED_VALUE"""),0.0)</f>
        <v>0</v>
      </c>
      <c r="W744" s="87">
        <f>IFERROR(__xludf.DUMMYFUNCTION("""COMPUTED_VALUE"""),0.0)</f>
        <v>0</v>
      </c>
      <c r="X744" s="88"/>
      <c r="Y744" s="74"/>
      <c r="Z744" s="74"/>
    </row>
    <row r="745">
      <c r="B745" s="74" t="str">
        <f>IFERROR(__xludf.DUMMYFUNCTION("""COMPUTED_VALUE"""),"1742")</f>
        <v>1742</v>
      </c>
      <c r="C745" s="74"/>
      <c r="D745" s="74" t="str">
        <f>IFERROR(__xludf.DUMMYFUNCTION("""COMPUTED_VALUE"""),"\\MCA-S\mk\2_BM\0_BMat\08_PYM\Inventario\excel\Imagen de refacciones\Putzmeister\Hydraulic pump L a7V28 (24) DR _ Bomba hidráulica A7V28 (24) DR")</f>
        <v>\\MCA-S\mk\2_BM\0_BMat\08_PYM\Inventario\excel\Imagen de refacciones\Putzmeister\Hydraulic pump L a7V28 (24) DR _ Bomba hidráulica A7V28 (24) DR</v>
      </c>
      <c r="E745" s="74"/>
      <c r="F745" s="74" t="str">
        <f>IFERROR(__xludf.DUMMYFUNCTION("""COMPUTED_VALUE"""),"Hydraulic pump L a7V28 (24) DR / Bomba hidráulica A7V28 (24) DR")</f>
        <v>Hydraulic pump L a7V28 (24) DR / Bomba hidráulica A7V28 (24) DR</v>
      </c>
      <c r="G745" s="74"/>
      <c r="H745" s="74"/>
      <c r="I745" s="74" t="str">
        <f>IFERROR(__xludf.DUMMYFUNCTION("""COMPUTED_VALUE"""),"SOM20330")</f>
        <v>SOM20330</v>
      </c>
      <c r="J745" s="74" t="str">
        <f>IFERROR(__xludf.DUMMYFUNCTION("""COMPUTED_VALUE"""),"276120002")</f>
        <v>276120002</v>
      </c>
      <c r="K745" s="74" t="str">
        <f>IFERROR(__xludf.DUMMYFUNCTION("""COMPUTED_VALUE"""),"Putzmeister")</f>
        <v>Putzmeister</v>
      </c>
      <c r="L745" s="74" t="str">
        <f>IFERROR(__xludf.DUMMYFUNCTION("""COMPUTED_VALUE"""),"Componentes hidráulicos")</f>
        <v>Componentes hidráulicos</v>
      </c>
      <c r="M745" s="74" t="str">
        <f>IFERROR(__xludf.DUMMYFUNCTION("""COMPUTED_VALUE"""),"Sin Asignar")</f>
        <v>Sin Asignar</v>
      </c>
      <c r="N745" s="87">
        <f>IFERROR(__xludf.DUMMYFUNCTION("""COMPUTED_VALUE"""),0.0)</f>
        <v>0</v>
      </c>
      <c r="O745" s="74"/>
      <c r="P745" s="74" t="str">
        <f>IFERROR(__xludf.DUMMYFUNCTION("""COMPUTED_VALUE"""),"No Available")</f>
        <v>No Available</v>
      </c>
      <c r="Q745" s="74"/>
      <c r="R745" s="74"/>
      <c r="S745" s="87">
        <f>IFERROR(__xludf.DUMMYFUNCTION("""COMPUTED_VALUE"""),0.0)</f>
        <v>0</v>
      </c>
      <c r="T745" s="87">
        <f>IFERROR(__xludf.DUMMYFUNCTION("""COMPUTED_VALUE"""),0.0)</f>
        <v>0</v>
      </c>
      <c r="U745" s="87">
        <f>IFERROR(__xludf.DUMMYFUNCTION("""COMPUTED_VALUE"""),0.0)</f>
        <v>0</v>
      </c>
      <c r="V745" s="87">
        <f>IFERROR(__xludf.DUMMYFUNCTION("""COMPUTED_VALUE"""),0.0)</f>
        <v>0</v>
      </c>
      <c r="W745" s="87">
        <f>IFERROR(__xludf.DUMMYFUNCTION("""COMPUTED_VALUE"""),0.0)</f>
        <v>0</v>
      </c>
      <c r="X745" s="88"/>
      <c r="Y745" s="74"/>
      <c r="Z745" s="74"/>
    </row>
    <row r="746">
      <c r="B746" s="74" t="str">
        <f>IFERROR(__xludf.DUMMYFUNCTION("""COMPUTED_VALUE"""),"1743")</f>
        <v>1743</v>
      </c>
      <c r="C746" s="74"/>
      <c r="D746" s="74" t="str">
        <f>IFERROR(__xludf.DUMMYFUNCTION("""COMPUTED_VALUE"""),"\\MCA-S\mk\2_BM\0_BMat\08_PYM\Inventario\excel\Imagen de refacciones\Putzmeister\Hydraulic pump _ Bomba hidráulica (1)")</f>
        <v>\\MCA-S\mk\2_BM\0_BMat\08_PYM\Inventario\excel\Imagen de refacciones\Putzmeister\Hydraulic pump _ Bomba hidráulica (1)</v>
      </c>
      <c r="E746" s="74"/>
      <c r="F746" s="74" t="str">
        <f>IFERROR(__xludf.DUMMYFUNCTION("""COMPUTED_VALUE"""),"Hydraulic pump / Bomba hidráulica")</f>
        <v>Hydraulic pump / Bomba hidráulica</v>
      </c>
      <c r="G746" s="74"/>
      <c r="H746" s="74"/>
      <c r="I746" s="74" t="str">
        <f>IFERROR(__xludf.DUMMYFUNCTION("""COMPUTED_VALUE"""),"SOM20331")</f>
        <v>SOM20331</v>
      </c>
      <c r="J746" s="74" t="str">
        <f>IFERROR(__xludf.DUMMYFUNCTION("""COMPUTED_VALUE"""),"279532008")</f>
        <v>279532008</v>
      </c>
      <c r="K746" s="74" t="str">
        <f>IFERROR(__xludf.DUMMYFUNCTION("""COMPUTED_VALUE"""),"Putzmeister")</f>
        <v>Putzmeister</v>
      </c>
      <c r="L746" s="74" t="str">
        <f>IFERROR(__xludf.DUMMYFUNCTION("""COMPUTED_VALUE"""),"Componentes hidráulicos")</f>
        <v>Componentes hidráulicos</v>
      </c>
      <c r="M746" s="74" t="str">
        <f>IFERROR(__xludf.DUMMYFUNCTION("""COMPUTED_VALUE"""),"Sin Asignar")</f>
        <v>Sin Asignar</v>
      </c>
      <c r="N746" s="87">
        <f>IFERROR(__xludf.DUMMYFUNCTION("""COMPUTED_VALUE"""),0.0)</f>
        <v>0</v>
      </c>
      <c r="O746" s="74"/>
      <c r="P746" s="74" t="str">
        <f>IFERROR(__xludf.DUMMYFUNCTION("""COMPUTED_VALUE"""),"No Available")</f>
        <v>No Available</v>
      </c>
      <c r="Q746" s="74"/>
      <c r="R746" s="74"/>
      <c r="S746" s="87">
        <f>IFERROR(__xludf.DUMMYFUNCTION("""COMPUTED_VALUE"""),0.0)</f>
        <v>0</v>
      </c>
      <c r="T746" s="87">
        <f>IFERROR(__xludf.DUMMYFUNCTION("""COMPUTED_VALUE"""),0.0)</f>
        <v>0</v>
      </c>
      <c r="U746" s="87">
        <f>IFERROR(__xludf.DUMMYFUNCTION("""COMPUTED_VALUE"""),0.0)</f>
        <v>0</v>
      </c>
      <c r="V746" s="87">
        <f>IFERROR(__xludf.DUMMYFUNCTION("""COMPUTED_VALUE"""),0.0)</f>
        <v>0</v>
      </c>
      <c r="W746" s="87">
        <f>IFERROR(__xludf.DUMMYFUNCTION("""COMPUTED_VALUE"""),0.0)</f>
        <v>0</v>
      </c>
      <c r="X746" s="88"/>
      <c r="Y746" s="74"/>
      <c r="Z746" s="74"/>
    </row>
    <row r="747">
      <c r="B747" s="74" t="str">
        <f>IFERROR(__xludf.DUMMYFUNCTION("""COMPUTED_VALUE"""),"1744")</f>
        <v>1744</v>
      </c>
      <c r="C747" s="74"/>
      <c r="D747" s="74" t="str">
        <f>IFERROR(__xludf.DUMMYFUNCTION("""COMPUTED_VALUE"""),"\\MCA-S\mk\2_BM\0_BMat\08_PYM\Inventario\excel\Imagen de refacciones\Putzmeister\Hydraulic pump _ Bomba hidráulica (2)")</f>
        <v>\\MCA-S\mk\2_BM\0_BMat\08_PYM\Inventario\excel\Imagen de refacciones\Putzmeister\Hydraulic pump _ Bomba hidráulica (2)</v>
      </c>
      <c r="E747" s="74"/>
      <c r="F747" s="74" t="str">
        <f>IFERROR(__xludf.DUMMYFUNCTION("""COMPUTED_VALUE"""),"Hydraulic pump / Bomba hidráulica")</f>
        <v>Hydraulic pump / Bomba hidráulica</v>
      </c>
      <c r="G747" s="74"/>
      <c r="H747" s="74"/>
      <c r="I747" s="74" t="str">
        <f>IFERROR(__xludf.DUMMYFUNCTION("""COMPUTED_VALUE"""),"SOM20332")</f>
        <v>SOM20332</v>
      </c>
      <c r="J747" s="74" t="str">
        <f>IFERROR(__xludf.DUMMYFUNCTION("""COMPUTED_VALUE"""),"6792005")</f>
        <v>6792005</v>
      </c>
      <c r="K747" s="74" t="str">
        <f>IFERROR(__xludf.DUMMYFUNCTION("""COMPUTED_VALUE"""),"Putzmeister")</f>
        <v>Putzmeister</v>
      </c>
      <c r="L747" s="74" t="str">
        <f>IFERROR(__xludf.DUMMYFUNCTION("""COMPUTED_VALUE"""),"Componentes hidráulicos")</f>
        <v>Componentes hidráulicos</v>
      </c>
      <c r="M747" s="74" t="str">
        <f>IFERROR(__xludf.DUMMYFUNCTION("""COMPUTED_VALUE"""),"Sin Asignar")</f>
        <v>Sin Asignar</v>
      </c>
      <c r="N747" s="87">
        <f>IFERROR(__xludf.DUMMYFUNCTION("""COMPUTED_VALUE"""),0.0)</f>
        <v>0</v>
      </c>
      <c r="O747" s="74"/>
      <c r="P747" s="74" t="str">
        <f>IFERROR(__xludf.DUMMYFUNCTION("""COMPUTED_VALUE"""),"No Available")</f>
        <v>No Available</v>
      </c>
      <c r="Q747" s="74"/>
      <c r="R747" s="74"/>
      <c r="S747" s="87">
        <f>IFERROR(__xludf.DUMMYFUNCTION("""COMPUTED_VALUE"""),0.0)</f>
        <v>0</v>
      </c>
      <c r="T747" s="87">
        <f>IFERROR(__xludf.DUMMYFUNCTION("""COMPUTED_VALUE"""),0.0)</f>
        <v>0</v>
      </c>
      <c r="U747" s="87">
        <f>IFERROR(__xludf.DUMMYFUNCTION("""COMPUTED_VALUE"""),0.0)</f>
        <v>0</v>
      </c>
      <c r="V747" s="87">
        <f>IFERROR(__xludf.DUMMYFUNCTION("""COMPUTED_VALUE"""),0.0)</f>
        <v>0</v>
      </c>
      <c r="W747" s="87">
        <f>IFERROR(__xludf.DUMMYFUNCTION("""COMPUTED_VALUE"""),0.0)</f>
        <v>0</v>
      </c>
      <c r="X747" s="88"/>
      <c r="Y747" s="74"/>
      <c r="Z747" s="74"/>
    </row>
    <row r="748">
      <c r="B748" s="74" t="str">
        <f>IFERROR(__xludf.DUMMYFUNCTION("""COMPUTED_VALUE"""),"1745")</f>
        <v>1745</v>
      </c>
      <c r="C748" s="74"/>
      <c r="D748" s="74" t="str">
        <f>IFERROR(__xludf.DUMMYFUNCTION("""COMPUTED_VALUE"""),"\\MCA-S\mk\2_BM\0_BMat\08_PYM\Inventario\excel\Imagen de refacciones\Putzmeister\Hydraulic motor 160 _ Motor hidráulico 160")</f>
        <v>\\MCA-S\mk\2_BM\0_BMat\08_PYM\Inventario\excel\Imagen de refacciones\Putzmeister\Hydraulic motor 160 _ Motor hidráulico 160</v>
      </c>
      <c r="E748" s="74"/>
      <c r="F748" s="74" t="str">
        <f>IFERROR(__xludf.DUMMYFUNCTION("""COMPUTED_VALUE"""),"MOTOR AGITADOR OMP160 PARA BOMBA DE HORMIGON")</f>
        <v>MOTOR AGITADOR OMP160 PARA BOMBA DE HORMIGON</v>
      </c>
      <c r="G748" s="74"/>
      <c r="H748" s="74"/>
      <c r="I748" s="74" t="str">
        <f>IFERROR(__xludf.DUMMYFUNCTION("""COMPUTED_VALUE"""),"SOM20334")</f>
        <v>SOM20334</v>
      </c>
      <c r="J748" s="74" t="str">
        <f>IFERROR(__xludf.DUMMYFUNCTION("""COMPUTED_VALUE"""),"434196 /67094004")</f>
        <v>434196 /67094004</v>
      </c>
      <c r="K748" s="74" t="str">
        <f>IFERROR(__xludf.DUMMYFUNCTION("""COMPUTED_VALUE"""),"Putzmeister")</f>
        <v>Putzmeister</v>
      </c>
      <c r="L748" s="74" t="str">
        <f>IFERROR(__xludf.DUMMYFUNCTION("""COMPUTED_VALUE"""),"Componentes hidráulicos")</f>
        <v>Componentes hidráulicos</v>
      </c>
      <c r="M748" s="74" t="str">
        <f>IFERROR(__xludf.DUMMYFUNCTION("""COMPUTED_VALUE"""),"Sin Asignar")</f>
        <v>Sin Asignar</v>
      </c>
      <c r="N748" s="87">
        <f>IFERROR(__xludf.DUMMYFUNCTION("""COMPUTED_VALUE"""),0.0)</f>
        <v>0</v>
      </c>
      <c r="O748" s="74"/>
      <c r="P748" s="74" t="str">
        <f>IFERROR(__xludf.DUMMYFUNCTION("""COMPUTED_VALUE"""),"borrar")</f>
        <v>borrar</v>
      </c>
      <c r="Q748" s="74"/>
      <c r="R748" s="74"/>
      <c r="S748" s="87">
        <f>IFERROR(__xludf.DUMMYFUNCTION("""COMPUTED_VALUE"""),0.0)</f>
        <v>0</v>
      </c>
      <c r="T748" s="87">
        <f>IFERROR(__xludf.DUMMYFUNCTION("""COMPUTED_VALUE"""),0.0)</f>
        <v>0</v>
      </c>
      <c r="U748" s="87">
        <f>IFERROR(__xludf.DUMMYFUNCTION("""COMPUTED_VALUE"""),0.0)</f>
        <v>0</v>
      </c>
      <c r="V748" s="87">
        <f>IFERROR(__xludf.DUMMYFUNCTION("""COMPUTED_VALUE"""),0.0)</f>
        <v>0</v>
      </c>
      <c r="W748" s="87">
        <f>IFERROR(__xludf.DUMMYFUNCTION("""COMPUTED_VALUE"""),0.0)</f>
        <v>0</v>
      </c>
      <c r="X748" s="88"/>
      <c r="Y748" s="74"/>
      <c r="Z748" s="74"/>
    </row>
    <row r="749">
      <c r="B749" s="74" t="str">
        <f>IFERROR(__xludf.DUMMYFUNCTION("""COMPUTED_VALUE"""),"1746")</f>
        <v>1746</v>
      </c>
      <c r="C749" s="74"/>
      <c r="D749" s="74" t="str">
        <f>IFERROR(__xludf.DUMMYFUNCTION("""COMPUTED_VALUE"""),"\\MCA-S\mk\2_BM\0_BMat\08_PYM\Inventario\excel\Imagen de refacciones\Putzmeister\Flushing water pump with hydraulic pump _ Bomba de agua de lavado con bomba hidráulica")</f>
        <v>\\MCA-S\mk\2_BM\0_BMat\08_PYM\Inventario\excel\Imagen de refacciones\Putzmeister\Flushing water pump with hydraulic pump _ Bomba de agua de lavado con bomba hidráulica</v>
      </c>
      <c r="E749" s="74"/>
      <c r="F749" s="74" t="str">
        <f>IFERROR(__xludf.DUMMYFUNCTION("""COMPUTED_VALUE"""),"Flushing water pump with hydraulic pump / Bomba de agua de lavado con bomba hidráulica")</f>
        <v>Flushing water pump with hydraulic pump / Bomba de agua de lavado con bomba hidráulica</v>
      </c>
      <c r="G749" s="74"/>
      <c r="H749" s="74"/>
      <c r="I749" s="74" t="str">
        <f>IFERROR(__xludf.DUMMYFUNCTION("""COMPUTED_VALUE"""),"SOM20335")</f>
        <v>SOM20335</v>
      </c>
      <c r="J749" s="74" t="str">
        <f>IFERROR(__xludf.DUMMYFUNCTION("""COMPUTED_VALUE"""),"231344001")</f>
        <v>231344001</v>
      </c>
      <c r="K749" s="74" t="str">
        <f>IFERROR(__xludf.DUMMYFUNCTION("""COMPUTED_VALUE"""),"Putzmeister")</f>
        <v>Putzmeister</v>
      </c>
      <c r="L749" s="74" t="str">
        <f>IFERROR(__xludf.DUMMYFUNCTION("""COMPUTED_VALUE"""),"Sistema de bombeo de concreto")</f>
        <v>Sistema de bombeo de concreto</v>
      </c>
      <c r="M749" s="74" t="str">
        <f>IFERROR(__xludf.DUMMYFUNCTION("""COMPUTED_VALUE"""),"Sin Asignar")</f>
        <v>Sin Asignar</v>
      </c>
      <c r="N749" s="87">
        <f>IFERROR(__xludf.DUMMYFUNCTION("""COMPUTED_VALUE"""),0.0)</f>
        <v>0</v>
      </c>
      <c r="O749" s="74"/>
      <c r="P749" s="74" t="str">
        <f>IFERROR(__xludf.DUMMYFUNCTION("""COMPUTED_VALUE"""),"No Available")</f>
        <v>No Available</v>
      </c>
      <c r="Q749" s="74"/>
      <c r="R749" s="74"/>
      <c r="S749" s="87">
        <f>IFERROR(__xludf.DUMMYFUNCTION("""COMPUTED_VALUE"""),0.0)</f>
        <v>0</v>
      </c>
      <c r="T749" s="87">
        <f>IFERROR(__xludf.DUMMYFUNCTION("""COMPUTED_VALUE"""),0.0)</f>
        <v>0</v>
      </c>
      <c r="U749" s="87">
        <f>IFERROR(__xludf.DUMMYFUNCTION("""COMPUTED_VALUE"""),0.0)</f>
        <v>0</v>
      </c>
      <c r="V749" s="87">
        <f>IFERROR(__xludf.DUMMYFUNCTION("""COMPUTED_VALUE"""),0.0)</f>
        <v>0</v>
      </c>
      <c r="W749" s="87">
        <f>IFERROR(__xludf.DUMMYFUNCTION("""COMPUTED_VALUE"""),0.0)</f>
        <v>0</v>
      </c>
      <c r="X749" s="88"/>
      <c r="Y749" s="74"/>
      <c r="Z749" s="74"/>
    </row>
    <row r="750">
      <c r="B750" s="74" t="str">
        <f>IFERROR(__xludf.DUMMYFUNCTION("""COMPUTED_VALUE"""),"1747")</f>
        <v>1747</v>
      </c>
      <c r="C750" s="74"/>
      <c r="D750" s="74" t="str">
        <f>IFERROR(__xludf.DUMMYFUNCTION("""COMPUTED_VALUE"""),"\\MCA-S\mk\2_BM\0_BMat\08_PYM\Inventario\excel\Imagen de refacciones\Putzmeister\FLUSHING WATER PUMP WHITOUT HYDRAULIC PUMP _ Bomba de agua de lavado (sin bomba hidráulica)")</f>
        <v>\\MCA-S\mk\2_BM\0_BMat\08_PYM\Inventario\excel\Imagen de refacciones\Putzmeister\FLUSHING WATER PUMP WHITOUT HYDRAULIC PUMP _ Bomba de agua de lavado (sin bomba hidráulica)</v>
      </c>
      <c r="E750" s="74"/>
      <c r="F750" s="74" t="str">
        <f>IFERROR(__xludf.DUMMYFUNCTION("""COMPUTED_VALUE"""),"FLUSHING WATER PUMP WHITOUT HYDRAULIC PUMP / Bomba de agua de lavado (sin bomba hidráulica)")</f>
        <v>FLUSHING WATER PUMP WHITOUT HYDRAULIC PUMP / Bomba de agua de lavado (sin bomba hidráulica)</v>
      </c>
      <c r="G750" s="74"/>
      <c r="H750" s="74"/>
      <c r="I750" s="74" t="str">
        <f>IFERROR(__xludf.DUMMYFUNCTION("""COMPUTED_VALUE"""),"SOM20336")</f>
        <v>SOM20336</v>
      </c>
      <c r="J750" s="74" t="str">
        <f>IFERROR(__xludf.DUMMYFUNCTION("""COMPUTED_VALUE"""),"229179000")</f>
        <v>229179000</v>
      </c>
      <c r="K750" s="74" t="str">
        <f>IFERROR(__xludf.DUMMYFUNCTION("""COMPUTED_VALUE"""),"Putzmeister")</f>
        <v>Putzmeister</v>
      </c>
      <c r="L750" s="74" t="str">
        <f>IFERROR(__xludf.DUMMYFUNCTION("""COMPUTED_VALUE"""),"Sistema de bombeo de concreto")</f>
        <v>Sistema de bombeo de concreto</v>
      </c>
      <c r="M750" s="74" t="str">
        <f>IFERROR(__xludf.DUMMYFUNCTION("""COMPUTED_VALUE"""),"Sin Asignar")</f>
        <v>Sin Asignar</v>
      </c>
      <c r="N750" s="87">
        <f>IFERROR(__xludf.DUMMYFUNCTION("""COMPUTED_VALUE"""),0.0)</f>
        <v>0</v>
      </c>
      <c r="O750" s="74"/>
      <c r="P750" s="74" t="str">
        <f>IFERROR(__xludf.DUMMYFUNCTION("""COMPUTED_VALUE"""),"No Available")</f>
        <v>No Available</v>
      </c>
      <c r="Q750" s="74"/>
      <c r="R750" s="74"/>
      <c r="S750" s="87">
        <f>IFERROR(__xludf.DUMMYFUNCTION("""COMPUTED_VALUE"""),0.0)</f>
        <v>0</v>
      </c>
      <c r="T750" s="87">
        <f>IFERROR(__xludf.DUMMYFUNCTION("""COMPUTED_VALUE"""),0.0)</f>
        <v>0</v>
      </c>
      <c r="U750" s="87">
        <f>IFERROR(__xludf.DUMMYFUNCTION("""COMPUTED_VALUE"""),0.0)</f>
        <v>0</v>
      </c>
      <c r="V750" s="87">
        <f>IFERROR(__xludf.DUMMYFUNCTION("""COMPUTED_VALUE"""),0.0)</f>
        <v>0</v>
      </c>
      <c r="W750" s="87">
        <f>IFERROR(__xludf.DUMMYFUNCTION("""COMPUTED_VALUE"""),0.0)</f>
        <v>0</v>
      </c>
      <c r="X750" s="88"/>
      <c r="Y750" s="74"/>
      <c r="Z750" s="74"/>
    </row>
    <row r="751">
      <c r="B751" s="74" t="str">
        <f>IFERROR(__xludf.DUMMYFUNCTION("""COMPUTED_VALUE"""),"1748")</f>
        <v>1748</v>
      </c>
      <c r="C751" s="74" t="str">
        <f>IFERROR(__xludf.DUMMYFUNCTION("""COMPUTED_VALUE"""),"75045880502")</f>
        <v>75045880502</v>
      </c>
      <c r="D751" s="74" t="str">
        <f>IFERROR(__xludf.DUMMYFUNCTION("""COMPUTED_VALUE"""),"\\MCA-S\mk\2_BM\0_BMat\08_PYM\Inventario\excel\Imagen de refacciones\Putzmeister\Hydraulic motor _ Motor hidráulico")</f>
        <v>\\MCA-S\mk\2_BM\0_BMat\08_PYM\Inventario\excel\Imagen de refacciones\Putzmeister\Hydraulic motor _ Motor hidráulico</v>
      </c>
      <c r="E751" s="74"/>
      <c r="F751" s="74" t="str">
        <f>IFERROR(__xludf.DUMMYFUNCTION("""COMPUTED_VALUE"""),"Hydraulic motor / Motor hidráulico")</f>
        <v>Hydraulic motor / Motor hidráulico</v>
      </c>
      <c r="G751" s="74"/>
      <c r="H751" s="74"/>
      <c r="I751" s="74" t="str">
        <f>IFERROR(__xludf.DUMMYFUNCTION("""COMPUTED_VALUE"""),"SOM20337")</f>
        <v>SOM20337</v>
      </c>
      <c r="J751" s="74" t="str">
        <f>IFERROR(__xludf.DUMMYFUNCTION("""COMPUTED_VALUE"""),"2291780001 / 404435")</f>
        <v>2291780001 / 404435</v>
      </c>
      <c r="K751" s="74" t="str">
        <f>IFERROR(__xludf.DUMMYFUNCTION("""COMPUTED_VALUE"""),"Putzmeister")</f>
        <v>Putzmeister</v>
      </c>
      <c r="L751" s="74" t="str">
        <f>IFERROR(__xludf.DUMMYFUNCTION("""COMPUTED_VALUE"""),"Componentes hidráulicos")</f>
        <v>Componentes hidráulicos</v>
      </c>
      <c r="M751" s="74" t="str">
        <f>IFERROR(__xludf.DUMMYFUNCTION("""COMPUTED_VALUE"""),"Sin Asignar")</f>
        <v>Sin Asignar</v>
      </c>
      <c r="N751" s="87">
        <f>IFERROR(__xludf.DUMMYFUNCTION("""COMPUTED_VALUE"""),0.0)</f>
        <v>0</v>
      </c>
      <c r="O751" s="74"/>
      <c r="P751" s="74" t="str">
        <f>IFERROR(__xludf.DUMMYFUNCTION("""COMPUTED_VALUE"""),"borrar")</f>
        <v>borrar</v>
      </c>
      <c r="Q751" s="74"/>
      <c r="R751" s="74"/>
      <c r="S751" s="87">
        <f>IFERROR(__xludf.DUMMYFUNCTION("""COMPUTED_VALUE"""),0.0)</f>
        <v>0</v>
      </c>
      <c r="T751" s="87">
        <f>IFERROR(__xludf.DUMMYFUNCTION("""COMPUTED_VALUE"""),0.0)</f>
        <v>0</v>
      </c>
      <c r="U751" s="87">
        <f>IFERROR(__xludf.DUMMYFUNCTION("""COMPUTED_VALUE"""),0.0)</f>
        <v>0</v>
      </c>
      <c r="V751" s="87">
        <f>IFERROR(__xludf.DUMMYFUNCTION("""COMPUTED_VALUE"""),0.0)</f>
        <v>0</v>
      </c>
      <c r="W751" s="87">
        <f>IFERROR(__xludf.DUMMYFUNCTION("""COMPUTED_VALUE"""),0.0)</f>
        <v>0</v>
      </c>
      <c r="X751" s="88"/>
      <c r="Y751" s="74"/>
      <c r="Z751" s="74"/>
    </row>
    <row r="752">
      <c r="B752" s="74" t="str">
        <f>IFERROR(__xludf.DUMMYFUNCTION("""COMPUTED_VALUE"""),"1749")</f>
        <v>1749</v>
      </c>
      <c r="C752" s="74" t="str">
        <f>IFERROR(__xludf.DUMMYFUNCTION("""COMPUTED_VALUE"""),"75045891749")</f>
        <v>75045891749</v>
      </c>
      <c r="D752" s="74" t="str">
        <f>IFERROR(__xludf.DUMMYFUNCTION("""COMPUTED_VALUE"""),"\\MCA-S\mk\2_BM\0_BMat\08_PYM\Inventario\excel\Imagen de refacciones\Putzmeister\Distributor gear box G64 _ Caja de engranajes distribuidora G64")</f>
        <v>\\MCA-S\mk\2_BM\0_BMat\08_PYM\Inventario\excel\Imagen de refacciones\Putzmeister\Distributor gear box G64 _ Caja de engranajes distribuidora G64</v>
      </c>
      <c r="E752" s="74" t="str">
        <f>IFERROR(__xludf.DUMMYFUNCTION("""COMPUTED_VALUE"""),"GEAR BOX G64")</f>
        <v>GEAR BOX G64</v>
      </c>
      <c r="F752" s="74" t="str">
        <f>IFERROR(__xludf.DUMMYFUNCTION("""COMPUTED_VALUE"""),"CAJA TRANSFERENCIA G64")</f>
        <v>CAJA TRANSFERENCIA G64</v>
      </c>
      <c r="G752" s="74"/>
      <c r="H752" s="74"/>
      <c r="I752" s="74" t="str">
        <f>IFERROR(__xludf.DUMMYFUNCTION("""COMPUTED_VALUE"""),"278023000")</f>
        <v>278023000</v>
      </c>
      <c r="J752" s="74"/>
      <c r="K752" s="74" t="str">
        <f>IFERROR(__xludf.DUMMYFUNCTION("""COMPUTED_VALUE"""),"Putzmeister")</f>
        <v>Putzmeister</v>
      </c>
      <c r="L752" s="74" t="str">
        <f>IFERROR(__xludf.DUMMYFUNCTION("""COMPUTED_VALUE"""),"Transmisión mecánica")</f>
        <v>Transmisión mecánica</v>
      </c>
      <c r="M752" s="74" t="str">
        <f>IFERROR(__xludf.DUMMYFUNCTION("""COMPUTED_VALUE"""),"Sin Asignar")</f>
        <v>Sin Asignar</v>
      </c>
      <c r="N752" s="87">
        <f>IFERROR(__xludf.DUMMYFUNCTION("""COMPUTED_VALUE"""),0.0)</f>
        <v>0</v>
      </c>
      <c r="O752" s="74"/>
      <c r="P752" s="74" t="str">
        <f>IFERROR(__xludf.DUMMYFUNCTION("""COMPUTED_VALUE"""),"To Re-purchase")</f>
        <v>To Re-purchase</v>
      </c>
      <c r="Q752" s="74"/>
      <c r="R752" s="74"/>
      <c r="S752" s="87">
        <f>IFERROR(__xludf.DUMMYFUNCTION("""COMPUTED_VALUE"""),0.0)</f>
        <v>0</v>
      </c>
      <c r="T752" s="87">
        <f>IFERROR(__xludf.DUMMYFUNCTION("""COMPUTED_VALUE"""),0.0)</f>
        <v>0</v>
      </c>
      <c r="U752" s="87">
        <f>IFERROR(__xludf.DUMMYFUNCTION("""COMPUTED_VALUE"""),0.0)</f>
        <v>0</v>
      </c>
      <c r="V752" s="87">
        <f>IFERROR(__xludf.DUMMYFUNCTION("""COMPUTED_VALUE"""),0.0)</f>
        <v>0</v>
      </c>
      <c r="W752" s="87">
        <f>IFERROR(__xludf.DUMMYFUNCTION("""COMPUTED_VALUE"""),0.0)</f>
        <v>0</v>
      </c>
      <c r="X752" s="88"/>
      <c r="Y752" s="74"/>
      <c r="Z752" s="74"/>
    </row>
    <row r="753">
      <c r="B753" s="74" t="str">
        <f>IFERROR(__xludf.DUMMYFUNCTION("""COMPUTED_VALUE"""),"1750")</f>
        <v>1750</v>
      </c>
      <c r="C753" s="74"/>
      <c r="D753" s="74" t="str">
        <f>IFERROR(__xludf.DUMMYFUNCTION("""COMPUTED_VALUE"""),"\\MCA-S\mk\2_BM\0_BMat\08_PYM\Inventario\excel\Imagen de refacciones\Putzmeister\Fork - G64 _ Horquilla G64")</f>
        <v>\\MCA-S\mk\2_BM\0_BMat\08_PYM\Inventario\excel\Imagen de refacciones\Putzmeister\Fork - G64 _ Horquilla G64</v>
      </c>
      <c r="E753" s="74"/>
      <c r="F753" s="74" t="str">
        <f>IFERROR(__xludf.DUMMYFUNCTION("""COMPUTED_VALUE"""),"Fork - G64 / Horquilla G64")</f>
        <v>Fork - G64 / Horquilla G64</v>
      </c>
      <c r="G753" s="74"/>
      <c r="H753" s="74"/>
      <c r="I753" s="74" t="str">
        <f>IFERROR(__xludf.DUMMYFUNCTION("""COMPUTED_VALUE"""),"SOM20340")</f>
        <v>SOM20340</v>
      </c>
      <c r="J753" s="74" t="str">
        <f>IFERROR(__xludf.DUMMYFUNCTION("""COMPUTED_VALUE"""),"28493006")</f>
        <v>28493006</v>
      </c>
      <c r="K753" s="74" t="str">
        <f>IFERROR(__xludf.DUMMYFUNCTION("""COMPUTED_VALUE"""),"Putzmeister")</f>
        <v>Putzmeister</v>
      </c>
      <c r="L753" s="74" t="str">
        <f>IFERROR(__xludf.DUMMYFUNCTION("""COMPUTED_VALUE"""),"Componentes estructurales y de montaje")</f>
        <v>Componentes estructurales y de montaje</v>
      </c>
      <c r="M753" s="74" t="str">
        <f>IFERROR(__xludf.DUMMYFUNCTION("""COMPUTED_VALUE"""),"Sin Asignar")</f>
        <v>Sin Asignar</v>
      </c>
      <c r="N753" s="87">
        <f>IFERROR(__xludf.DUMMYFUNCTION("""COMPUTED_VALUE"""),0.0)</f>
        <v>0</v>
      </c>
      <c r="O753" s="74"/>
      <c r="P753" s="74" t="str">
        <f>IFERROR(__xludf.DUMMYFUNCTION("""COMPUTED_VALUE"""),"No Available")</f>
        <v>No Available</v>
      </c>
      <c r="Q753" s="74"/>
      <c r="R753" s="74"/>
      <c r="S753" s="87">
        <f>IFERROR(__xludf.DUMMYFUNCTION("""COMPUTED_VALUE"""),0.0)</f>
        <v>0</v>
      </c>
      <c r="T753" s="87">
        <f>IFERROR(__xludf.DUMMYFUNCTION("""COMPUTED_VALUE"""),0.0)</f>
        <v>0</v>
      </c>
      <c r="U753" s="87">
        <f>IFERROR(__xludf.DUMMYFUNCTION("""COMPUTED_VALUE"""),0.0)</f>
        <v>0</v>
      </c>
      <c r="V753" s="87">
        <f>IFERROR(__xludf.DUMMYFUNCTION("""COMPUTED_VALUE"""),0.0)</f>
        <v>0</v>
      </c>
      <c r="W753" s="87">
        <f>IFERROR(__xludf.DUMMYFUNCTION("""COMPUTED_VALUE"""),0.0)</f>
        <v>0</v>
      </c>
      <c r="X753" s="88"/>
      <c r="Y753" s="74"/>
      <c r="Z753" s="74"/>
    </row>
    <row r="754">
      <c r="B754" s="74" t="str">
        <f>IFERROR(__xludf.DUMMYFUNCTION("""COMPUTED_VALUE"""),"1751")</f>
        <v>1751</v>
      </c>
      <c r="C754" s="74"/>
      <c r="D754" s="74" t="str">
        <f>IFERROR(__xludf.DUMMYFUNCTION("""COMPUTED_VALUE"""),"\\MCA-S\mk\2_BM\0_BMat\08_PYM\Inventario\excel\Imagen de refacciones\Putzmeister\Fork - G64 _ Horquilla G64 (1)")</f>
        <v>\\MCA-S\mk\2_BM\0_BMat\08_PYM\Inventario\excel\Imagen de refacciones\Putzmeister\Fork - G64 _ Horquilla G64 (1)</v>
      </c>
      <c r="E754" s="74"/>
      <c r="F754" s="74" t="str">
        <f>IFERROR(__xludf.DUMMYFUNCTION("""COMPUTED_VALUE"""),"Fork - G64 / Horquilla G64")</f>
        <v>Fork - G64 / Horquilla G64</v>
      </c>
      <c r="G754" s="74"/>
      <c r="H754" s="74"/>
      <c r="I754" s="74" t="str">
        <f>IFERROR(__xludf.DUMMYFUNCTION("""COMPUTED_VALUE"""),"SOM20341")</f>
        <v>SOM20341</v>
      </c>
      <c r="J754" s="74" t="str">
        <f>IFERROR(__xludf.DUMMYFUNCTION("""COMPUTED_VALUE"""),"28496003")</f>
        <v>28496003</v>
      </c>
      <c r="K754" s="74" t="str">
        <f>IFERROR(__xludf.DUMMYFUNCTION("""COMPUTED_VALUE"""),"Putzmeister")</f>
        <v>Putzmeister</v>
      </c>
      <c r="L754" s="74" t="str">
        <f>IFERROR(__xludf.DUMMYFUNCTION("""COMPUTED_VALUE"""),"Componentes estructurales y de montaje")</f>
        <v>Componentes estructurales y de montaje</v>
      </c>
      <c r="M754" s="74" t="str">
        <f>IFERROR(__xludf.DUMMYFUNCTION("""COMPUTED_VALUE"""),"Sin Asignar")</f>
        <v>Sin Asignar</v>
      </c>
      <c r="N754" s="87">
        <f>IFERROR(__xludf.DUMMYFUNCTION("""COMPUTED_VALUE"""),0.0)</f>
        <v>0</v>
      </c>
      <c r="O754" s="74"/>
      <c r="P754" s="74" t="str">
        <f>IFERROR(__xludf.DUMMYFUNCTION("""COMPUTED_VALUE"""),"No Available")</f>
        <v>No Available</v>
      </c>
      <c r="Q754" s="74"/>
      <c r="R754" s="74"/>
      <c r="S754" s="87">
        <f>IFERROR(__xludf.DUMMYFUNCTION("""COMPUTED_VALUE"""),0.0)</f>
        <v>0</v>
      </c>
      <c r="T754" s="87">
        <f>IFERROR(__xludf.DUMMYFUNCTION("""COMPUTED_VALUE"""),0.0)</f>
        <v>0</v>
      </c>
      <c r="U754" s="87">
        <f>IFERROR(__xludf.DUMMYFUNCTION("""COMPUTED_VALUE"""),0.0)</f>
        <v>0</v>
      </c>
      <c r="V754" s="87">
        <f>IFERROR(__xludf.DUMMYFUNCTION("""COMPUTED_VALUE"""),0.0)</f>
        <v>0</v>
      </c>
      <c r="W754" s="87">
        <f>IFERROR(__xludf.DUMMYFUNCTION("""COMPUTED_VALUE"""),0.0)</f>
        <v>0</v>
      </c>
      <c r="X754" s="88"/>
      <c r="Y754" s="74"/>
      <c r="Z754" s="74"/>
    </row>
    <row r="755">
      <c r="B755" s="74" t="str">
        <f>IFERROR(__xludf.DUMMYFUNCTION("""COMPUTED_VALUE"""),"1752")</f>
        <v>1752</v>
      </c>
      <c r="C755" s="74"/>
      <c r="D755" s="74" t="str">
        <f>IFERROR(__xludf.DUMMYFUNCTION("""COMPUTED_VALUE"""),"\\MCA-S\mk\2_BM\0_BMat\08_PYM\Inventario\excel\Imagen de refacciones\Putzmeister\Piton _ piston")</f>
        <v>\\MCA-S\mk\2_BM\0_BMat\08_PYM\Inventario\excel\Imagen de refacciones\Putzmeister\Piton _ piston</v>
      </c>
      <c r="E755" s="74"/>
      <c r="F755" s="74" t="str">
        <f>IFERROR(__xludf.DUMMYFUNCTION("""COMPUTED_VALUE"""),"Piton / piston")</f>
        <v>Piton / piston</v>
      </c>
      <c r="G755" s="74"/>
      <c r="H755" s="74"/>
      <c r="I755" s="74" t="str">
        <f>IFERROR(__xludf.DUMMYFUNCTION("""COMPUTED_VALUE"""),"SOM20342")</f>
        <v>SOM20342</v>
      </c>
      <c r="J755" s="74" t="str">
        <f>IFERROR(__xludf.DUMMYFUNCTION("""COMPUTED_VALUE"""),"222259008")</f>
        <v>222259008</v>
      </c>
      <c r="K755" s="74" t="str">
        <f>IFERROR(__xludf.DUMMYFUNCTION("""COMPUTED_VALUE"""),"Putzmeister")</f>
        <v>Putzmeister</v>
      </c>
      <c r="L755" s="74" t="str">
        <f>IFERROR(__xludf.DUMMYFUNCTION("""COMPUTED_VALUE"""),"Componentes hidráulicos")</f>
        <v>Componentes hidráulicos</v>
      </c>
      <c r="M755" s="74" t="str">
        <f>IFERROR(__xludf.DUMMYFUNCTION("""COMPUTED_VALUE"""),"Sin Asignar")</f>
        <v>Sin Asignar</v>
      </c>
      <c r="N755" s="87">
        <f>IFERROR(__xludf.DUMMYFUNCTION("""COMPUTED_VALUE"""),0.0)</f>
        <v>0</v>
      </c>
      <c r="O755" s="74"/>
      <c r="P755" s="74" t="str">
        <f>IFERROR(__xludf.DUMMYFUNCTION("""COMPUTED_VALUE"""),"No Available")</f>
        <v>No Available</v>
      </c>
      <c r="Q755" s="74"/>
      <c r="R755" s="74"/>
      <c r="S755" s="87">
        <f>IFERROR(__xludf.DUMMYFUNCTION("""COMPUTED_VALUE"""),0.0)</f>
        <v>0</v>
      </c>
      <c r="T755" s="87">
        <f>IFERROR(__xludf.DUMMYFUNCTION("""COMPUTED_VALUE"""),0.0)</f>
        <v>0</v>
      </c>
      <c r="U755" s="87">
        <f>IFERROR(__xludf.DUMMYFUNCTION("""COMPUTED_VALUE"""),0.0)</f>
        <v>0</v>
      </c>
      <c r="V755" s="87">
        <f>IFERROR(__xludf.DUMMYFUNCTION("""COMPUTED_VALUE"""),0.0)</f>
        <v>0</v>
      </c>
      <c r="W755" s="87">
        <f>IFERROR(__xludf.DUMMYFUNCTION("""COMPUTED_VALUE"""),0.0)</f>
        <v>0</v>
      </c>
      <c r="X755" s="88"/>
      <c r="Y755" s="74"/>
      <c r="Z755" s="74"/>
    </row>
    <row r="756">
      <c r="B756" s="74" t="str">
        <f>IFERROR(__xludf.DUMMYFUNCTION("""COMPUTED_VALUE"""),"1753")</f>
        <v>1753</v>
      </c>
      <c r="C756" s="74"/>
      <c r="D756" s="74" t="str">
        <f>IFERROR(__xludf.DUMMYFUNCTION("""COMPUTED_VALUE"""),"\\MCA-S\mk\2_BM\0_BMat\08_PYM\Inventario\excel\Imagen de refacciones\Putzmeister\Coupling piece _ Pieza de acoplamiento")</f>
        <v>\\MCA-S\mk\2_BM\0_BMat\08_PYM\Inventario\excel\Imagen de refacciones\Putzmeister\Coupling piece _ Pieza de acoplamiento</v>
      </c>
      <c r="E756" s="74"/>
      <c r="F756" s="74" t="str">
        <f>IFERROR(__xludf.DUMMYFUNCTION("""COMPUTED_VALUE"""),"Coupling piece / Pieza de acoplamiento")</f>
        <v>Coupling piece / Pieza de acoplamiento</v>
      </c>
      <c r="G756" s="74"/>
      <c r="H756" s="74"/>
      <c r="I756" s="74" t="str">
        <f>IFERROR(__xludf.DUMMYFUNCTION("""COMPUTED_VALUE"""),"SOM20343")</f>
        <v>SOM20343</v>
      </c>
      <c r="J756" s="74" t="str">
        <f>IFERROR(__xludf.DUMMYFUNCTION("""COMPUTED_VALUE"""),"258683004")</f>
        <v>258683004</v>
      </c>
      <c r="K756" s="74" t="str">
        <f>IFERROR(__xludf.DUMMYFUNCTION("""COMPUTED_VALUE"""),"Putzmeister")</f>
        <v>Putzmeister</v>
      </c>
      <c r="L756" s="74" t="str">
        <f>IFERROR(__xludf.DUMMYFUNCTION("""COMPUTED_VALUE"""),"Componentes estructurales y de montaje")</f>
        <v>Componentes estructurales y de montaje</v>
      </c>
      <c r="M756" s="74" t="str">
        <f>IFERROR(__xludf.DUMMYFUNCTION("""COMPUTED_VALUE"""),"Sin Asignar")</f>
        <v>Sin Asignar</v>
      </c>
      <c r="N756" s="87">
        <f>IFERROR(__xludf.DUMMYFUNCTION("""COMPUTED_VALUE"""),0.0)</f>
        <v>0</v>
      </c>
      <c r="O756" s="74"/>
      <c r="P756" s="74" t="str">
        <f>IFERROR(__xludf.DUMMYFUNCTION("""COMPUTED_VALUE"""),"No Available")</f>
        <v>No Available</v>
      </c>
      <c r="Q756" s="74"/>
      <c r="R756" s="74"/>
      <c r="S756" s="87">
        <f>IFERROR(__xludf.DUMMYFUNCTION("""COMPUTED_VALUE"""),0.0)</f>
        <v>0</v>
      </c>
      <c r="T756" s="87">
        <f>IFERROR(__xludf.DUMMYFUNCTION("""COMPUTED_VALUE"""),0.0)</f>
        <v>0</v>
      </c>
      <c r="U756" s="87">
        <f>IFERROR(__xludf.DUMMYFUNCTION("""COMPUTED_VALUE"""),0.0)</f>
        <v>0</v>
      </c>
      <c r="V756" s="87">
        <f>IFERROR(__xludf.DUMMYFUNCTION("""COMPUTED_VALUE"""),0.0)</f>
        <v>0</v>
      </c>
      <c r="W756" s="87">
        <f>IFERROR(__xludf.DUMMYFUNCTION("""COMPUTED_VALUE"""),0.0)</f>
        <v>0</v>
      </c>
      <c r="X756" s="88"/>
      <c r="Y756" s="74"/>
      <c r="Z756" s="74"/>
    </row>
    <row r="757">
      <c r="B757" s="74" t="str">
        <f>IFERROR(__xludf.DUMMYFUNCTION("""COMPUTED_VALUE"""),"1754")</f>
        <v>1754</v>
      </c>
      <c r="C757" s="74"/>
      <c r="D757" s="74" t="str">
        <f>IFERROR(__xludf.DUMMYFUNCTION("""COMPUTED_VALUE"""),"\\MCA-S\mk\2_BM\0_BMat\08_PYM\Inventario\excel\Imagen de refacciones\Putzmeister\INPUT SHAFT _ Eje de entrada")</f>
        <v>\\MCA-S\mk\2_BM\0_BMat\08_PYM\Inventario\excel\Imagen de refacciones\Putzmeister\INPUT SHAFT _ Eje de entrada</v>
      </c>
      <c r="E757" s="74"/>
      <c r="F757" s="74" t="str">
        <f>IFERROR(__xludf.DUMMYFUNCTION("""COMPUTED_VALUE"""),"INPUT SHAFT / Eje de entrada")</f>
        <v>INPUT SHAFT / Eje de entrada</v>
      </c>
      <c r="G757" s="74"/>
      <c r="H757" s="74"/>
      <c r="I757" s="74" t="str">
        <f>IFERROR(__xludf.DUMMYFUNCTION("""COMPUTED_VALUE"""),"SOM20346")</f>
        <v>SOM20346</v>
      </c>
      <c r="J757" s="74" t="str">
        <f>IFERROR(__xludf.DUMMYFUNCTION("""COMPUTED_VALUE"""),"294940009")</f>
        <v>294940009</v>
      </c>
      <c r="K757" s="74" t="str">
        <f>IFERROR(__xludf.DUMMYFUNCTION("""COMPUTED_VALUE"""),"Putzmeister")</f>
        <v>Putzmeister</v>
      </c>
      <c r="L757" s="74" t="str">
        <f>IFERROR(__xludf.DUMMYFUNCTION("""COMPUTED_VALUE"""),"Transmisión mecánica")</f>
        <v>Transmisión mecánica</v>
      </c>
      <c r="M757" s="74" t="str">
        <f>IFERROR(__xludf.DUMMYFUNCTION("""COMPUTED_VALUE"""),"Sin Asignar")</f>
        <v>Sin Asignar</v>
      </c>
      <c r="N757" s="87">
        <f>IFERROR(__xludf.DUMMYFUNCTION("""COMPUTED_VALUE"""),0.0)</f>
        <v>0</v>
      </c>
      <c r="O757" s="74"/>
      <c r="P757" s="74" t="str">
        <f>IFERROR(__xludf.DUMMYFUNCTION("""COMPUTED_VALUE"""),"No Available")</f>
        <v>No Available</v>
      </c>
      <c r="Q757" s="74"/>
      <c r="R757" s="74"/>
      <c r="S757" s="87">
        <f>IFERROR(__xludf.DUMMYFUNCTION("""COMPUTED_VALUE"""),0.0)</f>
        <v>0</v>
      </c>
      <c r="T757" s="87">
        <f>IFERROR(__xludf.DUMMYFUNCTION("""COMPUTED_VALUE"""),0.0)</f>
        <v>0</v>
      </c>
      <c r="U757" s="87">
        <f>IFERROR(__xludf.DUMMYFUNCTION("""COMPUTED_VALUE"""),0.0)</f>
        <v>0</v>
      </c>
      <c r="V757" s="87">
        <f>IFERROR(__xludf.DUMMYFUNCTION("""COMPUTED_VALUE"""),0.0)</f>
        <v>0</v>
      </c>
      <c r="W757" s="87">
        <f>IFERROR(__xludf.DUMMYFUNCTION("""COMPUTED_VALUE"""),0.0)</f>
        <v>0</v>
      </c>
      <c r="X757" s="88"/>
      <c r="Y757" s="74"/>
      <c r="Z757" s="74"/>
    </row>
    <row r="758">
      <c r="B758" s="74" t="str">
        <f>IFERROR(__xludf.DUMMYFUNCTION("""COMPUTED_VALUE"""),"1755")</f>
        <v>1755</v>
      </c>
      <c r="C758" s="74"/>
      <c r="D758" s="74" t="str">
        <f>IFERROR(__xludf.DUMMYFUNCTION("""COMPUTED_VALUE"""),"\\MCA-S\mk\2_BM\0_BMat\08_PYM\Inventario\excel\Imagen de refacciones\Putzmeister\Bush 275X280X077 DU NUT _ Buje 275x280x077 DU NUT")</f>
        <v>\\MCA-S\mk\2_BM\0_BMat\08_PYM\Inventario\excel\Imagen de refacciones\Putzmeister\Bush 275X280X077 DU NUT _ Buje 275x280x077 DU NUT</v>
      </c>
      <c r="E758" s="74"/>
      <c r="F758" s="74" t="str">
        <f>IFERROR(__xludf.DUMMYFUNCTION("""COMPUTED_VALUE"""),"Bush 275X280X077 DU NUT / Buje 275x280x077 DU NUT")</f>
        <v>Bush 275X280X077 DU NUT / Buje 275x280x077 DU NUT</v>
      </c>
      <c r="G758" s="74"/>
      <c r="H758" s="74"/>
      <c r="I758" s="74" t="str">
        <f>IFERROR(__xludf.DUMMYFUNCTION("""COMPUTED_VALUE"""),"SOM20354")</f>
        <v>SOM20354</v>
      </c>
      <c r="J758" s="74" t="str">
        <f>IFERROR(__xludf.DUMMYFUNCTION("""COMPUTED_VALUE"""),"58827002")</f>
        <v>58827002</v>
      </c>
      <c r="K758" s="74" t="str">
        <f>IFERROR(__xludf.DUMMYFUNCTION("""COMPUTED_VALUE"""),"Putzmeister")</f>
        <v>Putzmeister</v>
      </c>
      <c r="L758" s="74" t="str">
        <f>IFERROR(__xludf.DUMMYFUNCTION("""COMPUTED_VALUE"""),"Componentes estructurales y de montaje")</f>
        <v>Componentes estructurales y de montaje</v>
      </c>
      <c r="M758" s="74" t="str">
        <f>IFERROR(__xludf.DUMMYFUNCTION("""COMPUTED_VALUE"""),"Sin Asignar")</f>
        <v>Sin Asignar</v>
      </c>
      <c r="N758" s="87">
        <f>IFERROR(__xludf.DUMMYFUNCTION("""COMPUTED_VALUE"""),0.0)</f>
        <v>0</v>
      </c>
      <c r="O758" s="74"/>
      <c r="P758" s="74" t="str">
        <f>IFERROR(__xludf.DUMMYFUNCTION("""COMPUTED_VALUE"""),"No Available")</f>
        <v>No Available</v>
      </c>
      <c r="Q758" s="74"/>
      <c r="R758" s="74"/>
      <c r="S758" s="87">
        <f>IFERROR(__xludf.DUMMYFUNCTION("""COMPUTED_VALUE"""),0.0)</f>
        <v>0</v>
      </c>
      <c r="T758" s="87">
        <f>IFERROR(__xludf.DUMMYFUNCTION("""COMPUTED_VALUE"""),0.0)</f>
        <v>0</v>
      </c>
      <c r="U758" s="87">
        <f>IFERROR(__xludf.DUMMYFUNCTION("""COMPUTED_VALUE"""),0.0)</f>
        <v>0</v>
      </c>
      <c r="V758" s="87">
        <f>IFERROR(__xludf.DUMMYFUNCTION("""COMPUTED_VALUE"""),0.0)</f>
        <v>0</v>
      </c>
      <c r="W758" s="87">
        <f>IFERROR(__xludf.DUMMYFUNCTION("""COMPUTED_VALUE"""),0.0)</f>
        <v>0</v>
      </c>
      <c r="X758" s="88"/>
      <c r="Y758" s="74"/>
      <c r="Z758" s="74"/>
    </row>
    <row r="759">
      <c r="B759" s="74" t="str">
        <f>IFERROR(__xludf.DUMMYFUNCTION("""COMPUTED_VALUE"""),"1756")</f>
        <v>1756</v>
      </c>
      <c r="C759" s="74"/>
      <c r="D759" s="74" t="str">
        <f>IFERROR(__xludf.DUMMYFUNCTION("""COMPUTED_VALUE"""),"\\MCA-S\mk\2_BM\0_BMat\08_PYM\Inventario\excel\Imagen de refacciones\Putzmeister\Buje 275x280x077 DU NUT _ Bush 275X280X077 DU NUT")</f>
        <v>\\MCA-S\mk\2_BM\0_BMat\08_PYM\Inventario\excel\Imagen de refacciones\Putzmeister\Buje 275x280x077 DU NUT _ Bush 275X280X077 DU NUT</v>
      </c>
      <c r="E759" s="74"/>
      <c r="F759" s="74" t="str">
        <f>IFERROR(__xludf.DUMMYFUNCTION("""COMPUTED_VALUE"""),"Buje 275x280x077 DU NUT / Bush 275X280X077 DU NUT")</f>
        <v>Buje 275x280x077 DU NUT / Bush 275X280X077 DU NUT</v>
      </c>
      <c r="G759" s="74"/>
      <c r="H759" s="74"/>
      <c r="I759" s="74" t="str">
        <f>IFERROR(__xludf.DUMMYFUNCTION("""COMPUTED_VALUE"""),"SOM20354")</f>
        <v>SOM20354</v>
      </c>
      <c r="J759" s="74" t="str">
        <f>IFERROR(__xludf.DUMMYFUNCTION("""COMPUTED_VALUE"""),"58827002")</f>
        <v>58827002</v>
      </c>
      <c r="K759" s="74" t="str">
        <f>IFERROR(__xludf.DUMMYFUNCTION("""COMPUTED_VALUE"""),"Putzmeister")</f>
        <v>Putzmeister</v>
      </c>
      <c r="L759" s="74" t="str">
        <f>IFERROR(__xludf.DUMMYFUNCTION("""COMPUTED_VALUE"""),"Componentes estructurales y de montaje")</f>
        <v>Componentes estructurales y de montaje</v>
      </c>
      <c r="M759" s="74" t="str">
        <f>IFERROR(__xludf.DUMMYFUNCTION("""COMPUTED_VALUE"""),"Sin Asignar")</f>
        <v>Sin Asignar</v>
      </c>
      <c r="N759" s="87">
        <f>IFERROR(__xludf.DUMMYFUNCTION("""COMPUTED_VALUE"""),0.0)</f>
        <v>0</v>
      </c>
      <c r="O759" s="74"/>
      <c r="P759" s="74" t="str">
        <f>IFERROR(__xludf.DUMMYFUNCTION("""COMPUTED_VALUE"""),"No Available")</f>
        <v>No Available</v>
      </c>
      <c r="Q759" s="74"/>
      <c r="R759" s="74"/>
      <c r="S759" s="87">
        <f>IFERROR(__xludf.DUMMYFUNCTION("""COMPUTED_VALUE"""),0.0)</f>
        <v>0</v>
      </c>
      <c r="T759" s="87">
        <f>IFERROR(__xludf.DUMMYFUNCTION("""COMPUTED_VALUE"""),0.0)</f>
        <v>0</v>
      </c>
      <c r="U759" s="87">
        <f>IFERROR(__xludf.DUMMYFUNCTION("""COMPUTED_VALUE"""),0.0)</f>
        <v>0</v>
      </c>
      <c r="V759" s="87">
        <f>IFERROR(__xludf.DUMMYFUNCTION("""COMPUTED_VALUE"""),0.0)</f>
        <v>0</v>
      </c>
      <c r="W759" s="87">
        <f>IFERROR(__xludf.DUMMYFUNCTION("""COMPUTED_VALUE"""),0.0)</f>
        <v>0</v>
      </c>
      <c r="X759" s="88"/>
      <c r="Y759" s="74"/>
      <c r="Z759" s="74"/>
    </row>
    <row r="760">
      <c r="B760" s="74" t="str">
        <f>IFERROR(__xludf.DUMMYFUNCTION("""COMPUTED_VALUE"""),"1757")</f>
        <v>1757</v>
      </c>
      <c r="C760" s="74"/>
      <c r="D760" s="74" t="str">
        <f>IFERROR(__xludf.DUMMYFUNCTION("""COMPUTED_VALUE"""),"\\MCA-S\mk\2_BM\0_BMat\08_PYM\Inventario\excel\Imagen de refacciones\Putzmeister\Throat bushing _ Buje de garganta")</f>
        <v>\\MCA-S\mk\2_BM\0_BMat\08_PYM\Inventario\excel\Imagen de refacciones\Putzmeister\Throat bushing _ Buje de garganta</v>
      </c>
      <c r="E760" s="74"/>
      <c r="F760" s="74" t="str">
        <f>IFERROR(__xludf.DUMMYFUNCTION("""COMPUTED_VALUE"""),"Throat bushing / Buje de garganta")</f>
        <v>Throat bushing / Buje de garganta</v>
      </c>
      <c r="G760" s="74"/>
      <c r="H760" s="74"/>
      <c r="I760" s="74" t="str">
        <f>IFERROR(__xludf.DUMMYFUNCTION("""COMPUTED_VALUE"""),"SOM20355")</f>
        <v>SOM20355</v>
      </c>
      <c r="J760" s="74" t="str">
        <f>IFERROR(__xludf.DUMMYFUNCTION("""COMPUTED_VALUE"""),"240046002")</f>
        <v>240046002</v>
      </c>
      <c r="K760" s="74" t="str">
        <f>IFERROR(__xludf.DUMMYFUNCTION("""COMPUTED_VALUE"""),"Putzmeister")</f>
        <v>Putzmeister</v>
      </c>
      <c r="L760" s="74" t="str">
        <f>IFERROR(__xludf.DUMMYFUNCTION("""COMPUTED_VALUE"""),"Componentes estructurales y de montaje")</f>
        <v>Componentes estructurales y de montaje</v>
      </c>
      <c r="M760" s="74" t="str">
        <f>IFERROR(__xludf.DUMMYFUNCTION("""COMPUTED_VALUE"""),"Sin Asignar")</f>
        <v>Sin Asignar</v>
      </c>
      <c r="N760" s="87">
        <f>IFERROR(__xludf.DUMMYFUNCTION("""COMPUTED_VALUE"""),0.0)</f>
        <v>0</v>
      </c>
      <c r="O760" s="74"/>
      <c r="P760" s="74" t="str">
        <f>IFERROR(__xludf.DUMMYFUNCTION("""COMPUTED_VALUE"""),"No Available")</f>
        <v>No Available</v>
      </c>
      <c r="Q760" s="74"/>
      <c r="R760" s="74"/>
      <c r="S760" s="87">
        <f>IFERROR(__xludf.DUMMYFUNCTION("""COMPUTED_VALUE"""),0.0)</f>
        <v>0</v>
      </c>
      <c r="T760" s="87">
        <f>IFERROR(__xludf.DUMMYFUNCTION("""COMPUTED_VALUE"""),0.0)</f>
        <v>0</v>
      </c>
      <c r="U760" s="87">
        <f>IFERROR(__xludf.DUMMYFUNCTION("""COMPUTED_VALUE"""),0.0)</f>
        <v>0</v>
      </c>
      <c r="V760" s="87">
        <f>IFERROR(__xludf.DUMMYFUNCTION("""COMPUTED_VALUE"""),0.0)</f>
        <v>0</v>
      </c>
      <c r="W760" s="87">
        <f>IFERROR(__xludf.DUMMYFUNCTION("""COMPUTED_VALUE"""),0.0)</f>
        <v>0</v>
      </c>
      <c r="X760" s="88"/>
      <c r="Y760" s="74"/>
      <c r="Z760" s="74"/>
    </row>
    <row r="761">
      <c r="B761" s="74" t="str">
        <f>IFERROR(__xludf.DUMMYFUNCTION("""COMPUTED_VALUE"""),"1758")</f>
        <v>1758</v>
      </c>
      <c r="C761" s="74"/>
      <c r="D761" s="74" t="str">
        <f>IFERROR(__xludf.DUMMYFUNCTION("""COMPUTED_VALUE"""),"\\MCA-S\mk\2_BM\0_BMat\08_PYM\Inventario\excel\Imagen de refacciones\Putzmeister\Bush 350 X 355 X 077 DU-B NUT _ Buje 350x355x077 DU_B NUT")</f>
        <v>\\MCA-S\mk\2_BM\0_BMat\08_PYM\Inventario\excel\Imagen de refacciones\Putzmeister\Bush 350 X 355 X 077 DU-B NUT _ Buje 350x355x077 DU_B NUT</v>
      </c>
      <c r="E761" s="74"/>
      <c r="F761" s="74" t="str">
        <f>IFERROR(__xludf.DUMMYFUNCTION("""COMPUTED_VALUE"""),"Bush 350 X 355 X 077 DU-B NUT / Buje 350x355x077 DU/B NUT")</f>
        <v>Bush 350 X 355 X 077 DU-B NUT / Buje 350x355x077 DU/B NUT</v>
      </c>
      <c r="G761" s="74"/>
      <c r="H761" s="74"/>
      <c r="I761" s="74" t="str">
        <f>IFERROR(__xludf.DUMMYFUNCTION("""COMPUTED_VALUE"""),"SOM20356")</f>
        <v>SOM20356</v>
      </c>
      <c r="J761" s="74" t="str">
        <f>IFERROR(__xludf.DUMMYFUNCTION("""COMPUTED_VALUE"""),"58828001")</f>
        <v>58828001</v>
      </c>
      <c r="K761" s="74" t="str">
        <f>IFERROR(__xludf.DUMMYFUNCTION("""COMPUTED_VALUE"""),"Putzmeister")</f>
        <v>Putzmeister</v>
      </c>
      <c r="L761" s="74" t="str">
        <f>IFERROR(__xludf.DUMMYFUNCTION("""COMPUTED_VALUE"""),"Componentes estructurales y de montaje")</f>
        <v>Componentes estructurales y de montaje</v>
      </c>
      <c r="M761" s="74" t="str">
        <f>IFERROR(__xludf.DUMMYFUNCTION("""COMPUTED_VALUE"""),"Sin Asignar")</f>
        <v>Sin Asignar</v>
      </c>
      <c r="N761" s="87">
        <f>IFERROR(__xludf.DUMMYFUNCTION("""COMPUTED_VALUE"""),0.0)</f>
        <v>0</v>
      </c>
      <c r="O761" s="74"/>
      <c r="P761" s="74" t="str">
        <f>IFERROR(__xludf.DUMMYFUNCTION("""COMPUTED_VALUE"""),"No Available")</f>
        <v>No Available</v>
      </c>
      <c r="Q761" s="74"/>
      <c r="R761" s="74"/>
      <c r="S761" s="87">
        <f>IFERROR(__xludf.DUMMYFUNCTION("""COMPUTED_VALUE"""),0.0)</f>
        <v>0</v>
      </c>
      <c r="T761" s="87">
        <f>IFERROR(__xludf.DUMMYFUNCTION("""COMPUTED_VALUE"""),0.0)</f>
        <v>0</v>
      </c>
      <c r="U761" s="87">
        <f>IFERROR(__xludf.DUMMYFUNCTION("""COMPUTED_VALUE"""),0.0)</f>
        <v>0</v>
      </c>
      <c r="V761" s="87">
        <f>IFERROR(__xludf.DUMMYFUNCTION("""COMPUTED_VALUE"""),0.0)</f>
        <v>0</v>
      </c>
      <c r="W761" s="87">
        <f>IFERROR(__xludf.DUMMYFUNCTION("""COMPUTED_VALUE"""),0.0)</f>
        <v>0</v>
      </c>
      <c r="X761" s="88"/>
      <c r="Y761" s="74"/>
      <c r="Z761" s="74"/>
    </row>
    <row r="762">
      <c r="B762" s="74" t="str">
        <f>IFERROR(__xludf.DUMMYFUNCTION("""COMPUTED_VALUE"""),"1759")</f>
        <v>1759</v>
      </c>
      <c r="C762" s="74"/>
      <c r="D762" s="74" t="str">
        <f>IFERROR(__xludf.DUMMYFUNCTION("""COMPUTED_VALUE"""),"\\MCA-S\mk\2_BM\0_BMat\08_PYM\Inventario\excel\Imagen de refacciones\Putzmeister\Buje 288x293x45 DU-B NUT")</f>
        <v>\\MCA-S\mk\2_BM\0_BMat\08_PYM\Inventario\excel\Imagen de refacciones\Putzmeister\Buje 288x293x45 DU-B NUT</v>
      </c>
      <c r="E762" s="74"/>
      <c r="F762" s="74" t="str">
        <f>IFERROR(__xludf.DUMMYFUNCTION("""COMPUTED_VALUE"""),"Buje 288x293x45 DU-B NUT")</f>
        <v>Buje 288x293x45 DU-B NUT</v>
      </c>
      <c r="G762" s="74"/>
      <c r="H762" s="74"/>
      <c r="I762" s="74" t="str">
        <f>IFERROR(__xludf.DUMMYFUNCTION("""COMPUTED_VALUE"""),"SOM20358")</f>
        <v>SOM20358</v>
      </c>
      <c r="J762" s="74" t="str">
        <f>IFERROR(__xludf.DUMMYFUNCTION("""COMPUTED_VALUE"""),"63732001")</f>
        <v>63732001</v>
      </c>
      <c r="K762" s="74" t="str">
        <f>IFERROR(__xludf.DUMMYFUNCTION("""COMPUTED_VALUE"""),"Putzmeister")</f>
        <v>Putzmeister</v>
      </c>
      <c r="L762" s="74" t="str">
        <f>IFERROR(__xludf.DUMMYFUNCTION("""COMPUTED_VALUE"""),"Componentes estructurales y de montaje")</f>
        <v>Componentes estructurales y de montaje</v>
      </c>
      <c r="M762" s="74" t="str">
        <f>IFERROR(__xludf.DUMMYFUNCTION("""COMPUTED_VALUE"""),"Sin Asignar")</f>
        <v>Sin Asignar</v>
      </c>
      <c r="N762" s="87">
        <f>IFERROR(__xludf.DUMMYFUNCTION("""COMPUTED_VALUE"""),0.0)</f>
        <v>0</v>
      </c>
      <c r="O762" s="74"/>
      <c r="P762" s="74" t="str">
        <f>IFERROR(__xludf.DUMMYFUNCTION("""COMPUTED_VALUE"""),"No Available")</f>
        <v>No Available</v>
      </c>
      <c r="Q762" s="74"/>
      <c r="R762" s="74"/>
      <c r="S762" s="87">
        <f>IFERROR(__xludf.DUMMYFUNCTION("""COMPUTED_VALUE"""),0.0)</f>
        <v>0</v>
      </c>
      <c r="T762" s="87">
        <f>IFERROR(__xludf.DUMMYFUNCTION("""COMPUTED_VALUE"""),0.0)</f>
        <v>0</v>
      </c>
      <c r="U762" s="87">
        <f>IFERROR(__xludf.DUMMYFUNCTION("""COMPUTED_VALUE"""),0.0)</f>
        <v>0</v>
      </c>
      <c r="V762" s="87">
        <f>IFERROR(__xludf.DUMMYFUNCTION("""COMPUTED_VALUE"""),0.0)</f>
        <v>0</v>
      </c>
      <c r="W762" s="87">
        <f>IFERROR(__xludf.DUMMYFUNCTION("""COMPUTED_VALUE"""),0.0)</f>
        <v>0</v>
      </c>
      <c r="X762" s="88"/>
      <c r="Y762" s="74"/>
      <c r="Z762" s="74"/>
    </row>
    <row r="763">
      <c r="B763" s="74" t="str">
        <f>IFERROR(__xludf.DUMMYFUNCTION("""COMPUTED_VALUE"""),"1760")</f>
        <v>1760</v>
      </c>
      <c r="C763" s="74"/>
      <c r="D763" s="74" t="str">
        <f>IFERROR(__xludf.DUMMYFUNCTION("""COMPUTED_VALUE"""),"\\MCA-S\mk\2_BM\0_BMat\08_PYM\Inventario\excel\Imagen de refacciones\Putzmeister\Pressure plate _ Placa de presión (1)")</f>
        <v>\\MCA-S\mk\2_BM\0_BMat\08_PYM\Inventario\excel\Imagen de refacciones\Putzmeister\Pressure plate _ Placa de presión (1)</v>
      </c>
      <c r="E763" s="74"/>
      <c r="F763" s="74" t="str">
        <f>IFERROR(__xludf.DUMMYFUNCTION("""COMPUTED_VALUE"""),"Pressure plate / Placa de presión")</f>
        <v>Pressure plate / Placa de presión</v>
      </c>
      <c r="G763" s="74"/>
      <c r="H763" s="74"/>
      <c r="I763" s="74" t="str">
        <f>IFERROR(__xludf.DUMMYFUNCTION("""COMPUTED_VALUE"""),"SOM20361")</f>
        <v>SOM20361</v>
      </c>
      <c r="J763" s="74" t="str">
        <f>IFERROR(__xludf.DUMMYFUNCTION("""COMPUTED_VALUE"""),"87162000")</f>
        <v>87162000</v>
      </c>
      <c r="K763" s="74" t="str">
        <f>IFERROR(__xludf.DUMMYFUNCTION("""COMPUTED_VALUE"""),"Putzmeister")</f>
        <v>Putzmeister</v>
      </c>
      <c r="L763" s="74" t="str">
        <f>IFERROR(__xludf.DUMMYFUNCTION("""COMPUTED_VALUE"""),"Componentes hidráulicos")</f>
        <v>Componentes hidráulicos</v>
      </c>
      <c r="M763" s="74" t="str">
        <f>IFERROR(__xludf.DUMMYFUNCTION("""COMPUTED_VALUE"""),"Sin Asignar")</f>
        <v>Sin Asignar</v>
      </c>
      <c r="N763" s="87">
        <f>IFERROR(__xludf.DUMMYFUNCTION("""COMPUTED_VALUE"""),0.0)</f>
        <v>0</v>
      </c>
      <c r="O763" s="74"/>
      <c r="P763" s="74" t="str">
        <f>IFERROR(__xludf.DUMMYFUNCTION("""COMPUTED_VALUE"""),"No Available")</f>
        <v>No Available</v>
      </c>
      <c r="Q763" s="74"/>
      <c r="R763" s="74"/>
      <c r="S763" s="87">
        <f>IFERROR(__xludf.DUMMYFUNCTION("""COMPUTED_VALUE"""),0.0)</f>
        <v>0</v>
      </c>
      <c r="T763" s="87">
        <f>IFERROR(__xludf.DUMMYFUNCTION("""COMPUTED_VALUE"""),0.0)</f>
        <v>0</v>
      </c>
      <c r="U763" s="87">
        <f>IFERROR(__xludf.DUMMYFUNCTION("""COMPUTED_VALUE"""),0.0)</f>
        <v>0</v>
      </c>
      <c r="V763" s="87">
        <f>IFERROR(__xludf.DUMMYFUNCTION("""COMPUTED_VALUE"""),0.0)</f>
        <v>0</v>
      </c>
      <c r="W763" s="87">
        <f>IFERROR(__xludf.DUMMYFUNCTION("""COMPUTED_VALUE"""),0.0)</f>
        <v>0</v>
      </c>
      <c r="X763" s="88"/>
      <c r="Y763" s="74"/>
      <c r="Z763" s="74"/>
    </row>
    <row r="764">
      <c r="B764" s="74" t="str">
        <f>IFERROR(__xludf.DUMMYFUNCTION("""COMPUTED_VALUE"""),"1761")</f>
        <v>1761</v>
      </c>
      <c r="C764" s="74"/>
      <c r="D764" s="74" t="str">
        <f>IFERROR(__xludf.DUMMYFUNCTION("""COMPUTED_VALUE"""),"\\MCA-S\mk\2_BM\0_BMat\08_PYM\Inventario\excel\Imagen de refacciones\Putzmeister\Support plate _ placa de soporte")</f>
        <v>\\MCA-S\mk\2_BM\0_BMat\08_PYM\Inventario\excel\Imagen de refacciones\Putzmeister\Support plate _ placa de soporte</v>
      </c>
      <c r="E764" s="74"/>
      <c r="F764" s="74" t="str">
        <f>IFERROR(__xludf.DUMMYFUNCTION("""COMPUTED_VALUE"""),"Support plate / placa de soporte")</f>
        <v>Support plate / placa de soporte</v>
      </c>
      <c r="G764" s="74"/>
      <c r="H764" s="74"/>
      <c r="I764" s="74" t="str">
        <f>IFERROR(__xludf.DUMMYFUNCTION("""COMPUTED_VALUE"""),"SOM20362")</f>
        <v>SOM20362</v>
      </c>
      <c r="J764" s="74" t="str">
        <f>IFERROR(__xludf.DUMMYFUNCTION("""COMPUTED_VALUE"""),"570943 / 296705009")</f>
        <v>570943 / 296705009</v>
      </c>
      <c r="K764" s="74" t="str">
        <f>IFERROR(__xludf.DUMMYFUNCTION("""COMPUTED_VALUE"""),"Putzmeister")</f>
        <v>Putzmeister</v>
      </c>
      <c r="L764" s="74" t="str">
        <f>IFERROR(__xludf.DUMMYFUNCTION("""COMPUTED_VALUE"""),"Componentes estructurales y de montaje")</f>
        <v>Componentes estructurales y de montaje</v>
      </c>
      <c r="M764" s="74" t="str">
        <f>IFERROR(__xludf.DUMMYFUNCTION("""COMPUTED_VALUE"""),"Sin Asignar")</f>
        <v>Sin Asignar</v>
      </c>
      <c r="N764" s="87">
        <f>IFERROR(__xludf.DUMMYFUNCTION("""COMPUTED_VALUE"""),0.0)</f>
        <v>0</v>
      </c>
      <c r="O764" s="74"/>
      <c r="P764" s="74" t="str">
        <f>IFERROR(__xludf.DUMMYFUNCTION("""COMPUTED_VALUE"""),"borrar")</f>
        <v>borrar</v>
      </c>
      <c r="Q764" s="74"/>
      <c r="R764" s="74"/>
      <c r="S764" s="87">
        <f>IFERROR(__xludf.DUMMYFUNCTION("""COMPUTED_VALUE"""),0.0)</f>
        <v>0</v>
      </c>
      <c r="T764" s="87">
        <f>IFERROR(__xludf.DUMMYFUNCTION("""COMPUTED_VALUE"""),0.0)</f>
        <v>0</v>
      </c>
      <c r="U764" s="87">
        <f>IFERROR(__xludf.DUMMYFUNCTION("""COMPUTED_VALUE"""),0.0)</f>
        <v>0</v>
      </c>
      <c r="V764" s="87">
        <f>IFERROR(__xludf.DUMMYFUNCTION("""COMPUTED_VALUE"""),0.0)</f>
        <v>0</v>
      </c>
      <c r="W764" s="87">
        <f>IFERROR(__xludf.DUMMYFUNCTION("""COMPUTED_VALUE"""),0.0)</f>
        <v>0</v>
      </c>
      <c r="X764" s="88"/>
      <c r="Y764" s="74"/>
      <c r="Z764" s="74"/>
    </row>
    <row r="765">
      <c r="B765" s="74" t="str">
        <f>IFERROR(__xludf.DUMMYFUNCTION("""COMPUTED_VALUE"""),"1762")</f>
        <v>1762</v>
      </c>
      <c r="C765" s="74"/>
      <c r="D765" s="74" t="str">
        <f>IFERROR(__xludf.DUMMYFUNCTION("""COMPUTED_VALUE"""),"\\MCA-S\mk\2_BM\0_BMat\08_PYM\Inventario\excel\Imagen de refacciones\Putzmeister\Seal set for MBC valve _ Juego de sellos para válvula MBC")</f>
        <v>\\MCA-S\mk\2_BM\0_BMat\08_PYM\Inventario\excel\Imagen de refacciones\Putzmeister\Seal set for MBC valve _ Juego de sellos para válvula MBC</v>
      </c>
      <c r="E765" s="74"/>
      <c r="F765" s="74" t="str">
        <f>IFERROR(__xludf.DUMMYFUNCTION("""COMPUTED_VALUE"""),"Seal set for MBC valve / Juego de sellos para válvula MBC")</f>
        <v>Seal set for MBC valve / Juego de sellos para válvula MBC</v>
      </c>
      <c r="G765" s="74"/>
      <c r="H765" s="74"/>
      <c r="I765" s="74" t="str">
        <f>IFERROR(__xludf.DUMMYFUNCTION("""COMPUTED_VALUE"""),"SOM20363")</f>
        <v>SOM20363</v>
      </c>
      <c r="J765" s="74" t="str">
        <f>IFERROR(__xludf.DUMMYFUNCTION("""COMPUTED_VALUE"""),"471710")</f>
        <v>471710</v>
      </c>
      <c r="K765" s="74" t="str">
        <f>IFERROR(__xludf.DUMMYFUNCTION("""COMPUTED_VALUE"""),"Putzmeister")</f>
        <v>Putzmeister</v>
      </c>
      <c r="L765" s="74" t="str">
        <f>IFERROR(__xludf.DUMMYFUNCTION("""COMPUTED_VALUE"""),"Sellos y retenes")</f>
        <v>Sellos y retenes</v>
      </c>
      <c r="M765" s="74" t="str">
        <f>IFERROR(__xludf.DUMMYFUNCTION("""COMPUTED_VALUE"""),"Sin Asignar")</f>
        <v>Sin Asignar</v>
      </c>
      <c r="N765" s="87">
        <f>IFERROR(__xludf.DUMMYFUNCTION("""COMPUTED_VALUE"""),0.0)</f>
        <v>0</v>
      </c>
      <c r="O765" s="74"/>
      <c r="P765" s="74" t="str">
        <f>IFERROR(__xludf.DUMMYFUNCTION("""COMPUTED_VALUE"""),"No Available")</f>
        <v>No Available</v>
      </c>
      <c r="Q765" s="74"/>
      <c r="R765" s="74"/>
      <c r="S765" s="87">
        <f>IFERROR(__xludf.DUMMYFUNCTION("""COMPUTED_VALUE"""),0.0)</f>
        <v>0</v>
      </c>
      <c r="T765" s="87">
        <f>IFERROR(__xludf.DUMMYFUNCTION("""COMPUTED_VALUE"""),0.0)</f>
        <v>0</v>
      </c>
      <c r="U765" s="87">
        <f>IFERROR(__xludf.DUMMYFUNCTION("""COMPUTED_VALUE"""),0.0)</f>
        <v>0</v>
      </c>
      <c r="V765" s="87">
        <f>IFERROR(__xludf.DUMMYFUNCTION("""COMPUTED_VALUE"""),0.0)</f>
        <v>0</v>
      </c>
      <c r="W765" s="87">
        <f>IFERROR(__xludf.DUMMYFUNCTION("""COMPUTED_VALUE"""),0.0)</f>
        <v>0</v>
      </c>
      <c r="X765" s="88"/>
      <c r="Y765" s="74"/>
      <c r="Z765" s="74"/>
    </row>
    <row r="766">
      <c r="B766" s="74" t="str">
        <f>IFERROR(__xludf.DUMMYFUNCTION("""COMPUTED_VALUE"""),"1763")</f>
        <v>1763</v>
      </c>
      <c r="C766" s="74" t="str">
        <f>IFERROR(__xludf.DUMMYFUNCTION("""COMPUTED_VALUE"""),"75045880369")</f>
        <v>75045880369</v>
      </c>
      <c r="D766" s="74" t="str">
        <f>IFERROR(__xludf.DUMMYFUNCTION("""COMPUTED_VALUE"""),"\\MCA-S\mk\2_BM\0_BMat\08_PYM\Inventario\excel\Imagen de refacciones\Sistemas de tubería\Manguera flexible 3M brida simple -  Flexible Hose 3M Best one flange")</f>
        <v>\\MCA-S\mk\2_BM\0_BMat\08_PYM\Inventario\excel\Imagen de refacciones\Sistemas de tubería\Manguera flexible 3M brida simple -  Flexible Hose 3M Best one flange</v>
      </c>
      <c r="E766" s="74" t="str">
        <f>IFERROR(__xludf.DUMMYFUNCTION("""COMPUTED_VALUE"""),"FLEXIBLE HOSE 4 LAYER MET. DN125 SK148 5""X3m SINGLE END")</f>
        <v>FLEXIBLE HOSE 4 LAYER MET. DN125 SK148 5"X3m SINGLE END</v>
      </c>
      <c r="F766" s="74" t="str">
        <f>IFERROR(__xludf.DUMMYFUNCTION("""COMPUTED_VALUE"""),"MANGUERA FLEXIBLE 4 CAPAS MET. DN125 SK148 5""X3m BOQUILLA SENCILLA")</f>
        <v>MANGUERA FLEXIBLE 4 CAPAS MET. DN125 SK148 5"X3m BOQUILLA SENCILLA</v>
      </c>
      <c r="G766" s="74" t="str">
        <f>IFERROR(__xludf.DUMMYFUNCTION("""COMPUTED_VALUE"""),"MANGUERA 4 CAPAS 5""x3m MET. BOQUILLA SENCILLA")</f>
        <v>MANGUERA 4 CAPAS 5"x3m MET. BOQUILLA SENCILLA</v>
      </c>
      <c r="H766" s="74" t="str">
        <f>IFERROR(__xludf.DUMMYFUNCTION("""COMPUTED_VALUE"""),"MANGUERA FLEXIBLE 3M PARA BOMBA DE HORMIGON")</f>
        <v>MANGUERA FLEXIBLE 3M PARA BOMBA DE HORMIGON</v>
      </c>
      <c r="I766" s="74" t="str">
        <f>IFERROR(__xludf.DUMMYFUNCTION("""COMPUTED_VALUE"""),"BMFH30001F")</f>
        <v>BMFH30001F</v>
      </c>
      <c r="J766" s="74"/>
      <c r="K766" s="74" t="str">
        <f>IFERROR(__xludf.DUMMYFUNCTION("""COMPUTED_VALUE"""),"Tuberia")</f>
        <v>Tuberia</v>
      </c>
      <c r="L766" s="74" t="str">
        <f>IFERROR(__xludf.DUMMYFUNCTION("""COMPUTED_VALUE"""),"TUBERIA FLEXIBLE")</f>
        <v>TUBERIA FLEXIBLE</v>
      </c>
      <c r="M766" s="74" t="str">
        <f>IFERROR(__xludf.DUMMYFUNCTION("""COMPUTED_VALUE"""),"TUBOS")</f>
        <v>TUBOS</v>
      </c>
      <c r="N766" s="87">
        <f>IFERROR(__xludf.DUMMYFUNCTION("""COMPUTED_VALUE"""),8862.24)</f>
        <v>8862.24</v>
      </c>
      <c r="O766" s="74">
        <f>IFERROR(__xludf.DUMMYFUNCTION("""COMPUTED_VALUE"""),5.0)</f>
        <v>5</v>
      </c>
      <c r="P766" s="74" t="str">
        <f>IFERROR(__xludf.DUMMYFUNCTION("""COMPUTED_VALUE"""),"In stock")</f>
        <v>In stock</v>
      </c>
      <c r="Q766" s="74"/>
      <c r="R766" s="74"/>
      <c r="S766" s="87">
        <f>IFERROR(__xludf.DUMMYFUNCTION("""COMPUTED_VALUE"""),106.0)</f>
        <v>106</v>
      </c>
      <c r="T766" s="87">
        <f>IFERROR(__xludf.DUMMYFUNCTION("""COMPUTED_VALUE"""),499.0)</f>
        <v>499</v>
      </c>
      <c r="U766" s="87">
        <f>IFERROR(__xludf.DUMMYFUNCTION("""COMPUTED_VALUE"""),479.03999999999996)</f>
        <v>479.04</v>
      </c>
      <c r="V766" s="87">
        <f>IFERROR(__xludf.DUMMYFUNCTION("""COMPUTED_VALUE"""),129.85)</f>
        <v>129.85</v>
      </c>
      <c r="W766" s="87">
        <f>IFERROR(__xludf.DUMMYFUNCTION("""COMPUTED_VALUE"""),2434.6875)</f>
        <v>2434.6875</v>
      </c>
      <c r="X766" s="88">
        <f>IFERROR(__xludf.DUMMYFUNCTION("""COMPUTED_VALUE"""),4.519245283018868)</f>
        <v>4.519245283</v>
      </c>
      <c r="Y766" s="74"/>
      <c r="Z766" s="74"/>
    </row>
    <row r="767">
      <c r="B767" s="74" t="str">
        <f>IFERROR(__xludf.DUMMYFUNCTION("""COMPUTED_VALUE"""),"1764")</f>
        <v>1764</v>
      </c>
      <c r="C767" s="74"/>
      <c r="D767" s="74" t="str">
        <f>IFERROR(__xludf.DUMMYFUNCTION("""COMPUTED_VALUE"""),"\\MCA-S\mk\2_BM\0_BMat\08_PYM\Inventario\excel\Imagen de refacciones\Sistemas de tubería\Manguera flexible 4M brida doble - Flexible Hose 4M Best two flanges")</f>
        <v>\\MCA-S\mk\2_BM\0_BMat\08_PYM\Inventario\excel\Imagen de refacciones\Sistemas de tubería\Manguera flexible 4M brida doble - Flexible Hose 4M Best two flanges</v>
      </c>
      <c r="E767" s="74" t="str">
        <f>IFERROR(__xludf.DUMMYFUNCTION("""COMPUTED_VALUE"""),"FLEXIBLE HOSE 4 LAYER MET. DN125 SK148 5""X3m DOUBLE END")</f>
        <v>FLEXIBLE HOSE 4 LAYER MET. DN125 SK148 5"X3m DOUBLE END</v>
      </c>
      <c r="F767" s="74" t="str">
        <f>IFERROR(__xludf.DUMMYFUNCTION("""COMPUTED_VALUE"""),"MANGUERA FLEXIBLE 4 CAPAS MET. DN125 SK148 5""X3m BOQUILLA DOBLE")</f>
        <v>MANGUERA FLEXIBLE 4 CAPAS MET. DN125 SK148 5"X3m BOQUILLA DOBLE</v>
      </c>
      <c r="G767" s="74" t="str">
        <f>IFERROR(__xludf.DUMMYFUNCTION("""COMPUTED_VALUE"""),"MANGUERA 4 CAPAS 5""x3m MET. BOQUILLA DOBLE")</f>
        <v>MANGUERA 4 CAPAS 5"x3m MET. BOQUILLA DOBLE</v>
      </c>
      <c r="H767" s="74"/>
      <c r="I767" s="74" t="str">
        <f>IFERROR(__xludf.DUMMYFUNCTION("""COMPUTED_VALUE"""),"BMFH30002F")</f>
        <v>BMFH30002F</v>
      </c>
      <c r="J767" s="74"/>
      <c r="K767" s="74" t="str">
        <f>IFERROR(__xludf.DUMMYFUNCTION("""COMPUTED_VALUE"""),"Tuberia")</f>
        <v>Tuberia</v>
      </c>
      <c r="L767" s="74" t="str">
        <f>IFERROR(__xludf.DUMMYFUNCTION("""COMPUTED_VALUE"""),"TUBERIA FLEXIBLE")</f>
        <v>TUBERIA FLEXIBLE</v>
      </c>
      <c r="M767" s="74" t="str">
        <f>IFERROR(__xludf.DUMMYFUNCTION("""COMPUTED_VALUE"""),"TUBOS")</f>
        <v>TUBOS</v>
      </c>
      <c r="N767" s="87">
        <f>IFERROR(__xludf.DUMMYFUNCTION("""COMPUTED_VALUE"""),8862.24)</f>
        <v>8862.24</v>
      </c>
      <c r="O767" s="74">
        <f>IFERROR(__xludf.DUMMYFUNCTION("""COMPUTED_VALUE"""),5.0)</f>
        <v>5</v>
      </c>
      <c r="P767" s="74" t="str">
        <f>IFERROR(__xludf.DUMMYFUNCTION("""COMPUTED_VALUE"""),"In stock")</f>
        <v>In stock</v>
      </c>
      <c r="Q767" s="74"/>
      <c r="R767" s="74"/>
      <c r="S767" s="87">
        <f>IFERROR(__xludf.DUMMYFUNCTION("""COMPUTED_VALUE"""),115.0)</f>
        <v>115</v>
      </c>
      <c r="T767" s="87">
        <f>IFERROR(__xludf.DUMMYFUNCTION("""COMPUTED_VALUE"""),499.0)</f>
        <v>499</v>
      </c>
      <c r="U767" s="87">
        <f>IFERROR(__xludf.DUMMYFUNCTION("""COMPUTED_VALUE"""),479.03999999999996)</f>
        <v>479.04</v>
      </c>
      <c r="V767" s="87">
        <f>IFERROR(__xludf.DUMMYFUNCTION("""COMPUTED_VALUE"""),140.875)</f>
        <v>140.875</v>
      </c>
      <c r="W767" s="87">
        <f>IFERROR(__xludf.DUMMYFUNCTION("""COMPUTED_VALUE"""),2641.40625)</f>
        <v>2641.40625</v>
      </c>
      <c r="X767" s="88">
        <f>IFERROR(__xludf.DUMMYFUNCTION("""COMPUTED_VALUE"""),4.165565217391304)</f>
        <v>4.165565217</v>
      </c>
      <c r="Y767" s="74"/>
      <c r="Z767" s="74"/>
    </row>
    <row r="768">
      <c r="B768" s="74" t="str">
        <f>IFERROR(__xludf.DUMMYFUNCTION("""COMPUTED_VALUE"""),"1765")</f>
        <v>1765</v>
      </c>
      <c r="C768" s="74" t="str">
        <f>IFERROR(__xludf.DUMMYFUNCTION("""COMPUTED_VALUE"""),"75045880370")</f>
        <v>75045880370</v>
      </c>
      <c r="D768" s="74" t="str">
        <f>IFERROR(__xludf.DUMMYFUNCTION("""COMPUTED_VALUE"""),"\\MCA-S\mk\2_BM\0_BMat\08_PYM\Inventario\excel\Imagen de refacciones\Ollas revolvedoras\Abanico de 14_ - 12V")</f>
        <v>\\MCA-S\mk\2_BM\0_BMat\08_PYM\Inventario\excel\Imagen de refacciones\Ollas revolvedoras\Abanico de 14_ - 12V</v>
      </c>
      <c r="E768" s="74" t="str">
        <f>IFERROR(__xludf.DUMMYFUNCTION("""COMPUTED_VALUE"""),"MIXER HYDRAULIC OIL COOLER FAN/MOTOR ASSEMBLY")</f>
        <v>MIXER HYDRAULIC OIL COOLER FAN/MOTOR ASSEMBLY</v>
      </c>
      <c r="F768" s="74" t="str">
        <f>IFERROR(__xludf.DUMMYFUNCTION("""COMPUTED_VALUE"""),"ABANICO 14"" 12V")</f>
        <v>ABANICO 14" 12V</v>
      </c>
      <c r="G768" s="74"/>
      <c r="H768" s="74"/>
      <c r="I768" s="74" t="str">
        <f>IFERROR(__xludf.DUMMYFUNCTION("""COMPUTED_VALUE"""),"LM-1022")</f>
        <v>LM-1022</v>
      </c>
      <c r="J768" s="74"/>
      <c r="K768" s="74" t="str">
        <f>IFERROR(__xludf.DUMMYFUNCTION("""COMPUTED_VALUE"""),"Olla Revolvedora")</f>
        <v>Olla Revolvedora</v>
      </c>
      <c r="L768" s="74"/>
      <c r="M768" s="74" t="str">
        <f>IFERROR(__xludf.DUMMYFUNCTION("""COMPUTED_VALUE"""),"Sin Asignar")</f>
        <v>Sin Asignar</v>
      </c>
      <c r="N768" s="87">
        <f>IFERROR(__xludf.DUMMYFUNCTION("""COMPUTED_VALUE"""),0.0)</f>
        <v>0</v>
      </c>
      <c r="O768" s="74"/>
      <c r="P768" s="74" t="str">
        <f>IFERROR(__xludf.DUMMYFUNCTION("""COMPUTED_VALUE"""),"To Re-purchase")</f>
        <v>To Re-purchase</v>
      </c>
      <c r="Q768" s="74"/>
      <c r="R768" s="74"/>
      <c r="S768" s="87">
        <f>IFERROR(__xludf.DUMMYFUNCTION("""COMPUTED_VALUE"""),0.0)</f>
        <v>0</v>
      </c>
      <c r="T768" s="87">
        <f>IFERROR(__xludf.DUMMYFUNCTION("""COMPUTED_VALUE"""),0.0)</f>
        <v>0</v>
      </c>
      <c r="U768" s="87">
        <f>IFERROR(__xludf.DUMMYFUNCTION("""COMPUTED_VALUE"""),0.0)</f>
        <v>0</v>
      </c>
      <c r="V768" s="87">
        <f>IFERROR(__xludf.DUMMYFUNCTION("""COMPUTED_VALUE"""),0.0)</f>
        <v>0</v>
      </c>
      <c r="W768" s="87">
        <f>IFERROR(__xludf.DUMMYFUNCTION("""COMPUTED_VALUE"""),0.0)</f>
        <v>0</v>
      </c>
      <c r="X768" s="88"/>
      <c r="Y768" s="74"/>
      <c r="Z768" s="74"/>
    </row>
    <row r="769">
      <c r="B769" s="74" t="str">
        <f>IFERROR(__xludf.DUMMYFUNCTION("""COMPUTED_VALUE"""),"1766")</f>
        <v>1766</v>
      </c>
      <c r="C769" s="74" t="str">
        <f>IFERROR(__xludf.DUMMYFUNCTION("""COMPUTED_VALUE"""),"75045880338")</f>
        <v>75045880338</v>
      </c>
      <c r="D769" s="74" t="str">
        <f>IFERROR(__xludf.DUMMYFUNCTION("""COMPUTED_VALUE"""),"\\MCA-S\mk\2_BM\0_BMat\08_PYM\Inventario\excel\Imagen de refacciones\Ollas revolvedoras\Balero y taza MTM")</f>
        <v>\\MCA-S\mk\2_BM\0_BMat\08_PYM\Inventario\excel\Imagen de refacciones\Ollas revolvedoras\Balero y taza MTM</v>
      </c>
      <c r="E769" s="74"/>
      <c r="F769" s="74" t="str">
        <f>IFERROR(__xludf.DUMMYFUNCTION("""COMPUTED_VALUE"""),"Balero y taza MTM")</f>
        <v>Balero y taza MTM</v>
      </c>
      <c r="G769" s="74"/>
      <c r="H769" s="74"/>
      <c r="I769" s="74" t="str">
        <f>IFERROR(__xludf.DUMMYFUNCTION("""COMPUTED_VALUE"""),"82213/82215")</f>
        <v>82213/82215</v>
      </c>
      <c r="J769" s="74"/>
      <c r="K769" s="74" t="str">
        <f>IFERROR(__xludf.DUMMYFUNCTION("""COMPUTED_VALUE"""),"Olla Revolvedora")</f>
        <v>Olla Revolvedora</v>
      </c>
      <c r="L769" s="74"/>
      <c r="M769" s="74" t="str">
        <f>IFERROR(__xludf.DUMMYFUNCTION("""COMPUTED_VALUE"""),"Sin Asignar")</f>
        <v>Sin Asignar</v>
      </c>
      <c r="N769" s="87">
        <f>IFERROR(__xludf.DUMMYFUNCTION("""COMPUTED_VALUE"""),0.0)</f>
        <v>0</v>
      </c>
      <c r="O769" s="74"/>
      <c r="P769" s="74" t="str">
        <f>IFERROR(__xludf.DUMMYFUNCTION("""COMPUTED_VALUE"""),"No Available")</f>
        <v>No Available</v>
      </c>
      <c r="Q769" s="74"/>
      <c r="R769" s="74"/>
      <c r="S769" s="87">
        <f>IFERROR(__xludf.DUMMYFUNCTION("""COMPUTED_VALUE"""),0.0)</f>
        <v>0</v>
      </c>
      <c r="T769" s="87">
        <f>IFERROR(__xludf.DUMMYFUNCTION("""COMPUTED_VALUE"""),0.0)</f>
        <v>0</v>
      </c>
      <c r="U769" s="87">
        <f>IFERROR(__xludf.DUMMYFUNCTION("""COMPUTED_VALUE"""),0.0)</f>
        <v>0</v>
      </c>
      <c r="V769" s="87">
        <f>IFERROR(__xludf.DUMMYFUNCTION("""COMPUTED_VALUE"""),0.0)</f>
        <v>0</v>
      </c>
      <c r="W769" s="87">
        <f>IFERROR(__xludf.DUMMYFUNCTION("""COMPUTED_VALUE"""),0.0)</f>
        <v>0</v>
      </c>
      <c r="X769" s="88"/>
      <c r="Y769" s="74"/>
      <c r="Z769" s="74"/>
    </row>
    <row r="770">
      <c r="B770" s="74" t="str">
        <f>IFERROR(__xludf.DUMMYFUNCTION("""COMPUTED_VALUE"""),"1767")</f>
        <v>1767</v>
      </c>
      <c r="C770" s="74" t="str">
        <f>IFERROR(__xludf.DUMMYFUNCTION("""COMPUTED_VALUE"""),"75045880371")</f>
        <v>75045880371</v>
      </c>
      <c r="D770" s="74" t="str">
        <f>IFERROR(__xludf.DUMMYFUNCTION("""COMPUTED_VALUE"""),"\\MCA-S\mk\2_BM\0_BMat\08_PYM\Inventario\excel\Imagen de refacciones\Ollas revolvedoras\Base para filtro de aceite hidráulico")</f>
        <v>\\MCA-S\mk\2_BM\0_BMat\08_PYM\Inventario\excel\Imagen de refacciones\Ollas revolvedoras\Base para filtro de aceite hidráulico</v>
      </c>
      <c r="E770" s="74" t="str">
        <f>IFERROR(__xludf.DUMMYFUNCTION("""COMPUTED_VALUE"""),"HYDRAULIC FILTER BASE")</f>
        <v>HYDRAULIC FILTER BASE</v>
      </c>
      <c r="F770" s="74" t="str">
        <f>IFERROR(__xludf.DUMMYFUNCTION("""COMPUTED_VALUE"""),"BASE FILTRO PARA ACEITE HIDRAULICO")</f>
        <v>BASE FILTRO PARA ACEITE HIDRAULICO</v>
      </c>
      <c r="G770" s="74"/>
      <c r="H770" s="74"/>
      <c r="I770" s="74" t="str">
        <f>IFERROR(__xludf.DUMMYFUNCTION("""COMPUTED_VALUE"""),"XM-006691-00A")</f>
        <v>XM-006691-00A</v>
      </c>
      <c r="J770" s="74" t="str">
        <f>IFERROR(__xludf.DUMMYFUNCTION("""COMPUTED_VALUE"""),"XM00669100A")</f>
        <v>XM00669100A</v>
      </c>
      <c r="K770" s="74" t="str">
        <f>IFERROR(__xludf.DUMMYFUNCTION("""COMPUTED_VALUE"""),"Olla Revolvedora")</f>
        <v>Olla Revolvedora</v>
      </c>
      <c r="L770" s="74"/>
      <c r="M770" s="74" t="str">
        <f>IFERROR(__xludf.DUMMYFUNCTION("""COMPUTED_VALUE"""),"Sin Asignar")</f>
        <v>Sin Asignar</v>
      </c>
      <c r="N770" s="87">
        <f>IFERROR(__xludf.DUMMYFUNCTION("""COMPUTED_VALUE"""),0.0)</f>
        <v>0</v>
      </c>
      <c r="O770" s="74"/>
      <c r="P770" s="74" t="str">
        <f>IFERROR(__xludf.DUMMYFUNCTION("""COMPUTED_VALUE"""),"To Re-purchase")</f>
        <v>To Re-purchase</v>
      </c>
      <c r="Q770" s="74"/>
      <c r="R770" s="74"/>
      <c r="S770" s="87">
        <f>IFERROR(__xludf.DUMMYFUNCTION("""COMPUTED_VALUE"""),0.0)</f>
        <v>0</v>
      </c>
      <c r="T770" s="87">
        <f>IFERROR(__xludf.DUMMYFUNCTION("""COMPUTED_VALUE"""),0.0)</f>
        <v>0</v>
      </c>
      <c r="U770" s="87">
        <f>IFERROR(__xludf.DUMMYFUNCTION("""COMPUTED_VALUE"""),0.0)</f>
        <v>0</v>
      </c>
      <c r="V770" s="87">
        <f>IFERROR(__xludf.DUMMYFUNCTION("""COMPUTED_VALUE"""),0.0)</f>
        <v>0</v>
      </c>
      <c r="W770" s="87">
        <f>IFERROR(__xludf.DUMMYFUNCTION("""COMPUTED_VALUE"""),0.0)</f>
        <v>0</v>
      </c>
      <c r="X770" s="88"/>
      <c r="Y770" s="74"/>
      <c r="Z770" s="74"/>
    </row>
    <row r="771">
      <c r="B771" s="74" t="str">
        <f>IFERROR(__xludf.DUMMYFUNCTION("""COMPUTED_VALUE"""),"1768")</f>
        <v>1768</v>
      </c>
      <c r="C771" s="74" t="str">
        <f>IFERROR(__xludf.DUMMYFUNCTION("""COMPUTED_VALUE"""),"75045880503")</f>
        <v>75045880503</v>
      </c>
      <c r="D771" s="74" t="str">
        <f>IFERROR(__xludf.DUMMYFUNCTION("""COMPUTED_VALUE"""),"\\MCA-S\mk\2_BM\0_BMat\08_PYM\Inventario\excel\Imagen de refacciones\Ollas revolvedoras\Bomba de precarga eaton 5424")</f>
        <v>\\MCA-S\mk\2_BM\0_BMat\08_PYM\Inventario\excel\Imagen de refacciones\Ollas revolvedoras\Bomba de precarga eaton 5424</v>
      </c>
      <c r="E771" s="74" t="str">
        <f>IFERROR(__xludf.DUMMYFUNCTION("""COMPUTED_VALUE"""),"A-PAD CHARGE PUMP EATON 5423")</f>
        <v>A-PAD CHARGE PUMP EATON 5423</v>
      </c>
      <c r="F771" s="74" t="str">
        <f>IFERROR(__xludf.DUMMYFUNCTION("""COMPUTED_VALUE"""),"BOMBA DE PRECARGA EATON 5423")</f>
        <v>BOMBA DE PRECARGA EATON 5423</v>
      </c>
      <c r="G771" s="74"/>
      <c r="H771" s="74" t="str">
        <f>IFERROR(__xludf.DUMMYFUNCTION("""COMPUTED_VALUE"""),"BOMBA DE PRECARGA PARA CAMION REVOLVEDOR")</f>
        <v>BOMBA DE PRECARGA PARA CAMION REVOLVEDOR</v>
      </c>
      <c r="I771" s="74" t="str">
        <f>IFERROR(__xludf.DUMMYFUNCTION("""COMPUTED_VALUE"""),"990355022")</f>
        <v>990355022</v>
      </c>
      <c r="J771" s="74" t="str">
        <f>IFERROR(__xludf.DUMMYFUNCTION("""COMPUTED_VALUE"""),"5423-CHP")</f>
        <v>5423-CHP</v>
      </c>
      <c r="K771" s="74" t="str">
        <f>IFERROR(__xludf.DUMMYFUNCTION("""COMPUTED_VALUE"""),"Olla Revolvedora")</f>
        <v>Olla Revolvedora</v>
      </c>
      <c r="L771" s="74" t="str">
        <f>IFERROR(__xludf.DUMMYFUNCTION("""COMPUTED_VALUE"""),"Sistema de bombeo de concreto")</f>
        <v>Sistema de bombeo de concreto</v>
      </c>
      <c r="M771" s="74" t="str">
        <f>IFERROR(__xludf.DUMMYFUNCTION("""COMPUTED_VALUE"""),"BOMBAS")</f>
        <v>BOMBAS</v>
      </c>
      <c r="N771" s="87">
        <f>IFERROR(__xludf.DUMMYFUNCTION("""COMPUTED_VALUE"""),10158.72)</f>
        <v>10158.72</v>
      </c>
      <c r="O771" s="74">
        <f>IFERROR(__xludf.DUMMYFUNCTION("""COMPUTED_VALUE"""),2.0)</f>
        <v>2</v>
      </c>
      <c r="P771" s="74" t="str">
        <f>IFERROR(__xludf.DUMMYFUNCTION("""COMPUTED_VALUE"""),"In stock")</f>
        <v>In stock</v>
      </c>
      <c r="Q771" s="74"/>
      <c r="R771" s="74"/>
      <c r="S771" s="87">
        <f>IFERROR(__xludf.DUMMYFUNCTION("""COMPUTED_VALUE"""),78.0)</f>
        <v>78</v>
      </c>
      <c r="T771" s="87">
        <f>IFERROR(__xludf.DUMMYFUNCTION("""COMPUTED_VALUE"""),572.0)</f>
        <v>572</v>
      </c>
      <c r="U771" s="87">
        <f>IFERROR(__xludf.DUMMYFUNCTION("""COMPUTED_VALUE"""),549.12)</f>
        <v>549.12</v>
      </c>
      <c r="V771" s="87">
        <f>IFERROR(__xludf.DUMMYFUNCTION("""COMPUTED_VALUE"""),95.55)</f>
        <v>95.55</v>
      </c>
      <c r="W771" s="87">
        <f>IFERROR(__xludf.DUMMYFUNCTION("""COMPUTED_VALUE"""),1791.5625)</f>
        <v>1791.5625</v>
      </c>
      <c r="X771" s="88">
        <f>IFERROR(__xludf.DUMMYFUNCTION("""COMPUTED_VALUE"""),7.04)</f>
        <v>7.04</v>
      </c>
      <c r="Y771" s="74"/>
      <c r="Z771" s="74"/>
    </row>
    <row r="772">
      <c r="B772" s="74" t="str">
        <f>IFERROR(__xludf.DUMMYFUNCTION("""COMPUTED_VALUE"""),"1769")</f>
        <v>1769</v>
      </c>
      <c r="C772" s="74" t="str">
        <f>IFERROR(__xludf.DUMMYFUNCTION("""COMPUTED_VALUE"""),"75045880504")</f>
        <v>75045880504</v>
      </c>
      <c r="D772" s="74" t="str">
        <f>IFERROR(__xludf.DUMMYFUNCTION("""COMPUTED_VALUE"""),"\\MCA-S\mk\2_BM\0_BMat\08_PYM\Inventario\excel\Imagen de refacciones\Ollas revolvedoras\Caja de control cabina")</f>
        <v>\\MCA-S\mk\2_BM\0_BMat\08_PYM\Inventario\excel\Imagen de refacciones\Ollas revolvedoras\Caja de control cabina</v>
      </c>
      <c r="E772" s="74"/>
      <c r="F772" s="74" t="str">
        <f>IFERROR(__xludf.DUMMYFUNCTION("""COMPUTED_VALUE"""),"CAJA DE CONTROL CABINA")</f>
        <v>CAJA DE CONTROL CABINA</v>
      </c>
      <c r="G772" s="74"/>
      <c r="H772" s="74"/>
      <c r="I772" s="74" t="str">
        <f>IFERROR(__xludf.DUMMYFUNCTION("""COMPUTED_VALUE"""),"280.8248")</f>
        <v>280.8248</v>
      </c>
      <c r="J772" s="74"/>
      <c r="K772" s="74" t="str">
        <f>IFERROR(__xludf.DUMMYFUNCTION("""COMPUTED_VALUE"""),"Olla Revolvedora")</f>
        <v>Olla Revolvedora</v>
      </c>
      <c r="L772" s="74"/>
      <c r="M772" s="74" t="str">
        <f>IFERROR(__xludf.DUMMYFUNCTION("""COMPUTED_VALUE"""),"Sin Asignar")</f>
        <v>Sin Asignar</v>
      </c>
      <c r="N772" s="87">
        <f>IFERROR(__xludf.DUMMYFUNCTION("""COMPUTED_VALUE"""),0.0)</f>
        <v>0</v>
      </c>
      <c r="O772" s="74"/>
      <c r="P772" s="74" t="str">
        <f>IFERROR(__xludf.DUMMYFUNCTION("""COMPUTED_VALUE"""),"To Re-purchase")</f>
        <v>To Re-purchase</v>
      </c>
      <c r="Q772" s="74"/>
      <c r="R772" s="74"/>
      <c r="S772" s="87">
        <f>IFERROR(__xludf.DUMMYFUNCTION("""COMPUTED_VALUE"""),0.0)</f>
        <v>0</v>
      </c>
      <c r="T772" s="87">
        <f>IFERROR(__xludf.DUMMYFUNCTION("""COMPUTED_VALUE"""),0.0)</f>
        <v>0</v>
      </c>
      <c r="U772" s="87">
        <f>IFERROR(__xludf.DUMMYFUNCTION("""COMPUTED_VALUE"""),0.0)</f>
        <v>0</v>
      </c>
      <c r="V772" s="87">
        <f>IFERROR(__xludf.DUMMYFUNCTION("""COMPUTED_VALUE"""),0.0)</f>
        <v>0</v>
      </c>
      <c r="W772" s="87">
        <f>IFERROR(__xludf.DUMMYFUNCTION("""COMPUTED_VALUE"""),0.0)</f>
        <v>0</v>
      </c>
      <c r="X772" s="88"/>
      <c r="Y772" s="74"/>
      <c r="Z772" s="74"/>
    </row>
    <row r="773">
      <c r="B773" s="74" t="str">
        <f>IFERROR(__xludf.DUMMYFUNCTION("""COMPUTED_VALUE"""),"1770")</f>
        <v>1770</v>
      </c>
      <c r="C773" s="74" t="str">
        <f>IFERROR(__xludf.DUMMYFUNCTION("""COMPUTED_VALUE"""),"75045880372")</f>
        <v>75045880372</v>
      </c>
      <c r="D773" s="74" t="str">
        <f>IFERROR(__xludf.DUMMYFUNCTION("""COMPUTED_VALUE"""),"\\MCA-S\mk\2_BM\0_BMat\08_PYM\Inventario\excel\Imagen de refacciones\Ollas revolvedoras\Caja de control de 1 palanca")</f>
        <v>\\MCA-S\mk\2_BM\0_BMat\08_PYM\Inventario\excel\Imagen de refacciones\Ollas revolvedoras\Caja de control de 1 palanca</v>
      </c>
      <c r="E773" s="74" t="str">
        <f>IFERROR(__xludf.DUMMYFUNCTION("""COMPUTED_VALUE"""),"SINGLE HANDLE REAR CONTROL BOX FOR THROTTLE  ")</f>
        <v>SINGLE HANDLE REAR CONTROL BOX FOR THROTTLE  </v>
      </c>
      <c r="F773" s="74" t="str">
        <f>IFERROR(__xludf.DUMMYFUNCTION("""COMPUTED_VALUE"""),"CAJA DE CONTROL 1 PALANCA")</f>
        <v>CAJA DE CONTROL 1 PALANCA</v>
      </c>
      <c r="G773" s="74"/>
      <c r="H773" s="74"/>
      <c r="I773" s="74" t="str">
        <f>IFERROR(__xludf.DUMMYFUNCTION("""COMPUTED_VALUE"""),"153914")</f>
        <v>153914</v>
      </c>
      <c r="J773" s="74" t="str">
        <f>IFERROR(__xludf.DUMMYFUNCTION("""COMPUTED_VALUE"""),"280.153914")</f>
        <v>280.153914</v>
      </c>
      <c r="K773" s="74" t="str">
        <f>IFERROR(__xludf.DUMMYFUNCTION("""COMPUTED_VALUE"""),"Olla Revolvedora")</f>
        <v>Olla Revolvedora</v>
      </c>
      <c r="L773" s="74"/>
      <c r="M773" s="74" t="str">
        <f>IFERROR(__xludf.DUMMYFUNCTION("""COMPUTED_VALUE"""),"Sin Asignar")</f>
        <v>Sin Asignar</v>
      </c>
      <c r="N773" s="87">
        <f>IFERROR(__xludf.DUMMYFUNCTION("""COMPUTED_VALUE"""),0.0)</f>
        <v>0</v>
      </c>
      <c r="O773" s="74"/>
      <c r="P773" s="74" t="str">
        <f>IFERROR(__xludf.DUMMYFUNCTION("""COMPUTED_VALUE"""),"To Re-purchase")</f>
        <v>To Re-purchase</v>
      </c>
      <c r="Q773" s="74"/>
      <c r="R773" s="74"/>
      <c r="S773" s="87">
        <f>IFERROR(__xludf.DUMMYFUNCTION("""COMPUTED_VALUE"""),0.0)</f>
        <v>0</v>
      </c>
      <c r="T773" s="87">
        <f>IFERROR(__xludf.DUMMYFUNCTION("""COMPUTED_VALUE"""),0.0)</f>
        <v>0</v>
      </c>
      <c r="U773" s="87">
        <f>IFERROR(__xludf.DUMMYFUNCTION("""COMPUTED_VALUE"""),0.0)</f>
        <v>0</v>
      </c>
      <c r="V773" s="87">
        <f>IFERROR(__xludf.DUMMYFUNCTION("""COMPUTED_VALUE"""),0.0)</f>
        <v>0</v>
      </c>
      <c r="W773" s="87">
        <f>IFERROR(__xludf.DUMMYFUNCTION("""COMPUTED_VALUE"""),0.0)</f>
        <v>0</v>
      </c>
      <c r="X773" s="88"/>
      <c r="Y773" s="74"/>
      <c r="Z773" s="74"/>
    </row>
    <row r="774">
      <c r="B774" s="74" t="str">
        <f>IFERROR(__xludf.DUMMYFUNCTION("""COMPUTED_VALUE"""),"1771")</f>
        <v>1771</v>
      </c>
      <c r="C774" s="74" t="str">
        <f>IFERROR(__xludf.DUMMYFUNCTION("""COMPUTED_VALUE"""),"75045880373")</f>
        <v>75045880373</v>
      </c>
      <c r="D774" s="74" t="str">
        <f>IFERROR(__xludf.DUMMYFUNCTION("""COMPUTED_VALUE"""),"\\MCA-S\mk\2_BM\0_BMat\08_PYM\Inventario\excel\Imagen de refacciones\Ollas revolvedoras\Caja de control de 2 palancas")</f>
        <v>\\MCA-S\mk\2_BM\0_BMat\08_PYM\Inventario\excel\Imagen de refacciones\Ollas revolvedoras\Caja de control de 2 palancas</v>
      </c>
      <c r="E774" s="74" t="str">
        <f>IFERROR(__xludf.DUMMYFUNCTION("""COMPUTED_VALUE"""),"TWO HANDLE REAR CONTROL BOX")</f>
        <v>TWO HANDLE REAR CONTROL BOX</v>
      </c>
      <c r="F774" s="74" t="str">
        <f>IFERROR(__xludf.DUMMYFUNCTION("""COMPUTED_VALUE"""),"CAJA DE CONTROL DE 2 PALANCAS")</f>
        <v>CAJA DE CONTROL DE 2 PALANCAS</v>
      </c>
      <c r="G774" s="74"/>
      <c r="H774" s="74"/>
      <c r="I774" s="74" t="str">
        <f>IFERROR(__xludf.DUMMYFUNCTION("""COMPUTED_VALUE"""),"153880")</f>
        <v>153880</v>
      </c>
      <c r="J774" s="74" t="str">
        <f>IFERROR(__xludf.DUMMYFUNCTION("""COMPUTED_VALUE"""),"280.153880")</f>
        <v>280.153880</v>
      </c>
      <c r="K774" s="74" t="str">
        <f>IFERROR(__xludf.DUMMYFUNCTION("""COMPUTED_VALUE"""),"Olla Revolvedora")</f>
        <v>Olla Revolvedora</v>
      </c>
      <c r="L774" s="74"/>
      <c r="M774" s="74" t="str">
        <f>IFERROR(__xludf.DUMMYFUNCTION("""COMPUTED_VALUE"""),"Sin Asignar")</f>
        <v>Sin Asignar</v>
      </c>
      <c r="N774" s="87">
        <f>IFERROR(__xludf.DUMMYFUNCTION("""COMPUTED_VALUE"""),0.0)</f>
        <v>0</v>
      </c>
      <c r="O774" s="74"/>
      <c r="P774" s="74" t="str">
        <f>IFERROR(__xludf.DUMMYFUNCTION("""COMPUTED_VALUE"""),"To Re-purchase")</f>
        <v>To Re-purchase</v>
      </c>
      <c r="Q774" s="74"/>
      <c r="R774" s="74"/>
      <c r="S774" s="87">
        <f>IFERROR(__xludf.DUMMYFUNCTION("""COMPUTED_VALUE"""),0.0)</f>
        <v>0</v>
      </c>
      <c r="T774" s="87">
        <f>IFERROR(__xludf.DUMMYFUNCTION("""COMPUTED_VALUE"""),0.0)</f>
        <v>0</v>
      </c>
      <c r="U774" s="87">
        <f>IFERROR(__xludf.DUMMYFUNCTION("""COMPUTED_VALUE"""),0.0)</f>
        <v>0</v>
      </c>
      <c r="V774" s="87">
        <f>IFERROR(__xludf.DUMMYFUNCTION("""COMPUTED_VALUE"""),0.0)</f>
        <v>0</v>
      </c>
      <c r="W774" s="87">
        <f>IFERROR(__xludf.DUMMYFUNCTION("""COMPUTED_VALUE"""),0.0)</f>
        <v>0</v>
      </c>
      <c r="X774" s="88"/>
      <c r="Y774" s="74"/>
      <c r="Z774" s="74"/>
    </row>
    <row r="775">
      <c r="B775" s="74" t="str">
        <f>IFERROR(__xludf.DUMMYFUNCTION("""COMPUTED_VALUE"""),"1772")</f>
        <v>1772</v>
      </c>
      <c r="C775" s="74" t="str">
        <f>IFERROR(__xludf.DUMMYFUNCTION("""COMPUTED_VALUE"""),"75045880297")</f>
        <v>75045880297</v>
      </c>
      <c r="D775" s="74" t="str">
        <f>IFERROR(__xludf.DUMMYFUNCTION("""COMPUTED_VALUE"""),"\\MCA-S\mk\2_BM\0_BMat\08_PYM\Inventario\excel\Imagen de refacciones\Ollas revolvedoras\Cartucho para dyna-chute M-720")</f>
        <v>\\MCA-S\mk\2_BM\0_BMat\08_PYM\Inventario\excel\Imagen de refacciones\Ollas revolvedoras\Cartucho para dyna-chute M-720</v>
      </c>
      <c r="E775" s="74"/>
      <c r="F775" s="74" t="str">
        <f>IFERROR(__xludf.DUMMYFUNCTION("""COMPUTED_VALUE"""),"CARTUCHO DYNACHUTE M-719")</f>
        <v>CARTUCHO DYNACHUTE M-719</v>
      </c>
      <c r="G775" s="74"/>
      <c r="H775" s="74"/>
      <c r="I775" s="74" t="str">
        <f>IFERROR(__xludf.DUMMYFUNCTION("""COMPUTED_VALUE"""),"70262")</f>
        <v>70262</v>
      </c>
      <c r="J775" s="74"/>
      <c r="K775" s="74" t="str">
        <f>IFERROR(__xludf.DUMMYFUNCTION("""COMPUTED_VALUE"""),"Olla Revolvedora")</f>
        <v>Olla Revolvedora</v>
      </c>
      <c r="L775" s="74"/>
      <c r="M775" s="74" t="str">
        <f>IFERROR(__xludf.DUMMYFUNCTION("""COMPUTED_VALUE"""),"Sin Asignar")</f>
        <v>Sin Asignar</v>
      </c>
      <c r="N775" s="87">
        <f>IFERROR(__xludf.DUMMYFUNCTION("""COMPUTED_VALUE"""),0.0)</f>
        <v>0</v>
      </c>
      <c r="O775" s="74"/>
      <c r="P775" s="74" t="str">
        <f>IFERROR(__xludf.DUMMYFUNCTION("""COMPUTED_VALUE"""),"To Re-purchase")</f>
        <v>To Re-purchase</v>
      </c>
      <c r="Q775" s="74"/>
      <c r="R775" s="74"/>
      <c r="S775" s="87">
        <f>IFERROR(__xludf.DUMMYFUNCTION("""COMPUTED_VALUE"""),0.0)</f>
        <v>0</v>
      </c>
      <c r="T775" s="87">
        <f>IFERROR(__xludf.DUMMYFUNCTION("""COMPUTED_VALUE"""),0.0)</f>
        <v>0</v>
      </c>
      <c r="U775" s="87">
        <f>IFERROR(__xludf.DUMMYFUNCTION("""COMPUTED_VALUE"""),0.0)</f>
        <v>0</v>
      </c>
      <c r="V775" s="87">
        <f>IFERROR(__xludf.DUMMYFUNCTION("""COMPUTED_VALUE"""),0.0)</f>
        <v>0</v>
      </c>
      <c r="W775" s="87">
        <f>IFERROR(__xludf.DUMMYFUNCTION("""COMPUTED_VALUE"""),0.0)</f>
        <v>0</v>
      </c>
      <c r="X775" s="88"/>
      <c r="Y775" s="74"/>
      <c r="Z775" s="74"/>
    </row>
    <row r="776">
      <c r="B776" s="74" t="str">
        <f>IFERROR(__xludf.DUMMYFUNCTION("""COMPUTED_VALUE"""),"1773")</f>
        <v>1773</v>
      </c>
      <c r="C776" s="74" t="str">
        <f>IFERROR(__xludf.DUMMYFUNCTION("""COMPUTED_VALUE"""),"75045880298")</f>
        <v>75045880298</v>
      </c>
      <c r="D776" s="74" t="str">
        <f>IFERROR(__xludf.DUMMYFUNCTION("""COMPUTED_VALUE"""),"\\MCA-S\mk\2_BM\0_BMat\08_PYM\Inventario\excel\Imagen de refacciones\Ollas revolvedoras\Creta p_flehca cardan 1310-1350- mixta")</f>
        <v>\\MCA-S\mk\2_BM\0_BMat\08_PYM\Inventario\excel\Imagen de refacciones\Ollas revolvedoras\Creta p_flehca cardan 1310-1350- mixta</v>
      </c>
      <c r="E776" s="74" t="str">
        <f>IFERROR(__xludf.DUMMYFUNCTION("""COMPUTED_VALUE"""),"CONVERSION U-JOINT")</f>
        <v>CONVERSION U-JOINT</v>
      </c>
      <c r="F776" s="74" t="str">
        <f>IFERROR(__xludf.DUMMYFUNCTION("""COMPUTED_VALUE"""),"CRETA P/FLECHA CARDAN 1310-1350-MIXTA")</f>
        <v>CRETA P/FLECHA CARDAN 1310-1350-MIXTA</v>
      </c>
      <c r="G776" s="74"/>
      <c r="H776" s="74"/>
      <c r="I776" s="74" t="str">
        <f>IFERROR(__xludf.DUMMYFUNCTION("""COMPUTED_VALUE"""),"660.127510")</f>
        <v>660.127510</v>
      </c>
      <c r="J776" s="74"/>
      <c r="K776" s="74" t="str">
        <f>IFERROR(__xludf.DUMMYFUNCTION("""COMPUTED_VALUE"""),"Olla Revolvedora")</f>
        <v>Olla Revolvedora</v>
      </c>
      <c r="L776" s="74"/>
      <c r="M776" s="74" t="str">
        <f>IFERROR(__xludf.DUMMYFUNCTION("""COMPUTED_VALUE"""),"Sin Asignar")</f>
        <v>Sin Asignar</v>
      </c>
      <c r="N776" s="87">
        <f>IFERROR(__xludf.DUMMYFUNCTION("""COMPUTED_VALUE"""),0.0)</f>
        <v>0</v>
      </c>
      <c r="O776" s="74"/>
      <c r="P776" s="74" t="str">
        <f>IFERROR(__xludf.DUMMYFUNCTION("""COMPUTED_VALUE"""),"To Re-purchase")</f>
        <v>To Re-purchase</v>
      </c>
      <c r="Q776" s="74"/>
      <c r="R776" s="74"/>
      <c r="S776" s="87">
        <f>IFERROR(__xludf.DUMMYFUNCTION("""COMPUTED_VALUE"""),0.0)</f>
        <v>0</v>
      </c>
      <c r="T776" s="87">
        <f>IFERROR(__xludf.DUMMYFUNCTION("""COMPUTED_VALUE"""),0.0)</f>
        <v>0</v>
      </c>
      <c r="U776" s="87">
        <f>IFERROR(__xludf.DUMMYFUNCTION("""COMPUTED_VALUE"""),0.0)</f>
        <v>0</v>
      </c>
      <c r="V776" s="87">
        <f>IFERROR(__xludf.DUMMYFUNCTION("""COMPUTED_VALUE"""),0.0)</f>
        <v>0</v>
      </c>
      <c r="W776" s="87">
        <f>IFERROR(__xludf.DUMMYFUNCTION("""COMPUTED_VALUE"""),0.0)</f>
        <v>0</v>
      </c>
      <c r="X776" s="88"/>
      <c r="Y776" s="74"/>
      <c r="Z776" s="74"/>
    </row>
    <row r="777">
      <c r="B777" s="74" t="str">
        <f>IFERROR(__xludf.DUMMYFUNCTION("""COMPUTED_VALUE"""),"1774")</f>
        <v>1774</v>
      </c>
      <c r="C777" s="74" t="str">
        <f>IFERROR(__xludf.DUMMYFUNCTION("""COMPUTED_VALUE"""),"75045880374")</f>
        <v>75045880374</v>
      </c>
      <c r="D777" s="74" t="str">
        <f>IFERROR(__xludf.DUMMYFUNCTION("""COMPUTED_VALUE"""),"\\MCA-S\mk\2_BM\0_BMat\08_PYM\Inventario\excel\Imagen de refacciones\Ollas revolvedoras\Dynachute M-719 sencillo y con control")</f>
        <v>\\MCA-S\mk\2_BM\0_BMat\08_PYM\Inventario\excel\Imagen de refacciones\Ollas revolvedoras\Dynachute M-719 sencillo y con control</v>
      </c>
      <c r="E777" s="74"/>
      <c r="F777" s="74" t="str">
        <f>IFERROR(__xludf.DUMMYFUNCTION("""COMPUTED_VALUE"""),"Dynachute M-719 sencillo y con control")</f>
        <v>Dynachute M-719 sencillo y con control</v>
      </c>
      <c r="G777" s="74"/>
      <c r="H777" s="74"/>
      <c r="I777" s="74" t="str">
        <f>IFERROR(__xludf.DUMMYFUNCTION("""COMPUTED_VALUE"""),"520.106792")</f>
        <v>520.106792</v>
      </c>
      <c r="J777" s="74"/>
      <c r="K777" s="74" t="str">
        <f>IFERROR(__xludf.DUMMYFUNCTION("""COMPUTED_VALUE"""),"Olla Revolvedora")</f>
        <v>Olla Revolvedora</v>
      </c>
      <c r="L777" s="74"/>
      <c r="M777" s="74" t="str">
        <f>IFERROR(__xludf.DUMMYFUNCTION("""COMPUTED_VALUE"""),"Sin Asignar")</f>
        <v>Sin Asignar</v>
      </c>
      <c r="N777" s="87">
        <f>IFERROR(__xludf.DUMMYFUNCTION("""COMPUTED_VALUE"""),0.0)</f>
        <v>0</v>
      </c>
      <c r="O777" s="74"/>
      <c r="P777" s="74" t="str">
        <f>IFERROR(__xludf.DUMMYFUNCTION("""COMPUTED_VALUE"""),"No Available")</f>
        <v>No Available</v>
      </c>
      <c r="Q777" s="74"/>
      <c r="R777" s="74"/>
      <c r="S777" s="87">
        <f>IFERROR(__xludf.DUMMYFUNCTION("""COMPUTED_VALUE"""),0.0)</f>
        <v>0</v>
      </c>
      <c r="T777" s="87">
        <f>IFERROR(__xludf.DUMMYFUNCTION("""COMPUTED_VALUE"""),0.0)</f>
        <v>0</v>
      </c>
      <c r="U777" s="87">
        <f>IFERROR(__xludf.DUMMYFUNCTION("""COMPUTED_VALUE"""),0.0)</f>
        <v>0</v>
      </c>
      <c r="V777" s="87">
        <f>IFERROR(__xludf.DUMMYFUNCTION("""COMPUTED_VALUE"""),0.0)</f>
        <v>0</v>
      </c>
      <c r="W777" s="87">
        <f>IFERROR(__xludf.DUMMYFUNCTION("""COMPUTED_VALUE"""),0.0)</f>
        <v>0</v>
      </c>
      <c r="X777" s="88"/>
      <c r="Y777" s="74"/>
      <c r="Z777" s="74"/>
    </row>
    <row r="778">
      <c r="B778" s="74" t="str">
        <f>IFERROR(__xludf.DUMMYFUNCTION("""COMPUTED_VALUE"""),"1775")</f>
        <v>1775</v>
      </c>
      <c r="C778" s="74" t="str">
        <f>IFERROR(__xludf.DUMMYFUNCTION("""COMPUTED_VALUE"""),"75045880505")</f>
        <v>75045880505</v>
      </c>
      <c r="D778" s="74" t="str">
        <f>IFERROR(__xludf.DUMMYFUNCTION("""COMPUTED_VALUE"""),"\\MCA-S\mk\2_BM\0_BMat\08_PYM\Inventario\excel\Imagen de refacciones\Ollas revolvedoras\Empaque p_base Lengüeta MTM")</f>
        <v>\\MCA-S\mk\2_BM\0_BMat\08_PYM\Inventario\excel\Imagen de refacciones\Ollas revolvedoras\Empaque p_base Lengüeta MTM</v>
      </c>
      <c r="E778" s="74" t="str">
        <f>IFERROR(__xludf.DUMMYFUNCTION("""COMPUTED_VALUE"""),"GASKET, WATER TANK FLAPPER MTM")</f>
        <v>GASKET, WATER TANK FLAPPER MTM</v>
      </c>
      <c r="F778" s="74" t="str">
        <f>IFERROR(__xludf.DUMMYFUNCTION("""COMPUTED_VALUE"""),"EMPAQUE BASE LENGUETA MTM")</f>
        <v>EMPAQUE BASE LENGUETA MTM</v>
      </c>
      <c r="G778" s="74"/>
      <c r="H778" s="74"/>
      <c r="I778" s="74" t="str">
        <f>IFERROR(__xludf.DUMMYFUNCTION("""COMPUTED_VALUE"""),"115212")</f>
        <v>115212</v>
      </c>
      <c r="J778" s="74"/>
      <c r="K778" s="74" t="str">
        <f>IFERROR(__xludf.DUMMYFUNCTION("""COMPUTED_VALUE"""),"Olla Revolvedora")</f>
        <v>Olla Revolvedora</v>
      </c>
      <c r="L778" s="74" t="str">
        <f>IFERROR(__xludf.DUMMYFUNCTION("""COMPUTED_VALUE"""),"TANQUE DE AGUA")</f>
        <v>TANQUE DE AGUA</v>
      </c>
      <c r="M778" s="74" t="str">
        <f>IFERROR(__xludf.DUMMYFUNCTION("""COMPUTED_VALUE"""),"Sin Asignar")</f>
        <v>Sin Asignar</v>
      </c>
      <c r="N778" s="87">
        <f>IFERROR(__xludf.DUMMYFUNCTION("""COMPUTED_VALUE"""),124.32)</f>
        <v>124.32</v>
      </c>
      <c r="O778" s="74"/>
      <c r="P778" s="74" t="str">
        <f>IFERROR(__xludf.DUMMYFUNCTION("""COMPUTED_VALUE"""),"To Re-purchase")</f>
        <v>To Re-purchase</v>
      </c>
      <c r="Q778" s="74"/>
      <c r="R778" s="74"/>
      <c r="S778" s="87">
        <f>IFERROR(__xludf.DUMMYFUNCTION("""COMPUTED_VALUE"""),2.0)</f>
        <v>2</v>
      </c>
      <c r="T778" s="87">
        <f>IFERROR(__xludf.DUMMYFUNCTION("""COMPUTED_VALUE"""),7.0)</f>
        <v>7</v>
      </c>
      <c r="U778" s="87">
        <f>IFERROR(__xludf.DUMMYFUNCTION("""COMPUTED_VALUE"""),6.72)</f>
        <v>6.72</v>
      </c>
      <c r="V778" s="87">
        <f>IFERROR(__xludf.DUMMYFUNCTION("""COMPUTED_VALUE"""),2.45)</f>
        <v>2.45</v>
      </c>
      <c r="W778" s="87">
        <f>IFERROR(__xludf.DUMMYFUNCTION("""COMPUTED_VALUE"""),45.9375)</f>
        <v>45.9375</v>
      </c>
      <c r="X778" s="88">
        <f>IFERROR(__xludf.DUMMYFUNCTION("""COMPUTED_VALUE"""),3.36)</f>
        <v>3.36</v>
      </c>
      <c r="Y778" s="74"/>
      <c r="Z778" s="74"/>
    </row>
    <row r="779">
      <c r="B779" s="74" t="str">
        <f>IFERROR(__xludf.DUMMYFUNCTION("""COMPUTED_VALUE"""),"1776")</f>
        <v>1776</v>
      </c>
      <c r="C779" s="74" t="str">
        <f>IFERROR(__xludf.DUMMYFUNCTION("""COMPUTED_VALUE"""),"75045880455")</f>
        <v>75045880455</v>
      </c>
      <c r="D779" s="74" t="str">
        <f>IFERROR(__xludf.DUMMYFUNCTION("""COMPUTED_VALUE"""),"\\MCA-S\mk\2_BM\0_BMat\08_PYM\Inventario\excel\Imagen de refacciones\Ollas revolvedoras\Enfriador completo para aceite hidráulico")</f>
        <v>\\MCA-S\mk\2_BM\0_BMat\08_PYM\Inventario\excel\Imagen de refacciones\Ollas revolvedoras\Enfriador completo para aceite hidráulico</v>
      </c>
      <c r="E779" s="74"/>
      <c r="F779" s="74" t="str">
        <f>IFERROR(__xludf.DUMMYFUNCTION("""COMPUTED_VALUE"""),"ENFRIADOR COMPLETO PARA ACEITE HIDRAULICO")</f>
        <v>ENFRIADOR COMPLETO PARA ACEITE HIDRAULICO</v>
      </c>
      <c r="G779" s="74"/>
      <c r="H779" s="74"/>
      <c r="I779" s="74" t="str">
        <f>IFERROR(__xludf.DUMMYFUNCTION("""COMPUTED_VALUE"""),"108575")</f>
        <v>108575</v>
      </c>
      <c r="J779" s="74"/>
      <c r="K779" s="74" t="str">
        <f>IFERROR(__xludf.DUMMYFUNCTION("""COMPUTED_VALUE"""),"Olla Revolvedora")</f>
        <v>Olla Revolvedora</v>
      </c>
      <c r="L779" s="74"/>
      <c r="M779" s="74" t="str">
        <f>IFERROR(__xludf.DUMMYFUNCTION("""COMPUTED_VALUE"""),"Sin Asignar")</f>
        <v>Sin Asignar</v>
      </c>
      <c r="N779" s="87">
        <f>IFERROR(__xludf.DUMMYFUNCTION("""COMPUTED_VALUE"""),0.0)</f>
        <v>0</v>
      </c>
      <c r="O779" s="74"/>
      <c r="P779" s="74" t="str">
        <f>IFERROR(__xludf.DUMMYFUNCTION("""COMPUTED_VALUE"""),"To Re-purchase")</f>
        <v>To Re-purchase</v>
      </c>
      <c r="Q779" s="74"/>
      <c r="R779" s="74"/>
      <c r="S779" s="87">
        <f>IFERROR(__xludf.DUMMYFUNCTION("""COMPUTED_VALUE"""),0.0)</f>
        <v>0</v>
      </c>
      <c r="T779" s="87">
        <f>IFERROR(__xludf.DUMMYFUNCTION("""COMPUTED_VALUE"""),0.0)</f>
        <v>0</v>
      </c>
      <c r="U779" s="87">
        <f>IFERROR(__xludf.DUMMYFUNCTION("""COMPUTED_VALUE"""),0.0)</f>
        <v>0</v>
      </c>
      <c r="V779" s="87">
        <f>IFERROR(__xludf.DUMMYFUNCTION("""COMPUTED_VALUE"""),0.0)</f>
        <v>0</v>
      </c>
      <c r="W779" s="87">
        <f>IFERROR(__xludf.DUMMYFUNCTION("""COMPUTED_VALUE"""),0.0)</f>
        <v>0</v>
      </c>
      <c r="X779" s="88"/>
      <c r="Y779" s="74"/>
      <c r="Z779" s="74"/>
    </row>
    <row r="780">
      <c r="B780" s="74" t="str">
        <f>IFERROR(__xludf.DUMMYFUNCTION("""COMPUTED_VALUE"""),"1777")</f>
        <v>1777</v>
      </c>
      <c r="C780" s="74" t="str">
        <f>IFERROR(__xludf.DUMMYFUNCTION("""COMPUTED_VALUE"""),"75045880456")</f>
        <v>75045880456</v>
      </c>
      <c r="D780" s="74" t="str">
        <f>IFERROR(__xludf.DUMMYFUNCTION("""COMPUTED_VALUE"""),"\\MCA-S\mk\2_BM\0_BMat\08_PYM\Inventario\excel\Imagen de refacciones\Ollas revolvedoras\Enfriador de aire_aceite (radiador)")</f>
        <v>\\MCA-S\mk\2_BM\0_BMat\08_PYM\Inventario\excel\Imagen de refacciones\Ollas revolvedoras\Enfriador de aire_aceite (radiador)</v>
      </c>
      <c r="E780" s="74"/>
      <c r="F780" s="74" t="str">
        <f>IFERROR(__xludf.DUMMYFUNCTION("""COMPUTED_VALUE"""),"ENFRIADOR DE AIRE/ACEITE (RADIADOR)")</f>
        <v>ENFRIADOR DE AIRE/ACEITE (RADIADOR)</v>
      </c>
      <c r="G780" s="74"/>
      <c r="H780" s="74"/>
      <c r="I780" s="74" t="str">
        <f>IFERROR(__xludf.DUMMYFUNCTION("""COMPUTED_VALUE"""),"10857526")</f>
        <v>10857526</v>
      </c>
      <c r="J780" s="74"/>
      <c r="K780" s="74" t="str">
        <f>IFERROR(__xludf.DUMMYFUNCTION("""COMPUTED_VALUE"""),"Olla Revolvedora")</f>
        <v>Olla Revolvedora</v>
      </c>
      <c r="L780" s="74"/>
      <c r="M780" s="74" t="str">
        <f>IFERROR(__xludf.DUMMYFUNCTION("""COMPUTED_VALUE"""),"Sin Asignar")</f>
        <v>Sin Asignar</v>
      </c>
      <c r="N780" s="87">
        <f>IFERROR(__xludf.DUMMYFUNCTION("""COMPUTED_VALUE"""),0.0)</f>
        <v>0</v>
      </c>
      <c r="O780" s="74"/>
      <c r="P780" s="74" t="str">
        <f>IFERROR(__xludf.DUMMYFUNCTION("""COMPUTED_VALUE"""),"To Re-purchase")</f>
        <v>To Re-purchase</v>
      </c>
      <c r="Q780" s="74"/>
      <c r="R780" s="74"/>
      <c r="S780" s="87">
        <f>IFERROR(__xludf.DUMMYFUNCTION("""COMPUTED_VALUE"""),0.0)</f>
        <v>0</v>
      </c>
      <c r="T780" s="87">
        <f>IFERROR(__xludf.DUMMYFUNCTION("""COMPUTED_VALUE"""),0.0)</f>
        <v>0</v>
      </c>
      <c r="U780" s="87">
        <f>IFERROR(__xludf.DUMMYFUNCTION("""COMPUTED_VALUE"""),0.0)</f>
        <v>0</v>
      </c>
      <c r="V780" s="87">
        <f>IFERROR(__xludf.DUMMYFUNCTION("""COMPUTED_VALUE"""),0.0)</f>
        <v>0</v>
      </c>
      <c r="W780" s="87">
        <f>IFERROR(__xludf.DUMMYFUNCTION("""COMPUTED_VALUE"""),0.0)</f>
        <v>0</v>
      </c>
      <c r="X780" s="88"/>
      <c r="Y780" s="74"/>
      <c r="Z780" s="74"/>
    </row>
    <row r="781">
      <c r="B781" s="74" t="str">
        <f>IFERROR(__xludf.DUMMYFUNCTION("""COMPUTED_VALUE"""),"1778")</f>
        <v>1778</v>
      </c>
      <c r="C781" s="74" t="str">
        <f>IFERROR(__xludf.DUMMYFUNCTION("""COMPUTED_VALUE"""),"75045880299")</f>
        <v>75045880299</v>
      </c>
      <c r="D781" s="74" t="str">
        <f>IFERROR(__xludf.DUMMYFUNCTION("""COMPUTED_VALUE"""),"\\MCA-S\mk\2_BM\0_BMat\08_PYM\Inventario\excel\Imagen de refacciones\Ollas revolvedoras\Filtro de aceite hidráulico")</f>
        <v>\\MCA-S\mk\2_BM\0_BMat\08_PYM\Inventario\excel\Imagen de refacciones\Ollas revolvedoras\Filtro de aceite hidráulico</v>
      </c>
      <c r="E781" s="74" t="str">
        <f>IFERROR(__xludf.DUMMYFUNCTION("""COMPUTED_VALUE"""),"HYDRAULIC FILTER")</f>
        <v>HYDRAULIC FILTER</v>
      </c>
      <c r="F781" s="74" t="str">
        <f>IFERROR(__xludf.DUMMYFUNCTION("""COMPUTED_VALUE"""),"FILTRO ACEITE HIDRAULICO")</f>
        <v>FILTRO ACEITE HIDRAULICO</v>
      </c>
      <c r="G781" s="74"/>
      <c r="H781" s="74"/>
      <c r="I781" s="74" t="str">
        <f>IFERROR(__xludf.DUMMYFUNCTION("""COMPUTED_VALUE"""),"XM-006692-000")</f>
        <v>XM-006692-000</v>
      </c>
      <c r="J781" s="74"/>
      <c r="K781" s="74" t="str">
        <f>IFERROR(__xludf.DUMMYFUNCTION("""COMPUTED_VALUE"""),"Olla Revolvedora")</f>
        <v>Olla Revolvedora</v>
      </c>
      <c r="L781" s="74"/>
      <c r="M781" s="74" t="str">
        <f>IFERROR(__xludf.DUMMYFUNCTION("""COMPUTED_VALUE"""),"Sin Asignar")</f>
        <v>Sin Asignar</v>
      </c>
      <c r="N781" s="87">
        <f>IFERROR(__xludf.DUMMYFUNCTION("""COMPUTED_VALUE"""),0.0)</f>
        <v>0</v>
      </c>
      <c r="O781" s="74"/>
      <c r="P781" s="74" t="str">
        <f>IFERROR(__xludf.DUMMYFUNCTION("""COMPUTED_VALUE"""),"To Re-purchase")</f>
        <v>To Re-purchase</v>
      </c>
      <c r="Q781" s="74"/>
      <c r="R781" s="74"/>
      <c r="S781" s="87">
        <f>IFERROR(__xludf.DUMMYFUNCTION("""COMPUTED_VALUE"""),0.0)</f>
        <v>0</v>
      </c>
      <c r="T781" s="87">
        <f>IFERROR(__xludf.DUMMYFUNCTION("""COMPUTED_VALUE"""),0.0)</f>
        <v>0</v>
      </c>
      <c r="U781" s="87">
        <f>IFERROR(__xludf.DUMMYFUNCTION("""COMPUTED_VALUE"""),0.0)</f>
        <v>0</v>
      </c>
      <c r="V781" s="87">
        <f>IFERROR(__xludf.DUMMYFUNCTION("""COMPUTED_VALUE"""),0.0)</f>
        <v>0</v>
      </c>
      <c r="W781" s="87">
        <f>IFERROR(__xludf.DUMMYFUNCTION("""COMPUTED_VALUE"""),0.0)</f>
        <v>0</v>
      </c>
      <c r="X781" s="88"/>
      <c r="Y781" s="74"/>
      <c r="Z781" s="74"/>
    </row>
    <row r="782">
      <c r="B782" s="74" t="str">
        <f>IFERROR(__xludf.DUMMYFUNCTION("""COMPUTED_VALUE"""),"1779")</f>
        <v>1779</v>
      </c>
      <c r="C782" s="74" t="str">
        <f>IFERROR(__xludf.DUMMYFUNCTION("""COMPUTED_VALUE"""),"75045880252")</f>
        <v>75045880252</v>
      </c>
      <c r="D782" s="74" t="str">
        <f>IFERROR(__xludf.DUMMYFUNCTION("""COMPUTED_VALUE"""),"\\MCA-S\mk\2_BM\0_BMat\08_PYM\Inventario\excel\Imagen de refacciones\Ollas revolvedoras\Gancho de aluminio para canalón")</f>
        <v>\\MCA-S\mk\2_BM\0_BMat\08_PYM\Inventario\excel\Imagen de refacciones\Ollas revolvedoras\Gancho de aluminio para canalón</v>
      </c>
      <c r="E782" s="74" t="str">
        <f>IFERROR(__xludf.DUMMYFUNCTION("""COMPUTED_VALUE"""),"CONCRETE MIXER CHUTE MOUNT CLIP ALUMINUM")</f>
        <v>CONCRETE MIXER CHUTE MOUNT CLIP ALUMINUM</v>
      </c>
      <c r="F782" s="74" t="str">
        <f>IFERROR(__xludf.DUMMYFUNCTION("""COMPUTED_VALUE"""),"GANCHO DE ALUMINIO PARA CANALON")</f>
        <v>GANCHO DE ALUMINIO PARA CANALON</v>
      </c>
      <c r="G782" s="74"/>
      <c r="H782" s="74"/>
      <c r="I782" s="74" t="str">
        <f>IFERROR(__xludf.DUMMYFUNCTION("""COMPUTED_VALUE"""),"1010273")</f>
        <v>1010273</v>
      </c>
      <c r="J782" s="74"/>
      <c r="K782" s="74" t="str">
        <f>IFERROR(__xludf.DUMMYFUNCTION("""COMPUTED_VALUE"""),"Olla Revolvedora")</f>
        <v>Olla Revolvedora</v>
      </c>
      <c r="L782" s="74"/>
      <c r="M782" s="74" t="str">
        <f>IFERROR(__xludf.DUMMYFUNCTION("""COMPUTED_VALUE"""),"Sin Asignar")</f>
        <v>Sin Asignar</v>
      </c>
      <c r="N782" s="87">
        <f>IFERROR(__xludf.DUMMYFUNCTION("""COMPUTED_VALUE"""),0.0)</f>
        <v>0</v>
      </c>
      <c r="O782" s="74"/>
      <c r="P782" s="74" t="str">
        <f>IFERROR(__xludf.DUMMYFUNCTION("""COMPUTED_VALUE"""),"To Re-purchase")</f>
        <v>To Re-purchase</v>
      </c>
      <c r="Q782" s="74"/>
      <c r="R782" s="74"/>
      <c r="S782" s="87">
        <f>IFERROR(__xludf.DUMMYFUNCTION("""COMPUTED_VALUE"""),0.0)</f>
        <v>0</v>
      </c>
      <c r="T782" s="87">
        <f>IFERROR(__xludf.DUMMYFUNCTION("""COMPUTED_VALUE"""),0.0)</f>
        <v>0</v>
      </c>
      <c r="U782" s="87">
        <f>IFERROR(__xludf.DUMMYFUNCTION("""COMPUTED_VALUE"""),0.0)</f>
        <v>0</v>
      </c>
      <c r="V782" s="87">
        <f>IFERROR(__xludf.DUMMYFUNCTION("""COMPUTED_VALUE"""),0.0)</f>
        <v>0</v>
      </c>
      <c r="W782" s="87">
        <f>IFERROR(__xludf.DUMMYFUNCTION("""COMPUTED_VALUE"""),0.0)</f>
        <v>0</v>
      </c>
      <c r="X782" s="88"/>
      <c r="Y782" s="74"/>
      <c r="Z782" s="74"/>
    </row>
    <row r="783">
      <c r="B783" s="74" t="str">
        <f>IFERROR(__xludf.DUMMYFUNCTION("""COMPUTED_VALUE"""),"1780")</f>
        <v>1780</v>
      </c>
      <c r="C783" s="74" t="str">
        <f>IFERROR(__xludf.DUMMYFUNCTION("""COMPUTED_VALUE"""),"75045880253")</f>
        <v>75045880253</v>
      </c>
      <c r="D783" s="74" t="str">
        <f>IFERROR(__xludf.DUMMYFUNCTION("""COMPUTED_VALUE"""),"\\MCA-S\mk\2_BM\0_BMat\08_PYM\Inventario\excel\Imagen de refacciones\Ollas revolvedoras\Gancho de plástico para canalón")</f>
        <v>\\MCA-S\mk\2_BM\0_BMat\08_PYM\Inventario\excel\Imagen de refacciones\Ollas revolvedoras\Gancho de plástico para canalón</v>
      </c>
      <c r="E783" s="74" t="str">
        <f>IFERROR(__xludf.DUMMYFUNCTION("""COMPUTED_VALUE"""),"CHUTE MOUNT CLIP PLASTIC")</f>
        <v>CHUTE MOUNT CLIP PLASTIC</v>
      </c>
      <c r="F783" s="74" t="str">
        <f>IFERROR(__xludf.DUMMYFUNCTION("""COMPUTED_VALUE"""),"GANCHO PLASTICO PARA CANALON")</f>
        <v>GANCHO PLASTICO PARA CANALON</v>
      </c>
      <c r="G783" s="74"/>
      <c r="H783" s="74"/>
      <c r="I783" s="74" t="str">
        <f>IFERROR(__xludf.DUMMYFUNCTION("""COMPUTED_VALUE"""),"82650")</f>
        <v>82650</v>
      </c>
      <c r="J783" s="74"/>
      <c r="K783" s="74" t="str">
        <f>IFERROR(__xludf.DUMMYFUNCTION("""COMPUTED_VALUE"""),"Olla Revolvedora")</f>
        <v>Olla Revolvedora</v>
      </c>
      <c r="L783" s="74"/>
      <c r="M783" s="74" t="str">
        <f>IFERROR(__xludf.DUMMYFUNCTION("""COMPUTED_VALUE"""),"Sin Asignar")</f>
        <v>Sin Asignar</v>
      </c>
      <c r="N783" s="87">
        <f>IFERROR(__xludf.DUMMYFUNCTION("""COMPUTED_VALUE"""),0.0)</f>
        <v>0</v>
      </c>
      <c r="O783" s="74"/>
      <c r="P783" s="74" t="str">
        <f>IFERROR(__xludf.DUMMYFUNCTION("""COMPUTED_VALUE"""),"To Re-purchase")</f>
        <v>To Re-purchase</v>
      </c>
      <c r="Q783" s="74"/>
      <c r="R783" s="74"/>
      <c r="S783" s="87">
        <f>IFERROR(__xludf.DUMMYFUNCTION("""COMPUTED_VALUE"""),0.0)</f>
        <v>0</v>
      </c>
      <c r="T783" s="87">
        <f>IFERROR(__xludf.DUMMYFUNCTION("""COMPUTED_VALUE"""),0.0)</f>
        <v>0</v>
      </c>
      <c r="U783" s="87">
        <f>IFERROR(__xludf.DUMMYFUNCTION("""COMPUTED_VALUE"""),0.0)</f>
        <v>0</v>
      </c>
      <c r="V783" s="87">
        <f>IFERROR(__xludf.DUMMYFUNCTION("""COMPUTED_VALUE"""),0.0)</f>
        <v>0</v>
      </c>
      <c r="W783" s="87">
        <f>IFERROR(__xludf.DUMMYFUNCTION("""COMPUTED_VALUE"""),0.0)</f>
        <v>0</v>
      </c>
      <c r="X783" s="88"/>
      <c r="Y783" s="74"/>
      <c r="Z783" s="74"/>
    </row>
    <row r="784">
      <c r="B784" s="74" t="str">
        <f>IFERROR(__xludf.DUMMYFUNCTION("""COMPUTED_VALUE"""),"1781")</f>
        <v>1781</v>
      </c>
      <c r="C784" s="74" t="str">
        <f>IFERROR(__xludf.DUMMYFUNCTION("""COMPUTED_VALUE"""),"75045880261")</f>
        <v>75045880261</v>
      </c>
      <c r="D784" s="74" t="str">
        <f>IFERROR(__xludf.DUMMYFUNCTION("""COMPUTED_VALUE"""),"\\MCA-S\mk\2_BM\0_BMat\08_PYM\Inventario\excel\Imagen de refacciones\Ollas revolvedoras\Hawainana de 11 hoyos para vampiro")</f>
        <v>\\MCA-S\mk\2_BM\0_BMat\08_PYM\Inventario\excel\Imagen de refacciones\Ollas revolvedoras\Hawainana de 11 hoyos para vampiro</v>
      </c>
      <c r="E784" s="74" t="str">
        <f>IFERROR(__xludf.DUMMYFUNCTION("""COMPUTED_VALUE"""),"COLLECTOR CHUTE-DISCHARGE HOPPER BIB")</f>
        <v>COLLECTOR CHUTE-DISCHARGE HOPPER BIB</v>
      </c>
      <c r="F784" s="74" t="str">
        <f>IFERROR(__xludf.DUMMYFUNCTION("""COMPUTED_VALUE"""),"HAWAIANA DE 11 HOYOS PARA VAMPIRO")</f>
        <v>HAWAIANA DE 11 HOYOS PARA VAMPIRO</v>
      </c>
      <c r="G784" s="74"/>
      <c r="H784" s="74"/>
      <c r="I784" s="74" t="str">
        <f>IFERROR(__xludf.DUMMYFUNCTION("""COMPUTED_VALUE"""),"115236")</f>
        <v>115236</v>
      </c>
      <c r="J784" s="74"/>
      <c r="K784" s="74" t="str">
        <f>IFERROR(__xludf.DUMMYFUNCTION("""COMPUTED_VALUE"""),"Olla Revolvedora")</f>
        <v>Olla Revolvedora</v>
      </c>
      <c r="L784" s="74"/>
      <c r="M784" s="74" t="str">
        <f>IFERROR(__xludf.DUMMYFUNCTION("""COMPUTED_VALUE"""),"Sin Asignar")</f>
        <v>Sin Asignar</v>
      </c>
      <c r="N784" s="87">
        <f>IFERROR(__xludf.DUMMYFUNCTION("""COMPUTED_VALUE"""),0.0)</f>
        <v>0</v>
      </c>
      <c r="O784" s="74"/>
      <c r="P784" s="74" t="str">
        <f>IFERROR(__xludf.DUMMYFUNCTION("""COMPUTED_VALUE"""),"To Re-purchase")</f>
        <v>To Re-purchase</v>
      </c>
      <c r="Q784" s="74"/>
      <c r="R784" s="74"/>
      <c r="S784" s="87">
        <f>IFERROR(__xludf.DUMMYFUNCTION("""COMPUTED_VALUE"""),0.0)</f>
        <v>0</v>
      </c>
      <c r="T784" s="87">
        <f>IFERROR(__xludf.DUMMYFUNCTION("""COMPUTED_VALUE"""),0.0)</f>
        <v>0</v>
      </c>
      <c r="U784" s="87">
        <f>IFERROR(__xludf.DUMMYFUNCTION("""COMPUTED_VALUE"""),0.0)</f>
        <v>0</v>
      </c>
      <c r="V784" s="87">
        <f>IFERROR(__xludf.DUMMYFUNCTION("""COMPUTED_VALUE"""),0.0)</f>
        <v>0</v>
      </c>
      <c r="W784" s="87">
        <f>IFERROR(__xludf.DUMMYFUNCTION("""COMPUTED_VALUE"""),0.0)</f>
        <v>0</v>
      </c>
      <c r="X784" s="88"/>
      <c r="Y784" s="74"/>
      <c r="Z784" s="74"/>
    </row>
    <row r="785">
      <c r="B785" s="74" t="str">
        <f>IFERROR(__xludf.DUMMYFUNCTION("""COMPUTED_VALUE"""),"1782")</f>
        <v>1782</v>
      </c>
      <c r="C785" s="74" t="str">
        <f>IFERROR(__xludf.DUMMYFUNCTION("""COMPUTED_VALUE"""),"75045880256")</f>
        <v>75045880256</v>
      </c>
      <c r="D785" s="74" t="str">
        <f>IFERROR(__xludf.DUMMYFUNCTION("""COMPUTED_VALUE"""),"\\MCA-S\mk\2_BM\0_BMat\08_PYM\Inventario\excel\Imagen de refacciones\Ollas revolvedoras\Horquilla 1_4_ P_Cble de control o aceleración")</f>
        <v>\\MCA-S\mk\2_BM\0_BMat\08_PYM\Inventario\excel\Imagen de refacciones\Ollas revolvedoras\Horquilla 1_4_ P_Cble de control o aceleración</v>
      </c>
      <c r="E785" s="74"/>
      <c r="F785" s="74" t="str">
        <f>IFERROR(__xludf.DUMMYFUNCTION("""COMPUTED_VALUE"""),"Horquilla 1/4"" P/Cble de control o aceleración")</f>
        <v>Horquilla 1/4" P/Cble de control o aceleración</v>
      </c>
      <c r="G785" s="74"/>
      <c r="H785" s="74"/>
      <c r="I785" s="74" t="str">
        <f>IFERROR(__xludf.DUMMYFUNCTION("""COMPUTED_VALUE"""),"800")</f>
        <v>800</v>
      </c>
      <c r="J785" s="74"/>
      <c r="K785" s="74" t="str">
        <f>IFERROR(__xludf.DUMMYFUNCTION("""COMPUTED_VALUE"""),"Olla Revolvedora")</f>
        <v>Olla Revolvedora</v>
      </c>
      <c r="L785" s="74"/>
      <c r="M785" s="74" t="str">
        <f>IFERROR(__xludf.DUMMYFUNCTION("""COMPUTED_VALUE"""),"Sin Asignar")</f>
        <v>Sin Asignar</v>
      </c>
      <c r="N785" s="87">
        <f>IFERROR(__xludf.DUMMYFUNCTION("""COMPUTED_VALUE"""),0.0)</f>
        <v>0</v>
      </c>
      <c r="O785" s="74"/>
      <c r="P785" s="74" t="str">
        <f>IFERROR(__xludf.DUMMYFUNCTION("""COMPUTED_VALUE"""),"No Available")</f>
        <v>No Available</v>
      </c>
      <c r="Q785" s="74"/>
      <c r="R785" s="74"/>
      <c r="S785" s="87">
        <f>IFERROR(__xludf.DUMMYFUNCTION("""COMPUTED_VALUE"""),0.0)</f>
        <v>0</v>
      </c>
      <c r="T785" s="87">
        <f>IFERROR(__xludf.DUMMYFUNCTION("""COMPUTED_VALUE"""),0.0)</f>
        <v>0</v>
      </c>
      <c r="U785" s="87">
        <f>IFERROR(__xludf.DUMMYFUNCTION("""COMPUTED_VALUE"""),0.0)</f>
        <v>0</v>
      </c>
      <c r="V785" s="87">
        <f>IFERROR(__xludf.DUMMYFUNCTION("""COMPUTED_VALUE"""),0.0)</f>
        <v>0</v>
      </c>
      <c r="W785" s="87">
        <f>IFERROR(__xludf.DUMMYFUNCTION("""COMPUTED_VALUE"""),0.0)</f>
        <v>0</v>
      </c>
      <c r="X785" s="88"/>
      <c r="Y785" s="74"/>
      <c r="Z785" s="74"/>
    </row>
    <row r="786">
      <c r="B786" s="74" t="str">
        <f>IFERROR(__xludf.DUMMYFUNCTION("""COMPUTED_VALUE"""),"1783")</f>
        <v>1783</v>
      </c>
      <c r="C786" s="74" t="str">
        <f>IFERROR(__xludf.DUMMYFUNCTION("""COMPUTED_VALUE"""),"75045880506")</f>
        <v>75045880506</v>
      </c>
      <c r="D786" s="74" t="str">
        <f>IFERROR(__xludf.DUMMYFUNCTION("""COMPUTED_VALUE"""),"\\MCA-S\mk\2_BM\0_BMat\08_PYM\Inventario\Imagen de refacciones\Wam\indicador de nivel - lever indicator")</f>
        <v>\\MCA-S\mk\2_BM\0_BMat\08_PYM\Inventario\Imagen de refacciones\Wam\indicador de nivel - lever indicator</v>
      </c>
      <c r="E786" s="74" t="str">
        <f>IFERROR(__xludf.DUMMYFUNCTION("""COMPUTED_VALUE"""),"LEVEL INDICATOR WITH PADDLE")</f>
        <v>LEVEL INDICATOR WITH PADDLE</v>
      </c>
      <c r="F786" s="74" t="str">
        <f>IFERROR(__xludf.DUMMYFUNCTION("""COMPUTED_VALUE"""),"INDICADOR DE NIVEL")</f>
        <v>INDICADOR DE NIVEL</v>
      </c>
      <c r="G786" s="74"/>
      <c r="H786" s="74"/>
      <c r="I786" s="74" t="str">
        <f>IFERROR(__xludf.DUMMYFUNCTION("""COMPUTED_VALUE"""),"ILTC2")</f>
        <v>ILTC2</v>
      </c>
      <c r="J786" s="74"/>
      <c r="K786" s="74" t="str">
        <f>IFERROR(__xludf.DUMMYFUNCTION("""COMPUTED_VALUE"""),"Olla Revolvedora")</f>
        <v>Olla Revolvedora</v>
      </c>
      <c r="L786" s="74" t="str">
        <f>IFERROR(__xludf.DUMMYFUNCTION("""COMPUTED_VALUE"""),"Elementos de medición y control")</f>
        <v>Elementos de medición y control</v>
      </c>
      <c r="M786" s="74" t="str">
        <f>IFERROR(__xludf.DUMMYFUNCTION("""COMPUTED_VALUE"""),"Sin Asignar")</f>
        <v>Sin Asignar</v>
      </c>
      <c r="N786" s="87">
        <f>IFERROR(__xludf.DUMMYFUNCTION("""COMPUTED_VALUE"""),2610.7200000000003)</f>
        <v>2610.72</v>
      </c>
      <c r="O786" s="74">
        <f>IFERROR(__xludf.DUMMYFUNCTION("""COMPUTED_VALUE"""),3.0)</f>
        <v>3</v>
      </c>
      <c r="P786" s="74" t="str">
        <f>IFERROR(__xludf.DUMMYFUNCTION("""COMPUTED_VALUE"""),"In stock")</f>
        <v>In stock</v>
      </c>
      <c r="Q786" s="74"/>
      <c r="R786" s="74"/>
      <c r="S786" s="87">
        <f>IFERROR(__xludf.DUMMYFUNCTION("""COMPUTED_VALUE"""),40.0)</f>
        <v>40</v>
      </c>
      <c r="T786" s="87">
        <f>IFERROR(__xludf.DUMMYFUNCTION("""COMPUTED_VALUE"""),147.0)</f>
        <v>147</v>
      </c>
      <c r="U786" s="87">
        <f>IFERROR(__xludf.DUMMYFUNCTION("""COMPUTED_VALUE"""),141.12)</f>
        <v>141.12</v>
      </c>
      <c r="V786" s="87">
        <f>IFERROR(__xludf.DUMMYFUNCTION("""COMPUTED_VALUE"""),49.0)</f>
        <v>49</v>
      </c>
      <c r="W786" s="87">
        <f>IFERROR(__xludf.DUMMYFUNCTION("""COMPUTED_VALUE"""),918.75)</f>
        <v>918.75</v>
      </c>
      <c r="X786" s="88">
        <f>IFERROR(__xludf.DUMMYFUNCTION("""COMPUTED_VALUE"""),3.528)</f>
        <v>3.528</v>
      </c>
      <c r="Y786" s="74"/>
      <c r="Z786" s="74"/>
    </row>
    <row r="787">
      <c r="B787" s="74" t="str">
        <f>IFERROR(__xludf.DUMMYFUNCTION("""COMPUTED_VALUE"""),"1784")</f>
        <v>1784</v>
      </c>
      <c r="C787" s="74" t="str">
        <f>IFERROR(__xludf.DUMMYFUNCTION("""COMPUTED_VALUE"""),"75045880275")</f>
        <v>75045880275</v>
      </c>
      <c r="D787" s="74" t="str">
        <f>IFERROR(__xludf.DUMMYFUNCTION("""COMPUTED_VALUE"""),"\\MCA-S\mk\2_BM\0_BMat\08_PYM\Inventario\excel\Imagen de refacciones\Ollas revolvedoras\Indicador de revenimnimiento 0-5000 PSI")</f>
        <v>\\MCA-S\mk\2_BM\0_BMat\08_PYM\Inventario\excel\Imagen de refacciones\Ollas revolvedoras\Indicador de revenimnimiento 0-5000 PSI</v>
      </c>
      <c r="E787" s="74" t="str">
        <f>IFERROR(__xludf.DUMMYFUNCTION("""COMPUTED_VALUE"""),"SLUMP GAUGE WITH POINTERS 5000PSI ")</f>
        <v>SLUMP GAUGE WITH POINTERS 5000PSI </v>
      </c>
      <c r="F787" s="74" t="str">
        <f>IFERROR(__xludf.DUMMYFUNCTION("""COMPUTED_VALUE"""),"INDICADOR DE REVENIMIENTO 0-5000 PSI  ")</f>
        <v>INDICADOR DE REVENIMIENTO 0-5000 PSI  </v>
      </c>
      <c r="G787" s="74"/>
      <c r="H787" s="74"/>
      <c r="I787" s="74" t="str">
        <f>IFERROR(__xludf.DUMMYFUNCTION("""COMPUTED_VALUE"""),"00461")</f>
        <v>00461</v>
      </c>
      <c r="J787" s="74"/>
      <c r="K787" s="74" t="str">
        <f>IFERROR(__xludf.DUMMYFUNCTION("""COMPUTED_VALUE"""),"Olla Revolvedora")</f>
        <v>Olla Revolvedora</v>
      </c>
      <c r="L787" s="74" t="str">
        <f>IFERROR(__xludf.DUMMYFUNCTION("""COMPUTED_VALUE"""),"Elementos de medición y control")</f>
        <v>Elementos de medición y control</v>
      </c>
      <c r="M787" s="74" t="str">
        <f>IFERROR(__xludf.DUMMYFUNCTION("""COMPUTED_VALUE"""),"Sin Asignar")</f>
        <v>Sin Asignar</v>
      </c>
      <c r="N787" s="87">
        <f>IFERROR(__xludf.DUMMYFUNCTION("""COMPUTED_VALUE"""),0.0)</f>
        <v>0</v>
      </c>
      <c r="O787" s="74"/>
      <c r="P787" s="74" t="str">
        <f>IFERROR(__xludf.DUMMYFUNCTION("""COMPUTED_VALUE"""),"To Re-purchase")</f>
        <v>To Re-purchase</v>
      </c>
      <c r="Q787" s="74"/>
      <c r="R787" s="74"/>
      <c r="S787" s="87">
        <f>IFERROR(__xludf.DUMMYFUNCTION("""COMPUTED_VALUE"""),0.0)</f>
        <v>0</v>
      </c>
      <c r="T787" s="87">
        <f>IFERROR(__xludf.DUMMYFUNCTION("""COMPUTED_VALUE"""),0.0)</f>
        <v>0</v>
      </c>
      <c r="U787" s="87">
        <f>IFERROR(__xludf.DUMMYFUNCTION("""COMPUTED_VALUE"""),0.0)</f>
        <v>0</v>
      </c>
      <c r="V787" s="87">
        <f>IFERROR(__xludf.DUMMYFUNCTION("""COMPUTED_VALUE"""),0.0)</f>
        <v>0</v>
      </c>
      <c r="W787" s="87">
        <f>IFERROR(__xludf.DUMMYFUNCTION("""COMPUTED_VALUE"""),0.0)</f>
        <v>0</v>
      </c>
      <c r="X787" s="88"/>
      <c r="Y787" s="74"/>
      <c r="Z787" s="74"/>
    </row>
    <row r="788">
      <c r="B788" s="74" t="str">
        <f>IFERROR(__xludf.DUMMYFUNCTION("""COMPUTED_VALUE"""),"1785")</f>
        <v>1785</v>
      </c>
      <c r="C788" s="74" t="str">
        <f>IFERROR(__xludf.DUMMYFUNCTION("""COMPUTED_VALUE"""),"75045891785")</f>
        <v>75045891785</v>
      </c>
      <c r="D788" s="74" t="str">
        <f>IFERROR(__xludf.DUMMYFUNCTION("""COMPUTED_VALUE"""),"\\MCA-S\mk\2_BM\0_BMat\08_PYM\Inventario\excel\Imagen de refacciones\Ollas revolvedoras\Juego de agarradera - color verde y roja")</f>
        <v>\\MCA-S\mk\2_BM\0_BMat\08_PYM\Inventario\excel\Imagen de refacciones\Ollas revolvedoras\Juego de agarradera - color verde y roja</v>
      </c>
      <c r="E788" s="74" t="str">
        <f>IFERROR(__xludf.DUMMYFUNCTION("""COMPUTED_VALUE"""),"REAR CONTROL KNOB KIT ")</f>
        <v>REAR CONTROL KNOB KIT </v>
      </c>
      <c r="F788" s="74" t="str">
        <f>IFERROR(__xludf.DUMMYFUNCTION("""COMPUTED_VALUE"""),"JUEGO DE AGARRADERA VERDE O ROJA ")</f>
        <v>JUEGO DE AGARRADERA VERDE O ROJA </v>
      </c>
      <c r="G788" s="74"/>
      <c r="H788" s="74"/>
      <c r="I788" s="74" t="str">
        <f>IFERROR(__xludf.DUMMYFUNCTION("""COMPUTED_VALUE"""),"115920AK")</f>
        <v>115920AK</v>
      </c>
      <c r="J788" s="74" t="str">
        <f>IFERROR(__xludf.DUMMYFUNCTION("""COMPUTED_VALUE"""),"115921AK")</f>
        <v>115921AK</v>
      </c>
      <c r="K788" s="74" t="str">
        <f>IFERROR(__xludf.DUMMYFUNCTION("""COMPUTED_VALUE"""),"Olla Revolvedora")</f>
        <v>Olla Revolvedora</v>
      </c>
      <c r="L788" s="74"/>
      <c r="M788" s="74" t="str">
        <f>IFERROR(__xludf.DUMMYFUNCTION("""COMPUTED_VALUE"""),"Sin Asignar")</f>
        <v>Sin Asignar</v>
      </c>
      <c r="N788" s="87">
        <f>IFERROR(__xludf.DUMMYFUNCTION("""COMPUTED_VALUE"""),0.0)</f>
        <v>0</v>
      </c>
      <c r="O788" s="74"/>
      <c r="P788" s="74" t="str">
        <f>IFERROR(__xludf.DUMMYFUNCTION("""COMPUTED_VALUE"""),"To Re-purchase")</f>
        <v>To Re-purchase</v>
      </c>
      <c r="Q788" s="74"/>
      <c r="R788" s="74"/>
      <c r="S788" s="87">
        <f>IFERROR(__xludf.DUMMYFUNCTION("""COMPUTED_VALUE"""),0.0)</f>
        <v>0</v>
      </c>
      <c r="T788" s="87">
        <f>IFERROR(__xludf.DUMMYFUNCTION("""COMPUTED_VALUE"""),0.0)</f>
        <v>0</v>
      </c>
      <c r="U788" s="87">
        <f>IFERROR(__xludf.DUMMYFUNCTION("""COMPUTED_VALUE"""),0.0)</f>
        <v>0</v>
      </c>
      <c r="V788" s="87">
        <f>IFERROR(__xludf.DUMMYFUNCTION("""COMPUTED_VALUE"""),0.0)</f>
        <v>0</v>
      </c>
      <c r="W788" s="87">
        <f>IFERROR(__xludf.DUMMYFUNCTION("""COMPUTED_VALUE"""),0.0)</f>
        <v>0</v>
      </c>
      <c r="X788" s="88"/>
      <c r="Y788" s="74"/>
      <c r="Z788" s="74"/>
    </row>
    <row r="789">
      <c r="B789" s="74" t="str">
        <f>IFERROR(__xludf.DUMMYFUNCTION("""COMPUTED_VALUE"""),"1786")</f>
        <v>1786</v>
      </c>
      <c r="C789" s="74" t="str">
        <f>IFERROR(__xludf.DUMMYFUNCTION("""COMPUTED_VALUE"""),"75045880301")</f>
        <v>75045880301</v>
      </c>
      <c r="D789" s="74" t="str">
        <f>IFERROR(__xludf.DUMMYFUNCTION("""COMPUTED_VALUE"""),"\\MCA-S\mk\2_BM\0_BMat\08_PYM\Inventario\excel\Imagen de refacciones\Ollas revolvedoras\Kit de balero para pivote trasero")</f>
        <v>\\MCA-S\mk\2_BM\0_BMat\08_PYM\Inventario\excel\Imagen de refacciones\Ollas revolvedoras\Kit de balero para pivote trasero</v>
      </c>
      <c r="E789" s="74"/>
      <c r="F789" s="74" t="str">
        <f>IFERROR(__xludf.DUMMYFUNCTION("""COMPUTED_VALUE"""),"KIT PARA BALERO PIVOTE TRASERO")</f>
        <v>KIT PARA BALERO PIVOTE TRASERO</v>
      </c>
      <c r="G789" s="74"/>
      <c r="H789" s="74"/>
      <c r="I789" s="74" t="str">
        <f>IFERROR(__xludf.DUMMYFUNCTION("""COMPUTED_VALUE"""),"153310BK")</f>
        <v>153310BK</v>
      </c>
      <c r="J789" s="74"/>
      <c r="K789" s="74" t="str">
        <f>IFERROR(__xludf.DUMMYFUNCTION("""COMPUTED_VALUE"""),"Olla Revolvedora")</f>
        <v>Olla Revolvedora</v>
      </c>
      <c r="L789" s="74"/>
      <c r="M789" s="74" t="str">
        <f>IFERROR(__xludf.DUMMYFUNCTION("""COMPUTED_VALUE"""),"Sin Asignar")</f>
        <v>Sin Asignar</v>
      </c>
      <c r="N789" s="87">
        <f>IFERROR(__xludf.DUMMYFUNCTION("""COMPUTED_VALUE"""),0.0)</f>
        <v>0</v>
      </c>
      <c r="O789" s="74"/>
      <c r="P789" s="74" t="str">
        <f>IFERROR(__xludf.DUMMYFUNCTION("""COMPUTED_VALUE"""),"No Available")</f>
        <v>No Available</v>
      </c>
      <c r="Q789" s="74"/>
      <c r="R789" s="74"/>
      <c r="S789" s="87">
        <f>IFERROR(__xludf.DUMMYFUNCTION("""COMPUTED_VALUE"""),0.0)</f>
        <v>0</v>
      </c>
      <c r="T789" s="87">
        <f>IFERROR(__xludf.DUMMYFUNCTION("""COMPUTED_VALUE"""),0.0)</f>
        <v>0</v>
      </c>
      <c r="U789" s="87">
        <f>IFERROR(__xludf.DUMMYFUNCTION("""COMPUTED_VALUE"""),0.0)</f>
        <v>0</v>
      </c>
      <c r="V789" s="87">
        <f>IFERROR(__xludf.DUMMYFUNCTION("""COMPUTED_VALUE"""),0.0)</f>
        <v>0</v>
      </c>
      <c r="W789" s="87">
        <f>IFERROR(__xludf.DUMMYFUNCTION("""COMPUTED_VALUE"""),0.0)</f>
        <v>0</v>
      </c>
      <c r="X789" s="88"/>
      <c r="Y789" s="74"/>
      <c r="Z789" s="74"/>
    </row>
    <row r="790">
      <c r="B790" s="74" t="str">
        <f>IFERROR(__xludf.DUMMYFUNCTION("""COMPUTED_VALUE"""),"1787")</f>
        <v>1787</v>
      </c>
      <c r="C790" s="74" t="str">
        <f>IFERROR(__xludf.DUMMYFUNCTION("""COMPUTED_VALUE"""),"75045880507")</f>
        <v>75045880507</v>
      </c>
      <c r="D790" s="74" t="str">
        <f>IFERROR(__xludf.DUMMYFUNCTION("""COMPUTED_VALUE"""),"\\MCA-S\mk\2_BM\0_BMat\08_PYM\Inventario\excel\Imagen de refacciones\Ollas revolvedoras\Kit de reparación para bomba eaton modelo 5422")</f>
        <v>\\MCA-S\mk\2_BM\0_BMat\08_PYM\Inventario\excel\Imagen de refacciones\Ollas revolvedoras\Kit de reparación para bomba eaton modelo 5422</v>
      </c>
      <c r="E790" s="74"/>
      <c r="F790" s="74" t="str">
        <f>IFERROR(__xludf.DUMMYFUNCTION("""COMPUTED_VALUE"""),"KIT REPARACION BOMBA MODELO 5421")</f>
        <v>KIT REPARACION BOMBA MODELO 5421</v>
      </c>
      <c r="G790" s="74"/>
      <c r="H790" s="74"/>
      <c r="I790" s="74" t="str">
        <f>IFERROR(__xludf.DUMMYFUNCTION("""COMPUTED_VALUE"""),"5421-K")</f>
        <v>5421-K</v>
      </c>
      <c r="J790" s="74"/>
      <c r="K790" s="74" t="str">
        <f>IFERROR(__xludf.DUMMYFUNCTION("""COMPUTED_VALUE"""),"Olla Revolvedora")</f>
        <v>Olla Revolvedora</v>
      </c>
      <c r="L790" s="74"/>
      <c r="M790" s="74" t="str">
        <f>IFERROR(__xludf.DUMMYFUNCTION("""COMPUTED_VALUE"""),"Sin Asignar")</f>
        <v>Sin Asignar</v>
      </c>
      <c r="N790" s="87">
        <f>IFERROR(__xludf.DUMMYFUNCTION("""COMPUTED_VALUE"""),0.0)</f>
        <v>0</v>
      </c>
      <c r="O790" s="74"/>
      <c r="P790" s="74" t="str">
        <f>IFERROR(__xludf.DUMMYFUNCTION("""COMPUTED_VALUE"""),"To Re-purchase")</f>
        <v>To Re-purchase</v>
      </c>
      <c r="Q790" s="74"/>
      <c r="R790" s="74"/>
      <c r="S790" s="87">
        <f>IFERROR(__xludf.DUMMYFUNCTION("""COMPUTED_VALUE"""),0.0)</f>
        <v>0</v>
      </c>
      <c r="T790" s="87">
        <f>IFERROR(__xludf.DUMMYFUNCTION("""COMPUTED_VALUE"""),0.0)</f>
        <v>0</v>
      </c>
      <c r="U790" s="87">
        <f>IFERROR(__xludf.DUMMYFUNCTION("""COMPUTED_VALUE"""),0.0)</f>
        <v>0</v>
      </c>
      <c r="V790" s="87">
        <f>IFERROR(__xludf.DUMMYFUNCTION("""COMPUTED_VALUE"""),0.0)</f>
        <v>0</v>
      </c>
      <c r="W790" s="87">
        <f>IFERROR(__xludf.DUMMYFUNCTION("""COMPUTED_VALUE"""),0.0)</f>
        <v>0</v>
      </c>
      <c r="X790" s="88"/>
      <c r="Y790" s="74"/>
      <c r="Z790" s="74"/>
    </row>
    <row r="791">
      <c r="B791" s="74" t="str">
        <f>IFERROR(__xludf.DUMMYFUNCTION("""COMPUTED_VALUE"""),"1788")</f>
        <v>1788</v>
      </c>
      <c r="C791" s="74" t="str">
        <f>IFERROR(__xludf.DUMMYFUNCTION("""COMPUTED_VALUE"""),"75045880302")</f>
        <v>75045880302</v>
      </c>
      <c r="D791" s="74" t="str">
        <f>IFERROR(__xludf.DUMMYFUNCTION("""COMPUTED_VALUE"""),"\\MCA-S\mk\2_BM\0_BMat\08_PYM\Inventario\excel\Imagen de refacciones\Ollas revolvedoras\Kit de sellos para bomba eaton - completo")</f>
        <v>\\MCA-S\mk\2_BM\0_BMat\08_PYM\Inventario\excel\Imagen de refacciones\Ollas revolvedoras\Kit de sellos para bomba eaton - completo</v>
      </c>
      <c r="E791" s="74"/>
      <c r="F791" s="74" t="str">
        <f>IFERROR(__xludf.DUMMYFUNCTION("""COMPUTED_VALUE"""),"KIT SELLOS BOMBA EATON-COMPLETO")</f>
        <v>KIT SELLOS BOMBA EATON-COMPLETO</v>
      </c>
      <c r="G791" s="74"/>
      <c r="H791" s="74"/>
      <c r="I791" s="74" t="str">
        <f>IFERROR(__xludf.DUMMYFUNCTION("""COMPUTED_VALUE"""),"990090")</f>
        <v>990090</v>
      </c>
      <c r="J791" s="74"/>
      <c r="K791" s="74" t="str">
        <f>IFERROR(__xludf.DUMMYFUNCTION("""COMPUTED_VALUE"""),"Olla Revolvedora")</f>
        <v>Olla Revolvedora</v>
      </c>
      <c r="L791" s="74"/>
      <c r="M791" s="74" t="str">
        <f>IFERROR(__xludf.DUMMYFUNCTION("""COMPUTED_VALUE"""),"Sin Asignar")</f>
        <v>Sin Asignar</v>
      </c>
      <c r="N791" s="87">
        <f>IFERROR(__xludf.DUMMYFUNCTION("""COMPUTED_VALUE"""),0.0)</f>
        <v>0</v>
      </c>
      <c r="O791" s="74"/>
      <c r="P791" s="74" t="str">
        <f>IFERROR(__xludf.DUMMYFUNCTION("""COMPUTED_VALUE"""),"To Re-purchase")</f>
        <v>To Re-purchase</v>
      </c>
      <c r="Q791" s="74"/>
      <c r="R791" s="74"/>
      <c r="S791" s="87">
        <f>IFERROR(__xludf.DUMMYFUNCTION("""COMPUTED_VALUE"""),0.0)</f>
        <v>0</v>
      </c>
      <c r="T791" s="87">
        <f>IFERROR(__xludf.DUMMYFUNCTION("""COMPUTED_VALUE"""),0.0)</f>
        <v>0</v>
      </c>
      <c r="U791" s="87">
        <f>IFERROR(__xludf.DUMMYFUNCTION("""COMPUTED_VALUE"""),0.0)</f>
        <v>0</v>
      </c>
      <c r="V791" s="87">
        <f>IFERROR(__xludf.DUMMYFUNCTION("""COMPUTED_VALUE"""),0.0)</f>
        <v>0</v>
      </c>
      <c r="W791" s="87">
        <f>IFERROR(__xludf.DUMMYFUNCTION("""COMPUTED_VALUE"""),0.0)</f>
        <v>0</v>
      </c>
      <c r="X791" s="88"/>
      <c r="Y791" s="74"/>
      <c r="Z791" s="74"/>
    </row>
    <row r="792">
      <c r="B792" s="74" t="str">
        <f>IFERROR(__xludf.DUMMYFUNCTION("""COMPUTED_VALUE"""),"1789")</f>
        <v>1789</v>
      </c>
      <c r="C792" s="74" t="str">
        <f>IFERROR(__xludf.DUMMYFUNCTION("""COMPUTED_VALUE"""),"75045880303")</f>
        <v>75045880303</v>
      </c>
      <c r="D792" s="74" t="str">
        <f>IFERROR(__xludf.DUMMYFUNCTION("""COMPUTED_VALUE"""),"\\MCA-S\mk\2_BM\0_BMat\08_PYM\Inventario\excel\Imagen de refacciones\Ollas revolvedoras\Kit de sellos para bomba eaton serie 24")</f>
        <v>\\MCA-S\mk\2_BM\0_BMat\08_PYM\Inventario\excel\Imagen de refacciones\Ollas revolvedoras\Kit de sellos para bomba eaton serie 24</v>
      </c>
      <c r="E792" s="74"/>
      <c r="F792" s="74" t="str">
        <f>IFERROR(__xludf.DUMMYFUNCTION("""COMPUTED_VALUE"""),"KIT SELLOS BOMBA EATON SERIE 24")</f>
        <v>KIT SELLOS BOMBA EATON SERIE 24</v>
      </c>
      <c r="G792" s="74"/>
      <c r="H792" s="74"/>
      <c r="I792" s="74" t="str">
        <f>IFERROR(__xludf.DUMMYFUNCTION("""COMPUTED_VALUE"""),"9510233")</f>
        <v>9510233</v>
      </c>
      <c r="J792" s="74"/>
      <c r="K792" s="74" t="str">
        <f>IFERROR(__xludf.DUMMYFUNCTION("""COMPUTED_VALUE"""),"Olla Revolvedora")</f>
        <v>Olla Revolvedora</v>
      </c>
      <c r="L792" s="74"/>
      <c r="M792" s="74" t="str">
        <f>IFERROR(__xludf.DUMMYFUNCTION("""COMPUTED_VALUE"""),"Sin Asignar")</f>
        <v>Sin Asignar</v>
      </c>
      <c r="N792" s="87">
        <f>IFERROR(__xludf.DUMMYFUNCTION("""COMPUTED_VALUE"""),0.0)</f>
        <v>0</v>
      </c>
      <c r="O792" s="74"/>
      <c r="P792" s="74" t="str">
        <f>IFERROR(__xludf.DUMMYFUNCTION("""COMPUTED_VALUE"""),"To Re-purchase")</f>
        <v>To Re-purchase</v>
      </c>
      <c r="Q792" s="74"/>
      <c r="R792" s="74"/>
      <c r="S792" s="87">
        <f>IFERROR(__xludf.DUMMYFUNCTION("""COMPUTED_VALUE"""),0.0)</f>
        <v>0</v>
      </c>
      <c r="T792" s="87">
        <f>IFERROR(__xludf.DUMMYFUNCTION("""COMPUTED_VALUE"""),0.0)</f>
        <v>0</v>
      </c>
      <c r="U792" s="87">
        <f>IFERROR(__xludf.DUMMYFUNCTION("""COMPUTED_VALUE"""),0.0)</f>
        <v>0</v>
      </c>
      <c r="V792" s="87">
        <f>IFERROR(__xludf.DUMMYFUNCTION("""COMPUTED_VALUE"""),0.0)</f>
        <v>0</v>
      </c>
      <c r="W792" s="87">
        <f>IFERROR(__xludf.DUMMYFUNCTION("""COMPUTED_VALUE"""),0.0)</f>
        <v>0</v>
      </c>
      <c r="X792" s="88"/>
      <c r="Y792" s="74"/>
      <c r="Z792" s="74"/>
    </row>
    <row r="793">
      <c r="B793" s="74" t="str">
        <f>IFERROR(__xludf.DUMMYFUNCTION("""COMPUTED_VALUE"""),"1790")</f>
        <v>1790</v>
      </c>
      <c r="C793" s="74" t="str">
        <f>IFERROR(__xludf.DUMMYFUNCTION("""COMPUTED_VALUE"""),"75045880375")</f>
        <v>75045880375</v>
      </c>
      <c r="D793" s="74" t="str">
        <f>IFERROR(__xludf.DUMMYFUNCTION("""COMPUTED_VALUE"""),"\\MCA-S\mk\2_BM\0_BMat\08_PYM\Inventario\excel\Imagen de refacciones\Ollas revolvedoras\Kit de sellos para válvula de control eaton")</f>
        <v>\\MCA-S\mk\2_BM\0_BMat\08_PYM\Inventario\excel\Imagen de refacciones\Ollas revolvedoras\Kit de sellos para válvula de control eaton</v>
      </c>
      <c r="E793" s="74"/>
      <c r="F793" s="74" t="str">
        <f>IFERROR(__xludf.DUMMYFUNCTION("""COMPUTED_VALUE"""),"KIT SELLOS VALVULA DE CONTROL EATON")</f>
        <v>KIT SELLOS VALVULA DE CONTROL EATON</v>
      </c>
      <c r="G793" s="74"/>
      <c r="H793" s="74"/>
      <c r="I793" s="74" t="str">
        <f>IFERROR(__xludf.DUMMYFUNCTION("""COMPUTED_VALUE"""),"990287")</f>
        <v>990287</v>
      </c>
      <c r="J793" s="74"/>
      <c r="K793" s="74" t="str">
        <f>IFERROR(__xludf.DUMMYFUNCTION("""COMPUTED_VALUE"""),"Olla Revolvedora")</f>
        <v>Olla Revolvedora</v>
      </c>
      <c r="L793" s="74"/>
      <c r="M793" s="74" t="str">
        <f>IFERROR(__xludf.DUMMYFUNCTION("""COMPUTED_VALUE"""),"Sin Asignar")</f>
        <v>Sin Asignar</v>
      </c>
      <c r="N793" s="87">
        <f>IFERROR(__xludf.DUMMYFUNCTION("""COMPUTED_VALUE"""),0.0)</f>
        <v>0</v>
      </c>
      <c r="O793" s="74"/>
      <c r="P793" s="74" t="str">
        <f>IFERROR(__xludf.DUMMYFUNCTION("""COMPUTED_VALUE"""),"To Re-purchase")</f>
        <v>To Re-purchase</v>
      </c>
      <c r="Q793" s="74"/>
      <c r="R793" s="74"/>
      <c r="S793" s="87">
        <f>IFERROR(__xludf.DUMMYFUNCTION("""COMPUTED_VALUE"""),0.0)</f>
        <v>0</v>
      </c>
      <c r="T793" s="87">
        <f>IFERROR(__xludf.DUMMYFUNCTION("""COMPUTED_VALUE"""),0.0)</f>
        <v>0</v>
      </c>
      <c r="U793" s="87">
        <f>IFERROR(__xludf.DUMMYFUNCTION("""COMPUTED_VALUE"""),0.0)</f>
        <v>0</v>
      </c>
      <c r="V793" s="87">
        <f>IFERROR(__xludf.DUMMYFUNCTION("""COMPUTED_VALUE"""),0.0)</f>
        <v>0</v>
      </c>
      <c r="W793" s="87">
        <f>IFERROR(__xludf.DUMMYFUNCTION("""COMPUTED_VALUE"""),0.0)</f>
        <v>0</v>
      </c>
      <c r="X793" s="88"/>
      <c r="Y793" s="74"/>
      <c r="Z793" s="74"/>
    </row>
    <row r="794">
      <c r="B794" s="74" t="str">
        <f>IFERROR(__xludf.DUMMYFUNCTION("""COMPUTED_VALUE"""),"1791")</f>
        <v>1791</v>
      </c>
      <c r="C794" s="74" t="str">
        <f>IFERROR(__xludf.DUMMYFUNCTION("""COMPUTED_VALUE"""),"75045880276")</f>
        <v>75045880276</v>
      </c>
      <c r="D794" s="74" t="str">
        <f>IFERROR(__xludf.DUMMYFUNCTION("""COMPUTED_VALUE"""),"\\MCA-S\mk\2_BM\0_BMat\08_PYM\Inventario\excel\Imagen de refacciones\Ollas revolvedoras\Lengüeta MTM - Lengüeta london - lengüeta challenge_rex - Lengüeta de plastico 5_ - lengüeta de plastico london 4_1_4_")</f>
        <v>\\MCA-S\mk\2_BM\0_BMat\08_PYM\Inventario\excel\Imagen de refacciones\Ollas revolvedoras\Lengüeta MTM - Lengüeta london - lengüeta challenge_rex - Lengüeta de plastico 5_ - lengüeta de plastico london 4_1_4_</v>
      </c>
      <c r="E794" s="74" t="str">
        <f>IFERROR(__xludf.DUMMYFUNCTION("""COMPUTED_VALUE"""),"MTM FLAPPER")</f>
        <v>MTM FLAPPER</v>
      </c>
      <c r="F794" s="74" t="str">
        <f>IFERROR(__xludf.DUMMYFUNCTION("""COMPUTED_VALUE"""),"LENGUETA MTM")</f>
        <v>LENGUETA MTM</v>
      </c>
      <c r="G794" s="74"/>
      <c r="H794" s="74"/>
      <c r="I794" s="74" t="str">
        <f>IFERROR(__xludf.DUMMYFUNCTION("""COMPUTED_VALUE"""),"150831")</f>
        <v>150831</v>
      </c>
      <c r="J794" s="74"/>
      <c r="K794" s="74" t="str">
        <f>IFERROR(__xludf.DUMMYFUNCTION("""COMPUTED_VALUE"""),"Olla Revolvedora")</f>
        <v>Olla Revolvedora</v>
      </c>
      <c r="L794" s="74" t="str">
        <f>IFERROR(__xludf.DUMMYFUNCTION("""COMPUTED_VALUE"""),"TANQUE DE AGUA")</f>
        <v>TANQUE DE AGUA</v>
      </c>
      <c r="M794" s="74" t="str">
        <f>IFERROR(__xludf.DUMMYFUNCTION("""COMPUTED_VALUE"""),"EMPAQUES")</f>
        <v>EMPAQUES</v>
      </c>
      <c r="N794" s="87">
        <f>IFERROR(__xludf.DUMMYFUNCTION("""COMPUTED_VALUE"""),337.44)</f>
        <v>337.44</v>
      </c>
      <c r="O794" s="74"/>
      <c r="P794" s="74" t="str">
        <f>IFERROR(__xludf.DUMMYFUNCTION("""COMPUTED_VALUE"""),"To Re-purchase")</f>
        <v>To Re-purchase</v>
      </c>
      <c r="Q794" s="74"/>
      <c r="R794" s="74"/>
      <c r="S794" s="87">
        <f>IFERROR(__xludf.DUMMYFUNCTION("""COMPUTED_VALUE"""),7.0)</f>
        <v>7</v>
      </c>
      <c r="T794" s="87">
        <f>IFERROR(__xludf.DUMMYFUNCTION("""COMPUTED_VALUE"""),19.0)</f>
        <v>19</v>
      </c>
      <c r="U794" s="87">
        <f>IFERROR(__xludf.DUMMYFUNCTION("""COMPUTED_VALUE"""),18.24)</f>
        <v>18.24</v>
      </c>
      <c r="V794" s="87">
        <f>IFERROR(__xludf.DUMMYFUNCTION("""COMPUTED_VALUE"""),8.575)</f>
        <v>8.575</v>
      </c>
      <c r="W794" s="87">
        <f>IFERROR(__xludf.DUMMYFUNCTION("""COMPUTED_VALUE"""),160.78125)</f>
        <v>160.78125</v>
      </c>
      <c r="X794" s="88">
        <f>IFERROR(__xludf.DUMMYFUNCTION("""COMPUTED_VALUE"""),2.6057142857142854)</f>
        <v>2.605714286</v>
      </c>
      <c r="Y794" s="74"/>
      <c r="Z794" s="74"/>
    </row>
    <row r="795">
      <c r="B795" s="74" t="str">
        <f>IFERROR(__xludf.DUMMYFUNCTION("""COMPUTED_VALUE"""),"1792")</f>
        <v>1792</v>
      </c>
      <c r="C795" s="74" t="str">
        <f>IFERROR(__xludf.DUMMYFUNCTION("""COMPUTED_VALUE"""),"75045880277")</f>
        <v>75045880277</v>
      </c>
      <c r="D795" s="74" t="str">
        <f>IFERROR(__xludf.DUMMYFUNCTION("""COMPUTED_VALUE"""),"\\MCA-S\mk\2_BM\0_BMat\08_PYM\Inventario\excel\Imagen de refacciones\Ollas revolvedoras\Lengüeta MTM completa")</f>
        <v>\\MCA-S\mk\2_BM\0_BMat\08_PYM\Inventario\excel\Imagen de refacciones\Ollas revolvedoras\Lengüeta MTM completa</v>
      </c>
      <c r="E795" s="74" t="str">
        <f>IFERROR(__xludf.DUMMYFUNCTION("""COMPUTED_VALUE"""),"WATER TANK RUBBER FLAPPER MTM")</f>
        <v>WATER TANK RUBBER FLAPPER MTM</v>
      </c>
      <c r="F795" s="74" t="str">
        <f>IFERROR(__xludf.DUMMYFUNCTION("""COMPUTED_VALUE"""),"LENGUETA MTM COMPLETO")</f>
        <v>LENGUETA MTM COMPLETO</v>
      </c>
      <c r="G795" s="74"/>
      <c r="H795" s="74"/>
      <c r="I795" s="74" t="str">
        <f>IFERROR(__xludf.DUMMYFUNCTION("""COMPUTED_VALUE"""),"150830")</f>
        <v>150830</v>
      </c>
      <c r="J795" s="74"/>
      <c r="K795" s="74" t="str">
        <f>IFERROR(__xludf.DUMMYFUNCTION("""COMPUTED_VALUE"""),"Olla Revolvedora")</f>
        <v>Olla Revolvedora</v>
      </c>
      <c r="L795" s="74" t="str">
        <f>IFERROR(__xludf.DUMMYFUNCTION("""COMPUTED_VALUE"""),"TANQUE DE AGUA")</f>
        <v>TANQUE DE AGUA</v>
      </c>
      <c r="M795" s="74" t="str">
        <f>IFERROR(__xludf.DUMMYFUNCTION("""COMPUTED_VALUE"""),"EMPAQUES")</f>
        <v>EMPAQUES</v>
      </c>
      <c r="N795" s="87">
        <f>IFERROR(__xludf.DUMMYFUNCTION("""COMPUTED_VALUE"""),1225.4399999999998)</f>
        <v>1225.44</v>
      </c>
      <c r="O795" s="74"/>
      <c r="P795" s="74" t="str">
        <f>IFERROR(__xludf.DUMMYFUNCTION("""COMPUTED_VALUE"""),"To Re-purchase")</f>
        <v>To Re-purchase</v>
      </c>
      <c r="Q795" s="74"/>
      <c r="R795" s="74"/>
      <c r="S795" s="87">
        <f>IFERROR(__xludf.DUMMYFUNCTION("""COMPUTED_VALUE"""),20.5)</f>
        <v>20.5</v>
      </c>
      <c r="T795" s="87">
        <f>IFERROR(__xludf.DUMMYFUNCTION("""COMPUTED_VALUE"""),69.0)</f>
        <v>69</v>
      </c>
      <c r="U795" s="87">
        <f>IFERROR(__xludf.DUMMYFUNCTION("""COMPUTED_VALUE"""),66.24)</f>
        <v>66.24</v>
      </c>
      <c r="V795" s="87">
        <f>IFERROR(__xludf.DUMMYFUNCTION("""COMPUTED_VALUE"""),25.1125)</f>
        <v>25.1125</v>
      </c>
      <c r="W795" s="87">
        <f>IFERROR(__xludf.DUMMYFUNCTION("""COMPUTED_VALUE"""),470.859375)</f>
        <v>470.859375</v>
      </c>
      <c r="X795" s="88">
        <f>IFERROR(__xludf.DUMMYFUNCTION("""COMPUTED_VALUE"""),3.2312195121951217)</f>
        <v>3.231219512</v>
      </c>
      <c r="Y795" s="74"/>
      <c r="Z795" s="74"/>
    </row>
    <row r="796">
      <c r="B796" s="74" t="str">
        <f>IFERROR(__xludf.DUMMYFUNCTION("""COMPUTED_VALUE"""),"1793")</f>
        <v>1793</v>
      </c>
      <c r="C796" s="74" t="str">
        <f>IFERROR(__xludf.DUMMYFUNCTION("""COMPUTED_VALUE"""),"75045880254")</f>
        <v>75045880254</v>
      </c>
      <c r="D796" s="74" t="str">
        <f>IFERROR(__xludf.DUMMYFUNCTION("""COMPUTED_VALUE"""),"\\MCA-S\mk\2_BM\0_BMat\08_PYM\Inventario\excel\Imagen de refacciones\Ollas revolvedoras\Liga para canalón")</f>
        <v>\\MCA-S\mk\2_BM\0_BMat\08_PYM\Inventario\excel\Imagen de refacciones\Ollas revolvedoras\Liga para canalón</v>
      </c>
      <c r="E796" s="74" t="str">
        <f>IFERROR(__xludf.DUMMYFUNCTION("""COMPUTED_VALUE"""),"RUBBER CHUTE HOLD DOWN STRAP")</f>
        <v>RUBBER CHUTE HOLD DOWN STRAP</v>
      </c>
      <c r="F796" s="74" t="str">
        <f>IFERROR(__xludf.DUMMYFUNCTION("""COMPUTED_VALUE"""),"LIGA PARA CANALON")</f>
        <v>LIGA PARA CANALON</v>
      </c>
      <c r="G796" s="74"/>
      <c r="H796" s="74"/>
      <c r="I796" s="74" t="str">
        <f>IFERROR(__xludf.DUMMYFUNCTION("""COMPUTED_VALUE"""),"82654")</f>
        <v>82654</v>
      </c>
      <c r="J796" s="74"/>
      <c r="K796" s="74" t="str">
        <f>IFERROR(__xludf.DUMMYFUNCTION("""COMPUTED_VALUE"""),"Olla Revolvedora")</f>
        <v>Olla Revolvedora</v>
      </c>
      <c r="L796" s="74"/>
      <c r="M796" s="74" t="str">
        <f>IFERROR(__xludf.DUMMYFUNCTION("""COMPUTED_VALUE"""),"Sin Asignar")</f>
        <v>Sin Asignar</v>
      </c>
      <c r="N796" s="87">
        <f>IFERROR(__xludf.DUMMYFUNCTION("""COMPUTED_VALUE"""),0.0)</f>
        <v>0</v>
      </c>
      <c r="O796" s="74"/>
      <c r="P796" s="74" t="str">
        <f>IFERROR(__xludf.DUMMYFUNCTION("""COMPUTED_VALUE"""),"To Re-purchase")</f>
        <v>To Re-purchase</v>
      </c>
      <c r="Q796" s="74"/>
      <c r="R796" s="74"/>
      <c r="S796" s="87">
        <f>IFERROR(__xludf.DUMMYFUNCTION("""COMPUTED_VALUE"""),0.0)</f>
        <v>0</v>
      </c>
      <c r="T796" s="87">
        <f>IFERROR(__xludf.DUMMYFUNCTION("""COMPUTED_VALUE"""),0.0)</f>
        <v>0</v>
      </c>
      <c r="U796" s="87">
        <f>IFERROR(__xludf.DUMMYFUNCTION("""COMPUTED_VALUE"""),0.0)</f>
        <v>0</v>
      </c>
      <c r="V796" s="87">
        <f>IFERROR(__xludf.DUMMYFUNCTION("""COMPUTED_VALUE"""),0.0)</f>
        <v>0</v>
      </c>
      <c r="W796" s="87">
        <f>IFERROR(__xludf.DUMMYFUNCTION("""COMPUTED_VALUE"""),0.0)</f>
        <v>0</v>
      </c>
      <c r="X796" s="88"/>
      <c r="Y796" s="74"/>
      <c r="Z796" s="74"/>
    </row>
    <row r="797">
      <c r="B797" s="74" t="str">
        <f>IFERROR(__xludf.DUMMYFUNCTION("""COMPUTED_VALUE"""),"1794")</f>
        <v>1794</v>
      </c>
      <c r="C797" s="74" t="str">
        <f>IFERROR(__xludf.DUMMYFUNCTION("""COMPUTED_VALUE"""),"75045880267")</f>
        <v>75045880267</v>
      </c>
      <c r="D797" s="74" t="str">
        <f>IFERROR(__xludf.DUMMYFUNCTION("""COMPUTED_VALUE"""),"\\MCA-S\mk\2_BM\0_BMat\08_PYM\Inventario\excel\Imagen de refacciones\Ollas revolvedoras\Manómetro de 0-100PSI")</f>
        <v>\\MCA-S\mk\2_BM\0_BMat\08_PYM\Inventario\excel\Imagen de refacciones\Ollas revolvedoras\Manómetro de 0-100PSI</v>
      </c>
      <c r="E797" s="74" t="str">
        <f>IFERROR(__xludf.DUMMYFUNCTION("""COMPUTED_VALUE"""),"CENTER BACK MOUNT 2 INCH AIR GAUGE 0-100PSI")</f>
        <v>CENTER BACK MOUNT 2 INCH AIR GAUGE 0-100PSI</v>
      </c>
      <c r="F797" s="74" t="str">
        <f>IFERROR(__xludf.DUMMYFUNCTION("""COMPUTED_VALUE"""),"MANOMETRO DE 0-100PSI")</f>
        <v>MANOMETRO DE 0-100PSI</v>
      </c>
      <c r="G797" s="74"/>
      <c r="H797" s="74"/>
      <c r="I797" s="74" t="str">
        <f>IFERROR(__xludf.DUMMYFUNCTION("""COMPUTED_VALUE"""),"1170013")</f>
        <v>1170013</v>
      </c>
      <c r="J797" s="74"/>
      <c r="K797" s="74" t="str">
        <f>IFERROR(__xludf.DUMMYFUNCTION("""COMPUTED_VALUE"""),"Olla Revolvedora")</f>
        <v>Olla Revolvedora</v>
      </c>
      <c r="L797" s="74" t="str">
        <f>IFERROR(__xludf.DUMMYFUNCTION("""COMPUTED_VALUE"""),"TANQUE DE AGUA")</f>
        <v>TANQUE DE AGUA</v>
      </c>
      <c r="M797" s="74" t="str">
        <f>IFERROR(__xludf.DUMMYFUNCTION("""COMPUTED_VALUE"""),"MEDIDORES")</f>
        <v>MEDIDORES</v>
      </c>
      <c r="N797" s="87">
        <f>IFERROR(__xludf.DUMMYFUNCTION("""COMPUTED_VALUE"""),177.6)</f>
        <v>177.6</v>
      </c>
      <c r="O797" s="74"/>
      <c r="P797" s="74" t="str">
        <f>IFERROR(__xludf.DUMMYFUNCTION("""COMPUTED_VALUE"""),"To Re-purchase")</f>
        <v>To Re-purchase</v>
      </c>
      <c r="Q797" s="74"/>
      <c r="R797" s="74"/>
      <c r="S797" s="87">
        <f>IFERROR(__xludf.DUMMYFUNCTION("""COMPUTED_VALUE"""),3.2)</f>
        <v>3.2</v>
      </c>
      <c r="T797" s="87">
        <f>IFERROR(__xludf.DUMMYFUNCTION("""COMPUTED_VALUE"""),10.0)</f>
        <v>10</v>
      </c>
      <c r="U797" s="87">
        <f>IFERROR(__xludf.DUMMYFUNCTION("""COMPUTED_VALUE"""),9.6)</f>
        <v>9.6</v>
      </c>
      <c r="V797" s="87">
        <f>IFERROR(__xludf.DUMMYFUNCTION("""COMPUTED_VALUE"""),3.9200000000000004)</f>
        <v>3.92</v>
      </c>
      <c r="W797" s="87">
        <f>IFERROR(__xludf.DUMMYFUNCTION("""COMPUTED_VALUE"""),73.5)</f>
        <v>73.5</v>
      </c>
      <c r="X797" s="88">
        <f>IFERROR(__xludf.DUMMYFUNCTION("""COMPUTED_VALUE"""),2.9999999999999996)</f>
        <v>3</v>
      </c>
      <c r="Y797" s="74"/>
      <c r="Z797" s="74"/>
    </row>
    <row r="798">
      <c r="B798" s="74" t="str">
        <f>IFERROR(__xludf.DUMMYFUNCTION("""COMPUTED_VALUE"""),"1795")</f>
        <v>1795</v>
      </c>
      <c r="C798" s="74" t="str">
        <f>IFERROR(__xludf.DUMMYFUNCTION("""COMPUTED_VALUE"""),"75045880304")</f>
        <v>75045880304</v>
      </c>
      <c r="D798" s="74" t="str">
        <f>IFERROR(__xludf.DUMMYFUNCTION("""COMPUTED_VALUE"""),"\\MCA-S\mk\2_BM\0_BMat\08_PYM\Inventario\excel\Imagen de refacciones\Ollas revolvedoras\manómetro de vacío 0-30 PSI")</f>
        <v>\\MCA-S\mk\2_BM\0_BMat\08_PYM\Inventario\excel\Imagen de refacciones\Ollas revolvedoras\manómetro de vacío 0-30 PSI</v>
      </c>
      <c r="E798" s="74" t="str">
        <f>IFERROR(__xludf.DUMMYFUNCTION("""COMPUTED_VALUE"""),"VACUUM GAUGE 0-30 PSI")</f>
        <v>VACUUM GAUGE 0-30 PSI</v>
      </c>
      <c r="F798" s="74" t="str">
        <f>IFERROR(__xludf.DUMMYFUNCTION("""COMPUTED_VALUE"""),"MANOMETRO DE VACIO 0-30 PSI")</f>
        <v>MANOMETRO DE VACIO 0-30 PSI</v>
      </c>
      <c r="G798" s="74"/>
      <c r="H798" s="74"/>
      <c r="I798" s="74" t="str">
        <f>IFERROR(__xludf.DUMMYFUNCTION("""COMPUTED_VALUE"""),"422")</f>
        <v>422</v>
      </c>
      <c r="J798" s="74"/>
      <c r="K798" s="74" t="str">
        <f>IFERROR(__xludf.DUMMYFUNCTION("""COMPUTED_VALUE"""),"Olla Revolvedora")</f>
        <v>Olla Revolvedora</v>
      </c>
      <c r="L798" s="74"/>
      <c r="M798" s="74" t="str">
        <f>IFERROR(__xludf.DUMMYFUNCTION("""COMPUTED_VALUE"""),"Sin Asignar")</f>
        <v>Sin Asignar</v>
      </c>
      <c r="N798" s="87">
        <f>IFERROR(__xludf.DUMMYFUNCTION("""COMPUTED_VALUE"""),0.0)</f>
        <v>0</v>
      </c>
      <c r="O798" s="74"/>
      <c r="P798" s="74" t="str">
        <f>IFERROR(__xludf.DUMMYFUNCTION("""COMPUTED_VALUE"""),"To Re-purchase")</f>
        <v>To Re-purchase</v>
      </c>
      <c r="Q798" s="74"/>
      <c r="R798" s="74"/>
      <c r="S798" s="87">
        <f>IFERROR(__xludf.DUMMYFUNCTION("""COMPUTED_VALUE"""),0.0)</f>
        <v>0</v>
      </c>
      <c r="T798" s="87">
        <f>IFERROR(__xludf.DUMMYFUNCTION("""COMPUTED_VALUE"""),0.0)</f>
        <v>0</v>
      </c>
      <c r="U798" s="87">
        <f>IFERROR(__xludf.DUMMYFUNCTION("""COMPUTED_VALUE"""),0.0)</f>
        <v>0</v>
      </c>
      <c r="V798" s="87">
        <f>IFERROR(__xludf.DUMMYFUNCTION("""COMPUTED_VALUE"""),0.0)</f>
        <v>0</v>
      </c>
      <c r="W798" s="87">
        <f>IFERROR(__xludf.DUMMYFUNCTION("""COMPUTED_VALUE"""),0.0)</f>
        <v>0</v>
      </c>
      <c r="X798" s="88"/>
      <c r="Y798" s="74"/>
      <c r="Z798" s="74"/>
    </row>
    <row r="799">
      <c r="B799" s="74" t="str">
        <f>IFERROR(__xludf.DUMMYFUNCTION("""COMPUTED_VALUE"""),"1796")</f>
        <v>1796</v>
      </c>
      <c r="C799" s="74"/>
      <c r="D799" s="74" t="str">
        <f>IFERROR(__xludf.DUMMYFUNCTION("""COMPUTED_VALUE"""),"\\MCA-S\mk\2_BM\0_BMat\08_PYM\Inventario\excel\Imagen de refacciones\Ollas revolvedoras\Mirilla para reductor ZF")</f>
        <v>\\MCA-S\mk\2_BM\0_BMat\08_PYM\Inventario\excel\Imagen de refacciones\Ollas revolvedoras\Mirilla para reductor ZF</v>
      </c>
      <c r="E799" s="74"/>
      <c r="F799" s="74" t="str">
        <f>IFERROR(__xludf.DUMMYFUNCTION("""COMPUTED_VALUE"""),"Mirilla para reductor ZF")</f>
        <v>Mirilla para reductor ZF</v>
      </c>
      <c r="G799" s="74"/>
      <c r="H799" s="74"/>
      <c r="I799" s="74" t="str">
        <f>IFERROR(__xludf.DUMMYFUNCTION("""COMPUTED_VALUE"""),"0632-610-067")</f>
        <v>0632-610-067</v>
      </c>
      <c r="J799" s="74"/>
      <c r="K799" s="74" t="str">
        <f>IFERROR(__xludf.DUMMYFUNCTION("""COMPUTED_VALUE"""),"Olla Revolvedora")</f>
        <v>Olla Revolvedora</v>
      </c>
      <c r="L799" s="74"/>
      <c r="M799" s="74" t="str">
        <f>IFERROR(__xludf.DUMMYFUNCTION("""COMPUTED_VALUE"""),"Sin Asignar")</f>
        <v>Sin Asignar</v>
      </c>
      <c r="N799" s="87">
        <f>IFERROR(__xludf.DUMMYFUNCTION("""COMPUTED_VALUE"""),0.0)</f>
        <v>0</v>
      </c>
      <c r="O799" s="74"/>
      <c r="P799" s="74" t="str">
        <f>IFERROR(__xludf.DUMMYFUNCTION("""COMPUTED_VALUE"""),"borrar")</f>
        <v>borrar</v>
      </c>
      <c r="Q799" s="74"/>
      <c r="R799" s="74"/>
      <c r="S799" s="87">
        <f>IFERROR(__xludf.DUMMYFUNCTION("""COMPUTED_VALUE"""),0.0)</f>
        <v>0</v>
      </c>
      <c r="T799" s="87">
        <f>IFERROR(__xludf.DUMMYFUNCTION("""COMPUTED_VALUE"""),0.0)</f>
        <v>0</v>
      </c>
      <c r="U799" s="87">
        <f>IFERROR(__xludf.DUMMYFUNCTION("""COMPUTED_VALUE"""),0.0)</f>
        <v>0</v>
      </c>
      <c r="V799" s="87">
        <f>IFERROR(__xludf.DUMMYFUNCTION("""COMPUTED_VALUE"""),0.0)</f>
        <v>0</v>
      </c>
      <c r="W799" s="87">
        <f>IFERROR(__xludf.DUMMYFUNCTION("""COMPUTED_VALUE"""),0.0)</f>
        <v>0</v>
      </c>
      <c r="X799" s="88"/>
      <c r="Y799" s="74"/>
      <c r="Z799" s="74"/>
    </row>
    <row r="800">
      <c r="B800" s="74" t="str">
        <f>IFERROR(__xludf.DUMMYFUNCTION("""COMPUTED_VALUE"""),"1797")</f>
        <v>1797</v>
      </c>
      <c r="C800" s="74" t="str">
        <f>IFERROR(__xludf.DUMMYFUNCTION("""COMPUTED_VALUE"""),"75045880306")</f>
        <v>75045880306</v>
      </c>
      <c r="D800" s="74" t="str">
        <f>IFERROR(__xludf.DUMMYFUNCTION("""COMPUTED_VALUE"""),"\\MCA-S\mk\2_BM\0_BMat\08_PYM\Inventario\excel\Imagen de refacciones\Ollas revolvedoras\Mirilla para tanque hidráulico 3_5")</f>
        <v>\\MCA-S\mk\2_BM\0_BMat\08_PYM\Inventario\excel\Imagen de refacciones\Ollas revolvedoras\Mirilla para tanque hidráulico 3_5</v>
      </c>
      <c r="E800" s="74" t="str">
        <f>IFERROR(__xludf.DUMMYFUNCTION("""COMPUTED_VALUE"""),"SIGHT GAUGE PLUG FOR HYDRAULIC TANKS 3/4""")</f>
        <v>SIGHT GAUGE PLUG FOR HYDRAULIC TANKS 3/4"</v>
      </c>
      <c r="F800" s="74" t="str">
        <f>IFERROR(__xludf.DUMMYFUNCTION("""COMPUTED_VALUE"""),"MIRILLA TANQUE HIDRAULICO 3/4""")</f>
        <v>MIRILLA TANQUE HIDRAULICO 3/4"</v>
      </c>
      <c r="G800" s="74"/>
      <c r="H800" s="74"/>
      <c r="I800" s="74" t="str">
        <f>IFERROR(__xludf.DUMMYFUNCTION("""COMPUTED_VALUE"""),"1170023")</f>
        <v>1170023</v>
      </c>
      <c r="J800" s="74"/>
      <c r="K800" s="74" t="str">
        <f>IFERROR(__xludf.DUMMYFUNCTION("""COMPUTED_VALUE"""),"Olla Revolvedora")</f>
        <v>Olla Revolvedora</v>
      </c>
      <c r="L800" s="74"/>
      <c r="M800" s="74" t="str">
        <f>IFERROR(__xludf.DUMMYFUNCTION("""COMPUTED_VALUE"""),"Sin Asignar")</f>
        <v>Sin Asignar</v>
      </c>
      <c r="N800" s="87">
        <f>IFERROR(__xludf.DUMMYFUNCTION("""COMPUTED_VALUE"""),0.0)</f>
        <v>0</v>
      </c>
      <c r="O800" s="74"/>
      <c r="P800" s="74" t="str">
        <f>IFERROR(__xludf.DUMMYFUNCTION("""COMPUTED_VALUE"""),"To Re-purchase")</f>
        <v>To Re-purchase</v>
      </c>
      <c r="Q800" s="74"/>
      <c r="R800" s="74"/>
      <c r="S800" s="87">
        <f>IFERROR(__xludf.DUMMYFUNCTION("""COMPUTED_VALUE"""),0.0)</f>
        <v>0</v>
      </c>
      <c r="T800" s="87">
        <f>IFERROR(__xludf.DUMMYFUNCTION("""COMPUTED_VALUE"""),0.0)</f>
        <v>0</v>
      </c>
      <c r="U800" s="87">
        <f>IFERROR(__xludf.DUMMYFUNCTION("""COMPUTED_VALUE"""),0.0)</f>
        <v>0</v>
      </c>
      <c r="V800" s="87">
        <f>IFERROR(__xludf.DUMMYFUNCTION("""COMPUTED_VALUE"""),0.0)</f>
        <v>0</v>
      </c>
      <c r="W800" s="87">
        <f>IFERROR(__xludf.DUMMYFUNCTION("""COMPUTED_VALUE"""),0.0)</f>
        <v>0</v>
      </c>
      <c r="X800" s="88"/>
      <c r="Y800" s="74"/>
      <c r="Z800" s="74"/>
    </row>
    <row r="801">
      <c r="B801" s="74" t="str">
        <f>IFERROR(__xludf.DUMMYFUNCTION("""COMPUTED_VALUE"""),"1798")</f>
        <v>1798</v>
      </c>
      <c r="C801" s="74" t="str">
        <f>IFERROR(__xludf.DUMMYFUNCTION("""COMPUTED_VALUE"""),"75045880246")</f>
        <v>75045880246</v>
      </c>
      <c r="D801" s="74" t="str">
        <f>IFERROR(__xludf.DUMMYFUNCTION("""COMPUTED_VALUE"""),"\\MCA-S\mk\2_BM\0_BMat\08_PYM\Inventario\excel\Imagen de refacciones\Ollas revolvedoras\Perno pistón válvula rock")</f>
        <v>\\MCA-S\mk\2_BM\0_BMat\08_PYM\Inventario\excel\Imagen de refacciones\Ollas revolvedoras\Perno pistón válvula rock</v>
      </c>
      <c r="E801" s="74" t="str">
        <f>IFERROR(__xludf.DUMMYFUNCTION("""COMPUTED_VALUE"""),"BOLT V ROCK")</f>
        <v>BOLT V ROCK</v>
      </c>
      <c r="F801" s="74" t="str">
        <f>IFERROR(__xludf.DUMMYFUNCTION("""COMPUTED_VALUE"""),"PERNO PISTON VALVULA ROCK")</f>
        <v>PERNO PISTON VALVULA ROCK</v>
      </c>
      <c r="G801" s="74"/>
      <c r="H801" s="74"/>
      <c r="I801" s="74" t="str">
        <f>IFERROR(__xludf.DUMMYFUNCTION("""COMPUTED_VALUE"""),"10018069")</f>
        <v>10018069</v>
      </c>
      <c r="J801" s="74"/>
      <c r="K801" s="74" t="str">
        <f>IFERROR(__xludf.DUMMYFUNCTION("""COMPUTED_VALUE"""),"Olla Revolvedora")</f>
        <v>Olla Revolvedora</v>
      </c>
      <c r="L801" s="74" t="str">
        <f>IFERROR(__xludf.DUMMYFUNCTION("""COMPUTED_VALUE"""),"BARRA V-ROCK")</f>
        <v>BARRA V-ROCK</v>
      </c>
      <c r="M801" s="74" t="str">
        <f>IFERROR(__xludf.DUMMYFUNCTION("""COMPUTED_VALUE"""),"SIN ASIGNAR")</f>
        <v>SIN ASIGNAR</v>
      </c>
      <c r="N801" s="87">
        <f>IFERROR(__xludf.DUMMYFUNCTION("""COMPUTED_VALUE"""),0.0)</f>
        <v>0</v>
      </c>
      <c r="O801" s="74"/>
      <c r="P801" s="74" t="str">
        <f>IFERROR(__xludf.DUMMYFUNCTION("""COMPUTED_VALUE"""),"To Re-purchase")</f>
        <v>To Re-purchase</v>
      </c>
      <c r="Q801" s="74"/>
      <c r="R801" s="74"/>
      <c r="S801" s="87">
        <f>IFERROR(__xludf.DUMMYFUNCTION("""COMPUTED_VALUE"""),0.0)</f>
        <v>0</v>
      </c>
      <c r="T801" s="87">
        <f>IFERROR(__xludf.DUMMYFUNCTION("""COMPUTED_VALUE"""),0.0)</f>
        <v>0</v>
      </c>
      <c r="U801" s="87">
        <f>IFERROR(__xludf.DUMMYFUNCTION("""COMPUTED_VALUE"""),0.0)</f>
        <v>0</v>
      </c>
      <c r="V801" s="87">
        <f>IFERROR(__xludf.DUMMYFUNCTION("""COMPUTED_VALUE"""),0.0)</f>
        <v>0</v>
      </c>
      <c r="W801" s="87">
        <f>IFERROR(__xludf.DUMMYFUNCTION("""COMPUTED_VALUE"""),0.0)</f>
        <v>0</v>
      </c>
      <c r="X801" s="88"/>
      <c r="Y801" s="74"/>
      <c r="Z801" s="74"/>
    </row>
    <row r="802">
      <c r="B802" s="74" t="str">
        <f>IFERROR(__xludf.DUMMYFUNCTION("""COMPUTED_VALUE"""),"1799")</f>
        <v>1799</v>
      </c>
      <c r="C802" s="74" t="str">
        <f>IFERROR(__xludf.DUMMYFUNCTION("""COMPUTED_VALUE"""),"75045880262")</f>
        <v>75045880262</v>
      </c>
      <c r="D802" s="74" t="str">
        <f>IFERROR(__xludf.DUMMYFUNCTION("""COMPUTED_VALUE"""),"\\MCA-S\mk\2_BM\0_BMat\08_PYM\Inventario\excel\Imagen de refacciones\Ollas revolvedoras\Pistola de lavado")</f>
        <v>\\MCA-S\mk\2_BM\0_BMat\08_PYM\Inventario\excel\Imagen de refacciones\Ollas revolvedoras\Pistola de lavado</v>
      </c>
      <c r="E802" s="74" t="str">
        <f>IFERROR(__xludf.DUMMYFUNCTION("""COMPUTED_VALUE"""),"PISTOL  GRIP WASHOUT NOZZLE 2""")</f>
        <v>PISTOL  GRIP WASHOUT NOZZLE 2"</v>
      </c>
      <c r="F802" s="74" t="str">
        <f>IFERROR(__xludf.DUMMYFUNCTION("""COMPUTED_VALUE"""),"PISTOLA DE LAVADO 2""")</f>
        <v>PISTOLA DE LAVADO 2"</v>
      </c>
      <c r="G802" s="74"/>
      <c r="H802" s="74"/>
      <c r="I802" s="74" t="str">
        <f>IFERROR(__xludf.DUMMYFUNCTION("""COMPUTED_VALUE"""),"1520002")</f>
        <v>1520002</v>
      </c>
      <c r="J802" s="74"/>
      <c r="K802" s="74" t="str">
        <f>IFERROR(__xludf.DUMMYFUNCTION("""COMPUTED_VALUE"""),"Olla Revolvedora")</f>
        <v>Olla Revolvedora</v>
      </c>
      <c r="L802" s="74"/>
      <c r="M802" s="74" t="str">
        <f>IFERROR(__xludf.DUMMYFUNCTION("""COMPUTED_VALUE"""),"Sin Asignar")</f>
        <v>Sin Asignar</v>
      </c>
      <c r="N802" s="87">
        <f>IFERROR(__xludf.DUMMYFUNCTION("""COMPUTED_VALUE"""),0.0)</f>
        <v>0</v>
      </c>
      <c r="O802" s="74"/>
      <c r="P802" s="74" t="str">
        <f>IFERROR(__xludf.DUMMYFUNCTION("""COMPUTED_VALUE"""),"To Re-purchase")</f>
        <v>To Re-purchase</v>
      </c>
      <c r="Q802" s="74"/>
      <c r="R802" s="74"/>
      <c r="S802" s="87">
        <f>IFERROR(__xludf.DUMMYFUNCTION("""COMPUTED_VALUE"""),0.0)</f>
        <v>0</v>
      </c>
      <c r="T802" s="87">
        <f>IFERROR(__xludf.DUMMYFUNCTION("""COMPUTED_VALUE"""),0.0)</f>
        <v>0</v>
      </c>
      <c r="U802" s="87">
        <f>IFERROR(__xludf.DUMMYFUNCTION("""COMPUTED_VALUE"""),0.0)</f>
        <v>0</v>
      </c>
      <c r="V802" s="87">
        <f>IFERROR(__xludf.DUMMYFUNCTION("""COMPUTED_VALUE"""),0.0)</f>
        <v>0</v>
      </c>
      <c r="W802" s="87">
        <f>IFERROR(__xludf.DUMMYFUNCTION("""COMPUTED_VALUE"""),0.0)</f>
        <v>0</v>
      </c>
      <c r="X802" s="88"/>
      <c r="Y802" s="74"/>
      <c r="Z802" s="74"/>
    </row>
    <row r="803">
      <c r="B803" s="74" t="str">
        <f>IFERROR(__xludf.DUMMYFUNCTION("""COMPUTED_VALUE"""),"1800")</f>
        <v>1800</v>
      </c>
      <c r="C803" s="74" t="str">
        <f>IFERROR(__xludf.DUMMYFUNCTION("""COMPUTED_VALUE"""),"75045880326")</f>
        <v>75045880326</v>
      </c>
      <c r="D803" s="74" t="str">
        <f>IFERROR(__xludf.DUMMYFUNCTION("""COMPUTED_VALUE"""),"\\MCA-S\mk\2_BM\0_BMat\08_PYM\Inventario\excel\Imagen de refacciones\Ollas revolvedoras\Pistón para canalón - acción sencilla")</f>
        <v>\\MCA-S\mk\2_BM\0_BMat\08_PYM\Inventario\excel\Imagen de refacciones\Ollas revolvedoras\Pistón para canalón - acción sencilla</v>
      </c>
      <c r="E803" s="74" t="str">
        <f>IFERROR(__xludf.DUMMYFUNCTION("""COMPUTED_VALUE"""),"CHUTE CYLINDR SINGLE ACTING 7/8""")</f>
        <v>CHUTE CYLINDR SINGLE ACTING 7/8"</v>
      </c>
      <c r="F803" s="74" t="str">
        <f>IFERROR(__xludf.DUMMYFUNCTION("""COMPUTED_VALUE"""),"PISTON PARA CANALON ACCION SENCILLA")</f>
        <v>PISTON PARA CANALON ACCION SENCILLA</v>
      </c>
      <c r="G803" s="74"/>
      <c r="H803" s="74"/>
      <c r="I803" s="74" t="str">
        <f>IFERROR(__xludf.DUMMYFUNCTION("""COMPUTED_VALUE"""),"107615")</f>
        <v>107615</v>
      </c>
      <c r="J803" s="74"/>
      <c r="K803" s="74" t="str">
        <f>IFERROR(__xludf.DUMMYFUNCTION("""COMPUTED_VALUE"""),"Olla Revolvedora")</f>
        <v>Olla Revolvedora</v>
      </c>
      <c r="L803" s="74" t="str">
        <f>IFERROR(__xludf.DUMMYFUNCTION("""COMPUTED_VALUE"""),"HIDRAULICO")</f>
        <v>HIDRAULICO</v>
      </c>
      <c r="M803" s="74" t="str">
        <f>IFERROR(__xludf.DUMMYFUNCTION("""COMPUTED_VALUE"""),"PISTONES")</f>
        <v>PISTONES</v>
      </c>
      <c r="N803" s="87">
        <f>IFERROR(__xludf.DUMMYFUNCTION("""COMPUTED_VALUE"""),0.0)</f>
        <v>0</v>
      </c>
      <c r="O803" s="74"/>
      <c r="P803" s="74" t="str">
        <f>IFERROR(__xludf.DUMMYFUNCTION("""COMPUTED_VALUE"""),"To Re-purchase")</f>
        <v>To Re-purchase</v>
      </c>
      <c r="Q803" s="74"/>
      <c r="R803" s="74"/>
      <c r="S803" s="87">
        <f>IFERROR(__xludf.DUMMYFUNCTION("""COMPUTED_VALUE"""),0.0)</f>
        <v>0</v>
      </c>
      <c r="T803" s="87">
        <f>IFERROR(__xludf.DUMMYFUNCTION("""COMPUTED_VALUE"""),0.0)</f>
        <v>0</v>
      </c>
      <c r="U803" s="87">
        <f>IFERROR(__xludf.DUMMYFUNCTION("""COMPUTED_VALUE"""),0.0)</f>
        <v>0</v>
      </c>
      <c r="V803" s="87">
        <f>IFERROR(__xludf.DUMMYFUNCTION("""COMPUTED_VALUE"""),0.0)</f>
        <v>0</v>
      </c>
      <c r="W803" s="87">
        <f>IFERROR(__xludf.DUMMYFUNCTION("""COMPUTED_VALUE"""),0.0)</f>
        <v>0</v>
      </c>
      <c r="X803" s="88"/>
      <c r="Y803" s="74"/>
      <c r="Z803" s="74"/>
    </row>
    <row r="804">
      <c r="B804" s="74" t="str">
        <f>IFERROR(__xludf.DUMMYFUNCTION("""COMPUTED_VALUE"""),"1801")</f>
        <v>1801</v>
      </c>
      <c r="C804" s="74" t="str">
        <f>IFERROR(__xludf.DUMMYFUNCTION("""COMPUTED_VALUE"""),"BAR_00000001")</f>
        <v>BAR_00000001</v>
      </c>
      <c r="D804" s="74" t="str">
        <f>IFERROR(__xludf.DUMMYFUNCTION("""COMPUTED_VALUE"""),"\\MCA-S\mk\2_BM\0_BMat\08_PYM\Inventario\excel\Imagen de refacciones\Ollas revolvedoras\Pivote trasero - tipo nuevo")</f>
        <v>\\MCA-S\mk\2_BM\0_BMat\08_PYM\Inventario\excel\Imagen de refacciones\Ollas revolvedoras\Pivote trasero - tipo nuevo</v>
      </c>
      <c r="E804" s="74" t="str">
        <f>IFERROR(__xludf.DUMMYFUNCTION("""COMPUTED_VALUE"""),"CHUTE PIVOT-BEARING STYLE ")</f>
        <v>CHUTE PIVOT-BEARING STYLE </v>
      </c>
      <c r="F804" s="74" t="str">
        <f>IFERROR(__xludf.DUMMYFUNCTION("""COMPUTED_VALUE"""),"PIVOTE TRASERO- TIPO NUEVO ")</f>
        <v>PIVOTE TRASERO- TIPO NUEVO </v>
      </c>
      <c r="G804" s="74"/>
      <c r="H804" s="74"/>
      <c r="I804" s="74" t="str">
        <f>IFERROR(__xludf.DUMMYFUNCTION("""COMPUTED_VALUE"""),"152635")</f>
        <v>152635</v>
      </c>
      <c r="J804" s="74"/>
      <c r="K804" s="74" t="str">
        <f>IFERROR(__xludf.DUMMYFUNCTION("""COMPUTED_VALUE"""),"Olla Revolvedora")</f>
        <v>Olla Revolvedora</v>
      </c>
      <c r="L804" s="74"/>
      <c r="M804" s="74" t="str">
        <f>IFERROR(__xludf.DUMMYFUNCTION("""COMPUTED_VALUE"""),"Sin Asignar")</f>
        <v>Sin Asignar</v>
      </c>
      <c r="N804" s="87">
        <f>IFERROR(__xludf.DUMMYFUNCTION("""COMPUTED_VALUE"""),0.0)</f>
        <v>0</v>
      </c>
      <c r="O804" s="74"/>
      <c r="P804" s="74" t="str">
        <f>IFERROR(__xludf.DUMMYFUNCTION("""COMPUTED_VALUE"""),"To Re-purchase")</f>
        <v>To Re-purchase</v>
      </c>
      <c r="Q804" s="74"/>
      <c r="R804" s="74"/>
      <c r="S804" s="87">
        <f>IFERROR(__xludf.DUMMYFUNCTION("""COMPUTED_VALUE"""),0.0)</f>
        <v>0</v>
      </c>
      <c r="T804" s="87">
        <f>IFERROR(__xludf.DUMMYFUNCTION("""COMPUTED_VALUE"""),0.0)</f>
        <v>0</v>
      </c>
      <c r="U804" s="87">
        <f>IFERROR(__xludf.DUMMYFUNCTION("""COMPUTED_VALUE"""),0.0)</f>
        <v>0</v>
      </c>
      <c r="V804" s="87">
        <f>IFERROR(__xludf.DUMMYFUNCTION("""COMPUTED_VALUE"""),0.0)</f>
        <v>0</v>
      </c>
      <c r="W804" s="87">
        <f>IFERROR(__xludf.DUMMYFUNCTION("""COMPUTED_VALUE"""),0.0)</f>
        <v>0</v>
      </c>
      <c r="X804" s="88"/>
      <c r="Y804" s="74"/>
      <c r="Z804" s="74"/>
    </row>
    <row r="805">
      <c r="B805" s="74" t="str">
        <f>IFERROR(__xludf.DUMMYFUNCTION("""COMPUTED_VALUE"""),"1802")</f>
        <v>1802</v>
      </c>
      <c r="C805" s="74" t="str">
        <f>IFERROR(__xludf.DUMMYFUNCTION("""COMPUTED_VALUE"""),"75045880508")</f>
        <v>75045880508</v>
      </c>
      <c r="D805" s="74" t="str">
        <f>IFERROR(__xludf.DUMMYFUNCTION("""COMPUTED_VALUE"""),"\\MCA-S\mk\2_BM\0_BMat\08_PYM\Inventario\excel\Imagen de refacciones\Ollas revolvedoras\Reductor ZF-7301")</f>
        <v>\\MCA-S\mk\2_BM\0_BMat\08_PYM\Inventario\excel\Imagen de refacciones\Ollas revolvedoras\Reductor ZF-7301</v>
      </c>
      <c r="E805" s="74" t="str">
        <f>IFERROR(__xludf.DUMMYFUNCTION("""COMPUTED_VALUE"""),"REDUCER GEARBOX ZF P7300")</f>
        <v>REDUCER GEARBOX ZF P7300</v>
      </c>
      <c r="F805" s="74" t="str">
        <f>IFERROR(__xludf.DUMMYFUNCTION("""COMPUTED_VALUE"""),"REDUCTOR ZF P7300")</f>
        <v>REDUCTOR ZF P7300</v>
      </c>
      <c r="G805" s="74"/>
      <c r="H805" s="74" t="str">
        <f>IFERROR(__xludf.DUMMYFUNCTION("""COMPUTED_VALUE"""),"REDUCTOR ZF-7300 PARA CAMION REVOLVEDOR")</f>
        <v>REDUCTOR ZF-7300 PARA CAMION REVOLVEDOR</v>
      </c>
      <c r="I805" s="74" t="str">
        <f>IFERROR(__xludf.DUMMYFUNCTION("""COMPUTED_VALUE"""),"P7300")</f>
        <v>P7300</v>
      </c>
      <c r="J805" s="74"/>
      <c r="K805" s="74" t="str">
        <f>IFERROR(__xludf.DUMMYFUNCTION("""COMPUTED_VALUE"""),"Olla Revolvedora")</f>
        <v>Olla Revolvedora</v>
      </c>
      <c r="L805" s="74" t="str">
        <f>IFERROR(__xludf.DUMMYFUNCTION("""COMPUTED_VALUE"""),"REDUCTOR")</f>
        <v>REDUCTOR</v>
      </c>
      <c r="M805" s="74" t="str">
        <f>IFERROR(__xludf.DUMMYFUNCTION("""COMPUTED_VALUE"""),"TRANSMISIONES")</f>
        <v>TRANSMISIONES</v>
      </c>
      <c r="N805" s="87">
        <f>IFERROR(__xludf.DUMMYFUNCTION("""COMPUTED_VALUE"""),41647.2)</f>
        <v>41647.2</v>
      </c>
      <c r="O805" s="74">
        <f>IFERROR(__xludf.DUMMYFUNCTION("""COMPUTED_VALUE"""),2.0)</f>
        <v>2</v>
      </c>
      <c r="P805" s="74" t="str">
        <f>IFERROR(__xludf.DUMMYFUNCTION("""COMPUTED_VALUE"""),"In stock")</f>
        <v>In stock</v>
      </c>
      <c r="Q805" s="74"/>
      <c r="R805" s="74"/>
      <c r="S805" s="87">
        <f>IFERROR(__xludf.DUMMYFUNCTION("""COMPUTED_VALUE"""),500.0)</f>
        <v>500</v>
      </c>
      <c r="T805" s="87">
        <f>IFERROR(__xludf.DUMMYFUNCTION("""COMPUTED_VALUE"""),2345.0)</f>
        <v>2345</v>
      </c>
      <c r="U805" s="87">
        <f>IFERROR(__xludf.DUMMYFUNCTION("""COMPUTED_VALUE"""),2251.2)</f>
        <v>2251.2</v>
      </c>
      <c r="V805" s="87">
        <f>IFERROR(__xludf.DUMMYFUNCTION("""COMPUTED_VALUE"""),612.5)</f>
        <v>612.5</v>
      </c>
      <c r="W805" s="87">
        <f>IFERROR(__xludf.DUMMYFUNCTION("""COMPUTED_VALUE"""),11484.375)</f>
        <v>11484.375</v>
      </c>
      <c r="X805" s="88">
        <f>IFERROR(__xludf.DUMMYFUNCTION("""COMPUTED_VALUE"""),4.5024)</f>
        <v>4.5024</v>
      </c>
      <c r="Y805" s="74"/>
      <c r="Z805" s="74"/>
    </row>
    <row r="806">
      <c r="B806" s="74" t="str">
        <f>IFERROR(__xludf.DUMMYFUNCTION("""COMPUTED_VALUE"""),"1803")</f>
        <v>1803</v>
      </c>
      <c r="C806" s="74" t="str">
        <f>IFERROR(__xludf.DUMMYFUNCTION("""COMPUTED_VALUE"""),"75045880270")</f>
        <v>75045880270</v>
      </c>
      <c r="D806" s="74" t="str">
        <f>IFERROR(__xludf.DUMMYFUNCTION("""COMPUTED_VALUE"""),"\\MCA-S\mk\2_BM\0_BMat\08_PYM\Inventario\excel\Imagen de refacciones\Ollas revolvedoras\Regulador de aire 0-60PSI")</f>
        <v>\\MCA-S\mk\2_BM\0_BMat\08_PYM\Inventario\excel\Imagen de refacciones\Ollas revolvedoras\Regulador de aire 0-60PSI</v>
      </c>
      <c r="E806" s="74" t="str">
        <f>IFERROR(__xludf.DUMMYFUNCTION("""COMPUTED_VALUE"""),"AIR REGULATOR 0-60PSI")</f>
        <v>AIR REGULATOR 0-60PSI</v>
      </c>
      <c r="F806" s="74" t="str">
        <f>IFERROR(__xludf.DUMMYFUNCTION("""COMPUTED_VALUE"""),"REGULADOR DE AIRE 0-60PSI")</f>
        <v>REGULADOR DE AIRE 0-60PSI</v>
      </c>
      <c r="G806" s="74"/>
      <c r="H806" s="74"/>
      <c r="I806" s="74" t="str">
        <f>IFERROR(__xludf.DUMMYFUNCTION("""COMPUTED_VALUE"""),"1521166A")</f>
        <v>1521166A</v>
      </c>
      <c r="J806" s="74"/>
      <c r="K806" s="74" t="str">
        <f>IFERROR(__xludf.DUMMYFUNCTION("""COMPUTED_VALUE"""),"Olla Revolvedora")</f>
        <v>Olla Revolvedora</v>
      </c>
      <c r="L806" s="74" t="str">
        <f>IFERROR(__xludf.DUMMYFUNCTION("""COMPUTED_VALUE"""),"TANQUE DE AGUA")</f>
        <v>TANQUE DE AGUA</v>
      </c>
      <c r="M806" s="74" t="str">
        <f>IFERROR(__xludf.DUMMYFUNCTION("""COMPUTED_VALUE"""),"Sin Asignar")</f>
        <v>Sin Asignar</v>
      </c>
      <c r="N806" s="87">
        <f>IFERROR(__xludf.DUMMYFUNCTION("""COMPUTED_VALUE"""),372.96)</f>
        <v>372.96</v>
      </c>
      <c r="O806" s="74"/>
      <c r="P806" s="74" t="str">
        <f>IFERROR(__xludf.DUMMYFUNCTION("""COMPUTED_VALUE"""),"To Re-purchase")</f>
        <v>To Re-purchase</v>
      </c>
      <c r="Q806" s="74"/>
      <c r="R806" s="74"/>
      <c r="S806" s="87">
        <f>IFERROR(__xludf.DUMMYFUNCTION("""COMPUTED_VALUE"""),0.0)</f>
        <v>0</v>
      </c>
      <c r="T806" s="87">
        <f>IFERROR(__xludf.DUMMYFUNCTION("""COMPUTED_VALUE"""),21.0)</f>
        <v>21</v>
      </c>
      <c r="U806" s="87">
        <f>IFERROR(__xludf.DUMMYFUNCTION("""COMPUTED_VALUE"""),20.16)</f>
        <v>20.16</v>
      </c>
      <c r="V806" s="87">
        <f>IFERROR(__xludf.DUMMYFUNCTION("""COMPUTED_VALUE"""),0.0)</f>
        <v>0</v>
      </c>
      <c r="W806" s="87">
        <f>IFERROR(__xludf.DUMMYFUNCTION("""COMPUTED_VALUE"""),0.0)</f>
        <v>0</v>
      </c>
      <c r="X806" s="88"/>
      <c r="Y806" s="74"/>
      <c r="Z806" s="74"/>
    </row>
    <row r="807">
      <c r="B807" s="74" t="str">
        <f>IFERROR(__xludf.DUMMYFUNCTION("""COMPUTED_VALUE"""),"1804")</f>
        <v>1804</v>
      </c>
      <c r="C807" s="74" t="str">
        <f>IFERROR(__xludf.DUMMYFUNCTION("""COMPUTED_VALUE"""),"75045880278")</f>
        <v>75045880278</v>
      </c>
      <c r="D807" s="74" t="str">
        <f>IFERROR(__xludf.DUMMYFUNCTION("""COMPUTED_VALUE"""),"\\MCA-S\mk\2_BM\0_BMat\08_PYM\Inventario\excel\Imagen de refacciones\Ollas revolvedoras\Resorte para lengüeta MTM")</f>
        <v>\\MCA-S\mk\2_BM\0_BMat\08_PYM\Inventario\excel\Imagen de refacciones\Ollas revolvedoras\Resorte para lengüeta MTM</v>
      </c>
      <c r="E807" s="74" t="str">
        <f>IFERROR(__xludf.DUMMYFUNCTION("""COMPUTED_VALUE"""),"WATER TANK FLAPPER SPRING MTM")</f>
        <v>WATER TANK FLAPPER SPRING MTM</v>
      </c>
      <c r="F807" s="74" t="str">
        <f>IFERROR(__xludf.DUMMYFUNCTION("""COMPUTED_VALUE"""),"RESORTE PARA LENGUETA MTM")</f>
        <v>RESORTE PARA LENGUETA MTM</v>
      </c>
      <c r="G807" s="74"/>
      <c r="H807" s="74"/>
      <c r="I807" s="74" t="str">
        <f>IFERROR(__xludf.DUMMYFUNCTION("""COMPUTED_VALUE"""),"115184")</f>
        <v>115184</v>
      </c>
      <c r="J807" s="74"/>
      <c r="K807" s="74" t="str">
        <f>IFERROR(__xludf.DUMMYFUNCTION("""COMPUTED_VALUE"""),"Olla Revolvedora")</f>
        <v>Olla Revolvedora</v>
      </c>
      <c r="L807" s="74" t="str">
        <f>IFERROR(__xludf.DUMMYFUNCTION("""COMPUTED_VALUE"""),"TANQUE DE AGUA")</f>
        <v>TANQUE DE AGUA</v>
      </c>
      <c r="M807" s="74" t="str">
        <f>IFERROR(__xludf.DUMMYFUNCTION("""COMPUTED_VALUE"""),"Sin Asignar")</f>
        <v>Sin Asignar</v>
      </c>
      <c r="N807" s="87">
        <f>IFERROR(__xludf.DUMMYFUNCTION("""COMPUTED_VALUE"""),142.07999999999998)</f>
        <v>142.08</v>
      </c>
      <c r="O807" s="74"/>
      <c r="P807" s="74" t="str">
        <f>IFERROR(__xludf.DUMMYFUNCTION("""COMPUTED_VALUE"""),"To Re-purchase")</f>
        <v>To Re-purchase</v>
      </c>
      <c r="Q807" s="74"/>
      <c r="R807" s="74"/>
      <c r="S807" s="87">
        <f>IFERROR(__xludf.DUMMYFUNCTION("""COMPUTED_VALUE"""),2.0)</f>
        <v>2</v>
      </c>
      <c r="T807" s="87">
        <f>IFERROR(__xludf.DUMMYFUNCTION("""COMPUTED_VALUE"""),8.0)</f>
        <v>8</v>
      </c>
      <c r="U807" s="87">
        <f>IFERROR(__xludf.DUMMYFUNCTION("""COMPUTED_VALUE"""),7.68)</f>
        <v>7.68</v>
      </c>
      <c r="V807" s="87">
        <f>IFERROR(__xludf.DUMMYFUNCTION("""COMPUTED_VALUE"""),2.45)</f>
        <v>2.45</v>
      </c>
      <c r="W807" s="87">
        <f>IFERROR(__xludf.DUMMYFUNCTION("""COMPUTED_VALUE"""),45.9375)</f>
        <v>45.9375</v>
      </c>
      <c r="X807" s="88">
        <f>IFERROR(__xludf.DUMMYFUNCTION("""COMPUTED_VALUE"""),3.84)</f>
        <v>3.84</v>
      </c>
      <c r="Y807" s="74"/>
      <c r="Z807" s="74"/>
    </row>
    <row r="808">
      <c r="B808" s="74" t="str">
        <f>IFERROR(__xludf.DUMMYFUNCTION("""COMPUTED_VALUE"""),"1805")</f>
        <v>1805</v>
      </c>
      <c r="C808" s="74" t="str">
        <f>IFERROR(__xludf.DUMMYFUNCTION("""COMPUTED_VALUE"""),"75045880509")</f>
        <v>75045880509</v>
      </c>
      <c r="D808" s="74" t="str">
        <f>IFERROR(__xludf.DUMMYFUNCTION("""COMPUTED_VALUE"""),"\\MCA-S\mk\2_BM\0_BMat\08_PYM\Inventario\excel\Imagen de refacciones\Ollas revolvedoras\Resortera para pivote")</f>
        <v>\\MCA-S\mk\2_BM\0_BMat\08_PYM\Inventario\excel\Imagen de refacciones\Ollas revolvedoras\Resortera para pivote</v>
      </c>
      <c r="E808" s="74" t="str">
        <f>IFERROR(__xludf.DUMMYFUNCTION("""COMPUTED_VALUE"""),"PIVOT CLEVIS MTM")</f>
        <v>PIVOT CLEVIS MTM</v>
      </c>
      <c r="F808" s="74" t="str">
        <f>IFERROR(__xludf.DUMMYFUNCTION("""COMPUTED_VALUE"""),"RESORTERA PARA PIVOTE MTM")</f>
        <v>RESORTERA PARA PIVOTE MTM</v>
      </c>
      <c r="G808" s="74"/>
      <c r="H808" s="74"/>
      <c r="I808" s="74" t="str">
        <f>IFERROR(__xludf.DUMMYFUNCTION("""COMPUTED_VALUE"""),"151300")</f>
        <v>151300</v>
      </c>
      <c r="J808" s="74"/>
      <c r="K808" s="74" t="str">
        <f>IFERROR(__xludf.DUMMYFUNCTION("""COMPUTED_VALUE"""),"Olla Revolvedora")</f>
        <v>Olla Revolvedora</v>
      </c>
      <c r="L808" s="74" t="str">
        <f>IFERROR(__xludf.DUMMYFUNCTION("""COMPUTED_VALUE"""),"CANALONES Y TOLVAS")</f>
        <v>CANALONES Y TOLVAS</v>
      </c>
      <c r="M808" s="74" t="str">
        <f>IFERROR(__xludf.DUMMYFUNCTION("""COMPUTED_VALUE"""),"Sin Asignar")</f>
        <v>Sin Asignar</v>
      </c>
      <c r="N808" s="87">
        <f>IFERROR(__xludf.DUMMYFUNCTION("""COMPUTED_VALUE"""),2024.6399999999999)</f>
        <v>2024.64</v>
      </c>
      <c r="O808" s="74"/>
      <c r="P808" s="74" t="str">
        <f>IFERROR(__xludf.DUMMYFUNCTION("""COMPUTED_VALUE"""),"To Re-purchase")</f>
        <v>To Re-purchase</v>
      </c>
      <c r="Q808" s="74"/>
      <c r="R808" s="74"/>
      <c r="S808" s="87">
        <f>IFERROR(__xludf.DUMMYFUNCTION("""COMPUTED_VALUE"""),0.0)</f>
        <v>0</v>
      </c>
      <c r="T808" s="87">
        <f>IFERROR(__xludf.DUMMYFUNCTION("""COMPUTED_VALUE"""),114.0)</f>
        <v>114</v>
      </c>
      <c r="U808" s="87">
        <f>IFERROR(__xludf.DUMMYFUNCTION("""COMPUTED_VALUE"""),109.44)</f>
        <v>109.44</v>
      </c>
      <c r="V808" s="87">
        <f>IFERROR(__xludf.DUMMYFUNCTION("""COMPUTED_VALUE"""),0.0)</f>
        <v>0</v>
      </c>
      <c r="W808" s="87">
        <f>IFERROR(__xludf.DUMMYFUNCTION("""COMPUTED_VALUE"""),0.0)</f>
        <v>0</v>
      </c>
      <c r="X808" s="88"/>
      <c r="Y808" s="74"/>
      <c r="Z808" s="74"/>
    </row>
    <row r="809">
      <c r="B809" s="74" t="str">
        <f>IFERROR(__xludf.DUMMYFUNCTION("""COMPUTED_VALUE"""),"1806")</f>
        <v>1806</v>
      </c>
      <c r="C809" s="74" t="str">
        <f>IFERROR(__xludf.DUMMYFUNCTION("""COMPUTED_VALUE"""),"75045880376")</f>
        <v>75045880376</v>
      </c>
      <c r="D809" s="74" t="str">
        <f>IFERROR(__xludf.DUMMYFUNCTION("""COMPUTED_VALUE"""),"\\MCA-S\mk\2_BM\0_BMat\08_PYM\Inventario\excel\Imagen de refacciones\Ollas revolvedoras\Respirador para tanque de aceite hidráulico")</f>
        <v>\\MCA-S\mk\2_BM\0_BMat\08_PYM\Inventario\excel\Imagen de refacciones\Ollas revolvedoras\Respirador para tanque de aceite hidráulico</v>
      </c>
      <c r="E809" s="74" t="str">
        <f>IFERROR(__xludf.DUMMYFUNCTION("""COMPUTED_VALUE"""),"CHALLENGE COOK BROTHERS 3/4"" NPT HYDRAULIC FILTER BREATHER CAP")</f>
        <v>CHALLENGE COOK BROTHERS 3/4" NPT HYDRAULIC FILTER BREATHER CAP</v>
      </c>
      <c r="F809" s="74" t="str">
        <f>IFERROR(__xludf.DUMMYFUNCTION("""COMPUTED_VALUE"""),"RESPIRADOR TANQUE ACEITE HIDRAULICO")</f>
        <v>RESPIRADOR TANQUE ACEITE HIDRAULICO</v>
      </c>
      <c r="G809" s="74"/>
      <c r="H809" s="74"/>
      <c r="I809" s="74" t="str">
        <f>IFERROR(__xludf.DUMMYFUNCTION("""COMPUTED_VALUE"""),"1690185")</f>
        <v>1690185</v>
      </c>
      <c r="J809" s="74"/>
      <c r="K809" s="74" t="str">
        <f>IFERROR(__xludf.DUMMYFUNCTION("""COMPUTED_VALUE"""),"Olla Revolvedora")</f>
        <v>Olla Revolvedora</v>
      </c>
      <c r="L809" s="74" t="str">
        <f>IFERROR(__xludf.DUMMYFUNCTION("""COMPUTED_VALUE"""),"HIDRAULICO")</f>
        <v>HIDRAULICO</v>
      </c>
      <c r="M809" s="74" t="str">
        <f>IFERROR(__xludf.DUMMYFUNCTION("""COMPUTED_VALUE"""),"Sin Asignar")</f>
        <v>Sin Asignar</v>
      </c>
      <c r="N809" s="87">
        <f>IFERROR(__xludf.DUMMYFUNCTION("""COMPUTED_VALUE"""),0.0)</f>
        <v>0</v>
      </c>
      <c r="O809" s="74"/>
      <c r="P809" s="74" t="str">
        <f>IFERROR(__xludf.DUMMYFUNCTION("""COMPUTED_VALUE"""),"To Re-purchase")</f>
        <v>To Re-purchase</v>
      </c>
      <c r="Q809" s="74"/>
      <c r="R809" s="74"/>
      <c r="S809" s="87">
        <f>IFERROR(__xludf.DUMMYFUNCTION("""COMPUTED_VALUE"""),0.0)</f>
        <v>0</v>
      </c>
      <c r="T809" s="87">
        <f>IFERROR(__xludf.DUMMYFUNCTION("""COMPUTED_VALUE"""),0.0)</f>
        <v>0</v>
      </c>
      <c r="U809" s="87">
        <f>IFERROR(__xludf.DUMMYFUNCTION("""COMPUTED_VALUE"""),0.0)</f>
        <v>0</v>
      </c>
      <c r="V809" s="87">
        <f>IFERROR(__xludf.DUMMYFUNCTION("""COMPUTED_VALUE"""),0.0)</f>
        <v>0</v>
      </c>
      <c r="W809" s="87">
        <f>IFERROR(__xludf.DUMMYFUNCTION("""COMPUTED_VALUE"""),0.0)</f>
        <v>0</v>
      </c>
      <c r="X809" s="88"/>
      <c r="Y809" s="74"/>
      <c r="Z809" s="74"/>
    </row>
    <row r="810">
      <c r="B810" s="74" t="str">
        <f>IFERROR(__xludf.DUMMYFUNCTION("""COMPUTED_VALUE"""),"1807")</f>
        <v>1807</v>
      </c>
      <c r="C810" s="74" t="str">
        <f>IFERROR(__xludf.DUMMYFUNCTION("""COMPUTED_VALUE"""),"75045880271")</f>
        <v>75045880271</v>
      </c>
      <c r="D810" s="74" t="str">
        <f>IFERROR(__xludf.DUMMYFUNCTION("""COMPUTED_VALUE"""),"\\MCA-S\mk\2_BM\0_BMat\08_PYM\Inventario\excel\Imagen de refacciones\Ollas revolvedoras\Retén para rodillo MTM")</f>
        <v>\\MCA-S\mk\2_BM\0_BMat\08_PYM\Inventario\excel\Imagen de refacciones\Ollas revolvedoras\Retén para rodillo MTM</v>
      </c>
      <c r="E810" s="74"/>
      <c r="F810" s="74" t="str">
        <f>IFERROR(__xludf.DUMMYFUNCTION("""COMPUTED_VALUE"""),"RETEN PARA RODILLO MTM")</f>
        <v>RETEN PARA RODILLO MTM</v>
      </c>
      <c r="G810" s="74"/>
      <c r="H810" s="74"/>
      <c r="I810" s="74" t="str">
        <f>IFERROR(__xludf.DUMMYFUNCTION("""COMPUTED_VALUE"""),"215250")</f>
        <v>215250</v>
      </c>
      <c r="J810" s="74"/>
      <c r="K810" s="74" t="str">
        <f>IFERROR(__xludf.DUMMYFUNCTION("""COMPUTED_VALUE"""),"Olla Revolvedora")</f>
        <v>Olla Revolvedora</v>
      </c>
      <c r="L810" s="74"/>
      <c r="M810" s="74" t="str">
        <f>IFERROR(__xludf.DUMMYFUNCTION("""COMPUTED_VALUE"""),"Sin Asignar")</f>
        <v>Sin Asignar</v>
      </c>
      <c r="N810" s="87">
        <f>IFERROR(__xludf.DUMMYFUNCTION("""COMPUTED_VALUE"""),0.0)</f>
        <v>0</v>
      </c>
      <c r="O810" s="74"/>
      <c r="P810" s="74" t="str">
        <f>IFERROR(__xludf.DUMMYFUNCTION("""COMPUTED_VALUE"""),"To Re-purchase")</f>
        <v>To Re-purchase</v>
      </c>
      <c r="Q810" s="74"/>
      <c r="R810" s="74"/>
      <c r="S810" s="87">
        <f>IFERROR(__xludf.DUMMYFUNCTION("""COMPUTED_VALUE"""),0.0)</f>
        <v>0</v>
      </c>
      <c r="T810" s="87">
        <f>IFERROR(__xludf.DUMMYFUNCTION("""COMPUTED_VALUE"""),0.0)</f>
        <v>0</v>
      </c>
      <c r="U810" s="87">
        <f>IFERROR(__xludf.DUMMYFUNCTION("""COMPUTED_VALUE"""),0.0)</f>
        <v>0</v>
      </c>
      <c r="V810" s="87">
        <f>IFERROR(__xludf.DUMMYFUNCTION("""COMPUTED_VALUE"""),0.0)</f>
        <v>0</v>
      </c>
      <c r="W810" s="87">
        <f>IFERROR(__xludf.DUMMYFUNCTION("""COMPUTED_VALUE"""),0.0)</f>
        <v>0</v>
      </c>
      <c r="X810" s="88"/>
      <c r="Y810" s="74"/>
      <c r="Z810" s="74"/>
    </row>
    <row r="811">
      <c r="B811" s="74" t="str">
        <f>IFERROR(__xludf.DUMMYFUNCTION("""COMPUTED_VALUE"""),"1808")</f>
        <v>1808</v>
      </c>
      <c r="C811" s="74" t="str">
        <f>IFERROR(__xludf.DUMMYFUNCTION("""COMPUTED_VALUE"""),"75045880377")</f>
        <v>75045880377</v>
      </c>
      <c r="D811" s="74" t="str">
        <f>IFERROR(__xludf.DUMMYFUNCTION("""COMPUTED_VALUE"""),"\\MCA-S\mk\2_BM\0_BMat\08_PYM\Inventario\excel\Imagen de refacciones\Ollas revolvedoras\Reten ZF 418 Chico - Reten ZF 142 (grande) - Reten ZF 251 (Chico)")</f>
        <v>\\MCA-S\mk\2_BM\0_BMat\08_PYM\Inventario\excel\Imagen de refacciones\Ollas revolvedoras\Reten ZF 418 Chico - Reten ZF 142 (grande) - Reten ZF 251 (Chico)</v>
      </c>
      <c r="E811" s="74" t="str">
        <f>IFERROR(__xludf.DUMMYFUNCTION("""COMPUTED_VALUE"""),"OUTPUT SEALING COLLAR ZF 418 SMALL 120x165")</f>
        <v>OUTPUT SEALING COLLAR ZF 418 SMALL 120x165</v>
      </c>
      <c r="F811" s="74" t="str">
        <f>IFERROR(__xludf.DUMMYFUNCTION("""COMPUTED_VALUE"""),"RETEN ZF 418 CHICO 120x165")</f>
        <v>RETEN ZF 418 CHICO 120x165</v>
      </c>
      <c r="G811" s="74"/>
      <c r="H811" s="74" t="str">
        <f>IFERROR(__xludf.DUMMYFUNCTION("""COMPUTED_VALUE"""),"RETEN ZF 418 CHICO PARA CAMION REVOLVEDOR")</f>
        <v>RETEN ZF 418 CHICO PARA CAMION REVOLVEDOR</v>
      </c>
      <c r="I811" s="74" t="str">
        <f>IFERROR(__xludf.DUMMYFUNCTION("""COMPUTED_VALUE"""),"0734307418")</f>
        <v>0734307418</v>
      </c>
      <c r="J811" s="74"/>
      <c r="K811" s="74" t="str">
        <f>IFERROR(__xludf.DUMMYFUNCTION("""COMPUTED_VALUE"""),"Olla Revolvedora")</f>
        <v>Olla Revolvedora</v>
      </c>
      <c r="L811" s="74" t="str">
        <f>IFERROR(__xludf.DUMMYFUNCTION("""COMPUTED_VALUE"""),"REDUCTOR")</f>
        <v>REDUCTOR</v>
      </c>
      <c r="M811" s="74" t="str">
        <f>IFERROR(__xludf.DUMMYFUNCTION("""COMPUTED_VALUE"""),"EMPAQUES")</f>
        <v>EMPAQUES</v>
      </c>
      <c r="N811" s="87">
        <f>IFERROR(__xludf.DUMMYFUNCTION("""COMPUTED_VALUE"""),568.3199999999999)</f>
        <v>568.32</v>
      </c>
      <c r="O811" s="74">
        <f>IFERROR(__xludf.DUMMYFUNCTION("""COMPUTED_VALUE"""),5.0)</f>
        <v>5</v>
      </c>
      <c r="P811" s="74" t="str">
        <f>IFERROR(__xludf.DUMMYFUNCTION("""COMPUTED_VALUE"""),"In stock")</f>
        <v>In stock</v>
      </c>
      <c r="Q811" s="74"/>
      <c r="R811" s="74"/>
      <c r="S811" s="87">
        <f>IFERROR(__xludf.DUMMYFUNCTION("""COMPUTED_VALUE"""),6.0)</f>
        <v>6</v>
      </c>
      <c r="T811" s="87">
        <f>IFERROR(__xludf.DUMMYFUNCTION("""COMPUTED_VALUE"""),32.0)</f>
        <v>32</v>
      </c>
      <c r="U811" s="87">
        <f>IFERROR(__xludf.DUMMYFUNCTION("""COMPUTED_VALUE"""),30.72)</f>
        <v>30.72</v>
      </c>
      <c r="V811" s="87">
        <f>IFERROR(__xludf.DUMMYFUNCTION("""COMPUTED_VALUE"""),7.35)</f>
        <v>7.35</v>
      </c>
      <c r="W811" s="87">
        <f>IFERROR(__xludf.DUMMYFUNCTION("""COMPUTED_VALUE"""),137.8125)</f>
        <v>137.8125</v>
      </c>
      <c r="X811" s="88">
        <f>IFERROR(__xludf.DUMMYFUNCTION("""COMPUTED_VALUE"""),5.12)</f>
        <v>5.12</v>
      </c>
      <c r="Y811" s="74"/>
      <c r="Z811" s="74"/>
    </row>
    <row r="812">
      <c r="B812" s="74" t="str">
        <f>IFERROR(__xludf.DUMMYFUNCTION("""COMPUTED_VALUE"""),"1809")</f>
        <v>1809</v>
      </c>
      <c r="C812" s="74" t="str">
        <f>IFERROR(__xludf.DUMMYFUNCTION("""COMPUTED_VALUE"""),"75045880259")</f>
        <v>75045880259</v>
      </c>
      <c r="D812" s="74" t="str">
        <f>IFERROR(__xludf.DUMMYFUNCTION("""COMPUTED_VALUE"""),"\\MCA-S\mk\2_BM\0_BMat\08_PYM\Inventario\excel\Imagen de refacciones\Ollas revolvedoras\Rodillo completo MTM 3-7_8_")</f>
        <v>\\MCA-S\mk\2_BM\0_BMat\08_PYM\Inventario\excel\Imagen de refacciones\Ollas revolvedoras\Rodillo completo MTM 3-7_8_</v>
      </c>
      <c r="E812" s="74" t="str">
        <f>IFERROR(__xludf.DUMMYFUNCTION("""COMPUTED_VALUE"""),"COMPLETE DRUM ROLLER ASSEMBLY MTM 3-7/8""")</f>
        <v>COMPLETE DRUM ROLLER ASSEMBLY MTM 3-7/8"</v>
      </c>
      <c r="F812" s="74" t="str">
        <f>IFERROR(__xludf.DUMMYFUNCTION("""COMPUTED_VALUE"""),"RODILLO COMPLETO MTM 3-7/8""")</f>
        <v>RODILLO COMPLETO MTM 3-7/8"</v>
      </c>
      <c r="G812" s="74"/>
      <c r="H812" s="74" t="str">
        <f>IFERROR(__xludf.DUMMYFUNCTION("""COMPUTED_VALUE"""),"RODILLO COMPLETO MTM 3-7/8 PARA CAMION REVOLVEDOR")</f>
        <v>RODILLO COMPLETO MTM 3-7/8 PARA CAMION REVOLVEDOR</v>
      </c>
      <c r="I812" s="74" t="str">
        <f>IFERROR(__xludf.DUMMYFUNCTION("""COMPUTED_VALUE"""),"150440")</f>
        <v>150440</v>
      </c>
      <c r="J812" s="74"/>
      <c r="K812" s="74" t="str">
        <f>IFERROR(__xludf.DUMMYFUNCTION("""COMPUTED_VALUE"""),"Olla Revolvedora")</f>
        <v>Olla Revolvedora</v>
      </c>
      <c r="L812" s="74" t="str">
        <f>IFERROR(__xludf.DUMMYFUNCTION("""COMPUTED_VALUE"""),"Componentes estructurales y de montaje")</f>
        <v>Componentes estructurales y de montaje</v>
      </c>
      <c r="M812" s="74" t="str">
        <f>IFERROR(__xludf.DUMMYFUNCTION("""COMPUTED_VALUE"""),"RODILLOS")</f>
        <v>RODILLOS</v>
      </c>
      <c r="N812" s="87">
        <f>IFERROR(__xludf.DUMMYFUNCTION("""COMPUTED_VALUE"""),5434.5599999999995)</f>
        <v>5434.56</v>
      </c>
      <c r="O812" s="74">
        <f>IFERROR(__xludf.DUMMYFUNCTION("""COMPUTED_VALUE"""),30.0)</f>
        <v>30</v>
      </c>
      <c r="P812" s="74" t="str">
        <f>IFERROR(__xludf.DUMMYFUNCTION("""COMPUTED_VALUE"""),"In stock")</f>
        <v>In stock</v>
      </c>
      <c r="Q812" s="74"/>
      <c r="R812" s="74"/>
      <c r="S812" s="87">
        <f>IFERROR(__xludf.DUMMYFUNCTION("""COMPUTED_VALUE"""),80.0)</f>
        <v>80</v>
      </c>
      <c r="T812" s="87">
        <f>IFERROR(__xludf.DUMMYFUNCTION("""COMPUTED_VALUE"""),306.0)</f>
        <v>306</v>
      </c>
      <c r="U812" s="87">
        <f>IFERROR(__xludf.DUMMYFUNCTION("""COMPUTED_VALUE"""),293.76)</f>
        <v>293.76</v>
      </c>
      <c r="V812" s="87">
        <f>IFERROR(__xludf.DUMMYFUNCTION("""COMPUTED_VALUE"""),98.0)</f>
        <v>98</v>
      </c>
      <c r="W812" s="87">
        <f>IFERROR(__xludf.DUMMYFUNCTION("""COMPUTED_VALUE"""),1837.5)</f>
        <v>1837.5</v>
      </c>
      <c r="X812" s="88">
        <f>IFERROR(__xludf.DUMMYFUNCTION("""COMPUTED_VALUE"""),3.6719999999999997)</f>
        <v>3.672</v>
      </c>
      <c r="Y812" s="74"/>
      <c r="Z812" s="74"/>
    </row>
    <row r="813">
      <c r="B813" s="74" t="str">
        <f>IFERROR(__xludf.DUMMYFUNCTION("""COMPUTED_VALUE"""),"1810")</f>
        <v>1810</v>
      </c>
      <c r="C813" s="74" t="str">
        <f>IFERROR(__xludf.DUMMYFUNCTION("""COMPUTED_VALUE"""),"75045880283")</f>
        <v>75045880283</v>
      </c>
      <c r="D813" s="74" t="str">
        <f>IFERROR(__xludf.DUMMYFUNCTION("""COMPUTED_VALUE"""),"\\MCA-S\mk\2_BM\0_BMat\08_PYM\Inventario\excel\Imagen de refacciones\Ollas revolvedoras\Rodillo londón completo 4-3_4_")</f>
        <v>\\MCA-S\mk\2_BM\0_BMat\08_PYM\Inventario\excel\Imagen de refacciones\Ollas revolvedoras\Rodillo londón completo 4-3_4_</v>
      </c>
      <c r="E813" s="74" t="str">
        <f>IFERROR(__xludf.DUMMYFUNCTION("""COMPUTED_VALUE"""),"COMPLETE DRUM ROLLER ASSEMBLY LONDON 4-3/4""")</f>
        <v>COMPLETE DRUM ROLLER ASSEMBLY LONDON 4-3/4"</v>
      </c>
      <c r="F813" s="74" t="str">
        <f>IFERROR(__xludf.DUMMYFUNCTION("""COMPUTED_VALUE"""),"RODILLO LONDON COMPLETO 4-3/4""")</f>
        <v>RODILLO LONDON COMPLETO 4-3/4"</v>
      </c>
      <c r="G813" s="74"/>
      <c r="H813" s="74" t="str">
        <f>IFERROR(__xludf.DUMMYFUNCTION("""COMPUTED_VALUE"""),"RODILLO LONDÓN COMPLETO 4-3/4"" PARA CAMION REVOLVEDOR")</f>
        <v>RODILLO LONDÓN COMPLETO 4-3/4" PARA CAMION REVOLVEDOR</v>
      </c>
      <c r="I813" s="74" t="str">
        <f>IFERROR(__xludf.DUMMYFUNCTION("""COMPUTED_VALUE"""),"MD-32123")</f>
        <v>MD-32123</v>
      </c>
      <c r="J813" s="74"/>
      <c r="K813" s="74" t="str">
        <f>IFERROR(__xludf.DUMMYFUNCTION("""COMPUTED_VALUE"""),"Olla Revolvedora")</f>
        <v>Olla Revolvedora</v>
      </c>
      <c r="L813" s="74" t="str">
        <f>IFERROR(__xludf.DUMMYFUNCTION("""COMPUTED_VALUE"""),"Componentes estructurales y de montaje")</f>
        <v>Componentes estructurales y de montaje</v>
      </c>
      <c r="M813" s="74" t="str">
        <f>IFERROR(__xludf.DUMMYFUNCTION("""COMPUTED_VALUE"""),"RODILLOS")</f>
        <v>RODILLOS</v>
      </c>
      <c r="N813" s="87">
        <f>IFERROR(__xludf.DUMMYFUNCTION("""COMPUTED_VALUE"""),5434.5599999999995)</f>
        <v>5434.56</v>
      </c>
      <c r="O813" s="74">
        <f>IFERROR(__xludf.DUMMYFUNCTION("""COMPUTED_VALUE"""),10.0)</f>
        <v>10</v>
      </c>
      <c r="P813" s="74" t="str">
        <f>IFERROR(__xludf.DUMMYFUNCTION("""COMPUTED_VALUE"""),"In stock")</f>
        <v>In stock</v>
      </c>
      <c r="Q813" s="74"/>
      <c r="R813" s="74"/>
      <c r="S813" s="87">
        <f>IFERROR(__xludf.DUMMYFUNCTION("""COMPUTED_VALUE"""),82.0)</f>
        <v>82</v>
      </c>
      <c r="T813" s="87">
        <f>IFERROR(__xludf.DUMMYFUNCTION("""COMPUTED_VALUE"""),306.0)</f>
        <v>306</v>
      </c>
      <c r="U813" s="87">
        <f>IFERROR(__xludf.DUMMYFUNCTION("""COMPUTED_VALUE"""),293.76)</f>
        <v>293.76</v>
      </c>
      <c r="V813" s="87">
        <f>IFERROR(__xludf.DUMMYFUNCTION("""COMPUTED_VALUE"""),100.45)</f>
        <v>100.45</v>
      </c>
      <c r="W813" s="87">
        <f>IFERROR(__xludf.DUMMYFUNCTION("""COMPUTED_VALUE"""),1883.4375)</f>
        <v>1883.4375</v>
      </c>
      <c r="X813" s="88">
        <f>IFERROR(__xludf.DUMMYFUNCTION("""COMPUTED_VALUE"""),3.582439024390244)</f>
        <v>3.582439024</v>
      </c>
      <c r="Y813" s="74"/>
      <c r="Z813" s="74"/>
    </row>
    <row r="814">
      <c r="B814" s="74" t="str">
        <f>IFERROR(__xludf.DUMMYFUNCTION("""COMPUTED_VALUE"""),"1811")</f>
        <v>1811</v>
      </c>
      <c r="C814" s="74" t="str">
        <f>IFERROR(__xludf.DUMMYFUNCTION("""COMPUTED_VALUE"""),"75045880378")</f>
        <v>75045880378</v>
      </c>
      <c r="D814" s="74" t="str">
        <f>IFERROR(__xludf.DUMMYFUNCTION("""COMPUTED_VALUE"""),"\\MCA-S\mk\2_BM\0_BMat\08_PYM\Inventario\excel\Imagen de refacciones\Ollas revolvedoras\Seguro para canalón MTM")</f>
        <v>\\MCA-S\mk\2_BM\0_BMat\08_PYM\Inventario\excel\Imagen de refacciones\Ollas revolvedoras\Seguro para canalón MTM</v>
      </c>
      <c r="E814" s="74"/>
      <c r="F814" s="74" t="str">
        <f>IFERROR(__xludf.DUMMYFUNCTION("""COMPUTED_VALUE"""),"SEGURO PARA CANALON MTM")</f>
        <v>SEGURO PARA CANALON MTM</v>
      </c>
      <c r="G814" s="74"/>
      <c r="H814" s="74"/>
      <c r="I814" s="74" t="str">
        <f>IFERROR(__xludf.DUMMYFUNCTION("""COMPUTED_VALUE"""),"00259")</f>
        <v>00259</v>
      </c>
      <c r="J814" s="74"/>
      <c r="K814" s="74" t="str">
        <f>IFERROR(__xludf.DUMMYFUNCTION("""COMPUTED_VALUE"""),"Olla Revolvedora")</f>
        <v>Olla Revolvedora</v>
      </c>
      <c r="L814" s="74"/>
      <c r="M814" s="74" t="str">
        <f>IFERROR(__xludf.DUMMYFUNCTION("""COMPUTED_VALUE"""),"Sin Asignar")</f>
        <v>Sin Asignar</v>
      </c>
      <c r="N814" s="87">
        <f>IFERROR(__xludf.DUMMYFUNCTION("""COMPUTED_VALUE"""),0.0)</f>
        <v>0</v>
      </c>
      <c r="O814" s="74"/>
      <c r="P814" s="74" t="str">
        <f>IFERROR(__xludf.DUMMYFUNCTION("""COMPUTED_VALUE"""),"To Re-purchase")</f>
        <v>To Re-purchase</v>
      </c>
      <c r="Q814" s="74"/>
      <c r="R814" s="74"/>
      <c r="S814" s="87">
        <f>IFERROR(__xludf.DUMMYFUNCTION("""COMPUTED_VALUE"""),0.0)</f>
        <v>0</v>
      </c>
      <c r="T814" s="87">
        <f>IFERROR(__xludf.DUMMYFUNCTION("""COMPUTED_VALUE"""),0.0)</f>
        <v>0</v>
      </c>
      <c r="U814" s="87">
        <f>IFERROR(__xludf.DUMMYFUNCTION("""COMPUTED_VALUE"""),0.0)</f>
        <v>0</v>
      </c>
      <c r="V814" s="87">
        <f>IFERROR(__xludf.DUMMYFUNCTION("""COMPUTED_VALUE"""),0.0)</f>
        <v>0</v>
      </c>
      <c r="W814" s="87">
        <f>IFERROR(__xludf.DUMMYFUNCTION("""COMPUTED_VALUE"""),0.0)</f>
        <v>0</v>
      </c>
      <c r="X814" s="88"/>
      <c r="Y814" s="74"/>
      <c r="Z814" s="74"/>
    </row>
    <row r="815">
      <c r="B815" s="74" t="str">
        <f>IFERROR(__xludf.DUMMYFUNCTION("""COMPUTED_VALUE"""),"1812")</f>
        <v>1812</v>
      </c>
      <c r="C815" s="74" t="str">
        <f>IFERROR(__xludf.DUMMYFUNCTION("""COMPUTED_VALUE"""),"75045880307")</f>
        <v>75045880307</v>
      </c>
      <c r="D815" s="74" t="str">
        <f>IFERROR(__xludf.DUMMYFUNCTION("""COMPUTED_VALUE"""),"\\MCA-S\mk\2_BM\0_BMat\08_PYM\Inventario\excel\Imagen de refacciones\Ollas revolvedoras\Solenoide de 3 postes para dynachute m-719 tipo nuevo")</f>
        <v>\\MCA-S\mk\2_BM\0_BMat\08_PYM\Inventario\excel\Imagen de refacciones\Ollas revolvedoras\Solenoide de 3 postes para dynachute m-719 tipo nuevo</v>
      </c>
      <c r="E815" s="74"/>
      <c r="F815" s="74" t="str">
        <f>IFERROR(__xludf.DUMMYFUNCTION("""COMPUTED_VALUE"""),"SELENOIDE 3  POSTES DYNACHUTE M-719 TIPO NUEVO")</f>
        <v>SELENOIDE 3  POSTES DYNACHUTE M-719 TIPO NUEVO</v>
      </c>
      <c r="G815" s="74"/>
      <c r="H815" s="74"/>
      <c r="I815" s="74" t="str">
        <f>IFERROR(__xludf.DUMMYFUNCTION("""COMPUTED_VALUE"""),"73336")</f>
        <v>73336</v>
      </c>
      <c r="J815" s="74"/>
      <c r="K815" s="74" t="str">
        <f>IFERROR(__xludf.DUMMYFUNCTION("""COMPUTED_VALUE"""),"Olla Revolvedora")</f>
        <v>Olla Revolvedora</v>
      </c>
      <c r="L815" s="74"/>
      <c r="M815" s="74" t="str">
        <f>IFERROR(__xludf.DUMMYFUNCTION("""COMPUTED_VALUE"""),"Sin Asignar")</f>
        <v>Sin Asignar</v>
      </c>
      <c r="N815" s="87">
        <f>IFERROR(__xludf.DUMMYFUNCTION("""COMPUTED_VALUE"""),0.0)</f>
        <v>0</v>
      </c>
      <c r="O815" s="74"/>
      <c r="P815" s="74" t="str">
        <f>IFERROR(__xludf.DUMMYFUNCTION("""COMPUTED_VALUE"""),"To Re-purchase")</f>
        <v>To Re-purchase</v>
      </c>
      <c r="Q815" s="74"/>
      <c r="R815" s="74"/>
      <c r="S815" s="87">
        <f>IFERROR(__xludf.DUMMYFUNCTION("""COMPUTED_VALUE"""),0.0)</f>
        <v>0</v>
      </c>
      <c r="T815" s="87">
        <f>IFERROR(__xludf.DUMMYFUNCTION("""COMPUTED_VALUE"""),0.0)</f>
        <v>0</v>
      </c>
      <c r="U815" s="87">
        <f>IFERROR(__xludf.DUMMYFUNCTION("""COMPUTED_VALUE"""),0.0)</f>
        <v>0</v>
      </c>
      <c r="V815" s="87">
        <f>IFERROR(__xludf.DUMMYFUNCTION("""COMPUTED_VALUE"""),0.0)</f>
        <v>0</v>
      </c>
      <c r="W815" s="87">
        <f>IFERROR(__xludf.DUMMYFUNCTION("""COMPUTED_VALUE"""),0.0)</f>
        <v>0</v>
      </c>
      <c r="X815" s="88"/>
      <c r="Y815" s="74"/>
      <c r="Z815" s="74"/>
    </row>
    <row r="816">
      <c r="B816" s="74" t="str">
        <f>IFERROR(__xludf.DUMMYFUNCTION("""COMPUTED_VALUE"""),"1813")</f>
        <v>1813</v>
      </c>
      <c r="C816" s="74" t="str">
        <f>IFERROR(__xludf.DUMMYFUNCTION("""COMPUTED_VALUE"""),"75045880379")</f>
        <v>75045880379</v>
      </c>
      <c r="D816" s="74" t="str">
        <f>IFERROR(__xludf.DUMMYFUNCTION("""COMPUTED_VALUE"""),"\\MCA-S\mk\2_BM\0_BMat\08_PYM\Inventario\excel\Imagen de refacciones\Ollas revolvedoras\Tapón para aceite hidráulico")</f>
        <v>\\MCA-S\mk\2_BM\0_BMat\08_PYM\Inventario\excel\Imagen de refacciones\Ollas revolvedoras\Tapón para aceite hidráulico</v>
      </c>
      <c r="E816" s="74" t="str">
        <f>IFERROR(__xludf.DUMMYFUNCTION("""COMPUTED_VALUE"""),"REX HYDRAULIC OIL FILLER STRAINER CAP ASSEMBLY ")</f>
        <v>REX HYDRAULIC OIL FILLER STRAINER CAP ASSEMBLY </v>
      </c>
      <c r="F816" s="74" t="str">
        <f>IFERROR(__xludf.DUMMYFUNCTION("""COMPUTED_VALUE"""),"TAPON ACEITE HIDRAULICO")</f>
        <v>TAPON ACEITE HIDRAULICO</v>
      </c>
      <c r="G816" s="74"/>
      <c r="H816" s="74"/>
      <c r="I816" s="74" t="str">
        <f>IFERROR(__xludf.DUMMYFUNCTION("""COMPUTED_VALUE"""),"102-05250-10")</f>
        <v>102-05250-10</v>
      </c>
      <c r="J816" s="74" t="str">
        <f>IFERROR(__xludf.DUMMYFUNCTION("""COMPUTED_VALUE"""),"1020525010")</f>
        <v>1020525010</v>
      </c>
      <c r="K816" s="74" t="str">
        <f>IFERROR(__xludf.DUMMYFUNCTION("""COMPUTED_VALUE"""),"Olla Revolvedora")</f>
        <v>Olla Revolvedora</v>
      </c>
      <c r="L816" s="74"/>
      <c r="M816" s="74" t="str">
        <f>IFERROR(__xludf.DUMMYFUNCTION("""COMPUTED_VALUE"""),"Sin Asignar")</f>
        <v>Sin Asignar</v>
      </c>
      <c r="N816" s="87">
        <f>IFERROR(__xludf.DUMMYFUNCTION("""COMPUTED_VALUE"""),0.0)</f>
        <v>0</v>
      </c>
      <c r="O816" s="74"/>
      <c r="P816" s="74" t="str">
        <f>IFERROR(__xludf.DUMMYFUNCTION("""COMPUTED_VALUE"""),"To Re-purchase")</f>
        <v>To Re-purchase</v>
      </c>
      <c r="Q816" s="74"/>
      <c r="R816" s="74"/>
      <c r="S816" s="87">
        <f>IFERROR(__xludf.DUMMYFUNCTION("""COMPUTED_VALUE"""),0.0)</f>
        <v>0</v>
      </c>
      <c r="T816" s="87">
        <f>IFERROR(__xludf.DUMMYFUNCTION("""COMPUTED_VALUE"""),0.0)</f>
        <v>0</v>
      </c>
      <c r="U816" s="87">
        <f>IFERROR(__xludf.DUMMYFUNCTION("""COMPUTED_VALUE"""),0.0)</f>
        <v>0</v>
      </c>
      <c r="V816" s="87">
        <f>IFERROR(__xludf.DUMMYFUNCTION("""COMPUTED_VALUE"""),0.0)</f>
        <v>0</v>
      </c>
      <c r="W816" s="87">
        <f>IFERROR(__xludf.DUMMYFUNCTION("""COMPUTED_VALUE"""),0.0)</f>
        <v>0</v>
      </c>
      <c r="X816" s="88"/>
      <c r="Y816" s="74"/>
      <c r="Z816" s="74"/>
    </row>
    <row r="817">
      <c r="B817" s="74" t="str">
        <f>IFERROR(__xludf.DUMMYFUNCTION("""COMPUTED_VALUE"""),"1814")</f>
        <v>1814</v>
      </c>
      <c r="C817" s="74" t="str">
        <f>IFERROR(__xludf.DUMMYFUNCTION("""COMPUTED_VALUE"""),"75045880327")</f>
        <v>75045880327</v>
      </c>
      <c r="D817" s="74" t="str">
        <f>IFERROR(__xludf.DUMMYFUNCTION("""COMPUTED_VALUE"""),"\\MCA-S\mk\2_BM\0_BMat\08_PYM\Inventario\excel\Imagen de refacciones\Ollas revolvedoras\Toma de fuerza 1310-1350 base chica")</f>
        <v>\\MCA-S\mk\2_BM\0_BMat\08_PYM\Inventario\excel\Imagen de refacciones\Ollas revolvedoras\Toma de fuerza 1310-1350 base chica</v>
      </c>
      <c r="E817" s="74" t="str">
        <f>IFERROR(__xludf.DUMMYFUNCTION("""COMPUTED_VALUE"""),"FLANGE YOKE")</f>
        <v>FLANGE YOKE</v>
      </c>
      <c r="F817" s="74" t="str">
        <f>IFERROR(__xludf.DUMMYFUNCTION("""COMPUTED_VALUE"""),"TOMA FUERZA 1310-1350 BASE CHICA")</f>
        <v>TOMA FUERZA 1310-1350 BASE CHICA</v>
      </c>
      <c r="G817" s="74"/>
      <c r="H817" s="74"/>
      <c r="I817" s="74" t="str">
        <f>IFERROR(__xludf.DUMMYFUNCTION("""COMPUTED_VALUE"""),"660.127503")</f>
        <v>660.127503</v>
      </c>
      <c r="J817" s="74"/>
      <c r="K817" s="74" t="str">
        <f>IFERROR(__xludf.DUMMYFUNCTION("""COMPUTED_VALUE"""),"Olla Revolvedora")</f>
        <v>Olla Revolvedora</v>
      </c>
      <c r="L817" s="74"/>
      <c r="M817" s="74" t="str">
        <f>IFERROR(__xludf.DUMMYFUNCTION("""COMPUTED_VALUE"""),"Sin Asignar")</f>
        <v>Sin Asignar</v>
      </c>
      <c r="N817" s="87">
        <f>IFERROR(__xludf.DUMMYFUNCTION("""COMPUTED_VALUE"""),0.0)</f>
        <v>0</v>
      </c>
      <c r="O817" s="74"/>
      <c r="P817" s="74" t="str">
        <f>IFERROR(__xludf.DUMMYFUNCTION("""COMPUTED_VALUE"""),"To Re-purchase")</f>
        <v>To Re-purchase</v>
      </c>
      <c r="Q817" s="74"/>
      <c r="R817" s="74"/>
      <c r="S817" s="87">
        <f>IFERROR(__xludf.DUMMYFUNCTION("""COMPUTED_VALUE"""),0.0)</f>
        <v>0</v>
      </c>
      <c r="T817" s="87">
        <f>IFERROR(__xludf.DUMMYFUNCTION("""COMPUTED_VALUE"""),0.0)</f>
        <v>0</v>
      </c>
      <c r="U817" s="87">
        <f>IFERROR(__xludf.DUMMYFUNCTION("""COMPUTED_VALUE"""),0.0)</f>
        <v>0</v>
      </c>
      <c r="V817" s="87">
        <f>IFERROR(__xludf.DUMMYFUNCTION("""COMPUTED_VALUE"""),0.0)</f>
        <v>0</v>
      </c>
      <c r="W817" s="87">
        <f>IFERROR(__xludf.DUMMYFUNCTION("""COMPUTED_VALUE"""),0.0)</f>
        <v>0</v>
      </c>
      <c r="X817" s="88"/>
      <c r="Y817" s="74"/>
      <c r="Z817" s="74"/>
    </row>
    <row r="818">
      <c r="B818" s="74" t="str">
        <f>IFERROR(__xludf.DUMMYFUNCTION("""COMPUTED_VALUE"""),"1815")</f>
        <v>1815</v>
      </c>
      <c r="C818" s="74" t="str">
        <f>IFERROR(__xludf.DUMMYFUNCTION("""COMPUTED_VALUE"""),"75045880263")</f>
        <v>75045880263</v>
      </c>
      <c r="D818" s="74" t="str">
        <f>IFERROR(__xludf.DUMMYFUNCTION("""COMPUTED_VALUE"""),"\\MCA-S\mk\2_BM\0_BMat\08_PYM\Inventario\excel\Imagen de refacciones\Ollas revolvedoras\Válvula de 3 vías 3_9")</f>
        <v>\\MCA-S\mk\2_BM\0_BMat\08_PYM\Inventario\excel\Imagen de refacciones\Ollas revolvedoras\Válvula de 3 vías 3_9</v>
      </c>
      <c r="E818" s="74" t="str">
        <f>IFERROR(__xludf.DUMMYFUNCTION("""COMPUTED_VALUE"""),"3 WAY VALVE 3/8""")</f>
        <v>3 WAY VALVE 3/8"</v>
      </c>
      <c r="F818" s="74" t="str">
        <f>IFERROR(__xludf.DUMMYFUNCTION("""COMPUTED_VALUE"""),"VALVULA DE 3 VIAS 3/8""")</f>
        <v>VALVULA DE 3 VIAS 3/8"</v>
      </c>
      <c r="G818" s="74"/>
      <c r="H818" s="74"/>
      <c r="I818" s="74" t="str">
        <f>IFERROR(__xludf.DUMMYFUNCTION("""COMPUTED_VALUE"""),"1520020")</f>
        <v>1520020</v>
      </c>
      <c r="J818" s="74"/>
      <c r="K818" s="74" t="str">
        <f>IFERROR(__xludf.DUMMYFUNCTION("""COMPUTED_VALUE"""),"Olla Revolvedora")</f>
        <v>Olla Revolvedora</v>
      </c>
      <c r="L818" s="74" t="str">
        <f>IFERROR(__xludf.DUMMYFUNCTION("""COMPUTED_VALUE"""),"TANQUE DE AGUA")</f>
        <v>TANQUE DE AGUA</v>
      </c>
      <c r="M818" s="74" t="str">
        <f>IFERROR(__xludf.DUMMYFUNCTION("""COMPUTED_VALUE"""),"VALVULAS")</f>
        <v>VALVULAS</v>
      </c>
      <c r="N818" s="87">
        <f>IFERROR(__xludf.DUMMYFUNCTION("""COMPUTED_VALUE"""),355.2)</f>
        <v>355.2</v>
      </c>
      <c r="O818" s="74"/>
      <c r="P818" s="74" t="str">
        <f>IFERROR(__xludf.DUMMYFUNCTION("""COMPUTED_VALUE"""),"To Re-purchase")</f>
        <v>To Re-purchase</v>
      </c>
      <c r="Q818" s="74"/>
      <c r="R818" s="74"/>
      <c r="S818" s="87">
        <f>IFERROR(__xludf.DUMMYFUNCTION("""COMPUTED_VALUE"""),6.8)</f>
        <v>6.8</v>
      </c>
      <c r="T818" s="87">
        <f>IFERROR(__xludf.DUMMYFUNCTION("""COMPUTED_VALUE"""),20.0)</f>
        <v>20</v>
      </c>
      <c r="U818" s="87">
        <f>IFERROR(__xludf.DUMMYFUNCTION("""COMPUTED_VALUE"""),19.2)</f>
        <v>19.2</v>
      </c>
      <c r="V818" s="87">
        <f>IFERROR(__xludf.DUMMYFUNCTION("""COMPUTED_VALUE"""),8.33)</f>
        <v>8.33</v>
      </c>
      <c r="W818" s="87">
        <f>IFERROR(__xludf.DUMMYFUNCTION("""COMPUTED_VALUE"""),156.1875)</f>
        <v>156.1875</v>
      </c>
      <c r="X818" s="88">
        <f>IFERROR(__xludf.DUMMYFUNCTION("""COMPUTED_VALUE"""),2.823529411764706)</f>
        <v>2.823529412</v>
      </c>
      <c r="Y818" s="74"/>
      <c r="Z818" s="74"/>
    </row>
    <row r="819">
      <c r="B819" s="74" t="str">
        <f>IFERROR(__xludf.DUMMYFUNCTION("""COMPUTED_VALUE"""),"1816")</f>
        <v>1816</v>
      </c>
      <c r="C819" s="74" t="str">
        <f>IFERROR(__xludf.DUMMYFUNCTION("""COMPUTED_VALUE"""),"75045880268")</f>
        <v>75045880268</v>
      </c>
      <c r="D819" s="74" t="str">
        <f>IFERROR(__xludf.DUMMYFUNCTION("""COMPUTED_VALUE"""),"\\MCA-S\mk\2_BM\0_BMat\08_PYM\Inventario\excel\Imagen de refacciones\Ollas revolvedoras\Válvula de seguridad")</f>
        <v>\\MCA-S\mk\2_BM\0_BMat\08_PYM\Inventario\excel\Imagen de refacciones\Ollas revolvedoras\Válvula de seguridad</v>
      </c>
      <c r="E819" s="74" t="str">
        <f>IFERROR(__xludf.DUMMYFUNCTION("""COMPUTED_VALUE"""),"AIR SAFETY VALVE")</f>
        <v>AIR SAFETY VALVE</v>
      </c>
      <c r="F819" s="74" t="str">
        <f>IFERROR(__xludf.DUMMYFUNCTION("""COMPUTED_VALUE"""),"VALVULA DE ALIVIO")</f>
        <v>VALVULA DE ALIVIO</v>
      </c>
      <c r="G819" s="74"/>
      <c r="H819" s="74"/>
      <c r="I819" s="74" t="str">
        <f>IFERROR(__xludf.DUMMYFUNCTION("""COMPUTED_VALUE"""),"82407")</f>
        <v>82407</v>
      </c>
      <c r="J819" s="74"/>
      <c r="K819" s="74" t="str">
        <f>IFERROR(__xludf.DUMMYFUNCTION("""COMPUTED_VALUE"""),"Olla Revolvedora")</f>
        <v>Olla Revolvedora</v>
      </c>
      <c r="L819" s="74" t="str">
        <f>IFERROR(__xludf.DUMMYFUNCTION("""COMPUTED_VALUE"""),"TANQUE DE AGUA")</f>
        <v>TANQUE DE AGUA</v>
      </c>
      <c r="M819" s="74" t="str">
        <f>IFERROR(__xludf.DUMMYFUNCTION("""COMPUTED_VALUE"""),"VALVULAS")</f>
        <v>VALVULAS</v>
      </c>
      <c r="N819" s="87">
        <f>IFERROR(__xludf.DUMMYFUNCTION("""COMPUTED_VALUE"""),497.28)</f>
        <v>497.28</v>
      </c>
      <c r="O819" s="74"/>
      <c r="P819" s="74" t="str">
        <f>IFERROR(__xludf.DUMMYFUNCTION("""COMPUTED_VALUE"""),"To Re-purchase")</f>
        <v>To Re-purchase</v>
      </c>
      <c r="Q819" s="74"/>
      <c r="R819" s="74"/>
      <c r="S819" s="87">
        <f>IFERROR(__xludf.DUMMYFUNCTION("""COMPUTED_VALUE"""),6.0)</f>
        <v>6</v>
      </c>
      <c r="T819" s="87">
        <f>IFERROR(__xludf.DUMMYFUNCTION("""COMPUTED_VALUE"""),28.0)</f>
        <v>28</v>
      </c>
      <c r="U819" s="87">
        <f>IFERROR(__xludf.DUMMYFUNCTION("""COMPUTED_VALUE"""),26.88)</f>
        <v>26.88</v>
      </c>
      <c r="V819" s="87">
        <f>IFERROR(__xludf.DUMMYFUNCTION("""COMPUTED_VALUE"""),7.35)</f>
        <v>7.35</v>
      </c>
      <c r="W819" s="87">
        <f>IFERROR(__xludf.DUMMYFUNCTION("""COMPUTED_VALUE"""),137.8125)</f>
        <v>137.8125</v>
      </c>
      <c r="X819" s="88">
        <f>IFERROR(__xludf.DUMMYFUNCTION("""COMPUTED_VALUE"""),4.4799999999999995)</f>
        <v>4.48</v>
      </c>
      <c r="Y819" s="74"/>
      <c r="Z819" s="74"/>
    </row>
    <row r="820">
      <c r="B820" s="74" t="str">
        <f>IFERROR(__xludf.DUMMYFUNCTION("""COMPUTED_VALUE"""),"1817")</f>
        <v>1817</v>
      </c>
      <c r="C820" s="74" t="str">
        <f>IFERROR(__xludf.DUMMYFUNCTION("""COMPUTED_VALUE"""),"75045880457")</f>
        <v>75045880457</v>
      </c>
      <c r="D820" s="74" t="str">
        <f>IFERROR(__xludf.DUMMYFUNCTION("""COMPUTED_VALUE"""),"\\MCA-S\mk\2_BM\0_BMat\08_PYM\Inventario\excel\Imagen de refacciones\Ollas revolvedoras\Válvula london completa")</f>
        <v>\\MCA-S\mk\2_BM\0_BMat\08_PYM\Inventario\excel\Imagen de refacciones\Ollas revolvedoras\Válvula london completa</v>
      </c>
      <c r="E820" s="74" t="str">
        <f>IFERROR(__xludf.DUMMYFUNCTION("""COMPUTED_VALUE"""),"LONDON HYDRAULIC DOUBLE ACTING CONTROL VALVE")</f>
        <v>LONDON HYDRAULIC DOUBLE ACTING CONTROL VALVE</v>
      </c>
      <c r="F820" s="74" t="str">
        <f>IFERROR(__xludf.DUMMYFUNCTION("""COMPUTED_VALUE"""),"VALVULA LONDON COMPLETA")</f>
        <v>VALVULA LONDON COMPLETA</v>
      </c>
      <c r="G820" s="74"/>
      <c r="H820" s="74"/>
      <c r="I820" s="74" t="str">
        <f>IFERROR(__xludf.DUMMYFUNCTION("""COMPUTED_VALUE"""),"MA-35899")</f>
        <v>MA-35899</v>
      </c>
      <c r="J820" s="74"/>
      <c r="K820" s="74" t="str">
        <f>IFERROR(__xludf.DUMMYFUNCTION("""COMPUTED_VALUE"""),"Olla Revolvedora")</f>
        <v>Olla Revolvedora</v>
      </c>
      <c r="L820" s="74" t="str">
        <f>IFERROR(__xludf.DUMMYFUNCTION("""COMPUTED_VALUE"""),"HIDRAULICO")</f>
        <v>HIDRAULICO</v>
      </c>
      <c r="M820" s="74" t="str">
        <f>IFERROR(__xludf.DUMMYFUNCTION("""COMPUTED_VALUE"""),"VALVULAS")</f>
        <v>VALVULAS</v>
      </c>
      <c r="N820" s="87">
        <f>IFERROR(__xludf.DUMMYFUNCTION("""COMPUTED_VALUE"""),0.0)</f>
        <v>0</v>
      </c>
      <c r="O820" s="74"/>
      <c r="P820" s="74" t="str">
        <f>IFERROR(__xludf.DUMMYFUNCTION("""COMPUTED_VALUE"""),"To Re-purchase")</f>
        <v>To Re-purchase</v>
      </c>
      <c r="Q820" s="74"/>
      <c r="R820" s="74"/>
      <c r="S820" s="87">
        <f>IFERROR(__xludf.DUMMYFUNCTION("""COMPUTED_VALUE"""),0.0)</f>
        <v>0</v>
      </c>
      <c r="T820" s="87">
        <f>IFERROR(__xludf.DUMMYFUNCTION("""COMPUTED_VALUE"""),0.0)</f>
        <v>0</v>
      </c>
      <c r="U820" s="87">
        <f>IFERROR(__xludf.DUMMYFUNCTION("""COMPUTED_VALUE"""),0.0)</f>
        <v>0</v>
      </c>
      <c r="V820" s="87">
        <f>IFERROR(__xludf.DUMMYFUNCTION("""COMPUTED_VALUE"""),0.0)</f>
        <v>0</v>
      </c>
      <c r="W820" s="87">
        <f>IFERROR(__xludf.DUMMYFUNCTION("""COMPUTED_VALUE"""),0.0)</f>
        <v>0</v>
      </c>
      <c r="X820" s="88"/>
      <c r="Y820" s="74"/>
      <c r="Z820" s="74"/>
    </row>
    <row r="821">
      <c r="B821" s="74" t="str">
        <f>IFERROR(__xludf.DUMMYFUNCTION("""COMPUTED_VALUE"""),"1818")</f>
        <v>1818</v>
      </c>
      <c r="C821" s="74" t="str">
        <f>IFERROR(__xludf.DUMMYFUNCTION("""COMPUTED_VALUE"""),"75045880380")</f>
        <v>75045880380</v>
      </c>
      <c r="D821" s="74" t="str">
        <f>IFERROR(__xludf.DUMMYFUNCTION("""COMPUTED_VALUE"""),"\\MCA-S\mk\2_BM\0_BMat\08_PYM\Inventario\excel\Imagen de refacciones\Ollas revolvedoras\Reten ZF 418 Chico - Reten ZF 142 (grande) - Reten ZF 251 (Chico)")</f>
        <v>\\MCA-S\mk\2_BM\0_BMat\08_PYM\Inventario\excel\Imagen de refacciones\Ollas revolvedoras\Reten ZF 418 Chico - Reten ZF 142 (grande) - Reten ZF 251 (Chico)</v>
      </c>
      <c r="E821" s="74" t="str">
        <f>IFERROR(__xludf.DUMMYFUNCTION("""COMPUTED_VALUE"""),"OUTPUT SEALING COLLAR ZF142 BIG 123x165")</f>
        <v>OUTPUT SEALING COLLAR ZF142 BIG 123x165</v>
      </c>
      <c r="F821" s="74" t="str">
        <f>IFERROR(__xludf.DUMMYFUNCTION("""COMPUTED_VALUE"""),"RETEN ZF142 GRANDE 123x165")</f>
        <v>RETEN ZF142 GRANDE 123x165</v>
      </c>
      <c r="G821" s="74"/>
      <c r="H821" s="74" t="str">
        <f>IFERROR(__xludf.DUMMYFUNCTION("""COMPUTED_VALUE"""),"RETEN ZF 142 GRANDE PARA CAMION REVOLVEDOR")</f>
        <v>RETEN ZF 142 GRANDE PARA CAMION REVOLVEDOR</v>
      </c>
      <c r="I821" s="74" t="str">
        <f>IFERROR(__xludf.DUMMYFUNCTION("""COMPUTED_VALUE"""),"0734307142")</f>
        <v>0734307142</v>
      </c>
      <c r="J821" s="74"/>
      <c r="K821" s="74" t="str">
        <f>IFERROR(__xludf.DUMMYFUNCTION("""COMPUTED_VALUE"""),"Olla Revolvedora")</f>
        <v>Olla Revolvedora</v>
      </c>
      <c r="L821" s="74" t="str">
        <f>IFERROR(__xludf.DUMMYFUNCTION("""COMPUTED_VALUE"""),"REDUCTOR")</f>
        <v>REDUCTOR</v>
      </c>
      <c r="M821" s="74" t="str">
        <f>IFERROR(__xludf.DUMMYFUNCTION("""COMPUTED_VALUE"""),"EMPAQUES")</f>
        <v>EMPAQUES</v>
      </c>
      <c r="N821" s="87">
        <f>IFERROR(__xludf.DUMMYFUNCTION("""COMPUTED_VALUE"""),745.92)</f>
        <v>745.92</v>
      </c>
      <c r="O821" s="74">
        <f>IFERROR(__xludf.DUMMYFUNCTION("""COMPUTED_VALUE"""),5.0)</f>
        <v>5</v>
      </c>
      <c r="P821" s="74" t="str">
        <f>IFERROR(__xludf.DUMMYFUNCTION("""COMPUTED_VALUE"""),"In stock")</f>
        <v>In stock</v>
      </c>
      <c r="Q821" s="74"/>
      <c r="R821" s="74"/>
      <c r="S821" s="87">
        <f>IFERROR(__xludf.DUMMYFUNCTION("""COMPUTED_VALUE"""),6.0)</f>
        <v>6</v>
      </c>
      <c r="T821" s="87">
        <f>IFERROR(__xludf.DUMMYFUNCTION("""COMPUTED_VALUE"""),42.0)</f>
        <v>42</v>
      </c>
      <c r="U821" s="87">
        <f>IFERROR(__xludf.DUMMYFUNCTION("""COMPUTED_VALUE"""),40.32)</f>
        <v>40.32</v>
      </c>
      <c r="V821" s="87">
        <f>IFERROR(__xludf.DUMMYFUNCTION("""COMPUTED_VALUE"""),7.35)</f>
        <v>7.35</v>
      </c>
      <c r="W821" s="87">
        <f>IFERROR(__xludf.DUMMYFUNCTION("""COMPUTED_VALUE"""),137.8125)</f>
        <v>137.8125</v>
      </c>
      <c r="X821" s="88">
        <f>IFERROR(__xludf.DUMMYFUNCTION("""COMPUTED_VALUE"""),6.72)</f>
        <v>6.72</v>
      </c>
      <c r="Y821" s="74"/>
      <c r="Z821" s="74"/>
    </row>
    <row r="822">
      <c r="B822" s="74" t="str">
        <f>IFERROR(__xludf.DUMMYFUNCTION("""COMPUTED_VALUE"""),"1819")</f>
        <v>1819</v>
      </c>
      <c r="C822" s="74" t="str">
        <f>IFERROR(__xludf.DUMMYFUNCTION("""COMPUTED_VALUE"""),"75045880381")</f>
        <v>75045880381</v>
      </c>
      <c r="D822" s="74" t="str">
        <f>IFERROR(__xludf.DUMMYFUNCTION("""COMPUTED_VALUE"""),"\\MCA-S\mk\2_BM\0_BMat\08_PYM\Inventario\excel\Imagen de refacciones\Ollas revolvedoras\Reten ZF 418 Chico - Reten ZF 142 (grande) - Reten ZF 251 (Chico)")</f>
        <v>\\MCA-S\mk\2_BM\0_BMat\08_PYM\Inventario\excel\Imagen de refacciones\Ollas revolvedoras\Reten ZF 418 Chico - Reten ZF 142 (grande) - Reten ZF 251 (Chico)</v>
      </c>
      <c r="E822" s="74" t="str">
        <f>IFERROR(__xludf.DUMMYFUNCTION("""COMPUTED_VALUE"""),"OUTPUT SEALING COLLAR ZF251 SMALL 125x180")</f>
        <v>OUTPUT SEALING COLLAR ZF251 SMALL 125x180</v>
      </c>
      <c r="F822" s="74" t="str">
        <f>IFERROR(__xludf.DUMMYFUNCTION("""COMPUTED_VALUE"""),"RETEN ZF251 CHICO 125x180")</f>
        <v>RETEN ZF251 CHICO 125x180</v>
      </c>
      <c r="G822" s="74"/>
      <c r="H822" s="74" t="str">
        <f>IFERROR(__xludf.DUMMYFUNCTION("""COMPUTED_VALUE"""),"RETEN ZF 251 CHICO PARA CAMION REVOLVEDOR")</f>
        <v>RETEN ZF 251 CHICO PARA CAMION REVOLVEDOR</v>
      </c>
      <c r="I822" s="74" t="str">
        <f>IFERROR(__xludf.DUMMYFUNCTION("""COMPUTED_VALUE"""),"0750112251")</f>
        <v>0750112251</v>
      </c>
      <c r="J822" s="74"/>
      <c r="K822" s="74" t="str">
        <f>IFERROR(__xludf.DUMMYFUNCTION("""COMPUTED_VALUE"""),"Olla Revolvedora")</f>
        <v>Olla Revolvedora</v>
      </c>
      <c r="L822" s="74" t="str">
        <f>IFERROR(__xludf.DUMMYFUNCTION("""COMPUTED_VALUE"""),"REDUCTOR")</f>
        <v>REDUCTOR</v>
      </c>
      <c r="M822" s="74" t="str">
        <f>IFERROR(__xludf.DUMMYFUNCTION("""COMPUTED_VALUE"""),"EMPAQUES")</f>
        <v>EMPAQUES</v>
      </c>
      <c r="N822" s="87">
        <f>IFERROR(__xludf.DUMMYFUNCTION("""COMPUTED_VALUE"""),568.3199999999999)</f>
        <v>568.32</v>
      </c>
      <c r="O822" s="74">
        <f>IFERROR(__xludf.DUMMYFUNCTION("""COMPUTED_VALUE"""),5.0)</f>
        <v>5</v>
      </c>
      <c r="P822" s="74" t="str">
        <f>IFERROR(__xludf.DUMMYFUNCTION("""COMPUTED_VALUE"""),"In stock")</f>
        <v>In stock</v>
      </c>
      <c r="Q822" s="74"/>
      <c r="R822" s="74"/>
      <c r="S822" s="87">
        <f>IFERROR(__xludf.DUMMYFUNCTION("""COMPUTED_VALUE"""),6.0)</f>
        <v>6</v>
      </c>
      <c r="T822" s="87">
        <f>IFERROR(__xludf.DUMMYFUNCTION("""COMPUTED_VALUE"""),32.0)</f>
        <v>32</v>
      </c>
      <c r="U822" s="87">
        <f>IFERROR(__xludf.DUMMYFUNCTION("""COMPUTED_VALUE"""),30.72)</f>
        <v>30.72</v>
      </c>
      <c r="V822" s="87">
        <f>IFERROR(__xludf.DUMMYFUNCTION("""COMPUTED_VALUE"""),7.35)</f>
        <v>7.35</v>
      </c>
      <c r="W822" s="87">
        <f>IFERROR(__xludf.DUMMYFUNCTION("""COMPUTED_VALUE"""),137.8125)</f>
        <v>137.8125</v>
      </c>
      <c r="X822" s="88">
        <f>IFERROR(__xludf.DUMMYFUNCTION("""COMPUTED_VALUE"""),5.12)</f>
        <v>5.12</v>
      </c>
      <c r="Y822" s="74"/>
      <c r="Z822" s="74"/>
    </row>
    <row r="823">
      <c r="B823" s="74" t="str">
        <f>IFERROR(__xludf.DUMMYFUNCTION("""COMPUTED_VALUE"""),"1820")</f>
        <v>1820</v>
      </c>
      <c r="C823" s="74"/>
      <c r="D823" s="74" t="str">
        <f>IFERROR(__xludf.DUMMYFUNCTION("""COMPUTED_VALUE"""),"\\MCA-S\mk\2_BM\0_BMat\08_PYM\Inventario\excel\Imagen de refacciones\Putzmeister\émbolo DN200 o DN231")</f>
        <v>\\MCA-S\mk\2_BM\0_BMat\08_PYM\Inventario\excel\Imagen de refacciones\Putzmeister\émbolo DN200 o DN231</v>
      </c>
      <c r="E823" s="74"/>
      <c r="F823" s="74" t="str">
        <f>IFERROR(__xludf.DUMMYFUNCTION("""COMPUTED_VALUE"""),"EMBOLO DN230 PARA BOMBA DE HORMIGON")</f>
        <v>EMBOLO DN230 PARA BOMBA DE HORMIGON</v>
      </c>
      <c r="G823" s="74"/>
      <c r="H823" s="74"/>
      <c r="I823" s="74"/>
      <c r="J823" s="74"/>
      <c r="K823" s="74" t="str">
        <f>IFERROR(__xludf.DUMMYFUNCTION("""COMPUTED_VALUE"""),"Olla Revolvedora")</f>
        <v>Olla Revolvedora</v>
      </c>
      <c r="L823" s="74"/>
      <c r="M823" s="74" t="str">
        <f>IFERROR(__xludf.DUMMYFUNCTION("""COMPUTED_VALUE"""),"Sin Asignar")</f>
        <v>Sin Asignar</v>
      </c>
      <c r="N823" s="87">
        <f>IFERROR(__xludf.DUMMYFUNCTION("""COMPUTED_VALUE"""),0.0)</f>
        <v>0</v>
      </c>
      <c r="O823" s="74"/>
      <c r="P823" s="74" t="str">
        <f>IFERROR(__xludf.DUMMYFUNCTION("""COMPUTED_VALUE"""),"No Available")</f>
        <v>No Available</v>
      </c>
      <c r="Q823" s="74"/>
      <c r="R823" s="74"/>
      <c r="S823" s="87">
        <f>IFERROR(__xludf.DUMMYFUNCTION("""COMPUTED_VALUE"""),0.0)</f>
        <v>0</v>
      </c>
      <c r="T823" s="87">
        <f>IFERROR(__xludf.DUMMYFUNCTION("""COMPUTED_VALUE"""),0.0)</f>
        <v>0</v>
      </c>
      <c r="U823" s="87">
        <f>IFERROR(__xludf.DUMMYFUNCTION("""COMPUTED_VALUE"""),0.0)</f>
        <v>0</v>
      </c>
      <c r="V823" s="87">
        <f>IFERROR(__xludf.DUMMYFUNCTION("""COMPUTED_VALUE"""),0.0)</f>
        <v>0</v>
      </c>
      <c r="W823" s="87">
        <f>IFERROR(__xludf.DUMMYFUNCTION("""COMPUTED_VALUE"""),0.0)</f>
        <v>0</v>
      </c>
      <c r="X823" s="88"/>
      <c r="Y823" s="74"/>
      <c r="Z823" s="74"/>
    </row>
    <row r="824">
      <c r="B824" s="74" t="str">
        <f>IFERROR(__xludf.DUMMYFUNCTION("""COMPUTED_VALUE"""),"1821")</f>
        <v>1821</v>
      </c>
      <c r="C824" s="74"/>
      <c r="D824" s="74" t="str">
        <f>IFERROR(__xludf.DUMMYFUNCTION("""COMPUTED_VALUE"""),"\\MCA-S\mk\2_BM\0_BMat\08_PYM\Inventario\excel\Imagen de refacciones\Putzmeister\115_80 Seal Set _ Juego de sellos 115_80")</f>
        <v>\\MCA-S\mk\2_BM\0_BMat\08_PYM\Inventario\excel\Imagen de refacciones\Putzmeister\115_80 Seal Set _ Juego de sellos 115_80</v>
      </c>
      <c r="E824" s="74"/>
      <c r="F824" s="74" t="str">
        <f>IFERROR(__xludf.DUMMYFUNCTION("""COMPUTED_VALUE"""),"115/80 Seal Set / Juego de sellos 115/80")</f>
        <v>115/80 Seal Set / Juego de sellos 115/80</v>
      </c>
      <c r="G824" s="74"/>
      <c r="H824" s="74"/>
      <c r="I824" s="74" t="str">
        <f>IFERROR(__xludf.DUMMYFUNCTION("""COMPUTED_VALUE"""),"SOM20412")</f>
        <v>SOM20412</v>
      </c>
      <c r="J824" s="74" t="str">
        <f>IFERROR(__xludf.DUMMYFUNCTION("""COMPUTED_VALUE"""),"231238007 / 448478")</f>
        <v>231238007 / 448478</v>
      </c>
      <c r="K824" s="74" t="str">
        <f>IFERROR(__xludf.DUMMYFUNCTION("""COMPUTED_VALUE"""),"Putzmeister")</f>
        <v>Putzmeister</v>
      </c>
      <c r="L824" s="74" t="str">
        <f>IFERROR(__xludf.DUMMYFUNCTION("""COMPUTED_VALUE"""),"Sellos y Retenes")</f>
        <v>Sellos y Retenes</v>
      </c>
      <c r="M824" s="74" t="str">
        <f>IFERROR(__xludf.DUMMYFUNCTION("""COMPUTED_VALUE"""),"Sin Asignar")</f>
        <v>Sin Asignar</v>
      </c>
      <c r="N824" s="87">
        <f>IFERROR(__xludf.DUMMYFUNCTION("""COMPUTED_VALUE"""),0.0)</f>
        <v>0</v>
      </c>
      <c r="O824" s="74"/>
      <c r="P824" s="74" t="str">
        <f>IFERROR(__xludf.DUMMYFUNCTION("""COMPUTED_VALUE"""),"No Available")</f>
        <v>No Available</v>
      </c>
      <c r="Q824" s="74"/>
      <c r="R824" s="74"/>
      <c r="S824" s="87">
        <f>IFERROR(__xludf.DUMMYFUNCTION("""COMPUTED_VALUE"""),0.0)</f>
        <v>0</v>
      </c>
      <c r="T824" s="87">
        <f>IFERROR(__xludf.DUMMYFUNCTION("""COMPUTED_VALUE"""),0.0)</f>
        <v>0</v>
      </c>
      <c r="U824" s="87">
        <f>IFERROR(__xludf.DUMMYFUNCTION("""COMPUTED_VALUE"""),0.0)</f>
        <v>0</v>
      </c>
      <c r="V824" s="87">
        <f>IFERROR(__xludf.DUMMYFUNCTION("""COMPUTED_VALUE"""),0.0)</f>
        <v>0</v>
      </c>
      <c r="W824" s="87">
        <f>IFERROR(__xludf.DUMMYFUNCTION("""COMPUTED_VALUE"""),0.0)</f>
        <v>0</v>
      </c>
      <c r="X824" s="88"/>
      <c r="Y824" s="74"/>
      <c r="Z824" s="74"/>
    </row>
    <row r="825">
      <c r="B825" s="74" t="str">
        <f>IFERROR(__xludf.DUMMYFUNCTION("""COMPUTED_VALUE"""),"1822")</f>
        <v>1822</v>
      </c>
      <c r="C825" s="74"/>
      <c r="D825" s="74" t="str">
        <f>IFERROR(__xludf.DUMMYFUNCTION("""COMPUTED_VALUE"""),"\\MCA-S\mk\2_BM\0_BMat\08_PYM\Inventario\excel\Imagen de refacciones\Putzmeister\4_3 Way Valve _ Válvula de 4_3 Vías")</f>
        <v>\\MCA-S\mk\2_BM\0_BMat\08_PYM\Inventario\excel\Imagen de refacciones\Putzmeister\4_3 Way Valve _ Válvula de 4_3 Vías</v>
      </c>
      <c r="E825" s="74"/>
      <c r="F825" s="74" t="str">
        <f>IFERROR(__xludf.DUMMYFUNCTION("""COMPUTED_VALUE"""),"4/3 Way Valve / Válvula de 4/3 Vías")</f>
        <v>4/3 Way Valve / Válvula de 4/3 Vías</v>
      </c>
      <c r="G825" s="74"/>
      <c r="H825" s="74"/>
      <c r="I825" s="74" t="str">
        <f>IFERROR(__xludf.DUMMYFUNCTION("""COMPUTED_VALUE"""),"SOM20420")</f>
        <v>SOM20420</v>
      </c>
      <c r="J825" s="74" t="str">
        <f>IFERROR(__xludf.DUMMYFUNCTION("""COMPUTED_VALUE"""),"295208002")</f>
        <v>295208002</v>
      </c>
      <c r="K825" s="74" t="str">
        <f>IFERROR(__xludf.DUMMYFUNCTION("""COMPUTED_VALUE"""),"Putzmeister")</f>
        <v>Putzmeister</v>
      </c>
      <c r="L825" s="74" t="str">
        <f>IFERROR(__xludf.DUMMYFUNCTION("""COMPUTED_VALUE"""),"Componentes Hidráulicos")</f>
        <v>Componentes Hidráulicos</v>
      </c>
      <c r="M825" s="74" t="str">
        <f>IFERROR(__xludf.DUMMYFUNCTION("""COMPUTED_VALUE"""),"Sin Asignar")</f>
        <v>Sin Asignar</v>
      </c>
      <c r="N825" s="87">
        <f>IFERROR(__xludf.DUMMYFUNCTION("""COMPUTED_VALUE"""),0.0)</f>
        <v>0</v>
      </c>
      <c r="O825" s="74"/>
      <c r="P825" s="74" t="str">
        <f>IFERROR(__xludf.DUMMYFUNCTION("""COMPUTED_VALUE"""),"No Available")</f>
        <v>No Available</v>
      </c>
      <c r="Q825" s="74"/>
      <c r="R825" s="74"/>
      <c r="S825" s="87">
        <f>IFERROR(__xludf.DUMMYFUNCTION("""COMPUTED_VALUE"""),0.0)</f>
        <v>0</v>
      </c>
      <c r="T825" s="87">
        <f>IFERROR(__xludf.DUMMYFUNCTION("""COMPUTED_VALUE"""),0.0)</f>
        <v>0</v>
      </c>
      <c r="U825" s="87">
        <f>IFERROR(__xludf.DUMMYFUNCTION("""COMPUTED_VALUE"""),0.0)</f>
        <v>0</v>
      </c>
      <c r="V825" s="87">
        <f>IFERROR(__xludf.DUMMYFUNCTION("""COMPUTED_VALUE"""),0.0)</f>
        <v>0</v>
      </c>
      <c r="W825" s="87">
        <f>IFERROR(__xludf.DUMMYFUNCTION("""COMPUTED_VALUE"""),0.0)</f>
        <v>0</v>
      </c>
      <c r="X825" s="88"/>
      <c r="Y825" s="74"/>
      <c r="Z825" s="74"/>
    </row>
    <row r="826">
      <c r="B826" s="74" t="str">
        <f>IFERROR(__xludf.DUMMYFUNCTION("""COMPUTED_VALUE"""),"1823")</f>
        <v>1823</v>
      </c>
      <c r="C826" s="74"/>
      <c r="D826" s="74" t="str">
        <f>IFERROR(__xludf.DUMMYFUNCTION("""COMPUTED_VALUE"""),"\\MCA-S\mk\2_BM\0_BMat\08_PYM\Inventario\excel\Imagen de refacciones\Putzmeister\5_2 Way Valve _ Válvula de 5_2 Vías")</f>
        <v>\\MCA-S\mk\2_BM\0_BMat\08_PYM\Inventario\excel\Imagen de refacciones\Putzmeister\5_2 Way Valve _ Válvula de 5_2 Vías</v>
      </c>
      <c r="E826" s="74"/>
      <c r="F826" s="74" t="str">
        <f>IFERROR(__xludf.DUMMYFUNCTION("""COMPUTED_VALUE"""),"5/2 Way Valve / Válvula de 5/2 Vías")</f>
        <v>5/2 Way Valve / Válvula de 5/2 Vías</v>
      </c>
      <c r="G826" s="74"/>
      <c r="H826" s="74"/>
      <c r="I826" s="74" t="str">
        <f>IFERROR(__xludf.DUMMYFUNCTION("""COMPUTED_VALUE"""),"SOM20415")</f>
        <v>SOM20415</v>
      </c>
      <c r="J826" s="74" t="str">
        <f>IFERROR(__xludf.DUMMYFUNCTION("""COMPUTED_VALUE"""),"463866 / 438955")</f>
        <v>463866 / 438955</v>
      </c>
      <c r="K826" s="74" t="str">
        <f>IFERROR(__xludf.DUMMYFUNCTION("""COMPUTED_VALUE"""),"Putzmeister")</f>
        <v>Putzmeister</v>
      </c>
      <c r="L826" s="74" t="str">
        <f>IFERROR(__xludf.DUMMYFUNCTION("""COMPUTED_VALUE"""),"Componentes Hidráulicos")</f>
        <v>Componentes Hidráulicos</v>
      </c>
      <c r="M826" s="74" t="str">
        <f>IFERROR(__xludf.DUMMYFUNCTION("""COMPUTED_VALUE"""),"Sin Asignar")</f>
        <v>Sin Asignar</v>
      </c>
      <c r="N826" s="87">
        <f>IFERROR(__xludf.DUMMYFUNCTION("""COMPUTED_VALUE"""),0.0)</f>
        <v>0</v>
      </c>
      <c r="O826" s="74"/>
      <c r="P826" s="74" t="str">
        <f>IFERROR(__xludf.DUMMYFUNCTION("""COMPUTED_VALUE"""),"No Available")</f>
        <v>No Available</v>
      </c>
      <c r="Q826" s="74"/>
      <c r="R826" s="74"/>
      <c r="S826" s="87">
        <f>IFERROR(__xludf.DUMMYFUNCTION("""COMPUTED_VALUE"""),0.0)</f>
        <v>0</v>
      </c>
      <c r="T826" s="87">
        <f>IFERROR(__xludf.DUMMYFUNCTION("""COMPUTED_VALUE"""),0.0)</f>
        <v>0</v>
      </c>
      <c r="U826" s="87">
        <f>IFERROR(__xludf.DUMMYFUNCTION("""COMPUTED_VALUE"""),0.0)</f>
        <v>0</v>
      </c>
      <c r="V826" s="87">
        <f>IFERROR(__xludf.DUMMYFUNCTION("""COMPUTED_VALUE"""),0.0)</f>
        <v>0</v>
      </c>
      <c r="W826" s="87">
        <f>IFERROR(__xludf.DUMMYFUNCTION("""COMPUTED_VALUE"""),0.0)</f>
        <v>0</v>
      </c>
      <c r="X826" s="88"/>
      <c r="Y826" s="74"/>
      <c r="Z826" s="74"/>
    </row>
    <row r="827">
      <c r="B827" s="74" t="str">
        <f>IFERROR(__xludf.DUMMYFUNCTION("""COMPUTED_VALUE"""),"1824")</f>
        <v>1824</v>
      </c>
      <c r="C827" s="74" t="str">
        <f>IFERROR(__xludf.DUMMYFUNCTION("""COMPUTED_VALUE"""),"75045880458")</f>
        <v>75045880458</v>
      </c>
      <c r="D827" s="74" t="str">
        <f>IFERROR(__xludf.DUMMYFUNCTION("""COMPUTED_VALUE"""),"\\MCA-S\mk\2_BM\0_BMat\08_PYM\Inventario\excel\Imagen de refacciones\Putzmeister\abrazadera 6_ con cuña Dn151")</f>
        <v>\\MCA-S\mk\2_BM\0_BMat\08_PYM\Inventario\excel\Imagen de refacciones\Putzmeister\abrazadera 6_ con cuña Dn151</v>
      </c>
      <c r="E827" s="74" t="str">
        <f>IFERROR(__xludf.DUMMYFUNCTION("""COMPUTED_VALUE"""),"CLAMP COUPLING 6"" DN150")</f>
        <v>CLAMP COUPLING 6" DN150</v>
      </c>
      <c r="F827" s="74" t="str">
        <f>IFERROR(__xludf.DUMMYFUNCTION("""COMPUTED_VALUE"""),"ABRAZADERA 6"" CON CUÑA DN150")</f>
        <v>ABRAZADERA 6" CON CUÑA DN150</v>
      </c>
      <c r="G827" s="74"/>
      <c r="H827" s="74" t="str">
        <f>IFERROR(__xludf.DUMMYFUNCTION("""COMPUTED_VALUE"""),"ABRAZADERA 6"" CON CUÑA DN150 PARA BOMBA DE HORMIGON")</f>
        <v>ABRAZADERA 6" CON CUÑA DN150 PARA BOMBA DE HORMIGON</v>
      </c>
      <c r="I827" s="74" t="str">
        <f>IFERROR(__xludf.DUMMYFUNCTION("""COMPUTED_VALUE"""),"240948003")</f>
        <v>240948003</v>
      </c>
      <c r="J827" s="74"/>
      <c r="K827" s="74" t="str">
        <f>IFERROR(__xludf.DUMMYFUNCTION("""COMPUTED_VALUE"""),"Putzmeister")</f>
        <v>Putzmeister</v>
      </c>
      <c r="L827" s="74" t="str">
        <f>IFERROR(__xludf.DUMMYFUNCTION("""COMPUTED_VALUE"""),"BARRA V-ROCK")</f>
        <v>BARRA V-ROCK</v>
      </c>
      <c r="M827" s="74" t="str">
        <f>IFERROR(__xludf.DUMMYFUNCTION("""COMPUTED_VALUE"""),"TUBOS")</f>
        <v>TUBOS</v>
      </c>
      <c r="N827" s="87">
        <f>IFERROR(__xludf.DUMMYFUNCTION("""COMPUTED_VALUE"""),2930.4)</f>
        <v>2930.4</v>
      </c>
      <c r="O827" s="74">
        <f>IFERROR(__xludf.DUMMYFUNCTION("""COMPUTED_VALUE"""),3.0)</f>
        <v>3</v>
      </c>
      <c r="P827" s="74" t="str">
        <f>IFERROR(__xludf.DUMMYFUNCTION("""COMPUTED_VALUE"""),"In stock")</f>
        <v>In stock</v>
      </c>
      <c r="Q827" s="74"/>
      <c r="R827" s="74"/>
      <c r="S827" s="87">
        <f>IFERROR(__xludf.DUMMYFUNCTION("""COMPUTED_VALUE"""),34.0)</f>
        <v>34</v>
      </c>
      <c r="T827" s="87">
        <f>IFERROR(__xludf.DUMMYFUNCTION("""COMPUTED_VALUE"""),165.0)</f>
        <v>165</v>
      </c>
      <c r="U827" s="87">
        <f>IFERROR(__xludf.DUMMYFUNCTION("""COMPUTED_VALUE"""),158.4)</f>
        <v>158.4</v>
      </c>
      <c r="V827" s="87">
        <f>IFERROR(__xludf.DUMMYFUNCTION("""COMPUTED_VALUE"""),41.65)</f>
        <v>41.65</v>
      </c>
      <c r="W827" s="87">
        <f>IFERROR(__xludf.DUMMYFUNCTION("""COMPUTED_VALUE"""),780.9375)</f>
        <v>780.9375</v>
      </c>
      <c r="X827" s="88">
        <f>IFERROR(__xludf.DUMMYFUNCTION("""COMPUTED_VALUE"""),4.658823529411765)</f>
        <v>4.658823529</v>
      </c>
      <c r="Y827" s="74"/>
      <c r="Z827" s="74"/>
    </row>
    <row r="828">
      <c r="B828" s="74" t="str">
        <f>IFERROR(__xludf.DUMMYFUNCTION("""COMPUTED_VALUE"""),"1825")</f>
        <v>1825</v>
      </c>
      <c r="C828" s="74" t="str">
        <f>IFERROR(__xludf.DUMMYFUNCTION("""COMPUTED_VALUE"""),"75045880549")</f>
        <v>75045880549</v>
      </c>
      <c r="D828" s="74" t="str">
        <f>IFERROR(__xludf.DUMMYFUNCTION("""COMPUTED_VALUE"""),"\\MCA-S\mk\2_BM\0_BMat\08_PYM\Inventario\excel\Imagen de refacciones\Putzmeister\Acumulador de nitrógeno de 4 litros")</f>
        <v>\\MCA-S\mk\2_BM\0_BMat\08_PYM\Inventario\excel\Imagen de refacciones\Putzmeister\Acumulador de nitrógeno de 4 litros</v>
      </c>
      <c r="E828" s="74" t="str">
        <f>IFERROR(__xludf.DUMMYFUNCTION("""COMPUTED_VALUE"""),"NITROGEN ACCUMULATOR 4L (1 GALLON)")</f>
        <v>NITROGEN ACCUMULATOR 4L (1 GALLON)</v>
      </c>
      <c r="F828" s="74" t="str">
        <f>IFERROR(__xludf.DUMMYFUNCTION("""COMPUTED_VALUE"""),"ACUMULADOR DE NITROGENO 4L")</f>
        <v>ACUMULADOR DE NITROGENO 4L</v>
      </c>
      <c r="G828" s="74"/>
      <c r="H828" s="74"/>
      <c r="I828" s="74" t="str">
        <f>IFERROR(__xludf.DUMMYFUNCTION("""COMPUTED_VALUE"""),"AT311944")</f>
        <v>AT311944</v>
      </c>
      <c r="J828" s="74"/>
      <c r="K828" s="74" t="str">
        <f>IFERROR(__xludf.DUMMYFUNCTION("""COMPUTED_VALUE"""),"Putzmeister")</f>
        <v>Putzmeister</v>
      </c>
      <c r="L828" s="74"/>
      <c r="M828" s="74" t="str">
        <f>IFERROR(__xludf.DUMMYFUNCTION("""COMPUTED_VALUE"""),"Sin Asignar")</f>
        <v>Sin Asignar</v>
      </c>
      <c r="N828" s="87">
        <f>IFERROR(__xludf.DUMMYFUNCTION("""COMPUTED_VALUE"""),16676.64)</f>
        <v>16676.64</v>
      </c>
      <c r="O828" s="74">
        <f>IFERROR(__xludf.DUMMYFUNCTION("""COMPUTED_VALUE"""),1.0)</f>
        <v>1</v>
      </c>
      <c r="P828" s="74" t="str">
        <f>IFERROR(__xludf.DUMMYFUNCTION("""COMPUTED_VALUE"""),"In stock")</f>
        <v>In stock</v>
      </c>
      <c r="Q828" s="74"/>
      <c r="R828" s="74"/>
      <c r="S828" s="87">
        <f>IFERROR(__xludf.DUMMYFUNCTION("""COMPUTED_VALUE"""),182.0)</f>
        <v>182</v>
      </c>
      <c r="T828" s="87">
        <f>IFERROR(__xludf.DUMMYFUNCTION("""COMPUTED_VALUE"""),939.0)</f>
        <v>939</v>
      </c>
      <c r="U828" s="87">
        <f>IFERROR(__xludf.DUMMYFUNCTION("""COMPUTED_VALUE"""),901.4399999999999)</f>
        <v>901.44</v>
      </c>
      <c r="V828" s="87">
        <f>IFERROR(__xludf.DUMMYFUNCTION("""COMPUTED_VALUE"""),222.95)</f>
        <v>222.95</v>
      </c>
      <c r="W828" s="87">
        <f>IFERROR(__xludf.DUMMYFUNCTION("""COMPUTED_VALUE"""),4180.3125)</f>
        <v>4180.3125</v>
      </c>
      <c r="X828" s="88">
        <f>IFERROR(__xludf.DUMMYFUNCTION("""COMPUTED_VALUE"""),4.952967032967033)</f>
        <v>4.952967033</v>
      </c>
      <c r="Y828" s="74"/>
      <c r="Z828" s="74"/>
    </row>
    <row r="829">
      <c r="B829" s="74" t="str">
        <f>IFERROR(__xludf.DUMMYFUNCTION("""COMPUTED_VALUE"""),"1826")</f>
        <v>1826</v>
      </c>
      <c r="C829" s="74" t="str">
        <f>IFERROR(__xludf.DUMMYFUNCTION("""COMPUTED_VALUE"""),"75045880550")</f>
        <v>75045880550</v>
      </c>
      <c r="D829" s="74" t="str">
        <f>IFERROR(__xludf.DUMMYFUNCTION("""COMPUTED_VALUE"""),"\\MCA-S\mk\2_BM\0_BMat\08_PYM\Inventario\excel\Imagen de refacciones\Putzmeister\Acumulador de nitrógeno de 6 litros")</f>
        <v>\\MCA-S\mk\2_BM\0_BMat\08_PYM\Inventario\excel\Imagen de refacciones\Putzmeister\Acumulador de nitrógeno de 6 litros</v>
      </c>
      <c r="E829" s="74" t="str">
        <f>IFERROR(__xludf.DUMMYFUNCTION("""COMPUTED_VALUE"""),"NITROGEN ACCUMULATOR 6L (1.5 GALLON)")</f>
        <v>NITROGEN ACCUMULATOR 6L (1.5 GALLON)</v>
      </c>
      <c r="F829" s="74" t="str">
        <f>IFERROR(__xludf.DUMMYFUNCTION("""COMPUTED_VALUE"""),"ACUMULADOR DE NITROGENO 6L")</f>
        <v>ACUMULADOR DE NITROGENO 6L</v>
      </c>
      <c r="G829" s="74"/>
      <c r="H829" s="74"/>
      <c r="I829" s="74" t="str">
        <f>IFERROR(__xludf.DUMMYFUNCTION("""COMPUTED_VALUE"""),"A025007")</f>
        <v>A025007</v>
      </c>
      <c r="J829" s="74"/>
      <c r="K829" s="74" t="str">
        <f>IFERROR(__xludf.DUMMYFUNCTION("""COMPUTED_VALUE"""),"Putzmeister")</f>
        <v>Putzmeister</v>
      </c>
      <c r="L829" s="74"/>
      <c r="M829" s="74" t="str">
        <f>IFERROR(__xludf.DUMMYFUNCTION("""COMPUTED_VALUE"""),"Sin Asignar")</f>
        <v>Sin Asignar</v>
      </c>
      <c r="N829" s="87">
        <f>IFERROR(__xludf.DUMMYFUNCTION("""COMPUTED_VALUE"""),19145.28)</f>
        <v>19145.28</v>
      </c>
      <c r="O829" s="74">
        <f>IFERROR(__xludf.DUMMYFUNCTION("""COMPUTED_VALUE"""),1.0)</f>
        <v>1</v>
      </c>
      <c r="P829" s="74" t="str">
        <f>IFERROR(__xludf.DUMMYFUNCTION("""COMPUTED_VALUE"""),"In stock")</f>
        <v>In stock</v>
      </c>
      <c r="Q829" s="74"/>
      <c r="R829" s="74"/>
      <c r="S829" s="87">
        <f>IFERROR(__xludf.DUMMYFUNCTION("""COMPUTED_VALUE"""),225.0)</f>
        <v>225</v>
      </c>
      <c r="T829" s="87">
        <f>IFERROR(__xludf.DUMMYFUNCTION("""COMPUTED_VALUE"""),1078.0)</f>
        <v>1078</v>
      </c>
      <c r="U829" s="87">
        <f>IFERROR(__xludf.DUMMYFUNCTION("""COMPUTED_VALUE"""),1034.8799999999999)</f>
        <v>1034.88</v>
      </c>
      <c r="V829" s="87">
        <f>IFERROR(__xludf.DUMMYFUNCTION("""COMPUTED_VALUE"""),275.625)</f>
        <v>275.625</v>
      </c>
      <c r="W829" s="87">
        <f>IFERROR(__xludf.DUMMYFUNCTION("""COMPUTED_VALUE"""),5167.96875)</f>
        <v>5167.96875</v>
      </c>
      <c r="X829" s="88">
        <f>IFERROR(__xludf.DUMMYFUNCTION("""COMPUTED_VALUE"""),4.599466666666666)</f>
        <v>4.599466667</v>
      </c>
      <c r="Y829" s="74"/>
      <c r="Z829" s="74"/>
    </row>
    <row r="830">
      <c r="B830" s="74" t="str">
        <f>IFERROR(__xludf.DUMMYFUNCTION("""COMPUTED_VALUE"""),"1827")</f>
        <v>1827</v>
      </c>
      <c r="C830" s="74" t="str">
        <f>IFERROR(__xludf.DUMMYFUNCTION("""COMPUTED_VALUE"""),"75045880540")</f>
        <v>75045880540</v>
      </c>
      <c r="D830" s="74"/>
      <c r="E830" s="74" t="str">
        <f>IFERROR(__xludf.DUMMYFUNCTION("""COMPUTED_VALUE"""),"WEAR RING DN200 CARBIDE")</f>
        <v>WEAR RING DN200 CARBIDE</v>
      </c>
      <c r="F830" s="74" t="str">
        <f>IFERROR(__xludf.DUMMYFUNCTION("""COMPUTED_VALUE"""),"ANILLO DE DESGASTE DN200 CARBIDE")</f>
        <v>ANILLO DE DESGASTE DN200 CARBIDE</v>
      </c>
      <c r="G830" s="74"/>
      <c r="H830" s="74" t="str">
        <f>IFERROR(__xludf.DUMMYFUNCTION("""COMPUTED_VALUE"""),"ANILLO DE DESGASTE DN200 PARA BOMBA DE HORMIGON")</f>
        <v>ANILLO DE DESGASTE DN200 PARA BOMBA DE HORMIGON</v>
      </c>
      <c r="I830" s="74" t="str">
        <f>IFERROR(__xludf.DUMMYFUNCTION("""COMPUTED_VALUE"""),"261123001")</f>
        <v>261123001</v>
      </c>
      <c r="J830" s="74"/>
      <c r="K830" s="74" t="str">
        <f>IFERROR(__xludf.DUMMYFUNCTION("""COMPUTED_VALUE"""),"Putzmeister")</f>
        <v>Putzmeister</v>
      </c>
      <c r="L830" s="74" t="str">
        <f>IFERROR(__xludf.DUMMYFUNCTION("""COMPUTED_VALUE"""),"BARRA V-ROCK")</f>
        <v>BARRA V-ROCK</v>
      </c>
      <c r="M830" s="74" t="str">
        <f>IFERROR(__xludf.DUMMYFUNCTION("""COMPUTED_VALUE"""),"ANILLOS METALICOS")</f>
        <v>ANILLOS METALICOS</v>
      </c>
      <c r="N830" s="87">
        <f>IFERROR(__xludf.DUMMYFUNCTION("""COMPUTED_VALUE"""),4617.599999999999)</f>
        <v>4617.6</v>
      </c>
      <c r="O830" s="74">
        <f>IFERROR(__xludf.DUMMYFUNCTION("""COMPUTED_VALUE"""),2.0)</f>
        <v>2</v>
      </c>
      <c r="P830" s="74" t="str">
        <f>IFERROR(__xludf.DUMMYFUNCTION("""COMPUTED_VALUE"""),"In stock")</f>
        <v>In stock</v>
      </c>
      <c r="Q830" s="74"/>
      <c r="R830" s="74"/>
      <c r="S830" s="87">
        <f>IFERROR(__xludf.DUMMYFUNCTION("""COMPUTED_VALUE"""),55.0)</f>
        <v>55</v>
      </c>
      <c r="T830" s="87">
        <f>IFERROR(__xludf.DUMMYFUNCTION("""COMPUTED_VALUE"""),260.0)</f>
        <v>260</v>
      </c>
      <c r="U830" s="87">
        <f>IFERROR(__xludf.DUMMYFUNCTION("""COMPUTED_VALUE"""),249.6)</f>
        <v>249.6</v>
      </c>
      <c r="V830" s="87">
        <f>IFERROR(__xludf.DUMMYFUNCTION("""COMPUTED_VALUE"""),67.375)</f>
        <v>67.375</v>
      </c>
      <c r="W830" s="87">
        <f>IFERROR(__xludf.DUMMYFUNCTION("""COMPUTED_VALUE"""),1263.28125)</f>
        <v>1263.28125</v>
      </c>
      <c r="X830" s="88">
        <f>IFERROR(__xludf.DUMMYFUNCTION("""COMPUTED_VALUE"""),4.538181818181818)</f>
        <v>4.538181818</v>
      </c>
      <c r="Y830" s="74"/>
      <c r="Z830" s="74"/>
    </row>
    <row r="831">
      <c r="B831" s="74" t="str">
        <f>IFERROR(__xludf.DUMMYFUNCTION("""COMPUTED_VALUE"""),"1828")</f>
        <v>1828</v>
      </c>
      <c r="C831" s="74" t="str">
        <f>IFERROR(__xludf.DUMMYFUNCTION("""COMPUTED_VALUE"""),"75045880541")</f>
        <v>75045880541</v>
      </c>
      <c r="D831" s="74" t="str">
        <f>IFERROR(__xludf.DUMMYFUNCTION("""COMPUTED_VALUE"""),"\\MCA-S\mk\2_BM\0_BMat\08_PYM\Inventario\excel\Imagen de refacciones\Putzmeister\anillo de desgaste DN 230L")</f>
        <v>\\MCA-S\mk\2_BM\0_BMat\08_PYM\Inventario\excel\Imagen de refacciones\Putzmeister\anillo de desgaste DN 230L</v>
      </c>
      <c r="E831" s="74" t="str">
        <f>IFERROR(__xludf.DUMMYFUNCTION("""COMPUTED_VALUE"""),"WEAR RING DN200 CASTING")</f>
        <v>WEAR RING DN200 CASTING</v>
      </c>
      <c r="F831" s="74" t="str">
        <f>IFERROR(__xludf.DUMMYFUNCTION("""COMPUTED_VALUE"""),"ANILLO DE DESGASTE DN200 CASTING")</f>
        <v>ANILLO DE DESGASTE DN200 CASTING</v>
      </c>
      <c r="G831" s="74"/>
      <c r="H831" s="74" t="str">
        <f>IFERROR(__xludf.DUMMYFUNCTION("""COMPUTED_VALUE"""),"ANILLO DE DESGASTE DN200 PARA BOMBA DE HORMIGON")</f>
        <v>ANILLO DE DESGASTE DN200 PARA BOMBA DE HORMIGON</v>
      </c>
      <c r="I831" s="74" t="str">
        <f>IFERROR(__xludf.DUMMYFUNCTION("""COMPUTED_VALUE"""),"261123001")</f>
        <v>261123001</v>
      </c>
      <c r="J831" s="74"/>
      <c r="K831" s="74" t="str">
        <f>IFERROR(__xludf.DUMMYFUNCTION("""COMPUTED_VALUE"""),"Putzmeister")</f>
        <v>Putzmeister</v>
      </c>
      <c r="L831" s="74" t="str">
        <f>IFERROR(__xludf.DUMMYFUNCTION("""COMPUTED_VALUE"""),"BARRA V-ROCK")</f>
        <v>BARRA V-ROCK</v>
      </c>
      <c r="M831" s="74" t="str">
        <f>IFERROR(__xludf.DUMMYFUNCTION("""COMPUTED_VALUE"""),"ANILLOS METALICOS")</f>
        <v>ANILLOS METALICOS</v>
      </c>
      <c r="N831" s="87">
        <f>IFERROR(__xludf.DUMMYFUNCTION("""COMPUTED_VALUE"""),3356.64)</f>
        <v>3356.64</v>
      </c>
      <c r="O831" s="74">
        <f>IFERROR(__xludf.DUMMYFUNCTION("""COMPUTED_VALUE"""),2.0)</f>
        <v>2</v>
      </c>
      <c r="P831" s="74" t="str">
        <f>IFERROR(__xludf.DUMMYFUNCTION("""COMPUTED_VALUE"""),"In stock")</f>
        <v>In stock</v>
      </c>
      <c r="Q831" s="74"/>
      <c r="R831" s="74"/>
      <c r="S831" s="87">
        <f>IFERROR(__xludf.DUMMYFUNCTION("""COMPUTED_VALUE"""),40.0)</f>
        <v>40</v>
      </c>
      <c r="T831" s="87">
        <f>IFERROR(__xludf.DUMMYFUNCTION("""COMPUTED_VALUE"""),189.0)</f>
        <v>189</v>
      </c>
      <c r="U831" s="87">
        <f>IFERROR(__xludf.DUMMYFUNCTION("""COMPUTED_VALUE"""),181.44)</f>
        <v>181.44</v>
      </c>
      <c r="V831" s="87">
        <f>IFERROR(__xludf.DUMMYFUNCTION("""COMPUTED_VALUE"""),49.0)</f>
        <v>49</v>
      </c>
      <c r="W831" s="87">
        <f>IFERROR(__xludf.DUMMYFUNCTION("""COMPUTED_VALUE"""),918.75)</f>
        <v>918.75</v>
      </c>
      <c r="X831" s="88">
        <f>IFERROR(__xludf.DUMMYFUNCTION("""COMPUTED_VALUE"""),4.536)</f>
        <v>4.536</v>
      </c>
      <c r="Y831" s="74"/>
      <c r="Z831" s="74"/>
    </row>
    <row r="832">
      <c r="B832" s="74" t="str">
        <f>IFERROR(__xludf.DUMMYFUNCTION("""COMPUTED_VALUE"""),"1829")</f>
        <v>1829</v>
      </c>
      <c r="C832" s="74" t="str">
        <f>IFERROR(__xludf.DUMMYFUNCTION("""COMPUTED_VALUE"""),"75045880308")</f>
        <v>75045880308</v>
      </c>
      <c r="D832" s="74" t="str">
        <f>IFERROR(__xludf.DUMMYFUNCTION("""COMPUTED_VALUE"""),"\\MCA-S\mk\2_BM\0_BMat\08_PYM\Inventario\excel\Imagen de refacciones\Putzmeister\Anillo de empuje dn200 y dn230")</f>
        <v>\\MCA-S\mk\2_BM\0_BMat\08_PYM\Inventario\excel\Imagen de refacciones\Putzmeister\Anillo de empuje dn200 y dn230</v>
      </c>
      <c r="E832" s="74" t="str">
        <f>IFERROR(__xludf.DUMMYFUNCTION("""COMPUTED_VALUE"""),"THRUST RING DN200")</f>
        <v>THRUST RING DN200</v>
      </c>
      <c r="F832" s="74" t="str">
        <f>IFERROR(__xludf.DUMMYFUNCTION("""COMPUTED_VALUE"""),"ANILLO DE EMPUJE DN200")</f>
        <v>ANILLO DE EMPUJE DN200</v>
      </c>
      <c r="G832" s="74"/>
      <c r="H832" s="74"/>
      <c r="I832" s="74" t="str">
        <f>IFERROR(__xludf.DUMMYFUNCTION("""COMPUTED_VALUE"""),"258569005")</f>
        <v>258569005</v>
      </c>
      <c r="J832" s="74" t="str">
        <f>IFERROR(__xludf.DUMMYFUNCTION("""COMPUTED_VALUE"""),"269519002")</f>
        <v>269519002</v>
      </c>
      <c r="K832" s="74" t="str">
        <f>IFERROR(__xludf.DUMMYFUNCTION("""COMPUTED_VALUE"""),"Putzmeister")</f>
        <v>Putzmeister</v>
      </c>
      <c r="L832" s="74" t="str">
        <f>IFERROR(__xludf.DUMMYFUNCTION("""COMPUTED_VALUE"""),"Sellos y retenes")</f>
        <v>Sellos y retenes</v>
      </c>
      <c r="M832" s="74" t="str">
        <f>IFERROR(__xludf.DUMMYFUNCTION("""COMPUTED_VALUE"""),"Sin Asignar")</f>
        <v>Sin Asignar</v>
      </c>
      <c r="N832" s="87">
        <f>IFERROR(__xludf.DUMMYFUNCTION("""COMPUTED_VALUE"""),426.24)</f>
        <v>426.24</v>
      </c>
      <c r="O832" s="74">
        <f>IFERROR(__xludf.DUMMYFUNCTION("""COMPUTED_VALUE"""),10.0)</f>
        <v>10</v>
      </c>
      <c r="P832" s="74" t="str">
        <f>IFERROR(__xludf.DUMMYFUNCTION("""COMPUTED_VALUE"""),"In stock")</f>
        <v>In stock</v>
      </c>
      <c r="Q832" s="74"/>
      <c r="R832" s="74"/>
      <c r="S832" s="87">
        <f>IFERROR(__xludf.DUMMYFUNCTION("""COMPUTED_VALUE"""),3.0)</f>
        <v>3</v>
      </c>
      <c r="T832" s="87">
        <f>IFERROR(__xludf.DUMMYFUNCTION("""COMPUTED_VALUE"""),24.0)</f>
        <v>24</v>
      </c>
      <c r="U832" s="87">
        <f>IFERROR(__xludf.DUMMYFUNCTION("""COMPUTED_VALUE"""),23.04)</f>
        <v>23.04</v>
      </c>
      <c r="V832" s="87">
        <f>IFERROR(__xludf.DUMMYFUNCTION("""COMPUTED_VALUE"""),3.675)</f>
        <v>3.675</v>
      </c>
      <c r="W832" s="87">
        <f>IFERROR(__xludf.DUMMYFUNCTION("""COMPUTED_VALUE"""),68.90625)</f>
        <v>68.90625</v>
      </c>
      <c r="X832" s="88">
        <f>IFERROR(__xludf.DUMMYFUNCTION("""COMPUTED_VALUE"""),7.68)</f>
        <v>7.68</v>
      </c>
      <c r="Y832" s="74"/>
      <c r="Z832" s="74"/>
    </row>
    <row r="833">
      <c r="B833" s="74" t="str">
        <f>IFERROR(__xludf.DUMMYFUNCTION("""COMPUTED_VALUE"""),"1830")</f>
        <v>1830</v>
      </c>
      <c r="C833" s="74"/>
      <c r="D833" s="74" t="str">
        <f>IFERROR(__xludf.DUMMYFUNCTION("""COMPUTED_VALUE"""),"\\MCA-S\mk\2_BM\0_BMat\08_PYM\Inventario\excel\Imagen de refacciones\Putzmeister\Assembly Kit Charge Pump 25 CM³ _ Kit de Montaje Bomba de Carga 25 CM³")</f>
        <v>\\MCA-S\mk\2_BM\0_BMat\08_PYM\Inventario\excel\Imagen de refacciones\Putzmeister\Assembly Kit Charge Pump 25 CM³ _ Kit de Montaje Bomba de Carga 25 CM³</v>
      </c>
      <c r="E833" s="74"/>
      <c r="F833" s="74" t="str">
        <f>IFERROR(__xludf.DUMMYFUNCTION("""COMPUTED_VALUE"""),"Assembly Kit Charge Pump 25 CM³ / Kit de Montaje Bomba de Carga 25 CM³")</f>
        <v>Assembly Kit Charge Pump 25 CM³ / Kit de Montaje Bomba de Carga 25 CM³</v>
      </c>
      <c r="G833" s="74"/>
      <c r="H833" s="74"/>
      <c r="I833" s="74" t="str">
        <f>IFERROR(__xludf.DUMMYFUNCTION("""COMPUTED_VALUE"""),"SOM20554")</f>
        <v>SOM20554</v>
      </c>
      <c r="J833" s="74" t="str">
        <f>IFERROR(__xludf.DUMMYFUNCTION("""COMPUTED_VALUE"""),"223763001")</f>
        <v>223763001</v>
      </c>
      <c r="K833" s="74" t="str">
        <f>IFERROR(__xludf.DUMMYFUNCTION("""COMPUTED_VALUE"""),"Putzmeister")</f>
        <v>Putzmeister</v>
      </c>
      <c r="L833" s="74" t="str">
        <f>IFERROR(__xludf.DUMMYFUNCTION("""COMPUTED_VALUE"""),"Sistema de Bombeo de Concreto")</f>
        <v>Sistema de Bombeo de Concreto</v>
      </c>
      <c r="M833" s="74" t="str">
        <f>IFERROR(__xludf.DUMMYFUNCTION("""COMPUTED_VALUE"""),"Sin Asignar")</f>
        <v>Sin Asignar</v>
      </c>
      <c r="N833" s="87">
        <f>IFERROR(__xludf.DUMMYFUNCTION("""COMPUTED_VALUE"""),0.0)</f>
        <v>0</v>
      </c>
      <c r="O833" s="74"/>
      <c r="P833" s="74" t="str">
        <f>IFERROR(__xludf.DUMMYFUNCTION("""COMPUTED_VALUE"""),"No Available")</f>
        <v>No Available</v>
      </c>
      <c r="Q833" s="74"/>
      <c r="R833" s="74"/>
      <c r="S833" s="87">
        <f>IFERROR(__xludf.DUMMYFUNCTION("""COMPUTED_VALUE"""),0.0)</f>
        <v>0</v>
      </c>
      <c r="T833" s="87">
        <f>IFERROR(__xludf.DUMMYFUNCTION("""COMPUTED_VALUE"""),0.0)</f>
        <v>0</v>
      </c>
      <c r="U833" s="87">
        <f>IFERROR(__xludf.DUMMYFUNCTION("""COMPUTED_VALUE"""),0.0)</f>
        <v>0</v>
      </c>
      <c r="V833" s="87">
        <f>IFERROR(__xludf.DUMMYFUNCTION("""COMPUTED_VALUE"""),0.0)</f>
        <v>0</v>
      </c>
      <c r="W833" s="87">
        <f>IFERROR(__xludf.DUMMYFUNCTION("""COMPUTED_VALUE"""),0.0)</f>
        <v>0</v>
      </c>
      <c r="X833" s="88"/>
      <c r="Y833" s="74"/>
      <c r="Z833" s="74"/>
    </row>
    <row r="834">
      <c r="B834" s="74" t="str">
        <f>IFERROR(__xludf.DUMMYFUNCTION("""COMPUTED_VALUE"""),"1831")</f>
        <v>1831</v>
      </c>
      <c r="C834" s="74" t="str">
        <f>IFERROR(__xludf.DUMMYFUNCTION("""COMPUTED_VALUE"""),"75045880511")</f>
        <v>75045880511</v>
      </c>
      <c r="D834" s="74" t="str">
        <f>IFERROR(__xludf.DUMMYFUNCTION("""COMPUTED_VALUE"""),"\\MCA-S\mk\2_BM\0_BMat\08_PYM\Inventario\excel\Imagen de refacciones\Putzmeister\Barra para caja de transferencia G65")</f>
        <v>\\MCA-S\mk\2_BM\0_BMat\08_PYM\Inventario\excel\Imagen de refacciones\Putzmeister\Barra para caja de transferencia G65</v>
      </c>
      <c r="E834" s="74" t="str">
        <f>IFERROR(__xludf.DUMMYFUNCTION("""COMPUTED_VALUE"""),"SPLINED SHAFT G64")</f>
        <v>SPLINED SHAFT G64</v>
      </c>
      <c r="F834" s="74" t="str">
        <f>IFERROR(__xludf.DUMMYFUNCTION("""COMPUTED_VALUE"""),"BARRA PARA CAJA DE TRANSFERENCIA G64")</f>
        <v>BARRA PARA CAJA DE TRANSFERENCIA G64</v>
      </c>
      <c r="G834" s="74"/>
      <c r="H834" s="74"/>
      <c r="I834" s="74" t="str">
        <f>IFERROR(__xludf.DUMMYFUNCTION("""COMPUTED_VALUE"""),"284948001")</f>
        <v>284948001</v>
      </c>
      <c r="J834" s="74"/>
      <c r="K834" s="74" t="str">
        <f>IFERROR(__xludf.DUMMYFUNCTION("""COMPUTED_VALUE"""),"Putzmeister")</f>
        <v>Putzmeister</v>
      </c>
      <c r="L834" s="74"/>
      <c r="M834" s="74" t="str">
        <f>IFERROR(__xludf.DUMMYFUNCTION("""COMPUTED_VALUE"""),"Sin Asignar")</f>
        <v>Sin Asignar</v>
      </c>
      <c r="N834" s="87">
        <f>IFERROR(__xludf.DUMMYFUNCTION("""COMPUTED_VALUE"""),11437.44)</f>
        <v>11437.44</v>
      </c>
      <c r="O834" s="74">
        <f>IFERROR(__xludf.DUMMYFUNCTION("""COMPUTED_VALUE"""),2.0)</f>
        <v>2</v>
      </c>
      <c r="P834" s="74" t="str">
        <f>IFERROR(__xludf.DUMMYFUNCTION("""COMPUTED_VALUE"""),"In stock")</f>
        <v>In stock</v>
      </c>
      <c r="Q834" s="74"/>
      <c r="R834" s="74"/>
      <c r="S834" s="87">
        <f>IFERROR(__xludf.DUMMYFUNCTION("""COMPUTED_VALUE"""),95.0)</f>
        <v>95</v>
      </c>
      <c r="T834" s="87">
        <f>IFERROR(__xludf.DUMMYFUNCTION("""COMPUTED_VALUE"""),644.0)</f>
        <v>644</v>
      </c>
      <c r="U834" s="87">
        <f>IFERROR(__xludf.DUMMYFUNCTION("""COMPUTED_VALUE"""),618.24)</f>
        <v>618.24</v>
      </c>
      <c r="V834" s="87">
        <f>IFERROR(__xludf.DUMMYFUNCTION("""COMPUTED_VALUE"""),116.375)</f>
        <v>116.375</v>
      </c>
      <c r="W834" s="87">
        <f>IFERROR(__xludf.DUMMYFUNCTION("""COMPUTED_VALUE"""),2182.03125)</f>
        <v>2182.03125</v>
      </c>
      <c r="X834" s="88">
        <f>IFERROR(__xludf.DUMMYFUNCTION("""COMPUTED_VALUE"""),6.507789473684211)</f>
        <v>6.507789474</v>
      </c>
      <c r="Y834" s="74"/>
      <c r="Z834" s="74"/>
    </row>
    <row r="835">
      <c r="B835" s="74" t="str">
        <f>IFERROR(__xludf.DUMMYFUNCTION("""COMPUTED_VALUE"""),"1832")</f>
        <v>1832</v>
      </c>
      <c r="C835" s="74" t="str">
        <f>IFERROR(__xludf.DUMMYFUNCTION("""COMPUTED_VALUE"""),"75045880425")</f>
        <v>75045880425</v>
      </c>
      <c r="D835" s="74" t="str">
        <f>IFERROR(__xludf.DUMMYFUNCTION("""COMPUTED_VALUE"""),"\\MCA-S\mk\2_BM\0_BMat\08_PYM\Inventario\excel\Imagen de refacciones\Putzmeister\Bateria azul para control remoto")</f>
        <v>\\MCA-S\mk\2_BM\0_BMat\08_PYM\Inventario\excel\Imagen de refacciones\Putzmeister\Bateria azul para control remoto</v>
      </c>
      <c r="E835" s="74" t="str">
        <f>IFERROR(__xludf.DUMMYFUNCTION("""COMPUTED_VALUE"""),"BATTERY PACK")</f>
        <v>BATTERY PACK</v>
      </c>
      <c r="F835" s="74" t="str">
        <f>IFERROR(__xludf.DUMMYFUNCTION("""COMPUTED_VALUE"""),"BATERIA AZUL CONTROL REMOTO")</f>
        <v>BATERIA AZUL CONTROL REMOTO</v>
      </c>
      <c r="G835" s="74"/>
      <c r="H835" s="74"/>
      <c r="I835" s="74" t="str">
        <f>IFERROR(__xludf.DUMMYFUNCTION("""COMPUTED_VALUE"""),"471560")</f>
        <v>471560</v>
      </c>
      <c r="J835" s="74"/>
      <c r="K835" s="74" t="str">
        <f>IFERROR(__xludf.DUMMYFUNCTION("""COMPUTED_VALUE"""),"Putzmeister")</f>
        <v>Putzmeister</v>
      </c>
      <c r="L835" s="74"/>
      <c r="M835" s="74" t="str">
        <f>IFERROR(__xludf.DUMMYFUNCTION("""COMPUTED_VALUE"""),"Sin Asignar")</f>
        <v>Sin Asignar</v>
      </c>
      <c r="N835" s="87">
        <f>IFERROR(__xludf.DUMMYFUNCTION("""COMPUTED_VALUE"""),0.0)</f>
        <v>0</v>
      </c>
      <c r="O835" s="74"/>
      <c r="P835" s="74" t="str">
        <f>IFERROR(__xludf.DUMMYFUNCTION("""COMPUTED_VALUE"""),"To Re-purchase")</f>
        <v>To Re-purchase</v>
      </c>
      <c r="Q835" s="74"/>
      <c r="R835" s="74"/>
      <c r="S835" s="87">
        <f>IFERROR(__xludf.DUMMYFUNCTION("""COMPUTED_VALUE"""),0.0)</f>
        <v>0</v>
      </c>
      <c r="T835" s="87">
        <f>IFERROR(__xludf.DUMMYFUNCTION("""COMPUTED_VALUE"""),0.0)</f>
        <v>0</v>
      </c>
      <c r="U835" s="87">
        <f>IFERROR(__xludf.DUMMYFUNCTION("""COMPUTED_VALUE"""),0.0)</f>
        <v>0</v>
      </c>
      <c r="V835" s="87">
        <f>IFERROR(__xludf.DUMMYFUNCTION("""COMPUTED_VALUE"""),0.0)</f>
        <v>0</v>
      </c>
      <c r="W835" s="87">
        <f>IFERROR(__xludf.DUMMYFUNCTION("""COMPUTED_VALUE"""),0.0)</f>
        <v>0</v>
      </c>
      <c r="X835" s="88"/>
      <c r="Y835" s="74"/>
      <c r="Z835" s="74"/>
    </row>
    <row r="836">
      <c r="B836" s="74" t="str">
        <f>IFERROR(__xludf.DUMMYFUNCTION("""COMPUTED_VALUE"""),"1833")</f>
        <v>1833</v>
      </c>
      <c r="C836" s="74"/>
      <c r="D836" s="74" t="str">
        <f>IFERROR(__xludf.DUMMYFUNCTION("""COMPUTED_VALUE"""),"\\MCA-S\mk\2_BM\0_BMat\08_PYM\Inventario\excel\Imagen de refacciones\Putzmeister\Bearing Flange Ergonic Q60 _ Brida de Cojinete Ergonómica Q60")</f>
        <v>\\MCA-S\mk\2_BM\0_BMat\08_PYM\Inventario\excel\Imagen de refacciones\Putzmeister\Bearing Flange Ergonic Q60 _ Brida de Cojinete Ergonómica Q60</v>
      </c>
      <c r="E836" s="74"/>
      <c r="F836" s="74" t="str">
        <f>IFERROR(__xludf.DUMMYFUNCTION("""COMPUTED_VALUE"""),"Bearing Flange Ergonic Q60 / Brida de Cojinete Ergonómica Q60")</f>
        <v>Bearing Flange Ergonic Q60 / Brida de Cojinete Ergonómica Q60</v>
      </c>
      <c r="G836" s="74"/>
      <c r="H836" s="74"/>
      <c r="I836" s="74" t="str">
        <f>IFERROR(__xludf.DUMMYFUNCTION("""COMPUTED_VALUE"""),"SOM20413")</f>
        <v>SOM20413</v>
      </c>
      <c r="J836" s="74" t="str">
        <f>IFERROR(__xludf.DUMMYFUNCTION("""COMPUTED_VALUE"""),"484731")</f>
        <v>484731</v>
      </c>
      <c r="K836" s="74" t="str">
        <f>IFERROR(__xludf.DUMMYFUNCTION("""COMPUTED_VALUE"""),"Putzmeister")</f>
        <v>Putzmeister</v>
      </c>
      <c r="L836" s="74" t="str">
        <f>IFERROR(__xludf.DUMMYFUNCTION("""COMPUTED_VALUE"""),"Transmisión Mecánica")</f>
        <v>Transmisión Mecánica</v>
      </c>
      <c r="M836" s="74" t="str">
        <f>IFERROR(__xludf.DUMMYFUNCTION("""COMPUTED_VALUE"""),"Sin Asignar")</f>
        <v>Sin Asignar</v>
      </c>
      <c r="N836" s="87">
        <f>IFERROR(__xludf.DUMMYFUNCTION("""COMPUTED_VALUE"""),0.0)</f>
        <v>0</v>
      </c>
      <c r="O836" s="74"/>
      <c r="P836" s="74" t="str">
        <f>IFERROR(__xludf.DUMMYFUNCTION("""COMPUTED_VALUE"""),"No Available")</f>
        <v>No Available</v>
      </c>
      <c r="Q836" s="74"/>
      <c r="R836" s="74"/>
      <c r="S836" s="87">
        <f>IFERROR(__xludf.DUMMYFUNCTION("""COMPUTED_VALUE"""),0.0)</f>
        <v>0</v>
      </c>
      <c r="T836" s="87">
        <f>IFERROR(__xludf.DUMMYFUNCTION("""COMPUTED_VALUE"""),0.0)</f>
        <v>0</v>
      </c>
      <c r="U836" s="87">
        <f>IFERROR(__xludf.DUMMYFUNCTION("""COMPUTED_VALUE"""),0.0)</f>
        <v>0</v>
      </c>
      <c r="V836" s="87">
        <f>IFERROR(__xludf.DUMMYFUNCTION("""COMPUTED_VALUE"""),0.0)</f>
        <v>0</v>
      </c>
      <c r="W836" s="87">
        <f>IFERROR(__xludf.DUMMYFUNCTION("""COMPUTED_VALUE"""),0.0)</f>
        <v>0</v>
      </c>
      <c r="X836" s="88"/>
      <c r="Y836" s="74"/>
      <c r="Z836" s="74"/>
    </row>
    <row r="837">
      <c r="B837" s="74" t="str">
        <f>IFERROR(__xludf.DUMMYFUNCTION("""COMPUTED_VALUE"""),"1834")</f>
        <v>1834</v>
      </c>
      <c r="C837" s="74" t="str">
        <f>IFERROR(__xludf.DUMMYFUNCTION("""COMPUTED_VALUE"""),"75045880328")</f>
        <v>75045880328</v>
      </c>
      <c r="D837" s="74" t="str">
        <f>IFERROR(__xludf.DUMMYFUNCTION("""COMPUTED_VALUE"""),"\\MCA-S\mk\2_BM\0_BMat\08_PYM\Inventario\excel\Imagen de refacciones\Putzmeister\Bobina 12V para válvula selenoide")</f>
        <v>\\MCA-S\mk\2_BM\0_BMat\08_PYM\Inventario\excel\Imagen de refacciones\Putzmeister\Bobina 12V para válvula selenoide</v>
      </c>
      <c r="E837" s="74" t="str">
        <f>IFERROR(__xludf.DUMMYFUNCTION("""COMPUTED_VALUE"""),"SOLENOID COIL 12V")</f>
        <v>SOLENOID COIL 12V</v>
      </c>
      <c r="F837" s="74" t="str">
        <f>IFERROR(__xludf.DUMMYFUNCTION("""COMPUTED_VALUE"""),"BOBINA 12V PARA VALVULA SELENOIDE")</f>
        <v>BOBINA 12V PARA VALVULA SELENOIDE</v>
      </c>
      <c r="G837" s="74"/>
      <c r="H837" s="74" t="str">
        <f>IFERROR(__xludf.DUMMYFUNCTION("""COMPUTED_VALUE"""),"BOBINA DE 12V PARA VALVULA SELENOIDE PARA BOMBA DE HORMIGON")</f>
        <v>BOBINA DE 12V PARA VALVULA SELENOIDE PARA BOMBA DE HORMIGON</v>
      </c>
      <c r="I837" s="74" t="str">
        <f>IFERROR(__xludf.DUMMYFUNCTION("""COMPUTED_VALUE"""),"267378009")</f>
        <v>267378009</v>
      </c>
      <c r="J837" s="74"/>
      <c r="K837" s="74" t="str">
        <f>IFERROR(__xludf.DUMMYFUNCTION("""COMPUTED_VALUE"""),"Putzmeister")</f>
        <v>Putzmeister</v>
      </c>
      <c r="L837" s="74" t="str">
        <f>IFERROR(__xludf.DUMMYFUNCTION("""COMPUTED_VALUE"""),"BARRA V-ROCK")</f>
        <v>BARRA V-ROCK</v>
      </c>
      <c r="M837" s="74" t="str">
        <f>IFERROR(__xludf.DUMMYFUNCTION("""COMPUTED_VALUE"""),"Sin Asignar")</f>
        <v>Sin Asignar</v>
      </c>
      <c r="N837" s="87">
        <f>IFERROR(__xludf.DUMMYFUNCTION("""COMPUTED_VALUE"""),3125.7599999999998)</f>
        <v>3125.76</v>
      </c>
      <c r="O837" s="74">
        <f>IFERROR(__xludf.DUMMYFUNCTION("""COMPUTED_VALUE"""),8.0)</f>
        <v>8</v>
      </c>
      <c r="P837" s="74" t="str">
        <f>IFERROR(__xludf.DUMMYFUNCTION("""COMPUTED_VALUE"""),"In stock")</f>
        <v>In stock</v>
      </c>
      <c r="Q837" s="74"/>
      <c r="R837" s="74"/>
      <c r="S837" s="87">
        <f>IFERROR(__xludf.DUMMYFUNCTION("""COMPUTED_VALUE"""),7.0)</f>
        <v>7</v>
      </c>
      <c r="T837" s="87">
        <f>IFERROR(__xludf.DUMMYFUNCTION("""COMPUTED_VALUE"""),176.0)</f>
        <v>176</v>
      </c>
      <c r="U837" s="87">
        <f>IFERROR(__xludf.DUMMYFUNCTION("""COMPUTED_VALUE"""),168.95999999999998)</f>
        <v>168.96</v>
      </c>
      <c r="V837" s="87">
        <f>IFERROR(__xludf.DUMMYFUNCTION("""COMPUTED_VALUE"""),8.575)</f>
        <v>8.575</v>
      </c>
      <c r="W837" s="87">
        <f>IFERROR(__xludf.DUMMYFUNCTION("""COMPUTED_VALUE"""),160.78125)</f>
        <v>160.78125</v>
      </c>
      <c r="X837" s="88">
        <f>IFERROR(__xludf.DUMMYFUNCTION("""COMPUTED_VALUE"""),24.137142857142855)</f>
        <v>24.13714286</v>
      </c>
      <c r="Y837" s="74"/>
      <c r="Z837" s="74"/>
    </row>
    <row r="838">
      <c r="B838" s="74" t="str">
        <f>IFERROR(__xludf.DUMMYFUNCTION("""COMPUTED_VALUE"""),"1835")</f>
        <v>1835</v>
      </c>
      <c r="C838" s="74" t="str">
        <f>IFERROR(__xludf.DUMMYFUNCTION("""COMPUTED_VALUE"""),"75045880329")</f>
        <v>75045880329</v>
      </c>
      <c r="D838" s="74" t="str">
        <f>IFERROR(__xludf.DUMMYFUNCTION("""COMPUTED_VALUE"""),"\\MCA-S\mk\2_BM\0_BMat\08_PYM\Inventario\excel\Imagen de refacciones\Putzmeister\Bobina 24V para válvula selenoide")</f>
        <v>\\MCA-S\mk\2_BM\0_BMat\08_PYM\Inventario\excel\Imagen de refacciones\Putzmeister\Bobina 24V para válvula selenoide</v>
      </c>
      <c r="E838" s="74" t="str">
        <f>IFERROR(__xludf.DUMMYFUNCTION("""COMPUTED_VALUE"""),"SOLENOID COIL 24V")</f>
        <v>SOLENOID COIL 24V</v>
      </c>
      <c r="F838" s="74" t="str">
        <f>IFERROR(__xludf.DUMMYFUNCTION("""COMPUTED_VALUE"""),"BOBINA 24V PARA VALVULA SELENOIDE")</f>
        <v>BOBINA 24V PARA VALVULA SELENOIDE</v>
      </c>
      <c r="G838" s="74"/>
      <c r="H838" s="74" t="str">
        <f>IFERROR(__xludf.DUMMYFUNCTION("""COMPUTED_VALUE"""),"BOBINA 24V PARA VALVULA SELENOIDE PARA BOMBA DE HORMIGON")</f>
        <v>BOBINA 24V PARA VALVULA SELENOIDE PARA BOMBA DE HORMIGON</v>
      </c>
      <c r="I838" s="74" t="str">
        <f>IFERROR(__xludf.DUMMYFUNCTION("""COMPUTED_VALUE"""),"267377000")</f>
        <v>267377000</v>
      </c>
      <c r="J838" s="74"/>
      <c r="K838" s="74" t="str">
        <f>IFERROR(__xludf.DUMMYFUNCTION("""COMPUTED_VALUE"""),"Putzmeister")</f>
        <v>Putzmeister</v>
      </c>
      <c r="L838" s="74" t="str">
        <f>IFERROR(__xludf.DUMMYFUNCTION("""COMPUTED_VALUE"""),"BARRA V-ROCK")</f>
        <v>BARRA V-ROCK</v>
      </c>
      <c r="M838" s="74" t="str">
        <f>IFERROR(__xludf.DUMMYFUNCTION("""COMPUTED_VALUE"""),"Sin Asignar")</f>
        <v>Sin Asignar</v>
      </c>
      <c r="N838" s="87">
        <f>IFERROR(__xludf.DUMMYFUNCTION("""COMPUTED_VALUE"""),1740.48)</f>
        <v>1740.48</v>
      </c>
      <c r="O838" s="74">
        <f>IFERROR(__xludf.DUMMYFUNCTION("""COMPUTED_VALUE"""),6.0)</f>
        <v>6</v>
      </c>
      <c r="P838" s="74" t="str">
        <f>IFERROR(__xludf.DUMMYFUNCTION("""COMPUTED_VALUE"""),"In stock")</f>
        <v>In stock</v>
      </c>
      <c r="Q838" s="74"/>
      <c r="R838" s="74"/>
      <c r="S838" s="87">
        <f>IFERROR(__xludf.DUMMYFUNCTION("""COMPUTED_VALUE"""),7.0)</f>
        <v>7</v>
      </c>
      <c r="T838" s="87">
        <f>IFERROR(__xludf.DUMMYFUNCTION("""COMPUTED_VALUE"""),98.0)</f>
        <v>98</v>
      </c>
      <c r="U838" s="87">
        <f>IFERROR(__xludf.DUMMYFUNCTION("""COMPUTED_VALUE"""),94.08)</f>
        <v>94.08</v>
      </c>
      <c r="V838" s="87">
        <f>IFERROR(__xludf.DUMMYFUNCTION("""COMPUTED_VALUE"""),8.575)</f>
        <v>8.575</v>
      </c>
      <c r="W838" s="87">
        <f>IFERROR(__xludf.DUMMYFUNCTION("""COMPUTED_VALUE"""),160.78125)</f>
        <v>160.78125</v>
      </c>
      <c r="X838" s="88">
        <f>IFERROR(__xludf.DUMMYFUNCTION("""COMPUTED_VALUE"""),13.44)</f>
        <v>13.44</v>
      </c>
      <c r="Y838" s="74"/>
      <c r="Z838" s="74"/>
    </row>
    <row r="839">
      <c r="B839" s="74" t="str">
        <f>IFERROR(__xludf.DUMMYFUNCTION("""COMPUTED_VALUE"""),"1836")</f>
        <v>1836</v>
      </c>
      <c r="C839" s="74" t="str">
        <f>IFERROR(__xludf.DUMMYFUNCTION("""COMPUTED_VALUE"""),"75045880382")</f>
        <v>75045880382</v>
      </c>
      <c r="D839" s="74" t="str">
        <f>IFERROR(__xludf.DUMMYFUNCTION("""COMPUTED_VALUE"""),"\\MCA-S\mk\2_BM\0_BMat\08_PYM\Inventario\excel\Imagen de refacciones\Putzmeister\Bomba de agua 7560 completa 8 rodillos")</f>
        <v>\\MCA-S\mk\2_BM\0_BMat\08_PYM\Inventario\excel\Imagen de refacciones\Putzmeister\Bomba de agua 7560 completa 8 rodillos</v>
      </c>
      <c r="E839" s="74" t="str">
        <f>IFERROR(__xludf.DUMMYFUNCTION("""COMPUTED_VALUE"""),"HYPRO 7560C ROLLER PUMP")</f>
        <v>HYPRO 7560C ROLLER PUMP</v>
      </c>
      <c r="F839" s="74" t="str">
        <f>IFERROR(__xludf.DUMMYFUNCTION("""COMPUTED_VALUE"""),"BOMBA DE AGUA 7560 COMPLETA 8 RODILLOS")</f>
        <v>BOMBA DE AGUA 7560 COMPLETA 8 RODILLOS</v>
      </c>
      <c r="G839" s="74"/>
      <c r="H839" s="74"/>
      <c r="I839" s="74" t="str">
        <f>IFERROR(__xludf.DUMMYFUNCTION("""COMPUTED_VALUE"""),"018533006")</f>
        <v>018533006</v>
      </c>
      <c r="J839" s="74"/>
      <c r="K839" s="74" t="str">
        <f>IFERROR(__xludf.DUMMYFUNCTION("""COMPUTED_VALUE"""),"Putzmeister")</f>
        <v>Putzmeister</v>
      </c>
      <c r="L839" s="74" t="str">
        <f>IFERROR(__xludf.DUMMYFUNCTION("""COMPUTED_VALUE"""),"BARRA V-ROCK")</f>
        <v>BARRA V-ROCK</v>
      </c>
      <c r="M839" s="74" t="str">
        <f>IFERROR(__xludf.DUMMYFUNCTION("""COMPUTED_VALUE"""),"BOMBAS")</f>
        <v>BOMBAS</v>
      </c>
      <c r="N839" s="87">
        <f>IFERROR(__xludf.DUMMYFUNCTION("""COMPUTED_VALUE"""),8453.76)</f>
        <v>8453.76</v>
      </c>
      <c r="O839" s="74">
        <f>IFERROR(__xludf.DUMMYFUNCTION("""COMPUTED_VALUE"""),5.0)</f>
        <v>5</v>
      </c>
      <c r="P839" s="74" t="str">
        <f>IFERROR(__xludf.DUMMYFUNCTION("""COMPUTED_VALUE"""),"In stock")</f>
        <v>In stock</v>
      </c>
      <c r="Q839" s="74"/>
      <c r="R839" s="74"/>
      <c r="S839" s="87">
        <f>IFERROR(__xludf.DUMMYFUNCTION("""COMPUTED_VALUE"""),70.0)</f>
        <v>70</v>
      </c>
      <c r="T839" s="87">
        <f>IFERROR(__xludf.DUMMYFUNCTION("""COMPUTED_VALUE"""),476.0)</f>
        <v>476</v>
      </c>
      <c r="U839" s="87">
        <f>IFERROR(__xludf.DUMMYFUNCTION("""COMPUTED_VALUE"""),456.96)</f>
        <v>456.96</v>
      </c>
      <c r="V839" s="87">
        <f>IFERROR(__xludf.DUMMYFUNCTION("""COMPUTED_VALUE"""),85.75)</f>
        <v>85.75</v>
      </c>
      <c r="W839" s="87">
        <f>IFERROR(__xludf.DUMMYFUNCTION("""COMPUTED_VALUE"""),1607.8125)</f>
        <v>1607.8125</v>
      </c>
      <c r="X839" s="88">
        <f>IFERROR(__xludf.DUMMYFUNCTION("""COMPUTED_VALUE"""),6.528)</f>
        <v>6.528</v>
      </c>
      <c r="Y839" s="74"/>
      <c r="Z839" s="74"/>
    </row>
    <row r="840">
      <c r="B840" s="74" t="str">
        <f>IFERROR(__xludf.DUMMYFUNCTION("""COMPUTED_VALUE"""),"1837")</f>
        <v>1837</v>
      </c>
      <c r="C840" s="74" t="str">
        <f>IFERROR(__xludf.DUMMYFUNCTION("""COMPUTED_VALUE"""),"75045880512")</f>
        <v>75045880512</v>
      </c>
      <c r="D840" s="74" t="str">
        <f>IFERROR(__xludf.DUMMYFUNCTION("""COMPUTED_VALUE"""),"\\MCA-S\mk\2_BM\0_BMat\08_PYM\Inventario\excel\Imagen de refacciones\Putzmeister\Bomba hidráulica A2f17")</f>
        <v>\\MCA-S\mk\2_BM\0_BMat\08_PYM\Inventario\excel\Imagen de refacciones\Putzmeister\Bomba hidráulica A2f17</v>
      </c>
      <c r="E840" s="74" t="str">
        <f>IFERROR(__xludf.DUMMYFUNCTION("""COMPUTED_VALUE"""),"HYDRAULIC PUMP L A2F16")</f>
        <v>HYDRAULIC PUMP L A2F16</v>
      </c>
      <c r="F840" s="74" t="str">
        <f>IFERROR(__xludf.DUMMYFUNCTION("""COMPUTED_VALUE"""),"BOMBA HIDRAULICA A2F16")</f>
        <v>BOMBA HIDRAULICA A2F16</v>
      </c>
      <c r="G840" s="74"/>
      <c r="H840" s="74"/>
      <c r="I840" s="74" t="str">
        <f>IFERROR(__xludf.DUMMYFUNCTION("""COMPUTED_VALUE"""),"67925005")</f>
        <v>67925005</v>
      </c>
      <c r="J840" s="74"/>
      <c r="K840" s="74" t="str">
        <f>IFERROR(__xludf.DUMMYFUNCTION("""COMPUTED_VALUE"""),"Putzmeister")</f>
        <v>Putzmeister</v>
      </c>
      <c r="L840" s="74"/>
      <c r="M840" s="74" t="str">
        <f>IFERROR(__xludf.DUMMYFUNCTION("""COMPUTED_VALUE"""),"Sin Asignar")</f>
        <v>Sin Asignar</v>
      </c>
      <c r="N840" s="87">
        <f>IFERROR(__xludf.DUMMYFUNCTION("""COMPUTED_VALUE"""),0.0)</f>
        <v>0</v>
      </c>
      <c r="O840" s="74"/>
      <c r="P840" s="74" t="str">
        <f>IFERROR(__xludf.DUMMYFUNCTION("""COMPUTED_VALUE"""),"To Re-purchase")</f>
        <v>To Re-purchase</v>
      </c>
      <c r="Q840" s="74"/>
      <c r="R840" s="74"/>
      <c r="S840" s="87">
        <f>IFERROR(__xludf.DUMMYFUNCTION("""COMPUTED_VALUE"""),0.0)</f>
        <v>0</v>
      </c>
      <c r="T840" s="87">
        <f>IFERROR(__xludf.DUMMYFUNCTION("""COMPUTED_VALUE"""),0.0)</f>
        <v>0</v>
      </c>
      <c r="U840" s="87">
        <f>IFERROR(__xludf.DUMMYFUNCTION("""COMPUTED_VALUE"""),0.0)</f>
        <v>0</v>
      </c>
      <c r="V840" s="87">
        <f>IFERROR(__xludf.DUMMYFUNCTION("""COMPUTED_VALUE"""),0.0)</f>
        <v>0</v>
      </c>
      <c r="W840" s="87">
        <f>IFERROR(__xludf.DUMMYFUNCTION("""COMPUTED_VALUE"""),0.0)</f>
        <v>0</v>
      </c>
      <c r="X840" s="88"/>
      <c r="Y840" s="74"/>
      <c r="Z840" s="74"/>
    </row>
    <row r="841">
      <c r="B841" s="74" t="str">
        <f>IFERROR(__xludf.DUMMYFUNCTION("""COMPUTED_VALUE"""),"1838")</f>
        <v>1838</v>
      </c>
      <c r="C841" s="74" t="str">
        <f>IFERROR(__xludf.DUMMYFUNCTION("""COMPUTED_VALUE"""),"75045880551")</f>
        <v>75045880551</v>
      </c>
      <c r="D841" s="74" t="str">
        <f>IFERROR(__xludf.DUMMYFUNCTION("""COMPUTED_VALUE"""),"\\MCA-S\mk\2_BM\0_BMat\08_PYM\Inventario\excel\Imagen de refacciones\Putzmeister\Bomba hidráulica R 14 Cm3 P_agitador")</f>
        <v>\\MCA-S\mk\2_BM\0_BMat\08_PYM\Inventario\excel\Imagen de refacciones\Putzmeister\Bomba hidráulica R 14 Cm3 P_agitador</v>
      </c>
      <c r="E841" s="74" t="str">
        <f>IFERROR(__xludf.DUMMYFUNCTION("""COMPUTED_VALUE"""),"HYDRAULIC PUMP 14cm3")</f>
        <v>HYDRAULIC PUMP 14cm3</v>
      </c>
      <c r="F841" s="74" t="str">
        <f>IFERROR(__xludf.DUMMYFUNCTION("""COMPUTED_VALUE"""),"BOMBA HIDRAULICA R14cm3 PARA AGITADOR")</f>
        <v>BOMBA HIDRAULICA R14cm3 PARA AGITADOR</v>
      </c>
      <c r="G841" s="74"/>
      <c r="H841" s="74"/>
      <c r="I841" s="74" t="str">
        <f>IFERROR(__xludf.DUMMYFUNCTION("""COMPUTED_VALUE"""),"235383000")</f>
        <v>235383000</v>
      </c>
      <c r="J841" s="74"/>
      <c r="K841" s="74" t="str">
        <f>IFERROR(__xludf.DUMMYFUNCTION("""COMPUTED_VALUE"""),"Putzmeister")</f>
        <v>Putzmeister</v>
      </c>
      <c r="L841" s="74" t="str">
        <f>IFERROR(__xludf.DUMMYFUNCTION("""COMPUTED_VALUE"""),"HIDRAULICO")</f>
        <v>HIDRAULICO</v>
      </c>
      <c r="M841" s="74" t="str">
        <f>IFERROR(__xludf.DUMMYFUNCTION("""COMPUTED_VALUE"""),"BOMBAS")</f>
        <v>BOMBAS</v>
      </c>
      <c r="N841" s="87">
        <f>IFERROR(__xludf.DUMMYFUNCTION("""COMPUTED_VALUE"""),8205.119999999999)</f>
        <v>8205.12</v>
      </c>
      <c r="O841" s="74">
        <f>IFERROR(__xludf.DUMMYFUNCTION("""COMPUTED_VALUE"""),1.0)</f>
        <v>1</v>
      </c>
      <c r="P841" s="74" t="str">
        <f>IFERROR(__xludf.DUMMYFUNCTION("""COMPUTED_VALUE"""),"In stock")</f>
        <v>In stock</v>
      </c>
      <c r="Q841" s="74"/>
      <c r="R841" s="74"/>
      <c r="S841" s="87">
        <f>IFERROR(__xludf.DUMMYFUNCTION("""COMPUTED_VALUE"""),65.0)</f>
        <v>65</v>
      </c>
      <c r="T841" s="87">
        <f>IFERROR(__xludf.DUMMYFUNCTION("""COMPUTED_VALUE"""),462.0)</f>
        <v>462</v>
      </c>
      <c r="U841" s="87">
        <f>IFERROR(__xludf.DUMMYFUNCTION("""COMPUTED_VALUE"""),443.52)</f>
        <v>443.52</v>
      </c>
      <c r="V841" s="87">
        <f>IFERROR(__xludf.DUMMYFUNCTION("""COMPUTED_VALUE"""),79.625)</f>
        <v>79.625</v>
      </c>
      <c r="W841" s="87">
        <f>IFERROR(__xludf.DUMMYFUNCTION("""COMPUTED_VALUE"""),1492.96875)</f>
        <v>1492.96875</v>
      </c>
      <c r="X841" s="88">
        <f>IFERROR(__xludf.DUMMYFUNCTION("""COMPUTED_VALUE"""),6.823384615384615)</f>
        <v>6.823384615</v>
      </c>
      <c r="Y841" s="74"/>
      <c r="Z841" s="74"/>
    </row>
    <row r="842">
      <c r="B842" s="74" t="str">
        <f>IFERROR(__xludf.DUMMYFUNCTION("""COMPUTED_VALUE"""),"1839")</f>
        <v>1839</v>
      </c>
      <c r="C842" s="74" t="str">
        <f>IFERROR(__xludf.DUMMYFUNCTION("""COMPUTED_VALUE"""),"75045880459")</f>
        <v>75045880459</v>
      </c>
      <c r="D842" s="74" t="str">
        <f>IFERROR(__xludf.DUMMYFUNCTION("""COMPUTED_VALUE"""),"\\MCA-S\mk\2_BM\0_BMat\08_PYM\Inventario\excel\Imagen de refacciones\Putzmeister\Brake Control Valve _ Válvula de Control de Freno")</f>
        <v>\\MCA-S\mk\2_BM\0_BMat\08_PYM\Inventario\excel\Imagen de refacciones\Putzmeister\Brake Control Valve _ Válvula de Control de Freno</v>
      </c>
      <c r="E842" s="74"/>
      <c r="F842" s="74" t="str">
        <f>IFERROR(__xludf.DUMMYFUNCTION("""COMPUTED_VALUE"""),"Brake Control Valve / Válvula de Control de Freno  - PM 286970006")</f>
        <v>Brake Control Valve / Válvula de Control de Freno  - PM 286970006</v>
      </c>
      <c r="G842" s="74"/>
      <c r="H842" s="74"/>
      <c r="I842" s="74" t="str">
        <f>IFERROR(__xludf.DUMMYFUNCTION("""COMPUTED_VALUE"""),"SOM20423")</f>
        <v>SOM20423</v>
      </c>
      <c r="J842" s="74" t="str">
        <f>IFERROR(__xludf.DUMMYFUNCTION("""COMPUTED_VALUE"""),"286970006")</f>
        <v>286970006</v>
      </c>
      <c r="K842" s="74" t="str">
        <f>IFERROR(__xludf.DUMMYFUNCTION("""COMPUTED_VALUE"""),"Putzmeister")</f>
        <v>Putzmeister</v>
      </c>
      <c r="L842" s="74" t="str">
        <f>IFERROR(__xludf.DUMMYFUNCTION("""COMPUTED_VALUE"""),"Componentes Hidráulicos")</f>
        <v>Componentes Hidráulicos</v>
      </c>
      <c r="M842" s="74" t="str">
        <f>IFERROR(__xludf.DUMMYFUNCTION("""COMPUTED_VALUE"""),"Sin Asignar")</f>
        <v>Sin Asignar</v>
      </c>
      <c r="N842" s="87">
        <f>IFERROR(__xludf.DUMMYFUNCTION("""COMPUTED_VALUE"""),0.0)</f>
        <v>0</v>
      </c>
      <c r="O842" s="74"/>
      <c r="P842" s="74" t="str">
        <f>IFERROR(__xludf.DUMMYFUNCTION("""COMPUTED_VALUE"""),"borrar")</f>
        <v>borrar</v>
      </c>
      <c r="Q842" s="74"/>
      <c r="R842" s="74"/>
      <c r="S842" s="87">
        <f>IFERROR(__xludf.DUMMYFUNCTION("""COMPUTED_VALUE"""),0.0)</f>
        <v>0</v>
      </c>
      <c r="T842" s="87">
        <f>IFERROR(__xludf.DUMMYFUNCTION("""COMPUTED_VALUE"""),0.0)</f>
        <v>0</v>
      </c>
      <c r="U842" s="87">
        <f>IFERROR(__xludf.DUMMYFUNCTION("""COMPUTED_VALUE"""),0.0)</f>
        <v>0</v>
      </c>
      <c r="V842" s="87">
        <f>IFERROR(__xludf.DUMMYFUNCTION("""COMPUTED_VALUE"""),0.0)</f>
        <v>0</v>
      </c>
      <c r="W842" s="87">
        <f>IFERROR(__xludf.DUMMYFUNCTION("""COMPUTED_VALUE"""),0.0)</f>
        <v>0</v>
      </c>
      <c r="X842" s="88"/>
      <c r="Y842" s="74"/>
      <c r="Z842" s="74"/>
    </row>
    <row r="843">
      <c r="B843" s="74" t="str">
        <f>IFERROR(__xludf.DUMMYFUNCTION("""COMPUTED_VALUE"""),"1840")</f>
        <v>1840</v>
      </c>
      <c r="C843" s="74"/>
      <c r="D843" s="74" t="str">
        <f>IFERROR(__xludf.DUMMYFUNCTION("""COMPUTED_VALUE"""),"\\MCA-S\mk\2_BM\0_BMat\08_PYM\Inventario\excel\Imagen de refacciones\Putzmeister\Brake RA10 _ Freno RA10")</f>
        <v>\\MCA-S\mk\2_BM\0_BMat\08_PYM\Inventario\excel\Imagen de refacciones\Putzmeister\Brake RA10 _ Freno RA10</v>
      </c>
      <c r="E843" s="74"/>
      <c r="F843" s="74" t="str">
        <f>IFERROR(__xludf.DUMMYFUNCTION("""COMPUTED_VALUE"""),"Brake RA10 / Freno RA10")</f>
        <v>Brake RA10 / Freno RA10</v>
      </c>
      <c r="G843" s="74"/>
      <c r="H843" s="74"/>
      <c r="I843" s="74" t="str">
        <f>IFERROR(__xludf.DUMMYFUNCTION("""COMPUTED_VALUE"""),"SOM20529")</f>
        <v>SOM20529</v>
      </c>
      <c r="J843" s="74" t="str">
        <f>IFERROR(__xludf.DUMMYFUNCTION("""COMPUTED_VALUE"""),"294100042	/ 294327007")</f>
        <v>294100042	/ 294327007</v>
      </c>
      <c r="K843" s="74" t="str">
        <f>IFERROR(__xludf.DUMMYFUNCTION("""COMPUTED_VALUE"""),"Putzmeister")</f>
        <v>Putzmeister</v>
      </c>
      <c r="L843" s="74" t="str">
        <f>IFERROR(__xludf.DUMMYFUNCTION("""COMPUTED_VALUE"""),"Transmisión Mecánica")</f>
        <v>Transmisión Mecánica</v>
      </c>
      <c r="M843" s="74" t="str">
        <f>IFERROR(__xludf.DUMMYFUNCTION("""COMPUTED_VALUE"""),"Sin Asignar")</f>
        <v>Sin Asignar</v>
      </c>
      <c r="N843" s="87">
        <f>IFERROR(__xludf.DUMMYFUNCTION("""COMPUTED_VALUE"""),0.0)</f>
        <v>0</v>
      </c>
      <c r="O843" s="74"/>
      <c r="P843" s="74" t="str">
        <f>IFERROR(__xludf.DUMMYFUNCTION("""COMPUTED_VALUE"""),"No Available")</f>
        <v>No Available</v>
      </c>
      <c r="Q843" s="74"/>
      <c r="R843" s="74"/>
      <c r="S843" s="87">
        <f>IFERROR(__xludf.DUMMYFUNCTION("""COMPUTED_VALUE"""),0.0)</f>
        <v>0</v>
      </c>
      <c r="T843" s="87">
        <f>IFERROR(__xludf.DUMMYFUNCTION("""COMPUTED_VALUE"""),0.0)</f>
        <v>0</v>
      </c>
      <c r="U843" s="87">
        <f>IFERROR(__xludf.DUMMYFUNCTION("""COMPUTED_VALUE"""),0.0)</f>
        <v>0</v>
      </c>
      <c r="V843" s="87">
        <f>IFERROR(__xludf.DUMMYFUNCTION("""COMPUTED_VALUE"""),0.0)</f>
        <v>0</v>
      </c>
      <c r="W843" s="87">
        <f>IFERROR(__xludf.DUMMYFUNCTION("""COMPUTED_VALUE"""),0.0)</f>
        <v>0</v>
      </c>
      <c r="X843" s="88"/>
      <c r="Y843" s="74"/>
      <c r="Z843" s="74"/>
    </row>
    <row r="844">
      <c r="B844" s="74" t="str">
        <f>IFERROR(__xludf.DUMMYFUNCTION("""COMPUTED_VALUE"""),"1841")</f>
        <v>1841</v>
      </c>
      <c r="C844" s="74" t="str">
        <f>IFERROR(__xludf.DUMMYFUNCTION("""COMPUTED_VALUE"""),"75045880513")</f>
        <v>75045880513</v>
      </c>
      <c r="D844" s="74" t="str">
        <f>IFERROR(__xludf.DUMMYFUNCTION("""COMPUTED_VALUE"""),"\\MCA-S\mk\2_BM\0_BMat\08_PYM\Inventario\excel\Imagen de refacciones\Putzmeister\Buje alojamiento completa 90 nueva generación")</f>
        <v>\\MCA-S\mk\2_BM\0_BMat\08_PYM\Inventario\excel\Imagen de refacciones\Putzmeister\Buje alojamiento completa 90 nueva generación</v>
      </c>
      <c r="E844" s="74" t="str">
        <f>IFERROR(__xludf.DUMMYFUNCTION("""COMPUTED_VALUE"""),"COMPLETE UPPER HOUSING ASSY 90MM ERGONIC")</f>
        <v>COMPLETE UPPER HOUSING ASSY 90MM ERGONIC</v>
      </c>
      <c r="F844" s="74" t="str">
        <f>IFERROR(__xludf.DUMMYFUNCTION("""COMPUTED_VALUE"""),"BUJE ALOJAMIENTO COMPLETA 90MM NUEVA GENERACION")</f>
        <v>BUJE ALOJAMIENTO COMPLETA 90MM NUEVA GENERACION</v>
      </c>
      <c r="G844" s="74"/>
      <c r="H844" s="74" t="str">
        <f>IFERROR(__xludf.DUMMYFUNCTION("""COMPUTED_VALUE"""),"BUJE DE ALOJAMIENTO COMPLETA 90MM NUEVA GENERACIÓN PARA BOMBA DE HORMIGON")</f>
        <v>BUJE DE ALOJAMIENTO COMPLETA 90MM NUEVA GENERACIÓN PARA BOMBA DE HORMIGON</v>
      </c>
      <c r="I844" s="74" t="str">
        <f>IFERROR(__xludf.DUMMYFUNCTION("""COMPUTED_VALUE"""),"519127")</f>
        <v>519127</v>
      </c>
      <c r="J844" s="74"/>
      <c r="K844" s="74" t="str">
        <f>IFERROR(__xludf.DUMMYFUNCTION("""COMPUTED_VALUE"""),"Putzmeister")</f>
        <v>Putzmeister</v>
      </c>
      <c r="L844" s="74" t="str">
        <f>IFERROR(__xludf.DUMMYFUNCTION("""COMPUTED_VALUE"""),"BARRA V-ROCK")</f>
        <v>BARRA V-ROCK</v>
      </c>
      <c r="M844" s="74" t="str">
        <f>IFERROR(__xludf.DUMMYFUNCTION("""COMPUTED_VALUE"""),"SIN ASIGNAR")</f>
        <v>SIN ASIGNAR</v>
      </c>
      <c r="N844" s="87">
        <f>IFERROR(__xludf.DUMMYFUNCTION("""COMPUTED_VALUE"""),8453.76)</f>
        <v>8453.76</v>
      </c>
      <c r="O844" s="74">
        <f>IFERROR(__xludf.DUMMYFUNCTION("""COMPUTED_VALUE"""),2.0)</f>
        <v>2</v>
      </c>
      <c r="P844" s="74" t="str">
        <f>IFERROR(__xludf.DUMMYFUNCTION("""COMPUTED_VALUE"""),"In stock")</f>
        <v>In stock</v>
      </c>
      <c r="Q844" s="74"/>
      <c r="R844" s="74"/>
      <c r="S844" s="87">
        <f>IFERROR(__xludf.DUMMYFUNCTION("""COMPUTED_VALUE"""),60.0)</f>
        <v>60</v>
      </c>
      <c r="T844" s="87">
        <f>IFERROR(__xludf.DUMMYFUNCTION("""COMPUTED_VALUE"""),476.0)</f>
        <v>476</v>
      </c>
      <c r="U844" s="87">
        <f>IFERROR(__xludf.DUMMYFUNCTION("""COMPUTED_VALUE"""),456.96)</f>
        <v>456.96</v>
      </c>
      <c r="V844" s="87">
        <f>IFERROR(__xludf.DUMMYFUNCTION("""COMPUTED_VALUE"""),73.5)</f>
        <v>73.5</v>
      </c>
      <c r="W844" s="87">
        <f>IFERROR(__xludf.DUMMYFUNCTION("""COMPUTED_VALUE"""),1378.125)</f>
        <v>1378.125</v>
      </c>
      <c r="X844" s="88">
        <f>IFERROR(__xludf.DUMMYFUNCTION("""COMPUTED_VALUE"""),7.616)</f>
        <v>7.616</v>
      </c>
      <c r="Y844" s="74"/>
      <c r="Z844" s="74"/>
    </row>
    <row r="845">
      <c r="B845" s="74" t="str">
        <f>IFERROR(__xludf.DUMMYFUNCTION("""COMPUTED_VALUE"""),"1842")</f>
        <v>1842</v>
      </c>
      <c r="C845" s="74" t="str">
        <f>IFERROR(__xludf.DUMMYFUNCTION("""COMPUTED_VALUE"""),"75045880330")</f>
        <v>75045880330</v>
      </c>
      <c r="D845" s="74" t="str">
        <f>IFERROR(__xludf.DUMMYFUNCTION("""COMPUTED_VALUE"""),"\\MCA-S\mk\2_BM\0_BMat\08_PYM\Inventario\excel\Imagen de refacciones\Putzmeister\buje du60 - 60mm")</f>
        <v>\\MCA-S\mk\2_BM\0_BMat\08_PYM\Inventario\excel\Imagen de refacciones\Putzmeister\buje du60 - 60mm</v>
      </c>
      <c r="E845" s="74" t="str">
        <f>IFERROR(__xludf.DUMMYFUNCTION("""COMPUTED_VALUE"""),"BUSHING 60MM MIXER SHAFT")</f>
        <v>BUSHING 60MM MIXER SHAFT</v>
      </c>
      <c r="F845" s="74" t="str">
        <f>IFERROR(__xludf.DUMMYFUNCTION("""COMPUTED_VALUE"""),"BUJE DU60 60MM")</f>
        <v>BUJE DU60 60MM</v>
      </c>
      <c r="G845" s="74"/>
      <c r="H845" s="74" t="str">
        <f>IFERROR(__xludf.DUMMYFUNCTION("""COMPUTED_VALUE"""),"BUJE DU60 60MM PARA BOMBA DE HORMIGON")</f>
        <v>BUJE DU60 60MM PARA BOMBA DE HORMIGON</v>
      </c>
      <c r="I845" s="74" t="str">
        <f>IFERROR(__xludf.DUMMYFUNCTION("""COMPUTED_VALUE"""),"222484006")</f>
        <v>222484006</v>
      </c>
      <c r="J845" s="74"/>
      <c r="K845" s="74" t="str">
        <f>IFERROR(__xludf.DUMMYFUNCTION("""COMPUTED_VALUE"""),"Putzmeister")</f>
        <v>Putzmeister</v>
      </c>
      <c r="L845" s="74"/>
      <c r="M845" s="74" t="str">
        <f>IFERROR(__xludf.DUMMYFUNCTION("""COMPUTED_VALUE"""),"Sin Asignar")</f>
        <v>Sin Asignar</v>
      </c>
      <c r="N845" s="87">
        <f>IFERROR(__xludf.DUMMYFUNCTION("""COMPUTED_VALUE"""),177.6)</f>
        <v>177.6</v>
      </c>
      <c r="O845" s="74">
        <f>IFERROR(__xludf.DUMMYFUNCTION("""COMPUTED_VALUE"""),8.0)</f>
        <v>8</v>
      </c>
      <c r="P845" s="74" t="str">
        <f>IFERROR(__xludf.DUMMYFUNCTION("""COMPUTED_VALUE"""),"In stock")</f>
        <v>In stock</v>
      </c>
      <c r="Q845" s="74"/>
      <c r="R845" s="74"/>
      <c r="S845" s="87">
        <f>IFERROR(__xludf.DUMMYFUNCTION("""COMPUTED_VALUE"""),2.0)</f>
        <v>2</v>
      </c>
      <c r="T845" s="87">
        <f>IFERROR(__xludf.DUMMYFUNCTION("""COMPUTED_VALUE"""),10.0)</f>
        <v>10</v>
      </c>
      <c r="U845" s="87">
        <f>IFERROR(__xludf.DUMMYFUNCTION("""COMPUTED_VALUE"""),9.6)</f>
        <v>9.6</v>
      </c>
      <c r="V845" s="87">
        <f>IFERROR(__xludf.DUMMYFUNCTION("""COMPUTED_VALUE"""),2.45)</f>
        <v>2.45</v>
      </c>
      <c r="W845" s="87">
        <f>IFERROR(__xludf.DUMMYFUNCTION("""COMPUTED_VALUE"""),45.9375)</f>
        <v>45.9375</v>
      </c>
      <c r="X845" s="88">
        <f>IFERROR(__xludf.DUMMYFUNCTION("""COMPUTED_VALUE"""),4.8)</f>
        <v>4.8</v>
      </c>
      <c r="Y845" s="74"/>
      <c r="Z845" s="74"/>
    </row>
    <row r="846">
      <c r="B846" s="74" t="str">
        <f>IFERROR(__xludf.DUMMYFUNCTION("""COMPUTED_VALUE"""),"1843")</f>
        <v>1843</v>
      </c>
      <c r="C846" s="74"/>
      <c r="D846" s="74" t="str">
        <f>IFERROR(__xludf.DUMMYFUNCTION("""COMPUTED_VALUE"""),"\\MCA-S\mk\2_BM\0_BMat\08_PYM\Inventario\excel\Imagen de refacciones\Putzmeister\Bush 100x105x60 DU-B (Ergonomic) _ Casquillo 100x105x60 DU-B (Ergonómico)")</f>
        <v>\\MCA-S\mk\2_BM\0_BMat\08_PYM\Inventario\excel\Imagen de refacciones\Putzmeister\Bush 100x105x60 DU-B (Ergonomic) _ Casquillo 100x105x60 DU-B (Ergonómico)</v>
      </c>
      <c r="E846" s="74"/>
      <c r="F846" s="74" t="str">
        <f>IFERROR(__xludf.DUMMYFUNCTION("""COMPUTED_VALUE"""),"Bush 100x105x60 DU-B (Ergonomic) / Casquillo 100x105x60 DU-B (Ergonómico)")</f>
        <v>Bush 100x105x60 DU-B (Ergonomic) / Casquillo 100x105x60 DU-B (Ergonómico)</v>
      </c>
      <c r="G846" s="74"/>
      <c r="H846" s="74"/>
      <c r="I846" s="74" t="str">
        <f>IFERROR(__xludf.DUMMYFUNCTION("""COMPUTED_VALUE"""),"SOM20508")</f>
        <v>SOM20508</v>
      </c>
      <c r="J846" s="74" t="str">
        <f>IFERROR(__xludf.DUMMYFUNCTION("""COMPUTED_VALUE"""),"455706")</f>
        <v>455706</v>
      </c>
      <c r="K846" s="74" t="str">
        <f>IFERROR(__xludf.DUMMYFUNCTION("""COMPUTED_VALUE"""),"Putzmeister")</f>
        <v>Putzmeister</v>
      </c>
      <c r="L846" s="74" t="str">
        <f>IFERROR(__xludf.DUMMYFUNCTION("""COMPUTED_VALUE"""),"Transmisión Mecánica")</f>
        <v>Transmisión Mecánica</v>
      </c>
      <c r="M846" s="74" t="str">
        <f>IFERROR(__xludf.DUMMYFUNCTION("""COMPUTED_VALUE"""),"Sin Asignar")</f>
        <v>Sin Asignar</v>
      </c>
      <c r="N846" s="87">
        <f>IFERROR(__xludf.DUMMYFUNCTION("""COMPUTED_VALUE"""),0.0)</f>
        <v>0</v>
      </c>
      <c r="O846" s="74"/>
      <c r="P846" s="74" t="str">
        <f>IFERROR(__xludf.DUMMYFUNCTION("""COMPUTED_VALUE"""),"No Available")</f>
        <v>No Available</v>
      </c>
      <c r="Q846" s="74"/>
      <c r="R846" s="74"/>
      <c r="S846" s="87">
        <f>IFERROR(__xludf.DUMMYFUNCTION("""COMPUTED_VALUE"""),0.0)</f>
        <v>0</v>
      </c>
      <c r="T846" s="87">
        <f>IFERROR(__xludf.DUMMYFUNCTION("""COMPUTED_VALUE"""),0.0)</f>
        <v>0</v>
      </c>
      <c r="U846" s="87">
        <f>IFERROR(__xludf.DUMMYFUNCTION("""COMPUTED_VALUE"""),0.0)</f>
        <v>0</v>
      </c>
      <c r="V846" s="87">
        <f>IFERROR(__xludf.DUMMYFUNCTION("""COMPUTED_VALUE"""),0.0)</f>
        <v>0</v>
      </c>
      <c r="W846" s="87">
        <f>IFERROR(__xludf.DUMMYFUNCTION("""COMPUTED_VALUE"""),0.0)</f>
        <v>0</v>
      </c>
      <c r="X846" s="88"/>
      <c r="Y846" s="74"/>
      <c r="Z846" s="74"/>
    </row>
    <row r="847">
      <c r="B847" s="74" t="str">
        <f>IFERROR(__xludf.DUMMYFUNCTION("""COMPUTED_VALUE"""),"1844")</f>
        <v>1844</v>
      </c>
      <c r="C847" s="74" t="str">
        <f>IFERROR(__xludf.DUMMYFUNCTION("""COMPUTED_VALUE"""),"75045880514")</f>
        <v>75045880514</v>
      </c>
      <c r="D847" s="74" t="str">
        <f>IFERROR(__xludf.DUMMYFUNCTION("""COMPUTED_VALUE"""),"\\MCA-S\mk\2_BM\0_BMat\08_PYM\Inventario\excel\Imagen de refacciones\Putzmeister\Cargador para bateria putzmeister")</f>
        <v>\\MCA-S\mk\2_BM\0_BMat\08_PYM\Inventario\excel\Imagen de refacciones\Putzmeister\Cargador para bateria putzmeister</v>
      </c>
      <c r="E847" s="74" t="str">
        <f>IFERROR(__xludf.DUMMYFUNCTION("""COMPUTED_VALUE"""),"BATTERY CHARGER ")</f>
        <v>BATTERY CHARGER </v>
      </c>
      <c r="F847" s="74" t="str">
        <f>IFERROR(__xludf.DUMMYFUNCTION("""COMPUTED_VALUE"""),"CARGADOR PARA BATERIA ")</f>
        <v>CARGADOR PARA BATERIA </v>
      </c>
      <c r="G847" s="74"/>
      <c r="H847" s="74"/>
      <c r="I847" s="74" t="str">
        <f>IFERROR(__xludf.DUMMYFUNCTION("""COMPUTED_VALUE"""),"459061")</f>
        <v>459061</v>
      </c>
      <c r="J847" s="74"/>
      <c r="K847" s="74" t="str">
        <f>IFERROR(__xludf.DUMMYFUNCTION("""COMPUTED_VALUE"""),"Putzmeister")</f>
        <v>Putzmeister</v>
      </c>
      <c r="L847" s="74"/>
      <c r="M847" s="74" t="str">
        <f>IFERROR(__xludf.DUMMYFUNCTION("""COMPUTED_VALUE"""),"Sin Asignar")</f>
        <v>Sin Asignar</v>
      </c>
      <c r="N847" s="87">
        <f>IFERROR(__xludf.DUMMYFUNCTION("""COMPUTED_VALUE"""),9252.96)</f>
        <v>9252.96</v>
      </c>
      <c r="O847" s="74">
        <f>IFERROR(__xludf.DUMMYFUNCTION("""COMPUTED_VALUE"""),2.0)</f>
        <v>2</v>
      </c>
      <c r="P847" s="74" t="str">
        <f>IFERROR(__xludf.DUMMYFUNCTION("""COMPUTED_VALUE"""),"In stock")</f>
        <v>In stock</v>
      </c>
      <c r="Q847" s="74"/>
      <c r="R847" s="74"/>
      <c r="S847" s="87">
        <f>IFERROR(__xludf.DUMMYFUNCTION("""COMPUTED_VALUE"""),70.0)</f>
        <v>70</v>
      </c>
      <c r="T847" s="87">
        <f>IFERROR(__xludf.DUMMYFUNCTION("""COMPUTED_VALUE"""),521.0)</f>
        <v>521</v>
      </c>
      <c r="U847" s="87">
        <f>IFERROR(__xludf.DUMMYFUNCTION("""COMPUTED_VALUE"""),500.15999999999997)</f>
        <v>500.16</v>
      </c>
      <c r="V847" s="87">
        <f>IFERROR(__xludf.DUMMYFUNCTION("""COMPUTED_VALUE"""),85.75)</f>
        <v>85.75</v>
      </c>
      <c r="W847" s="87">
        <f>IFERROR(__xludf.DUMMYFUNCTION("""COMPUTED_VALUE"""),1607.8125)</f>
        <v>1607.8125</v>
      </c>
      <c r="X847" s="88">
        <f>IFERROR(__xludf.DUMMYFUNCTION("""COMPUTED_VALUE"""),7.145142857142857)</f>
        <v>7.145142857</v>
      </c>
      <c r="Y847" s="74"/>
      <c r="Z847" s="74"/>
    </row>
    <row r="848">
      <c r="B848" s="74" t="str">
        <f>IFERROR(__xludf.DUMMYFUNCTION("""COMPUTED_VALUE"""),"1845")</f>
        <v>1845</v>
      </c>
      <c r="C848" s="74" t="str">
        <f>IFERROR(__xludf.DUMMYFUNCTION("""COMPUTED_VALUE"""),"75045880340")</f>
        <v>75045880340</v>
      </c>
      <c r="D848" s="74" t="str">
        <f>IFERROR(__xludf.DUMMYFUNCTION("""COMPUTED_VALUE"""),"\\MCA-S\mk\2_BM\0_BMat\08_PYM\Inventario\excel\Imagen de refacciones\Putzmeister\Casquillo de bronce para palanca oscilante 90mm - chica")</f>
        <v>\\MCA-S\mk\2_BM\0_BMat\08_PYM\Inventario\excel\Imagen de refacciones\Putzmeister\Casquillo de bronce para palanca oscilante 90mm - chica</v>
      </c>
      <c r="E848" s="74" t="str">
        <f>IFERROR(__xludf.DUMMYFUNCTION("""COMPUTED_VALUE"""),"BALL CUP BRONZE 90MM")</f>
        <v>BALL CUP BRONZE 90MM</v>
      </c>
      <c r="F848" s="74" t="str">
        <f>IFERROR(__xludf.DUMMYFUNCTION("""COMPUTED_VALUE"""),"CASQUILLO BRONCE PARA PALANCA OSCILANTE 90mm")</f>
        <v>CASQUILLO BRONCE PARA PALANCA OSCILANTE 90mm</v>
      </c>
      <c r="G848" s="74"/>
      <c r="H848" s="74" t="str">
        <f>IFERROR(__xludf.DUMMYFUNCTION("""COMPUTED_VALUE"""),"CASQUILLO DE BRONCE PARA PALANCA OSCILANTE 90 MM PARA BOMBA DE HORMIGON")</f>
        <v>CASQUILLO DE BRONCE PARA PALANCA OSCILANTE 90 MM PARA BOMBA DE HORMIGON</v>
      </c>
      <c r="I848" s="74" t="str">
        <f>IFERROR(__xludf.DUMMYFUNCTION("""COMPUTED_VALUE"""),"275694005")</f>
        <v>275694005</v>
      </c>
      <c r="J848" s="74"/>
      <c r="K848" s="74" t="str">
        <f>IFERROR(__xludf.DUMMYFUNCTION("""COMPUTED_VALUE"""),"Putzmeister")</f>
        <v>Putzmeister</v>
      </c>
      <c r="L848" s="74" t="str">
        <f>IFERROR(__xludf.DUMMYFUNCTION("""COMPUTED_VALUE"""),"BARRA V-ROCK")</f>
        <v>BARRA V-ROCK</v>
      </c>
      <c r="M848" s="74" t="str">
        <f>IFERROR(__xludf.DUMMYFUNCTION("""COMPUTED_VALUE"""),"CASQUILLOS")</f>
        <v>CASQUILLOS</v>
      </c>
      <c r="N848" s="87">
        <f>IFERROR(__xludf.DUMMYFUNCTION("""COMPUTED_VALUE"""),1260.96)</f>
        <v>1260.96</v>
      </c>
      <c r="O848" s="74">
        <f>IFERROR(__xludf.DUMMYFUNCTION("""COMPUTED_VALUE"""),6.0)</f>
        <v>6</v>
      </c>
      <c r="P848" s="74" t="str">
        <f>IFERROR(__xludf.DUMMYFUNCTION("""COMPUTED_VALUE"""),"In stock")</f>
        <v>In stock</v>
      </c>
      <c r="Q848" s="74"/>
      <c r="R848" s="74"/>
      <c r="S848" s="87">
        <f>IFERROR(__xludf.DUMMYFUNCTION("""COMPUTED_VALUE"""),9.0)</f>
        <v>9</v>
      </c>
      <c r="T848" s="87">
        <f>IFERROR(__xludf.DUMMYFUNCTION("""COMPUTED_VALUE"""),71.0)</f>
        <v>71</v>
      </c>
      <c r="U848" s="87">
        <f>IFERROR(__xludf.DUMMYFUNCTION("""COMPUTED_VALUE"""),68.16)</f>
        <v>68.16</v>
      </c>
      <c r="V848" s="87">
        <f>IFERROR(__xludf.DUMMYFUNCTION("""COMPUTED_VALUE"""),11.025)</f>
        <v>11.025</v>
      </c>
      <c r="W848" s="87">
        <f>IFERROR(__xludf.DUMMYFUNCTION("""COMPUTED_VALUE"""),206.71875)</f>
        <v>206.71875</v>
      </c>
      <c r="X848" s="88">
        <f>IFERROR(__xludf.DUMMYFUNCTION("""COMPUTED_VALUE"""),7.573333333333333)</f>
        <v>7.573333333</v>
      </c>
      <c r="Y848" s="74"/>
      <c r="Z848" s="74"/>
    </row>
    <row r="849">
      <c r="B849" s="74" t="str">
        <f>IFERROR(__xludf.DUMMYFUNCTION("""COMPUTED_VALUE"""),"1846")</f>
        <v>1846</v>
      </c>
      <c r="C849" s="74" t="str">
        <f>IFERROR(__xludf.DUMMYFUNCTION("""COMPUTED_VALUE"""),"75045880426")</f>
        <v>75045880426</v>
      </c>
      <c r="D849" s="74" t="str">
        <f>IFERROR(__xludf.DUMMYFUNCTION("""COMPUTED_VALUE"""),"\\MCA-S\mk\2_BM\0_BMat\08_PYM\Inventario\excel\Imagen de refacciones\Putzmeister\Casquillo de desgaste")</f>
        <v>\\MCA-S\mk\2_BM\0_BMat\08_PYM\Inventario\excel\Imagen de refacciones\Putzmeister\Casquillo de desgaste</v>
      </c>
      <c r="E849" s="74" t="str">
        <f>IFERROR(__xludf.DUMMYFUNCTION("""COMPUTED_VALUE"""),"WEAR SLEEVE")</f>
        <v>WEAR SLEEVE</v>
      </c>
      <c r="F849" s="74" t="str">
        <f>IFERROR(__xludf.DUMMYFUNCTION("""COMPUTED_VALUE"""),"CASQUILLO DESGASTE")</f>
        <v>CASQUILLO DESGASTE</v>
      </c>
      <c r="G849" s="74"/>
      <c r="H849" s="74"/>
      <c r="I849" s="74" t="str">
        <f>IFERROR(__xludf.DUMMYFUNCTION("""COMPUTED_VALUE"""),"228383004")</f>
        <v>228383004</v>
      </c>
      <c r="J849" s="74"/>
      <c r="K849" s="74" t="str">
        <f>IFERROR(__xludf.DUMMYFUNCTION("""COMPUTED_VALUE"""),"Putzmeister")</f>
        <v>Putzmeister</v>
      </c>
      <c r="L849" s="74" t="str">
        <f>IFERROR(__xludf.DUMMYFUNCTION("""COMPUTED_VALUE"""),"BARRA V-ROCK")</f>
        <v>BARRA V-ROCK</v>
      </c>
      <c r="M849" s="74" t="str">
        <f>IFERROR(__xludf.DUMMYFUNCTION("""COMPUTED_VALUE"""),"CASQUILLOS")</f>
        <v>CASQUILLOS</v>
      </c>
      <c r="N849" s="87">
        <f>IFERROR(__xludf.DUMMYFUNCTION("""COMPUTED_VALUE"""),3090.24)</f>
        <v>3090.24</v>
      </c>
      <c r="O849" s="74">
        <f>IFERROR(__xludf.DUMMYFUNCTION("""COMPUTED_VALUE"""),4.0)</f>
        <v>4</v>
      </c>
      <c r="P849" s="74" t="str">
        <f>IFERROR(__xludf.DUMMYFUNCTION("""COMPUTED_VALUE"""),"In stock")</f>
        <v>In stock</v>
      </c>
      <c r="Q849" s="74"/>
      <c r="R849" s="74"/>
      <c r="S849" s="87">
        <f>IFERROR(__xludf.DUMMYFUNCTION("""COMPUTED_VALUE"""),14.0)</f>
        <v>14</v>
      </c>
      <c r="T849" s="87">
        <f>IFERROR(__xludf.DUMMYFUNCTION("""COMPUTED_VALUE"""),174.0)</f>
        <v>174</v>
      </c>
      <c r="U849" s="87">
        <f>IFERROR(__xludf.DUMMYFUNCTION("""COMPUTED_VALUE"""),167.04)</f>
        <v>167.04</v>
      </c>
      <c r="V849" s="87">
        <f>IFERROR(__xludf.DUMMYFUNCTION("""COMPUTED_VALUE"""),17.15)</f>
        <v>17.15</v>
      </c>
      <c r="W849" s="87">
        <f>IFERROR(__xludf.DUMMYFUNCTION("""COMPUTED_VALUE"""),321.5625)</f>
        <v>321.5625</v>
      </c>
      <c r="X849" s="88">
        <f>IFERROR(__xludf.DUMMYFUNCTION("""COMPUTED_VALUE"""),11.93142857142857)</f>
        <v>11.93142857</v>
      </c>
      <c r="Y849" s="74"/>
      <c r="Z849" s="74"/>
    </row>
    <row r="850">
      <c r="B850" s="74" t="str">
        <f>IFERROR(__xludf.DUMMYFUNCTION("""COMPUTED_VALUE"""),"1847")</f>
        <v>1847</v>
      </c>
      <c r="C850" s="74" t="str">
        <f>IFERROR(__xludf.DUMMYFUNCTION("""COMPUTED_VALUE"""),"75045880341")</f>
        <v>75045880341</v>
      </c>
      <c r="D850" s="74" t="str">
        <f>IFERROR(__xludf.DUMMYFUNCTION("""COMPUTED_VALUE"""),"\\MCA-S\mk\2_BM\0_BMat\08_PYM\Inventario\excel\Imagen de refacciones\Putzmeister\casquillo de plástico para palanca oscilante")</f>
        <v>\\MCA-S\mk\2_BM\0_BMat\08_PYM\Inventario\excel\Imagen de refacciones\Putzmeister\casquillo de plástico para palanca oscilante</v>
      </c>
      <c r="E850" s="74" t="str">
        <f>IFERROR(__xludf.DUMMYFUNCTION("""COMPUTED_VALUE""")," BALL CUP NYLON")</f>
        <v> BALL CUP NYLON</v>
      </c>
      <c r="F850" s="74" t="str">
        <f>IFERROR(__xludf.DUMMYFUNCTION("""COMPUTED_VALUE"""),"CASQUILLO PLASTICO PARA PALANCA OSCILANTE")</f>
        <v>CASQUILLO PLASTICO PARA PALANCA OSCILANTE</v>
      </c>
      <c r="G850" s="74"/>
      <c r="H850" s="74" t="str">
        <f>IFERROR(__xludf.DUMMYFUNCTION("""COMPUTED_VALUE"""),"CASQUILLO DE PLÁSTICO PARA PALANCA OSCILANTE PARA BOMBA DE HORMIGON")</f>
        <v>CASQUILLO DE PLÁSTICO PARA PALANCA OSCILANTE PARA BOMBA DE HORMIGON</v>
      </c>
      <c r="I850" s="74" t="str">
        <f>IFERROR(__xludf.DUMMYFUNCTION("""COMPUTED_VALUE"""),"256300004")</f>
        <v>256300004</v>
      </c>
      <c r="J850" s="74"/>
      <c r="K850" s="74" t="str">
        <f>IFERROR(__xludf.DUMMYFUNCTION("""COMPUTED_VALUE"""),"Putzmeister")</f>
        <v>Putzmeister</v>
      </c>
      <c r="L850" s="74" t="str">
        <f>IFERROR(__xludf.DUMMYFUNCTION("""COMPUTED_VALUE"""),"BARRA V-ROCK")</f>
        <v>BARRA V-ROCK</v>
      </c>
      <c r="M850" s="74" t="str">
        <f>IFERROR(__xludf.DUMMYFUNCTION("""COMPUTED_VALUE"""),"CASQUILLOS")</f>
        <v>CASQUILLOS</v>
      </c>
      <c r="N850" s="87">
        <f>IFERROR(__xludf.DUMMYFUNCTION("""COMPUTED_VALUE"""),355.2)</f>
        <v>355.2</v>
      </c>
      <c r="O850" s="74">
        <f>IFERROR(__xludf.DUMMYFUNCTION("""COMPUTED_VALUE"""),6.0)</f>
        <v>6</v>
      </c>
      <c r="P850" s="74" t="str">
        <f>IFERROR(__xludf.DUMMYFUNCTION("""COMPUTED_VALUE"""),"In stock")</f>
        <v>In stock</v>
      </c>
      <c r="Q850" s="74"/>
      <c r="R850" s="74"/>
      <c r="S850" s="87">
        <f>IFERROR(__xludf.DUMMYFUNCTION("""COMPUTED_VALUE"""),2.0)</f>
        <v>2</v>
      </c>
      <c r="T850" s="87">
        <f>IFERROR(__xludf.DUMMYFUNCTION("""COMPUTED_VALUE"""),20.0)</f>
        <v>20</v>
      </c>
      <c r="U850" s="87">
        <f>IFERROR(__xludf.DUMMYFUNCTION("""COMPUTED_VALUE"""),19.2)</f>
        <v>19.2</v>
      </c>
      <c r="V850" s="87">
        <f>IFERROR(__xludf.DUMMYFUNCTION("""COMPUTED_VALUE"""),2.45)</f>
        <v>2.45</v>
      </c>
      <c r="W850" s="87">
        <f>IFERROR(__xludf.DUMMYFUNCTION("""COMPUTED_VALUE"""),45.9375)</f>
        <v>45.9375</v>
      </c>
      <c r="X850" s="88">
        <f>IFERROR(__xludf.DUMMYFUNCTION("""COMPUTED_VALUE"""),9.6)</f>
        <v>9.6</v>
      </c>
      <c r="Y850" s="74"/>
      <c r="Z850" s="74"/>
    </row>
    <row r="851">
      <c r="B851" s="74" t="str">
        <f>IFERROR(__xludf.DUMMYFUNCTION("""COMPUTED_VALUE"""),"1848")</f>
        <v>1848</v>
      </c>
      <c r="C851" s="74"/>
      <c r="D851" s="74" t="str">
        <f>IFERROR(__xludf.DUMMYFUNCTION("""COMPUTED_VALUE"""),"\\MCA-S\mk\2_BM\0_BMat\08_PYM\Inventario\excel\Imagen de refacciones\Putzmeister\Charge Pump DPV25 _ Bomba de Carga DPV25")</f>
        <v>\\MCA-S\mk\2_BM\0_BMat\08_PYM\Inventario\excel\Imagen de refacciones\Putzmeister\Charge Pump DPV25 _ Bomba de Carga DPV25</v>
      </c>
      <c r="E851" s="74"/>
      <c r="F851" s="74" t="str">
        <f>IFERROR(__xludf.DUMMYFUNCTION("""COMPUTED_VALUE"""),"Charge Pump DPV25 / Bomba de Carga DPV25")</f>
        <v>Charge Pump DPV25 / Bomba de Carga DPV25</v>
      </c>
      <c r="G851" s="74"/>
      <c r="H851" s="74"/>
      <c r="I851" s="74" t="str">
        <f>IFERROR(__xludf.DUMMYFUNCTION("""COMPUTED_VALUE"""),"SOM20557")</f>
        <v>SOM20557</v>
      </c>
      <c r="J851" s="74" t="str">
        <f>IFERROR(__xludf.DUMMYFUNCTION("""COMPUTED_VALUE"""),"271548003")</f>
        <v>271548003</v>
      </c>
      <c r="K851" s="74" t="str">
        <f>IFERROR(__xludf.DUMMYFUNCTION("""COMPUTED_VALUE"""),"Putzmeister")</f>
        <v>Putzmeister</v>
      </c>
      <c r="L851" s="74" t="str">
        <f>IFERROR(__xludf.DUMMYFUNCTION("""COMPUTED_VALUE"""),"Sistema de Bombeo de Concreto")</f>
        <v>Sistema de Bombeo de Concreto</v>
      </c>
      <c r="M851" s="74" t="str">
        <f>IFERROR(__xludf.DUMMYFUNCTION("""COMPUTED_VALUE"""),"Sin Asignar")</f>
        <v>Sin Asignar</v>
      </c>
      <c r="N851" s="87">
        <f>IFERROR(__xludf.DUMMYFUNCTION("""COMPUTED_VALUE"""),0.0)</f>
        <v>0</v>
      </c>
      <c r="O851" s="74"/>
      <c r="P851" s="74" t="str">
        <f>IFERROR(__xludf.DUMMYFUNCTION("""COMPUTED_VALUE"""),"No Available")</f>
        <v>No Available</v>
      </c>
      <c r="Q851" s="74"/>
      <c r="R851" s="74"/>
      <c r="S851" s="87">
        <f>IFERROR(__xludf.DUMMYFUNCTION("""COMPUTED_VALUE"""),0.0)</f>
        <v>0</v>
      </c>
      <c r="T851" s="87">
        <f>IFERROR(__xludf.DUMMYFUNCTION("""COMPUTED_VALUE"""),0.0)</f>
        <v>0</v>
      </c>
      <c r="U851" s="87">
        <f>IFERROR(__xludf.DUMMYFUNCTION("""COMPUTED_VALUE"""),0.0)</f>
        <v>0</v>
      </c>
      <c r="V851" s="87">
        <f>IFERROR(__xludf.DUMMYFUNCTION("""COMPUTED_VALUE"""),0.0)</f>
        <v>0</v>
      </c>
      <c r="W851" s="87">
        <f>IFERROR(__xludf.DUMMYFUNCTION("""COMPUTED_VALUE"""),0.0)</f>
        <v>0</v>
      </c>
      <c r="X851" s="88"/>
      <c r="Y851" s="74"/>
      <c r="Z851" s="74"/>
    </row>
    <row r="852">
      <c r="B852" s="74" t="str">
        <f>IFERROR(__xludf.DUMMYFUNCTION("""COMPUTED_VALUE"""),"1849")</f>
        <v>1849</v>
      </c>
      <c r="C852" s="74" t="str">
        <f>IFERROR(__xludf.DUMMYFUNCTION("""COMPUTED_VALUE"""),"75045880342")</f>
        <v>75045880342</v>
      </c>
      <c r="D852" s="74" t="str">
        <f>IFERROR(__xludf.DUMMYFUNCTION("""COMPUTED_VALUE"""),"\\MCA-S\mk\2_BM\0_BMat\08_PYM\Inventario\excel\Imagen de refacciones\Putzmeister\Chumacera (Rubber Buffer)")</f>
        <v>\\MCA-S\mk\2_BM\0_BMat\08_PYM\Inventario\excel\Imagen de refacciones\Putzmeister\Chumacera (Rubber Buffer)</v>
      </c>
      <c r="E852" s="74" t="str">
        <f>IFERROR(__xludf.DUMMYFUNCTION("""COMPUTED_VALUE"""),"RUBBER BUFFER")</f>
        <v>RUBBER BUFFER</v>
      </c>
      <c r="F852" s="74" t="str">
        <f>IFERROR(__xludf.DUMMYFUNCTION("""COMPUTED_VALUE"""),"CHUMACERA")</f>
        <v>CHUMACERA</v>
      </c>
      <c r="G852" s="74"/>
      <c r="H852" s="74" t="str">
        <f>IFERROR(__xludf.DUMMYFUNCTION("""COMPUTED_VALUE"""),"CHUMACERA PARA BOMBA DE HORMIGON")</f>
        <v>CHUMACERA PARA BOMBA DE HORMIGON</v>
      </c>
      <c r="I852" s="74" t="str">
        <f>IFERROR(__xludf.DUMMYFUNCTION("""COMPUTED_VALUE"""),"19137003")</f>
        <v>19137003</v>
      </c>
      <c r="J852" s="74"/>
      <c r="K852" s="74" t="str">
        <f>IFERROR(__xludf.DUMMYFUNCTION("""COMPUTED_VALUE"""),"Putzmeister")</f>
        <v>Putzmeister</v>
      </c>
      <c r="L852" s="74"/>
      <c r="M852" s="74" t="str">
        <f>IFERROR(__xludf.DUMMYFUNCTION("""COMPUTED_VALUE"""),"Sin Asignar")</f>
        <v>Sin Asignar</v>
      </c>
      <c r="N852" s="87">
        <f>IFERROR(__xludf.DUMMYFUNCTION("""COMPUTED_VALUE"""),390.71999999999997)</f>
        <v>390.72</v>
      </c>
      <c r="O852" s="74">
        <f>IFERROR(__xludf.DUMMYFUNCTION("""COMPUTED_VALUE"""),6.0)</f>
        <v>6</v>
      </c>
      <c r="P852" s="74" t="str">
        <f>IFERROR(__xludf.DUMMYFUNCTION("""COMPUTED_VALUE"""),"In stock")</f>
        <v>In stock</v>
      </c>
      <c r="Q852" s="74"/>
      <c r="R852" s="74"/>
      <c r="S852" s="87">
        <f>IFERROR(__xludf.DUMMYFUNCTION("""COMPUTED_VALUE"""),6.5)</f>
        <v>6.5</v>
      </c>
      <c r="T852" s="87">
        <f>IFERROR(__xludf.DUMMYFUNCTION("""COMPUTED_VALUE"""),22.0)</f>
        <v>22</v>
      </c>
      <c r="U852" s="87">
        <f>IFERROR(__xludf.DUMMYFUNCTION("""COMPUTED_VALUE"""),21.119999999999997)</f>
        <v>21.12</v>
      </c>
      <c r="V852" s="87">
        <f>IFERROR(__xludf.DUMMYFUNCTION("""COMPUTED_VALUE"""),7.9625)</f>
        <v>7.9625</v>
      </c>
      <c r="W852" s="87">
        <f>IFERROR(__xludf.DUMMYFUNCTION("""COMPUTED_VALUE"""),149.296875)</f>
        <v>149.296875</v>
      </c>
      <c r="X852" s="88">
        <f>IFERROR(__xludf.DUMMYFUNCTION("""COMPUTED_VALUE"""),3.2492307692307687)</f>
        <v>3.249230769</v>
      </c>
      <c r="Y852" s="74"/>
      <c r="Z852" s="74"/>
    </row>
    <row r="853">
      <c r="B853" s="74" t="str">
        <f>IFERROR(__xludf.DUMMYFUNCTION("""COMPUTED_VALUE"""),"1850")</f>
        <v>1850</v>
      </c>
      <c r="C853" s="74" t="str">
        <f>IFERROR(__xludf.DUMMYFUNCTION("""COMPUTED_VALUE"""),"75045880427")</f>
        <v>75045880427</v>
      </c>
      <c r="D853" s="74" t="str">
        <f>IFERROR(__xludf.DUMMYFUNCTION("""COMPUTED_VALUE"""),"\\MCA-S\mk\2_BM\0_BMat\08_PYM\Inventario\excel\Imagen de refacciones\Putzmeister\Cilindro de cambio gato buzo 80mm")</f>
        <v>\\MCA-S\mk\2_BM\0_BMat\08_PYM\Inventario\excel\Imagen de refacciones\Putzmeister\Cilindro de cambio gato buzo 80mm</v>
      </c>
      <c r="E853" s="74"/>
      <c r="F853" s="74" t="str">
        <f>IFERROR(__xludf.DUMMYFUNCTION("""COMPUTED_VALUE"""),"Cilindro de cambio gato buzo 80mm")</f>
        <v>Cilindro de cambio gato buzo 80mm</v>
      </c>
      <c r="G853" s="74"/>
      <c r="H853" s="74"/>
      <c r="I853" s="74" t="str">
        <f>IFERROR(__xludf.DUMMYFUNCTION("""COMPUTED_VALUE"""),"C40224401")</f>
        <v>C40224401</v>
      </c>
      <c r="J853" s="74"/>
      <c r="K853" s="74" t="str">
        <f>IFERROR(__xludf.DUMMYFUNCTION("""COMPUTED_VALUE"""),"Putzmeister")</f>
        <v>Putzmeister</v>
      </c>
      <c r="L853" s="74"/>
      <c r="M853" s="74" t="str">
        <f>IFERROR(__xludf.DUMMYFUNCTION("""COMPUTED_VALUE"""),"Sin Asignar")</f>
        <v>Sin Asignar</v>
      </c>
      <c r="N853" s="87">
        <f>IFERROR(__xludf.DUMMYFUNCTION("""COMPUTED_VALUE"""),0.0)</f>
        <v>0</v>
      </c>
      <c r="O853" s="74"/>
      <c r="P853" s="74" t="str">
        <f>IFERROR(__xludf.DUMMYFUNCTION("""COMPUTED_VALUE"""),"No Available")</f>
        <v>No Available</v>
      </c>
      <c r="Q853" s="74"/>
      <c r="R853" s="74"/>
      <c r="S853" s="87">
        <f>IFERROR(__xludf.DUMMYFUNCTION("""COMPUTED_VALUE"""),0.0)</f>
        <v>0</v>
      </c>
      <c r="T853" s="87">
        <f>IFERROR(__xludf.DUMMYFUNCTION("""COMPUTED_VALUE"""),0.0)</f>
        <v>0</v>
      </c>
      <c r="U853" s="87">
        <f>IFERROR(__xludf.DUMMYFUNCTION("""COMPUTED_VALUE"""),0.0)</f>
        <v>0</v>
      </c>
      <c r="V853" s="87">
        <f>IFERROR(__xludf.DUMMYFUNCTION("""COMPUTED_VALUE"""),0.0)</f>
        <v>0</v>
      </c>
      <c r="W853" s="87">
        <f>IFERROR(__xludf.DUMMYFUNCTION("""COMPUTED_VALUE"""),0.0)</f>
        <v>0</v>
      </c>
      <c r="X853" s="88"/>
      <c r="Y853" s="74"/>
      <c r="Z853" s="74"/>
    </row>
    <row r="854">
      <c r="B854" s="74" t="str">
        <f>IFERROR(__xludf.DUMMYFUNCTION("""COMPUTED_VALUE"""),"1851")</f>
        <v>1851</v>
      </c>
      <c r="C854" s="74"/>
      <c r="D854" s="74" t="str">
        <f>IFERROR(__xludf.DUMMYFUNCTION("""COMPUTED_VALUE"""),"\\MCA-S\mk\2_BM\0_BMat\08_PYM\Inventario\excel\Imagen de refacciones\Putzmeister\Circlip _ Anillo de Retención")</f>
        <v>\\MCA-S\mk\2_BM\0_BMat\08_PYM\Inventario\excel\Imagen de refacciones\Putzmeister\Circlip _ Anillo de Retención</v>
      </c>
      <c r="E854" s="74"/>
      <c r="F854" s="74" t="str">
        <f>IFERROR(__xludf.DUMMYFUNCTION("""COMPUTED_VALUE"""),"Circlip / Anillo de Retención")</f>
        <v>Circlip / Anillo de Retención</v>
      </c>
      <c r="G854" s="74"/>
      <c r="H854" s="74"/>
      <c r="I854" s="74" t="str">
        <f>IFERROR(__xludf.DUMMYFUNCTION("""COMPUTED_VALUE"""),"SOM20517")</f>
        <v>SOM20517</v>
      </c>
      <c r="J854" s="74" t="str">
        <f>IFERROR(__xludf.DUMMYFUNCTION("""COMPUTED_VALUE"""),"18878004")</f>
        <v>18878004</v>
      </c>
      <c r="K854" s="74" t="str">
        <f>IFERROR(__xludf.DUMMYFUNCTION("""COMPUTED_VALUE"""),"Putzmeister")</f>
        <v>Putzmeister</v>
      </c>
      <c r="L854" s="74" t="str">
        <f>IFERROR(__xludf.DUMMYFUNCTION("""COMPUTED_VALUE"""),"Componentes Estructurales y de Montaje")</f>
        <v>Componentes Estructurales y de Montaje</v>
      </c>
      <c r="M854" s="74" t="str">
        <f>IFERROR(__xludf.DUMMYFUNCTION("""COMPUTED_VALUE"""),"Sin Asignar")</f>
        <v>Sin Asignar</v>
      </c>
      <c r="N854" s="87">
        <f>IFERROR(__xludf.DUMMYFUNCTION("""COMPUTED_VALUE"""),0.0)</f>
        <v>0</v>
      </c>
      <c r="O854" s="74"/>
      <c r="P854" s="74" t="str">
        <f>IFERROR(__xludf.DUMMYFUNCTION("""COMPUTED_VALUE"""),"No Available")</f>
        <v>No Available</v>
      </c>
      <c r="Q854" s="74"/>
      <c r="R854" s="74"/>
      <c r="S854" s="87">
        <f>IFERROR(__xludf.DUMMYFUNCTION("""COMPUTED_VALUE"""),0.0)</f>
        <v>0</v>
      </c>
      <c r="T854" s="87">
        <f>IFERROR(__xludf.DUMMYFUNCTION("""COMPUTED_VALUE"""),0.0)</f>
        <v>0</v>
      </c>
      <c r="U854" s="87">
        <f>IFERROR(__xludf.DUMMYFUNCTION("""COMPUTED_VALUE"""),0.0)</f>
        <v>0</v>
      </c>
      <c r="V854" s="87">
        <f>IFERROR(__xludf.DUMMYFUNCTION("""COMPUTED_VALUE"""),0.0)</f>
        <v>0</v>
      </c>
      <c r="W854" s="87">
        <f>IFERROR(__xludf.DUMMYFUNCTION("""COMPUTED_VALUE"""),0.0)</f>
        <v>0</v>
      </c>
      <c r="X854" s="88"/>
      <c r="Y854" s="74"/>
      <c r="Z854" s="74"/>
    </row>
    <row r="855">
      <c r="B855" s="74" t="str">
        <f>IFERROR(__xludf.DUMMYFUNCTION("""COMPUTED_VALUE"""),"1852")</f>
        <v>1852</v>
      </c>
      <c r="C855" s="74"/>
      <c r="D855" s="74" t="str">
        <f>IFERROR(__xludf.DUMMYFUNCTION("""COMPUTED_VALUE"""),"\\MCA-S\mk\2_BM\0_BMat\08_PYM\Inventario\excel\Imagen de refacciones\Putzmeister\Clamp Flange _ Brida de Sujeción")</f>
        <v>\\MCA-S\mk\2_BM\0_BMat\08_PYM\Inventario\excel\Imagen de refacciones\Putzmeister\Clamp Flange _ Brida de Sujeción</v>
      </c>
      <c r="E855" s="74"/>
      <c r="F855" s="74" t="str">
        <f>IFERROR(__xludf.DUMMYFUNCTION("""COMPUTED_VALUE"""),"Clamp Flange / Brida de Sujeción")</f>
        <v>Clamp Flange / Brida de Sujeción</v>
      </c>
      <c r="G855" s="74"/>
      <c r="H855" s="74"/>
      <c r="I855" s="74" t="str">
        <f>IFERROR(__xludf.DUMMYFUNCTION("""COMPUTED_VALUE"""),"SOM20545")</f>
        <v>SOM20545</v>
      </c>
      <c r="J855" s="74" t="str">
        <f>IFERROR(__xludf.DUMMYFUNCTION("""COMPUTED_VALUE"""),"262325005")</f>
        <v>262325005</v>
      </c>
      <c r="K855" s="74" t="str">
        <f>IFERROR(__xludf.DUMMYFUNCTION("""COMPUTED_VALUE"""),"Putzmeister")</f>
        <v>Putzmeister</v>
      </c>
      <c r="L855" s="74" t="str">
        <f>IFERROR(__xludf.DUMMYFUNCTION("""COMPUTED_VALUE"""),"Componentes Estructurales y de Montaje")</f>
        <v>Componentes Estructurales y de Montaje</v>
      </c>
      <c r="M855" s="74" t="str">
        <f>IFERROR(__xludf.DUMMYFUNCTION("""COMPUTED_VALUE"""),"Sin Asignar")</f>
        <v>Sin Asignar</v>
      </c>
      <c r="N855" s="87">
        <f>IFERROR(__xludf.DUMMYFUNCTION("""COMPUTED_VALUE"""),0.0)</f>
        <v>0</v>
      </c>
      <c r="O855" s="74"/>
      <c r="P855" s="74" t="str">
        <f>IFERROR(__xludf.DUMMYFUNCTION("""COMPUTED_VALUE"""),"No Available")</f>
        <v>No Available</v>
      </c>
      <c r="Q855" s="74"/>
      <c r="R855" s="74"/>
      <c r="S855" s="87">
        <f>IFERROR(__xludf.DUMMYFUNCTION("""COMPUTED_VALUE"""),0.0)</f>
        <v>0</v>
      </c>
      <c r="T855" s="87">
        <f>IFERROR(__xludf.DUMMYFUNCTION("""COMPUTED_VALUE"""),0.0)</f>
        <v>0</v>
      </c>
      <c r="U855" s="87">
        <f>IFERROR(__xludf.DUMMYFUNCTION("""COMPUTED_VALUE"""),0.0)</f>
        <v>0</v>
      </c>
      <c r="V855" s="87">
        <f>IFERROR(__xludf.DUMMYFUNCTION("""COMPUTED_VALUE"""),0.0)</f>
        <v>0</v>
      </c>
      <c r="W855" s="87">
        <f>IFERROR(__xludf.DUMMYFUNCTION("""COMPUTED_VALUE"""),0.0)</f>
        <v>0</v>
      </c>
      <c r="X855" s="88"/>
      <c r="Y855" s="74"/>
      <c r="Z855" s="74"/>
    </row>
    <row r="856">
      <c r="B856" s="74" t="str">
        <f>IFERROR(__xludf.DUMMYFUNCTION("""COMPUTED_VALUE"""),"1853")</f>
        <v>1853</v>
      </c>
      <c r="C856" s="74"/>
      <c r="D856" s="74"/>
      <c r="E856" s="74"/>
      <c r="F856" s="74" t="str">
        <f>IFERROR(__xludf.DUMMYFUNCTION("""COMPUTED_VALUE"""),"COMPUERTA DE LA TOLVA ")</f>
        <v>COMPUERTA DE LA TOLVA </v>
      </c>
      <c r="G856" s="74"/>
      <c r="H856" s="74"/>
      <c r="I856" s="74" t="str">
        <f>IFERROR(__xludf.DUMMYFUNCTION("""COMPUTED_VALUE"""),"10080782")</f>
        <v>10080782</v>
      </c>
      <c r="J856" s="74"/>
      <c r="K856" s="74" t="str">
        <f>IFERROR(__xludf.DUMMYFUNCTION("""COMPUTED_VALUE"""),"Putzmeister")</f>
        <v>Putzmeister</v>
      </c>
      <c r="L856" s="74"/>
      <c r="M856" s="74" t="str">
        <f>IFERROR(__xludf.DUMMYFUNCTION("""COMPUTED_VALUE"""),"Sin Asignar")</f>
        <v>Sin Asignar</v>
      </c>
      <c r="N856" s="87">
        <f>IFERROR(__xludf.DUMMYFUNCTION("""COMPUTED_VALUE"""),0.0)</f>
        <v>0</v>
      </c>
      <c r="O856" s="74"/>
      <c r="P856" s="74" t="str">
        <f>IFERROR(__xludf.DUMMYFUNCTION("""COMPUTED_VALUE"""),"borrar")</f>
        <v>borrar</v>
      </c>
      <c r="Q856" s="74"/>
      <c r="R856" s="74"/>
      <c r="S856" s="87">
        <f>IFERROR(__xludf.DUMMYFUNCTION("""COMPUTED_VALUE"""),0.0)</f>
        <v>0</v>
      </c>
      <c r="T856" s="87">
        <f>IFERROR(__xludf.DUMMYFUNCTION("""COMPUTED_VALUE"""),0.0)</f>
        <v>0</v>
      </c>
      <c r="U856" s="87">
        <f>IFERROR(__xludf.DUMMYFUNCTION("""COMPUTED_VALUE"""),0.0)</f>
        <v>0</v>
      </c>
      <c r="V856" s="87">
        <f>IFERROR(__xludf.DUMMYFUNCTION("""COMPUTED_VALUE"""),0.0)</f>
        <v>0</v>
      </c>
      <c r="W856" s="87">
        <f>IFERROR(__xludf.DUMMYFUNCTION("""COMPUTED_VALUE"""),0.0)</f>
        <v>0</v>
      </c>
      <c r="X856" s="88"/>
      <c r="Y856" s="74"/>
      <c r="Z856" s="74"/>
    </row>
    <row r="857">
      <c r="B857" s="74" t="str">
        <f>IFERROR(__xludf.DUMMYFUNCTION("""COMPUTED_VALUE"""),"1854")</f>
        <v>1854</v>
      </c>
      <c r="C857" s="74" t="str">
        <f>IFERROR(__xludf.DUMMYFUNCTION("""COMPUTED_VALUE"""),"75045880531")</f>
        <v>75045880531</v>
      </c>
      <c r="D857" s="74" t="str">
        <f>IFERROR(__xludf.DUMMYFUNCTION("""COMPUTED_VALUE"""),"\\MCA-S\mk\2_BM\0_BMat\08_PYM\Inventario\excel\Imagen de refacciones\Putzmeister\Compuerta de la tolva")</f>
        <v>\\MCA-S\mk\2_BM\0_BMat\08_PYM\Inventario\excel\Imagen de refacciones\Putzmeister\Compuerta de la tolva</v>
      </c>
      <c r="E857" s="74" t="str">
        <f>IFERROR(__xludf.DUMMYFUNCTION("""COMPUTED_VALUE"""),"HOPPER COVER SLIDE")</f>
        <v>HOPPER COVER SLIDE</v>
      </c>
      <c r="F857" s="74" t="str">
        <f>IFERROR(__xludf.DUMMYFUNCTION("""COMPUTED_VALUE"""),"COMPUERTA DE LA TOLVA")</f>
        <v>COMPUERTA DE LA TOLVA</v>
      </c>
      <c r="G857" s="74"/>
      <c r="H857" s="74" t="str">
        <f>IFERROR(__xludf.DUMMYFUNCTION("""COMPUTED_VALUE"""),"COMPUERTA DE LA TOLVA PARA BOMBA DE HORMIGON")</f>
        <v>COMPUERTA DE LA TOLVA PARA BOMBA DE HORMIGON</v>
      </c>
      <c r="I857" s="74" t="str">
        <f>IFERROR(__xludf.DUMMYFUNCTION("""COMPUTED_VALUE"""),"242334000")</f>
        <v>242334000</v>
      </c>
      <c r="J857" s="74"/>
      <c r="K857" s="74" t="str">
        <f>IFERROR(__xludf.DUMMYFUNCTION("""COMPUTED_VALUE"""),"Putzmeister")</f>
        <v>Putzmeister</v>
      </c>
      <c r="L857" s="74" t="str">
        <f>IFERROR(__xludf.DUMMYFUNCTION("""COMPUTED_VALUE"""),"BARRA V-ROCK")</f>
        <v>BARRA V-ROCK</v>
      </c>
      <c r="M857" s="74" t="str">
        <f>IFERROR(__xludf.DUMMYFUNCTION("""COMPUTED_VALUE"""),"ACCESORIOS ")</f>
        <v>ACCESORIOS </v>
      </c>
      <c r="N857" s="87">
        <f>IFERROR(__xludf.DUMMYFUNCTION("""COMPUTED_VALUE"""),4475.5199999999995)</f>
        <v>4475.52</v>
      </c>
      <c r="O857" s="74">
        <f>IFERROR(__xludf.DUMMYFUNCTION("""COMPUTED_VALUE"""),3.0)</f>
        <v>3</v>
      </c>
      <c r="P857" s="74" t="str">
        <f>IFERROR(__xludf.DUMMYFUNCTION("""COMPUTED_VALUE"""),"In stock")</f>
        <v>In stock</v>
      </c>
      <c r="Q857" s="74"/>
      <c r="R857" s="74"/>
      <c r="S857" s="87">
        <f>IFERROR(__xludf.DUMMYFUNCTION("""COMPUTED_VALUE"""),50.0)</f>
        <v>50</v>
      </c>
      <c r="T857" s="87">
        <f>IFERROR(__xludf.DUMMYFUNCTION("""COMPUTED_VALUE"""),252.0)</f>
        <v>252</v>
      </c>
      <c r="U857" s="87">
        <f>IFERROR(__xludf.DUMMYFUNCTION("""COMPUTED_VALUE"""),241.92)</f>
        <v>241.92</v>
      </c>
      <c r="V857" s="87">
        <f>IFERROR(__xludf.DUMMYFUNCTION("""COMPUTED_VALUE"""),61.25)</f>
        <v>61.25</v>
      </c>
      <c r="W857" s="87">
        <f>IFERROR(__xludf.DUMMYFUNCTION("""COMPUTED_VALUE"""),1148.4375)</f>
        <v>1148.4375</v>
      </c>
      <c r="X857" s="88">
        <f>IFERROR(__xludf.DUMMYFUNCTION("""COMPUTED_VALUE"""),4.8384)</f>
        <v>4.8384</v>
      </c>
      <c r="Y857" s="74"/>
      <c r="Z857" s="74"/>
    </row>
    <row r="858">
      <c r="B858" s="74" t="str">
        <f>IFERROR(__xludf.DUMMYFUNCTION("""COMPUTED_VALUE"""),"1855")</f>
        <v>1855</v>
      </c>
      <c r="C858" s="74" t="str">
        <f>IFERROR(__xludf.DUMMYFUNCTION("""COMPUTED_VALUE"""),"75045880515")</f>
        <v>75045880515</v>
      </c>
      <c r="D858" s="74" t="str">
        <f>IFERROR(__xludf.DUMMYFUNCTION("""COMPUTED_VALUE"""),"\\MCA-S\mk\2_BM\0_BMat\08_PYM\Inventario\excel\Imagen de refacciones\Putzmeister\conector émbolo")</f>
        <v>\\MCA-S\mk\2_BM\0_BMat\08_PYM\Inventario\excel\Imagen de refacciones\Putzmeister\conector émbolo</v>
      </c>
      <c r="E858" s="74" t="str">
        <f>IFERROR(__xludf.DUMMYFUNCTION("""COMPUTED_VALUE"""),"SPACER CONNECTOR PISTON CONNECTOR")</f>
        <v>SPACER CONNECTOR PISTON CONNECTOR</v>
      </c>
      <c r="F858" s="74" t="str">
        <f>IFERROR(__xludf.DUMMYFUNCTION("""COMPUTED_VALUE"""),"CONECTOR EMBOLO ESPACIADOR")</f>
        <v>CONECTOR EMBOLO ESPACIADOR</v>
      </c>
      <c r="G858" s="74"/>
      <c r="H858" s="74" t="str">
        <f>IFERROR(__xludf.DUMMYFUNCTION("""COMPUTED_VALUE"""),"CONECTOR EMBOLO PARA BOMBA DE HORMIGON")</f>
        <v>CONECTOR EMBOLO PARA BOMBA DE HORMIGON</v>
      </c>
      <c r="I858" s="74" t="str">
        <f>IFERROR(__xludf.DUMMYFUNCTION("""COMPUTED_VALUE"""),"401503")</f>
        <v>401503</v>
      </c>
      <c r="J858" s="74"/>
      <c r="K858" s="74" t="str">
        <f>IFERROR(__xludf.DUMMYFUNCTION("""COMPUTED_VALUE"""),"Putzmeister")</f>
        <v>Putzmeister</v>
      </c>
      <c r="L858" s="74" t="str">
        <f>IFERROR(__xludf.DUMMYFUNCTION("""COMPUTED_VALUE"""),"SISTEMA DE BOMBEO")</f>
        <v>SISTEMA DE BOMBEO</v>
      </c>
      <c r="M858" s="74" t="str">
        <f>IFERROR(__xludf.DUMMYFUNCTION("""COMPUTED_VALUE"""),"PISTONES")</f>
        <v>PISTONES</v>
      </c>
      <c r="N858" s="87">
        <f>IFERROR(__xludf.DUMMYFUNCTION("""COMPUTED_VALUE"""),2504.16)</f>
        <v>2504.16</v>
      </c>
      <c r="O858" s="74">
        <f>IFERROR(__xludf.DUMMYFUNCTION("""COMPUTED_VALUE"""),2.0)</f>
        <v>2</v>
      </c>
      <c r="P858" s="74" t="str">
        <f>IFERROR(__xludf.DUMMYFUNCTION("""COMPUTED_VALUE"""),"In stock")</f>
        <v>In stock</v>
      </c>
      <c r="Q858" s="74"/>
      <c r="R858" s="74"/>
      <c r="S858" s="87">
        <f>IFERROR(__xludf.DUMMYFUNCTION("""COMPUTED_VALUE"""),38.0)</f>
        <v>38</v>
      </c>
      <c r="T858" s="87">
        <f>IFERROR(__xludf.DUMMYFUNCTION("""COMPUTED_VALUE"""),141.0)</f>
        <v>141</v>
      </c>
      <c r="U858" s="87">
        <f>IFERROR(__xludf.DUMMYFUNCTION("""COMPUTED_VALUE"""),135.35999999999999)</f>
        <v>135.36</v>
      </c>
      <c r="V858" s="87">
        <f>IFERROR(__xludf.DUMMYFUNCTION("""COMPUTED_VALUE"""),46.55)</f>
        <v>46.55</v>
      </c>
      <c r="W858" s="87">
        <f>IFERROR(__xludf.DUMMYFUNCTION("""COMPUTED_VALUE"""),872.8125)</f>
        <v>872.8125</v>
      </c>
      <c r="X858" s="88">
        <f>IFERROR(__xludf.DUMMYFUNCTION("""COMPUTED_VALUE"""),3.5621052631578944)</f>
        <v>3.562105263</v>
      </c>
      <c r="Y858" s="74"/>
      <c r="Z858" s="74"/>
    </row>
    <row r="859">
      <c r="B859" s="74" t="str">
        <f>IFERROR(__xludf.DUMMYFUNCTION("""COMPUTED_VALUE"""),"1856")</f>
        <v>1856</v>
      </c>
      <c r="C859" s="74"/>
      <c r="D859" s="74" t="str">
        <f>IFERROR(__xludf.DUMMYFUNCTION("""COMPUTED_VALUE"""),"\\MCA-S\mk\2_BM\0_BMat\08_PYM\Inventario\excel\Imagen de refacciones\Putzmeister\Control remoto amarillo de 4 brazos")</f>
        <v>\\MCA-S\mk\2_BM\0_BMat\08_PYM\Inventario\excel\Imagen de refacciones\Putzmeister\Control remoto amarillo de 4 brazos</v>
      </c>
      <c r="E859" s="74"/>
      <c r="F859" s="74" t="str">
        <f>IFERROR(__xludf.DUMMYFUNCTION("""COMPUTED_VALUE"""),"CONTROLADOR DE CAMION DE BOMBA DE HORMIGON")</f>
        <v>CONTROLADOR DE CAMION DE BOMBA DE HORMIGON</v>
      </c>
      <c r="G859" s="74"/>
      <c r="H859" s="74"/>
      <c r="I859" s="74" t="str">
        <f>IFERROR(__xludf.DUMMYFUNCTION("""COMPUTED_VALUE"""),"A053273")</f>
        <v>A053273</v>
      </c>
      <c r="J859" s="74"/>
      <c r="K859" s="74" t="str">
        <f>IFERROR(__xludf.DUMMYFUNCTION("""COMPUTED_VALUE"""),"Putzmeister")</f>
        <v>Putzmeister</v>
      </c>
      <c r="L859" s="74"/>
      <c r="M859" s="74" t="str">
        <f>IFERROR(__xludf.DUMMYFUNCTION("""COMPUTED_VALUE"""),"Sin Asignar")</f>
        <v>Sin Asignar</v>
      </c>
      <c r="N859" s="87">
        <f>IFERROR(__xludf.DUMMYFUNCTION("""COMPUTED_VALUE"""),0.0)</f>
        <v>0</v>
      </c>
      <c r="O859" s="74"/>
      <c r="P859" s="74" t="str">
        <f>IFERROR(__xludf.DUMMYFUNCTION("""COMPUTED_VALUE"""),"No Available")</f>
        <v>No Available</v>
      </c>
      <c r="Q859" s="74"/>
      <c r="R859" s="74"/>
      <c r="S859" s="87">
        <f>IFERROR(__xludf.DUMMYFUNCTION("""COMPUTED_VALUE"""),0.0)</f>
        <v>0</v>
      </c>
      <c r="T859" s="87">
        <f>IFERROR(__xludf.DUMMYFUNCTION("""COMPUTED_VALUE"""),0.0)</f>
        <v>0</v>
      </c>
      <c r="U859" s="87">
        <f>IFERROR(__xludf.DUMMYFUNCTION("""COMPUTED_VALUE"""),0.0)</f>
        <v>0</v>
      </c>
      <c r="V859" s="87">
        <f>IFERROR(__xludf.DUMMYFUNCTION("""COMPUTED_VALUE"""),0.0)</f>
        <v>0</v>
      </c>
      <c r="W859" s="87">
        <f>IFERROR(__xludf.DUMMYFUNCTION("""COMPUTED_VALUE"""),0.0)</f>
        <v>0</v>
      </c>
      <c r="X859" s="88"/>
      <c r="Y859" s="74"/>
      <c r="Z859" s="74"/>
    </row>
    <row r="860">
      <c r="B860" s="74" t="str">
        <f>IFERROR(__xludf.DUMMYFUNCTION("""COMPUTED_VALUE"""),"1857")</f>
        <v>1857</v>
      </c>
      <c r="C860" s="74" t="str">
        <f>IFERROR(__xludf.DUMMYFUNCTION("""COMPUTED_VALUE"""),"75045880516")</f>
        <v>75045880516</v>
      </c>
      <c r="D860" s="74" t="str">
        <f>IFERROR(__xludf.DUMMYFUNCTION("""COMPUTED_VALUE"""),"\\MCA-S\mk\2_BM\0_BMat\08_PYM\Inventario\excel\Imagen de refacciones\Putzmeister\Control remoto rojo de 3 brazos")</f>
        <v>\\MCA-S\mk\2_BM\0_BMat\08_PYM\Inventario\excel\Imagen de refacciones\Putzmeister\Control remoto rojo de 3 brazos</v>
      </c>
      <c r="E860" s="74" t="str">
        <f>IFERROR(__xludf.DUMMYFUNCTION("""COMPUTED_VALUE"""),"ERGONIC REMOTE CONTROL")</f>
        <v>ERGONIC REMOTE CONTROL</v>
      </c>
      <c r="F860" s="74" t="str">
        <f>IFERROR(__xludf.DUMMYFUNCTION("""COMPUTED_VALUE"""),"CONTROL REMOTO ROJO 3 BRAZOS")</f>
        <v>CONTROL REMOTO ROJO 3 BRAZOS</v>
      </c>
      <c r="G860" s="74"/>
      <c r="H860" s="74"/>
      <c r="I860" s="74" t="str">
        <f>IFERROR(__xludf.DUMMYFUNCTION("""COMPUTED_VALUE"""),"PMNTU-FH")</f>
        <v>PMNTU-FH</v>
      </c>
      <c r="J860" s="74"/>
      <c r="K860" s="74" t="str">
        <f>IFERROR(__xludf.DUMMYFUNCTION("""COMPUTED_VALUE"""),"Putzmeister")</f>
        <v>Putzmeister</v>
      </c>
      <c r="L860" s="74"/>
      <c r="M860" s="74" t="str">
        <f>IFERROR(__xludf.DUMMYFUNCTION("""COMPUTED_VALUE"""),"Sin Asignar")</f>
        <v>Sin Asignar</v>
      </c>
      <c r="N860" s="87">
        <f>IFERROR(__xludf.DUMMYFUNCTION("""COMPUTED_VALUE"""),0.0)</f>
        <v>0</v>
      </c>
      <c r="O860" s="74"/>
      <c r="P860" s="74" t="str">
        <f>IFERROR(__xludf.DUMMYFUNCTION("""COMPUTED_VALUE"""),"To Re-purchase")</f>
        <v>To Re-purchase</v>
      </c>
      <c r="Q860" s="74"/>
      <c r="R860" s="74"/>
      <c r="S860" s="87">
        <f>IFERROR(__xludf.DUMMYFUNCTION("""COMPUTED_VALUE"""),0.0)</f>
        <v>0</v>
      </c>
      <c r="T860" s="87">
        <f>IFERROR(__xludf.DUMMYFUNCTION("""COMPUTED_VALUE"""),0.0)</f>
        <v>0</v>
      </c>
      <c r="U860" s="87">
        <f>IFERROR(__xludf.DUMMYFUNCTION("""COMPUTED_VALUE"""),0.0)</f>
        <v>0</v>
      </c>
      <c r="V860" s="87">
        <f>IFERROR(__xludf.DUMMYFUNCTION("""COMPUTED_VALUE"""),0.0)</f>
        <v>0</v>
      </c>
      <c r="W860" s="87">
        <f>IFERROR(__xludf.DUMMYFUNCTION("""COMPUTED_VALUE"""),0.0)</f>
        <v>0</v>
      </c>
      <c r="X860" s="88"/>
      <c r="Y860" s="74"/>
      <c r="Z860" s="74"/>
    </row>
    <row r="861">
      <c r="B861" s="74" t="str">
        <f>IFERROR(__xludf.DUMMYFUNCTION("""COMPUTED_VALUE"""),"1858")</f>
        <v>1858</v>
      </c>
      <c r="C861" s="74"/>
      <c r="D861" s="74" t="str">
        <f>IFERROR(__xludf.DUMMYFUNCTION("""COMPUTED_VALUE"""),"\\MCA-S\mk\2_BM\0_BMat\08_PYM\Inventario\excel\Imagen de refacciones\Putzmeister\Coupling _ Acoplamiento")</f>
        <v>\\MCA-S\mk\2_BM\0_BMat\08_PYM\Inventario\excel\Imagen de refacciones\Putzmeister\Coupling _ Acoplamiento</v>
      </c>
      <c r="E861" s="74"/>
      <c r="F861" s="74" t="str">
        <f>IFERROR(__xludf.DUMMYFUNCTION("""COMPUTED_VALUE"""),"Coupling / Acoplamiento")</f>
        <v>Coupling / Acoplamiento</v>
      </c>
      <c r="G861" s="74"/>
      <c r="H861" s="74"/>
      <c r="I861" s="74" t="str">
        <f>IFERROR(__xludf.DUMMYFUNCTION("""COMPUTED_VALUE"""),"SOM20505")</f>
        <v>SOM20505</v>
      </c>
      <c r="J861" s="74" t="str">
        <f>IFERROR(__xludf.DUMMYFUNCTION("""COMPUTED_VALUE"""),"247929009")</f>
        <v>247929009</v>
      </c>
      <c r="K861" s="74" t="str">
        <f>IFERROR(__xludf.DUMMYFUNCTION("""COMPUTED_VALUE"""),"Putzmeister")</f>
        <v>Putzmeister</v>
      </c>
      <c r="L861" s="74" t="str">
        <f>IFERROR(__xludf.DUMMYFUNCTION("""COMPUTED_VALUE"""),"Componentes Estructurales y de Montaje")</f>
        <v>Componentes Estructurales y de Montaje</v>
      </c>
      <c r="M861" s="74" t="str">
        <f>IFERROR(__xludf.DUMMYFUNCTION("""COMPUTED_VALUE"""),"Sin Asignar")</f>
        <v>Sin Asignar</v>
      </c>
      <c r="N861" s="87">
        <f>IFERROR(__xludf.DUMMYFUNCTION("""COMPUTED_VALUE"""),0.0)</f>
        <v>0</v>
      </c>
      <c r="O861" s="74"/>
      <c r="P861" s="74" t="str">
        <f>IFERROR(__xludf.DUMMYFUNCTION("""COMPUTED_VALUE"""),"No Available")</f>
        <v>No Available</v>
      </c>
      <c r="Q861" s="74"/>
      <c r="R861" s="74"/>
      <c r="S861" s="87">
        <f>IFERROR(__xludf.DUMMYFUNCTION("""COMPUTED_VALUE"""),0.0)</f>
        <v>0</v>
      </c>
      <c r="T861" s="87">
        <f>IFERROR(__xludf.DUMMYFUNCTION("""COMPUTED_VALUE"""),0.0)</f>
        <v>0</v>
      </c>
      <c r="U861" s="87">
        <f>IFERROR(__xludf.DUMMYFUNCTION("""COMPUTED_VALUE"""),0.0)</f>
        <v>0</v>
      </c>
      <c r="V861" s="87">
        <f>IFERROR(__xludf.DUMMYFUNCTION("""COMPUTED_VALUE"""),0.0)</f>
        <v>0</v>
      </c>
      <c r="W861" s="87">
        <f>IFERROR(__xludf.DUMMYFUNCTION("""COMPUTED_VALUE"""),0.0)</f>
        <v>0</v>
      </c>
      <c r="X861" s="88"/>
      <c r="Y861" s="74"/>
      <c r="Z861" s="74"/>
    </row>
    <row r="862">
      <c r="B862" s="74" t="str">
        <f>IFERROR(__xludf.DUMMYFUNCTION("""COMPUTED_VALUE"""),"1859")</f>
        <v>1859</v>
      </c>
      <c r="C862" s="74"/>
      <c r="D862" s="74" t="str">
        <f>IFERROR(__xludf.DUMMYFUNCTION("""COMPUTED_VALUE"""),"\\MCA-S\mk\2_BM\0_BMat\08_PYM\Inventario\excel\Imagen de refacciones\Putzmeister\Coupling 5,5_ ND Mounted SK-HI25_5,5 _ Acoplamiento 5,5_ ND Montado SK-HI25_5,5")</f>
        <v>\\MCA-S\mk\2_BM\0_BMat\08_PYM\Inventario\excel\Imagen de refacciones\Putzmeister\Coupling 5,5_ ND Mounted SK-HI25_5,5 _ Acoplamiento 5,5_ ND Montado SK-HI25_5,5</v>
      </c>
      <c r="E862" s="74"/>
      <c r="F862" s="74" t="str">
        <f>IFERROR(__xludf.DUMMYFUNCTION("""COMPUTED_VALUE"""),"Coupling 5,5"" ND Mounted SK-HI25/5,5 / Acoplamiento 5,5"" ND Montado SK-HI25/5,5")</f>
        <v>Coupling 5,5" ND Mounted SK-HI25/5,5 / Acoplamiento 5,5" ND Montado SK-HI25/5,5</v>
      </c>
      <c r="G862" s="74"/>
      <c r="H862" s="74"/>
      <c r="I862" s="74" t="str">
        <f>IFERROR(__xludf.DUMMYFUNCTION("""COMPUTED_VALUE"""),"SOM20444")</f>
        <v>SOM20444</v>
      </c>
      <c r="J862" s="74" t="str">
        <f>IFERROR(__xludf.DUMMYFUNCTION("""COMPUTED_VALUE"""),"524946")</f>
        <v>524946</v>
      </c>
      <c r="K862" s="74" t="str">
        <f>IFERROR(__xludf.DUMMYFUNCTION("""COMPUTED_VALUE"""),"Putzmeister")</f>
        <v>Putzmeister</v>
      </c>
      <c r="L862" s="74" t="str">
        <f>IFERROR(__xludf.DUMMYFUNCTION("""COMPUTED_VALUE"""),"Componentes Estructurales y de Montaje")</f>
        <v>Componentes Estructurales y de Montaje</v>
      </c>
      <c r="M862" s="74" t="str">
        <f>IFERROR(__xludf.DUMMYFUNCTION("""COMPUTED_VALUE"""),"Sin Asignar")</f>
        <v>Sin Asignar</v>
      </c>
      <c r="N862" s="87">
        <f>IFERROR(__xludf.DUMMYFUNCTION("""COMPUTED_VALUE"""),0.0)</f>
        <v>0</v>
      </c>
      <c r="O862" s="74"/>
      <c r="P862" s="74" t="str">
        <f>IFERROR(__xludf.DUMMYFUNCTION("""COMPUTED_VALUE"""),"No Available")</f>
        <v>No Available</v>
      </c>
      <c r="Q862" s="74"/>
      <c r="R862" s="74"/>
      <c r="S862" s="87">
        <f>IFERROR(__xludf.DUMMYFUNCTION("""COMPUTED_VALUE"""),0.0)</f>
        <v>0</v>
      </c>
      <c r="T862" s="87">
        <f>IFERROR(__xludf.DUMMYFUNCTION("""COMPUTED_VALUE"""),0.0)</f>
        <v>0</v>
      </c>
      <c r="U862" s="87">
        <f>IFERROR(__xludf.DUMMYFUNCTION("""COMPUTED_VALUE"""),0.0)</f>
        <v>0</v>
      </c>
      <c r="V862" s="87">
        <f>IFERROR(__xludf.DUMMYFUNCTION("""COMPUTED_VALUE"""),0.0)</f>
        <v>0</v>
      </c>
      <c r="W862" s="87">
        <f>IFERROR(__xludf.DUMMYFUNCTION("""COMPUTED_VALUE"""),0.0)</f>
        <v>0</v>
      </c>
      <c r="X862" s="88"/>
      <c r="Y862" s="74"/>
      <c r="Z862" s="74"/>
    </row>
    <row r="863">
      <c r="B863" s="74" t="str">
        <f>IFERROR(__xludf.DUMMYFUNCTION("""COMPUTED_VALUE"""),"1860")</f>
        <v>1860</v>
      </c>
      <c r="C863" s="74"/>
      <c r="D863" s="74" t="str">
        <f>IFERROR(__xludf.DUMMYFUNCTION("""COMPUTED_VALUE"""),"\\MCA-S\mk\2_BM\0_BMat\08_PYM\Inventario\excel\Imagen de refacciones\Putzmeister\Coupling 5,5_ ND Mounted SK-HI25_5,6 _ Acoplamiento 5,5_ ND Montado SK-HI25_5,6")</f>
        <v>\\MCA-S\mk\2_BM\0_BMat\08_PYM\Inventario\excel\Imagen de refacciones\Putzmeister\Coupling 5,5_ ND Mounted SK-HI25_5,6 _ Acoplamiento 5,5_ ND Montado SK-HI25_5,6</v>
      </c>
      <c r="E863" s="74"/>
      <c r="F863" s="74" t="str">
        <f>IFERROR(__xludf.DUMMYFUNCTION("""COMPUTED_VALUE"""),"Coupling 5,5"" ND Mounted SK-HI25/5,6 / Acoplamiento 5,5"" ND Montado SK-HI25/5,6")</f>
        <v>Coupling 5,5" ND Mounted SK-HI25/5,6 / Acoplamiento 5,5" ND Montado SK-HI25/5,6</v>
      </c>
      <c r="G863" s="74"/>
      <c r="H863" s="74"/>
      <c r="I863" s="74" t="str">
        <f>IFERROR(__xludf.DUMMYFUNCTION("""COMPUTED_VALUE"""),"SOM20445")</f>
        <v>SOM20445</v>
      </c>
      <c r="J863" s="74" t="str">
        <f>IFERROR(__xludf.DUMMYFUNCTION("""COMPUTED_VALUE"""),"534295")</f>
        <v>534295</v>
      </c>
      <c r="K863" s="74" t="str">
        <f>IFERROR(__xludf.DUMMYFUNCTION("""COMPUTED_VALUE"""),"Putzmeister")</f>
        <v>Putzmeister</v>
      </c>
      <c r="L863" s="74" t="str">
        <f>IFERROR(__xludf.DUMMYFUNCTION("""COMPUTED_VALUE"""),"Componentes Estructurales y de Montaje")</f>
        <v>Componentes Estructurales y de Montaje</v>
      </c>
      <c r="M863" s="74" t="str">
        <f>IFERROR(__xludf.DUMMYFUNCTION("""COMPUTED_VALUE"""),"Sin Asignar")</f>
        <v>Sin Asignar</v>
      </c>
      <c r="N863" s="87">
        <f>IFERROR(__xludf.DUMMYFUNCTION("""COMPUTED_VALUE"""),0.0)</f>
        <v>0</v>
      </c>
      <c r="O863" s="74"/>
      <c r="P863" s="74" t="str">
        <f>IFERROR(__xludf.DUMMYFUNCTION("""COMPUTED_VALUE"""),"No Available")</f>
        <v>No Available</v>
      </c>
      <c r="Q863" s="74"/>
      <c r="R863" s="74"/>
      <c r="S863" s="87">
        <f>IFERROR(__xludf.DUMMYFUNCTION("""COMPUTED_VALUE"""),0.0)</f>
        <v>0</v>
      </c>
      <c r="T863" s="87">
        <f>IFERROR(__xludf.DUMMYFUNCTION("""COMPUTED_VALUE"""),0.0)</f>
        <v>0</v>
      </c>
      <c r="U863" s="87">
        <f>IFERROR(__xludf.DUMMYFUNCTION("""COMPUTED_VALUE"""),0.0)</f>
        <v>0</v>
      </c>
      <c r="V863" s="87">
        <f>IFERROR(__xludf.DUMMYFUNCTION("""COMPUTED_VALUE"""),0.0)</f>
        <v>0</v>
      </c>
      <c r="W863" s="87">
        <f>IFERROR(__xludf.DUMMYFUNCTION("""COMPUTED_VALUE"""),0.0)</f>
        <v>0</v>
      </c>
      <c r="X863" s="88"/>
      <c r="Y863" s="74"/>
      <c r="Z863" s="74"/>
    </row>
    <row r="864">
      <c r="B864" s="74" t="str">
        <f>IFERROR(__xludf.DUMMYFUNCTION("""COMPUTED_VALUE"""),"1861")</f>
        <v>1861</v>
      </c>
      <c r="C864" s="74"/>
      <c r="D864" s="74" t="str">
        <f>IFERROR(__xludf.DUMMYFUNCTION("""COMPUTED_VALUE"""),"\\MCA-S\mk\2_BM\0_BMat\08_PYM\Inventario\excel\Imagen de refacciones\Putzmeister\Coupling Half ZX125_5,5 _ Medio Acoplamiento ZX125_5,5")</f>
        <v>\\MCA-S\mk\2_BM\0_BMat\08_PYM\Inventario\excel\Imagen de refacciones\Putzmeister\Coupling Half ZX125_5,5 _ Medio Acoplamiento ZX125_5,5</v>
      </c>
      <c r="E864" s="74"/>
      <c r="F864" s="74" t="str">
        <f>IFERROR(__xludf.DUMMYFUNCTION("""COMPUTED_VALUE"""),"Coupling Half ZX125/5,5 / Medio Acoplamiento ZX125/5,5")</f>
        <v>Coupling Half ZX125/5,5 / Medio Acoplamiento ZX125/5,5</v>
      </c>
      <c r="G864" s="74"/>
      <c r="H864" s="74"/>
      <c r="I864" s="74" t="str">
        <f>IFERROR(__xludf.DUMMYFUNCTION("""COMPUTED_VALUE"""),"SOM20573")</f>
        <v>SOM20573</v>
      </c>
      <c r="J864" s="74" t="str">
        <f>IFERROR(__xludf.DUMMYFUNCTION("""COMPUTED_VALUE"""),"246419003")</f>
        <v>246419003</v>
      </c>
      <c r="K864" s="74" t="str">
        <f>IFERROR(__xludf.DUMMYFUNCTION("""COMPUTED_VALUE"""),"Putzmeister")</f>
        <v>Putzmeister</v>
      </c>
      <c r="L864" s="74" t="str">
        <f>IFERROR(__xludf.DUMMYFUNCTION("""COMPUTED_VALUE"""),"Sistema de Bombeo de Concreto")</f>
        <v>Sistema de Bombeo de Concreto</v>
      </c>
      <c r="M864" s="74" t="str">
        <f>IFERROR(__xludf.DUMMYFUNCTION("""COMPUTED_VALUE"""),"Sin Asignar")</f>
        <v>Sin Asignar</v>
      </c>
      <c r="N864" s="87">
        <f>IFERROR(__xludf.DUMMYFUNCTION("""COMPUTED_VALUE"""),0.0)</f>
        <v>0</v>
      </c>
      <c r="O864" s="74"/>
      <c r="P864" s="74" t="str">
        <f>IFERROR(__xludf.DUMMYFUNCTION("""COMPUTED_VALUE"""),"No Available")</f>
        <v>No Available</v>
      </c>
      <c r="Q864" s="74"/>
      <c r="R864" s="74"/>
      <c r="S864" s="87">
        <f>IFERROR(__xludf.DUMMYFUNCTION("""COMPUTED_VALUE"""),0.0)</f>
        <v>0</v>
      </c>
      <c r="T864" s="87">
        <f>IFERROR(__xludf.DUMMYFUNCTION("""COMPUTED_VALUE"""),0.0)</f>
        <v>0</v>
      </c>
      <c r="U864" s="87">
        <f>IFERROR(__xludf.DUMMYFUNCTION("""COMPUTED_VALUE"""),0.0)</f>
        <v>0</v>
      </c>
      <c r="V864" s="87">
        <f>IFERROR(__xludf.DUMMYFUNCTION("""COMPUTED_VALUE"""),0.0)</f>
        <v>0</v>
      </c>
      <c r="W864" s="87">
        <f>IFERROR(__xludf.DUMMYFUNCTION("""COMPUTED_VALUE"""),0.0)</f>
        <v>0</v>
      </c>
      <c r="X864" s="88"/>
      <c r="Y864" s="74"/>
      <c r="Z864" s="74"/>
    </row>
    <row r="865">
      <c r="B865" s="74" t="str">
        <f>IFERROR(__xludf.DUMMYFUNCTION("""COMPUTED_VALUE"""),"1862")</f>
        <v>1862</v>
      </c>
      <c r="C865" s="74" t="str">
        <f>IFERROR(__xludf.DUMMYFUNCTION("""COMPUTED_VALUE"""),"75045880462")</f>
        <v>75045880462</v>
      </c>
      <c r="D865" s="74" t="str">
        <f>IFERROR(__xludf.DUMMYFUNCTION("""COMPUTED_VALUE"""),"\\MCA-S\mk\2_BM\0_BMat\08_PYM\Inventario\excel\Imagen de refacciones\Putzmeister\Cuña para codo de bisgra")</f>
        <v>\\MCA-S\mk\2_BM\0_BMat\08_PYM\Inventario\excel\Imagen de refacciones\Putzmeister\Cuña para codo de bisgra</v>
      </c>
      <c r="E865" s="74" t="str">
        <f>IFERROR(__xludf.DUMMYFUNCTION("""COMPUTED_VALUE"""),"WEDGE")</f>
        <v>WEDGE</v>
      </c>
      <c r="F865" s="74" t="str">
        <f>IFERROR(__xludf.DUMMYFUNCTION("""COMPUTED_VALUE"""),"CUÑA PARA CODO DE BISAGRA")</f>
        <v>CUÑA PARA CODO DE BISAGRA</v>
      </c>
      <c r="G865" s="74"/>
      <c r="H865" s="74" t="str">
        <f>IFERROR(__xludf.DUMMYFUNCTION("""COMPUTED_VALUE"""),"CUÑA PARA CODO DE BISAGRA PARA BOMBA DE HORMIGON")</f>
        <v>CUÑA PARA CODO DE BISAGRA PARA BOMBA DE HORMIGON</v>
      </c>
      <c r="I865" s="74" t="str">
        <f>IFERROR(__xludf.DUMMYFUNCTION("""COMPUTED_VALUE"""),"426793")</f>
        <v>426793</v>
      </c>
      <c r="J865" s="74"/>
      <c r="K865" s="74" t="str">
        <f>IFERROR(__xludf.DUMMYFUNCTION("""COMPUTED_VALUE"""),"Putzmeister")</f>
        <v>Putzmeister</v>
      </c>
      <c r="L865" s="74" t="str">
        <f>IFERROR(__xludf.DUMMYFUNCTION("""COMPUTED_VALUE"""),"BARRA V-ROCK")</f>
        <v>BARRA V-ROCK</v>
      </c>
      <c r="M865" s="74" t="str">
        <f>IFERROR(__xludf.DUMMYFUNCTION("""COMPUTED_VALUE"""),"ACCESORIOS ")</f>
        <v>ACCESORIOS </v>
      </c>
      <c r="N865" s="87">
        <f>IFERROR(__xludf.DUMMYFUNCTION("""COMPUTED_VALUE"""),674.88)</f>
        <v>674.88</v>
      </c>
      <c r="O865" s="74">
        <f>IFERROR(__xludf.DUMMYFUNCTION("""COMPUTED_VALUE"""),3.0)</f>
        <v>3</v>
      </c>
      <c r="P865" s="74" t="str">
        <f>IFERROR(__xludf.DUMMYFUNCTION("""COMPUTED_VALUE"""),"In stock")</f>
        <v>In stock</v>
      </c>
      <c r="Q865" s="74"/>
      <c r="R865" s="74"/>
      <c r="S865" s="87">
        <f>IFERROR(__xludf.DUMMYFUNCTION("""COMPUTED_VALUE"""),8.0)</f>
        <v>8</v>
      </c>
      <c r="T865" s="87">
        <f>IFERROR(__xludf.DUMMYFUNCTION("""COMPUTED_VALUE"""),38.0)</f>
        <v>38</v>
      </c>
      <c r="U865" s="87">
        <f>IFERROR(__xludf.DUMMYFUNCTION("""COMPUTED_VALUE"""),36.48)</f>
        <v>36.48</v>
      </c>
      <c r="V865" s="87">
        <f>IFERROR(__xludf.DUMMYFUNCTION("""COMPUTED_VALUE"""),9.8)</f>
        <v>9.8</v>
      </c>
      <c r="W865" s="87">
        <f>IFERROR(__xludf.DUMMYFUNCTION("""COMPUTED_VALUE"""),183.75)</f>
        <v>183.75</v>
      </c>
      <c r="X865" s="88">
        <f>IFERROR(__xludf.DUMMYFUNCTION("""COMPUTED_VALUE"""),4.56)</f>
        <v>4.56</v>
      </c>
      <c r="Y865" s="74"/>
      <c r="Z865" s="74"/>
    </row>
    <row r="866">
      <c r="B866" s="74" t="str">
        <f>IFERROR(__xludf.DUMMYFUNCTION("""COMPUTED_VALUE"""),"1863")</f>
        <v>1863</v>
      </c>
      <c r="C866" s="74"/>
      <c r="D866" s="74" t="str">
        <f>IFERROR(__xludf.DUMMYFUNCTION("""COMPUTED_VALUE"""),"\\MCA-S\mk\2_BM\0_BMat\08_PYM\Inventario\excel\Imagen de refacciones\Putzmeister\Cylinder Kit for PV24 _ Kit de Cilindro para PV24")</f>
        <v>\\MCA-S\mk\2_BM\0_BMat\08_PYM\Inventario\excel\Imagen de refacciones\Putzmeister\Cylinder Kit for PV24 _ Kit de Cilindro para PV24</v>
      </c>
      <c r="E866" s="74"/>
      <c r="F866" s="74" t="str">
        <f>IFERROR(__xludf.DUMMYFUNCTION("""COMPUTED_VALUE"""),"Cylinder Kit for PV24 / Kit de Cilindro para PV24")</f>
        <v>Cylinder Kit for PV24 / Kit de Cilindro para PV24</v>
      </c>
      <c r="G866" s="74"/>
      <c r="H866" s="74"/>
      <c r="I866" s="74" t="str">
        <f>IFERROR(__xludf.DUMMYFUNCTION("""COMPUTED_VALUE"""),"SOM20553")</f>
        <v>SOM20553</v>
      </c>
      <c r="J866" s="74" t="str">
        <f>IFERROR(__xludf.DUMMYFUNCTION("""COMPUTED_VALUE"""),"429552")</f>
        <v>429552</v>
      </c>
      <c r="K866" s="74" t="str">
        <f>IFERROR(__xludf.DUMMYFUNCTION("""COMPUTED_VALUE"""),"Putzmeister")</f>
        <v>Putzmeister</v>
      </c>
      <c r="L866" s="74" t="str">
        <f>IFERROR(__xludf.DUMMYFUNCTION("""COMPUTED_VALUE"""),"Sistema de Bombeo de Concreto")</f>
        <v>Sistema de Bombeo de Concreto</v>
      </c>
      <c r="M866" s="74" t="str">
        <f>IFERROR(__xludf.DUMMYFUNCTION("""COMPUTED_VALUE"""),"Sin Asignar")</f>
        <v>Sin Asignar</v>
      </c>
      <c r="N866" s="87">
        <f>IFERROR(__xludf.DUMMYFUNCTION("""COMPUTED_VALUE"""),0.0)</f>
        <v>0</v>
      </c>
      <c r="O866" s="74"/>
      <c r="P866" s="74" t="str">
        <f>IFERROR(__xludf.DUMMYFUNCTION("""COMPUTED_VALUE"""),"No Available")</f>
        <v>No Available</v>
      </c>
      <c r="Q866" s="74"/>
      <c r="R866" s="74"/>
      <c r="S866" s="87">
        <f>IFERROR(__xludf.DUMMYFUNCTION("""COMPUTED_VALUE"""),0.0)</f>
        <v>0</v>
      </c>
      <c r="T866" s="87">
        <f>IFERROR(__xludf.DUMMYFUNCTION("""COMPUTED_VALUE"""),0.0)</f>
        <v>0</v>
      </c>
      <c r="U866" s="87">
        <f>IFERROR(__xludf.DUMMYFUNCTION("""COMPUTED_VALUE"""),0.0)</f>
        <v>0</v>
      </c>
      <c r="V866" s="87">
        <f>IFERROR(__xludf.DUMMYFUNCTION("""COMPUTED_VALUE"""),0.0)</f>
        <v>0</v>
      </c>
      <c r="W866" s="87">
        <f>IFERROR(__xludf.DUMMYFUNCTION("""COMPUTED_VALUE"""),0.0)</f>
        <v>0</v>
      </c>
      <c r="X866" s="88"/>
      <c r="Y866" s="74"/>
      <c r="Z866" s="74"/>
    </row>
    <row r="867">
      <c r="B867" s="74" t="str">
        <f>IFERROR(__xludf.DUMMYFUNCTION("""COMPUTED_VALUE"""),"1864")</f>
        <v>1864</v>
      </c>
      <c r="C867" s="74"/>
      <c r="D867" s="74" t="str">
        <f>IFERROR(__xludf.DUMMYFUNCTION("""COMPUTED_VALUE"""),"\\MCA-S\mk\2_BM\0_BMat\08_PYM\Inventario\excel\Imagen de refacciones\Putzmeister\Cylinder Tube Ø125 _ Tubo de Cilindro Ø125")</f>
        <v>\\MCA-S\mk\2_BM\0_BMat\08_PYM\Inventario\excel\Imagen de refacciones\Putzmeister\Cylinder Tube Ø125 _ Tubo de Cilindro Ø125</v>
      </c>
      <c r="E867" s="74"/>
      <c r="F867" s="74" t="str">
        <f>IFERROR(__xludf.DUMMYFUNCTION("""COMPUTED_VALUE"""),"Cylinder Tube Ø125 / Tubo de Cilindro Ø125")</f>
        <v>Cylinder Tube Ø125 / Tubo de Cilindro Ø125</v>
      </c>
      <c r="G867" s="74"/>
      <c r="H867" s="74"/>
      <c r="I867" s="74" t="str">
        <f>IFERROR(__xludf.DUMMYFUNCTION("""COMPUTED_VALUE"""),"SOM20524")</f>
        <v>SOM20524</v>
      </c>
      <c r="J867" s="74" t="str">
        <f>IFERROR(__xludf.DUMMYFUNCTION("""COMPUTED_VALUE"""),"234993006")</f>
        <v>234993006</v>
      </c>
      <c r="K867" s="74" t="str">
        <f>IFERROR(__xludf.DUMMYFUNCTION("""COMPUTED_VALUE"""),"Putzmeister")</f>
        <v>Putzmeister</v>
      </c>
      <c r="L867" s="74" t="str">
        <f>IFERROR(__xludf.DUMMYFUNCTION("""COMPUTED_VALUE"""),"Componentes Hidráulicos")</f>
        <v>Componentes Hidráulicos</v>
      </c>
      <c r="M867" s="74" t="str">
        <f>IFERROR(__xludf.DUMMYFUNCTION("""COMPUTED_VALUE"""),"Sin Asignar")</f>
        <v>Sin Asignar</v>
      </c>
      <c r="N867" s="87">
        <f>IFERROR(__xludf.DUMMYFUNCTION("""COMPUTED_VALUE"""),0.0)</f>
        <v>0</v>
      </c>
      <c r="O867" s="74"/>
      <c r="P867" s="74" t="str">
        <f>IFERROR(__xludf.DUMMYFUNCTION("""COMPUTED_VALUE"""),"No Available")</f>
        <v>No Available</v>
      </c>
      <c r="Q867" s="74"/>
      <c r="R867" s="74"/>
      <c r="S867" s="87">
        <f>IFERROR(__xludf.DUMMYFUNCTION("""COMPUTED_VALUE"""),0.0)</f>
        <v>0</v>
      </c>
      <c r="T867" s="87">
        <f>IFERROR(__xludf.DUMMYFUNCTION("""COMPUTED_VALUE"""),0.0)</f>
        <v>0</v>
      </c>
      <c r="U867" s="87">
        <f>IFERROR(__xludf.DUMMYFUNCTION("""COMPUTED_VALUE"""),0.0)</f>
        <v>0</v>
      </c>
      <c r="V867" s="87">
        <f>IFERROR(__xludf.DUMMYFUNCTION("""COMPUTED_VALUE"""),0.0)</f>
        <v>0</v>
      </c>
      <c r="W867" s="87">
        <f>IFERROR(__xludf.DUMMYFUNCTION("""COMPUTED_VALUE"""),0.0)</f>
        <v>0</v>
      </c>
      <c r="X867" s="88"/>
      <c r="Y867" s="74"/>
      <c r="Z867" s="74"/>
    </row>
    <row r="868">
      <c r="B868" s="74" t="str">
        <f>IFERROR(__xludf.DUMMYFUNCTION("""COMPUTED_VALUE"""),"1865")</f>
        <v>1865</v>
      </c>
      <c r="C868" s="74"/>
      <c r="D868" s="74" t="str">
        <f>IFERROR(__xludf.DUMMYFUNCTION("""COMPUTED_VALUE"""),"\\MCA-S\mk\2_BM\0_BMat\08_PYM\Inventario\excel\Imagen de refacciones\Putzmeister\Delivery Pipe Elbow ZX125 90º R=1000 _ Codo de Tubería de Entrega ZX125 90º R=1000")</f>
        <v>\\MCA-S\mk\2_BM\0_BMat\08_PYM\Inventario\excel\Imagen de refacciones\Putzmeister\Delivery Pipe Elbow ZX125 90º R=1000 _ Codo de Tubería de Entrega ZX125 90º R=1000</v>
      </c>
      <c r="E868" s="74"/>
      <c r="F868" s="74" t="str">
        <f>IFERROR(__xludf.DUMMYFUNCTION("""COMPUTED_VALUE"""),"Delivery Pipe Elbow ZX125 90º R=1000 / Codo de Tubería de Entrega ZX125 90º R=1000")</f>
        <v>Delivery Pipe Elbow ZX125 90º R=1000 / Codo de Tubería de Entrega ZX125 90º R=1000</v>
      </c>
      <c r="G868" s="74"/>
      <c r="H868" s="74"/>
      <c r="I868" s="74" t="str">
        <f>IFERROR(__xludf.DUMMYFUNCTION("""COMPUTED_VALUE"""),"SOM20572")</f>
        <v>SOM20572</v>
      </c>
      <c r="J868" s="74" t="str">
        <f>IFERROR(__xludf.DUMMYFUNCTION("""COMPUTED_VALUE"""),"51803009")</f>
        <v>51803009</v>
      </c>
      <c r="K868" s="74" t="str">
        <f>IFERROR(__xludf.DUMMYFUNCTION("""COMPUTED_VALUE"""),"Putzmeister")</f>
        <v>Putzmeister</v>
      </c>
      <c r="L868" s="74" t="str">
        <f>IFERROR(__xludf.DUMMYFUNCTION("""COMPUTED_VALUE"""),"Sistema de Bombeo de Concreto")</f>
        <v>Sistema de Bombeo de Concreto</v>
      </c>
      <c r="M868" s="74" t="str">
        <f>IFERROR(__xludf.DUMMYFUNCTION("""COMPUTED_VALUE"""),"Sin Asignar")</f>
        <v>Sin Asignar</v>
      </c>
      <c r="N868" s="87">
        <f>IFERROR(__xludf.DUMMYFUNCTION("""COMPUTED_VALUE"""),0.0)</f>
        <v>0</v>
      </c>
      <c r="O868" s="74"/>
      <c r="P868" s="74" t="str">
        <f>IFERROR(__xludf.DUMMYFUNCTION("""COMPUTED_VALUE"""),"No Available")</f>
        <v>No Available</v>
      </c>
      <c r="Q868" s="74"/>
      <c r="R868" s="74"/>
      <c r="S868" s="87">
        <f>IFERROR(__xludf.DUMMYFUNCTION("""COMPUTED_VALUE"""),0.0)</f>
        <v>0</v>
      </c>
      <c r="T868" s="87">
        <f>IFERROR(__xludf.DUMMYFUNCTION("""COMPUTED_VALUE"""),0.0)</f>
        <v>0</v>
      </c>
      <c r="U868" s="87">
        <f>IFERROR(__xludf.DUMMYFUNCTION("""COMPUTED_VALUE"""),0.0)</f>
        <v>0</v>
      </c>
      <c r="V868" s="87">
        <f>IFERROR(__xludf.DUMMYFUNCTION("""COMPUTED_VALUE"""),0.0)</f>
        <v>0</v>
      </c>
      <c r="W868" s="87">
        <f>IFERROR(__xludf.DUMMYFUNCTION("""COMPUTED_VALUE"""),0.0)</f>
        <v>0</v>
      </c>
      <c r="X868" s="88"/>
      <c r="Y868" s="74"/>
      <c r="Z868" s="74"/>
    </row>
    <row r="869">
      <c r="B869" s="74" t="str">
        <f>IFERROR(__xludf.DUMMYFUNCTION("""COMPUTED_VALUE"""),"1866")</f>
        <v>1866</v>
      </c>
      <c r="C869" s="74"/>
      <c r="D869" s="74" t="str">
        <f>IFERROR(__xludf.DUMMYFUNCTION("""COMPUTED_VALUE"""),"\\MCA-S\mk\2_BM\0_BMat\08_PYM\Inventario\excel\Imagen de refacciones\Putzmeister\Direct. Contr. Block Left 5+V _ Bloque de Control Directo Izq. 5+V")</f>
        <v>\\MCA-S\mk\2_BM\0_BMat\08_PYM\Inventario\excel\Imagen de refacciones\Putzmeister\Direct. Contr. Block Left 5+V _ Bloque de Control Directo Izq. 5+V</v>
      </c>
      <c r="E869" s="74"/>
      <c r="F869" s="74" t="str">
        <f>IFERROR(__xludf.DUMMYFUNCTION("""COMPUTED_VALUE"""),"Direct. Contr. Block Left 5+V / Bloque de Control Directo Izq. 5+V")</f>
        <v>Direct. Contr. Block Left 5+V / Bloque de Control Directo Izq. 5+V</v>
      </c>
      <c r="G869" s="74"/>
      <c r="H869" s="74"/>
      <c r="I869" s="74" t="str">
        <f>IFERROR(__xludf.DUMMYFUNCTION("""COMPUTED_VALUE"""),"SOM20563")</f>
        <v>SOM20563</v>
      </c>
      <c r="J869" s="74" t="str">
        <f>IFERROR(__xludf.DUMMYFUNCTION("""COMPUTED_VALUE"""),"261049004")</f>
        <v>261049004</v>
      </c>
      <c r="K869" s="74" t="str">
        <f>IFERROR(__xludf.DUMMYFUNCTION("""COMPUTED_VALUE"""),"Putzmeister")</f>
        <v>Putzmeister</v>
      </c>
      <c r="L869" s="74" t="str">
        <f>IFERROR(__xludf.DUMMYFUNCTION("""COMPUTED_VALUE"""),"Componentes Hidráulicos")</f>
        <v>Componentes Hidráulicos</v>
      </c>
      <c r="M869" s="74" t="str">
        <f>IFERROR(__xludf.DUMMYFUNCTION("""COMPUTED_VALUE"""),"Sin Asignar")</f>
        <v>Sin Asignar</v>
      </c>
      <c r="N869" s="87">
        <f>IFERROR(__xludf.DUMMYFUNCTION("""COMPUTED_VALUE"""),0.0)</f>
        <v>0</v>
      </c>
      <c r="O869" s="74"/>
      <c r="P869" s="74" t="str">
        <f>IFERROR(__xludf.DUMMYFUNCTION("""COMPUTED_VALUE"""),"No Available")</f>
        <v>No Available</v>
      </c>
      <c r="Q869" s="74"/>
      <c r="R869" s="74"/>
      <c r="S869" s="87">
        <f>IFERROR(__xludf.DUMMYFUNCTION("""COMPUTED_VALUE"""),0.0)</f>
        <v>0</v>
      </c>
      <c r="T869" s="87">
        <f>IFERROR(__xludf.DUMMYFUNCTION("""COMPUTED_VALUE"""),0.0)</f>
        <v>0</v>
      </c>
      <c r="U869" s="87">
        <f>IFERROR(__xludf.DUMMYFUNCTION("""COMPUTED_VALUE"""),0.0)</f>
        <v>0</v>
      </c>
      <c r="V869" s="87">
        <f>IFERROR(__xludf.DUMMYFUNCTION("""COMPUTED_VALUE"""),0.0)</f>
        <v>0</v>
      </c>
      <c r="W869" s="87">
        <f>IFERROR(__xludf.DUMMYFUNCTION("""COMPUTED_VALUE"""),0.0)</f>
        <v>0</v>
      </c>
      <c r="X869" s="88"/>
      <c r="Y869" s="74"/>
      <c r="Z869" s="74"/>
    </row>
    <row r="870">
      <c r="B870" s="74" t="str">
        <f>IFERROR(__xludf.DUMMYFUNCTION("""COMPUTED_VALUE"""),"1867")</f>
        <v>1867</v>
      </c>
      <c r="C870" s="74"/>
      <c r="D870" s="74" t="str">
        <f>IFERROR(__xludf.DUMMYFUNCTION("""COMPUTED_VALUE"""),"\\MCA-S\mk\2_BM\0_BMat\08_PYM\Inventario\excel\Imagen de refacciones\Putzmeister\Direct. Contr. Block Right 5+V _ Bloque de Control Directo Der. 5+V")</f>
        <v>\\MCA-S\mk\2_BM\0_BMat\08_PYM\Inventario\excel\Imagen de refacciones\Putzmeister\Direct. Contr. Block Right 5+V _ Bloque de Control Directo Der. 5+V</v>
      </c>
      <c r="E870" s="74"/>
      <c r="F870" s="74" t="str">
        <f>IFERROR(__xludf.DUMMYFUNCTION("""COMPUTED_VALUE"""),"Direct. Contr. Block Right 5+V / Bloque de Control Directo Der. 5+V")</f>
        <v>Direct. Contr. Block Right 5+V / Bloque de Control Directo Der. 5+V</v>
      </c>
      <c r="G870" s="74"/>
      <c r="H870" s="74"/>
      <c r="I870" s="74" t="str">
        <f>IFERROR(__xludf.DUMMYFUNCTION("""COMPUTED_VALUE"""),"SOM20564")</f>
        <v>SOM20564</v>
      </c>
      <c r="J870" s="74" t="str">
        <f>IFERROR(__xludf.DUMMYFUNCTION("""COMPUTED_VALUE"""),"261048005")</f>
        <v>261048005</v>
      </c>
      <c r="K870" s="74" t="str">
        <f>IFERROR(__xludf.DUMMYFUNCTION("""COMPUTED_VALUE"""),"Putzmeister")</f>
        <v>Putzmeister</v>
      </c>
      <c r="L870" s="74" t="str">
        <f>IFERROR(__xludf.DUMMYFUNCTION("""COMPUTED_VALUE"""),"Componentes Hidráulicos")</f>
        <v>Componentes Hidráulicos</v>
      </c>
      <c r="M870" s="74" t="str">
        <f>IFERROR(__xludf.DUMMYFUNCTION("""COMPUTED_VALUE"""),"Sin Asignar")</f>
        <v>Sin Asignar</v>
      </c>
      <c r="N870" s="87">
        <f>IFERROR(__xludf.DUMMYFUNCTION("""COMPUTED_VALUE"""),0.0)</f>
        <v>0</v>
      </c>
      <c r="O870" s="74"/>
      <c r="P870" s="74" t="str">
        <f>IFERROR(__xludf.DUMMYFUNCTION("""COMPUTED_VALUE"""),"No Available")</f>
        <v>No Available</v>
      </c>
      <c r="Q870" s="74"/>
      <c r="R870" s="74"/>
      <c r="S870" s="87">
        <f>IFERROR(__xludf.DUMMYFUNCTION("""COMPUTED_VALUE"""),0.0)</f>
        <v>0</v>
      </c>
      <c r="T870" s="87">
        <f>IFERROR(__xludf.DUMMYFUNCTION("""COMPUTED_VALUE"""),0.0)</f>
        <v>0</v>
      </c>
      <c r="U870" s="87">
        <f>IFERROR(__xludf.DUMMYFUNCTION("""COMPUTED_VALUE"""),0.0)</f>
        <v>0</v>
      </c>
      <c r="V870" s="87">
        <f>IFERROR(__xludf.DUMMYFUNCTION("""COMPUTED_VALUE"""),0.0)</f>
        <v>0</v>
      </c>
      <c r="W870" s="87">
        <f>IFERROR(__xludf.DUMMYFUNCTION("""COMPUTED_VALUE"""),0.0)</f>
        <v>0</v>
      </c>
      <c r="X870" s="88"/>
      <c r="Y870" s="74"/>
      <c r="Z870" s="74"/>
    </row>
    <row r="871">
      <c r="B871" s="74" t="str">
        <f>IFERROR(__xludf.DUMMYFUNCTION("""COMPUTED_VALUE"""),"1868")</f>
        <v>1868</v>
      </c>
      <c r="C871" s="74"/>
      <c r="D871" s="74" t="str">
        <f>IFERROR(__xludf.DUMMYFUNCTION("""COMPUTED_VALUE"""),"\\MCA-S\mk\2_BM\0_BMat\08_PYM\Inventario\excel\Imagen de refacciones\Putzmeister\DN 250 Piston Rubber and Ring Set _ Juego de junta de pistón DN 250 y anillo")</f>
        <v>\\MCA-S\mk\2_BM\0_BMat\08_PYM\Inventario\excel\Imagen de refacciones\Putzmeister\DN 250 Piston Rubber and Ring Set _ Juego de junta de pistón DN 250 y anillo</v>
      </c>
      <c r="E871" s="74"/>
      <c r="F871" s="74" t="str">
        <f>IFERROR(__xludf.DUMMYFUNCTION("""COMPUTED_VALUE"""),"DN 250 Piston Rubber and Ring Set / Juego de junta de pistón DN 250 y anillo")</f>
        <v>DN 250 Piston Rubber and Ring Set / Juego de junta de pistón DN 250 y anillo</v>
      </c>
      <c r="G871" s="74"/>
      <c r="H871" s="74"/>
      <c r="I871" s="74" t="str">
        <f>IFERROR(__xludf.DUMMYFUNCTION("""COMPUTED_VALUE"""),"SOM20400")</f>
        <v>SOM20400</v>
      </c>
      <c r="J871" s="74"/>
      <c r="K871" s="74" t="str">
        <f>IFERROR(__xludf.DUMMYFUNCTION("""COMPUTED_VALUE"""),"Putzmeister")</f>
        <v>Putzmeister</v>
      </c>
      <c r="L871" s="74" t="str">
        <f>IFERROR(__xludf.DUMMYFUNCTION("""COMPUTED_VALUE"""),"Sellos y Retenes")</f>
        <v>Sellos y Retenes</v>
      </c>
      <c r="M871" s="74" t="str">
        <f>IFERROR(__xludf.DUMMYFUNCTION("""COMPUTED_VALUE"""),"Sin Asignar")</f>
        <v>Sin Asignar</v>
      </c>
      <c r="N871" s="87">
        <f>IFERROR(__xludf.DUMMYFUNCTION("""COMPUTED_VALUE"""),0.0)</f>
        <v>0</v>
      </c>
      <c r="O871" s="74"/>
      <c r="P871" s="74" t="str">
        <f>IFERROR(__xludf.DUMMYFUNCTION("""COMPUTED_VALUE"""),"No Available")</f>
        <v>No Available</v>
      </c>
      <c r="Q871" s="74"/>
      <c r="R871" s="74"/>
      <c r="S871" s="87">
        <f>IFERROR(__xludf.DUMMYFUNCTION("""COMPUTED_VALUE"""),0.0)</f>
        <v>0</v>
      </c>
      <c r="T871" s="87">
        <f>IFERROR(__xludf.DUMMYFUNCTION("""COMPUTED_VALUE"""),0.0)</f>
        <v>0</v>
      </c>
      <c r="U871" s="87">
        <f>IFERROR(__xludf.DUMMYFUNCTION("""COMPUTED_VALUE"""),0.0)</f>
        <v>0</v>
      </c>
      <c r="V871" s="87">
        <f>IFERROR(__xludf.DUMMYFUNCTION("""COMPUTED_VALUE"""),0.0)</f>
        <v>0</v>
      </c>
      <c r="W871" s="87">
        <f>IFERROR(__xludf.DUMMYFUNCTION("""COMPUTED_VALUE"""),0.0)</f>
        <v>0</v>
      </c>
      <c r="X871" s="88"/>
      <c r="Y871" s="74"/>
      <c r="Z871" s="74"/>
    </row>
    <row r="872">
      <c r="B872" s="74" t="str">
        <f>IFERROR(__xludf.DUMMYFUNCTION("""COMPUTED_VALUE"""),"1869")</f>
        <v>1869</v>
      </c>
      <c r="C872" s="74"/>
      <c r="D872" s="74" t="str">
        <f>IFERROR(__xludf.DUMMYFUNCTION("""COMPUTED_VALUE"""),"\\MCA-S\mk\2_BM\0_BMat\08_PYM\Inventario\excel\Imagen de refacciones\Putzmeister\DN 280 Piston Rubber and Ring Set _ Juego de goma y anillo de pistón DN 280")</f>
        <v>\\MCA-S\mk\2_BM\0_BMat\08_PYM\Inventario\excel\Imagen de refacciones\Putzmeister\DN 280 Piston Rubber and Ring Set _ Juego de goma y anillo de pistón DN 280</v>
      </c>
      <c r="E872" s="74"/>
      <c r="F872" s="74" t="str">
        <f>IFERROR(__xludf.DUMMYFUNCTION("""COMPUTED_VALUE"""),"DN 280 Piston Rubber and Ring Set / Juego de goma y anillo de pistón DN 280")</f>
        <v>DN 280 Piston Rubber and Ring Set / Juego de goma y anillo de pistón DN 280</v>
      </c>
      <c r="G872" s="74"/>
      <c r="H872" s="74"/>
      <c r="I872" s="74" t="str">
        <f>IFERROR(__xludf.DUMMYFUNCTION("""COMPUTED_VALUE"""),"SOM20408")</f>
        <v>SOM20408</v>
      </c>
      <c r="J872" s="74"/>
      <c r="K872" s="74" t="str">
        <f>IFERROR(__xludf.DUMMYFUNCTION("""COMPUTED_VALUE"""),"Putzmeister")</f>
        <v>Putzmeister</v>
      </c>
      <c r="L872" s="74" t="str">
        <f>IFERROR(__xludf.DUMMYFUNCTION("""COMPUTED_VALUE"""),"Sellos y Retenes")</f>
        <v>Sellos y Retenes</v>
      </c>
      <c r="M872" s="74" t="str">
        <f>IFERROR(__xludf.DUMMYFUNCTION("""COMPUTED_VALUE"""),"Sin Asignar")</f>
        <v>Sin Asignar</v>
      </c>
      <c r="N872" s="87">
        <f>IFERROR(__xludf.DUMMYFUNCTION("""COMPUTED_VALUE"""),0.0)</f>
        <v>0</v>
      </c>
      <c r="O872" s="74"/>
      <c r="P872" s="74" t="str">
        <f>IFERROR(__xludf.DUMMYFUNCTION("""COMPUTED_VALUE"""),"No Available")</f>
        <v>No Available</v>
      </c>
      <c r="Q872" s="74"/>
      <c r="R872" s="74"/>
      <c r="S872" s="87">
        <f>IFERROR(__xludf.DUMMYFUNCTION("""COMPUTED_VALUE"""),0.0)</f>
        <v>0</v>
      </c>
      <c r="T872" s="87">
        <f>IFERROR(__xludf.DUMMYFUNCTION("""COMPUTED_VALUE"""),0.0)</f>
        <v>0</v>
      </c>
      <c r="U872" s="87">
        <f>IFERROR(__xludf.DUMMYFUNCTION("""COMPUTED_VALUE"""),0.0)</f>
        <v>0</v>
      </c>
      <c r="V872" s="87">
        <f>IFERROR(__xludf.DUMMYFUNCTION("""COMPUTED_VALUE"""),0.0)</f>
        <v>0</v>
      </c>
      <c r="W872" s="87">
        <f>IFERROR(__xludf.DUMMYFUNCTION("""COMPUTED_VALUE"""),0.0)</f>
        <v>0</v>
      </c>
      <c r="X872" s="88"/>
      <c r="Y872" s="74"/>
      <c r="Z872" s="74"/>
    </row>
    <row r="873">
      <c r="B873" s="74" t="str">
        <f>IFERROR(__xludf.DUMMYFUNCTION("""COMPUTED_VALUE"""),"1870")</f>
        <v>1870</v>
      </c>
      <c r="C873" s="74"/>
      <c r="D873" s="74" t="str">
        <f>IFERROR(__xludf.DUMMYFUNCTION("""COMPUTED_VALUE"""),"\\MCA-S\mk\2_BM\0_BMat\08_PYM\Inventario\excel\Imagen de refacciones\Putzmeister\Double Boom Clamp _ Abrazadera de Doble Pluma")</f>
        <v>\\MCA-S\mk\2_BM\0_BMat\08_PYM\Inventario\excel\Imagen de refacciones\Putzmeister\Double Boom Clamp _ Abrazadera de Doble Pluma</v>
      </c>
      <c r="E873" s="74"/>
      <c r="F873" s="74" t="str">
        <f>IFERROR(__xludf.DUMMYFUNCTION("""COMPUTED_VALUE"""),"Double Boom Clamp / Abrazadera de Doble Pluma")</f>
        <v>Double Boom Clamp / Abrazadera de Doble Pluma</v>
      </c>
      <c r="G873" s="74"/>
      <c r="H873" s="74"/>
      <c r="I873" s="74" t="str">
        <f>IFERROR(__xludf.DUMMYFUNCTION("""COMPUTED_VALUE"""),"SOM20516")</f>
        <v>SOM20516</v>
      </c>
      <c r="J873" s="74" t="str">
        <f>IFERROR(__xludf.DUMMYFUNCTION("""COMPUTED_VALUE"""),"295881005	 / 288303000")</f>
        <v>295881005	 / 288303000</v>
      </c>
      <c r="K873" s="74" t="str">
        <f>IFERROR(__xludf.DUMMYFUNCTION("""COMPUTED_VALUE"""),"Putzmeister")</f>
        <v>Putzmeister</v>
      </c>
      <c r="L873" s="74" t="str">
        <f>IFERROR(__xludf.DUMMYFUNCTION("""COMPUTED_VALUE"""),"Componentes Estructurales y de Montaje")</f>
        <v>Componentes Estructurales y de Montaje</v>
      </c>
      <c r="M873" s="74" t="str">
        <f>IFERROR(__xludf.DUMMYFUNCTION("""COMPUTED_VALUE"""),"Sin Asignar")</f>
        <v>Sin Asignar</v>
      </c>
      <c r="N873" s="87">
        <f>IFERROR(__xludf.DUMMYFUNCTION("""COMPUTED_VALUE"""),0.0)</f>
        <v>0</v>
      </c>
      <c r="O873" s="74"/>
      <c r="P873" s="74" t="str">
        <f>IFERROR(__xludf.DUMMYFUNCTION("""COMPUTED_VALUE"""),"No Available")</f>
        <v>No Available</v>
      </c>
      <c r="Q873" s="74"/>
      <c r="R873" s="74"/>
      <c r="S873" s="87">
        <f>IFERROR(__xludf.DUMMYFUNCTION("""COMPUTED_VALUE"""),0.0)</f>
        <v>0</v>
      </c>
      <c r="T873" s="87">
        <f>IFERROR(__xludf.DUMMYFUNCTION("""COMPUTED_VALUE"""),0.0)</f>
        <v>0</v>
      </c>
      <c r="U873" s="87">
        <f>IFERROR(__xludf.DUMMYFUNCTION("""COMPUTED_VALUE"""),0.0)</f>
        <v>0</v>
      </c>
      <c r="V873" s="87">
        <f>IFERROR(__xludf.DUMMYFUNCTION("""COMPUTED_VALUE"""),0.0)</f>
        <v>0</v>
      </c>
      <c r="W873" s="87">
        <f>IFERROR(__xludf.DUMMYFUNCTION("""COMPUTED_VALUE"""),0.0)</f>
        <v>0</v>
      </c>
      <c r="X873" s="88"/>
      <c r="Y873" s="74"/>
      <c r="Z873" s="74"/>
    </row>
    <row r="874">
      <c r="B874" s="74" t="str">
        <f>IFERROR(__xludf.DUMMYFUNCTION("""COMPUTED_VALUE"""),"1871")</f>
        <v>1871</v>
      </c>
      <c r="C874" s="74"/>
      <c r="D874" s="74" t="str">
        <f>IFERROR(__xludf.DUMMYFUNCTION("""COMPUTED_VALUE"""),"\\MCA-S\mk\2_BM\0_BMat\08_PYM\Inventario\excel\Imagen de refacciones\Putzmeister\Double Flow Control Valve 180 Bar _ Válvula de Control de Doble Flujo 180 Bar")</f>
        <v>\\MCA-S\mk\2_BM\0_BMat\08_PYM\Inventario\excel\Imagen de refacciones\Putzmeister\Double Flow Control Valve 180 Bar _ Válvula de Control de Doble Flujo 180 Bar</v>
      </c>
      <c r="E874" s="74"/>
      <c r="F874" s="74" t="str">
        <f>IFERROR(__xludf.DUMMYFUNCTION("""COMPUTED_VALUE"""),"Double Flow Control Valve 180 Bar / Válvula de Control de Doble Flujo 180 Bar")</f>
        <v>Double Flow Control Valve 180 Bar / Válvula de Control de Doble Flujo 180 Bar</v>
      </c>
      <c r="G874" s="74"/>
      <c r="H874" s="74"/>
      <c r="I874" s="74" t="str">
        <f>IFERROR(__xludf.DUMMYFUNCTION("""COMPUTED_VALUE"""),"SOM20566")</f>
        <v>SOM20566</v>
      </c>
      <c r="J874" s="74" t="str">
        <f>IFERROR(__xludf.DUMMYFUNCTION("""COMPUTED_VALUE"""),"291412009")</f>
        <v>291412009</v>
      </c>
      <c r="K874" s="74" t="str">
        <f>IFERROR(__xludf.DUMMYFUNCTION("""COMPUTED_VALUE"""),"Putzmeister")</f>
        <v>Putzmeister</v>
      </c>
      <c r="L874" s="74" t="str">
        <f>IFERROR(__xludf.DUMMYFUNCTION("""COMPUTED_VALUE"""),"Componentes Hidráulicos")</f>
        <v>Componentes Hidráulicos</v>
      </c>
      <c r="M874" s="74" t="str">
        <f>IFERROR(__xludf.DUMMYFUNCTION("""COMPUTED_VALUE"""),"Sin Asignar")</f>
        <v>Sin Asignar</v>
      </c>
      <c r="N874" s="87">
        <f>IFERROR(__xludf.DUMMYFUNCTION("""COMPUTED_VALUE"""),0.0)</f>
        <v>0</v>
      </c>
      <c r="O874" s="74"/>
      <c r="P874" s="74" t="str">
        <f>IFERROR(__xludf.DUMMYFUNCTION("""COMPUTED_VALUE"""),"No Available")</f>
        <v>No Available</v>
      </c>
      <c r="Q874" s="74"/>
      <c r="R874" s="74"/>
      <c r="S874" s="87">
        <f>IFERROR(__xludf.DUMMYFUNCTION("""COMPUTED_VALUE"""),0.0)</f>
        <v>0</v>
      </c>
      <c r="T874" s="87">
        <f>IFERROR(__xludf.DUMMYFUNCTION("""COMPUTED_VALUE"""),0.0)</f>
        <v>0</v>
      </c>
      <c r="U874" s="87">
        <f>IFERROR(__xludf.DUMMYFUNCTION("""COMPUTED_VALUE"""),0.0)</f>
        <v>0</v>
      </c>
      <c r="V874" s="87">
        <f>IFERROR(__xludf.DUMMYFUNCTION("""COMPUTED_VALUE"""),0.0)</f>
        <v>0</v>
      </c>
      <c r="W874" s="87">
        <f>IFERROR(__xludf.DUMMYFUNCTION("""COMPUTED_VALUE"""),0.0)</f>
        <v>0</v>
      </c>
      <c r="X874" s="88"/>
      <c r="Y874" s="74"/>
      <c r="Z874" s="74"/>
    </row>
    <row r="875">
      <c r="B875" s="74" t="str">
        <f>IFERROR(__xludf.DUMMYFUNCTION("""COMPUTED_VALUE"""),"1872")</f>
        <v>1872</v>
      </c>
      <c r="C875" s="74"/>
      <c r="D875" s="74" t="str">
        <f>IFERROR(__xludf.DUMMYFUNCTION("""COMPUTED_VALUE"""),"\\MCA-S\mk\2_BM\0_BMat\08_PYM\Inventario\excel\Imagen de refacciones\Putzmeister\Drive Shaft W. Feed, Pump SAE-B _ Eje de Transmisión con Alimentación, Bomba SAE-B")</f>
        <v>\\MCA-S\mk\2_BM\0_BMat\08_PYM\Inventario\excel\Imagen de refacciones\Putzmeister\Drive Shaft W. Feed, Pump SAE-B _ Eje de Transmisión con Alimentación, Bomba SAE-B</v>
      </c>
      <c r="E875" s="74"/>
      <c r="F875" s="74" t="str">
        <f>IFERROR(__xludf.DUMMYFUNCTION("""COMPUTED_VALUE"""),"Drive Shaft W. Feed, Pump SAE-B / Eje de Transmisión con Alimentación, Bomba SAE-B")</f>
        <v>Drive Shaft W. Feed, Pump SAE-B / Eje de Transmisión con Alimentación, Bomba SAE-B</v>
      </c>
      <c r="G875" s="74"/>
      <c r="H875" s="74"/>
      <c r="I875" s="74" t="str">
        <f>IFERROR(__xludf.DUMMYFUNCTION("""COMPUTED_VALUE"""),"SOM20540")</f>
        <v>SOM20540</v>
      </c>
      <c r="J875" s="74" t="str">
        <f>IFERROR(__xludf.DUMMYFUNCTION("""COMPUTED_VALUE"""),"242946003")</f>
        <v>242946003</v>
      </c>
      <c r="K875" s="74" t="str">
        <f>IFERROR(__xludf.DUMMYFUNCTION("""COMPUTED_VALUE"""),"Putzmeister")</f>
        <v>Putzmeister</v>
      </c>
      <c r="L875" s="74" t="str">
        <f>IFERROR(__xludf.DUMMYFUNCTION("""COMPUTED_VALUE"""),"Transmisión Mecánica")</f>
        <v>Transmisión Mecánica</v>
      </c>
      <c r="M875" s="74" t="str">
        <f>IFERROR(__xludf.DUMMYFUNCTION("""COMPUTED_VALUE"""),"Sin Asignar")</f>
        <v>Sin Asignar</v>
      </c>
      <c r="N875" s="87">
        <f>IFERROR(__xludf.DUMMYFUNCTION("""COMPUTED_VALUE"""),0.0)</f>
        <v>0</v>
      </c>
      <c r="O875" s="74"/>
      <c r="P875" s="74" t="str">
        <f>IFERROR(__xludf.DUMMYFUNCTION("""COMPUTED_VALUE"""),"No Available")</f>
        <v>No Available</v>
      </c>
      <c r="Q875" s="74"/>
      <c r="R875" s="74"/>
      <c r="S875" s="87">
        <f>IFERROR(__xludf.DUMMYFUNCTION("""COMPUTED_VALUE"""),0.0)</f>
        <v>0</v>
      </c>
      <c r="T875" s="87">
        <f>IFERROR(__xludf.DUMMYFUNCTION("""COMPUTED_VALUE"""),0.0)</f>
        <v>0</v>
      </c>
      <c r="U875" s="87">
        <f>IFERROR(__xludf.DUMMYFUNCTION("""COMPUTED_VALUE"""),0.0)</f>
        <v>0</v>
      </c>
      <c r="V875" s="87">
        <f>IFERROR(__xludf.DUMMYFUNCTION("""COMPUTED_VALUE"""),0.0)</f>
        <v>0</v>
      </c>
      <c r="W875" s="87">
        <f>IFERROR(__xludf.DUMMYFUNCTION("""COMPUTED_VALUE"""),0.0)</f>
        <v>0</v>
      </c>
      <c r="X875" s="88"/>
      <c r="Y875" s="74"/>
      <c r="Z875" s="74"/>
    </row>
    <row r="876">
      <c r="B876" s="74" t="str">
        <f>IFERROR(__xludf.DUMMYFUNCTION("""COMPUTED_VALUE"""),"1873")</f>
        <v>1873</v>
      </c>
      <c r="C876" s="74"/>
      <c r="D876" s="74" t="str">
        <f>IFERROR(__xludf.DUMMYFUNCTION("""COMPUTED_VALUE"""),"\\MCA-S\mk\2_BM\0_BMat\08_PYM\Inventario\excel\Imagen de refacciones\Putzmeister\Drive Shaft W. Feed, Pump SAE-B _ Eje de Transmisión con Alimentación, Bomba SAE-B (1)")</f>
        <v>\\MCA-S\mk\2_BM\0_BMat\08_PYM\Inventario\excel\Imagen de refacciones\Putzmeister\Drive Shaft W. Feed, Pump SAE-B _ Eje de Transmisión con Alimentación, Bomba SAE-B (1)</v>
      </c>
      <c r="E876" s="74"/>
      <c r="F876" s="74" t="str">
        <f>IFERROR(__xludf.DUMMYFUNCTION("""COMPUTED_VALUE"""),"Drive Shaft W. Feed, Pump SAE-B / Eje de Transmisión con Alimentación, Bomba SAE-B")</f>
        <v>Drive Shaft W. Feed, Pump SAE-B / Eje de Transmisión con Alimentación, Bomba SAE-B</v>
      </c>
      <c r="G876" s="74"/>
      <c r="H876" s="74"/>
      <c r="I876" s="74" t="str">
        <f>IFERROR(__xludf.DUMMYFUNCTION("""COMPUTED_VALUE"""),"SOM20542")</f>
        <v>SOM20542</v>
      </c>
      <c r="J876" s="74" t="str">
        <f>IFERROR(__xludf.DUMMYFUNCTION("""COMPUTED_VALUE"""),"262347002")</f>
        <v>262347002</v>
      </c>
      <c r="K876" s="74" t="str">
        <f>IFERROR(__xludf.DUMMYFUNCTION("""COMPUTED_VALUE"""),"Putzmeister")</f>
        <v>Putzmeister</v>
      </c>
      <c r="L876" s="74" t="str">
        <f>IFERROR(__xludf.DUMMYFUNCTION("""COMPUTED_VALUE"""),"Transmisión Mecánica")</f>
        <v>Transmisión Mecánica</v>
      </c>
      <c r="M876" s="74" t="str">
        <f>IFERROR(__xludf.DUMMYFUNCTION("""COMPUTED_VALUE"""),"Sin Asignar")</f>
        <v>Sin Asignar</v>
      </c>
      <c r="N876" s="87">
        <f>IFERROR(__xludf.DUMMYFUNCTION("""COMPUTED_VALUE"""),0.0)</f>
        <v>0</v>
      </c>
      <c r="O876" s="74"/>
      <c r="P876" s="74" t="str">
        <f>IFERROR(__xludf.DUMMYFUNCTION("""COMPUTED_VALUE"""),"No Available")</f>
        <v>No Available</v>
      </c>
      <c r="Q876" s="74"/>
      <c r="R876" s="74"/>
      <c r="S876" s="87">
        <f>IFERROR(__xludf.DUMMYFUNCTION("""COMPUTED_VALUE"""),0.0)</f>
        <v>0</v>
      </c>
      <c r="T876" s="87">
        <f>IFERROR(__xludf.DUMMYFUNCTION("""COMPUTED_VALUE"""),0.0)</f>
        <v>0</v>
      </c>
      <c r="U876" s="87">
        <f>IFERROR(__xludf.DUMMYFUNCTION("""COMPUTED_VALUE"""),0.0)</f>
        <v>0</v>
      </c>
      <c r="V876" s="87">
        <f>IFERROR(__xludf.DUMMYFUNCTION("""COMPUTED_VALUE"""),0.0)</f>
        <v>0</v>
      </c>
      <c r="W876" s="87">
        <f>IFERROR(__xludf.DUMMYFUNCTION("""COMPUTED_VALUE"""),0.0)</f>
        <v>0</v>
      </c>
      <c r="X876" s="88"/>
      <c r="Y876" s="74"/>
      <c r="Z876" s="74"/>
    </row>
    <row r="877">
      <c r="B877" s="74" t="str">
        <f>IFERROR(__xludf.DUMMYFUNCTION("""COMPUTED_VALUE"""),"1874")</f>
        <v>1874</v>
      </c>
      <c r="C877" s="74"/>
      <c r="D877" s="74" t="str">
        <f>IFERROR(__xludf.DUMMYFUNCTION("""COMPUTED_VALUE"""),"\\MCA-S\mk\2_BM\0_BMat\08_PYM\Inventario\excel\Imagen de refacciones\Putzmeister\Drive Shaft W. Feed, Pump SAE-D _ Eje de Transmisión con Alimentación, Bomba SAE-D")</f>
        <v>\\MCA-S\mk\2_BM\0_BMat\08_PYM\Inventario\excel\Imagen de refacciones\Putzmeister\Drive Shaft W. Feed, Pump SAE-D _ Eje de Transmisión con Alimentación, Bomba SAE-D</v>
      </c>
      <c r="E877" s="74"/>
      <c r="F877" s="74" t="str">
        <f>IFERROR(__xludf.DUMMYFUNCTION("""COMPUTED_VALUE"""),"Drive Shaft W. Feed, Pump SAE-D / Eje de Transmisión con Alimentación, Bomba SAE-D")</f>
        <v>Drive Shaft W. Feed, Pump SAE-D / Eje de Transmisión con Alimentación, Bomba SAE-D</v>
      </c>
      <c r="G877" s="74"/>
      <c r="H877" s="74"/>
      <c r="I877" s="74" t="str">
        <f>IFERROR(__xludf.DUMMYFUNCTION("""COMPUTED_VALUE"""),"SOM20543")</f>
        <v>SOM20543</v>
      </c>
      <c r="J877" s="74" t="str">
        <f>IFERROR(__xludf.DUMMYFUNCTION("""COMPUTED_VALUE"""),"262146003")</f>
        <v>262146003</v>
      </c>
      <c r="K877" s="74" t="str">
        <f>IFERROR(__xludf.DUMMYFUNCTION("""COMPUTED_VALUE"""),"Putzmeister")</f>
        <v>Putzmeister</v>
      </c>
      <c r="L877" s="74" t="str">
        <f>IFERROR(__xludf.DUMMYFUNCTION("""COMPUTED_VALUE"""),"Transmisión Mecánica")</f>
        <v>Transmisión Mecánica</v>
      </c>
      <c r="M877" s="74" t="str">
        <f>IFERROR(__xludf.DUMMYFUNCTION("""COMPUTED_VALUE"""),"Sin Asignar")</f>
        <v>Sin Asignar</v>
      </c>
      <c r="N877" s="87">
        <f>IFERROR(__xludf.DUMMYFUNCTION("""COMPUTED_VALUE"""),0.0)</f>
        <v>0</v>
      </c>
      <c r="O877" s="74"/>
      <c r="P877" s="74" t="str">
        <f>IFERROR(__xludf.DUMMYFUNCTION("""COMPUTED_VALUE"""),"No Available")</f>
        <v>No Available</v>
      </c>
      <c r="Q877" s="74"/>
      <c r="R877" s="74"/>
      <c r="S877" s="87">
        <f>IFERROR(__xludf.DUMMYFUNCTION("""COMPUTED_VALUE"""),0.0)</f>
        <v>0</v>
      </c>
      <c r="T877" s="87">
        <f>IFERROR(__xludf.DUMMYFUNCTION("""COMPUTED_VALUE"""),0.0)</f>
        <v>0</v>
      </c>
      <c r="U877" s="87">
        <f>IFERROR(__xludf.DUMMYFUNCTION("""COMPUTED_VALUE"""),0.0)</f>
        <v>0</v>
      </c>
      <c r="V877" s="87">
        <f>IFERROR(__xludf.DUMMYFUNCTION("""COMPUTED_VALUE"""),0.0)</f>
        <v>0</v>
      </c>
      <c r="W877" s="87">
        <f>IFERROR(__xludf.DUMMYFUNCTION("""COMPUTED_VALUE"""),0.0)</f>
        <v>0</v>
      </c>
      <c r="X877" s="88"/>
      <c r="Y877" s="74"/>
      <c r="Z877" s="74"/>
    </row>
    <row r="878">
      <c r="B878" s="74" t="str">
        <f>IFERROR(__xludf.DUMMYFUNCTION("""COMPUTED_VALUE"""),"1875")</f>
        <v>1875</v>
      </c>
      <c r="C878" s="74"/>
      <c r="D878" s="74" t="str">
        <f>IFERROR(__xludf.DUMMYFUNCTION("""COMPUTED_VALUE"""),"\\MCA-S\mk\2_BM\0_BMat\08_PYM\Inventario\excel\Imagen de refacciones\Putzmeister\Drive Shaft W. Feed, Pump SAE-E _ Eje de Transmisión con Alimentación, Bomba SAE-E")</f>
        <v>\\MCA-S\mk\2_BM\0_BMat\08_PYM\Inventario\excel\Imagen de refacciones\Putzmeister\Drive Shaft W. Feed, Pump SAE-E _ Eje de Transmisión con Alimentación, Bomba SAE-E</v>
      </c>
      <c r="E878" s="74"/>
      <c r="F878" s="74" t="str">
        <f>IFERROR(__xludf.DUMMYFUNCTION("""COMPUTED_VALUE"""),"Drive Shaft W. Feed, Pump SAE-E / Eje de Transmisión con Alimentación, Bomba SAE-E")</f>
        <v>Drive Shaft W. Feed, Pump SAE-E / Eje de Transmisión con Alimentación, Bomba SAE-E</v>
      </c>
      <c r="G878" s="74"/>
      <c r="H878" s="74"/>
      <c r="I878" s="74" t="str">
        <f>IFERROR(__xludf.DUMMYFUNCTION("""COMPUTED_VALUE"""),"SOM20541")</f>
        <v>SOM20541</v>
      </c>
      <c r="J878" s="74" t="str">
        <f>IFERROR(__xludf.DUMMYFUNCTION("""COMPUTED_VALUE"""),"242945004")</f>
        <v>242945004</v>
      </c>
      <c r="K878" s="74" t="str">
        <f>IFERROR(__xludf.DUMMYFUNCTION("""COMPUTED_VALUE"""),"Putzmeister")</f>
        <v>Putzmeister</v>
      </c>
      <c r="L878" s="74" t="str">
        <f>IFERROR(__xludf.DUMMYFUNCTION("""COMPUTED_VALUE"""),"Transmisión Mecánica")</f>
        <v>Transmisión Mecánica</v>
      </c>
      <c r="M878" s="74" t="str">
        <f>IFERROR(__xludf.DUMMYFUNCTION("""COMPUTED_VALUE"""),"Sin Asignar")</f>
        <v>Sin Asignar</v>
      </c>
      <c r="N878" s="87">
        <f>IFERROR(__xludf.DUMMYFUNCTION("""COMPUTED_VALUE"""),0.0)</f>
        <v>0</v>
      </c>
      <c r="O878" s="74"/>
      <c r="P878" s="74" t="str">
        <f>IFERROR(__xludf.DUMMYFUNCTION("""COMPUTED_VALUE"""),"No Available")</f>
        <v>No Available</v>
      </c>
      <c r="Q878" s="74"/>
      <c r="R878" s="74"/>
      <c r="S878" s="87">
        <f>IFERROR(__xludf.DUMMYFUNCTION("""COMPUTED_VALUE"""),0.0)</f>
        <v>0</v>
      </c>
      <c r="T878" s="87">
        <f>IFERROR(__xludf.DUMMYFUNCTION("""COMPUTED_VALUE"""),0.0)</f>
        <v>0</v>
      </c>
      <c r="U878" s="87">
        <f>IFERROR(__xludf.DUMMYFUNCTION("""COMPUTED_VALUE"""),0.0)</f>
        <v>0</v>
      </c>
      <c r="V878" s="87">
        <f>IFERROR(__xludf.DUMMYFUNCTION("""COMPUTED_VALUE"""),0.0)</f>
        <v>0</v>
      </c>
      <c r="W878" s="87">
        <f>IFERROR(__xludf.DUMMYFUNCTION("""COMPUTED_VALUE"""),0.0)</f>
        <v>0</v>
      </c>
      <c r="X878" s="88"/>
      <c r="Y878" s="74"/>
      <c r="Z878" s="74"/>
    </row>
    <row r="879">
      <c r="B879" s="74" t="str">
        <f>IFERROR(__xludf.DUMMYFUNCTION("""COMPUTED_VALUE"""),"1876")</f>
        <v>1876</v>
      </c>
      <c r="C879" s="74"/>
      <c r="D879" s="74" t="str">
        <f>IFERROR(__xludf.DUMMYFUNCTION("""COMPUTED_VALUE"""),"\\MCA-S\mk\2_BM\0_BMat\08_PYM\Inventario\excel\Imagen de refacciones\Putzmeister\Elbow 45Degree Twin Wall 5.5_ _ Codo 45 Grados Doble Pared 5.5_")</f>
        <v>\\MCA-S\mk\2_BM\0_BMat\08_PYM\Inventario\excel\Imagen de refacciones\Putzmeister\Elbow 45Degree Twin Wall 5.5_ _ Codo 45 Grados Doble Pared 5.5_</v>
      </c>
      <c r="E879" s="74"/>
      <c r="F879" s="74" t="str">
        <f>IFERROR(__xludf.DUMMYFUNCTION("""COMPUTED_VALUE"""),"Elbow 45Degree Twin Wall 5.5"" / Codo 45 Grados Doble Pared 5.5""")</f>
        <v>Elbow 45Degree Twin Wall 5.5" / Codo 45 Grados Doble Pared 5.5"</v>
      </c>
      <c r="G879" s="74"/>
      <c r="H879" s="74"/>
      <c r="I879" s="74" t="str">
        <f>IFERROR(__xludf.DUMMYFUNCTION("""COMPUTED_VALUE"""),"SOM20448")</f>
        <v>SOM20448</v>
      </c>
      <c r="J879" s="74" t="str">
        <f>IFERROR(__xludf.DUMMYFUNCTION("""COMPUTED_VALUE"""),"429752")</f>
        <v>429752</v>
      </c>
      <c r="K879" s="74" t="str">
        <f>IFERROR(__xludf.DUMMYFUNCTION("""COMPUTED_VALUE"""),"Putzmeister")</f>
        <v>Putzmeister</v>
      </c>
      <c r="L879" s="74" t="str">
        <f>IFERROR(__xludf.DUMMYFUNCTION("""COMPUTED_VALUE"""),"Sistema de Bombeo de Concreto")</f>
        <v>Sistema de Bombeo de Concreto</v>
      </c>
      <c r="M879" s="74" t="str">
        <f>IFERROR(__xludf.DUMMYFUNCTION("""COMPUTED_VALUE"""),"Sin Asignar")</f>
        <v>Sin Asignar</v>
      </c>
      <c r="N879" s="87">
        <f>IFERROR(__xludf.DUMMYFUNCTION("""COMPUTED_VALUE"""),0.0)</f>
        <v>0</v>
      </c>
      <c r="O879" s="74"/>
      <c r="P879" s="74" t="str">
        <f>IFERROR(__xludf.DUMMYFUNCTION("""COMPUTED_VALUE"""),"No Available")</f>
        <v>No Available</v>
      </c>
      <c r="Q879" s="74"/>
      <c r="R879" s="74"/>
      <c r="S879" s="87">
        <f>IFERROR(__xludf.DUMMYFUNCTION("""COMPUTED_VALUE"""),0.0)</f>
        <v>0</v>
      </c>
      <c r="T879" s="87">
        <f>IFERROR(__xludf.DUMMYFUNCTION("""COMPUTED_VALUE"""),0.0)</f>
        <v>0</v>
      </c>
      <c r="U879" s="87">
        <f>IFERROR(__xludf.DUMMYFUNCTION("""COMPUTED_VALUE"""),0.0)</f>
        <v>0</v>
      </c>
      <c r="V879" s="87">
        <f>IFERROR(__xludf.DUMMYFUNCTION("""COMPUTED_VALUE"""),0.0)</f>
        <v>0</v>
      </c>
      <c r="W879" s="87">
        <f>IFERROR(__xludf.DUMMYFUNCTION("""COMPUTED_VALUE"""),0.0)</f>
        <v>0</v>
      </c>
      <c r="X879" s="88"/>
      <c r="Y879" s="74"/>
      <c r="Z879" s="74"/>
    </row>
    <row r="880">
      <c r="B880" s="74" t="str">
        <f>IFERROR(__xludf.DUMMYFUNCTION("""COMPUTED_VALUE"""),"1877")</f>
        <v>1877</v>
      </c>
      <c r="C880" s="74"/>
      <c r="D880" s="74" t="str">
        <f>IFERROR(__xludf.DUMMYFUNCTION("""COMPUTED_VALUE"""),"\\MCA-S\mk\2_BM\0_BMat\08_PYM\Inventario\excel\Imagen de refacciones\Putzmeister\Elephant Cylinder Seal Set _ Juego de Sellos de Cilindro de Elefante")</f>
        <v>\\MCA-S\mk\2_BM\0_BMat\08_PYM\Inventario\excel\Imagen de refacciones\Putzmeister\Elephant Cylinder Seal Set _ Juego de Sellos de Cilindro de Elefante</v>
      </c>
      <c r="E880" s="74"/>
      <c r="F880" s="74" t="str">
        <f>IFERROR(__xludf.DUMMYFUNCTION("""COMPUTED_VALUE"""),"Elephant Cylinder Seal Set / Juego de Sellos de Cilindro de Elefante")</f>
        <v>Elephant Cylinder Seal Set / Juego de Sellos de Cilindro de Elefante</v>
      </c>
      <c r="G880" s="74"/>
      <c r="H880" s="74"/>
      <c r="I880" s="74" t="str">
        <f>IFERROR(__xludf.DUMMYFUNCTION("""COMPUTED_VALUE"""),"SOM20439")</f>
        <v>SOM20439</v>
      </c>
      <c r="J880" s="74" t="str">
        <f>IFERROR(__xludf.DUMMYFUNCTION("""COMPUTED_VALUE"""),"54217001")</f>
        <v>54217001</v>
      </c>
      <c r="K880" s="74" t="str">
        <f>IFERROR(__xludf.DUMMYFUNCTION("""COMPUTED_VALUE"""),"Putzmeister")</f>
        <v>Putzmeister</v>
      </c>
      <c r="L880" s="74" t="str">
        <f>IFERROR(__xludf.DUMMYFUNCTION("""COMPUTED_VALUE"""),"Sellos y Retenes")</f>
        <v>Sellos y Retenes</v>
      </c>
      <c r="M880" s="74" t="str">
        <f>IFERROR(__xludf.DUMMYFUNCTION("""COMPUTED_VALUE"""),"Sin Asignar")</f>
        <v>Sin Asignar</v>
      </c>
      <c r="N880" s="87">
        <f>IFERROR(__xludf.DUMMYFUNCTION("""COMPUTED_VALUE"""),0.0)</f>
        <v>0</v>
      </c>
      <c r="O880" s="74"/>
      <c r="P880" s="74" t="str">
        <f>IFERROR(__xludf.DUMMYFUNCTION("""COMPUTED_VALUE"""),"No Available")</f>
        <v>No Available</v>
      </c>
      <c r="Q880" s="74"/>
      <c r="R880" s="74"/>
      <c r="S880" s="87">
        <f>IFERROR(__xludf.DUMMYFUNCTION("""COMPUTED_VALUE"""),0.0)</f>
        <v>0</v>
      </c>
      <c r="T880" s="87">
        <f>IFERROR(__xludf.DUMMYFUNCTION("""COMPUTED_VALUE"""),0.0)</f>
        <v>0</v>
      </c>
      <c r="U880" s="87">
        <f>IFERROR(__xludf.DUMMYFUNCTION("""COMPUTED_VALUE"""),0.0)</f>
        <v>0</v>
      </c>
      <c r="V880" s="87">
        <f>IFERROR(__xludf.DUMMYFUNCTION("""COMPUTED_VALUE"""),0.0)</f>
        <v>0</v>
      </c>
      <c r="W880" s="87">
        <f>IFERROR(__xludf.DUMMYFUNCTION("""COMPUTED_VALUE"""),0.0)</f>
        <v>0</v>
      </c>
      <c r="X880" s="88"/>
      <c r="Y880" s="74"/>
      <c r="Z880" s="74"/>
    </row>
    <row r="881">
      <c r="B881" s="74" t="str">
        <f>IFERROR(__xludf.DUMMYFUNCTION("""COMPUTED_VALUE"""),"1878")</f>
        <v>1878</v>
      </c>
      <c r="C881" s="74" t="str">
        <f>IFERROR(__xludf.DUMMYFUNCTION("""COMPUTED_VALUE"""),"75045891878")</f>
        <v>75045891878</v>
      </c>
      <c r="D881" s="74" t="str">
        <f>IFERROR(__xludf.DUMMYFUNCTION("""COMPUTED_VALUE"""),"\\MCA-S\mk\2_BM\0_BMat\08_PYM\Inventario\excel\Imagen de refacciones\Putzmeister\émbolo DN200 o DN231")</f>
        <v>\\MCA-S\mk\2_BM\0_BMat\08_PYM\Inventario\excel\Imagen de refacciones\Putzmeister\émbolo DN200 o DN231</v>
      </c>
      <c r="E881" s="74" t="str">
        <f>IFERROR(__xludf.DUMMYFUNCTION("""COMPUTED_VALUE"""),"PISTON RAM DN 200")</f>
        <v>PISTON RAM DN 200</v>
      </c>
      <c r="F881" s="74" t="str">
        <f>IFERROR(__xludf.DUMMYFUNCTION("""COMPUTED_VALUE"""),"EMBOLO DN200")</f>
        <v>EMBOLO DN200</v>
      </c>
      <c r="G881" s="74"/>
      <c r="H881" s="74"/>
      <c r="I881" s="74" t="str">
        <f>IFERROR(__xludf.DUMMYFUNCTION("""COMPUTED_VALUE"""),"19004000")</f>
        <v>19004000</v>
      </c>
      <c r="J881" s="74"/>
      <c r="K881" s="74" t="str">
        <f>IFERROR(__xludf.DUMMYFUNCTION("""COMPUTED_VALUE"""),"Putzmeister")</f>
        <v>Putzmeister</v>
      </c>
      <c r="L881" s="74"/>
      <c r="M881" s="74" t="str">
        <f>IFERROR(__xludf.DUMMYFUNCTION("""COMPUTED_VALUE"""),"Sin Asignar")</f>
        <v>Sin Asignar</v>
      </c>
      <c r="N881" s="87">
        <f>IFERROR(__xludf.DUMMYFUNCTION("""COMPUTED_VALUE"""),0.0)</f>
        <v>0</v>
      </c>
      <c r="O881" s="74"/>
      <c r="P881" s="74" t="str">
        <f>IFERROR(__xludf.DUMMYFUNCTION("""COMPUTED_VALUE"""),"To Re-purchase")</f>
        <v>To Re-purchase</v>
      </c>
      <c r="Q881" s="74"/>
      <c r="R881" s="74"/>
      <c r="S881" s="87">
        <f>IFERROR(__xludf.DUMMYFUNCTION("""COMPUTED_VALUE"""),0.0)</f>
        <v>0</v>
      </c>
      <c r="T881" s="87">
        <f>IFERROR(__xludf.DUMMYFUNCTION("""COMPUTED_VALUE"""),0.0)</f>
        <v>0</v>
      </c>
      <c r="U881" s="87">
        <f>IFERROR(__xludf.DUMMYFUNCTION("""COMPUTED_VALUE"""),0.0)</f>
        <v>0</v>
      </c>
      <c r="V881" s="87">
        <f>IFERROR(__xludf.DUMMYFUNCTION("""COMPUTED_VALUE"""),0.0)</f>
        <v>0</v>
      </c>
      <c r="W881" s="87">
        <f>IFERROR(__xludf.DUMMYFUNCTION("""COMPUTED_VALUE"""),0.0)</f>
        <v>0</v>
      </c>
      <c r="X881" s="88"/>
      <c r="Y881" s="74"/>
      <c r="Z881" s="74"/>
    </row>
    <row r="882">
      <c r="B882" s="74" t="str">
        <f>IFERROR(__xludf.DUMMYFUNCTION("""COMPUTED_VALUE"""),"1879")</f>
        <v>1879</v>
      </c>
      <c r="C882" s="74" t="str">
        <f>IFERROR(__xludf.DUMMYFUNCTION("""COMPUTED_VALUE"""),"75045880429")</f>
        <v>75045880429</v>
      </c>
      <c r="D882" s="74" t="str">
        <f>IFERROR(__xludf.DUMMYFUNCTION("""COMPUTED_VALUE"""),"\\MCA-S\mk\2_BM\0_BMat\08_PYM\Inventario\excel\Imagen de refacciones\Schwing\émbolo dn230 con base")</f>
        <v>\\MCA-S\mk\2_BM\0_BMat\08_PYM\Inventario\excel\Imagen de refacciones\Schwing\émbolo dn230 con base</v>
      </c>
      <c r="E882" s="74" t="str">
        <f>IFERROR(__xludf.DUMMYFUNCTION("""COMPUTED_VALUE"""),"PISTON RAM DN 230")</f>
        <v>PISTON RAM DN 230</v>
      </c>
      <c r="F882" s="74" t="str">
        <f>IFERROR(__xludf.DUMMYFUNCTION("""COMPUTED_VALUE"""),"EMBOLO CON PISTON DN230")</f>
        <v>EMBOLO CON PISTON DN230</v>
      </c>
      <c r="G882" s="74"/>
      <c r="H882" s="74" t="str">
        <f>IFERROR(__xludf.DUMMYFUNCTION("""COMPUTED_VALUE"""),"EMBOLO DN230 PARA BOMBA DE HORMIGON")</f>
        <v>EMBOLO DN230 PARA BOMBA DE HORMIGON</v>
      </c>
      <c r="I882" s="74" t="str">
        <f>IFERROR(__xludf.DUMMYFUNCTION("""COMPUTED_VALUE"""),"262893000")</f>
        <v>262893000</v>
      </c>
      <c r="J882" s="74"/>
      <c r="K882" s="74" t="str">
        <f>IFERROR(__xludf.DUMMYFUNCTION("""COMPUTED_VALUE"""),"Putzmeister")</f>
        <v>Putzmeister</v>
      </c>
      <c r="L882" s="74" t="str">
        <f>IFERROR(__xludf.DUMMYFUNCTION("""COMPUTED_VALUE"""),"SISTEMA DE BOMBEO")</f>
        <v>SISTEMA DE BOMBEO</v>
      </c>
      <c r="M882" s="74" t="str">
        <f>IFERROR(__xludf.DUMMYFUNCTION("""COMPUTED_VALUE"""),"PISTONES")</f>
        <v>PISTONES</v>
      </c>
      <c r="N882" s="87">
        <f>IFERROR(__xludf.DUMMYFUNCTION("""COMPUTED_VALUE"""),3427.68)</f>
        <v>3427.68</v>
      </c>
      <c r="O882" s="74">
        <f>IFERROR(__xludf.DUMMYFUNCTION("""COMPUTED_VALUE"""),4.0)</f>
        <v>4</v>
      </c>
      <c r="P882" s="74" t="str">
        <f>IFERROR(__xludf.DUMMYFUNCTION("""COMPUTED_VALUE"""),"In stock")</f>
        <v>In stock</v>
      </c>
      <c r="Q882" s="74"/>
      <c r="R882" s="74"/>
      <c r="S882" s="87">
        <f>IFERROR(__xludf.DUMMYFUNCTION("""COMPUTED_VALUE"""),60.0)</f>
        <v>60</v>
      </c>
      <c r="T882" s="87">
        <f>IFERROR(__xludf.DUMMYFUNCTION("""COMPUTED_VALUE"""),193.0)</f>
        <v>193</v>
      </c>
      <c r="U882" s="87">
        <f>IFERROR(__xludf.DUMMYFUNCTION("""COMPUTED_VALUE"""),185.28)</f>
        <v>185.28</v>
      </c>
      <c r="V882" s="87">
        <f>IFERROR(__xludf.DUMMYFUNCTION("""COMPUTED_VALUE"""),73.5)</f>
        <v>73.5</v>
      </c>
      <c r="W882" s="87">
        <f>IFERROR(__xludf.DUMMYFUNCTION("""COMPUTED_VALUE"""),1378.125)</f>
        <v>1378.125</v>
      </c>
      <c r="X882" s="88">
        <f>IFERROR(__xludf.DUMMYFUNCTION("""COMPUTED_VALUE"""),3.088)</f>
        <v>3.088</v>
      </c>
      <c r="Y882" s="74"/>
      <c r="Z882" s="74"/>
    </row>
    <row r="883">
      <c r="B883" s="74" t="str">
        <f>IFERROR(__xludf.DUMMYFUNCTION("""COMPUTED_VALUE"""),"1880")</f>
        <v>1880</v>
      </c>
      <c r="C883" s="74"/>
      <c r="D883" s="74" t="str">
        <f>IFERROR(__xludf.DUMMYFUNCTION("""COMPUTED_VALUE"""),"\\MCA-S\mk\2_BM\0_BMat\08_PYM\Inventario\excel\Imagen de refacciones\Putzmeister\Empaquetadura para vastago de bombeo 80_100 X 40")</f>
        <v>\\MCA-S\mk\2_BM\0_BMat\08_PYM\Inventario\excel\Imagen de refacciones\Putzmeister\Empaquetadura para vastago de bombeo 80_100 X 40</v>
      </c>
      <c r="E883" s="74"/>
      <c r="F883" s="74" t="str">
        <f>IFERROR(__xludf.DUMMYFUNCTION("""COMPUTED_VALUE"""),"EMPAQUETADURA DE GOMA DN125 PARA BOMBA DE HORMIGON")</f>
        <v>EMPAQUETADURA DE GOMA DN125 PARA BOMBA DE HORMIGON</v>
      </c>
      <c r="G883" s="74"/>
      <c r="H883" s="74"/>
      <c r="I883" s="74"/>
      <c r="J883" s="74"/>
      <c r="K883" s="74" t="str">
        <f>IFERROR(__xludf.DUMMYFUNCTION("""COMPUTED_VALUE"""),"Putzmeister")</f>
        <v>Putzmeister</v>
      </c>
      <c r="L883" s="74" t="str">
        <f>IFERROR(__xludf.DUMMYFUNCTION("""COMPUTED_VALUE"""),"Sellos y retenes")</f>
        <v>Sellos y retenes</v>
      </c>
      <c r="M883" s="74" t="str">
        <f>IFERROR(__xludf.DUMMYFUNCTION("""COMPUTED_VALUE"""),"Sin Asignar")</f>
        <v>Sin Asignar</v>
      </c>
      <c r="N883" s="87">
        <f>IFERROR(__xludf.DUMMYFUNCTION("""COMPUTED_VALUE"""),0.0)</f>
        <v>0</v>
      </c>
      <c r="O883" s="74"/>
      <c r="P883" s="74" t="str">
        <f>IFERROR(__xludf.DUMMYFUNCTION("""COMPUTED_VALUE"""),"borrar")</f>
        <v>borrar</v>
      </c>
      <c r="Q883" s="74"/>
      <c r="R883" s="74"/>
      <c r="S883" s="87">
        <f>IFERROR(__xludf.DUMMYFUNCTION("""COMPUTED_VALUE"""),0.0)</f>
        <v>0</v>
      </c>
      <c r="T883" s="87">
        <f>IFERROR(__xludf.DUMMYFUNCTION("""COMPUTED_VALUE"""),0.0)</f>
        <v>0</v>
      </c>
      <c r="U883" s="87">
        <f>IFERROR(__xludf.DUMMYFUNCTION("""COMPUTED_VALUE"""),0.0)</f>
        <v>0</v>
      </c>
      <c r="V883" s="87">
        <f>IFERROR(__xludf.DUMMYFUNCTION("""COMPUTED_VALUE"""),0.0)</f>
        <v>0</v>
      </c>
      <c r="W883" s="87">
        <f>IFERROR(__xludf.DUMMYFUNCTION("""COMPUTED_VALUE"""),0.0)</f>
        <v>0</v>
      </c>
      <c r="X883" s="88"/>
      <c r="Y883" s="74"/>
      <c r="Z883" s="74"/>
    </row>
    <row r="884">
      <c r="B884" s="74" t="str">
        <f>IFERROR(__xludf.DUMMYFUNCTION("""COMPUTED_VALUE"""),"1881")</f>
        <v>1881</v>
      </c>
      <c r="C884" s="74"/>
      <c r="D884" s="74" t="str">
        <f>IFERROR(__xludf.DUMMYFUNCTION("""COMPUTED_VALUE"""),"\\MCA-S\mk\2_BM\0_BMat\08_PYM\Inventario\excel\Imagen de refacciones\Putzmeister\Empaquetadura para vastago de bombeo 80_100 X 40")</f>
        <v>\\MCA-S\mk\2_BM\0_BMat\08_PYM\Inventario\excel\Imagen de refacciones\Putzmeister\Empaquetadura para vastago de bombeo 80_100 X 40</v>
      </c>
      <c r="E884" s="74"/>
      <c r="F884" s="74" t="str">
        <f>IFERROR(__xludf.DUMMYFUNCTION("""COMPUTED_VALUE"""),"EMPAQUETADURA DE GOMA DN125 CON LABIO MEDIO PARA BOMBA DE HORMIGON")</f>
        <v>EMPAQUETADURA DE GOMA DN125 CON LABIO MEDIO PARA BOMBA DE HORMIGON</v>
      </c>
      <c r="G884" s="74"/>
      <c r="H884" s="74"/>
      <c r="I884" s="74"/>
      <c r="J884" s="74"/>
      <c r="K884" s="74" t="str">
        <f>IFERROR(__xludf.DUMMYFUNCTION("""COMPUTED_VALUE"""),"Putzmeister")</f>
        <v>Putzmeister</v>
      </c>
      <c r="L884" s="74" t="str">
        <f>IFERROR(__xludf.DUMMYFUNCTION("""COMPUTED_VALUE"""),"Sellos y retenes")</f>
        <v>Sellos y retenes</v>
      </c>
      <c r="M884" s="74" t="str">
        <f>IFERROR(__xludf.DUMMYFUNCTION("""COMPUTED_VALUE"""),"Sin Asignar")</f>
        <v>Sin Asignar</v>
      </c>
      <c r="N884" s="87">
        <f>IFERROR(__xludf.DUMMYFUNCTION("""COMPUTED_VALUE"""),0.0)</f>
        <v>0</v>
      </c>
      <c r="O884" s="74"/>
      <c r="P884" s="74" t="str">
        <f>IFERROR(__xludf.DUMMYFUNCTION("""COMPUTED_VALUE"""),"borrar")</f>
        <v>borrar</v>
      </c>
      <c r="Q884" s="74"/>
      <c r="R884" s="74"/>
      <c r="S884" s="87">
        <f>IFERROR(__xludf.DUMMYFUNCTION("""COMPUTED_VALUE"""),0.0)</f>
        <v>0</v>
      </c>
      <c r="T884" s="87">
        <f>IFERROR(__xludf.DUMMYFUNCTION("""COMPUTED_VALUE"""),0.0)</f>
        <v>0</v>
      </c>
      <c r="U884" s="87">
        <f>IFERROR(__xludf.DUMMYFUNCTION("""COMPUTED_VALUE"""),0.0)</f>
        <v>0</v>
      </c>
      <c r="V884" s="87">
        <f>IFERROR(__xludf.DUMMYFUNCTION("""COMPUTED_VALUE"""),0.0)</f>
        <v>0</v>
      </c>
      <c r="W884" s="87">
        <f>IFERROR(__xludf.DUMMYFUNCTION("""COMPUTED_VALUE"""),0.0)</f>
        <v>0</v>
      </c>
      <c r="X884" s="88"/>
      <c r="Y884" s="74"/>
      <c r="Z884" s="74"/>
    </row>
    <row r="885">
      <c r="B885" s="74" t="str">
        <f>IFERROR(__xludf.DUMMYFUNCTION("""COMPUTED_VALUE"""),"1882")</f>
        <v>1882</v>
      </c>
      <c r="C885" s="74" t="str">
        <f>IFERROR(__xludf.DUMMYFUNCTION("""COMPUTED_VALUE"""),"75045880517")</f>
        <v>75045880517</v>
      </c>
      <c r="D885" s="74" t="str">
        <f>IFERROR(__xludf.DUMMYFUNCTION("""COMPUTED_VALUE"""),"\\MCA-S\mk\2_BM\0_BMat\08_PYM\Inventario\excel\Imagen de refacciones\Putzmeister\engrasadora automatica")</f>
        <v>\\MCA-S\mk\2_BM\0_BMat\08_PYM\Inventario\excel\Imagen de refacciones\Putzmeister\engrasadora automatica</v>
      </c>
      <c r="E885" s="74" t="str">
        <f>IFERROR(__xludf.DUMMYFUNCTION("""COMPUTED_VALUE"""),"ELECTRIC GREASE PUMP 24V")</f>
        <v>ELECTRIC GREASE PUMP 24V</v>
      </c>
      <c r="F885" s="74" t="str">
        <f>IFERROR(__xludf.DUMMYFUNCTION("""COMPUTED_VALUE"""),"ENGRASADORA AUTOMATICA 24V")</f>
        <v>ENGRASADORA AUTOMATICA 24V</v>
      </c>
      <c r="G885" s="74"/>
      <c r="H885" s="74"/>
      <c r="I885" s="74" t="str">
        <f>IFERROR(__xludf.DUMMYFUNCTION("""COMPUTED_VALUE"""),"A026031-24")</f>
        <v>A026031-24</v>
      </c>
      <c r="J885" s="74" t="str">
        <f>IFERROR(__xludf.DUMMYFUNCTION("""COMPUTED_VALUE"""),"2401127")</f>
        <v>2401127</v>
      </c>
      <c r="K885" s="74" t="str">
        <f>IFERROR(__xludf.DUMMYFUNCTION("""COMPUTED_VALUE"""),"Putzmeister")</f>
        <v>Putzmeister</v>
      </c>
      <c r="L885" s="74" t="str">
        <f>IFERROR(__xludf.DUMMYFUNCTION("""COMPUTED_VALUE"""),"OTROS")</f>
        <v>OTROS</v>
      </c>
      <c r="M885" s="74" t="str">
        <f>IFERROR(__xludf.DUMMYFUNCTION("""COMPUTED_VALUE"""),"SIN ASIGNAR")</f>
        <v>SIN ASIGNAR</v>
      </c>
      <c r="N885" s="87">
        <f>IFERROR(__xludf.DUMMYFUNCTION("""COMPUTED_VALUE"""),17937.6)</f>
        <v>17937.6</v>
      </c>
      <c r="O885" s="74">
        <f>IFERROR(__xludf.DUMMYFUNCTION("""COMPUTED_VALUE"""),2.0)</f>
        <v>2</v>
      </c>
      <c r="P885" s="74" t="str">
        <f>IFERROR(__xludf.DUMMYFUNCTION("""COMPUTED_VALUE"""),"In stock")</f>
        <v>In stock</v>
      </c>
      <c r="Q885" s="74"/>
      <c r="R885" s="74"/>
      <c r="S885" s="87">
        <f>IFERROR(__xludf.DUMMYFUNCTION("""COMPUTED_VALUE"""),120.0)</f>
        <v>120</v>
      </c>
      <c r="T885" s="87">
        <f>IFERROR(__xludf.DUMMYFUNCTION("""COMPUTED_VALUE"""),1010.0)</f>
        <v>1010</v>
      </c>
      <c r="U885" s="87">
        <f>IFERROR(__xludf.DUMMYFUNCTION("""COMPUTED_VALUE"""),969.5999999999999)</f>
        <v>969.6</v>
      </c>
      <c r="V885" s="87">
        <f>IFERROR(__xludf.DUMMYFUNCTION("""COMPUTED_VALUE"""),147.0)</f>
        <v>147</v>
      </c>
      <c r="W885" s="87">
        <f>IFERROR(__xludf.DUMMYFUNCTION("""COMPUTED_VALUE"""),2756.25)</f>
        <v>2756.25</v>
      </c>
      <c r="X885" s="88">
        <f>IFERROR(__xludf.DUMMYFUNCTION("""COMPUTED_VALUE"""),8.08)</f>
        <v>8.08</v>
      </c>
      <c r="Y885" s="74"/>
      <c r="Z885" s="74"/>
    </row>
    <row r="886">
      <c r="B886" s="74" t="str">
        <f>IFERROR(__xludf.DUMMYFUNCTION("""COMPUTED_VALUE"""),"1883")</f>
        <v>1883</v>
      </c>
      <c r="C886" s="74"/>
      <c r="D886" s="74" t="str">
        <f>IFERROR(__xludf.DUMMYFUNCTION("""COMPUTED_VALUE"""),"\\MCA-S\mk\2_BM\0_BMat\08_PYM\Inventario\excel\Imagen de refacciones\Putzmeister\Erg Elbow 90 Degree Twin Wall - Procast _ Codo Ergonómico 90 Grados Doble Pared - Procast")</f>
        <v>\\MCA-S\mk\2_BM\0_BMat\08_PYM\Inventario\excel\Imagen de refacciones\Putzmeister\Erg Elbow 90 Degree Twin Wall - Procast _ Codo Ergonómico 90 Grados Doble Pared - Procast</v>
      </c>
      <c r="E886" s="74"/>
      <c r="F886" s="74" t="str">
        <f>IFERROR(__xludf.DUMMYFUNCTION("""COMPUTED_VALUE"""),"Erg Elbow 90 Degree Twin Wall - Procast / Codo Ergonómico 90 Grados Doble Pared - Procast")</f>
        <v>Erg Elbow 90 Degree Twin Wall - Procast / Codo Ergonómico 90 Grados Doble Pared - Procast</v>
      </c>
      <c r="G886" s="74"/>
      <c r="H886" s="74"/>
      <c r="I886" s="74" t="str">
        <f>IFERROR(__xludf.DUMMYFUNCTION("""COMPUTED_VALUE"""),"SOM20405")</f>
        <v>SOM20405</v>
      </c>
      <c r="J886" s="74" t="str">
        <f>IFERROR(__xludf.DUMMYFUNCTION("""COMPUTED_VALUE"""),"530217")</f>
        <v>530217</v>
      </c>
      <c r="K886" s="74" t="str">
        <f>IFERROR(__xludf.DUMMYFUNCTION("""COMPUTED_VALUE"""),"Putzmeister")</f>
        <v>Putzmeister</v>
      </c>
      <c r="L886" s="74" t="str">
        <f>IFERROR(__xludf.DUMMYFUNCTION("""COMPUTED_VALUE"""),"Sistema de Bombeo de Concreto")</f>
        <v>Sistema de Bombeo de Concreto</v>
      </c>
      <c r="M886" s="74" t="str">
        <f>IFERROR(__xludf.DUMMYFUNCTION("""COMPUTED_VALUE"""),"Sin Asignar")</f>
        <v>Sin Asignar</v>
      </c>
      <c r="N886" s="87">
        <f>IFERROR(__xludf.DUMMYFUNCTION("""COMPUTED_VALUE"""),0.0)</f>
        <v>0</v>
      </c>
      <c r="O886" s="74"/>
      <c r="P886" s="74" t="str">
        <f>IFERROR(__xludf.DUMMYFUNCTION("""COMPUTED_VALUE"""),"No Available")</f>
        <v>No Available</v>
      </c>
      <c r="Q886" s="74"/>
      <c r="R886" s="74"/>
      <c r="S886" s="87">
        <f>IFERROR(__xludf.DUMMYFUNCTION("""COMPUTED_VALUE"""),0.0)</f>
        <v>0</v>
      </c>
      <c r="T886" s="87">
        <f>IFERROR(__xludf.DUMMYFUNCTION("""COMPUTED_VALUE"""),0.0)</f>
        <v>0</v>
      </c>
      <c r="U886" s="87">
        <f>IFERROR(__xludf.DUMMYFUNCTION("""COMPUTED_VALUE"""),0.0)</f>
        <v>0</v>
      </c>
      <c r="V886" s="87">
        <f>IFERROR(__xludf.DUMMYFUNCTION("""COMPUTED_VALUE"""),0.0)</f>
        <v>0</v>
      </c>
      <c r="W886" s="87">
        <f>IFERROR(__xludf.DUMMYFUNCTION("""COMPUTED_VALUE"""),0.0)</f>
        <v>0</v>
      </c>
      <c r="X886" s="88"/>
      <c r="Y886" s="74"/>
      <c r="Z886" s="74"/>
    </row>
    <row r="887">
      <c r="B887" s="74" t="str">
        <f>IFERROR(__xludf.DUMMYFUNCTION("""COMPUTED_VALUE"""),"1884")</f>
        <v>1884</v>
      </c>
      <c r="C887" s="74"/>
      <c r="D887" s="74" t="str">
        <f>IFERROR(__xludf.DUMMYFUNCTION("""COMPUTED_VALUE"""),"\\MCA-S\mk\2_BM\0_BMat\08_PYM\Inventario\excel\Imagen de refacciones\Putzmeister\Filter Element _ Elemento Filtrante (2)")</f>
        <v>\\MCA-S\mk\2_BM\0_BMat\08_PYM\Inventario\excel\Imagen de refacciones\Putzmeister\Filter Element _ Elemento Filtrante (2)</v>
      </c>
      <c r="E887" s="74"/>
      <c r="F887" s="74" t="str">
        <f>IFERROR(__xludf.DUMMYFUNCTION("""COMPUTED_VALUE"""),"Filter Element / Elemento Filtrante")</f>
        <v>Filter Element / Elemento Filtrante</v>
      </c>
      <c r="G887" s="74"/>
      <c r="H887" s="74"/>
      <c r="I887" s="74" t="str">
        <f>IFERROR(__xludf.DUMMYFUNCTION("""COMPUTED_VALUE"""),"SOM20406")</f>
        <v>SOM20406</v>
      </c>
      <c r="J887" s="74" t="str">
        <f>IFERROR(__xludf.DUMMYFUNCTION("""COMPUTED_VALUE"""),"248911003")</f>
        <v>248911003</v>
      </c>
      <c r="K887" s="74" t="str">
        <f>IFERROR(__xludf.DUMMYFUNCTION("""COMPUTED_VALUE"""),"Putzmeister")</f>
        <v>Putzmeister</v>
      </c>
      <c r="L887" s="74" t="str">
        <f>IFERROR(__xludf.DUMMYFUNCTION("""COMPUTED_VALUE"""),"Elementos de Medición y Control")</f>
        <v>Elementos de Medición y Control</v>
      </c>
      <c r="M887" s="74" t="str">
        <f>IFERROR(__xludf.DUMMYFUNCTION("""COMPUTED_VALUE"""),"Sin Asignar")</f>
        <v>Sin Asignar</v>
      </c>
      <c r="N887" s="87">
        <f>IFERROR(__xludf.DUMMYFUNCTION("""COMPUTED_VALUE"""),0.0)</f>
        <v>0</v>
      </c>
      <c r="O887" s="74"/>
      <c r="P887" s="74" t="str">
        <f>IFERROR(__xludf.DUMMYFUNCTION("""COMPUTED_VALUE"""),"borrar")</f>
        <v>borrar</v>
      </c>
      <c r="Q887" s="74"/>
      <c r="R887" s="74"/>
      <c r="S887" s="87">
        <f>IFERROR(__xludf.DUMMYFUNCTION("""COMPUTED_VALUE"""),0.0)</f>
        <v>0</v>
      </c>
      <c r="T887" s="87">
        <f>IFERROR(__xludf.DUMMYFUNCTION("""COMPUTED_VALUE"""),0.0)</f>
        <v>0</v>
      </c>
      <c r="U887" s="87">
        <f>IFERROR(__xludf.DUMMYFUNCTION("""COMPUTED_VALUE"""),0.0)</f>
        <v>0</v>
      </c>
      <c r="V887" s="87">
        <f>IFERROR(__xludf.DUMMYFUNCTION("""COMPUTED_VALUE"""),0.0)</f>
        <v>0</v>
      </c>
      <c r="W887" s="87">
        <f>IFERROR(__xludf.DUMMYFUNCTION("""COMPUTED_VALUE"""),0.0)</f>
        <v>0</v>
      </c>
      <c r="X887" s="88"/>
      <c r="Y887" s="74"/>
      <c r="Z887" s="74"/>
    </row>
    <row r="888">
      <c r="B888" s="74" t="str">
        <f>IFERROR(__xludf.DUMMYFUNCTION("""COMPUTED_VALUE"""),"1885")</f>
        <v>1885</v>
      </c>
      <c r="C888" s="74"/>
      <c r="D888" s="74" t="str">
        <f>IFERROR(__xludf.DUMMYFUNCTION("""COMPUTED_VALUE"""),"\\MCA-S\mk\2_BM\0_BMat\08_PYM\Inventario\excel\Imagen de refacciones\Putzmeister\Filter Element _ Elemento Filtrante (3)")</f>
        <v>\\MCA-S\mk\2_BM\0_BMat\08_PYM\Inventario\excel\Imagen de refacciones\Putzmeister\Filter Element _ Elemento Filtrante (3)</v>
      </c>
      <c r="E888" s="74"/>
      <c r="F888" s="74" t="str">
        <f>IFERROR(__xludf.DUMMYFUNCTION("""COMPUTED_VALUE"""),"Filter Element / Elemento Filtrante")</f>
        <v>Filter Element / Elemento Filtrante</v>
      </c>
      <c r="G888" s="74"/>
      <c r="H888" s="74"/>
      <c r="I888" s="74" t="str">
        <f>IFERROR(__xludf.DUMMYFUNCTION("""COMPUTED_VALUE"""),"SOM20417")</f>
        <v>SOM20417</v>
      </c>
      <c r="J888" s="74" t="str">
        <f>IFERROR(__xludf.DUMMYFUNCTION("""COMPUTED_VALUE"""),"10181242")</f>
        <v>10181242</v>
      </c>
      <c r="K888" s="74" t="str">
        <f>IFERROR(__xludf.DUMMYFUNCTION("""COMPUTED_VALUE"""),"Putzmeister")</f>
        <v>Putzmeister</v>
      </c>
      <c r="L888" s="74" t="str">
        <f>IFERROR(__xludf.DUMMYFUNCTION("""COMPUTED_VALUE"""),"Elementos de Medición y Control")</f>
        <v>Elementos de Medición y Control</v>
      </c>
      <c r="M888" s="74" t="str">
        <f>IFERROR(__xludf.DUMMYFUNCTION("""COMPUTED_VALUE"""),"Sin Asignar")</f>
        <v>Sin Asignar</v>
      </c>
      <c r="N888" s="87">
        <f>IFERROR(__xludf.DUMMYFUNCTION("""COMPUTED_VALUE"""),0.0)</f>
        <v>0</v>
      </c>
      <c r="O888" s="74"/>
      <c r="P888" s="74" t="str">
        <f>IFERROR(__xludf.DUMMYFUNCTION("""COMPUTED_VALUE"""),"No Available")</f>
        <v>No Available</v>
      </c>
      <c r="Q888" s="74"/>
      <c r="R888" s="74"/>
      <c r="S888" s="87">
        <f>IFERROR(__xludf.DUMMYFUNCTION("""COMPUTED_VALUE"""),0.0)</f>
        <v>0</v>
      </c>
      <c r="T888" s="87">
        <f>IFERROR(__xludf.DUMMYFUNCTION("""COMPUTED_VALUE"""),0.0)</f>
        <v>0</v>
      </c>
      <c r="U888" s="87">
        <f>IFERROR(__xludf.DUMMYFUNCTION("""COMPUTED_VALUE"""),0.0)</f>
        <v>0</v>
      </c>
      <c r="V888" s="87">
        <f>IFERROR(__xludf.DUMMYFUNCTION("""COMPUTED_VALUE"""),0.0)</f>
        <v>0</v>
      </c>
      <c r="W888" s="87">
        <f>IFERROR(__xludf.DUMMYFUNCTION("""COMPUTED_VALUE"""),0.0)</f>
        <v>0</v>
      </c>
      <c r="X888" s="88"/>
      <c r="Y888" s="74"/>
      <c r="Z888" s="74"/>
    </row>
    <row r="889">
      <c r="B889" s="74" t="str">
        <f>IFERROR(__xludf.DUMMYFUNCTION("""COMPUTED_VALUE"""),"1886")</f>
        <v>1886</v>
      </c>
      <c r="C889" s="74"/>
      <c r="D889" s="74" t="str">
        <f>IFERROR(__xludf.DUMMYFUNCTION("""COMPUTED_VALUE"""),"\\MCA-S\mk\2_BM\0_BMat\08_PYM\Inventario\excel\Imagen de refacciones\Putzmeister\Filter Element Complete _ Elemento Filtrante Completo")</f>
        <v>\\MCA-S\mk\2_BM\0_BMat\08_PYM\Inventario\excel\Imagen de refacciones\Putzmeister\Filter Element Complete _ Elemento Filtrante Completo</v>
      </c>
      <c r="E889" s="74"/>
      <c r="F889" s="74" t="str">
        <f>IFERROR(__xludf.DUMMYFUNCTION("""COMPUTED_VALUE"""),"Filter Element Complete / Elemento Filtrante Completo")</f>
        <v>Filter Element Complete / Elemento Filtrante Completo</v>
      </c>
      <c r="G889" s="74"/>
      <c r="H889" s="74"/>
      <c r="I889" s="74" t="str">
        <f>IFERROR(__xludf.DUMMYFUNCTION("""COMPUTED_VALUE"""),"SOM20416")</f>
        <v>SOM20416</v>
      </c>
      <c r="J889" s="74" t="str">
        <f>IFERROR(__xludf.DUMMYFUNCTION("""COMPUTED_VALUE"""),"482073")</f>
        <v>482073</v>
      </c>
      <c r="K889" s="74" t="str">
        <f>IFERROR(__xludf.DUMMYFUNCTION("""COMPUTED_VALUE"""),"Putzmeister")</f>
        <v>Putzmeister</v>
      </c>
      <c r="L889" s="74" t="str">
        <f>IFERROR(__xludf.DUMMYFUNCTION("""COMPUTED_VALUE"""),"Elementos de Medición y Control")</f>
        <v>Elementos de Medición y Control</v>
      </c>
      <c r="M889" s="74" t="str">
        <f>IFERROR(__xludf.DUMMYFUNCTION("""COMPUTED_VALUE"""),"Sin Asignar")</f>
        <v>Sin Asignar</v>
      </c>
      <c r="N889" s="87">
        <f>IFERROR(__xludf.DUMMYFUNCTION("""COMPUTED_VALUE"""),0.0)</f>
        <v>0</v>
      </c>
      <c r="O889" s="74"/>
      <c r="P889" s="74" t="str">
        <f>IFERROR(__xludf.DUMMYFUNCTION("""COMPUTED_VALUE"""),"No Available")</f>
        <v>No Available</v>
      </c>
      <c r="Q889" s="74"/>
      <c r="R889" s="74"/>
      <c r="S889" s="87">
        <f>IFERROR(__xludf.DUMMYFUNCTION("""COMPUTED_VALUE"""),0.0)</f>
        <v>0</v>
      </c>
      <c r="T889" s="87">
        <f>IFERROR(__xludf.DUMMYFUNCTION("""COMPUTED_VALUE"""),0.0)</f>
        <v>0</v>
      </c>
      <c r="U889" s="87">
        <f>IFERROR(__xludf.DUMMYFUNCTION("""COMPUTED_VALUE"""),0.0)</f>
        <v>0</v>
      </c>
      <c r="V889" s="87">
        <f>IFERROR(__xludf.DUMMYFUNCTION("""COMPUTED_VALUE"""),0.0)</f>
        <v>0</v>
      </c>
      <c r="W889" s="87">
        <f>IFERROR(__xludf.DUMMYFUNCTION("""COMPUTED_VALUE"""),0.0)</f>
        <v>0</v>
      </c>
      <c r="X889" s="88"/>
      <c r="Y889" s="74"/>
      <c r="Z889" s="74"/>
    </row>
    <row r="890">
      <c r="B890" s="74" t="str">
        <f>IFERROR(__xludf.DUMMYFUNCTION("""COMPUTED_VALUE"""),"1887")</f>
        <v>1887</v>
      </c>
      <c r="C890" s="74" t="str">
        <f>IFERROR(__xludf.DUMMYFUNCTION("""COMPUTED_VALUE"""),"75045880397")</f>
        <v>75045880397</v>
      </c>
      <c r="D890" s="74" t="str">
        <f>IFERROR(__xludf.DUMMYFUNCTION("""COMPUTED_VALUE"""),"\\MCA-S\mk\2_BM\0_BMat\08_PYM\Inventario\excel\Imagen de refacciones\Putzmeister\Filtro hidráiulico")</f>
        <v>\\MCA-S\mk\2_BM\0_BMat\08_PYM\Inventario\excel\Imagen de refacciones\Putzmeister\Filtro hidráiulico</v>
      </c>
      <c r="E890" s="74" t="str">
        <f>IFERROR(__xludf.DUMMYFUNCTION("""COMPUTED_VALUE"""),"HYDRAULIC FILTER")</f>
        <v>HYDRAULIC FILTER</v>
      </c>
      <c r="F890" s="74" t="str">
        <f>IFERROR(__xludf.DUMMYFUNCTION("""COMPUTED_VALUE"""),"FILTRO HIDRAULICO")</f>
        <v>FILTRO HIDRAULICO</v>
      </c>
      <c r="G890" s="74"/>
      <c r="H890" s="74"/>
      <c r="I890" s="74" t="str">
        <f>IFERROR(__xludf.DUMMYFUNCTION("""COMPUTED_VALUE"""),"534896")</f>
        <v>534896</v>
      </c>
      <c r="J890" s="74"/>
      <c r="K890" s="74" t="str">
        <f>IFERROR(__xludf.DUMMYFUNCTION("""COMPUTED_VALUE"""),"Putzmeister")</f>
        <v>Putzmeister</v>
      </c>
      <c r="L890" s="74"/>
      <c r="M890" s="74" t="str">
        <f>IFERROR(__xludf.DUMMYFUNCTION("""COMPUTED_VALUE"""),"FILTROS")</f>
        <v>FILTROS</v>
      </c>
      <c r="N890" s="87">
        <f>IFERROR(__xludf.DUMMYFUNCTION("""COMPUTED_VALUE"""),5434.5599999999995)</f>
        <v>5434.56</v>
      </c>
      <c r="O890" s="74">
        <f>IFERROR(__xludf.DUMMYFUNCTION("""COMPUTED_VALUE"""),4.0)</f>
        <v>4</v>
      </c>
      <c r="P890" s="74" t="str">
        <f>IFERROR(__xludf.DUMMYFUNCTION("""COMPUTED_VALUE"""),"In stock")</f>
        <v>In stock</v>
      </c>
      <c r="Q890" s="74"/>
      <c r="R890" s="74"/>
      <c r="S890" s="87">
        <f>IFERROR(__xludf.DUMMYFUNCTION("""COMPUTED_VALUE"""),26.0)</f>
        <v>26</v>
      </c>
      <c r="T890" s="87">
        <f>IFERROR(__xludf.DUMMYFUNCTION("""COMPUTED_VALUE"""),306.0)</f>
        <v>306</v>
      </c>
      <c r="U890" s="87">
        <f>IFERROR(__xludf.DUMMYFUNCTION("""COMPUTED_VALUE"""),293.76)</f>
        <v>293.76</v>
      </c>
      <c r="V890" s="87">
        <f>IFERROR(__xludf.DUMMYFUNCTION("""COMPUTED_VALUE"""),31.85)</f>
        <v>31.85</v>
      </c>
      <c r="W890" s="87">
        <f>IFERROR(__xludf.DUMMYFUNCTION("""COMPUTED_VALUE"""),597.1875)</f>
        <v>597.1875</v>
      </c>
      <c r="X890" s="88">
        <f>IFERROR(__xludf.DUMMYFUNCTION("""COMPUTED_VALUE"""),11.298461538461538)</f>
        <v>11.29846154</v>
      </c>
      <c r="Y890" s="74"/>
      <c r="Z890" s="74"/>
    </row>
    <row r="891">
      <c r="B891" s="74" t="str">
        <f>IFERROR(__xludf.DUMMYFUNCTION("""COMPUTED_VALUE"""),"1888")</f>
        <v>1888</v>
      </c>
      <c r="C891" s="74" t="str">
        <f>IFERROR(__xludf.DUMMYFUNCTION("""COMPUTED_VALUE"""),"75045880576")</f>
        <v>75045880576</v>
      </c>
      <c r="D891" s="74" t="str">
        <f>IFERROR(__xludf.DUMMYFUNCTION("""COMPUTED_VALUE"""),"\\MCA-S\mk\2_BM\0_BMat\08_PYM\Inventario\excel\Imagen de refacciones\Putzmeister\Filtro hidráulico")</f>
        <v>\\MCA-S\mk\2_BM\0_BMat\08_PYM\Inventario\excel\Imagen de refacciones\Putzmeister\Filtro hidráulico</v>
      </c>
      <c r="E891" s="74" t="str">
        <f>IFERROR(__xludf.DUMMYFUNCTION("""COMPUTED_VALUE"""),"HYDRAULIC FILTER")</f>
        <v>HYDRAULIC FILTER</v>
      </c>
      <c r="F891" s="74" t="str">
        <f>IFERROR(__xludf.DUMMYFUNCTION("""COMPUTED_VALUE"""),"FILTRO HIDRAULICO")</f>
        <v>FILTRO HIDRAULICO</v>
      </c>
      <c r="G891" s="74"/>
      <c r="H891" s="74"/>
      <c r="I891" s="74" t="str">
        <f>IFERROR(__xludf.DUMMYFUNCTION("""COMPUTED_VALUE"""),"223192009")</f>
        <v>223192009</v>
      </c>
      <c r="J891" s="74"/>
      <c r="K891" s="74" t="str">
        <f>IFERROR(__xludf.DUMMYFUNCTION("""COMPUTED_VALUE"""),"Putzmeister")</f>
        <v>Putzmeister</v>
      </c>
      <c r="L891" s="74"/>
      <c r="M891" s="74" t="str">
        <f>IFERROR(__xludf.DUMMYFUNCTION("""COMPUTED_VALUE"""),"FILTROS")</f>
        <v>FILTROS</v>
      </c>
      <c r="N891" s="87">
        <f>IFERROR(__xludf.DUMMYFUNCTION("""COMPUTED_VALUE"""),1154.3999999999999)</f>
        <v>1154.4</v>
      </c>
      <c r="O891" s="74">
        <f>IFERROR(__xludf.DUMMYFUNCTION("""COMPUTED_VALUE"""),4.0)</f>
        <v>4</v>
      </c>
      <c r="P891" s="74" t="str">
        <f>IFERROR(__xludf.DUMMYFUNCTION("""COMPUTED_VALUE"""),"In stock")</f>
        <v>In stock</v>
      </c>
      <c r="Q891" s="74"/>
      <c r="R891" s="74"/>
      <c r="S891" s="87">
        <f>IFERROR(__xludf.DUMMYFUNCTION("""COMPUTED_VALUE"""),6.5)</f>
        <v>6.5</v>
      </c>
      <c r="T891" s="87">
        <f>IFERROR(__xludf.DUMMYFUNCTION("""COMPUTED_VALUE"""),65.0)</f>
        <v>65</v>
      </c>
      <c r="U891" s="87">
        <f>IFERROR(__xludf.DUMMYFUNCTION("""COMPUTED_VALUE"""),62.4)</f>
        <v>62.4</v>
      </c>
      <c r="V891" s="87">
        <f>IFERROR(__xludf.DUMMYFUNCTION("""COMPUTED_VALUE"""),7.9625)</f>
        <v>7.9625</v>
      </c>
      <c r="W891" s="87">
        <f>IFERROR(__xludf.DUMMYFUNCTION("""COMPUTED_VALUE"""),149.296875)</f>
        <v>149.296875</v>
      </c>
      <c r="X891" s="88">
        <f>IFERROR(__xludf.DUMMYFUNCTION("""COMPUTED_VALUE"""),9.6)</f>
        <v>9.6</v>
      </c>
      <c r="Y891" s="74"/>
      <c r="Z891" s="74"/>
    </row>
    <row r="892">
      <c r="B892" s="74" t="str">
        <f>IFERROR(__xludf.DUMMYFUNCTION("""COMPUTED_VALUE"""),"1889")</f>
        <v>1889</v>
      </c>
      <c r="C892" s="74"/>
      <c r="D892" s="74" t="str">
        <f>IFERROR(__xludf.DUMMYFUNCTION("""COMPUTED_VALUE"""),"\\MCA-S\mk\2_BM\0_BMat\08_PYM\Inventario\excel\Imagen de refacciones\Putzmeister\Flushing Valve _ Válvula de Purga")</f>
        <v>\\MCA-S\mk\2_BM\0_BMat\08_PYM\Inventario\excel\Imagen de refacciones\Putzmeister\Flushing Valve _ Válvula de Purga</v>
      </c>
      <c r="E892" s="74"/>
      <c r="F892" s="74" t="str">
        <f>IFERROR(__xludf.DUMMYFUNCTION("""COMPUTED_VALUE"""),"Flushing Valve / Válvula de Purga")</f>
        <v>Flushing Valve / Válvula de Purga</v>
      </c>
      <c r="G892" s="74"/>
      <c r="H892" s="74"/>
      <c r="I892" s="74" t="str">
        <f>IFERROR(__xludf.DUMMYFUNCTION("""COMPUTED_VALUE"""),"SOM20544")</f>
        <v>SOM20544</v>
      </c>
      <c r="J892" s="74" t="str">
        <f>IFERROR(__xludf.DUMMYFUNCTION("""COMPUTED_VALUE"""),"284132002")</f>
        <v>284132002</v>
      </c>
      <c r="K892" s="74" t="str">
        <f>IFERROR(__xludf.DUMMYFUNCTION("""COMPUTED_VALUE"""),"Putzmeister")</f>
        <v>Putzmeister</v>
      </c>
      <c r="L892" s="74" t="str">
        <f>IFERROR(__xludf.DUMMYFUNCTION("""COMPUTED_VALUE"""),"Componentes Hidráulicos")</f>
        <v>Componentes Hidráulicos</v>
      </c>
      <c r="M892" s="74" t="str">
        <f>IFERROR(__xludf.DUMMYFUNCTION("""COMPUTED_VALUE"""),"Sin Asignar")</f>
        <v>Sin Asignar</v>
      </c>
      <c r="N892" s="87">
        <f>IFERROR(__xludf.DUMMYFUNCTION("""COMPUTED_VALUE"""),0.0)</f>
        <v>0</v>
      </c>
      <c r="O892" s="74"/>
      <c r="P892" s="74" t="str">
        <f>IFERROR(__xludf.DUMMYFUNCTION("""COMPUTED_VALUE"""),"No Available")</f>
        <v>No Available</v>
      </c>
      <c r="Q892" s="74"/>
      <c r="R892" s="74"/>
      <c r="S892" s="87">
        <f>IFERROR(__xludf.DUMMYFUNCTION("""COMPUTED_VALUE"""),0.0)</f>
        <v>0</v>
      </c>
      <c r="T892" s="87">
        <f>IFERROR(__xludf.DUMMYFUNCTION("""COMPUTED_VALUE"""),0.0)</f>
        <v>0</v>
      </c>
      <c r="U892" s="87">
        <f>IFERROR(__xludf.DUMMYFUNCTION("""COMPUTED_VALUE"""),0.0)</f>
        <v>0</v>
      </c>
      <c r="V892" s="87">
        <f>IFERROR(__xludf.DUMMYFUNCTION("""COMPUTED_VALUE"""),0.0)</f>
        <v>0</v>
      </c>
      <c r="W892" s="87">
        <f>IFERROR(__xludf.DUMMYFUNCTION("""COMPUTED_VALUE"""),0.0)</f>
        <v>0</v>
      </c>
      <c r="X892" s="88"/>
      <c r="Y892" s="74"/>
      <c r="Z892" s="74"/>
    </row>
    <row r="893">
      <c r="B893" s="74" t="str">
        <f>IFERROR(__xludf.DUMMYFUNCTION("""COMPUTED_VALUE"""),"1890")</f>
        <v>1890</v>
      </c>
      <c r="C893" s="74"/>
      <c r="D893" s="74" t="str">
        <f>IFERROR(__xludf.DUMMYFUNCTION("""COMPUTED_VALUE"""),"\\MCA-S\mk\2_BM\0_BMat\08_PYM\Inventario\excel\Imagen de refacciones\Putzmeister\Forward Control Cable _ Cable de Control Adelante")</f>
        <v>\\MCA-S\mk\2_BM\0_BMat\08_PYM\Inventario\excel\Imagen de refacciones\Putzmeister\Forward Control Cable _ Cable de Control Adelante</v>
      </c>
      <c r="E893" s="74"/>
      <c r="F893" s="74" t="str">
        <f>IFERROR(__xludf.DUMMYFUNCTION("""COMPUTED_VALUE"""),"Forward Control Cable / Cable de Control Adelante")</f>
        <v>Forward Control Cable / Cable de Control Adelante</v>
      </c>
      <c r="G893" s="74"/>
      <c r="H893" s="74"/>
      <c r="I893" s="74" t="str">
        <f>IFERROR(__xludf.DUMMYFUNCTION("""COMPUTED_VALUE"""),"SOM20422")</f>
        <v>SOM20422</v>
      </c>
      <c r="J893" s="74" t="str">
        <f>IFERROR(__xludf.DUMMYFUNCTION("""COMPUTED_VALUE"""),"229254006")</f>
        <v>229254006</v>
      </c>
      <c r="K893" s="74" t="str">
        <f>IFERROR(__xludf.DUMMYFUNCTION("""COMPUTED_VALUE"""),"Putzmeister")</f>
        <v>Putzmeister</v>
      </c>
      <c r="L893" s="74" t="str">
        <f>IFERROR(__xludf.DUMMYFUNCTION("""COMPUTED_VALUE"""),"Componentes Eléctricos")</f>
        <v>Componentes Eléctricos</v>
      </c>
      <c r="M893" s="74" t="str">
        <f>IFERROR(__xludf.DUMMYFUNCTION("""COMPUTED_VALUE"""),"Sin Asignar")</f>
        <v>Sin Asignar</v>
      </c>
      <c r="N893" s="87">
        <f>IFERROR(__xludf.DUMMYFUNCTION("""COMPUTED_VALUE"""),0.0)</f>
        <v>0</v>
      </c>
      <c r="O893" s="74"/>
      <c r="P893" s="74" t="str">
        <f>IFERROR(__xludf.DUMMYFUNCTION("""COMPUTED_VALUE"""),"No Available")</f>
        <v>No Available</v>
      </c>
      <c r="Q893" s="74"/>
      <c r="R893" s="74"/>
      <c r="S893" s="87">
        <f>IFERROR(__xludf.DUMMYFUNCTION("""COMPUTED_VALUE"""),0.0)</f>
        <v>0</v>
      </c>
      <c r="T893" s="87">
        <f>IFERROR(__xludf.DUMMYFUNCTION("""COMPUTED_VALUE"""),0.0)</f>
        <v>0</v>
      </c>
      <c r="U893" s="87">
        <f>IFERROR(__xludf.DUMMYFUNCTION("""COMPUTED_VALUE"""),0.0)</f>
        <v>0</v>
      </c>
      <c r="V893" s="87">
        <f>IFERROR(__xludf.DUMMYFUNCTION("""COMPUTED_VALUE"""),0.0)</f>
        <v>0</v>
      </c>
      <c r="W893" s="87">
        <f>IFERROR(__xludf.DUMMYFUNCTION("""COMPUTED_VALUE"""),0.0)</f>
        <v>0</v>
      </c>
      <c r="X893" s="88"/>
      <c r="Y893" s="74"/>
      <c r="Z893" s="74"/>
    </row>
    <row r="894">
      <c r="B894" s="74" t="str">
        <f>IFERROR(__xludf.DUMMYFUNCTION("""COMPUTED_VALUE"""),"1891")</f>
        <v>1891</v>
      </c>
      <c r="C894" s="74"/>
      <c r="D894" s="74" t="str">
        <f>IFERROR(__xludf.DUMMYFUNCTION("""COMPUTED_VALUE"""),"\\MCA-S\mk\2_BM\0_BMat\08_PYM\Inventario\excel\Imagen de refacciones\Putzmeister\Forward Control Valve _ Válvula de Control Adelante")</f>
        <v>\\MCA-S\mk\2_BM\0_BMat\08_PYM\Inventario\excel\Imagen de refacciones\Putzmeister\Forward Control Valve _ Válvula de Control Adelante</v>
      </c>
      <c r="E894" s="74"/>
      <c r="F894" s="74" t="str">
        <f>IFERROR(__xludf.DUMMYFUNCTION("""COMPUTED_VALUE"""),"Forward Control Valve / Válvula de Control Adelante")</f>
        <v>Forward Control Valve / Válvula de Control Adelante</v>
      </c>
      <c r="G894" s="74"/>
      <c r="H894" s="74"/>
      <c r="I894" s="74" t="str">
        <f>IFERROR(__xludf.DUMMYFUNCTION("""COMPUTED_VALUE"""),"SOM20421")</f>
        <v>SOM20421</v>
      </c>
      <c r="J894" s="74" t="str">
        <f>IFERROR(__xludf.DUMMYFUNCTION("""COMPUTED_VALUE"""),"245745007")</f>
        <v>245745007</v>
      </c>
      <c r="K894" s="74" t="str">
        <f>IFERROR(__xludf.DUMMYFUNCTION("""COMPUTED_VALUE"""),"Putzmeister")</f>
        <v>Putzmeister</v>
      </c>
      <c r="L894" s="74" t="str">
        <f>IFERROR(__xludf.DUMMYFUNCTION("""COMPUTED_VALUE"""),"Componentes Hidráulicos")</f>
        <v>Componentes Hidráulicos</v>
      </c>
      <c r="M894" s="74" t="str">
        <f>IFERROR(__xludf.DUMMYFUNCTION("""COMPUTED_VALUE"""),"Sin Asignar")</f>
        <v>Sin Asignar</v>
      </c>
      <c r="N894" s="87">
        <f>IFERROR(__xludf.DUMMYFUNCTION("""COMPUTED_VALUE"""),0.0)</f>
        <v>0</v>
      </c>
      <c r="O894" s="74"/>
      <c r="P894" s="74" t="str">
        <f>IFERROR(__xludf.DUMMYFUNCTION("""COMPUTED_VALUE"""),"No Available")</f>
        <v>No Available</v>
      </c>
      <c r="Q894" s="74"/>
      <c r="R894" s="74"/>
      <c r="S894" s="87">
        <f>IFERROR(__xludf.DUMMYFUNCTION("""COMPUTED_VALUE"""),0.0)</f>
        <v>0</v>
      </c>
      <c r="T894" s="87">
        <f>IFERROR(__xludf.DUMMYFUNCTION("""COMPUTED_VALUE"""),0.0)</f>
        <v>0</v>
      </c>
      <c r="U894" s="87">
        <f>IFERROR(__xludf.DUMMYFUNCTION("""COMPUTED_VALUE"""),0.0)</f>
        <v>0</v>
      </c>
      <c r="V894" s="87">
        <f>IFERROR(__xludf.DUMMYFUNCTION("""COMPUTED_VALUE"""),0.0)</f>
        <v>0</v>
      </c>
      <c r="W894" s="87">
        <f>IFERROR(__xludf.DUMMYFUNCTION("""COMPUTED_VALUE"""),0.0)</f>
        <v>0</v>
      </c>
      <c r="X894" s="88"/>
      <c r="Y894" s="74"/>
      <c r="Z894" s="74"/>
    </row>
    <row r="895">
      <c r="B895" s="74" t="str">
        <f>IFERROR(__xludf.DUMMYFUNCTION("""COMPUTED_VALUE"""),"1892")</f>
        <v>1892</v>
      </c>
      <c r="C895" s="74"/>
      <c r="D895" s="74" t="str">
        <f>IFERROR(__xludf.DUMMYFUNCTION("""COMPUTED_VALUE"""),"\\MCA-S\mk\2_BM\0_BMat\08_PYM\Inventario\excel\Imagen de refacciones\Putzmeister\Gasket Set _ Juego de Juntas")</f>
        <v>\\MCA-S\mk\2_BM\0_BMat\08_PYM\Inventario\excel\Imagen de refacciones\Putzmeister\Gasket Set _ Juego de Juntas</v>
      </c>
      <c r="E895" s="74"/>
      <c r="F895" s="74" t="str">
        <f>IFERROR(__xludf.DUMMYFUNCTION("""COMPUTED_VALUE"""),"Gasket Set / Juego de Juntas")</f>
        <v>Gasket Set / Juego de Juntas</v>
      </c>
      <c r="G895" s="74"/>
      <c r="H895" s="74"/>
      <c r="I895" s="74" t="str">
        <f>IFERROR(__xludf.DUMMYFUNCTION("""COMPUTED_VALUE"""),"SOM20431")</f>
        <v>SOM20431</v>
      </c>
      <c r="J895" s="74" t="str">
        <f>IFERROR(__xludf.DUMMYFUNCTION("""COMPUTED_VALUE"""),"234994005")</f>
        <v>234994005</v>
      </c>
      <c r="K895" s="74" t="str">
        <f>IFERROR(__xludf.DUMMYFUNCTION("""COMPUTED_VALUE"""),"Putzmeister")</f>
        <v>Putzmeister</v>
      </c>
      <c r="L895" s="74" t="str">
        <f>IFERROR(__xludf.DUMMYFUNCTION("""COMPUTED_VALUE"""),"Sellos y Retenes")</f>
        <v>Sellos y Retenes</v>
      </c>
      <c r="M895" s="74" t="str">
        <f>IFERROR(__xludf.DUMMYFUNCTION("""COMPUTED_VALUE"""),"Sin Asignar")</f>
        <v>Sin Asignar</v>
      </c>
      <c r="N895" s="87">
        <f>IFERROR(__xludf.DUMMYFUNCTION("""COMPUTED_VALUE"""),0.0)</f>
        <v>0</v>
      </c>
      <c r="O895" s="74"/>
      <c r="P895" s="74" t="str">
        <f>IFERROR(__xludf.DUMMYFUNCTION("""COMPUTED_VALUE"""),"borrar")</f>
        <v>borrar</v>
      </c>
      <c r="Q895" s="74"/>
      <c r="R895" s="74"/>
      <c r="S895" s="87">
        <f>IFERROR(__xludf.DUMMYFUNCTION("""COMPUTED_VALUE"""),0.0)</f>
        <v>0</v>
      </c>
      <c r="T895" s="87">
        <f>IFERROR(__xludf.DUMMYFUNCTION("""COMPUTED_VALUE"""),0.0)</f>
        <v>0</v>
      </c>
      <c r="U895" s="87">
        <f>IFERROR(__xludf.DUMMYFUNCTION("""COMPUTED_VALUE"""),0.0)</f>
        <v>0</v>
      </c>
      <c r="V895" s="87">
        <f>IFERROR(__xludf.DUMMYFUNCTION("""COMPUTED_VALUE"""),0.0)</f>
        <v>0</v>
      </c>
      <c r="W895" s="87">
        <f>IFERROR(__xludf.DUMMYFUNCTION("""COMPUTED_VALUE"""),0.0)</f>
        <v>0</v>
      </c>
      <c r="X895" s="88"/>
      <c r="Y895" s="74"/>
      <c r="Z895" s="74"/>
    </row>
    <row r="896">
      <c r="B896" s="74" t="str">
        <f>IFERROR(__xludf.DUMMYFUNCTION("""COMPUTED_VALUE"""),"1893")</f>
        <v>1893</v>
      </c>
      <c r="C896" s="74"/>
      <c r="D896" s="74" t="str">
        <f>IFERROR(__xludf.DUMMYFUNCTION("""COMPUTED_VALUE"""),"\\MCA-S\mk\2_BM\0_BMat\08_PYM\Inventario\excel\Imagen de refacciones\Putzmeister\Gear Weld Wheel Set for G-02 _ Juego de Ruedas Soldadas de Engranaje para G-02")</f>
        <v>\\MCA-S\mk\2_BM\0_BMat\08_PYM\Inventario\excel\Imagen de refacciones\Putzmeister\Gear Weld Wheel Set for G-02 _ Juego de Ruedas Soldadas de Engranaje para G-02</v>
      </c>
      <c r="E896" s="74"/>
      <c r="F896" s="74" t="str">
        <f>IFERROR(__xludf.DUMMYFUNCTION("""COMPUTED_VALUE"""),"Gear Weld Wheel Set for G-02 / Juego de Ruedas Soldadas de Engranaje para G-02")</f>
        <v>Gear Weld Wheel Set for G-02 / Juego de Ruedas Soldadas de Engranaje para G-02</v>
      </c>
      <c r="G896" s="74"/>
      <c r="H896" s="74"/>
      <c r="I896" s="74" t="str">
        <f>IFERROR(__xludf.DUMMYFUNCTION("""COMPUTED_VALUE"""),"SOM20521")</f>
        <v>SOM20521</v>
      </c>
      <c r="J896" s="74" t="str">
        <f>IFERROR(__xludf.DUMMYFUNCTION("""COMPUTED_VALUE"""),"63589007")</f>
        <v>63589007</v>
      </c>
      <c r="K896" s="74" t="str">
        <f>IFERROR(__xludf.DUMMYFUNCTION("""COMPUTED_VALUE"""),"Putzmeister")</f>
        <v>Putzmeister</v>
      </c>
      <c r="L896" s="74" t="str">
        <f>IFERROR(__xludf.DUMMYFUNCTION("""COMPUTED_VALUE"""),"Transmisión Mecánica")</f>
        <v>Transmisión Mecánica</v>
      </c>
      <c r="M896" s="74" t="str">
        <f>IFERROR(__xludf.DUMMYFUNCTION("""COMPUTED_VALUE"""),"Sin Asignar")</f>
        <v>Sin Asignar</v>
      </c>
      <c r="N896" s="87">
        <f>IFERROR(__xludf.DUMMYFUNCTION("""COMPUTED_VALUE"""),0.0)</f>
        <v>0</v>
      </c>
      <c r="O896" s="74"/>
      <c r="P896" s="74" t="str">
        <f>IFERROR(__xludf.DUMMYFUNCTION("""COMPUTED_VALUE"""),"No Available")</f>
        <v>No Available</v>
      </c>
      <c r="Q896" s="74"/>
      <c r="R896" s="74"/>
      <c r="S896" s="87">
        <f>IFERROR(__xludf.DUMMYFUNCTION("""COMPUTED_VALUE"""),0.0)</f>
        <v>0</v>
      </c>
      <c r="T896" s="87">
        <f>IFERROR(__xludf.DUMMYFUNCTION("""COMPUTED_VALUE"""),0.0)</f>
        <v>0</v>
      </c>
      <c r="U896" s="87">
        <f>IFERROR(__xludf.DUMMYFUNCTION("""COMPUTED_VALUE"""),0.0)</f>
        <v>0</v>
      </c>
      <c r="V896" s="87">
        <f>IFERROR(__xludf.DUMMYFUNCTION("""COMPUTED_VALUE"""),0.0)</f>
        <v>0</v>
      </c>
      <c r="W896" s="87">
        <f>IFERROR(__xludf.DUMMYFUNCTION("""COMPUTED_VALUE"""),0.0)</f>
        <v>0</v>
      </c>
      <c r="X896" s="88"/>
      <c r="Y896" s="74"/>
      <c r="Z896" s="74"/>
    </row>
    <row r="897">
      <c r="B897" s="74" t="str">
        <f>IFERROR(__xludf.DUMMYFUNCTION("""COMPUTED_VALUE"""),"1894")</f>
        <v>1894</v>
      </c>
      <c r="C897" s="74" t="str">
        <f>IFERROR(__xludf.DUMMYFUNCTION("""COMPUTED_VALUE"""),"75045880518")</f>
        <v>75045880518</v>
      </c>
      <c r="D897" s="74" t="str">
        <f>IFERROR(__xludf.DUMMYFUNCTION("""COMPUTED_VALUE"""),"\\MCA-S\mk\2_BM\0_BMat\08_PYM\Inventario\excel\Imagen de refacciones\Putzmeister\Guía de alojamiento completa 80mm")</f>
        <v>\\MCA-S\mk\2_BM\0_BMat\08_PYM\Inventario\excel\Imagen de refacciones\Putzmeister\Guía de alojamiento completa 80mm</v>
      </c>
      <c r="E897" s="74" t="str">
        <f>IFERROR(__xludf.DUMMYFUNCTION("""COMPUTED_VALUE"""),"UPPER HOUSING 80MM WITHOUT TEETH")</f>
        <v>UPPER HOUSING 80MM WITHOUT TEETH</v>
      </c>
      <c r="F897" s="74" t="str">
        <f>IFERROR(__xludf.DUMMYFUNCTION("""COMPUTED_VALUE"""),"GUIA DE ALOJAMIENTO COMPLETA SIN DIENTES 80MM")</f>
        <v>GUIA DE ALOJAMIENTO COMPLETA SIN DIENTES 80MM</v>
      </c>
      <c r="G897" s="74"/>
      <c r="H897" s="74" t="str">
        <f>IFERROR(__xludf.DUMMYFUNCTION("""COMPUTED_VALUE"""),"GUÍA DE ALOJAMIENTO COMPLETA 80MM PARA BOMBA DE HORMIGON")</f>
        <v>GUÍA DE ALOJAMIENTO COMPLETA 80MM PARA BOMBA DE HORMIGON</v>
      </c>
      <c r="I897" s="74" t="str">
        <f>IFERROR(__xludf.DUMMYFUNCTION("""COMPUTED_VALUE"""),"401783")</f>
        <v>401783</v>
      </c>
      <c r="J897" s="74"/>
      <c r="K897" s="74" t="str">
        <f>IFERROR(__xludf.DUMMYFUNCTION("""COMPUTED_VALUE"""),"Putzmeister")</f>
        <v>Putzmeister</v>
      </c>
      <c r="L897" s="74" t="str">
        <f>IFERROR(__xludf.DUMMYFUNCTION("""COMPUTED_VALUE"""),"BARRA V-ROCK")</f>
        <v>BARRA V-ROCK</v>
      </c>
      <c r="M897" s="74" t="str">
        <f>IFERROR(__xludf.DUMMYFUNCTION("""COMPUTED_VALUE"""),"ANILLOS METALICOS")</f>
        <v>ANILLOS METALICOS</v>
      </c>
      <c r="N897" s="87">
        <f>IFERROR(__xludf.DUMMYFUNCTION("""COMPUTED_VALUE"""),6695.5199999999995)</f>
        <v>6695.52</v>
      </c>
      <c r="O897" s="74">
        <f>IFERROR(__xludf.DUMMYFUNCTION("""COMPUTED_VALUE"""),2.0)</f>
        <v>2</v>
      </c>
      <c r="P897" s="74" t="str">
        <f>IFERROR(__xludf.DUMMYFUNCTION("""COMPUTED_VALUE"""),"In stock")</f>
        <v>In stock</v>
      </c>
      <c r="Q897" s="74"/>
      <c r="R897" s="74"/>
      <c r="S897" s="87">
        <f>IFERROR(__xludf.DUMMYFUNCTION("""COMPUTED_VALUE"""),40.0)</f>
        <v>40</v>
      </c>
      <c r="T897" s="87">
        <f>IFERROR(__xludf.DUMMYFUNCTION("""COMPUTED_VALUE"""),377.0)</f>
        <v>377</v>
      </c>
      <c r="U897" s="87">
        <f>IFERROR(__xludf.DUMMYFUNCTION("""COMPUTED_VALUE"""),361.91999999999996)</f>
        <v>361.92</v>
      </c>
      <c r="V897" s="87">
        <f>IFERROR(__xludf.DUMMYFUNCTION("""COMPUTED_VALUE"""),49.0)</f>
        <v>49</v>
      </c>
      <c r="W897" s="87">
        <f>IFERROR(__xludf.DUMMYFUNCTION("""COMPUTED_VALUE"""),918.75)</f>
        <v>918.75</v>
      </c>
      <c r="X897" s="88">
        <f>IFERROR(__xludf.DUMMYFUNCTION("""COMPUTED_VALUE"""),9.047999999999998)</f>
        <v>9.048</v>
      </c>
      <c r="Y897" s="74"/>
      <c r="Z897" s="74"/>
    </row>
    <row r="898">
      <c r="B898" s="74" t="str">
        <f>IFERROR(__xludf.DUMMYFUNCTION("""COMPUTED_VALUE"""),"1895")</f>
        <v>1895</v>
      </c>
      <c r="C898" s="74" t="str">
        <f>IFERROR(__xludf.DUMMYFUNCTION("""COMPUTED_VALUE"""),"75045880519")</f>
        <v>75045880519</v>
      </c>
      <c r="D898" s="74" t="str">
        <f>IFERROR(__xludf.DUMMYFUNCTION("""COMPUTED_VALUE"""),"\\MCA-S\mk\2_BM\0_BMat\08_PYM\Inventario\excel\Imagen de refacciones\Putzmeister\Guía de alojamiento completa 90mm")</f>
        <v>\\MCA-S\mk\2_BM\0_BMat\08_PYM\Inventario\excel\Imagen de refacciones\Putzmeister\Guía de alojamiento completa 90mm</v>
      </c>
      <c r="E898" s="74" t="str">
        <f>IFERROR(__xludf.DUMMYFUNCTION("""COMPUTED_VALUE"""),"UPPER HOUSING 90MM WITHOUT TEETH")</f>
        <v>UPPER HOUSING 90MM WITHOUT TEETH</v>
      </c>
      <c r="F898" s="74" t="str">
        <f>IFERROR(__xludf.DUMMYFUNCTION("""COMPUTED_VALUE"""),"GUIA DE ALOJAMIENTO COMPLETA SIN DIENTES 90MM")</f>
        <v>GUIA DE ALOJAMIENTO COMPLETA SIN DIENTES 90MM</v>
      </c>
      <c r="G898" s="74"/>
      <c r="H898" s="74" t="str">
        <f>IFERROR(__xludf.DUMMYFUNCTION("""COMPUTED_VALUE"""),"GUÍA DE ALOJAMIENTO COMPLETA 90MM PARA BOMBA DE HORMIGON")</f>
        <v>GUÍA DE ALOJAMIENTO COMPLETA 90MM PARA BOMBA DE HORMIGON</v>
      </c>
      <c r="I898" s="74" t="str">
        <f>IFERROR(__xludf.DUMMYFUNCTION("""COMPUTED_VALUE"""),"274893001")</f>
        <v>274893001</v>
      </c>
      <c r="J898" s="74"/>
      <c r="K898" s="74" t="str">
        <f>IFERROR(__xludf.DUMMYFUNCTION("""COMPUTED_VALUE"""),"Putzmeister")</f>
        <v>Putzmeister</v>
      </c>
      <c r="L898" s="74" t="str">
        <f>IFERROR(__xludf.DUMMYFUNCTION("""COMPUTED_VALUE"""),"BARRA V-ROCK")</f>
        <v>BARRA V-ROCK</v>
      </c>
      <c r="M898" s="74" t="str">
        <f>IFERROR(__xludf.DUMMYFUNCTION("""COMPUTED_VALUE"""),"SIN ASIGNAR")</f>
        <v>SIN ASIGNAR</v>
      </c>
      <c r="N898" s="87">
        <f>IFERROR(__xludf.DUMMYFUNCTION("""COMPUTED_VALUE"""),6695.5199999999995)</f>
        <v>6695.52</v>
      </c>
      <c r="O898" s="74">
        <f>IFERROR(__xludf.DUMMYFUNCTION("""COMPUTED_VALUE"""),2.0)</f>
        <v>2</v>
      </c>
      <c r="P898" s="74" t="str">
        <f>IFERROR(__xludf.DUMMYFUNCTION("""COMPUTED_VALUE"""),"In stock")</f>
        <v>In stock</v>
      </c>
      <c r="Q898" s="74"/>
      <c r="R898" s="74"/>
      <c r="S898" s="87">
        <f>IFERROR(__xludf.DUMMYFUNCTION("""COMPUTED_VALUE"""),40.0)</f>
        <v>40</v>
      </c>
      <c r="T898" s="87">
        <f>IFERROR(__xludf.DUMMYFUNCTION("""COMPUTED_VALUE"""),377.0)</f>
        <v>377</v>
      </c>
      <c r="U898" s="87">
        <f>IFERROR(__xludf.DUMMYFUNCTION("""COMPUTED_VALUE"""),361.91999999999996)</f>
        <v>361.92</v>
      </c>
      <c r="V898" s="87">
        <f>IFERROR(__xludf.DUMMYFUNCTION("""COMPUTED_VALUE"""),49.0)</f>
        <v>49</v>
      </c>
      <c r="W898" s="87">
        <f>IFERROR(__xludf.DUMMYFUNCTION("""COMPUTED_VALUE"""),918.75)</f>
        <v>918.75</v>
      </c>
      <c r="X898" s="88">
        <f>IFERROR(__xludf.DUMMYFUNCTION("""COMPUTED_VALUE"""),9.047999999999998)</f>
        <v>9.048</v>
      </c>
      <c r="Y898" s="74"/>
      <c r="Z898" s="74"/>
    </row>
    <row r="899">
      <c r="B899" s="74" t="str">
        <f>IFERROR(__xludf.DUMMYFUNCTION("""COMPUTED_VALUE"""),"1896")</f>
        <v>1896</v>
      </c>
      <c r="C899" s="74" t="str">
        <f>IFERROR(__xludf.DUMMYFUNCTION("""COMPUTED_VALUE"""),"75045880520")</f>
        <v>75045880520</v>
      </c>
      <c r="D899" s="74" t="str">
        <f>IFERROR(__xludf.DUMMYFUNCTION("""COMPUTED_VALUE"""),"\\MCA-S\mk\2_BM\0_BMat\08_PYM\Inventario\excel\Imagen de refacciones\Putzmeister\Guía de descarga")</f>
        <v>\\MCA-S\mk\2_BM\0_BMat\08_PYM\Inventario\excel\Imagen de refacciones\Putzmeister\Guía de descarga</v>
      </c>
      <c r="E899" s="74" t="str">
        <f>IFERROR(__xludf.DUMMYFUNCTION("""COMPUTED_VALUE"""),"OUTER HOUSING")</f>
        <v>OUTER HOUSING</v>
      </c>
      <c r="F899" s="74" t="str">
        <f>IFERROR(__xludf.DUMMYFUNCTION("""COMPUTED_VALUE"""),"GUIA DE DESCARGA ")</f>
        <v>GUIA DE DESCARGA </v>
      </c>
      <c r="G899" s="74"/>
      <c r="H899" s="74"/>
      <c r="I899" s="74" t="str">
        <f>IFERROR(__xludf.DUMMYFUNCTION("""COMPUTED_VALUE"""),"240391003")</f>
        <v>240391003</v>
      </c>
      <c r="J899" s="74"/>
      <c r="K899" s="74" t="str">
        <f>IFERROR(__xludf.DUMMYFUNCTION("""COMPUTED_VALUE"""),"Putzmeister")</f>
        <v>Putzmeister</v>
      </c>
      <c r="L899" s="74" t="str">
        <f>IFERROR(__xludf.DUMMYFUNCTION("""COMPUTED_VALUE"""),"BARRA V-ROCK")</f>
        <v>BARRA V-ROCK</v>
      </c>
      <c r="M899" s="74" t="str">
        <f>IFERROR(__xludf.DUMMYFUNCTION("""COMPUTED_VALUE"""),"SIN ASIGNAR")</f>
        <v>SIN ASIGNAR</v>
      </c>
      <c r="N899" s="87">
        <f>IFERROR(__xludf.DUMMYFUNCTION("""COMPUTED_VALUE"""),4582.08)</f>
        <v>4582.08</v>
      </c>
      <c r="O899" s="74">
        <f>IFERROR(__xludf.DUMMYFUNCTION("""COMPUTED_VALUE"""),2.0)</f>
        <v>2</v>
      </c>
      <c r="P899" s="74" t="str">
        <f>IFERROR(__xludf.DUMMYFUNCTION("""COMPUTED_VALUE"""),"In stock")</f>
        <v>In stock</v>
      </c>
      <c r="Q899" s="74"/>
      <c r="R899" s="74"/>
      <c r="S899" s="87">
        <f>IFERROR(__xludf.DUMMYFUNCTION("""COMPUTED_VALUE"""),65.0)</f>
        <v>65</v>
      </c>
      <c r="T899" s="87">
        <f>IFERROR(__xludf.DUMMYFUNCTION("""COMPUTED_VALUE"""),258.0)</f>
        <v>258</v>
      </c>
      <c r="U899" s="87">
        <f>IFERROR(__xludf.DUMMYFUNCTION("""COMPUTED_VALUE"""),247.67999999999998)</f>
        <v>247.68</v>
      </c>
      <c r="V899" s="87">
        <f>IFERROR(__xludf.DUMMYFUNCTION("""COMPUTED_VALUE"""),79.625)</f>
        <v>79.625</v>
      </c>
      <c r="W899" s="87">
        <f>IFERROR(__xludf.DUMMYFUNCTION("""COMPUTED_VALUE"""),1492.96875)</f>
        <v>1492.96875</v>
      </c>
      <c r="X899" s="88">
        <f>IFERROR(__xludf.DUMMYFUNCTION("""COMPUTED_VALUE"""),3.810461538461538)</f>
        <v>3.810461538</v>
      </c>
      <c r="Y899" s="74"/>
      <c r="Z899" s="74"/>
    </row>
    <row r="900">
      <c r="B900" s="74" t="str">
        <f>IFERROR(__xludf.DUMMYFUNCTION("""COMPUTED_VALUE"""),"1897")</f>
        <v>1897</v>
      </c>
      <c r="C900" s="74" t="str">
        <f>IFERROR(__xludf.DUMMYFUNCTION("""COMPUTED_VALUE"""),"75045880463")</f>
        <v>75045880463</v>
      </c>
      <c r="D900" s="74" t="str">
        <f>IFERROR(__xludf.DUMMYFUNCTION("""COMPUTED_VALUE"""),"\\MCA-S\mk\2_BM\0_BMat\08_PYM\Inventario\excel\Imagen de refacciones\Putzmeister\Horquila para caja de transferencia")</f>
        <v>\\MCA-S\mk\2_BM\0_BMat\08_PYM\Inventario\excel\Imagen de refacciones\Putzmeister\Horquila para caja de transferencia</v>
      </c>
      <c r="E900" s="74" t="str">
        <f>IFERROR(__xludf.DUMMYFUNCTION("""COMPUTED_VALUE"""),"SWITCH PTO FORK")</f>
        <v>SWITCH PTO FORK</v>
      </c>
      <c r="F900" s="74" t="str">
        <f>IFERROR(__xludf.DUMMYFUNCTION("""COMPUTED_VALUE"""),"HORQUILLA PARA CAJA DE TRANSFERENCIA")</f>
        <v>HORQUILLA PARA CAJA DE TRANSFERENCIA</v>
      </c>
      <c r="G900" s="74"/>
      <c r="H900" s="74" t="str">
        <f>IFERROR(__xludf.DUMMYFUNCTION("""COMPUTED_VALUE"""),"HORQUILLA PARA CAJA DE TRANSFERENCIA PARA BOMBA DE HORMIGON")</f>
        <v>HORQUILLA PARA CAJA DE TRANSFERENCIA PARA BOMBA DE HORMIGON</v>
      </c>
      <c r="I900" s="74" t="str">
        <f>IFERROR(__xludf.DUMMYFUNCTION("""COMPUTED_VALUE"""),"284946003")</f>
        <v>284946003</v>
      </c>
      <c r="J900" s="74"/>
      <c r="K900" s="74" t="str">
        <f>IFERROR(__xludf.DUMMYFUNCTION("""COMPUTED_VALUE"""),"Putzmeister")</f>
        <v>Putzmeister</v>
      </c>
      <c r="L900" s="74"/>
      <c r="M900" s="74" t="str">
        <f>IFERROR(__xludf.DUMMYFUNCTION("""COMPUTED_VALUE"""),"Sin Asignar")</f>
        <v>Sin Asignar</v>
      </c>
      <c r="N900" s="87">
        <f>IFERROR(__xludf.DUMMYFUNCTION("""COMPUTED_VALUE"""),4582.08)</f>
        <v>4582.08</v>
      </c>
      <c r="O900" s="74">
        <f>IFERROR(__xludf.DUMMYFUNCTION("""COMPUTED_VALUE"""),3.0)</f>
        <v>3</v>
      </c>
      <c r="P900" s="74" t="str">
        <f>IFERROR(__xludf.DUMMYFUNCTION("""COMPUTED_VALUE"""),"In stock")</f>
        <v>In stock</v>
      </c>
      <c r="Q900" s="74"/>
      <c r="R900" s="74"/>
      <c r="S900" s="87">
        <f>IFERROR(__xludf.DUMMYFUNCTION("""COMPUTED_VALUE"""),28.0)</f>
        <v>28</v>
      </c>
      <c r="T900" s="87">
        <f>IFERROR(__xludf.DUMMYFUNCTION("""COMPUTED_VALUE"""),258.0)</f>
        <v>258</v>
      </c>
      <c r="U900" s="87">
        <f>IFERROR(__xludf.DUMMYFUNCTION("""COMPUTED_VALUE"""),247.67999999999998)</f>
        <v>247.68</v>
      </c>
      <c r="V900" s="87">
        <f>IFERROR(__xludf.DUMMYFUNCTION("""COMPUTED_VALUE"""),34.3)</f>
        <v>34.3</v>
      </c>
      <c r="W900" s="87">
        <f>IFERROR(__xludf.DUMMYFUNCTION("""COMPUTED_VALUE"""),643.125)</f>
        <v>643.125</v>
      </c>
      <c r="X900" s="88">
        <f>IFERROR(__xludf.DUMMYFUNCTION("""COMPUTED_VALUE"""),8.845714285714285)</f>
        <v>8.845714286</v>
      </c>
      <c r="Y900" s="74"/>
      <c r="Z900" s="74"/>
    </row>
    <row r="901">
      <c r="B901" s="74" t="str">
        <f>IFERROR(__xludf.DUMMYFUNCTION("""COMPUTED_VALUE"""),"1898")</f>
        <v>1898</v>
      </c>
      <c r="C901" s="74"/>
      <c r="D901" s="74" t="str">
        <f>IFERROR(__xludf.DUMMYFUNCTION("""COMPUTED_VALUE"""),"\\MCA-S\mk\2_BM\0_BMat\08_PYM\Inventario\excel\Imagen de refacciones\Putzmeister\Hose Clamp _ Abrazadera de Manguera")</f>
        <v>\\MCA-S\mk\2_BM\0_BMat\08_PYM\Inventario\excel\Imagen de refacciones\Putzmeister\Hose Clamp _ Abrazadera de Manguera</v>
      </c>
      <c r="E901" s="74"/>
      <c r="F901" s="74" t="str">
        <f>IFERROR(__xludf.DUMMYFUNCTION("""COMPUTED_VALUE"""),"Hose Clamp / Abrazadera de Manguera")</f>
        <v>Hose Clamp / Abrazadera de Manguera</v>
      </c>
      <c r="G901" s="74"/>
      <c r="H901" s="74"/>
      <c r="I901" s="74" t="str">
        <f>IFERROR(__xludf.DUMMYFUNCTION("""COMPUTED_VALUE"""),"SOM20515")</f>
        <v>SOM20515</v>
      </c>
      <c r="J901" s="74" t="str">
        <f>IFERROR(__xludf.DUMMYFUNCTION("""COMPUTED_VALUE"""),"276273003 /	288300068 / 512411")</f>
        <v>276273003 /	288300068 / 512411</v>
      </c>
      <c r="K901" s="74" t="str">
        <f>IFERROR(__xludf.DUMMYFUNCTION("""COMPUTED_VALUE"""),"Putzmeister")</f>
        <v>Putzmeister</v>
      </c>
      <c r="L901" s="74" t="str">
        <f>IFERROR(__xludf.DUMMYFUNCTION("""COMPUTED_VALUE"""),"Componentes Estructurales y de Montaje")</f>
        <v>Componentes Estructurales y de Montaje</v>
      </c>
      <c r="M901" s="74" t="str">
        <f>IFERROR(__xludf.DUMMYFUNCTION("""COMPUTED_VALUE"""),"Sin Asignar")</f>
        <v>Sin Asignar</v>
      </c>
      <c r="N901" s="87">
        <f>IFERROR(__xludf.DUMMYFUNCTION("""COMPUTED_VALUE"""),0.0)</f>
        <v>0</v>
      </c>
      <c r="O901" s="74"/>
      <c r="P901" s="74" t="str">
        <f>IFERROR(__xludf.DUMMYFUNCTION("""COMPUTED_VALUE"""),"No Available")</f>
        <v>No Available</v>
      </c>
      <c r="Q901" s="74"/>
      <c r="R901" s="74"/>
      <c r="S901" s="87">
        <f>IFERROR(__xludf.DUMMYFUNCTION("""COMPUTED_VALUE"""),0.0)</f>
        <v>0</v>
      </c>
      <c r="T901" s="87">
        <f>IFERROR(__xludf.DUMMYFUNCTION("""COMPUTED_VALUE"""),0.0)</f>
        <v>0</v>
      </c>
      <c r="U901" s="87">
        <f>IFERROR(__xludf.DUMMYFUNCTION("""COMPUTED_VALUE"""),0.0)</f>
        <v>0</v>
      </c>
      <c r="V901" s="87">
        <f>IFERROR(__xludf.DUMMYFUNCTION("""COMPUTED_VALUE"""),0.0)</f>
        <v>0</v>
      </c>
      <c r="W901" s="87">
        <f>IFERROR(__xludf.DUMMYFUNCTION("""COMPUTED_VALUE"""),0.0)</f>
        <v>0</v>
      </c>
      <c r="X901" s="88"/>
      <c r="Y901" s="74"/>
      <c r="Z901" s="74"/>
    </row>
    <row r="902">
      <c r="B902" s="74" t="str">
        <f>IFERROR(__xludf.DUMMYFUNCTION("""COMPUTED_VALUE"""),"1899")</f>
        <v>1899</v>
      </c>
      <c r="C902" s="74"/>
      <c r="D902" s="74" t="str">
        <f>IFERROR(__xludf.DUMMYFUNCTION("""COMPUTED_VALUE"""),"\\MCA-S\mk\2_BM\0_BMat\08_PYM\Inventario\excel\Imagen de refacciones\Putzmeister\HW Boom Safety Valve _ Válvula de Seguridad de Pluma HW")</f>
        <v>\\MCA-S\mk\2_BM\0_BMat\08_PYM\Inventario\excel\Imagen de refacciones\Putzmeister\HW Boom Safety Valve _ Válvula de Seguridad de Pluma HW</v>
      </c>
      <c r="E902" s="74"/>
      <c r="F902" s="74" t="str">
        <f>IFERROR(__xludf.DUMMYFUNCTION("""COMPUTED_VALUE"""),"HW Boom Safety Valve / Válvula de Seguridad de Pluma HW")</f>
        <v>HW Boom Safety Valve / Válvula de Seguridad de Pluma HW</v>
      </c>
      <c r="G902" s="74"/>
      <c r="H902" s="74"/>
      <c r="I902" s="74" t="str">
        <f>IFERROR(__xludf.DUMMYFUNCTION("""COMPUTED_VALUE"""),"SOM20425")</f>
        <v>SOM20425</v>
      </c>
      <c r="J902" s="74" t="str">
        <f>IFERROR(__xludf.DUMMYFUNCTION("""COMPUTED_VALUE"""),"254879003 /	10181242")</f>
        <v>254879003 /	10181242</v>
      </c>
      <c r="K902" s="74" t="str">
        <f>IFERROR(__xludf.DUMMYFUNCTION("""COMPUTED_VALUE"""),"Putzmeister")</f>
        <v>Putzmeister</v>
      </c>
      <c r="L902" s="74" t="str">
        <f>IFERROR(__xludf.DUMMYFUNCTION("""COMPUTED_VALUE"""),"Sistema de Bombeo de Concreto")</f>
        <v>Sistema de Bombeo de Concreto</v>
      </c>
      <c r="M902" s="74" t="str">
        <f>IFERROR(__xludf.DUMMYFUNCTION("""COMPUTED_VALUE"""),"Sin Asignar")</f>
        <v>Sin Asignar</v>
      </c>
      <c r="N902" s="87">
        <f>IFERROR(__xludf.DUMMYFUNCTION("""COMPUTED_VALUE"""),0.0)</f>
        <v>0</v>
      </c>
      <c r="O902" s="74"/>
      <c r="P902" s="74" t="str">
        <f>IFERROR(__xludf.DUMMYFUNCTION("""COMPUTED_VALUE"""),"borrar")</f>
        <v>borrar</v>
      </c>
      <c r="Q902" s="74"/>
      <c r="R902" s="74"/>
      <c r="S902" s="87">
        <f>IFERROR(__xludf.DUMMYFUNCTION("""COMPUTED_VALUE"""),0.0)</f>
        <v>0</v>
      </c>
      <c r="T902" s="87">
        <f>IFERROR(__xludf.DUMMYFUNCTION("""COMPUTED_VALUE"""),0.0)</f>
        <v>0</v>
      </c>
      <c r="U902" s="87">
        <f>IFERROR(__xludf.DUMMYFUNCTION("""COMPUTED_VALUE"""),0.0)</f>
        <v>0</v>
      </c>
      <c r="V902" s="87">
        <f>IFERROR(__xludf.DUMMYFUNCTION("""COMPUTED_VALUE"""),0.0)</f>
        <v>0</v>
      </c>
      <c r="W902" s="87">
        <f>IFERROR(__xludf.DUMMYFUNCTION("""COMPUTED_VALUE"""),0.0)</f>
        <v>0</v>
      </c>
      <c r="X902" s="88"/>
      <c r="Y902" s="74"/>
      <c r="Z902" s="74"/>
    </row>
    <row r="903">
      <c r="B903" s="74" t="str">
        <f>IFERROR(__xludf.DUMMYFUNCTION("""COMPUTED_VALUE"""),"1900")</f>
        <v>1900</v>
      </c>
      <c r="C903" s="74"/>
      <c r="D903" s="74" t="str">
        <f>IFERROR(__xludf.DUMMYFUNCTION("""COMPUTED_VALUE"""),"\\MCA-S\mk\2_BM\0_BMat\08_PYM\Inventario\excel\Imagen de refacciones\Putzmeister\HW Valve Coil _ Bobina de Válvula HW")</f>
        <v>\\MCA-S\mk\2_BM\0_BMat\08_PYM\Inventario\excel\Imagen de refacciones\Putzmeister\HW Valve Coil _ Bobina de Válvula HW</v>
      </c>
      <c r="E903" s="74"/>
      <c r="F903" s="74" t="str">
        <f>IFERROR(__xludf.DUMMYFUNCTION("""COMPUTED_VALUE"""),"HW Valve Coil / Bobina de Válvula HW")</f>
        <v>HW Valve Coil / Bobina de Válvula HW</v>
      </c>
      <c r="G903" s="74"/>
      <c r="H903" s="74"/>
      <c r="I903" s="74" t="str">
        <f>IFERROR(__xludf.DUMMYFUNCTION("""COMPUTED_VALUE"""),"SOM20419")</f>
        <v>SOM20419</v>
      </c>
      <c r="J903" s="74" t="str">
        <f>IFERROR(__xludf.DUMMYFUNCTION("""COMPUTED_VALUE"""),"256078006")</f>
        <v>256078006</v>
      </c>
      <c r="K903" s="74" t="str">
        <f>IFERROR(__xludf.DUMMYFUNCTION("""COMPUTED_VALUE"""),"Putzmeister")</f>
        <v>Putzmeister</v>
      </c>
      <c r="L903" s="74" t="str">
        <f>IFERROR(__xludf.DUMMYFUNCTION("""COMPUTED_VALUE"""),"Componentes Eléctricos")</f>
        <v>Componentes Eléctricos</v>
      </c>
      <c r="M903" s="74" t="str">
        <f>IFERROR(__xludf.DUMMYFUNCTION("""COMPUTED_VALUE"""),"Sin Asignar")</f>
        <v>Sin Asignar</v>
      </c>
      <c r="N903" s="87">
        <f>IFERROR(__xludf.DUMMYFUNCTION("""COMPUTED_VALUE"""),0.0)</f>
        <v>0</v>
      </c>
      <c r="O903" s="74"/>
      <c r="P903" s="74" t="str">
        <f>IFERROR(__xludf.DUMMYFUNCTION("""COMPUTED_VALUE"""),"borrar")</f>
        <v>borrar</v>
      </c>
      <c r="Q903" s="74"/>
      <c r="R903" s="74"/>
      <c r="S903" s="87">
        <f>IFERROR(__xludf.DUMMYFUNCTION("""COMPUTED_VALUE"""),0.0)</f>
        <v>0</v>
      </c>
      <c r="T903" s="87">
        <f>IFERROR(__xludf.DUMMYFUNCTION("""COMPUTED_VALUE"""),0.0)</f>
        <v>0</v>
      </c>
      <c r="U903" s="87">
        <f>IFERROR(__xludf.DUMMYFUNCTION("""COMPUTED_VALUE"""),0.0)</f>
        <v>0</v>
      </c>
      <c r="V903" s="87">
        <f>IFERROR(__xludf.DUMMYFUNCTION("""COMPUTED_VALUE"""),0.0)</f>
        <v>0</v>
      </c>
      <c r="W903" s="87">
        <f>IFERROR(__xludf.DUMMYFUNCTION("""COMPUTED_VALUE"""),0.0)</f>
        <v>0</v>
      </c>
      <c r="X903" s="88"/>
      <c r="Y903" s="74"/>
      <c r="Z903" s="74"/>
    </row>
    <row r="904">
      <c r="B904" s="74" t="str">
        <f>IFERROR(__xludf.DUMMYFUNCTION("""COMPUTED_VALUE"""),"1901")</f>
        <v>1901</v>
      </c>
      <c r="C904" s="74"/>
      <c r="D904" s="74" t="str">
        <f>IFERROR(__xludf.DUMMYFUNCTION("""COMPUTED_VALUE"""),"\\MCA-S\mk\2_BM\0_BMat\08_PYM\Inventario\excel\Imagen de refacciones\Putzmeister\Hydr Motor A2F16 _ Motor Hidráulico A2F16")</f>
        <v>\\MCA-S\mk\2_BM\0_BMat\08_PYM\Inventario\excel\Imagen de refacciones\Putzmeister\Hydr Motor A2F16 _ Motor Hidráulico A2F16</v>
      </c>
      <c r="E904" s="74"/>
      <c r="F904" s="74" t="str">
        <f>IFERROR(__xludf.DUMMYFUNCTION("""COMPUTED_VALUE"""),"Hydr Motor A2F16 / Motor Hidráulico A2F16")</f>
        <v>Hydr Motor A2F16 / Motor Hidráulico A2F16</v>
      </c>
      <c r="G904" s="74"/>
      <c r="H904" s="74"/>
      <c r="I904" s="74" t="str">
        <f>IFERROR(__xludf.DUMMYFUNCTION("""COMPUTED_VALUE"""),"SOM20409")</f>
        <v>SOM20409</v>
      </c>
      <c r="J904" s="74" t="str">
        <f>IFERROR(__xludf.DUMMYFUNCTION("""COMPUTED_VALUE"""),"222864008")</f>
        <v>222864008</v>
      </c>
      <c r="K904" s="74" t="str">
        <f>IFERROR(__xludf.DUMMYFUNCTION("""COMPUTED_VALUE"""),"Putzmeister")</f>
        <v>Putzmeister</v>
      </c>
      <c r="L904" s="74" t="str">
        <f>IFERROR(__xludf.DUMMYFUNCTION("""COMPUTED_VALUE"""),"Componentes Hidráulicos")</f>
        <v>Componentes Hidráulicos</v>
      </c>
      <c r="M904" s="74" t="str">
        <f>IFERROR(__xludf.DUMMYFUNCTION("""COMPUTED_VALUE"""),"Sin Asignar")</f>
        <v>Sin Asignar</v>
      </c>
      <c r="N904" s="87">
        <f>IFERROR(__xludf.DUMMYFUNCTION("""COMPUTED_VALUE"""),0.0)</f>
        <v>0</v>
      </c>
      <c r="O904" s="74"/>
      <c r="P904" s="74" t="str">
        <f>IFERROR(__xludf.DUMMYFUNCTION("""COMPUTED_VALUE"""),"No Available")</f>
        <v>No Available</v>
      </c>
      <c r="Q904" s="74"/>
      <c r="R904" s="74"/>
      <c r="S904" s="87">
        <f>IFERROR(__xludf.DUMMYFUNCTION("""COMPUTED_VALUE"""),0.0)</f>
        <v>0</v>
      </c>
      <c r="T904" s="87">
        <f>IFERROR(__xludf.DUMMYFUNCTION("""COMPUTED_VALUE"""),0.0)</f>
        <v>0</v>
      </c>
      <c r="U904" s="87">
        <f>IFERROR(__xludf.DUMMYFUNCTION("""COMPUTED_VALUE"""),0.0)</f>
        <v>0</v>
      </c>
      <c r="V904" s="87">
        <f>IFERROR(__xludf.DUMMYFUNCTION("""COMPUTED_VALUE"""),0.0)</f>
        <v>0</v>
      </c>
      <c r="W904" s="87">
        <f>IFERROR(__xludf.DUMMYFUNCTION("""COMPUTED_VALUE"""),0.0)</f>
        <v>0</v>
      </c>
      <c r="X904" s="88"/>
      <c r="Y904" s="74"/>
      <c r="Z904" s="74"/>
    </row>
    <row r="905">
      <c r="B905" s="74" t="str">
        <f>IFERROR(__xludf.DUMMYFUNCTION("""COMPUTED_VALUE"""),"1902")</f>
        <v>1902</v>
      </c>
      <c r="C905" s="74"/>
      <c r="D905" s="74" t="str">
        <f>IFERROR(__xludf.DUMMYFUNCTION("""COMPUTED_VALUE"""),"\\MCA-S\mk\2_BM\0_BMat\08_PYM\Inventario\excel\Imagen de refacciones\Putzmeister\Hydr. Control 24V, FFH _ Control Hidr. 24V, FFH")</f>
        <v>\\MCA-S\mk\2_BM\0_BMat\08_PYM\Inventario\excel\Imagen de refacciones\Putzmeister\Hydr. Control 24V, FFH _ Control Hidr. 24V, FFH</v>
      </c>
      <c r="E905" s="74"/>
      <c r="F905" s="74" t="str">
        <f>IFERROR(__xludf.DUMMYFUNCTION("""COMPUTED_VALUE"""),"Hydr. Control 24V, FFH / Control Hidr. 24V, FFH")</f>
        <v>Hydr. Control 24V, FFH / Control Hidr. 24V, FFH</v>
      </c>
      <c r="G905" s="74"/>
      <c r="H905" s="74"/>
      <c r="I905" s="74" t="str">
        <f>IFERROR(__xludf.DUMMYFUNCTION("""COMPUTED_VALUE"""),"SOM20548")</f>
        <v>SOM20548</v>
      </c>
      <c r="J905" s="74" t="str">
        <f>IFERROR(__xludf.DUMMYFUNCTION("""COMPUTED_VALUE"""),"244590004")</f>
        <v>244590004</v>
      </c>
      <c r="K905" s="74" t="str">
        <f>IFERROR(__xludf.DUMMYFUNCTION("""COMPUTED_VALUE"""),"Putzmeister")</f>
        <v>Putzmeister</v>
      </c>
      <c r="L905" s="74" t="str">
        <f>IFERROR(__xludf.DUMMYFUNCTION("""COMPUTED_VALUE"""),"Componentes Hidráulicos")</f>
        <v>Componentes Hidráulicos</v>
      </c>
      <c r="M905" s="74" t="str">
        <f>IFERROR(__xludf.DUMMYFUNCTION("""COMPUTED_VALUE"""),"Sin Asignar")</f>
        <v>Sin Asignar</v>
      </c>
      <c r="N905" s="87">
        <f>IFERROR(__xludf.DUMMYFUNCTION("""COMPUTED_VALUE"""),0.0)</f>
        <v>0</v>
      </c>
      <c r="O905" s="74"/>
      <c r="P905" s="74" t="str">
        <f>IFERROR(__xludf.DUMMYFUNCTION("""COMPUTED_VALUE"""),"No Available")</f>
        <v>No Available</v>
      </c>
      <c r="Q905" s="74"/>
      <c r="R905" s="74"/>
      <c r="S905" s="87">
        <f>IFERROR(__xludf.DUMMYFUNCTION("""COMPUTED_VALUE"""),0.0)</f>
        <v>0</v>
      </c>
      <c r="T905" s="87">
        <f>IFERROR(__xludf.DUMMYFUNCTION("""COMPUTED_VALUE"""),0.0)</f>
        <v>0</v>
      </c>
      <c r="U905" s="87">
        <f>IFERROR(__xludf.DUMMYFUNCTION("""COMPUTED_VALUE"""),0.0)</f>
        <v>0</v>
      </c>
      <c r="V905" s="87">
        <f>IFERROR(__xludf.DUMMYFUNCTION("""COMPUTED_VALUE"""),0.0)</f>
        <v>0</v>
      </c>
      <c r="W905" s="87">
        <f>IFERROR(__xludf.DUMMYFUNCTION("""COMPUTED_VALUE"""),0.0)</f>
        <v>0</v>
      </c>
      <c r="X905" s="88"/>
      <c r="Y905" s="74"/>
      <c r="Z905" s="74"/>
    </row>
    <row r="906">
      <c r="B906" s="74" t="str">
        <f>IFERROR(__xludf.DUMMYFUNCTION("""COMPUTED_VALUE"""),"1903")</f>
        <v>1903</v>
      </c>
      <c r="C906" s="74"/>
      <c r="D906" s="74" t="str">
        <f>IFERROR(__xludf.DUMMYFUNCTION("""COMPUTED_VALUE"""),"\\MCA-S\mk\2_BM\0_BMat\08_PYM\Inventario\excel\Imagen de refacciones\Putzmeister\Hydr. Pump A4F028_32L _ Bomba Hidr. A4F028_32L")</f>
        <v>\\MCA-S\mk\2_BM\0_BMat\08_PYM\Inventario\excel\Imagen de refacciones\Putzmeister\Hydr. Pump A4F028_32L _ Bomba Hidr. A4F028_32L</v>
      </c>
      <c r="E906" s="74"/>
      <c r="F906" s="74" t="str">
        <f>IFERROR(__xludf.DUMMYFUNCTION("""COMPUTED_VALUE"""),"Hydr. Pump A4F028/32L / Bomba Hidr. A4F028/32L")</f>
        <v>Hydr. Pump A4F028/32L / Bomba Hidr. A4F028/32L</v>
      </c>
      <c r="G906" s="74"/>
      <c r="H906" s="74"/>
      <c r="I906" s="74" t="str">
        <f>IFERROR(__xludf.DUMMYFUNCTION("""COMPUTED_VALUE"""),"SOM20547")</f>
        <v>SOM20547</v>
      </c>
      <c r="J906" s="74" t="str">
        <f>IFERROR(__xludf.DUMMYFUNCTION("""COMPUTED_VALUE"""),"331191")</f>
        <v>331191</v>
      </c>
      <c r="K906" s="74" t="str">
        <f>IFERROR(__xludf.DUMMYFUNCTION("""COMPUTED_VALUE"""),"Putzmeister")</f>
        <v>Putzmeister</v>
      </c>
      <c r="L906" s="74" t="str">
        <f>IFERROR(__xludf.DUMMYFUNCTION("""COMPUTED_VALUE"""),"Componentes Hidráulicos")</f>
        <v>Componentes Hidráulicos</v>
      </c>
      <c r="M906" s="74" t="str">
        <f>IFERROR(__xludf.DUMMYFUNCTION("""COMPUTED_VALUE"""),"Sin Asignar")</f>
        <v>Sin Asignar</v>
      </c>
      <c r="N906" s="87">
        <f>IFERROR(__xludf.DUMMYFUNCTION("""COMPUTED_VALUE"""),0.0)</f>
        <v>0</v>
      </c>
      <c r="O906" s="74"/>
      <c r="P906" s="74" t="str">
        <f>IFERROR(__xludf.DUMMYFUNCTION("""COMPUTED_VALUE"""),"No Available")</f>
        <v>No Available</v>
      </c>
      <c r="Q906" s="74"/>
      <c r="R906" s="74"/>
      <c r="S906" s="87">
        <f>IFERROR(__xludf.DUMMYFUNCTION("""COMPUTED_VALUE"""),0.0)</f>
        <v>0</v>
      </c>
      <c r="T906" s="87">
        <f>IFERROR(__xludf.DUMMYFUNCTION("""COMPUTED_VALUE"""),0.0)</f>
        <v>0</v>
      </c>
      <c r="U906" s="87">
        <f>IFERROR(__xludf.DUMMYFUNCTION("""COMPUTED_VALUE"""),0.0)</f>
        <v>0</v>
      </c>
      <c r="V906" s="87">
        <f>IFERROR(__xludf.DUMMYFUNCTION("""COMPUTED_VALUE"""),0.0)</f>
        <v>0</v>
      </c>
      <c r="W906" s="87">
        <f>IFERROR(__xludf.DUMMYFUNCTION("""COMPUTED_VALUE"""),0.0)</f>
        <v>0</v>
      </c>
      <c r="X906" s="88"/>
      <c r="Y906" s="74"/>
      <c r="Z906" s="74"/>
    </row>
    <row r="907">
      <c r="B907" s="74" t="str">
        <f>IFERROR(__xludf.DUMMYFUNCTION("""COMPUTED_VALUE"""),"1904")</f>
        <v>1904</v>
      </c>
      <c r="C907" s="74"/>
      <c r="D907" s="74" t="str">
        <f>IFERROR(__xludf.DUMMYFUNCTION("""COMPUTED_VALUE"""),"\\MCA-S\mk\2_BM\0_BMat\08_PYM\Inventario\excel\Imagen de refacciones\Putzmeister\Hydr. Pump R A4V125HD... _ Bomba Hidr. R A4V125HD...")</f>
        <v>\\MCA-S\mk\2_BM\0_BMat\08_PYM\Inventario\excel\Imagen de refacciones\Putzmeister\Hydr. Pump R A4V125HD... _ Bomba Hidr. R A4V125HD...</v>
      </c>
      <c r="E907" s="74"/>
      <c r="F907" s="74" t="str">
        <f>IFERROR(__xludf.DUMMYFUNCTION("""COMPUTED_VALUE"""),"Hydr. Pump R A4V125HD... / Bomba Hidr. R A4V125HD...")</f>
        <v>Hydr. Pump R A4V125HD... / Bomba Hidr. R A4V125HD...</v>
      </c>
      <c r="G907" s="74"/>
      <c r="H907" s="74"/>
      <c r="I907" s="74" t="str">
        <f>IFERROR(__xludf.DUMMYFUNCTION("""COMPUTED_VALUE"""),"SOM20538")</f>
        <v>SOM20538</v>
      </c>
      <c r="J907" s="74" t="str">
        <f>IFERROR(__xludf.DUMMYFUNCTION("""COMPUTED_VALUE"""),"262497008")</f>
        <v>262497008</v>
      </c>
      <c r="K907" s="74" t="str">
        <f>IFERROR(__xludf.DUMMYFUNCTION("""COMPUTED_VALUE"""),"Putzmeister")</f>
        <v>Putzmeister</v>
      </c>
      <c r="L907" s="74" t="str">
        <f>IFERROR(__xludf.DUMMYFUNCTION("""COMPUTED_VALUE"""),"Componentes Hidráulicos")</f>
        <v>Componentes Hidráulicos</v>
      </c>
      <c r="M907" s="74" t="str">
        <f>IFERROR(__xludf.DUMMYFUNCTION("""COMPUTED_VALUE"""),"Sin Asignar")</f>
        <v>Sin Asignar</v>
      </c>
      <c r="N907" s="87">
        <f>IFERROR(__xludf.DUMMYFUNCTION("""COMPUTED_VALUE"""),0.0)</f>
        <v>0</v>
      </c>
      <c r="O907" s="74"/>
      <c r="P907" s="74" t="str">
        <f>IFERROR(__xludf.DUMMYFUNCTION("""COMPUTED_VALUE"""),"No Available")</f>
        <v>No Available</v>
      </c>
      <c r="Q907" s="74"/>
      <c r="R907" s="74"/>
      <c r="S907" s="87">
        <f>IFERROR(__xludf.DUMMYFUNCTION("""COMPUTED_VALUE"""),0.0)</f>
        <v>0</v>
      </c>
      <c r="T907" s="87">
        <f>IFERROR(__xludf.DUMMYFUNCTION("""COMPUTED_VALUE"""),0.0)</f>
        <v>0</v>
      </c>
      <c r="U907" s="87">
        <f>IFERROR(__xludf.DUMMYFUNCTION("""COMPUTED_VALUE"""),0.0)</f>
        <v>0</v>
      </c>
      <c r="V907" s="87">
        <f>IFERROR(__xludf.DUMMYFUNCTION("""COMPUTED_VALUE"""),0.0)</f>
        <v>0</v>
      </c>
      <c r="W907" s="87">
        <f>IFERROR(__xludf.DUMMYFUNCTION("""COMPUTED_VALUE"""),0.0)</f>
        <v>0</v>
      </c>
      <c r="X907" s="88"/>
      <c r="Y907" s="74"/>
      <c r="Z907" s="74"/>
    </row>
    <row r="908">
      <c r="B908" s="74" t="str">
        <f>IFERROR(__xludf.DUMMYFUNCTION("""COMPUTED_VALUE"""),"1905")</f>
        <v>1905</v>
      </c>
      <c r="C908" s="74"/>
      <c r="D908" s="74" t="str">
        <f>IFERROR(__xludf.DUMMYFUNCTION("""COMPUTED_VALUE"""),"\\MCA-S\mk\2_BM\0_BMat\08_PYM\Inventario\excel\Imagen de refacciones\Putzmeister\Hydr. Pump R A4VG125EP _ Bomba Hidr. R A4VG125EP")</f>
        <v>\\MCA-S\mk\2_BM\0_BMat\08_PYM\Inventario\excel\Imagen de refacciones\Putzmeister\Hydr. Pump R A4VG125EP _ Bomba Hidr. R A4VG125EP</v>
      </c>
      <c r="E908" s="74"/>
      <c r="F908" s="74" t="str">
        <f>IFERROR(__xludf.DUMMYFUNCTION("""COMPUTED_VALUE"""),"Hydr. Pump R A4VG125EP / Bomba Hidr. R A4VG125EP")</f>
        <v>Hydr. Pump R A4VG125EP / Bomba Hidr. R A4VG125EP</v>
      </c>
      <c r="G908" s="74"/>
      <c r="H908" s="74"/>
      <c r="I908" s="74" t="str">
        <f>IFERROR(__xludf.DUMMYFUNCTION("""COMPUTED_VALUE"""),"SOM20539")</f>
        <v>SOM20539</v>
      </c>
      <c r="J908" s="74" t="str">
        <f>IFERROR(__xludf.DUMMYFUNCTION("""COMPUTED_VALUE"""),"421418")</f>
        <v>421418</v>
      </c>
      <c r="K908" s="74" t="str">
        <f>IFERROR(__xludf.DUMMYFUNCTION("""COMPUTED_VALUE"""),"Putzmeister")</f>
        <v>Putzmeister</v>
      </c>
      <c r="L908" s="74" t="str">
        <f>IFERROR(__xludf.DUMMYFUNCTION("""COMPUTED_VALUE"""),"Componentes Hidráulicos")</f>
        <v>Componentes Hidráulicos</v>
      </c>
      <c r="M908" s="74" t="str">
        <f>IFERROR(__xludf.DUMMYFUNCTION("""COMPUTED_VALUE"""),"Sin Asignar")</f>
        <v>Sin Asignar</v>
      </c>
      <c r="N908" s="87">
        <f>IFERROR(__xludf.DUMMYFUNCTION("""COMPUTED_VALUE"""),0.0)</f>
        <v>0</v>
      </c>
      <c r="O908" s="74"/>
      <c r="P908" s="74" t="str">
        <f>IFERROR(__xludf.DUMMYFUNCTION("""COMPUTED_VALUE"""),"No Available")</f>
        <v>No Available</v>
      </c>
      <c r="Q908" s="74"/>
      <c r="R908" s="74"/>
      <c r="S908" s="87">
        <f>IFERROR(__xludf.DUMMYFUNCTION("""COMPUTED_VALUE"""),0.0)</f>
        <v>0</v>
      </c>
      <c r="T908" s="87">
        <f>IFERROR(__xludf.DUMMYFUNCTION("""COMPUTED_VALUE"""),0.0)</f>
        <v>0</v>
      </c>
      <c r="U908" s="87">
        <f>IFERROR(__xludf.DUMMYFUNCTION("""COMPUTED_VALUE"""),0.0)</f>
        <v>0</v>
      </c>
      <c r="V908" s="87">
        <f>IFERROR(__xludf.DUMMYFUNCTION("""COMPUTED_VALUE"""),0.0)</f>
        <v>0</v>
      </c>
      <c r="W908" s="87">
        <f>IFERROR(__xludf.DUMMYFUNCTION("""COMPUTED_VALUE"""),0.0)</f>
        <v>0</v>
      </c>
      <c r="X908" s="88"/>
      <c r="Y908" s="74"/>
      <c r="Z908" s="74"/>
    </row>
    <row r="909">
      <c r="B909" s="74" t="str">
        <f>IFERROR(__xludf.DUMMYFUNCTION("""COMPUTED_VALUE"""),"1906")</f>
        <v>1906</v>
      </c>
      <c r="C909" s="74"/>
      <c r="D909" s="74" t="str">
        <f>IFERROR(__xludf.DUMMYFUNCTION("""COMPUTED_VALUE"""),"\\MCA-S\mk\2_BM\0_BMat\08_PYM\Inventario\excel\Imagen de refacciones\Putzmeister\Hydr. Pump R A4VG180EP _ Bomba Hidr. R A4VG180EP")</f>
        <v>\\MCA-S\mk\2_BM\0_BMat\08_PYM\Inventario\excel\Imagen de refacciones\Putzmeister\Hydr. Pump R A4VG180EP _ Bomba Hidr. R A4VG180EP</v>
      </c>
      <c r="E909" s="74"/>
      <c r="F909" s="74" t="str">
        <f>IFERROR(__xludf.DUMMYFUNCTION("""COMPUTED_VALUE"""),"Hydr. Pump R A4VG180EP / Bomba Hidr. R A4VG180EP")</f>
        <v>Hydr. Pump R A4VG180EP / Bomba Hidr. R A4VG180EP</v>
      </c>
      <c r="G909" s="74"/>
      <c r="H909" s="74"/>
      <c r="I909" s="74" t="str">
        <f>IFERROR(__xludf.DUMMYFUNCTION("""COMPUTED_VALUE"""),"SOM20537")</f>
        <v>SOM20537</v>
      </c>
      <c r="J909" s="74" t="str">
        <f>IFERROR(__xludf.DUMMYFUNCTION("""COMPUTED_VALUE"""),"410493")</f>
        <v>410493</v>
      </c>
      <c r="K909" s="74" t="str">
        <f>IFERROR(__xludf.DUMMYFUNCTION("""COMPUTED_VALUE"""),"Putzmeister")</f>
        <v>Putzmeister</v>
      </c>
      <c r="L909" s="74" t="str">
        <f>IFERROR(__xludf.DUMMYFUNCTION("""COMPUTED_VALUE"""),"Componentes Hidráulicos")</f>
        <v>Componentes Hidráulicos</v>
      </c>
      <c r="M909" s="74" t="str">
        <f>IFERROR(__xludf.DUMMYFUNCTION("""COMPUTED_VALUE"""),"Sin Asignar")</f>
        <v>Sin Asignar</v>
      </c>
      <c r="N909" s="87">
        <f>IFERROR(__xludf.DUMMYFUNCTION("""COMPUTED_VALUE"""),0.0)</f>
        <v>0</v>
      </c>
      <c r="O909" s="74"/>
      <c r="P909" s="74" t="str">
        <f>IFERROR(__xludf.DUMMYFUNCTION("""COMPUTED_VALUE"""),"No Available")</f>
        <v>No Available</v>
      </c>
      <c r="Q909" s="74"/>
      <c r="R909" s="74"/>
      <c r="S909" s="87">
        <f>IFERROR(__xludf.DUMMYFUNCTION("""COMPUTED_VALUE"""),0.0)</f>
        <v>0</v>
      </c>
      <c r="T909" s="87">
        <f>IFERROR(__xludf.DUMMYFUNCTION("""COMPUTED_VALUE"""),0.0)</f>
        <v>0</v>
      </c>
      <c r="U909" s="87">
        <f>IFERROR(__xludf.DUMMYFUNCTION("""COMPUTED_VALUE"""),0.0)</f>
        <v>0</v>
      </c>
      <c r="V909" s="87">
        <f>IFERROR(__xludf.DUMMYFUNCTION("""COMPUTED_VALUE"""),0.0)</f>
        <v>0</v>
      </c>
      <c r="W909" s="87">
        <f>IFERROR(__xludf.DUMMYFUNCTION("""COMPUTED_VALUE"""),0.0)</f>
        <v>0</v>
      </c>
      <c r="X909" s="88"/>
      <c r="Y909" s="74"/>
      <c r="Z909" s="74"/>
    </row>
    <row r="910">
      <c r="B910" s="74" t="str">
        <f>IFERROR(__xludf.DUMMYFUNCTION("""COMPUTED_VALUE"""),"1907")</f>
        <v>1907</v>
      </c>
      <c r="C910" s="74"/>
      <c r="D910" s="74" t="str">
        <f>IFERROR(__xludf.DUMMYFUNCTION("""COMPUTED_VALUE"""),"\\MCA-S\mk\2_BM\0_BMat\08_PYM\Inventario\excel\Imagen de refacciones\Putzmeister\Hydr. Pump R A4VG180HD _ Bomba Hidr. R A4VG180HD")</f>
        <v>\\MCA-S\mk\2_BM\0_BMat\08_PYM\Inventario\excel\Imagen de refacciones\Putzmeister\Hydr. Pump R A4VG180HD _ Bomba Hidr. R A4VG180HD</v>
      </c>
      <c r="E910" s="74"/>
      <c r="F910" s="74" t="str">
        <f>IFERROR(__xludf.DUMMYFUNCTION("""COMPUTED_VALUE"""),"Hydr. Pump R A4VG180HD / Bomba Hidr. R A4VG180HD")</f>
        <v>Hydr. Pump R A4VG180HD / Bomba Hidr. R A4VG180HD</v>
      </c>
      <c r="G910" s="74"/>
      <c r="H910" s="74"/>
      <c r="I910" s="74" t="str">
        <f>IFERROR(__xludf.DUMMYFUNCTION("""COMPUTED_VALUE"""),"SOM20535")</f>
        <v>SOM20535</v>
      </c>
      <c r="J910" s="74" t="str">
        <f>IFERROR(__xludf.DUMMYFUNCTION("""COMPUTED_VALUE"""),"603720")</f>
        <v>603720</v>
      </c>
      <c r="K910" s="74" t="str">
        <f>IFERROR(__xludf.DUMMYFUNCTION("""COMPUTED_VALUE"""),"Putzmeister")</f>
        <v>Putzmeister</v>
      </c>
      <c r="L910" s="74" t="str">
        <f>IFERROR(__xludf.DUMMYFUNCTION("""COMPUTED_VALUE"""),"Componentes Hidráulicos")</f>
        <v>Componentes Hidráulicos</v>
      </c>
      <c r="M910" s="74" t="str">
        <f>IFERROR(__xludf.DUMMYFUNCTION("""COMPUTED_VALUE"""),"Sin Asignar")</f>
        <v>Sin Asignar</v>
      </c>
      <c r="N910" s="87">
        <f>IFERROR(__xludf.DUMMYFUNCTION("""COMPUTED_VALUE"""),0.0)</f>
        <v>0</v>
      </c>
      <c r="O910" s="74"/>
      <c r="P910" s="74" t="str">
        <f>IFERROR(__xludf.DUMMYFUNCTION("""COMPUTED_VALUE"""),"No Available")</f>
        <v>No Available</v>
      </c>
      <c r="Q910" s="74"/>
      <c r="R910" s="74"/>
      <c r="S910" s="87">
        <f>IFERROR(__xludf.DUMMYFUNCTION("""COMPUTED_VALUE"""),0.0)</f>
        <v>0</v>
      </c>
      <c r="T910" s="87">
        <f>IFERROR(__xludf.DUMMYFUNCTION("""COMPUTED_VALUE"""),0.0)</f>
        <v>0</v>
      </c>
      <c r="U910" s="87">
        <f>IFERROR(__xludf.DUMMYFUNCTION("""COMPUTED_VALUE"""),0.0)</f>
        <v>0</v>
      </c>
      <c r="V910" s="87">
        <f>IFERROR(__xludf.DUMMYFUNCTION("""COMPUTED_VALUE"""),0.0)</f>
        <v>0</v>
      </c>
      <c r="W910" s="87">
        <f>IFERROR(__xludf.DUMMYFUNCTION("""COMPUTED_VALUE"""),0.0)</f>
        <v>0</v>
      </c>
      <c r="X910" s="88"/>
      <c r="Y910" s="74"/>
      <c r="Z910" s="74"/>
    </row>
    <row r="911">
      <c r="B911" s="74" t="str">
        <f>IFERROR(__xludf.DUMMYFUNCTION("""COMPUTED_VALUE"""),"1908")</f>
        <v>1908</v>
      </c>
      <c r="C911" s="74"/>
      <c r="D911" s="74" t="str">
        <f>IFERROR(__xludf.DUMMYFUNCTION("""COMPUTED_VALUE"""),"\\MCA-S\mk\2_BM\0_BMat\08_PYM\Inventario\excel\Imagen de refacciones\Putzmeister\Hydr. Pump R A4VG180HD _ Bomba Hidr. R A4VG180HD (1)")</f>
        <v>\\MCA-S\mk\2_BM\0_BMat\08_PYM\Inventario\excel\Imagen de refacciones\Putzmeister\Hydr. Pump R A4VG180HD _ Bomba Hidr. R A4VG180HD (1)</v>
      </c>
      <c r="E911" s="74"/>
      <c r="F911" s="74" t="str">
        <f>IFERROR(__xludf.DUMMYFUNCTION("""COMPUTED_VALUE"""),"Hydr. Pump R A4VG180HD / Bomba Hidr. R A4VG180HD")</f>
        <v>Hydr. Pump R A4VG180HD / Bomba Hidr. R A4VG180HD</v>
      </c>
      <c r="G911" s="74"/>
      <c r="H911" s="74"/>
      <c r="I911" s="74" t="str">
        <f>IFERROR(__xludf.DUMMYFUNCTION("""COMPUTED_VALUE"""),"SOM20536")</f>
        <v>SOM20536</v>
      </c>
      <c r="J911" s="74" t="str">
        <f>IFERROR(__xludf.DUMMYFUNCTION("""COMPUTED_VALUE"""),"284530002")</f>
        <v>284530002</v>
      </c>
      <c r="K911" s="74" t="str">
        <f>IFERROR(__xludf.DUMMYFUNCTION("""COMPUTED_VALUE"""),"Putzmeister")</f>
        <v>Putzmeister</v>
      </c>
      <c r="L911" s="74" t="str">
        <f>IFERROR(__xludf.DUMMYFUNCTION("""COMPUTED_VALUE"""),"Componentes Hidráulicos")</f>
        <v>Componentes Hidráulicos</v>
      </c>
      <c r="M911" s="74" t="str">
        <f>IFERROR(__xludf.DUMMYFUNCTION("""COMPUTED_VALUE"""),"Sin Asignar")</f>
        <v>Sin Asignar</v>
      </c>
      <c r="N911" s="87">
        <f>IFERROR(__xludf.DUMMYFUNCTION("""COMPUTED_VALUE"""),0.0)</f>
        <v>0</v>
      </c>
      <c r="O911" s="74"/>
      <c r="P911" s="74" t="str">
        <f>IFERROR(__xludf.DUMMYFUNCTION("""COMPUTED_VALUE"""),"No Available")</f>
        <v>No Available</v>
      </c>
      <c r="Q911" s="74"/>
      <c r="R911" s="74"/>
      <c r="S911" s="87">
        <f>IFERROR(__xludf.DUMMYFUNCTION("""COMPUTED_VALUE"""),0.0)</f>
        <v>0</v>
      </c>
      <c r="T911" s="87">
        <f>IFERROR(__xludf.DUMMYFUNCTION("""COMPUTED_VALUE"""),0.0)</f>
        <v>0</v>
      </c>
      <c r="U911" s="87">
        <f>IFERROR(__xludf.DUMMYFUNCTION("""COMPUTED_VALUE"""),0.0)</f>
        <v>0</v>
      </c>
      <c r="V911" s="87">
        <f>IFERROR(__xludf.DUMMYFUNCTION("""COMPUTED_VALUE"""),0.0)</f>
        <v>0</v>
      </c>
      <c r="W911" s="87">
        <f>IFERROR(__xludf.DUMMYFUNCTION("""COMPUTED_VALUE"""),0.0)</f>
        <v>0</v>
      </c>
      <c r="X911" s="88"/>
      <c r="Y911" s="74"/>
      <c r="Z911" s="74"/>
    </row>
    <row r="912">
      <c r="B912" s="74" t="str">
        <f>IFERROR(__xludf.DUMMYFUNCTION("""COMPUTED_VALUE"""),"1909")</f>
        <v>1909</v>
      </c>
      <c r="C912" s="74"/>
      <c r="D912" s="74" t="str">
        <f>IFERROR(__xludf.DUMMYFUNCTION("""COMPUTED_VALUE"""),"\\MCA-S\mk\2_BM\0_BMat\08_PYM\Inventario\excel\Imagen de refacciones\Putzmeister\Hydraulic Cylinder _ Cilindro Hidráulico (1)")</f>
        <v>\\MCA-S\mk\2_BM\0_BMat\08_PYM\Inventario\excel\Imagen de refacciones\Putzmeister\Hydraulic Cylinder _ Cilindro Hidráulico (1)</v>
      </c>
      <c r="E912" s="74"/>
      <c r="F912" s="74" t="str">
        <f>IFERROR(__xludf.DUMMYFUNCTION("""COMPUTED_VALUE"""),"Hydraulic Cylinder / Cilindro Hidráulico")</f>
        <v>Hydraulic Cylinder / Cilindro Hidráulico</v>
      </c>
      <c r="G912" s="74"/>
      <c r="H912" s="74"/>
      <c r="I912" s="74" t="str">
        <f>IFERROR(__xludf.DUMMYFUNCTION("""COMPUTED_VALUE"""),"SOM20532")</f>
        <v>SOM20532</v>
      </c>
      <c r="J912" s="74" t="str">
        <f>IFERROR(__xludf.DUMMYFUNCTION("""COMPUTED_VALUE"""),"251409007")</f>
        <v>251409007</v>
      </c>
      <c r="K912" s="74" t="str">
        <f>IFERROR(__xludf.DUMMYFUNCTION("""COMPUTED_VALUE"""),"Putzmeister")</f>
        <v>Putzmeister</v>
      </c>
      <c r="L912" s="74" t="str">
        <f>IFERROR(__xludf.DUMMYFUNCTION("""COMPUTED_VALUE"""),"Componentes Hidráulicos")</f>
        <v>Componentes Hidráulicos</v>
      </c>
      <c r="M912" s="74" t="str">
        <f>IFERROR(__xludf.DUMMYFUNCTION("""COMPUTED_VALUE"""),"Sin Asignar")</f>
        <v>Sin Asignar</v>
      </c>
      <c r="N912" s="87">
        <f>IFERROR(__xludf.DUMMYFUNCTION("""COMPUTED_VALUE"""),0.0)</f>
        <v>0</v>
      </c>
      <c r="O912" s="74"/>
      <c r="P912" s="74" t="str">
        <f>IFERROR(__xludf.DUMMYFUNCTION("""COMPUTED_VALUE"""),"No Available")</f>
        <v>No Available</v>
      </c>
      <c r="Q912" s="74"/>
      <c r="R912" s="74"/>
      <c r="S912" s="87">
        <f>IFERROR(__xludf.DUMMYFUNCTION("""COMPUTED_VALUE"""),0.0)</f>
        <v>0</v>
      </c>
      <c r="T912" s="87">
        <f>IFERROR(__xludf.DUMMYFUNCTION("""COMPUTED_VALUE"""),0.0)</f>
        <v>0</v>
      </c>
      <c r="U912" s="87">
        <f>IFERROR(__xludf.DUMMYFUNCTION("""COMPUTED_VALUE"""),0.0)</f>
        <v>0</v>
      </c>
      <c r="V912" s="87">
        <f>IFERROR(__xludf.DUMMYFUNCTION("""COMPUTED_VALUE"""),0.0)</f>
        <v>0</v>
      </c>
      <c r="W912" s="87">
        <f>IFERROR(__xludf.DUMMYFUNCTION("""COMPUTED_VALUE"""),0.0)</f>
        <v>0</v>
      </c>
      <c r="X912" s="88"/>
      <c r="Y912" s="74"/>
      <c r="Z912" s="74"/>
    </row>
    <row r="913">
      <c r="B913" s="74" t="str">
        <f>IFERROR(__xludf.DUMMYFUNCTION("""COMPUTED_VALUE"""),"1910")</f>
        <v>1910</v>
      </c>
      <c r="C913" s="74"/>
      <c r="D913" s="74" t="str">
        <f>IFERROR(__xludf.DUMMYFUNCTION("""COMPUTED_VALUE"""),"\\MCA-S\mk\2_BM\0_BMat\08_PYM\Inventario\excel\Imagen de refacciones\Putzmeister\Hydraulic Cylinder 282-80_63 _ Cilindro Hidráulico 282-80_63")</f>
        <v>\\MCA-S\mk\2_BM\0_BMat\08_PYM\Inventario\excel\Imagen de refacciones\Putzmeister\Hydraulic Cylinder 282-80_63 _ Cilindro Hidráulico 282-80_63</v>
      </c>
      <c r="E913" s="74"/>
      <c r="F913" s="74" t="str">
        <f>IFERROR(__xludf.DUMMYFUNCTION("""COMPUTED_VALUE"""),"Hydraulic Cylinder 282-80/63 / Cilindro Hidráulico 282-80/63")</f>
        <v>Hydraulic Cylinder 282-80/63 / Cilindro Hidráulico 282-80/63</v>
      </c>
      <c r="G913" s="74"/>
      <c r="H913" s="74"/>
      <c r="I913" s="74" t="str">
        <f>IFERROR(__xludf.DUMMYFUNCTION("""COMPUTED_VALUE"""),"SOM20534")</f>
        <v>SOM20534</v>
      </c>
      <c r="J913" s="74" t="str">
        <f>IFERROR(__xludf.DUMMYFUNCTION("""COMPUTED_VALUE"""),"237048000")</f>
        <v>237048000</v>
      </c>
      <c r="K913" s="74" t="str">
        <f>IFERROR(__xludf.DUMMYFUNCTION("""COMPUTED_VALUE"""),"Putzmeister")</f>
        <v>Putzmeister</v>
      </c>
      <c r="L913" s="74" t="str">
        <f>IFERROR(__xludf.DUMMYFUNCTION("""COMPUTED_VALUE"""),"Componentes Hidráulicos")</f>
        <v>Componentes Hidráulicos</v>
      </c>
      <c r="M913" s="74" t="str">
        <f>IFERROR(__xludf.DUMMYFUNCTION("""COMPUTED_VALUE"""),"Sin Asignar")</f>
        <v>Sin Asignar</v>
      </c>
      <c r="N913" s="87">
        <f>IFERROR(__xludf.DUMMYFUNCTION("""COMPUTED_VALUE"""),0.0)</f>
        <v>0</v>
      </c>
      <c r="O913" s="74"/>
      <c r="P913" s="74" t="str">
        <f>IFERROR(__xludf.DUMMYFUNCTION("""COMPUTED_VALUE"""),"No Available")</f>
        <v>No Available</v>
      </c>
      <c r="Q913" s="74"/>
      <c r="R913" s="74"/>
      <c r="S913" s="87">
        <f>IFERROR(__xludf.DUMMYFUNCTION("""COMPUTED_VALUE"""),0.0)</f>
        <v>0</v>
      </c>
      <c r="T913" s="87">
        <f>IFERROR(__xludf.DUMMYFUNCTION("""COMPUTED_VALUE"""),0.0)</f>
        <v>0</v>
      </c>
      <c r="U913" s="87">
        <f>IFERROR(__xludf.DUMMYFUNCTION("""COMPUTED_VALUE"""),0.0)</f>
        <v>0</v>
      </c>
      <c r="V913" s="87">
        <f>IFERROR(__xludf.DUMMYFUNCTION("""COMPUTED_VALUE"""),0.0)</f>
        <v>0</v>
      </c>
      <c r="W913" s="87">
        <f>IFERROR(__xludf.DUMMYFUNCTION("""COMPUTED_VALUE"""),0.0)</f>
        <v>0</v>
      </c>
      <c r="X913" s="88"/>
      <c r="Y913" s="74"/>
      <c r="Z913" s="74"/>
    </row>
    <row r="914">
      <c r="B914" s="74" t="str">
        <f>IFERROR(__xludf.DUMMYFUNCTION("""COMPUTED_VALUE"""),"1911")</f>
        <v>1911</v>
      </c>
      <c r="C914" s="74"/>
      <c r="D914" s="74" t="str">
        <f>IFERROR(__xludf.DUMMYFUNCTION("""COMPUTED_VALUE"""),"\\MCA-S\mk\2_BM\0_BMat\08_PYM\Inventario\excel\Imagen de refacciones\Putzmeister\Hydraulic Gate Valve ZXM125 _ Válvula de Compuerta Hidráulica ZXM125")</f>
        <v>\\MCA-S\mk\2_BM\0_BMat\08_PYM\Inventario\excel\Imagen de refacciones\Putzmeister\Hydraulic Gate Valve ZXM125 _ Válvula de Compuerta Hidráulica ZXM125</v>
      </c>
      <c r="E914" s="74"/>
      <c r="F914" s="74" t="str">
        <f>IFERROR(__xludf.DUMMYFUNCTION("""COMPUTED_VALUE"""),"Hydraulic Gate Valve ZXM125 / Válvula de Compuerta Hidráulica ZXM125")</f>
        <v>Hydraulic Gate Valve ZXM125 / Válvula de Compuerta Hidráulica ZXM125</v>
      </c>
      <c r="G914" s="74"/>
      <c r="H914" s="74"/>
      <c r="I914" s="74" t="str">
        <f>IFERROR(__xludf.DUMMYFUNCTION("""COMPUTED_VALUE"""),"SOM20577")</f>
        <v>SOM20577</v>
      </c>
      <c r="J914" s="74" t="str">
        <f>IFERROR(__xludf.DUMMYFUNCTION("""COMPUTED_VALUE"""),"257083003")</f>
        <v>257083003</v>
      </c>
      <c r="K914" s="74" t="str">
        <f>IFERROR(__xludf.DUMMYFUNCTION("""COMPUTED_VALUE"""),"Putzmeister")</f>
        <v>Putzmeister</v>
      </c>
      <c r="L914" s="74" t="str">
        <f>IFERROR(__xludf.DUMMYFUNCTION("""COMPUTED_VALUE"""),"Componentes Hidráulicos")</f>
        <v>Componentes Hidráulicos</v>
      </c>
      <c r="M914" s="74" t="str">
        <f>IFERROR(__xludf.DUMMYFUNCTION("""COMPUTED_VALUE"""),"Sin Asignar")</f>
        <v>Sin Asignar</v>
      </c>
      <c r="N914" s="87">
        <f>IFERROR(__xludf.DUMMYFUNCTION("""COMPUTED_VALUE"""),0.0)</f>
        <v>0</v>
      </c>
      <c r="O914" s="74"/>
      <c r="P914" s="74" t="str">
        <f>IFERROR(__xludf.DUMMYFUNCTION("""COMPUTED_VALUE"""),"No Available")</f>
        <v>No Available</v>
      </c>
      <c r="Q914" s="74"/>
      <c r="R914" s="74"/>
      <c r="S914" s="87">
        <f>IFERROR(__xludf.DUMMYFUNCTION("""COMPUTED_VALUE"""),0.0)</f>
        <v>0</v>
      </c>
      <c r="T914" s="87">
        <f>IFERROR(__xludf.DUMMYFUNCTION("""COMPUTED_VALUE"""),0.0)</f>
        <v>0</v>
      </c>
      <c r="U914" s="87">
        <f>IFERROR(__xludf.DUMMYFUNCTION("""COMPUTED_VALUE"""),0.0)</f>
        <v>0</v>
      </c>
      <c r="V914" s="87">
        <f>IFERROR(__xludf.DUMMYFUNCTION("""COMPUTED_VALUE"""),0.0)</f>
        <v>0</v>
      </c>
      <c r="W914" s="87">
        <f>IFERROR(__xludf.DUMMYFUNCTION("""COMPUTED_VALUE"""),0.0)</f>
        <v>0</v>
      </c>
      <c r="X914" s="88"/>
      <c r="Y914" s="74"/>
      <c r="Z914" s="74"/>
    </row>
    <row r="915">
      <c r="B915" s="74" t="str">
        <f>IFERROR(__xludf.DUMMYFUNCTION("""COMPUTED_VALUE"""),"1912")</f>
        <v>1912</v>
      </c>
      <c r="C915" s="74" t="str">
        <f>IFERROR(__xludf.DUMMYFUNCTION("""COMPUTED_VALUE"""),"75045880464")</f>
        <v>75045880464</v>
      </c>
      <c r="D915" s="74" t="str">
        <f>IFERROR(__xludf.DUMMYFUNCTION("""COMPUTED_VALUE"""),"\\MCA-S\mk\2_BM\0_BMat\08_PYM\Inventario\excel\Imagen de refacciones\Putzmeister\Hydraulic Valve _ Válvula Hidráulica")</f>
        <v>\\MCA-S\mk\2_BM\0_BMat\08_PYM\Inventario\excel\Imagen de refacciones\Putzmeister\Hydraulic Valve _ Válvula Hidráulica</v>
      </c>
      <c r="E915" s="74"/>
      <c r="F915" s="74" t="str">
        <f>IFERROR(__xludf.DUMMYFUNCTION("""COMPUTED_VALUE"""),"Hydraulic Valve / Válvula Hidráulica")</f>
        <v>Hydraulic Valve / Válvula Hidráulica</v>
      </c>
      <c r="G915" s="74"/>
      <c r="H915" s="74"/>
      <c r="I915" s="74" t="str">
        <f>IFERROR(__xludf.DUMMYFUNCTION("""COMPUTED_VALUE"""),"SOM20424")</f>
        <v>SOM20424</v>
      </c>
      <c r="J915" s="74" t="str">
        <f>IFERROR(__xludf.DUMMYFUNCTION("""COMPUTED_VALUE"""),"265686007 /        66290003")</f>
        <v>265686007 /        66290003</v>
      </c>
      <c r="K915" s="74" t="str">
        <f>IFERROR(__xludf.DUMMYFUNCTION("""COMPUTED_VALUE"""),"Putzmeister")</f>
        <v>Putzmeister</v>
      </c>
      <c r="L915" s="74" t="str">
        <f>IFERROR(__xludf.DUMMYFUNCTION("""COMPUTED_VALUE"""),"Componentes Hidráulicos")</f>
        <v>Componentes Hidráulicos</v>
      </c>
      <c r="M915" s="74" t="str">
        <f>IFERROR(__xludf.DUMMYFUNCTION("""COMPUTED_VALUE"""),"Sin Asignar")</f>
        <v>Sin Asignar</v>
      </c>
      <c r="N915" s="87">
        <f>IFERROR(__xludf.DUMMYFUNCTION("""COMPUTED_VALUE"""),0.0)</f>
        <v>0</v>
      </c>
      <c r="O915" s="74"/>
      <c r="P915" s="74" t="str">
        <f>IFERROR(__xludf.DUMMYFUNCTION("""COMPUTED_VALUE"""),"borrar")</f>
        <v>borrar</v>
      </c>
      <c r="Q915" s="74"/>
      <c r="R915" s="74"/>
      <c r="S915" s="87">
        <f>IFERROR(__xludf.DUMMYFUNCTION("""COMPUTED_VALUE"""),0.0)</f>
        <v>0</v>
      </c>
      <c r="T915" s="87">
        <f>IFERROR(__xludf.DUMMYFUNCTION("""COMPUTED_VALUE"""),0.0)</f>
        <v>0</v>
      </c>
      <c r="U915" s="87">
        <f>IFERROR(__xludf.DUMMYFUNCTION("""COMPUTED_VALUE"""),0.0)</f>
        <v>0</v>
      </c>
      <c r="V915" s="87">
        <f>IFERROR(__xludf.DUMMYFUNCTION("""COMPUTED_VALUE"""),0.0)</f>
        <v>0</v>
      </c>
      <c r="W915" s="87">
        <f>IFERROR(__xludf.DUMMYFUNCTION("""COMPUTED_VALUE"""),0.0)</f>
        <v>0</v>
      </c>
      <c r="X915" s="88"/>
      <c r="Y915" s="74"/>
      <c r="Z915" s="74"/>
    </row>
    <row r="916">
      <c r="B916" s="74" t="str">
        <f>IFERROR(__xludf.DUMMYFUNCTION("""COMPUTED_VALUE"""),"1913")</f>
        <v>1913</v>
      </c>
      <c r="C916" s="74" t="str">
        <f>IFERROR(__xludf.DUMMYFUNCTION("""COMPUTED_VALUE"""),"75045880383")</f>
        <v>75045880383</v>
      </c>
      <c r="D916" s="74" t="str">
        <f>IFERROR(__xludf.DUMMYFUNCTION("""COMPUTED_VALUE"""),"\\MCA-S\mk\2_BM\0_BMat\08_PYM\Inventario\excel\Imagen de refacciones\Putzmeister\Kit de reparación_ 8 rodillos, 2 reteners, 2 baleros y 1 o -ring")</f>
        <v>\\MCA-S\mk\2_BM\0_BMat\08_PYM\Inventario\excel\Imagen de refacciones\Putzmeister\Kit de reparación_ 8 rodillos, 2 reteners, 2 baleros y 1 o -ring</v>
      </c>
      <c r="E916" s="74" t="str">
        <f>IFERROR(__xludf.DUMMYFUNCTION("""COMPUTED_VALUE"""),"SEAL KIT FOR WATER PUMP 7560")</f>
        <v>SEAL KIT FOR WATER PUMP 7560</v>
      </c>
      <c r="F916" s="74" t="str">
        <f>IFERROR(__xludf.DUMMYFUNCTION("""COMPUTED_VALUE"""),"KIT DE REPARACIÓN BOMBA DE AGUA 7560: 8 RODILLOS, 2 RETENES, 2 BALEROS Y 1 O-RING ")</f>
        <v>KIT DE REPARACIÓN BOMBA DE AGUA 7560: 8 RODILLOS, 2 RETENES, 2 BALEROS Y 1 O-RING </v>
      </c>
      <c r="G916" s="74"/>
      <c r="H916" s="74"/>
      <c r="I916" s="74" t="str">
        <f>IFERROR(__xludf.DUMMYFUNCTION("""COMPUTED_VALUE"""),"018533006SK")</f>
        <v>018533006SK</v>
      </c>
      <c r="J916" s="74"/>
      <c r="K916" s="74" t="str">
        <f>IFERROR(__xludf.DUMMYFUNCTION("""COMPUTED_VALUE"""),"Putzmeister")</f>
        <v>Putzmeister</v>
      </c>
      <c r="L916" s="74" t="str">
        <f>IFERROR(__xludf.DUMMYFUNCTION("""COMPUTED_VALUE"""),"BARRA V-ROCK")</f>
        <v>BARRA V-ROCK</v>
      </c>
      <c r="M916" s="74" t="str">
        <f>IFERROR(__xludf.DUMMYFUNCTION("""COMPUTED_VALUE"""),"Empaques")</f>
        <v>Empaques</v>
      </c>
      <c r="N916" s="87">
        <f>IFERROR(__xludf.DUMMYFUNCTION("""COMPUTED_VALUE"""),1687.2)</f>
        <v>1687.2</v>
      </c>
      <c r="O916" s="74">
        <f>IFERROR(__xludf.DUMMYFUNCTION("""COMPUTED_VALUE"""),5.0)</f>
        <v>5</v>
      </c>
      <c r="P916" s="74" t="str">
        <f>IFERROR(__xludf.DUMMYFUNCTION("""COMPUTED_VALUE"""),"In stock")</f>
        <v>In stock</v>
      </c>
      <c r="Q916" s="74"/>
      <c r="R916" s="74"/>
      <c r="S916" s="87">
        <f>IFERROR(__xludf.DUMMYFUNCTION("""COMPUTED_VALUE"""),11.0)</f>
        <v>11</v>
      </c>
      <c r="T916" s="87">
        <f>IFERROR(__xludf.DUMMYFUNCTION("""COMPUTED_VALUE"""),95.0)</f>
        <v>95</v>
      </c>
      <c r="U916" s="87">
        <f>IFERROR(__xludf.DUMMYFUNCTION("""COMPUTED_VALUE"""),91.2)</f>
        <v>91.2</v>
      </c>
      <c r="V916" s="87">
        <f>IFERROR(__xludf.DUMMYFUNCTION("""COMPUTED_VALUE"""),13.475)</f>
        <v>13.475</v>
      </c>
      <c r="W916" s="87">
        <f>IFERROR(__xludf.DUMMYFUNCTION("""COMPUTED_VALUE"""),252.65625)</f>
        <v>252.65625</v>
      </c>
      <c r="X916" s="88">
        <f>IFERROR(__xludf.DUMMYFUNCTION("""COMPUTED_VALUE"""),8.290909090909091)</f>
        <v>8.290909091</v>
      </c>
      <c r="Y916" s="74"/>
      <c r="Z916" s="74"/>
    </row>
    <row r="917">
      <c r="B917" s="74" t="str">
        <f>IFERROR(__xludf.DUMMYFUNCTION("""COMPUTED_VALUE"""),"1914")</f>
        <v>1914</v>
      </c>
      <c r="C917" s="74" t="str">
        <f>IFERROR(__xludf.DUMMYFUNCTION("""COMPUTED_VALUE"""),"75045880465")</f>
        <v>75045880465</v>
      </c>
      <c r="D917" s="74" t="str">
        <f>IFERROR(__xludf.DUMMYFUNCTION("""COMPUTED_VALUE"""),"\\MCA-S\mk\2_BM\0_BMat\08_PYM\Inventario\excel\Imagen de refacciones\Putzmeister\Kit de sellos para cilindro de cambio - 80mm")</f>
        <v>\\MCA-S\mk\2_BM\0_BMat\08_PYM\Inventario\excel\Imagen de refacciones\Putzmeister\Kit de sellos para cilindro de cambio - 80mm</v>
      </c>
      <c r="E917" s="74" t="str">
        <f>IFERROR(__xludf.DUMMYFUNCTION("""COMPUTED_VALUE"""),"PLUNGER CYLINDER SEAL KIT 80MM")</f>
        <v>PLUNGER CYLINDER SEAL KIT 80MM</v>
      </c>
      <c r="F917" s="74" t="str">
        <f>IFERROR(__xludf.DUMMYFUNCTION("""COMPUTED_VALUE"""),"KIT SELLOS PARA CILINDRO DE CAMBIO 80MM")</f>
        <v>KIT SELLOS PARA CILINDRO DE CAMBIO 80MM</v>
      </c>
      <c r="G917" s="74"/>
      <c r="H917" s="74" t="str">
        <f>IFERROR(__xludf.DUMMYFUNCTION("""COMPUTED_VALUE"""),"KIT DE SELLOS PARA CILINDRO DE CAMBIO - 80 MM PARA BOMBA DE HORMIGON")</f>
        <v>KIT DE SELLOS PARA CILINDRO DE CAMBIO - 80 MM PARA BOMBA DE HORMIGON</v>
      </c>
      <c r="I917" s="74" t="str">
        <f>IFERROR(__xludf.DUMMYFUNCTION("""COMPUTED_VALUE"""),"262840008SK")</f>
        <v>262840008SK</v>
      </c>
      <c r="J917" s="74"/>
      <c r="K917" s="74" t="str">
        <f>IFERROR(__xludf.DUMMYFUNCTION("""COMPUTED_VALUE"""),"Putzmeister")</f>
        <v>Putzmeister</v>
      </c>
      <c r="L917" s="74" t="str">
        <f>IFERROR(__xludf.DUMMYFUNCTION("""COMPUTED_VALUE"""),"BARRA V-ROCK")</f>
        <v>BARRA V-ROCK</v>
      </c>
      <c r="M917" s="74" t="str">
        <f>IFERROR(__xludf.DUMMYFUNCTION("""COMPUTED_VALUE"""),"Empaques")</f>
        <v>Empaques</v>
      </c>
      <c r="N917" s="87">
        <f>IFERROR(__xludf.DUMMYFUNCTION("""COMPUTED_VALUE"""),1651.68)</f>
        <v>1651.68</v>
      </c>
      <c r="O917" s="74">
        <f>IFERROR(__xludf.DUMMYFUNCTION("""COMPUTED_VALUE"""),3.0)</f>
        <v>3</v>
      </c>
      <c r="P917" s="74" t="str">
        <f>IFERROR(__xludf.DUMMYFUNCTION("""COMPUTED_VALUE"""),"In stock")</f>
        <v>In stock</v>
      </c>
      <c r="Q917" s="74"/>
      <c r="R917" s="74"/>
      <c r="S917" s="87">
        <f>IFERROR(__xludf.DUMMYFUNCTION("""COMPUTED_VALUE"""),12.0)</f>
        <v>12</v>
      </c>
      <c r="T917" s="87">
        <f>IFERROR(__xludf.DUMMYFUNCTION("""COMPUTED_VALUE"""),93.0)</f>
        <v>93</v>
      </c>
      <c r="U917" s="87">
        <f>IFERROR(__xludf.DUMMYFUNCTION("""COMPUTED_VALUE"""),89.28)</f>
        <v>89.28</v>
      </c>
      <c r="V917" s="87">
        <f>IFERROR(__xludf.DUMMYFUNCTION("""COMPUTED_VALUE"""),14.7)</f>
        <v>14.7</v>
      </c>
      <c r="W917" s="87">
        <f>IFERROR(__xludf.DUMMYFUNCTION("""COMPUTED_VALUE"""),275.625)</f>
        <v>275.625</v>
      </c>
      <c r="X917" s="88">
        <f>IFERROR(__xludf.DUMMYFUNCTION("""COMPUTED_VALUE"""),7.44)</f>
        <v>7.44</v>
      </c>
      <c r="Y917" s="74"/>
      <c r="Z917" s="74"/>
    </row>
    <row r="918">
      <c r="B918" s="74" t="str">
        <f>IFERROR(__xludf.DUMMYFUNCTION("""COMPUTED_VALUE"""),"1915")</f>
        <v>1915</v>
      </c>
      <c r="C918" s="74" t="str">
        <f>IFERROR(__xludf.DUMMYFUNCTION("""COMPUTED_VALUE"""),"75045880521")</f>
        <v>75045880521</v>
      </c>
      <c r="D918" s="74" t="str">
        <f>IFERROR(__xludf.DUMMYFUNCTION("""COMPUTED_VALUE"""),"\\MCA-S\mk\2_BM\0_BMat\08_PYM\Inventario\excel\Imagen de refacciones\Putzmeister\Kit de sellos para guía de descargarl")</f>
        <v>\\MCA-S\mk\2_BM\0_BMat\08_PYM\Inventario\excel\Imagen de refacciones\Putzmeister\Kit de sellos para guía de descargarl</v>
      </c>
      <c r="E918" s="74" t="str">
        <f>IFERROR(__xludf.DUMMYFUNCTION("""COMPUTED_VALUE"""),"OUTER HOUSING SEAL KIT")</f>
        <v>OUTER HOUSING SEAL KIT</v>
      </c>
      <c r="F918" s="74" t="str">
        <f>IFERROR(__xludf.DUMMYFUNCTION("""COMPUTED_VALUE"""),"KIT DE SELLOS PARA GUÍA DE DESCARGA")</f>
        <v>KIT DE SELLOS PARA GUÍA DE DESCARGA</v>
      </c>
      <c r="G918" s="74"/>
      <c r="H918" s="74"/>
      <c r="I918" s="74" t="str">
        <f>IFERROR(__xludf.DUMMYFUNCTION("""COMPUTED_VALUE"""),"508064SK")</f>
        <v>508064SK</v>
      </c>
      <c r="J918" s="74"/>
      <c r="K918" s="74" t="str">
        <f>IFERROR(__xludf.DUMMYFUNCTION("""COMPUTED_VALUE"""),"Putzmeister")</f>
        <v>Putzmeister</v>
      </c>
      <c r="L918" s="74" t="str">
        <f>IFERROR(__xludf.DUMMYFUNCTION("""COMPUTED_VALUE"""),"BARRA V-ROCK")</f>
        <v>BARRA V-ROCK</v>
      </c>
      <c r="M918" s="74" t="str">
        <f>IFERROR(__xludf.DUMMYFUNCTION("""COMPUTED_VALUE"""),"Empaques")</f>
        <v>Empaques</v>
      </c>
      <c r="N918" s="87">
        <f>IFERROR(__xludf.DUMMYFUNCTION("""COMPUTED_VALUE"""),1243.2)</f>
        <v>1243.2</v>
      </c>
      <c r="O918" s="74">
        <f>IFERROR(__xludf.DUMMYFUNCTION("""COMPUTED_VALUE"""),2.0)</f>
        <v>2</v>
      </c>
      <c r="P918" s="74" t="str">
        <f>IFERROR(__xludf.DUMMYFUNCTION("""COMPUTED_VALUE"""),"In stock")</f>
        <v>In stock</v>
      </c>
      <c r="Q918" s="74"/>
      <c r="R918" s="74"/>
      <c r="S918" s="87">
        <f>IFERROR(__xludf.DUMMYFUNCTION("""COMPUTED_VALUE"""),8.5)</f>
        <v>8.5</v>
      </c>
      <c r="T918" s="87">
        <f>IFERROR(__xludf.DUMMYFUNCTION("""COMPUTED_VALUE"""),70.0)</f>
        <v>70</v>
      </c>
      <c r="U918" s="87">
        <f>IFERROR(__xludf.DUMMYFUNCTION("""COMPUTED_VALUE"""),67.2)</f>
        <v>67.2</v>
      </c>
      <c r="V918" s="87">
        <f>IFERROR(__xludf.DUMMYFUNCTION("""COMPUTED_VALUE"""),10.4125)</f>
        <v>10.4125</v>
      </c>
      <c r="W918" s="87">
        <f>IFERROR(__xludf.DUMMYFUNCTION("""COMPUTED_VALUE"""),195.234375)</f>
        <v>195.234375</v>
      </c>
      <c r="X918" s="88">
        <f>IFERROR(__xludf.DUMMYFUNCTION("""COMPUTED_VALUE"""),7.905882352941177)</f>
        <v>7.905882353</v>
      </c>
      <c r="Y918" s="74"/>
      <c r="Z918" s="74"/>
    </row>
    <row r="919">
      <c r="B919" s="74" t="str">
        <f>IFERROR(__xludf.DUMMYFUNCTION("""COMPUTED_VALUE"""),"1916")</f>
        <v>1916</v>
      </c>
      <c r="C919" s="74" t="str">
        <f>IFERROR(__xludf.DUMMYFUNCTION("""COMPUTED_VALUE"""),"75045880432")</f>
        <v>75045880432</v>
      </c>
      <c r="D919" s="74" t="str">
        <f>IFERROR(__xludf.DUMMYFUNCTION("""COMPUTED_VALUE"""),"\\MCA-S\mk\2_BM\0_BMat\08_PYM\Inventario\excel\Imagen de refacciones\Putzmeister\kit de sellos para guías de alojamiento 80mm y 90mm")</f>
        <v>\\MCA-S\mk\2_BM\0_BMat\08_PYM\Inventario\excel\Imagen de refacciones\Putzmeister\kit de sellos para guías de alojamiento 80mm y 90mm</v>
      </c>
      <c r="E919" s="74" t="str">
        <f>IFERROR(__xludf.DUMMYFUNCTION("""COMPUTED_VALUE"""),"UPPER HOUSING SEAL 80MM SERVICE KIT")</f>
        <v>UPPER HOUSING SEAL 80MM SERVICE KIT</v>
      </c>
      <c r="F919" s="74" t="str">
        <f>IFERROR(__xludf.DUMMYFUNCTION("""COMPUTED_VALUE"""),"KIT DE SELLOS PARA GUIA DE ALOJAMIENTO 80MM")</f>
        <v>KIT DE SELLOS PARA GUIA DE ALOJAMIENTO 80MM</v>
      </c>
      <c r="G919" s="74"/>
      <c r="H919" s="74" t="str">
        <f>IFERROR(__xludf.DUMMYFUNCTION("""COMPUTED_VALUE"""),"KIT DE SELLOS PARA GUÍAS DE ALOJAMIENTO 80 MM PARA BOMBA DE HORMIGON")</f>
        <v>KIT DE SELLOS PARA GUÍAS DE ALOJAMIENTO 80 MM PARA BOMBA DE HORMIGON</v>
      </c>
      <c r="I919" s="74" t="str">
        <f>IFERROR(__xludf.DUMMYFUNCTION("""COMPUTED_VALUE"""),"40183-SK")</f>
        <v>40183-SK</v>
      </c>
      <c r="J919" s="74"/>
      <c r="K919" s="74" t="str">
        <f>IFERROR(__xludf.DUMMYFUNCTION("""COMPUTED_VALUE"""),"Putzmeister")</f>
        <v>Putzmeister</v>
      </c>
      <c r="L919" s="74" t="str">
        <f>IFERROR(__xludf.DUMMYFUNCTION("""COMPUTED_VALUE"""),"BARRA V-ROCK")</f>
        <v>BARRA V-ROCK</v>
      </c>
      <c r="M919" s="74" t="str">
        <f>IFERROR(__xludf.DUMMYFUNCTION("""COMPUTED_VALUE"""),"EMPAQUES")</f>
        <v>EMPAQUES</v>
      </c>
      <c r="N919" s="87">
        <f>IFERROR(__xludf.DUMMYFUNCTION("""COMPUTED_VALUE"""),1651.68)</f>
        <v>1651.68</v>
      </c>
      <c r="O919" s="74">
        <f>IFERROR(__xludf.DUMMYFUNCTION("""COMPUTED_VALUE"""),4.0)</f>
        <v>4</v>
      </c>
      <c r="P919" s="74" t="str">
        <f>IFERROR(__xludf.DUMMYFUNCTION("""COMPUTED_VALUE"""),"In stock")</f>
        <v>In stock</v>
      </c>
      <c r="Q919" s="74"/>
      <c r="R919" s="74"/>
      <c r="S919" s="87">
        <f>IFERROR(__xludf.DUMMYFUNCTION("""COMPUTED_VALUE"""),4.0)</f>
        <v>4</v>
      </c>
      <c r="T919" s="87">
        <f>IFERROR(__xludf.DUMMYFUNCTION("""COMPUTED_VALUE"""),93.0)</f>
        <v>93</v>
      </c>
      <c r="U919" s="87">
        <f>IFERROR(__xludf.DUMMYFUNCTION("""COMPUTED_VALUE"""),89.28)</f>
        <v>89.28</v>
      </c>
      <c r="V919" s="87">
        <f>IFERROR(__xludf.DUMMYFUNCTION("""COMPUTED_VALUE"""),4.9)</f>
        <v>4.9</v>
      </c>
      <c r="W919" s="87">
        <f>IFERROR(__xludf.DUMMYFUNCTION("""COMPUTED_VALUE"""),91.875)</f>
        <v>91.875</v>
      </c>
      <c r="X919" s="88">
        <f>IFERROR(__xludf.DUMMYFUNCTION("""COMPUTED_VALUE"""),22.32)</f>
        <v>22.32</v>
      </c>
      <c r="Y919" s="74"/>
      <c r="Z919" s="74"/>
    </row>
    <row r="920">
      <c r="B920" s="74" t="str">
        <f>IFERROR(__xludf.DUMMYFUNCTION("""COMPUTED_VALUE"""),"1917")</f>
        <v>1917</v>
      </c>
      <c r="C920" s="74" t="str">
        <f>IFERROR(__xludf.DUMMYFUNCTION("""COMPUTED_VALUE"""),"75045891917")</f>
        <v>75045891917</v>
      </c>
      <c r="D920" s="74" t="str">
        <f>IFERROR(__xludf.DUMMYFUNCTION("""COMPUTED_VALUE"""),"\\MCA-S\mk\2_BM\0_BMat\08_PYM\Inventario\excel\Imagen de refacciones\Putzmeister\Limit Switch _ Interruptor de Límite (1)")</f>
        <v>\\MCA-S\mk\2_BM\0_BMat\08_PYM\Inventario\excel\Imagen de refacciones\Putzmeister\Limit Switch _ Interruptor de Límite (1)</v>
      </c>
      <c r="E920" s="74" t="str">
        <f>IFERROR(__xludf.DUMMYFUNCTION("""COMPUTED_VALUE"""),"MECHANICAL LIMIT SWITCH")</f>
        <v>MECHANICAL LIMIT SWITCH</v>
      </c>
      <c r="F920" s="74" t="str">
        <f>IFERROR(__xludf.DUMMYFUNCTION("""COMPUTED_VALUE"""),"INTERRUPTOR LIMITADOR")</f>
        <v>INTERRUPTOR LIMITADOR</v>
      </c>
      <c r="G920" s="74"/>
      <c r="H920" s="74"/>
      <c r="I920" s="74" t="str">
        <f>IFERROR(__xludf.DUMMYFUNCTION("""COMPUTED_VALUE"""),"452208")</f>
        <v>452208</v>
      </c>
      <c r="J920" s="74"/>
      <c r="K920" s="74" t="str">
        <f>IFERROR(__xludf.DUMMYFUNCTION("""COMPUTED_VALUE"""),"Putzmeister")</f>
        <v>Putzmeister</v>
      </c>
      <c r="L920" s="74" t="str">
        <f>IFERROR(__xludf.DUMMYFUNCTION("""COMPUTED_VALUE"""),"Elementos de Medición y Control")</f>
        <v>Elementos de Medición y Control</v>
      </c>
      <c r="M920" s="74" t="str">
        <f>IFERROR(__xludf.DUMMYFUNCTION("""COMPUTED_VALUE"""),"Sin Asignar")</f>
        <v>Sin Asignar</v>
      </c>
      <c r="N920" s="87">
        <f>IFERROR(__xludf.DUMMYFUNCTION("""COMPUTED_VALUE"""),0.0)</f>
        <v>0</v>
      </c>
      <c r="O920" s="74"/>
      <c r="P920" s="74" t="str">
        <f>IFERROR(__xludf.DUMMYFUNCTION("""COMPUTED_VALUE"""),"To Re-purchase")</f>
        <v>To Re-purchase</v>
      </c>
      <c r="Q920" s="74"/>
      <c r="R920" s="74"/>
      <c r="S920" s="87">
        <f>IFERROR(__xludf.DUMMYFUNCTION("""COMPUTED_VALUE"""),0.0)</f>
        <v>0</v>
      </c>
      <c r="T920" s="87">
        <f>IFERROR(__xludf.DUMMYFUNCTION("""COMPUTED_VALUE"""),0.0)</f>
        <v>0</v>
      </c>
      <c r="U920" s="87">
        <f>IFERROR(__xludf.DUMMYFUNCTION("""COMPUTED_VALUE"""),0.0)</f>
        <v>0</v>
      </c>
      <c r="V920" s="87">
        <f>IFERROR(__xludf.DUMMYFUNCTION("""COMPUTED_VALUE"""),0.0)</f>
        <v>0</v>
      </c>
      <c r="W920" s="87">
        <f>IFERROR(__xludf.DUMMYFUNCTION("""COMPUTED_VALUE"""),0.0)</f>
        <v>0</v>
      </c>
      <c r="X920" s="88"/>
      <c r="Y920" s="74"/>
      <c r="Z920" s="74"/>
    </row>
    <row r="921">
      <c r="B921" s="74" t="str">
        <f>IFERROR(__xludf.DUMMYFUNCTION("""COMPUTED_VALUE"""),"1918")</f>
        <v>1918</v>
      </c>
      <c r="C921" s="74"/>
      <c r="D921" s="74" t="str">
        <f>IFERROR(__xludf.DUMMYFUNCTION("""COMPUTED_VALUE"""),"\\MCA-S\mk\2_BM\0_BMat\08_PYM\Inventario\excel\Imagen de refacciones\Putzmeister\Lubricant Distributor VSKV4-D _ Distribuidor de Lubricante VSKV4-D")</f>
        <v>\\MCA-S\mk\2_BM\0_BMat\08_PYM\Inventario\excel\Imagen de refacciones\Putzmeister\Lubricant Distributor VSKV4-D _ Distribuidor de Lubricante VSKV4-D</v>
      </c>
      <c r="E921" s="74"/>
      <c r="F921" s="74" t="str">
        <f>IFERROR(__xludf.DUMMYFUNCTION("""COMPUTED_VALUE"""),"Lubricant Distributor VSKV4-D / Distribuidor de Lubricante VSKV4-D")</f>
        <v>Lubricant Distributor VSKV4-D / Distribuidor de Lubricante VSKV4-D</v>
      </c>
      <c r="G921" s="74"/>
      <c r="H921" s="74"/>
      <c r="I921" s="74" t="str">
        <f>IFERROR(__xludf.DUMMYFUNCTION("""COMPUTED_VALUE"""),"SOM20551")</f>
        <v>SOM20551</v>
      </c>
      <c r="J921" s="74" t="str">
        <f>IFERROR(__xludf.DUMMYFUNCTION("""COMPUTED_VALUE"""),"253913009")</f>
        <v>253913009</v>
      </c>
      <c r="K921" s="74" t="str">
        <f>IFERROR(__xludf.DUMMYFUNCTION("""COMPUTED_VALUE"""),"Putzmeister")</f>
        <v>Putzmeister</v>
      </c>
      <c r="L921" s="74" t="str">
        <f>IFERROR(__xludf.DUMMYFUNCTION("""COMPUTED_VALUE"""),"Componentes Hidráulicos")</f>
        <v>Componentes Hidráulicos</v>
      </c>
      <c r="M921" s="74" t="str">
        <f>IFERROR(__xludf.DUMMYFUNCTION("""COMPUTED_VALUE"""),"Sin Asignar")</f>
        <v>Sin Asignar</v>
      </c>
      <c r="N921" s="87">
        <f>IFERROR(__xludf.DUMMYFUNCTION("""COMPUTED_VALUE"""),0.0)</f>
        <v>0</v>
      </c>
      <c r="O921" s="74"/>
      <c r="P921" s="74" t="str">
        <f>IFERROR(__xludf.DUMMYFUNCTION("""COMPUTED_VALUE"""),"No Available")</f>
        <v>No Available</v>
      </c>
      <c r="Q921" s="74"/>
      <c r="R921" s="74"/>
      <c r="S921" s="87">
        <f>IFERROR(__xludf.DUMMYFUNCTION("""COMPUTED_VALUE"""),0.0)</f>
        <v>0</v>
      </c>
      <c r="T921" s="87">
        <f>IFERROR(__xludf.DUMMYFUNCTION("""COMPUTED_VALUE"""),0.0)</f>
        <v>0</v>
      </c>
      <c r="U921" s="87">
        <f>IFERROR(__xludf.DUMMYFUNCTION("""COMPUTED_VALUE"""),0.0)</f>
        <v>0</v>
      </c>
      <c r="V921" s="87">
        <f>IFERROR(__xludf.DUMMYFUNCTION("""COMPUTED_VALUE"""),0.0)</f>
        <v>0</v>
      </c>
      <c r="W921" s="87">
        <f>IFERROR(__xludf.DUMMYFUNCTION("""COMPUTED_VALUE"""),0.0)</f>
        <v>0</v>
      </c>
      <c r="X921" s="88"/>
      <c r="Y921" s="74"/>
      <c r="Z921" s="74"/>
    </row>
    <row r="922">
      <c r="B922" s="74" t="str">
        <f>IFERROR(__xludf.DUMMYFUNCTION("""COMPUTED_VALUE"""),"1919")</f>
        <v>1919</v>
      </c>
      <c r="C922" s="74" t="str">
        <f>IFERROR(__xludf.DUMMYFUNCTION("""COMPUTED_VALUE"""),"75045880309")</f>
        <v>75045880309</v>
      </c>
      <c r="D922" s="74" t="str">
        <f>IFERROR(__xludf.DUMMYFUNCTION("""COMPUTED_VALUE"""),"\\MCA-S\mk\2_BM\0_BMat\08_PYM\Inventario\excel\Imagen de refacciones\Putzmeister\manómetro 0-250 BAR")</f>
        <v>\\MCA-S\mk\2_BM\0_BMat\08_PYM\Inventario\excel\Imagen de refacciones\Putzmeister\manómetro 0-250 BAR</v>
      </c>
      <c r="E922" s="74" t="str">
        <f>IFERROR(__xludf.DUMMYFUNCTION("""COMPUTED_VALUE"""),"PRESSURE GAUGE 0-250BAR")</f>
        <v>PRESSURE GAUGE 0-250BAR</v>
      </c>
      <c r="F922" s="74" t="str">
        <f>IFERROR(__xludf.DUMMYFUNCTION("""COMPUTED_VALUE"""),"MANOMETRO 0-250BAR")</f>
        <v>MANOMETRO 0-250BAR</v>
      </c>
      <c r="G922" s="74"/>
      <c r="H922" s="74" t="str">
        <f>IFERROR(__xludf.DUMMYFUNCTION("""COMPUTED_VALUE"""),"MANOMETRO 0-250 BAR PARA BOMBA DE HORMIGON")</f>
        <v>MANOMETRO 0-250 BAR PARA BOMBA DE HORMIGON</v>
      </c>
      <c r="I922" s="74" t="str">
        <f>IFERROR(__xludf.DUMMYFUNCTION("""COMPUTED_VALUE"""),"16373006")</f>
        <v>16373006</v>
      </c>
      <c r="J922" s="74"/>
      <c r="K922" s="74" t="str">
        <f>IFERROR(__xludf.DUMMYFUNCTION("""COMPUTED_VALUE"""),"Putzmeister")</f>
        <v>Putzmeister</v>
      </c>
      <c r="L922" s="74" t="str">
        <f>IFERROR(__xludf.DUMMYFUNCTION("""COMPUTED_VALUE"""),"HIDRAULICO")</f>
        <v>HIDRAULICO</v>
      </c>
      <c r="M922" s="74" t="str">
        <f>IFERROR(__xludf.DUMMYFUNCTION("""COMPUTED_VALUE"""),"MEDIDORES")</f>
        <v>MEDIDORES</v>
      </c>
      <c r="N922" s="87">
        <f>IFERROR(__xludf.DUMMYFUNCTION("""COMPUTED_VALUE"""),923.52)</f>
        <v>923.52</v>
      </c>
      <c r="O922" s="74">
        <f>IFERROR(__xludf.DUMMYFUNCTION("""COMPUTED_VALUE"""),10.0)</f>
        <v>10</v>
      </c>
      <c r="P922" s="74" t="str">
        <f>IFERROR(__xludf.DUMMYFUNCTION("""COMPUTED_VALUE"""),"In stock")</f>
        <v>In stock</v>
      </c>
      <c r="Q922" s="74"/>
      <c r="R922" s="74"/>
      <c r="S922" s="87">
        <f>IFERROR(__xludf.DUMMYFUNCTION("""COMPUTED_VALUE"""),12.0)</f>
        <v>12</v>
      </c>
      <c r="T922" s="87">
        <f>IFERROR(__xludf.DUMMYFUNCTION("""COMPUTED_VALUE"""),52.0)</f>
        <v>52</v>
      </c>
      <c r="U922" s="87">
        <f>IFERROR(__xludf.DUMMYFUNCTION("""COMPUTED_VALUE"""),49.92)</f>
        <v>49.92</v>
      </c>
      <c r="V922" s="87">
        <f>IFERROR(__xludf.DUMMYFUNCTION("""COMPUTED_VALUE"""),14.7)</f>
        <v>14.7</v>
      </c>
      <c r="W922" s="87">
        <f>IFERROR(__xludf.DUMMYFUNCTION("""COMPUTED_VALUE"""),275.625)</f>
        <v>275.625</v>
      </c>
      <c r="X922" s="88">
        <f>IFERROR(__xludf.DUMMYFUNCTION("""COMPUTED_VALUE"""),4.16)</f>
        <v>4.16</v>
      </c>
      <c r="Y922" s="74"/>
      <c r="Z922" s="74"/>
    </row>
    <row r="923">
      <c r="B923" s="74" t="str">
        <f>IFERROR(__xludf.DUMMYFUNCTION("""COMPUTED_VALUE"""),"1920")</f>
        <v>1920</v>
      </c>
      <c r="C923" s="74" t="str">
        <f>IFERROR(__xludf.DUMMYFUNCTION("""COMPUTED_VALUE"""),"75045880310")</f>
        <v>75045880310</v>
      </c>
      <c r="D923" s="74" t="str">
        <f>IFERROR(__xludf.DUMMYFUNCTION("""COMPUTED_VALUE"""),"\\MCA-S\mk\2_BM\0_BMat\08_PYM\Inventario\excel\Imagen de refacciones\Putzmeister\manómetro 0-400 BAR")</f>
        <v>\\MCA-S\mk\2_BM\0_BMat\08_PYM\Inventario\excel\Imagen de refacciones\Putzmeister\manómetro 0-400 BAR</v>
      </c>
      <c r="E923" s="74" t="str">
        <f>IFERROR(__xludf.DUMMYFUNCTION("""COMPUTED_VALUE"""),"PRESSURE GAUGE 0-400BAR")</f>
        <v>PRESSURE GAUGE 0-400BAR</v>
      </c>
      <c r="F923" s="74" t="str">
        <f>IFERROR(__xludf.DUMMYFUNCTION("""COMPUTED_VALUE"""),"MANOMETRO 0-400BAR")</f>
        <v>MANOMETRO 0-400BAR</v>
      </c>
      <c r="G923" s="74"/>
      <c r="H923" s="74" t="str">
        <f>IFERROR(__xludf.DUMMYFUNCTION("""COMPUTED_VALUE"""),"MANOMETRO 0-400 BAR PARA BOMBA DE HORMIGON")</f>
        <v>MANOMETRO 0-400 BAR PARA BOMBA DE HORMIGON</v>
      </c>
      <c r="I923" s="74" t="str">
        <f>IFERROR(__xludf.DUMMYFUNCTION("""COMPUTED_VALUE"""),"17250005")</f>
        <v>17250005</v>
      </c>
      <c r="J923" s="74"/>
      <c r="K923" s="74" t="str">
        <f>IFERROR(__xludf.DUMMYFUNCTION("""COMPUTED_VALUE"""),"Putzmeister")</f>
        <v>Putzmeister</v>
      </c>
      <c r="L923" s="74" t="str">
        <f>IFERROR(__xludf.DUMMYFUNCTION("""COMPUTED_VALUE"""),"HIDRAULICO")</f>
        <v>HIDRAULICO</v>
      </c>
      <c r="M923" s="74" t="str">
        <f>IFERROR(__xludf.DUMMYFUNCTION("""COMPUTED_VALUE"""),"MEDIDORES")</f>
        <v>MEDIDORES</v>
      </c>
      <c r="N923" s="87">
        <f>IFERROR(__xludf.DUMMYFUNCTION("""COMPUTED_VALUE"""),1154.3999999999999)</f>
        <v>1154.4</v>
      </c>
      <c r="O923" s="74">
        <f>IFERROR(__xludf.DUMMYFUNCTION("""COMPUTED_VALUE"""),10.0)</f>
        <v>10</v>
      </c>
      <c r="P923" s="74" t="str">
        <f>IFERROR(__xludf.DUMMYFUNCTION("""COMPUTED_VALUE"""),"In stock")</f>
        <v>In stock</v>
      </c>
      <c r="Q923" s="74"/>
      <c r="R923" s="74"/>
      <c r="S923" s="87">
        <f>IFERROR(__xludf.DUMMYFUNCTION("""COMPUTED_VALUE"""),12.0)</f>
        <v>12</v>
      </c>
      <c r="T923" s="87">
        <f>IFERROR(__xludf.DUMMYFUNCTION("""COMPUTED_VALUE"""),65.0)</f>
        <v>65</v>
      </c>
      <c r="U923" s="87">
        <f>IFERROR(__xludf.DUMMYFUNCTION("""COMPUTED_VALUE"""),62.4)</f>
        <v>62.4</v>
      </c>
      <c r="V923" s="87">
        <f>IFERROR(__xludf.DUMMYFUNCTION("""COMPUTED_VALUE"""),14.7)</f>
        <v>14.7</v>
      </c>
      <c r="W923" s="87">
        <f>IFERROR(__xludf.DUMMYFUNCTION("""COMPUTED_VALUE"""),275.625)</f>
        <v>275.625</v>
      </c>
      <c r="X923" s="88">
        <f>IFERROR(__xludf.DUMMYFUNCTION("""COMPUTED_VALUE"""),5.2)</f>
        <v>5.2</v>
      </c>
      <c r="Y923" s="74"/>
      <c r="Z923" s="74"/>
    </row>
    <row r="924">
      <c r="B924" s="74" t="str">
        <f>IFERROR(__xludf.DUMMYFUNCTION("""COMPUTED_VALUE"""),"1921")</f>
        <v>1921</v>
      </c>
      <c r="C924" s="74"/>
      <c r="D924" s="74" t="str">
        <f>IFERROR(__xludf.DUMMYFUNCTION("""COMPUTED_VALUE"""),"\\MCA-S\mk\2_BM\0_BMat\08_PYM\Inventario\excel\Imagen de refacciones\Putzmeister\Mechanical Gate Valve SK125 _ Válvula de Compuerta Mecánica SK125")</f>
        <v>\\MCA-S\mk\2_BM\0_BMat\08_PYM\Inventario\excel\Imagen de refacciones\Putzmeister\Mechanical Gate Valve SK125 _ Válvula de Compuerta Mecánica SK125</v>
      </c>
      <c r="E924" s="74"/>
      <c r="F924" s="74" t="str">
        <f>IFERROR(__xludf.DUMMYFUNCTION("""COMPUTED_VALUE"""),"Mechanical Gate Valve SK125 / Válvula de Compuerta Mecánica SK125")</f>
        <v>Mechanical Gate Valve SK125 / Válvula de Compuerta Mecánica SK125</v>
      </c>
      <c r="G924" s="74"/>
      <c r="H924" s="74"/>
      <c r="I924" s="74" t="str">
        <f>IFERROR(__xludf.DUMMYFUNCTION("""COMPUTED_VALUE"""),"SOM20576")</f>
        <v>SOM20576</v>
      </c>
      <c r="J924" s="74" t="str">
        <f>IFERROR(__xludf.DUMMYFUNCTION("""COMPUTED_VALUE"""),"50319000")</f>
        <v>50319000</v>
      </c>
      <c r="K924" s="74" t="str">
        <f>IFERROR(__xludf.DUMMYFUNCTION("""COMPUTED_VALUE"""),"Putzmeister")</f>
        <v>Putzmeister</v>
      </c>
      <c r="L924" s="74" t="str">
        <f>IFERROR(__xludf.DUMMYFUNCTION("""COMPUTED_VALUE"""),"Componentes Estructurales y de Montaje")</f>
        <v>Componentes Estructurales y de Montaje</v>
      </c>
      <c r="M924" s="74" t="str">
        <f>IFERROR(__xludf.DUMMYFUNCTION("""COMPUTED_VALUE"""),"Sin Asignar")</f>
        <v>Sin Asignar</v>
      </c>
      <c r="N924" s="87">
        <f>IFERROR(__xludf.DUMMYFUNCTION("""COMPUTED_VALUE"""),0.0)</f>
        <v>0</v>
      </c>
      <c r="O924" s="74"/>
      <c r="P924" s="74" t="str">
        <f>IFERROR(__xludf.DUMMYFUNCTION("""COMPUTED_VALUE"""),"No Available")</f>
        <v>No Available</v>
      </c>
      <c r="Q924" s="74"/>
      <c r="R924" s="74"/>
      <c r="S924" s="87">
        <f>IFERROR(__xludf.DUMMYFUNCTION("""COMPUTED_VALUE"""),0.0)</f>
        <v>0</v>
      </c>
      <c r="T924" s="87">
        <f>IFERROR(__xludf.DUMMYFUNCTION("""COMPUTED_VALUE"""),0.0)</f>
        <v>0</v>
      </c>
      <c r="U924" s="87">
        <f>IFERROR(__xludf.DUMMYFUNCTION("""COMPUTED_VALUE"""),0.0)</f>
        <v>0</v>
      </c>
      <c r="V924" s="87">
        <f>IFERROR(__xludf.DUMMYFUNCTION("""COMPUTED_VALUE"""),0.0)</f>
        <v>0</v>
      </c>
      <c r="W924" s="87">
        <f>IFERROR(__xludf.DUMMYFUNCTION("""COMPUTED_VALUE"""),0.0)</f>
        <v>0</v>
      </c>
      <c r="X924" s="88"/>
      <c r="Y924" s="74"/>
      <c r="Z924" s="74"/>
    </row>
    <row r="925">
      <c r="B925" s="74" t="str">
        <f>IFERROR(__xludf.DUMMYFUNCTION("""COMPUTED_VALUE"""),"1922")</f>
        <v>1922</v>
      </c>
      <c r="C925" s="74"/>
      <c r="D925" s="74" t="str">
        <f>IFERROR(__xludf.DUMMYFUNCTION("""COMPUTED_VALUE"""),"\\MCA-S\mk\2_BM\0_BMat\08_PYM\Inventario\excel\Imagen de refacciones\Putzmeister\Mixer Shaft Q60 X 250mm _ Eje mezclador Q60 X 250mm")</f>
        <v>\\MCA-S\mk\2_BM\0_BMat\08_PYM\Inventario\excel\Imagen de refacciones\Putzmeister\Mixer Shaft Q60 X 250mm _ Eje mezclador Q60 X 250mm</v>
      </c>
      <c r="E925" s="74"/>
      <c r="F925" s="74" t="str">
        <f>IFERROR(__xludf.DUMMYFUNCTION("""COMPUTED_VALUE"""),"Mixer Shaft Q60 X 250mm / Eje mezclador Q60 X 250mm")</f>
        <v>Mixer Shaft Q60 X 250mm / Eje mezclador Q60 X 250mm</v>
      </c>
      <c r="G925" s="74"/>
      <c r="H925" s="74"/>
      <c r="I925" s="74" t="str">
        <f>IFERROR(__xludf.DUMMYFUNCTION("""COMPUTED_VALUE"""),"SOM20402")</f>
        <v>SOM20402</v>
      </c>
      <c r="J925" s="74" t="str">
        <f>IFERROR(__xludf.DUMMYFUNCTION("""COMPUTED_VALUE"""),"278096009")</f>
        <v>278096009</v>
      </c>
      <c r="K925" s="74" t="str">
        <f>IFERROR(__xludf.DUMMYFUNCTION("""COMPUTED_VALUE"""),"Putzmeister")</f>
        <v>Putzmeister</v>
      </c>
      <c r="L925" s="74" t="str">
        <f>IFERROR(__xludf.DUMMYFUNCTION("""COMPUTED_VALUE"""),"Transmisión Mecánica")</f>
        <v>Transmisión Mecánica</v>
      </c>
      <c r="M925" s="74" t="str">
        <f>IFERROR(__xludf.DUMMYFUNCTION("""COMPUTED_VALUE"""),"Sin Asignar")</f>
        <v>Sin Asignar</v>
      </c>
      <c r="N925" s="87">
        <f>IFERROR(__xludf.DUMMYFUNCTION("""COMPUTED_VALUE"""),0.0)</f>
        <v>0</v>
      </c>
      <c r="O925" s="74"/>
      <c r="P925" s="74" t="str">
        <f>IFERROR(__xludf.DUMMYFUNCTION("""COMPUTED_VALUE"""),"No Available")</f>
        <v>No Available</v>
      </c>
      <c r="Q925" s="74"/>
      <c r="R925" s="74"/>
      <c r="S925" s="87">
        <f>IFERROR(__xludf.DUMMYFUNCTION("""COMPUTED_VALUE"""),0.0)</f>
        <v>0</v>
      </c>
      <c r="T925" s="87">
        <f>IFERROR(__xludf.DUMMYFUNCTION("""COMPUTED_VALUE"""),0.0)</f>
        <v>0</v>
      </c>
      <c r="U925" s="87">
        <f>IFERROR(__xludf.DUMMYFUNCTION("""COMPUTED_VALUE"""),0.0)</f>
        <v>0</v>
      </c>
      <c r="V925" s="87">
        <f>IFERROR(__xludf.DUMMYFUNCTION("""COMPUTED_VALUE"""),0.0)</f>
        <v>0</v>
      </c>
      <c r="W925" s="87">
        <f>IFERROR(__xludf.DUMMYFUNCTION("""COMPUTED_VALUE"""),0.0)</f>
        <v>0</v>
      </c>
      <c r="X925" s="88"/>
      <c r="Y925" s="74"/>
      <c r="Z925" s="74"/>
    </row>
    <row r="926">
      <c r="B926" s="74" t="str">
        <f>IFERROR(__xludf.DUMMYFUNCTION("""COMPUTED_VALUE"""),"1923")</f>
        <v>1923</v>
      </c>
      <c r="C926" s="74"/>
      <c r="D926" s="74" t="str">
        <f>IFERROR(__xludf.DUMMYFUNCTION("""COMPUTED_VALUE"""),"\\MCA-S\mk\2_BM\0_BMat\08_PYM\Inventario\excel\Imagen de refacciones\Putzmeister\Mixing Valve _ Válvula Mezcladora")</f>
        <v>\\MCA-S\mk\2_BM\0_BMat\08_PYM\Inventario\excel\Imagen de refacciones\Putzmeister\Mixing Valve _ Válvula Mezcladora</v>
      </c>
      <c r="E926" s="74"/>
      <c r="F926" s="74" t="str">
        <f>IFERROR(__xludf.DUMMYFUNCTION("""COMPUTED_VALUE"""),"Mixing Valve / Válvula Mezcladora")</f>
        <v>Mixing Valve / Válvula Mezcladora</v>
      </c>
      <c r="G926" s="74"/>
      <c r="H926" s="74"/>
      <c r="I926" s="74" t="str">
        <f>IFERROR(__xludf.DUMMYFUNCTION("""COMPUTED_VALUE"""),"SOM20426")</f>
        <v>SOM20426</v>
      </c>
      <c r="J926" s="74" t="str">
        <f>IFERROR(__xludf.DUMMYFUNCTION("""COMPUTED_VALUE"""),"480299")</f>
        <v>480299</v>
      </c>
      <c r="K926" s="74" t="str">
        <f>IFERROR(__xludf.DUMMYFUNCTION("""COMPUTED_VALUE"""),"Putzmeister")</f>
        <v>Putzmeister</v>
      </c>
      <c r="L926" s="74" t="str">
        <f>IFERROR(__xludf.DUMMYFUNCTION("""COMPUTED_VALUE"""),"Componentes Hidráulicos")</f>
        <v>Componentes Hidráulicos</v>
      </c>
      <c r="M926" s="74" t="str">
        <f>IFERROR(__xludf.DUMMYFUNCTION("""COMPUTED_VALUE"""),"Sin Asignar")</f>
        <v>Sin Asignar</v>
      </c>
      <c r="N926" s="87">
        <f>IFERROR(__xludf.DUMMYFUNCTION("""COMPUTED_VALUE"""),0.0)</f>
        <v>0</v>
      </c>
      <c r="O926" s="74"/>
      <c r="P926" s="74" t="str">
        <f>IFERROR(__xludf.DUMMYFUNCTION("""COMPUTED_VALUE"""),"No Available")</f>
        <v>No Available</v>
      </c>
      <c r="Q926" s="74"/>
      <c r="R926" s="74"/>
      <c r="S926" s="87">
        <f>IFERROR(__xludf.DUMMYFUNCTION("""COMPUTED_VALUE"""),0.0)</f>
        <v>0</v>
      </c>
      <c r="T926" s="87">
        <f>IFERROR(__xludf.DUMMYFUNCTION("""COMPUTED_VALUE"""),0.0)</f>
        <v>0</v>
      </c>
      <c r="U926" s="87">
        <f>IFERROR(__xludf.DUMMYFUNCTION("""COMPUTED_VALUE"""),0.0)</f>
        <v>0</v>
      </c>
      <c r="V926" s="87">
        <f>IFERROR(__xludf.DUMMYFUNCTION("""COMPUTED_VALUE"""),0.0)</f>
        <v>0</v>
      </c>
      <c r="W926" s="87">
        <f>IFERROR(__xludf.DUMMYFUNCTION("""COMPUTED_VALUE"""),0.0)</f>
        <v>0</v>
      </c>
      <c r="X926" s="88"/>
      <c r="Y926" s="74"/>
      <c r="Z926" s="74"/>
    </row>
    <row r="927">
      <c r="B927" s="74" t="str">
        <f>IFERROR(__xludf.DUMMYFUNCTION("""COMPUTED_VALUE"""),"1924")</f>
        <v>1924</v>
      </c>
      <c r="C927" s="74" t="str">
        <f>IFERROR(__xludf.DUMMYFUNCTION("""COMPUTED_VALUE"""),"75045880522")</f>
        <v>75045880522</v>
      </c>
      <c r="D927" s="74" t="str">
        <f>IFERROR(__xludf.DUMMYFUNCTION("""COMPUTED_VALUE"""),"\\MCA-S\mk\2_BM\0_BMat\08_PYM\Inventario\excel\Imagen de refacciones\Putzmeister\Módulo receptor eléctrico")</f>
        <v>\\MCA-S\mk\2_BM\0_BMat\08_PYM\Inventario\excel\Imagen de refacciones\Putzmeister\Módulo receptor eléctrico</v>
      </c>
      <c r="E927" s="74"/>
      <c r="F927" s="74" t="str">
        <f>IFERROR(__xludf.DUMMYFUNCTION("""COMPUTED_VALUE"""),"MODULO RECEPTOR ELECTRICO")</f>
        <v>MODULO RECEPTOR ELECTRICO</v>
      </c>
      <c r="G927" s="74"/>
      <c r="H927" s="74"/>
      <c r="I927" s="74" t="str">
        <f>IFERROR(__xludf.DUMMYFUNCTION("""COMPUTED_VALUE"""),"263003006")</f>
        <v>263003006</v>
      </c>
      <c r="J927" s="74"/>
      <c r="K927" s="74" t="str">
        <f>IFERROR(__xludf.DUMMYFUNCTION("""COMPUTED_VALUE"""),"Putzmeister")</f>
        <v>Putzmeister</v>
      </c>
      <c r="L927" s="74"/>
      <c r="M927" s="74" t="str">
        <f>IFERROR(__xludf.DUMMYFUNCTION("""COMPUTED_VALUE"""),"Sin Asignar")</f>
        <v>Sin Asignar</v>
      </c>
      <c r="N927" s="87">
        <f>IFERROR(__xludf.DUMMYFUNCTION("""COMPUTED_VALUE"""),0.0)</f>
        <v>0</v>
      </c>
      <c r="O927" s="74"/>
      <c r="P927" s="74" t="str">
        <f>IFERROR(__xludf.DUMMYFUNCTION("""COMPUTED_VALUE"""),"To Re-purchase")</f>
        <v>To Re-purchase</v>
      </c>
      <c r="Q927" s="74"/>
      <c r="R927" s="74"/>
      <c r="S927" s="87">
        <f>IFERROR(__xludf.DUMMYFUNCTION("""COMPUTED_VALUE"""),0.0)</f>
        <v>0</v>
      </c>
      <c r="T927" s="87">
        <f>IFERROR(__xludf.DUMMYFUNCTION("""COMPUTED_VALUE"""),0.0)</f>
        <v>0</v>
      </c>
      <c r="U927" s="87">
        <f>IFERROR(__xludf.DUMMYFUNCTION("""COMPUTED_VALUE"""),0.0)</f>
        <v>0</v>
      </c>
      <c r="V927" s="87">
        <f>IFERROR(__xludf.DUMMYFUNCTION("""COMPUTED_VALUE"""),0.0)</f>
        <v>0</v>
      </c>
      <c r="W927" s="87">
        <f>IFERROR(__xludf.DUMMYFUNCTION("""COMPUTED_VALUE"""),0.0)</f>
        <v>0</v>
      </c>
      <c r="X927" s="88"/>
      <c r="Y927" s="74"/>
      <c r="Z927" s="74"/>
    </row>
    <row r="928">
      <c r="B928" s="74" t="str">
        <f>IFERROR(__xludf.DUMMYFUNCTION("""COMPUTED_VALUE"""),"1926")</f>
        <v>1926</v>
      </c>
      <c r="C928" s="74" t="str">
        <f>IFERROR(__xludf.DUMMYFUNCTION("""COMPUTED_VALUE"""),"75045880467")</f>
        <v>75045880467</v>
      </c>
      <c r="D928" s="74" t="str">
        <f>IFERROR(__xludf.DUMMYFUNCTION("""COMPUTED_VALUE"""),"\\MCA-S\mk\2_BM\0_BMat\08_PYM\Inventario\excel\Imagen de refacciones\Putzmeister\motor agitador b750 nueva generación")</f>
        <v>\\MCA-S\mk\2_BM\0_BMat\08_PYM\Inventario\excel\Imagen de refacciones\Putzmeister\motor agitador b750 nueva generación</v>
      </c>
      <c r="E928" s="74" t="str">
        <f>IFERROR(__xludf.DUMMYFUNCTION("""COMPUTED_VALUE"""),"HIGH TORQUE B750")</f>
        <v>HIGH TORQUE B750</v>
      </c>
      <c r="F928" s="74" t="str">
        <f>IFERROR(__xludf.DUMMYFUNCTION("""COMPUTED_VALUE"""),"MOTOR AGITADOR B750")</f>
        <v>MOTOR AGITADOR B750</v>
      </c>
      <c r="G928" s="74"/>
      <c r="H928" s="74"/>
      <c r="I928" s="74" t="str">
        <f>IFERROR(__xludf.DUMMYFUNCTION("""COMPUTED_VALUE"""),"541970")</f>
        <v>541970</v>
      </c>
      <c r="J928" s="74"/>
      <c r="K928" s="74" t="str">
        <f>IFERROR(__xludf.DUMMYFUNCTION("""COMPUTED_VALUE"""),"Putzmeister")</f>
        <v>Putzmeister</v>
      </c>
      <c r="L928" s="74" t="str">
        <f>IFERROR(__xludf.DUMMYFUNCTION("""COMPUTED_VALUE"""),"AGITADOR V-ROCK")</f>
        <v>AGITADOR V-ROCK</v>
      </c>
      <c r="M928" s="74" t="str">
        <f>IFERROR(__xludf.DUMMYFUNCTION("""COMPUTED_VALUE"""),"MOTORES")</f>
        <v>MOTORES</v>
      </c>
      <c r="N928" s="87">
        <f>IFERROR(__xludf.DUMMYFUNCTION("""COMPUTED_VALUE"""),15309.119999999999)</f>
        <v>15309.12</v>
      </c>
      <c r="O928" s="74">
        <f>IFERROR(__xludf.DUMMYFUNCTION("""COMPUTED_VALUE"""),3.0)</f>
        <v>3</v>
      </c>
      <c r="P928" s="74" t="str">
        <f>IFERROR(__xludf.DUMMYFUNCTION("""COMPUTED_VALUE"""),"In stock")</f>
        <v>In stock</v>
      </c>
      <c r="Q928" s="74"/>
      <c r="R928" s="74"/>
      <c r="S928" s="87">
        <f>IFERROR(__xludf.DUMMYFUNCTION("""COMPUTED_VALUE"""),100.0)</f>
        <v>100</v>
      </c>
      <c r="T928" s="87">
        <f>IFERROR(__xludf.DUMMYFUNCTION("""COMPUTED_VALUE"""),862.0)</f>
        <v>862</v>
      </c>
      <c r="U928" s="87">
        <f>IFERROR(__xludf.DUMMYFUNCTION("""COMPUTED_VALUE"""),827.52)</f>
        <v>827.52</v>
      </c>
      <c r="V928" s="87">
        <f>IFERROR(__xludf.DUMMYFUNCTION("""COMPUTED_VALUE"""),122.5)</f>
        <v>122.5</v>
      </c>
      <c r="W928" s="87">
        <f>IFERROR(__xludf.DUMMYFUNCTION("""COMPUTED_VALUE"""),2296.875)</f>
        <v>2296.875</v>
      </c>
      <c r="X928" s="88">
        <f>IFERROR(__xludf.DUMMYFUNCTION("""COMPUTED_VALUE"""),8.2752)</f>
        <v>8.2752</v>
      </c>
      <c r="Y928" s="74"/>
      <c r="Z928" s="74"/>
    </row>
    <row r="929">
      <c r="B929" s="74" t="str">
        <f>IFERROR(__xludf.DUMMYFUNCTION("""COMPUTED_VALUE"""),"1927")</f>
        <v>1927</v>
      </c>
      <c r="C929" s="74" t="str">
        <f>IFERROR(__xludf.DUMMYFUNCTION("""COMPUTED_VALUE"""),"75045880433")</f>
        <v>75045880433</v>
      </c>
      <c r="D929" s="74" t="str">
        <f>IFERROR(__xludf.DUMMYFUNCTION("""COMPUTED_VALUE"""),"\\MCA-S\mk\2_BM\0_BMat\08_PYM\Inventario\excel\Imagen de refacciones\Putzmeister\Motor agitador OMH 501")</f>
        <v>\\MCA-S\mk\2_BM\0_BMat\08_PYM\Inventario\excel\Imagen de refacciones\Putzmeister\Motor agitador OMH 501</v>
      </c>
      <c r="E929" s="74" t="str">
        <f>IFERROR(__xludf.DUMMYFUNCTION("""COMPUTED_VALUE"""),"HYDRAULIC MOTOR OMH 500")</f>
        <v>HYDRAULIC MOTOR OMH 500</v>
      </c>
      <c r="F929" s="74" t="str">
        <f>IFERROR(__xludf.DUMMYFUNCTION("""COMPUTED_VALUE"""),"MOTOR AGITADOR OMH500")</f>
        <v>MOTOR AGITADOR OMH500</v>
      </c>
      <c r="G929" s="74"/>
      <c r="H929" s="74" t="str">
        <f>IFERROR(__xludf.DUMMYFUNCTION("""COMPUTED_VALUE"""),"MOTOR AGITADOR OMH500 PARA BOMBA DE HORMIGON")</f>
        <v>MOTOR AGITADOR OMH500 PARA BOMBA DE HORMIGON</v>
      </c>
      <c r="I929" s="74" t="str">
        <f>IFERROR(__xludf.DUMMYFUNCTION("""COMPUTED_VALUE"""),"238130001")</f>
        <v>238130001</v>
      </c>
      <c r="J929" s="74"/>
      <c r="K929" s="74" t="str">
        <f>IFERROR(__xludf.DUMMYFUNCTION("""COMPUTED_VALUE"""),"Putzmeister")</f>
        <v>Putzmeister</v>
      </c>
      <c r="L929" s="74" t="str">
        <f>IFERROR(__xludf.DUMMYFUNCTION("""COMPUTED_VALUE"""),"HIDRAULICO")</f>
        <v>HIDRAULICO</v>
      </c>
      <c r="M929" s="74" t="str">
        <f>IFERROR(__xludf.DUMMYFUNCTION("""COMPUTED_VALUE"""),"MOTORES")</f>
        <v>MOTORES</v>
      </c>
      <c r="N929" s="87">
        <f>IFERROR(__xludf.DUMMYFUNCTION("""COMPUTED_VALUE"""),8631.36)</f>
        <v>8631.36</v>
      </c>
      <c r="O929" s="74">
        <f>IFERROR(__xludf.DUMMYFUNCTION("""COMPUTED_VALUE"""),4.0)</f>
        <v>4</v>
      </c>
      <c r="P929" s="74" t="str">
        <f>IFERROR(__xludf.DUMMYFUNCTION("""COMPUTED_VALUE"""),"In stock")</f>
        <v>In stock</v>
      </c>
      <c r="Q929" s="74"/>
      <c r="R929" s="74"/>
      <c r="S929" s="87">
        <f>IFERROR(__xludf.DUMMYFUNCTION("""COMPUTED_VALUE"""),75.0)</f>
        <v>75</v>
      </c>
      <c r="T929" s="87">
        <f>IFERROR(__xludf.DUMMYFUNCTION("""COMPUTED_VALUE"""),486.0)</f>
        <v>486</v>
      </c>
      <c r="U929" s="87">
        <f>IFERROR(__xludf.DUMMYFUNCTION("""COMPUTED_VALUE"""),466.56)</f>
        <v>466.56</v>
      </c>
      <c r="V929" s="87">
        <f>IFERROR(__xludf.DUMMYFUNCTION("""COMPUTED_VALUE"""),91.875)</f>
        <v>91.875</v>
      </c>
      <c r="W929" s="87">
        <f>IFERROR(__xludf.DUMMYFUNCTION("""COMPUTED_VALUE"""),1722.65625)</f>
        <v>1722.65625</v>
      </c>
      <c r="X929" s="88">
        <f>IFERROR(__xludf.DUMMYFUNCTION("""COMPUTED_VALUE"""),6.2208)</f>
        <v>6.2208</v>
      </c>
      <c r="Y929" s="74"/>
      <c r="Z929" s="74"/>
    </row>
    <row r="930">
      <c r="B930" s="74" t="str">
        <f>IFERROR(__xludf.DUMMYFUNCTION("""COMPUTED_VALUE"""),"1928")</f>
        <v>1928</v>
      </c>
      <c r="C930" s="74" t="str">
        <f>IFERROR(__xludf.DUMMYFUNCTION("""COMPUTED_VALUE"""),"75045880502")</f>
        <v>75045880502</v>
      </c>
      <c r="D930" s="74" t="str">
        <f>IFERROR(__xludf.DUMMYFUNCTION("""COMPUTED_VALUE"""),"\\MCA-S\mk\2_BM\0_BMat\08_PYM\Inventario\excel\Imagen de refacciones\Putzmeister\Motor hidráulico OMP161")</f>
        <v>\\MCA-S\mk\2_BM\0_BMat\08_PYM\Inventario\excel\Imagen de refacciones\Putzmeister\Motor hidráulico OMP161</v>
      </c>
      <c r="E930" s="74" t="str">
        <f>IFERROR(__xludf.DUMMYFUNCTION("""COMPUTED_VALUE"""),"OUTRIGGER HYDRAULIC MOTOR OMP160")</f>
        <v>OUTRIGGER HYDRAULIC MOTOR OMP160</v>
      </c>
      <c r="F930" s="74" t="str">
        <f>IFERROR(__xludf.DUMMYFUNCTION("""COMPUTED_VALUE"""),"MOTOR HIDRAULICO ESTABILIZADOR OMP160")</f>
        <v>MOTOR HIDRAULICO ESTABILIZADOR OMP160</v>
      </c>
      <c r="G930" s="74"/>
      <c r="H930" s="74"/>
      <c r="I930" s="74" t="str">
        <f>IFERROR(__xludf.DUMMYFUNCTION("""COMPUTED_VALUE"""),"434196")</f>
        <v>434196</v>
      </c>
      <c r="J930" s="74"/>
      <c r="K930" s="74" t="str">
        <f>IFERROR(__xludf.DUMMYFUNCTION("""COMPUTED_VALUE"""),"Putzmeister")</f>
        <v>Putzmeister</v>
      </c>
      <c r="L930" s="74" t="str">
        <f>IFERROR(__xludf.DUMMYFUNCTION("""COMPUTED_VALUE"""),"HIDRAULICO")</f>
        <v>HIDRAULICO</v>
      </c>
      <c r="M930" s="74" t="str">
        <f>IFERROR(__xludf.DUMMYFUNCTION("""COMPUTED_VALUE"""),"MOTORES")</f>
        <v>MOTORES</v>
      </c>
      <c r="N930" s="87">
        <f>IFERROR(__xludf.DUMMYFUNCTION("""COMPUTED_VALUE"""),7920.959999999999)</f>
        <v>7920.96</v>
      </c>
      <c r="O930" s="74">
        <f>IFERROR(__xludf.DUMMYFUNCTION("""COMPUTED_VALUE"""),2.0)</f>
        <v>2</v>
      </c>
      <c r="P930" s="74" t="str">
        <f>IFERROR(__xludf.DUMMYFUNCTION("""COMPUTED_VALUE"""),"In stock")</f>
        <v>In stock</v>
      </c>
      <c r="Q930" s="74"/>
      <c r="R930" s="74"/>
      <c r="S930" s="87">
        <f>IFERROR(__xludf.DUMMYFUNCTION("""COMPUTED_VALUE"""),65.0)</f>
        <v>65</v>
      </c>
      <c r="T930" s="87">
        <f>IFERROR(__xludf.DUMMYFUNCTION("""COMPUTED_VALUE"""),446.0)</f>
        <v>446</v>
      </c>
      <c r="U930" s="87">
        <f>IFERROR(__xludf.DUMMYFUNCTION("""COMPUTED_VALUE"""),428.15999999999997)</f>
        <v>428.16</v>
      </c>
      <c r="V930" s="87">
        <f>IFERROR(__xludf.DUMMYFUNCTION("""COMPUTED_VALUE"""),79.625)</f>
        <v>79.625</v>
      </c>
      <c r="W930" s="87">
        <f>IFERROR(__xludf.DUMMYFUNCTION("""COMPUTED_VALUE"""),1492.96875)</f>
        <v>1492.96875</v>
      </c>
      <c r="X930" s="88">
        <f>IFERROR(__xludf.DUMMYFUNCTION("""COMPUTED_VALUE"""),6.587076923076922)</f>
        <v>6.587076923</v>
      </c>
      <c r="Y930" s="74"/>
      <c r="Z930" s="74"/>
    </row>
    <row r="931">
      <c r="B931" s="74" t="str">
        <f>IFERROR(__xludf.DUMMYFUNCTION("""COMPUTED_VALUE"""),"1929")</f>
        <v>1929</v>
      </c>
      <c r="C931" s="74" t="str">
        <f>IFERROR(__xludf.DUMMYFUNCTION("""COMPUTED_VALUE"""),"75045880468")</f>
        <v>75045880468</v>
      </c>
      <c r="D931" s="74" t="str">
        <f>IFERROR(__xludf.DUMMYFUNCTION("""COMPUTED_VALUE"""),"\\MCA-S\mk\2_BM\0_BMat\08_PYM\Inventario\excel\Imagen de refacciones\Putzmeister\o -ring 60mm x 4mm")</f>
        <v>\\MCA-S\mk\2_BM\0_BMat\08_PYM\Inventario\excel\Imagen de refacciones\Putzmeister\o -ring 60mm x 4mm</v>
      </c>
      <c r="E931" s="74" t="str">
        <f>IFERROR(__xludf.DUMMYFUNCTION("""COMPUTED_VALUE"""),"O RING 60*4")</f>
        <v>O RING 60*4</v>
      </c>
      <c r="F931" s="74" t="str">
        <f>IFERROR(__xludf.DUMMYFUNCTION("""COMPUTED_VALUE"""),"O-RING 60mm x 4mm")</f>
        <v>O-RING 60mm x 4mm</v>
      </c>
      <c r="G931" s="74"/>
      <c r="H931" s="74"/>
      <c r="I931" s="74" t="str">
        <f>IFERROR(__xludf.DUMMYFUNCTION("""COMPUTED_VALUE"""),"43909003")</f>
        <v>43909003</v>
      </c>
      <c r="J931" s="74"/>
      <c r="K931" s="74" t="str">
        <f>IFERROR(__xludf.DUMMYFUNCTION("""COMPUTED_VALUE"""),"Putzmeister")</f>
        <v>Putzmeister</v>
      </c>
      <c r="L931" s="74"/>
      <c r="M931" s="74" t="str">
        <f>IFERROR(__xludf.DUMMYFUNCTION("""COMPUTED_VALUE"""),"Sin Asignar")</f>
        <v>Sin Asignar</v>
      </c>
      <c r="N931" s="87">
        <f>IFERROR(__xludf.DUMMYFUNCTION("""COMPUTED_VALUE"""),0.0)</f>
        <v>0</v>
      </c>
      <c r="O931" s="74"/>
      <c r="P931" s="74" t="str">
        <f>IFERROR(__xludf.DUMMYFUNCTION("""COMPUTED_VALUE"""),"To Re-purchase")</f>
        <v>To Re-purchase</v>
      </c>
      <c r="Q931" s="74"/>
      <c r="R931" s="74"/>
      <c r="S931" s="87">
        <f>IFERROR(__xludf.DUMMYFUNCTION("""COMPUTED_VALUE"""),0.0)</f>
        <v>0</v>
      </c>
      <c r="T931" s="87">
        <f>IFERROR(__xludf.DUMMYFUNCTION("""COMPUTED_VALUE"""),0.0)</f>
        <v>0</v>
      </c>
      <c r="U931" s="87">
        <f>IFERROR(__xludf.DUMMYFUNCTION("""COMPUTED_VALUE"""),0.0)</f>
        <v>0</v>
      </c>
      <c r="V931" s="87">
        <f>IFERROR(__xludf.DUMMYFUNCTION("""COMPUTED_VALUE"""),0.0)</f>
        <v>0</v>
      </c>
      <c r="W931" s="87">
        <f>IFERROR(__xludf.DUMMYFUNCTION("""COMPUTED_VALUE"""),0.0)</f>
        <v>0</v>
      </c>
      <c r="X931" s="88"/>
      <c r="Y931" s="74"/>
      <c r="Z931" s="74"/>
    </row>
    <row r="932">
      <c r="B932" s="74" t="str">
        <f>IFERROR(__xludf.DUMMYFUNCTION("""COMPUTED_VALUE"""),"1930")</f>
        <v>1930</v>
      </c>
      <c r="C932" s="74"/>
      <c r="D932" s="74" t="str">
        <f>IFERROR(__xludf.DUMMYFUNCTION("""COMPUTED_VALUE"""),"\\MCA-S\mk\2_BM\0_BMat\08_PYM\Inventario\excel\Imagen de refacciones\Putzmeister\Operating Hours Meter 12_24V _ Contador de Horas de Funcionamiento 12_24V")</f>
        <v>\\MCA-S\mk\2_BM\0_BMat\08_PYM\Inventario\excel\Imagen de refacciones\Putzmeister\Operating Hours Meter 12_24V _ Contador de Horas de Funcionamiento 12_24V</v>
      </c>
      <c r="E932" s="74"/>
      <c r="F932" s="74" t="str">
        <f>IFERROR(__xludf.DUMMYFUNCTION("""COMPUTED_VALUE"""),"Operating Hours Meter 12/24V / Contador de Horas de Funcionamiento 12/24V")</f>
        <v>Operating Hours Meter 12/24V / Contador de Horas de Funcionamiento 12/24V</v>
      </c>
      <c r="G932" s="74"/>
      <c r="H932" s="74"/>
      <c r="I932" s="74" t="str">
        <f>IFERROR(__xludf.DUMMYFUNCTION("""COMPUTED_VALUE"""),"SOM20569")</f>
        <v>SOM20569</v>
      </c>
      <c r="J932" s="74" t="str">
        <f>IFERROR(__xludf.DUMMYFUNCTION("""COMPUTED_VALUE"""),"26034005")</f>
        <v>26034005</v>
      </c>
      <c r="K932" s="74" t="str">
        <f>IFERROR(__xludf.DUMMYFUNCTION("""COMPUTED_VALUE"""),"Putzmeister")</f>
        <v>Putzmeister</v>
      </c>
      <c r="L932" s="74" t="str">
        <f>IFERROR(__xludf.DUMMYFUNCTION("""COMPUTED_VALUE"""),"Elementos de Medición y Control")</f>
        <v>Elementos de Medición y Control</v>
      </c>
      <c r="M932" s="74" t="str">
        <f>IFERROR(__xludf.DUMMYFUNCTION("""COMPUTED_VALUE"""),"Sin Asignar")</f>
        <v>Sin Asignar</v>
      </c>
      <c r="N932" s="87">
        <f>IFERROR(__xludf.DUMMYFUNCTION("""COMPUTED_VALUE"""),0.0)</f>
        <v>0</v>
      </c>
      <c r="O932" s="74"/>
      <c r="P932" s="74" t="str">
        <f>IFERROR(__xludf.DUMMYFUNCTION("""COMPUTED_VALUE"""),"No Available")</f>
        <v>No Available</v>
      </c>
      <c r="Q932" s="74"/>
      <c r="R932" s="74"/>
      <c r="S932" s="87">
        <f>IFERROR(__xludf.DUMMYFUNCTION("""COMPUTED_VALUE"""),0.0)</f>
        <v>0</v>
      </c>
      <c r="T932" s="87">
        <f>IFERROR(__xludf.DUMMYFUNCTION("""COMPUTED_VALUE"""),0.0)</f>
        <v>0</v>
      </c>
      <c r="U932" s="87">
        <f>IFERROR(__xludf.DUMMYFUNCTION("""COMPUTED_VALUE"""),0.0)</f>
        <v>0</v>
      </c>
      <c r="V932" s="87">
        <f>IFERROR(__xludf.DUMMYFUNCTION("""COMPUTED_VALUE"""),0.0)</f>
        <v>0</v>
      </c>
      <c r="W932" s="87">
        <f>IFERROR(__xludf.DUMMYFUNCTION("""COMPUTED_VALUE"""),0.0)</f>
        <v>0</v>
      </c>
      <c r="X932" s="88"/>
      <c r="Y932" s="74"/>
      <c r="Z932" s="74"/>
    </row>
    <row r="933">
      <c r="B933" s="74" t="str">
        <f>IFERROR(__xludf.DUMMYFUNCTION("""COMPUTED_VALUE"""),"1931")</f>
        <v>1931</v>
      </c>
      <c r="C933" s="74"/>
      <c r="D933" s="74" t="str">
        <f>IFERROR(__xludf.DUMMYFUNCTION("""COMPUTED_VALUE"""),"\\MCA-S\mk\2_BM\0_BMat\08_PYM\Inventario\excel\Imagen de refacciones\Putzmeister\O-Ring 148x6 DIN3771NBR70 _ Anillo O 148x6 DIN3771NBR70")</f>
        <v>\\MCA-S\mk\2_BM\0_BMat\08_PYM\Inventario\excel\Imagen de refacciones\Putzmeister\O-Ring 148x6 DIN3771NBR70 _ Anillo O 148x6 DIN3771NBR70</v>
      </c>
      <c r="E933" s="74"/>
      <c r="F933" s="74" t="str">
        <f>IFERROR(__xludf.DUMMYFUNCTION("""COMPUTED_VALUE"""),"O-Ring 148x6 DIN3771NBR70 / Anillo O 148x6 DIN3771NBR70")</f>
        <v>O-Ring 148x6 DIN3771NBR70 / Anillo O 148x6 DIN3771NBR70</v>
      </c>
      <c r="G933" s="74"/>
      <c r="H933" s="74"/>
      <c r="I933" s="74" t="str">
        <f>IFERROR(__xludf.DUMMYFUNCTION("""COMPUTED_VALUE"""),"SOM20487")</f>
        <v>SOM20487</v>
      </c>
      <c r="J933" s="74" t="str">
        <f>IFERROR(__xludf.DUMMYFUNCTION("""COMPUTED_VALUE"""),"43017005")</f>
        <v>43017005</v>
      </c>
      <c r="K933" s="74" t="str">
        <f>IFERROR(__xludf.DUMMYFUNCTION("""COMPUTED_VALUE"""),"Putzmeister")</f>
        <v>Putzmeister</v>
      </c>
      <c r="L933" s="74" t="str">
        <f>IFERROR(__xludf.DUMMYFUNCTION("""COMPUTED_VALUE"""),"Sellos y Retenes")</f>
        <v>Sellos y Retenes</v>
      </c>
      <c r="M933" s="74" t="str">
        <f>IFERROR(__xludf.DUMMYFUNCTION("""COMPUTED_VALUE"""),"Sin Asignar")</f>
        <v>Sin Asignar</v>
      </c>
      <c r="N933" s="87">
        <f>IFERROR(__xludf.DUMMYFUNCTION("""COMPUTED_VALUE"""),0.0)</f>
        <v>0</v>
      </c>
      <c r="O933" s="74"/>
      <c r="P933" s="74" t="str">
        <f>IFERROR(__xludf.DUMMYFUNCTION("""COMPUTED_VALUE"""),"No Available")</f>
        <v>No Available</v>
      </c>
      <c r="Q933" s="74"/>
      <c r="R933" s="74"/>
      <c r="S933" s="87">
        <f>IFERROR(__xludf.DUMMYFUNCTION("""COMPUTED_VALUE"""),0.0)</f>
        <v>0</v>
      </c>
      <c r="T933" s="87">
        <f>IFERROR(__xludf.DUMMYFUNCTION("""COMPUTED_VALUE"""),0.0)</f>
        <v>0</v>
      </c>
      <c r="U933" s="87">
        <f>IFERROR(__xludf.DUMMYFUNCTION("""COMPUTED_VALUE"""),0.0)</f>
        <v>0</v>
      </c>
      <c r="V933" s="87">
        <f>IFERROR(__xludf.DUMMYFUNCTION("""COMPUTED_VALUE"""),0.0)</f>
        <v>0</v>
      </c>
      <c r="W933" s="87">
        <f>IFERROR(__xludf.DUMMYFUNCTION("""COMPUTED_VALUE"""),0.0)</f>
        <v>0</v>
      </c>
      <c r="X933" s="88"/>
      <c r="Y933" s="74"/>
      <c r="Z933" s="74"/>
    </row>
    <row r="934">
      <c r="B934" s="74" t="str">
        <f>IFERROR(__xludf.DUMMYFUNCTION("""COMPUTED_VALUE"""),"1932")</f>
        <v>1932</v>
      </c>
      <c r="C934" s="74"/>
      <c r="D934" s="74" t="str">
        <f>IFERROR(__xludf.DUMMYFUNCTION("""COMPUTED_VALUE"""),"\\MCA-S\mk\2_BM\0_BMat\08_PYM\Inventario\excel\Imagen de refacciones\Putzmeister\O-Ring 210x8 DIN3771NBR70 _ Anillo O 210x8 DIN3771NBR70")</f>
        <v>\\MCA-S\mk\2_BM\0_BMat\08_PYM\Inventario\excel\Imagen de refacciones\Putzmeister\O-Ring 210x8 DIN3771NBR70 _ Anillo O 210x8 DIN3771NBR70</v>
      </c>
      <c r="E934" s="74"/>
      <c r="F934" s="74" t="str">
        <f>IFERROR(__xludf.DUMMYFUNCTION("""COMPUTED_VALUE"""),"O-Ring 210x8 DIN3771NBR70 / Anillo O 210x8 DIN3771NBR70")</f>
        <v>O-Ring 210x8 DIN3771NBR70 / Anillo O 210x8 DIN3771NBR70</v>
      </c>
      <c r="G934" s="74"/>
      <c r="H934" s="74"/>
      <c r="I934" s="74" t="str">
        <f>IFERROR(__xludf.DUMMYFUNCTION("""COMPUTED_VALUE"""),"SOM20458")</f>
        <v>SOM20458</v>
      </c>
      <c r="J934" s="74" t="str">
        <f>IFERROR(__xludf.DUMMYFUNCTION("""COMPUTED_VALUE"""),"41468001")</f>
        <v>41468001</v>
      </c>
      <c r="K934" s="74" t="str">
        <f>IFERROR(__xludf.DUMMYFUNCTION("""COMPUTED_VALUE"""),"Putzmeister")</f>
        <v>Putzmeister</v>
      </c>
      <c r="L934" s="74" t="str">
        <f>IFERROR(__xludf.DUMMYFUNCTION("""COMPUTED_VALUE"""),"Sellos y Retenes")</f>
        <v>Sellos y Retenes</v>
      </c>
      <c r="M934" s="74" t="str">
        <f>IFERROR(__xludf.DUMMYFUNCTION("""COMPUTED_VALUE"""),"Sin Asignar")</f>
        <v>Sin Asignar</v>
      </c>
      <c r="N934" s="87">
        <f>IFERROR(__xludf.DUMMYFUNCTION("""COMPUTED_VALUE"""),0.0)</f>
        <v>0</v>
      </c>
      <c r="O934" s="74"/>
      <c r="P934" s="74" t="str">
        <f>IFERROR(__xludf.DUMMYFUNCTION("""COMPUTED_VALUE"""),"No Available")</f>
        <v>No Available</v>
      </c>
      <c r="Q934" s="74"/>
      <c r="R934" s="74"/>
      <c r="S934" s="87">
        <f>IFERROR(__xludf.DUMMYFUNCTION("""COMPUTED_VALUE"""),0.0)</f>
        <v>0</v>
      </c>
      <c r="T934" s="87">
        <f>IFERROR(__xludf.DUMMYFUNCTION("""COMPUTED_VALUE"""),0.0)</f>
        <v>0</v>
      </c>
      <c r="U934" s="87">
        <f>IFERROR(__xludf.DUMMYFUNCTION("""COMPUTED_VALUE"""),0.0)</f>
        <v>0</v>
      </c>
      <c r="V934" s="87">
        <f>IFERROR(__xludf.DUMMYFUNCTION("""COMPUTED_VALUE"""),0.0)</f>
        <v>0</v>
      </c>
      <c r="W934" s="87">
        <f>IFERROR(__xludf.DUMMYFUNCTION("""COMPUTED_VALUE"""),0.0)</f>
        <v>0</v>
      </c>
      <c r="X934" s="88"/>
      <c r="Y934" s="74"/>
      <c r="Z934" s="74"/>
    </row>
    <row r="935">
      <c r="B935" s="74" t="str">
        <f>IFERROR(__xludf.DUMMYFUNCTION("""COMPUTED_VALUE"""),"1933")</f>
        <v>1933</v>
      </c>
      <c r="C935" s="74"/>
      <c r="D935" s="74" t="str">
        <f>IFERROR(__xludf.DUMMYFUNCTION("""COMPUTED_VALUE"""),"\\MCA-S\mk\2_BM\0_BMat\08_PYM\Inventario\excel\Imagen de refacciones\Putzmeister\Outher Housing (New-Ergonic Type) _ Carcasa Exterior (Tipo Nueva Ergonómica)")</f>
        <v>\\MCA-S\mk\2_BM\0_BMat\08_PYM\Inventario\excel\Imagen de refacciones\Putzmeister\Outher Housing (New-Ergonic Type) _ Carcasa Exterior (Tipo Nueva Ergonómica)</v>
      </c>
      <c r="E935" s="74"/>
      <c r="F935" s="74" t="str">
        <f>IFERROR(__xludf.DUMMYFUNCTION("""COMPUTED_VALUE"""),"Outher Housing (New-Ergonic Type) / Carcasa Exterior (Tipo Nueva Ergonómica)")</f>
        <v>Outher Housing (New-Ergonic Type) / Carcasa Exterior (Tipo Nueva Ergonómica)</v>
      </c>
      <c r="G935" s="74"/>
      <c r="H935" s="74"/>
      <c r="I935" s="74" t="str">
        <f>IFERROR(__xludf.DUMMYFUNCTION("""COMPUTED_VALUE"""),"SOM20414")</f>
        <v>SOM20414</v>
      </c>
      <c r="J935" s="74" t="str">
        <f>IFERROR(__xludf.DUMMYFUNCTION("""COMPUTED_VALUE"""),"576811 / 508064")</f>
        <v>576811 / 508064</v>
      </c>
      <c r="K935" s="74" t="str">
        <f>IFERROR(__xludf.DUMMYFUNCTION("""COMPUTED_VALUE"""),"Putzmeister")</f>
        <v>Putzmeister</v>
      </c>
      <c r="L935" s="74" t="str">
        <f>IFERROR(__xludf.DUMMYFUNCTION("""COMPUTED_VALUE"""),"Componentes Estructurales y de Montaje")</f>
        <v>Componentes Estructurales y de Montaje</v>
      </c>
      <c r="M935" s="74" t="str">
        <f>IFERROR(__xludf.DUMMYFUNCTION("""COMPUTED_VALUE"""),"Sin Asignar")</f>
        <v>Sin Asignar</v>
      </c>
      <c r="N935" s="87">
        <f>IFERROR(__xludf.DUMMYFUNCTION("""COMPUTED_VALUE"""),0.0)</f>
        <v>0</v>
      </c>
      <c r="O935" s="74"/>
      <c r="P935" s="74" t="str">
        <f>IFERROR(__xludf.DUMMYFUNCTION("""COMPUTED_VALUE"""),"No Available")</f>
        <v>No Available</v>
      </c>
      <c r="Q935" s="74"/>
      <c r="R935" s="74"/>
      <c r="S935" s="87">
        <f>IFERROR(__xludf.DUMMYFUNCTION("""COMPUTED_VALUE"""),0.0)</f>
        <v>0</v>
      </c>
      <c r="T935" s="87">
        <f>IFERROR(__xludf.DUMMYFUNCTION("""COMPUTED_VALUE"""),0.0)</f>
        <v>0</v>
      </c>
      <c r="U935" s="87">
        <f>IFERROR(__xludf.DUMMYFUNCTION("""COMPUTED_VALUE"""),0.0)</f>
        <v>0</v>
      </c>
      <c r="V935" s="87">
        <f>IFERROR(__xludf.DUMMYFUNCTION("""COMPUTED_VALUE"""),0.0)</f>
        <v>0</v>
      </c>
      <c r="W935" s="87">
        <f>IFERROR(__xludf.DUMMYFUNCTION("""COMPUTED_VALUE"""),0.0)</f>
        <v>0</v>
      </c>
      <c r="X935" s="88"/>
      <c r="Y935" s="74"/>
      <c r="Z935" s="74"/>
    </row>
    <row r="936">
      <c r="B936" s="74" t="str">
        <f>IFERROR(__xludf.DUMMYFUNCTION("""COMPUTED_VALUE"""),"1934")</f>
        <v>1934</v>
      </c>
      <c r="C936" s="74"/>
      <c r="D936" s="74" t="str">
        <f>IFERROR(__xludf.DUMMYFUNCTION("""COMPUTED_VALUE"""),"\\MCA-S\mk\2_BM\0_BMat\08_PYM\Inventario\excel\Imagen de refacciones\Putzmeister\Outher Housing (New-Ergonic Type) _ Carcasa Exterior (Tipo Nueva Ergonómica) (1)")</f>
        <v>\\MCA-S\mk\2_BM\0_BMat\08_PYM\Inventario\excel\Imagen de refacciones\Putzmeister\Outher Housing (New-Ergonic Type) _ Carcasa Exterior (Tipo Nueva Ergonómica) (1)</v>
      </c>
      <c r="E936" s="74"/>
      <c r="F936" s="74" t="str">
        <f>IFERROR(__xludf.DUMMYFUNCTION("""COMPUTED_VALUE"""),"Outher Housing (New-Ergonic Type) / Carcasa Exterior (Tipo Nueva Ergonómica)")</f>
        <v>Outher Housing (New-Ergonic Type) / Carcasa Exterior (Tipo Nueva Ergonómica)</v>
      </c>
      <c r="G936" s="74"/>
      <c r="H936" s="74"/>
      <c r="I936" s="74" t="str">
        <f>IFERROR(__xludf.DUMMYFUNCTION("""COMPUTED_VALUE"""),"SOM20435")</f>
        <v>SOM20435</v>
      </c>
      <c r="J936" s="74" t="str">
        <f>IFERROR(__xludf.DUMMYFUNCTION("""COMPUTED_VALUE"""),"240620004")</f>
        <v>240620004</v>
      </c>
      <c r="K936" s="74" t="str">
        <f>IFERROR(__xludf.DUMMYFUNCTION("""COMPUTED_VALUE"""),"Putzmeister")</f>
        <v>Putzmeister</v>
      </c>
      <c r="L936" s="74" t="str">
        <f>IFERROR(__xludf.DUMMYFUNCTION("""COMPUTED_VALUE"""),"Componentes Estructurales y de Montaje")</f>
        <v>Componentes Estructurales y de Montaje</v>
      </c>
      <c r="M936" s="74" t="str">
        <f>IFERROR(__xludf.DUMMYFUNCTION("""COMPUTED_VALUE"""),"Sin Asignar")</f>
        <v>Sin Asignar</v>
      </c>
      <c r="N936" s="87">
        <f>IFERROR(__xludf.DUMMYFUNCTION("""COMPUTED_VALUE"""),0.0)</f>
        <v>0</v>
      </c>
      <c r="O936" s="74"/>
      <c r="P936" s="74" t="str">
        <f>IFERROR(__xludf.DUMMYFUNCTION("""COMPUTED_VALUE"""),"No Available")</f>
        <v>No Available</v>
      </c>
      <c r="Q936" s="74"/>
      <c r="R936" s="74"/>
      <c r="S936" s="87">
        <f>IFERROR(__xludf.DUMMYFUNCTION("""COMPUTED_VALUE"""),0.0)</f>
        <v>0</v>
      </c>
      <c r="T936" s="87">
        <f>IFERROR(__xludf.DUMMYFUNCTION("""COMPUTED_VALUE"""),0.0)</f>
        <v>0</v>
      </c>
      <c r="U936" s="87">
        <f>IFERROR(__xludf.DUMMYFUNCTION("""COMPUTED_VALUE"""),0.0)</f>
        <v>0</v>
      </c>
      <c r="V936" s="87">
        <f>IFERROR(__xludf.DUMMYFUNCTION("""COMPUTED_VALUE"""),0.0)</f>
        <v>0</v>
      </c>
      <c r="W936" s="87">
        <f>IFERROR(__xludf.DUMMYFUNCTION("""COMPUTED_VALUE"""),0.0)</f>
        <v>0</v>
      </c>
      <c r="X936" s="88"/>
      <c r="Y936" s="74"/>
      <c r="Z936" s="74"/>
    </row>
    <row r="937">
      <c r="B937" s="74" t="str">
        <f>IFERROR(__xludf.DUMMYFUNCTION("""COMPUTED_VALUE"""),"1935")</f>
        <v>1935</v>
      </c>
      <c r="C937" s="74"/>
      <c r="D937" s="74" t="str">
        <f>IFERROR(__xludf.DUMMYFUNCTION("""COMPUTED_VALUE"""),"\\MCA-S\mk\2_BM\0_BMat\08_PYM\Inventario\excel\Imagen de refacciones\Putzmeister\Outher Housing for Stationary Pump Complete _ Carcasa Exterior para Bomba Estacionaria Completa")</f>
        <v>\\MCA-S\mk\2_BM\0_BMat\08_PYM\Inventario\excel\Imagen de refacciones\Putzmeister\Outher Housing for Stationary Pump Complete _ Carcasa Exterior para Bomba Estacionaria Completa</v>
      </c>
      <c r="E937" s="74"/>
      <c r="F937" s="74" t="str">
        <f>IFERROR(__xludf.DUMMYFUNCTION("""COMPUTED_VALUE"""),"Outher Housing for Stationary Pump Complete / Carcasa Exterior para Bomba Estacionaria Completa")</f>
        <v>Outher Housing for Stationary Pump Complete / Carcasa Exterior para Bomba Estacionaria Completa</v>
      </c>
      <c r="G937" s="74"/>
      <c r="H937" s="74"/>
      <c r="I937" s="74" t="str">
        <f>IFERROR(__xludf.DUMMYFUNCTION("""COMPUTED_VALUE"""),"SOM20479")</f>
        <v>SOM20479</v>
      </c>
      <c r="J937" s="74" t="str">
        <f>IFERROR(__xludf.DUMMYFUNCTION("""COMPUTED_VALUE"""),"246433002")</f>
        <v>246433002</v>
      </c>
      <c r="K937" s="74" t="str">
        <f>IFERROR(__xludf.DUMMYFUNCTION("""COMPUTED_VALUE"""),"Putzmeister")</f>
        <v>Putzmeister</v>
      </c>
      <c r="L937" s="74" t="str">
        <f>IFERROR(__xludf.DUMMYFUNCTION("""COMPUTED_VALUE"""),"Componentes Estructurales y de Montaje")</f>
        <v>Componentes Estructurales y de Montaje</v>
      </c>
      <c r="M937" s="74" t="str">
        <f>IFERROR(__xludf.DUMMYFUNCTION("""COMPUTED_VALUE"""),"Sin Asignar")</f>
        <v>Sin Asignar</v>
      </c>
      <c r="N937" s="87">
        <f>IFERROR(__xludf.DUMMYFUNCTION("""COMPUTED_VALUE"""),0.0)</f>
        <v>0</v>
      </c>
      <c r="O937" s="74"/>
      <c r="P937" s="74" t="str">
        <f>IFERROR(__xludf.DUMMYFUNCTION("""COMPUTED_VALUE"""),"No Available")</f>
        <v>No Available</v>
      </c>
      <c r="Q937" s="74"/>
      <c r="R937" s="74"/>
      <c r="S937" s="87">
        <f>IFERROR(__xludf.DUMMYFUNCTION("""COMPUTED_VALUE"""),0.0)</f>
        <v>0</v>
      </c>
      <c r="T937" s="87">
        <f>IFERROR(__xludf.DUMMYFUNCTION("""COMPUTED_VALUE"""),0.0)</f>
        <v>0</v>
      </c>
      <c r="U937" s="87">
        <f>IFERROR(__xludf.DUMMYFUNCTION("""COMPUTED_VALUE"""),0.0)</f>
        <v>0</v>
      </c>
      <c r="V937" s="87">
        <f>IFERROR(__xludf.DUMMYFUNCTION("""COMPUTED_VALUE"""),0.0)</f>
        <v>0</v>
      </c>
      <c r="W937" s="87">
        <f>IFERROR(__xludf.DUMMYFUNCTION("""COMPUTED_VALUE"""),0.0)</f>
        <v>0</v>
      </c>
      <c r="X937" s="88"/>
      <c r="Y937" s="74"/>
      <c r="Z937" s="74"/>
    </row>
    <row r="938">
      <c r="B938" s="74" t="str">
        <f>IFERROR(__xludf.DUMMYFUNCTION("""COMPUTED_VALUE"""),"1936")</f>
        <v>1936</v>
      </c>
      <c r="C938" s="74" t="str">
        <f>IFERROR(__xludf.DUMMYFUNCTION("""COMPUTED_VALUE"""),"75045880552")</f>
        <v>75045880552</v>
      </c>
      <c r="D938" s="74" t="str">
        <f>IFERROR(__xludf.DUMMYFUNCTION("""COMPUTED_VALUE"""),"\\MCA-S\mk\2_BM\0_BMat\08_PYM\Inventario\excel\Imagen de refacciones\Putzmeister\Palanca oscilante de 80mm")</f>
        <v>\\MCA-S\mk\2_BM\0_BMat\08_PYM\Inventario\excel\Imagen de refacciones\Putzmeister\Palanca oscilante de 80mm</v>
      </c>
      <c r="E938" s="74" t="str">
        <f>IFERROR(__xludf.DUMMYFUNCTION("""COMPUTED_VALUE"""),"SWING LEVER 80MM")</f>
        <v>SWING LEVER 80MM</v>
      </c>
      <c r="F938" s="74" t="str">
        <f>IFERROR(__xludf.DUMMYFUNCTION("""COMPUTED_VALUE"""),"PALANCA OSCILANTE DE 80MM")</f>
        <v>PALANCA OSCILANTE DE 80MM</v>
      </c>
      <c r="G938" s="74"/>
      <c r="H938" s="74" t="str">
        <f>IFERROR(__xludf.DUMMYFUNCTION("""COMPUTED_VALUE"""),"PALANCA OSCILANTE DE 80 MM PARA BOMBA DE HORMIGON")</f>
        <v>PALANCA OSCILANTE DE 80 MM PARA BOMBA DE HORMIGON</v>
      </c>
      <c r="I938" s="74" t="str">
        <f>IFERROR(__xludf.DUMMYFUNCTION("""COMPUTED_VALUE"""),"400493")</f>
        <v>400493</v>
      </c>
      <c r="J938" s="74"/>
      <c r="K938" s="74" t="str">
        <f>IFERROR(__xludf.DUMMYFUNCTION("""COMPUTED_VALUE"""),"Putzmeister")</f>
        <v>Putzmeister</v>
      </c>
      <c r="L938" s="74" t="str">
        <f>IFERROR(__xludf.DUMMYFUNCTION("""COMPUTED_VALUE"""),"BARRA V-ROCK")</f>
        <v>BARRA V-ROCK</v>
      </c>
      <c r="M938" s="74" t="str">
        <f>IFERROR(__xludf.DUMMYFUNCTION("""COMPUTED_VALUE"""),"SIN ASIGNAR")</f>
        <v>SIN ASIGNAR</v>
      </c>
      <c r="N938" s="87">
        <f>IFERROR(__xludf.DUMMYFUNCTION("""COMPUTED_VALUE"""),6695.5199999999995)</f>
        <v>6695.52</v>
      </c>
      <c r="O938" s="74">
        <f>IFERROR(__xludf.DUMMYFUNCTION("""COMPUTED_VALUE"""),1.0)</f>
        <v>1</v>
      </c>
      <c r="P938" s="74" t="str">
        <f>IFERROR(__xludf.DUMMYFUNCTION("""COMPUTED_VALUE"""),"In stock")</f>
        <v>In stock</v>
      </c>
      <c r="Q938" s="74"/>
      <c r="R938" s="74"/>
      <c r="S938" s="87">
        <f>IFERROR(__xludf.DUMMYFUNCTION("""COMPUTED_VALUE"""),57.0)</f>
        <v>57</v>
      </c>
      <c r="T938" s="87">
        <f>IFERROR(__xludf.DUMMYFUNCTION("""COMPUTED_VALUE"""),377.0)</f>
        <v>377</v>
      </c>
      <c r="U938" s="87">
        <f>IFERROR(__xludf.DUMMYFUNCTION("""COMPUTED_VALUE"""),361.91999999999996)</f>
        <v>361.92</v>
      </c>
      <c r="V938" s="87">
        <f>IFERROR(__xludf.DUMMYFUNCTION("""COMPUTED_VALUE"""),69.825)</f>
        <v>69.825</v>
      </c>
      <c r="W938" s="87">
        <f>IFERROR(__xludf.DUMMYFUNCTION("""COMPUTED_VALUE"""),1309.21875)</f>
        <v>1309.21875</v>
      </c>
      <c r="X938" s="88">
        <f>IFERROR(__xludf.DUMMYFUNCTION("""COMPUTED_VALUE"""),6.349473684210525)</f>
        <v>6.349473684</v>
      </c>
      <c r="Y938" s="74"/>
      <c r="Z938" s="74"/>
    </row>
    <row r="939">
      <c r="B939" s="74" t="str">
        <f>IFERROR(__xludf.DUMMYFUNCTION("""COMPUTED_VALUE"""),"1937")</f>
        <v>1937</v>
      </c>
      <c r="C939" s="74" t="str">
        <f>IFERROR(__xludf.DUMMYFUNCTION("""COMPUTED_VALUE"""),"75045880524")</f>
        <v>75045880524</v>
      </c>
      <c r="D939" s="74" t="str">
        <f>IFERROR(__xludf.DUMMYFUNCTION("""COMPUTED_VALUE"""),"\\MCA-S\mk\2_BM\0_BMat\08_PYM\Inventario\excel\Imagen de refacciones\Putzmeister\palanca oscilante de 90mm")</f>
        <v>\\MCA-S\mk\2_BM\0_BMat\08_PYM\Inventario\excel\Imagen de refacciones\Putzmeister\palanca oscilante de 90mm</v>
      </c>
      <c r="E939" s="74" t="str">
        <f>IFERROR(__xludf.DUMMYFUNCTION("""COMPUTED_VALUE"""),"SWING LEVER 90MM")</f>
        <v>SWING LEVER 90MM</v>
      </c>
      <c r="F939" s="74" t="str">
        <f>IFERROR(__xludf.DUMMYFUNCTION("""COMPUTED_VALUE"""),"PALANCA OSCILANTE DE 90MM")</f>
        <v>PALANCA OSCILANTE DE 90MM</v>
      </c>
      <c r="G939" s="74"/>
      <c r="H939" s="74" t="str">
        <f>IFERROR(__xludf.DUMMYFUNCTION("""COMPUTED_VALUE"""),"PALANCA OSCILANTE DE 90 MM PARA BOMBA DE HORMIGON")</f>
        <v>PALANCA OSCILANTE DE 90 MM PARA BOMBA DE HORMIGON</v>
      </c>
      <c r="I939" s="74" t="str">
        <f>IFERROR(__xludf.DUMMYFUNCTION("""COMPUTED_VALUE"""),"274877001")</f>
        <v>274877001</v>
      </c>
      <c r="J939" s="74"/>
      <c r="K939" s="74" t="str">
        <f>IFERROR(__xludf.DUMMYFUNCTION("""COMPUTED_VALUE"""),"Putzmeister")</f>
        <v>Putzmeister</v>
      </c>
      <c r="L939" s="74" t="str">
        <f>IFERROR(__xludf.DUMMYFUNCTION("""COMPUTED_VALUE"""),"BARRA V-ROCK")</f>
        <v>BARRA V-ROCK</v>
      </c>
      <c r="M939" s="74" t="str">
        <f>IFERROR(__xludf.DUMMYFUNCTION("""COMPUTED_VALUE"""),"SIN ASIGNAR")</f>
        <v>SIN ASIGNAR</v>
      </c>
      <c r="N939" s="87">
        <f>IFERROR(__xludf.DUMMYFUNCTION("""COMPUTED_VALUE"""),7743.36)</f>
        <v>7743.36</v>
      </c>
      <c r="O939" s="74">
        <f>IFERROR(__xludf.DUMMYFUNCTION("""COMPUTED_VALUE"""),1.0)</f>
        <v>1</v>
      </c>
      <c r="P939" s="74" t="str">
        <f>IFERROR(__xludf.DUMMYFUNCTION("""COMPUTED_VALUE"""),"In stock")</f>
        <v>In stock</v>
      </c>
      <c r="Q939" s="74"/>
      <c r="R939" s="74"/>
      <c r="S939" s="87">
        <f>IFERROR(__xludf.DUMMYFUNCTION("""COMPUTED_VALUE"""),57.0)</f>
        <v>57</v>
      </c>
      <c r="T939" s="87">
        <f>IFERROR(__xludf.DUMMYFUNCTION("""COMPUTED_VALUE"""),436.0)</f>
        <v>436</v>
      </c>
      <c r="U939" s="87">
        <f>IFERROR(__xludf.DUMMYFUNCTION("""COMPUTED_VALUE"""),418.56)</f>
        <v>418.56</v>
      </c>
      <c r="V939" s="87">
        <f>IFERROR(__xludf.DUMMYFUNCTION("""COMPUTED_VALUE"""),69.825)</f>
        <v>69.825</v>
      </c>
      <c r="W939" s="87">
        <f>IFERROR(__xludf.DUMMYFUNCTION("""COMPUTED_VALUE"""),1309.21875)</f>
        <v>1309.21875</v>
      </c>
      <c r="X939" s="88">
        <f>IFERROR(__xludf.DUMMYFUNCTION("""COMPUTED_VALUE"""),7.3431578947368426)</f>
        <v>7.343157895</v>
      </c>
      <c r="Y939" s="74"/>
      <c r="Z939" s="74"/>
    </row>
    <row r="940">
      <c r="B940" s="74" t="str">
        <f>IFERROR(__xludf.DUMMYFUNCTION("""COMPUTED_VALUE"""),"1938")</f>
        <v>1938</v>
      </c>
      <c r="C940" s="74" t="str">
        <f>IFERROR(__xludf.DUMMYFUNCTION("""COMPUTED_VALUE"""),"75045880469")</f>
        <v>75045880469</v>
      </c>
      <c r="D940" s="74" t="str">
        <f>IFERROR(__xludf.DUMMYFUNCTION("""COMPUTED_VALUE"""),"\\MCA-S\mk\2_BM\0_BMat\08_PYM\Inventario\excel\Imagen de refacciones\Putzmeister\perno sujetador para codo bisgra")</f>
        <v>\\MCA-S\mk\2_BM\0_BMat\08_PYM\Inventario\excel\Imagen de refacciones\Putzmeister\perno sujetador para codo bisgra</v>
      </c>
      <c r="E940" s="74" t="str">
        <f>IFERROR(__xludf.DUMMYFUNCTION("""COMPUTED_VALUE"""),"MOUNTING BOLT")</f>
        <v>MOUNTING BOLT</v>
      </c>
      <c r="F940" s="74" t="str">
        <f>IFERROR(__xludf.DUMMYFUNCTION("""COMPUTED_VALUE"""),"PERNO SUJETADOR PARA CODO BISAGRA")</f>
        <v>PERNO SUJETADOR PARA CODO BISAGRA</v>
      </c>
      <c r="G940" s="74"/>
      <c r="H940" s="74" t="str">
        <f>IFERROR(__xludf.DUMMYFUNCTION("""COMPUTED_VALUE"""),"PERNO SUJETADOR PARA CODO BISAGRA PARA BOMBA DE HORMIGON")</f>
        <v>PERNO SUJETADOR PARA CODO BISAGRA PARA BOMBA DE HORMIGON</v>
      </c>
      <c r="I940" s="74" t="str">
        <f>IFERROR(__xludf.DUMMYFUNCTION("""COMPUTED_VALUE"""),"262639002")</f>
        <v>262639002</v>
      </c>
      <c r="J940" s="74"/>
      <c r="K940" s="74" t="str">
        <f>IFERROR(__xludf.DUMMYFUNCTION("""COMPUTED_VALUE"""),"Putzmeister")</f>
        <v>Putzmeister</v>
      </c>
      <c r="L940" s="74" t="str">
        <f>IFERROR(__xludf.DUMMYFUNCTION("""COMPUTED_VALUE"""),"BARRA V-ROCK")</f>
        <v>BARRA V-ROCK</v>
      </c>
      <c r="M940" s="74" t="str">
        <f>IFERROR(__xludf.DUMMYFUNCTION("""COMPUTED_VALUE"""),"ACCESORIOS ")</f>
        <v>ACCESORIOS </v>
      </c>
      <c r="N940" s="87">
        <f>IFERROR(__xludf.DUMMYFUNCTION("""COMPUTED_VALUE"""),1172.16)</f>
        <v>1172.16</v>
      </c>
      <c r="O940" s="74">
        <f>IFERROR(__xludf.DUMMYFUNCTION("""COMPUTED_VALUE"""),3.0)</f>
        <v>3</v>
      </c>
      <c r="P940" s="74" t="str">
        <f>IFERROR(__xludf.DUMMYFUNCTION("""COMPUTED_VALUE"""),"In stock")</f>
        <v>In stock</v>
      </c>
      <c r="Q940" s="74"/>
      <c r="R940" s="74"/>
      <c r="S940" s="87">
        <f>IFERROR(__xludf.DUMMYFUNCTION("""COMPUTED_VALUE"""),8.0)</f>
        <v>8</v>
      </c>
      <c r="T940" s="87">
        <f>IFERROR(__xludf.DUMMYFUNCTION("""COMPUTED_VALUE"""),66.0)</f>
        <v>66</v>
      </c>
      <c r="U940" s="87">
        <f>IFERROR(__xludf.DUMMYFUNCTION("""COMPUTED_VALUE"""),63.36)</f>
        <v>63.36</v>
      </c>
      <c r="V940" s="87">
        <f>IFERROR(__xludf.DUMMYFUNCTION("""COMPUTED_VALUE"""),9.8)</f>
        <v>9.8</v>
      </c>
      <c r="W940" s="87">
        <f>IFERROR(__xludf.DUMMYFUNCTION("""COMPUTED_VALUE"""),183.75)</f>
        <v>183.75</v>
      </c>
      <c r="X940" s="88">
        <f>IFERROR(__xludf.DUMMYFUNCTION("""COMPUTED_VALUE"""),7.92)</f>
        <v>7.92</v>
      </c>
      <c r="Y940" s="74"/>
      <c r="Z940" s="74"/>
    </row>
    <row r="941">
      <c r="B941" s="74" t="str">
        <f>IFERROR(__xludf.DUMMYFUNCTION("""COMPUTED_VALUE"""),"1939")</f>
        <v>1939</v>
      </c>
      <c r="C941" s="74"/>
      <c r="D941" s="74" t="str">
        <f>IFERROR(__xludf.DUMMYFUNCTION("""COMPUTED_VALUE"""),"\\MCA-S\mk\2_BM\0_BMat\08_PYM\Inventario\excel\Imagen de refacciones\Putzmeister\Pipe Suspension _ Suspensión de Tubería")</f>
        <v>\\MCA-S\mk\2_BM\0_BMat\08_PYM\Inventario\excel\Imagen de refacciones\Putzmeister\Pipe Suspension _ Suspensión de Tubería</v>
      </c>
      <c r="E941" s="74"/>
      <c r="F941" s="74" t="str">
        <f>IFERROR(__xludf.DUMMYFUNCTION("""COMPUTED_VALUE"""),"Pipe Suspension / Suspensión de Tubería")</f>
        <v>Pipe Suspension / Suspensión de Tubería</v>
      </c>
      <c r="G941" s="74"/>
      <c r="H941" s="74"/>
      <c r="I941" s="74" t="str">
        <f>IFERROR(__xludf.DUMMYFUNCTION("""COMPUTED_VALUE"""),"SOM20514")</f>
        <v>SOM20514</v>
      </c>
      <c r="J941" s="74" t="str">
        <f>IFERROR(__xludf.DUMMYFUNCTION("""COMPUTED_VALUE"""),"277100005")</f>
        <v>277100005</v>
      </c>
      <c r="K941" s="74" t="str">
        <f>IFERROR(__xludf.DUMMYFUNCTION("""COMPUTED_VALUE"""),"Putzmeister")</f>
        <v>Putzmeister</v>
      </c>
      <c r="L941" s="74" t="str">
        <f>IFERROR(__xludf.DUMMYFUNCTION("""COMPUTED_VALUE"""),"Componentes Estructurales y de Montaje")</f>
        <v>Componentes Estructurales y de Montaje</v>
      </c>
      <c r="M941" s="74" t="str">
        <f>IFERROR(__xludf.DUMMYFUNCTION("""COMPUTED_VALUE"""),"Sin Asignar")</f>
        <v>Sin Asignar</v>
      </c>
      <c r="N941" s="87">
        <f>IFERROR(__xludf.DUMMYFUNCTION("""COMPUTED_VALUE"""),0.0)</f>
        <v>0</v>
      </c>
      <c r="O941" s="74"/>
      <c r="P941" s="74" t="str">
        <f>IFERROR(__xludf.DUMMYFUNCTION("""COMPUTED_VALUE"""),"No Available")</f>
        <v>No Available</v>
      </c>
      <c r="Q941" s="74"/>
      <c r="R941" s="74"/>
      <c r="S941" s="87">
        <f>IFERROR(__xludf.DUMMYFUNCTION("""COMPUTED_VALUE"""),0.0)</f>
        <v>0</v>
      </c>
      <c r="T941" s="87">
        <f>IFERROR(__xludf.DUMMYFUNCTION("""COMPUTED_VALUE"""),0.0)</f>
        <v>0</v>
      </c>
      <c r="U941" s="87">
        <f>IFERROR(__xludf.DUMMYFUNCTION("""COMPUTED_VALUE"""),0.0)</f>
        <v>0</v>
      </c>
      <c r="V941" s="87">
        <f>IFERROR(__xludf.DUMMYFUNCTION("""COMPUTED_VALUE"""),0.0)</f>
        <v>0</v>
      </c>
      <c r="W941" s="87">
        <f>IFERROR(__xludf.DUMMYFUNCTION("""COMPUTED_VALUE"""),0.0)</f>
        <v>0</v>
      </c>
      <c r="X941" s="88"/>
      <c r="Y941" s="74"/>
      <c r="Z941" s="74"/>
    </row>
    <row r="942">
      <c r="B942" s="74" t="str">
        <f>IFERROR(__xludf.DUMMYFUNCTION("""COMPUTED_VALUE"""),"1940")</f>
        <v>1940</v>
      </c>
      <c r="C942" s="74"/>
      <c r="D942" s="74" t="str">
        <f>IFERROR(__xludf.DUMMYFUNCTION("""COMPUTED_VALUE"""),"\\MCA-S\mk\2_BM\0_BMat\08_PYM\Inventario\excel\Imagen de refacciones\Putzmeister\Piston _ Pistón (2)")</f>
        <v>\\MCA-S\mk\2_BM\0_BMat\08_PYM\Inventario\excel\Imagen de refacciones\Putzmeister\Piston _ Pistón (2)</v>
      </c>
      <c r="E942" s="74"/>
      <c r="F942" s="74" t="str">
        <f>IFERROR(__xludf.DUMMYFUNCTION("""COMPUTED_VALUE"""),"Piston / Pistón")</f>
        <v>Piston / Pistón</v>
      </c>
      <c r="G942" s="74"/>
      <c r="H942" s="74"/>
      <c r="I942" s="74" t="str">
        <f>IFERROR(__xludf.DUMMYFUNCTION("""COMPUTED_VALUE"""),"SOM20527")</f>
        <v>SOM20527</v>
      </c>
      <c r="J942" s="74" t="str">
        <f>IFERROR(__xludf.DUMMYFUNCTION("""COMPUTED_VALUE"""),"234991008")</f>
        <v>234991008</v>
      </c>
      <c r="K942" s="74" t="str">
        <f>IFERROR(__xludf.DUMMYFUNCTION("""COMPUTED_VALUE"""),"Putzmeister")</f>
        <v>Putzmeister</v>
      </c>
      <c r="L942" s="74" t="str">
        <f>IFERROR(__xludf.DUMMYFUNCTION("""COMPUTED_VALUE"""),"Componentes Hidráulicos")</f>
        <v>Componentes Hidráulicos</v>
      </c>
      <c r="M942" s="74" t="str">
        <f>IFERROR(__xludf.DUMMYFUNCTION("""COMPUTED_VALUE"""),"Sin Asignar")</f>
        <v>Sin Asignar</v>
      </c>
      <c r="N942" s="87">
        <f>IFERROR(__xludf.DUMMYFUNCTION("""COMPUTED_VALUE"""),0.0)</f>
        <v>0</v>
      </c>
      <c r="O942" s="74"/>
      <c r="P942" s="74" t="str">
        <f>IFERROR(__xludf.DUMMYFUNCTION("""COMPUTED_VALUE"""),"No Available")</f>
        <v>No Available</v>
      </c>
      <c r="Q942" s="74"/>
      <c r="R942" s="74"/>
      <c r="S942" s="87">
        <f>IFERROR(__xludf.DUMMYFUNCTION("""COMPUTED_VALUE"""),0.0)</f>
        <v>0</v>
      </c>
      <c r="T942" s="87">
        <f>IFERROR(__xludf.DUMMYFUNCTION("""COMPUTED_VALUE"""),0.0)</f>
        <v>0</v>
      </c>
      <c r="U942" s="87">
        <f>IFERROR(__xludf.DUMMYFUNCTION("""COMPUTED_VALUE"""),0.0)</f>
        <v>0</v>
      </c>
      <c r="V942" s="87">
        <f>IFERROR(__xludf.DUMMYFUNCTION("""COMPUTED_VALUE"""),0.0)</f>
        <v>0</v>
      </c>
      <c r="W942" s="87">
        <f>IFERROR(__xludf.DUMMYFUNCTION("""COMPUTED_VALUE"""),0.0)</f>
        <v>0</v>
      </c>
      <c r="X942" s="88"/>
      <c r="Y942" s="74"/>
      <c r="Z942" s="74"/>
    </row>
    <row r="943">
      <c r="B943" s="74" t="str">
        <f>IFERROR(__xludf.DUMMYFUNCTION("""COMPUTED_VALUE"""),"1941")</f>
        <v>1941</v>
      </c>
      <c r="C943" s="74"/>
      <c r="D943" s="74" t="str">
        <f>IFERROR(__xludf.DUMMYFUNCTION("""COMPUTED_VALUE"""),"\\MCA-S\mk\2_BM\0_BMat\08_PYM\Inventario\excel\Imagen de refacciones\Putzmeister\PM Delivery Pipe 7.1 ZX_5.5 X 3000 _ Tubería de Entrega PM 7.1 ZX_5.5 X 3000")</f>
        <v>\\MCA-S\mk\2_BM\0_BMat\08_PYM\Inventario\excel\Imagen de refacciones\Putzmeister\PM Delivery Pipe 7.1 ZX_5.5 X 3000 _ Tubería de Entrega PM 7.1 ZX_5.5 X 3000</v>
      </c>
      <c r="E943" s="74"/>
      <c r="F943" s="74" t="str">
        <f>IFERROR(__xludf.DUMMYFUNCTION("""COMPUTED_VALUE"""),"PM Delivery Pipe 7.1 ZX/5.5 X 3000 / Tubería de Entrega PM 7.1 ZX/5.5 X 3000")</f>
        <v>PM Delivery Pipe 7.1 ZX/5.5 X 3000 / Tubería de Entrega PM 7.1 ZX/5.5 X 3000</v>
      </c>
      <c r="G943" s="74"/>
      <c r="H943" s="74"/>
      <c r="I943" s="74" t="str">
        <f>IFERROR(__xludf.DUMMYFUNCTION("""COMPUTED_VALUE"""),"SOM20571")</f>
        <v>SOM20571</v>
      </c>
      <c r="J943" s="74" t="str">
        <f>IFERROR(__xludf.DUMMYFUNCTION("""COMPUTED_VALUE"""),"51803007")</f>
        <v>51803007</v>
      </c>
      <c r="K943" s="74" t="str">
        <f>IFERROR(__xludf.DUMMYFUNCTION("""COMPUTED_VALUE"""),"Putzmeister")</f>
        <v>Putzmeister</v>
      </c>
      <c r="L943" s="74" t="str">
        <f>IFERROR(__xludf.DUMMYFUNCTION("""COMPUTED_VALUE"""),"Sistema de Bombeo de Concreto")</f>
        <v>Sistema de Bombeo de Concreto</v>
      </c>
      <c r="M943" s="74" t="str">
        <f>IFERROR(__xludf.DUMMYFUNCTION("""COMPUTED_VALUE"""),"Sin Asignar")</f>
        <v>Sin Asignar</v>
      </c>
      <c r="N943" s="87">
        <f>IFERROR(__xludf.DUMMYFUNCTION("""COMPUTED_VALUE"""),0.0)</f>
        <v>0</v>
      </c>
      <c r="O943" s="74"/>
      <c r="P943" s="74" t="str">
        <f>IFERROR(__xludf.DUMMYFUNCTION("""COMPUTED_VALUE"""),"No Available")</f>
        <v>No Available</v>
      </c>
      <c r="Q943" s="74"/>
      <c r="R943" s="74"/>
      <c r="S943" s="87">
        <f>IFERROR(__xludf.DUMMYFUNCTION("""COMPUTED_VALUE"""),0.0)</f>
        <v>0</v>
      </c>
      <c r="T943" s="87">
        <f>IFERROR(__xludf.DUMMYFUNCTION("""COMPUTED_VALUE"""),0.0)</f>
        <v>0</v>
      </c>
      <c r="U943" s="87">
        <f>IFERROR(__xludf.DUMMYFUNCTION("""COMPUTED_VALUE"""),0.0)</f>
        <v>0</v>
      </c>
      <c r="V943" s="87">
        <f>IFERROR(__xludf.DUMMYFUNCTION("""COMPUTED_VALUE"""),0.0)</f>
        <v>0</v>
      </c>
      <c r="W943" s="87">
        <f>IFERROR(__xludf.DUMMYFUNCTION("""COMPUTED_VALUE"""),0.0)</f>
        <v>0</v>
      </c>
      <c r="X943" s="88"/>
      <c r="Y943" s="74"/>
      <c r="Z943" s="74"/>
    </row>
    <row r="944">
      <c r="B944" s="74" t="str">
        <f>IFERROR(__xludf.DUMMYFUNCTION("""COMPUTED_VALUE"""),"1942")</f>
        <v>1942</v>
      </c>
      <c r="C944" s="74"/>
      <c r="D944" s="74" t="str">
        <f>IFERROR(__xludf.DUMMYFUNCTION("""COMPUTED_VALUE"""),"\\MCA-S\mk\2_BM\0_BMat\08_PYM\Inventario\excel\Imagen de refacciones\Putzmeister\Power Take-Off Pinion _ Piñón de Toma de Fuerza")</f>
        <v>\\MCA-S\mk\2_BM\0_BMat\08_PYM\Inventario\excel\Imagen de refacciones\Putzmeister\Power Take-Off Pinion _ Piñón de Toma de Fuerza</v>
      </c>
      <c r="E944" s="74"/>
      <c r="F944" s="74" t="str">
        <f>IFERROR(__xludf.DUMMYFUNCTION("""COMPUTED_VALUE"""),"Power Take-Off Pinion / Piñón de Toma de Fuerza")</f>
        <v>Power Take-Off Pinion / Piñón de Toma de Fuerza</v>
      </c>
      <c r="G944" s="74"/>
      <c r="H944" s="74"/>
      <c r="I944" s="74" t="str">
        <f>IFERROR(__xludf.DUMMYFUNCTION("""COMPUTED_VALUE"""),"SOM20530")</f>
        <v>SOM20530</v>
      </c>
      <c r="J944" s="74" t="str">
        <f>IFERROR(__xludf.DUMMYFUNCTION("""COMPUTED_VALUE"""),"231469009")</f>
        <v>231469009</v>
      </c>
      <c r="K944" s="74" t="str">
        <f>IFERROR(__xludf.DUMMYFUNCTION("""COMPUTED_VALUE"""),"Putzmeister")</f>
        <v>Putzmeister</v>
      </c>
      <c r="L944" s="74" t="str">
        <f>IFERROR(__xludf.DUMMYFUNCTION("""COMPUTED_VALUE"""),"Transmisión Mecánica")</f>
        <v>Transmisión Mecánica</v>
      </c>
      <c r="M944" s="74" t="str">
        <f>IFERROR(__xludf.DUMMYFUNCTION("""COMPUTED_VALUE"""),"Sin Asignar")</f>
        <v>Sin Asignar</v>
      </c>
      <c r="N944" s="87">
        <f>IFERROR(__xludf.DUMMYFUNCTION("""COMPUTED_VALUE"""),0.0)</f>
        <v>0</v>
      </c>
      <c r="O944" s="74"/>
      <c r="P944" s="74" t="str">
        <f>IFERROR(__xludf.DUMMYFUNCTION("""COMPUTED_VALUE"""),"No Available")</f>
        <v>No Available</v>
      </c>
      <c r="Q944" s="74"/>
      <c r="R944" s="74"/>
      <c r="S944" s="87">
        <f>IFERROR(__xludf.DUMMYFUNCTION("""COMPUTED_VALUE"""),0.0)</f>
        <v>0</v>
      </c>
      <c r="T944" s="87">
        <f>IFERROR(__xludf.DUMMYFUNCTION("""COMPUTED_VALUE"""),0.0)</f>
        <v>0</v>
      </c>
      <c r="U944" s="87">
        <f>IFERROR(__xludf.DUMMYFUNCTION("""COMPUTED_VALUE"""),0.0)</f>
        <v>0</v>
      </c>
      <c r="V944" s="87">
        <f>IFERROR(__xludf.DUMMYFUNCTION("""COMPUTED_VALUE"""),0.0)</f>
        <v>0</v>
      </c>
      <c r="W944" s="87">
        <f>IFERROR(__xludf.DUMMYFUNCTION("""COMPUTED_VALUE"""),0.0)</f>
        <v>0</v>
      </c>
      <c r="X944" s="88"/>
      <c r="Y944" s="74"/>
      <c r="Z944" s="74"/>
    </row>
    <row r="945">
      <c r="B945" s="74" t="str">
        <f>IFERROR(__xludf.DUMMYFUNCTION("""COMPUTED_VALUE"""),"1943")</f>
        <v>1943</v>
      </c>
      <c r="C945" s="74"/>
      <c r="D945" s="74" t="str">
        <f>IFERROR(__xludf.DUMMYFUNCTION("""COMPUTED_VALUE"""),"\\MCA-S\mk\2_BM\0_BMat\08_PYM\Inventario\excel\Imagen de refacciones\Putzmeister\Pressure Limiting Valve _ Válvula Limitadora de Presión")</f>
        <v>\\MCA-S\mk\2_BM\0_BMat\08_PYM\Inventario\excel\Imagen de refacciones\Putzmeister\Pressure Limiting Valve _ Válvula Limitadora de Presión</v>
      </c>
      <c r="E945" s="74"/>
      <c r="F945" s="74" t="str">
        <f>IFERROR(__xludf.DUMMYFUNCTION("""COMPUTED_VALUE"""),"Pressure Limiting Valve / Válvula Limitadora de Presión")</f>
        <v>Pressure Limiting Valve / Válvula Limitadora de Presión</v>
      </c>
      <c r="G945" s="74"/>
      <c r="H945" s="74"/>
      <c r="I945" s="74" t="str">
        <f>IFERROR(__xludf.DUMMYFUNCTION("""COMPUTED_VALUE"""),"SOM20549")</f>
        <v>SOM20549</v>
      </c>
      <c r="J945" s="74" t="str">
        <f>IFERROR(__xludf.DUMMYFUNCTION("""COMPUTED_VALUE"""),"222180000")</f>
        <v>222180000</v>
      </c>
      <c r="K945" s="74" t="str">
        <f>IFERROR(__xludf.DUMMYFUNCTION("""COMPUTED_VALUE"""),"Putzmeister")</f>
        <v>Putzmeister</v>
      </c>
      <c r="L945" s="74" t="str">
        <f>IFERROR(__xludf.DUMMYFUNCTION("""COMPUTED_VALUE"""),"Componentes Hidráulicos")</f>
        <v>Componentes Hidráulicos</v>
      </c>
      <c r="M945" s="74" t="str">
        <f>IFERROR(__xludf.DUMMYFUNCTION("""COMPUTED_VALUE"""),"Sin Asignar")</f>
        <v>Sin Asignar</v>
      </c>
      <c r="N945" s="87">
        <f>IFERROR(__xludf.DUMMYFUNCTION("""COMPUTED_VALUE"""),0.0)</f>
        <v>0</v>
      </c>
      <c r="O945" s="74"/>
      <c r="P945" s="74" t="str">
        <f>IFERROR(__xludf.DUMMYFUNCTION("""COMPUTED_VALUE"""),"No Available")</f>
        <v>No Available</v>
      </c>
      <c r="Q945" s="74"/>
      <c r="R945" s="74"/>
      <c r="S945" s="87">
        <f>IFERROR(__xludf.DUMMYFUNCTION("""COMPUTED_VALUE"""),0.0)</f>
        <v>0</v>
      </c>
      <c r="T945" s="87">
        <f>IFERROR(__xludf.DUMMYFUNCTION("""COMPUTED_VALUE"""),0.0)</f>
        <v>0</v>
      </c>
      <c r="U945" s="87">
        <f>IFERROR(__xludf.DUMMYFUNCTION("""COMPUTED_VALUE"""),0.0)</f>
        <v>0</v>
      </c>
      <c r="V945" s="87">
        <f>IFERROR(__xludf.DUMMYFUNCTION("""COMPUTED_VALUE"""),0.0)</f>
        <v>0</v>
      </c>
      <c r="W945" s="87">
        <f>IFERROR(__xludf.DUMMYFUNCTION("""COMPUTED_VALUE"""),0.0)</f>
        <v>0</v>
      </c>
      <c r="X945" s="88"/>
      <c r="Y945" s="74"/>
      <c r="Z945" s="74"/>
    </row>
    <row r="946">
      <c r="B946" s="74" t="str">
        <f>IFERROR(__xludf.DUMMYFUNCTION("""COMPUTED_VALUE"""),"1944")</f>
        <v>1944</v>
      </c>
      <c r="C946" s="74"/>
      <c r="D946" s="74" t="str">
        <f>IFERROR(__xludf.DUMMYFUNCTION("""COMPUTED_VALUE"""),"\\MCA-S\mk\2_BM\0_BMat\08_PYM\Inventario\excel\Imagen de refacciones\Putzmeister\Pressure Limiting Valve _ Válvula Limitadora de Presión (1)")</f>
        <v>\\MCA-S\mk\2_BM\0_BMat\08_PYM\Inventario\excel\Imagen de refacciones\Putzmeister\Pressure Limiting Valve _ Válvula Limitadora de Presión (1)</v>
      </c>
      <c r="E946" s="74"/>
      <c r="F946" s="74" t="str">
        <f>IFERROR(__xludf.DUMMYFUNCTION("""COMPUTED_VALUE"""),"Pressure Limiting Valve / Válvula Limitadora de Presión")</f>
        <v>Pressure Limiting Valve / Válvula Limitadora de Presión</v>
      </c>
      <c r="G946" s="74"/>
      <c r="H946" s="74"/>
      <c r="I946" s="74" t="str">
        <f>IFERROR(__xludf.DUMMYFUNCTION("""COMPUTED_VALUE"""),"SOM20552")</f>
        <v>SOM20552</v>
      </c>
      <c r="J946" s="74" t="str">
        <f>IFERROR(__xludf.DUMMYFUNCTION("""COMPUTED_VALUE"""),"65917002")</f>
        <v>65917002</v>
      </c>
      <c r="K946" s="74" t="str">
        <f>IFERROR(__xludf.DUMMYFUNCTION("""COMPUTED_VALUE"""),"Putzmeister")</f>
        <v>Putzmeister</v>
      </c>
      <c r="L946" s="74" t="str">
        <f>IFERROR(__xludf.DUMMYFUNCTION("""COMPUTED_VALUE"""),"Componentes Hidráulicos")</f>
        <v>Componentes Hidráulicos</v>
      </c>
      <c r="M946" s="74" t="str">
        <f>IFERROR(__xludf.DUMMYFUNCTION("""COMPUTED_VALUE"""),"Sin Asignar")</f>
        <v>Sin Asignar</v>
      </c>
      <c r="N946" s="87">
        <f>IFERROR(__xludf.DUMMYFUNCTION("""COMPUTED_VALUE"""),0.0)</f>
        <v>0</v>
      </c>
      <c r="O946" s="74"/>
      <c r="P946" s="74" t="str">
        <f>IFERROR(__xludf.DUMMYFUNCTION("""COMPUTED_VALUE"""),"No Available")</f>
        <v>No Available</v>
      </c>
      <c r="Q946" s="74"/>
      <c r="R946" s="74"/>
      <c r="S946" s="87">
        <f>IFERROR(__xludf.DUMMYFUNCTION("""COMPUTED_VALUE"""),0.0)</f>
        <v>0</v>
      </c>
      <c r="T946" s="87">
        <f>IFERROR(__xludf.DUMMYFUNCTION("""COMPUTED_VALUE"""),0.0)</f>
        <v>0</v>
      </c>
      <c r="U946" s="87">
        <f>IFERROR(__xludf.DUMMYFUNCTION("""COMPUTED_VALUE"""),0.0)</f>
        <v>0</v>
      </c>
      <c r="V946" s="87">
        <f>IFERROR(__xludf.DUMMYFUNCTION("""COMPUTED_VALUE"""),0.0)</f>
        <v>0</v>
      </c>
      <c r="W946" s="87">
        <f>IFERROR(__xludf.DUMMYFUNCTION("""COMPUTED_VALUE"""),0.0)</f>
        <v>0</v>
      </c>
      <c r="X946" s="88"/>
      <c r="Y946" s="74"/>
      <c r="Z946" s="74"/>
    </row>
    <row r="947">
      <c r="B947" s="74" t="str">
        <f>IFERROR(__xludf.DUMMYFUNCTION("""COMPUTED_VALUE"""),"1945")</f>
        <v>1945</v>
      </c>
      <c r="C947" s="74" t="str">
        <f>IFERROR(__xludf.DUMMYFUNCTION("""COMPUTED_VALUE"""),"75045880525")</f>
        <v>75045880525</v>
      </c>
      <c r="D947" s="74" t="str">
        <f>IFERROR(__xludf.DUMMYFUNCTION("""COMPUTED_VALUE"""),"\\MCA-S\mk\2_BM\0_BMat\08_PYM\Inventario\excel\Imagen de refacciones\Putzmeister\Reductor de 6ZX a 1200MM")</f>
        <v>\\MCA-S\mk\2_BM\0_BMat\08_PYM\Inventario\excel\Imagen de refacciones\Putzmeister\Reductor de 6ZX a 1200MM</v>
      </c>
      <c r="E947" s="74" t="str">
        <f>IFERROR(__xludf.DUMMYFUNCTION("""COMPUTED_VALUE"""),"1200MM LONG 6IN TO 5IN REDUCER PIPE")</f>
        <v>1200MM LONG 6IN TO 5IN REDUCER PIPE</v>
      </c>
      <c r="F947" s="74" t="str">
        <f>IFERROR(__xludf.DUMMYFUNCTION("""COMPUTED_VALUE"""),"REDUCTOR 6ZX A 1200MM")</f>
        <v>REDUCTOR 6ZX A 1200MM</v>
      </c>
      <c r="G947" s="74"/>
      <c r="H947" s="74"/>
      <c r="I947" s="74" t="str">
        <f>IFERROR(__xludf.DUMMYFUNCTION("""COMPUTED_VALUE"""),"115-11673H")</f>
        <v>115-11673H</v>
      </c>
      <c r="J947" s="74"/>
      <c r="K947" s="74" t="str">
        <f>IFERROR(__xludf.DUMMYFUNCTION("""COMPUTED_VALUE"""),"Putzmeister")</f>
        <v>Putzmeister</v>
      </c>
      <c r="L947" s="74" t="str">
        <f>IFERROR(__xludf.DUMMYFUNCTION("""COMPUTED_VALUE"""),"SIN ASIGNAR")</f>
        <v>SIN ASIGNAR</v>
      </c>
      <c r="M947" s="74" t="str">
        <f>IFERROR(__xludf.DUMMYFUNCTION("""COMPUTED_VALUE"""),"SIN ASIGNAR")</f>
        <v>SIN ASIGNAR</v>
      </c>
      <c r="N947" s="87">
        <f>IFERROR(__xludf.DUMMYFUNCTION("""COMPUTED_VALUE"""),0.0)</f>
        <v>0</v>
      </c>
      <c r="O947" s="74"/>
      <c r="P947" s="74" t="str">
        <f>IFERROR(__xludf.DUMMYFUNCTION("""COMPUTED_VALUE"""),"To Re-purchase")</f>
        <v>To Re-purchase</v>
      </c>
      <c r="Q947" s="74"/>
      <c r="R947" s="74"/>
      <c r="S947" s="87">
        <f>IFERROR(__xludf.DUMMYFUNCTION("""COMPUTED_VALUE"""),0.0)</f>
        <v>0</v>
      </c>
      <c r="T947" s="87">
        <f>IFERROR(__xludf.DUMMYFUNCTION("""COMPUTED_VALUE"""),0.0)</f>
        <v>0</v>
      </c>
      <c r="U947" s="87">
        <f>IFERROR(__xludf.DUMMYFUNCTION("""COMPUTED_VALUE"""),0.0)</f>
        <v>0</v>
      </c>
      <c r="V947" s="87">
        <f>IFERROR(__xludf.DUMMYFUNCTION("""COMPUTED_VALUE"""),0.0)</f>
        <v>0</v>
      </c>
      <c r="W947" s="87">
        <f>IFERROR(__xludf.DUMMYFUNCTION("""COMPUTED_VALUE"""),0.0)</f>
        <v>0</v>
      </c>
      <c r="X947" s="88"/>
      <c r="Y947" s="74"/>
      <c r="Z947" s="74"/>
    </row>
    <row r="948">
      <c r="B948" s="74" t="str">
        <f>IFERROR(__xludf.DUMMYFUNCTION("""COMPUTED_VALUE"""),"1946")</f>
        <v>1946</v>
      </c>
      <c r="C948" s="74"/>
      <c r="D948" s="74" t="str">
        <f>IFERROR(__xludf.DUMMYFUNCTION("""COMPUTED_VALUE"""),"\\MCA-S\mk\2_BM\0_BMat\08_PYM\Inventario\excel\Imagen de refacciones\Putzmeister\Regulator _ Regulador")</f>
        <v>\\MCA-S\mk\2_BM\0_BMat\08_PYM\Inventario\excel\Imagen de refacciones\Putzmeister\Regulator _ Regulador</v>
      </c>
      <c r="E948" s="74"/>
      <c r="F948" s="74" t="str">
        <f>IFERROR(__xludf.DUMMYFUNCTION("""COMPUTED_VALUE"""),"Regulator / Regulador")</f>
        <v>Regulator / Regulador</v>
      </c>
      <c r="G948" s="74"/>
      <c r="H948" s="74"/>
      <c r="I948" s="74" t="str">
        <f>IFERROR(__xludf.DUMMYFUNCTION("""COMPUTED_VALUE"""),"SOM20550")</f>
        <v>SOM20550</v>
      </c>
      <c r="J948" s="74" t="str">
        <f>IFERROR(__xludf.DUMMYFUNCTION("""COMPUTED_VALUE"""),"246080009")</f>
        <v>246080009</v>
      </c>
      <c r="K948" s="74" t="str">
        <f>IFERROR(__xludf.DUMMYFUNCTION("""COMPUTED_VALUE"""),"Putzmeister")</f>
        <v>Putzmeister</v>
      </c>
      <c r="L948" s="74" t="str">
        <f>IFERROR(__xludf.DUMMYFUNCTION("""COMPUTED_VALUE"""),"Elementos de Medición y Control")</f>
        <v>Elementos de Medición y Control</v>
      </c>
      <c r="M948" s="74" t="str">
        <f>IFERROR(__xludf.DUMMYFUNCTION("""COMPUTED_VALUE"""),"Sin Asignar")</f>
        <v>Sin Asignar</v>
      </c>
      <c r="N948" s="87">
        <f>IFERROR(__xludf.DUMMYFUNCTION("""COMPUTED_VALUE"""),0.0)</f>
        <v>0</v>
      </c>
      <c r="O948" s="74"/>
      <c r="P948" s="74" t="str">
        <f>IFERROR(__xludf.DUMMYFUNCTION("""COMPUTED_VALUE"""),"No Available")</f>
        <v>No Available</v>
      </c>
      <c r="Q948" s="74"/>
      <c r="R948" s="74"/>
      <c r="S948" s="87">
        <f>IFERROR(__xludf.DUMMYFUNCTION("""COMPUTED_VALUE"""),0.0)</f>
        <v>0</v>
      </c>
      <c r="T948" s="87">
        <f>IFERROR(__xludf.DUMMYFUNCTION("""COMPUTED_VALUE"""),0.0)</f>
        <v>0</v>
      </c>
      <c r="U948" s="87">
        <f>IFERROR(__xludf.DUMMYFUNCTION("""COMPUTED_VALUE"""),0.0)</f>
        <v>0</v>
      </c>
      <c r="V948" s="87">
        <f>IFERROR(__xludf.DUMMYFUNCTION("""COMPUTED_VALUE"""),0.0)</f>
        <v>0</v>
      </c>
      <c r="W948" s="87">
        <f>IFERROR(__xludf.DUMMYFUNCTION("""COMPUTED_VALUE"""),0.0)</f>
        <v>0</v>
      </c>
      <c r="X948" s="88"/>
      <c r="Y948" s="74"/>
      <c r="Z948" s="74"/>
    </row>
    <row r="949">
      <c r="B949" s="74" t="str">
        <f>IFERROR(__xludf.DUMMYFUNCTION("""COMPUTED_VALUE"""),"1947")</f>
        <v>1947</v>
      </c>
      <c r="C949" s="74" t="str">
        <f>IFERROR(__xludf.DUMMYFUNCTION("""COMPUTED_VALUE"""),"75045880434")</f>
        <v>75045880434</v>
      </c>
      <c r="D949" s="74" t="str">
        <f>IFERROR(__xludf.DUMMYFUNCTION("""COMPUTED_VALUE"""),"\\MCA-S\mk\2_BM\0_BMat\08_PYM\Inventario\excel\Imagen de refacciones\Putzmeister\Relevador 12V")</f>
        <v>\\MCA-S\mk\2_BM\0_BMat\08_PYM\Inventario\excel\Imagen de refacciones\Putzmeister\Relevador 12V</v>
      </c>
      <c r="E949" s="74" t="str">
        <f>IFERROR(__xludf.DUMMYFUNCTION("""COMPUTED_VALUE"""),"STEP RELAY 12V 2 WECHS K238")</f>
        <v>STEP RELAY 12V 2 WECHS K238</v>
      </c>
      <c r="F949" s="74" t="str">
        <f>IFERROR(__xludf.DUMMYFUNCTION("""COMPUTED_VALUE"""),"RELEVADOR 12V K238")</f>
        <v>RELEVADOR 12V K238</v>
      </c>
      <c r="G949" s="74"/>
      <c r="H949" s="74"/>
      <c r="I949" s="74" t="str">
        <f>IFERROR(__xludf.DUMMYFUNCTION("""COMPUTED_VALUE"""),"247108008")</f>
        <v>247108008</v>
      </c>
      <c r="J949" s="74"/>
      <c r="K949" s="74" t="str">
        <f>IFERROR(__xludf.DUMMYFUNCTION("""COMPUTED_VALUE"""),"Putzmeister")</f>
        <v>Putzmeister</v>
      </c>
      <c r="L949" s="74"/>
      <c r="M949" s="74" t="str">
        <f>IFERROR(__xludf.DUMMYFUNCTION("""COMPUTED_VALUE"""),"RELAYS")</f>
        <v>RELAYS</v>
      </c>
      <c r="N949" s="87">
        <f>IFERROR(__xludf.DUMMYFUNCTION("""COMPUTED_VALUE"""),1420.8)</f>
        <v>1420.8</v>
      </c>
      <c r="O949" s="74">
        <f>IFERROR(__xludf.DUMMYFUNCTION("""COMPUTED_VALUE"""),4.0)</f>
        <v>4</v>
      </c>
      <c r="P949" s="74" t="str">
        <f>IFERROR(__xludf.DUMMYFUNCTION("""COMPUTED_VALUE"""),"In stock")</f>
        <v>In stock</v>
      </c>
      <c r="Q949" s="74"/>
      <c r="R949" s="74"/>
      <c r="S949" s="87">
        <f>IFERROR(__xludf.DUMMYFUNCTION("""COMPUTED_VALUE"""),17.5)</f>
        <v>17.5</v>
      </c>
      <c r="T949" s="87">
        <f>IFERROR(__xludf.DUMMYFUNCTION("""COMPUTED_VALUE"""),80.0)</f>
        <v>80</v>
      </c>
      <c r="U949" s="87">
        <f>IFERROR(__xludf.DUMMYFUNCTION("""COMPUTED_VALUE"""),76.8)</f>
        <v>76.8</v>
      </c>
      <c r="V949" s="87">
        <f>IFERROR(__xludf.DUMMYFUNCTION("""COMPUTED_VALUE"""),21.4375)</f>
        <v>21.4375</v>
      </c>
      <c r="W949" s="87">
        <f>IFERROR(__xludf.DUMMYFUNCTION("""COMPUTED_VALUE"""),401.953125)</f>
        <v>401.953125</v>
      </c>
      <c r="X949" s="88">
        <f>IFERROR(__xludf.DUMMYFUNCTION("""COMPUTED_VALUE"""),4.388571428571429)</f>
        <v>4.388571429</v>
      </c>
      <c r="Y949" s="74"/>
      <c r="Z949" s="74"/>
    </row>
    <row r="950">
      <c r="B950" s="74" t="str">
        <f>IFERROR(__xludf.DUMMYFUNCTION("""COMPUTED_VALUE"""),"1948")</f>
        <v>1948</v>
      </c>
      <c r="C950" s="74" t="str">
        <f>IFERROR(__xludf.DUMMYFUNCTION("""COMPUTED_VALUE"""),"75045880331")</f>
        <v>75045880331</v>
      </c>
      <c r="D950" s="74" t="str">
        <f>IFERROR(__xludf.DUMMYFUNCTION("""COMPUTED_VALUE"""),"\\MCA-S\mk\2_BM\0_BMat\08_PYM\Inventario\excel\Imagen de refacciones\Putzmeister\Relevador 24V")</f>
        <v>\\MCA-S\mk\2_BM\0_BMat\08_PYM\Inventario\excel\Imagen de refacciones\Putzmeister\Relevador 24V</v>
      </c>
      <c r="E950" s="74" t="str">
        <f>IFERROR(__xludf.DUMMYFUNCTION("""COMPUTED_VALUE"""),"RELAY 24V")</f>
        <v>RELAY 24V</v>
      </c>
      <c r="F950" s="74" t="str">
        <f>IFERROR(__xludf.DUMMYFUNCTION("""COMPUTED_VALUE"""),"REVELADOR 24V")</f>
        <v>REVELADOR 24V</v>
      </c>
      <c r="G950" s="74"/>
      <c r="H950" s="74"/>
      <c r="I950" s="74" t="str">
        <f>IFERROR(__xludf.DUMMYFUNCTION("""COMPUTED_VALUE"""),"210857001")</f>
        <v>210857001</v>
      </c>
      <c r="J950" s="74"/>
      <c r="K950" s="74" t="str">
        <f>IFERROR(__xludf.DUMMYFUNCTION("""COMPUTED_VALUE"""),"Putzmeister")</f>
        <v>Putzmeister</v>
      </c>
      <c r="L950" s="74"/>
      <c r="M950" s="74" t="str">
        <f>IFERROR(__xludf.DUMMYFUNCTION("""COMPUTED_VALUE"""),"Sin Asignar")</f>
        <v>Sin Asignar</v>
      </c>
      <c r="N950" s="87">
        <f>IFERROR(__xludf.DUMMYFUNCTION("""COMPUTED_VALUE"""),0.0)</f>
        <v>0</v>
      </c>
      <c r="O950" s="74"/>
      <c r="P950" s="74" t="str">
        <f>IFERROR(__xludf.DUMMYFUNCTION("""COMPUTED_VALUE"""),"To Re-purchase")</f>
        <v>To Re-purchase</v>
      </c>
      <c r="Q950" s="74"/>
      <c r="R950" s="74"/>
      <c r="S950" s="87">
        <f>IFERROR(__xludf.DUMMYFUNCTION("""COMPUTED_VALUE"""),0.0)</f>
        <v>0</v>
      </c>
      <c r="T950" s="87">
        <f>IFERROR(__xludf.DUMMYFUNCTION("""COMPUTED_VALUE"""),0.0)</f>
        <v>0</v>
      </c>
      <c r="U950" s="87">
        <f>IFERROR(__xludf.DUMMYFUNCTION("""COMPUTED_VALUE"""),0.0)</f>
        <v>0</v>
      </c>
      <c r="V950" s="87">
        <f>IFERROR(__xludf.DUMMYFUNCTION("""COMPUTED_VALUE"""),0.0)</f>
        <v>0</v>
      </c>
      <c r="W950" s="87">
        <f>IFERROR(__xludf.DUMMYFUNCTION("""COMPUTED_VALUE"""),0.0)</f>
        <v>0</v>
      </c>
      <c r="X950" s="88"/>
      <c r="Y950" s="74"/>
      <c r="Z950" s="74"/>
    </row>
    <row r="951">
      <c r="B951" s="74" t="str">
        <f>IFERROR(__xludf.DUMMYFUNCTION("""COMPUTED_VALUE"""),"1949")</f>
        <v>1949</v>
      </c>
      <c r="C951" s="74" t="str">
        <f>IFERROR(__xludf.DUMMYFUNCTION("""COMPUTED_VALUE"""),"75045891949")</f>
        <v>75045891949</v>
      </c>
      <c r="D951" s="74" t="str">
        <f>IFERROR(__xludf.DUMMYFUNCTION("""COMPUTED_VALUE"""),"\\MCA-S\mk\2_BM\0_BMat\08_PYM\Inventario\excel\Imagen de refacciones\Putzmeister\Relevador 24VDC")</f>
        <v>\\MCA-S\mk\2_BM\0_BMat\08_PYM\Inventario\excel\Imagen de refacciones\Putzmeister\Relevador 24VDC</v>
      </c>
      <c r="E951" s="74" t="str">
        <f>IFERROR(__xludf.DUMMYFUNCTION("""COMPUTED_VALUE"""),"STEP RELAY 24V; 2 WECHS")</f>
        <v>STEP RELAY 24V; 2 WECHS</v>
      </c>
      <c r="F951" s="74" t="str">
        <f>IFERROR(__xludf.DUMMYFUNCTION("""COMPUTED_VALUE"""),"RELEVADOR L2-24V 3A30VDC")</f>
        <v>RELEVADOR L2-24V 3A30VDC</v>
      </c>
      <c r="G951" s="74"/>
      <c r="H951" s="74"/>
      <c r="I951" s="74" t="str">
        <f>IFERROR(__xludf.DUMMYFUNCTION("""COMPUTED_VALUE"""),"244371003")</f>
        <v>244371003</v>
      </c>
      <c r="J951" s="74" t="str">
        <f>IFERROR(__xludf.DUMMYFUNCTION("""COMPUTED_VALUE"""),"AG322460")</f>
        <v>AG322460</v>
      </c>
      <c r="K951" s="74" t="str">
        <f>IFERROR(__xludf.DUMMYFUNCTION("""COMPUTED_VALUE"""),"Putzmeister")</f>
        <v>Putzmeister</v>
      </c>
      <c r="L951" s="74"/>
      <c r="M951" s="74" t="str">
        <f>IFERROR(__xludf.DUMMYFUNCTION("""COMPUTED_VALUE"""),"RELAYS")</f>
        <v>RELAYS</v>
      </c>
      <c r="N951" s="87">
        <f>IFERROR(__xludf.DUMMYFUNCTION("""COMPUTED_VALUE"""),923.52)</f>
        <v>923.52</v>
      </c>
      <c r="O951" s="74">
        <f>IFERROR(__xludf.DUMMYFUNCTION("""COMPUTED_VALUE"""),4.0)</f>
        <v>4</v>
      </c>
      <c r="P951" s="74" t="str">
        <f>IFERROR(__xludf.DUMMYFUNCTION("""COMPUTED_VALUE"""),"In stock")</f>
        <v>In stock</v>
      </c>
      <c r="Q951" s="74"/>
      <c r="R951" s="74"/>
      <c r="S951" s="87">
        <f>IFERROR(__xludf.DUMMYFUNCTION("""COMPUTED_VALUE"""),22.0)</f>
        <v>22</v>
      </c>
      <c r="T951" s="87">
        <f>IFERROR(__xludf.DUMMYFUNCTION("""COMPUTED_VALUE"""),52.0)</f>
        <v>52</v>
      </c>
      <c r="U951" s="87">
        <f>IFERROR(__xludf.DUMMYFUNCTION("""COMPUTED_VALUE"""),49.92)</f>
        <v>49.92</v>
      </c>
      <c r="V951" s="87">
        <f>IFERROR(__xludf.DUMMYFUNCTION("""COMPUTED_VALUE"""),26.95)</f>
        <v>26.95</v>
      </c>
      <c r="W951" s="87">
        <f>IFERROR(__xludf.DUMMYFUNCTION("""COMPUTED_VALUE"""),505.3125)</f>
        <v>505.3125</v>
      </c>
      <c r="X951" s="88">
        <f>IFERROR(__xludf.DUMMYFUNCTION("""COMPUTED_VALUE"""),2.269090909090909)</f>
        <v>2.269090909</v>
      </c>
      <c r="Y951" s="74"/>
      <c r="Z951" s="74"/>
    </row>
    <row r="952">
      <c r="B952" s="74" t="str">
        <f>IFERROR(__xludf.DUMMYFUNCTION("""COMPUTED_VALUE"""),"1950")</f>
        <v>1950</v>
      </c>
      <c r="C952" s="74"/>
      <c r="D952" s="74" t="str">
        <f>IFERROR(__xludf.DUMMYFUNCTION("""COMPUTED_VALUE"""),"\\MCA-S\mk\2_BM\0_BMat\08_PYM\Inventario\excel\Imagen de refacciones\Putzmeister\Rotary Kit DPV25 _ Kit Rotatorio DPV25")</f>
        <v>\\MCA-S\mk\2_BM\0_BMat\08_PYM\Inventario\excel\Imagen de refacciones\Putzmeister\Rotary Kit DPV25 _ Kit Rotatorio DPV25</v>
      </c>
      <c r="E952" s="74"/>
      <c r="F952" s="74" t="str">
        <f>IFERROR(__xludf.DUMMYFUNCTION("""COMPUTED_VALUE"""),"Rotary Kit DPV25 / Kit Rotatorio DPV25")</f>
        <v>Rotary Kit DPV25 / Kit Rotatorio DPV25</v>
      </c>
      <c r="G952" s="74"/>
      <c r="H952" s="74"/>
      <c r="I952" s="74" t="str">
        <f>IFERROR(__xludf.DUMMYFUNCTION("""COMPUTED_VALUE"""),"SOM20556")</f>
        <v>SOM20556</v>
      </c>
      <c r="J952" s="74" t="str">
        <f>IFERROR(__xludf.DUMMYFUNCTION("""COMPUTED_VALUE"""),"431079")</f>
        <v>431079</v>
      </c>
      <c r="K952" s="74" t="str">
        <f>IFERROR(__xludf.DUMMYFUNCTION("""COMPUTED_VALUE"""),"Putzmeister")</f>
        <v>Putzmeister</v>
      </c>
      <c r="L952" s="74" t="str">
        <f>IFERROR(__xludf.DUMMYFUNCTION("""COMPUTED_VALUE"""),"Sistema de Bombeo de Concreto")</f>
        <v>Sistema de Bombeo de Concreto</v>
      </c>
      <c r="M952" s="74" t="str">
        <f>IFERROR(__xludf.DUMMYFUNCTION("""COMPUTED_VALUE"""),"Sin Asignar")</f>
        <v>Sin Asignar</v>
      </c>
      <c r="N952" s="87">
        <f>IFERROR(__xludf.DUMMYFUNCTION("""COMPUTED_VALUE"""),0.0)</f>
        <v>0</v>
      </c>
      <c r="O952" s="74"/>
      <c r="P952" s="74" t="str">
        <f>IFERROR(__xludf.DUMMYFUNCTION("""COMPUTED_VALUE"""),"No Available")</f>
        <v>No Available</v>
      </c>
      <c r="Q952" s="74"/>
      <c r="R952" s="74"/>
      <c r="S952" s="87">
        <f>IFERROR(__xludf.DUMMYFUNCTION("""COMPUTED_VALUE"""),0.0)</f>
        <v>0</v>
      </c>
      <c r="T952" s="87">
        <f>IFERROR(__xludf.DUMMYFUNCTION("""COMPUTED_VALUE"""),0.0)</f>
        <v>0</v>
      </c>
      <c r="U952" s="87">
        <f>IFERROR(__xludf.DUMMYFUNCTION("""COMPUTED_VALUE"""),0.0)</f>
        <v>0</v>
      </c>
      <c r="V952" s="87">
        <f>IFERROR(__xludf.DUMMYFUNCTION("""COMPUTED_VALUE"""),0.0)</f>
        <v>0</v>
      </c>
      <c r="W952" s="87">
        <f>IFERROR(__xludf.DUMMYFUNCTION("""COMPUTED_VALUE"""),0.0)</f>
        <v>0</v>
      </c>
      <c r="X952" s="88"/>
      <c r="Y952" s="74"/>
      <c r="Z952" s="74"/>
    </row>
    <row r="953">
      <c r="B953" s="74" t="str">
        <f>IFERROR(__xludf.DUMMYFUNCTION("""COMPUTED_VALUE"""),"1951")</f>
        <v>1951</v>
      </c>
      <c r="C953" s="74"/>
      <c r="D953" s="74" t="str">
        <f>IFERROR(__xludf.DUMMYFUNCTION("""COMPUTED_VALUE"""),"\\MCA-S\mk\2_BM\0_BMat\08_PYM\Inventario\excel\Imagen de refacciones\Putzmeister\Rotary Shaft Seal 55x90x7_5 _ Sello de Eje Rotatorio 55x90x7_5")</f>
        <v>\\MCA-S\mk\2_BM\0_BMat\08_PYM\Inventario\excel\Imagen de refacciones\Putzmeister\Rotary Shaft Seal 55x90x7_5 _ Sello de Eje Rotatorio 55x90x7_5</v>
      </c>
      <c r="E953" s="74"/>
      <c r="F953" s="74" t="str">
        <f>IFERROR(__xludf.DUMMYFUNCTION("""COMPUTED_VALUE"""),"Rotary Shaft Seal 55x90x7/5 / Sello de Eje Rotatorio 55x90x7/5")</f>
        <v>Rotary Shaft Seal 55x90x7/5 / Sello de Eje Rotatorio 55x90x7/5</v>
      </c>
      <c r="G953" s="74"/>
      <c r="H953" s="74"/>
      <c r="I953" s="74" t="str">
        <f>IFERROR(__xludf.DUMMYFUNCTION("""COMPUTED_VALUE"""),"SOM20561")</f>
        <v>SOM20561</v>
      </c>
      <c r="J953" s="74" t="str">
        <f>IFERROR(__xludf.DUMMYFUNCTION("""COMPUTED_VALUE"""),"452159")</f>
        <v>452159</v>
      </c>
      <c r="K953" s="74" t="str">
        <f>IFERROR(__xludf.DUMMYFUNCTION("""COMPUTED_VALUE"""),"Putzmeister")</f>
        <v>Putzmeister</v>
      </c>
      <c r="L953" s="74" t="str">
        <f>IFERROR(__xludf.DUMMYFUNCTION("""COMPUTED_VALUE"""),"Sellos y Retenes")</f>
        <v>Sellos y Retenes</v>
      </c>
      <c r="M953" s="74" t="str">
        <f>IFERROR(__xludf.DUMMYFUNCTION("""COMPUTED_VALUE"""),"Sin Asignar")</f>
        <v>Sin Asignar</v>
      </c>
      <c r="N953" s="87">
        <f>IFERROR(__xludf.DUMMYFUNCTION("""COMPUTED_VALUE"""),0.0)</f>
        <v>0</v>
      </c>
      <c r="O953" s="74"/>
      <c r="P953" s="74" t="str">
        <f>IFERROR(__xludf.DUMMYFUNCTION("""COMPUTED_VALUE"""),"No Available")</f>
        <v>No Available</v>
      </c>
      <c r="Q953" s="74"/>
      <c r="R953" s="74"/>
      <c r="S953" s="87">
        <f>IFERROR(__xludf.DUMMYFUNCTION("""COMPUTED_VALUE"""),0.0)</f>
        <v>0</v>
      </c>
      <c r="T953" s="87">
        <f>IFERROR(__xludf.DUMMYFUNCTION("""COMPUTED_VALUE"""),0.0)</f>
        <v>0</v>
      </c>
      <c r="U953" s="87">
        <f>IFERROR(__xludf.DUMMYFUNCTION("""COMPUTED_VALUE"""),0.0)</f>
        <v>0</v>
      </c>
      <c r="V953" s="87">
        <f>IFERROR(__xludf.DUMMYFUNCTION("""COMPUTED_VALUE"""),0.0)</f>
        <v>0</v>
      </c>
      <c r="W953" s="87">
        <f>IFERROR(__xludf.DUMMYFUNCTION("""COMPUTED_VALUE"""),0.0)</f>
        <v>0</v>
      </c>
      <c r="X953" s="88"/>
      <c r="Y953" s="74"/>
      <c r="Z953" s="74"/>
    </row>
    <row r="954">
      <c r="B954" s="74" t="str">
        <f>IFERROR(__xludf.DUMMYFUNCTION("""COMPUTED_VALUE"""),"1952")</f>
        <v>1952</v>
      </c>
      <c r="C954" s="74"/>
      <c r="D954" s="74" t="str">
        <f>IFERROR(__xludf.DUMMYFUNCTION("""COMPUTED_VALUE"""),"\\MCA-S\mk\2_BM\0_BMat\08_PYM\Inventario\excel\Imagen de refacciones\Putzmeister\Rotary Shaft Seal 60x106x7_5 _ Sello de Eje Rotatorio 60x106x7_5")</f>
        <v>\\MCA-S\mk\2_BM\0_BMat\08_PYM\Inventario\excel\Imagen de refacciones\Putzmeister\Rotary Shaft Seal 60x106x7_5 _ Sello de Eje Rotatorio 60x106x7_5</v>
      </c>
      <c r="E954" s="74"/>
      <c r="F954" s="74" t="str">
        <f>IFERROR(__xludf.DUMMYFUNCTION("""COMPUTED_VALUE"""),"Rotary Shaft Seal 60x106x7/5 / Sello de Eje Rotatorio 60x106x7/5")</f>
        <v>Rotary Shaft Seal 60x106x7/5 / Sello de Eje Rotatorio 60x106x7/5</v>
      </c>
      <c r="G954" s="74"/>
      <c r="H954" s="74"/>
      <c r="I954" s="74" t="str">
        <f>IFERROR(__xludf.DUMMYFUNCTION("""COMPUTED_VALUE"""),"SOM20559")</f>
        <v>SOM20559</v>
      </c>
      <c r="J954" s="74" t="str">
        <f>IFERROR(__xludf.DUMMYFUNCTION("""COMPUTED_VALUE"""),"450489")</f>
        <v>450489</v>
      </c>
      <c r="K954" s="74" t="str">
        <f>IFERROR(__xludf.DUMMYFUNCTION("""COMPUTED_VALUE"""),"Putzmeister")</f>
        <v>Putzmeister</v>
      </c>
      <c r="L954" s="74" t="str">
        <f>IFERROR(__xludf.DUMMYFUNCTION("""COMPUTED_VALUE"""),"Sellos y Retenes")</f>
        <v>Sellos y Retenes</v>
      </c>
      <c r="M954" s="74" t="str">
        <f>IFERROR(__xludf.DUMMYFUNCTION("""COMPUTED_VALUE"""),"Sin Asignar")</f>
        <v>Sin Asignar</v>
      </c>
      <c r="N954" s="87">
        <f>IFERROR(__xludf.DUMMYFUNCTION("""COMPUTED_VALUE"""),0.0)</f>
        <v>0</v>
      </c>
      <c r="O954" s="74"/>
      <c r="P954" s="74" t="str">
        <f>IFERROR(__xludf.DUMMYFUNCTION("""COMPUTED_VALUE"""),"No Available")</f>
        <v>No Available</v>
      </c>
      <c r="Q954" s="74"/>
      <c r="R954" s="74"/>
      <c r="S954" s="87">
        <f>IFERROR(__xludf.DUMMYFUNCTION("""COMPUTED_VALUE"""),0.0)</f>
        <v>0</v>
      </c>
      <c r="T954" s="87">
        <f>IFERROR(__xludf.DUMMYFUNCTION("""COMPUTED_VALUE"""),0.0)</f>
        <v>0</v>
      </c>
      <c r="U954" s="87">
        <f>IFERROR(__xludf.DUMMYFUNCTION("""COMPUTED_VALUE"""),0.0)</f>
        <v>0</v>
      </c>
      <c r="V954" s="87">
        <f>IFERROR(__xludf.DUMMYFUNCTION("""COMPUTED_VALUE"""),0.0)</f>
        <v>0</v>
      </c>
      <c r="W954" s="87">
        <f>IFERROR(__xludf.DUMMYFUNCTION("""COMPUTED_VALUE"""),0.0)</f>
        <v>0</v>
      </c>
      <c r="X954" s="88"/>
      <c r="Y954" s="74"/>
      <c r="Z954" s="74"/>
    </row>
    <row r="955">
      <c r="B955" s="74" t="str">
        <f>IFERROR(__xludf.DUMMYFUNCTION("""COMPUTED_VALUE"""),"1953")</f>
        <v>1953</v>
      </c>
      <c r="C955" s="74"/>
      <c r="D955" s="74" t="str">
        <f>IFERROR(__xludf.DUMMYFUNCTION("""COMPUTED_VALUE"""),"\\MCA-S\mk\2_BM\0_BMat\08_PYM\Inventario\excel\Imagen de refacciones\Putzmeister\S Pipe DN125X2X45DGR Twin Wall _ Tubo S DN125X2X45GR Doble Pared")</f>
        <v>\\MCA-S\mk\2_BM\0_BMat\08_PYM\Inventario\excel\Imagen de refacciones\Putzmeister\S Pipe DN125X2X45DGR Twin Wall _ Tubo S DN125X2X45GR Doble Pared</v>
      </c>
      <c r="E955" s="74"/>
      <c r="F955" s="74" t="str">
        <f>IFERROR(__xludf.DUMMYFUNCTION("""COMPUTED_VALUE"""),"S Pipe DN125X2X45DGR Twin Wall / Tubo S DN125X2X45GR Doble Pared")</f>
        <v>S Pipe DN125X2X45DGR Twin Wall / Tubo S DN125X2X45GR Doble Pared</v>
      </c>
      <c r="G955" s="74"/>
      <c r="H955" s="74"/>
      <c r="I955" s="74" t="str">
        <f>IFERROR(__xludf.DUMMYFUNCTION("""COMPUTED_VALUE"""),"SOM20429")</f>
        <v>SOM20429</v>
      </c>
      <c r="J955" s="74" t="str">
        <f>IFERROR(__xludf.DUMMYFUNCTION("""COMPUTED_VALUE"""),"454426	/ 276717004")</f>
        <v>454426	/ 276717004</v>
      </c>
      <c r="K955" s="74" t="str">
        <f>IFERROR(__xludf.DUMMYFUNCTION("""COMPUTED_VALUE"""),"Putzmeister")</f>
        <v>Putzmeister</v>
      </c>
      <c r="L955" s="74" t="str">
        <f>IFERROR(__xludf.DUMMYFUNCTION("""COMPUTED_VALUE"""),"Sistema de Bombeo de Concreto")</f>
        <v>Sistema de Bombeo de Concreto</v>
      </c>
      <c r="M955" s="74" t="str">
        <f>IFERROR(__xludf.DUMMYFUNCTION("""COMPUTED_VALUE"""),"Sin Asignar")</f>
        <v>Sin Asignar</v>
      </c>
      <c r="N955" s="87">
        <f>IFERROR(__xludf.DUMMYFUNCTION("""COMPUTED_VALUE"""),0.0)</f>
        <v>0</v>
      </c>
      <c r="O955" s="74"/>
      <c r="P955" s="74" t="str">
        <f>IFERROR(__xludf.DUMMYFUNCTION("""COMPUTED_VALUE"""),"No Available")</f>
        <v>No Available</v>
      </c>
      <c r="Q955" s="74"/>
      <c r="R955" s="74"/>
      <c r="S955" s="87">
        <f>IFERROR(__xludf.DUMMYFUNCTION("""COMPUTED_VALUE"""),0.0)</f>
        <v>0</v>
      </c>
      <c r="T955" s="87">
        <f>IFERROR(__xludf.DUMMYFUNCTION("""COMPUTED_VALUE"""),0.0)</f>
        <v>0</v>
      </c>
      <c r="U955" s="87">
        <f>IFERROR(__xludf.DUMMYFUNCTION("""COMPUTED_VALUE"""),0.0)</f>
        <v>0</v>
      </c>
      <c r="V955" s="87">
        <f>IFERROR(__xludf.DUMMYFUNCTION("""COMPUTED_VALUE"""),0.0)</f>
        <v>0</v>
      </c>
      <c r="W955" s="87">
        <f>IFERROR(__xludf.DUMMYFUNCTION("""COMPUTED_VALUE"""),0.0)</f>
        <v>0</v>
      </c>
      <c r="X955" s="88"/>
      <c r="Y955" s="74"/>
      <c r="Z955" s="74"/>
    </row>
    <row r="956">
      <c r="B956" s="74" t="str">
        <f>IFERROR(__xludf.DUMMYFUNCTION("""COMPUTED_VALUE"""),"1954")</f>
        <v>1954</v>
      </c>
      <c r="C956" s="74"/>
      <c r="D956" s="74" t="str">
        <f>IFERROR(__xludf.DUMMYFUNCTION("""COMPUTED_VALUE"""),"\\MCA-S\mk\2_BM\0_BMat\08_PYM\Inventario\excel\Imagen de refacciones\Putzmeister\S Valve 201BN (Hard Welded 62 HRC) _ Válvula S 201BN (Soldadura Dura 62 HRC)")</f>
        <v>\\MCA-S\mk\2_BM\0_BMat\08_PYM\Inventario\excel\Imagen de refacciones\Putzmeister\S Valve 201BN (Hard Welded 62 HRC) _ Válvula S 201BN (Soldadura Dura 62 HRC)</v>
      </c>
      <c r="E956" s="74"/>
      <c r="F956" s="74" t="str">
        <f>IFERROR(__xludf.DUMMYFUNCTION("""COMPUTED_VALUE"""),"S Valve 201BN (Hard Welded 62 HRC) / Válvula S 201BN (Soldadura Dura 62 HRC)")</f>
        <v>S Valve 201BN (Hard Welded 62 HRC) / Válvula S 201BN (Soldadura Dura 62 HRC)</v>
      </c>
      <c r="G956" s="74"/>
      <c r="H956" s="74"/>
      <c r="I956" s="74" t="str">
        <f>IFERROR(__xludf.DUMMYFUNCTION("""COMPUTED_VALUE"""),"SOM20462")</f>
        <v>SOM20462</v>
      </c>
      <c r="J956" s="74" t="str">
        <f>IFERROR(__xludf.DUMMYFUNCTION("""COMPUTED_VALUE"""),"520286SHW")</f>
        <v>520286SHW</v>
      </c>
      <c r="K956" s="74" t="str">
        <f>IFERROR(__xludf.DUMMYFUNCTION("""COMPUTED_VALUE"""),"Putzmeister")</f>
        <v>Putzmeister</v>
      </c>
      <c r="L956" s="74" t="str">
        <f>IFERROR(__xludf.DUMMYFUNCTION("""COMPUTED_VALUE"""),"Sistema de Bombeo de Concreto")</f>
        <v>Sistema de Bombeo de Concreto</v>
      </c>
      <c r="M956" s="74" t="str">
        <f>IFERROR(__xludf.DUMMYFUNCTION("""COMPUTED_VALUE"""),"Sin Asignar")</f>
        <v>Sin Asignar</v>
      </c>
      <c r="N956" s="87">
        <f>IFERROR(__xludf.DUMMYFUNCTION("""COMPUTED_VALUE"""),0.0)</f>
        <v>0</v>
      </c>
      <c r="O956" s="74"/>
      <c r="P956" s="74" t="str">
        <f>IFERROR(__xludf.DUMMYFUNCTION("""COMPUTED_VALUE"""),"No Available")</f>
        <v>No Available</v>
      </c>
      <c r="Q956" s="74"/>
      <c r="R956" s="74"/>
      <c r="S956" s="87">
        <f>IFERROR(__xludf.DUMMYFUNCTION("""COMPUTED_VALUE"""),0.0)</f>
        <v>0</v>
      </c>
      <c r="T956" s="87">
        <f>IFERROR(__xludf.DUMMYFUNCTION("""COMPUTED_VALUE"""),0.0)</f>
        <v>0</v>
      </c>
      <c r="U956" s="87">
        <f>IFERROR(__xludf.DUMMYFUNCTION("""COMPUTED_VALUE"""),0.0)</f>
        <v>0</v>
      </c>
      <c r="V956" s="87">
        <f>IFERROR(__xludf.DUMMYFUNCTION("""COMPUTED_VALUE"""),0.0)</f>
        <v>0</v>
      </c>
      <c r="W956" s="87">
        <f>IFERROR(__xludf.DUMMYFUNCTION("""COMPUTED_VALUE"""),0.0)</f>
        <v>0</v>
      </c>
      <c r="X956" s="88"/>
      <c r="Y956" s="74"/>
      <c r="Z956" s="74"/>
    </row>
    <row r="957">
      <c r="B957" s="74" t="str">
        <f>IFERROR(__xludf.DUMMYFUNCTION("""COMPUTED_VALUE"""),"1955")</f>
        <v>1955</v>
      </c>
      <c r="C957" s="74"/>
      <c r="D957" s="74" t="str">
        <f>IFERROR(__xludf.DUMMYFUNCTION("""COMPUTED_VALUE"""),"\\MCA-S\mk\2_BM\0_BMat\08_PYM\Inventario\excel\Imagen de refacciones\Putzmeister\S Valve 231BN (Hard Welded 62 HRC) _ Válvula S 231BN (Soldadura Dura 62 HRC)")</f>
        <v>\\MCA-S\mk\2_BM\0_BMat\08_PYM\Inventario\excel\Imagen de refacciones\Putzmeister\S Valve 231BN (Hard Welded 62 HRC) _ Válvula S 231BN (Soldadura Dura 62 HRC)</v>
      </c>
      <c r="E957" s="74"/>
      <c r="F957" s="74" t="str">
        <f>IFERROR(__xludf.DUMMYFUNCTION("""COMPUTED_VALUE"""),"S Valve 231BN (Hard Welded 62 HRC) / Válvula S 231BN (Soldadura Dura 62 HRC)")</f>
        <v>S Valve 231BN (Hard Welded 62 HRC) / Válvula S 231BN (Soldadura Dura 62 HRC)</v>
      </c>
      <c r="G957" s="74"/>
      <c r="H957" s="74"/>
      <c r="I957" s="74" t="str">
        <f>IFERROR(__xludf.DUMMYFUNCTION("""COMPUTED_VALUE"""),"SOM20463")</f>
        <v>SOM20463</v>
      </c>
      <c r="J957" s="74" t="str">
        <f>IFERROR(__xludf.DUMMYFUNCTION("""COMPUTED_VALUE"""),"534023HW")</f>
        <v>534023HW</v>
      </c>
      <c r="K957" s="74" t="str">
        <f>IFERROR(__xludf.DUMMYFUNCTION("""COMPUTED_VALUE"""),"Putzmeister")</f>
        <v>Putzmeister</v>
      </c>
      <c r="L957" s="74" t="str">
        <f>IFERROR(__xludf.DUMMYFUNCTION("""COMPUTED_VALUE"""),"Sistema de Bombeo de Concreto")</f>
        <v>Sistema de Bombeo de Concreto</v>
      </c>
      <c r="M957" s="74" t="str">
        <f>IFERROR(__xludf.DUMMYFUNCTION("""COMPUTED_VALUE"""),"Sin Asignar")</f>
        <v>Sin Asignar</v>
      </c>
      <c r="N957" s="87">
        <f>IFERROR(__xludf.DUMMYFUNCTION("""COMPUTED_VALUE"""),0.0)</f>
        <v>0</v>
      </c>
      <c r="O957" s="74"/>
      <c r="P957" s="74" t="str">
        <f>IFERROR(__xludf.DUMMYFUNCTION("""COMPUTED_VALUE"""),"No Available")</f>
        <v>No Available</v>
      </c>
      <c r="Q957" s="74"/>
      <c r="R957" s="74"/>
      <c r="S957" s="87">
        <f>IFERROR(__xludf.DUMMYFUNCTION("""COMPUTED_VALUE"""),0.0)</f>
        <v>0</v>
      </c>
      <c r="T957" s="87">
        <f>IFERROR(__xludf.DUMMYFUNCTION("""COMPUTED_VALUE"""),0.0)</f>
        <v>0</v>
      </c>
      <c r="U957" s="87">
        <f>IFERROR(__xludf.DUMMYFUNCTION("""COMPUTED_VALUE"""),0.0)</f>
        <v>0</v>
      </c>
      <c r="V957" s="87">
        <f>IFERROR(__xludf.DUMMYFUNCTION("""COMPUTED_VALUE"""),0.0)</f>
        <v>0</v>
      </c>
      <c r="W957" s="87">
        <f>IFERROR(__xludf.DUMMYFUNCTION("""COMPUTED_VALUE"""),0.0)</f>
        <v>0</v>
      </c>
      <c r="X957" s="88"/>
      <c r="Y957" s="74"/>
      <c r="Z957" s="74"/>
    </row>
    <row r="958">
      <c r="B958" s="74" t="str">
        <f>IFERROR(__xludf.DUMMYFUNCTION("""COMPUTED_VALUE"""),"1956")</f>
        <v>1956</v>
      </c>
      <c r="C958" s="74"/>
      <c r="D958" s="74" t="str">
        <f>IFERROR(__xludf.DUMMYFUNCTION("""COMPUTED_VALUE"""),"\\MCA-S\mk\2_BM\0_BMat\08_PYM\Inventario\excel\Imagen de refacciones\Putzmeister\SAE Connection Block 1 1_4_ _ Bloque de Conexión SAE 1 1_4_")</f>
        <v>\\MCA-S\mk\2_BM\0_BMat\08_PYM\Inventario\excel\Imagen de refacciones\Putzmeister\SAE Connection Block 1 1_4_ _ Bloque de Conexión SAE 1 1_4_</v>
      </c>
      <c r="E958" s="74"/>
      <c r="F958" s="74" t="str">
        <f>IFERROR(__xludf.DUMMYFUNCTION("""COMPUTED_VALUE"""),"SAE Connection Block 1 1/4"" / Bloque de Conexión SAE 1 1/4""")</f>
        <v>SAE Connection Block 1 1/4" / Bloque de Conexión SAE 1 1/4"</v>
      </c>
      <c r="G958" s="74"/>
      <c r="H958" s="74"/>
      <c r="I958" s="74" t="str">
        <f>IFERROR(__xludf.DUMMYFUNCTION("""COMPUTED_VALUE"""),"SOM20546")</f>
        <v>SOM20546</v>
      </c>
      <c r="J958" s="74" t="str">
        <f>IFERROR(__xludf.DUMMYFUNCTION("""COMPUTED_VALUE"""),"245344000")</f>
        <v>245344000</v>
      </c>
      <c r="K958" s="74" t="str">
        <f>IFERROR(__xludf.DUMMYFUNCTION("""COMPUTED_VALUE"""),"Putzmeister")</f>
        <v>Putzmeister</v>
      </c>
      <c r="L958" s="74" t="str">
        <f>IFERROR(__xludf.DUMMYFUNCTION("""COMPUTED_VALUE"""),"Componentes Estructurales y de Montaje")</f>
        <v>Componentes Estructurales y de Montaje</v>
      </c>
      <c r="M958" s="74" t="str">
        <f>IFERROR(__xludf.DUMMYFUNCTION("""COMPUTED_VALUE"""),"Sin Asignar")</f>
        <v>Sin Asignar</v>
      </c>
      <c r="N958" s="87">
        <f>IFERROR(__xludf.DUMMYFUNCTION("""COMPUTED_VALUE"""),0.0)</f>
        <v>0</v>
      </c>
      <c r="O958" s="74"/>
      <c r="P958" s="74" t="str">
        <f>IFERROR(__xludf.DUMMYFUNCTION("""COMPUTED_VALUE"""),"No Available")</f>
        <v>No Available</v>
      </c>
      <c r="Q958" s="74"/>
      <c r="R958" s="74"/>
      <c r="S958" s="87">
        <f>IFERROR(__xludf.DUMMYFUNCTION("""COMPUTED_VALUE"""),0.0)</f>
        <v>0</v>
      </c>
      <c r="T958" s="87">
        <f>IFERROR(__xludf.DUMMYFUNCTION("""COMPUTED_VALUE"""),0.0)</f>
        <v>0</v>
      </c>
      <c r="U958" s="87">
        <f>IFERROR(__xludf.DUMMYFUNCTION("""COMPUTED_VALUE"""),0.0)</f>
        <v>0</v>
      </c>
      <c r="V958" s="87">
        <f>IFERROR(__xludf.DUMMYFUNCTION("""COMPUTED_VALUE"""),0.0)</f>
        <v>0</v>
      </c>
      <c r="W958" s="87">
        <f>IFERROR(__xludf.DUMMYFUNCTION("""COMPUTED_VALUE"""),0.0)</f>
        <v>0</v>
      </c>
      <c r="X958" s="88"/>
      <c r="Y958" s="74"/>
      <c r="Z958" s="74"/>
    </row>
    <row r="959">
      <c r="B959" s="74" t="str">
        <f>IFERROR(__xludf.DUMMYFUNCTION("""COMPUTED_VALUE"""),"1957")</f>
        <v>1957</v>
      </c>
      <c r="C959" s="74"/>
      <c r="D959" s="74" t="str">
        <f>IFERROR(__xludf.DUMMYFUNCTION("""COMPUTED_VALUE"""),"\\MCA-S\mk\2_BM\0_BMat\08_PYM\Inventario\excel\Imagen de refacciones\Putzmeister\Screw Coupling SK-S150-6 ND _ Acoplamiento Roscado SK-S150-6 ND")</f>
        <v>\\MCA-S\mk\2_BM\0_BMat\08_PYM\Inventario\excel\Imagen de refacciones\Putzmeister\Screw Coupling SK-S150-6 ND _ Acoplamiento Roscado SK-S150-6 ND</v>
      </c>
      <c r="E959" s="74"/>
      <c r="F959" s="74" t="str">
        <f>IFERROR(__xludf.DUMMYFUNCTION("""COMPUTED_VALUE"""),"Screw Coupling SK-S150-6 ND / Acoplamiento Roscado SK-S150-6 ND")</f>
        <v>Screw Coupling SK-S150-6 ND / Acoplamiento Roscado SK-S150-6 ND</v>
      </c>
      <c r="G959" s="74"/>
      <c r="H959" s="74"/>
      <c r="I959" s="74" t="str">
        <f>IFERROR(__xludf.DUMMYFUNCTION("""COMPUTED_VALUE"""),"SOM20570")</f>
        <v>SOM20570</v>
      </c>
      <c r="J959" s="74" t="str">
        <f>IFERROR(__xludf.DUMMYFUNCTION("""COMPUTED_VALUE"""),"81530007")</f>
        <v>81530007</v>
      </c>
      <c r="K959" s="74" t="str">
        <f>IFERROR(__xludf.DUMMYFUNCTION("""COMPUTED_VALUE"""),"Putzmeister")</f>
        <v>Putzmeister</v>
      </c>
      <c r="L959" s="74" t="str">
        <f>IFERROR(__xludf.DUMMYFUNCTION("""COMPUTED_VALUE"""),"Sistema de Bombeo de Concreto")</f>
        <v>Sistema de Bombeo de Concreto</v>
      </c>
      <c r="M959" s="74" t="str">
        <f>IFERROR(__xludf.DUMMYFUNCTION("""COMPUTED_VALUE"""),"Sin Asignar")</f>
        <v>Sin Asignar</v>
      </c>
      <c r="N959" s="87">
        <f>IFERROR(__xludf.DUMMYFUNCTION("""COMPUTED_VALUE"""),0.0)</f>
        <v>0</v>
      </c>
      <c r="O959" s="74"/>
      <c r="P959" s="74" t="str">
        <f>IFERROR(__xludf.DUMMYFUNCTION("""COMPUTED_VALUE"""),"No Available")</f>
        <v>No Available</v>
      </c>
      <c r="Q959" s="74"/>
      <c r="R959" s="74"/>
      <c r="S959" s="87">
        <f>IFERROR(__xludf.DUMMYFUNCTION("""COMPUTED_VALUE"""),0.0)</f>
        <v>0</v>
      </c>
      <c r="T959" s="87">
        <f>IFERROR(__xludf.DUMMYFUNCTION("""COMPUTED_VALUE"""),0.0)</f>
        <v>0</v>
      </c>
      <c r="U959" s="87">
        <f>IFERROR(__xludf.DUMMYFUNCTION("""COMPUTED_VALUE"""),0.0)</f>
        <v>0</v>
      </c>
      <c r="V959" s="87">
        <f>IFERROR(__xludf.DUMMYFUNCTION("""COMPUTED_VALUE"""),0.0)</f>
        <v>0</v>
      </c>
      <c r="W959" s="87">
        <f>IFERROR(__xludf.DUMMYFUNCTION("""COMPUTED_VALUE"""),0.0)</f>
        <v>0</v>
      </c>
      <c r="X959" s="88"/>
      <c r="Y959" s="74"/>
      <c r="Z959" s="74"/>
    </row>
    <row r="960">
      <c r="B960" s="74" t="str">
        <f>IFERROR(__xludf.DUMMYFUNCTION("""COMPUTED_VALUE"""),"1958")</f>
        <v>1958</v>
      </c>
      <c r="C960" s="74"/>
      <c r="D960" s="74" t="str">
        <f>IFERROR(__xludf.DUMMYFUNCTION("""COMPUTED_VALUE"""),"\\MCA-S\mk\2_BM\0_BMat\08_PYM\Inventario\excel\Imagen de refacciones\Putzmeister\Screw Mounted Coupling 5,5_-4 Bolt _ Acoplamiento atornillado 5,5_-4 tornillos")</f>
        <v>\\MCA-S\mk\2_BM\0_BMat\08_PYM\Inventario\excel\Imagen de refacciones\Putzmeister\Screw Mounted Coupling 5,5_-4 Bolt _ Acoplamiento atornillado 5,5_-4 tornillos</v>
      </c>
      <c r="E960" s="74"/>
      <c r="F960" s="74" t="str">
        <f>IFERROR(__xludf.DUMMYFUNCTION("""COMPUTED_VALUE"""),"Screw Mounted Coupling 5,5""-4 Bolt / Acoplamiento atornillado 5,5""-4 tornillos")</f>
        <v>Screw Mounted Coupling 5,5"-4 Bolt / Acoplamiento atornillado 5,5"-4 tornillos</v>
      </c>
      <c r="G960" s="74"/>
      <c r="H960" s="74"/>
      <c r="I960" s="74" t="str">
        <f>IFERROR(__xludf.DUMMYFUNCTION("""COMPUTED_VALUE"""),"SOM20403")</f>
        <v>SOM20403</v>
      </c>
      <c r="J960" s="74" t="str">
        <f>IFERROR(__xludf.DUMMYFUNCTION("""COMPUTED_VALUE"""),"246984003")</f>
        <v>246984003</v>
      </c>
      <c r="K960" s="74" t="str">
        <f>IFERROR(__xludf.DUMMYFUNCTION("""COMPUTED_VALUE"""),"Putzmeister")</f>
        <v>Putzmeister</v>
      </c>
      <c r="L960" s="74" t="str">
        <f>IFERROR(__xludf.DUMMYFUNCTION("""COMPUTED_VALUE"""),"Componentes Estructurales y de Montaje")</f>
        <v>Componentes Estructurales y de Montaje</v>
      </c>
      <c r="M960" s="74" t="str">
        <f>IFERROR(__xludf.DUMMYFUNCTION("""COMPUTED_VALUE"""),"Sin Asignar")</f>
        <v>Sin Asignar</v>
      </c>
      <c r="N960" s="87">
        <f>IFERROR(__xludf.DUMMYFUNCTION("""COMPUTED_VALUE"""),0.0)</f>
        <v>0</v>
      </c>
      <c r="O960" s="74"/>
      <c r="P960" s="74" t="str">
        <f>IFERROR(__xludf.DUMMYFUNCTION("""COMPUTED_VALUE"""),"No Available")</f>
        <v>No Available</v>
      </c>
      <c r="Q960" s="74"/>
      <c r="R960" s="74"/>
      <c r="S960" s="87">
        <f>IFERROR(__xludf.DUMMYFUNCTION("""COMPUTED_VALUE"""),0.0)</f>
        <v>0</v>
      </c>
      <c r="T960" s="87">
        <f>IFERROR(__xludf.DUMMYFUNCTION("""COMPUTED_VALUE"""),0.0)</f>
        <v>0</v>
      </c>
      <c r="U960" s="87">
        <f>IFERROR(__xludf.DUMMYFUNCTION("""COMPUTED_VALUE"""),0.0)</f>
        <v>0</v>
      </c>
      <c r="V960" s="87">
        <f>IFERROR(__xludf.DUMMYFUNCTION("""COMPUTED_VALUE"""),0.0)</f>
        <v>0</v>
      </c>
      <c r="W960" s="87">
        <f>IFERROR(__xludf.DUMMYFUNCTION("""COMPUTED_VALUE"""),0.0)</f>
        <v>0</v>
      </c>
      <c r="X960" s="88"/>
      <c r="Y960" s="74"/>
      <c r="Z960" s="74"/>
    </row>
    <row r="961">
      <c r="B961" s="74" t="str">
        <f>IFERROR(__xludf.DUMMYFUNCTION("""COMPUTED_VALUE"""),"1959")</f>
        <v>1959</v>
      </c>
      <c r="C961" s="74"/>
      <c r="D961" s="74" t="str">
        <f>IFERROR(__xludf.DUMMYFUNCTION("""COMPUTED_VALUE"""),"\\MCA-S\mk\2_BM\0_BMat\08_PYM\Inventario\excel\Imagen de refacciones\Putzmeister\Seal Set _ Juego de sellos")</f>
        <v>\\MCA-S\mk\2_BM\0_BMat\08_PYM\Inventario\excel\Imagen de refacciones\Putzmeister\Seal Set _ Juego de sellos</v>
      </c>
      <c r="E961" s="74"/>
      <c r="F961" s="74" t="str">
        <f>IFERROR(__xludf.DUMMYFUNCTION("""COMPUTED_VALUE"""),"Seal Set / Juego de sellos")</f>
        <v>Seal Set / Juego de sellos</v>
      </c>
      <c r="G961" s="74"/>
      <c r="H961" s="74"/>
      <c r="I961" s="74" t="str">
        <f>IFERROR(__xludf.DUMMYFUNCTION("""COMPUTED_VALUE"""),"SOM20382")</f>
        <v>SOM20382</v>
      </c>
      <c r="J961" s="74" t="str">
        <f>IFERROR(__xludf.DUMMYFUNCTION("""COMPUTED_VALUE"""),"245858000")</f>
        <v>245858000</v>
      </c>
      <c r="K961" s="74" t="str">
        <f>IFERROR(__xludf.DUMMYFUNCTION("""COMPUTED_VALUE"""),"Putzmeister")</f>
        <v>Putzmeister</v>
      </c>
      <c r="L961" s="74" t="str">
        <f>IFERROR(__xludf.DUMMYFUNCTION("""COMPUTED_VALUE"""),"Sellos y Retenes")</f>
        <v>Sellos y Retenes</v>
      </c>
      <c r="M961" s="74" t="str">
        <f>IFERROR(__xludf.DUMMYFUNCTION("""COMPUTED_VALUE"""),"Sin Asignar")</f>
        <v>Sin Asignar</v>
      </c>
      <c r="N961" s="87">
        <f>IFERROR(__xludf.DUMMYFUNCTION("""COMPUTED_VALUE"""),0.0)</f>
        <v>0</v>
      </c>
      <c r="O961" s="74"/>
      <c r="P961" s="74" t="str">
        <f>IFERROR(__xludf.DUMMYFUNCTION("""COMPUTED_VALUE"""),"No Available")</f>
        <v>No Available</v>
      </c>
      <c r="Q961" s="74"/>
      <c r="R961" s="74"/>
      <c r="S961" s="87">
        <f>IFERROR(__xludf.DUMMYFUNCTION("""COMPUTED_VALUE"""),0.0)</f>
        <v>0</v>
      </c>
      <c r="T961" s="87">
        <f>IFERROR(__xludf.DUMMYFUNCTION("""COMPUTED_VALUE"""),0.0)</f>
        <v>0</v>
      </c>
      <c r="U961" s="87">
        <f>IFERROR(__xludf.DUMMYFUNCTION("""COMPUTED_VALUE"""),0.0)</f>
        <v>0</v>
      </c>
      <c r="V961" s="87">
        <f>IFERROR(__xludf.DUMMYFUNCTION("""COMPUTED_VALUE"""),0.0)</f>
        <v>0</v>
      </c>
      <c r="W961" s="87">
        <f>IFERROR(__xludf.DUMMYFUNCTION("""COMPUTED_VALUE"""),0.0)</f>
        <v>0</v>
      </c>
      <c r="X961" s="88"/>
      <c r="Y961" s="74"/>
      <c r="Z961" s="74"/>
    </row>
    <row r="962">
      <c r="B962" s="74" t="str">
        <f>IFERROR(__xludf.DUMMYFUNCTION("""COMPUTED_VALUE"""),"1960")</f>
        <v>1960</v>
      </c>
      <c r="C962" s="74"/>
      <c r="D962" s="74" t="str">
        <f>IFERROR(__xludf.DUMMYFUNCTION("""COMPUTED_VALUE"""),"\\MCA-S\mk\2_BM\0_BMat\08_PYM\Inventario\excel\Imagen de refacciones\Putzmeister\Seal Set _ Juego de sellos (1)")</f>
        <v>\\MCA-S\mk\2_BM\0_BMat\08_PYM\Inventario\excel\Imagen de refacciones\Putzmeister\Seal Set _ Juego de sellos (1)</v>
      </c>
      <c r="E962" s="74"/>
      <c r="F962" s="74" t="str">
        <f>IFERROR(__xludf.DUMMYFUNCTION("""COMPUTED_VALUE"""),"Seal Set / Juego de sellos")</f>
        <v>Seal Set / Juego de sellos</v>
      </c>
      <c r="G962" s="74"/>
      <c r="H962" s="74"/>
      <c r="I962" s="74" t="str">
        <f>IFERROR(__xludf.DUMMYFUNCTION("""COMPUTED_VALUE"""),"SOM20386")</f>
        <v>SOM20386</v>
      </c>
      <c r="J962" s="74" t="str">
        <f>IFERROR(__xludf.DUMMYFUNCTION("""COMPUTED_VALUE"""),"23848009")</f>
        <v>23848009</v>
      </c>
      <c r="K962" s="74" t="str">
        <f>IFERROR(__xludf.DUMMYFUNCTION("""COMPUTED_VALUE"""),"Putzmeister")</f>
        <v>Putzmeister</v>
      </c>
      <c r="L962" s="74" t="str">
        <f>IFERROR(__xludf.DUMMYFUNCTION("""COMPUTED_VALUE"""),"Sellos y Retenes")</f>
        <v>Sellos y Retenes</v>
      </c>
      <c r="M962" s="74" t="str">
        <f>IFERROR(__xludf.DUMMYFUNCTION("""COMPUTED_VALUE"""),"Sin Asignar")</f>
        <v>Sin Asignar</v>
      </c>
      <c r="N962" s="87">
        <f>IFERROR(__xludf.DUMMYFUNCTION("""COMPUTED_VALUE"""),0.0)</f>
        <v>0</v>
      </c>
      <c r="O962" s="74"/>
      <c r="P962" s="74" t="str">
        <f>IFERROR(__xludf.DUMMYFUNCTION("""COMPUTED_VALUE"""),"No Available")</f>
        <v>No Available</v>
      </c>
      <c r="Q962" s="74"/>
      <c r="R962" s="74"/>
      <c r="S962" s="87">
        <f>IFERROR(__xludf.DUMMYFUNCTION("""COMPUTED_VALUE"""),0.0)</f>
        <v>0</v>
      </c>
      <c r="T962" s="87">
        <f>IFERROR(__xludf.DUMMYFUNCTION("""COMPUTED_VALUE"""),0.0)</f>
        <v>0</v>
      </c>
      <c r="U962" s="87">
        <f>IFERROR(__xludf.DUMMYFUNCTION("""COMPUTED_VALUE"""),0.0)</f>
        <v>0</v>
      </c>
      <c r="V962" s="87">
        <f>IFERROR(__xludf.DUMMYFUNCTION("""COMPUTED_VALUE"""),0.0)</f>
        <v>0</v>
      </c>
      <c r="W962" s="87">
        <f>IFERROR(__xludf.DUMMYFUNCTION("""COMPUTED_VALUE"""),0.0)</f>
        <v>0</v>
      </c>
      <c r="X962" s="88"/>
      <c r="Y962" s="74"/>
      <c r="Z962" s="74"/>
    </row>
    <row r="963">
      <c r="B963" s="74" t="str">
        <f>IFERROR(__xludf.DUMMYFUNCTION("""COMPUTED_VALUE"""),"1961")</f>
        <v>1961</v>
      </c>
      <c r="C963" s="74"/>
      <c r="D963" s="74" t="str">
        <f>IFERROR(__xludf.DUMMYFUNCTION("""COMPUTED_VALUE"""),"\\MCA-S\mk\2_BM\0_BMat\08_PYM\Inventario\excel\Imagen de refacciones\Putzmeister\Seal Set _ Juego de sellos (2)")</f>
        <v>\\MCA-S\mk\2_BM\0_BMat\08_PYM\Inventario\excel\Imagen de refacciones\Putzmeister\Seal Set _ Juego de sellos (2)</v>
      </c>
      <c r="E963" s="74"/>
      <c r="F963" s="74" t="str">
        <f>IFERROR(__xludf.DUMMYFUNCTION("""COMPUTED_VALUE"""),"Seal Set / Juego de sellos")</f>
        <v>Seal Set / Juego de sellos</v>
      </c>
      <c r="G963" s="74"/>
      <c r="H963" s="74"/>
      <c r="I963" s="74" t="str">
        <f>IFERROR(__xludf.DUMMYFUNCTION("""COMPUTED_VALUE"""),"SOM20388")</f>
        <v>SOM20388</v>
      </c>
      <c r="J963" s="74" t="str">
        <f>IFERROR(__xludf.DUMMYFUNCTION("""COMPUTED_VALUE"""),"50265002")</f>
        <v>50265002</v>
      </c>
      <c r="K963" s="74" t="str">
        <f>IFERROR(__xludf.DUMMYFUNCTION("""COMPUTED_VALUE"""),"Putzmeister")</f>
        <v>Putzmeister</v>
      </c>
      <c r="L963" s="74" t="str">
        <f>IFERROR(__xludf.DUMMYFUNCTION("""COMPUTED_VALUE"""),"Sellos y Retenes")</f>
        <v>Sellos y Retenes</v>
      </c>
      <c r="M963" s="74" t="str">
        <f>IFERROR(__xludf.DUMMYFUNCTION("""COMPUTED_VALUE"""),"Sin Asignar")</f>
        <v>Sin Asignar</v>
      </c>
      <c r="N963" s="87">
        <f>IFERROR(__xludf.DUMMYFUNCTION("""COMPUTED_VALUE"""),0.0)</f>
        <v>0</v>
      </c>
      <c r="O963" s="74"/>
      <c r="P963" s="74" t="str">
        <f>IFERROR(__xludf.DUMMYFUNCTION("""COMPUTED_VALUE"""),"No Available")</f>
        <v>No Available</v>
      </c>
      <c r="Q963" s="74"/>
      <c r="R963" s="74"/>
      <c r="S963" s="87">
        <f>IFERROR(__xludf.DUMMYFUNCTION("""COMPUTED_VALUE"""),0.0)</f>
        <v>0</v>
      </c>
      <c r="T963" s="87">
        <f>IFERROR(__xludf.DUMMYFUNCTION("""COMPUTED_VALUE"""),0.0)</f>
        <v>0</v>
      </c>
      <c r="U963" s="87">
        <f>IFERROR(__xludf.DUMMYFUNCTION("""COMPUTED_VALUE"""),0.0)</f>
        <v>0</v>
      </c>
      <c r="V963" s="87">
        <f>IFERROR(__xludf.DUMMYFUNCTION("""COMPUTED_VALUE"""),0.0)</f>
        <v>0</v>
      </c>
      <c r="W963" s="87">
        <f>IFERROR(__xludf.DUMMYFUNCTION("""COMPUTED_VALUE"""),0.0)</f>
        <v>0</v>
      </c>
      <c r="X963" s="88"/>
      <c r="Y963" s="74"/>
      <c r="Z963" s="74"/>
    </row>
    <row r="964">
      <c r="B964" s="74" t="str">
        <f>IFERROR(__xludf.DUMMYFUNCTION("""COMPUTED_VALUE"""),"1962")</f>
        <v>1962</v>
      </c>
      <c r="C964" s="74"/>
      <c r="D964" s="74" t="str">
        <f>IFERROR(__xludf.DUMMYFUNCTION("""COMPUTED_VALUE"""),"\\MCA-S\mk\2_BM\0_BMat\08_PYM\Inventario\excel\Imagen de refacciones\Putzmeister\Seal Set _ Juego de sellos (3)")</f>
        <v>\\MCA-S\mk\2_BM\0_BMat\08_PYM\Inventario\excel\Imagen de refacciones\Putzmeister\Seal Set _ Juego de sellos (3)</v>
      </c>
      <c r="E964" s="74"/>
      <c r="F964" s="74" t="str">
        <f>IFERROR(__xludf.DUMMYFUNCTION("""COMPUTED_VALUE"""),"Seal Set / Juego de sellos")</f>
        <v>Seal Set / Juego de sellos</v>
      </c>
      <c r="G964" s="74"/>
      <c r="H964" s="74"/>
      <c r="I964" s="74" t="str">
        <f>IFERROR(__xludf.DUMMYFUNCTION("""COMPUTED_VALUE"""),"SOM20392")</f>
        <v>SOM20392</v>
      </c>
      <c r="J964" s="74" t="str">
        <f>IFERROR(__xludf.DUMMYFUNCTION("""COMPUTED_VALUE"""),"87400005")</f>
        <v>87400005</v>
      </c>
      <c r="K964" s="74" t="str">
        <f>IFERROR(__xludf.DUMMYFUNCTION("""COMPUTED_VALUE"""),"Putzmeister")</f>
        <v>Putzmeister</v>
      </c>
      <c r="L964" s="74" t="str">
        <f>IFERROR(__xludf.DUMMYFUNCTION("""COMPUTED_VALUE"""),"Sellos y Retenes")</f>
        <v>Sellos y Retenes</v>
      </c>
      <c r="M964" s="74" t="str">
        <f>IFERROR(__xludf.DUMMYFUNCTION("""COMPUTED_VALUE"""),"Sin Asignar")</f>
        <v>Sin Asignar</v>
      </c>
      <c r="N964" s="87">
        <f>IFERROR(__xludf.DUMMYFUNCTION("""COMPUTED_VALUE"""),0.0)</f>
        <v>0</v>
      </c>
      <c r="O964" s="74"/>
      <c r="P964" s="74" t="str">
        <f>IFERROR(__xludf.DUMMYFUNCTION("""COMPUTED_VALUE"""),"No Available")</f>
        <v>No Available</v>
      </c>
      <c r="Q964" s="74"/>
      <c r="R964" s="74"/>
      <c r="S964" s="87">
        <f>IFERROR(__xludf.DUMMYFUNCTION("""COMPUTED_VALUE"""),0.0)</f>
        <v>0</v>
      </c>
      <c r="T964" s="87">
        <f>IFERROR(__xludf.DUMMYFUNCTION("""COMPUTED_VALUE"""),0.0)</f>
        <v>0</v>
      </c>
      <c r="U964" s="87">
        <f>IFERROR(__xludf.DUMMYFUNCTION("""COMPUTED_VALUE"""),0.0)</f>
        <v>0</v>
      </c>
      <c r="V964" s="87">
        <f>IFERROR(__xludf.DUMMYFUNCTION("""COMPUTED_VALUE"""),0.0)</f>
        <v>0</v>
      </c>
      <c r="W964" s="87">
        <f>IFERROR(__xludf.DUMMYFUNCTION("""COMPUTED_VALUE"""),0.0)</f>
        <v>0</v>
      </c>
      <c r="X964" s="88"/>
      <c r="Y964" s="74"/>
      <c r="Z964" s="74"/>
    </row>
    <row r="965">
      <c r="B965" s="74" t="str">
        <f>IFERROR(__xludf.DUMMYFUNCTION("""COMPUTED_VALUE"""),"1963")</f>
        <v>1963</v>
      </c>
      <c r="C965" s="74"/>
      <c r="D965" s="74" t="str">
        <f>IFERROR(__xludf.DUMMYFUNCTION("""COMPUTED_VALUE"""),"\\MCA-S\mk\2_BM\0_BMat\08_PYM\Inventario\excel\Imagen de refacciones\Putzmeister\Seal Set _ Juego de sellos (4)")</f>
        <v>\\MCA-S\mk\2_BM\0_BMat\08_PYM\Inventario\excel\Imagen de refacciones\Putzmeister\Seal Set _ Juego de sellos (4)</v>
      </c>
      <c r="E965" s="74"/>
      <c r="F965" s="74" t="str">
        <f>IFERROR(__xludf.DUMMYFUNCTION("""COMPUTED_VALUE"""),"Seal Set / Juego de sellos")</f>
        <v>Seal Set / Juego de sellos</v>
      </c>
      <c r="G965" s="74"/>
      <c r="H965" s="74"/>
      <c r="I965" s="74" t="str">
        <f>IFERROR(__xludf.DUMMYFUNCTION("""COMPUTED_VALUE"""),"SOM20394")</f>
        <v>SOM20394</v>
      </c>
      <c r="J965" s="74" t="str">
        <f>IFERROR(__xludf.DUMMYFUNCTION("""COMPUTED_VALUE"""),"86085007")</f>
        <v>86085007</v>
      </c>
      <c r="K965" s="74" t="str">
        <f>IFERROR(__xludf.DUMMYFUNCTION("""COMPUTED_VALUE"""),"Putzmeister")</f>
        <v>Putzmeister</v>
      </c>
      <c r="L965" s="74" t="str">
        <f>IFERROR(__xludf.DUMMYFUNCTION("""COMPUTED_VALUE"""),"Sellos y Retenes")</f>
        <v>Sellos y Retenes</v>
      </c>
      <c r="M965" s="74" t="str">
        <f>IFERROR(__xludf.DUMMYFUNCTION("""COMPUTED_VALUE"""),"Sin Asignar")</f>
        <v>Sin Asignar</v>
      </c>
      <c r="N965" s="87">
        <f>IFERROR(__xludf.DUMMYFUNCTION("""COMPUTED_VALUE"""),0.0)</f>
        <v>0</v>
      </c>
      <c r="O965" s="74"/>
      <c r="P965" s="74" t="str">
        <f>IFERROR(__xludf.DUMMYFUNCTION("""COMPUTED_VALUE"""),"borrar")</f>
        <v>borrar</v>
      </c>
      <c r="Q965" s="74"/>
      <c r="R965" s="74"/>
      <c r="S965" s="87">
        <f>IFERROR(__xludf.DUMMYFUNCTION("""COMPUTED_VALUE"""),0.0)</f>
        <v>0</v>
      </c>
      <c r="T965" s="87">
        <f>IFERROR(__xludf.DUMMYFUNCTION("""COMPUTED_VALUE"""),0.0)</f>
        <v>0</v>
      </c>
      <c r="U965" s="87">
        <f>IFERROR(__xludf.DUMMYFUNCTION("""COMPUTED_VALUE"""),0.0)</f>
        <v>0</v>
      </c>
      <c r="V965" s="87">
        <f>IFERROR(__xludf.DUMMYFUNCTION("""COMPUTED_VALUE"""),0.0)</f>
        <v>0</v>
      </c>
      <c r="W965" s="87">
        <f>IFERROR(__xludf.DUMMYFUNCTION("""COMPUTED_VALUE"""),0.0)</f>
        <v>0</v>
      </c>
      <c r="X965" s="88"/>
      <c r="Y965" s="74"/>
      <c r="Z965" s="74"/>
    </row>
    <row r="966">
      <c r="B966" s="74" t="str">
        <f>IFERROR(__xludf.DUMMYFUNCTION("""COMPUTED_VALUE"""),"1964")</f>
        <v>1964</v>
      </c>
      <c r="C966" s="74"/>
      <c r="D966" s="74" t="str">
        <f>IFERROR(__xludf.DUMMYFUNCTION("""COMPUTED_VALUE"""),"\\MCA-S\mk\2_BM\0_BMat\08_PYM\Inventario\excel\Imagen de refacciones\Putzmeister\Seal Set _ Juego de sellos (5)")</f>
        <v>\\MCA-S\mk\2_BM\0_BMat\08_PYM\Inventario\excel\Imagen de refacciones\Putzmeister\Seal Set _ Juego de sellos (5)</v>
      </c>
      <c r="E966" s="74"/>
      <c r="F966" s="74" t="str">
        <f>IFERROR(__xludf.DUMMYFUNCTION("""COMPUTED_VALUE"""),"Seal Set / Juego de sellos")</f>
        <v>Seal Set / Juego de sellos</v>
      </c>
      <c r="G966" s="74"/>
      <c r="H966" s="74"/>
      <c r="I966" s="74" t="str">
        <f>IFERROR(__xludf.DUMMYFUNCTION("""COMPUTED_VALUE"""),"SOM20395")</f>
        <v>SOM20395</v>
      </c>
      <c r="J966" s="74" t="str">
        <f>IFERROR(__xludf.DUMMYFUNCTION("""COMPUTED_VALUE"""),"50266001")</f>
        <v>50266001</v>
      </c>
      <c r="K966" s="74" t="str">
        <f>IFERROR(__xludf.DUMMYFUNCTION("""COMPUTED_VALUE"""),"Putzmeister")</f>
        <v>Putzmeister</v>
      </c>
      <c r="L966" s="74" t="str">
        <f>IFERROR(__xludf.DUMMYFUNCTION("""COMPUTED_VALUE"""),"Sellos y Retenes")</f>
        <v>Sellos y Retenes</v>
      </c>
      <c r="M966" s="74" t="str">
        <f>IFERROR(__xludf.DUMMYFUNCTION("""COMPUTED_VALUE"""),"Sin Asignar")</f>
        <v>Sin Asignar</v>
      </c>
      <c r="N966" s="87">
        <f>IFERROR(__xludf.DUMMYFUNCTION("""COMPUTED_VALUE"""),0.0)</f>
        <v>0</v>
      </c>
      <c r="O966" s="74"/>
      <c r="P966" s="74" t="str">
        <f>IFERROR(__xludf.DUMMYFUNCTION("""COMPUTED_VALUE"""),"No Available")</f>
        <v>No Available</v>
      </c>
      <c r="Q966" s="74"/>
      <c r="R966" s="74"/>
      <c r="S966" s="87">
        <f>IFERROR(__xludf.DUMMYFUNCTION("""COMPUTED_VALUE"""),0.0)</f>
        <v>0</v>
      </c>
      <c r="T966" s="87">
        <f>IFERROR(__xludf.DUMMYFUNCTION("""COMPUTED_VALUE"""),0.0)</f>
        <v>0</v>
      </c>
      <c r="U966" s="87">
        <f>IFERROR(__xludf.DUMMYFUNCTION("""COMPUTED_VALUE"""),0.0)</f>
        <v>0</v>
      </c>
      <c r="V966" s="87">
        <f>IFERROR(__xludf.DUMMYFUNCTION("""COMPUTED_VALUE"""),0.0)</f>
        <v>0</v>
      </c>
      <c r="W966" s="87">
        <f>IFERROR(__xludf.DUMMYFUNCTION("""COMPUTED_VALUE"""),0.0)</f>
        <v>0</v>
      </c>
      <c r="X966" s="88"/>
      <c r="Y966" s="74"/>
      <c r="Z966" s="74"/>
    </row>
    <row r="967">
      <c r="B967" s="74" t="str">
        <f>IFERROR(__xludf.DUMMYFUNCTION("""COMPUTED_VALUE"""),"1965")</f>
        <v>1965</v>
      </c>
      <c r="C967" s="74"/>
      <c r="D967" s="74" t="str">
        <f>IFERROR(__xludf.DUMMYFUNCTION("""COMPUTED_VALUE"""),"\\MCA-S\mk\2_BM\0_BMat\08_PYM\Inventario\excel\Imagen de refacciones\Putzmeister\Seal Set _ Juego de Sellos (6)")</f>
        <v>\\MCA-S\mk\2_BM\0_BMat\08_PYM\Inventario\excel\Imagen de refacciones\Putzmeister\Seal Set _ Juego de Sellos (6)</v>
      </c>
      <c r="E967" s="74"/>
      <c r="F967" s="74" t="str">
        <f>IFERROR(__xludf.DUMMYFUNCTION("""COMPUTED_VALUE"""),"Seal Set / Juego de Sellos")</f>
        <v>Seal Set / Juego de Sellos</v>
      </c>
      <c r="G967" s="74"/>
      <c r="H967" s="74"/>
      <c r="I967" s="74" t="str">
        <f>IFERROR(__xludf.DUMMYFUNCTION("""COMPUTED_VALUE"""),"SOM20533")</f>
        <v>SOM20533</v>
      </c>
      <c r="J967" s="74" t="str">
        <f>IFERROR(__xludf.DUMMYFUNCTION("""COMPUTED_VALUE"""),"241511008")</f>
        <v>241511008</v>
      </c>
      <c r="K967" s="74" t="str">
        <f>IFERROR(__xludf.DUMMYFUNCTION("""COMPUTED_VALUE"""),"Putzmeister")</f>
        <v>Putzmeister</v>
      </c>
      <c r="L967" s="74" t="str">
        <f>IFERROR(__xludf.DUMMYFUNCTION("""COMPUTED_VALUE"""),"Sellos y Retenes")</f>
        <v>Sellos y Retenes</v>
      </c>
      <c r="M967" s="74" t="str">
        <f>IFERROR(__xludf.DUMMYFUNCTION("""COMPUTED_VALUE"""),"Sin Asignar")</f>
        <v>Sin Asignar</v>
      </c>
      <c r="N967" s="87">
        <f>IFERROR(__xludf.DUMMYFUNCTION("""COMPUTED_VALUE"""),0.0)</f>
        <v>0</v>
      </c>
      <c r="O967" s="74"/>
      <c r="P967" s="74" t="str">
        <f>IFERROR(__xludf.DUMMYFUNCTION("""COMPUTED_VALUE"""),"No Available")</f>
        <v>No Available</v>
      </c>
      <c r="Q967" s="74"/>
      <c r="R967" s="74"/>
      <c r="S967" s="87">
        <f>IFERROR(__xludf.DUMMYFUNCTION("""COMPUTED_VALUE"""),0.0)</f>
        <v>0</v>
      </c>
      <c r="T967" s="87">
        <f>IFERROR(__xludf.DUMMYFUNCTION("""COMPUTED_VALUE"""),0.0)</f>
        <v>0</v>
      </c>
      <c r="U967" s="87">
        <f>IFERROR(__xludf.DUMMYFUNCTION("""COMPUTED_VALUE"""),0.0)</f>
        <v>0</v>
      </c>
      <c r="V967" s="87">
        <f>IFERROR(__xludf.DUMMYFUNCTION("""COMPUTED_VALUE"""),0.0)</f>
        <v>0</v>
      </c>
      <c r="W967" s="87">
        <f>IFERROR(__xludf.DUMMYFUNCTION("""COMPUTED_VALUE"""),0.0)</f>
        <v>0</v>
      </c>
      <c r="X967" s="88"/>
      <c r="Y967" s="74"/>
      <c r="Z967" s="74"/>
    </row>
    <row r="968">
      <c r="B968" s="74" t="str">
        <f>IFERROR(__xludf.DUMMYFUNCTION("""COMPUTED_VALUE"""),"1966")</f>
        <v>1966</v>
      </c>
      <c r="C968" s="74"/>
      <c r="D968" s="74" t="str">
        <f>IFERROR(__xludf.DUMMYFUNCTION("""COMPUTED_VALUE"""),"\\MCA-S\mk\2_BM\0_BMat\08_PYM\Inventario\excel\Imagen de refacciones\Putzmeister\Seal Set 115_70 _ Juego de sellos 115_70")</f>
        <v>\\MCA-S\mk\2_BM\0_BMat\08_PYM\Inventario\excel\Imagen de refacciones\Putzmeister\Seal Set 115_70 _ Juego de sellos 115_70</v>
      </c>
      <c r="E968" s="74"/>
      <c r="F968" s="74" t="str">
        <f>IFERROR(__xludf.DUMMYFUNCTION("""COMPUTED_VALUE"""),"Seal Set 115/70 / Juego de sellos 115/70")</f>
        <v>Seal Set 115/70 / Juego de sellos 115/70</v>
      </c>
      <c r="G968" s="74"/>
      <c r="H968" s="74"/>
      <c r="I968" s="74" t="str">
        <f>IFERROR(__xludf.DUMMYFUNCTION("""COMPUTED_VALUE"""),"SOM20365")</f>
        <v>SOM20365</v>
      </c>
      <c r="J968" s="74" t="str">
        <f>IFERROR(__xludf.DUMMYFUNCTION("""COMPUTED_VALUE"""),"445760 / 28948004")</f>
        <v>445760 / 28948004</v>
      </c>
      <c r="K968" s="74" t="str">
        <f>IFERROR(__xludf.DUMMYFUNCTION("""COMPUTED_VALUE"""),"Putzmeister")</f>
        <v>Putzmeister</v>
      </c>
      <c r="L968" s="74" t="str">
        <f>IFERROR(__xludf.DUMMYFUNCTION("""COMPUTED_VALUE"""),"Sellos y Retenes")</f>
        <v>Sellos y Retenes</v>
      </c>
      <c r="M968" s="74" t="str">
        <f>IFERROR(__xludf.DUMMYFUNCTION("""COMPUTED_VALUE"""),"Sin Asignar")</f>
        <v>Sin Asignar</v>
      </c>
      <c r="N968" s="87">
        <f>IFERROR(__xludf.DUMMYFUNCTION("""COMPUTED_VALUE"""),0.0)</f>
        <v>0</v>
      </c>
      <c r="O968" s="74"/>
      <c r="P968" s="74" t="str">
        <f>IFERROR(__xludf.DUMMYFUNCTION("""COMPUTED_VALUE"""),"borrar")</f>
        <v>borrar</v>
      </c>
      <c r="Q968" s="74"/>
      <c r="R968" s="74"/>
      <c r="S968" s="87">
        <f>IFERROR(__xludf.DUMMYFUNCTION("""COMPUTED_VALUE"""),0.0)</f>
        <v>0</v>
      </c>
      <c r="T968" s="87">
        <f>IFERROR(__xludf.DUMMYFUNCTION("""COMPUTED_VALUE"""),0.0)</f>
        <v>0</v>
      </c>
      <c r="U968" s="87">
        <f>IFERROR(__xludf.DUMMYFUNCTION("""COMPUTED_VALUE"""),0.0)</f>
        <v>0</v>
      </c>
      <c r="V968" s="87">
        <f>IFERROR(__xludf.DUMMYFUNCTION("""COMPUTED_VALUE"""),0.0)</f>
        <v>0</v>
      </c>
      <c r="W968" s="87">
        <f>IFERROR(__xludf.DUMMYFUNCTION("""COMPUTED_VALUE"""),0.0)</f>
        <v>0</v>
      </c>
      <c r="X968" s="88"/>
      <c r="Y968" s="74"/>
      <c r="Z968" s="74"/>
    </row>
    <row r="969">
      <c r="B969" s="74" t="str">
        <f>IFERROR(__xludf.DUMMYFUNCTION("""COMPUTED_VALUE"""),"1967")</f>
        <v>1967</v>
      </c>
      <c r="C969" s="74"/>
      <c r="D969" s="74" t="str">
        <f>IFERROR(__xludf.DUMMYFUNCTION("""COMPUTED_VALUE"""),"\\MCA-S\mk\2_BM\0_BMat\08_PYM\Inventario\excel\Imagen de refacciones\Putzmeister\Seal Set 125_70 _ Juego de sellos 125_70")</f>
        <v>\\MCA-S\mk\2_BM\0_BMat\08_PYM\Inventario\excel\Imagen de refacciones\Putzmeister\Seal Set 125_70 _ Juego de sellos 125_70</v>
      </c>
      <c r="E969" s="74"/>
      <c r="F969" s="74" t="str">
        <f>IFERROR(__xludf.DUMMYFUNCTION("""COMPUTED_VALUE"""),"Seal Set 125/70 / Juego de sellos 125/70")</f>
        <v>Seal Set 125/70 / Juego de sellos 125/70</v>
      </c>
      <c r="G969" s="74"/>
      <c r="H969" s="74"/>
      <c r="I969" s="74" t="str">
        <f>IFERROR(__xludf.DUMMYFUNCTION("""COMPUTED_VALUE"""),"SOM20366")</f>
        <v>SOM20366</v>
      </c>
      <c r="J969" s="74" t="str">
        <f>IFERROR(__xludf.DUMMYFUNCTION("""COMPUTED_VALUE"""),"445761")</f>
        <v>445761</v>
      </c>
      <c r="K969" s="74" t="str">
        <f>IFERROR(__xludf.DUMMYFUNCTION("""COMPUTED_VALUE"""),"Putzmeister")</f>
        <v>Putzmeister</v>
      </c>
      <c r="L969" s="74" t="str">
        <f>IFERROR(__xludf.DUMMYFUNCTION("""COMPUTED_VALUE"""),"Sellos y Retenes")</f>
        <v>Sellos y Retenes</v>
      </c>
      <c r="M969" s="74" t="str">
        <f>IFERROR(__xludf.DUMMYFUNCTION("""COMPUTED_VALUE"""),"Sin Asignar")</f>
        <v>Sin Asignar</v>
      </c>
      <c r="N969" s="87">
        <f>IFERROR(__xludf.DUMMYFUNCTION("""COMPUTED_VALUE"""),0.0)</f>
        <v>0</v>
      </c>
      <c r="O969" s="74"/>
      <c r="P969" s="74" t="str">
        <f>IFERROR(__xludf.DUMMYFUNCTION("""COMPUTED_VALUE"""),"No Available")</f>
        <v>No Available</v>
      </c>
      <c r="Q969" s="74"/>
      <c r="R969" s="74"/>
      <c r="S969" s="87">
        <f>IFERROR(__xludf.DUMMYFUNCTION("""COMPUTED_VALUE"""),0.0)</f>
        <v>0</v>
      </c>
      <c r="T969" s="87">
        <f>IFERROR(__xludf.DUMMYFUNCTION("""COMPUTED_VALUE"""),0.0)</f>
        <v>0</v>
      </c>
      <c r="U969" s="87">
        <f>IFERROR(__xludf.DUMMYFUNCTION("""COMPUTED_VALUE"""),0.0)</f>
        <v>0</v>
      </c>
      <c r="V969" s="87">
        <f>IFERROR(__xludf.DUMMYFUNCTION("""COMPUTED_VALUE"""),0.0)</f>
        <v>0</v>
      </c>
      <c r="W969" s="87">
        <f>IFERROR(__xludf.DUMMYFUNCTION("""COMPUTED_VALUE"""),0.0)</f>
        <v>0</v>
      </c>
      <c r="X969" s="88"/>
      <c r="Y969" s="74"/>
      <c r="Z969" s="74"/>
    </row>
    <row r="970">
      <c r="B970" s="74" t="str">
        <f>IFERROR(__xludf.DUMMYFUNCTION("""COMPUTED_VALUE"""),"1968")</f>
        <v>1968</v>
      </c>
      <c r="C970" s="74"/>
      <c r="D970" s="74" t="str">
        <f>IFERROR(__xludf.DUMMYFUNCTION("""COMPUTED_VALUE"""),"\\MCA-S\mk\2_BM\0_BMat\08_PYM\Inventario\excel\Imagen de refacciones\Putzmeister\Seal Set 165_105 _ Juego de sellos 165_105")</f>
        <v>\\MCA-S\mk\2_BM\0_BMat\08_PYM\Inventario\excel\Imagen de refacciones\Putzmeister\Seal Set 165_105 _ Juego de sellos 165_105</v>
      </c>
      <c r="E970" s="74"/>
      <c r="F970" s="74" t="str">
        <f>IFERROR(__xludf.DUMMYFUNCTION("""COMPUTED_VALUE"""),"Seal Set 165/105 / Juego de sellos 165/105")</f>
        <v>Seal Set 165/105 / Juego de sellos 165/105</v>
      </c>
      <c r="G970" s="74"/>
      <c r="H970" s="74"/>
      <c r="I970" s="74" t="str">
        <f>IFERROR(__xludf.DUMMYFUNCTION("""COMPUTED_VALUE"""),"SOM20369")</f>
        <v>SOM20369</v>
      </c>
      <c r="J970" s="74" t="str">
        <f>IFERROR(__xludf.DUMMYFUNCTION("""COMPUTED_VALUE"""),"445766/279455004")</f>
        <v>445766/279455004</v>
      </c>
      <c r="K970" s="74" t="str">
        <f>IFERROR(__xludf.DUMMYFUNCTION("""COMPUTED_VALUE"""),"Putzmeister")</f>
        <v>Putzmeister</v>
      </c>
      <c r="L970" s="74" t="str">
        <f>IFERROR(__xludf.DUMMYFUNCTION("""COMPUTED_VALUE"""),"Sellos y Retenes")</f>
        <v>Sellos y Retenes</v>
      </c>
      <c r="M970" s="74" t="str">
        <f>IFERROR(__xludf.DUMMYFUNCTION("""COMPUTED_VALUE"""),"Sin Asignar")</f>
        <v>Sin Asignar</v>
      </c>
      <c r="N970" s="87">
        <f>IFERROR(__xludf.DUMMYFUNCTION("""COMPUTED_VALUE"""),0.0)</f>
        <v>0</v>
      </c>
      <c r="O970" s="74"/>
      <c r="P970" s="74" t="str">
        <f>IFERROR(__xludf.DUMMYFUNCTION("""COMPUTED_VALUE"""),"No Available")</f>
        <v>No Available</v>
      </c>
      <c r="Q970" s="74"/>
      <c r="R970" s="74"/>
      <c r="S970" s="87">
        <f>IFERROR(__xludf.DUMMYFUNCTION("""COMPUTED_VALUE"""),0.0)</f>
        <v>0</v>
      </c>
      <c r="T970" s="87">
        <f>IFERROR(__xludf.DUMMYFUNCTION("""COMPUTED_VALUE"""),0.0)</f>
        <v>0</v>
      </c>
      <c r="U970" s="87">
        <f>IFERROR(__xludf.DUMMYFUNCTION("""COMPUTED_VALUE"""),0.0)</f>
        <v>0</v>
      </c>
      <c r="V970" s="87">
        <f>IFERROR(__xludf.DUMMYFUNCTION("""COMPUTED_VALUE"""),0.0)</f>
        <v>0</v>
      </c>
      <c r="W970" s="87">
        <f>IFERROR(__xludf.DUMMYFUNCTION("""COMPUTED_VALUE"""),0.0)</f>
        <v>0</v>
      </c>
      <c r="X970" s="88"/>
      <c r="Y970" s="74"/>
      <c r="Z970" s="74"/>
    </row>
    <row r="971">
      <c r="B971" s="74" t="str">
        <f>IFERROR(__xludf.DUMMYFUNCTION("""COMPUTED_VALUE"""),"1969")</f>
        <v>1969</v>
      </c>
      <c r="C971" s="74"/>
      <c r="D971" s="74" t="str">
        <f>IFERROR(__xludf.DUMMYFUNCTION("""COMPUTED_VALUE"""),"\\MCA-S\mk\2_BM\0_BMat\08_PYM\Inventario\excel\Imagen de refacciones\Putzmeister\Seal Set 180_125 _ Juego de sellos 180_125")</f>
        <v>\\MCA-S\mk\2_BM\0_BMat\08_PYM\Inventario\excel\Imagen de refacciones\Putzmeister\Seal Set 180_125 _ Juego de sellos 180_125</v>
      </c>
      <c r="E971" s="74"/>
      <c r="F971" s="74" t="str">
        <f>IFERROR(__xludf.DUMMYFUNCTION("""COMPUTED_VALUE"""),"Seal Set 180/125 / Juego de sellos 180/125")</f>
        <v>Seal Set 180/125 / Juego de sellos 180/125</v>
      </c>
      <c r="G971" s="74"/>
      <c r="H971" s="74"/>
      <c r="I971" s="74" t="str">
        <f>IFERROR(__xludf.DUMMYFUNCTION("""COMPUTED_VALUE"""),"SOM20371")</f>
        <v>SOM20371</v>
      </c>
      <c r="J971" s="74" t="str">
        <f>IFERROR(__xludf.DUMMYFUNCTION("""COMPUTED_VALUE"""),"445768")</f>
        <v>445768</v>
      </c>
      <c r="K971" s="74" t="str">
        <f>IFERROR(__xludf.DUMMYFUNCTION("""COMPUTED_VALUE"""),"Putzmeister")</f>
        <v>Putzmeister</v>
      </c>
      <c r="L971" s="74" t="str">
        <f>IFERROR(__xludf.DUMMYFUNCTION("""COMPUTED_VALUE"""),"Sellos y Retenes")</f>
        <v>Sellos y Retenes</v>
      </c>
      <c r="M971" s="74" t="str">
        <f>IFERROR(__xludf.DUMMYFUNCTION("""COMPUTED_VALUE"""),"Sin Asignar")</f>
        <v>Sin Asignar</v>
      </c>
      <c r="N971" s="87">
        <f>IFERROR(__xludf.DUMMYFUNCTION("""COMPUTED_VALUE"""),0.0)</f>
        <v>0</v>
      </c>
      <c r="O971" s="74"/>
      <c r="P971" s="74" t="str">
        <f>IFERROR(__xludf.DUMMYFUNCTION("""COMPUTED_VALUE"""),"No Available")</f>
        <v>No Available</v>
      </c>
      <c r="Q971" s="74"/>
      <c r="R971" s="74"/>
      <c r="S971" s="87">
        <f>IFERROR(__xludf.DUMMYFUNCTION("""COMPUTED_VALUE"""),0.0)</f>
        <v>0</v>
      </c>
      <c r="T971" s="87">
        <f>IFERROR(__xludf.DUMMYFUNCTION("""COMPUTED_VALUE"""),0.0)</f>
        <v>0</v>
      </c>
      <c r="U971" s="87">
        <f>IFERROR(__xludf.DUMMYFUNCTION("""COMPUTED_VALUE"""),0.0)</f>
        <v>0</v>
      </c>
      <c r="V971" s="87">
        <f>IFERROR(__xludf.DUMMYFUNCTION("""COMPUTED_VALUE"""),0.0)</f>
        <v>0</v>
      </c>
      <c r="W971" s="87">
        <f>IFERROR(__xludf.DUMMYFUNCTION("""COMPUTED_VALUE"""),0.0)</f>
        <v>0</v>
      </c>
      <c r="X971" s="88"/>
      <c r="Y971" s="74"/>
      <c r="Z971" s="74"/>
    </row>
    <row r="972">
      <c r="B972" s="74" t="str">
        <f>IFERROR(__xludf.DUMMYFUNCTION("""COMPUTED_VALUE"""),"1970")</f>
        <v>1970</v>
      </c>
      <c r="C972" s="74"/>
      <c r="D972" s="74" t="str">
        <f>IFERROR(__xludf.DUMMYFUNCTION("""COMPUTED_VALUE"""),"\\MCA-S\mk\2_BM\0_BMat\08_PYM\Inventario\excel\Imagen de refacciones\Putzmeister\Seal Set 225_125 _ Juego de sellos 225_125")</f>
        <v>\\MCA-S\mk\2_BM\0_BMat\08_PYM\Inventario\excel\Imagen de refacciones\Putzmeister\Seal Set 225_125 _ Juego de sellos 225_125</v>
      </c>
      <c r="E972" s="74"/>
      <c r="F972" s="74" t="str">
        <f>IFERROR(__xludf.DUMMYFUNCTION("""COMPUTED_VALUE"""),"Seal Set 225/125 / Juego de sellos 225/125")</f>
        <v>Seal Set 225/125 / Juego de sellos 225/125</v>
      </c>
      <c r="G972" s="74"/>
      <c r="H972" s="74"/>
      <c r="I972" s="74" t="str">
        <f>IFERROR(__xludf.DUMMYFUNCTION("""COMPUTED_VALUE"""),"SOM20378")</f>
        <v>SOM20378</v>
      </c>
      <c r="J972" s="74" t="str">
        <f>IFERROR(__xludf.DUMMYFUNCTION("""COMPUTED_VALUE"""),"445777 / 27839800")</f>
        <v>445777 / 27839800</v>
      </c>
      <c r="K972" s="74" t="str">
        <f>IFERROR(__xludf.DUMMYFUNCTION("""COMPUTED_VALUE"""),"Putzmeister")</f>
        <v>Putzmeister</v>
      </c>
      <c r="L972" s="74" t="str">
        <f>IFERROR(__xludf.DUMMYFUNCTION("""COMPUTED_VALUE"""),"Sellos y Retenes")</f>
        <v>Sellos y Retenes</v>
      </c>
      <c r="M972" s="74" t="str">
        <f>IFERROR(__xludf.DUMMYFUNCTION("""COMPUTED_VALUE"""),"Sin Asignar")</f>
        <v>Sin Asignar</v>
      </c>
      <c r="N972" s="87">
        <f>IFERROR(__xludf.DUMMYFUNCTION("""COMPUTED_VALUE"""),0.0)</f>
        <v>0</v>
      </c>
      <c r="O972" s="74"/>
      <c r="P972" s="74" t="str">
        <f>IFERROR(__xludf.DUMMYFUNCTION("""COMPUTED_VALUE"""),"No Available")</f>
        <v>No Available</v>
      </c>
      <c r="Q972" s="74"/>
      <c r="R972" s="74"/>
      <c r="S972" s="87">
        <f>IFERROR(__xludf.DUMMYFUNCTION("""COMPUTED_VALUE"""),0.0)</f>
        <v>0</v>
      </c>
      <c r="T972" s="87">
        <f>IFERROR(__xludf.DUMMYFUNCTION("""COMPUTED_VALUE"""),0.0)</f>
        <v>0</v>
      </c>
      <c r="U972" s="87">
        <f>IFERROR(__xludf.DUMMYFUNCTION("""COMPUTED_VALUE"""),0.0)</f>
        <v>0</v>
      </c>
      <c r="V972" s="87">
        <f>IFERROR(__xludf.DUMMYFUNCTION("""COMPUTED_VALUE"""),0.0)</f>
        <v>0</v>
      </c>
      <c r="W972" s="87">
        <f>IFERROR(__xludf.DUMMYFUNCTION("""COMPUTED_VALUE"""),0.0)</f>
        <v>0</v>
      </c>
      <c r="X972" s="88"/>
      <c r="Y972" s="74"/>
      <c r="Z972" s="74"/>
    </row>
    <row r="973">
      <c r="B973" s="74" t="str">
        <f>IFERROR(__xludf.DUMMYFUNCTION("""COMPUTED_VALUE"""),"1971")</f>
        <v>1971</v>
      </c>
      <c r="C973" s="74"/>
      <c r="D973" s="74" t="str">
        <f>IFERROR(__xludf.DUMMYFUNCTION("""COMPUTED_VALUE"""),"\\MCA-S\mk\2_BM\0_BMat\08_PYM\Inventario\excel\Imagen de refacciones\Putzmeister\Seal Set 225_140 _ Juego de sellos 225_140")</f>
        <v>\\MCA-S\mk\2_BM\0_BMat\08_PYM\Inventario\excel\Imagen de refacciones\Putzmeister\Seal Set 225_140 _ Juego de sellos 225_140</v>
      </c>
      <c r="E973" s="74"/>
      <c r="F973" s="74" t="str">
        <f>IFERROR(__xludf.DUMMYFUNCTION("""COMPUTED_VALUE"""),"Seal Set 225/140 / Juego de sellos 225/140")</f>
        <v>Seal Set 225/140 / Juego de sellos 225/140</v>
      </c>
      <c r="G973" s="74"/>
      <c r="H973" s="74"/>
      <c r="I973" s="74" t="str">
        <f>IFERROR(__xludf.DUMMYFUNCTION("""COMPUTED_VALUE"""),"SOM20379")</f>
        <v>SOM20379</v>
      </c>
      <c r="J973" s="74" t="str">
        <f>IFERROR(__xludf.DUMMYFUNCTION("""COMPUTED_VALUE"""),"445780")</f>
        <v>445780</v>
      </c>
      <c r="K973" s="74" t="str">
        <f>IFERROR(__xludf.DUMMYFUNCTION("""COMPUTED_VALUE"""),"Putzmeister")</f>
        <v>Putzmeister</v>
      </c>
      <c r="L973" s="74" t="str">
        <f>IFERROR(__xludf.DUMMYFUNCTION("""COMPUTED_VALUE"""),"Sellos y Retenes")</f>
        <v>Sellos y Retenes</v>
      </c>
      <c r="M973" s="74" t="str">
        <f>IFERROR(__xludf.DUMMYFUNCTION("""COMPUTED_VALUE"""),"Sin Asignar")</f>
        <v>Sin Asignar</v>
      </c>
      <c r="N973" s="87">
        <f>IFERROR(__xludf.DUMMYFUNCTION("""COMPUTED_VALUE"""),0.0)</f>
        <v>0</v>
      </c>
      <c r="O973" s="74"/>
      <c r="P973" s="74" t="str">
        <f>IFERROR(__xludf.DUMMYFUNCTION("""COMPUTED_VALUE"""),"No Available")</f>
        <v>No Available</v>
      </c>
      <c r="Q973" s="74"/>
      <c r="R973" s="74"/>
      <c r="S973" s="87">
        <f>IFERROR(__xludf.DUMMYFUNCTION("""COMPUTED_VALUE"""),0.0)</f>
        <v>0</v>
      </c>
      <c r="T973" s="87">
        <f>IFERROR(__xludf.DUMMYFUNCTION("""COMPUTED_VALUE"""),0.0)</f>
        <v>0</v>
      </c>
      <c r="U973" s="87">
        <f>IFERROR(__xludf.DUMMYFUNCTION("""COMPUTED_VALUE"""),0.0)</f>
        <v>0</v>
      </c>
      <c r="V973" s="87">
        <f>IFERROR(__xludf.DUMMYFUNCTION("""COMPUTED_VALUE"""),0.0)</f>
        <v>0</v>
      </c>
      <c r="W973" s="87">
        <f>IFERROR(__xludf.DUMMYFUNCTION("""COMPUTED_VALUE"""),0.0)</f>
        <v>0</v>
      </c>
      <c r="X973" s="88"/>
      <c r="Y973" s="74"/>
      <c r="Z973" s="74"/>
    </row>
    <row r="974">
      <c r="B974" s="74" t="str">
        <f>IFERROR(__xludf.DUMMYFUNCTION("""COMPUTED_VALUE"""),"1972")</f>
        <v>1972</v>
      </c>
      <c r="C974" s="74"/>
      <c r="D974" s="74" t="str">
        <f>IFERROR(__xludf.DUMMYFUNCTION("""COMPUTED_VALUE"""),"\\MCA-S\mk\2_BM\0_BMat\08_PYM\Inventario\excel\Imagen de refacciones\Putzmeister\Seal Set 260_180 _ Juego de sellos 260_180")</f>
        <v>\\MCA-S\mk\2_BM\0_BMat\08_PYM\Inventario\excel\Imagen de refacciones\Putzmeister\Seal Set 260_180 _ Juego de sellos 260_180</v>
      </c>
      <c r="E974" s="74"/>
      <c r="F974" s="74" t="str">
        <f>IFERROR(__xludf.DUMMYFUNCTION("""COMPUTED_VALUE"""),"Seal Set 260/180 / Juego de sellos 260/180")</f>
        <v>Seal Set 260/180 / Juego de sellos 260/180</v>
      </c>
      <c r="G974" s="74"/>
      <c r="H974" s="74"/>
      <c r="I974" s="74" t="str">
        <f>IFERROR(__xludf.DUMMYFUNCTION("""COMPUTED_VALUE"""),"SOM20381")</f>
        <v>SOM20381</v>
      </c>
      <c r="J974" s="74" t="str">
        <f>IFERROR(__xludf.DUMMYFUNCTION("""COMPUTED_VALUE"""),"445782")</f>
        <v>445782</v>
      </c>
      <c r="K974" s="74" t="str">
        <f>IFERROR(__xludf.DUMMYFUNCTION("""COMPUTED_VALUE"""),"Putzmeister")</f>
        <v>Putzmeister</v>
      </c>
      <c r="L974" s="74" t="str">
        <f>IFERROR(__xludf.DUMMYFUNCTION("""COMPUTED_VALUE"""),"Sellos y Retenes")</f>
        <v>Sellos y Retenes</v>
      </c>
      <c r="M974" s="74" t="str">
        <f>IFERROR(__xludf.DUMMYFUNCTION("""COMPUTED_VALUE"""),"Sin Asignar")</f>
        <v>Sin Asignar</v>
      </c>
      <c r="N974" s="87">
        <f>IFERROR(__xludf.DUMMYFUNCTION("""COMPUTED_VALUE"""),0.0)</f>
        <v>0</v>
      </c>
      <c r="O974" s="74"/>
      <c r="P974" s="74" t="str">
        <f>IFERROR(__xludf.DUMMYFUNCTION("""COMPUTED_VALUE"""),"No Available")</f>
        <v>No Available</v>
      </c>
      <c r="Q974" s="74"/>
      <c r="R974" s="74"/>
      <c r="S974" s="87">
        <f>IFERROR(__xludf.DUMMYFUNCTION("""COMPUTED_VALUE"""),0.0)</f>
        <v>0</v>
      </c>
      <c r="T974" s="87">
        <f>IFERROR(__xludf.DUMMYFUNCTION("""COMPUTED_VALUE"""),0.0)</f>
        <v>0</v>
      </c>
      <c r="U974" s="87">
        <f>IFERROR(__xludf.DUMMYFUNCTION("""COMPUTED_VALUE"""),0.0)</f>
        <v>0</v>
      </c>
      <c r="V974" s="87">
        <f>IFERROR(__xludf.DUMMYFUNCTION("""COMPUTED_VALUE"""),0.0)</f>
        <v>0</v>
      </c>
      <c r="W974" s="87">
        <f>IFERROR(__xludf.DUMMYFUNCTION("""COMPUTED_VALUE"""),0.0)</f>
        <v>0</v>
      </c>
      <c r="X974" s="88"/>
      <c r="Y974" s="74"/>
      <c r="Z974" s="74"/>
    </row>
    <row r="975">
      <c r="B975" s="74" t="str">
        <f>IFERROR(__xludf.DUMMYFUNCTION("""COMPUTED_VALUE"""),"1973")</f>
        <v>1973</v>
      </c>
      <c r="C975" s="74"/>
      <c r="D975" s="74" t="str">
        <f>IFERROR(__xludf.DUMMYFUNCTION("""COMPUTED_VALUE"""),"\\MCA-S\mk\2_BM\0_BMat\08_PYM\Inventario\excel\Imagen de refacciones\Putzmeister\Seal Set for Outher Housing - Ergonic _ Juego de Sellos para Carcasa Exterior - Ergonómico")</f>
        <v>\\MCA-S\mk\2_BM\0_BMat\08_PYM\Inventario\excel\Imagen de refacciones\Putzmeister\Seal Set for Outher Housing - Ergonic _ Juego de Sellos para Carcasa Exterior - Ergonómico</v>
      </c>
      <c r="E975" s="74"/>
      <c r="F975" s="74" t="str">
        <f>IFERROR(__xludf.DUMMYFUNCTION("""COMPUTED_VALUE"""),"Seal Set for Outher Housing - Ergonic / Juego de Sellos para Carcasa Exterior - Ergonómico")</f>
        <v>Seal Set for Outher Housing - Ergonic / Juego de Sellos para Carcasa Exterior - Ergonómico</v>
      </c>
      <c r="G975" s="74"/>
      <c r="H975" s="74"/>
      <c r="I975" s="74" t="str">
        <f>IFERROR(__xludf.DUMMYFUNCTION("""COMPUTED_VALUE"""),"SOM20467")</f>
        <v>SOM20467</v>
      </c>
      <c r="J975" s="74" t="str">
        <f>IFERROR(__xludf.DUMMYFUNCTION("""COMPUTED_VALUE"""),"576811KT")</f>
        <v>576811KT</v>
      </c>
      <c r="K975" s="74" t="str">
        <f>IFERROR(__xludf.DUMMYFUNCTION("""COMPUTED_VALUE"""),"Putzmeister")</f>
        <v>Putzmeister</v>
      </c>
      <c r="L975" s="74" t="str">
        <f>IFERROR(__xludf.DUMMYFUNCTION("""COMPUTED_VALUE"""),"Sellos y Retenes")</f>
        <v>Sellos y Retenes</v>
      </c>
      <c r="M975" s="74" t="str">
        <f>IFERROR(__xludf.DUMMYFUNCTION("""COMPUTED_VALUE"""),"Sin Asignar")</f>
        <v>Sin Asignar</v>
      </c>
      <c r="N975" s="87">
        <f>IFERROR(__xludf.DUMMYFUNCTION("""COMPUTED_VALUE"""),0.0)</f>
        <v>0</v>
      </c>
      <c r="O975" s="74"/>
      <c r="P975" s="74" t="str">
        <f>IFERROR(__xludf.DUMMYFUNCTION("""COMPUTED_VALUE"""),"No Available")</f>
        <v>No Available</v>
      </c>
      <c r="Q975" s="74"/>
      <c r="R975" s="74"/>
      <c r="S975" s="87">
        <f>IFERROR(__xludf.DUMMYFUNCTION("""COMPUTED_VALUE"""),0.0)</f>
        <v>0</v>
      </c>
      <c r="T975" s="87">
        <f>IFERROR(__xludf.DUMMYFUNCTION("""COMPUTED_VALUE"""),0.0)</f>
        <v>0</v>
      </c>
      <c r="U975" s="87">
        <f>IFERROR(__xludf.DUMMYFUNCTION("""COMPUTED_VALUE"""),0.0)</f>
        <v>0</v>
      </c>
      <c r="V975" s="87">
        <f>IFERROR(__xludf.DUMMYFUNCTION("""COMPUTED_VALUE"""),0.0)</f>
        <v>0</v>
      </c>
      <c r="W975" s="87">
        <f>IFERROR(__xludf.DUMMYFUNCTION("""COMPUTED_VALUE"""),0.0)</f>
        <v>0</v>
      </c>
      <c r="X975" s="88"/>
      <c r="Y975" s="74"/>
      <c r="Z975" s="74"/>
    </row>
    <row r="976">
      <c r="B976" s="74" t="str">
        <f>IFERROR(__xludf.DUMMYFUNCTION("""COMPUTED_VALUE"""),"1974")</f>
        <v>1974</v>
      </c>
      <c r="C976" s="74"/>
      <c r="D976" s="74" t="str">
        <f>IFERROR(__xludf.DUMMYFUNCTION("""COMPUTED_VALUE"""),"\\MCA-S\mk\2_BM\0_BMat\08_PYM\Inventario\excel\Imagen de refacciones\Putzmeister\Seal Set Q90 (Ergonomic) _ Juego de Sellos Q90 (Ergonómico)")</f>
        <v>\\MCA-S\mk\2_BM\0_BMat\08_PYM\Inventario\excel\Imagen de refacciones\Putzmeister\Seal Set Q90 (Ergonomic) _ Juego de Sellos Q90 (Ergonómico)</v>
      </c>
      <c r="E976" s="74"/>
      <c r="F976" s="74" t="str">
        <f>IFERROR(__xludf.DUMMYFUNCTION("""COMPUTED_VALUE"""),"Seal Set Q90 (Ergonomic) / Juego de Sellos Q90 (Ergonómico)")</f>
        <v>Seal Set Q90 (Ergonomic) / Juego de Sellos Q90 (Ergonómico)</v>
      </c>
      <c r="G976" s="74"/>
      <c r="H976" s="74"/>
      <c r="I976" s="74" t="str">
        <f>IFERROR(__xludf.DUMMYFUNCTION("""COMPUTED_VALUE"""),"SOM20509")</f>
        <v>SOM20509</v>
      </c>
      <c r="J976" s="74" t="str">
        <f>IFERROR(__xludf.DUMMYFUNCTION("""COMPUTED_VALUE"""),"240620004K1T")</f>
        <v>240620004K1T</v>
      </c>
      <c r="K976" s="74" t="str">
        <f>IFERROR(__xludf.DUMMYFUNCTION("""COMPUTED_VALUE"""),"Putzmeister")</f>
        <v>Putzmeister</v>
      </c>
      <c r="L976" s="74" t="str">
        <f>IFERROR(__xludf.DUMMYFUNCTION("""COMPUTED_VALUE"""),"Sellos y Retenes")</f>
        <v>Sellos y Retenes</v>
      </c>
      <c r="M976" s="74" t="str">
        <f>IFERROR(__xludf.DUMMYFUNCTION("""COMPUTED_VALUE"""),"Sin Asignar")</f>
        <v>Sin Asignar</v>
      </c>
      <c r="N976" s="87">
        <f>IFERROR(__xludf.DUMMYFUNCTION("""COMPUTED_VALUE"""),0.0)</f>
        <v>0</v>
      </c>
      <c r="O976" s="74"/>
      <c r="P976" s="74" t="str">
        <f>IFERROR(__xludf.DUMMYFUNCTION("""COMPUTED_VALUE"""),"No Available")</f>
        <v>No Available</v>
      </c>
      <c r="Q976" s="74"/>
      <c r="R976" s="74"/>
      <c r="S976" s="87">
        <f>IFERROR(__xludf.DUMMYFUNCTION("""COMPUTED_VALUE"""),0.0)</f>
        <v>0</v>
      </c>
      <c r="T976" s="87">
        <f>IFERROR(__xludf.DUMMYFUNCTION("""COMPUTED_VALUE"""),0.0)</f>
        <v>0</v>
      </c>
      <c r="U976" s="87">
        <f>IFERROR(__xludf.DUMMYFUNCTION("""COMPUTED_VALUE"""),0.0)</f>
        <v>0</v>
      </c>
      <c r="V976" s="87">
        <f>IFERROR(__xludf.DUMMYFUNCTION("""COMPUTED_VALUE"""),0.0)</f>
        <v>0</v>
      </c>
      <c r="W976" s="87">
        <f>IFERROR(__xludf.DUMMYFUNCTION("""COMPUTED_VALUE"""),0.0)</f>
        <v>0</v>
      </c>
      <c r="X976" s="88"/>
      <c r="Y976" s="74"/>
      <c r="Z976" s="74"/>
    </row>
    <row r="977">
      <c r="B977" s="74" t="str">
        <f>IFERROR(__xludf.DUMMYFUNCTION("""COMPUTED_VALUE"""),"1975")</f>
        <v>1975</v>
      </c>
      <c r="C977" s="74"/>
      <c r="D977" s="74" t="str">
        <f>IFERROR(__xludf.DUMMYFUNCTION("""COMPUTED_VALUE"""),"\\MCA-S\mk\2_BM\0_BMat\08_PYM\Inventario\excel\Imagen de refacciones\Putzmeister\Sealing Cover _ Tapa de Sellado")</f>
        <v>\\MCA-S\mk\2_BM\0_BMat\08_PYM\Inventario\excel\Imagen de refacciones\Putzmeister\Sealing Cover _ Tapa de Sellado</v>
      </c>
      <c r="E977" s="74"/>
      <c r="F977" s="74" t="str">
        <f>IFERROR(__xludf.DUMMYFUNCTION("""COMPUTED_VALUE"""),"Sealing Cover / Tapa de Sellado")</f>
        <v>Sealing Cover / Tapa de Sellado</v>
      </c>
      <c r="G977" s="74"/>
      <c r="H977" s="74"/>
      <c r="I977" s="74" t="str">
        <f>IFERROR(__xludf.DUMMYFUNCTION("""COMPUTED_VALUE"""),"SOM20512")</f>
        <v>SOM20512</v>
      </c>
      <c r="J977" s="74" t="str">
        <f>IFERROR(__xludf.DUMMYFUNCTION("""COMPUTED_VALUE"""),"541915")</f>
        <v>541915</v>
      </c>
      <c r="K977" s="74" t="str">
        <f>IFERROR(__xludf.DUMMYFUNCTION("""COMPUTED_VALUE"""),"Putzmeister")</f>
        <v>Putzmeister</v>
      </c>
      <c r="L977" s="74" t="str">
        <f>IFERROR(__xludf.DUMMYFUNCTION("""COMPUTED_VALUE"""),"Componentes Estructurales y de Montaje")</f>
        <v>Componentes Estructurales y de Montaje</v>
      </c>
      <c r="M977" s="74" t="str">
        <f>IFERROR(__xludf.DUMMYFUNCTION("""COMPUTED_VALUE"""),"Sin Asignar")</f>
        <v>Sin Asignar</v>
      </c>
      <c r="N977" s="87">
        <f>IFERROR(__xludf.DUMMYFUNCTION("""COMPUTED_VALUE"""),0.0)</f>
        <v>0</v>
      </c>
      <c r="O977" s="74"/>
      <c r="P977" s="74" t="str">
        <f>IFERROR(__xludf.DUMMYFUNCTION("""COMPUTED_VALUE"""),"No Available")</f>
        <v>No Available</v>
      </c>
      <c r="Q977" s="74"/>
      <c r="R977" s="74"/>
      <c r="S977" s="87">
        <f>IFERROR(__xludf.DUMMYFUNCTION("""COMPUTED_VALUE"""),0.0)</f>
        <v>0</v>
      </c>
      <c r="T977" s="87">
        <f>IFERROR(__xludf.DUMMYFUNCTION("""COMPUTED_VALUE"""),0.0)</f>
        <v>0</v>
      </c>
      <c r="U977" s="87">
        <f>IFERROR(__xludf.DUMMYFUNCTION("""COMPUTED_VALUE"""),0.0)</f>
        <v>0</v>
      </c>
      <c r="V977" s="87">
        <f>IFERROR(__xludf.DUMMYFUNCTION("""COMPUTED_VALUE"""),0.0)</f>
        <v>0</v>
      </c>
      <c r="W977" s="87">
        <f>IFERROR(__xludf.DUMMYFUNCTION("""COMPUTED_VALUE"""),0.0)</f>
        <v>0</v>
      </c>
      <c r="X977" s="88"/>
      <c r="Y977" s="74"/>
      <c r="Z977" s="74"/>
    </row>
    <row r="978">
      <c r="B978" s="74" t="str">
        <f>IFERROR(__xludf.DUMMYFUNCTION("""COMPUTED_VALUE"""),"1976")</f>
        <v>1976</v>
      </c>
      <c r="C978" s="74"/>
      <c r="D978" s="74" t="str">
        <f>IFERROR(__xludf.DUMMYFUNCTION("""COMPUTED_VALUE"""),"\\MCA-S\mk\2_BM\0_BMat\08_PYM\Inventario\excel\Imagen de refacciones\Putzmeister\Securing Ring 106 X 4 _ Anillo de Seguridad 106 X 4")</f>
        <v>\\MCA-S\mk\2_BM\0_BMat\08_PYM\Inventario\excel\Imagen de refacciones\Putzmeister\Securing Ring 106 X 4 _ Anillo de Seguridad 106 X 4</v>
      </c>
      <c r="E978" s="74"/>
      <c r="F978" s="74" t="str">
        <f>IFERROR(__xludf.DUMMYFUNCTION("""COMPUTED_VALUE"""),"Securing Ring 106 X 4 / Anillo de Seguridad 106 X 4")</f>
        <v>Securing Ring 106 X 4 / Anillo de Seguridad 106 X 4</v>
      </c>
      <c r="G978" s="74"/>
      <c r="H978" s="74"/>
      <c r="I978" s="74" t="str">
        <f>IFERROR(__xludf.DUMMYFUNCTION("""COMPUTED_VALUE"""),"SOM20560")</f>
        <v>SOM20560</v>
      </c>
      <c r="J978" s="74" t="str">
        <f>IFERROR(__xludf.DUMMYFUNCTION("""COMPUTED_VALUE"""),"450497")</f>
        <v>450497</v>
      </c>
      <c r="K978" s="74" t="str">
        <f>IFERROR(__xludf.DUMMYFUNCTION("""COMPUTED_VALUE"""),"Putzmeister")</f>
        <v>Putzmeister</v>
      </c>
      <c r="L978" s="74" t="str">
        <f>IFERROR(__xludf.DUMMYFUNCTION("""COMPUTED_VALUE"""),"Sellos y Retenes")</f>
        <v>Sellos y Retenes</v>
      </c>
      <c r="M978" s="74" t="str">
        <f>IFERROR(__xludf.DUMMYFUNCTION("""COMPUTED_VALUE"""),"Sin Asignar")</f>
        <v>Sin Asignar</v>
      </c>
      <c r="N978" s="87">
        <f>IFERROR(__xludf.DUMMYFUNCTION("""COMPUTED_VALUE"""),0.0)</f>
        <v>0</v>
      </c>
      <c r="O978" s="74"/>
      <c r="P978" s="74" t="str">
        <f>IFERROR(__xludf.DUMMYFUNCTION("""COMPUTED_VALUE"""),"No Available")</f>
        <v>No Available</v>
      </c>
      <c r="Q978" s="74"/>
      <c r="R978" s="74"/>
      <c r="S978" s="87">
        <f>IFERROR(__xludf.DUMMYFUNCTION("""COMPUTED_VALUE"""),0.0)</f>
        <v>0</v>
      </c>
      <c r="T978" s="87">
        <f>IFERROR(__xludf.DUMMYFUNCTION("""COMPUTED_VALUE"""),0.0)</f>
        <v>0</v>
      </c>
      <c r="U978" s="87">
        <f>IFERROR(__xludf.DUMMYFUNCTION("""COMPUTED_VALUE"""),0.0)</f>
        <v>0</v>
      </c>
      <c r="V978" s="87">
        <f>IFERROR(__xludf.DUMMYFUNCTION("""COMPUTED_VALUE"""),0.0)</f>
        <v>0</v>
      </c>
      <c r="W978" s="87">
        <f>IFERROR(__xludf.DUMMYFUNCTION("""COMPUTED_VALUE"""),0.0)</f>
        <v>0</v>
      </c>
      <c r="X978" s="88"/>
      <c r="Y978" s="74"/>
      <c r="Z978" s="74"/>
    </row>
    <row r="979">
      <c r="B979" s="74" t="str">
        <f>IFERROR(__xludf.DUMMYFUNCTION("""COMPUTED_VALUE"""),"1977")</f>
        <v>1977</v>
      </c>
      <c r="C979" s="74"/>
      <c r="D979" s="74" t="str">
        <f>IFERROR(__xludf.DUMMYFUNCTION("""COMPUTED_VALUE"""),"\\MCA-S\mk\2_BM\0_BMat\08_PYM\Inventario\excel\Imagen de refacciones\Putzmeister\Securing Ring 90 X 4 _ Anillo de Seguridad 90 X 4")</f>
        <v>\\MCA-S\mk\2_BM\0_BMat\08_PYM\Inventario\excel\Imagen de refacciones\Putzmeister\Securing Ring 90 X 4 _ Anillo de Seguridad 90 X 4</v>
      </c>
      <c r="E979" s="74"/>
      <c r="F979" s="74" t="str">
        <f>IFERROR(__xludf.DUMMYFUNCTION("""COMPUTED_VALUE"""),"Securing Ring 90 X 4 / Anillo de Seguridad 90 X 4")</f>
        <v>Securing Ring 90 X 4 / Anillo de Seguridad 90 X 4</v>
      </c>
      <c r="G979" s="74"/>
      <c r="H979" s="74"/>
      <c r="I979" s="74" t="str">
        <f>IFERROR(__xludf.DUMMYFUNCTION("""COMPUTED_VALUE"""),"SOM20562")</f>
        <v>SOM20562</v>
      </c>
      <c r="J979" s="74" t="str">
        <f>IFERROR(__xludf.DUMMYFUNCTION("""COMPUTED_VALUE"""),"902600002")</f>
        <v>902600002</v>
      </c>
      <c r="K979" s="74" t="str">
        <f>IFERROR(__xludf.DUMMYFUNCTION("""COMPUTED_VALUE"""),"Putzmeister")</f>
        <v>Putzmeister</v>
      </c>
      <c r="L979" s="74" t="str">
        <f>IFERROR(__xludf.DUMMYFUNCTION("""COMPUTED_VALUE"""),"Sellos y Retenes")</f>
        <v>Sellos y Retenes</v>
      </c>
      <c r="M979" s="74" t="str">
        <f>IFERROR(__xludf.DUMMYFUNCTION("""COMPUTED_VALUE"""),"Sin Asignar")</f>
        <v>Sin Asignar</v>
      </c>
      <c r="N979" s="87">
        <f>IFERROR(__xludf.DUMMYFUNCTION("""COMPUTED_VALUE"""),0.0)</f>
        <v>0</v>
      </c>
      <c r="O979" s="74"/>
      <c r="P979" s="74" t="str">
        <f>IFERROR(__xludf.DUMMYFUNCTION("""COMPUTED_VALUE"""),"No Available")</f>
        <v>No Available</v>
      </c>
      <c r="Q979" s="74"/>
      <c r="R979" s="74"/>
      <c r="S979" s="87">
        <f>IFERROR(__xludf.DUMMYFUNCTION("""COMPUTED_VALUE"""),0.0)</f>
        <v>0</v>
      </c>
      <c r="T979" s="87">
        <f>IFERROR(__xludf.DUMMYFUNCTION("""COMPUTED_VALUE"""),0.0)</f>
        <v>0</v>
      </c>
      <c r="U979" s="87">
        <f>IFERROR(__xludf.DUMMYFUNCTION("""COMPUTED_VALUE"""),0.0)</f>
        <v>0</v>
      </c>
      <c r="V979" s="87">
        <f>IFERROR(__xludf.DUMMYFUNCTION("""COMPUTED_VALUE"""),0.0)</f>
        <v>0</v>
      </c>
      <c r="W979" s="87">
        <f>IFERROR(__xludf.DUMMYFUNCTION("""COMPUTED_VALUE"""),0.0)</f>
        <v>0</v>
      </c>
      <c r="X979" s="88"/>
      <c r="Y979" s="74"/>
      <c r="Z979" s="74"/>
    </row>
    <row r="980">
      <c r="B980" s="74" t="str">
        <f>IFERROR(__xludf.DUMMYFUNCTION("""COMPUTED_VALUE"""),"1978")</f>
        <v>1978</v>
      </c>
      <c r="C980" s="74" t="str">
        <f>IFERROR(__xludf.DUMMYFUNCTION("""COMPUTED_VALUE"""),"75045880470")</f>
        <v>75045880470</v>
      </c>
      <c r="D980" s="74" t="str">
        <f>IFERROR(__xludf.DUMMYFUNCTION("""COMPUTED_VALUE"""),"\\MCA-S\mk\2_BM\0_BMat\08_PYM\Inventario\excel\Imagen de refacciones\Putzmeister\Sello hermetico 60mm")</f>
        <v>\\MCA-S\mk\2_BM\0_BMat\08_PYM\Inventario\excel\Imagen de refacciones\Putzmeister\Sello hermetico 60mm</v>
      </c>
      <c r="E980" s="74"/>
      <c r="F980" s="74" t="str">
        <f>IFERROR(__xludf.DUMMYFUNCTION("""COMPUTED_VALUE"""),"Sello hermetico 60mm")</f>
        <v>Sello hermetico 60mm</v>
      </c>
      <c r="G980" s="74"/>
      <c r="H980" s="74"/>
      <c r="I980" s="74" t="str">
        <f>IFERROR(__xludf.DUMMYFUNCTION("""COMPUTED_VALUE"""),"24254006")</f>
        <v>24254006</v>
      </c>
      <c r="J980" s="74"/>
      <c r="K980" s="74" t="str">
        <f>IFERROR(__xludf.DUMMYFUNCTION("""COMPUTED_VALUE"""),"Putzmeister")</f>
        <v>Putzmeister</v>
      </c>
      <c r="L980" s="74"/>
      <c r="M980" s="74" t="str">
        <f>IFERROR(__xludf.DUMMYFUNCTION("""COMPUTED_VALUE"""),"Sin Asignar")</f>
        <v>Sin Asignar</v>
      </c>
      <c r="N980" s="87">
        <f>IFERROR(__xludf.DUMMYFUNCTION("""COMPUTED_VALUE"""),0.0)</f>
        <v>0</v>
      </c>
      <c r="O980" s="74"/>
      <c r="P980" s="74" t="str">
        <f>IFERROR(__xludf.DUMMYFUNCTION("""COMPUTED_VALUE"""),"No Available")</f>
        <v>No Available</v>
      </c>
      <c r="Q980" s="74"/>
      <c r="R980" s="74"/>
      <c r="S980" s="87">
        <f>IFERROR(__xludf.DUMMYFUNCTION("""COMPUTED_VALUE"""),0.0)</f>
        <v>0</v>
      </c>
      <c r="T980" s="87">
        <f>IFERROR(__xludf.DUMMYFUNCTION("""COMPUTED_VALUE"""),0.0)</f>
        <v>0</v>
      </c>
      <c r="U980" s="87">
        <f>IFERROR(__xludf.DUMMYFUNCTION("""COMPUTED_VALUE"""),0.0)</f>
        <v>0</v>
      </c>
      <c r="V980" s="87">
        <f>IFERROR(__xludf.DUMMYFUNCTION("""COMPUTED_VALUE"""),0.0)</f>
        <v>0</v>
      </c>
      <c r="W980" s="87">
        <f>IFERROR(__xludf.DUMMYFUNCTION("""COMPUTED_VALUE"""),0.0)</f>
        <v>0</v>
      </c>
      <c r="X980" s="88"/>
      <c r="Y980" s="74"/>
      <c r="Z980" s="74"/>
    </row>
    <row r="981">
      <c r="B981" s="74" t="str">
        <f>IFERROR(__xludf.DUMMYFUNCTION("""COMPUTED_VALUE"""),"1979")</f>
        <v>1979</v>
      </c>
      <c r="C981" s="74" t="str">
        <f>IFERROR(__xludf.DUMMYFUNCTION("""COMPUTED_VALUE"""),"75045880296")</f>
        <v>75045880296</v>
      </c>
      <c r="D981" s="74" t="str">
        <f>IFERROR(__xludf.DUMMYFUNCTION("""COMPUTED_VALUE"""),"\\MCA-S\mk\2_BM\0_BMat\08_PYM\Inventario\excel\Imagen de refacciones\Putzmeister\sello hermetico rubber disc")</f>
        <v>\\MCA-S\mk\2_BM\0_BMat\08_PYM\Inventario\excel\Imagen de refacciones\Putzmeister\sello hermetico rubber disc</v>
      </c>
      <c r="E981" s="74" t="str">
        <f>IFERROR(__xludf.DUMMYFUNCTION("""COMPUTED_VALUE"""),"RUBBER SEAL DISC 60mm SHAFT 140x56x8 LK120 6LD10")</f>
        <v>RUBBER SEAL DISC 60mm SHAFT 140x56x8 LK120 6LD10</v>
      </c>
      <c r="F981" s="74" t="str">
        <f>IFERROR(__xludf.DUMMYFUNCTION("""COMPUTED_VALUE"""),"SELLO PARA RODAMIENTO DE MEZCLADOR 140x56x8mm / 60mm")</f>
        <v>SELLO PARA RODAMIENTO DE MEZCLADOR 140x56x8mm / 60mm</v>
      </c>
      <c r="G981" s="74"/>
      <c r="H981" s="74" t="str">
        <f>IFERROR(__xludf.DUMMYFUNCTION("""COMPUTED_VALUE"""),"SELLOS PARA RODAMIENTO DE MEZCLADOR PARA BOMBA DE HORMIGON")</f>
        <v>SELLOS PARA RODAMIENTO DE MEZCLADOR PARA BOMBA DE HORMIGON</v>
      </c>
      <c r="I981" s="74" t="str">
        <f>IFERROR(__xludf.DUMMYFUNCTION("""COMPUTED_VALUE"""),"242574006")</f>
        <v>242574006</v>
      </c>
      <c r="J981" s="74"/>
      <c r="K981" s="74" t="str">
        <f>IFERROR(__xludf.DUMMYFUNCTION("""COMPUTED_VALUE"""),"Putzmeister")</f>
        <v>Putzmeister</v>
      </c>
      <c r="L981" s="74"/>
      <c r="M981" s="74" t="str">
        <f>IFERROR(__xludf.DUMMYFUNCTION("""COMPUTED_VALUE"""),"Sin Asignar")</f>
        <v>Sin Asignar</v>
      </c>
      <c r="N981" s="87">
        <f>IFERROR(__xludf.DUMMYFUNCTION("""COMPUTED_VALUE"""),355.2)</f>
        <v>355.2</v>
      </c>
      <c r="O981" s="74">
        <f>IFERROR(__xludf.DUMMYFUNCTION("""COMPUTED_VALUE"""),10.0)</f>
        <v>10</v>
      </c>
      <c r="P981" s="74" t="str">
        <f>IFERROR(__xludf.DUMMYFUNCTION("""COMPUTED_VALUE"""),"In stock")</f>
        <v>In stock</v>
      </c>
      <c r="Q981" s="74"/>
      <c r="R981" s="74"/>
      <c r="S981" s="87">
        <f>IFERROR(__xludf.DUMMYFUNCTION("""COMPUTED_VALUE"""),3.0)</f>
        <v>3</v>
      </c>
      <c r="T981" s="87">
        <f>IFERROR(__xludf.DUMMYFUNCTION("""COMPUTED_VALUE"""),20.0)</f>
        <v>20</v>
      </c>
      <c r="U981" s="87">
        <f>IFERROR(__xludf.DUMMYFUNCTION("""COMPUTED_VALUE"""),19.2)</f>
        <v>19.2</v>
      </c>
      <c r="V981" s="87">
        <f>IFERROR(__xludf.DUMMYFUNCTION("""COMPUTED_VALUE"""),3.675)</f>
        <v>3.675</v>
      </c>
      <c r="W981" s="87">
        <f>IFERROR(__xludf.DUMMYFUNCTION("""COMPUTED_VALUE"""),68.90625)</f>
        <v>68.90625</v>
      </c>
      <c r="X981" s="88">
        <f>IFERROR(__xludf.DUMMYFUNCTION("""COMPUTED_VALUE"""),6.3999999999999995)</f>
        <v>6.4</v>
      </c>
      <c r="Y981" s="74"/>
      <c r="Z981" s="74"/>
    </row>
    <row r="982">
      <c r="B982" s="74" t="str">
        <f>IFERROR(__xludf.DUMMYFUNCTION("""COMPUTED_VALUE"""),"1980")</f>
        <v>1980</v>
      </c>
      <c r="C982" s="74" t="str">
        <f>IFERROR(__xludf.DUMMYFUNCTION("""COMPUTED_VALUE"""),"75045880343")</f>
        <v>75045880343</v>
      </c>
      <c r="D982" s="74" t="str">
        <f>IFERROR(__xludf.DUMMYFUNCTION("""COMPUTED_VALUE"""),"\\MCA-S\mk\2_BM\0_BMat\08_PYM\Inventario\excel\Imagen de refacciones\Putzmeister\Sensor de proximidad")</f>
        <v>\\MCA-S\mk\2_BM\0_BMat\08_PYM\Inventario\excel\Imagen de refacciones\Putzmeister\Sensor de proximidad</v>
      </c>
      <c r="E982" s="74" t="str">
        <f>IFERROR(__xludf.DUMMYFUNCTION("""COMPUTED_VALUE"""),"PROXIMITY SWITCH SENSOR")</f>
        <v>PROXIMITY SWITCH SENSOR</v>
      </c>
      <c r="F982" s="74" t="str">
        <f>IFERROR(__xludf.DUMMYFUNCTION("""COMPUTED_VALUE"""),"SENSOR DE PROXIMIDAD")</f>
        <v>SENSOR DE PROXIMIDAD</v>
      </c>
      <c r="G982" s="74"/>
      <c r="H982" s="74"/>
      <c r="I982" s="74" t="str">
        <f>IFERROR(__xludf.DUMMYFUNCTION("""COMPUTED_VALUE"""),"270321001")</f>
        <v>270321001</v>
      </c>
      <c r="J982" s="74"/>
      <c r="K982" s="74" t="str">
        <f>IFERROR(__xludf.DUMMYFUNCTION("""COMPUTED_VALUE"""),"Putzmeister")</f>
        <v>Putzmeister</v>
      </c>
      <c r="L982" s="74" t="str">
        <f>IFERROR(__xludf.DUMMYFUNCTION("""COMPUTED_VALUE"""),"Elementos de medición y control")</f>
        <v>Elementos de medición y control</v>
      </c>
      <c r="M982" s="74" t="str">
        <f>IFERROR(__xludf.DUMMYFUNCTION("""COMPUTED_VALUE"""),"Sin Asignar")</f>
        <v>Sin Asignar</v>
      </c>
      <c r="N982" s="87">
        <f>IFERROR(__xludf.DUMMYFUNCTION("""COMPUTED_VALUE"""),4759.679999999999)</f>
        <v>4759.68</v>
      </c>
      <c r="O982" s="74">
        <f>IFERROR(__xludf.DUMMYFUNCTION("""COMPUTED_VALUE"""),6.0)</f>
        <v>6</v>
      </c>
      <c r="P982" s="74" t="str">
        <f>IFERROR(__xludf.DUMMYFUNCTION("""COMPUTED_VALUE"""),"In stock")</f>
        <v>In stock</v>
      </c>
      <c r="Q982" s="74"/>
      <c r="R982" s="74"/>
      <c r="S982" s="87">
        <f>IFERROR(__xludf.DUMMYFUNCTION("""COMPUTED_VALUE"""),35.0)</f>
        <v>35</v>
      </c>
      <c r="T982" s="87">
        <f>IFERROR(__xludf.DUMMYFUNCTION("""COMPUTED_VALUE"""),268.0)</f>
        <v>268</v>
      </c>
      <c r="U982" s="87">
        <f>IFERROR(__xludf.DUMMYFUNCTION("""COMPUTED_VALUE"""),257.28)</f>
        <v>257.28</v>
      </c>
      <c r="V982" s="87">
        <f>IFERROR(__xludf.DUMMYFUNCTION("""COMPUTED_VALUE"""),42.875)</f>
        <v>42.875</v>
      </c>
      <c r="W982" s="87">
        <f>IFERROR(__xludf.DUMMYFUNCTION("""COMPUTED_VALUE"""),803.90625)</f>
        <v>803.90625</v>
      </c>
      <c r="X982" s="88">
        <f>IFERROR(__xludf.DUMMYFUNCTION("""COMPUTED_VALUE"""),7.350857142857142)</f>
        <v>7.350857143</v>
      </c>
      <c r="Y982" s="74"/>
      <c r="Z982" s="74"/>
    </row>
    <row r="983">
      <c r="B983" s="74" t="str">
        <f>IFERROR(__xludf.DUMMYFUNCTION("""COMPUTED_VALUE"""),"1981")</f>
        <v>1981</v>
      </c>
      <c r="C983" s="74" t="str">
        <f>IFERROR(__xludf.DUMMYFUNCTION("""COMPUTED_VALUE"""),"75045880344")</f>
        <v>75045880344</v>
      </c>
      <c r="D983" s="74" t="str">
        <f>IFERROR(__xludf.DUMMYFUNCTION("""COMPUTED_VALUE"""),"\\MCA-S\mk\2_BM\0_BMat\08_PYM\Inventario\excel\Imagen de refacciones\Putzmeister\Sensor de temperatura")</f>
        <v>\\MCA-S\mk\2_BM\0_BMat\08_PYM\Inventario\excel\Imagen de refacciones\Putzmeister\Sensor de temperatura</v>
      </c>
      <c r="E983" s="74" t="str">
        <f>IFERROR(__xludf.DUMMYFUNCTION("""COMPUTED_VALUE"""),"TEMPERATURE TRANSMITTER 55 DEGREE")</f>
        <v>TEMPERATURE TRANSMITTER 55 DEGREE</v>
      </c>
      <c r="F983" s="74" t="str">
        <f>IFERROR(__xludf.DUMMYFUNCTION("""COMPUTED_VALUE"""),"SENSOR DE TEMPERATURA 55 GRADOS")</f>
        <v>SENSOR DE TEMPERATURA 55 GRADOS</v>
      </c>
      <c r="G983" s="74"/>
      <c r="H983" s="74"/>
      <c r="I983" s="74" t="str">
        <f>IFERROR(__xludf.DUMMYFUNCTION("""COMPUTED_VALUE"""),"018098004")</f>
        <v>018098004</v>
      </c>
      <c r="J983" s="74"/>
      <c r="K983" s="74" t="str">
        <f>IFERROR(__xludf.DUMMYFUNCTION("""COMPUTED_VALUE"""),"Putzmeister")</f>
        <v>Putzmeister</v>
      </c>
      <c r="L983" s="74" t="str">
        <f>IFERROR(__xludf.DUMMYFUNCTION("""COMPUTED_VALUE"""),"Elementos de medición y control")</f>
        <v>Elementos de medición y control</v>
      </c>
      <c r="M983" s="74" t="str">
        <f>IFERROR(__xludf.DUMMYFUNCTION("""COMPUTED_VALUE"""),"Sin Asignar")</f>
        <v>Sin Asignar</v>
      </c>
      <c r="N983" s="87">
        <f>IFERROR(__xludf.DUMMYFUNCTION("""COMPUTED_VALUE"""),0.0)</f>
        <v>0</v>
      </c>
      <c r="O983" s="74"/>
      <c r="P983" s="74" t="str">
        <f>IFERROR(__xludf.DUMMYFUNCTION("""COMPUTED_VALUE"""),"To Re-purchase")</f>
        <v>To Re-purchase</v>
      </c>
      <c r="Q983" s="74"/>
      <c r="R983" s="74"/>
      <c r="S983" s="87">
        <f>IFERROR(__xludf.DUMMYFUNCTION("""COMPUTED_VALUE"""),0.0)</f>
        <v>0</v>
      </c>
      <c r="T983" s="87">
        <f>IFERROR(__xludf.DUMMYFUNCTION("""COMPUTED_VALUE"""),0.0)</f>
        <v>0</v>
      </c>
      <c r="U983" s="87">
        <f>IFERROR(__xludf.DUMMYFUNCTION("""COMPUTED_VALUE"""),0.0)</f>
        <v>0</v>
      </c>
      <c r="V983" s="87">
        <f>IFERROR(__xludf.DUMMYFUNCTION("""COMPUTED_VALUE"""),0.0)</f>
        <v>0</v>
      </c>
      <c r="W983" s="87">
        <f>IFERROR(__xludf.DUMMYFUNCTION("""COMPUTED_VALUE"""),0.0)</f>
        <v>0</v>
      </c>
      <c r="X983" s="88"/>
      <c r="Y983" s="74"/>
      <c r="Z983" s="74"/>
    </row>
    <row r="984">
      <c r="B984" s="74" t="str">
        <f>IFERROR(__xludf.DUMMYFUNCTION("""COMPUTED_VALUE"""),"1982")</f>
        <v>1982</v>
      </c>
      <c r="C984" s="74" t="str">
        <f>IFERROR(__xludf.DUMMYFUNCTION("""COMPUTED_VALUE"""),"75045880345")</f>
        <v>75045880345</v>
      </c>
      <c r="D984" s="74" t="str">
        <f>IFERROR(__xludf.DUMMYFUNCTION("""COMPUTED_VALUE"""),"\\MCA-S\mk\2_BM\0_BMat\08_PYM\Inventario\excel\Imagen de refacciones\Putzmeister\sensor de temperatura  (1)")</f>
        <v>\\MCA-S\mk\2_BM\0_BMat\08_PYM\Inventario\excel\Imagen de refacciones\Putzmeister\sensor de temperatura  (1)</v>
      </c>
      <c r="E984" s="74" t="str">
        <f>IFERROR(__xludf.DUMMYFUNCTION("""COMPUTED_VALUE"""),"TEMPERATURE TRANSMITTER 55 DEGREE")</f>
        <v>TEMPERATURE TRANSMITTER 55 DEGREE</v>
      </c>
      <c r="F984" s="74" t="str">
        <f>IFERROR(__xludf.DUMMYFUNCTION("""COMPUTED_VALUE"""),"SENSOR DE TEMPERATURA 55 GRADOS")</f>
        <v>SENSOR DE TEMPERATURA 55 GRADOS</v>
      </c>
      <c r="G984" s="74"/>
      <c r="H984" s="74"/>
      <c r="I984" s="74" t="str">
        <f>IFERROR(__xludf.DUMMYFUNCTION("""COMPUTED_VALUE"""),"67860005")</f>
        <v>67860005</v>
      </c>
      <c r="J984" s="74"/>
      <c r="K984" s="74" t="str">
        <f>IFERROR(__xludf.DUMMYFUNCTION("""COMPUTED_VALUE"""),"Putzmeister")</f>
        <v>Putzmeister</v>
      </c>
      <c r="L984" s="74" t="str">
        <f>IFERROR(__xludf.DUMMYFUNCTION("""COMPUTED_VALUE"""),"Elementos de medición y control")</f>
        <v>Elementos de medición y control</v>
      </c>
      <c r="M984" s="74" t="str">
        <f>IFERROR(__xludf.DUMMYFUNCTION("""COMPUTED_VALUE"""),"Sin Asignar")</f>
        <v>Sin Asignar</v>
      </c>
      <c r="N984" s="87">
        <f>IFERROR(__xludf.DUMMYFUNCTION("""COMPUTED_VALUE"""),1172.16)</f>
        <v>1172.16</v>
      </c>
      <c r="O984" s="74">
        <f>IFERROR(__xludf.DUMMYFUNCTION("""COMPUTED_VALUE"""),6.0)</f>
        <v>6</v>
      </c>
      <c r="P984" s="74" t="str">
        <f>IFERROR(__xludf.DUMMYFUNCTION("""COMPUTED_VALUE"""),"In stock")</f>
        <v>In stock</v>
      </c>
      <c r="Q984" s="74"/>
      <c r="R984" s="74"/>
      <c r="S984" s="87">
        <f>IFERROR(__xludf.DUMMYFUNCTION("""COMPUTED_VALUE"""),15.0)</f>
        <v>15</v>
      </c>
      <c r="T984" s="87">
        <f>IFERROR(__xludf.DUMMYFUNCTION("""COMPUTED_VALUE"""),66.0)</f>
        <v>66</v>
      </c>
      <c r="U984" s="87">
        <f>IFERROR(__xludf.DUMMYFUNCTION("""COMPUTED_VALUE"""),63.36)</f>
        <v>63.36</v>
      </c>
      <c r="V984" s="87">
        <f>IFERROR(__xludf.DUMMYFUNCTION("""COMPUTED_VALUE"""),18.375)</f>
        <v>18.375</v>
      </c>
      <c r="W984" s="87">
        <f>IFERROR(__xludf.DUMMYFUNCTION("""COMPUTED_VALUE"""),344.53125)</f>
        <v>344.53125</v>
      </c>
      <c r="X984" s="88">
        <f>IFERROR(__xludf.DUMMYFUNCTION("""COMPUTED_VALUE"""),4.224)</f>
        <v>4.224</v>
      </c>
      <c r="Y984" s="74"/>
      <c r="Z984" s="74"/>
    </row>
    <row r="985">
      <c r="B985" s="74" t="str">
        <f>IFERROR(__xludf.DUMMYFUNCTION("""COMPUTED_VALUE"""),"1983")</f>
        <v>1983</v>
      </c>
      <c r="C985" s="74" t="str">
        <f>IFERROR(__xludf.DUMMYFUNCTION("""COMPUTED_VALUE"""),"75045880346")</f>
        <v>75045880346</v>
      </c>
      <c r="D985" s="74" t="str">
        <f>IFERROR(__xludf.DUMMYFUNCTION("""COMPUTED_VALUE"""),"\\MCA-S\mk\2_BM\0_BMat\08_PYM\Inventario\excel\Imagen de refacciones\Putzmeister\sensor de temperatura  (2)")</f>
        <v>\\MCA-S\mk\2_BM\0_BMat\08_PYM\Inventario\excel\Imagen de refacciones\Putzmeister\sensor de temperatura  (2)</v>
      </c>
      <c r="E985" s="74" t="str">
        <f>IFERROR(__xludf.DUMMYFUNCTION("""COMPUTED_VALUE"""),"TEMPERATURE TRANSMITTER 90 DEGREE")</f>
        <v>TEMPERATURE TRANSMITTER 90 DEGREE</v>
      </c>
      <c r="F985" s="74" t="str">
        <f>IFERROR(__xludf.DUMMYFUNCTION("""COMPUTED_VALUE"""),"SENSOR DE TEMPERATURA 90 GRADOS")</f>
        <v>SENSOR DE TEMPERATURA 90 GRADOS</v>
      </c>
      <c r="G985" s="74"/>
      <c r="H985" s="74"/>
      <c r="I985" s="74" t="str">
        <f>IFERROR(__xludf.DUMMYFUNCTION("""COMPUTED_VALUE"""),"283611009")</f>
        <v>283611009</v>
      </c>
      <c r="J985" s="74"/>
      <c r="K985" s="74" t="str">
        <f>IFERROR(__xludf.DUMMYFUNCTION("""COMPUTED_VALUE"""),"Putzmeister")</f>
        <v>Putzmeister</v>
      </c>
      <c r="L985" s="74" t="str">
        <f>IFERROR(__xludf.DUMMYFUNCTION("""COMPUTED_VALUE"""),"Elementos de medición y control")</f>
        <v>Elementos de medición y control</v>
      </c>
      <c r="M985" s="74" t="str">
        <f>IFERROR(__xludf.DUMMYFUNCTION("""COMPUTED_VALUE"""),"Sin Asignar")</f>
        <v>Sin Asignar</v>
      </c>
      <c r="N985" s="87">
        <f>IFERROR(__xludf.DUMMYFUNCTION("""COMPUTED_VALUE"""),1598.3999999999999)</f>
        <v>1598.4</v>
      </c>
      <c r="O985" s="74">
        <f>IFERROR(__xludf.DUMMYFUNCTION("""COMPUTED_VALUE"""),6.0)</f>
        <v>6</v>
      </c>
      <c r="P985" s="74" t="str">
        <f>IFERROR(__xludf.DUMMYFUNCTION("""COMPUTED_VALUE"""),"In stock")</f>
        <v>In stock</v>
      </c>
      <c r="Q985" s="74"/>
      <c r="R985" s="74"/>
      <c r="S985" s="87">
        <f>IFERROR(__xludf.DUMMYFUNCTION("""COMPUTED_VALUE"""),15.0)</f>
        <v>15</v>
      </c>
      <c r="T985" s="87">
        <f>IFERROR(__xludf.DUMMYFUNCTION("""COMPUTED_VALUE"""),90.0)</f>
        <v>90</v>
      </c>
      <c r="U985" s="87">
        <f>IFERROR(__xludf.DUMMYFUNCTION("""COMPUTED_VALUE"""),86.39999999999999)</f>
        <v>86.4</v>
      </c>
      <c r="V985" s="87">
        <f>IFERROR(__xludf.DUMMYFUNCTION("""COMPUTED_VALUE"""),18.375)</f>
        <v>18.375</v>
      </c>
      <c r="W985" s="87">
        <f>IFERROR(__xludf.DUMMYFUNCTION("""COMPUTED_VALUE"""),344.53125)</f>
        <v>344.53125</v>
      </c>
      <c r="X985" s="88">
        <f>IFERROR(__xludf.DUMMYFUNCTION("""COMPUTED_VALUE"""),5.76)</f>
        <v>5.76</v>
      </c>
      <c r="Y985" s="74"/>
      <c r="Z985" s="74"/>
    </row>
    <row r="986">
      <c r="B986" s="74" t="str">
        <f>IFERROR(__xludf.DUMMYFUNCTION("""COMPUTED_VALUE"""),"1984")</f>
        <v>1984</v>
      </c>
      <c r="C986" s="74"/>
      <c r="D986" s="74" t="str">
        <f>IFERROR(__xludf.DUMMYFUNCTION("""COMPUTED_VALUE"""),"\\MCA-S\mk\2_BM\0_BMat\08_PYM\Inventario\excel\Imagen de refacciones\Putzmeister\Set of Seal D80_50 _ Juego de sellos D80_50")</f>
        <v>\\MCA-S\mk\2_BM\0_BMat\08_PYM\Inventario\excel\Imagen de refacciones\Putzmeister\Set of Seal D80_50 _ Juego de sellos D80_50</v>
      </c>
      <c r="E986" s="74"/>
      <c r="F986" s="74" t="str">
        <f>IFERROR(__xludf.DUMMYFUNCTION("""COMPUTED_VALUE"""),"Set of Seal D80/50 / Juego de sellos D80/50")</f>
        <v>Set of Seal D80/50 / Juego de sellos D80/50</v>
      </c>
      <c r="G986" s="74"/>
      <c r="H986" s="74"/>
      <c r="I986" s="74" t="str">
        <f>IFERROR(__xludf.DUMMYFUNCTION("""COMPUTED_VALUE"""),"SOM20397")</f>
        <v>SOM20397</v>
      </c>
      <c r="J986" s="74" t="str">
        <f>IFERROR(__xludf.DUMMYFUNCTION("""COMPUTED_VALUE"""),"64121006")</f>
        <v>64121006</v>
      </c>
      <c r="K986" s="74" t="str">
        <f>IFERROR(__xludf.DUMMYFUNCTION("""COMPUTED_VALUE"""),"Putzmeister")</f>
        <v>Putzmeister</v>
      </c>
      <c r="L986" s="74" t="str">
        <f>IFERROR(__xludf.DUMMYFUNCTION("""COMPUTED_VALUE"""),"Sellos y Retenes")</f>
        <v>Sellos y Retenes</v>
      </c>
      <c r="M986" s="74" t="str">
        <f>IFERROR(__xludf.DUMMYFUNCTION("""COMPUTED_VALUE"""),"Sin Asignar")</f>
        <v>Sin Asignar</v>
      </c>
      <c r="N986" s="87">
        <f>IFERROR(__xludf.DUMMYFUNCTION("""COMPUTED_VALUE"""),0.0)</f>
        <v>0</v>
      </c>
      <c r="O986" s="74"/>
      <c r="P986" s="74" t="str">
        <f>IFERROR(__xludf.DUMMYFUNCTION("""COMPUTED_VALUE"""),"No Available")</f>
        <v>No Available</v>
      </c>
      <c r="Q986" s="74"/>
      <c r="R986" s="74"/>
      <c r="S986" s="87">
        <f>IFERROR(__xludf.DUMMYFUNCTION("""COMPUTED_VALUE"""),0.0)</f>
        <v>0</v>
      </c>
      <c r="T986" s="87">
        <f>IFERROR(__xludf.DUMMYFUNCTION("""COMPUTED_VALUE"""),0.0)</f>
        <v>0</v>
      </c>
      <c r="U986" s="87">
        <f>IFERROR(__xludf.DUMMYFUNCTION("""COMPUTED_VALUE"""),0.0)</f>
        <v>0</v>
      </c>
      <c r="V986" s="87">
        <f>IFERROR(__xludf.DUMMYFUNCTION("""COMPUTED_VALUE"""),0.0)</f>
        <v>0</v>
      </c>
      <c r="W986" s="87">
        <f>IFERROR(__xludf.DUMMYFUNCTION("""COMPUTED_VALUE"""),0.0)</f>
        <v>0</v>
      </c>
      <c r="X986" s="88"/>
      <c r="Y986" s="74"/>
      <c r="Z986" s="74"/>
    </row>
    <row r="987">
      <c r="B987" s="74" t="str">
        <f>IFERROR(__xludf.DUMMYFUNCTION("""COMPUTED_VALUE"""),"1985")</f>
        <v>1985</v>
      </c>
      <c r="C987" s="74"/>
      <c r="D987" s="74" t="str">
        <f>IFERROR(__xludf.DUMMYFUNCTION("""COMPUTED_VALUE"""),"\\MCA-S\mk\2_BM\0_BMat\08_PYM\Inventario\excel\Imagen de refacciones\Putzmeister\Shaft _ Eje")</f>
        <v>\\MCA-S\mk\2_BM\0_BMat\08_PYM\Inventario\excel\Imagen de refacciones\Putzmeister\Shaft _ Eje</v>
      </c>
      <c r="E987" s="74"/>
      <c r="F987" s="74" t="str">
        <f>IFERROR(__xludf.DUMMYFUNCTION("""COMPUTED_VALUE"""),"Shaft / Eje")</f>
        <v>Shaft / Eje</v>
      </c>
      <c r="G987" s="74"/>
      <c r="H987" s="74"/>
      <c r="I987" s="74" t="str">
        <f>IFERROR(__xludf.DUMMYFUNCTION("""COMPUTED_VALUE"""),"SOM20504")</f>
        <v>SOM20504</v>
      </c>
      <c r="J987" s="74" t="str">
        <f>IFERROR(__xludf.DUMMYFUNCTION("""COMPUTED_VALUE"""),"284949000")</f>
        <v>284949000</v>
      </c>
      <c r="K987" s="74" t="str">
        <f>IFERROR(__xludf.DUMMYFUNCTION("""COMPUTED_VALUE"""),"Putzmeister")</f>
        <v>Putzmeister</v>
      </c>
      <c r="L987" s="74" t="str">
        <f>IFERROR(__xludf.DUMMYFUNCTION("""COMPUTED_VALUE"""),"Transmisión Mecánica")</f>
        <v>Transmisión Mecánica</v>
      </c>
      <c r="M987" s="74" t="str">
        <f>IFERROR(__xludf.DUMMYFUNCTION("""COMPUTED_VALUE"""),"Sin Asignar")</f>
        <v>Sin Asignar</v>
      </c>
      <c r="N987" s="87">
        <f>IFERROR(__xludf.DUMMYFUNCTION("""COMPUTED_VALUE"""),0.0)</f>
        <v>0</v>
      </c>
      <c r="O987" s="74"/>
      <c r="P987" s="74" t="str">
        <f>IFERROR(__xludf.DUMMYFUNCTION("""COMPUTED_VALUE"""),"borrar")</f>
        <v>borrar</v>
      </c>
      <c r="Q987" s="74"/>
      <c r="R987" s="74"/>
      <c r="S987" s="87">
        <f>IFERROR(__xludf.DUMMYFUNCTION("""COMPUTED_VALUE"""),0.0)</f>
        <v>0</v>
      </c>
      <c r="T987" s="87">
        <f>IFERROR(__xludf.DUMMYFUNCTION("""COMPUTED_VALUE"""),0.0)</f>
        <v>0</v>
      </c>
      <c r="U987" s="87">
        <f>IFERROR(__xludf.DUMMYFUNCTION("""COMPUTED_VALUE"""),0.0)</f>
        <v>0</v>
      </c>
      <c r="V987" s="87">
        <f>IFERROR(__xludf.DUMMYFUNCTION("""COMPUTED_VALUE"""),0.0)</f>
        <v>0</v>
      </c>
      <c r="W987" s="87">
        <f>IFERROR(__xludf.DUMMYFUNCTION("""COMPUTED_VALUE"""),0.0)</f>
        <v>0</v>
      </c>
      <c r="X987" s="88"/>
      <c r="Y987" s="74"/>
      <c r="Z987" s="74"/>
    </row>
    <row r="988">
      <c r="B988" s="74" t="str">
        <f>IFERROR(__xludf.DUMMYFUNCTION("""COMPUTED_VALUE"""),"1986")</f>
        <v>1986</v>
      </c>
      <c r="C988" s="74"/>
      <c r="D988" s="74" t="str">
        <f>IFERROR(__xludf.DUMMYFUNCTION("""COMPUTED_VALUE"""),"\\MCA-S\mk\2_BM\0_BMat\08_PYM\Inventario\excel\Imagen de refacciones\Putzmeister\Shutoff Monobloc _ Monobloque de Cierre")</f>
        <v>\\MCA-S\mk\2_BM\0_BMat\08_PYM\Inventario\excel\Imagen de refacciones\Putzmeister\Shutoff Monobloc _ Monobloque de Cierre</v>
      </c>
      <c r="E988" s="74"/>
      <c r="F988" s="74" t="str">
        <f>IFERROR(__xludf.DUMMYFUNCTION("""COMPUTED_VALUE"""),"Shutoff Monobloc / Monobloque de Cierre")</f>
        <v>Shutoff Monobloc / Monobloque de Cierre</v>
      </c>
      <c r="G988" s="74"/>
      <c r="H988" s="74"/>
      <c r="I988" s="74" t="str">
        <f>IFERROR(__xludf.DUMMYFUNCTION("""COMPUTED_VALUE"""),"SOM20567")</f>
        <v>SOM20567</v>
      </c>
      <c r="J988" s="74" t="str">
        <f>IFERROR(__xludf.DUMMYFUNCTION("""COMPUTED_VALUE"""),"413422")</f>
        <v>413422</v>
      </c>
      <c r="K988" s="74" t="str">
        <f>IFERROR(__xludf.DUMMYFUNCTION("""COMPUTED_VALUE"""),"Putzmeister")</f>
        <v>Putzmeister</v>
      </c>
      <c r="L988" s="74" t="str">
        <f>IFERROR(__xludf.DUMMYFUNCTION("""COMPUTED_VALUE"""),"Componentes Hidráulicos")</f>
        <v>Componentes Hidráulicos</v>
      </c>
      <c r="M988" s="74" t="str">
        <f>IFERROR(__xludf.DUMMYFUNCTION("""COMPUTED_VALUE"""),"Sin Asignar")</f>
        <v>Sin Asignar</v>
      </c>
      <c r="N988" s="87">
        <f>IFERROR(__xludf.DUMMYFUNCTION("""COMPUTED_VALUE"""),0.0)</f>
        <v>0</v>
      </c>
      <c r="O988" s="74"/>
      <c r="P988" s="74" t="str">
        <f>IFERROR(__xludf.DUMMYFUNCTION("""COMPUTED_VALUE"""),"No Available")</f>
        <v>No Available</v>
      </c>
      <c r="Q988" s="74"/>
      <c r="R988" s="74"/>
      <c r="S988" s="87">
        <f>IFERROR(__xludf.DUMMYFUNCTION("""COMPUTED_VALUE"""),0.0)</f>
        <v>0</v>
      </c>
      <c r="T988" s="87">
        <f>IFERROR(__xludf.DUMMYFUNCTION("""COMPUTED_VALUE"""),0.0)</f>
        <v>0</v>
      </c>
      <c r="U988" s="87">
        <f>IFERROR(__xludf.DUMMYFUNCTION("""COMPUTED_VALUE"""),0.0)</f>
        <v>0</v>
      </c>
      <c r="V988" s="87">
        <f>IFERROR(__xludf.DUMMYFUNCTION("""COMPUTED_VALUE"""),0.0)</f>
        <v>0</v>
      </c>
      <c r="W988" s="87">
        <f>IFERROR(__xludf.DUMMYFUNCTION("""COMPUTED_VALUE"""),0.0)</f>
        <v>0</v>
      </c>
      <c r="X988" s="88"/>
      <c r="Y988" s="74"/>
      <c r="Z988" s="74"/>
    </row>
    <row r="989">
      <c r="B989" s="74" t="str">
        <f>IFERROR(__xludf.DUMMYFUNCTION("""COMPUTED_VALUE"""),"1987")</f>
        <v>1987</v>
      </c>
      <c r="C989" s="74"/>
      <c r="D989" s="74" t="str">
        <f>IFERROR(__xludf.DUMMYFUNCTION("""COMPUTED_VALUE"""),"\\MCA-S\mk\2_BM\0_BMat\08_PYM\Inventario\excel\Imagen de refacciones\Putzmeister\Slewing Unit Gear _ Engranaje de Unidad de Giro")</f>
        <v>\\MCA-S\mk\2_BM\0_BMat\08_PYM\Inventario\excel\Imagen de refacciones\Putzmeister\Slewing Unit Gear _ Engranaje de Unidad de Giro</v>
      </c>
      <c r="E989" s="74"/>
      <c r="F989" s="74" t="str">
        <f>IFERROR(__xludf.DUMMYFUNCTION("""COMPUTED_VALUE"""),"Slewing Unit Gear / Engranaje de Unidad de Giro")</f>
        <v>Slewing Unit Gear / Engranaje de Unidad de Giro</v>
      </c>
      <c r="G989" s="74"/>
      <c r="H989" s="74"/>
      <c r="I989" s="74" t="str">
        <f>IFERROR(__xludf.DUMMYFUNCTION("""COMPUTED_VALUE"""),"SOM20528")</f>
        <v>SOM20528</v>
      </c>
      <c r="J989" s="74" t="str">
        <f>IFERROR(__xludf.DUMMYFUNCTION("""COMPUTED_VALUE"""),"284236001")</f>
        <v>284236001</v>
      </c>
      <c r="K989" s="74" t="str">
        <f>IFERROR(__xludf.DUMMYFUNCTION("""COMPUTED_VALUE"""),"Putzmeister")</f>
        <v>Putzmeister</v>
      </c>
      <c r="L989" s="74" t="str">
        <f>IFERROR(__xludf.DUMMYFUNCTION("""COMPUTED_VALUE"""),"Transmisión Mecánica")</f>
        <v>Transmisión Mecánica</v>
      </c>
      <c r="M989" s="74" t="str">
        <f>IFERROR(__xludf.DUMMYFUNCTION("""COMPUTED_VALUE"""),"Sin Asignar")</f>
        <v>Sin Asignar</v>
      </c>
      <c r="N989" s="87">
        <f>IFERROR(__xludf.DUMMYFUNCTION("""COMPUTED_VALUE"""),0.0)</f>
        <v>0</v>
      </c>
      <c r="O989" s="74"/>
      <c r="P989" s="74" t="str">
        <f>IFERROR(__xludf.DUMMYFUNCTION("""COMPUTED_VALUE"""),"No Available")</f>
        <v>No Available</v>
      </c>
      <c r="Q989" s="74"/>
      <c r="R989" s="74"/>
      <c r="S989" s="87">
        <f>IFERROR(__xludf.DUMMYFUNCTION("""COMPUTED_VALUE"""),0.0)</f>
        <v>0</v>
      </c>
      <c r="T989" s="87">
        <f>IFERROR(__xludf.DUMMYFUNCTION("""COMPUTED_VALUE"""),0.0)</f>
        <v>0</v>
      </c>
      <c r="U989" s="87">
        <f>IFERROR(__xludf.DUMMYFUNCTION("""COMPUTED_VALUE"""),0.0)</f>
        <v>0</v>
      </c>
      <c r="V989" s="87">
        <f>IFERROR(__xludf.DUMMYFUNCTION("""COMPUTED_VALUE"""),0.0)</f>
        <v>0</v>
      </c>
      <c r="W989" s="87">
        <f>IFERROR(__xludf.DUMMYFUNCTION("""COMPUTED_VALUE"""),0.0)</f>
        <v>0</v>
      </c>
      <c r="X989" s="88"/>
      <c r="Y989" s="74"/>
      <c r="Z989" s="74"/>
    </row>
    <row r="990">
      <c r="B990" s="74" t="str">
        <f>IFERROR(__xludf.DUMMYFUNCTION("""COMPUTED_VALUE"""),"1988")</f>
        <v>1988</v>
      </c>
      <c r="C990" s="74"/>
      <c r="D990" s="74" t="str">
        <f>IFERROR(__xludf.DUMMYFUNCTION("""COMPUTED_VALUE"""),"\\MCA-S\mk\2_BM\0_BMat\08_PYM\Inventario\excel\Imagen de refacciones\Putzmeister\Slewing Unit Gear _ Engranaje de Unidad de Giro (1)")</f>
        <v>\\MCA-S\mk\2_BM\0_BMat\08_PYM\Inventario\excel\Imagen de refacciones\Putzmeister\Slewing Unit Gear _ Engranaje de Unidad de Giro (1)</v>
      </c>
      <c r="E990" s="74"/>
      <c r="F990" s="74" t="str">
        <f>IFERROR(__xludf.DUMMYFUNCTION("""COMPUTED_VALUE"""),"Slewing Unit Gear / Engranaje de Unidad de Giro")</f>
        <v>Slewing Unit Gear / Engranaje de Unidad de Giro</v>
      </c>
      <c r="G990" s="74"/>
      <c r="H990" s="74"/>
      <c r="I990" s="74" t="str">
        <f>IFERROR(__xludf.DUMMYFUNCTION("""COMPUTED_VALUE"""),"SOM20531")</f>
        <v>SOM20531</v>
      </c>
      <c r="J990" s="74" t="str">
        <f>IFERROR(__xludf.DUMMYFUNCTION("""COMPUTED_VALUE"""),"536110")</f>
        <v>536110</v>
      </c>
      <c r="K990" s="74" t="str">
        <f>IFERROR(__xludf.DUMMYFUNCTION("""COMPUTED_VALUE"""),"Putzmeister")</f>
        <v>Putzmeister</v>
      </c>
      <c r="L990" s="74" t="str">
        <f>IFERROR(__xludf.DUMMYFUNCTION("""COMPUTED_VALUE"""),"Transmisión Mecánica")</f>
        <v>Transmisión Mecánica</v>
      </c>
      <c r="M990" s="74" t="str">
        <f>IFERROR(__xludf.DUMMYFUNCTION("""COMPUTED_VALUE"""),"Sin Asignar")</f>
        <v>Sin Asignar</v>
      </c>
      <c r="N990" s="87">
        <f>IFERROR(__xludf.DUMMYFUNCTION("""COMPUTED_VALUE"""),0.0)</f>
        <v>0</v>
      </c>
      <c r="O990" s="74"/>
      <c r="P990" s="74" t="str">
        <f>IFERROR(__xludf.DUMMYFUNCTION("""COMPUTED_VALUE"""),"No Available")</f>
        <v>No Available</v>
      </c>
      <c r="Q990" s="74"/>
      <c r="R990" s="74"/>
      <c r="S990" s="87">
        <f>IFERROR(__xludf.DUMMYFUNCTION("""COMPUTED_VALUE"""),0.0)</f>
        <v>0</v>
      </c>
      <c r="T990" s="87">
        <f>IFERROR(__xludf.DUMMYFUNCTION("""COMPUTED_VALUE"""),0.0)</f>
        <v>0</v>
      </c>
      <c r="U990" s="87">
        <f>IFERROR(__xludf.DUMMYFUNCTION("""COMPUTED_VALUE"""),0.0)</f>
        <v>0</v>
      </c>
      <c r="V990" s="87">
        <f>IFERROR(__xludf.DUMMYFUNCTION("""COMPUTED_VALUE"""),0.0)</f>
        <v>0</v>
      </c>
      <c r="W990" s="87">
        <f>IFERROR(__xludf.DUMMYFUNCTION("""COMPUTED_VALUE"""),0.0)</f>
        <v>0</v>
      </c>
      <c r="X990" s="88"/>
      <c r="Y990" s="74"/>
      <c r="Z990" s="74"/>
    </row>
    <row r="991">
      <c r="B991" s="74" t="str">
        <f>IFERROR(__xludf.DUMMYFUNCTION("""COMPUTED_VALUE"""),"1989")</f>
        <v>1989</v>
      </c>
      <c r="C991" s="74"/>
      <c r="D991" s="74" t="str">
        <f>IFERROR(__xludf.DUMMYFUNCTION("""COMPUTED_VALUE"""),"\\MCA-S\mk\2_BM\0_BMat\08_PYM\Inventario\excel\Imagen de refacciones\Putzmeister\Sliding Piece _ Pieza Deslizante")</f>
        <v>\\MCA-S\mk\2_BM\0_BMat\08_PYM\Inventario\excel\Imagen de refacciones\Putzmeister\Sliding Piece _ Pieza Deslizante</v>
      </c>
      <c r="E991" s="74"/>
      <c r="F991" s="74" t="str">
        <f>IFERROR(__xludf.DUMMYFUNCTION("""COMPUTED_VALUE"""),"Sliding Piece / Pieza Deslizante")</f>
        <v>Sliding Piece / Pieza Deslizante</v>
      </c>
      <c r="G991" s="74"/>
      <c r="H991" s="74"/>
      <c r="I991" s="74" t="str">
        <f>IFERROR(__xludf.DUMMYFUNCTION("""COMPUTED_VALUE"""),"SOM20526")</f>
        <v>SOM20526</v>
      </c>
      <c r="J991" s="74" t="str">
        <f>IFERROR(__xludf.DUMMYFUNCTION("""COMPUTED_VALUE"""),"294728004")</f>
        <v>294728004</v>
      </c>
      <c r="K991" s="74" t="str">
        <f>IFERROR(__xludf.DUMMYFUNCTION("""COMPUTED_VALUE"""),"Putzmeister")</f>
        <v>Putzmeister</v>
      </c>
      <c r="L991" s="74" t="str">
        <f>IFERROR(__xludf.DUMMYFUNCTION("""COMPUTED_VALUE"""),"Componentes Estructurales y de Montaje")</f>
        <v>Componentes Estructurales y de Montaje</v>
      </c>
      <c r="M991" s="74" t="str">
        <f>IFERROR(__xludf.DUMMYFUNCTION("""COMPUTED_VALUE"""),"Sin Asignar")</f>
        <v>Sin Asignar</v>
      </c>
      <c r="N991" s="87">
        <f>IFERROR(__xludf.DUMMYFUNCTION("""COMPUTED_VALUE"""),0.0)</f>
        <v>0</v>
      </c>
      <c r="O991" s="74"/>
      <c r="P991" s="74" t="str">
        <f>IFERROR(__xludf.DUMMYFUNCTION("""COMPUTED_VALUE"""),"No Available")</f>
        <v>No Available</v>
      </c>
      <c r="Q991" s="74"/>
      <c r="R991" s="74"/>
      <c r="S991" s="87">
        <f>IFERROR(__xludf.DUMMYFUNCTION("""COMPUTED_VALUE"""),0.0)</f>
        <v>0</v>
      </c>
      <c r="T991" s="87">
        <f>IFERROR(__xludf.DUMMYFUNCTION("""COMPUTED_VALUE"""),0.0)</f>
        <v>0</v>
      </c>
      <c r="U991" s="87">
        <f>IFERROR(__xludf.DUMMYFUNCTION("""COMPUTED_VALUE"""),0.0)</f>
        <v>0</v>
      </c>
      <c r="V991" s="87">
        <f>IFERROR(__xludf.DUMMYFUNCTION("""COMPUTED_VALUE"""),0.0)</f>
        <v>0</v>
      </c>
      <c r="W991" s="87">
        <f>IFERROR(__xludf.DUMMYFUNCTION("""COMPUTED_VALUE"""),0.0)</f>
        <v>0</v>
      </c>
      <c r="X991" s="88"/>
      <c r="Y991" s="74"/>
      <c r="Z991" s="74"/>
    </row>
    <row r="992">
      <c r="B992" s="74" t="str">
        <f>IFERROR(__xludf.DUMMYFUNCTION("""COMPUTED_VALUE"""),"1990")</f>
        <v>1990</v>
      </c>
      <c r="C992" s="74"/>
      <c r="D992" s="74" t="str">
        <f>IFERROR(__xludf.DUMMYFUNCTION("""COMPUTED_VALUE"""),"\\MCA-S\mk\2_BM\0_BMat\08_PYM\Inventario\excel\Imagen de refacciones\Putzmeister\Solenoid Coil _ Bobina de Solenoide")</f>
        <v>\\MCA-S\mk\2_BM\0_BMat\08_PYM\Inventario\excel\Imagen de refacciones\Putzmeister\Solenoid Coil _ Bobina de Solenoide</v>
      </c>
      <c r="E992" s="74"/>
      <c r="F992" s="74" t="str">
        <f>IFERROR(__xludf.DUMMYFUNCTION("""COMPUTED_VALUE"""),"Solenoid Coil / Bobina de Solenoide")</f>
        <v>Solenoid Coil / Bobina de Solenoide</v>
      </c>
      <c r="G992" s="74"/>
      <c r="H992" s="74"/>
      <c r="I992" s="74" t="str">
        <f>IFERROR(__xludf.DUMMYFUNCTION("""COMPUTED_VALUE"""),"SOM20418")</f>
        <v>SOM20418</v>
      </c>
      <c r="J992" s="74" t="str">
        <f>IFERROR(__xludf.DUMMYFUNCTION("""COMPUTED_VALUE"""),"245364006")</f>
        <v>245364006</v>
      </c>
      <c r="K992" s="74" t="str">
        <f>IFERROR(__xludf.DUMMYFUNCTION("""COMPUTED_VALUE"""),"Putzmeister")</f>
        <v>Putzmeister</v>
      </c>
      <c r="L992" s="74" t="str">
        <f>IFERROR(__xludf.DUMMYFUNCTION("""COMPUTED_VALUE"""),"Componentes Eléctricos")</f>
        <v>Componentes Eléctricos</v>
      </c>
      <c r="M992" s="74" t="str">
        <f>IFERROR(__xludf.DUMMYFUNCTION("""COMPUTED_VALUE"""),"Sin Asignar")</f>
        <v>Sin Asignar</v>
      </c>
      <c r="N992" s="87">
        <f>IFERROR(__xludf.DUMMYFUNCTION("""COMPUTED_VALUE"""),0.0)</f>
        <v>0</v>
      </c>
      <c r="O992" s="74"/>
      <c r="P992" s="74" t="str">
        <f>IFERROR(__xludf.DUMMYFUNCTION("""COMPUTED_VALUE"""),"No Available")</f>
        <v>No Available</v>
      </c>
      <c r="Q992" s="74"/>
      <c r="R992" s="74"/>
      <c r="S992" s="87">
        <f>IFERROR(__xludf.DUMMYFUNCTION("""COMPUTED_VALUE"""),0.0)</f>
        <v>0</v>
      </c>
      <c r="T992" s="87">
        <f>IFERROR(__xludf.DUMMYFUNCTION("""COMPUTED_VALUE"""),0.0)</f>
        <v>0</v>
      </c>
      <c r="U992" s="87">
        <f>IFERROR(__xludf.DUMMYFUNCTION("""COMPUTED_VALUE"""),0.0)</f>
        <v>0</v>
      </c>
      <c r="V992" s="87">
        <f>IFERROR(__xludf.DUMMYFUNCTION("""COMPUTED_VALUE"""),0.0)</f>
        <v>0</v>
      </c>
      <c r="W992" s="87">
        <f>IFERROR(__xludf.DUMMYFUNCTION("""COMPUTED_VALUE"""),0.0)</f>
        <v>0</v>
      </c>
      <c r="X992" s="88"/>
      <c r="Y992" s="74"/>
      <c r="Z992" s="74"/>
    </row>
    <row r="993">
      <c r="B993" s="74" t="str">
        <f>IFERROR(__xludf.DUMMYFUNCTION("""COMPUTED_VALUE"""),"1991")</f>
        <v>1991</v>
      </c>
      <c r="C993" s="74"/>
      <c r="D993" s="74" t="str">
        <f>IFERROR(__xludf.DUMMYFUNCTION("""COMPUTED_VALUE"""),"\\MCA-S\mk\2_BM\0_BMat\08_PYM\Inventario\excel\Imagen de refacciones\Putzmeister\Solenoid Coil _ Bobina de Solenoide (1)")</f>
        <v>\\MCA-S\mk\2_BM\0_BMat\08_PYM\Inventario\excel\Imagen de refacciones\Putzmeister\Solenoid Coil _ Bobina de Solenoide (1)</v>
      </c>
      <c r="E993" s="74"/>
      <c r="F993" s="74" t="str">
        <f>IFERROR(__xludf.DUMMYFUNCTION("""COMPUTED_VALUE"""),"Solenoid Coil / Bobina de Solenoide")</f>
        <v>Solenoid Coil / Bobina de Solenoide</v>
      </c>
      <c r="G993" s="74"/>
      <c r="H993" s="74"/>
      <c r="I993" s="74" t="str">
        <f>IFERROR(__xludf.DUMMYFUNCTION("""COMPUTED_VALUE"""),"SOM20443")</f>
        <v>SOM20443</v>
      </c>
      <c r="J993" s="74" t="str">
        <f>IFERROR(__xludf.DUMMYFUNCTION("""COMPUTED_VALUE"""),"267377000")</f>
        <v>267377000</v>
      </c>
      <c r="K993" s="74" t="str">
        <f>IFERROR(__xludf.DUMMYFUNCTION("""COMPUTED_VALUE"""),"Putzmeister")</f>
        <v>Putzmeister</v>
      </c>
      <c r="L993" s="74" t="str">
        <f>IFERROR(__xludf.DUMMYFUNCTION("""COMPUTED_VALUE"""),"Componentes Eléctricos")</f>
        <v>Componentes Eléctricos</v>
      </c>
      <c r="M993" s="74" t="str">
        <f>IFERROR(__xludf.DUMMYFUNCTION("""COMPUTED_VALUE"""),"Sin Asignar")</f>
        <v>Sin Asignar</v>
      </c>
      <c r="N993" s="87">
        <f>IFERROR(__xludf.DUMMYFUNCTION("""COMPUTED_VALUE"""),0.0)</f>
        <v>0</v>
      </c>
      <c r="O993" s="74"/>
      <c r="P993" s="74" t="str">
        <f>IFERROR(__xludf.DUMMYFUNCTION("""COMPUTED_VALUE"""),"borrar")</f>
        <v>borrar</v>
      </c>
      <c r="Q993" s="74"/>
      <c r="R993" s="74"/>
      <c r="S993" s="87">
        <f>IFERROR(__xludf.DUMMYFUNCTION("""COMPUTED_VALUE"""),0.0)</f>
        <v>0</v>
      </c>
      <c r="T993" s="87">
        <f>IFERROR(__xludf.DUMMYFUNCTION("""COMPUTED_VALUE"""),0.0)</f>
        <v>0</v>
      </c>
      <c r="U993" s="87">
        <f>IFERROR(__xludf.DUMMYFUNCTION("""COMPUTED_VALUE"""),0.0)</f>
        <v>0</v>
      </c>
      <c r="V993" s="87">
        <f>IFERROR(__xludf.DUMMYFUNCTION("""COMPUTED_VALUE"""),0.0)</f>
        <v>0</v>
      </c>
      <c r="W993" s="87">
        <f>IFERROR(__xludf.DUMMYFUNCTION("""COMPUTED_VALUE"""),0.0)</f>
        <v>0</v>
      </c>
      <c r="X993" s="88"/>
      <c r="Y993" s="74"/>
      <c r="Z993" s="74"/>
    </row>
    <row r="994">
      <c r="B994" s="74" t="str">
        <f>IFERROR(__xludf.DUMMYFUNCTION("""COMPUTED_VALUE"""),"1992")</f>
        <v>1992</v>
      </c>
      <c r="C994" s="74" t="str">
        <f>IFERROR(__xludf.DUMMYFUNCTION("""COMPUTED_VALUE"""),"75045880347")</f>
        <v>75045880347</v>
      </c>
      <c r="D994" s="74" t="str">
        <f>IFERROR(__xludf.DUMMYFUNCTION("""COMPUTED_VALUE"""),"\\MCA-S\mk\2_BM\0_BMat\08_PYM\Inventario\excel\Imagen de refacciones\Putzmeister\Soporte p_estabilizador de 24_x24_x2_")</f>
        <v>\\MCA-S\mk\2_BM\0_BMat\08_PYM\Inventario\excel\Imagen de refacciones\Putzmeister\Soporte p_estabilizador de 24_x24_x2_</v>
      </c>
      <c r="E994" s="74" t="str">
        <f>IFERROR(__xludf.DUMMYFUNCTION("""COMPUTED_VALUE"""),"OUTRIGGER PLATE 24x24x2"" PLASTIC")</f>
        <v>OUTRIGGER PLATE 24x24x2" PLASTIC</v>
      </c>
      <c r="F994" s="74" t="str">
        <f>IFERROR(__xludf.DUMMYFUNCTION("""COMPUTED_VALUE"""),"SOPORTE PARA ESTABILIZADOR 24x24x2"" PLASTICO")</f>
        <v>SOPORTE PARA ESTABILIZADOR 24x24x2" PLASTICO</v>
      </c>
      <c r="G994" s="74"/>
      <c r="H994" s="74"/>
      <c r="I994" s="74" t="str">
        <f>IFERROR(__xludf.DUMMYFUNCTION("""COMPUTED_VALUE"""),"296705009")</f>
        <v>296705009</v>
      </c>
      <c r="J994" s="74"/>
      <c r="K994" s="74" t="str">
        <f>IFERROR(__xludf.DUMMYFUNCTION("""COMPUTED_VALUE"""),"Otro")</f>
        <v>Otro</v>
      </c>
      <c r="L994" s="74"/>
      <c r="M994" s="74" t="str">
        <f>IFERROR(__xludf.DUMMYFUNCTION("""COMPUTED_VALUE"""),"SIN ASIGNAR")</f>
        <v>SIN ASIGNAR</v>
      </c>
      <c r="N994" s="87">
        <f>IFERROR(__xludf.DUMMYFUNCTION("""COMPUTED_VALUE"""),2468.64)</f>
        <v>2468.64</v>
      </c>
      <c r="O994" s="74">
        <f>IFERROR(__xludf.DUMMYFUNCTION("""COMPUTED_VALUE"""),6.0)</f>
        <v>6</v>
      </c>
      <c r="P994" s="74" t="str">
        <f>IFERROR(__xludf.DUMMYFUNCTION("""COMPUTED_VALUE"""),"In stock")</f>
        <v>In stock</v>
      </c>
      <c r="Q994" s="74"/>
      <c r="R994" s="74"/>
      <c r="S994" s="87">
        <f>IFERROR(__xludf.DUMMYFUNCTION("""COMPUTED_VALUE"""),33.0)</f>
        <v>33</v>
      </c>
      <c r="T994" s="87">
        <f>IFERROR(__xludf.DUMMYFUNCTION("""COMPUTED_VALUE"""),139.0)</f>
        <v>139</v>
      </c>
      <c r="U994" s="87">
        <f>IFERROR(__xludf.DUMMYFUNCTION("""COMPUTED_VALUE"""),133.44)</f>
        <v>133.44</v>
      </c>
      <c r="V994" s="87">
        <f>IFERROR(__xludf.DUMMYFUNCTION("""COMPUTED_VALUE"""),40.425)</f>
        <v>40.425</v>
      </c>
      <c r="W994" s="87">
        <f>IFERROR(__xludf.DUMMYFUNCTION("""COMPUTED_VALUE"""),757.96875)</f>
        <v>757.96875</v>
      </c>
      <c r="X994" s="88">
        <f>IFERROR(__xludf.DUMMYFUNCTION("""COMPUTED_VALUE"""),4.043636363636364)</f>
        <v>4.043636364</v>
      </c>
      <c r="Y994" s="74"/>
      <c r="Z994" s="74"/>
    </row>
    <row r="995">
      <c r="B995" s="74" t="str">
        <f>IFERROR(__xludf.DUMMYFUNCTION("""COMPUTED_VALUE"""),"1993")</f>
        <v>1993</v>
      </c>
      <c r="C995" s="74"/>
      <c r="D995" s="74" t="str">
        <f>IFERROR(__xludf.DUMMYFUNCTION("""COMPUTED_VALUE"""),"\\MCA-S\mk\2_BM\0_BMat\08_PYM\Inventario\excel\Imagen de refacciones\Putzmeister\Support Flange (Ergonomic) _ Brida de Soporte (Ergonómica)")</f>
        <v>\\MCA-S\mk\2_BM\0_BMat\08_PYM\Inventario\excel\Imagen de refacciones\Putzmeister\Support Flange (Ergonomic) _ Brida de Soporte (Ergonómica)</v>
      </c>
      <c r="E995" s="74"/>
      <c r="F995" s="74" t="str">
        <f>IFERROR(__xludf.DUMMYFUNCTION("""COMPUTED_VALUE"""),"Support Flange (Ergonomic) / Brida de Soporte (Ergonómica)")</f>
        <v>Support Flange (Ergonomic) / Brida de Soporte (Ergonómica)</v>
      </c>
      <c r="G995" s="74"/>
      <c r="H995" s="74"/>
      <c r="I995" s="74" t="str">
        <f>IFERROR(__xludf.DUMMYFUNCTION("""COMPUTED_VALUE"""),"SOM20506")</f>
        <v>SOM20506</v>
      </c>
      <c r="J995" s="74" t="str">
        <f>IFERROR(__xludf.DUMMYFUNCTION("""COMPUTED_VALUE"""),"519517")</f>
        <v>519517</v>
      </c>
      <c r="K995" s="74" t="str">
        <f>IFERROR(__xludf.DUMMYFUNCTION("""COMPUTED_VALUE"""),"Putzmeister")</f>
        <v>Putzmeister</v>
      </c>
      <c r="L995" s="74" t="str">
        <f>IFERROR(__xludf.DUMMYFUNCTION("""COMPUTED_VALUE"""),"Componentes Estructurales y de Montaje")</f>
        <v>Componentes Estructurales y de Montaje</v>
      </c>
      <c r="M995" s="74" t="str">
        <f>IFERROR(__xludf.DUMMYFUNCTION("""COMPUTED_VALUE"""),"Sin Asignar")</f>
        <v>Sin Asignar</v>
      </c>
      <c r="N995" s="87">
        <f>IFERROR(__xludf.DUMMYFUNCTION("""COMPUTED_VALUE"""),0.0)</f>
        <v>0</v>
      </c>
      <c r="O995" s="74"/>
      <c r="P995" s="74" t="str">
        <f>IFERROR(__xludf.DUMMYFUNCTION("""COMPUTED_VALUE"""),"No Available")</f>
        <v>No Available</v>
      </c>
      <c r="Q995" s="74"/>
      <c r="R995" s="74"/>
      <c r="S995" s="87">
        <f>IFERROR(__xludf.DUMMYFUNCTION("""COMPUTED_VALUE"""),0.0)</f>
        <v>0</v>
      </c>
      <c r="T995" s="87">
        <f>IFERROR(__xludf.DUMMYFUNCTION("""COMPUTED_VALUE"""),0.0)</f>
        <v>0</v>
      </c>
      <c r="U995" s="87">
        <f>IFERROR(__xludf.DUMMYFUNCTION("""COMPUTED_VALUE"""),0.0)</f>
        <v>0</v>
      </c>
      <c r="V995" s="87">
        <f>IFERROR(__xludf.DUMMYFUNCTION("""COMPUTED_VALUE"""),0.0)</f>
        <v>0</v>
      </c>
      <c r="W995" s="87">
        <f>IFERROR(__xludf.DUMMYFUNCTION("""COMPUTED_VALUE"""),0.0)</f>
        <v>0</v>
      </c>
      <c r="X995" s="88"/>
      <c r="Y995" s="74"/>
      <c r="Z995" s="74"/>
    </row>
    <row r="996">
      <c r="B996" s="74" t="str">
        <f>IFERROR(__xludf.DUMMYFUNCTION("""COMPUTED_VALUE"""),"1994")</f>
        <v>1994</v>
      </c>
      <c r="C996" s="74"/>
      <c r="D996" s="74" t="str">
        <f>IFERROR(__xludf.DUMMYFUNCTION("""COMPUTED_VALUE"""),"\\MCA-S\mk\2_BM\0_BMat\08_PYM\Inventario\excel\Imagen de refacciones\Putzmeister\Swingring Lever Ø90 (Ergonomic) _ Palanca de Anillo Giratorio Ø90 (Ergonómico)")</f>
        <v>\\MCA-S\mk\2_BM\0_BMat\08_PYM\Inventario\excel\Imagen de refacciones\Putzmeister\Swingring Lever Ø90 (Ergonomic) _ Palanca de Anillo Giratorio Ø90 (Ergonómico)</v>
      </c>
      <c r="E996" s="74"/>
      <c r="F996" s="74" t="str">
        <f>IFERROR(__xludf.DUMMYFUNCTION("""COMPUTED_VALUE"""),"Swingring Lever Ø90 (Ergonomic) / Palanca de Anillo Giratorio Ø90 (Ergonómico)")</f>
        <v>Swingring Lever Ø90 (Ergonomic) / Palanca de Anillo Giratorio Ø90 (Ergonómico)</v>
      </c>
      <c r="G996" s="74"/>
      <c r="H996" s="74"/>
      <c r="I996" s="74" t="str">
        <f>IFERROR(__xludf.DUMMYFUNCTION("""COMPUTED_VALUE"""),"SOM20510")</f>
        <v>SOM20510</v>
      </c>
      <c r="J996" s="74" t="str">
        <f>IFERROR(__xludf.DUMMYFUNCTION("""COMPUTED_VALUE"""),"458703")</f>
        <v>458703</v>
      </c>
      <c r="K996" s="74" t="str">
        <f>IFERROR(__xludf.DUMMYFUNCTION("""COMPUTED_VALUE"""),"Putzmeister")</f>
        <v>Putzmeister</v>
      </c>
      <c r="L996" s="74" t="str">
        <f>IFERROR(__xludf.DUMMYFUNCTION("""COMPUTED_VALUE"""),"Transmisión Mecánica")</f>
        <v>Transmisión Mecánica</v>
      </c>
      <c r="M996" s="74" t="str">
        <f>IFERROR(__xludf.DUMMYFUNCTION("""COMPUTED_VALUE"""),"Sin Asignar")</f>
        <v>Sin Asignar</v>
      </c>
      <c r="N996" s="87">
        <f>IFERROR(__xludf.DUMMYFUNCTION("""COMPUTED_VALUE"""),0.0)</f>
        <v>0</v>
      </c>
      <c r="O996" s="74"/>
      <c r="P996" s="74" t="str">
        <f>IFERROR(__xludf.DUMMYFUNCTION("""COMPUTED_VALUE"""),"No Available")</f>
        <v>No Available</v>
      </c>
      <c r="Q996" s="74"/>
      <c r="R996" s="74"/>
      <c r="S996" s="87">
        <f>IFERROR(__xludf.DUMMYFUNCTION("""COMPUTED_VALUE"""),0.0)</f>
        <v>0</v>
      </c>
      <c r="T996" s="87">
        <f>IFERROR(__xludf.DUMMYFUNCTION("""COMPUTED_VALUE"""),0.0)</f>
        <v>0</v>
      </c>
      <c r="U996" s="87">
        <f>IFERROR(__xludf.DUMMYFUNCTION("""COMPUTED_VALUE"""),0.0)</f>
        <v>0</v>
      </c>
      <c r="V996" s="87">
        <f>IFERROR(__xludf.DUMMYFUNCTION("""COMPUTED_VALUE"""),0.0)</f>
        <v>0</v>
      </c>
      <c r="W996" s="87">
        <f>IFERROR(__xludf.DUMMYFUNCTION("""COMPUTED_VALUE"""),0.0)</f>
        <v>0</v>
      </c>
      <c r="X996" s="88"/>
      <c r="Y996" s="74"/>
      <c r="Z996" s="74"/>
    </row>
    <row r="997">
      <c r="B997" s="74" t="str">
        <f>IFERROR(__xludf.DUMMYFUNCTION("""COMPUTED_VALUE"""),"1995")</f>
        <v>1995</v>
      </c>
      <c r="C997" s="74"/>
      <c r="D997" s="74" t="str">
        <f>IFERROR(__xludf.DUMMYFUNCTION("""COMPUTED_VALUE"""),"\\MCA-S\mk\2_BM\0_BMat\08_PYM\Inventario\excel\Imagen de refacciones\Putzmeister\Switch Remote Sentence _ Interruptor de Sentencia Remoto")</f>
        <v>\\MCA-S\mk\2_BM\0_BMat\08_PYM\Inventario\excel\Imagen de refacciones\Putzmeister\Switch Remote Sentence _ Interruptor de Sentencia Remoto</v>
      </c>
      <c r="E997" s="74"/>
      <c r="F997" s="74" t="str">
        <f>IFERROR(__xludf.DUMMYFUNCTION("""COMPUTED_VALUE"""),"Switch Remote Sentence / Interruptor de Sentencia Remoto")</f>
        <v>Switch Remote Sentence / Interruptor de Sentencia Remoto</v>
      </c>
      <c r="G997" s="74"/>
      <c r="H997" s="74"/>
      <c r="I997" s="74" t="str">
        <f>IFERROR(__xludf.DUMMYFUNCTION("""COMPUTED_VALUE"""),"SOM20455")</f>
        <v>SOM20455</v>
      </c>
      <c r="J997" s="74" t="str">
        <f>IFERROR(__xludf.DUMMYFUNCTION("""COMPUTED_VALUE"""),"487160")</f>
        <v>487160</v>
      </c>
      <c r="K997" s="74" t="str">
        <f>IFERROR(__xludf.DUMMYFUNCTION("""COMPUTED_VALUE"""),"Putzmeister")</f>
        <v>Putzmeister</v>
      </c>
      <c r="L997" s="74" t="str">
        <f>IFERROR(__xludf.DUMMYFUNCTION("""COMPUTED_VALUE"""),"Componentes Eléctricos")</f>
        <v>Componentes Eléctricos</v>
      </c>
      <c r="M997" s="74" t="str">
        <f>IFERROR(__xludf.DUMMYFUNCTION("""COMPUTED_VALUE"""),"Sin Asignar")</f>
        <v>Sin Asignar</v>
      </c>
      <c r="N997" s="87">
        <f>IFERROR(__xludf.DUMMYFUNCTION("""COMPUTED_VALUE"""),0.0)</f>
        <v>0</v>
      </c>
      <c r="O997" s="74"/>
      <c r="P997" s="74" t="str">
        <f>IFERROR(__xludf.DUMMYFUNCTION("""COMPUTED_VALUE"""),"No Available")</f>
        <v>No Available</v>
      </c>
      <c r="Q997" s="74"/>
      <c r="R997" s="74"/>
      <c r="S997" s="87">
        <f>IFERROR(__xludf.DUMMYFUNCTION("""COMPUTED_VALUE"""),0.0)</f>
        <v>0</v>
      </c>
      <c r="T997" s="87">
        <f>IFERROR(__xludf.DUMMYFUNCTION("""COMPUTED_VALUE"""),0.0)</f>
        <v>0</v>
      </c>
      <c r="U997" s="87">
        <f>IFERROR(__xludf.DUMMYFUNCTION("""COMPUTED_VALUE"""),0.0)</f>
        <v>0</v>
      </c>
      <c r="V997" s="87">
        <f>IFERROR(__xludf.DUMMYFUNCTION("""COMPUTED_VALUE"""),0.0)</f>
        <v>0</v>
      </c>
      <c r="W997" s="87">
        <f>IFERROR(__xludf.DUMMYFUNCTION("""COMPUTED_VALUE"""),0.0)</f>
        <v>0</v>
      </c>
      <c r="X997" s="88"/>
      <c r="Y997" s="74"/>
      <c r="Z997" s="74"/>
    </row>
    <row r="998">
      <c r="B998" s="74" t="str">
        <f>IFERROR(__xludf.DUMMYFUNCTION("""COMPUTED_VALUE"""),"1996")</f>
        <v>1996</v>
      </c>
      <c r="C998" s="74"/>
      <c r="D998" s="74" t="str">
        <f>IFERROR(__xludf.DUMMYFUNCTION("""COMPUTED_VALUE"""),"\\MCA-S\mk\2_BM\0_BMat\08_PYM\Inventario\excel\Imagen de refacciones\Putzmeister\Telethermometer 24V _ Teletermómetro 24V")</f>
        <v>\\MCA-S\mk\2_BM\0_BMat\08_PYM\Inventario\excel\Imagen de refacciones\Putzmeister\Telethermometer 24V _ Teletermómetro 24V</v>
      </c>
      <c r="E998" s="74"/>
      <c r="F998" s="74" t="str">
        <f>IFERROR(__xludf.DUMMYFUNCTION("""COMPUTED_VALUE"""),"Telethermometer 24V / Teletermómetro 24V")</f>
        <v>Telethermometer 24V / Teletermómetro 24V</v>
      </c>
      <c r="G998" s="74"/>
      <c r="H998" s="74"/>
      <c r="I998" s="74" t="str">
        <f>IFERROR(__xludf.DUMMYFUNCTION("""COMPUTED_VALUE"""),"SOM20568")</f>
        <v>SOM20568</v>
      </c>
      <c r="J998" s="74" t="str">
        <f>IFERROR(__xludf.DUMMYFUNCTION("""COMPUTED_VALUE"""),"26033006")</f>
        <v>26033006</v>
      </c>
      <c r="K998" s="74" t="str">
        <f>IFERROR(__xludf.DUMMYFUNCTION("""COMPUTED_VALUE"""),"Putzmeister")</f>
        <v>Putzmeister</v>
      </c>
      <c r="L998" s="74" t="str">
        <f>IFERROR(__xludf.DUMMYFUNCTION("""COMPUTED_VALUE"""),"Elementos de Medición y Control")</f>
        <v>Elementos de Medición y Control</v>
      </c>
      <c r="M998" s="74" t="str">
        <f>IFERROR(__xludf.DUMMYFUNCTION("""COMPUTED_VALUE"""),"Sin Asignar")</f>
        <v>Sin Asignar</v>
      </c>
      <c r="N998" s="87">
        <f>IFERROR(__xludf.DUMMYFUNCTION("""COMPUTED_VALUE"""),0.0)</f>
        <v>0</v>
      </c>
      <c r="O998" s="74"/>
      <c r="P998" s="74" t="str">
        <f>IFERROR(__xludf.DUMMYFUNCTION("""COMPUTED_VALUE"""),"No Available")</f>
        <v>No Available</v>
      </c>
      <c r="Q998" s="74"/>
      <c r="R998" s="74"/>
      <c r="S998" s="87">
        <f>IFERROR(__xludf.DUMMYFUNCTION("""COMPUTED_VALUE"""),0.0)</f>
        <v>0</v>
      </c>
      <c r="T998" s="87">
        <f>IFERROR(__xludf.DUMMYFUNCTION("""COMPUTED_VALUE"""),0.0)</f>
        <v>0</v>
      </c>
      <c r="U998" s="87">
        <f>IFERROR(__xludf.DUMMYFUNCTION("""COMPUTED_VALUE"""),0.0)</f>
        <v>0</v>
      </c>
      <c r="V998" s="87">
        <f>IFERROR(__xludf.DUMMYFUNCTION("""COMPUTED_VALUE"""),0.0)</f>
        <v>0</v>
      </c>
      <c r="W998" s="87">
        <f>IFERROR(__xludf.DUMMYFUNCTION("""COMPUTED_VALUE"""),0.0)</f>
        <v>0</v>
      </c>
      <c r="X998" s="88"/>
      <c r="Y998" s="74"/>
      <c r="Z998" s="74"/>
    </row>
    <row r="999">
      <c r="B999" s="74" t="str">
        <f>IFERROR(__xludf.DUMMYFUNCTION("""COMPUTED_VALUE"""),"1997")</f>
        <v>1997</v>
      </c>
      <c r="C999" s="74"/>
      <c r="D999" s="74" t="str">
        <f>IFERROR(__xludf.DUMMYFUNCTION("""COMPUTED_VALUE"""),"\\MCA-S\mk\2_BM\0_BMat\08_PYM\Inventario\excel\Imagen de refacciones\Putzmeister\Toothed Piece _ Pieza Dentada")</f>
        <v>\\MCA-S\mk\2_BM\0_BMat\08_PYM\Inventario\excel\Imagen de refacciones\Putzmeister\Toothed Piece _ Pieza Dentada</v>
      </c>
      <c r="E999" s="74"/>
      <c r="F999" s="74" t="str">
        <f>IFERROR(__xludf.DUMMYFUNCTION("""COMPUTED_VALUE"""),"Toothed Piece / Pieza Dentada")</f>
        <v>Toothed Piece / Pieza Dentada</v>
      </c>
      <c r="G999" s="74"/>
      <c r="H999" s="74"/>
      <c r="I999" s="74" t="str">
        <f>IFERROR(__xludf.DUMMYFUNCTION("""COMPUTED_VALUE"""),"SOM20525")</f>
        <v>SOM20525</v>
      </c>
      <c r="J999" s="74" t="str">
        <f>IFERROR(__xludf.DUMMYFUNCTION("""COMPUTED_VALUE"""),"294727005")</f>
        <v>294727005</v>
      </c>
      <c r="K999" s="74" t="str">
        <f>IFERROR(__xludf.DUMMYFUNCTION("""COMPUTED_VALUE"""),"Putzmeister")</f>
        <v>Putzmeister</v>
      </c>
      <c r="L999" s="74" t="str">
        <f>IFERROR(__xludf.DUMMYFUNCTION("""COMPUTED_VALUE"""),"Componentes Estructurales y de Montaje")</f>
        <v>Componentes Estructurales y de Montaje</v>
      </c>
      <c r="M999" s="74" t="str">
        <f>IFERROR(__xludf.DUMMYFUNCTION("""COMPUTED_VALUE"""),"Sin Asignar")</f>
        <v>Sin Asignar</v>
      </c>
      <c r="N999" s="87">
        <f>IFERROR(__xludf.DUMMYFUNCTION("""COMPUTED_VALUE"""),0.0)</f>
        <v>0</v>
      </c>
      <c r="O999" s="74"/>
      <c r="P999" s="74" t="str">
        <f>IFERROR(__xludf.DUMMYFUNCTION("""COMPUTED_VALUE"""),"No Available")</f>
        <v>No Available</v>
      </c>
      <c r="Q999" s="74"/>
      <c r="R999" s="74"/>
      <c r="S999" s="87">
        <f>IFERROR(__xludf.DUMMYFUNCTION("""COMPUTED_VALUE"""),0.0)</f>
        <v>0</v>
      </c>
      <c r="T999" s="87">
        <f>IFERROR(__xludf.DUMMYFUNCTION("""COMPUTED_VALUE"""),0.0)</f>
        <v>0</v>
      </c>
      <c r="U999" s="87">
        <f>IFERROR(__xludf.DUMMYFUNCTION("""COMPUTED_VALUE"""),0.0)</f>
        <v>0</v>
      </c>
      <c r="V999" s="87">
        <f>IFERROR(__xludf.DUMMYFUNCTION("""COMPUTED_VALUE"""),0.0)</f>
        <v>0</v>
      </c>
      <c r="W999" s="87">
        <f>IFERROR(__xludf.DUMMYFUNCTION("""COMPUTED_VALUE"""),0.0)</f>
        <v>0</v>
      </c>
      <c r="X999" s="88"/>
      <c r="Y999" s="74"/>
      <c r="Z999" s="74"/>
    </row>
    <row r="1000">
      <c r="B1000" s="74" t="str">
        <f>IFERROR(__xludf.DUMMYFUNCTION("""COMPUTED_VALUE"""),"1998")</f>
        <v>1998</v>
      </c>
      <c r="C1000" s="74"/>
      <c r="D1000" s="74" t="str">
        <f>IFERROR(__xludf.DUMMYFUNCTION("""COMPUTED_VALUE"""),"\\MCA-S\mk\2_BM\0_BMat\08_PYM\Inventario\excel\Imagen de refacciones\Putzmeister\Valve Plate DPV25 _ Placa de Válvulas DPV25")</f>
        <v>\\MCA-S\mk\2_BM\0_BMat\08_PYM\Inventario\excel\Imagen de refacciones\Putzmeister\Valve Plate DPV25 _ Placa de Válvulas DPV25</v>
      </c>
      <c r="E1000" s="74"/>
      <c r="F1000" s="74" t="str">
        <f>IFERROR(__xludf.DUMMYFUNCTION("""COMPUTED_VALUE"""),"Valve Plate DPV25 / Placa de Válvulas DPV25")</f>
        <v>Valve Plate DPV25 / Placa de Válvulas DPV25</v>
      </c>
      <c r="G1000" s="74"/>
      <c r="H1000" s="74"/>
      <c r="I1000" s="74" t="str">
        <f>IFERROR(__xludf.DUMMYFUNCTION("""COMPUTED_VALUE"""),"SOM20558")</f>
        <v>SOM20558</v>
      </c>
      <c r="J1000" s="74" t="str">
        <f>IFERROR(__xludf.DUMMYFUNCTION("""COMPUTED_VALUE"""),"429549")</f>
        <v>429549</v>
      </c>
      <c r="K1000" s="74" t="str">
        <f>IFERROR(__xludf.DUMMYFUNCTION("""COMPUTED_VALUE"""),"Putzmeister")</f>
        <v>Putzmeister</v>
      </c>
      <c r="L1000" s="74" t="str">
        <f>IFERROR(__xludf.DUMMYFUNCTION("""COMPUTED_VALUE"""),"Sistema de Bombeo de Concreto")</f>
        <v>Sistema de Bombeo de Concreto</v>
      </c>
      <c r="M1000" s="74" t="str">
        <f>IFERROR(__xludf.DUMMYFUNCTION("""COMPUTED_VALUE"""),"Sin Asignar")</f>
        <v>Sin Asignar</v>
      </c>
      <c r="N1000" s="87">
        <f>IFERROR(__xludf.DUMMYFUNCTION("""COMPUTED_VALUE"""),0.0)</f>
        <v>0</v>
      </c>
      <c r="O1000" s="74"/>
      <c r="P1000" s="74" t="str">
        <f>IFERROR(__xludf.DUMMYFUNCTION("""COMPUTED_VALUE"""),"No Available")</f>
        <v>No Available</v>
      </c>
      <c r="Q1000" s="74"/>
      <c r="R1000" s="74"/>
      <c r="S1000" s="87">
        <f>IFERROR(__xludf.DUMMYFUNCTION("""COMPUTED_VALUE"""),0.0)</f>
        <v>0</v>
      </c>
      <c r="T1000" s="87">
        <f>IFERROR(__xludf.DUMMYFUNCTION("""COMPUTED_VALUE"""),0.0)</f>
        <v>0</v>
      </c>
      <c r="U1000" s="87">
        <f>IFERROR(__xludf.DUMMYFUNCTION("""COMPUTED_VALUE"""),0.0)</f>
        <v>0</v>
      </c>
      <c r="V1000" s="87">
        <f>IFERROR(__xludf.DUMMYFUNCTION("""COMPUTED_VALUE"""),0.0)</f>
        <v>0</v>
      </c>
      <c r="W1000" s="87">
        <f>IFERROR(__xludf.DUMMYFUNCTION("""COMPUTED_VALUE"""),0.0)</f>
        <v>0</v>
      </c>
      <c r="X1000" s="88"/>
      <c r="Y1000" s="74"/>
      <c r="Z1000" s="74"/>
    </row>
    <row r="1001">
      <c r="B1001" s="74" t="str">
        <f>IFERROR(__xludf.DUMMYFUNCTION("""COMPUTED_VALUE"""),"1999")</f>
        <v>1999</v>
      </c>
      <c r="C1001" s="74"/>
      <c r="D1001" s="74" t="str">
        <f>IFERROR(__xludf.DUMMYFUNCTION("""COMPUTED_VALUE"""),"\\MCA-S\mk\2_BM\0_BMat\08_PYM\Inventario\excel\Imagen de refacciones\Putzmeister\Valve Right-Left _ Válvula Derecha-Izquierda")</f>
        <v>\\MCA-S\mk\2_BM\0_BMat\08_PYM\Inventario\excel\Imagen de refacciones\Putzmeister\Valve Right-Left _ Válvula Derecha-Izquierda</v>
      </c>
      <c r="E1001" s="74"/>
      <c r="F1001" s="74" t="str">
        <f>IFERROR(__xludf.DUMMYFUNCTION("""COMPUTED_VALUE"""),"Valve Right-Left / Válvula Derecha-Izquierda")</f>
        <v>Valve Right-Left / Válvula Derecha-Izquierda</v>
      </c>
      <c r="G1001" s="74"/>
      <c r="H1001" s="74"/>
      <c r="I1001" s="74" t="str">
        <f>IFERROR(__xludf.DUMMYFUNCTION("""COMPUTED_VALUE"""),"SOM20428")</f>
        <v>SOM20428</v>
      </c>
      <c r="J1001" s="74" t="str">
        <f>IFERROR(__xludf.DUMMYFUNCTION("""COMPUTED_VALUE"""),"262648006	/ 262649005")</f>
        <v>262648006	/ 262649005</v>
      </c>
      <c r="K1001" s="74" t="str">
        <f>IFERROR(__xludf.DUMMYFUNCTION("""COMPUTED_VALUE"""),"Putzmeister")</f>
        <v>Putzmeister</v>
      </c>
      <c r="L1001" s="74" t="str">
        <f>IFERROR(__xludf.DUMMYFUNCTION("""COMPUTED_VALUE"""),"Componentes Hidráulicos")</f>
        <v>Componentes Hidráulicos</v>
      </c>
      <c r="M1001" s="74" t="str">
        <f>IFERROR(__xludf.DUMMYFUNCTION("""COMPUTED_VALUE"""),"Sin Asignar")</f>
        <v>Sin Asignar</v>
      </c>
      <c r="N1001" s="87">
        <f>IFERROR(__xludf.DUMMYFUNCTION("""COMPUTED_VALUE"""),0.0)</f>
        <v>0</v>
      </c>
      <c r="O1001" s="74"/>
      <c r="P1001" s="74" t="str">
        <f>IFERROR(__xludf.DUMMYFUNCTION("""COMPUTED_VALUE"""),"No Available")</f>
        <v>No Available</v>
      </c>
      <c r="Q1001" s="74"/>
      <c r="R1001" s="74"/>
      <c r="S1001" s="87">
        <f>IFERROR(__xludf.DUMMYFUNCTION("""COMPUTED_VALUE"""),0.0)</f>
        <v>0</v>
      </c>
      <c r="T1001" s="87">
        <f>IFERROR(__xludf.DUMMYFUNCTION("""COMPUTED_VALUE"""),0.0)</f>
        <v>0</v>
      </c>
      <c r="U1001" s="87">
        <f>IFERROR(__xludf.DUMMYFUNCTION("""COMPUTED_VALUE"""),0.0)</f>
        <v>0</v>
      </c>
      <c r="V1001" s="87">
        <f>IFERROR(__xludf.DUMMYFUNCTION("""COMPUTED_VALUE"""),0.0)</f>
        <v>0</v>
      </c>
      <c r="W1001" s="87">
        <f>IFERROR(__xludf.DUMMYFUNCTION("""COMPUTED_VALUE"""),0.0)</f>
        <v>0</v>
      </c>
      <c r="X1001" s="88"/>
      <c r="Y1001" s="74"/>
      <c r="Z1001" s="74"/>
    </row>
    <row r="1002">
      <c r="B1002" s="74" t="str">
        <f>IFERROR(__xludf.DUMMYFUNCTION("""COMPUTED_VALUE"""),"2000")</f>
        <v>2000</v>
      </c>
      <c r="C1002" s="74" t="str">
        <f>IFERROR(__xludf.DUMMYFUNCTION("""COMPUTED_VALUE"""),"75045880473")</f>
        <v>75045880473</v>
      </c>
      <c r="D1002" s="74" t="str">
        <f>IFERROR(__xludf.DUMMYFUNCTION("""COMPUTED_VALUE"""),"\\MCA-S\mk\2_BM\0_BMat\08_PYM\Inventario\excel\Imagen de refacciones\Putzmeister\Válvula cartucho")</f>
        <v>\\MCA-S\mk\2_BM\0_BMat\08_PYM\Inventario\excel\Imagen de refacciones\Putzmeister\Válvula cartucho</v>
      </c>
      <c r="E1002" s="74" t="str">
        <f>IFERROR(__xludf.DUMMYFUNCTION("""COMPUTED_VALUE"""),"HYDRAULIC CHECK VALVE 80BAR")</f>
        <v>HYDRAULIC CHECK VALVE 80BAR</v>
      </c>
      <c r="F1002" s="74" t="str">
        <f>IFERROR(__xludf.DUMMYFUNCTION("""COMPUTED_VALUE"""),"VALVULA DE CARTUCHO RETENCION HIDRAULICA 80BAR")</f>
        <v>VALVULA DE CARTUCHO RETENCION HIDRAULICA 80BAR</v>
      </c>
      <c r="G1002" s="74"/>
      <c r="H1002" s="74"/>
      <c r="I1002" s="74" t="str">
        <f>IFERROR(__xludf.DUMMYFUNCTION("""COMPUTED_VALUE"""),"265686007")</f>
        <v>265686007</v>
      </c>
      <c r="J1002" s="74"/>
      <c r="K1002" s="74" t="str">
        <f>IFERROR(__xludf.DUMMYFUNCTION("""COMPUTED_VALUE"""),"Putzmeister")</f>
        <v>Putzmeister</v>
      </c>
      <c r="L1002" s="74"/>
      <c r="M1002" s="74" t="str">
        <f>IFERROR(__xludf.DUMMYFUNCTION("""COMPUTED_VALUE"""),"VALVULAS")</f>
        <v>VALVULAS</v>
      </c>
      <c r="N1002" s="87">
        <f>IFERROR(__xludf.DUMMYFUNCTION("""COMPUTED_VALUE"""),2504.16)</f>
        <v>2504.16</v>
      </c>
      <c r="O1002" s="74">
        <f>IFERROR(__xludf.DUMMYFUNCTION("""COMPUTED_VALUE"""),3.0)</f>
        <v>3</v>
      </c>
      <c r="P1002" s="74" t="str">
        <f>IFERROR(__xludf.DUMMYFUNCTION("""COMPUTED_VALUE"""),"In stock")</f>
        <v>In stock</v>
      </c>
      <c r="Q1002" s="74"/>
      <c r="R1002" s="74"/>
      <c r="S1002" s="87">
        <f>IFERROR(__xludf.DUMMYFUNCTION("""COMPUTED_VALUE"""),24.0)</f>
        <v>24</v>
      </c>
      <c r="T1002" s="87">
        <f>IFERROR(__xludf.DUMMYFUNCTION("""COMPUTED_VALUE"""),141.0)</f>
        <v>141</v>
      </c>
      <c r="U1002" s="87">
        <f>IFERROR(__xludf.DUMMYFUNCTION("""COMPUTED_VALUE"""),135.35999999999999)</f>
        <v>135.36</v>
      </c>
      <c r="V1002" s="87">
        <f>IFERROR(__xludf.DUMMYFUNCTION("""COMPUTED_VALUE"""),29.4)</f>
        <v>29.4</v>
      </c>
      <c r="W1002" s="87">
        <f>IFERROR(__xludf.DUMMYFUNCTION("""COMPUTED_VALUE"""),551.25)</f>
        <v>551.25</v>
      </c>
      <c r="X1002" s="88">
        <f>IFERROR(__xludf.DUMMYFUNCTION("""COMPUTED_VALUE"""),5.64)</f>
        <v>5.64</v>
      </c>
      <c r="Y1002" s="74"/>
      <c r="Z1002" s="74"/>
    </row>
    <row r="1003">
      <c r="B1003" s="74" t="str">
        <f>IFERROR(__xludf.DUMMYFUNCTION("""COMPUTED_VALUE"""),"2001")</f>
        <v>2001</v>
      </c>
      <c r="C1003" s="74" t="str">
        <f>IFERROR(__xludf.DUMMYFUNCTION("""COMPUTED_VALUE"""),"75045880472")</f>
        <v>75045880472</v>
      </c>
      <c r="D1003" s="74" t="str">
        <f>IFERROR(__xludf.DUMMYFUNCTION("""COMPUTED_VALUE"""),"\\MCA-S\mk\2_BM\0_BMat\08_PYM\Inventario\excel\Imagen de refacciones\Putzmeister\Válvula cartucho  (1)")</f>
        <v>\\MCA-S\mk\2_BM\0_BMat\08_PYM\Inventario\excel\Imagen de refacciones\Putzmeister\Válvula cartucho  (1)</v>
      </c>
      <c r="E1003" s="74" t="str">
        <f>IFERROR(__xludf.DUMMYFUNCTION("""COMPUTED_VALUE"""),"FLOW CONTROL VALVE 350BAR")</f>
        <v>FLOW CONTROL VALVE 350BAR</v>
      </c>
      <c r="F1003" s="74" t="str">
        <f>IFERROR(__xludf.DUMMYFUNCTION("""COMPUTED_VALUE"""),"VALVULA DE CARTUCHO 350BAR")</f>
        <v>VALVULA DE CARTUCHO 350BAR</v>
      </c>
      <c r="G1003" s="74"/>
      <c r="H1003" s="74"/>
      <c r="I1003" s="74" t="str">
        <f>IFERROR(__xludf.DUMMYFUNCTION("""COMPUTED_VALUE"""),"286970006")</f>
        <v>286970006</v>
      </c>
      <c r="J1003" s="74"/>
      <c r="K1003" s="74" t="str">
        <f>IFERROR(__xludf.DUMMYFUNCTION("""COMPUTED_VALUE"""),"Putzmeister")</f>
        <v>Putzmeister</v>
      </c>
      <c r="L1003" s="74"/>
      <c r="M1003" s="74" t="str">
        <f>IFERROR(__xludf.DUMMYFUNCTION("""COMPUTED_VALUE"""),"VALVULAS")</f>
        <v>VALVULAS</v>
      </c>
      <c r="N1003" s="87">
        <f>IFERROR(__xludf.DUMMYFUNCTION("""COMPUTED_VALUE"""),3214.56)</f>
        <v>3214.56</v>
      </c>
      <c r="O1003" s="74">
        <f>IFERROR(__xludf.DUMMYFUNCTION("""COMPUTED_VALUE"""),3.0)</f>
        <v>3</v>
      </c>
      <c r="P1003" s="74" t="str">
        <f>IFERROR(__xludf.DUMMYFUNCTION("""COMPUTED_VALUE"""),"In stock")</f>
        <v>In stock</v>
      </c>
      <c r="Q1003" s="74"/>
      <c r="R1003" s="74"/>
      <c r="S1003" s="87">
        <f>IFERROR(__xludf.DUMMYFUNCTION("""COMPUTED_VALUE"""),36.0)</f>
        <v>36</v>
      </c>
      <c r="T1003" s="87">
        <f>IFERROR(__xludf.DUMMYFUNCTION("""COMPUTED_VALUE"""),181.0)</f>
        <v>181</v>
      </c>
      <c r="U1003" s="87">
        <f>IFERROR(__xludf.DUMMYFUNCTION("""COMPUTED_VALUE"""),173.76)</f>
        <v>173.76</v>
      </c>
      <c r="V1003" s="87">
        <f>IFERROR(__xludf.DUMMYFUNCTION("""COMPUTED_VALUE"""),44.1)</f>
        <v>44.1</v>
      </c>
      <c r="W1003" s="87">
        <f>IFERROR(__xludf.DUMMYFUNCTION("""COMPUTED_VALUE"""),826.875)</f>
        <v>826.875</v>
      </c>
      <c r="X1003" s="88">
        <f>IFERROR(__xludf.DUMMYFUNCTION("""COMPUTED_VALUE"""),4.826666666666666)</f>
        <v>4.826666667</v>
      </c>
      <c r="Y1003" s="74"/>
      <c r="Z1003" s="74"/>
    </row>
    <row r="1004">
      <c r="B1004" s="74" t="str">
        <f>IFERROR(__xludf.DUMMYFUNCTION("""COMPUTED_VALUE"""),"2002")</f>
        <v>2002</v>
      </c>
      <c r="C1004" s="74" t="str">
        <f>IFERROR(__xludf.DUMMYFUNCTION("""COMPUTED_VALUE"""),"75045880474")</f>
        <v>75045880474</v>
      </c>
      <c r="D1004" s="74" t="str">
        <f>IFERROR(__xludf.DUMMYFUNCTION("""COMPUTED_VALUE"""),"\\MCA-S\mk\2_BM\0_BMat\08_PYM\Inventario\excel\Imagen de refacciones\Putzmeister\Válvula putzmeister 12V")</f>
        <v>\\MCA-S\mk\2_BM\0_BMat\08_PYM\Inventario\excel\Imagen de refacciones\Putzmeister\Válvula putzmeister 12V</v>
      </c>
      <c r="E1004" s="74" t="str">
        <f>IFERROR(__xludf.DUMMYFUNCTION("""COMPUTED_VALUE"""),"VALVE 12V FESTO with coil")</f>
        <v>VALVE 12V FESTO with coil</v>
      </c>
      <c r="F1004" s="74" t="str">
        <f>IFERROR(__xludf.DUMMYFUNCTION("""COMPUTED_VALUE"""),"VALVULA FESTO 12V ORIGINAL")</f>
        <v>VALVULA FESTO 12V ORIGINAL</v>
      </c>
      <c r="G1004" s="74"/>
      <c r="H1004" s="74" t="str">
        <f>IFERROR(__xludf.DUMMYFUNCTION("""COMPUTED_VALUE"""),"VALVULA PUTZMEISTER 12V PARA BOMBA DE HORMIGON")</f>
        <v>VALVULA PUTZMEISTER 12V PARA BOMBA DE HORMIGON</v>
      </c>
      <c r="I1004" s="74" t="str">
        <f>IFERROR(__xludf.DUMMYFUNCTION("""COMPUTED_VALUE"""),"A052938")</f>
        <v>A052938</v>
      </c>
      <c r="J1004" s="74"/>
      <c r="K1004" s="74" t="str">
        <f>IFERROR(__xludf.DUMMYFUNCTION("""COMPUTED_VALUE"""),"Putzmeister")</f>
        <v>Putzmeister</v>
      </c>
      <c r="L1004" s="74" t="str">
        <f>IFERROR(__xludf.DUMMYFUNCTION("""COMPUTED_VALUE"""),"BARRA V-ROCK")</f>
        <v>BARRA V-ROCK</v>
      </c>
      <c r="M1004" s="74" t="str">
        <f>IFERROR(__xludf.DUMMYFUNCTION("""COMPUTED_VALUE"""),"VALVULAS")</f>
        <v>VALVULAS</v>
      </c>
      <c r="N1004" s="87">
        <f>IFERROR(__xludf.DUMMYFUNCTION("""COMPUTED_VALUE"""),3853.92)</f>
        <v>3853.92</v>
      </c>
      <c r="O1004" s="74">
        <f>IFERROR(__xludf.DUMMYFUNCTION("""COMPUTED_VALUE"""),3.0)</f>
        <v>3</v>
      </c>
      <c r="P1004" s="74" t="str">
        <f>IFERROR(__xludf.DUMMYFUNCTION("""COMPUTED_VALUE"""),"In stock")</f>
        <v>In stock</v>
      </c>
      <c r="Q1004" s="74"/>
      <c r="R1004" s="74"/>
      <c r="S1004" s="87">
        <f>IFERROR(__xludf.DUMMYFUNCTION("""COMPUTED_VALUE"""),82.0)</f>
        <v>82</v>
      </c>
      <c r="T1004" s="87">
        <f>IFERROR(__xludf.DUMMYFUNCTION("""COMPUTED_VALUE"""),217.0)</f>
        <v>217</v>
      </c>
      <c r="U1004" s="87">
        <f>IFERROR(__xludf.DUMMYFUNCTION("""COMPUTED_VALUE"""),208.32)</f>
        <v>208.32</v>
      </c>
      <c r="V1004" s="87">
        <f>IFERROR(__xludf.DUMMYFUNCTION("""COMPUTED_VALUE"""),100.45)</f>
        <v>100.45</v>
      </c>
      <c r="W1004" s="87">
        <f>IFERROR(__xludf.DUMMYFUNCTION("""COMPUTED_VALUE"""),1883.4375)</f>
        <v>1883.4375</v>
      </c>
      <c r="X1004" s="88">
        <f>IFERROR(__xludf.DUMMYFUNCTION("""COMPUTED_VALUE"""),2.540487804878049)</f>
        <v>2.540487805</v>
      </c>
      <c r="Y1004" s="74"/>
      <c r="Z1004" s="74"/>
    </row>
    <row r="1005">
      <c r="B1005" s="74" t="str">
        <f>IFERROR(__xludf.DUMMYFUNCTION("""COMPUTED_VALUE"""),"2003")</f>
        <v>2003</v>
      </c>
      <c r="C1005" s="74" t="str">
        <f>IFERROR(__xludf.DUMMYFUNCTION("""COMPUTED_VALUE"""),"75045880526")</f>
        <v>75045880526</v>
      </c>
      <c r="D1005" s="74" t="str">
        <f>IFERROR(__xludf.DUMMYFUNCTION("""COMPUTED_VALUE"""),"\\MCA-S\mk\2_BM\0_BMat\08_PYM\Inventario\excel\Imagen de refacciones\Putzmeister\Válvula reguladora 24V")</f>
        <v>\\MCA-S\mk\2_BM\0_BMat\08_PYM\Inventario\excel\Imagen de refacciones\Putzmeister\Válvula reguladora 24V</v>
      </c>
      <c r="E1005" s="74" t="str">
        <f>IFERROR(__xludf.DUMMYFUNCTION("""COMPUTED_VALUE"""),"MULTIWAY VALVE HEADWAY PLATE / QUANTITATIVE PUMP INPUT MODULE 24V")</f>
        <v>MULTIWAY VALVE HEADWAY PLATE / QUANTITATIVE PUMP INPUT MODULE 24V</v>
      </c>
      <c r="F1005" s="74" t="str">
        <f>IFERROR(__xludf.DUMMYFUNCTION("""COMPUTED_VALUE"""),"VALVULA REGULADORA DE PRESION 24V")</f>
        <v>VALVULA REGULADORA DE PRESION 24V</v>
      </c>
      <c r="G1005" s="74"/>
      <c r="H1005" s="74"/>
      <c r="I1005" s="74" t="str">
        <f>IFERROR(__xludf.DUMMYFUNCTION("""COMPUTED_VALUE"""),"254879003")</f>
        <v>254879003</v>
      </c>
      <c r="J1005" s="74"/>
      <c r="K1005" s="74" t="str">
        <f>IFERROR(__xludf.DUMMYFUNCTION("""COMPUTED_VALUE"""),"Putzmeister")</f>
        <v>Putzmeister</v>
      </c>
      <c r="L1005" s="74"/>
      <c r="M1005" s="74" t="str">
        <f>IFERROR(__xludf.DUMMYFUNCTION("""COMPUTED_VALUE"""),"VALVULAS")</f>
        <v>VALVULAS</v>
      </c>
      <c r="N1005" s="87">
        <f>IFERROR(__xludf.DUMMYFUNCTION("""COMPUTED_VALUE"""),27385.92)</f>
        <v>27385.92</v>
      </c>
      <c r="O1005" s="74">
        <f>IFERROR(__xludf.DUMMYFUNCTION("""COMPUTED_VALUE"""),2.0)</f>
        <v>2</v>
      </c>
      <c r="P1005" s="74" t="str">
        <f>IFERROR(__xludf.DUMMYFUNCTION("""COMPUTED_VALUE"""),"In stock")</f>
        <v>In stock</v>
      </c>
      <c r="Q1005" s="74"/>
      <c r="R1005" s="74"/>
      <c r="S1005" s="87">
        <f>IFERROR(__xludf.DUMMYFUNCTION("""COMPUTED_VALUE"""),530.0)</f>
        <v>530</v>
      </c>
      <c r="T1005" s="87">
        <f>IFERROR(__xludf.DUMMYFUNCTION("""COMPUTED_VALUE"""),1542.0)</f>
        <v>1542</v>
      </c>
      <c r="U1005" s="87">
        <f>IFERROR(__xludf.DUMMYFUNCTION("""COMPUTED_VALUE"""),1480.32)</f>
        <v>1480.32</v>
      </c>
      <c r="V1005" s="87">
        <f>IFERROR(__xludf.DUMMYFUNCTION("""COMPUTED_VALUE"""),649.25)</f>
        <v>649.25</v>
      </c>
      <c r="W1005" s="87">
        <f>IFERROR(__xludf.DUMMYFUNCTION("""COMPUTED_VALUE"""),12173.4375)</f>
        <v>12173.4375</v>
      </c>
      <c r="X1005" s="88">
        <f>IFERROR(__xludf.DUMMYFUNCTION("""COMPUTED_VALUE"""),2.793056603773585)</f>
        <v>2.793056604</v>
      </c>
      <c r="Y1005" s="74"/>
      <c r="Z1005" s="74"/>
    </row>
    <row r="1006">
      <c r="B1006" s="74" t="str">
        <f>IFERROR(__xludf.DUMMYFUNCTION("""COMPUTED_VALUE"""),"2004")</f>
        <v>2004</v>
      </c>
      <c r="C1006" s="74" t="str">
        <f>IFERROR(__xludf.DUMMYFUNCTION("""COMPUTED_VALUE"""),"75045892004")</f>
        <v>75045892004</v>
      </c>
      <c r="D1006" s="74" t="str">
        <f>IFERROR(__xludf.DUMMYFUNCTION("""COMPUTED_VALUE"""),"\\MCA-S\mk\2_BM\0_BMat\08_PYM\Inventario\excel\Imagen de refacciones\Putzmeister\Válvula S -2318 90mm - chica")</f>
        <v>\\MCA-S\mk\2_BM\0_BMat\08_PYM\Inventario\excel\Imagen de refacciones\Putzmeister\Válvula S -2318 90mm - chica</v>
      </c>
      <c r="E1006" s="74" t="str">
        <f>IFERROR(__xludf.DUMMYFUNCTION("""COMPUTED_VALUE"""),"VALVE S 2318  LSP90mm")</f>
        <v>VALVE S 2318  LSP90mm</v>
      </c>
      <c r="F1006" s="74" t="str">
        <f>IFERROR(__xludf.DUMMYFUNCTION("""COMPUTED_VALUE"""),"VALVULA S 2318 90mm")</f>
        <v>VALVULA S 2318 90mm</v>
      </c>
      <c r="G1006" s="74"/>
      <c r="H1006" s="74"/>
      <c r="I1006" s="74" t="str">
        <f>IFERROR(__xludf.DUMMYFUNCTION("""COMPUTED_VALUE"""),"00179300")</f>
        <v>00179300</v>
      </c>
      <c r="J1006" s="74"/>
      <c r="K1006" s="74" t="str">
        <f>IFERROR(__xludf.DUMMYFUNCTION("""COMPUTED_VALUE"""),"Putzmeister")</f>
        <v>Putzmeister</v>
      </c>
      <c r="L1006" s="74" t="str">
        <f>IFERROR(__xludf.DUMMYFUNCTION("""COMPUTED_VALUE"""),"BARRA V-ROCK")</f>
        <v>BARRA V-ROCK</v>
      </c>
      <c r="M1006" s="74" t="str">
        <f>IFERROR(__xludf.DUMMYFUNCTION("""COMPUTED_VALUE"""),"VALVULAS")</f>
        <v>VALVULAS</v>
      </c>
      <c r="N1006" s="87">
        <f>IFERROR(__xludf.DUMMYFUNCTION("""COMPUTED_VALUE"""),42197.76)</f>
        <v>42197.76</v>
      </c>
      <c r="O1006" s="74">
        <f>IFERROR(__xludf.DUMMYFUNCTION("""COMPUTED_VALUE"""),1.0)</f>
        <v>1</v>
      </c>
      <c r="P1006" s="74" t="str">
        <f>IFERROR(__xludf.DUMMYFUNCTION("""COMPUTED_VALUE"""),"In stock")</f>
        <v>In stock</v>
      </c>
      <c r="Q1006" s="74"/>
      <c r="R1006" s="74"/>
      <c r="S1006" s="87">
        <f>IFERROR(__xludf.DUMMYFUNCTION("""COMPUTED_VALUE"""),260.0)</f>
        <v>260</v>
      </c>
      <c r="T1006" s="87">
        <f>IFERROR(__xludf.DUMMYFUNCTION("""COMPUTED_VALUE"""),2376.0)</f>
        <v>2376</v>
      </c>
      <c r="U1006" s="87">
        <f>IFERROR(__xludf.DUMMYFUNCTION("""COMPUTED_VALUE"""),2280.96)</f>
        <v>2280.96</v>
      </c>
      <c r="V1006" s="87">
        <f>IFERROR(__xludf.DUMMYFUNCTION("""COMPUTED_VALUE"""),318.5)</f>
        <v>318.5</v>
      </c>
      <c r="W1006" s="87">
        <f>IFERROR(__xludf.DUMMYFUNCTION("""COMPUTED_VALUE"""),5971.875)</f>
        <v>5971.875</v>
      </c>
      <c r="X1006" s="88">
        <f>IFERROR(__xludf.DUMMYFUNCTION("""COMPUTED_VALUE"""),8.772923076923076)</f>
        <v>8.772923077</v>
      </c>
      <c r="Y1006" s="74"/>
      <c r="Z1006" s="74"/>
    </row>
    <row r="1007">
      <c r="B1007" s="74" t="str">
        <f>IFERROR(__xludf.DUMMYFUNCTION("""COMPUTED_VALUE"""),"2005")</f>
        <v>2005</v>
      </c>
      <c r="C1007" s="74" t="str">
        <f>IFERROR(__xludf.DUMMYFUNCTION("""COMPUTED_VALUE"""),"75045880554")</f>
        <v>75045880554</v>
      </c>
      <c r="D1007" s="74" t="str">
        <f>IFERROR(__xludf.DUMMYFUNCTION("""COMPUTED_VALUE"""),"\\MCA-S\mk\2_BM\0_BMat\08_PYM\Inventario\excel\Imagen de refacciones\Putzmeister\Válvulas - 2018 80 mm - chica")</f>
        <v>\\MCA-S\mk\2_BM\0_BMat\08_PYM\Inventario\excel\Imagen de refacciones\Putzmeister\Válvulas - 2018 80 mm - chica</v>
      </c>
      <c r="E1007" s="74" t="str">
        <f>IFERROR(__xludf.DUMMYFUNCTION("""COMPUTED_VALUE"""),"VALVE S 2018N SR0479 80mm")</f>
        <v>VALVE S 2018N SR0479 80mm</v>
      </c>
      <c r="F1007" s="74" t="str">
        <f>IFERROR(__xludf.DUMMYFUNCTION("""COMPUTED_VALUE"""),"VALVULA S 2018 80mm")</f>
        <v>VALVULA S 2018 80mm</v>
      </c>
      <c r="G1007" s="74"/>
      <c r="H1007" s="74"/>
      <c r="I1007" s="74" t="str">
        <f>IFERROR(__xludf.DUMMYFUNCTION("""COMPUTED_VALUE"""),"251013008")</f>
        <v>251013008</v>
      </c>
      <c r="J1007" s="74"/>
      <c r="K1007" s="74" t="str">
        <f>IFERROR(__xludf.DUMMYFUNCTION("""COMPUTED_VALUE"""),"Putzmeister")</f>
        <v>Putzmeister</v>
      </c>
      <c r="L1007" s="74" t="str">
        <f>IFERROR(__xludf.DUMMYFUNCTION("""COMPUTED_VALUE"""),"BARRA V-ROCK")</f>
        <v>BARRA V-ROCK</v>
      </c>
      <c r="M1007" s="74" t="str">
        <f>IFERROR(__xludf.DUMMYFUNCTION("""COMPUTED_VALUE"""),"VALVULAS")</f>
        <v>VALVULAS</v>
      </c>
      <c r="N1007" s="87">
        <f>IFERROR(__xludf.DUMMYFUNCTION("""COMPUTED_VALUE"""),38681.28)</f>
        <v>38681.28</v>
      </c>
      <c r="O1007" s="74">
        <f>IFERROR(__xludf.DUMMYFUNCTION("""COMPUTED_VALUE"""),1.0)</f>
        <v>1</v>
      </c>
      <c r="P1007" s="74" t="str">
        <f>IFERROR(__xludf.DUMMYFUNCTION("""COMPUTED_VALUE"""),"In stock")</f>
        <v>In stock</v>
      </c>
      <c r="Q1007" s="74"/>
      <c r="R1007" s="74"/>
      <c r="S1007" s="87">
        <f>IFERROR(__xludf.DUMMYFUNCTION("""COMPUTED_VALUE"""),250.0)</f>
        <v>250</v>
      </c>
      <c r="T1007" s="87">
        <f>IFERROR(__xludf.DUMMYFUNCTION("""COMPUTED_VALUE"""),2178.0)</f>
        <v>2178</v>
      </c>
      <c r="U1007" s="87">
        <f>IFERROR(__xludf.DUMMYFUNCTION("""COMPUTED_VALUE"""),2090.88)</f>
        <v>2090.88</v>
      </c>
      <c r="V1007" s="87">
        <f>IFERROR(__xludf.DUMMYFUNCTION("""COMPUTED_VALUE"""),306.25)</f>
        <v>306.25</v>
      </c>
      <c r="W1007" s="87">
        <f>IFERROR(__xludf.DUMMYFUNCTION("""COMPUTED_VALUE"""),5742.1875)</f>
        <v>5742.1875</v>
      </c>
      <c r="X1007" s="88">
        <f>IFERROR(__xludf.DUMMYFUNCTION("""COMPUTED_VALUE"""),8.363520000000001)</f>
        <v>8.36352</v>
      </c>
      <c r="Y1007" s="74"/>
      <c r="Z1007" s="74"/>
    </row>
    <row r="1008">
      <c r="B1008" s="74" t="str">
        <f>IFERROR(__xludf.DUMMYFUNCTION("""COMPUTED_VALUE"""),"2006")</f>
        <v>2006</v>
      </c>
      <c r="C1008" s="74" t="str">
        <f>IFERROR(__xludf.DUMMYFUNCTION("""COMPUTED_VALUE"""),"75045880245")</f>
        <v>75045880245</v>
      </c>
      <c r="D1008" s="74" t="str">
        <f>IFERROR(__xludf.DUMMYFUNCTION("""COMPUTED_VALUE"""),"\\MCA-S\mk\2_BM\0_BMat\08_PYM\Inventario\excel\Imagen de refacciones\Putzmeister\Viejiga de 4 litros (bladder) vejiga de 6 litros (bladder)")</f>
        <v>\\MCA-S\mk\2_BM\0_BMat\08_PYM\Inventario\excel\Imagen de refacciones\Putzmeister\Viejiga de 4 litros (bladder) vejiga de 6 litros (bladder)</v>
      </c>
      <c r="E1008" s="74"/>
      <c r="F1008" s="74" t="str">
        <f>IFERROR(__xludf.DUMMYFUNCTION("""COMPUTED_VALUE"""),"Viejiga de 4 litros (bladder) vejiga de 6 litros (bladder)")</f>
        <v>Viejiga de 4 litros (bladder) vejiga de 6 litros (bladder)</v>
      </c>
      <c r="G1008" s="74"/>
      <c r="H1008" s="74"/>
      <c r="I1008" s="74" t="str">
        <f>IFERROR(__xludf.DUMMYFUNCTION("""COMPUTED_VALUE"""),"64020000")</f>
        <v>64020000</v>
      </c>
      <c r="J1008" s="74"/>
      <c r="K1008" s="74" t="str">
        <f>IFERROR(__xludf.DUMMYFUNCTION("""COMPUTED_VALUE"""),"Putzmeister")</f>
        <v>Putzmeister</v>
      </c>
      <c r="L1008" s="74"/>
      <c r="M1008" s="74" t="str">
        <f>IFERROR(__xludf.DUMMYFUNCTION("""COMPUTED_VALUE"""),"Sin Asignar")</f>
        <v>Sin Asignar</v>
      </c>
      <c r="N1008" s="87">
        <f>IFERROR(__xludf.DUMMYFUNCTION("""COMPUTED_VALUE"""),0.0)</f>
        <v>0</v>
      </c>
      <c r="O1008" s="74"/>
      <c r="P1008" s="74" t="str">
        <f>IFERROR(__xludf.DUMMYFUNCTION("""COMPUTED_VALUE"""),"borrar")</f>
        <v>borrar</v>
      </c>
      <c r="Q1008" s="74"/>
      <c r="R1008" s="74"/>
      <c r="S1008" s="87">
        <f>IFERROR(__xludf.DUMMYFUNCTION("""COMPUTED_VALUE"""),0.0)</f>
        <v>0</v>
      </c>
      <c r="T1008" s="87">
        <f>IFERROR(__xludf.DUMMYFUNCTION("""COMPUTED_VALUE"""),0.0)</f>
        <v>0</v>
      </c>
      <c r="U1008" s="87">
        <f>IFERROR(__xludf.DUMMYFUNCTION("""COMPUTED_VALUE"""),0.0)</f>
        <v>0</v>
      </c>
      <c r="V1008" s="87">
        <f>IFERROR(__xludf.DUMMYFUNCTION("""COMPUTED_VALUE"""),0.0)</f>
        <v>0</v>
      </c>
      <c r="W1008" s="87">
        <f>IFERROR(__xludf.DUMMYFUNCTION("""COMPUTED_VALUE"""),0.0)</f>
        <v>0</v>
      </c>
      <c r="X1008" s="88"/>
      <c r="Y1008" s="74"/>
      <c r="Z1008" s="74"/>
    </row>
    <row r="1009">
      <c r="B1009" s="74" t="str">
        <f>IFERROR(__xludf.DUMMYFUNCTION("""COMPUTED_VALUE"""),"2007")</f>
        <v>2007</v>
      </c>
      <c r="C1009" s="74"/>
      <c r="D1009" s="74" t="str">
        <f>IFERROR(__xludf.DUMMYFUNCTION("""COMPUTED_VALUE"""),"\\MCA-S\mk\2_BM\0_BMat\08_PYM\Inventario\excel\Imagen de refacciones\Putzmeister\Wear Sleeve (Ergonomic) _ Manguito de Desgaste (Ergonómico)")</f>
        <v>\\MCA-S\mk\2_BM\0_BMat\08_PYM\Inventario\excel\Imagen de refacciones\Putzmeister\Wear Sleeve (Ergonomic) _ Manguito de Desgaste (Ergonómico)</v>
      </c>
      <c r="E1009" s="74"/>
      <c r="F1009" s="74" t="str">
        <f>IFERROR(__xludf.DUMMYFUNCTION("""COMPUTED_VALUE"""),"Wear Sleeve (Ergonomic) / Manguito de Desgaste (Ergonómico)")</f>
        <v>Wear Sleeve (Ergonomic) / Manguito de Desgaste (Ergonómico)</v>
      </c>
      <c r="G1009" s="74"/>
      <c r="H1009" s="74"/>
      <c r="I1009" s="74" t="str">
        <f>IFERROR(__xludf.DUMMYFUNCTION("""COMPUTED_VALUE"""),"SOM20507")</f>
        <v>SOM20507</v>
      </c>
      <c r="J1009" s="74" t="str">
        <f>IFERROR(__xludf.DUMMYFUNCTION("""COMPUTED_VALUE"""),"458574")</f>
        <v>458574</v>
      </c>
      <c r="K1009" s="74" t="str">
        <f>IFERROR(__xludf.DUMMYFUNCTION("""COMPUTED_VALUE"""),"Putzmeister")</f>
        <v>Putzmeister</v>
      </c>
      <c r="L1009" s="74" t="str">
        <f>IFERROR(__xludf.DUMMYFUNCTION("""COMPUTED_VALUE"""),"Componentes Estructurales y de Montaje")</f>
        <v>Componentes Estructurales y de Montaje</v>
      </c>
      <c r="M1009" s="74" t="str">
        <f>IFERROR(__xludf.DUMMYFUNCTION("""COMPUTED_VALUE"""),"Sin Asignar")</f>
        <v>Sin Asignar</v>
      </c>
      <c r="N1009" s="87">
        <f>IFERROR(__xludf.DUMMYFUNCTION("""COMPUTED_VALUE"""),0.0)</f>
        <v>0</v>
      </c>
      <c r="O1009" s="74"/>
      <c r="P1009" s="74" t="str">
        <f>IFERROR(__xludf.DUMMYFUNCTION("""COMPUTED_VALUE"""),"No Available")</f>
        <v>No Available</v>
      </c>
      <c r="Q1009" s="74"/>
      <c r="R1009" s="74"/>
      <c r="S1009" s="87">
        <f>IFERROR(__xludf.DUMMYFUNCTION("""COMPUTED_VALUE"""),0.0)</f>
        <v>0</v>
      </c>
      <c r="T1009" s="87">
        <f>IFERROR(__xludf.DUMMYFUNCTION("""COMPUTED_VALUE"""),0.0)</f>
        <v>0</v>
      </c>
      <c r="U1009" s="87">
        <f>IFERROR(__xludf.DUMMYFUNCTION("""COMPUTED_VALUE"""),0.0)</f>
        <v>0</v>
      </c>
      <c r="V1009" s="87">
        <f>IFERROR(__xludf.DUMMYFUNCTION("""COMPUTED_VALUE"""),0.0)</f>
        <v>0</v>
      </c>
      <c r="W1009" s="87">
        <f>IFERROR(__xludf.DUMMYFUNCTION("""COMPUTED_VALUE"""),0.0)</f>
        <v>0</v>
      </c>
      <c r="X1009" s="88"/>
      <c r="Y1009" s="74"/>
      <c r="Z1009" s="74"/>
    </row>
    <row r="1010">
      <c r="B1010" s="74" t="str">
        <f>IFERROR(__xludf.DUMMYFUNCTION("""COMPUTED_VALUE"""),"2008")</f>
        <v>2008</v>
      </c>
      <c r="C1010" s="74"/>
      <c r="D1010" s="74" t="str">
        <f>IFERROR(__xludf.DUMMYFUNCTION("""COMPUTED_VALUE"""),"\\MCA-S\mk\2_BM\0_BMat\08_PYM\Inventario\excel\Imagen de refacciones\Putzmeister\Wear Sleeve _ Manguito de Desgaste")</f>
        <v>\\MCA-S\mk\2_BM\0_BMat\08_PYM\Inventario\excel\Imagen de refacciones\Putzmeister\Wear Sleeve _ Manguito de Desgaste</v>
      </c>
      <c r="E1010" s="74"/>
      <c r="F1010" s="74" t="str">
        <f>IFERROR(__xludf.DUMMYFUNCTION("""COMPUTED_VALUE"""),"Wear Sleeve / Manguito de Desgaste")</f>
        <v>Wear Sleeve / Manguito de Desgaste</v>
      </c>
      <c r="G1010" s="74"/>
      <c r="H1010" s="74"/>
      <c r="I1010" s="74" t="str">
        <f>IFERROR(__xludf.DUMMYFUNCTION("""COMPUTED_VALUE"""),"SOM20511")</f>
        <v>SOM20511</v>
      </c>
      <c r="J1010" s="74" t="str">
        <f>IFERROR(__xludf.DUMMYFUNCTION("""COMPUTED_VALUE"""),"261611005")</f>
        <v>261611005</v>
      </c>
      <c r="K1010" s="74" t="str">
        <f>IFERROR(__xludf.DUMMYFUNCTION("""COMPUTED_VALUE"""),"Putzmeister")</f>
        <v>Putzmeister</v>
      </c>
      <c r="L1010" s="74" t="str">
        <f>IFERROR(__xludf.DUMMYFUNCTION("""COMPUTED_VALUE"""),"Componentes Estructurales y de Montaje")</f>
        <v>Componentes Estructurales y de Montaje</v>
      </c>
      <c r="M1010" s="74" t="str">
        <f>IFERROR(__xludf.DUMMYFUNCTION("""COMPUTED_VALUE"""),"Sin Asignar")</f>
        <v>Sin Asignar</v>
      </c>
      <c r="N1010" s="87">
        <f>IFERROR(__xludf.DUMMYFUNCTION("""COMPUTED_VALUE"""),0.0)</f>
        <v>0</v>
      </c>
      <c r="O1010" s="74"/>
      <c r="P1010" s="74" t="str">
        <f>IFERROR(__xludf.DUMMYFUNCTION("""COMPUTED_VALUE"""),"No Available")</f>
        <v>No Available</v>
      </c>
      <c r="Q1010" s="74"/>
      <c r="R1010" s="74"/>
      <c r="S1010" s="87">
        <f>IFERROR(__xludf.DUMMYFUNCTION("""COMPUTED_VALUE"""),0.0)</f>
        <v>0</v>
      </c>
      <c r="T1010" s="87">
        <f>IFERROR(__xludf.DUMMYFUNCTION("""COMPUTED_VALUE"""),0.0)</f>
        <v>0</v>
      </c>
      <c r="U1010" s="87">
        <f>IFERROR(__xludf.DUMMYFUNCTION("""COMPUTED_VALUE"""),0.0)</f>
        <v>0</v>
      </c>
      <c r="V1010" s="87">
        <f>IFERROR(__xludf.DUMMYFUNCTION("""COMPUTED_VALUE"""),0.0)</f>
        <v>0</v>
      </c>
      <c r="W1010" s="87">
        <f>IFERROR(__xludf.DUMMYFUNCTION("""COMPUTED_VALUE"""),0.0)</f>
        <v>0</v>
      </c>
      <c r="X1010" s="88"/>
      <c r="Y1010" s="74"/>
      <c r="Z1010" s="74"/>
    </row>
    <row r="1011">
      <c r="B1011" s="74" t="str">
        <f>IFERROR(__xludf.DUMMYFUNCTION("""COMPUTED_VALUE"""),"2009")</f>
        <v>2009</v>
      </c>
      <c r="C1011" s="74"/>
      <c r="D1011" s="74" t="str">
        <f>IFERROR(__xludf.DUMMYFUNCTION("""COMPUTED_VALUE"""),"\\MCA-S\mk\2_BM\0_BMat\08_PYM\Inventario\excel\Imagen de refacciones\Putzmeister\Wedge (New) _ Cuña (Nueva)")</f>
        <v>\\MCA-S\mk\2_BM\0_BMat\08_PYM\Inventario\excel\Imagen de refacciones\Putzmeister\Wedge (New) _ Cuña (Nueva)</v>
      </c>
      <c r="E1011" s="74"/>
      <c r="F1011" s="74" t="str">
        <f>IFERROR(__xludf.DUMMYFUNCTION("""COMPUTED_VALUE"""),"Wedge (New) / Cuña (Nueva)")</f>
        <v>Wedge (New) / Cuña (Nueva)</v>
      </c>
      <c r="G1011" s="74"/>
      <c r="H1011" s="74"/>
      <c r="I1011" s="74" t="str">
        <f>IFERROR(__xludf.DUMMYFUNCTION("""COMPUTED_VALUE"""),"SOM20513")</f>
        <v>SOM20513</v>
      </c>
      <c r="J1011" s="74" t="str">
        <f>IFERROR(__xludf.DUMMYFUNCTION("""COMPUTED_VALUE"""),"522382")</f>
        <v>522382</v>
      </c>
      <c r="K1011" s="74" t="str">
        <f>IFERROR(__xludf.DUMMYFUNCTION("""COMPUTED_VALUE"""),"Putzmeister")</f>
        <v>Putzmeister</v>
      </c>
      <c r="L1011" s="74" t="str">
        <f>IFERROR(__xludf.DUMMYFUNCTION("""COMPUTED_VALUE"""),"Componentes Estructurales y de Montaje")</f>
        <v>Componentes Estructurales y de Montaje</v>
      </c>
      <c r="M1011" s="74" t="str">
        <f>IFERROR(__xludf.DUMMYFUNCTION("""COMPUTED_VALUE"""),"Sin Asignar")</f>
        <v>Sin Asignar</v>
      </c>
      <c r="N1011" s="87">
        <f>IFERROR(__xludf.DUMMYFUNCTION("""COMPUTED_VALUE"""),0.0)</f>
        <v>0</v>
      </c>
      <c r="O1011" s="74"/>
      <c r="P1011" s="74" t="str">
        <f>IFERROR(__xludf.DUMMYFUNCTION("""COMPUTED_VALUE"""),"No Available")</f>
        <v>No Available</v>
      </c>
      <c r="Q1011" s="74"/>
      <c r="R1011" s="74"/>
      <c r="S1011" s="87">
        <f>IFERROR(__xludf.DUMMYFUNCTION("""COMPUTED_VALUE"""),0.0)</f>
        <v>0</v>
      </c>
      <c r="T1011" s="87">
        <f>IFERROR(__xludf.DUMMYFUNCTION("""COMPUTED_VALUE"""),0.0)</f>
        <v>0</v>
      </c>
      <c r="U1011" s="87">
        <f>IFERROR(__xludf.DUMMYFUNCTION("""COMPUTED_VALUE"""),0.0)</f>
        <v>0</v>
      </c>
      <c r="V1011" s="87">
        <f>IFERROR(__xludf.DUMMYFUNCTION("""COMPUTED_VALUE"""),0.0)</f>
        <v>0</v>
      </c>
      <c r="W1011" s="87">
        <f>IFERROR(__xludf.DUMMYFUNCTION("""COMPUTED_VALUE"""),0.0)</f>
        <v>0</v>
      </c>
      <c r="X1011" s="88"/>
      <c r="Y1011" s="74"/>
      <c r="Z1011" s="74"/>
    </row>
    <row r="1012">
      <c r="B1012" s="74" t="str">
        <f>IFERROR(__xludf.DUMMYFUNCTION("""COMPUTED_VALUE"""),"2010")</f>
        <v>2010</v>
      </c>
      <c r="C1012" s="74"/>
      <c r="D1012" s="74" t="str">
        <f>IFERROR(__xludf.DUMMYFUNCTION("""COMPUTED_VALUE"""),"\\MCA-S\mk\2_BM\0_BMat\08_PYM\Inventario\excel\Imagen de refacciones\Putzmeister\Welding Ring ZX125-5 1_2 _ Anillo de Soldadura ZX125-5 1_2")</f>
        <v>\\MCA-S\mk\2_BM\0_BMat\08_PYM\Inventario\excel\Imagen de refacciones\Putzmeister\Welding Ring ZX125-5 1_2 _ Anillo de Soldadura ZX125-5 1_2</v>
      </c>
      <c r="E1012" s="74"/>
      <c r="F1012" s="74" t="str">
        <f>IFERROR(__xludf.DUMMYFUNCTION("""COMPUTED_VALUE"""),"Welding Ring ZX125-5 1/2 / Anillo de Soldadura ZX125-5 1/2")</f>
        <v>Welding Ring ZX125-5 1/2 / Anillo de Soldadura ZX125-5 1/2</v>
      </c>
      <c r="G1012" s="74"/>
      <c r="H1012" s="74"/>
      <c r="I1012" s="74" t="str">
        <f>IFERROR(__xludf.DUMMYFUNCTION("""COMPUTED_VALUE"""),"SOM20574")</f>
        <v>SOM20574</v>
      </c>
      <c r="J1012" s="74" t="str">
        <f>IFERROR(__xludf.DUMMYFUNCTION("""COMPUTED_VALUE"""),"267037008")</f>
        <v>267037008</v>
      </c>
      <c r="K1012" s="74" t="str">
        <f>IFERROR(__xludf.DUMMYFUNCTION("""COMPUTED_VALUE"""),"Putzmeister")</f>
        <v>Putzmeister</v>
      </c>
      <c r="L1012" s="74" t="str">
        <f>IFERROR(__xludf.DUMMYFUNCTION("""COMPUTED_VALUE"""),"Sistema de Bombeo de Concreto")</f>
        <v>Sistema de Bombeo de Concreto</v>
      </c>
      <c r="M1012" s="74" t="str">
        <f>IFERROR(__xludf.DUMMYFUNCTION("""COMPUTED_VALUE"""),"Sin Asignar")</f>
        <v>Sin Asignar</v>
      </c>
      <c r="N1012" s="87">
        <f>IFERROR(__xludf.DUMMYFUNCTION("""COMPUTED_VALUE"""),0.0)</f>
        <v>0</v>
      </c>
      <c r="O1012" s="74"/>
      <c r="P1012" s="74" t="str">
        <f>IFERROR(__xludf.DUMMYFUNCTION("""COMPUTED_VALUE"""),"No Available")</f>
        <v>No Available</v>
      </c>
      <c r="Q1012" s="74"/>
      <c r="R1012" s="74"/>
      <c r="S1012" s="87">
        <f>IFERROR(__xludf.DUMMYFUNCTION("""COMPUTED_VALUE"""),0.0)</f>
        <v>0</v>
      </c>
      <c r="T1012" s="87">
        <f>IFERROR(__xludf.DUMMYFUNCTION("""COMPUTED_VALUE"""),0.0)</f>
        <v>0</v>
      </c>
      <c r="U1012" s="87">
        <f>IFERROR(__xludf.DUMMYFUNCTION("""COMPUTED_VALUE"""),0.0)</f>
        <v>0</v>
      </c>
      <c r="V1012" s="87">
        <f>IFERROR(__xludf.DUMMYFUNCTION("""COMPUTED_VALUE"""),0.0)</f>
        <v>0</v>
      </c>
      <c r="W1012" s="87">
        <f>IFERROR(__xludf.DUMMYFUNCTION("""COMPUTED_VALUE"""),0.0)</f>
        <v>0</v>
      </c>
      <c r="X1012" s="88"/>
      <c r="Y1012" s="74"/>
      <c r="Z1012" s="74"/>
    </row>
    <row r="1013">
      <c r="B1013" s="74" t="str">
        <f>IFERROR(__xludf.DUMMYFUNCTION("""COMPUTED_VALUE"""),"2011")</f>
        <v>2011</v>
      </c>
      <c r="C1013" s="74"/>
      <c r="D1013" s="74" t="str">
        <f>IFERROR(__xludf.DUMMYFUNCTION("""COMPUTED_VALUE"""),"\\MCA-S\mk\2_BM\0_BMat\08_PYM\Inventario\excel\Imagen de refacciones\Putzmeister\Welding Ring ZX125-5 1_2 _ Anillo de Soldadura ZX125-5 1_2 (1)")</f>
        <v>\\MCA-S\mk\2_BM\0_BMat\08_PYM\Inventario\excel\Imagen de refacciones\Putzmeister\Welding Ring ZX125-5 1_2 _ Anillo de Soldadura ZX125-5 1_2 (1)</v>
      </c>
      <c r="E1013" s="74"/>
      <c r="F1013" s="74" t="str">
        <f>IFERROR(__xludf.DUMMYFUNCTION("""COMPUTED_VALUE"""),"Welding Ring ZX125-5 1/2 / Anillo de Soldadura ZX125-5 1/2")</f>
        <v>Welding Ring ZX125-5 1/2 / Anillo de Soldadura ZX125-5 1/2</v>
      </c>
      <c r="G1013" s="74"/>
      <c r="H1013" s="74"/>
      <c r="I1013" s="74" t="str">
        <f>IFERROR(__xludf.DUMMYFUNCTION("""COMPUTED_VALUE"""),"SOM20575")</f>
        <v>SOM20575</v>
      </c>
      <c r="J1013" s="74" t="str">
        <f>IFERROR(__xludf.DUMMYFUNCTION("""COMPUTED_VALUE"""),"267833007")</f>
        <v>267833007</v>
      </c>
      <c r="K1013" s="74" t="str">
        <f>IFERROR(__xludf.DUMMYFUNCTION("""COMPUTED_VALUE"""),"Putzmeister")</f>
        <v>Putzmeister</v>
      </c>
      <c r="L1013" s="74" t="str">
        <f>IFERROR(__xludf.DUMMYFUNCTION("""COMPUTED_VALUE"""),"Sistema de Bombeo de Concreto")</f>
        <v>Sistema de Bombeo de Concreto</v>
      </c>
      <c r="M1013" s="74" t="str">
        <f>IFERROR(__xludf.DUMMYFUNCTION("""COMPUTED_VALUE"""),"Sin Asignar")</f>
        <v>Sin Asignar</v>
      </c>
      <c r="N1013" s="87">
        <f>IFERROR(__xludf.DUMMYFUNCTION("""COMPUTED_VALUE"""),0.0)</f>
        <v>0</v>
      </c>
      <c r="O1013" s="74"/>
      <c r="P1013" s="74" t="str">
        <f>IFERROR(__xludf.DUMMYFUNCTION("""COMPUTED_VALUE"""),"No Available")</f>
        <v>No Available</v>
      </c>
      <c r="Q1013" s="74"/>
      <c r="R1013" s="74"/>
      <c r="S1013" s="87">
        <f>IFERROR(__xludf.DUMMYFUNCTION("""COMPUTED_VALUE"""),0.0)</f>
        <v>0</v>
      </c>
      <c r="T1013" s="87">
        <f>IFERROR(__xludf.DUMMYFUNCTION("""COMPUTED_VALUE"""),0.0)</f>
        <v>0</v>
      </c>
      <c r="U1013" s="87">
        <f>IFERROR(__xludf.DUMMYFUNCTION("""COMPUTED_VALUE"""),0.0)</f>
        <v>0</v>
      </c>
      <c r="V1013" s="87">
        <f>IFERROR(__xludf.DUMMYFUNCTION("""COMPUTED_VALUE"""),0.0)</f>
        <v>0</v>
      </c>
      <c r="W1013" s="87">
        <f>IFERROR(__xludf.DUMMYFUNCTION("""COMPUTED_VALUE"""),0.0)</f>
        <v>0</v>
      </c>
      <c r="X1013" s="88"/>
      <c r="Y1013" s="74"/>
      <c r="Z1013" s="74"/>
    </row>
    <row r="1014">
      <c r="B1014" s="74" t="str">
        <f>IFERROR(__xludf.DUMMYFUNCTION("""COMPUTED_VALUE"""),"2012")</f>
        <v>2012</v>
      </c>
      <c r="C1014" s="74"/>
      <c r="D1014" s="74" t="str">
        <f>IFERROR(__xludf.DUMMYFUNCTION("""COMPUTED_VALUE"""),"\\MCA-S\mk\2_BM\0_BMat\08_PYM\Inventario\excel\Imagen de refacciones\Schwing\1.Outlet Elbow DN 180 _ 1.Codo de Salida DN 180")</f>
        <v>\\MCA-S\mk\2_BM\0_BMat\08_PYM\Inventario\excel\Imagen de refacciones\Schwing\1.Outlet Elbow DN 180 _ 1.Codo de Salida DN 180</v>
      </c>
      <c r="E1014" s="74"/>
      <c r="F1014" s="74" t="str">
        <f>IFERROR(__xludf.DUMMYFUNCTION("""COMPUTED_VALUE"""),"1.Outlet Elbow DN 180 / 1.Codo de Salida DN 180")</f>
        <v>1.Outlet Elbow DN 180 / 1.Codo de Salida DN 180</v>
      </c>
      <c r="G1014" s="74"/>
      <c r="H1014" s="74"/>
      <c r="I1014" s="74" t="str">
        <f>IFERROR(__xludf.DUMMYFUNCTION("""COMPUTED_VALUE"""),"SOM30242")</f>
        <v>SOM30242</v>
      </c>
      <c r="J1014" s="74" t="str">
        <f>IFERROR(__xludf.DUMMYFUNCTION("""COMPUTED_VALUE"""),"10181335")</f>
        <v>10181335</v>
      </c>
      <c r="K1014" s="74" t="str">
        <f>IFERROR(__xludf.DUMMYFUNCTION("""COMPUTED_VALUE"""),"Schwing")</f>
        <v>Schwing</v>
      </c>
      <c r="L1014" s="74" t="str">
        <f>IFERROR(__xludf.DUMMYFUNCTION("""COMPUTED_VALUE"""),"Sistema de Bombeo de Concreto")</f>
        <v>Sistema de Bombeo de Concreto</v>
      </c>
      <c r="M1014" s="74" t="str">
        <f>IFERROR(__xludf.DUMMYFUNCTION("""COMPUTED_VALUE"""),"Sin Asignar")</f>
        <v>Sin Asignar</v>
      </c>
      <c r="N1014" s="87">
        <f>IFERROR(__xludf.DUMMYFUNCTION("""COMPUTED_VALUE"""),0.0)</f>
        <v>0</v>
      </c>
      <c r="O1014" s="74"/>
      <c r="P1014" s="74" t="str">
        <f>IFERROR(__xludf.DUMMYFUNCTION("""COMPUTED_VALUE"""),"No Available")</f>
        <v>No Available</v>
      </c>
      <c r="Q1014" s="74"/>
      <c r="R1014" s="74"/>
      <c r="S1014" s="87">
        <f>IFERROR(__xludf.DUMMYFUNCTION("""COMPUTED_VALUE"""),0.0)</f>
        <v>0</v>
      </c>
      <c r="T1014" s="87">
        <f>IFERROR(__xludf.DUMMYFUNCTION("""COMPUTED_VALUE"""),0.0)</f>
        <v>0</v>
      </c>
      <c r="U1014" s="87">
        <f>IFERROR(__xludf.DUMMYFUNCTION("""COMPUTED_VALUE"""),0.0)</f>
        <v>0</v>
      </c>
      <c r="V1014" s="87">
        <f>IFERROR(__xludf.DUMMYFUNCTION("""COMPUTED_VALUE"""),0.0)</f>
        <v>0</v>
      </c>
      <c r="W1014" s="87">
        <f>IFERROR(__xludf.DUMMYFUNCTION("""COMPUTED_VALUE"""),0.0)</f>
        <v>0</v>
      </c>
      <c r="X1014" s="88"/>
      <c r="Y1014" s="74"/>
      <c r="Z1014" s="74"/>
    </row>
    <row r="1015">
      <c r="B1015" s="74" t="str">
        <f>IFERROR(__xludf.DUMMYFUNCTION("""COMPUTED_VALUE"""),"2013")</f>
        <v>2013</v>
      </c>
      <c r="C1015" s="74"/>
      <c r="D1015" s="74" t="str">
        <f>IFERROR(__xludf.DUMMYFUNCTION("""COMPUTED_VALUE"""),"\\MCA-S\mk\2_BM\0_BMat\08_PYM\Inventario\excel\Imagen de refacciones\Schwing\2.Outlet Elbow DN 180 _ 2.Codo de Salida DN 180")</f>
        <v>\\MCA-S\mk\2_BM\0_BMat\08_PYM\Inventario\excel\Imagen de refacciones\Schwing\2.Outlet Elbow DN 180 _ 2.Codo de Salida DN 180</v>
      </c>
      <c r="E1015" s="74"/>
      <c r="F1015" s="74" t="str">
        <f>IFERROR(__xludf.DUMMYFUNCTION("""COMPUTED_VALUE"""),"2.Outlet Elbow DN 180 / 2.Codo de Salida DN 180")</f>
        <v>2.Outlet Elbow DN 180 / 2.Codo de Salida DN 180</v>
      </c>
      <c r="G1015" s="74"/>
      <c r="H1015" s="74"/>
      <c r="I1015" s="74" t="str">
        <f>IFERROR(__xludf.DUMMYFUNCTION("""COMPUTED_VALUE"""),"SOM30243")</f>
        <v>SOM30243</v>
      </c>
      <c r="J1015" s="74" t="str">
        <f>IFERROR(__xludf.DUMMYFUNCTION("""COMPUTED_VALUE"""),"10181333")</f>
        <v>10181333</v>
      </c>
      <c r="K1015" s="74" t="str">
        <f>IFERROR(__xludf.DUMMYFUNCTION("""COMPUTED_VALUE"""),"Schwing")</f>
        <v>Schwing</v>
      </c>
      <c r="L1015" s="74" t="str">
        <f>IFERROR(__xludf.DUMMYFUNCTION("""COMPUTED_VALUE"""),"Sistema de Bombeo de Concreto")</f>
        <v>Sistema de Bombeo de Concreto</v>
      </c>
      <c r="M1015" s="74" t="str">
        <f>IFERROR(__xludf.DUMMYFUNCTION("""COMPUTED_VALUE"""),"Sin Asignar")</f>
        <v>Sin Asignar</v>
      </c>
      <c r="N1015" s="87">
        <f>IFERROR(__xludf.DUMMYFUNCTION("""COMPUTED_VALUE"""),0.0)</f>
        <v>0</v>
      </c>
      <c r="O1015" s="74"/>
      <c r="P1015" s="74" t="str">
        <f>IFERROR(__xludf.DUMMYFUNCTION("""COMPUTED_VALUE"""),"No Available")</f>
        <v>No Available</v>
      </c>
      <c r="Q1015" s="74"/>
      <c r="R1015" s="74"/>
      <c r="S1015" s="87">
        <f>IFERROR(__xludf.DUMMYFUNCTION("""COMPUTED_VALUE"""),0.0)</f>
        <v>0</v>
      </c>
      <c r="T1015" s="87">
        <f>IFERROR(__xludf.DUMMYFUNCTION("""COMPUTED_VALUE"""),0.0)</f>
        <v>0</v>
      </c>
      <c r="U1015" s="87">
        <f>IFERROR(__xludf.DUMMYFUNCTION("""COMPUTED_VALUE"""),0.0)</f>
        <v>0</v>
      </c>
      <c r="V1015" s="87">
        <f>IFERROR(__xludf.DUMMYFUNCTION("""COMPUTED_VALUE"""),0.0)</f>
        <v>0</v>
      </c>
      <c r="W1015" s="87">
        <f>IFERROR(__xludf.DUMMYFUNCTION("""COMPUTED_VALUE"""),0.0)</f>
        <v>0</v>
      </c>
      <c r="X1015" s="88"/>
      <c r="Y1015" s="74"/>
      <c r="Z1015" s="74"/>
    </row>
    <row r="1016">
      <c r="B1016" s="74" t="str">
        <f>IFERROR(__xludf.DUMMYFUNCTION("""COMPUTED_VALUE"""),"2014")</f>
        <v>2014</v>
      </c>
      <c r="C1016" s="74"/>
      <c r="D1016" s="74" t="str">
        <f>IFERROR(__xludf.DUMMYFUNCTION("""COMPUTED_VALUE"""),"\\MCA-S\mk\2_BM\0_BMat\08_PYM\Inventario\excel\Imagen de refacciones\Schwing\6_ Sealing DN 150_BF 4005 _ Sello de 6_ DN 150_BF 4005")</f>
        <v>\\MCA-S\mk\2_BM\0_BMat\08_PYM\Inventario\excel\Imagen de refacciones\Schwing\6_ Sealing DN 150_BF 4005 _ Sello de 6_ DN 150_BF 4005</v>
      </c>
      <c r="E1016" s="74"/>
      <c r="F1016" s="74" t="str">
        <f>IFERROR(__xludf.DUMMYFUNCTION("""COMPUTED_VALUE"""),"6"" Sealing DN 150/BF 4005 / Sello de 6"" DN 150/BF 4005")</f>
        <v>6" Sealing DN 150/BF 4005 / Sello de 6" DN 150/BF 4005</v>
      </c>
      <c r="G1016" s="74"/>
      <c r="H1016" s="74"/>
      <c r="I1016" s="74" t="str">
        <f>IFERROR(__xludf.DUMMYFUNCTION("""COMPUTED_VALUE"""),"SOM30244")</f>
        <v>SOM30244</v>
      </c>
      <c r="J1016" s="74" t="str">
        <f>IFERROR(__xludf.DUMMYFUNCTION("""COMPUTED_VALUE"""),"10004761")</f>
        <v>10004761</v>
      </c>
      <c r="K1016" s="74" t="str">
        <f>IFERROR(__xludf.DUMMYFUNCTION("""COMPUTED_VALUE"""),"Schwing")</f>
        <v>Schwing</v>
      </c>
      <c r="L1016" s="74" t="str">
        <f>IFERROR(__xludf.DUMMYFUNCTION("""COMPUTED_VALUE"""),"Sellos y Retenes")</f>
        <v>Sellos y Retenes</v>
      </c>
      <c r="M1016" s="74" t="str">
        <f>IFERROR(__xludf.DUMMYFUNCTION("""COMPUTED_VALUE"""),"Sin Asignar")</f>
        <v>Sin Asignar</v>
      </c>
      <c r="N1016" s="87">
        <f>IFERROR(__xludf.DUMMYFUNCTION("""COMPUTED_VALUE"""),0.0)</f>
        <v>0</v>
      </c>
      <c r="O1016" s="74"/>
      <c r="P1016" s="74" t="str">
        <f>IFERROR(__xludf.DUMMYFUNCTION("""COMPUTED_VALUE"""),"No Available")</f>
        <v>No Available</v>
      </c>
      <c r="Q1016" s="74"/>
      <c r="R1016" s="74"/>
      <c r="S1016" s="87">
        <f>IFERROR(__xludf.DUMMYFUNCTION("""COMPUTED_VALUE"""),0.0)</f>
        <v>0</v>
      </c>
      <c r="T1016" s="87">
        <f>IFERROR(__xludf.DUMMYFUNCTION("""COMPUTED_VALUE"""),0.0)</f>
        <v>0</v>
      </c>
      <c r="U1016" s="87">
        <f>IFERROR(__xludf.DUMMYFUNCTION("""COMPUTED_VALUE"""),0.0)</f>
        <v>0</v>
      </c>
      <c r="V1016" s="87">
        <f>IFERROR(__xludf.DUMMYFUNCTION("""COMPUTED_VALUE"""),0.0)</f>
        <v>0</v>
      </c>
      <c r="W1016" s="87">
        <f>IFERROR(__xludf.DUMMYFUNCTION("""COMPUTED_VALUE"""),0.0)</f>
        <v>0</v>
      </c>
      <c r="X1016" s="88"/>
      <c r="Y1016" s="74"/>
      <c r="Z1016" s="74"/>
    </row>
    <row r="1017">
      <c r="B1017" s="74" t="str">
        <f>IFERROR(__xludf.DUMMYFUNCTION("""COMPUTED_VALUE"""),"2015")</f>
        <v>2015</v>
      </c>
      <c r="C1017" s="74" t="str">
        <f>IFERROR(__xludf.DUMMYFUNCTION("""COMPUTED_VALUE"""),"75045880475")</f>
        <v>75045880475</v>
      </c>
      <c r="D1017" s="74" t="str">
        <f>IFERROR(__xludf.DUMMYFUNCTION("""COMPUTED_VALUE"""),"\\MCA-S\mk\2_BM\0_BMat\08_PYM\Inventario\excel\Imagen de refacciones\Schwing\abanico p_enfriador hidráulico 12v ,11_")</f>
        <v>\\MCA-S\mk\2_BM\0_BMat\08_PYM\Inventario\excel\Imagen de refacciones\Schwing\abanico p_enfriador hidráulico 12v ,11_</v>
      </c>
      <c r="E1017" s="74"/>
      <c r="F1017" s="74" t="str">
        <f>IFERROR(__xludf.DUMMYFUNCTION("""COMPUTED_VALUE"""),"ABANICO P/ENFRIADOR HIDRAULICO 12V, 11"" ")</f>
        <v>ABANICO P/ENFRIADOR HIDRAULICO 12V, 11" </v>
      </c>
      <c r="G1017" s="74"/>
      <c r="H1017" s="74"/>
      <c r="I1017" s="74" t="str">
        <f>IFERROR(__xludf.DUMMYFUNCTION("""COMPUTED_VALUE"""),"30394429")</f>
        <v>30394429</v>
      </c>
      <c r="J1017" s="74"/>
      <c r="K1017" s="74" t="str">
        <f>IFERROR(__xludf.DUMMYFUNCTION("""COMPUTED_VALUE"""),"Schwing")</f>
        <v>Schwing</v>
      </c>
      <c r="L1017" s="74"/>
      <c r="M1017" s="74" t="str">
        <f>IFERROR(__xludf.DUMMYFUNCTION("""COMPUTED_VALUE"""),"Sin Asignar")</f>
        <v>Sin Asignar</v>
      </c>
      <c r="N1017" s="87">
        <f>IFERROR(__xludf.DUMMYFUNCTION("""COMPUTED_VALUE"""),0.0)</f>
        <v>0</v>
      </c>
      <c r="O1017" s="74"/>
      <c r="P1017" s="74" t="str">
        <f>IFERROR(__xludf.DUMMYFUNCTION("""COMPUTED_VALUE"""),"To Re-purchase")</f>
        <v>To Re-purchase</v>
      </c>
      <c r="Q1017" s="74"/>
      <c r="R1017" s="74"/>
      <c r="S1017" s="87">
        <f>IFERROR(__xludf.DUMMYFUNCTION("""COMPUTED_VALUE"""),0.0)</f>
        <v>0</v>
      </c>
      <c r="T1017" s="87">
        <f>IFERROR(__xludf.DUMMYFUNCTION("""COMPUTED_VALUE"""),0.0)</f>
        <v>0</v>
      </c>
      <c r="U1017" s="87">
        <f>IFERROR(__xludf.DUMMYFUNCTION("""COMPUTED_VALUE"""),0.0)</f>
        <v>0</v>
      </c>
      <c r="V1017" s="87">
        <f>IFERROR(__xludf.DUMMYFUNCTION("""COMPUTED_VALUE"""),0.0)</f>
        <v>0</v>
      </c>
      <c r="W1017" s="87">
        <f>IFERROR(__xludf.DUMMYFUNCTION("""COMPUTED_VALUE"""),0.0)</f>
        <v>0</v>
      </c>
      <c r="X1017" s="88"/>
      <c r="Y1017" s="74"/>
      <c r="Z1017" s="74"/>
    </row>
    <row r="1018">
      <c r="B1018" s="74" t="str">
        <f>IFERROR(__xludf.DUMMYFUNCTION("""COMPUTED_VALUE"""),"2016")</f>
        <v>2016</v>
      </c>
      <c r="C1018" s="74"/>
      <c r="D1018" s="74" t="str">
        <f>IFERROR(__xludf.DUMMYFUNCTION("""COMPUTED_VALUE"""),"\\MCA-S\mk\2_BM\0_BMat\08_PYM\Inventario\excel\Imagen de refacciones\Schwing\Abrazadera 6_ DN150 con cuña")</f>
        <v>\\MCA-S\mk\2_BM\0_BMat\08_PYM\Inventario\excel\Imagen de refacciones\Schwing\Abrazadera 6_ DN150 con cuña</v>
      </c>
      <c r="E1018" s="74" t="str">
        <f>IFERROR(__xludf.DUMMYFUNCTION("""COMPUTED_VALUE"""),"SCHWING CLAMP WEDGE MET. DN150 6""")</f>
        <v>SCHWING CLAMP WEDGE MET. DN150 6"</v>
      </c>
      <c r="F1018" s="74" t="str">
        <f>IFERROR(__xludf.DUMMYFUNCTION("""COMPUTED_VALUE"""),"ABRAZADERA CON CUNA MET. DN150 6""")</f>
        <v>ABRAZADERA CON CUNA MET. DN150 6"</v>
      </c>
      <c r="G1018" s="74"/>
      <c r="H1018" s="74"/>
      <c r="I1018" s="74" t="str">
        <f>IFERROR(__xludf.DUMMYFUNCTION("""COMPUTED_VALUE"""),"10043559")</f>
        <v>10043559</v>
      </c>
      <c r="J1018" s="74"/>
      <c r="K1018" s="74" t="str">
        <f>IFERROR(__xludf.DUMMYFUNCTION("""COMPUTED_VALUE"""),"Schwing")</f>
        <v>Schwing</v>
      </c>
      <c r="L1018" s="74"/>
      <c r="M1018" s="74" t="str">
        <f>IFERROR(__xludf.DUMMYFUNCTION("""COMPUTED_VALUE"""),"TUBOS")</f>
        <v>TUBOS</v>
      </c>
      <c r="N1018" s="87">
        <f>IFERROR(__xludf.DUMMYFUNCTION("""COMPUTED_VALUE"""),0.0)</f>
        <v>0</v>
      </c>
      <c r="O1018" s="74"/>
      <c r="P1018" s="74" t="str">
        <f>IFERROR(__xludf.DUMMYFUNCTION("""COMPUTED_VALUE"""),"borrar")</f>
        <v>borrar</v>
      </c>
      <c r="Q1018" s="74"/>
      <c r="R1018" s="74"/>
      <c r="S1018" s="87">
        <f>IFERROR(__xludf.DUMMYFUNCTION("""COMPUTED_VALUE"""),0.0)</f>
        <v>0</v>
      </c>
      <c r="T1018" s="87">
        <f>IFERROR(__xludf.DUMMYFUNCTION("""COMPUTED_VALUE"""),0.0)</f>
        <v>0</v>
      </c>
      <c r="U1018" s="87">
        <f>IFERROR(__xludf.DUMMYFUNCTION("""COMPUTED_VALUE"""),0.0)</f>
        <v>0</v>
      </c>
      <c r="V1018" s="87">
        <f>IFERROR(__xludf.DUMMYFUNCTION("""COMPUTED_VALUE"""),0.0)</f>
        <v>0</v>
      </c>
      <c r="W1018" s="87">
        <f>IFERROR(__xludf.DUMMYFUNCTION("""COMPUTED_VALUE"""),0.0)</f>
        <v>0</v>
      </c>
      <c r="X1018" s="88"/>
      <c r="Y1018" s="74"/>
      <c r="Z1018" s="74"/>
    </row>
    <row r="1019">
      <c r="B1019" s="74" t="str">
        <f>IFERROR(__xludf.DUMMYFUNCTION("""COMPUTED_VALUE"""),"2017")</f>
        <v>2017</v>
      </c>
      <c r="C1019" s="74"/>
      <c r="D1019" s="74" t="str">
        <f>IFERROR(__xludf.DUMMYFUNCTION("""COMPUTED_VALUE"""),"\\MCA-S\mk\2_BM\0_BMat\08_PYM\Inventario\excel\Imagen de refacciones\Schwing\Agitator Bearing L _ Cojinete Agitador L")</f>
        <v>\\MCA-S\mk\2_BM\0_BMat\08_PYM\Inventario\excel\Imagen de refacciones\Schwing\Agitator Bearing L _ Cojinete Agitador L</v>
      </c>
      <c r="E1019" s="74"/>
      <c r="F1019" s="74" t="str">
        <f>IFERROR(__xludf.DUMMYFUNCTION("""COMPUTED_VALUE"""),"Agitator Bearing L / Cojinete Agitador L")</f>
        <v>Agitator Bearing L / Cojinete Agitador L</v>
      </c>
      <c r="G1019" s="74"/>
      <c r="H1019" s="74"/>
      <c r="I1019" s="74" t="str">
        <f>IFERROR(__xludf.DUMMYFUNCTION("""COMPUTED_VALUE"""),"SOM30163")</f>
        <v>SOM30163</v>
      </c>
      <c r="J1019" s="74" t="str">
        <f>IFERROR(__xludf.DUMMYFUNCTION("""COMPUTED_VALUE"""),"10061072")</f>
        <v>10061072</v>
      </c>
      <c r="K1019" s="74" t="str">
        <f>IFERROR(__xludf.DUMMYFUNCTION("""COMPUTED_VALUE"""),"Schwing")</f>
        <v>Schwing</v>
      </c>
      <c r="L1019" s="74" t="str">
        <f>IFERROR(__xludf.DUMMYFUNCTION("""COMPUTED_VALUE"""),"Transmisión Mecánica")</f>
        <v>Transmisión Mecánica</v>
      </c>
      <c r="M1019" s="74" t="str">
        <f>IFERROR(__xludf.DUMMYFUNCTION("""COMPUTED_VALUE"""),"Sin Asignar")</f>
        <v>Sin Asignar</v>
      </c>
      <c r="N1019" s="87">
        <f>IFERROR(__xludf.DUMMYFUNCTION("""COMPUTED_VALUE"""),0.0)</f>
        <v>0</v>
      </c>
      <c r="O1019" s="74"/>
      <c r="P1019" s="74" t="str">
        <f>IFERROR(__xludf.DUMMYFUNCTION("""COMPUTED_VALUE"""),"No Available")</f>
        <v>No Available</v>
      </c>
      <c r="Q1019" s="74"/>
      <c r="R1019" s="74"/>
      <c r="S1019" s="87">
        <f>IFERROR(__xludf.DUMMYFUNCTION("""COMPUTED_VALUE"""),0.0)</f>
        <v>0</v>
      </c>
      <c r="T1019" s="87">
        <f>IFERROR(__xludf.DUMMYFUNCTION("""COMPUTED_VALUE"""),0.0)</f>
        <v>0</v>
      </c>
      <c r="U1019" s="87">
        <f>IFERROR(__xludf.DUMMYFUNCTION("""COMPUTED_VALUE"""),0.0)</f>
        <v>0</v>
      </c>
      <c r="V1019" s="87">
        <f>IFERROR(__xludf.DUMMYFUNCTION("""COMPUTED_VALUE"""),0.0)</f>
        <v>0</v>
      </c>
      <c r="W1019" s="87">
        <f>IFERROR(__xludf.DUMMYFUNCTION("""COMPUTED_VALUE"""),0.0)</f>
        <v>0</v>
      </c>
      <c r="X1019" s="88"/>
      <c r="Y1019" s="74"/>
      <c r="Z1019" s="74"/>
    </row>
    <row r="1020">
      <c r="B1020" s="74" t="str">
        <f>IFERROR(__xludf.DUMMYFUNCTION("""COMPUTED_VALUE"""),"2018")</f>
        <v>2018</v>
      </c>
      <c r="C1020" s="74"/>
      <c r="D1020" s="74" t="str">
        <f>IFERROR(__xludf.DUMMYFUNCTION("""COMPUTED_VALUE"""),"\\MCA-S\mk\2_BM\0_BMat\08_PYM\Inventario\excel\Imagen de refacciones\Schwing\Agitator Bearing R _ Cojinete Agitador R")</f>
        <v>\\MCA-S\mk\2_BM\0_BMat\08_PYM\Inventario\excel\Imagen de refacciones\Schwing\Agitator Bearing R _ Cojinete Agitador R</v>
      </c>
      <c r="E1020" s="74"/>
      <c r="F1020" s="74" t="str">
        <f>IFERROR(__xludf.DUMMYFUNCTION("""COMPUTED_VALUE"""),"Agitator Bearing R / Cojinete Agitador R")</f>
        <v>Agitator Bearing R / Cojinete Agitador R</v>
      </c>
      <c r="G1020" s="74"/>
      <c r="H1020" s="74"/>
      <c r="I1020" s="74" t="str">
        <f>IFERROR(__xludf.DUMMYFUNCTION("""COMPUTED_VALUE"""),"SOM30164")</f>
        <v>SOM30164</v>
      </c>
      <c r="J1020" s="74" t="str">
        <f>IFERROR(__xludf.DUMMYFUNCTION("""COMPUTED_VALUE"""),"10061073")</f>
        <v>10061073</v>
      </c>
      <c r="K1020" s="74" t="str">
        <f>IFERROR(__xludf.DUMMYFUNCTION("""COMPUTED_VALUE"""),"Schwing")</f>
        <v>Schwing</v>
      </c>
      <c r="L1020" s="74" t="str">
        <f>IFERROR(__xludf.DUMMYFUNCTION("""COMPUTED_VALUE"""),"Transmisión Mecánica")</f>
        <v>Transmisión Mecánica</v>
      </c>
      <c r="M1020" s="74" t="str">
        <f>IFERROR(__xludf.DUMMYFUNCTION("""COMPUTED_VALUE"""),"Sin Asignar")</f>
        <v>Sin Asignar</v>
      </c>
      <c r="N1020" s="87">
        <f>IFERROR(__xludf.DUMMYFUNCTION("""COMPUTED_VALUE"""),0.0)</f>
        <v>0</v>
      </c>
      <c r="O1020" s="74"/>
      <c r="P1020" s="74" t="str">
        <f>IFERROR(__xludf.DUMMYFUNCTION("""COMPUTED_VALUE"""),"No Available")</f>
        <v>No Available</v>
      </c>
      <c r="Q1020" s="74"/>
      <c r="R1020" s="74"/>
      <c r="S1020" s="87">
        <f>IFERROR(__xludf.DUMMYFUNCTION("""COMPUTED_VALUE"""),0.0)</f>
        <v>0</v>
      </c>
      <c r="T1020" s="87">
        <f>IFERROR(__xludf.DUMMYFUNCTION("""COMPUTED_VALUE"""),0.0)</f>
        <v>0</v>
      </c>
      <c r="U1020" s="87">
        <f>IFERROR(__xludf.DUMMYFUNCTION("""COMPUTED_VALUE"""),0.0)</f>
        <v>0</v>
      </c>
      <c r="V1020" s="87">
        <f>IFERROR(__xludf.DUMMYFUNCTION("""COMPUTED_VALUE"""),0.0)</f>
        <v>0</v>
      </c>
      <c r="W1020" s="87">
        <f>IFERROR(__xludf.DUMMYFUNCTION("""COMPUTED_VALUE"""),0.0)</f>
        <v>0</v>
      </c>
      <c r="X1020" s="88"/>
      <c r="Y1020" s="74"/>
      <c r="Z1020" s="74"/>
    </row>
    <row r="1021">
      <c r="B1021" s="74" t="str">
        <f>IFERROR(__xludf.DUMMYFUNCTION("""COMPUTED_VALUE"""),"2019")</f>
        <v>2019</v>
      </c>
      <c r="C1021" s="74"/>
      <c r="D1021" s="74" t="str">
        <f>IFERROR(__xludf.DUMMYFUNCTION("""COMPUTED_VALUE"""),"\\MCA-S\mk\2_BM\0_BMat\08_PYM\Inventario\excel\Imagen de refacciones\Schwing\Agitator Complete - New Type _ Agitador Completo - Nuevo Tipo")</f>
        <v>\\MCA-S\mk\2_BM\0_BMat\08_PYM\Inventario\excel\Imagen de refacciones\Schwing\Agitator Complete - New Type _ Agitador Completo - Nuevo Tipo</v>
      </c>
      <c r="E1021" s="74"/>
      <c r="F1021" s="74" t="str">
        <f>IFERROR(__xludf.DUMMYFUNCTION("""COMPUTED_VALUE"""),"Agitator Complete - New Type / Agitador Completo - Nuevo Tipo")</f>
        <v>Agitator Complete - New Type / Agitador Completo - Nuevo Tipo</v>
      </c>
      <c r="G1021" s="74"/>
      <c r="H1021" s="74"/>
      <c r="I1021" s="74" t="str">
        <f>IFERROR(__xludf.DUMMYFUNCTION("""COMPUTED_VALUE"""),"SOM30356")</f>
        <v>SOM30356</v>
      </c>
      <c r="J1021" s="74" t="str">
        <f>IFERROR(__xludf.DUMMYFUNCTION("""COMPUTED_VALUE"""),"98347073")</f>
        <v>98347073</v>
      </c>
      <c r="K1021" s="74" t="str">
        <f>IFERROR(__xludf.DUMMYFUNCTION("""COMPUTED_VALUE"""),"Schwing")</f>
        <v>Schwing</v>
      </c>
      <c r="L1021" s="74" t="str">
        <f>IFERROR(__xludf.DUMMYFUNCTION("""COMPUTED_VALUE"""),"Sistema de Bombeo de Concreto")</f>
        <v>Sistema de Bombeo de Concreto</v>
      </c>
      <c r="M1021" s="74" t="str">
        <f>IFERROR(__xludf.DUMMYFUNCTION("""COMPUTED_VALUE"""),"Sin Asignar")</f>
        <v>Sin Asignar</v>
      </c>
      <c r="N1021" s="87">
        <f>IFERROR(__xludf.DUMMYFUNCTION("""COMPUTED_VALUE"""),0.0)</f>
        <v>0</v>
      </c>
      <c r="O1021" s="74"/>
      <c r="P1021" s="74" t="str">
        <f>IFERROR(__xludf.DUMMYFUNCTION("""COMPUTED_VALUE"""),"No Available")</f>
        <v>No Available</v>
      </c>
      <c r="Q1021" s="74"/>
      <c r="R1021" s="74"/>
      <c r="S1021" s="87">
        <f>IFERROR(__xludf.DUMMYFUNCTION("""COMPUTED_VALUE"""),0.0)</f>
        <v>0</v>
      </c>
      <c r="T1021" s="87">
        <f>IFERROR(__xludf.DUMMYFUNCTION("""COMPUTED_VALUE"""),0.0)</f>
        <v>0</v>
      </c>
      <c r="U1021" s="87">
        <f>IFERROR(__xludf.DUMMYFUNCTION("""COMPUTED_VALUE"""),0.0)</f>
        <v>0</v>
      </c>
      <c r="V1021" s="87">
        <f>IFERROR(__xludf.DUMMYFUNCTION("""COMPUTED_VALUE"""),0.0)</f>
        <v>0</v>
      </c>
      <c r="W1021" s="87">
        <f>IFERROR(__xludf.DUMMYFUNCTION("""COMPUTED_VALUE"""),0.0)</f>
        <v>0</v>
      </c>
      <c r="X1021" s="88"/>
      <c r="Y1021" s="74"/>
      <c r="Z1021" s="74"/>
    </row>
    <row r="1022">
      <c r="B1022" s="74" t="str">
        <f>IFERROR(__xludf.DUMMYFUNCTION("""COMPUTED_VALUE"""),"2020")</f>
        <v>2020</v>
      </c>
      <c r="C1022" s="74"/>
      <c r="D1022" s="74" t="str">
        <f>IFERROR(__xludf.DUMMYFUNCTION("""COMPUTED_VALUE"""),"\\MCA-S\mk\2_BM\0_BMat\08_PYM\Inventario\excel\Imagen de refacciones\Schwing\Agitator Shaft _ Eje Agitador")</f>
        <v>\\MCA-S\mk\2_BM\0_BMat\08_PYM\Inventario\excel\Imagen de refacciones\Schwing\Agitator Shaft _ Eje Agitador</v>
      </c>
      <c r="E1022" s="74"/>
      <c r="F1022" s="74" t="str">
        <f>IFERROR(__xludf.DUMMYFUNCTION("""COMPUTED_VALUE"""),"Agitator Shaft / Eje Agitador")</f>
        <v>Agitator Shaft / Eje Agitador</v>
      </c>
      <c r="G1022" s="74"/>
      <c r="H1022" s="74"/>
      <c r="I1022" s="74" t="str">
        <f>IFERROR(__xludf.DUMMYFUNCTION("""COMPUTED_VALUE"""),"SOM30155")</f>
        <v>SOM30155</v>
      </c>
      <c r="J1022" s="74" t="str">
        <f>IFERROR(__xludf.DUMMYFUNCTION("""COMPUTED_VALUE"""),"10167220")</f>
        <v>10167220</v>
      </c>
      <c r="K1022" s="74" t="str">
        <f>IFERROR(__xludf.DUMMYFUNCTION("""COMPUTED_VALUE"""),"Schwing")</f>
        <v>Schwing</v>
      </c>
      <c r="L1022" s="74" t="str">
        <f>IFERROR(__xludf.DUMMYFUNCTION("""COMPUTED_VALUE"""),"Sistema de Bombeo de Concreto")</f>
        <v>Sistema de Bombeo de Concreto</v>
      </c>
      <c r="M1022" s="74" t="str">
        <f>IFERROR(__xludf.DUMMYFUNCTION("""COMPUTED_VALUE"""),"Sin Asignar")</f>
        <v>Sin Asignar</v>
      </c>
      <c r="N1022" s="87">
        <f>IFERROR(__xludf.DUMMYFUNCTION("""COMPUTED_VALUE"""),0.0)</f>
        <v>0</v>
      </c>
      <c r="O1022" s="74"/>
      <c r="P1022" s="74" t="str">
        <f>IFERROR(__xludf.DUMMYFUNCTION("""COMPUTED_VALUE"""),"No Available")</f>
        <v>No Available</v>
      </c>
      <c r="Q1022" s="74"/>
      <c r="R1022" s="74"/>
      <c r="S1022" s="87">
        <f>IFERROR(__xludf.DUMMYFUNCTION("""COMPUTED_VALUE"""),0.0)</f>
        <v>0</v>
      </c>
      <c r="T1022" s="87">
        <f>IFERROR(__xludf.DUMMYFUNCTION("""COMPUTED_VALUE"""),0.0)</f>
        <v>0</v>
      </c>
      <c r="U1022" s="87">
        <f>IFERROR(__xludf.DUMMYFUNCTION("""COMPUTED_VALUE"""),0.0)</f>
        <v>0</v>
      </c>
      <c r="V1022" s="87">
        <f>IFERROR(__xludf.DUMMYFUNCTION("""COMPUTED_VALUE"""),0.0)</f>
        <v>0</v>
      </c>
      <c r="W1022" s="87">
        <f>IFERROR(__xludf.DUMMYFUNCTION("""COMPUTED_VALUE"""),0.0)</f>
        <v>0</v>
      </c>
      <c r="X1022" s="88"/>
      <c r="Y1022" s="74"/>
      <c r="Z1022" s="74"/>
    </row>
    <row r="1023">
      <c r="B1023" s="74" t="str">
        <f>IFERROR(__xludf.DUMMYFUNCTION("""COMPUTED_VALUE"""),"2021")</f>
        <v>2021</v>
      </c>
      <c r="C1023" s="74"/>
      <c r="D1023" s="74" t="str">
        <f>IFERROR(__xludf.DUMMYFUNCTION("""COMPUTED_VALUE"""),"\\MCA-S\mk\2_BM\0_BMat\08_PYM\Inventario\excel\Imagen de refacciones\Schwing\Agitator Shaft _ Eje Agitador (1)")</f>
        <v>\\MCA-S\mk\2_BM\0_BMat\08_PYM\Inventario\excel\Imagen de refacciones\Schwing\Agitator Shaft _ Eje Agitador (1)</v>
      </c>
      <c r="E1023" s="74"/>
      <c r="F1023" s="74" t="str">
        <f>IFERROR(__xludf.DUMMYFUNCTION("""COMPUTED_VALUE"""),"Agitator Shaft / Eje Agitador")</f>
        <v>Agitator Shaft / Eje Agitador</v>
      </c>
      <c r="G1023" s="74"/>
      <c r="H1023" s="74"/>
      <c r="I1023" s="74" t="str">
        <f>IFERROR(__xludf.DUMMYFUNCTION("""COMPUTED_VALUE"""),"SOM30156")</f>
        <v>SOM30156</v>
      </c>
      <c r="J1023" s="74" t="str">
        <f>IFERROR(__xludf.DUMMYFUNCTION("""COMPUTED_VALUE"""),"10162502")</f>
        <v>10162502</v>
      </c>
      <c r="K1023" s="74" t="str">
        <f>IFERROR(__xludf.DUMMYFUNCTION("""COMPUTED_VALUE"""),"Schwing")</f>
        <v>Schwing</v>
      </c>
      <c r="L1023" s="74" t="str">
        <f>IFERROR(__xludf.DUMMYFUNCTION("""COMPUTED_VALUE"""),"Sistema de Bombeo de Concreto")</f>
        <v>Sistema de Bombeo de Concreto</v>
      </c>
      <c r="M1023" s="74" t="str">
        <f>IFERROR(__xludf.DUMMYFUNCTION("""COMPUTED_VALUE"""),"Sin Asignar")</f>
        <v>Sin Asignar</v>
      </c>
      <c r="N1023" s="87">
        <f>IFERROR(__xludf.DUMMYFUNCTION("""COMPUTED_VALUE"""),0.0)</f>
        <v>0</v>
      </c>
      <c r="O1023" s="74"/>
      <c r="P1023" s="74" t="str">
        <f>IFERROR(__xludf.DUMMYFUNCTION("""COMPUTED_VALUE"""),"No Available")</f>
        <v>No Available</v>
      </c>
      <c r="Q1023" s="74"/>
      <c r="R1023" s="74"/>
      <c r="S1023" s="87">
        <f>IFERROR(__xludf.DUMMYFUNCTION("""COMPUTED_VALUE"""),0.0)</f>
        <v>0</v>
      </c>
      <c r="T1023" s="87">
        <f>IFERROR(__xludf.DUMMYFUNCTION("""COMPUTED_VALUE"""),0.0)</f>
        <v>0</v>
      </c>
      <c r="U1023" s="87">
        <f>IFERROR(__xludf.DUMMYFUNCTION("""COMPUTED_VALUE"""),0.0)</f>
        <v>0</v>
      </c>
      <c r="V1023" s="87">
        <f>IFERROR(__xludf.DUMMYFUNCTION("""COMPUTED_VALUE"""),0.0)</f>
        <v>0</v>
      </c>
      <c r="W1023" s="87">
        <f>IFERROR(__xludf.DUMMYFUNCTION("""COMPUTED_VALUE"""),0.0)</f>
        <v>0</v>
      </c>
      <c r="X1023" s="88"/>
      <c r="Y1023" s="74"/>
      <c r="Z1023" s="74"/>
    </row>
    <row r="1024">
      <c r="B1024" s="74" t="str">
        <f>IFERROR(__xludf.DUMMYFUNCTION("""COMPUTED_VALUE"""),"2022")</f>
        <v>2022</v>
      </c>
      <c r="C1024" s="74"/>
      <c r="D1024" s="74" t="str">
        <f>IFERROR(__xludf.DUMMYFUNCTION("""COMPUTED_VALUE"""),"\\MCA-S\mk\2_BM\0_BMat\08_PYM\Inventario\excel\Imagen de refacciones\Schwing\Agitator Shaft _ Eje Agitador (2)")</f>
        <v>\\MCA-S\mk\2_BM\0_BMat\08_PYM\Inventario\excel\Imagen de refacciones\Schwing\Agitator Shaft _ Eje Agitador (2)</v>
      </c>
      <c r="E1024" s="74"/>
      <c r="F1024" s="74" t="str">
        <f>IFERROR(__xludf.DUMMYFUNCTION("""COMPUTED_VALUE"""),"Agitator Shaft / Eje Agitador")</f>
        <v>Agitator Shaft / Eje Agitador</v>
      </c>
      <c r="G1024" s="74"/>
      <c r="H1024" s="74"/>
      <c r="I1024" s="74" t="str">
        <f>IFERROR(__xludf.DUMMYFUNCTION("""COMPUTED_VALUE"""),"SOM30157")</f>
        <v>SOM30157</v>
      </c>
      <c r="J1024" s="74" t="str">
        <f>IFERROR(__xludf.DUMMYFUNCTION("""COMPUTED_VALUE"""),"10052446")</f>
        <v>10052446</v>
      </c>
      <c r="K1024" s="74" t="str">
        <f>IFERROR(__xludf.DUMMYFUNCTION("""COMPUTED_VALUE"""),"Schwing")</f>
        <v>Schwing</v>
      </c>
      <c r="L1024" s="74" t="str">
        <f>IFERROR(__xludf.DUMMYFUNCTION("""COMPUTED_VALUE"""),"Sistema de Bombeo de Concreto")</f>
        <v>Sistema de Bombeo de Concreto</v>
      </c>
      <c r="M1024" s="74" t="str">
        <f>IFERROR(__xludf.DUMMYFUNCTION("""COMPUTED_VALUE"""),"Sin Asignar")</f>
        <v>Sin Asignar</v>
      </c>
      <c r="N1024" s="87">
        <f>IFERROR(__xludf.DUMMYFUNCTION("""COMPUTED_VALUE"""),0.0)</f>
        <v>0</v>
      </c>
      <c r="O1024" s="74"/>
      <c r="P1024" s="74" t="str">
        <f>IFERROR(__xludf.DUMMYFUNCTION("""COMPUTED_VALUE"""),"No Available")</f>
        <v>No Available</v>
      </c>
      <c r="Q1024" s="74"/>
      <c r="R1024" s="74"/>
      <c r="S1024" s="87">
        <f>IFERROR(__xludf.DUMMYFUNCTION("""COMPUTED_VALUE"""),0.0)</f>
        <v>0</v>
      </c>
      <c r="T1024" s="87">
        <f>IFERROR(__xludf.DUMMYFUNCTION("""COMPUTED_VALUE"""),0.0)</f>
        <v>0</v>
      </c>
      <c r="U1024" s="87">
        <f>IFERROR(__xludf.DUMMYFUNCTION("""COMPUTED_VALUE"""),0.0)</f>
        <v>0</v>
      </c>
      <c r="V1024" s="87">
        <f>IFERROR(__xludf.DUMMYFUNCTION("""COMPUTED_VALUE"""),0.0)</f>
        <v>0</v>
      </c>
      <c r="W1024" s="87">
        <f>IFERROR(__xludf.DUMMYFUNCTION("""COMPUTED_VALUE"""),0.0)</f>
        <v>0</v>
      </c>
      <c r="X1024" s="88"/>
      <c r="Y1024" s="74"/>
      <c r="Z1024" s="74"/>
    </row>
    <row r="1025">
      <c r="B1025" s="74" t="str">
        <f>IFERROR(__xludf.DUMMYFUNCTION("""COMPUTED_VALUE"""),"2023")</f>
        <v>2023</v>
      </c>
      <c r="C1025" s="74" t="str">
        <f>IFERROR(__xludf.DUMMYFUNCTION("""COMPUTED_VALUE"""),"75045880477")</f>
        <v>75045880477</v>
      </c>
      <c r="D1025" s="74" t="str">
        <f>IFERROR(__xludf.DUMMYFUNCTION("""COMPUTED_VALUE"""),"\\MCA-S\mk\2_BM\0_BMat\08_PYM\Inventario\excel\Imagen de refacciones\Schwing\Anillo de corte DN231")</f>
        <v>\\MCA-S\mk\2_BM\0_BMat\08_PYM\Inventario\excel\Imagen de refacciones\Schwing\Anillo de corte DN231</v>
      </c>
      <c r="E1025" s="74" t="str">
        <f>IFERROR(__xludf.DUMMYFUNCTION("""COMPUTED_VALUE"""),"CUTTING RING DN230")</f>
        <v>CUTTING RING DN230</v>
      </c>
      <c r="F1025" s="74" t="str">
        <f>IFERROR(__xludf.DUMMYFUNCTION("""COMPUTED_VALUE"""),"ANILLO CORTE DN230")</f>
        <v>ANILLO CORTE DN230</v>
      </c>
      <c r="G1025" s="74"/>
      <c r="H1025" s="74"/>
      <c r="I1025" s="74" t="str">
        <f>IFERROR(__xludf.DUMMYFUNCTION("""COMPUTED_VALUE"""),"10166890")</f>
        <v>10166890</v>
      </c>
      <c r="J1025" s="74"/>
      <c r="K1025" s="74" t="str">
        <f>IFERROR(__xludf.DUMMYFUNCTION("""COMPUTED_VALUE"""),"Schwing")</f>
        <v>Schwing</v>
      </c>
      <c r="L1025" s="74" t="str">
        <f>IFERROR(__xludf.DUMMYFUNCTION("""COMPUTED_VALUE"""),"BARRA V-ROCK")</f>
        <v>BARRA V-ROCK</v>
      </c>
      <c r="M1025" s="74" t="str">
        <f>IFERROR(__xludf.DUMMYFUNCTION("""COMPUTED_VALUE"""),"ANILLOS METALICOS")</f>
        <v>ANILLOS METALICOS</v>
      </c>
      <c r="N1025" s="87">
        <f>IFERROR(__xludf.DUMMYFUNCTION("""COMPUTED_VALUE"""),0.0)</f>
        <v>0</v>
      </c>
      <c r="O1025" s="74"/>
      <c r="P1025" s="74" t="str">
        <f>IFERROR(__xludf.DUMMYFUNCTION("""COMPUTED_VALUE"""),"To Re-purchase")</f>
        <v>To Re-purchase</v>
      </c>
      <c r="Q1025" s="74"/>
      <c r="R1025" s="74"/>
      <c r="S1025" s="87">
        <f>IFERROR(__xludf.DUMMYFUNCTION("""COMPUTED_VALUE"""),0.0)</f>
        <v>0</v>
      </c>
      <c r="T1025" s="87">
        <f>IFERROR(__xludf.DUMMYFUNCTION("""COMPUTED_VALUE"""),0.0)</f>
        <v>0</v>
      </c>
      <c r="U1025" s="87">
        <f>IFERROR(__xludf.DUMMYFUNCTION("""COMPUTED_VALUE"""),0.0)</f>
        <v>0</v>
      </c>
      <c r="V1025" s="87">
        <f>IFERROR(__xludf.DUMMYFUNCTION("""COMPUTED_VALUE"""),0.0)</f>
        <v>0</v>
      </c>
      <c r="W1025" s="87">
        <f>IFERROR(__xludf.DUMMYFUNCTION("""COMPUTED_VALUE"""),0.0)</f>
        <v>0</v>
      </c>
      <c r="X1025" s="88"/>
      <c r="Y1025" s="74"/>
      <c r="Z1025" s="74"/>
    </row>
    <row r="1026">
      <c r="B1026" s="74" t="str">
        <f>IFERROR(__xludf.DUMMYFUNCTION("""COMPUTED_VALUE"""),"2024")</f>
        <v>2024</v>
      </c>
      <c r="C1026" s="74"/>
      <c r="D1026" s="74"/>
      <c r="E1026" s="74"/>
      <c r="F1026" s="74" t="str">
        <f>IFERROR(__xludf.DUMMYFUNCTION("""COMPUTED_VALUE"""),"ANILLO DE DESGASTE DN PARA BOMBA DE HORMIGON")</f>
        <v>ANILLO DE DESGASTE DN PARA BOMBA DE HORMIGON</v>
      </c>
      <c r="G1026" s="74"/>
      <c r="H1026" s="74"/>
      <c r="I1026" s="74"/>
      <c r="J1026" s="74"/>
      <c r="K1026" s="74" t="str">
        <f>IFERROR(__xludf.DUMMYFUNCTION("""COMPUTED_VALUE"""),"Schwing")</f>
        <v>Schwing</v>
      </c>
      <c r="L1026" s="74"/>
      <c r="M1026" s="74" t="str">
        <f>IFERROR(__xludf.DUMMYFUNCTION("""COMPUTED_VALUE"""),"Sin Asignar")</f>
        <v>Sin Asignar</v>
      </c>
      <c r="N1026" s="87">
        <f>IFERROR(__xludf.DUMMYFUNCTION("""COMPUTED_VALUE"""),0.0)</f>
        <v>0</v>
      </c>
      <c r="O1026" s="74"/>
      <c r="P1026" s="74" t="str">
        <f>IFERROR(__xludf.DUMMYFUNCTION("""COMPUTED_VALUE"""),"No Available")</f>
        <v>No Available</v>
      </c>
      <c r="Q1026" s="74"/>
      <c r="R1026" s="74"/>
      <c r="S1026" s="87">
        <f>IFERROR(__xludf.DUMMYFUNCTION("""COMPUTED_VALUE"""),0.0)</f>
        <v>0</v>
      </c>
      <c r="T1026" s="87">
        <f>IFERROR(__xludf.DUMMYFUNCTION("""COMPUTED_VALUE"""),0.0)</f>
        <v>0</v>
      </c>
      <c r="U1026" s="87">
        <f>IFERROR(__xludf.DUMMYFUNCTION("""COMPUTED_VALUE"""),0.0)</f>
        <v>0</v>
      </c>
      <c r="V1026" s="87">
        <f>IFERROR(__xludf.DUMMYFUNCTION("""COMPUTED_VALUE"""),0.0)</f>
        <v>0</v>
      </c>
      <c r="W1026" s="87">
        <f>IFERROR(__xludf.DUMMYFUNCTION("""COMPUTED_VALUE"""),0.0)</f>
        <v>0</v>
      </c>
      <c r="X1026" s="88"/>
      <c r="Y1026" s="74"/>
      <c r="Z1026" s="74"/>
    </row>
    <row r="1027">
      <c r="B1027" s="74" t="str">
        <f>IFERROR(__xludf.DUMMYFUNCTION("""COMPUTED_VALUE"""),"2025")</f>
        <v>2025</v>
      </c>
      <c r="C1027" s="74"/>
      <c r="D1027" s="74"/>
      <c r="E1027" s="74"/>
      <c r="F1027" s="74" t="str">
        <f>IFERROR(__xludf.DUMMYFUNCTION("""COMPUTED_VALUE"""),"ANILLO DE DESGASTE DN PARA BOMBA DE HORMIGON")</f>
        <v>ANILLO DE DESGASTE DN PARA BOMBA DE HORMIGON</v>
      </c>
      <c r="G1027" s="74"/>
      <c r="H1027" s="74"/>
      <c r="I1027" s="74"/>
      <c r="J1027" s="74"/>
      <c r="K1027" s="74" t="str">
        <f>IFERROR(__xludf.DUMMYFUNCTION("""COMPUTED_VALUE"""),"Schwing")</f>
        <v>Schwing</v>
      </c>
      <c r="L1027" s="74"/>
      <c r="M1027" s="74" t="str">
        <f>IFERROR(__xludf.DUMMYFUNCTION("""COMPUTED_VALUE"""),"Sin Asignar")</f>
        <v>Sin Asignar</v>
      </c>
      <c r="N1027" s="87">
        <f>IFERROR(__xludf.DUMMYFUNCTION("""COMPUTED_VALUE"""),0.0)</f>
        <v>0</v>
      </c>
      <c r="O1027" s="74"/>
      <c r="P1027" s="74" t="str">
        <f>IFERROR(__xludf.DUMMYFUNCTION("""COMPUTED_VALUE"""),"No Available")</f>
        <v>No Available</v>
      </c>
      <c r="Q1027" s="74"/>
      <c r="R1027" s="74"/>
      <c r="S1027" s="87">
        <f>IFERROR(__xludf.DUMMYFUNCTION("""COMPUTED_VALUE"""),0.0)</f>
        <v>0</v>
      </c>
      <c r="T1027" s="87">
        <f>IFERROR(__xludf.DUMMYFUNCTION("""COMPUTED_VALUE"""),0.0)</f>
        <v>0</v>
      </c>
      <c r="U1027" s="87">
        <f>IFERROR(__xludf.DUMMYFUNCTION("""COMPUTED_VALUE"""),0.0)</f>
        <v>0</v>
      </c>
      <c r="V1027" s="87">
        <f>IFERROR(__xludf.DUMMYFUNCTION("""COMPUTED_VALUE"""),0.0)</f>
        <v>0</v>
      </c>
      <c r="W1027" s="87">
        <f>IFERROR(__xludf.DUMMYFUNCTION("""COMPUTED_VALUE"""),0.0)</f>
        <v>0</v>
      </c>
      <c r="X1027" s="88"/>
      <c r="Y1027" s="74"/>
      <c r="Z1027" s="74"/>
    </row>
    <row r="1028">
      <c r="B1028" s="74" t="str">
        <f>IFERROR(__xludf.DUMMYFUNCTION("""COMPUTED_VALUE"""),"2026")</f>
        <v>2026</v>
      </c>
      <c r="C1028" s="74" t="str">
        <f>IFERROR(__xludf.DUMMYFUNCTION("""COMPUTED_VALUE"""),"75045880555")</f>
        <v>75045880555</v>
      </c>
      <c r="D1028" s="74" t="str">
        <f>IFERROR(__xludf.DUMMYFUNCTION("""COMPUTED_VALUE"""),"\\MCA-S\mk\2_BM\0_BMat\08_PYM\Inventario\excel\Imagen de refacciones\Schwing\Antifaz DN200")</f>
        <v>\\MCA-S\mk\2_BM\0_BMat\08_PYM\Inventario\excel\Imagen de refacciones\Schwing\Antifaz DN200</v>
      </c>
      <c r="E1028" s="74" t="str">
        <f>IFERROR(__xludf.DUMMYFUNCTION("""COMPUTED_VALUE"""),"WEAR PLATE DN200 CARBIDE")</f>
        <v>WEAR PLATE DN200 CARBIDE</v>
      </c>
      <c r="F1028" s="74" t="str">
        <f>IFERROR(__xludf.DUMMYFUNCTION("""COMPUTED_VALUE"""),"ANTIFAZ DN200/PLACA DE DESGASTE DN200 CARBIDE")</f>
        <v>ANTIFAZ DN200/PLACA DE DESGASTE DN200 CARBIDE</v>
      </c>
      <c r="G1028" s="74" t="str">
        <f>IFERROR(__xludf.DUMMYFUNCTION("""COMPUTED_VALUE"""),"ANTIFAZ DN200 PARA BOMBA DE HORMIGON")</f>
        <v>ANTIFAZ DN200 PARA BOMBA DE HORMIGON</v>
      </c>
      <c r="H1028" s="74" t="str">
        <f>IFERROR(__xludf.DUMMYFUNCTION("""COMPUTED_VALUE"""),"ANTIFAZ DN200 PARA BOMBA DE HORMIGON")</f>
        <v>ANTIFAZ DN200 PARA BOMBA DE HORMIGON</v>
      </c>
      <c r="I1028" s="74" t="str">
        <f>IFERROR(__xludf.DUMMYFUNCTION("""COMPUTED_VALUE"""),"10074767")</f>
        <v>10074767</v>
      </c>
      <c r="J1028" s="74"/>
      <c r="K1028" s="74" t="str">
        <f>IFERROR(__xludf.DUMMYFUNCTION("""COMPUTED_VALUE"""),"Schwing")</f>
        <v>Schwing</v>
      </c>
      <c r="L1028" s="74" t="str">
        <f>IFERROR(__xludf.DUMMYFUNCTION("""COMPUTED_VALUE"""),"BARRA V-ROCK")</f>
        <v>BARRA V-ROCK</v>
      </c>
      <c r="M1028" s="74" t="str">
        <f>IFERROR(__xludf.DUMMYFUNCTION("""COMPUTED_VALUE"""),"Sin Asignar")</f>
        <v>Sin Asignar</v>
      </c>
      <c r="N1028" s="87">
        <f>IFERROR(__xludf.DUMMYFUNCTION("""COMPUTED_VALUE"""),8968.8)</f>
        <v>8968.8</v>
      </c>
      <c r="O1028" s="74">
        <f>IFERROR(__xludf.DUMMYFUNCTION("""COMPUTED_VALUE"""),1.0)</f>
        <v>1</v>
      </c>
      <c r="P1028" s="74" t="str">
        <f>IFERROR(__xludf.DUMMYFUNCTION("""COMPUTED_VALUE"""),"Falta Ubicar")</f>
        <v>Falta Ubicar</v>
      </c>
      <c r="Q1028" s="74"/>
      <c r="R1028" s="74"/>
      <c r="S1028" s="87">
        <f>IFERROR(__xludf.DUMMYFUNCTION("""COMPUTED_VALUE"""),160.0)</f>
        <v>160</v>
      </c>
      <c r="T1028" s="87">
        <f>IFERROR(__xludf.DUMMYFUNCTION("""COMPUTED_VALUE"""),505.0)</f>
        <v>505</v>
      </c>
      <c r="U1028" s="87">
        <f>IFERROR(__xludf.DUMMYFUNCTION("""COMPUTED_VALUE"""),484.79999999999995)</f>
        <v>484.8</v>
      </c>
      <c r="V1028" s="87">
        <f>IFERROR(__xludf.DUMMYFUNCTION("""COMPUTED_VALUE"""),196.0)</f>
        <v>196</v>
      </c>
      <c r="W1028" s="87">
        <f>IFERROR(__xludf.DUMMYFUNCTION("""COMPUTED_VALUE"""),3675.0)</f>
        <v>3675</v>
      </c>
      <c r="X1028" s="88">
        <f>IFERROR(__xludf.DUMMYFUNCTION("""COMPUTED_VALUE"""),3.03)</f>
        <v>3.03</v>
      </c>
      <c r="Y1028" s="74"/>
      <c r="Z1028" s="74"/>
    </row>
    <row r="1029">
      <c r="B1029" s="74" t="str">
        <f>IFERROR(__xludf.DUMMYFUNCTION("""COMPUTED_VALUE"""),"2027")</f>
        <v>2027</v>
      </c>
      <c r="C1029" s="74" t="str">
        <f>IFERROR(__xludf.DUMMYFUNCTION("""COMPUTED_VALUE"""),"75045880556")</f>
        <v>75045880556</v>
      </c>
      <c r="D1029" s="74" t="str">
        <f>IFERROR(__xludf.DUMMYFUNCTION("""COMPUTED_VALUE"""),"\\MCA-S\mk\2_BM\0_BMat\08_PYM\Inventario\excel\Imagen de refacciones\Schwing\Antifaz DN200")</f>
        <v>\\MCA-S\mk\2_BM\0_BMat\08_PYM\Inventario\excel\Imagen de refacciones\Schwing\Antifaz DN200</v>
      </c>
      <c r="E1029" s="74" t="str">
        <f>IFERROR(__xludf.DUMMYFUNCTION("""COMPUTED_VALUE"""),"WEAR PLATE DN200 CASTING")</f>
        <v>WEAR PLATE DN200 CASTING</v>
      </c>
      <c r="F1029" s="74" t="str">
        <f>IFERROR(__xludf.DUMMYFUNCTION("""COMPUTED_VALUE"""),"ANTIFAZ DN200/PLACA DE DESGASTE DN200 CASTING")</f>
        <v>ANTIFAZ DN200/PLACA DE DESGASTE DN200 CASTING</v>
      </c>
      <c r="G1029" s="74"/>
      <c r="H1029" s="74" t="str">
        <f>IFERROR(__xludf.DUMMYFUNCTION("""COMPUTED_VALUE"""),"ANTIFAZ DN200 PARA BOMBA DE HORMIGON")</f>
        <v>ANTIFAZ DN200 PARA BOMBA DE HORMIGON</v>
      </c>
      <c r="I1029" s="74" t="str">
        <f>IFERROR(__xludf.DUMMYFUNCTION("""COMPUTED_VALUE"""),"10074767.")</f>
        <v>10074767.</v>
      </c>
      <c r="J1029" s="74"/>
      <c r="K1029" s="74" t="str">
        <f>IFERROR(__xludf.DUMMYFUNCTION("""COMPUTED_VALUE"""),"Schwing")</f>
        <v>Schwing</v>
      </c>
      <c r="L1029" s="74" t="str">
        <f>IFERROR(__xludf.DUMMYFUNCTION("""COMPUTED_VALUE"""),"BARRA V-ROCK")</f>
        <v>BARRA V-ROCK</v>
      </c>
      <c r="M1029" s="74" t="str">
        <f>IFERROR(__xludf.DUMMYFUNCTION("""COMPUTED_VALUE"""),"Sin Asignar")</f>
        <v>Sin Asignar</v>
      </c>
      <c r="N1029" s="87">
        <f>IFERROR(__xludf.DUMMYFUNCTION("""COMPUTED_VALUE"""),7548.0)</f>
        <v>7548</v>
      </c>
      <c r="O1029" s="74">
        <f>IFERROR(__xludf.DUMMYFUNCTION("""COMPUTED_VALUE"""),1.0)</f>
        <v>1</v>
      </c>
      <c r="P1029" s="74" t="str">
        <f>IFERROR(__xludf.DUMMYFUNCTION("""COMPUTED_VALUE"""),"Falta Ubicar")</f>
        <v>Falta Ubicar</v>
      </c>
      <c r="Q1029" s="74"/>
      <c r="R1029" s="74"/>
      <c r="S1029" s="87">
        <f>IFERROR(__xludf.DUMMYFUNCTION("""COMPUTED_VALUE"""),110.0)</f>
        <v>110</v>
      </c>
      <c r="T1029" s="87">
        <f>IFERROR(__xludf.DUMMYFUNCTION("""COMPUTED_VALUE"""),425.0)</f>
        <v>425</v>
      </c>
      <c r="U1029" s="87">
        <f>IFERROR(__xludf.DUMMYFUNCTION("""COMPUTED_VALUE"""),408.0)</f>
        <v>408</v>
      </c>
      <c r="V1029" s="87">
        <f>IFERROR(__xludf.DUMMYFUNCTION("""COMPUTED_VALUE"""),134.75)</f>
        <v>134.75</v>
      </c>
      <c r="W1029" s="87">
        <f>IFERROR(__xludf.DUMMYFUNCTION("""COMPUTED_VALUE"""),2526.5625)</f>
        <v>2526.5625</v>
      </c>
      <c r="X1029" s="88">
        <f>IFERROR(__xludf.DUMMYFUNCTION("""COMPUTED_VALUE"""),3.709090909090909)</f>
        <v>3.709090909</v>
      </c>
      <c r="Y1029" s="74"/>
      <c r="Z1029" s="74"/>
    </row>
    <row r="1030">
      <c r="B1030" s="74" t="str">
        <f>IFERROR(__xludf.DUMMYFUNCTION("""COMPUTED_VALUE"""),"2028")</f>
        <v>2028</v>
      </c>
      <c r="C1030" s="74" t="str">
        <f>IFERROR(__xludf.DUMMYFUNCTION("""COMPUTED_VALUE"""),"75045880557")</f>
        <v>75045880557</v>
      </c>
      <c r="D1030" s="74" t="str">
        <f>IFERROR(__xludf.DUMMYFUNCTION("""COMPUTED_VALUE"""),"\\MCA-S\mk\2_BM\0_BMat\08_PYM\Inventario\excel\Imagen de refacciones\Schwing\Antifaz DN230")</f>
        <v>\\MCA-S\mk\2_BM\0_BMat\08_PYM\Inventario\excel\Imagen de refacciones\Schwing\Antifaz DN230</v>
      </c>
      <c r="E1030" s="74" t="str">
        <f>IFERROR(__xludf.DUMMYFUNCTION("""COMPUTED_VALUE"""),"WEAR PLATE DN230 CARBIDE")</f>
        <v>WEAR PLATE DN230 CARBIDE</v>
      </c>
      <c r="F1030" s="74" t="str">
        <f>IFERROR(__xludf.DUMMYFUNCTION("""COMPUTED_VALUE"""),"ANTIFAZ DN230/PLACA DE DESGASTE DN230 CARBIDE")</f>
        <v>ANTIFAZ DN230/PLACA DE DESGASTE DN230 CARBIDE</v>
      </c>
      <c r="G1030" s="74"/>
      <c r="H1030" s="74" t="str">
        <f>IFERROR(__xludf.DUMMYFUNCTION("""COMPUTED_VALUE"""),"ANTIFAZ DN230 PARA BOMBA DE HORMIGON")</f>
        <v>ANTIFAZ DN230 PARA BOMBA DE HORMIGON</v>
      </c>
      <c r="I1030" s="74" t="str">
        <f>IFERROR(__xludf.DUMMYFUNCTION("""COMPUTED_VALUE"""),"10074768")</f>
        <v>10074768</v>
      </c>
      <c r="J1030" s="74"/>
      <c r="K1030" s="74" t="str">
        <f>IFERROR(__xludf.DUMMYFUNCTION("""COMPUTED_VALUE"""),"Schwing")</f>
        <v>Schwing</v>
      </c>
      <c r="L1030" s="74" t="str">
        <f>IFERROR(__xludf.DUMMYFUNCTION("""COMPUTED_VALUE"""),"BARRA V-ROCK")</f>
        <v>BARRA V-ROCK</v>
      </c>
      <c r="M1030" s="74" t="str">
        <f>IFERROR(__xludf.DUMMYFUNCTION("""COMPUTED_VALUE"""),"SIN ASIGNAR")</f>
        <v>SIN ASIGNAR</v>
      </c>
      <c r="N1030" s="87">
        <f>IFERROR(__xludf.DUMMYFUNCTION("""COMPUTED_VALUE"""),8968.8)</f>
        <v>8968.8</v>
      </c>
      <c r="O1030" s="74">
        <f>IFERROR(__xludf.DUMMYFUNCTION("""COMPUTED_VALUE"""),1.0)</f>
        <v>1</v>
      </c>
      <c r="P1030" s="74" t="str">
        <f>IFERROR(__xludf.DUMMYFUNCTION("""COMPUTED_VALUE"""),"Falta Ubicar")</f>
        <v>Falta Ubicar</v>
      </c>
      <c r="Q1030" s="74"/>
      <c r="R1030" s="74"/>
      <c r="S1030" s="87">
        <f>IFERROR(__xludf.DUMMYFUNCTION("""COMPUTED_VALUE"""),180.0)</f>
        <v>180</v>
      </c>
      <c r="T1030" s="87">
        <f>IFERROR(__xludf.DUMMYFUNCTION("""COMPUTED_VALUE"""),505.0)</f>
        <v>505</v>
      </c>
      <c r="U1030" s="87">
        <f>IFERROR(__xludf.DUMMYFUNCTION("""COMPUTED_VALUE"""),484.79999999999995)</f>
        <v>484.8</v>
      </c>
      <c r="V1030" s="87">
        <f>IFERROR(__xludf.DUMMYFUNCTION("""COMPUTED_VALUE"""),220.5)</f>
        <v>220.5</v>
      </c>
      <c r="W1030" s="87">
        <f>IFERROR(__xludf.DUMMYFUNCTION("""COMPUTED_VALUE"""),4134.375)</f>
        <v>4134.375</v>
      </c>
      <c r="X1030" s="88">
        <f>IFERROR(__xludf.DUMMYFUNCTION("""COMPUTED_VALUE"""),2.693333333333333)</f>
        <v>2.693333333</v>
      </c>
      <c r="Y1030" s="74"/>
      <c r="Z1030" s="74"/>
    </row>
    <row r="1031">
      <c r="B1031" s="74" t="str">
        <f>IFERROR(__xludf.DUMMYFUNCTION("""COMPUTED_VALUE"""),"2029")</f>
        <v>2029</v>
      </c>
      <c r="C1031" s="74" t="str">
        <f>IFERROR(__xludf.DUMMYFUNCTION("""COMPUTED_VALUE"""),"75045880558")</f>
        <v>75045880558</v>
      </c>
      <c r="D1031" s="74"/>
      <c r="E1031" s="74" t="str">
        <f>IFERROR(__xludf.DUMMYFUNCTION("""COMPUTED_VALUE"""),"WEAR PLATE DN230 CASTING")</f>
        <v>WEAR PLATE DN230 CASTING</v>
      </c>
      <c r="F1031" s="74" t="str">
        <f>IFERROR(__xludf.DUMMYFUNCTION("""COMPUTED_VALUE"""),"ANTIFAZ DN230/PLACA DE DESGASTE DN230 CASTING")</f>
        <v>ANTIFAZ DN230/PLACA DE DESGASTE DN230 CASTING</v>
      </c>
      <c r="G1031" s="74"/>
      <c r="H1031" s="74" t="str">
        <f>IFERROR(__xludf.DUMMYFUNCTION("""COMPUTED_VALUE"""),"ANTIFAZ DN230 PARA BOMBA DE HORMIGON")</f>
        <v>ANTIFAZ DN230 PARA BOMBA DE HORMIGON</v>
      </c>
      <c r="I1031" s="74" t="str">
        <f>IFERROR(__xludf.DUMMYFUNCTION("""COMPUTED_VALUE"""),"10074768.")</f>
        <v>10074768.</v>
      </c>
      <c r="J1031" s="74"/>
      <c r="K1031" s="74" t="str">
        <f>IFERROR(__xludf.DUMMYFUNCTION("""COMPUTED_VALUE"""),"Schwing")</f>
        <v>Schwing</v>
      </c>
      <c r="L1031" s="74" t="str">
        <f>IFERROR(__xludf.DUMMYFUNCTION("""COMPUTED_VALUE"""),"BARRA V-ROCK")</f>
        <v>BARRA V-ROCK</v>
      </c>
      <c r="M1031" s="74" t="str">
        <f>IFERROR(__xludf.DUMMYFUNCTION("""COMPUTED_VALUE"""),"SIN ASIGNAR")</f>
        <v>SIN ASIGNAR</v>
      </c>
      <c r="N1031" s="87">
        <f>IFERROR(__xludf.DUMMYFUNCTION("""COMPUTED_VALUE"""),7992.0)</f>
        <v>7992</v>
      </c>
      <c r="O1031" s="74">
        <f>IFERROR(__xludf.DUMMYFUNCTION("""COMPUTED_VALUE"""),1.0)</f>
        <v>1</v>
      </c>
      <c r="P1031" s="74" t="str">
        <f>IFERROR(__xludf.DUMMYFUNCTION("""COMPUTED_VALUE"""),"Falta Ubicar")</f>
        <v>Falta Ubicar</v>
      </c>
      <c r="Q1031" s="74"/>
      <c r="R1031" s="74"/>
      <c r="S1031" s="87">
        <f>IFERROR(__xludf.DUMMYFUNCTION("""COMPUTED_VALUE"""),120.0)</f>
        <v>120</v>
      </c>
      <c r="T1031" s="87">
        <f>IFERROR(__xludf.DUMMYFUNCTION("""COMPUTED_VALUE"""),450.0)</f>
        <v>450</v>
      </c>
      <c r="U1031" s="87">
        <f>IFERROR(__xludf.DUMMYFUNCTION("""COMPUTED_VALUE"""),432.0)</f>
        <v>432</v>
      </c>
      <c r="V1031" s="87">
        <f>IFERROR(__xludf.DUMMYFUNCTION("""COMPUTED_VALUE"""),147.0)</f>
        <v>147</v>
      </c>
      <c r="W1031" s="87">
        <f>IFERROR(__xludf.DUMMYFUNCTION("""COMPUTED_VALUE"""),2756.25)</f>
        <v>2756.25</v>
      </c>
      <c r="X1031" s="88">
        <f>IFERROR(__xludf.DUMMYFUNCTION("""COMPUTED_VALUE"""),3.6)</f>
        <v>3.6</v>
      </c>
      <c r="Y1031" s="74"/>
      <c r="Z1031" s="74"/>
    </row>
    <row r="1032">
      <c r="B1032" s="74" t="str">
        <f>IFERROR(__xludf.DUMMYFUNCTION("""COMPUTED_VALUE"""),"2030")</f>
        <v>2030</v>
      </c>
      <c r="C1032" s="74" t="str">
        <f>IFERROR(__xludf.DUMMYFUNCTION("""COMPUTED_VALUE"""),"75045880559")</f>
        <v>75045880559</v>
      </c>
      <c r="D1032" s="74" t="str">
        <f>IFERROR(__xludf.DUMMYFUNCTION("""COMPUTED_VALUE"""),"\\MCA-S\mk\2_BM\0_BMat\08_PYM\Inventario\excel\Imagen de refacciones\Schwing\Antifaz DN250")</f>
        <v>\\MCA-S\mk\2_BM\0_BMat\08_PYM\Inventario\excel\Imagen de refacciones\Schwing\Antifaz DN250</v>
      </c>
      <c r="E1032" s="74" t="str">
        <f>IFERROR(__xludf.DUMMYFUNCTION("""COMPUTED_VALUE"""),"WEAR PLATE DN250 CARBIDE")</f>
        <v>WEAR PLATE DN250 CARBIDE</v>
      </c>
      <c r="F1032" s="74" t="str">
        <f>IFERROR(__xludf.DUMMYFUNCTION("""COMPUTED_VALUE"""),"ANTIFAZ DN250/PLACA DE DESGASTE DN250 CARBIDE")</f>
        <v>ANTIFAZ DN250/PLACA DE DESGASTE DN250 CARBIDE</v>
      </c>
      <c r="G1032" s="74"/>
      <c r="H1032" s="74" t="str">
        <f>IFERROR(__xludf.DUMMYFUNCTION("""COMPUTED_VALUE"""),"ANTIFAZ DN250 PARA BOMBA DE HORMIGON")</f>
        <v>ANTIFAZ DN250 PARA BOMBA DE HORMIGON</v>
      </c>
      <c r="I1032" s="74" t="str">
        <f>IFERROR(__xludf.DUMMYFUNCTION("""COMPUTED_VALUE"""),"10181938")</f>
        <v>10181938</v>
      </c>
      <c r="J1032" s="74"/>
      <c r="K1032" s="74" t="str">
        <f>IFERROR(__xludf.DUMMYFUNCTION("""COMPUTED_VALUE"""),"Schwing")</f>
        <v>Schwing</v>
      </c>
      <c r="L1032" s="74" t="str">
        <f>IFERROR(__xludf.DUMMYFUNCTION("""COMPUTED_VALUE"""),"BARRA V-ROCK")</f>
        <v>BARRA V-ROCK</v>
      </c>
      <c r="M1032" s="74" t="str">
        <f>IFERROR(__xludf.DUMMYFUNCTION("""COMPUTED_VALUE"""),"SIN ASIGNAR")</f>
        <v>SIN ASIGNAR</v>
      </c>
      <c r="N1032" s="87">
        <f>IFERROR(__xludf.DUMMYFUNCTION("""COMPUTED_VALUE"""),10727.04)</f>
        <v>10727.04</v>
      </c>
      <c r="O1032" s="74">
        <f>IFERROR(__xludf.DUMMYFUNCTION("""COMPUTED_VALUE"""),1.0)</f>
        <v>1</v>
      </c>
      <c r="P1032" s="74" t="str">
        <f>IFERROR(__xludf.DUMMYFUNCTION("""COMPUTED_VALUE"""),"Falta Ubicar")</f>
        <v>Falta Ubicar</v>
      </c>
      <c r="Q1032" s="74"/>
      <c r="R1032" s="74"/>
      <c r="S1032" s="87">
        <f>IFERROR(__xludf.DUMMYFUNCTION("""COMPUTED_VALUE"""),180.0)</f>
        <v>180</v>
      </c>
      <c r="T1032" s="87">
        <f>IFERROR(__xludf.DUMMYFUNCTION("""COMPUTED_VALUE"""),604.0)</f>
        <v>604</v>
      </c>
      <c r="U1032" s="87">
        <f>IFERROR(__xludf.DUMMYFUNCTION("""COMPUTED_VALUE"""),579.84)</f>
        <v>579.84</v>
      </c>
      <c r="V1032" s="87">
        <f>IFERROR(__xludf.DUMMYFUNCTION("""COMPUTED_VALUE"""),220.5)</f>
        <v>220.5</v>
      </c>
      <c r="W1032" s="87">
        <f>IFERROR(__xludf.DUMMYFUNCTION("""COMPUTED_VALUE"""),4134.375)</f>
        <v>4134.375</v>
      </c>
      <c r="X1032" s="88">
        <f>IFERROR(__xludf.DUMMYFUNCTION("""COMPUTED_VALUE"""),3.2213333333333334)</f>
        <v>3.221333333</v>
      </c>
      <c r="Y1032" s="74"/>
      <c r="Z1032" s="74"/>
    </row>
    <row r="1033">
      <c r="B1033" s="74" t="str">
        <f>IFERROR(__xludf.DUMMYFUNCTION("""COMPUTED_VALUE"""),"2031")</f>
        <v>2031</v>
      </c>
      <c r="C1033" s="74" t="str">
        <f>IFERROR(__xludf.DUMMYFUNCTION("""COMPUTED_VALUE"""),"75045880560")</f>
        <v>75045880560</v>
      </c>
      <c r="D1033" s="74"/>
      <c r="E1033" s="74" t="str">
        <f>IFERROR(__xludf.DUMMYFUNCTION("""COMPUTED_VALUE"""),"WEAR PLATE DN250 CASTING")</f>
        <v>WEAR PLATE DN250 CASTING</v>
      </c>
      <c r="F1033" s="74" t="str">
        <f>IFERROR(__xludf.DUMMYFUNCTION("""COMPUTED_VALUE"""),"ANTIFAZ DN250/ PLACA DE DESGASTE DN250 CASTING")</f>
        <v>ANTIFAZ DN250/ PLACA DE DESGASTE DN250 CASTING</v>
      </c>
      <c r="G1033" s="74"/>
      <c r="H1033" s="74" t="str">
        <f>IFERROR(__xludf.DUMMYFUNCTION("""COMPUTED_VALUE"""),"ANTIFAZ DN250 PARA BOMBA DE HORMIGON")</f>
        <v>ANTIFAZ DN250 PARA BOMBA DE HORMIGON</v>
      </c>
      <c r="I1033" s="74" t="str">
        <f>IFERROR(__xludf.DUMMYFUNCTION("""COMPUTED_VALUE"""),"10181938.")</f>
        <v>10181938.</v>
      </c>
      <c r="J1033" s="74"/>
      <c r="K1033" s="74" t="str">
        <f>IFERROR(__xludf.DUMMYFUNCTION("""COMPUTED_VALUE"""),"Schwing")</f>
        <v>Schwing</v>
      </c>
      <c r="L1033" s="74" t="str">
        <f>IFERROR(__xludf.DUMMYFUNCTION("""COMPUTED_VALUE"""),"BARRA V-ROCK")</f>
        <v>BARRA V-ROCK</v>
      </c>
      <c r="M1033" s="74" t="str">
        <f>IFERROR(__xludf.DUMMYFUNCTION("""COMPUTED_VALUE"""),"Sin Asignar")</f>
        <v>Sin Asignar</v>
      </c>
      <c r="N1033" s="87">
        <f>IFERROR(__xludf.DUMMYFUNCTION("""COMPUTED_VALUE"""),8880.0)</f>
        <v>8880</v>
      </c>
      <c r="O1033" s="74">
        <f>IFERROR(__xludf.DUMMYFUNCTION("""COMPUTED_VALUE"""),1.0)</f>
        <v>1</v>
      </c>
      <c r="P1033" s="74" t="str">
        <f>IFERROR(__xludf.DUMMYFUNCTION("""COMPUTED_VALUE"""),"Falta Ubicar")</f>
        <v>Falta Ubicar</v>
      </c>
      <c r="Q1033" s="74"/>
      <c r="R1033" s="74"/>
      <c r="S1033" s="87">
        <f>IFERROR(__xludf.DUMMYFUNCTION("""COMPUTED_VALUE"""),120.0)</f>
        <v>120</v>
      </c>
      <c r="T1033" s="87">
        <f>IFERROR(__xludf.DUMMYFUNCTION("""COMPUTED_VALUE"""),500.0)</f>
        <v>500</v>
      </c>
      <c r="U1033" s="87">
        <f>IFERROR(__xludf.DUMMYFUNCTION("""COMPUTED_VALUE"""),480.0)</f>
        <v>480</v>
      </c>
      <c r="V1033" s="87">
        <f>IFERROR(__xludf.DUMMYFUNCTION("""COMPUTED_VALUE"""),147.0)</f>
        <v>147</v>
      </c>
      <c r="W1033" s="87">
        <f>IFERROR(__xludf.DUMMYFUNCTION("""COMPUTED_VALUE"""),2756.25)</f>
        <v>2756.25</v>
      </c>
      <c r="X1033" s="88">
        <f>IFERROR(__xludf.DUMMYFUNCTION("""COMPUTED_VALUE"""),4.0)</f>
        <v>4</v>
      </c>
      <c r="Y1033" s="74"/>
      <c r="Z1033" s="74"/>
    </row>
    <row r="1034">
      <c r="B1034" s="74" t="str">
        <f>IFERROR(__xludf.DUMMYFUNCTION("""COMPUTED_VALUE"""),"2032")</f>
        <v>2032</v>
      </c>
      <c r="C1034" s="74"/>
      <c r="D1034" s="74" t="str">
        <f>IFERROR(__xludf.DUMMYFUNCTION("""COMPUTED_VALUE"""),"\\MCA-S\mk\2_BM\0_BMat\08_PYM\Inventario\excel\Imagen de refacciones\Schwing\Articulated Bearing _ Cojinete Articulado")</f>
        <v>\\MCA-S\mk\2_BM\0_BMat\08_PYM\Inventario\excel\Imagen de refacciones\Schwing\Articulated Bearing _ Cojinete Articulado</v>
      </c>
      <c r="E1034" s="74"/>
      <c r="F1034" s="74" t="str">
        <f>IFERROR(__xludf.DUMMYFUNCTION("""COMPUTED_VALUE"""),"Articulated Bearing / Cojinete Articulado")</f>
        <v>Articulated Bearing / Cojinete Articulado</v>
      </c>
      <c r="G1034" s="74"/>
      <c r="H1034" s="74"/>
      <c r="I1034" s="74" t="str">
        <f>IFERROR(__xludf.DUMMYFUNCTION("""COMPUTED_VALUE"""),"SOM30074")</f>
        <v>SOM30074</v>
      </c>
      <c r="J1034" s="74" t="str">
        <f>IFERROR(__xludf.DUMMYFUNCTION("""COMPUTED_VALUE"""),"10019455")</f>
        <v>10019455</v>
      </c>
      <c r="K1034" s="74" t="str">
        <f>IFERROR(__xludf.DUMMYFUNCTION("""COMPUTED_VALUE"""),"Schwing")</f>
        <v>Schwing</v>
      </c>
      <c r="L1034" s="74" t="str">
        <f>IFERROR(__xludf.DUMMYFUNCTION("""COMPUTED_VALUE"""),"Transmisión Mecánica")</f>
        <v>Transmisión Mecánica</v>
      </c>
      <c r="M1034" s="74" t="str">
        <f>IFERROR(__xludf.DUMMYFUNCTION("""COMPUTED_VALUE"""),"Sin Asignar")</f>
        <v>Sin Asignar</v>
      </c>
      <c r="N1034" s="87">
        <f>IFERROR(__xludf.DUMMYFUNCTION("""COMPUTED_VALUE"""),0.0)</f>
        <v>0</v>
      </c>
      <c r="O1034" s="74"/>
      <c r="P1034" s="74" t="str">
        <f>IFERROR(__xludf.DUMMYFUNCTION("""COMPUTED_VALUE"""),"borrar")</f>
        <v>borrar</v>
      </c>
      <c r="Q1034" s="74"/>
      <c r="R1034" s="74"/>
      <c r="S1034" s="87">
        <f>IFERROR(__xludf.DUMMYFUNCTION("""COMPUTED_VALUE"""),0.0)</f>
        <v>0</v>
      </c>
      <c r="T1034" s="87">
        <f>IFERROR(__xludf.DUMMYFUNCTION("""COMPUTED_VALUE"""),0.0)</f>
        <v>0</v>
      </c>
      <c r="U1034" s="87">
        <f>IFERROR(__xludf.DUMMYFUNCTION("""COMPUTED_VALUE"""),0.0)</f>
        <v>0</v>
      </c>
      <c r="V1034" s="87">
        <f>IFERROR(__xludf.DUMMYFUNCTION("""COMPUTED_VALUE"""),0.0)</f>
        <v>0</v>
      </c>
      <c r="W1034" s="87">
        <f>IFERROR(__xludf.DUMMYFUNCTION("""COMPUTED_VALUE"""),0.0)</f>
        <v>0</v>
      </c>
      <c r="X1034" s="88"/>
      <c r="Y1034" s="74"/>
      <c r="Z1034" s="74"/>
    </row>
    <row r="1035">
      <c r="B1035" s="74" t="str">
        <f>IFERROR(__xludf.DUMMYFUNCTION("""COMPUTED_VALUE"""),"2033")</f>
        <v>2033</v>
      </c>
      <c r="C1035" s="74" t="str">
        <f>IFERROR(__xludf.DUMMYFUNCTION("""COMPUTED_VALUE"""),"75045892033")</f>
        <v>75045892033</v>
      </c>
      <c r="D1035" s="74" t="str">
        <f>IFERROR(__xludf.DUMMYFUNCTION("""COMPUTED_VALUE"""),"\\MCA-S\mk\2_BM\0_BMat\08_PYM\Inventario\excel\Imagen de refacciones\Schwing\Back Up Ring DN 210 _ Anillo de Respaldo DN 210")</f>
        <v>\\MCA-S\mk\2_BM\0_BMat\08_PYM\Inventario\excel\Imagen de refacciones\Schwing\Back Up Ring DN 210 _ Anillo de Respaldo DN 210</v>
      </c>
      <c r="E1035" s="74" t="str">
        <f>IFERROR(__xludf.DUMMYFUNCTION("""COMPUTED_VALUE"""),"BACK UP RING DN 210")</f>
        <v>BACK UP RING DN 210</v>
      </c>
      <c r="F1035" s="74" t="str">
        <f>IFERROR(__xludf.DUMMYFUNCTION("""COMPUTED_VALUE"""),"ANILLO RESPALDO/ ARO PRESION DN210")</f>
        <v>ANILLO RESPALDO/ ARO PRESION DN210</v>
      </c>
      <c r="G1035" s="74"/>
      <c r="H1035" s="74"/>
      <c r="I1035" s="74" t="str">
        <f>IFERROR(__xludf.DUMMYFUNCTION("""COMPUTED_VALUE"""),"10158880")</f>
        <v>10158880</v>
      </c>
      <c r="J1035" s="74"/>
      <c r="K1035" s="74" t="str">
        <f>IFERROR(__xludf.DUMMYFUNCTION("""COMPUTED_VALUE"""),"Schwing")</f>
        <v>Schwing</v>
      </c>
      <c r="L1035" s="74" t="str">
        <f>IFERROR(__xludf.DUMMYFUNCTION("""COMPUTED_VALUE"""),"BARRA V-ROCK")</f>
        <v>BARRA V-ROCK</v>
      </c>
      <c r="M1035" s="74" t="str">
        <f>IFERROR(__xludf.DUMMYFUNCTION("""COMPUTED_VALUE"""),"SIN ASIGNAR")</f>
        <v>SIN ASIGNAR</v>
      </c>
      <c r="N1035" s="87">
        <f>IFERROR(__xludf.DUMMYFUNCTION("""COMPUTED_VALUE"""),0.0)</f>
        <v>0</v>
      </c>
      <c r="O1035" s="74"/>
      <c r="P1035" s="74" t="str">
        <f>IFERROR(__xludf.DUMMYFUNCTION("""COMPUTED_VALUE"""),"To Re-purchase")</f>
        <v>To Re-purchase</v>
      </c>
      <c r="Q1035" s="74"/>
      <c r="R1035" s="74"/>
      <c r="S1035" s="87">
        <f>IFERROR(__xludf.DUMMYFUNCTION("""COMPUTED_VALUE"""),0.0)</f>
        <v>0</v>
      </c>
      <c r="T1035" s="87">
        <f>IFERROR(__xludf.DUMMYFUNCTION("""COMPUTED_VALUE"""),0.0)</f>
        <v>0</v>
      </c>
      <c r="U1035" s="87">
        <f>IFERROR(__xludf.DUMMYFUNCTION("""COMPUTED_VALUE"""),0.0)</f>
        <v>0</v>
      </c>
      <c r="V1035" s="87">
        <f>IFERROR(__xludf.DUMMYFUNCTION("""COMPUTED_VALUE"""),0.0)</f>
        <v>0</v>
      </c>
      <c r="W1035" s="87">
        <f>IFERROR(__xludf.DUMMYFUNCTION("""COMPUTED_VALUE"""),0.0)</f>
        <v>0</v>
      </c>
      <c r="X1035" s="88"/>
      <c r="Y1035" s="74"/>
      <c r="Z1035" s="74"/>
    </row>
    <row r="1036">
      <c r="B1036" s="74" t="str">
        <f>IFERROR(__xludf.DUMMYFUNCTION("""COMPUTED_VALUE"""),"2034")</f>
        <v>2034</v>
      </c>
      <c r="C1036" s="74"/>
      <c r="D1036" s="74" t="str">
        <f>IFERROR(__xludf.DUMMYFUNCTION("""COMPUTED_VALUE"""),"\\MCA-S\mk\2_BM\0_BMat\08_PYM\Inventario\excel\Imagen de refacciones\Schwing\Back Up Ring DN 220 _ Anillo de Respaldo DN 220")</f>
        <v>\\MCA-S\mk\2_BM\0_BMat\08_PYM\Inventario\excel\Imagen de refacciones\Schwing\Back Up Ring DN 220 _ Anillo de Respaldo DN 220</v>
      </c>
      <c r="E1036" s="74"/>
      <c r="F1036" s="74" t="str">
        <f>IFERROR(__xludf.DUMMYFUNCTION("""COMPUTED_VALUE"""),"Back Up Ring DN 220 / Anillo de Respaldo DN 220")</f>
        <v>Back Up Ring DN 220 / Anillo de Respaldo DN 220</v>
      </c>
      <c r="G1036" s="74"/>
      <c r="H1036" s="74"/>
      <c r="I1036" s="74" t="str">
        <f>IFERROR(__xludf.DUMMYFUNCTION("""COMPUTED_VALUE"""),"SOM30045")</f>
        <v>SOM30045</v>
      </c>
      <c r="J1036" s="74" t="str">
        <f>IFERROR(__xludf.DUMMYFUNCTION("""COMPUTED_VALUE"""),"10018071")</f>
        <v>10018071</v>
      </c>
      <c r="K1036" s="74" t="str">
        <f>IFERROR(__xludf.DUMMYFUNCTION("""COMPUTED_VALUE"""),"Schwing")</f>
        <v>Schwing</v>
      </c>
      <c r="L1036" s="74" t="str">
        <f>IFERROR(__xludf.DUMMYFUNCTION("""COMPUTED_VALUE"""),"Sellos y Retenes")</f>
        <v>Sellos y Retenes</v>
      </c>
      <c r="M1036" s="74" t="str">
        <f>IFERROR(__xludf.DUMMYFUNCTION("""COMPUTED_VALUE"""),"Sin Asignar")</f>
        <v>Sin Asignar</v>
      </c>
      <c r="N1036" s="87">
        <f>IFERROR(__xludf.DUMMYFUNCTION("""COMPUTED_VALUE"""),0.0)</f>
        <v>0</v>
      </c>
      <c r="O1036" s="74"/>
      <c r="P1036" s="74" t="str">
        <f>IFERROR(__xludf.DUMMYFUNCTION("""COMPUTED_VALUE"""),"No Available")</f>
        <v>No Available</v>
      </c>
      <c r="Q1036" s="74"/>
      <c r="R1036" s="74"/>
      <c r="S1036" s="87">
        <f>IFERROR(__xludf.DUMMYFUNCTION("""COMPUTED_VALUE"""),0.0)</f>
        <v>0</v>
      </c>
      <c r="T1036" s="87">
        <f>IFERROR(__xludf.DUMMYFUNCTION("""COMPUTED_VALUE"""),0.0)</f>
        <v>0</v>
      </c>
      <c r="U1036" s="87">
        <f>IFERROR(__xludf.DUMMYFUNCTION("""COMPUTED_VALUE"""),0.0)</f>
        <v>0</v>
      </c>
      <c r="V1036" s="87">
        <f>IFERROR(__xludf.DUMMYFUNCTION("""COMPUTED_VALUE"""),0.0)</f>
        <v>0</v>
      </c>
      <c r="W1036" s="87">
        <f>IFERROR(__xludf.DUMMYFUNCTION("""COMPUTED_VALUE"""),0.0)</f>
        <v>0</v>
      </c>
      <c r="X1036" s="88"/>
      <c r="Y1036" s="74"/>
      <c r="Z1036" s="74"/>
    </row>
    <row r="1037">
      <c r="B1037" s="74" t="str">
        <f>IFERROR(__xludf.DUMMYFUNCTION("""COMPUTED_VALUE"""),"2035")</f>
        <v>2035</v>
      </c>
      <c r="C1037" s="74" t="str">
        <f>IFERROR(__xludf.DUMMYFUNCTION("""COMPUTED_VALUE"""),"75045880529")</f>
        <v>75045880529</v>
      </c>
      <c r="D1037" s="74" t="str">
        <f>IFERROR(__xludf.DUMMYFUNCTION("""COMPUTED_VALUE"""),"\\MCA-S\mk\2_BM\0_BMat\08_PYM\Inventario\excel\Imagen de refacciones\Schwing\Balero articulado 90GE")</f>
        <v>\\MCA-S\mk\2_BM\0_BMat\08_PYM\Inventario\excel\Imagen de refacciones\Schwing\Balero articulado 90GE</v>
      </c>
      <c r="E1037" s="74" t="str">
        <f>IFERROR(__xludf.DUMMYFUNCTION("""COMPUTED_VALUE"""),"ARTICULATED BEARING GE90")</f>
        <v>ARTICULATED BEARING GE90</v>
      </c>
      <c r="F1037" s="74" t="str">
        <f>IFERROR(__xludf.DUMMYFUNCTION("""COMPUTED_VALUE"""),"BALERO ARTICULADO GE90")</f>
        <v>BALERO ARTICULADO GE90</v>
      </c>
      <c r="G1037" s="74"/>
      <c r="H1037" s="74"/>
      <c r="I1037" s="74" t="str">
        <f>IFERROR(__xludf.DUMMYFUNCTION("""COMPUTED_VALUE"""),"100240099")</f>
        <v>100240099</v>
      </c>
      <c r="J1037" s="74"/>
      <c r="K1037" s="74" t="str">
        <f>IFERROR(__xludf.DUMMYFUNCTION("""COMPUTED_VALUE"""),"Schwing")</f>
        <v>Schwing</v>
      </c>
      <c r="L1037" s="74"/>
      <c r="M1037" s="74" t="str">
        <f>IFERROR(__xludf.DUMMYFUNCTION("""COMPUTED_VALUE"""),"BALEROS")</f>
        <v>BALEROS</v>
      </c>
      <c r="N1037" s="87">
        <f>IFERROR(__xludf.DUMMYFUNCTION("""COMPUTED_VALUE"""),0.0)</f>
        <v>0</v>
      </c>
      <c r="O1037" s="74"/>
      <c r="P1037" s="74" t="str">
        <f>IFERROR(__xludf.DUMMYFUNCTION("""COMPUTED_VALUE"""),"To Re-purchase")</f>
        <v>To Re-purchase</v>
      </c>
      <c r="Q1037" s="74"/>
      <c r="R1037" s="74"/>
      <c r="S1037" s="87">
        <f>IFERROR(__xludf.DUMMYFUNCTION("""COMPUTED_VALUE"""),0.0)</f>
        <v>0</v>
      </c>
      <c r="T1037" s="87">
        <f>IFERROR(__xludf.DUMMYFUNCTION("""COMPUTED_VALUE"""),0.0)</f>
        <v>0</v>
      </c>
      <c r="U1037" s="87">
        <f>IFERROR(__xludf.DUMMYFUNCTION("""COMPUTED_VALUE"""),0.0)</f>
        <v>0</v>
      </c>
      <c r="V1037" s="87">
        <f>IFERROR(__xludf.DUMMYFUNCTION("""COMPUTED_VALUE"""),0.0)</f>
        <v>0</v>
      </c>
      <c r="W1037" s="87">
        <f>IFERROR(__xludf.DUMMYFUNCTION("""COMPUTED_VALUE"""),0.0)</f>
        <v>0</v>
      </c>
      <c r="X1037" s="88"/>
      <c r="Y1037" s="74"/>
      <c r="Z1037" s="74"/>
    </row>
    <row r="1038">
      <c r="B1038" s="74" t="str">
        <f>IFERROR(__xludf.DUMMYFUNCTION("""COMPUTED_VALUE"""),"2036")</f>
        <v>2036</v>
      </c>
      <c r="C1038" s="74" t="str">
        <f>IFERROR(__xludf.DUMMYFUNCTION("""COMPUTED_VALUE"""),"75045880478")</f>
        <v>75045880478</v>
      </c>
      <c r="D1038" s="74" t="str">
        <f>IFERROR(__xludf.DUMMYFUNCTION("""COMPUTED_VALUE"""),"\\MCA-S\mk\2_BM\0_BMat\08_PYM\Inventario\excel\Imagen de refacciones\Schwing\Balero Articulado Ge46")</f>
        <v>\\MCA-S\mk\2_BM\0_BMat\08_PYM\Inventario\excel\Imagen de refacciones\Schwing\Balero Articulado Ge46</v>
      </c>
      <c r="E1038" s="74" t="str">
        <f>IFERROR(__xludf.DUMMYFUNCTION("""COMPUTED_VALUE"""),"ARTICULATED BEARING GE45")</f>
        <v>ARTICULATED BEARING GE45</v>
      </c>
      <c r="F1038" s="74" t="str">
        <f>IFERROR(__xludf.DUMMYFUNCTION("""COMPUTED_VALUE"""),"BALERO ARTICULADO GE45")</f>
        <v>BALERO ARTICULADO GE45</v>
      </c>
      <c r="G1038" s="74"/>
      <c r="H1038" s="74"/>
      <c r="I1038" s="74" t="str">
        <f>IFERROR(__xludf.DUMMYFUNCTION("""COMPUTED_VALUE"""),"10019455")</f>
        <v>10019455</v>
      </c>
      <c r="J1038" s="74"/>
      <c r="K1038" s="74" t="str">
        <f>IFERROR(__xludf.DUMMYFUNCTION("""COMPUTED_VALUE"""),"Schwing")</f>
        <v>Schwing</v>
      </c>
      <c r="L1038" s="74" t="str">
        <f>IFERROR(__xludf.DUMMYFUNCTION("""COMPUTED_VALUE"""),"BARRA V-ROCK")</f>
        <v>BARRA V-ROCK</v>
      </c>
      <c r="M1038" s="74" t="str">
        <f>IFERROR(__xludf.DUMMYFUNCTION("""COMPUTED_VALUE"""),"BALEROS")</f>
        <v>BALEROS</v>
      </c>
      <c r="N1038" s="87">
        <f>IFERROR(__xludf.DUMMYFUNCTION("""COMPUTED_VALUE"""),745.92)</f>
        <v>745.92</v>
      </c>
      <c r="O1038" s="74">
        <f>IFERROR(__xludf.DUMMYFUNCTION("""COMPUTED_VALUE"""),3.0)</f>
        <v>3</v>
      </c>
      <c r="P1038" s="74" t="str">
        <f>IFERROR(__xludf.DUMMYFUNCTION("""COMPUTED_VALUE"""),"In stock")</f>
        <v>In stock</v>
      </c>
      <c r="Q1038" s="74"/>
      <c r="R1038" s="74"/>
      <c r="S1038" s="87">
        <f>IFERROR(__xludf.DUMMYFUNCTION("""COMPUTED_VALUE"""),5.5)</f>
        <v>5.5</v>
      </c>
      <c r="T1038" s="87">
        <f>IFERROR(__xludf.DUMMYFUNCTION("""COMPUTED_VALUE"""),42.0)</f>
        <v>42</v>
      </c>
      <c r="U1038" s="87">
        <f>IFERROR(__xludf.DUMMYFUNCTION("""COMPUTED_VALUE"""),40.32)</f>
        <v>40.32</v>
      </c>
      <c r="V1038" s="87">
        <f>IFERROR(__xludf.DUMMYFUNCTION("""COMPUTED_VALUE"""),6.7375)</f>
        <v>6.7375</v>
      </c>
      <c r="W1038" s="87">
        <f>IFERROR(__xludf.DUMMYFUNCTION("""COMPUTED_VALUE"""),126.328125)</f>
        <v>126.328125</v>
      </c>
      <c r="X1038" s="88">
        <f>IFERROR(__xludf.DUMMYFUNCTION("""COMPUTED_VALUE"""),7.330909090909091)</f>
        <v>7.330909091</v>
      </c>
      <c r="Y1038" s="74"/>
      <c r="Z1038" s="74"/>
    </row>
    <row r="1039">
      <c r="B1039" s="74" t="str">
        <f>IFERROR(__xludf.DUMMYFUNCTION("""COMPUTED_VALUE"""),"2037")</f>
        <v>2037</v>
      </c>
      <c r="C1039" s="74" t="str">
        <f>IFERROR(__xludf.DUMMYFUNCTION("""COMPUTED_VALUE"""),"75045880348")</f>
        <v>75045880348</v>
      </c>
      <c r="D1039" s="74" t="str">
        <f>IFERROR(__xludf.DUMMYFUNCTION("""COMPUTED_VALUE"""),"\\MCA-S\mk\2_BM\0_BMat\08_PYM\Inventario\excel\Imagen de refacciones\Schwing\Balero articulado GE61")</f>
        <v>\\MCA-S\mk\2_BM\0_BMat\08_PYM\Inventario\excel\Imagen de refacciones\Schwing\Balero articulado GE61</v>
      </c>
      <c r="E1039" s="74" t="str">
        <f>IFERROR(__xludf.DUMMYFUNCTION("""COMPUTED_VALUE"""),"ARTICULATED GE 60 ES/GE 60 DO")</f>
        <v>ARTICULATED GE 60 ES/GE 60 DO</v>
      </c>
      <c r="F1039" s="74" t="str">
        <f>IFERROR(__xludf.DUMMYFUNCTION("""COMPUTED_VALUE"""),"BALERO ARTICULADO GE60")</f>
        <v>BALERO ARTICULADO GE60</v>
      </c>
      <c r="G1039" s="74"/>
      <c r="H1039" s="74"/>
      <c r="I1039" s="74" t="str">
        <f>IFERROR(__xludf.DUMMYFUNCTION("""COMPUTED_VALUE"""),"10002746")</f>
        <v>10002746</v>
      </c>
      <c r="J1039" s="74"/>
      <c r="K1039" s="74" t="str">
        <f>IFERROR(__xludf.DUMMYFUNCTION("""COMPUTED_VALUE"""),"Schwing")</f>
        <v>Schwing</v>
      </c>
      <c r="L1039" s="74"/>
      <c r="M1039" s="74" t="str">
        <f>IFERROR(__xludf.DUMMYFUNCTION("""COMPUTED_VALUE"""),"BALEROS")</f>
        <v>BALEROS</v>
      </c>
      <c r="N1039" s="87">
        <f>IFERROR(__xludf.DUMMYFUNCTION("""COMPUTED_VALUE"""),0.0)</f>
        <v>0</v>
      </c>
      <c r="O1039" s="74"/>
      <c r="P1039" s="74" t="str">
        <f>IFERROR(__xludf.DUMMYFUNCTION("""COMPUTED_VALUE"""),"To Re-purchase")</f>
        <v>To Re-purchase</v>
      </c>
      <c r="Q1039" s="74"/>
      <c r="R1039" s="74"/>
      <c r="S1039" s="87">
        <f>IFERROR(__xludf.DUMMYFUNCTION("""COMPUTED_VALUE"""),0.0)</f>
        <v>0</v>
      </c>
      <c r="T1039" s="87">
        <f>IFERROR(__xludf.DUMMYFUNCTION("""COMPUTED_VALUE"""),0.0)</f>
        <v>0</v>
      </c>
      <c r="U1039" s="87">
        <f>IFERROR(__xludf.DUMMYFUNCTION("""COMPUTED_VALUE"""),0.0)</f>
        <v>0</v>
      </c>
      <c r="V1039" s="87">
        <f>IFERROR(__xludf.DUMMYFUNCTION("""COMPUTED_VALUE"""),0.0)</f>
        <v>0</v>
      </c>
      <c r="W1039" s="87">
        <f>IFERROR(__xludf.DUMMYFUNCTION("""COMPUTED_VALUE"""),0.0)</f>
        <v>0</v>
      </c>
      <c r="X1039" s="88"/>
      <c r="Y1039" s="74"/>
      <c r="Z1039" s="74"/>
    </row>
    <row r="1040">
      <c r="B1040" s="74" t="str">
        <f>IFERROR(__xludf.DUMMYFUNCTION("""COMPUTED_VALUE"""),"2038")</f>
        <v>2038</v>
      </c>
      <c r="C1040" s="74" t="str">
        <f>IFERROR(__xludf.DUMMYFUNCTION("""COMPUTED_VALUE"""),"75045880311")</f>
        <v>75045880311</v>
      </c>
      <c r="D1040" s="74" t="str">
        <f>IFERROR(__xludf.DUMMYFUNCTION("""COMPUTED_VALUE"""),"\\MCA-S\mk\2_BM\0_BMat\08_PYM\Inventario\excel\Imagen de refacciones\Schwing\Balero sellado para bomba de agua")</f>
        <v>\\MCA-S\mk\2_BM\0_BMat\08_PYM\Inventario\excel\Imagen de refacciones\Schwing\Balero sellado para bomba de agua</v>
      </c>
      <c r="E1040" s="74" t="str">
        <f>IFERROR(__xludf.DUMMYFUNCTION("""COMPUTED_VALUE"""),"BALL BEARING SEALED-HYPRO")</f>
        <v>BALL BEARING SEALED-HYPRO</v>
      </c>
      <c r="F1040" s="74" t="str">
        <f>IFERROR(__xludf.DUMMYFUNCTION("""COMPUTED_VALUE"""),"BALERO SELLADO BOMBA DE AGUA")</f>
        <v>BALERO SELLADO BOMBA DE AGUA</v>
      </c>
      <c r="G1040" s="74"/>
      <c r="H1040" s="74"/>
      <c r="I1040" s="74" t="str">
        <f>IFERROR(__xludf.DUMMYFUNCTION("""COMPUTED_VALUE"""),"30302832")</f>
        <v>30302832</v>
      </c>
      <c r="J1040" s="74"/>
      <c r="K1040" s="74" t="str">
        <f>IFERROR(__xludf.DUMMYFUNCTION("""COMPUTED_VALUE"""),"Schwing")</f>
        <v>Schwing</v>
      </c>
      <c r="L1040" s="74" t="str">
        <f>IFERROR(__xludf.DUMMYFUNCTION("""COMPUTED_VALUE"""),"SIN ASIGNAR")</f>
        <v>SIN ASIGNAR</v>
      </c>
      <c r="M1040" s="74" t="str">
        <f>IFERROR(__xludf.DUMMYFUNCTION("""COMPUTED_VALUE"""),"ENGRANES")</f>
        <v>ENGRANES</v>
      </c>
      <c r="N1040" s="87">
        <f>IFERROR(__xludf.DUMMYFUNCTION("""COMPUTED_VALUE"""),0.0)</f>
        <v>0</v>
      </c>
      <c r="O1040" s="74"/>
      <c r="P1040" s="74" t="str">
        <f>IFERROR(__xludf.DUMMYFUNCTION("""COMPUTED_VALUE"""),"To Re-purchase")</f>
        <v>To Re-purchase</v>
      </c>
      <c r="Q1040" s="74"/>
      <c r="R1040" s="74"/>
      <c r="S1040" s="87">
        <f>IFERROR(__xludf.DUMMYFUNCTION("""COMPUTED_VALUE"""),0.0)</f>
        <v>0</v>
      </c>
      <c r="T1040" s="87">
        <f>IFERROR(__xludf.DUMMYFUNCTION("""COMPUTED_VALUE"""),0.0)</f>
        <v>0</v>
      </c>
      <c r="U1040" s="87">
        <f>IFERROR(__xludf.DUMMYFUNCTION("""COMPUTED_VALUE"""),0.0)</f>
        <v>0</v>
      </c>
      <c r="V1040" s="87">
        <f>IFERROR(__xludf.DUMMYFUNCTION("""COMPUTED_VALUE"""),0.0)</f>
        <v>0</v>
      </c>
      <c r="W1040" s="87">
        <f>IFERROR(__xludf.DUMMYFUNCTION("""COMPUTED_VALUE"""),0.0)</f>
        <v>0</v>
      </c>
      <c r="X1040" s="88"/>
      <c r="Y1040" s="74"/>
      <c r="Z1040" s="74"/>
    </row>
    <row r="1041">
      <c r="B1041" s="74" t="str">
        <f>IFERROR(__xludf.DUMMYFUNCTION("""COMPUTED_VALUE"""),"2039")</f>
        <v>2039</v>
      </c>
      <c r="C1041" s="74" t="str">
        <f>IFERROR(__xludf.DUMMYFUNCTION("""COMPUTED_VALUE"""),"75045880561")</f>
        <v>75045880561</v>
      </c>
      <c r="D1041" s="74" t="str">
        <f>IFERROR(__xludf.DUMMYFUNCTION("""COMPUTED_VALUE"""),"\\MCA-S\mk\2_BM\0_BMat\08_PYM\Inventario\excel\Imagen de refacciones\Schwing\Barra de 2 tortnillos para válvula rock")</f>
        <v>\\MCA-S\mk\2_BM\0_BMat\08_PYM\Inventario\excel\Imagen de refacciones\Schwing\Barra de 2 tortnillos para válvula rock</v>
      </c>
      <c r="E1041" s="74" t="str">
        <f>IFERROR(__xludf.DUMMYFUNCTION("""COMPUTED_VALUE"""),"SLEWING SHAFT V ROCK")</f>
        <v>SLEWING SHAFT V ROCK</v>
      </c>
      <c r="F1041" s="74" t="str">
        <f>IFERROR(__xludf.DUMMYFUNCTION("""COMPUTED_VALUE"""),"BARRA 2 TORNILLOS PARA VALVULA ROCK")</f>
        <v>BARRA 2 TORNILLOS PARA VALVULA ROCK</v>
      </c>
      <c r="G1041" s="74"/>
      <c r="H1041" s="74"/>
      <c r="I1041" s="74" t="str">
        <f>IFERROR(__xludf.DUMMYFUNCTION("""COMPUTED_VALUE"""),"10064073")</f>
        <v>10064073</v>
      </c>
      <c r="J1041" s="74"/>
      <c r="K1041" s="74" t="str">
        <f>IFERROR(__xludf.DUMMYFUNCTION("""COMPUTED_VALUE"""),"Schwing")</f>
        <v>Schwing</v>
      </c>
      <c r="L1041" s="74" t="str">
        <f>IFERROR(__xludf.DUMMYFUNCTION("""COMPUTED_VALUE"""),"BARRA V-ROCK")</f>
        <v>BARRA V-ROCK</v>
      </c>
      <c r="M1041" s="74" t="str">
        <f>IFERROR(__xludf.DUMMYFUNCTION("""COMPUTED_VALUE"""),"VALVULAS")</f>
        <v>VALVULAS</v>
      </c>
      <c r="N1041" s="87">
        <f>IFERROR(__xludf.DUMMYFUNCTION("""COMPUTED_VALUE"""),0.0)</f>
        <v>0</v>
      </c>
      <c r="O1041" s="74"/>
      <c r="P1041" s="74" t="str">
        <f>IFERROR(__xludf.DUMMYFUNCTION("""COMPUTED_VALUE"""),"To Re-purchase")</f>
        <v>To Re-purchase</v>
      </c>
      <c r="Q1041" s="74"/>
      <c r="R1041" s="74"/>
      <c r="S1041" s="87">
        <f>IFERROR(__xludf.DUMMYFUNCTION("""COMPUTED_VALUE"""),0.0)</f>
        <v>0</v>
      </c>
      <c r="T1041" s="87">
        <f>IFERROR(__xludf.DUMMYFUNCTION("""COMPUTED_VALUE"""),0.0)</f>
        <v>0</v>
      </c>
      <c r="U1041" s="87">
        <f>IFERROR(__xludf.DUMMYFUNCTION("""COMPUTED_VALUE"""),0.0)</f>
        <v>0</v>
      </c>
      <c r="V1041" s="87">
        <f>IFERROR(__xludf.DUMMYFUNCTION("""COMPUTED_VALUE"""),0.0)</f>
        <v>0</v>
      </c>
      <c r="W1041" s="87">
        <f>IFERROR(__xludf.DUMMYFUNCTION("""COMPUTED_VALUE"""),0.0)</f>
        <v>0</v>
      </c>
      <c r="X1041" s="88"/>
      <c r="Y1041" s="74"/>
      <c r="Z1041" s="74"/>
    </row>
    <row r="1042">
      <c r="B1042" s="74" t="str">
        <f>IFERROR(__xludf.DUMMYFUNCTION("""COMPUTED_VALUE"""),"2040")</f>
        <v>2040</v>
      </c>
      <c r="C1042" s="74" t="str">
        <f>IFERROR(__xludf.DUMMYFUNCTION("""COMPUTED_VALUE"""),"75045880384")</f>
        <v>75045880384</v>
      </c>
      <c r="D1042" s="74" t="str">
        <f>IFERROR(__xludf.DUMMYFUNCTION("""COMPUTED_VALUE"""),"\\MCA-S\mk\2_BM\0_BMat\08_PYM\Inventario\excel\Imagen de refacciones\Schwing\Barra Lado motor")</f>
        <v>\\MCA-S\mk\2_BM\0_BMat\08_PYM\Inventario\excel\Imagen de refacciones\Schwing\Barra Lado motor</v>
      </c>
      <c r="E1042" s="74" t="str">
        <f>IFERROR(__xludf.DUMMYFUNCTION("""COMPUTED_VALUE"""),"BAR SHAFT/ FLANGE HUB/ AGITATOR LEFT HANF")</f>
        <v>BAR SHAFT/ FLANGE HUB/ AGITATOR LEFT HANF</v>
      </c>
      <c r="F1042" s="74" t="str">
        <f>IFERROR(__xludf.DUMMYFUNCTION("""COMPUTED_VALUE"""),"BARRA PUNTA LADO MOTOR")</f>
        <v>BARRA PUNTA LADO MOTOR</v>
      </c>
      <c r="G1042" s="74"/>
      <c r="H1042" s="74"/>
      <c r="I1042" s="74" t="str">
        <f>IFERROR(__xludf.DUMMYFUNCTION("""COMPUTED_VALUE"""),"10061075")</f>
        <v>10061075</v>
      </c>
      <c r="J1042" s="74"/>
      <c r="K1042" s="74" t="str">
        <f>IFERROR(__xludf.DUMMYFUNCTION("""COMPUTED_VALUE"""),"Schwing")</f>
        <v>Schwing</v>
      </c>
      <c r="L1042" s="74" t="str">
        <f>IFERROR(__xludf.DUMMYFUNCTION("""COMPUTED_VALUE"""),"AGITADOR V-ROCK")</f>
        <v>AGITADOR V-ROCK</v>
      </c>
      <c r="M1042" s="74" t="str">
        <f>IFERROR(__xludf.DUMMYFUNCTION("""COMPUTED_VALUE"""),"Sin Asignar")</f>
        <v>Sin Asignar</v>
      </c>
      <c r="N1042" s="87">
        <f>IFERROR(__xludf.DUMMYFUNCTION("""COMPUTED_VALUE"""),1456.32)</f>
        <v>1456.32</v>
      </c>
      <c r="O1042" s="74">
        <f>IFERROR(__xludf.DUMMYFUNCTION("""COMPUTED_VALUE"""),5.0)</f>
        <v>5</v>
      </c>
      <c r="P1042" s="74" t="str">
        <f>IFERROR(__xludf.DUMMYFUNCTION("""COMPUTED_VALUE"""),"In stock")</f>
        <v>In stock</v>
      </c>
      <c r="Q1042" s="74"/>
      <c r="R1042" s="74"/>
      <c r="S1042" s="87">
        <f>IFERROR(__xludf.DUMMYFUNCTION("""COMPUTED_VALUE"""),16.0)</f>
        <v>16</v>
      </c>
      <c r="T1042" s="87">
        <f>IFERROR(__xludf.DUMMYFUNCTION("""COMPUTED_VALUE"""),82.0)</f>
        <v>82</v>
      </c>
      <c r="U1042" s="87">
        <f>IFERROR(__xludf.DUMMYFUNCTION("""COMPUTED_VALUE"""),78.72)</f>
        <v>78.72</v>
      </c>
      <c r="V1042" s="87">
        <f>IFERROR(__xludf.DUMMYFUNCTION("""COMPUTED_VALUE"""),19.6)</f>
        <v>19.6</v>
      </c>
      <c r="W1042" s="87">
        <f>IFERROR(__xludf.DUMMYFUNCTION("""COMPUTED_VALUE"""),367.5)</f>
        <v>367.5</v>
      </c>
      <c r="X1042" s="88">
        <f>IFERROR(__xludf.DUMMYFUNCTION("""COMPUTED_VALUE"""),4.92)</f>
        <v>4.92</v>
      </c>
      <c r="Y1042" s="74"/>
      <c r="Z1042" s="74"/>
    </row>
    <row r="1043">
      <c r="B1043" s="74" t="str">
        <f>IFERROR(__xludf.DUMMYFUNCTION("""COMPUTED_VALUE"""),"2041")</f>
        <v>2041</v>
      </c>
      <c r="C1043" s="74" t="str">
        <f>IFERROR(__xludf.DUMMYFUNCTION("""COMPUTED_VALUE"""),"75045880435")</f>
        <v>75045880435</v>
      </c>
      <c r="D1043" s="74" t="str">
        <f>IFERROR(__xludf.DUMMYFUNCTION("""COMPUTED_VALUE"""),"\\MCA-S\mk\2_BM\0_BMat\08_PYM\Inventario\excel\Imagen de refacciones\Schwing\Base lado fijo")</f>
        <v>\\MCA-S\mk\2_BM\0_BMat\08_PYM\Inventario\excel\Imagen de refacciones\Schwing\Base lado fijo</v>
      </c>
      <c r="E1043" s="74" t="str">
        <f>IFERROR(__xludf.DUMMYFUNCTION("""COMPUTED_VALUE"""),"BAR ROUND 4.528in FLANGE RIGHT")</f>
        <v>BAR ROUND 4.528in FLANGE RIGHT</v>
      </c>
      <c r="F1043" s="74" t="str">
        <f>IFERROR(__xludf.DUMMYFUNCTION("""COMPUTED_VALUE"""),"BARRA PUNTA LADO FIJO")</f>
        <v>BARRA PUNTA LADO FIJO</v>
      </c>
      <c r="G1043" s="74"/>
      <c r="H1043" s="74" t="str">
        <f>IFERROR(__xludf.DUMMYFUNCTION("""COMPUTED_VALUE"""),"BARRA LADO MOTOR PARA BOMBA DE HORMIGON")</f>
        <v>BARRA LADO MOTOR PARA BOMBA DE HORMIGON</v>
      </c>
      <c r="I1043" s="74" t="str">
        <f>IFERROR(__xludf.DUMMYFUNCTION("""COMPUTED_VALUE"""),"10061080")</f>
        <v>10061080</v>
      </c>
      <c r="J1043" s="74"/>
      <c r="K1043" s="74" t="str">
        <f>IFERROR(__xludf.DUMMYFUNCTION("""COMPUTED_VALUE"""),"Schwing")</f>
        <v>Schwing</v>
      </c>
      <c r="L1043" s="74" t="str">
        <f>IFERROR(__xludf.DUMMYFUNCTION("""COMPUTED_VALUE"""),"AGITADOR V-ROCK")</f>
        <v>AGITADOR V-ROCK</v>
      </c>
      <c r="M1043" s="74" t="str">
        <f>IFERROR(__xludf.DUMMYFUNCTION("""COMPUTED_VALUE"""),"ACCESORIOS ")</f>
        <v>ACCESORIOS </v>
      </c>
      <c r="N1043" s="87">
        <f>IFERROR(__xludf.DUMMYFUNCTION("""COMPUTED_VALUE"""),1243.2)</f>
        <v>1243.2</v>
      </c>
      <c r="O1043" s="74">
        <f>IFERROR(__xludf.DUMMYFUNCTION("""COMPUTED_VALUE"""),5.0)</f>
        <v>5</v>
      </c>
      <c r="P1043" s="74" t="str">
        <f>IFERROR(__xludf.DUMMYFUNCTION("""COMPUTED_VALUE"""),"In stock")</f>
        <v>In stock</v>
      </c>
      <c r="Q1043" s="74"/>
      <c r="R1043" s="74"/>
      <c r="S1043" s="87">
        <f>IFERROR(__xludf.DUMMYFUNCTION("""COMPUTED_VALUE"""),17.0)</f>
        <v>17</v>
      </c>
      <c r="T1043" s="87">
        <f>IFERROR(__xludf.DUMMYFUNCTION("""COMPUTED_VALUE"""),70.0)</f>
        <v>70</v>
      </c>
      <c r="U1043" s="87">
        <f>IFERROR(__xludf.DUMMYFUNCTION("""COMPUTED_VALUE"""),67.2)</f>
        <v>67.2</v>
      </c>
      <c r="V1043" s="87">
        <f>IFERROR(__xludf.DUMMYFUNCTION("""COMPUTED_VALUE"""),20.825)</f>
        <v>20.825</v>
      </c>
      <c r="W1043" s="87">
        <f>IFERROR(__xludf.DUMMYFUNCTION("""COMPUTED_VALUE"""),390.46875)</f>
        <v>390.46875</v>
      </c>
      <c r="X1043" s="88">
        <f>IFERROR(__xludf.DUMMYFUNCTION("""COMPUTED_VALUE"""),3.9529411764705884)</f>
        <v>3.952941176</v>
      </c>
      <c r="Y1043" s="74"/>
      <c r="Z1043" s="74"/>
    </row>
    <row r="1044">
      <c r="B1044" s="74" t="str">
        <f>IFERROR(__xludf.DUMMYFUNCTION("""COMPUTED_VALUE"""),"2042")</f>
        <v>2042</v>
      </c>
      <c r="C1044" s="74"/>
      <c r="D1044" s="74" t="str">
        <f>IFERROR(__xludf.DUMMYFUNCTION("""COMPUTED_VALUE"""),"\\MCA-S\mk\2_BM\0_BMat\08_PYM\Inventario\excel\Imagen de refacciones\Schwing\Base Plate _ Placa Base")</f>
        <v>\\MCA-S\mk\2_BM\0_BMat\08_PYM\Inventario\excel\Imagen de refacciones\Schwing\Base Plate _ Placa Base</v>
      </c>
      <c r="E1044" s="74"/>
      <c r="F1044" s="74" t="str">
        <f>IFERROR(__xludf.DUMMYFUNCTION("""COMPUTED_VALUE"""),"Base Plate / Placa Base")</f>
        <v>Base Plate / Placa Base</v>
      </c>
      <c r="G1044" s="74"/>
      <c r="H1044" s="74"/>
      <c r="I1044" s="74" t="str">
        <f>IFERROR(__xludf.DUMMYFUNCTION("""COMPUTED_VALUE"""),"SOM30001")</f>
        <v>SOM30001</v>
      </c>
      <c r="J1044" s="74" t="str">
        <f>IFERROR(__xludf.DUMMYFUNCTION("""COMPUTED_VALUE"""),"10074709")</f>
        <v>10074709</v>
      </c>
      <c r="K1044" s="74" t="str">
        <f>IFERROR(__xludf.DUMMYFUNCTION("""COMPUTED_VALUE"""),"Schwing")</f>
        <v>Schwing</v>
      </c>
      <c r="L1044" s="74" t="str">
        <f>IFERROR(__xludf.DUMMYFUNCTION("""COMPUTED_VALUE"""),"Componentes Estructurales y de Montaje")</f>
        <v>Componentes Estructurales y de Montaje</v>
      </c>
      <c r="M1044" s="74" t="str">
        <f>IFERROR(__xludf.DUMMYFUNCTION("""COMPUTED_VALUE"""),"Sin Asignar")</f>
        <v>Sin Asignar</v>
      </c>
      <c r="N1044" s="87">
        <f>IFERROR(__xludf.DUMMYFUNCTION("""COMPUTED_VALUE"""),0.0)</f>
        <v>0</v>
      </c>
      <c r="O1044" s="74"/>
      <c r="P1044" s="74" t="str">
        <f>IFERROR(__xludf.DUMMYFUNCTION("""COMPUTED_VALUE"""),"No Available")</f>
        <v>No Available</v>
      </c>
      <c r="Q1044" s="74"/>
      <c r="R1044" s="74"/>
      <c r="S1044" s="87">
        <f>IFERROR(__xludf.DUMMYFUNCTION("""COMPUTED_VALUE"""),0.0)</f>
        <v>0</v>
      </c>
      <c r="T1044" s="87">
        <f>IFERROR(__xludf.DUMMYFUNCTION("""COMPUTED_VALUE"""),0.0)</f>
        <v>0</v>
      </c>
      <c r="U1044" s="87">
        <f>IFERROR(__xludf.DUMMYFUNCTION("""COMPUTED_VALUE"""),0.0)</f>
        <v>0</v>
      </c>
      <c r="V1044" s="87">
        <f>IFERROR(__xludf.DUMMYFUNCTION("""COMPUTED_VALUE"""),0.0)</f>
        <v>0</v>
      </c>
      <c r="W1044" s="87">
        <f>IFERROR(__xludf.DUMMYFUNCTION("""COMPUTED_VALUE"""),0.0)</f>
        <v>0</v>
      </c>
      <c r="X1044" s="88"/>
      <c r="Y1044" s="74"/>
      <c r="Z1044" s="74"/>
    </row>
    <row r="1045">
      <c r="B1045" s="74" t="str">
        <f>IFERROR(__xludf.DUMMYFUNCTION("""COMPUTED_VALUE"""),"2043")</f>
        <v>2043</v>
      </c>
      <c r="C1045" s="74"/>
      <c r="D1045" s="74" t="str">
        <f>IFERROR(__xludf.DUMMYFUNCTION("""COMPUTED_VALUE"""),"\\MCA-S\mk\2_BM\0_BMat\08_PYM\Inventario\excel\Imagen de refacciones\Schwing\Base Plate _ Placa Base (1)")</f>
        <v>\\MCA-S\mk\2_BM\0_BMat\08_PYM\Inventario\excel\Imagen de refacciones\Schwing\Base Plate _ Placa Base (1)</v>
      </c>
      <c r="E1045" s="74"/>
      <c r="F1045" s="74" t="str">
        <f>IFERROR(__xludf.DUMMYFUNCTION("""COMPUTED_VALUE"""),"Base Plate / Placa Base")</f>
        <v>Base Plate / Placa Base</v>
      </c>
      <c r="G1045" s="74"/>
      <c r="H1045" s="74"/>
      <c r="I1045" s="74" t="str">
        <f>IFERROR(__xludf.DUMMYFUNCTION("""COMPUTED_VALUE"""),"SOM30002")</f>
        <v>SOM30002</v>
      </c>
      <c r="J1045" s="74" t="str">
        <f>IFERROR(__xludf.DUMMYFUNCTION("""COMPUTED_VALUE"""),"10166657")</f>
        <v>10166657</v>
      </c>
      <c r="K1045" s="74" t="str">
        <f>IFERROR(__xludf.DUMMYFUNCTION("""COMPUTED_VALUE"""),"Schwing")</f>
        <v>Schwing</v>
      </c>
      <c r="L1045" s="74" t="str">
        <f>IFERROR(__xludf.DUMMYFUNCTION("""COMPUTED_VALUE"""),"Componentes Estructurales y de Montaje")</f>
        <v>Componentes Estructurales y de Montaje</v>
      </c>
      <c r="M1045" s="74" t="str">
        <f>IFERROR(__xludf.DUMMYFUNCTION("""COMPUTED_VALUE"""),"Sin Asignar")</f>
        <v>Sin Asignar</v>
      </c>
      <c r="N1045" s="87">
        <f>IFERROR(__xludf.DUMMYFUNCTION("""COMPUTED_VALUE"""),0.0)</f>
        <v>0</v>
      </c>
      <c r="O1045" s="74"/>
      <c r="P1045" s="74" t="str">
        <f>IFERROR(__xludf.DUMMYFUNCTION("""COMPUTED_VALUE"""),"No Available")</f>
        <v>No Available</v>
      </c>
      <c r="Q1045" s="74"/>
      <c r="R1045" s="74"/>
      <c r="S1045" s="87">
        <f>IFERROR(__xludf.DUMMYFUNCTION("""COMPUTED_VALUE"""),0.0)</f>
        <v>0</v>
      </c>
      <c r="T1045" s="87">
        <f>IFERROR(__xludf.DUMMYFUNCTION("""COMPUTED_VALUE"""),0.0)</f>
        <v>0</v>
      </c>
      <c r="U1045" s="87">
        <f>IFERROR(__xludf.DUMMYFUNCTION("""COMPUTED_VALUE"""),0.0)</f>
        <v>0</v>
      </c>
      <c r="V1045" s="87">
        <f>IFERROR(__xludf.DUMMYFUNCTION("""COMPUTED_VALUE"""),0.0)</f>
        <v>0</v>
      </c>
      <c r="W1045" s="87">
        <f>IFERROR(__xludf.DUMMYFUNCTION("""COMPUTED_VALUE"""),0.0)</f>
        <v>0</v>
      </c>
      <c r="X1045" s="88"/>
      <c r="Y1045" s="74"/>
      <c r="Z1045" s="74"/>
    </row>
    <row r="1046">
      <c r="B1046" s="74" t="str">
        <f>IFERROR(__xludf.DUMMYFUNCTION("""COMPUTED_VALUE"""),"2044")</f>
        <v>2044</v>
      </c>
      <c r="C1046" s="74" t="str">
        <f>IFERROR(__xludf.DUMMYFUNCTION("""COMPUTED_VALUE"""),"75045880332")</f>
        <v>75045880332</v>
      </c>
      <c r="D1046" s="74" t="str">
        <f>IFERROR(__xludf.DUMMYFUNCTION("""COMPUTED_VALUE"""),"\\MCA-S\mk\2_BM\0_BMat\08_PYM\Inventario\excel\Imagen de refacciones\Schwing\Batería control Shwing 9.6V")</f>
        <v>\\MCA-S\mk\2_BM\0_BMat\08_PYM\Inventario\excel\Imagen de refacciones\Schwing\Batería control Shwing 9.6V</v>
      </c>
      <c r="E1046" s="74"/>
      <c r="F1046" s="74" t="str">
        <f>IFERROR(__xludf.DUMMYFUNCTION("""COMPUTED_VALUE"""),"BATERIA PARA CONTROL 9.6V")</f>
        <v>BATERIA PARA CONTROL 9.6V</v>
      </c>
      <c r="G1046" s="74"/>
      <c r="H1046" s="74"/>
      <c r="I1046" s="74" t="str">
        <f>IFERROR(__xludf.DUMMYFUNCTION("""COMPUTED_VALUE"""),"30343397")</f>
        <v>30343397</v>
      </c>
      <c r="J1046" s="74"/>
      <c r="K1046" s="74" t="str">
        <f>IFERROR(__xludf.DUMMYFUNCTION("""COMPUTED_VALUE"""),"Schwing")</f>
        <v>Schwing</v>
      </c>
      <c r="L1046" s="74"/>
      <c r="M1046" s="74" t="str">
        <f>IFERROR(__xludf.DUMMYFUNCTION("""COMPUTED_VALUE"""),"Sin Asignar")</f>
        <v>Sin Asignar</v>
      </c>
      <c r="N1046" s="87">
        <f>IFERROR(__xludf.DUMMYFUNCTION("""COMPUTED_VALUE"""),0.0)</f>
        <v>0</v>
      </c>
      <c r="O1046" s="74"/>
      <c r="P1046" s="74" t="str">
        <f>IFERROR(__xludf.DUMMYFUNCTION("""COMPUTED_VALUE"""),"To Re-purchase")</f>
        <v>To Re-purchase</v>
      </c>
      <c r="Q1046" s="74"/>
      <c r="R1046" s="74"/>
      <c r="S1046" s="87">
        <f>IFERROR(__xludf.DUMMYFUNCTION("""COMPUTED_VALUE"""),0.0)</f>
        <v>0</v>
      </c>
      <c r="T1046" s="87">
        <f>IFERROR(__xludf.DUMMYFUNCTION("""COMPUTED_VALUE"""),0.0)</f>
        <v>0</v>
      </c>
      <c r="U1046" s="87">
        <f>IFERROR(__xludf.DUMMYFUNCTION("""COMPUTED_VALUE"""),0.0)</f>
        <v>0</v>
      </c>
      <c r="V1046" s="87">
        <f>IFERROR(__xludf.DUMMYFUNCTION("""COMPUTED_VALUE"""),0.0)</f>
        <v>0</v>
      </c>
      <c r="W1046" s="87">
        <f>IFERROR(__xludf.DUMMYFUNCTION("""COMPUTED_VALUE"""),0.0)</f>
        <v>0</v>
      </c>
      <c r="X1046" s="88"/>
      <c r="Y1046" s="74"/>
      <c r="Z1046" s="74"/>
    </row>
    <row r="1047">
      <c r="B1047" s="74" t="str">
        <f>IFERROR(__xludf.DUMMYFUNCTION("""COMPUTED_VALUE"""),"2045")</f>
        <v>2045</v>
      </c>
      <c r="C1047" s="74"/>
      <c r="D1047" s="74" t="str">
        <f>IFERROR(__xludf.DUMMYFUNCTION("""COMPUTED_VALUE"""),"\\MCA-S\mk\2_BM\0_BMat\08_PYM\Inventario\excel\Imagen de refacciones\Schwing\Battery _ Batería")</f>
        <v>\\MCA-S\mk\2_BM\0_BMat\08_PYM\Inventario\excel\Imagen de refacciones\Schwing\Battery _ Batería</v>
      </c>
      <c r="E1047" s="74"/>
      <c r="F1047" s="74" t="str">
        <f>IFERROR(__xludf.DUMMYFUNCTION("""COMPUTED_VALUE"""),"Battery / Batería")</f>
        <v>Battery / Batería</v>
      </c>
      <c r="G1047" s="74"/>
      <c r="H1047" s="74"/>
      <c r="I1047" s="74" t="str">
        <f>IFERROR(__xludf.DUMMYFUNCTION("""COMPUTED_VALUE"""),"SOM30317")</f>
        <v>SOM30317</v>
      </c>
      <c r="J1047" s="74" t="str">
        <f>IFERROR(__xludf.DUMMYFUNCTION("""COMPUTED_VALUE"""),"10052446")</f>
        <v>10052446</v>
      </c>
      <c r="K1047" s="74" t="str">
        <f>IFERROR(__xludf.DUMMYFUNCTION("""COMPUTED_VALUE"""),"Schwing")</f>
        <v>Schwing</v>
      </c>
      <c r="L1047" s="74" t="str">
        <f>IFERROR(__xludf.DUMMYFUNCTION("""COMPUTED_VALUE"""),"Componentes Eléctricos")</f>
        <v>Componentes Eléctricos</v>
      </c>
      <c r="M1047" s="74" t="str">
        <f>IFERROR(__xludf.DUMMYFUNCTION("""COMPUTED_VALUE"""),"Sin Asignar")</f>
        <v>Sin Asignar</v>
      </c>
      <c r="N1047" s="87">
        <f>IFERROR(__xludf.DUMMYFUNCTION("""COMPUTED_VALUE"""),0.0)</f>
        <v>0</v>
      </c>
      <c r="O1047" s="74"/>
      <c r="P1047" s="74" t="str">
        <f>IFERROR(__xludf.DUMMYFUNCTION("""COMPUTED_VALUE"""),"No Available")</f>
        <v>No Available</v>
      </c>
      <c r="Q1047" s="74"/>
      <c r="R1047" s="74"/>
      <c r="S1047" s="87">
        <f>IFERROR(__xludf.DUMMYFUNCTION("""COMPUTED_VALUE"""),0.0)</f>
        <v>0</v>
      </c>
      <c r="T1047" s="87">
        <f>IFERROR(__xludf.DUMMYFUNCTION("""COMPUTED_VALUE"""),0.0)</f>
        <v>0</v>
      </c>
      <c r="U1047" s="87">
        <f>IFERROR(__xludf.DUMMYFUNCTION("""COMPUTED_VALUE"""),0.0)</f>
        <v>0</v>
      </c>
      <c r="V1047" s="87">
        <f>IFERROR(__xludf.DUMMYFUNCTION("""COMPUTED_VALUE"""),0.0)</f>
        <v>0</v>
      </c>
      <c r="W1047" s="87">
        <f>IFERROR(__xludf.DUMMYFUNCTION("""COMPUTED_VALUE"""),0.0)</f>
        <v>0</v>
      </c>
      <c r="X1047" s="88"/>
      <c r="Y1047" s="74"/>
      <c r="Z1047" s="74"/>
    </row>
    <row r="1048">
      <c r="B1048" s="74" t="str">
        <f>IFERROR(__xludf.DUMMYFUNCTION("""COMPUTED_VALUE"""),"2046")</f>
        <v>2046</v>
      </c>
      <c r="C1048" s="74"/>
      <c r="D1048" s="74" t="str">
        <f>IFERROR(__xludf.DUMMYFUNCTION("""COMPUTED_VALUE"""),"\\MCA-S\mk\2_BM\0_BMat\08_PYM\Inventario\excel\Imagen de refacciones\Schwing\Battery _ Batería (1)")</f>
        <v>\\MCA-S\mk\2_BM\0_BMat\08_PYM\Inventario\excel\Imagen de refacciones\Schwing\Battery _ Batería (1)</v>
      </c>
      <c r="E1048" s="74"/>
      <c r="F1048" s="74" t="str">
        <f>IFERROR(__xludf.DUMMYFUNCTION("""COMPUTED_VALUE"""),"Battery / Batería")</f>
        <v>Battery / Batería</v>
      </c>
      <c r="G1048" s="74"/>
      <c r="H1048" s="74"/>
      <c r="I1048" s="74" t="str">
        <f>IFERROR(__xludf.DUMMYFUNCTION("""COMPUTED_VALUE"""),"SOM30318")</f>
        <v>SOM30318</v>
      </c>
      <c r="J1048" s="74" t="str">
        <f>IFERROR(__xludf.DUMMYFUNCTION("""COMPUTED_VALUE"""),"10167219")</f>
        <v>10167219</v>
      </c>
      <c r="K1048" s="74" t="str">
        <f>IFERROR(__xludf.DUMMYFUNCTION("""COMPUTED_VALUE"""),"Schwing")</f>
        <v>Schwing</v>
      </c>
      <c r="L1048" s="74" t="str">
        <f>IFERROR(__xludf.DUMMYFUNCTION("""COMPUTED_VALUE"""),"Componentes Eléctricos")</f>
        <v>Componentes Eléctricos</v>
      </c>
      <c r="M1048" s="74" t="str">
        <f>IFERROR(__xludf.DUMMYFUNCTION("""COMPUTED_VALUE"""),"Sin Asignar")</f>
        <v>Sin Asignar</v>
      </c>
      <c r="N1048" s="87">
        <f>IFERROR(__xludf.DUMMYFUNCTION("""COMPUTED_VALUE"""),0.0)</f>
        <v>0</v>
      </c>
      <c r="O1048" s="74"/>
      <c r="P1048" s="74" t="str">
        <f>IFERROR(__xludf.DUMMYFUNCTION("""COMPUTED_VALUE"""),"No Available")</f>
        <v>No Available</v>
      </c>
      <c r="Q1048" s="74"/>
      <c r="R1048" s="74"/>
      <c r="S1048" s="87">
        <f>IFERROR(__xludf.DUMMYFUNCTION("""COMPUTED_VALUE"""),0.0)</f>
        <v>0</v>
      </c>
      <c r="T1048" s="87">
        <f>IFERROR(__xludf.DUMMYFUNCTION("""COMPUTED_VALUE"""),0.0)</f>
        <v>0</v>
      </c>
      <c r="U1048" s="87">
        <f>IFERROR(__xludf.DUMMYFUNCTION("""COMPUTED_VALUE"""),0.0)</f>
        <v>0</v>
      </c>
      <c r="V1048" s="87">
        <f>IFERROR(__xludf.DUMMYFUNCTION("""COMPUTED_VALUE"""),0.0)</f>
        <v>0</v>
      </c>
      <c r="W1048" s="87">
        <f>IFERROR(__xludf.DUMMYFUNCTION("""COMPUTED_VALUE"""),0.0)</f>
        <v>0</v>
      </c>
      <c r="X1048" s="88"/>
      <c r="Y1048" s="74"/>
      <c r="Z1048" s="74"/>
    </row>
    <row r="1049">
      <c r="B1049" s="74" t="str">
        <f>IFERROR(__xludf.DUMMYFUNCTION("""COMPUTED_VALUE"""),"2047")</f>
        <v>2047</v>
      </c>
      <c r="C1049" s="74"/>
      <c r="D1049" s="74" t="str">
        <f>IFERROR(__xludf.DUMMYFUNCTION("""COMPUTED_VALUE"""),"\\MCA-S\mk\2_BM\0_BMat\08_PYM\Inventario\excel\Imagen de refacciones\Schwing\Bearing Bushing _ Casquillo de Cojinete")</f>
        <v>\\MCA-S\mk\2_BM\0_BMat\08_PYM\Inventario\excel\Imagen de refacciones\Schwing\Bearing Bushing _ Casquillo de Cojinete</v>
      </c>
      <c r="E1049" s="74"/>
      <c r="F1049" s="74" t="str">
        <f>IFERROR(__xludf.DUMMYFUNCTION("""COMPUTED_VALUE"""),"Bearing Bushing / Casquillo de Cojinete")</f>
        <v>Bearing Bushing / Casquillo de Cojinete</v>
      </c>
      <c r="G1049" s="74"/>
      <c r="H1049" s="74"/>
      <c r="I1049" s="74" t="str">
        <f>IFERROR(__xludf.DUMMYFUNCTION("""COMPUTED_VALUE"""),"SOM30193")</f>
        <v>SOM30193</v>
      </c>
      <c r="J1049" s="74" t="str">
        <f>IFERROR(__xludf.DUMMYFUNCTION("""COMPUTED_VALUE"""),"10001088")</f>
        <v>10001088</v>
      </c>
      <c r="K1049" s="74" t="str">
        <f>IFERROR(__xludf.DUMMYFUNCTION("""COMPUTED_VALUE"""),"Schwing")</f>
        <v>Schwing</v>
      </c>
      <c r="L1049" s="74" t="str">
        <f>IFERROR(__xludf.DUMMYFUNCTION("""COMPUTED_VALUE"""),"Transmisión Mecánica")</f>
        <v>Transmisión Mecánica</v>
      </c>
      <c r="M1049" s="74" t="str">
        <f>IFERROR(__xludf.DUMMYFUNCTION("""COMPUTED_VALUE"""),"Sin Asignar")</f>
        <v>Sin Asignar</v>
      </c>
      <c r="N1049" s="87">
        <f>IFERROR(__xludf.DUMMYFUNCTION("""COMPUTED_VALUE"""),0.0)</f>
        <v>0</v>
      </c>
      <c r="O1049" s="74"/>
      <c r="P1049" s="74" t="str">
        <f>IFERROR(__xludf.DUMMYFUNCTION("""COMPUTED_VALUE"""),"No Available")</f>
        <v>No Available</v>
      </c>
      <c r="Q1049" s="74"/>
      <c r="R1049" s="74"/>
      <c r="S1049" s="87">
        <f>IFERROR(__xludf.DUMMYFUNCTION("""COMPUTED_VALUE"""),0.0)</f>
        <v>0</v>
      </c>
      <c r="T1049" s="87">
        <f>IFERROR(__xludf.DUMMYFUNCTION("""COMPUTED_VALUE"""),0.0)</f>
        <v>0</v>
      </c>
      <c r="U1049" s="87">
        <f>IFERROR(__xludf.DUMMYFUNCTION("""COMPUTED_VALUE"""),0.0)</f>
        <v>0</v>
      </c>
      <c r="V1049" s="87">
        <f>IFERROR(__xludf.DUMMYFUNCTION("""COMPUTED_VALUE"""),0.0)</f>
        <v>0</v>
      </c>
      <c r="W1049" s="87">
        <f>IFERROR(__xludf.DUMMYFUNCTION("""COMPUTED_VALUE"""),0.0)</f>
        <v>0</v>
      </c>
      <c r="X1049" s="88"/>
      <c r="Y1049" s="74"/>
      <c r="Z1049" s="74"/>
    </row>
    <row r="1050">
      <c r="B1050" s="74" t="str">
        <f>IFERROR(__xludf.DUMMYFUNCTION("""COMPUTED_VALUE"""),"2048")</f>
        <v>2048</v>
      </c>
      <c r="C1050" s="74"/>
      <c r="D1050" s="74" t="str">
        <f>IFERROR(__xludf.DUMMYFUNCTION("""COMPUTED_VALUE"""),"\\MCA-S\mk\2_BM\0_BMat\08_PYM\Inventario\excel\Imagen de refacciones\Schwing\Bearing Bushing D 70_85x57 _ Casquillo de Cojinete D 70_85x57")</f>
        <v>\\MCA-S\mk\2_BM\0_BMat\08_PYM\Inventario\excel\Imagen de refacciones\Schwing\Bearing Bushing D 70_85x57 _ Casquillo de Cojinete D 70_85x57</v>
      </c>
      <c r="E1050" s="74"/>
      <c r="F1050" s="74" t="str">
        <f>IFERROR(__xludf.DUMMYFUNCTION("""COMPUTED_VALUE"""),"Bearing Bushing D 70/85x57 / Casquillo de Cojinete D 70/85x57")</f>
        <v>Bearing Bushing D 70/85x57 / Casquillo de Cojinete D 70/85x57</v>
      </c>
      <c r="G1050" s="74"/>
      <c r="H1050" s="74"/>
      <c r="I1050" s="74" t="str">
        <f>IFERROR(__xludf.DUMMYFUNCTION("""COMPUTED_VALUE"""),"SOM30025")</f>
        <v>SOM30025</v>
      </c>
      <c r="J1050" s="74" t="str">
        <f>IFERROR(__xludf.DUMMYFUNCTION("""COMPUTED_VALUE"""),"10067810")</f>
        <v>10067810</v>
      </c>
      <c r="K1050" s="74" t="str">
        <f>IFERROR(__xludf.DUMMYFUNCTION("""COMPUTED_VALUE"""),"Schwing")</f>
        <v>Schwing</v>
      </c>
      <c r="L1050" s="74" t="str">
        <f>IFERROR(__xludf.DUMMYFUNCTION("""COMPUTED_VALUE"""),"Transmisión Mecánica")</f>
        <v>Transmisión Mecánica</v>
      </c>
      <c r="M1050" s="74" t="str">
        <f>IFERROR(__xludf.DUMMYFUNCTION("""COMPUTED_VALUE"""),"Sin Asignar")</f>
        <v>Sin Asignar</v>
      </c>
      <c r="N1050" s="87">
        <f>IFERROR(__xludf.DUMMYFUNCTION("""COMPUTED_VALUE"""),0.0)</f>
        <v>0</v>
      </c>
      <c r="O1050" s="74"/>
      <c r="P1050" s="74" t="str">
        <f>IFERROR(__xludf.DUMMYFUNCTION("""COMPUTED_VALUE"""),"No Available")</f>
        <v>No Available</v>
      </c>
      <c r="Q1050" s="74"/>
      <c r="R1050" s="74"/>
      <c r="S1050" s="87">
        <f>IFERROR(__xludf.DUMMYFUNCTION("""COMPUTED_VALUE"""),0.0)</f>
        <v>0</v>
      </c>
      <c r="T1050" s="87">
        <f>IFERROR(__xludf.DUMMYFUNCTION("""COMPUTED_VALUE"""),0.0)</f>
        <v>0</v>
      </c>
      <c r="U1050" s="87">
        <f>IFERROR(__xludf.DUMMYFUNCTION("""COMPUTED_VALUE"""),0.0)</f>
        <v>0</v>
      </c>
      <c r="V1050" s="87">
        <f>IFERROR(__xludf.DUMMYFUNCTION("""COMPUTED_VALUE"""),0.0)</f>
        <v>0</v>
      </c>
      <c r="W1050" s="87">
        <f>IFERROR(__xludf.DUMMYFUNCTION("""COMPUTED_VALUE"""),0.0)</f>
        <v>0</v>
      </c>
      <c r="X1050" s="88"/>
      <c r="Y1050" s="74"/>
      <c r="Z1050" s="74"/>
    </row>
    <row r="1051">
      <c r="B1051" s="74" t="str">
        <f>IFERROR(__xludf.DUMMYFUNCTION("""COMPUTED_VALUE"""),"2049")</f>
        <v>2049</v>
      </c>
      <c r="C1051" s="74"/>
      <c r="D1051" s="74" t="str">
        <f>IFERROR(__xludf.DUMMYFUNCTION("""COMPUTED_VALUE"""),"\\MCA-S\mk\2_BM\0_BMat\08_PYM\Inventario\excel\Imagen de refacciones\Schwing\Bearing Bushing D 95_108X70 _ Casquillo de Cojinete D 95_108X70")</f>
        <v>\\MCA-S\mk\2_BM\0_BMat\08_PYM\Inventario\excel\Imagen de refacciones\Schwing\Bearing Bushing D 95_108X70 _ Casquillo de Cojinete D 95_108X70</v>
      </c>
      <c r="E1051" s="74"/>
      <c r="F1051" s="74" t="str">
        <f>IFERROR(__xludf.DUMMYFUNCTION("""COMPUTED_VALUE"""),"Bearing Bushing D 95/108X70 / Casquillo de Cojinete D 95/108X70")</f>
        <v>Bearing Bushing D 95/108X70 / Casquillo de Cojinete D 95/108X70</v>
      </c>
      <c r="G1051" s="74"/>
      <c r="H1051" s="74"/>
      <c r="I1051" s="74" t="str">
        <f>IFERROR(__xludf.DUMMYFUNCTION("""COMPUTED_VALUE"""),"SOM30022")</f>
        <v>SOM30022</v>
      </c>
      <c r="J1051" s="74" t="str">
        <f>IFERROR(__xludf.DUMMYFUNCTION("""COMPUTED_VALUE"""),"10018037")</f>
        <v>10018037</v>
      </c>
      <c r="K1051" s="74" t="str">
        <f>IFERROR(__xludf.DUMMYFUNCTION("""COMPUTED_VALUE"""),"Schwing")</f>
        <v>Schwing</v>
      </c>
      <c r="L1051" s="74" t="str">
        <f>IFERROR(__xludf.DUMMYFUNCTION("""COMPUTED_VALUE"""),"Transmisión Mecánica")</f>
        <v>Transmisión Mecánica</v>
      </c>
      <c r="M1051" s="74" t="str">
        <f>IFERROR(__xludf.DUMMYFUNCTION("""COMPUTED_VALUE"""),"Sin Asignar")</f>
        <v>Sin Asignar</v>
      </c>
      <c r="N1051" s="87">
        <f>IFERROR(__xludf.DUMMYFUNCTION("""COMPUTED_VALUE"""),0.0)</f>
        <v>0</v>
      </c>
      <c r="O1051" s="74"/>
      <c r="P1051" s="74" t="str">
        <f>IFERROR(__xludf.DUMMYFUNCTION("""COMPUTED_VALUE"""),"borrar")</f>
        <v>borrar</v>
      </c>
      <c r="Q1051" s="74"/>
      <c r="R1051" s="74"/>
      <c r="S1051" s="87">
        <f>IFERROR(__xludf.DUMMYFUNCTION("""COMPUTED_VALUE"""),0.0)</f>
        <v>0</v>
      </c>
      <c r="T1051" s="87">
        <f>IFERROR(__xludf.DUMMYFUNCTION("""COMPUTED_VALUE"""),0.0)</f>
        <v>0</v>
      </c>
      <c r="U1051" s="87">
        <f>IFERROR(__xludf.DUMMYFUNCTION("""COMPUTED_VALUE"""),0.0)</f>
        <v>0</v>
      </c>
      <c r="V1051" s="87">
        <f>IFERROR(__xludf.DUMMYFUNCTION("""COMPUTED_VALUE"""),0.0)</f>
        <v>0</v>
      </c>
      <c r="W1051" s="87">
        <f>IFERROR(__xludf.DUMMYFUNCTION("""COMPUTED_VALUE"""),0.0)</f>
        <v>0</v>
      </c>
      <c r="X1051" s="88"/>
      <c r="Y1051" s="74"/>
      <c r="Z1051" s="74"/>
    </row>
    <row r="1052">
      <c r="B1052" s="74" t="str">
        <f>IFERROR(__xludf.DUMMYFUNCTION("""COMPUTED_VALUE"""),"2050")</f>
        <v>2050</v>
      </c>
      <c r="C1052" s="74"/>
      <c r="D1052" s="74" t="str">
        <f>IFERROR(__xludf.DUMMYFUNCTION("""COMPUTED_VALUE"""),"\\MCA-S\mk\2_BM\0_BMat\08_PYM\Inventario\excel\Imagen de refacciones\Schwing\Bearing Bushing with Grease Groove _ Casquillo de Cojinete con Ranura de Engrase")</f>
        <v>\\MCA-S\mk\2_BM\0_BMat\08_PYM\Inventario\excel\Imagen de refacciones\Schwing\Bearing Bushing with Grease Groove _ Casquillo de Cojinete con Ranura de Engrase</v>
      </c>
      <c r="E1052" s="74"/>
      <c r="F1052" s="74" t="str">
        <f>IFERROR(__xludf.DUMMYFUNCTION("""COMPUTED_VALUE"""),"Bearing Bushing with Grease Groove / Casquillo de Cojinete con Ranura de Engrase")</f>
        <v>Bearing Bushing with Grease Groove / Casquillo de Cojinete con Ranura de Engrase</v>
      </c>
      <c r="G1052" s="74"/>
      <c r="H1052" s="74"/>
      <c r="I1052" s="74" t="str">
        <f>IFERROR(__xludf.DUMMYFUNCTION("""COMPUTED_VALUE"""),"SOM30023")</f>
        <v>SOM30023</v>
      </c>
      <c r="J1052" s="74" t="str">
        <f>IFERROR(__xludf.DUMMYFUNCTION("""COMPUTED_VALUE"""),"10018036")</f>
        <v>10018036</v>
      </c>
      <c r="K1052" s="74" t="str">
        <f>IFERROR(__xludf.DUMMYFUNCTION("""COMPUTED_VALUE"""),"Schwing")</f>
        <v>Schwing</v>
      </c>
      <c r="L1052" s="74" t="str">
        <f>IFERROR(__xludf.DUMMYFUNCTION("""COMPUTED_VALUE"""),"Transmisión Mecánica")</f>
        <v>Transmisión Mecánica</v>
      </c>
      <c r="M1052" s="74" t="str">
        <f>IFERROR(__xludf.DUMMYFUNCTION("""COMPUTED_VALUE"""),"Sin Asignar")</f>
        <v>Sin Asignar</v>
      </c>
      <c r="N1052" s="87">
        <f>IFERROR(__xludf.DUMMYFUNCTION("""COMPUTED_VALUE"""),0.0)</f>
        <v>0</v>
      </c>
      <c r="O1052" s="74"/>
      <c r="P1052" s="74" t="str">
        <f>IFERROR(__xludf.DUMMYFUNCTION("""COMPUTED_VALUE"""),"No Available")</f>
        <v>No Available</v>
      </c>
      <c r="Q1052" s="74"/>
      <c r="R1052" s="74"/>
      <c r="S1052" s="87">
        <f>IFERROR(__xludf.DUMMYFUNCTION("""COMPUTED_VALUE"""),0.0)</f>
        <v>0</v>
      </c>
      <c r="T1052" s="87">
        <f>IFERROR(__xludf.DUMMYFUNCTION("""COMPUTED_VALUE"""),0.0)</f>
        <v>0</v>
      </c>
      <c r="U1052" s="87">
        <f>IFERROR(__xludf.DUMMYFUNCTION("""COMPUTED_VALUE"""),0.0)</f>
        <v>0</v>
      </c>
      <c r="V1052" s="87">
        <f>IFERROR(__xludf.DUMMYFUNCTION("""COMPUTED_VALUE"""),0.0)</f>
        <v>0</v>
      </c>
      <c r="W1052" s="87">
        <f>IFERROR(__xludf.DUMMYFUNCTION("""COMPUTED_VALUE"""),0.0)</f>
        <v>0</v>
      </c>
      <c r="X1052" s="88"/>
      <c r="Y1052" s="74"/>
      <c r="Z1052" s="74"/>
    </row>
    <row r="1053">
      <c r="B1053" s="74" t="str">
        <f>IFERROR(__xludf.DUMMYFUNCTION("""COMPUTED_VALUE"""),"2051")</f>
        <v>2051</v>
      </c>
      <c r="C1053" s="74"/>
      <c r="D1053" s="74" t="str">
        <f>IFERROR(__xludf.DUMMYFUNCTION("""COMPUTED_VALUE"""),"\\MCA-S\mk\2_BM\0_BMat\08_PYM\Inventario\excel\Imagen de refacciones\Schwing\Bolt _ Perno")</f>
        <v>\\MCA-S\mk\2_BM\0_BMat\08_PYM\Inventario\excel\Imagen de refacciones\Schwing\Bolt _ Perno</v>
      </c>
      <c r="E1053" s="74"/>
      <c r="F1053" s="74" t="str">
        <f>IFERROR(__xludf.DUMMYFUNCTION("""COMPUTED_VALUE"""),"Bolt / Perno")</f>
        <v>Bolt / Perno</v>
      </c>
      <c r="G1053" s="74"/>
      <c r="H1053" s="74"/>
      <c r="I1053" s="74" t="str">
        <f>IFERROR(__xludf.DUMMYFUNCTION("""COMPUTED_VALUE"""),"SOM30065")</f>
        <v>SOM30065</v>
      </c>
      <c r="J1053" s="74" t="str">
        <f>IFERROR(__xludf.DUMMYFUNCTION("""COMPUTED_VALUE"""),"10058467")</f>
        <v>10058467</v>
      </c>
      <c r="K1053" s="74" t="str">
        <f>IFERROR(__xludf.DUMMYFUNCTION("""COMPUTED_VALUE"""),"Schwing")</f>
        <v>Schwing</v>
      </c>
      <c r="L1053" s="74" t="str">
        <f>IFERROR(__xludf.DUMMYFUNCTION("""COMPUTED_VALUE"""),"Componentes Estructurales y de Montaje")</f>
        <v>Componentes Estructurales y de Montaje</v>
      </c>
      <c r="M1053" s="74" t="str">
        <f>IFERROR(__xludf.DUMMYFUNCTION("""COMPUTED_VALUE"""),"Sin Asignar")</f>
        <v>Sin Asignar</v>
      </c>
      <c r="N1053" s="87">
        <f>IFERROR(__xludf.DUMMYFUNCTION("""COMPUTED_VALUE"""),0.0)</f>
        <v>0</v>
      </c>
      <c r="O1053" s="74"/>
      <c r="P1053" s="74" t="str">
        <f>IFERROR(__xludf.DUMMYFUNCTION("""COMPUTED_VALUE"""),"borrar")</f>
        <v>borrar</v>
      </c>
      <c r="Q1053" s="74"/>
      <c r="R1053" s="74"/>
      <c r="S1053" s="87">
        <f>IFERROR(__xludf.DUMMYFUNCTION("""COMPUTED_VALUE"""),0.0)</f>
        <v>0</v>
      </c>
      <c r="T1053" s="87">
        <f>IFERROR(__xludf.DUMMYFUNCTION("""COMPUTED_VALUE"""),0.0)</f>
        <v>0</v>
      </c>
      <c r="U1053" s="87">
        <f>IFERROR(__xludf.DUMMYFUNCTION("""COMPUTED_VALUE"""),0.0)</f>
        <v>0</v>
      </c>
      <c r="V1053" s="87">
        <f>IFERROR(__xludf.DUMMYFUNCTION("""COMPUTED_VALUE"""),0.0)</f>
        <v>0</v>
      </c>
      <c r="W1053" s="87">
        <f>IFERROR(__xludf.DUMMYFUNCTION("""COMPUTED_VALUE"""),0.0)</f>
        <v>0</v>
      </c>
      <c r="X1053" s="88"/>
      <c r="Y1053" s="74"/>
      <c r="Z1053" s="74"/>
    </row>
    <row r="1054">
      <c r="B1054" s="74" t="str">
        <f>IFERROR(__xludf.DUMMYFUNCTION("""COMPUTED_VALUE"""),"2052")</f>
        <v>2052</v>
      </c>
      <c r="C1054" s="74"/>
      <c r="D1054" s="74" t="str">
        <f>IFERROR(__xludf.DUMMYFUNCTION("""COMPUTED_VALUE"""),"\\MCA-S\mk\2_BM\0_BMat\08_PYM\Inventario\excel\Imagen de refacciones\Schwing\Bolt _ Perno (1)")</f>
        <v>\\MCA-S\mk\2_BM\0_BMat\08_PYM\Inventario\excel\Imagen de refacciones\Schwing\Bolt _ Perno (1)</v>
      </c>
      <c r="E1054" s="74"/>
      <c r="F1054" s="74" t="str">
        <f>IFERROR(__xludf.DUMMYFUNCTION("""COMPUTED_VALUE"""),"Bolt / Perno")</f>
        <v>Bolt / Perno</v>
      </c>
      <c r="G1054" s="74"/>
      <c r="H1054" s="74"/>
      <c r="I1054" s="74" t="str">
        <f>IFERROR(__xludf.DUMMYFUNCTION("""COMPUTED_VALUE"""),"SOM30068")</f>
        <v>SOM30068</v>
      </c>
      <c r="J1054" s="74" t="str">
        <f>IFERROR(__xludf.DUMMYFUNCTION("""COMPUTED_VALUE"""),"10017553")</f>
        <v>10017553</v>
      </c>
      <c r="K1054" s="74" t="str">
        <f>IFERROR(__xludf.DUMMYFUNCTION("""COMPUTED_VALUE"""),"Schwing")</f>
        <v>Schwing</v>
      </c>
      <c r="L1054" s="74" t="str">
        <f>IFERROR(__xludf.DUMMYFUNCTION("""COMPUTED_VALUE"""),"Componentes Estructurales y de Montaje")</f>
        <v>Componentes Estructurales y de Montaje</v>
      </c>
      <c r="M1054" s="74" t="str">
        <f>IFERROR(__xludf.DUMMYFUNCTION("""COMPUTED_VALUE"""),"Sin Asignar")</f>
        <v>Sin Asignar</v>
      </c>
      <c r="N1054" s="87">
        <f>IFERROR(__xludf.DUMMYFUNCTION("""COMPUTED_VALUE"""),0.0)</f>
        <v>0</v>
      </c>
      <c r="O1054" s="74"/>
      <c r="P1054" s="74" t="str">
        <f>IFERROR(__xludf.DUMMYFUNCTION("""COMPUTED_VALUE"""),"No Available")</f>
        <v>No Available</v>
      </c>
      <c r="Q1054" s="74"/>
      <c r="R1054" s="74"/>
      <c r="S1054" s="87">
        <f>IFERROR(__xludf.DUMMYFUNCTION("""COMPUTED_VALUE"""),0.0)</f>
        <v>0</v>
      </c>
      <c r="T1054" s="87">
        <f>IFERROR(__xludf.DUMMYFUNCTION("""COMPUTED_VALUE"""),0.0)</f>
        <v>0</v>
      </c>
      <c r="U1054" s="87">
        <f>IFERROR(__xludf.DUMMYFUNCTION("""COMPUTED_VALUE"""),0.0)</f>
        <v>0</v>
      </c>
      <c r="V1054" s="87">
        <f>IFERROR(__xludf.DUMMYFUNCTION("""COMPUTED_VALUE"""),0.0)</f>
        <v>0</v>
      </c>
      <c r="W1054" s="87">
        <f>IFERROR(__xludf.DUMMYFUNCTION("""COMPUTED_VALUE"""),0.0)</f>
        <v>0</v>
      </c>
      <c r="X1054" s="88"/>
      <c r="Y1054" s="74"/>
      <c r="Z1054" s="74"/>
    </row>
    <row r="1055">
      <c r="B1055" s="74" t="str">
        <f>IFERROR(__xludf.DUMMYFUNCTION("""COMPUTED_VALUE"""),"2053")</f>
        <v>2053</v>
      </c>
      <c r="C1055" s="74"/>
      <c r="D1055" s="74" t="str">
        <f>IFERROR(__xludf.DUMMYFUNCTION("""COMPUTED_VALUE"""),"\\MCA-S\mk\2_BM\0_BMat\08_PYM\Inventario\excel\Imagen de refacciones\Schwing\Bolt 45x124 _ Perno 45x124")</f>
        <v>\\MCA-S\mk\2_BM\0_BMat\08_PYM\Inventario\excel\Imagen de refacciones\Schwing\Bolt 45x124 _ Perno 45x124</v>
      </c>
      <c r="E1055" s="74"/>
      <c r="F1055" s="74" t="str">
        <f>IFERROR(__xludf.DUMMYFUNCTION("""COMPUTED_VALUE"""),"Bolt 45x124 / Perno 45x124")</f>
        <v>Bolt 45x124 / Perno 45x124</v>
      </c>
      <c r="G1055" s="74"/>
      <c r="H1055" s="74"/>
      <c r="I1055" s="74" t="str">
        <f>IFERROR(__xludf.DUMMYFUNCTION("""COMPUTED_VALUE"""),"SOM30054")</f>
        <v>SOM30054</v>
      </c>
      <c r="J1055" s="74" t="str">
        <f>IFERROR(__xludf.DUMMYFUNCTION("""COMPUTED_VALUE"""),"10018069")</f>
        <v>10018069</v>
      </c>
      <c r="K1055" s="74" t="str">
        <f>IFERROR(__xludf.DUMMYFUNCTION("""COMPUTED_VALUE"""),"Schwing")</f>
        <v>Schwing</v>
      </c>
      <c r="L1055" s="74" t="str">
        <f>IFERROR(__xludf.DUMMYFUNCTION("""COMPUTED_VALUE"""),"Componentes Estructurales y de Montaje")</f>
        <v>Componentes Estructurales y de Montaje</v>
      </c>
      <c r="M1055" s="74" t="str">
        <f>IFERROR(__xludf.DUMMYFUNCTION("""COMPUTED_VALUE"""),"Sin Asignar")</f>
        <v>Sin Asignar</v>
      </c>
      <c r="N1055" s="87">
        <f>IFERROR(__xludf.DUMMYFUNCTION("""COMPUTED_VALUE"""),0.0)</f>
        <v>0</v>
      </c>
      <c r="O1055" s="74"/>
      <c r="P1055" s="74" t="str">
        <f>IFERROR(__xludf.DUMMYFUNCTION("""COMPUTED_VALUE"""),"borrar")</f>
        <v>borrar</v>
      </c>
      <c r="Q1055" s="74"/>
      <c r="R1055" s="74"/>
      <c r="S1055" s="87">
        <f>IFERROR(__xludf.DUMMYFUNCTION("""COMPUTED_VALUE"""),0.0)</f>
        <v>0</v>
      </c>
      <c r="T1055" s="87">
        <f>IFERROR(__xludf.DUMMYFUNCTION("""COMPUTED_VALUE"""),0.0)</f>
        <v>0</v>
      </c>
      <c r="U1055" s="87">
        <f>IFERROR(__xludf.DUMMYFUNCTION("""COMPUTED_VALUE"""),0.0)</f>
        <v>0</v>
      </c>
      <c r="V1055" s="87">
        <f>IFERROR(__xludf.DUMMYFUNCTION("""COMPUTED_VALUE"""),0.0)</f>
        <v>0</v>
      </c>
      <c r="W1055" s="87">
        <f>IFERROR(__xludf.DUMMYFUNCTION("""COMPUTED_VALUE"""),0.0)</f>
        <v>0</v>
      </c>
      <c r="X1055" s="88"/>
      <c r="Y1055" s="74"/>
      <c r="Z1055" s="74"/>
    </row>
    <row r="1056">
      <c r="B1056" s="74" t="str">
        <f>IFERROR(__xludf.DUMMYFUNCTION("""COMPUTED_VALUE"""),"2054")</f>
        <v>2054</v>
      </c>
      <c r="C1056" s="74" t="str">
        <f>IFERROR(__xludf.DUMMYFUNCTION("""COMPUTED_VALUE"""),"75045880312")</f>
        <v>75045880312</v>
      </c>
      <c r="D1056" s="74" t="str">
        <f>IFERROR(__xludf.DUMMYFUNCTION("""COMPUTED_VALUE"""),"\\MCA-S\mk\2_BM\0_BMat\08_PYM\Inventario\excel\Imagen de refacciones\Schwing\Bomba de agua 1502 completa 6 rodillos")</f>
        <v>\\MCA-S\mk\2_BM\0_BMat\08_PYM\Inventario\excel\Imagen de refacciones\Schwing\Bomba de agua 1502 completa 6 rodillos</v>
      </c>
      <c r="E1056" s="74" t="str">
        <f>IFERROR(__xludf.DUMMYFUNCTION("""COMPUTED_VALUE"""),"WATER PUMP HYPRO")</f>
        <v>WATER PUMP HYPRO</v>
      </c>
      <c r="F1056" s="74" t="str">
        <f>IFERROR(__xludf.DUMMYFUNCTION("""COMPUTED_VALUE"""),"BOMBA DE AGUA 1502 COMPLRTS 6 RODILLOS")</f>
        <v>BOMBA DE AGUA 1502 COMPLRTS 6 RODILLOS</v>
      </c>
      <c r="G1056" s="74"/>
      <c r="H1056" s="74"/>
      <c r="I1056" s="74" t="str">
        <f>IFERROR(__xludf.DUMMYFUNCTION("""COMPUTED_VALUE"""),"30301745")</f>
        <v>30301745</v>
      </c>
      <c r="J1056" s="74"/>
      <c r="K1056" s="74" t="str">
        <f>IFERROR(__xludf.DUMMYFUNCTION("""COMPUTED_VALUE"""),"Schwing")</f>
        <v>Schwing</v>
      </c>
      <c r="L1056" s="74" t="str">
        <f>IFERROR(__xludf.DUMMYFUNCTION("""COMPUTED_VALUE"""),"SIN ASIGNAR")</f>
        <v>SIN ASIGNAR</v>
      </c>
      <c r="M1056" s="74" t="str">
        <f>IFERROR(__xludf.DUMMYFUNCTION("""COMPUTED_VALUE"""),"SIN ASIGNAR")</f>
        <v>SIN ASIGNAR</v>
      </c>
      <c r="N1056" s="87">
        <f>IFERROR(__xludf.DUMMYFUNCTION("""COMPUTED_VALUE"""),0.0)</f>
        <v>0</v>
      </c>
      <c r="O1056" s="74"/>
      <c r="P1056" s="74" t="str">
        <f>IFERROR(__xludf.DUMMYFUNCTION("""COMPUTED_VALUE"""),"To Re-purchase")</f>
        <v>To Re-purchase</v>
      </c>
      <c r="Q1056" s="74"/>
      <c r="R1056" s="74"/>
      <c r="S1056" s="87">
        <f>IFERROR(__xludf.DUMMYFUNCTION("""COMPUTED_VALUE"""),0.0)</f>
        <v>0</v>
      </c>
      <c r="T1056" s="87">
        <f>IFERROR(__xludf.DUMMYFUNCTION("""COMPUTED_VALUE"""),0.0)</f>
        <v>0</v>
      </c>
      <c r="U1056" s="87">
        <f>IFERROR(__xludf.DUMMYFUNCTION("""COMPUTED_VALUE"""),0.0)</f>
        <v>0</v>
      </c>
      <c r="V1056" s="87">
        <f>IFERROR(__xludf.DUMMYFUNCTION("""COMPUTED_VALUE"""),0.0)</f>
        <v>0</v>
      </c>
      <c r="W1056" s="87">
        <f>IFERROR(__xludf.DUMMYFUNCTION("""COMPUTED_VALUE"""),0.0)</f>
        <v>0</v>
      </c>
      <c r="X1056" s="88"/>
      <c r="Y1056" s="74"/>
      <c r="Z1056" s="74"/>
    </row>
    <row r="1057">
      <c r="B1057" s="74" t="str">
        <f>IFERROR(__xludf.DUMMYFUNCTION("""COMPUTED_VALUE"""),"2055")</f>
        <v>2055</v>
      </c>
      <c r="C1057" s="74" t="str">
        <f>IFERROR(__xludf.DUMMYFUNCTION("""COMPUTED_VALUE"""),"75045880386")</f>
        <v>75045880386</v>
      </c>
      <c r="D1057" s="74" t="str">
        <f>IFERROR(__xludf.DUMMYFUNCTION("""COMPUTED_VALUE"""),"\\MCA-S\mk\2_BM\0_BMat\08_PYM\Inventario\excel\Imagen de refacciones\Schwing\Buje con tope 2.367_ x 1.3957_")</f>
        <v>\\MCA-S\mk\2_BM\0_BMat\08_PYM\Inventario\excel\Imagen de refacciones\Schwing\Buje con tope 2.367_ x 1.3957_</v>
      </c>
      <c r="E1057" s="74" t="str">
        <f>IFERROR(__xludf.DUMMYFUNCTION("""COMPUTED_VALUE"""),"BUJE 2.367in x 1.957in BRONZE")</f>
        <v>BUJE 2.367in x 1.957in BRONZE</v>
      </c>
      <c r="F1057" s="74" t="str">
        <f>IFERROR(__xludf.DUMMYFUNCTION("""COMPUTED_VALUE"""),"BUJE CON TOPE 2.367in x 1.3957in BRONCE")</f>
        <v>BUJE CON TOPE 2.367in x 1.3957in BRONCE</v>
      </c>
      <c r="G1057" s="74"/>
      <c r="H1057" s="74"/>
      <c r="I1057" s="74" t="str">
        <f>IFERROR(__xludf.DUMMYFUNCTION("""COMPUTED_VALUE"""),"10061082")</f>
        <v>10061082</v>
      </c>
      <c r="J1057" s="74"/>
      <c r="K1057" s="74" t="str">
        <f>IFERROR(__xludf.DUMMYFUNCTION("""COMPUTED_VALUE"""),"Schwing")</f>
        <v>Schwing</v>
      </c>
      <c r="L1057" s="74" t="str">
        <f>IFERROR(__xludf.DUMMYFUNCTION("""COMPUTED_VALUE"""),"AGITADOR V-ROCK")</f>
        <v>AGITADOR V-ROCK</v>
      </c>
      <c r="M1057" s="74" t="str">
        <f>IFERROR(__xludf.DUMMYFUNCTION("""COMPUTED_VALUE"""),"ACCESORIOS ")</f>
        <v>ACCESORIOS </v>
      </c>
      <c r="N1057" s="87">
        <f>IFERROR(__xludf.DUMMYFUNCTION("""COMPUTED_VALUE"""),745.92)</f>
        <v>745.92</v>
      </c>
      <c r="O1057" s="74">
        <f>IFERROR(__xludf.DUMMYFUNCTION("""COMPUTED_VALUE"""),5.0)</f>
        <v>5</v>
      </c>
      <c r="P1057" s="74" t="str">
        <f>IFERROR(__xludf.DUMMYFUNCTION("""COMPUTED_VALUE"""),"In stock")</f>
        <v>In stock</v>
      </c>
      <c r="Q1057" s="74"/>
      <c r="R1057" s="74"/>
      <c r="S1057" s="87">
        <f>IFERROR(__xludf.DUMMYFUNCTION("""COMPUTED_VALUE"""),8.0)</f>
        <v>8</v>
      </c>
      <c r="T1057" s="87">
        <f>IFERROR(__xludf.DUMMYFUNCTION("""COMPUTED_VALUE"""),42.0)</f>
        <v>42</v>
      </c>
      <c r="U1057" s="87">
        <f>IFERROR(__xludf.DUMMYFUNCTION("""COMPUTED_VALUE"""),40.32)</f>
        <v>40.32</v>
      </c>
      <c r="V1057" s="87">
        <f>IFERROR(__xludf.DUMMYFUNCTION("""COMPUTED_VALUE"""),9.8)</f>
        <v>9.8</v>
      </c>
      <c r="W1057" s="87">
        <f>IFERROR(__xludf.DUMMYFUNCTION("""COMPUTED_VALUE"""),183.75)</f>
        <v>183.75</v>
      </c>
      <c r="X1057" s="88">
        <f>IFERROR(__xludf.DUMMYFUNCTION("""COMPUTED_VALUE"""),5.04)</f>
        <v>5.04</v>
      </c>
      <c r="Y1057" s="74"/>
      <c r="Z1057" s="74"/>
    </row>
    <row r="1058">
      <c r="B1058" s="74" t="str">
        <f>IFERROR(__xludf.DUMMYFUNCTION("""COMPUTED_VALUE"""),"2056")</f>
        <v>2056</v>
      </c>
      <c r="C1058" s="74" t="str">
        <f>IFERROR(__xludf.DUMMYFUNCTION("""COMPUTED_VALUE"""),"75045880387")</f>
        <v>75045880387</v>
      </c>
      <c r="D1058" s="74" t="str">
        <f>IFERROR(__xludf.DUMMYFUNCTION("""COMPUTED_VALUE"""),"\\MCA-S\mk\2_BM\0_BMat\08_PYM\Inventario\excel\Imagen de refacciones\Schwing\Buje con tope para barra de V-Rock")</f>
        <v>\\MCA-S\mk\2_BM\0_BMat\08_PYM\Inventario\excel\Imagen de refacciones\Schwing\Buje con tope para barra de V-Rock</v>
      </c>
      <c r="E1058" s="74" t="str">
        <f>IFERROR(__xludf.DUMMYFUNCTION("""COMPUTED_VALUE"""),"SUPPORT BUSHING")</f>
        <v>SUPPORT BUSHING</v>
      </c>
      <c r="F1058" s="74" t="str">
        <f>IFERROR(__xludf.DUMMYFUNCTION("""COMPUTED_VALUE"""),"BUJE CON TOPE PARA BARRA V-ROCK")</f>
        <v>BUJE CON TOPE PARA BARRA V-ROCK</v>
      </c>
      <c r="G1058" s="74"/>
      <c r="H1058" s="74" t="str">
        <f>IFERROR(__xludf.DUMMYFUNCTION("""COMPUTED_VALUE"""),"BUJE CON TOPE PARA BARRA DE V-ROCK PARA BOMBA DE HORMIGON")</f>
        <v>BUJE CON TOPE PARA BARRA DE V-ROCK PARA BOMBA DE HORMIGON</v>
      </c>
      <c r="I1058" s="74" t="str">
        <f>IFERROR(__xludf.DUMMYFUNCTION("""COMPUTED_VALUE"""),"10018047")</f>
        <v>10018047</v>
      </c>
      <c r="J1058" s="74"/>
      <c r="K1058" s="74" t="str">
        <f>IFERROR(__xludf.DUMMYFUNCTION("""COMPUTED_VALUE"""),"Schwing")</f>
        <v>Schwing</v>
      </c>
      <c r="L1058" s="74" t="str">
        <f>IFERROR(__xludf.DUMMYFUNCTION("""COMPUTED_VALUE"""),"BARRA V-ROCK")</f>
        <v>BARRA V-ROCK</v>
      </c>
      <c r="M1058" s="74" t="str">
        <f>IFERROR(__xludf.DUMMYFUNCTION("""COMPUTED_VALUE"""),"SIN ASIGNAR")</f>
        <v>SIN ASIGNAR</v>
      </c>
      <c r="N1058" s="87">
        <f>IFERROR(__xludf.DUMMYFUNCTION("""COMPUTED_VALUE"""),2592.96)</f>
        <v>2592.96</v>
      </c>
      <c r="O1058" s="74">
        <f>IFERROR(__xludf.DUMMYFUNCTION("""COMPUTED_VALUE"""),5.0)</f>
        <v>5</v>
      </c>
      <c r="P1058" s="74" t="str">
        <f>IFERROR(__xludf.DUMMYFUNCTION("""COMPUTED_VALUE"""),"In stock")</f>
        <v>In stock</v>
      </c>
      <c r="Q1058" s="74"/>
      <c r="R1058" s="74"/>
      <c r="S1058" s="87">
        <f>IFERROR(__xludf.DUMMYFUNCTION("""COMPUTED_VALUE"""),30.0)</f>
        <v>30</v>
      </c>
      <c r="T1058" s="87">
        <f>IFERROR(__xludf.DUMMYFUNCTION("""COMPUTED_VALUE"""),146.0)</f>
        <v>146</v>
      </c>
      <c r="U1058" s="87">
        <f>IFERROR(__xludf.DUMMYFUNCTION("""COMPUTED_VALUE"""),140.16)</f>
        <v>140.16</v>
      </c>
      <c r="V1058" s="87">
        <f>IFERROR(__xludf.DUMMYFUNCTION("""COMPUTED_VALUE"""),36.75)</f>
        <v>36.75</v>
      </c>
      <c r="W1058" s="87">
        <f>IFERROR(__xludf.DUMMYFUNCTION("""COMPUTED_VALUE"""),689.0625)</f>
        <v>689.0625</v>
      </c>
      <c r="X1058" s="88">
        <f>IFERROR(__xludf.DUMMYFUNCTION("""COMPUTED_VALUE"""),4.672)</f>
        <v>4.672</v>
      </c>
      <c r="Y1058" s="74"/>
      <c r="Z1058" s="74"/>
    </row>
    <row r="1059">
      <c r="B1059" s="74" t="str">
        <f>IFERROR(__xludf.DUMMYFUNCTION("""COMPUTED_VALUE"""),"2057")</f>
        <v>2057</v>
      </c>
      <c r="C1059" s="74" t="str">
        <f>IFERROR(__xludf.DUMMYFUNCTION("""COMPUTED_VALUE"""),"75045880388")</f>
        <v>75045880388</v>
      </c>
      <c r="D1059" s="74" t="str">
        <f>IFERROR(__xludf.DUMMYFUNCTION("""COMPUTED_VALUE"""),"\\MCA-S\mk\2_BM\0_BMat\08_PYM\Inventario\excel\Imagen de refacciones\Schwing\Buje D60 60_68X24")</f>
        <v>\\MCA-S\mk\2_BM\0_BMat\08_PYM\Inventario\excel\Imagen de refacciones\Schwing\Buje D60 60_68X24</v>
      </c>
      <c r="E1059" s="74" t="str">
        <f>IFERROR(__xludf.DUMMYFUNCTION("""COMPUTED_VALUE"""),"BUSHING D60 60/68X23")</f>
        <v>BUSHING D60 60/68X23</v>
      </c>
      <c r="F1059" s="74" t="str">
        <f>IFERROR(__xludf.DUMMYFUNCTION("""COMPUTED_VALUE"""),"BUJE D60 60/68X23")</f>
        <v>BUJE D60 60/68X23</v>
      </c>
      <c r="G1059" s="74"/>
      <c r="H1059" s="74"/>
      <c r="I1059" s="74" t="str">
        <f>IFERROR(__xludf.DUMMYFUNCTION("""COMPUTED_VALUE"""),"10061077")</f>
        <v>10061077</v>
      </c>
      <c r="J1059" s="74"/>
      <c r="K1059" s="74" t="str">
        <f>IFERROR(__xludf.DUMMYFUNCTION("""COMPUTED_VALUE"""),"Schwing")</f>
        <v>Schwing</v>
      </c>
      <c r="L1059" s="74" t="str">
        <f>IFERROR(__xludf.DUMMYFUNCTION("""COMPUTED_VALUE"""),"AGITADOR V-ROCK")</f>
        <v>AGITADOR V-ROCK</v>
      </c>
      <c r="M1059" s="74" t="str">
        <f>IFERROR(__xludf.DUMMYFUNCTION("""COMPUTED_VALUE"""),"Sin Asignar")</f>
        <v>Sin Asignar</v>
      </c>
      <c r="N1059" s="87">
        <f>IFERROR(__xludf.DUMMYFUNCTION("""COMPUTED_VALUE"""),230.88)</f>
        <v>230.88</v>
      </c>
      <c r="O1059" s="74">
        <f>IFERROR(__xludf.DUMMYFUNCTION("""COMPUTED_VALUE"""),5.0)</f>
        <v>5</v>
      </c>
      <c r="P1059" s="74" t="str">
        <f>IFERROR(__xludf.DUMMYFUNCTION("""COMPUTED_VALUE"""),"In stock")</f>
        <v>In stock</v>
      </c>
      <c r="Q1059" s="74"/>
      <c r="R1059" s="74"/>
      <c r="S1059" s="87">
        <f>IFERROR(__xludf.DUMMYFUNCTION("""COMPUTED_VALUE"""),3.0)</f>
        <v>3</v>
      </c>
      <c r="T1059" s="87">
        <f>IFERROR(__xludf.DUMMYFUNCTION("""COMPUTED_VALUE"""),13.0)</f>
        <v>13</v>
      </c>
      <c r="U1059" s="87">
        <f>IFERROR(__xludf.DUMMYFUNCTION("""COMPUTED_VALUE"""),12.48)</f>
        <v>12.48</v>
      </c>
      <c r="V1059" s="87">
        <f>IFERROR(__xludf.DUMMYFUNCTION("""COMPUTED_VALUE"""),3.675)</f>
        <v>3.675</v>
      </c>
      <c r="W1059" s="87">
        <f>IFERROR(__xludf.DUMMYFUNCTION("""COMPUTED_VALUE"""),68.90625)</f>
        <v>68.90625</v>
      </c>
      <c r="X1059" s="88">
        <f>IFERROR(__xludf.DUMMYFUNCTION("""COMPUTED_VALUE"""),4.16)</f>
        <v>4.16</v>
      </c>
      <c r="Y1059" s="74"/>
      <c r="Z1059" s="74"/>
    </row>
    <row r="1060">
      <c r="B1060" s="74" t="str">
        <f>IFERROR(__xludf.DUMMYFUNCTION("""COMPUTED_VALUE"""),"2058")</f>
        <v>2058</v>
      </c>
      <c r="C1060" s="74" t="str">
        <f>IFERROR(__xludf.DUMMYFUNCTION("""COMPUTED_VALUE"""),"75045880389")</f>
        <v>75045880389</v>
      </c>
      <c r="D1060" s="74" t="str">
        <f>IFERROR(__xludf.DUMMYFUNCTION("""COMPUTED_VALUE"""),"\\MCA-S\mk\2_BM\0_BMat\08_PYM\Inventario\excel\Imagen de refacciones\Schwing\Buje gemelo para barra de V-rock")</f>
        <v>\\MCA-S\mk\2_BM\0_BMat\08_PYM\Inventario\excel\Imagen de refacciones\Schwing\Buje gemelo para barra de V-rock</v>
      </c>
      <c r="E1060" s="74" t="str">
        <f>IFERROR(__xludf.DUMMYFUNCTION("""COMPUTED_VALUE"""),"BEARING BUSHING D95/108X70")</f>
        <v>BEARING BUSHING D95/108X70</v>
      </c>
      <c r="F1060" s="74" t="str">
        <f>IFERROR(__xludf.DUMMYFUNCTION("""COMPUTED_VALUE"""),"BUJE GEMELO V-ROCK")</f>
        <v>BUJE GEMELO V-ROCK</v>
      </c>
      <c r="G1060" s="74"/>
      <c r="H1060" s="74"/>
      <c r="I1060" s="74" t="str">
        <f>IFERROR(__xludf.DUMMYFUNCTION("""COMPUTED_VALUE"""),"10018037")</f>
        <v>10018037</v>
      </c>
      <c r="J1060" s="74"/>
      <c r="K1060" s="74" t="str">
        <f>IFERROR(__xludf.DUMMYFUNCTION("""COMPUTED_VALUE"""),"Schwing")</f>
        <v>Schwing</v>
      </c>
      <c r="L1060" s="74" t="str">
        <f>IFERROR(__xludf.DUMMYFUNCTION("""COMPUTED_VALUE"""),"BARRA V-ROCK")</f>
        <v>BARRA V-ROCK</v>
      </c>
      <c r="M1060" s="74" t="str">
        <f>IFERROR(__xludf.DUMMYFUNCTION("""COMPUTED_VALUE"""),"Sin Asignar")</f>
        <v>Sin Asignar</v>
      </c>
      <c r="N1060" s="87">
        <f>IFERROR(__xludf.DUMMYFUNCTION("""COMPUTED_VALUE"""),1172.16)</f>
        <v>1172.16</v>
      </c>
      <c r="O1060" s="74">
        <f>IFERROR(__xludf.DUMMYFUNCTION("""COMPUTED_VALUE"""),5.0)</f>
        <v>5</v>
      </c>
      <c r="P1060" s="74" t="str">
        <f>IFERROR(__xludf.DUMMYFUNCTION("""COMPUTED_VALUE"""),"In stock")</f>
        <v>In stock</v>
      </c>
      <c r="Q1060" s="74"/>
      <c r="R1060" s="74"/>
      <c r="S1060" s="87">
        <f>IFERROR(__xludf.DUMMYFUNCTION("""COMPUTED_VALUE"""),14.0)</f>
        <v>14</v>
      </c>
      <c r="T1060" s="87">
        <f>IFERROR(__xludf.DUMMYFUNCTION("""COMPUTED_VALUE"""),66.0)</f>
        <v>66</v>
      </c>
      <c r="U1060" s="87">
        <f>IFERROR(__xludf.DUMMYFUNCTION("""COMPUTED_VALUE"""),63.36)</f>
        <v>63.36</v>
      </c>
      <c r="V1060" s="87">
        <f>IFERROR(__xludf.DUMMYFUNCTION("""COMPUTED_VALUE"""),17.15)</f>
        <v>17.15</v>
      </c>
      <c r="W1060" s="87">
        <f>IFERROR(__xludf.DUMMYFUNCTION("""COMPUTED_VALUE"""),321.5625)</f>
        <v>321.5625</v>
      </c>
      <c r="X1060" s="88">
        <f>IFERROR(__xludf.DUMMYFUNCTION("""COMPUTED_VALUE"""),4.525714285714286)</f>
        <v>4.525714286</v>
      </c>
      <c r="Y1060" s="74"/>
      <c r="Z1060" s="74"/>
    </row>
    <row r="1061">
      <c r="B1061" s="74" t="str">
        <f>IFERROR(__xludf.DUMMYFUNCTION("""COMPUTED_VALUE"""),"2059")</f>
        <v>2059</v>
      </c>
      <c r="C1061" s="74" t="str">
        <f>IFERROR(__xludf.DUMMYFUNCTION("""COMPUTED_VALUE"""),"75045880349")</f>
        <v>75045880349</v>
      </c>
      <c r="D1061" s="74" t="str">
        <f>IFERROR(__xludf.DUMMYFUNCTION("""COMPUTED_VALUE"""),"\\MCA-S\mk\2_BM\0_BMat\08_PYM\Inventario\excel\Imagen de refacciones\Schwing\Buje para horquilla")</f>
        <v>\\MCA-S\mk\2_BM\0_BMat\08_PYM\Inventario\excel\Imagen de refacciones\Schwing\Buje para horquilla</v>
      </c>
      <c r="E1061" s="74" t="str">
        <f>IFERROR(__xludf.DUMMYFUNCTION("""COMPUTED_VALUE"""),"BUSHING MB3530")</f>
        <v>BUSHING MB3530</v>
      </c>
      <c r="F1061" s="74" t="str">
        <f>IFERROR(__xludf.DUMMYFUNCTION("""COMPUTED_VALUE"""),"BUJE PARA HORQUILLA/BUJE MB3530")</f>
        <v>BUJE PARA HORQUILLA/BUJE MB3530</v>
      </c>
      <c r="G1061" s="74"/>
      <c r="H1061" s="74"/>
      <c r="I1061" s="74" t="str">
        <f>IFERROR(__xludf.DUMMYFUNCTION("""COMPUTED_VALUE"""),"10006726")</f>
        <v>10006726</v>
      </c>
      <c r="J1061" s="74"/>
      <c r="K1061" s="74" t="str">
        <f>IFERROR(__xludf.DUMMYFUNCTION("""COMPUTED_VALUE"""),"Schwing")</f>
        <v>Schwing</v>
      </c>
      <c r="L1061" s="74" t="str">
        <f>IFERROR(__xludf.DUMMYFUNCTION("""COMPUTED_VALUE"""),"SIN ASIGNAR")</f>
        <v>SIN ASIGNAR</v>
      </c>
      <c r="M1061" s="74" t="str">
        <f>IFERROR(__xludf.DUMMYFUNCTION("""COMPUTED_VALUE"""),"SIN ASIGNAR")</f>
        <v>SIN ASIGNAR</v>
      </c>
      <c r="N1061" s="87">
        <f>IFERROR(__xludf.DUMMYFUNCTION("""COMPUTED_VALUE"""),177.6)</f>
        <v>177.6</v>
      </c>
      <c r="O1061" s="74">
        <f>IFERROR(__xludf.DUMMYFUNCTION("""COMPUTED_VALUE"""),6.0)</f>
        <v>6</v>
      </c>
      <c r="P1061" s="74" t="str">
        <f>IFERROR(__xludf.DUMMYFUNCTION("""COMPUTED_VALUE"""),"In stock")</f>
        <v>In stock</v>
      </c>
      <c r="Q1061" s="74"/>
      <c r="R1061" s="74"/>
      <c r="S1061" s="87">
        <f>IFERROR(__xludf.DUMMYFUNCTION("""COMPUTED_VALUE"""),5.0)</f>
        <v>5</v>
      </c>
      <c r="T1061" s="87">
        <f>IFERROR(__xludf.DUMMYFUNCTION("""COMPUTED_VALUE"""),10.0)</f>
        <v>10</v>
      </c>
      <c r="U1061" s="87">
        <f>IFERROR(__xludf.DUMMYFUNCTION("""COMPUTED_VALUE"""),9.6)</f>
        <v>9.6</v>
      </c>
      <c r="V1061" s="87">
        <f>IFERROR(__xludf.DUMMYFUNCTION("""COMPUTED_VALUE"""),6.125)</f>
        <v>6.125</v>
      </c>
      <c r="W1061" s="87">
        <f>IFERROR(__xludf.DUMMYFUNCTION("""COMPUTED_VALUE"""),114.84375)</f>
        <v>114.84375</v>
      </c>
      <c r="X1061" s="88">
        <f>IFERROR(__xludf.DUMMYFUNCTION("""COMPUTED_VALUE"""),1.92)</f>
        <v>1.92</v>
      </c>
      <c r="Y1061" s="74"/>
      <c r="Z1061" s="74"/>
    </row>
    <row r="1062">
      <c r="B1062" s="74" t="str">
        <f>IFERROR(__xludf.DUMMYFUNCTION("""COMPUTED_VALUE"""),"2060")</f>
        <v>2060</v>
      </c>
      <c r="C1062" s="74"/>
      <c r="D1062" s="74" t="str">
        <f>IFERROR(__xludf.DUMMYFUNCTION("""COMPUTED_VALUE"""),"\\MCA-S\mk\2_BM\0_BMat\08_PYM\Inventario\excel\Imagen de refacciones\Schwing\Bushing _ Casquillo")</f>
        <v>\\MCA-S\mk\2_BM\0_BMat\08_PYM\Inventario\excel\Imagen de refacciones\Schwing\Bushing _ Casquillo</v>
      </c>
      <c r="E1062" s="74"/>
      <c r="F1062" s="74" t="str">
        <f>IFERROR(__xludf.DUMMYFUNCTION("""COMPUTED_VALUE"""),"Bushing / Casquillo")</f>
        <v>Bushing / Casquillo</v>
      </c>
      <c r="G1062" s="74"/>
      <c r="H1062" s="74"/>
      <c r="I1062" s="74" t="str">
        <f>IFERROR(__xludf.DUMMYFUNCTION("""COMPUTED_VALUE"""),"SOM30017")</f>
        <v>SOM30017</v>
      </c>
      <c r="J1062" s="74" t="str">
        <f>IFERROR(__xludf.DUMMYFUNCTION("""COMPUTED_VALUE"""),"10060528")</f>
        <v>10060528</v>
      </c>
      <c r="K1062" s="74" t="str">
        <f>IFERROR(__xludf.DUMMYFUNCTION("""COMPUTED_VALUE"""),"Schwing")</f>
        <v>Schwing</v>
      </c>
      <c r="L1062" s="74" t="str">
        <f>IFERROR(__xludf.DUMMYFUNCTION("""COMPUTED_VALUE"""),"Transmisión Mecánica")</f>
        <v>Transmisión Mecánica</v>
      </c>
      <c r="M1062" s="74" t="str">
        <f>IFERROR(__xludf.DUMMYFUNCTION("""COMPUTED_VALUE"""),"Sin Asignar")</f>
        <v>Sin Asignar</v>
      </c>
      <c r="N1062" s="87">
        <f>IFERROR(__xludf.DUMMYFUNCTION("""COMPUTED_VALUE"""),0.0)</f>
        <v>0</v>
      </c>
      <c r="O1062" s="74"/>
      <c r="P1062" s="74" t="str">
        <f>IFERROR(__xludf.DUMMYFUNCTION("""COMPUTED_VALUE"""),"borrar")</f>
        <v>borrar</v>
      </c>
      <c r="Q1062" s="74"/>
      <c r="R1062" s="74"/>
      <c r="S1062" s="87">
        <f>IFERROR(__xludf.DUMMYFUNCTION("""COMPUTED_VALUE"""),0.0)</f>
        <v>0</v>
      </c>
      <c r="T1062" s="87">
        <f>IFERROR(__xludf.DUMMYFUNCTION("""COMPUTED_VALUE"""),0.0)</f>
        <v>0</v>
      </c>
      <c r="U1062" s="87">
        <f>IFERROR(__xludf.DUMMYFUNCTION("""COMPUTED_VALUE"""),0.0)</f>
        <v>0</v>
      </c>
      <c r="V1062" s="87">
        <f>IFERROR(__xludf.DUMMYFUNCTION("""COMPUTED_VALUE"""),0.0)</f>
        <v>0</v>
      </c>
      <c r="W1062" s="87">
        <f>IFERROR(__xludf.DUMMYFUNCTION("""COMPUTED_VALUE"""),0.0)</f>
        <v>0</v>
      </c>
      <c r="X1062" s="88"/>
      <c r="Y1062" s="74"/>
      <c r="Z1062" s="74"/>
    </row>
    <row r="1063">
      <c r="B1063" s="74" t="str">
        <f>IFERROR(__xludf.DUMMYFUNCTION("""COMPUTED_VALUE"""),"2061")</f>
        <v>2061</v>
      </c>
      <c r="C1063" s="74"/>
      <c r="D1063" s="74" t="str">
        <f>IFERROR(__xludf.DUMMYFUNCTION("""COMPUTED_VALUE"""),"\\MCA-S\mk\2_BM\0_BMat\08_PYM\Inventario\excel\Imagen de refacciones\Schwing\Bushing _ Casquillo (1)")</f>
        <v>\\MCA-S\mk\2_BM\0_BMat\08_PYM\Inventario\excel\Imagen de refacciones\Schwing\Bushing _ Casquillo (1)</v>
      </c>
      <c r="E1063" s="74"/>
      <c r="F1063" s="74" t="str">
        <f>IFERROR(__xludf.DUMMYFUNCTION("""COMPUTED_VALUE"""),"Bushing / Casquillo")</f>
        <v>Bushing / Casquillo</v>
      </c>
      <c r="G1063" s="74"/>
      <c r="H1063" s="74"/>
      <c r="I1063" s="74" t="str">
        <f>IFERROR(__xludf.DUMMYFUNCTION("""COMPUTED_VALUE"""),"SOM30059")</f>
        <v>SOM30059</v>
      </c>
      <c r="J1063" s="74" t="str">
        <f>IFERROR(__xludf.DUMMYFUNCTION("""COMPUTED_VALUE"""),"10118219")</f>
        <v>10118219</v>
      </c>
      <c r="K1063" s="74" t="str">
        <f>IFERROR(__xludf.DUMMYFUNCTION("""COMPUTED_VALUE"""),"Schwing")</f>
        <v>Schwing</v>
      </c>
      <c r="L1063" s="74" t="str">
        <f>IFERROR(__xludf.DUMMYFUNCTION("""COMPUTED_VALUE"""),"Transmisión Mecánica")</f>
        <v>Transmisión Mecánica</v>
      </c>
      <c r="M1063" s="74" t="str">
        <f>IFERROR(__xludf.DUMMYFUNCTION("""COMPUTED_VALUE"""),"Sin Asignar")</f>
        <v>Sin Asignar</v>
      </c>
      <c r="N1063" s="87">
        <f>IFERROR(__xludf.DUMMYFUNCTION("""COMPUTED_VALUE"""),0.0)</f>
        <v>0</v>
      </c>
      <c r="O1063" s="74"/>
      <c r="P1063" s="74" t="str">
        <f>IFERROR(__xludf.DUMMYFUNCTION("""COMPUTED_VALUE"""),"No Available")</f>
        <v>No Available</v>
      </c>
      <c r="Q1063" s="74"/>
      <c r="R1063" s="74"/>
      <c r="S1063" s="87">
        <f>IFERROR(__xludf.DUMMYFUNCTION("""COMPUTED_VALUE"""),0.0)</f>
        <v>0</v>
      </c>
      <c r="T1063" s="87">
        <f>IFERROR(__xludf.DUMMYFUNCTION("""COMPUTED_VALUE"""),0.0)</f>
        <v>0</v>
      </c>
      <c r="U1063" s="87">
        <f>IFERROR(__xludf.DUMMYFUNCTION("""COMPUTED_VALUE"""),0.0)</f>
        <v>0</v>
      </c>
      <c r="V1063" s="87">
        <f>IFERROR(__xludf.DUMMYFUNCTION("""COMPUTED_VALUE"""),0.0)</f>
        <v>0</v>
      </c>
      <c r="W1063" s="87">
        <f>IFERROR(__xludf.DUMMYFUNCTION("""COMPUTED_VALUE"""),0.0)</f>
        <v>0</v>
      </c>
      <c r="X1063" s="88"/>
      <c r="Y1063" s="74"/>
      <c r="Z1063" s="74"/>
    </row>
    <row r="1064">
      <c r="B1064" s="74" t="str">
        <f>IFERROR(__xludf.DUMMYFUNCTION("""COMPUTED_VALUE"""),"2062")</f>
        <v>2062</v>
      </c>
      <c r="C1064" s="74"/>
      <c r="D1064" s="74" t="str">
        <f>IFERROR(__xludf.DUMMYFUNCTION("""COMPUTED_VALUE"""),"\\MCA-S\mk\2_BM\0_BMat\08_PYM\Inventario\excel\Imagen de refacciones\Schwing\Bushing _ Casquillo (2)")</f>
        <v>\\MCA-S\mk\2_BM\0_BMat\08_PYM\Inventario\excel\Imagen de refacciones\Schwing\Bushing _ Casquillo (2)</v>
      </c>
      <c r="E1064" s="74"/>
      <c r="F1064" s="74" t="str">
        <f>IFERROR(__xludf.DUMMYFUNCTION("""COMPUTED_VALUE"""),"Bushing / Casquillo")</f>
        <v>Bushing / Casquillo</v>
      </c>
      <c r="G1064" s="74"/>
      <c r="H1064" s="74"/>
      <c r="I1064" s="74" t="str">
        <f>IFERROR(__xludf.DUMMYFUNCTION("""COMPUTED_VALUE"""),"SOM30237")</f>
        <v>SOM30237</v>
      </c>
      <c r="J1064" s="74" t="str">
        <f>IFERROR(__xludf.DUMMYFUNCTION("""COMPUTED_VALUE"""),"10004421")</f>
        <v>10004421</v>
      </c>
      <c r="K1064" s="74" t="str">
        <f>IFERROR(__xludf.DUMMYFUNCTION("""COMPUTED_VALUE"""),"Schwing")</f>
        <v>Schwing</v>
      </c>
      <c r="L1064" s="74" t="str">
        <f>IFERROR(__xludf.DUMMYFUNCTION("""COMPUTED_VALUE"""),"Transmisión Mecánica")</f>
        <v>Transmisión Mecánica</v>
      </c>
      <c r="M1064" s="74" t="str">
        <f>IFERROR(__xludf.DUMMYFUNCTION("""COMPUTED_VALUE"""),"Sin Asignar")</f>
        <v>Sin Asignar</v>
      </c>
      <c r="N1064" s="87">
        <f>IFERROR(__xludf.DUMMYFUNCTION("""COMPUTED_VALUE"""),0.0)</f>
        <v>0</v>
      </c>
      <c r="O1064" s="74"/>
      <c r="P1064" s="74" t="str">
        <f>IFERROR(__xludf.DUMMYFUNCTION("""COMPUTED_VALUE"""),"No Available")</f>
        <v>No Available</v>
      </c>
      <c r="Q1064" s="74"/>
      <c r="R1064" s="74"/>
      <c r="S1064" s="87">
        <f>IFERROR(__xludf.DUMMYFUNCTION("""COMPUTED_VALUE"""),0.0)</f>
        <v>0</v>
      </c>
      <c r="T1064" s="87">
        <f>IFERROR(__xludf.DUMMYFUNCTION("""COMPUTED_VALUE"""),0.0)</f>
        <v>0</v>
      </c>
      <c r="U1064" s="87">
        <f>IFERROR(__xludf.DUMMYFUNCTION("""COMPUTED_VALUE"""),0.0)</f>
        <v>0</v>
      </c>
      <c r="V1064" s="87">
        <f>IFERROR(__xludf.DUMMYFUNCTION("""COMPUTED_VALUE"""),0.0)</f>
        <v>0</v>
      </c>
      <c r="W1064" s="87">
        <f>IFERROR(__xludf.DUMMYFUNCTION("""COMPUTED_VALUE"""),0.0)</f>
        <v>0</v>
      </c>
      <c r="X1064" s="88"/>
      <c r="Y1064" s="74"/>
      <c r="Z1064" s="74"/>
    </row>
    <row r="1065">
      <c r="B1065" s="74" t="str">
        <f>IFERROR(__xludf.DUMMYFUNCTION("""COMPUTED_VALUE"""),"2063")</f>
        <v>2063</v>
      </c>
      <c r="C1065" s="74"/>
      <c r="D1065" s="74" t="str">
        <f>IFERROR(__xludf.DUMMYFUNCTION("""COMPUTED_VALUE"""),"\\MCA-S\mk\2_BM\0_BMat\08_PYM\Inventario\excel\Imagen de refacciones\Schwing\Bushing _ Casquillo (3)")</f>
        <v>\\MCA-S\mk\2_BM\0_BMat\08_PYM\Inventario\excel\Imagen de refacciones\Schwing\Bushing _ Casquillo (3)</v>
      </c>
      <c r="E1065" s="74"/>
      <c r="F1065" s="74" t="str">
        <f>IFERROR(__xludf.DUMMYFUNCTION("""COMPUTED_VALUE"""),"Bushing / Casquillo")</f>
        <v>Bushing / Casquillo</v>
      </c>
      <c r="G1065" s="74"/>
      <c r="H1065" s="74"/>
      <c r="I1065" s="74" t="str">
        <f>IFERROR(__xludf.DUMMYFUNCTION("""COMPUTED_VALUE"""),"SOM30238")</f>
        <v>SOM30238</v>
      </c>
      <c r="J1065" s="74" t="str">
        <f>IFERROR(__xludf.DUMMYFUNCTION("""COMPUTED_VALUE"""),"10004092")</f>
        <v>10004092</v>
      </c>
      <c r="K1065" s="74" t="str">
        <f>IFERROR(__xludf.DUMMYFUNCTION("""COMPUTED_VALUE"""),"Schwing")</f>
        <v>Schwing</v>
      </c>
      <c r="L1065" s="74" t="str">
        <f>IFERROR(__xludf.DUMMYFUNCTION("""COMPUTED_VALUE"""),"Transmisión Mecánica")</f>
        <v>Transmisión Mecánica</v>
      </c>
      <c r="M1065" s="74" t="str">
        <f>IFERROR(__xludf.DUMMYFUNCTION("""COMPUTED_VALUE"""),"Sin Asignar")</f>
        <v>Sin Asignar</v>
      </c>
      <c r="N1065" s="87">
        <f>IFERROR(__xludf.DUMMYFUNCTION("""COMPUTED_VALUE"""),0.0)</f>
        <v>0</v>
      </c>
      <c r="O1065" s="74"/>
      <c r="P1065" s="74" t="str">
        <f>IFERROR(__xludf.DUMMYFUNCTION("""COMPUTED_VALUE"""),"No Available")</f>
        <v>No Available</v>
      </c>
      <c r="Q1065" s="74"/>
      <c r="R1065" s="74"/>
      <c r="S1065" s="87">
        <f>IFERROR(__xludf.DUMMYFUNCTION("""COMPUTED_VALUE"""),0.0)</f>
        <v>0</v>
      </c>
      <c r="T1065" s="87">
        <f>IFERROR(__xludf.DUMMYFUNCTION("""COMPUTED_VALUE"""),0.0)</f>
        <v>0</v>
      </c>
      <c r="U1065" s="87">
        <f>IFERROR(__xludf.DUMMYFUNCTION("""COMPUTED_VALUE"""),0.0)</f>
        <v>0</v>
      </c>
      <c r="V1065" s="87">
        <f>IFERROR(__xludf.DUMMYFUNCTION("""COMPUTED_VALUE"""),0.0)</f>
        <v>0</v>
      </c>
      <c r="W1065" s="87">
        <f>IFERROR(__xludf.DUMMYFUNCTION("""COMPUTED_VALUE"""),0.0)</f>
        <v>0</v>
      </c>
      <c r="X1065" s="88"/>
      <c r="Y1065" s="74"/>
      <c r="Z1065" s="74"/>
    </row>
    <row r="1066">
      <c r="B1066" s="74" t="str">
        <f>IFERROR(__xludf.DUMMYFUNCTION("""COMPUTED_VALUE"""),"2064")</f>
        <v>2064</v>
      </c>
      <c r="C1066" s="74" t="str">
        <f>IFERROR(__xludf.DUMMYFUNCTION("""COMPUTED_VALUE"""),"75045892064")</f>
        <v>75045892064</v>
      </c>
      <c r="D1066" s="74" t="str">
        <f>IFERROR(__xludf.DUMMYFUNCTION("""COMPUTED_VALUE"""),"\\MCA-S\mk\2_BM\0_BMat\08_PYM\Inventario\excel\Imagen de refacciones\Schwing\Bushing D 56_D 45 X45 _ Casquillo D 56_D 45 X45")</f>
        <v>\\MCA-S\mk\2_BM\0_BMat\08_PYM\Inventario\excel\Imagen de refacciones\Schwing\Bushing D 56_D 45 X45 _ Casquillo D 56_D 45 X45</v>
      </c>
      <c r="E1066" s="74" t="str">
        <f>IFERROR(__xludf.DUMMYFUNCTION("""COMPUTED_VALUE"""),"BUSHING D56 /D 45 X45")</f>
        <v>BUSHING D56 /D 45 X45</v>
      </c>
      <c r="F1066" s="74" t="str">
        <f>IFERROR(__xludf.DUMMYFUNCTION("""COMPUTED_VALUE"""),"CASQUILLO D 56/D 45 X45")</f>
        <v>CASQUILLO D 56/D 45 X45</v>
      </c>
      <c r="G1066" s="74"/>
      <c r="H1066" s="74"/>
      <c r="I1066" s="74" t="str">
        <f>IFERROR(__xludf.DUMMYFUNCTION("""COMPUTED_VALUE"""),"10007772")</f>
        <v>10007772</v>
      </c>
      <c r="J1066" s="74"/>
      <c r="K1066" s="74" t="str">
        <f>IFERROR(__xludf.DUMMYFUNCTION("""COMPUTED_VALUE"""),"Schwing")</f>
        <v>Schwing</v>
      </c>
      <c r="L1066" s="74" t="str">
        <f>IFERROR(__xludf.DUMMYFUNCTION("""COMPUTED_VALUE"""),"SIN ASIGNAR")</f>
        <v>SIN ASIGNAR</v>
      </c>
      <c r="M1066" s="74" t="str">
        <f>IFERROR(__xludf.DUMMYFUNCTION("""COMPUTED_VALUE"""),"SIN ASIGNAR")</f>
        <v>SIN ASIGNAR</v>
      </c>
      <c r="N1066" s="87">
        <f>IFERROR(__xludf.DUMMYFUNCTION("""COMPUTED_VALUE"""),0.0)</f>
        <v>0</v>
      </c>
      <c r="O1066" s="74"/>
      <c r="P1066" s="74" t="str">
        <f>IFERROR(__xludf.DUMMYFUNCTION("""COMPUTED_VALUE"""),"To Re-purchase")</f>
        <v>To Re-purchase</v>
      </c>
      <c r="Q1066" s="74"/>
      <c r="R1066" s="74"/>
      <c r="S1066" s="87">
        <f>IFERROR(__xludf.DUMMYFUNCTION("""COMPUTED_VALUE"""),0.0)</f>
        <v>0</v>
      </c>
      <c r="T1066" s="87">
        <f>IFERROR(__xludf.DUMMYFUNCTION("""COMPUTED_VALUE"""),0.0)</f>
        <v>0</v>
      </c>
      <c r="U1066" s="87">
        <f>IFERROR(__xludf.DUMMYFUNCTION("""COMPUTED_VALUE"""),0.0)</f>
        <v>0</v>
      </c>
      <c r="V1066" s="87">
        <f>IFERROR(__xludf.DUMMYFUNCTION("""COMPUTED_VALUE"""),0.0)</f>
        <v>0</v>
      </c>
      <c r="W1066" s="87">
        <f>IFERROR(__xludf.DUMMYFUNCTION("""COMPUTED_VALUE"""),0.0)</f>
        <v>0</v>
      </c>
      <c r="X1066" s="88"/>
      <c r="Y1066" s="74"/>
      <c r="Z1066" s="74"/>
    </row>
    <row r="1067">
      <c r="B1067" s="74" t="str">
        <f>IFERROR(__xludf.DUMMYFUNCTION("""COMPUTED_VALUE"""),"2065")</f>
        <v>2065</v>
      </c>
      <c r="C1067" s="74"/>
      <c r="D1067" s="74" t="str">
        <f>IFERROR(__xludf.DUMMYFUNCTION("""COMPUTED_VALUE"""),"\\MCA-S\mk\2_BM\0_BMat\08_PYM\Inventario\excel\Imagen de refacciones\Schwing\Bushing D 60_68X23 _ Casquillo D 60_68X23")</f>
        <v>\\MCA-S\mk\2_BM\0_BMat\08_PYM\Inventario\excel\Imagen de refacciones\Schwing\Bushing D 60_68X23 _ Casquillo D 60_68X23</v>
      </c>
      <c r="E1067" s="74"/>
      <c r="F1067" s="74" t="str">
        <f>IFERROR(__xludf.DUMMYFUNCTION("""COMPUTED_VALUE"""),"Bushing D 60/68X23 / Casquillo D 60/68X23")</f>
        <v>Bushing D 60/68X23 / Casquillo D 60/68X23</v>
      </c>
      <c r="G1067" s="74"/>
      <c r="H1067" s="74"/>
      <c r="I1067" s="74" t="str">
        <f>IFERROR(__xludf.DUMMYFUNCTION("""COMPUTED_VALUE"""),"SOM30169")</f>
        <v>SOM30169</v>
      </c>
      <c r="J1067" s="74" t="str">
        <f>IFERROR(__xludf.DUMMYFUNCTION("""COMPUTED_VALUE"""),"10061077")</f>
        <v>10061077</v>
      </c>
      <c r="K1067" s="74" t="str">
        <f>IFERROR(__xludf.DUMMYFUNCTION("""COMPUTED_VALUE"""),"Schwing")</f>
        <v>Schwing</v>
      </c>
      <c r="L1067" s="74" t="str">
        <f>IFERROR(__xludf.DUMMYFUNCTION("""COMPUTED_VALUE"""),"Transmisión Mecánica")</f>
        <v>Transmisión Mecánica</v>
      </c>
      <c r="M1067" s="74" t="str">
        <f>IFERROR(__xludf.DUMMYFUNCTION("""COMPUTED_VALUE"""),"Sin Asignar")</f>
        <v>Sin Asignar</v>
      </c>
      <c r="N1067" s="87">
        <f>IFERROR(__xludf.DUMMYFUNCTION("""COMPUTED_VALUE"""),0.0)</f>
        <v>0</v>
      </c>
      <c r="O1067" s="74"/>
      <c r="P1067" s="74" t="str">
        <f>IFERROR(__xludf.DUMMYFUNCTION("""COMPUTED_VALUE"""),"borrar")</f>
        <v>borrar</v>
      </c>
      <c r="Q1067" s="74"/>
      <c r="R1067" s="74"/>
      <c r="S1067" s="87">
        <f>IFERROR(__xludf.DUMMYFUNCTION("""COMPUTED_VALUE"""),0.0)</f>
        <v>0</v>
      </c>
      <c r="T1067" s="87">
        <f>IFERROR(__xludf.DUMMYFUNCTION("""COMPUTED_VALUE"""),0.0)</f>
        <v>0</v>
      </c>
      <c r="U1067" s="87">
        <f>IFERROR(__xludf.DUMMYFUNCTION("""COMPUTED_VALUE"""),0.0)</f>
        <v>0</v>
      </c>
      <c r="V1067" s="87">
        <f>IFERROR(__xludf.DUMMYFUNCTION("""COMPUTED_VALUE"""),0.0)</f>
        <v>0</v>
      </c>
      <c r="W1067" s="87">
        <f>IFERROR(__xludf.DUMMYFUNCTION("""COMPUTED_VALUE"""),0.0)</f>
        <v>0</v>
      </c>
      <c r="X1067" s="88"/>
      <c r="Y1067" s="74"/>
      <c r="Z1067" s="74"/>
    </row>
    <row r="1068">
      <c r="B1068" s="74" t="str">
        <f>IFERROR(__xludf.DUMMYFUNCTION("""COMPUTED_VALUE"""),"2066")</f>
        <v>2066</v>
      </c>
      <c r="C1068" s="74" t="str">
        <f>IFERROR(__xludf.DUMMYFUNCTION("""COMPUTED_VALUE"""),"75045880436")</f>
        <v>75045880436</v>
      </c>
      <c r="D1068" s="74" t="str">
        <f>IFERROR(__xludf.DUMMYFUNCTION("""COMPUTED_VALUE"""),"\\MCA-S\mk\2_BM\0_BMat\08_PYM\Inventario\excel\Imagen de refacciones\Schwing\cable de aceleración 14 FT")</f>
        <v>\\MCA-S\mk\2_BM\0_BMat\08_PYM\Inventario\excel\Imagen de refacciones\Schwing\cable de aceleración 14 FT</v>
      </c>
      <c r="E1068" s="74"/>
      <c r="F1068" s="74" t="str">
        <f>IFERROR(__xludf.DUMMYFUNCTION("""COMPUTED_VALUE"""),"CABLE ACELERACION 14FT")</f>
        <v>CABLE ACELERACION 14FT</v>
      </c>
      <c r="G1068" s="74"/>
      <c r="H1068" s="74"/>
      <c r="I1068" s="74" t="str">
        <f>IFERROR(__xludf.DUMMYFUNCTION("""COMPUTED_VALUE"""),"10002336")</f>
        <v>10002336</v>
      </c>
      <c r="J1068" s="74"/>
      <c r="K1068" s="74" t="str">
        <f>IFERROR(__xludf.DUMMYFUNCTION("""COMPUTED_VALUE"""),"Schwing")</f>
        <v>Schwing</v>
      </c>
      <c r="L1068" s="74"/>
      <c r="M1068" s="74" t="str">
        <f>IFERROR(__xludf.DUMMYFUNCTION("""COMPUTED_VALUE"""),"Sin Asignar")</f>
        <v>Sin Asignar</v>
      </c>
      <c r="N1068" s="87">
        <f>IFERROR(__xludf.DUMMYFUNCTION("""COMPUTED_VALUE"""),0.0)</f>
        <v>0</v>
      </c>
      <c r="O1068" s="74"/>
      <c r="P1068" s="74" t="str">
        <f>IFERROR(__xludf.DUMMYFUNCTION("""COMPUTED_VALUE"""),"To Re-purchase")</f>
        <v>To Re-purchase</v>
      </c>
      <c r="Q1068" s="74"/>
      <c r="R1068" s="74"/>
      <c r="S1068" s="87">
        <f>IFERROR(__xludf.DUMMYFUNCTION("""COMPUTED_VALUE"""),0.0)</f>
        <v>0</v>
      </c>
      <c r="T1068" s="87">
        <f>IFERROR(__xludf.DUMMYFUNCTION("""COMPUTED_VALUE"""),0.0)</f>
        <v>0</v>
      </c>
      <c r="U1068" s="87">
        <f>IFERROR(__xludf.DUMMYFUNCTION("""COMPUTED_VALUE"""),0.0)</f>
        <v>0</v>
      </c>
      <c r="V1068" s="87">
        <f>IFERROR(__xludf.DUMMYFUNCTION("""COMPUTED_VALUE"""),0.0)</f>
        <v>0</v>
      </c>
      <c r="W1068" s="87">
        <f>IFERROR(__xludf.DUMMYFUNCTION("""COMPUTED_VALUE"""),0.0)</f>
        <v>0</v>
      </c>
      <c r="X1068" s="88"/>
      <c r="Y1068" s="74"/>
      <c r="Z1068" s="74"/>
    </row>
    <row r="1069">
      <c r="B1069" s="74" t="str">
        <f>IFERROR(__xludf.DUMMYFUNCTION("""COMPUTED_VALUE"""),"2067")</f>
        <v>2067</v>
      </c>
      <c r="C1069" s="74" t="str">
        <f>IFERROR(__xludf.DUMMYFUNCTION("""COMPUTED_VALUE"""),"75045880437")</f>
        <v>75045880437</v>
      </c>
      <c r="D1069" s="74" t="str">
        <f>IFERROR(__xludf.DUMMYFUNCTION("""COMPUTED_VALUE"""),"\\MCA-S\mk\2_BM\0_BMat\08_PYM\Inventario\excel\Imagen de refacciones\Schwing\cable de aceleración 17 ft")</f>
        <v>\\MCA-S\mk\2_BM\0_BMat\08_PYM\Inventario\excel\Imagen de refacciones\Schwing\cable de aceleración 17 ft</v>
      </c>
      <c r="E1069" s="74"/>
      <c r="F1069" s="74" t="str">
        <f>IFERROR(__xludf.DUMMYFUNCTION("""COMPUTED_VALUE"""),"cable de aceleración 17 ft")</f>
        <v>cable de aceleración 17 ft</v>
      </c>
      <c r="G1069" s="74"/>
      <c r="H1069" s="74"/>
      <c r="I1069" s="74" t="str">
        <f>IFERROR(__xludf.DUMMYFUNCTION("""COMPUTED_VALUE"""),"10004712")</f>
        <v>10004712</v>
      </c>
      <c r="J1069" s="74"/>
      <c r="K1069" s="74" t="str">
        <f>IFERROR(__xludf.DUMMYFUNCTION("""COMPUTED_VALUE"""),"Schwing")</f>
        <v>Schwing</v>
      </c>
      <c r="L1069" s="74"/>
      <c r="M1069" s="74" t="str">
        <f>IFERROR(__xludf.DUMMYFUNCTION("""COMPUTED_VALUE"""),"Sin Asignar")</f>
        <v>Sin Asignar</v>
      </c>
      <c r="N1069" s="87">
        <f>IFERROR(__xludf.DUMMYFUNCTION("""COMPUTED_VALUE"""),0.0)</f>
        <v>0</v>
      </c>
      <c r="O1069" s="74"/>
      <c r="P1069" s="74" t="str">
        <f>IFERROR(__xludf.DUMMYFUNCTION("""COMPUTED_VALUE"""),"No Available")</f>
        <v>No Available</v>
      </c>
      <c r="Q1069" s="74"/>
      <c r="R1069" s="74"/>
      <c r="S1069" s="87">
        <f>IFERROR(__xludf.DUMMYFUNCTION("""COMPUTED_VALUE"""),0.0)</f>
        <v>0</v>
      </c>
      <c r="T1069" s="87">
        <f>IFERROR(__xludf.DUMMYFUNCTION("""COMPUTED_VALUE"""),0.0)</f>
        <v>0</v>
      </c>
      <c r="U1069" s="87">
        <f>IFERROR(__xludf.DUMMYFUNCTION("""COMPUTED_VALUE"""),0.0)</f>
        <v>0</v>
      </c>
      <c r="V1069" s="87">
        <f>IFERROR(__xludf.DUMMYFUNCTION("""COMPUTED_VALUE"""),0.0)</f>
        <v>0</v>
      </c>
      <c r="W1069" s="87">
        <f>IFERROR(__xludf.DUMMYFUNCTION("""COMPUTED_VALUE"""),0.0)</f>
        <v>0</v>
      </c>
      <c r="X1069" s="88"/>
      <c r="Y1069" s="74"/>
      <c r="Z1069" s="74"/>
    </row>
    <row r="1070">
      <c r="B1070" s="74" t="str">
        <f>IFERROR(__xludf.DUMMYFUNCTION("""COMPUTED_VALUE"""),"2068")</f>
        <v>2068</v>
      </c>
      <c r="C1070" s="74" t="str">
        <f>IFERROR(__xludf.DUMMYFUNCTION("""COMPUTED_VALUE"""),"75045880562")</f>
        <v>75045880562</v>
      </c>
      <c r="D1070" s="74" t="str">
        <f>IFERROR(__xludf.DUMMYFUNCTION("""COMPUTED_VALUE"""),"\\MCA-S\mk\2_BM\0_BMat\08_PYM\Inventario\excel\Imagen de refacciones\Schwing\Carcaza para caja de tran-ferencia")</f>
        <v>\\MCA-S\mk\2_BM\0_BMat\08_PYM\Inventario\excel\Imagen de refacciones\Schwing\Carcaza para caja de tran-ferencia</v>
      </c>
      <c r="E1070" s="74" t="str">
        <f>IFERROR(__xludf.DUMMYFUNCTION("""COMPUTED_VALUE"""),"PUMP GEARBOX HOUSING")</f>
        <v>PUMP GEARBOX HOUSING</v>
      </c>
      <c r="F1070" s="74" t="str">
        <f>IFERROR(__xludf.DUMMYFUNCTION("""COMPUTED_VALUE"""),"CARCAZA CAJA DE TRANSFERENCIA")</f>
        <v>CARCAZA CAJA DE TRANSFERENCIA</v>
      </c>
      <c r="G1070" s="74"/>
      <c r="H1070" s="74"/>
      <c r="I1070" s="74" t="str">
        <f>IFERROR(__xludf.DUMMYFUNCTION("""COMPUTED_VALUE"""),"10152978")</f>
        <v>10152978</v>
      </c>
      <c r="J1070" s="74"/>
      <c r="K1070" s="74" t="str">
        <f>IFERROR(__xludf.DUMMYFUNCTION("""COMPUTED_VALUE"""),"Schwing")</f>
        <v>Schwing</v>
      </c>
      <c r="L1070" s="74"/>
      <c r="M1070" s="74" t="str">
        <f>IFERROR(__xludf.DUMMYFUNCTION("""COMPUTED_VALUE"""),"Sin Asignar")</f>
        <v>Sin Asignar</v>
      </c>
      <c r="N1070" s="87">
        <f>IFERROR(__xludf.DUMMYFUNCTION("""COMPUTED_VALUE"""),0.0)</f>
        <v>0</v>
      </c>
      <c r="O1070" s="74"/>
      <c r="P1070" s="74" t="str">
        <f>IFERROR(__xludf.DUMMYFUNCTION("""COMPUTED_VALUE"""),"To Re-purchase")</f>
        <v>To Re-purchase</v>
      </c>
      <c r="Q1070" s="74"/>
      <c r="R1070" s="74"/>
      <c r="S1070" s="87">
        <f>IFERROR(__xludf.DUMMYFUNCTION("""COMPUTED_VALUE"""),0.0)</f>
        <v>0</v>
      </c>
      <c r="T1070" s="87">
        <f>IFERROR(__xludf.DUMMYFUNCTION("""COMPUTED_VALUE"""),0.0)</f>
        <v>0</v>
      </c>
      <c r="U1070" s="87">
        <f>IFERROR(__xludf.DUMMYFUNCTION("""COMPUTED_VALUE"""),0.0)</f>
        <v>0</v>
      </c>
      <c r="V1070" s="87">
        <f>IFERROR(__xludf.DUMMYFUNCTION("""COMPUTED_VALUE"""),0.0)</f>
        <v>0</v>
      </c>
      <c r="W1070" s="87">
        <f>IFERROR(__xludf.DUMMYFUNCTION("""COMPUTED_VALUE"""),0.0)</f>
        <v>0</v>
      </c>
      <c r="X1070" s="88"/>
      <c r="Y1070" s="74"/>
      <c r="Z1070" s="74"/>
    </row>
    <row r="1071">
      <c r="B1071" s="74" t="str">
        <f>IFERROR(__xludf.DUMMYFUNCTION("""COMPUTED_VALUE"""),"2069")</f>
        <v>2069</v>
      </c>
      <c r="C1071" s="74" t="str">
        <f>IFERROR(__xludf.DUMMYFUNCTION("""COMPUTED_VALUE"""),"75045880530")</f>
        <v>75045880530</v>
      </c>
      <c r="D1071" s="74" t="str">
        <f>IFERROR(__xludf.DUMMYFUNCTION("""COMPUTED_VALUE"""),"\\MCA-S\mk\2_BM\0_BMat\08_PYM\Inventario\excel\Imagen de refacciones\Schwing\Cargador para batería schwing")</f>
        <v>\\MCA-S\mk\2_BM\0_BMat\08_PYM\Inventario\excel\Imagen de refacciones\Schwing\Cargador para batería schwing</v>
      </c>
      <c r="E1071" s="74"/>
      <c r="F1071" s="74" t="str">
        <f>IFERROR(__xludf.DUMMYFUNCTION("""COMPUTED_VALUE"""),"CARGADOR PARA BATERIA")</f>
        <v>CARGADOR PARA BATERIA</v>
      </c>
      <c r="G1071" s="74"/>
      <c r="H1071" s="74"/>
      <c r="I1071" s="74" t="str">
        <f>IFERROR(__xludf.DUMMYFUNCTION("""COMPUTED_VALUE"""),"30355278")</f>
        <v>30355278</v>
      </c>
      <c r="J1071" s="74"/>
      <c r="K1071" s="74" t="str">
        <f>IFERROR(__xludf.DUMMYFUNCTION("""COMPUTED_VALUE"""),"Schwing")</f>
        <v>Schwing</v>
      </c>
      <c r="L1071" s="74"/>
      <c r="M1071" s="74" t="str">
        <f>IFERROR(__xludf.DUMMYFUNCTION("""COMPUTED_VALUE"""),"Sin Asignar")</f>
        <v>Sin Asignar</v>
      </c>
      <c r="N1071" s="87">
        <f>IFERROR(__xludf.DUMMYFUNCTION("""COMPUTED_VALUE"""),0.0)</f>
        <v>0</v>
      </c>
      <c r="O1071" s="74"/>
      <c r="P1071" s="74" t="str">
        <f>IFERROR(__xludf.DUMMYFUNCTION("""COMPUTED_VALUE"""),"To Re-purchase")</f>
        <v>To Re-purchase</v>
      </c>
      <c r="Q1071" s="74"/>
      <c r="R1071" s="74"/>
      <c r="S1071" s="87">
        <f>IFERROR(__xludf.DUMMYFUNCTION("""COMPUTED_VALUE"""),0.0)</f>
        <v>0</v>
      </c>
      <c r="T1071" s="87">
        <f>IFERROR(__xludf.DUMMYFUNCTION("""COMPUTED_VALUE"""),0.0)</f>
        <v>0</v>
      </c>
      <c r="U1071" s="87">
        <f>IFERROR(__xludf.DUMMYFUNCTION("""COMPUTED_VALUE"""),0.0)</f>
        <v>0</v>
      </c>
      <c r="V1071" s="87">
        <f>IFERROR(__xludf.DUMMYFUNCTION("""COMPUTED_VALUE"""),0.0)</f>
        <v>0</v>
      </c>
      <c r="W1071" s="87">
        <f>IFERROR(__xludf.DUMMYFUNCTION("""COMPUTED_VALUE"""),0.0)</f>
        <v>0</v>
      </c>
      <c r="X1071" s="88"/>
      <c r="Y1071" s="74"/>
      <c r="Z1071" s="74"/>
    </row>
    <row r="1072">
      <c r="B1072" s="74" t="str">
        <f>IFERROR(__xludf.DUMMYFUNCTION("""COMPUTED_VALUE"""),"2070")</f>
        <v>2070</v>
      </c>
      <c r="C1072" s="74"/>
      <c r="D1072" s="74" t="str">
        <f>IFERROR(__xludf.DUMMYFUNCTION("""COMPUTED_VALUE"""),"\\MCA-S\mk\2_BM\0_BMat\08_PYM\Inventario\excel\Imagen de refacciones\Schwing\Cauldron Rubber Band 350 x 10 x 3000 mm _ Banda de Goma para Caldero 350 x 10 x 3000 mm")</f>
        <v>\\MCA-S\mk\2_BM\0_BMat\08_PYM\Inventario\excel\Imagen de refacciones\Schwing\Cauldron Rubber Band 350 x 10 x 3000 mm _ Banda de Goma para Caldero 350 x 10 x 3000 mm</v>
      </c>
      <c r="E1072" s="74"/>
      <c r="F1072" s="74" t="str">
        <f>IFERROR(__xludf.DUMMYFUNCTION("""COMPUTED_VALUE"""),"Cauldron Rubber Band 350 x 10 x 3000 mm / Banda de Goma para Caldero 350 x 10 x 3000 mm")</f>
        <v>Cauldron Rubber Band 350 x 10 x 3000 mm / Banda de Goma para Caldero 350 x 10 x 3000 mm</v>
      </c>
      <c r="G1072" s="74"/>
      <c r="H1072" s="74"/>
      <c r="I1072" s="74" t="str">
        <f>IFERROR(__xludf.DUMMYFUNCTION("""COMPUTED_VALUE"""),"SOM30319")</f>
        <v>SOM30319</v>
      </c>
      <c r="J1072" s="74"/>
      <c r="K1072" s="74" t="str">
        <f>IFERROR(__xludf.DUMMYFUNCTION("""COMPUTED_VALUE"""),"Schwing")</f>
        <v>Schwing</v>
      </c>
      <c r="L1072" s="74" t="str">
        <f>IFERROR(__xludf.DUMMYFUNCTION("""COMPUTED_VALUE"""),"Componentes Estructurales y de Montaje")</f>
        <v>Componentes Estructurales y de Montaje</v>
      </c>
      <c r="M1072" s="74" t="str">
        <f>IFERROR(__xludf.DUMMYFUNCTION("""COMPUTED_VALUE"""),"Sin Asignar")</f>
        <v>Sin Asignar</v>
      </c>
      <c r="N1072" s="87">
        <f>IFERROR(__xludf.DUMMYFUNCTION("""COMPUTED_VALUE"""),0.0)</f>
        <v>0</v>
      </c>
      <c r="O1072" s="74"/>
      <c r="P1072" s="74" t="str">
        <f>IFERROR(__xludf.DUMMYFUNCTION("""COMPUTED_VALUE"""),"No Available")</f>
        <v>No Available</v>
      </c>
      <c r="Q1072" s="74"/>
      <c r="R1072" s="74"/>
      <c r="S1072" s="87">
        <f>IFERROR(__xludf.DUMMYFUNCTION("""COMPUTED_VALUE"""),0.0)</f>
        <v>0</v>
      </c>
      <c r="T1072" s="87">
        <f>IFERROR(__xludf.DUMMYFUNCTION("""COMPUTED_VALUE"""),0.0)</f>
        <v>0</v>
      </c>
      <c r="U1072" s="87">
        <f>IFERROR(__xludf.DUMMYFUNCTION("""COMPUTED_VALUE"""),0.0)</f>
        <v>0</v>
      </c>
      <c r="V1072" s="87">
        <f>IFERROR(__xludf.DUMMYFUNCTION("""COMPUTED_VALUE"""),0.0)</f>
        <v>0</v>
      </c>
      <c r="W1072" s="87">
        <f>IFERROR(__xludf.DUMMYFUNCTION("""COMPUTED_VALUE"""),0.0)</f>
        <v>0</v>
      </c>
      <c r="X1072" s="88"/>
      <c r="Y1072" s="74"/>
      <c r="Z1072" s="74"/>
    </row>
    <row r="1073">
      <c r="B1073" s="74" t="str">
        <f>IFERROR(__xludf.DUMMYFUNCTION("""COMPUTED_VALUE"""),"2071")</f>
        <v>2071</v>
      </c>
      <c r="C1073" s="74"/>
      <c r="D1073" s="74" t="str">
        <f>IFERROR(__xludf.DUMMYFUNCTION("""COMPUTED_VALUE"""),"\\MCA-S\mk\2_BM\0_BMat\08_PYM\Inventario\excel\Imagen de refacciones\Schwing\Clamp 5,5_ with Support _ Abrazadera 5,5_ con Soporte")</f>
        <v>\\MCA-S\mk\2_BM\0_BMat\08_PYM\Inventario\excel\Imagen de refacciones\Schwing\Clamp 5,5_ with Support _ Abrazadera 5,5_ con Soporte</v>
      </c>
      <c r="E1073" s="74"/>
      <c r="F1073" s="74" t="str">
        <f>IFERROR(__xludf.DUMMYFUNCTION("""COMPUTED_VALUE"""),"Clamp 5,5"" with Support / Abrazadera 5,5"" con Soporte")</f>
        <v>Clamp 5,5" with Support / Abrazadera 5,5" con Soporte</v>
      </c>
      <c r="G1073" s="74"/>
      <c r="H1073" s="74"/>
      <c r="I1073" s="74" t="str">
        <f>IFERROR(__xludf.DUMMYFUNCTION("""COMPUTED_VALUE"""),"SOM30280")</f>
        <v>SOM30280</v>
      </c>
      <c r="J1073" s="74" t="str">
        <f>IFERROR(__xludf.DUMMYFUNCTION("""COMPUTED_VALUE"""),"10133242")</f>
        <v>10133242</v>
      </c>
      <c r="K1073" s="74" t="str">
        <f>IFERROR(__xludf.DUMMYFUNCTION("""COMPUTED_VALUE"""),"Schwing")</f>
        <v>Schwing</v>
      </c>
      <c r="L1073" s="74" t="str">
        <f>IFERROR(__xludf.DUMMYFUNCTION("""COMPUTED_VALUE"""),"Componentes Estructurales y de Montaje")</f>
        <v>Componentes Estructurales y de Montaje</v>
      </c>
      <c r="M1073" s="74" t="str">
        <f>IFERROR(__xludf.DUMMYFUNCTION("""COMPUTED_VALUE"""),"Sin Asignar")</f>
        <v>Sin Asignar</v>
      </c>
      <c r="N1073" s="87">
        <f>IFERROR(__xludf.DUMMYFUNCTION("""COMPUTED_VALUE"""),0.0)</f>
        <v>0</v>
      </c>
      <c r="O1073" s="74"/>
      <c r="P1073" s="74" t="str">
        <f>IFERROR(__xludf.DUMMYFUNCTION("""COMPUTED_VALUE"""),"borrar")</f>
        <v>borrar</v>
      </c>
      <c r="Q1073" s="74"/>
      <c r="R1073" s="74"/>
      <c r="S1073" s="87">
        <f>IFERROR(__xludf.DUMMYFUNCTION("""COMPUTED_VALUE"""),0.0)</f>
        <v>0</v>
      </c>
      <c r="T1073" s="87">
        <f>IFERROR(__xludf.DUMMYFUNCTION("""COMPUTED_VALUE"""),0.0)</f>
        <v>0</v>
      </c>
      <c r="U1073" s="87">
        <f>IFERROR(__xludf.DUMMYFUNCTION("""COMPUTED_VALUE"""),0.0)</f>
        <v>0</v>
      </c>
      <c r="V1073" s="87">
        <f>IFERROR(__xludf.DUMMYFUNCTION("""COMPUTED_VALUE"""),0.0)</f>
        <v>0</v>
      </c>
      <c r="W1073" s="87">
        <f>IFERROR(__xludf.DUMMYFUNCTION("""COMPUTED_VALUE"""),0.0)</f>
        <v>0</v>
      </c>
      <c r="X1073" s="88"/>
      <c r="Y1073" s="74"/>
      <c r="Z1073" s="74"/>
    </row>
    <row r="1074">
      <c r="B1074" s="74" t="str">
        <f>IFERROR(__xludf.DUMMYFUNCTION("""COMPUTED_VALUE"""),"2072")</f>
        <v>2072</v>
      </c>
      <c r="C1074" s="74"/>
      <c r="D1074" s="74" t="str">
        <f>IFERROR(__xludf.DUMMYFUNCTION("""COMPUTED_VALUE"""),"\\MCA-S\mk\2_BM\0_BMat\08_PYM\Inventario\excel\Imagen de refacciones\Schwing\Clamp Piece Left _ Pieza de Sujeción Izquierda")</f>
        <v>\\MCA-S\mk\2_BM\0_BMat\08_PYM\Inventario\excel\Imagen de refacciones\Schwing\Clamp Piece Left _ Pieza de Sujeción Izquierda</v>
      </c>
      <c r="E1074" s="74"/>
      <c r="F1074" s="74" t="str">
        <f>IFERROR(__xludf.DUMMYFUNCTION("""COMPUTED_VALUE"""),"Clamp Piece Left / Pieza de Sujeción Izquierda")</f>
        <v>Clamp Piece Left / Pieza de Sujeción Izquierda</v>
      </c>
      <c r="G1074" s="74"/>
      <c r="H1074" s="74"/>
      <c r="I1074" s="74" t="str">
        <f>IFERROR(__xludf.DUMMYFUNCTION("""COMPUTED_VALUE"""),"SOM30053")</f>
        <v>SOM30053</v>
      </c>
      <c r="J1074" s="74" t="str">
        <f>IFERROR(__xludf.DUMMYFUNCTION("""COMPUTED_VALUE"""),"10032789")</f>
        <v>10032789</v>
      </c>
      <c r="K1074" s="74" t="str">
        <f>IFERROR(__xludf.DUMMYFUNCTION("""COMPUTED_VALUE"""),"Schwing")</f>
        <v>Schwing</v>
      </c>
      <c r="L1074" s="74" t="str">
        <f>IFERROR(__xludf.DUMMYFUNCTION("""COMPUTED_VALUE"""),"Componentes Estructurales y de Montaje")</f>
        <v>Componentes Estructurales y de Montaje</v>
      </c>
      <c r="M1074" s="74" t="str">
        <f>IFERROR(__xludf.DUMMYFUNCTION("""COMPUTED_VALUE"""),"Sin Asignar")</f>
        <v>Sin Asignar</v>
      </c>
      <c r="N1074" s="87">
        <f>IFERROR(__xludf.DUMMYFUNCTION("""COMPUTED_VALUE"""),0.0)</f>
        <v>0</v>
      </c>
      <c r="O1074" s="74"/>
      <c r="P1074" s="74" t="str">
        <f>IFERROR(__xludf.DUMMYFUNCTION("""COMPUTED_VALUE"""),"borrar")</f>
        <v>borrar</v>
      </c>
      <c r="Q1074" s="74"/>
      <c r="R1074" s="74"/>
      <c r="S1074" s="87">
        <f>IFERROR(__xludf.DUMMYFUNCTION("""COMPUTED_VALUE"""),0.0)</f>
        <v>0</v>
      </c>
      <c r="T1074" s="87">
        <f>IFERROR(__xludf.DUMMYFUNCTION("""COMPUTED_VALUE"""),0.0)</f>
        <v>0</v>
      </c>
      <c r="U1074" s="87">
        <f>IFERROR(__xludf.DUMMYFUNCTION("""COMPUTED_VALUE"""),0.0)</f>
        <v>0</v>
      </c>
      <c r="V1074" s="87">
        <f>IFERROR(__xludf.DUMMYFUNCTION("""COMPUTED_VALUE"""),0.0)</f>
        <v>0</v>
      </c>
      <c r="W1074" s="87">
        <f>IFERROR(__xludf.DUMMYFUNCTION("""COMPUTED_VALUE"""),0.0)</f>
        <v>0</v>
      </c>
      <c r="X1074" s="88"/>
      <c r="Y1074" s="74"/>
      <c r="Z1074" s="74"/>
    </row>
    <row r="1075">
      <c r="B1075" s="74" t="str">
        <f>IFERROR(__xludf.DUMMYFUNCTION("""COMPUTED_VALUE"""),"2073")</f>
        <v>2073</v>
      </c>
      <c r="C1075" s="74"/>
      <c r="D1075" s="74" t="str">
        <f>IFERROR(__xludf.DUMMYFUNCTION("""COMPUTED_VALUE"""),"\\MCA-S\mk\2_BM\0_BMat\08_PYM\Inventario\excel\Imagen de refacciones\Schwing\Clamp Piece Right _ Pieza de Sujeción Derecha")</f>
        <v>\\MCA-S\mk\2_BM\0_BMat\08_PYM\Inventario\excel\Imagen de refacciones\Schwing\Clamp Piece Right _ Pieza de Sujeción Derecha</v>
      </c>
      <c r="E1075" s="74"/>
      <c r="F1075" s="74" t="str">
        <f>IFERROR(__xludf.DUMMYFUNCTION("""COMPUTED_VALUE"""),"Clamp Piece Right / Pieza de Sujeción Derecha")</f>
        <v>Clamp Piece Right / Pieza de Sujeción Derecha</v>
      </c>
      <c r="G1075" s="74"/>
      <c r="H1075" s="74"/>
      <c r="I1075" s="74" t="str">
        <f>IFERROR(__xludf.DUMMYFUNCTION("""COMPUTED_VALUE"""),"SOM30052")</f>
        <v>SOM30052</v>
      </c>
      <c r="J1075" s="74" t="str">
        <f>IFERROR(__xludf.DUMMYFUNCTION("""COMPUTED_VALUE"""),"10032788")</f>
        <v>10032788</v>
      </c>
      <c r="K1075" s="74" t="str">
        <f>IFERROR(__xludf.DUMMYFUNCTION("""COMPUTED_VALUE"""),"Schwing")</f>
        <v>Schwing</v>
      </c>
      <c r="L1075" s="74" t="str">
        <f>IFERROR(__xludf.DUMMYFUNCTION("""COMPUTED_VALUE"""),"Componentes Estructurales y de Montaje")</f>
        <v>Componentes Estructurales y de Montaje</v>
      </c>
      <c r="M1075" s="74" t="str">
        <f>IFERROR(__xludf.DUMMYFUNCTION("""COMPUTED_VALUE"""),"Sin Asignar")</f>
        <v>Sin Asignar</v>
      </c>
      <c r="N1075" s="87">
        <f>IFERROR(__xludf.DUMMYFUNCTION("""COMPUTED_VALUE"""),0.0)</f>
        <v>0</v>
      </c>
      <c r="O1075" s="74"/>
      <c r="P1075" s="74" t="str">
        <f>IFERROR(__xludf.DUMMYFUNCTION("""COMPUTED_VALUE"""),"borrar")</f>
        <v>borrar</v>
      </c>
      <c r="Q1075" s="74"/>
      <c r="R1075" s="74"/>
      <c r="S1075" s="87">
        <f>IFERROR(__xludf.DUMMYFUNCTION("""COMPUTED_VALUE"""),0.0)</f>
        <v>0</v>
      </c>
      <c r="T1075" s="87">
        <f>IFERROR(__xludf.DUMMYFUNCTION("""COMPUTED_VALUE"""),0.0)</f>
        <v>0</v>
      </c>
      <c r="U1075" s="87">
        <f>IFERROR(__xludf.DUMMYFUNCTION("""COMPUTED_VALUE"""),0.0)</f>
        <v>0</v>
      </c>
      <c r="V1075" s="87">
        <f>IFERROR(__xludf.DUMMYFUNCTION("""COMPUTED_VALUE"""),0.0)</f>
        <v>0</v>
      </c>
      <c r="W1075" s="87">
        <f>IFERROR(__xludf.DUMMYFUNCTION("""COMPUTED_VALUE"""),0.0)</f>
        <v>0</v>
      </c>
      <c r="X1075" s="88"/>
      <c r="Y1075" s="74"/>
      <c r="Z1075" s="74"/>
    </row>
    <row r="1076">
      <c r="B1076" s="74" t="str">
        <f>IFERROR(__xludf.DUMMYFUNCTION("""COMPUTED_VALUE"""),"2074")</f>
        <v>2074</v>
      </c>
      <c r="C1076" s="74"/>
      <c r="D1076" s="74" t="str">
        <f>IFERROR(__xludf.DUMMYFUNCTION("""COMPUTED_VALUE"""),"\\MCA-S\mk\2_BM\0_BMat\08_PYM\Inventario\excel\Imagen de refacciones\Schwing\Clamp Type Coupling 5,5_ _ Acoplamiento Tipo Abrazadera 5,5_")</f>
        <v>\\MCA-S\mk\2_BM\0_BMat\08_PYM\Inventario\excel\Imagen de refacciones\Schwing\Clamp Type Coupling 5,5_ _ Acoplamiento Tipo Abrazadera 5,5_</v>
      </c>
      <c r="E1076" s="74"/>
      <c r="F1076" s="74" t="str">
        <f>IFERROR(__xludf.DUMMYFUNCTION("""COMPUTED_VALUE"""),"Clamp Type Coupling 5,5"" / Acoplamiento Tipo Abrazadera 5,5""")</f>
        <v>Clamp Type Coupling 5,5" / Acoplamiento Tipo Abrazadera 5,5"</v>
      </c>
      <c r="G1076" s="74"/>
      <c r="H1076" s="74"/>
      <c r="I1076" s="74" t="str">
        <f>IFERROR(__xludf.DUMMYFUNCTION("""COMPUTED_VALUE"""),"SOM30278")</f>
        <v>SOM30278</v>
      </c>
      <c r="J1076" s="74" t="str">
        <f>IFERROR(__xludf.DUMMYFUNCTION("""COMPUTED_VALUE"""),"10007018")</f>
        <v>10007018</v>
      </c>
      <c r="K1076" s="74" t="str">
        <f>IFERROR(__xludf.DUMMYFUNCTION("""COMPUTED_VALUE"""),"Schwing")</f>
        <v>Schwing</v>
      </c>
      <c r="L1076" s="74" t="str">
        <f>IFERROR(__xludf.DUMMYFUNCTION("""COMPUTED_VALUE"""),"Componentes Estructurales y de Montaje")</f>
        <v>Componentes Estructurales y de Montaje</v>
      </c>
      <c r="M1076" s="74" t="str">
        <f>IFERROR(__xludf.DUMMYFUNCTION("""COMPUTED_VALUE"""),"Sin Asignar")</f>
        <v>Sin Asignar</v>
      </c>
      <c r="N1076" s="87">
        <f>IFERROR(__xludf.DUMMYFUNCTION("""COMPUTED_VALUE"""),0.0)</f>
        <v>0</v>
      </c>
      <c r="O1076" s="74"/>
      <c r="P1076" s="74" t="str">
        <f>IFERROR(__xludf.DUMMYFUNCTION("""COMPUTED_VALUE"""),"borrar")</f>
        <v>borrar</v>
      </c>
      <c r="Q1076" s="74"/>
      <c r="R1076" s="74"/>
      <c r="S1076" s="87">
        <f>IFERROR(__xludf.DUMMYFUNCTION("""COMPUTED_VALUE"""),0.0)</f>
        <v>0</v>
      </c>
      <c r="T1076" s="87">
        <f>IFERROR(__xludf.DUMMYFUNCTION("""COMPUTED_VALUE"""),0.0)</f>
        <v>0</v>
      </c>
      <c r="U1076" s="87">
        <f>IFERROR(__xludf.DUMMYFUNCTION("""COMPUTED_VALUE"""),0.0)</f>
        <v>0</v>
      </c>
      <c r="V1076" s="87">
        <f>IFERROR(__xludf.DUMMYFUNCTION("""COMPUTED_VALUE"""),0.0)</f>
        <v>0</v>
      </c>
      <c r="W1076" s="87">
        <f>IFERROR(__xludf.DUMMYFUNCTION("""COMPUTED_VALUE"""),0.0)</f>
        <v>0</v>
      </c>
      <c r="X1076" s="88"/>
      <c r="Y1076" s="74"/>
      <c r="Z1076" s="74"/>
    </row>
    <row r="1077">
      <c r="B1077" s="74" t="str">
        <f>IFERROR(__xludf.DUMMYFUNCTION("""COMPUTED_VALUE"""),"2075")</f>
        <v>2075</v>
      </c>
      <c r="C1077" s="74"/>
      <c r="D1077" s="74" t="str">
        <f>IFERROR(__xludf.DUMMYFUNCTION("""COMPUTED_VALUE"""),"\\MCA-S\mk\2_BM\0_BMat\08_PYM\Inventario\excel\Imagen de refacciones\Schwing\Cleaning Ball DN 150 _ Bola de Limpieza DN 150")</f>
        <v>\\MCA-S\mk\2_BM\0_BMat\08_PYM\Inventario\excel\Imagen de refacciones\Schwing\Cleaning Ball DN 150 _ Bola de Limpieza DN 150</v>
      </c>
      <c r="E1077" s="74"/>
      <c r="F1077" s="74" t="str">
        <f>IFERROR(__xludf.DUMMYFUNCTION("""COMPUTED_VALUE"""),"Cleaning Ball DN 150 / Bola de Limpieza DN 150")</f>
        <v>Cleaning Ball DN 150 / Bola de Limpieza DN 150</v>
      </c>
      <c r="G1077" s="74"/>
      <c r="H1077" s="74"/>
      <c r="I1077" s="74"/>
      <c r="J1077" s="74" t="str">
        <f>IFERROR(__xludf.DUMMYFUNCTION("""COMPUTED_VALUE"""),"10107147")</f>
        <v>10107147</v>
      </c>
      <c r="K1077" s="74" t="str">
        <f>IFERROR(__xludf.DUMMYFUNCTION("""COMPUTED_VALUE"""),"Schwing")</f>
        <v>Schwing</v>
      </c>
      <c r="L1077" s="74" t="str">
        <f>IFERROR(__xludf.DUMMYFUNCTION("""COMPUTED_VALUE"""),"Sistema de Bombeo de Concreto")</f>
        <v>Sistema de Bombeo de Concreto</v>
      </c>
      <c r="M1077" s="74" t="str">
        <f>IFERROR(__xludf.DUMMYFUNCTION("""COMPUTED_VALUE"""),"Sin Asignar")</f>
        <v>Sin Asignar</v>
      </c>
      <c r="N1077" s="87">
        <f>IFERROR(__xludf.DUMMYFUNCTION("""COMPUTED_VALUE"""),0.0)</f>
        <v>0</v>
      </c>
      <c r="O1077" s="74"/>
      <c r="P1077" s="74" t="str">
        <f>IFERROR(__xludf.DUMMYFUNCTION("""COMPUTED_VALUE"""),"No Available")</f>
        <v>No Available</v>
      </c>
      <c r="Q1077" s="74"/>
      <c r="R1077" s="74"/>
      <c r="S1077" s="87">
        <f>IFERROR(__xludf.DUMMYFUNCTION("""COMPUTED_VALUE"""),0.0)</f>
        <v>0</v>
      </c>
      <c r="T1077" s="87">
        <f>IFERROR(__xludf.DUMMYFUNCTION("""COMPUTED_VALUE"""),0.0)</f>
        <v>0</v>
      </c>
      <c r="U1077" s="87">
        <f>IFERROR(__xludf.DUMMYFUNCTION("""COMPUTED_VALUE"""),0.0)</f>
        <v>0</v>
      </c>
      <c r="V1077" s="87">
        <f>IFERROR(__xludf.DUMMYFUNCTION("""COMPUTED_VALUE"""),0.0)</f>
        <v>0</v>
      </c>
      <c r="W1077" s="87">
        <f>IFERROR(__xludf.DUMMYFUNCTION("""COMPUTED_VALUE"""),0.0)</f>
        <v>0</v>
      </c>
      <c r="X1077" s="88"/>
      <c r="Y1077" s="74"/>
      <c r="Z1077" s="74"/>
    </row>
    <row r="1078">
      <c r="B1078" s="74" t="str">
        <f>IFERROR(__xludf.DUMMYFUNCTION("""COMPUTED_VALUE"""),"2076")</f>
        <v>2076</v>
      </c>
      <c r="C1078" s="74"/>
      <c r="D1078" s="74" t="str">
        <f>IFERROR(__xludf.DUMMYFUNCTION("""COMPUTED_VALUE"""),"\\MCA-S\mk\2_BM\0_BMat\08_PYM\Inventario\excel\Imagen de refacciones\Schwing\Cleaning Ball DN 175 _ Bola de Limpieza DN 175")</f>
        <v>\\MCA-S\mk\2_BM\0_BMat\08_PYM\Inventario\excel\Imagen de refacciones\Schwing\Cleaning Ball DN 175 _ Bola de Limpieza DN 175</v>
      </c>
      <c r="E1078" s="74"/>
      <c r="F1078" s="74" t="str">
        <f>IFERROR(__xludf.DUMMYFUNCTION("""COMPUTED_VALUE"""),"Cleaning Ball DN 175 / Bola de Limpieza DN 175")</f>
        <v>Cleaning Ball DN 175 / Bola de Limpieza DN 175</v>
      </c>
      <c r="G1078" s="74"/>
      <c r="H1078" s="74"/>
      <c r="I1078" s="74"/>
      <c r="J1078" s="74" t="str">
        <f>IFERROR(__xludf.DUMMYFUNCTION("""COMPUTED_VALUE"""),"10107148")</f>
        <v>10107148</v>
      </c>
      <c r="K1078" s="74" t="str">
        <f>IFERROR(__xludf.DUMMYFUNCTION("""COMPUTED_VALUE"""),"Schwing")</f>
        <v>Schwing</v>
      </c>
      <c r="L1078" s="74" t="str">
        <f>IFERROR(__xludf.DUMMYFUNCTION("""COMPUTED_VALUE"""),"Sistema de Bombeo de Concreto")</f>
        <v>Sistema de Bombeo de Concreto</v>
      </c>
      <c r="M1078" s="74" t="str">
        <f>IFERROR(__xludf.DUMMYFUNCTION("""COMPUTED_VALUE"""),"Sin Asignar")</f>
        <v>Sin Asignar</v>
      </c>
      <c r="N1078" s="87">
        <f>IFERROR(__xludf.DUMMYFUNCTION("""COMPUTED_VALUE"""),0.0)</f>
        <v>0</v>
      </c>
      <c r="O1078" s="74"/>
      <c r="P1078" s="74" t="str">
        <f>IFERROR(__xludf.DUMMYFUNCTION("""COMPUTED_VALUE"""),"No Available")</f>
        <v>No Available</v>
      </c>
      <c r="Q1078" s="74"/>
      <c r="R1078" s="74"/>
      <c r="S1078" s="87">
        <f>IFERROR(__xludf.DUMMYFUNCTION("""COMPUTED_VALUE"""),0.0)</f>
        <v>0</v>
      </c>
      <c r="T1078" s="87">
        <f>IFERROR(__xludf.DUMMYFUNCTION("""COMPUTED_VALUE"""),0.0)</f>
        <v>0</v>
      </c>
      <c r="U1078" s="87">
        <f>IFERROR(__xludf.DUMMYFUNCTION("""COMPUTED_VALUE"""),0.0)</f>
        <v>0</v>
      </c>
      <c r="V1078" s="87">
        <f>IFERROR(__xludf.DUMMYFUNCTION("""COMPUTED_VALUE"""),0.0)</f>
        <v>0</v>
      </c>
      <c r="W1078" s="87">
        <f>IFERROR(__xludf.DUMMYFUNCTION("""COMPUTED_VALUE"""),0.0)</f>
        <v>0</v>
      </c>
      <c r="X1078" s="88"/>
      <c r="Y1078" s="74"/>
      <c r="Z1078" s="74"/>
    </row>
    <row r="1079">
      <c r="B1079" s="74" t="str">
        <f>IFERROR(__xludf.DUMMYFUNCTION("""COMPUTED_VALUE"""),"2077")</f>
        <v>2077</v>
      </c>
      <c r="C1079" s="74" t="str">
        <f>IFERROR(__xludf.DUMMYFUNCTION("""COMPUTED_VALUE"""),"75045880460")</f>
        <v>75045880460</v>
      </c>
      <c r="D1079" s="74" t="str">
        <f>IFERROR(__xludf.DUMMYFUNCTION("""COMPUTED_VALUE"""),"\\MCA-S\mk\2_BM\0_BMat\08_PYM\Inventario\excel\Imagen de refacciones\Schwing\Compuerta para tolva")</f>
        <v>\\MCA-S\mk\2_BM\0_BMat\08_PYM\Inventario\excel\Imagen de refacciones\Schwing\Compuerta para tolva</v>
      </c>
      <c r="E1079" s="74" t="str">
        <f>IFERROR(__xludf.DUMMYFUNCTION("""COMPUTED_VALUE"""),"PUMP TRAP DOOR GATE DISCHARGE / CLOUSURE DN 250")</f>
        <v>PUMP TRAP DOOR GATE DISCHARGE / CLOUSURE DN 250</v>
      </c>
      <c r="F1079" s="74" t="str">
        <f>IFERROR(__xludf.DUMMYFUNCTION("""COMPUTED_VALUE"""),"COMPUERTA PARA TOLVA")</f>
        <v>COMPUERTA PARA TOLVA</v>
      </c>
      <c r="G1079" s="74"/>
      <c r="H1079" s="74" t="str">
        <f>IFERROR(__xludf.DUMMYFUNCTION("""COMPUTED_VALUE"""),"COMPUERTA DE LA TOLVA PARA BOMBA DE HORMIGON")</f>
        <v>COMPUERTA DE LA TOLVA PARA BOMBA DE HORMIGON</v>
      </c>
      <c r="I1079" s="74" t="str">
        <f>IFERROR(__xludf.DUMMYFUNCTION("""COMPUTED_VALUE"""),"10080782")</f>
        <v>10080782</v>
      </c>
      <c r="J1079" s="74"/>
      <c r="K1079" s="74" t="str">
        <f>IFERROR(__xludf.DUMMYFUNCTION("""COMPUTED_VALUE"""),"Schwing")</f>
        <v>Schwing</v>
      </c>
      <c r="L1079" s="74" t="str">
        <f>IFERROR(__xludf.DUMMYFUNCTION("""COMPUTED_VALUE"""),"BARRA V-ROCK")</f>
        <v>BARRA V-ROCK</v>
      </c>
      <c r="M1079" s="74" t="str">
        <f>IFERROR(__xludf.DUMMYFUNCTION("""COMPUTED_VALUE"""),"ACCESORIOS ")</f>
        <v>ACCESORIOS </v>
      </c>
      <c r="N1079" s="87">
        <f>IFERROR(__xludf.DUMMYFUNCTION("""COMPUTED_VALUE"""),3516.4799999999996)</f>
        <v>3516.48</v>
      </c>
      <c r="O1079" s="74">
        <f>IFERROR(__xludf.DUMMYFUNCTION("""COMPUTED_VALUE"""),2.0)</f>
        <v>2</v>
      </c>
      <c r="P1079" s="74" t="str">
        <f>IFERROR(__xludf.DUMMYFUNCTION("""COMPUTED_VALUE"""),"In stock")</f>
        <v>In stock</v>
      </c>
      <c r="Q1079" s="74"/>
      <c r="R1079" s="74"/>
      <c r="S1079" s="87">
        <f>IFERROR(__xludf.DUMMYFUNCTION("""COMPUTED_VALUE"""),47.0)</f>
        <v>47</v>
      </c>
      <c r="T1079" s="87">
        <f>IFERROR(__xludf.DUMMYFUNCTION("""COMPUTED_VALUE"""),198.0)</f>
        <v>198</v>
      </c>
      <c r="U1079" s="87">
        <f>IFERROR(__xludf.DUMMYFUNCTION("""COMPUTED_VALUE"""),190.07999999999998)</f>
        <v>190.08</v>
      </c>
      <c r="V1079" s="87">
        <f>IFERROR(__xludf.DUMMYFUNCTION("""COMPUTED_VALUE"""),57.575)</f>
        <v>57.575</v>
      </c>
      <c r="W1079" s="87">
        <f>IFERROR(__xludf.DUMMYFUNCTION("""COMPUTED_VALUE"""),1079.53125)</f>
        <v>1079.53125</v>
      </c>
      <c r="X1079" s="88">
        <f>IFERROR(__xludf.DUMMYFUNCTION("""COMPUTED_VALUE"""),4.044255319148935)</f>
        <v>4.044255319</v>
      </c>
      <c r="Y1079" s="74"/>
      <c r="Z1079" s="74"/>
    </row>
    <row r="1080">
      <c r="B1080" s="74" t="str">
        <f>IFERROR(__xludf.DUMMYFUNCTION("""COMPUTED_VALUE"""),"2078")</f>
        <v>2078</v>
      </c>
      <c r="C1080" s="74"/>
      <c r="D1080" s="74" t="str">
        <f>IFERROR(__xludf.DUMMYFUNCTION("""COMPUTED_VALUE"""),"\\MCA-S\mk\2_BM\0_BMat\08_PYM\Inventario\excel\Imagen de refacciones\Schwing\Connection Bend DN 180 14 Degrees _ Codo de Conexión DN 180 14 Grados")</f>
        <v>\\MCA-S\mk\2_BM\0_BMat\08_PYM\Inventario\excel\Imagen de refacciones\Schwing\Connection Bend DN 180 14 Degrees _ Codo de Conexión DN 180 14 Grados</v>
      </c>
      <c r="E1080" s="74"/>
      <c r="F1080" s="74" t="str">
        <f>IFERROR(__xludf.DUMMYFUNCTION("""COMPUTED_VALUE"""),"Connection Bend DN 180 14 Degrees / Codo de Conexión DN 180 14 Grados")</f>
        <v>Connection Bend DN 180 14 Degrees / Codo de Conexión DN 180 14 Grados</v>
      </c>
      <c r="G1080" s="74"/>
      <c r="H1080" s="74"/>
      <c r="I1080" s="74" t="str">
        <f>IFERROR(__xludf.DUMMYFUNCTION("""COMPUTED_VALUE"""),"SOM30239")</f>
        <v>SOM30239</v>
      </c>
      <c r="J1080" s="74" t="str">
        <f>IFERROR(__xludf.DUMMYFUNCTION("""COMPUTED_VALUE"""),"10026159")</f>
        <v>10026159</v>
      </c>
      <c r="K1080" s="74" t="str">
        <f>IFERROR(__xludf.DUMMYFUNCTION("""COMPUTED_VALUE"""),"Schwing")</f>
        <v>Schwing</v>
      </c>
      <c r="L1080" s="74" t="str">
        <f>IFERROR(__xludf.DUMMYFUNCTION("""COMPUTED_VALUE"""),"Sistema de Bombeo de Concreto")</f>
        <v>Sistema de Bombeo de Concreto</v>
      </c>
      <c r="M1080" s="74" t="str">
        <f>IFERROR(__xludf.DUMMYFUNCTION("""COMPUTED_VALUE"""),"Sin Asignar")</f>
        <v>Sin Asignar</v>
      </c>
      <c r="N1080" s="87">
        <f>IFERROR(__xludf.DUMMYFUNCTION("""COMPUTED_VALUE"""),0.0)</f>
        <v>0</v>
      </c>
      <c r="O1080" s="74"/>
      <c r="P1080" s="74" t="str">
        <f>IFERROR(__xludf.DUMMYFUNCTION("""COMPUTED_VALUE"""),"No Available")</f>
        <v>No Available</v>
      </c>
      <c r="Q1080" s="74"/>
      <c r="R1080" s="74"/>
      <c r="S1080" s="87">
        <f>IFERROR(__xludf.DUMMYFUNCTION("""COMPUTED_VALUE"""),0.0)</f>
        <v>0</v>
      </c>
      <c r="T1080" s="87">
        <f>IFERROR(__xludf.DUMMYFUNCTION("""COMPUTED_VALUE"""),0.0)</f>
        <v>0</v>
      </c>
      <c r="U1080" s="87">
        <f>IFERROR(__xludf.DUMMYFUNCTION("""COMPUTED_VALUE"""),0.0)</f>
        <v>0</v>
      </c>
      <c r="V1080" s="87">
        <f>IFERROR(__xludf.DUMMYFUNCTION("""COMPUTED_VALUE"""),0.0)</f>
        <v>0</v>
      </c>
      <c r="W1080" s="87">
        <f>IFERROR(__xludf.DUMMYFUNCTION("""COMPUTED_VALUE"""),0.0)</f>
        <v>0</v>
      </c>
      <c r="X1080" s="88"/>
      <c r="Y1080" s="74"/>
      <c r="Z1080" s="74"/>
    </row>
    <row r="1081">
      <c r="B1081" s="74" t="str">
        <f>IFERROR(__xludf.DUMMYFUNCTION("""COMPUTED_VALUE"""),"2079")</f>
        <v>2079</v>
      </c>
      <c r="C1081" s="74"/>
      <c r="D1081" s="74" t="str">
        <f>IFERROR(__xludf.DUMMYFUNCTION("""COMPUTED_VALUE"""),"\\MCA-S\mk\2_BM\0_BMat\08_PYM\Inventario\excel\Imagen de refacciones\Schwing\Connection Piece _ Pieza de Conexión")</f>
        <v>\\MCA-S\mk\2_BM\0_BMat\08_PYM\Inventario\excel\Imagen de refacciones\Schwing\Connection Piece _ Pieza de Conexión</v>
      </c>
      <c r="E1081" s="74"/>
      <c r="F1081" s="74" t="str">
        <f>IFERROR(__xludf.DUMMYFUNCTION("""COMPUTED_VALUE"""),"Connection Piece / Pieza de Conexión")</f>
        <v>Connection Piece / Pieza de Conexión</v>
      </c>
      <c r="G1081" s="74"/>
      <c r="H1081" s="74"/>
      <c r="I1081" s="74" t="str">
        <f>IFERROR(__xludf.DUMMYFUNCTION("""COMPUTED_VALUE"""),"SOM30096")</f>
        <v>SOM30096</v>
      </c>
      <c r="J1081" s="74" t="str">
        <f>IFERROR(__xludf.DUMMYFUNCTION("""COMPUTED_VALUE"""),"10159356")</f>
        <v>10159356</v>
      </c>
      <c r="K1081" s="74" t="str">
        <f>IFERROR(__xludf.DUMMYFUNCTION("""COMPUTED_VALUE"""),"Schwing")</f>
        <v>Schwing</v>
      </c>
      <c r="L1081" s="74" t="str">
        <f>IFERROR(__xludf.DUMMYFUNCTION("""COMPUTED_VALUE"""),"Transmisión Mecánica")</f>
        <v>Transmisión Mecánica</v>
      </c>
      <c r="M1081" s="74" t="str">
        <f>IFERROR(__xludf.DUMMYFUNCTION("""COMPUTED_VALUE"""),"Sin Asignar")</f>
        <v>Sin Asignar</v>
      </c>
      <c r="N1081" s="87">
        <f>IFERROR(__xludf.DUMMYFUNCTION("""COMPUTED_VALUE"""),0.0)</f>
        <v>0</v>
      </c>
      <c r="O1081" s="74"/>
      <c r="P1081" s="74" t="str">
        <f>IFERROR(__xludf.DUMMYFUNCTION("""COMPUTED_VALUE"""),"No Available")</f>
        <v>No Available</v>
      </c>
      <c r="Q1081" s="74"/>
      <c r="R1081" s="74"/>
      <c r="S1081" s="87">
        <f>IFERROR(__xludf.DUMMYFUNCTION("""COMPUTED_VALUE"""),0.0)</f>
        <v>0</v>
      </c>
      <c r="T1081" s="87">
        <f>IFERROR(__xludf.DUMMYFUNCTION("""COMPUTED_VALUE"""),0.0)</f>
        <v>0</v>
      </c>
      <c r="U1081" s="87">
        <f>IFERROR(__xludf.DUMMYFUNCTION("""COMPUTED_VALUE"""),0.0)</f>
        <v>0</v>
      </c>
      <c r="V1081" s="87">
        <f>IFERROR(__xludf.DUMMYFUNCTION("""COMPUTED_VALUE"""),0.0)</f>
        <v>0</v>
      </c>
      <c r="W1081" s="87">
        <f>IFERROR(__xludf.DUMMYFUNCTION("""COMPUTED_VALUE"""),0.0)</f>
        <v>0</v>
      </c>
      <c r="X1081" s="88"/>
      <c r="Y1081" s="74"/>
      <c r="Z1081" s="74"/>
    </row>
    <row r="1082">
      <c r="B1082" s="74" t="str">
        <f>IFERROR(__xludf.DUMMYFUNCTION("""COMPUTED_VALUE"""),"2080")</f>
        <v>2080</v>
      </c>
      <c r="C1082" s="74"/>
      <c r="D1082" s="74" t="str">
        <f>IFERROR(__xludf.DUMMYFUNCTION("""COMPUTED_VALUE"""),"\\MCA-S\mk\2_BM\0_BMat\08_PYM\Inventario\excel\Imagen de refacciones\Schwing\Connection Piece _ Pieza de Conexión (1)")</f>
        <v>\\MCA-S\mk\2_BM\0_BMat\08_PYM\Inventario\excel\Imagen de refacciones\Schwing\Connection Piece _ Pieza de Conexión (1)</v>
      </c>
      <c r="E1082" s="74"/>
      <c r="F1082" s="74" t="str">
        <f>IFERROR(__xludf.DUMMYFUNCTION("""COMPUTED_VALUE"""),"Connection Piece / Pieza de Conexión")</f>
        <v>Connection Piece / Pieza de Conexión</v>
      </c>
      <c r="G1082" s="74"/>
      <c r="H1082" s="74"/>
      <c r="I1082" s="74" t="str">
        <f>IFERROR(__xludf.DUMMYFUNCTION("""COMPUTED_VALUE"""),"SOM30097")</f>
        <v>SOM30097</v>
      </c>
      <c r="J1082" s="74" t="str">
        <f>IFERROR(__xludf.DUMMYFUNCTION("""COMPUTED_VALUE"""),"10187193")</f>
        <v>10187193</v>
      </c>
      <c r="K1082" s="74" t="str">
        <f>IFERROR(__xludf.DUMMYFUNCTION("""COMPUTED_VALUE"""),"Schwing")</f>
        <v>Schwing</v>
      </c>
      <c r="L1082" s="74" t="str">
        <f>IFERROR(__xludf.DUMMYFUNCTION("""COMPUTED_VALUE"""),"Transmisión Mecánica")</f>
        <v>Transmisión Mecánica</v>
      </c>
      <c r="M1082" s="74" t="str">
        <f>IFERROR(__xludf.DUMMYFUNCTION("""COMPUTED_VALUE"""),"Sin Asignar")</f>
        <v>Sin Asignar</v>
      </c>
      <c r="N1082" s="87">
        <f>IFERROR(__xludf.DUMMYFUNCTION("""COMPUTED_VALUE"""),0.0)</f>
        <v>0</v>
      </c>
      <c r="O1082" s="74"/>
      <c r="P1082" s="74" t="str">
        <f>IFERROR(__xludf.DUMMYFUNCTION("""COMPUTED_VALUE"""),"No Available")</f>
        <v>No Available</v>
      </c>
      <c r="Q1082" s="74"/>
      <c r="R1082" s="74"/>
      <c r="S1082" s="87">
        <f>IFERROR(__xludf.DUMMYFUNCTION("""COMPUTED_VALUE"""),0.0)</f>
        <v>0</v>
      </c>
      <c r="T1082" s="87">
        <f>IFERROR(__xludf.DUMMYFUNCTION("""COMPUTED_VALUE"""),0.0)</f>
        <v>0</v>
      </c>
      <c r="U1082" s="87">
        <f>IFERROR(__xludf.DUMMYFUNCTION("""COMPUTED_VALUE"""),0.0)</f>
        <v>0</v>
      </c>
      <c r="V1082" s="87">
        <f>IFERROR(__xludf.DUMMYFUNCTION("""COMPUTED_VALUE"""),0.0)</f>
        <v>0</v>
      </c>
      <c r="W1082" s="87">
        <f>IFERROR(__xludf.DUMMYFUNCTION("""COMPUTED_VALUE"""),0.0)</f>
        <v>0</v>
      </c>
      <c r="X1082" s="88"/>
      <c r="Y1082" s="74"/>
      <c r="Z1082" s="74"/>
    </row>
    <row r="1083">
      <c r="B1083" s="74" t="str">
        <f>IFERROR(__xludf.DUMMYFUNCTION("""COMPUTED_VALUE"""),"2081")</f>
        <v>2081</v>
      </c>
      <c r="C1083" s="74" t="str">
        <f>IFERROR(__xludf.DUMMYFUNCTION("""COMPUTED_VALUE"""),"75045880272")</f>
        <v>75045880272</v>
      </c>
      <c r="D1083" s="74" t="str">
        <f>IFERROR(__xludf.DUMMYFUNCTION("""COMPUTED_VALUE"""),"\\MCA-S\mk\2_BM\0_BMat\08_PYM\Inventario\excel\Imagen de refacciones\Schwing\Cono hermético 40mm")</f>
        <v>\\MCA-S\mk\2_BM\0_BMat\08_PYM\Inventario\excel\Imagen de refacciones\Schwing\Cono hermético 40mm</v>
      </c>
      <c r="E1083" s="74" t="str">
        <f>IFERROR(__xludf.DUMMYFUNCTION("""COMPUTED_VALUE"""),"SEAL-CONE 40MM")</f>
        <v>SEAL-CONE 40MM</v>
      </c>
      <c r="F1083" s="74" t="str">
        <f>IFERROR(__xludf.DUMMYFUNCTION("""COMPUTED_VALUE"""),"CONO HERMETICO 40MM")</f>
        <v>CONO HERMETICO 40MM</v>
      </c>
      <c r="G1083" s="74"/>
      <c r="H1083" s="74"/>
      <c r="I1083" s="74" t="str">
        <f>IFERROR(__xludf.DUMMYFUNCTION("""COMPUTED_VALUE"""),"10061040")</f>
        <v>10061040</v>
      </c>
      <c r="J1083" s="74"/>
      <c r="K1083" s="74" t="str">
        <f>IFERROR(__xludf.DUMMYFUNCTION("""COMPUTED_VALUE"""),"Schwing")</f>
        <v>Schwing</v>
      </c>
      <c r="L1083" s="74" t="str">
        <f>IFERROR(__xludf.DUMMYFUNCTION("""COMPUTED_VALUE"""),"AGITADOR V-ROCK")</f>
        <v>AGITADOR V-ROCK</v>
      </c>
      <c r="M1083" s="74" t="str">
        <f>IFERROR(__xludf.DUMMYFUNCTION("""COMPUTED_VALUE"""),"EMPAQUES")</f>
        <v>EMPAQUES</v>
      </c>
      <c r="N1083" s="87">
        <f>IFERROR(__xludf.DUMMYFUNCTION("""COMPUTED_VALUE"""),124.32)</f>
        <v>124.32</v>
      </c>
      <c r="O1083" s="74">
        <f>IFERROR(__xludf.DUMMYFUNCTION("""COMPUTED_VALUE"""),16.0)</f>
        <v>16</v>
      </c>
      <c r="P1083" s="74" t="str">
        <f>IFERROR(__xludf.DUMMYFUNCTION("""COMPUTED_VALUE"""),"In stock")</f>
        <v>In stock</v>
      </c>
      <c r="Q1083" s="74"/>
      <c r="R1083" s="74"/>
      <c r="S1083" s="87">
        <f>IFERROR(__xludf.DUMMYFUNCTION("""COMPUTED_VALUE"""),2.0)</f>
        <v>2</v>
      </c>
      <c r="T1083" s="87">
        <f>IFERROR(__xludf.DUMMYFUNCTION("""COMPUTED_VALUE"""),7.0)</f>
        <v>7</v>
      </c>
      <c r="U1083" s="87">
        <f>IFERROR(__xludf.DUMMYFUNCTION("""COMPUTED_VALUE"""),6.72)</f>
        <v>6.72</v>
      </c>
      <c r="V1083" s="87">
        <f>IFERROR(__xludf.DUMMYFUNCTION("""COMPUTED_VALUE"""),2.45)</f>
        <v>2.45</v>
      </c>
      <c r="W1083" s="87">
        <f>IFERROR(__xludf.DUMMYFUNCTION("""COMPUTED_VALUE"""),45.9375)</f>
        <v>45.9375</v>
      </c>
      <c r="X1083" s="88">
        <f>IFERROR(__xludf.DUMMYFUNCTION("""COMPUTED_VALUE"""),3.36)</f>
        <v>3.36</v>
      </c>
      <c r="Y1083" s="74"/>
      <c r="Z1083" s="74"/>
    </row>
    <row r="1084">
      <c r="B1084" s="74" t="str">
        <f>IFERROR(__xludf.DUMMYFUNCTION("""COMPUTED_VALUE"""),"2082")</f>
        <v>2082</v>
      </c>
      <c r="C1084" s="74" t="str">
        <f>IFERROR(__xludf.DUMMYFUNCTION("""COMPUTED_VALUE"""),"75045880273")</f>
        <v>75045880273</v>
      </c>
      <c r="D1084" s="74" t="str">
        <f>IFERROR(__xludf.DUMMYFUNCTION("""COMPUTED_VALUE"""),"\\MCA-S\mk\2_BM\0_BMat\08_PYM\Inventario\excel\Imagen de refacciones\Schwing\Cono hermético 50mm")</f>
        <v>\\MCA-S\mk\2_BM\0_BMat\08_PYM\Inventario\excel\Imagen de refacciones\Schwing\Cono hermético 50mm</v>
      </c>
      <c r="E1084" s="74" t="str">
        <f>IFERROR(__xludf.DUMMYFUNCTION("""COMPUTED_VALUE"""),"SEAL-CONE 50MM")</f>
        <v>SEAL-CONE 50MM</v>
      </c>
      <c r="F1084" s="74" t="str">
        <f>IFERROR(__xludf.DUMMYFUNCTION("""COMPUTED_VALUE"""),"CONO HERMETICO 50MM")</f>
        <v>CONO HERMETICO 50MM</v>
      </c>
      <c r="G1084" s="74"/>
      <c r="H1084" s="74"/>
      <c r="I1084" s="74" t="str">
        <f>IFERROR(__xludf.DUMMYFUNCTION("""COMPUTED_VALUE"""),"10061050")</f>
        <v>10061050</v>
      </c>
      <c r="J1084" s="74"/>
      <c r="K1084" s="74" t="str">
        <f>IFERROR(__xludf.DUMMYFUNCTION("""COMPUTED_VALUE"""),"Schwing")</f>
        <v>Schwing</v>
      </c>
      <c r="L1084" s="74" t="str">
        <f>IFERROR(__xludf.DUMMYFUNCTION("""COMPUTED_VALUE"""),"AGITADOR V-ROCK")</f>
        <v>AGITADOR V-ROCK</v>
      </c>
      <c r="M1084" s="74" t="str">
        <f>IFERROR(__xludf.DUMMYFUNCTION("""COMPUTED_VALUE"""),"EMPAQUES")</f>
        <v>EMPAQUES</v>
      </c>
      <c r="N1084" s="87">
        <f>IFERROR(__xludf.DUMMYFUNCTION("""COMPUTED_VALUE"""),142.07999999999998)</f>
        <v>142.08</v>
      </c>
      <c r="O1084" s="74">
        <f>IFERROR(__xludf.DUMMYFUNCTION("""COMPUTED_VALUE"""),16.0)</f>
        <v>16</v>
      </c>
      <c r="P1084" s="74" t="str">
        <f>IFERROR(__xludf.DUMMYFUNCTION("""COMPUTED_VALUE"""),"In stock")</f>
        <v>In stock</v>
      </c>
      <c r="Q1084" s="74"/>
      <c r="R1084" s="74"/>
      <c r="S1084" s="87">
        <f>IFERROR(__xludf.DUMMYFUNCTION("""COMPUTED_VALUE"""),2.0)</f>
        <v>2</v>
      </c>
      <c r="T1084" s="87">
        <f>IFERROR(__xludf.DUMMYFUNCTION("""COMPUTED_VALUE"""),8.0)</f>
        <v>8</v>
      </c>
      <c r="U1084" s="87">
        <f>IFERROR(__xludf.DUMMYFUNCTION("""COMPUTED_VALUE"""),7.68)</f>
        <v>7.68</v>
      </c>
      <c r="V1084" s="87">
        <f>IFERROR(__xludf.DUMMYFUNCTION("""COMPUTED_VALUE"""),2.45)</f>
        <v>2.45</v>
      </c>
      <c r="W1084" s="87">
        <f>IFERROR(__xludf.DUMMYFUNCTION("""COMPUTED_VALUE"""),45.9375)</f>
        <v>45.9375</v>
      </c>
      <c r="X1084" s="88">
        <f>IFERROR(__xludf.DUMMYFUNCTION("""COMPUTED_VALUE"""),3.84)</f>
        <v>3.84</v>
      </c>
      <c r="Y1084" s="74"/>
      <c r="Z1084" s="74"/>
    </row>
    <row r="1085">
      <c r="B1085" s="74" t="str">
        <f>IFERROR(__xludf.DUMMYFUNCTION("""COMPUTED_VALUE"""),"2083")</f>
        <v>2083</v>
      </c>
      <c r="C1085" s="74" t="str">
        <f>IFERROR(__xludf.DUMMYFUNCTION("""COMPUTED_VALUE"""),"75045880274")</f>
        <v>75045880274</v>
      </c>
      <c r="D1085" s="74" t="str">
        <f>IFERROR(__xludf.DUMMYFUNCTION("""COMPUTED_VALUE"""),"\\MCA-S\mk\2_BM\0_BMat\08_PYM\Inventario\excel\Imagen de refacciones\Schwing\Cono hermético 60mm")</f>
        <v>\\MCA-S\mk\2_BM\0_BMat\08_PYM\Inventario\excel\Imagen de refacciones\Schwing\Cono hermético 60mm</v>
      </c>
      <c r="E1085" s="74" t="str">
        <f>IFERROR(__xludf.DUMMYFUNCTION("""COMPUTED_VALUE"""),"SEAL-CONE 60MM")</f>
        <v>SEAL-CONE 60MM</v>
      </c>
      <c r="F1085" s="74" t="str">
        <f>IFERROR(__xludf.DUMMYFUNCTION("""COMPUTED_VALUE"""),"CONO HERMETICO 60MM ")</f>
        <v>CONO HERMETICO 60MM </v>
      </c>
      <c r="G1085" s="74"/>
      <c r="H1085" s="74"/>
      <c r="I1085" s="74" t="str">
        <f>IFERROR(__xludf.DUMMYFUNCTION("""COMPUTED_VALUE"""),"10061076")</f>
        <v>10061076</v>
      </c>
      <c r="J1085" s="74"/>
      <c r="K1085" s="74" t="str">
        <f>IFERROR(__xludf.DUMMYFUNCTION("""COMPUTED_VALUE"""),"Schwing")</f>
        <v>Schwing</v>
      </c>
      <c r="L1085" s="74" t="str">
        <f>IFERROR(__xludf.DUMMYFUNCTION("""COMPUTED_VALUE"""),"AGITADOR V-ROCK")</f>
        <v>AGITADOR V-ROCK</v>
      </c>
      <c r="M1085" s="74" t="str">
        <f>IFERROR(__xludf.DUMMYFUNCTION("""COMPUTED_VALUE"""),"EMPAQUES")</f>
        <v>EMPAQUES</v>
      </c>
      <c r="N1085" s="87">
        <f>IFERROR(__xludf.DUMMYFUNCTION("""COMPUTED_VALUE"""),159.84)</f>
        <v>159.84</v>
      </c>
      <c r="O1085" s="74">
        <f>IFERROR(__xludf.DUMMYFUNCTION("""COMPUTED_VALUE"""),16.0)</f>
        <v>16</v>
      </c>
      <c r="P1085" s="74" t="str">
        <f>IFERROR(__xludf.DUMMYFUNCTION("""COMPUTED_VALUE"""),"In stock")</f>
        <v>In stock</v>
      </c>
      <c r="Q1085" s="74"/>
      <c r="R1085" s="74"/>
      <c r="S1085" s="87">
        <f>IFERROR(__xludf.DUMMYFUNCTION("""COMPUTED_VALUE"""),2.0)</f>
        <v>2</v>
      </c>
      <c r="T1085" s="87">
        <f>IFERROR(__xludf.DUMMYFUNCTION("""COMPUTED_VALUE"""),9.0)</f>
        <v>9</v>
      </c>
      <c r="U1085" s="87">
        <f>IFERROR(__xludf.DUMMYFUNCTION("""COMPUTED_VALUE"""),8.64)</f>
        <v>8.64</v>
      </c>
      <c r="V1085" s="87">
        <f>IFERROR(__xludf.DUMMYFUNCTION("""COMPUTED_VALUE"""),2.45)</f>
        <v>2.45</v>
      </c>
      <c r="W1085" s="87">
        <f>IFERROR(__xludf.DUMMYFUNCTION("""COMPUTED_VALUE"""),45.9375)</f>
        <v>45.9375</v>
      </c>
      <c r="X1085" s="88">
        <f>IFERROR(__xludf.DUMMYFUNCTION("""COMPUTED_VALUE"""),4.32)</f>
        <v>4.32</v>
      </c>
      <c r="Y1085" s="74"/>
      <c r="Z1085" s="74"/>
    </row>
    <row r="1086">
      <c r="B1086" s="74" t="str">
        <f>IFERROR(__xludf.DUMMYFUNCTION("""COMPUTED_VALUE"""),"2084")</f>
        <v>2084</v>
      </c>
      <c r="C1086" s="74" t="str">
        <f>IFERROR(__xludf.DUMMYFUNCTION("""COMPUTED_VALUE"""),"75045880390")</f>
        <v>75045880390</v>
      </c>
      <c r="D1086" s="74" t="str">
        <f>IFERROR(__xludf.DUMMYFUNCTION("""COMPUTED_VALUE"""),"\\MCA-S\mk\2_BM\0_BMat\08_PYM\Inventario\excel\Imagen de refacciones\Schwing\cople para bomba hidráulica a2f013")</f>
        <v>\\MCA-S\mk\2_BM\0_BMat\08_PYM\Inventario\excel\Imagen de refacciones\Schwing\cople para bomba hidráulica a2f013</v>
      </c>
      <c r="E1086" s="74"/>
      <c r="F1086" s="74" t="str">
        <f>IFERROR(__xludf.DUMMYFUNCTION("""COMPUTED_VALUE"""),"cople para bomba hidráulica a2f013")</f>
        <v>cople para bomba hidráulica a2f013</v>
      </c>
      <c r="G1086" s="74"/>
      <c r="H1086" s="74"/>
      <c r="I1086" s="74" t="str">
        <f>IFERROR(__xludf.DUMMYFUNCTION("""COMPUTED_VALUE"""),"1033393")</f>
        <v>1033393</v>
      </c>
      <c r="J1086" s="74"/>
      <c r="K1086" s="74" t="str">
        <f>IFERROR(__xludf.DUMMYFUNCTION("""COMPUTED_VALUE"""),"Schwing")</f>
        <v>Schwing</v>
      </c>
      <c r="L1086" s="74"/>
      <c r="M1086" s="74" t="str">
        <f>IFERROR(__xludf.DUMMYFUNCTION("""COMPUTED_VALUE"""),"Sin Asignar")</f>
        <v>Sin Asignar</v>
      </c>
      <c r="N1086" s="87">
        <f>IFERROR(__xludf.DUMMYFUNCTION("""COMPUTED_VALUE"""),0.0)</f>
        <v>0</v>
      </c>
      <c r="O1086" s="74"/>
      <c r="P1086" s="74" t="str">
        <f>IFERROR(__xludf.DUMMYFUNCTION("""COMPUTED_VALUE"""),"No Available")</f>
        <v>No Available</v>
      </c>
      <c r="Q1086" s="74"/>
      <c r="R1086" s="74"/>
      <c r="S1086" s="87">
        <f>IFERROR(__xludf.DUMMYFUNCTION("""COMPUTED_VALUE"""),0.0)</f>
        <v>0</v>
      </c>
      <c r="T1086" s="87">
        <f>IFERROR(__xludf.DUMMYFUNCTION("""COMPUTED_VALUE"""),0.0)</f>
        <v>0</v>
      </c>
      <c r="U1086" s="87">
        <f>IFERROR(__xludf.DUMMYFUNCTION("""COMPUTED_VALUE"""),0.0)</f>
        <v>0</v>
      </c>
      <c r="V1086" s="87">
        <f>IFERROR(__xludf.DUMMYFUNCTION("""COMPUTED_VALUE"""),0.0)</f>
        <v>0</v>
      </c>
      <c r="W1086" s="87">
        <f>IFERROR(__xludf.DUMMYFUNCTION("""COMPUTED_VALUE"""),0.0)</f>
        <v>0</v>
      </c>
      <c r="X1086" s="88"/>
      <c r="Y1086" s="74"/>
      <c r="Z1086" s="74"/>
    </row>
    <row r="1087">
      <c r="B1087" s="74" t="str">
        <f>IFERROR(__xludf.DUMMYFUNCTION("""COMPUTED_VALUE"""),"2085")</f>
        <v>2085</v>
      </c>
      <c r="C1087" s="74" t="str">
        <f>IFERROR(__xludf.DUMMYFUNCTION("""COMPUTED_VALUE"""),"75045880391")</f>
        <v>75045880391</v>
      </c>
      <c r="D1087" s="74" t="str">
        <f>IFERROR(__xludf.DUMMYFUNCTION("""COMPUTED_VALUE"""),"\\MCA-S\mk\2_BM\0_BMat\08_PYM\Inventario\excel\Imagen de refacciones\Schwing\cople para bomba hidráulica a7vo81")</f>
        <v>\\MCA-S\mk\2_BM\0_BMat\08_PYM\Inventario\excel\Imagen de refacciones\Schwing\cople para bomba hidráulica a7vo81</v>
      </c>
      <c r="E1087" s="74" t="str">
        <f>IFERROR(__xludf.DUMMYFUNCTION("""COMPUTED_VALUE"""),"COUPLING 31.5x50x50 PUMP A7VO80 ")</f>
        <v>COUPLING 31.5x50x50 PUMP A7VO80 </v>
      </c>
      <c r="F1087" s="74" t="str">
        <f>IFERROR(__xludf.DUMMYFUNCTION("""COMPUTED_VALUE"""),"COPLE PARA BOMBA HIDRAULICA A7VO80 31.5x50x50")</f>
        <v>COPLE PARA BOMBA HIDRAULICA A7VO80 31.5x50x50</v>
      </c>
      <c r="G1087" s="74"/>
      <c r="H1087" s="74" t="str">
        <f>IFERROR(__xludf.DUMMYFUNCTION("""COMPUTED_VALUE"""),"COPLE PARA BOMBA HIDRÁULICA A7VO80 PARA BOMBA DE HORMIGON")</f>
        <v>COPLE PARA BOMBA HIDRÁULICA A7VO80 PARA BOMBA DE HORMIGON</v>
      </c>
      <c r="I1087" s="74" t="str">
        <f>IFERROR(__xludf.DUMMYFUNCTION("""COMPUTED_VALUE"""),"10035156")</f>
        <v>10035156</v>
      </c>
      <c r="J1087" s="74"/>
      <c r="K1087" s="74" t="str">
        <f>IFERROR(__xludf.DUMMYFUNCTION("""COMPUTED_VALUE"""),"Schwing")</f>
        <v>Schwing</v>
      </c>
      <c r="L1087" s="74" t="str">
        <f>IFERROR(__xludf.DUMMYFUNCTION("""COMPUTED_VALUE"""),"HIDRAULICO")</f>
        <v>HIDRAULICO</v>
      </c>
      <c r="M1087" s="74" t="str">
        <f>IFERROR(__xludf.DUMMYFUNCTION("""COMPUTED_VALUE"""),"ACCESORIOS ")</f>
        <v>ACCESORIOS </v>
      </c>
      <c r="N1087" s="87">
        <f>IFERROR(__xludf.DUMMYFUNCTION("""COMPUTED_VALUE"""),1669.4399999999998)</f>
        <v>1669.44</v>
      </c>
      <c r="O1087" s="74">
        <f>IFERROR(__xludf.DUMMYFUNCTION("""COMPUTED_VALUE"""),5.0)</f>
        <v>5</v>
      </c>
      <c r="P1087" s="74" t="str">
        <f>IFERROR(__xludf.DUMMYFUNCTION("""COMPUTED_VALUE"""),"In stock")</f>
        <v>In stock</v>
      </c>
      <c r="Q1087" s="74"/>
      <c r="R1087" s="74"/>
      <c r="S1087" s="87">
        <f>IFERROR(__xludf.DUMMYFUNCTION("""COMPUTED_VALUE"""),18.0)</f>
        <v>18</v>
      </c>
      <c r="T1087" s="87">
        <f>IFERROR(__xludf.DUMMYFUNCTION("""COMPUTED_VALUE"""),94.0)</f>
        <v>94</v>
      </c>
      <c r="U1087" s="87">
        <f>IFERROR(__xludf.DUMMYFUNCTION("""COMPUTED_VALUE"""),90.24)</f>
        <v>90.24</v>
      </c>
      <c r="V1087" s="87">
        <f>IFERROR(__xludf.DUMMYFUNCTION("""COMPUTED_VALUE"""),22.05)</f>
        <v>22.05</v>
      </c>
      <c r="W1087" s="87">
        <f>IFERROR(__xludf.DUMMYFUNCTION("""COMPUTED_VALUE"""),413.4375)</f>
        <v>413.4375</v>
      </c>
      <c r="X1087" s="88">
        <f>IFERROR(__xludf.DUMMYFUNCTION("""COMPUTED_VALUE"""),5.013333333333333)</f>
        <v>5.013333333</v>
      </c>
      <c r="Y1087" s="74"/>
      <c r="Z1087" s="74"/>
    </row>
    <row r="1088">
      <c r="B1088" s="74" t="str">
        <f>IFERROR(__xludf.DUMMYFUNCTION("""COMPUTED_VALUE"""),"2086")</f>
        <v>2086</v>
      </c>
      <c r="C1088" s="74"/>
      <c r="D1088" s="74" t="str">
        <f>IFERROR(__xludf.DUMMYFUNCTION("""COMPUTED_VALUE"""),"\\MCA-S\mk\2_BM\0_BMat\08_PYM\Inventario\excel\Imagen de refacciones\Schwing\Coupling _ Acoplamiento")</f>
        <v>\\MCA-S\mk\2_BM\0_BMat\08_PYM\Inventario\excel\Imagen de refacciones\Schwing\Coupling _ Acoplamiento</v>
      </c>
      <c r="E1088" s="74"/>
      <c r="F1088" s="74" t="str">
        <f>IFERROR(__xludf.DUMMYFUNCTION("""COMPUTED_VALUE"""),"Coupling / Acoplamiento")</f>
        <v>Coupling / Acoplamiento</v>
      </c>
      <c r="G1088" s="74"/>
      <c r="H1088" s="74"/>
      <c r="I1088" s="74" t="str">
        <f>IFERROR(__xludf.DUMMYFUNCTION("""COMPUTED_VALUE"""),"SOM30197")</f>
        <v>SOM30197</v>
      </c>
      <c r="J1088" s="74" t="str">
        <f>IFERROR(__xludf.DUMMYFUNCTION("""COMPUTED_VALUE"""),"10004025")</f>
        <v>10004025</v>
      </c>
      <c r="K1088" s="74" t="str">
        <f>IFERROR(__xludf.DUMMYFUNCTION("""COMPUTED_VALUE"""),"Schwing")</f>
        <v>Schwing</v>
      </c>
      <c r="L1088" s="74" t="str">
        <f>IFERROR(__xludf.DUMMYFUNCTION("""COMPUTED_VALUE"""),"Componentes Estructurales y de Montaje")</f>
        <v>Componentes Estructurales y de Montaje</v>
      </c>
      <c r="M1088" s="74" t="str">
        <f>IFERROR(__xludf.DUMMYFUNCTION("""COMPUTED_VALUE"""),"Sin Asignar")</f>
        <v>Sin Asignar</v>
      </c>
      <c r="N1088" s="87">
        <f>IFERROR(__xludf.DUMMYFUNCTION("""COMPUTED_VALUE"""),0.0)</f>
        <v>0</v>
      </c>
      <c r="O1088" s="74"/>
      <c r="P1088" s="74" t="str">
        <f>IFERROR(__xludf.DUMMYFUNCTION("""COMPUTED_VALUE"""),"No Available")</f>
        <v>No Available</v>
      </c>
      <c r="Q1088" s="74"/>
      <c r="R1088" s="74"/>
      <c r="S1088" s="87">
        <f>IFERROR(__xludf.DUMMYFUNCTION("""COMPUTED_VALUE"""),0.0)</f>
        <v>0</v>
      </c>
      <c r="T1088" s="87">
        <f>IFERROR(__xludf.DUMMYFUNCTION("""COMPUTED_VALUE"""),0.0)</f>
        <v>0</v>
      </c>
      <c r="U1088" s="87">
        <f>IFERROR(__xludf.DUMMYFUNCTION("""COMPUTED_VALUE"""),0.0)</f>
        <v>0</v>
      </c>
      <c r="V1088" s="87">
        <f>IFERROR(__xludf.DUMMYFUNCTION("""COMPUTED_VALUE"""),0.0)</f>
        <v>0</v>
      </c>
      <c r="W1088" s="87">
        <f>IFERROR(__xludf.DUMMYFUNCTION("""COMPUTED_VALUE"""),0.0)</f>
        <v>0</v>
      </c>
      <c r="X1088" s="88"/>
      <c r="Y1088" s="74"/>
      <c r="Z1088" s="74"/>
    </row>
    <row r="1089">
      <c r="B1089" s="74" t="str">
        <f>IFERROR(__xludf.DUMMYFUNCTION("""COMPUTED_VALUE"""),"2087")</f>
        <v>2087</v>
      </c>
      <c r="C1089" s="74"/>
      <c r="D1089" s="74" t="str">
        <f>IFERROR(__xludf.DUMMYFUNCTION("""COMPUTED_VALUE"""),"\\MCA-S\mk\2_BM\0_BMat\08_PYM\Inventario\excel\Imagen de refacciones\Schwing\Coupling 17.5X50X48 _ Acoplamiento 17.5X50X48")</f>
        <v>\\MCA-S\mk\2_BM\0_BMat\08_PYM\Inventario\excel\Imagen de refacciones\Schwing\Coupling 17.5X50X48 _ Acoplamiento 17.5X50X48</v>
      </c>
      <c r="E1089" s="74"/>
      <c r="F1089" s="74" t="str">
        <f>IFERROR(__xludf.DUMMYFUNCTION("""COMPUTED_VALUE"""),"Coupling 17.5X50X48 / Acoplamiento 17.5X50X48")</f>
        <v>Coupling 17.5X50X48 / Acoplamiento 17.5X50X48</v>
      </c>
      <c r="G1089" s="74"/>
      <c r="H1089" s="74"/>
      <c r="I1089" s="74" t="str">
        <f>IFERROR(__xludf.DUMMYFUNCTION("""COMPUTED_VALUE"""),"SOM30225")</f>
        <v>SOM30225</v>
      </c>
      <c r="J1089" s="74" t="str">
        <f>IFERROR(__xludf.DUMMYFUNCTION("""COMPUTED_VALUE"""),"10033393")</f>
        <v>10033393</v>
      </c>
      <c r="K1089" s="74" t="str">
        <f>IFERROR(__xludf.DUMMYFUNCTION("""COMPUTED_VALUE"""),"Schwing")</f>
        <v>Schwing</v>
      </c>
      <c r="L1089" s="74" t="str">
        <f>IFERROR(__xludf.DUMMYFUNCTION("""COMPUTED_VALUE"""),"Componentes Estructurales y de Montaje")</f>
        <v>Componentes Estructurales y de Montaje</v>
      </c>
      <c r="M1089" s="74" t="str">
        <f>IFERROR(__xludf.DUMMYFUNCTION("""COMPUTED_VALUE"""),"Sin Asignar")</f>
        <v>Sin Asignar</v>
      </c>
      <c r="N1089" s="87">
        <f>IFERROR(__xludf.DUMMYFUNCTION("""COMPUTED_VALUE"""),0.0)</f>
        <v>0</v>
      </c>
      <c r="O1089" s="74"/>
      <c r="P1089" s="74" t="str">
        <f>IFERROR(__xludf.DUMMYFUNCTION("""COMPUTED_VALUE"""),"No Available")</f>
        <v>No Available</v>
      </c>
      <c r="Q1089" s="74"/>
      <c r="R1089" s="74"/>
      <c r="S1089" s="87">
        <f>IFERROR(__xludf.DUMMYFUNCTION("""COMPUTED_VALUE"""),0.0)</f>
        <v>0</v>
      </c>
      <c r="T1089" s="87">
        <f>IFERROR(__xludf.DUMMYFUNCTION("""COMPUTED_VALUE"""),0.0)</f>
        <v>0</v>
      </c>
      <c r="U1089" s="87">
        <f>IFERROR(__xludf.DUMMYFUNCTION("""COMPUTED_VALUE"""),0.0)</f>
        <v>0</v>
      </c>
      <c r="V1089" s="87">
        <f>IFERROR(__xludf.DUMMYFUNCTION("""COMPUTED_VALUE"""),0.0)</f>
        <v>0</v>
      </c>
      <c r="W1089" s="87">
        <f>IFERROR(__xludf.DUMMYFUNCTION("""COMPUTED_VALUE"""),0.0)</f>
        <v>0</v>
      </c>
      <c r="X1089" s="88"/>
      <c r="Y1089" s="74"/>
      <c r="Z1089" s="74"/>
    </row>
    <row r="1090">
      <c r="B1090" s="74" t="str">
        <f>IFERROR(__xludf.DUMMYFUNCTION("""COMPUTED_VALUE"""),"2088")</f>
        <v>2088</v>
      </c>
      <c r="C1090" s="74"/>
      <c r="D1090" s="74" t="str">
        <f>IFERROR(__xludf.DUMMYFUNCTION("""COMPUTED_VALUE"""),"\\MCA-S\mk\2_BM\0_BMat\08_PYM\Inventario\excel\Imagen de refacciones\Schwing\Coupling 22.5X50X48 _ Acoplamiento 22.5X50X48")</f>
        <v>\\MCA-S\mk\2_BM\0_BMat\08_PYM\Inventario\excel\Imagen de refacciones\Schwing\Coupling 22.5X50X48 _ Acoplamiento 22.5X50X48</v>
      </c>
      <c r="E1090" s="74"/>
      <c r="F1090" s="74" t="str">
        <f>IFERROR(__xludf.DUMMYFUNCTION("""COMPUTED_VALUE"""),"Coupling 22.5X50X48 / Acoplamiento 22.5X50X48")</f>
        <v>Coupling 22.5X50X48 / Acoplamiento 22.5X50X48</v>
      </c>
      <c r="G1090" s="74"/>
      <c r="H1090" s="74"/>
      <c r="I1090" s="74" t="str">
        <f>IFERROR(__xludf.DUMMYFUNCTION("""COMPUTED_VALUE"""),"SOM30226")</f>
        <v>SOM30226</v>
      </c>
      <c r="J1090" s="74" t="str">
        <f>IFERROR(__xludf.DUMMYFUNCTION("""COMPUTED_VALUE"""),"10033394")</f>
        <v>10033394</v>
      </c>
      <c r="K1090" s="74" t="str">
        <f>IFERROR(__xludf.DUMMYFUNCTION("""COMPUTED_VALUE"""),"Schwing")</f>
        <v>Schwing</v>
      </c>
      <c r="L1090" s="74" t="str">
        <f>IFERROR(__xludf.DUMMYFUNCTION("""COMPUTED_VALUE"""),"Componentes Estructurales y de Montaje")</f>
        <v>Componentes Estructurales y de Montaje</v>
      </c>
      <c r="M1090" s="74" t="str">
        <f>IFERROR(__xludf.DUMMYFUNCTION("""COMPUTED_VALUE"""),"Sin Asignar")</f>
        <v>Sin Asignar</v>
      </c>
      <c r="N1090" s="87">
        <f>IFERROR(__xludf.DUMMYFUNCTION("""COMPUTED_VALUE"""),0.0)</f>
        <v>0</v>
      </c>
      <c r="O1090" s="74"/>
      <c r="P1090" s="74" t="str">
        <f>IFERROR(__xludf.DUMMYFUNCTION("""COMPUTED_VALUE"""),"No Available")</f>
        <v>No Available</v>
      </c>
      <c r="Q1090" s="74"/>
      <c r="R1090" s="74"/>
      <c r="S1090" s="87">
        <f>IFERROR(__xludf.DUMMYFUNCTION("""COMPUTED_VALUE"""),0.0)</f>
        <v>0</v>
      </c>
      <c r="T1090" s="87">
        <f>IFERROR(__xludf.DUMMYFUNCTION("""COMPUTED_VALUE"""),0.0)</f>
        <v>0</v>
      </c>
      <c r="U1090" s="87">
        <f>IFERROR(__xludf.DUMMYFUNCTION("""COMPUTED_VALUE"""),0.0)</f>
        <v>0</v>
      </c>
      <c r="V1090" s="87">
        <f>IFERROR(__xludf.DUMMYFUNCTION("""COMPUTED_VALUE"""),0.0)</f>
        <v>0</v>
      </c>
      <c r="W1090" s="87">
        <f>IFERROR(__xludf.DUMMYFUNCTION("""COMPUTED_VALUE"""),0.0)</f>
        <v>0</v>
      </c>
      <c r="X1090" s="88"/>
      <c r="Y1090" s="74"/>
      <c r="Z1090" s="74"/>
    </row>
    <row r="1091">
      <c r="B1091" s="74" t="str">
        <f>IFERROR(__xludf.DUMMYFUNCTION("""COMPUTED_VALUE"""),"2089")</f>
        <v>2089</v>
      </c>
      <c r="C1091" s="74"/>
      <c r="D1091" s="74" t="str">
        <f>IFERROR(__xludf.DUMMYFUNCTION("""COMPUTED_VALUE"""),"\\MCA-S\mk\2_BM\0_BMat\08_PYM\Inventario\excel\Imagen de refacciones\Schwing\Coupling 31.5X50X50 _ Acoplamiento 31.5X50X50")</f>
        <v>\\MCA-S\mk\2_BM\0_BMat\08_PYM\Inventario\excel\Imagen de refacciones\Schwing\Coupling 31.5X50X50 _ Acoplamiento 31.5X50X50</v>
      </c>
      <c r="E1091" s="74"/>
      <c r="F1091" s="74" t="str">
        <f>IFERROR(__xludf.DUMMYFUNCTION("""COMPUTED_VALUE"""),"Coupling 31.5X50X50 / Acoplamiento 31.5X50X50")</f>
        <v>Coupling 31.5X50X50 / Acoplamiento 31.5X50X50</v>
      </c>
      <c r="G1091" s="74"/>
      <c r="H1091" s="74"/>
      <c r="I1091" s="74" t="str">
        <f>IFERROR(__xludf.DUMMYFUNCTION("""COMPUTED_VALUE"""),"SOM30227")</f>
        <v>SOM30227</v>
      </c>
      <c r="J1091" s="74" t="str">
        <f>IFERROR(__xludf.DUMMYFUNCTION("""COMPUTED_VALUE"""),"10035156")</f>
        <v>10035156</v>
      </c>
      <c r="K1091" s="74" t="str">
        <f>IFERROR(__xludf.DUMMYFUNCTION("""COMPUTED_VALUE"""),"Schwing")</f>
        <v>Schwing</v>
      </c>
      <c r="L1091" s="74" t="str">
        <f>IFERROR(__xludf.DUMMYFUNCTION("""COMPUTED_VALUE"""),"Componentes Estructurales y de Montaje")</f>
        <v>Componentes Estructurales y de Montaje</v>
      </c>
      <c r="M1091" s="74" t="str">
        <f>IFERROR(__xludf.DUMMYFUNCTION("""COMPUTED_VALUE"""),"Sin Asignar")</f>
        <v>Sin Asignar</v>
      </c>
      <c r="N1091" s="87">
        <f>IFERROR(__xludf.DUMMYFUNCTION("""COMPUTED_VALUE"""),0.0)</f>
        <v>0</v>
      </c>
      <c r="O1091" s="74"/>
      <c r="P1091" s="74" t="str">
        <f>IFERROR(__xludf.DUMMYFUNCTION("""COMPUTED_VALUE"""),"borrar")</f>
        <v>borrar</v>
      </c>
      <c r="Q1091" s="74"/>
      <c r="R1091" s="74"/>
      <c r="S1091" s="87">
        <f>IFERROR(__xludf.DUMMYFUNCTION("""COMPUTED_VALUE"""),0.0)</f>
        <v>0</v>
      </c>
      <c r="T1091" s="87">
        <f>IFERROR(__xludf.DUMMYFUNCTION("""COMPUTED_VALUE"""),0.0)</f>
        <v>0</v>
      </c>
      <c r="U1091" s="87">
        <f>IFERROR(__xludf.DUMMYFUNCTION("""COMPUTED_VALUE"""),0.0)</f>
        <v>0</v>
      </c>
      <c r="V1091" s="87">
        <f>IFERROR(__xludf.DUMMYFUNCTION("""COMPUTED_VALUE"""),0.0)</f>
        <v>0</v>
      </c>
      <c r="W1091" s="87">
        <f>IFERROR(__xludf.DUMMYFUNCTION("""COMPUTED_VALUE"""),0.0)</f>
        <v>0</v>
      </c>
      <c r="X1091" s="88"/>
      <c r="Y1091" s="74"/>
      <c r="Z1091" s="74"/>
    </row>
    <row r="1092">
      <c r="B1092" s="74" t="str">
        <f>IFERROR(__xludf.DUMMYFUNCTION("""COMPUTED_VALUE"""),"2090")</f>
        <v>2090</v>
      </c>
      <c r="C1092" s="74"/>
      <c r="D1092" s="74" t="str">
        <f>IFERROR(__xludf.DUMMYFUNCTION("""COMPUTED_VALUE"""),"\\MCA-S\mk\2_BM\0_BMat\08_PYM\Inventario\excel\Imagen de refacciones\Schwing\Coupling 36X50X50 _ Acoplamiento 36X50X50")</f>
        <v>\\MCA-S\mk\2_BM\0_BMat\08_PYM\Inventario\excel\Imagen de refacciones\Schwing\Coupling 36X50X50 _ Acoplamiento 36X50X50</v>
      </c>
      <c r="E1092" s="74"/>
      <c r="F1092" s="74" t="str">
        <f>IFERROR(__xludf.DUMMYFUNCTION("""COMPUTED_VALUE"""),"Coupling 36X50X50 / Acoplamiento 36X50X50")</f>
        <v>Coupling 36X50X50 / Acoplamiento 36X50X50</v>
      </c>
      <c r="G1092" s="74"/>
      <c r="H1092" s="74"/>
      <c r="I1092" s="74" t="str">
        <f>IFERROR(__xludf.DUMMYFUNCTION("""COMPUTED_VALUE"""),"SOM30228")</f>
        <v>SOM30228</v>
      </c>
      <c r="J1092" s="74" t="str">
        <f>IFERROR(__xludf.DUMMYFUNCTION("""COMPUTED_VALUE"""),"10035157")</f>
        <v>10035157</v>
      </c>
      <c r="K1092" s="74" t="str">
        <f>IFERROR(__xludf.DUMMYFUNCTION("""COMPUTED_VALUE"""),"Schwing")</f>
        <v>Schwing</v>
      </c>
      <c r="L1092" s="74" t="str">
        <f>IFERROR(__xludf.DUMMYFUNCTION("""COMPUTED_VALUE"""),"Componentes Estructurales y de Montaje")</f>
        <v>Componentes Estructurales y de Montaje</v>
      </c>
      <c r="M1092" s="74" t="str">
        <f>IFERROR(__xludf.DUMMYFUNCTION("""COMPUTED_VALUE"""),"Sin Asignar")</f>
        <v>Sin Asignar</v>
      </c>
      <c r="N1092" s="87">
        <f>IFERROR(__xludf.DUMMYFUNCTION("""COMPUTED_VALUE"""),0.0)</f>
        <v>0</v>
      </c>
      <c r="O1092" s="74"/>
      <c r="P1092" s="74" t="str">
        <f>IFERROR(__xludf.DUMMYFUNCTION("""COMPUTED_VALUE"""),"No Available")</f>
        <v>No Available</v>
      </c>
      <c r="Q1092" s="74"/>
      <c r="R1092" s="74"/>
      <c r="S1092" s="87">
        <f>IFERROR(__xludf.DUMMYFUNCTION("""COMPUTED_VALUE"""),0.0)</f>
        <v>0</v>
      </c>
      <c r="T1092" s="87">
        <f>IFERROR(__xludf.DUMMYFUNCTION("""COMPUTED_VALUE"""),0.0)</f>
        <v>0</v>
      </c>
      <c r="U1092" s="87">
        <f>IFERROR(__xludf.DUMMYFUNCTION("""COMPUTED_VALUE"""),0.0)</f>
        <v>0</v>
      </c>
      <c r="V1092" s="87">
        <f>IFERROR(__xludf.DUMMYFUNCTION("""COMPUTED_VALUE"""),0.0)</f>
        <v>0</v>
      </c>
      <c r="W1092" s="87">
        <f>IFERROR(__xludf.DUMMYFUNCTION("""COMPUTED_VALUE"""),0.0)</f>
        <v>0</v>
      </c>
      <c r="X1092" s="88"/>
      <c r="Y1092" s="74"/>
      <c r="Z1092" s="74"/>
    </row>
    <row r="1093">
      <c r="B1093" s="74" t="str">
        <f>IFERROR(__xludf.DUMMYFUNCTION("""COMPUTED_VALUE"""),"2091")</f>
        <v>2091</v>
      </c>
      <c r="C1093" s="74"/>
      <c r="D1093" s="74" t="str">
        <f>IFERROR(__xludf.DUMMYFUNCTION("""COMPUTED_VALUE"""),"\\MCA-S\mk\2_BM\0_BMat\08_PYM\Inventario\excel\Imagen de refacciones\Schwing\Cover _ Cubierta")</f>
        <v>\\MCA-S\mk\2_BM\0_BMat\08_PYM\Inventario\excel\Imagen de refacciones\Schwing\Cover _ Cubierta</v>
      </c>
      <c r="E1093" s="74"/>
      <c r="F1093" s="74" t="str">
        <f>IFERROR(__xludf.DUMMYFUNCTION("""COMPUTED_VALUE"""),"Cover / Cubierta")</f>
        <v>Cover / Cubierta</v>
      </c>
      <c r="G1093" s="74"/>
      <c r="H1093" s="74"/>
      <c r="I1093" s="74" t="str">
        <f>IFERROR(__xludf.DUMMYFUNCTION("""COMPUTED_VALUE"""),"SOM30016")</f>
        <v>SOM30016</v>
      </c>
      <c r="J1093" s="74" t="str">
        <f>IFERROR(__xludf.DUMMYFUNCTION("""COMPUTED_VALUE"""),"10029441")</f>
        <v>10029441</v>
      </c>
      <c r="K1093" s="74" t="str">
        <f>IFERROR(__xludf.DUMMYFUNCTION("""COMPUTED_VALUE"""),"Schwing")</f>
        <v>Schwing</v>
      </c>
      <c r="L1093" s="74" t="str">
        <f>IFERROR(__xludf.DUMMYFUNCTION("""COMPUTED_VALUE"""),"Sellos y Retenes")</f>
        <v>Sellos y Retenes</v>
      </c>
      <c r="M1093" s="74" t="str">
        <f>IFERROR(__xludf.DUMMYFUNCTION("""COMPUTED_VALUE"""),"Sin Asignar")</f>
        <v>Sin Asignar</v>
      </c>
      <c r="N1093" s="87">
        <f>IFERROR(__xludf.DUMMYFUNCTION("""COMPUTED_VALUE"""),0.0)</f>
        <v>0</v>
      </c>
      <c r="O1093" s="74"/>
      <c r="P1093" s="74" t="str">
        <f>IFERROR(__xludf.DUMMYFUNCTION("""COMPUTED_VALUE"""),"No Available")</f>
        <v>No Available</v>
      </c>
      <c r="Q1093" s="74"/>
      <c r="R1093" s="74"/>
      <c r="S1093" s="87">
        <f>IFERROR(__xludf.DUMMYFUNCTION("""COMPUTED_VALUE"""),0.0)</f>
        <v>0</v>
      </c>
      <c r="T1093" s="87">
        <f>IFERROR(__xludf.DUMMYFUNCTION("""COMPUTED_VALUE"""),0.0)</f>
        <v>0</v>
      </c>
      <c r="U1093" s="87">
        <f>IFERROR(__xludf.DUMMYFUNCTION("""COMPUTED_VALUE"""),0.0)</f>
        <v>0</v>
      </c>
      <c r="V1093" s="87">
        <f>IFERROR(__xludf.DUMMYFUNCTION("""COMPUTED_VALUE"""),0.0)</f>
        <v>0</v>
      </c>
      <c r="W1093" s="87">
        <f>IFERROR(__xludf.DUMMYFUNCTION("""COMPUTED_VALUE"""),0.0)</f>
        <v>0</v>
      </c>
      <c r="X1093" s="88"/>
      <c r="Y1093" s="74"/>
      <c r="Z1093" s="74"/>
    </row>
    <row r="1094">
      <c r="B1094" s="74" t="str">
        <f>IFERROR(__xludf.DUMMYFUNCTION("""COMPUTED_VALUE"""),"2092")</f>
        <v>2092</v>
      </c>
      <c r="C1094" s="74"/>
      <c r="D1094" s="74" t="str">
        <f>IFERROR(__xludf.DUMMYFUNCTION("""COMPUTED_VALUE"""),"\\MCA-S\mk\2_BM\0_BMat\08_PYM\Inventario\excel\Imagen de refacciones\Schwing\Cover Lining _ Revestimiento de Cubierta")</f>
        <v>\\MCA-S\mk\2_BM\0_BMat\08_PYM\Inventario\excel\Imagen de refacciones\Schwing\Cover Lining _ Revestimiento de Cubierta</v>
      </c>
      <c r="E1094" s="74"/>
      <c r="F1094" s="74" t="str">
        <f>IFERROR(__xludf.DUMMYFUNCTION("""COMPUTED_VALUE"""),"Cover Lining / Revestimiento de Cubierta")</f>
        <v>Cover Lining / Revestimiento de Cubierta</v>
      </c>
      <c r="G1094" s="74"/>
      <c r="H1094" s="74"/>
      <c r="I1094" s="74" t="str">
        <f>IFERROR(__xludf.DUMMYFUNCTION("""COMPUTED_VALUE"""),"SOM30029")</f>
        <v>SOM30029</v>
      </c>
      <c r="J1094" s="74" t="str">
        <f>IFERROR(__xludf.DUMMYFUNCTION("""COMPUTED_VALUE"""),"10018029")</f>
        <v>10018029</v>
      </c>
      <c r="K1094" s="74" t="str">
        <f>IFERROR(__xludf.DUMMYFUNCTION("""COMPUTED_VALUE"""),"Schwing")</f>
        <v>Schwing</v>
      </c>
      <c r="L1094" s="74" t="str">
        <f>IFERROR(__xludf.DUMMYFUNCTION("""COMPUTED_VALUE"""),"Sellos y Retenes")</f>
        <v>Sellos y Retenes</v>
      </c>
      <c r="M1094" s="74" t="str">
        <f>IFERROR(__xludf.DUMMYFUNCTION("""COMPUTED_VALUE"""),"Sin Asignar")</f>
        <v>Sin Asignar</v>
      </c>
      <c r="N1094" s="87">
        <f>IFERROR(__xludf.DUMMYFUNCTION("""COMPUTED_VALUE"""),0.0)</f>
        <v>0</v>
      </c>
      <c r="O1094" s="74"/>
      <c r="P1094" s="74" t="str">
        <f>IFERROR(__xludf.DUMMYFUNCTION("""COMPUTED_VALUE"""),"No Available")</f>
        <v>No Available</v>
      </c>
      <c r="Q1094" s="74"/>
      <c r="R1094" s="74"/>
      <c r="S1094" s="87">
        <f>IFERROR(__xludf.DUMMYFUNCTION("""COMPUTED_VALUE"""),0.0)</f>
        <v>0</v>
      </c>
      <c r="T1094" s="87">
        <f>IFERROR(__xludf.DUMMYFUNCTION("""COMPUTED_VALUE"""),0.0)</f>
        <v>0</v>
      </c>
      <c r="U1094" s="87">
        <f>IFERROR(__xludf.DUMMYFUNCTION("""COMPUTED_VALUE"""),0.0)</f>
        <v>0</v>
      </c>
      <c r="V1094" s="87">
        <f>IFERROR(__xludf.DUMMYFUNCTION("""COMPUTED_VALUE"""),0.0)</f>
        <v>0</v>
      </c>
      <c r="W1094" s="87">
        <f>IFERROR(__xludf.DUMMYFUNCTION("""COMPUTED_VALUE"""),0.0)</f>
        <v>0</v>
      </c>
      <c r="X1094" s="88"/>
      <c r="Y1094" s="74"/>
      <c r="Z1094" s="74"/>
    </row>
    <row r="1095">
      <c r="B1095" s="74" t="str">
        <f>IFERROR(__xludf.DUMMYFUNCTION("""COMPUTED_VALUE"""),"2093")</f>
        <v>2093</v>
      </c>
      <c r="C1095" s="74"/>
      <c r="D1095" s="74" t="str">
        <f>IFERROR(__xludf.DUMMYFUNCTION("""COMPUTED_VALUE"""),"\\MCA-S\mk\2_BM\0_BMat\08_PYM\Inventario\excel\Imagen de refacciones\Schwing\Cover with Screw _ Cubierta con Tornillo")</f>
        <v>\\MCA-S\mk\2_BM\0_BMat\08_PYM\Inventario\excel\Imagen de refacciones\Schwing\Cover with Screw _ Cubierta con Tornillo</v>
      </c>
      <c r="E1095" s="74"/>
      <c r="F1095" s="74" t="str">
        <f>IFERROR(__xludf.DUMMYFUNCTION("""COMPUTED_VALUE"""),"Cover with Screw / Cubierta con Tornillo")</f>
        <v>Cover with Screw / Cubierta con Tornillo</v>
      </c>
      <c r="G1095" s="74"/>
      <c r="H1095" s="74"/>
      <c r="I1095" s="74" t="str">
        <f>IFERROR(__xludf.DUMMYFUNCTION("""COMPUTED_VALUE"""),"SOM30055")</f>
        <v>SOM30055</v>
      </c>
      <c r="J1095" s="74" t="str">
        <f>IFERROR(__xludf.DUMMYFUNCTION("""COMPUTED_VALUE"""),"10018073")</f>
        <v>10018073</v>
      </c>
      <c r="K1095" s="74" t="str">
        <f>IFERROR(__xludf.DUMMYFUNCTION("""COMPUTED_VALUE"""),"Schwing")</f>
        <v>Schwing</v>
      </c>
      <c r="L1095" s="74" t="str">
        <f>IFERROR(__xludf.DUMMYFUNCTION("""COMPUTED_VALUE"""),"BARRA V-ROCK")</f>
        <v>BARRA V-ROCK</v>
      </c>
      <c r="M1095" s="74" t="str">
        <f>IFERROR(__xludf.DUMMYFUNCTION("""COMPUTED_VALUE"""),"Sin Asignar")</f>
        <v>Sin Asignar</v>
      </c>
      <c r="N1095" s="87">
        <f>IFERROR(__xludf.DUMMYFUNCTION("""COMPUTED_VALUE"""),0.0)</f>
        <v>0</v>
      </c>
      <c r="O1095" s="74"/>
      <c r="P1095" s="74" t="str">
        <f>IFERROR(__xludf.DUMMYFUNCTION("""COMPUTED_VALUE"""),"No Available")</f>
        <v>No Available</v>
      </c>
      <c r="Q1095" s="74"/>
      <c r="R1095" s="74"/>
      <c r="S1095" s="87">
        <f>IFERROR(__xludf.DUMMYFUNCTION("""COMPUTED_VALUE"""),0.0)</f>
        <v>0</v>
      </c>
      <c r="T1095" s="87">
        <f>IFERROR(__xludf.DUMMYFUNCTION("""COMPUTED_VALUE"""),0.0)</f>
        <v>0</v>
      </c>
      <c r="U1095" s="87">
        <f>IFERROR(__xludf.DUMMYFUNCTION("""COMPUTED_VALUE"""),0.0)</f>
        <v>0</v>
      </c>
      <c r="V1095" s="87">
        <f>IFERROR(__xludf.DUMMYFUNCTION("""COMPUTED_VALUE"""),0.0)</f>
        <v>0</v>
      </c>
      <c r="W1095" s="87">
        <f>IFERROR(__xludf.DUMMYFUNCTION("""COMPUTED_VALUE"""),0.0)</f>
        <v>0</v>
      </c>
      <c r="X1095" s="88"/>
      <c r="Y1095" s="74"/>
      <c r="Z1095" s="74"/>
    </row>
    <row r="1096">
      <c r="B1096" s="74" t="str">
        <f>IFERROR(__xludf.DUMMYFUNCTION("""COMPUTED_VALUE"""),"2094")</f>
        <v>2094</v>
      </c>
      <c r="C1096" s="74" t="str">
        <f>IFERROR(__xludf.DUMMYFUNCTION("""COMPUTED_VALUE"""),"75045880532")</f>
        <v>75045880532</v>
      </c>
      <c r="D1096" s="74" t="str">
        <f>IFERROR(__xludf.DUMMYFUNCTION("""COMPUTED_VALUE"""),"\\MCA-S\mk\2_BM\0_BMat\08_PYM\Inventario\excel\Imagen de refacciones\Schwing\Cuña para perno")</f>
        <v>\\MCA-S\mk\2_BM\0_BMat\08_PYM\Inventario\excel\Imagen de refacciones\Schwing\Cuña para perno</v>
      </c>
      <c r="E1096" s="74" t="str">
        <f>IFERROR(__xludf.DUMMYFUNCTION("""COMPUTED_VALUE"""),"PUMP WEDGE")</f>
        <v>PUMP WEDGE</v>
      </c>
      <c r="F1096" s="74" t="str">
        <f>IFERROR(__xludf.DUMMYFUNCTION("""COMPUTED_VALUE"""),"CUÑA PARA PERNO")</f>
        <v>CUÑA PARA PERNO</v>
      </c>
      <c r="G1096" s="74"/>
      <c r="H1096" s="74" t="str">
        <f>IFERROR(__xludf.DUMMYFUNCTION("""COMPUTED_VALUE"""),"CUÑA PARA PERNO PARA BOMBA DE HORMIGON")</f>
        <v>CUÑA PARA PERNO PARA BOMBA DE HORMIGON</v>
      </c>
      <c r="I1096" s="74" t="str">
        <f>IFERROR(__xludf.DUMMYFUNCTION("""COMPUTED_VALUE"""),"10004709")</f>
        <v>10004709</v>
      </c>
      <c r="J1096" s="74"/>
      <c r="K1096" s="74" t="str">
        <f>IFERROR(__xludf.DUMMYFUNCTION("""COMPUTED_VALUE"""),"Schwing")</f>
        <v>Schwing</v>
      </c>
      <c r="L1096" s="74" t="str">
        <f>IFERROR(__xludf.DUMMYFUNCTION("""COMPUTED_VALUE"""),"TOLVA")</f>
        <v>TOLVA</v>
      </c>
      <c r="M1096" s="74" t="str">
        <f>IFERROR(__xludf.DUMMYFUNCTION("""COMPUTED_VALUE"""),"ACCESORIOS ")</f>
        <v>ACCESORIOS </v>
      </c>
      <c r="N1096" s="87">
        <f>IFERROR(__xludf.DUMMYFUNCTION("""COMPUTED_VALUE"""),515.04)</f>
        <v>515.04</v>
      </c>
      <c r="O1096" s="74">
        <f>IFERROR(__xludf.DUMMYFUNCTION("""COMPUTED_VALUE"""),2.0)</f>
        <v>2</v>
      </c>
      <c r="P1096" s="74" t="str">
        <f>IFERROR(__xludf.DUMMYFUNCTION("""COMPUTED_VALUE"""),"In stock")</f>
        <v>In stock</v>
      </c>
      <c r="Q1096" s="74"/>
      <c r="R1096" s="74"/>
      <c r="S1096" s="87">
        <f>IFERROR(__xludf.DUMMYFUNCTION("""COMPUTED_VALUE"""),7.0)</f>
        <v>7</v>
      </c>
      <c r="T1096" s="87">
        <f>IFERROR(__xludf.DUMMYFUNCTION("""COMPUTED_VALUE"""),29.0)</f>
        <v>29</v>
      </c>
      <c r="U1096" s="87">
        <f>IFERROR(__xludf.DUMMYFUNCTION("""COMPUTED_VALUE"""),27.84)</f>
        <v>27.84</v>
      </c>
      <c r="V1096" s="87">
        <f>IFERROR(__xludf.DUMMYFUNCTION("""COMPUTED_VALUE"""),8.575)</f>
        <v>8.575</v>
      </c>
      <c r="W1096" s="87">
        <f>IFERROR(__xludf.DUMMYFUNCTION("""COMPUTED_VALUE"""),160.78125)</f>
        <v>160.78125</v>
      </c>
      <c r="X1096" s="88">
        <f>IFERROR(__xludf.DUMMYFUNCTION("""COMPUTED_VALUE"""),3.9771428571428573)</f>
        <v>3.977142857</v>
      </c>
      <c r="Y1096" s="74"/>
      <c r="Z1096" s="74"/>
    </row>
    <row r="1097">
      <c r="B1097" s="74" t="str">
        <f>IFERROR(__xludf.DUMMYFUNCTION("""COMPUTED_VALUE"""),"2095")</f>
        <v>2095</v>
      </c>
      <c r="C1097" s="74"/>
      <c r="D1097" s="74" t="str">
        <f>IFERROR(__xludf.DUMMYFUNCTION("""COMPUTED_VALUE"""),"\\MCA-S\mk\2_BM\0_BMat\08_PYM\Inventario\excel\Imagen de refacciones\Schwing\Cup Type Coupling DN 180 _ Acoplamiento Tipo Copa DN 180")</f>
        <v>\\MCA-S\mk\2_BM\0_BMat\08_PYM\Inventario\excel\Imagen de refacciones\Schwing\Cup Type Coupling DN 180 _ Acoplamiento Tipo Copa DN 180</v>
      </c>
      <c r="E1097" s="74"/>
      <c r="F1097" s="74" t="str">
        <f>IFERROR(__xludf.DUMMYFUNCTION("""COMPUTED_VALUE"""),"Cup Type Coupling DN 180 / Acoplamiento Tipo Copa DN 180")</f>
        <v>Cup Type Coupling DN 180 / Acoplamiento Tipo Copa DN 180</v>
      </c>
      <c r="G1097" s="74"/>
      <c r="H1097" s="74"/>
      <c r="I1097" s="74" t="str">
        <f>IFERROR(__xludf.DUMMYFUNCTION("""COMPUTED_VALUE"""),"SOM30247")</f>
        <v>SOM30247</v>
      </c>
      <c r="J1097" s="74" t="str">
        <f>IFERROR(__xludf.DUMMYFUNCTION("""COMPUTED_VALUE"""),"10043560")</f>
        <v>10043560</v>
      </c>
      <c r="K1097" s="74" t="str">
        <f>IFERROR(__xludf.DUMMYFUNCTION("""COMPUTED_VALUE"""),"Schwing")</f>
        <v>Schwing</v>
      </c>
      <c r="L1097" s="74" t="str">
        <f>IFERROR(__xludf.DUMMYFUNCTION("""COMPUTED_VALUE"""),"Componentes Estructurales y de Montaje")</f>
        <v>Componentes Estructurales y de Montaje</v>
      </c>
      <c r="M1097" s="74" t="str">
        <f>IFERROR(__xludf.DUMMYFUNCTION("""COMPUTED_VALUE"""),"Sin Asignar")</f>
        <v>Sin Asignar</v>
      </c>
      <c r="N1097" s="87">
        <f>IFERROR(__xludf.DUMMYFUNCTION("""COMPUTED_VALUE"""),0.0)</f>
        <v>0</v>
      </c>
      <c r="O1097" s="74"/>
      <c r="P1097" s="74" t="str">
        <f>IFERROR(__xludf.DUMMYFUNCTION("""COMPUTED_VALUE"""),"borrar")</f>
        <v>borrar</v>
      </c>
      <c r="Q1097" s="74"/>
      <c r="R1097" s="74"/>
      <c r="S1097" s="87">
        <f>IFERROR(__xludf.DUMMYFUNCTION("""COMPUTED_VALUE"""),0.0)</f>
        <v>0</v>
      </c>
      <c r="T1097" s="87">
        <f>IFERROR(__xludf.DUMMYFUNCTION("""COMPUTED_VALUE"""),0.0)</f>
        <v>0</v>
      </c>
      <c r="U1097" s="87">
        <f>IFERROR(__xludf.DUMMYFUNCTION("""COMPUTED_VALUE"""),0.0)</f>
        <v>0</v>
      </c>
      <c r="V1097" s="87">
        <f>IFERROR(__xludf.DUMMYFUNCTION("""COMPUTED_VALUE"""),0.0)</f>
        <v>0</v>
      </c>
      <c r="W1097" s="87">
        <f>IFERROR(__xludf.DUMMYFUNCTION("""COMPUTED_VALUE"""),0.0)</f>
        <v>0</v>
      </c>
      <c r="X1097" s="88"/>
      <c r="Y1097" s="74"/>
      <c r="Z1097" s="74"/>
    </row>
    <row r="1098">
      <c r="B1098" s="74" t="str">
        <f>IFERROR(__xludf.DUMMYFUNCTION("""COMPUTED_VALUE"""),"2096")</f>
        <v>2096</v>
      </c>
      <c r="C1098" s="74"/>
      <c r="D1098" s="74" t="str">
        <f>IFERROR(__xludf.DUMMYFUNCTION("""COMPUTED_VALUE"""),"\\MCA-S\mk\2_BM\0_BMat\08_PYM\Inventario\excel\Imagen de refacciones\Schwing\Cup-Tension Clamp DN 150 with Wedge _ Abrazadera de Tensión Tipo Copa DN 150 con Cuña")</f>
        <v>\\MCA-S\mk\2_BM\0_BMat\08_PYM\Inventario\excel\Imagen de refacciones\Schwing\Cup-Tension Clamp DN 150 with Wedge _ Abrazadera de Tensión Tipo Copa DN 150 con Cuña</v>
      </c>
      <c r="E1098" s="74"/>
      <c r="F1098" s="74" t="str">
        <f>IFERROR(__xludf.DUMMYFUNCTION("""COMPUTED_VALUE"""),"Cup-Tension Clamp DN 150 with Wedge / Abrazadera de Tensión Tipo Copa DN 150 con Cuña")</f>
        <v>Cup-Tension Clamp DN 150 with Wedge / Abrazadera de Tensión Tipo Copa DN 150 con Cuña</v>
      </c>
      <c r="G1098" s="74"/>
      <c r="H1098" s="74"/>
      <c r="I1098" s="74" t="str">
        <f>IFERROR(__xludf.DUMMYFUNCTION("""COMPUTED_VALUE"""),"SOM30246")</f>
        <v>SOM30246</v>
      </c>
      <c r="J1098" s="74" t="str">
        <f>IFERROR(__xludf.DUMMYFUNCTION("""COMPUTED_VALUE"""),"10043559")</f>
        <v>10043559</v>
      </c>
      <c r="K1098" s="74" t="str">
        <f>IFERROR(__xludf.DUMMYFUNCTION("""COMPUTED_VALUE"""),"Schwing")</f>
        <v>Schwing</v>
      </c>
      <c r="L1098" s="74" t="str">
        <f>IFERROR(__xludf.DUMMYFUNCTION("""COMPUTED_VALUE"""),"Componentes Estructurales y de Montaje")</f>
        <v>Componentes Estructurales y de Montaje</v>
      </c>
      <c r="M1098" s="74" t="str">
        <f>IFERROR(__xludf.DUMMYFUNCTION("""COMPUTED_VALUE"""),"Sin Asignar")</f>
        <v>Sin Asignar</v>
      </c>
      <c r="N1098" s="87">
        <f>IFERROR(__xludf.DUMMYFUNCTION("""COMPUTED_VALUE"""),0.0)</f>
        <v>0</v>
      </c>
      <c r="O1098" s="74"/>
      <c r="P1098" s="74" t="str">
        <f>IFERROR(__xludf.DUMMYFUNCTION("""COMPUTED_VALUE"""),"borrar")</f>
        <v>borrar</v>
      </c>
      <c r="Q1098" s="74"/>
      <c r="R1098" s="74"/>
      <c r="S1098" s="87">
        <f>IFERROR(__xludf.DUMMYFUNCTION("""COMPUTED_VALUE"""),0.0)</f>
        <v>0</v>
      </c>
      <c r="T1098" s="87">
        <f>IFERROR(__xludf.DUMMYFUNCTION("""COMPUTED_VALUE"""),0.0)</f>
        <v>0</v>
      </c>
      <c r="U1098" s="87">
        <f>IFERROR(__xludf.DUMMYFUNCTION("""COMPUTED_VALUE"""),0.0)</f>
        <v>0</v>
      </c>
      <c r="V1098" s="87">
        <f>IFERROR(__xludf.DUMMYFUNCTION("""COMPUTED_VALUE"""),0.0)</f>
        <v>0</v>
      </c>
      <c r="W1098" s="87">
        <f>IFERROR(__xludf.DUMMYFUNCTION("""COMPUTED_VALUE"""),0.0)</f>
        <v>0</v>
      </c>
      <c r="X1098" s="88"/>
      <c r="Y1098" s="74"/>
      <c r="Z1098" s="74"/>
    </row>
    <row r="1099">
      <c r="B1099" s="74" t="str">
        <f>IFERROR(__xludf.DUMMYFUNCTION("""COMPUTED_VALUE"""),"2097")</f>
        <v>2097</v>
      </c>
      <c r="C1099" s="74"/>
      <c r="D1099" s="74" t="str">
        <f>IFERROR(__xludf.DUMMYFUNCTION("""COMPUTED_VALUE"""),"\\MCA-S\mk\2_BM\0_BMat\08_PYM\Inventario\excel\Imagen de refacciones\Schwing\Cutting Ring DN 165 _ Anillo de Corte DN 165")</f>
        <v>\\MCA-S\mk\2_BM\0_BMat\08_PYM\Inventario\excel\Imagen de refacciones\Schwing\Cutting Ring DN 165 _ Anillo de Corte DN 165</v>
      </c>
      <c r="E1099" s="74"/>
      <c r="F1099" s="74" t="str">
        <f>IFERROR(__xludf.DUMMYFUNCTION("""COMPUTED_VALUE"""),"Cutting Ring DN 165 / Anillo de Corte DN 165")</f>
        <v>Cutting Ring DN 165 / Anillo de Corte DN 165</v>
      </c>
      <c r="G1099" s="74"/>
      <c r="H1099" s="74"/>
      <c r="I1099" s="74" t="str">
        <f>IFERROR(__xludf.DUMMYFUNCTION("""COMPUTED_VALUE"""),"SOM30007")</f>
        <v>SOM30007</v>
      </c>
      <c r="J1099" s="74" t="str">
        <f>IFERROR(__xludf.DUMMYFUNCTION("""COMPUTED_VALUE"""),"10063938")</f>
        <v>10063938</v>
      </c>
      <c r="K1099" s="74" t="str">
        <f>IFERROR(__xludf.DUMMYFUNCTION("""COMPUTED_VALUE"""),"Schwing")</f>
        <v>Schwing</v>
      </c>
      <c r="L1099" s="74" t="str">
        <f>IFERROR(__xludf.DUMMYFUNCTION("""COMPUTED_VALUE"""),"Sistema de Bombeo de Concreto")</f>
        <v>Sistema de Bombeo de Concreto</v>
      </c>
      <c r="M1099" s="74" t="str">
        <f>IFERROR(__xludf.DUMMYFUNCTION("""COMPUTED_VALUE"""),"Sin Asignar")</f>
        <v>Sin Asignar</v>
      </c>
      <c r="N1099" s="87">
        <f>IFERROR(__xludf.DUMMYFUNCTION("""COMPUTED_VALUE"""),0.0)</f>
        <v>0</v>
      </c>
      <c r="O1099" s="74"/>
      <c r="P1099" s="74" t="str">
        <f>IFERROR(__xludf.DUMMYFUNCTION("""COMPUTED_VALUE"""),"No Available")</f>
        <v>No Available</v>
      </c>
      <c r="Q1099" s="74"/>
      <c r="R1099" s="74"/>
      <c r="S1099" s="87">
        <f>IFERROR(__xludf.DUMMYFUNCTION("""COMPUTED_VALUE"""),0.0)</f>
        <v>0</v>
      </c>
      <c r="T1099" s="87">
        <f>IFERROR(__xludf.DUMMYFUNCTION("""COMPUTED_VALUE"""),0.0)</f>
        <v>0</v>
      </c>
      <c r="U1099" s="87">
        <f>IFERROR(__xludf.DUMMYFUNCTION("""COMPUTED_VALUE"""),0.0)</f>
        <v>0</v>
      </c>
      <c r="V1099" s="87">
        <f>IFERROR(__xludf.DUMMYFUNCTION("""COMPUTED_VALUE"""),0.0)</f>
        <v>0</v>
      </c>
      <c r="W1099" s="87">
        <f>IFERROR(__xludf.DUMMYFUNCTION("""COMPUTED_VALUE"""),0.0)</f>
        <v>0</v>
      </c>
      <c r="X1099" s="88"/>
      <c r="Y1099" s="74"/>
      <c r="Z1099" s="74"/>
    </row>
    <row r="1100">
      <c r="B1100" s="74" t="str">
        <f>IFERROR(__xludf.DUMMYFUNCTION("""COMPUTED_VALUE"""),"2098")</f>
        <v>2098</v>
      </c>
      <c r="C1100" s="74"/>
      <c r="D1100" s="74" t="str">
        <f>IFERROR(__xludf.DUMMYFUNCTION("""COMPUTED_VALUE"""),"\\MCA-S\mk\2_BM\0_BMat\08_PYM\Inventario\excel\Imagen de refacciones\Schwing\Cutting Ring DN 180 _ Anillo de Corte DN 180")</f>
        <v>\\MCA-S\mk\2_BM\0_BMat\08_PYM\Inventario\excel\Imagen de refacciones\Schwing\Cutting Ring DN 180 _ Anillo de Corte DN 180</v>
      </c>
      <c r="E1100" s="74"/>
      <c r="F1100" s="74" t="str">
        <f>IFERROR(__xludf.DUMMYFUNCTION("""COMPUTED_VALUE"""),"Cutting Ring DN 180 / Anillo de Corte DN 180")</f>
        <v>Cutting Ring DN 180 / Anillo de Corte DN 180</v>
      </c>
      <c r="G1100" s="74"/>
      <c r="H1100" s="74"/>
      <c r="I1100" s="74" t="str">
        <f>IFERROR(__xludf.DUMMYFUNCTION("""COMPUTED_VALUE"""),"10140388")</f>
        <v>10140388</v>
      </c>
      <c r="J1100" s="74"/>
      <c r="K1100" s="74" t="str">
        <f>IFERROR(__xludf.DUMMYFUNCTION("""COMPUTED_VALUE"""),"Schwing")</f>
        <v>Schwing</v>
      </c>
      <c r="L1100" s="74" t="str">
        <f>IFERROR(__xludf.DUMMYFUNCTION("""COMPUTED_VALUE"""),"Sistema de Bombeo de Concreto")</f>
        <v>Sistema de Bombeo de Concreto</v>
      </c>
      <c r="M1100" s="74" t="str">
        <f>IFERROR(__xludf.DUMMYFUNCTION("""COMPUTED_VALUE"""),"Sin Asignar")</f>
        <v>Sin Asignar</v>
      </c>
      <c r="N1100" s="87">
        <f>IFERROR(__xludf.DUMMYFUNCTION("""COMPUTED_VALUE"""),0.0)</f>
        <v>0</v>
      </c>
      <c r="O1100" s="74"/>
      <c r="P1100" s="74" t="str">
        <f>IFERROR(__xludf.DUMMYFUNCTION("""COMPUTED_VALUE"""),"No Available")</f>
        <v>No Available</v>
      </c>
      <c r="Q1100" s="74"/>
      <c r="R1100" s="74"/>
      <c r="S1100" s="87">
        <f>IFERROR(__xludf.DUMMYFUNCTION("""COMPUTED_VALUE"""),0.0)</f>
        <v>0</v>
      </c>
      <c r="T1100" s="87">
        <f>IFERROR(__xludf.DUMMYFUNCTION("""COMPUTED_VALUE"""),0.0)</f>
        <v>0</v>
      </c>
      <c r="U1100" s="87">
        <f>IFERROR(__xludf.DUMMYFUNCTION("""COMPUTED_VALUE"""),0.0)</f>
        <v>0</v>
      </c>
      <c r="V1100" s="87">
        <f>IFERROR(__xludf.DUMMYFUNCTION("""COMPUTED_VALUE"""),0.0)</f>
        <v>0</v>
      </c>
      <c r="W1100" s="87">
        <f>IFERROR(__xludf.DUMMYFUNCTION("""COMPUTED_VALUE"""),0.0)</f>
        <v>0</v>
      </c>
      <c r="X1100" s="88"/>
      <c r="Y1100" s="74"/>
      <c r="Z1100" s="74"/>
    </row>
    <row r="1101">
      <c r="B1101" s="74" t="str">
        <f>IFERROR(__xludf.DUMMYFUNCTION("""COMPUTED_VALUE"""),"2099")</f>
        <v>2099</v>
      </c>
      <c r="C1101" s="74" t="str">
        <f>IFERROR(__xludf.DUMMYFUNCTION("""COMPUTED_VALUE"""),"75045892099")</f>
        <v>75045892099</v>
      </c>
      <c r="D1101" s="74" t="str">
        <f>IFERROR(__xludf.DUMMYFUNCTION("""COMPUTED_VALUE"""),"\\MCA-S\mk\2_BM\0_BMat\08_PYM\Inventario\excel\Imagen de refacciones\Schwing\Cutting Ring DN 210 _ Anillo de Corte DN 210")</f>
        <v>\\MCA-S\mk\2_BM\0_BMat\08_PYM\Inventario\excel\Imagen de refacciones\Schwing\Cutting Ring DN 210 _ Anillo de Corte DN 210</v>
      </c>
      <c r="E1101" s="74" t="str">
        <f>IFERROR(__xludf.DUMMYFUNCTION("""COMPUTED_VALUE"""),"CUTTING RING DN210 CARBIDE")</f>
        <v>CUTTING RING DN210 CARBIDE</v>
      </c>
      <c r="F1101" s="74" t="str">
        <f>IFERROR(__xludf.DUMMYFUNCTION("""COMPUTED_VALUE"""),"ANILLO CORTE DN210 CARBIDE")</f>
        <v>ANILLO CORTE DN210 CARBIDE</v>
      </c>
      <c r="G1101" s="74"/>
      <c r="H1101" s="74"/>
      <c r="I1101" s="74" t="str">
        <f>IFERROR(__xludf.DUMMYFUNCTION("""COMPUTED_VALUE"""),"10063939")</f>
        <v>10063939</v>
      </c>
      <c r="J1101" s="74"/>
      <c r="K1101" s="74" t="str">
        <f>IFERROR(__xludf.DUMMYFUNCTION("""COMPUTED_VALUE"""),"Schwing")</f>
        <v>Schwing</v>
      </c>
      <c r="L1101" s="74" t="str">
        <f>IFERROR(__xludf.DUMMYFUNCTION("""COMPUTED_VALUE"""),"BARRA V-ROCK")</f>
        <v>BARRA V-ROCK</v>
      </c>
      <c r="M1101" s="74" t="str">
        <f>IFERROR(__xludf.DUMMYFUNCTION("""COMPUTED_VALUE"""),"SIN ASIGNAR")</f>
        <v>SIN ASIGNAR</v>
      </c>
      <c r="N1101" s="87">
        <f>IFERROR(__xludf.DUMMYFUNCTION("""COMPUTED_VALUE"""),3818.4)</f>
        <v>3818.4</v>
      </c>
      <c r="O1101" s="74">
        <f>IFERROR(__xludf.DUMMYFUNCTION("""COMPUTED_VALUE"""),2.0)</f>
        <v>2</v>
      </c>
      <c r="P1101" s="74" t="str">
        <f>IFERROR(__xludf.DUMMYFUNCTION("""COMPUTED_VALUE"""),"Falta Ubicar")</f>
        <v>Falta Ubicar</v>
      </c>
      <c r="Q1101" s="74"/>
      <c r="R1101" s="74"/>
      <c r="S1101" s="87">
        <f>IFERROR(__xludf.DUMMYFUNCTION("""COMPUTED_VALUE"""),60.0)</f>
        <v>60</v>
      </c>
      <c r="T1101" s="87">
        <f>IFERROR(__xludf.DUMMYFUNCTION("""COMPUTED_VALUE"""),215.0)</f>
        <v>215</v>
      </c>
      <c r="U1101" s="87">
        <f>IFERROR(__xludf.DUMMYFUNCTION("""COMPUTED_VALUE"""),206.4)</f>
        <v>206.4</v>
      </c>
      <c r="V1101" s="87">
        <f>IFERROR(__xludf.DUMMYFUNCTION("""COMPUTED_VALUE"""),73.5)</f>
        <v>73.5</v>
      </c>
      <c r="W1101" s="87">
        <f>IFERROR(__xludf.DUMMYFUNCTION("""COMPUTED_VALUE"""),1378.125)</f>
        <v>1378.125</v>
      </c>
      <c r="X1101" s="88">
        <f>IFERROR(__xludf.DUMMYFUNCTION("""COMPUTED_VALUE"""),3.44)</f>
        <v>3.44</v>
      </c>
      <c r="Y1101" s="74"/>
      <c r="Z1101" s="74"/>
    </row>
    <row r="1102">
      <c r="B1102" s="74" t="str">
        <f>IFERROR(__xludf.DUMMYFUNCTION("""COMPUTED_VALUE"""),"2100")</f>
        <v>2100</v>
      </c>
      <c r="C1102" s="74"/>
      <c r="D1102" s="74" t="str">
        <f>IFERROR(__xludf.DUMMYFUNCTION("""COMPUTED_VALUE"""),"\\MCA-S\mk\2_BM\0_BMat\08_PYM\Inventario\excel\Imagen de refacciones\Schwing\Cutting Ring DN 220 _ Anillo de Corte DN 220")</f>
        <v>\\MCA-S\mk\2_BM\0_BMat\08_PYM\Inventario\excel\Imagen de refacciones\Schwing\Cutting Ring DN 220 _ Anillo de Corte DN 220</v>
      </c>
      <c r="E1102" s="74"/>
      <c r="F1102" s="74" t="str">
        <f>IFERROR(__xludf.DUMMYFUNCTION("""COMPUTED_VALUE"""),"Cutting Ring DN 220 / Anillo de Corte DN 220")</f>
        <v>Cutting Ring DN 220 / Anillo de Corte DN 220</v>
      </c>
      <c r="G1102" s="74"/>
      <c r="H1102" s="74"/>
      <c r="I1102" s="74" t="str">
        <f>IFERROR(__xludf.DUMMYFUNCTION("""COMPUTED_VALUE"""),"SOM30010")</f>
        <v>SOM30010</v>
      </c>
      <c r="J1102" s="74" t="str">
        <f>IFERROR(__xludf.DUMMYFUNCTION("""COMPUTED_VALUE"""),"10181040")</f>
        <v>10181040</v>
      </c>
      <c r="K1102" s="74" t="str">
        <f>IFERROR(__xludf.DUMMYFUNCTION("""COMPUTED_VALUE"""),"Schwing")</f>
        <v>Schwing</v>
      </c>
      <c r="L1102" s="74" t="str">
        <f>IFERROR(__xludf.DUMMYFUNCTION("""COMPUTED_VALUE"""),"Sistema de Bombeo de Concreto")</f>
        <v>Sistema de Bombeo de Concreto</v>
      </c>
      <c r="M1102" s="74" t="str">
        <f>IFERROR(__xludf.DUMMYFUNCTION("""COMPUTED_VALUE"""),"Sin Asignar")</f>
        <v>Sin Asignar</v>
      </c>
      <c r="N1102" s="87">
        <f>IFERROR(__xludf.DUMMYFUNCTION("""COMPUTED_VALUE"""),0.0)</f>
        <v>0</v>
      </c>
      <c r="O1102" s="74"/>
      <c r="P1102" s="74" t="str">
        <f>IFERROR(__xludf.DUMMYFUNCTION("""COMPUTED_VALUE"""),"No Available")</f>
        <v>No Available</v>
      </c>
      <c r="Q1102" s="74"/>
      <c r="R1102" s="74"/>
      <c r="S1102" s="87">
        <f>IFERROR(__xludf.DUMMYFUNCTION("""COMPUTED_VALUE"""),0.0)</f>
        <v>0</v>
      </c>
      <c r="T1102" s="87">
        <f>IFERROR(__xludf.DUMMYFUNCTION("""COMPUTED_VALUE"""),0.0)</f>
        <v>0</v>
      </c>
      <c r="U1102" s="87">
        <f>IFERROR(__xludf.DUMMYFUNCTION("""COMPUTED_VALUE"""),0.0)</f>
        <v>0</v>
      </c>
      <c r="V1102" s="87">
        <f>IFERROR(__xludf.DUMMYFUNCTION("""COMPUTED_VALUE"""),0.0)</f>
        <v>0</v>
      </c>
      <c r="W1102" s="87">
        <f>IFERROR(__xludf.DUMMYFUNCTION("""COMPUTED_VALUE"""),0.0)</f>
        <v>0</v>
      </c>
      <c r="X1102" s="88"/>
      <c r="Y1102" s="74"/>
      <c r="Z1102" s="74"/>
    </row>
    <row r="1103">
      <c r="B1103" s="74" t="str">
        <f>IFERROR(__xludf.DUMMYFUNCTION("""COMPUTED_VALUE"""),"2101")</f>
        <v>2101</v>
      </c>
      <c r="C1103" s="74"/>
      <c r="D1103" s="74" t="str">
        <f>IFERROR(__xludf.DUMMYFUNCTION("""COMPUTED_VALUE"""),"\\MCA-S\mk\2_BM\0_BMat\08_PYM\Inventario\excel\Imagen de refacciones\Schwing\Cutting Ring DN 230 _ Anillo de Corte DN 230")</f>
        <v>\\MCA-S\mk\2_BM\0_BMat\08_PYM\Inventario\excel\Imagen de refacciones\Schwing\Cutting Ring DN 230 _ Anillo de Corte DN 230</v>
      </c>
      <c r="E1103" s="74"/>
      <c r="F1103" s="74" t="str">
        <f>IFERROR(__xludf.DUMMYFUNCTION("""COMPUTED_VALUE"""),"Cutting Ring DN 230 / Anillo de Corte DN 230")</f>
        <v>Cutting Ring DN 230 / Anillo de Corte DN 230</v>
      </c>
      <c r="G1103" s="74"/>
      <c r="H1103" s="74"/>
      <c r="I1103" s="74" t="str">
        <f>IFERROR(__xludf.DUMMYFUNCTION("""COMPUTED_VALUE"""),"SOM30011")</f>
        <v>SOM30011</v>
      </c>
      <c r="J1103" s="74" t="str">
        <f>IFERROR(__xludf.DUMMYFUNCTION("""COMPUTED_VALUE"""),"10181039")</f>
        <v>10181039</v>
      </c>
      <c r="K1103" s="74" t="str">
        <f>IFERROR(__xludf.DUMMYFUNCTION("""COMPUTED_VALUE"""),"Schwing")</f>
        <v>Schwing</v>
      </c>
      <c r="L1103" s="74" t="str">
        <f>IFERROR(__xludf.DUMMYFUNCTION("""COMPUTED_VALUE"""),"Sistema de Bombeo de Concreto")</f>
        <v>Sistema de Bombeo de Concreto</v>
      </c>
      <c r="M1103" s="74" t="str">
        <f>IFERROR(__xludf.DUMMYFUNCTION("""COMPUTED_VALUE"""),"Sin Asignar")</f>
        <v>Sin Asignar</v>
      </c>
      <c r="N1103" s="87">
        <f>IFERROR(__xludf.DUMMYFUNCTION("""COMPUTED_VALUE"""),0.0)</f>
        <v>0</v>
      </c>
      <c r="O1103" s="74"/>
      <c r="P1103" s="74" t="str">
        <f>IFERROR(__xludf.DUMMYFUNCTION("""COMPUTED_VALUE"""),"No Available")</f>
        <v>No Available</v>
      </c>
      <c r="Q1103" s="74"/>
      <c r="R1103" s="74"/>
      <c r="S1103" s="87">
        <f>IFERROR(__xludf.DUMMYFUNCTION("""COMPUTED_VALUE"""),0.0)</f>
        <v>0</v>
      </c>
      <c r="T1103" s="87">
        <f>IFERROR(__xludf.DUMMYFUNCTION("""COMPUTED_VALUE"""),0.0)</f>
        <v>0</v>
      </c>
      <c r="U1103" s="87">
        <f>IFERROR(__xludf.DUMMYFUNCTION("""COMPUTED_VALUE"""),0.0)</f>
        <v>0</v>
      </c>
      <c r="V1103" s="87">
        <f>IFERROR(__xludf.DUMMYFUNCTION("""COMPUTED_VALUE"""),0.0)</f>
        <v>0</v>
      </c>
      <c r="W1103" s="87">
        <f>IFERROR(__xludf.DUMMYFUNCTION("""COMPUTED_VALUE"""),0.0)</f>
        <v>0</v>
      </c>
      <c r="X1103" s="88"/>
      <c r="Y1103" s="74"/>
      <c r="Z1103" s="74"/>
    </row>
    <row r="1104">
      <c r="B1104" s="74" t="str">
        <f>IFERROR(__xludf.DUMMYFUNCTION("""COMPUTED_VALUE"""),"2102")</f>
        <v>2102</v>
      </c>
      <c r="C1104" s="74"/>
      <c r="D1104" s="74" t="str">
        <f>IFERROR(__xludf.DUMMYFUNCTION("""COMPUTED_VALUE"""),"\\MCA-S\mk\2_BM\0_BMat\08_PYM\Inventario\excel\Imagen de refacciones\Schwing\CYL Weld 1200-2020-2023 _ Soldadura de Cilindro 1200-2020-2023")</f>
        <v>\\MCA-S\mk\2_BM\0_BMat\08_PYM\Inventario\excel\Imagen de refacciones\Schwing\CYL Weld 1200-2020-2023 _ Soldadura de Cilindro 1200-2020-2023</v>
      </c>
      <c r="E1104" s="74"/>
      <c r="F1104" s="74" t="str">
        <f>IFERROR(__xludf.DUMMYFUNCTION("""COMPUTED_VALUE"""),"CYL Weld 1200-2020-2023 / Soldadura de Cilindro 1200-2020-2023")</f>
        <v>CYL Weld 1200-2020-2023 / Soldadura de Cilindro 1200-2020-2023</v>
      </c>
      <c r="G1104" s="74"/>
      <c r="H1104" s="74"/>
      <c r="I1104" s="74" t="str">
        <f>IFERROR(__xludf.DUMMYFUNCTION("""COMPUTED_VALUE"""),"SOM30118")</f>
        <v>SOM30118</v>
      </c>
      <c r="J1104" s="74" t="str">
        <f>IFERROR(__xludf.DUMMYFUNCTION("""COMPUTED_VALUE"""),"10031419")</f>
        <v>10031419</v>
      </c>
      <c r="K1104" s="74" t="str">
        <f>IFERROR(__xludf.DUMMYFUNCTION("""COMPUTED_VALUE"""),"Schwing")</f>
        <v>Schwing</v>
      </c>
      <c r="L1104" s="74" t="str">
        <f>IFERROR(__xludf.DUMMYFUNCTION("""COMPUTED_VALUE"""),"Sistema de Bombeo de Concreto")</f>
        <v>Sistema de Bombeo de Concreto</v>
      </c>
      <c r="M1104" s="74" t="str">
        <f>IFERROR(__xludf.DUMMYFUNCTION("""COMPUTED_VALUE"""),"Sin Asignar")</f>
        <v>Sin Asignar</v>
      </c>
      <c r="N1104" s="87">
        <f>IFERROR(__xludf.DUMMYFUNCTION("""COMPUTED_VALUE"""),0.0)</f>
        <v>0</v>
      </c>
      <c r="O1104" s="74"/>
      <c r="P1104" s="74" t="str">
        <f>IFERROR(__xludf.DUMMYFUNCTION("""COMPUTED_VALUE"""),"No Available")</f>
        <v>No Available</v>
      </c>
      <c r="Q1104" s="74"/>
      <c r="R1104" s="74"/>
      <c r="S1104" s="87">
        <f>IFERROR(__xludf.DUMMYFUNCTION("""COMPUTED_VALUE"""),0.0)</f>
        <v>0</v>
      </c>
      <c r="T1104" s="87">
        <f>IFERROR(__xludf.DUMMYFUNCTION("""COMPUTED_VALUE"""),0.0)</f>
        <v>0</v>
      </c>
      <c r="U1104" s="87">
        <f>IFERROR(__xludf.DUMMYFUNCTION("""COMPUTED_VALUE"""),0.0)</f>
        <v>0</v>
      </c>
      <c r="V1104" s="87">
        <f>IFERROR(__xludf.DUMMYFUNCTION("""COMPUTED_VALUE"""),0.0)</f>
        <v>0</v>
      </c>
      <c r="W1104" s="87">
        <f>IFERROR(__xludf.DUMMYFUNCTION("""COMPUTED_VALUE"""),0.0)</f>
        <v>0</v>
      </c>
      <c r="X1104" s="88"/>
      <c r="Y1104" s="74"/>
      <c r="Z1104" s="74"/>
    </row>
    <row r="1105">
      <c r="B1105" s="74" t="str">
        <f>IFERROR(__xludf.DUMMYFUNCTION("""COMPUTED_VALUE"""),"2103")</f>
        <v>2103</v>
      </c>
      <c r="C1105" s="74"/>
      <c r="D1105" s="74" t="str">
        <f>IFERROR(__xludf.DUMMYFUNCTION("""COMPUTED_VALUE"""),"\\MCA-S\mk\2_BM\0_BMat\08_PYM\Inventario\excel\Imagen de refacciones\Schwing\CYL Weld 2023 120X2000 _ Soldadura de Cilindro 2023 120X2000")</f>
        <v>\\MCA-S\mk\2_BM\0_BMat\08_PYM\Inventario\excel\Imagen de refacciones\Schwing\CYL Weld 2023 120X2000 _ Soldadura de Cilindro 2023 120X2000</v>
      </c>
      <c r="E1105" s="74"/>
      <c r="F1105" s="74" t="str">
        <f>IFERROR(__xludf.DUMMYFUNCTION("""COMPUTED_VALUE"""),"CYL Weld 2023 120X2000 / Soldadura de Cilindro 2023 120X2000")</f>
        <v>CYL Weld 2023 120X2000 / Soldadura de Cilindro 2023 120X2000</v>
      </c>
      <c r="G1105" s="74"/>
      <c r="H1105" s="74"/>
      <c r="I1105" s="74" t="str">
        <f>IFERROR(__xludf.DUMMYFUNCTION("""COMPUTED_VALUE"""),"SOM30117")</f>
        <v>SOM30117</v>
      </c>
      <c r="J1105" s="74" t="str">
        <f>IFERROR(__xludf.DUMMYFUNCTION("""COMPUTED_VALUE"""),"10164039 / 10031493")</f>
        <v>10164039 / 10031493</v>
      </c>
      <c r="K1105" s="74" t="str">
        <f>IFERROR(__xludf.DUMMYFUNCTION("""COMPUTED_VALUE"""),"Schwing")</f>
        <v>Schwing</v>
      </c>
      <c r="L1105" s="74" t="str">
        <f>IFERROR(__xludf.DUMMYFUNCTION("""COMPUTED_VALUE"""),"Sistema de Bombeo de Concreto")</f>
        <v>Sistema de Bombeo de Concreto</v>
      </c>
      <c r="M1105" s="74" t="str">
        <f>IFERROR(__xludf.DUMMYFUNCTION("""COMPUTED_VALUE"""),"Sin Asignar")</f>
        <v>Sin Asignar</v>
      </c>
      <c r="N1105" s="87">
        <f>IFERROR(__xludf.DUMMYFUNCTION("""COMPUTED_VALUE"""),0.0)</f>
        <v>0</v>
      </c>
      <c r="O1105" s="74"/>
      <c r="P1105" s="74" t="str">
        <f>IFERROR(__xludf.DUMMYFUNCTION("""COMPUTED_VALUE"""),"No Available")</f>
        <v>No Available</v>
      </c>
      <c r="Q1105" s="74"/>
      <c r="R1105" s="74"/>
      <c r="S1105" s="87">
        <f>IFERROR(__xludf.DUMMYFUNCTION("""COMPUTED_VALUE"""),0.0)</f>
        <v>0</v>
      </c>
      <c r="T1105" s="87">
        <f>IFERROR(__xludf.DUMMYFUNCTION("""COMPUTED_VALUE"""),0.0)</f>
        <v>0</v>
      </c>
      <c r="U1105" s="87">
        <f>IFERROR(__xludf.DUMMYFUNCTION("""COMPUTED_VALUE"""),0.0)</f>
        <v>0</v>
      </c>
      <c r="V1105" s="87">
        <f>IFERROR(__xludf.DUMMYFUNCTION("""COMPUTED_VALUE"""),0.0)</f>
        <v>0</v>
      </c>
      <c r="W1105" s="87">
        <f>IFERROR(__xludf.DUMMYFUNCTION("""COMPUTED_VALUE"""),0.0)</f>
        <v>0</v>
      </c>
      <c r="X1105" s="88"/>
      <c r="Y1105" s="74"/>
      <c r="Z1105" s="74"/>
    </row>
    <row r="1106">
      <c r="B1106" s="74" t="str">
        <f>IFERROR(__xludf.DUMMYFUNCTION("""COMPUTED_VALUE"""),"2104")</f>
        <v>2104</v>
      </c>
      <c r="C1106" s="74"/>
      <c r="D1106" s="74" t="str">
        <f>IFERROR(__xludf.DUMMYFUNCTION("""COMPUTED_VALUE"""),"\\MCA-S\mk\2_BM\0_BMat\08_PYM\Inventario\excel\Imagen de refacciones\Schwing\CYL Weld 2023 130X2000 _ Soldadura de Cilindro 2023 130X2000")</f>
        <v>\\MCA-S\mk\2_BM\0_BMat\08_PYM\Inventario\excel\Imagen de refacciones\Schwing\CYL Weld 2023 130X2000 _ Soldadura de Cilindro 2023 130X2000</v>
      </c>
      <c r="E1106" s="74"/>
      <c r="F1106" s="74" t="str">
        <f>IFERROR(__xludf.DUMMYFUNCTION("""COMPUTED_VALUE"""),"CYL Weld 2023 130X2000 / Soldadura de Cilindro 2023 130X2000")</f>
        <v>CYL Weld 2023 130X2000 / Soldadura de Cilindro 2023 130X2000</v>
      </c>
      <c r="G1106" s="74"/>
      <c r="H1106" s="74"/>
      <c r="I1106" s="74" t="str">
        <f>IFERROR(__xludf.DUMMYFUNCTION("""COMPUTED_VALUE"""),"SOM30119")</f>
        <v>SOM30119</v>
      </c>
      <c r="J1106" s="74" t="str">
        <f>IFERROR(__xludf.DUMMYFUNCTION("""COMPUTED_VALUE"""),"10023480")</f>
        <v>10023480</v>
      </c>
      <c r="K1106" s="74" t="str">
        <f>IFERROR(__xludf.DUMMYFUNCTION("""COMPUTED_VALUE"""),"Schwing")</f>
        <v>Schwing</v>
      </c>
      <c r="L1106" s="74" t="str">
        <f>IFERROR(__xludf.DUMMYFUNCTION("""COMPUTED_VALUE"""),"Sistema de Bombeo de Concreto")</f>
        <v>Sistema de Bombeo de Concreto</v>
      </c>
      <c r="M1106" s="74" t="str">
        <f>IFERROR(__xludf.DUMMYFUNCTION("""COMPUTED_VALUE"""),"Sin Asignar")</f>
        <v>Sin Asignar</v>
      </c>
      <c r="N1106" s="87">
        <f>IFERROR(__xludf.DUMMYFUNCTION("""COMPUTED_VALUE"""),0.0)</f>
        <v>0</v>
      </c>
      <c r="O1106" s="74"/>
      <c r="P1106" s="74" t="str">
        <f>IFERROR(__xludf.DUMMYFUNCTION("""COMPUTED_VALUE"""),"No Available")</f>
        <v>No Available</v>
      </c>
      <c r="Q1106" s="74"/>
      <c r="R1106" s="74"/>
      <c r="S1106" s="87">
        <f>IFERROR(__xludf.DUMMYFUNCTION("""COMPUTED_VALUE"""),0.0)</f>
        <v>0</v>
      </c>
      <c r="T1106" s="87">
        <f>IFERROR(__xludf.DUMMYFUNCTION("""COMPUTED_VALUE"""),0.0)</f>
        <v>0</v>
      </c>
      <c r="U1106" s="87">
        <f>IFERROR(__xludf.DUMMYFUNCTION("""COMPUTED_VALUE"""),0.0)</f>
        <v>0</v>
      </c>
      <c r="V1106" s="87">
        <f>IFERROR(__xludf.DUMMYFUNCTION("""COMPUTED_VALUE"""),0.0)</f>
        <v>0</v>
      </c>
      <c r="W1106" s="87">
        <f>IFERROR(__xludf.DUMMYFUNCTION("""COMPUTED_VALUE"""),0.0)</f>
        <v>0</v>
      </c>
      <c r="X1106" s="88"/>
      <c r="Y1106" s="74"/>
      <c r="Z1106" s="74"/>
    </row>
    <row r="1107">
      <c r="B1107" s="74" t="str">
        <f>IFERROR(__xludf.DUMMYFUNCTION("""COMPUTED_VALUE"""),"2105")</f>
        <v>2105</v>
      </c>
      <c r="C1107" s="74"/>
      <c r="D1107" s="74" t="str">
        <f>IFERROR(__xludf.DUMMYFUNCTION("""COMPUTED_VALUE"""),"\\MCA-S\mk\2_BM\0_BMat\08_PYM\Inventario\excel\Imagen de refacciones\Schwing\CYL Weld 2525 120X2500 _ Soldadura de Cilindro 2525 120X2500")</f>
        <v>\\MCA-S\mk\2_BM\0_BMat\08_PYM\Inventario\excel\Imagen de refacciones\Schwing\CYL Weld 2525 120X2500 _ Soldadura de Cilindro 2525 120X2500</v>
      </c>
      <c r="E1107" s="74"/>
      <c r="F1107" s="74" t="str">
        <f>IFERROR(__xludf.DUMMYFUNCTION("""COMPUTED_VALUE"""),"CYL Weld 2525 120X2500 / Soldadura de Cilindro 2525 120X2500")</f>
        <v>CYL Weld 2525 120X2500 / Soldadura de Cilindro 2525 120X2500</v>
      </c>
      <c r="G1107" s="74"/>
      <c r="H1107" s="74"/>
      <c r="I1107" s="74" t="str">
        <f>IFERROR(__xludf.DUMMYFUNCTION("""COMPUTED_VALUE"""),"SOM30120")</f>
        <v>SOM30120</v>
      </c>
      <c r="J1107" s="74" t="str">
        <f>IFERROR(__xludf.DUMMYFUNCTION("""COMPUTED_VALUE"""),"10164039")</f>
        <v>10164039</v>
      </c>
      <c r="K1107" s="74" t="str">
        <f>IFERROR(__xludf.DUMMYFUNCTION("""COMPUTED_VALUE"""),"Schwing")</f>
        <v>Schwing</v>
      </c>
      <c r="L1107" s="74" t="str">
        <f>IFERROR(__xludf.DUMMYFUNCTION("""COMPUTED_VALUE"""),"Sistema de Bombeo de Concreto")</f>
        <v>Sistema de Bombeo de Concreto</v>
      </c>
      <c r="M1107" s="74" t="str">
        <f>IFERROR(__xludf.DUMMYFUNCTION("""COMPUTED_VALUE"""),"Sin Asignar")</f>
        <v>Sin Asignar</v>
      </c>
      <c r="N1107" s="87">
        <f>IFERROR(__xludf.DUMMYFUNCTION("""COMPUTED_VALUE"""),0.0)</f>
        <v>0</v>
      </c>
      <c r="O1107" s="74"/>
      <c r="P1107" s="74" t="str">
        <f>IFERROR(__xludf.DUMMYFUNCTION("""COMPUTED_VALUE"""),"No Available")</f>
        <v>No Available</v>
      </c>
      <c r="Q1107" s="74"/>
      <c r="R1107" s="74"/>
      <c r="S1107" s="87">
        <f>IFERROR(__xludf.DUMMYFUNCTION("""COMPUTED_VALUE"""),0.0)</f>
        <v>0</v>
      </c>
      <c r="T1107" s="87">
        <f>IFERROR(__xludf.DUMMYFUNCTION("""COMPUTED_VALUE"""),0.0)</f>
        <v>0</v>
      </c>
      <c r="U1107" s="87">
        <f>IFERROR(__xludf.DUMMYFUNCTION("""COMPUTED_VALUE"""),0.0)</f>
        <v>0</v>
      </c>
      <c r="V1107" s="87">
        <f>IFERROR(__xludf.DUMMYFUNCTION("""COMPUTED_VALUE"""),0.0)</f>
        <v>0</v>
      </c>
      <c r="W1107" s="87">
        <f>IFERROR(__xludf.DUMMYFUNCTION("""COMPUTED_VALUE"""),0.0)</f>
        <v>0</v>
      </c>
      <c r="X1107" s="88"/>
      <c r="Y1107" s="74"/>
      <c r="Z1107" s="74"/>
    </row>
    <row r="1108">
      <c r="B1108" s="74" t="str">
        <f>IFERROR(__xludf.DUMMYFUNCTION("""COMPUTED_VALUE"""),"2106")</f>
        <v>2106</v>
      </c>
      <c r="C1108" s="74"/>
      <c r="D1108" s="74" t="str">
        <f>IFERROR(__xludf.DUMMYFUNCTION("""COMPUTED_VALUE"""),"\\MCA-S\mk\2_BM\0_BMat\08_PYM\Inventario\excel\Imagen de refacciones\Schwing\Cylinder _ Cilindro")</f>
        <v>\\MCA-S\mk\2_BM\0_BMat\08_PYM\Inventario\excel\Imagen de refacciones\Schwing\Cylinder _ Cilindro</v>
      </c>
      <c r="E1108" s="74"/>
      <c r="F1108" s="74" t="str">
        <f>IFERROR(__xludf.DUMMYFUNCTION("""COMPUTED_VALUE"""),"Cylinder / Cilindro")</f>
        <v>Cylinder / Cilindro</v>
      </c>
      <c r="G1108" s="74"/>
      <c r="H1108" s="74"/>
      <c r="I1108" s="74" t="str">
        <f>IFERROR(__xludf.DUMMYFUNCTION("""COMPUTED_VALUE"""),"SOM30066")</f>
        <v>SOM30066</v>
      </c>
      <c r="J1108" s="74" t="str">
        <f>IFERROR(__xludf.DUMMYFUNCTION("""COMPUTED_VALUE"""),"10017557")</f>
        <v>10017557</v>
      </c>
      <c r="K1108" s="74" t="str">
        <f>IFERROR(__xludf.DUMMYFUNCTION("""COMPUTED_VALUE"""),"Schwing")</f>
        <v>Schwing</v>
      </c>
      <c r="L1108" s="74" t="str">
        <f>IFERROR(__xludf.DUMMYFUNCTION("""COMPUTED_VALUE"""),"Componentes Estructurales y de Montaje")</f>
        <v>Componentes Estructurales y de Montaje</v>
      </c>
      <c r="M1108" s="74" t="str">
        <f>IFERROR(__xludf.DUMMYFUNCTION("""COMPUTED_VALUE"""),"Sin Asignar")</f>
        <v>Sin Asignar</v>
      </c>
      <c r="N1108" s="87">
        <f>IFERROR(__xludf.DUMMYFUNCTION("""COMPUTED_VALUE"""),0.0)</f>
        <v>0</v>
      </c>
      <c r="O1108" s="74"/>
      <c r="P1108" s="74" t="str">
        <f>IFERROR(__xludf.DUMMYFUNCTION("""COMPUTED_VALUE"""),"No Available")</f>
        <v>No Available</v>
      </c>
      <c r="Q1108" s="74"/>
      <c r="R1108" s="74"/>
      <c r="S1108" s="87">
        <f>IFERROR(__xludf.DUMMYFUNCTION("""COMPUTED_VALUE"""),0.0)</f>
        <v>0</v>
      </c>
      <c r="T1108" s="87">
        <f>IFERROR(__xludf.DUMMYFUNCTION("""COMPUTED_VALUE"""),0.0)</f>
        <v>0</v>
      </c>
      <c r="U1108" s="87">
        <f>IFERROR(__xludf.DUMMYFUNCTION("""COMPUTED_VALUE"""),0.0)</f>
        <v>0</v>
      </c>
      <c r="V1108" s="87">
        <f>IFERROR(__xludf.DUMMYFUNCTION("""COMPUTED_VALUE"""),0.0)</f>
        <v>0</v>
      </c>
      <c r="W1108" s="87">
        <f>IFERROR(__xludf.DUMMYFUNCTION("""COMPUTED_VALUE"""),0.0)</f>
        <v>0</v>
      </c>
      <c r="X1108" s="88"/>
      <c r="Y1108" s="74"/>
      <c r="Z1108" s="74"/>
    </row>
    <row r="1109">
      <c r="B1109" s="74" t="str">
        <f>IFERROR(__xludf.DUMMYFUNCTION("""COMPUTED_VALUE"""),"2107")</f>
        <v>2107</v>
      </c>
      <c r="C1109" s="74"/>
      <c r="D1109" s="74" t="str">
        <f>IFERROR(__xludf.DUMMYFUNCTION("""COMPUTED_VALUE"""),"\\MCA-S\mk\2_BM\0_BMat\08_PYM\Inventario\excel\Imagen de refacciones\Schwing\Cylinder Block _ Bloque de Cilindros")</f>
        <v>\\MCA-S\mk\2_BM\0_BMat\08_PYM\Inventario\excel\Imagen de refacciones\Schwing\Cylinder Block _ Bloque de Cilindros</v>
      </c>
      <c r="E1109" s="74"/>
      <c r="F1109" s="74" t="str">
        <f>IFERROR(__xludf.DUMMYFUNCTION("""COMPUTED_VALUE"""),"Cylinder Block / Bloque de Cilindros")</f>
        <v>Cylinder Block / Bloque de Cilindros</v>
      </c>
      <c r="G1109" s="74"/>
      <c r="H1109" s="74"/>
      <c r="I1109" s="74" t="str">
        <f>IFERROR(__xludf.DUMMYFUNCTION("""COMPUTED_VALUE"""),"SOM30116")</f>
        <v>SOM30116</v>
      </c>
      <c r="J1109" s="74" t="str">
        <f>IFERROR(__xludf.DUMMYFUNCTION("""COMPUTED_VALUE"""),"10023297")</f>
        <v>10023297</v>
      </c>
      <c r="K1109" s="74" t="str">
        <f>IFERROR(__xludf.DUMMYFUNCTION("""COMPUTED_VALUE"""),"Schwing")</f>
        <v>Schwing</v>
      </c>
      <c r="L1109" s="74" t="str">
        <f>IFERROR(__xludf.DUMMYFUNCTION("""COMPUTED_VALUE"""),"Componentes Estructurales y de Montaje")</f>
        <v>Componentes Estructurales y de Montaje</v>
      </c>
      <c r="M1109" s="74" t="str">
        <f>IFERROR(__xludf.DUMMYFUNCTION("""COMPUTED_VALUE"""),"Sin Asignar")</f>
        <v>Sin Asignar</v>
      </c>
      <c r="N1109" s="87">
        <f>IFERROR(__xludf.DUMMYFUNCTION("""COMPUTED_VALUE"""),0.0)</f>
        <v>0</v>
      </c>
      <c r="O1109" s="74"/>
      <c r="P1109" s="74" t="str">
        <f>IFERROR(__xludf.DUMMYFUNCTION("""COMPUTED_VALUE"""),"No Available")</f>
        <v>No Available</v>
      </c>
      <c r="Q1109" s="74"/>
      <c r="R1109" s="74"/>
      <c r="S1109" s="87">
        <f>IFERROR(__xludf.DUMMYFUNCTION("""COMPUTED_VALUE"""),0.0)</f>
        <v>0</v>
      </c>
      <c r="T1109" s="87">
        <f>IFERROR(__xludf.DUMMYFUNCTION("""COMPUTED_VALUE"""),0.0)</f>
        <v>0</v>
      </c>
      <c r="U1109" s="87">
        <f>IFERROR(__xludf.DUMMYFUNCTION("""COMPUTED_VALUE"""),0.0)</f>
        <v>0</v>
      </c>
      <c r="V1109" s="87">
        <f>IFERROR(__xludf.DUMMYFUNCTION("""COMPUTED_VALUE"""),0.0)</f>
        <v>0</v>
      </c>
      <c r="W1109" s="87">
        <f>IFERROR(__xludf.DUMMYFUNCTION("""COMPUTED_VALUE"""),0.0)</f>
        <v>0</v>
      </c>
      <c r="X1109" s="88"/>
      <c r="Y1109" s="74"/>
      <c r="Z1109" s="74"/>
    </row>
    <row r="1110">
      <c r="B1110" s="74" t="str">
        <f>IFERROR(__xludf.DUMMYFUNCTION("""COMPUTED_VALUE"""),"2108")</f>
        <v>2108</v>
      </c>
      <c r="C1110" s="74"/>
      <c r="D1110" s="74" t="str">
        <f>IFERROR(__xludf.DUMMYFUNCTION("""COMPUTED_VALUE"""),"\\MCA-S\mk\2_BM\0_BMat\08_PYM\Inventario\excel\Imagen de refacciones\Schwing\Cylinder Head _ Cabeza de Cilindro")</f>
        <v>\\MCA-S\mk\2_BM\0_BMat\08_PYM\Inventario\excel\Imagen de refacciones\Schwing\Cylinder Head _ Cabeza de Cilindro</v>
      </c>
      <c r="E1110" s="74"/>
      <c r="F1110" s="74" t="str">
        <f>IFERROR(__xludf.DUMMYFUNCTION("""COMPUTED_VALUE"""),"Cylinder Head / Cabeza de Cilindro")</f>
        <v>Cylinder Head / Cabeza de Cilindro</v>
      </c>
      <c r="G1110" s="74"/>
      <c r="H1110" s="74"/>
      <c r="I1110" s="74" t="str">
        <f>IFERROR(__xludf.DUMMYFUNCTION("""COMPUTED_VALUE"""),"SOM30069")</f>
        <v>SOM30069</v>
      </c>
      <c r="J1110" s="74" t="str">
        <f>IFERROR(__xludf.DUMMYFUNCTION("""COMPUTED_VALUE"""),"10017555")</f>
        <v>10017555</v>
      </c>
      <c r="K1110" s="74" t="str">
        <f>IFERROR(__xludf.DUMMYFUNCTION("""COMPUTED_VALUE"""),"Schwing")</f>
        <v>Schwing</v>
      </c>
      <c r="L1110" s="74" t="str">
        <f>IFERROR(__xludf.DUMMYFUNCTION("""COMPUTED_VALUE"""),"Componentes Hidráulicos")</f>
        <v>Componentes Hidráulicos</v>
      </c>
      <c r="M1110" s="74" t="str">
        <f>IFERROR(__xludf.DUMMYFUNCTION("""COMPUTED_VALUE"""),"Sin Asignar")</f>
        <v>Sin Asignar</v>
      </c>
      <c r="N1110" s="87">
        <f>IFERROR(__xludf.DUMMYFUNCTION("""COMPUTED_VALUE"""),0.0)</f>
        <v>0</v>
      </c>
      <c r="O1110" s="74"/>
      <c r="P1110" s="74" t="str">
        <f>IFERROR(__xludf.DUMMYFUNCTION("""COMPUTED_VALUE"""),"borrar")</f>
        <v>borrar</v>
      </c>
      <c r="Q1110" s="74"/>
      <c r="R1110" s="74"/>
      <c r="S1110" s="87">
        <f>IFERROR(__xludf.DUMMYFUNCTION("""COMPUTED_VALUE"""),0.0)</f>
        <v>0</v>
      </c>
      <c r="T1110" s="87">
        <f>IFERROR(__xludf.DUMMYFUNCTION("""COMPUTED_VALUE"""),0.0)</f>
        <v>0</v>
      </c>
      <c r="U1110" s="87">
        <f>IFERROR(__xludf.DUMMYFUNCTION("""COMPUTED_VALUE"""),0.0)</f>
        <v>0</v>
      </c>
      <c r="V1110" s="87">
        <f>IFERROR(__xludf.DUMMYFUNCTION("""COMPUTED_VALUE"""),0.0)</f>
        <v>0</v>
      </c>
      <c r="W1110" s="87">
        <f>IFERROR(__xludf.DUMMYFUNCTION("""COMPUTED_VALUE"""),0.0)</f>
        <v>0</v>
      </c>
      <c r="X1110" s="88"/>
      <c r="Y1110" s="74"/>
      <c r="Z1110" s="74"/>
    </row>
    <row r="1111">
      <c r="B1111" s="74" t="str">
        <f>IFERROR(__xludf.DUMMYFUNCTION("""COMPUTED_VALUE"""),"2109")</f>
        <v>2109</v>
      </c>
      <c r="C1111" s="74"/>
      <c r="D1111" s="74" t="str">
        <f>IFERROR(__xludf.DUMMYFUNCTION("""COMPUTED_VALUE"""),"\\MCA-S\mk\2_BM\0_BMat\08_PYM\Inventario\excel\Imagen de refacciones\Schwing\Cylinder Head _ Cabeza de Cilindro (1)")</f>
        <v>\\MCA-S\mk\2_BM\0_BMat\08_PYM\Inventario\excel\Imagen de refacciones\Schwing\Cylinder Head _ Cabeza de Cilindro (1)</v>
      </c>
      <c r="E1111" s="74"/>
      <c r="F1111" s="74" t="str">
        <f>IFERROR(__xludf.DUMMYFUNCTION("""COMPUTED_VALUE"""),"Cylinder Head / Cabeza de Cilindro")</f>
        <v>Cylinder Head / Cabeza de Cilindro</v>
      </c>
      <c r="G1111" s="74"/>
      <c r="H1111" s="74"/>
      <c r="I1111" s="74" t="str">
        <f>IFERROR(__xludf.DUMMYFUNCTION("""COMPUTED_VALUE"""),"SOM30070")</f>
        <v>SOM30070</v>
      </c>
      <c r="J1111" s="74" t="str">
        <f>IFERROR(__xludf.DUMMYFUNCTION("""COMPUTED_VALUE"""),"10094649 / 10017558")</f>
        <v>10094649 / 10017558</v>
      </c>
      <c r="K1111" s="74" t="str">
        <f>IFERROR(__xludf.DUMMYFUNCTION("""COMPUTED_VALUE"""),"Schwing")</f>
        <v>Schwing</v>
      </c>
      <c r="L1111" s="74" t="str">
        <f>IFERROR(__xludf.DUMMYFUNCTION("""COMPUTED_VALUE"""),"Componentes Hidráulicos")</f>
        <v>Componentes Hidráulicos</v>
      </c>
      <c r="M1111" s="74" t="str">
        <f>IFERROR(__xludf.DUMMYFUNCTION("""COMPUTED_VALUE"""),"Sin Asignar")</f>
        <v>Sin Asignar</v>
      </c>
      <c r="N1111" s="87">
        <f>IFERROR(__xludf.DUMMYFUNCTION("""COMPUTED_VALUE"""),0.0)</f>
        <v>0</v>
      </c>
      <c r="O1111" s="74"/>
      <c r="P1111" s="74" t="str">
        <f>IFERROR(__xludf.DUMMYFUNCTION("""COMPUTED_VALUE"""),"borrar")</f>
        <v>borrar</v>
      </c>
      <c r="Q1111" s="74"/>
      <c r="R1111" s="74"/>
      <c r="S1111" s="87">
        <f>IFERROR(__xludf.DUMMYFUNCTION("""COMPUTED_VALUE"""),0.0)</f>
        <v>0</v>
      </c>
      <c r="T1111" s="87">
        <f>IFERROR(__xludf.DUMMYFUNCTION("""COMPUTED_VALUE"""),0.0)</f>
        <v>0</v>
      </c>
      <c r="U1111" s="87">
        <f>IFERROR(__xludf.DUMMYFUNCTION("""COMPUTED_VALUE"""),0.0)</f>
        <v>0</v>
      </c>
      <c r="V1111" s="87">
        <f>IFERROR(__xludf.DUMMYFUNCTION("""COMPUTED_VALUE"""),0.0)</f>
        <v>0</v>
      </c>
      <c r="W1111" s="87">
        <f>IFERROR(__xludf.DUMMYFUNCTION("""COMPUTED_VALUE"""),0.0)</f>
        <v>0</v>
      </c>
      <c r="X1111" s="88"/>
      <c r="Y1111" s="74"/>
      <c r="Z1111" s="74"/>
    </row>
    <row r="1112">
      <c r="B1112" s="74" t="str">
        <f>IFERROR(__xludf.DUMMYFUNCTION("""COMPUTED_VALUE"""),"2110")</f>
        <v>2110</v>
      </c>
      <c r="C1112" s="74"/>
      <c r="D1112" s="74" t="str">
        <f>IFERROR(__xludf.DUMMYFUNCTION("""COMPUTED_VALUE"""),"\\MCA-S\mk\2_BM\0_BMat\08_PYM\Inventario\excel\Imagen de refacciones\Schwing\Cylinder Support _ Soporte de Cilindro")</f>
        <v>\\MCA-S\mk\2_BM\0_BMat\08_PYM\Inventario\excel\Imagen de refacciones\Schwing\Cylinder Support _ Soporte de Cilindro</v>
      </c>
      <c r="E1112" s="74"/>
      <c r="F1112" s="74" t="str">
        <f>IFERROR(__xludf.DUMMYFUNCTION("""COMPUTED_VALUE"""),"Cylinder Support / Soporte de Cilindro")</f>
        <v>Cylinder Support / Soporte de Cilindro</v>
      </c>
      <c r="G1112" s="74"/>
      <c r="H1112" s="74"/>
      <c r="I1112" s="74" t="str">
        <f>IFERROR(__xludf.DUMMYFUNCTION("""COMPUTED_VALUE"""),"SOM30062")</f>
        <v>SOM30062</v>
      </c>
      <c r="J1112" s="74" t="str">
        <f>IFERROR(__xludf.DUMMYFUNCTION("""COMPUTED_VALUE"""),"10058466")</f>
        <v>10058466</v>
      </c>
      <c r="K1112" s="74" t="str">
        <f>IFERROR(__xludf.DUMMYFUNCTION("""COMPUTED_VALUE"""),"Schwing")</f>
        <v>Schwing</v>
      </c>
      <c r="L1112" s="74" t="str">
        <f>IFERROR(__xludf.DUMMYFUNCTION("""COMPUTED_VALUE"""),"Componentes Estructurales y de Montaje")</f>
        <v>Componentes Estructurales y de Montaje</v>
      </c>
      <c r="M1112" s="74" t="str">
        <f>IFERROR(__xludf.DUMMYFUNCTION("""COMPUTED_VALUE"""),"Sin Asignar")</f>
        <v>Sin Asignar</v>
      </c>
      <c r="N1112" s="87">
        <f>IFERROR(__xludf.DUMMYFUNCTION("""COMPUTED_VALUE"""),0.0)</f>
        <v>0</v>
      </c>
      <c r="O1112" s="74"/>
      <c r="P1112" s="74" t="str">
        <f>IFERROR(__xludf.DUMMYFUNCTION("""COMPUTED_VALUE"""),"No Available")</f>
        <v>No Available</v>
      </c>
      <c r="Q1112" s="74"/>
      <c r="R1112" s="74"/>
      <c r="S1112" s="87">
        <f>IFERROR(__xludf.DUMMYFUNCTION("""COMPUTED_VALUE"""),0.0)</f>
        <v>0</v>
      </c>
      <c r="T1112" s="87">
        <f>IFERROR(__xludf.DUMMYFUNCTION("""COMPUTED_VALUE"""),0.0)</f>
        <v>0</v>
      </c>
      <c r="U1112" s="87">
        <f>IFERROR(__xludf.DUMMYFUNCTION("""COMPUTED_VALUE"""),0.0)</f>
        <v>0</v>
      </c>
      <c r="V1112" s="87">
        <f>IFERROR(__xludf.DUMMYFUNCTION("""COMPUTED_VALUE"""),0.0)</f>
        <v>0</v>
      </c>
      <c r="W1112" s="87">
        <f>IFERROR(__xludf.DUMMYFUNCTION("""COMPUTED_VALUE"""),0.0)</f>
        <v>0</v>
      </c>
      <c r="X1112" s="88"/>
      <c r="Y1112" s="74"/>
      <c r="Z1112" s="74"/>
    </row>
    <row r="1113">
      <c r="B1113" s="74" t="str">
        <f>IFERROR(__xludf.DUMMYFUNCTION("""COMPUTED_VALUE"""),"2111")</f>
        <v>2111</v>
      </c>
      <c r="C1113" s="74"/>
      <c r="D1113" s="74" t="str">
        <f>IFERROR(__xludf.DUMMYFUNCTION("""COMPUTED_VALUE"""),"\\MCA-S\mk\2_BM\0_BMat\08_PYM\Inventario\excel\Imagen de refacciones\Schwing\Delivery Cylinder DN 160 _ Cilindro de Entrega DN 160")</f>
        <v>\\MCA-S\mk\2_BM\0_BMat\08_PYM\Inventario\excel\Imagen de refacciones\Schwing\Delivery Cylinder DN 160 _ Cilindro de Entrega DN 160</v>
      </c>
      <c r="E1113" s="74"/>
      <c r="F1113" s="74" t="str">
        <f>IFERROR(__xludf.DUMMYFUNCTION("""COMPUTED_VALUE"""),"Delivery Cylinder DN 160 / Cilindro de Entrega DN 160")</f>
        <v>Delivery Cylinder DN 160 / Cilindro de Entrega DN 160</v>
      </c>
      <c r="G1113" s="74"/>
      <c r="H1113" s="74"/>
      <c r="I1113" s="74" t="str">
        <f>IFERROR(__xludf.DUMMYFUNCTION("""COMPUTED_VALUE"""),"SOM30081")</f>
        <v>SOM30081</v>
      </c>
      <c r="J1113" s="74" t="str">
        <f>IFERROR(__xludf.DUMMYFUNCTION("""COMPUTED_VALUE"""),"10006180")</f>
        <v>10006180</v>
      </c>
      <c r="K1113" s="74" t="str">
        <f>IFERROR(__xludf.DUMMYFUNCTION("""COMPUTED_VALUE"""),"Schwing")</f>
        <v>Schwing</v>
      </c>
      <c r="L1113" s="74" t="str">
        <f>IFERROR(__xludf.DUMMYFUNCTION("""COMPUTED_VALUE"""),"Sistema de Bombeo de Concreto")</f>
        <v>Sistema de Bombeo de Concreto</v>
      </c>
      <c r="M1113" s="74" t="str">
        <f>IFERROR(__xludf.DUMMYFUNCTION("""COMPUTED_VALUE"""),"Sin Asignar")</f>
        <v>Sin Asignar</v>
      </c>
      <c r="N1113" s="87">
        <f>IFERROR(__xludf.DUMMYFUNCTION("""COMPUTED_VALUE"""),1935.84)</f>
        <v>1935.84</v>
      </c>
      <c r="O1113" s="74"/>
      <c r="P1113" s="74" t="str">
        <f>IFERROR(__xludf.DUMMYFUNCTION("""COMPUTED_VALUE"""),"No Available")</f>
        <v>No Available</v>
      </c>
      <c r="Q1113" s="74"/>
      <c r="R1113" s="74"/>
      <c r="S1113" s="87">
        <f>IFERROR(__xludf.DUMMYFUNCTION("""COMPUTED_VALUE"""),15.5)</f>
        <v>15.5</v>
      </c>
      <c r="T1113" s="87">
        <f>IFERROR(__xludf.DUMMYFUNCTION("""COMPUTED_VALUE"""),109.0)</f>
        <v>109</v>
      </c>
      <c r="U1113" s="87">
        <f>IFERROR(__xludf.DUMMYFUNCTION("""COMPUTED_VALUE"""),104.64)</f>
        <v>104.64</v>
      </c>
      <c r="V1113" s="87">
        <f>IFERROR(__xludf.DUMMYFUNCTION("""COMPUTED_VALUE"""),18.9875)</f>
        <v>18.9875</v>
      </c>
      <c r="W1113" s="87">
        <f>IFERROR(__xludf.DUMMYFUNCTION("""COMPUTED_VALUE"""),356.015625)</f>
        <v>356.015625</v>
      </c>
      <c r="X1113" s="88">
        <f>IFERROR(__xludf.DUMMYFUNCTION("""COMPUTED_VALUE"""),6.750967741935484)</f>
        <v>6.750967742</v>
      </c>
      <c r="Y1113" s="74"/>
      <c r="Z1113" s="74"/>
    </row>
    <row r="1114">
      <c r="B1114" s="74" t="str">
        <f>IFERROR(__xludf.DUMMYFUNCTION("""COMPUTED_VALUE"""),"2112")</f>
        <v>2112</v>
      </c>
      <c r="C1114" s="74"/>
      <c r="D1114" s="74" t="str">
        <f>IFERROR(__xludf.DUMMYFUNCTION("""COMPUTED_VALUE"""),"\\MCA-S\mk\2_BM\0_BMat\08_PYM\Inventario\excel\Imagen de refacciones\Schwing\Delivery Cylinder DN 180 X 1518 _ Cilindro de Entrega DN 180 X 1518")</f>
        <v>\\MCA-S\mk\2_BM\0_BMat\08_PYM\Inventario\excel\Imagen de refacciones\Schwing\Delivery Cylinder DN 180 X 1518 _ Cilindro de Entrega DN 180 X 1518</v>
      </c>
      <c r="E1114" s="74"/>
      <c r="F1114" s="74" t="str">
        <f>IFERROR(__xludf.DUMMYFUNCTION("""COMPUTED_VALUE"""),"Delivery Cylinder DN 180 X 1518 / Cilindro de Entrega DN 180 X 1518")</f>
        <v>Delivery Cylinder DN 180 X 1518 / Cilindro de Entrega DN 180 X 1518</v>
      </c>
      <c r="G1114" s="74"/>
      <c r="H1114" s="74"/>
      <c r="I1114" s="74" t="str">
        <f>IFERROR(__xludf.DUMMYFUNCTION("""COMPUTED_VALUE"""),"SOM30076")</f>
        <v>SOM30076</v>
      </c>
      <c r="J1114" s="74" t="str">
        <f>IFERROR(__xludf.DUMMYFUNCTION("""COMPUTED_VALUE"""),"10009770")</f>
        <v>10009770</v>
      </c>
      <c r="K1114" s="74" t="str">
        <f>IFERROR(__xludf.DUMMYFUNCTION("""COMPUTED_VALUE"""),"Schwing")</f>
        <v>Schwing</v>
      </c>
      <c r="L1114" s="74" t="str">
        <f>IFERROR(__xludf.DUMMYFUNCTION("""COMPUTED_VALUE"""),"Sistema de Bombeo de Concreto")</f>
        <v>Sistema de Bombeo de Concreto</v>
      </c>
      <c r="M1114" s="74" t="str">
        <f>IFERROR(__xludf.DUMMYFUNCTION("""COMPUTED_VALUE"""),"Sin Asignar")</f>
        <v>Sin Asignar</v>
      </c>
      <c r="N1114" s="87">
        <f>IFERROR(__xludf.DUMMYFUNCTION("""COMPUTED_VALUE"""),0.0)</f>
        <v>0</v>
      </c>
      <c r="O1114" s="74"/>
      <c r="P1114" s="74" t="str">
        <f>IFERROR(__xludf.DUMMYFUNCTION("""COMPUTED_VALUE"""),"No Available")</f>
        <v>No Available</v>
      </c>
      <c r="Q1114" s="74"/>
      <c r="R1114" s="74"/>
      <c r="S1114" s="87">
        <f>IFERROR(__xludf.DUMMYFUNCTION("""COMPUTED_VALUE"""),0.0)</f>
        <v>0</v>
      </c>
      <c r="T1114" s="87">
        <f>IFERROR(__xludf.DUMMYFUNCTION("""COMPUTED_VALUE"""),0.0)</f>
        <v>0</v>
      </c>
      <c r="U1114" s="87">
        <f>IFERROR(__xludf.DUMMYFUNCTION("""COMPUTED_VALUE"""),0.0)</f>
        <v>0</v>
      </c>
      <c r="V1114" s="87">
        <f>IFERROR(__xludf.DUMMYFUNCTION("""COMPUTED_VALUE"""),0.0)</f>
        <v>0</v>
      </c>
      <c r="W1114" s="87">
        <f>IFERROR(__xludf.DUMMYFUNCTION("""COMPUTED_VALUE"""),0.0)</f>
        <v>0</v>
      </c>
      <c r="X1114" s="88"/>
      <c r="Y1114" s="74"/>
      <c r="Z1114" s="74"/>
    </row>
    <row r="1115">
      <c r="B1115" s="74" t="str">
        <f>IFERROR(__xludf.DUMMYFUNCTION("""COMPUTED_VALUE"""),"2113")</f>
        <v>2113</v>
      </c>
      <c r="C1115" s="74"/>
      <c r="D1115" s="74" t="str">
        <f>IFERROR(__xludf.DUMMYFUNCTION("""COMPUTED_VALUE"""),"\\MCA-S\mk\2_BM\0_BMat\08_PYM\Inventario\excel\Imagen de refacciones\Schwing\Delivery Cylinder DN 200 X 1600 _ Cilindro de Entrega DN 200 X 1600")</f>
        <v>\\MCA-S\mk\2_BM\0_BMat\08_PYM\Inventario\excel\Imagen de refacciones\Schwing\Delivery Cylinder DN 200 X 1600 _ Cilindro de Entrega DN 200 X 1600</v>
      </c>
      <c r="E1115" s="74"/>
      <c r="F1115" s="74" t="str">
        <f>IFERROR(__xludf.DUMMYFUNCTION("""COMPUTED_VALUE"""),"Delivery Cylinder DN 200 X 1600 / Cilindro de Entrega DN 200 X 1600")</f>
        <v>Delivery Cylinder DN 200 X 1600 / Cilindro de Entrega DN 200 X 1600</v>
      </c>
      <c r="G1115" s="74"/>
      <c r="H1115" s="74"/>
      <c r="I1115" s="74" t="str">
        <f>IFERROR(__xludf.DUMMYFUNCTION("""COMPUTED_VALUE"""),"SOM30078")</f>
        <v>SOM30078</v>
      </c>
      <c r="J1115" s="74" t="str">
        <f>IFERROR(__xludf.DUMMYFUNCTION("""COMPUTED_VALUE"""),"10006084")</f>
        <v>10006084</v>
      </c>
      <c r="K1115" s="74" t="str">
        <f>IFERROR(__xludf.DUMMYFUNCTION("""COMPUTED_VALUE"""),"Schwing")</f>
        <v>Schwing</v>
      </c>
      <c r="L1115" s="74" t="str">
        <f>IFERROR(__xludf.DUMMYFUNCTION("""COMPUTED_VALUE"""),"Sistema de Bombeo de Concreto")</f>
        <v>Sistema de Bombeo de Concreto</v>
      </c>
      <c r="M1115" s="74" t="str">
        <f>IFERROR(__xludf.DUMMYFUNCTION("""COMPUTED_VALUE"""),"Sin Asignar")</f>
        <v>Sin Asignar</v>
      </c>
      <c r="N1115" s="87">
        <f>IFERROR(__xludf.DUMMYFUNCTION("""COMPUTED_VALUE"""),0.0)</f>
        <v>0</v>
      </c>
      <c r="O1115" s="74"/>
      <c r="P1115" s="74" t="str">
        <f>IFERROR(__xludf.DUMMYFUNCTION("""COMPUTED_VALUE"""),"borrar")</f>
        <v>borrar</v>
      </c>
      <c r="Q1115" s="74"/>
      <c r="R1115" s="74"/>
      <c r="S1115" s="87">
        <f>IFERROR(__xludf.DUMMYFUNCTION("""COMPUTED_VALUE"""),0.0)</f>
        <v>0</v>
      </c>
      <c r="T1115" s="87">
        <f>IFERROR(__xludf.DUMMYFUNCTION("""COMPUTED_VALUE"""),0.0)</f>
        <v>0</v>
      </c>
      <c r="U1115" s="87">
        <f>IFERROR(__xludf.DUMMYFUNCTION("""COMPUTED_VALUE"""),0.0)</f>
        <v>0</v>
      </c>
      <c r="V1115" s="87">
        <f>IFERROR(__xludf.DUMMYFUNCTION("""COMPUTED_VALUE"""),0.0)</f>
        <v>0</v>
      </c>
      <c r="W1115" s="87">
        <f>IFERROR(__xludf.DUMMYFUNCTION("""COMPUTED_VALUE"""),0.0)</f>
        <v>0</v>
      </c>
      <c r="X1115" s="88"/>
      <c r="Y1115" s="74"/>
      <c r="Z1115" s="74"/>
    </row>
    <row r="1116">
      <c r="B1116" s="74" t="str">
        <f>IFERROR(__xludf.DUMMYFUNCTION("""COMPUTED_VALUE"""),"2114")</f>
        <v>2114</v>
      </c>
      <c r="C1116" s="74"/>
      <c r="D1116" s="74" t="str">
        <f>IFERROR(__xludf.DUMMYFUNCTION("""COMPUTED_VALUE"""),"\\MCA-S\mk\2_BM\0_BMat\08_PYM\Inventario\excel\Imagen de refacciones\Schwing\Delivery Cylinder DN 200 X 2125 _ Cilindro de Entrega DN 200 X 2125")</f>
        <v>\\MCA-S\mk\2_BM\0_BMat\08_PYM\Inventario\excel\Imagen de refacciones\Schwing\Delivery Cylinder DN 200 X 2125 _ Cilindro de Entrega DN 200 X 2125</v>
      </c>
      <c r="E1116" s="74"/>
      <c r="F1116" s="74" t="str">
        <f>IFERROR(__xludf.DUMMYFUNCTION("""COMPUTED_VALUE"""),"Delivery Cylinder DN 200 X 2125 / Cilindro de Entrega DN 200 X 2125")</f>
        <v>Delivery Cylinder DN 200 X 2125 / Cilindro de Entrega DN 200 X 2125</v>
      </c>
      <c r="G1116" s="74"/>
      <c r="H1116" s="74"/>
      <c r="I1116" s="74" t="str">
        <f>IFERROR(__xludf.DUMMYFUNCTION("""COMPUTED_VALUE"""),"SOM30077")</f>
        <v>SOM30077</v>
      </c>
      <c r="J1116" s="74" t="str">
        <f>IFERROR(__xludf.DUMMYFUNCTION("""COMPUTED_VALUE"""),"10025660")</f>
        <v>10025660</v>
      </c>
      <c r="K1116" s="74" t="str">
        <f>IFERROR(__xludf.DUMMYFUNCTION("""COMPUTED_VALUE"""),"Schwing")</f>
        <v>Schwing</v>
      </c>
      <c r="L1116" s="74" t="str">
        <f>IFERROR(__xludf.DUMMYFUNCTION("""COMPUTED_VALUE"""),"Sistema de Bombeo de Concreto")</f>
        <v>Sistema de Bombeo de Concreto</v>
      </c>
      <c r="M1116" s="74" t="str">
        <f>IFERROR(__xludf.DUMMYFUNCTION("""COMPUTED_VALUE"""),"Sin Asignar")</f>
        <v>Sin Asignar</v>
      </c>
      <c r="N1116" s="87">
        <f>IFERROR(__xludf.DUMMYFUNCTION("""COMPUTED_VALUE"""),0.0)</f>
        <v>0</v>
      </c>
      <c r="O1116" s="74"/>
      <c r="P1116" s="74" t="str">
        <f>IFERROR(__xludf.DUMMYFUNCTION("""COMPUTED_VALUE"""),"No Available")</f>
        <v>No Available</v>
      </c>
      <c r="Q1116" s="74"/>
      <c r="R1116" s="74"/>
      <c r="S1116" s="87">
        <f>IFERROR(__xludf.DUMMYFUNCTION("""COMPUTED_VALUE"""),0.0)</f>
        <v>0</v>
      </c>
      <c r="T1116" s="87">
        <f>IFERROR(__xludf.DUMMYFUNCTION("""COMPUTED_VALUE"""),0.0)</f>
        <v>0</v>
      </c>
      <c r="U1116" s="87">
        <f>IFERROR(__xludf.DUMMYFUNCTION("""COMPUTED_VALUE"""),0.0)</f>
        <v>0</v>
      </c>
      <c r="V1116" s="87">
        <f>IFERROR(__xludf.DUMMYFUNCTION("""COMPUTED_VALUE"""),0.0)</f>
        <v>0</v>
      </c>
      <c r="W1116" s="87">
        <f>IFERROR(__xludf.DUMMYFUNCTION("""COMPUTED_VALUE"""),0.0)</f>
        <v>0</v>
      </c>
      <c r="X1116" s="88"/>
      <c r="Y1116" s="74"/>
      <c r="Z1116" s="74"/>
    </row>
    <row r="1117">
      <c r="B1117" s="74" t="str">
        <f>IFERROR(__xludf.DUMMYFUNCTION("""COMPUTED_VALUE"""),"2115")</f>
        <v>2115</v>
      </c>
      <c r="C1117" s="74"/>
      <c r="D1117" s="74" t="str">
        <f>IFERROR(__xludf.DUMMYFUNCTION("""COMPUTED_VALUE"""),"\\MCA-S\mk\2_BM\0_BMat\08_PYM\Inventario\excel\Imagen de refacciones\Schwing\Delivery Cylinder DN 230 X 2000 _ Cilindro de Entrega DN 230 X 2000")</f>
        <v>\\MCA-S\mk\2_BM\0_BMat\08_PYM\Inventario\excel\Imagen de refacciones\Schwing\Delivery Cylinder DN 230 X 2000 _ Cilindro de Entrega DN 230 X 2000</v>
      </c>
      <c r="E1117" s="74"/>
      <c r="F1117" s="74" t="str">
        <f>IFERROR(__xludf.DUMMYFUNCTION("""COMPUTED_VALUE"""),"Delivery Cylinder DN 230 X 2000 / Cilindro de Entrega DN 230 X 2000")</f>
        <v>Delivery Cylinder DN 230 X 2000 / Cilindro de Entrega DN 230 X 2000</v>
      </c>
      <c r="G1117" s="74"/>
      <c r="H1117" s="74"/>
      <c r="I1117" s="74" t="str">
        <f>IFERROR(__xludf.DUMMYFUNCTION("""COMPUTED_VALUE"""),"SOM30082")</f>
        <v>SOM30082</v>
      </c>
      <c r="J1117" s="74" t="str">
        <f>IFERROR(__xludf.DUMMYFUNCTION("""COMPUTED_VALUE"""),"10077052")</f>
        <v>10077052</v>
      </c>
      <c r="K1117" s="74" t="str">
        <f>IFERROR(__xludf.DUMMYFUNCTION("""COMPUTED_VALUE"""),"Schwing")</f>
        <v>Schwing</v>
      </c>
      <c r="L1117" s="74" t="str">
        <f>IFERROR(__xludf.DUMMYFUNCTION("""COMPUTED_VALUE"""),"Sistema de Bombeo de Concreto")</f>
        <v>Sistema de Bombeo de Concreto</v>
      </c>
      <c r="M1117" s="74" t="str">
        <f>IFERROR(__xludf.DUMMYFUNCTION("""COMPUTED_VALUE"""),"Sin Asignar")</f>
        <v>Sin Asignar</v>
      </c>
      <c r="N1117" s="87">
        <f>IFERROR(__xludf.DUMMYFUNCTION("""COMPUTED_VALUE"""),0.0)</f>
        <v>0</v>
      </c>
      <c r="O1117" s="74"/>
      <c r="P1117" s="74" t="str">
        <f>IFERROR(__xludf.DUMMYFUNCTION("""COMPUTED_VALUE"""),"No Available")</f>
        <v>No Available</v>
      </c>
      <c r="Q1117" s="74"/>
      <c r="R1117" s="74"/>
      <c r="S1117" s="87">
        <f>IFERROR(__xludf.DUMMYFUNCTION("""COMPUTED_VALUE"""),0.0)</f>
        <v>0</v>
      </c>
      <c r="T1117" s="87">
        <f>IFERROR(__xludf.DUMMYFUNCTION("""COMPUTED_VALUE"""),0.0)</f>
        <v>0</v>
      </c>
      <c r="U1117" s="87">
        <f>IFERROR(__xludf.DUMMYFUNCTION("""COMPUTED_VALUE"""),0.0)</f>
        <v>0</v>
      </c>
      <c r="V1117" s="87">
        <f>IFERROR(__xludf.DUMMYFUNCTION("""COMPUTED_VALUE"""),0.0)</f>
        <v>0</v>
      </c>
      <c r="W1117" s="87">
        <f>IFERROR(__xludf.DUMMYFUNCTION("""COMPUTED_VALUE"""),0.0)</f>
        <v>0</v>
      </c>
      <c r="X1117" s="88"/>
      <c r="Y1117" s="74"/>
      <c r="Z1117" s="74"/>
    </row>
    <row r="1118">
      <c r="B1118" s="74" t="str">
        <f>IFERROR(__xludf.DUMMYFUNCTION("""COMPUTED_VALUE"""),"2116")</f>
        <v>2116</v>
      </c>
      <c r="C1118" s="74"/>
      <c r="D1118" s="74" t="str">
        <f>IFERROR(__xludf.DUMMYFUNCTION("""COMPUTED_VALUE"""),"\\MCA-S\mk\2_BM\0_BMat\08_PYM\Inventario\excel\Imagen de refacciones\Schwing\Delivery Cylinder DN 230 X 2133 _ Cilindro de Entrega DN 230 X 2133")</f>
        <v>\\MCA-S\mk\2_BM\0_BMat\08_PYM\Inventario\excel\Imagen de refacciones\Schwing\Delivery Cylinder DN 230 X 2133 _ Cilindro de Entrega DN 230 X 2133</v>
      </c>
      <c r="E1118" s="74"/>
      <c r="F1118" s="74" t="str">
        <f>IFERROR(__xludf.DUMMYFUNCTION("""COMPUTED_VALUE"""),"Delivery Cylinder DN 230 X 2133 / Cilindro de Entrega DN 230 X 2133")</f>
        <v>Delivery Cylinder DN 230 X 2133 / Cilindro de Entrega DN 230 X 2133</v>
      </c>
      <c r="G1118" s="74"/>
      <c r="H1118" s="74"/>
      <c r="I1118" s="74" t="str">
        <f>IFERROR(__xludf.DUMMYFUNCTION("""COMPUTED_VALUE"""),"SOM30079")</f>
        <v>SOM30079</v>
      </c>
      <c r="J1118" s="74" t="str">
        <f>IFERROR(__xludf.DUMMYFUNCTION("""COMPUTED_VALUE"""),"10019377 / 10202132")</f>
        <v>10019377 / 10202132</v>
      </c>
      <c r="K1118" s="74" t="str">
        <f>IFERROR(__xludf.DUMMYFUNCTION("""COMPUTED_VALUE"""),"Schwing")</f>
        <v>Schwing</v>
      </c>
      <c r="L1118" s="74" t="str">
        <f>IFERROR(__xludf.DUMMYFUNCTION("""COMPUTED_VALUE"""),"Sistema de Bombeo de Concreto")</f>
        <v>Sistema de Bombeo de Concreto</v>
      </c>
      <c r="M1118" s="74" t="str">
        <f>IFERROR(__xludf.DUMMYFUNCTION("""COMPUTED_VALUE"""),"Sin Asignar")</f>
        <v>Sin Asignar</v>
      </c>
      <c r="N1118" s="87">
        <f>IFERROR(__xludf.DUMMYFUNCTION("""COMPUTED_VALUE"""),0.0)</f>
        <v>0</v>
      </c>
      <c r="O1118" s="74"/>
      <c r="P1118" s="74" t="str">
        <f>IFERROR(__xludf.DUMMYFUNCTION("""COMPUTED_VALUE"""),"No Available")</f>
        <v>No Available</v>
      </c>
      <c r="Q1118" s="74"/>
      <c r="R1118" s="74"/>
      <c r="S1118" s="87">
        <f>IFERROR(__xludf.DUMMYFUNCTION("""COMPUTED_VALUE"""),0.0)</f>
        <v>0</v>
      </c>
      <c r="T1118" s="87">
        <f>IFERROR(__xludf.DUMMYFUNCTION("""COMPUTED_VALUE"""),0.0)</f>
        <v>0</v>
      </c>
      <c r="U1118" s="87">
        <f>IFERROR(__xludf.DUMMYFUNCTION("""COMPUTED_VALUE"""),0.0)</f>
        <v>0</v>
      </c>
      <c r="V1118" s="87">
        <f>IFERROR(__xludf.DUMMYFUNCTION("""COMPUTED_VALUE"""),0.0)</f>
        <v>0</v>
      </c>
      <c r="W1118" s="87">
        <f>IFERROR(__xludf.DUMMYFUNCTION("""COMPUTED_VALUE"""),0.0)</f>
        <v>0</v>
      </c>
      <c r="X1118" s="88"/>
      <c r="Y1118" s="74"/>
      <c r="Z1118" s="74"/>
    </row>
    <row r="1119">
      <c r="B1119" s="74" t="str">
        <f>IFERROR(__xludf.DUMMYFUNCTION("""COMPUTED_VALUE"""),"2117")</f>
        <v>2117</v>
      </c>
      <c r="C1119" s="74"/>
      <c r="D1119" s="74" t="str">
        <f>IFERROR(__xludf.DUMMYFUNCTION("""COMPUTED_VALUE"""),"\\MCA-S\mk\2_BM\0_BMat\08_PYM\Inventario\excel\Imagen de refacciones\Schwing\Delivery Cylinder DN 250 X 2500 _ Cilindro de Entrega DN 250 X 2500")</f>
        <v>\\MCA-S\mk\2_BM\0_BMat\08_PYM\Inventario\excel\Imagen de refacciones\Schwing\Delivery Cylinder DN 250 X 2500 _ Cilindro de Entrega DN 250 X 2500</v>
      </c>
      <c r="E1119" s="74"/>
      <c r="F1119" s="74" t="str">
        <f>IFERROR(__xludf.DUMMYFUNCTION("""COMPUTED_VALUE"""),"Delivery Cylinder DN 250 X 2500 / Cilindro de Entrega DN 250 X 2500")</f>
        <v>Delivery Cylinder DN 250 X 2500 / Cilindro de Entrega DN 250 X 2500</v>
      </c>
      <c r="G1119" s="74"/>
      <c r="H1119" s="74"/>
      <c r="I1119" s="74" t="str">
        <f>IFERROR(__xludf.DUMMYFUNCTION("""COMPUTED_VALUE"""),"SOM30080")</f>
        <v>SOM30080</v>
      </c>
      <c r="J1119" s="74" t="str">
        <f>IFERROR(__xludf.DUMMYFUNCTION("""COMPUTED_VALUE"""),"10202132")</f>
        <v>10202132</v>
      </c>
      <c r="K1119" s="74" t="str">
        <f>IFERROR(__xludf.DUMMYFUNCTION("""COMPUTED_VALUE"""),"Schwing")</f>
        <v>Schwing</v>
      </c>
      <c r="L1119" s="74" t="str">
        <f>IFERROR(__xludf.DUMMYFUNCTION("""COMPUTED_VALUE"""),"Sistema de Bombeo de Concreto")</f>
        <v>Sistema de Bombeo de Concreto</v>
      </c>
      <c r="M1119" s="74" t="str">
        <f>IFERROR(__xludf.DUMMYFUNCTION("""COMPUTED_VALUE"""),"Sin Asignar")</f>
        <v>Sin Asignar</v>
      </c>
      <c r="N1119" s="87">
        <f>IFERROR(__xludf.DUMMYFUNCTION("""COMPUTED_VALUE"""),0.0)</f>
        <v>0</v>
      </c>
      <c r="O1119" s="74"/>
      <c r="P1119" s="74" t="str">
        <f>IFERROR(__xludf.DUMMYFUNCTION("""COMPUTED_VALUE"""),"No Available")</f>
        <v>No Available</v>
      </c>
      <c r="Q1119" s="74"/>
      <c r="R1119" s="74"/>
      <c r="S1119" s="87">
        <f>IFERROR(__xludf.DUMMYFUNCTION("""COMPUTED_VALUE"""),0.0)</f>
        <v>0</v>
      </c>
      <c r="T1119" s="87">
        <f>IFERROR(__xludf.DUMMYFUNCTION("""COMPUTED_VALUE"""),0.0)</f>
        <v>0</v>
      </c>
      <c r="U1119" s="87">
        <f>IFERROR(__xludf.DUMMYFUNCTION("""COMPUTED_VALUE"""),0.0)</f>
        <v>0</v>
      </c>
      <c r="V1119" s="87">
        <f>IFERROR(__xludf.DUMMYFUNCTION("""COMPUTED_VALUE"""),0.0)</f>
        <v>0</v>
      </c>
      <c r="W1119" s="87">
        <f>IFERROR(__xludf.DUMMYFUNCTION("""COMPUTED_VALUE"""),0.0)</f>
        <v>0</v>
      </c>
      <c r="X1119" s="88"/>
      <c r="Y1119" s="74"/>
      <c r="Z1119" s="74"/>
    </row>
    <row r="1120">
      <c r="B1120" s="74" t="str">
        <f>IFERROR(__xludf.DUMMYFUNCTION("""COMPUTED_VALUE"""),"2118")</f>
        <v>2118</v>
      </c>
      <c r="C1120" s="74"/>
      <c r="D1120" s="74" t="str">
        <f>IFERROR(__xludf.DUMMYFUNCTION("""COMPUTED_VALUE"""),"\\MCA-S\mk\2_BM\0_BMat\08_PYM\Inventario\excel\Imagen de refacciones\Schwing\Delivery Cylinder DN 250 X 2500 _ Cilindro de Entrega DN 250 X 2500 (1)")</f>
        <v>\\MCA-S\mk\2_BM\0_BMat\08_PYM\Inventario\excel\Imagen de refacciones\Schwing\Delivery Cylinder DN 250 X 2500 _ Cilindro de Entrega DN 250 X 2500 (1)</v>
      </c>
      <c r="E1120" s="74"/>
      <c r="F1120" s="74" t="str">
        <f>IFERROR(__xludf.DUMMYFUNCTION("""COMPUTED_VALUE"""),"Delivery Cylinder DN 250 X 2500 / Cilindro de Entrega DN 250 X 2500")</f>
        <v>Delivery Cylinder DN 250 X 2500 / Cilindro de Entrega DN 250 X 2500</v>
      </c>
      <c r="G1120" s="74"/>
      <c r="H1120" s="74"/>
      <c r="I1120" s="74" t="str">
        <f>IFERROR(__xludf.DUMMYFUNCTION("""COMPUTED_VALUE"""),"SOM30083")</f>
        <v>SOM30083</v>
      </c>
      <c r="J1120" s="74" t="str">
        <f>IFERROR(__xludf.DUMMYFUNCTION("""COMPUTED_VALUE"""),"10163541")</f>
        <v>10163541</v>
      </c>
      <c r="K1120" s="74" t="str">
        <f>IFERROR(__xludf.DUMMYFUNCTION("""COMPUTED_VALUE"""),"Schwing")</f>
        <v>Schwing</v>
      </c>
      <c r="L1120" s="74" t="str">
        <f>IFERROR(__xludf.DUMMYFUNCTION("""COMPUTED_VALUE"""),"Sistema de Bombeo de Concreto")</f>
        <v>Sistema de Bombeo de Concreto</v>
      </c>
      <c r="M1120" s="74" t="str">
        <f>IFERROR(__xludf.DUMMYFUNCTION("""COMPUTED_VALUE"""),"Sin Asignar")</f>
        <v>Sin Asignar</v>
      </c>
      <c r="N1120" s="87">
        <f>IFERROR(__xludf.DUMMYFUNCTION("""COMPUTED_VALUE"""),0.0)</f>
        <v>0</v>
      </c>
      <c r="O1120" s="74"/>
      <c r="P1120" s="74" t="str">
        <f>IFERROR(__xludf.DUMMYFUNCTION("""COMPUTED_VALUE"""),"No Available")</f>
        <v>No Available</v>
      </c>
      <c r="Q1120" s="74"/>
      <c r="R1120" s="74"/>
      <c r="S1120" s="87">
        <f>IFERROR(__xludf.DUMMYFUNCTION("""COMPUTED_VALUE"""),0.0)</f>
        <v>0</v>
      </c>
      <c r="T1120" s="87">
        <f>IFERROR(__xludf.DUMMYFUNCTION("""COMPUTED_VALUE"""),0.0)</f>
        <v>0</v>
      </c>
      <c r="U1120" s="87">
        <f>IFERROR(__xludf.DUMMYFUNCTION("""COMPUTED_VALUE"""),0.0)</f>
        <v>0</v>
      </c>
      <c r="V1120" s="87">
        <f>IFERROR(__xludf.DUMMYFUNCTION("""COMPUTED_VALUE"""),0.0)</f>
        <v>0</v>
      </c>
      <c r="W1120" s="87">
        <f>IFERROR(__xludf.DUMMYFUNCTION("""COMPUTED_VALUE"""),0.0)</f>
        <v>0</v>
      </c>
      <c r="X1120" s="88"/>
      <c r="Y1120" s="74"/>
      <c r="Z1120" s="74"/>
    </row>
    <row r="1121">
      <c r="B1121" s="74" t="str">
        <f>IFERROR(__xludf.DUMMYFUNCTION("""COMPUTED_VALUE"""),"2119")</f>
        <v>2119</v>
      </c>
      <c r="C1121" s="74"/>
      <c r="D1121" s="74" t="str">
        <f>IFERROR(__xludf.DUMMYFUNCTION("""COMPUTED_VALUE"""),"\\MCA-S\mk\2_BM\0_BMat\08_PYM\Inventario\excel\Imagen de refacciones\Schwing\Delivery Pipe 3 MT 5,5_ _ Tubería de Entrega 3 MT 5,5_")</f>
        <v>\\MCA-S\mk\2_BM\0_BMat\08_PYM\Inventario\excel\Imagen de refacciones\Schwing\Delivery Pipe 3 MT 5,5_ _ Tubería de Entrega 3 MT 5,5_</v>
      </c>
      <c r="E1121" s="74"/>
      <c r="F1121" s="74" t="str">
        <f>IFERROR(__xludf.DUMMYFUNCTION("""COMPUTED_VALUE"""),"Delivery Pipe 3 MT 5,5"" / Tubería de Entrega 3 MT 5,5""")</f>
        <v>Delivery Pipe 3 MT 5,5" / Tubería de Entrega 3 MT 5,5"</v>
      </c>
      <c r="G1121" s="74"/>
      <c r="H1121" s="74"/>
      <c r="I1121" s="74" t="str">
        <f>IFERROR(__xludf.DUMMYFUNCTION("""COMPUTED_VALUE"""),"SOM30276")</f>
        <v>SOM30276</v>
      </c>
      <c r="J1121" s="74" t="str">
        <f>IFERROR(__xludf.DUMMYFUNCTION("""COMPUTED_VALUE"""),"10004349")</f>
        <v>10004349</v>
      </c>
      <c r="K1121" s="74" t="str">
        <f>IFERROR(__xludf.DUMMYFUNCTION("""COMPUTED_VALUE"""),"Schwing")</f>
        <v>Schwing</v>
      </c>
      <c r="L1121" s="74" t="str">
        <f>IFERROR(__xludf.DUMMYFUNCTION("""COMPUTED_VALUE"""),"Sistema de Bombeo de Concreto")</f>
        <v>Sistema de Bombeo de Concreto</v>
      </c>
      <c r="M1121" s="74" t="str">
        <f>IFERROR(__xludf.DUMMYFUNCTION("""COMPUTED_VALUE"""),"Sin Asignar")</f>
        <v>Sin Asignar</v>
      </c>
      <c r="N1121" s="87">
        <f>IFERROR(__xludf.DUMMYFUNCTION("""COMPUTED_VALUE"""),0.0)</f>
        <v>0</v>
      </c>
      <c r="O1121" s="74"/>
      <c r="P1121" s="74" t="str">
        <f>IFERROR(__xludf.DUMMYFUNCTION("""COMPUTED_VALUE"""),"No Available")</f>
        <v>No Available</v>
      </c>
      <c r="Q1121" s="74"/>
      <c r="R1121" s="74"/>
      <c r="S1121" s="87">
        <f>IFERROR(__xludf.DUMMYFUNCTION("""COMPUTED_VALUE"""),0.0)</f>
        <v>0</v>
      </c>
      <c r="T1121" s="87">
        <f>IFERROR(__xludf.DUMMYFUNCTION("""COMPUTED_VALUE"""),0.0)</f>
        <v>0</v>
      </c>
      <c r="U1121" s="87">
        <f>IFERROR(__xludf.DUMMYFUNCTION("""COMPUTED_VALUE"""),0.0)</f>
        <v>0</v>
      </c>
      <c r="V1121" s="87">
        <f>IFERROR(__xludf.DUMMYFUNCTION("""COMPUTED_VALUE"""),0.0)</f>
        <v>0</v>
      </c>
      <c r="W1121" s="87">
        <f>IFERROR(__xludf.DUMMYFUNCTION("""COMPUTED_VALUE"""),0.0)</f>
        <v>0</v>
      </c>
      <c r="X1121" s="88"/>
      <c r="Y1121" s="74"/>
      <c r="Z1121" s="74"/>
    </row>
    <row r="1122">
      <c r="B1122" s="74" t="str">
        <f>IFERROR(__xludf.DUMMYFUNCTION("""COMPUTED_VALUE"""),"2120")</f>
        <v>2120</v>
      </c>
      <c r="C1122" s="74"/>
      <c r="D1122" s="74" t="str">
        <f>IFERROR(__xludf.DUMMYFUNCTION("""COMPUTED_VALUE"""),"\\MCA-S\mk\2_BM\0_BMat\08_PYM\Inventario\excel\Imagen de refacciones\Schwing\Delivery Tube DN 150 1600 MM _ Tubo de Entrega DN 150 1600 MM")</f>
        <v>\\MCA-S\mk\2_BM\0_BMat\08_PYM\Inventario\excel\Imagen de refacciones\Schwing\Delivery Tube DN 150 1600 MM _ Tubo de Entrega DN 150 1600 MM</v>
      </c>
      <c r="E1122" s="74"/>
      <c r="F1122" s="74" t="str">
        <f>IFERROR(__xludf.DUMMYFUNCTION("""COMPUTED_VALUE"""),"Delivery Tube DN 150 1600 MM / Tubo de Entrega DN 150 1600 MM")</f>
        <v>Delivery Tube DN 150 1600 MM / Tubo de Entrega DN 150 1600 MM</v>
      </c>
      <c r="G1122" s="74"/>
      <c r="H1122" s="74"/>
      <c r="I1122" s="74" t="str">
        <f>IFERROR(__xludf.DUMMYFUNCTION("""COMPUTED_VALUE"""),"SOM30260")</f>
        <v>SOM30260</v>
      </c>
      <c r="J1122" s="74" t="str">
        <f>IFERROR(__xludf.DUMMYFUNCTION("""COMPUTED_VALUE"""),"10116091")</f>
        <v>10116091</v>
      </c>
      <c r="K1122" s="74" t="str">
        <f>IFERROR(__xludf.DUMMYFUNCTION("""COMPUTED_VALUE"""),"Schwing")</f>
        <v>Schwing</v>
      </c>
      <c r="L1122" s="74" t="str">
        <f>IFERROR(__xludf.DUMMYFUNCTION("""COMPUTED_VALUE"""),"Sistema de Bombeo de Concreto")</f>
        <v>Sistema de Bombeo de Concreto</v>
      </c>
      <c r="M1122" s="74" t="str">
        <f>IFERROR(__xludf.DUMMYFUNCTION("""COMPUTED_VALUE"""),"Sin Asignar")</f>
        <v>Sin Asignar</v>
      </c>
      <c r="N1122" s="87">
        <f>IFERROR(__xludf.DUMMYFUNCTION("""COMPUTED_VALUE"""),0.0)</f>
        <v>0</v>
      </c>
      <c r="O1122" s="74"/>
      <c r="P1122" s="74" t="str">
        <f>IFERROR(__xludf.DUMMYFUNCTION("""COMPUTED_VALUE"""),"No Available")</f>
        <v>No Available</v>
      </c>
      <c r="Q1122" s="74"/>
      <c r="R1122" s="74"/>
      <c r="S1122" s="87">
        <f>IFERROR(__xludf.DUMMYFUNCTION("""COMPUTED_VALUE"""),0.0)</f>
        <v>0</v>
      </c>
      <c r="T1122" s="87">
        <f>IFERROR(__xludf.DUMMYFUNCTION("""COMPUTED_VALUE"""),0.0)</f>
        <v>0</v>
      </c>
      <c r="U1122" s="87">
        <f>IFERROR(__xludf.DUMMYFUNCTION("""COMPUTED_VALUE"""),0.0)</f>
        <v>0</v>
      </c>
      <c r="V1122" s="87">
        <f>IFERROR(__xludf.DUMMYFUNCTION("""COMPUTED_VALUE"""),0.0)</f>
        <v>0</v>
      </c>
      <c r="W1122" s="87">
        <f>IFERROR(__xludf.DUMMYFUNCTION("""COMPUTED_VALUE"""),0.0)</f>
        <v>0</v>
      </c>
      <c r="X1122" s="88"/>
      <c r="Y1122" s="74"/>
      <c r="Z1122" s="74"/>
    </row>
    <row r="1123">
      <c r="B1123" s="74" t="str">
        <f>IFERROR(__xludf.DUMMYFUNCTION("""COMPUTED_VALUE"""),"2121")</f>
        <v>2121</v>
      </c>
      <c r="C1123" s="74"/>
      <c r="D1123" s="74" t="str">
        <f>IFERROR(__xludf.DUMMYFUNCTION("""COMPUTED_VALUE"""),"\\MCA-S\mk\2_BM\0_BMat\08_PYM\Inventario\excel\Imagen de refacciones\Schwing\Differential Cylinder 110_63 _ Cilindro Diferencial 110_63")</f>
        <v>\\MCA-S\mk\2_BM\0_BMat\08_PYM\Inventario\excel\Imagen de refacciones\Schwing\Differential Cylinder 110_63 _ Cilindro Diferencial 110_63</v>
      </c>
      <c r="E1123" s="74"/>
      <c r="F1123" s="74" t="str">
        <f>IFERROR(__xludf.DUMMYFUNCTION("""COMPUTED_VALUE"""),"Differential Cylinder 110/63 / Cilindro Diferencial 110/63")</f>
        <v>Differential Cylinder 110/63 / Cilindro Diferencial 110/63</v>
      </c>
      <c r="G1123" s="74"/>
      <c r="H1123" s="74"/>
      <c r="I1123" s="74" t="str">
        <f>IFERROR(__xludf.DUMMYFUNCTION("""COMPUTED_VALUE"""),"SOM30115")</f>
        <v>SOM30115</v>
      </c>
      <c r="J1123" s="74" t="str">
        <f>IFERROR(__xludf.DUMMYFUNCTION("""COMPUTED_VALUE"""),"10023261")</f>
        <v>10023261</v>
      </c>
      <c r="K1123" s="74" t="str">
        <f>IFERROR(__xludf.DUMMYFUNCTION("""COMPUTED_VALUE"""),"Schwing")</f>
        <v>Schwing</v>
      </c>
      <c r="L1123" s="74" t="str">
        <f>IFERROR(__xludf.DUMMYFUNCTION("""COMPUTED_VALUE"""),"Sistema de Bombeo de Concreto")</f>
        <v>Sistema de Bombeo de Concreto</v>
      </c>
      <c r="M1123" s="74" t="str">
        <f>IFERROR(__xludf.DUMMYFUNCTION("""COMPUTED_VALUE"""),"Sin Asignar")</f>
        <v>Sin Asignar</v>
      </c>
      <c r="N1123" s="87">
        <f>IFERROR(__xludf.DUMMYFUNCTION("""COMPUTED_VALUE"""),0.0)</f>
        <v>0</v>
      </c>
      <c r="O1123" s="74"/>
      <c r="P1123" s="74" t="str">
        <f>IFERROR(__xludf.DUMMYFUNCTION("""COMPUTED_VALUE"""),"No Available")</f>
        <v>No Available</v>
      </c>
      <c r="Q1123" s="74"/>
      <c r="R1123" s="74"/>
      <c r="S1123" s="87">
        <f>IFERROR(__xludf.DUMMYFUNCTION("""COMPUTED_VALUE"""),0.0)</f>
        <v>0</v>
      </c>
      <c r="T1123" s="87">
        <f>IFERROR(__xludf.DUMMYFUNCTION("""COMPUTED_VALUE"""),0.0)</f>
        <v>0</v>
      </c>
      <c r="U1123" s="87">
        <f>IFERROR(__xludf.DUMMYFUNCTION("""COMPUTED_VALUE"""),0.0)</f>
        <v>0</v>
      </c>
      <c r="V1123" s="87">
        <f>IFERROR(__xludf.DUMMYFUNCTION("""COMPUTED_VALUE"""),0.0)</f>
        <v>0</v>
      </c>
      <c r="W1123" s="87">
        <f>IFERROR(__xludf.DUMMYFUNCTION("""COMPUTED_VALUE"""),0.0)</f>
        <v>0</v>
      </c>
      <c r="X1123" s="88"/>
      <c r="Y1123" s="74"/>
      <c r="Z1123" s="74"/>
    </row>
    <row r="1124">
      <c r="B1124" s="74" t="str">
        <f>IFERROR(__xludf.DUMMYFUNCTION("""COMPUTED_VALUE"""),"2122")</f>
        <v>2122</v>
      </c>
      <c r="C1124" s="74"/>
      <c r="D1124" s="74" t="str">
        <f>IFERROR(__xludf.DUMMYFUNCTION("""COMPUTED_VALUE"""),"\\MCA-S\mk\2_BM\0_BMat\08_PYM\Inventario\excel\Imagen de refacciones\Schwing\Differential Cylinder 1200-2023 125_80 _ Cilindro Diferencial 1200-2023 125_80")</f>
        <v>\\MCA-S\mk\2_BM\0_BMat\08_PYM\Inventario\excel\Imagen de refacciones\Schwing\Differential Cylinder 1200-2023 125_80 _ Cilindro Diferencial 1200-2023 125_80</v>
      </c>
      <c r="E1124" s="74"/>
      <c r="F1124" s="74" t="str">
        <f>IFERROR(__xludf.DUMMYFUNCTION("""COMPUTED_VALUE"""),"Differential Cylinder 1200-2023 125/80 / Cilindro Diferencial 1200-2023 125/80")</f>
        <v>Differential Cylinder 1200-2023 125/80 / Cilindro Diferencial 1200-2023 125/80</v>
      </c>
      <c r="G1124" s="74"/>
      <c r="H1124" s="74"/>
      <c r="I1124" s="74" t="str">
        <f>IFERROR(__xludf.DUMMYFUNCTION("""COMPUTED_VALUE"""),"SOM30112")</f>
        <v>SOM30112</v>
      </c>
      <c r="J1124" s="74" t="str">
        <f>IFERROR(__xludf.DUMMYFUNCTION("""COMPUTED_VALUE"""),"10031423")</f>
        <v>10031423</v>
      </c>
      <c r="K1124" s="74" t="str">
        <f>IFERROR(__xludf.DUMMYFUNCTION("""COMPUTED_VALUE"""),"Schwing")</f>
        <v>Schwing</v>
      </c>
      <c r="L1124" s="74" t="str">
        <f>IFERROR(__xludf.DUMMYFUNCTION("""COMPUTED_VALUE"""),"Sistema de Bombeo de Concreto")</f>
        <v>Sistema de Bombeo de Concreto</v>
      </c>
      <c r="M1124" s="74" t="str">
        <f>IFERROR(__xludf.DUMMYFUNCTION("""COMPUTED_VALUE"""),"Sin Asignar")</f>
        <v>Sin Asignar</v>
      </c>
      <c r="N1124" s="87">
        <f>IFERROR(__xludf.DUMMYFUNCTION("""COMPUTED_VALUE"""),0.0)</f>
        <v>0</v>
      </c>
      <c r="O1124" s="74"/>
      <c r="P1124" s="74" t="str">
        <f>IFERROR(__xludf.DUMMYFUNCTION("""COMPUTED_VALUE"""),"No Available")</f>
        <v>No Available</v>
      </c>
      <c r="Q1124" s="74"/>
      <c r="R1124" s="74"/>
      <c r="S1124" s="87">
        <f>IFERROR(__xludf.DUMMYFUNCTION("""COMPUTED_VALUE"""),0.0)</f>
        <v>0</v>
      </c>
      <c r="T1124" s="87">
        <f>IFERROR(__xludf.DUMMYFUNCTION("""COMPUTED_VALUE"""),0.0)</f>
        <v>0</v>
      </c>
      <c r="U1124" s="87">
        <f>IFERROR(__xludf.DUMMYFUNCTION("""COMPUTED_VALUE"""),0.0)</f>
        <v>0</v>
      </c>
      <c r="V1124" s="87">
        <f>IFERROR(__xludf.DUMMYFUNCTION("""COMPUTED_VALUE"""),0.0)</f>
        <v>0</v>
      </c>
      <c r="W1124" s="87">
        <f>IFERROR(__xludf.DUMMYFUNCTION("""COMPUTED_VALUE"""),0.0)</f>
        <v>0</v>
      </c>
      <c r="X1124" s="88"/>
      <c r="Y1124" s="74"/>
      <c r="Z1124" s="74"/>
    </row>
    <row r="1125">
      <c r="B1125" s="74" t="str">
        <f>IFERROR(__xludf.DUMMYFUNCTION("""COMPUTED_VALUE"""),"2123")</f>
        <v>2123</v>
      </c>
      <c r="C1125" s="74"/>
      <c r="D1125" s="74" t="str">
        <f>IFERROR(__xludf.DUMMYFUNCTION("""COMPUTED_VALUE"""),"\\MCA-S\mk\2_BM\0_BMat\08_PYM\Inventario\excel\Imagen de refacciones\Schwing\Differential Cylinder 2023 120_80X2000 _ Cilindro Diferencial 2023 120_80X2000")</f>
        <v>\\MCA-S\mk\2_BM\0_BMat\08_PYM\Inventario\excel\Imagen de refacciones\Schwing\Differential Cylinder 2023 120_80X2000 _ Cilindro Diferencial 2023 120_80X2000</v>
      </c>
      <c r="E1125" s="74"/>
      <c r="F1125" s="74" t="str">
        <f>IFERROR(__xludf.DUMMYFUNCTION("""COMPUTED_VALUE"""),"Differential Cylinder 2023 120/80X2000 / Cilindro Diferencial 2023 120/80X2000")</f>
        <v>Differential Cylinder 2023 120/80X2000 / Cilindro Diferencial 2023 120/80X2000</v>
      </c>
      <c r="G1125" s="74"/>
      <c r="H1125" s="74"/>
      <c r="I1125" s="74" t="str">
        <f>IFERROR(__xludf.DUMMYFUNCTION("""COMPUTED_VALUE"""),"SOM30111")</f>
        <v>SOM30111</v>
      </c>
      <c r="J1125" s="74" t="str">
        <f>IFERROR(__xludf.DUMMYFUNCTION("""COMPUTED_VALUE"""),"10031492")</f>
        <v>10031492</v>
      </c>
      <c r="K1125" s="74" t="str">
        <f>IFERROR(__xludf.DUMMYFUNCTION("""COMPUTED_VALUE"""),"Schwing")</f>
        <v>Schwing</v>
      </c>
      <c r="L1125" s="74" t="str">
        <f>IFERROR(__xludf.DUMMYFUNCTION("""COMPUTED_VALUE"""),"Sistema de Bombeo de Concreto")</f>
        <v>Sistema de Bombeo de Concreto</v>
      </c>
      <c r="M1125" s="74" t="str">
        <f>IFERROR(__xludf.DUMMYFUNCTION("""COMPUTED_VALUE"""),"Sin Asignar")</f>
        <v>Sin Asignar</v>
      </c>
      <c r="N1125" s="87">
        <f>IFERROR(__xludf.DUMMYFUNCTION("""COMPUTED_VALUE"""),0.0)</f>
        <v>0</v>
      </c>
      <c r="O1125" s="74"/>
      <c r="P1125" s="74" t="str">
        <f>IFERROR(__xludf.DUMMYFUNCTION("""COMPUTED_VALUE"""),"No Available")</f>
        <v>No Available</v>
      </c>
      <c r="Q1125" s="74"/>
      <c r="R1125" s="74"/>
      <c r="S1125" s="87">
        <f>IFERROR(__xludf.DUMMYFUNCTION("""COMPUTED_VALUE"""),0.0)</f>
        <v>0</v>
      </c>
      <c r="T1125" s="87">
        <f>IFERROR(__xludf.DUMMYFUNCTION("""COMPUTED_VALUE"""),0.0)</f>
        <v>0</v>
      </c>
      <c r="U1125" s="87">
        <f>IFERROR(__xludf.DUMMYFUNCTION("""COMPUTED_VALUE"""),0.0)</f>
        <v>0</v>
      </c>
      <c r="V1125" s="87">
        <f>IFERROR(__xludf.DUMMYFUNCTION("""COMPUTED_VALUE"""),0.0)</f>
        <v>0</v>
      </c>
      <c r="W1125" s="87">
        <f>IFERROR(__xludf.DUMMYFUNCTION("""COMPUTED_VALUE"""),0.0)</f>
        <v>0</v>
      </c>
      <c r="X1125" s="88"/>
      <c r="Y1125" s="74"/>
      <c r="Z1125" s="74"/>
    </row>
    <row r="1126">
      <c r="B1126" s="74" t="str">
        <f>IFERROR(__xludf.DUMMYFUNCTION("""COMPUTED_VALUE"""),"2124")</f>
        <v>2124</v>
      </c>
      <c r="C1126" s="74"/>
      <c r="D1126" s="74" t="str">
        <f>IFERROR(__xludf.DUMMYFUNCTION("""COMPUTED_VALUE"""),"\\MCA-S\mk\2_BM\0_BMat\08_PYM\Inventario\excel\Imagen de refacciones\Schwing\Differential Cylinder 2023 130_80X2000 _ Cilindro Diferencial 2023 130_80X2000")</f>
        <v>\\MCA-S\mk\2_BM\0_BMat\08_PYM\Inventario\excel\Imagen de refacciones\Schwing\Differential Cylinder 2023 130_80X2000 _ Cilindro Diferencial 2023 130_80X2000</v>
      </c>
      <c r="E1126" s="74"/>
      <c r="F1126" s="74" t="str">
        <f>IFERROR(__xludf.DUMMYFUNCTION("""COMPUTED_VALUE"""),"Differential Cylinder 2023 130/80X2000 / Cilindro Diferencial 2023 130/80X2000")</f>
        <v>Differential Cylinder 2023 130/80X2000 / Cilindro Diferencial 2023 130/80X2000</v>
      </c>
      <c r="G1126" s="74"/>
      <c r="H1126" s="74"/>
      <c r="I1126" s="74" t="str">
        <f>IFERROR(__xludf.DUMMYFUNCTION("""COMPUTED_VALUE"""),"SOM30113")</f>
        <v>SOM30113</v>
      </c>
      <c r="J1126" s="74" t="str">
        <f>IFERROR(__xludf.DUMMYFUNCTION("""COMPUTED_VALUE"""),"10023479")</f>
        <v>10023479</v>
      </c>
      <c r="K1126" s="74" t="str">
        <f>IFERROR(__xludf.DUMMYFUNCTION("""COMPUTED_VALUE"""),"Schwing")</f>
        <v>Schwing</v>
      </c>
      <c r="L1126" s="74" t="str">
        <f>IFERROR(__xludf.DUMMYFUNCTION("""COMPUTED_VALUE"""),"Sistema de Bombeo de Concreto")</f>
        <v>Sistema de Bombeo de Concreto</v>
      </c>
      <c r="M1126" s="74" t="str">
        <f>IFERROR(__xludf.DUMMYFUNCTION("""COMPUTED_VALUE"""),"Sin Asignar")</f>
        <v>Sin Asignar</v>
      </c>
      <c r="N1126" s="87">
        <f>IFERROR(__xludf.DUMMYFUNCTION("""COMPUTED_VALUE"""),0.0)</f>
        <v>0</v>
      </c>
      <c r="O1126" s="74"/>
      <c r="P1126" s="74" t="str">
        <f>IFERROR(__xludf.DUMMYFUNCTION("""COMPUTED_VALUE"""),"No Available")</f>
        <v>No Available</v>
      </c>
      <c r="Q1126" s="74"/>
      <c r="R1126" s="74"/>
      <c r="S1126" s="87">
        <f>IFERROR(__xludf.DUMMYFUNCTION("""COMPUTED_VALUE"""),0.0)</f>
        <v>0</v>
      </c>
      <c r="T1126" s="87">
        <f>IFERROR(__xludf.DUMMYFUNCTION("""COMPUTED_VALUE"""),0.0)</f>
        <v>0</v>
      </c>
      <c r="U1126" s="87">
        <f>IFERROR(__xludf.DUMMYFUNCTION("""COMPUTED_VALUE"""),0.0)</f>
        <v>0</v>
      </c>
      <c r="V1126" s="87">
        <f>IFERROR(__xludf.DUMMYFUNCTION("""COMPUTED_VALUE"""),0.0)</f>
        <v>0</v>
      </c>
      <c r="W1126" s="87">
        <f>IFERROR(__xludf.DUMMYFUNCTION("""COMPUTED_VALUE"""),0.0)</f>
        <v>0</v>
      </c>
      <c r="X1126" s="88"/>
      <c r="Y1126" s="74"/>
      <c r="Z1126" s="74"/>
    </row>
    <row r="1127">
      <c r="B1127" s="74" t="str">
        <f>IFERROR(__xludf.DUMMYFUNCTION("""COMPUTED_VALUE"""),"2125")</f>
        <v>2125</v>
      </c>
      <c r="C1127" s="74"/>
      <c r="D1127" s="74" t="str">
        <f>IFERROR(__xludf.DUMMYFUNCTION("""COMPUTED_VALUE"""),"\\MCA-S\mk\2_BM\0_BMat\08_PYM\Inventario\excel\Imagen de refacciones\Schwing\Differential Cylinder 2525 120_85X2500 _ Cilindro Diferencial 2525 120_85X2500")</f>
        <v>\\MCA-S\mk\2_BM\0_BMat\08_PYM\Inventario\excel\Imagen de refacciones\Schwing\Differential Cylinder 2525 120_85X2500 _ Cilindro Diferencial 2525 120_85X2500</v>
      </c>
      <c r="E1127" s="74"/>
      <c r="F1127" s="74" t="str">
        <f>IFERROR(__xludf.DUMMYFUNCTION("""COMPUTED_VALUE"""),"Differential Cylinder 2525 120/85X2500 / Cilindro Diferencial 2525 120/85X2500")</f>
        <v>Differential Cylinder 2525 120/85X2500 / Cilindro Diferencial 2525 120/85X2500</v>
      </c>
      <c r="G1127" s="74"/>
      <c r="H1127" s="74"/>
      <c r="I1127" s="74" t="str">
        <f>IFERROR(__xludf.DUMMYFUNCTION("""COMPUTED_VALUE"""),"SOM30114")</f>
        <v>SOM30114</v>
      </c>
      <c r="J1127" s="74" t="str">
        <f>IFERROR(__xludf.DUMMYFUNCTION("""COMPUTED_VALUE"""),"10164038")</f>
        <v>10164038</v>
      </c>
      <c r="K1127" s="74" t="str">
        <f>IFERROR(__xludf.DUMMYFUNCTION("""COMPUTED_VALUE"""),"Schwing")</f>
        <v>Schwing</v>
      </c>
      <c r="L1127" s="74" t="str">
        <f>IFERROR(__xludf.DUMMYFUNCTION("""COMPUTED_VALUE"""),"Sistema de Bombeo de Concreto")</f>
        <v>Sistema de Bombeo de Concreto</v>
      </c>
      <c r="M1127" s="74" t="str">
        <f>IFERROR(__xludf.DUMMYFUNCTION("""COMPUTED_VALUE"""),"Sin Asignar")</f>
        <v>Sin Asignar</v>
      </c>
      <c r="N1127" s="87">
        <f>IFERROR(__xludf.DUMMYFUNCTION("""COMPUTED_VALUE"""),0.0)</f>
        <v>0</v>
      </c>
      <c r="O1127" s="74"/>
      <c r="P1127" s="74" t="str">
        <f>IFERROR(__xludf.DUMMYFUNCTION("""COMPUTED_VALUE"""),"No Available")</f>
        <v>No Available</v>
      </c>
      <c r="Q1127" s="74"/>
      <c r="R1127" s="74"/>
      <c r="S1127" s="87">
        <f>IFERROR(__xludf.DUMMYFUNCTION("""COMPUTED_VALUE"""),0.0)</f>
        <v>0</v>
      </c>
      <c r="T1127" s="87">
        <f>IFERROR(__xludf.DUMMYFUNCTION("""COMPUTED_VALUE"""),0.0)</f>
        <v>0</v>
      </c>
      <c r="U1127" s="87">
        <f>IFERROR(__xludf.DUMMYFUNCTION("""COMPUTED_VALUE"""),0.0)</f>
        <v>0</v>
      </c>
      <c r="V1127" s="87">
        <f>IFERROR(__xludf.DUMMYFUNCTION("""COMPUTED_VALUE"""),0.0)</f>
        <v>0</v>
      </c>
      <c r="W1127" s="87">
        <f>IFERROR(__xludf.DUMMYFUNCTION("""COMPUTED_VALUE"""),0.0)</f>
        <v>0</v>
      </c>
      <c r="X1127" s="88"/>
      <c r="Y1127" s="74"/>
      <c r="Z1127" s="74"/>
    </row>
    <row r="1128">
      <c r="B1128" s="74" t="str">
        <f>IFERROR(__xludf.DUMMYFUNCTION("""COMPUTED_VALUE"""),"2126")</f>
        <v>2126</v>
      </c>
      <c r="C1128" s="74"/>
      <c r="D1128" s="74" t="str">
        <f>IFERROR(__xludf.DUMMYFUNCTION("""COMPUTED_VALUE"""),"\\MCA-S\mk\2_BM\0_BMat\08_PYM\Inventario\excel\Imagen de refacciones\Schwing\Disc 85x10 _ Disco 85x10")</f>
        <v>\\MCA-S\mk\2_BM\0_BMat\08_PYM\Inventario\excel\Imagen de refacciones\Schwing\Disc 85x10 _ Disco 85x10</v>
      </c>
      <c r="E1128" s="74"/>
      <c r="F1128" s="74" t="str">
        <f>IFERROR(__xludf.DUMMYFUNCTION("""COMPUTED_VALUE"""),"Disc 85x10 / Disco 85x10")</f>
        <v>Disc 85x10 / Disco 85x10</v>
      </c>
      <c r="G1128" s="74"/>
      <c r="H1128" s="74"/>
      <c r="I1128" s="74" t="str">
        <f>IFERROR(__xludf.DUMMYFUNCTION("""COMPUTED_VALUE"""),"SOM30173")</f>
        <v>SOM30173</v>
      </c>
      <c r="J1128" s="74" t="str">
        <f>IFERROR(__xludf.DUMMYFUNCTION("""COMPUTED_VALUE"""),"10061081")</f>
        <v>10061081</v>
      </c>
      <c r="K1128" s="74" t="str">
        <f>IFERROR(__xludf.DUMMYFUNCTION("""COMPUTED_VALUE"""),"Schwing")</f>
        <v>Schwing</v>
      </c>
      <c r="L1128" s="74" t="str">
        <f>IFERROR(__xludf.DUMMYFUNCTION("""COMPUTED_VALUE"""),"Componentes Estructurales y de Montaje")</f>
        <v>Componentes Estructurales y de Montaje</v>
      </c>
      <c r="M1128" s="74" t="str">
        <f>IFERROR(__xludf.DUMMYFUNCTION("""COMPUTED_VALUE"""),"Sin Asignar")</f>
        <v>Sin Asignar</v>
      </c>
      <c r="N1128" s="87">
        <f>IFERROR(__xludf.DUMMYFUNCTION("""COMPUTED_VALUE"""),0.0)</f>
        <v>0</v>
      </c>
      <c r="O1128" s="74"/>
      <c r="P1128" s="74" t="str">
        <f>IFERROR(__xludf.DUMMYFUNCTION("""COMPUTED_VALUE"""),"borrar")</f>
        <v>borrar</v>
      </c>
      <c r="Q1128" s="74"/>
      <c r="R1128" s="74"/>
      <c r="S1128" s="87">
        <f>IFERROR(__xludf.DUMMYFUNCTION("""COMPUTED_VALUE"""),0.0)</f>
        <v>0</v>
      </c>
      <c r="T1128" s="87">
        <f>IFERROR(__xludf.DUMMYFUNCTION("""COMPUTED_VALUE"""),0.0)</f>
        <v>0</v>
      </c>
      <c r="U1128" s="87">
        <f>IFERROR(__xludf.DUMMYFUNCTION("""COMPUTED_VALUE"""),0.0)</f>
        <v>0</v>
      </c>
      <c r="V1128" s="87">
        <f>IFERROR(__xludf.DUMMYFUNCTION("""COMPUTED_VALUE"""),0.0)</f>
        <v>0</v>
      </c>
      <c r="W1128" s="87">
        <f>IFERROR(__xludf.DUMMYFUNCTION("""COMPUTED_VALUE"""),0.0)</f>
        <v>0</v>
      </c>
      <c r="X1128" s="88"/>
      <c r="Y1128" s="74"/>
      <c r="Z1128" s="74"/>
    </row>
    <row r="1129">
      <c r="B1129" s="74" t="str">
        <f>IFERROR(__xludf.DUMMYFUNCTION("""COMPUTED_VALUE"""),"2127")</f>
        <v>2127</v>
      </c>
      <c r="C1129" s="74"/>
      <c r="D1129" s="74" t="str">
        <f>IFERROR(__xludf.DUMMYFUNCTION("""COMPUTED_VALUE"""),"\\MCA-S\mk\2_BM\0_BMat\08_PYM\Inventario\excel\Imagen de refacciones\Schwing\Disc D 60_95 X 5 _ Disco D 60_95 X 5")</f>
        <v>\\MCA-S\mk\2_BM\0_BMat\08_PYM\Inventario\excel\Imagen de refacciones\Schwing\Disc D 60_95 X 5 _ Disco D 60_95 X 5</v>
      </c>
      <c r="E1129" s="74"/>
      <c r="F1129" s="74" t="str">
        <f>IFERROR(__xludf.DUMMYFUNCTION("""COMPUTED_VALUE"""),"Disc D 60/95 X 5 / Disco D 60/95 X 5")</f>
        <v>Disc D 60/95 X 5 / Disco D 60/95 X 5</v>
      </c>
      <c r="G1129" s="74"/>
      <c r="H1129" s="74"/>
      <c r="I1129" s="74" t="str">
        <f>IFERROR(__xludf.DUMMYFUNCTION("""COMPUTED_VALUE"""),"SOM30175")</f>
        <v>SOM30175</v>
      </c>
      <c r="J1129" s="74" t="str">
        <f>IFERROR(__xludf.DUMMYFUNCTION("""COMPUTED_VALUE"""),"10061083")</f>
        <v>10061083</v>
      </c>
      <c r="K1129" s="74" t="str">
        <f>IFERROR(__xludf.DUMMYFUNCTION("""COMPUTED_VALUE"""),"Schwing")</f>
        <v>Schwing</v>
      </c>
      <c r="L1129" s="74" t="str">
        <f>IFERROR(__xludf.DUMMYFUNCTION("""COMPUTED_VALUE"""),"Componentes Estructurales y de Montaje")</f>
        <v>Componentes Estructurales y de Montaje</v>
      </c>
      <c r="M1129" s="74" t="str">
        <f>IFERROR(__xludf.DUMMYFUNCTION("""COMPUTED_VALUE"""),"Sin Asignar")</f>
        <v>Sin Asignar</v>
      </c>
      <c r="N1129" s="87">
        <f>IFERROR(__xludf.DUMMYFUNCTION("""COMPUTED_VALUE"""),0.0)</f>
        <v>0</v>
      </c>
      <c r="O1129" s="74"/>
      <c r="P1129" s="74" t="str">
        <f>IFERROR(__xludf.DUMMYFUNCTION("""COMPUTED_VALUE"""),"borrar")</f>
        <v>borrar</v>
      </c>
      <c r="Q1129" s="74"/>
      <c r="R1129" s="74"/>
      <c r="S1129" s="87">
        <f>IFERROR(__xludf.DUMMYFUNCTION("""COMPUTED_VALUE"""),0.0)</f>
        <v>0</v>
      </c>
      <c r="T1129" s="87">
        <f>IFERROR(__xludf.DUMMYFUNCTION("""COMPUTED_VALUE"""),0.0)</f>
        <v>0</v>
      </c>
      <c r="U1129" s="87">
        <f>IFERROR(__xludf.DUMMYFUNCTION("""COMPUTED_VALUE"""),0.0)</f>
        <v>0</v>
      </c>
      <c r="V1129" s="87">
        <f>IFERROR(__xludf.DUMMYFUNCTION("""COMPUTED_VALUE"""),0.0)</f>
        <v>0</v>
      </c>
      <c r="W1129" s="87">
        <f>IFERROR(__xludf.DUMMYFUNCTION("""COMPUTED_VALUE"""),0.0)</f>
        <v>0</v>
      </c>
      <c r="X1129" s="88"/>
      <c r="Y1129" s="74"/>
      <c r="Z1129" s="74"/>
    </row>
    <row r="1130">
      <c r="B1130" s="74" t="str">
        <f>IFERROR(__xludf.DUMMYFUNCTION("""COMPUTED_VALUE"""),"2128")</f>
        <v>2128</v>
      </c>
      <c r="C1130" s="74" t="str">
        <f>IFERROR(__xludf.DUMMYFUNCTION("""COMPUTED_VALUE"""),"75045880279")</f>
        <v>75045880279</v>
      </c>
      <c r="D1130" s="74" t="str">
        <f>IFERROR(__xludf.DUMMYFUNCTION("""COMPUTED_VALUE"""),"\\MCA-S\mk\2_BM\0_BMat\08_PYM\Inventario\excel\Imagen de refacciones\Schwing\Disco con 3 agujeros")</f>
        <v>\\MCA-S\mk\2_BM\0_BMat\08_PYM\Inventario\excel\Imagen de refacciones\Schwing\Disco con 3 agujeros</v>
      </c>
      <c r="E1130" s="74" t="str">
        <f>IFERROR(__xludf.DUMMYFUNCTION("""COMPUTED_VALUE"""),"DISC 3 HOLE 85x10")</f>
        <v>DISC 3 HOLE 85x10</v>
      </c>
      <c r="F1130" s="74" t="str">
        <f>IFERROR(__xludf.DUMMYFUNCTION("""COMPUTED_VALUE"""),"DISCO CON 3 AGUJEROS 85x10")</f>
        <v>DISCO CON 3 AGUJEROS 85x10</v>
      </c>
      <c r="G1130" s="74"/>
      <c r="H1130" s="74" t="str">
        <f>IFERROR(__xludf.DUMMYFUNCTION("""COMPUTED_VALUE"""),"DISCO CON 3 AGUJEROS PARA BOMBA DE HORMIGON")</f>
        <v>DISCO CON 3 AGUJEROS PARA BOMBA DE HORMIGON</v>
      </c>
      <c r="I1130" s="74" t="str">
        <f>IFERROR(__xludf.DUMMYFUNCTION("""COMPUTED_VALUE"""),"10061081")</f>
        <v>10061081</v>
      </c>
      <c r="J1130" s="74"/>
      <c r="K1130" s="74" t="str">
        <f>IFERROR(__xludf.DUMMYFUNCTION("""COMPUTED_VALUE"""),"Schwing")</f>
        <v>Schwing</v>
      </c>
      <c r="L1130" s="74" t="str">
        <f>IFERROR(__xludf.DUMMYFUNCTION("""COMPUTED_VALUE"""),"AGITADOR V-ROCK")</f>
        <v>AGITADOR V-ROCK</v>
      </c>
      <c r="M1130" s="74" t="str">
        <f>IFERROR(__xludf.DUMMYFUNCTION("""COMPUTED_VALUE"""),"Sin Asignar")</f>
        <v>Sin Asignar</v>
      </c>
      <c r="N1130" s="87">
        <f>IFERROR(__xludf.DUMMYFUNCTION("""COMPUTED_VALUE"""),532.8)</f>
        <v>532.8</v>
      </c>
      <c r="O1130" s="74">
        <f>IFERROR(__xludf.DUMMYFUNCTION("""COMPUTED_VALUE"""),15.0)</f>
        <v>15</v>
      </c>
      <c r="P1130" s="74" t="str">
        <f>IFERROR(__xludf.DUMMYFUNCTION("""COMPUTED_VALUE"""),"In stock")</f>
        <v>In stock</v>
      </c>
      <c r="Q1130" s="74"/>
      <c r="R1130" s="74"/>
      <c r="S1130" s="87">
        <f>IFERROR(__xludf.DUMMYFUNCTION("""COMPUTED_VALUE"""),2.7)</f>
        <v>2.7</v>
      </c>
      <c r="T1130" s="87">
        <f>IFERROR(__xludf.DUMMYFUNCTION("""COMPUTED_VALUE"""),30.0)</f>
        <v>30</v>
      </c>
      <c r="U1130" s="87">
        <f>IFERROR(__xludf.DUMMYFUNCTION("""COMPUTED_VALUE"""),28.799999999999997)</f>
        <v>28.8</v>
      </c>
      <c r="V1130" s="87">
        <f>IFERROR(__xludf.DUMMYFUNCTION("""COMPUTED_VALUE"""),3.3075)</f>
        <v>3.3075</v>
      </c>
      <c r="W1130" s="87">
        <f>IFERROR(__xludf.DUMMYFUNCTION("""COMPUTED_VALUE"""),62.015625)</f>
        <v>62.015625</v>
      </c>
      <c r="X1130" s="88">
        <f>IFERROR(__xludf.DUMMYFUNCTION("""COMPUTED_VALUE"""),10.666666666666664)</f>
        <v>10.66666667</v>
      </c>
      <c r="Y1130" s="74"/>
      <c r="Z1130" s="74"/>
    </row>
    <row r="1131">
      <c r="B1131" s="74" t="str">
        <f>IFERROR(__xludf.DUMMYFUNCTION("""COMPUTED_VALUE"""),"2129")</f>
        <v>2129</v>
      </c>
      <c r="C1131" s="74" t="str">
        <f>IFERROR(__xludf.DUMMYFUNCTION("""COMPUTED_VALUE"""),"75045880333")</f>
        <v>75045880333</v>
      </c>
      <c r="D1131" s="74" t="str">
        <f>IFERROR(__xludf.DUMMYFUNCTION("""COMPUTED_VALUE"""),"\\MCA-S\mk\2_BM\0_BMat\08_PYM\Inventario\excel\Imagen de refacciones\Schwing\Disco de bronce")</f>
        <v>\\MCA-S\mk\2_BM\0_BMat\08_PYM\Inventario\excel\Imagen de refacciones\Schwing\Disco de bronce</v>
      </c>
      <c r="E1131" s="74" t="str">
        <f>IFERROR(__xludf.DUMMYFUNCTION("""COMPUTED_VALUE"""),"BRONZE DISC 60/95 x 5")</f>
        <v>BRONZE DISC 60/95 x 5</v>
      </c>
      <c r="F1131" s="74" t="str">
        <f>IFERROR(__xludf.DUMMYFUNCTION("""COMPUTED_VALUE"""),"DISCO BRONCE 60/95 x 5")</f>
        <v>DISCO BRONCE 60/95 x 5</v>
      </c>
      <c r="G1131" s="74"/>
      <c r="H1131" s="74" t="str">
        <f>IFERROR(__xludf.DUMMYFUNCTION("""COMPUTED_VALUE"""),"DISCO BRONCE PARA BOMBA DE HORMIGON")</f>
        <v>DISCO BRONCE PARA BOMBA DE HORMIGON</v>
      </c>
      <c r="I1131" s="74" t="str">
        <f>IFERROR(__xludf.DUMMYFUNCTION("""COMPUTED_VALUE"""),"10061083")</f>
        <v>10061083</v>
      </c>
      <c r="J1131" s="74"/>
      <c r="K1131" s="74" t="str">
        <f>IFERROR(__xludf.DUMMYFUNCTION("""COMPUTED_VALUE"""),"Schwing")</f>
        <v>Schwing</v>
      </c>
      <c r="L1131" s="74" t="str">
        <f>IFERROR(__xludf.DUMMYFUNCTION("""COMPUTED_VALUE"""),"AGITADOR V-ROCK")</f>
        <v>AGITADOR V-ROCK</v>
      </c>
      <c r="M1131" s="74" t="str">
        <f>IFERROR(__xludf.DUMMYFUNCTION("""COMPUTED_VALUE"""),"Sin Asignar")</f>
        <v>Sin Asignar</v>
      </c>
      <c r="N1131" s="87">
        <f>IFERROR(__xludf.DUMMYFUNCTION("""COMPUTED_VALUE"""),355.2)</f>
        <v>355.2</v>
      </c>
      <c r="O1131" s="74">
        <f>IFERROR(__xludf.DUMMYFUNCTION("""COMPUTED_VALUE"""),8.0)</f>
        <v>8</v>
      </c>
      <c r="P1131" s="74" t="str">
        <f>IFERROR(__xludf.DUMMYFUNCTION("""COMPUTED_VALUE"""),"In stock")</f>
        <v>In stock</v>
      </c>
      <c r="Q1131" s="74"/>
      <c r="R1131" s="74"/>
      <c r="S1131" s="87">
        <f>IFERROR(__xludf.DUMMYFUNCTION("""COMPUTED_VALUE"""),3.5)</f>
        <v>3.5</v>
      </c>
      <c r="T1131" s="87">
        <f>IFERROR(__xludf.DUMMYFUNCTION("""COMPUTED_VALUE"""),20.0)</f>
        <v>20</v>
      </c>
      <c r="U1131" s="87">
        <f>IFERROR(__xludf.DUMMYFUNCTION("""COMPUTED_VALUE"""),19.2)</f>
        <v>19.2</v>
      </c>
      <c r="V1131" s="87">
        <f>IFERROR(__xludf.DUMMYFUNCTION("""COMPUTED_VALUE"""),4.2875)</f>
        <v>4.2875</v>
      </c>
      <c r="W1131" s="87">
        <f>IFERROR(__xludf.DUMMYFUNCTION("""COMPUTED_VALUE"""),80.390625)</f>
        <v>80.390625</v>
      </c>
      <c r="X1131" s="88">
        <f>IFERROR(__xludf.DUMMYFUNCTION("""COMPUTED_VALUE"""),5.485714285714286)</f>
        <v>5.485714286</v>
      </c>
      <c r="Y1131" s="74"/>
      <c r="Z1131" s="74"/>
    </row>
    <row r="1132">
      <c r="B1132" s="74" t="str">
        <f>IFERROR(__xludf.DUMMYFUNCTION("""COMPUTED_VALUE"""),"2130")</f>
        <v>2130</v>
      </c>
      <c r="C1132" s="74"/>
      <c r="D1132" s="74" t="str">
        <f>IFERROR(__xludf.DUMMYFUNCTION("""COMPUTED_VALUE"""),"\\MCA-S\mk\2_BM\0_BMat\08_PYM\Inventario\excel\Imagen de refacciones\Schwing\Elbow 20 Degree 5,5_ _ Codo 20 Grados 5,5_")</f>
        <v>\\MCA-S\mk\2_BM\0_BMat\08_PYM\Inventario\excel\Imagen de refacciones\Schwing\Elbow 20 Degree 5,5_ _ Codo 20 Grados 5,5_</v>
      </c>
      <c r="E1132" s="74"/>
      <c r="F1132" s="74" t="str">
        <f>IFERROR(__xludf.DUMMYFUNCTION("""COMPUTED_VALUE"""),"Elbow 20 Degree 5,5"" / Codo 20 Grados 5,5""")</f>
        <v>Elbow 20 Degree 5,5" / Codo 20 Grados 5,5"</v>
      </c>
      <c r="G1132" s="74"/>
      <c r="H1132" s="74"/>
      <c r="I1132" s="74" t="str">
        <f>IFERROR(__xludf.DUMMYFUNCTION("""COMPUTED_VALUE"""),"SOM30267")</f>
        <v>SOM30267</v>
      </c>
      <c r="J1132" s="74" t="str">
        <f>IFERROR(__xludf.DUMMYFUNCTION("""COMPUTED_VALUE"""),"10002894")</f>
        <v>10002894</v>
      </c>
      <c r="K1132" s="74" t="str">
        <f>IFERROR(__xludf.DUMMYFUNCTION("""COMPUTED_VALUE"""),"Schwing")</f>
        <v>Schwing</v>
      </c>
      <c r="L1132" s="74" t="str">
        <f>IFERROR(__xludf.DUMMYFUNCTION("""COMPUTED_VALUE"""),"Sistema de Bombeo de Concreto")</f>
        <v>Sistema de Bombeo de Concreto</v>
      </c>
      <c r="M1132" s="74" t="str">
        <f>IFERROR(__xludf.DUMMYFUNCTION("""COMPUTED_VALUE"""),"Sin Asignar")</f>
        <v>Sin Asignar</v>
      </c>
      <c r="N1132" s="87">
        <f>IFERROR(__xludf.DUMMYFUNCTION("""COMPUTED_VALUE"""),0.0)</f>
        <v>0</v>
      </c>
      <c r="O1132" s="74"/>
      <c r="P1132" s="74" t="str">
        <f>IFERROR(__xludf.DUMMYFUNCTION("""COMPUTED_VALUE"""),"No Available")</f>
        <v>No Available</v>
      </c>
      <c r="Q1132" s="74"/>
      <c r="R1132" s="74"/>
      <c r="S1132" s="87">
        <f>IFERROR(__xludf.DUMMYFUNCTION("""COMPUTED_VALUE"""),0.0)</f>
        <v>0</v>
      </c>
      <c r="T1132" s="87">
        <f>IFERROR(__xludf.DUMMYFUNCTION("""COMPUTED_VALUE"""),0.0)</f>
        <v>0</v>
      </c>
      <c r="U1132" s="87">
        <f>IFERROR(__xludf.DUMMYFUNCTION("""COMPUTED_VALUE"""),0.0)</f>
        <v>0</v>
      </c>
      <c r="V1132" s="87">
        <f>IFERROR(__xludf.DUMMYFUNCTION("""COMPUTED_VALUE"""),0.0)</f>
        <v>0</v>
      </c>
      <c r="W1132" s="87">
        <f>IFERROR(__xludf.DUMMYFUNCTION("""COMPUTED_VALUE"""),0.0)</f>
        <v>0</v>
      </c>
      <c r="X1132" s="88"/>
      <c r="Y1132" s="74"/>
      <c r="Z1132" s="74"/>
    </row>
    <row r="1133">
      <c r="B1133" s="74" t="str">
        <f>IFERROR(__xludf.DUMMYFUNCTION("""COMPUTED_VALUE"""),"2131")</f>
        <v>2131</v>
      </c>
      <c r="C1133" s="74"/>
      <c r="D1133" s="74" t="str">
        <f>IFERROR(__xludf.DUMMYFUNCTION("""COMPUTED_VALUE"""),"\\MCA-S\mk\2_BM\0_BMat\08_PYM\Inventario\excel\Imagen de refacciones\Schwing\Elbow 32,5 Degree 5,5_ _ Codo 32,5 Grados 5,5_")</f>
        <v>\\MCA-S\mk\2_BM\0_BMat\08_PYM\Inventario\excel\Imagen de refacciones\Schwing\Elbow 32,5 Degree 5,5_ _ Codo 32,5 Grados 5,5_</v>
      </c>
      <c r="E1133" s="74"/>
      <c r="F1133" s="74" t="str">
        <f>IFERROR(__xludf.DUMMYFUNCTION("""COMPUTED_VALUE"""),"Elbow 32,5 Degree 5,5"" / Codo 32,5 Grados 5,5""")</f>
        <v>Elbow 32,5 Degree 5,5" / Codo 32,5 Grados 5,5"</v>
      </c>
      <c r="G1133" s="74"/>
      <c r="H1133" s="74"/>
      <c r="I1133" s="74" t="str">
        <f>IFERROR(__xludf.DUMMYFUNCTION("""COMPUTED_VALUE"""),"SOM30268")</f>
        <v>SOM30268</v>
      </c>
      <c r="J1133" s="74" t="str">
        <f>IFERROR(__xludf.DUMMYFUNCTION("""COMPUTED_VALUE"""),"10035756")</f>
        <v>10035756</v>
      </c>
      <c r="K1133" s="74" t="str">
        <f>IFERROR(__xludf.DUMMYFUNCTION("""COMPUTED_VALUE"""),"Schwing")</f>
        <v>Schwing</v>
      </c>
      <c r="L1133" s="74" t="str">
        <f>IFERROR(__xludf.DUMMYFUNCTION("""COMPUTED_VALUE"""),"Sistema de Bombeo de Concreto")</f>
        <v>Sistema de Bombeo de Concreto</v>
      </c>
      <c r="M1133" s="74" t="str">
        <f>IFERROR(__xludf.DUMMYFUNCTION("""COMPUTED_VALUE"""),"Sin Asignar")</f>
        <v>Sin Asignar</v>
      </c>
      <c r="N1133" s="87">
        <f>IFERROR(__xludf.DUMMYFUNCTION("""COMPUTED_VALUE"""),0.0)</f>
        <v>0</v>
      </c>
      <c r="O1133" s="74"/>
      <c r="P1133" s="74" t="str">
        <f>IFERROR(__xludf.DUMMYFUNCTION("""COMPUTED_VALUE"""),"No Available")</f>
        <v>No Available</v>
      </c>
      <c r="Q1133" s="74"/>
      <c r="R1133" s="74"/>
      <c r="S1133" s="87">
        <f>IFERROR(__xludf.DUMMYFUNCTION("""COMPUTED_VALUE"""),0.0)</f>
        <v>0</v>
      </c>
      <c r="T1133" s="87">
        <f>IFERROR(__xludf.DUMMYFUNCTION("""COMPUTED_VALUE"""),0.0)</f>
        <v>0</v>
      </c>
      <c r="U1133" s="87">
        <f>IFERROR(__xludf.DUMMYFUNCTION("""COMPUTED_VALUE"""),0.0)</f>
        <v>0</v>
      </c>
      <c r="V1133" s="87">
        <f>IFERROR(__xludf.DUMMYFUNCTION("""COMPUTED_VALUE"""),0.0)</f>
        <v>0</v>
      </c>
      <c r="W1133" s="87">
        <f>IFERROR(__xludf.DUMMYFUNCTION("""COMPUTED_VALUE"""),0.0)</f>
        <v>0</v>
      </c>
      <c r="X1133" s="88"/>
      <c r="Y1133" s="74"/>
      <c r="Z1133" s="74"/>
    </row>
    <row r="1134">
      <c r="B1134" s="74" t="str">
        <f>IFERROR(__xludf.DUMMYFUNCTION("""COMPUTED_VALUE"""),"2132")</f>
        <v>2132</v>
      </c>
      <c r="C1134" s="74"/>
      <c r="D1134" s="74" t="str">
        <f>IFERROR(__xludf.DUMMYFUNCTION("""COMPUTED_VALUE"""),"\\MCA-S\mk\2_BM\0_BMat\08_PYM\Inventario\excel\Imagen de refacciones\Schwing\Elbow 32,5 Degree 6_ R=230 _ Codo 32,5 Grados 6_ R=230")</f>
        <v>\\MCA-S\mk\2_BM\0_BMat\08_PYM\Inventario\excel\Imagen de refacciones\Schwing\Elbow 32,5 Degree 6_ R=230 _ Codo 32,5 Grados 6_ R=230</v>
      </c>
      <c r="E1134" s="74"/>
      <c r="F1134" s="74" t="str">
        <f>IFERROR(__xludf.DUMMYFUNCTION("""COMPUTED_VALUE"""),"Elbow 32,5 Degree 6"" R=230 / Codo 32,5 Grados 6"" R=230")</f>
        <v>Elbow 32,5 Degree 6" R=230 / Codo 32,5 Grados 6" R=230</v>
      </c>
      <c r="G1134" s="74"/>
      <c r="H1134" s="74"/>
      <c r="I1134" s="74" t="str">
        <f>IFERROR(__xludf.DUMMYFUNCTION("""COMPUTED_VALUE"""),"SOM30273")</f>
        <v>SOM30273</v>
      </c>
      <c r="J1134" s="74" t="str">
        <f>IFERROR(__xludf.DUMMYFUNCTION("""COMPUTED_VALUE"""),"10215835")</f>
        <v>10215835</v>
      </c>
      <c r="K1134" s="74" t="str">
        <f>IFERROR(__xludf.DUMMYFUNCTION("""COMPUTED_VALUE"""),"Schwing")</f>
        <v>Schwing</v>
      </c>
      <c r="L1134" s="74" t="str">
        <f>IFERROR(__xludf.DUMMYFUNCTION("""COMPUTED_VALUE"""),"Sistema de Bombeo de Concreto")</f>
        <v>Sistema de Bombeo de Concreto</v>
      </c>
      <c r="M1134" s="74" t="str">
        <f>IFERROR(__xludf.DUMMYFUNCTION("""COMPUTED_VALUE"""),"Sin Asignar")</f>
        <v>Sin Asignar</v>
      </c>
      <c r="N1134" s="87">
        <f>IFERROR(__xludf.DUMMYFUNCTION("""COMPUTED_VALUE"""),0.0)</f>
        <v>0</v>
      </c>
      <c r="O1134" s="74"/>
      <c r="P1134" s="74" t="str">
        <f>IFERROR(__xludf.DUMMYFUNCTION("""COMPUTED_VALUE"""),"No Available")</f>
        <v>No Available</v>
      </c>
      <c r="Q1134" s="74"/>
      <c r="R1134" s="74"/>
      <c r="S1134" s="87">
        <f>IFERROR(__xludf.DUMMYFUNCTION("""COMPUTED_VALUE"""),0.0)</f>
        <v>0</v>
      </c>
      <c r="T1134" s="87">
        <f>IFERROR(__xludf.DUMMYFUNCTION("""COMPUTED_VALUE"""),0.0)</f>
        <v>0</v>
      </c>
      <c r="U1134" s="87">
        <f>IFERROR(__xludf.DUMMYFUNCTION("""COMPUTED_VALUE"""),0.0)</f>
        <v>0</v>
      </c>
      <c r="V1134" s="87">
        <f>IFERROR(__xludf.DUMMYFUNCTION("""COMPUTED_VALUE"""),0.0)</f>
        <v>0</v>
      </c>
      <c r="W1134" s="87">
        <f>IFERROR(__xludf.DUMMYFUNCTION("""COMPUTED_VALUE"""),0.0)</f>
        <v>0</v>
      </c>
      <c r="X1134" s="88"/>
      <c r="Y1134" s="74"/>
      <c r="Z1134" s="74"/>
    </row>
    <row r="1135">
      <c r="B1135" s="74" t="str">
        <f>IFERROR(__xludf.DUMMYFUNCTION("""COMPUTED_VALUE"""),"2133")</f>
        <v>2133</v>
      </c>
      <c r="C1135" s="74"/>
      <c r="D1135" s="74" t="str">
        <f>IFERROR(__xludf.DUMMYFUNCTION("""COMPUTED_VALUE"""),"\\MCA-S\mk\2_BM\0_BMat\08_PYM\Inventario\excel\Imagen de refacciones\Schwing\Elbow 45 Degree 5,5_ _ Codo 45 Grados 5,5_")</f>
        <v>\\MCA-S\mk\2_BM\0_BMat\08_PYM\Inventario\excel\Imagen de refacciones\Schwing\Elbow 45 Degree 5,5_ _ Codo 45 Grados 5,5_</v>
      </c>
      <c r="E1135" s="74"/>
      <c r="F1135" s="74" t="str">
        <f>IFERROR(__xludf.DUMMYFUNCTION("""COMPUTED_VALUE"""),"Elbow 45 Degree 5,5"" / Codo 45 Grados 5,5""")</f>
        <v>Elbow 45 Degree 5,5" / Codo 45 Grados 5,5"</v>
      </c>
      <c r="G1135" s="74"/>
      <c r="H1135" s="74"/>
      <c r="I1135" s="74" t="str">
        <f>IFERROR(__xludf.DUMMYFUNCTION("""COMPUTED_VALUE"""),"SOM30269")</f>
        <v>SOM30269</v>
      </c>
      <c r="J1135" s="74" t="str">
        <f>IFERROR(__xludf.DUMMYFUNCTION("""COMPUTED_VALUE"""),"10014526")</f>
        <v>10014526</v>
      </c>
      <c r="K1135" s="74" t="str">
        <f>IFERROR(__xludf.DUMMYFUNCTION("""COMPUTED_VALUE"""),"Schwing")</f>
        <v>Schwing</v>
      </c>
      <c r="L1135" s="74" t="str">
        <f>IFERROR(__xludf.DUMMYFUNCTION("""COMPUTED_VALUE"""),"Sistema de Bombeo de Concreto")</f>
        <v>Sistema de Bombeo de Concreto</v>
      </c>
      <c r="M1135" s="74" t="str">
        <f>IFERROR(__xludf.DUMMYFUNCTION("""COMPUTED_VALUE"""),"Sin Asignar")</f>
        <v>Sin Asignar</v>
      </c>
      <c r="N1135" s="87">
        <f>IFERROR(__xludf.DUMMYFUNCTION("""COMPUTED_VALUE"""),0.0)</f>
        <v>0</v>
      </c>
      <c r="O1135" s="74"/>
      <c r="P1135" s="74" t="str">
        <f>IFERROR(__xludf.DUMMYFUNCTION("""COMPUTED_VALUE"""),"No Available")</f>
        <v>No Available</v>
      </c>
      <c r="Q1135" s="74"/>
      <c r="R1135" s="74"/>
      <c r="S1135" s="87">
        <f>IFERROR(__xludf.DUMMYFUNCTION("""COMPUTED_VALUE"""),0.0)</f>
        <v>0</v>
      </c>
      <c r="T1135" s="87">
        <f>IFERROR(__xludf.DUMMYFUNCTION("""COMPUTED_VALUE"""),0.0)</f>
        <v>0</v>
      </c>
      <c r="U1135" s="87">
        <f>IFERROR(__xludf.DUMMYFUNCTION("""COMPUTED_VALUE"""),0.0)</f>
        <v>0</v>
      </c>
      <c r="V1135" s="87">
        <f>IFERROR(__xludf.DUMMYFUNCTION("""COMPUTED_VALUE"""),0.0)</f>
        <v>0</v>
      </c>
      <c r="W1135" s="87">
        <f>IFERROR(__xludf.DUMMYFUNCTION("""COMPUTED_VALUE"""),0.0)</f>
        <v>0</v>
      </c>
      <c r="X1135" s="88"/>
      <c r="Y1135" s="74"/>
      <c r="Z1135" s="74"/>
    </row>
    <row r="1136">
      <c r="B1136" s="74" t="str">
        <f>IFERROR(__xludf.DUMMYFUNCTION("""COMPUTED_VALUE"""),"2134")</f>
        <v>2134</v>
      </c>
      <c r="C1136" s="74"/>
      <c r="D1136" s="74" t="str">
        <f>IFERROR(__xludf.DUMMYFUNCTION("""COMPUTED_VALUE"""),"\\MCA-S\mk\2_BM\0_BMat\08_PYM\Inventario\excel\Imagen de refacciones\Schwing\Elbow 45 Degree 6_ _ Codo 45 Grados 6_")</f>
        <v>\\MCA-S\mk\2_BM\0_BMat\08_PYM\Inventario\excel\Imagen de refacciones\Schwing\Elbow 45 Degree 6_ _ Codo 45 Grados 6_</v>
      </c>
      <c r="E1136" s="74"/>
      <c r="F1136" s="74" t="str">
        <f>IFERROR(__xludf.DUMMYFUNCTION("""COMPUTED_VALUE"""),"Elbow 45 Degree 6"" / Codo 45 Grados 6""")</f>
        <v>Elbow 45 Degree 6" / Codo 45 Grados 6"</v>
      </c>
      <c r="G1136" s="74"/>
      <c r="H1136" s="74"/>
      <c r="I1136" s="74" t="str">
        <f>IFERROR(__xludf.DUMMYFUNCTION("""COMPUTED_VALUE"""),"SOM30271")</f>
        <v>SOM30271</v>
      </c>
      <c r="J1136" s="74" t="str">
        <f>IFERROR(__xludf.DUMMYFUNCTION("""COMPUTED_VALUE"""),"10116496")</f>
        <v>10116496</v>
      </c>
      <c r="K1136" s="74" t="str">
        <f>IFERROR(__xludf.DUMMYFUNCTION("""COMPUTED_VALUE"""),"Schwing")</f>
        <v>Schwing</v>
      </c>
      <c r="L1136" s="74" t="str">
        <f>IFERROR(__xludf.DUMMYFUNCTION("""COMPUTED_VALUE"""),"Sistema de Bombeo de Concreto")</f>
        <v>Sistema de Bombeo de Concreto</v>
      </c>
      <c r="M1136" s="74" t="str">
        <f>IFERROR(__xludf.DUMMYFUNCTION("""COMPUTED_VALUE"""),"Sin Asignar")</f>
        <v>Sin Asignar</v>
      </c>
      <c r="N1136" s="87">
        <f>IFERROR(__xludf.DUMMYFUNCTION("""COMPUTED_VALUE"""),0.0)</f>
        <v>0</v>
      </c>
      <c r="O1136" s="74"/>
      <c r="P1136" s="74" t="str">
        <f>IFERROR(__xludf.DUMMYFUNCTION("""COMPUTED_VALUE"""),"No Available")</f>
        <v>No Available</v>
      </c>
      <c r="Q1136" s="74"/>
      <c r="R1136" s="74"/>
      <c r="S1136" s="87">
        <f>IFERROR(__xludf.DUMMYFUNCTION("""COMPUTED_VALUE"""),0.0)</f>
        <v>0</v>
      </c>
      <c r="T1136" s="87">
        <f>IFERROR(__xludf.DUMMYFUNCTION("""COMPUTED_VALUE"""),0.0)</f>
        <v>0</v>
      </c>
      <c r="U1136" s="87">
        <f>IFERROR(__xludf.DUMMYFUNCTION("""COMPUTED_VALUE"""),0.0)</f>
        <v>0</v>
      </c>
      <c r="V1136" s="87">
        <f>IFERROR(__xludf.DUMMYFUNCTION("""COMPUTED_VALUE"""),0.0)</f>
        <v>0</v>
      </c>
      <c r="W1136" s="87">
        <f>IFERROR(__xludf.DUMMYFUNCTION("""COMPUTED_VALUE"""),0.0)</f>
        <v>0</v>
      </c>
      <c r="X1136" s="88"/>
      <c r="Y1136" s="74"/>
      <c r="Z1136" s="74"/>
    </row>
    <row r="1137">
      <c r="B1137" s="74" t="str">
        <f>IFERROR(__xludf.DUMMYFUNCTION("""COMPUTED_VALUE"""),"2135")</f>
        <v>2135</v>
      </c>
      <c r="C1137" s="74"/>
      <c r="D1137" s="74" t="str">
        <f>IFERROR(__xludf.DUMMYFUNCTION("""COMPUTED_VALUE"""),"\\MCA-S\mk\2_BM\0_BMat\08_PYM\Inventario\excel\Imagen de refacciones\Schwing\Elbow 50 Degree 6_ R=230 _ Codo 50 Grados 6_ R=230")</f>
        <v>\\MCA-S\mk\2_BM\0_BMat\08_PYM\Inventario\excel\Imagen de refacciones\Schwing\Elbow 50 Degree 6_ R=230 _ Codo 50 Grados 6_ R=230</v>
      </c>
      <c r="E1137" s="74"/>
      <c r="F1137" s="74" t="str">
        <f>IFERROR(__xludf.DUMMYFUNCTION("""COMPUTED_VALUE"""),"Elbow 50 Degree 6"" R=230 / Codo 50 Grados 6"" R=230")</f>
        <v>Elbow 50 Degree 6" R=230 / Codo 50 Grados 6" R=230</v>
      </c>
      <c r="G1137" s="74"/>
      <c r="H1137" s="74"/>
      <c r="I1137" s="74" t="str">
        <f>IFERROR(__xludf.DUMMYFUNCTION("""COMPUTED_VALUE"""),"SOM30272")</f>
        <v>SOM30272</v>
      </c>
      <c r="J1137" s="74" t="str">
        <f>IFERROR(__xludf.DUMMYFUNCTION("""COMPUTED_VALUE"""),"10103894")</f>
        <v>10103894</v>
      </c>
      <c r="K1137" s="74" t="str">
        <f>IFERROR(__xludf.DUMMYFUNCTION("""COMPUTED_VALUE"""),"Schwing")</f>
        <v>Schwing</v>
      </c>
      <c r="L1137" s="74" t="str">
        <f>IFERROR(__xludf.DUMMYFUNCTION("""COMPUTED_VALUE"""),"Sistema de Bombeo de Concreto")</f>
        <v>Sistema de Bombeo de Concreto</v>
      </c>
      <c r="M1137" s="74" t="str">
        <f>IFERROR(__xludf.DUMMYFUNCTION("""COMPUTED_VALUE"""),"Sin Asignar")</f>
        <v>Sin Asignar</v>
      </c>
      <c r="N1137" s="87">
        <f>IFERROR(__xludf.DUMMYFUNCTION("""COMPUTED_VALUE"""),0.0)</f>
        <v>0</v>
      </c>
      <c r="O1137" s="74"/>
      <c r="P1137" s="74" t="str">
        <f>IFERROR(__xludf.DUMMYFUNCTION("""COMPUTED_VALUE"""),"No Available")</f>
        <v>No Available</v>
      </c>
      <c r="Q1137" s="74"/>
      <c r="R1137" s="74"/>
      <c r="S1137" s="87">
        <f>IFERROR(__xludf.DUMMYFUNCTION("""COMPUTED_VALUE"""),0.0)</f>
        <v>0</v>
      </c>
      <c r="T1137" s="87">
        <f>IFERROR(__xludf.DUMMYFUNCTION("""COMPUTED_VALUE"""),0.0)</f>
        <v>0</v>
      </c>
      <c r="U1137" s="87">
        <f>IFERROR(__xludf.DUMMYFUNCTION("""COMPUTED_VALUE"""),0.0)</f>
        <v>0</v>
      </c>
      <c r="V1137" s="87">
        <f>IFERROR(__xludf.DUMMYFUNCTION("""COMPUTED_VALUE"""),0.0)</f>
        <v>0</v>
      </c>
      <c r="W1137" s="87">
        <f>IFERROR(__xludf.DUMMYFUNCTION("""COMPUTED_VALUE"""),0.0)</f>
        <v>0</v>
      </c>
      <c r="X1137" s="88"/>
      <c r="Y1137" s="74"/>
      <c r="Z1137" s="74"/>
    </row>
    <row r="1138">
      <c r="B1138" s="74" t="str">
        <f>IFERROR(__xludf.DUMMYFUNCTION("""COMPUTED_VALUE"""),"2136")</f>
        <v>2136</v>
      </c>
      <c r="C1138" s="74"/>
      <c r="D1138" s="74" t="str">
        <f>IFERROR(__xludf.DUMMYFUNCTION("""COMPUTED_VALUE"""),"\\MCA-S\mk\2_BM\0_BMat\08_PYM\Inventario\excel\Imagen de refacciones\Schwing\Elbow 90 Degree 5,5_ R=275 _ Codo 90 Grados 5,5_ R=275")</f>
        <v>\\MCA-S\mk\2_BM\0_BMat\08_PYM\Inventario\excel\Imagen de refacciones\Schwing\Elbow 90 Degree 5,5_ R=275 _ Codo 90 Grados 5,5_ R=275</v>
      </c>
      <c r="E1138" s="74"/>
      <c r="F1138" s="74" t="str">
        <f>IFERROR(__xludf.DUMMYFUNCTION("""COMPUTED_VALUE"""),"Elbow 90 Degree 5,5"" R=275 / Codo 90 Grados 5,5"" R=275")</f>
        <v>Elbow 90 Degree 5,5" R=275 / Codo 90 Grados 5,5" R=275</v>
      </c>
      <c r="G1138" s="74"/>
      <c r="H1138" s="74"/>
      <c r="I1138" s="74" t="str">
        <f>IFERROR(__xludf.DUMMYFUNCTION("""COMPUTED_VALUE"""),"SOM30270")</f>
        <v>SOM30270</v>
      </c>
      <c r="J1138" s="74" t="str">
        <f>IFERROR(__xludf.DUMMYFUNCTION("""COMPUTED_VALUE"""),"10010479")</f>
        <v>10010479</v>
      </c>
      <c r="K1138" s="74" t="str">
        <f>IFERROR(__xludf.DUMMYFUNCTION("""COMPUTED_VALUE"""),"Schwing")</f>
        <v>Schwing</v>
      </c>
      <c r="L1138" s="74" t="str">
        <f>IFERROR(__xludf.DUMMYFUNCTION("""COMPUTED_VALUE"""),"Sistema de Bombeo de Concreto")</f>
        <v>Sistema de Bombeo de Concreto</v>
      </c>
      <c r="M1138" s="74" t="str">
        <f>IFERROR(__xludf.DUMMYFUNCTION("""COMPUTED_VALUE"""),"Sin Asignar")</f>
        <v>Sin Asignar</v>
      </c>
      <c r="N1138" s="87">
        <f>IFERROR(__xludf.DUMMYFUNCTION("""COMPUTED_VALUE"""),0.0)</f>
        <v>0</v>
      </c>
      <c r="O1138" s="74"/>
      <c r="P1138" s="74" t="str">
        <f>IFERROR(__xludf.DUMMYFUNCTION("""COMPUTED_VALUE"""),"No Available")</f>
        <v>No Available</v>
      </c>
      <c r="Q1138" s="74"/>
      <c r="R1138" s="74"/>
      <c r="S1138" s="87">
        <f>IFERROR(__xludf.DUMMYFUNCTION("""COMPUTED_VALUE"""),0.0)</f>
        <v>0</v>
      </c>
      <c r="T1138" s="87">
        <f>IFERROR(__xludf.DUMMYFUNCTION("""COMPUTED_VALUE"""),0.0)</f>
        <v>0</v>
      </c>
      <c r="U1138" s="87">
        <f>IFERROR(__xludf.DUMMYFUNCTION("""COMPUTED_VALUE"""),0.0)</f>
        <v>0</v>
      </c>
      <c r="V1138" s="87">
        <f>IFERROR(__xludf.DUMMYFUNCTION("""COMPUTED_VALUE"""),0.0)</f>
        <v>0</v>
      </c>
      <c r="W1138" s="87">
        <f>IFERROR(__xludf.DUMMYFUNCTION("""COMPUTED_VALUE"""),0.0)</f>
        <v>0</v>
      </c>
      <c r="X1138" s="88"/>
      <c r="Y1138" s="74"/>
      <c r="Z1138" s="74"/>
    </row>
    <row r="1139">
      <c r="B1139" s="74" t="str">
        <f>IFERROR(__xludf.DUMMYFUNCTION("""COMPUTED_VALUE"""),"2137")</f>
        <v>2137</v>
      </c>
      <c r="C1139" s="74"/>
      <c r="D1139" s="74" t="str">
        <f>IFERROR(__xludf.DUMMYFUNCTION("""COMPUTED_VALUE"""),"\\MCA-S\mk\2_BM\0_BMat\08_PYM\Inventario\excel\Imagen de refacciones\Schwing\Elbow 90 Degree with 10cm Extension 5,5_ _ Codo 90 Grados con Extensión de 10cm 5,5_")</f>
        <v>\\MCA-S\mk\2_BM\0_BMat\08_PYM\Inventario\excel\Imagen de refacciones\Schwing\Elbow 90 Degree with 10cm Extension 5,5_ _ Codo 90 Grados con Extensión de 10cm 5,5_</v>
      </c>
      <c r="E1139" s="74"/>
      <c r="F1139" s="74" t="str">
        <f>IFERROR(__xludf.DUMMYFUNCTION("""COMPUTED_VALUE"""),"Elbow 90 Degree with 10cm Extension 5,5"" / Codo 90 Grados con Extensión de 10cm 5,5""")</f>
        <v>Elbow 90 Degree with 10cm Extension 5,5" / Codo 90 Grados con Extensión de 10cm 5,5"</v>
      </c>
      <c r="G1139" s="74"/>
      <c r="H1139" s="74"/>
      <c r="I1139" s="74" t="str">
        <f>IFERROR(__xludf.DUMMYFUNCTION("""COMPUTED_VALUE"""),"SOM30274")</f>
        <v>SOM30274</v>
      </c>
      <c r="J1139" s="74" t="str">
        <f>IFERROR(__xludf.DUMMYFUNCTION("""COMPUTED_VALUE"""),"10119116")</f>
        <v>10119116</v>
      </c>
      <c r="K1139" s="74" t="str">
        <f>IFERROR(__xludf.DUMMYFUNCTION("""COMPUTED_VALUE"""),"Schwing")</f>
        <v>Schwing</v>
      </c>
      <c r="L1139" s="74" t="str">
        <f>IFERROR(__xludf.DUMMYFUNCTION("""COMPUTED_VALUE"""),"Sistema de Bombeo de Concreto")</f>
        <v>Sistema de Bombeo de Concreto</v>
      </c>
      <c r="M1139" s="74" t="str">
        <f>IFERROR(__xludf.DUMMYFUNCTION("""COMPUTED_VALUE"""),"Sin Asignar")</f>
        <v>Sin Asignar</v>
      </c>
      <c r="N1139" s="87">
        <f>IFERROR(__xludf.DUMMYFUNCTION("""COMPUTED_VALUE"""),0.0)</f>
        <v>0</v>
      </c>
      <c r="O1139" s="74"/>
      <c r="P1139" s="74" t="str">
        <f>IFERROR(__xludf.DUMMYFUNCTION("""COMPUTED_VALUE"""),"No Available")</f>
        <v>No Available</v>
      </c>
      <c r="Q1139" s="74"/>
      <c r="R1139" s="74"/>
      <c r="S1139" s="87">
        <f>IFERROR(__xludf.DUMMYFUNCTION("""COMPUTED_VALUE"""),0.0)</f>
        <v>0</v>
      </c>
      <c r="T1139" s="87">
        <f>IFERROR(__xludf.DUMMYFUNCTION("""COMPUTED_VALUE"""),0.0)</f>
        <v>0</v>
      </c>
      <c r="U1139" s="87">
        <f>IFERROR(__xludf.DUMMYFUNCTION("""COMPUTED_VALUE"""),0.0)</f>
        <v>0</v>
      </c>
      <c r="V1139" s="87">
        <f>IFERROR(__xludf.DUMMYFUNCTION("""COMPUTED_VALUE"""),0.0)</f>
        <v>0</v>
      </c>
      <c r="W1139" s="87">
        <f>IFERROR(__xludf.DUMMYFUNCTION("""COMPUTED_VALUE"""),0.0)</f>
        <v>0</v>
      </c>
      <c r="X1139" s="88"/>
      <c r="Y1139" s="74"/>
      <c r="Z1139" s="74"/>
    </row>
    <row r="1140">
      <c r="B1140" s="74" t="str">
        <f>IFERROR(__xludf.DUMMYFUNCTION("""COMPUTED_VALUE"""),"2138")</f>
        <v>2138</v>
      </c>
      <c r="C1140" s="74"/>
      <c r="D1140" s="74" t="str">
        <f>IFERROR(__xludf.DUMMYFUNCTION("""COMPUTED_VALUE"""),"\\MCA-S\mk\2_BM\0_BMat\08_PYM\Inventario\excel\Imagen de refacciones\Schwing\Elbow 90 Degree with 14cm Extension 5,5_ _ Codo 90 Grados con Extensión de 14cm 5,5_")</f>
        <v>\\MCA-S\mk\2_BM\0_BMat\08_PYM\Inventario\excel\Imagen de refacciones\Schwing\Elbow 90 Degree with 14cm Extension 5,5_ _ Codo 90 Grados con Extensión de 14cm 5,5_</v>
      </c>
      <c r="E1140" s="74"/>
      <c r="F1140" s="74" t="str">
        <f>IFERROR(__xludf.DUMMYFUNCTION("""COMPUTED_VALUE"""),"Elbow 90 Degree with 14cm Extension 5,5"" / Codo 90 Grados con Extensión de 14cm 5,5""")</f>
        <v>Elbow 90 Degree with 14cm Extension 5,5" / Codo 90 Grados con Extensión de 14cm 5,5"</v>
      </c>
      <c r="G1140" s="74"/>
      <c r="H1140" s="74"/>
      <c r="I1140" s="74" t="str">
        <f>IFERROR(__xludf.DUMMYFUNCTION("""COMPUTED_VALUE"""),"SOM30352")</f>
        <v>SOM30352</v>
      </c>
      <c r="J1140" s="74"/>
      <c r="K1140" s="74" t="str">
        <f>IFERROR(__xludf.DUMMYFUNCTION("""COMPUTED_VALUE"""),"Schwing")</f>
        <v>Schwing</v>
      </c>
      <c r="L1140" s="74" t="str">
        <f>IFERROR(__xludf.DUMMYFUNCTION("""COMPUTED_VALUE"""),"Sistema de Bombeo de Concreto")</f>
        <v>Sistema de Bombeo de Concreto</v>
      </c>
      <c r="M1140" s="74" t="str">
        <f>IFERROR(__xludf.DUMMYFUNCTION("""COMPUTED_VALUE"""),"Sin Asignar")</f>
        <v>Sin Asignar</v>
      </c>
      <c r="N1140" s="87">
        <f>IFERROR(__xludf.DUMMYFUNCTION("""COMPUTED_VALUE"""),0.0)</f>
        <v>0</v>
      </c>
      <c r="O1140" s="74"/>
      <c r="P1140" s="74" t="str">
        <f>IFERROR(__xludf.DUMMYFUNCTION("""COMPUTED_VALUE"""),"No Available")</f>
        <v>No Available</v>
      </c>
      <c r="Q1140" s="74"/>
      <c r="R1140" s="74"/>
      <c r="S1140" s="87">
        <f>IFERROR(__xludf.DUMMYFUNCTION("""COMPUTED_VALUE"""),0.0)</f>
        <v>0</v>
      </c>
      <c r="T1140" s="87">
        <f>IFERROR(__xludf.DUMMYFUNCTION("""COMPUTED_VALUE"""),0.0)</f>
        <v>0</v>
      </c>
      <c r="U1140" s="87">
        <f>IFERROR(__xludf.DUMMYFUNCTION("""COMPUTED_VALUE"""),0.0)</f>
        <v>0</v>
      </c>
      <c r="V1140" s="87">
        <f>IFERROR(__xludf.DUMMYFUNCTION("""COMPUTED_VALUE"""),0.0)</f>
        <v>0</v>
      </c>
      <c r="W1140" s="87">
        <f>IFERROR(__xludf.DUMMYFUNCTION("""COMPUTED_VALUE"""),0.0)</f>
        <v>0</v>
      </c>
      <c r="X1140" s="88"/>
      <c r="Y1140" s="74"/>
      <c r="Z1140" s="74"/>
    </row>
    <row r="1141">
      <c r="B1141" s="74" t="str">
        <f>IFERROR(__xludf.DUMMYFUNCTION("""COMPUTED_VALUE"""),"2139")</f>
        <v>2139</v>
      </c>
      <c r="C1141" s="74"/>
      <c r="D1141" s="74" t="str">
        <f>IFERROR(__xludf.DUMMYFUNCTION("""COMPUTED_VALUE"""),"\\MCA-S\mk\2_BM\0_BMat\08_PYM\Inventario\excel\Imagen de refacciones\Schwing\Elbow 90 Degree with 34cm Extension 5,5_ _ Codo 90 Grados con Extensión de 34cm 5,5_")</f>
        <v>\\MCA-S\mk\2_BM\0_BMat\08_PYM\Inventario\excel\Imagen de refacciones\Schwing\Elbow 90 Degree with 34cm Extension 5,5_ _ Codo 90 Grados con Extensión de 34cm 5,5_</v>
      </c>
      <c r="E1141" s="74"/>
      <c r="F1141" s="74" t="str">
        <f>IFERROR(__xludf.DUMMYFUNCTION("""COMPUTED_VALUE"""),"Elbow 90 Degree with 34cm Extension 5,5"" / Codo 90 Grados con Extensión de 34cm 5,5""")</f>
        <v>Elbow 90 Degree with 34cm Extension 5,5" / Codo 90 Grados con Extensión de 34cm 5,5"</v>
      </c>
      <c r="G1141" s="74"/>
      <c r="H1141" s="74"/>
      <c r="I1141" s="74" t="str">
        <f>IFERROR(__xludf.DUMMYFUNCTION("""COMPUTED_VALUE"""),"SOM30275")</f>
        <v>SOM30275</v>
      </c>
      <c r="J1141" s="74" t="str">
        <f>IFERROR(__xludf.DUMMYFUNCTION("""COMPUTED_VALUE"""),"10151721")</f>
        <v>10151721</v>
      </c>
      <c r="K1141" s="74" t="str">
        <f>IFERROR(__xludf.DUMMYFUNCTION("""COMPUTED_VALUE"""),"Schwing")</f>
        <v>Schwing</v>
      </c>
      <c r="L1141" s="74" t="str">
        <f>IFERROR(__xludf.DUMMYFUNCTION("""COMPUTED_VALUE"""),"Sistema de Bombeo de Concreto")</f>
        <v>Sistema de Bombeo de Concreto</v>
      </c>
      <c r="M1141" s="74" t="str">
        <f>IFERROR(__xludf.DUMMYFUNCTION("""COMPUTED_VALUE"""),"Sin Asignar")</f>
        <v>Sin Asignar</v>
      </c>
      <c r="N1141" s="87">
        <f>IFERROR(__xludf.DUMMYFUNCTION("""COMPUTED_VALUE"""),0.0)</f>
        <v>0</v>
      </c>
      <c r="O1141" s="74"/>
      <c r="P1141" s="74" t="str">
        <f>IFERROR(__xludf.DUMMYFUNCTION("""COMPUTED_VALUE"""),"No Available")</f>
        <v>No Available</v>
      </c>
      <c r="Q1141" s="74"/>
      <c r="R1141" s="74"/>
      <c r="S1141" s="87">
        <f>IFERROR(__xludf.DUMMYFUNCTION("""COMPUTED_VALUE"""),0.0)</f>
        <v>0</v>
      </c>
      <c r="T1141" s="87">
        <f>IFERROR(__xludf.DUMMYFUNCTION("""COMPUTED_VALUE"""),0.0)</f>
        <v>0</v>
      </c>
      <c r="U1141" s="87">
        <f>IFERROR(__xludf.DUMMYFUNCTION("""COMPUTED_VALUE"""),0.0)</f>
        <v>0</v>
      </c>
      <c r="V1141" s="87">
        <f>IFERROR(__xludf.DUMMYFUNCTION("""COMPUTED_VALUE"""),0.0)</f>
        <v>0</v>
      </c>
      <c r="W1141" s="87">
        <f>IFERROR(__xludf.DUMMYFUNCTION("""COMPUTED_VALUE"""),0.0)</f>
        <v>0</v>
      </c>
      <c r="X1141" s="88"/>
      <c r="Y1141" s="74"/>
      <c r="Z1141" s="74"/>
    </row>
    <row r="1142">
      <c r="B1142" s="74" t="str">
        <f>IFERROR(__xludf.DUMMYFUNCTION("""COMPUTED_VALUE"""),"2140")</f>
        <v>2140</v>
      </c>
      <c r="C1142" s="74"/>
      <c r="D1142" s="74" t="str">
        <f>IFERROR(__xludf.DUMMYFUNCTION("""COMPUTED_VALUE"""),"\\MCA-S\mk\2_BM\0_BMat\08_PYM\Inventario\excel\Imagen de refacciones\Schwing\Elbow DN 150 Degrees M_F Joint _ Codo DN 150 Grados Junta M_F")</f>
        <v>\\MCA-S\mk\2_BM\0_BMat\08_PYM\Inventario\excel\Imagen de refacciones\Schwing\Elbow DN 150 Degrees M_F Joint _ Codo DN 150 Grados Junta M_F</v>
      </c>
      <c r="E1142" s="74"/>
      <c r="F1142" s="74" t="str">
        <f>IFERROR(__xludf.DUMMYFUNCTION("""COMPUTED_VALUE"""),"Elbow DN 150 Degrees M/F Joint / Codo DN 150 Grados Junta M/F")</f>
        <v>Elbow DN 150 Degrees M/F Joint / Codo DN 150 Grados Junta M/F</v>
      </c>
      <c r="G1142" s="74"/>
      <c r="H1142" s="74"/>
      <c r="I1142" s="74" t="str">
        <f>IFERROR(__xludf.DUMMYFUNCTION("""COMPUTED_VALUE"""),"SOM30241")</f>
        <v>SOM30241</v>
      </c>
      <c r="J1142" s="74" t="str">
        <f>IFERROR(__xludf.DUMMYFUNCTION("""COMPUTED_VALUE"""),"10069521")</f>
        <v>10069521</v>
      </c>
      <c r="K1142" s="74" t="str">
        <f>IFERROR(__xludf.DUMMYFUNCTION("""COMPUTED_VALUE"""),"Schwing")</f>
        <v>Schwing</v>
      </c>
      <c r="L1142" s="74" t="str">
        <f>IFERROR(__xludf.DUMMYFUNCTION("""COMPUTED_VALUE"""),"Sistema de Bombeo de Concreto")</f>
        <v>Sistema de Bombeo de Concreto</v>
      </c>
      <c r="M1142" s="74" t="str">
        <f>IFERROR(__xludf.DUMMYFUNCTION("""COMPUTED_VALUE"""),"Sin Asignar")</f>
        <v>Sin Asignar</v>
      </c>
      <c r="N1142" s="87">
        <f>IFERROR(__xludf.DUMMYFUNCTION("""COMPUTED_VALUE"""),0.0)</f>
        <v>0</v>
      </c>
      <c r="O1142" s="74"/>
      <c r="P1142" s="74" t="str">
        <f>IFERROR(__xludf.DUMMYFUNCTION("""COMPUTED_VALUE"""),"borrar")</f>
        <v>borrar</v>
      </c>
      <c r="Q1142" s="74"/>
      <c r="R1142" s="74"/>
      <c r="S1142" s="87">
        <f>IFERROR(__xludf.DUMMYFUNCTION("""COMPUTED_VALUE"""),0.0)</f>
        <v>0</v>
      </c>
      <c r="T1142" s="87">
        <f>IFERROR(__xludf.DUMMYFUNCTION("""COMPUTED_VALUE"""),0.0)</f>
        <v>0</v>
      </c>
      <c r="U1142" s="87">
        <f>IFERROR(__xludf.DUMMYFUNCTION("""COMPUTED_VALUE"""),0.0)</f>
        <v>0</v>
      </c>
      <c r="V1142" s="87">
        <f>IFERROR(__xludf.DUMMYFUNCTION("""COMPUTED_VALUE"""),0.0)</f>
        <v>0</v>
      </c>
      <c r="W1142" s="87">
        <f>IFERROR(__xludf.DUMMYFUNCTION("""COMPUTED_VALUE"""),0.0)</f>
        <v>0</v>
      </c>
      <c r="X1142" s="88"/>
      <c r="Y1142" s="74"/>
      <c r="Z1142" s="74"/>
    </row>
    <row r="1143">
      <c r="B1143" s="74" t="str">
        <f>IFERROR(__xludf.DUMMYFUNCTION("""COMPUTED_VALUE"""),"2141")</f>
        <v>2141</v>
      </c>
      <c r="C1143" s="74" t="str">
        <f>IFERROR(__xludf.DUMMYFUNCTION("""COMPUTED_VALUE"""),"75045880350")</f>
        <v>75045880350</v>
      </c>
      <c r="D1143" s="74" t="str">
        <f>IFERROR(__xludf.DUMMYFUNCTION("""COMPUTED_VALUE"""),"\\MCA-S\mk\2_BM\0_BMat\08_PYM\Inventario\excel\Imagen de refacciones\Schwing\Electroválvula 12V")</f>
        <v>\\MCA-S\mk\2_BM\0_BMat\08_PYM\Inventario\excel\Imagen de refacciones\Schwing\Electroválvula 12V</v>
      </c>
      <c r="E1143" s="74" t="str">
        <f>IFERROR(__xludf.DUMMYFUNCTION("""COMPUTED_VALUE"""),"HYDRAULIC DIRECTIONAL VALVE")</f>
        <v>HYDRAULIC DIRECTIONAL VALVE</v>
      </c>
      <c r="F1143" s="74" t="str">
        <f>IFERROR(__xludf.DUMMYFUNCTION("""COMPUTED_VALUE"""),"ELECTROVALVULA 12V")</f>
        <v>ELECTROVALVULA 12V</v>
      </c>
      <c r="G1143" s="74"/>
      <c r="H1143" s="74"/>
      <c r="I1143" s="74" t="str">
        <f>IFERROR(__xludf.DUMMYFUNCTION("""COMPUTED_VALUE"""),"98316451")</f>
        <v>98316451</v>
      </c>
      <c r="J1143" s="74"/>
      <c r="K1143" s="74" t="str">
        <f>IFERROR(__xludf.DUMMYFUNCTION("""COMPUTED_VALUE"""),"Schwing")</f>
        <v>Schwing</v>
      </c>
      <c r="L1143" s="74"/>
      <c r="M1143" s="74" t="str">
        <f>IFERROR(__xludf.DUMMYFUNCTION("""COMPUTED_VALUE"""),"VALVULAS")</f>
        <v>VALVULAS</v>
      </c>
      <c r="N1143" s="87">
        <f>IFERROR(__xludf.DUMMYFUNCTION("""COMPUTED_VALUE"""),0.0)</f>
        <v>0</v>
      </c>
      <c r="O1143" s="74"/>
      <c r="P1143" s="74" t="str">
        <f>IFERROR(__xludf.DUMMYFUNCTION("""COMPUTED_VALUE"""),"To Re-purchase")</f>
        <v>To Re-purchase</v>
      </c>
      <c r="Q1143" s="74"/>
      <c r="R1143" s="74"/>
      <c r="S1143" s="87">
        <f>IFERROR(__xludf.DUMMYFUNCTION("""COMPUTED_VALUE"""),0.0)</f>
        <v>0</v>
      </c>
      <c r="T1143" s="87">
        <f>IFERROR(__xludf.DUMMYFUNCTION("""COMPUTED_VALUE"""),0.0)</f>
        <v>0</v>
      </c>
      <c r="U1143" s="87">
        <f>IFERROR(__xludf.DUMMYFUNCTION("""COMPUTED_VALUE"""),0.0)</f>
        <v>0</v>
      </c>
      <c r="V1143" s="87">
        <f>IFERROR(__xludf.DUMMYFUNCTION("""COMPUTED_VALUE"""),0.0)</f>
        <v>0</v>
      </c>
      <c r="W1143" s="87">
        <f>IFERROR(__xludf.DUMMYFUNCTION("""COMPUTED_VALUE"""),0.0)</f>
        <v>0</v>
      </c>
      <c r="X1143" s="88"/>
      <c r="Y1143" s="74"/>
      <c r="Z1143" s="74"/>
    </row>
    <row r="1144">
      <c r="B1144" s="74" t="str">
        <f>IFERROR(__xludf.DUMMYFUNCTION("""COMPUTED_VALUE"""),"2142")</f>
        <v>2142</v>
      </c>
      <c r="C1144" s="74" t="str">
        <f>IFERROR(__xludf.DUMMYFUNCTION("""COMPUTED_VALUE"""),"75045880440")</f>
        <v>75045880440</v>
      </c>
      <c r="D1144" s="74" t="str">
        <f>IFERROR(__xludf.DUMMYFUNCTION("""COMPUTED_VALUE"""),"\\MCA-S\mk\2_BM\0_BMat\08_PYM\Inventario\excel\Imagen de refacciones\Schwing\émbol dn251")</f>
        <v>\\MCA-S\mk\2_BM\0_BMat\08_PYM\Inventario\excel\Imagen de refacciones\Schwing\émbol dn251</v>
      </c>
      <c r="E1144" s="74" t="str">
        <f>IFERROR(__xludf.DUMMYFUNCTION("""COMPUTED_VALUE"""),"PISTON RAM DN 250")</f>
        <v>PISTON RAM DN 250</v>
      </c>
      <c r="F1144" s="74" t="str">
        <f>IFERROR(__xludf.DUMMYFUNCTION("""COMPUTED_VALUE"""),"EMBOLO DN250 CON BASE ")</f>
        <v>EMBOLO DN250 CON BASE </v>
      </c>
      <c r="G1144" s="74"/>
      <c r="H1144" s="74" t="str">
        <f>IFERROR(__xludf.DUMMYFUNCTION("""COMPUTED_VALUE"""),"ÉMBOLO CON BASE DN250 PARA BOMBA DE HORMIGON")</f>
        <v>ÉMBOLO CON BASE DN250 PARA BOMBA DE HORMIGON</v>
      </c>
      <c r="I1144" s="74" t="str">
        <f>IFERROR(__xludf.DUMMYFUNCTION("""COMPUTED_VALUE"""),"10161980")</f>
        <v>10161980</v>
      </c>
      <c r="J1144" s="74"/>
      <c r="K1144" s="74" t="str">
        <f>IFERROR(__xludf.DUMMYFUNCTION("""COMPUTED_VALUE"""),"Schwing")</f>
        <v>Schwing</v>
      </c>
      <c r="L1144" s="74" t="str">
        <f>IFERROR(__xludf.DUMMYFUNCTION("""COMPUTED_VALUE"""),"SISTEMA DE BOMBEO")</f>
        <v>SISTEMA DE BOMBEO</v>
      </c>
      <c r="M1144" s="74" t="str">
        <f>IFERROR(__xludf.DUMMYFUNCTION("""COMPUTED_VALUE"""),"PISTONES")</f>
        <v>PISTONES</v>
      </c>
      <c r="N1144" s="87">
        <f>IFERROR(__xludf.DUMMYFUNCTION("""COMPUTED_VALUE"""),4582.08)</f>
        <v>4582.08</v>
      </c>
      <c r="O1144" s="74">
        <f>IFERROR(__xludf.DUMMYFUNCTION("""COMPUTED_VALUE"""),4.0)</f>
        <v>4</v>
      </c>
      <c r="P1144" s="74" t="str">
        <f>IFERROR(__xludf.DUMMYFUNCTION("""COMPUTED_VALUE"""),"In stock")</f>
        <v>In stock</v>
      </c>
      <c r="Q1144" s="74"/>
      <c r="R1144" s="74"/>
      <c r="S1144" s="87">
        <f>IFERROR(__xludf.DUMMYFUNCTION("""COMPUTED_VALUE"""),70.0)</f>
        <v>70</v>
      </c>
      <c r="T1144" s="87">
        <f>IFERROR(__xludf.DUMMYFUNCTION("""COMPUTED_VALUE"""),258.0)</f>
        <v>258</v>
      </c>
      <c r="U1144" s="87">
        <f>IFERROR(__xludf.DUMMYFUNCTION("""COMPUTED_VALUE"""),247.67999999999998)</f>
        <v>247.68</v>
      </c>
      <c r="V1144" s="87">
        <f>IFERROR(__xludf.DUMMYFUNCTION("""COMPUTED_VALUE"""),85.75)</f>
        <v>85.75</v>
      </c>
      <c r="W1144" s="87">
        <f>IFERROR(__xludf.DUMMYFUNCTION("""COMPUTED_VALUE"""),1607.8125)</f>
        <v>1607.8125</v>
      </c>
      <c r="X1144" s="88">
        <f>IFERROR(__xludf.DUMMYFUNCTION("""COMPUTED_VALUE"""),3.538285714285714)</f>
        <v>3.538285714</v>
      </c>
      <c r="Y1144" s="74"/>
      <c r="Z1144" s="74"/>
    </row>
    <row r="1145">
      <c r="B1145" s="74" t="str">
        <f>IFERROR(__xludf.DUMMYFUNCTION("""COMPUTED_VALUE"""),"2143")</f>
        <v>2143</v>
      </c>
      <c r="C1145" s="74" t="str">
        <f>IFERROR(__xludf.DUMMYFUNCTION("""COMPUTED_VALUE"""),"75045880405")</f>
        <v>75045880405</v>
      </c>
      <c r="D1145" s="74" t="str">
        <f>IFERROR(__xludf.DUMMYFUNCTION("""COMPUTED_VALUE"""),"\\MCA-S\mk\2_BM\0_BMat\08_PYM\Inventario\excel\Imagen de refacciones\Schwing\émbolo con base dn181")</f>
        <v>\\MCA-S\mk\2_BM\0_BMat\08_PYM\Inventario\excel\Imagen de refacciones\Schwing\émbolo con base dn181</v>
      </c>
      <c r="E1145" s="74" t="str">
        <f>IFERROR(__xludf.DUMMYFUNCTION("""COMPUTED_VALUE"""),"PISTON RAM DN 180 FLANGED TYPE")</f>
        <v>PISTON RAM DN 180 FLANGED TYPE</v>
      </c>
      <c r="F1145" s="74" t="str">
        <f>IFERROR(__xludf.DUMMYFUNCTION("""COMPUTED_VALUE"""),"EMBOLO CON BASE DN180")</f>
        <v>EMBOLO CON BASE DN180</v>
      </c>
      <c r="G1145" s="74"/>
      <c r="H1145" s="74"/>
      <c r="I1145" s="74" t="str">
        <f>IFERROR(__xludf.DUMMYFUNCTION("""COMPUTED_VALUE"""),"10161781")</f>
        <v>10161781</v>
      </c>
      <c r="J1145" s="74"/>
      <c r="K1145" s="74" t="str">
        <f>IFERROR(__xludf.DUMMYFUNCTION("""COMPUTED_VALUE"""),"Schwing")</f>
        <v>Schwing</v>
      </c>
      <c r="L1145" s="74" t="str">
        <f>IFERROR(__xludf.DUMMYFUNCTION("""COMPUTED_VALUE"""),"SISTEMA DE BOMBEO")</f>
        <v>SISTEMA DE BOMBEO</v>
      </c>
      <c r="M1145" s="74" t="str">
        <f>IFERROR(__xludf.DUMMYFUNCTION("""COMPUTED_VALUE"""),"PISTONES")</f>
        <v>PISTONES</v>
      </c>
      <c r="N1145" s="87">
        <f>IFERROR(__xludf.DUMMYFUNCTION("""COMPUTED_VALUE"""),3392.16)</f>
        <v>3392.16</v>
      </c>
      <c r="O1145" s="74">
        <f>IFERROR(__xludf.DUMMYFUNCTION("""COMPUTED_VALUE"""),4.0)</f>
        <v>4</v>
      </c>
      <c r="P1145" s="74" t="str">
        <f>IFERROR(__xludf.DUMMYFUNCTION("""COMPUTED_VALUE"""),"In stock")</f>
        <v>In stock</v>
      </c>
      <c r="Q1145" s="74"/>
      <c r="R1145" s="74"/>
      <c r="S1145" s="87">
        <f>IFERROR(__xludf.DUMMYFUNCTION("""COMPUTED_VALUE"""),55.0)</f>
        <v>55</v>
      </c>
      <c r="T1145" s="87">
        <f>IFERROR(__xludf.DUMMYFUNCTION("""COMPUTED_VALUE"""),191.0)</f>
        <v>191</v>
      </c>
      <c r="U1145" s="87">
        <f>IFERROR(__xludf.DUMMYFUNCTION("""COMPUTED_VALUE"""),183.35999999999999)</f>
        <v>183.36</v>
      </c>
      <c r="V1145" s="87">
        <f>IFERROR(__xludf.DUMMYFUNCTION("""COMPUTED_VALUE"""),67.375)</f>
        <v>67.375</v>
      </c>
      <c r="W1145" s="87">
        <f>IFERROR(__xludf.DUMMYFUNCTION("""COMPUTED_VALUE"""),1263.28125)</f>
        <v>1263.28125</v>
      </c>
      <c r="X1145" s="88">
        <f>IFERROR(__xludf.DUMMYFUNCTION("""COMPUTED_VALUE"""),3.3338181818181813)</f>
        <v>3.333818182</v>
      </c>
      <c r="Y1145" s="74"/>
      <c r="Z1145" s="74"/>
    </row>
    <row r="1146">
      <c r="B1146" s="74" t="str">
        <f>IFERROR(__xludf.DUMMYFUNCTION("""COMPUTED_VALUE"""),"2144")</f>
        <v>2144</v>
      </c>
      <c r="C1146" s="74"/>
      <c r="D1146" s="74" t="str">
        <f>IFERROR(__xludf.DUMMYFUNCTION("""COMPUTED_VALUE"""),"\\MCA-S\mk\2_BM\0_BMat\08_PYM\Inventario\excel\Imagen de refacciones\Schwing\émbolo dn230 con base")</f>
        <v>\\MCA-S\mk\2_BM\0_BMat\08_PYM\Inventario\excel\Imagen de refacciones\Schwing\émbolo dn230 con base</v>
      </c>
      <c r="E1146" s="74"/>
      <c r="F1146" s="74" t="str">
        <f>IFERROR(__xludf.DUMMYFUNCTION("""COMPUTED_VALUE"""),"émbolo con base DN250 - Schwing Piston DN250")</f>
        <v>émbolo con base DN250 - Schwing Piston DN250</v>
      </c>
      <c r="G1146" s="74"/>
      <c r="H1146" s="74"/>
      <c r="I1146" s="74"/>
      <c r="J1146" s="74"/>
      <c r="K1146" s="74" t="str">
        <f>IFERROR(__xludf.DUMMYFUNCTION("""COMPUTED_VALUE"""),"Schwing")</f>
        <v>Schwing</v>
      </c>
      <c r="L1146" s="74"/>
      <c r="M1146" s="74" t="str">
        <f>IFERROR(__xludf.DUMMYFUNCTION("""COMPUTED_VALUE"""),"Sin Asignar")</f>
        <v>Sin Asignar</v>
      </c>
      <c r="N1146" s="87">
        <f>IFERROR(__xludf.DUMMYFUNCTION("""COMPUTED_VALUE"""),0.0)</f>
        <v>0</v>
      </c>
      <c r="O1146" s="74"/>
      <c r="P1146" s="74" t="str">
        <f>IFERROR(__xludf.DUMMYFUNCTION("""COMPUTED_VALUE"""),"borrar")</f>
        <v>borrar</v>
      </c>
      <c r="Q1146" s="74"/>
      <c r="R1146" s="74"/>
      <c r="S1146" s="87">
        <f>IFERROR(__xludf.DUMMYFUNCTION("""COMPUTED_VALUE"""),0.0)</f>
        <v>0</v>
      </c>
      <c r="T1146" s="87">
        <f>IFERROR(__xludf.DUMMYFUNCTION("""COMPUTED_VALUE"""),0.0)</f>
        <v>0</v>
      </c>
      <c r="U1146" s="87">
        <f>IFERROR(__xludf.DUMMYFUNCTION("""COMPUTED_VALUE"""),0.0)</f>
        <v>0</v>
      </c>
      <c r="V1146" s="87">
        <f>IFERROR(__xludf.DUMMYFUNCTION("""COMPUTED_VALUE"""),0.0)</f>
        <v>0</v>
      </c>
      <c r="W1146" s="87">
        <f>IFERROR(__xludf.DUMMYFUNCTION("""COMPUTED_VALUE"""),0.0)</f>
        <v>0</v>
      </c>
      <c r="X1146" s="88"/>
      <c r="Y1146" s="74"/>
      <c r="Z1146" s="74"/>
    </row>
    <row r="1147">
      <c r="B1147" s="74" t="str">
        <f>IFERROR(__xludf.DUMMYFUNCTION("""COMPUTED_VALUE"""),"2145")</f>
        <v>2145</v>
      </c>
      <c r="C1147" s="74" t="str">
        <f>IFERROR(__xludf.DUMMYFUNCTION("""COMPUTED_VALUE"""),"75045880428")</f>
        <v>75045880428</v>
      </c>
      <c r="D1147" s="74" t="str">
        <f>IFERROR(__xludf.DUMMYFUNCTION("""COMPUTED_VALUE"""),"\\MCA-S\mk\2_BM\0_BMat\08_PYM\Inventario\excel\Imagen de refacciones\Schwing\émbolo dn200 con base")</f>
        <v>\\MCA-S\mk\2_BM\0_BMat\08_PYM\Inventario\excel\Imagen de refacciones\Schwing\émbolo dn200 con base</v>
      </c>
      <c r="E1147" s="74" t="str">
        <f>IFERROR(__xludf.DUMMYFUNCTION("""COMPUTED_VALUE"""),"PISTON RAM DN200")</f>
        <v>PISTON RAM DN200</v>
      </c>
      <c r="F1147" s="74" t="str">
        <f>IFERROR(__xludf.DUMMYFUNCTION("""COMPUTED_VALUE"""),"EMBOLO DN200 CON BASE ")</f>
        <v>EMBOLO DN200 CON BASE </v>
      </c>
      <c r="G1147" s="74"/>
      <c r="H1147" s="74" t="str">
        <f>IFERROR(__xludf.DUMMYFUNCTION("""COMPUTED_VALUE"""),"ÉMBOLO CON BASE DN200 PARA BOMBA DE HORMIGON")</f>
        <v>ÉMBOLO CON BASE DN200 PARA BOMBA DE HORMIGON</v>
      </c>
      <c r="I1147" s="74" t="str">
        <f>IFERROR(__xludf.DUMMYFUNCTION("""COMPUTED_VALUE"""),"10161754")</f>
        <v>10161754</v>
      </c>
      <c r="J1147" s="74"/>
      <c r="K1147" s="74" t="str">
        <f>IFERROR(__xludf.DUMMYFUNCTION("""COMPUTED_VALUE"""),"Schwing")</f>
        <v>Schwing</v>
      </c>
      <c r="L1147" s="74" t="str">
        <f>IFERROR(__xludf.DUMMYFUNCTION("""COMPUTED_VALUE"""),"SISTEMA DE BOMBEO")</f>
        <v>SISTEMA DE BOMBEO</v>
      </c>
      <c r="M1147" s="74" t="str">
        <f>IFERROR(__xludf.DUMMYFUNCTION("""COMPUTED_VALUE"""),"PISTONES")</f>
        <v>PISTONES</v>
      </c>
      <c r="N1147" s="87">
        <f>IFERROR(__xludf.DUMMYFUNCTION("""COMPUTED_VALUE"""),2912.64)</f>
        <v>2912.64</v>
      </c>
      <c r="O1147" s="74">
        <f>IFERROR(__xludf.DUMMYFUNCTION("""COMPUTED_VALUE"""),4.0)</f>
        <v>4</v>
      </c>
      <c r="P1147" s="74" t="str">
        <f>IFERROR(__xludf.DUMMYFUNCTION("""COMPUTED_VALUE"""),"In stock")</f>
        <v>In stock</v>
      </c>
      <c r="Q1147" s="74"/>
      <c r="R1147" s="74"/>
      <c r="S1147" s="87">
        <f>IFERROR(__xludf.DUMMYFUNCTION("""COMPUTED_VALUE"""),55.0)</f>
        <v>55</v>
      </c>
      <c r="T1147" s="87">
        <f>IFERROR(__xludf.DUMMYFUNCTION("""COMPUTED_VALUE"""),164.0)</f>
        <v>164</v>
      </c>
      <c r="U1147" s="87">
        <f>IFERROR(__xludf.DUMMYFUNCTION("""COMPUTED_VALUE"""),157.44)</f>
        <v>157.44</v>
      </c>
      <c r="V1147" s="87">
        <f>IFERROR(__xludf.DUMMYFUNCTION("""COMPUTED_VALUE"""),67.375)</f>
        <v>67.375</v>
      </c>
      <c r="W1147" s="87">
        <f>IFERROR(__xludf.DUMMYFUNCTION("""COMPUTED_VALUE"""),1263.28125)</f>
        <v>1263.28125</v>
      </c>
      <c r="X1147" s="88">
        <f>IFERROR(__xludf.DUMMYFUNCTION("""COMPUTED_VALUE"""),2.8625454545454545)</f>
        <v>2.862545455</v>
      </c>
      <c r="Y1147" s="74"/>
      <c r="Z1147" s="74"/>
    </row>
    <row r="1148">
      <c r="B1148" s="74" t="str">
        <f>IFERROR(__xludf.DUMMYFUNCTION("""COMPUTED_VALUE"""),"2146")</f>
        <v>2146</v>
      </c>
      <c r="C1148" s="74" t="str">
        <f>IFERROR(__xludf.DUMMYFUNCTION("""COMPUTED_VALUE"""),"75045880442")</f>
        <v>75045880442</v>
      </c>
      <c r="D1148" s="74" t="str">
        <f>IFERROR(__xludf.DUMMYFUNCTION("""COMPUTED_VALUE"""),"\\MCA-S\mk\2_BM\0_BMat\08_PYM\Inventario\excel\Imagen de refacciones\Schwing\émbolo dn200 sin base")</f>
        <v>\\MCA-S\mk\2_BM\0_BMat\08_PYM\Inventario\excel\Imagen de refacciones\Schwing\émbolo dn200 sin base</v>
      </c>
      <c r="E1148" s="74" t="str">
        <f>IFERROR(__xludf.DUMMYFUNCTION("""COMPUTED_VALUE"""),"PISTON RAM DN200 NO BASE")</f>
        <v>PISTON RAM DN200 NO BASE</v>
      </c>
      <c r="F1148" s="74" t="str">
        <f>IFERROR(__xludf.DUMMYFUNCTION("""COMPUTED_VALUE"""),"EMBOLO DN200 SIN BASE")</f>
        <v>EMBOLO DN200 SIN BASE</v>
      </c>
      <c r="G1148" s="74"/>
      <c r="H1148" s="74" t="str">
        <f>IFERROR(__xludf.DUMMYFUNCTION("""COMPUTED_VALUE"""),"ÉMBOLO DN200 SIN BASE PARA BOMBA DE HORMIGON")</f>
        <v>ÉMBOLO DN200 SIN BASE PARA BOMBA DE HORMIGON</v>
      </c>
      <c r="I1148" s="74" t="str">
        <f>IFERROR(__xludf.DUMMYFUNCTION("""COMPUTED_VALUE"""),"10007908")</f>
        <v>10007908</v>
      </c>
      <c r="J1148" s="74"/>
      <c r="K1148" s="74" t="str">
        <f>IFERROR(__xludf.DUMMYFUNCTION("""COMPUTED_VALUE"""),"Schwing")</f>
        <v>Schwing</v>
      </c>
      <c r="L1148" s="74" t="str">
        <f>IFERROR(__xludf.DUMMYFUNCTION("""COMPUTED_VALUE"""),"SISTEMA DE BOMBEO")</f>
        <v>SISTEMA DE BOMBEO</v>
      </c>
      <c r="M1148" s="74" t="str">
        <f>IFERROR(__xludf.DUMMYFUNCTION("""COMPUTED_VALUE"""),"PISTONES")</f>
        <v>PISTONES</v>
      </c>
      <c r="N1148" s="87">
        <f>IFERROR(__xludf.DUMMYFUNCTION("""COMPUTED_VALUE"""),3907.2)</f>
        <v>3907.2</v>
      </c>
      <c r="O1148" s="74">
        <f>IFERROR(__xludf.DUMMYFUNCTION("""COMPUTED_VALUE"""),4.0)</f>
        <v>4</v>
      </c>
      <c r="P1148" s="74" t="str">
        <f>IFERROR(__xludf.DUMMYFUNCTION("""COMPUTED_VALUE"""),"In stock")</f>
        <v>In stock</v>
      </c>
      <c r="Q1148" s="74"/>
      <c r="R1148" s="74"/>
      <c r="S1148" s="87">
        <f>IFERROR(__xludf.DUMMYFUNCTION("""COMPUTED_VALUE"""),55.0)</f>
        <v>55</v>
      </c>
      <c r="T1148" s="87">
        <f>IFERROR(__xludf.DUMMYFUNCTION("""COMPUTED_VALUE"""),220.0)</f>
        <v>220</v>
      </c>
      <c r="U1148" s="87">
        <f>IFERROR(__xludf.DUMMYFUNCTION("""COMPUTED_VALUE"""),211.2)</f>
        <v>211.2</v>
      </c>
      <c r="V1148" s="87">
        <f>IFERROR(__xludf.DUMMYFUNCTION("""COMPUTED_VALUE"""),67.375)</f>
        <v>67.375</v>
      </c>
      <c r="W1148" s="87">
        <f>IFERROR(__xludf.DUMMYFUNCTION("""COMPUTED_VALUE"""),1263.28125)</f>
        <v>1263.28125</v>
      </c>
      <c r="X1148" s="88">
        <f>IFERROR(__xludf.DUMMYFUNCTION("""COMPUTED_VALUE"""),3.84)</f>
        <v>3.84</v>
      </c>
      <c r="Y1148" s="74"/>
      <c r="Z1148" s="74"/>
    </row>
    <row r="1149">
      <c r="B1149" s="74" t="str">
        <f>IFERROR(__xludf.DUMMYFUNCTION("""COMPUTED_VALUE"""),"2147")</f>
        <v>2147</v>
      </c>
      <c r="C1149" s="74" t="str">
        <f>IFERROR(__xludf.DUMMYFUNCTION("""COMPUTED_VALUE"""),"75045880441")</f>
        <v>75045880441</v>
      </c>
      <c r="D1149" s="74" t="str">
        <f>IFERROR(__xludf.DUMMYFUNCTION("""COMPUTED_VALUE"""),"\\MCA-S\mk\2_BM\0_BMat\08_PYM\Inventario\excel\Imagen de refacciones\Schwing\émbolo dn230 con base")</f>
        <v>\\MCA-S\mk\2_BM\0_BMat\08_PYM\Inventario\excel\Imagen de refacciones\Schwing\émbolo dn230 con base</v>
      </c>
      <c r="E1149" s="74" t="str">
        <f>IFERROR(__xludf.DUMMYFUNCTION("""COMPUTED_VALUE"""),"PISTON RAM DN 230")</f>
        <v>PISTON RAM DN 230</v>
      </c>
      <c r="F1149" s="74" t="str">
        <f>IFERROR(__xludf.DUMMYFUNCTION("""COMPUTED_VALUE"""),"EMBOLO DN230 CON BASE ")</f>
        <v>EMBOLO DN230 CON BASE </v>
      </c>
      <c r="G1149" s="74"/>
      <c r="H1149" s="74" t="str">
        <f>IFERROR(__xludf.DUMMYFUNCTION("""COMPUTED_VALUE"""),"ÉMBOLO CON BASE DN230 PARA BOMBA DE HORMIGON")</f>
        <v>ÉMBOLO CON BASE DN230 PARA BOMBA DE HORMIGON</v>
      </c>
      <c r="I1149" s="74" t="str">
        <f>IFERROR(__xludf.DUMMYFUNCTION("""COMPUTED_VALUE"""),"10161634")</f>
        <v>10161634</v>
      </c>
      <c r="J1149" s="74"/>
      <c r="K1149" s="74" t="str">
        <f>IFERROR(__xludf.DUMMYFUNCTION("""COMPUTED_VALUE"""),"Schwing")</f>
        <v>Schwing</v>
      </c>
      <c r="L1149" s="74" t="str">
        <f>IFERROR(__xludf.DUMMYFUNCTION("""COMPUTED_VALUE"""),"SISTEMA DE BOMBEO")</f>
        <v>SISTEMA DE BOMBEO</v>
      </c>
      <c r="M1149" s="74" t="str">
        <f>IFERROR(__xludf.DUMMYFUNCTION("""COMPUTED_VALUE"""),"PISTONES")</f>
        <v>PISTONES</v>
      </c>
      <c r="N1149" s="87">
        <f>IFERROR(__xludf.DUMMYFUNCTION("""COMPUTED_VALUE"""),3463.2)</f>
        <v>3463.2</v>
      </c>
      <c r="O1149" s="74">
        <f>IFERROR(__xludf.DUMMYFUNCTION("""COMPUTED_VALUE"""),4.0)</f>
        <v>4</v>
      </c>
      <c r="P1149" s="74" t="str">
        <f>IFERROR(__xludf.DUMMYFUNCTION("""COMPUTED_VALUE"""),"In stock")</f>
        <v>In stock</v>
      </c>
      <c r="Q1149" s="74"/>
      <c r="R1149" s="74"/>
      <c r="S1149" s="87">
        <f>IFERROR(__xludf.DUMMYFUNCTION("""COMPUTED_VALUE"""),60.0)</f>
        <v>60</v>
      </c>
      <c r="T1149" s="87">
        <f>IFERROR(__xludf.DUMMYFUNCTION("""COMPUTED_VALUE"""),195.0)</f>
        <v>195</v>
      </c>
      <c r="U1149" s="87">
        <f>IFERROR(__xludf.DUMMYFUNCTION("""COMPUTED_VALUE"""),187.2)</f>
        <v>187.2</v>
      </c>
      <c r="V1149" s="87">
        <f>IFERROR(__xludf.DUMMYFUNCTION("""COMPUTED_VALUE"""),73.5)</f>
        <v>73.5</v>
      </c>
      <c r="W1149" s="87">
        <f>IFERROR(__xludf.DUMMYFUNCTION("""COMPUTED_VALUE"""),1378.125)</f>
        <v>1378.125</v>
      </c>
      <c r="X1149" s="88">
        <f>IFERROR(__xludf.DUMMYFUNCTION("""COMPUTED_VALUE"""),3.1199999999999997)</f>
        <v>3.12</v>
      </c>
      <c r="Y1149" s="74"/>
      <c r="Z1149" s="74"/>
    </row>
    <row r="1150">
      <c r="B1150" s="74" t="str">
        <f>IFERROR(__xludf.DUMMYFUNCTION("""COMPUTED_VALUE"""),"2148")</f>
        <v>2148</v>
      </c>
      <c r="C1150" s="74"/>
      <c r="D1150" s="74" t="str">
        <f>IFERROR(__xludf.DUMMYFUNCTION("""COMPUTED_VALUE"""),"\\MCA-S\mk\2_BM\0_BMat\08_PYM\Inventario\excel\Imagen de refacciones\Schwing\End Hose 4 MT Double Flange 5,5_ _ Manguera Final 4 MT Doble Brida 5,5_")</f>
        <v>\\MCA-S\mk\2_BM\0_BMat\08_PYM\Inventario\excel\Imagen de refacciones\Schwing\End Hose 4 MT Double Flange 5,5_ _ Manguera Final 4 MT Doble Brida 5,5_</v>
      </c>
      <c r="E1150" s="74"/>
      <c r="F1150" s="74" t="str">
        <f>IFERROR(__xludf.DUMMYFUNCTION("""COMPUTED_VALUE"""),"End Hose 4 MT Double Flange 5,5"" / Manguera Final 4 MT Doble Brida 5,5""")</f>
        <v>End Hose 4 MT Double Flange 5,5" / Manguera Final 4 MT Doble Brida 5,5"</v>
      </c>
      <c r="G1150" s="74"/>
      <c r="H1150" s="74"/>
      <c r="I1150" s="74" t="str">
        <f>IFERROR(__xludf.DUMMYFUNCTION("""COMPUTED_VALUE"""),"SOM30301")</f>
        <v>SOM30301</v>
      </c>
      <c r="J1150" s="74" t="str">
        <f>IFERROR(__xludf.DUMMYFUNCTION("""COMPUTED_VALUE"""),"10006573")</f>
        <v>10006573</v>
      </c>
      <c r="K1150" s="74" t="str">
        <f>IFERROR(__xludf.DUMMYFUNCTION("""COMPUTED_VALUE"""),"Schwing")</f>
        <v>Schwing</v>
      </c>
      <c r="L1150" s="74" t="str">
        <f>IFERROR(__xludf.DUMMYFUNCTION("""COMPUTED_VALUE"""),"Componentes Hidráulicos")</f>
        <v>Componentes Hidráulicos</v>
      </c>
      <c r="M1150" s="74" t="str">
        <f>IFERROR(__xludf.DUMMYFUNCTION("""COMPUTED_VALUE"""),"Sin Asignar")</f>
        <v>Sin Asignar</v>
      </c>
      <c r="N1150" s="87">
        <f>IFERROR(__xludf.DUMMYFUNCTION("""COMPUTED_VALUE"""),0.0)</f>
        <v>0</v>
      </c>
      <c r="O1150" s="74"/>
      <c r="P1150" s="74" t="str">
        <f>IFERROR(__xludf.DUMMYFUNCTION("""COMPUTED_VALUE"""),"No Available")</f>
        <v>No Available</v>
      </c>
      <c r="Q1150" s="74"/>
      <c r="R1150" s="74"/>
      <c r="S1150" s="87">
        <f>IFERROR(__xludf.DUMMYFUNCTION("""COMPUTED_VALUE"""),0.0)</f>
        <v>0</v>
      </c>
      <c r="T1150" s="87">
        <f>IFERROR(__xludf.DUMMYFUNCTION("""COMPUTED_VALUE"""),0.0)</f>
        <v>0</v>
      </c>
      <c r="U1150" s="87">
        <f>IFERROR(__xludf.DUMMYFUNCTION("""COMPUTED_VALUE"""),0.0)</f>
        <v>0</v>
      </c>
      <c r="V1150" s="87">
        <f>IFERROR(__xludf.DUMMYFUNCTION("""COMPUTED_VALUE"""),0.0)</f>
        <v>0</v>
      </c>
      <c r="W1150" s="87">
        <f>IFERROR(__xludf.DUMMYFUNCTION("""COMPUTED_VALUE"""),0.0)</f>
        <v>0</v>
      </c>
      <c r="X1150" s="88"/>
      <c r="Y1150" s="74"/>
      <c r="Z1150" s="74"/>
    </row>
    <row r="1151">
      <c r="B1151" s="74" t="str">
        <f>IFERROR(__xludf.DUMMYFUNCTION("""COMPUTED_VALUE"""),"2149")</f>
        <v>2149</v>
      </c>
      <c r="C1151" s="74"/>
      <c r="D1151" s="74" t="str">
        <f>IFERROR(__xludf.DUMMYFUNCTION("""COMPUTED_VALUE"""),"\\MCA-S\mk\2_BM\0_BMat\08_PYM\Inventario\excel\Imagen de refacciones\Schwing\End Hose 4 MT Single Flange 5,5_ _ Manguera Final 4 MT Brida Simple 5,5_")</f>
        <v>\\MCA-S\mk\2_BM\0_BMat\08_PYM\Inventario\excel\Imagen de refacciones\Schwing\End Hose 4 MT Single Flange 5,5_ _ Manguera Final 4 MT Brida Simple 5,5_</v>
      </c>
      <c r="E1151" s="74"/>
      <c r="F1151" s="74" t="str">
        <f>IFERROR(__xludf.DUMMYFUNCTION("""COMPUTED_VALUE"""),"End Hose 4 MT Single Flange 5,5"" / Manguera Final 4 MT Brida Simple 5,5""")</f>
        <v>End Hose 4 MT Single Flange 5,5" / Manguera Final 4 MT Brida Simple 5,5"</v>
      </c>
      <c r="G1151" s="74"/>
      <c r="H1151" s="74"/>
      <c r="I1151" s="74" t="str">
        <f>IFERROR(__xludf.DUMMYFUNCTION("""COMPUTED_VALUE"""),"SOM30300")</f>
        <v>SOM30300</v>
      </c>
      <c r="J1151" s="74" t="str">
        <f>IFERROR(__xludf.DUMMYFUNCTION("""COMPUTED_VALUE"""),"10095720")</f>
        <v>10095720</v>
      </c>
      <c r="K1151" s="74" t="str">
        <f>IFERROR(__xludf.DUMMYFUNCTION("""COMPUTED_VALUE"""),"Schwing")</f>
        <v>Schwing</v>
      </c>
      <c r="L1151" s="74" t="str">
        <f>IFERROR(__xludf.DUMMYFUNCTION("""COMPUTED_VALUE"""),"Componentes Hidráulicos")</f>
        <v>Componentes Hidráulicos</v>
      </c>
      <c r="M1151" s="74" t="str">
        <f>IFERROR(__xludf.DUMMYFUNCTION("""COMPUTED_VALUE"""),"Sin Asignar")</f>
        <v>Sin Asignar</v>
      </c>
      <c r="N1151" s="87">
        <f>IFERROR(__xludf.DUMMYFUNCTION("""COMPUTED_VALUE"""),0.0)</f>
        <v>0</v>
      </c>
      <c r="O1151" s="74"/>
      <c r="P1151" s="74" t="str">
        <f>IFERROR(__xludf.DUMMYFUNCTION("""COMPUTED_VALUE"""),"No Available")</f>
        <v>No Available</v>
      </c>
      <c r="Q1151" s="74"/>
      <c r="R1151" s="74"/>
      <c r="S1151" s="87">
        <f>IFERROR(__xludf.DUMMYFUNCTION("""COMPUTED_VALUE"""),0.0)</f>
        <v>0</v>
      </c>
      <c r="T1151" s="87">
        <f>IFERROR(__xludf.DUMMYFUNCTION("""COMPUTED_VALUE"""),0.0)</f>
        <v>0</v>
      </c>
      <c r="U1151" s="87">
        <f>IFERROR(__xludf.DUMMYFUNCTION("""COMPUTED_VALUE"""),0.0)</f>
        <v>0</v>
      </c>
      <c r="V1151" s="87">
        <f>IFERROR(__xludf.DUMMYFUNCTION("""COMPUTED_VALUE"""),0.0)</f>
        <v>0</v>
      </c>
      <c r="W1151" s="87">
        <f>IFERROR(__xludf.DUMMYFUNCTION("""COMPUTED_VALUE"""),0.0)</f>
        <v>0</v>
      </c>
      <c r="X1151" s="88"/>
      <c r="Y1151" s="74"/>
      <c r="Z1151" s="74"/>
    </row>
    <row r="1152">
      <c r="B1152" s="74" t="str">
        <f>IFERROR(__xludf.DUMMYFUNCTION("""COMPUTED_VALUE"""),"2150")</f>
        <v>2150</v>
      </c>
      <c r="C1152" s="74"/>
      <c r="D1152" s="74" t="str">
        <f>IFERROR(__xludf.DUMMYFUNCTION("""COMPUTED_VALUE"""),"\\MCA-S\mk\2_BM\0_BMat\08_PYM\Inventario\excel\Imagen de refacciones\Schwing\Espejo DN181")</f>
        <v>\\MCA-S\mk\2_BM\0_BMat\08_PYM\Inventario\excel\Imagen de refacciones\Schwing\Espejo DN181</v>
      </c>
      <c r="E1152" s="74"/>
      <c r="F1152" s="74"/>
      <c r="G1152" s="74"/>
      <c r="H1152" s="74"/>
      <c r="I1152" s="74" t="str">
        <f>IFERROR(__xludf.DUMMYFUNCTION("""COMPUTED_VALUE"""),"10018046")</f>
        <v>10018046</v>
      </c>
      <c r="J1152" s="74"/>
      <c r="K1152" s="74" t="str">
        <f>IFERROR(__xludf.DUMMYFUNCTION("""COMPUTED_VALUE"""),"Schwing")</f>
        <v>Schwing</v>
      </c>
      <c r="L1152" s="74" t="str">
        <f>IFERROR(__xludf.DUMMYFUNCTION("""COMPUTED_VALUE"""),"BARRA V-ROCK")</f>
        <v>BARRA V-ROCK</v>
      </c>
      <c r="M1152" s="74" t="str">
        <f>IFERROR(__xludf.DUMMYFUNCTION("""COMPUTED_VALUE"""),"Sin Asignar")</f>
        <v>Sin Asignar</v>
      </c>
      <c r="N1152" s="87">
        <f>IFERROR(__xludf.DUMMYFUNCTION("""COMPUTED_VALUE"""),0.0)</f>
        <v>0</v>
      </c>
      <c r="O1152" s="74">
        <f>IFERROR(__xludf.DUMMYFUNCTION("""COMPUTED_VALUE"""),3.0)</f>
        <v>3</v>
      </c>
      <c r="P1152" s="74" t="str">
        <f>IFERROR(__xludf.DUMMYFUNCTION("""COMPUTED_VALUE"""),"borrar")</f>
        <v>borrar</v>
      </c>
      <c r="Q1152" s="74"/>
      <c r="R1152" s="74"/>
      <c r="S1152" s="87">
        <f>IFERROR(__xludf.DUMMYFUNCTION("""COMPUTED_VALUE"""),0.0)</f>
        <v>0</v>
      </c>
      <c r="T1152" s="87">
        <f>IFERROR(__xludf.DUMMYFUNCTION("""COMPUTED_VALUE"""),0.0)</f>
        <v>0</v>
      </c>
      <c r="U1152" s="87">
        <f>IFERROR(__xludf.DUMMYFUNCTION("""COMPUTED_VALUE"""),0.0)</f>
        <v>0</v>
      </c>
      <c r="V1152" s="87">
        <f>IFERROR(__xludf.DUMMYFUNCTION("""COMPUTED_VALUE"""),0.0)</f>
        <v>0</v>
      </c>
      <c r="W1152" s="87">
        <f>IFERROR(__xludf.DUMMYFUNCTION("""COMPUTED_VALUE"""),0.0)</f>
        <v>0</v>
      </c>
      <c r="X1152" s="88"/>
      <c r="Y1152" s="74"/>
      <c r="Z1152" s="74"/>
    </row>
    <row r="1153">
      <c r="B1153" s="74" t="str">
        <f>IFERROR(__xludf.DUMMYFUNCTION("""COMPUTED_VALUE"""),"2151")</f>
        <v>2151</v>
      </c>
      <c r="C1153" s="74"/>
      <c r="D1153" s="74" t="str">
        <f>IFERROR(__xludf.DUMMYFUNCTION("""COMPUTED_VALUE"""),"\\MCA-S\mk\2_BM\0_BMat\08_PYM\Inventario\excel\Imagen de refacciones\Schwing\Extension 200 MM _ Extensión 200 MM")</f>
        <v>\\MCA-S\mk\2_BM\0_BMat\08_PYM\Inventario\excel\Imagen de refacciones\Schwing\Extension 200 MM _ Extensión 200 MM</v>
      </c>
      <c r="E1153" s="74"/>
      <c r="F1153" s="74" t="str">
        <f>IFERROR(__xludf.DUMMYFUNCTION("""COMPUTED_VALUE"""),"Extension 200 MM / Extensión 200 MM")</f>
        <v>Extension 200 MM / Extensión 200 MM</v>
      </c>
      <c r="G1153" s="74"/>
      <c r="H1153" s="74"/>
      <c r="I1153" s="74" t="str">
        <f>IFERROR(__xludf.DUMMYFUNCTION("""COMPUTED_VALUE"""),"SOM30204")</f>
        <v>SOM30204</v>
      </c>
      <c r="J1153" s="74" t="str">
        <f>IFERROR(__xludf.DUMMYFUNCTION("""COMPUTED_VALUE"""),"10007497")</f>
        <v>10007497</v>
      </c>
      <c r="K1153" s="74" t="str">
        <f>IFERROR(__xludf.DUMMYFUNCTION("""COMPUTED_VALUE"""),"Schwing")</f>
        <v>Schwing</v>
      </c>
      <c r="L1153" s="74" t="str">
        <f>IFERROR(__xludf.DUMMYFUNCTION("""COMPUTED_VALUE"""),"Componentes Estructurales y de Montaje")</f>
        <v>Componentes Estructurales y de Montaje</v>
      </c>
      <c r="M1153" s="74" t="str">
        <f>IFERROR(__xludf.DUMMYFUNCTION("""COMPUTED_VALUE"""),"Sin Asignar")</f>
        <v>Sin Asignar</v>
      </c>
      <c r="N1153" s="87">
        <f>IFERROR(__xludf.DUMMYFUNCTION("""COMPUTED_VALUE"""),0.0)</f>
        <v>0</v>
      </c>
      <c r="O1153" s="74"/>
      <c r="P1153" s="74" t="str">
        <f>IFERROR(__xludf.DUMMYFUNCTION("""COMPUTED_VALUE"""),"No Available")</f>
        <v>No Available</v>
      </c>
      <c r="Q1153" s="74"/>
      <c r="R1153" s="74"/>
      <c r="S1153" s="87">
        <f>IFERROR(__xludf.DUMMYFUNCTION("""COMPUTED_VALUE"""),0.0)</f>
        <v>0</v>
      </c>
      <c r="T1153" s="87">
        <f>IFERROR(__xludf.DUMMYFUNCTION("""COMPUTED_VALUE"""),0.0)</f>
        <v>0</v>
      </c>
      <c r="U1153" s="87">
        <f>IFERROR(__xludf.DUMMYFUNCTION("""COMPUTED_VALUE"""),0.0)</f>
        <v>0</v>
      </c>
      <c r="V1153" s="87">
        <f>IFERROR(__xludf.DUMMYFUNCTION("""COMPUTED_VALUE"""),0.0)</f>
        <v>0</v>
      </c>
      <c r="W1153" s="87">
        <f>IFERROR(__xludf.DUMMYFUNCTION("""COMPUTED_VALUE"""),0.0)</f>
        <v>0</v>
      </c>
      <c r="X1153" s="88"/>
      <c r="Y1153" s="74"/>
      <c r="Z1153" s="74"/>
    </row>
    <row r="1154">
      <c r="B1154" s="74" t="str">
        <f>IFERROR(__xludf.DUMMYFUNCTION("""COMPUTED_VALUE"""),"2152")</f>
        <v>2152</v>
      </c>
      <c r="C1154" s="74"/>
      <c r="D1154" s="74" t="str">
        <f>IFERROR(__xludf.DUMMYFUNCTION("""COMPUTED_VALUE"""),"\\MCA-S\mk\2_BM\0_BMat\08_PYM\Inventario\excel\Imagen de refacciones\Schwing\Filter Element _ Elemento de Filtro")</f>
        <v>\\MCA-S\mk\2_BM\0_BMat\08_PYM\Inventario\excel\Imagen de refacciones\Schwing\Filter Element _ Elemento de Filtro</v>
      </c>
      <c r="E1154" s="74"/>
      <c r="F1154" s="74" t="str">
        <f>IFERROR(__xludf.DUMMYFUNCTION("""COMPUTED_VALUE"""),"Filter Element / Elemento de Filtro")</f>
        <v>Filter Element / Elemento de Filtro</v>
      </c>
      <c r="G1154" s="74"/>
      <c r="H1154" s="74"/>
      <c r="I1154" s="74" t="str">
        <f>IFERROR(__xludf.DUMMYFUNCTION("""COMPUTED_VALUE"""),"SOM30285")</f>
        <v>SOM30285</v>
      </c>
      <c r="J1154" s="74" t="str">
        <f>IFERROR(__xludf.DUMMYFUNCTION("""COMPUTED_VALUE"""),"10021810")</f>
        <v>10021810</v>
      </c>
      <c r="K1154" s="74" t="str">
        <f>IFERROR(__xludf.DUMMYFUNCTION("""COMPUTED_VALUE"""),"Schwing")</f>
        <v>Schwing</v>
      </c>
      <c r="L1154" s="74" t="str">
        <f>IFERROR(__xludf.DUMMYFUNCTION("""COMPUTED_VALUE"""),"Componentes Hidráulicos")</f>
        <v>Componentes Hidráulicos</v>
      </c>
      <c r="M1154" s="74" t="str">
        <f>IFERROR(__xludf.DUMMYFUNCTION("""COMPUTED_VALUE"""),"Sin Asignar")</f>
        <v>Sin Asignar</v>
      </c>
      <c r="N1154" s="87">
        <f>IFERROR(__xludf.DUMMYFUNCTION("""COMPUTED_VALUE"""),0.0)</f>
        <v>0</v>
      </c>
      <c r="O1154" s="74"/>
      <c r="P1154" s="74" t="str">
        <f>IFERROR(__xludf.DUMMYFUNCTION("""COMPUTED_VALUE"""),"borrar")</f>
        <v>borrar</v>
      </c>
      <c r="Q1154" s="74"/>
      <c r="R1154" s="74"/>
      <c r="S1154" s="87">
        <f>IFERROR(__xludf.DUMMYFUNCTION("""COMPUTED_VALUE"""),0.0)</f>
        <v>0</v>
      </c>
      <c r="T1154" s="87">
        <f>IFERROR(__xludf.DUMMYFUNCTION("""COMPUTED_VALUE"""),0.0)</f>
        <v>0</v>
      </c>
      <c r="U1154" s="87">
        <f>IFERROR(__xludf.DUMMYFUNCTION("""COMPUTED_VALUE"""),0.0)</f>
        <v>0</v>
      </c>
      <c r="V1154" s="87">
        <f>IFERROR(__xludf.DUMMYFUNCTION("""COMPUTED_VALUE"""),0.0)</f>
        <v>0</v>
      </c>
      <c r="W1154" s="87">
        <f>IFERROR(__xludf.DUMMYFUNCTION("""COMPUTED_VALUE"""),0.0)</f>
        <v>0</v>
      </c>
      <c r="X1154" s="88"/>
      <c r="Y1154" s="74"/>
      <c r="Z1154" s="74"/>
    </row>
    <row r="1155">
      <c r="B1155" s="74" t="str">
        <f>IFERROR(__xludf.DUMMYFUNCTION("""COMPUTED_VALUE"""),"2153")</f>
        <v>2153</v>
      </c>
      <c r="C1155" s="74"/>
      <c r="D1155" s="74" t="str">
        <f>IFERROR(__xludf.DUMMYFUNCTION("""COMPUTED_VALUE"""),"\\MCA-S\mk\2_BM\0_BMat\08_PYM\Inventario\excel\Imagen de refacciones\Schwing\Filter Element _ Elemento de Filtro (1)")</f>
        <v>\\MCA-S\mk\2_BM\0_BMat\08_PYM\Inventario\excel\Imagen de refacciones\Schwing\Filter Element _ Elemento de Filtro (1)</v>
      </c>
      <c r="E1155" s="74"/>
      <c r="F1155" s="74" t="str">
        <f>IFERROR(__xludf.DUMMYFUNCTION("""COMPUTED_VALUE"""),"Filter Element / Elemento de Filtro")</f>
        <v>Filter Element / Elemento de Filtro</v>
      </c>
      <c r="G1155" s="74"/>
      <c r="H1155" s="74"/>
      <c r="I1155" s="74" t="str">
        <f>IFERROR(__xludf.DUMMYFUNCTION("""COMPUTED_VALUE"""),"SOM30286")</f>
        <v>SOM30286</v>
      </c>
      <c r="J1155" s="74" t="str">
        <f>IFERROR(__xludf.DUMMYFUNCTION("""COMPUTED_VALUE"""),"10155110")</f>
        <v>10155110</v>
      </c>
      <c r="K1155" s="74" t="str">
        <f>IFERROR(__xludf.DUMMYFUNCTION("""COMPUTED_VALUE"""),"Schwing")</f>
        <v>Schwing</v>
      </c>
      <c r="L1155" s="74" t="str">
        <f>IFERROR(__xludf.DUMMYFUNCTION("""COMPUTED_VALUE"""),"Componentes Hidráulicos")</f>
        <v>Componentes Hidráulicos</v>
      </c>
      <c r="M1155" s="74" t="str">
        <f>IFERROR(__xludf.DUMMYFUNCTION("""COMPUTED_VALUE"""),"Sin Asignar")</f>
        <v>Sin Asignar</v>
      </c>
      <c r="N1155" s="87">
        <f>IFERROR(__xludf.DUMMYFUNCTION("""COMPUTED_VALUE"""),0.0)</f>
        <v>0</v>
      </c>
      <c r="O1155" s="74"/>
      <c r="P1155" s="74" t="str">
        <f>IFERROR(__xludf.DUMMYFUNCTION("""COMPUTED_VALUE"""),"borrar")</f>
        <v>borrar</v>
      </c>
      <c r="Q1155" s="74"/>
      <c r="R1155" s="74"/>
      <c r="S1155" s="87">
        <f>IFERROR(__xludf.DUMMYFUNCTION("""COMPUTED_VALUE"""),0.0)</f>
        <v>0</v>
      </c>
      <c r="T1155" s="87">
        <f>IFERROR(__xludf.DUMMYFUNCTION("""COMPUTED_VALUE"""),0.0)</f>
        <v>0</v>
      </c>
      <c r="U1155" s="87">
        <f>IFERROR(__xludf.DUMMYFUNCTION("""COMPUTED_VALUE"""),0.0)</f>
        <v>0</v>
      </c>
      <c r="V1155" s="87">
        <f>IFERROR(__xludf.DUMMYFUNCTION("""COMPUTED_VALUE"""),0.0)</f>
        <v>0</v>
      </c>
      <c r="W1155" s="87">
        <f>IFERROR(__xludf.DUMMYFUNCTION("""COMPUTED_VALUE"""),0.0)</f>
        <v>0</v>
      </c>
      <c r="X1155" s="88"/>
      <c r="Y1155" s="74"/>
      <c r="Z1155" s="74"/>
    </row>
    <row r="1156">
      <c r="B1156" s="74" t="str">
        <f>IFERROR(__xludf.DUMMYFUNCTION("""COMPUTED_VALUE"""),"2154")</f>
        <v>2154</v>
      </c>
      <c r="C1156" s="74" t="str">
        <f>IFERROR(__xludf.DUMMYFUNCTION("""COMPUTED_VALUE"""),"75045892154")</f>
        <v>75045892154</v>
      </c>
      <c r="D1156" s="74" t="str">
        <f>IFERROR(__xludf.DUMMYFUNCTION("""COMPUTED_VALUE"""),"\\MCA-S\mk\2_BM\0_BMat\08_PYM\Inventario\excel\Imagen de refacciones\Schwing\Filter Element _ Elemento de Filtro (2)")</f>
        <v>\\MCA-S\mk\2_BM\0_BMat\08_PYM\Inventario\excel\Imagen de refacciones\Schwing\Filter Element _ Elemento de Filtro (2)</v>
      </c>
      <c r="E1156" s="74" t="str">
        <f>IFERROR(__xludf.DUMMYFUNCTION("""COMPUTED_VALUE"""),"HIGH PRESSURE FILTER ELEMENT HC 9800FK8H TALL ")</f>
        <v>HIGH PRESSURE FILTER ELEMENT HC 9800FK8H TALL </v>
      </c>
      <c r="F1156" s="74" t="str">
        <f>IFERROR(__xludf.DUMMYFUNCTION("""COMPUTED_VALUE"""),"FILTRO HIDRAULICO ALTA PRESION LARGO")</f>
        <v>FILTRO HIDRAULICO ALTA PRESION LARGO</v>
      </c>
      <c r="G1156" s="74"/>
      <c r="H1156" s="74"/>
      <c r="I1156" s="74" t="str">
        <f>IFERROR(__xludf.DUMMYFUNCTION("""COMPUTED_VALUE"""),"10072694")</f>
        <v>10072694</v>
      </c>
      <c r="J1156" s="74"/>
      <c r="K1156" s="74" t="str">
        <f>IFERROR(__xludf.DUMMYFUNCTION("""COMPUTED_VALUE"""),"Schwing")</f>
        <v>Schwing</v>
      </c>
      <c r="L1156" s="74" t="str">
        <f>IFERROR(__xludf.DUMMYFUNCTION("""COMPUTED_VALUE"""),"SIN ASIGNAR")</f>
        <v>SIN ASIGNAR</v>
      </c>
      <c r="M1156" s="74" t="str">
        <f>IFERROR(__xludf.DUMMYFUNCTION("""COMPUTED_VALUE"""),"FILTROS")</f>
        <v>FILTROS</v>
      </c>
      <c r="N1156" s="87">
        <f>IFERROR(__xludf.DUMMYFUNCTION("""COMPUTED_VALUE"""),0.0)</f>
        <v>0</v>
      </c>
      <c r="O1156" s="74"/>
      <c r="P1156" s="74" t="str">
        <f>IFERROR(__xludf.DUMMYFUNCTION("""COMPUTED_VALUE"""),"To Re-purchase")</f>
        <v>To Re-purchase</v>
      </c>
      <c r="Q1156" s="74"/>
      <c r="R1156" s="74"/>
      <c r="S1156" s="87">
        <f>IFERROR(__xludf.DUMMYFUNCTION("""COMPUTED_VALUE"""),0.0)</f>
        <v>0</v>
      </c>
      <c r="T1156" s="87">
        <f>IFERROR(__xludf.DUMMYFUNCTION("""COMPUTED_VALUE"""),0.0)</f>
        <v>0</v>
      </c>
      <c r="U1156" s="87">
        <f>IFERROR(__xludf.DUMMYFUNCTION("""COMPUTED_VALUE"""),0.0)</f>
        <v>0</v>
      </c>
      <c r="V1156" s="87">
        <f>IFERROR(__xludf.DUMMYFUNCTION("""COMPUTED_VALUE"""),0.0)</f>
        <v>0</v>
      </c>
      <c r="W1156" s="87">
        <f>IFERROR(__xludf.DUMMYFUNCTION("""COMPUTED_VALUE"""),0.0)</f>
        <v>0</v>
      </c>
      <c r="X1156" s="88"/>
      <c r="Y1156" s="74"/>
      <c r="Z1156" s="74"/>
    </row>
    <row r="1157">
      <c r="B1157" s="74" t="str">
        <f>IFERROR(__xludf.DUMMYFUNCTION("""COMPUTED_VALUE"""),"2155")</f>
        <v>2155</v>
      </c>
      <c r="C1157" s="74"/>
      <c r="D1157" s="74" t="str">
        <f>IFERROR(__xludf.DUMMYFUNCTION("""COMPUTED_VALUE"""),"\\MCA-S\mk\2_BM\0_BMat\08_PYM\Inventario\excel\Imagen de refacciones\Schwing\Filter Element _ Elemento de Filtro (3)")</f>
        <v>\\MCA-S\mk\2_BM\0_BMat\08_PYM\Inventario\excel\Imagen de refacciones\Schwing\Filter Element _ Elemento de Filtro (3)</v>
      </c>
      <c r="E1157" s="74"/>
      <c r="F1157" s="74" t="str">
        <f>IFERROR(__xludf.DUMMYFUNCTION("""COMPUTED_VALUE"""),"Filter Element / Elemento de Filtro")</f>
        <v>Filter Element / Elemento de Filtro</v>
      </c>
      <c r="G1157" s="74"/>
      <c r="H1157" s="74"/>
      <c r="I1157" s="74" t="str">
        <f>IFERROR(__xludf.DUMMYFUNCTION("""COMPUTED_VALUE"""),"SOM30288")</f>
        <v>SOM30288</v>
      </c>
      <c r="J1157" s="74" t="str">
        <f>IFERROR(__xludf.DUMMYFUNCTION("""COMPUTED_VALUE"""),"10072797")</f>
        <v>10072797</v>
      </c>
      <c r="K1157" s="74" t="str">
        <f>IFERROR(__xludf.DUMMYFUNCTION("""COMPUTED_VALUE"""),"Schwing")</f>
        <v>Schwing</v>
      </c>
      <c r="L1157" s="74" t="str">
        <f>IFERROR(__xludf.DUMMYFUNCTION("""COMPUTED_VALUE"""),"Componentes Hidráulicos")</f>
        <v>Componentes Hidráulicos</v>
      </c>
      <c r="M1157" s="74" t="str">
        <f>IFERROR(__xludf.DUMMYFUNCTION("""COMPUTED_VALUE"""),"Sin Asignar")</f>
        <v>Sin Asignar</v>
      </c>
      <c r="N1157" s="87">
        <f>IFERROR(__xludf.DUMMYFUNCTION("""COMPUTED_VALUE"""),0.0)</f>
        <v>0</v>
      </c>
      <c r="O1157" s="74"/>
      <c r="P1157" s="74" t="str">
        <f>IFERROR(__xludf.DUMMYFUNCTION("""COMPUTED_VALUE"""),"No Available")</f>
        <v>No Available</v>
      </c>
      <c r="Q1157" s="74"/>
      <c r="R1157" s="74"/>
      <c r="S1157" s="87">
        <f>IFERROR(__xludf.DUMMYFUNCTION("""COMPUTED_VALUE"""),0.0)</f>
        <v>0</v>
      </c>
      <c r="T1157" s="87">
        <f>IFERROR(__xludf.DUMMYFUNCTION("""COMPUTED_VALUE"""),0.0)</f>
        <v>0</v>
      </c>
      <c r="U1157" s="87">
        <f>IFERROR(__xludf.DUMMYFUNCTION("""COMPUTED_VALUE"""),0.0)</f>
        <v>0</v>
      </c>
      <c r="V1157" s="87">
        <f>IFERROR(__xludf.DUMMYFUNCTION("""COMPUTED_VALUE"""),0.0)</f>
        <v>0</v>
      </c>
      <c r="W1157" s="87">
        <f>IFERROR(__xludf.DUMMYFUNCTION("""COMPUTED_VALUE"""),0.0)</f>
        <v>0</v>
      </c>
      <c r="X1157" s="88"/>
      <c r="Y1157" s="74"/>
      <c r="Z1157" s="74"/>
    </row>
    <row r="1158">
      <c r="B1158" s="74" t="str">
        <f>IFERROR(__xludf.DUMMYFUNCTION("""COMPUTED_VALUE"""),"2156")</f>
        <v>2156</v>
      </c>
      <c r="C1158" s="74"/>
      <c r="D1158" s="74" t="str">
        <f>IFERROR(__xludf.DUMMYFUNCTION("""COMPUTED_VALUE"""),"\\MCA-S\mk\2_BM\0_BMat\08_PYM\Inventario\excel\Imagen de refacciones\Schwing\Filter Element _ Elemento de Filtro (4)")</f>
        <v>\\MCA-S\mk\2_BM\0_BMat\08_PYM\Inventario\excel\Imagen de refacciones\Schwing\Filter Element _ Elemento de Filtro (4)</v>
      </c>
      <c r="E1158" s="74"/>
      <c r="F1158" s="74" t="str">
        <f>IFERROR(__xludf.DUMMYFUNCTION("""COMPUTED_VALUE"""),"Filter Element / Elemento de Filtro")</f>
        <v>Filter Element / Elemento de Filtro</v>
      </c>
      <c r="G1158" s="74"/>
      <c r="H1158" s="74"/>
      <c r="I1158" s="74" t="str">
        <f>IFERROR(__xludf.DUMMYFUNCTION("""COMPUTED_VALUE"""),"SOM30290")</f>
        <v>SOM30290</v>
      </c>
      <c r="J1158" s="74" t="str">
        <f>IFERROR(__xludf.DUMMYFUNCTION("""COMPUTED_VALUE"""),"10002989")</f>
        <v>10002989</v>
      </c>
      <c r="K1158" s="74" t="str">
        <f>IFERROR(__xludf.DUMMYFUNCTION("""COMPUTED_VALUE"""),"Schwing")</f>
        <v>Schwing</v>
      </c>
      <c r="L1158" s="74" t="str">
        <f>IFERROR(__xludf.DUMMYFUNCTION("""COMPUTED_VALUE"""),"Componentes Hidráulicos")</f>
        <v>Componentes Hidráulicos</v>
      </c>
      <c r="M1158" s="74" t="str">
        <f>IFERROR(__xludf.DUMMYFUNCTION("""COMPUTED_VALUE"""),"Sin Asignar")</f>
        <v>Sin Asignar</v>
      </c>
      <c r="N1158" s="87">
        <f>IFERROR(__xludf.DUMMYFUNCTION("""COMPUTED_VALUE"""),0.0)</f>
        <v>0</v>
      </c>
      <c r="O1158" s="74"/>
      <c r="P1158" s="74" t="str">
        <f>IFERROR(__xludf.DUMMYFUNCTION("""COMPUTED_VALUE"""),"borrar")</f>
        <v>borrar</v>
      </c>
      <c r="Q1158" s="74"/>
      <c r="R1158" s="74"/>
      <c r="S1158" s="87">
        <f>IFERROR(__xludf.DUMMYFUNCTION("""COMPUTED_VALUE"""),0.0)</f>
        <v>0</v>
      </c>
      <c r="T1158" s="87">
        <f>IFERROR(__xludf.DUMMYFUNCTION("""COMPUTED_VALUE"""),0.0)</f>
        <v>0</v>
      </c>
      <c r="U1158" s="87">
        <f>IFERROR(__xludf.DUMMYFUNCTION("""COMPUTED_VALUE"""),0.0)</f>
        <v>0</v>
      </c>
      <c r="V1158" s="87">
        <f>IFERROR(__xludf.DUMMYFUNCTION("""COMPUTED_VALUE"""),0.0)</f>
        <v>0</v>
      </c>
      <c r="W1158" s="87">
        <f>IFERROR(__xludf.DUMMYFUNCTION("""COMPUTED_VALUE"""),0.0)</f>
        <v>0</v>
      </c>
      <c r="X1158" s="88"/>
      <c r="Y1158" s="74"/>
      <c r="Z1158" s="74"/>
    </row>
    <row r="1159">
      <c r="B1159" s="74" t="str">
        <f>IFERROR(__xludf.DUMMYFUNCTION("""COMPUTED_VALUE"""),"2157")</f>
        <v>2157</v>
      </c>
      <c r="C1159" s="74"/>
      <c r="D1159" s="74" t="str">
        <f>IFERROR(__xludf.DUMMYFUNCTION("""COMPUTED_VALUE"""),"\\MCA-S\mk\2_BM\0_BMat\08_PYM\Inventario\excel\Imagen de refacciones\Schwing\Filter Element _ Elemento de Filtro (5)")</f>
        <v>\\MCA-S\mk\2_BM\0_BMat\08_PYM\Inventario\excel\Imagen de refacciones\Schwing\Filter Element _ Elemento de Filtro (5)</v>
      </c>
      <c r="E1159" s="74" t="str">
        <f>IFERROR(__xludf.DUMMYFUNCTION("""COMPUTED_VALUE"""),"Filter Element ")</f>
        <v>Filter Element </v>
      </c>
      <c r="F1159" s="74" t="str">
        <f>IFERROR(__xludf.DUMMYFUNCTION("""COMPUTED_VALUE"""),"Filter Element / Elemento de Filtro")</f>
        <v>Filter Element / Elemento de Filtro</v>
      </c>
      <c r="G1159" s="74"/>
      <c r="H1159" s="74"/>
      <c r="I1159" s="74" t="str">
        <f>IFERROR(__xludf.DUMMYFUNCTION("""COMPUTED_VALUE"""),"SOM30291")</f>
        <v>SOM30291</v>
      </c>
      <c r="J1159" s="74" t="str">
        <f>IFERROR(__xludf.DUMMYFUNCTION("""COMPUTED_VALUE"""),"10190588")</f>
        <v>10190588</v>
      </c>
      <c r="K1159" s="74" t="str">
        <f>IFERROR(__xludf.DUMMYFUNCTION("""COMPUTED_VALUE"""),"Schwing")</f>
        <v>Schwing</v>
      </c>
      <c r="L1159" s="74" t="str">
        <f>IFERROR(__xludf.DUMMYFUNCTION("""COMPUTED_VALUE"""),"Componentes Hidráulicos")</f>
        <v>Componentes Hidráulicos</v>
      </c>
      <c r="M1159" s="74" t="str">
        <f>IFERROR(__xludf.DUMMYFUNCTION("""COMPUTED_VALUE"""),"Sin Asignar")</f>
        <v>Sin Asignar</v>
      </c>
      <c r="N1159" s="87">
        <f>IFERROR(__xludf.DUMMYFUNCTION("""COMPUTED_VALUE"""),0.0)</f>
        <v>0</v>
      </c>
      <c r="O1159" s="74"/>
      <c r="P1159" s="74" t="str">
        <f>IFERROR(__xludf.DUMMYFUNCTION("""COMPUTED_VALUE"""),"borrar")</f>
        <v>borrar</v>
      </c>
      <c r="Q1159" s="74"/>
      <c r="R1159" s="74"/>
      <c r="S1159" s="87">
        <f>IFERROR(__xludf.DUMMYFUNCTION("""COMPUTED_VALUE"""),0.0)</f>
        <v>0</v>
      </c>
      <c r="T1159" s="87">
        <f>IFERROR(__xludf.DUMMYFUNCTION("""COMPUTED_VALUE"""),0.0)</f>
        <v>0</v>
      </c>
      <c r="U1159" s="87">
        <f>IFERROR(__xludf.DUMMYFUNCTION("""COMPUTED_VALUE"""),0.0)</f>
        <v>0</v>
      </c>
      <c r="V1159" s="87">
        <f>IFERROR(__xludf.DUMMYFUNCTION("""COMPUTED_VALUE"""),0.0)</f>
        <v>0</v>
      </c>
      <c r="W1159" s="87">
        <f>IFERROR(__xludf.DUMMYFUNCTION("""COMPUTED_VALUE"""),0.0)</f>
        <v>0</v>
      </c>
      <c r="X1159" s="88"/>
      <c r="Y1159" s="74"/>
      <c r="Z1159" s="74"/>
    </row>
    <row r="1160">
      <c r="B1160" s="74" t="str">
        <f>IFERROR(__xludf.DUMMYFUNCTION("""COMPUTED_VALUE"""),"2158")</f>
        <v>2158</v>
      </c>
      <c r="C1160" s="74" t="str">
        <f>IFERROR(__xludf.DUMMYFUNCTION("""COMPUTED_VALUE"""),"75045880393")</f>
        <v>75045880393</v>
      </c>
      <c r="D1160" s="74" t="str">
        <f>IFERROR(__xludf.DUMMYFUNCTION("""COMPUTED_VALUE"""),"\\MCA-S\mk\2_BM\0_BMat\08_PYM\Inventario\excel\Imagen de refacciones\Schwing\Filtro hidráilocp alta presión corto")</f>
        <v>\\MCA-S\mk\2_BM\0_BMat\08_PYM\Inventario\excel\Imagen de refacciones\Schwing\Filtro hidráilocp alta presión corto</v>
      </c>
      <c r="E1160" s="74" t="str">
        <f>IFERROR(__xludf.DUMMYFUNCTION("""COMPUTED_VALUE"""),"HIGH PRESSURE FILTER ELEMENT SHORT")</f>
        <v>HIGH PRESSURE FILTER ELEMENT SHORT</v>
      </c>
      <c r="F1160" s="74" t="str">
        <f>IFERROR(__xludf.DUMMYFUNCTION("""COMPUTED_VALUE"""),"FILTRO HIDRAULICO ALTA PRESION CORTO")</f>
        <v>FILTRO HIDRAULICO ALTA PRESION CORTO</v>
      </c>
      <c r="G1160" s="74"/>
      <c r="H1160" s="74"/>
      <c r="I1160" s="74" t="str">
        <f>IFERROR(__xludf.DUMMYFUNCTION("""COMPUTED_VALUE"""),"10021810")</f>
        <v>10021810</v>
      </c>
      <c r="J1160" s="74"/>
      <c r="K1160" s="74" t="str">
        <f>IFERROR(__xludf.DUMMYFUNCTION("""COMPUTED_VALUE"""),"Schwing")</f>
        <v>Schwing</v>
      </c>
      <c r="L1160" s="74" t="str">
        <f>IFERROR(__xludf.DUMMYFUNCTION("""COMPUTED_VALUE"""),"SIN ASIGNAR")</f>
        <v>SIN ASIGNAR</v>
      </c>
      <c r="M1160" s="74" t="str">
        <f>IFERROR(__xludf.DUMMYFUNCTION("""COMPUTED_VALUE"""),"FILTROS")</f>
        <v>FILTROS</v>
      </c>
      <c r="N1160" s="87">
        <f>IFERROR(__xludf.DUMMYFUNCTION("""COMPUTED_VALUE"""),710.4)</f>
        <v>710.4</v>
      </c>
      <c r="O1160" s="74">
        <f>IFERROR(__xludf.DUMMYFUNCTION("""COMPUTED_VALUE"""),5.0)</f>
        <v>5</v>
      </c>
      <c r="P1160" s="74" t="str">
        <f>IFERROR(__xludf.DUMMYFUNCTION("""COMPUTED_VALUE"""),"In stock")</f>
        <v>In stock</v>
      </c>
      <c r="Q1160" s="74"/>
      <c r="R1160" s="74"/>
      <c r="S1160" s="87">
        <f>IFERROR(__xludf.DUMMYFUNCTION("""COMPUTED_VALUE"""),6.5)</f>
        <v>6.5</v>
      </c>
      <c r="T1160" s="87">
        <f>IFERROR(__xludf.DUMMYFUNCTION("""COMPUTED_VALUE"""),40.0)</f>
        <v>40</v>
      </c>
      <c r="U1160" s="87">
        <f>IFERROR(__xludf.DUMMYFUNCTION("""COMPUTED_VALUE"""),38.4)</f>
        <v>38.4</v>
      </c>
      <c r="V1160" s="87">
        <f>IFERROR(__xludf.DUMMYFUNCTION("""COMPUTED_VALUE"""),7.9625)</f>
        <v>7.9625</v>
      </c>
      <c r="W1160" s="87">
        <f>IFERROR(__xludf.DUMMYFUNCTION("""COMPUTED_VALUE"""),149.296875)</f>
        <v>149.296875</v>
      </c>
      <c r="X1160" s="88">
        <f>IFERROR(__xludf.DUMMYFUNCTION("""COMPUTED_VALUE"""),5.907692307692307)</f>
        <v>5.907692308</v>
      </c>
      <c r="Y1160" s="74"/>
      <c r="Z1160" s="74"/>
    </row>
    <row r="1161">
      <c r="B1161" s="74" t="str">
        <f>IFERROR(__xludf.DUMMYFUNCTION("""COMPUTED_VALUE"""),"2159")</f>
        <v>2159</v>
      </c>
      <c r="C1161" s="74" t="str">
        <f>IFERROR(__xludf.DUMMYFUNCTION("""COMPUTED_VALUE"""),"75045880394")</f>
        <v>75045880394</v>
      </c>
      <c r="D1161" s="74" t="str">
        <f>IFERROR(__xludf.DUMMYFUNCTION("""COMPUTED_VALUE"""),"\\MCA-S\mk\2_BM\0_BMat\08_PYM\Inventario\excel\Imagen de refacciones\Schwing\Filtro hidráulica")</f>
        <v>\\MCA-S\mk\2_BM\0_BMat\08_PYM\Inventario\excel\Imagen de refacciones\Schwing\Filtro hidráulica</v>
      </c>
      <c r="E1161" s="74" t="str">
        <f>IFERROR(__xludf.DUMMYFUNCTION("""COMPUTED_VALUE"""),"FILTER ELEMENT ")</f>
        <v>FILTER ELEMENT </v>
      </c>
      <c r="F1161" s="74" t="str">
        <f>IFERROR(__xludf.DUMMYFUNCTION("""COMPUTED_VALUE"""),"FILTRO HIDRAULICO ")</f>
        <v>FILTRO HIDRAULICO </v>
      </c>
      <c r="G1161" s="74"/>
      <c r="H1161" s="74"/>
      <c r="I1161" s="74" t="str">
        <f>IFERROR(__xludf.DUMMYFUNCTION("""COMPUTED_VALUE"""),"10155110")</f>
        <v>10155110</v>
      </c>
      <c r="J1161" s="74"/>
      <c r="K1161" s="74" t="str">
        <f>IFERROR(__xludf.DUMMYFUNCTION("""COMPUTED_VALUE"""),"Schwing")</f>
        <v>Schwing</v>
      </c>
      <c r="L1161" s="74" t="str">
        <f>IFERROR(__xludf.DUMMYFUNCTION("""COMPUTED_VALUE"""),"SIN ASIGNAR")</f>
        <v>SIN ASIGNAR</v>
      </c>
      <c r="M1161" s="74" t="str">
        <f>IFERROR(__xludf.DUMMYFUNCTION("""COMPUTED_VALUE"""),"FILTROS")</f>
        <v>FILTROS</v>
      </c>
      <c r="N1161" s="87">
        <f>IFERROR(__xludf.DUMMYFUNCTION("""COMPUTED_VALUE"""),3747.36)</f>
        <v>3747.36</v>
      </c>
      <c r="O1161" s="74">
        <f>IFERROR(__xludf.DUMMYFUNCTION("""COMPUTED_VALUE"""),6.0)</f>
        <v>6</v>
      </c>
      <c r="P1161" s="74" t="str">
        <f>IFERROR(__xludf.DUMMYFUNCTION("""COMPUTED_VALUE"""),"In stock")</f>
        <v>In stock</v>
      </c>
      <c r="Q1161" s="74"/>
      <c r="R1161" s="74"/>
      <c r="S1161" s="87">
        <f>IFERROR(__xludf.DUMMYFUNCTION("""COMPUTED_VALUE"""),21.0)</f>
        <v>21</v>
      </c>
      <c r="T1161" s="87">
        <f>IFERROR(__xludf.DUMMYFUNCTION("""COMPUTED_VALUE"""),211.0)</f>
        <v>211</v>
      </c>
      <c r="U1161" s="87">
        <f>IFERROR(__xludf.DUMMYFUNCTION("""COMPUTED_VALUE"""),202.56)</f>
        <v>202.56</v>
      </c>
      <c r="V1161" s="87">
        <f>IFERROR(__xludf.DUMMYFUNCTION("""COMPUTED_VALUE"""),25.725)</f>
        <v>25.725</v>
      </c>
      <c r="W1161" s="87">
        <f>IFERROR(__xludf.DUMMYFUNCTION("""COMPUTED_VALUE"""),482.34375)</f>
        <v>482.34375</v>
      </c>
      <c r="X1161" s="88">
        <f>IFERROR(__xludf.DUMMYFUNCTION("""COMPUTED_VALUE"""),9.645714285714286)</f>
        <v>9.645714286</v>
      </c>
      <c r="Y1161" s="74"/>
      <c r="Z1161" s="74"/>
    </row>
    <row r="1162">
      <c r="B1162" s="74" t="str">
        <f>IFERROR(__xludf.DUMMYFUNCTION("""COMPUTED_VALUE"""),"2160")</f>
        <v>2160</v>
      </c>
      <c r="C1162" s="74" t="str">
        <f>IFERROR(__xludf.DUMMYFUNCTION("""COMPUTED_VALUE"""),"75045880431")</f>
        <v>75045880431</v>
      </c>
      <c r="D1162" s="74" t="str">
        <f>IFERROR(__xludf.DUMMYFUNCTION("""COMPUTED_VALUE"""),"\\MCA-S\mk\2_BM\0_BMat\08_PYM\Inventario\excel\Imagen de refacciones\Schwing\filtro hidráulico")</f>
        <v>\\MCA-S\mk\2_BM\0_BMat\08_PYM\Inventario\excel\Imagen de refacciones\Schwing\filtro hidráulico</v>
      </c>
      <c r="E1162" s="74" t="str">
        <f>IFERROR(__xludf.DUMMYFUNCTION("""COMPUTED_VALUE"""),"FILTER ELEMENT ")</f>
        <v>FILTER ELEMENT </v>
      </c>
      <c r="F1162" s="74" t="str">
        <f>IFERROR(__xludf.DUMMYFUNCTION("""COMPUTED_VALUE"""),"FILTRO HIDRAULICO ")</f>
        <v>FILTRO HIDRAULICO </v>
      </c>
      <c r="G1162" s="74"/>
      <c r="H1162" s="74"/>
      <c r="I1162" s="74" t="str">
        <f>IFERROR(__xludf.DUMMYFUNCTION("""COMPUTED_VALUE"""),"10073397")</f>
        <v>10073397</v>
      </c>
      <c r="J1162" s="74"/>
      <c r="K1162" s="74" t="str">
        <f>IFERROR(__xludf.DUMMYFUNCTION("""COMPUTED_VALUE"""),"Schwing")</f>
        <v>Schwing</v>
      </c>
      <c r="L1162" s="74" t="str">
        <f>IFERROR(__xludf.DUMMYFUNCTION("""COMPUTED_VALUE"""),"SIN ASIGNAR")</f>
        <v>SIN ASIGNAR</v>
      </c>
      <c r="M1162" s="74" t="str">
        <f>IFERROR(__xludf.DUMMYFUNCTION("""COMPUTED_VALUE"""),"FILTROS")</f>
        <v>FILTROS</v>
      </c>
      <c r="N1162" s="87">
        <f>IFERROR(__xludf.DUMMYFUNCTION("""COMPUTED_VALUE"""),2042.3999999999999)</f>
        <v>2042.4</v>
      </c>
      <c r="O1162" s="74">
        <f>IFERROR(__xludf.DUMMYFUNCTION("""COMPUTED_VALUE"""),5.0)</f>
        <v>5</v>
      </c>
      <c r="P1162" s="74" t="str">
        <f>IFERROR(__xludf.DUMMYFUNCTION("""COMPUTED_VALUE"""),"In stock")</f>
        <v>In stock</v>
      </c>
      <c r="Q1162" s="74"/>
      <c r="R1162" s="74"/>
      <c r="S1162" s="87">
        <f>IFERROR(__xludf.DUMMYFUNCTION("""COMPUTED_VALUE"""),12.0)</f>
        <v>12</v>
      </c>
      <c r="T1162" s="87">
        <f>IFERROR(__xludf.DUMMYFUNCTION("""COMPUTED_VALUE"""),115.0)</f>
        <v>115</v>
      </c>
      <c r="U1162" s="87">
        <f>IFERROR(__xludf.DUMMYFUNCTION("""COMPUTED_VALUE"""),110.39999999999999)</f>
        <v>110.4</v>
      </c>
      <c r="V1162" s="87">
        <f>IFERROR(__xludf.DUMMYFUNCTION("""COMPUTED_VALUE"""),14.7)</f>
        <v>14.7</v>
      </c>
      <c r="W1162" s="87">
        <f>IFERROR(__xludf.DUMMYFUNCTION("""COMPUTED_VALUE"""),275.625)</f>
        <v>275.625</v>
      </c>
      <c r="X1162" s="88">
        <f>IFERROR(__xludf.DUMMYFUNCTION("""COMPUTED_VALUE"""),9.2)</f>
        <v>9.2</v>
      </c>
      <c r="Y1162" s="74"/>
      <c r="Z1162" s="74"/>
    </row>
    <row r="1163">
      <c r="B1163" s="74" t="str">
        <f>IFERROR(__xludf.DUMMYFUNCTION("""COMPUTED_VALUE"""),"2161")</f>
        <v>2161</v>
      </c>
      <c r="C1163" s="74" t="str">
        <f>IFERROR(__xludf.DUMMYFUNCTION("""COMPUTED_VALUE"""),"75045880395")</f>
        <v>75045880395</v>
      </c>
      <c r="D1163" s="74" t="str">
        <f>IFERROR(__xludf.DUMMYFUNCTION("""COMPUTED_VALUE"""),"\\MCA-S\mk\2_BM\0_BMat\08_PYM\Inventario\excel\Imagen de refacciones\Schwing\filtro hidráulico  (1)")</f>
        <v>\\MCA-S\mk\2_BM\0_BMat\08_PYM\Inventario\excel\Imagen de refacciones\Schwing\filtro hidráulico  (1)</v>
      </c>
      <c r="E1163" s="74" t="str">
        <f>IFERROR(__xludf.DUMMYFUNCTION("""COMPUTED_VALUE"""),"FILTER ELEMENT ")</f>
        <v>FILTER ELEMENT </v>
      </c>
      <c r="F1163" s="74" t="str">
        <f>IFERROR(__xludf.DUMMYFUNCTION("""COMPUTED_VALUE"""),"FILTRO HIDRAULICO ")</f>
        <v>FILTRO HIDRAULICO </v>
      </c>
      <c r="G1163" s="74"/>
      <c r="H1163" s="74"/>
      <c r="I1163" s="74" t="str">
        <f>IFERROR(__xludf.DUMMYFUNCTION("""COMPUTED_VALUE"""),"10002989")</f>
        <v>10002989</v>
      </c>
      <c r="J1163" s="74"/>
      <c r="K1163" s="74" t="str">
        <f>IFERROR(__xludf.DUMMYFUNCTION("""COMPUTED_VALUE"""),"Schwing")</f>
        <v>Schwing</v>
      </c>
      <c r="L1163" s="74" t="str">
        <f>IFERROR(__xludf.DUMMYFUNCTION("""COMPUTED_VALUE"""),"SIN ASIGNAR")</f>
        <v>SIN ASIGNAR</v>
      </c>
      <c r="M1163" s="74" t="str">
        <f>IFERROR(__xludf.DUMMYFUNCTION("""COMPUTED_VALUE"""),"FILTROS")</f>
        <v>FILTROS</v>
      </c>
      <c r="N1163" s="87">
        <f>IFERROR(__xludf.DUMMYFUNCTION("""COMPUTED_VALUE"""),1633.9199999999998)</f>
        <v>1633.92</v>
      </c>
      <c r="O1163" s="74">
        <f>IFERROR(__xludf.DUMMYFUNCTION("""COMPUTED_VALUE"""),5.0)</f>
        <v>5</v>
      </c>
      <c r="P1163" s="74" t="str">
        <f>IFERROR(__xludf.DUMMYFUNCTION("""COMPUTED_VALUE"""),"In stock")</f>
        <v>In stock</v>
      </c>
      <c r="Q1163" s="74"/>
      <c r="R1163" s="74"/>
      <c r="S1163" s="87">
        <f>IFERROR(__xludf.DUMMYFUNCTION("""COMPUTED_VALUE"""),12.0)</f>
        <v>12</v>
      </c>
      <c r="T1163" s="87">
        <f>IFERROR(__xludf.DUMMYFUNCTION("""COMPUTED_VALUE"""),92.0)</f>
        <v>92</v>
      </c>
      <c r="U1163" s="87">
        <f>IFERROR(__xludf.DUMMYFUNCTION("""COMPUTED_VALUE"""),88.32)</f>
        <v>88.32</v>
      </c>
      <c r="V1163" s="87">
        <f>IFERROR(__xludf.DUMMYFUNCTION("""COMPUTED_VALUE"""),14.7)</f>
        <v>14.7</v>
      </c>
      <c r="W1163" s="87">
        <f>IFERROR(__xludf.DUMMYFUNCTION("""COMPUTED_VALUE"""),275.625)</f>
        <v>275.625</v>
      </c>
      <c r="X1163" s="88">
        <f>IFERROR(__xludf.DUMMYFUNCTION("""COMPUTED_VALUE"""),7.359999999999999)</f>
        <v>7.36</v>
      </c>
      <c r="Y1163" s="74"/>
      <c r="Z1163" s="74"/>
    </row>
    <row r="1164">
      <c r="B1164" s="74" t="str">
        <f>IFERROR(__xludf.DUMMYFUNCTION("""COMPUTED_VALUE"""),"2162")</f>
        <v>2162</v>
      </c>
      <c r="C1164" s="74" t="str">
        <f>IFERROR(__xludf.DUMMYFUNCTION("""COMPUTED_VALUE"""),"75045880396")</f>
        <v>75045880396</v>
      </c>
      <c r="D1164" s="74" t="str">
        <f>IFERROR(__xludf.DUMMYFUNCTION("""COMPUTED_VALUE"""),"\\MCA-S\mk\2_BM\0_BMat\08_PYM\Inventario\excel\Imagen de refacciones\Schwing\filtro hidráulico  (2)")</f>
        <v>\\MCA-S\mk\2_BM\0_BMat\08_PYM\Inventario\excel\Imagen de refacciones\Schwing\filtro hidráulico  (2)</v>
      </c>
      <c r="E1164" s="74" t="str">
        <f>IFERROR(__xludf.DUMMYFUNCTION("""COMPUTED_VALUE"""),"FILTER ELEMENT ")</f>
        <v>FILTER ELEMENT </v>
      </c>
      <c r="F1164" s="74" t="str">
        <f>IFERROR(__xludf.DUMMYFUNCTION("""COMPUTED_VALUE"""),"FILTRO HIDRAULICO ")</f>
        <v>FILTRO HIDRAULICO </v>
      </c>
      <c r="G1164" s="74"/>
      <c r="H1164" s="74"/>
      <c r="I1164" s="74" t="str">
        <f>IFERROR(__xludf.DUMMYFUNCTION("""COMPUTED_VALUE"""),"30318961")</f>
        <v>30318961</v>
      </c>
      <c r="J1164" s="74"/>
      <c r="K1164" s="74" t="str">
        <f>IFERROR(__xludf.DUMMYFUNCTION("""COMPUTED_VALUE"""),"Schwing")</f>
        <v>Schwing</v>
      </c>
      <c r="L1164" s="74" t="str">
        <f>IFERROR(__xludf.DUMMYFUNCTION("""COMPUTED_VALUE"""),"SIN ASIGNAR")</f>
        <v>SIN ASIGNAR</v>
      </c>
      <c r="M1164" s="74" t="str">
        <f>IFERROR(__xludf.DUMMYFUNCTION("""COMPUTED_VALUE"""),"FILTROS")</f>
        <v>FILTROS</v>
      </c>
      <c r="N1164" s="87">
        <f>IFERROR(__xludf.DUMMYFUNCTION("""COMPUTED_VALUE"""),6553.4400000000005)</f>
        <v>6553.44</v>
      </c>
      <c r="O1164" s="74">
        <f>IFERROR(__xludf.DUMMYFUNCTION("""COMPUTED_VALUE"""),8.0)</f>
        <v>8</v>
      </c>
      <c r="P1164" s="74" t="str">
        <f>IFERROR(__xludf.DUMMYFUNCTION("""COMPUTED_VALUE"""),"In stock")</f>
        <v>In stock</v>
      </c>
      <c r="Q1164" s="74"/>
      <c r="R1164" s="74"/>
      <c r="S1164" s="87">
        <f>IFERROR(__xludf.DUMMYFUNCTION("""COMPUTED_VALUE"""),22.0)</f>
        <v>22</v>
      </c>
      <c r="T1164" s="87">
        <f>IFERROR(__xludf.DUMMYFUNCTION("""COMPUTED_VALUE"""),369.0)</f>
        <v>369</v>
      </c>
      <c r="U1164" s="87">
        <f>IFERROR(__xludf.DUMMYFUNCTION("""COMPUTED_VALUE"""),354.24)</f>
        <v>354.24</v>
      </c>
      <c r="V1164" s="87">
        <f>IFERROR(__xludf.DUMMYFUNCTION("""COMPUTED_VALUE"""),26.95)</f>
        <v>26.95</v>
      </c>
      <c r="W1164" s="87">
        <f>IFERROR(__xludf.DUMMYFUNCTION("""COMPUTED_VALUE"""),505.3125)</f>
        <v>505.3125</v>
      </c>
      <c r="X1164" s="88">
        <f>IFERROR(__xludf.DUMMYFUNCTION("""COMPUTED_VALUE"""),16.10181818181818)</f>
        <v>16.10181818</v>
      </c>
      <c r="Y1164" s="74"/>
      <c r="Z1164" s="74"/>
    </row>
    <row r="1165">
      <c r="B1165" s="74" t="str">
        <f>IFERROR(__xludf.DUMMYFUNCTION("""COMPUTED_VALUE"""),"2163")</f>
        <v>2163</v>
      </c>
      <c r="C1165" s="74" t="str">
        <f>IFERROR(__xludf.DUMMYFUNCTION("""COMPUTED_VALUE"""),"75045880430")</f>
        <v>75045880430</v>
      </c>
      <c r="D1165" s="74" t="str">
        <f>IFERROR(__xludf.DUMMYFUNCTION("""COMPUTED_VALUE"""),"\\MCA-S\mk\2_BM\0_BMat\08_PYM\Inventario\excel\Imagen de refacciones\Schwing\filtro hidráulico  (3)")</f>
        <v>\\MCA-S\mk\2_BM\0_BMat\08_PYM\Inventario\excel\Imagen de refacciones\Schwing\filtro hidráulico  (3)</v>
      </c>
      <c r="E1165" s="74" t="str">
        <f>IFERROR(__xludf.DUMMYFUNCTION("""COMPUTED_VALUE"""),"FILTER ELEMENT ")</f>
        <v>FILTER ELEMENT </v>
      </c>
      <c r="F1165" s="74" t="str">
        <f>IFERROR(__xludf.DUMMYFUNCTION("""COMPUTED_VALUE"""),"FILTRO HIDRAULICO ")</f>
        <v>FILTRO HIDRAULICO </v>
      </c>
      <c r="G1165" s="74"/>
      <c r="H1165" s="74"/>
      <c r="I1165" s="74" t="str">
        <f>IFERROR(__xludf.DUMMYFUNCTION("""COMPUTED_VALUE"""),"10190588")</f>
        <v>10190588</v>
      </c>
      <c r="J1165" s="74"/>
      <c r="K1165" s="74" t="str">
        <f>IFERROR(__xludf.DUMMYFUNCTION("""COMPUTED_VALUE"""),"Schwing")</f>
        <v>Schwing</v>
      </c>
      <c r="L1165" s="74" t="str">
        <f>IFERROR(__xludf.DUMMYFUNCTION("""COMPUTED_VALUE"""),"-----")</f>
        <v>-----</v>
      </c>
      <c r="M1165" s="74" t="str">
        <f>IFERROR(__xludf.DUMMYFUNCTION("""COMPUTED_VALUE"""),"FILTROS")</f>
        <v>FILTROS</v>
      </c>
      <c r="N1165" s="87">
        <f>IFERROR(__xludf.DUMMYFUNCTION("""COMPUTED_VALUE"""),2042.3999999999999)</f>
        <v>2042.4</v>
      </c>
      <c r="O1165" s="74">
        <f>IFERROR(__xludf.DUMMYFUNCTION("""COMPUTED_VALUE"""),6.0)</f>
        <v>6</v>
      </c>
      <c r="P1165" s="74" t="str">
        <f>IFERROR(__xludf.DUMMYFUNCTION("""COMPUTED_VALUE"""),"In stock")</f>
        <v>In stock</v>
      </c>
      <c r="Q1165" s="74"/>
      <c r="R1165" s="74"/>
      <c r="S1165" s="87">
        <f>IFERROR(__xludf.DUMMYFUNCTION("""COMPUTED_VALUE"""),12.0)</f>
        <v>12</v>
      </c>
      <c r="T1165" s="87">
        <f>IFERROR(__xludf.DUMMYFUNCTION("""COMPUTED_VALUE"""),115.0)</f>
        <v>115</v>
      </c>
      <c r="U1165" s="87">
        <f>IFERROR(__xludf.DUMMYFUNCTION("""COMPUTED_VALUE"""),110.39999999999999)</f>
        <v>110.4</v>
      </c>
      <c r="V1165" s="87">
        <f>IFERROR(__xludf.DUMMYFUNCTION("""COMPUTED_VALUE"""),14.7)</f>
        <v>14.7</v>
      </c>
      <c r="W1165" s="87">
        <f>IFERROR(__xludf.DUMMYFUNCTION("""COMPUTED_VALUE"""),275.625)</f>
        <v>275.625</v>
      </c>
      <c r="X1165" s="88">
        <f>IFERROR(__xludf.DUMMYFUNCTION("""COMPUTED_VALUE"""),9.2)</f>
        <v>9.2</v>
      </c>
      <c r="Y1165" s="74"/>
      <c r="Z1165" s="74"/>
    </row>
    <row r="1166">
      <c r="B1166" s="74" t="str">
        <f>IFERROR(__xludf.DUMMYFUNCTION("""COMPUTED_VALUE"""),"2164")</f>
        <v>2164</v>
      </c>
      <c r="C1166" s="74"/>
      <c r="D1166" s="74" t="str">
        <f>IFERROR(__xludf.DUMMYFUNCTION("""COMPUTED_VALUE"""),"\\MCA-S\mk\2_BM\0_BMat\08_PYM\Inventario\excel\Imagen de refacciones\Schwing\Flange Bushing D60_72_85 X 50_6 _ Casquillo de Brida D60_72_85 X 50_6")</f>
        <v>\\MCA-S\mk\2_BM\0_BMat\08_PYM\Inventario\excel\Imagen de refacciones\Schwing\Flange Bushing D60_72_85 X 50_6 _ Casquillo de Brida D60_72_85 X 50_6</v>
      </c>
      <c r="E1166" s="74"/>
      <c r="F1166" s="74" t="str">
        <f>IFERROR(__xludf.DUMMYFUNCTION("""COMPUTED_VALUE"""),"Flange Bushing D60/72/85 X 50/6 / Casquillo de Brida D60/72/85 X 50/6")</f>
        <v>Flange Bushing D60/72/85 X 50/6 / Casquillo de Brida D60/72/85 X 50/6</v>
      </c>
      <c r="G1166" s="74"/>
      <c r="H1166" s="74"/>
      <c r="I1166" s="74" t="str">
        <f>IFERROR(__xludf.DUMMYFUNCTION("""COMPUTED_VALUE"""),"SOM30174")</f>
        <v>SOM30174</v>
      </c>
      <c r="J1166" s="74" t="str">
        <f>IFERROR(__xludf.DUMMYFUNCTION("""COMPUTED_VALUE"""),"10061082")</f>
        <v>10061082</v>
      </c>
      <c r="K1166" s="74" t="str">
        <f>IFERROR(__xludf.DUMMYFUNCTION("""COMPUTED_VALUE"""),"Schwing")</f>
        <v>Schwing</v>
      </c>
      <c r="L1166" s="74" t="str">
        <f>IFERROR(__xludf.DUMMYFUNCTION("""COMPUTED_VALUE"""),"Transmisión Mecánica")</f>
        <v>Transmisión Mecánica</v>
      </c>
      <c r="M1166" s="74" t="str">
        <f>IFERROR(__xludf.DUMMYFUNCTION("""COMPUTED_VALUE"""),"Sin Asignar")</f>
        <v>Sin Asignar</v>
      </c>
      <c r="N1166" s="87">
        <f>IFERROR(__xludf.DUMMYFUNCTION("""COMPUTED_VALUE"""),0.0)</f>
        <v>0</v>
      </c>
      <c r="O1166" s="74"/>
      <c r="P1166" s="74" t="str">
        <f>IFERROR(__xludf.DUMMYFUNCTION("""COMPUTED_VALUE"""),"borrar")</f>
        <v>borrar</v>
      </c>
      <c r="Q1166" s="74"/>
      <c r="R1166" s="74"/>
      <c r="S1166" s="87">
        <f>IFERROR(__xludf.DUMMYFUNCTION("""COMPUTED_VALUE"""),0.0)</f>
        <v>0</v>
      </c>
      <c r="T1166" s="87">
        <f>IFERROR(__xludf.DUMMYFUNCTION("""COMPUTED_VALUE"""),0.0)</f>
        <v>0</v>
      </c>
      <c r="U1166" s="87">
        <f>IFERROR(__xludf.DUMMYFUNCTION("""COMPUTED_VALUE"""),0.0)</f>
        <v>0</v>
      </c>
      <c r="V1166" s="87">
        <f>IFERROR(__xludf.DUMMYFUNCTION("""COMPUTED_VALUE"""),0.0)</f>
        <v>0</v>
      </c>
      <c r="W1166" s="87">
        <f>IFERROR(__xludf.DUMMYFUNCTION("""COMPUTED_VALUE"""),0.0)</f>
        <v>0</v>
      </c>
      <c r="X1166" s="88"/>
      <c r="Y1166" s="74"/>
      <c r="Z1166" s="74"/>
    </row>
    <row r="1167">
      <c r="B1167" s="74" t="str">
        <f>IFERROR(__xludf.DUMMYFUNCTION("""COMPUTED_VALUE"""),"2165")</f>
        <v>2165</v>
      </c>
      <c r="C1167" s="74"/>
      <c r="D1167" s="74" t="str">
        <f>IFERROR(__xludf.DUMMYFUNCTION("""COMPUTED_VALUE"""),"\\MCA-S\mk\2_BM\0_BMat\08_PYM\Inventario\excel\Imagen de refacciones\Schwing\Flange Coupling _ Acoplamiento de Brida")</f>
        <v>\\MCA-S\mk\2_BM\0_BMat\08_PYM\Inventario\excel\Imagen de refacciones\Schwing\Flange Coupling _ Acoplamiento de Brida</v>
      </c>
      <c r="E1167" s="74"/>
      <c r="F1167" s="74" t="str">
        <f>IFERROR(__xludf.DUMMYFUNCTION("""COMPUTED_VALUE"""),"Flange Coupling / Acoplamiento de Brida")</f>
        <v>Flange Coupling / Acoplamiento de Brida</v>
      </c>
      <c r="G1167" s="74"/>
      <c r="H1167" s="74"/>
      <c r="I1167" s="74" t="str">
        <f>IFERROR(__xludf.DUMMYFUNCTION("""COMPUTED_VALUE"""),"SOM30098")</f>
        <v>SOM30098</v>
      </c>
      <c r="J1167" s="74" t="str">
        <f>IFERROR(__xludf.DUMMYFUNCTION("""COMPUTED_VALUE"""),"10011849")</f>
        <v>10011849</v>
      </c>
      <c r="K1167" s="74" t="str">
        <f>IFERROR(__xludf.DUMMYFUNCTION("""COMPUTED_VALUE"""),"Schwing")</f>
        <v>Schwing</v>
      </c>
      <c r="L1167" s="74" t="str">
        <f>IFERROR(__xludf.DUMMYFUNCTION("""COMPUTED_VALUE"""),"Componentes Estructurales y de Montaje")</f>
        <v>Componentes Estructurales y de Montaje</v>
      </c>
      <c r="M1167" s="74" t="str">
        <f>IFERROR(__xludf.DUMMYFUNCTION("""COMPUTED_VALUE"""),"Sin Asignar")</f>
        <v>Sin Asignar</v>
      </c>
      <c r="N1167" s="87">
        <f>IFERROR(__xludf.DUMMYFUNCTION("""COMPUTED_VALUE"""),0.0)</f>
        <v>0</v>
      </c>
      <c r="O1167" s="74"/>
      <c r="P1167" s="74" t="str">
        <f>IFERROR(__xludf.DUMMYFUNCTION("""COMPUTED_VALUE"""),"No Available")</f>
        <v>No Available</v>
      </c>
      <c r="Q1167" s="74"/>
      <c r="R1167" s="74"/>
      <c r="S1167" s="87">
        <f>IFERROR(__xludf.DUMMYFUNCTION("""COMPUTED_VALUE"""),0.0)</f>
        <v>0</v>
      </c>
      <c r="T1167" s="87">
        <f>IFERROR(__xludf.DUMMYFUNCTION("""COMPUTED_VALUE"""),0.0)</f>
        <v>0</v>
      </c>
      <c r="U1167" s="87">
        <f>IFERROR(__xludf.DUMMYFUNCTION("""COMPUTED_VALUE"""),0.0)</f>
        <v>0</v>
      </c>
      <c r="V1167" s="87">
        <f>IFERROR(__xludf.DUMMYFUNCTION("""COMPUTED_VALUE"""),0.0)</f>
        <v>0</v>
      </c>
      <c r="W1167" s="87">
        <f>IFERROR(__xludf.DUMMYFUNCTION("""COMPUTED_VALUE"""),0.0)</f>
        <v>0</v>
      </c>
      <c r="X1167" s="88"/>
      <c r="Y1167" s="74"/>
      <c r="Z1167" s="74"/>
    </row>
    <row r="1168">
      <c r="B1168" s="74" t="str">
        <f>IFERROR(__xludf.DUMMYFUNCTION("""COMPUTED_VALUE"""),"2166")</f>
        <v>2166</v>
      </c>
      <c r="C1168" s="74"/>
      <c r="D1168" s="74" t="str">
        <f>IFERROR(__xludf.DUMMYFUNCTION("""COMPUTED_VALUE"""),"\\MCA-S\mk\2_BM\0_BMat\08_PYM\Inventario\excel\Imagen de refacciones\Schwing\Flanged Bearing Closed _ Cojinete con Brida Cerrado")</f>
        <v>\\MCA-S\mk\2_BM\0_BMat\08_PYM\Inventario\excel\Imagen de refacciones\Schwing\Flanged Bearing Closed _ Cojinete con Brida Cerrado</v>
      </c>
      <c r="E1168" s="74"/>
      <c r="F1168" s="74" t="str">
        <f>IFERROR(__xludf.DUMMYFUNCTION("""COMPUTED_VALUE"""),"Flanged Bearing Closed / Cojinete con Brida Cerrado")</f>
        <v>Flanged Bearing Closed / Cojinete con Brida Cerrado</v>
      </c>
      <c r="G1168" s="74"/>
      <c r="H1168" s="74"/>
      <c r="I1168" s="74" t="str">
        <f>IFERROR(__xludf.DUMMYFUNCTION("""COMPUTED_VALUE"""),"SOM30176")</f>
        <v>SOM30176</v>
      </c>
      <c r="J1168" s="74" t="str">
        <f>IFERROR(__xludf.DUMMYFUNCTION("""COMPUTED_VALUE"""),"10017747")</f>
        <v>10017747</v>
      </c>
      <c r="K1168" s="74" t="str">
        <f>IFERROR(__xludf.DUMMYFUNCTION("""COMPUTED_VALUE"""),"Schwing")</f>
        <v>Schwing</v>
      </c>
      <c r="L1168" s="74" t="str">
        <f>IFERROR(__xludf.DUMMYFUNCTION("""COMPUTED_VALUE"""),"Transmisión Mecánica")</f>
        <v>Transmisión Mecánica</v>
      </c>
      <c r="M1168" s="74" t="str">
        <f>IFERROR(__xludf.DUMMYFUNCTION("""COMPUTED_VALUE"""),"Sin Asignar")</f>
        <v>Sin Asignar</v>
      </c>
      <c r="N1168" s="87">
        <f>IFERROR(__xludf.DUMMYFUNCTION("""COMPUTED_VALUE"""),0.0)</f>
        <v>0</v>
      </c>
      <c r="O1168" s="74"/>
      <c r="P1168" s="74" t="str">
        <f>IFERROR(__xludf.DUMMYFUNCTION("""COMPUTED_VALUE"""),"No Available")</f>
        <v>No Available</v>
      </c>
      <c r="Q1168" s="74"/>
      <c r="R1168" s="74"/>
      <c r="S1168" s="87">
        <f>IFERROR(__xludf.DUMMYFUNCTION("""COMPUTED_VALUE"""),0.0)</f>
        <v>0</v>
      </c>
      <c r="T1168" s="87">
        <f>IFERROR(__xludf.DUMMYFUNCTION("""COMPUTED_VALUE"""),0.0)</f>
        <v>0</v>
      </c>
      <c r="U1168" s="87">
        <f>IFERROR(__xludf.DUMMYFUNCTION("""COMPUTED_VALUE"""),0.0)</f>
        <v>0</v>
      </c>
      <c r="V1168" s="87">
        <f>IFERROR(__xludf.DUMMYFUNCTION("""COMPUTED_VALUE"""),0.0)</f>
        <v>0</v>
      </c>
      <c r="W1168" s="87">
        <f>IFERROR(__xludf.DUMMYFUNCTION("""COMPUTED_VALUE"""),0.0)</f>
        <v>0</v>
      </c>
      <c r="X1168" s="88"/>
      <c r="Y1168" s="74"/>
      <c r="Z1168" s="74"/>
    </row>
    <row r="1169">
      <c r="B1169" s="74" t="str">
        <f>IFERROR(__xludf.DUMMYFUNCTION("""COMPUTED_VALUE"""),"2167")</f>
        <v>2167</v>
      </c>
      <c r="C1169" s="74"/>
      <c r="D1169" s="74" t="str">
        <f>IFERROR(__xludf.DUMMYFUNCTION("""COMPUTED_VALUE"""),"\\MCA-S\mk\2_BM\0_BMat\08_PYM\Inventario\excel\Imagen de refacciones\Schwing\Flanged Bearing Open _ Cojinete con Brida Abierto")</f>
        <v>\\MCA-S\mk\2_BM\0_BMat\08_PYM\Inventario\excel\Imagen de refacciones\Schwing\Flanged Bearing Open _ Cojinete con Brida Abierto</v>
      </c>
      <c r="E1169" s="74"/>
      <c r="F1169" s="74" t="str">
        <f>IFERROR(__xludf.DUMMYFUNCTION("""COMPUTED_VALUE"""),"Flanged Bearing Open / Cojinete con Brida Abierto")</f>
        <v>Flanged Bearing Open / Cojinete con Brida Abierto</v>
      </c>
      <c r="G1169" s="74"/>
      <c r="H1169" s="74"/>
      <c r="I1169" s="74" t="str">
        <f>IFERROR(__xludf.DUMMYFUNCTION("""COMPUTED_VALUE"""),"SOM30177")</f>
        <v>SOM30177</v>
      </c>
      <c r="J1169" s="74" t="str">
        <f>IFERROR(__xludf.DUMMYFUNCTION("""COMPUTED_VALUE"""),"10004182")</f>
        <v>10004182</v>
      </c>
      <c r="K1169" s="74" t="str">
        <f>IFERROR(__xludf.DUMMYFUNCTION("""COMPUTED_VALUE"""),"Schwing")</f>
        <v>Schwing</v>
      </c>
      <c r="L1169" s="74" t="str">
        <f>IFERROR(__xludf.DUMMYFUNCTION("""COMPUTED_VALUE"""),"Transmisión Mecánica")</f>
        <v>Transmisión Mecánica</v>
      </c>
      <c r="M1169" s="74" t="str">
        <f>IFERROR(__xludf.DUMMYFUNCTION("""COMPUTED_VALUE"""),"Sin Asignar")</f>
        <v>Sin Asignar</v>
      </c>
      <c r="N1169" s="87">
        <f>IFERROR(__xludf.DUMMYFUNCTION("""COMPUTED_VALUE"""),0.0)</f>
        <v>0</v>
      </c>
      <c r="O1169" s="74"/>
      <c r="P1169" s="74" t="str">
        <f>IFERROR(__xludf.DUMMYFUNCTION("""COMPUTED_VALUE"""),"No Available")</f>
        <v>No Available</v>
      </c>
      <c r="Q1169" s="74"/>
      <c r="R1169" s="74"/>
      <c r="S1169" s="87">
        <f>IFERROR(__xludf.DUMMYFUNCTION("""COMPUTED_VALUE"""),0.0)</f>
        <v>0</v>
      </c>
      <c r="T1169" s="87">
        <f>IFERROR(__xludf.DUMMYFUNCTION("""COMPUTED_VALUE"""),0.0)</f>
        <v>0</v>
      </c>
      <c r="U1169" s="87">
        <f>IFERROR(__xludf.DUMMYFUNCTION("""COMPUTED_VALUE"""),0.0)</f>
        <v>0</v>
      </c>
      <c r="V1169" s="87">
        <f>IFERROR(__xludf.DUMMYFUNCTION("""COMPUTED_VALUE"""),0.0)</f>
        <v>0</v>
      </c>
      <c r="W1169" s="87">
        <f>IFERROR(__xludf.DUMMYFUNCTION("""COMPUTED_VALUE"""),0.0)</f>
        <v>0</v>
      </c>
      <c r="X1169" s="88"/>
      <c r="Y1169" s="74"/>
      <c r="Z1169" s="74"/>
    </row>
    <row r="1170">
      <c r="B1170" s="74" t="str">
        <f>IFERROR(__xludf.DUMMYFUNCTION("""COMPUTED_VALUE"""),"2168")</f>
        <v>2168</v>
      </c>
      <c r="C1170" s="74"/>
      <c r="D1170" s="74" t="str">
        <f>IFERROR(__xludf.DUMMYFUNCTION("""COMPUTED_VALUE"""),"\\MCA-S\mk\2_BM\0_BMat\08_PYM\Inventario\excel\Imagen de refacciones\Schwing\Flanged Shaft (Bearing Side) _ Eje con Brida (Lado del Cojinete)")</f>
        <v>\\MCA-S\mk\2_BM\0_BMat\08_PYM\Inventario\excel\Imagen de refacciones\Schwing\Flanged Shaft (Bearing Side) _ Eje con Brida (Lado del Cojinete)</v>
      </c>
      <c r="E1170" s="74"/>
      <c r="F1170" s="74" t="str">
        <f>IFERROR(__xludf.DUMMYFUNCTION("""COMPUTED_VALUE"""),"Flanged Shaft (Bearing Side) / Eje con Brida (Lado del Cojinete)")</f>
        <v>Flanged Shaft (Bearing Side) / Eje con Brida (Lado del Cojinete)</v>
      </c>
      <c r="G1170" s="74"/>
      <c r="H1170" s="74"/>
      <c r="I1170" s="74" t="str">
        <f>IFERROR(__xludf.DUMMYFUNCTION("""COMPUTED_VALUE"""),"SOM30178")</f>
        <v>SOM30178</v>
      </c>
      <c r="J1170" s="74" t="str">
        <f>IFERROR(__xludf.DUMMYFUNCTION("""COMPUTED_VALUE"""),"10004178")</f>
        <v>10004178</v>
      </c>
      <c r="K1170" s="74" t="str">
        <f>IFERROR(__xludf.DUMMYFUNCTION("""COMPUTED_VALUE"""),"Schwing")</f>
        <v>Schwing</v>
      </c>
      <c r="L1170" s="74" t="str">
        <f>IFERROR(__xludf.DUMMYFUNCTION("""COMPUTED_VALUE"""),"Transmisión Mecánica")</f>
        <v>Transmisión Mecánica</v>
      </c>
      <c r="M1170" s="74" t="str">
        <f>IFERROR(__xludf.DUMMYFUNCTION("""COMPUTED_VALUE"""),"Sin Asignar")</f>
        <v>Sin Asignar</v>
      </c>
      <c r="N1170" s="87">
        <f>IFERROR(__xludf.DUMMYFUNCTION("""COMPUTED_VALUE"""),0.0)</f>
        <v>0</v>
      </c>
      <c r="O1170" s="74"/>
      <c r="P1170" s="74" t="str">
        <f>IFERROR(__xludf.DUMMYFUNCTION("""COMPUTED_VALUE"""),"borrar")</f>
        <v>borrar</v>
      </c>
      <c r="Q1170" s="74"/>
      <c r="R1170" s="74"/>
      <c r="S1170" s="87">
        <f>IFERROR(__xludf.DUMMYFUNCTION("""COMPUTED_VALUE"""),0.0)</f>
        <v>0</v>
      </c>
      <c r="T1170" s="87">
        <f>IFERROR(__xludf.DUMMYFUNCTION("""COMPUTED_VALUE"""),0.0)</f>
        <v>0</v>
      </c>
      <c r="U1170" s="87">
        <f>IFERROR(__xludf.DUMMYFUNCTION("""COMPUTED_VALUE"""),0.0)</f>
        <v>0</v>
      </c>
      <c r="V1170" s="87">
        <f>IFERROR(__xludf.DUMMYFUNCTION("""COMPUTED_VALUE"""),0.0)</f>
        <v>0</v>
      </c>
      <c r="W1170" s="87">
        <f>IFERROR(__xludf.DUMMYFUNCTION("""COMPUTED_VALUE"""),0.0)</f>
        <v>0</v>
      </c>
      <c r="X1170" s="88"/>
      <c r="Y1170" s="74"/>
      <c r="Z1170" s="74"/>
    </row>
    <row r="1171">
      <c r="B1171" s="74" t="str">
        <f>IFERROR(__xludf.DUMMYFUNCTION("""COMPUTED_VALUE"""),"2169")</f>
        <v>2169</v>
      </c>
      <c r="C1171" s="74"/>
      <c r="D1171" s="74" t="str">
        <f>IFERROR(__xludf.DUMMYFUNCTION("""COMPUTED_VALUE"""),"\\MCA-S\mk\2_BM\0_BMat\08_PYM\Inventario\excel\Imagen de refacciones\Schwing\Flanged Shaft (Gear Side) _ Eje con Brida (Lado del Engranaje)")</f>
        <v>\\MCA-S\mk\2_BM\0_BMat\08_PYM\Inventario\excel\Imagen de refacciones\Schwing\Flanged Shaft (Gear Side) _ Eje con Brida (Lado del Engranaje)</v>
      </c>
      <c r="E1171" s="74"/>
      <c r="F1171" s="74" t="str">
        <f>IFERROR(__xludf.DUMMYFUNCTION("""COMPUTED_VALUE"""),"Flanged Shaft (Gear Side) / Eje con Brida (Lado del Engranaje)")</f>
        <v>Flanged Shaft (Gear Side) / Eje con Brida (Lado del Engranaje)</v>
      </c>
      <c r="G1171" s="74"/>
      <c r="H1171" s="74"/>
      <c r="I1171" s="74" t="str">
        <f>IFERROR(__xludf.DUMMYFUNCTION("""COMPUTED_VALUE"""),"SOM30179")</f>
        <v>SOM30179</v>
      </c>
      <c r="J1171" s="74" t="str">
        <f>IFERROR(__xludf.DUMMYFUNCTION("""COMPUTED_VALUE"""),"10004173")</f>
        <v>10004173</v>
      </c>
      <c r="K1171" s="74" t="str">
        <f>IFERROR(__xludf.DUMMYFUNCTION("""COMPUTED_VALUE"""),"Schwing")</f>
        <v>Schwing</v>
      </c>
      <c r="L1171" s="74" t="str">
        <f>IFERROR(__xludf.DUMMYFUNCTION("""COMPUTED_VALUE"""),"Transmisión Mecánica")</f>
        <v>Transmisión Mecánica</v>
      </c>
      <c r="M1171" s="74" t="str">
        <f>IFERROR(__xludf.DUMMYFUNCTION("""COMPUTED_VALUE"""),"Sin Asignar")</f>
        <v>Sin Asignar</v>
      </c>
      <c r="N1171" s="87">
        <f>IFERROR(__xludf.DUMMYFUNCTION("""COMPUTED_VALUE"""),0.0)</f>
        <v>0</v>
      </c>
      <c r="O1171" s="74"/>
      <c r="P1171" s="74" t="str">
        <f>IFERROR(__xludf.DUMMYFUNCTION("""COMPUTED_VALUE"""),"No Available")</f>
        <v>No Available</v>
      </c>
      <c r="Q1171" s="74"/>
      <c r="R1171" s="74"/>
      <c r="S1171" s="87">
        <f>IFERROR(__xludf.DUMMYFUNCTION("""COMPUTED_VALUE"""),0.0)</f>
        <v>0</v>
      </c>
      <c r="T1171" s="87">
        <f>IFERROR(__xludf.DUMMYFUNCTION("""COMPUTED_VALUE"""),0.0)</f>
        <v>0</v>
      </c>
      <c r="U1171" s="87">
        <f>IFERROR(__xludf.DUMMYFUNCTION("""COMPUTED_VALUE"""),0.0)</f>
        <v>0</v>
      </c>
      <c r="V1171" s="87">
        <f>IFERROR(__xludf.DUMMYFUNCTION("""COMPUTED_VALUE"""),0.0)</f>
        <v>0</v>
      </c>
      <c r="W1171" s="87">
        <f>IFERROR(__xludf.DUMMYFUNCTION("""COMPUTED_VALUE"""),0.0)</f>
        <v>0</v>
      </c>
      <c r="X1171" s="88"/>
      <c r="Y1171" s="74"/>
      <c r="Z1171" s="74"/>
    </row>
    <row r="1172">
      <c r="B1172" s="74" t="str">
        <f>IFERROR(__xludf.DUMMYFUNCTION("""COMPUTED_VALUE"""),"2170")</f>
        <v>2170</v>
      </c>
      <c r="C1172" s="74"/>
      <c r="D1172" s="74" t="str">
        <f>IFERROR(__xludf.DUMMYFUNCTION("""COMPUTED_VALUE"""),"\\MCA-S\mk\2_BM\0_BMat\08_PYM\Inventario\excel\Imagen de refacciones\Schwing\Flanged Shaft _ Eje con Brida")</f>
        <v>\\MCA-S\mk\2_BM\0_BMat\08_PYM\Inventario\excel\Imagen de refacciones\Schwing\Flanged Shaft _ Eje con Brida</v>
      </c>
      <c r="E1172" s="74"/>
      <c r="F1172" s="74" t="str">
        <f>IFERROR(__xludf.DUMMYFUNCTION("""COMPUTED_VALUE"""),"Flanged Shaft / Eje con Brida")</f>
        <v>Flanged Shaft / Eje con Brida</v>
      </c>
      <c r="G1172" s="74"/>
      <c r="H1172" s="74"/>
      <c r="I1172" s="74" t="str">
        <f>IFERROR(__xludf.DUMMYFUNCTION("""COMPUTED_VALUE"""),"SOM30166")</f>
        <v>SOM30166</v>
      </c>
      <c r="J1172" s="74" t="str">
        <f>IFERROR(__xludf.DUMMYFUNCTION("""COMPUTED_VALUE"""),"10061075")</f>
        <v>10061075</v>
      </c>
      <c r="K1172" s="74" t="str">
        <f>IFERROR(__xludf.DUMMYFUNCTION("""COMPUTED_VALUE"""),"Schwing")</f>
        <v>Schwing</v>
      </c>
      <c r="L1172" s="74" t="str">
        <f>IFERROR(__xludf.DUMMYFUNCTION("""COMPUTED_VALUE"""),"Transmisión Mecánica")</f>
        <v>Transmisión Mecánica</v>
      </c>
      <c r="M1172" s="74" t="str">
        <f>IFERROR(__xludf.DUMMYFUNCTION("""COMPUTED_VALUE"""),"Sin Asignar")</f>
        <v>Sin Asignar</v>
      </c>
      <c r="N1172" s="87">
        <f>IFERROR(__xludf.DUMMYFUNCTION("""COMPUTED_VALUE"""),0.0)</f>
        <v>0</v>
      </c>
      <c r="O1172" s="74"/>
      <c r="P1172" s="74" t="str">
        <f>IFERROR(__xludf.DUMMYFUNCTION("""COMPUTED_VALUE"""),"borrar")</f>
        <v>borrar</v>
      </c>
      <c r="Q1172" s="74"/>
      <c r="R1172" s="74"/>
      <c r="S1172" s="87">
        <f>IFERROR(__xludf.DUMMYFUNCTION("""COMPUTED_VALUE"""),0.0)</f>
        <v>0</v>
      </c>
      <c r="T1172" s="87">
        <f>IFERROR(__xludf.DUMMYFUNCTION("""COMPUTED_VALUE"""),0.0)</f>
        <v>0</v>
      </c>
      <c r="U1172" s="87">
        <f>IFERROR(__xludf.DUMMYFUNCTION("""COMPUTED_VALUE"""),0.0)</f>
        <v>0</v>
      </c>
      <c r="V1172" s="87">
        <f>IFERROR(__xludf.DUMMYFUNCTION("""COMPUTED_VALUE"""),0.0)</f>
        <v>0</v>
      </c>
      <c r="W1172" s="87">
        <f>IFERROR(__xludf.DUMMYFUNCTION("""COMPUTED_VALUE"""),0.0)</f>
        <v>0</v>
      </c>
      <c r="X1172" s="88"/>
      <c r="Y1172" s="74"/>
      <c r="Z1172" s="74"/>
    </row>
    <row r="1173">
      <c r="B1173" s="74" t="str">
        <f>IFERROR(__xludf.DUMMYFUNCTION("""COMPUTED_VALUE"""),"2171")</f>
        <v>2171</v>
      </c>
      <c r="C1173" s="74"/>
      <c r="D1173" s="74" t="str">
        <f>IFERROR(__xludf.DUMMYFUNCTION("""COMPUTED_VALUE"""),"\\MCA-S\mk\2_BM\0_BMat\08_PYM\Inventario\excel\Imagen de refacciones\Schwing\Flanged Shaft _ Eje con Brida (1)")</f>
        <v>\\MCA-S\mk\2_BM\0_BMat\08_PYM\Inventario\excel\Imagen de refacciones\Schwing\Flanged Shaft _ Eje con Brida (1)</v>
      </c>
      <c r="E1173" s="74"/>
      <c r="F1173" s="74" t="str">
        <f>IFERROR(__xludf.DUMMYFUNCTION("""COMPUTED_VALUE"""),"Flanged Shaft / Eje con Brida")</f>
        <v>Flanged Shaft / Eje con Brida</v>
      </c>
      <c r="G1173" s="74"/>
      <c r="H1173" s="74"/>
      <c r="I1173" s="74" t="str">
        <f>IFERROR(__xludf.DUMMYFUNCTION("""COMPUTED_VALUE"""),"SOM30172")</f>
        <v>SOM30172</v>
      </c>
      <c r="J1173" s="74" t="str">
        <f>IFERROR(__xludf.DUMMYFUNCTION("""COMPUTED_VALUE"""),"10061080")</f>
        <v>10061080</v>
      </c>
      <c r="K1173" s="74" t="str">
        <f>IFERROR(__xludf.DUMMYFUNCTION("""COMPUTED_VALUE"""),"Schwing")</f>
        <v>Schwing</v>
      </c>
      <c r="L1173" s="74" t="str">
        <f>IFERROR(__xludf.DUMMYFUNCTION("""COMPUTED_VALUE"""),"Transmisión Mecánica")</f>
        <v>Transmisión Mecánica</v>
      </c>
      <c r="M1173" s="74" t="str">
        <f>IFERROR(__xludf.DUMMYFUNCTION("""COMPUTED_VALUE"""),"Sin Asignar")</f>
        <v>Sin Asignar</v>
      </c>
      <c r="N1173" s="87">
        <f>IFERROR(__xludf.DUMMYFUNCTION("""COMPUTED_VALUE"""),0.0)</f>
        <v>0</v>
      </c>
      <c r="O1173" s="74"/>
      <c r="P1173" s="74" t="str">
        <f>IFERROR(__xludf.DUMMYFUNCTION("""COMPUTED_VALUE"""),"borrar")</f>
        <v>borrar</v>
      </c>
      <c r="Q1173" s="74"/>
      <c r="R1173" s="74"/>
      <c r="S1173" s="87">
        <f>IFERROR(__xludf.DUMMYFUNCTION("""COMPUTED_VALUE"""),0.0)</f>
        <v>0</v>
      </c>
      <c r="T1173" s="87">
        <f>IFERROR(__xludf.DUMMYFUNCTION("""COMPUTED_VALUE"""),0.0)</f>
        <v>0</v>
      </c>
      <c r="U1173" s="87">
        <f>IFERROR(__xludf.DUMMYFUNCTION("""COMPUTED_VALUE"""),0.0)</f>
        <v>0</v>
      </c>
      <c r="V1173" s="87">
        <f>IFERROR(__xludf.DUMMYFUNCTION("""COMPUTED_VALUE"""),0.0)</f>
        <v>0</v>
      </c>
      <c r="W1173" s="87">
        <f>IFERROR(__xludf.DUMMYFUNCTION("""COMPUTED_VALUE"""),0.0)</f>
        <v>0</v>
      </c>
      <c r="X1173" s="88"/>
      <c r="Y1173" s="74"/>
      <c r="Z1173" s="74"/>
    </row>
    <row r="1174">
      <c r="B1174" s="74" t="str">
        <f>IFERROR(__xludf.DUMMYFUNCTION("""COMPUTED_VALUE"""),"2172")</f>
        <v>2172</v>
      </c>
      <c r="C1174" s="74"/>
      <c r="D1174" s="74" t="str">
        <f>IFERROR(__xludf.DUMMYFUNCTION("""COMPUTED_VALUE"""),"\\MCA-S\mk\2_BM\0_BMat\08_PYM\Inventario\excel\Imagen de refacciones\Schwing\Flat Gate Valve 180_55_25 _ Válvula de Compuerta Plana 180_55_25")</f>
        <v>\\MCA-S\mk\2_BM\0_BMat\08_PYM\Inventario\excel\Imagen de refacciones\Schwing\Flat Gate Valve 180_55_25 _ Válvula de Compuerta Plana 180_55_25</v>
      </c>
      <c r="E1174" s="74"/>
      <c r="F1174" s="74" t="str">
        <f>IFERROR(__xludf.DUMMYFUNCTION("""COMPUTED_VALUE"""),"Flat Gate Valve 180/55/25 / Válvula de Compuerta Plana 180/55/25")</f>
        <v>Flat Gate Valve 180/55/25 / Válvula de Compuerta Plana 180/55/25</v>
      </c>
      <c r="G1174" s="74"/>
      <c r="H1174" s="74"/>
      <c r="I1174" s="74" t="str">
        <f>IFERROR(__xludf.DUMMYFUNCTION("""COMPUTED_VALUE"""),"SOM30181")</f>
        <v>SOM30181</v>
      </c>
      <c r="J1174" s="74" t="str">
        <f>IFERROR(__xludf.DUMMYFUNCTION("""COMPUTED_VALUE"""),"10002348")</f>
        <v>10002348</v>
      </c>
      <c r="K1174" s="74" t="str">
        <f>IFERROR(__xludf.DUMMYFUNCTION("""COMPUTED_VALUE"""),"Schwing")</f>
        <v>Schwing</v>
      </c>
      <c r="L1174" s="74" t="str">
        <f>IFERROR(__xludf.DUMMYFUNCTION("""COMPUTED_VALUE"""),"Sistema de Bombeo de Concreto")</f>
        <v>Sistema de Bombeo de Concreto</v>
      </c>
      <c r="M1174" s="74" t="str">
        <f>IFERROR(__xludf.DUMMYFUNCTION("""COMPUTED_VALUE"""),"Sin Asignar")</f>
        <v>Sin Asignar</v>
      </c>
      <c r="N1174" s="87">
        <f>IFERROR(__xludf.DUMMYFUNCTION("""COMPUTED_VALUE"""),0.0)</f>
        <v>0</v>
      </c>
      <c r="O1174" s="74"/>
      <c r="P1174" s="74" t="str">
        <f>IFERROR(__xludf.DUMMYFUNCTION("""COMPUTED_VALUE"""),"borrar")</f>
        <v>borrar</v>
      </c>
      <c r="Q1174" s="74"/>
      <c r="R1174" s="74"/>
      <c r="S1174" s="87">
        <f>IFERROR(__xludf.DUMMYFUNCTION("""COMPUTED_VALUE"""),0.0)</f>
        <v>0</v>
      </c>
      <c r="T1174" s="87">
        <f>IFERROR(__xludf.DUMMYFUNCTION("""COMPUTED_VALUE"""),0.0)</f>
        <v>0</v>
      </c>
      <c r="U1174" s="87">
        <f>IFERROR(__xludf.DUMMYFUNCTION("""COMPUTED_VALUE"""),0.0)</f>
        <v>0</v>
      </c>
      <c r="V1174" s="87">
        <f>IFERROR(__xludf.DUMMYFUNCTION("""COMPUTED_VALUE"""),0.0)</f>
        <v>0</v>
      </c>
      <c r="W1174" s="87">
        <f>IFERROR(__xludf.DUMMYFUNCTION("""COMPUTED_VALUE"""),0.0)</f>
        <v>0</v>
      </c>
      <c r="X1174" s="88"/>
      <c r="Y1174" s="74"/>
      <c r="Z1174" s="74"/>
    </row>
    <row r="1175">
      <c r="B1175" s="74" t="str">
        <f>IFERROR(__xludf.DUMMYFUNCTION("""COMPUTED_VALUE"""),"2173")</f>
        <v>2173</v>
      </c>
      <c r="C1175" s="74"/>
      <c r="D1175" s="74" t="str">
        <f>IFERROR(__xludf.DUMMYFUNCTION("""COMPUTED_VALUE"""),"\\MCA-S\mk\2_BM\0_BMat\08_PYM\Inventario\excel\Imagen de refacciones\Schwing\Guide Bushing _ Casquillo Guía")</f>
        <v>\\MCA-S\mk\2_BM\0_BMat\08_PYM\Inventario\excel\Imagen de refacciones\Schwing\Guide Bushing _ Casquillo Guía</v>
      </c>
      <c r="E1175" s="74"/>
      <c r="F1175" s="74" t="str">
        <f>IFERROR(__xludf.DUMMYFUNCTION("""COMPUTED_VALUE"""),"Guide Bushing / Casquillo Guía")</f>
        <v>Guide Bushing / Casquillo Guía</v>
      </c>
      <c r="G1175" s="74"/>
      <c r="H1175" s="74"/>
      <c r="I1175" s="74" t="str">
        <f>IFERROR(__xludf.DUMMYFUNCTION("""COMPUTED_VALUE"""),"SOM30137")</f>
        <v>SOM30137</v>
      </c>
      <c r="J1175" s="74" t="str">
        <f>IFERROR(__xludf.DUMMYFUNCTION("""COMPUTED_VALUE"""),"10004874")</f>
        <v>10004874</v>
      </c>
      <c r="K1175" s="74" t="str">
        <f>IFERROR(__xludf.DUMMYFUNCTION("""COMPUTED_VALUE"""),"Schwing")</f>
        <v>Schwing</v>
      </c>
      <c r="L1175" s="74" t="str">
        <f>IFERROR(__xludf.DUMMYFUNCTION("""COMPUTED_VALUE"""),"Transmisión Mecánica")</f>
        <v>Transmisión Mecánica</v>
      </c>
      <c r="M1175" s="74" t="str">
        <f>IFERROR(__xludf.DUMMYFUNCTION("""COMPUTED_VALUE"""),"Sin Asignar")</f>
        <v>Sin Asignar</v>
      </c>
      <c r="N1175" s="87">
        <f>IFERROR(__xludf.DUMMYFUNCTION("""COMPUTED_VALUE"""),0.0)</f>
        <v>0</v>
      </c>
      <c r="O1175" s="74"/>
      <c r="P1175" s="74" t="str">
        <f>IFERROR(__xludf.DUMMYFUNCTION("""COMPUTED_VALUE"""),"No Available")</f>
        <v>No Available</v>
      </c>
      <c r="Q1175" s="74"/>
      <c r="R1175" s="74"/>
      <c r="S1175" s="87">
        <f>IFERROR(__xludf.DUMMYFUNCTION("""COMPUTED_VALUE"""),0.0)</f>
        <v>0</v>
      </c>
      <c r="T1175" s="87">
        <f>IFERROR(__xludf.DUMMYFUNCTION("""COMPUTED_VALUE"""),0.0)</f>
        <v>0</v>
      </c>
      <c r="U1175" s="87">
        <f>IFERROR(__xludf.DUMMYFUNCTION("""COMPUTED_VALUE"""),0.0)</f>
        <v>0</v>
      </c>
      <c r="V1175" s="87">
        <f>IFERROR(__xludf.DUMMYFUNCTION("""COMPUTED_VALUE"""),0.0)</f>
        <v>0</v>
      </c>
      <c r="W1175" s="87">
        <f>IFERROR(__xludf.DUMMYFUNCTION("""COMPUTED_VALUE"""),0.0)</f>
        <v>0</v>
      </c>
      <c r="X1175" s="88"/>
      <c r="Y1175" s="74"/>
      <c r="Z1175" s="74"/>
    </row>
    <row r="1176">
      <c r="B1176" s="74" t="str">
        <f>IFERROR(__xludf.DUMMYFUNCTION("""COMPUTED_VALUE"""),"2174")</f>
        <v>2174</v>
      </c>
      <c r="C1176" s="74"/>
      <c r="D1176" s="74" t="str">
        <f>IFERROR(__xludf.DUMMYFUNCTION("""COMPUTED_VALUE"""),"\\MCA-S\mk\2_BM\0_BMat\08_PYM\Inventario\excel\Imagen de refacciones\Schwing\Guide Bushing _ Casquillo Guía (1)")</f>
        <v>\\MCA-S\mk\2_BM\0_BMat\08_PYM\Inventario\excel\Imagen de refacciones\Schwing\Guide Bushing _ Casquillo Guía (1)</v>
      </c>
      <c r="E1176" s="74"/>
      <c r="F1176" s="74" t="str">
        <f>IFERROR(__xludf.DUMMYFUNCTION("""COMPUTED_VALUE"""),"Guide Bushing / Casquillo Guía")</f>
        <v>Guide Bushing / Casquillo Guía</v>
      </c>
      <c r="G1176" s="74"/>
      <c r="H1176" s="74"/>
      <c r="I1176" s="74" t="str">
        <f>IFERROR(__xludf.DUMMYFUNCTION("""COMPUTED_VALUE"""),"SOM30185")</f>
        <v>SOM30185</v>
      </c>
      <c r="J1176" s="74" t="str">
        <f>IFERROR(__xludf.DUMMYFUNCTION("""COMPUTED_VALUE"""),"10013830")</f>
        <v>10013830</v>
      </c>
      <c r="K1176" s="74" t="str">
        <f>IFERROR(__xludf.DUMMYFUNCTION("""COMPUTED_VALUE"""),"Schwing")</f>
        <v>Schwing</v>
      </c>
      <c r="L1176" s="74" t="str">
        <f>IFERROR(__xludf.DUMMYFUNCTION("""COMPUTED_VALUE"""),"Transmisión Mecánica")</f>
        <v>Transmisión Mecánica</v>
      </c>
      <c r="M1176" s="74" t="str">
        <f>IFERROR(__xludf.DUMMYFUNCTION("""COMPUTED_VALUE"""),"Sin Asignar")</f>
        <v>Sin Asignar</v>
      </c>
      <c r="N1176" s="87">
        <f>IFERROR(__xludf.DUMMYFUNCTION("""COMPUTED_VALUE"""),0.0)</f>
        <v>0</v>
      </c>
      <c r="O1176" s="74"/>
      <c r="P1176" s="74" t="str">
        <f>IFERROR(__xludf.DUMMYFUNCTION("""COMPUTED_VALUE"""),"borrar")</f>
        <v>borrar</v>
      </c>
      <c r="Q1176" s="74"/>
      <c r="R1176" s="74"/>
      <c r="S1176" s="87">
        <f>IFERROR(__xludf.DUMMYFUNCTION("""COMPUTED_VALUE"""),0.0)</f>
        <v>0</v>
      </c>
      <c r="T1176" s="87">
        <f>IFERROR(__xludf.DUMMYFUNCTION("""COMPUTED_VALUE"""),0.0)</f>
        <v>0</v>
      </c>
      <c r="U1176" s="87">
        <f>IFERROR(__xludf.DUMMYFUNCTION("""COMPUTED_VALUE"""),0.0)</f>
        <v>0</v>
      </c>
      <c r="V1176" s="87">
        <f>IFERROR(__xludf.DUMMYFUNCTION("""COMPUTED_VALUE"""),0.0)</f>
        <v>0</v>
      </c>
      <c r="W1176" s="87">
        <f>IFERROR(__xludf.DUMMYFUNCTION("""COMPUTED_VALUE"""),0.0)</f>
        <v>0</v>
      </c>
      <c r="X1176" s="88"/>
      <c r="Y1176" s="74"/>
      <c r="Z1176" s="74"/>
    </row>
    <row r="1177">
      <c r="B1177" s="74" t="str">
        <f>IFERROR(__xludf.DUMMYFUNCTION("""COMPUTED_VALUE"""),"2175")</f>
        <v>2175</v>
      </c>
      <c r="C1177" s="74"/>
      <c r="D1177" s="74" t="str">
        <f>IFERROR(__xludf.DUMMYFUNCTION("""COMPUTED_VALUE"""),"\\MCA-S\mk\2_BM\0_BMat\08_PYM\Inventario\excel\Imagen de refacciones\Schwing\Guide Bushing 1200-2023 _ Casquillo Guía 1200-2023")</f>
        <v>\\MCA-S\mk\2_BM\0_BMat\08_PYM\Inventario\excel\Imagen de refacciones\Schwing\Guide Bushing 1200-2023 _ Casquillo Guía 1200-2023</v>
      </c>
      <c r="E1177" s="74"/>
      <c r="F1177" s="74" t="str">
        <f>IFERROR(__xludf.DUMMYFUNCTION("""COMPUTED_VALUE"""),"Guide Bushing 1200-2023 / Casquillo Guía 1200-2023")</f>
        <v>Guide Bushing 1200-2023 / Casquillo Guía 1200-2023</v>
      </c>
      <c r="G1177" s="74"/>
      <c r="H1177" s="74"/>
      <c r="I1177" s="74" t="str">
        <f>IFERROR(__xludf.DUMMYFUNCTION("""COMPUTED_VALUE"""),"SOM30135")</f>
        <v>SOM30135</v>
      </c>
      <c r="J1177" s="74" t="str">
        <f>IFERROR(__xludf.DUMMYFUNCTION("""COMPUTED_VALUE"""),"10165544")</f>
        <v>10165544</v>
      </c>
      <c r="K1177" s="74" t="str">
        <f>IFERROR(__xludf.DUMMYFUNCTION("""COMPUTED_VALUE"""),"Schwing")</f>
        <v>Schwing</v>
      </c>
      <c r="L1177" s="74" t="str">
        <f>IFERROR(__xludf.DUMMYFUNCTION("""COMPUTED_VALUE"""),"Transmisión Mecánica")</f>
        <v>Transmisión Mecánica</v>
      </c>
      <c r="M1177" s="74" t="str">
        <f>IFERROR(__xludf.DUMMYFUNCTION("""COMPUTED_VALUE"""),"Sin Asignar")</f>
        <v>Sin Asignar</v>
      </c>
      <c r="N1177" s="87">
        <f>IFERROR(__xludf.DUMMYFUNCTION("""COMPUTED_VALUE"""),0.0)</f>
        <v>0</v>
      </c>
      <c r="O1177" s="74"/>
      <c r="P1177" s="74" t="str">
        <f>IFERROR(__xludf.DUMMYFUNCTION("""COMPUTED_VALUE"""),"No Available")</f>
        <v>No Available</v>
      </c>
      <c r="Q1177" s="74"/>
      <c r="R1177" s="74"/>
      <c r="S1177" s="87">
        <f>IFERROR(__xludf.DUMMYFUNCTION("""COMPUTED_VALUE"""),0.0)</f>
        <v>0</v>
      </c>
      <c r="T1177" s="87">
        <f>IFERROR(__xludf.DUMMYFUNCTION("""COMPUTED_VALUE"""),0.0)</f>
        <v>0</v>
      </c>
      <c r="U1177" s="87">
        <f>IFERROR(__xludf.DUMMYFUNCTION("""COMPUTED_VALUE"""),0.0)</f>
        <v>0</v>
      </c>
      <c r="V1177" s="87">
        <f>IFERROR(__xludf.DUMMYFUNCTION("""COMPUTED_VALUE"""),0.0)</f>
        <v>0</v>
      </c>
      <c r="W1177" s="87">
        <f>IFERROR(__xludf.DUMMYFUNCTION("""COMPUTED_VALUE"""),0.0)</f>
        <v>0</v>
      </c>
      <c r="X1177" s="88"/>
      <c r="Y1177" s="74"/>
      <c r="Z1177" s="74"/>
    </row>
    <row r="1178">
      <c r="B1178" s="74" t="str">
        <f>IFERROR(__xludf.DUMMYFUNCTION("""COMPUTED_VALUE"""),"2176")</f>
        <v>2176</v>
      </c>
      <c r="C1178" s="74"/>
      <c r="D1178" s="74" t="str">
        <f>IFERROR(__xludf.DUMMYFUNCTION("""COMPUTED_VALUE"""),"\\MCA-S\mk\2_BM\0_BMat\08_PYM\Inventario\excel\Imagen de refacciones\Schwing\Guide Bushing 2023 120_80 _ Casquillo Guía 2023 120_80")</f>
        <v>\\MCA-S\mk\2_BM\0_BMat\08_PYM\Inventario\excel\Imagen de refacciones\Schwing\Guide Bushing 2023 120_80 _ Casquillo Guía 2023 120_80</v>
      </c>
      <c r="E1178" s="74"/>
      <c r="F1178" s="74" t="str">
        <f>IFERROR(__xludf.DUMMYFUNCTION("""COMPUTED_VALUE"""),"Guide Bushing 2023 120/80 / Casquillo Guía 2023 120/80")</f>
        <v>Guide Bushing 2023 120/80 / Casquillo Guía 2023 120/80</v>
      </c>
      <c r="G1178" s="74"/>
      <c r="H1178" s="74"/>
      <c r="I1178" s="74" t="str">
        <f>IFERROR(__xludf.DUMMYFUNCTION("""COMPUTED_VALUE"""),"SOM30136")</f>
        <v>SOM30136</v>
      </c>
      <c r="J1178" s="74" t="str">
        <f>IFERROR(__xludf.DUMMYFUNCTION("""COMPUTED_VALUE"""),"10202071")</f>
        <v>10202071</v>
      </c>
      <c r="K1178" s="74" t="str">
        <f>IFERROR(__xludf.DUMMYFUNCTION("""COMPUTED_VALUE"""),"Schwing")</f>
        <v>Schwing</v>
      </c>
      <c r="L1178" s="74" t="str">
        <f>IFERROR(__xludf.DUMMYFUNCTION("""COMPUTED_VALUE"""),"Transmisión Mecánica")</f>
        <v>Transmisión Mecánica</v>
      </c>
      <c r="M1178" s="74" t="str">
        <f>IFERROR(__xludf.DUMMYFUNCTION("""COMPUTED_VALUE"""),"Sin Asignar")</f>
        <v>Sin Asignar</v>
      </c>
      <c r="N1178" s="87">
        <f>IFERROR(__xludf.DUMMYFUNCTION("""COMPUTED_VALUE"""),0.0)</f>
        <v>0</v>
      </c>
      <c r="O1178" s="74"/>
      <c r="P1178" s="74" t="str">
        <f>IFERROR(__xludf.DUMMYFUNCTION("""COMPUTED_VALUE"""),"No Available")</f>
        <v>No Available</v>
      </c>
      <c r="Q1178" s="74"/>
      <c r="R1178" s="74"/>
      <c r="S1178" s="87">
        <f>IFERROR(__xludf.DUMMYFUNCTION("""COMPUTED_VALUE"""),0.0)</f>
        <v>0</v>
      </c>
      <c r="T1178" s="87">
        <f>IFERROR(__xludf.DUMMYFUNCTION("""COMPUTED_VALUE"""),0.0)</f>
        <v>0</v>
      </c>
      <c r="U1178" s="87">
        <f>IFERROR(__xludf.DUMMYFUNCTION("""COMPUTED_VALUE"""),0.0)</f>
        <v>0</v>
      </c>
      <c r="V1178" s="87">
        <f>IFERROR(__xludf.DUMMYFUNCTION("""COMPUTED_VALUE"""),0.0)</f>
        <v>0</v>
      </c>
      <c r="W1178" s="87">
        <f>IFERROR(__xludf.DUMMYFUNCTION("""COMPUTED_VALUE"""),0.0)</f>
        <v>0</v>
      </c>
      <c r="X1178" s="88"/>
      <c r="Y1178" s="74"/>
      <c r="Z1178" s="74"/>
    </row>
    <row r="1179">
      <c r="B1179" s="74" t="str">
        <f>IFERROR(__xludf.DUMMYFUNCTION("""COMPUTED_VALUE"""),"2177")</f>
        <v>2177</v>
      </c>
      <c r="C1179" s="74"/>
      <c r="D1179" s="74" t="str">
        <f>IFERROR(__xludf.DUMMYFUNCTION("""COMPUTED_VALUE"""),"\\MCA-S\mk\2_BM\0_BMat\08_PYM\Inventario\excel\Imagen de refacciones\Schwing\Hexagon Head Bolt DIN 931 _ Perno de Cabeza Hexagonal DIN 931")</f>
        <v>\\MCA-S\mk\2_BM\0_BMat\08_PYM\Inventario\excel\Imagen de refacciones\Schwing\Hexagon Head Bolt DIN 931 _ Perno de Cabeza Hexagonal DIN 931</v>
      </c>
      <c r="E1179" s="74"/>
      <c r="F1179" s="74" t="str">
        <f>IFERROR(__xludf.DUMMYFUNCTION("""COMPUTED_VALUE"""),"Hexagon Head Bolt DIN 931 / Perno de Cabeza Hexagonal DIN 931")</f>
        <v>Hexagon Head Bolt DIN 931 / Perno de Cabeza Hexagonal DIN 931</v>
      </c>
      <c r="G1179" s="74"/>
      <c r="H1179" s="74"/>
      <c r="I1179" s="74" t="str">
        <f>IFERROR(__xludf.DUMMYFUNCTION("""COMPUTED_VALUE"""),"SOM30033")</f>
        <v>SOM30033</v>
      </c>
      <c r="J1179" s="74" t="str">
        <f>IFERROR(__xludf.DUMMYFUNCTION("""COMPUTED_VALUE"""),"10001295")</f>
        <v>10001295</v>
      </c>
      <c r="K1179" s="74" t="str">
        <f>IFERROR(__xludf.DUMMYFUNCTION("""COMPUTED_VALUE"""),"Schwing")</f>
        <v>Schwing</v>
      </c>
      <c r="L1179" s="74" t="str">
        <f>IFERROR(__xludf.DUMMYFUNCTION("""COMPUTED_VALUE"""),"Componentes Estructurales y de Montaje")</f>
        <v>Componentes Estructurales y de Montaje</v>
      </c>
      <c r="M1179" s="74" t="str">
        <f>IFERROR(__xludf.DUMMYFUNCTION("""COMPUTED_VALUE"""),"Sin Asignar")</f>
        <v>Sin Asignar</v>
      </c>
      <c r="N1179" s="87">
        <f>IFERROR(__xludf.DUMMYFUNCTION("""COMPUTED_VALUE"""),0.0)</f>
        <v>0</v>
      </c>
      <c r="O1179" s="74"/>
      <c r="P1179" s="74" t="str">
        <f>IFERROR(__xludf.DUMMYFUNCTION("""COMPUTED_VALUE"""),"borrar")</f>
        <v>borrar</v>
      </c>
      <c r="Q1179" s="74"/>
      <c r="R1179" s="74"/>
      <c r="S1179" s="87">
        <f>IFERROR(__xludf.DUMMYFUNCTION("""COMPUTED_VALUE"""),0.0)</f>
        <v>0</v>
      </c>
      <c r="T1179" s="87">
        <f>IFERROR(__xludf.DUMMYFUNCTION("""COMPUTED_VALUE"""),0.0)</f>
        <v>0</v>
      </c>
      <c r="U1179" s="87">
        <f>IFERROR(__xludf.DUMMYFUNCTION("""COMPUTED_VALUE"""),0.0)</f>
        <v>0</v>
      </c>
      <c r="V1179" s="87">
        <f>IFERROR(__xludf.DUMMYFUNCTION("""COMPUTED_VALUE"""),0.0)</f>
        <v>0</v>
      </c>
      <c r="W1179" s="87">
        <f>IFERROR(__xludf.DUMMYFUNCTION("""COMPUTED_VALUE"""),0.0)</f>
        <v>0</v>
      </c>
      <c r="X1179" s="88"/>
      <c r="Y1179" s="74"/>
      <c r="Z1179" s="74"/>
    </row>
    <row r="1180">
      <c r="B1180" s="74" t="str">
        <f>IFERROR(__xludf.DUMMYFUNCTION("""COMPUTED_VALUE"""),"2178")</f>
        <v>2178</v>
      </c>
      <c r="C1180" s="74"/>
      <c r="D1180" s="74" t="str">
        <f>IFERROR(__xludf.DUMMYFUNCTION("""COMPUTED_VALUE"""),"\\MCA-S\mk\2_BM\0_BMat\08_PYM\Inventario\excel\Imagen de refacciones\Schwing\Hinge _ Bisagra")</f>
        <v>\\MCA-S\mk\2_BM\0_BMat\08_PYM\Inventario\excel\Imagen de refacciones\Schwing\Hinge _ Bisagra</v>
      </c>
      <c r="E1180" s="74"/>
      <c r="F1180" s="74" t="str">
        <f>IFERROR(__xludf.DUMMYFUNCTION("""COMPUTED_VALUE"""),"Hinge / Bisagra")</f>
        <v>Hinge / Bisagra</v>
      </c>
      <c r="G1180" s="74"/>
      <c r="H1180" s="74"/>
      <c r="I1180" s="74" t="str">
        <f>IFERROR(__xludf.DUMMYFUNCTION("""COMPUTED_VALUE"""),"SOM30252")</f>
        <v>SOM30252</v>
      </c>
      <c r="J1180" s="74" t="str">
        <f>IFERROR(__xludf.DUMMYFUNCTION("""COMPUTED_VALUE"""),"10018123")</f>
        <v>10018123</v>
      </c>
      <c r="K1180" s="74" t="str">
        <f>IFERROR(__xludf.DUMMYFUNCTION("""COMPUTED_VALUE"""),"Schwing")</f>
        <v>Schwing</v>
      </c>
      <c r="L1180" s="74" t="str">
        <f>IFERROR(__xludf.DUMMYFUNCTION("""COMPUTED_VALUE"""),"Componentes Estructurales y de Montaje")</f>
        <v>Componentes Estructurales y de Montaje</v>
      </c>
      <c r="M1180" s="74" t="str">
        <f>IFERROR(__xludf.DUMMYFUNCTION("""COMPUTED_VALUE"""),"Sin Asignar")</f>
        <v>Sin Asignar</v>
      </c>
      <c r="N1180" s="87">
        <f>IFERROR(__xludf.DUMMYFUNCTION("""COMPUTED_VALUE"""),0.0)</f>
        <v>0</v>
      </c>
      <c r="O1180" s="74"/>
      <c r="P1180" s="74" t="str">
        <f>IFERROR(__xludf.DUMMYFUNCTION("""COMPUTED_VALUE"""),"No Available")</f>
        <v>No Available</v>
      </c>
      <c r="Q1180" s="74"/>
      <c r="R1180" s="74"/>
      <c r="S1180" s="87">
        <f>IFERROR(__xludf.DUMMYFUNCTION("""COMPUTED_VALUE"""),0.0)</f>
        <v>0</v>
      </c>
      <c r="T1180" s="87">
        <f>IFERROR(__xludf.DUMMYFUNCTION("""COMPUTED_VALUE"""),0.0)</f>
        <v>0</v>
      </c>
      <c r="U1180" s="87">
        <f>IFERROR(__xludf.DUMMYFUNCTION("""COMPUTED_VALUE"""),0.0)</f>
        <v>0</v>
      </c>
      <c r="V1180" s="87">
        <f>IFERROR(__xludf.DUMMYFUNCTION("""COMPUTED_VALUE"""),0.0)</f>
        <v>0</v>
      </c>
      <c r="W1180" s="87">
        <f>IFERROR(__xludf.DUMMYFUNCTION("""COMPUTED_VALUE"""),0.0)</f>
        <v>0</v>
      </c>
      <c r="X1180" s="88"/>
      <c r="Y1180" s="74"/>
      <c r="Z1180" s="74"/>
    </row>
    <row r="1181">
      <c r="B1181" s="74" t="str">
        <f>IFERROR(__xludf.DUMMYFUNCTION("""COMPUTED_VALUE"""),"2179")</f>
        <v>2179</v>
      </c>
      <c r="C1181" s="74"/>
      <c r="D1181" s="74" t="str">
        <f>IFERROR(__xludf.DUMMYFUNCTION("""COMPUTED_VALUE"""),"\\MCA-S\mk\2_BM\0_BMat\08_PYM\Inventario\excel\Imagen de refacciones\Schwing\Hollow Shaft _ Eje Hueco")</f>
        <v>\\MCA-S\mk\2_BM\0_BMat\08_PYM\Inventario\excel\Imagen de refacciones\Schwing\Hollow Shaft _ Eje Hueco</v>
      </c>
      <c r="E1181" s="74"/>
      <c r="F1181" s="74" t="str">
        <f>IFERROR(__xludf.DUMMYFUNCTION("""COMPUTED_VALUE"""),"Hollow Shaft / Eje Hueco")</f>
        <v>Hollow Shaft / Eje Hueco</v>
      </c>
      <c r="G1181" s="74"/>
      <c r="H1181" s="74"/>
      <c r="I1181" s="74" t="str">
        <f>IFERROR(__xludf.DUMMYFUNCTION("""COMPUTED_VALUE"""),"SOM30223")</f>
        <v>SOM30223</v>
      </c>
      <c r="J1181" s="74" t="str">
        <f>IFERROR(__xludf.DUMMYFUNCTION("""COMPUTED_VALUE"""),"10037454")</f>
        <v>10037454</v>
      </c>
      <c r="K1181" s="74" t="str">
        <f>IFERROR(__xludf.DUMMYFUNCTION("""COMPUTED_VALUE"""),"Schwing")</f>
        <v>Schwing</v>
      </c>
      <c r="L1181" s="74" t="str">
        <f>IFERROR(__xludf.DUMMYFUNCTION("""COMPUTED_VALUE"""),"Transmisión Mecánica")</f>
        <v>Transmisión Mecánica</v>
      </c>
      <c r="M1181" s="74" t="str">
        <f>IFERROR(__xludf.DUMMYFUNCTION("""COMPUTED_VALUE"""),"Sin Asignar")</f>
        <v>Sin Asignar</v>
      </c>
      <c r="N1181" s="87">
        <f>IFERROR(__xludf.DUMMYFUNCTION("""COMPUTED_VALUE"""),0.0)</f>
        <v>0</v>
      </c>
      <c r="O1181" s="74"/>
      <c r="P1181" s="74" t="str">
        <f>IFERROR(__xludf.DUMMYFUNCTION("""COMPUTED_VALUE"""),"borrar")</f>
        <v>borrar</v>
      </c>
      <c r="Q1181" s="74"/>
      <c r="R1181" s="74"/>
      <c r="S1181" s="87">
        <f>IFERROR(__xludf.DUMMYFUNCTION("""COMPUTED_VALUE"""),0.0)</f>
        <v>0</v>
      </c>
      <c r="T1181" s="87">
        <f>IFERROR(__xludf.DUMMYFUNCTION("""COMPUTED_VALUE"""),0.0)</f>
        <v>0</v>
      </c>
      <c r="U1181" s="87">
        <f>IFERROR(__xludf.DUMMYFUNCTION("""COMPUTED_VALUE"""),0.0)</f>
        <v>0</v>
      </c>
      <c r="V1181" s="87">
        <f>IFERROR(__xludf.DUMMYFUNCTION("""COMPUTED_VALUE"""),0.0)</f>
        <v>0</v>
      </c>
      <c r="W1181" s="87">
        <f>IFERROR(__xludf.DUMMYFUNCTION("""COMPUTED_VALUE"""),0.0)</f>
        <v>0</v>
      </c>
      <c r="X1181" s="88"/>
      <c r="Y1181" s="74"/>
      <c r="Z1181" s="74"/>
    </row>
    <row r="1182">
      <c r="B1182" s="74" t="str">
        <f>IFERROR(__xludf.DUMMYFUNCTION("""COMPUTED_VALUE"""),"2180")</f>
        <v>2180</v>
      </c>
      <c r="C1182" s="74" t="str">
        <f>IFERROR(__xludf.DUMMYFUNCTION("""COMPUTED_VALUE"""),"75045880480")</f>
        <v>75045880480</v>
      </c>
      <c r="D1182" s="74" t="str">
        <f>IFERROR(__xludf.DUMMYFUNCTION("""COMPUTED_VALUE"""),"\\MCA-S\mk\2_BM\0_BMat\08_PYM\Inventario\excel\Imagen de refacciones\Schwing\Horquilla con barra para caja de transferencia")</f>
        <v>\\MCA-S\mk\2_BM\0_BMat\08_PYM\Inventario\excel\Imagen de refacciones\Schwing\Horquilla con barra para caja de transferencia</v>
      </c>
      <c r="E1182" s="74" t="str">
        <f>IFERROR(__xludf.DUMMYFUNCTION("""COMPUTED_VALUE"""),"GEARSHIFT FORK W/SHIFTING ROD")</f>
        <v>GEARSHIFT FORK W/SHIFTING ROD</v>
      </c>
      <c r="F1182" s="74" t="str">
        <f>IFERROR(__xludf.DUMMYFUNCTION("""COMPUTED_VALUE"""),"HORQUILLA CON BARRA PARA CAJA DE TRANSFERENCIA")</f>
        <v>HORQUILLA CON BARRA PARA CAJA DE TRANSFERENCIA</v>
      </c>
      <c r="G1182" s="74"/>
      <c r="H1182" s="74" t="str">
        <f>IFERROR(__xludf.DUMMYFUNCTION("""COMPUTED_VALUE"""),"HORQUILLA CON BARRA PARA CAJA DE TRANSFERENCIA PARA BOMBA HORMIGON")</f>
        <v>HORQUILLA CON BARRA PARA CAJA DE TRANSFERENCIA PARA BOMBA HORMIGON</v>
      </c>
      <c r="I1182" s="74" t="str">
        <f>IFERROR(__xludf.DUMMYFUNCTION("""COMPUTED_VALUE"""),"10012464")</f>
        <v>10012464</v>
      </c>
      <c r="J1182" s="74"/>
      <c r="K1182" s="74" t="str">
        <f>IFERROR(__xludf.DUMMYFUNCTION("""COMPUTED_VALUE"""),"Schwing")</f>
        <v>Schwing</v>
      </c>
      <c r="L1182" s="74"/>
      <c r="M1182" s="74" t="str">
        <f>IFERROR(__xludf.DUMMYFUNCTION("""COMPUTED_VALUE"""),"ACCESORIOS ")</f>
        <v>ACCESORIOS </v>
      </c>
      <c r="N1182" s="87">
        <f>IFERROR(__xludf.DUMMYFUNCTION("""COMPUTED_VALUE"""),3694.08)</f>
        <v>3694.08</v>
      </c>
      <c r="O1182" s="74">
        <f>IFERROR(__xludf.DUMMYFUNCTION("""COMPUTED_VALUE"""),3.0)</f>
        <v>3</v>
      </c>
      <c r="P1182" s="74" t="str">
        <f>IFERROR(__xludf.DUMMYFUNCTION("""COMPUTED_VALUE"""),"In stock")</f>
        <v>In stock</v>
      </c>
      <c r="Q1182" s="74"/>
      <c r="R1182" s="74"/>
      <c r="S1182" s="87">
        <f>IFERROR(__xludf.DUMMYFUNCTION("""COMPUTED_VALUE"""),40.0)</f>
        <v>40</v>
      </c>
      <c r="T1182" s="87">
        <f>IFERROR(__xludf.DUMMYFUNCTION("""COMPUTED_VALUE"""),208.0)</f>
        <v>208</v>
      </c>
      <c r="U1182" s="87">
        <f>IFERROR(__xludf.DUMMYFUNCTION("""COMPUTED_VALUE"""),199.68)</f>
        <v>199.68</v>
      </c>
      <c r="V1182" s="87">
        <f>IFERROR(__xludf.DUMMYFUNCTION("""COMPUTED_VALUE"""),49.0)</f>
        <v>49</v>
      </c>
      <c r="W1182" s="87">
        <f>IFERROR(__xludf.DUMMYFUNCTION("""COMPUTED_VALUE"""),918.75)</f>
        <v>918.75</v>
      </c>
      <c r="X1182" s="88">
        <f>IFERROR(__xludf.DUMMYFUNCTION("""COMPUTED_VALUE"""),4.992)</f>
        <v>4.992</v>
      </c>
      <c r="Y1182" s="74"/>
      <c r="Z1182" s="74"/>
    </row>
    <row r="1183">
      <c r="B1183" s="74" t="str">
        <f>IFERROR(__xludf.DUMMYFUNCTION("""COMPUTED_VALUE"""),"2181")</f>
        <v>2181</v>
      </c>
      <c r="C1183" s="74" t="str">
        <f>IFERROR(__xludf.DUMMYFUNCTION("""COMPUTED_VALUE"""),"75045880533")</f>
        <v>75045880533</v>
      </c>
      <c r="D1183" s="74" t="str">
        <f>IFERROR(__xludf.DUMMYFUNCTION("""COMPUTED_VALUE"""),"\\MCA-S\mk\2_BM\0_BMat\08_PYM\Inventario\excel\Imagen de refacciones\Schwing\Horquilla para pistón de Cambio de V-rock")</f>
        <v>\\MCA-S\mk\2_BM\0_BMat\08_PYM\Inventario\excel\Imagen de refacciones\Schwing\Horquilla para pistón de Cambio de V-rock</v>
      </c>
      <c r="E1183" s="74" t="str">
        <f>IFERROR(__xludf.DUMMYFUNCTION("""COMPUTED_VALUE"""),"SLEWING PIVOT")</f>
        <v>SLEWING PIVOT</v>
      </c>
      <c r="F1183" s="74" t="str">
        <f>IFERROR(__xludf.DUMMYFUNCTION("""COMPUTED_VALUE"""),"HORQUILLA PARA PISTON / SOPORTE CILINDRO BUZO")</f>
        <v>HORQUILLA PARA PISTON / SOPORTE CILINDRO BUZO</v>
      </c>
      <c r="G1183" s="74"/>
      <c r="H1183" s="74"/>
      <c r="I1183" s="74" t="str">
        <f>IFERROR(__xludf.DUMMYFUNCTION("""COMPUTED_VALUE"""),"10118218")</f>
        <v>10118218</v>
      </c>
      <c r="J1183" s="74"/>
      <c r="K1183" s="74" t="str">
        <f>IFERROR(__xludf.DUMMYFUNCTION("""COMPUTED_VALUE"""),"Schwing")</f>
        <v>Schwing</v>
      </c>
      <c r="L1183" s="74" t="str">
        <f>IFERROR(__xludf.DUMMYFUNCTION("""COMPUTED_VALUE"""),"BARRA V-ROCK")</f>
        <v>BARRA V-ROCK</v>
      </c>
      <c r="M1183" s="74" t="str">
        <f>IFERROR(__xludf.DUMMYFUNCTION("""COMPUTED_VALUE"""),"SIN ASIGNAR")</f>
        <v>SIN ASIGNAR</v>
      </c>
      <c r="N1183" s="87">
        <f>IFERROR(__xludf.DUMMYFUNCTION("""COMPUTED_VALUE"""),11988.0)</f>
        <v>11988</v>
      </c>
      <c r="O1183" s="74">
        <f>IFERROR(__xludf.DUMMYFUNCTION("""COMPUTED_VALUE"""),2.0)</f>
        <v>2</v>
      </c>
      <c r="P1183" s="74" t="str">
        <f>IFERROR(__xludf.DUMMYFUNCTION("""COMPUTED_VALUE"""),"In stock")</f>
        <v>In stock</v>
      </c>
      <c r="Q1183" s="74"/>
      <c r="R1183" s="74"/>
      <c r="S1183" s="87">
        <f>IFERROR(__xludf.DUMMYFUNCTION("""COMPUTED_VALUE"""),75.0)</f>
        <v>75</v>
      </c>
      <c r="T1183" s="87">
        <f>IFERROR(__xludf.DUMMYFUNCTION("""COMPUTED_VALUE"""),675.0)</f>
        <v>675</v>
      </c>
      <c r="U1183" s="87">
        <f>IFERROR(__xludf.DUMMYFUNCTION("""COMPUTED_VALUE"""),648.0)</f>
        <v>648</v>
      </c>
      <c r="V1183" s="87">
        <f>IFERROR(__xludf.DUMMYFUNCTION("""COMPUTED_VALUE"""),91.875)</f>
        <v>91.875</v>
      </c>
      <c r="W1183" s="87">
        <f>IFERROR(__xludf.DUMMYFUNCTION("""COMPUTED_VALUE"""),1722.65625)</f>
        <v>1722.65625</v>
      </c>
      <c r="X1183" s="88">
        <f>IFERROR(__xludf.DUMMYFUNCTION("""COMPUTED_VALUE"""),8.64)</f>
        <v>8.64</v>
      </c>
      <c r="Y1183" s="74"/>
      <c r="Z1183" s="74"/>
    </row>
    <row r="1184">
      <c r="B1184" s="74" t="str">
        <f>IFERROR(__xludf.DUMMYFUNCTION("""COMPUTED_VALUE"""),"2182")</f>
        <v>2182</v>
      </c>
      <c r="C1184" s="74"/>
      <c r="D1184" s="74" t="str">
        <f>IFERROR(__xludf.DUMMYFUNCTION("""COMPUTED_VALUE"""),"\\MCA-S\mk\2_BM\0_BMat\08_PYM\Inventario\excel\Imagen de refacciones\Schwing\Housing Ling DN135 Outlet Side _ Alojamiento Ling DN135 Lado de Salida")</f>
        <v>\\MCA-S\mk\2_BM\0_BMat\08_PYM\Inventario\excel\Imagen de refacciones\Schwing\Housing Ling DN135 Outlet Side _ Alojamiento Ling DN135 Lado de Salida</v>
      </c>
      <c r="E1184" s="74"/>
      <c r="F1184" s="74" t="str">
        <f>IFERROR(__xludf.DUMMYFUNCTION("""COMPUTED_VALUE"""),"Housing Ling DN135 Outlet Side / Alojamiento Ling DN135 Lado de Salida")</f>
        <v>Housing Ling DN135 Outlet Side / Alojamiento Ling DN135 Lado de Salida</v>
      </c>
      <c r="G1184" s="74"/>
      <c r="H1184" s="74"/>
      <c r="I1184" s="74" t="str">
        <f>IFERROR(__xludf.DUMMYFUNCTION("""COMPUTED_VALUE"""),"SOM30027")</f>
        <v>SOM30027</v>
      </c>
      <c r="J1184" s="74" t="str">
        <f>IFERROR(__xludf.DUMMYFUNCTION("""COMPUTED_VALUE"""),"10025851")</f>
        <v>10025851</v>
      </c>
      <c r="K1184" s="74" t="str">
        <f>IFERROR(__xludf.DUMMYFUNCTION("""COMPUTED_VALUE"""),"Schwing")</f>
        <v>Schwing</v>
      </c>
      <c r="L1184" s="74" t="str">
        <f>IFERROR(__xludf.DUMMYFUNCTION("""COMPUTED_VALUE"""),"Componentes Estructurales y de Montaje")</f>
        <v>Componentes Estructurales y de Montaje</v>
      </c>
      <c r="M1184" s="74" t="str">
        <f>IFERROR(__xludf.DUMMYFUNCTION("""COMPUTED_VALUE"""),"Sin Asignar")</f>
        <v>Sin Asignar</v>
      </c>
      <c r="N1184" s="87">
        <f>IFERROR(__xludf.DUMMYFUNCTION("""COMPUTED_VALUE"""),0.0)</f>
        <v>0</v>
      </c>
      <c r="O1184" s="74"/>
      <c r="P1184" s="74" t="str">
        <f>IFERROR(__xludf.DUMMYFUNCTION("""COMPUTED_VALUE"""),"No Available")</f>
        <v>No Available</v>
      </c>
      <c r="Q1184" s="74"/>
      <c r="R1184" s="74"/>
      <c r="S1184" s="87">
        <f>IFERROR(__xludf.DUMMYFUNCTION("""COMPUTED_VALUE"""),0.0)</f>
        <v>0</v>
      </c>
      <c r="T1184" s="87">
        <f>IFERROR(__xludf.DUMMYFUNCTION("""COMPUTED_VALUE"""),0.0)</f>
        <v>0</v>
      </c>
      <c r="U1184" s="87">
        <f>IFERROR(__xludf.DUMMYFUNCTION("""COMPUTED_VALUE"""),0.0)</f>
        <v>0</v>
      </c>
      <c r="V1184" s="87">
        <f>IFERROR(__xludf.DUMMYFUNCTION("""COMPUTED_VALUE"""),0.0)</f>
        <v>0</v>
      </c>
      <c r="W1184" s="87">
        <f>IFERROR(__xludf.DUMMYFUNCTION("""COMPUTED_VALUE"""),0.0)</f>
        <v>0</v>
      </c>
      <c r="X1184" s="88"/>
      <c r="Y1184" s="74"/>
      <c r="Z1184" s="74"/>
    </row>
    <row r="1185">
      <c r="B1185" s="74" t="str">
        <f>IFERROR(__xludf.DUMMYFUNCTION("""COMPUTED_VALUE"""),"2183")</f>
        <v>2183</v>
      </c>
      <c r="C1185" s="74" t="str">
        <f>IFERROR(__xludf.DUMMYFUNCTION("""COMPUTED_VALUE"""),"75045880479")</f>
        <v>75045880479</v>
      </c>
      <c r="D1185" s="74" t="str">
        <f>IFERROR(__xludf.DUMMYFUNCTION("""COMPUTED_VALUE"""),"\\MCA-S\mk\2_BM\0_BMat\08_PYM\Inventario\excel\Imagen de refacciones\Schwing\Housing Ling DN180 Outlet Side _ Alojamiento Ling DN180 Lado de Salida")</f>
        <v>\\MCA-S\mk\2_BM\0_BMat\08_PYM\Inventario\excel\Imagen de refacciones\Schwing\Housing Ling DN180 Outlet Side _ Alojamiento Ling DN180 Lado de Salida</v>
      </c>
      <c r="E1185" s="74" t="str">
        <f>IFERROR(__xludf.DUMMYFUNCTION("""COMPUTED_VALUE"""),"HOUSING LINING DN180 OUTLET SIDE")</f>
        <v>HOUSING LINING DN180 OUTLET SIDE</v>
      </c>
      <c r="F1185" s="74" t="str">
        <f>IFERROR(__xludf.DUMMYFUNCTION("""COMPUTED_VALUE"""),"ESPEJO DN180")</f>
        <v>ESPEJO DN180</v>
      </c>
      <c r="G1185" s="74"/>
      <c r="H1185" s="74" t="str">
        <f>IFERROR(__xludf.DUMMYFUNCTION("""COMPUTED_VALUE"""),"ESPEJO DN180 PARA BOMBA DE HORMIGON")</f>
        <v>ESPEJO DN180 PARA BOMBA DE HORMIGON</v>
      </c>
      <c r="I1185" s="74" t="str">
        <f>IFERROR(__xludf.DUMMYFUNCTION("""COMPUTED_VALUE"""),"10018046")</f>
        <v>10018046</v>
      </c>
      <c r="J1185" s="74"/>
      <c r="K1185" s="74" t="str">
        <f>IFERROR(__xludf.DUMMYFUNCTION("""COMPUTED_VALUE"""),"Schwing")</f>
        <v>Schwing</v>
      </c>
      <c r="L1185" s="74" t="str">
        <f>IFERROR(__xludf.DUMMYFUNCTION("""COMPUTED_VALUE"""),"Componentes Estructurales y de Montaje")</f>
        <v>Componentes Estructurales y de Montaje</v>
      </c>
      <c r="M1185" s="74" t="str">
        <f>IFERROR(__xludf.DUMMYFUNCTION("""COMPUTED_VALUE"""),"Sin Asignar")</f>
        <v>Sin Asignar</v>
      </c>
      <c r="N1185" s="87">
        <f>IFERROR(__xludf.DUMMYFUNCTION("""COMPUTED_VALUE"""),10283.04)</f>
        <v>10283.04</v>
      </c>
      <c r="O1185" s="74">
        <f>IFERROR(__xludf.DUMMYFUNCTION("""COMPUTED_VALUE"""),3.0)</f>
        <v>3</v>
      </c>
      <c r="P1185" s="74" t="str">
        <f>IFERROR(__xludf.DUMMYFUNCTION("""COMPUTED_VALUE"""),"In stock")</f>
        <v>In stock</v>
      </c>
      <c r="Q1185" s="74"/>
      <c r="R1185" s="74"/>
      <c r="S1185" s="87">
        <f>IFERROR(__xludf.DUMMYFUNCTION("""COMPUTED_VALUE"""),115.0)</f>
        <v>115</v>
      </c>
      <c r="T1185" s="87">
        <f>IFERROR(__xludf.DUMMYFUNCTION("""COMPUTED_VALUE"""),579.0)</f>
        <v>579</v>
      </c>
      <c r="U1185" s="87">
        <f>IFERROR(__xludf.DUMMYFUNCTION("""COMPUTED_VALUE"""),555.84)</f>
        <v>555.84</v>
      </c>
      <c r="V1185" s="87">
        <f>IFERROR(__xludf.DUMMYFUNCTION("""COMPUTED_VALUE"""),140.875)</f>
        <v>140.875</v>
      </c>
      <c r="W1185" s="87">
        <f>IFERROR(__xludf.DUMMYFUNCTION("""COMPUTED_VALUE"""),2641.40625)</f>
        <v>2641.40625</v>
      </c>
      <c r="X1185" s="88">
        <f>IFERROR(__xludf.DUMMYFUNCTION("""COMPUTED_VALUE"""),4.833391304347827)</f>
        <v>4.833391304</v>
      </c>
      <c r="Y1185" s="74"/>
      <c r="Z1185" s="74"/>
    </row>
    <row r="1186">
      <c r="B1186" s="74" t="str">
        <f>IFERROR(__xludf.DUMMYFUNCTION("""COMPUTED_VALUE"""),"2184")</f>
        <v>2184</v>
      </c>
      <c r="C1186" s="74" t="str">
        <f>IFERROR(__xludf.DUMMYFUNCTION("""COMPUTED_VALUE"""),"75045880313")</f>
        <v>75045880313</v>
      </c>
      <c r="D1186" s="74" t="str">
        <f>IFERROR(__xludf.DUMMYFUNCTION("""COMPUTED_VALUE"""),"\\MCA-S\mk\2_BM\0_BMat\08_PYM\Inventario\excel\Imagen de refacciones\Schwing\Hule riñon Dn 136")</f>
        <v>\\MCA-S\mk\2_BM\0_BMat\08_PYM\Inventario\excel\Imagen de refacciones\Schwing\Hule riñon Dn 136</v>
      </c>
      <c r="E1186" s="74" t="str">
        <f>IFERROR(__xludf.DUMMYFUNCTION("""COMPUTED_VALUE"""),"KIDNEY SEAL DN135")</f>
        <v>KIDNEY SEAL DN135</v>
      </c>
      <c r="F1186" s="74" t="str">
        <f>IFERROR(__xludf.DUMMYFUNCTION("""COMPUTED_VALUE"""),"EMPAQUE HULE RIÑON DN135 ")</f>
        <v>EMPAQUE HULE RIÑON DN135 </v>
      </c>
      <c r="G1186" s="74"/>
      <c r="H1186" s="74"/>
      <c r="I1186" s="74" t="str">
        <f>IFERROR(__xludf.DUMMYFUNCTION("""COMPUTED_VALUE"""),"10032182")</f>
        <v>10032182</v>
      </c>
      <c r="J1186" s="74"/>
      <c r="K1186" s="74" t="str">
        <f>IFERROR(__xludf.DUMMYFUNCTION("""COMPUTED_VALUE"""),"Schwing")</f>
        <v>Schwing</v>
      </c>
      <c r="L1186" s="74" t="str">
        <f>IFERROR(__xludf.DUMMYFUNCTION("""COMPUTED_VALUE"""),"BARRA V-ROCK")</f>
        <v>BARRA V-ROCK</v>
      </c>
      <c r="M1186" s="74" t="str">
        <f>IFERROR(__xludf.DUMMYFUNCTION("""COMPUTED_VALUE"""),"Sin Asignar")</f>
        <v>Sin Asignar</v>
      </c>
      <c r="N1186" s="87">
        <f>IFERROR(__xludf.DUMMYFUNCTION("""COMPUTED_VALUE"""),745.92)</f>
        <v>745.92</v>
      </c>
      <c r="O1186" s="74">
        <f>IFERROR(__xludf.DUMMYFUNCTION("""COMPUTED_VALUE"""),10.0)</f>
        <v>10</v>
      </c>
      <c r="P1186" s="74" t="str">
        <f>IFERROR(__xludf.DUMMYFUNCTION("""COMPUTED_VALUE"""),"In stock")</f>
        <v>In stock</v>
      </c>
      <c r="Q1186" s="74"/>
      <c r="R1186" s="74"/>
      <c r="S1186" s="87">
        <f>IFERROR(__xludf.DUMMYFUNCTION("""COMPUTED_VALUE"""),11.0)</f>
        <v>11</v>
      </c>
      <c r="T1186" s="87">
        <f>IFERROR(__xludf.DUMMYFUNCTION("""COMPUTED_VALUE"""),42.0)</f>
        <v>42</v>
      </c>
      <c r="U1186" s="87">
        <f>IFERROR(__xludf.DUMMYFUNCTION("""COMPUTED_VALUE"""),40.32)</f>
        <v>40.32</v>
      </c>
      <c r="V1186" s="87">
        <f>IFERROR(__xludf.DUMMYFUNCTION("""COMPUTED_VALUE"""),13.475)</f>
        <v>13.475</v>
      </c>
      <c r="W1186" s="87">
        <f>IFERROR(__xludf.DUMMYFUNCTION("""COMPUTED_VALUE"""),252.65625)</f>
        <v>252.65625</v>
      </c>
      <c r="X1186" s="88">
        <f>IFERROR(__xludf.DUMMYFUNCTION("""COMPUTED_VALUE"""),3.6654545454545455)</f>
        <v>3.665454545</v>
      </c>
      <c r="Y1186" s="74"/>
      <c r="Z1186" s="74"/>
    </row>
    <row r="1187">
      <c r="B1187" s="74" t="str">
        <f>IFERROR(__xludf.DUMMYFUNCTION("""COMPUTED_VALUE"""),"2185")</f>
        <v>2185</v>
      </c>
      <c r="C1187" s="74"/>
      <c r="D1187" s="74"/>
      <c r="E1187" s="74"/>
      <c r="F1187" s="74" t="str">
        <f>IFERROR(__xludf.DUMMYFUNCTION("""COMPUTED_VALUE"""),"HULE RIÑON DN180 PARA BOMBA DE HORMIGON")</f>
        <v>HULE RIÑON DN180 PARA BOMBA DE HORMIGON</v>
      </c>
      <c r="G1187" s="74"/>
      <c r="H1187" s="74"/>
      <c r="I1187" s="74"/>
      <c r="J1187" s="74"/>
      <c r="K1187" s="74" t="str">
        <f>IFERROR(__xludf.DUMMYFUNCTION("""COMPUTED_VALUE"""),"Schwing")</f>
        <v>Schwing</v>
      </c>
      <c r="L1187" s="74"/>
      <c r="M1187" s="74" t="str">
        <f>IFERROR(__xludf.DUMMYFUNCTION("""COMPUTED_VALUE"""),"Sin Asignar")</f>
        <v>Sin Asignar</v>
      </c>
      <c r="N1187" s="87">
        <f>IFERROR(__xludf.DUMMYFUNCTION("""COMPUTED_VALUE"""),0.0)</f>
        <v>0</v>
      </c>
      <c r="O1187" s="74"/>
      <c r="P1187" s="74" t="str">
        <f>IFERROR(__xludf.DUMMYFUNCTION("""COMPUTED_VALUE"""),"borrar")</f>
        <v>borrar</v>
      </c>
      <c r="Q1187" s="74"/>
      <c r="R1187" s="74"/>
      <c r="S1187" s="87">
        <f>IFERROR(__xludf.DUMMYFUNCTION("""COMPUTED_VALUE"""),0.0)</f>
        <v>0</v>
      </c>
      <c r="T1187" s="87">
        <f>IFERROR(__xludf.DUMMYFUNCTION("""COMPUTED_VALUE"""),0.0)</f>
        <v>0</v>
      </c>
      <c r="U1187" s="87">
        <f>IFERROR(__xludf.DUMMYFUNCTION("""COMPUTED_VALUE"""),0.0)</f>
        <v>0</v>
      </c>
      <c r="V1187" s="87">
        <f>IFERROR(__xludf.DUMMYFUNCTION("""COMPUTED_VALUE"""),0.0)</f>
        <v>0</v>
      </c>
      <c r="W1187" s="87">
        <f>IFERROR(__xludf.DUMMYFUNCTION("""COMPUTED_VALUE"""),0.0)</f>
        <v>0</v>
      </c>
      <c r="X1187" s="88"/>
      <c r="Y1187" s="74"/>
      <c r="Z1187" s="74"/>
    </row>
    <row r="1188">
      <c r="B1188" s="74" t="str">
        <f>IFERROR(__xludf.DUMMYFUNCTION("""COMPUTED_VALUE"""),"2186")</f>
        <v>2186</v>
      </c>
      <c r="C1188" s="74" t="str">
        <f>IFERROR(__xludf.DUMMYFUNCTION("""COMPUTED_VALUE"""),"75045880282")</f>
        <v>75045880282</v>
      </c>
      <c r="D1188" s="74" t="str">
        <f>IFERROR(__xludf.DUMMYFUNCTION("""COMPUTED_VALUE"""),"\\MCA-S\mk\2_BM\0_BMat\08_PYM\Inventario\excel\Imagen de refacciones\Schwing\Hule riñón DN181")</f>
        <v>\\MCA-S\mk\2_BM\0_BMat\08_PYM\Inventario\excel\Imagen de refacciones\Schwing\Hule riñón DN181</v>
      </c>
      <c r="E1188" s="74" t="str">
        <f>IFERROR(__xludf.DUMMYFUNCTION("""COMPUTED_VALUE"""),"KIDNEY SEAL DN180")</f>
        <v>KIDNEY SEAL DN180</v>
      </c>
      <c r="F1188" s="74" t="str">
        <f>IFERROR(__xludf.DUMMYFUNCTION("""COMPUTED_VALUE"""),"EMPAQUE HULE RIÑON DN180")</f>
        <v>EMPAQUE HULE RIÑON DN180</v>
      </c>
      <c r="G1188" s="74"/>
      <c r="H1188" s="74"/>
      <c r="I1188" s="74" t="str">
        <f>IFERROR(__xludf.DUMMYFUNCTION("""COMPUTED_VALUE"""),"10029138")</f>
        <v>10029138</v>
      </c>
      <c r="J1188" s="74"/>
      <c r="K1188" s="74" t="str">
        <f>IFERROR(__xludf.DUMMYFUNCTION("""COMPUTED_VALUE"""),"Schwing")</f>
        <v>Schwing</v>
      </c>
      <c r="L1188" s="74" t="str">
        <f>IFERROR(__xludf.DUMMYFUNCTION("""COMPUTED_VALUE"""),"BARRA V-ROCK")</f>
        <v>BARRA V-ROCK</v>
      </c>
      <c r="M1188" s="74" t="str">
        <f>IFERROR(__xludf.DUMMYFUNCTION("""COMPUTED_VALUE"""),"Sin Asignar")</f>
        <v>Sin Asignar</v>
      </c>
      <c r="N1188" s="87">
        <f>IFERROR(__xludf.DUMMYFUNCTION("""COMPUTED_VALUE"""),1243.2)</f>
        <v>1243.2</v>
      </c>
      <c r="O1188" s="74">
        <f>IFERROR(__xludf.DUMMYFUNCTION("""COMPUTED_VALUE"""),13.0)</f>
        <v>13</v>
      </c>
      <c r="P1188" s="74" t="str">
        <f>IFERROR(__xludf.DUMMYFUNCTION("""COMPUTED_VALUE"""),"In stock")</f>
        <v>In stock</v>
      </c>
      <c r="Q1188" s="74"/>
      <c r="R1188" s="74"/>
      <c r="S1188" s="87">
        <f>IFERROR(__xludf.DUMMYFUNCTION("""COMPUTED_VALUE"""),10.0)</f>
        <v>10</v>
      </c>
      <c r="T1188" s="87">
        <f>IFERROR(__xludf.DUMMYFUNCTION("""COMPUTED_VALUE"""),70.0)</f>
        <v>70</v>
      </c>
      <c r="U1188" s="87">
        <f>IFERROR(__xludf.DUMMYFUNCTION("""COMPUTED_VALUE"""),67.2)</f>
        <v>67.2</v>
      </c>
      <c r="V1188" s="87">
        <f>IFERROR(__xludf.DUMMYFUNCTION("""COMPUTED_VALUE"""),12.25)</f>
        <v>12.25</v>
      </c>
      <c r="W1188" s="87">
        <f>IFERROR(__xludf.DUMMYFUNCTION("""COMPUTED_VALUE"""),229.6875)</f>
        <v>229.6875</v>
      </c>
      <c r="X1188" s="88">
        <f>IFERROR(__xludf.DUMMYFUNCTION("""COMPUTED_VALUE"""),6.720000000000001)</f>
        <v>6.72</v>
      </c>
      <c r="Y1188" s="74"/>
      <c r="Z1188" s="74"/>
    </row>
    <row r="1189">
      <c r="B1189" s="74" t="str">
        <f>IFERROR(__xludf.DUMMYFUNCTION("""COMPUTED_VALUE"""),"2187")</f>
        <v>2187</v>
      </c>
      <c r="C1189" s="74"/>
      <c r="D1189" s="74" t="str">
        <f>IFERROR(__xludf.DUMMYFUNCTION("""COMPUTED_VALUE"""),"\\MCA-S\mk\2_BM\0_BMat\08_PYM\Inventario\excel\Imagen de refacciones\Schwing\Hydraulic Piston _ Pistón Hidráulico")</f>
        <v>\\MCA-S\mk\2_BM\0_BMat\08_PYM\Inventario\excel\Imagen de refacciones\Schwing\Hydraulic Piston _ Pistón Hidráulico</v>
      </c>
      <c r="E1189" s="74"/>
      <c r="F1189" s="74" t="str">
        <f>IFERROR(__xludf.DUMMYFUNCTION("""COMPUTED_VALUE"""),"Hydraulic Piston / Pistón Hidráulico")</f>
        <v>Hydraulic Piston / Pistón Hidráulico</v>
      </c>
      <c r="G1189" s="74"/>
      <c r="H1189" s="74"/>
      <c r="I1189" s="74" t="str">
        <f>IFERROR(__xludf.DUMMYFUNCTION("""COMPUTED_VALUE"""),"SOM30126")</f>
        <v>SOM30126</v>
      </c>
      <c r="J1189" s="74" t="str">
        <f>IFERROR(__xludf.DUMMYFUNCTION("""COMPUTED_VALUE"""),"10003722")</f>
        <v>10003722</v>
      </c>
      <c r="K1189" s="74" t="str">
        <f>IFERROR(__xludf.DUMMYFUNCTION("""COMPUTED_VALUE"""),"Schwing")</f>
        <v>Schwing</v>
      </c>
      <c r="L1189" s="74" t="str">
        <f>IFERROR(__xludf.DUMMYFUNCTION("""COMPUTED_VALUE"""),"Componentes Hidráulicos")</f>
        <v>Componentes Hidráulicos</v>
      </c>
      <c r="M1189" s="74" t="str">
        <f>IFERROR(__xludf.DUMMYFUNCTION("""COMPUTED_VALUE"""),"Sin Asignar")</f>
        <v>Sin Asignar</v>
      </c>
      <c r="N1189" s="87">
        <f>IFERROR(__xludf.DUMMYFUNCTION("""COMPUTED_VALUE"""),0.0)</f>
        <v>0</v>
      </c>
      <c r="O1189" s="74"/>
      <c r="P1189" s="74" t="str">
        <f>IFERROR(__xludf.DUMMYFUNCTION("""COMPUTED_VALUE"""),"No Available")</f>
        <v>No Available</v>
      </c>
      <c r="Q1189" s="74"/>
      <c r="R1189" s="74"/>
      <c r="S1189" s="87">
        <f>IFERROR(__xludf.DUMMYFUNCTION("""COMPUTED_VALUE"""),0.0)</f>
        <v>0</v>
      </c>
      <c r="T1189" s="87">
        <f>IFERROR(__xludf.DUMMYFUNCTION("""COMPUTED_VALUE"""),0.0)</f>
        <v>0</v>
      </c>
      <c r="U1189" s="87">
        <f>IFERROR(__xludf.DUMMYFUNCTION("""COMPUTED_VALUE"""),0.0)</f>
        <v>0</v>
      </c>
      <c r="V1189" s="87">
        <f>IFERROR(__xludf.DUMMYFUNCTION("""COMPUTED_VALUE"""),0.0)</f>
        <v>0</v>
      </c>
      <c r="W1189" s="87">
        <f>IFERROR(__xludf.DUMMYFUNCTION("""COMPUTED_VALUE"""),0.0)</f>
        <v>0</v>
      </c>
      <c r="X1189" s="88"/>
      <c r="Y1189" s="74"/>
      <c r="Z1189" s="74"/>
    </row>
    <row r="1190">
      <c r="B1190" s="74" t="str">
        <f>IFERROR(__xludf.DUMMYFUNCTION("""COMPUTED_VALUE"""),"2188")</f>
        <v>2188</v>
      </c>
      <c r="C1190" s="74"/>
      <c r="D1190" s="74" t="str">
        <f>IFERROR(__xludf.DUMMYFUNCTION("""COMPUTED_VALUE"""),"\\MCA-S\mk\2_BM\0_BMat\08_PYM\Inventario\excel\Imagen de refacciones\Schwing\Hydraulic Piston 120_80 _ Pistón Hidráulico 120_80")</f>
        <v>\\MCA-S\mk\2_BM\0_BMat\08_PYM\Inventario\excel\Imagen de refacciones\Schwing\Hydraulic Piston 120_80 _ Pistón Hidráulico 120_80</v>
      </c>
      <c r="E1190" s="74"/>
      <c r="F1190" s="74" t="str">
        <f>IFERROR(__xludf.DUMMYFUNCTION("""COMPUTED_VALUE"""),"Hydraulic Piston 120/80 / Pistón Hidráulico 120/80")</f>
        <v>Hydraulic Piston 120/80 / Pistón Hidráulico 120/80</v>
      </c>
      <c r="G1190" s="74"/>
      <c r="H1190" s="74"/>
      <c r="I1190" s="74" t="str">
        <f>IFERROR(__xludf.DUMMYFUNCTION("""COMPUTED_VALUE"""),"SOM30127")</f>
        <v>SOM30127</v>
      </c>
      <c r="J1190" s="74" t="str">
        <f>IFERROR(__xludf.DUMMYFUNCTION("""COMPUTED_VALUE"""),"10017529")</f>
        <v>10017529</v>
      </c>
      <c r="K1190" s="74" t="str">
        <f>IFERROR(__xludf.DUMMYFUNCTION("""COMPUTED_VALUE"""),"Schwing")</f>
        <v>Schwing</v>
      </c>
      <c r="L1190" s="74" t="str">
        <f>IFERROR(__xludf.DUMMYFUNCTION("""COMPUTED_VALUE"""),"Componentes Hidráulicos")</f>
        <v>Componentes Hidráulicos</v>
      </c>
      <c r="M1190" s="74" t="str">
        <f>IFERROR(__xludf.DUMMYFUNCTION("""COMPUTED_VALUE"""),"Sin Asignar")</f>
        <v>Sin Asignar</v>
      </c>
      <c r="N1190" s="87">
        <f>IFERROR(__xludf.DUMMYFUNCTION("""COMPUTED_VALUE"""),0.0)</f>
        <v>0</v>
      </c>
      <c r="O1190" s="74"/>
      <c r="P1190" s="74" t="str">
        <f>IFERROR(__xludf.DUMMYFUNCTION("""COMPUTED_VALUE"""),"borrar")</f>
        <v>borrar</v>
      </c>
      <c r="Q1190" s="74"/>
      <c r="R1190" s="74"/>
      <c r="S1190" s="87">
        <f>IFERROR(__xludf.DUMMYFUNCTION("""COMPUTED_VALUE"""),0.0)</f>
        <v>0</v>
      </c>
      <c r="T1190" s="87">
        <f>IFERROR(__xludf.DUMMYFUNCTION("""COMPUTED_VALUE"""),0.0)</f>
        <v>0</v>
      </c>
      <c r="U1190" s="87">
        <f>IFERROR(__xludf.DUMMYFUNCTION("""COMPUTED_VALUE"""),0.0)</f>
        <v>0</v>
      </c>
      <c r="V1190" s="87">
        <f>IFERROR(__xludf.DUMMYFUNCTION("""COMPUTED_VALUE"""),0.0)</f>
        <v>0</v>
      </c>
      <c r="W1190" s="87">
        <f>IFERROR(__xludf.DUMMYFUNCTION("""COMPUTED_VALUE"""),0.0)</f>
        <v>0</v>
      </c>
      <c r="X1190" s="88"/>
      <c r="Y1190" s="74"/>
      <c r="Z1190" s="74"/>
    </row>
    <row r="1191">
      <c r="B1191" s="74" t="str">
        <f>IFERROR(__xludf.DUMMYFUNCTION("""COMPUTED_VALUE"""),"2189")</f>
        <v>2189</v>
      </c>
      <c r="C1191" s="74"/>
      <c r="D1191" s="74" t="str">
        <f>IFERROR(__xludf.DUMMYFUNCTION("""COMPUTED_VALUE"""),"\\MCA-S\mk\2_BM\0_BMat\08_PYM\Inventario\excel\Imagen de refacciones\Schwing\Hydraulic Piston 125_80 _ Pistón Hidráulico 125_80")</f>
        <v>\\MCA-S\mk\2_BM\0_BMat\08_PYM\Inventario\excel\Imagen de refacciones\Schwing\Hydraulic Piston 125_80 _ Pistón Hidráulico 125_80</v>
      </c>
      <c r="E1191" s="74"/>
      <c r="F1191" s="74" t="str">
        <f>IFERROR(__xludf.DUMMYFUNCTION("""COMPUTED_VALUE"""),"Hydraulic Piston 125/80 / Pistón Hidráulico 125/80")</f>
        <v>Hydraulic Piston 125/80 / Pistón Hidráulico 125/80</v>
      </c>
      <c r="G1191" s="74"/>
      <c r="H1191" s="74"/>
      <c r="I1191" s="74" t="str">
        <f>IFERROR(__xludf.DUMMYFUNCTION("""COMPUTED_VALUE"""),"SOM30128")</f>
        <v>SOM30128</v>
      </c>
      <c r="J1191" s="74" t="str">
        <f>IFERROR(__xludf.DUMMYFUNCTION("""COMPUTED_VALUE"""),"10014343")</f>
        <v>10014343</v>
      </c>
      <c r="K1191" s="74" t="str">
        <f>IFERROR(__xludf.DUMMYFUNCTION("""COMPUTED_VALUE"""),"Schwing")</f>
        <v>Schwing</v>
      </c>
      <c r="L1191" s="74" t="str">
        <f>IFERROR(__xludf.DUMMYFUNCTION("""COMPUTED_VALUE"""),"Componentes Hidráulicos")</f>
        <v>Componentes Hidráulicos</v>
      </c>
      <c r="M1191" s="74" t="str">
        <f>IFERROR(__xludf.DUMMYFUNCTION("""COMPUTED_VALUE"""),"Sin Asignar")</f>
        <v>Sin Asignar</v>
      </c>
      <c r="N1191" s="87">
        <f>IFERROR(__xludf.DUMMYFUNCTION("""COMPUTED_VALUE"""),0.0)</f>
        <v>0</v>
      </c>
      <c r="O1191" s="74"/>
      <c r="P1191" s="74" t="str">
        <f>IFERROR(__xludf.DUMMYFUNCTION("""COMPUTED_VALUE"""),"No Available")</f>
        <v>No Available</v>
      </c>
      <c r="Q1191" s="74"/>
      <c r="R1191" s="74"/>
      <c r="S1191" s="87">
        <f>IFERROR(__xludf.DUMMYFUNCTION("""COMPUTED_VALUE"""),0.0)</f>
        <v>0</v>
      </c>
      <c r="T1191" s="87">
        <f>IFERROR(__xludf.DUMMYFUNCTION("""COMPUTED_VALUE"""),0.0)</f>
        <v>0</v>
      </c>
      <c r="U1191" s="87">
        <f>IFERROR(__xludf.DUMMYFUNCTION("""COMPUTED_VALUE"""),0.0)</f>
        <v>0</v>
      </c>
      <c r="V1191" s="87">
        <f>IFERROR(__xludf.DUMMYFUNCTION("""COMPUTED_VALUE"""),0.0)</f>
        <v>0</v>
      </c>
      <c r="W1191" s="87">
        <f>IFERROR(__xludf.DUMMYFUNCTION("""COMPUTED_VALUE"""),0.0)</f>
        <v>0</v>
      </c>
      <c r="X1191" s="88"/>
      <c r="Y1191" s="74"/>
      <c r="Z1191" s="74"/>
    </row>
    <row r="1192">
      <c r="B1192" s="74" t="str">
        <f>IFERROR(__xludf.DUMMYFUNCTION("""COMPUTED_VALUE"""),"2190")</f>
        <v>2190</v>
      </c>
      <c r="C1192" s="74"/>
      <c r="D1192" s="74" t="str">
        <f>IFERROR(__xludf.DUMMYFUNCTION("""COMPUTED_VALUE"""),"\\MCA-S\mk\2_BM\0_BMat\08_PYM\Inventario\excel\Imagen de refacciones\Schwing\Hydraulic Piston 130_80 _ Pistón Hidráulico 130_80")</f>
        <v>\\MCA-S\mk\2_BM\0_BMat\08_PYM\Inventario\excel\Imagen de refacciones\Schwing\Hydraulic Piston 130_80 _ Pistón Hidráulico 130_80</v>
      </c>
      <c r="E1192" s="74"/>
      <c r="F1192" s="74" t="str">
        <f>IFERROR(__xludf.DUMMYFUNCTION("""COMPUTED_VALUE"""),"Hydraulic Piston 130/80 / Pistón Hidráulico 130/80")</f>
        <v>Hydraulic Piston 130/80 / Pistón Hidráulico 130/80</v>
      </c>
      <c r="G1192" s="74"/>
      <c r="H1192" s="74"/>
      <c r="I1192" s="74" t="str">
        <f>IFERROR(__xludf.DUMMYFUNCTION("""COMPUTED_VALUE"""),"SOM30129")</f>
        <v>SOM30129</v>
      </c>
      <c r="J1192" s="74" t="str">
        <f>IFERROR(__xludf.DUMMYFUNCTION("""COMPUTED_VALUE"""),"10015414")</f>
        <v>10015414</v>
      </c>
      <c r="K1192" s="74" t="str">
        <f>IFERROR(__xludf.DUMMYFUNCTION("""COMPUTED_VALUE"""),"Schwing")</f>
        <v>Schwing</v>
      </c>
      <c r="L1192" s="74" t="str">
        <f>IFERROR(__xludf.DUMMYFUNCTION("""COMPUTED_VALUE"""),"Componentes Hidráulicos")</f>
        <v>Componentes Hidráulicos</v>
      </c>
      <c r="M1192" s="74" t="str">
        <f>IFERROR(__xludf.DUMMYFUNCTION("""COMPUTED_VALUE"""),"Sin Asignar")</f>
        <v>Sin Asignar</v>
      </c>
      <c r="N1192" s="87">
        <f>IFERROR(__xludf.DUMMYFUNCTION("""COMPUTED_VALUE"""),0.0)</f>
        <v>0</v>
      </c>
      <c r="O1192" s="74"/>
      <c r="P1192" s="74" t="str">
        <f>IFERROR(__xludf.DUMMYFUNCTION("""COMPUTED_VALUE"""),"No Available")</f>
        <v>No Available</v>
      </c>
      <c r="Q1192" s="74"/>
      <c r="R1192" s="74"/>
      <c r="S1192" s="87">
        <f>IFERROR(__xludf.DUMMYFUNCTION("""COMPUTED_VALUE"""),0.0)</f>
        <v>0</v>
      </c>
      <c r="T1192" s="87">
        <f>IFERROR(__xludf.DUMMYFUNCTION("""COMPUTED_VALUE"""),0.0)</f>
        <v>0</v>
      </c>
      <c r="U1192" s="87">
        <f>IFERROR(__xludf.DUMMYFUNCTION("""COMPUTED_VALUE"""),0.0)</f>
        <v>0</v>
      </c>
      <c r="V1192" s="87">
        <f>IFERROR(__xludf.DUMMYFUNCTION("""COMPUTED_VALUE"""),0.0)</f>
        <v>0</v>
      </c>
      <c r="W1192" s="87">
        <f>IFERROR(__xludf.DUMMYFUNCTION("""COMPUTED_VALUE"""),0.0)</f>
        <v>0</v>
      </c>
      <c r="X1192" s="88"/>
      <c r="Y1192" s="74"/>
      <c r="Z1192" s="74"/>
    </row>
    <row r="1193">
      <c r="B1193" s="74" t="str">
        <f>IFERROR(__xludf.DUMMYFUNCTION("""COMPUTED_VALUE"""),"2191")</f>
        <v>2191</v>
      </c>
      <c r="C1193" s="74"/>
      <c r="D1193" s="74" t="str">
        <f>IFERROR(__xludf.DUMMYFUNCTION("""COMPUTED_VALUE"""),"\\MCA-S\mk\2_BM\0_BMat\08_PYM\Inventario\excel\Imagen de refacciones\Schwing\Hydraulic Pump A7VO107LH _ Bomba Hidráulica A7VO107LH")</f>
        <v>\\MCA-S\mk\2_BM\0_BMat\08_PYM\Inventario\excel\Imagen de refacciones\Schwing\Hydraulic Pump A7VO107LH _ Bomba Hidráulica A7VO107LH</v>
      </c>
      <c r="E1193" s="74"/>
      <c r="F1193" s="74" t="str">
        <f>IFERROR(__xludf.DUMMYFUNCTION("""COMPUTED_VALUE"""),"Hydraulic Pump A7VO107LH / Bomba Hidráulica A7VO107LH")</f>
        <v>Hydraulic Pump A7VO107LH / Bomba Hidráulica A7VO107LH</v>
      </c>
      <c r="G1193" s="74"/>
      <c r="H1193" s="74"/>
      <c r="I1193" s="74" t="str">
        <f>IFERROR(__xludf.DUMMYFUNCTION("""COMPUTED_VALUE"""),"SOM30312")</f>
        <v>SOM30312</v>
      </c>
      <c r="J1193" s="74" t="str">
        <f>IFERROR(__xludf.DUMMYFUNCTION("""COMPUTED_VALUE"""),"10155096")</f>
        <v>10155096</v>
      </c>
      <c r="K1193" s="74" t="str">
        <f>IFERROR(__xludf.DUMMYFUNCTION("""COMPUTED_VALUE"""),"Schwing")</f>
        <v>Schwing</v>
      </c>
      <c r="L1193" s="74" t="str">
        <f>IFERROR(__xludf.DUMMYFUNCTION("""COMPUTED_VALUE"""),"Componentes Hidráulicos")</f>
        <v>Componentes Hidráulicos</v>
      </c>
      <c r="M1193" s="74" t="str">
        <f>IFERROR(__xludf.DUMMYFUNCTION("""COMPUTED_VALUE"""),"Sin Asignar")</f>
        <v>Sin Asignar</v>
      </c>
      <c r="N1193" s="87">
        <f>IFERROR(__xludf.DUMMYFUNCTION("""COMPUTED_VALUE"""),0.0)</f>
        <v>0</v>
      </c>
      <c r="O1193" s="74"/>
      <c r="P1193" s="74" t="str">
        <f>IFERROR(__xludf.DUMMYFUNCTION("""COMPUTED_VALUE"""),"No Available")</f>
        <v>No Available</v>
      </c>
      <c r="Q1193" s="74"/>
      <c r="R1193" s="74"/>
      <c r="S1193" s="87">
        <f>IFERROR(__xludf.DUMMYFUNCTION("""COMPUTED_VALUE"""),0.0)</f>
        <v>0</v>
      </c>
      <c r="T1193" s="87">
        <f>IFERROR(__xludf.DUMMYFUNCTION("""COMPUTED_VALUE"""),0.0)</f>
        <v>0</v>
      </c>
      <c r="U1193" s="87">
        <f>IFERROR(__xludf.DUMMYFUNCTION("""COMPUTED_VALUE"""),0.0)</f>
        <v>0</v>
      </c>
      <c r="V1193" s="87">
        <f>IFERROR(__xludf.DUMMYFUNCTION("""COMPUTED_VALUE"""),0.0)</f>
        <v>0</v>
      </c>
      <c r="W1193" s="87">
        <f>IFERROR(__xludf.DUMMYFUNCTION("""COMPUTED_VALUE"""),0.0)</f>
        <v>0</v>
      </c>
      <c r="X1193" s="88"/>
      <c r="Y1193" s="74"/>
      <c r="Z1193" s="74"/>
    </row>
    <row r="1194">
      <c r="B1194" s="74" t="str">
        <f>IFERROR(__xludf.DUMMYFUNCTION("""COMPUTED_VALUE"""),"2192")</f>
        <v>2192</v>
      </c>
      <c r="C1194" s="74"/>
      <c r="D1194" s="74" t="str">
        <f>IFERROR(__xludf.DUMMYFUNCTION("""COMPUTED_VALUE"""),"\\MCA-S\mk\2_BM\0_BMat\08_PYM\Inventario\excel\Imagen de refacciones\Schwing\Hydraulic Pump A7VO80RLH1_63LH _ Bomba Hidráulica A7VO80RLH1_63LH")</f>
        <v>\\MCA-S\mk\2_BM\0_BMat\08_PYM\Inventario\excel\Imagen de refacciones\Schwing\Hydraulic Pump A7VO80RLH1_63LH _ Bomba Hidráulica A7VO80RLH1_63LH</v>
      </c>
      <c r="E1194" s="74"/>
      <c r="F1194" s="74" t="str">
        <f>IFERROR(__xludf.DUMMYFUNCTION("""COMPUTED_VALUE"""),"Hydraulic Pump A7VO80RLH1/63LH / Bomba Hidráulica A7VO80RLH1/63LH")</f>
        <v>Hydraulic Pump A7VO80RLH1/63LH / Bomba Hidráulica A7VO80RLH1/63LH</v>
      </c>
      <c r="G1194" s="74"/>
      <c r="H1194" s="74"/>
      <c r="I1194" s="74" t="str">
        <f>IFERROR(__xludf.DUMMYFUNCTION("""COMPUTED_VALUE"""),"SOM30311")</f>
        <v>SOM30311</v>
      </c>
      <c r="J1194" s="74" t="str">
        <f>IFERROR(__xludf.DUMMYFUNCTION("""COMPUTED_VALUE"""),"10155094")</f>
        <v>10155094</v>
      </c>
      <c r="K1194" s="74" t="str">
        <f>IFERROR(__xludf.DUMMYFUNCTION("""COMPUTED_VALUE"""),"Schwing")</f>
        <v>Schwing</v>
      </c>
      <c r="L1194" s="74" t="str">
        <f>IFERROR(__xludf.DUMMYFUNCTION("""COMPUTED_VALUE"""),"Componentes Hidráulicos")</f>
        <v>Componentes Hidráulicos</v>
      </c>
      <c r="M1194" s="74" t="str">
        <f>IFERROR(__xludf.DUMMYFUNCTION("""COMPUTED_VALUE"""),"Sin Asignar")</f>
        <v>Sin Asignar</v>
      </c>
      <c r="N1194" s="87">
        <f>IFERROR(__xludf.DUMMYFUNCTION("""COMPUTED_VALUE"""),0.0)</f>
        <v>0</v>
      </c>
      <c r="O1194" s="74"/>
      <c r="P1194" s="74" t="str">
        <f>IFERROR(__xludf.DUMMYFUNCTION("""COMPUTED_VALUE"""),"No Available")</f>
        <v>No Available</v>
      </c>
      <c r="Q1194" s="74"/>
      <c r="R1194" s="74"/>
      <c r="S1194" s="87">
        <f>IFERROR(__xludf.DUMMYFUNCTION("""COMPUTED_VALUE"""),0.0)</f>
        <v>0</v>
      </c>
      <c r="T1194" s="87">
        <f>IFERROR(__xludf.DUMMYFUNCTION("""COMPUTED_VALUE"""),0.0)</f>
        <v>0</v>
      </c>
      <c r="U1194" s="87">
        <f>IFERROR(__xludf.DUMMYFUNCTION("""COMPUTED_VALUE"""),0.0)</f>
        <v>0</v>
      </c>
      <c r="V1194" s="87">
        <f>IFERROR(__xludf.DUMMYFUNCTION("""COMPUTED_VALUE"""),0.0)</f>
        <v>0</v>
      </c>
      <c r="W1194" s="87">
        <f>IFERROR(__xludf.DUMMYFUNCTION("""COMPUTED_VALUE"""),0.0)</f>
        <v>0</v>
      </c>
      <c r="X1194" s="88"/>
      <c r="Y1194" s="74"/>
      <c r="Z1194" s="74"/>
    </row>
    <row r="1195">
      <c r="B1195" s="74" t="str">
        <f>IFERROR(__xludf.DUMMYFUNCTION("""COMPUTED_VALUE"""),"2193")</f>
        <v>2193</v>
      </c>
      <c r="C1195" s="74" t="str">
        <f>IFERROR(__xludf.DUMMYFUNCTION("""COMPUTED_VALUE"""),"75045880314")</f>
        <v>75045880314</v>
      </c>
      <c r="D1195" s="74" t="str">
        <f>IFERROR(__xludf.DUMMYFUNCTION("""COMPUTED_VALUE"""),"\\MCA-S\mk\2_BM\0_BMat\08_PYM\Inventario\excel\Imagen de refacciones\Schwing\Kit de reparación_ 6 rodillos, 2 retenes y 1 o-ring")</f>
        <v>\\MCA-S\mk\2_BM\0_BMat\08_PYM\Inventario\excel\Imagen de refacciones\Schwing\Kit de reparación_ 6 rodillos, 2 retenes y 1 o-ring</v>
      </c>
      <c r="E1195" s="74" t="str">
        <f>IFERROR(__xludf.DUMMYFUNCTION("""COMPUTED_VALUE"""),"SEAL KIT FOR WATER PUMP 1502C (LARGE)")</f>
        <v>SEAL KIT FOR WATER PUMP 1502C (LARGE)</v>
      </c>
      <c r="F1195" s="74" t="str">
        <f>IFERROR(__xludf.DUMMYFUNCTION("""COMPUTED_VALUE"""),"KIT REPARACION: 6 RODILLOS, 2 RETENES, 1 O-RING")</f>
        <v>KIT REPARACION: 6 RODILLOS, 2 RETENES, 1 O-RING</v>
      </c>
      <c r="G1195" s="74"/>
      <c r="H1195" s="74"/>
      <c r="I1195" s="74" t="str">
        <f>IFERROR(__xludf.DUMMYFUNCTION("""COMPUTED_VALUE"""),"30302838")</f>
        <v>30302838</v>
      </c>
      <c r="J1195" s="74"/>
      <c r="K1195" s="74" t="str">
        <f>IFERROR(__xludf.DUMMYFUNCTION("""COMPUTED_VALUE"""),"Schwing")</f>
        <v>Schwing</v>
      </c>
      <c r="L1195" s="74" t="str">
        <f>IFERROR(__xludf.DUMMYFUNCTION("""COMPUTED_VALUE"""),"SIN ASIGNAR")</f>
        <v>SIN ASIGNAR</v>
      </c>
      <c r="M1195" s="74" t="str">
        <f>IFERROR(__xludf.DUMMYFUNCTION("""COMPUTED_VALUE"""),"SIN ASIGNAR")</f>
        <v>SIN ASIGNAR</v>
      </c>
      <c r="N1195" s="87">
        <f>IFERROR(__xludf.DUMMYFUNCTION("""COMPUTED_VALUE"""),0.0)</f>
        <v>0</v>
      </c>
      <c r="O1195" s="74"/>
      <c r="P1195" s="74" t="str">
        <f>IFERROR(__xludf.DUMMYFUNCTION("""COMPUTED_VALUE"""),"To Re-purchase")</f>
        <v>To Re-purchase</v>
      </c>
      <c r="Q1195" s="74"/>
      <c r="R1195" s="74"/>
      <c r="S1195" s="87">
        <f>IFERROR(__xludf.DUMMYFUNCTION("""COMPUTED_VALUE"""),0.0)</f>
        <v>0</v>
      </c>
      <c r="T1195" s="87">
        <f>IFERROR(__xludf.DUMMYFUNCTION("""COMPUTED_VALUE"""),0.0)</f>
        <v>0</v>
      </c>
      <c r="U1195" s="87">
        <f>IFERROR(__xludf.DUMMYFUNCTION("""COMPUTED_VALUE"""),0.0)</f>
        <v>0</v>
      </c>
      <c r="V1195" s="87">
        <f>IFERROR(__xludf.DUMMYFUNCTION("""COMPUTED_VALUE"""),0.0)</f>
        <v>0</v>
      </c>
      <c r="W1195" s="87">
        <f>IFERROR(__xludf.DUMMYFUNCTION("""COMPUTED_VALUE"""),0.0)</f>
        <v>0</v>
      </c>
      <c r="X1195" s="88"/>
      <c r="Y1195" s="74"/>
      <c r="Z1195" s="74"/>
    </row>
    <row r="1196">
      <c r="B1196" s="74" t="str">
        <f>IFERROR(__xludf.DUMMYFUNCTION("""COMPUTED_VALUE"""),"2194")</f>
        <v>2194</v>
      </c>
      <c r="C1196" s="74" t="str">
        <f>IFERROR(__xludf.DUMMYFUNCTION("""COMPUTED_VALUE"""),"7504589")</f>
        <v>7504589</v>
      </c>
      <c r="D1196" s="74" t="str">
        <f>IFERROR(__xludf.DUMMYFUNCTION("""COMPUTED_VALUE"""),"\\MCA-S\mk\2_BM\0_BMat\08_PYM\Inventario\excel\Imagen de refacciones\Schwing\Kit de sellos para motor agitador")</f>
        <v>\\MCA-S\mk\2_BM\0_BMat\08_PYM\Inventario\excel\Imagen de refacciones\Schwing\Kit de sellos para motor agitador</v>
      </c>
      <c r="E1196" s="74" t="str">
        <f>IFERROR(__xludf.DUMMYFUNCTION("""COMPUTED_VALUE"""),"PUMP SEAL KIT FOR WHITE HYDRAULIC MOTOR 470")</f>
        <v>PUMP SEAL KIT FOR WHITE HYDRAULIC MOTOR 470</v>
      </c>
      <c r="F1196" s="74" t="str">
        <f>IFERROR(__xludf.DUMMYFUNCTION("""COMPUTED_VALUE"""),"KIT DE SELLOS PARA MOTOR AGITADOR 470")</f>
        <v>KIT DE SELLOS PARA MOTOR AGITADOR 470</v>
      </c>
      <c r="G1196" s="74"/>
      <c r="H1196" s="74"/>
      <c r="I1196" s="74" t="str">
        <f>IFERROR(__xludf.DUMMYFUNCTION("""COMPUTED_VALUE"""),"30321012")</f>
        <v>30321012</v>
      </c>
      <c r="J1196" s="74"/>
      <c r="K1196" s="74" t="str">
        <f>IFERROR(__xludf.DUMMYFUNCTION("""COMPUTED_VALUE"""),"Schwing")</f>
        <v>Schwing</v>
      </c>
      <c r="L1196" s="74"/>
      <c r="M1196" s="74" t="str">
        <f>IFERROR(__xludf.DUMMYFUNCTION("""COMPUTED_VALUE"""),"EMPAQUES")</f>
        <v>EMPAQUES</v>
      </c>
      <c r="N1196" s="87">
        <f>IFERROR(__xludf.DUMMYFUNCTION("""COMPUTED_VALUE"""),1243.2)</f>
        <v>1243.2</v>
      </c>
      <c r="O1196" s="74">
        <f>IFERROR(__xludf.DUMMYFUNCTION("""COMPUTED_VALUE"""),5.0)</f>
        <v>5</v>
      </c>
      <c r="P1196" s="74" t="str">
        <f>IFERROR(__xludf.DUMMYFUNCTION("""COMPUTED_VALUE"""),"In stock")</f>
        <v>In stock</v>
      </c>
      <c r="Q1196" s="74"/>
      <c r="R1196" s="74"/>
      <c r="S1196" s="87">
        <f>IFERROR(__xludf.DUMMYFUNCTION("""COMPUTED_VALUE"""),9.0)</f>
        <v>9</v>
      </c>
      <c r="T1196" s="87">
        <f>IFERROR(__xludf.DUMMYFUNCTION("""COMPUTED_VALUE"""),70.0)</f>
        <v>70</v>
      </c>
      <c r="U1196" s="87">
        <f>IFERROR(__xludf.DUMMYFUNCTION("""COMPUTED_VALUE"""),67.2)</f>
        <v>67.2</v>
      </c>
      <c r="V1196" s="87">
        <f>IFERROR(__xludf.DUMMYFUNCTION("""COMPUTED_VALUE"""),11.025)</f>
        <v>11.025</v>
      </c>
      <c r="W1196" s="87">
        <f>IFERROR(__xludf.DUMMYFUNCTION("""COMPUTED_VALUE"""),206.71875)</f>
        <v>206.71875</v>
      </c>
      <c r="X1196" s="88">
        <f>IFERROR(__xludf.DUMMYFUNCTION("""COMPUTED_VALUE"""),7.466666666666667)</f>
        <v>7.466666667</v>
      </c>
      <c r="Y1196" s="74"/>
      <c r="Z1196" s="74"/>
    </row>
    <row r="1197">
      <c r="B1197" s="74" t="str">
        <f>IFERROR(__xludf.DUMMYFUNCTION("""COMPUTED_VALUE"""),"2195")</f>
        <v>2195</v>
      </c>
      <c r="C1197" s="74" t="str">
        <f>IFERROR(__xludf.DUMMYFUNCTION("""COMPUTED_VALUE"""),"75045880334")</f>
        <v>75045880334</v>
      </c>
      <c r="D1197" s="74" t="str">
        <f>IFERROR(__xludf.DUMMYFUNCTION("""COMPUTED_VALUE"""),"\\MCA-S\mk\2_BM\0_BMat\08_PYM\Inventario\excel\Imagen de refacciones\Schwing\Llave de paso 1_4_ BSP")</f>
        <v>\\MCA-S\mk\2_BM\0_BMat\08_PYM\Inventario\excel\Imagen de refacciones\Schwing\Llave de paso 1_4_ BSP</v>
      </c>
      <c r="E1197" s="74" t="str">
        <f>IFERROR(__xludf.DUMMYFUNCTION("""COMPUTED_VALUE"""),"VALVE HYD. SHUT-OFF DP- 1/4"" BSP THREAD")</f>
        <v>VALVE HYD. SHUT-OFF DP- 1/4" BSP THREAD</v>
      </c>
      <c r="F1197" s="74" t="str">
        <f>IFERROR(__xludf.DUMMYFUNCTION("""COMPUTED_VALUE"""),"LLAVE DE PASO 1/4"" BSP")</f>
        <v>LLAVE DE PASO 1/4" BSP</v>
      </c>
      <c r="G1197" s="74"/>
      <c r="H1197" s="74"/>
      <c r="I1197" s="74" t="str">
        <f>IFERROR(__xludf.DUMMYFUNCTION("""COMPUTED_VALUE"""),"10004685")</f>
        <v>10004685</v>
      </c>
      <c r="J1197" s="74"/>
      <c r="K1197" s="74" t="str">
        <f>IFERROR(__xludf.DUMMYFUNCTION("""COMPUTED_VALUE"""),"Schwing")</f>
        <v>Schwing</v>
      </c>
      <c r="L1197" s="74"/>
      <c r="M1197" s="74" t="str">
        <f>IFERROR(__xludf.DUMMYFUNCTION("""COMPUTED_VALUE"""),"Sin Asignar")</f>
        <v>Sin Asignar</v>
      </c>
      <c r="N1197" s="87">
        <f>IFERROR(__xludf.DUMMYFUNCTION("""COMPUTED_VALUE"""),0.0)</f>
        <v>0</v>
      </c>
      <c r="O1197" s="74"/>
      <c r="P1197" s="74" t="str">
        <f>IFERROR(__xludf.DUMMYFUNCTION("""COMPUTED_VALUE"""),"To Re-purchase")</f>
        <v>To Re-purchase</v>
      </c>
      <c r="Q1197" s="74"/>
      <c r="R1197" s="74"/>
      <c r="S1197" s="87">
        <f>IFERROR(__xludf.DUMMYFUNCTION("""COMPUTED_VALUE"""),0.0)</f>
        <v>0</v>
      </c>
      <c r="T1197" s="87">
        <f>IFERROR(__xludf.DUMMYFUNCTION("""COMPUTED_VALUE"""),0.0)</f>
        <v>0</v>
      </c>
      <c r="U1197" s="87">
        <f>IFERROR(__xludf.DUMMYFUNCTION("""COMPUTED_VALUE"""),0.0)</f>
        <v>0</v>
      </c>
      <c r="V1197" s="87">
        <f>IFERROR(__xludf.DUMMYFUNCTION("""COMPUTED_VALUE"""),0.0)</f>
        <v>0</v>
      </c>
      <c r="W1197" s="87">
        <f>IFERROR(__xludf.DUMMYFUNCTION("""COMPUTED_VALUE"""),0.0)</f>
        <v>0</v>
      </c>
      <c r="X1197" s="88"/>
      <c r="Y1197" s="74"/>
      <c r="Z1197" s="74"/>
    </row>
    <row r="1198">
      <c r="B1198" s="74" t="str">
        <f>IFERROR(__xludf.DUMMYFUNCTION("""COMPUTED_VALUE"""),"2196")</f>
        <v>2196</v>
      </c>
      <c r="C1198" s="74"/>
      <c r="D1198" s="74" t="str">
        <f>IFERROR(__xludf.DUMMYFUNCTION("""COMPUTED_VALUE"""),"\\MCA-S\mk\2_BM\0_BMat\08_PYM\Inventario\excel\Imagen de refacciones\Schwing\Locking Cap DN 250 _ Tapa de Bloqueo DN 250")</f>
        <v>\\MCA-S\mk\2_BM\0_BMat\08_PYM\Inventario\excel\Imagen de refacciones\Schwing\Locking Cap DN 250 _ Tapa de Bloqueo DN 250</v>
      </c>
      <c r="E1198" s="74"/>
      <c r="F1198" s="74" t="str">
        <f>IFERROR(__xludf.DUMMYFUNCTION("""COMPUTED_VALUE"""),"Locking Cap DN 250 / Tapa de Bloqueo DN 250")</f>
        <v>Locking Cap DN 250 / Tapa de Bloqueo DN 250</v>
      </c>
      <c r="G1198" s="74"/>
      <c r="H1198" s="74"/>
      <c r="I1198" s="74" t="str">
        <f>IFERROR(__xludf.DUMMYFUNCTION("""COMPUTED_VALUE"""),"SOM30047")</f>
        <v>SOM30047</v>
      </c>
      <c r="J1198" s="74" t="str">
        <f>IFERROR(__xludf.DUMMYFUNCTION("""COMPUTED_VALUE"""),"10060782")</f>
        <v>10060782</v>
      </c>
      <c r="K1198" s="74" t="str">
        <f>IFERROR(__xludf.DUMMYFUNCTION("""COMPUTED_VALUE"""),"Schwing")</f>
        <v>Schwing</v>
      </c>
      <c r="L1198" s="74" t="str">
        <f>IFERROR(__xludf.DUMMYFUNCTION("""COMPUTED_VALUE"""),"Componentes Estructurales y de Montaje")</f>
        <v>Componentes Estructurales y de Montaje</v>
      </c>
      <c r="M1198" s="74" t="str">
        <f>IFERROR(__xludf.DUMMYFUNCTION("""COMPUTED_VALUE"""),"Sin Asignar")</f>
        <v>Sin Asignar</v>
      </c>
      <c r="N1198" s="87">
        <f>IFERROR(__xludf.DUMMYFUNCTION("""COMPUTED_VALUE"""),0.0)</f>
        <v>0</v>
      </c>
      <c r="O1198" s="74"/>
      <c r="P1198" s="74" t="str">
        <f>IFERROR(__xludf.DUMMYFUNCTION("""COMPUTED_VALUE"""),"No Available")</f>
        <v>No Available</v>
      </c>
      <c r="Q1198" s="74"/>
      <c r="R1198" s="74"/>
      <c r="S1198" s="87">
        <f>IFERROR(__xludf.DUMMYFUNCTION("""COMPUTED_VALUE"""),0.0)</f>
        <v>0</v>
      </c>
      <c r="T1198" s="87">
        <f>IFERROR(__xludf.DUMMYFUNCTION("""COMPUTED_VALUE"""),0.0)</f>
        <v>0</v>
      </c>
      <c r="U1198" s="87">
        <f>IFERROR(__xludf.DUMMYFUNCTION("""COMPUTED_VALUE"""),0.0)</f>
        <v>0</v>
      </c>
      <c r="V1198" s="87">
        <f>IFERROR(__xludf.DUMMYFUNCTION("""COMPUTED_VALUE"""),0.0)</f>
        <v>0</v>
      </c>
      <c r="W1198" s="87">
        <f>IFERROR(__xludf.DUMMYFUNCTION("""COMPUTED_VALUE"""),0.0)</f>
        <v>0</v>
      </c>
      <c r="X1198" s="88"/>
      <c r="Y1198" s="74"/>
      <c r="Z1198" s="74"/>
    </row>
    <row r="1199">
      <c r="B1199" s="74" t="str">
        <f>IFERROR(__xludf.DUMMYFUNCTION("""COMPUTED_VALUE"""),"2197")</f>
        <v>2197</v>
      </c>
      <c r="C1199" s="74" t="str">
        <f>IFERROR(__xludf.DUMMYFUNCTION("""COMPUTED_VALUE"""),"75045892197")</f>
        <v>75045892197</v>
      </c>
      <c r="D1199" s="74" t="str">
        <f>IFERROR(__xludf.DUMMYFUNCTION("""COMPUTED_VALUE"""),"\\MCA-S\mk\2_BM\0_BMat\08_PYM\Inventario\excel\Imagen de refacciones\Schwing\Motor Agitador Roller Strator")</f>
        <v>\\MCA-S\mk\2_BM\0_BMat\08_PYM\Inventario\excel\Imagen de refacciones\Schwing\Motor Agitador Roller Strator</v>
      </c>
      <c r="E1199" s="74" t="str">
        <f>IFERROR(__xludf.DUMMYFUNCTION("""COMPUTED_VALUE"""),"AGITATOR MOTOR 470")</f>
        <v>AGITATOR MOTOR 470</v>
      </c>
      <c r="F1199" s="74" t="str">
        <f>IFERROR(__xludf.DUMMYFUNCTION("""COMPUTED_VALUE"""),"MOTOR HIDRAULICO AGITADOR 470")</f>
        <v>MOTOR HIDRAULICO AGITADOR 470</v>
      </c>
      <c r="G1199" s="74"/>
      <c r="H1199" s="74"/>
      <c r="I1199" s="74" t="str">
        <f>IFERROR(__xludf.DUMMYFUNCTION("""COMPUTED_VALUE"""),"10039180")</f>
        <v>10039180</v>
      </c>
      <c r="J1199" s="74"/>
      <c r="K1199" s="74" t="str">
        <f>IFERROR(__xludf.DUMMYFUNCTION("""COMPUTED_VALUE"""),"Schwing")</f>
        <v>Schwing</v>
      </c>
      <c r="L1199" s="74" t="str">
        <f>IFERROR(__xludf.DUMMYFUNCTION("""COMPUTED_VALUE"""),"BARRA V-ROCK")</f>
        <v>BARRA V-ROCK</v>
      </c>
      <c r="M1199" s="74" t="str">
        <f>IFERROR(__xludf.DUMMYFUNCTION("""COMPUTED_VALUE"""),"Sin Asignar")</f>
        <v>Sin Asignar</v>
      </c>
      <c r="N1199" s="87">
        <f>IFERROR(__xludf.DUMMYFUNCTION("""COMPUTED_VALUE"""),8453.76)</f>
        <v>8453.76</v>
      </c>
      <c r="O1199" s="74">
        <f>IFERROR(__xludf.DUMMYFUNCTION("""COMPUTED_VALUE"""),3.0)</f>
        <v>3</v>
      </c>
      <c r="P1199" s="74" t="str">
        <f>IFERROR(__xludf.DUMMYFUNCTION("""COMPUTED_VALUE"""),"In stock")</f>
        <v>In stock</v>
      </c>
      <c r="Q1199" s="74"/>
      <c r="R1199" s="74"/>
      <c r="S1199" s="87">
        <f>IFERROR(__xludf.DUMMYFUNCTION("""COMPUTED_VALUE"""),88.0)</f>
        <v>88</v>
      </c>
      <c r="T1199" s="87">
        <f>IFERROR(__xludf.DUMMYFUNCTION("""COMPUTED_VALUE"""),476.0)</f>
        <v>476</v>
      </c>
      <c r="U1199" s="87">
        <f>IFERROR(__xludf.DUMMYFUNCTION("""COMPUTED_VALUE"""),456.96)</f>
        <v>456.96</v>
      </c>
      <c r="V1199" s="87">
        <f>IFERROR(__xludf.DUMMYFUNCTION("""COMPUTED_VALUE"""),107.8)</f>
        <v>107.8</v>
      </c>
      <c r="W1199" s="87">
        <f>IFERROR(__xludf.DUMMYFUNCTION("""COMPUTED_VALUE"""),2021.25)</f>
        <v>2021.25</v>
      </c>
      <c r="X1199" s="88">
        <f>IFERROR(__xludf.DUMMYFUNCTION("""COMPUTED_VALUE"""),5.192727272727272)</f>
        <v>5.192727273</v>
      </c>
      <c r="Y1199" s="74"/>
      <c r="Z1199" s="74"/>
    </row>
    <row r="1200">
      <c r="B1200" s="74" t="str">
        <f>IFERROR(__xludf.DUMMYFUNCTION("""COMPUTED_VALUE"""),"2198")</f>
        <v>2198</v>
      </c>
      <c r="C1200" s="74"/>
      <c r="D1200" s="74" t="str">
        <f>IFERROR(__xludf.DUMMYFUNCTION("""COMPUTED_VALUE"""),"\\MCA-S\mk\2_BM\0_BMat\08_PYM\Inventario\excel\Imagen de refacciones\Schwing\OEM Hydraulic Motor _ Motor Hidráulico OEM")</f>
        <v>\\MCA-S\mk\2_BM\0_BMat\08_PYM\Inventario\excel\Imagen de refacciones\Schwing\OEM Hydraulic Motor _ Motor Hidráulico OEM</v>
      </c>
      <c r="E1200" s="74"/>
      <c r="F1200" s="74" t="str">
        <f>IFERROR(__xludf.DUMMYFUNCTION("""COMPUTED_VALUE"""),"OEM Hydraulic Motor / Motor Hidráulico OEM")</f>
        <v>OEM Hydraulic Motor / Motor Hidráulico OEM</v>
      </c>
      <c r="G1200" s="74"/>
      <c r="H1200" s="74"/>
      <c r="I1200" s="74" t="str">
        <f>IFERROR(__xludf.DUMMYFUNCTION("""COMPUTED_VALUE"""),"SOM30161")</f>
        <v>SOM30161</v>
      </c>
      <c r="J1200" s="74" t="str">
        <f>IFERROR(__xludf.DUMMYFUNCTION("""COMPUTED_VALUE"""),"10039180")</f>
        <v>10039180</v>
      </c>
      <c r="K1200" s="74" t="str">
        <f>IFERROR(__xludf.DUMMYFUNCTION("""COMPUTED_VALUE"""),"Schwing")</f>
        <v>Schwing</v>
      </c>
      <c r="L1200" s="74" t="str">
        <f>IFERROR(__xludf.DUMMYFUNCTION("""COMPUTED_VALUE"""),"Componentes Hidráulicos")</f>
        <v>Componentes Hidráulicos</v>
      </c>
      <c r="M1200" s="74" t="str">
        <f>IFERROR(__xludf.DUMMYFUNCTION("""COMPUTED_VALUE"""),"Sin Asignar")</f>
        <v>Sin Asignar</v>
      </c>
      <c r="N1200" s="87">
        <f>IFERROR(__xludf.DUMMYFUNCTION("""COMPUTED_VALUE"""),0.0)</f>
        <v>0</v>
      </c>
      <c r="O1200" s="74"/>
      <c r="P1200" s="74" t="str">
        <f>IFERROR(__xludf.DUMMYFUNCTION("""COMPUTED_VALUE"""),"borrar")</f>
        <v>borrar</v>
      </c>
      <c r="Q1200" s="74"/>
      <c r="R1200" s="74"/>
      <c r="S1200" s="87">
        <f>IFERROR(__xludf.DUMMYFUNCTION("""COMPUTED_VALUE"""),0.0)</f>
        <v>0</v>
      </c>
      <c r="T1200" s="87">
        <f>IFERROR(__xludf.DUMMYFUNCTION("""COMPUTED_VALUE"""),0.0)</f>
        <v>0</v>
      </c>
      <c r="U1200" s="87">
        <f>IFERROR(__xludf.DUMMYFUNCTION("""COMPUTED_VALUE"""),0.0)</f>
        <v>0</v>
      </c>
      <c r="V1200" s="87">
        <f>IFERROR(__xludf.DUMMYFUNCTION("""COMPUTED_VALUE"""),0.0)</f>
        <v>0</v>
      </c>
      <c r="W1200" s="87">
        <f>IFERROR(__xludf.DUMMYFUNCTION("""COMPUTED_VALUE"""),0.0)</f>
        <v>0</v>
      </c>
      <c r="X1200" s="88"/>
      <c r="Y1200" s="74"/>
      <c r="Z1200" s="74"/>
    </row>
    <row r="1201">
      <c r="B1201" s="74" t="str">
        <f>IFERROR(__xludf.DUMMYFUNCTION("""COMPUTED_VALUE"""),"2199")</f>
        <v>2199</v>
      </c>
      <c r="C1201" s="74"/>
      <c r="D1201" s="74" t="str">
        <f>IFERROR(__xludf.DUMMYFUNCTION("""COMPUTED_VALUE"""),"\\MCA-S\mk\2_BM\0_BMat\08_PYM\Inventario\excel\Imagen de refacciones\Schwing\O-Ring 200X10 _ Junta Tórica 200X10")</f>
        <v>\\MCA-S\mk\2_BM\0_BMat\08_PYM\Inventario\excel\Imagen de refacciones\Schwing\O-Ring 200X10 _ Junta Tórica 200X10</v>
      </c>
      <c r="E1201" s="74"/>
      <c r="F1201" s="74" t="str">
        <f>IFERROR(__xludf.DUMMYFUNCTION("""COMPUTED_VALUE"""),"O-Ring 200X10 / Junta Tórica 200X10")</f>
        <v>O-Ring 200X10 / Junta Tórica 200X10</v>
      </c>
      <c r="G1201" s="74"/>
      <c r="H1201" s="74"/>
      <c r="I1201" s="74" t="str">
        <f>IFERROR(__xludf.DUMMYFUNCTION("""COMPUTED_VALUE"""),"SOM30253")</f>
        <v>SOM30253</v>
      </c>
      <c r="J1201" s="74" t="str">
        <f>IFERROR(__xludf.DUMMYFUNCTION("""COMPUTED_VALUE"""),"10000602")</f>
        <v>10000602</v>
      </c>
      <c r="K1201" s="74" t="str">
        <f>IFERROR(__xludf.DUMMYFUNCTION("""COMPUTED_VALUE"""),"Schwing")</f>
        <v>Schwing</v>
      </c>
      <c r="L1201" s="74" t="str">
        <f>IFERROR(__xludf.DUMMYFUNCTION("""COMPUTED_VALUE"""),"Sellos y Retenes")</f>
        <v>Sellos y Retenes</v>
      </c>
      <c r="M1201" s="74" t="str">
        <f>IFERROR(__xludf.DUMMYFUNCTION("""COMPUTED_VALUE"""),"Sin Asignar")</f>
        <v>Sin Asignar</v>
      </c>
      <c r="N1201" s="87">
        <f>IFERROR(__xludf.DUMMYFUNCTION("""COMPUTED_VALUE"""),0.0)</f>
        <v>0</v>
      </c>
      <c r="O1201" s="74"/>
      <c r="P1201" s="74" t="str">
        <f>IFERROR(__xludf.DUMMYFUNCTION("""COMPUTED_VALUE"""),"borrar")</f>
        <v>borrar</v>
      </c>
      <c r="Q1201" s="74"/>
      <c r="R1201" s="74"/>
      <c r="S1201" s="87">
        <f>IFERROR(__xludf.DUMMYFUNCTION("""COMPUTED_VALUE"""),0.0)</f>
        <v>0</v>
      </c>
      <c r="T1201" s="87">
        <f>IFERROR(__xludf.DUMMYFUNCTION("""COMPUTED_VALUE"""),0.0)</f>
        <v>0</v>
      </c>
      <c r="U1201" s="87">
        <f>IFERROR(__xludf.DUMMYFUNCTION("""COMPUTED_VALUE"""),0.0)</f>
        <v>0</v>
      </c>
      <c r="V1201" s="87">
        <f>IFERROR(__xludf.DUMMYFUNCTION("""COMPUTED_VALUE"""),0.0)</f>
        <v>0</v>
      </c>
      <c r="W1201" s="87">
        <f>IFERROR(__xludf.DUMMYFUNCTION("""COMPUTED_VALUE"""),0.0)</f>
        <v>0</v>
      </c>
      <c r="X1201" s="88"/>
      <c r="Y1201" s="74"/>
      <c r="Z1201" s="74"/>
    </row>
    <row r="1202">
      <c r="B1202" s="74" t="str">
        <f>IFERROR(__xludf.DUMMYFUNCTION("""COMPUTED_VALUE"""),"2200")</f>
        <v>2200</v>
      </c>
      <c r="C1202" s="74" t="str">
        <f>IFERROR(__xludf.DUMMYFUNCTION("""COMPUTED_VALUE"""),"75045880315")</f>
        <v>75045880315</v>
      </c>
      <c r="D1202" s="74" t="str">
        <f>IFERROR(__xludf.DUMMYFUNCTION("""COMPUTED_VALUE"""),"\\MCA-S\mk\2_BM\0_BMat\08_PYM\Inventario\excel\Imagen de refacciones\Schwing\O-Ring 60XS")</f>
        <v>\\MCA-S\mk\2_BM\0_BMat\08_PYM\Inventario\excel\Imagen de refacciones\Schwing\O-Ring 60XS</v>
      </c>
      <c r="E1202" s="74" t="str">
        <f>IFERROR(__xludf.DUMMYFUNCTION("""COMPUTED_VALUE"""),"O-RING 60X5")</f>
        <v>O-RING 60X5</v>
      </c>
      <c r="F1202" s="74" t="str">
        <f>IFERROR(__xludf.DUMMYFUNCTION("""COMPUTED_VALUE"""),"SELLO O-RING 60X5 ")</f>
        <v>SELLO O-RING 60X5 </v>
      </c>
      <c r="G1202" s="74"/>
      <c r="H1202" s="74"/>
      <c r="I1202" s="74" t="str">
        <f>IFERROR(__xludf.DUMMYFUNCTION("""COMPUTED_VALUE"""),"10000765")</f>
        <v>10000765</v>
      </c>
      <c r="J1202" s="74"/>
      <c r="K1202" s="74" t="str">
        <f>IFERROR(__xludf.DUMMYFUNCTION("""COMPUTED_VALUE"""),"Schwing")</f>
        <v>Schwing</v>
      </c>
      <c r="L1202" s="74"/>
      <c r="M1202" s="74" t="str">
        <f>IFERROR(__xludf.DUMMYFUNCTION("""COMPUTED_VALUE"""),"Sin Asignar")</f>
        <v>Sin Asignar</v>
      </c>
      <c r="N1202" s="87">
        <f>IFERROR(__xludf.DUMMYFUNCTION("""COMPUTED_VALUE"""),88.8)</f>
        <v>88.8</v>
      </c>
      <c r="O1202" s="74">
        <f>IFERROR(__xludf.DUMMYFUNCTION("""COMPUTED_VALUE"""),10.0)</f>
        <v>10</v>
      </c>
      <c r="P1202" s="74" t="str">
        <f>IFERROR(__xludf.DUMMYFUNCTION("""COMPUTED_VALUE"""),"In stock")</f>
        <v>In stock</v>
      </c>
      <c r="Q1202" s="74"/>
      <c r="R1202" s="74"/>
      <c r="S1202" s="87">
        <f>IFERROR(__xludf.DUMMYFUNCTION("""COMPUTED_VALUE"""),0.3)</f>
        <v>0.3</v>
      </c>
      <c r="T1202" s="87">
        <f>IFERROR(__xludf.DUMMYFUNCTION("""COMPUTED_VALUE"""),5.0)</f>
        <v>5</v>
      </c>
      <c r="U1202" s="87">
        <f>IFERROR(__xludf.DUMMYFUNCTION("""COMPUTED_VALUE"""),4.8)</f>
        <v>4.8</v>
      </c>
      <c r="V1202" s="87">
        <f>IFERROR(__xludf.DUMMYFUNCTION("""COMPUTED_VALUE"""),0.3675)</f>
        <v>0.3675</v>
      </c>
      <c r="W1202" s="87">
        <f>IFERROR(__xludf.DUMMYFUNCTION("""COMPUTED_VALUE"""),6.890625)</f>
        <v>6.890625</v>
      </c>
      <c r="X1202" s="88">
        <f>IFERROR(__xludf.DUMMYFUNCTION("""COMPUTED_VALUE"""),16.0)</f>
        <v>16</v>
      </c>
      <c r="Y1202" s="74"/>
      <c r="Z1202" s="74"/>
    </row>
    <row r="1203">
      <c r="B1203" s="74" t="str">
        <f>IFERROR(__xludf.DUMMYFUNCTION("""COMPUTED_VALUE"""),"2201")</f>
        <v>2201</v>
      </c>
      <c r="C1203" s="74" t="str">
        <f>IFERROR(__xludf.DUMMYFUNCTION("""COMPUTED_VALUE"""),"75045880264")</f>
        <v>75045880264</v>
      </c>
      <c r="D1203" s="74" t="str">
        <f>IFERROR(__xludf.DUMMYFUNCTION("""COMPUTED_VALUE"""),"\\MCA-S\mk\2_BM\0_BMat\08_PYM\Inventario\excel\Imagen de refacciones\Schwing\O-ring 70X8 NBR 71")</f>
        <v>\\MCA-S\mk\2_BM\0_BMat\08_PYM\Inventario\excel\Imagen de refacciones\Schwing\O-ring 70X8 NBR 71</v>
      </c>
      <c r="E1203" s="74" t="str">
        <f>IFERROR(__xludf.DUMMYFUNCTION("""COMPUTED_VALUE"""),"O-RING 70X8 NBR 70")</f>
        <v>O-RING 70X8 NBR 70</v>
      </c>
      <c r="F1203" s="74" t="str">
        <f>IFERROR(__xludf.DUMMYFUNCTION("""COMPUTED_VALUE"""),"SELLO O-RING 70X8 NBR 70 ")</f>
        <v>SELLO O-RING 70X8 NBR 70 </v>
      </c>
      <c r="G1203" s="74"/>
      <c r="H1203" s="74"/>
      <c r="I1203" s="74" t="str">
        <f>IFERROR(__xludf.DUMMYFUNCTION("""COMPUTED_VALUE"""),"10017436")</f>
        <v>10017436</v>
      </c>
      <c r="J1203" s="74"/>
      <c r="K1203" s="74" t="str">
        <f>IFERROR(__xludf.DUMMYFUNCTION("""COMPUTED_VALUE"""),"Schwing")</f>
        <v>Schwing</v>
      </c>
      <c r="L1203" s="74" t="str">
        <f>IFERROR(__xludf.DUMMYFUNCTION("""COMPUTED_VALUE"""),"BARRA V-ROCK")</f>
        <v>BARRA V-ROCK</v>
      </c>
      <c r="M1203" s="74" t="str">
        <f>IFERROR(__xludf.DUMMYFUNCTION("""COMPUTED_VALUE"""),"SIN ASIGNAR")</f>
        <v>SIN ASIGNAR</v>
      </c>
      <c r="N1203" s="87">
        <f>IFERROR(__xludf.DUMMYFUNCTION("""COMPUTED_VALUE"""),53.28)</f>
        <v>53.28</v>
      </c>
      <c r="O1203" s="74">
        <f>IFERROR(__xludf.DUMMYFUNCTION("""COMPUTED_VALUE"""),30.0)</f>
        <v>30</v>
      </c>
      <c r="P1203" s="74" t="str">
        <f>IFERROR(__xludf.DUMMYFUNCTION("""COMPUTED_VALUE"""),"In stock")</f>
        <v>In stock</v>
      </c>
      <c r="Q1203" s="74"/>
      <c r="R1203" s="74"/>
      <c r="S1203" s="87">
        <f>IFERROR(__xludf.DUMMYFUNCTION("""COMPUTED_VALUE"""),0.3)</f>
        <v>0.3</v>
      </c>
      <c r="T1203" s="87">
        <f>IFERROR(__xludf.DUMMYFUNCTION("""COMPUTED_VALUE"""),3.0)</f>
        <v>3</v>
      </c>
      <c r="U1203" s="87">
        <f>IFERROR(__xludf.DUMMYFUNCTION("""COMPUTED_VALUE"""),2.88)</f>
        <v>2.88</v>
      </c>
      <c r="V1203" s="87">
        <f>IFERROR(__xludf.DUMMYFUNCTION("""COMPUTED_VALUE"""),0.3675)</f>
        <v>0.3675</v>
      </c>
      <c r="W1203" s="87">
        <f>IFERROR(__xludf.DUMMYFUNCTION("""COMPUTED_VALUE"""),6.890625)</f>
        <v>6.890625</v>
      </c>
      <c r="X1203" s="88">
        <f>IFERROR(__xludf.DUMMYFUNCTION("""COMPUTED_VALUE"""),9.6)</f>
        <v>9.6</v>
      </c>
      <c r="Y1203" s="74"/>
      <c r="Z1203" s="74"/>
    </row>
    <row r="1204">
      <c r="B1204" s="74" t="str">
        <f>IFERROR(__xludf.DUMMYFUNCTION("""COMPUTED_VALUE"""),"2202")</f>
        <v>2202</v>
      </c>
      <c r="C1204" s="74" t="str">
        <f>IFERROR(__xludf.DUMMYFUNCTION("""COMPUTED_VALUE"""),"75045880265")</f>
        <v>75045880265</v>
      </c>
      <c r="D1204" s="74" t="str">
        <f>IFERROR(__xludf.DUMMYFUNCTION("""COMPUTED_VALUE"""),"\\MCA-S\mk\2_BM\0_BMat\08_PYM\Inventario\excel\Imagen de refacciones\Schwing\O-ring 95x8 NBR 71")</f>
        <v>\\MCA-S\mk\2_BM\0_BMat\08_PYM\Inventario\excel\Imagen de refacciones\Schwing\O-ring 95x8 NBR 71</v>
      </c>
      <c r="E1204" s="74" t="str">
        <f>IFERROR(__xludf.DUMMYFUNCTION("""COMPUTED_VALUE"""),"O-RING 95X8 NBR 70")</f>
        <v>O-RING 95X8 NBR 70</v>
      </c>
      <c r="F1204" s="74" t="str">
        <f>IFERROR(__xludf.DUMMYFUNCTION("""COMPUTED_VALUE"""),"SELLO O RING 95X8 NBR 70")</f>
        <v>SELLO O RING 95X8 NBR 70</v>
      </c>
      <c r="G1204" s="74"/>
      <c r="H1204" s="74"/>
      <c r="I1204" s="74" t="str">
        <f>IFERROR(__xludf.DUMMYFUNCTION("""COMPUTED_VALUE"""),"10016241")</f>
        <v>10016241</v>
      </c>
      <c r="J1204" s="74"/>
      <c r="K1204" s="74" t="str">
        <f>IFERROR(__xludf.DUMMYFUNCTION("""COMPUTED_VALUE"""),"Schwing")</f>
        <v>Schwing</v>
      </c>
      <c r="L1204" s="74" t="str">
        <f>IFERROR(__xludf.DUMMYFUNCTION("""COMPUTED_VALUE"""),"BARRA V-ROCK")</f>
        <v>BARRA V-ROCK</v>
      </c>
      <c r="M1204" s="74" t="str">
        <f>IFERROR(__xludf.DUMMYFUNCTION("""COMPUTED_VALUE"""),"SIN ASIGNAR")</f>
        <v>SIN ASIGNAR</v>
      </c>
      <c r="N1204" s="87">
        <f>IFERROR(__xludf.DUMMYFUNCTION("""COMPUTED_VALUE"""),53.28)</f>
        <v>53.28</v>
      </c>
      <c r="O1204" s="74">
        <f>IFERROR(__xludf.DUMMYFUNCTION("""COMPUTED_VALUE"""),30.0)</f>
        <v>30</v>
      </c>
      <c r="P1204" s="74" t="str">
        <f>IFERROR(__xludf.DUMMYFUNCTION("""COMPUTED_VALUE"""),"In stock")</f>
        <v>In stock</v>
      </c>
      <c r="Q1204" s="74"/>
      <c r="R1204" s="74"/>
      <c r="S1204" s="87">
        <f>IFERROR(__xludf.DUMMYFUNCTION("""COMPUTED_VALUE"""),0.3)</f>
        <v>0.3</v>
      </c>
      <c r="T1204" s="87">
        <f>IFERROR(__xludf.DUMMYFUNCTION("""COMPUTED_VALUE"""),3.0)</f>
        <v>3</v>
      </c>
      <c r="U1204" s="87">
        <f>IFERROR(__xludf.DUMMYFUNCTION("""COMPUTED_VALUE"""),2.88)</f>
        <v>2.88</v>
      </c>
      <c r="V1204" s="87">
        <f>IFERROR(__xludf.DUMMYFUNCTION("""COMPUTED_VALUE"""),0.3675)</f>
        <v>0.3675</v>
      </c>
      <c r="W1204" s="87">
        <f>IFERROR(__xludf.DUMMYFUNCTION("""COMPUTED_VALUE"""),6.890625)</f>
        <v>6.890625</v>
      </c>
      <c r="X1204" s="88">
        <f>IFERROR(__xludf.DUMMYFUNCTION("""COMPUTED_VALUE"""),9.6)</f>
        <v>9.6</v>
      </c>
      <c r="Y1204" s="74"/>
      <c r="Z1204" s="74"/>
    </row>
    <row r="1205">
      <c r="B1205" s="74" t="str">
        <f>IFERROR(__xludf.DUMMYFUNCTION("""COMPUTED_VALUE"""),"2203")</f>
        <v>2203</v>
      </c>
      <c r="C1205" s="74"/>
      <c r="D1205" s="74" t="str">
        <f>IFERROR(__xludf.DUMMYFUNCTION("""COMPUTED_VALUE"""),"\\MCA-S\mk\2_BM\0_BMat\08_PYM\Inventario\excel\Imagen de refacciones\Schwing\Piston Bolt _ Perno de Pistón")</f>
        <v>\\MCA-S\mk\2_BM\0_BMat\08_PYM\Inventario\excel\Imagen de refacciones\Schwing\Piston Bolt _ Perno de Pistón</v>
      </c>
      <c r="E1205" s="74"/>
      <c r="F1205" s="74" t="str">
        <f>IFERROR(__xludf.DUMMYFUNCTION("""COMPUTED_VALUE"""),"Piston Bolt / Perno de Pistón")</f>
        <v>Piston Bolt / Perno de Pistón</v>
      </c>
      <c r="G1205" s="74"/>
      <c r="H1205" s="74"/>
      <c r="I1205" s="74" t="str">
        <f>IFERROR(__xludf.DUMMYFUNCTION("""COMPUTED_VALUE"""),"SOM30192")</f>
        <v>SOM30192</v>
      </c>
      <c r="J1205" s="74" t="str">
        <f>IFERROR(__xludf.DUMMYFUNCTION("""COMPUTED_VALUE"""),"10001069")</f>
        <v>10001069</v>
      </c>
      <c r="K1205" s="74" t="str">
        <f>IFERROR(__xludf.DUMMYFUNCTION("""COMPUTED_VALUE"""),"Schwing")</f>
        <v>Schwing</v>
      </c>
      <c r="L1205" s="74" t="str">
        <f>IFERROR(__xludf.DUMMYFUNCTION("""COMPUTED_VALUE"""),"Componentes Estructurales y de Montaje")</f>
        <v>Componentes Estructurales y de Montaje</v>
      </c>
      <c r="M1205" s="74" t="str">
        <f>IFERROR(__xludf.DUMMYFUNCTION("""COMPUTED_VALUE"""),"Sin Asignar")</f>
        <v>Sin Asignar</v>
      </c>
      <c r="N1205" s="87">
        <f>IFERROR(__xludf.DUMMYFUNCTION("""COMPUTED_VALUE"""),0.0)</f>
        <v>0</v>
      </c>
      <c r="O1205" s="74"/>
      <c r="P1205" s="74" t="str">
        <f>IFERROR(__xludf.DUMMYFUNCTION("""COMPUTED_VALUE"""),"No Available")</f>
        <v>No Available</v>
      </c>
      <c r="Q1205" s="74"/>
      <c r="R1205" s="74"/>
      <c r="S1205" s="87">
        <f>IFERROR(__xludf.DUMMYFUNCTION("""COMPUTED_VALUE"""),0.0)</f>
        <v>0</v>
      </c>
      <c r="T1205" s="87">
        <f>IFERROR(__xludf.DUMMYFUNCTION("""COMPUTED_VALUE"""),0.0)</f>
        <v>0</v>
      </c>
      <c r="U1205" s="87">
        <f>IFERROR(__xludf.DUMMYFUNCTION("""COMPUTED_VALUE"""),0.0)</f>
        <v>0</v>
      </c>
      <c r="V1205" s="87">
        <f>IFERROR(__xludf.DUMMYFUNCTION("""COMPUTED_VALUE"""),0.0)</f>
        <v>0</v>
      </c>
      <c r="W1205" s="87">
        <f>IFERROR(__xludf.DUMMYFUNCTION("""COMPUTED_VALUE"""),0.0)</f>
        <v>0</v>
      </c>
      <c r="X1205" s="88"/>
      <c r="Y1205" s="74"/>
      <c r="Z1205" s="74"/>
    </row>
    <row r="1206">
      <c r="B1206" s="74" t="str">
        <f>IFERROR(__xludf.DUMMYFUNCTION("""COMPUTED_VALUE"""),"2204")</f>
        <v>2204</v>
      </c>
      <c r="C1206" s="74"/>
      <c r="D1206" s="74" t="str">
        <f>IFERROR(__xludf.DUMMYFUNCTION("""COMPUTED_VALUE"""),"\\MCA-S\mk\2_BM\0_BMat\08_PYM\Inventario\excel\Imagen de refacciones\Schwing\Piston Bushing _ Casquillo de Pistón")</f>
        <v>\\MCA-S\mk\2_BM\0_BMat\08_PYM\Inventario\excel\Imagen de refacciones\Schwing\Piston Bushing _ Casquillo de Pistón</v>
      </c>
      <c r="E1206" s="74"/>
      <c r="F1206" s="74" t="str">
        <f>IFERROR(__xludf.DUMMYFUNCTION("""COMPUTED_VALUE"""),"Piston Bushing / Casquillo de Pistón")</f>
        <v>Piston Bushing / Casquillo de Pistón</v>
      </c>
      <c r="G1206" s="74"/>
      <c r="H1206" s="74"/>
      <c r="I1206" s="74" t="str">
        <f>IFERROR(__xludf.DUMMYFUNCTION("""COMPUTED_VALUE"""),"SOM30190")</f>
        <v>SOM30190</v>
      </c>
      <c r="J1206" s="74" t="str">
        <f>IFERROR(__xludf.DUMMYFUNCTION("""COMPUTED_VALUE"""),"10001081")</f>
        <v>10001081</v>
      </c>
      <c r="K1206" s="74" t="str">
        <f>IFERROR(__xludf.DUMMYFUNCTION("""COMPUTED_VALUE"""),"Schwing")</f>
        <v>Schwing</v>
      </c>
      <c r="L1206" s="74" t="str">
        <f>IFERROR(__xludf.DUMMYFUNCTION("""COMPUTED_VALUE"""),"Transmisión Mecánica")</f>
        <v>Transmisión Mecánica</v>
      </c>
      <c r="M1206" s="74" t="str">
        <f>IFERROR(__xludf.DUMMYFUNCTION("""COMPUTED_VALUE"""),"Sin Asignar")</f>
        <v>Sin Asignar</v>
      </c>
      <c r="N1206" s="87">
        <f>IFERROR(__xludf.DUMMYFUNCTION("""COMPUTED_VALUE"""),0.0)</f>
        <v>0</v>
      </c>
      <c r="O1206" s="74"/>
      <c r="P1206" s="74" t="str">
        <f>IFERROR(__xludf.DUMMYFUNCTION("""COMPUTED_VALUE"""),"No Available")</f>
        <v>No Available</v>
      </c>
      <c r="Q1206" s="74"/>
      <c r="R1206" s="74"/>
      <c r="S1206" s="87">
        <f>IFERROR(__xludf.DUMMYFUNCTION("""COMPUTED_VALUE"""),0.0)</f>
        <v>0</v>
      </c>
      <c r="T1206" s="87">
        <f>IFERROR(__xludf.DUMMYFUNCTION("""COMPUTED_VALUE"""),0.0)</f>
        <v>0</v>
      </c>
      <c r="U1206" s="87">
        <f>IFERROR(__xludf.DUMMYFUNCTION("""COMPUTED_VALUE"""),0.0)</f>
        <v>0</v>
      </c>
      <c r="V1206" s="87">
        <f>IFERROR(__xludf.DUMMYFUNCTION("""COMPUTED_VALUE"""),0.0)</f>
        <v>0</v>
      </c>
      <c r="W1206" s="87">
        <f>IFERROR(__xludf.DUMMYFUNCTION("""COMPUTED_VALUE"""),0.0)</f>
        <v>0</v>
      </c>
      <c r="X1206" s="88"/>
      <c r="Y1206" s="74"/>
      <c r="Z1206" s="74"/>
    </row>
    <row r="1207">
      <c r="B1207" s="74" t="str">
        <f>IFERROR(__xludf.DUMMYFUNCTION("""COMPUTED_VALUE"""),"2205")</f>
        <v>2205</v>
      </c>
      <c r="C1207" s="74" t="str">
        <f>IFERROR(__xludf.DUMMYFUNCTION("""COMPUTED_VALUE"""),"75045892205")</f>
        <v>75045892205</v>
      </c>
      <c r="D1207" s="74" t="str">
        <f>IFERROR(__xludf.DUMMYFUNCTION("""COMPUTED_VALUE"""),"\\MCA-S\mk\2_BM\0_BMat\08_PYM\Inventario\excel\Imagen de refacciones\Schwing\Piston Connection _ Conexión de Pistón")</f>
        <v>\\MCA-S\mk\2_BM\0_BMat\08_PYM\Inventario\excel\Imagen de refacciones\Schwing\Piston Connection _ Conexión de Pistón</v>
      </c>
      <c r="E1207" s="74" t="str">
        <f>IFERROR(__xludf.DUMMYFUNCTION("""COMPUTED_VALUE"""),"RING 100/91.4X3")</f>
        <v>RING 100/91.4X3</v>
      </c>
      <c r="F1207" s="74" t="str">
        <f>IFERROR(__xludf.DUMMYFUNCTION("""COMPUTED_VALUE"""),"ANILLO CABEZA DE BRONCE 100/91.4X3")</f>
        <v>ANILLO CABEZA DE BRONCE 100/91.4X3</v>
      </c>
      <c r="G1207" s="74"/>
      <c r="H1207" s="74"/>
      <c r="I1207" s="74" t="str">
        <f>IFERROR(__xludf.DUMMYFUNCTION("""COMPUTED_VALUE"""),"10004225")</f>
        <v>10004225</v>
      </c>
      <c r="J1207" s="74"/>
      <c r="K1207" s="74" t="str">
        <f>IFERROR(__xludf.DUMMYFUNCTION("""COMPUTED_VALUE"""),"Schwing")</f>
        <v>Schwing</v>
      </c>
      <c r="L1207" s="74" t="str">
        <f>IFERROR(__xludf.DUMMYFUNCTION("""COMPUTED_VALUE"""),"Componentes Estructurales y de Montaje")</f>
        <v>Componentes Estructurales y de Montaje</v>
      </c>
      <c r="M1207" s="74" t="str">
        <f>IFERROR(__xludf.DUMMYFUNCTION("""COMPUTED_VALUE"""),"Sin Asignar")</f>
        <v>Sin Asignar</v>
      </c>
      <c r="N1207" s="87">
        <f>IFERROR(__xludf.DUMMYFUNCTION("""COMPUTED_VALUE"""),0.0)</f>
        <v>0</v>
      </c>
      <c r="O1207" s="74"/>
      <c r="P1207" s="74" t="str">
        <f>IFERROR(__xludf.DUMMYFUNCTION("""COMPUTED_VALUE"""),"To Re-purchase")</f>
        <v>To Re-purchase</v>
      </c>
      <c r="Q1207" s="74"/>
      <c r="R1207" s="74"/>
      <c r="S1207" s="87">
        <f>IFERROR(__xludf.DUMMYFUNCTION("""COMPUTED_VALUE"""),0.0)</f>
        <v>0</v>
      </c>
      <c r="T1207" s="87">
        <f>IFERROR(__xludf.DUMMYFUNCTION("""COMPUTED_VALUE"""),0.0)</f>
        <v>0</v>
      </c>
      <c r="U1207" s="87">
        <f>IFERROR(__xludf.DUMMYFUNCTION("""COMPUTED_VALUE"""),0.0)</f>
        <v>0</v>
      </c>
      <c r="V1207" s="87">
        <f>IFERROR(__xludf.DUMMYFUNCTION("""COMPUTED_VALUE"""),0.0)</f>
        <v>0</v>
      </c>
      <c r="W1207" s="87">
        <f>IFERROR(__xludf.DUMMYFUNCTION("""COMPUTED_VALUE"""),0.0)</f>
        <v>0</v>
      </c>
      <c r="X1207" s="88"/>
      <c r="Y1207" s="74"/>
      <c r="Z1207" s="74"/>
    </row>
    <row r="1208">
      <c r="B1208" s="74" t="str">
        <f>IFERROR(__xludf.DUMMYFUNCTION("""COMPUTED_VALUE"""),"2206")</f>
        <v>2206</v>
      </c>
      <c r="C1208" s="74" t="str">
        <f>IFERROR(__xludf.DUMMYFUNCTION("""COMPUTED_VALUE"""),"75045880534")</f>
        <v>75045880534</v>
      </c>
      <c r="D1208" s="74" t="str">
        <f>IFERROR(__xludf.DUMMYFUNCTION("""COMPUTED_VALUE"""),"\\MCA-S\mk\2_BM\0_BMat\08_PYM\Inventario\excel\Imagen de refacciones\Schwing\Pistón D125 para vástago de bombeo")</f>
        <v>\\MCA-S\mk\2_BM\0_BMat\08_PYM\Inventario\excel\Imagen de refacciones\Schwing\Pistón D125 para vástago de bombeo</v>
      </c>
      <c r="E1208" s="74"/>
      <c r="F1208" s="74" t="str">
        <f>IFERROR(__xludf.DUMMYFUNCTION("""COMPUTED_VALUE"""),"Pistón D125 para vástago de bombeo")</f>
        <v>Pistón D125 para vástago de bombeo</v>
      </c>
      <c r="G1208" s="74"/>
      <c r="H1208" s="74"/>
      <c r="I1208" s="74" t="str">
        <f>IFERROR(__xludf.DUMMYFUNCTION("""COMPUTED_VALUE"""),"10014343")</f>
        <v>10014343</v>
      </c>
      <c r="J1208" s="74"/>
      <c r="K1208" s="74" t="str">
        <f>IFERROR(__xludf.DUMMYFUNCTION("""COMPUTED_VALUE"""),"Schwing")</f>
        <v>Schwing</v>
      </c>
      <c r="L1208" s="74"/>
      <c r="M1208" s="74" t="str">
        <f>IFERROR(__xludf.DUMMYFUNCTION("""COMPUTED_VALUE"""),"Sin Asignar")</f>
        <v>Sin Asignar</v>
      </c>
      <c r="N1208" s="87">
        <f>IFERROR(__xludf.DUMMYFUNCTION("""COMPUTED_VALUE"""),0.0)</f>
        <v>0</v>
      </c>
      <c r="O1208" s="74"/>
      <c r="P1208" s="74" t="str">
        <f>IFERROR(__xludf.DUMMYFUNCTION("""COMPUTED_VALUE"""),"No Available")</f>
        <v>No Available</v>
      </c>
      <c r="Q1208" s="74"/>
      <c r="R1208" s="74"/>
      <c r="S1208" s="87">
        <f>IFERROR(__xludf.DUMMYFUNCTION("""COMPUTED_VALUE"""),0.0)</f>
        <v>0</v>
      </c>
      <c r="T1208" s="87">
        <f>IFERROR(__xludf.DUMMYFUNCTION("""COMPUTED_VALUE"""),0.0)</f>
        <v>0</v>
      </c>
      <c r="U1208" s="87">
        <f>IFERROR(__xludf.DUMMYFUNCTION("""COMPUTED_VALUE"""),0.0)</f>
        <v>0</v>
      </c>
      <c r="V1208" s="87">
        <f>IFERROR(__xludf.DUMMYFUNCTION("""COMPUTED_VALUE"""),0.0)</f>
        <v>0</v>
      </c>
      <c r="W1208" s="87">
        <f>IFERROR(__xludf.DUMMYFUNCTION("""COMPUTED_VALUE"""),0.0)</f>
        <v>0</v>
      </c>
      <c r="X1208" s="88"/>
      <c r="Y1208" s="74"/>
      <c r="Z1208" s="74"/>
    </row>
    <row r="1209">
      <c r="B1209" s="74" t="str">
        <f>IFERROR(__xludf.DUMMYFUNCTION("""COMPUTED_VALUE"""),"2207")</f>
        <v>2207</v>
      </c>
      <c r="C1209" s="74"/>
      <c r="D1209" s="74" t="str">
        <f>IFERROR(__xludf.DUMMYFUNCTION("""COMPUTED_VALUE"""),"\\MCA-S\mk\2_BM\0_BMat\08_PYM\Inventario\excel\Imagen de refacciones\Schwing\Piston Disc _ Disco de Pistón")</f>
        <v>\\MCA-S\mk\2_BM\0_BMat\08_PYM\Inventario\excel\Imagen de refacciones\Schwing\Piston Disc _ Disco de Pistón</v>
      </c>
      <c r="E1209" s="74"/>
      <c r="F1209" s="74" t="str">
        <f>IFERROR(__xludf.DUMMYFUNCTION("""COMPUTED_VALUE"""),"Piston Disc / Disco de Pistón")</f>
        <v>Piston Disc / Disco de Pistón</v>
      </c>
      <c r="G1209" s="74"/>
      <c r="H1209" s="74"/>
      <c r="I1209" s="74" t="str">
        <f>IFERROR(__xludf.DUMMYFUNCTION("""COMPUTED_VALUE"""),"SOM30196")</f>
        <v>SOM30196</v>
      </c>
      <c r="J1209" s="74" t="str">
        <f>IFERROR(__xludf.DUMMYFUNCTION("""COMPUTED_VALUE"""),"10001075")</f>
        <v>10001075</v>
      </c>
      <c r="K1209" s="74" t="str">
        <f>IFERROR(__xludf.DUMMYFUNCTION("""COMPUTED_VALUE"""),"Schwing")</f>
        <v>Schwing</v>
      </c>
      <c r="L1209" s="74" t="str">
        <f>IFERROR(__xludf.DUMMYFUNCTION("""COMPUTED_VALUE"""),"Transmisión Mecánica")</f>
        <v>Transmisión Mecánica</v>
      </c>
      <c r="M1209" s="74" t="str">
        <f>IFERROR(__xludf.DUMMYFUNCTION("""COMPUTED_VALUE"""),"Sin Asignar")</f>
        <v>Sin Asignar</v>
      </c>
      <c r="N1209" s="87">
        <f>IFERROR(__xludf.DUMMYFUNCTION("""COMPUTED_VALUE"""),0.0)</f>
        <v>0</v>
      </c>
      <c r="O1209" s="74"/>
      <c r="P1209" s="74" t="str">
        <f>IFERROR(__xludf.DUMMYFUNCTION("""COMPUTED_VALUE"""),"No Available")</f>
        <v>No Available</v>
      </c>
      <c r="Q1209" s="74"/>
      <c r="R1209" s="74"/>
      <c r="S1209" s="87">
        <f>IFERROR(__xludf.DUMMYFUNCTION("""COMPUTED_VALUE"""),0.0)</f>
        <v>0</v>
      </c>
      <c r="T1209" s="87">
        <f>IFERROR(__xludf.DUMMYFUNCTION("""COMPUTED_VALUE"""),0.0)</f>
        <v>0</v>
      </c>
      <c r="U1209" s="87">
        <f>IFERROR(__xludf.DUMMYFUNCTION("""COMPUTED_VALUE"""),0.0)</f>
        <v>0</v>
      </c>
      <c r="V1209" s="87">
        <f>IFERROR(__xludf.DUMMYFUNCTION("""COMPUTED_VALUE"""),0.0)</f>
        <v>0</v>
      </c>
      <c r="W1209" s="87">
        <f>IFERROR(__xludf.DUMMYFUNCTION("""COMPUTED_VALUE"""),0.0)</f>
        <v>0</v>
      </c>
      <c r="X1209" s="88"/>
      <c r="Y1209" s="74"/>
      <c r="Z1209" s="74"/>
    </row>
    <row r="1210">
      <c r="B1210" s="74" t="str">
        <f>IFERROR(__xludf.DUMMYFUNCTION("""COMPUTED_VALUE"""),"2208")</f>
        <v>2208</v>
      </c>
      <c r="C1210" s="74" t="str">
        <f>IFERROR(__xludf.DUMMYFUNCTION("""COMPUTED_VALUE"""),"75045880316")</f>
        <v>75045880316</v>
      </c>
      <c r="D1210" s="74" t="str">
        <f>IFERROR(__xludf.DUMMYFUNCTION("""COMPUTED_VALUE"""),"\\MCA-S\mk\2_BM\0_BMat\08_PYM\Inventario\excel\Imagen de refacciones\Schwing\pistón neumatico 40x10xb para enquintar")</f>
        <v>\\MCA-S\mk\2_BM\0_BMat\08_PYM\Inventario\excel\Imagen de refacciones\Schwing\pistón neumatico 40x10xb para enquintar</v>
      </c>
      <c r="E1210" s="74" t="str">
        <f>IFERROR(__xludf.DUMMYFUNCTION("""COMPUTED_VALUE"""),"AIR PISTON 40X10X8")</f>
        <v>AIR PISTON 40X10X8</v>
      </c>
      <c r="F1210" s="74" t="str">
        <f>IFERROR(__xludf.DUMMYFUNCTION("""COMPUTED_VALUE"""),"PISTON NEUMATICO 40X10X8")</f>
        <v>PISTON NEUMATICO 40X10X8</v>
      </c>
      <c r="G1210" s="74"/>
      <c r="H1210" s="74" t="str">
        <f>IFERROR(__xludf.DUMMYFUNCTION("""COMPUTED_VALUE"""),"PISTÓN NEUMÁTICO 40X10X8 PARA BOMBA DE HORMIGON")</f>
        <v>PISTÓN NEUMÁTICO 40X10X8 PARA BOMBA DE HORMIGON</v>
      </c>
      <c r="I1210" s="74" t="str">
        <f>IFERROR(__xludf.DUMMYFUNCTION("""COMPUTED_VALUE"""),"10004951")</f>
        <v>10004951</v>
      </c>
      <c r="J1210" s="74"/>
      <c r="K1210" s="74" t="str">
        <f>IFERROR(__xludf.DUMMYFUNCTION("""COMPUTED_VALUE"""),"Schwing")</f>
        <v>Schwing</v>
      </c>
      <c r="L1210" s="74"/>
      <c r="M1210" s="74" t="str">
        <f>IFERROR(__xludf.DUMMYFUNCTION("""COMPUTED_VALUE"""),"PISTONES")</f>
        <v>PISTONES</v>
      </c>
      <c r="N1210" s="87">
        <f>IFERROR(__xludf.DUMMYFUNCTION("""COMPUTED_VALUE"""),692.64)</f>
        <v>692.64</v>
      </c>
      <c r="O1210" s="74">
        <f>IFERROR(__xludf.DUMMYFUNCTION("""COMPUTED_VALUE"""),10.0)</f>
        <v>10</v>
      </c>
      <c r="P1210" s="74" t="str">
        <f>IFERROR(__xludf.DUMMYFUNCTION("""COMPUTED_VALUE"""),"In stock")</f>
        <v>In stock</v>
      </c>
      <c r="Q1210" s="74"/>
      <c r="R1210" s="74"/>
      <c r="S1210" s="87">
        <f>IFERROR(__xludf.DUMMYFUNCTION("""COMPUTED_VALUE"""),6.0)</f>
        <v>6</v>
      </c>
      <c r="T1210" s="87">
        <f>IFERROR(__xludf.DUMMYFUNCTION("""COMPUTED_VALUE"""),39.0)</f>
        <v>39</v>
      </c>
      <c r="U1210" s="87">
        <f>IFERROR(__xludf.DUMMYFUNCTION("""COMPUTED_VALUE"""),37.44)</f>
        <v>37.44</v>
      </c>
      <c r="V1210" s="87">
        <f>IFERROR(__xludf.DUMMYFUNCTION("""COMPUTED_VALUE"""),7.35)</f>
        <v>7.35</v>
      </c>
      <c r="W1210" s="87">
        <f>IFERROR(__xludf.DUMMYFUNCTION("""COMPUTED_VALUE"""),137.8125)</f>
        <v>137.8125</v>
      </c>
      <c r="X1210" s="88">
        <f>IFERROR(__xludf.DUMMYFUNCTION("""COMPUTED_VALUE"""),6.239999999999999)</f>
        <v>6.24</v>
      </c>
      <c r="Y1210" s="74"/>
      <c r="Z1210" s="74"/>
    </row>
    <row r="1211">
      <c r="B1211" s="74" t="str">
        <f>IFERROR(__xludf.DUMMYFUNCTION("""COMPUTED_VALUE"""),"2209")</f>
        <v>2209</v>
      </c>
      <c r="C1211" s="74"/>
      <c r="D1211" s="74" t="str">
        <f>IFERROR(__xludf.DUMMYFUNCTION("""COMPUTED_VALUE"""),"\\MCA-S\mk\2_BM\0_BMat\08_PYM\Inventario\excel\Imagen de refacciones\Schwing\Piston Ram DN 180 New Type _ Ariete de Pistón DN 180 Nuevo Tipo")</f>
        <v>\\MCA-S\mk\2_BM\0_BMat\08_PYM\Inventario\excel\Imagen de refacciones\Schwing\Piston Ram DN 180 New Type _ Ariete de Pistón DN 180 Nuevo Tipo</v>
      </c>
      <c r="E1211" s="74"/>
      <c r="F1211" s="74" t="str">
        <f>IFERROR(__xludf.DUMMYFUNCTION("""COMPUTED_VALUE"""),"Piston Ram DN 180 New Type / Ariete de Pistón DN 180 Nuevo Tipo")</f>
        <v>Piston Ram DN 180 New Type / Ariete de Pistón DN 180 Nuevo Tipo</v>
      </c>
      <c r="G1211" s="74"/>
      <c r="H1211" s="74"/>
      <c r="I1211" s="74" t="str">
        <f>IFERROR(__xludf.DUMMYFUNCTION("""COMPUTED_VALUE"""),"SOM30101")</f>
        <v>SOM30101</v>
      </c>
      <c r="J1211" s="74" t="str">
        <f>IFERROR(__xludf.DUMMYFUNCTION("""COMPUTED_VALUE"""),"10061781")</f>
        <v>10061781</v>
      </c>
      <c r="K1211" s="74" t="str">
        <f>IFERROR(__xludf.DUMMYFUNCTION("""COMPUTED_VALUE"""),"Schwing")</f>
        <v>Schwing</v>
      </c>
      <c r="L1211" s="74" t="str">
        <f>IFERROR(__xludf.DUMMYFUNCTION("""COMPUTED_VALUE"""),"Sistema de Bombeo de Concreto")</f>
        <v>Sistema de Bombeo de Concreto</v>
      </c>
      <c r="M1211" s="74" t="str">
        <f>IFERROR(__xludf.DUMMYFUNCTION("""COMPUTED_VALUE"""),"Sin Asignar")</f>
        <v>Sin Asignar</v>
      </c>
      <c r="N1211" s="87">
        <f>IFERROR(__xludf.DUMMYFUNCTION("""COMPUTED_VALUE"""),0.0)</f>
        <v>0</v>
      </c>
      <c r="O1211" s="74"/>
      <c r="P1211" s="74" t="str">
        <f>IFERROR(__xludf.DUMMYFUNCTION("""COMPUTED_VALUE"""),"No Available")</f>
        <v>No Available</v>
      </c>
      <c r="Q1211" s="74"/>
      <c r="R1211" s="74"/>
      <c r="S1211" s="87">
        <f>IFERROR(__xludf.DUMMYFUNCTION("""COMPUTED_VALUE"""),0.0)</f>
        <v>0</v>
      </c>
      <c r="T1211" s="87">
        <f>IFERROR(__xludf.DUMMYFUNCTION("""COMPUTED_VALUE"""),0.0)</f>
        <v>0</v>
      </c>
      <c r="U1211" s="87">
        <f>IFERROR(__xludf.DUMMYFUNCTION("""COMPUTED_VALUE"""),0.0)</f>
        <v>0</v>
      </c>
      <c r="V1211" s="87">
        <f>IFERROR(__xludf.DUMMYFUNCTION("""COMPUTED_VALUE"""),0.0)</f>
        <v>0</v>
      </c>
      <c r="W1211" s="87">
        <f>IFERROR(__xludf.DUMMYFUNCTION("""COMPUTED_VALUE"""),0.0)</f>
        <v>0</v>
      </c>
      <c r="X1211" s="88"/>
      <c r="Y1211" s="74"/>
      <c r="Z1211" s="74"/>
    </row>
    <row r="1212">
      <c r="B1212" s="74" t="str">
        <f>IFERROR(__xludf.DUMMYFUNCTION("""COMPUTED_VALUE"""),"2210")</f>
        <v>2210</v>
      </c>
      <c r="C1212" s="74"/>
      <c r="D1212" s="74" t="str">
        <f>IFERROR(__xludf.DUMMYFUNCTION("""COMPUTED_VALUE"""),"\\MCA-S\mk\2_BM\0_BMat\08_PYM\Inventario\excel\Imagen de refacciones\Schwing\Piston Ram DN 200 _ Ariete de Pistón DN 200")</f>
        <v>\\MCA-S\mk\2_BM\0_BMat\08_PYM\Inventario\excel\Imagen de refacciones\Schwing\Piston Ram DN 200 _ Ariete de Pistón DN 200</v>
      </c>
      <c r="E1212" s="74"/>
      <c r="F1212" s="74" t="str">
        <f>IFERROR(__xludf.DUMMYFUNCTION("""COMPUTED_VALUE"""),"Piston Ram DN 200 / Ariete de Pistón DN 200")</f>
        <v>Piston Ram DN 200 / Ariete de Pistón DN 200</v>
      </c>
      <c r="G1212" s="74"/>
      <c r="H1212" s="74"/>
      <c r="I1212" s="74" t="str">
        <f>IFERROR(__xludf.DUMMYFUNCTION("""COMPUTED_VALUE"""),"SOM30105")</f>
        <v>SOM30105</v>
      </c>
      <c r="J1212" s="74" t="str">
        <f>IFERROR(__xludf.DUMMYFUNCTION("""COMPUTED_VALUE"""),"10043826")</f>
        <v>10043826</v>
      </c>
      <c r="K1212" s="74" t="str">
        <f>IFERROR(__xludf.DUMMYFUNCTION("""COMPUTED_VALUE"""),"Schwing")</f>
        <v>Schwing</v>
      </c>
      <c r="L1212" s="74" t="str">
        <f>IFERROR(__xludf.DUMMYFUNCTION("""COMPUTED_VALUE"""),"Sistema de Bombeo de Concreto")</f>
        <v>Sistema de Bombeo de Concreto</v>
      </c>
      <c r="M1212" s="74" t="str">
        <f>IFERROR(__xludf.DUMMYFUNCTION("""COMPUTED_VALUE"""),"Sin Asignar")</f>
        <v>Sin Asignar</v>
      </c>
      <c r="N1212" s="87">
        <f>IFERROR(__xludf.DUMMYFUNCTION("""COMPUTED_VALUE"""),0.0)</f>
        <v>0</v>
      </c>
      <c r="O1212" s="74"/>
      <c r="P1212" s="74" t="str">
        <f>IFERROR(__xludf.DUMMYFUNCTION("""COMPUTED_VALUE"""),"No Available")</f>
        <v>No Available</v>
      </c>
      <c r="Q1212" s="74"/>
      <c r="R1212" s="74"/>
      <c r="S1212" s="87">
        <f>IFERROR(__xludf.DUMMYFUNCTION("""COMPUTED_VALUE"""),0.0)</f>
        <v>0</v>
      </c>
      <c r="T1212" s="87">
        <f>IFERROR(__xludf.DUMMYFUNCTION("""COMPUTED_VALUE"""),0.0)</f>
        <v>0</v>
      </c>
      <c r="U1212" s="87">
        <f>IFERROR(__xludf.DUMMYFUNCTION("""COMPUTED_VALUE"""),0.0)</f>
        <v>0</v>
      </c>
      <c r="V1212" s="87">
        <f>IFERROR(__xludf.DUMMYFUNCTION("""COMPUTED_VALUE"""),0.0)</f>
        <v>0</v>
      </c>
      <c r="W1212" s="87">
        <f>IFERROR(__xludf.DUMMYFUNCTION("""COMPUTED_VALUE"""),0.0)</f>
        <v>0</v>
      </c>
      <c r="X1212" s="88"/>
      <c r="Y1212" s="74"/>
      <c r="Z1212" s="74"/>
    </row>
    <row r="1213">
      <c r="B1213" s="74" t="str">
        <f>IFERROR(__xludf.DUMMYFUNCTION("""COMPUTED_VALUE"""),"2211")</f>
        <v>2211</v>
      </c>
      <c r="C1213" s="74"/>
      <c r="D1213" s="74" t="str">
        <f>IFERROR(__xludf.DUMMYFUNCTION("""COMPUTED_VALUE"""),"\\MCA-S\mk\2_BM\0_BMat\08_PYM\Inventario\excel\Imagen de refacciones\Schwing\Piston Ram DN 230 _ Ariete de Pistón DN 230")</f>
        <v>\\MCA-S\mk\2_BM\0_BMat\08_PYM\Inventario\excel\Imagen de refacciones\Schwing\Piston Ram DN 230 _ Ariete de Pistón DN 230</v>
      </c>
      <c r="E1213" s="74"/>
      <c r="F1213" s="74" t="str">
        <f>IFERROR(__xludf.DUMMYFUNCTION("""COMPUTED_VALUE"""),"Piston Ram DN 230 / Ariete de Pistón DN 230")</f>
        <v>Piston Ram DN 230 / Ariete de Pistón DN 230</v>
      </c>
      <c r="G1213" s="74"/>
      <c r="H1213" s="74"/>
      <c r="I1213" s="74" t="str">
        <f>IFERROR(__xludf.DUMMYFUNCTION("""COMPUTED_VALUE"""),"SOM30107")</f>
        <v>SOM30107</v>
      </c>
      <c r="J1213" s="74" t="str">
        <f>IFERROR(__xludf.DUMMYFUNCTION("""COMPUTED_VALUE"""),"10043827 / 10161034")</f>
        <v>10043827 / 10161034</v>
      </c>
      <c r="K1213" s="74" t="str">
        <f>IFERROR(__xludf.DUMMYFUNCTION("""COMPUTED_VALUE"""),"Schwing")</f>
        <v>Schwing</v>
      </c>
      <c r="L1213" s="74" t="str">
        <f>IFERROR(__xludf.DUMMYFUNCTION("""COMPUTED_VALUE"""),"Sistema de Bombeo de Concreto")</f>
        <v>Sistema de Bombeo de Concreto</v>
      </c>
      <c r="M1213" s="74" t="str">
        <f>IFERROR(__xludf.DUMMYFUNCTION("""COMPUTED_VALUE"""),"Sin Asignar")</f>
        <v>Sin Asignar</v>
      </c>
      <c r="N1213" s="87">
        <f>IFERROR(__xludf.DUMMYFUNCTION("""COMPUTED_VALUE"""),0.0)</f>
        <v>0</v>
      </c>
      <c r="O1213" s="74"/>
      <c r="P1213" s="74" t="str">
        <f>IFERROR(__xludf.DUMMYFUNCTION("""COMPUTED_VALUE"""),"No Available")</f>
        <v>No Available</v>
      </c>
      <c r="Q1213" s="74"/>
      <c r="R1213" s="74"/>
      <c r="S1213" s="87">
        <f>IFERROR(__xludf.DUMMYFUNCTION("""COMPUTED_VALUE"""),0.0)</f>
        <v>0</v>
      </c>
      <c r="T1213" s="87">
        <f>IFERROR(__xludf.DUMMYFUNCTION("""COMPUTED_VALUE"""),0.0)</f>
        <v>0</v>
      </c>
      <c r="U1213" s="87">
        <f>IFERROR(__xludf.DUMMYFUNCTION("""COMPUTED_VALUE"""),0.0)</f>
        <v>0</v>
      </c>
      <c r="V1213" s="87">
        <f>IFERROR(__xludf.DUMMYFUNCTION("""COMPUTED_VALUE"""),0.0)</f>
        <v>0</v>
      </c>
      <c r="W1213" s="87">
        <f>IFERROR(__xludf.DUMMYFUNCTION("""COMPUTED_VALUE"""),0.0)</f>
        <v>0</v>
      </c>
      <c r="X1213" s="88"/>
      <c r="Y1213" s="74"/>
      <c r="Z1213" s="74"/>
    </row>
    <row r="1214">
      <c r="B1214" s="74" t="str">
        <f>IFERROR(__xludf.DUMMYFUNCTION("""COMPUTED_VALUE"""),"2212")</f>
        <v>2212</v>
      </c>
      <c r="C1214" s="74"/>
      <c r="D1214" s="74" t="str">
        <f>IFERROR(__xludf.DUMMYFUNCTION("""COMPUTED_VALUE"""),"\\MCA-S\mk\2_BM\0_BMat\08_PYM\Inventario\excel\Imagen de refacciones\Schwing\Piston Ram DN 250 _ Ariete de Pistón DN 250")</f>
        <v>\\MCA-S\mk\2_BM\0_BMat\08_PYM\Inventario\excel\Imagen de refacciones\Schwing\Piston Ram DN 250 _ Ariete de Pistón DN 250</v>
      </c>
      <c r="E1214" s="74"/>
      <c r="F1214" s="74" t="str">
        <f>IFERROR(__xludf.DUMMYFUNCTION("""COMPUTED_VALUE"""),"Piston Ram DN 250 / Ariete de Pistón DN 250")</f>
        <v>Piston Ram DN 250 / Ariete de Pistón DN 250</v>
      </c>
      <c r="G1214" s="74"/>
      <c r="H1214" s="74"/>
      <c r="I1214" s="74" t="str">
        <f>IFERROR(__xludf.DUMMYFUNCTION("""COMPUTED_VALUE"""),"SOM30109")</f>
        <v>SOM30109</v>
      </c>
      <c r="J1214" s="74" t="str">
        <f>IFERROR(__xludf.DUMMYFUNCTION("""COMPUTED_VALUE"""),"10161980")</f>
        <v>10161980</v>
      </c>
      <c r="K1214" s="74" t="str">
        <f>IFERROR(__xludf.DUMMYFUNCTION("""COMPUTED_VALUE"""),"Schwing")</f>
        <v>Schwing</v>
      </c>
      <c r="L1214" s="74" t="str">
        <f>IFERROR(__xludf.DUMMYFUNCTION("""COMPUTED_VALUE"""),"Sistema de Bombeo de Concreto")</f>
        <v>Sistema de Bombeo de Concreto</v>
      </c>
      <c r="M1214" s="74" t="str">
        <f>IFERROR(__xludf.DUMMYFUNCTION("""COMPUTED_VALUE"""),"Sin Asignar")</f>
        <v>Sin Asignar</v>
      </c>
      <c r="N1214" s="87">
        <f>IFERROR(__xludf.DUMMYFUNCTION("""COMPUTED_VALUE"""),0.0)</f>
        <v>0</v>
      </c>
      <c r="O1214" s="74"/>
      <c r="P1214" s="74" t="str">
        <f>IFERROR(__xludf.DUMMYFUNCTION("""COMPUTED_VALUE"""),"borrar")</f>
        <v>borrar</v>
      </c>
      <c r="Q1214" s="74"/>
      <c r="R1214" s="74"/>
      <c r="S1214" s="87">
        <f>IFERROR(__xludf.DUMMYFUNCTION("""COMPUTED_VALUE"""),0.0)</f>
        <v>0</v>
      </c>
      <c r="T1214" s="87">
        <f>IFERROR(__xludf.DUMMYFUNCTION("""COMPUTED_VALUE"""),0.0)</f>
        <v>0</v>
      </c>
      <c r="U1214" s="87">
        <f>IFERROR(__xludf.DUMMYFUNCTION("""COMPUTED_VALUE"""),0.0)</f>
        <v>0</v>
      </c>
      <c r="V1214" s="87">
        <f>IFERROR(__xludf.DUMMYFUNCTION("""COMPUTED_VALUE"""),0.0)</f>
        <v>0</v>
      </c>
      <c r="W1214" s="87">
        <f>IFERROR(__xludf.DUMMYFUNCTION("""COMPUTED_VALUE"""),0.0)</f>
        <v>0</v>
      </c>
      <c r="X1214" s="88"/>
      <c r="Y1214" s="74"/>
      <c r="Z1214" s="74"/>
    </row>
    <row r="1215">
      <c r="B1215" s="74" t="str">
        <f>IFERROR(__xludf.DUMMYFUNCTION("""COMPUTED_VALUE"""),"2213")</f>
        <v>2213</v>
      </c>
      <c r="C1215" s="74"/>
      <c r="D1215" s="74" t="str">
        <f>IFERROR(__xludf.DUMMYFUNCTION("""COMPUTED_VALUE"""),"\\MCA-S\mk\2_BM\0_BMat\08_PYM\Inventario\excel\Imagen de refacciones\Schwing\Piston Ring _ Anillo de Pistón")</f>
        <v>\\MCA-S\mk\2_BM\0_BMat\08_PYM\Inventario\excel\Imagen de refacciones\Schwing\Piston Ring _ Anillo de Pistón</v>
      </c>
      <c r="E1215" s="74"/>
      <c r="F1215" s="74" t="str">
        <f>IFERROR(__xludf.DUMMYFUNCTION("""COMPUTED_VALUE"""),"Piston Ring / Anillo de Pistón")</f>
        <v>Piston Ring / Anillo de Pistón</v>
      </c>
      <c r="G1215" s="74"/>
      <c r="H1215" s="74"/>
      <c r="I1215" s="74" t="str">
        <f>IFERROR(__xludf.DUMMYFUNCTION("""COMPUTED_VALUE"""),"SOM30130")</f>
        <v>SOM30130</v>
      </c>
      <c r="J1215" s="74" t="str">
        <f>IFERROR(__xludf.DUMMYFUNCTION("""COMPUTED_VALUE"""),"10007990")</f>
        <v>10007990</v>
      </c>
      <c r="K1215" s="74" t="str">
        <f>IFERROR(__xludf.DUMMYFUNCTION("""COMPUTED_VALUE"""),"Schwing")</f>
        <v>Schwing</v>
      </c>
      <c r="L1215" s="74" t="str">
        <f>IFERROR(__xludf.DUMMYFUNCTION("""COMPUTED_VALUE"""),"Sellos y Retenes")</f>
        <v>Sellos y Retenes</v>
      </c>
      <c r="M1215" s="74" t="str">
        <f>IFERROR(__xludf.DUMMYFUNCTION("""COMPUTED_VALUE"""),"Sin Asignar")</f>
        <v>Sin Asignar</v>
      </c>
      <c r="N1215" s="87">
        <f>IFERROR(__xludf.DUMMYFUNCTION("""COMPUTED_VALUE"""),0.0)</f>
        <v>0</v>
      </c>
      <c r="O1215" s="74"/>
      <c r="P1215" s="74" t="str">
        <f>IFERROR(__xludf.DUMMYFUNCTION("""COMPUTED_VALUE"""),"No Available")</f>
        <v>No Available</v>
      </c>
      <c r="Q1215" s="74"/>
      <c r="R1215" s="74"/>
      <c r="S1215" s="87">
        <f>IFERROR(__xludf.DUMMYFUNCTION("""COMPUTED_VALUE"""),0.0)</f>
        <v>0</v>
      </c>
      <c r="T1215" s="87">
        <f>IFERROR(__xludf.DUMMYFUNCTION("""COMPUTED_VALUE"""),0.0)</f>
        <v>0</v>
      </c>
      <c r="U1215" s="87">
        <f>IFERROR(__xludf.DUMMYFUNCTION("""COMPUTED_VALUE"""),0.0)</f>
        <v>0</v>
      </c>
      <c r="V1215" s="87">
        <f>IFERROR(__xludf.DUMMYFUNCTION("""COMPUTED_VALUE"""),0.0)</f>
        <v>0</v>
      </c>
      <c r="W1215" s="87">
        <f>IFERROR(__xludf.DUMMYFUNCTION("""COMPUTED_VALUE"""),0.0)</f>
        <v>0</v>
      </c>
      <c r="X1215" s="88"/>
      <c r="Y1215" s="74"/>
      <c r="Z1215" s="74"/>
    </row>
    <row r="1216">
      <c r="B1216" s="74" t="str">
        <f>IFERROR(__xludf.DUMMYFUNCTION("""COMPUTED_VALUE"""),"2214")</f>
        <v>2214</v>
      </c>
      <c r="C1216" s="74"/>
      <c r="D1216" s="74" t="str">
        <f>IFERROR(__xludf.DUMMYFUNCTION("""COMPUTED_VALUE"""),"\\MCA-S\mk\2_BM\0_BMat\08_PYM\Inventario\excel\Imagen de refacciones\Schwing\Piston Ring 1203 _ Anillo de Pistón 1203")</f>
        <v>\\MCA-S\mk\2_BM\0_BMat\08_PYM\Inventario\excel\Imagen de refacciones\Schwing\Piston Ring 1203 _ Anillo de Pistón 1203</v>
      </c>
      <c r="E1216" s="74"/>
      <c r="F1216" s="74" t="str">
        <f>IFERROR(__xludf.DUMMYFUNCTION("""COMPUTED_VALUE"""),"Piston Ring 1203 / Anillo de Pistón 1203")</f>
        <v>Piston Ring 1203 / Anillo de Pistón 1203</v>
      </c>
      <c r="G1216" s="74"/>
      <c r="H1216" s="74"/>
      <c r="I1216" s="74" t="str">
        <f>IFERROR(__xludf.DUMMYFUNCTION("""COMPUTED_VALUE"""),"SOM30132")</f>
        <v>SOM30132</v>
      </c>
      <c r="J1216" s="74" t="str">
        <f>IFERROR(__xludf.DUMMYFUNCTION("""COMPUTED_VALUE"""),"10007052")</f>
        <v>10007052</v>
      </c>
      <c r="K1216" s="74" t="str">
        <f>IFERROR(__xludf.DUMMYFUNCTION("""COMPUTED_VALUE"""),"Schwing")</f>
        <v>Schwing</v>
      </c>
      <c r="L1216" s="74" t="str">
        <f>IFERROR(__xludf.DUMMYFUNCTION("""COMPUTED_VALUE"""),"Sellos y Retenes")</f>
        <v>Sellos y Retenes</v>
      </c>
      <c r="M1216" s="74" t="str">
        <f>IFERROR(__xludf.DUMMYFUNCTION("""COMPUTED_VALUE"""),"Sin Asignar")</f>
        <v>Sin Asignar</v>
      </c>
      <c r="N1216" s="87">
        <f>IFERROR(__xludf.DUMMYFUNCTION("""COMPUTED_VALUE"""),0.0)</f>
        <v>0</v>
      </c>
      <c r="O1216" s="74"/>
      <c r="P1216" s="74" t="str">
        <f>IFERROR(__xludf.DUMMYFUNCTION("""COMPUTED_VALUE"""),"No Available")</f>
        <v>No Available</v>
      </c>
      <c r="Q1216" s="74"/>
      <c r="R1216" s="74"/>
      <c r="S1216" s="87">
        <f>IFERROR(__xludf.DUMMYFUNCTION("""COMPUTED_VALUE"""),0.0)</f>
        <v>0</v>
      </c>
      <c r="T1216" s="87">
        <f>IFERROR(__xludf.DUMMYFUNCTION("""COMPUTED_VALUE"""),0.0)</f>
        <v>0</v>
      </c>
      <c r="U1216" s="87">
        <f>IFERROR(__xludf.DUMMYFUNCTION("""COMPUTED_VALUE"""),0.0)</f>
        <v>0</v>
      </c>
      <c r="V1216" s="87">
        <f>IFERROR(__xludf.DUMMYFUNCTION("""COMPUTED_VALUE"""),0.0)</f>
        <v>0</v>
      </c>
      <c r="W1216" s="87">
        <f>IFERROR(__xludf.DUMMYFUNCTION("""COMPUTED_VALUE"""),0.0)</f>
        <v>0</v>
      </c>
      <c r="X1216" s="88"/>
      <c r="Y1216" s="74"/>
      <c r="Z1216" s="74"/>
    </row>
    <row r="1217">
      <c r="B1217" s="74" t="str">
        <f>IFERROR(__xludf.DUMMYFUNCTION("""COMPUTED_VALUE"""),"2215")</f>
        <v>2215</v>
      </c>
      <c r="C1217" s="74"/>
      <c r="D1217" s="74" t="str">
        <f>IFERROR(__xludf.DUMMYFUNCTION("""COMPUTED_VALUE"""),"\\MCA-S\mk\2_BM\0_BMat\08_PYM\Inventario\excel\Imagen de refacciones\Schwing\Piston Rod _ Vástago de Pistón")</f>
        <v>\\MCA-S\mk\2_BM\0_BMat\08_PYM\Inventario\excel\Imagen de refacciones\Schwing\Piston Rod _ Vástago de Pistón</v>
      </c>
      <c r="E1217" s="74"/>
      <c r="F1217" s="74" t="str">
        <f>IFERROR(__xludf.DUMMYFUNCTION("""COMPUTED_VALUE"""),"Piston Rod / Vástago de Pistón")</f>
        <v>Piston Rod / Vástago de Pistón</v>
      </c>
      <c r="G1217" s="74"/>
      <c r="H1217" s="74"/>
      <c r="I1217" s="74" t="str">
        <f>IFERROR(__xludf.DUMMYFUNCTION("""COMPUTED_VALUE"""),"SOM30072")</f>
        <v>SOM30072</v>
      </c>
      <c r="J1217" s="74" t="str">
        <f>IFERROR(__xludf.DUMMYFUNCTION("""COMPUTED_VALUE"""),"10017556 / 10161754")</f>
        <v>10017556 / 10161754</v>
      </c>
      <c r="K1217" s="74" t="str">
        <f>IFERROR(__xludf.DUMMYFUNCTION("""COMPUTED_VALUE"""),"Schwing")</f>
        <v>Schwing</v>
      </c>
      <c r="L1217" s="74" t="str">
        <f>IFERROR(__xludf.DUMMYFUNCTION("""COMPUTED_VALUE"""),"Transmisión Mecánica")</f>
        <v>Transmisión Mecánica</v>
      </c>
      <c r="M1217" s="74" t="str">
        <f>IFERROR(__xludf.DUMMYFUNCTION("""COMPUTED_VALUE"""),"Sin Asignar")</f>
        <v>Sin Asignar</v>
      </c>
      <c r="N1217" s="87">
        <f>IFERROR(__xludf.DUMMYFUNCTION("""COMPUTED_VALUE"""),0.0)</f>
        <v>0</v>
      </c>
      <c r="O1217" s="74"/>
      <c r="P1217" s="74" t="str">
        <f>IFERROR(__xludf.DUMMYFUNCTION("""COMPUTED_VALUE"""),"borrar")</f>
        <v>borrar</v>
      </c>
      <c r="Q1217" s="74"/>
      <c r="R1217" s="74"/>
      <c r="S1217" s="87">
        <f>IFERROR(__xludf.DUMMYFUNCTION("""COMPUTED_VALUE"""),0.0)</f>
        <v>0</v>
      </c>
      <c r="T1217" s="87">
        <f>IFERROR(__xludf.DUMMYFUNCTION("""COMPUTED_VALUE"""),0.0)</f>
        <v>0</v>
      </c>
      <c r="U1217" s="87">
        <f>IFERROR(__xludf.DUMMYFUNCTION("""COMPUTED_VALUE"""),0.0)</f>
        <v>0</v>
      </c>
      <c r="V1217" s="87">
        <f>IFERROR(__xludf.DUMMYFUNCTION("""COMPUTED_VALUE"""),0.0)</f>
        <v>0</v>
      </c>
      <c r="W1217" s="87">
        <f>IFERROR(__xludf.DUMMYFUNCTION("""COMPUTED_VALUE"""),0.0)</f>
        <v>0</v>
      </c>
      <c r="X1217" s="88"/>
      <c r="Y1217" s="74"/>
      <c r="Z1217" s="74"/>
    </row>
    <row r="1218">
      <c r="B1218" s="74" t="str">
        <f>IFERROR(__xludf.DUMMYFUNCTION("""COMPUTED_VALUE"""),"2216")</f>
        <v>2216</v>
      </c>
      <c r="C1218" s="74"/>
      <c r="D1218" s="74" t="str">
        <f>IFERROR(__xludf.DUMMYFUNCTION("""COMPUTED_VALUE"""),"\\MCA-S\mk\2_BM\0_BMat\08_PYM\Inventario\excel\Imagen de refacciones\Schwing\Piston Rod 1200-2020-23 80 _ Vástago de Pistón 1200-2020-23 80")</f>
        <v>\\MCA-S\mk\2_BM\0_BMat\08_PYM\Inventario\excel\Imagen de refacciones\Schwing\Piston Rod 1200-2020-23 80 _ Vástago de Pistón 1200-2020-23 80</v>
      </c>
      <c r="E1218" s="74" t="str">
        <f>IFERROR(__xludf.DUMMYFUNCTION("""COMPUTED_VALUE"""),"PISTON ROD iston Rod 1200-2020-23 80")</f>
        <v>PISTON ROD iston Rod 1200-2020-23 80</v>
      </c>
      <c r="F1218" s="74" t="str">
        <f>IFERROR(__xludf.DUMMYFUNCTION("""COMPUTED_VALUE""")," / Vástago de Pistón 1200-2020-23 80")</f>
        <v> / Vástago de Pistón 1200-2020-23 80</v>
      </c>
      <c r="G1218" s="74"/>
      <c r="H1218" s="74"/>
      <c r="I1218" s="74"/>
      <c r="J1218" s="74"/>
      <c r="K1218" s="74" t="str">
        <f>IFERROR(__xludf.DUMMYFUNCTION("""COMPUTED_VALUE"""),"Schwing")</f>
        <v>Schwing</v>
      </c>
      <c r="L1218" s="74" t="str">
        <f>IFERROR(__xludf.DUMMYFUNCTION("""COMPUTED_VALUE"""),"Componentes Hidráulicos")</f>
        <v>Componentes Hidráulicos</v>
      </c>
      <c r="M1218" s="74" t="str">
        <f>IFERROR(__xludf.DUMMYFUNCTION("""COMPUTED_VALUE"""),"Sin Asignar")</f>
        <v>Sin Asignar</v>
      </c>
      <c r="N1218" s="87">
        <f>IFERROR(__xludf.DUMMYFUNCTION("""COMPUTED_VALUE"""),0.0)</f>
        <v>0</v>
      </c>
      <c r="O1218" s="74"/>
      <c r="P1218" s="74" t="str">
        <f>IFERROR(__xludf.DUMMYFUNCTION("""COMPUTED_VALUE"""),"borrar")</f>
        <v>borrar</v>
      </c>
      <c r="Q1218" s="74"/>
      <c r="R1218" s="74"/>
      <c r="S1218" s="87">
        <f>IFERROR(__xludf.DUMMYFUNCTION("""COMPUTED_VALUE"""),0.0)</f>
        <v>0</v>
      </c>
      <c r="T1218" s="87">
        <f>IFERROR(__xludf.DUMMYFUNCTION("""COMPUTED_VALUE"""),0.0)</f>
        <v>0</v>
      </c>
      <c r="U1218" s="87">
        <f>IFERROR(__xludf.DUMMYFUNCTION("""COMPUTED_VALUE"""),0.0)</f>
        <v>0</v>
      </c>
      <c r="V1218" s="87">
        <f>IFERROR(__xludf.DUMMYFUNCTION("""COMPUTED_VALUE"""),0.0)</f>
        <v>0</v>
      </c>
      <c r="W1218" s="87">
        <f>IFERROR(__xludf.DUMMYFUNCTION("""COMPUTED_VALUE"""),0.0)</f>
        <v>0</v>
      </c>
      <c r="X1218" s="88"/>
      <c r="Y1218" s="74"/>
      <c r="Z1218" s="74"/>
    </row>
    <row r="1219">
      <c r="B1219" s="74" t="str">
        <f>IFERROR(__xludf.DUMMYFUNCTION("""COMPUTED_VALUE"""),"2217")</f>
        <v>2217</v>
      </c>
      <c r="C1219" s="74"/>
      <c r="D1219" s="74" t="str">
        <f>IFERROR(__xludf.DUMMYFUNCTION("""COMPUTED_VALUE"""),"\\MCA-S\mk\2_BM\0_BMat\08_PYM\Inventario\excel\Imagen de refacciones\Schwing\Piston Rod 2525 85x2792 _ Vástago de Pistón 2525 85x2792")</f>
        <v>\\MCA-S\mk\2_BM\0_BMat\08_PYM\Inventario\excel\Imagen de refacciones\Schwing\Piston Rod 2525 85x2792 _ Vástago de Pistón 2525 85x2792</v>
      </c>
      <c r="E1219" s="74"/>
      <c r="F1219" s="74" t="str">
        <f>IFERROR(__xludf.DUMMYFUNCTION("""COMPUTED_VALUE"""),"Piston Rod 2525 85x2792 / Vástago de Pistón 2525 85x2792")</f>
        <v>Piston Rod 2525 85x2792 / Vástago de Pistón 2525 85x2792</v>
      </c>
      <c r="G1219" s="74"/>
      <c r="H1219" s="74"/>
      <c r="I1219" s="74" t="str">
        <f>IFERROR(__xludf.DUMMYFUNCTION("""COMPUTED_VALUE"""),"SOM30123")</f>
        <v>SOM30123</v>
      </c>
      <c r="J1219" s="74" t="str">
        <f>IFERROR(__xludf.DUMMYFUNCTION("""COMPUTED_VALUE"""),"10164040")</f>
        <v>10164040</v>
      </c>
      <c r="K1219" s="74" t="str">
        <f>IFERROR(__xludf.DUMMYFUNCTION("""COMPUTED_VALUE"""),"Schwing")</f>
        <v>Schwing</v>
      </c>
      <c r="L1219" s="74" t="str">
        <f>IFERROR(__xludf.DUMMYFUNCTION("""COMPUTED_VALUE"""),"Componentes Hidráulicos")</f>
        <v>Componentes Hidráulicos</v>
      </c>
      <c r="M1219" s="74" t="str">
        <f>IFERROR(__xludf.DUMMYFUNCTION("""COMPUTED_VALUE"""),"Sin Asignar")</f>
        <v>Sin Asignar</v>
      </c>
      <c r="N1219" s="87">
        <f>IFERROR(__xludf.DUMMYFUNCTION("""COMPUTED_VALUE"""),0.0)</f>
        <v>0</v>
      </c>
      <c r="O1219" s="74"/>
      <c r="P1219" s="74" t="str">
        <f>IFERROR(__xludf.DUMMYFUNCTION("""COMPUTED_VALUE"""),"No Available")</f>
        <v>No Available</v>
      </c>
      <c r="Q1219" s="74"/>
      <c r="R1219" s="74"/>
      <c r="S1219" s="87">
        <f>IFERROR(__xludf.DUMMYFUNCTION("""COMPUTED_VALUE"""),0.0)</f>
        <v>0</v>
      </c>
      <c r="T1219" s="87">
        <f>IFERROR(__xludf.DUMMYFUNCTION("""COMPUTED_VALUE"""),0.0)</f>
        <v>0</v>
      </c>
      <c r="U1219" s="87">
        <f>IFERROR(__xludf.DUMMYFUNCTION("""COMPUTED_VALUE"""),0.0)</f>
        <v>0</v>
      </c>
      <c r="V1219" s="87">
        <f>IFERROR(__xludf.DUMMYFUNCTION("""COMPUTED_VALUE"""),0.0)</f>
        <v>0</v>
      </c>
      <c r="W1219" s="87">
        <f>IFERROR(__xludf.DUMMYFUNCTION("""COMPUTED_VALUE"""),0.0)</f>
        <v>0</v>
      </c>
      <c r="X1219" s="88"/>
      <c r="Y1219" s="74"/>
      <c r="Z1219" s="74"/>
    </row>
    <row r="1220">
      <c r="B1220" s="74" t="str">
        <f>IFERROR(__xludf.DUMMYFUNCTION("""COMPUTED_VALUE"""),"2218")</f>
        <v>2218</v>
      </c>
      <c r="C1220" s="74"/>
      <c r="D1220" s="74" t="str">
        <f>IFERROR(__xludf.DUMMYFUNCTION("""COMPUTED_VALUE"""),"\\MCA-S\mk\2_BM\0_BMat\08_PYM\Inventario\excel\Imagen de refacciones\Schwing\Piston Rod 75x2292_16-50 _ Vástago de Pistón 75x2292_16-50")</f>
        <v>\\MCA-S\mk\2_BM\0_BMat\08_PYM\Inventario\excel\Imagen de refacciones\Schwing\Piston Rod 75x2292_16-50 _ Vástago de Pistón 75x2292_16-50</v>
      </c>
      <c r="E1220" s="74"/>
      <c r="F1220" s="74" t="str">
        <f>IFERROR(__xludf.DUMMYFUNCTION("""COMPUTED_VALUE"""),"Piston Rod 75x2292/16-50 / Vástago de Pistón 75x2292/16-50")</f>
        <v>Piston Rod 75x2292/16-50 / Vástago de Pistón 75x2292/16-50</v>
      </c>
      <c r="G1220" s="74"/>
      <c r="H1220" s="74"/>
      <c r="I1220" s="74" t="str">
        <f>IFERROR(__xludf.DUMMYFUNCTION("""COMPUTED_VALUE"""),"SOM30125")</f>
        <v>SOM30125</v>
      </c>
      <c r="J1220" s="74" t="str">
        <f>IFERROR(__xludf.DUMMYFUNCTION("""COMPUTED_VALUE"""),"10176360")</f>
        <v>10176360</v>
      </c>
      <c r="K1220" s="74" t="str">
        <f>IFERROR(__xludf.DUMMYFUNCTION("""COMPUTED_VALUE"""),"Schwing")</f>
        <v>Schwing</v>
      </c>
      <c r="L1220" s="74" t="str">
        <f>IFERROR(__xludf.DUMMYFUNCTION("""COMPUTED_VALUE"""),"Componentes Hidráulicos")</f>
        <v>Componentes Hidráulicos</v>
      </c>
      <c r="M1220" s="74" t="str">
        <f>IFERROR(__xludf.DUMMYFUNCTION("""COMPUTED_VALUE"""),"Sin Asignar")</f>
        <v>Sin Asignar</v>
      </c>
      <c r="N1220" s="87">
        <f>IFERROR(__xludf.DUMMYFUNCTION("""COMPUTED_VALUE"""),0.0)</f>
        <v>0</v>
      </c>
      <c r="O1220" s="74"/>
      <c r="P1220" s="74" t="str">
        <f>IFERROR(__xludf.DUMMYFUNCTION("""COMPUTED_VALUE"""),"No Available")</f>
        <v>No Available</v>
      </c>
      <c r="Q1220" s="74"/>
      <c r="R1220" s="74"/>
      <c r="S1220" s="87">
        <f>IFERROR(__xludf.DUMMYFUNCTION("""COMPUTED_VALUE"""),0.0)</f>
        <v>0</v>
      </c>
      <c r="T1220" s="87">
        <f>IFERROR(__xludf.DUMMYFUNCTION("""COMPUTED_VALUE"""),0.0)</f>
        <v>0</v>
      </c>
      <c r="U1220" s="87">
        <f>IFERROR(__xludf.DUMMYFUNCTION("""COMPUTED_VALUE"""),0.0)</f>
        <v>0</v>
      </c>
      <c r="V1220" s="87">
        <f>IFERROR(__xludf.DUMMYFUNCTION("""COMPUTED_VALUE"""),0.0)</f>
        <v>0</v>
      </c>
      <c r="W1220" s="87">
        <f>IFERROR(__xludf.DUMMYFUNCTION("""COMPUTED_VALUE"""),0.0)</f>
        <v>0</v>
      </c>
      <c r="X1220" s="88"/>
      <c r="Y1220" s="74"/>
      <c r="Z1220" s="74"/>
    </row>
    <row r="1221">
      <c r="B1221" s="74" t="str">
        <f>IFERROR(__xludf.DUMMYFUNCTION("""COMPUTED_VALUE"""),"2219")</f>
        <v>2219</v>
      </c>
      <c r="C1221" s="74"/>
      <c r="D1221" s="74" t="str">
        <f>IFERROR(__xludf.DUMMYFUNCTION("""COMPUTED_VALUE"""),"\\MCA-S\mk\2_BM\0_BMat\08_PYM\Inventario\excel\Imagen de refacciones\Schwing\Piston Rod 80x1892_16-50 _ Vástago de Pistón 80x1892_16-50")</f>
        <v>\\MCA-S\mk\2_BM\0_BMat\08_PYM\Inventario\excel\Imagen de refacciones\Schwing\Piston Rod 80x1892_16-50 _ Vástago de Pistón 80x1892_16-50</v>
      </c>
      <c r="E1221" s="74"/>
      <c r="F1221" s="74" t="str">
        <f>IFERROR(__xludf.DUMMYFUNCTION("""COMPUTED_VALUE"""),"VARILLA PISTÓN 80X130 PARA BOMBA DE HORMIGON")</f>
        <v>VARILLA PISTÓN 80X130 PARA BOMBA DE HORMIGON</v>
      </c>
      <c r="G1221" s="74"/>
      <c r="H1221" s="74"/>
      <c r="I1221" s="74" t="str">
        <f>IFERROR(__xludf.DUMMYFUNCTION("""COMPUTED_VALUE"""),"SOM30121")</f>
        <v>SOM30121</v>
      </c>
      <c r="J1221" s="74" t="str">
        <f>IFERROR(__xludf.DUMMYFUNCTION("""COMPUTED_VALUE"""),"10013157")</f>
        <v>10013157</v>
      </c>
      <c r="K1221" s="74" t="str">
        <f>IFERROR(__xludf.DUMMYFUNCTION("""COMPUTED_VALUE"""),"Schwing")</f>
        <v>Schwing</v>
      </c>
      <c r="L1221" s="74" t="str">
        <f>IFERROR(__xludf.DUMMYFUNCTION("""COMPUTED_VALUE"""),"Componentes Hidráulicos")</f>
        <v>Componentes Hidráulicos</v>
      </c>
      <c r="M1221" s="74" t="str">
        <f>IFERROR(__xludf.DUMMYFUNCTION("""COMPUTED_VALUE"""),"Sin Asignar")</f>
        <v>Sin Asignar</v>
      </c>
      <c r="N1221" s="87">
        <f>IFERROR(__xludf.DUMMYFUNCTION("""COMPUTED_VALUE"""),0.0)</f>
        <v>0</v>
      </c>
      <c r="O1221" s="74"/>
      <c r="P1221" s="74" t="str">
        <f>IFERROR(__xludf.DUMMYFUNCTION("""COMPUTED_VALUE"""),"borrar")</f>
        <v>borrar</v>
      </c>
      <c r="Q1221" s="74"/>
      <c r="R1221" s="74"/>
      <c r="S1221" s="87">
        <f>IFERROR(__xludf.DUMMYFUNCTION("""COMPUTED_VALUE"""),0.0)</f>
        <v>0</v>
      </c>
      <c r="T1221" s="87">
        <f>IFERROR(__xludf.DUMMYFUNCTION("""COMPUTED_VALUE"""),0.0)</f>
        <v>0</v>
      </c>
      <c r="U1221" s="87">
        <f>IFERROR(__xludf.DUMMYFUNCTION("""COMPUTED_VALUE"""),0.0)</f>
        <v>0</v>
      </c>
      <c r="V1221" s="87">
        <f>IFERROR(__xludf.DUMMYFUNCTION("""COMPUTED_VALUE"""),0.0)</f>
        <v>0</v>
      </c>
      <c r="W1221" s="87">
        <f>IFERROR(__xludf.DUMMYFUNCTION("""COMPUTED_VALUE"""),0.0)</f>
        <v>0</v>
      </c>
      <c r="X1221" s="88"/>
      <c r="Y1221" s="74"/>
      <c r="Z1221" s="74"/>
    </row>
    <row r="1222">
      <c r="B1222" s="74" t="str">
        <f>IFERROR(__xludf.DUMMYFUNCTION("""COMPUTED_VALUE"""),"2220")</f>
        <v>2220</v>
      </c>
      <c r="C1222" s="74"/>
      <c r="D1222" s="74" t="str">
        <f>IFERROR(__xludf.DUMMYFUNCTION("""COMPUTED_VALUE"""),"\\MCA-S\mk\2_BM\0_BMat\08_PYM\Inventario\excel\Imagen de refacciones\Schwing\Plunger Housing _ Alojamiento del Émbolo")</f>
        <v>\\MCA-S\mk\2_BM\0_BMat\08_PYM\Inventario\excel\Imagen de refacciones\Schwing\Plunger Housing _ Alojamiento del Émbolo</v>
      </c>
      <c r="E1222" s="74"/>
      <c r="F1222" s="74" t="str">
        <f>IFERROR(__xludf.DUMMYFUNCTION("""COMPUTED_VALUE"""),"Plunger Housing / Alojamiento del Émbolo")</f>
        <v>Plunger Housing / Alojamiento del Émbolo</v>
      </c>
      <c r="G1222" s="74"/>
      <c r="H1222" s="74"/>
      <c r="I1222" s="74" t="str">
        <f>IFERROR(__xludf.DUMMYFUNCTION("""COMPUTED_VALUE"""),"SOM30186")</f>
        <v>SOM30186</v>
      </c>
      <c r="J1222" s="74" t="str">
        <f>IFERROR(__xludf.DUMMYFUNCTION("""COMPUTED_VALUE"""),"10001231")</f>
        <v>10001231</v>
      </c>
      <c r="K1222" s="74" t="str">
        <f>IFERROR(__xludf.DUMMYFUNCTION("""COMPUTED_VALUE"""),"Schwing")</f>
        <v>Schwing</v>
      </c>
      <c r="L1222" s="74" t="str">
        <f>IFERROR(__xludf.DUMMYFUNCTION("""COMPUTED_VALUE"""),"Transmisión Mecánica")</f>
        <v>Transmisión Mecánica</v>
      </c>
      <c r="M1222" s="74" t="str">
        <f>IFERROR(__xludf.DUMMYFUNCTION("""COMPUTED_VALUE"""),"Sin Asignar")</f>
        <v>Sin Asignar</v>
      </c>
      <c r="N1222" s="87">
        <f>IFERROR(__xludf.DUMMYFUNCTION("""COMPUTED_VALUE"""),0.0)</f>
        <v>0</v>
      </c>
      <c r="O1222" s="74"/>
      <c r="P1222" s="74" t="str">
        <f>IFERROR(__xludf.DUMMYFUNCTION("""COMPUTED_VALUE"""),"No Available")</f>
        <v>No Available</v>
      </c>
      <c r="Q1222" s="74"/>
      <c r="R1222" s="74"/>
      <c r="S1222" s="87">
        <f>IFERROR(__xludf.DUMMYFUNCTION("""COMPUTED_VALUE"""),0.0)</f>
        <v>0</v>
      </c>
      <c r="T1222" s="87">
        <f>IFERROR(__xludf.DUMMYFUNCTION("""COMPUTED_VALUE"""),0.0)</f>
        <v>0</v>
      </c>
      <c r="U1222" s="87">
        <f>IFERROR(__xludf.DUMMYFUNCTION("""COMPUTED_VALUE"""),0.0)</f>
        <v>0</v>
      </c>
      <c r="V1222" s="87">
        <f>IFERROR(__xludf.DUMMYFUNCTION("""COMPUTED_VALUE"""),0.0)</f>
        <v>0</v>
      </c>
      <c r="W1222" s="87">
        <f>IFERROR(__xludf.DUMMYFUNCTION("""COMPUTED_VALUE"""),0.0)</f>
        <v>0</v>
      </c>
      <c r="X1222" s="88"/>
      <c r="Y1222" s="74"/>
      <c r="Z1222" s="74"/>
    </row>
    <row r="1223">
      <c r="B1223" s="74" t="str">
        <f>IFERROR(__xludf.DUMMYFUNCTION("""COMPUTED_VALUE"""),"2221")</f>
        <v>2221</v>
      </c>
      <c r="C1223" s="74"/>
      <c r="D1223" s="74" t="str">
        <f>IFERROR(__xludf.DUMMYFUNCTION("""COMPUTED_VALUE"""),"\\MCA-S\mk\2_BM\0_BMat\08_PYM\Inventario\excel\Imagen de refacciones\Schwing\Plunger Housing _ Alojamiento del Émbolo (1)")</f>
        <v>\\MCA-S\mk\2_BM\0_BMat\08_PYM\Inventario\excel\Imagen de refacciones\Schwing\Plunger Housing _ Alojamiento del Émbolo (1)</v>
      </c>
      <c r="E1223" s="74"/>
      <c r="F1223" s="74" t="str">
        <f>IFERROR(__xludf.DUMMYFUNCTION("""COMPUTED_VALUE"""),"Plunger Housing / Alojamiento del Émbolo")</f>
        <v>Plunger Housing / Alojamiento del Émbolo</v>
      </c>
      <c r="G1223" s="74"/>
      <c r="H1223" s="74"/>
      <c r="I1223" s="74" t="str">
        <f>IFERROR(__xludf.DUMMYFUNCTION("""COMPUTED_VALUE"""),"SOM30187")</f>
        <v>SOM30187</v>
      </c>
      <c r="J1223" s="74" t="str">
        <f>IFERROR(__xludf.DUMMYFUNCTION("""COMPUTED_VALUE"""),"10012975")</f>
        <v>10012975</v>
      </c>
      <c r="K1223" s="74" t="str">
        <f>IFERROR(__xludf.DUMMYFUNCTION("""COMPUTED_VALUE"""),"Schwing")</f>
        <v>Schwing</v>
      </c>
      <c r="L1223" s="74" t="str">
        <f>IFERROR(__xludf.DUMMYFUNCTION("""COMPUTED_VALUE"""),"Transmisión Mecánica")</f>
        <v>Transmisión Mecánica</v>
      </c>
      <c r="M1223" s="74" t="str">
        <f>IFERROR(__xludf.DUMMYFUNCTION("""COMPUTED_VALUE"""),"Sin Asignar")</f>
        <v>Sin Asignar</v>
      </c>
      <c r="N1223" s="87">
        <f>IFERROR(__xludf.DUMMYFUNCTION("""COMPUTED_VALUE"""),0.0)</f>
        <v>0</v>
      </c>
      <c r="O1223" s="74"/>
      <c r="P1223" s="74" t="str">
        <f>IFERROR(__xludf.DUMMYFUNCTION("""COMPUTED_VALUE"""),"No Available")</f>
        <v>No Available</v>
      </c>
      <c r="Q1223" s="74"/>
      <c r="R1223" s="74"/>
      <c r="S1223" s="87">
        <f>IFERROR(__xludf.DUMMYFUNCTION("""COMPUTED_VALUE"""),0.0)</f>
        <v>0</v>
      </c>
      <c r="T1223" s="87">
        <f>IFERROR(__xludf.DUMMYFUNCTION("""COMPUTED_VALUE"""),0.0)</f>
        <v>0</v>
      </c>
      <c r="U1223" s="87">
        <f>IFERROR(__xludf.DUMMYFUNCTION("""COMPUTED_VALUE"""),0.0)</f>
        <v>0</v>
      </c>
      <c r="V1223" s="87">
        <f>IFERROR(__xludf.DUMMYFUNCTION("""COMPUTED_VALUE"""),0.0)</f>
        <v>0</v>
      </c>
      <c r="W1223" s="87">
        <f>IFERROR(__xludf.DUMMYFUNCTION("""COMPUTED_VALUE"""),0.0)</f>
        <v>0</v>
      </c>
      <c r="X1223" s="88"/>
      <c r="Y1223" s="74"/>
      <c r="Z1223" s="74"/>
    </row>
    <row r="1224">
      <c r="B1224" s="74" t="str">
        <f>IFERROR(__xludf.DUMMYFUNCTION("""COMPUTED_VALUE"""),"2222")</f>
        <v>2222</v>
      </c>
      <c r="C1224" s="74" t="str">
        <f>IFERROR(__xludf.DUMMYFUNCTION("""COMPUTED_VALUE"""),"75045880399")</f>
        <v>75045880399</v>
      </c>
      <c r="D1224" s="74" t="str">
        <f>IFERROR(__xludf.DUMMYFUNCTION("""COMPUTED_VALUE"""),"\\MCA-S\mk\2_BM\0_BMat\08_PYM\Inventario\excel\Imagen de refacciones\Schwing\PIN Perdno con tope para horquilla")</f>
        <v>\\MCA-S\mk\2_BM\0_BMat\08_PYM\Inventario\excel\Imagen de refacciones\Schwing\PIN Perdno con tope para horquilla</v>
      </c>
      <c r="E1224" s="74" t="str">
        <f>IFERROR(__xludf.DUMMYFUNCTION("""COMPUTED_VALUE"""),"BOLT V ROCK 34x68")</f>
        <v>BOLT V ROCK 34x68</v>
      </c>
      <c r="F1224" s="74" t="str">
        <f>IFERROR(__xludf.DUMMYFUNCTION("""COMPUTED_VALUE"""),"PIN PERNO CON TOPE PARA HORQUILLA 34x68")</f>
        <v>PIN PERNO CON TOPE PARA HORQUILLA 34x68</v>
      </c>
      <c r="G1224" s="74"/>
      <c r="H1224" s="74"/>
      <c r="I1224" s="74" t="str">
        <f>IFERROR(__xludf.DUMMYFUNCTION("""COMPUTED_VALUE"""),"10058467")</f>
        <v>10058467</v>
      </c>
      <c r="J1224" s="74"/>
      <c r="K1224" s="74" t="str">
        <f>IFERROR(__xludf.DUMMYFUNCTION("""COMPUTED_VALUE"""),"Schwing")</f>
        <v>Schwing</v>
      </c>
      <c r="L1224" s="74" t="str">
        <f>IFERROR(__xludf.DUMMYFUNCTION("""COMPUTED_VALUE"""),"BARRA V-ROCK")</f>
        <v>BARRA V-ROCK</v>
      </c>
      <c r="M1224" s="74" t="str">
        <f>IFERROR(__xludf.DUMMYFUNCTION("""COMPUTED_VALUE"""),"SIN ASIGNAR")</f>
        <v>SIN ASIGNAR</v>
      </c>
      <c r="N1224" s="87">
        <f>IFERROR(__xludf.DUMMYFUNCTION("""COMPUTED_VALUE"""),1012.3199999999999)</f>
        <v>1012.32</v>
      </c>
      <c r="O1224" s="74">
        <f>IFERROR(__xludf.DUMMYFUNCTION("""COMPUTED_VALUE"""),5.0)</f>
        <v>5</v>
      </c>
      <c r="P1224" s="74" t="str">
        <f>IFERROR(__xludf.DUMMYFUNCTION("""COMPUTED_VALUE"""),"In stock")</f>
        <v>In stock</v>
      </c>
      <c r="Q1224" s="74"/>
      <c r="R1224" s="74"/>
      <c r="S1224" s="87">
        <f>IFERROR(__xludf.DUMMYFUNCTION("""COMPUTED_VALUE"""),7.0)</f>
        <v>7</v>
      </c>
      <c r="T1224" s="87">
        <f>IFERROR(__xludf.DUMMYFUNCTION("""COMPUTED_VALUE"""),57.0)</f>
        <v>57</v>
      </c>
      <c r="U1224" s="87">
        <f>IFERROR(__xludf.DUMMYFUNCTION("""COMPUTED_VALUE"""),54.72)</f>
        <v>54.72</v>
      </c>
      <c r="V1224" s="87">
        <f>IFERROR(__xludf.DUMMYFUNCTION("""COMPUTED_VALUE"""),8.575)</f>
        <v>8.575</v>
      </c>
      <c r="W1224" s="87">
        <f>IFERROR(__xludf.DUMMYFUNCTION("""COMPUTED_VALUE"""),160.78125)</f>
        <v>160.78125</v>
      </c>
      <c r="X1224" s="88">
        <f>IFERROR(__xludf.DUMMYFUNCTION("""COMPUTED_VALUE"""),7.817142857142857)</f>
        <v>7.817142857</v>
      </c>
      <c r="Y1224" s="74"/>
      <c r="Z1224" s="74"/>
    </row>
    <row r="1225">
      <c r="B1225" s="74" t="str">
        <f>IFERROR(__xludf.DUMMYFUNCTION("""COMPUTED_VALUE"""),"2223")</f>
        <v>2223</v>
      </c>
      <c r="C1225" s="74" t="str">
        <f>IFERROR(__xludf.DUMMYFUNCTION("""COMPUTED_VALUE"""),"75045880535")</f>
        <v>75045880535</v>
      </c>
      <c r="D1225" s="74" t="str">
        <f>IFERROR(__xludf.DUMMYFUNCTION("""COMPUTED_VALUE"""),"\\MCA-S\mk\2_BM\0_BMat\08_PYM\Inventario\excel\Imagen de refacciones\Schwing\Porta Antifaz")</f>
        <v>\\MCA-S\mk\2_BM\0_BMat\08_PYM\Inventario\excel\Imagen de refacciones\Schwing\Porta Antifaz</v>
      </c>
      <c r="E1225" s="74" t="str">
        <f>IFERROR(__xludf.DUMMYFUNCTION("""COMPUTED_VALUE"""),"BASE PLATE")</f>
        <v>BASE PLATE</v>
      </c>
      <c r="F1225" s="74" t="str">
        <f>IFERROR(__xludf.DUMMYFUNCTION("""COMPUTED_VALUE"""),"PORTA ANTIFAZ/ PLACA BASE")</f>
        <v>PORTA ANTIFAZ/ PLACA BASE</v>
      </c>
      <c r="G1225" s="74"/>
      <c r="H1225" s="74"/>
      <c r="I1225" s="74" t="str">
        <f>IFERROR(__xludf.DUMMYFUNCTION("""COMPUTED_VALUE"""),"10074769")</f>
        <v>10074769</v>
      </c>
      <c r="J1225" s="74"/>
      <c r="K1225" s="74" t="str">
        <f>IFERROR(__xludf.DUMMYFUNCTION("""COMPUTED_VALUE"""),"Schwing")</f>
        <v>Schwing</v>
      </c>
      <c r="L1225" s="74" t="str">
        <f>IFERROR(__xludf.DUMMYFUNCTION("""COMPUTED_VALUE"""),"BARRA V-ROCK")</f>
        <v>BARRA V-ROCK</v>
      </c>
      <c r="M1225" s="74" t="str">
        <f>IFERROR(__xludf.DUMMYFUNCTION("""COMPUTED_VALUE"""),"SIN ASIGNAR")</f>
        <v>SIN ASIGNAR</v>
      </c>
      <c r="N1225" s="87">
        <f>IFERROR(__xludf.DUMMYFUNCTION("""COMPUTED_VALUE"""),14492.16)</f>
        <v>14492.16</v>
      </c>
      <c r="O1225" s="74">
        <f>IFERROR(__xludf.DUMMYFUNCTION("""COMPUTED_VALUE"""),2.0)</f>
        <v>2</v>
      </c>
      <c r="P1225" s="74" t="str">
        <f>IFERROR(__xludf.DUMMYFUNCTION("""COMPUTED_VALUE"""),"In stock")</f>
        <v>In stock</v>
      </c>
      <c r="Q1225" s="74"/>
      <c r="R1225" s="74"/>
      <c r="S1225" s="87">
        <f>IFERROR(__xludf.DUMMYFUNCTION("""COMPUTED_VALUE"""),145.0)</f>
        <v>145</v>
      </c>
      <c r="T1225" s="87">
        <f>IFERROR(__xludf.DUMMYFUNCTION("""COMPUTED_VALUE"""),816.0)</f>
        <v>816</v>
      </c>
      <c r="U1225" s="87">
        <f>IFERROR(__xludf.DUMMYFUNCTION("""COMPUTED_VALUE"""),783.36)</f>
        <v>783.36</v>
      </c>
      <c r="V1225" s="87">
        <f>IFERROR(__xludf.DUMMYFUNCTION("""COMPUTED_VALUE"""),177.625)</f>
        <v>177.625</v>
      </c>
      <c r="W1225" s="87">
        <f>IFERROR(__xludf.DUMMYFUNCTION("""COMPUTED_VALUE"""),3330.46875)</f>
        <v>3330.46875</v>
      </c>
      <c r="X1225" s="88">
        <f>IFERROR(__xludf.DUMMYFUNCTION("""COMPUTED_VALUE"""),5.40248275862069)</f>
        <v>5.402482759</v>
      </c>
      <c r="Y1225" s="74"/>
      <c r="Z1225" s="74"/>
    </row>
    <row r="1226">
      <c r="B1226" s="74" t="str">
        <f>IFERROR(__xludf.DUMMYFUNCTION("""COMPUTED_VALUE"""),"2224")</f>
        <v>2224</v>
      </c>
      <c r="C1226" s="74" t="str">
        <f>IFERROR(__xludf.DUMMYFUNCTION("""COMPUTED_VALUE"""),"75045880280")</f>
        <v>75045880280</v>
      </c>
      <c r="D1226" s="74" t="str">
        <f>IFERROR(__xludf.DUMMYFUNCTION("""COMPUTED_VALUE"""),"\\MCA-S\mk\2_BM\0_BMat\08_PYM\Inventario\excel\Imagen de refacciones\Schwing\Pressure Spring DN 210 _ Resorte de Presión DN 210")</f>
        <v>\\MCA-S\mk\2_BM\0_BMat\08_PYM\Inventario\excel\Imagen de refacciones\Schwing\Pressure Spring DN 210 _ Resorte de Presión DN 210</v>
      </c>
      <c r="E1226" s="74" t="str">
        <f>IFERROR(__xludf.DUMMYFUNCTION("""COMPUTED_VALUE"""),"PRESSURE RING DN210")</f>
        <v>PRESSURE RING DN210</v>
      </c>
      <c r="F1226" s="74" t="str">
        <f>IFERROR(__xludf.DUMMYFUNCTION("""COMPUTED_VALUE"""),"RESORTE DE PRESION DN210")</f>
        <v>RESORTE DE PRESION DN210</v>
      </c>
      <c r="G1226" s="74"/>
      <c r="H1226" s="74"/>
      <c r="I1226" s="74" t="str">
        <f>IFERROR(__xludf.DUMMYFUNCTION("""COMPUTED_VALUE"""),"10064472")</f>
        <v>10064472</v>
      </c>
      <c r="J1226" s="74"/>
      <c r="K1226" s="74" t="str">
        <f>IFERROR(__xludf.DUMMYFUNCTION("""COMPUTED_VALUE"""),"Schwing")</f>
        <v>Schwing</v>
      </c>
      <c r="L1226" s="74" t="str">
        <f>IFERROR(__xludf.DUMMYFUNCTION("""COMPUTED_VALUE"""),"BARRA V-ROCK")</f>
        <v>BARRA V-ROCK</v>
      </c>
      <c r="M1226" s="74" t="str">
        <f>IFERROR(__xludf.DUMMYFUNCTION("""COMPUTED_VALUE"""),"SIN ASIGNAR")</f>
        <v>SIN ASIGNAR</v>
      </c>
      <c r="N1226" s="87">
        <f>IFERROR(__xludf.DUMMYFUNCTION("""COMPUTED_VALUE"""),444.0)</f>
        <v>444</v>
      </c>
      <c r="O1226" s="74">
        <f>IFERROR(__xludf.DUMMYFUNCTION("""COMPUTED_VALUE"""),15.0)</f>
        <v>15</v>
      </c>
      <c r="P1226" s="74" t="str">
        <f>IFERROR(__xludf.DUMMYFUNCTION("""COMPUTED_VALUE"""),"In stock")</f>
        <v>In stock</v>
      </c>
      <c r="Q1226" s="74"/>
      <c r="R1226" s="74"/>
      <c r="S1226" s="87">
        <f>IFERROR(__xludf.DUMMYFUNCTION("""COMPUTED_VALUE"""),3.3)</f>
        <v>3.3</v>
      </c>
      <c r="T1226" s="87">
        <f>IFERROR(__xludf.DUMMYFUNCTION("""COMPUTED_VALUE"""),25.0)</f>
        <v>25</v>
      </c>
      <c r="U1226" s="87">
        <f>IFERROR(__xludf.DUMMYFUNCTION("""COMPUTED_VALUE"""),24.0)</f>
        <v>24</v>
      </c>
      <c r="V1226" s="87">
        <f>IFERROR(__xludf.DUMMYFUNCTION("""COMPUTED_VALUE"""),4.0424999999999995)</f>
        <v>4.0425</v>
      </c>
      <c r="W1226" s="87">
        <f>IFERROR(__xludf.DUMMYFUNCTION("""COMPUTED_VALUE"""),75.79687499999999)</f>
        <v>75.796875</v>
      </c>
      <c r="X1226" s="88">
        <f>IFERROR(__xludf.DUMMYFUNCTION("""COMPUTED_VALUE"""),7.272727272727273)</f>
        <v>7.272727273</v>
      </c>
      <c r="Y1226" s="74"/>
      <c r="Z1226" s="74"/>
    </row>
    <row r="1227">
      <c r="B1227" s="74" t="str">
        <f>IFERROR(__xludf.DUMMYFUNCTION("""COMPUTED_VALUE"""),"2225")</f>
        <v>2225</v>
      </c>
      <c r="C1227" s="74"/>
      <c r="D1227" s="74" t="str">
        <f>IFERROR(__xludf.DUMMYFUNCTION("""COMPUTED_VALUE"""),"\\MCA-S\mk\2_BM\0_BMat\08_PYM\Inventario\excel\Imagen de refacciones\Schwing\Pressure Spring DN 220 _ Resorte de Presión DN 220")</f>
        <v>\\MCA-S\mk\2_BM\0_BMat\08_PYM\Inventario\excel\Imagen de refacciones\Schwing\Pressure Spring DN 220 _ Resorte de Presión DN 220</v>
      </c>
      <c r="E1227" s="74"/>
      <c r="F1227" s="74" t="str">
        <f>IFERROR(__xludf.DUMMYFUNCTION("""COMPUTED_VALUE"""),"Pressure Spring DN 220 / Resorte de Presión DN 220")</f>
        <v>Pressure Spring DN 220 / Resorte de Presión DN 220</v>
      </c>
      <c r="G1227" s="74"/>
      <c r="H1227" s="74"/>
      <c r="I1227" s="74" t="str">
        <f>IFERROR(__xludf.DUMMYFUNCTION("""COMPUTED_VALUE"""),"SOM30014")</f>
        <v>SOM30014</v>
      </c>
      <c r="J1227" s="74" t="str">
        <f>IFERROR(__xludf.DUMMYFUNCTION("""COMPUTED_VALUE"""),"10181917")</f>
        <v>10181917</v>
      </c>
      <c r="K1227" s="74" t="str">
        <f>IFERROR(__xludf.DUMMYFUNCTION("""COMPUTED_VALUE"""),"Schwing")</f>
        <v>Schwing</v>
      </c>
      <c r="L1227" s="74" t="str">
        <f>IFERROR(__xludf.DUMMYFUNCTION("""COMPUTED_VALUE"""),"Sistema de Bombeo de Concreto")</f>
        <v>Sistema de Bombeo de Concreto</v>
      </c>
      <c r="M1227" s="74" t="str">
        <f>IFERROR(__xludf.DUMMYFUNCTION("""COMPUTED_VALUE"""),"Sin Asignar")</f>
        <v>Sin Asignar</v>
      </c>
      <c r="N1227" s="87">
        <f>IFERROR(__xludf.DUMMYFUNCTION("""COMPUTED_VALUE"""),0.0)</f>
        <v>0</v>
      </c>
      <c r="O1227" s="74"/>
      <c r="P1227" s="74" t="str">
        <f>IFERROR(__xludf.DUMMYFUNCTION("""COMPUTED_VALUE"""),"No Available")</f>
        <v>No Available</v>
      </c>
      <c r="Q1227" s="74"/>
      <c r="R1227" s="74"/>
      <c r="S1227" s="87">
        <f>IFERROR(__xludf.DUMMYFUNCTION("""COMPUTED_VALUE"""),0.0)</f>
        <v>0</v>
      </c>
      <c r="T1227" s="87">
        <f>IFERROR(__xludf.DUMMYFUNCTION("""COMPUTED_VALUE"""),0.0)</f>
        <v>0</v>
      </c>
      <c r="U1227" s="87">
        <f>IFERROR(__xludf.DUMMYFUNCTION("""COMPUTED_VALUE"""),0.0)</f>
        <v>0</v>
      </c>
      <c r="V1227" s="87">
        <f>IFERROR(__xludf.DUMMYFUNCTION("""COMPUTED_VALUE"""),0.0)</f>
        <v>0</v>
      </c>
      <c r="W1227" s="87">
        <f>IFERROR(__xludf.DUMMYFUNCTION("""COMPUTED_VALUE"""),0.0)</f>
        <v>0</v>
      </c>
      <c r="X1227" s="88"/>
      <c r="Y1227" s="74"/>
      <c r="Z1227" s="74"/>
    </row>
    <row r="1228">
      <c r="B1228" s="74" t="str">
        <f>IFERROR(__xludf.DUMMYFUNCTION("""COMPUTED_VALUE"""),"2226")</f>
        <v>2226</v>
      </c>
      <c r="C1228" s="74"/>
      <c r="D1228" s="74" t="str">
        <f>IFERROR(__xludf.DUMMYFUNCTION("""COMPUTED_VALUE"""),"\\MCA-S\mk\2_BM\0_BMat\08_PYM\Inventario\excel\Imagen de refacciones\Schwing\Pressure Spring DN 230 _ Resorte de Presión DN 230")</f>
        <v>\\MCA-S\mk\2_BM\0_BMat\08_PYM\Inventario\excel\Imagen de refacciones\Schwing\Pressure Spring DN 230 _ Resorte de Presión DN 230</v>
      </c>
      <c r="E1228" s="74"/>
      <c r="F1228" s="74" t="str">
        <f>IFERROR(__xludf.DUMMYFUNCTION("""COMPUTED_VALUE"""),"Pressure Spring DN 230 / Resorte de Presión DN 230")</f>
        <v>Pressure Spring DN 230 / Resorte de Presión DN 230</v>
      </c>
      <c r="G1228" s="74"/>
      <c r="H1228" s="74"/>
      <c r="I1228" s="74" t="str">
        <f>IFERROR(__xludf.DUMMYFUNCTION("""COMPUTED_VALUE"""),"SOM30015")</f>
        <v>SOM30015</v>
      </c>
      <c r="J1228" s="74" t="str">
        <f>IFERROR(__xludf.DUMMYFUNCTION("""COMPUTED_VALUE"""),"10166975")</f>
        <v>10166975</v>
      </c>
      <c r="K1228" s="74" t="str">
        <f>IFERROR(__xludf.DUMMYFUNCTION("""COMPUTED_VALUE"""),"Schwing")</f>
        <v>Schwing</v>
      </c>
      <c r="L1228" s="74" t="str">
        <f>IFERROR(__xludf.DUMMYFUNCTION("""COMPUTED_VALUE"""),"Sistema de Bombeo de Concreto")</f>
        <v>Sistema de Bombeo de Concreto</v>
      </c>
      <c r="M1228" s="74" t="str">
        <f>IFERROR(__xludf.DUMMYFUNCTION("""COMPUTED_VALUE"""),"Sin Asignar")</f>
        <v>Sin Asignar</v>
      </c>
      <c r="N1228" s="87">
        <f>IFERROR(__xludf.DUMMYFUNCTION("""COMPUTED_VALUE"""),0.0)</f>
        <v>0</v>
      </c>
      <c r="O1228" s="74"/>
      <c r="P1228" s="74" t="str">
        <f>IFERROR(__xludf.DUMMYFUNCTION("""COMPUTED_VALUE"""),"No Available")</f>
        <v>No Available</v>
      </c>
      <c r="Q1228" s="74"/>
      <c r="R1228" s="74"/>
      <c r="S1228" s="87">
        <f>IFERROR(__xludf.DUMMYFUNCTION("""COMPUTED_VALUE"""),0.0)</f>
        <v>0</v>
      </c>
      <c r="T1228" s="87">
        <f>IFERROR(__xludf.DUMMYFUNCTION("""COMPUTED_VALUE"""),0.0)</f>
        <v>0</v>
      </c>
      <c r="U1228" s="87">
        <f>IFERROR(__xludf.DUMMYFUNCTION("""COMPUTED_VALUE"""),0.0)</f>
        <v>0</v>
      </c>
      <c r="V1228" s="87">
        <f>IFERROR(__xludf.DUMMYFUNCTION("""COMPUTED_VALUE"""),0.0)</f>
        <v>0</v>
      </c>
      <c r="W1228" s="87">
        <f>IFERROR(__xludf.DUMMYFUNCTION("""COMPUTED_VALUE"""),0.0)</f>
        <v>0</v>
      </c>
      <c r="X1228" s="88"/>
      <c r="Y1228" s="74"/>
      <c r="Z1228" s="74"/>
    </row>
    <row r="1229">
      <c r="B1229" s="74" t="str">
        <f>IFERROR(__xludf.DUMMYFUNCTION("""COMPUTED_VALUE"""),"2227")</f>
        <v>2227</v>
      </c>
      <c r="C1229" s="74"/>
      <c r="D1229" s="74" t="str">
        <f>IFERROR(__xludf.DUMMYFUNCTION("""COMPUTED_VALUE"""),"\\MCA-S\mk\2_BM\0_BMat\08_PYM\Inventario\excel\Imagen de refacciones\Schwing\Protecting Tube _ Tubo Protector")</f>
        <v>\\MCA-S\mk\2_BM\0_BMat\08_PYM\Inventario\excel\Imagen de refacciones\Schwing\Protecting Tube _ Tubo Protector</v>
      </c>
      <c r="E1229" s="74"/>
      <c r="F1229" s="74" t="str">
        <f>IFERROR(__xludf.DUMMYFUNCTION("""COMPUTED_VALUE"""),"Protecting Tube / Tubo Protector")</f>
        <v>Protecting Tube / Tubo Protector</v>
      </c>
      <c r="G1229" s="74"/>
      <c r="H1229" s="74"/>
      <c r="I1229" s="74" t="str">
        <f>IFERROR(__xludf.DUMMYFUNCTION("""COMPUTED_VALUE"""),"SOM30067")</f>
        <v>SOM30067</v>
      </c>
      <c r="J1229" s="74" t="str">
        <f>IFERROR(__xludf.DUMMYFUNCTION("""COMPUTED_VALUE"""),"10017554")</f>
        <v>10017554</v>
      </c>
      <c r="K1229" s="74" t="str">
        <f>IFERROR(__xludf.DUMMYFUNCTION("""COMPUTED_VALUE"""),"Schwing")</f>
        <v>Schwing</v>
      </c>
      <c r="L1229" s="74" t="str">
        <f>IFERROR(__xludf.DUMMYFUNCTION("""COMPUTED_VALUE"""),"Componentes Estructurales y de Montaje")</f>
        <v>Componentes Estructurales y de Montaje</v>
      </c>
      <c r="M1229" s="74" t="str">
        <f>IFERROR(__xludf.DUMMYFUNCTION("""COMPUTED_VALUE"""),"Sin Asignar")</f>
        <v>Sin Asignar</v>
      </c>
      <c r="N1229" s="87">
        <f>IFERROR(__xludf.DUMMYFUNCTION("""COMPUTED_VALUE"""),0.0)</f>
        <v>0</v>
      </c>
      <c r="O1229" s="74"/>
      <c r="P1229" s="74" t="str">
        <f>IFERROR(__xludf.DUMMYFUNCTION("""COMPUTED_VALUE"""),"No Available")</f>
        <v>No Available</v>
      </c>
      <c r="Q1229" s="74"/>
      <c r="R1229" s="74"/>
      <c r="S1229" s="87">
        <f>IFERROR(__xludf.DUMMYFUNCTION("""COMPUTED_VALUE"""),0.0)</f>
        <v>0</v>
      </c>
      <c r="T1229" s="87">
        <f>IFERROR(__xludf.DUMMYFUNCTION("""COMPUTED_VALUE"""),0.0)</f>
        <v>0</v>
      </c>
      <c r="U1229" s="87">
        <f>IFERROR(__xludf.DUMMYFUNCTION("""COMPUTED_VALUE"""),0.0)</f>
        <v>0</v>
      </c>
      <c r="V1229" s="87">
        <f>IFERROR(__xludf.DUMMYFUNCTION("""COMPUTED_VALUE"""),0.0)</f>
        <v>0</v>
      </c>
      <c r="W1229" s="87">
        <f>IFERROR(__xludf.DUMMYFUNCTION("""COMPUTED_VALUE"""),0.0)</f>
        <v>0</v>
      </c>
      <c r="X1229" s="88"/>
      <c r="Y1229" s="74"/>
      <c r="Z1229" s="74"/>
    </row>
    <row r="1230">
      <c r="B1230" s="74" t="str">
        <f>IFERROR(__xludf.DUMMYFUNCTION("""COMPUTED_VALUE"""),"2228")</f>
        <v>2228</v>
      </c>
      <c r="C1230" s="74"/>
      <c r="D1230" s="74" t="str">
        <f>IFERROR(__xludf.DUMMYFUNCTION("""COMPUTED_VALUE"""),"\\MCA-S\mk\2_BM\0_BMat\08_PYM\Inventario\excel\Imagen de refacciones\Schwing\Reduction Piece DN250_220 _ Pieza de Reducción DN250_220")</f>
        <v>\\MCA-S\mk\2_BM\0_BMat\08_PYM\Inventario\excel\Imagen de refacciones\Schwing\Reduction Piece DN250_220 _ Pieza de Reducción DN250_220</v>
      </c>
      <c r="E1230" s="74"/>
      <c r="F1230" s="74" t="str">
        <f>IFERROR(__xludf.DUMMYFUNCTION("""COMPUTED_VALUE"""),"Reduction Piece DN250/220 / Pieza de Reducción DN250/220")</f>
        <v>Reduction Piece DN250/220 / Pieza de Reducción DN250/220</v>
      </c>
      <c r="G1230" s="74"/>
      <c r="H1230" s="74"/>
      <c r="I1230" s="74" t="str">
        <f>IFERROR(__xludf.DUMMYFUNCTION("""COMPUTED_VALUE"""),"SOM30019")</f>
        <v>SOM30019</v>
      </c>
      <c r="J1230" s="74" t="str">
        <f>IFERROR(__xludf.DUMMYFUNCTION("""COMPUTED_VALUE"""),"10181242")</f>
        <v>10181242</v>
      </c>
      <c r="K1230" s="74" t="str">
        <f>IFERROR(__xludf.DUMMYFUNCTION("""COMPUTED_VALUE"""),"Schwing")</f>
        <v>Schwing</v>
      </c>
      <c r="L1230" s="74" t="str">
        <f>IFERROR(__xludf.DUMMYFUNCTION("""COMPUTED_VALUE"""),"Componentes Estructurales y de Montaje")</f>
        <v>Componentes Estructurales y de Montaje</v>
      </c>
      <c r="M1230" s="74" t="str">
        <f>IFERROR(__xludf.DUMMYFUNCTION("""COMPUTED_VALUE"""),"Sin Asignar")</f>
        <v>Sin Asignar</v>
      </c>
      <c r="N1230" s="87">
        <f>IFERROR(__xludf.DUMMYFUNCTION("""COMPUTED_VALUE"""),0.0)</f>
        <v>0</v>
      </c>
      <c r="O1230" s="74"/>
      <c r="P1230" s="74" t="str">
        <f>IFERROR(__xludf.DUMMYFUNCTION("""COMPUTED_VALUE"""),"No Available")</f>
        <v>No Available</v>
      </c>
      <c r="Q1230" s="74"/>
      <c r="R1230" s="74"/>
      <c r="S1230" s="87">
        <f>IFERROR(__xludf.DUMMYFUNCTION("""COMPUTED_VALUE"""),0.0)</f>
        <v>0</v>
      </c>
      <c r="T1230" s="87">
        <f>IFERROR(__xludf.DUMMYFUNCTION("""COMPUTED_VALUE"""),0.0)</f>
        <v>0</v>
      </c>
      <c r="U1230" s="87">
        <f>IFERROR(__xludf.DUMMYFUNCTION("""COMPUTED_VALUE"""),0.0)</f>
        <v>0</v>
      </c>
      <c r="V1230" s="87">
        <f>IFERROR(__xludf.DUMMYFUNCTION("""COMPUTED_VALUE"""),0.0)</f>
        <v>0</v>
      </c>
      <c r="W1230" s="87">
        <f>IFERROR(__xludf.DUMMYFUNCTION("""COMPUTED_VALUE"""),0.0)</f>
        <v>0</v>
      </c>
      <c r="X1230" s="88"/>
      <c r="Y1230" s="74"/>
      <c r="Z1230" s="74"/>
    </row>
    <row r="1231">
      <c r="B1231" s="74" t="str">
        <f>IFERROR(__xludf.DUMMYFUNCTION("""COMPUTED_VALUE"""),"2229")</f>
        <v>2229</v>
      </c>
      <c r="C1231" s="74"/>
      <c r="D1231" s="74" t="str">
        <f>IFERROR(__xludf.DUMMYFUNCTION("""COMPUTED_VALUE"""),"\\MCA-S\mk\2_BM\0_BMat\08_PYM\Inventario\excel\Imagen de refacciones\Schwing\Repair Kit for Hyproo Water Pump _ Kit de Reparación para Bomba de Agua Hyproo")</f>
        <v>\\MCA-S\mk\2_BM\0_BMat\08_PYM\Inventario\excel\Imagen de refacciones\Schwing\Repair Kit for Hyproo Water Pump _ Kit de Reparación para Bomba de Agua Hyproo</v>
      </c>
      <c r="E1231" s="74"/>
      <c r="F1231" s="74" t="str">
        <f>IFERROR(__xludf.DUMMYFUNCTION("""COMPUTED_VALUE"""),"Repair Kit for Hyproo Water Pump / Kit de Reparación para Bomba de Agua Hyproo")</f>
        <v>Repair Kit for Hyproo Water Pump / Kit de Reparación para Bomba de Agua Hyproo</v>
      </c>
      <c r="G1231" s="74"/>
      <c r="H1231" s="74"/>
      <c r="I1231" s="74" t="str">
        <f>IFERROR(__xludf.DUMMYFUNCTION("""COMPUTED_VALUE"""),"SOM30215")</f>
        <v>SOM30215</v>
      </c>
      <c r="J1231" s="74" t="str">
        <f>IFERROR(__xludf.DUMMYFUNCTION("""COMPUTED_VALUE"""),"3430-511P")</f>
        <v>3430-511P</v>
      </c>
      <c r="K1231" s="74" t="str">
        <f>IFERROR(__xludf.DUMMYFUNCTION("""COMPUTED_VALUE"""),"Schwing")</f>
        <v>Schwing</v>
      </c>
      <c r="L1231" s="74" t="str">
        <f>IFERROR(__xludf.DUMMYFUNCTION("""COMPUTED_VALUE"""),"Sellos y Retenes")</f>
        <v>Sellos y Retenes</v>
      </c>
      <c r="M1231" s="74" t="str">
        <f>IFERROR(__xludf.DUMMYFUNCTION("""COMPUTED_VALUE"""),"Sin Asignar")</f>
        <v>Sin Asignar</v>
      </c>
      <c r="N1231" s="87">
        <f>IFERROR(__xludf.DUMMYFUNCTION("""COMPUTED_VALUE"""),0.0)</f>
        <v>0</v>
      </c>
      <c r="O1231" s="74"/>
      <c r="P1231" s="74" t="str">
        <f>IFERROR(__xludf.DUMMYFUNCTION("""COMPUTED_VALUE"""),"No Available")</f>
        <v>No Available</v>
      </c>
      <c r="Q1231" s="74"/>
      <c r="R1231" s="74"/>
      <c r="S1231" s="87">
        <f>IFERROR(__xludf.DUMMYFUNCTION("""COMPUTED_VALUE"""),0.0)</f>
        <v>0</v>
      </c>
      <c r="T1231" s="87">
        <f>IFERROR(__xludf.DUMMYFUNCTION("""COMPUTED_VALUE"""),0.0)</f>
        <v>0</v>
      </c>
      <c r="U1231" s="87">
        <f>IFERROR(__xludf.DUMMYFUNCTION("""COMPUTED_VALUE"""),0.0)</f>
        <v>0</v>
      </c>
      <c r="V1231" s="87">
        <f>IFERROR(__xludf.DUMMYFUNCTION("""COMPUTED_VALUE"""),0.0)</f>
        <v>0</v>
      </c>
      <c r="W1231" s="87">
        <f>IFERROR(__xludf.DUMMYFUNCTION("""COMPUTED_VALUE"""),0.0)</f>
        <v>0</v>
      </c>
      <c r="X1231" s="88"/>
      <c r="Y1231" s="74"/>
      <c r="Z1231" s="74"/>
    </row>
    <row r="1232">
      <c r="B1232" s="74" t="str">
        <f>IFERROR(__xludf.DUMMYFUNCTION("""COMPUTED_VALUE"""),"2230")</f>
        <v>2230</v>
      </c>
      <c r="C1232" s="74" t="str">
        <f>IFERROR(__xludf.DUMMYFUNCTION("""COMPUTED_VALUE"""),"7504892230")</f>
        <v>7504892230</v>
      </c>
      <c r="D1232" s="74" t="str">
        <f>IFERROR(__xludf.DUMMYFUNCTION("""COMPUTED_VALUE"""),"\\MCA-S\mk\2_BM\0_BMat\08_PYM\Inventario\excel\Imagen de refacciones\Schwing\Resorte de presión Dn 166")</f>
        <v>\\MCA-S\mk\2_BM\0_BMat\08_PYM\Inventario\excel\Imagen de refacciones\Schwing\Resorte de presión Dn 166</v>
      </c>
      <c r="E1232" s="74" t="str">
        <f>IFERROR(__xludf.DUMMYFUNCTION("""COMPUTED_VALUE"""),"PRESSURE SPRING DN 165")</f>
        <v>PRESSURE SPRING DN 165</v>
      </c>
      <c r="F1232" s="74" t="str">
        <f>IFERROR(__xludf.DUMMYFUNCTION("""COMPUTED_VALUE"""),"RESORTE DE PRESIÓN PARA DN165")</f>
        <v>RESORTE DE PRESIÓN PARA DN165</v>
      </c>
      <c r="G1232" s="74"/>
      <c r="H1232" s="74"/>
      <c r="I1232" s="74" t="str">
        <f>IFERROR(__xludf.DUMMYFUNCTION("""COMPUTED_VALUE"""),"10064473")</f>
        <v>10064473</v>
      </c>
      <c r="J1232" s="74"/>
      <c r="K1232" s="74" t="str">
        <f>IFERROR(__xludf.DUMMYFUNCTION("""COMPUTED_VALUE"""),"Schwing")</f>
        <v>Schwing</v>
      </c>
      <c r="L1232" s="74" t="str">
        <f>IFERROR(__xludf.DUMMYFUNCTION("""COMPUTED_VALUE"""),"BARRA V-ROCK")</f>
        <v>BARRA V-ROCK</v>
      </c>
      <c r="M1232" s="74" t="str">
        <f>IFERROR(__xludf.DUMMYFUNCTION("""COMPUTED_VALUE"""),"SIN ASIGNAR")</f>
        <v>SIN ASIGNAR</v>
      </c>
      <c r="N1232" s="87">
        <f>IFERROR(__xludf.DUMMYFUNCTION("""COMPUTED_VALUE"""),0.0)</f>
        <v>0</v>
      </c>
      <c r="O1232" s="74"/>
      <c r="P1232" s="74" t="str">
        <f>IFERROR(__xludf.DUMMYFUNCTION("""COMPUTED_VALUE"""),"To Re-purchase")</f>
        <v>To Re-purchase</v>
      </c>
      <c r="Q1232" s="74"/>
      <c r="R1232" s="74"/>
      <c r="S1232" s="87">
        <f>IFERROR(__xludf.DUMMYFUNCTION("""COMPUTED_VALUE"""),0.0)</f>
        <v>0</v>
      </c>
      <c r="T1232" s="87">
        <f>IFERROR(__xludf.DUMMYFUNCTION("""COMPUTED_VALUE"""),0.0)</f>
        <v>0</v>
      </c>
      <c r="U1232" s="87">
        <f>IFERROR(__xludf.DUMMYFUNCTION("""COMPUTED_VALUE"""),0.0)</f>
        <v>0</v>
      </c>
      <c r="V1232" s="87">
        <f>IFERROR(__xludf.DUMMYFUNCTION("""COMPUTED_VALUE"""),0.0)</f>
        <v>0</v>
      </c>
      <c r="W1232" s="87">
        <f>IFERROR(__xludf.DUMMYFUNCTION("""COMPUTED_VALUE"""),0.0)</f>
        <v>0</v>
      </c>
      <c r="X1232" s="88"/>
      <c r="Y1232" s="74"/>
      <c r="Z1232" s="74"/>
    </row>
    <row r="1233">
      <c r="B1233" s="74" t="str">
        <f>IFERROR(__xludf.DUMMYFUNCTION("""COMPUTED_VALUE"""),"2231")</f>
        <v>2231</v>
      </c>
      <c r="C1233" s="74" t="str">
        <f>IFERROR(__xludf.DUMMYFUNCTION("""COMPUTED_VALUE"""),"75045880536")</f>
        <v>75045880536</v>
      </c>
      <c r="D1233" s="74" t="str">
        <f>IFERROR(__xludf.DUMMYFUNCTION("""COMPUTED_VALUE"""),"\\MCA-S\mk\2_BM\0_BMat\08_PYM\Inventario\excel\Imagen de refacciones\Schwing\Resortera")</f>
        <v>\\MCA-S\mk\2_BM\0_BMat\08_PYM\Inventario\excel\Imagen de refacciones\Schwing\Resortera</v>
      </c>
      <c r="E1233" s="74" t="str">
        <f>IFERROR(__xludf.DUMMYFUNCTION("""COMPUTED_VALUE"""),"SLEWING LEVER")</f>
        <v>SLEWING LEVER</v>
      </c>
      <c r="F1233" s="74" t="str">
        <f>IFERROR(__xludf.DUMMYFUNCTION("""COMPUTED_VALUE"""),"RESORTERA ")</f>
        <v>RESORTERA </v>
      </c>
      <c r="G1233" s="74"/>
      <c r="H1233" s="74"/>
      <c r="I1233" s="74" t="str">
        <f>IFERROR(__xludf.DUMMYFUNCTION("""COMPUTED_VALUE"""),"1001871")</f>
        <v>1001871</v>
      </c>
      <c r="J1233" s="74"/>
      <c r="K1233" s="74" t="str">
        <f>IFERROR(__xludf.DUMMYFUNCTION("""COMPUTED_VALUE"""),"Schwing")</f>
        <v>Schwing</v>
      </c>
      <c r="L1233" s="74" t="str">
        <f>IFERROR(__xludf.DUMMYFUNCTION("""COMPUTED_VALUE"""),"BARRA V-ROCK")</f>
        <v>BARRA V-ROCK</v>
      </c>
      <c r="M1233" s="74" t="str">
        <f>IFERROR(__xludf.DUMMYFUNCTION("""COMPUTED_VALUE"""),"Sin Asignar")</f>
        <v>Sin Asignar</v>
      </c>
      <c r="N1233" s="87">
        <f>IFERROR(__xludf.DUMMYFUNCTION("""COMPUTED_VALUE"""),10478.4)</f>
        <v>10478.4</v>
      </c>
      <c r="O1233" s="74">
        <f>IFERROR(__xludf.DUMMYFUNCTION("""COMPUTED_VALUE"""),2.0)</f>
        <v>2</v>
      </c>
      <c r="P1233" s="74" t="str">
        <f>IFERROR(__xludf.DUMMYFUNCTION("""COMPUTED_VALUE"""),"In stock")</f>
        <v>In stock</v>
      </c>
      <c r="Q1233" s="74"/>
      <c r="R1233" s="74"/>
      <c r="S1233" s="87">
        <f>IFERROR(__xludf.DUMMYFUNCTION("""COMPUTED_VALUE"""),80.0)</f>
        <v>80</v>
      </c>
      <c r="T1233" s="87">
        <f>IFERROR(__xludf.DUMMYFUNCTION("""COMPUTED_VALUE"""),590.0)</f>
        <v>590</v>
      </c>
      <c r="U1233" s="87">
        <f>IFERROR(__xludf.DUMMYFUNCTION("""COMPUTED_VALUE"""),566.4)</f>
        <v>566.4</v>
      </c>
      <c r="V1233" s="87">
        <f>IFERROR(__xludf.DUMMYFUNCTION("""COMPUTED_VALUE"""),98.0)</f>
        <v>98</v>
      </c>
      <c r="W1233" s="87">
        <f>IFERROR(__xludf.DUMMYFUNCTION("""COMPUTED_VALUE"""),1837.5)</f>
        <v>1837.5</v>
      </c>
      <c r="X1233" s="88">
        <f>IFERROR(__xludf.DUMMYFUNCTION("""COMPUTED_VALUE"""),7.08)</f>
        <v>7.08</v>
      </c>
      <c r="Y1233" s="74"/>
      <c r="Z1233" s="74"/>
    </row>
    <row r="1234">
      <c r="B1234" s="74" t="str">
        <f>IFERROR(__xludf.DUMMYFUNCTION("""COMPUTED_VALUE"""),"2232")</f>
        <v>2232</v>
      </c>
      <c r="C1234" s="74"/>
      <c r="D1234" s="74" t="str">
        <f>IFERROR(__xludf.DUMMYFUNCTION("""COMPUTED_VALUE"""),"\\MCA-S\mk\2_BM\0_BMat\08_PYM\Inventario\excel\Imagen de refacciones\Schwing\Rock DN 210_180 - Extrta Welded _ Rock DN 210_180 - Extra Soldado")</f>
        <v>\\MCA-S\mk\2_BM\0_BMat\08_PYM\Inventario\excel\Imagen de refacciones\Schwing\Rock DN 210_180 - Extrta Welded _ Rock DN 210_180 - Extra Soldado</v>
      </c>
      <c r="E1234" s="74"/>
      <c r="F1234" s="74" t="str">
        <f>IFERROR(__xludf.DUMMYFUNCTION("""COMPUTED_VALUE"""),"Rock DN 210/180 - Extrta Welded / Rock DN 210/180 - Extra Soldado")</f>
        <v>Rock DN 210/180 - Extrta Welded / Rock DN 210/180 - Extra Soldado</v>
      </c>
      <c r="G1234" s="74"/>
      <c r="H1234" s="74"/>
      <c r="I1234" s="74" t="str">
        <f>IFERROR(__xludf.DUMMYFUNCTION("""COMPUTED_VALUE"""),"SOM30036")</f>
        <v>SOM30036</v>
      </c>
      <c r="J1234" s="74" t="str">
        <f>IFERROR(__xludf.DUMMYFUNCTION("""COMPUTED_VALUE"""),"10059467")</f>
        <v>10059467</v>
      </c>
      <c r="K1234" s="74" t="str">
        <f>IFERROR(__xludf.DUMMYFUNCTION("""COMPUTED_VALUE"""),"Schwing")</f>
        <v>Schwing</v>
      </c>
      <c r="L1234" s="74" t="str">
        <f>IFERROR(__xludf.DUMMYFUNCTION("""COMPUTED_VALUE"""),"Sistema de Bombeo de Concreto")</f>
        <v>Sistema de Bombeo de Concreto</v>
      </c>
      <c r="M1234" s="74" t="str">
        <f>IFERROR(__xludf.DUMMYFUNCTION("""COMPUTED_VALUE"""),"Sin Asignar")</f>
        <v>Sin Asignar</v>
      </c>
      <c r="N1234" s="87">
        <f>IFERROR(__xludf.DUMMYFUNCTION("""COMPUTED_VALUE"""),0.0)</f>
        <v>0</v>
      </c>
      <c r="O1234" s="74"/>
      <c r="P1234" s="74" t="str">
        <f>IFERROR(__xludf.DUMMYFUNCTION("""COMPUTED_VALUE"""),"No Available")</f>
        <v>No Available</v>
      </c>
      <c r="Q1234" s="74"/>
      <c r="R1234" s="74"/>
      <c r="S1234" s="87">
        <f>IFERROR(__xludf.DUMMYFUNCTION("""COMPUTED_VALUE"""),0.0)</f>
        <v>0</v>
      </c>
      <c r="T1234" s="87">
        <f>IFERROR(__xludf.DUMMYFUNCTION("""COMPUTED_VALUE"""),0.0)</f>
        <v>0</v>
      </c>
      <c r="U1234" s="87">
        <f>IFERROR(__xludf.DUMMYFUNCTION("""COMPUTED_VALUE"""),0.0)</f>
        <v>0</v>
      </c>
      <c r="V1234" s="87">
        <f>IFERROR(__xludf.DUMMYFUNCTION("""COMPUTED_VALUE"""),0.0)</f>
        <v>0</v>
      </c>
      <c r="W1234" s="87">
        <f>IFERROR(__xludf.DUMMYFUNCTION("""COMPUTED_VALUE"""),0.0)</f>
        <v>0</v>
      </c>
      <c r="X1234" s="88"/>
      <c r="Y1234" s="74"/>
      <c r="Z1234" s="74"/>
    </row>
    <row r="1235">
      <c r="B1235" s="74" t="str">
        <f>IFERROR(__xludf.DUMMYFUNCTION("""COMPUTED_VALUE"""),"2233")</f>
        <v>2233</v>
      </c>
      <c r="C1235" s="74"/>
      <c r="D1235" s="74" t="str">
        <f>IFERROR(__xludf.DUMMYFUNCTION("""COMPUTED_VALUE"""),"\\MCA-S\mk\2_BM\0_BMat\08_PYM\Inventario\excel\Imagen de refacciones\Schwing\Rock DN 220_180 - Extrta Welded _ Rock DN 220_180 - Extra Soldado")</f>
        <v>\\MCA-S\mk\2_BM\0_BMat\08_PYM\Inventario\excel\Imagen de refacciones\Schwing\Rock DN 220_180 - Extrta Welded _ Rock DN 220_180 - Extra Soldado</v>
      </c>
      <c r="E1235" s="74"/>
      <c r="F1235" s="74" t="str">
        <f>IFERROR(__xludf.DUMMYFUNCTION("""COMPUTED_VALUE"""),"Rock DN 220/180 - Extrta Welded / Rock DN 220/180 - Extra Soldado")</f>
        <v>Rock DN 220/180 - Extrta Welded / Rock DN 220/180 - Extra Soldado</v>
      </c>
      <c r="G1235" s="74"/>
      <c r="H1235" s="74"/>
      <c r="I1235" s="74" t="str">
        <f>IFERROR(__xludf.DUMMYFUNCTION("""COMPUTED_VALUE"""),"SOM30035")</f>
        <v>SOM30035</v>
      </c>
      <c r="J1235" s="74" t="str">
        <f>IFERROR(__xludf.DUMMYFUNCTION("""COMPUTED_VALUE"""),"10181912")</f>
        <v>10181912</v>
      </c>
      <c r="K1235" s="74" t="str">
        <f>IFERROR(__xludf.DUMMYFUNCTION("""COMPUTED_VALUE"""),"Schwing")</f>
        <v>Schwing</v>
      </c>
      <c r="L1235" s="74" t="str">
        <f>IFERROR(__xludf.DUMMYFUNCTION("""COMPUTED_VALUE"""),"Sistema de Bombeo de Concreto")</f>
        <v>Sistema de Bombeo de Concreto</v>
      </c>
      <c r="M1235" s="74" t="str">
        <f>IFERROR(__xludf.DUMMYFUNCTION("""COMPUTED_VALUE"""),"Sin Asignar")</f>
        <v>Sin Asignar</v>
      </c>
      <c r="N1235" s="87">
        <f>IFERROR(__xludf.DUMMYFUNCTION("""COMPUTED_VALUE"""),0.0)</f>
        <v>0</v>
      </c>
      <c r="O1235" s="74"/>
      <c r="P1235" s="74" t="str">
        <f>IFERROR(__xludf.DUMMYFUNCTION("""COMPUTED_VALUE"""),"No Available")</f>
        <v>No Available</v>
      </c>
      <c r="Q1235" s="74"/>
      <c r="R1235" s="74"/>
      <c r="S1235" s="87">
        <f>IFERROR(__xludf.DUMMYFUNCTION("""COMPUTED_VALUE"""),0.0)</f>
        <v>0</v>
      </c>
      <c r="T1235" s="87">
        <f>IFERROR(__xludf.DUMMYFUNCTION("""COMPUTED_VALUE"""),0.0)</f>
        <v>0</v>
      </c>
      <c r="U1235" s="87">
        <f>IFERROR(__xludf.DUMMYFUNCTION("""COMPUTED_VALUE"""),0.0)</f>
        <v>0</v>
      </c>
      <c r="V1235" s="87">
        <f>IFERROR(__xludf.DUMMYFUNCTION("""COMPUTED_VALUE"""),0.0)</f>
        <v>0</v>
      </c>
      <c r="W1235" s="87">
        <f>IFERROR(__xludf.DUMMYFUNCTION("""COMPUTED_VALUE"""),0.0)</f>
        <v>0</v>
      </c>
      <c r="X1235" s="88"/>
      <c r="Y1235" s="74"/>
      <c r="Z1235" s="74"/>
    </row>
    <row r="1236">
      <c r="B1236" s="74" t="str">
        <f>IFERROR(__xludf.DUMMYFUNCTION("""COMPUTED_VALUE"""),"2234")</f>
        <v>2234</v>
      </c>
      <c r="C1236" s="74"/>
      <c r="D1236" s="74" t="str">
        <f>IFERROR(__xludf.DUMMYFUNCTION("""COMPUTED_VALUE"""),"\\MCA-S\mk\2_BM\0_BMat\08_PYM\Inventario\excel\Imagen de refacciones\Schwing\Rock Paddle _ Paleta de Roca")</f>
        <v>\\MCA-S\mk\2_BM\0_BMat\08_PYM\Inventario\excel\Imagen de refacciones\Schwing\Rock Paddle _ Paleta de Roca</v>
      </c>
      <c r="E1236" s="74"/>
      <c r="F1236" s="74" t="str">
        <f>IFERROR(__xludf.DUMMYFUNCTION("""COMPUTED_VALUE"""),"Rock Paddle / Paleta de Roca")</f>
        <v>Rock Paddle / Paleta de Roca</v>
      </c>
      <c r="G1236" s="74"/>
      <c r="H1236" s="74"/>
      <c r="I1236" s="74" t="str">
        <f>IFERROR(__xludf.DUMMYFUNCTION("""COMPUTED_VALUE"""),"SOM30159")</f>
        <v>SOM30159</v>
      </c>
      <c r="J1236" s="74" t="str">
        <f>IFERROR(__xludf.DUMMYFUNCTION("""COMPUTED_VALUE"""),"10167219")</f>
        <v>10167219</v>
      </c>
      <c r="K1236" s="74" t="str">
        <f>IFERROR(__xludf.DUMMYFUNCTION("""COMPUTED_VALUE"""),"Schwing")</f>
        <v>Schwing</v>
      </c>
      <c r="L1236" s="74" t="str">
        <f>IFERROR(__xludf.DUMMYFUNCTION("""COMPUTED_VALUE"""),"Sistema de Bombeo de Concreto")</f>
        <v>Sistema de Bombeo de Concreto</v>
      </c>
      <c r="M1236" s="74" t="str">
        <f>IFERROR(__xludf.DUMMYFUNCTION("""COMPUTED_VALUE"""),"Sin Asignar")</f>
        <v>Sin Asignar</v>
      </c>
      <c r="N1236" s="87">
        <f>IFERROR(__xludf.DUMMYFUNCTION("""COMPUTED_VALUE"""),0.0)</f>
        <v>0</v>
      </c>
      <c r="O1236" s="74"/>
      <c r="P1236" s="74" t="str">
        <f>IFERROR(__xludf.DUMMYFUNCTION("""COMPUTED_VALUE"""),"No Available")</f>
        <v>No Available</v>
      </c>
      <c r="Q1236" s="74"/>
      <c r="R1236" s="74"/>
      <c r="S1236" s="87">
        <f>IFERROR(__xludf.DUMMYFUNCTION("""COMPUTED_VALUE"""),0.0)</f>
        <v>0</v>
      </c>
      <c r="T1236" s="87">
        <f>IFERROR(__xludf.DUMMYFUNCTION("""COMPUTED_VALUE"""),0.0)</f>
        <v>0</v>
      </c>
      <c r="U1236" s="87">
        <f>IFERROR(__xludf.DUMMYFUNCTION("""COMPUTED_VALUE"""),0.0)</f>
        <v>0</v>
      </c>
      <c r="V1236" s="87">
        <f>IFERROR(__xludf.DUMMYFUNCTION("""COMPUTED_VALUE"""),0.0)</f>
        <v>0</v>
      </c>
      <c r="W1236" s="87">
        <f>IFERROR(__xludf.DUMMYFUNCTION("""COMPUTED_VALUE"""),0.0)</f>
        <v>0</v>
      </c>
      <c r="X1236" s="88"/>
      <c r="Y1236" s="74"/>
      <c r="Z1236" s="74"/>
    </row>
    <row r="1237">
      <c r="B1237" s="74" t="str">
        <f>IFERROR(__xludf.DUMMYFUNCTION("""COMPUTED_VALUE"""),"2235")</f>
        <v>2235</v>
      </c>
      <c r="C1237" s="74"/>
      <c r="D1237" s="74" t="str">
        <f>IFERROR(__xludf.DUMMYFUNCTION("""COMPUTED_VALUE"""),"\\MCA-S\mk\2_BM\0_BMat\08_PYM\Inventario\excel\Imagen de refacciones\Schwing\Rock Paddle _ Paleta de Roca (1)")</f>
        <v>\\MCA-S\mk\2_BM\0_BMat\08_PYM\Inventario\excel\Imagen de refacciones\Schwing\Rock Paddle _ Paleta de Roca (1)</v>
      </c>
      <c r="E1237" s="74"/>
      <c r="F1237" s="74" t="str">
        <f>IFERROR(__xludf.DUMMYFUNCTION("""COMPUTED_VALUE"""),"Rock Paddle / Paleta de Roca")</f>
        <v>Rock Paddle / Paleta de Roca</v>
      </c>
      <c r="G1237" s="74"/>
      <c r="H1237" s="74"/>
      <c r="I1237" s="74" t="str">
        <f>IFERROR(__xludf.DUMMYFUNCTION("""COMPUTED_VALUE"""),"SOM30160")</f>
        <v>SOM30160</v>
      </c>
      <c r="J1237" s="74" t="str">
        <f>IFERROR(__xludf.DUMMYFUNCTION("""COMPUTED_VALUE"""),"30311720")</f>
        <v>30311720</v>
      </c>
      <c r="K1237" s="74" t="str">
        <f>IFERROR(__xludf.DUMMYFUNCTION("""COMPUTED_VALUE"""),"Schwing")</f>
        <v>Schwing</v>
      </c>
      <c r="L1237" s="74" t="str">
        <f>IFERROR(__xludf.DUMMYFUNCTION("""COMPUTED_VALUE"""),"Sistema de Bombeo de Concreto")</f>
        <v>Sistema de Bombeo de Concreto</v>
      </c>
      <c r="M1237" s="74" t="str">
        <f>IFERROR(__xludf.DUMMYFUNCTION("""COMPUTED_VALUE"""),"Sin Asignar")</f>
        <v>Sin Asignar</v>
      </c>
      <c r="N1237" s="87">
        <f>IFERROR(__xludf.DUMMYFUNCTION("""COMPUTED_VALUE"""),0.0)</f>
        <v>0</v>
      </c>
      <c r="O1237" s="74"/>
      <c r="P1237" s="74" t="str">
        <f>IFERROR(__xludf.DUMMYFUNCTION("""COMPUTED_VALUE"""),"No Available")</f>
        <v>No Available</v>
      </c>
      <c r="Q1237" s="74"/>
      <c r="R1237" s="74"/>
      <c r="S1237" s="87">
        <f>IFERROR(__xludf.DUMMYFUNCTION("""COMPUTED_VALUE"""),0.0)</f>
        <v>0</v>
      </c>
      <c r="T1237" s="87">
        <f>IFERROR(__xludf.DUMMYFUNCTION("""COMPUTED_VALUE"""),0.0)</f>
        <v>0</v>
      </c>
      <c r="U1237" s="87">
        <f>IFERROR(__xludf.DUMMYFUNCTION("""COMPUTED_VALUE"""),0.0)</f>
        <v>0</v>
      </c>
      <c r="V1237" s="87">
        <f>IFERROR(__xludf.DUMMYFUNCTION("""COMPUTED_VALUE"""),0.0)</f>
        <v>0</v>
      </c>
      <c r="W1237" s="87">
        <f>IFERROR(__xludf.DUMMYFUNCTION("""COMPUTED_VALUE"""),0.0)</f>
        <v>0</v>
      </c>
      <c r="X1237" s="88"/>
      <c r="Y1237" s="74"/>
      <c r="Z1237" s="74"/>
    </row>
    <row r="1238">
      <c r="B1238" s="74" t="str">
        <f>IFERROR(__xludf.DUMMYFUNCTION("""COMPUTED_VALUE"""),"2236")</f>
        <v>2236</v>
      </c>
      <c r="C1238" s="74" t="str">
        <f>IFERROR(__xludf.DUMMYFUNCTION("""COMPUTED_VALUE"""),"75045880444")</f>
        <v>75045880444</v>
      </c>
      <c r="D1238" s="74" t="str">
        <f>IFERROR(__xludf.DUMMYFUNCTION("""COMPUTED_VALUE"""),"\\MCA-S\mk\2_BM\0_BMat\08_PYM\Inventario\excel\Imagen de refacciones\Schwing\Rod Eye - punta para P_pistón de cambio de V-Rock")</f>
        <v>\\MCA-S\mk\2_BM\0_BMat\08_PYM\Inventario\excel\Imagen de refacciones\Schwing\Rod Eye - punta para P_pistón de cambio de V-Rock</v>
      </c>
      <c r="E1238" s="74" t="str">
        <f>IFERROR(__xludf.DUMMYFUNCTION("""COMPUTED_VALUE"""),"PISTON ROD END EYE")</f>
        <v>PISTON ROD END EYE</v>
      </c>
      <c r="F1238" s="74" t="str">
        <f>IFERROR(__xludf.DUMMYFUNCTION("""COMPUTED_VALUE"""),"ROD EYE PUNTA PARA PISTON DE CAMBIO V-ROCK")</f>
        <v>ROD EYE PUNTA PARA PISTON DE CAMBIO V-ROCK</v>
      </c>
      <c r="G1238" s="74"/>
      <c r="H1238" s="74"/>
      <c r="I1238" s="74" t="str">
        <f>IFERROR(__xludf.DUMMYFUNCTION("""COMPUTED_VALUE"""),"10017560")</f>
        <v>10017560</v>
      </c>
      <c r="J1238" s="74"/>
      <c r="K1238" s="74" t="str">
        <f>IFERROR(__xludf.DUMMYFUNCTION("""COMPUTED_VALUE"""),"Schwing")</f>
        <v>Schwing</v>
      </c>
      <c r="L1238" s="74" t="str">
        <f>IFERROR(__xludf.DUMMYFUNCTION("""COMPUTED_VALUE"""),"BARRA V-ROCK")</f>
        <v>BARRA V-ROCK</v>
      </c>
      <c r="M1238" s="74" t="str">
        <f>IFERROR(__xludf.DUMMYFUNCTION("""COMPUTED_VALUE"""),"PISTONES")</f>
        <v>PISTONES</v>
      </c>
      <c r="N1238" s="87">
        <f>IFERROR(__xludf.DUMMYFUNCTION("""COMPUTED_VALUE"""),5256.959999999999)</f>
        <v>5256.96</v>
      </c>
      <c r="O1238" s="74">
        <f>IFERROR(__xludf.DUMMYFUNCTION("""COMPUTED_VALUE"""),4.0)</f>
        <v>4</v>
      </c>
      <c r="P1238" s="74" t="str">
        <f>IFERROR(__xludf.DUMMYFUNCTION("""COMPUTED_VALUE"""),"In stock")</f>
        <v>In stock</v>
      </c>
      <c r="Q1238" s="74"/>
      <c r="R1238" s="74"/>
      <c r="S1238" s="87">
        <f>IFERROR(__xludf.DUMMYFUNCTION("""COMPUTED_VALUE"""),21.0)</f>
        <v>21</v>
      </c>
      <c r="T1238" s="87">
        <f>IFERROR(__xludf.DUMMYFUNCTION("""COMPUTED_VALUE"""),296.0)</f>
        <v>296</v>
      </c>
      <c r="U1238" s="87">
        <f>IFERROR(__xludf.DUMMYFUNCTION("""COMPUTED_VALUE"""),284.15999999999997)</f>
        <v>284.16</v>
      </c>
      <c r="V1238" s="87">
        <f>IFERROR(__xludf.DUMMYFUNCTION("""COMPUTED_VALUE"""),25.725)</f>
        <v>25.725</v>
      </c>
      <c r="W1238" s="87">
        <f>IFERROR(__xludf.DUMMYFUNCTION("""COMPUTED_VALUE"""),482.34375)</f>
        <v>482.34375</v>
      </c>
      <c r="X1238" s="88">
        <f>IFERROR(__xludf.DUMMYFUNCTION("""COMPUTED_VALUE"""),13.53142857142857)</f>
        <v>13.53142857</v>
      </c>
      <c r="Y1238" s="74"/>
      <c r="Z1238" s="74"/>
    </row>
    <row r="1239">
      <c r="B1239" s="74" t="str">
        <f>IFERROR(__xludf.DUMMYFUNCTION("""COMPUTED_VALUE"""),"2237")</f>
        <v>2237</v>
      </c>
      <c r="C1239" s="74"/>
      <c r="D1239" s="74" t="str">
        <f>IFERROR(__xludf.DUMMYFUNCTION("""COMPUTED_VALUE"""),"\\MCA-S\mk\2_BM\0_BMat\08_PYM\Inventario\excel\Imagen de refacciones\Schwing\Rod Eye _ Ojo de Varilla")</f>
        <v>\\MCA-S\mk\2_BM\0_BMat\08_PYM\Inventario\excel\Imagen de refacciones\Schwing\Rod Eye _ Ojo de Varilla</v>
      </c>
      <c r="E1239" s="74"/>
      <c r="F1239" s="74" t="str">
        <f>IFERROR(__xludf.DUMMYFUNCTION("""COMPUTED_VALUE"""),"Rod Eye / Ojo de Varilla")</f>
        <v>Rod Eye / Ojo de Varilla</v>
      </c>
      <c r="G1239" s="74"/>
      <c r="H1239" s="74"/>
      <c r="I1239" s="74" t="str">
        <f>IFERROR(__xludf.DUMMYFUNCTION("""COMPUTED_VALUE"""),"SOM30073")</f>
        <v>SOM30073</v>
      </c>
      <c r="J1239" s="74" t="str">
        <f>IFERROR(__xludf.DUMMYFUNCTION("""COMPUTED_VALUE"""),"10017560")</f>
        <v>10017560</v>
      </c>
      <c r="K1239" s="74" t="str">
        <f>IFERROR(__xludf.DUMMYFUNCTION("""COMPUTED_VALUE"""),"Schwing")</f>
        <v>Schwing</v>
      </c>
      <c r="L1239" s="74" t="str">
        <f>IFERROR(__xludf.DUMMYFUNCTION("""COMPUTED_VALUE"""),"Componentes Estructurales y de Montaje")</f>
        <v>Componentes Estructurales y de Montaje</v>
      </c>
      <c r="M1239" s="74" t="str">
        <f>IFERROR(__xludf.DUMMYFUNCTION("""COMPUTED_VALUE"""),"Sin Asignar")</f>
        <v>Sin Asignar</v>
      </c>
      <c r="N1239" s="87">
        <f>IFERROR(__xludf.DUMMYFUNCTION("""COMPUTED_VALUE"""),0.0)</f>
        <v>0</v>
      </c>
      <c r="O1239" s="74"/>
      <c r="P1239" s="74" t="str">
        <f>IFERROR(__xludf.DUMMYFUNCTION("""COMPUTED_VALUE"""),"borrar")</f>
        <v>borrar</v>
      </c>
      <c r="Q1239" s="74"/>
      <c r="R1239" s="74"/>
      <c r="S1239" s="87">
        <f>IFERROR(__xludf.DUMMYFUNCTION("""COMPUTED_VALUE"""),0.0)</f>
        <v>0</v>
      </c>
      <c r="T1239" s="87">
        <f>IFERROR(__xludf.DUMMYFUNCTION("""COMPUTED_VALUE"""),0.0)</f>
        <v>0</v>
      </c>
      <c r="U1239" s="87">
        <f>IFERROR(__xludf.DUMMYFUNCTION("""COMPUTED_VALUE"""),0.0)</f>
        <v>0</v>
      </c>
      <c r="V1239" s="87">
        <f>IFERROR(__xludf.DUMMYFUNCTION("""COMPUTED_VALUE"""),0.0)</f>
        <v>0</v>
      </c>
      <c r="W1239" s="87">
        <f>IFERROR(__xludf.DUMMYFUNCTION("""COMPUTED_VALUE"""),0.0)</f>
        <v>0</v>
      </c>
      <c r="X1239" s="88"/>
      <c r="Y1239" s="74"/>
      <c r="Z1239" s="74"/>
    </row>
    <row r="1240">
      <c r="B1240" s="74" t="str">
        <f>IFERROR(__xludf.DUMMYFUNCTION("""COMPUTED_VALUE"""),"2238")</f>
        <v>2238</v>
      </c>
      <c r="C1240" s="74"/>
      <c r="D1240" s="74" t="str">
        <f>IFERROR(__xludf.DUMMYFUNCTION("""COMPUTED_VALUE"""),"\\MCA-S\mk\2_BM\0_BMat\08_PYM\Inventario\excel\Imagen de refacciones\Schwing\Roller Water Pump _ Bomba de Agua de Rodillos")</f>
        <v>\\MCA-S\mk\2_BM\0_BMat\08_PYM\Inventario\excel\Imagen de refacciones\Schwing\Roller Water Pump _ Bomba de Agua de Rodillos</v>
      </c>
      <c r="E1240" s="74"/>
      <c r="F1240" s="74" t="str">
        <f>IFERROR(__xludf.DUMMYFUNCTION("""COMPUTED_VALUE"""),"Roller Water Pump / Bomba de Agua de Rodillos")</f>
        <v>Roller Water Pump / Bomba de Agua de Rodillos</v>
      </c>
      <c r="G1240" s="74"/>
      <c r="H1240" s="74"/>
      <c r="I1240" s="74" t="str">
        <f>IFERROR(__xludf.DUMMYFUNCTION("""COMPUTED_VALUE"""),"SOM30214")</f>
        <v>SOM30214</v>
      </c>
      <c r="J1240" s="74" t="str">
        <f>IFERROR(__xludf.DUMMYFUNCTION("""COMPUTED_VALUE"""),"10012942 / 10164399")</f>
        <v>10012942 / 10164399</v>
      </c>
      <c r="K1240" s="74" t="str">
        <f>IFERROR(__xludf.DUMMYFUNCTION("""COMPUTED_VALUE"""),"Schwing")</f>
        <v>Schwing</v>
      </c>
      <c r="L1240" s="74" t="str">
        <f>IFERROR(__xludf.DUMMYFUNCTION("""COMPUTED_VALUE"""),"Componentes Hidráulicos")</f>
        <v>Componentes Hidráulicos</v>
      </c>
      <c r="M1240" s="74" t="str">
        <f>IFERROR(__xludf.DUMMYFUNCTION("""COMPUTED_VALUE"""),"Sin Asignar")</f>
        <v>Sin Asignar</v>
      </c>
      <c r="N1240" s="87">
        <f>IFERROR(__xludf.DUMMYFUNCTION("""COMPUTED_VALUE"""),0.0)</f>
        <v>0</v>
      </c>
      <c r="O1240" s="74"/>
      <c r="P1240" s="74" t="str">
        <f>IFERROR(__xludf.DUMMYFUNCTION("""COMPUTED_VALUE"""),"No Available")</f>
        <v>No Available</v>
      </c>
      <c r="Q1240" s="74"/>
      <c r="R1240" s="74"/>
      <c r="S1240" s="87">
        <f>IFERROR(__xludf.DUMMYFUNCTION("""COMPUTED_VALUE"""),0.0)</f>
        <v>0</v>
      </c>
      <c r="T1240" s="87">
        <f>IFERROR(__xludf.DUMMYFUNCTION("""COMPUTED_VALUE"""),0.0)</f>
        <v>0</v>
      </c>
      <c r="U1240" s="87">
        <f>IFERROR(__xludf.DUMMYFUNCTION("""COMPUTED_VALUE"""),0.0)</f>
        <v>0</v>
      </c>
      <c r="V1240" s="87">
        <f>IFERROR(__xludf.DUMMYFUNCTION("""COMPUTED_VALUE"""),0.0)</f>
        <v>0</v>
      </c>
      <c r="W1240" s="87">
        <f>IFERROR(__xludf.DUMMYFUNCTION("""COMPUTED_VALUE"""),0.0)</f>
        <v>0</v>
      </c>
      <c r="X1240" s="88"/>
      <c r="Y1240" s="74"/>
      <c r="Z1240" s="74"/>
    </row>
    <row r="1241">
      <c r="B1241" s="74" t="str">
        <f>IFERROR(__xludf.DUMMYFUNCTION("""COMPUTED_VALUE"""),"2239")</f>
        <v>2239</v>
      </c>
      <c r="C1241" s="74"/>
      <c r="D1241" s="74" t="str">
        <f>IFERROR(__xludf.DUMMYFUNCTION("""COMPUTED_VALUE"""),"\\MCA-S\mk\2_BM\0_BMat\08_PYM\Inventario\excel\Imagen de refacciones\Schwing\Round Steel Stirrup _ Estribo de Acero Redondo")</f>
        <v>\\MCA-S\mk\2_BM\0_BMat\08_PYM\Inventario\excel\Imagen de refacciones\Schwing\Round Steel Stirrup _ Estribo de Acero Redondo</v>
      </c>
      <c r="E1241" s="74"/>
      <c r="F1241" s="74" t="str">
        <f>IFERROR(__xludf.DUMMYFUNCTION("""COMPUTED_VALUE"""),"Round Steel Stirrup / Estribo de Acero Redondo")</f>
        <v>Round Steel Stirrup / Estribo de Acero Redondo</v>
      </c>
      <c r="G1241" s="74"/>
      <c r="H1241" s="74"/>
      <c r="I1241" s="74" t="str">
        <f>IFERROR(__xludf.DUMMYFUNCTION("""COMPUTED_VALUE"""),"SOM30282")</f>
        <v>SOM30282</v>
      </c>
      <c r="J1241" s="74" t="str">
        <f>IFERROR(__xludf.DUMMYFUNCTION("""COMPUTED_VALUE"""),"10010238")</f>
        <v>10010238</v>
      </c>
      <c r="K1241" s="74" t="str">
        <f>IFERROR(__xludf.DUMMYFUNCTION("""COMPUTED_VALUE"""),"Schwing")</f>
        <v>Schwing</v>
      </c>
      <c r="L1241" s="74" t="str">
        <f>IFERROR(__xludf.DUMMYFUNCTION("""COMPUTED_VALUE"""),"Componentes Estructurales y de Montaje")</f>
        <v>Componentes Estructurales y de Montaje</v>
      </c>
      <c r="M1241" s="74" t="str">
        <f>IFERROR(__xludf.DUMMYFUNCTION("""COMPUTED_VALUE"""),"Sin Asignar")</f>
        <v>Sin Asignar</v>
      </c>
      <c r="N1241" s="87">
        <f>IFERROR(__xludf.DUMMYFUNCTION("""COMPUTED_VALUE"""),0.0)</f>
        <v>0</v>
      </c>
      <c r="O1241" s="74"/>
      <c r="P1241" s="74" t="str">
        <f>IFERROR(__xludf.DUMMYFUNCTION("""COMPUTED_VALUE"""),"No Available")</f>
        <v>No Available</v>
      </c>
      <c r="Q1241" s="74"/>
      <c r="R1241" s="74"/>
      <c r="S1241" s="87">
        <f>IFERROR(__xludf.DUMMYFUNCTION("""COMPUTED_VALUE"""),0.0)</f>
        <v>0</v>
      </c>
      <c r="T1241" s="87">
        <f>IFERROR(__xludf.DUMMYFUNCTION("""COMPUTED_VALUE"""),0.0)</f>
        <v>0</v>
      </c>
      <c r="U1241" s="87">
        <f>IFERROR(__xludf.DUMMYFUNCTION("""COMPUTED_VALUE"""),0.0)</f>
        <v>0</v>
      </c>
      <c r="V1241" s="87">
        <f>IFERROR(__xludf.DUMMYFUNCTION("""COMPUTED_VALUE"""),0.0)</f>
        <v>0</v>
      </c>
      <c r="W1241" s="87">
        <f>IFERROR(__xludf.DUMMYFUNCTION("""COMPUTED_VALUE"""),0.0)</f>
        <v>0</v>
      </c>
      <c r="X1241" s="88"/>
      <c r="Y1241" s="74"/>
      <c r="Z1241" s="74"/>
    </row>
    <row r="1242">
      <c r="B1242" s="74" t="str">
        <f>IFERROR(__xludf.DUMMYFUNCTION("""COMPUTED_VALUE"""),"2240")</f>
        <v>2240</v>
      </c>
      <c r="C1242" s="74"/>
      <c r="D1242" s="74" t="str">
        <f>IFERROR(__xludf.DUMMYFUNCTION("""COMPUTED_VALUE"""),"\\MCA-S\mk\2_BM\0_BMat\08_PYM\Inventario\excel\Imagen de refacciones\Schwing\Screw Type Coupling 5,5_ _ Acoplamiento Tipo Tornillo 5,5_")</f>
        <v>\\MCA-S\mk\2_BM\0_BMat\08_PYM\Inventario\excel\Imagen de refacciones\Schwing\Screw Type Coupling 5,5_ _ Acoplamiento Tipo Tornillo 5,5_</v>
      </c>
      <c r="E1242" s="74"/>
      <c r="F1242" s="74" t="str">
        <f>IFERROR(__xludf.DUMMYFUNCTION("""COMPUTED_VALUE"""),"Screw Type Coupling 5,5"" / Acoplamiento Tipo Tornillo 5,5""")</f>
        <v>Screw Type Coupling 5,5" / Acoplamiento Tipo Tornillo 5,5"</v>
      </c>
      <c r="G1242" s="74"/>
      <c r="H1242" s="74"/>
      <c r="I1242" s="74" t="str">
        <f>IFERROR(__xludf.DUMMYFUNCTION("""COMPUTED_VALUE"""),"SOM30279")</f>
        <v>SOM30279</v>
      </c>
      <c r="J1242" s="74" t="str">
        <f>IFERROR(__xludf.DUMMYFUNCTION("""COMPUTED_VALUE"""),"10006587")</f>
        <v>10006587</v>
      </c>
      <c r="K1242" s="74" t="str">
        <f>IFERROR(__xludf.DUMMYFUNCTION("""COMPUTED_VALUE"""),"Schwing")</f>
        <v>Schwing</v>
      </c>
      <c r="L1242" s="74" t="str">
        <f>IFERROR(__xludf.DUMMYFUNCTION("""COMPUTED_VALUE"""),"Componentes Estructurales y de Montaje")</f>
        <v>Componentes Estructurales y de Montaje</v>
      </c>
      <c r="M1242" s="74" t="str">
        <f>IFERROR(__xludf.DUMMYFUNCTION("""COMPUTED_VALUE"""),"Sin Asignar")</f>
        <v>Sin Asignar</v>
      </c>
      <c r="N1242" s="87">
        <f>IFERROR(__xludf.DUMMYFUNCTION("""COMPUTED_VALUE"""),0.0)</f>
        <v>0</v>
      </c>
      <c r="O1242" s="74"/>
      <c r="P1242" s="74" t="str">
        <f>IFERROR(__xludf.DUMMYFUNCTION("""COMPUTED_VALUE"""),"borrar")</f>
        <v>borrar</v>
      </c>
      <c r="Q1242" s="74"/>
      <c r="R1242" s="74"/>
      <c r="S1242" s="87">
        <f>IFERROR(__xludf.DUMMYFUNCTION("""COMPUTED_VALUE"""),0.0)</f>
        <v>0</v>
      </c>
      <c r="T1242" s="87">
        <f>IFERROR(__xludf.DUMMYFUNCTION("""COMPUTED_VALUE"""),0.0)</f>
        <v>0</v>
      </c>
      <c r="U1242" s="87">
        <f>IFERROR(__xludf.DUMMYFUNCTION("""COMPUTED_VALUE"""),0.0)</f>
        <v>0</v>
      </c>
      <c r="V1242" s="87">
        <f>IFERROR(__xludf.DUMMYFUNCTION("""COMPUTED_VALUE"""),0.0)</f>
        <v>0</v>
      </c>
      <c r="W1242" s="87">
        <f>IFERROR(__xludf.DUMMYFUNCTION("""COMPUTED_VALUE"""),0.0)</f>
        <v>0</v>
      </c>
      <c r="X1242" s="88"/>
      <c r="Y1242" s="74"/>
      <c r="Z1242" s="74"/>
    </row>
    <row r="1243">
      <c r="B1243" s="74" t="str">
        <f>IFERROR(__xludf.DUMMYFUNCTION("""COMPUTED_VALUE"""),"2241")</f>
        <v>2241</v>
      </c>
      <c r="C1243" s="74"/>
      <c r="D1243" s="74" t="str">
        <f>IFERROR(__xludf.DUMMYFUNCTION("""COMPUTED_VALUE"""),"\\MCA-S\mk\2_BM\0_BMat\08_PYM\Inventario\excel\Imagen de refacciones\Schwing\Seal 6_ _ Sello de 6_")</f>
        <v>\\MCA-S\mk\2_BM\0_BMat\08_PYM\Inventario\excel\Imagen de refacciones\Schwing\Seal 6_ _ Sello de 6_</v>
      </c>
      <c r="E1243" s="74"/>
      <c r="F1243" s="74" t="str">
        <f>IFERROR(__xludf.DUMMYFUNCTION("""COMPUTED_VALUE"""),"Seal 6"" / Sello de 6""")</f>
        <v>Seal 6" / Sello de 6"</v>
      </c>
      <c r="G1243" s="74"/>
      <c r="H1243" s="74"/>
      <c r="I1243" s="74" t="str">
        <f>IFERROR(__xludf.DUMMYFUNCTION("""COMPUTED_VALUE"""),"SOM30245")</f>
        <v>SOM30245</v>
      </c>
      <c r="J1243" s="74" t="str">
        <f>IFERROR(__xludf.DUMMYFUNCTION("""COMPUTED_VALUE"""),"10006403")</f>
        <v>10006403</v>
      </c>
      <c r="K1243" s="74" t="str">
        <f>IFERROR(__xludf.DUMMYFUNCTION("""COMPUTED_VALUE"""),"Schwing")</f>
        <v>Schwing</v>
      </c>
      <c r="L1243" s="74" t="str">
        <f>IFERROR(__xludf.DUMMYFUNCTION("""COMPUTED_VALUE"""),"Sellos y Retenes")</f>
        <v>Sellos y Retenes</v>
      </c>
      <c r="M1243" s="74" t="str">
        <f>IFERROR(__xludf.DUMMYFUNCTION("""COMPUTED_VALUE"""),"Sin Asignar")</f>
        <v>Sin Asignar</v>
      </c>
      <c r="N1243" s="87">
        <f>IFERROR(__xludf.DUMMYFUNCTION("""COMPUTED_VALUE"""),0.0)</f>
        <v>0</v>
      </c>
      <c r="O1243" s="74"/>
      <c r="P1243" s="74" t="str">
        <f>IFERROR(__xludf.DUMMYFUNCTION("""COMPUTED_VALUE"""),"No Available")</f>
        <v>No Available</v>
      </c>
      <c r="Q1243" s="74"/>
      <c r="R1243" s="74"/>
      <c r="S1243" s="87">
        <f>IFERROR(__xludf.DUMMYFUNCTION("""COMPUTED_VALUE"""),0.0)</f>
        <v>0</v>
      </c>
      <c r="T1243" s="87">
        <f>IFERROR(__xludf.DUMMYFUNCTION("""COMPUTED_VALUE"""),0.0)</f>
        <v>0</v>
      </c>
      <c r="U1243" s="87">
        <f>IFERROR(__xludf.DUMMYFUNCTION("""COMPUTED_VALUE"""),0.0)</f>
        <v>0</v>
      </c>
      <c r="V1243" s="87">
        <f>IFERROR(__xludf.DUMMYFUNCTION("""COMPUTED_VALUE"""),0.0)</f>
        <v>0</v>
      </c>
      <c r="W1243" s="87">
        <f>IFERROR(__xludf.DUMMYFUNCTION("""COMPUTED_VALUE"""),0.0)</f>
        <v>0</v>
      </c>
      <c r="X1243" s="88"/>
      <c r="Y1243" s="74"/>
      <c r="Z1243" s="74"/>
    </row>
    <row r="1244">
      <c r="B1244" s="74" t="str">
        <f>IFERROR(__xludf.DUMMYFUNCTION("""COMPUTED_VALUE"""),"2242")</f>
        <v>2242</v>
      </c>
      <c r="C1244" s="74"/>
      <c r="D1244" s="74" t="str">
        <f>IFERROR(__xludf.DUMMYFUNCTION("""COMPUTED_VALUE"""),"\\MCA-S\mk\2_BM\0_BMat\08_PYM\Inventario\excel\Imagen de refacciones\Schwing\Seal Kidney DN 150 _ Sello Riñón DN 150")</f>
        <v>\\MCA-S\mk\2_BM\0_BMat\08_PYM\Inventario\excel\Imagen de refacciones\Schwing\Seal Kidney DN 150 _ Sello Riñón DN 150</v>
      </c>
      <c r="E1244" s="74"/>
      <c r="F1244" s="74" t="str">
        <f>IFERROR(__xludf.DUMMYFUNCTION("""COMPUTED_VALUE"""),"Seal Kidney DN 150 / Sello Riñón DN 150")</f>
        <v>Seal Kidney DN 150 / Sello Riñón DN 150</v>
      </c>
      <c r="G1244" s="74"/>
      <c r="H1244" s="74"/>
      <c r="I1244" s="74" t="str">
        <f>IFERROR(__xludf.DUMMYFUNCTION("""COMPUTED_VALUE"""),"SOM30042")</f>
        <v>SOM30042</v>
      </c>
      <c r="J1244" s="74" t="str">
        <f>IFERROR(__xludf.DUMMYFUNCTION("""COMPUTED_VALUE"""),"10140380")</f>
        <v>10140380</v>
      </c>
      <c r="K1244" s="74" t="str">
        <f>IFERROR(__xludf.DUMMYFUNCTION("""COMPUTED_VALUE"""),"Schwing")</f>
        <v>Schwing</v>
      </c>
      <c r="L1244" s="74" t="str">
        <f>IFERROR(__xludf.DUMMYFUNCTION("""COMPUTED_VALUE"""),"Sellos y Retenes")</f>
        <v>Sellos y Retenes</v>
      </c>
      <c r="M1244" s="74" t="str">
        <f>IFERROR(__xludf.DUMMYFUNCTION("""COMPUTED_VALUE"""),"Sin Asignar")</f>
        <v>Sin Asignar</v>
      </c>
      <c r="N1244" s="87">
        <f>IFERROR(__xludf.DUMMYFUNCTION("""COMPUTED_VALUE"""),0.0)</f>
        <v>0</v>
      </c>
      <c r="O1244" s="74"/>
      <c r="P1244" s="74" t="str">
        <f>IFERROR(__xludf.DUMMYFUNCTION("""COMPUTED_VALUE"""),"No Available")</f>
        <v>No Available</v>
      </c>
      <c r="Q1244" s="74"/>
      <c r="R1244" s="74"/>
      <c r="S1244" s="87">
        <f>IFERROR(__xludf.DUMMYFUNCTION("""COMPUTED_VALUE"""),0.0)</f>
        <v>0</v>
      </c>
      <c r="T1244" s="87">
        <f>IFERROR(__xludf.DUMMYFUNCTION("""COMPUTED_VALUE"""),0.0)</f>
        <v>0</v>
      </c>
      <c r="U1244" s="87">
        <f>IFERROR(__xludf.DUMMYFUNCTION("""COMPUTED_VALUE"""),0.0)</f>
        <v>0</v>
      </c>
      <c r="V1244" s="87">
        <f>IFERROR(__xludf.DUMMYFUNCTION("""COMPUTED_VALUE"""),0.0)</f>
        <v>0</v>
      </c>
      <c r="W1244" s="87">
        <f>IFERROR(__xludf.DUMMYFUNCTION("""COMPUTED_VALUE"""),0.0)</f>
        <v>0</v>
      </c>
      <c r="X1244" s="88"/>
      <c r="Y1244" s="74"/>
      <c r="Z1244" s="74"/>
    </row>
    <row r="1245">
      <c r="B1245" s="74" t="str">
        <f>IFERROR(__xludf.DUMMYFUNCTION("""COMPUTED_VALUE"""),"2243")</f>
        <v>2243</v>
      </c>
      <c r="C1245" s="74"/>
      <c r="D1245" s="74" t="str">
        <f>IFERROR(__xludf.DUMMYFUNCTION("""COMPUTED_VALUE"""),"\\MCA-S\mk\2_BM\0_BMat\08_PYM\Inventario\excel\Imagen de refacciones\Schwing\Seal Kidney DN 180 _ Sello Riñón DN 180")</f>
        <v>\\MCA-S\mk\2_BM\0_BMat\08_PYM\Inventario\excel\Imagen de refacciones\Schwing\Seal Kidney DN 180 _ Sello Riñón DN 180</v>
      </c>
      <c r="E1245" s="74"/>
      <c r="F1245" s="74" t="str">
        <f>IFERROR(__xludf.DUMMYFUNCTION("""COMPUTED_VALUE"""),"Seal Kidney DN 180 / Sello Riñón DN 180")</f>
        <v>Seal Kidney DN 180 / Sello Riñón DN 180</v>
      </c>
      <c r="G1245" s="74"/>
      <c r="H1245" s="74"/>
      <c r="I1245" s="74" t="str">
        <f>IFERROR(__xludf.DUMMYFUNCTION("""COMPUTED_VALUE"""),"SOM30041")</f>
        <v>SOM30041</v>
      </c>
      <c r="J1245" s="74" t="str">
        <f>IFERROR(__xludf.DUMMYFUNCTION("""COMPUTED_VALUE"""),"10029138")</f>
        <v>10029138</v>
      </c>
      <c r="K1245" s="74" t="str">
        <f>IFERROR(__xludf.DUMMYFUNCTION("""COMPUTED_VALUE"""),"Schwing")</f>
        <v>Schwing</v>
      </c>
      <c r="L1245" s="74" t="str">
        <f>IFERROR(__xludf.DUMMYFUNCTION("""COMPUTED_VALUE"""),"Sellos y Retenes")</f>
        <v>Sellos y Retenes</v>
      </c>
      <c r="M1245" s="74" t="str">
        <f>IFERROR(__xludf.DUMMYFUNCTION("""COMPUTED_VALUE"""),"Sin Asignar")</f>
        <v>Sin Asignar</v>
      </c>
      <c r="N1245" s="87">
        <f>IFERROR(__xludf.DUMMYFUNCTION("""COMPUTED_VALUE"""),0.0)</f>
        <v>0</v>
      </c>
      <c r="O1245" s="74"/>
      <c r="P1245" s="74" t="str">
        <f>IFERROR(__xludf.DUMMYFUNCTION("""COMPUTED_VALUE"""),"borrar")</f>
        <v>borrar</v>
      </c>
      <c r="Q1245" s="74"/>
      <c r="R1245" s="74"/>
      <c r="S1245" s="87">
        <f>IFERROR(__xludf.DUMMYFUNCTION("""COMPUTED_VALUE"""),0.0)</f>
        <v>0</v>
      </c>
      <c r="T1245" s="87">
        <f>IFERROR(__xludf.DUMMYFUNCTION("""COMPUTED_VALUE"""),0.0)</f>
        <v>0</v>
      </c>
      <c r="U1245" s="87">
        <f>IFERROR(__xludf.DUMMYFUNCTION("""COMPUTED_VALUE"""),0.0)</f>
        <v>0</v>
      </c>
      <c r="V1245" s="87">
        <f>IFERROR(__xludf.DUMMYFUNCTION("""COMPUTED_VALUE"""),0.0)</f>
        <v>0</v>
      </c>
      <c r="W1245" s="87">
        <f>IFERROR(__xludf.DUMMYFUNCTION("""COMPUTED_VALUE"""),0.0)</f>
        <v>0</v>
      </c>
      <c r="X1245" s="88"/>
      <c r="Y1245" s="74"/>
      <c r="Z1245" s="74"/>
    </row>
    <row r="1246">
      <c r="B1246" s="74" t="str">
        <f>IFERROR(__xludf.DUMMYFUNCTION("""COMPUTED_VALUE"""),"2244")</f>
        <v>2244</v>
      </c>
      <c r="C1246" s="74"/>
      <c r="D1246" s="74" t="str">
        <f>IFERROR(__xludf.DUMMYFUNCTION("""COMPUTED_VALUE"""),"\\MCA-S\mk\2_BM\0_BMat\08_PYM\Inventario\excel\Imagen de refacciones\Schwing\Seal Set for Slewing Cylinder _ Juego de Sellos para Cilindro de Giro")</f>
        <v>\\MCA-S\mk\2_BM\0_BMat\08_PYM\Inventario\excel\Imagen de refacciones\Schwing\Seal Set for Slewing Cylinder _ Juego de Sellos para Cilindro de Giro</v>
      </c>
      <c r="E1246" s="74"/>
      <c r="F1246" s="74" t="str">
        <f>IFERROR(__xludf.DUMMYFUNCTION("""COMPUTED_VALUE"""),"Seal Set for Slewing Cylinder / Juego de Sellos para Cilindro de Giro")</f>
        <v>Seal Set for Slewing Cylinder / Juego de Sellos para Cilindro de Giro</v>
      </c>
      <c r="G1246" s="74"/>
      <c r="H1246" s="74"/>
      <c r="I1246" s="74" t="str">
        <f>IFERROR(__xludf.DUMMYFUNCTION("""COMPUTED_VALUE"""),"SOM30075")</f>
        <v>SOM30075</v>
      </c>
      <c r="J1246" s="74" t="str">
        <f>IFERROR(__xludf.DUMMYFUNCTION("""COMPUTED_VALUE"""),"10064750")</f>
        <v>10064750</v>
      </c>
      <c r="K1246" s="74" t="str">
        <f>IFERROR(__xludf.DUMMYFUNCTION("""COMPUTED_VALUE"""),"Schwing")</f>
        <v>Schwing</v>
      </c>
      <c r="L1246" s="74" t="str">
        <f>IFERROR(__xludf.DUMMYFUNCTION("""COMPUTED_VALUE"""),"Sellos y Retenes")</f>
        <v>Sellos y Retenes</v>
      </c>
      <c r="M1246" s="74" t="str">
        <f>IFERROR(__xludf.DUMMYFUNCTION("""COMPUTED_VALUE"""),"Sin Asignar")</f>
        <v>Sin Asignar</v>
      </c>
      <c r="N1246" s="87">
        <f>IFERROR(__xludf.DUMMYFUNCTION("""COMPUTED_VALUE"""),0.0)</f>
        <v>0</v>
      </c>
      <c r="O1246" s="74"/>
      <c r="P1246" s="74" t="str">
        <f>IFERROR(__xludf.DUMMYFUNCTION("""COMPUTED_VALUE"""),"No Available")</f>
        <v>No Available</v>
      </c>
      <c r="Q1246" s="74"/>
      <c r="R1246" s="74"/>
      <c r="S1246" s="87">
        <f>IFERROR(__xludf.DUMMYFUNCTION("""COMPUTED_VALUE"""),0.0)</f>
        <v>0</v>
      </c>
      <c r="T1246" s="87">
        <f>IFERROR(__xludf.DUMMYFUNCTION("""COMPUTED_VALUE"""),0.0)</f>
        <v>0</v>
      </c>
      <c r="U1246" s="87">
        <f>IFERROR(__xludf.DUMMYFUNCTION("""COMPUTED_VALUE"""),0.0)</f>
        <v>0</v>
      </c>
      <c r="V1246" s="87">
        <f>IFERROR(__xludf.DUMMYFUNCTION("""COMPUTED_VALUE"""),0.0)</f>
        <v>0</v>
      </c>
      <c r="W1246" s="87">
        <f>IFERROR(__xludf.DUMMYFUNCTION("""COMPUTED_VALUE"""),0.0)</f>
        <v>0</v>
      </c>
      <c r="X1246" s="88"/>
      <c r="Y1246" s="74"/>
      <c r="Z1246" s="74"/>
    </row>
    <row r="1247">
      <c r="B1247" s="74" t="str">
        <f>IFERROR(__xludf.DUMMYFUNCTION("""COMPUTED_VALUE"""),"2245")</f>
        <v>2245</v>
      </c>
      <c r="C1247" s="74"/>
      <c r="D1247" s="74" t="str">
        <f>IFERROR(__xludf.DUMMYFUNCTION("""COMPUTED_VALUE"""),"\\MCA-S\mk\2_BM\0_BMat\08_PYM\Inventario\excel\Imagen de refacciones\Schwing\Sealing 5,5_ _ Sellado 5,5_")</f>
        <v>\\MCA-S\mk\2_BM\0_BMat\08_PYM\Inventario\excel\Imagen de refacciones\Schwing\Sealing 5,5_ _ Sellado 5,5_</v>
      </c>
      <c r="E1247" s="74"/>
      <c r="F1247" s="74" t="str">
        <f>IFERROR(__xludf.DUMMYFUNCTION("""COMPUTED_VALUE"""),"Sealing 5,5"" / Sellado 5,5""")</f>
        <v>Sealing 5,5" / Sellado 5,5"</v>
      </c>
      <c r="G1247" s="74"/>
      <c r="H1247" s="74"/>
      <c r="I1247" s="74" t="str">
        <f>IFERROR(__xludf.DUMMYFUNCTION("""COMPUTED_VALUE"""),"SOM30277")</f>
        <v>SOM30277</v>
      </c>
      <c r="J1247" s="74" t="str">
        <f>IFERROR(__xludf.DUMMYFUNCTION("""COMPUTED_VALUE"""),"10002526")</f>
        <v>10002526</v>
      </c>
      <c r="K1247" s="74" t="str">
        <f>IFERROR(__xludf.DUMMYFUNCTION("""COMPUTED_VALUE"""),"Schwing")</f>
        <v>Schwing</v>
      </c>
      <c r="L1247" s="74" t="str">
        <f>IFERROR(__xludf.DUMMYFUNCTION("""COMPUTED_VALUE"""),"Sellos y Retenes")</f>
        <v>Sellos y Retenes</v>
      </c>
      <c r="M1247" s="74" t="str">
        <f>IFERROR(__xludf.DUMMYFUNCTION("""COMPUTED_VALUE"""),"Sin Asignar")</f>
        <v>Sin Asignar</v>
      </c>
      <c r="N1247" s="87">
        <f>IFERROR(__xludf.DUMMYFUNCTION("""COMPUTED_VALUE"""),0.0)</f>
        <v>0</v>
      </c>
      <c r="O1247" s="74"/>
      <c r="P1247" s="74" t="str">
        <f>IFERROR(__xludf.DUMMYFUNCTION("""COMPUTED_VALUE"""),"No Available")</f>
        <v>No Available</v>
      </c>
      <c r="Q1247" s="74"/>
      <c r="R1247" s="74"/>
      <c r="S1247" s="87">
        <f>IFERROR(__xludf.DUMMYFUNCTION("""COMPUTED_VALUE"""),0.0)</f>
        <v>0</v>
      </c>
      <c r="T1247" s="87">
        <f>IFERROR(__xludf.DUMMYFUNCTION("""COMPUTED_VALUE"""),0.0)</f>
        <v>0</v>
      </c>
      <c r="U1247" s="87">
        <f>IFERROR(__xludf.DUMMYFUNCTION("""COMPUTED_VALUE"""),0.0)</f>
        <v>0</v>
      </c>
      <c r="V1247" s="87">
        <f>IFERROR(__xludf.DUMMYFUNCTION("""COMPUTED_VALUE"""),0.0)</f>
        <v>0</v>
      </c>
      <c r="W1247" s="87">
        <f>IFERROR(__xludf.DUMMYFUNCTION("""COMPUTED_VALUE"""),0.0)</f>
        <v>0</v>
      </c>
      <c r="X1247" s="88"/>
      <c r="Y1247" s="74"/>
      <c r="Z1247" s="74"/>
    </row>
    <row r="1248">
      <c r="B1248" s="74" t="str">
        <f>IFERROR(__xludf.DUMMYFUNCTION("""COMPUTED_VALUE"""),"2246")</f>
        <v>2246</v>
      </c>
      <c r="C1248" s="74"/>
      <c r="D1248" s="74" t="str">
        <f>IFERROR(__xludf.DUMMYFUNCTION("""COMPUTED_VALUE"""),"\\MCA-S\mk\2_BM\0_BMat\08_PYM\Inventario\excel\Imagen de refacciones\Schwing\Sealing Cone _ Cono de Sellado")</f>
        <v>\\MCA-S\mk\2_BM\0_BMat\08_PYM\Inventario\excel\Imagen de refacciones\Schwing\Sealing Cone _ Cono de Sellado</v>
      </c>
      <c r="E1248" s="74"/>
      <c r="F1248" s="74" t="str">
        <f>IFERROR(__xludf.DUMMYFUNCTION("""COMPUTED_VALUE"""),"Sealing Cone / Cono de Sellado")</f>
        <v>Sealing Cone / Cono de Sellado</v>
      </c>
      <c r="G1248" s="74"/>
      <c r="H1248" s="74"/>
      <c r="I1248" s="74" t="str">
        <f>IFERROR(__xludf.DUMMYFUNCTION("""COMPUTED_VALUE"""),"SOM30167")</f>
        <v>SOM30167</v>
      </c>
      <c r="J1248" s="74" t="str">
        <f>IFERROR(__xludf.DUMMYFUNCTION("""COMPUTED_VALUE"""),"10061076")</f>
        <v>10061076</v>
      </c>
      <c r="K1248" s="74" t="str">
        <f>IFERROR(__xludf.DUMMYFUNCTION("""COMPUTED_VALUE"""),"Schwing")</f>
        <v>Schwing</v>
      </c>
      <c r="L1248" s="74" t="str">
        <f>IFERROR(__xludf.DUMMYFUNCTION("""COMPUTED_VALUE"""),"Sellos y Retenes")</f>
        <v>Sellos y Retenes</v>
      </c>
      <c r="M1248" s="74" t="str">
        <f>IFERROR(__xludf.DUMMYFUNCTION("""COMPUTED_VALUE"""),"Sin Asignar")</f>
        <v>Sin Asignar</v>
      </c>
      <c r="N1248" s="87">
        <f>IFERROR(__xludf.DUMMYFUNCTION("""COMPUTED_VALUE"""),0.0)</f>
        <v>0</v>
      </c>
      <c r="O1248" s="74"/>
      <c r="P1248" s="74" t="str">
        <f>IFERROR(__xludf.DUMMYFUNCTION("""COMPUTED_VALUE"""),"borrar")</f>
        <v>borrar</v>
      </c>
      <c r="Q1248" s="74"/>
      <c r="R1248" s="74"/>
      <c r="S1248" s="87">
        <f>IFERROR(__xludf.DUMMYFUNCTION("""COMPUTED_VALUE"""),0.0)</f>
        <v>0</v>
      </c>
      <c r="T1248" s="87">
        <f>IFERROR(__xludf.DUMMYFUNCTION("""COMPUTED_VALUE"""),0.0)</f>
        <v>0</v>
      </c>
      <c r="U1248" s="87">
        <f>IFERROR(__xludf.DUMMYFUNCTION("""COMPUTED_VALUE"""),0.0)</f>
        <v>0</v>
      </c>
      <c r="V1248" s="87">
        <f>IFERROR(__xludf.DUMMYFUNCTION("""COMPUTED_VALUE"""),0.0)</f>
        <v>0</v>
      </c>
      <c r="W1248" s="87">
        <f>IFERROR(__xludf.DUMMYFUNCTION("""COMPUTED_VALUE"""),0.0)</f>
        <v>0</v>
      </c>
      <c r="X1248" s="88"/>
      <c r="Y1248" s="74"/>
      <c r="Z1248" s="74"/>
    </row>
    <row r="1249">
      <c r="B1249" s="74" t="str">
        <f>IFERROR(__xludf.DUMMYFUNCTION("""COMPUTED_VALUE"""),"2247")</f>
        <v>2247</v>
      </c>
      <c r="C1249" s="74"/>
      <c r="D1249" s="74" t="str">
        <f>IFERROR(__xludf.DUMMYFUNCTION("""COMPUTED_VALUE"""),"\\MCA-S\mk\2_BM\0_BMat\08_PYM\Inventario\excel\Imagen de refacciones\Schwing\Sealing Cone _ Cono de Sellado (1)")</f>
        <v>\\MCA-S\mk\2_BM\0_BMat\08_PYM\Inventario\excel\Imagen de refacciones\Schwing\Sealing Cone _ Cono de Sellado (1)</v>
      </c>
      <c r="E1249" s="74"/>
      <c r="F1249" s="74" t="str">
        <f>IFERROR(__xludf.DUMMYFUNCTION("""COMPUTED_VALUE"""),"Sealing Cone / Cono de Sellado")</f>
        <v>Sealing Cone / Cono de Sellado</v>
      </c>
      <c r="G1249" s="74"/>
      <c r="H1249" s="74"/>
      <c r="I1249" s="74" t="str">
        <f>IFERROR(__xludf.DUMMYFUNCTION("""COMPUTED_VALUE"""),"SOM30168")</f>
        <v>SOM30168</v>
      </c>
      <c r="J1249" s="74" t="str">
        <f>IFERROR(__xludf.DUMMYFUNCTION("""COMPUTED_VALUE"""),"10004928")</f>
        <v>10004928</v>
      </c>
      <c r="K1249" s="74" t="str">
        <f>IFERROR(__xludf.DUMMYFUNCTION("""COMPUTED_VALUE"""),"Schwing")</f>
        <v>Schwing</v>
      </c>
      <c r="L1249" s="74" t="str">
        <f>IFERROR(__xludf.DUMMYFUNCTION("""COMPUTED_VALUE"""),"Sellos y Retenes")</f>
        <v>Sellos y Retenes</v>
      </c>
      <c r="M1249" s="74" t="str">
        <f>IFERROR(__xludf.DUMMYFUNCTION("""COMPUTED_VALUE"""),"Sin Asignar")</f>
        <v>Sin Asignar</v>
      </c>
      <c r="N1249" s="87">
        <f>IFERROR(__xludf.DUMMYFUNCTION("""COMPUTED_VALUE"""),0.0)</f>
        <v>0</v>
      </c>
      <c r="O1249" s="74"/>
      <c r="P1249" s="74" t="str">
        <f>IFERROR(__xludf.DUMMYFUNCTION("""COMPUTED_VALUE"""),"No Available")</f>
        <v>No Available</v>
      </c>
      <c r="Q1249" s="74"/>
      <c r="R1249" s="74"/>
      <c r="S1249" s="87">
        <f>IFERROR(__xludf.DUMMYFUNCTION("""COMPUTED_VALUE"""),0.0)</f>
        <v>0</v>
      </c>
      <c r="T1249" s="87">
        <f>IFERROR(__xludf.DUMMYFUNCTION("""COMPUTED_VALUE"""),0.0)</f>
        <v>0</v>
      </c>
      <c r="U1249" s="87">
        <f>IFERROR(__xludf.DUMMYFUNCTION("""COMPUTED_VALUE"""),0.0)</f>
        <v>0</v>
      </c>
      <c r="V1249" s="87">
        <f>IFERROR(__xludf.DUMMYFUNCTION("""COMPUTED_VALUE"""),0.0)</f>
        <v>0</v>
      </c>
      <c r="W1249" s="87">
        <f>IFERROR(__xludf.DUMMYFUNCTION("""COMPUTED_VALUE"""),0.0)</f>
        <v>0</v>
      </c>
      <c r="X1249" s="88"/>
      <c r="Y1249" s="74"/>
      <c r="Z1249" s="74"/>
    </row>
    <row r="1250">
      <c r="B1250" s="74" t="str">
        <f>IFERROR(__xludf.DUMMYFUNCTION("""COMPUTED_VALUE"""),"2248")</f>
        <v>2248</v>
      </c>
      <c r="C1250" s="74"/>
      <c r="D1250" s="74" t="str">
        <f>IFERROR(__xludf.DUMMYFUNCTION("""COMPUTED_VALUE"""),"\\MCA-S\mk\2_BM\0_BMat\08_PYM\Inventario\excel\Imagen de refacciones\Schwing\Sealing Cover _ Tapa de Sellado")</f>
        <v>\\MCA-S\mk\2_BM\0_BMat\08_PYM\Inventario\excel\Imagen de refacciones\Schwing\Sealing Cover _ Tapa de Sellado</v>
      </c>
      <c r="E1250" s="74"/>
      <c r="F1250" s="74" t="str">
        <f>IFERROR(__xludf.DUMMYFUNCTION("""COMPUTED_VALUE"""),"Sealing Cover / Tapa de Sellado")</f>
        <v>Sealing Cover / Tapa de Sellado</v>
      </c>
      <c r="G1250" s="74"/>
      <c r="H1250" s="74"/>
      <c r="I1250" s="74" t="str">
        <f>IFERROR(__xludf.DUMMYFUNCTION("""COMPUTED_VALUE"""),"SOM30018")</f>
        <v>SOM30018</v>
      </c>
      <c r="J1250" s="74" t="str">
        <f>IFERROR(__xludf.DUMMYFUNCTION("""COMPUTED_VALUE"""),"10018035")</f>
        <v>10018035</v>
      </c>
      <c r="K1250" s="74" t="str">
        <f>IFERROR(__xludf.DUMMYFUNCTION("""COMPUTED_VALUE"""),"Schwing")</f>
        <v>Schwing</v>
      </c>
      <c r="L1250" s="74" t="str">
        <f>IFERROR(__xludf.DUMMYFUNCTION("""COMPUTED_VALUE"""),"Sellos y Retenes")</f>
        <v>Sellos y Retenes</v>
      </c>
      <c r="M1250" s="74" t="str">
        <f>IFERROR(__xludf.DUMMYFUNCTION("""COMPUTED_VALUE"""),"Sin Asignar")</f>
        <v>Sin Asignar</v>
      </c>
      <c r="N1250" s="87">
        <f>IFERROR(__xludf.DUMMYFUNCTION("""COMPUTED_VALUE"""),0.0)</f>
        <v>0</v>
      </c>
      <c r="O1250" s="74"/>
      <c r="P1250" s="74" t="str">
        <f>IFERROR(__xludf.DUMMYFUNCTION("""COMPUTED_VALUE"""),"borrar")</f>
        <v>borrar</v>
      </c>
      <c r="Q1250" s="74"/>
      <c r="R1250" s="74"/>
      <c r="S1250" s="87">
        <f>IFERROR(__xludf.DUMMYFUNCTION("""COMPUTED_VALUE"""),0.0)</f>
        <v>0</v>
      </c>
      <c r="T1250" s="87">
        <f>IFERROR(__xludf.DUMMYFUNCTION("""COMPUTED_VALUE"""),0.0)</f>
        <v>0</v>
      </c>
      <c r="U1250" s="87">
        <f>IFERROR(__xludf.DUMMYFUNCTION("""COMPUTED_VALUE"""),0.0)</f>
        <v>0</v>
      </c>
      <c r="V1250" s="87">
        <f>IFERROR(__xludf.DUMMYFUNCTION("""COMPUTED_VALUE"""),0.0)</f>
        <v>0</v>
      </c>
      <c r="W1250" s="87">
        <f>IFERROR(__xludf.DUMMYFUNCTION("""COMPUTED_VALUE"""),0.0)</f>
        <v>0</v>
      </c>
      <c r="X1250" s="88"/>
      <c r="Y1250" s="74"/>
      <c r="Z1250" s="74"/>
    </row>
    <row r="1251">
      <c r="B1251" s="74" t="str">
        <f>IFERROR(__xludf.DUMMYFUNCTION("""COMPUTED_VALUE"""),"2249")</f>
        <v>2249</v>
      </c>
      <c r="C1251" s="74"/>
      <c r="D1251" s="74" t="str">
        <f>IFERROR(__xludf.DUMMYFUNCTION("""COMPUTED_VALUE"""),"\\MCA-S\mk\2_BM\0_BMat\08_PYM\Inventario\excel\Imagen de refacciones\Schwing\Sealing Ring _ Anillo de Sellado")</f>
        <v>\\MCA-S\mk\2_BM\0_BMat\08_PYM\Inventario\excel\Imagen de refacciones\Schwing\Sealing Ring _ Anillo de Sellado</v>
      </c>
      <c r="E1251" s="74"/>
      <c r="F1251" s="74" t="str">
        <f>IFERROR(__xludf.DUMMYFUNCTION("""COMPUTED_VALUE"""),"Sealing Ring / Anillo de Sellado")</f>
        <v>Sealing Ring / Anillo de Sellado</v>
      </c>
      <c r="G1251" s="74"/>
      <c r="H1251" s="74"/>
      <c r="I1251" s="74" t="str">
        <f>IFERROR(__xludf.DUMMYFUNCTION("""COMPUTED_VALUE"""),"SOM30194")</f>
        <v>SOM30194</v>
      </c>
      <c r="J1251" s="74" t="str">
        <f>IFERROR(__xludf.DUMMYFUNCTION("""COMPUTED_VALUE"""),"10001102")</f>
        <v>10001102</v>
      </c>
      <c r="K1251" s="74" t="str">
        <f>IFERROR(__xludf.DUMMYFUNCTION("""COMPUTED_VALUE"""),"Schwing")</f>
        <v>Schwing</v>
      </c>
      <c r="L1251" s="74" t="str">
        <f>IFERROR(__xludf.DUMMYFUNCTION("""COMPUTED_VALUE"""),"Sellos y Retenes")</f>
        <v>Sellos y Retenes</v>
      </c>
      <c r="M1251" s="74" t="str">
        <f>IFERROR(__xludf.DUMMYFUNCTION("""COMPUTED_VALUE"""),"Sin Asignar")</f>
        <v>Sin Asignar</v>
      </c>
      <c r="N1251" s="87">
        <f>IFERROR(__xludf.DUMMYFUNCTION("""COMPUTED_VALUE"""),0.0)</f>
        <v>0</v>
      </c>
      <c r="O1251" s="74"/>
      <c r="P1251" s="74" t="str">
        <f>IFERROR(__xludf.DUMMYFUNCTION("""COMPUTED_VALUE"""),"No Available")</f>
        <v>No Available</v>
      </c>
      <c r="Q1251" s="74"/>
      <c r="R1251" s="74"/>
      <c r="S1251" s="87">
        <f>IFERROR(__xludf.DUMMYFUNCTION("""COMPUTED_VALUE"""),0.0)</f>
        <v>0</v>
      </c>
      <c r="T1251" s="87">
        <f>IFERROR(__xludf.DUMMYFUNCTION("""COMPUTED_VALUE"""),0.0)</f>
        <v>0</v>
      </c>
      <c r="U1251" s="87">
        <f>IFERROR(__xludf.DUMMYFUNCTION("""COMPUTED_VALUE"""),0.0)</f>
        <v>0</v>
      </c>
      <c r="V1251" s="87">
        <f>IFERROR(__xludf.DUMMYFUNCTION("""COMPUTED_VALUE"""),0.0)</f>
        <v>0</v>
      </c>
      <c r="W1251" s="87">
        <f>IFERROR(__xludf.DUMMYFUNCTION("""COMPUTED_VALUE"""),0.0)</f>
        <v>0</v>
      </c>
      <c r="X1251" s="88"/>
      <c r="Y1251" s="74"/>
      <c r="Z1251" s="74"/>
    </row>
    <row r="1252">
      <c r="B1252" s="74" t="str">
        <f>IFERROR(__xludf.DUMMYFUNCTION("""COMPUTED_VALUE"""),"2250")</f>
        <v>2250</v>
      </c>
      <c r="C1252" s="74"/>
      <c r="D1252" s="74" t="str">
        <f>IFERROR(__xludf.DUMMYFUNCTION("""COMPUTED_VALUE"""),"\\MCA-S\mk\2_BM\0_BMat\08_PYM\Inventario\excel\Imagen de refacciones\Schwing\Seal-Ring DN 180 _ Anillo de Sello DN 180")</f>
        <v>\\MCA-S\mk\2_BM\0_BMat\08_PYM\Inventario\excel\Imagen de refacciones\Schwing\Seal-Ring DN 180 _ Anillo de Sello DN 180</v>
      </c>
      <c r="E1252" s="74"/>
      <c r="F1252" s="74" t="str">
        <f>IFERROR(__xludf.DUMMYFUNCTION("""COMPUTED_VALUE"""),"Seal-Ring DN 180 / Anillo de Sello DN 180")</f>
        <v>Seal-Ring DN 180 / Anillo de Sello DN 180</v>
      </c>
      <c r="G1252" s="74"/>
      <c r="H1252" s="74"/>
      <c r="I1252" s="74" t="str">
        <f>IFERROR(__xludf.DUMMYFUNCTION("""COMPUTED_VALUE"""),"SOM30050")</f>
        <v>SOM30050</v>
      </c>
      <c r="J1252" s="74" t="str">
        <f>IFERROR(__xludf.DUMMYFUNCTION("""COMPUTED_VALUE"""),"10038704")</f>
        <v>10038704</v>
      </c>
      <c r="K1252" s="74" t="str">
        <f>IFERROR(__xludf.DUMMYFUNCTION("""COMPUTED_VALUE"""),"Schwing")</f>
        <v>Schwing</v>
      </c>
      <c r="L1252" s="74" t="str">
        <f>IFERROR(__xludf.DUMMYFUNCTION("""COMPUTED_VALUE"""),"Transmisión Mecánica")</f>
        <v>Transmisión Mecánica</v>
      </c>
      <c r="M1252" s="74" t="str">
        <f>IFERROR(__xludf.DUMMYFUNCTION("""COMPUTED_VALUE"""),"Sin Asignar")</f>
        <v>Sin Asignar</v>
      </c>
      <c r="N1252" s="87">
        <f>IFERROR(__xludf.DUMMYFUNCTION("""COMPUTED_VALUE"""),0.0)</f>
        <v>0</v>
      </c>
      <c r="O1252" s="74"/>
      <c r="P1252" s="74" t="str">
        <f>IFERROR(__xludf.DUMMYFUNCTION("""COMPUTED_VALUE"""),"No Available")</f>
        <v>No Available</v>
      </c>
      <c r="Q1252" s="74"/>
      <c r="R1252" s="74"/>
      <c r="S1252" s="87">
        <f>IFERROR(__xludf.DUMMYFUNCTION("""COMPUTED_VALUE"""),0.0)</f>
        <v>0</v>
      </c>
      <c r="T1252" s="87">
        <f>IFERROR(__xludf.DUMMYFUNCTION("""COMPUTED_VALUE"""),0.0)</f>
        <v>0</v>
      </c>
      <c r="U1252" s="87">
        <f>IFERROR(__xludf.DUMMYFUNCTION("""COMPUTED_VALUE"""),0.0)</f>
        <v>0</v>
      </c>
      <c r="V1252" s="87">
        <f>IFERROR(__xludf.DUMMYFUNCTION("""COMPUTED_VALUE"""),0.0)</f>
        <v>0</v>
      </c>
      <c r="W1252" s="87">
        <f>IFERROR(__xludf.DUMMYFUNCTION("""COMPUTED_VALUE"""),0.0)</f>
        <v>0</v>
      </c>
      <c r="X1252" s="88"/>
      <c r="Y1252" s="74"/>
      <c r="Z1252" s="74"/>
    </row>
    <row r="1253">
      <c r="B1253" s="74" t="str">
        <f>IFERROR(__xludf.DUMMYFUNCTION("""COMPUTED_VALUE"""),"2251")</f>
        <v>2251</v>
      </c>
      <c r="C1253" s="74"/>
      <c r="D1253" s="74" t="str">
        <f>IFERROR(__xludf.DUMMYFUNCTION("""COMPUTED_VALUE"""),"\\MCA-S\mk\2_BM\0_BMat\08_PYM\Inventario\excel\Imagen de refacciones\Schwing\Seal-Ring DN 250 _ Anillo de Sello DN 250")</f>
        <v>\\MCA-S\mk\2_BM\0_BMat\08_PYM\Inventario\excel\Imagen de refacciones\Schwing\Seal-Ring DN 250 _ Anillo de Sello DN 250</v>
      </c>
      <c r="E1253" s="74"/>
      <c r="F1253" s="74" t="str">
        <f>IFERROR(__xludf.DUMMYFUNCTION("""COMPUTED_VALUE"""),"Seal-Ring DN 250 / Anillo de Sello DN 250")</f>
        <v>Seal-Ring DN 250 / Anillo de Sello DN 250</v>
      </c>
      <c r="G1253" s="74"/>
      <c r="H1253" s="74"/>
      <c r="I1253" s="74" t="str">
        <f>IFERROR(__xludf.DUMMYFUNCTION("""COMPUTED_VALUE"""),"SOM30048")</f>
        <v>SOM30048</v>
      </c>
      <c r="J1253" s="74" t="str">
        <f>IFERROR(__xludf.DUMMYFUNCTION("""COMPUTED_VALUE"""),"10035783")</f>
        <v>10035783</v>
      </c>
      <c r="K1253" s="74" t="str">
        <f>IFERROR(__xludf.DUMMYFUNCTION("""COMPUTED_VALUE"""),"Schwing")</f>
        <v>Schwing</v>
      </c>
      <c r="L1253" s="74" t="str">
        <f>IFERROR(__xludf.DUMMYFUNCTION("""COMPUTED_VALUE"""),"Sellos y Retenes")</f>
        <v>Sellos y Retenes</v>
      </c>
      <c r="M1253" s="74" t="str">
        <f>IFERROR(__xludf.DUMMYFUNCTION("""COMPUTED_VALUE"""),"Sin Asignar")</f>
        <v>Sin Asignar</v>
      </c>
      <c r="N1253" s="87">
        <f>IFERROR(__xludf.DUMMYFUNCTION("""COMPUTED_VALUE"""),0.0)</f>
        <v>0</v>
      </c>
      <c r="O1253" s="74"/>
      <c r="P1253" s="74" t="str">
        <f>IFERROR(__xludf.DUMMYFUNCTION("""COMPUTED_VALUE"""),"borrar")</f>
        <v>borrar</v>
      </c>
      <c r="Q1253" s="74"/>
      <c r="R1253" s="74"/>
      <c r="S1253" s="87">
        <f>IFERROR(__xludf.DUMMYFUNCTION("""COMPUTED_VALUE"""),0.0)</f>
        <v>0</v>
      </c>
      <c r="T1253" s="87">
        <f>IFERROR(__xludf.DUMMYFUNCTION("""COMPUTED_VALUE"""),0.0)</f>
        <v>0</v>
      </c>
      <c r="U1253" s="87">
        <f>IFERROR(__xludf.DUMMYFUNCTION("""COMPUTED_VALUE"""),0.0)</f>
        <v>0</v>
      </c>
      <c r="V1253" s="87">
        <f>IFERROR(__xludf.DUMMYFUNCTION("""COMPUTED_VALUE"""),0.0)</f>
        <v>0</v>
      </c>
      <c r="W1253" s="87">
        <f>IFERROR(__xludf.DUMMYFUNCTION("""COMPUTED_VALUE"""),0.0)</f>
        <v>0</v>
      </c>
      <c r="X1253" s="88"/>
      <c r="Y1253" s="74"/>
      <c r="Z1253" s="74"/>
    </row>
    <row r="1254">
      <c r="B1254" s="74" t="str">
        <f>IFERROR(__xludf.DUMMYFUNCTION("""COMPUTED_VALUE"""),"2252")</f>
        <v>2252</v>
      </c>
      <c r="C1254" s="74"/>
      <c r="D1254" s="74"/>
      <c r="E1254" s="74"/>
      <c r="F1254" s="74" t="str">
        <f>IFERROR(__xludf.DUMMYFUNCTION("""COMPUTED_VALUE"""),"SELLO DE MOTOR 470 PARA BOMBA DE HORMIGON")</f>
        <v>SELLO DE MOTOR 470 PARA BOMBA DE HORMIGON</v>
      </c>
      <c r="G1254" s="74"/>
      <c r="H1254" s="74"/>
      <c r="I1254" s="74"/>
      <c r="J1254" s="74"/>
      <c r="K1254" s="74" t="str">
        <f>IFERROR(__xludf.DUMMYFUNCTION("""COMPUTED_VALUE"""),"Schwing")</f>
        <v>Schwing</v>
      </c>
      <c r="L1254" s="74"/>
      <c r="M1254" s="74" t="str">
        <f>IFERROR(__xludf.DUMMYFUNCTION("""COMPUTED_VALUE"""),"Sin Asignar")</f>
        <v>Sin Asignar</v>
      </c>
      <c r="N1254" s="87">
        <f>IFERROR(__xludf.DUMMYFUNCTION("""COMPUTED_VALUE"""),0.0)</f>
        <v>0</v>
      </c>
      <c r="O1254" s="74"/>
      <c r="P1254" s="74" t="str">
        <f>IFERROR(__xludf.DUMMYFUNCTION("""COMPUTED_VALUE"""),"borrar")</f>
        <v>borrar</v>
      </c>
      <c r="Q1254" s="74"/>
      <c r="R1254" s="74"/>
      <c r="S1254" s="87">
        <f>IFERROR(__xludf.DUMMYFUNCTION("""COMPUTED_VALUE"""),0.0)</f>
        <v>0</v>
      </c>
      <c r="T1254" s="87">
        <f>IFERROR(__xludf.DUMMYFUNCTION("""COMPUTED_VALUE"""),0.0)</f>
        <v>0</v>
      </c>
      <c r="U1254" s="87">
        <f>IFERROR(__xludf.DUMMYFUNCTION("""COMPUTED_VALUE"""),0.0)</f>
        <v>0</v>
      </c>
      <c r="V1254" s="87">
        <f>IFERROR(__xludf.DUMMYFUNCTION("""COMPUTED_VALUE"""),0.0)</f>
        <v>0</v>
      </c>
      <c r="W1254" s="87">
        <f>IFERROR(__xludf.DUMMYFUNCTION("""COMPUTED_VALUE"""),0.0)</f>
        <v>0</v>
      </c>
      <c r="X1254" s="88"/>
      <c r="Y1254" s="74"/>
      <c r="Z1254" s="74"/>
    </row>
    <row r="1255">
      <c r="B1255" s="74" t="str">
        <f>IFERROR(__xludf.DUMMYFUNCTION("""COMPUTED_VALUE"""),"2253")</f>
        <v>2253</v>
      </c>
      <c r="C1255" s="74" t="str">
        <f>IFERROR(__xludf.DUMMYFUNCTION("""COMPUTED_VALUE"""),"75045880351")</f>
        <v>75045880351</v>
      </c>
      <c r="D1255" s="74" t="str">
        <f>IFERROR(__xludf.DUMMYFUNCTION("""COMPUTED_VALUE"""),"\\MCA-S\mk\2_BM\0_BMat\08_PYM\Inventario\excel\Imagen de refacciones\Schwing\Sello para compuerta DN251")</f>
        <v>\\MCA-S\mk\2_BM\0_BMat\08_PYM\Inventario\excel\Imagen de refacciones\Schwing\Sello para compuerta DN251</v>
      </c>
      <c r="E1255" s="74" t="str">
        <f>IFERROR(__xludf.DUMMYFUNCTION("""COMPUTED_VALUE"""),"PUMP CLEANOUT SEAL DN250")</f>
        <v>PUMP CLEANOUT SEAL DN250</v>
      </c>
      <c r="F1255" s="74" t="str">
        <f>IFERROR(__xludf.DUMMYFUNCTION("""COMPUTED_VALUE"""),"SELLO PARA COMPUERTA DN250")</f>
        <v>SELLO PARA COMPUERTA DN250</v>
      </c>
      <c r="G1255" s="74"/>
      <c r="H1255" s="74" t="str">
        <f>IFERROR(__xludf.DUMMYFUNCTION("""COMPUTED_VALUE"""),"SELLO PARA COMPUERTA DN250 PARA BOMBA DE HORMIGON")</f>
        <v>SELLO PARA COMPUERTA DN250 PARA BOMBA DE HORMIGON</v>
      </c>
      <c r="I1255" s="74" t="str">
        <f>IFERROR(__xludf.DUMMYFUNCTION("""COMPUTED_VALUE"""),"10035783")</f>
        <v>10035783</v>
      </c>
      <c r="J1255" s="74"/>
      <c r="K1255" s="74" t="str">
        <f>IFERROR(__xludf.DUMMYFUNCTION("""COMPUTED_VALUE"""),"Schwing")</f>
        <v>Schwing</v>
      </c>
      <c r="L1255" s="74" t="str">
        <f>IFERROR(__xludf.DUMMYFUNCTION("""COMPUTED_VALUE"""),"TOLVA")</f>
        <v>TOLVA</v>
      </c>
      <c r="M1255" s="74" t="str">
        <f>IFERROR(__xludf.DUMMYFUNCTION("""COMPUTED_VALUE"""),"ACCESORIOS ")</f>
        <v>ACCESORIOS </v>
      </c>
      <c r="N1255" s="87">
        <f>IFERROR(__xludf.DUMMYFUNCTION("""COMPUTED_VALUE"""),2575.2)</f>
        <v>2575.2</v>
      </c>
      <c r="O1255" s="74">
        <f>IFERROR(__xludf.DUMMYFUNCTION("""COMPUTED_VALUE"""),6.0)</f>
        <v>6</v>
      </c>
      <c r="P1255" s="74" t="str">
        <f>IFERROR(__xludf.DUMMYFUNCTION("""COMPUTED_VALUE"""),"In stock")</f>
        <v>In stock</v>
      </c>
      <c r="Q1255" s="74"/>
      <c r="R1255" s="74"/>
      <c r="S1255" s="87">
        <f>IFERROR(__xludf.DUMMYFUNCTION("""COMPUTED_VALUE"""),22.0)</f>
        <v>22</v>
      </c>
      <c r="T1255" s="87">
        <f>IFERROR(__xludf.DUMMYFUNCTION("""COMPUTED_VALUE"""),145.0)</f>
        <v>145</v>
      </c>
      <c r="U1255" s="87">
        <f>IFERROR(__xludf.DUMMYFUNCTION("""COMPUTED_VALUE"""),139.2)</f>
        <v>139.2</v>
      </c>
      <c r="V1255" s="87">
        <f>IFERROR(__xludf.DUMMYFUNCTION("""COMPUTED_VALUE"""),26.95)</f>
        <v>26.95</v>
      </c>
      <c r="W1255" s="87">
        <f>IFERROR(__xludf.DUMMYFUNCTION("""COMPUTED_VALUE"""),505.3125)</f>
        <v>505.3125</v>
      </c>
      <c r="X1255" s="88">
        <f>IFERROR(__xludf.DUMMYFUNCTION("""COMPUTED_VALUE"""),6.327272727272727)</f>
        <v>6.327272727</v>
      </c>
      <c r="Y1255" s="74"/>
      <c r="Z1255" s="74"/>
    </row>
    <row r="1256">
      <c r="B1256" s="74" t="str">
        <f>IFERROR(__xludf.DUMMYFUNCTION("""COMPUTED_VALUE"""),"2254")</f>
        <v>2254</v>
      </c>
      <c r="C1256" s="74" t="str">
        <f>IFERROR(__xludf.DUMMYFUNCTION("""COMPUTED_VALUE"""),"75045880352")</f>
        <v>75045880352</v>
      </c>
      <c r="D1256" s="74" t="str">
        <f>IFERROR(__xludf.DUMMYFUNCTION("""COMPUTED_VALUE"""),"\\MCA-S\mk\2_BM\0_BMat\08_PYM\Inventario\excel\Imagen de refacciones\Schwing\set de sellos para cilindro de giro medida 80_100x8")</f>
        <v>\\MCA-S\mk\2_BM\0_BMat\08_PYM\Inventario\excel\Imagen de refacciones\Schwing\set de sellos para cilindro de giro medida 80_100x8</v>
      </c>
      <c r="E1256" s="74"/>
      <c r="F1256" s="74" t="str">
        <f>IFERROR(__xludf.DUMMYFUNCTION("""COMPUTED_VALUE"""),"set de sellos para cilindro de giro medida 80/100x8")</f>
        <v>set de sellos para cilindro de giro medida 80/100x8</v>
      </c>
      <c r="G1256" s="74"/>
      <c r="H1256" s="74"/>
      <c r="I1256" s="74" t="str">
        <f>IFERROR(__xludf.DUMMYFUNCTION("""COMPUTED_VALUE"""),"10011802")</f>
        <v>10011802</v>
      </c>
      <c r="J1256" s="74"/>
      <c r="K1256" s="74" t="str">
        <f>IFERROR(__xludf.DUMMYFUNCTION("""COMPUTED_VALUE"""),"Schwing")</f>
        <v>Schwing</v>
      </c>
      <c r="L1256" s="74"/>
      <c r="M1256" s="74" t="str">
        <f>IFERROR(__xludf.DUMMYFUNCTION("""COMPUTED_VALUE"""),"Sin Asignar")</f>
        <v>Sin Asignar</v>
      </c>
      <c r="N1256" s="87">
        <f>IFERROR(__xludf.DUMMYFUNCTION("""COMPUTED_VALUE"""),0.0)</f>
        <v>0</v>
      </c>
      <c r="O1256" s="74"/>
      <c r="P1256" s="74" t="str">
        <f>IFERROR(__xludf.DUMMYFUNCTION("""COMPUTED_VALUE"""),"borrar")</f>
        <v>borrar</v>
      </c>
      <c r="Q1256" s="74"/>
      <c r="R1256" s="74"/>
      <c r="S1256" s="87">
        <f>IFERROR(__xludf.DUMMYFUNCTION("""COMPUTED_VALUE"""),0.0)</f>
        <v>0</v>
      </c>
      <c r="T1256" s="87">
        <f>IFERROR(__xludf.DUMMYFUNCTION("""COMPUTED_VALUE"""),0.0)</f>
        <v>0</v>
      </c>
      <c r="U1256" s="87">
        <f>IFERROR(__xludf.DUMMYFUNCTION("""COMPUTED_VALUE"""),0.0)</f>
        <v>0</v>
      </c>
      <c r="V1256" s="87">
        <f>IFERROR(__xludf.DUMMYFUNCTION("""COMPUTED_VALUE"""),0.0)</f>
        <v>0</v>
      </c>
      <c r="W1256" s="87">
        <f>IFERROR(__xludf.DUMMYFUNCTION("""COMPUTED_VALUE"""),0.0)</f>
        <v>0</v>
      </c>
      <c r="X1256" s="88"/>
      <c r="Y1256" s="74"/>
      <c r="Z1256" s="74"/>
    </row>
    <row r="1257">
      <c r="B1257" s="74" t="str">
        <f>IFERROR(__xludf.DUMMYFUNCTION("""COMPUTED_VALUE"""),"2255")</f>
        <v>2255</v>
      </c>
      <c r="C1257" s="74"/>
      <c r="D1257" s="74" t="str">
        <f>IFERROR(__xludf.DUMMYFUNCTION("""COMPUTED_VALUE"""),"\\MCA-S\mk\2_BM\0_BMat\08_PYM\Inventario\excel\Imagen de refacciones\Schwing\Setting Disc _ Disco de Ajuste")</f>
        <v>\\MCA-S\mk\2_BM\0_BMat\08_PYM\Inventario\excel\Imagen de refacciones\Schwing\Setting Disc _ Disco de Ajuste</v>
      </c>
      <c r="E1257" s="74"/>
      <c r="F1257" s="74" t="str">
        <f>IFERROR(__xludf.DUMMYFUNCTION("""COMPUTED_VALUE"""),"Setting Disc / Disco de Ajuste")</f>
        <v>Setting Disc / Disco de Ajuste</v>
      </c>
      <c r="G1257" s="74"/>
      <c r="H1257" s="74"/>
      <c r="I1257" s="74" t="str">
        <f>IFERROR(__xludf.DUMMYFUNCTION("""COMPUTED_VALUE"""),"SOM30030")</f>
        <v>SOM30030</v>
      </c>
      <c r="J1257" s="74" t="str">
        <f>IFERROR(__xludf.DUMMYFUNCTION("""COMPUTED_VALUE"""),"10017396")</f>
        <v>10017396</v>
      </c>
      <c r="K1257" s="74" t="str">
        <f>IFERROR(__xludf.DUMMYFUNCTION("""COMPUTED_VALUE"""),"Schwing")</f>
        <v>Schwing</v>
      </c>
      <c r="L1257" s="74" t="str">
        <f>IFERROR(__xludf.DUMMYFUNCTION("""COMPUTED_VALUE"""),"Transmisión Mecánica")</f>
        <v>Transmisión Mecánica</v>
      </c>
      <c r="M1257" s="74" t="str">
        <f>IFERROR(__xludf.DUMMYFUNCTION("""COMPUTED_VALUE"""),"Sin Asignar")</f>
        <v>Sin Asignar</v>
      </c>
      <c r="N1257" s="87">
        <f>IFERROR(__xludf.DUMMYFUNCTION("""COMPUTED_VALUE"""),0.0)</f>
        <v>0</v>
      </c>
      <c r="O1257" s="74"/>
      <c r="P1257" s="74" t="str">
        <f>IFERROR(__xludf.DUMMYFUNCTION("""COMPUTED_VALUE"""),"No Available")</f>
        <v>No Available</v>
      </c>
      <c r="Q1257" s="74"/>
      <c r="R1257" s="74"/>
      <c r="S1257" s="87">
        <f>IFERROR(__xludf.DUMMYFUNCTION("""COMPUTED_VALUE"""),0.0)</f>
        <v>0</v>
      </c>
      <c r="T1257" s="87">
        <f>IFERROR(__xludf.DUMMYFUNCTION("""COMPUTED_VALUE"""),0.0)</f>
        <v>0</v>
      </c>
      <c r="U1257" s="87">
        <f>IFERROR(__xludf.DUMMYFUNCTION("""COMPUTED_VALUE"""),0.0)</f>
        <v>0</v>
      </c>
      <c r="V1257" s="87">
        <f>IFERROR(__xludf.DUMMYFUNCTION("""COMPUTED_VALUE"""),0.0)</f>
        <v>0</v>
      </c>
      <c r="W1257" s="87">
        <f>IFERROR(__xludf.DUMMYFUNCTION("""COMPUTED_VALUE"""),0.0)</f>
        <v>0</v>
      </c>
      <c r="X1257" s="88"/>
      <c r="Y1257" s="74"/>
      <c r="Z1257" s="74"/>
    </row>
    <row r="1258">
      <c r="B1258" s="74" t="str">
        <f>IFERROR(__xludf.DUMMYFUNCTION("""COMPUTED_VALUE"""),"2256")</f>
        <v>2256</v>
      </c>
      <c r="C1258" s="74"/>
      <c r="D1258" s="74" t="str">
        <f>IFERROR(__xludf.DUMMYFUNCTION("""COMPUTED_VALUE"""),"\\MCA-S\mk\2_BM\0_BMat\08_PYM\Inventario\excel\Imagen de refacciones\Schwing\Sheel 180_55_25 _ Lámina 180_55_25")</f>
        <v>\\MCA-S\mk\2_BM\0_BMat\08_PYM\Inventario\excel\Imagen de refacciones\Schwing\Sheel 180_55_25 _ Lámina 180_55_25</v>
      </c>
      <c r="E1258" s="74"/>
      <c r="F1258" s="74" t="str">
        <f>IFERROR(__xludf.DUMMYFUNCTION("""COMPUTED_VALUE"""),"Sheel 180/55/25 / Lámina 180/55/25")</f>
        <v>Sheel 180/55/25 / Lámina 180/55/25</v>
      </c>
      <c r="G1258" s="74"/>
      <c r="H1258" s="74"/>
      <c r="I1258" s="74" t="str">
        <f>IFERROR(__xludf.DUMMYFUNCTION("""COMPUTED_VALUE"""),"SOM30183")</f>
        <v>SOM30183</v>
      </c>
      <c r="J1258" s="74" t="str">
        <f>IFERROR(__xludf.DUMMYFUNCTION("""COMPUTED_VALUE"""),"10014011")</f>
        <v>10014011</v>
      </c>
      <c r="K1258" s="74" t="str">
        <f>IFERROR(__xludf.DUMMYFUNCTION("""COMPUTED_VALUE"""),"Schwing")</f>
        <v>Schwing</v>
      </c>
      <c r="L1258" s="74" t="str">
        <f>IFERROR(__xludf.DUMMYFUNCTION("""COMPUTED_VALUE"""),"Sistema de Bombeo de Concreto")</f>
        <v>Sistema de Bombeo de Concreto</v>
      </c>
      <c r="M1258" s="74" t="str">
        <f>IFERROR(__xludf.DUMMYFUNCTION("""COMPUTED_VALUE"""),"Sin Asignar")</f>
        <v>Sin Asignar</v>
      </c>
      <c r="N1258" s="87">
        <f>IFERROR(__xludf.DUMMYFUNCTION("""COMPUTED_VALUE"""),0.0)</f>
        <v>0</v>
      </c>
      <c r="O1258" s="74"/>
      <c r="P1258" s="74" t="str">
        <f>IFERROR(__xludf.DUMMYFUNCTION("""COMPUTED_VALUE"""),"borrar")</f>
        <v>borrar</v>
      </c>
      <c r="Q1258" s="74"/>
      <c r="R1258" s="74"/>
      <c r="S1258" s="87">
        <f>IFERROR(__xludf.DUMMYFUNCTION("""COMPUTED_VALUE"""),0.0)</f>
        <v>0</v>
      </c>
      <c r="T1258" s="87">
        <f>IFERROR(__xludf.DUMMYFUNCTION("""COMPUTED_VALUE"""),0.0)</f>
        <v>0</v>
      </c>
      <c r="U1258" s="87">
        <f>IFERROR(__xludf.DUMMYFUNCTION("""COMPUTED_VALUE"""),0.0)</f>
        <v>0</v>
      </c>
      <c r="V1258" s="87">
        <f>IFERROR(__xludf.DUMMYFUNCTION("""COMPUTED_VALUE"""),0.0)</f>
        <v>0</v>
      </c>
      <c r="W1258" s="87">
        <f>IFERROR(__xludf.DUMMYFUNCTION("""COMPUTED_VALUE"""),0.0)</f>
        <v>0</v>
      </c>
      <c r="X1258" s="88"/>
      <c r="Y1258" s="74"/>
      <c r="Z1258" s="74"/>
    </row>
    <row r="1259">
      <c r="B1259" s="74" t="str">
        <f>IFERROR(__xludf.DUMMYFUNCTION("""COMPUTED_VALUE"""),"2257")</f>
        <v>2257</v>
      </c>
      <c r="C1259" s="74"/>
      <c r="D1259" s="74" t="str">
        <f>IFERROR(__xludf.DUMMYFUNCTION("""COMPUTED_VALUE"""),"\\MCA-S\mk\2_BM\0_BMat\08_PYM\Inventario\excel\Imagen de refacciones\Schwing\Sheel DN 210 _ Lámina DN 210")</f>
        <v>\\MCA-S\mk\2_BM\0_BMat\08_PYM\Inventario\excel\Imagen de refacciones\Schwing\Sheel DN 210 _ Lámina DN 210</v>
      </c>
      <c r="E1259" s="74"/>
      <c r="F1259" s="74" t="str">
        <f>IFERROR(__xludf.DUMMYFUNCTION("""COMPUTED_VALUE"""),"Sheel DN 210 / Lámina DN 210")</f>
        <v>Sheel DN 210 / Lámina DN 210</v>
      </c>
      <c r="G1259" s="74"/>
      <c r="H1259" s="74"/>
      <c r="I1259" s="74" t="str">
        <f>IFERROR(__xludf.DUMMYFUNCTION("""COMPUTED_VALUE"""),"SOM30184")</f>
        <v>SOM30184</v>
      </c>
      <c r="J1259" s="74" t="str">
        <f>IFERROR(__xludf.DUMMYFUNCTION("""COMPUTED_VALUE"""),"10014012")</f>
        <v>10014012</v>
      </c>
      <c r="K1259" s="74" t="str">
        <f>IFERROR(__xludf.DUMMYFUNCTION("""COMPUTED_VALUE"""),"Schwing")</f>
        <v>Schwing</v>
      </c>
      <c r="L1259" s="74" t="str">
        <f>IFERROR(__xludf.DUMMYFUNCTION("""COMPUTED_VALUE"""),"Sistema de Bombeo de Concreto")</f>
        <v>Sistema de Bombeo de Concreto</v>
      </c>
      <c r="M1259" s="74" t="str">
        <f>IFERROR(__xludf.DUMMYFUNCTION("""COMPUTED_VALUE"""),"Sin Asignar")</f>
        <v>Sin Asignar</v>
      </c>
      <c r="N1259" s="87">
        <f>IFERROR(__xludf.DUMMYFUNCTION("""COMPUTED_VALUE"""),0.0)</f>
        <v>0</v>
      </c>
      <c r="O1259" s="74"/>
      <c r="P1259" s="74" t="str">
        <f>IFERROR(__xludf.DUMMYFUNCTION("""COMPUTED_VALUE"""),"To Re-purchase")</f>
        <v>To Re-purchase</v>
      </c>
      <c r="Q1259" s="74"/>
      <c r="R1259" s="74"/>
      <c r="S1259" s="87">
        <f>IFERROR(__xludf.DUMMYFUNCTION("""COMPUTED_VALUE"""),0.0)</f>
        <v>0</v>
      </c>
      <c r="T1259" s="87">
        <f>IFERROR(__xludf.DUMMYFUNCTION("""COMPUTED_VALUE"""),0.0)</f>
        <v>0</v>
      </c>
      <c r="U1259" s="87">
        <f>IFERROR(__xludf.DUMMYFUNCTION("""COMPUTED_VALUE"""),0.0)</f>
        <v>0</v>
      </c>
      <c r="V1259" s="87">
        <f>IFERROR(__xludf.DUMMYFUNCTION("""COMPUTED_VALUE"""),0.0)</f>
        <v>0</v>
      </c>
      <c r="W1259" s="87">
        <f>IFERROR(__xludf.DUMMYFUNCTION("""COMPUTED_VALUE"""),0.0)</f>
        <v>0</v>
      </c>
      <c r="X1259" s="88"/>
      <c r="Y1259" s="74"/>
      <c r="Z1259" s="74"/>
    </row>
    <row r="1260">
      <c r="B1260" s="74" t="str">
        <f>IFERROR(__xludf.DUMMYFUNCTION("""COMPUTED_VALUE"""),"2258")</f>
        <v>2258</v>
      </c>
      <c r="C1260" s="74"/>
      <c r="D1260" s="74" t="str">
        <f>IFERROR(__xludf.DUMMYFUNCTION("""COMPUTED_VALUE"""),"\\MCA-S\mk\2_BM\0_BMat\08_PYM\Inventario\excel\Imagen de refacciones\Schwing\Slewing Cylinder _ Cilindro de Giro")</f>
        <v>\\MCA-S\mk\2_BM\0_BMat\08_PYM\Inventario\excel\Imagen de refacciones\Schwing\Slewing Cylinder _ Cilindro de Giro</v>
      </c>
      <c r="E1260" s="74"/>
      <c r="F1260" s="74" t="str">
        <f>IFERROR(__xludf.DUMMYFUNCTION("""COMPUTED_VALUE"""),"Slewing Cylinder / Cilindro de Giro")</f>
        <v>Slewing Cylinder / Cilindro de Giro</v>
      </c>
      <c r="G1260" s="74"/>
      <c r="H1260" s="74"/>
      <c r="I1260" s="74" t="str">
        <f>IFERROR(__xludf.DUMMYFUNCTION("""COMPUTED_VALUE"""),"SOM30060")</f>
        <v>SOM30060</v>
      </c>
      <c r="J1260" s="74" t="str">
        <f>IFERROR(__xludf.DUMMYFUNCTION("""COMPUTED_VALUE"""),"10094569")</f>
        <v>10094569</v>
      </c>
      <c r="K1260" s="74" t="str">
        <f>IFERROR(__xludf.DUMMYFUNCTION("""COMPUTED_VALUE"""),"Schwing")</f>
        <v>Schwing</v>
      </c>
      <c r="L1260" s="74" t="str">
        <f>IFERROR(__xludf.DUMMYFUNCTION("""COMPUTED_VALUE"""),"Transmisión Mecánica")</f>
        <v>Transmisión Mecánica</v>
      </c>
      <c r="M1260" s="74" t="str">
        <f>IFERROR(__xludf.DUMMYFUNCTION("""COMPUTED_VALUE"""),"Sin Asignar")</f>
        <v>Sin Asignar</v>
      </c>
      <c r="N1260" s="87">
        <f>IFERROR(__xludf.DUMMYFUNCTION("""COMPUTED_VALUE"""),0.0)</f>
        <v>0</v>
      </c>
      <c r="O1260" s="74"/>
      <c r="P1260" s="74" t="str">
        <f>IFERROR(__xludf.DUMMYFUNCTION("""COMPUTED_VALUE"""),"To Re-purchase")</f>
        <v>To Re-purchase</v>
      </c>
      <c r="Q1260" s="74"/>
      <c r="R1260" s="74"/>
      <c r="S1260" s="87">
        <f>IFERROR(__xludf.DUMMYFUNCTION("""COMPUTED_VALUE"""),0.0)</f>
        <v>0</v>
      </c>
      <c r="T1260" s="87">
        <f>IFERROR(__xludf.DUMMYFUNCTION("""COMPUTED_VALUE"""),0.0)</f>
        <v>0</v>
      </c>
      <c r="U1260" s="87">
        <f>IFERROR(__xludf.DUMMYFUNCTION("""COMPUTED_VALUE"""),0.0)</f>
        <v>0</v>
      </c>
      <c r="V1260" s="87">
        <f>IFERROR(__xludf.DUMMYFUNCTION("""COMPUTED_VALUE"""),0.0)</f>
        <v>0</v>
      </c>
      <c r="W1260" s="87">
        <f>IFERROR(__xludf.DUMMYFUNCTION("""COMPUTED_VALUE"""),0.0)</f>
        <v>0</v>
      </c>
      <c r="X1260" s="88"/>
      <c r="Y1260" s="74"/>
      <c r="Z1260" s="74"/>
    </row>
    <row r="1261">
      <c r="B1261" s="74" t="str">
        <f>IFERROR(__xludf.DUMMYFUNCTION("""COMPUTED_VALUE"""),"2259")</f>
        <v>2259</v>
      </c>
      <c r="C1261" s="74"/>
      <c r="D1261" s="74" t="str">
        <f>IFERROR(__xludf.DUMMYFUNCTION("""COMPUTED_VALUE"""),"\\MCA-S\mk\2_BM\0_BMat\08_PYM\Inventario\excel\Imagen de refacciones\Schwing\Slewing Cylinder _ Cilindro de Giro (1)")</f>
        <v>\\MCA-S\mk\2_BM\0_BMat\08_PYM\Inventario\excel\Imagen de refacciones\Schwing\Slewing Cylinder _ Cilindro de Giro (1)</v>
      </c>
      <c r="E1261" s="74"/>
      <c r="F1261" s="74" t="str">
        <f>IFERROR(__xludf.DUMMYFUNCTION("""COMPUTED_VALUE"""),"Slewing Cylinder / Cilindro de Giro")</f>
        <v>Slewing Cylinder / Cilindro de Giro</v>
      </c>
      <c r="G1261" s="74"/>
      <c r="H1261" s="74"/>
      <c r="I1261" s="74" t="str">
        <f>IFERROR(__xludf.DUMMYFUNCTION("""COMPUTED_VALUE"""),"SOM30061")</f>
        <v>SOM30061</v>
      </c>
      <c r="J1261" s="74" t="str">
        <f>IFERROR(__xludf.DUMMYFUNCTION("""COMPUTED_VALUE"""),"10017550")</f>
        <v>10017550</v>
      </c>
      <c r="K1261" s="74" t="str">
        <f>IFERROR(__xludf.DUMMYFUNCTION("""COMPUTED_VALUE"""),"Schwing")</f>
        <v>Schwing</v>
      </c>
      <c r="L1261" s="74" t="str">
        <f>IFERROR(__xludf.DUMMYFUNCTION("""COMPUTED_VALUE"""),"Transmisión Mecánica")</f>
        <v>Transmisión Mecánica</v>
      </c>
      <c r="M1261" s="74" t="str">
        <f>IFERROR(__xludf.DUMMYFUNCTION("""COMPUTED_VALUE"""),"Sin Asignar")</f>
        <v>Sin Asignar</v>
      </c>
      <c r="N1261" s="87">
        <f>IFERROR(__xludf.DUMMYFUNCTION("""COMPUTED_VALUE"""),0.0)</f>
        <v>0</v>
      </c>
      <c r="O1261" s="74"/>
      <c r="P1261" s="74" t="str">
        <f>IFERROR(__xludf.DUMMYFUNCTION("""COMPUTED_VALUE"""),"No Available")</f>
        <v>No Available</v>
      </c>
      <c r="Q1261" s="74"/>
      <c r="R1261" s="74"/>
      <c r="S1261" s="87">
        <f>IFERROR(__xludf.DUMMYFUNCTION("""COMPUTED_VALUE"""),0.0)</f>
        <v>0</v>
      </c>
      <c r="T1261" s="87">
        <f>IFERROR(__xludf.DUMMYFUNCTION("""COMPUTED_VALUE"""),0.0)</f>
        <v>0</v>
      </c>
      <c r="U1261" s="87">
        <f>IFERROR(__xludf.DUMMYFUNCTION("""COMPUTED_VALUE"""),0.0)</f>
        <v>0</v>
      </c>
      <c r="V1261" s="87">
        <f>IFERROR(__xludf.DUMMYFUNCTION("""COMPUTED_VALUE"""),0.0)</f>
        <v>0</v>
      </c>
      <c r="W1261" s="87">
        <f>IFERROR(__xludf.DUMMYFUNCTION("""COMPUTED_VALUE"""),0.0)</f>
        <v>0</v>
      </c>
      <c r="X1261" s="88"/>
      <c r="Y1261" s="74"/>
      <c r="Z1261" s="74"/>
    </row>
    <row r="1262">
      <c r="B1262" s="74" t="str">
        <f>IFERROR(__xludf.DUMMYFUNCTION("""COMPUTED_VALUE"""),"2260")</f>
        <v>2260</v>
      </c>
      <c r="C1262" s="74"/>
      <c r="D1262" s="74" t="str">
        <f>IFERROR(__xludf.DUMMYFUNCTION("""COMPUTED_VALUE"""),"\\MCA-S\mk\2_BM\0_BMat\08_PYM\Inventario\excel\Imagen de refacciones\Schwing\Slewing Lever DN 210_180 _ Palanca de Giro DN 210_180")</f>
        <v>\\MCA-S\mk\2_BM\0_BMat\08_PYM\Inventario\excel\Imagen de refacciones\Schwing\Slewing Lever DN 210_180 _ Palanca de Giro DN 210_180</v>
      </c>
      <c r="E1262" s="74"/>
      <c r="F1262" s="74" t="str">
        <f>IFERROR(__xludf.DUMMYFUNCTION("""COMPUTED_VALUE"""),"Slewing Lever DN 210/180 / Palanca de Giro DN 210/180")</f>
        <v>Slewing Lever DN 210/180 / Palanca de Giro DN 210/180</v>
      </c>
      <c r="G1262" s="74"/>
      <c r="H1262" s="74"/>
      <c r="I1262" s="74" t="str">
        <f>IFERROR(__xludf.DUMMYFUNCTION("""COMPUTED_VALUE"""),"SOM30046")</f>
        <v>SOM30046</v>
      </c>
      <c r="J1262" s="74" t="str">
        <f>IFERROR(__xludf.DUMMYFUNCTION("""COMPUTED_VALUE"""),"10018071")</f>
        <v>10018071</v>
      </c>
      <c r="K1262" s="74" t="str">
        <f>IFERROR(__xludf.DUMMYFUNCTION("""COMPUTED_VALUE"""),"Schwing")</f>
        <v>Schwing</v>
      </c>
      <c r="L1262" s="74" t="str">
        <f>IFERROR(__xludf.DUMMYFUNCTION("""COMPUTED_VALUE"""),"Transmisión Mecánica")</f>
        <v>Transmisión Mecánica</v>
      </c>
      <c r="M1262" s="74" t="str">
        <f>IFERROR(__xludf.DUMMYFUNCTION("""COMPUTED_VALUE"""),"Sin Asignar")</f>
        <v>Sin Asignar</v>
      </c>
      <c r="N1262" s="87">
        <f>IFERROR(__xludf.DUMMYFUNCTION("""COMPUTED_VALUE"""),0.0)</f>
        <v>0</v>
      </c>
      <c r="O1262" s="74"/>
      <c r="P1262" s="74" t="str">
        <f>IFERROR(__xludf.DUMMYFUNCTION("""COMPUTED_VALUE"""),"No Available")</f>
        <v>No Available</v>
      </c>
      <c r="Q1262" s="74"/>
      <c r="R1262" s="74"/>
      <c r="S1262" s="87">
        <f>IFERROR(__xludf.DUMMYFUNCTION("""COMPUTED_VALUE"""),0.0)</f>
        <v>0</v>
      </c>
      <c r="T1262" s="87">
        <f>IFERROR(__xludf.DUMMYFUNCTION("""COMPUTED_VALUE"""),0.0)</f>
        <v>0</v>
      </c>
      <c r="U1262" s="87">
        <f>IFERROR(__xludf.DUMMYFUNCTION("""COMPUTED_VALUE"""),0.0)</f>
        <v>0</v>
      </c>
      <c r="V1262" s="87">
        <f>IFERROR(__xludf.DUMMYFUNCTION("""COMPUTED_VALUE"""),0.0)</f>
        <v>0</v>
      </c>
      <c r="W1262" s="87">
        <f>IFERROR(__xludf.DUMMYFUNCTION("""COMPUTED_VALUE"""),0.0)</f>
        <v>0</v>
      </c>
      <c r="X1262" s="88"/>
      <c r="Y1262" s="74"/>
      <c r="Z1262" s="74"/>
    </row>
    <row r="1263">
      <c r="B1263" s="74" t="str">
        <f>IFERROR(__xludf.DUMMYFUNCTION("""COMPUTED_VALUE"""),"2261")</f>
        <v>2261</v>
      </c>
      <c r="C1263" s="74"/>
      <c r="D1263" s="74" t="str">
        <f>IFERROR(__xludf.DUMMYFUNCTION("""COMPUTED_VALUE"""),"\\MCA-S\mk\2_BM\0_BMat\08_PYM\Inventario\excel\Imagen de refacciones\Schwing\Slewing Pivot _ Pivote de Giro")</f>
        <v>\\MCA-S\mk\2_BM\0_BMat\08_PYM\Inventario\excel\Imagen de refacciones\Schwing\Slewing Pivot _ Pivote de Giro</v>
      </c>
      <c r="E1263" s="74"/>
      <c r="F1263" s="74" t="str">
        <f>IFERROR(__xludf.DUMMYFUNCTION("""COMPUTED_VALUE"""),"Slewing Pivot / Pivote de Giro")</f>
        <v>Slewing Pivot / Pivote de Giro</v>
      </c>
      <c r="G1263" s="74"/>
      <c r="H1263" s="74"/>
      <c r="I1263" s="74" t="str">
        <f>IFERROR(__xludf.DUMMYFUNCTION("""COMPUTED_VALUE"""),"SOM30063")</f>
        <v>SOM30063</v>
      </c>
      <c r="J1263" s="74" t="str">
        <f>IFERROR(__xludf.DUMMYFUNCTION("""COMPUTED_VALUE"""),"10118218")</f>
        <v>10118218</v>
      </c>
      <c r="K1263" s="74" t="str">
        <f>IFERROR(__xludf.DUMMYFUNCTION("""COMPUTED_VALUE"""),"Schwing")</f>
        <v>Schwing</v>
      </c>
      <c r="L1263" s="74" t="str">
        <f>IFERROR(__xludf.DUMMYFUNCTION("""COMPUTED_VALUE"""),"Transmisión Mecánica")</f>
        <v>Transmisión Mecánica</v>
      </c>
      <c r="M1263" s="74" t="str">
        <f>IFERROR(__xludf.DUMMYFUNCTION("""COMPUTED_VALUE"""),"Sin Asignar")</f>
        <v>Sin Asignar</v>
      </c>
      <c r="N1263" s="87">
        <f>IFERROR(__xludf.DUMMYFUNCTION("""COMPUTED_VALUE"""),0.0)</f>
        <v>0</v>
      </c>
      <c r="O1263" s="74"/>
      <c r="P1263" s="74" t="str">
        <f>IFERROR(__xludf.DUMMYFUNCTION("""COMPUTED_VALUE"""),"borrar")</f>
        <v>borrar</v>
      </c>
      <c r="Q1263" s="74"/>
      <c r="R1263" s="74"/>
      <c r="S1263" s="87">
        <f>IFERROR(__xludf.DUMMYFUNCTION("""COMPUTED_VALUE"""),0.0)</f>
        <v>0</v>
      </c>
      <c r="T1263" s="87">
        <f>IFERROR(__xludf.DUMMYFUNCTION("""COMPUTED_VALUE"""),0.0)</f>
        <v>0</v>
      </c>
      <c r="U1263" s="87">
        <f>IFERROR(__xludf.DUMMYFUNCTION("""COMPUTED_VALUE"""),0.0)</f>
        <v>0</v>
      </c>
      <c r="V1263" s="87">
        <f>IFERROR(__xludf.DUMMYFUNCTION("""COMPUTED_VALUE"""),0.0)</f>
        <v>0</v>
      </c>
      <c r="W1263" s="87">
        <f>IFERROR(__xludf.DUMMYFUNCTION("""COMPUTED_VALUE"""),0.0)</f>
        <v>0</v>
      </c>
      <c r="X1263" s="88"/>
      <c r="Y1263" s="74"/>
      <c r="Z1263" s="74"/>
    </row>
    <row r="1264">
      <c r="B1264" s="74" t="str">
        <f>IFERROR(__xludf.DUMMYFUNCTION("""COMPUTED_VALUE"""),"2262")</f>
        <v>2262</v>
      </c>
      <c r="C1264" s="74"/>
      <c r="D1264" s="74" t="str">
        <f>IFERROR(__xludf.DUMMYFUNCTION("""COMPUTED_VALUE"""),"\\MCA-S\mk\2_BM\0_BMat\08_PYM\Inventario\excel\Imagen de refacciones\Schwing\Slewing Pivot _ Pivote de Giro (1)")</f>
        <v>\\MCA-S\mk\2_BM\0_BMat\08_PYM\Inventario\excel\Imagen de refacciones\Schwing\Slewing Pivot _ Pivote de Giro (1)</v>
      </c>
      <c r="E1264" s="74"/>
      <c r="F1264" s="74" t="str">
        <f>IFERROR(__xludf.DUMMYFUNCTION("""COMPUTED_VALUE"""),"Slewing Pivot / Pivote de Giro")</f>
        <v>Slewing Pivot / Pivote de Giro</v>
      </c>
      <c r="G1264" s="74"/>
      <c r="H1264" s="74"/>
      <c r="I1264" s="74" t="str">
        <f>IFERROR(__xludf.DUMMYFUNCTION("""COMPUTED_VALUE"""),"SOM30064")</f>
        <v>SOM30064</v>
      </c>
      <c r="J1264" s="74" t="str">
        <f>IFERROR(__xludf.DUMMYFUNCTION("""COMPUTED_VALUE"""),"10017552")</f>
        <v>10017552</v>
      </c>
      <c r="K1264" s="74" t="str">
        <f>IFERROR(__xludf.DUMMYFUNCTION("""COMPUTED_VALUE"""),"Schwing")</f>
        <v>Schwing</v>
      </c>
      <c r="L1264" s="74" t="str">
        <f>IFERROR(__xludf.DUMMYFUNCTION("""COMPUTED_VALUE"""),"Transmisión Mecánica")</f>
        <v>Transmisión Mecánica</v>
      </c>
      <c r="M1264" s="74" t="str">
        <f>IFERROR(__xludf.DUMMYFUNCTION("""COMPUTED_VALUE"""),"Sin Asignar")</f>
        <v>Sin Asignar</v>
      </c>
      <c r="N1264" s="87">
        <f>IFERROR(__xludf.DUMMYFUNCTION("""COMPUTED_VALUE"""),0.0)</f>
        <v>0</v>
      </c>
      <c r="O1264" s="74"/>
      <c r="P1264" s="74" t="str">
        <f>IFERROR(__xludf.DUMMYFUNCTION("""COMPUTED_VALUE"""),"No Available")</f>
        <v>No Available</v>
      </c>
      <c r="Q1264" s="74"/>
      <c r="R1264" s="74"/>
      <c r="S1264" s="87">
        <f>IFERROR(__xludf.DUMMYFUNCTION("""COMPUTED_VALUE"""),0.0)</f>
        <v>0</v>
      </c>
      <c r="T1264" s="87">
        <f>IFERROR(__xludf.DUMMYFUNCTION("""COMPUTED_VALUE"""),0.0)</f>
        <v>0</v>
      </c>
      <c r="U1264" s="87">
        <f>IFERROR(__xludf.DUMMYFUNCTION("""COMPUTED_VALUE"""),0.0)</f>
        <v>0</v>
      </c>
      <c r="V1264" s="87">
        <f>IFERROR(__xludf.DUMMYFUNCTION("""COMPUTED_VALUE"""),0.0)</f>
        <v>0</v>
      </c>
      <c r="W1264" s="87">
        <f>IFERROR(__xludf.DUMMYFUNCTION("""COMPUTED_VALUE"""),0.0)</f>
        <v>0</v>
      </c>
      <c r="X1264" s="88"/>
      <c r="Y1264" s="74"/>
      <c r="Z1264" s="74"/>
    </row>
    <row r="1265">
      <c r="B1265" s="74" t="str">
        <f>IFERROR(__xludf.DUMMYFUNCTION("""COMPUTED_VALUE"""),"2263")</f>
        <v>2263</v>
      </c>
      <c r="C1265" s="74"/>
      <c r="D1265" s="74" t="str">
        <f>IFERROR(__xludf.DUMMYFUNCTION("""COMPUTED_VALUE"""),"\\MCA-S\mk\2_BM\0_BMat\08_PYM\Inventario\excel\Imagen de refacciones\Schwing\Slewing Shaft _ Eje de Giro")</f>
        <v>\\MCA-S\mk\2_BM\0_BMat\08_PYM\Inventario\excel\Imagen de refacciones\Schwing\Slewing Shaft _ Eje de Giro</v>
      </c>
      <c r="E1265" s="74"/>
      <c r="F1265" s="74" t="str">
        <f>IFERROR(__xludf.DUMMYFUNCTION("""COMPUTED_VALUE"""),"Slewing Shaft / Eje de Giro")</f>
        <v>Slewing Shaft / Eje de Giro</v>
      </c>
      <c r="G1265" s="74"/>
      <c r="H1265" s="74"/>
      <c r="I1265" s="74" t="str">
        <f>IFERROR(__xludf.DUMMYFUNCTION("""COMPUTED_VALUE"""),"SOM30038")</f>
        <v>SOM30038</v>
      </c>
      <c r="J1265" s="74" t="str">
        <f>IFERROR(__xludf.DUMMYFUNCTION("""COMPUTED_VALUE"""),"10180090")</f>
        <v>10180090</v>
      </c>
      <c r="K1265" s="74" t="str">
        <f>IFERROR(__xludf.DUMMYFUNCTION("""COMPUTED_VALUE"""),"Schwing")</f>
        <v>Schwing</v>
      </c>
      <c r="L1265" s="74" t="str">
        <f>IFERROR(__xludf.DUMMYFUNCTION("""COMPUTED_VALUE"""),"Transmisión Mecánica")</f>
        <v>Transmisión Mecánica</v>
      </c>
      <c r="M1265" s="74" t="str">
        <f>IFERROR(__xludf.DUMMYFUNCTION("""COMPUTED_VALUE"""),"Sin Asignar")</f>
        <v>Sin Asignar</v>
      </c>
      <c r="N1265" s="87">
        <f>IFERROR(__xludf.DUMMYFUNCTION("""COMPUTED_VALUE"""),0.0)</f>
        <v>0</v>
      </c>
      <c r="O1265" s="74"/>
      <c r="P1265" s="74" t="str">
        <f>IFERROR(__xludf.DUMMYFUNCTION("""COMPUTED_VALUE"""),"No Available")</f>
        <v>No Available</v>
      </c>
      <c r="Q1265" s="74"/>
      <c r="R1265" s="74"/>
      <c r="S1265" s="87">
        <f>IFERROR(__xludf.DUMMYFUNCTION("""COMPUTED_VALUE"""),0.0)</f>
        <v>0</v>
      </c>
      <c r="T1265" s="87">
        <f>IFERROR(__xludf.DUMMYFUNCTION("""COMPUTED_VALUE"""),0.0)</f>
        <v>0</v>
      </c>
      <c r="U1265" s="87">
        <f>IFERROR(__xludf.DUMMYFUNCTION("""COMPUTED_VALUE"""),0.0)</f>
        <v>0</v>
      </c>
      <c r="V1265" s="87">
        <f>IFERROR(__xludf.DUMMYFUNCTION("""COMPUTED_VALUE"""),0.0)</f>
        <v>0</v>
      </c>
      <c r="W1265" s="87">
        <f>IFERROR(__xludf.DUMMYFUNCTION("""COMPUTED_VALUE"""),0.0)</f>
        <v>0</v>
      </c>
      <c r="X1265" s="88"/>
      <c r="Y1265" s="74"/>
      <c r="Z1265" s="74"/>
    </row>
    <row r="1266">
      <c r="B1266" s="74" t="str">
        <f>IFERROR(__xludf.DUMMYFUNCTION("""COMPUTED_VALUE"""),"2264")</f>
        <v>2264</v>
      </c>
      <c r="C1266" s="74"/>
      <c r="D1266" s="74" t="str">
        <f>IFERROR(__xludf.DUMMYFUNCTION("""COMPUTED_VALUE"""),"\\MCA-S\mk\2_BM\0_BMat\08_PYM\Inventario\excel\Imagen de refacciones\Schwing\Slewing Shaft _ Eje de Giro (1)")</f>
        <v>\\MCA-S\mk\2_BM\0_BMat\08_PYM\Inventario\excel\Imagen de refacciones\Schwing\Slewing Shaft _ Eje de Giro (1)</v>
      </c>
      <c r="E1266" s="74"/>
      <c r="F1266" s="74" t="str">
        <f>IFERROR(__xludf.DUMMYFUNCTION("""COMPUTED_VALUE"""),"Slewing Shaft / Eje de Giro")</f>
        <v>Slewing Shaft / Eje de Giro</v>
      </c>
      <c r="G1266" s="74"/>
      <c r="H1266" s="74"/>
      <c r="I1266" s="74" t="str">
        <f>IFERROR(__xludf.DUMMYFUNCTION("""COMPUTED_VALUE"""),"SOM30039")</f>
        <v>SOM30039</v>
      </c>
      <c r="J1266" s="74" t="str">
        <f>IFERROR(__xludf.DUMMYFUNCTION("""COMPUTED_VALUE"""),"10064073")</f>
        <v>10064073</v>
      </c>
      <c r="K1266" s="74" t="str">
        <f>IFERROR(__xludf.DUMMYFUNCTION("""COMPUTED_VALUE"""),"Schwing")</f>
        <v>Schwing</v>
      </c>
      <c r="L1266" s="74" t="str">
        <f>IFERROR(__xludf.DUMMYFUNCTION("""COMPUTED_VALUE"""),"Transmisión Mecánica")</f>
        <v>Transmisión Mecánica</v>
      </c>
      <c r="M1266" s="74" t="str">
        <f>IFERROR(__xludf.DUMMYFUNCTION("""COMPUTED_VALUE"""),"Sin Asignar")</f>
        <v>Sin Asignar</v>
      </c>
      <c r="N1266" s="87">
        <f>IFERROR(__xludf.DUMMYFUNCTION("""COMPUTED_VALUE"""),0.0)</f>
        <v>0</v>
      </c>
      <c r="O1266" s="74"/>
      <c r="P1266" s="74" t="str">
        <f>IFERROR(__xludf.DUMMYFUNCTION("""COMPUTED_VALUE"""),"borrar")</f>
        <v>borrar</v>
      </c>
      <c r="Q1266" s="74"/>
      <c r="R1266" s="74"/>
      <c r="S1266" s="87">
        <f>IFERROR(__xludf.DUMMYFUNCTION("""COMPUTED_VALUE"""),0.0)</f>
        <v>0</v>
      </c>
      <c r="T1266" s="87">
        <f>IFERROR(__xludf.DUMMYFUNCTION("""COMPUTED_VALUE"""),0.0)</f>
        <v>0</v>
      </c>
      <c r="U1266" s="87">
        <f>IFERROR(__xludf.DUMMYFUNCTION("""COMPUTED_VALUE"""),0.0)</f>
        <v>0</v>
      </c>
      <c r="V1266" s="87">
        <f>IFERROR(__xludf.DUMMYFUNCTION("""COMPUTED_VALUE"""),0.0)</f>
        <v>0</v>
      </c>
      <c r="W1266" s="87">
        <f>IFERROR(__xludf.DUMMYFUNCTION("""COMPUTED_VALUE"""),0.0)</f>
        <v>0</v>
      </c>
      <c r="X1266" s="88"/>
      <c r="Y1266" s="74"/>
      <c r="Z1266" s="74"/>
    </row>
    <row r="1267">
      <c r="B1267" s="74" t="str">
        <f>IFERROR(__xludf.DUMMYFUNCTION("""COMPUTED_VALUE"""),"2265")</f>
        <v>2265</v>
      </c>
      <c r="C1267" s="74" t="str">
        <f>IFERROR(__xludf.DUMMYFUNCTION("""COMPUTED_VALUE"""),"75045880353")</f>
        <v>75045880353</v>
      </c>
      <c r="D1267" s="74" t="str">
        <f>IFERROR(__xludf.DUMMYFUNCTION("""COMPUTED_VALUE"""),"\\MCA-S\mk\2_BM\0_BMat\08_PYM\Inventario\excel\Imagen de refacciones\Schwing\Soporte p_parrilla del agitador")</f>
        <v>\\MCA-S\mk\2_BM\0_BMat\08_PYM\Inventario\excel\Imagen de refacciones\Schwing\Soporte p_parrilla del agitador</v>
      </c>
      <c r="E1267" s="74"/>
      <c r="F1267" s="74" t="str">
        <f>IFERROR(__xludf.DUMMYFUNCTION("""COMPUTED_VALUE"""),"Soporte p/parrilla del agitador")</f>
        <v>Soporte p/parrilla del agitador</v>
      </c>
      <c r="G1267" s="74"/>
      <c r="H1267" s="74"/>
      <c r="I1267" s="74" t="str">
        <f>IFERROR(__xludf.DUMMYFUNCTION("""COMPUTED_VALUE"""),"10007599")</f>
        <v>10007599</v>
      </c>
      <c r="J1267" s="74"/>
      <c r="K1267" s="74" t="str">
        <f>IFERROR(__xludf.DUMMYFUNCTION("""COMPUTED_VALUE"""),"Schwing")</f>
        <v>Schwing</v>
      </c>
      <c r="L1267" s="74"/>
      <c r="M1267" s="74" t="str">
        <f>IFERROR(__xludf.DUMMYFUNCTION("""COMPUTED_VALUE"""),"Sin Asignar")</f>
        <v>Sin Asignar</v>
      </c>
      <c r="N1267" s="87">
        <f>IFERROR(__xludf.DUMMYFUNCTION("""COMPUTED_VALUE"""),0.0)</f>
        <v>0</v>
      </c>
      <c r="O1267" s="74"/>
      <c r="P1267" s="74" t="str">
        <f>IFERROR(__xludf.DUMMYFUNCTION("""COMPUTED_VALUE"""),"borrar")</f>
        <v>borrar</v>
      </c>
      <c r="Q1267" s="74"/>
      <c r="R1267" s="74"/>
      <c r="S1267" s="87">
        <f>IFERROR(__xludf.DUMMYFUNCTION("""COMPUTED_VALUE"""),0.0)</f>
        <v>0</v>
      </c>
      <c r="T1267" s="87">
        <f>IFERROR(__xludf.DUMMYFUNCTION("""COMPUTED_VALUE"""),0.0)</f>
        <v>0</v>
      </c>
      <c r="U1267" s="87">
        <f>IFERROR(__xludf.DUMMYFUNCTION("""COMPUTED_VALUE"""),0.0)</f>
        <v>0</v>
      </c>
      <c r="V1267" s="87">
        <f>IFERROR(__xludf.DUMMYFUNCTION("""COMPUTED_VALUE"""),0.0)</f>
        <v>0</v>
      </c>
      <c r="W1267" s="87">
        <f>IFERROR(__xludf.DUMMYFUNCTION("""COMPUTED_VALUE"""),0.0)</f>
        <v>0</v>
      </c>
      <c r="X1267" s="88"/>
      <c r="Y1267" s="74"/>
      <c r="Z1267" s="74"/>
    </row>
    <row r="1268">
      <c r="B1268" s="74" t="str">
        <f>IFERROR(__xludf.DUMMYFUNCTION("""COMPUTED_VALUE"""),"2266")</f>
        <v>2266</v>
      </c>
      <c r="C1268" s="74"/>
      <c r="D1268" s="74" t="str">
        <f>IFERROR(__xludf.DUMMYFUNCTION("""COMPUTED_VALUE"""),"\\MCA-S\mk\2_BM\0_BMat\08_PYM\Inventario\excel\Imagen de refacciones\Schwing\Spacing Ring _ Anillo Espaciador")</f>
        <v>\\MCA-S\mk\2_BM\0_BMat\08_PYM\Inventario\excel\Imagen de refacciones\Schwing\Spacing Ring _ Anillo Espaciador</v>
      </c>
      <c r="E1268" s="74"/>
      <c r="F1268" s="74" t="str">
        <f>IFERROR(__xludf.DUMMYFUNCTION("""COMPUTED_VALUE"""),"Spacing Ring / Anillo Espaciador")</f>
        <v>Spacing Ring / Anillo Espaciador</v>
      </c>
      <c r="G1268" s="74"/>
      <c r="H1268" s="74"/>
      <c r="I1268" s="74" t="str">
        <f>IFERROR(__xludf.DUMMYFUNCTION("""COMPUTED_VALUE"""),"SOM30195")</f>
        <v>SOM30195</v>
      </c>
      <c r="J1268" s="74" t="str">
        <f>IFERROR(__xludf.DUMMYFUNCTION("""COMPUTED_VALUE"""),"10001097")</f>
        <v>10001097</v>
      </c>
      <c r="K1268" s="74" t="str">
        <f>IFERROR(__xludf.DUMMYFUNCTION("""COMPUTED_VALUE"""),"Schwing")</f>
        <v>Schwing</v>
      </c>
      <c r="L1268" s="74" t="str">
        <f>IFERROR(__xludf.DUMMYFUNCTION("""COMPUTED_VALUE"""),"Componentes Estructurales y de Montaje")</f>
        <v>Componentes Estructurales y de Montaje</v>
      </c>
      <c r="M1268" s="74" t="str">
        <f>IFERROR(__xludf.DUMMYFUNCTION("""COMPUTED_VALUE"""),"Sin Asignar")</f>
        <v>Sin Asignar</v>
      </c>
      <c r="N1268" s="87">
        <f>IFERROR(__xludf.DUMMYFUNCTION("""COMPUTED_VALUE"""),0.0)</f>
        <v>0</v>
      </c>
      <c r="O1268" s="74"/>
      <c r="P1268" s="74" t="str">
        <f>IFERROR(__xludf.DUMMYFUNCTION("""COMPUTED_VALUE"""),"No Available")</f>
        <v>No Available</v>
      </c>
      <c r="Q1268" s="74"/>
      <c r="R1268" s="74"/>
      <c r="S1268" s="87">
        <f>IFERROR(__xludf.DUMMYFUNCTION("""COMPUTED_VALUE"""),0.0)</f>
        <v>0</v>
      </c>
      <c r="T1268" s="87">
        <f>IFERROR(__xludf.DUMMYFUNCTION("""COMPUTED_VALUE"""),0.0)</f>
        <v>0</v>
      </c>
      <c r="U1268" s="87">
        <f>IFERROR(__xludf.DUMMYFUNCTION("""COMPUTED_VALUE"""),0.0)</f>
        <v>0</v>
      </c>
      <c r="V1268" s="87">
        <f>IFERROR(__xludf.DUMMYFUNCTION("""COMPUTED_VALUE"""),0.0)</f>
        <v>0</v>
      </c>
      <c r="W1268" s="87">
        <f>IFERROR(__xludf.DUMMYFUNCTION("""COMPUTED_VALUE"""),0.0)</f>
        <v>0</v>
      </c>
      <c r="X1268" s="88"/>
      <c r="Y1268" s="74"/>
      <c r="Z1268" s="74"/>
    </row>
    <row r="1269">
      <c r="B1269" s="74" t="str">
        <f>IFERROR(__xludf.DUMMYFUNCTION("""COMPUTED_VALUE"""),"2267")</f>
        <v>2267</v>
      </c>
      <c r="C1269" s="74" t="str">
        <f>IFERROR(__xludf.DUMMYFUNCTION("""COMPUTED_VALUE"""),"75045880446")</f>
        <v>75045880446</v>
      </c>
      <c r="D1269" s="74" t="str">
        <f>IFERROR(__xludf.DUMMYFUNCTION("""COMPUTED_VALUE"""),"\\MCA-S\mk\2_BM\0_BMat\08_PYM\Inventario\excel\Imagen de refacciones\Schwing\Sujetador de la compuerta de la tova")</f>
        <v>\\MCA-S\mk\2_BM\0_BMat\08_PYM\Inventario\excel\Imagen de refacciones\Schwing\Sujetador de la compuerta de la tova</v>
      </c>
      <c r="E1269" s="74" t="str">
        <f>IFERROR(__xludf.DUMMYFUNCTION("""COMPUTED_VALUE"""),"PLATE 55mm RIGHT CLAMP")</f>
        <v>PLATE 55mm RIGHT CLAMP</v>
      </c>
      <c r="F1269" s="74" t="str">
        <f>IFERROR(__xludf.DUMMYFUNCTION("""COMPUTED_VALUE"""),"SUJETADOR PARA COMPUERTA DE TOLVA LADO DERECHO")</f>
        <v>SUJETADOR PARA COMPUERTA DE TOLVA LADO DERECHO</v>
      </c>
      <c r="G1269" s="74"/>
      <c r="H1269" s="74" t="str">
        <f>IFERROR(__xludf.DUMMYFUNCTION("""COMPUTED_VALUE"""),"SUJETADOR DE LA COMPUERTA DE LA TOLVA PARA BOMBA DE HORMIGON")</f>
        <v>SUJETADOR DE LA COMPUERTA DE LA TOLVA PARA BOMBA DE HORMIGON</v>
      </c>
      <c r="I1269" s="74" t="str">
        <f>IFERROR(__xludf.DUMMYFUNCTION("""COMPUTED_VALUE"""),"10032788")</f>
        <v>10032788</v>
      </c>
      <c r="J1269" s="74"/>
      <c r="K1269" s="74" t="str">
        <f>IFERROR(__xludf.DUMMYFUNCTION("""COMPUTED_VALUE"""),"Schwing")</f>
        <v>Schwing</v>
      </c>
      <c r="L1269" s="74" t="str">
        <f>IFERROR(__xludf.DUMMYFUNCTION("""COMPUTED_VALUE"""),"TOLVA")</f>
        <v>TOLVA</v>
      </c>
      <c r="M1269" s="74" t="str">
        <f>IFERROR(__xludf.DUMMYFUNCTION("""COMPUTED_VALUE"""),"ACCESORIOS ")</f>
        <v>ACCESORIOS </v>
      </c>
      <c r="N1269" s="87">
        <f>IFERROR(__xludf.DUMMYFUNCTION("""COMPUTED_VALUE"""),941.28)</f>
        <v>941.28</v>
      </c>
      <c r="O1269" s="74">
        <f>IFERROR(__xludf.DUMMYFUNCTION("""COMPUTED_VALUE"""),4.0)</f>
        <v>4</v>
      </c>
      <c r="P1269" s="74" t="str">
        <f>IFERROR(__xludf.DUMMYFUNCTION("""COMPUTED_VALUE"""),"In stock")</f>
        <v>In stock</v>
      </c>
      <c r="Q1269" s="74"/>
      <c r="R1269" s="74"/>
      <c r="S1269" s="87">
        <f>IFERROR(__xludf.DUMMYFUNCTION("""COMPUTED_VALUE"""),8.5)</f>
        <v>8.5</v>
      </c>
      <c r="T1269" s="87">
        <f>IFERROR(__xludf.DUMMYFUNCTION("""COMPUTED_VALUE"""),53.0)</f>
        <v>53</v>
      </c>
      <c r="U1269" s="87">
        <f>IFERROR(__xludf.DUMMYFUNCTION("""COMPUTED_VALUE"""),50.879999999999995)</f>
        <v>50.88</v>
      </c>
      <c r="V1269" s="87">
        <f>IFERROR(__xludf.DUMMYFUNCTION("""COMPUTED_VALUE"""),10.4125)</f>
        <v>10.4125</v>
      </c>
      <c r="W1269" s="87">
        <f>IFERROR(__xludf.DUMMYFUNCTION("""COMPUTED_VALUE"""),195.234375)</f>
        <v>195.234375</v>
      </c>
      <c r="X1269" s="88">
        <f>IFERROR(__xludf.DUMMYFUNCTION("""COMPUTED_VALUE"""),5.985882352941176)</f>
        <v>5.985882353</v>
      </c>
      <c r="Y1269" s="74"/>
      <c r="Z1269" s="74"/>
    </row>
    <row r="1270">
      <c r="B1270" s="74" t="str">
        <f>IFERROR(__xludf.DUMMYFUNCTION("""COMPUTED_VALUE"""),"2268")</f>
        <v>2268</v>
      </c>
      <c r="C1270" s="74" t="str">
        <f>IFERROR(__xludf.DUMMYFUNCTION("""COMPUTED_VALUE"""),"75045880445")</f>
        <v>75045880445</v>
      </c>
      <c r="D1270" s="74" t="str">
        <f>IFERROR(__xludf.DUMMYFUNCTION("""COMPUTED_VALUE"""),"\\MCA-S\mk\2_BM\0_BMat\08_PYM\Inventario\excel\Imagen de refacciones\Schwing\Sujetador de la compuerta de la tova")</f>
        <v>\\MCA-S\mk\2_BM\0_BMat\08_PYM\Inventario\excel\Imagen de refacciones\Schwing\Sujetador de la compuerta de la tova</v>
      </c>
      <c r="E1270" s="74" t="str">
        <f>IFERROR(__xludf.DUMMYFUNCTION("""COMPUTED_VALUE"""),"PLATE 55mm LEFT CLAMP")</f>
        <v>PLATE 55mm LEFT CLAMP</v>
      </c>
      <c r="F1270" s="74" t="str">
        <f>IFERROR(__xludf.DUMMYFUNCTION("""COMPUTED_VALUE"""),"SUJETADOR PARA COMPUERTA DE TOLVA LADO IZQUIERDO")</f>
        <v>SUJETADOR PARA COMPUERTA DE TOLVA LADO IZQUIERDO</v>
      </c>
      <c r="G1270" s="74"/>
      <c r="H1270" s="74" t="str">
        <f>IFERROR(__xludf.DUMMYFUNCTION("""COMPUTED_VALUE"""),"SUJETADOR DE LA COMPUERTA DE LA TOLVA PARA BOMBA DE HORMIGON")</f>
        <v>SUJETADOR DE LA COMPUERTA DE LA TOLVA PARA BOMBA DE HORMIGON</v>
      </c>
      <c r="I1270" s="74" t="str">
        <f>IFERROR(__xludf.DUMMYFUNCTION("""COMPUTED_VALUE"""),"10032789")</f>
        <v>10032789</v>
      </c>
      <c r="J1270" s="74"/>
      <c r="K1270" s="74" t="str">
        <f>IFERROR(__xludf.DUMMYFUNCTION("""COMPUTED_VALUE"""),"Schwing")</f>
        <v>Schwing</v>
      </c>
      <c r="L1270" s="74" t="str">
        <f>IFERROR(__xludf.DUMMYFUNCTION("""COMPUTED_VALUE"""),"TOLVA")</f>
        <v>TOLVA</v>
      </c>
      <c r="M1270" s="74" t="str">
        <f>IFERROR(__xludf.DUMMYFUNCTION("""COMPUTED_VALUE"""),"ACCESORIOS ")</f>
        <v>ACCESORIOS </v>
      </c>
      <c r="N1270" s="87">
        <f>IFERROR(__xludf.DUMMYFUNCTION("""COMPUTED_VALUE"""),941.28)</f>
        <v>941.28</v>
      </c>
      <c r="O1270" s="74">
        <f>IFERROR(__xludf.DUMMYFUNCTION("""COMPUTED_VALUE"""),4.0)</f>
        <v>4</v>
      </c>
      <c r="P1270" s="74" t="str">
        <f>IFERROR(__xludf.DUMMYFUNCTION("""COMPUTED_VALUE"""),"In stock")</f>
        <v>In stock</v>
      </c>
      <c r="Q1270" s="74"/>
      <c r="R1270" s="74"/>
      <c r="S1270" s="87">
        <f>IFERROR(__xludf.DUMMYFUNCTION("""COMPUTED_VALUE"""),8.5)</f>
        <v>8.5</v>
      </c>
      <c r="T1270" s="87">
        <f>IFERROR(__xludf.DUMMYFUNCTION("""COMPUTED_VALUE"""),53.0)</f>
        <v>53</v>
      </c>
      <c r="U1270" s="87">
        <f>IFERROR(__xludf.DUMMYFUNCTION("""COMPUTED_VALUE"""),50.879999999999995)</f>
        <v>50.88</v>
      </c>
      <c r="V1270" s="87">
        <f>IFERROR(__xludf.DUMMYFUNCTION("""COMPUTED_VALUE"""),10.4125)</f>
        <v>10.4125</v>
      </c>
      <c r="W1270" s="87">
        <f>IFERROR(__xludf.DUMMYFUNCTION("""COMPUTED_VALUE"""),195.234375)</f>
        <v>195.234375</v>
      </c>
      <c r="X1270" s="88">
        <f>IFERROR(__xludf.DUMMYFUNCTION("""COMPUTED_VALUE"""),5.985882352941176)</f>
        <v>5.985882353</v>
      </c>
      <c r="Y1270" s="74"/>
      <c r="Z1270" s="74"/>
    </row>
    <row r="1271">
      <c r="B1271" s="74" t="str">
        <f>IFERROR(__xludf.DUMMYFUNCTION("""COMPUTED_VALUE"""),"2269")</f>
        <v>2269</v>
      </c>
      <c r="C1271" s="74"/>
      <c r="D1271" s="74" t="str">
        <f>IFERROR(__xludf.DUMMYFUNCTION("""COMPUTED_VALUE"""),"\\MCA-S\mk\2_BM\0_BMat\08_PYM\Inventario\excel\Imagen de refacciones\Schwing\Support _ Soporte")</f>
        <v>\\MCA-S\mk\2_BM\0_BMat\08_PYM\Inventario\excel\Imagen de refacciones\Schwing\Support _ Soporte</v>
      </c>
      <c r="E1271" s="74" t="str">
        <f>IFERROR(__xludf.DUMMYFUNCTION("""COMPUTED_VALUE"""),"ROD-BUSHING/BEARING")</f>
        <v>ROD-BUSHING/BEARING</v>
      </c>
      <c r="F1271" s="74" t="str">
        <f>IFERROR(__xludf.DUMMYFUNCTION("""COMPUTED_VALUE"""),"BUJE MECANIZADO CON BASE/BASE LADO FIJO")</f>
        <v>BUJE MECANIZADO CON BASE/BASE LADO FIJO</v>
      </c>
      <c r="G1271" s="74"/>
      <c r="H1271" s="74"/>
      <c r="I1271" s="74" t="str">
        <f>IFERROR(__xludf.DUMMYFUNCTION("""COMPUTED_VALUE"""),"10061074")</f>
        <v>10061074</v>
      </c>
      <c r="J1271" s="74"/>
      <c r="K1271" s="74" t="str">
        <f>IFERROR(__xludf.DUMMYFUNCTION("""COMPUTED_VALUE"""),"Schwing")</f>
        <v>Schwing</v>
      </c>
      <c r="L1271" s="74" t="str">
        <f>IFERROR(__xludf.DUMMYFUNCTION("""COMPUTED_VALUE"""),"BARRA V-ROCK")</f>
        <v>BARRA V-ROCK</v>
      </c>
      <c r="M1271" s="74" t="str">
        <f>IFERROR(__xludf.DUMMYFUNCTION("""COMPUTED_VALUE"""),"Sin Asignar")</f>
        <v>Sin Asignar</v>
      </c>
      <c r="N1271" s="87">
        <f>IFERROR(__xludf.DUMMYFUNCTION("""COMPUTED_VALUE"""),0.0)</f>
        <v>0</v>
      </c>
      <c r="O1271" s="74">
        <f>IFERROR(__xludf.DUMMYFUNCTION("""COMPUTED_VALUE"""),5.0)</f>
        <v>5</v>
      </c>
      <c r="P1271" s="74" t="str">
        <f>IFERROR(__xludf.DUMMYFUNCTION("""COMPUTED_VALUE"""),"borrar")</f>
        <v>borrar</v>
      </c>
      <c r="Q1271" s="74"/>
      <c r="R1271" s="74"/>
      <c r="S1271" s="87">
        <f>IFERROR(__xludf.DUMMYFUNCTION("""COMPUTED_VALUE"""),0.0)</f>
        <v>0</v>
      </c>
      <c r="T1271" s="87">
        <f>IFERROR(__xludf.DUMMYFUNCTION("""COMPUTED_VALUE"""),0.0)</f>
        <v>0</v>
      </c>
      <c r="U1271" s="87">
        <f>IFERROR(__xludf.DUMMYFUNCTION("""COMPUTED_VALUE"""),0.0)</f>
        <v>0</v>
      </c>
      <c r="V1271" s="87">
        <f>IFERROR(__xludf.DUMMYFUNCTION("""COMPUTED_VALUE"""),0.0)</f>
        <v>0</v>
      </c>
      <c r="W1271" s="87">
        <f>IFERROR(__xludf.DUMMYFUNCTION("""COMPUTED_VALUE"""),0.0)</f>
        <v>0</v>
      </c>
      <c r="X1271" s="88"/>
      <c r="Y1271" s="74"/>
      <c r="Z1271" s="74"/>
    </row>
    <row r="1272">
      <c r="B1272" s="74" t="str">
        <f>IFERROR(__xludf.DUMMYFUNCTION("""COMPUTED_VALUE"""),"2270")</f>
        <v>2270</v>
      </c>
      <c r="C1272" s="74" t="str">
        <f>IFERROR(__xludf.DUMMYFUNCTION("""COMPUTED_VALUE"""),"75045880402")</f>
        <v>75045880402</v>
      </c>
      <c r="D1272" s="74" t="str">
        <f>IFERROR(__xludf.DUMMYFUNCTION("""COMPUTED_VALUE"""),"\\MCA-S\mk\2_BM\0_BMat\08_PYM\Inventario\excel\Imagen de refacciones\Schwing\Support _ Soporte (1)")</f>
        <v>\\MCA-S\mk\2_BM\0_BMat\08_PYM\Inventario\excel\Imagen de refacciones\Schwing\Support _ Soporte (1)</v>
      </c>
      <c r="E1272" s="74" t="str">
        <f>IFERROR(__xludf.DUMMYFUNCTION("""COMPUTED_VALUE"""),"BAR-MACHINED BUSHING BLIND SIDE")</f>
        <v>BAR-MACHINED BUSHING BLIND SIDE</v>
      </c>
      <c r="F1272" s="74" t="str">
        <f>IFERROR(__xludf.DUMMYFUNCTION("""COMPUTED_VALUE"""),"TAPA AGITADOR BASE LADO FIJO")</f>
        <v>TAPA AGITADOR BASE LADO FIJO</v>
      </c>
      <c r="G1272" s="74"/>
      <c r="H1272" s="74"/>
      <c r="I1272" s="74" t="str">
        <f>IFERROR(__xludf.DUMMYFUNCTION("""COMPUTED_VALUE"""),"10061078")</f>
        <v>10061078</v>
      </c>
      <c r="J1272" s="74"/>
      <c r="K1272" s="74" t="str">
        <f>IFERROR(__xludf.DUMMYFUNCTION("""COMPUTED_VALUE"""),"Schwing")</f>
        <v>Schwing</v>
      </c>
      <c r="L1272" s="74" t="str">
        <f>IFERROR(__xludf.DUMMYFUNCTION("""COMPUTED_VALUE"""),"BARRA V-ROCK")</f>
        <v>BARRA V-ROCK</v>
      </c>
      <c r="M1272" s="74" t="str">
        <f>IFERROR(__xludf.DUMMYFUNCTION("""COMPUTED_VALUE"""),"Sin Asignar")</f>
        <v>Sin Asignar</v>
      </c>
      <c r="N1272" s="87">
        <f>IFERROR(__xludf.DUMMYFUNCTION("""COMPUTED_VALUE"""),1154.3999999999999)</f>
        <v>1154.4</v>
      </c>
      <c r="O1272" s="74">
        <f>IFERROR(__xludf.DUMMYFUNCTION("""COMPUTED_VALUE"""),5.0)</f>
        <v>5</v>
      </c>
      <c r="P1272" s="74" t="str">
        <f>IFERROR(__xludf.DUMMYFUNCTION("""COMPUTED_VALUE"""),"In stock")</f>
        <v>In stock</v>
      </c>
      <c r="Q1272" s="74"/>
      <c r="R1272" s="74"/>
      <c r="S1272" s="87">
        <f>IFERROR(__xludf.DUMMYFUNCTION("""COMPUTED_VALUE"""),20.0)</f>
        <v>20</v>
      </c>
      <c r="T1272" s="87">
        <f>IFERROR(__xludf.DUMMYFUNCTION("""COMPUTED_VALUE"""),65.0)</f>
        <v>65</v>
      </c>
      <c r="U1272" s="87">
        <f>IFERROR(__xludf.DUMMYFUNCTION("""COMPUTED_VALUE"""),62.4)</f>
        <v>62.4</v>
      </c>
      <c r="V1272" s="87">
        <f>IFERROR(__xludf.DUMMYFUNCTION("""COMPUTED_VALUE"""),24.5)</f>
        <v>24.5</v>
      </c>
      <c r="W1272" s="87">
        <f>IFERROR(__xludf.DUMMYFUNCTION("""COMPUTED_VALUE"""),459.375)</f>
        <v>459.375</v>
      </c>
      <c r="X1272" s="88">
        <f>IFERROR(__xludf.DUMMYFUNCTION("""COMPUTED_VALUE"""),3.12)</f>
        <v>3.12</v>
      </c>
      <c r="Y1272" s="74"/>
      <c r="Z1272" s="74"/>
    </row>
    <row r="1273">
      <c r="B1273" s="74" t="str">
        <f>IFERROR(__xludf.DUMMYFUNCTION("""COMPUTED_VALUE"""),"2271")</f>
        <v>2271</v>
      </c>
      <c r="C1273" s="74"/>
      <c r="D1273" s="74" t="str">
        <f>IFERROR(__xludf.DUMMYFUNCTION("""COMPUTED_VALUE"""),"\\MCA-S\mk\2_BM\0_BMat\08_PYM\Inventario\excel\Imagen de refacciones\Schwing\Support Bushing _ Casquillo de Soporte")</f>
        <v>\\MCA-S\mk\2_BM\0_BMat\08_PYM\Inventario\excel\Imagen de refacciones\Schwing\Support Bushing _ Casquillo de Soporte</v>
      </c>
      <c r="E1273" s="74"/>
      <c r="F1273" s="74" t="str">
        <f>IFERROR(__xludf.DUMMYFUNCTION("""COMPUTED_VALUE"""),"Support Bushing / Casquillo de Soporte")</f>
        <v>Support Bushing / Casquillo de Soporte</v>
      </c>
      <c r="G1273" s="74"/>
      <c r="H1273" s="74"/>
      <c r="I1273" s="74" t="str">
        <f>IFERROR(__xludf.DUMMYFUNCTION("""COMPUTED_VALUE"""),"SOM30024")</f>
        <v>SOM30024</v>
      </c>
      <c r="J1273" s="74" t="str">
        <f>IFERROR(__xludf.DUMMYFUNCTION("""COMPUTED_VALUE"""),"10018047")</f>
        <v>10018047</v>
      </c>
      <c r="K1273" s="74" t="str">
        <f>IFERROR(__xludf.DUMMYFUNCTION("""COMPUTED_VALUE"""),"Schwing")</f>
        <v>Schwing</v>
      </c>
      <c r="L1273" s="74" t="str">
        <f>IFERROR(__xludf.DUMMYFUNCTION("""COMPUTED_VALUE"""),"Transmisión Mecánica")</f>
        <v>Transmisión Mecánica</v>
      </c>
      <c r="M1273" s="74" t="str">
        <f>IFERROR(__xludf.DUMMYFUNCTION("""COMPUTED_VALUE"""),"Sin Asignar")</f>
        <v>Sin Asignar</v>
      </c>
      <c r="N1273" s="87">
        <f>IFERROR(__xludf.DUMMYFUNCTION("""COMPUTED_VALUE"""),0.0)</f>
        <v>0</v>
      </c>
      <c r="O1273" s="74"/>
      <c r="P1273" s="74" t="str">
        <f>IFERROR(__xludf.DUMMYFUNCTION("""COMPUTED_VALUE"""),"borrar")</f>
        <v>borrar</v>
      </c>
      <c r="Q1273" s="74"/>
      <c r="R1273" s="74"/>
      <c r="S1273" s="87">
        <f>IFERROR(__xludf.DUMMYFUNCTION("""COMPUTED_VALUE"""),0.0)</f>
        <v>0</v>
      </c>
      <c r="T1273" s="87">
        <f>IFERROR(__xludf.DUMMYFUNCTION("""COMPUTED_VALUE"""),0.0)</f>
        <v>0</v>
      </c>
      <c r="U1273" s="87">
        <f>IFERROR(__xludf.DUMMYFUNCTION("""COMPUTED_VALUE"""),0.0)</f>
        <v>0</v>
      </c>
      <c r="V1273" s="87">
        <f>IFERROR(__xludf.DUMMYFUNCTION("""COMPUTED_VALUE"""),0.0)</f>
        <v>0</v>
      </c>
      <c r="W1273" s="87">
        <f>IFERROR(__xludf.DUMMYFUNCTION("""COMPUTED_VALUE"""),0.0)</f>
        <v>0</v>
      </c>
      <c r="X1273" s="88"/>
      <c r="Y1273" s="74"/>
      <c r="Z1273" s="74"/>
    </row>
    <row r="1274">
      <c r="B1274" s="74" t="str">
        <f>IFERROR(__xludf.DUMMYFUNCTION("""COMPUTED_VALUE"""),"2272")</f>
        <v>2272</v>
      </c>
      <c r="C1274" s="74"/>
      <c r="D1274" s="74" t="str">
        <f>IFERROR(__xludf.DUMMYFUNCTION("""COMPUTED_VALUE"""),"\\MCA-S\mk\2_BM\0_BMat\08_PYM\Inventario\excel\Imagen de refacciones\Schwing\Support Bushing _ Casquillo de Soporte (1)")</f>
        <v>\\MCA-S\mk\2_BM\0_BMat\08_PYM\Inventario\excel\Imagen de refacciones\Schwing\Support Bushing _ Casquillo de Soporte (1)</v>
      </c>
      <c r="E1274" s="74"/>
      <c r="F1274" s="74" t="str">
        <f>IFERROR(__xludf.DUMMYFUNCTION("""COMPUTED_VALUE"""),"Support Bushing / Casquillo de Soporte")</f>
        <v>Support Bushing / Casquillo de Soporte</v>
      </c>
      <c r="G1274" s="74"/>
      <c r="H1274" s="74"/>
      <c r="I1274" s="74" t="str">
        <f>IFERROR(__xludf.DUMMYFUNCTION("""COMPUTED_VALUE"""),"SOM30026")</f>
        <v>SOM30026</v>
      </c>
      <c r="J1274" s="74" t="str">
        <f>IFERROR(__xludf.DUMMYFUNCTION("""COMPUTED_VALUE"""),"10025626")</f>
        <v>10025626</v>
      </c>
      <c r="K1274" s="74" t="str">
        <f>IFERROR(__xludf.DUMMYFUNCTION("""COMPUTED_VALUE"""),"Schwing")</f>
        <v>Schwing</v>
      </c>
      <c r="L1274" s="74" t="str">
        <f>IFERROR(__xludf.DUMMYFUNCTION("""COMPUTED_VALUE"""),"Transmisión Mecánica")</f>
        <v>Transmisión Mecánica</v>
      </c>
      <c r="M1274" s="74" t="str">
        <f>IFERROR(__xludf.DUMMYFUNCTION("""COMPUTED_VALUE"""),"Sin Asignar")</f>
        <v>Sin Asignar</v>
      </c>
      <c r="N1274" s="87">
        <f>IFERROR(__xludf.DUMMYFUNCTION("""COMPUTED_VALUE"""),0.0)</f>
        <v>0</v>
      </c>
      <c r="O1274" s="74"/>
      <c r="P1274" s="74" t="str">
        <f>IFERROR(__xludf.DUMMYFUNCTION("""COMPUTED_VALUE"""),"No Available")</f>
        <v>No Available</v>
      </c>
      <c r="Q1274" s="74"/>
      <c r="R1274" s="74"/>
      <c r="S1274" s="87">
        <f>IFERROR(__xludf.DUMMYFUNCTION("""COMPUTED_VALUE"""),0.0)</f>
        <v>0</v>
      </c>
      <c r="T1274" s="87">
        <f>IFERROR(__xludf.DUMMYFUNCTION("""COMPUTED_VALUE"""),0.0)</f>
        <v>0</v>
      </c>
      <c r="U1274" s="87">
        <f>IFERROR(__xludf.DUMMYFUNCTION("""COMPUTED_VALUE"""),0.0)</f>
        <v>0</v>
      </c>
      <c r="V1274" s="87">
        <f>IFERROR(__xludf.DUMMYFUNCTION("""COMPUTED_VALUE"""),0.0)</f>
        <v>0</v>
      </c>
      <c r="W1274" s="87">
        <f>IFERROR(__xludf.DUMMYFUNCTION("""COMPUTED_VALUE"""),0.0)</f>
        <v>0</v>
      </c>
      <c r="X1274" s="88"/>
      <c r="Y1274" s="74"/>
      <c r="Z1274" s="74"/>
    </row>
    <row r="1275">
      <c r="B1275" s="74" t="str">
        <f>IFERROR(__xludf.DUMMYFUNCTION("""COMPUTED_VALUE"""),"2273")</f>
        <v>2273</v>
      </c>
      <c r="C1275" s="74"/>
      <c r="D1275" s="74" t="str">
        <f>IFERROR(__xludf.DUMMYFUNCTION("""COMPUTED_VALUE"""),"\\MCA-S\mk\2_BM\0_BMat\08_PYM\Inventario\excel\Imagen de refacciones\Schwing\Supporting Cover _ Cubierta de Soporte")</f>
        <v>\\MCA-S\mk\2_BM\0_BMat\08_PYM\Inventario\excel\Imagen de refacciones\Schwing\Supporting Cover _ Cubierta de Soporte</v>
      </c>
      <c r="E1275" s="74"/>
      <c r="F1275" s="74" t="str">
        <f>IFERROR(__xludf.DUMMYFUNCTION("""COMPUTED_VALUE"""),"Supporting Cover / Cubierta de Soporte")</f>
        <v>Supporting Cover / Cubierta de Soporte</v>
      </c>
      <c r="G1275" s="74"/>
      <c r="H1275" s="74"/>
      <c r="I1275" s="74" t="str">
        <f>IFERROR(__xludf.DUMMYFUNCTION("""COMPUTED_VALUE"""),"10061079")</f>
        <v>10061079</v>
      </c>
      <c r="J1275" s="74"/>
      <c r="K1275" s="74" t="str">
        <f>IFERROR(__xludf.DUMMYFUNCTION("""COMPUTED_VALUE"""),"Schwing")</f>
        <v>Schwing</v>
      </c>
      <c r="L1275" s="74" t="str">
        <f>IFERROR(__xludf.DUMMYFUNCTION("""COMPUTED_VALUE"""),"Componentes Estructurales y de Montaje")</f>
        <v>Componentes Estructurales y de Montaje</v>
      </c>
      <c r="M1275" s="74" t="str">
        <f>IFERROR(__xludf.DUMMYFUNCTION("""COMPUTED_VALUE"""),"Sin Asignar")</f>
        <v>Sin Asignar</v>
      </c>
      <c r="N1275" s="87">
        <f>IFERROR(__xludf.DUMMYFUNCTION("""COMPUTED_VALUE"""),0.0)</f>
        <v>0</v>
      </c>
      <c r="O1275" s="74"/>
      <c r="P1275" s="74" t="str">
        <f>IFERROR(__xludf.DUMMYFUNCTION("""COMPUTED_VALUE"""),"borrar")</f>
        <v>borrar</v>
      </c>
      <c r="Q1275" s="74"/>
      <c r="R1275" s="74"/>
      <c r="S1275" s="87">
        <f>IFERROR(__xludf.DUMMYFUNCTION("""COMPUTED_VALUE"""),0.0)</f>
        <v>0</v>
      </c>
      <c r="T1275" s="87">
        <f>IFERROR(__xludf.DUMMYFUNCTION("""COMPUTED_VALUE"""),0.0)</f>
        <v>0</v>
      </c>
      <c r="U1275" s="87">
        <f>IFERROR(__xludf.DUMMYFUNCTION("""COMPUTED_VALUE"""),0.0)</f>
        <v>0</v>
      </c>
      <c r="V1275" s="87">
        <f>IFERROR(__xludf.DUMMYFUNCTION("""COMPUTED_VALUE"""),0.0)</f>
        <v>0</v>
      </c>
      <c r="W1275" s="87">
        <f>IFERROR(__xludf.DUMMYFUNCTION("""COMPUTED_VALUE"""),0.0)</f>
        <v>0</v>
      </c>
      <c r="X1275" s="88"/>
      <c r="Y1275" s="74"/>
      <c r="Z1275" s="74"/>
    </row>
    <row r="1276">
      <c r="B1276" s="74" t="str">
        <f>IFERROR(__xludf.DUMMYFUNCTION("""COMPUTED_VALUE"""),"2274")</f>
        <v>2274</v>
      </c>
      <c r="C1276" s="74" t="str">
        <f>IFERROR(__xludf.DUMMYFUNCTION("""COMPUTED_VALUE"""),"75045880401")</f>
        <v>75045880401</v>
      </c>
      <c r="D1276" s="74" t="str">
        <f>IFERROR(__xludf.DUMMYFUNCTION("""COMPUTED_VALUE"""),"\\MCA-S\mk\2_BM\0_BMat\08_PYM\Inventario\excel\Imagen de refacciones\Schwing\Tapa de 3 hoyos para barra de V-rock")</f>
        <v>\\MCA-S\mk\2_BM\0_BMat\08_PYM\Inventario\excel\Imagen de refacciones\Schwing\Tapa de 3 hoyos para barra de V-rock</v>
      </c>
      <c r="E1276" s="74" t="str">
        <f>IFERROR(__xludf.DUMMYFUNCTION("""COMPUTED_VALUE"""),"SEALING COVER")</f>
        <v>SEALING COVER</v>
      </c>
      <c r="F1276" s="74" t="str">
        <f>IFERROR(__xludf.DUMMYFUNCTION("""COMPUTED_VALUE"""),"TAPA DE SELLADO CON 3 HOYOS ")</f>
        <v>TAPA DE SELLADO CON 3 HOYOS </v>
      </c>
      <c r="G1276" s="74"/>
      <c r="H1276" s="74" t="str">
        <f>IFERROR(__xludf.DUMMYFUNCTION("""COMPUTED_VALUE"""),"TAPA DE 3 HOYOS PARA BARRA V-ROCK PARA BOMBA HORMIGON")</f>
        <v>TAPA DE 3 HOYOS PARA BARRA V-ROCK PARA BOMBA HORMIGON</v>
      </c>
      <c r="I1276" s="74" t="str">
        <f>IFERROR(__xludf.DUMMYFUNCTION("""COMPUTED_VALUE"""),"10018035")</f>
        <v>10018035</v>
      </c>
      <c r="J1276" s="74"/>
      <c r="K1276" s="74" t="str">
        <f>IFERROR(__xludf.DUMMYFUNCTION("""COMPUTED_VALUE"""),"Schwing")</f>
        <v>Schwing</v>
      </c>
      <c r="L1276" s="74" t="str">
        <f>IFERROR(__xludf.DUMMYFUNCTION("""COMPUTED_VALUE"""),"BARRA V-ROCK")</f>
        <v>BARRA V-ROCK</v>
      </c>
      <c r="M1276" s="74" t="str">
        <f>IFERROR(__xludf.DUMMYFUNCTION("""COMPUTED_VALUE"""),"SIN ASIGNAR")</f>
        <v>SIN ASIGNAR</v>
      </c>
      <c r="N1276" s="87">
        <f>IFERROR(__xludf.DUMMYFUNCTION("""COMPUTED_VALUE"""),1935.84)</f>
        <v>1935.84</v>
      </c>
      <c r="O1276" s="74">
        <f>IFERROR(__xludf.DUMMYFUNCTION("""COMPUTED_VALUE"""),5.0)</f>
        <v>5</v>
      </c>
      <c r="P1276" s="74" t="str">
        <f>IFERROR(__xludf.DUMMYFUNCTION("""COMPUTED_VALUE"""),"In stock")</f>
        <v>In stock</v>
      </c>
      <c r="Q1276" s="74"/>
      <c r="R1276" s="74"/>
      <c r="S1276" s="87">
        <f>IFERROR(__xludf.DUMMYFUNCTION("""COMPUTED_VALUE"""),15.5)</f>
        <v>15.5</v>
      </c>
      <c r="T1276" s="87">
        <f>IFERROR(__xludf.DUMMYFUNCTION("""COMPUTED_VALUE"""),109.0)</f>
        <v>109</v>
      </c>
      <c r="U1276" s="87">
        <f>IFERROR(__xludf.DUMMYFUNCTION("""COMPUTED_VALUE"""),104.64)</f>
        <v>104.64</v>
      </c>
      <c r="V1276" s="87">
        <f>IFERROR(__xludf.DUMMYFUNCTION("""COMPUTED_VALUE"""),18.9875)</f>
        <v>18.9875</v>
      </c>
      <c r="W1276" s="87">
        <f>IFERROR(__xludf.DUMMYFUNCTION("""COMPUTED_VALUE"""),356.015625)</f>
        <v>356.015625</v>
      </c>
      <c r="X1276" s="88">
        <f>IFERROR(__xludf.DUMMYFUNCTION("""COMPUTED_VALUE"""),6.750967741935484)</f>
        <v>6.750967742</v>
      </c>
      <c r="Y1276" s="74"/>
      <c r="Z1276" s="74"/>
    </row>
    <row r="1277">
      <c r="B1277" s="74" t="str">
        <f>IFERROR(__xludf.DUMMYFUNCTION("""COMPUTED_VALUE"""),"2275")</f>
        <v>2275</v>
      </c>
      <c r="C1277" s="74"/>
      <c r="D1277" s="74" t="str">
        <f>IFERROR(__xludf.DUMMYFUNCTION("""COMPUTED_VALUE"""),"\\MCA-S\mk\2_BM\0_BMat\08_PYM\Inventario\excel\Imagen de refacciones\Schwing\Tapa de agitador (Lado fijo)")</f>
        <v>\\MCA-S\mk\2_BM\0_BMat\08_PYM\Inventario\excel\Imagen de refacciones\Schwing\Tapa de agitador (Lado fijo)</v>
      </c>
      <c r="E1277" s="74"/>
      <c r="F1277" s="74" t="str">
        <f>IFERROR(__xludf.DUMMYFUNCTION("""COMPUTED_VALUE"""),"TAPA DE AGITADOR LADO FIJO PARA BOMBA DE HORMIGON")</f>
        <v>TAPA DE AGITADOR LADO FIJO PARA BOMBA DE HORMIGON</v>
      </c>
      <c r="G1277" s="74"/>
      <c r="H1277" s="74"/>
      <c r="I1277" s="74" t="str">
        <f>IFERROR(__xludf.DUMMYFUNCTION("""COMPUTED_VALUE"""),"10061078")</f>
        <v>10061078</v>
      </c>
      <c r="J1277" s="74"/>
      <c r="K1277" s="74" t="str">
        <f>IFERROR(__xludf.DUMMYFUNCTION("""COMPUTED_VALUE"""),"Schwing")</f>
        <v>Schwing</v>
      </c>
      <c r="L1277" s="74"/>
      <c r="M1277" s="74" t="str">
        <f>IFERROR(__xludf.DUMMYFUNCTION("""COMPUTED_VALUE"""),"Sin Asignar")</f>
        <v>Sin Asignar</v>
      </c>
      <c r="N1277" s="87">
        <f>IFERROR(__xludf.DUMMYFUNCTION("""COMPUTED_VALUE"""),0.0)</f>
        <v>0</v>
      </c>
      <c r="O1277" s="74"/>
      <c r="P1277" s="74" t="str">
        <f>IFERROR(__xludf.DUMMYFUNCTION("""COMPUTED_VALUE"""),"borrar")</f>
        <v>borrar</v>
      </c>
      <c r="Q1277" s="74"/>
      <c r="R1277" s="74"/>
      <c r="S1277" s="87">
        <f>IFERROR(__xludf.DUMMYFUNCTION("""COMPUTED_VALUE"""),0.0)</f>
        <v>0</v>
      </c>
      <c r="T1277" s="87">
        <f>IFERROR(__xludf.DUMMYFUNCTION("""COMPUTED_VALUE"""),0.0)</f>
        <v>0</v>
      </c>
      <c r="U1277" s="87">
        <f>IFERROR(__xludf.DUMMYFUNCTION("""COMPUTED_VALUE"""),0.0)</f>
        <v>0</v>
      </c>
      <c r="V1277" s="87">
        <f>IFERROR(__xludf.DUMMYFUNCTION("""COMPUTED_VALUE"""),0.0)</f>
        <v>0</v>
      </c>
      <c r="W1277" s="87">
        <f>IFERROR(__xludf.DUMMYFUNCTION("""COMPUTED_VALUE"""),0.0)</f>
        <v>0</v>
      </c>
      <c r="X1277" s="88"/>
      <c r="Y1277" s="74"/>
      <c r="Z1277" s="74"/>
    </row>
    <row r="1278">
      <c r="B1278" s="74" t="str">
        <f>IFERROR(__xludf.DUMMYFUNCTION("""COMPUTED_VALUE"""),"2276")</f>
        <v>2276</v>
      </c>
      <c r="C1278" s="74" t="str">
        <f>IFERROR(__xludf.DUMMYFUNCTION("""COMPUTED_VALUE"""),"75045880403")</f>
        <v>75045880403</v>
      </c>
      <c r="D1278" s="74" t="str">
        <f>IFERROR(__xludf.DUMMYFUNCTION("""COMPUTED_VALUE"""),"\\MCA-S\mk\2_BM\0_BMat\08_PYM\Inventario\excel\Imagen de refacciones\Schwing\Tapa de agitador (Lado motor)")</f>
        <v>\\MCA-S\mk\2_BM\0_BMat\08_PYM\Inventario\excel\Imagen de refacciones\Schwing\Tapa de agitador (Lado motor)</v>
      </c>
      <c r="E1278" s="74" t="str">
        <f>IFERROR(__xludf.DUMMYFUNCTION("""COMPUTED_VALUE"""),"ROD BUSHING / BEARING HOPPER")</f>
        <v>ROD BUSHING / BEARING HOPPER</v>
      </c>
      <c r="F1278" s="74" t="str">
        <f>IFERROR(__xludf.DUMMYFUNCTION("""COMPUTED_VALUE"""),"TAPA DE AGITADOR / BASE LADO MOTOR")</f>
        <v>TAPA DE AGITADOR / BASE LADO MOTOR</v>
      </c>
      <c r="G1278" s="74"/>
      <c r="H1278" s="74"/>
      <c r="I1278" s="74" t="str">
        <f>IFERROR(__xludf.DUMMYFUNCTION("""COMPUTED_VALUE"""),"10061074")</f>
        <v>10061074</v>
      </c>
      <c r="J1278" s="74"/>
      <c r="K1278" s="74" t="str">
        <f>IFERROR(__xludf.DUMMYFUNCTION("""COMPUTED_VALUE"""),"Schwing")</f>
        <v>Schwing</v>
      </c>
      <c r="L1278" s="74"/>
      <c r="M1278" s="74" t="str">
        <f>IFERROR(__xludf.DUMMYFUNCTION("""COMPUTED_VALUE"""),"Sin Asignar")</f>
        <v>Sin Asignar</v>
      </c>
      <c r="N1278" s="87">
        <f>IFERROR(__xludf.DUMMYFUNCTION("""COMPUTED_VALUE"""),1562.8799999999999)</f>
        <v>1562.88</v>
      </c>
      <c r="O1278" s="74">
        <f>IFERROR(__xludf.DUMMYFUNCTION("""COMPUTED_VALUE"""),5.0)</f>
        <v>5</v>
      </c>
      <c r="P1278" s="74" t="str">
        <f>IFERROR(__xludf.DUMMYFUNCTION("""COMPUTED_VALUE"""),"In stock")</f>
        <v>In stock</v>
      </c>
      <c r="Q1278" s="74"/>
      <c r="R1278" s="74"/>
      <c r="S1278" s="87">
        <f>IFERROR(__xludf.DUMMYFUNCTION("""COMPUTED_VALUE"""),20.0)</f>
        <v>20</v>
      </c>
      <c r="T1278" s="87">
        <f>IFERROR(__xludf.DUMMYFUNCTION("""COMPUTED_VALUE"""),88.0)</f>
        <v>88</v>
      </c>
      <c r="U1278" s="87">
        <f>IFERROR(__xludf.DUMMYFUNCTION("""COMPUTED_VALUE"""),84.47999999999999)</f>
        <v>84.48</v>
      </c>
      <c r="V1278" s="87">
        <f>IFERROR(__xludf.DUMMYFUNCTION("""COMPUTED_VALUE"""),24.5)</f>
        <v>24.5</v>
      </c>
      <c r="W1278" s="87">
        <f>IFERROR(__xludf.DUMMYFUNCTION("""COMPUTED_VALUE"""),459.375)</f>
        <v>459.375</v>
      </c>
      <c r="X1278" s="88">
        <f>IFERROR(__xludf.DUMMYFUNCTION("""COMPUTED_VALUE"""),4.223999999999999)</f>
        <v>4.224</v>
      </c>
      <c r="Y1278" s="74"/>
      <c r="Z1278" s="74"/>
    </row>
    <row r="1279">
      <c r="B1279" s="74" t="str">
        <f>IFERROR(__xludf.DUMMYFUNCTION("""COMPUTED_VALUE"""),"2277")</f>
        <v>2277</v>
      </c>
      <c r="C1279" s="74" t="str">
        <f>IFERROR(__xludf.DUMMYFUNCTION("""COMPUTED_VALUE"""),"75045880404")</f>
        <v>75045880404</v>
      </c>
      <c r="D1279" s="74" t="str">
        <f>IFERROR(__xludf.DUMMYFUNCTION("""COMPUTED_VALUE"""),"\\MCA-S\mk\2_BM\0_BMat\08_PYM\Inventario\excel\Imagen de refacciones\Schwing\Tapa de aluminio")</f>
        <v>\\MCA-S\mk\2_BM\0_BMat\08_PYM\Inventario\excel\Imagen de refacciones\Schwing\Tapa de aluminio</v>
      </c>
      <c r="E1279" s="74" t="str">
        <f>IFERROR(__xludf.DUMMYFUNCTION("""COMPUTED_VALUE"""),"ALUMINUM COVER 1.22in")</f>
        <v>ALUMINUM COVER 1.22in</v>
      </c>
      <c r="F1279" s="74" t="str">
        <f>IFERROR(__xludf.DUMMYFUNCTION("""COMPUTED_VALUE"""),"TAPA DE ALUMINIO 1.22in")</f>
        <v>TAPA DE ALUMINIO 1.22in</v>
      </c>
      <c r="G1279" s="74"/>
      <c r="H1279" s="74"/>
      <c r="I1279" s="74" t="str">
        <f>IFERROR(__xludf.DUMMYFUNCTION("""COMPUTED_VALUE"""),"10061079")</f>
        <v>10061079</v>
      </c>
      <c r="J1279" s="74"/>
      <c r="K1279" s="74" t="str">
        <f>IFERROR(__xludf.DUMMYFUNCTION("""COMPUTED_VALUE"""),"Schwing")</f>
        <v>Schwing</v>
      </c>
      <c r="L1279" s="74"/>
      <c r="M1279" s="74" t="str">
        <f>IFERROR(__xludf.DUMMYFUNCTION("""COMPUTED_VALUE"""),"Sin Asignar")</f>
        <v>Sin Asignar</v>
      </c>
      <c r="N1279" s="87">
        <f>IFERROR(__xludf.DUMMYFUNCTION("""COMPUTED_VALUE"""),888.0)</f>
        <v>888</v>
      </c>
      <c r="O1279" s="74">
        <f>IFERROR(__xludf.DUMMYFUNCTION("""COMPUTED_VALUE"""),5.0)</f>
        <v>5</v>
      </c>
      <c r="P1279" s="74" t="str">
        <f>IFERROR(__xludf.DUMMYFUNCTION("""COMPUTED_VALUE"""),"In stock")</f>
        <v>In stock</v>
      </c>
      <c r="Q1279" s="74"/>
      <c r="R1279" s="74"/>
      <c r="S1279" s="87">
        <f>IFERROR(__xludf.DUMMYFUNCTION("""COMPUTED_VALUE"""),14.0)</f>
        <v>14</v>
      </c>
      <c r="T1279" s="87">
        <f>IFERROR(__xludf.DUMMYFUNCTION("""COMPUTED_VALUE"""),50.0)</f>
        <v>50</v>
      </c>
      <c r="U1279" s="87">
        <f>IFERROR(__xludf.DUMMYFUNCTION("""COMPUTED_VALUE"""),48.0)</f>
        <v>48</v>
      </c>
      <c r="V1279" s="87">
        <f>IFERROR(__xludf.DUMMYFUNCTION("""COMPUTED_VALUE"""),17.15)</f>
        <v>17.15</v>
      </c>
      <c r="W1279" s="87">
        <f>IFERROR(__xludf.DUMMYFUNCTION("""COMPUTED_VALUE"""),321.5625)</f>
        <v>321.5625</v>
      </c>
      <c r="X1279" s="88">
        <f>IFERROR(__xludf.DUMMYFUNCTION("""COMPUTED_VALUE"""),3.4285714285714284)</f>
        <v>3.428571429</v>
      </c>
      <c r="Y1279" s="74"/>
      <c r="Z1279" s="74"/>
    </row>
    <row r="1280">
      <c r="B1280" s="74" t="str">
        <f>IFERROR(__xludf.DUMMYFUNCTION("""COMPUTED_VALUE"""),"2278")</f>
        <v>2278</v>
      </c>
      <c r="C1280" s="74"/>
      <c r="D1280" s="74" t="str">
        <f>IFERROR(__xludf.DUMMYFUNCTION("""COMPUTED_VALUE"""),"\\MCA-S\mk\2_BM\0_BMat\08_PYM\Inventario\excel\Imagen de refacciones\Schwing\Tapered Bend DN 180_150 90 Degrees _ Codo Cónico DN 180_150 90 Grados")</f>
        <v>\\MCA-S\mk\2_BM\0_BMat\08_PYM\Inventario\excel\Imagen de refacciones\Schwing\Tapered Bend DN 180_150 90 Degrees _ Codo Cónico DN 180_150 90 Grados</v>
      </c>
      <c r="E1280" s="74"/>
      <c r="F1280" s="74" t="str">
        <f>IFERROR(__xludf.DUMMYFUNCTION("""COMPUTED_VALUE"""),"Tapered Bend DN 180/150 90 Degrees / Codo Cónico DN 180/150 90 Grados")</f>
        <v>Tapered Bend DN 180/150 90 Degrees / Codo Cónico DN 180/150 90 Grados</v>
      </c>
      <c r="G1280" s="74"/>
      <c r="H1280" s="74"/>
      <c r="I1280" s="74" t="str">
        <f>IFERROR(__xludf.DUMMYFUNCTION("""COMPUTED_VALUE"""),"SOM30240")</f>
        <v>SOM30240</v>
      </c>
      <c r="J1280" s="74" t="str">
        <f>IFERROR(__xludf.DUMMYFUNCTION("""COMPUTED_VALUE"""),"10017547")</f>
        <v>10017547</v>
      </c>
      <c r="K1280" s="74" t="str">
        <f>IFERROR(__xludf.DUMMYFUNCTION("""COMPUTED_VALUE"""),"Schwing")</f>
        <v>Schwing</v>
      </c>
      <c r="L1280" s="74" t="str">
        <f>IFERROR(__xludf.DUMMYFUNCTION("""COMPUTED_VALUE"""),"Sistema de Bombeo de Concreto")</f>
        <v>Sistema de Bombeo de Concreto</v>
      </c>
      <c r="M1280" s="74" t="str">
        <f>IFERROR(__xludf.DUMMYFUNCTION("""COMPUTED_VALUE"""),"Sin Asignar")</f>
        <v>Sin Asignar</v>
      </c>
      <c r="N1280" s="87">
        <f>IFERROR(__xludf.DUMMYFUNCTION("""COMPUTED_VALUE"""),0.0)</f>
        <v>0</v>
      </c>
      <c r="O1280" s="74"/>
      <c r="P1280" s="74" t="str">
        <f>IFERROR(__xludf.DUMMYFUNCTION("""COMPUTED_VALUE"""),"borrar")</f>
        <v>borrar</v>
      </c>
      <c r="Q1280" s="74"/>
      <c r="R1280" s="74"/>
      <c r="S1280" s="87">
        <f>IFERROR(__xludf.DUMMYFUNCTION("""COMPUTED_VALUE"""),0.0)</f>
        <v>0</v>
      </c>
      <c r="T1280" s="87">
        <f>IFERROR(__xludf.DUMMYFUNCTION("""COMPUTED_VALUE"""),0.0)</f>
        <v>0</v>
      </c>
      <c r="U1280" s="87">
        <f>IFERROR(__xludf.DUMMYFUNCTION("""COMPUTED_VALUE"""),0.0)</f>
        <v>0</v>
      </c>
      <c r="V1280" s="87">
        <f>IFERROR(__xludf.DUMMYFUNCTION("""COMPUTED_VALUE"""),0.0)</f>
        <v>0</v>
      </c>
      <c r="W1280" s="87">
        <f>IFERROR(__xludf.DUMMYFUNCTION("""COMPUTED_VALUE"""),0.0)</f>
        <v>0</v>
      </c>
      <c r="X1280" s="88"/>
      <c r="Y1280" s="74"/>
      <c r="Z1280" s="74"/>
    </row>
    <row r="1281">
      <c r="B1281" s="74" t="str">
        <f>IFERROR(__xludf.DUMMYFUNCTION("""COMPUTED_VALUE"""),"2279")</f>
        <v>2279</v>
      </c>
      <c r="C1281" s="74"/>
      <c r="D1281" s="74" t="str">
        <f>IFERROR(__xludf.DUMMYFUNCTION("""COMPUTED_VALUE"""),"\\MCA-S\mk\2_BM\0_BMat\08_PYM\Inventario\excel\Imagen de refacciones\Schwing\Tapered Pipe DN 150-125 1600 MM _ Tubería Cónica DN 150-125 1600 MM")</f>
        <v>\\MCA-S\mk\2_BM\0_BMat\08_PYM\Inventario\excel\Imagen de refacciones\Schwing\Tapered Pipe DN 150-125 1600 MM _ Tubería Cónica DN 150-125 1600 MM</v>
      </c>
      <c r="E1281" s="74"/>
      <c r="F1281" s="74" t="str">
        <f>IFERROR(__xludf.DUMMYFUNCTION("""COMPUTED_VALUE"""),"Tapered Pipe DN 150-125 1600 MM / Tubería Cónica DN 150-125 1600 MM")</f>
        <v>Tapered Pipe DN 150-125 1600 MM / Tubería Cónica DN 150-125 1600 MM</v>
      </c>
      <c r="G1281" s="74"/>
      <c r="H1281" s="74"/>
      <c r="I1281" s="74" t="str">
        <f>IFERROR(__xludf.DUMMYFUNCTION("""COMPUTED_VALUE"""),"SOM30261")</f>
        <v>SOM30261</v>
      </c>
      <c r="J1281" s="74" t="str">
        <f>IFERROR(__xludf.DUMMYFUNCTION("""COMPUTED_VALUE"""),"10085710")</f>
        <v>10085710</v>
      </c>
      <c r="K1281" s="74" t="str">
        <f>IFERROR(__xludf.DUMMYFUNCTION("""COMPUTED_VALUE"""),"Schwing")</f>
        <v>Schwing</v>
      </c>
      <c r="L1281" s="74" t="str">
        <f>IFERROR(__xludf.DUMMYFUNCTION("""COMPUTED_VALUE"""),"Sistema de Bombeo de Concreto")</f>
        <v>Sistema de Bombeo de Concreto</v>
      </c>
      <c r="M1281" s="74" t="str">
        <f>IFERROR(__xludf.DUMMYFUNCTION("""COMPUTED_VALUE"""),"Sin Asignar")</f>
        <v>Sin Asignar</v>
      </c>
      <c r="N1281" s="87">
        <f>IFERROR(__xludf.DUMMYFUNCTION("""COMPUTED_VALUE"""),0.0)</f>
        <v>0</v>
      </c>
      <c r="O1281" s="74"/>
      <c r="P1281" s="74" t="str">
        <f>IFERROR(__xludf.DUMMYFUNCTION("""COMPUTED_VALUE"""),"No Available")</f>
        <v>No Available</v>
      </c>
      <c r="Q1281" s="74"/>
      <c r="R1281" s="74"/>
      <c r="S1281" s="87">
        <f>IFERROR(__xludf.DUMMYFUNCTION("""COMPUTED_VALUE"""),0.0)</f>
        <v>0</v>
      </c>
      <c r="T1281" s="87">
        <f>IFERROR(__xludf.DUMMYFUNCTION("""COMPUTED_VALUE"""),0.0)</f>
        <v>0</v>
      </c>
      <c r="U1281" s="87">
        <f>IFERROR(__xludf.DUMMYFUNCTION("""COMPUTED_VALUE"""),0.0)</f>
        <v>0</v>
      </c>
      <c r="V1281" s="87">
        <f>IFERROR(__xludf.DUMMYFUNCTION("""COMPUTED_VALUE"""),0.0)</f>
        <v>0</v>
      </c>
      <c r="W1281" s="87">
        <f>IFERROR(__xludf.DUMMYFUNCTION("""COMPUTED_VALUE"""),0.0)</f>
        <v>0</v>
      </c>
      <c r="X1281" s="88"/>
      <c r="Y1281" s="74"/>
      <c r="Z1281" s="74"/>
    </row>
    <row r="1282">
      <c r="B1282" s="74" t="str">
        <f>IFERROR(__xludf.DUMMYFUNCTION("""COMPUTED_VALUE"""),"2280")</f>
        <v>2280</v>
      </c>
      <c r="C1282" s="74"/>
      <c r="D1282" s="74" t="str">
        <f>IFERROR(__xludf.DUMMYFUNCTION("""COMPUTED_VALUE"""),"\\MCA-S\mk\2_BM\0_BMat\08_PYM\Inventario\excel\Imagen de refacciones\Schwing\Tapered Tube DN 150-125 3000 MM _ Tubo Cónico DN 150-125 3000 MM")</f>
        <v>\\MCA-S\mk\2_BM\0_BMat\08_PYM\Inventario\excel\Imagen de refacciones\Schwing\Tapered Tube DN 150-125 3000 MM _ Tubo Cónico DN 150-125 3000 MM</v>
      </c>
      <c r="E1282" s="74"/>
      <c r="F1282" s="74" t="str">
        <f>IFERROR(__xludf.DUMMYFUNCTION("""COMPUTED_VALUE"""),"Tapered Tube DN 150-125 3000 MM / Tubo Cónico DN 150-125 3000 MM")</f>
        <v>Tapered Tube DN 150-125 3000 MM / Tubo Cónico DN 150-125 3000 MM</v>
      </c>
      <c r="G1282" s="74"/>
      <c r="H1282" s="74"/>
      <c r="I1282" s="74" t="str">
        <f>IFERROR(__xludf.DUMMYFUNCTION("""COMPUTED_VALUE"""),"SOM30264")</f>
        <v>SOM30264</v>
      </c>
      <c r="J1282" s="74" t="str">
        <f>IFERROR(__xludf.DUMMYFUNCTION("""COMPUTED_VALUE"""),"10008470")</f>
        <v>10008470</v>
      </c>
      <c r="K1282" s="74" t="str">
        <f>IFERROR(__xludf.DUMMYFUNCTION("""COMPUTED_VALUE"""),"Schwing")</f>
        <v>Schwing</v>
      </c>
      <c r="L1282" s="74" t="str">
        <f>IFERROR(__xludf.DUMMYFUNCTION("""COMPUTED_VALUE"""),"Sistema de Bombeo de Concreto")</f>
        <v>Sistema de Bombeo de Concreto</v>
      </c>
      <c r="M1282" s="74" t="str">
        <f>IFERROR(__xludf.DUMMYFUNCTION("""COMPUTED_VALUE"""),"Sin Asignar")</f>
        <v>Sin Asignar</v>
      </c>
      <c r="N1282" s="87">
        <f>IFERROR(__xludf.DUMMYFUNCTION("""COMPUTED_VALUE"""),0.0)</f>
        <v>0</v>
      </c>
      <c r="O1282" s="74"/>
      <c r="P1282" s="74" t="str">
        <f>IFERROR(__xludf.DUMMYFUNCTION("""COMPUTED_VALUE"""),"No Available")</f>
        <v>No Available</v>
      </c>
      <c r="Q1282" s="74"/>
      <c r="R1282" s="74"/>
      <c r="S1282" s="87">
        <f>IFERROR(__xludf.DUMMYFUNCTION("""COMPUTED_VALUE"""),0.0)</f>
        <v>0</v>
      </c>
      <c r="T1282" s="87">
        <f>IFERROR(__xludf.DUMMYFUNCTION("""COMPUTED_VALUE"""),0.0)</f>
        <v>0</v>
      </c>
      <c r="U1282" s="87">
        <f>IFERROR(__xludf.DUMMYFUNCTION("""COMPUTED_VALUE"""),0.0)</f>
        <v>0</v>
      </c>
      <c r="V1282" s="87">
        <f>IFERROR(__xludf.DUMMYFUNCTION("""COMPUTED_VALUE"""),0.0)</f>
        <v>0</v>
      </c>
      <c r="W1282" s="87">
        <f>IFERROR(__xludf.DUMMYFUNCTION("""COMPUTED_VALUE"""),0.0)</f>
        <v>0</v>
      </c>
      <c r="X1282" s="88"/>
      <c r="Y1282" s="74"/>
      <c r="Z1282" s="74"/>
    </row>
    <row r="1283">
      <c r="B1283" s="74" t="str">
        <f>IFERROR(__xludf.DUMMYFUNCTION("""COMPUTED_VALUE"""),"2281")</f>
        <v>2281</v>
      </c>
      <c r="C1283" s="74"/>
      <c r="D1283" s="74" t="str">
        <f>IFERROR(__xludf.DUMMYFUNCTION("""COMPUTED_VALUE"""),"\\MCA-S\mk\2_BM\0_BMat\08_PYM\Inventario\excel\Imagen de refacciones\Schwing\Tapered Tube DN 180-150 1500MM _ Tubo Cónico DN 180-150 1500MM")</f>
        <v>\\MCA-S\mk\2_BM\0_BMat\08_PYM\Inventario\excel\Imagen de refacciones\Schwing\Tapered Tube DN 180-150 1500MM _ Tubo Cónico DN 180-150 1500MM</v>
      </c>
      <c r="E1283" s="74"/>
      <c r="F1283" s="74" t="str">
        <f>IFERROR(__xludf.DUMMYFUNCTION("""COMPUTED_VALUE"""),"Tapered Tube DN 180-150 1500MM / Tubo Cónico DN 180-150 1500MM")</f>
        <v>Tapered Tube DN 180-150 1500MM / Tubo Cónico DN 180-150 1500MM</v>
      </c>
      <c r="G1283" s="74"/>
      <c r="H1283" s="74"/>
      <c r="I1283" s="74" t="str">
        <f>IFERROR(__xludf.DUMMYFUNCTION("""COMPUTED_VALUE"""),"SOM30257")</f>
        <v>SOM30257</v>
      </c>
      <c r="J1283" s="74" t="str">
        <f>IFERROR(__xludf.DUMMYFUNCTION("""COMPUTED_VALUE"""),"10201401")</f>
        <v>10201401</v>
      </c>
      <c r="K1283" s="74" t="str">
        <f>IFERROR(__xludf.DUMMYFUNCTION("""COMPUTED_VALUE"""),"Schwing")</f>
        <v>Schwing</v>
      </c>
      <c r="L1283" s="74" t="str">
        <f>IFERROR(__xludf.DUMMYFUNCTION("""COMPUTED_VALUE"""),"Sistema de Bombeo de Concreto")</f>
        <v>Sistema de Bombeo de Concreto</v>
      </c>
      <c r="M1283" s="74" t="str">
        <f>IFERROR(__xludf.DUMMYFUNCTION("""COMPUTED_VALUE"""),"Sin Asignar")</f>
        <v>Sin Asignar</v>
      </c>
      <c r="N1283" s="87">
        <f>IFERROR(__xludf.DUMMYFUNCTION("""COMPUTED_VALUE"""),0.0)</f>
        <v>0</v>
      </c>
      <c r="O1283" s="74"/>
      <c r="P1283" s="74" t="str">
        <f>IFERROR(__xludf.DUMMYFUNCTION("""COMPUTED_VALUE"""),"No Available")</f>
        <v>No Available</v>
      </c>
      <c r="Q1283" s="74"/>
      <c r="R1283" s="74"/>
      <c r="S1283" s="87">
        <f>IFERROR(__xludf.DUMMYFUNCTION("""COMPUTED_VALUE"""),0.0)</f>
        <v>0</v>
      </c>
      <c r="T1283" s="87">
        <f>IFERROR(__xludf.DUMMYFUNCTION("""COMPUTED_VALUE"""),0.0)</f>
        <v>0</v>
      </c>
      <c r="U1283" s="87">
        <f>IFERROR(__xludf.DUMMYFUNCTION("""COMPUTED_VALUE"""),0.0)</f>
        <v>0</v>
      </c>
      <c r="V1283" s="87">
        <f>IFERROR(__xludf.DUMMYFUNCTION("""COMPUTED_VALUE"""),0.0)</f>
        <v>0</v>
      </c>
      <c r="W1283" s="87">
        <f>IFERROR(__xludf.DUMMYFUNCTION("""COMPUTED_VALUE"""),0.0)</f>
        <v>0</v>
      </c>
      <c r="X1283" s="88"/>
      <c r="Y1283" s="74"/>
      <c r="Z1283" s="74"/>
    </row>
    <row r="1284">
      <c r="B1284" s="74" t="str">
        <f>IFERROR(__xludf.DUMMYFUNCTION("""COMPUTED_VALUE"""),"2282")</f>
        <v>2282</v>
      </c>
      <c r="C1284" s="74"/>
      <c r="D1284" s="74" t="str">
        <f>IFERROR(__xludf.DUMMYFUNCTION("""COMPUTED_VALUE"""),"\\MCA-S\mk\2_BM\0_BMat\08_PYM\Inventario\excel\Imagen de refacciones\Schwing\Tension Nut _ Tuerca de Tensión")</f>
        <v>\\MCA-S\mk\2_BM\0_BMat\08_PYM\Inventario\excel\Imagen de refacciones\Schwing\Tension Nut _ Tuerca de Tensión</v>
      </c>
      <c r="E1284" s="74"/>
      <c r="F1284" s="74" t="str">
        <f>IFERROR(__xludf.DUMMYFUNCTION("""COMPUTED_VALUE"""),"Tension Nut / Tuerca de Tensión")</f>
        <v>Tension Nut / Tuerca de Tensión</v>
      </c>
      <c r="G1284" s="74"/>
      <c r="H1284" s="74"/>
      <c r="I1284" s="74" t="str">
        <f>IFERROR(__xludf.DUMMYFUNCTION("""COMPUTED_VALUE"""),"SOM30031")</f>
        <v>SOM30031</v>
      </c>
      <c r="J1284" s="74" t="str">
        <f>IFERROR(__xludf.DUMMYFUNCTION("""COMPUTED_VALUE"""),"10043980")</f>
        <v>10043980</v>
      </c>
      <c r="K1284" s="74" t="str">
        <f>IFERROR(__xludf.DUMMYFUNCTION("""COMPUTED_VALUE"""),"Schwing")</f>
        <v>Schwing</v>
      </c>
      <c r="L1284" s="74" t="str">
        <f>IFERROR(__xludf.DUMMYFUNCTION("""COMPUTED_VALUE"""),"Componentes Estructurales y de Montaje")</f>
        <v>Componentes Estructurales y de Montaje</v>
      </c>
      <c r="M1284" s="74" t="str">
        <f>IFERROR(__xludf.DUMMYFUNCTION("""COMPUTED_VALUE"""),"Sin Asignar")</f>
        <v>Sin Asignar</v>
      </c>
      <c r="N1284" s="87">
        <f>IFERROR(__xludf.DUMMYFUNCTION("""COMPUTED_VALUE"""),0.0)</f>
        <v>0</v>
      </c>
      <c r="O1284" s="74"/>
      <c r="P1284" s="74" t="str">
        <f>IFERROR(__xludf.DUMMYFUNCTION("""COMPUTED_VALUE"""),"borrar")</f>
        <v>borrar</v>
      </c>
      <c r="Q1284" s="74"/>
      <c r="R1284" s="74"/>
      <c r="S1284" s="87">
        <f>IFERROR(__xludf.DUMMYFUNCTION("""COMPUTED_VALUE"""),0.0)</f>
        <v>0</v>
      </c>
      <c r="T1284" s="87">
        <f>IFERROR(__xludf.DUMMYFUNCTION("""COMPUTED_VALUE"""),0.0)</f>
        <v>0</v>
      </c>
      <c r="U1284" s="87">
        <f>IFERROR(__xludf.DUMMYFUNCTION("""COMPUTED_VALUE"""),0.0)</f>
        <v>0</v>
      </c>
      <c r="V1284" s="87">
        <f>IFERROR(__xludf.DUMMYFUNCTION("""COMPUTED_VALUE"""),0.0)</f>
        <v>0</v>
      </c>
      <c r="W1284" s="87">
        <f>IFERROR(__xludf.DUMMYFUNCTION("""COMPUTED_VALUE"""),0.0)</f>
        <v>0</v>
      </c>
      <c r="X1284" s="88"/>
      <c r="Y1284" s="74"/>
      <c r="Z1284" s="74"/>
    </row>
    <row r="1285">
      <c r="B1285" s="74" t="str">
        <f>IFERROR(__xludf.DUMMYFUNCTION("""COMPUTED_VALUE"""),"2283")</f>
        <v>2283</v>
      </c>
      <c r="C1285" s="74"/>
      <c r="D1285" s="74" t="str">
        <f>IFERROR(__xludf.DUMMYFUNCTION("""COMPUTED_VALUE"""),"\\MCA-S\mk\2_BM\0_BMat\08_PYM\Inventario\excel\Imagen de refacciones\Schwing\Tension Nut New _ Tuerca de Tensión Nueva")</f>
        <v>\\MCA-S\mk\2_BM\0_BMat\08_PYM\Inventario\excel\Imagen de refacciones\Schwing\Tension Nut New _ Tuerca de Tensión Nueva</v>
      </c>
      <c r="E1285" s="74"/>
      <c r="F1285" s="74" t="str">
        <f>IFERROR(__xludf.DUMMYFUNCTION("""COMPUTED_VALUE"""),"Tension Nut New / Tuerca de Tensión Nueva")</f>
        <v>Tension Nut New / Tuerca de Tensión Nueva</v>
      </c>
      <c r="G1285" s="74"/>
      <c r="H1285" s="74"/>
      <c r="I1285" s="74" t="str">
        <f>IFERROR(__xludf.DUMMYFUNCTION("""COMPUTED_VALUE"""),"SOM30032")</f>
        <v>SOM30032</v>
      </c>
      <c r="J1285" s="74" t="str">
        <f>IFERROR(__xludf.DUMMYFUNCTION("""COMPUTED_VALUE"""),"10032581")</f>
        <v>10032581</v>
      </c>
      <c r="K1285" s="74" t="str">
        <f>IFERROR(__xludf.DUMMYFUNCTION("""COMPUTED_VALUE"""),"Schwing")</f>
        <v>Schwing</v>
      </c>
      <c r="L1285" s="74" t="str">
        <f>IFERROR(__xludf.DUMMYFUNCTION("""COMPUTED_VALUE"""),"Componentes Estructurales y de Montaje")</f>
        <v>Componentes Estructurales y de Montaje</v>
      </c>
      <c r="M1285" s="74" t="str">
        <f>IFERROR(__xludf.DUMMYFUNCTION("""COMPUTED_VALUE"""),"Sin Asignar")</f>
        <v>Sin Asignar</v>
      </c>
      <c r="N1285" s="87">
        <f>IFERROR(__xludf.DUMMYFUNCTION("""COMPUTED_VALUE"""),0.0)</f>
        <v>0</v>
      </c>
      <c r="O1285" s="74"/>
      <c r="P1285" s="74" t="str">
        <f>IFERROR(__xludf.DUMMYFUNCTION("""COMPUTED_VALUE"""),"No Available")</f>
        <v>No Available</v>
      </c>
      <c r="Q1285" s="74"/>
      <c r="R1285" s="74"/>
      <c r="S1285" s="87">
        <f>IFERROR(__xludf.DUMMYFUNCTION("""COMPUTED_VALUE"""),0.0)</f>
        <v>0</v>
      </c>
      <c r="T1285" s="87">
        <f>IFERROR(__xludf.DUMMYFUNCTION("""COMPUTED_VALUE"""),0.0)</f>
        <v>0</v>
      </c>
      <c r="U1285" s="87">
        <f>IFERROR(__xludf.DUMMYFUNCTION("""COMPUTED_VALUE"""),0.0)</f>
        <v>0</v>
      </c>
      <c r="V1285" s="87">
        <f>IFERROR(__xludf.DUMMYFUNCTION("""COMPUTED_VALUE"""),0.0)</f>
        <v>0</v>
      </c>
      <c r="W1285" s="87">
        <f>IFERROR(__xludf.DUMMYFUNCTION("""COMPUTED_VALUE"""),0.0)</f>
        <v>0</v>
      </c>
      <c r="X1285" s="88"/>
      <c r="Y1285" s="74"/>
      <c r="Z1285" s="74"/>
    </row>
    <row r="1286">
      <c r="B1286" s="74" t="str">
        <f>IFERROR(__xludf.DUMMYFUNCTION("""COMPUTED_VALUE"""),"2284")</f>
        <v>2284</v>
      </c>
      <c r="C1286" s="74"/>
      <c r="D1286" s="74" t="str">
        <f>IFERROR(__xludf.DUMMYFUNCTION("""COMPUTED_VALUE"""),"\\MCA-S\mk\2_BM\0_BMat\08_PYM\Inventario\excel\Imagen de refacciones\Schwing\Tension Ring _ Anillo de Tensión")</f>
        <v>\\MCA-S\mk\2_BM\0_BMat\08_PYM\Inventario\excel\Imagen de refacciones\Schwing\Tension Ring _ Anillo de Tensión</v>
      </c>
      <c r="E1286" s="74"/>
      <c r="F1286" s="74" t="str">
        <f>IFERROR(__xludf.DUMMYFUNCTION("""COMPUTED_VALUE"""),"Tension Ring / Anillo de Tensión")</f>
        <v>Tension Ring / Anillo de Tensión</v>
      </c>
      <c r="G1286" s="74"/>
      <c r="H1286" s="74"/>
      <c r="I1286" s="74" t="str">
        <f>IFERROR(__xludf.DUMMYFUNCTION("""COMPUTED_VALUE"""),"SOM30071")</f>
        <v>SOM30071</v>
      </c>
      <c r="J1286" s="74" t="str">
        <f>IFERROR(__xludf.DUMMYFUNCTION("""COMPUTED_VALUE"""),"10017559")</f>
        <v>10017559</v>
      </c>
      <c r="K1286" s="74" t="str">
        <f>IFERROR(__xludf.DUMMYFUNCTION("""COMPUTED_VALUE"""),"Schwing")</f>
        <v>Schwing</v>
      </c>
      <c r="L1286" s="74" t="str">
        <f>IFERROR(__xludf.DUMMYFUNCTION("""COMPUTED_VALUE"""),"Componentes Estructurales y de Montaje")</f>
        <v>Componentes Estructurales y de Montaje</v>
      </c>
      <c r="M1286" s="74" t="str">
        <f>IFERROR(__xludf.DUMMYFUNCTION("""COMPUTED_VALUE"""),"Sin Asignar")</f>
        <v>Sin Asignar</v>
      </c>
      <c r="N1286" s="87">
        <f>IFERROR(__xludf.DUMMYFUNCTION("""COMPUTED_VALUE"""),0.0)</f>
        <v>0</v>
      </c>
      <c r="O1286" s="74"/>
      <c r="P1286" s="74" t="str">
        <f>IFERROR(__xludf.DUMMYFUNCTION("""COMPUTED_VALUE"""),"No Available")</f>
        <v>No Available</v>
      </c>
      <c r="Q1286" s="74"/>
      <c r="R1286" s="74"/>
      <c r="S1286" s="87">
        <f>IFERROR(__xludf.DUMMYFUNCTION("""COMPUTED_VALUE"""),0.0)</f>
        <v>0</v>
      </c>
      <c r="T1286" s="87">
        <f>IFERROR(__xludf.DUMMYFUNCTION("""COMPUTED_VALUE"""),0.0)</f>
        <v>0</v>
      </c>
      <c r="U1286" s="87">
        <f>IFERROR(__xludf.DUMMYFUNCTION("""COMPUTED_VALUE"""),0.0)</f>
        <v>0</v>
      </c>
      <c r="V1286" s="87">
        <f>IFERROR(__xludf.DUMMYFUNCTION("""COMPUTED_VALUE"""),0.0)</f>
        <v>0</v>
      </c>
      <c r="W1286" s="87">
        <f>IFERROR(__xludf.DUMMYFUNCTION("""COMPUTED_VALUE"""),0.0)</f>
        <v>0</v>
      </c>
      <c r="X1286" s="88"/>
      <c r="Y1286" s="74"/>
      <c r="Z1286" s="74"/>
    </row>
    <row r="1287">
      <c r="B1287" s="74" t="str">
        <f>IFERROR(__xludf.DUMMYFUNCTION("""COMPUTED_VALUE"""),"2285")</f>
        <v>2285</v>
      </c>
      <c r="C1287" s="74"/>
      <c r="D1287" s="74" t="str">
        <f>IFERROR(__xludf.DUMMYFUNCTION("""COMPUTED_VALUE"""),"\\MCA-S\mk\2_BM\0_BMat\08_PYM\Inventario\excel\Imagen de refacciones\Schwing\Tension Ring _ Anillo de Tensión (1)")</f>
        <v>\\MCA-S\mk\2_BM\0_BMat\08_PYM\Inventario\excel\Imagen de refacciones\Schwing\Tension Ring _ Anillo de Tensión (1)</v>
      </c>
      <c r="E1287" s="74"/>
      <c r="F1287" s="74" t="str">
        <f>IFERROR(__xludf.DUMMYFUNCTION("""COMPUTED_VALUE"""),"Tension Ring / Anillo de Tensión")</f>
        <v>Tension Ring / Anillo de Tensión</v>
      </c>
      <c r="G1287" s="74"/>
      <c r="H1287" s="74"/>
      <c r="I1287" s="74" t="str">
        <f>IFERROR(__xludf.DUMMYFUNCTION("""COMPUTED_VALUE"""),"SOM30143")</f>
        <v>SOM30143</v>
      </c>
      <c r="J1287" s="74" t="str">
        <f>IFERROR(__xludf.DUMMYFUNCTION("""COMPUTED_VALUE"""),"10004877")</f>
        <v>10004877</v>
      </c>
      <c r="K1287" s="74" t="str">
        <f>IFERROR(__xludf.DUMMYFUNCTION("""COMPUTED_VALUE"""),"Schwing")</f>
        <v>Schwing</v>
      </c>
      <c r="L1287" s="74" t="str">
        <f>IFERROR(__xludf.DUMMYFUNCTION("""COMPUTED_VALUE"""),"Sellos y Retenes")</f>
        <v>Sellos y Retenes</v>
      </c>
      <c r="M1287" s="74" t="str">
        <f>IFERROR(__xludf.DUMMYFUNCTION("""COMPUTED_VALUE"""),"Sin Asignar")</f>
        <v>Sin Asignar</v>
      </c>
      <c r="N1287" s="87">
        <f>IFERROR(__xludf.DUMMYFUNCTION("""COMPUTED_VALUE"""),0.0)</f>
        <v>0</v>
      </c>
      <c r="O1287" s="74"/>
      <c r="P1287" s="74" t="str">
        <f>IFERROR(__xludf.DUMMYFUNCTION("""COMPUTED_VALUE"""),"No Available")</f>
        <v>No Available</v>
      </c>
      <c r="Q1287" s="74"/>
      <c r="R1287" s="74"/>
      <c r="S1287" s="87">
        <f>IFERROR(__xludf.DUMMYFUNCTION("""COMPUTED_VALUE"""),0.0)</f>
        <v>0</v>
      </c>
      <c r="T1287" s="87">
        <f>IFERROR(__xludf.DUMMYFUNCTION("""COMPUTED_VALUE"""),0.0)</f>
        <v>0</v>
      </c>
      <c r="U1287" s="87">
        <f>IFERROR(__xludf.DUMMYFUNCTION("""COMPUTED_VALUE"""),0.0)</f>
        <v>0</v>
      </c>
      <c r="V1287" s="87">
        <f>IFERROR(__xludf.DUMMYFUNCTION("""COMPUTED_VALUE"""),0.0)</f>
        <v>0</v>
      </c>
      <c r="W1287" s="87">
        <f>IFERROR(__xludf.DUMMYFUNCTION("""COMPUTED_VALUE"""),0.0)</f>
        <v>0</v>
      </c>
      <c r="X1287" s="88"/>
      <c r="Y1287" s="74"/>
      <c r="Z1287" s="74"/>
    </row>
    <row r="1288">
      <c r="B1288" s="74" t="str">
        <f>IFERROR(__xludf.DUMMYFUNCTION("""COMPUTED_VALUE"""),"2286")</f>
        <v>2286</v>
      </c>
      <c r="C1288" s="74"/>
      <c r="D1288" s="74" t="str">
        <f>IFERROR(__xludf.DUMMYFUNCTION("""COMPUTED_VALUE"""),"\\MCA-S\mk\2_BM\0_BMat\08_PYM\Inventario\excel\Imagen de refacciones\Schwing\Tension Ring 120_85 _ Anillo de Tensión 120_85")</f>
        <v>\\MCA-S\mk\2_BM\0_BMat\08_PYM\Inventario\excel\Imagen de refacciones\Schwing\Tension Ring 120_85 _ Anillo de Tensión 120_85</v>
      </c>
      <c r="E1288" s="74"/>
      <c r="F1288" s="74" t="str">
        <f>IFERROR(__xludf.DUMMYFUNCTION("""COMPUTED_VALUE"""),"Tension Ring 120/85 / Anillo de Tensión 120/85")</f>
        <v>Tension Ring 120/85 / Anillo de Tensión 120/85</v>
      </c>
      <c r="G1288" s="74"/>
      <c r="H1288" s="74"/>
      <c r="I1288" s="74" t="str">
        <f>IFERROR(__xludf.DUMMYFUNCTION("""COMPUTED_VALUE"""),"SOM30145")</f>
        <v>SOM30145</v>
      </c>
      <c r="J1288" s="74" t="str">
        <f>IFERROR(__xludf.DUMMYFUNCTION("""COMPUTED_VALUE"""),"10205704")</f>
        <v>10205704</v>
      </c>
      <c r="K1288" s="74" t="str">
        <f>IFERROR(__xludf.DUMMYFUNCTION("""COMPUTED_VALUE"""),"Schwing")</f>
        <v>Schwing</v>
      </c>
      <c r="L1288" s="74" t="str">
        <f>IFERROR(__xludf.DUMMYFUNCTION("""COMPUTED_VALUE"""),"Sellos y Retenes")</f>
        <v>Sellos y Retenes</v>
      </c>
      <c r="M1288" s="74" t="str">
        <f>IFERROR(__xludf.DUMMYFUNCTION("""COMPUTED_VALUE"""),"Sin Asignar")</f>
        <v>Sin Asignar</v>
      </c>
      <c r="N1288" s="87">
        <f>IFERROR(__xludf.DUMMYFUNCTION("""COMPUTED_VALUE"""),0.0)</f>
        <v>0</v>
      </c>
      <c r="O1288" s="74"/>
      <c r="P1288" s="74" t="str">
        <f>IFERROR(__xludf.DUMMYFUNCTION("""COMPUTED_VALUE"""),"No Available")</f>
        <v>No Available</v>
      </c>
      <c r="Q1288" s="74"/>
      <c r="R1288" s="74"/>
      <c r="S1288" s="87">
        <f>IFERROR(__xludf.DUMMYFUNCTION("""COMPUTED_VALUE"""),0.0)</f>
        <v>0</v>
      </c>
      <c r="T1288" s="87">
        <f>IFERROR(__xludf.DUMMYFUNCTION("""COMPUTED_VALUE"""),0.0)</f>
        <v>0</v>
      </c>
      <c r="U1288" s="87">
        <f>IFERROR(__xludf.DUMMYFUNCTION("""COMPUTED_VALUE"""),0.0)</f>
        <v>0</v>
      </c>
      <c r="V1288" s="87">
        <f>IFERROR(__xludf.DUMMYFUNCTION("""COMPUTED_VALUE"""),0.0)</f>
        <v>0</v>
      </c>
      <c r="W1288" s="87">
        <f>IFERROR(__xludf.DUMMYFUNCTION("""COMPUTED_VALUE"""),0.0)</f>
        <v>0</v>
      </c>
      <c r="X1288" s="88"/>
      <c r="Y1288" s="74"/>
      <c r="Z1288" s="74"/>
    </row>
    <row r="1289">
      <c r="B1289" s="74" t="str">
        <f>IFERROR(__xludf.DUMMYFUNCTION("""COMPUTED_VALUE"""),"2287")</f>
        <v>2287</v>
      </c>
      <c r="C1289" s="74"/>
      <c r="D1289" s="74" t="str">
        <f>IFERROR(__xludf.DUMMYFUNCTION("""COMPUTED_VALUE"""),"\\MCA-S\mk\2_BM\0_BMat\08_PYM\Inventario\excel\Imagen de refacciones\Schwing\Tension Ring 1200-2023 _ Anillo de Tensión 1200-2023")</f>
        <v>\\MCA-S\mk\2_BM\0_BMat\08_PYM\Inventario\excel\Imagen de refacciones\Schwing\Tension Ring 1200-2023 _ Anillo de Tensión 1200-2023</v>
      </c>
      <c r="E1289" s="74"/>
      <c r="F1289" s="74" t="str">
        <f>IFERROR(__xludf.DUMMYFUNCTION("""COMPUTED_VALUE"""),"Tension Ring 1200-2023 / Anillo de Tensión 1200-2023")</f>
        <v>Tension Ring 1200-2023 / Anillo de Tensión 1200-2023</v>
      </c>
      <c r="G1289" s="74"/>
      <c r="H1289" s="74"/>
      <c r="I1289" s="74" t="str">
        <f>IFERROR(__xludf.DUMMYFUNCTION("""COMPUTED_VALUE"""),"SOM30142")</f>
        <v>SOM30142</v>
      </c>
      <c r="J1289" s="74" t="str">
        <f>IFERROR(__xludf.DUMMYFUNCTION("""COMPUTED_VALUE"""),"10017497")</f>
        <v>10017497</v>
      </c>
      <c r="K1289" s="74" t="str">
        <f>IFERROR(__xludf.DUMMYFUNCTION("""COMPUTED_VALUE"""),"Schwing")</f>
        <v>Schwing</v>
      </c>
      <c r="L1289" s="74" t="str">
        <f>IFERROR(__xludf.DUMMYFUNCTION("""COMPUTED_VALUE"""),"Sellos y Retenes")</f>
        <v>Sellos y Retenes</v>
      </c>
      <c r="M1289" s="74" t="str">
        <f>IFERROR(__xludf.DUMMYFUNCTION("""COMPUTED_VALUE"""),"Sin Asignar")</f>
        <v>Sin Asignar</v>
      </c>
      <c r="N1289" s="87">
        <f>IFERROR(__xludf.DUMMYFUNCTION("""COMPUTED_VALUE"""),0.0)</f>
        <v>0</v>
      </c>
      <c r="O1289" s="74"/>
      <c r="P1289" s="74" t="str">
        <f>IFERROR(__xludf.DUMMYFUNCTION("""COMPUTED_VALUE"""),"No Available")</f>
        <v>No Available</v>
      </c>
      <c r="Q1289" s="74"/>
      <c r="R1289" s="74"/>
      <c r="S1289" s="87">
        <f>IFERROR(__xludf.DUMMYFUNCTION("""COMPUTED_VALUE"""),0.0)</f>
        <v>0</v>
      </c>
      <c r="T1289" s="87">
        <f>IFERROR(__xludf.DUMMYFUNCTION("""COMPUTED_VALUE"""),0.0)</f>
        <v>0</v>
      </c>
      <c r="U1289" s="87">
        <f>IFERROR(__xludf.DUMMYFUNCTION("""COMPUTED_VALUE"""),0.0)</f>
        <v>0</v>
      </c>
      <c r="V1289" s="87">
        <f>IFERROR(__xludf.DUMMYFUNCTION("""COMPUTED_VALUE"""),0.0)</f>
        <v>0</v>
      </c>
      <c r="W1289" s="87">
        <f>IFERROR(__xludf.DUMMYFUNCTION("""COMPUTED_VALUE"""),0.0)</f>
        <v>0</v>
      </c>
      <c r="X1289" s="88"/>
      <c r="Y1289" s="74"/>
      <c r="Z1289" s="74"/>
    </row>
    <row r="1290">
      <c r="B1290" s="74" t="str">
        <f>IFERROR(__xludf.DUMMYFUNCTION("""COMPUTED_VALUE"""),"2288")</f>
        <v>2288</v>
      </c>
      <c r="C1290" s="74"/>
      <c r="D1290" s="74" t="str">
        <f>IFERROR(__xludf.DUMMYFUNCTION("""COMPUTED_VALUE"""),"\\MCA-S\mk\2_BM\0_BMat\08_PYM\Inventario\excel\Imagen de refacciones\Schwing\Tension Ring 2525 120_85 _ Anillo de Tensión 2525 120_85")</f>
        <v>\\MCA-S\mk\2_BM\0_BMat\08_PYM\Inventario\excel\Imagen de refacciones\Schwing\Tension Ring 2525 120_85 _ Anillo de Tensión 2525 120_85</v>
      </c>
      <c r="E1290" s="74"/>
      <c r="F1290" s="74" t="str">
        <f>IFERROR(__xludf.DUMMYFUNCTION("""COMPUTED_VALUE"""),"Tension Ring 2525 120/85 / Anillo de Tensión 2525 120/85")</f>
        <v>Tension Ring 2525 120/85 / Anillo de Tensión 2525 120/85</v>
      </c>
      <c r="G1290" s="74"/>
      <c r="H1290" s="74"/>
      <c r="I1290" s="74" t="str">
        <f>IFERROR(__xludf.DUMMYFUNCTION("""COMPUTED_VALUE"""),"SOM30144")</f>
        <v>SOM30144</v>
      </c>
      <c r="J1290" s="74" t="str">
        <f>IFERROR(__xludf.DUMMYFUNCTION("""COMPUTED_VALUE"""),"10164043")</f>
        <v>10164043</v>
      </c>
      <c r="K1290" s="74" t="str">
        <f>IFERROR(__xludf.DUMMYFUNCTION("""COMPUTED_VALUE"""),"Schwing")</f>
        <v>Schwing</v>
      </c>
      <c r="L1290" s="74" t="str">
        <f>IFERROR(__xludf.DUMMYFUNCTION("""COMPUTED_VALUE"""),"Sellos y Retenes")</f>
        <v>Sellos y Retenes</v>
      </c>
      <c r="M1290" s="74" t="str">
        <f>IFERROR(__xludf.DUMMYFUNCTION("""COMPUTED_VALUE"""),"Sin Asignar")</f>
        <v>Sin Asignar</v>
      </c>
      <c r="N1290" s="87">
        <f>IFERROR(__xludf.DUMMYFUNCTION("""COMPUTED_VALUE"""),0.0)</f>
        <v>0</v>
      </c>
      <c r="O1290" s="74"/>
      <c r="P1290" s="74" t="str">
        <f>IFERROR(__xludf.DUMMYFUNCTION("""COMPUTED_VALUE"""),"No Available")</f>
        <v>No Available</v>
      </c>
      <c r="Q1290" s="74"/>
      <c r="R1290" s="74"/>
      <c r="S1290" s="87">
        <f>IFERROR(__xludf.DUMMYFUNCTION("""COMPUTED_VALUE"""),0.0)</f>
        <v>0</v>
      </c>
      <c r="T1290" s="87">
        <f>IFERROR(__xludf.DUMMYFUNCTION("""COMPUTED_VALUE"""),0.0)</f>
        <v>0</v>
      </c>
      <c r="U1290" s="87">
        <f>IFERROR(__xludf.DUMMYFUNCTION("""COMPUTED_VALUE"""),0.0)</f>
        <v>0</v>
      </c>
      <c r="V1290" s="87">
        <f>IFERROR(__xludf.DUMMYFUNCTION("""COMPUTED_VALUE"""),0.0)</f>
        <v>0</v>
      </c>
      <c r="W1290" s="87">
        <f>IFERROR(__xludf.DUMMYFUNCTION("""COMPUTED_VALUE"""),0.0)</f>
        <v>0</v>
      </c>
      <c r="X1290" s="88"/>
      <c r="Y1290" s="74"/>
      <c r="Z1290" s="74"/>
    </row>
    <row r="1291">
      <c r="B1291" s="74" t="str">
        <f>IFERROR(__xludf.DUMMYFUNCTION("""COMPUTED_VALUE"""),"2289")</f>
        <v>2289</v>
      </c>
      <c r="C1291" s="74"/>
      <c r="D1291" s="74" t="str">
        <f>IFERROR(__xludf.DUMMYFUNCTION("""COMPUTED_VALUE"""),"\\MCA-S\mk\2_BM\0_BMat\08_PYM\Inventario\excel\Imagen de refacciones\Schwing\Torque Support _ Soporte de Par")</f>
        <v>\\MCA-S\mk\2_BM\0_BMat\08_PYM\Inventario\excel\Imagen de refacciones\Schwing\Torque Support _ Soporte de Par</v>
      </c>
      <c r="E1291" s="74"/>
      <c r="F1291" s="74" t="str">
        <f>IFERROR(__xludf.DUMMYFUNCTION("""COMPUTED_VALUE"""),"Torque Support / Soporte de Par")</f>
        <v>Torque Support / Soporte de Par</v>
      </c>
      <c r="G1291" s="74"/>
      <c r="H1291" s="74"/>
      <c r="I1291" s="74" t="str">
        <f>IFERROR(__xludf.DUMMYFUNCTION("""COMPUTED_VALUE"""),"SOM30162")</f>
        <v>SOM30162</v>
      </c>
      <c r="J1291" s="74" t="str">
        <f>IFERROR(__xludf.DUMMYFUNCTION("""COMPUTED_VALUE"""),"98321615")</f>
        <v>98321615</v>
      </c>
      <c r="K1291" s="74" t="str">
        <f>IFERROR(__xludf.DUMMYFUNCTION("""COMPUTED_VALUE"""),"Schwing")</f>
        <v>Schwing</v>
      </c>
      <c r="L1291" s="74" t="str">
        <f>IFERROR(__xludf.DUMMYFUNCTION("""COMPUTED_VALUE"""),"Transmisión Mecánica")</f>
        <v>Transmisión Mecánica</v>
      </c>
      <c r="M1291" s="74" t="str">
        <f>IFERROR(__xludf.DUMMYFUNCTION("""COMPUTED_VALUE"""),"Sin Asignar")</f>
        <v>Sin Asignar</v>
      </c>
      <c r="N1291" s="87">
        <f>IFERROR(__xludf.DUMMYFUNCTION("""COMPUTED_VALUE"""),0.0)</f>
        <v>0</v>
      </c>
      <c r="O1291" s="74"/>
      <c r="P1291" s="74" t="str">
        <f>IFERROR(__xludf.DUMMYFUNCTION("""COMPUTED_VALUE"""),"No Available")</f>
        <v>No Available</v>
      </c>
      <c r="Q1291" s="74"/>
      <c r="R1291" s="74"/>
      <c r="S1291" s="87">
        <f>IFERROR(__xludf.DUMMYFUNCTION("""COMPUTED_VALUE"""),0.0)</f>
        <v>0</v>
      </c>
      <c r="T1291" s="87">
        <f>IFERROR(__xludf.DUMMYFUNCTION("""COMPUTED_VALUE"""),0.0)</f>
        <v>0</v>
      </c>
      <c r="U1291" s="87">
        <f>IFERROR(__xludf.DUMMYFUNCTION("""COMPUTED_VALUE"""),0.0)</f>
        <v>0</v>
      </c>
      <c r="V1291" s="87">
        <f>IFERROR(__xludf.DUMMYFUNCTION("""COMPUTED_VALUE"""),0.0)</f>
        <v>0</v>
      </c>
      <c r="W1291" s="87">
        <f>IFERROR(__xludf.DUMMYFUNCTION("""COMPUTED_VALUE"""),0.0)</f>
        <v>0</v>
      </c>
      <c r="X1291" s="88"/>
      <c r="Y1291" s="74"/>
      <c r="Z1291" s="74"/>
    </row>
    <row r="1292">
      <c r="B1292" s="74" t="str">
        <f>IFERROR(__xludf.DUMMYFUNCTION("""COMPUTED_VALUE"""),"2290")</f>
        <v>2290</v>
      </c>
      <c r="C1292" s="74"/>
      <c r="D1292" s="74" t="str">
        <f>IFERROR(__xludf.DUMMYFUNCTION("""COMPUTED_VALUE"""),"\\MCA-S\mk\2_BM\0_BMat\08_PYM\Inventario\excel\Imagen de refacciones\Schwing\Transition Piece with Collar DN200_200 _ Pieza de Transición con Collar DN200_200")</f>
        <v>\\MCA-S\mk\2_BM\0_BMat\08_PYM\Inventario\excel\Imagen de refacciones\Schwing\Transition Piece with Collar DN200_200 _ Pieza de Transición con Collar DN200_200</v>
      </c>
      <c r="E1292" s="74"/>
      <c r="F1292" s="74" t="str">
        <f>IFERROR(__xludf.DUMMYFUNCTION("""COMPUTED_VALUE"""),"Transition Piece with Collar DN200/200 / Pieza de Transición con Collar DN200/200")</f>
        <v>Transition Piece with Collar DN200/200 / Pieza de Transición con Collar DN200/200</v>
      </c>
      <c r="G1292" s="74"/>
      <c r="H1292" s="74"/>
      <c r="I1292" s="74" t="str">
        <f>IFERROR(__xludf.DUMMYFUNCTION("""COMPUTED_VALUE"""),"SOM30021")</f>
        <v>SOM30021</v>
      </c>
      <c r="J1292" s="74" t="str">
        <f>IFERROR(__xludf.DUMMYFUNCTION("""COMPUTED_VALUE"""),"10077886")</f>
        <v>10077886</v>
      </c>
      <c r="K1292" s="74" t="str">
        <f>IFERROR(__xludf.DUMMYFUNCTION("""COMPUTED_VALUE"""),"Schwing")</f>
        <v>Schwing</v>
      </c>
      <c r="L1292" s="74" t="str">
        <f>IFERROR(__xludf.DUMMYFUNCTION("""COMPUTED_VALUE"""),"Componentes Estructurales y de Montaje")</f>
        <v>Componentes Estructurales y de Montaje</v>
      </c>
      <c r="M1292" s="74" t="str">
        <f>IFERROR(__xludf.DUMMYFUNCTION("""COMPUTED_VALUE"""),"Sin Asignar")</f>
        <v>Sin Asignar</v>
      </c>
      <c r="N1292" s="87">
        <f>IFERROR(__xludf.DUMMYFUNCTION("""COMPUTED_VALUE"""),0.0)</f>
        <v>0</v>
      </c>
      <c r="O1292" s="74"/>
      <c r="P1292" s="74" t="str">
        <f>IFERROR(__xludf.DUMMYFUNCTION("""COMPUTED_VALUE"""),"borrar")</f>
        <v>borrar</v>
      </c>
      <c r="Q1292" s="74"/>
      <c r="R1292" s="74"/>
      <c r="S1292" s="87">
        <f>IFERROR(__xludf.DUMMYFUNCTION("""COMPUTED_VALUE"""),0.0)</f>
        <v>0</v>
      </c>
      <c r="T1292" s="87">
        <f>IFERROR(__xludf.DUMMYFUNCTION("""COMPUTED_VALUE"""),0.0)</f>
        <v>0</v>
      </c>
      <c r="U1292" s="87">
        <f>IFERROR(__xludf.DUMMYFUNCTION("""COMPUTED_VALUE"""),0.0)</f>
        <v>0</v>
      </c>
      <c r="V1292" s="87">
        <f>IFERROR(__xludf.DUMMYFUNCTION("""COMPUTED_VALUE"""),0.0)</f>
        <v>0</v>
      </c>
      <c r="W1292" s="87">
        <f>IFERROR(__xludf.DUMMYFUNCTION("""COMPUTED_VALUE"""),0.0)</f>
        <v>0</v>
      </c>
      <c r="X1292" s="88"/>
      <c r="Y1292" s="74"/>
      <c r="Z1292" s="74"/>
    </row>
    <row r="1293">
      <c r="B1293" s="74" t="str">
        <f>IFERROR(__xludf.DUMMYFUNCTION("""COMPUTED_VALUE"""),"2291")</f>
        <v>2291</v>
      </c>
      <c r="C1293" s="74"/>
      <c r="D1293" s="74" t="str">
        <f>IFERROR(__xludf.DUMMYFUNCTION("""COMPUTED_VALUE"""),"\\MCA-S\mk\2_BM\0_BMat\08_PYM\Inventario\excel\Imagen de refacciones\Schwing\Transition Piece with Collar DN230_210 _ Pieza de Transición con Collar DN230_210")</f>
        <v>\\MCA-S\mk\2_BM\0_BMat\08_PYM\Inventario\excel\Imagen de refacciones\Schwing\Transition Piece with Collar DN230_210 _ Pieza de Transición con Collar DN230_210</v>
      </c>
      <c r="E1293" s="74"/>
      <c r="F1293" s="74" t="str">
        <f>IFERROR(__xludf.DUMMYFUNCTION("""COMPUTED_VALUE"""),"Transition Piece with Collar DN230/210 / Pieza de Transición con Collar DN230/210")</f>
        <v>Transition Piece with Collar DN230/210 / Pieza de Transición con Collar DN230/210</v>
      </c>
      <c r="G1293" s="74"/>
      <c r="H1293" s="74"/>
      <c r="I1293" s="74" t="str">
        <f>IFERROR(__xludf.DUMMYFUNCTION("""COMPUTED_VALUE"""),"SOM30020")</f>
        <v>SOM30020</v>
      </c>
      <c r="J1293" s="74" t="str">
        <f>IFERROR(__xludf.DUMMYFUNCTION("""COMPUTED_VALUE"""),"10078435")</f>
        <v>10078435</v>
      </c>
      <c r="K1293" s="74" t="str">
        <f>IFERROR(__xludf.DUMMYFUNCTION("""COMPUTED_VALUE"""),"Schwing")</f>
        <v>Schwing</v>
      </c>
      <c r="L1293" s="74" t="str">
        <f>IFERROR(__xludf.DUMMYFUNCTION("""COMPUTED_VALUE"""),"Componentes Estructurales y de Montaje")</f>
        <v>Componentes Estructurales y de Montaje</v>
      </c>
      <c r="M1293" s="74" t="str">
        <f>IFERROR(__xludf.DUMMYFUNCTION("""COMPUTED_VALUE"""),"Sin Asignar")</f>
        <v>Sin Asignar</v>
      </c>
      <c r="N1293" s="87">
        <f>IFERROR(__xludf.DUMMYFUNCTION("""COMPUTED_VALUE"""),0.0)</f>
        <v>0</v>
      </c>
      <c r="O1293" s="74"/>
      <c r="P1293" s="74" t="str">
        <f>IFERROR(__xludf.DUMMYFUNCTION("""COMPUTED_VALUE"""),"borrar")</f>
        <v>borrar</v>
      </c>
      <c r="Q1293" s="74"/>
      <c r="R1293" s="74"/>
      <c r="S1293" s="87">
        <f>IFERROR(__xludf.DUMMYFUNCTION("""COMPUTED_VALUE"""),0.0)</f>
        <v>0</v>
      </c>
      <c r="T1293" s="87">
        <f>IFERROR(__xludf.DUMMYFUNCTION("""COMPUTED_VALUE"""),0.0)</f>
        <v>0</v>
      </c>
      <c r="U1293" s="87">
        <f>IFERROR(__xludf.DUMMYFUNCTION("""COMPUTED_VALUE"""),0.0)</f>
        <v>0</v>
      </c>
      <c r="V1293" s="87">
        <f>IFERROR(__xludf.DUMMYFUNCTION("""COMPUTED_VALUE"""),0.0)</f>
        <v>0</v>
      </c>
      <c r="W1293" s="87">
        <f>IFERROR(__xludf.DUMMYFUNCTION("""COMPUTED_VALUE"""),0.0)</f>
        <v>0</v>
      </c>
      <c r="X1293" s="88"/>
      <c r="Y1293" s="74"/>
      <c r="Z1293" s="74"/>
    </row>
    <row r="1294">
      <c r="B1294" s="74" t="str">
        <f>IFERROR(__xludf.DUMMYFUNCTION("""COMPUTED_VALUE"""),"2292")</f>
        <v>2292</v>
      </c>
      <c r="C1294" s="74"/>
      <c r="D1294" s="74" t="str">
        <f>IFERROR(__xludf.DUMMYFUNCTION("""COMPUTED_VALUE"""),"\\MCA-S\mk\2_BM\0_BMat\08_PYM\Inventario\excel\Imagen de refacciones\Schwing\Tube Support _ Soporte de Tubo")</f>
        <v>\\MCA-S\mk\2_BM\0_BMat\08_PYM\Inventario\excel\Imagen de refacciones\Schwing\Tube Support _ Soporte de Tubo</v>
      </c>
      <c r="E1294" s="74"/>
      <c r="F1294" s="74" t="str">
        <f>IFERROR(__xludf.DUMMYFUNCTION("""COMPUTED_VALUE"""),"Tube Support / Soporte de Tubo")</f>
        <v>Tube Support / Soporte de Tubo</v>
      </c>
      <c r="G1294" s="74"/>
      <c r="H1294" s="74"/>
      <c r="I1294" s="74" t="str">
        <f>IFERROR(__xludf.DUMMYFUNCTION("""COMPUTED_VALUE"""),"SOM30283")</f>
        <v>SOM30283</v>
      </c>
      <c r="J1294" s="74" t="str">
        <f>IFERROR(__xludf.DUMMYFUNCTION("""COMPUTED_VALUE"""),"10038880")</f>
        <v>10038880</v>
      </c>
      <c r="K1294" s="74" t="str">
        <f>IFERROR(__xludf.DUMMYFUNCTION("""COMPUTED_VALUE"""),"Schwing")</f>
        <v>Schwing</v>
      </c>
      <c r="L1294" s="74" t="str">
        <f>IFERROR(__xludf.DUMMYFUNCTION("""COMPUTED_VALUE"""),"Componentes Estructurales y de Montaje")</f>
        <v>Componentes Estructurales y de Montaje</v>
      </c>
      <c r="M1294" s="74" t="str">
        <f>IFERROR(__xludf.DUMMYFUNCTION("""COMPUTED_VALUE"""),"Sin Asignar")</f>
        <v>Sin Asignar</v>
      </c>
      <c r="N1294" s="87">
        <f>IFERROR(__xludf.DUMMYFUNCTION("""COMPUTED_VALUE"""),0.0)</f>
        <v>0</v>
      </c>
      <c r="O1294" s="74"/>
      <c r="P1294" s="74" t="str">
        <f>IFERROR(__xludf.DUMMYFUNCTION("""COMPUTED_VALUE"""),"borrar")</f>
        <v>borrar</v>
      </c>
      <c r="Q1294" s="74"/>
      <c r="R1294" s="74"/>
      <c r="S1294" s="87">
        <f>IFERROR(__xludf.DUMMYFUNCTION("""COMPUTED_VALUE"""),0.0)</f>
        <v>0</v>
      </c>
      <c r="T1294" s="87">
        <f>IFERROR(__xludf.DUMMYFUNCTION("""COMPUTED_VALUE"""),0.0)</f>
        <v>0</v>
      </c>
      <c r="U1294" s="87">
        <f>IFERROR(__xludf.DUMMYFUNCTION("""COMPUTED_VALUE"""),0.0)</f>
        <v>0</v>
      </c>
      <c r="V1294" s="87">
        <f>IFERROR(__xludf.DUMMYFUNCTION("""COMPUTED_VALUE"""),0.0)</f>
        <v>0</v>
      </c>
      <c r="W1294" s="87">
        <f>IFERROR(__xludf.DUMMYFUNCTION("""COMPUTED_VALUE"""),0.0)</f>
        <v>0</v>
      </c>
      <c r="X1294" s="88"/>
      <c r="Y1294" s="74"/>
      <c r="Z1294" s="74"/>
    </row>
    <row r="1295">
      <c r="B1295" s="74" t="str">
        <f>IFERROR(__xludf.DUMMYFUNCTION("""COMPUTED_VALUE"""),"2293")</f>
        <v>2293</v>
      </c>
      <c r="C1295" s="74" t="str">
        <f>IFERROR(__xludf.DUMMYFUNCTION("""COMPUTED_VALUE"""),"75045880537")</f>
        <v>75045880537</v>
      </c>
      <c r="D1295" s="74" t="str">
        <f>IFERROR(__xludf.DUMMYFUNCTION("""COMPUTED_VALUE"""),"\\MCA-S\mk\2_BM\0_BMat\08_PYM\Inventario\excel\Imagen de refacciones\Schwing\Tuerca de tensión")</f>
        <v>\\MCA-S\mk\2_BM\0_BMat\08_PYM\Inventario\excel\Imagen de refacciones\Schwing\Tuerca de tensión</v>
      </c>
      <c r="E1295" s="74" t="str">
        <f>IFERROR(__xludf.DUMMYFUNCTION("""COMPUTED_VALUE"""),"TENSION NUT")</f>
        <v>TENSION NUT</v>
      </c>
      <c r="F1295" s="74" t="str">
        <f>IFERROR(__xludf.DUMMYFUNCTION("""COMPUTED_VALUE"""),"TUERCA DE TENSION")</f>
        <v>TUERCA DE TENSION</v>
      </c>
      <c r="G1295" s="74"/>
      <c r="H1295" s="74"/>
      <c r="I1295" s="74" t="str">
        <f>IFERROR(__xludf.DUMMYFUNCTION("""COMPUTED_VALUE"""),"10043980")</f>
        <v>10043980</v>
      </c>
      <c r="J1295" s="74"/>
      <c r="K1295" s="74" t="str">
        <f>IFERROR(__xludf.DUMMYFUNCTION("""COMPUTED_VALUE"""),"Schwing")</f>
        <v>Schwing</v>
      </c>
      <c r="L1295" s="74" t="str">
        <f>IFERROR(__xludf.DUMMYFUNCTION("""COMPUTED_VALUE"""),"BARRA V-ROCK")</f>
        <v>BARRA V-ROCK</v>
      </c>
      <c r="M1295" s="74" t="str">
        <f>IFERROR(__xludf.DUMMYFUNCTION("""COMPUTED_VALUE"""),"Sin Asignar")</f>
        <v>Sin Asignar</v>
      </c>
      <c r="N1295" s="87">
        <f>IFERROR(__xludf.DUMMYFUNCTION("""COMPUTED_VALUE"""),0.0)</f>
        <v>0</v>
      </c>
      <c r="O1295" s="74"/>
      <c r="P1295" s="74" t="str">
        <f>IFERROR(__xludf.DUMMYFUNCTION("""COMPUTED_VALUE"""),"To Re-purchase")</f>
        <v>To Re-purchase</v>
      </c>
      <c r="Q1295" s="74"/>
      <c r="R1295" s="74"/>
      <c r="S1295" s="87">
        <f>IFERROR(__xludf.DUMMYFUNCTION("""COMPUTED_VALUE"""),0.0)</f>
        <v>0</v>
      </c>
      <c r="T1295" s="87">
        <f>IFERROR(__xludf.DUMMYFUNCTION("""COMPUTED_VALUE"""),0.0)</f>
        <v>0</v>
      </c>
      <c r="U1295" s="87">
        <f>IFERROR(__xludf.DUMMYFUNCTION("""COMPUTED_VALUE"""),0.0)</f>
        <v>0</v>
      </c>
      <c r="V1295" s="87">
        <f>IFERROR(__xludf.DUMMYFUNCTION("""COMPUTED_VALUE"""),0.0)</f>
        <v>0</v>
      </c>
      <c r="W1295" s="87">
        <f>IFERROR(__xludf.DUMMYFUNCTION("""COMPUTED_VALUE"""),0.0)</f>
        <v>0</v>
      </c>
      <c r="X1295" s="88"/>
      <c r="Y1295" s="74"/>
      <c r="Z1295" s="74"/>
    </row>
    <row r="1296">
      <c r="B1296" s="74" t="str">
        <f>IFERROR(__xludf.DUMMYFUNCTION("""COMPUTED_VALUE"""),"2294")</f>
        <v>2294</v>
      </c>
      <c r="C1296" s="74" t="str">
        <f>IFERROR(__xludf.DUMMYFUNCTION("""COMPUTED_VALUE"""),"75045880447")</f>
        <v>75045880447</v>
      </c>
      <c r="D1296" s="74" t="str">
        <f>IFERROR(__xludf.DUMMYFUNCTION("""COMPUTED_VALUE"""),"\\MCA-S\mk\2_BM\0_BMat\08_PYM\Inventario\excel\Imagen de refacciones\Schwing\Válvula de retención 320 bar para brazo")</f>
        <v>\\MCA-S\mk\2_BM\0_BMat\08_PYM\Inventario\excel\Imagen de refacciones\Schwing\Válvula de retención 320 bar para brazo</v>
      </c>
      <c r="E1296" s="74" t="str">
        <f>IFERROR(__xludf.DUMMYFUNCTION("""COMPUTED_VALUE"""),"HYDRAULIC RETENTION VALVE 320BAR")</f>
        <v>HYDRAULIC RETENTION VALVE 320BAR</v>
      </c>
      <c r="F1296" s="74" t="str">
        <f>IFERROR(__xludf.DUMMYFUNCTION("""COMPUTED_VALUE"""),"VALVULA HIDRAULICA DE RETENCION 320BAR")</f>
        <v>VALVULA HIDRAULICA DE RETENCION 320BAR</v>
      </c>
      <c r="G1296" s="74"/>
      <c r="H1296" s="74"/>
      <c r="I1296" s="74" t="str">
        <f>IFERROR(__xludf.DUMMYFUNCTION("""COMPUTED_VALUE"""),"10049891")</f>
        <v>10049891</v>
      </c>
      <c r="J1296" s="74"/>
      <c r="K1296" s="74" t="str">
        <f>IFERROR(__xludf.DUMMYFUNCTION("""COMPUTED_VALUE"""),"Schwing")</f>
        <v>Schwing</v>
      </c>
      <c r="L1296" s="74" t="str">
        <f>IFERROR(__xludf.DUMMYFUNCTION("""COMPUTED_VALUE"""),"BARRA V-ROCK")</f>
        <v>BARRA V-ROCK</v>
      </c>
      <c r="M1296" s="74" t="str">
        <f>IFERROR(__xludf.DUMMYFUNCTION("""COMPUTED_VALUE"""),"VALVULAS")</f>
        <v>VALVULAS</v>
      </c>
      <c r="N1296" s="87">
        <f>IFERROR(__xludf.DUMMYFUNCTION("""COMPUTED_VALUE"""),13852.8)</f>
        <v>13852.8</v>
      </c>
      <c r="O1296" s="74">
        <f>IFERROR(__xludf.DUMMYFUNCTION("""COMPUTED_VALUE"""),2.0)</f>
        <v>2</v>
      </c>
      <c r="P1296" s="74" t="str">
        <f>IFERROR(__xludf.DUMMYFUNCTION("""COMPUTED_VALUE"""),"In stock")</f>
        <v>In stock</v>
      </c>
      <c r="Q1296" s="74"/>
      <c r="R1296" s="74"/>
      <c r="S1296" s="87">
        <f>IFERROR(__xludf.DUMMYFUNCTION("""COMPUTED_VALUE"""),210.0)</f>
        <v>210</v>
      </c>
      <c r="T1296" s="87">
        <f>IFERROR(__xludf.DUMMYFUNCTION("""COMPUTED_VALUE"""),780.0)</f>
        <v>780</v>
      </c>
      <c r="U1296" s="87">
        <f>IFERROR(__xludf.DUMMYFUNCTION("""COMPUTED_VALUE"""),748.8)</f>
        <v>748.8</v>
      </c>
      <c r="V1296" s="87">
        <f>IFERROR(__xludf.DUMMYFUNCTION("""COMPUTED_VALUE"""),257.25)</f>
        <v>257.25</v>
      </c>
      <c r="W1296" s="87">
        <f>IFERROR(__xludf.DUMMYFUNCTION("""COMPUTED_VALUE"""),4823.4375)</f>
        <v>4823.4375</v>
      </c>
      <c r="X1296" s="88">
        <f>IFERROR(__xludf.DUMMYFUNCTION("""COMPUTED_VALUE"""),3.5657142857142854)</f>
        <v>3.565714286</v>
      </c>
      <c r="Y1296" s="74"/>
      <c r="Z1296" s="74"/>
    </row>
    <row r="1297">
      <c r="B1297" s="74" t="str">
        <f>IFERROR(__xludf.DUMMYFUNCTION("""COMPUTED_VALUE"""),"2295")</f>
        <v>2295</v>
      </c>
      <c r="C1297" s="74" t="str">
        <f>IFERROR(__xludf.DUMMYFUNCTION("""COMPUTED_VALUE"""),"75045880482")</f>
        <v>75045880482</v>
      </c>
      <c r="D1297" s="74" t="str">
        <f>IFERROR(__xludf.DUMMYFUNCTION("""COMPUTED_VALUE"""),"\\MCA-S\mk\2_BM\0_BMat\08_PYM\Inventario\excel\Imagen de refacciones\Schwing\Valvula para ajuste de presión fdr sdp")</f>
        <v>\\MCA-S\mk\2_BM\0_BMat\08_PYM\Inventario\excel\Imagen de refacciones\Schwing\Valvula para ajuste de presión fdr sdp</v>
      </c>
      <c r="E1297" s="74" t="str">
        <f>IFERROR(__xludf.DUMMYFUNCTION("""COMPUTED_VALUE"""),"DBDH6P HYDRAULIC DIRECT CONTROLLED PRESSURE RELIEF VALVE/ VALVE - HYD, PRESSURE REDUCING FDR 5 DP.")</f>
        <v>DBDH6P HYDRAULIC DIRECT CONTROLLED PRESSURE RELIEF VALVE/ VALVE - HYD, PRESSURE REDUCING FDR 5 DP.</v>
      </c>
      <c r="F1297" s="74" t="str">
        <f>IFERROR(__xludf.DUMMYFUNCTION("""COMPUTED_VALUE"""),"VALVULA PARA AJUSTE DE PRESION FDR SDP ")</f>
        <v>VALVULA PARA AJUSTE DE PRESION FDR SDP </v>
      </c>
      <c r="G1297" s="74"/>
      <c r="H1297" s="74"/>
      <c r="I1297" s="74" t="str">
        <f>IFERROR(__xludf.DUMMYFUNCTION("""COMPUTED_VALUE"""),"10008302")</f>
        <v>10008302</v>
      </c>
      <c r="J1297" s="74"/>
      <c r="K1297" s="74" t="str">
        <f>IFERROR(__xludf.DUMMYFUNCTION("""COMPUTED_VALUE"""),"Schwing")</f>
        <v>Schwing</v>
      </c>
      <c r="L1297" s="74" t="str">
        <f>IFERROR(__xludf.DUMMYFUNCTION("""COMPUTED_VALUE"""),"BARRA V-ROCK")</f>
        <v>BARRA V-ROCK</v>
      </c>
      <c r="M1297" s="74" t="str">
        <f>IFERROR(__xludf.DUMMYFUNCTION("""COMPUTED_VALUE"""),"VALVULAS")</f>
        <v>VALVULAS</v>
      </c>
      <c r="N1297" s="87">
        <f>IFERROR(__xludf.DUMMYFUNCTION("""COMPUTED_VALUE"""),5949.599999999999)</f>
        <v>5949.6</v>
      </c>
      <c r="O1297" s="74">
        <f>IFERROR(__xludf.DUMMYFUNCTION("""COMPUTED_VALUE"""),3.0)</f>
        <v>3</v>
      </c>
      <c r="P1297" s="74" t="str">
        <f>IFERROR(__xludf.DUMMYFUNCTION("""COMPUTED_VALUE"""),"In stock")</f>
        <v>In stock</v>
      </c>
      <c r="Q1297" s="74"/>
      <c r="R1297" s="74"/>
      <c r="S1297" s="87">
        <f>IFERROR(__xludf.DUMMYFUNCTION("""COMPUTED_VALUE"""),100.0)</f>
        <v>100</v>
      </c>
      <c r="T1297" s="87">
        <f>IFERROR(__xludf.DUMMYFUNCTION("""COMPUTED_VALUE"""),335.0)</f>
        <v>335</v>
      </c>
      <c r="U1297" s="87">
        <f>IFERROR(__xludf.DUMMYFUNCTION("""COMPUTED_VALUE"""),321.59999999999997)</f>
        <v>321.6</v>
      </c>
      <c r="V1297" s="87">
        <f>IFERROR(__xludf.DUMMYFUNCTION("""COMPUTED_VALUE"""),122.5)</f>
        <v>122.5</v>
      </c>
      <c r="W1297" s="87">
        <f>IFERROR(__xludf.DUMMYFUNCTION("""COMPUTED_VALUE"""),2296.875)</f>
        <v>2296.875</v>
      </c>
      <c r="X1297" s="88">
        <f>IFERROR(__xludf.DUMMYFUNCTION("""COMPUTED_VALUE"""),3.2159999999999997)</f>
        <v>3.216</v>
      </c>
      <c r="Y1297" s="74"/>
      <c r="Z1297" s="74"/>
    </row>
    <row r="1298">
      <c r="B1298" s="74" t="str">
        <f>IFERROR(__xludf.DUMMYFUNCTION("""COMPUTED_VALUE"""),"2296")</f>
        <v>2296</v>
      </c>
      <c r="C1298" s="74" t="str">
        <f>IFERROR(__xludf.DUMMYFUNCTION("""COMPUTED_VALUE"""),"75045880484")</f>
        <v>75045880484</v>
      </c>
      <c r="D1298" s="74" t="str">
        <f>IFERROR(__xludf.DUMMYFUNCTION("""COMPUTED_VALUE"""),"\\MCA-S\mk\2_BM\0_BMat\08_PYM\Inventario\excel\Imagen de refacciones\Schwing\Válvula para embrague enquintar 4_2 vias")</f>
        <v>\\MCA-S\mk\2_BM\0_BMat\08_PYM\Inventario\excel\Imagen de refacciones\Schwing\Válvula para embrague enquintar 4_2 vias</v>
      </c>
      <c r="E1298" s="74"/>
      <c r="F1298" s="74" t="str">
        <f>IFERROR(__xludf.DUMMYFUNCTION("""COMPUTED_VALUE"""),"VALVULA PARA EMBRAGUE ENQUINTAR 4/2 VIAS")</f>
        <v>VALVULA PARA EMBRAGUE ENQUINTAR 4/2 VIAS</v>
      </c>
      <c r="G1298" s="74"/>
      <c r="H1298" s="74"/>
      <c r="I1298" s="74" t="str">
        <f>IFERROR(__xludf.DUMMYFUNCTION("""COMPUTED_VALUE"""),"10049891")</f>
        <v>10049891</v>
      </c>
      <c r="J1298" s="74"/>
      <c r="K1298" s="74" t="str">
        <f>IFERROR(__xludf.DUMMYFUNCTION("""COMPUTED_VALUE"""),"Schwing")</f>
        <v>Schwing</v>
      </c>
      <c r="L1298" s="74"/>
      <c r="M1298" s="74" t="str">
        <f>IFERROR(__xludf.DUMMYFUNCTION("""COMPUTED_VALUE"""),"Sin Asignar")</f>
        <v>Sin Asignar</v>
      </c>
      <c r="N1298" s="87">
        <f>IFERROR(__xludf.DUMMYFUNCTION("""COMPUTED_VALUE"""),0.0)</f>
        <v>0</v>
      </c>
      <c r="O1298" s="74"/>
      <c r="P1298" s="74" t="str">
        <f>IFERROR(__xludf.DUMMYFUNCTION("""COMPUTED_VALUE"""),"borrar")</f>
        <v>borrar</v>
      </c>
      <c r="Q1298" s="74"/>
      <c r="R1298" s="74"/>
      <c r="S1298" s="87">
        <f>IFERROR(__xludf.DUMMYFUNCTION("""COMPUTED_VALUE"""),0.0)</f>
        <v>0</v>
      </c>
      <c r="T1298" s="87">
        <f>IFERROR(__xludf.DUMMYFUNCTION("""COMPUTED_VALUE"""),0.0)</f>
        <v>0</v>
      </c>
      <c r="U1298" s="87">
        <f>IFERROR(__xludf.DUMMYFUNCTION("""COMPUTED_VALUE"""),0.0)</f>
        <v>0</v>
      </c>
      <c r="V1298" s="87">
        <f>IFERROR(__xludf.DUMMYFUNCTION("""COMPUTED_VALUE"""),0.0)</f>
        <v>0</v>
      </c>
      <c r="W1298" s="87">
        <f>IFERROR(__xludf.DUMMYFUNCTION("""COMPUTED_VALUE"""),0.0)</f>
        <v>0</v>
      </c>
      <c r="X1298" s="88"/>
      <c r="Y1298" s="74"/>
      <c r="Z1298" s="74"/>
    </row>
    <row r="1299">
      <c r="B1299" s="74" t="str">
        <f>IFERROR(__xludf.DUMMYFUNCTION("""COMPUTED_VALUE"""),"2297")</f>
        <v>2297</v>
      </c>
      <c r="C1299" s="74" t="str">
        <f>IFERROR(__xludf.DUMMYFUNCTION("""COMPUTED_VALUE"""),"75045880448")</f>
        <v>75045880448</v>
      </c>
      <c r="D1299" s="74" t="str">
        <f>IFERROR(__xludf.DUMMYFUNCTION("""COMPUTED_VALUE"""),"\\MCA-S\mk\2_BM\0_BMat\08_PYM\Inventario\excel\Imagen de refacciones\Schwing\Válvula solenoide de 12V para bloque de control")</f>
        <v>\\MCA-S\mk\2_BM\0_BMat\08_PYM\Inventario\excel\Imagen de refacciones\Schwing\Válvula solenoide de 12V para bloque de control</v>
      </c>
      <c r="E1299" s="74" t="str">
        <f>IFERROR(__xludf.DUMMYFUNCTION("""COMPUTED_VALUE"""),"PUMP 12V AIR-HYDRAULIC WITHOUT CONNECTOR")</f>
        <v>PUMP 12V AIR-HYDRAULIC WITHOUT CONNECTOR</v>
      </c>
      <c r="F1299" s="74" t="str">
        <f>IFERROR(__xludf.DUMMYFUNCTION("""COMPUTED_VALUE"""),"VALVULA SELENOIDE 12V, BLOQUE DE CONTROL   ")</f>
        <v>VALVULA SELENOIDE 12V, BLOQUE DE CONTROL   </v>
      </c>
      <c r="G1299" s="74"/>
      <c r="H1299" s="74"/>
      <c r="I1299" s="74" t="str">
        <f>IFERROR(__xludf.DUMMYFUNCTION("""COMPUTED_VALUE"""),"10037274")</f>
        <v>10037274</v>
      </c>
      <c r="J1299" s="74"/>
      <c r="K1299" s="74" t="str">
        <f>IFERROR(__xludf.DUMMYFUNCTION("""COMPUTED_VALUE"""),"Schwing")</f>
        <v>Schwing</v>
      </c>
      <c r="L1299" s="74"/>
      <c r="M1299" s="74" t="str">
        <f>IFERROR(__xludf.DUMMYFUNCTION("""COMPUTED_VALUE"""),"Sin Asignar")</f>
        <v>Sin Asignar</v>
      </c>
      <c r="N1299" s="87">
        <f>IFERROR(__xludf.DUMMYFUNCTION("""COMPUTED_VALUE"""),0.0)</f>
        <v>0</v>
      </c>
      <c r="O1299" s="74"/>
      <c r="P1299" s="74" t="str">
        <f>IFERROR(__xludf.DUMMYFUNCTION("""COMPUTED_VALUE"""),"To Re-purchase")</f>
        <v>To Re-purchase</v>
      </c>
      <c r="Q1299" s="74"/>
      <c r="R1299" s="74"/>
      <c r="S1299" s="87">
        <f>IFERROR(__xludf.DUMMYFUNCTION("""COMPUTED_VALUE"""),0.0)</f>
        <v>0</v>
      </c>
      <c r="T1299" s="87">
        <f>IFERROR(__xludf.DUMMYFUNCTION("""COMPUTED_VALUE"""),0.0)</f>
        <v>0</v>
      </c>
      <c r="U1299" s="87">
        <f>IFERROR(__xludf.DUMMYFUNCTION("""COMPUTED_VALUE"""),0.0)</f>
        <v>0</v>
      </c>
      <c r="V1299" s="87">
        <f>IFERROR(__xludf.DUMMYFUNCTION("""COMPUTED_VALUE"""),0.0)</f>
        <v>0</v>
      </c>
      <c r="W1299" s="87">
        <f>IFERROR(__xludf.DUMMYFUNCTION("""COMPUTED_VALUE"""),0.0)</f>
        <v>0</v>
      </c>
      <c r="X1299" s="88"/>
      <c r="Y1299" s="74"/>
      <c r="Z1299" s="74"/>
    </row>
    <row r="1300">
      <c r="B1300" s="74" t="str">
        <f>IFERROR(__xludf.DUMMYFUNCTION("""COMPUTED_VALUE"""),"2298")</f>
        <v>2298</v>
      </c>
      <c r="C1300" s="74" t="str">
        <f>IFERROR(__xludf.DUMMYFUNCTION("""COMPUTED_VALUE"""),"75045880354")</f>
        <v>75045880354</v>
      </c>
      <c r="D1300" s="74" t="str">
        <f>IFERROR(__xludf.DUMMYFUNCTION("""COMPUTED_VALUE"""),"\\MCA-S\mk\2_BM\0_BMat\08_PYM\Inventario\excel\Imagen de refacciones\Schwing\vaso para enquintar")</f>
        <v>\\MCA-S\mk\2_BM\0_BMat\08_PYM\Inventario\excel\Imagen de refacciones\Schwing\vaso para enquintar</v>
      </c>
      <c r="E1300" s="74" t="str">
        <f>IFERROR(__xludf.DUMMYFUNCTION("""COMPUTED_VALUE"""),"PTO CYLINDER")</f>
        <v>PTO CYLINDER</v>
      </c>
      <c r="F1300" s="74" t="str">
        <f>IFERROR(__xludf.DUMMYFUNCTION("""COMPUTED_VALUE"""),"VASO PARA ENQUINTAR")</f>
        <v>VASO PARA ENQUINTAR</v>
      </c>
      <c r="G1300" s="74"/>
      <c r="H1300" s="74" t="str">
        <f>IFERROR(__xludf.DUMMYFUNCTION("""COMPUTED_VALUE"""),"VASE PARA ENQUINTAR PARA BOMBA DE HORMIGON")</f>
        <v>VASE PARA ENQUINTAR PARA BOMBA DE HORMIGON</v>
      </c>
      <c r="I1300" s="74" t="str">
        <f>IFERROR(__xludf.DUMMYFUNCTION("""COMPUTED_VALUE"""),"10170730")</f>
        <v>10170730</v>
      </c>
      <c r="J1300" s="74"/>
      <c r="K1300" s="74" t="str">
        <f>IFERROR(__xludf.DUMMYFUNCTION("""COMPUTED_VALUE"""),"Schwing")</f>
        <v>Schwing</v>
      </c>
      <c r="L1300" s="74"/>
      <c r="M1300" s="74" t="str">
        <f>IFERROR(__xludf.DUMMYFUNCTION("""COMPUTED_VALUE"""),"Sin Asignar")</f>
        <v>Sin Asignar</v>
      </c>
      <c r="N1300" s="87">
        <f>IFERROR(__xludf.DUMMYFUNCTION("""COMPUTED_VALUE"""),2823.8399999999997)</f>
        <v>2823.84</v>
      </c>
      <c r="O1300" s="74">
        <f>IFERROR(__xludf.DUMMYFUNCTION("""COMPUTED_VALUE"""),6.0)</f>
        <v>6</v>
      </c>
      <c r="P1300" s="74" t="str">
        <f>IFERROR(__xludf.DUMMYFUNCTION("""COMPUTED_VALUE"""),"In stock")</f>
        <v>In stock</v>
      </c>
      <c r="Q1300" s="74"/>
      <c r="R1300" s="74"/>
      <c r="S1300" s="87">
        <f>IFERROR(__xludf.DUMMYFUNCTION("""COMPUTED_VALUE"""),17.0)</f>
        <v>17</v>
      </c>
      <c r="T1300" s="87">
        <f>IFERROR(__xludf.DUMMYFUNCTION("""COMPUTED_VALUE"""),159.0)</f>
        <v>159</v>
      </c>
      <c r="U1300" s="87">
        <f>IFERROR(__xludf.DUMMYFUNCTION("""COMPUTED_VALUE"""),152.64)</f>
        <v>152.64</v>
      </c>
      <c r="V1300" s="87">
        <f>IFERROR(__xludf.DUMMYFUNCTION("""COMPUTED_VALUE"""),20.825)</f>
        <v>20.825</v>
      </c>
      <c r="W1300" s="87">
        <f>IFERROR(__xludf.DUMMYFUNCTION("""COMPUTED_VALUE"""),390.46875)</f>
        <v>390.46875</v>
      </c>
      <c r="X1300" s="88">
        <f>IFERROR(__xludf.DUMMYFUNCTION("""COMPUTED_VALUE"""),8.978823529411764)</f>
        <v>8.978823529</v>
      </c>
      <c r="Y1300" s="74"/>
      <c r="Z1300" s="74"/>
    </row>
    <row r="1301">
      <c r="B1301" s="74" t="str">
        <f>IFERROR(__xludf.DUMMYFUNCTION("""COMPUTED_VALUE"""),"2299")</f>
        <v>2299</v>
      </c>
      <c r="C1301" s="74" t="str">
        <f>IFERROR(__xludf.DUMMYFUNCTION("""COMPUTED_VALUE"""),"75045880539")</f>
        <v>75045880539</v>
      </c>
      <c r="D1301" s="74" t="str">
        <f>IFERROR(__xludf.DUMMYFUNCTION("""COMPUTED_VALUE"""),"\\MCA-S\mk\2_BM\0_BMat\08_PYM\Inventario\excel\Imagen de refacciones\Schwing\Vibrador de 12V para parrilla de bomba")</f>
        <v>\\MCA-S\mk\2_BM\0_BMat\08_PYM\Inventario\excel\Imagen de refacciones\Schwing\Vibrador de 12V para parrilla de bomba</v>
      </c>
      <c r="E1301" s="74" t="str">
        <f>IFERROR(__xludf.DUMMYFUNCTION("""COMPUTED_VALUE"""),"VIBRATOR , 12V")</f>
        <v>VIBRATOR , 12V</v>
      </c>
      <c r="F1301" s="74" t="str">
        <f>IFERROR(__xludf.DUMMYFUNCTION("""COMPUTED_VALUE"""),"VIBRADOR 12V PARRILLA BOMBA")</f>
        <v>VIBRADOR 12V PARRILLA BOMBA</v>
      </c>
      <c r="G1301" s="74"/>
      <c r="H1301" s="74"/>
      <c r="I1301" s="74" t="str">
        <f>IFERROR(__xludf.DUMMYFUNCTION("""COMPUTED_VALUE"""),"10072107")</f>
        <v>10072107</v>
      </c>
      <c r="J1301" s="74" t="str">
        <f>IFERROR(__xludf.DUMMYFUNCTION("""COMPUTED_VALUE"""),"10072108")</f>
        <v>10072108</v>
      </c>
      <c r="K1301" s="74" t="str">
        <f>IFERROR(__xludf.DUMMYFUNCTION("""COMPUTED_VALUE"""),"Schwing")</f>
        <v>Schwing</v>
      </c>
      <c r="L1301" s="74"/>
      <c r="M1301" s="74" t="str">
        <f>IFERROR(__xludf.DUMMYFUNCTION("""COMPUTED_VALUE"""),"Sin Asignar")</f>
        <v>Sin Asignar</v>
      </c>
      <c r="N1301" s="87">
        <f>IFERROR(__xludf.DUMMYFUNCTION("""COMPUTED_VALUE"""),0.0)</f>
        <v>0</v>
      </c>
      <c r="O1301" s="74"/>
      <c r="P1301" s="74" t="str">
        <f>IFERROR(__xludf.DUMMYFUNCTION("""COMPUTED_VALUE"""),"To Re-purchase")</f>
        <v>To Re-purchase</v>
      </c>
      <c r="Q1301" s="74"/>
      <c r="R1301" s="74"/>
      <c r="S1301" s="87">
        <f>IFERROR(__xludf.DUMMYFUNCTION("""COMPUTED_VALUE"""),0.0)</f>
        <v>0</v>
      </c>
      <c r="T1301" s="87">
        <f>IFERROR(__xludf.DUMMYFUNCTION("""COMPUTED_VALUE"""),0.0)</f>
        <v>0</v>
      </c>
      <c r="U1301" s="87">
        <f>IFERROR(__xludf.DUMMYFUNCTION("""COMPUTED_VALUE"""),0.0)</f>
        <v>0</v>
      </c>
      <c r="V1301" s="87">
        <f>IFERROR(__xludf.DUMMYFUNCTION("""COMPUTED_VALUE"""),0.0)</f>
        <v>0</v>
      </c>
      <c r="W1301" s="87">
        <f>IFERROR(__xludf.DUMMYFUNCTION("""COMPUTED_VALUE"""),0.0)</f>
        <v>0</v>
      </c>
      <c r="X1301" s="88"/>
      <c r="Y1301" s="74"/>
      <c r="Z1301" s="74"/>
    </row>
    <row r="1302">
      <c r="B1302" s="74" t="str">
        <f>IFERROR(__xludf.DUMMYFUNCTION("""COMPUTED_VALUE"""),"2300")</f>
        <v>2300</v>
      </c>
      <c r="C1302" s="74"/>
      <c r="D1302" s="74" t="str">
        <f>IFERROR(__xludf.DUMMYFUNCTION("""COMPUTED_VALUE"""),"\\MCA-S\mk\2_BM\0_BMat\08_PYM\Inventario\excel\Imagen de refacciones\Schwing\Wearing Insert DN 180 _ Inserto de Desgaste DN 180")</f>
        <v>\\MCA-S\mk\2_BM\0_BMat\08_PYM\Inventario\excel\Imagen de refacciones\Schwing\Wearing Insert DN 180 _ Inserto de Desgaste DN 180</v>
      </c>
      <c r="E1302" s="74"/>
      <c r="F1302" s="74" t="str">
        <f>IFERROR(__xludf.DUMMYFUNCTION("""COMPUTED_VALUE"""),"Wearing Insert DN 180 / Inserto de Desgaste DN 180")</f>
        <v>Wearing Insert DN 180 / Inserto de Desgaste DN 180</v>
      </c>
      <c r="G1302" s="74"/>
      <c r="H1302" s="74"/>
      <c r="I1302" s="74" t="str">
        <f>IFERROR(__xludf.DUMMYFUNCTION("""COMPUTED_VALUE"""),"SOM30003")</f>
        <v>SOM30003</v>
      </c>
      <c r="J1302" s="74" t="str">
        <f>IFERROR(__xludf.DUMMYFUNCTION("""COMPUTED_VALUE"""),"10129807")</f>
        <v>10129807</v>
      </c>
      <c r="K1302" s="74" t="str">
        <f>IFERROR(__xludf.DUMMYFUNCTION("""COMPUTED_VALUE"""),"Schwing")</f>
        <v>Schwing</v>
      </c>
      <c r="L1302" s="74" t="str">
        <f>IFERROR(__xludf.DUMMYFUNCTION("""COMPUTED_VALUE"""),"Sistema de Bombeo de Concreto")</f>
        <v>Sistema de Bombeo de Concreto</v>
      </c>
      <c r="M1302" s="74" t="str">
        <f>IFERROR(__xludf.DUMMYFUNCTION("""COMPUTED_VALUE"""),"Sin Asignar")</f>
        <v>Sin Asignar</v>
      </c>
      <c r="N1302" s="87">
        <f>IFERROR(__xludf.DUMMYFUNCTION("""COMPUTED_VALUE"""),0.0)</f>
        <v>0</v>
      </c>
      <c r="O1302" s="74"/>
      <c r="P1302" s="74" t="str">
        <f>IFERROR(__xludf.DUMMYFUNCTION("""COMPUTED_VALUE"""),"No Available")</f>
        <v>No Available</v>
      </c>
      <c r="Q1302" s="74"/>
      <c r="R1302" s="74"/>
      <c r="S1302" s="87">
        <f>IFERROR(__xludf.DUMMYFUNCTION("""COMPUTED_VALUE"""),0.0)</f>
        <v>0</v>
      </c>
      <c r="T1302" s="87">
        <f>IFERROR(__xludf.DUMMYFUNCTION("""COMPUTED_VALUE"""),0.0)</f>
        <v>0</v>
      </c>
      <c r="U1302" s="87">
        <f>IFERROR(__xludf.DUMMYFUNCTION("""COMPUTED_VALUE"""),0.0)</f>
        <v>0</v>
      </c>
      <c r="V1302" s="87">
        <f>IFERROR(__xludf.DUMMYFUNCTION("""COMPUTED_VALUE"""),0.0)</f>
        <v>0</v>
      </c>
      <c r="W1302" s="87">
        <f>IFERROR(__xludf.DUMMYFUNCTION("""COMPUTED_VALUE"""),0.0)</f>
        <v>0</v>
      </c>
      <c r="X1302" s="88"/>
      <c r="Y1302" s="74"/>
      <c r="Z1302" s="74"/>
    </row>
    <row r="1303">
      <c r="B1303" s="74" t="str">
        <f>IFERROR(__xludf.DUMMYFUNCTION("""COMPUTED_VALUE"""),"2301")</f>
        <v>2301</v>
      </c>
      <c r="C1303" s="74"/>
      <c r="D1303" s="74" t="str">
        <f>IFERROR(__xludf.DUMMYFUNCTION("""COMPUTED_VALUE"""),"\\MCA-S\mk\2_BM\0_BMat\08_PYM\Inventario\excel\Imagen de refacciones\Schwing\Wearing Insert DN 200 _ Inserto de Desgaste DN 200")</f>
        <v>\\MCA-S\mk\2_BM\0_BMat\08_PYM\Inventario\excel\Imagen de refacciones\Schwing\Wearing Insert DN 200 _ Inserto de Desgaste DN 200</v>
      </c>
      <c r="E1303" s="74"/>
      <c r="F1303" s="74" t="str">
        <f>IFERROR(__xludf.DUMMYFUNCTION("""COMPUTED_VALUE"""),"Wearing Insert DN 200 / Inserto de Desgaste DN 200")</f>
        <v>Wearing Insert DN 200 / Inserto de Desgaste DN 200</v>
      </c>
      <c r="G1303" s="74"/>
      <c r="H1303" s="74"/>
      <c r="I1303" s="74" t="str">
        <f>IFERROR(__xludf.DUMMYFUNCTION("""COMPUTED_VALUE"""),"SOM30004")</f>
        <v>SOM30004</v>
      </c>
      <c r="J1303" s="74" t="str">
        <f>IFERROR(__xludf.DUMMYFUNCTION("""COMPUTED_VALUE"""),"10074707")</f>
        <v>10074707</v>
      </c>
      <c r="K1303" s="74" t="str">
        <f>IFERROR(__xludf.DUMMYFUNCTION("""COMPUTED_VALUE"""),"Schwing")</f>
        <v>Schwing</v>
      </c>
      <c r="L1303" s="74" t="str">
        <f>IFERROR(__xludf.DUMMYFUNCTION("""COMPUTED_VALUE"""),"Sistema de Bombeo de Concreto")</f>
        <v>Sistema de Bombeo de Concreto</v>
      </c>
      <c r="M1303" s="74" t="str">
        <f>IFERROR(__xludf.DUMMYFUNCTION("""COMPUTED_VALUE"""),"Sin Asignar")</f>
        <v>Sin Asignar</v>
      </c>
      <c r="N1303" s="87">
        <f>IFERROR(__xludf.DUMMYFUNCTION("""COMPUTED_VALUE"""),0.0)</f>
        <v>0</v>
      </c>
      <c r="O1303" s="74"/>
      <c r="P1303" s="74" t="str">
        <f>IFERROR(__xludf.DUMMYFUNCTION("""COMPUTED_VALUE"""),"No Available")</f>
        <v>No Available</v>
      </c>
      <c r="Q1303" s="74"/>
      <c r="R1303" s="74"/>
      <c r="S1303" s="87">
        <f>IFERROR(__xludf.DUMMYFUNCTION("""COMPUTED_VALUE"""),0.0)</f>
        <v>0</v>
      </c>
      <c r="T1303" s="87">
        <f>IFERROR(__xludf.DUMMYFUNCTION("""COMPUTED_VALUE"""),0.0)</f>
        <v>0</v>
      </c>
      <c r="U1303" s="87">
        <f>IFERROR(__xludf.DUMMYFUNCTION("""COMPUTED_VALUE"""),0.0)</f>
        <v>0</v>
      </c>
      <c r="V1303" s="87">
        <f>IFERROR(__xludf.DUMMYFUNCTION("""COMPUTED_VALUE"""),0.0)</f>
        <v>0</v>
      </c>
      <c r="W1303" s="87">
        <f>IFERROR(__xludf.DUMMYFUNCTION("""COMPUTED_VALUE"""),0.0)</f>
        <v>0</v>
      </c>
      <c r="X1303" s="88"/>
      <c r="Y1303" s="74"/>
      <c r="Z1303" s="74"/>
    </row>
    <row r="1304">
      <c r="B1304" s="74" t="str">
        <f>IFERROR(__xludf.DUMMYFUNCTION("""COMPUTED_VALUE"""),"2302")</f>
        <v>2302</v>
      </c>
      <c r="C1304" s="74"/>
      <c r="D1304" s="74" t="str">
        <f>IFERROR(__xludf.DUMMYFUNCTION("""COMPUTED_VALUE"""),"\\MCA-S\mk\2_BM\0_BMat\08_PYM\Inventario\excel\Imagen de refacciones\Schwing\Wearing Insert DN 230 _ Inserto de Desgaste DN 230")</f>
        <v>\\MCA-S\mk\2_BM\0_BMat\08_PYM\Inventario\excel\Imagen de refacciones\Schwing\Wearing Insert DN 230 _ Inserto de Desgaste DN 230</v>
      </c>
      <c r="E1304" s="74"/>
      <c r="F1304" s="74" t="str">
        <f>IFERROR(__xludf.DUMMYFUNCTION("""COMPUTED_VALUE"""),"Wearing Insert DN 230 / Inserto de Desgaste DN 230")</f>
        <v>Wearing Insert DN 230 / Inserto de Desgaste DN 230</v>
      </c>
      <c r="G1304" s="74"/>
      <c r="H1304" s="74"/>
      <c r="I1304" s="74" t="str">
        <f>IFERROR(__xludf.DUMMYFUNCTION("""COMPUTED_VALUE"""),"SOM30005")</f>
        <v>SOM30005</v>
      </c>
      <c r="J1304" s="74" t="str">
        <f>IFERROR(__xludf.DUMMYFUNCTION("""COMPUTED_VALUE"""),"10074708")</f>
        <v>10074708</v>
      </c>
      <c r="K1304" s="74" t="str">
        <f>IFERROR(__xludf.DUMMYFUNCTION("""COMPUTED_VALUE"""),"Schwing")</f>
        <v>Schwing</v>
      </c>
      <c r="L1304" s="74" t="str">
        <f>IFERROR(__xludf.DUMMYFUNCTION("""COMPUTED_VALUE"""),"Sistema de Bombeo de Concreto")</f>
        <v>Sistema de Bombeo de Concreto</v>
      </c>
      <c r="M1304" s="74" t="str">
        <f>IFERROR(__xludf.DUMMYFUNCTION("""COMPUTED_VALUE"""),"Sin Asignar")</f>
        <v>Sin Asignar</v>
      </c>
      <c r="N1304" s="87">
        <f>IFERROR(__xludf.DUMMYFUNCTION("""COMPUTED_VALUE"""),0.0)</f>
        <v>0</v>
      </c>
      <c r="O1304" s="74"/>
      <c r="P1304" s="74" t="str">
        <f>IFERROR(__xludf.DUMMYFUNCTION("""COMPUTED_VALUE"""),"No Available")</f>
        <v>No Available</v>
      </c>
      <c r="Q1304" s="74"/>
      <c r="R1304" s="74"/>
      <c r="S1304" s="87">
        <f>IFERROR(__xludf.DUMMYFUNCTION("""COMPUTED_VALUE"""),0.0)</f>
        <v>0</v>
      </c>
      <c r="T1304" s="87">
        <f>IFERROR(__xludf.DUMMYFUNCTION("""COMPUTED_VALUE"""),0.0)</f>
        <v>0</v>
      </c>
      <c r="U1304" s="87">
        <f>IFERROR(__xludf.DUMMYFUNCTION("""COMPUTED_VALUE"""),0.0)</f>
        <v>0</v>
      </c>
      <c r="V1304" s="87">
        <f>IFERROR(__xludf.DUMMYFUNCTION("""COMPUTED_VALUE"""),0.0)</f>
        <v>0</v>
      </c>
      <c r="W1304" s="87">
        <f>IFERROR(__xludf.DUMMYFUNCTION("""COMPUTED_VALUE"""),0.0)</f>
        <v>0</v>
      </c>
      <c r="X1304" s="88"/>
      <c r="Y1304" s="74"/>
      <c r="Z1304" s="74"/>
    </row>
    <row r="1305">
      <c r="B1305" s="74" t="str">
        <f>IFERROR(__xludf.DUMMYFUNCTION("""COMPUTED_VALUE"""),"2303")</f>
        <v>2303</v>
      </c>
      <c r="C1305" s="74"/>
      <c r="D1305" s="74" t="str">
        <f>IFERROR(__xludf.DUMMYFUNCTION("""COMPUTED_VALUE"""),"\\MCA-S\mk\2_BM\0_BMat\08_PYM\Inventario\excel\Imagen de refacciones\Schwing\Wearing Insert DN 250 _ Inserto de Desgaste DN 250")</f>
        <v>\\MCA-S\mk\2_BM\0_BMat\08_PYM\Inventario\excel\Imagen de refacciones\Schwing\Wearing Insert DN 250 _ Inserto de Desgaste DN 250</v>
      </c>
      <c r="E1305" s="74"/>
      <c r="F1305" s="74" t="str">
        <f>IFERROR(__xludf.DUMMYFUNCTION("""COMPUTED_VALUE"""),"Wearing Insert DN 250 / Inserto de Desgaste DN 250")</f>
        <v>Wearing Insert DN 250 / Inserto de Desgaste DN 250</v>
      </c>
      <c r="G1305" s="74"/>
      <c r="H1305" s="74"/>
      <c r="I1305" s="74" t="str">
        <f>IFERROR(__xludf.DUMMYFUNCTION("""COMPUTED_VALUE"""),"SOM30006")</f>
        <v>SOM30006</v>
      </c>
      <c r="J1305" s="74" t="str">
        <f>IFERROR(__xludf.DUMMYFUNCTION("""COMPUTED_VALUE"""),"10138580")</f>
        <v>10138580</v>
      </c>
      <c r="K1305" s="74" t="str">
        <f>IFERROR(__xludf.DUMMYFUNCTION("""COMPUTED_VALUE"""),"Schwing")</f>
        <v>Schwing</v>
      </c>
      <c r="L1305" s="74" t="str">
        <f>IFERROR(__xludf.DUMMYFUNCTION("""COMPUTED_VALUE"""),"Sistema de Bombeo de Concreto")</f>
        <v>Sistema de Bombeo de Concreto</v>
      </c>
      <c r="M1305" s="74" t="str">
        <f>IFERROR(__xludf.DUMMYFUNCTION("""COMPUTED_VALUE"""),"Sin Asignar")</f>
        <v>Sin Asignar</v>
      </c>
      <c r="N1305" s="87">
        <f>IFERROR(__xludf.DUMMYFUNCTION("""COMPUTED_VALUE"""),0.0)</f>
        <v>0</v>
      </c>
      <c r="O1305" s="74"/>
      <c r="P1305" s="74" t="str">
        <f>IFERROR(__xludf.DUMMYFUNCTION("""COMPUTED_VALUE"""),"No Available")</f>
        <v>No Available</v>
      </c>
      <c r="Q1305" s="74"/>
      <c r="R1305" s="74"/>
      <c r="S1305" s="87">
        <f>IFERROR(__xludf.DUMMYFUNCTION("""COMPUTED_VALUE"""),0.0)</f>
        <v>0</v>
      </c>
      <c r="T1305" s="87">
        <f>IFERROR(__xludf.DUMMYFUNCTION("""COMPUTED_VALUE"""),0.0)</f>
        <v>0</v>
      </c>
      <c r="U1305" s="87">
        <f>IFERROR(__xludf.DUMMYFUNCTION("""COMPUTED_VALUE"""),0.0)</f>
        <v>0</v>
      </c>
      <c r="V1305" s="87">
        <f>IFERROR(__xludf.DUMMYFUNCTION("""COMPUTED_VALUE"""),0.0)</f>
        <v>0</v>
      </c>
      <c r="W1305" s="87">
        <f>IFERROR(__xludf.DUMMYFUNCTION("""COMPUTED_VALUE"""),0.0)</f>
        <v>0</v>
      </c>
      <c r="X1305" s="88"/>
      <c r="Y1305" s="74"/>
      <c r="Z1305" s="74"/>
    </row>
    <row r="1306">
      <c r="B1306" s="74" t="str">
        <f>IFERROR(__xludf.DUMMYFUNCTION("""COMPUTED_VALUE"""),"2304")</f>
        <v>2304</v>
      </c>
      <c r="C1306" s="74"/>
      <c r="D1306" s="74" t="str">
        <f>IFERROR(__xludf.DUMMYFUNCTION("""COMPUTED_VALUE"""),"\\MCA-S\mk\2_BM\0_BMat\08_PYM\Inventario\excel\Imagen de refacciones\Sistema tuberia\CODO DE 5_X 90° METRICO")</f>
        <v>\\MCA-S\mk\2_BM\0_BMat\08_PYM\Inventario\excel\Imagen de refacciones\Sistema tuberia\CODO DE 5_X 90° METRICO</v>
      </c>
      <c r="E1306" s="74"/>
      <c r="F1306" s="74" t="str">
        <f>IFERROR(__xludf.DUMMYFUNCTION("""COMPUTED_VALUE"""),"CODO DE 5"" X 45° PARA BOMBA DE HORMIGON")</f>
        <v>CODO DE 5" X 45° PARA BOMBA DE HORMIGON</v>
      </c>
      <c r="G1306" s="74"/>
      <c r="H1306" s="74"/>
      <c r="I1306" s="74"/>
      <c r="J1306" s="74"/>
      <c r="K1306" s="74" t="str">
        <f>IFERROR(__xludf.DUMMYFUNCTION("""COMPUTED_VALUE"""),"Tuberia")</f>
        <v>Tuberia</v>
      </c>
      <c r="L1306" s="74" t="str">
        <f>IFERROR(__xludf.DUMMYFUNCTION("""COMPUTED_VALUE"""),"Componentes estructurales y de montaje")</f>
        <v>Componentes estructurales y de montaje</v>
      </c>
      <c r="M1306" s="74" t="str">
        <f>IFERROR(__xludf.DUMMYFUNCTION("""COMPUTED_VALUE"""),"Sin Asignar")</f>
        <v>Sin Asignar</v>
      </c>
      <c r="N1306" s="87">
        <f>IFERROR(__xludf.DUMMYFUNCTION("""COMPUTED_VALUE"""),0.0)</f>
        <v>0</v>
      </c>
      <c r="O1306" s="74"/>
      <c r="P1306" s="74" t="str">
        <f>IFERROR(__xludf.DUMMYFUNCTION("""COMPUTED_VALUE"""),"borrar")</f>
        <v>borrar</v>
      </c>
      <c r="Q1306" s="74"/>
      <c r="R1306" s="74"/>
      <c r="S1306" s="87">
        <f>IFERROR(__xludf.DUMMYFUNCTION("""COMPUTED_VALUE"""),0.0)</f>
        <v>0</v>
      </c>
      <c r="T1306" s="87">
        <f>IFERROR(__xludf.DUMMYFUNCTION("""COMPUTED_VALUE"""),0.0)</f>
        <v>0</v>
      </c>
      <c r="U1306" s="87">
        <f>IFERROR(__xludf.DUMMYFUNCTION("""COMPUTED_VALUE"""),0.0)</f>
        <v>0</v>
      </c>
      <c r="V1306" s="87">
        <f>IFERROR(__xludf.DUMMYFUNCTION("""COMPUTED_VALUE"""),0.0)</f>
        <v>0</v>
      </c>
      <c r="W1306" s="87">
        <f>IFERROR(__xludf.DUMMYFUNCTION("""COMPUTED_VALUE"""),0.0)</f>
        <v>0</v>
      </c>
      <c r="X1306" s="88"/>
      <c r="Y1306" s="74"/>
      <c r="Z1306" s="74"/>
    </row>
    <row r="1307">
      <c r="B1307" s="74" t="str">
        <f>IFERROR(__xludf.DUMMYFUNCTION("""COMPUTED_VALUE"""),"2305")</f>
        <v>2305</v>
      </c>
      <c r="C1307" s="74" t="str">
        <f>IFERROR(__xludf.DUMMYFUNCTION("""COMPUTED_VALUE"""),"75045880255")</f>
        <v>75045880255</v>
      </c>
      <c r="D1307" s="74" t="str">
        <f>IFERROR(__xludf.DUMMYFUNCTION("""COMPUTED_VALUE"""),"\\MCA-S\mk\2_BM\0_BMat\08_PYM\Inventario\excel\Imagen de refacciones\Sistema tuberia\Tubo de 5_ x3 metros- calibre 7 metrico")</f>
        <v>\\MCA-S\mk\2_BM\0_BMat\08_PYM\Inventario\excel\Imagen de refacciones\Sistema tuberia\Tubo de 5_ x3 metros- calibre 7 metrico</v>
      </c>
      <c r="E1307" s="74" t="str">
        <f>IFERROR(__xludf.DUMMYFUNCTION("""COMPUTED_VALUE"""),"PIPE TWIN LAYER MET. DN125 SK148 5"" 5x3000mm")</f>
        <v>PIPE TWIN LAYER MET. DN125 SK148 5" 5x3000mm</v>
      </c>
      <c r="F1307" s="74" t="str">
        <f>IFERROR(__xludf.DUMMYFUNCTION("""COMPUTED_VALUE"""),"TUBO DOBLE CAPA MET. DN125 SK148 5"" 5x3000mm")</f>
        <v>TUBO DOBLE CAPA MET. DN125 SK148 5" 5x3000mm</v>
      </c>
      <c r="G1307" s="74" t="str">
        <f>IFERROR(__xludf.DUMMYFUNCTION("""COMPUTED_VALUE"""),"TUBO MET. DOBLE CAPA5"" 5x3000mm")</f>
        <v>TUBO MET. DOBLE CAPA5" 5x3000mm</v>
      </c>
      <c r="H1307" s="74" t="str">
        <f>IFERROR(__xludf.DUMMYFUNCTION("""COMPUTED_VALUE"""),"TUBO MET. DOBLE CAPA5"" 5x3000mm")</f>
        <v>TUBO MET. DOBLE CAPA5" 5x3000mm</v>
      </c>
      <c r="I1307" s="74" t="str">
        <f>IFERROR(__xludf.DUMMYFUNCTION("""COMPUTED_VALUE"""),"10004349")</f>
        <v>10004349</v>
      </c>
      <c r="J1307" s="74"/>
      <c r="K1307" s="74" t="str">
        <f>IFERROR(__xludf.DUMMYFUNCTION("""COMPUTED_VALUE"""),"Tuberia")</f>
        <v>Tuberia</v>
      </c>
      <c r="L1307" s="74" t="str">
        <f>IFERROR(__xludf.DUMMYFUNCTION("""COMPUTED_VALUE"""),"TUBERIA")</f>
        <v>TUBERIA</v>
      </c>
      <c r="M1307" s="74" t="str">
        <f>IFERROR(__xludf.DUMMYFUNCTION("""COMPUTED_VALUE"""),"TUBOS")</f>
        <v>TUBOS</v>
      </c>
      <c r="N1307" s="87">
        <f>IFERROR(__xludf.DUMMYFUNCTION("""COMPUTED_VALUE"""),3782.8799999999997)</f>
        <v>3782.88</v>
      </c>
      <c r="O1307" s="74">
        <f>IFERROR(__xludf.DUMMYFUNCTION("""COMPUTED_VALUE"""),50.0)</f>
        <v>50</v>
      </c>
      <c r="P1307" s="74" t="str">
        <f>IFERROR(__xludf.DUMMYFUNCTION("""COMPUTED_VALUE"""),"In stock")</f>
        <v>In stock</v>
      </c>
      <c r="Q1307" s="74"/>
      <c r="R1307" s="74"/>
      <c r="S1307" s="87">
        <f>IFERROR(__xludf.DUMMYFUNCTION("""COMPUTED_VALUE"""),62.0)</f>
        <v>62</v>
      </c>
      <c r="T1307" s="87">
        <f>IFERROR(__xludf.DUMMYFUNCTION("""COMPUTED_VALUE"""),213.0)</f>
        <v>213</v>
      </c>
      <c r="U1307" s="87">
        <f>IFERROR(__xludf.DUMMYFUNCTION("""COMPUTED_VALUE"""),204.48)</f>
        <v>204.48</v>
      </c>
      <c r="V1307" s="87">
        <f>IFERROR(__xludf.DUMMYFUNCTION("""COMPUTED_VALUE"""),75.95)</f>
        <v>75.95</v>
      </c>
      <c r="W1307" s="87">
        <f>IFERROR(__xludf.DUMMYFUNCTION("""COMPUTED_VALUE"""),1424.0625)</f>
        <v>1424.0625</v>
      </c>
      <c r="X1307" s="88">
        <f>IFERROR(__xludf.DUMMYFUNCTION("""COMPUTED_VALUE"""),3.298064516129032)</f>
        <v>3.298064516</v>
      </c>
      <c r="Y1307" s="74"/>
      <c r="Z1307" s="74"/>
    </row>
    <row r="1308">
      <c r="B1308" s="74" t="str">
        <f>IFERROR(__xludf.DUMMYFUNCTION("""COMPUTED_VALUE"""),"2306")</f>
        <v>2306</v>
      </c>
      <c r="C1308" s="74" t="str">
        <f>IFERROR(__xludf.DUMMYFUNCTION("""COMPUTED_VALUE"""),"75045880318")</f>
        <v>75045880318</v>
      </c>
      <c r="D1308" s="74" t="str">
        <f>IFERROR(__xludf.DUMMYFUNCTION("""COMPUTED_VALUE"""),"\\MCA-S\mk\2_BM\0_BMat\08_PYM\Inventario\excel\Imagen de refacciones\Sistemas de tubería\Abrazadera de 5_ metrica ajustable")</f>
        <v>\\MCA-S\mk\2_BM\0_BMat\08_PYM\Inventario\excel\Imagen de refacciones\Sistemas de tubería\Abrazadera de 5_ metrica ajustable</v>
      </c>
      <c r="E1308" s="74" t="str">
        <f>IFERROR(__xludf.DUMMYFUNCTION("""COMPUTED_VALUE"""),"CLAMP 5"" MET. DN125 SK148 ADJUSTABLE")</f>
        <v>CLAMP 5" MET. DN125 SK148 ADJUSTABLE</v>
      </c>
      <c r="F1308" s="74" t="str">
        <f>IFERROR(__xludf.DUMMYFUNCTION("""COMPUTED_VALUE"""),"ABRAZADERA 5"" MET. AJUSTABLE DN125 SK148")</f>
        <v>ABRAZADERA 5" MET. AJUSTABLE DN125 SK148</v>
      </c>
      <c r="G1308" s="74"/>
      <c r="H1308" s="74" t="str">
        <f>IFERROR(__xludf.DUMMYFUNCTION("""COMPUTED_VALUE"""),"ABRAZADERA DE 5"" METRICA AJUSTABLE PARA BOMBA DE HORMIGON")</f>
        <v>ABRAZADERA DE 5" METRICA AJUSTABLE PARA BOMBA DE HORMIGON</v>
      </c>
      <c r="I1308" s="74" t="str">
        <f>IFERROR(__xludf.DUMMYFUNCTION("""COMPUTED_VALUE"""),"CL50MADJ")</f>
        <v>CL50MADJ</v>
      </c>
      <c r="J1308" s="74"/>
      <c r="K1308" s="74" t="str">
        <f>IFERROR(__xludf.DUMMYFUNCTION("""COMPUTED_VALUE"""),"Tuberia")</f>
        <v>Tuberia</v>
      </c>
      <c r="L1308" s="74" t="str">
        <f>IFERROR(__xludf.DUMMYFUNCTION("""COMPUTED_VALUE"""),"TUBERIA ACERO")</f>
        <v>TUBERIA ACERO</v>
      </c>
      <c r="M1308" s="74" t="str">
        <f>IFERROR(__xludf.DUMMYFUNCTION("""COMPUTED_VALUE"""),"TUBOS")</f>
        <v>TUBOS</v>
      </c>
      <c r="N1308" s="87">
        <f>IFERROR(__xludf.DUMMYFUNCTION("""COMPUTED_VALUE"""),1083.36)</f>
        <v>1083.36</v>
      </c>
      <c r="O1308" s="74">
        <f>IFERROR(__xludf.DUMMYFUNCTION("""COMPUTED_VALUE"""),10.0)</f>
        <v>10</v>
      </c>
      <c r="P1308" s="74" t="str">
        <f>IFERROR(__xludf.DUMMYFUNCTION("""COMPUTED_VALUE"""),"In stock")</f>
        <v>In stock</v>
      </c>
      <c r="Q1308" s="74"/>
      <c r="R1308" s="74"/>
      <c r="S1308" s="87">
        <f>IFERROR(__xludf.DUMMYFUNCTION("""COMPUTED_VALUE"""),14.0)</f>
        <v>14</v>
      </c>
      <c r="T1308" s="87">
        <f>IFERROR(__xludf.DUMMYFUNCTION("""COMPUTED_VALUE"""),61.0)</f>
        <v>61</v>
      </c>
      <c r="U1308" s="87">
        <f>IFERROR(__xludf.DUMMYFUNCTION("""COMPUTED_VALUE"""),58.559999999999995)</f>
        <v>58.56</v>
      </c>
      <c r="V1308" s="87">
        <f>IFERROR(__xludf.DUMMYFUNCTION("""COMPUTED_VALUE"""),17.15)</f>
        <v>17.15</v>
      </c>
      <c r="W1308" s="87">
        <f>IFERROR(__xludf.DUMMYFUNCTION("""COMPUTED_VALUE"""),321.5625)</f>
        <v>321.5625</v>
      </c>
      <c r="X1308" s="88">
        <f>IFERROR(__xludf.DUMMYFUNCTION("""COMPUTED_VALUE"""),4.182857142857142)</f>
        <v>4.182857143</v>
      </c>
      <c r="Y1308" s="74"/>
      <c r="Z1308" s="74"/>
    </row>
    <row r="1309">
      <c r="B1309" s="74" t="str">
        <f>IFERROR(__xludf.DUMMYFUNCTION("""COMPUTED_VALUE"""),"2307")</f>
        <v>2307</v>
      </c>
      <c r="C1309" s="74" t="str">
        <f>IFERROR(__xludf.DUMMYFUNCTION("""COMPUTED_VALUE"""),"75045880251")</f>
        <v>75045880251</v>
      </c>
      <c r="D1309" s="74" t="str">
        <f>IFERROR(__xludf.DUMMYFUNCTION("""COMPUTED_VALUE"""),"\\MCA-S\mk\2_BM\0_BMat\08_PYM\Inventario\excel\Imagen de refacciones\Sistemas de tubería\Abrazadera de 5_ metrica cola de rata")</f>
        <v>\\MCA-S\mk\2_BM\0_BMat\08_PYM\Inventario\excel\Imagen de refacciones\Sistemas de tubería\Abrazadera de 5_ metrica cola de rata</v>
      </c>
      <c r="E1309" s="74" t="str">
        <f>IFERROR(__xludf.DUMMYFUNCTION("""COMPUTED_VALUE"""),"CUP TYPE CLAMP DN125 SK148")</f>
        <v>CUP TYPE CLAMP DN125 SK148</v>
      </c>
      <c r="F1309" s="74" t="str">
        <f>IFERROR(__xludf.DUMMYFUNCTION("""COMPUTED_VALUE"""),"ABRAZADERA 5"" MET. SK148 COLA DE RATA")</f>
        <v>ABRAZADERA 5" MET. SK148 COLA DE RATA</v>
      </c>
      <c r="G1309" s="74"/>
      <c r="H1309" s="74" t="str">
        <f>IFERROR(__xludf.DUMMYFUNCTION("""COMPUTED_VALUE"""),"ABRAZADERA DE 5"" METRICA COLA DE RATA PARA BOMBA DE HORMIGON")</f>
        <v>ABRAZADERA DE 5" METRICA COLA DE RATA PARA BOMBA DE HORMIGON</v>
      </c>
      <c r="I1309" s="74" t="str">
        <f>IFERROR(__xludf.DUMMYFUNCTION("""COMPUTED_VALUE"""),"10007018")</f>
        <v>10007018</v>
      </c>
      <c r="J1309" s="74"/>
      <c r="K1309" s="74" t="str">
        <f>IFERROR(__xludf.DUMMYFUNCTION("""COMPUTED_VALUE"""),"Tuberia")</f>
        <v>Tuberia</v>
      </c>
      <c r="L1309" s="74" t="str">
        <f>IFERROR(__xludf.DUMMYFUNCTION("""COMPUTED_VALUE"""),"TUBERIA ACERO")</f>
        <v>TUBERIA ACERO</v>
      </c>
      <c r="M1309" s="74" t="str">
        <f>IFERROR(__xludf.DUMMYFUNCTION("""COMPUTED_VALUE"""),"TUBOS")</f>
        <v>TUBOS</v>
      </c>
      <c r="N1309" s="87">
        <f>IFERROR(__xludf.DUMMYFUNCTION("""COMPUTED_VALUE"""),816.9599999999999)</f>
        <v>816.96</v>
      </c>
      <c r="O1309" s="74">
        <f>IFERROR(__xludf.DUMMYFUNCTION("""COMPUTED_VALUE"""),70.0)</f>
        <v>70</v>
      </c>
      <c r="P1309" s="74" t="str">
        <f>IFERROR(__xludf.DUMMYFUNCTION("""COMPUTED_VALUE"""),"In stock")</f>
        <v>In stock</v>
      </c>
      <c r="Q1309" s="74"/>
      <c r="R1309" s="74"/>
      <c r="S1309" s="87">
        <f>IFERROR(__xludf.DUMMYFUNCTION("""COMPUTED_VALUE"""),10.0)</f>
        <v>10</v>
      </c>
      <c r="T1309" s="87">
        <f>IFERROR(__xludf.DUMMYFUNCTION("""COMPUTED_VALUE"""),46.0)</f>
        <v>46</v>
      </c>
      <c r="U1309" s="87">
        <f>IFERROR(__xludf.DUMMYFUNCTION("""COMPUTED_VALUE"""),44.16)</f>
        <v>44.16</v>
      </c>
      <c r="V1309" s="87">
        <f>IFERROR(__xludf.DUMMYFUNCTION("""COMPUTED_VALUE"""),12.25)</f>
        <v>12.25</v>
      </c>
      <c r="W1309" s="87">
        <f>IFERROR(__xludf.DUMMYFUNCTION("""COMPUTED_VALUE"""),229.6875)</f>
        <v>229.6875</v>
      </c>
      <c r="X1309" s="88">
        <f>IFERROR(__xludf.DUMMYFUNCTION("""COMPUTED_VALUE"""),4.4159999999999995)</f>
        <v>4.416</v>
      </c>
      <c r="Y1309" s="74"/>
      <c r="Z1309" s="74"/>
    </row>
    <row r="1310">
      <c r="B1310" s="74" t="str">
        <f>IFERROR(__xludf.DUMMYFUNCTION("""COMPUTED_VALUE"""),"2308")</f>
        <v>2308</v>
      </c>
      <c r="C1310" s="74" t="str">
        <f>IFERROR(__xludf.DUMMYFUNCTION("""COMPUTED_VALUE"""),"75045880319")</f>
        <v>75045880319</v>
      </c>
      <c r="D1310" s="74" t="str">
        <f>IFERROR(__xludf.DUMMYFUNCTION("""COMPUTED_VALUE"""),"\\MCA-S\mk\2_BM\0_BMat\08_PYM\Inventario\excel\Imagen de refacciones\Sistemas de tubería\Abrazadera de 5_ metrica cola derata con base")</f>
        <v>\\MCA-S\mk\2_BM\0_BMat\08_PYM\Inventario\excel\Imagen de refacciones\Sistemas de tubería\Abrazadera de 5_ metrica cola derata con base</v>
      </c>
      <c r="E1310" s="74" t="str">
        <f>IFERROR(__xludf.DUMMYFUNCTION("""COMPUTED_VALUE"""),"CLAMP SNAP DN125 SK148 WITH BASE")</f>
        <v>CLAMP SNAP DN125 SK148 WITH BASE</v>
      </c>
      <c r="F1310" s="74" t="str">
        <f>IFERROR(__xludf.DUMMYFUNCTION("""COMPUTED_VALUE"""),"ABRAZADERA 5"" MET. COLA DE RATA CON BASE")</f>
        <v>ABRAZADERA 5" MET. COLA DE RATA CON BASE</v>
      </c>
      <c r="G1310" s="74"/>
      <c r="H1310" s="74" t="str">
        <f>IFERROR(__xludf.DUMMYFUNCTION("""COMPUTED_VALUE"""),"ABRAZADERA DE 5"" METRICA COLA DE RATA CON BASE PARA BOMBA DE HORMIGON")</f>
        <v>ABRAZADERA DE 5" METRICA COLA DE RATA CON BASE PARA BOMBA DE HORMIGON</v>
      </c>
      <c r="I1310" s="74" t="str">
        <f>IFERROR(__xludf.DUMMYFUNCTION("""COMPUTED_VALUE"""),"534296")</f>
        <v>534296</v>
      </c>
      <c r="J1310" s="74"/>
      <c r="K1310" s="74" t="str">
        <f>IFERROR(__xludf.DUMMYFUNCTION("""COMPUTED_VALUE"""),"Tuberia")</f>
        <v>Tuberia</v>
      </c>
      <c r="L1310" s="74" t="str">
        <f>IFERROR(__xludf.DUMMYFUNCTION("""COMPUTED_VALUE"""),"TUBERIA ACERO")</f>
        <v>TUBERIA ACERO</v>
      </c>
      <c r="M1310" s="74" t="str">
        <f>IFERROR(__xludf.DUMMYFUNCTION("""COMPUTED_VALUE"""),"TUBOS")</f>
        <v>TUBOS</v>
      </c>
      <c r="N1310" s="87">
        <f>IFERROR(__xludf.DUMMYFUNCTION("""COMPUTED_VALUE"""),1225.4399999999998)</f>
        <v>1225.44</v>
      </c>
      <c r="O1310" s="74">
        <f>IFERROR(__xludf.DUMMYFUNCTION("""COMPUTED_VALUE"""),10.0)</f>
        <v>10</v>
      </c>
      <c r="P1310" s="74" t="str">
        <f>IFERROR(__xludf.DUMMYFUNCTION("""COMPUTED_VALUE"""),"In stock")</f>
        <v>In stock</v>
      </c>
      <c r="Q1310" s="74"/>
      <c r="R1310" s="74"/>
      <c r="S1310" s="87">
        <f>IFERROR(__xludf.DUMMYFUNCTION("""COMPUTED_VALUE"""),13.5)</f>
        <v>13.5</v>
      </c>
      <c r="T1310" s="87">
        <f>IFERROR(__xludf.DUMMYFUNCTION("""COMPUTED_VALUE"""),69.0)</f>
        <v>69</v>
      </c>
      <c r="U1310" s="87">
        <f>IFERROR(__xludf.DUMMYFUNCTION("""COMPUTED_VALUE"""),66.24)</f>
        <v>66.24</v>
      </c>
      <c r="V1310" s="87">
        <f>IFERROR(__xludf.DUMMYFUNCTION("""COMPUTED_VALUE"""),16.5375)</f>
        <v>16.5375</v>
      </c>
      <c r="W1310" s="87">
        <f>IFERROR(__xludf.DUMMYFUNCTION("""COMPUTED_VALUE"""),310.078125)</f>
        <v>310.078125</v>
      </c>
      <c r="X1310" s="88">
        <f>IFERROR(__xludf.DUMMYFUNCTION("""COMPUTED_VALUE"""),4.906666666666666)</f>
        <v>4.906666667</v>
      </c>
      <c r="Y1310" s="74"/>
      <c r="Z1310" s="74"/>
    </row>
    <row r="1311">
      <c r="B1311" s="74" t="str">
        <f>IFERROR(__xludf.DUMMYFUNCTION("""COMPUTED_VALUE"""),"2309")</f>
        <v>2309</v>
      </c>
      <c r="C1311" s="74" t="str">
        <f>IFERROR(__xludf.DUMMYFUNCTION("""COMPUTED_VALUE"""),"75045880320")</f>
        <v>75045880320</v>
      </c>
      <c r="D1311" s="74" t="str">
        <f>IFERROR(__xludf.DUMMYFUNCTION("""COMPUTED_VALUE"""),"\\MCA-S\mk\2_BM\0_BMat\08_PYM\Inventario\excel\Imagen de refacciones\Sistemas de tubería\Abrazadera de 5_ metrica cuatro tornillos sin base")</f>
        <v>\\MCA-S\mk\2_BM\0_BMat\08_PYM\Inventario\excel\Imagen de refacciones\Sistemas de tubería\Abrazadera de 5_ metrica cuatro tornillos sin base</v>
      </c>
      <c r="E1311" s="74" t="str">
        <f>IFERROR(__xludf.DUMMYFUNCTION("""COMPUTED_VALUE"""),"CLAMP 5"" MET. 4 BOLTS NO BASE DN125 SK148")</f>
        <v>CLAMP 5" MET. 4 BOLTS NO BASE DN125 SK148</v>
      </c>
      <c r="F1311" s="74" t="str">
        <f>IFERROR(__xludf.DUMMYFUNCTION("""COMPUTED_VALUE"""),"ABRAZADERA 5"" MET. 4 TORNILLOS SIN BASE DN125 SK148")</f>
        <v>ABRAZADERA 5" MET. 4 TORNILLOS SIN BASE DN125 SK148</v>
      </c>
      <c r="G1311" s="74"/>
      <c r="H1311" s="74" t="str">
        <f>IFERROR(__xludf.DUMMYFUNCTION("""COMPUTED_VALUE"""),"ABRAZADERA DE 5"" METRICA CUATRO TORNILLOS SIN BASE PARA BOMBA DE HORMIGON")</f>
        <v>ABRAZADERA DE 5" METRICA CUATRO TORNILLOS SIN BASE PARA BOMBA DE HORMIGON</v>
      </c>
      <c r="I1311" s="74" t="str">
        <f>IFERROR(__xludf.DUMMYFUNCTION("""COMPUTED_VALUE"""),"550-10667")</f>
        <v>550-10667</v>
      </c>
      <c r="J1311" s="74"/>
      <c r="K1311" s="74" t="str">
        <f>IFERROR(__xludf.DUMMYFUNCTION("""COMPUTED_VALUE"""),"Tuberia")</f>
        <v>Tuberia</v>
      </c>
      <c r="L1311" s="74" t="str">
        <f>IFERROR(__xludf.DUMMYFUNCTION("""COMPUTED_VALUE"""),"TUBERIA ACERO")</f>
        <v>TUBERIA ACERO</v>
      </c>
      <c r="M1311" s="74" t="str">
        <f>IFERROR(__xludf.DUMMYFUNCTION("""COMPUTED_VALUE"""),"TUBOS")</f>
        <v>TUBOS</v>
      </c>
      <c r="N1311" s="87">
        <f>IFERROR(__xludf.DUMMYFUNCTION("""COMPUTED_VALUE"""),1278.72)</f>
        <v>1278.72</v>
      </c>
      <c r="O1311" s="74">
        <f>IFERROR(__xludf.DUMMYFUNCTION("""COMPUTED_VALUE"""),10.0)</f>
        <v>10</v>
      </c>
      <c r="P1311" s="74" t="str">
        <f>IFERROR(__xludf.DUMMYFUNCTION("""COMPUTED_VALUE"""),"In stock")</f>
        <v>In stock</v>
      </c>
      <c r="Q1311" s="74"/>
      <c r="R1311" s="74"/>
      <c r="S1311" s="87">
        <f>IFERROR(__xludf.DUMMYFUNCTION("""COMPUTED_VALUE"""),12.0)</f>
        <v>12</v>
      </c>
      <c r="T1311" s="87">
        <f>IFERROR(__xludf.DUMMYFUNCTION("""COMPUTED_VALUE"""),72.0)</f>
        <v>72</v>
      </c>
      <c r="U1311" s="87">
        <f>IFERROR(__xludf.DUMMYFUNCTION("""COMPUTED_VALUE"""),69.12)</f>
        <v>69.12</v>
      </c>
      <c r="V1311" s="87">
        <f>IFERROR(__xludf.DUMMYFUNCTION("""COMPUTED_VALUE"""),14.7)</f>
        <v>14.7</v>
      </c>
      <c r="W1311" s="87">
        <f>IFERROR(__xludf.DUMMYFUNCTION("""COMPUTED_VALUE"""),275.625)</f>
        <v>275.625</v>
      </c>
      <c r="X1311" s="88">
        <f>IFERROR(__xludf.DUMMYFUNCTION("""COMPUTED_VALUE"""),5.760000000000001)</f>
        <v>5.76</v>
      </c>
      <c r="Y1311" s="74"/>
      <c r="Z1311" s="74"/>
    </row>
    <row r="1312">
      <c r="B1312" s="74" t="str">
        <f>IFERROR(__xludf.DUMMYFUNCTION("""COMPUTED_VALUE"""),"2310")</f>
        <v>2310</v>
      </c>
      <c r="C1312" s="74" t="str">
        <f>IFERROR(__xludf.DUMMYFUNCTION("""COMPUTED_VALUE"""),"75045892310")</f>
        <v>75045892310</v>
      </c>
      <c r="D1312" s="74" t="str">
        <f>IFERROR(__xludf.DUMMYFUNCTION("""COMPUTED_VALUE"""),"\\MCA-S\mk\2_BM\0_BMat\08_PYM\Inventario\excel\Imagen de refacciones\Sistemas de tubería\Abrazadera de 5_ metrica doble tornillo")</f>
        <v>\\MCA-S\mk\2_BM\0_BMat\08_PYM\Inventario\excel\Imagen de refacciones\Sistemas de tubería\Abrazadera de 5_ metrica doble tornillo</v>
      </c>
      <c r="E1312" s="74" t="str">
        <f>IFERROR(__xludf.DUMMYFUNCTION("""COMPUTED_VALUE"""),"CLAMP 2 BOLT DN125 SK148 5"" MET. WITH BASE")</f>
        <v>CLAMP 2 BOLT DN125 SK148 5" MET. WITH BASE</v>
      </c>
      <c r="F1312" s="74" t="str">
        <f>IFERROR(__xludf.DUMMYFUNCTION("""COMPUTED_VALUE"""),"ABRAZADERA 5"" MET. DN125 SK148 DOBLE TORNILLO CON BASE")</f>
        <v>ABRAZADERA 5" MET. DN125 SK148 DOBLE TORNILLO CON BASE</v>
      </c>
      <c r="G1312" s="74"/>
      <c r="H1312" s="74" t="str">
        <f>IFERROR(__xludf.DUMMYFUNCTION("""COMPUTED_VALUE"""),"ABRAZADERA DE 5"" METRICA DOBLE TORNILLO PARA BOMBA DE HORMIGON")</f>
        <v>ABRAZADERA DE 5" METRICA DOBLE TORNILLO PARA BOMBA DE HORMIGON</v>
      </c>
      <c r="I1312" s="74" t="str">
        <f>IFERROR(__xludf.DUMMYFUNCTION("""COMPUTED_VALUE"""),"27709009")</f>
        <v>27709009</v>
      </c>
      <c r="J1312" s="74"/>
      <c r="K1312" s="74" t="str">
        <f>IFERROR(__xludf.DUMMYFUNCTION("""COMPUTED_VALUE"""),"Tuberia")</f>
        <v>Tuberia</v>
      </c>
      <c r="L1312" s="74" t="str">
        <f>IFERROR(__xludf.DUMMYFUNCTION("""COMPUTED_VALUE"""),"TUBERIA ACERO")</f>
        <v>TUBERIA ACERO</v>
      </c>
      <c r="M1312" s="74" t="str">
        <f>IFERROR(__xludf.DUMMYFUNCTION("""COMPUTED_VALUE"""),"TUBOS")</f>
        <v>TUBOS</v>
      </c>
      <c r="N1312" s="87">
        <f>IFERROR(__xludf.DUMMYFUNCTION("""COMPUTED_VALUE"""),3711.8399999999997)</f>
        <v>3711.84</v>
      </c>
      <c r="O1312" s="74">
        <f>IFERROR(__xludf.DUMMYFUNCTION("""COMPUTED_VALUE"""),10.0)</f>
        <v>10</v>
      </c>
      <c r="P1312" s="74" t="str">
        <f>IFERROR(__xludf.DUMMYFUNCTION("""COMPUTED_VALUE"""),"In stock")</f>
        <v>In stock</v>
      </c>
      <c r="Q1312" s="74"/>
      <c r="R1312" s="74"/>
      <c r="S1312" s="87">
        <f>IFERROR(__xludf.DUMMYFUNCTION("""COMPUTED_VALUE"""),13.5)</f>
        <v>13.5</v>
      </c>
      <c r="T1312" s="87">
        <f>IFERROR(__xludf.DUMMYFUNCTION("""COMPUTED_VALUE"""),209.0)</f>
        <v>209</v>
      </c>
      <c r="U1312" s="87">
        <f>IFERROR(__xludf.DUMMYFUNCTION("""COMPUTED_VALUE"""),200.64)</f>
        <v>200.64</v>
      </c>
      <c r="V1312" s="87">
        <f>IFERROR(__xludf.DUMMYFUNCTION("""COMPUTED_VALUE"""),16.5375)</f>
        <v>16.5375</v>
      </c>
      <c r="W1312" s="87">
        <f>IFERROR(__xludf.DUMMYFUNCTION("""COMPUTED_VALUE"""),310.078125)</f>
        <v>310.078125</v>
      </c>
      <c r="X1312" s="88">
        <f>IFERROR(__xludf.DUMMYFUNCTION("""COMPUTED_VALUE"""),14.862222222222222)</f>
        <v>14.86222222</v>
      </c>
      <c r="Y1312" s="74"/>
      <c r="Z1312" s="74"/>
    </row>
    <row r="1313">
      <c r="B1313" s="74" t="str">
        <f>IFERROR(__xludf.DUMMYFUNCTION("""COMPUTED_VALUE"""),"2311")</f>
        <v>2311</v>
      </c>
      <c r="C1313" s="74" t="str">
        <f>IFERROR(__xludf.DUMMYFUNCTION("""COMPUTED_VALUE"""),"75045880335")</f>
        <v>75045880335</v>
      </c>
      <c r="D1313" s="74" t="str">
        <f>IFERROR(__xludf.DUMMYFUNCTION("""COMPUTED_VALUE"""),"\\MCA-S\mk\2_BM\0_BMat\08_PYM\Inventario\excel\Imagen de refacciones\Sistemas de tubería\Abrazadera de 5_ metrica doble tornillo con base")</f>
        <v>\\MCA-S\mk\2_BM\0_BMat\08_PYM\Inventario\excel\Imagen de refacciones\Sistemas de tubería\Abrazadera de 5_ metrica doble tornillo con base</v>
      </c>
      <c r="E1313" s="74" t="str">
        <f>IFERROR(__xludf.DUMMYFUNCTION("""COMPUTED_VALUE"""),"SCHWING CLAMP SCREW STYLE 5"" 2 BOLT WITH BASE MET. SK148")</f>
        <v>SCHWING CLAMP SCREW STYLE 5" 2 BOLT WITH BASE MET. SK148</v>
      </c>
      <c r="F1313" s="74" t="str">
        <f>IFERROR(__xludf.DUMMYFUNCTION("""COMPUTED_VALUE"""),"ABRAZADERA 5"" MET. SK148 DOBLE TORNILLO CON BASE")</f>
        <v>ABRAZADERA 5" MET. SK148 DOBLE TORNILLO CON BASE</v>
      </c>
      <c r="G1313" s="74"/>
      <c r="H1313" s="74" t="str">
        <f>IFERROR(__xludf.DUMMYFUNCTION("""COMPUTED_VALUE"""),"ABRAZADERA DE 5"" METRICA DOBLE TORNILLO CON BASE PARA BOMBA DE HORMIGON")</f>
        <v>ABRAZADERA DE 5" METRICA DOBLE TORNILLO CON BASE PARA BOMBA DE HORMIGON</v>
      </c>
      <c r="I1313" s="74" t="str">
        <f>IFERROR(__xludf.DUMMYFUNCTION("""COMPUTED_VALUE"""),"10133242")</f>
        <v>10133242</v>
      </c>
      <c r="J1313" s="74"/>
      <c r="K1313" s="74" t="str">
        <f>IFERROR(__xludf.DUMMYFUNCTION("""COMPUTED_VALUE"""),"Tuberia")</f>
        <v>Tuberia</v>
      </c>
      <c r="L1313" s="74" t="str">
        <f>IFERROR(__xludf.DUMMYFUNCTION("""COMPUTED_VALUE"""),"TUBERIA ACERO")</f>
        <v>TUBERIA ACERO</v>
      </c>
      <c r="M1313" s="74" t="str">
        <f>IFERROR(__xludf.DUMMYFUNCTION("""COMPUTED_VALUE"""),"TUBOS")</f>
        <v>TUBOS</v>
      </c>
      <c r="N1313" s="87">
        <f>IFERROR(__xludf.DUMMYFUNCTION("""COMPUTED_VALUE"""),1065.6)</f>
        <v>1065.6</v>
      </c>
      <c r="O1313" s="74">
        <f>IFERROR(__xludf.DUMMYFUNCTION("""COMPUTED_VALUE"""),8.0)</f>
        <v>8</v>
      </c>
      <c r="P1313" s="74" t="str">
        <f>IFERROR(__xludf.DUMMYFUNCTION("""COMPUTED_VALUE"""),"In stock")</f>
        <v>In stock</v>
      </c>
      <c r="Q1313" s="74"/>
      <c r="R1313" s="74"/>
      <c r="S1313" s="87">
        <f>IFERROR(__xludf.DUMMYFUNCTION("""COMPUTED_VALUE"""),13.5)</f>
        <v>13.5</v>
      </c>
      <c r="T1313" s="87">
        <f>IFERROR(__xludf.DUMMYFUNCTION("""COMPUTED_VALUE"""),60.0)</f>
        <v>60</v>
      </c>
      <c r="U1313" s="87">
        <f>IFERROR(__xludf.DUMMYFUNCTION("""COMPUTED_VALUE"""),57.599999999999994)</f>
        <v>57.6</v>
      </c>
      <c r="V1313" s="87">
        <f>IFERROR(__xludf.DUMMYFUNCTION("""COMPUTED_VALUE"""),16.5375)</f>
        <v>16.5375</v>
      </c>
      <c r="W1313" s="87">
        <f>IFERROR(__xludf.DUMMYFUNCTION("""COMPUTED_VALUE"""),310.078125)</f>
        <v>310.078125</v>
      </c>
      <c r="X1313" s="88">
        <f>IFERROR(__xludf.DUMMYFUNCTION("""COMPUTED_VALUE"""),4.266666666666667)</f>
        <v>4.266666667</v>
      </c>
      <c r="Y1313" s="74"/>
      <c r="Z1313" s="74"/>
    </row>
    <row r="1314">
      <c r="B1314" s="74" t="str">
        <f>IFERROR(__xludf.DUMMYFUNCTION("""COMPUTED_VALUE"""),"2312")</f>
        <v>2312</v>
      </c>
      <c r="C1314" s="74" t="str">
        <f>IFERROR(__xludf.DUMMYFUNCTION("""COMPUTED_VALUE"""),"75045880574")</f>
        <v>75045880574</v>
      </c>
      <c r="D1314" s="74" t="str">
        <f>IFERROR(__xludf.DUMMYFUNCTION("""COMPUTED_VALUE"""),"\\MCA-S\mk\2_BM\0_BMat\08_PYM\Inventario\excel\Imagen de refacciones\Sistemas de tubería\Abrazadera de 5_ metrica doble tornillo sin base")</f>
        <v>\\MCA-S\mk\2_BM\0_BMat\08_PYM\Inventario\excel\Imagen de refacciones\Sistemas de tubería\Abrazadera de 5_ metrica doble tornillo sin base</v>
      </c>
      <c r="E1314" s="74" t="str">
        <f>IFERROR(__xludf.DUMMYFUNCTION("""COMPUTED_VALUE"""),"SCHWING CLAMP 5"" 2 BOLTS NO BASE")</f>
        <v>SCHWING CLAMP 5" 2 BOLTS NO BASE</v>
      </c>
      <c r="F1314" s="74" t="str">
        <f>IFERROR(__xludf.DUMMYFUNCTION("""COMPUTED_VALUE"""),"ABRAZADERA 5"" DOBLE TORNILLO SIN BASE")</f>
        <v>ABRAZADERA 5" DOBLE TORNILLO SIN BASE</v>
      </c>
      <c r="G1314" s="74"/>
      <c r="H1314" s="74" t="str">
        <f>IFERROR(__xludf.DUMMYFUNCTION("""COMPUTED_VALUE"""),"ABRAZADERA DE 5"" METRICA DOBLE TORNILLO PARA BOMBA DE HORMIGON")</f>
        <v>ABRAZADERA DE 5" METRICA DOBLE TORNILLO PARA BOMBA DE HORMIGON</v>
      </c>
      <c r="I1314" s="74" t="str">
        <f>IFERROR(__xludf.DUMMYFUNCTION("""COMPUTED_VALUE"""),"10006587")</f>
        <v>10006587</v>
      </c>
      <c r="J1314" s="74"/>
      <c r="K1314" s="74" t="str">
        <f>IFERROR(__xludf.DUMMYFUNCTION("""COMPUTED_VALUE"""),"Tuberia")</f>
        <v>Tuberia</v>
      </c>
      <c r="L1314" s="74" t="str">
        <f>IFERROR(__xludf.DUMMYFUNCTION("""COMPUTED_VALUE"""),"TUBERIA ACERO")</f>
        <v>TUBERIA ACERO</v>
      </c>
      <c r="M1314" s="74" t="str">
        <f>IFERROR(__xludf.DUMMYFUNCTION("""COMPUTED_VALUE"""),"TUBOS")</f>
        <v>TUBOS</v>
      </c>
      <c r="N1314" s="87">
        <f>IFERROR(__xludf.DUMMYFUNCTION("""COMPUTED_VALUE"""),976.8)</f>
        <v>976.8</v>
      </c>
      <c r="O1314" s="74">
        <f>IFERROR(__xludf.DUMMYFUNCTION("""COMPUTED_VALUE"""),6.0)</f>
        <v>6</v>
      </c>
      <c r="P1314" s="74" t="str">
        <f>IFERROR(__xludf.DUMMYFUNCTION("""COMPUTED_VALUE"""),"In stock")</f>
        <v>In stock</v>
      </c>
      <c r="Q1314" s="74"/>
      <c r="R1314" s="74"/>
      <c r="S1314" s="87">
        <f>IFERROR(__xludf.DUMMYFUNCTION("""COMPUTED_VALUE"""),10.0)</f>
        <v>10</v>
      </c>
      <c r="T1314" s="87">
        <f>IFERROR(__xludf.DUMMYFUNCTION("""COMPUTED_VALUE"""),55.0)</f>
        <v>55</v>
      </c>
      <c r="U1314" s="87">
        <f>IFERROR(__xludf.DUMMYFUNCTION("""COMPUTED_VALUE"""),52.8)</f>
        <v>52.8</v>
      </c>
      <c r="V1314" s="87">
        <f>IFERROR(__xludf.DUMMYFUNCTION("""COMPUTED_VALUE"""),12.25)</f>
        <v>12.25</v>
      </c>
      <c r="W1314" s="87">
        <f>IFERROR(__xludf.DUMMYFUNCTION("""COMPUTED_VALUE"""),229.6875)</f>
        <v>229.6875</v>
      </c>
      <c r="X1314" s="88">
        <f>IFERROR(__xludf.DUMMYFUNCTION("""COMPUTED_VALUE"""),5.279999999999999)</f>
        <v>5.28</v>
      </c>
      <c r="Y1314" s="74"/>
      <c r="Z1314" s="74"/>
    </row>
    <row r="1315">
      <c r="B1315" s="74" t="str">
        <f>IFERROR(__xludf.DUMMYFUNCTION("""COMPUTED_VALUE"""),"2313")</f>
        <v>2313</v>
      </c>
      <c r="C1315" s="74" t="str">
        <f>IFERROR(__xludf.DUMMYFUNCTION("""COMPUTED_VALUE"""),"75045880266")</f>
        <v>75045880266</v>
      </c>
      <c r="D1315" s="74" t="str">
        <f>IFERROR(__xludf.DUMMYFUNCTION("""COMPUTED_VALUE"""),"\\MCA-S\mk\2_BM\0_BMat\08_PYM\Inventario\excel\Imagen de refacciones\Sistemas de tubería\Abrazadera en u para pluma con 2 tuercas")</f>
        <v>\\MCA-S\mk\2_BM\0_BMat\08_PYM\Inventario\excel\Imagen de refacciones\Sistemas de tubería\Abrazadera en u para pluma con 2 tuercas</v>
      </c>
      <c r="E1315" s="74" t="str">
        <f>IFERROR(__xludf.DUMMYFUNCTION("""COMPUTED_VALUE"""),"U CLAMP PLASTIC DN125")</f>
        <v>U CLAMP PLASTIC DN125</v>
      </c>
      <c r="F1315" s="74" t="str">
        <f>IFERROR(__xludf.DUMMYFUNCTION("""COMPUTED_VALUE"""),"ABRAZADERA PLASTICO U PARA PLUMA CON 2 TUERCAS")</f>
        <v>ABRAZADERA PLASTICO U PARA PLUMA CON 2 TUERCAS</v>
      </c>
      <c r="G1315" s="74"/>
      <c r="H1315" s="74" t="str">
        <f>IFERROR(__xludf.DUMMYFUNCTION("""COMPUTED_VALUE"""),"ABRAZADERA EN U PARA PLUMA CON 2 TUERCAS PARA BOMBA DE HORMIGON")</f>
        <v>ABRAZADERA EN U PARA PLUMA CON 2 TUERCAS PARA BOMBA DE HORMIGON</v>
      </c>
      <c r="I1315" s="74" t="str">
        <f>IFERROR(__xludf.DUMMYFUNCTION("""COMPUTED_VALUE"""),"30301108")</f>
        <v>30301108</v>
      </c>
      <c r="J1315" s="74"/>
      <c r="K1315" s="74" t="str">
        <f>IFERROR(__xludf.DUMMYFUNCTION("""COMPUTED_VALUE"""),"Tuberia")</f>
        <v>Tuberia</v>
      </c>
      <c r="L1315" s="74" t="str">
        <f>IFERROR(__xludf.DUMMYFUNCTION("""COMPUTED_VALUE"""),"TUBERIA ACERO")</f>
        <v>TUBERIA ACERO</v>
      </c>
      <c r="M1315" s="74" t="str">
        <f>IFERROR(__xludf.DUMMYFUNCTION("""COMPUTED_VALUE"""),"TUBOS")</f>
        <v>TUBOS</v>
      </c>
      <c r="N1315" s="87">
        <f>IFERROR(__xludf.DUMMYFUNCTION("""COMPUTED_VALUE"""),177.6)</f>
        <v>177.6</v>
      </c>
      <c r="O1315" s="74">
        <f>IFERROR(__xludf.DUMMYFUNCTION("""COMPUTED_VALUE"""),30.0)</f>
        <v>30</v>
      </c>
      <c r="P1315" s="74" t="str">
        <f>IFERROR(__xludf.DUMMYFUNCTION("""COMPUTED_VALUE"""),"In stock")</f>
        <v>In stock</v>
      </c>
      <c r="Q1315" s="74"/>
      <c r="R1315" s="74"/>
      <c r="S1315" s="87">
        <f>IFERROR(__xludf.DUMMYFUNCTION("""COMPUTED_VALUE"""),1.5)</f>
        <v>1.5</v>
      </c>
      <c r="T1315" s="87">
        <f>IFERROR(__xludf.DUMMYFUNCTION("""COMPUTED_VALUE"""),10.0)</f>
        <v>10</v>
      </c>
      <c r="U1315" s="87">
        <f>IFERROR(__xludf.DUMMYFUNCTION("""COMPUTED_VALUE"""),9.6)</f>
        <v>9.6</v>
      </c>
      <c r="V1315" s="87">
        <f>IFERROR(__xludf.DUMMYFUNCTION("""COMPUTED_VALUE"""),1.8375)</f>
        <v>1.8375</v>
      </c>
      <c r="W1315" s="87">
        <f>IFERROR(__xludf.DUMMYFUNCTION("""COMPUTED_VALUE"""),34.453125)</f>
        <v>34.453125</v>
      </c>
      <c r="X1315" s="88">
        <f>IFERROR(__xludf.DUMMYFUNCTION("""COMPUTED_VALUE"""),6.3999999999999995)</f>
        <v>6.4</v>
      </c>
      <c r="Y1315" s="74"/>
      <c r="Z1315" s="74"/>
    </row>
    <row r="1316">
      <c r="B1316" s="74" t="str">
        <f>IFERROR(__xludf.DUMMYFUNCTION("""COMPUTED_VALUE"""),"2314")</f>
        <v>2314</v>
      </c>
      <c r="C1316" s="74" t="str">
        <f>IFERROR(__xludf.DUMMYFUNCTION("""COMPUTED_VALUE"""),"75045880356")</f>
        <v>75045880356</v>
      </c>
      <c r="D1316" s="74" t="str">
        <f>IFERROR(__xludf.DUMMYFUNCTION("""COMPUTED_VALUE"""),"\\MCA-S\mk\2_BM\0_BMat\08_PYM\Inventario\excel\Imagen de refacciones\Sistemas de tubería\Abrazadera metrica dn1507")</f>
        <v>\\MCA-S\mk\2_BM\0_BMat\08_PYM\Inventario\excel\Imagen de refacciones\Sistemas de tubería\Abrazadera metrica dn1507</v>
      </c>
      <c r="E1316" s="74" t="str">
        <f>IFERROR(__xludf.DUMMYFUNCTION("""COMPUTED_VALUE"""),"SCHWING CUP TENSION CLAMP WEDGE MET. DN150 6""")</f>
        <v>SCHWING CUP TENSION CLAMP WEDGE MET. DN150 6"</v>
      </c>
      <c r="F1316" s="74" t="str">
        <f>IFERROR(__xludf.DUMMYFUNCTION("""COMPUTED_VALUE"""),"ABRAZADERA CON CUÑA MET. DN150 6""")</f>
        <v>ABRAZADERA CON CUÑA MET. DN150 6"</v>
      </c>
      <c r="G1316" s="74"/>
      <c r="H1316" s="74" t="str">
        <f>IFERROR(__xludf.DUMMYFUNCTION("""COMPUTED_VALUE"""),"ABRAZADERA METRICA DN150 6"" PARA BOMBA DE HORMIGON")</f>
        <v>ABRAZADERA METRICA DN150 6" PARA BOMBA DE HORMIGON</v>
      </c>
      <c r="I1316" s="74" t="str">
        <f>IFERROR(__xludf.DUMMYFUNCTION("""COMPUTED_VALUE"""),"10043559")</f>
        <v>10043559</v>
      </c>
      <c r="J1316" s="74"/>
      <c r="K1316" s="74" t="str">
        <f>IFERROR(__xludf.DUMMYFUNCTION("""COMPUTED_VALUE"""),"Tuberia")</f>
        <v>Tuberia</v>
      </c>
      <c r="L1316" s="74" t="str">
        <f>IFERROR(__xludf.DUMMYFUNCTION("""COMPUTED_VALUE"""),"TUBERIA ACERO")</f>
        <v>TUBERIA ACERO</v>
      </c>
      <c r="M1316" s="74" t="str">
        <f>IFERROR(__xludf.DUMMYFUNCTION("""COMPUTED_VALUE"""),"TUBOS")</f>
        <v>TUBOS</v>
      </c>
      <c r="N1316" s="87">
        <f>IFERROR(__xludf.DUMMYFUNCTION("""COMPUTED_VALUE"""),1864.8)</f>
        <v>1864.8</v>
      </c>
      <c r="O1316" s="74">
        <f>IFERROR(__xludf.DUMMYFUNCTION("""COMPUTED_VALUE"""),6.0)</f>
        <v>6</v>
      </c>
      <c r="P1316" s="74" t="str">
        <f>IFERROR(__xludf.DUMMYFUNCTION("""COMPUTED_VALUE"""),"In stock")</f>
        <v>In stock</v>
      </c>
      <c r="Q1316" s="74"/>
      <c r="R1316" s="74"/>
      <c r="S1316" s="87">
        <f>IFERROR(__xludf.DUMMYFUNCTION("""COMPUTED_VALUE"""),20.0)</f>
        <v>20</v>
      </c>
      <c r="T1316" s="87">
        <f>IFERROR(__xludf.DUMMYFUNCTION("""COMPUTED_VALUE"""),105.0)</f>
        <v>105</v>
      </c>
      <c r="U1316" s="87">
        <f>IFERROR(__xludf.DUMMYFUNCTION("""COMPUTED_VALUE"""),100.8)</f>
        <v>100.8</v>
      </c>
      <c r="V1316" s="87">
        <f>IFERROR(__xludf.DUMMYFUNCTION("""COMPUTED_VALUE"""),24.5)</f>
        <v>24.5</v>
      </c>
      <c r="W1316" s="87">
        <f>IFERROR(__xludf.DUMMYFUNCTION("""COMPUTED_VALUE"""),459.375)</f>
        <v>459.375</v>
      </c>
      <c r="X1316" s="88">
        <f>IFERROR(__xludf.DUMMYFUNCTION("""COMPUTED_VALUE"""),5.04)</f>
        <v>5.04</v>
      </c>
      <c r="Y1316" s="74"/>
      <c r="Z1316" s="74"/>
    </row>
    <row r="1317">
      <c r="B1317" s="74" t="str">
        <f>IFERROR(__xludf.DUMMYFUNCTION("""COMPUTED_VALUE"""),"2315")</f>
        <v>2315</v>
      </c>
      <c r="C1317" s="74" t="str">
        <f>IFERROR(__xludf.DUMMYFUNCTION("""COMPUTED_VALUE"""),"75045880257")</f>
        <v>75045880257</v>
      </c>
      <c r="D1317" s="74" t="str">
        <f>IFERROR(__xludf.DUMMYFUNCTION("""COMPUTED_VALUE"""),"\\MCA-S\mk\2_BM\0_BMat\08_PYM\Inventario\excel\Imagen de refacciones\Sistemas de tubería\Boquilla de 5_ metrica")</f>
        <v>\\MCA-S\mk\2_BM\0_BMat\08_PYM\Inventario\excel\Imagen de refacciones\Sistemas de tubería\Boquilla de 5_ metrica</v>
      </c>
      <c r="E1317" s="74" t="str">
        <f>IFERROR(__xludf.DUMMYFUNCTION("""COMPUTED_VALUE"""),"FLANGE DN125 SK148MM")</f>
        <v>FLANGE DN125 SK148MM</v>
      </c>
      <c r="F1317" s="74" t="str">
        <f>IFERROR(__xludf.DUMMYFUNCTION("""COMPUTED_VALUE"""),"BOQUILLA 5"" MET. DN125 SK148")</f>
        <v>BOQUILLA 5" MET. DN125 SK148</v>
      </c>
      <c r="G1317" s="74"/>
      <c r="H1317" s="74" t="str">
        <f>IFERROR(__xludf.DUMMYFUNCTION("""COMPUTED_VALUE"""),"BOQUILLA DE 5"" METRICA DN125 PARA BOMBA DE HORMIGON")</f>
        <v>BOQUILLA DE 5" METRICA DN125 PARA BOMBA DE HORMIGON</v>
      </c>
      <c r="I1317" s="74" t="str">
        <f>IFERROR(__xludf.DUMMYFUNCTION("""COMPUTED_VALUE"""),"10047281")</f>
        <v>10047281</v>
      </c>
      <c r="J1317" s="74"/>
      <c r="K1317" s="74" t="str">
        <f>IFERROR(__xludf.DUMMYFUNCTION("""COMPUTED_VALUE"""),"Tuberia")</f>
        <v>Tuberia</v>
      </c>
      <c r="L1317" s="74" t="str">
        <f>IFERROR(__xludf.DUMMYFUNCTION("""COMPUTED_VALUE"""),"TUBERIA ACERO")</f>
        <v>TUBERIA ACERO</v>
      </c>
      <c r="M1317" s="74" t="str">
        <f>IFERROR(__xludf.DUMMYFUNCTION("""COMPUTED_VALUE"""),"TUBOS")</f>
        <v>TUBOS</v>
      </c>
      <c r="N1317" s="87">
        <f>IFERROR(__xludf.DUMMYFUNCTION("""COMPUTED_VALUE"""),444.0)</f>
        <v>444</v>
      </c>
      <c r="O1317" s="74">
        <f>IFERROR(__xludf.DUMMYFUNCTION("""COMPUTED_VALUE"""),36.0)</f>
        <v>36</v>
      </c>
      <c r="P1317" s="74" t="str">
        <f>IFERROR(__xludf.DUMMYFUNCTION("""COMPUTED_VALUE"""),"In stock")</f>
        <v>In stock</v>
      </c>
      <c r="Q1317" s="74"/>
      <c r="R1317" s="74"/>
      <c r="S1317" s="87">
        <f>IFERROR(__xludf.DUMMYFUNCTION("""COMPUTED_VALUE"""),1.5)</f>
        <v>1.5</v>
      </c>
      <c r="T1317" s="87">
        <f>IFERROR(__xludf.DUMMYFUNCTION("""COMPUTED_VALUE"""),25.0)</f>
        <v>25</v>
      </c>
      <c r="U1317" s="87">
        <f>IFERROR(__xludf.DUMMYFUNCTION("""COMPUTED_VALUE"""),24.0)</f>
        <v>24</v>
      </c>
      <c r="V1317" s="87">
        <f>IFERROR(__xludf.DUMMYFUNCTION("""COMPUTED_VALUE"""),1.8375)</f>
        <v>1.8375</v>
      </c>
      <c r="W1317" s="87">
        <f>IFERROR(__xludf.DUMMYFUNCTION("""COMPUTED_VALUE"""),34.453125)</f>
        <v>34.453125</v>
      </c>
      <c r="X1317" s="88">
        <f>IFERROR(__xludf.DUMMYFUNCTION("""COMPUTED_VALUE"""),16.0)</f>
        <v>16</v>
      </c>
      <c r="Y1317" s="74"/>
      <c r="Z1317" s="74"/>
    </row>
    <row r="1318">
      <c r="B1318" s="74" t="str">
        <f>IFERROR(__xludf.DUMMYFUNCTION("""COMPUTED_VALUE"""),"2316")</f>
        <v>2316</v>
      </c>
      <c r="C1318" s="74" t="str">
        <f>IFERROR(__xludf.DUMMYFUNCTION("""COMPUTED_VALUE"""),"75045880449")</f>
        <v>75045880449</v>
      </c>
      <c r="D1318" s="74" t="str">
        <f>IFERROR(__xludf.DUMMYFUNCTION("""COMPUTED_VALUE"""),"\\MCA-S\mk\2_BM\0_BMat\08_PYM\Inventario\excel\Imagen de refacciones\Sistemas de tubería\Brazadera metrica dn1807_")</f>
        <v>\\MCA-S\mk\2_BM\0_BMat\08_PYM\Inventario\excel\Imagen de refacciones\Sistemas de tubería\Brazadera metrica dn1807_</v>
      </c>
      <c r="E1318" s="74" t="str">
        <f>IFERROR(__xludf.DUMMYFUNCTION("""COMPUTED_VALUE"""),"CLAMP CUP WEDGE MET. DN180 7""")</f>
        <v>CLAMP CUP WEDGE MET. DN180 7"</v>
      </c>
      <c r="F1318" s="74" t="str">
        <f>IFERROR(__xludf.DUMMYFUNCTION("""COMPUTED_VALUE"""),"ABRAZADERA CON CUNA MET. DN180 7""")</f>
        <v>ABRAZADERA CON CUNA MET. DN180 7"</v>
      </c>
      <c r="G1318" s="74"/>
      <c r="H1318" s="74" t="str">
        <f>IFERROR(__xludf.DUMMYFUNCTION("""COMPUTED_VALUE"""),"ABRAZADERA METRICA DDN 180 7"" PARA BOMBA DE HORMIGON")</f>
        <v>ABRAZADERA METRICA DDN 180 7" PARA BOMBA DE HORMIGON</v>
      </c>
      <c r="I1318" s="74" t="str">
        <f>IFERROR(__xludf.DUMMYFUNCTION("""COMPUTED_VALUE"""),"10043560")</f>
        <v>10043560</v>
      </c>
      <c r="J1318" s="74"/>
      <c r="K1318" s="74" t="str">
        <f>IFERROR(__xludf.DUMMYFUNCTION("""COMPUTED_VALUE"""),"Tuberia")</f>
        <v>Tuberia</v>
      </c>
      <c r="L1318" s="74" t="str">
        <f>IFERROR(__xludf.DUMMYFUNCTION("""COMPUTED_VALUE"""),"TUBERIA ACERO")</f>
        <v>TUBERIA ACERO</v>
      </c>
      <c r="M1318" s="74" t="str">
        <f>IFERROR(__xludf.DUMMYFUNCTION("""COMPUTED_VALUE"""),"TUBOS")</f>
        <v>TUBOS</v>
      </c>
      <c r="N1318" s="87">
        <f>IFERROR(__xludf.DUMMYFUNCTION("""COMPUTED_VALUE"""),2379.8399999999997)</f>
        <v>2379.84</v>
      </c>
      <c r="O1318" s="74">
        <f>IFERROR(__xludf.DUMMYFUNCTION("""COMPUTED_VALUE"""),4.0)</f>
        <v>4</v>
      </c>
      <c r="P1318" s="74" t="str">
        <f>IFERROR(__xludf.DUMMYFUNCTION("""COMPUTED_VALUE"""),"In stock")</f>
        <v>In stock</v>
      </c>
      <c r="Q1318" s="74"/>
      <c r="R1318" s="74"/>
      <c r="S1318" s="87">
        <f>IFERROR(__xludf.DUMMYFUNCTION("""COMPUTED_VALUE"""),33.0)</f>
        <v>33</v>
      </c>
      <c r="T1318" s="87">
        <f>IFERROR(__xludf.DUMMYFUNCTION("""COMPUTED_VALUE"""),134.0)</f>
        <v>134</v>
      </c>
      <c r="U1318" s="87">
        <f>IFERROR(__xludf.DUMMYFUNCTION("""COMPUTED_VALUE"""),128.64)</f>
        <v>128.64</v>
      </c>
      <c r="V1318" s="87">
        <f>IFERROR(__xludf.DUMMYFUNCTION("""COMPUTED_VALUE"""),40.425)</f>
        <v>40.425</v>
      </c>
      <c r="W1318" s="87">
        <f>IFERROR(__xludf.DUMMYFUNCTION("""COMPUTED_VALUE"""),757.96875)</f>
        <v>757.96875</v>
      </c>
      <c r="X1318" s="88">
        <f>IFERROR(__xludf.DUMMYFUNCTION("""COMPUTED_VALUE"""),3.898181818181818)</f>
        <v>3.898181818</v>
      </c>
      <c r="Y1318" s="74"/>
      <c r="Z1318" s="74"/>
    </row>
    <row r="1319">
      <c r="B1319" s="74" t="str">
        <f>IFERROR(__xludf.DUMMYFUNCTION("""COMPUTED_VALUE"""),"2317")</f>
        <v>2317</v>
      </c>
      <c r="C1319" s="74" t="str">
        <f>IFERROR(__xludf.DUMMYFUNCTION("""COMPUTED_VALUE"""),"75045880450")</f>
        <v>75045880450</v>
      </c>
      <c r="D1319" s="74" t="str">
        <f>IFERROR(__xludf.DUMMYFUNCTION("""COMPUTED_VALUE"""),"\\MCA-S\mk\2_BM\0_BMat\08_PYM\Inventario\excel\Imagen de refacciones\Sistemas de tubería\Caja de lechada con 50 sobres - rinde 50 servicios")</f>
        <v>\\MCA-S\mk\2_BM\0_BMat\08_PYM\Inventario\excel\Imagen de refacciones\Sistemas de tubería\Caja de lechada con 50 sobres - rinde 50 servicios</v>
      </c>
      <c r="E1319" s="74"/>
      <c r="F1319" s="74" t="str">
        <f>IFERROR(__xludf.DUMMYFUNCTION("""COMPUTED_VALUE"""),"Caja de lechada con 50 sobres - rinde 50 servicios")</f>
        <v>Caja de lechada con 50 sobres - rinde 50 servicios</v>
      </c>
      <c r="G1319" s="74"/>
      <c r="H1319" s="74"/>
      <c r="I1319" s="74" t="str">
        <f>IFERROR(__xludf.DUMMYFUNCTION("""COMPUTED_VALUE"""),"BCPRIME")</f>
        <v>BCPRIME</v>
      </c>
      <c r="J1319" s="74"/>
      <c r="K1319" s="74" t="str">
        <f>IFERROR(__xludf.DUMMYFUNCTION("""COMPUTED_VALUE"""),"Tuberia")</f>
        <v>Tuberia</v>
      </c>
      <c r="L1319" s="74"/>
      <c r="M1319" s="74" t="str">
        <f>IFERROR(__xludf.DUMMYFUNCTION("""COMPUTED_VALUE"""),"Sin Asignar")</f>
        <v>Sin Asignar</v>
      </c>
      <c r="N1319" s="87">
        <f>IFERROR(__xludf.DUMMYFUNCTION("""COMPUTED_VALUE"""),0.0)</f>
        <v>0</v>
      </c>
      <c r="O1319" s="74"/>
      <c r="P1319" s="74" t="str">
        <f>IFERROR(__xludf.DUMMYFUNCTION("""COMPUTED_VALUE"""),"Sold out")</f>
        <v>Sold out</v>
      </c>
      <c r="Q1319" s="74"/>
      <c r="R1319" s="74"/>
      <c r="S1319" s="87">
        <f>IFERROR(__xludf.DUMMYFUNCTION("""COMPUTED_VALUE"""),0.0)</f>
        <v>0</v>
      </c>
      <c r="T1319" s="87">
        <f>IFERROR(__xludf.DUMMYFUNCTION("""COMPUTED_VALUE"""),0.0)</f>
        <v>0</v>
      </c>
      <c r="U1319" s="87">
        <f>IFERROR(__xludf.DUMMYFUNCTION("""COMPUTED_VALUE"""),0.0)</f>
        <v>0</v>
      </c>
      <c r="V1319" s="87">
        <f>IFERROR(__xludf.DUMMYFUNCTION("""COMPUTED_VALUE"""),0.0)</f>
        <v>0</v>
      </c>
      <c r="W1319" s="87">
        <f>IFERROR(__xludf.DUMMYFUNCTION("""COMPUTED_VALUE"""),0.0)</f>
        <v>0</v>
      </c>
      <c r="X1319" s="88"/>
      <c r="Y1319" s="74"/>
      <c r="Z1319" s="74"/>
    </row>
    <row r="1320">
      <c r="B1320" s="74" t="str">
        <f>IFERROR(__xludf.DUMMYFUNCTION("""COMPUTED_VALUE"""),"2318")</f>
        <v>2318</v>
      </c>
      <c r="C1320" s="74" t="str">
        <f>IFERROR(__xludf.DUMMYFUNCTION("""COMPUTED_VALUE"""),"75045881172")</f>
        <v>75045881172</v>
      </c>
      <c r="D1320" s="74" t="str">
        <f>IFERROR(__xludf.DUMMYFUNCTION("""COMPUTED_VALUE"""),"\\MCA-S\mk\2_BM\0_BMat\08_PYM\Inventario\excel\Imagen de refacciones\Sistemas de tubería\Pelims pelota de limpieza de 5_")</f>
        <v>\\MCA-S\mk\2_BM\0_BMat\08_PYM\Inventario\excel\Imagen de refacciones\Sistemas de tubería\Pelims pelota de limpieza de 5_</v>
      </c>
      <c r="E1320" s="74" t="str">
        <f>IFERROR(__xludf.DUMMYFUNCTION("""COMPUTED_VALUE"""),"CLEANING BALL 5"" SOFT DN125")</f>
        <v>CLEANING BALL 5" SOFT DN125</v>
      </c>
      <c r="F1320" s="74" t="str">
        <f>IFERROR(__xludf.DUMMYFUNCTION("""COMPUTED_VALUE"""),"PELOTA LIMPIEZA 5"" BLANDA DN125")</f>
        <v>PELOTA LIMPIEZA 5" BLANDA DN125</v>
      </c>
      <c r="G1320" s="74"/>
      <c r="H1320" s="74" t="str">
        <f>IFERROR(__xludf.DUMMYFUNCTION("""COMPUTED_VALUE"""),"BOLA DE LIMPIEZA DE BOMBA DE HORMIGON")</f>
        <v>BOLA DE LIMPIEZA DE BOMBA DE HORMIGON</v>
      </c>
      <c r="I1320" s="74" t="str">
        <f>IFERROR(__xludf.DUMMYFUNCTION("""COMPUTED_VALUE"""),"CB501")</f>
        <v>CB501</v>
      </c>
      <c r="J1320" s="74"/>
      <c r="K1320" s="74" t="str">
        <f>IFERROR(__xludf.DUMMYFUNCTION("""COMPUTED_VALUE"""),"Tuberia")</f>
        <v>Tuberia</v>
      </c>
      <c r="L1320" s="74" t="str">
        <f>IFERROR(__xludf.DUMMYFUNCTION("""COMPUTED_VALUE"""),"TUBERIA ACERO")</f>
        <v>TUBERIA ACERO</v>
      </c>
      <c r="M1320" s="74" t="str">
        <f>IFERROR(__xludf.DUMMYFUNCTION("""COMPUTED_VALUE"""),"LIMPIEZA")</f>
        <v>LIMPIEZA</v>
      </c>
      <c r="N1320" s="87">
        <f>IFERROR(__xludf.DUMMYFUNCTION("""COMPUTED_VALUE"""),106.56)</f>
        <v>106.56</v>
      </c>
      <c r="O1320" s="74">
        <f>IFERROR(__xludf.DUMMYFUNCTION("""COMPUTED_VALUE"""),150.0)</f>
        <v>150</v>
      </c>
      <c r="P1320" s="74" t="str">
        <f>IFERROR(__xludf.DUMMYFUNCTION("""COMPUTED_VALUE"""),"In stock")</f>
        <v>In stock</v>
      </c>
      <c r="Q1320" s="74"/>
      <c r="R1320" s="74"/>
      <c r="S1320" s="87">
        <f>IFERROR(__xludf.DUMMYFUNCTION("""COMPUTED_VALUE"""),1.5)</f>
        <v>1.5</v>
      </c>
      <c r="T1320" s="87">
        <f>IFERROR(__xludf.DUMMYFUNCTION("""COMPUTED_VALUE"""),6.0)</f>
        <v>6</v>
      </c>
      <c r="U1320" s="87">
        <f>IFERROR(__xludf.DUMMYFUNCTION("""COMPUTED_VALUE"""),5.76)</f>
        <v>5.76</v>
      </c>
      <c r="V1320" s="87">
        <f>IFERROR(__xludf.DUMMYFUNCTION("""COMPUTED_VALUE"""),1.8375)</f>
        <v>1.8375</v>
      </c>
      <c r="W1320" s="87">
        <f>IFERROR(__xludf.DUMMYFUNCTION("""COMPUTED_VALUE"""),34.453125)</f>
        <v>34.453125</v>
      </c>
      <c r="X1320" s="88">
        <f>IFERROR(__xludf.DUMMYFUNCTION("""COMPUTED_VALUE"""),3.84)</f>
        <v>3.84</v>
      </c>
      <c r="Y1320" s="74"/>
      <c r="Z1320" s="74"/>
    </row>
    <row r="1321">
      <c r="B1321" s="74" t="str">
        <f>IFERROR(__xludf.DUMMYFUNCTION("""COMPUTED_VALUE"""),"2319")</f>
        <v>2319</v>
      </c>
      <c r="C1321" s="74" t="str">
        <f>IFERROR(__xludf.DUMMYFUNCTION("""COMPUTED_VALUE"""),"75045880563")</f>
        <v>75045880563</v>
      </c>
      <c r="D1321" s="74" t="str">
        <f>IFERROR(__xludf.DUMMYFUNCTION("""COMPUTED_VALUE"""),"\\MCA-S\mk\2_BM\0_BMat\08_PYM\Inventario\excel\Imagen de refacciones\Sistemas de tubería\Reductor de 3_ x 2.5_ x 28_ HD")</f>
        <v>\\MCA-S\mk\2_BM\0_BMat\08_PYM\Inventario\excel\Imagen de refacciones\Sistemas de tubería\Reductor de 3_ x 2.5_ x 28_ HD</v>
      </c>
      <c r="E1321" s="74" t="str">
        <f>IFERROR(__xludf.DUMMYFUNCTION("""COMPUTED_VALUE"""),"REDUCER PIPE HD3"" TO HD2""x700MM WITH HANDLES")</f>
        <v>REDUCER PIPE HD3" TO HD2"x700MM WITH HANDLES</v>
      </c>
      <c r="F1321" s="74" t="str">
        <f>IFERROR(__xludf.DUMMYFUNCTION("""COMPUTED_VALUE"""),"REDUCTOR HD3"" A HD2"" x700mm CON ASAS")</f>
        <v>REDUCTOR HD3" A HD2" x700mm CON ASAS</v>
      </c>
      <c r="G1321" s="74"/>
      <c r="H1321" s="74" t="str">
        <f>IFERROR(__xludf.DUMMYFUNCTION("""COMPUTED_VALUE"""),"REDUCTOR 3"" A 2"" A 700 MM PARA BOMBA DE HORMIGON")</f>
        <v>REDUCTOR 3" A 2" A 700 MM PARA BOMBA DE HORMIGON</v>
      </c>
      <c r="I1321" s="74" t="str">
        <f>IFERROR(__xludf.DUMMYFUNCTION("""COMPUTED_VALUE"""),"RS302028D")</f>
        <v>RS302028D</v>
      </c>
      <c r="J1321" s="74"/>
      <c r="K1321" s="74" t="str">
        <f>IFERROR(__xludf.DUMMYFUNCTION("""COMPUTED_VALUE"""),"Tuberia")</f>
        <v>Tuberia</v>
      </c>
      <c r="L1321" s="74" t="str">
        <f>IFERROR(__xludf.DUMMYFUNCTION("""COMPUTED_VALUE"""),"TUBERIA ACERO")</f>
        <v>TUBERIA ACERO</v>
      </c>
      <c r="M1321" s="74" t="str">
        <f>IFERROR(__xludf.DUMMYFUNCTION("""COMPUTED_VALUE"""),"TUBOS")</f>
        <v>TUBOS</v>
      </c>
      <c r="N1321" s="87">
        <f>IFERROR(__xludf.DUMMYFUNCTION("""COMPUTED_VALUE"""),2788.32)</f>
        <v>2788.32</v>
      </c>
      <c r="O1321" s="74">
        <f>IFERROR(__xludf.DUMMYFUNCTION("""COMPUTED_VALUE"""),1.0)</f>
        <v>1</v>
      </c>
      <c r="P1321" s="74" t="str">
        <f>IFERROR(__xludf.DUMMYFUNCTION("""COMPUTED_VALUE"""),"In stock")</f>
        <v>In stock</v>
      </c>
      <c r="Q1321" s="74"/>
      <c r="R1321" s="74"/>
      <c r="S1321" s="87">
        <f>IFERROR(__xludf.DUMMYFUNCTION("""COMPUTED_VALUE"""),25.0)</f>
        <v>25</v>
      </c>
      <c r="T1321" s="87">
        <f>IFERROR(__xludf.DUMMYFUNCTION("""COMPUTED_VALUE"""),157.0)</f>
        <v>157</v>
      </c>
      <c r="U1321" s="87">
        <f>IFERROR(__xludf.DUMMYFUNCTION("""COMPUTED_VALUE"""),150.72)</f>
        <v>150.72</v>
      </c>
      <c r="V1321" s="87">
        <f>IFERROR(__xludf.DUMMYFUNCTION("""COMPUTED_VALUE"""),30.625)</f>
        <v>30.625</v>
      </c>
      <c r="W1321" s="87">
        <f>IFERROR(__xludf.DUMMYFUNCTION("""COMPUTED_VALUE"""),574.21875)</f>
        <v>574.21875</v>
      </c>
      <c r="X1321" s="88">
        <f>IFERROR(__xludf.DUMMYFUNCTION("""COMPUTED_VALUE"""),6.0288)</f>
        <v>6.0288</v>
      </c>
      <c r="Y1321" s="74"/>
      <c r="Z1321" s="74"/>
    </row>
    <row r="1322">
      <c r="B1322" s="74" t="str">
        <f>IFERROR(__xludf.DUMMYFUNCTION("""COMPUTED_VALUE"""),"2320")</f>
        <v>2320</v>
      </c>
      <c r="C1322" s="74" t="str">
        <f>IFERROR(__xludf.DUMMYFUNCTION("""COMPUTED_VALUE"""),"75045880564")</f>
        <v>75045880564</v>
      </c>
      <c r="D1322" s="74" t="str">
        <f>IFERROR(__xludf.DUMMYFUNCTION("""COMPUTED_VALUE"""),"\\MCA-S\mk\2_BM\0_BMat\08_PYM\Inventario\excel\Imagen de refacciones\Sistemas de tubería\Reductor de 3_ x 2.5_ x 28_ HD")</f>
        <v>\\MCA-S\mk\2_BM\0_BMat\08_PYM\Inventario\excel\Imagen de refacciones\Sistemas de tubería\Reductor de 3_ x 2.5_ x 28_ HD</v>
      </c>
      <c r="E1322" s="74" t="str">
        <f>IFERROR(__xludf.DUMMYFUNCTION("""COMPUTED_VALUE"""),"REDUCER PIPE HD3"" TO HD2""x900MM WITH HANDLES")</f>
        <v>REDUCER PIPE HD3" TO HD2"x900MM WITH HANDLES</v>
      </c>
      <c r="F1322" s="74" t="str">
        <f>IFERROR(__xludf.DUMMYFUNCTION("""COMPUTED_VALUE"""),"REDUCTOR HD3"" A HD2"" x900mm CON ASAS")</f>
        <v>REDUCTOR HD3" A HD2" x900mm CON ASAS</v>
      </c>
      <c r="G1322" s="74"/>
      <c r="H1322" s="74" t="str">
        <f>IFERROR(__xludf.DUMMYFUNCTION("""COMPUTED_VALUE"""),"REDUCTOR 3"" A 2"" A 900 MM PARA BOMBA DE HORMIGON")</f>
        <v>REDUCTOR 3" A 2" A 900 MM PARA BOMBA DE HORMIGON</v>
      </c>
      <c r="I1322" s="74" t="str">
        <f>IFERROR(__xludf.DUMMYFUNCTION("""COMPUTED_VALUE"""),"RS302036D")</f>
        <v>RS302036D</v>
      </c>
      <c r="J1322" s="74"/>
      <c r="K1322" s="74" t="str">
        <f>IFERROR(__xludf.DUMMYFUNCTION("""COMPUTED_VALUE"""),"Tuberia")</f>
        <v>Tuberia</v>
      </c>
      <c r="L1322" s="74" t="str">
        <f>IFERROR(__xludf.DUMMYFUNCTION("""COMPUTED_VALUE"""),"TUBERIA ACERO")</f>
        <v>TUBERIA ACERO</v>
      </c>
      <c r="M1322" s="74" t="str">
        <f>IFERROR(__xludf.DUMMYFUNCTION("""COMPUTED_VALUE"""),"TUBOS")</f>
        <v>TUBOS</v>
      </c>
      <c r="N1322" s="87">
        <f>IFERROR(__xludf.DUMMYFUNCTION("""COMPUTED_VALUE"""),3658.56)</f>
        <v>3658.56</v>
      </c>
      <c r="O1322" s="74">
        <f>IFERROR(__xludf.DUMMYFUNCTION("""COMPUTED_VALUE"""),1.0)</f>
        <v>1</v>
      </c>
      <c r="P1322" s="74" t="str">
        <f>IFERROR(__xludf.DUMMYFUNCTION("""COMPUTED_VALUE"""),"In stock")</f>
        <v>In stock</v>
      </c>
      <c r="Q1322" s="74"/>
      <c r="R1322" s="74"/>
      <c r="S1322" s="87">
        <f>IFERROR(__xludf.DUMMYFUNCTION("""COMPUTED_VALUE"""),26.0)</f>
        <v>26</v>
      </c>
      <c r="T1322" s="87">
        <f>IFERROR(__xludf.DUMMYFUNCTION("""COMPUTED_VALUE"""),206.0)</f>
        <v>206</v>
      </c>
      <c r="U1322" s="87">
        <f>IFERROR(__xludf.DUMMYFUNCTION("""COMPUTED_VALUE"""),197.76)</f>
        <v>197.76</v>
      </c>
      <c r="V1322" s="87">
        <f>IFERROR(__xludf.DUMMYFUNCTION("""COMPUTED_VALUE"""),31.85)</f>
        <v>31.85</v>
      </c>
      <c r="W1322" s="87">
        <f>IFERROR(__xludf.DUMMYFUNCTION("""COMPUTED_VALUE"""),597.1875)</f>
        <v>597.1875</v>
      </c>
      <c r="X1322" s="88">
        <f>IFERROR(__xludf.DUMMYFUNCTION("""COMPUTED_VALUE"""),7.606153846153846)</f>
        <v>7.606153846</v>
      </c>
      <c r="Y1322" s="74"/>
      <c r="Z1322" s="74"/>
    </row>
    <row r="1323">
      <c r="B1323" s="74" t="str">
        <f>IFERROR(__xludf.DUMMYFUNCTION("""COMPUTED_VALUE"""),"2321")</f>
        <v>2321</v>
      </c>
      <c r="C1323" s="74" t="str">
        <f>IFERROR(__xludf.DUMMYFUNCTION("""COMPUTED_VALUE"""),"75045880565")</f>
        <v>75045880565</v>
      </c>
      <c r="D1323" s="74" t="str">
        <f>IFERROR(__xludf.DUMMYFUNCTION("""COMPUTED_VALUE"""),"\\MCA-S\mk\2_BM\0_BMat\08_PYM\Inventario\excel\Imagen de refacciones\Sistemas de tubería\Reductor de 3_ x 2.5_ x 28_ HD")</f>
        <v>\\MCA-S\mk\2_BM\0_BMat\08_PYM\Inventario\excel\Imagen de refacciones\Sistemas de tubería\Reductor de 3_ x 2.5_ x 28_ HD</v>
      </c>
      <c r="E1323" s="74" t="str">
        <f>IFERROR(__xludf.DUMMYFUNCTION("""COMPUTED_VALUE"""),"REDUCER PIPE HD3"" TO HD2.5""x700MM WITH HANDLES")</f>
        <v>REDUCER PIPE HD3" TO HD2.5"x700MM WITH HANDLES</v>
      </c>
      <c r="F1323" s="74" t="str">
        <f>IFERROR(__xludf.DUMMYFUNCTION("""COMPUTED_VALUE"""),"REDUCTOR HD3"" A HD2.5"" x700mm CON ASAS")</f>
        <v>REDUCTOR HD3" A HD2.5" x700mm CON ASAS</v>
      </c>
      <c r="G1323" s="74"/>
      <c r="H1323" s="74" t="str">
        <f>IFERROR(__xludf.DUMMYFUNCTION("""COMPUTED_VALUE"""),"REDUCTOR 3"" A 2.5"" A 700 MM PARA BOMBA DE HORMIGON")</f>
        <v>REDUCTOR 3" A 2.5" A 700 MM PARA BOMBA DE HORMIGON</v>
      </c>
      <c r="I1323" s="74" t="str">
        <f>IFERROR(__xludf.DUMMYFUNCTION("""COMPUTED_VALUE"""),"RS302528D")</f>
        <v>RS302528D</v>
      </c>
      <c r="J1323" s="74"/>
      <c r="K1323" s="74" t="str">
        <f>IFERROR(__xludf.DUMMYFUNCTION("""COMPUTED_VALUE"""),"Tuberia")</f>
        <v>Tuberia</v>
      </c>
      <c r="L1323" s="74" t="str">
        <f>IFERROR(__xludf.DUMMYFUNCTION("""COMPUTED_VALUE"""),"TUBERIA ACERO")</f>
        <v>TUBERIA ACERO</v>
      </c>
      <c r="M1323" s="74" t="str">
        <f>IFERROR(__xludf.DUMMYFUNCTION("""COMPUTED_VALUE"""),"TUBOS")</f>
        <v>TUBOS</v>
      </c>
      <c r="N1323" s="87">
        <f>IFERROR(__xludf.DUMMYFUNCTION("""COMPUTED_VALUE"""),3338.8799999999997)</f>
        <v>3338.88</v>
      </c>
      <c r="O1323" s="74">
        <f>IFERROR(__xludf.DUMMYFUNCTION("""COMPUTED_VALUE"""),1.0)</f>
        <v>1</v>
      </c>
      <c r="P1323" s="74" t="str">
        <f>IFERROR(__xludf.DUMMYFUNCTION("""COMPUTED_VALUE"""),"In stock")</f>
        <v>In stock</v>
      </c>
      <c r="Q1323" s="74"/>
      <c r="R1323" s="74"/>
      <c r="S1323" s="87">
        <f>IFERROR(__xludf.DUMMYFUNCTION("""COMPUTED_VALUE"""),25.0)</f>
        <v>25</v>
      </c>
      <c r="T1323" s="87">
        <f>IFERROR(__xludf.DUMMYFUNCTION("""COMPUTED_VALUE"""),188.0)</f>
        <v>188</v>
      </c>
      <c r="U1323" s="87">
        <f>IFERROR(__xludf.DUMMYFUNCTION("""COMPUTED_VALUE"""),180.48)</f>
        <v>180.48</v>
      </c>
      <c r="V1323" s="87">
        <f>IFERROR(__xludf.DUMMYFUNCTION("""COMPUTED_VALUE"""),30.625)</f>
        <v>30.625</v>
      </c>
      <c r="W1323" s="87">
        <f>IFERROR(__xludf.DUMMYFUNCTION("""COMPUTED_VALUE"""),574.21875)</f>
        <v>574.21875</v>
      </c>
      <c r="X1323" s="88">
        <f>IFERROR(__xludf.DUMMYFUNCTION("""COMPUTED_VALUE"""),7.2192)</f>
        <v>7.2192</v>
      </c>
      <c r="Y1323" s="74"/>
      <c r="Z1323" s="74"/>
    </row>
    <row r="1324">
      <c r="B1324" s="74" t="str">
        <f>IFERROR(__xludf.DUMMYFUNCTION("""COMPUTED_VALUE"""),"2322")</f>
        <v>2322</v>
      </c>
      <c r="C1324" s="74" t="str">
        <f>IFERROR(__xludf.DUMMYFUNCTION("""COMPUTED_VALUE"""),"75045880566")</f>
        <v>75045880566</v>
      </c>
      <c r="D1324" s="74" t="str">
        <f>IFERROR(__xludf.DUMMYFUNCTION("""COMPUTED_VALUE"""),"\\MCA-S\mk\2_BM\0_BMat\08_PYM\Inventario\excel\Imagen de refacciones\Sistemas de tubería\Reductor de 3_ x 2.5_ x 28_ HD")</f>
        <v>\\MCA-S\mk\2_BM\0_BMat\08_PYM\Inventario\excel\Imagen de refacciones\Sistemas de tubería\Reductor de 3_ x 2.5_ x 28_ HD</v>
      </c>
      <c r="E1324" s="74" t="str">
        <f>IFERROR(__xludf.DUMMYFUNCTION("""COMPUTED_VALUE"""),"REDUCER PIPE HD4"" TO HD3""x900MM WITH HANDLES")</f>
        <v>REDUCER PIPE HD4" TO HD3"x900MM WITH HANDLES</v>
      </c>
      <c r="F1324" s="74" t="str">
        <f>IFERROR(__xludf.DUMMYFUNCTION("""COMPUTED_VALUE"""),"REDUCTOR HD4"" A HD3"" x900mm CON ASAS")</f>
        <v>REDUCTOR HD4" A HD3" x900mm CON ASAS</v>
      </c>
      <c r="G1324" s="74"/>
      <c r="H1324" s="74" t="str">
        <f>IFERROR(__xludf.DUMMYFUNCTION("""COMPUTED_VALUE"""),"REDUCTOR 4"" A 3"" A 900 MM PARA BOMBA DE HORMIGON")</f>
        <v>REDUCTOR 4" A 3" A 900 MM PARA BOMBA DE HORMIGON</v>
      </c>
      <c r="I1324" s="74" t="str">
        <f>IFERROR(__xludf.DUMMYFUNCTION("""COMPUTED_VALUE"""),"RS403036D")</f>
        <v>RS403036D</v>
      </c>
      <c r="J1324" s="74"/>
      <c r="K1324" s="74" t="str">
        <f>IFERROR(__xludf.DUMMYFUNCTION("""COMPUTED_VALUE"""),"Tuberia")</f>
        <v>Tuberia</v>
      </c>
      <c r="L1324" s="74" t="str">
        <f>IFERROR(__xludf.DUMMYFUNCTION("""COMPUTED_VALUE"""),"TUBERIA ACERO")</f>
        <v>TUBERIA ACERO</v>
      </c>
      <c r="M1324" s="74" t="str">
        <f>IFERROR(__xludf.DUMMYFUNCTION("""COMPUTED_VALUE"""),"TUBOS")</f>
        <v>TUBOS</v>
      </c>
      <c r="N1324" s="87">
        <f>IFERROR(__xludf.DUMMYFUNCTION("""COMPUTED_VALUE"""),3587.52)</f>
        <v>3587.52</v>
      </c>
      <c r="O1324" s="74">
        <f>IFERROR(__xludf.DUMMYFUNCTION("""COMPUTED_VALUE"""),1.0)</f>
        <v>1</v>
      </c>
      <c r="P1324" s="74" t="str">
        <f>IFERROR(__xludf.DUMMYFUNCTION("""COMPUTED_VALUE"""),"In stock")</f>
        <v>In stock</v>
      </c>
      <c r="Q1324" s="74"/>
      <c r="R1324" s="74"/>
      <c r="S1324" s="87">
        <f>IFERROR(__xludf.DUMMYFUNCTION("""COMPUTED_VALUE"""),28.0)</f>
        <v>28</v>
      </c>
      <c r="T1324" s="87">
        <f>IFERROR(__xludf.DUMMYFUNCTION("""COMPUTED_VALUE"""),202.0)</f>
        <v>202</v>
      </c>
      <c r="U1324" s="87">
        <f>IFERROR(__xludf.DUMMYFUNCTION("""COMPUTED_VALUE"""),193.92)</f>
        <v>193.92</v>
      </c>
      <c r="V1324" s="87">
        <f>IFERROR(__xludf.DUMMYFUNCTION("""COMPUTED_VALUE"""),34.3)</f>
        <v>34.3</v>
      </c>
      <c r="W1324" s="87">
        <f>IFERROR(__xludf.DUMMYFUNCTION("""COMPUTED_VALUE"""),643.125)</f>
        <v>643.125</v>
      </c>
      <c r="X1324" s="88">
        <f>IFERROR(__xludf.DUMMYFUNCTION("""COMPUTED_VALUE"""),6.925714285714285)</f>
        <v>6.925714286</v>
      </c>
      <c r="Y1324" s="74"/>
      <c r="Z1324" s="74"/>
    </row>
    <row r="1325">
      <c r="B1325" s="74" t="str">
        <f>IFERROR(__xludf.DUMMYFUNCTION("""COMPUTED_VALUE"""),"2323")</f>
        <v>2323</v>
      </c>
      <c r="C1325" s="74" t="str">
        <f>IFERROR(__xludf.DUMMYFUNCTION("""COMPUTED_VALUE"""),"75045880567")</f>
        <v>75045880567</v>
      </c>
      <c r="D1325" s="74" t="str">
        <f>IFERROR(__xludf.DUMMYFUNCTION("""COMPUTED_VALUE"""),"\\MCA-S\mk\2_BM\0_BMat\08_PYM\Inventario\excel\Imagen de refacciones\Sistemas de tubería\Reductor de 3_ x 2_ HD x 36_ HD")</f>
        <v>\\MCA-S\mk\2_BM\0_BMat\08_PYM\Inventario\excel\Imagen de refacciones\Sistemas de tubería\Reductor de 3_ x 2_ HD x 36_ HD</v>
      </c>
      <c r="E1325" s="74" t="str">
        <f>IFERROR(__xludf.DUMMYFUNCTION("""COMPUTED_VALUE"""),"REDUCER PIPE HD4"" TO HD3""x700MM WITH HANDLES")</f>
        <v>REDUCER PIPE HD4" TO HD3"x700MM WITH HANDLES</v>
      </c>
      <c r="F1325" s="74" t="str">
        <f>IFERROR(__xludf.DUMMYFUNCTION("""COMPUTED_VALUE"""),"REDUCTOR HD4"" A HD3""x700MM CON ASAS")</f>
        <v>REDUCTOR HD4" A HD3"x700MM CON ASAS</v>
      </c>
      <c r="G1325" s="74"/>
      <c r="H1325" s="74"/>
      <c r="I1325" s="74" t="str">
        <f>IFERROR(__xludf.DUMMYFUNCTION("""COMPUTED_VALUE"""),"RS403028D")</f>
        <v>RS403028D</v>
      </c>
      <c r="J1325" s="74"/>
      <c r="K1325" s="74" t="str">
        <f>IFERROR(__xludf.DUMMYFUNCTION("""COMPUTED_VALUE"""),"Tuberia")</f>
        <v>Tuberia</v>
      </c>
      <c r="L1325" s="74" t="str">
        <f>IFERROR(__xludf.DUMMYFUNCTION("""COMPUTED_VALUE"""),"TUBERIA ACERO")</f>
        <v>TUBERIA ACERO</v>
      </c>
      <c r="M1325" s="74" t="str">
        <f>IFERROR(__xludf.DUMMYFUNCTION("""COMPUTED_VALUE"""),"TUBOS")</f>
        <v>TUBOS</v>
      </c>
      <c r="N1325" s="87">
        <f>IFERROR(__xludf.DUMMYFUNCTION("""COMPUTED_VALUE"""),0.0)</f>
        <v>0</v>
      </c>
      <c r="O1325" s="74"/>
      <c r="P1325" s="74" t="str">
        <f>IFERROR(__xludf.DUMMYFUNCTION("""COMPUTED_VALUE"""),"To Re-purchase")</f>
        <v>To Re-purchase</v>
      </c>
      <c r="Q1325" s="74"/>
      <c r="R1325" s="74"/>
      <c r="S1325" s="87">
        <f>IFERROR(__xludf.DUMMYFUNCTION("""COMPUTED_VALUE"""),0.0)</f>
        <v>0</v>
      </c>
      <c r="T1325" s="87">
        <f>IFERROR(__xludf.DUMMYFUNCTION("""COMPUTED_VALUE"""),0.0)</f>
        <v>0</v>
      </c>
      <c r="U1325" s="87">
        <f>IFERROR(__xludf.DUMMYFUNCTION("""COMPUTED_VALUE"""),0.0)</f>
        <v>0</v>
      </c>
      <c r="V1325" s="87">
        <f>IFERROR(__xludf.DUMMYFUNCTION("""COMPUTED_VALUE"""),0.0)</f>
        <v>0</v>
      </c>
      <c r="W1325" s="87">
        <f>IFERROR(__xludf.DUMMYFUNCTION("""COMPUTED_VALUE"""),0.0)</f>
        <v>0</v>
      </c>
      <c r="X1325" s="88"/>
      <c r="Y1325" s="74"/>
      <c r="Z1325" s="74"/>
    </row>
    <row r="1326">
      <c r="B1326" s="74" t="str">
        <f>IFERROR(__xludf.DUMMYFUNCTION("""COMPUTED_VALUE"""),"2324")</f>
        <v>2324</v>
      </c>
      <c r="C1326" s="74" t="str">
        <f>IFERROR(__xludf.DUMMYFUNCTION("""COMPUTED_VALUE"""),"75045880569")</f>
        <v>75045880569</v>
      </c>
      <c r="D1326" s="74" t="str">
        <f>IFERROR(__xludf.DUMMYFUNCTION("""COMPUTED_VALUE"""),"\\MCA-S\mk\2_BM\0_BMat\08_PYM\Inventario\excel\Imagen de refacciones\Sistemas de tubería\Reductor de 3_ x 2_ x 28_ HD")</f>
        <v>\\MCA-S\mk\2_BM\0_BMat\08_PYM\Inventario\excel\Imagen de refacciones\Sistemas de tubería\Reductor de 3_ x 2_ x 28_ HD</v>
      </c>
      <c r="E1326" s="74" t="str">
        <f>IFERROR(__xludf.DUMMYFUNCTION("""COMPUTED_VALUE"""),"REDUCER PIPE HD5"" TO HD4""x700MM WITH HANDLES")</f>
        <v>REDUCER PIPE HD5" TO HD4"x700MM WITH HANDLES</v>
      </c>
      <c r="F1326" s="74" t="str">
        <f>IFERROR(__xludf.DUMMYFUNCTION("""COMPUTED_VALUE"""),"REDUCTOR HD5"" A HD4""x700mm CON ASAS")</f>
        <v>REDUCTOR HD5" A HD4"x700mm CON ASAS</v>
      </c>
      <c r="G1326" s="74"/>
      <c r="H1326" s="74"/>
      <c r="I1326" s="74" t="str">
        <f>IFERROR(__xludf.DUMMYFUNCTION("""COMPUTED_VALUE"""),"RS504028D")</f>
        <v>RS504028D</v>
      </c>
      <c r="J1326" s="74"/>
      <c r="K1326" s="74" t="str">
        <f>IFERROR(__xludf.DUMMYFUNCTION("""COMPUTED_VALUE"""),"Tuberia")</f>
        <v>Tuberia</v>
      </c>
      <c r="L1326" s="74" t="str">
        <f>IFERROR(__xludf.DUMMYFUNCTION("""COMPUTED_VALUE"""),"TUBERIA ACERO")</f>
        <v>TUBERIA ACERO</v>
      </c>
      <c r="M1326" s="74" t="str">
        <f>IFERROR(__xludf.DUMMYFUNCTION("""COMPUTED_VALUE"""),"TUBOS")</f>
        <v>TUBOS</v>
      </c>
      <c r="N1326" s="87">
        <f>IFERROR(__xludf.DUMMYFUNCTION("""COMPUTED_VALUE"""),0.0)</f>
        <v>0</v>
      </c>
      <c r="O1326" s="74"/>
      <c r="P1326" s="74" t="str">
        <f>IFERROR(__xludf.DUMMYFUNCTION("""COMPUTED_VALUE"""),"To Re-purchase")</f>
        <v>To Re-purchase</v>
      </c>
      <c r="Q1326" s="74"/>
      <c r="R1326" s="74"/>
      <c r="S1326" s="87">
        <f>IFERROR(__xludf.DUMMYFUNCTION("""COMPUTED_VALUE"""),0.0)</f>
        <v>0</v>
      </c>
      <c r="T1326" s="87">
        <f>IFERROR(__xludf.DUMMYFUNCTION("""COMPUTED_VALUE"""),0.0)</f>
        <v>0</v>
      </c>
      <c r="U1326" s="87">
        <f>IFERROR(__xludf.DUMMYFUNCTION("""COMPUTED_VALUE"""),0.0)</f>
        <v>0</v>
      </c>
      <c r="V1326" s="87">
        <f>IFERROR(__xludf.DUMMYFUNCTION("""COMPUTED_VALUE"""),0.0)</f>
        <v>0</v>
      </c>
      <c r="W1326" s="87">
        <f>IFERROR(__xludf.DUMMYFUNCTION("""COMPUTED_VALUE"""),0.0)</f>
        <v>0</v>
      </c>
      <c r="X1326" s="88"/>
      <c r="Y1326" s="74"/>
      <c r="Z1326" s="74"/>
    </row>
    <row r="1327">
      <c r="B1327" s="74" t="str">
        <f>IFERROR(__xludf.DUMMYFUNCTION("""COMPUTED_VALUE"""),"2325")</f>
        <v>2325</v>
      </c>
      <c r="C1327" s="74"/>
      <c r="D1327" s="74" t="str">
        <f>IFERROR(__xludf.DUMMYFUNCTION("""COMPUTED_VALUE"""),"\\MCA-S\mk\2_BM\0_BMat\08_PYM\Inventario\excel\Imagen de refacciones\Sistemas de tubería\Reductor de 3_ x 2.5_ x 28_ HD")</f>
        <v>\\MCA-S\mk\2_BM\0_BMat\08_PYM\Inventario\excel\Imagen de refacciones\Sistemas de tubería\Reductor de 3_ x 2.5_ x 28_ HD</v>
      </c>
      <c r="E1327" s="74"/>
      <c r="F1327" s="74"/>
      <c r="G1327" s="74"/>
      <c r="H1327" s="74"/>
      <c r="I1327" s="74"/>
      <c r="J1327" s="74"/>
      <c r="K1327" s="74" t="str">
        <f>IFERROR(__xludf.DUMMYFUNCTION("""COMPUTED_VALUE"""),"Tuberia")</f>
        <v>Tuberia</v>
      </c>
      <c r="L1327" s="74"/>
      <c r="M1327" s="74" t="str">
        <f>IFERROR(__xludf.DUMMYFUNCTION("""COMPUTED_VALUE"""),"Sin Asignar")</f>
        <v>Sin Asignar</v>
      </c>
      <c r="N1327" s="87">
        <f>IFERROR(__xludf.DUMMYFUNCTION("""COMPUTED_VALUE"""),0.0)</f>
        <v>0</v>
      </c>
      <c r="O1327" s="74"/>
      <c r="P1327" s="74" t="str">
        <f>IFERROR(__xludf.DUMMYFUNCTION("""COMPUTED_VALUE"""),"borrar")</f>
        <v>borrar</v>
      </c>
      <c r="Q1327" s="74"/>
      <c r="R1327" s="74"/>
      <c r="S1327" s="87">
        <f>IFERROR(__xludf.DUMMYFUNCTION("""COMPUTED_VALUE"""),0.0)</f>
        <v>0</v>
      </c>
      <c r="T1327" s="87">
        <f>IFERROR(__xludf.DUMMYFUNCTION("""COMPUTED_VALUE"""),0.0)</f>
        <v>0</v>
      </c>
      <c r="U1327" s="87">
        <f>IFERROR(__xludf.DUMMYFUNCTION("""COMPUTED_VALUE"""),0.0)</f>
        <v>0</v>
      </c>
      <c r="V1327" s="87">
        <f>IFERROR(__xludf.DUMMYFUNCTION("""COMPUTED_VALUE"""),0.0)</f>
        <v>0</v>
      </c>
      <c r="W1327" s="87">
        <f>IFERROR(__xludf.DUMMYFUNCTION("""COMPUTED_VALUE"""),0.0)</f>
        <v>0</v>
      </c>
      <c r="X1327" s="88"/>
      <c r="Y1327" s="74"/>
      <c r="Z1327" s="74"/>
    </row>
    <row r="1328">
      <c r="B1328" s="74" t="str">
        <f>IFERROR(__xludf.DUMMYFUNCTION("""COMPUTED_VALUE"""),"2326")</f>
        <v>2326</v>
      </c>
      <c r="C1328" s="74"/>
      <c r="D1328" s="74" t="str">
        <f>IFERROR(__xludf.DUMMYFUNCTION("""COMPUTED_VALUE"""),"\\MCA-S\mk\2_BM\0_BMat\08_PYM\Inventario\excel\Imagen de refacciones\Sistemas de tubería\Reductor de 4_ x 3_ x 36_ HD")</f>
        <v>\\MCA-S\mk\2_BM\0_BMat\08_PYM\Inventario\excel\Imagen de refacciones\Sistemas de tubería\Reductor de 4_ x 3_ x 36_ HD</v>
      </c>
      <c r="E1328" s="74"/>
      <c r="F1328" s="74" t="str">
        <f>IFERROR(__xludf.DUMMYFUNCTION("""COMPUTED_VALUE"""),"Reductor de 4"" x 3"" x 36"" HD")</f>
        <v>Reductor de 4" x 3" x 36" HD</v>
      </c>
      <c r="G1328" s="74"/>
      <c r="H1328" s="74"/>
      <c r="I1328" s="74"/>
      <c r="J1328" s="74"/>
      <c r="K1328" s="74" t="str">
        <f>IFERROR(__xludf.DUMMYFUNCTION("""COMPUTED_VALUE"""),"Tuberia")</f>
        <v>Tuberia</v>
      </c>
      <c r="L1328" s="74"/>
      <c r="M1328" s="74" t="str">
        <f>IFERROR(__xludf.DUMMYFUNCTION("""COMPUTED_VALUE"""),"Sin Asignar")</f>
        <v>Sin Asignar</v>
      </c>
      <c r="N1328" s="87">
        <f>IFERROR(__xludf.DUMMYFUNCTION("""COMPUTED_VALUE"""),0.0)</f>
        <v>0</v>
      </c>
      <c r="O1328" s="74"/>
      <c r="P1328" s="74" t="str">
        <f>IFERROR(__xludf.DUMMYFUNCTION("""COMPUTED_VALUE"""),"borrar")</f>
        <v>borrar</v>
      </c>
      <c r="Q1328" s="74"/>
      <c r="R1328" s="74"/>
      <c r="S1328" s="87">
        <f>IFERROR(__xludf.DUMMYFUNCTION("""COMPUTED_VALUE"""),0.0)</f>
        <v>0</v>
      </c>
      <c r="T1328" s="87">
        <f>IFERROR(__xludf.DUMMYFUNCTION("""COMPUTED_VALUE"""),0.0)</f>
        <v>0</v>
      </c>
      <c r="U1328" s="87">
        <f>IFERROR(__xludf.DUMMYFUNCTION("""COMPUTED_VALUE"""),0.0)</f>
        <v>0</v>
      </c>
      <c r="V1328" s="87">
        <f>IFERROR(__xludf.DUMMYFUNCTION("""COMPUTED_VALUE"""),0.0)</f>
        <v>0</v>
      </c>
      <c r="W1328" s="87">
        <f>IFERROR(__xludf.DUMMYFUNCTION("""COMPUTED_VALUE"""),0.0)</f>
        <v>0</v>
      </c>
      <c r="X1328" s="88"/>
      <c r="Y1328" s="74"/>
      <c r="Z1328" s="74"/>
    </row>
    <row r="1329">
      <c r="B1329" s="74" t="str">
        <f>IFERROR(__xludf.DUMMYFUNCTION("""COMPUTED_VALUE"""),"2327")</f>
        <v>2327</v>
      </c>
      <c r="C1329" s="74" t="str">
        <f>IFERROR(__xludf.DUMMYFUNCTION("""COMPUTED_VALUE"""),"75045880258")</f>
        <v>75045880258</v>
      </c>
      <c r="D1329" s="74" t="str">
        <f>IFERROR(__xludf.DUMMYFUNCTION("""COMPUTED_VALUE"""),"\\MCA-S\mk\2_BM\0_BMat\08_PYM\Inventario\excel\Imagen de refacciones\Sistemas de tubería\Soporte de plastico para abrazadera en u")</f>
        <v>\\MCA-S\mk\2_BM\0_BMat\08_PYM\Inventario\excel\Imagen de refacciones\Sistemas de tubería\Soporte de plastico para abrazadera en u</v>
      </c>
      <c r="E1329" s="74" t="str">
        <f>IFERROR(__xludf.DUMMYFUNCTION("""COMPUTED_VALUE"""),"U CLAMP PLASTIC PLATE WHITE")</f>
        <v>U CLAMP PLASTIC PLATE WHITE</v>
      </c>
      <c r="F1329" s="74" t="str">
        <f>IFERROR(__xludf.DUMMYFUNCTION("""COMPUTED_VALUE"""),"SOPORTE PLASTICO PARA ABRAZADERA EN U COLOR BLANCO")</f>
        <v>SOPORTE PLASTICO PARA ABRAZADERA EN U COLOR BLANCO</v>
      </c>
      <c r="G1329" s="74"/>
      <c r="H1329" s="74"/>
      <c r="I1329" s="74" t="str">
        <f>IFERROR(__xludf.DUMMYFUNCTION("""COMPUTED_VALUE"""),"10038880")</f>
        <v>10038880</v>
      </c>
      <c r="J1329" s="74"/>
      <c r="K1329" s="74" t="str">
        <f>IFERROR(__xludf.DUMMYFUNCTION("""COMPUTED_VALUE"""),"Tuberia")</f>
        <v>Tuberia</v>
      </c>
      <c r="L1329" s="74" t="str">
        <f>IFERROR(__xludf.DUMMYFUNCTION("""COMPUTED_VALUE"""),"TUBERIA ACERO")</f>
        <v>TUBERIA ACERO</v>
      </c>
      <c r="M1329" s="74" t="str">
        <f>IFERROR(__xludf.DUMMYFUNCTION("""COMPUTED_VALUE"""),"TUBOS")</f>
        <v>TUBOS</v>
      </c>
      <c r="N1329" s="87">
        <f>IFERROR(__xludf.DUMMYFUNCTION("""COMPUTED_VALUE"""),124.32)</f>
        <v>124.32</v>
      </c>
      <c r="O1329" s="74">
        <f>IFERROR(__xludf.DUMMYFUNCTION("""COMPUTED_VALUE"""),40.0)</f>
        <v>40</v>
      </c>
      <c r="P1329" s="74" t="str">
        <f>IFERROR(__xludf.DUMMYFUNCTION("""COMPUTED_VALUE"""),"In stock")</f>
        <v>In stock</v>
      </c>
      <c r="Q1329" s="74"/>
      <c r="R1329" s="74"/>
      <c r="S1329" s="87">
        <f>IFERROR(__xludf.DUMMYFUNCTION("""COMPUTED_VALUE"""),0.5)</f>
        <v>0.5</v>
      </c>
      <c r="T1329" s="87">
        <f>IFERROR(__xludf.DUMMYFUNCTION("""COMPUTED_VALUE"""),7.0)</f>
        <v>7</v>
      </c>
      <c r="U1329" s="87">
        <f>IFERROR(__xludf.DUMMYFUNCTION("""COMPUTED_VALUE"""),6.72)</f>
        <v>6.72</v>
      </c>
      <c r="V1329" s="87">
        <f>IFERROR(__xludf.DUMMYFUNCTION("""COMPUTED_VALUE"""),0.6125)</f>
        <v>0.6125</v>
      </c>
      <c r="W1329" s="87">
        <f>IFERROR(__xludf.DUMMYFUNCTION("""COMPUTED_VALUE"""),11.484375)</f>
        <v>11.484375</v>
      </c>
      <c r="X1329" s="88">
        <f>IFERROR(__xludf.DUMMYFUNCTION("""COMPUTED_VALUE"""),13.44)</f>
        <v>13.44</v>
      </c>
      <c r="Y1329" s="74"/>
      <c r="Z1329" s="74"/>
    </row>
    <row r="1330">
      <c r="B1330" s="74" t="str">
        <f>IFERROR(__xludf.DUMMYFUNCTION("""COMPUTED_VALUE"""),"2328")</f>
        <v>2328</v>
      </c>
      <c r="C1330" s="74" t="str">
        <f>IFERROR(__xludf.DUMMYFUNCTION("""COMPUTED_VALUE"""),"75045880493")</f>
        <v>75045880493</v>
      </c>
      <c r="D1330" s="74" t="str">
        <f>IFERROR(__xludf.DUMMYFUNCTION("""COMPUTED_VALUE"""),"\\MCA-S\mk\2_BM\0_BMat\08_PYM\Inventario\excel\Imagen de refacciones\Wam\Actuador neumatico para válvula mariposa")</f>
        <v>\\MCA-S\mk\2_BM\0_BMat\08_PYM\Inventario\excel\Imagen de refacciones\Wam\Actuador neumatico para válvula mariposa</v>
      </c>
      <c r="E1330" s="74" t="str">
        <f>IFERROR(__xludf.DUMMYFUNCTION("""COMPUTED_VALUE"""),"PNEUMATIC ACTUATOR FOR BUTTERFLY VALVE/ AIR ACTUATOR FOR 4IN TO 12IN BUTTERFLY VALVES ")</f>
        <v>PNEUMATIC ACTUATOR FOR BUTTERFLY VALVE/ AIR ACTUATOR FOR 4IN TO 12IN BUTTERFLY VALVES </v>
      </c>
      <c r="F1330" s="74" t="str">
        <f>IFERROR(__xludf.DUMMYFUNCTION("""COMPUTED_VALUE"""),"ACTUADOR NEUMATICO PARA VALVULA MARIPOSA")</f>
        <v>ACTUADOR NEUMATICO PARA VALVULA MARIPOSA</v>
      </c>
      <c r="G1330" s="74"/>
      <c r="H1330" s="74"/>
      <c r="I1330" s="74" t="str">
        <f>IFERROR(__xludf.DUMMYFUNCTION("""COMPUTED_VALUE"""),"CP101")</f>
        <v>CP101</v>
      </c>
      <c r="J1330" s="74"/>
      <c r="K1330" s="74" t="str">
        <f>IFERROR(__xludf.DUMMYFUNCTION("""COMPUTED_VALUE"""),"WAM")</f>
        <v>WAM</v>
      </c>
      <c r="L1330" s="74" t="str">
        <f>IFERROR(__xludf.DUMMYFUNCTION("""COMPUTED_VALUE"""),"Componentes hidráulicos")</f>
        <v>Componentes hidráulicos</v>
      </c>
      <c r="M1330" s="74" t="str">
        <f>IFERROR(__xludf.DUMMYFUNCTION("""COMPUTED_VALUE"""),"Sin Asignar")</f>
        <v>Sin Asignar</v>
      </c>
      <c r="N1330" s="87">
        <f>IFERROR(__xludf.DUMMYFUNCTION("""COMPUTED_VALUE"""),3356.64)</f>
        <v>3356.64</v>
      </c>
      <c r="O1330" s="74">
        <f>IFERROR(__xludf.DUMMYFUNCTION("""COMPUTED_VALUE"""),2.0)</f>
        <v>2</v>
      </c>
      <c r="P1330" s="74" t="str">
        <f>IFERROR(__xludf.DUMMYFUNCTION("""COMPUTED_VALUE"""),"In stock")</f>
        <v>In stock</v>
      </c>
      <c r="Q1330" s="74"/>
      <c r="R1330" s="74"/>
      <c r="S1330" s="87">
        <f>IFERROR(__xludf.DUMMYFUNCTION("""COMPUTED_VALUE"""),60.0)</f>
        <v>60</v>
      </c>
      <c r="T1330" s="87">
        <f>IFERROR(__xludf.DUMMYFUNCTION("""COMPUTED_VALUE"""),189.0)</f>
        <v>189</v>
      </c>
      <c r="U1330" s="87">
        <f>IFERROR(__xludf.DUMMYFUNCTION("""COMPUTED_VALUE"""),181.44)</f>
        <v>181.44</v>
      </c>
      <c r="V1330" s="87">
        <f>IFERROR(__xludf.DUMMYFUNCTION("""COMPUTED_VALUE"""),73.5)</f>
        <v>73.5</v>
      </c>
      <c r="W1330" s="87">
        <f>IFERROR(__xludf.DUMMYFUNCTION("""COMPUTED_VALUE"""),1378.125)</f>
        <v>1378.125</v>
      </c>
      <c r="X1330" s="88">
        <f>IFERROR(__xludf.DUMMYFUNCTION("""COMPUTED_VALUE"""),3.024)</f>
        <v>3.024</v>
      </c>
      <c r="Y1330" s="74"/>
      <c r="Z1330" s="74"/>
    </row>
    <row r="1331">
      <c r="B1331" s="74" t="str">
        <f>IFERROR(__xludf.DUMMYFUNCTION("""COMPUTED_VALUE"""),"2329")</f>
        <v>2329</v>
      </c>
      <c r="C1331" s="74" t="str">
        <f>IFERROR(__xludf.DUMMYFUNCTION("""COMPUTED_VALUE"""),"75045880269")</f>
        <v>75045880269</v>
      </c>
      <c r="D1331" s="74" t="str">
        <f>IFERROR(__xludf.DUMMYFUNCTION("""COMPUTED_VALUE"""),"\\MCA-S\mk\2_BM\0_BMat\08_PYM\Inventario\excel\Imagen de refacciones\Wam\Aerador para silo de cemento")</f>
        <v>\\MCA-S\mk\2_BM\0_BMat\08_PYM\Inventario\excel\Imagen de refacciones\Wam\Aerador para silo de cemento</v>
      </c>
      <c r="E1331" s="74"/>
      <c r="F1331" s="74" t="str">
        <f>IFERROR(__xludf.DUMMYFUNCTION("""COMPUTED_VALUE"""),"Aerador para silo de cemento")</f>
        <v>Aerador para silo de cemento</v>
      </c>
      <c r="G1331" s="74"/>
      <c r="H1331" s="74"/>
      <c r="I1331" s="74" t="str">
        <f>IFERROR(__xludf.DUMMYFUNCTION("""COMPUTED_VALUE"""),"U0252")</f>
        <v>U0252</v>
      </c>
      <c r="J1331" s="74"/>
      <c r="K1331" s="74" t="str">
        <f>IFERROR(__xludf.DUMMYFUNCTION("""COMPUTED_VALUE"""),"WAM")</f>
        <v>WAM</v>
      </c>
      <c r="L1331" s="74" t="str">
        <f>IFERROR(__xludf.DUMMYFUNCTION("""COMPUTED_VALUE"""),"Componentes para silos")</f>
        <v>Componentes para silos</v>
      </c>
      <c r="M1331" s="74" t="str">
        <f>IFERROR(__xludf.DUMMYFUNCTION("""COMPUTED_VALUE"""),"Sin Asignar")</f>
        <v>Sin Asignar</v>
      </c>
      <c r="N1331" s="87">
        <f>IFERROR(__xludf.DUMMYFUNCTION("""COMPUTED_VALUE"""),0.0)</f>
        <v>0</v>
      </c>
      <c r="O1331" s="74"/>
      <c r="P1331" s="74" t="str">
        <f>IFERROR(__xludf.DUMMYFUNCTION("""COMPUTED_VALUE"""),"No Available")</f>
        <v>No Available</v>
      </c>
      <c r="Q1331" s="74"/>
      <c r="R1331" s="74"/>
      <c r="S1331" s="87">
        <f>IFERROR(__xludf.DUMMYFUNCTION("""COMPUTED_VALUE"""),0.0)</f>
        <v>0</v>
      </c>
      <c r="T1331" s="87">
        <f>IFERROR(__xludf.DUMMYFUNCTION("""COMPUTED_VALUE"""),0.0)</f>
        <v>0</v>
      </c>
      <c r="U1331" s="87">
        <f>IFERROR(__xludf.DUMMYFUNCTION("""COMPUTED_VALUE"""),0.0)</f>
        <v>0</v>
      </c>
      <c r="V1331" s="87">
        <f>IFERROR(__xludf.DUMMYFUNCTION("""COMPUTED_VALUE"""),0.0)</f>
        <v>0</v>
      </c>
      <c r="W1331" s="87">
        <f>IFERROR(__xludf.DUMMYFUNCTION("""COMPUTED_VALUE"""),0.0)</f>
        <v>0</v>
      </c>
      <c r="X1331" s="88"/>
      <c r="Y1331" s="74"/>
      <c r="Z1331" s="74"/>
    </row>
    <row r="1332">
      <c r="B1332" s="74" t="str">
        <f>IFERROR(__xludf.DUMMYFUNCTION("""COMPUTED_VALUE"""),"2330")</f>
        <v>2330</v>
      </c>
      <c r="C1332" s="74" t="str">
        <f>IFERROR(__xludf.DUMMYFUNCTION("""COMPUTED_VALUE"""),"75045880288")</f>
        <v>75045880288</v>
      </c>
      <c r="D1332" s="74" t="str">
        <f>IFERROR(__xludf.DUMMYFUNCTION("""COMPUTED_VALUE"""),"\\MCA-S\mk\2_BM\0_BMat\08_PYM\Inventario\excel\Imagen de refacciones\Wam\AERADOR TIPO BOQUILLA")</f>
        <v>\\MCA-S\mk\2_BM\0_BMat\08_PYM\Inventario\excel\Imagen de refacciones\Wam\AERADOR TIPO BOQUILLA</v>
      </c>
      <c r="E1332" s="74" t="str">
        <f>IFERROR(__xludf.DUMMYFUNCTION("""COMPUTED_VALUE"""),"NOZZLE")</f>
        <v>NOZZLE</v>
      </c>
      <c r="F1332" s="74" t="str">
        <f>IFERROR(__xludf.DUMMYFUNCTION("""COMPUTED_VALUE"""),"AERADOR TIPO BOQUILLA")</f>
        <v>AERADOR TIPO BOQUILLA</v>
      </c>
      <c r="G1332" s="74"/>
      <c r="H1332" s="74"/>
      <c r="I1332" s="74" t="str">
        <f>IFERROR(__xludf.DUMMYFUNCTION("""COMPUTED_VALUE"""),"BVS1N")</f>
        <v>BVS1N</v>
      </c>
      <c r="J1332" s="74"/>
      <c r="K1332" s="74" t="str">
        <f>IFERROR(__xludf.DUMMYFUNCTION("""COMPUTED_VALUE"""),"WAM")</f>
        <v>WAM</v>
      </c>
      <c r="L1332" s="74" t="str">
        <f>IFERROR(__xludf.DUMMYFUNCTION("""COMPUTED_VALUE"""),"Componentes para silos")</f>
        <v>Componentes para silos</v>
      </c>
      <c r="M1332" s="74" t="str">
        <f>IFERROR(__xludf.DUMMYFUNCTION("""COMPUTED_VALUE"""),"Sin Asignar")</f>
        <v>Sin Asignar</v>
      </c>
      <c r="N1332" s="87">
        <f>IFERROR(__xludf.DUMMYFUNCTION("""COMPUTED_VALUE"""),692.64)</f>
        <v>692.64</v>
      </c>
      <c r="O1332" s="74">
        <f>IFERROR(__xludf.DUMMYFUNCTION("""COMPUTED_VALUE"""),10.0)</f>
        <v>10</v>
      </c>
      <c r="P1332" s="74" t="str">
        <f>IFERROR(__xludf.DUMMYFUNCTION("""COMPUTED_VALUE"""),"In stock")</f>
        <v>In stock</v>
      </c>
      <c r="Q1332" s="74"/>
      <c r="R1332" s="74"/>
      <c r="S1332" s="87">
        <f>IFERROR(__xludf.DUMMYFUNCTION("""COMPUTED_VALUE"""),10.0)</f>
        <v>10</v>
      </c>
      <c r="T1332" s="87">
        <f>IFERROR(__xludf.DUMMYFUNCTION("""COMPUTED_VALUE"""),39.0)</f>
        <v>39</v>
      </c>
      <c r="U1332" s="87">
        <f>IFERROR(__xludf.DUMMYFUNCTION("""COMPUTED_VALUE"""),37.44)</f>
        <v>37.44</v>
      </c>
      <c r="V1332" s="87">
        <f>IFERROR(__xludf.DUMMYFUNCTION("""COMPUTED_VALUE"""),12.25)</f>
        <v>12.25</v>
      </c>
      <c r="W1332" s="87">
        <f>IFERROR(__xludf.DUMMYFUNCTION("""COMPUTED_VALUE"""),229.6875)</f>
        <v>229.6875</v>
      </c>
      <c r="X1332" s="88">
        <f>IFERROR(__xludf.DUMMYFUNCTION("""COMPUTED_VALUE"""),3.7439999999999998)</f>
        <v>3.744</v>
      </c>
      <c r="Y1332" s="74"/>
      <c r="Z1332" s="74"/>
    </row>
    <row r="1333">
      <c r="B1333" s="74" t="str">
        <f>IFERROR(__xludf.DUMMYFUNCTION("""COMPUTED_VALUE"""),"2331")</f>
        <v>2331</v>
      </c>
      <c r="C1333" s="74" t="str">
        <f>IFERROR(__xludf.DUMMYFUNCTION("""COMPUTED_VALUE"""),"75045880289")</f>
        <v>75045880289</v>
      </c>
      <c r="D1333" s="74" t="str">
        <f>IFERROR(__xludf.DUMMYFUNCTION("""COMPUTED_VALUE"""),"\\MCA-S\mk\2_BM\0_BMat\08_PYM\Inventario\excel\Imagen de refacciones\Wam\Base para celdas de carga rucelake")</f>
        <v>\\MCA-S\mk\2_BM\0_BMat\08_PYM\Inventario\excel\Imagen de refacciones\Wam\Base para celdas de carga rucelake</v>
      </c>
      <c r="E1333" s="74"/>
      <c r="F1333" s="74" t="str">
        <f>IFERROR(__xludf.DUMMYFUNCTION("""COMPUTED_VALUE"""),"BASE CELDAS DE CARGA RUCELAKE")</f>
        <v>BASE CELDAS DE CARGA RUCELAKE</v>
      </c>
      <c r="G1333" s="74"/>
      <c r="H1333" s="74"/>
      <c r="I1333" s="74" t="str">
        <f>IFERROR(__xludf.DUMMYFUNCTION("""COMPUTED_VALUE"""),"P111301")</f>
        <v>P111301</v>
      </c>
      <c r="J1333" s="74"/>
      <c r="K1333" s="74" t="str">
        <f>IFERROR(__xludf.DUMMYFUNCTION("""COMPUTED_VALUE"""),"WAM")</f>
        <v>WAM</v>
      </c>
      <c r="L1333" s="74" t="str">
        <f>IFERROR(__xludf.DUMMYFUNCTION("""COMPUTED_VALUE"""),"SIN ASIGNAR")</f>
        <v>SIN ASIGNAR</v>
      </c>
      <c r="M1333" s="74" t="str">
        <f>IFERROR(__xludf.DUMMYFUNCTION("""COMPUTED_VALUE"""),"SIN ASIGNAR")</f>
        <v>SIN ASIGNAR</v>
      </c>
      <c r="N1333" s="87">
        <f>IFERROR(__xludf.DUMMYFUNCTION("""COMPUTED_VALUE"""),0.0)</f>
        <v>0</v>
      </c>
      <c r="O1333" s="74"/>
      <c r="P1333" s="74" t="str">
        <f>IFERROR(__xludf.DUMMYFUNCTION("""COMPUTED_VALUE"""),"To Re-purchase")</f>
        <v>To Re-purchase</v>
      </c>
      <c r="Q1333" s="74"/>
      <c r="R1333" s="74"/>
      <c r="S1333" s="87">
        <f>IFERROR(__xludf.DUMMYFUNCTION("""COMPUTED_VALUE"""),0.0)</f>
        <v>0</v>
      </c>
      <c r="T1333" s="87">
        <f>IFERROR(__xludf.DUMMYFUNCTION("""COMPUTED_VALUE"""),0.0)</f>
        <v>0</v>
      </c>
      <c r="U1333" s="87">
        <f>IFERROR(__xludf.DUMMYFUNCTION("""COMPUTED_VALUE"""),0.0)</f>
        <v>0</v>
      </c>
      <c r="V1333" s="87">
        <f>IFERROR(__xludf.DUMMYFUNCTION("""COMPUTED_VALUE"""),0.0)</f>
        <v>0</v>
      </c>
      <c r="W1333" s="87">
        <f>IFERROR(__xludf.DUMMYFUNCTION("""COMPUTED_VALUE"""),0.0)</f>
        <v>0</v>
      </c>
      <c r="X1333" s="88"/>
      <c r="Y1333" s="74"/>
      <c r="Z1333" s="74"/>
    </row>
    <row r="1334">
      <c r="B1334" s="74" t="str">
        <f>IFERROR(__xludf.DUMMYFUNCTION("""COMPUTED_VALUE"""),"2332")</f>
        <v>2332</v>
      </c>
      <c r="C1334" s="74" t="str">
        <f>IFERROR(__xludf.DUMMYFUNCTION("""COMPUTED_VALUE"""),"75045880290")</f>
        <v>75045880290</v>
      </c>
      <c r="D1334" s="74" t="str">
        <f>IFERROR(__xludf.DUMMYFUNCTION("""COMPUTED_VALUE"""),"\\MCA-S\mk\2_BM\0_BMat\08_PYM\Inventario\excel\Imagen de refacciones\Wam\Celda de carga 15T")</f>
        <v>\\MCA-S\mk\2_BM\0_BMat\08_PYM\Inventario\excel\Imagen de refacciones\Wam\Celda de carga 15T</v>
      </c>
      <c r="E1334" s="74" t="str">
        <f>IFERROR(__xludf.DUMMYFUNCTION("""COMPUTED_VALUE"""),"15K S-BEAM")</f>
        <v>15K S-BEAM</v>
      </c>
      <c r="F1334" s="74" t="str">
        <f>IFERROR(__xludf.DUMMYFUNCTION("""COMPUTED_VALUE"""),"CELDA DE CARGA 15T")</f>
        <v>CELDA DE CARGA 15T</v>
      </c>
      <c r="G1334" s="74"/>
      <c r="H1334" s="74"/>
      <c r="I1334" s="74" t="str">
        <f>IFERROR(__xludf.DUMMYFUNCTION("""COMPUTED_VALUE"""),"21445")</f>
        <v>21445</v>
      </c>
      <c r="J1334" s="74"/>
      <c r="K1334" s="74" t="str">
        <f>IFERROR(__xludf.DUMMYFUNCTION("""COMPUTED_VALUE"""),"WAM")</f>
        <v>WAM</v>
      </c>
      <c r="L1334" s="74" t="str">
        <f>IFERROR(__xludf.DUMMYFUNCTION("""COMPUTED_VALUE"""),"Elementos de medición y control")</f>
        <v>Elementos de medición y control</v>
      </c>
      <c r="M1334" s="74" t="str">
        <f>IFERROR(__xludf.DUMMYFUNCTION("""COMPUTED_VALUE"""),"Sin Asignar")</f>
        <v>Sin Asignar</v>
      </c>
      <c r="N1334" s="87">
        <f>IFERROR(__xludf.DUMMYFUNCTION("""COMPUTED_VALUE"""),0.0)</f>
        <v>0</v>
      </c>
      <c r="O1334" s="74"/>
      <c r="P1334" s="74" t="str">
        <f>IFERROR(__xludf.DUMMYFUNCTION("""COMPUTED_VALUE"""),"To Re-purchase")</f>
        <v>To Re-purchase</v>
      </c>
      <c r="Q1334" s="74"/>
      <c r="R1334" s="74"/>
      <c r="S1334" s="87">
        <f>IFERROR(__xludf.DUMMYFUNCTION("""COMPUTED_VALUE"""),0.0)</f>
        <v>0</v>
      </c>
      <c r="T1334" s="87">
        <f>IFERROR(__xludf.DUMMYFUNCTION("""COMPUTED_VALUE"""),0.0)</f>
        <v>0</v>
      </c>
      <c r="U1334" s="87">
        <f>IFERROR(__xludf.DUMMYFUNCTION("""COMPUTED_VALUE"""),0.0)</f>
        <v>0</v>
      </c>
      <c r="V1334" s="87">
        <f>IFERROR(__xludf.DUMMYFUNCTION("""COMPUTED_VALUE"""),0.0)</f>
        <v>0</v>
      </c>
      <c r="W1334" s="87">
        <f>IFERROR(__xludf.DUMMYFUNCTION("""COMPUTED_VALUE"""),0.0)</f>
        <v>0</v>
      </c>
      <c r="X1334" s="88"/>
      <c r="Y1334" s="74"/>
      <c r="Z1334" s="74"/>
    </row>
    <row r="1335">
      <c r="B1335" s="74" t="str">
        <f>IFERROR(__xludf.DUMMYFUNCTION("""COMPUTED_VALUE"""),"2333")</f>
        <v>2333</v>
      </c>
      <c r="C1335" s="74" t="str">
        <f>IFERROR(__xludf.DUMMYFUNCTION("""COMPUTED_VALUE"""),"75045880291")</f>
        <v>75045880291</v>
      </c>
      <c r="D1335" s="74" t="str">
        <f>IFERROR(__xludf.DUMMYFUNCTION("""COMPUTED_VALUE"""),"\\MCA-S\mk\2_BM\0_BMat\08_PYM\Inventario\excel\Imagen de refacciones\Wam\Celda de carga 3K s-bean")</f>
        <v>\\MCA-S\mk\2_BM\0_BMat\08_PYM\Inventario\excel\Imagen de refacciones\Wam\Celda de carga 3K s-bean</v>
      </c>
      <c r="E1335" s="74" t="str">
        <f>IFERROR(__xludf.DUMMYFUNCTION("""COMPUTED_VALUE"""),"3K S-BEAM LOAD CELL")</f>
        <v>3K S-BEAM LOAD CELL</v>
      </c>
      <c r="F1335" s="74" t="str">
        <f>IFERROR(__xludf.DUMMYFUNCTION("""COMPUTED_VALUE"""),"CELDA DE CARGA 3K S-BEAM")</f>
        <v>CELDA DE CARGA 3K S-BEAM</v>
      </c>
      <c r="G1335" s="74"/>
      <c r="H1335" s="74"/>
      <c r="I1335" s="74" t="str">
        <f>IFERROR(__xludf.DUMMYFUNCTION("""COMPUTED_VALUE"""),"21442")</f>
        <v>21442</v>
      </c>
      <c r="J1335" s="74"/>
      <c r="K1335" s="74" t="str">
        <f>IFERROR(__xludf.DUMMYFUNCTION("""COMPUTED_VALUE"""),"WAM")</f>
        <v>WAM</v>
      </c>
      <c r="L1335" s="74" t="str">
        <f>IFERROR(__xludf.DUMMYFUNCTION("""COMPUTED_VALUE"""),"Elementos de medición y control")</f>
        <v>Elementos de medición y control</v>
      </c>
      <c r="M1335" s="74" t="str">
        <f>IFERROR(__xludf.DUMMYFUNCTION("""COMPUTED_VALUE"""),"Sin Asignar")</f>
        <v>Sin Asignar</v>
      </c>
      <c r="N1335" s="87">
        <f>IFERROR(__xludf.DUMMYFUNCTION("""COMPUTED_VALUE"""),0.0)</f>
        <v>0</v>
      </c>
      <c r="O1335" s="74"/>
      <c r="P1335" s="74" t="str">
        <f>IFERROR(__xludf.DUMMYFUNCTION("""COMPUTED_VALUE"""),"To Re-purchase")</f>
        <v>To Re-purchase</v>
      </c>
      <c r="Q1335" s="74"/>
      <c r="R1335" s="74"/>
      <c r="S1335" s="87">
        <f>IFERROR(__xludf.DUMMYFUNCTION("""COMPUTED_VALUE"""),0.0)</f>
        <v>0</v>
      </c>
      <c r="T1335" s="87">
        <f>IFERROR(__xludf.DUMMYFUNCTION("""COMPUTED_VALUE"""),0.0)</f>
        <v>0</v>
      </c>
      <c r="U1335" s="87">
        <f>IFERROR(__xludf.DUMMYFUNCTION("""COMPUTED_VALUE"""),0.0)</f>
        <v>0</v>
      </c>
      <c r="V1335" s="87">
        <f>IFERROR(__xludf.DUMMYFUNCTION("""COMPUTED_VALUE"""),0.0)</f>
        <v>0</v>
      </c>
      <c r="W1335" s="87">
        <f>IFERROR(__xludf.DUMMYFUNCTION("""COMPUTED_VALUE"""),0.0)</f>
        <v>0</v>
      </c>
      <c r="X1335" s="88"/>
      <c r="Y1335" s="74"/>
      <c r="Z1335" s="74"/>
    </row>
    <row r="1336">
      <c r="B1336" s="74" t="str">
        <f>IFERROR(__xludf.DUMMYFUNCTION("""COMPUTED_VALUE"""),"2334")</f>
        <v>2334</v>
      </c>
      <c r="C1336" s="74" t="str">
        <f>IFERROR(__xludf.DUMMYFUNCTION("""COMPUTED_VALUE"""),"75045880292")</f>
        <v>75045880292</v>
      </c>
      <c r="D1336" s="74" t="str">
        <f>IFERROR(__xludf.DUMMYFUNCTION("""COMPUTED_VALUE"""),"\\MCA-S\mk\2_BM\0_BMat\08_PYM\Inventario\excel\Imagen de refacciones\Wam\Celda de carga RL20000 SK 5-Bean")</f>
        <v>\\MCA-S\mk\2_BM\0_BMat\08_PYM\Inventario\excel\Imagen de refacciones\Wam\Celda de carga RL20000 SK 5-Bean</v>
      </c>
      <c r="E1336" s="74" t="str">
        <f>IFERROR(__xludf.DUMMYFUNCTION("""COMPUTED_VALUE"""),"5K S-BEAM")</f>
        <v>5K S-BEAM</v>
      </c>
      <c r="F1336" s="74" t="str">
        <f>IFERROR(__xludf.DUMMYFUNCTION("""COMPUTED_VALUE"""),"CELDA DE CARGA RL 20 000 SK 5-BEAM")</f>
        <v>CELDA DE CARGA RL 20 000 SK 5-BEAM</v>
      </c>
      <c r="G1336" s="74"/>
      <c r="H1336" s="74"/>
      <c r="I1336" s="74" t="str">
        <f>IFERROR(__xludf.DUMMYFUNCTION("""COMPUTED_VALUE"""),"21443")</f>
        <v>21443</v>
      </c>
      <c r="J1336" s="74"/>
      <c r="K1336" s="74" t="str">
        <f>IFERROR(__xludf.DUMMYFUNCTION("""COMPUTED_VALUE"""),"WAM")</f>
        <v>WAM</v>
      </c>
      <c r="L1336" s="74" t="str">
        <f>IFERROR(__xludf.DUMMYFUNCTION("""COMPUTED_VALUE"""),"Elementos de medición y control")</f>
        <v>Elementos de medición y control</v>
      </c>
      <c r="M1336" s="74" t="str">
        <f>IFERROR(__xludf.DUMMYFUNCTION("""COMPUTED_VALUE"""),"Sin Asignar")</f>
        <v>Sin Asignar</v>
      </c>
      <c r="N1336" s="87">
        <f>IFERROR(__xludf.DUMMYFUNCTION("""COMPUTED_VALUE"""),0.0)</f>
        <v>0</v>
      </c>
      <c r="O1336" s="74"/>
      <c r="P1336" s="74" t="str">
        <f>IFERROR(__xludf.DUMMYFUNCTION("""COMPUTED_VALUE"""),"To Re-purchase")</f>
        <v>To Re-purchase</v>
      </c>
      <c r="Q1336" s="74"/>
      <c r="R1336" s="74"/>
      <c r="S1336" s="87">
        <f>IFERROR(__xludf.DUMMYFUNCTION("""COMPUTED_VALUE"""),0.0)</f>
        <v>0</v>
      </c>
      <c r="T1336" s="87">
        <f>IFERROR(__xludf.DUMMYFUNCTION("""COMPUTED_VALUE"""),0.0)</f>
        <v>0</v>
      </c>
      <c r="U1336" s="87">
        <f>IFERROR(__xludf.DUMMYFUNCTION("""COMPUTED_VALUE"""),0.0)</f>
        <v>0</v>
      </c>
      <c r="V1336" s="87">
        <f>IFERROR(__xludf.DUMMYFUNCTION("""COMPUTED_VALUE"""),0.0)</f>
        <v>0</v>
      </c>
      <c r="W1336" s="87">
        <f>IFERROR(__xludf.DUMMYFUNCTION("""COMPUTED_VALUE"""),0.0)</f>
        <v>0</v>
      </c>
      <c r="X1336" s="88"/>
      <c r="Y1336" s="74"/>
      <c r="Z1336" s="74"/>
    </row>
    <row r="1337">
      <c r="B1337" s="74" t="str">
        <f>IFERROR(__xludf.DUMMYFUNCTION("""COMPUTED_VALUE"""),"2335")</f>
        <v>2335</v>
      </c>
      <c r="C1337" s="74" t="str">
        <f>IFERROR(__xludf.DUMMYFUNCTION("""COMPUTED_VALUE"""),"75045880293")</f>
        <v>75045880293</v>
      </c>
      <c r="D1337" s="74" t="str">
        <f>IFERROR(__xludf.DUMMYFUNCTION("""COMPUTED_VALUE"""),"\\MCA-S\mk\2_BM\0_BMat\08_PYM\Inventario\excel\Imagen de refacciones\Wam\Celda de carga RL20001-10T-10K S-Beam")</f>
        <v>\\MCA-S\mk\2_BM\0_BMat\08_PYM\Inventario\excel\Imagen de refacciones\Wam\Celda de carga RL20001-10T-10K S-Beam</v>
      </c>
      <c r="E1337" s="74" t="str">
        <f>IFERROR(__xludf.DUMMYFUNCTION("""COMPUTED_VALUE"""),"10K S-BEAM")</f>
        <v>10K S-BEAM</v>
      </c>
      <c r="F1337" s="74" t="str">
        <f>IFERROR(__xludf.DUMMYFUNCTION("""COMPUTED_VALUE"""),"CELDA DE CARGA RL20001-10T-10K S BEAM")</f>
        <v>CELDA DE CARGA RL20001-10T-10K S BEAM</v>
      </c>
      <c r="G1337" s="74"/>
      <c r="H1337" s="74"/>
      <c r="I1337" s="74" t="str">
        <f>IFERROR(__xludf.DUMMYFUNCTION("""COMPUTED_VALUE"""),"21411")</f>
        <v>21411</v>
      </c>
      <c r="J1337" s="74"/>
      <c r="K1337" s="74" t="str">
        <f>IFERROR(__xludf.DUMMYFUNCTION("""COMPUTED_VALUE"""),"WAM")</f>
        <v>WAM</v>
      </c>
      <c r="L1337" s="74" t="str">
        <f>IFERROR(__xludf.DUMMYFUNCTION("""COMPUTED_VALUE"""),"Elementos de medición y control")</f>
        <v>Elementos de medición y control</v>
      </c>
      <c r="M1337" s="74" t="str">
        <f>IFERROR(__xludf.DUMMYFUNCTION("""COMPUTED_VALUE"""),"Sin Asignar")</f>
        <v>Sin Asignar</v>
      </c>
      <c r="N1337" s="87">
        <f>IFERROR(__xludf.DUMMYFUNCTION("""COMPUTED_VALUE"""),0.0)</f>
        <v>0</v>
      </c>
      <c r="O1337" s="74"/>
      <c r="P1337" s="74" t="str">
        <f>IFERROR(__xludf.DUMMYFUNCTION("""COMPUTED_VALUE"""),"To Re-purchase")</f>
        <v>To Re-purchase</v>
      </c>
      <c r="Q1337" s="74"/>
      <c r="R1337" s="74"/>
      <c r="S1337" s="87">
        <f>IFERROR(__xludf.DUMMYFUNCTION("""COMPUTED_VALUE"""),0.0)</f>
        <v>0</v>
      </c>
      <c r="T1337" s="87">
        <f>IFERROR(__xludf.DUMMYFUNCTION("""COMPUTED_VALUE"""),0.0)</f>
        <v>0</v>
      </c>
      <c r="U1337" s="87">
        <f>IFERROR(__xludf.DUMMYFUNCTION("""COMPUTED_VALUE"""),0.0)</f>
        <v>0</v>
      </c>
      <c r="V1337" s="87">
        <f>IFERROR(__xludf.DUMMYFUNCTION("""COMPUTED_VALUE"""),0.0)</f>
        <v>0</v>
      </c>
      <c r="W1337" s="87">
        <f>IFERROR(__xludf.DUMMYFUNCTION("""COMPUTED_VALUE"""),0.0)</f>
        <v>0</v>
      </c>
      <c r="X1337" s="88"/>
      <c r="Y1337" s="74"/>
      <c r="Z1337" s="74"/>
    </row>
    <row r="1338">
      <c r="B1338" s="74" t="str">
        <f>IFERROR(__xludf.DUMMYFUNCTION("""COMPUTED_VALUE"""),"2336")</f>
        <v>2336</v>
      </c>
      <c r="C1338" s="74" t="str">
        <f>IFERROR(__xludf.DUMMYFUNCTION("""COMPUTED_VALUE"""),"75045880294")</f>
        <v>75045880294</v>
      </c>
      <c r="D1338" s="74" t="str">
        <f>IFERROR(__xludf.DUMMYFUNCTION("""COMPUTED_VALUE"""),"\\MCA-S\mk\2_BM\0_BMat\08_PYM\Inventario\excel\Imagen de refacciones\Wam\Celda de carga SBM RL20001-T10-20 20,000 lb")</f>
        <v>\\MCA-S\mk\2_BM\0_BMat\08_PYM\Inventario\excel\Imagen de refacciones\Wam\Celda de carga SBM RL20001-T10-20 20,000 lb</v>
      </c>
      <c r="E1338" s="74" t="str">
        <f>IFERROR(__xludf.DUMMYFUNCTION("""COMPUTED_VALUE"""),"20K S-Beam")</f>
        <v>20K S-Beam</v>
      </c>
      <c r="F1338" s="74" t="str">
        <f>IFERROR(__xludf.DUMMYFUNCTION("""COMPUTED_VALUE"""),"CELDA DE CARGA SBM RL20001-T10-20K 20,000lb ")</f>
        <v>CELDA DE CARGA SBM RL20001-T10-20K 20,000lb </v>
      </c>
      <c r="G1338" s="74"/>
      <c r="H1338" s="74"/>
      <c r="I1338" s="74" t="str">
        <f>IFERROR(__xludf.DUMMYFUNCTION("""COMPUTED_VALUE"""),"21413")</f>
        <v>21413</v>
      </c>
      <c r="J1338" s="74"/>
      <c r="K1338" s="74" t="str">
        <f>IFERROR(__xludf.DUMMYFUNCTION("""COMPUTED_VALUE"""),"WAM")</f>
        <v>WAM</v>
      </c>
      <c r="L1338" s="74" t="str">
        <f>IFERROR(__xludf.DUMMYFUNCTION("""COMPUTED_VALUE"""),"Elementos de medición y control")</f>
        <v>Elementos de medición y control</v>
      </c>
      <c r="M1338" s="74" t="str">
        <f>IFERROR(__xludf.DUMMYFUNCTION("""COMPUTED_VALUE"""),"Sin Asignar")</f>
        <v>Sin Asignar</v>
      </c>
      <c r="N1338" s="87">
        <f>IFERROR(__xludf.DUMMYFUNCTION("""COMPUTED_VALUE"""),0.0)</f>
        <v>0</v>
      </c>
      <c r="O1338" s="74"/>
      <c r="P1338" s="74" t="str">
        <f>IFERROR(__xludf.DUMMYFUNCTION("""COMPUTED_VALUE"""),"To Re-purchase")</f>
        <v>To Re-purchase</v>
      </c>
      <c r="Q1338" s="74"/>
      <c r="R1338" s="74"/>
      <c r="S1338" s="87">
        <f>IFERROR(__xludf.DUMMYFUNCTION("""COMPUTED_VALUE"""),0.0)</f>
        <v>0</v>
      </c>
      <c r="T1338" s="87">
        <f>IFERROR(__xludf.DUMMYFUNCTION("""COMPUTED_VALUE"""),0.0)</f>
        <v>0</v>
      </c>
      <c r="U1338" s="87">
        <f>IFERROR(__xludf.DUMMYFUNCTION("""COMPUTED_VALUE"""),0.0)</f>
        <v>0</v>
      </c>
      <c r="V1338" s="87">
        <f>IFERROR(__xludf.DUMMYFUNCTION("""COMPUTED_VALUE"""),0.0)</f>
        <v>0</v>
      </c>
      <c r="W1338" s="87">
        <f>IFERROR(__xludf.DUMMYFUNCTION("""COMPUTED_VALUE"""),0.0)</f>
        <v>0</v>
      </c>
      <c r="X1338" s="88"/>
      <c r="Y1338" s="74"/>
      <c r="Z1338" s="74"/>
    </row>
    <row r="1339">
      <c r="B1339" s="74" t="str">
        <f>IFERROR(__xludf.DUMMYFUNCTION("""COMPUTED_VALUE"""),"2337")</f>
        <v>2337</v>
      </c>
      <c r="C1339" s="74" t="str">
        <f>IFERROR(__xludf.DUMMYFUNCTION("""COMPUTED_VALUE"""),"75045880295")</f>
        <v>75045880295</v>
      </c>
      <c r="D1339" s="74" t="str">
        <f>IFERROR(__xludf.DUMMYFUNCTION("""COMPUTED_VALUE"""),"\\MCA-S\mk\2_BM\0_BMat\08_PYM\Inventario\excel\Imagen de refacciones\Wam\Celda de poder styperice like")</f>
        <v>\\MCA-S\mk\2_BM\0_BMat\08_PYM\Inventario\excel\Imagen de refacciones\Wam\Celda de poder styperice like</v>
      </c>
      <c r="E1339" s="74" t="str">
        <f>IFERROR(__xludf.DUMMYFUNCTION("""COMPUTED_VALUE"""),"20K LOAD CELL")</f>
        <v>20K LOAD CELL</v>
      </c>
      <c r="F1339" s="74" t="str">
        <f>IFERROR(__xludf.DUMMYFUNCTION("""COMPUTED_VALUE"""),"CELDA DE PODER STYPERICE LIKE")</f>
        <v>CELDA DE PODER STYPERICE LIKE</v>
      </c>
      <c r="G1339" s="74"/>
      <c r="H1339" s="74"/>
      <c r="I1339" s="74" t="str">
        <f>IFERROR(__xludf.DUMMYFUNCTION("""COMPUTED_VALUE"""),"P111006")</f>
        <v>P111006</v>
      </c>
      <c r="J1339" s="74"/>
      <c r="K1339" s="74" t="str">
        <f>IFERROR(__xludf.DUMMYFUNCTION("""COMPUTED_VALUE"""),"WAM")</f>
        <v>WAM</v>
      </c>
      <c r="L1339" s="74" t="str">
        <f>IFERROR(__xludf.DUMMYFUNCTION("""COMPUTED_VALUE"""),"SIN ASIGNAR")</f>
        <v>SIN ASIGNAR</v>
      </c>
      <c r="M1339" s="74" t="str">
        <f>IFERROR(__xludf.DUMMYFUNCTION("""COMPUTED_VALUE"""),"VIBRADORES")</f>
        <v>VIBRADORES</v>
      </c>
      <c r="N1339" s="87">
        <f>IFERROR(__xludf.DUMMYFUNCTION("""COMPUTED_VALUE"""),0.0)</f>
        <v>0</v>
      </c>
      <c r="O1339" s="74"/>
      <c r="P1339" s="74" t="str">
        <f>IFERROR(__xludf.DUMMYFUNCTION("""COMPUTED_VALUE"""),"To Re-purchase")</f>
        <v>To Re-purchase</v>
      </c>
      <c r="Q1339" s="74"/>
      <c r="R1339" s="74"/>
      <c r="S1339" s="87">
        <f>IFERROR(__xludf.DUMMYFUNCTION("""COMPUTED_VALUE"""),0.0)</f>
        <v>0</v>
      </c>
      <c r="T1339" s="87">
        <f>IFERROR(__xludf.DUMMYFUNCTION("""COMPUTED_VALUE"""),0.0)</f>
        <v>0</v>
      </c>
      <c r="U1339" s="87">
        <f>IFERROR(__xludf.DUMMYFUNCTION("""COMPUTED_VALUE"""),0.0)</f>
        <v>0</v>
      </c>
      <c r="V1339" s="87">
        <f>IFERROR(__xludf.DUMMYFUNCTION("""COMPUTED_VALUE"""),0.0)</f>
        <v>0</v>
      </c>
      <c r="W1339" s="87">
        <f>IFERROR(__xludf.DUMMYFUNCTION("""COMPUTED_VALUE"""),0.0)</f>
        <v>0</v>
      </c>
      <c r="X1339" s="88"/>
      <c r="Y1339" s="74"/>
      <c r="Z1339" s="74"/>
    </row>
    <row r="1340">
      <c r="B1340" s="74" t="str">
        <f>IFERROR(__xludf.DUMMYFUNCTION("""COMPUTED_VALUE"""),"2338")</f>
        <v>2338</v>
      </c>
      <c r="C1340" s="74" t="str">
        <f>IFERROR(__xludf.DUMMYFUNCTION("""COMPUTED_VALUE"""),"75045880415")</f>
        <v>75045880415</v>
      </c>
      <c r="D1340" s="74" t="str">
        <f>IFERROR(__xludf.DUMMYFUNCTION("""COMPUTED_VALUE"""),"\\MCA-S\mk\2_BM\0_BMat\08_PYM\Inventario\excel\Imagen de refacciones\Wam\Cilindro naumatico de 4x10 para silo de cemento")</f>
        <v>\\MCA-S\mk\2_BM\0_BMat\08_PYM\Inventario\excel\Imagen de refacciones\Wam\Cilindro naumatico de 4x10 para silo de cemento</v>
      </c>
      <c r="E1340" s="74"/>
      <c r="F1340" s="74" t="str">
        <f>IFERROR(__xludf.DUMMYFUNCTION("""COMPUTED_VALUE"""),"CILINDRO NEUMATICO DE 4X10 PARA SILO DE CEMENTO")</f>
        <v>CILINDRO NEUMATICO DE 4X10 PARA SILO DE CEMENTO</v>
      </c>
      <c r="G1340" s="74"/>
      <c r="H1340" s="74"/>
      <c r="I1340" s="74" t="str">
        <f>IFERROR(__xludf.DUMMYFUNCTION("""COMPUTED_VALUE"""),"260591-1")</f>
        <v>260591-1</v>
      </c>
      <c r="J1340" s="74" t="str">
        <f>IFERROR(__xludf.DUMMYFUNCTION("""COMPUTED_VALUE"""),"CNPA-001")</f>
        <v>CNPA-001</v>
      </c>
      <c r="K1340" s="74" t="str">
        <f>IFERROR(__xludf.DUMMYFUNCTION("""COMPUTED_VALUE"""),"WAM")</f>
        <v>WAM</v>
      </c>
      <c r="L1340" s="74" t="str">
        <f>IFERROR(__xludf.DUMMYFUNCTION("""COMPUTED_VALUE"""),"Componentes neumáticos")</f>
        <v>Componentes neumáticos</v>
      </c>
      <c r="M1340" s="74" t="str">
        <f>IFERROR(__xludf.DUMMYFUNCTION("""COMPUTED_VALUE"""),"Sin Asignar")</f>
        <v>Sin Asignar</v>
      </c>
      <c r="N1340" s="87">
        <f>IFERROR(__xludf.DUMMYFUNCTION("""COMPUTED_VALUE"""),0.0)</f>
        <v>0</v>
      </c>
      <c r="O1340" s="74"/>
      <c r="P1340" s="74" t="str">
        <f>IFERROR(__xludf.DUMMYFUNCTION("""COMPUTED_VALUE"""),"To Re-purchase")</f>
        <v>To Re-purchase</v>
      </c>
      <c r="Q1340" s="74"/>
      <c r="R1340" s="74"/>
      <c r="S1340" s="87">
        <f>IFERROR(__xludf.DUMMYFUNCTION("""COMPUTED_VALUE"""),0.0)</f>
        <v>0</v>
      </c>
      <c r="T1340" s="87">
        <f>IFERROR(__xludf.DUMMYFUNCTION("""COMPUTED_VALUE"""),0.0)</f>
        <v>0</v>
      </c>
      <c r="U1340" s="87">
        <f>IFERROR(__xludf.DUMMYFUNCTION("""COMPUTED_VALUE"""),0.0)</f>
        <v>0</v>
      </c>
      <c r="V1340" s="87">
        <f>IFERROR(__xludf.DUMMYFUNCTION("""COMPUTED_VALUE"""),0.0)</f>
        <v>0</v>
      </c>
      <c r="W1340" s="87">
        <f>IFERROR(__xludf.DUMMYFUNCTION("""COMPUTED_VALUE"""),0.0)</f>
        <v>0</v>
      </c>
      <c r="X1340" s="88"/>
      <c r="Y1340" s="74"/>
      <c r="Z1340" s="74"/>
    </row>
    <row r="1341">
      <c r="B1341" s="74" t="str">
        <f>IFERROR(__xludf.DUMMYFUNCTION("""COMPUTED_VALUE"""),"2339")</f>
        <v>2339</v>
      </c>
      <c r="C1341" s="74" t="str">
        <f>IFERROR(__xludf.DUMMYFUNCTION("""COMPUTED_VALUE"""),"75045880416")</f>
        <v>75045880416</v>
      </c>
      <c r="D1341" s="74" t="str">
        <f>IFERROR(__xludf.DUMMYFUNCTION("""COMPUTED_VALUE"""),"\\MCA-S\mk\2_BM\0_BMat\08_PYM\Inventario\excel\Imagen de refacciones\Wam\Cilindro neumatico de 4x10 para silo de cemento")</f>
        <v>\\MCA-S\mk\2_BM\0_BMat\08_PYM\Inventario\excel\Imagen de refacciones\Wam\Cilindro neumatico de 4x10 para silo de cemento</v>
      </c>
      <c r="E1341" s="74"/>
      <c r="F1341" s="74" t="str">
        <f>IFERROR(__xludf.DUMMYFUNCTION("""COMPUTED_VALUE"""),"Cilindro neumatico de 4x10 para silo de cemento")</f>
        <v>Cilindro neumatico de 4x10 para silo de cemento</v>
      </c>
      <c r="G1341" s="74"/>
      <c r="H1341" s="74"/>
      <c r="I1341" s="74" t="str">
        <f>IFERROR(__xludf.DUMMYFUNCTION("""COMPUTED_VALUE"""),"260591-1")</f>
        <v>260591-1</v>
      </c>
      <c r="J1341" s="74"/>
      <c r="K1341" s="74" t="str">
        <f>IFERROR(__xludf.DUMMYFUNCTION("""COMPUTED_VALUE"""),"WAM")</f>
        <v>WAM</v>
      </c>
      <c r="L1341" s="74" t="str">
        <f>IFERROR(__xludf.DUMMYFUNCTION("""COMPUTED_VALUE"""),"Componentes neumáticos")</f>
        <v>Componentes neumáticos</v>
      </c>
      <c r="M1341" s="74" t="str">
        <f>IFERROR(__xludf.DUMMYFUNCTION("""COMPUTED_VALUE"""),"Sin Asignar")</f>
        <v>Sin Asignar</v>
      </c>
      <c r="N1341" s="87">
        <f>IFERROR(__xludf.DUMMYFUNCTION("""COMPUTED_VALUE"""),0.0)</f>
        <v>0</v>
      </c>
      <c r="O1341" s="74"/>
      <c r="P1341" s="74" t="str">
        <f>IFERROR(__xludf.DUMMYFUNCTION("""COMPUTED_VALUE"""),"borrar")</f>
        <v>borrar</v>
      </c>
      <c r="Q1341" s="74"/>
      <c r="R1341" s="74"/>
      <c r="S1341" s="87">
        <f>IFERROR(__xludf.DUMMYFUNCTION("""COMPUTED_VALUE"""),0.0)</f>
        <v>0</v>
      </c>
      <c r="T1341" s="87">
        <f>IFERROR(__xludf.DUMMYFUNCTION("""COMPUTED_VALUE"""),0.0)</f>
        <v>0</v>
      </c>
      <c r="U1341" s="87">
        <f>IFERROR(__xludf.DUMMYFUNCTION("""COMPUTED_VALUE"""),0.0)</f>
        <v>0</v>
      </c>
      <c r="V1341" s="87">
        <f>IFERROR(__xludf.DUMMYFUNCTION("""COMPUTED_VALUE"""),0.0)</f>
        <v>0</v>
      </c>
      <c r="W1341" s="87">
        <f>IFERROR(__xludf.DUMMYFUNCTION("""COMPUTED_VALUE"""),0.0)</f>
        <v>0</v>
      </c>
      <c r="X1341" s="88"/>
      <c r="Y1341" s="74"/>
      <c r="Z1341" s="74"/>
    </row>
    <row r="1342">
      <c r="B1342" s="74" t="str">
        <f>IFERROR(__xludf.DUMMYFUNCTION("""COMPUTED_VALUE"""),"2340")</f>
        <v>2340</v>
      </c>
      <c r="C1342" s="74" t="str">
        <f>IFERROR(__xludf.DUMMYFUNCTION("""COMPUTED_VALUE"""),"75045880494")</f>
        <v>75045880494</v>
      </c>
      <c r="D1342" s="74" t="str">
        <f>IFERROR(__xludf.DUMMYFUNCTION("""COMPUTED_VALUE"""),"\\MCA-S\mk\2_BM\0_BMat\08_PYM\Inventario\excel\Imagen de refacciones\Wam\Colector de polvo de silo WAM")</f>
        <v>\\MCA-S\mk\2_BM\0_BMat\08_PYM\Inventario\excel\Imagen de refacciones\Wam\Colector de polvo de silo WAM</v>
      </c>
      <c r="E1342" s="74" t="str">
        <f>IFERROR(__xludf.DUMMYFUNCTION("""COMPUTED_VALUE"""),"DUST COLLECTOR WITH FILTER CARTRIDGES ")</f>
        <v>DUST COLLECTOR WITH FILTER CARTRIDGES </v>
      </c>
      <c r="F1342" s="74" t="str">
        <f>IFERROR(__xludf.DUMMYFUNCTION("""COMPUTED_VALUE"""),"COLECTOR DE POLVO DE SILO WAM")</f>
        <v>COLECTOR DE POLVO DE SILO WAM</v>
      </c>
      <c r="G1342" s="74"/>
      <c r="H1342" s="74"/>
      <c r="I1342" s="74" t="str">
        <f>IFERROR(__xludf.DUMMYFUNCTION("""COMPUTED_VALUE"""),"PDC50R01")</f>
        <v>PDC50R01</v>
      </c>
      <c r="J1342" s="74"/>
      <c r="K1342" s="74" t="str">
        <f>IFERROR(__xludf.DUMMYFUNCTION("""COMPUTED_VALUE"""),"WAM")</f>
        <v>WAM</v>
      </c>
      <c r="L1342" s="74" t="str">
        <f>IFERROR(__xludf.DUMMYFUNCTION("""COMPUTED_VALUE"""),"Componentes para silos")</f>
        <v>Componentes para silos</v>
      </c>
      <c r="M1342" s="74" t="str">
        <f>IFERROR(__xludf.DUMMYFUNCTION("""COMPUTED_VALUE"""),"Sin Asignar")</f>
        <v>Sin Asignar</v>
      </c>
      <c r="N1342" s="87">
        <f>IFERROR(__xludf.DUMMYFUNCTION("""COMPUTED_VALUE"""),0.0)</f>
        <v>0</v>
      </c>
      <c r="O1342" s="74"/>
      <c r="P1342" s="74" t="str">
        <f>IFERROR(__xludf.DUMMYFUNCTION("""COMPUTED_VALUE"""),"To Re-purchase")</f>
        <v>To Re-purchase</v>
      </c>
      <c r="Q1342" s="74"/>
      <c r="R1342" s="74"/>
      <c r="S1342" s="87">
        <f>IFERROR(__xludf.DUMMYFUNCTION("""COMPUTED_VALUE"""),0.0)</f>
        <v>0</v>
      </c>
      <c r="T1342" s="87">
        <f>IFERROR(__xludf.DUMMYFUNCTION("""COMPUTED_VALUE"""),0.0)</f>
        <v>0</v>
      </c>
      <c r="U1342" s="87">
        <f>IFERROR(__xludf.DUMMYFUNCTION("""COMPUTED_VALUE"""),0.0)</f>
        <v>0</v>
      </c>
      <c r="V1342" s="87">
        <f>IFERROR(__xludf.DUMMYFUNCTION("""COMPUTED_VALUE"""),0.0)</f>
        <v>0</v>
      </c>
      <c r="W1342" s="87">
        <f>IFERROR(__xludf.DUMMYFUNCTION("""COMPUTED_VALUE"""),0.0)</f>
        <v>0</v>
      </c>
      <c r="X1342" s="88"/>
      <c r="Y1342" s="74"/>
      <c r="Z1342" s="74"/>
    </row>
    <row r="1343">
      <c r="B1343" s="74" t="str">
        <f>IFERROR(__xludf.DUMMYFUNCTION("""COMPUTED_VALUE"""),"2341")</f>
        <v>2341</v>
      </c>
      <c r="C1343" s="74" t="str">
        <f>IFERROR(__xludf.DUMMYFUNCTION("""COMPUTED_VALUE"""),"75045880417")</f>
        <v>75045880417</v>
      </c>
      <c r="D1343" s="74" t="str">
        <f>IFERROR(__xludf.DUMMYFUNCTION("""COMPUTED_VALUE"""),"\\MCA-S\mk\2_BM\0_BMat\08_PYM\Inventario\excel\Imagen de refacciones\Wam\Electroválvula")</f>
        <v>\\MCA-S\mk\2_BM\0_BMat\08_PYM\Inventario\excel\Imagen de refacciones\Wam\Electroválvula</v>
      </c>
      <c r="E1343" s="74"/>
      <c r="F1343" s="74" t="str">
        <f>IFERROR(__xludf.DUMMYFUNCTION("""COMPUTED_VALUE"""),"Electroválvula")</f>
        <v>Electroválvula</v>
      </c>
      <c r="G1343" s="74"/>
      <c r="H1343" s="74"/>
      <c r="I1343" s="74" t="str">
        <f>IFERROR(__xludf.DUMMYFUNCTION("""COMPUTED_VALUE"""),"P26007")</f>
        <v>P26007</v>
      </c>
      <c r="J1343" s="74"/>
      <c r="K1343" s="74" t="str">
        <f>IFERROR(__xludf.DUMMYFUNCTION("""COMPUTED_VALUE"""),"WAM")</f>
        <v>WAM</v>
      </c>
      <c r="L1343" s="74" t="str">
        <f>IFERROR(__xludf.DUMMYFUNCTION("""COMPUTED_VALUE"""),"Componentes eléctricos")</f>
        <v>Componentes eléctricos</v>
      </c>
      <c r="M1343" s="74" t="str">
        <f>IFERROR(__xludf.DUMMYFUNCTION("""COMPUTED_VALUE"""),"Sin Asignar")</f>
        <v>Sin Asignar</v>
      </c>
      <c r="N1343" s="87">
        <f>IFERROR(__xludf.DUMMYFUNCTION("""COMPUTED_VALUE"""),0.0)</f>
        <v>0</v>
      </c>
      <c r="O1343" s="74"/>
      <c r="P1343" s="74" t="str">
        <f>IFERROR(__xludf.DUMMYFUNCTION("""COMPUTED_VALUE"""),"No Available")</f>
        <v>No Available</v>
      </c>
      <c r="Q1343" s="74"/>
      <c r="R1343" s="74"/>
      <c r="S1343" s="87">
        <f>IFERROR(__xludf.DUMMYFUNCTION("""COMPUTED_VALUE"""),0.0)</f>
        <v>0</v>
      </c>
      <c r="T1343" s="87">
        <f>IFERROR(__xludf.DUMMYFUNCTION("""COMPUTED_VALUE"""),0.0)</f>
        <v>0</v>
      </c>
      <c r="U1343" s="87">
        <f>IFERROR(__xludf.DUMMYFUNCTION("""COMPUTED_VALUE"""),0.0)</f>
        <v>0</v>
      </c>
      <c r="V1343" s="87">
        <f>IFERROR(__xludf.DUMMYFUNCTION("""COMPUTED_VALUE"""),0.0)</f>
        <v>0</v>
      </c>
      <c r="W1343" s="87">
        <f>IFERROR(__xludf.DUMMYFUNCTION("""COMPUTED_VALUE"""),0.0)</f>
        <v>0</v>
      </c>
      <c r="X1343" s="88"/>
      <c r="Y1343" s="74"/>
      <c r="Z1343" s="74"/>
    </row>
    <row r="1344">
      <c r="B1344" s="74" t="str">
        <f>IFERROR(__xludf.DUMMYFUNCTION("""COMPUTED_VALUE"""),"2342")</f>
        <v>2342</v>
      </c>
      <c r="C1344" s="74" t="str">
        <f>IFERROR(__xludf.DUMMYFUNCTION("""COMPUTED_VALUE"""),"75045880418")</f>
        <v>75045880418</v>
      </c>
      <c r="D1344" s="74" t="str">
        <f>IFERROR(__xludf.DUMMYFUNCTION("""COMPUTED_VALUE"""),"\\MCA-S\mk\2_BM\0_BMat\08_PYM\Inventario\excel\Imagen de refacciones\Wam\Horquilla de cilindro automático - avanzado")</f>
        <v>\\MCA-S\mk\2_BM\0_BMat\08_PYM\Inventario\excel\Imagen de refacciones\Wam\Horquilla de cilindro automático - avanzado</v>
      </c>
      <c r="E1344" s="74"/>
      <c r="F1344" s="74" t="str">
        <f>IFERROR(__xludf.DUMMYFUNCTION("""COMPUTED_VALUE"""),"Horquilla de cilindro automático - avanzado")</f>
        <v>Horquilla de cilindro automático - avanzado</v>
      </c>
      <c r="G1344" s="74"/>
      <c r="H1344" s="74"/>
      <c r="I1344" s="74" t="str">
        <f>IFERROR(__xludf.DUMMYFUNCTION("""COMPUTED_VALUE"""),"PACY-3.5X8C")</f>
        <v>PACY-3.5X8C</v>
      </c>
      <c r="J1344" s="74"/>
      <c r="K1344" s="74" t="str">
        <f>IFERROR(__xludf.DUMMYFUNCTION("""COMPUTED_VALUE"""),"WAM")</f>
        <v>WAM</v>
      </c>
      <c r="L1344" s="74"/>
      <c r="M1344" s="74" t="str">
        <f>IFERROR(__xludf.DUMMYFUNCTION("""COMPUTED_VALUE"""),"Sin Asignar")</f>
        <v>Sin Asignar</v>
      </c>
      <c r="N1344" s="87">
        <f>IFERROR(__xludf.DUMMYFUNCTION("""COMPUTED_VALUE"""),0.0)</f>
        <v>0</v>
      </c>
      <c r="O1344" s="74"/>
      <c r="P1344" s="74" t="str">
        <f>IFERROR(__xludf.DUMMYFUNCTION("""COMPUTED_VALUE"""),"No Available")</f>
        <v>No Available</v>
      </c>
      <c r="Q1344" s="74"/>
      <c r="R1344" s="74"/>
      <c r="S1344" s="87">
        <f>IFERROR(__xludf.DUMMYFUNCTION("""COMPUTED_VALUE"""),0.0)</f>
        <v>0</v>
      </c>
      <c r="T1344" s="87">
        <f>IFERROR(__xludf.DUMMYFUNCTION("""COMPUTED_VALUE"""),0.0)</f>
        <v>0</v>
      </c>
      <c r="U1344" s="87">
        <f>IFERROR(__xludf.DUMMYFUNCTION("""COMPUTED_VALUE"""),0.0)</f>
        <v>0</v>
      </c>
      <c r="V1344" s="87">
        <f>IFERROR(__xludf.DUMMYFUNCTION("""COMPUTED_VALUE"""),0.0)</f>
        <v>0</v>
      </c>
      <c r="W1344" s="87">
        <f>IFERROR(__xludf.DUMMYFUNCTION("""COMPUTED_VALUE"""),0.0)</f>
        <v>0</v>
      </c>
      <c r="X1344" s="88"/>
      <c r="Y1344" s="74"/>
      <c r="Z1344" s="74"/>
    </row>
    <row r="1345">
      <c r="B1345" s="74" t="str">
        <f>IFERROR(__xludf.DUMMYFUNCTION("""COMPUTED_VALUE"""),"2343")</f>
        <v>2343</v>
      </c>
      <c r="C1345" s="74" t="str">
        <f>IFERROR(__xludf.DUMMYFUNCTION("""COMPUTED_VALUE"""),"75045880495")</f>
        <v>75045880495</v>
      </c>
      <c r="D1345" s="74" t="str">
        <f>IFERROR(__xludf.DUMMYFUNCTION("""COMPUTED_VALUE"""),"\\MCA-S\mk\2_BM\0_BMat\08_PYM\Inventario\excel\Imagen de refacciones\Wam\Set de 7 filtros polypleat rectangular para silo de cemento")</f>
        <v>\\MCA-S\mk\2_BM\0_BMat\08_PYM\Inventario\excel\Imagen de refacciones\Wam\Set de 7 filtros polypleat rectangular para silo de cemento</v>
      </c>
      <c r="E1345" s="74" t="str">
        <f>IFERROR(__xludf.DUMMYFUNCTION("""COMPUTED_VALUE"""),"SILOTOP DUST COLLECTOR FILTER CARTRIDGE SET OF 7 ")</f>
        <v>SILOTOP DUST COLLECTOR FILTER CARTRIDGE SET OF 7 </v>
      </c>
      <c r="F1345" s="74" t="str">
        <f>IFERROR(__xludf.DUMMYFUNCTION("""COMPUTED_VALUE"""),"SET DE 7 FILTROS POLYPLEAT RECTANGULAR PARA SILO DE CEMENTO  ")</f>
        <v>SET DE 7 FILTROS POLYPLEAT RECTANGULAR PARA SILO DE CEMENTO  </v>
      </c>
      <c r="G1345" s="74"/>
      <c r="H1345" s="74"/>
      <c r="I1345" s="74" t="str">
        <f>IFERROR(__xludf.DUMMYFUNCTION("""COMPUTED_VALUE"""),"KFEW3007PPEV-K")</f>
        <v>KFEW3007PPEV-K</v>
      </c>
      <c r="J1345" s="74"/>
      <c r="K1345" s="74" t="str">
        <f>IFERROR(__xludf.DUMMYFUNCTION("""COMPUTED_VALUE"""),"WAM")</f>
        <v>WAM</v>
      </c>
      <c r="L1345" s="74" t="str">
        <f>IFERROR(__xludf.DUMMYFUNCTION("""COMPUTED_VALUE"""),"Componentes para silos")</f>
        <v>Componentes para silos</v>
      </c>
      <c r="M1345" s="74" t="str">
        <f>IFERROR(__xludf.DUMMYFUNCTION("""COMPUTED_VALUE"""),"Sin Asignar")</f>
        <v>Sin Asignar</v>
      </c>
      <c r="N1345" s="87">
        <f>IFERROR(__xludf.DUMMYFUNCTION("""COMPUTED_VALUE"""),0.0)</f>
        <v>0</v>
      </c>
      <c r="O1345" s="74"/>
      <c r="P1345" s="74" t="str">
        <f>IFERROR(__xludf.DUMMYFUNCTION("""COMPUTED_VALUE"""),"To Re-purchase")</f>
        <v>To Re-purchase</v>
      </c>
      <c r="Q1345" s="74"/>
      <c r="R1345" s="74"/>
      <c r="S1345" s="87">
        <f>IFERROR(__xludf.DUMMYFUNCTION("""COMPUTED_VALUE"""),0.0)</f>
        <v>0</v>
      </c>
      <c r="T1345" s="87">
        <f>IFERROR(__xludf.DUMMYFUNCTION("""COMPUTED_VALUE"""),0.0)</f>
        <v>0</v>
      </c>
      <c r="U1345" s="87">
        <f>IFERROR(__xludf.DUMMYFUNCTION("""COMPUTED_VALUE"""),0.0)</f>
        <v>0</v>
      </c>
      <c r="V1345" s="87">
        <f>IFERROR(__xludf.DUMMYFUNCTION("""COMPUTED_VALUE"""),0.0)</f>
        <v>0</v>
      </c>
      <c r="W1345" s="87">
        <f>IFERROR(__xludf.DUMMYFUNCTION("""COMPUTED_VALUE"""),0.0)</f>
        <v>0</v>
      </c>
      <c r="X1345" s="88"/>
      <c r="Y1345" s="74"/>
      <c r="Z1345" s="74"/>
    </row>
    <row r="1346">
      <c r="B1346" s="74" t="str">
        <f>IFERROR(__xludf.DUMMYFUNCTION("""COMPUTED_VALUE"""),"2344")</f>
        <v>2344</v>
      </c>
      <c r="C1346" s="74" t="str">
        <f>IFERROR(__xludf.DUMMYFUNCTION("""COMPUTED_VALUE"""),"75045880496")</f>
        <v>75045880496</v>
      </c>
      <c r="D1346" s="74" t="str">
        <f>IFERROR(__xludf.DUMMYFUNCTION("""COMPUTED_VALUE"""),"\\MCA-S\mk\2_BM\0_BMat\08_PYM\Inventario\excel\Imagen de refacciones\Wam\Válvula de alivio 10_ wam")</f>
        <v>\\MCA-S\mk\2_BM\0_BMat\08_PYM\Inventario\excel\Imagen de refacciones\Wam\Válvula de alivio 10_ wam</v>
      </c>
      <c r="E1346" s="74" t="str">
        <f>IFERROR(__xludf.DUMMYFUNCTION("""COMPUTED_VALUE"""),"CONCRETE PLANT SILO TOP PRESSURE RELIEF VALVE 10"" STAINLESS COVER")</f>
        <v>CONCRETE PLANT SILO TOP PRESSURE RELIEF VALVE 10" STAINLESS COVER</v>
      </c>
      <c r="F1346" s="74" t="str">
        <f>IFERROR(__xludf.DUMMYFUNCTION("""COMPUTED_VALUE"""),"VALVULA DE ALIVIO PARA SILO 10""")</f>
        <v>VALVULA DE ALIVIO PARA SILO 10"</v>
      </c>
      <c r="G1346" s="74"/>
      <c r="H1346" s="74"/>
      <c r="I1346" s="74" t="str">
        <f>IFERROR(__xludf.DUMMYFUNCTION("""COMPUTED_VALUE"""),"VCP2731C")</f>
        <v>VCP2731C</v>
      </c>
      <c r="J1346" s="74" t="str">
        <f>IFERROR(__xludf.DUMMYFUNCTION("""COMPUTED_VALUE"""),"PSV2731A")</f>
        <v>PSV2731A</v>
      </c>
      <c r="K1346" s="74" t="str">
        <f>IFERROR(__xludf.DUMMYFUNCTION("""COMPUTED_VALUE"""),"WAM")</f>
        <v>WAM</v>
      </c>
      <c r="L1346" s="74" t="str">
        <f>IFERROR(__xludf.DUMMYFUNCTION("""COMPUTED_VALUE"""),"Componentes hidráulicos")</f>
        <v>Componentes hidráulicos</v>
      </c>
      <c r="M1346" s="74" t="str">
        <f>IFERROR(__xludf.DUMMYFUNCTION("""COMPUTED_VALUE"""),"Sin Asignar")</f>
        <v>Sin Asignar</v>
      </c>
      <c r="N1346" s="87">
        <f>IFERROR(__xludf.DUMMYFUNCTION("""COMPUTED_VALUE"""),5470.08)</f>
        <v>5470.08</v>
      </c>
      <c r="O1346" s="74">
        <f>IFERROR(__xludf.DUMMYFUNCTION("""COMPUTED_VALUE"""),2.0)</f>
        <v>2</v>
      </c>
      <c r="P1346" s="74" t="str">
        <f>IFERROR(__xludf.DUMMYFUNCTION("""COMPUTED_VALUE"""),"In stock")</f>
        <v>In stock</v>
      </c>
      <c r="Q1346" s="74"/>
      <c r="R1346" s="74"/>
      <c r="S1346" s="87">
        <f>IFERROR(__xludf.DUMMYFUNCTION("""COMPUTED_VALUE"""),105.0)</f>
        <v>105</v>
      </c>
      <c r="T1346" s="87">
        <f>IFERROR(__xludf.DUMMYFUNCTION("""COMPUTED_VALUE"""),308.0)</f>
        <v>308</v>
      </c>
      <c r="U1346" s="87">
        <f>IFERROR(__xludf.DUMMYFUNCTION("""COMPUTED_VALUE"""),295.68)</f>
        <v>295.68</v>
      </c>
      <c r="V1346" s="87">
        <f>IFERROR(__xludf.DUMMYFUNCTION("""COMPUTED_VALUE"""),128.625)</f>
        <v>128.625</v>
      </c>
      <c r="W1346" s="87">
        <f>IFERROR(__xludf.DUMMYFUNCTION("""COMPUTED_VALUE"""),2411.71875)</f>
        <v>2411.71875</v>
      </c>
      <c r="X1346" s="88">
        <f>IFERROR(__xludf.DUMMYFUNCTION("""COMPUTED_VALUE"""),2.8160000000000003)</f>
        <v>2.816</v>
      </c>
      <c r="Y1346" s="74"/>
      <c r="Z1346" s="74"/>
    </row>
    <row r="1347">
      <c r="B1347" s="74" t="str">
        <f>IFERROR(__xludf.DUMMYFUNCTION("""COMPUTED_VALUE"""),"2345")</f>
        <v>2345</v>
      </c>
      <c r="C1347" s="74" t="str">
        <f>IFERROR(__xludf.DUMMYFUNCTION("""COMPUTED_VALUE"""),"75045880419")</f>
        <v>75045880419</v>
      </c>
      <c r="D1347" s="74" t="str">
        <f>IFERROR(__xludf.DUMMYFUNCTION("""COMPUTED_VALUE"""),"\\MCA-S\mk\2_BM\0_BMat\08_PYM\Inventario\excel\Imagen de refacciones\Wam\Válvula mariposa 10_ brida simple")</f>
        <v>\\MCA-S\mk\2_BM\0_BMat\08_PYM\Inventario\excel\Imagen de refacciones\Wam\Válvula mariposa 10_ brida simple</v>
      </c>
      <c r="E1347" s="74" t="str">
        <f>IFERROR(__xludf.DUMMYFUNCTION("""COMPUTED_VALUE"""),"10"" SINGLE FLANGE BUTTERFLY VALVE CAST IRON DISK")</f>
        <v>10" SINGLE FLANGE BUTTERFLY VALVE CAST IRON DISK</v>
      </c>
      <c r="F1347" s="74" t="str">
        <f>IFERROR(__xludf.DUMMYFUNCTION("""COMPUTED_VALUE"""),"VALVULA MARIPOSA 10"" BRIDA SIMPLE CASTING")</f>
        <v>VALVULA MARIPOSA 10" BRIDA SIMPLE CASTING</v>
      </c>
      <c r="G1347" s="74"/>
      <c r="H1347" s="74"/>
      <c r="I1347" s="74" t="str">
        <f>IFERROR(__xludf.DUMMYFUNCTION("""COMPUTED_VALUE"""),"V1FS250GBB")</f>
        <v>V1FS250GBB</v>
      </c>
      <c r="J1347" s="74"/>
      <c r="K1347" s="74" t="str">
        <f>IFERROR(__xludf.DUMMYFUNCTION("""COMPUTED_VALUE"""),"WAM")</f>
        <v>WAM</v>
      </c>
      <c r="L1347" s="74" t="str">
        <f>IFERROR(__xludf.DUMMYFUNCTION("""COMPUTED_VALUE"""),"Componentes hidráulicos")</f>
        <v>Componentes hidráulicos</v>
      </c>
      <c r="M1347" s="74" t="str">
        <f>IFERROR(__xludf.DUMMYFUNCTION("""COMPUTED_VALUE"""),"VALVULAS")</f>
        <v>VALVULAS</v>
      </c>
      <c r="N1347" s="87">
        <f>IFERROR(__xludf.DUMMYFUNCTION("""COMPUTED_VALUE"""),3356.64)</f>
        <v>3356.64</v>
      </c>
      <c r="O1347" s="74">
        <f>IFERROR(__xludf.DUMMYFUNCTION("""COMPUTED_VALUE"""),2.0)</f>
        <v>2</v>
      </c>
      <c r="P1347" s="74" t="str">
        <f>IFERROR(__xludf.DUMMYFUNCTION("""COMPUTED_VALUE"""),"In stock")</f>
        <v>In stock</v>
      </c>
      <c r="Q1347" s="74"/>
      <c r="R1347" s="74"/>
      <c r="S1347" s="87">
        <f>IFERROR(__xludf.DUMMYFUNCTION("""COMPUTED_VALUE"""),70.0)</f>
        <v>70</v>
      </c>
      <c r="T1347" s="87">
        <f>IFERROR(__xludf.DUMMYFUNCTION("""COMPUTED_VALUE"""),189.0)</f>
        <v>189</v>
      </c>
      <c r="U1347" s="87">
        <f>IFERROR(__xludf.DUMMYFUNCTION("""COMPUTED_VALUE"""),181.44)</f>
        <v>181.44</v>
      </c>
      <c r="V1347" s="87">
        <f>IFERROR(__xludf.DUMMYFUNCTION("""COMPUTED_VALUE"""),85.75)</f>
        <v>85.75</v>
      </c>
      <c r="W1347" s="87">
        <f>IFERROR(__xludf.DUMMYFUNCTION("""COMPUTED_VALUE"""),1607.8125)</f>
        <v>1607.8125</v>
      </c>
      <c r="X1347" s="88">
        <f>IFERROR(__xludf.DUMMYFUNCTION("""COMPUTED_VALUE"""),2.592)</f>
        <v>2.592</v>
      </c>
      <c r="Y1347" s="74"/>
      <c r="Z1347" s="74"/>
    </row>
    <row r="1348">
      <c r="B1348" s="74" t="str">
        <f>IFERROR(__xludf.DUMMYFUNCTION("""COMPUTED_VALUE"""),"2345")</f>
        <v>2345</v>
      </c>
      <c r="C1348" s="74" t="str">
        <f>IFERROR(__xludf.DUMMYFUNCTION("""COMPUTED_VALUE"""),"75045880544")</f>
        <v>75045880544</v>
      </c>
      <c r="D1348" s="74" t="str">
        <f>IFERROR(__xludf.DUMMYFUNCTION("""COMPUTED_VALUE"""),"\\MCA-S\mk\2_BM\0_BMat\08_PYM\Inventario\excel\Imagen de refacciones\Wam\Válvula mariposa 10_ brida simple")</f>
        <v>\\MCA-S\mk\2_BM\0_BMat\08_PYM\Inventario\excel\Imagen de refacciones\Wam\Válvula mariposa 10_ brida simple</v>
      </c>
      <c r="E1348" s="74" t="str">
        <f>IFERROR(__xludf.DUMMYFUNCTION("""COMPUTED_VALUE"""),"10"" SINGLE FLANGE BUTTERFLY VALVE CAST IRON DISK HIGH QUALITY")</f>
        <v>10" SINGLE FLANGE BUTTERFLY VALVE CAST IRON DISK HIGH QUALITY</v>
      </c>
      <c r="F1348" s="74" t="str">
        <f>IFERROR(__xludf.DUMMYFUNCTION("""COMPUTED_VALUE"""),"VALVULA MARIPOSA 10"" BRIDA SIMPLE HIGH QUALITY")</f>
        <v>VALVULA MARIPOSA 10" BRIDA SIMPLE HIGH QUALITY</v>
      </c>
      <c r="G1348" s="74"/>
      <c r="H1348" s="74"/>
      <c r="I1348" s="74" t="str">
        <f>IFERROR(__xludf.DUMMYFUNCTION("""COMPUTED_VALUE"""),"V1FS250GBB")</f>
        <v>V1FS250GBB</v>
      </c>
      <c r="J1348" s="74"/>
      <c r="K1348" s="74" t="str">
        <f>IFERROR(__xludf.DUMMYFUNCTION("""COMPUTED_VALUE"""),"WAM")</f>
        <v>WAM</v>
      </c>
      <c r="L1348" s="74" t="str">
        <f>IFERROR(__xludf.DUMMYFUNCTION("""COMPUTED_VALUE"""),"Componentes hidráulicos")</f>
        <v>Componentes hidráulicos</v>
      </c>
      <c r="M1348" s="74" t="str">
        <f>IFERROR(__xludf.DUMMYFUNCTION("""COMPUTED_VALUE"""),"Sin Asignar")</f>
        <v>Sin Asignar</v>
      </c>
      <c r="N1348" s="87">
        <f>IFERROR(__xludf.DUMMYFUNCTION("""COMPUTED_VALUE"""),3996.0)</f>
        <v>3996</v>
      </c>
      <c r="O1348" s="74">
        <f>IFERROR(__xludf.DUMMYFUNCTION("""COMPUTED_VALUE"""),1.0)</f>
        <v>1</v>
      </c>
      <c r="P1348" s="74" t="str">
        <f>IFERROR(__xludf.DUMMYFUNCTION("""COMPUTED_VALUE"""),"In stock")</f>
        <v>In stock</v>
      </c>
      <c r="Q1348" s="74"/>
      <c r="R1348" s="74"/>
      <c r="S1348" s="87">
        <f>IFERROR(__xludf.DUMMYFUNCTION("""COMPUTED_VALUE"""),80.0)</f>
        <v>80</v>
      </c>
      <c r="T1348" s="87">
        <f>IFERROR(__xludf.DUMMYFUNCTION("""COMPUTED_VALUE"""),225.0)</f>
        <v>225</v>
      </c>
      <c r="U1348" s="87">
        <f>IFERROR(__xludf.DUMMYFUNCTION("""COMPUTED_VALUE"""),216.0)</f>
        <v>216</v>
      </c>
      <c r="V1348" s="87">
        <f>IFERROR(__xludf.DUMMYFUNCTION("""COMPUTED_VALUE"""),98.0)</f>
        <v>98</v>
      </c>
      <c r="W1348" s="87">
        <f>IFERROR(__xludf.DUMMYFUNCTION("""COMPUTED_VALUE"""),1837.5)</f>
        <v>1837.5</v>
      </c>
      <c r="X1348" s="88">
        <f>IFERROR(__xludf.DUMMYFUNCTION("""COMPUTED_VALUE"""),2.7)</f>
        <v>2.7</v>
      </c>
      <c r="Y1348" s="74"/>
      <c r="Z1348" s="74"/>
    </row>
    <row r="1349">
      <c r="B1349" s="74" t="str">
        <f>IFERROR(__xludf.DUMMYFUNCTION("""COMPUTED_VALUE"""),"2346")</f>
        <v>2346</v>
      </c>
      <c r="C1349" s="74" t="str">
        <f>IFERROR(__xludf.DUMMYFUNCTION("""COMPUTED_VALUE"""),"75045880497")</f>
        <v>75045880497</v>
      </c>
      <c r="D1349" s="74" t="str">
        <f>IFERROR(__xludf.DUMMYFUNCTION("""COMPUTED_VALUE"""),"\\MCA-S\mk\2_BM\0_BMat\08_PYM\Inventario\excel\Imagen de refacciones\Wam\Válvula mariposa 12_ brida simple")</f>
        <v>\\MCA-S\mk\2_BM\0_BMat\08_PYM\Inventario\excel\Imagen de refacciones\Wam\Válvula mariposa 12_ brida simple</v>
      </c>
      <c r="E1349" s="74" t="str">
        <f>IFERROR(__xludf.DUMMYFUNCTION("""COMPUTED_VALUE"""),"12"" SINGLE FLANGE BUTTERFLY VALVE CAST IRON DISK")</f>
        <v>12" SINGLE FLANGE BUTTERFLY VALVE CAST IRON DISK</v>
      </c>
      <c r="F1349" s="74" t="str">
        <f>IFERROR(__xludf.DUMMYFUNCTION("""COMPUTED_VALUE"""),"VALVULA MARIPOSA 12"" BRIDA SIMPLE CASTING")</f>
        <v>VALVULA MARIPOSA 12" BRIDA SIMPLE CASTING</v>
      </c>
      <c r="G1349" s="74"/>
      <c r="H1349" s="74"/>
      <c r="I1349" s="74" t="str">
        <f>IFERROR(__xludf.DUMMYFUNCTION("""COMPUTED_VALUE"""),"V1FS300GBB")</f>
        <v>V1FS300GBB</v>
      </c>
      <c r="J1349" s="74"/>
      <c r="K1349" s="74" t="str">
        <f>IFERROR(__xludf.DUMMYFUNCTION("""COMPUTED_VALUE"""),"WAM")</f>
        <v>WAM</v>
      </c>
      <c r="L1349" s="74" t="str">
        <f>IFERROR(__xludf.DUMMYFUNCTION("""COMPUTED_VALUE"""),"Componentes hidráulicos")</f>
        <v>Componentes hidráulicos</v>
      </c>
      <c r="M1349" s="74" t="str">
        <f>IFERROR(__xludf.DUMMYFUNCTION("""COMPUTED_VALUE"""),"VALVULAS")</f>
        <v>VALVULAS</v>
      </c>
      <c r="N1349" s="87">
        <f>IFERROR(__xludf.DUMMYFUNCTION("""COMPUTED_VALUE"""),4741.92)</f>
        <v>4741.92</v>
      </c>
      <c r="O1349" s="74">
        <f>IFERROR(__xludf.DUMMYFUNCTION("""COMPUTED_VALUE"""),2.0)</f>
        <v>2</v>
      </c>
      <c r="P1349" s="74" t="str">
        <f>IFERROR(__xludf.DUMMYFUNCTION("""COMPUTED_VALUE"""),"In stock")</f>
        <v>In stock</v>
      </c>
      <c r="Q1349" s="74"/>
      <c r="R1349" s="74"/>
      <c r="S1349" s="87">
        <f>IFERROR(__xludf.DUMMYFUNCTION("""COMPUTED_VALUE"""),80.0)</f>
        <v>80</v>
      </c>
      <c r="T1349" s="87">
        <f>IFERROR(__xludf.DUMMYFUNCTION("""COMPUTED_VALUE"""),267.0)</f>
        <v>267</v>
      </c>
      <c r="U1349" s="87">
        <f>IFERROR(__xludf.DUMMYFUNCTION("""COMPUTED_VALUE"""),256.32)</f>
        <v>256.32</v>
      </c>
      <c r="V1349" s="87">
        <f>IFERROR(__xludf.DUMMYFUNCTION("""COMPUTED_VALUE"""),98.0)</f>
        <v>98</v>
      </c>
      <c r="W1349" s="87">
        <f>IFERROR(__xludf.DUMMYFUNCTION("""COMPUTED_VALUE"""),1837.5)</f>
        <v>1837.5</v>
      </c>
      <c r="X1349" s="88">
        <f>IFERROR(__xludf.DUMMYFUNCTION("""COMPUTED_VALUE"""),3.2039999999999997)</f>
        <v>3.204</v>
      </c>
      <c r="Y1349" s="74"/>
      <c r="Z1349" s="74"/>
    </row>
    <row r="1350">
      <c r="B1350" s="74" t="str">
        <f>IFERROR(__xludf.DUMMYFUNCTION("""COMPUTED_VALUE"""),"2347")</f>
        <v>2347</v>
      </c>
      <c r="C1350" s="74" t="str">
        <f>IFERROR(__xludf.DUMMYFUNCTION("""COMPUTED_VALUE"""),"75045880451")</f>
        <v>75045880451</v>
      </c>
      <c r="D1350" s="74" t="str">
        <f>IFERROR(__xludf.DUMMYFUNCTION("""COMPUTED_VALUE"""),"\\MCA-S\mk\2_BM\0_BMat\08_PYM\Inventario\excel\Imagen de refacciones\Wam\Válvula mariposa 12_ doble brida")</f>
        <v>\\MCA-S\mk\2_BM\0_BMat\08_PYM\Inventario\excel\Imagen de refacciones\Wam\Válvula mariposa 12_ doble brida</v>
      </c>
      <c r="E1350" s="74" t="str">
        <f>IFERROR(__xludf.DUMMYFUNCTION("""COMPUTED_VALUE"""),"12"" DOUBLE FLANGE BUTTERFLY VALVE CAST IRON DISK")</f>
        <v>12" DOUBLE FLANGE BUTTERFLY VALVE CAST IRON DISK</v>
      </c>
      <c r="F1350" s="74" t="str">
        <f>IFERROR(__xludf.DUMMYFUNCTION("""COMPUTED_VALUE"""),"VALVULA MARIPOSA 12"" DOBLE BRIDA CASTING")</f>
        <v>VALVULA MARIPOSA 12" DOBLE BRIDA CASTING</v>
      </c>
      <c r="G1350" s="74"/>
      <c r="H1350" s="74"/>
      <c r="I1350" s="74" t="str">
        <f>IFERROR(__xludf.DUMMYFUNCTION("""COMPUTED_VALUE"""),"V2FS300GBB")</f>
        <v>V2FS300GBB</v>
      </c>
      <c r="J1350" s="74"/>
      <c r="K1350" s="74" t="str">
        <f>IFERROR(__xludf.DUMMYFUNCTION("""COMPUTED_VALUE"""),"WAM")</f>
        <v>WAM</v>
      </c>
      <c r="L1350" s="74" t="str">
        <f>IFERROR(__xludf.DUMMYFUNCTION("""COMPUTED_VALUE"""),"Componentes hidráulicos")</f>
        <v>Componentes hidráulicos</v>
      </c>
      <c r="M1350" s="74" t="str">
        <f>IFERROR(__xludf.DUMMYFUNCTION("""COMPUTED_VALUE"""),"Sin Asignar")</f>
        <v>Sin Asignar</v>
      </c>
      <c r="N1350" s="87">
        <f>IFERROR(__xludf.DUMMYFUNCTION("""COMPUTED_VALUE"""),4937.28)</f>
        <v>4937.28</v>
      </c>
      <c r="O1350" s="74">
        <f>IFERROR(__xludf.DUMMYFUNCTION("""COMPUTED_VALUE"""),2.0)</f>
        <v>2</v>
      </c>
      <c r="P1350" s="74" t="str">
        <f>IFERROR(__xludf.DUMMYFUNCTION("""COMPUTED_VALUE"""),"To Re-purchase")</f>
        <v>To Re-purchase</v>
      </c>
      <c r="Q1350" s="74"/>
      <c r="R1350" s="74"/>
      <c r="S1350" s="87">
        <f>IFERROR(__xludf.DUMMYFUNCTION("""COMPUTED_VALUE"""),90.0)</f>
        <v>90</v>
      </c>
      <c r="T1350" s="87">
        <f>IFERROR(__xludf.DUMMYFUNCTION("""COMPUTED_VALUE"""),278.0)</f>
        <v>278</v>
      </c>
      <c r="U1350" s="87">
        <f>IFERROR(__xludf.DUMMYFUNCTION("""COMPUTED_VALUE"""),266.88)</f>
        <v>266.88</v>
      </c>
      <c r="V1350" s="87">
        <f>IFERROR(__xludf.DUMMYFUNCTION("""COMPUTED_VALUE"""),110.25)</f>
        <v>110.25</v>
      </c>
      <c r="W1350" s="87">
        <f>IFERROR(__xludf.DUMMYFUNCTION("""COMPUTED_VALUE"""),2067.1875)</f>
        <v>2067.1875</v>
      </c>
      <c r="X1350" s="88">
        <f>IFERROR(__xludf.DUMMYFUNCTION("""COMPUTED_VALUE"""),2.965333333333333)</f>
        <v>2.965333333</v>
      </c>
      <c r="Y1350" s="74"/>
      <c r="Z1350" s="74"/>
    </row>
    <row r="1351">
      <c r="B1351" s="74" t="str">
        <f>IFERROR(__xludf.DUMMYFUNCTION("""COMPUTED_VALUE"""),"2348")</f>
        <v>2348</v>
      </c>
      <c r="C1351" s="74" t="str">
        <f>IFERROR(__xludf.DUMMYFUNCTION("""COMPUTED_VALUE"""),"75045880498")</f>
        <v>75045880498</v>
      </c>
      <c r="D1351" s="74" t="str">
        <f>IFERROR(__xludf.DUMMYFUNCTION("""COMPUTED_VALUE"""),"\\MCA-S\mk\2_BM\0_BMat\08_PYM\Inventario\excel\Imagen de refacciones\Wam\Válvula mariposa 8_ doble brida")</f>
        <v>\\MCA-S\mk\2_BM\0_BMat\08_PYM\Inventario\excel\Imagen de refacciones\Wam\Válvula mariposa 8_ doble brida</v>
      </c>
      <c r="E1351" s="74" t="str">
        <f>IFERROR(__xludf.DUMMYFUNCTION("""COMPUTED_VALUE"""),"8"" DOUBLE FLANGE BUTTERFLY VALVE CAST IRON DISK")</f>
        <v>8" DOUBLE FLANGE BUTTERFLY VALVE CAST IRON DISK</v>
      </c>
      <c r="F1351" s="74" t="str">
        <f>IFERROR(__xludf.DUMMYFUNCTION("""COMPUTED_VALUE"""),"VALVULA MARIPOSA 8"" DOBLE BRIDA CASTING")</f>
        <v>VALVULA MARIPOSA 8" DOBLE BRIDA CASTING</v>
      </c>
      <c r="G1351" s="74"/>
      <c r="H1351" s="74"/>
      <c r="I1351" s="74" t="str">
        <f>IFERROR(__xludf.DUMMYFUNCTION("""COMPUTED_VALUE"""),"V2FS200GBB")</f>
        <v>V2FS200GBB</v>
      </c>
      <c r="J1351" s="74"/>
      <c r="K1351" s="74" t="str">
        <f>IFERROR(__xludf.DUMMYFUNCTION("""COMPUTED_VALUE"""),"WAM")</f>
        <v>WAM</v>
      </c>
      <c r="L1351" s="74" t="str">
        <f>IFERROR(__xludf.DUMMYFUNCTION("""COMPUTED_VALUE"""),"Componentes hidráulicos")</f>
        <v>Componentes hidráulicos</v>
      </c>
      <c r="M1351" s="74" t="str">
        <f>IFERROR(__xludf.DUMMYFUNCTION("""COMPUTED_VALUE"""),"Sin Asignar")</f>
        <v>Sin Asignar</v>
      </c>
      <c r="N1351" s="87">
        <f>IFERROR(__xludf.DUMMYFUNCTION("""COMPUTED_VALUE"""),3090.24)</f>
        <v>3090.24</v>
      </c>
      <c r="O1351" s="74">
        <f>IFERROR(__xludf.DUMMYFUNCTION("""COMPUTED_VALUE"""),2.0)</f>
        <v>2</v>
      </c>
      <c r="P1351" s="74" t="str">
        <f>IFERROR(__xludf.DUMMYFUNCTION("""COMPUTED_VALUE"""),"In stock")</f>
        <v>In stock</v>
      </c>
      <c r="Q1351" s="74"/>
      <c r="R1351" s="74"/>
      <c r="S1351" s="87">
        <f>IFERROR(__xludf.DUMMYFUNCTION("""COMPUTED_VALUE"""),70.0)</f>
        <v>70</v>
      </c>
      <c r="T1351" s="87">
        <f>IFERROR(__xludf.DUMMYFUNCTION("""COMPUTED_VALUE"""),174.0)</f>
        <v>174</v>
      </c>
      <c r="U1351" s="87">
        <f>IFERROR(__xludf.DUMMYFUNCTION("""COMPUTED_VALUE"""),167.04)</f>
        <v>167.04</v>
      </c>
      <c r="V1351" s="87">
        <f>IFERROR(__xludf.DUMMYFUNCTION("""COMPUTED_VALUE"""),85.75)</f>
        <v>85.75</v>
      </c>
      <c r="W1351" s="87">
        <f>IFERROR(__xludf.DUMMYFUNCTION("""COMPUTED_VALUE"""),1607.8125)</f>
        <v>1607.8125</v>
      </c>
      <c r="X1351" s="88">
        <f>IFERROR(__xludf.DUMMYFUNCTION("""COMPUTED_VALUE"""),2.386285714285714)</f>
        <v>2.386285714</v>
      </c>
      <c r="Y1351" s="74"/>
      <c r="Z1351" s="74"/>
    </row>
    <row r="1352">
      <c r="B1352" s="74" t="str">
        <f>IFERROR(__xludf.DUMMYFUNCTION("""COMPUTED_VALUE"""),"2349")</f>
        <v>2349</v>
      </c>
      <c r="C1352" s="74" t="str">
        <f>IFERROR(__xludf.DUMMYFUNCTION("""COMPUTED_VALUE"""),"75045880499")</f>
        <v>75045880499</v>
      </c>
      <c r="D1352" s="74" t="str">
        <f>IFERROR(__xludf.DUMMYFUNCTION("""COMPUTED_VALUE"""),"\\MCA-S\mk\2_BM\0_BMat\08_PYM\Inventario\excel\Imagen de refacciones\Wam\vibrador eléctrico tipo houston")</f>
        <v>\\MCA-S\mk\2_BM\0_BMat\08_PYM\Inventario\excel\Imagen de refacciones\Wam\vibrador eléctrico tipo houston</v>
      </c>
      <c r="E1352" s="74"/>
      <c r="F1352" s="74" t="str">
        <f>IFERROR(__xludf.DUMMYFUNCTION("""COMPUTED_VALUE"""),"vibrador eléctrico tipo houston")</f>
        <v>vibrador eléctrico tipo houston</v>
      </c>
      <c r="G1352" s="74"/>
      <c r="H1352" s="74"/>
      <c r="I1352" s="74" t="str">
        <f>IFERROR(__xludf.DUMMYFUNCTION("""COMPUTED_VALUE"""),"VIB-46")</f>
        <v>VIB-46</v>
      </c>
      <c r="J1352" s="74"/>
      <c r="K1352" s="74" t="str">
        <f>IFERROR(__xludf.DUMMYFUNCTION("""COMPUTED_VALUE"""),"WAM")</f>
        <v>WAM</v>
      </c>
      <c r="L1352" s="74" t="str">
        <f>IFERROR(__xludf.DUMMYFUNCTION("""COMPUTED_VALUE"""),"Componentes eléctricos")</f>
        <v>Componentes eléctricos</v>
      </c>
      <c r="M1352" s="74" t="str">
        <f>IFERROR(__xludf.DUMMYFUNCTION("""COMPUTED_VALUE"""),"Sin Asignar")</f>
        <v>Sin Asignar</v>
      </c>
      <c r="N1352" s="87">
        <f>IFERROR(__xludf.DUMMYFUNCTION("""COMPUTED_VALUE"""),0.0)</f>
        <v>0</v>
      </c>
      <c r="O1352" s="74"/>
      <c r="P1352" s="74" t="str">
        <f>IFERROR(__xludf.DUMMYFUNCTION("""COMPUTED_VALUE"""),"No Available")</f>
        <v>No Available</v>
      </c>
      <c r="Q1352" s="74"/>
      <c r="R1352" s="74"/>
      <c r="S1352" s="87">
        <f>IFERROR(__xludf.DUMMYFUNCTION("""COMPUTED_VALUE"""),0.0)</f>
        <v>0</v>
      </c>
      <c r="T1352" s="87">
        <f>IFERROR(__xludf.DUMMYFUNCTION("""COMPUTED_VALUE"""),0.0)</f>
        <v>0</v>
      </c>
      <c r="U1352" s="87">
        <f>IFERROR(__xludf.DUMMYFUNCTION("""COMPUTED_VALUE"""),0.0)</f>
        <v>0</v>
      </c>
      <c r="V1352" s="87">
        <f>IFERROR(__xludf.DUMMYFUNCTION("""COMPUTED_VALUE"""),0.0)</f>
        <v>0</v>
      </c>
      <c r="W1352" s="87">
        <f>IFERROR(__xludf.DUMMYFUNCTION("""COMPUTED_VALUE"""),0.0)</f>
        <v>0</v>
      </c>
      <c r="X1352" s="88"/>
      <c r="Y1352" s="74"/>
      <c r="Z1352" s="74"/>
    </row>
    <row r="1353">
      <c r="B1353" s="74" t="str">
        <f>IFERROR(__xludf.DUMMYFUNCTION("""COMPUTED_VALUE"""),"2350")</f>
        <v>2350</v>
      </c>
      <c r="C1353" s="74" t="str">
        <f>IFERROR(__xludf.DUMMYFUNCTION("""COMPUTED_VALUE"""),"75045880410")</f>
        <v>75045880410</v>
      </c>
      <c r="D1353" s="74" t="str">
        <f>IFERROR(__xludf.DUMMYFUNCTION("""COMPUTED_VALUE"""),"\\MCA-S\mk\2_BM\0_BMat\08_PYM\Inventario\excel\Imagen de refacciones\Wam\vibradores neumáticos")</f>
        <v>\\MCA-S\mk\2_BM\0_BMat\08_PYM\Inventario\excel\Imagen de refacciones\Wam\vibradores neumáticos</v>
      </c>
      <c r="E1353" s="74"/>
      <c r="F1353" s="74" t="str">
        <f>IFERROR(__xludf.DUMMYFUNCTION("""COMPUTED_VALUE"""),"VIBRADOR NEUMATICO - S8 DE 25000 VIB/MIN")</f>
        <v>VIBRADOR NEUMATICO - S8 DE 25000 VIB/MIN</v>
      </c>
      <c r="G1353" s="74"/>
      <c r="H1353" s="74"/>
      <c r="I1353" s="74" t="str">
        <f>IFERROR(__xludf.DUMMYFUNCTION("""COMPUTED_VALUE"""),"S16 DE 13,000 VIB/MIN")</f>
        <v>S16 DE 13,000 VIB/MIN</v>
      </c>
      <c r="J1353" s="74"/>
      <c r="K1353" s="74" t="str">
        <f>IFERROR(__xludf.DUMMYFUNCTION("""COMPUTED_VALUE"""),"WAM")</f>
        <v>WAM</v>
      </c>
      <c r="L1353" s="74" t="str">
        <f>IFERROR(__xludf.DUMMYFUNCTION("""COMPUTED_VALUE"""),"SIN ASIGNAR")</f>
        <v>SIN ASIGNAR</v>
      </c>
      <c r="M1353" s="74" t="str">
        <f>IFERROR(__xludf.DUMMYFUNCTION("""COMPUTED_VALUE"""),"SIN ASIGNAR")</f>
        <v>SIN ASIGNAR</v>
      </c>
      <c r="N1353" s="87">
        <f>IFERROR(__xludf.DUMMYFUNCTION("""COMPUTED_VALUE"""),0.0)</f>
        <v>0</v>
      </c>
      <c r="O1353" s="74"/>
      <c r="P1353" s="74" t="str">
        <f>IFERROR(__xludf.DUMMYFUNCTION("""COMPUTED_VALUE"""),"borrar")</f>
        <v>borrar</v>
      </c>
      <c r="Q1353" s="74"/>
      <c r="R1353" s="74"/>
      <c r="S1353" s="87">
        <f>IFERROR(__xludf.DUMMYFUNCTION("""COMPUTED_VALUE"""),0.0)</f>
        <v>0</v>
      </c>
      <c r="T1353" s="87">
        <f>IFERROR(__xludf.DUMMYFUNCTION("""COMPUTED_VALUE"""),0.0)</f>
        <v>0</v>
      </c>
      <c r="U1353" s="87">
        <f>IFERROR(__xludf.DUMMYFUNCTION("""COMPUTED_VALUE"""),0.0)</f>
        <v>0</v>
      </c>
      <c r="V1353" s="87">
        <f>IFERROR(__xludf.DUMMYFUNCTION("""COMPUTED_VALUE"""),0.0)</f>
        <v>0</v>
      </c>
      <c r="W1353" s="87">
        <f>IFERROR(__xludf.DUMMYFUNCTION("""COMPUTED_VALUE"""),0.0)</f>
        <v>0</v>
      </c>
      <c r="X1353" s="88"/>
      <c r="Y1353" s="74"/>
      <c r="Z1353" s="74"/>
    </row>
    <row r="1354">
      <c r="B1354" s="74" t="str">
        <f>IFERROR(__xludf.DUMMYFUNCTION("""COMPUTED_VALUE"""),"2351")</f>
        <v>2351</v>
      </c>
      <c r="C1354" s="74"/>
      <c r="D1354" s="74" t="str">
        <f>IFERROR(__xludf.DUMMYFUNCTION("""COMPUTED_VALUE"""),"\\MCA-S\mk\2_BM\0_BMat\08_PYM\Inventario\excel\Imagen de refacciones\Wam\vibradores neumáticos")</f>
        <v>\\MCA-S\mk\2_BM\0_BMat\08_PYM\Inventario\excel\Imagen de refacciones\Wam\vibradores neumáticos</v>
      </c>
      <c r="E1354" s="74"/>
      <c r="F1354" s="74" t="str">
        <f>IFERROR(__xludf.DUMMYFUNCTION("""COMPUTED_VALUE"""),"VIBRADOR NEUMATICO S13 DE15000 VIB/MIN")</f>
        <v>VIBRADOR NEUMATICO S13 DE15000 VIB/MIN</v>
      </c>
      <c r="G1354" s="74"/>
      <c r="H1354" s="74"/>
      <c r="I1354" s="74" t="str">
        <f>IFERROR(__xludf.DUMMYFUNCTION("""COMPUTED_VALUE"""),"S13 DE 15,000 VIB/MIN")</f>
        <v>S13 DE 15,000 VIB/MIN</v>
      </c>
      <c r="J1354" s="74"/>
      <c r="K1354" s="74" t="str">
        <f>IFERROR(__xludf.DUMMYFUNCTION("""COMPUTED_VALUE"""),"WAM")</f>
        <v>WAM</v>
      </c>
      <c r="L1354" s="74" t="str">
        <f>IFERROR(__xludf.DUMMYFUNCTION("""COMPUTED_VALUE"""),"SIN ASIGNAR")</f>
        <v>SIN ASIGNAR</v>
      </c>
      <c r="M1354" s="74" t="str">
        <f>IFERROR(__xludf.DUMMYFUNCTION("""COMPUTED_VALUE"""),"SIN ASIGNAR")</f>
        <v>SIN ASIGNAR</v>
      </c>
      <c r="N1354" s="87">
        <f>IFERROR(__xludf.DUMMYFUNCTION("""COMPUTED_VALUE"""),0.0)</f>
        <v>0</v>
      </c>
      <c r="O1354" s="74"/>
      <c r="P1354" s="74" t="str">
        <f>IFERROR(__xludf.DUMMYFUNCTION("""COMPUTED_VALUE"""),"borrar")</f>
        <v>borrar</v>
      </c>
      <c r="Q1354" s="74"/>
      <c r="R1354" s="74"/>
      <c r="S1354" s="87">
        <f>IFERROR(__xludf.DUMMYFUNCTION("""COMPUTED_VALUE"""),0.0)</f>
        <v>0</v>
      </c>
      <c r="T1354" s="87">
        <f>IFERROR(__xludf.DUMMYFUNCTION("""COMPUTED_VALUE"""),0.0)</f>
        <v>0</v>
      </c>
      <c r="U1354" s="87">
        <f>IFERROR(__xludf.DUMMYFUNCTION("""COMPUTED_VALUE"""),0.0)</f>
        <v>0</v>
      </c>
      <c r="V1354" s="87">
        <f>IFERROR(__xludf.DUMMYFUNCTION("""COMPUTED_VALUE"""),0.0)</f>
        <v>0</v>
      </c>
      <c r="W1354" s="87">
        <f>IFERROR(__xludf.DUMMYFUNCTION("""COMPUTED_VALUE"""),0.0)</f>
        <v>0</v>
      </c>
      <c r="X1354" s="88"/>
      <c r="Y1354" s="74"/>
      <c r="Z1354" s="74"/>
    </row>
    <row r="1355">
      <c r="B1355" s="74" t="str">
        <f>IFERROR(__xludf.DUMMYFUNCTION("""COMPUTED_VALUE"""),"2352")</f>
        <v>2352</v>
      </c>
      <c r="C1355" s="74" t="str">
        <f>IFERROR(__xludf.DUMMYFUNCTION("""COMPUTED_VALUE"""),"75045880422")</f>
        <v>75045880422</v>
      </c>
      <c r="D1355" s="74" t="str">
        <f>IFERROR(__xludf.DUMMYFUNCTION("""COMPUTED_VALUE"""),"\\MCA-S\mk\2_BM\0_BMat\08_PYM\Inventario\excel\Imagen de refacciones\Wam\Vibradores neumáticos tipo martillo")</f>
        <v>\\MCA-S\mk\2_BM\0_BMat\08_PYM\Inventario\excel\Imagen de refacciones\Wam\Vibradores neumáticos tipo martillo</v>
      </c>
      <c r="E1355" s="74" t="str">
        <f>IFERROR(__xludf.DUMMYFUNCTION("""COMPUTED_VALUE"""),"PNEUMATIC VIBRATOR 1.0 A 1.5Ns")</f>
        <v>PNEUMATIC VIBRATOR 1.0 A 1.5Ns</v>
      </c>
      <c r="F1355" s="74" t="str">
        <f>IFERROR(__xludf.DUMMYFUNCTION("""COMPUTED_VALUE"""),"VIBRADOR NEUMATICO TIPO MARTILLO: FUERZA DE IMPACTO: 1.0 A 1.5Ns")</f>
        <v>VIBRADOR NEUMATICO TIPO MARTILLO: FUERZA DE IMPACTO: 1.0 A 1.5Ns</v>
      </c>
      <c r="G1355" s="74"/>
      <c r="H1355" s="74"/>
      <c r="I1355" s="74" t="str">
        <f>IFERROR(__xludf.DUMMYFUNCTION("""COMPUTED_VALUE"""),"SK30")</f>
        <v>SK30</v>
      </c>
      <c r="J1355" s="74"/>
      <c r="K1355" s="74" t="str">
        <f>IFERROR(__xludf.DUMMYFUNCTION("""COMPUTED_VALUE"""),"WAM")</f>
        <v>WAM</v>
      </c>
      <c r="L1355" s="74" t="str">
        <f>IFERROR(__xludf.DUMMYFUNCTION("""COMPUTED_VALUE"""),"Componentes neumáticos")</f>
        <v>Componentes neumáticos</v>
      </c>
      <c r="M1355" s="74" t="str">
        <f>IFERROR(__xludf.DUMMYFUNCTION("""COMPUTED_VALUE"""),"Sin Asignar")</f>
        <v>Sin Asignar</v>
      </c>
      <c r="N1355" s="87">
        <f>IFERROR(__xludf.DUMMYFUNCTION("""COMPUTED_VALUE"""),0.0)</f>
        <v>0</v>
      </c>
      <c r="O1355" s="74"/>
      <c r="P1355" s="74" t="str">
        <f>IFERROR(__xludf.DUMMYFUNCTION("""COMPUTED_VALUE"""),"To Re-purchase")</f>
        <v>To Re-purchase</v>
      </c>
      <c r="Q1355" s="74"/>
      <c r="R1355" s="74"/>
      <c r="S1355" s="87">
        <f>IFERROR(__xludf.DUMMYFUNCTION("""COMPUTED_VALUE"""),0.0)</f>
        <v>0</v>
      </c>
      <c r="T1355" s="87">
        <f>IFERROR(__xludf.DUMMYFUNCTION("""COMPUTED_VALUE"""),0.0)</f>
        <v>0</v>
      </c>
      <c r="U1355" s="87">
        <f>IFERROR(__xludf.DUMMYFUNCTION("""COMPUTED_VALUE"""),0.0)</f>
        <v>0</v>
      </c>
      <c r="V1355" s="87">
        <f>IFERROR(__xludf.DUMMYFUNCTION("""COMPUTED_VALUE"""),0.0)</f>
        <v>0</v>
      </c>
      <c r="W1355" s="87">
        <f>IFERROR(__xludf.DUMMYFUNCTION("""COMPUTED_VALUE"""),0.0)</f>
        <v>0</v>
      </c>
      <c r="X1355" s="88"/>
      <c r="Y1355" s="74"/>
      <c r="Z1355" s="74"/>
    </row>
    <row r="1356">
      <c r="B1356" s="74" t="str">
        <f>IFERROR(__xludf.DUMMYFUNCTION("""COMPUTED_VALUE"""),"2353")</f>
        <v>2353</v>
      </c>
      <c r="C1356" s="74" t="str">
        <f>IFERROR(__xludf.DUMMYFUNCTION("""COMPUTED_VALUE"""),"75045880500")</f>
        <v>75045880500</v>
      </c>
      <c r="D1356" s="74" t="str">
        <f>IFERROR(__xludf.DUMMYFUNCTION("""COMPUTED_VALUE"""),"\\MCA-S\mk\2_BM\0_BMat\08_PYM\Inventario\excel\Imagen de refacciones\Wam\Viradores eléctricos 220V, 1Ph, 3000 RPM")</f>
        <v>\\MCA-S\mk\2_BM\0_BMat\08_PYM\Inventario\excel\Imagen de refacciones\Wam\Viradores eléctricos 220V, 1Ph, 3000 RPM</v>
      </c>
      <c r="E1356" s="74"/>
      <c r="F1356" s="74" t="str">
        <f>IFERROR(__xludf.DUMMYFUNCTION("""COMPUTED_VALUE"""),"Viradores eléctricos 220V, 1Ph, 3000 RPM")</f>
        <v>Viradores eléctricos 220V, 1Ph, 3000 RPM</v>
      </c>
      <c r="G1356" s="74"/>
      <c r="H1356" s="74"/>
      <c r="I1356" s="74" t="str">
        <f>IFERROR(__xludf.DUMMYFUNCTION("""COMPUTED_VALUE"""),"MVE 60/3M DE FC: 66KG")</f>
        <v>MVE 60/3M DE FC: 66KG</v>
      </c>
      <c r="J1356" s="74"/>
      <c r="K1356" s="74" t="str">
        <f>IFERROR(__xludf.DUMMYFUNCTION("""COMPUTED_VALUE"""),"WAM")</f>
        <v>WAM</v>
      </c>
      <c r="L1356" s="74" t="str">
        <f>IFERROR(__xludf.DUMMYFUNCTION("""COMPUTED_VALUE"""),"Componentes neumáticos")</f>
        <v>Componentes neumáticos</v>
      </c>
      <c r="M1356" s="74" t="str">
        <f>IFERROR(__xludf.DUMMYFUNCTION("""COMPUTED_VALUE"""),"Sin Asignar")</f>
        <v>Sin Asignar</v>
      </c>
      <c r="N1356" s="87">
        <f>IFERROR(__xludf.DUMMYFUNCTION("""COMPUTED_VALUE"""),0.0)</f>
        <v>0</v>
      </c>
      <c r="O1356" s="74"/>
      <c r="P1356" s="74" t="str">
        <f>IFERROR(__xludf.DUMMYFUNCTION("""COMPUTED_VALUE"""),"No Available")</f>
        <v>No Available</v>
      </c>
      <c r="Q1356" s="74"/>
      <c r="R1356" s="74"/>
      <c r="S1356" s="87">
        <f>IFERROR(__xludf.DUMMYFUNCTION("""COMPUTED_VALUE"""),0.0)</f>
        <v>0</v>
      </c>
      <c r="T1356" s="87">
        <f>IFERROR(__xludf.DUMMYFUNCTION("""COMPUTED_VALUE"""),0.0)</f>
        <v>0</v>
      </c>
      <c r="U1356" s="87">
        <f>IFERROR(__xludf.DUMMYFUNCTION("""COMPUTED_VALUE"""),0.0)</f>
        <v>0</v>
      </c>
      <c r="V1356" s="87">
        <f>IFERROR(__xludf.DUMMYFUNCTION("""COMPUTED_VALUE"""),0.0)</f>
        <v>0</v>
      </c>
      <c r="W1356" s="87">
        <f>IFERROR(__xludf.DUMMYFUNCTION("""COMPUTED_VALUE"""),0.0)</f>
        <v>0</v>
      </c>
      <c r="X1356" s="88"/>
      <c r="Y1356" s="74"/>
      <c r="Z1356" s="74"/>
    </row>
    <row r="1357">
      <c r="B1357" s="74" t="str">
        <f>IFERROR(__xludf.DUMMYFUNCTION("""COMPUTED_VALUE"""),"2354")</f>
        <v>2354</v>
      </c>
      <c r="C1357" s="74"/>
      <c r="D1357" s="74"/>
      <c r="E1357" s="74" t="str">
        <f>IFERROR(__xludf.DUMMYFUNCTION("""COMPUTED_VALUE"""),"Schwing Wear Ring DN200")</f>
        <v>Schwing Wear Ring DN200</v>
      </c>
      <c r="F1357" s="74" t="str">
        <f>IFERROR(__xludf.DUMMYFUNCTION("""COMPUTED_VALUE"""),"Anillo de desgaste DN200")</f>
        <v>Anillo de desgaste DN200</v>
      </c>
      <c r="G1357" s="74"/>
      <c r="H1357" s="74"/>
      <c r="I1357" s="74"/>
      <c r="J1357" s="74"/>
      <c r="K1357" s="74" t="str">
        <f>IFERROR(__xludf.DUMMYFUNCTION("""COMPUTED_VALUE"""),"Putzmeister")</f>
        <v>Putzmeister</v>
      </c>
      <c r="L1357" s="74"/>
      <c r="M1357" s="74" t="str">
        <f>IFERROR(__xludf.DUMMYFUNCTION("""COMPUTED_VALUE"""),"Sin Asignar")</f>
        <v>Sin Asignar</v>
      </c>
      <c r="N1357" s="87">
        <f>IFERROR(__xludf.DUMMYFUNCTION("""COMPUTED_VALUE"""),0.0)</f>
        <v>0</v>
      </c>
      <c r="O1357" s="74">
        <f>IFERROR(__xludf.DUMMYFUNCTION("""COMPUTED_VALUE"""),0.0)</f>
        <v>0</v>
      </c>
      <c r="P1357" s="74" t="str">
        <f>IFERROR(__xludf.DUMMYFUNCTION("""COMPUTED_VALUE"""),"borrar")</f>
        <v>borrar</v>
      </c>
      <c r="Q1357" s="74"/>
      <c r="R1357" s="74"/>
      <c r="S1357" s="87">
        <f>IFERROR(__xludf.DUMMYFUNCTION("""COMPUTED_VALUE"""),0.0)</f>
        <v>0</v>
      </c>
      <c r="T1357" s="87">
        <f>IFERROR(__xludf.DUMMYFUNCTION("""COMPUTED_VALUE"""),0.0)</f>
        <v>0</v>
      </c>
      <c r="U1357" s="87">
        <f>IFERROR(__xludf.DUMMYFUNCTION("""COMPUTED_VALUE"""),0.0)</f>
        <v>0</v>
      </c>
      <c r="V1357" s="87">
        <f>IFERROR(__xludf.DUMMYFUNCTION("""COMPUTED_VALUE"""),0.0)</f>
        <v>0</v>
      </c>
      <c r="W1357" s="87">
        <f>IFERROR(__xludf.DUMMYFUNCTION("""COMPUTED_VALUE"""),0.0)</f>
        <v>0</v>
      </c>
      <c r="X1357" s="88"/>
      <c r="Y1357" s="74"/>
      <c r="Z1357" s="74"/>
    </row>
    <row r="1358">
      <c r="B1358" s="74" t="str">
        <f>IFERROR(__xludf.DUMMYFUNCTION("""COMPUTED_VALUE"""),"2355")</f>
        <v>2355</v>
      </c>
      <c r="C1358" s="74" t="str">
        <f>IFERROR(__xludf.DUMMYFUNCTION("""COMPUTED_VALUE"""),"75045880560")</f>
        <v>75045880560</v>
      </c>
      <c r="D1358" s="74"/>
      <c r="E1358" s="74"/>
      <c r="F1358" s="74" t="str">
        <f>IFERROR(__xludf.DUMMYFUNCTION("""COMPUTED_VALUE"""),"Anillo de desgaste DN200 fundicion - Schwing Wear Ring DN200 Casting")</f>
        <v>Anillo de desgaste DN200 fundicion - Schwing Wear Ring DN200 Casting</v>
      </c>
      <c r="G1358" s="74"/>
      <c r="H1358" s="74"/>
      <c r="I1358" s="74"/>
      <c r="J1358" s="74" t="str">
        <f>IFERROR(__xludf.DUMMYFUNCTION("""COMPUTED_VALUE"""),"261123001")</f>
        <v>261123001</v>
      </c>
      <c r="K1358" s="74"/>
      <c r="L1358" s="74"/>
      <c r="M1358" s="74" t="str">
        <f>IFERROR(__xludf.DUMMYFUNCTION("""COMPUTED_VALUE"""),"Sin Asignar")</f>
        <v>Sin Asignar</v>
      </c>
      <c r="N1358" s="87">
        <f>IFERROR(__xludf.DUMMYFUNCTION("""COMPUTED_VALUE"""),0.0)</f>
        <v>0</v>
      </c>
      <c r="O1358" s="74"/>
      <c r="P1358" s="74" t="str">
        <f>IFERROR(__xludf.DUMMYFUNCTION("""COMPUTED_VALUE"""),"borrar")</f>
        <v>borrar</v>
      </c>
      <c r="Q1358" s="74"/>
      <c r="R1358" s="74"/>
      <c r="S1358" s="87">
        <f>IFERROR(__xludf.DUMMYFUNCTION("""COMPUTED_VALUE"""),0.0)</f>
        <v>0</v>
      </c>
      <c r="T1358" s="87">
        <f>IFERROR(__xludf.DUMMYFUNCTION("""COMPUTED_VALUE"""),0.0)</f>
        <v>0</v>
      </c>
      <c r="U1358" s="87">
        <f>IFERROR(__xludf.DUMMYFUNCTION("""COMPUTED_VALUE"""),0.0)</f>
        <v>0</v>
      </c>
      <c r="V1358" s="87">
        <f>IFERROR(__xludf.DUMMYFUNCTION("""COMPUTED_VALUE"""),0.0)</f>
        <v>0</v>
      </c>
      <c r="W1358" s="87">
        <f>IFERROR(__xludf.DUMMYFUNCTION("""COMPUTED_VALUE"""),0.0)</f>
        <v>0</v>
      </c>
      <c r="X1358" s="88"/>
      <c r="Y1358" s="74"/>
      <c r="Z1358" s="74"/>
    </row>
    <row r="1359">
      <c r="B1359" s="74" t="str">
        <f>IFERROR(__xludf.DUMMYFUNCTION("""COMPUTED_VALUE"""),"2356")</f>
        <v>2356</v>
      </c>
      <c r="C1359" s="74"/>
      <c r="D1359" s="74"/>
      <c r="E1359" s="74"/>
      <c r="F1359" s="74" t="str">
        <f>IFERROR(__xludf.DUMMYFUNCTION("""COMPUTED_VALUE"""),"ANILLO DE DESGASTE DN PARA BOMBA DE HORMIGON")</f>
        <v>ANILLO DE DESGASTE DN PARA BOMBA DE HORMIGON</v>
      </c>
      <c r="G1359" s="74"/>
      <c r="H1359" s="74"/>
      <c r="I1359" s="74"/>
      <c r="J1359" s="74"/>
      <c r="K1359" s="74"/>
      <c r="L1359" s="74"/>
      <c r="M1359" s="74" t="str">
        <f>IFERROR(__xludf.DUMMYFUNCTION("""COMPUTED_VALUE"""),"Sin Asignar")</f>
        <v>Sin Asignar</v>
      </c>
      <c r="N1359" s="87">
        <f>IFERROR(__xludf.DUMMYFUNCTION("""COMPUTED_VALUE"""),0.0)</f>
        <v>0</v>
      </c>
      <c r="O1359" s="74"/>
      <c r="P1359" s="74" t="str">
        <f>IFERROR(__xludf.DUMMYFUNCTION("""COMPUTED_VALUE"""),"No Available")</f>
        <v>No Available</v>
      </c>
      <c r="Q1359" s="74"/>
      <c r="R1359" s="74"/>
      <c r="S1359" s="87">
        <f>IFERROR(__xludf.DUMMYFUNCTION("""COMPUTED_VALUE"""),0.0)</f>
        <v>0</v>
      </c>
      <c r="T1359" s="87">
        <f>IFERROR(__xludf.DUMMYFUNCTION("""COMPUTED_VALUE"""),0.0)</f>
        <v>0</v>
      </c>
      <c r="U1359" s="87">
        <f>IFERROR(__xludf.DUMMYFUNCTION("""COMPUTED_VALUE"""),0.0)</f>
        <v>0</v>
      </c>
      <c r="V1359" s="87">
        <f>IFERROR(__xludf.DUMMYFUNCTION("""COMPUTED_VALUE"""),0.0)</f>
        <v>0</v>
      </c>
      <c r="W1359" s="87">
        <f>IFERROR(__xludf.DUMMYFUNCTION("""COMPUTED_VALUE"""),0.0)</f>
        <v>0</v>
      </c>
      <c r="X1359" s="88"/>
      <c r="Y1359" s="74"/>
      <c r="Z1359" s="74"/>
    </row>
    <row r="1360">
      <c r="B1360" s="74" t="str">
        <f>IFERROR(__xludf.DUMMYFUNCTION("""COMPUTED_VALUE"""),"2357")</f>
        <v>2357</v>
      </c>
      <c r="C1360" s="74"/>
      <c r="D1360" s="74"/>
      <c r="E1360" s="74"/>
      <c r="F1360" s="74" t="str">
        <f>IFERROR(__xludf.DUMMYFUNCTION("""COMPUTED_VALUE"""),"ANILLO DE DESGASTE DN PARA BOMBA DE HORMIGON")</f>
        <v>ANILLO DE DESGASTE DN PARA BOMBA DE HORMIGON</v>
      </c>
      <c r="G1360" s="74"/>
      <c r="H1360" s="74"/>
      <c r="I1360" s="74"/>
      <c r="J1360" s="74"/>
      <c r="K1360" s="74"/>
      <c r="L1360" s="74"/>
      <c r="M1360" s="74" t="str">
        <f>IFERROR(__xludf.DUMMYFUNCTION("""COMPUTED_VALUE"""),"Sin Asignar")</f>
        <v>Sin Asignar</v>
      </c>
      <c r="N1360" s="87">
        <f>IFERROR(__xludf.DUMMYFUNCTION("""COMPUTED_VALUE"""),0.0)</f>
        <v>0</v>
      </c>
      <c r="O1360" s="74"/>
      <c r="P1360" s="74" t="str">
        <f>IFERROR(__xludf.DUMMYFUNCTION("""COMPUTED_VALUE"""),"No Available")</f>
        <v>No Available</v>
      </c>
      <c r="Q1360" s="74"/>
      <c r="R1360" s="74"/>
      <c r="S1360" s="87">
        <f>IFERROR(__xludf.DUMMYFUNCTION("""COMPUTED_VALUE"""),0.0)</f>
        <v>0</v>
      </c>
      <c r="T1360" s="87">
        <f>IFERROR(__xludf.DUMMYFUNCTION("""COMPUTED_VALUE"""),0.0)</f>
        <v>0</v>
      </c>
      <c r="U1360" s="87">
        <f>IFERROR(__xludf.DUMMYFUNCTION("""COMPUTED_VALUE"""),0.0)</f>
        <v>0</v>
      </c>
      <c r="V1360" s="87">
        <f>IFERROR(__xludf.DUMMYFUNCTION("""COMPUTED_VALUE"""),0.0)</f>
        <v>0</v>
      </c>
      <c r="W1360" s="87">
        <f>IFERROR(__xludf.DUMMYFUNCTION("""COMPUTED_VALUE"""),0.0)</f>
        <v>0</v>
      </c>
      <c r="X1360" s="88"/>
      <c r="Y1360" s="74"/>
      <c r="Z1360" s="74"/>
    </row>
    <row r="1361">
      <c r="B1361" s="74" t="str">
        <f>IFERROR(__xludf.DUMMYFUNCTION("""COMPUTED_VALUE"""),"2358")</f>
        <v>2358</v>
      </c>
      <c r="C1361" s="74"/>
      <c r="D1361" s="74" t="str">
        <f>IFERROR(__xludf.DUMMYFUNCTION("""COMPUTED_VALUE"""),"\\MCA-S\mk\2_BM\0_BMat\08_PYM\Inventario\excel\Imagen de refacciones\Ollas revolvedoras\Axiel Fan for Oil Cooler 10_ _ Ventilador Axial para Enfriador de Aceite 10_")</f>
        <v>\\MCA-S\mk\2_BM\0_BMat\08_PYM\Inventario\excel\Imagen de refacciones\Ollas revolvedoras\Axiel Fan for Oil Cooler 10_ _ Ventilador Axial para Enfriador de Aceite 10_</v>
      </c>
      <c r="E1361" s="74"/>
      <c r="F1361" s="74" t="str">
        <f>IFERROR(__xludf.DUMMYFUNCTION("""COMPUTED_VALUE"""),"Axiel Fan for Oil Cooler 10"" / Ventilador Axial para Enfriador de Aceite 10""")</f>
        <v>Axiel Fan for Oil Cooler 10" / Ventilador Axial para Enfriador de Aceite 10"</v>
      </c>
      <c r="G1361" s="74"/>
      <c r="H1361" s="74"/>
      <c r="I1361" s="74" t="str">
        <f>IFERROR(__xludf.DUMMYFUNCTION("""COMPUTED_VALUE"""),"MIX10101")</f>
        <v>MIX10101</v>
      </c>
      <c r="J1361" s="74"/>
      <c r="K1361" s="74"/>
      <c r="L1361" s="74" t="str">
        <f>IFERROR(__xludf.DUMMYFUNCTION("""COMPUTED_VALUE"""),"Componentes Hidráulicos")</f>
        <v>Componentes Hidráulicos</v>
      </c>
      <c r="M1361" s="74" t="str">
        <f>IFERROR(__xludf.DUMMYFUNCTION("""COMPUTED_VALUE"""),"Sin Asignar")</f>
        <v>Sin Asignar</v>
      </c>
      <c r="N1361" s="87">
        <f>IFERROR(__xludf.DUMMYFUNCTION("""COMPUTED_VALUE"""),0.0)</f>
        <v>0</v>
      </c>
      <c r="O1361" s="74"/>
      <c r="P1361" s="74" t="str">
        <f>IFERROR(__xludf.DUMMYFUNCTION("""COMPUTED_VALUE"""),"No Available")</f>
        <v>No Available</v>
      </c>
      <c r="Q1361" s="74"/>
      <c r="R1361" s="74"/>
      <c r="S1361" s="87">
        <f>IFERROR(__xludf.DUMMYFUNCTION("""COMPUTED_VALUE"""),0.0)</f>
        <v>0</v>
      </c>
      <c r="T1361" s="87">
        <f>IFERROR(__xludf.DUMMYFUNCTION("""COMPUTED_VALUE"""),0.0)</f>
        <v>0</v>
      </c>
      <c r="U1361" s="87">
        <f>IFERROR(__xludf.DUMMYFUNCTION("""COMPUTED_VALUE"""),0.0)</f>
        <v>0</v>
      </c>
      <c r="V1361" s="87">
        <f>IFERROR(__xludf.DUMMYFUNCTION("""COMPUTED_VALUE"""),0.0)</f>
        <v>0</v>
      </c>
      <c r="W1361" s="87">
        <f>IFERROR(__xludf.DUMMYFUNCTION("""COMPUTED_VALUE"""),0.0)</f>
        <v>0</v>
      </c>
      <c r="X1361" s="88"/>
      <c r="Y1361" s="74"/>
      <c r="Z1361" s="74"/>
    </row>
    <row r="1362">
      <c r="B1362" s="74" t="str">
        <f>IFERROR(__xludf.DUMMYFUNCTION("""COMPUTED_VALUE"""),"2359")</f>
        <v>2359</v>
      </c>
      <c r="C1362" s="74"/>
      <c r="D1362" s="74" t="str">
        <f>IFERROR(__xludf.DUMMYFUNCTION("""COMPUTED_VALUE"""),"\\MCA-S\mk\2_BM\0_BMat\08_PYM\Inventario\excel\Imagen de refacciones\Ollas revolvedoras\Axiel Fan for Oil Cooler 11_ _ Ventilador Axial para Enfriador de Aceite 11_")</f>
        <v>\\MCA-S\mk\2_BM\0_BMat\08_PYM\Inventario\excel\Imagen de refacciones\Ollas revolvedoras\Axiel Fan for Oil Cooler 11_ _ Ventilador Axial para Enfriador de Aceite 11_</v>
      </c>
      <c r="E1362" s="74"/>
      <c r="F1362" s="74" t="str">
        <f>IFERROR(__xludf.DUMMYFUNCTION("""COMPUTED_VALUE"""),"Axiel Fan for Oil Cooler 11"" / Ventilador Axial para Enfriador de Aceite 11""")</f>
        <v>Axiel Fan for Oil Cooler 11" / Ventilador Axial para Enfriador de Aceite 11"</v>
      </c>
      <c r="G1362" s="74"/>
      <c r="H1362" s="74"/>
      <c r="I1362" s="74" t="str">
        <f>IFERROR(__xludf.DUMMYFUNCTION("""COMPUTED_VALUE"""),"MIX10102")</f>
        <v>MIX10102</v>
      </c>
      <c r="J1362" s="74"/>
      <c r="K1362" s="74"/>
      <c r="L1362" s="74" t="str">
        <f>IFERROR(__xludf.DUMMYFUNCTION("""COMPUTED_VALUE"""),"Componentes Hidráulicos")</f>
        <v>Componentes Hidráulicos</v>
      </c>
      <c r="M1362" s="74" t="str">
        <f>IFERROR(__xludf.DUMMYFUNCTION("""COMPUTED_VALUE"""),"Sin Asignar")</f>
        <v>Sin Asignar</v>
      </c>
      <c r="N1362" s="87">
        <f>IFERROR(__xludf.DUMMYFUNCTION("""COMPUTED_VALUE"""),0.0)</f>
        <v>0</v>
      </c>
      <c r="O1362" s="74"/>
      <c r="P1362" s="74" t="str">
        <f>IFERROR(__xludf.DUMMYFUNCTION("""COMPUTED_VALUE"""),"No Available")</f>
        <v>No Available</v>
      </c>
      <c r="Q1362" s="74"/>
      <c r="R1362" s="74"/>
      <c r="S1362" s="87">
        <f>IFERROR(__xludf.DUMMYFUNCTION("""COMPUTED_VALUE"""),0.0)</f>
        <v>0</v>
      </c>
      <c r="T1362" s="87">
        <f>IFERROR(__xludf.DUMMYFUNCTION("""COMPUTED_VALUE"""),0.0)</f>
        <v>0</v>
      </c>
      <c r="U1362" s="87">
        <f>IFERROR(__xludf.DUMMYFUNCTION("""COMPUTED_VALUE"""),0.0)</f>
        <v>0</v>
      </c>
      <c r="V1362" s="87">
        <f>IFERROR(__xludf.DUMMYFUNCTION("""COMPUTED_VALUE"""),0.0)</f>
        <v>0</v>
      </c>
      <c r="W1362" s="87">
        <f>IFERROR(__xludf.DUMMYFUNCTION("""COMPUTED_VALUE"""),0.0)</f>
        <v>0</v>
      </c>
      <c r="X1362" s="88"/>
      <c r="Y1362" s="74"/>
      <c r="Z1362" s="74"/>
    </row>
    <row r="1363">
      <c r="B1363" s="74" t="str">
        <f>IFERROR(__xludf.DUMMYFUNCTION("""COMPUTED_VALUE"""),"2360")</f>
        <v>2360</v>
      </c>
      <c r="C1363" s="74"/>
      <c r="D1363" s="74" t="str">
        <f>IFERROR(__xludf.DUMMYFUNCTION("""COMPUTED_VALUE"""),"\\MCA-S\mk\2_BM\0_BMat\08_PYM\Inventario\excel\Imagen de refacciones\Ollas revolvedoras\Axiel Fan for Oil Cooler 12_ _ Ventilador Axial para Enfriador de Aceite 12_")</f>
        <v>\\MCA-S\mk\2_BM\0_BMat\08_PYM\Inventario\excel\Imagen de refacciones\Ollas revolvedoras\Axiel Fan for Oil Cooler 12_ _ Ventilador Axial para Enfriador de Aceite 12_</v>
      </c>
      <c r="E1363" s="74"/>
      <c r="F1363" s="74" t="str">
        <f>IFERROR(__xludf.DUMMYFUNCTION("""COMPUTED_VALUE"""),"Axiel Fan for Oil Cooler 12"" / Ventilador Axial para Enfriador de Aceite 12""")</f>
        <v>Axiel Fan for Oil Cooler 12" / Ventilador Axial para Enfriador de Aceite 12"</v>
      </c>
      <c r="G1363" s="74"/>
      <c r="H1363" s="74"/>
      <c r="I1363" s="74" t="str">
        <f>IFERROR(__xludf.DUMMYFUNCTION("""COMPUTED_VALUE"""),"MIX10103")</f>
        <v>MIX10103</v>
      </c>
      <c r="J1363" s="74"/>
      <c r="K1363" s="74"/>
      <c r="L1363" s="74" t="str">
        <f>IFERROR(__xludf.DUMMYFUNCTION("""COMPUTED_VALUE"""),"Componentes Hidráulicos")</f>
        <v>Componentes Hidráulicos</v>
      </c>
      <c r="M1363" s="74" t="str">
        <f>IFERROR(__xludf.DUMMYFUNCTION("""COMPUTED_VALUE"""),"Sin Asignar")</f>
        <v>Sin Asignar</v>
      </c>
      <c r="N1363" s="87">
        <f>IFERROR(__xludf.DUMMYFUNCTION("""COMPUTED_VALUE"""),0.0)</f>
        <v>0</v>
      </c>
      <c r="O1363" s="74"/>
      <c r="P1363" s="74" t="str">
        <f>IFERROR(__xludf.DUMMYFUNCTION("""COMPUTED_VALUE"""),"No Available")</f>
        <v>No Available</v>
      </c>
      <c r="Q1363" s="74"/>
      <c r="R1363" s="74"/>
      <c r="S1363" s="87">
        <f>IFERROR(__xludf.DUMMYFUNCTION("""COMPUTED_VALUE"""),0.0)</f>
        <v>0</v>
      </c>
      <c r="T1363" s="87">
        <f>IFERROR(__xludf.DUMMYFUNCTION("""COMPUTED_VALUE"""),0.0)</f>
        <v>0</v>
      </c>
      <c r="U1363" s="87">
        <f>IFERROR(__xludf.DUMMYFUNCTION("""COMPUTED_VALUE"""),0.0)</f>
        <v>0</v>
      </c>
      <c r="V1363" s="87">
        <f>IFERROR(__xludf.DUMMYFUNCTION("""COMPUTED_VALUE"""),0.0)</f>
        <v>0</v>
      </c>
      <c r="W1363" s="87">
        <f>IFERROR(__xludf.DUMMYFUNCTION("""COMPUTED_VALUE"""),0.0)</f>
        <v>0</v>
      </c>
      <c r="X1363" s="88"/>
      <c r="Y1363" s="74"/>
      <c r="Z1363" s="74"/>
    </row>
    <row r="1364">
      <c r="B1364" s="74" t="str">
        <f>IFERROR(__xludf.DUMMYFUNCTION("""COMPUTED_VALUE"""),"2361")</f>
        <v>2361</v>
      </c>
      <c r="C1364" s="74"/>
      <c r="D1364" s="74" t="str">
        <f>IFERROR(__xludf.DUMMYFUNCTION("""COMPUTED_VALUE"""),"\\MCA-S\mk\2_BM\0_BMat\08_PYM\Inventario\excel\Imagen de refacciones\Ollas revolvedoras\Balance Ball _ Bola de Equilibrio")</f>
        <v>\\MCA-S\mk\2_BM\0_BMat\08_PYM\Inventario\excel\Imagen de refacciones\Ollas revolvedoras\Balance Ball _ Bola de Equilibrio</v>
      </c>
      <c r="E1364" s="74"/>
      <c r="F1364" s="74" t="str">
        <f>IFERROR(__xludf.DUMMYFUNCTION("""COMPUTED_VALUE"""),"Balance Ball / Bola de Equilibrio")</f>
        <v>Balance Ball / Bola de Equilibrio</v>
      </c>
      <c r="G1364" s="74"/>
      <c r="H1364" s="74"/>
      <c r="I1364" s="74" t="str">
        <f>IFERROR(__xludf.DUMMYFUNCTION("""COMPUTED_VALUE"""),"MIX10154")</f>
        <v>MIX10154</v>
      </c>
      <c r="J1364" s="74"/>
      <c r="K1364" s="74"/>
      <c r="L1364" s="74" t="str">
        <f>IFERROR(__xludf.DUMMYFUNCTION("""COMPUTED_VALUE"""),"Componentes de Transmisión")</f>
        <v>Componentes de Transmisión</v>
      </c>
      <c r="M1364" s="74" t="str">
        <f>IFERROR(__xludf.DUMMYFUNCTION("""COMPUTED_VALUE"""),"Sin Asignar")</f>
        <v>Sin Asignar</v>
      </c>
      <c r="N1364" s="87">
        <f>IFERROR(__xludf.DUMMYFUNCTION("""COMPUTED_VALUE"""),0.0)</f>
        <v>0</v>
      </c>
      <c r="O1364" s="74"/>
      <c r="P1364" s="74" t="str">
        <f>IFERROR(__xludf.DUMMYFUNCTION("""COMPUTED_VALUE"""),"No Available")</f>
        <v>No Available</v>
      </c>
      <c r="Q1364" s="74"/>
      <c r="R1364" s="74"/>
      <c r="S1364" s="87">
        <f>IFERROR(__xludf.DUMMYFUNCTION("""COMPUTED_VALUE"""),0.0)</f>
        <v>0</v>
      </c>
      <c r="T1364" s="87">
        <f>IFERROR(__xludf.DUMMYFUNCTION("""COMPUTED_VALUE"""),0.0)</f>
        <v>0</v>
      </c>
      <c r="U1364" s="87">
        <f>IFERROR(__xludf.DUMMYFUNCTION("""COMPUTED_VALUE"""),0.0)</f>
        <v>0</v>
      </c>
      <c r="V1364" s="87">
        <f>IFERROR(__xludf.DUMMYFUNCTION("""COMPUTED_VALUE"""),0.0)</f>
        <v>0</v>
      </c>
      <c r="W1364" s="87">
        <f>IFERROR(__xludf.DUMMYFUNCTION("""COMPUTED_VALUE"""),0.0)</f>
        <v>0</v>
      </c>
      <c r="X1364" s="88"/>
      <c r="Y1364" s="74"/>
      <c r="Z1364" s="74"/>
    </row>
    <row r="1365">
      <c r="B1365" s="74" t="str">
        <f>IFERROR(__xludf.DUMMYFUNCTION("""COMPUTED_VALUE"""),"2362")</f>
        <v>2362</v>
      </c>
      <c r="C1365" s="74"/>
      <c r="D1365" s="74" t="str">
        <f>IFERROR(__xludf.DUMMYFUNCTION("""COMPUTED_VALUE"""),"\\MCA-S\mk\2_BM\0_BMat\08_PYM\Inventario\excel\Imagen de refacciones\Ollas revolvedoras\Bearing 6305 _ Rodamiento 6305")</f>
        <v>\\MCA-S\mk\2_BM\0_BMat\08_PYM\Inventario\excel\Imagen de refacciones\Ollas revolvedoras\Bearing 6305 _ Rodamiento 6305</v>
      </c>
      <c r="E1365" s="74"/>
      <c r="F1365" s="74" t="str">
        <f>IFERROR(__xludf.DUMMYFUNCTION("""COMPUTED_VALUE"""),"Bearing 6305 / Rodamiento 6305")</f>
        <v>Bearing 6305 / Rodamiento 6305</v>
      </c>
      <c r="G1365" s="74"/>
      <c r="H1365" s="74"/>
      <c r="I1365" s="74" t="str">
        <f>IFERROR(__xludf.DUMMYFUNCTION("""COMPUTED_VALUE"""),"MIX10011")</f>
        <v>MIX10011</v>
      </c>
      <c r="J1365" s="74"/>
      <c r="K1365" s="74"/>
      <c r="L1365" s="74" t="str">
        <f>IFERROR(__xludf.DUMMYFUNCTION("""COMPUTED_VALUE"""),"Transmisión Mecánica")</f>
        <v>Transmisión Mecánica</v>
      </c>
      <c r="M1365" s="74" t="str">
        <f>IFERROR(__xludf.DUMMYFUNCTION("""COMPUTED_VALUE"""),"Sin Asignar")</f>
        <v>Sin Asignar</v>
      </c>
      <c r="N1365" s="87">
        <f>IFERROR(__xludf.DUMMYFUNCTION("""COMPUTED_VALUE"""),0.0)</f>
        <v>0</v>
      </c>
      <c r="O1365" s="74"/>
      <c r="P1365" s="74" t="str">
        <f>IFERROR(__xludf.DUMMYFUNCTION("""COMPUTED_VALUE"""),"No Available")</f>
        <v>No Available</v>
      </c>
      <c r="Q1365" s="74"/>
      <c r="R1365" s="74"/>
      <c r="S1365" s="87">
        <f>IFERROR(__xludf.DUMMYFUNCTION("""COMPUTED_VALUE"""),0.0)</f>
        <v>0</v>
      </c>
      <c r="T1365" s="87">
        <f>IFERROR(__xludf.DUMMYFUNCTION("""COMPUTED_VALUE"""),0.0)</f>
        <v>0</v>
      </c>
      <c r="U1365" s="87">
        <f>IFERROR(__xludf.DUMMYFUNCTION("""COMPUTED_VALUE"""),0.0)</f>
        <v>0</v>
      </c>
      <c r="V1365" s="87">
        <f>IFERROR(__xludf.DUMMYFUNCTION("""COMPUTED_VALUE"""),0.0)</f>
        <v>0</v>
      </c>
      <c r="W1365" s="87">
        <f>IFERROR(__xludf.DUMMYFUNCTION("""COMPUTED_VALUE"""),0.0)</f>
        <v>0</v>
      </c>
      <c r="X1365" s="88"/>
      <c r="Y1365" s="74"/>
      <c r="Z1365" s="74"/>
    </row>
    <row r="1366">
      <c r="B1366" s="74" t="str">
        <f>IFERROR(__xludf.DUMMYFUNCTION("""COMPUTED_VALUE"""),"2363")</f>
        <v>2363</v>
      </c>
      <c r="C1366" s="74"/>
      <c r="D1366" s="74" t="str">
        <f>IFERROR(__xludf.DUMMYFUNCTION("""COMPUTED_VALUE"""),"\\MCA-S\mk\2_BM\0_BMat\08_PYM\Inventario\excel\Imagen de refacciones\Ollas revolvedoras\Cable 10 MT. _ Cable 10 MT.")</f>
        <v>\\MCA-S\mk\2_BM\0_BMat\08_PYM\Inventario\excel\Imagen de refacciones\Ollas revolvedoras\Cable 10 MT. _ Cable 10 MT.</v>
      </c>
      <c r="E1366" s="74"/>
      <c r="F1366" s="74" t="str">
        <f>IFERROR(__xludf.DUMMYFUNCTION("""COMPUTED_VALUE"""),"Cable 10 MT. / Cable 10 MT.")</f>
        <v>Cable 10 MT. / Cable 10 MT.</v>
      </c>
      <c r="G1366" s="74"/>
      <c r="H1366" s="74"/>
      <c r="I1366" s="74" t="str">
        <f>IFERROR(__xludf.DUMMYFUNCTION("""COMPUTED_VALUE"""),"MIX10043")</f>
        <v>MIX10043</v>
      </c>
      <c r="J1366" s="74"/>
      <c r="K1366" s="74"/>
      <c r="L1366" s="74" t="str">
        <f>IFERROR(__xludf.DUMMYFUNCTION("""COMPUTED_VALUE"""),"Componentes Eléctricos")</f>
        <v>Componentes Eléctricos</v>
      </c>
      <c r="M1366" s="74" t="str">
        <f>IFERROR(__xludf.DUMMYFUNCTION("""COMPUTED_VALUE"""),"Sin Asignar")</f>
        <v>Sin Asignar</v>
      </c>
      <c r="N1366" s="87">
        <f>IFERROR(__xludf.DUMMYFUNCTION("""COMPUTED_VALUE"""),0.0)</f>
        <v>0</v>
      </c>
      <c r="O1366" s="74"/>
      <c r="P1366" s="74" t="str">
        <f>IFERROR(__xludf.DUMMYFUNCTION("""COMPUTED_VALUE"""),"No Available")</f>
        <v>No Available</v>
      </c>
      <c r="Q1366" s="74"/>
      <c r="R1366" s="74"/>
      <c r="S1366" s="87">
        <f>IFERROR(__xludf.DUMMYFUNCTION("""COMPUTED_VALUE"""),0.0)</f>
        <v>0</v>
      </c>
      <c r="T1366" s="87">
        <f>IFERROR(__xludf.DUMMYFUNCTION("""COMPUTED_VALUE"""),0.0)</f>
        <v>0</v>
      </c>
      <c r="U1366" s="87">
        <f>IFERROR(__xludf.DUMMYFUNCTION("""COMPUTED_VALUE"""),0.0)</f>
        <v>0</v>
      </c>
      <c r="V1366" s="87">
        <f>IFERROR(__xludf.DUMMYFUNCTION("""COMPUTED_VALUE"""),0.0)</f>
        <v>0</v>
      </c>
      <c r="W1366" s="87">
        <f>IFERROR(__xludf.DUMMYFUNCTION("""COMPUTED_VALUE"""),0.0)</f>
        <v>0</v>
      </c>
      <c r="X1366" s="88"/>
      <c r="Y1366" s="74"/>
      <c r="Z1366" s="74"/>
    </row>
    <row r="1367">
      <c r="B1367" s="74" t="str">
        <f>IFERROR(__xludf.DUMMYFUNCTION("""COMPUTED_VALUE"""),"2364")</f>
        <v>2364</v>
      </c>
      <c r="C1367" s="74"/>
      <c r="D1367" s="74" t="str">
        <f>IFERROR(__xludf.DUMMYFUNCTION("""COMPUTED_VALUE"""),"\\MCA-S\mk\2_BM\0_BMat\08_PYM\Inventario\excel\Imagen de refacciones\Ollas revolvedoras\Cable 10,5 MT. _ Cable 10,5 MT.")</f>
        <v>\\MCA-S\mk\2_BM\0_BMat\08_PYM\Inventario\excel\Imagen de refacciones\Ollas revolvedoras\Cable 10,5 MT. _ Cable 10,5 MT.</v>
      </c>
      <c r="E1367" s="74"/>
      <c r="F1367" s="74" t="str">
        <f>IFERROR(__xludf.DUMMYFUNCTION("""COMPUTED_VALUE"""),"Cable 10,5 MT. / Cable 10,5 MT.")</f>
        <v>Cable 10,5 MT. / Cable 10,5 MT.</v>
      </c>
      <c r="G1367" s="74"/>
      <c r="H1367" s="74"/>
      <c r="I1367" s="74" t="str">
        <f>IFERROR(__xludf.DUMMYFUNCTION("""COMPUTED_VALUE"""),"MIX10044")</f>
        <v>MIX10044</v>
      </c>
      <c r="J1367" s="74"/>
      <c r="K1367" s="74"/>
      <c r="L1367" s="74" t="str">
        <f>IFERROR(__xludf.DUMMYFUNCTION("""COMPUTED_VALUE"""),"Componentes Eléctricos")</f>
        <v>Componentes Eléctricos</v>
      </c>
      <c r="M1367" s="74" t="str">
        <f>IFERROR(__xludf.DUMMYFUNCTION("""COMPUTED_VALUE"""),"Sin Asignar")</f>
        <v>Sin Asignar</v>
      </c>
      <c r="N1367" s="87">
        <f>IFERROR(__xludf.DUMMYFUNCTION("""COMPUTED_VALUE"""),0.0)</f>
        <v>0</v>
      </c>
      <c r="O1367" s="74"/>
      <c r="P1367" s="74" t="str">
        <f>IFERROR(__xludf.DUMMYFUNCTION("""COMPUTED_VALUE"""),"No Available")</f>
        <v>No Available</v>
      </c>
      <c r="Q1367" s="74"/>
      <c r="R1367" s="74"/>
      <c r="S1367" s="87">
        <f>IFERROR(__xludf.DUMMYFUNCTION("""COMPUTED_VALUE"""),0.0)</f>
        <v>0</v>
      </c>
      <c r="T1367" s="87">
        <f>IFERROR(__xludf.DUMMYFUNCTION("""COMPUTED_VALUE"""),0.0)</f>
        <v>0</v>
      </c>
      <c r="U1367" s="87">
        <f>IFERROR(__xludf.DUMMYFUNCTION("""COMPUTED_VALUE"""),0.0)</f>
        <v>0</v>
      </c>
      <c r="V1367" s="87">
        <f>IFERROR(__xludf.DUMMYFUNCTION("""COMPUTED_VALUE"""),0.0)</f>
        <v>0</v>
      </c>
      <c r="W1367" s="87">
        <f>IFERROR(__xludf.DUMMYFUNCTION("""COMPUTED_VALUE"""),0.0)</f>
        <v>0</v>
      </c>
      <c r="X1367" s="88"/>
      <c r="Y1367" s="74"/>
      <c r="Z1367" s="74"/>
    </row>
    <row r="1368">
      <c r="B1368" s="74" t="str">
        <f>IFERROR(__xludf.DUMMYFUNCTION("""COMPUTED_VALUE"""),"2365")</f>
        <v>2365</v>
      </c>
      <c r="C1368" s="74"/>
      <c r="D1368" s="74" t="str">
        <f>IFERROR(__xludf.DUMMYFUNCTION("""COMPUTED_VALUE"""),"\\MCA-S\mk\2_BM\0_BMat\08_PYM\Inventario\excel\Imagen de refacciones\Ollas revolvedoras\Cable 11 MT. _ Cable 11 MT.")</f>
        <v>\\MCA-S\mk\2_BM\0_BMat\08_PYM\Inventario\excel\Imagen de refacciones\Ollas revolvedoras\Cable 11 MT. _ Cable 11 MT.</v>
      </c>
      <c r="E1368" s="74"/>
      <c r="F1368" s="74" t="str">
        <f>IFERROR(__xludf.DUMMYFUNCTION("""COMPUTED_VALUE"""),"Cable 11 MT. / Cable 11 MT.")</f>
        <v>Cable 11 MT. / Cable 11 MT.</v>
      </c>
      <c r="G1368" s="74"/>
      <c r="H1368" s="74"/>
      <c r="I1368" s="74" t="str">
        <f>IFERROR(__xludf.DUMMYFUNCTION("""COMPUTED_VALUE"""),"MIX10045")</f>
        <v>MIX10045</v>
      </c>
      <c r="J1368" s="74"/>
      <c r="K1368" s="74"/>
      <c r="L1368" s="74" t="str">
        <f>IFERROR(__xludf.DUMMYFUNCTION("""COMPUTED_VALUE"""),"Componentes Eléctricos")</f>
        <v>Componentes Eléctricos</v>
      </c>
      <c r="M1368" s="74" t="str">
        <f>IFERROR(__xludf.DUMMYFUNCTION("""COMPUTED_VALUE"""),"Sin Asignar")</f>
        <v>Sin Asignar</v>
      </c>
      <c r="N1368" s="87">
        <f>IFERROR(__xludf.DUMMYFUNCTION("""COMPUTED_VALUE"""),0.0)</f>
        <v>0</v>
      </c>
      <c r="O1368" s="74"/>
      <c r="P1368" s="74" t="str">
        <f>IFERROR(__xludf.DUMMYFUNCTION("""COMPUTED_VALUE"""),"No Available")</f>
        <v>No Available</v>
      </c>
      <c r="Q1368" s="74"/>
      <c r="R1368" s="74"/>
      <c r="S1368" s="87">
        <f>IFERROR(__xludf.DUMMYFUNCTION("""COMPUTED_VALUE"""),0.0)</f>
        <v>0</v>
      </c>
      <c r="T1368" s="87">
        <f>IFERROR(__xludf.DUMMYFUNCTION("""COMPUTED_VALUE"""),0.0)</f>
        <v>0</v>
      </c>
      <c r="U1368" s="87">
        <f>IFERROR(__xludf.DUMMYFUNCTION("""COMPUTED_VALUE"""),0.0)</f>
        <v>0</v>
      </c>
      <c r="V1368" s="87">
        <f>IFERROR(__xludf.DUMMYFUNCTION("""COMPUTED_VALUE"""),0.0)</f>
        <v>0</v>
      </c>
      <c r="W1368" s="87">
        <f>IFERROR(__xludf.DUMMYFUNCTION("""COMPUTED_VALUE"""),0.0)</f>
        <v>0</v>
      </c>
      <c r="X1368" s="88"/>
      <c r="Y1368" s="74"/>
      <c r="Z1368" s="74"/>
    </row>
    <row r="1369">
      <c r="B1369" s="74" t="str">
        <f>IFERROR(__xludf.DUMMYFUNCTION("""COMPUTED_VALUE"""),"2366")</f>
        <v>2366</v>
      </c>
      <c r="C1369" s="74"/>
      <c r="D1369" s="74" t="str">
        <f>IFERROR(__xludf.DUMMYFUNCTION("""COMPUTED_VALUE"""),"\\MCA-S\mk\2_BM\0_BMat\08_PYM\Inventario\excel\Imagen de refacciones\Ollas revolvedoras\Cable 11,5 MT. _ Cable 11,5 MT.")</f>
        <v>\\MCA-S\mk\2_BM\0_BMat\08_PYM\Inventario\excel\Imagen de refacciones\Ollas revolvedoras\Cable 11,5 MT. _ Cable 11,5 MT.</v>
      </c>
      <c r="E1369" s="74"/>
      <c r="F1369" s="74" t="str">
        <f>IFERROR(__xludf.DUMMYFUNCTION("""COMPUTED_VALUE"""),"Cable 11,5 MT. / Cable 11,5 MT.")</f>
        <v>Cable 11,5 MT. / Cable 11,5 MT.</v>
      </c>
      <c r="G1369" s="74"/>
      <c r="H1369" s="74"/>
      <c r="I1369" s="74" t="str">
        <f>IFERROR(__xludf.DUMMYFUNCTION("""COMPUTED_VALUE"""),"MIX10046")</f>
        <v>MIX10046</v>
      </c>
      <c r="J1369" s="74"/>
      <c r="K1369" s="74"/>
      <c r="L1369" s="74" t="str">
        <f>IFERROR(__xludf.DUMMYFUNCTION("""COMPUTED_VALUE"""),"Componentes Eléctricos")</f>
        <v>Componentes Eléctricos</v>
      </c>
      <c r="M1369" s="74" t="str">
        <f>IFERROR(__xludf.DUMMYFUNCTION("""COMPUTED_VALUE"""),"Sin Asignar")</f>
        <v>Sin Asignar</v>
      </c>
      <c r="N1369" s="87">
        <f>IFERROR(__xludf.DUMMYFUNCTION("""COMPUTED_VALUE"""),0.0)</f>
        <v>0</v>
      </c>
      <c r="O1369" s="74"/>
      <c r="P1369" s="74" t="str">
        <f>IFERROR(__xludf.DUMMYFUNCTION("""COMPUTED_VALUE"""),"No Available")</f>
        <v>No Available</v>
      </c>
      <c r="Q1369" s="74"/>
      <c r="R1369" s="74"/>
      <c r="S1369" s="87">
        <f>IFERROR(__xludf.DUMMYFUNCTION("""COMPUTED_VALUE"""),0.0)</f>
        <v>0</v>
      </c>
      <c r="T1369" s="87">
        <f>IFERROR(__xludf.DUMMYFUNCTION("""COMPUTED_VALUE"""),0.0)</f>
        <v>0</v>
      </c>
      <c r="U1369" s="87">
        <f>IFERROR(__xludf.DUMMYFUNCTION("""COMPUTED_VALUE"""),0.0)</f>
        <v>0</v>
      </c>
      <c r="V1369" s="87">
        <f>IFERROR(__xludf.DUMMYFUNCTION("""COMPUTED_VALUE"""),0.0)</f>
        <v>0</v>
      </c>
      <c r="W1369" s="87">
        <f>IFERROR(__xludf.DUMMYFUNCTION("""COMPUTED_VALUE"""),0.0)</f>
        <v>0</v>
      </c>
      <c r="X1369" s="88"/>
      <c r="Y1369" s="74"/>
      <c r="Z1369" s="74"/>
    </row>
    <row r="1370">
      <c r="B1370" s="74" t="str">
        <f>IFERROR(__xludf.DUMMYFUNCTION("""COMPUTED_VALUE"""),"2367")</f>
        <v>2367</v>
      </c>
      <c r="C1370" s="74"/>
      <c r="D1370" s="74" t="str">
        <f>IFERROR(__xludf.DUMMYFUNCTION("""COMPUTED_VALUE"""),"\\MCA-S\mk\2_BM\0_BMat\08_PYM\Inventario\excel\Imagen de refacciones\Ollas revolvedoras\Cable 12 MT. _ Cable 12 MT.")</f>
        <v>\\MCA-S\mk\2_BM\0_BMat\08_PYM\Inventario\excel\Imagen de refacciones\Ollas revolvedoras\Cable 12 MT. _ Cable 12 MT.</v>
      </c>
      <c r="E1370" s="74"/>
      <c r="F1370" s="74" t="str">
        <f>IFERROR(__xludf.DUMMYFUNCTION("""COMPUTED_VALUE"""),"Cable 12 MT. / Cable 12 MT.")</f>
        <v>Cable 12 MT. / Cable 12 MT.</v>
      </c>
      <c r="G1370" s="74"/>
      <c r="H1370" s="74"/>
      <c r="I1370" s="74" t="str">
        <f>IFERROR(__xludf.DUMMYFUNCTION("""COMPUTED_VALUE"""),"MIX10047")</f>
        <v>MIX10047</v>
      </c>
      <c r="J1370" s="74"/>
      <c r="K1370" s="74"/>
      <c r="L1370" s="74" t="str">
        <f>IFERROR(__xludf.DUMMYFUNCTION("""COMPUTED_VALUE"""),"Componentes Eléctricos")</f>
        <v>Componentes Eléctricos</v>
      </c>
      <c r="M1370" s="74" t="str">
        <f>IFERROR(__xludf.DUMMYFUNCTION("""COMPUTED_VALUE"""),"Sin Asignar")</f>
        <v>Sin Asignar</v>
      </c>
      <c r="N1370" s="87">
        <f>IFERROR(__xludf.DUMMYFUNCTION("""COMPUTED_VALUE"""),0.0)</f>
        <v>0</v>
      </c>
      <c r="O1370" s="74"/>
      <c r="P1370" s="74" t="str">
        <f>IFERROR(__xludf.DUMMYFUNCTION("""COMPUTED_VALUE"""),"No Available")</f>
        <v>No Available</v>
      </c>
      <c r="Q1370" s="74"/>
      <c r="R1370" s="74"/>
      <c r="S1370" s="87">
        <f>IFERROR(__xludf.DUMMYFUNCTION("""COMPUTED_VALUE"""),0.0)</f>
        <v>0</v>
      </c>
      <c r="T1370" s="87">
        <f>IFERROR(__xludf.DUMMYFUNCTION("""COMPUTED_VALUE"""),0.0)</f>
        <v>0</v>
      </c>
      <c r="U1370" s="87">
        <f>IFERROR(__xludf.DUMMYFUNCTION("""COMPUTED_VALUE"""),0.0)</f>
        <v>0</v>
      </c>
      <c r="V1370" s="87">
        <f>IFERROR(__xludf.DUMMYFUNCTION("""COMPUTED_VALUE"""),0.0)</f>
        <v>0</v>
      </c>
      <c r="W1370" s="87">
        <f>IFERROR(__xludf.DUMMYFUNCTION("""COMPUTED_VALUE"""),0.0)</f>
        <v>0</v>
      </c>
      <c r="X1370" s="88"/>
      <c r="Y1370" s="74"/>
      <c r="Z1370" s="74"/>
    </row>
    <row r="1371">
      <c r="B1371" s="74" t="str">
        <f>IFERROR(__xludf.DUMMYFUNCTION("""COMPUTED_VALUE"""),"2368")</f>
        <v>2368</v>
      </c>
      <c r="C1371" s="74"/>
      <c r="D1371" s="74" t="str">
        <f>IFERROR(__xludf.DUMMYFUNCTION("""COMPUTED_VALUE"""),"\\MCA-S\mk\2_BM\0_BMat\08_PYM\Inventario\excel\Imagen de refacciones\Ollas revolvedoras\Cable 4 MT. _ Cable 4 MT.")</f>
        <v>\\MCA-S\mk\2_BM\0_BMat\08_PYM\Inventario\excel\Imagen de refacciones\Ollas revolvedoras\Cable 4 MT. _ Cable 4 MT.</v>
      </c>
      <c r="E1371" s="74"/>
      <c r="F1371" s="74" t="str">
        <f>IFERROR(__xludf.DUMMYFUNCTION("""COMPUTED_VALUE"""),"Cable 4 MT. / Cable 4 MT.")</f>
        <v>Cable 4 MT. / Cable 4 MT.</v>
      </c>
      <c r="G1371" s="74"/>
      <c r="H1371" s="74"/>
      <c r="I1371" s="74" t="str">
        <f>IFERROR(__xludf.DUMMYFUNCTION("""COMPUTED_VALUE"""),"MIX10031")</f>
        <v>MIX10031</v>
      </c>
      <c r="J1371" s="74"/>
      <c r="K1371" s="74"/>
      <c r="L1371" s="74" t="str">
        <f>IFERROR(__xludf.DUMMYFUNCTION("""COMPUTED_VALUE"""),"Componentes Eléctricos")</f>
        <v>Componentes Eléctricos</v>
      </c>
      <c r="M1371" s="74" t="str">
        <f>IFERROR(__xludf.DUMMYFUNCTION("""COMPUTED_VALUE"""),"Sin Asignar")</f>
        <v>Sin Asignar</v>
      </c>
      <c r="N1371" s="87">
        <f>IFERROR(__xludf.DUMMYFUNCTION("""COMPUTED_VALUE"""),0.0)</f>
        <v>0</v>
      </c>
      <c r="O1371" s="74"/>
      <c r="P1371" s="74" t="str">
        <f>IFERROR(__xludf.DUMMYFUNCTION("""COMPUTED_VALUE"""),"No Available")</f>
        <v>No Available</v>
      </c>
      <c r="Q1371" s="74"/>
      <c r="R1371" s="74"/>
      <c r="S1371" s="87">
        <f>IFERROR(__xludf.DUMMYFUNCTION("""COMPUTED_VALUE"""),0.0)</f>
        <v>0</v>
      </c>
      <c r="T1371" s="87">
        <f>IFERROR(__xludf.DUMMYFUNCTION("""COMPUTED_VALUE"""),0.0)</f>
        <v>0</v>
      </c>
      <c r="U1371" s="87">
        <f>IFERROR(__xludf.DUMMYFUNCTION("""COMPUTED_VALUE"""),0.0)</f>
        <v>0</v>
      </c>
      <c r="V1371" s="87">
        <f>IFERROR(__xludf.DUMMYFUNCTION("""COMPUTED_VALUE"""),0.0)</f>
        <v>0</v>
      </c>
      <c r="W1371" s="87">
        <f>IFERROR(__xludf.DUMMYFUNCTION("""COMPUTED_VALUE"""),0.0)</f>
        <v>0</v>
      </c>
      <c r="X1371" s="88"/>
      <c r="Y1371" s="74"/>
      <c r="Z1371" s="74"/>
    </row>
    <row r="1372">
      <c r="B1372" s="74" t="str">
        <f>IFERROR(__xludf.DUMMYFUNCTION("""COMPUTED_VALUE"""),"2369")</f>
        <v>2369</v>
      </c>
      <c r="C1372" s="74"/>
      <c r="D1372" s="74" t="str">
        <f>IFERROR(__xludf.DUMMYFUNCTION("""COMPUTED_VALUE"""),"\\MCA-S\mk\2_BM\0_BMat\08_PYM\Inventario\excel\Imagen de refacciones\Ollas revolvedoras\Cable 4,5 MT. _ Cable 4,5 MT.")</f>
        <v>\\MCA-S\mk\2_BM\0_BMat\08_PYM\Inventario\excel\Imagen de refacciones\Ollas revolvedoras\Cable 4,5 MT. _ Cable 4,5 MT.</v>
      </c>
      <c r="E1372" s="74"/>
      <c r="F1372" s="74" t="str">
        <f>IFERROR(__xludf.DUMMYFUNCTION("""COMPUTED_VALUE"""),"Cable 4,5 MT. / Cable 4,5 MT.")</f>
        <v>Cable 4,5 MT. / Cable 4,5 MT.</v>
      </c>
      <c r="G1372" s="74"/>
      <c r="H1372" s="74"/>
      <c r="I1372" s="74" t="str">
        <f>IFERROR(__xludf.DUMMYFUNCTION("""COMPUTED_VALUE"""),"MIX10032")</f>
        <v>MIX10032</v>
      </c>
      <c r="J1372" s="74"/>
      <c r="K1372" s="74"/>
      <c r="L1372" s="74" t="str">
        <f>IFERROR(__xludf.DUMMYFUNCTION("""COMPUTED_VALUE"""),"Componentes Eléctricos")</f>
        <v>Componentes Eléctricos</v>
      </c>
      <c r="M1372" s="74" t="str">
        <f>IFERROR(__xludf.DUMMYFUNCTION("""COMPUTED_VALUE"""),"Sin Asignar")</f>
        <v>Sin Asignar</v>
      </c>
      <c r="N1372" s="87">
        <f>IFERROR(__xludf.DUMMYFUNCTION("""COMPUTED_VALUE"""),0.0)</f>
        <v>0</v>
      </c>
      <c r="O1372" s="74"/>
      <c r="P1372" s="74" t="str">
        <f>IFERROR(__xludf.DUMMYFUNCTION("""COMPUTED_VALUE"""),"No Available")</f>
        <v>No Available</v>
      </c>
      <c r="Q1372" s="74"/>
      <c r="R1372" s="74"/>
      <c r="S1372" s="87">
        <f>IFERROR(__xludf.DUMMYFUNCTION("""COMPUTED_VALUE"""),0.0)</f>
        <v>0</v>
      </c>
      <c r="T1372" s="87">
        <f>IFERROR(__xludf.DUMMYFUNCTION("""COMPUTED_VALUE"""),0.0)</f>
        <v>0</v>
      </c>
      <c r="U1372" s="87">
        <f>IFERROR(__xludf.DUMMYFUNCTION("""COMPUTED_VALUE"""),0.0)</f>
        <v>0</v>
      </c>
      <c r="V1372" s="87">
        <f>IFERROR(__xludf.DUMMYFUNCTION("""COMPUTED_VALUE"""),0.0)</f>
        <v>0</v>
      </c>
      <c r="W1372" s="87">
        <f>IFERROR(__xludf.DUMMYFUNCTION("""COMPUTED_VALUE"""),0.0)</f>
        <v>0</v>
      </c>
      <c r="X1372" s="88"/>
      <c r="Y1372" s="74"/>
      <c r="Z1372" s="74"/>
    </row>
    <row r="1373">
      <c r="B1373" s="74" t="str">
        <f>IFERROR(__xludf.DUMMYFUNCTION("""COMPUTED_VALUE"""),"2370")</f>
        <v>2370</v>
      </c>
      <c r="C1373" s="74"/>
      <c r="D1373" s="74" t="str">
        <f>IFERROR(__xludf.DUMMYFUNCTION("""COMPUTED_VALUE"""),"\\MCA-S\mk\2_BM\0_BMat\08_PYM\Inventario\excel\Imagen de refacciones\Ollas revolvedoras\Cable 5 MT. _ Cable 5 MT.")</f>
        <v>\\MCA-S\mk\2_BM\0_BMat\08_PYM\Inventario\excel\Imagen de refacciones\Ollas revolvedoras\Cable 5 MT. _ Cable 5 MT.</v>
      </c>
      <c r="E1373" s="74"/>
      <c r="F1373" s="74" t="str">
        <f>IFERROR(__xludf.DUMMYFUNCTION("""COMPUTED_VALUE"""),"Cable 5 MT. / Cable 5 MT.")</f>
        <v>Cable 5 MT. / Cable 5 MT.</v>
      </c>
      <c r="G1373" s="74"/>
      <c r="H1373" s="74"/>
      <c r="I1373" s="74" t="str">
        <f>IFERROR(__xludf.DUMMYFUNCTION("""COMPUTED_VALUE"""),"MIX10033")</f>
        <v>MIX10033</v>
      </c>
      <c r="J1373" s="74"/>
      <c r="K1373" s="74"/>
      <c r="L1373" s="74" t="str">
        <f>IFERROR(__xludf.DUMMYFUNCTION("""COMPUTED_VALUE"""),"Componentes Eléctricos")</f>
        <v>Componentes Eléctricos</v>
      </c>
      <c r="M1373" s="74" t="str">
        <f>IFERROR(__xludf.DUMMYFUNCTION("""COMPUTED_VALUE"""),"Sin Asignar")</f>
        <v>Sin Asignar</v>
      </c>
      <c r="N1373" s="87">
        <f>IFERROR(__xludf.DUMMYFUNCTION("""COMPUTED_VALUE"""),0.0)</f>
        <v>0</v>
      </c>
      <c r="O1373" s="74"/>
      <c r="P1373" s="74" t="str">
        <f>IFERROR(__xludf.DUMMYFUNCTION("""COMPUTED_VALUE"""),"No Available")</f>
        <v>No Available</v>
      </c>
      <c r="Q1373" s="74"/>
      <c r="R1373" s="74"/>
      <c r="S1373" s="87">
        <f>IFERROR(__xludf.DUMMYFUNCTION("""COMPUTED_VALUE"""),0.0)</f>
        <v>0</v>
      </c>
      <c r="T1373" s="87">
        <f>IFERROR(__xludf.DUMMYFUNCTION("""COMPUTED_VALUE"""),0.0)</f>
        <v>0</v>
      </c>
      <c r="U1373" s="87">
        <f>IFERROR(__xludf.DUMMYFUNCTION("""COMPUTED_VALUE"""),0.0)</f>
        <v>0</v>
      </c>
      <c r="V1373" s="87">
        <f>IFERROR(__xludf.DUMMYFUNCTION("""COMPUTED_VALUE"""),0.0)</f>
        <v>0</v>
      </c>
      <c r="W1373" s="87">
        <f>IFERROR(__xludf.DUMMYFUNCTION("""COMPUTED_VALUE"""),0.0)</f>
        <v>0</v>
      </c>
      <c r="X1373" s="88"/>
      <c r="Y1373" s="74"/>
      <c r="Z1373" s="74"/>
    </row>
    <row r="1374">
      <c r="B1374" s="74" t="str">
        <f>IFERROR(__xludf.DUMMYFUNCTION("""COMPUTED_VALUE"""),"2371")</f>
        <v>2371</v>
      </c>
      <c r="C1374" s="74"/>
      <c r="D1374" s="74" t="str">
        <f>IFERROR(__xludf.DUMMYFUNCTION("""COMPUTED_VALUE"""),"\\MCA-S\mk\2_BM\0_BMat\08_PYM\Inventario\excel\Imagen de refacciones\Ollas revolvedoras\Cable 5,5 MT. _ Cable 5,5 MT.")</f>
        <v>\\MCA-S\mk\2_BM\0_BMat\08_PYM\Inventario\excel\Imagen de refacciones\Ollas revolvedoras\Cable 5,5 MT. _ Cable 5,5 MT.</v>
      </c>
      <c r="E1374" s="74"/>
      <c r="F1374" s="74" t="str">
        <f>IFERROR(__xludf.DUMMYFUNCTION("""COMPUTED_VALUE"""),"Cable 5,5 MT. / Cable 5,5 MT.")</f>
        <v>Cable 5,5 MT. / Cable 5,5 MT.</v>
      </c>
      <c r="G1374" s="74"/>
      <c r="H1374" s="74"/>
      <c r="I1374" s="74" t="str">
        <f>IFERROR(__xludf.DUMMYFUNCTION("""COMPUTED_VALUE"""),"MIX10034")</f>
        <v>MIX10034</v>
      </c>
      <c r="J1374" s="74"/>
      <c r="K1374" s="74"/>
      <c r="L1374" s="74" t="str">
        <f>IFERROR(__xludf.DUMMYFUNCTION("""COMPUTED_VALUE"""),"Componentes Eléctricos")</f>
        <v>Componentes Eléctricos</v>
      </c>
      <c r="M1374" s="74" t="str">
        <f>IFERROR(__xludf.DUMMYFUNCTION("""COMPUTED_VALUE"""),"Sin Asignar")</f>
        <v>Sin Asignar</v>
      </c>
      <c r="N1374" s="87">
        <f>IFERROR(__xludf.DUMMYFUNCTION("""COMPUTED_VALUE"""),0.0)</f>
        <v>0</v>
      </c>
      <c r="O1374" s="74"/>
      <c r="P1374" s="74" t="str">
        <f>IFERROR(__xludf.DUMMYFUNCTION("""COMPUTED_VALUE"""),"No Available")</f>
        <v>No Available</v>
      </c>
      <c r="Q1374" s="74"/>
      <c r="R1374" s="74"/>
      <c r="S1374" s="87">
        <f>IFERROR(__xludf.DUMMYFUNCTION("""COMPUTED_VALUE"""),0.0)</f>
        <v>0</v>
      </c>
      <c r="T1374" s="87">
        <f>IFERROR(__xludf.DUMMYFUNCTION("""COMPUTED_VALUE"""),0.0)</f>
        <v>0</v>
      </c>
      <c r="U1374" s="87">
        <f>IFERROR(__xludf.DUMMYFUNCTION("""COMPUTED_VALUE"""),0.0)</f>
        <v>0</v>
      </c>
      <c r="V1374" s="87">
        <f>IFERROR(__xludf.DUMMYFUNCTION("""COMPUTED_VALUE"""),0.0)</f>
        <v>0</v>
      </c>
      <c r="W1374" s="87">
        <f>IFERROR(__xludf.DUMMYFUNCTION("""COMPUTED_VALUE"""),0.0)</f>
        <v>0</v>
      </c>
      <c r="X1374" s="88"/>
      <c r="Y1374" s="74"/>
      <c r="Z1374" s="74"/>
    </row>
    <row r="1375">
      <c r="B1375" s="74" t="str">
        <f>IFERROR(__xludf.DUMMYFUNCTION("""COMPUTED_VALUE"""),"2372")</f>
        <v>2372</v>
      </c>
      <c r="C1375" s="74"/>
      <c r="D1375" s="74" t="str">
        <f>IFERROR(__xludf.DUMMYFUNCTION("""COMPUTED_VALUE"""),"\\MCA-S\mk\2_BM\0_BMat\08_PYM\Inventario\excel\Imagen de refacciones\Ollas revolvedoras\Cable 6 MT. _ Cable 6 MT.")</f>
        <v>\\MCA-S\mk\2_BM\0_BMat\08_PYM\Inventario\excel\Imagen de refacciones\Ollas revolvedoras\Cable 6 MT. _ Cable 6 MT.</v>
      </c>
      <c r="E1375" s="74"/>
      <c r="F1375" s="74" t="str">
        <f>IFERROR(__xludf.DUMMYFUNCTION("""COMPUTED_VALUE"""),"Cable 6 MT. / Cable 6 MT.")</f>
        <v>Cable 6 MT. / Cable 6 MT.</v>
      </c>
      <c r="G1375" s="74"/>
      <c r="H1375" s="74"/>
      <c r="I1375" s="74" t="str">
        <f>IFERROR(__xludf.DUMMYFUNCTION("""COMPUTED_VALUE"""),"MIX10035")</f>
        <v>MIX10035</v>
      </c>
      <c r="J1375" s="74"/>
      <c r="K1375" s="74"/>
      <c r="L1375" s="74" t="str">
        <f>IFERROR(__xludf.DUMMYFUNCTION("""COMPUTED_VALUE"""),"Componentes Eléctricos")</f>
        <v>Componentes Eléctricos</v>
      </c>
      <c r="M1375" s="74" t="str">
        <f>IFERROR(__xludf.DUMMYFUNCTION("""COMPUTED_VALUE"""),"Sin Asignar")</f>
        <v>Sin Asignar</v>
      </c>
      <c r="N1375" s="87">
        <f>IFERROR(__xludf.DUMMYFUNCTION("""COMPUTED_VALUE"""),0.0)</f>
        <v>0</v>
      </c>
      <c r="O1375" s="74"/>
      <c r="P1375" s="74" t="str">
        <f>IFERROR(__xludf.DUMMYFUNCTION("""COMPUTED_VALUE"""),"No Available")</f>
        <v>No Available</v>
      </c>
      <c r="Q1375" s="74"/>
      <c r="R1375" s="74"/>
      <c r="S1375" s="87">
        <f>IFERROR(__xludf.DUMMYFUNCTION("""COMPUTED_VALUE"""),0.0)</f>
        <v>0</v>
      </c>
      <c r="T1375" s="87">
        <f>IFERROR(__xludf.DUMMYFUNCTION("""COMPUTED_VALUE"""),0.0)</f>
        <v>0</v>
      </c>
      <c r="U1375" s="87">
        <f>IFERROR(__xludf.DUMMYFUNCTION("""COMPUTED_VALUE"""),0.0)</f>
        <v>0</v>
      </c>
      <c r="V1375" s="87">
        <f>IFERROR(__xludf.DUMMYFUNCTION("""COMPUTED_VALUE"""),0.0)</f>
        <v>0</v>
      </c>
      <c r="W1375" s="87">
        <f>IFERROR(__xludf.DUMMYFUNCTION("""COMPUTED_VALUE"""),0.0)</f>
        <v>0</v>
      </c>
      <c r="X1375" s="88"/>
      <c r="Y1375" s="74"/>
      <c r="Z1375" s="74"/>
    </row>
    <row r="1376">
      <c r="B1376" s="74" t="str">
        <f>IFERROR(__xludf.DUMMYFUNCTION("""COMPUTED_VALUE"""),"2373")</f>
        <v>2373</v>
      </c>
      <c r="C1376" s="74"/>
      <c r="D1376" s="74" t="str">
        <f>IFERROR(__xludf.DUMMYFUNCTION("""COMPUTED_VALUE"""),"\\MCA-S\mk\2_BM\0_BMat\08_PYM\Inventario\excel\Imagen de refacciones\Ollas revolvedoras\Cable 6,5 MT. _ Cable 6,5 MT.")</f>
        <v>\\MCA-S\mk\2_BM\0_BMat\08_PYM\Inventario\excel\Imagen de refacciones\Ollas revolvedoras\Cable 6,5 MT. _ Cable 6,5 MT.</v>
      </c>
      <c r="E1376" s="74"/>
      <c r="F1376" s="74" t="str">
        <f>IFERROR(__xludf.DUMMYFUNCTION("""COMPUTED_VALUE"""),"Cable 6,5 MT. / Cable 6,5 MT.")</f>
        <v>Cable 6,5 MT. / Cable 6,5 MT.</v>
      </c>
      <c r="G1376" s="74"/>
      <c r="H1376" s="74"/>
      <c r="I1376" s="74" t="str">
        <f>IFERROR(__xludf.DUMMYFUNCTION("""COMPUTED_VALUE"""),"MIX10036")</f>
        <v>MIX10036</v>
      </c>
      <c r="J1376" s="74"/>
      <c r="K1376" s="74"/>
      <c r="L1376" s="74" t="str">
        <f>IFERROR(__xludf.DUMMYFUNCTION("""COMPUTED_VALUE"""),"Componentes Eléctricos")</f>
        <v>Componentes Eléctricos</v>
      </c>
      <c r="M1376" s="74" t="str">
        <f>IFERROR(__xludf.DUMMYFUNCTION("""COMPUTED_VALUE"""),"Sin Asignar")</f>
        <v>Sin Asignar</v>
      </c>
      <c r="N1376" s="87">
        <f>IFERROR(__xludf.DUMMYFUNCTION("""COMPUTED_VALUE"""),0.0)</f>
        <v>0</v>
      </c>
      <c r="O1376" s="74"/>
      <c r="P1376" s="74" t="str">
        <f>IFERROR(__xludf.DUMMYFUNCTION("""COMPUTED_VALUE"""),"No Available")</f>
        <v>No Available</v>
      </c>
      <c r="Q1376" s="74"/>
      <c r="R1376" s="74"/>
      <c r="S1376" s="87">
        <f>IFERROR(__xludf.DUMMYFUNCTION("""COMPUTED_VALUE"""),0.0)</f>
        <v>0</v>
      </c>
      <c r="T1376" s="87">
        <f>IFERROR(__xludf.DUMMYFUNCTION("""COMPUTED_VALUE"""),0.0)</f>
        <v>0</v>
      </c>
      <c r="U1376" s="87">
        <f>IFERROR(__xludf.DUMMYFUNCTION("""COMPUTED_VALUE"""),0.0)</f>
        <v>0</v>
      </c>
      <c r="V1376" s="87">
        <f>IFERROR(__xludf.DUMMYFUNCTION("""COMPUTED_VALUE"""),0.0)</f>
        <v>0</v>
      </c>
      <c r="W1376" s="87">
        <f>IFERROR(__xludf.DUMMYFUNCTION("""COMPUTED_VALUE"""),0.0)</f>
        <v>0</v>
      </c>
      <c r="X1376" s="88"/>
      <c r="Y1376" s="74"/>
      <c r="Z1376" s="74"/>
    </row>
    <row r="1377">
      <c r="B1377" s="74" t="str">
        <f>IFERROR(__xludf.DUMMYFUNCTION("""COMPUTED_VALUE"""),"2374")</f>
        <v>2374</v>
      </c>
      <c r="C1377" s="74"/>
      <c r="D1377" s="74" t="str">
        <f>IFERROR(__xludf.DUMMYFUNCTION("""COMPUTED_VALUE"""),"\\MCA-S\mk\2_BM\0_BMat\08_PYM\Inventario\excel\Imagen de refacciones\Ollas revolvedoras\Cable 7 MT. _ Cable 7 MT.")</f>
        <v>\\MCA-S\mk\2_BM\0_BMat\08_PYM\Inventario\excel\Imagen de refacciones\Ollas revolvedoras\Cable 7 MT. _ Cable 7 MT.</v>
      </c>
      <c r="E1377" s="74"/>
      <c r="F1377" s="74" t="str">
        <f>IFERROR(__xludf.DUMMYFUNCTION("""COMPUTED_VALUE"""),"Cable 7 MT. / Cable 7 MT.")</f>
        <v>Cable 7 MT. / Cable 7 MT.</v>
      </c>
      <c r="G1377" s="74"/>
      <c r="H1377" s="74"/>
      <c r="I1377" s="74" t="str">
        <f>IFERROR(__xludf.DUMMYFUNCTION("""COMPUTED_VALUE"""),"MIX10037")</f>
        <v>MIX10037</v>
      </c>
      <c r="J1377" s="74"/>
      <c r="K1377" s="74"/>
      <c r="L1377" s="74" t="str">
        <f>IFERROR(__xludf.DUMMYFUNCTION("""COMPUTED_VALUE"""),"Componentes Eléctricos")</f>
        <v>Componentes Eléctricos</v>
      </c>
      <c r="M1377" s="74" t="str">
        <f>IFERROR(__xludf.DUMMYFUNCTION("""COMPUTED_VALUE"""),"Sin Asignar")</f>
        <v>Sin Asignar</v>
      </c>
      <c r="N1377" s="87">
        <f>IFERROR(__xludf.DUMMYFUNCTION("""COMPUTED_VALUE"""),0.0)</f>
        <v>0</v>
      </c>
      <c r="O1377" s="74"/>
      <c r="P1377" s="74" t="str">
        <f>IFERROR(__xludf.DUMMYFUNCTION("""COMPUTED_VALUE"""),"No Available")</f>
        <v>No Available</v>
      </c>
      <c r="Q1377" s="74"/>
      <c r="R1377" s="74"/>
      <c r="S1377" s="87">
        <f>IFERROR(__xludf.DUMMYFUNCTION("""COMPUTED_VALUE"""),0.0)</f>
        <v>0</v>
      </c>
      <c r="T1377" s="87">
        <f>IFERROR(__xludf.DUMMYFUNCTION("""COMPUTED_VALUE"""),0.0)</f>
        <v>0</v>
      </c>
      <c r="U1377" s="87">
        <f>IFERROR(__xludf.DUMMYFUNCTION("""COMPUTED_VALUE"""),0.0)</f>
        <v>0</v>
      </c>
      <c r="V1377" s="87">
        <f>IFERROR(__xludf.DUMMYFUNCTION("""COMPUTED_VALUE"""),0.0)</f>
        <v>0</v>
      </c>
      <c r="W1377" s="87">
        <f>IFERROR(__xludf.DUMMYFUNCTION("""COMPUTED_VALUE"""),0.0)</f>
        <v>0</v>
      </c>
      <c r="X1377" s="88"/>
      <c r="Y1377" s="74"/>
      <c r="Z1377" s="74"/>
    </row>
    <row r="1378">
      <c r="B1378" s="74" t="str">
        <f>IFERROR(__xludf.DUMMYFUNCTION("""COMPUTED_VALUE"""),"2375")</f>
        <v>2375</v>
      </c>
      <c r="C1378" s="74"/>
      <c r="D1378" s="74" t="str">
        <f>IFERROR(__xludf.DUMMYFUNCTION("""COMPUTED_VALUE"""),"\\MCA-S\mk\2_BM\0_BMat\08_PYM\Inventario\excel\Imagen de refacciones\Ollas revolvedoras\Cable 7,5 MT. _ Cable 7,5 MT.")</f>
        <v>\\MCA-S\mk\2_BM\0_BMat\08_PYM\Inventario\excel\Imagen de refacciones\Ollas revolvedoras\Cable 7,5 MT. _ Cable 7,5 MT.</v>
      </c>
      <c r="E1378" s="74"/>
      <c r="F1378" s="74" t="str">
        <f>IFERROR(__xludf.DUMMYFUNCTION("""COMPUTED_VALUE"""),"Cable 7,5 MT. / Cable 7,5 MT.")</f>
        <v>Cable 7,5 MT. / Cable 7,5 MT.</v>
      </c>
      <c r="G1378" s="74"/>
      <c r="H1378" s="74"/>
      <c r="I1378" s="74" t="str">
        <f>IFERROR(__xludf.DUMMYFUNCTION("""COMPUTED_VALUE"""),"MIX10038")</f>
        <v>MIX10038</v>
      </c>
      <c r="J1378" s="74"/>
      <c r="K1378" s="74"/>
      <c r="L1378" s="74" t="str">
        <f>IFERROR(__xludf.DUMMYFUNCTION("""COMPUTED_VALUE"""),"Componentes Eléctricos")</f>
        <v>Componentes Eléctricos</v>
      </c>
      <c r="M1378" s="74" t="str">
        <f>IFERROR(__xludf.DUMMYFUNCTION("""COMPUTED_VALUE"""),"Sin Asignar")</f>
        <v>Sin Asignar</v>
      </c>
      <c r="N1378" s="87">
        <f>IFERROR(__xludf.DUMMYFUNCTION("""COMPUTED_VALUE"""),0.0)</f>
        <v>0</v>
      </c>
      <c r="O1378" s="74"/>
      <c r="P1378" s="74" t="str">
        <f>IFERROR(__xludf.DUMMYFUNCTION("""COMPUTED_VALUE"""),"No Available")</f>
        <v>No Available</v>
      </c>
      <c r="Q1378" s="74"/>
      <c r="R1378" s="74"/>
      <c r="S1378" s="87">
        <f>IFERROR(__xludf.DUMMYFUNCTION("""COMPUTED_VALUE"""),0.0)</f>
        <v>0</v>
      </c>
      <c r="T1378" s="87">
        <f>IFERROR(__xludf.DUMMYFUNCTION("""COMPUTED_VALUE"""),0.0)</f>
        <v>0</v>
      </c>
      <c r="U1378" s="87">
        <f>IFERROR(__xludf.DUMMYFUNCTION("""COMPUTED_VALUE"""),0.0)</f>
        <v>0</v>
      </c>
      <c r="V1378" s="87">
        <f>IFERROR(__xludf.DUMMYFUNCTION("""COMPUTED_VALUE"""),0.0)</f>
        <v>0</v>
      </c>
      <c r="W1378" s="87">
        <f>IFERROR(__xludf.DUMMYFUNCTION("""COMPUTED_VALUE"""),0.0)</f>
        <v>0</v>
      </c>
      <c r="X1378" s="88"/>
      <c r="Y1378" s="74"/>
      <c r="Z1378" s="74"/>
    </row>
    <row r="1379">
      <c r="B1379" s="74" t="str">
        <f>IFERROR(__xludf.DUMMYFUNCTION("""COMPUTED_VALUE"""),"2376")</f>
        <v>2376</v>
      </c>
      <c r="C1379" s="74"/>
      <c r="D1379" s="74" t="str">
        <f>IFERROR(__xludf.DUMMYFUNCTION("""COMPUTED_VALUE"""),"\\MCA-S\mk\2_BM\0_BMat\08_PYM\Inventario\excel\Imagen de refacciones\Ollas revolvedoras\Cable 8 MT. _ Cable 8 MT.")</f>
        <v>\\MCA-S\mk\2_BM\0_BMat\08_PYM\Inventario\excel\Imagen de refacciones\Ollas revolvedoras\Cable 8 MT. _ Cable 8 MT.</v>
      </c>
      <c r="E1379" s="74"/>
      <c r="F1379" s="74" t="str">
        <f>IFERROR(__xludf.DUMMYFUNCTION("""COMPUTED_VALUE"""),"Cable 8 MT. / Cable 8 MT.")</f>
        <v>Cable 8 MT. / Cable 8 MT.</v>
      </c>
      <c r="G1379" s="74"/>
      <c r="H1379" s="74"/>
      <c r="I1379" s="74" t="str">
        <f>IFERROR(__xludf.DUMMYFUNCTION("""COMPUTED_VALUE"""),"MIX10039")</f>
        <v>MIX10039</v>
      </c>
      <c r="J1379" s="74"/>
      <c r="K1379" s="74"/>
      <c r="L1379" s="74" t="str">
        <f>IFERROR(__xludf.DUMMYFUNCTION("""COMPUTED_VALUE"""),"Componentes Eléctricos")</f>
        <v>Componentes Eléctricos</v>
      </c>
      <c r="M1379" s="74" t="str">
        <f>IFERROR(__xludf.DUMMYFUNCTION("""COMPUTED_VALUE"""),"Sin Asignar")</f>
        <v>Sin Asignar</v>
      </c>
      <c r="N1379" s="87">
        <f>IFERROR(__xludf.DUMMYFUNCTION("""COMPUTED_VALUE"""),0.0)</f>
        <v>0</v>
      </c>
      <c r="O1379" s="74"/>
      <c r="P1379" s="74" t="str">
        <f>IFERROR(__xludf.DUMMYFUNCTION("""COMPUTED_VALUE"""),"No Available")</f>
        <v>No Available</v>
      </c>
      <c r="Q1379" s="74"/>
      <c r="R1379" s="74"/>
      <c r="S1379" s="87">
        <f>IFERROR(__xludf.DUMMYFUNCTION("""COMPUTED_VALUE"""),0.0)</f>
        <v>0</v>
      </c>
      <c r="T1379" s="87">
        <f>IFERROR(__xludf.DUMMYFUNCTION("""COMPUTED_VALUE"""),0.0)</f>
        <v>0</v>
      </c>
      <c r="U1379" s="87">
        <f>IFERROR(__xludf.DUMMYFUNCTION("""COMPUTED_VALUE"""),0.0)</f>
        <v>0</v>
      </c>
      <c r="V1379" s="87">
        <f>IFERROR(__xludf.DUMMYFUNCTION("""COMPUTED_VALUE"""),0.0)</f>
        <v>0</v>
      </c>
      <c r="W1379" s="87">
        <f>IFERROR(__xludf.DUMMYFUNCTION("""COMPUTED_VALUE"""),0.0)</f>
        <v>0</v>
      </c>
      <c r="X1379" s="88"/>
      <c r="Y1379" s="74"/>
      <c r="Z1379" s="74"/>
    </row>
    <row r="1380">
      <c r="B1380" s="74" t="str">
        <f>IFERROR(__xludf.DUMMYFUNCTION("""COMPUTED_VALUE"""),"2377")</f>
        <v>2377</v>
      </c>
      <c r="C1380" s="74"/>
      <c r="D1380" s="74" t="str">
        <f>IFERROR(__xludf.DUMMYFUNCTION("""COMPUTED_VALUE"""),"\\MCA-S\mk\2_BM\0_BMat\08_PYM\Inventario\excel\Imagen de refacciones\Ollas revolvedoras\Cable 8,5 MT. _ Cable 8,5 MT.")</f>
        <v>\\MCA-S\mk\2_BM\0_BMat\08_PYM\Inventario\excel\Imagen de refacciones\Ollas revolvedoras\Cable 8,5 MT. _ Cable 8,5 MT.</v>
      </c>
      <c r="E1380" s="74"/>
      <c r="F1380" s="74" t="str">
        <f>IFERROR(__xludf.DUMMYFUNCTION("""COMPUTED_VALUE"""),"Cable 8,5 MT. / Cable 8,5 MT.")</f>
        <v>Cable 8,5 MT. / Cable 8,5 MT.</v>
      </c>
      <c r="G1380" s="74"/>
      <c r="H1380" s="74"/>
      <c r="I1380" s="74" t="str">
        <f>IFERROR(__xludf.DUMMYFUNCTION("""COMPUTED_VALUE"""),"MIX10040")</f>
        <v>MIX10040</v>
      </c>
      <c r="J1380" s="74"/>
      <c r="K1380" s="74"/>
      <c r="L1380" s="74" t="str">
        <f>IFERROR(__xludf.DUMMYFUNCTION("""COMPUTED_VALUE"""),"Componentes Eléctricos")</f>
        <v>Componentes Eléctricos</v>
      </c>
      <c r="M1380" s="74" t="str">
        <f>IFERROR(__xludf.DUMMYFUNCTION("""COMPUTED_VALUE"""),"Sin Asignar")</f>
        <v>Sin Asignar</v>
      </c>
      <c r="N1380" s="87">
        <f>IFERROR(__xludf.DUMMYFUNCTION("""COMPUTED_VALUE"""),0.0)</f>
        <v>0</v>
      </c>
      <c r="O1380" s="74"/>
      <c r="P1380" s="74" t="str">
        <f>IFERROR(__xludf.DUMMYFUNCTION("""COMPUTED_VALUE"""),"No Available")</f>
        <v>No Available</v>
      </c>
      <c r="Q1380" s="74"/>
      <c r="R1380" s="74"/>
      <c r="S1380" s="87">
        <f>IFERROR(__xludf.DUMMYFUNCTION("""COMPUTED_VALUE"""),0.0)</f>
        <v>0</v>
      </c>
      <c r="T1380" s="87">
        <f>IFERROR(__xludf.DUMMYFUNCTION("""COMPUTED_VALUE"""),0.0)</f>
        <v>0</v>
      </c>
      <c r="U1380" s="87">
        <f>IFERROR(__xludf.DUMMYFUNCTION("""COMPUTED_VALUE"""),0.0)</f>
        <v>0</v>
      </c>
      <c r="V1380" s="87">
        <f>IFERROR(__xludf.DUMMYFUNCTION("""COMPUTED_VALUE"""),0.0)</f>
        <v>0</v>
      </c>
      <c r="W1380" s="87">
        <f>IFERROR(__xludf.DUMMYFUNCTION("""COMPUTED_VALUE"""),0.0)</f>
        <v>0</v>
      </c>
      <c r="X1380" s="88"/>
      <c r="Y1380" s="74"/>
      <c r="Z1380" s="74"/>
    </row>
    <row r="1381">
      <c r="B1381" s="74" t="str">
        <f>IFERROR(__xludf.DUMMYFUNCTION("""COMPUTED_VALUE"""),"2378")</f>
        <v>2378</v>
      </c>
      <c r="C1381" s="74"/>
      <c r="D1381" s="74" t="str">
        <f>IFERROR(__xludf.DUMMYFUNCTION("""COMPUTED_VALUE"""),"\\MCA-S\mk\2_BM\0_BMat\08_PYM\Inventario\excel\Imagen de refacciones\Ollas revolvedoras\Cable 9 MT. _ Cable 9 MT.")</f>
        <v>\\MCA-S\mk\2_BM\0_BMat\08_PYM\Inventario\excel\Imagen de refacciones\Ollas revolvedoras\Cable 9 MT. _ Cable 9 MT.</v>
      </c>
      <c r="E1381" s="74"/>
      <c r="F1381" s="74" t="str">
        <f>IFERROR(__xludf.DUMMYFUNCTION("""COMPUTED_VALUE"""),"Cable 9 MT. / Cable 9 MT.")</f>
        <v>Cable 9 MT. / Cable 9 MT.</v>
      </c>
      <c r="G1381" s="74"/>
      <c r="H1381" s="74"/>
      <c r="I1381" s="74" t="str">
        <f>IFERROR(__xludf.DUMMYFUNCTION("""COMPUTED_VALUE"""),"MIX10041")</f>
        <v>MIX10041</v>
      </c>
      <c r="J1381" s="74"/>
      <c r="K1381" s="74"/>
      <c r="L1381" s="74" t="str">
        <f>IFERROR(__xludf.DUMMYFUNCTION("""COMPUTED_VALUE"""),"Componentes Eléctricos")</f>
        <v>Componentes Eléctricos</v>
      </c>
      <c r="M1381" s="74" t="str">
        <f>IFERROR(__xludf.DUMMYFUNCTION("""COMPUTED_VALUE"""),"Sin Asignar")</f>
        <v>Sin Asignar</v>
      </c>
      <c r="N1381" s="87">
        <f>IFERROR(__xludf.DUMMYFUNCTION("""COMPUTED_VALUE"""),0.0)</f>
        <v>0</v>
      </c>
      <c r="O1381" s="74"/>
      <c r="P1381" s="74" t="str">
        <f>IFERROR(__xludf.DUMMYFUNCTION("""COMPUTED_VALUE"""),"No Available")</f>
        <v>No Available</v>
      </c>
      <c r="Q1381" s="74"/>
      <c r="R1381" s="74"/>
      <c r="S1381" s="87">
        <f>IFERROR(__xludf.DUMMYFUNCTION("""COMPUTED_VALUE"""),0.0)</f>
        <v>0</v>
      </c>
      <c r="T1381" s="87">
        <f>IFERROR(__xludf.DUMMYFUNCTION("""COMPUTED_VALUE"""),0.0)</f>
        <v>0</v>
      </c>
      <c r="U1381" s="87">
        <f>IFERROR(__xludf.DUMMYFUNCTION("""COMPUTED_VALUE"""),0.0)</f>
        <v>0</v>
      </c>
      <c r="V1381" s="87">
        <f>IFERROR(__xludf.DUMMYFUNCTION("""COMPUTED_VALUE"""),0.0)</f>
        <v>0</v>
      </c>
      <c r="W1381" s="87">
        <f>IFERROR(__xludf.DUMMYFUNCTION("""COMPUTED_VALUE"""),0.0)</f>
        <v>0</v>
      </c>
      <c r="X1381" s="88"/>
      <c r="Y1381" s="74"/>
      <c r="Z1381" s="74"/>
    </row>
    <row r="1382">
      <c r="B1382" s="74" t="str">
        <f>IFERROR(__xludf.DUMMYFUNCTION("""COMPUTED_VALUE"""),"2379")</f>
        <v>2379</v>
      </c>
      <c r="C1382" s="74"/>
      <c r="D1382" s="74" t="str">
        <f>IFERROR(__xludf.DUMMYFUNCTION("""COMPUTED_VALUE"""),"\\MCA-S\mk\2_BM\0_BMat\08_PYM\Inventario\excel\Imagen de refacciones\Ollas revolvedoras\Cable 9,5 MT. _ Cable 9,5 MT.")</f>
        <v>\\MCA-S\mk\2_BM\0_BMat\08_PYM\Inventario\excel\Imagen de refacciones\Ollas revolvedoras\Cable 9,5 MT. _ Cable 9,5 MT.</v>
      </c>
      <c r="E1382" s="74"/>
      <c r="F1382" s="74" t="str">
        <f>IFERROR(__xludf.DUMMYFUNCTION("""COMPUTED_VALUE"""),"Cable 9,5 MT. / Cable 9,5 MT.")</f>
        <v>Cable 9,5 MT. / Cable 9,5 MT.</v>
      </c>
      <c r="G1382" s="74"/>
      <c r="H1382" s="74"/>
      <c r="I1382" s="74" t="str">
        <f>IFERROR(__xludf.DUMMYFUNCTION("""COMPUTED_VALUE"""),"MIX10042")</f>
        <v>MIX10042</v>
      </c>
      <c r="J1382" s="74"/>
      <c r="K1382" s="74"/>
      <c r="L1382" s="74" t="str">
        <f>IFERROR(__xludf.DUMMYFUNCTION("""COMPUTED_VALUE"""),"Componentes Eléctricos")</f>
        <v>Componentes Eléctricos</v>
      </c>
      <c r="M1382" s="74" t="str">
        <f>IFERROR(__xludf.DUMMYFUNCTION("""COMPUTED_VALUE"""),"Sin Asignar")</f>
        <v>Sin Asignar</v>
      </c>
      <c r="N1382" s="87">
        <f>IFERROR(__xludf.DUMMYFUNCTION("""COMPUTED_VALUE"""),0.0)</f>
        <v>0</v>
      </c>
      <c r="O1382" s="74"/>
      <c r="P1382" s="74" t="str">
        <f>IFERROR(__xludf.DUMMYFUNCTION("""COMPUTED_VALUE"""),"No Available")</f>
        <v>No Available</v>
      </c>
      <c r="Q1382" s="74"/>
      <c r="R1382" s="74"/>
      <c r="S1382" s="87">
        <f>IFERROR(__xludf.DUMMYFUNCTION("""COMPUTED_VALUE"""),0.0)</f>
        <v>0</v>
      </c>
      <c r="T1382" s="87">
        <f>IFERROR(__xludf.DUMMYFUNCTION("""COMPUTED_VALUE"""),0.0)</f>
        <v>0</v>
      </c>
      <c r="U1382" s="87">
        <f>IFERROR(__xludf.DUMMYFUNCTION("""COMPUTED_VALUE"""),0.0)</f>
        <v>0</v>
      </c>
      <c r="V1382" s="87">
        <f>IFERROR(__xludf.DUMMYFUNCTION("""COMPUTED_VALUE"""),0.0)</f>
        <v>0</v>
      </c>
      <c r="W1382" s="87">
        <f>IFERROR(__xludf.DUMMYFUNCTION("""COMPUTED_VALUE"""),0.0)</f>
        <v>0</v>
      </c>
      <c r="X1382" s="88"/>
      <c r="Y1382" s="74"/>
      <c r="Z1382" s="74"/>
    </row>
    <row r="1383">
      <c r="B1383" s="74" t="str">
        <f>IFERROR(__xludf.DUMMYFUNCTION("""COMPUTED_VALUE"""),"2380")</f>
        <v>2380</v>
      </c>
      <c r="C1383" s="74"/>
      <c r="D1383" s="74" t="str">
        <f>IFERROR(__xludf.DUMMYFUNCTION("""COMPUTED_VALUE"""),"\\MCA-S\mk\2_BM\0_BMat\08_PYM\Inventario\excel\Imagen de refacciones\Ollas revolvedoras\Chut Handle Mechanic _ Mango Mecánico de Tolva")</f>
        <v>\\MCA-S\mk\2_BM\0_BMat\08_PYM\Inventario\excel\Imagen de refacciones\Ollas revolvedoras\Chut Handle Mechanic _ Mango Mecánico de Tolva</v>
      </c>
      <c r="E1383" s="74"/>
      <c r="F1383" s="74" t="str">
        <f>IFERROR(__xludf.DUMMYFUNCTION("""COMPUTED_VALUE"""),"Chut Handle Mechanic / Mango Mecánico de Tolva")</f>
        <v>Chut Handle Mechanic / Mango Mecánico de Tolva</v>
      </c>
      <c r="G1383" s="74"/>
      <c r="H1383" s="74"/>
      <c r="I1383" s="74" t="str">
        <f>IFERROR(__xludf.DUMMYFUNCTION("""COMPUTED_VALUE"""),"MIX10099")</f>
        <v>MIX10099</v>
      </c>
      <c r="J1383" s="74" t="str">
        <f>IFERROR(__xludf.DUMMYFUNCTION("""COMPUTED_VALUE"""),"610000")</f>
        <v>610000</v>
      </c>
      <c r="K1383" s="74"/>
      <c r="L1383" s="74" t="str">
        <f>IFERROR(__xludf.DUMMYFUNCTION("""COMPUTED_VALUE"""),"Transmisión Mecánica")</f>
        <v>Transmisión Mecánica</v>
      </c>
      <c r="M1383" s="74" t="str">
        <f>IFERROR(__xludf.DUMMYFUNCTION("""COMPUTED_VALUE"""),"Sin Asignar")</f>
        <v>Sin Asignar</v>
      </c>
      <c r="N1383" s="87">
        <f>IFERROR(__xludf.DUMMYFUNCTION("""COMPUTED_VALUE"""),0.0)</f>
        <v>0</v>
      </c>
      <c r="O1383" s="74"/>
      <c r="P1383" s="74" t="str">
        <f>IFERROR(__xludf.DUMMYFUNCTION("""COMPUTED_VALUE"""),"No Available")</f>
        <v>No Available</v>
      </c>
      <c r="Q1383" s="74"/>
      <c r="R1383" s="74"/>
      <c r="S1383" s="87">
        <f>IFERROR(__xludf.DUMMYFUNCTION("""COMPUTED_VALUE"""),0.0)</f>
        <v>0</v>
      </c>
      <c r="T1383" s="87">
        <f>IFERROR(__xludf.DUMMYFUNCTION("""COMPUTED_VALUE"""),0.0)</f>
        <v>0</v>
      </c>
      <c r="U1383" s="87">
        <f>IFERROR(__xludf.DUMMYFUNCTION("""COMPUTED_VALUE"""),0.0)</f>
        <v>0</v>
      </c>
      <c r="V1383" s="87">
        <f>IFERROR(__xludf.DUMMYFUNCTION("""COMPUTED_VALUE"""),0.0)</f>
        <v>0</v>
      </c>
      <c r="W1383" s="87">
        <f>IFERROR(__xludf.DUMMYFUNCTION("""COMPUTED_VALUE"""),0.0)</f>
        <v>0</v>
      </c>
      <c r="X1383" s="88"/>
      <c r="Y1383" s="74"/>
      <c r="Z1383" s="74"/>
    </row>
    <row r="1384">
      <c r="B1384" s="74" t="str">
        <f>IFERROR(__xludf.DUMMYFUNCTION("""COMPUTED_VALUE"""),"2381")</f>
        <v>2381</v>
      </c>
      <c r="C1384" s="74"/>
      <c r="D1384" s="74" t="str">
        <f>IFERROR(__xludf.DUMMYFUNCTION("""COMPUTED_VALUE"""),"\\MCA-S\mk\2_BM\0_BMat\08_PYM\Inventario\excel\Imagen de refacciones\Ollas revolvedoras\Chut Holder _ Soporte de Tolva")</f>
        <v>\\MCA-S\mk\2_BM\0_BMat\08_PYM\Inventario\excel\Imagen de refacciones\Ollas revolvedoras\Chut Holder _ Soporte de Tolva</v>
      </c>
      <c r="E1384" s="74"/>
      <c r="F1384" s="74" t="str">
        <f>IFERROR(__xludf.DUMMYFUNCTION("""COMPUTED_VALUE"""),"Chut Holder / Soporte de Tolva")</f>
        <v>Chut Holder / Soporte de Tolva</v>
      </c>
      <c r="G1384" s="74"/>
      <c r="H1384" s="74"/>
      <c r="I1384" s="74" t="str">
        <f>IFERROR(__xludf.DUMMYFUNCTION("""COMPUTED_VALUE"""),"MIX10147")</f>
        <v>MIX10147</v>
      </c>
      <c r="J1384" s="74"/>
      <c r="K1384" s="74"/>
      <c r="L1384" s="74" t="str">
        <f>IFERROR(__xludf.DUMMYFUNCTION("""COMPUTED_VALUE"""),"Componentes de Descarga")</f>
        <v>Componentes de Descarga</v>
      </c>
      <c r="M1384" s="74" t="str">
        <f>IFERROR(__xludf.DUMMYFUNCTION("""COMPUTED_VALUE"""),"Sin Asignar")</f>
        <v>Sin Asignar</v>
      </c>
      <c r="N1384" s="87">
        <f>IFERROR(__xludf.DUMMYFUNCTION("""COMPUTED_VALUE"""),0.0)</f>
        <v>0</v>
      </c>
      <c r="O1384" s="74"/>
      <c r="P1384" s="74" t="str">
        <f>IFERROR(__xludf.DUMMYFUNCTION("""COMPUTED_VALUE"""),"No Available")</f>
        <v>No Available</v>
      </c>
      <c r="Q1384" s="74"/>
      <c r="R1384" s="74"/>
      <c r="S1384" s="87">
        <f>IFERROR(__xludf.DUMMYFUNCTION("""COMPUTED_VALUE"""),0.0)</f>
        <v>0</v>
      </c>
      <c r="T1384" s="87">
        <f>IFERROR(__xludf.DUMMYFUNCTION("""COMPUTED_VALUE"""),0.0)</f>
        <v>0</v>
      </c>
      <c r="U1384" s="87">
        <f>IFERROR(__xludf.DUMMYFUNCTION("""COMPUTED_VALUE"""),0.0)</f>
        <v>0</v>
      </c>
      <c r="V1384" s="87">
        <f>IFERROR(__xludf.DUMMYFUNCTION("""COMPUTED_VALUE"""),0.0)</f>
        <v>0</v>
      </c>
      <c r="W1384" s="87">
        <f>IFERROR(__xludf.DUMMYFUNCTION("""COMPUTED_VALUE"""),0.0)</f>
        <v>0</v>
      </c>
      <c r="X1384" s="88"/>
      <c r="Y1384" s="74"/>
      <c r="Z1384" s="74"/>
    </row>
    <row r="1385">
      <c r="B1385" s="74" t="str">
        <f>IFERROR(__xludf.DUMMYFUNCTION("""COMPUTED_VALUE"""),"2382")</f>
        <v>2382</v>
      </c>
      <c r="C1385" s="74"/>
      <c r="D1385" s="74" t="str">
        <f>IFERROR(__xludf.DUMMYFUNCTION("""COMPUTED_VALUE"""),"\\MCA-S\mk\2_BM\0_BMat\08_PYM\Inventario\excel\Imagen de refacciones\Ollas revolvedoras\Chut Lock Set _ Juego de Bloqueo de Tolva")</f>
        <v>\\MCA-S\mk\2_BM\0_BMat\08_PYM\Inventario\excel\Imagen de refacciones\Ollas revolvedoras\Chut Lock Set _ Juego de Bloqueo de Tolva</v>
      </c>
      <c r="E1385" s="74"/>
      <c r="F1385" s="74" t="str">
        <f>IFERROR(__xludf.DUMMYFUNCTION("""COMPUTED_VALUE"""),"Chut Lock Set / Juego de Bloqueo de Tolva")</f>
        <v>Chut Lock Set / Juego de Bloqueo de Tolva</v>
      </c>
      <c r="G1385" s="74"/>
      <c r="H1385" s="74"/>
      <c r="I1385" s="74" t="str">
        <f>IFERROR(__xludf.DUMMYFUNCTION("""COMPUTED_VALUE"""),"MIX10149")</f>
        <v>MIX10149</v>
      </c>
      <c r="J1385" s="74"/>
      <c r="K1385" s="74"/>
      <c r="L1385" s="74" t="str">
        <f>IFERROR(__xludf.DUMMYFUNCTION("""COMPUTED_VALUE"""),"Componentes de Bloqueo")</f>
        <v>Componentes de Bloqueo</v>
      </c>
      <c r="M1385" s="74" t="str">
        <f>IFERROR(__xludf.DUMMYFUNCTION("""COMPUTED_VALUE"""),"Sin Asignar")</f>
        <v>Sin Asignar</v>
      </c>
      <c r="N1385" s="87">
        <f>IFERROR(__xludf.DUMMYFUNCTION("""COMPUTED_VALUE"""),0.0)</f>
        <v>0</v>
      </c>
      <c r="O1385" s="74"/>
      <c r="P1385" s="74" t="str">
        <f>IFERROR(__xludf.DUMMYFUNCTION("""COMPUTED_VALUE"""),"No Available")</f>
        <v>No Available</v>
      </c>
      <c r="Q1385" s="74"/>
      <c r="R1385" s="74"/>
      <c r="S1385" s="87">
        <f>IFERROR(__xludf.DUMMYFUNCTION("""COMPUTED_VALUE"""),0.0)</f>
        <v>0</v>
      </c>
      <c r="T1385" s="87">
        <f>IFERROR(__xludf.DUMMYFUNCTION("""COMPUTED_VALUE"""),0.0)</f>
        <v>0</v>
      </c>
      <c r="U1385" s="87">
        <f>IFERROR(__xludf.DUMMYFUNCTION("""COMPUTED_VALUE"""),0.0)</f>
        <v>0</v>
      </c>
      <c r="V1385" s="87">
        <f>IFERROR(__xludf.DUMMYFUNCTION("""COMPUTED_VALUE"""),0.0)</f>
        <v>0</v>
      </c>
      <c r="W1385" s="87">
        <f>IFERROR(__xludf.DUMMYFUNCTION("""COMPUTED_VALUE"""),0.0)</f>
        <v>0</v>
      </c>
      <c r="X1385" s="88"/>
      <c r="Y1385" s="74"/>
      <c r="Z1385" s="74"/>
    </row>
    <row r="1386">
      <c r="B1386" s="74" t="str">
        <f>IFERROR(__xludf.DUMMYFUNCTION("""COMPUTED_VALUE"""),"2383")</f>
        <v>2383</v>
      </c>
      <c r="C1386" s="74"/>
      <c r="D1386" s="74" t="str">
        <f>IFERROR(__xludf.DUMMYFUNCTION("""COMPUTED_VALUE"""),"\\MCA-S\mk\2_BM\0_BMat\08_PYM\Inventario\excel\Imagen de refacciones\Ollas revolvedoras\Chut Short LT Type _ Tolva Corta Tipo LT")</f>
        <v>\\MCA-S\mk\2_BM\0_BMat\08_PYM\Inventario\excel\Imagen de refacciones\Ollas revolvedoras\Chut Short LT Type _ Tolva Corta Tipo LT</v>
      </c>
      <c r="E1386" s="74"/>
      <c r="F1386" s="74" t="str">
        <f>IFERROR(__xludf.DUMMYFUNCTION("""COMPUTED_VALUE"""),"Chut Short LT Type / Tolva Corta Tipo LT")</f>
        <v>Chut Short LT Type / Tolva Corta Tipo LT</v>
      </c>
      <c r="G1386" s="74"/>
      <c r="H1386" s="74"/>
      <c r="I1386" s="74" t="str">
        <f>IFERROR(__xludf.DUMMYFUNCTION("""COMPUTED_VALUE"""),"MIX10135")</f>
        <v>MIX10135</v>
      </c>
      <c r="J1386" s="74"/>
      <c r="K1386" s="74"/>
      <c r="L1386" s="74" t="str">
        <f>IFERROR(__xludf.DUMMYFUNCTION("""COMPUTED_VALUE"""),"Componentes de Descarga")</f>
        <v>Componentes de Descarga</v>
      </c>
      <c r="M1386" s="74" t="str">
        <f>IFERROR(__xludf.DUMMYFUNCTION("""COMPUTED_VALUE"""),"Sin Asignar")</f>
        <v>Sin Asignar</v>
      </c>
      <c r="N1386" s="87">
        <f>IFERROR(__xludf.DUMMYFUNCTION("""COMPUTED_VALUE"""),0.0)</f>
        <v>0</v>
      </c>
      <c r="O1386" s="74"/>
      <c r="P1386" s="74" t="str">
        <f>IFERROR(__xludf.DUMMYFUNCTION("""COMPUTED_VALUE"""),"No Available")</f>
        <v>No Available</v>
      </c>
      <c r="Q1386" s="74"/>
      <c r="R1386" s="74"/>
      <c r="S1386" s="87">
        <f>IFERROR(__xludf.DUMMYFUNCTION("""COMPUTED_VALUE"""),0.0)</f>
        <v>0</v>
      </c>
      <c r="T1386" s="87">
        <f>IFERROR(__xludf.DUMMYFUNCTION("""COMPUTED_VALUE"""),0.0)</f>
        <v>0</v>
      </c>
      <c r="U1386" s="87">
        <f>IFERROR(__xludf.DUMMYFUNCTION("""COMPUTED_VALUE"""),0.0)</f>
        <v>0</v>
      </c>
      <c r="V1386" s="87">
        <f>IFERROR(__xludf.DUMMYFUNCTION("""COMPUTED_VALUE"""),0.0)</f>
        <v>0</v>
      </c>
      <c r="W1386" s="87">
        <f>IFERROR(__xludf.DUMMYFUNCTION("""COMPUTED_VALUE"""),0.0)</f>
        <v>0</v>
      </c>
      <c r="X1386" s="88"/>
      <c r="Y1386" s="74"/>
      <c r="Z1386" s="74"/>
    </row>
    <row r="1387">
      <c r="B1387" s="74" t="str">
        <f>IFERROR(__xludf.DUMMYFUNCTION("""COMPUTED_VALUE"""),"2384")</f>
        <v>2384</v>
      </c>
      <c r="C1387" s="74"/>
      <c r="D1387" s="74" t="str">
        <f>IFERROR(__xludf.DUMMYFUNCTION("""COMPUTED_VALUE"""),"\\MCA-S\mk\2_BM\0_BMat\08_PYM\Inventario\excel\Imagen de refacciones\Ollas revolvedoras\Chut Step for Sheet Iron _ Escalón de Tolva para Chapa de Hierro")</f>
        <v>\\MCA-S\mk\2_BM\0_BMat\08_PYM\Inventario\excel\Imagen de refacciones\Ollas revolvedoras\Chut Step for Sheet Iron _ Escalón de Tolva para Chapa de Hierro</v>
      </c>
      <c r="E1387" s="74"/>
      <c r="F1387" s="74" t="str">
        <f>IFERROR(__xludf.DUMMYFUNCTION("""COMPUTED_VALUE"""),"Chut Step for Sheet Iron / Escalón de Tolva para Chapa de Hierro")</f>
        <v>Chut Step for Sheet Iron / Escalón de Tolva para Chapa de Hierro</v>
      </c>
      <c r="G1387" s="74"/>
      <c r="H1387" s="74"/>
      <c r="I1387" s="74" t="str">
        <f>IFERROR(__xludf.DUMMYFUNCTION("""COMPUTED_VALUE"""),"MIX10148")</f>
        <v>MIX10148</v>
      </c>
      <c r="J1387" s="74"/>
      <c r="K1387" s="74"/>
      <c r="L1387" s="74" t="str">
        <f>IFERROR(__xludf.DUMMYFUNCTION("""COMPUTED_VALUE"""),"Componentes Estructurales y de Montaje")</f>
        <v>Componentes Estructurales y de Montaje</v>
      </c>
      <c r="M1387" s="74" t="str">
        <f>IFERROR(__xludf.DUMMYFUNCTION("""COMPUTED_VALUE"""),"Sin Asignar")</f>
        <v>Sin Asignar</v>
      </c>
      <c r="N1387" s="87">
        <f>IFERROR(__xludf.DUMMYFUNCTION("""COMPUTED_VALUE"""),0.0)</f>
        <v>0</v>
      </c>
      <c r="O1387" s="74"/>
      <c r="P1387" s="74" t="str">
        <f>IFERROR(__xludf.DUMMYFUNCTION("""COMPUTED_VALUE"""),"No Available")</f>
        <v>No Available</v>
      </c>
      <c r="Q1387" s="74"/>
      <c r="R1387" s="74"/>
      <c r="S1387" s="87">
        <f>IFERROR(__xludf.DUMMYFUNCTION("""COMPUTED_VALUE"""),0.0)</f>
        <v>0</v>
      </c>
      <c r="T1387" s="87">
        <f>IFERROR(__xludf.DUMMYFUNCTION("""COMPUTED_VALUE"""),0.0)</f>
        <v>0</v>
      </c>
      <c r="U1387" s="87">
        <f>IFERROR(__xludf.DUMMYFUNCTION("""COMPUTED_VALUE"""),0.0)</f>
        <v>0</v>
      </c>
      <c r="V1387" s="87">
        <f>IFERROR(__xludf.DUMMYFUNCTION("""COMPUTED_VALUE"""),0.0)</f>
        <v>0</v>
      </c>
      <c r="W1387" s="87">
        <f>IFERROR(__xludf.DUMMYFUNCTION("""COMPUTED_VALUE"""),0.0)</f>
        <v>0</v>
      </c>
      <c r="X1387" s="88"/>
      <c r="Y1387" s="74"/>
      <c r="Z1387" s="74"/>
    </row>
    <row r="1388">
      <c r="B1388" s="74" t="str">
        <f>IFERROR(__xludf.DUMMYFUNCTION("""COMPUTED_VALUE"""),"2385")</f>
        <v>2385</v>
      </c>
      <c r="C1388" s="74"/>
      <c r="D1388" s="74" t="str">
        <f>IFERROR(__xludf.DUMMYFUNCTION("""COMPUTED_VALUE"""),"\\MCA-S\mk\2_BM\0_BMat\08_PYM\Inventario\excel\Imagen de refacciones\Ollas revolvedoras\Chute Hydraulic Complete _ Hidráulico de Tolva Completo")</f>
        <v>\\MCA-S\mk\2_BM\0_BMat\08_PYM\Inventario\excel\Imagen de refacciones\Ollas revolvedoras\Chute Hydraulic Complete _ Hidráulico de Tolva Completo</v>
      </c>
      <c r="E1388" s="74"/>
      <c r="F1388" s="74" t="str">
        <f>IFERROR(__xludf.DUMMYFUNCTION("""COMPUTED_VALUE"""),"Chute Hydraulic Complete / Hidráulico de Tolva Completo")</f>
        <v>Chute Hydraulic Complete / Hidráulico de Tolva Completo</v>
      </c>
      <c r="G1388" s="74"/>
      <c r="H1388" s="74"/>
      <c r="I1388" s="74" t="str">
        <f>IFERROR(__xludf.DUMMYFUNCTION("""COMPUTED_VALUE"""),"MIX10087")</f>
        <v>MIX10087</v>
      </c>
      <c r="J1388" s="74"/>
      <c r="K1388" s="74"/>
      <c r="L1388" s="74" t="str">
        <f>IFERROR(__xludf.DUMMYFUNCTION("""COMPUTED_VALUE"""),"Componentes Hidráulicos")</f>
        <v>Componentes Hidráulicos</v>
      </c>
      <c r="M1388" s="74" t="str">
        <f>IFERROR(__xludf.DUMMYFUNCTION("""COMPUTED_VALUE"""),"Sin Asignar")</f>
        <v>Sin Asignar</v>
      </c>
      <c r="N1388" s="87">
        <f>IFERROR(__xludf.DUMMYFUNCTION("""COMPUTED_VALUE"""),0.0)</f>
        <v>0</v>
      </c>
      <c r="O1388" s="74"/>
      <c r="P1388" s="74" t="str">
        <f>IFERROR(__xludf.DUMMYFUNCTION("""COMPUTED_VALUE"""),"No Available")</f>
        <v>No Available</v>
      </c>
      <c r="Q1388" s="74"/>
      <c r="R1388" s="74"/>
      <c r="S1388" s="87">
        <f>IFERROR(__xludf.DUMMYFUNCTION("""COMPUTED_VALUE"""),0.0)</f>
        <v>0</v>
      </c>
      <c r="T1388" s="87">
        <f>IFERROR(__xludf.DUMMYFUNCTION("""COMPUTED_VALUE"""),0.0)</f>
        <v>0</v>
      </c>
      <c r="U1388" s="87">
        <f>IFERROR(__xludf.DUMMYFUNCTION("""COMPUTED_VALUE"""),0.0)</f>
        <v>0</v>
      </c>
      <c r="V1388" s="87">
        <f>IFERROR(__xludf.DUMMYFUNCTION("""COMPUTED_VALUE"""),0.0)</f>
        <v>0</v>
      </c>
      <c r="W1388" s="87">
        <f>IFERROR(__xludf.DUMMYFUNCTION("""COMPUTED_VALUE"""),0.0)</f>
        <v>0</v>
      </c>
      <c r="X1388" s="88"/>
      <c r="Y1388" s="74"/>
      <c r="Z1388" s="74"/>
    </row>
    <row r="1389">
      <c r="B1389" s="74" t="str">
        <f>IFERROR(__xludf.DUMMYFUNCTION("""COMPUTED_VALUE"""),"2386")</f>
        <v>2386</v>
      </c>
      <c r="C1389" s="74"/>
      <c r="D1389" s="74" t="str">
        <f>IFERROR(__xludf.DUMMYFUNCTION("""COMPUTED_VALUE"""),"\\MCA-S\mk\2_BM\0_BMat\08_PYM\Inventario\excel\Imagen de refacciones\Ollas revolvedoras\Control Box Double _ Caja de Control Doble")</f>
        <v>\\MCA-S\mk\2_BM\0_BMat\08_PYM\Inventario\excel\Imagen de refacciones\Ollas revolvedoras\Control Box Double _ Caja de Control Doble</v>
      </c>
      <c r="E1389" s="74"/>
      <c r="F1389" s="74" t="str">
        <f>IFERROR(__xludf.DUMMYFUNCTION("""COMPUTED_VALUE"""),"Control Box Double / Caja de Control Doble")</f>
        <v>Control Box Double / Caja de Control Doble</v>
      </c>
      <c r="G1389" s="74"/>
      <c r="H1389" s="74"/>
      <c r="I1389" s="74" t="str">
        <f>IFERROR(__xludf.DUMMYFUNCTION("""COMPUTED_VALUE"""),"MIX10028")</f>
        <v>MIX10028</v>
      </c>
      <c r="J1389" s="74"/>
      <c r="K1389" s="74"/>
      <c r="L1389" s="74" t="str">
        <f>IFERROR(__xludf.DUMMYFUNCTION("""COMPUTED_VALUE"""),"Elementos de Medición y Control")</f>
        <v>Elementos de Medición y Control</v>
      </c>
      <c r="M1389" s="74" t="str">
        <f>IFERROR(__xludf.DUMMYFUNCTION("""COMPUTED_VALUE"""),"Sin Asignar")</f>
        <v>Sin Asignar</v>
      </c>
      <c r="N1389" s="87">
        <f>IFERROR(__xludf.DUMMYFUNCTION("""COMPUTED_VALUE"""),0.0)</f>
        <v>0</v>
      </c>
      <c r="O1389" s="74"/>
      <c r="P1389" s="74" t="str">
        <f>IFERROR(__xludf.DUMMYFUNCTION("""COMPUTED_VALUE"""),"No Available")</f>
        <v>No Available</v>
      </c>
      <c r="Q1389" s="74"/>
      <c r="R1389" s="74"/>
      <c r="S1389" s="87">
        <f>IFERROR(__xludf.DUMMYFUNCTION("""COMPUTED_VALUE"""),0.0)</f>
        <v>0</v>
      </c>
      <c r="T1389" s="87">
        <f>IFERROR(__xludf.DUMMYFUNCTION("""COMPUTED_VALUE"""),0.0)</f>
        <v>0</v>
      </c>
      <c r="U1389" s="87">
        <f>IFERROR(__xludf.DUMMYFUNCTION("""COMPUTED_VALUE"""),0.0)</f>
        <v>0</v>
      </c>
      <c r="V1389" s="87">
        <f>IFERROR(__xludf.DUMMYFUNCTION("""COMPUTED_VALUE"""),0.0)</f>
        <v>0</v>
      </c>
      <c r="W1389" s="87">
        <f>IFERROR(__xludf.DUMMYFUNCTION("""COMPUTED_VALUE"""),0.0)</f>
        <v>0</v>
      </c>
      <c r="X1389" s="88"/>
      <c r="Y1389" s="74"/>
      <c r="Z1389" s="74"/>
    </row>
    <row r="1390">
      <c r="B1390" s="74" t="str">
        <f>IFERROR(__xludf.DUMMYFUNCTION("""COMPUTED_VALUE"""),"2387")</f>
        <v>2387</v>
      </c>
      <c r="C1390" s="74"/>
      <c r="D1390" s="74" t="str">
        <f>IFERROR(__xludf.DUMMYFUNCTION("""COMPUTED_VALUE"""),"\\MCA-S\mk\2_BM\0_BMat\08_PYM\Inventario\excel\Imagen de refacciones\Ollas revolvedoras\Control Box Single _ Caja de Control Simple")</f>
        <v>\\MCA-S\mk\2_BM\0_BMat\08_PYM\Inventario\excel\Imagen de refacciones\Ollas revolvedoras\Control Box Single _ Caja de Control Simple</v>
      </c>
      <c r="E1390" s="74"/>
      <c r="F1390" s="74" t="str">
        <f>IFERROR(__xludf.DUMMYFUNCTION("""COMPUTED_VALUE"""),"Control Box Single / Caja de Control Simple")</f>
        <v>Control Box Single / Caja de Control Simple</v>
      </c>
      <c r="G1390" s="74"/>
      <c r="H1390" s="74"/>
      <c r="I1390" s="74" t="str">
        <f>IFERROR(__xludf.DUMMYFUNCTION("""COMPUTED_VALUE"""),"MIX10027")</f>
        <v>MIX10027</v>
      </c>
      <c r="J1390" s="74"/>
      <c r="K1390" s="74"/>
      <c r="L1390" s="74" t="str">
        <f>IFERROR(__xludf.DUMMYFUNCTION("""COMPUTED_VALUE"""),"Elementos de Medición y Control")</f>
        <v>Elementos de Medición y Control</v>
      </c>
      <c r="M1390" s="74" t="str">
        <f>IFERROR(__xludf.DUMMYFUNCTION("""COMPUTED_VALUE"""),"Sin Asignar")</f>
        <v>Sin Asignar</v>
      </c>
      <c r="N1390" s="87">
        <f>IFERROR(__xludf.DUMMYFUNCTION("""COMPUTED_VALUE"""),0.0)</f>
        <v>0</v>
      </c>
      <c r="O1390" s="74"/>
      <c r="P1390" s="74" t="str">
        <f>IFERROR(__xludf.DUMMYFUNCTION("""COMPUTED_VALUE"""),"No Available")</f>
        <v>No Available</v>
      </c>
      <c r="Q1390" s="74"/>
      <c r="R1390" s="74"/>
      <c r="S1390" s="87">
        <f>IFERROR(__xludf.DUMMYFUNCTION("""COMPUTED_VALUE"""),0.0)</f>
        <v>0</v>
      </c>
      <c r="T1390" s="87">
        <f>IFERROR(__xludf.DUMMYFUNCTION("""COMPUTED_VALUE"""),0.0)</f>
        <v>0</v>
      </c>
      <c r="U1390" s="87">
        <f>IFERROR(__xludf.DUMMYFUNCTION("""COMPUTED_VALUE"""),0.0)</f>
        <v>0</v>
      </c>
      <c r="V1390" s="87">
        <f>IFERROR(__xludf.DUMMYFUNCTION("""COMPUTED_VALUE"""),0.0)</f>
        <v>0</v>
      </c>
      <c r="W1390" s="87">
        <f>IFERROR(__xludf.DUMMYFUNCTION("""COMPUTED_VALUE"""),0.0)</f>
        <v>0</v>
      </c>
      <c r="X1390" s="88"/>
      <c r="Y1390" s="74"/>
      <c r="Z1390" s="74"/>
    </row>
    <row r="1391">
      <c r="B1391" s="74" t="str">
        <f>IFERROR(__xludf.DUMMYFUNCTION("""COMPUTED_VALUE"""),"2388")</f>
        <v>2388</v>
      </c>
      <c r="C1391" s="74"/>
      <c r="D1391" s="74" t="str">
        <f>IFERROR(__xludf.DUMMYFUNCTION("""COMPUTED_VALUE"""),"\\MCA-S\mk\2_BM\0_BMat\08_PYM\Inventario\excel\Imagen de refacciones\Ollas revolvedoras\Discharge Chut Complete LT Type _ Tolva de Descarga Completa Tipo LT")</f>
        <v>\\MCA-S\mk\2_BM\0_BMat\08_PYM\Inventario\excel\Imagen de refacciones\Ollas revolvedoras\Discharge Chut Complete LT Type _ Tolva de Descarga Completa Tipo LT</v>
      </c>
      <c r="E1391" s="74"/>
      <c r="F1391" s="74" t="str">
        <f>IFERROR(__xludf.DUMMYFUNCTION("""COMPUTED_VALUE"""),"Discharge Chut Complete LT Type / Tolva de Descarga Completa Tipo LT")</f>
        <v>Discharge Chut Complete LT Type / Tolva de Descarga Completa Tipo LT</v>
      </c>
      <c r="G1391" s="74"/>
      <c r="H1391" s="74"/>
      <c r="I1391" s="74" t="str">
        <f>IFERROR(__xludf.DUMMYFUNCTION("""COMPUTED_VALUE"""),"MIX10118")</f>
        <v>MIX10118</v>
      </c>
      <c r="J1391" s="74"/>
      <c r="K1391" s="74"/>
      <c r="L1391" s="74" t="str">
        <f>IFERROR(__xludf.DUMMYFUNCTION("""COMPUTED_VALUE"""),"Componentes de Descarga")</f>
        <v>Componentes de Descarga</v>
      </c>
      <c r="M1391" s="74" t="str">
        <f>IFERROR(__xludf.DUMMYFUNCTION("""COMPUTED_VALUE"""),"Sin Asignar")</f>
        <v>Sin Asignar</v>
      </c>
      <c r="N1391" s="87">
        <f>IFERROR(__xludf.DUMMYFUNCTION("""COMPUTED_VALUE"""),0.0)</f>
        <v>0</v>
      </c>
      <c r="O1391" s="74"/>
      <c r="P1391" s="74" t="str">
        <f>IFERROR(__xludf.DUMMYFUNCTION("""COMPUTED_VALUE"""),"No Available")</f>
        <v>No Available</v>
      </c>
      <c r="Q1391" s="74"/>
      <c r="R1391" s="74"/>
      <c r="S1391" s="87">
        <f>IFERROR(__xludf.DUMMYFUNCTION("""COMPUTED_VALUE"""),0.0)</f>
        <v>0</v>
      </c>
      <c r="T1391" s="87">
        <f>IFERROR(__xludf.DUMMYFUNCTION("""COMPUTED_VALUE"""),0.0)</f>
        <v>0</v>
      </c>
      <c r="U1391" s="87">
        <f>IFERROR(__xludf.DUMMYFUNCTION("""COMPUTED_VALUE"""),0.0)</f>
        <v>0</v>
      </c>
      <c r="V1391" s="87">
        <f>IFERROR(__xludf.DUMMYFUNCTION("""COMPUTED_VALUE"""),0.0)</f>
        <v>0</v>
      </c>
      <c r="W1391" s="87">
        <f>IFERROR(__xludf.DUMMYFUNCTION("""COMPUTED_VALUE"""),0.0)</f>
        <v>0</v>
      </c>
      <c r="X1391" s="88"/>
      <c r="Y1391" s="74"/>
      <c r="Z1391" s="74"/>
    </row>
    <row r="1392">
      <c r="B1392" s="74" t="str">
        <f>IFERROR(__xludf.DUMMYFUNCTION("""COMPUTED_VALUE"""),"2389")</f>
        <v>2389</v>
      </c>
      <c r="C1392" s="74"/>
      <c r="D1392" s="74" t="str">
        <f>IFERROR(__xludf.DUMMYFUNCTION("""COMPUTED_VALUE"""),"\\MCA-S\mk\2_BM\0_BMat\08_PYM\Inventario\excel\Imagen de refacciones\Ollas revolvedoras\Drum Roller Plastic Cover Q280 _ Cubierta de Plástico para Rodillo de Tambor Q280")</f>
        <v>\\MCA-S\mk\2_BM\0_BMat\08_PYM\Inventario\excel\Imagen de refacciones\Ollas revolvedoras\Drum Roller Plastic Cover Q280 _ Cubierta de Plástico para Rodillo de Tambor Q280</v>
      </c>
      <c r="E1392" s="74"/>
      <c r="F1392" s="74" t="str">
        <f>IFERROR(__xludf.DUMMYFUNCTION("""COMPUTED_VALUE"""),"Drum Roller Plastic Cover Q280 / Cubierta de Plástico para Rodillo de Tambor Q280")</f>
        <v>Drum Roller Plastic Cover Q280 / Cubierta de Plástico para Rodillo de Tambor Q280</v>
      </c>
      <c r="G1392" s="74"/>
      <c r="H1392" s="74"/>
      <c r="I1392" s="74" t="str">
        <f>IFERROR(__xludf.DUMMYFUNCTION("""COMPUTED_VALUE"""),"MIX10086")</f>
        <v>MIX10086</v>
      </c>
      <c r="J1392" s="74"/>
      <c r="K1392" s="74"/>
      <c r="L1392" s="74" t="str">
        <f>IFERROR(__xludf.DUMMYFUNCTION("""COMPUTED_VALUE"""),"Componentes Estructurales y de Montaje")</f>
        <v>Componentes Estructurales y de Montaje</v>
      </c>
      <c r="M1392" s="74" t="str">
        <f>IFERROR(__xludf.DUMMYFUNCTION("""COMPUTED_VALUE"""),"Sin Asignar")</f>
        <v>Sin Asignar</v>
      </c>
      <c r="N1392" s="87">
        <f>IFERROR(__xludf.DUMMYFUNCTION("""COMPUTED_VALUE"""),0.0)</f>
        <v>0</v>
      </c>
      <c r="O1392" s="74"/>
      <c r="P1392" s="74" t="str">
        <f>IFERROR(__xludf.DUMMYFUNCTION("""COMPUTED_VALUE"""),"No Available")</f>
        <v>No Available</v>
      </c>
      <c r="Q1392" s="74"/>
      <c r="R1392" s="74"/>
      <c r="S1392" s="87">
        <f>IFERROR(__xludf.DUMMYFUNCTION("""COMPUTED_VALUE"""),0.0)</f>
        <v>0</v>
      </c>
      <c r="T1392" s="87">
        <f>IFERROR(__xludf.DUMMYFUNCTION("""COMPUTED_VALUE"""),0.0)</f>
        <v>0</v>
      </c>
      <c r="U1392" s="87">
        <f>IFERROR(__xludf.DUMMYFUNCTION("""COMPUTED_VALUE"""),0.0)</f>
        <v>0</v>
      </c>
      <c r="V1392" s="87">
        <f>IFERROR(__xludf.DUMMYFUNCTION("""COMPUTED_VALUE"""),0.0)</f>
        <v>0</v>
      </c>
      <c r="W1392" s="87">
        <f>IFERROR(__xludf.DUMMYFUNCTION("""COMPUTED_VALUE"""),0.0)</f>
        <v>0</v>
      </c>
      <c r="X1392" s="88"/>
      <c r="Y1392" s="74"/>
      <c r="Z1392" s="74"/>
    </row>
    <row r="1393">
      <c r="B1393" s="74" t="str">
        <f>IFERROR(__xludf.DUMMYFUNCTION("""COMPUTED_VALUE"""),"2390")</f>
        <v>2390</v>
      </c>
      <c r="C1393" s="74"/>
      <c r="D1393" s="74" t="str">
        <f>IFERROR(__xludf.DUMMYFUNCTION("""COMPUTED_VALUE"""),"\\MCA-S\mk\2_BM\0_BMat\08_PYM\Inventario\excel\Imagen de refacciones\Ollas revolvedoras\Echo Lid Seal _ Sello de Tapa Echo")</f>
        <v>\\MCA-S\mk\2_BM\0_BMat\08_PYM\Inventario\excel\Imagen de refacciones\Ollas revolvedoras\Echo Lid Seal _ Sello de Tapa Echo</v>
      </c>
      <c r="E1393" s="74"/>
      <c r="F1393" s="74" t="str">
        <f>IFERROR(__xludf.DUMMYFUNCTION("""COMPUTED_VALUE"""),"Echo Lid Seal / Sello de Tapa Echo")</f>
        <v>Echo Lid Seal / Sello de Tapa Echo</v>
      </c>
      <c r="G1393" s="74"/>
      <c r="H1393" s="74"/>
      <c r="I1393" s="74" t="str">
        <f>IFERROR(__xludf.DUMMYFUNCTION("""COMPUTED_VALUE"""),"MIX10160")</f>
        <v>MIX10160</v>
      </c>
      <c r="J1393" s="74"/>
      <c r="K1393" s="74"/>
      <c r="L1393" s="74" t="str">
        <f>IFERROR(__xludf.DUMMYFUNCTION("""COMPUTED_VALUE"""),"Sellos y Retenes")</f>
        <v>Sellos y Retenes</v>
      </c>
      <c r="M1393" s="74" t="str">
        <f>IFERROR(__xludf.DUMMYFUNCTION("""COMPUTED_VALUE"""),"Sin Asignar")</f>
        <v>Sin Asignar</v>
      </c>
      <c r="N1393" s="87">
        <f>IFERROR(__xludf.DUMMYFUNCTION("""COMPUTED_VALUE"""),0.0)</f>
        <v>0</v>
      </c>
      <c r="O1393" s="74"/>
      <c r="P1393" s="74" t="str">
        <f>IFERROR(__xludf.DUMMYFUNCTION("""COMPUTED_VALUE"""),"No Available")</f>
        <v>No Available</v>
      </c>
      <c r="Q1393" s="74"/>
      <c r="R1393" s="74"/>
      <c r="S1393" s="87">
        <f>IFERROR(__xludf.DUMMYFUNCTION("""COMPUTED_VALUE"""),0.0)</f>
        <v>0</v>
      </c>
      <c r="T1393" s="87">
        <f>IFERROR(__xludf.DUMMYFUNCTION("""COMPUTED_VALUE"""),0.0)</f>
        <v>0</v>
      </c>
      <c r="U1393" s="87">
        <f>IFERROR(__xludf.DUMMYFUNCTION("""COMPUTED_VALUE"""),0.0)</f>
        <v>0</v>
      </c>
      <c r="V1393" s="87">
        <f>IFERROR(__xludf.DUMMYFUNCTION("""COMPUTED_VALUE"""),0.0)</f>
        <v>0</v>
      </c>
      <c r="W1393" s="87">
        <f>IFERROR(__xludf.DUMMYFUNCTION("""COMPUTED_VALUE"""),0.0)</f>
        <v>0</v>
      </c>
      <c r="X1393" s="88"/>
      <c r="Y1393" s="74"/>
      <c r="Z1393" s="74"/>
    </row>
    <row r="1394">
      <c r="B1394" s="74" t="str">
        <f>IFERROR(__xludf.DUMMYFUNCTION("""COMPUTED_VALUE"""),"2391")</f>
        <v>2391</v>
      </c>
      <c r="C1394" s="74"/>
      <c r="D1394" s="74" t="str">
        <f>IFERROR(__xludf.DUMMYFUNCTION("""COMPUTED_VALUE"""),"\\MCA-S\mk\2_BM\0_BMat\08_PYM\Inventario\excel\Imagen de refacciones\Ollas revolvedoras\Extension Chut LT Type _ Extensión de Tolva Tipo LT")</f>
        <v>\\MCA-S\mk\2_BM\0_BMat\08_PYM\Inventario\excel\Imagen de refacciones\Ollas revolvedoras\Extension Chut LT Type _ Extensión de Tolva Tipo LT</v>
      </c>
      <c r="E1394" s="74"/>
      <c r="F1394" s="74" t="str">
        <f>IFERROR(__xludf.DUMMYFUNCTION("""COMPUTED_VALUE"""),"Extension Chut LT Type / Extensión de Tolva Tipo LT")</f>
        <v>Extension Chut LT Type / Extensión de Tolva Tipo LT</v>
      </c>
      <c r="G1394" s="74"/>
      <c r="H1394" s="74"/>
      <c r="I1394" s="74" t="str">
        <f>IFERROR(__xludf.DUMMYFUNCTION("""COMPUTED_VALUE"""),"MIX10136")</f>
        <v>MIX10136</v>
      </c>
      <c r="J1394" s="74"/>
      <c r="K1394" s="74"/>
      <c r="L1394" s="74" t="str">
        <f>IFERROR(__xludf.DUMMYFUNCTION("""COMPUTED_VALUE"""),"Componentes de Descarga")</f>
        <v>Componentes de Descarga</v>
      </c>
      <c r="M1394" s="74" t="str">
        <f>IFERROR(__xludf.DUMMYFUNCTION("""COMPUTED_VALUE"""),"Sin Asignar")</f>
        <v>Sin Asignar</v>
      </c>
      <c r="N1394" s="87">
        <f>IFERROR(__xludf.DUMMYFUNCTION("""COMPUTED_VALUE"""),0.0)</f>
        <v>0</v>
      </c>
      <c r="O1394" s="74"/>
      <c r="P1394" s="74" t="str">
        <f>IFERROR(__xludf.DUMMYFUNCTION("""COMPUTED_VALUE"""),"No Available")</f>
        <v>No Available</v>
      </c>
      <c r="Q1394" s="74"/>
      <c r="R1394" s="74"/>
      <c r="S1394" s="87">
        <f>IFERROR(__xludf.DUMMYFUNCTION("""COMPUTED_VALUE"""),0.0)</f>
        <v>0</v>
      </c>
      <c r="T1394" s="87">
        <f>IFERROR(__xludf.DUMMYFUNCTION("""COMPUTED_VALUE"""),0.0)</f>
        <v>0</v>
      </c>
      <c r="U1394" s="87">
        <f>IFERROR(__xludf.DUMMYFUNCTION("""COMPUTED_VALUE"""),0.0)</f>
        <v>0</v>
      </c>
      <c r="V1394" s="87">
        <f>IFERROR(__xludf.DUMMYFUNCTION("""COMPUTED_VALUE"""),0.0)</f>
        <v>0</v>
      </c>
      <c r="W1394" s="87">
        <f>IFERROR(__xludf.DUMMYFUNCTION("""COMPUTED_VALUE"""),0.0)</f>
        <v>0</v>
      </c>
      <c r="X1394" s="88"/>
      <c r="Y1394" s="74"/>
      <c r="Z1394" s="74"/>
    </row>
    <row r="1395">
      <c r="B1395" s="74" t="str">
        <f>IFERROR(__xludf.DUMMYFUNCTION("""COMPUTED_VALUE"""),"2392")</f>
        <v>2392</v>
      </c>
      <c r="C1395" s="74"/>
      <c r="D1395" s="74" t="str">
        <f>IFERROR(__xludf.DUMMYFUNCTION("""COMPUTED_VALUE"""),"\\MCA-S\mk\2_BM\0_BMat\08_PYM\Inventario\excel\Imagen de refacciones\Ollas revolvedoras\Fan for Oil Cooler 4 Wings _ Ventilador para Enfriador de Aceite 4 Aspas")</f>
        <v>\\MCA-S\mk\2_BM\0_BMat\08_PYM\Inventario\excel\Imagen de refacciones\Ollas revolvedoras\Fan for Oil Cooler 4 Wings _ Ventilador para Enfriador de Aceite 4 Aspas</v>
      </c>
      <c r="E1395" s="74"/>
      <c r="F1395" s="74" t="str">
        <f>IFERROR(__xludf.DUMMYFUNCTION("""COMPUTED_VALUE"""),"Fan for Oil Cooler 4 Wings / Ventilador para Enfriador de Aceite 4 Aspas")</f>
        <v>Fan for Oil Cooler 4 Wings / Ventilador para Enfriador de Aceite 4 Aspas</v>
      </c>
      <c r="G1395" s="74"/>
      <c r="H1395" s="74"/>
      <c r="I1395" s="74" t="str">
        <f>IFERROR(__xludf.DUMMYFUNCTION("""COMPUTED_VALUE"""),"MIX10104")</f>
        <v>MIX10104</v>
      </c>
      <c r="J1395" s="74"/>
      <c r="K1395" s="74"/>
      <c r="L1395" s="74" t="str">
        <f>IFERROR(__xludf.DUMMYFUNCTION("""COMPUTED_VALUE"""),"Componentes Hidráulicos")</f>
        <v>Componentes Hidráulicos</v>
      </c>
      <c r="M1395" s="74" t="str">
        <f>IFERROR(__xludf.DUMMYFUNCTION("""COMPUTED_VALUE"""),"Sin Asignar")</f>
        <v>Sin Asignar</v>
      </c>
      <c r="N1395" s="87">
        <f>IFERROR(__xludf.DUMMYFUNCTION("""COMPUTED_VALUE"""),0.0)</f>
        <v>0</v>
      </c>
      <c r="O1395" s="74"/>
      <c r="P1395" s="74" t="str">
        <f>IFERROR(__xludf.DUMMYFUNCTION("""COMPUTED_VALUE"""),"No Available")</f>
        <v>No Available</v>
      </c>
      <c r="Q1395" s="74"/>
      <c r="R1395" s="74"/>
      <c r="S1395" s="87">
        <f>IFERROR(__xludf.DUMMYFUNCTION("""COMPUTED_VALUE"""),0.0)</f>
        <v>0</v>
      </c>
      <c r="T1395" s="87">
        <f>IFERROR(__xludf.DUMMYFUNCTION("""COMPUTED_VALUE"""),0.0)</f>
        <v>0</v>
      </c>
      <c r="U1395" s="87">
        <f>IFERROR(__xludf.DUMMYFUNCTION("""COMPUTED_VALUE"""),0.0)</f>
        <v>0</v>
      </c>
      <c r="V1395" s="87">
        <f>IFERROR(__xludf.DUMMYFUNCTION("""COMPUTED_VALUE"""),0.0)</f>
        <v>0</v>
      </c>
      <c r="W1395" s="87">
        <f>IFERROR(__xludf.DUMMYFUNCTION("""COMPUTED_VALUE"""),0.0)</f>
        <v>0</v>
      </c>
      <c r="X1395" s="88"/>
      <c r="Y1395" s="74"/>
      <c r="Z1395" s="74"/>
    </row>
    <row r="1396">
      <c r="B1396" s="74" t="str">
        <f>IFERROR(__xludf.DUMMYFUNCTION("""COMPUTED_VALUE"""),"2393")</f>
        <v>2393</v>
      </c>
      <c r="C1396" s="74"/>
      <c r="D1396" s="74" t="str">
        <f>IFERROR(__xludf.DUMMYFUNCTION("""COMPUTED_VALUE"""),"\\MCA-S\mk\2_BM\0_BMat\08_PYM\Inventario\excel\Imagen de refacciones\Ollas revolvedoras\Filling Chut Complete _ Tolva de Llenado Completa")</f>
        <v>\\MCA-S\mk\2_BM\0_BMat\08_PYM\Inventario\excel\Imagen de refacciones\Ollas revolvedoras\Filling Chut Complete _ Tolva de Llenado Completa</v>
      </c>
      <c r="E1396" s="74"/>
      <c r="F1396" s="74" t="str">
        <f>IFERROR(__xludf.DUMMYFUNCTION("""COMPUTED_VALUE"""),"Filling Chut Complete / Tolva de Llenado Completa")</f>
        <v>Filling Chut Complete / Tolva de Llenado Completa</v>
      </c>
      <c r="G1396" s="74"/>
      <c r="H1396" s="74"/>
      <c r="I1396" s="74" t="str">
        <f>IFERROR(__xludf.DUMMYFUNCTION("""COMPUTED_VALUE"""),"MIX10116")</f>
        <v>MIX10116</v>
      </c>
      <c r="J1396" s="74"/>
      <c r="K1396" s="74"/>
      <c r="L1396" s="74" t="str">
        <f>IFERROR(__xludf.DUMMYFUNCTION("""COMPUTED_VALUE"""),"Componentes Estructurales y de Montaje")</f>
        <v>Componentes Estructurales y de Montaje</v>
      </c>
      <c r="M1396" s="74" t="str">
        <f>IFERROR(__xludf.DUMMYFUNCTION("""COMPUTED_VALUE"""),"Sin Asignar")</f>
        <v>Sin Asignar</v>
      </c>
      <c r="N1396" s="87">
        <f>IFERROR(__xludf.DUMMYFUNCTION("""COMPUTED_VALUE"""),0.0)</f>
        <v>0</v>
      </c>
      <c r="O1396" s="74"/>
      <c r="P1396" s="74" t="str">
        <f>IFERROR(__xludf.DUMMYFUNCTION("""COMPUTED_VALUE"""),"No Available")</f>
        <v>No Available</v>
      </c>
      <c r="Q1396" s="74"/>
      <c r="R1396" s="74"/>
      <c r="S1396" s="87">
        <f>IFERROR(__xludf.DUMMYFUNCTION("""COMPUTED_VALUE"""),0.0)</f>
        <v>0</v>
      </c>
      <c r="T1396" s="87">
        <f>IFERROR(__xludf.DUMMYFUNCTION("""COMPUTED_VALUE"""),0.0)</f>
        <v>0</v>
      </c>
      <c r="U1396" s="87">
        <f>IFERROR(__xludf.DUMMYFUNCTION("""COMPUTED_VALUE"""),0.0)</f>
        <v>0</v>
      </c>
      <c r="V1396" s="87">
        <f>IFERROR(__xludf.DUMMYFUNCTION("""COMPUTED_VALUE"""),0.0)</f>
        <v>0</v>
      </c>
      <c r="W1396" s="87">
        <f>IFERROR(__xludf.DUMMYFUNCTION("""COMPUTED_VALUE"""),0.0)</f>
        <v>0</v>
      </c>
      <c r="X1396" s="88"/>
      <c r="Y1396" s="74"/>
      <c r="Z1396" s="74"/>
    </row>
    <row r="1397">
      <c r="B1397" s="74" t="str">
        <f>IFERROR(__xludf.DUMMYFUNCTION("""COMPUTED_VALUE"""),"2394")</f>
        <v>2394</v>
      </c>
      <c r="C1397" s="74"/>
      <c r="D1397" s="74" t="str">
        <f>IFERROR(__xludf.DUMMYFUNCTION("""COMPUTED_VALUE"""),"\\MCA-S\mk\2_BM\0_BMat\08_PYM\Inventario\excel\Imagen de refacciones\Ollas revolvedoras\Gear for C30 Water Pump _ Engranaje para Bomba de Agua C30")</f>
        <v>\\MCA-S\mk\2_BM\0_BMat\08_PYM\Inventario\excel\Imagen de refacciones\Ollas revolvedoras\Gear for C30 Water Pump _ Engranaje para Bomba de Agua C30</v>
      </c>
      <c r="E1397" s="74"/>
      <c r="F1397" s="74" t="str">
        <f>IFERROR(__xludf.DUMMYFUNCTION("""COMPUTED_VALUE"""),"Gear for C30 Water Pump / Engranaje para Bomba de Agua C30")</f>
        <v>Gear for C30 Water Pump / Engranaje para Bomba de Agua C30</v>
      </c>
      <c r="G1397" s="74"/>
      <c r="H1397" s="74"/>
      <c r="I1397" s="74" t="str">
        <f>IFERROR(__xludf.DUMMYFUNCTION("""COMPUTED_VALUE"""),"MIX10007")</f>
        <v>MIX10007</v>
      </c>
      <c r="J1397" s="74" t="str">
        <f>IFERROR(__xludf.DUMMYFUNCTION("""COMPUTED_VALUE"""),"LRCL0043J7")</f>
        <v>LRCL0043J7</v>
      </c>
      <c r="K1397" s="74"/>
      <c r="L1397" s="74" t="str">
        <f>IFERROR(__xludf.DUMMYFUNCTION("""COMPUTED_VALUE"""),"Transmisión Mecánica")</f>
        <v>Transmisión Mecánica</v>
      </c>
      <c r="M1397" s="74" t="str">
        <f>IFERROR(__xludf.DUMMYFUNCTION("""COMPUTED_VALUE"""),"Sin Asignar")</f>
        <v>Sin Asignar</v>
      </c>
      <c r="N1397" s="87">
        <f>IFERROR(__xludf.DUMMYFUNCTION("""COMPUTED_VALUE"""),0.0)</f>
        <v>0</v>
      </c>
      <c r="O1397" s="74"/>
      <c r="P1397" s="74" t="str">
        <f>IFERROR(__xludf.DUMMYFUNCTION("""COMPUTED_VALUE"""),"No Available")</f>
        <v>No Available</v>
      </c>
      <c r="Q1397" s="74"/>
      <c r="R1397" s="74"/>
      <c r="S1397" s="87">
        <f>IFERROR(__xludf.DUMMYFUNCTION("""COMPUTED_VALUE"""),0.0)</f>
        <v>0</v>
      </c>
      <c r="T1397" s="87">
        <f>IFERROR(__xludf.DUMMYFUNCTION("""COMPUTED_VALUE"""),0.0)</f>
        <v>0</v>
      </c>
      <c r="U1397" s="87">
        <f>IFERROR(__xludf.DUMMYFUNCTION("""COMPUTED_VALUE"""),0.0)</f>
        <v>0</v>
      </c>
      <c r="V1397" s="87">
        <f>IFERROR(__xludf.DUMMYFUNCTION("""COMPUTED_VALUE"""),0.0)</f>
        <v>0</v>
      </c>
      <c r="W1397" s="87">
        <f>IFERROR(__xludf.DUMMYFUNCTION("""COMPUTED_VALUE"""),0.0)</f>
        <v>0</v>
      </c>
      <c r="X1397" s="88"/>
      <c r="Y1397" s="74"/>
      <c r="Z1397" s="74"/>
    </row>
    <row r="1398">
      <c r="B1398" s="74" t="str">
        <f>IFERROR(__xludf.DUMMYFUNCTION("""COMPUTED_VALUE"""),"2395")</f>
        <v>2395</v>
      </c>
      <c r="C1398" s="74"/>
      <c r="D1398" s="74" t="str">
        <f>IFERROR(__xludf.DUMMYFUNCTION("""COMPUTED_VALUE"""),"\\MCA-S\mk\2_BM\0_BMat\08_PYM\Inventario\excel\Imagen de refacciones\Ollas revolvedoras\Hydraulic Chut Hose _ Manguera de Tolva Hidráulica")</f>
        <v>\\MCA-S\mk\2_BM\0_BMat\08_PYM\Inventario\excel\Imagen de refacciones\Ollas revolvedoras\Hydraulic Chut Hose _ Manguera de Tolva Hidráulica</v>
      </c>
      <c r="E1398" s="74"/>
      <c r="F1398" s="74" t="str">
        <f>IFERROR(__xludf.DUMMYFUNCTION("""COMPUTED_VALUE"""),"Hydraulic Chut Hose / Manguera de Tolva Hidráulica")</f>
        <v>Hydraulic Chut Hose / Manguera de Tolva Hidráulica</v>
      </c>
      <c r="G1398" s="74"/>
      <c r="H1398" s="74"/>
      <c r="I1398" s="74" t="str">
        <f>IFERROR(__xludf.DUMMYFUNCTION("""COMPUTED_VALUE"""),"MIX10094")</f>
        <v>MIX10094</v>
      </c>
      <c r="J1398" s="74"/>
      <c r="K1398" s="74"/>
      <c r="L1398" s="74" t="str">
        <f>IFERROR(__xludf.DUMMYFUNCTION("""COMPUTED_VALUE"""),"Componentes Hidráulicos")</f>
        <v>Componentes Hidráulicos</v>
      </c>
      <c r="M1398" s="74" t="str">
        <f>IFERROR(__xludf.DUMMYFUNCTION("""COMPUTED_VALUE"""),"Sin Asignar")</f>
        <v>Sin Asignar</v>
      </c>
      <c r="N1398" s="87">
        <f>IFERROR(__xludf.DUMMYFUNCTION("""COMPUTED_VALUE"""),0.0)</f>
        <v>0</v>
      </c>
      <c r="O1398" s="74"/>
      <c r="P1398" s="74" t="str">
        <f>IFERROR(__xludf.DUMMYFUNCTION("""COMPUTED_VALUE"""),"No Available")</f>
        <v>No Available</v>
      </c>
      <c r="Q1398" s="74"/>
      <c r="R1398" s="74"/>
      <c r="S1398" s="87">
        <f>IFERROR(__xludf.DUMMYFUNCTION("""COMPUTED_VALUE"""),0.0)</f>
        <v>0</v>
      </c>
      <c r="T1398" s="87">
        <f>IFERROR(__xludf.DUMMYFUNCTION("""COMPUTED_VALUE"""),0.0)</f>
        <v>0</v>
      </c>
      <c r="U1398" s="87">
        <f>IFERROR(__xludf.DUMMYFUNCTION("""COMPUTED_VALUE"""),0.0)</f>
        <v>0</v>
      </c>
      <c r="V1398" s="87">
        <f>IFERROR(__xludf.DUMMYFUNCTION("""COMPUTED_VALUE"""),0.0)</f>
        <v>0</v>
      </c>
      <c r="W1398" s="87">
        <f>IFERROR(__xludf.DUMMYFUNCTION("""COMPUTED_VALUE"""),0.0)</f>
        <v>0</v>
      </c>
      <c r="X1398" s="88"/>
      <c r="Y1398" s="74"/>
      <c r="Z1398" s="74"/>
    </row>
    <row r="1399">
      <c r="B1399" s="74" t="str">
        <f>IFERROR(__xludf.DUMMYFUNCTION("""COMPUTED_VALUE"""),"2396")</f>
        <v>2396</v>
      </c>
      <c r="C1399" s="74"/>
      <c r="D1399" s="74" t="str">
        <f>IFERROR(__xludf.DUMMYFUNCTION("""COMPUTED_VALUE"""),"\\MCA-S\mk\2_BM\0_BMat\08_PYM\Inventario\excel\Imagen de refacciones\Ollas revolvedoras\Hydraulic Cylinder _ Cilindro Hidráulico")</f>
        <v>\\MCA-S\mk\2_BM\0_BMat\08_PYM\Inventario\excel\Imagen de refacciones\Ollas revolvedoras\Hydraulic Cylinder _ Cilindro Hidráulico</v>
      </c>
      <c r="E1399" s="74"/>
      <c r="F1399" s="74" t="str">
        <f>IFERROR(__xludf.DUMMYFUNCTION("""COMPUTED_VALUE"""),"Hydraulic Cylinder / Cilindro Hidráulico")</f>
        <v>Hydraulic Cylinder / Cilindro Hidráulico</v>
      </c>
      <c r="G1399" s="74"/>
      <c r="H1399" s="74"/>
      <c r="I1399" s="74" t="str">
        <f>IFERROR(__xludf.DUMMYFUNCTION("""COMPUTED_VALUE"""),"MIX10089")</f>
        <v>MIX10089</v>
      </c>
      <c r="J1399" s="74"/>
      <c r="K1399" s="74"/>
      <c r="L1399" s="74" t="str">
        <f>IFERROR(__xludf.DUMMYFUNCTION("""COMPUTED_VALUE"""),"Componentes Hidráulicos")</f>
        <v>Componentes Hidráulicos</v>
      </c>
      <c r="M1399" s="74" t="str">
        <f>IFERROR(__xludf.DUMMYFUNCTION("""COMPUTED_VALUE"""),"Sin Asignar")</f>
        <v>Sin Asignar</v>
      </c>
      <c r="N1399" s="87">
        <f>IFERROR(__xludf.DUMMYFUNCTION("""COMPUTED_VALUE"""),0.0)</f>
        <v>0</v>
      </c>
      <c r="O1399" s="74"/>
      <c r="P1399" s="74" t="str">
        <f>IFERROR(__xludf.DUMMYFUNCTION("""COMPUTED_VALUE"""),"No Available")</f>
        <v>No Available</v>
      </c>
      <c r="Q1399" s="74"/>
      <c r="R1399" s="74"/>
      <c r="S1399" s="87">
        <f>IFERROR(__xludf.DUMMYFUNCTION("""COMPUTED_VALUE"""),0.0)</f>
        <v>0</v>
      </c>
      <c r="T1399" s="87">
        <f>IFERROR(__xludf.DUMMYFUNCTION("""COMPUTED_VALUE"""),0.0)</f>
        <v>0</v>
      </c>
      <c r="U1399" s="87">
        <f>IFERROR(__xludf.DUMMYFUNCTION("""COMPUTED_VALUE"""),0.0)</f>
        <v>0</v>
      </c>
      <c r="V1399" s="87">
        <f>IFERROR(__xludf.DUMMYFUNCTION("""COMPUTED_VALUE"""),0.0)</f>
        <v>0</v>
      </c>
      <c r="W1399" s="87">
        <f>IFERROR(__xludf.DUMMYFUNCTION("""COMPUTED_VALUE"""),0.0)</f>
        <v>0</v>
      </c>
      <c r="X1399" s="88"/>
      <c r="Y1399" s="74"/>
      <c r="Z1399" s="74"/>
    </row>
    <row r="1400">
      <c r="B1400" s="74" t="str">
        <f>IFERROR(__xludf.DUMMYFUNCTION("""COMPUTED_VALUE"""),"2397")</f>
        <v>2397</v>
      </c>
      <c r="C1400" s="74"/>
      <c r="D1400" s="74" t="str">
        <f>IFERROR(__xludf.DUMMYFUNCTION("""COMPUTED_VALUE"""),"\\MCA-S\mk\2_BM\0_BMat\08_PYM\Inventario\excel\Imagen de refacciones\Ollas revolvedoras\Hydraulic Pump _ Bomba Hidráulica")</f>
        <v>\\MCA-S\mk\2_BM\0_BMat\08_PYM\Inventario\excel\Imagen de refacciones\Ollas revolvedoras\Hydraulic Pump _ Bomba Hidráulica</v>
      </c>
      <c r="E1400" s="74"/>
      <c r="F1400" s="74" t="str">
        <f>IFERROR(__xludf.DUMMYFUNCTION("""COMPUTED_VALUE"""),"Hydraulic Pump / Bomba Hidráulica")</f>
        <v>Hydraulic Pump / Bomba Hidráulica</v>
      </c>
      <c r="G1400" s="74"/>
      <c r="H1400" s="74"/>
      <c r="I1400" s="74" t="str">
        <f>IFERROR(__xludf.DUMMYFUNCTION("""COMPUTED_VALUE"""),"MIX10090")</f>
        <v>MIX10090</v>
      </c>
      <c r="J1400" s="74"/>
      <c r="K1400" s="74"/>
      <c r="L1400" s="74" t="str">
        <f>IFERROR(__xludf.DUMMYFUNCTION("""COMPUTED_VALUE"""),"Componentes Hidráulicos")</f>
        <v>Componentes Hidráulicos</v>
      </c>
      <c r="M1400" s="74" t="str">
        <f>IFERROR(__xludf.DUMMYFUNCTION("""COMPUTED_VALUE"""),"Sin Asignar")</f>
        <v>Sin Asignar</v>
      </c>
      <c r="N1400" s="87">
        <f>IFERROR(__xludf.DUMMYFUNCTION("""COMPUTED_VALUE"""),0.0)</f>
        <v>0</v>
      </c>
      <c r="O1400" s="74"/>
      <c r="P1400" s="74" t="str">
        <f>IFERROR(__xludf.DUMMYFUNCTION("""COMPUTED_VALUE"""),"No Available")</f>
        <v>No Available</v>
      </c>
      <c r="Q1400" s="74"/>
      <c r="R1400" s="74"/>
      <c r="S1400" s="87">
        <f>IFERROR(__xludf.DUMMYFUNCTION("""COMPUTED_VALUE"""),0.0)</f>
        <v>0</v>
      </c>
      <c r="T1400" s="87">
        <f>IFERROR(__xludf.DUMMYFUNCTION("""COMPUTED_VALUE"""),0.0)</f>
        <v>0</v>
      </c>
      <c r="U1400" s="87">
        <f>IFERROR(__xludf.DUMMYFUNCTION("""COMPUTED_VALUE"""),0.0)</f>
        <v>0</v>
      </c>
      <c r="V1400" s="87">
        <f>IFERROR(__xludf.DUMMYFUNCTION("""COMPUTED_VALUE"""),0.0)</f>
        <v>0</v>
      </c>
      <c r="W1400" s="87">
        <f>IFERROR(__xludf.DUMMYFUNCTION("""COMPUTED_VALUE"""),0.0)</f>
        <v>0</v>
      </c>
      <c r="X1400" s="88"/>
      <c r="Y1400" s="74"/>
      <c r="Z1400" s="74"/>
    </row>
    <row r="1401">
      <c r="B1401" s="74" t="str">
        <f>IFERROR(__xludf.DUMMYFUNCTION("""COMPUTED_VALUE"""),"2398")</f>
        <v>2398</v>
      </c>
      <c r="C1401" s="74"/>
      <c r="D1401" s="74" t="str">
        <f>IFERROR(__xludf.DUMMYFUNCTION("""COMPUTED_VALUE"""),"\\MCA-S\mk\2_BM\0_BMat\08_PYM\Inventario\excel\Imagen de refacciones\Ollas revolvedoras\Hydraulic Tank 1LT _ Tanque Hidráulico 1LT")</f>
        <v>\\MCA-S\mk\2_BM\0_BMat\08_PYM\Inventario\excel\Imagen de refacciones\Ollas revolvedoras\Hydraulic Tank 1LT _ Tanque Hidráulico 1LT</v>
      </c>
      <c r="E1401" s="74"/>
      <c r="F1401" s="74" t="str">
        <f>IFERROR(__xludf.DUMMYFUNCTION("""COMPUTED_VALUE"""),"Hydraulic Tank 1LT / Tanque Hidráulico 1LT")</f>
        <v>Hydraulic Tank 1LT / Tanque Hidráulico 1LT</v>
      </c>
      <c r="G1401" s="74"/>
      <c r="H1401" s="74"/>
      <c r="I1401" s="74" t="str">
        <f>IFERROR(__xludf.DUMMYFUNCTION("""COMPUTED_VALUE"""),"MIX10095")</f>
        <v>MIX10095</v>
      </c>
      <c r="J1401" s="74"/>
      <c r="K1401" s="74"/>
      <c r="L1401" s="74" t="str">
        <f>IFERROR(__xludf.DUMMYFUNCTION("""COMPUTED_VALUE"""),"Componentes Hidráulicos")</f>
        <v>Componentes Hidráulicos</v>
      </c>
      <c r="M1401" s="74" t="str">
        <f>IFERROR(__xludf.DUMMYFUNCTION("""COMPUTED_VALUE"""),"Sin Asignar")</f>
        <v>Sin Asignar</v>
      </c>
      <c r="N1401" s="87">
        <f>IFERROR(__xludf.DUMMYFUNCTION("""COMPUTED_VALUE"""),0.0)</f>
        <v>0</v>
      </c>
      <c r="O1401" s="74"/>
      <c r="P1401" s="74" t="str">
        <f>IFERROR(__xludf.DUMMYFUNCTION("""COMPUTED_VALUE"""),"No Available")</f>
        <v>No Available</v>
      </c>
      <c r="Q1401" s="74"/>
      <c r="R1401" s="74"/>
      <c r="S1401" s="87">
        <f>IFERROR(__xludf.DUMMYFUNCTION("""COMPUTED_VALUE"""),0.0)</f>
        <v>0</v>
      </c>
      <c r="T1401" s="87">
        <f>IFERROR(__xludf.DUMMYFUNCTION("""COMPUTED_VALUE"""),0.0)</f>
        <v>0</v>
      </c>
      <c r="U1401" s="87">
        <f>IFERROR(__xludf.DUMMYFUNCTION("""COMPUTED_VALUE"""),0.0)</f>
        <v>0</v>
      </c>
      <c r="V1401" s="87">
        <f>IFERROR(__xludf.DUMMYFUNCTION("""COMPUTED_VALUE"""),0.0)</f>
        <v>0</v>
      </c>
      <c r="W1401" s="87">
        <f>IFERROR(__xludf.DUMMYFUNCTION("""COMPUTED_VALUE"""),0.0)</f>
        <v>0</v>
      </c>
      <c r="X1401" s="88"/>
      <c r="Y1401" s="74"/>
      <c r="Z1401" s="74"/>
    </row>
    <row r="1402">
      <c r="B1402" s="74" t="str">
        <f>IFERROR(__xludf.DUMMYFUNCTION("""COMPUTED_VALUE"""),"2399")</f>
        <v>2399</v>
      </c>
      <c r="C1402" s="74"/>
      <c r="D1402" s="74" t="str">
        <f>IFERROR(__xludf.DUMMYFUNCTION("""COMPUTED_VALUE"""),"\\MCA-S\mk\2_BM\0_BMat\08_PYM\Inventario\excel\Imagen de refacciones\Ollas revolvedoras\Hydraulic Tank Handle _ Asa de Tanque Hidráulico")</f>
        <v>\\MCA-S\mk\2_BM\0_BMat\08_PYM\Inventario\excel\Imagen de refacciones\Ollas revolvedoras\Hydraulic Tank Handle _ Asa de Tanque Hidráulico</v>
      </c>
      <c r="E1402" s="74"/>
      <c r="F1402" s="74" t="str">
        <f>IFERROR(__xludf.DUMMYFUNCTION("""COMPUTED_VALUE"""),"Hydraulic Tank Handle / Asa de Tanque Hidráulico")</f>
        <v>Hydraulic Tank Handle / Asa de Tanque Hidráulico</v>
      </c>
      <c r="G1402" s="74"/>
      <c r="H1402" s="74"/>
      <c r="I1402" s="74" t="str">
        <f>IFERROR(__xludf.DUMMYFUNCTION("""COMPUTED_VALUE"""),"MIX10091")</f>
        <v>MIX10091</v>
      </c>
      <c r="J1402" s="74"/>
      <c r="K1402" s="74"/>
      <c r="L1402" s="74" t="str">
        <f>IFERROR(__xludf.DUMMYFUNCTION("""COMPUTED_VALUE"""),"Componentes Hidráulicos")</f>
        <v>Componentes Hidráulicos</v>
      </c>
      <c r="M1402" s="74" t="str">
        <f>IFERROR(__xludf.DUMMYFUNCTION("""COMPUTED_VALUE"""),"Sin Asignar")</f>
        <v>Sin Asignar</v>
      </c>
      <c r="N1402" s="87">
        <f>IFERROR(__xludf.DUMMYFUNCTION("""COMPUTED_VALUE"""),0.0)</f>
        <v>0</v>
      </c>
      <c r="O1402" s="74"/>
      <c r="P1402" s="74" t="str">
        <f>IFERROR(__xludf.DUMMYFUNCTION("""COMPUTED_VALUE"""),"No Available")</f>
        <v>No Available</v>
      </c>
      <c r="Q1402" s="74"/>
      <c r="R1402" s="74"/>
      <c r="S1402" s="87">
        <f>IFERROR(__xludf.DUMMYFUNCTION("""COMPUTED_VALUE"""),0.0)</f>
        <v>0</v>
      </c>
      <c r="T1402" s="87">
        <f>IFERROR(__xludf.DUMMYFUNCTION("""COMPUTED_VALUE"""),0.0)</f>
        <v>0</v>
      </c>
      <c r="U1402" s="87">
        <f>IFERROR(__xludf.DUMMYFUNCTION("""COMPUTED_VALUE"""),0.0)</f>
        <v>0</v>
      </c>
      <c r="V1402" s="87">
        <f>IFERROR(__xludf.DUMMYFUNCTION("""COMPUTED_VALUE"""),0.0)</f>
        <v>0</v>
      </c>
      <c r="W1402" s="87">
        <f>IFERROR(__xludf.DUMMYFUNCTION("""COMPUTED_VALUE"""),0.0)</f>
        <v>0</v>
      </c>
      <c r="X1402" s="88"/>
      <c r="Y1402" s="74"/>
      <c r="Z1402" s="74"/>
    </row>
    <row r="1403">
      <c r="B1403" s="74" t="str">
        <f>IFERROR(__xludf.DUMMYFUNCTION("""COMPUTED_VALUE"""),"2400")</f>
        <v>2400</v>
      </c>
      <c r="C1403" s="74"/>
      <c r="D1403" s="74" t="str">
        <f>IFERROR(__xludf.DUMMYFUNCTION("""COMPUTED_VALUE"""),"\\MCA-S\mk\2_BM\0_BMat\08_PYM\Inventario\excel\Imagen de refacciones\Ollas revolvedoras\Impeller C30 Water Pump _ Impulsor Bomba de Agua C30")</f>
        <v>\\MCA-S\mk\2_BM\0_BMat\08_PYM\Inventario\excel\Imagen de refacciones\Ollas revolvedoras\Impeller C30 Water Pump _ Impulsor Bomba de Agua C30</v>
      </c>
      <c r="E1403" s="74"/>
      <c r="F1403" s="74" t="str">
        <f>IFERROR(__xludf.DUMMYFUNCTION("""COMPUTED_VALUE"""),"Impeller C30 Water Pump / Impulsor Bomba de Agua C30")</f>
        <v>Impeller C30 Water Pump / Impulsor Bomba de Agua C30</v>
      </c>
      <c r="G1403" s="74"/>
      <c r="H1403" s="74"/>
      <c r="I1403" s="74" t="str">
        <f>IFERROR(__xludf.DUMMYFUNCTION("""COMPUTED_VALUE"""),"MIX10006")</f>
        <v>MIX10006</v>
      </c>
      <c r="J1403" s="74" t="str">
        <f>IFERROR(__xludf.DUMMYFUNCTION("""COMPUTED_VALUE"""),"LRCL0043J3")</f>
        <v>LRCL0043J3</v>
      </c>
      <c r="K1403" s="74"/>
      <c r="L1403" s="74" t="str">
        <f>IFERROR(__xludf.DUMMYFUNCTION("""COMPUTED_VALUE"""),"Sistema de Bombeo de Concreto")</f>
        <v>Sistema de Bombeo de Concreto</v>
      </c>
      <c r="M1403" s="74" t="str">
        <f>IFERROR(__xludf.DUMMYFUNCTION("""COMPUTED_VALUE"""),"Sin Asignar")</f>
        <v>Sin Asignar</v>
      </c>
      <c r="N1403" s="87">
        <f>IFERROR(__xludf.DUMMYFUNCTION("""COMPUTED_VALUE"""),0.0)</f>
        <v>0</v>
      </c>
      <c r="O1403" s="74"/>
      <c r="P1403" s="74" t="str">
        <f>IFERROR(__xludf.DUMMYFUNCTION("""COMPUTED_VALUE"""),"No Available")</f>
        <v>No Available</v>
      </c>
      <c r="Q1403" s="74"/>
      <c r="R1403" s="74"/>
      <c r="S1403" s="87">
        <f>IFERROR(__xludf.DUMMYFUNCTION("""COMPUTED_VALUE"""),0.0)</f>
        <v>0</v>
      </c>
      <c r="T1403" s="87">
        <f>IFERROR(__xludf.DUMMYFUNCTION("""COMPUTED_VALUE"""),0.0)</f>
        <v>0</v>
      </c>
      <c r="U1403" s="87">
        <f>IFERROR(__xludf.DUMMYFUNCTION("""COMPUTED_VALUE"""),0.0)</f>
        <v>0</v>
      </c>
      <c r="V1403" s="87">
        <f>IFERROR(__xludf.DUMMYFUNCTION("""COMPUTED_VALUE"""),0.0)</f>
        <v>0</v>
      </c>
      <c r="W1403" s="87">
        <f>IFERROR(__xludf.DUMMYFUNCTION("""COMPUTED_VALUE"""),0.0)</f>
        <v>0</v>
      </c>
      <c r="X1403" s="88"/>
      <c r="Y1403" s="74"/>
      <c r="Z1403" s="74"/>
    </row>
    <row r="1404">
      <c r="B1404" s="74" t="str">
        <f>IFERROR(__xludf.DUMMYFUNCTION("""COMPUTED_VALUE"""),"2401")</f>
        <v>2401</v>
      </c>
      <c r="C1404" s="74"/>
      <c r="D1404" s="74" t="str">
        <f>IFERROR(__xludf.DUMMYFUNCTION("""COMPUTED_VALUE"""),"\\MCA-S\mk\2_BM\0_BMat\08_PYM\Inventario\excel\Imagen de refacciones\Ollas revolvedoras\Impeller Shaft C30 Water Pump _ Eje Impulsor Bomba de Agua C30")</f>
        <v>\\MCA-S\mk\2_BM\0_BMat\08_PYM\Inventario\excel\Imagen de refacciones\Ollas revolvedoras\Impeller Shaft C30 Water Pump _ Eje Impulsor Bomba de Agua C30</v>
      </c>
      <c r="E1404" s="74"/>
      <c r="F1404" s="74" t="str">
        <f>IFERROR(__xludf.DUMMYFUNCTION("""COMPUTED_VALUE"""),"Impeller Shaft C30 Water Pump / Eje Impulsor Bomba de Agua C30")</f>
        <v>Impeller Shaft C30 Water Pump / Eje Impulsor Bomba de Agua C30</v>
      </c>
      <c r="G1404" s="74"/>
      <c r="H1404" s="74"/>
      <c r="I1404" s="74" t="str">
        <f>IFERROR(__xludf.DUMMYFUNCTION("""COMPUTED_VALUE"""),"MIX10005")</f>
        <v>MIX10005</v>
      </c>
      <c r="J1404" s="74" t="str">
        <f>IFERROR(__xludf.DUMMYFUNCTION("""COMPUTED_VALUE"""),"LRCL0042J6")</f>
        <v>LRCL0042J6</v>
      </c>
      <c r="K1404" s="74"/>
      <c r="L1404" s="74" t="str">
        <f>IFERROR(__xludf.DUMMYFUNCTION("""COMPUTED_VALUE"""),"Sistema de Bombeo de Concreto")</f>
        <v>Sistema de Bombeo de Concreto</v>
      </c>
      <c r="M1404" s="74" t="str">
        <f>IFERROR(__xludf.DUMMYFUNCTION("""COMPUTED_VALUE"""),"Sin Asignar")</f>
        <v>Sin Asignar</v>
      </c>
      <c r="N1404" s="87">
        <f>IFERROR(__xludf.DUMMYFUNCTION("""COMPUTED_VALUE"""),0.0)</f>
        <v>0</v>
      </c>
      <c r="O1404" s="74"/>
      <c r="P1404" s="74" t="str">
        <f>IFERROR(__xludf.DUMMYFUNCTION("""COMPUTED_VALUE"""),"No Available")</f>
        <v>No Available</v>
      </c>
      <c r="Q1404" s="74"/>
      <c r="R1404" s="74"/>
      <c r="S1404" s="87">
        <f>IFERROR(__xludf.DUMMYFUNCTION("""COMPUTED_VALUE"""),0.0)</f>
        <v>0</v>
      </c>
      <c r="T1404" s="87">
        <f>IFERROR(__xludf.DUMMYFUNCTION("""COMPUTED_VALUE"""),0.0)</f>
        <v>0</v>
      </c>
      <c r="U1404" s="87">
        <f>IFERROR(__xludf.DUMMYFUNCTION("""COMPUTED_VALUE"""),0.0)</f>
        <v>0</v>
      </c>
      <c r="V1404" s="87">
        <f>IFERROR(__xludf.DUMMYFUNCTION("""COMPUTED_VALUE"""),0.0)</f>
        <v>0</v>
      </c>
      <c r="W1404" s="87">
        <f>IFERROR(__xludf.DUMMYFUNCTION("""COMPUTED_VALUE"""),0.0)</f>
        <v>0</v>
      </c>
      <c r="X1404" s="88"/>
      <c r="Y1404" s="74"/>
      <c r="Z1404" s="74"/>
    </row>
    <row r="1405">
      <c r="B1405" s="74" t="str">
        <f>IFERROR(__xludf.DUMMYFUNCTION("""COMPUTED_VALUE"""),"2402")</f>
        <v>2402</v>
      </c>
      <c r="C1405" s="74" t="str">
        <f>IFERROR(__xludf.DUMMYFUNCTION("""COMPUTED_VALUE"""),"75045880483")</f>
        <v>75045880483</v>
      </c>
      <c r="D1405" s="74" t="str">
        <f>IFERROR(__xludf.DUMMYFUNCTION("""COMPUTED_VALUE"""),"\\MCA-S\mk\2_BM\0_BMat\08_PYM\Inventario\excel\Imagen de refacciones\Putzmeister\Kit de sellos para cilindro de cambio - 80mm")</f>
        <v>\\MCA-S\mk\2_BM\0_BMat\08_PYM\Inventario\excel\Imagen de refacciones\Putzmeister\Kit de sellos para cilindro de cambio - 80mm</v>
      </c>
      <c r="E1405" s="74" t="str">
        <f>IFERROR(__xludf.DUMMYFUNCTION("""COMPUTED_VALUE"""),"PLUNGER CYLINDER SEAL KITS 60MM")</f>
        <v>PLUNGER CYLINDER SEAL KITS 60MM</v>
      </c>
      <c r="F1405" s="74" t="str">
        <f>IFERROR(__xludf.DUMMYFUNCTION("""COMPUTED_VALUE"""),"KIT SELLOS PARA CILINDRO DE CAMBIO 60MM")</f>
        <v>KIT SELLOS PARA CILINDRO DE CAMBIO 60MM</v>
      </c>
      <c r="G1405" s="74"/>
      <c r="H1405" s="74" t="str">
        <f>IFERROR(__xludf.DUMMYFUNCTION("""COMPUTED_VALUE"""),"KIT DE SELLOS PARA CILINDRO DE CAMBIO - 60 MM PARA BOMBA DE HORMIGON")</f>
        <v>KIT DE SELLOS PARA CILINDRO DE CAMBIO - 60 MM PARA BOMBA DE HORMIGON</v>
      </c>
      <c r="I1405" s="74" t="str">
        <f>IFERROR(__xludf.DUMMYFUNCTION("""COMPUTED_VALUE"""),"262840008/1")</f>
        <v>262840008/1</v>
      </c>
      <c r="J1405" s="74" t="str">
        <f>IFERROR(__xludf.DUMMYFUNCTION("""COMPUTED_VALUE"""),"J01806000")</f>
        <v>J01806000</v>
      </c>
      <c r="K1405" s="74" t="str">
        <f>IFERROR(__xludf.DUMMYFUNCTION("""COMPUTED_VALUE"""),"Putzmeister")</f>
        <v>Putzmeister</v>
      </c>
      <c r="L1405" s="74" t="str">
        <f>IFERROR(__xludf.DUMMYFUNCTION("""COMPUTED_VALUE"""),"BARRA V-ROCK")</f>
        <v>BARRA V-ROCK</v>
      </c>
      <c r="M1405" s="74" t="str">
        <f>IFERROR(__xludf.DUMMYFUNCTION("""COMPUTED_VALUE"""),"Empaques")</f>
        <v>Empaques</v>
      </c>
      <c r="N1405" s="87">
        <f>IFERROR(__xludf.DUMMYFUNCTION("""COMPUTED_VALUE"""),1012.3199999999999)</f>
        <v>1012.32</v>
      </c>
      <c r="O1405" s="74">
        <f>IFERROR(__xludf.DUMMYFUNCTION("""COMPUTED_VALUE"""),3.0)</f>
        <v>3</v>
      </c>
      <c r="P1405" s="74" t="str">
        <f>IFERROR(__xludf.DUMMYFUNCTION("""COMPUTED_VALUE"""),"In stock")</f>
        <v>In stock</v>
      </c>
      <c r="Q1405" s="74"/>
      <c r="R1405" s="74"/>
      <c r="S1405" s="87">
        <f>IFERROR(__xludf.DUMMYFUNCTION("""COMPUTED_VALUE"""),12.0)</f>
        <v>12</v>
      </c>
      <c r="T1405" s="87">
        <f>IFERROR(__xludf.DUMMYFUNCTION("""COMPUTED_VALUE"""),57.0)</f>
        <v>57</v>
      </c>
      <c r="U1405" s="87">
        <f>IFERROR(__xludf.DUMMYFUNCTION("""COMPUTED_VALUE"""),54.72)</f>
        <v>54.72</v>
      </c>
      <c r="V1405" s="87">
        <f>IFERROR(__xludf.DUMMYFUNCTION("""COMPUTED_VALUE"""),14.7)</f>
        <v>14.7</v>
      </c>
      <c r="W1405" s="87">
        <f>IFERROR(__xludf.DUMMYFUNCTION("""COMPUTED_VALUE"""),275.625)</f>
        <v>275.625</v>
      </c>
      <c r="X1405" s="88">
        <f>IFERROR(__xludf.DUMMYFUNCTION("""COMPUTED_VALUE"""),4.56)</f>
        <v>4.56</v>
      </c>
      <c r="Y1405" s="74"/>
      <c r="Z1405" s="74"/>
    </row>
    <row r="1406">
      <c r="B1406" s="74" t="str">
        <f>IFERROR(__xludf.DUMMYFUNCTION("""COMPUTED_VALUE"""),"2403")</f>
        <v>2403</v>
      </c>
      <c r="C1406" s="74"/>
      <c r="D1406" s="74" t="str">
        <f>IFERROR(__xludf.DUMMYFUNCTION("""COMPUTED_VALUE"""),"\\MCA-S\mk\2_BM\0_BMat\08_PYM\Inventario\excel\Imagen de refacciones\Ollas revolvedoras\Long Fiber for Extension Chut _ Fibra Larga para Extensión de Tolva")</f>
        <v>\\MCA-S\mk\2_BM\0_BMat\08_PYM\Inventario\excel\Imagen de refacciones\Ollas revolvedoras\Long Fiber for Extension Chut _ Fibra Larga para Extensión de Tolva</v>
      </c>
      <c r="E1406" s="74"/>
      <c r="F1406" s="74" t="str">
        <f>IFERROR(__xludf.DUMMYFUNCTION("""COMPUTED_VALUE"""),"Long Fiber for Extension Chut / Fibra Larga para Extensión de Tolva")</f>
        <v>Long Fiber for Extension Chut / Fibra Larga para Extensión de Tolva</v>
      </c>
      <c r="G1406" s="74"/>
      <c r="H1406" s="74"/>
      <c r="I1406" s="74" t="str">
        <f>IFERROR(__xludf.DUMMYFUNCTION("""COMPUTED_VALUE"""),"MIX10145")</f>
        <v>MIX10145</v>
      </c>
      <c r="J1406" s="74"/>
      <c r="K1406" s="74"/>
      <c r="L1406" s="74" t="str">
        <f>IFERROR(__xludf.DUMMYFUNCTION("""COMPUTED_VALUE"""),"Componentes de Descarga")</f>
        <v>Componentes de Descarga</v>
      </c>
      <c r="M1406" s="74" t="str">
        <f>IFERROR(__xludf.DUMMYFUNCTION("""COMPUTED_VALUE"""),"Sin Asignar")</f>
        <v>Sin Asignar</v>
      </c>
      <c r="N1406" s="87">
        <f>IFERROR(__xludf.DUMMYFUNCTION("""COMPUTED_VALUE"""),0.0)</f>
        <v>0</v>
      </c>
      <c r="O1406" s="74"/>
      <c r="P1406" s="74" t="str">
        <f>IFERROR(__xludf.DUMMYFUNCTION("""COMPUTED_VALUE"""),"No Available")</f>
        <v>No Available</v>
      </c>
      <c r="Q1406" s="74"/>
      <c r="R1406" s="74"/>
      <c r="S1406" s="87">
        <f>IFERROR(__xludf.DUMMYFUNCTION("""COMPUTED_VALUE"""),0.0)</f>
        <v>0</v>
      </c>
      <c r="T1406" s="87">
        <f>IFERROR(__xludf.DUMMYFUNCTION("""COMPUTED_VALUE"""),0.0)</f>
        <v>0</v>
      </c>
      <c r="U1406" s="87">
        <f>IFERROR(__xludf.DUMMYFUNCTION("""COMPUTED_VALUE"""),0.0)</f>
        <v>0</v>
      </c>
      <c r="V1406" s="87">
        <f>IFERROR(__xludf.DUMMYFUNCTION("""COMPUTED_VALUE"""),0.0)</f>
        <v>0</v>
      </c>
      <c r="W1406" s="87">
        <f>IFERROR(__xludf.DUMMYFUNCTION("""COMPUTED_VALUE"""),0.0)</f>
        <v>0</v>
      </c>
      <c r="X1406" s="88"/>
      <c r="Y1406" s="74"/>
      <c r="Z1406" s="74"/>
    </row>
    <row r="1407">
      <c r="B1407" s="74" t="str">
        <f>IFERROR(__xludf.DUMMYFUNCTION("""COMPUTED_VALUE"""),"2404")</f>
        <v>2404</v>
      </c>
      <c r="C1407" s="74"/>
      <c r="D1407" s="74" t="str">
        <f>IFERROR(__xludf.DUMMYFUNCTION("""COMPUTED_VALUE"""),"\\MCA-S\mk\2_BM\0_BMat\08_PYM\Inventario\excel\Imagen de refacciones\Ollas revolvedoras\Metal Coupling for Balance Ball 23 Teeth _ Acoplamiento Metálico para Bola de Equilibrio 23 Dientes")</f>
        <v>\\MCA-S\mk\2_BM\0_BMat\08_PYM\Inventario\excel\Imagen de refacciones\Ollas revolvedoras\Metal Coupling for Balance Ball 23 Teeth _ Acoplamiento Metálico para Bola de Equilibrio 23 Dientes</v>
      </c>
      <c r="E1407" s="74"/>
      <c r="F1407" s="74" t="str">
        <f>IFERROR(__xludf.DUMMYFUNCTION("""COMPUTED_VALUE"""),"Metal Coupling for Balance Ball 23 Teeth / Acoplamiento Metálico para Bola de Equilibrio 23 Dientes")</f>
        <v>Metal Coupling for Balance Ball 23 Teeth / Acoplamiento Metálico para Bola de Equilibrio 23 Dientes</v>
      </c>
      <c r="G1407" s="74"/>
      <c r="H1407" s="74"/>
      <c r="I1407" s="74" t="str">
        <f>IFERROR(__xludf.DUMMYFUNCTION("""COMPUTED_VALUE"""),"MIX10155")</f>
        <v>MIX10155</v>
      </c>
      <c r="J1407" s="74"/>
      <c r="K1407" s="74"/>
      <c r="L1407" s="74" t="str">
        <f>IFERROR(__xludf.DUMMYFUNCTION("""COMPUTED_VALUE"""),"Componentes de Acoplamiento")</f>
        <v>Componentes de Acoplamiento</v>
      </c>
      <c r="M1407" s="74" t="str">
        <f>IFERROR(__xludf.DUMMYFUNCTION("""COMPUTED_VALUE"""),"Sin Asignar")</f>
        <v>Sin Asignar</v>
      </c>
      <c r="N1407" s="87">
        <f>IFERROR(__xludf.DUMMYFUNCTION("""COMPUTED_VALUE"""),0.0)</f>
        <v>0</v>
      </c>
      <c r="O1407" s="74"/>
      <c r="P1407" s="74" t="str">
        <f>IFERROR(__xludf.DUMMYFUNCTION("""COMPUTED_VALUE"""),"No Available")</f>
        <v>No Available</v>
      </c>
      <c r="Q1407" s="74"/>
      <c r="R1407" s="74"/>
      <c r="S1407" s="87">
        <f>IFERROR(__xludf.DUMMYFUNCTION("""COMPUTED_VALUE"""),0.0)</f>
        <v>0</v>
      </c>
      <c r="T1407" s="87">
        <f>IFERROR(__xludf.DUMMYFUNCTION("""COMPUTED_VALUE"""),0.0)</f>
        <v>0</v>
      </c>
      <c r="U1407" s="87">
        <f>IFERROR(__xludf.DUMMYFUNCTION("""COMPUTED_VALUE"""),0.0)</f>
        <v>0</v>
      </c>
      <c r="V1407" s="87">
        <f>IFERROR(__xludf.DUMMYFUNCTION("""COMPUTED_VALUE"""),0.0)</f>
        <v>0</v>
      </c>
      <c r="W1407" s="87">
        <f>IFERROR(__xludf.DUMMYFUNCTION("""COMPUTED_VALUE"""),0.0)</f>
        <v>0</v>
      </c>
      <c r="X1407" s="88"/>
      <c r="Y1407" s="74"/>
      <c r="Z1407" s="74"/>
    </row>
    <row r="1408">
      <c r="B1408" s="74" t="str">
        <f>IFERROR(__xludf.DUMMYFUNCTION("""COMPUTED_VALUE"""),"2405")</f>
        <v>2405</v>
      </c>
      <c r="C1408" s="74"/>
      <c r="D1408" s="74" t="str">
        <f>IFERROR(__xludf.DUMMYFUNCTION("""COMPUTED_VALUE"""),"\\MCA-S\mk\2_BM\0_BMat\08_PYM\Inventario\excel\Imagen de refacciones\Ollas revolvedoras\Mini Valve for C30 Water Pump _ Mini Válvula para Bomba de Agua C30")</f>
        <v>\\MCA-S\mk\2_BM\0_BMat\08_PYM\Inventario\excel\Imagen de refacciones\Ollas revolvedoras\Mini Valve for C30 Water Pump _ Mini Válvula para Bomba de Agua C30</v>
      </c>
      <c r="E1408" s="74"/>
      <c r="F1408" s="74" t="str">
        <f>IFERROR(__xludf.DUMMYFUNCTION("""COMPUTED_VALUE"""),"Mini Valve for C30 Water Pump / Mini Válvula para Bomba de Agua C30")</f>
        <v>Mini Valve for C30 Water Pump / Mini Válvula para Bomba de Agua C30</v>
      </c>
      <c r="G1408" s="74"/>
      <c r="H1408" s="74"/>
      <c r="I1408" s="74" t="str">
        <f>IFERROR(__xludf.DUMMYFUNCTION("""COMPUTED_VALUE"""),"MIX10012")</f>
        <v>MIX10012</v>
      </c>
      <c r="J1408" s="74"/>
      <c r="K1408" s="74"/>
      <c r="L1408" s="74" t="str">
        <f>IFERROR(__xludf.DUMMYFUNCTION("""COMPUTED_VALUE"""),"Componentes Hidráulicos")</f>
        <v>Componentes Hidráulicos</v>
      </c>
      <c r="M1408" s="74" t="str">
        <f>IFERROR(__xludf.DUMMYFUNCTION("""COMPUTED_VALUE"""),"Sin Asignar")</f>
        <v>Sin Asignar</v>
      </c>
      <c r="N1408" s="87">
        <f>IFERROR(__xludf.DUMMYFUNCTION("""COMPUTED_VALUE"""),0.0)</f>
        <v>0</v>
      </c>
      <c r="O1408" s="74"/>
      <c r="P1408" s="74" t="str">
        <f>IFERROR(__xludf.DUMMYFUNCTION("""COMPUTED_VALUE"""),"No Available")</f>
        <v>No Available</v>
      </c>
      <c r="Q1408" s="74"/>
      <c r="R1408" s="74"/>
      <c r="S1408" s="87">
        <f>IFERROR(__xludf.DUMMYFUNCTION("""COMPUTED_VALUE"""),0.0)</f>
        <v>0</v>
      </c>
      <c r="T1408" s="87">
        <f>IFERROR(__xludf.DUMMYFUNCTION("""COMPUTED_VALUE"""),0.0)</f>
        <v>0</v>
      </c>
      <c r="U1408" s="87">
        <f>IFERROR(__xludf.DUMMYFUNCTION("""COMPUTED_VALUE"""),0.0)</f>
        <v>0</v>
      </c>
      <c r="V1408" s="87">
        <f>IFERROR(__xludf.DUMMYFUNCTION("""COMPUTED_VALUE"""),0.0)</f>
        <v>0</v>
      </c>
      <c r="W1408" s="87">
        <f>IFERROR(__xludf.DUMMYFUNCTION("""COMPUTED_VALUE"""),0.0)</f>
        <v>0</v>
      </c>
      <c r="X1408" s="88"/>
      <c r="Y1408" s="74"/>
      <c r="Z1408" s="74"/>
    </row>
    <row r="1409">
      <c r="B1409" s="74" t="str">
        <f>IFERROR(__xludf.DUMMYFUNCTION("""COMPUTED_VALUE"""),"2406")</f>
        <v>2406</v>
      </c>
      <c r="C1409" s="74"/>
      <c r="D1409" s="74" t="str">
        <f>IFERROR(__xludf.DUMMYFUNCTION("""COMPUTED_VALUE"""),"\\MCA-S\mk\2_BM\0_BMat\08_PYM\Inventario\excel\Imagen de refacciones\Ollas revolvedoras\Mixer Felt 125x180x13_49 _ Fieltro Mezclador 125x180x13_49")</f>
        <v>\\MCA-S\mk\2_BM\0_BMat\08_PYM\Inventario\excel\Imagen de refacciones\Ollas revolvedoras\Mixer Felt 125x180x13_49 _ Fieltro Mezclador 125x180x13_49</v>
      </c>
      <c r="E1409" s="74"/>
      <c r="F1409" s="74" t="str">
        <f>IFERROR(__xludf.DUMMYFUNCTION("""COMPUTED_VALUE"""),"Mixer Felt 125x180x13/49 / Fieltro Mezclador 125x180x13/49")</f>
        <v>Mixer Felt 125x180x13/49 / Fieltro Mezclador 125x180x13/49</v>
      </c>
      <c r="G1409" s="74"/>
      <c r="H1409" s="74"/>
      <c r="I1409" s="74" t="str">
        <f>IFERROR(__xludf.DUMMYFUNCTION("""COMPUTED_VALUE"""),"MIX10158")</f>
        <v>MIX10158</v>
      </c>
      <c r="J1409" s="74"/>
      <c r="K1409" s="74"/>
      <c r="L1409" s="74" t="str">
        <f>IFERROR(__xludf.DUMMYFUNCTION("""COMPUTED_VALUE"""),"Sellos y Retenes")</f>
        <v>Sellos y Retenes</v>
      </c>
      <c r="M1409" s="74" t="str">
        <f>IFERROR(__xludf.DUMMYFUNCTION("""COMPUTED_VALUE"""),"Sin Asignar")</f>
        <v>Sin Asignar</v>
      </c>
      <c r="N1409" s="87">
        <f>IFERROR(__xludf.DUMMYFUNCTION("""COMPUTED_VALUE"""),0.0)</f>
        <v>0</v>
      </c>
      <c r="O1409" s="74"/>
      <c r="P1409" s="74" t="str">
        <f>IFERROR(__xludf.DUMMYFUNCTION("""COMPUTED_VALUE"""),"No Available")</f>
        <v>No Available</v>
      </c>
      <c r="Q1409" s="74"/>
      <c r="R1409" s="74"/>
      <c r="S1409" s="87">
        <f>IFERROR(__xludf.DUMMYFUNCTION("""COMPUTED_VALUE"""),0.0)</f>
        <v>0</v>
      </c>
      <c r="T1409" s="87">
        <f>IFERROR(__xludf.DUMMYFUNCTION("""COMPUTED_VALUE"""),0.0)</f>
        <v>0</v>
      </c>
      <c r="U1409" s="87">
        <f>IFERROR(__xludf.DUMMYFUNCTION("""COMPUTED_VALUE"""),0.0)</f>
        <v>0</v>
      </c>
      <c r="V1409" s="87">
        <f>IFERROR(__xludf.DUMMYFUNCTION("""COMPUTED_VALUE"""),0.0)</f>
        <v>0</v>
      </c>
      <c r="W1409" s="87">
        <f>IFERROR(__xludf.DUMMYFUNCTION("""COMPUTED_VALUE"""),0.0)</f>
        <v>0</v>
      </c>
      <c r="X1409" s="88"/>
      <c r="Y1409" s="74"/>
      <c r="Z1409" s="74"/>
    </row>
    <row r="1410">
      <c r="B1410" s="74" t="str">
        <f>IFERROR(__xludf.DUMMYFUNCTION("""COMPUTED_VALUE"""),"2407")</f>
        <v>2407</v>
      </c>
      <c r="C1410" s="74"/>
      <c r="D1410" s="74" t="str">
        <f>IFERROR(__xludf.DUMMYFUNCTION("""COMPUTED_VALUE"""),"\\MCA-S\mk\2_BM\0_BMat\08_PYM\Inventario\excel\Imagen de refacciones\Ollas revolvedoras\Mixer Felt 145x215x14_65 _ Fieltro Mezclador 145x215x14_65")</f>
        <v>\\MCA-S\mk\2_BM\0_BMat\08_PYM\Inventario\excel\Imagen de refacciones\Ollas revolvedoras\Mixer Felt 145x215x14_65 _ Fieltro Mezclador 145x215x14_65</v>
      </c>
      <c r="E1410" s="74"/>
      <c r="F1410" s="74" t="str">
        <f>IFERROR(__xludf.DUMMYFUNCTION("""COMPUTED_VALUE"""),"Mixer Felt 145x215x14/65 / Fieltro Mezclador 145x215x14/65")</f>
        <v>Mixer Felt 145x215x14/65 / Fieltro Mezclador 145x215x14/65</v>
      </c>
      <c r="G1410" s="74"/>
      <c r="H1410" s="74"/>
      <c r="I1410" s="74" t="str">
        <f>IFERROR(__xludf.DUMMYFUNCTION("""COMPUTED_VALUE"""),"MIX10159")</f>
        <v>MIX10159</v>
      </c>
      <c r="J1410" s="74"/>
      <c r="K1410" s="74"/>
      <c r="L1410" s="74" t="str">
        <f>IFERROR(__xludf.DUMMYFUNCTION("""COMPUTED_VALUE"""),"Sellos y Retenes")</f>
        <v>Sellos y Retenes</v>
      </c>
      <c r="M1410" s="74" t="str">
        <f>IFERROR(__xludf.DUMMYFUNCTION("""COMPUTED_VALUE"""),"Sin Asignar")</f>
        <v>Sin Asignar</v>
      </c>
      <c r="N1410" s="87">
        <f>IFERROR(__xludf.DUMMYFUNCTION("""COMPUTED_VALUE"""),0.0)</f>
        <v>0</v>
      </c>
      <c r="O1410" s="74"/>
      <c r="P1410" s="74" t="str">
        <f>IFERROR(__xludf.DUMMYFUNCTION("""COMPUTED_VALUE"""),"No Available")</f>
        <v>No Available</v>
      </c>
      <c r="Q1410" s="74"/>
      <c r="R1410" s="74"/>
      <c r="S1410" s="87">
        <f>IFERROR(__xludf.DUMMYFUNCTION("""COMPUTED_VALUE"""),0.0)</f>
        <v>0</v>
      </c>
      <c r="T1410" s="87">
        <f>IFERROR(__xludf.DUMMYFUNCTION("""COMPUTED_VALUE"""),0.0)</f>
        <v>0</v>
      </c>
      <c r="U1410" s="87">
        <f>IFERROR(__xludf.DUMMYFUNCTION("""COMPUTED_VALUE"""),0.0)</f>
        <v>0</v>
      </c>
      <c r="V1410" s="87">
        <f>IFERROR(__xludf.DUMMYFUNCTION("""COMPUTED_VALUE"""),0.0)</f>
        <v>0</v>
      </c>
      <c r="W1410" s="87">
        <f>IFERROR(__xludf.DUMMYFUNCTION("""COMPUTED_VALUE"""),0.0)</f>
        <v>0</v>
      </c>
      <c r="X1410" s="88"/>
      <c r="Y1410" s="74"/>
      <c r="Z1410" s="74"/>
    </row>
    <row r="1411">
      <c r="B1411" s="74" t="str">
        <f>IFERROR(__xludf.DUMMYFUNCTION("""COMPUTED_VALUE"""),"2408")</f>
        <v>2408</v>
      </c>
      <c r="C1411" s="74"/>
      <c r="D1411" s="74" t="str">
        <f>IFERROR(__xludf.DUMMYFUNCTION("""COMPUTED_VALUE"""),"\\MCA-S\mk\2_BM\0_BMat\08_PYM\Inventario\excel\Imagen de refacciones\Ollas revolvedoras\Oil Cooler Complete _ Enfriador de Aceite Completo")</f>
        <v>\\MCA-S\mk\2_BM\0_BMat\08_PYM\Inventario\excel\Imagen de refacciones\Ollas revolvedoras\Oil Cooler Complete _ Enfriador de Aceite Completo</v>
      </c>
      <c r="E1411" s="74"/>
      <c r="F1411" s="74" t="str">
        <f>IFERROR(__xludf.DUMMYFUNCTION("""COMPUTED_VALUE"""),"Oil Cooler Complete / Enfriador de Aceite Completo")</f>
        <v>Oil Cooler Complete / Enfriador de Aceite Completo</v>
      </c>
      <c r="G1411" s="74"/>
      <c r="H1411" s="74"/>
      <c r="I1411" s="74" t="str">
        <f>IFERROR(__xludf.DUMMYFUNCTION("""COMPUTED_VALUE"""),"MIX10100")</f>
        <v>MIX10100</v>
      </c>
      <c r="J1411" s="74"/>
      <c r="K1411" s="74"/>
      <c r="L1411" s="74" t="str">
        <f>IFERROR(__xludf.DUMMYFUNCTION("""COMPUTED_VALUE"""),"Componentes Hidráulicos")</f>
        <v>Componentes Hidráulicos</v>
      </c>
      <c r="M1411" s="74" t="str">
        <f>IFERROR(__xludf.DUMMYFUNCTION("""COMPUTED_VALUE"""),"Sin Asignar")</f>
        <v>Sin Asignar</v>
      </c>
      <c r="N1411" s="87">
        <f>IFERROR(__xludf.DUMMYFUNCTION("""COMPUTED_VALUE"""),0.0)</f>
        <v>0</v>
      </c>
      <c r="O1411" s="74"/>
      <c r="P1411" s="74" t="str">
        <f>IFERROR(__xludf.DUMMYFUNCTION("""COMPUTED_VALUE"""),"No Available")</f>
        <v>No Available</v>
      </c>
      <c r="Q1411" s="74"/>
      <c r="R1411" s="74"/>
      <c r="S1411" s="87">
        <f>IFERROR(__xludf.DUMMYFUNCTION("""COMPUTED_VALUE"""),0.0)</f>
        <v>0</v>
      </c>
      <c r="T1411" s="87">
        <f>IFERROR(__xludf.DUMMYFUNCTION("""COMPUTED_VALUE"""),0.0)</f>
        <v>0</v>
      </c>
      <c r="U1411" s="87">
        <f>IFERROR(__xludf.DUMMYFUNCTION("""COMPUTED_VALUE"""),0.0)</f>
        <v>0</v>
      </c>
      <c r="V1411" s="87">
        <f>IFERROR(__xludf.DUMMYFUNCTION("""COMPUTED_VALUE"""),0.0)</f>
        <v>0</v>
      </c>
      <c r="W1411" s="87">
        <f>IFERROR(__xludf.DUMMYFUNCTION("""COMPUTED_VALUE"""),0.0)</f>
        <v>0</v>
      </c>
      <c r="X1411" s="88"/>
      <c r="Y1411" s="74"/>
      <c r="Z1411" s="74"/>
    </row>
    <row r="1412">
      <c r="B1412" s="74" t="str">
        <f>IFERROR(__xludf.DUMMYFUNCTION("""COMPUTED_VALUE"""),"2409")</f>
        <v>2409</v>
      </c>
      <c r="C1412" s="74"/>
      <c r="D1412" s="74" t="str">
        <f>IFERROR(__xludf.DUMMYFUNCTION("""COMPUTED_VALUE"""),"\\MCA-S\mk\2_BM\0_BMat\08_PYM\Inventario\excel\Imagen de refacciones\Ollas revolvedoras\Oil Filter _ Filtro de Aceite")</f>
        <v>\\MCA-S\mk\2_BM\0_BMat\08_PYM\Inventario\excel\Imagen de refacciones\Ollas revolvedoras\Oil Filter _ Filtro de Aceite</v>
      </c>
      <c r="E1412" s="74"/>
      <c r="F1412" s="74" t="str">
        <f>IFERROR(__xludf.DUMMYFUNCTION("""COMPUTED_VALUE"""),"Oil Filter / Filtro de Aceite")</f>
        <v>Oil Filter / Filtro de Aceite</v>
      </c>
      <c r="G1412" s="74"/>
      <c r="H1412" s="74"/>
      <c r="I1412" s="74" t="str">
        <f>IFERROR(__xludf.DUMMYFUNCTION("""COMPUTED_VALUE"""),"MIX10105")</f>
        <v>MIX10105</v>
      </c>
      <c r="J1412" s="74"/>
      <c r="K1412" s="74"/>
      <c r="L1412" s="74" t="str">
        <f>IFERROR(__xludf.DUMMYFUNCTION("""COMPUTED_VALUE"""),"Elementos de Medición y Control")</f>
        <v>Elementos de Medición y Control</v>
      </c>
      <c r="M1412" s="74" t="str">
        <f>IFERROR(__xludf.DUMMYFUNCTION("""COMPUTED_VALUE"""),"Sin Asignar")</f>
        <v>Sin Asignar</v>
      </c>
      <c r="N1412" s="87">
        <f>IFERROR(__xludf.DUMMYFUNCTION("""COMPUTED_VALUE"""),0.0)</f>
        <v>0</v>
      </c>
      <c r="O1412" s="74"/>
      <c r="P1412" s="74" t="str">
        <f>IFERROR(__xludf.DUMMYFUNCTION("""COMPUTED_VALUE"""),"No Available")</f>
        <v>No Available</v>
      </c>
      <c r="Q1412" s="74"/>
      <c r="R1412" s="74"/>
      <c r="S1412" s="87">
        <f>IFERROR(__xludf.DUMMYFUNCTION("""COMPUTED_VALUE"""),0.0)</f>
        <v>0</v>
      </c>
      <c r="T1412" s="87">
        <f>IFERROR(__xludf.DUMMYFUNCTION("""COMPUTED_VALUE"""),0.0)</f>
        <v>0</v>
      </c>
      <c r="U1412" s="87">
        <f>IFERROR(__xludf.DUMMYFUNCTION("""COMPUTED_VALUE"""),0.0)</f>
        <v>0</v>
      </c>
      <c r="V1412" s="87">
        <f>IFERROR(__xludf.DUMMYFUNCTION("""COMPUTED_VALUE"""),0.0)</f>
        <v>0</v>
      </c>
      <c r="W1412" s="87">
        <f>IFERROR(__xludf.DUMMYFUNCTION("""COMPUTED_VALUE"""),0.0)</f>
        <v>0</v>
      </c>
      <c r="X1412" s="88"/>
      <c r="Y1412" s="74"/>
      <c r="Z1412" s="74"/>
    </row>
    <row r="1413">
      <c r="B1413" s="74" t="str">
        <f>IFERROR(__xludf.DUMMYFUNCTION("""COMPUTED_VALUE"""),"2410")</f>
        <v>2410</v>
      </c>
      <c r="C1413" s="74"/>
      <c r="D1413" s="74" t="str">
        <f>IFERROR(__xludf.DUMMYFUNCTION("""COMPUTED_VALUE"""),"\\MCA-S\mk\2_BM\0_BMat\08_PYM\Inventario\excel\Imagen de refacciones\Ollas revolvedoras\P.T.O shaft L_63cm D.F_10cm (6 Hole) _ Eje TDF L_63cm D.F_10cm (6 Agujeros)")</f>
        <v>\\MCA-S\mk\2_BM\0_BMat\08_PYM\Inventario\excel\Imagen de refacciones\Ollas revolvedoras\P.T.O shaft L_63cm D.F_10cm (6 Hole) _ Eje TDF L_63cm D.F_10cm (6 Agujeros)</v>
      </c>
      <c r="E1413" s="74"/>
      <c r="F1413" s="74" t="str">
        <f>IFERROR(__xludf.DUMMYFUNCTION("""COMPUTED_VALUE"""),"P.T.O shaft L:63cm D.F:10cm (6 Hole) / Eje TDF L:63cm D.F:10cm (6 Agujeros)")</f>
        <v>P.T.O shaft L:63cm D.F:10cm (6 Hole) / Eje TDF L:63cm D.F:10cm (6 Agujeros)</v>
      </c>
      <c r="G1413" s="74"/>
      <c r="H1413" s="74"/>
      <c r="I1413" s="74" t="str">
        <f>IFERROR(__xludf.DUMMYFUNCTION("""COMPUTED_VALUE"""),"MIX10217")</f>
        <v>MIX10217</v>
      </c>
      <c r="J1413" s="74"/>
      <c r="K1413" s="74"/>
      <c r="L1413" s="74" t="str">
        <f>IFERROR(__xludf.DUMMYFUNCTION("""COMPUTED_VALUE"""),"Transmisión Mecánica")</f>
        <v>Transmisión Mecánica</v>
      </c>
      <c r="M1413" s="74" t="str">
        <f>IFERROR(__xludf.DUMMYFUNCTION("""COMPUTED_VALUE"""),"Sin Asignar")</f>
        <v>Sin Asignar</v>
      </c>
      <c r="N1413" s="87">
        <f>IFERROR(__xludf.DUMMYFUNCTION("""COMPUTED_VALUE"""),0.0)</f>
        <v>0</v>
      </c>
      <c r="O1413" s="74"/>
      <c r="P1413" s="74" t="str">
        <f>IFERROR(__xludf.DUMMYFUNCTION("""COMPUTED_VALUE"""),"No Available")</f>
        <v>No Available</v>
      </c>
      <c r="Q1413" s="74"/>
      <c r="R1413" s="74"/>
      <c r="S1413" s="87">
        <f>IFERROR(__xludf.DUMMYFUNCTION("""COMPUTED_VALUE"""),0.0)</f>
        <v>0</v>
      </c>
      <c r="T1413" s="87">
        <f>IFERROR(__xludf.DUMMYFUNCTION("""COMPUTED_VALUE"""),0.0)</f>
        <v>0</v>
      </c>
      <c r="U1413" s="87">
        <f>IFERROR(__xludf.DUMMYFUNCTION("""COMPUTED_VALUE"""),0.0)</f>
        <v>0</v>
      </c>
      <c r="V1413" s="87">
        <f>IFERROR(__xludf.DUMMYFUNCTION("""COMPUTED_VALUE"""),0.0)</f>
        <v>0</v>
      </c>
      <c r="W1413" s="87">
        <f>IFERROR(__xludf.DUMMYFUNCTION("""COMPUTED_VALUE"""),0.0)</f>
        <v>0</v>
      </c>
      <c r="X1413" s="88"/>
      <c r="Y1413" s="74"/>
      <c r="Z1413" s="74"/>
    </row>
    <row r="1414">
      <c r="B1414" s="74" t="str">
        <f>IFERROR(__xludf.DUMMYFUNCTION("""COMPUTED_VALUE"""),"2411")</f>
        <v>2411</v>
      </c>
      <c r="C1414" s="74"/>
      <c r="D1414" s="74" t="str">
        <f>IFERROR(__xludf.DUMMYFUNCTION("""COMPUTED_VALUE"""),"\\MCA-S\mk\2_BM\0_BMat\08_PYM\Inventario\excel\Imagen de refacciones\Ollas revolvedoras\P.T.O shaft L_72cm D.F_10cm (6 Hole) _ Eje TDF L_72cm D.F_10cm (6 Agujeros)")</f>
        <v>\\MCA-S\mk\2_BM\0_BMat\08_PYM\Inventario\excel\Imagen de refacciones\Ollas revolvedoras\P.T.O shaft L_72cm D.F_10cm (6 Hole) _ Eje TDF L_72cm D.F_10cm (6 Agujeros)</v>
      </c>
      <c r="E1414" s="74"/>
      <c r="F1414" s="74" t="str">
        <f>IFERROR(__xludf.DUMMYFUNCTION("""COMPUTED_VALUE"""),"P.T.O shaft L:72cm D.F:10cm (6 Hole) / Eje TDF L:72cm D.F:10cm (6 Agujeros)")</f>
        <v>P.T.O shaft L:72cm D.F:10cm (6 Hole) / Eje TDF L:72cm D.F:10cm (6 Agujeros)</v>
      </c>
      <c r="G1414" s="74"/>
      <c r="H1414" s="74"/>
      <c r="I1414" s="74" t="str">
        <f>IFERROR(__xludf.DUMMYFUNCTION("""COMPUTED_VALUE"""),"MIX10218")</f>
        <v>MIX10218</v>
      </c>
      <c r="J1414" s="74"/>
      <c r="K1414" s="74"/>
      <c r="L1414" s="74" t="str">
        <f>IFERROR(__xludf.DUMMYFUNCTION("""COMPUTED_VALUE"""),"Transmisión Mecánica")</f>
        <v>Transmisión Mecánica</v>
      </c>
      <c r="M1414" s="74" t="str">
        <f>IFERROR(__xludf.DUMMYFUNCTION("""COMPUTED_VALUE"""),"Sin Asignar")</f>
        <v>Sin Asignar</v>
      </c>
      <c r="N1414" s="87">
        <f>IFERROR(__xludf.DUMMYFUNCTION("""COMPUTED_VALUE"""),0.0)</f>
        <v>0</v>
      </c>
      <c r="O1414" s="74"/>
      <c r="P1414" s="74" t="str">
        <f>IFERROR(__xludf.DUMMYFUNCTION("""COMPUTED_VALUE"""),"No Available")</f>
        <v>No Available</v>
      </c>
      <c r="Q1414" s="74"/>
      <c r="R1414" s="74"/>
      <c r="S1414" s="87">
        <f>IFERROR(__xludf.DUMMYFUNCTION("""COMPUTED_VALUE"""),0.0)</f>
        <v>0</v>
      </c>
      <c r="T1414" s="87">
        <f>IFERROR(__xludf.DUMMYFUNCTION("""COMPUTED_VALUE"""),0.0)</f>
        <v>0</v>
      </c>
      <c r="U1414" s="87">
        <f>IFERROR(__xludf.DUMMYFUNCTION("""COMPUTED_VALUE"""),0.0)</f>
        <v>0</v>
      </c>
      <c r="V1414" s="87">
        <f>IFERROR(__xludf.DUMMYFUNCTION("""COMPUTED_VALUE"""),0.0)</f>
        <v>0</v>
      </c>
      <c r="W1414" s="87">
        <f>IFERROR(__xludf.DUMMYFUNCTION("""COMPUTED_VALUE"""),0.0)</f>
        <v>0</v>
      </c>
      <c r="X1414" s="88"/>
      <c r="Y1414" s="74"/>
      <c r="Z1414" s="74"/>
    </row>
    <row r="1415">
      <c r="B1415" s="74" t="str">
        <f>IFERROR(__xludf.DUMMYFUNCTION("""COMPUTED_VALUE"""),"2412")</f>
        <v>2412</v>
      </c>
      <c r="C1415" s="74"/>
      <c r="D1415" s="74" t="str">
        <f>IFERROR(__xludf.DUMMYFUNCTION("""COMPUTED_VALUE"""),"\\MCA-S\mk\2_BM\0_BMat\08_PYM\Inventario\excel\Imagen de refacciones\Ollas revolvedoras\Plastic Coupling Groove Type _ Acoplamiento Plástico Tipo Ranura")</f>
        <v>\\MCA-S\mk\2_BM\0_BMat\08_PYM\Inventario\excel\Imagen de refacciones\Ollas revolvedoras\Plastic Coupling Groove Type _ Acoplamiento Plástico Tipo Ranura</v>
      </c>
      <c r="E1415" s="74"/>
      <c r="F1415" s="74" t="str">
        <f>IFERROR(__xludf.DUMMYFUNCTION("""COMPUTED_VALUE"""),"Plastic Coupling Groove Type / Acoplamiento Plástico Tipo Ranura")</f>
        <v>Plastic Coupling Groove Type / Acoplamiento Plástico Tipo Ranura</v>
      </c>
      <c r="G1415" s="74"/>
      <c r="H1415" s="74"/>
      <c r="I1415" s="74" t="str">
        <f>IFERROR(__xludf.DUMMYFUNCTION("""COMPUTED_VALUE"""),"MIX10009")</f>
        <v>MIX10009</v>
      </c>
      <c r="J1415" s="74" t="str">
        <f>IFERROR(__xludf.DUMMYFUNCTION("""COMPUTED_VALUE"""),"851515")</f>
        <v>851515</v>
      </c>
      <c r="K1415" s="74"/>
      <c r="L1415" s="74" t="str">
        <f>IFERROR(__xludf.DUMMYFUNCTION("""COMPUTED_VALUE"""),"Componentes Estructurales y de Montaje")</f>
        <v>Componentes Estructurales y de Montaje</v>
      </c>
      <c r="M1415" s="74" t="str">
        <f>IFERROR(__xludf.DUMMYFUNCTION("""COMPUTED_VALUE"""),"Sin Asignar")</f>
        <v>Sin Asignar</v>
      </c>
      <c r="N1415" s="87">
        <f>IFERROR(__xludf.DUMMYFUNCTION("""COMPUTED_VALUE"""),0.0)</f>
        <v>0</v>
      </c>
      <c r="O1415" s="74"/>
      <c r="P1415" s="74" t="str">
        <f>IFERROR(__xludf.DUMMYFUNCTION("""COMPUTED_VALUE"""),"No Available")</f>
        <v>No Available</v>
      </c>
      <c r="Q1415" s="74"/>
      <c r="R1415" s="74"/>
      <c r="S1415" s="87">
        <f>IFERROR(__xludf.DUMMYFUNCTION("""COMPUTED_VALUE"""),0.0)</f>
        <v>0</v>
      </c>
      <c r="T1415" s="87">
        <f>IFERROR(__xludf.DUMMYFUNCTION("""COMPUTED_VALUE"""),0.0)</f>
        <v>0</v>
      </c>
      <c r="U1415" s="87">
        <f>IFERROR(__xludf.DUMMYFUNCTION("""COMPUTED_VALUE"""),0.0)</f>
        <v>0</v>
      </c>
      <c r="V1415" s="87">
        <f>IFERROR(__xludf.DUMMYFUNCTION("""COMPUTED_VALUE"""),0.0)</f>
        <v>0</v>
      </c>
      <c r="W1415" s="87">
        <f>IFERROR(__xludf.DUMMYFUNCTION("""COMPUTED_VALUE"""),0.0)</f>
        <v>0</v>
      </c>
      <c r="X1415" s="88"/>
      <c r="Y1415" s="74"/>
      <c r="Z1415" s="74"/>
    </row>
    <row r="1416">
      <c r="B1416" s="74" t="str">
        <f>IFERROR(__xludf.DUMMYFUNCTION("""COMPUTED_VALUE"""),"2413")</f>
        <v>2413</v>
      </c>
      <c r="C1416" s="74"/>
      <c r="D1416" s="74" t="str">
        <f>IFERROR(__xludf.DUMMYFUNCTION("""COMPUTED_VALUE"""),"\\MCA-S\mk\2_BM\0_BMat\08_PYM\Inventario\excel\Imagen de refacciones\Ollas revolvedoras\Repair Kit of C30 Water Pump (L&amp;T Type) _ Kit de Reparación de Bomba de Agua C30 (Tipo L&amp;T)")</f>
        <v>\\MCA-S\mk\2_BM\0_BMat\08_PYM\Inventario\excel\Imagen de refacciones\Ollas revolvedoras\Repair Kit of C30 Water Pump (L&amp;T Type) _ Kit de Reparación de Bomba de Agua C30 (Tipo L&amp;T)</v>
      </c>
      <c r="E1416" s="74"/>
      <c r="F1416" s="74" t="str">
        <f>IFERROR(__xludf.DUMMYFUNCTION("""COMPUTED_VALUE"""),"Repair Kit of C30 Water Pump (L&amp;T Type) / Kit de Reparación de Bomba de Agua C30 (Tipo L&amp;T)")</f>
        <v>Repair Kit of C30 Water Pump (L&amp;T Type) / Kit de Reparación de Bomba de Agua C30 (Tipo L&amp;T)</v>
      </c>
      <c r="G1416" s="74"/>
      <c r="H1416" s="74"/>
      <c r="I1416" s="74" t="str">
        <f>IFERROR(__xludf.DUMMYFUNCTION("""COMPUTED_VALUE"""),"MIX10002")</f>
        <v>MIX10002</v>
      </c>
      <c r="J1416" s="74" t="str">
        <f>IFERROR(__xludf.DUMMYFUNCTION("""COMPUTED_VALUE"""),"LRCL0048J0")</f>
        <v>LRCL0048J0</v>
      </c>
      <c r="K1416" s="74"/>
      <c r="L1416" s="74" t="str">
        <f>IFERROR(__xludf.DUMMYFUNCTION("""COMPUTED_VALUE"""),"Sistema de Bombeo de Concreto")</f>
        <v>Sistema de Bombeo de Concreto</v>
      </c>
      <c r="M1416" s="74" t="str">
        <f>IFERROR(__xludf.DUMMYFUNCTION("""COMPUTED_VALUE"""),"Sin Asignar")</f>
        <v>Sin Asignar</v>
      </c>
      <c r="N1416" s="87">
        <f>IFERROR(__xludf.DUMMYFUNCTION("""COMPUTED_VALUE"""),0.0)</f>
        <v>0</v>
      </c>
      <c r="O1416" s="74"/>
      <c r="P1416" s="74" t="str">
        <f>IFERROR(__xludf.DUMMYFUNCTION("""COMPUTED_VALUE"""),"No Available")</f>
        <v>No Available</v>
      </c>
      <c r="Q1416" s="74"/>
      <c r="R1416" s="74"/>
      <c r="S1416" s="87">
        <f>IFERROR(__xludf.DUMMYFUNCTION("""COMPUTED_VALUE"""),0.0)</f>
        <v>0</v>
      </c>
      <c r="T1416" s="87">
        <f>IFERROR(__xludf.DUMMYFUNCTION("""COMPUTED_VALUE"""),0.0)</f>
        <v>0</v>
      </c>
      <c r="U1416" s="87">
        <f>IFERROR(__xludf.DUMMYFUNCTION("""COMPUTED_VALUE"""),0.0)</f>
        <v>0</v>
      </c>
      <c r="V1416" s="87">
        <f>IFERROR(__xludf.DUMMYFUNCTION("""COMPUTED_VALUE"""),0.0)</f>
        <v>0</v>
      </c>
      <c r="W1416" s="87">
        <f>IFERROR(__xludf.DUMMYFUNCTION("""COMPUTED_VALUE"""),0.0)</f>
        <v>0</v>
      </c>
      <c r="X1416" s="88"/>
      <c r="Y1416" s="74"/>
      <c r="Z1416" s="74"/>
    </row>
    <row r="1417">
      <c r="B1417" s="74" t="str">
        <f>IFERROR(__xludf.DUMMYFUNCTION("""COMPUTED_VALUE"""),"2414")</f>
        <v>2414</v>
      </c>
      <c r="C1417" s="74"/>
      <c r="D1417" s="74" t="str">
        <f>IFERROR(__xludf.DUMMYFUNCTION("""COMPUTED_VALUE"""),"\\MCA-S\mk\2_BM\0_BMat\08_PYM\Inventario\excel\Imagen de refacciones\Ollas revolvedoras\Roller (Q200 x 110 x 100) External _ Rodillo (Q200 x 110 x 100) Externo")</f>
        <v>\\MCA-S\mk\2_BM\0_BMat\08_PYM\Inventario\excel\Imagen de refacciones\Ollas revolvedoras\Roller (Q200 x 110 x 100) External _ Rodillo (Q200 x 110 x 100) Externo</v>
      </c>
      <c r="E1417" s="74"/>
      <c r="F1417" s="74" t="str">
        <f>IFERROR(__xludf.DUMMYFUNCTION("""COMPUTED_VALUE"""),"Roller (Q200 x 110 x 100) External / Rodillo (Q200 x 110 x 100) Externo")</f>
        <v>Roller (Q200 x 110 x 100) External / Rodillo (Q200 x 110 x 100) Externo</v>
      </c>
      <c r="G1417" s="74"/>
      <c r="H1417" s="74"/>
      <c r="I1417" s="74" t="str">
        <f>IFERROR(__xludf.DUMMYFUNCTION("""COMPUTED_VALUE"""),"MIX10071")</f>
        <v>MIX10071</v>
      </c>
      <c r="J1417" s="74"/>
      <c r="K1417" s="74"/>
      <c r="L1417" s="74" t="str">
        <f>IFERROR(__xludf.DUMMYFUNCTION("""COMPUTED_VALUE"""),"Transmisión Mecánica")</f>
        <v>Transmisión Mecánica</v>
      </c>
      <c r="M1417" s="74" t="str">
        <f>IFERROR(__xludf.DUMMYFUNCTION("""COMPUTED_VALUE"""),"Sin Asignar")</f>
        <v>Sin Asignar</v>
      </c>
      <c r="N1417" s="87">
        <f>IFERROR(__xludf.DUMMYFUNCTION("""COMPUTED_VALUE"""),0.0)</f>
        <v>0</v>
      </c>
      <c r="O1417" s="74"/>
      <c r="P1417" s="74" t="str">
        <f>IFERROR(__xludf.DUMMYFUNCTION("""COMPUTED_VALUE"""),"No Available")</f>
        <v>No Available</v>
      </c>
      <c r="Q1417" s="74"/>
      <c r="R1417" s="74"/>
      <c r="S1417" s="87">
        <f>IFERROR(__xludf.DUMMYFUNCTION("""COMPUTED_VALUE"""),0.0)</f>
        <v>0</v>
      </c>
      <c r="T1417" s="87">
        <f>IFERROR(__xludf.DUMMYFUNCTION("""COMPUTED_VALUE"""),0.0)</f>
        <v>0</v>
      </c>
      <c r="U1417" s="87">
        <f>IFERROR(__xludf.DUMMYFUNCTION("""COMPUTED_VALUE"""),0.0)</f>
        <v>0</v>
      </c>
      <c r="V1417" s="87">
        <f>IFERROR(__xludf.DUMMYFUNCTION("""COMPUTED_VALUE"""),0.0)</f>
        <v>0</v>
      </c>
      <c r="W1417" s="87">
        <f>IFERROR(__xludf.DUMMYFUNCTION("""COMPUTED_VALUE"""),0.0)</f>
        <v>0</v>
      </c>
      <c r="X1417" s="88"/>
      <c r="Y1417" s="74"/>
      <c r="Z1417" s="74"/>
    </row>
    <row r="1418">
      <c r="B1418" s="74" t="str">
        <f>IFERROR(__xludf.DUMMYFUNCTION("""COMPUTED_VALUE"""),"2415")</f>
        <v>2415</v>
      </c>
      <c r="C1418" s="74"/>
      <c r="D1418" s="74" t="str">
        <f>IFERROR(__xludf.DUMMYFUNCTION("""COMPUTED_VALUE"""),"\\MCA-S\mk\2_BM\0_BMat\08_PYM\Inventario\excel\Imagen de refacciones\Ollas revolvedoras\Roller (Q200 X 110 X 105) Complete _ Rodillo (Q200 X 110 X 105) Completo")</f>
        <v>\\MCA-S\mk\2_BM\0_BMat\08_PYM\Inventario\excel\Imagen de refacciones\Ollas revolvedoras\Roller (Q200 X 110 X 105) Complete _ Rodillo (Q200 X 110 X 105) Completo</v>
      </c>
      <c r="E1418" s="74"/>
      <c r="F1418" s="74" t="str">
        <f>IFERROR(__xludf.DUMMYFUNCTION("""COMPUTED_VALUE"""),"Roller (Q200 X 110 X 105) Complete / Rodillo (Q200 X 110 X 105) Completo")</f>
        <v>Roller (Q200 X 110 X 105) Complete / Rodillo (Q200 X 110 X 105) Completo</v>
      </c>
      <c r="G1418" s="74"/>
      <c r="H1418" s="74"/>
      <c r="I1418" s="74" t="str">
        <f>IFERROR(__xludf.DUMMYFUNCTION("""COMPUTED_VALUE"""),"MIX10055")</f>
        <v>MIX10055</v>
      </c>
      <c r="J1418" s="74" t="str">
        <f>IFERROR(__xludf.DUMMYFUNCTION("""COMPUTED_VALUE"""),"30517153000")</f>
        <v>30517153000</v>
      </c>
      <c r="K1418" s="74"/>
      <c r="L1418" s="74" t="str">
        <f>IFERROR(__xludf.DUMMYFUNCTION("""COMPUTED_VALUE"""),"Transmisión Mecánica")</f>
        <v>Transmisión Mecánica</v>
      </c>
      <c r="M1418" s="74" t="str">
        <f>IFERROR(__xludf.DUMMYFUNCTION("""COMPUTED_VALUE"""),"Sin Asignar")</f>
        <v>Sin Asignar</v>
      </c>
      <c r="N1418" s="87">
        <f>IFERROR(__xludf.DUMMYFUNCTION("""COMPUTED_VALUE"""),0.0)</f>
        <v>0</v>
      </c>
      <c r="O1418" s="74"/>
      <c r="P1418" s="74" t="str">
        <f>IFERROR(__xludf.DUMMYFUNCTION("""COMPUTED_VALUE"""),"No Available")</f>
        <v>No Available</v>
      </c>
      <c r="Q1418" s="74"/>
      <c r="R1418" s="74"/>
      <c r="S1418" s="87">
        <f>IFERROR(__xludf.DUMMYFUNCTION("""COMPUTED_VALUE"""),0.0)</f>
        <v>0</v>
      </c>
      <c r="T1418" s="87">
        <f>IFERROR(__xludf.DUMMYFUNCTION("""COMPUTED_VALUE"""),0.0)</f>
        <v>0</v>
      </c>
      <c r="U1418" s="87">
        <f>IFERROR(__xludf.DUMMYFUNCTION("""COMPUTED_VALUE"""),0.0)</f>
        <v>0</v>
      </c>
      <c r="V1418" s="87">
        <f>IFERROR(__xludf.DUMMYFUNCTION("""COMPUTED_VALUE"""),0.0)</f>
        <v>0</v>
      </c>
      <c r="W1418" s="87">
        <f>IFERROR(__xludf.DUMMYFUNCTION("""COMPUTED_VALUE"""),0.0)</f>
        <v>0</v>
      </c>
      <c r="X1418" s="88"/>
      <c r="Y1418" s="74"/>
      <c r="Z1418" s="74"/>
    </row>
    <row r="1419">
      <c r="B1419" s="74" t="str">
        <f>IFERROR(__xludf.DUMMYFUNCTION("""COMPUTED_VALUE"""),"2416")</f>
        <v>2416</v>
      </c>
      <c r="C1419" s="74"/>
      <c r="D1419" s="74" t="str">
        <f>IFERROR(__xludf.DUMMYFUNCTION("""COMPUTED_VALUE"""),"\\MCA-S\mk\2_BM\0_BMat\08_PYM\Inventario\excel\Imagen de refacciones\Ollas revolvedoras\Roller (Q200 x 110 x 105) External _ Rodillo (Q200 x 110 x 105) Externo")</f>
        <v>\\MCA-S\mk\2_BM\0_BMat\08_PYM\Inventario\excel\Imagen de refacciones\Ollas revolvedoras\Roller (Q200 x 110 x 105) External _ Rodillo (Q200 x 110 x 105) Externo</v>
      </c>
      <c r="E1419" s="74"/>
      <c r="F1419" s="74" t="str">
        <f>IFERROR(__xludf.DUMMYFUNCTION("""COMPUTED_VALUE"""),"Roller (Q200 x 110 x 105) External / Rodillo (Q200 x 110 x 105) Externo")</f>
        <v>Roller (Q200 x 110 x 105) External / Rodillo (Q200 x 110 x 105) Externo</v>
      </c>
      <c r="G1419" s="74"/>
      <c r="H1419" s="74"/>
      <c r="I1419" s="74" t="str">
        <f>IFERROR(__xludf.DUMMYFUNCTION("""COMPUTED_VALUE"""),"MIX10067")</f>
        <v>MIX10067</v>
      </c>
      <c r="J1419" s="74" t="str">
        <f>IFERROR(__xludf.DUMMYFUNCTION("""COMPUTED_VALUE"""),"30517153000")</f>
        <v>30517153000</v>
      </c>
      <c r="K1419" s="74"/>
      <c r="L1419" s="74" t="str">
        <f>IFERROR(__xludf.DUMMYFUNCTION("""COMPUTED_VALUE"""),"Transmisión Mecánica")</f>
        <v>Transmisión Mecánica</v>
      </c>
      <c r="M1419" s="74" t="str">
        <f>IFERROR(__xludf.DUMMYFUNCTION("""COMPUTED_VALUE"""),"Sin Asignar")</f>
        <v>Sin Asignar</v>
      </c>
      <c r="N1419" s="87">
        <f>IFERROR(__xludf.DUMMYFUNCTION("""COMPUTED_VALUE"""),0.0)</f>
        <v>0</v>
      </c>
      <c r="O1419" s="74"/>
      <c r="P1419" s="74" t="str">
        <f>IFERROR(__xludf.DUMMYFUNCTION("""COMPUTED_VALUE"""),"No Available")</f>
        <v>No Available</v>
      </c>
      <c r="Q1419" s="74"/>
      <c r="R1419" s="74"/>
      <c r="S1419" s="87">
        <f>IFERROR(__xludf.DUMMYFUNCTION("""COMPUTED_VALUE"""),0.0)</f>
        <v>0</v>
      </c>
      <c r="T1419" s="87">
        <f>IFERROR(__xludf.DUMMYFUNCTION("""COMPUTED_VALUE"""),0.0)</f>
        <v>0</v>
      </c>
      <c r="U1419" s="87">
        <f>IFERROR(__xludf.DUMMYFUNCTION("""COMPUTED_VALUE"""),0.0)</f>
        <v>0</v>
      </c>
      <c r="V1419" s="87">
        <f>IFERROR(__xludf.DUMMYFUNCTION("""COMPUTED_VALUE"""),0.0)</f>
        <v>0</v>
      </c>
      <c r="W1419" s="87">
        <f>IFERROR(__xludf.DUMMYFUNCTION("""COMPUTED_VALUE"""),0.0)</f>
        <v>0</v>
      </c>
      <c r="X1419" s="88"/>
      <c r="Y1419" s="74"/>
      <c r="Z1419" s="74"/>
    </row>
    <row r="1420">
      <c r="B1420" s="74" t="str">
        <f>IFERROR(__xludf.DUMMYFUNCTION("""COMPUTED_VALUE"""),"2417")</f>
        <v>2417</v>
      </c>
      <c r="C1420" s="74"/>
      <c r="D1420" s="74" t="str">
        <f>IFERROR(__xludf.DUMMYFUNCTION("""COMPUTED_VALUE"""),"\\MCA-S\mk\2_BM\0_BMat\08_PYM\Inventario\excel\Imagen de refacciones\Ollas revolvedoras\Roller (Q220 X 110 X 90) Complete _ Rodillo (Q220 X 110 X 90) Completo")</f>
        <v>\\MCA-S\mk\2_BM\0_BMat\08_PYM\Inventario\excel\Imagen de refacciones\Ollas revolvedoras\Roller (Q220 X 110 X 90) Complete _ Rodillo (Q220 X 110 X 90) Completo</v>
      </c>
      <c r="E1420" s="74"/>
      <c r="F1420" s="74" t="str">
        <f>IFERROR(__xludf.DUMMYFUNCTION("""COMPUTED_VALUE"""),"Roller (Q220 X 110 X 90) Complete / Rodillo (Q220 X 110 X 90) Completo")</f>
        <v>Roller (Q220 X 110 X 90) Complete / Rodillo (Q220 X 110 X 90) Completo</v>
      </c>
      <c r="G1420" s="74"/>
      <c r="H1420" s="74"/>
      <c r="I1420" s="74" t="str">
        <f>IFERROR(__xludf.DUMMYFUNCTION("""COMPUTED_VALUE"""),"MIX10050")</f>
        <v>MIX10050</v>
      </c>
      <c r="J1420" s="74" t="str">
        <f>IFERROR(__xludf.DUMMYFUNCTION("""COMPUTED_VALUE"""),"30317010000")</f>
        <v>30317010000</v>
      </c>
      <c r="K1420" s="74"/>
      <c r="L1420" s="74" t="str">
        <f>IFERROR(__xludf.DUMMYFUNCTION("""COMPUTED_VALUE"""),"Transmisión Mecánica")</f>
        <v>Transmisión Mecánica</v>
      </c>
      <c r="M1420" s="74" t="str">
        <f>IFERROR(__xludf.DUMMYFUNCTION("""COMPUTED_VALUE"""),"Sin Asignar")</f>
        <v>Sin Asignar</v>
      </c>
      <c r="N1420" s="87">
        <f>IFERROR(__xludf.DUMMYFUNCTION("""COMPUTED_VALUE"""),0.0)</f>
        <v>0</v>
      </c>
      <c r="O1420" s="74"/>
      <c r="P1420" s="74" t="str">
        <f>IFERROR(__xludf.DUMMYFUNCTION("""COMPUTED_VALUE"""),"No Available")</f>
        <v>No Available</v>
      </c>
      <c r="Q1420" s="74"/>
      <c r="R1420" s="74"/>
      <c r="S1420" s="87">
        <f>IFERROR(__xludf.DUMMYFUNCTION("""COMPUTED_VALUE"""),0.0)</f>
        <v>0</v>
      </c>
      <c r="T1420" s="87">
        <f>IFERROR(__xludf.DUMMYFUNCTION("""COMPUTED_VALUE"""),0.0)</f>
        <v>0</v>
      </c>
      <c r="U1420" s="87">
        <f>IFERROR(__xludf.DUMMYFUNCTION("""COMPUTED_VALUE"""),0.0)</f>
        <v>0</v>
      </c>
      <c r="V1420" s="87">
        <f>IFERROR(__xludf.DUMMYFUNCTION("""COMPUTED_VALUE"""),0.0)</f>
        <v>0</v>
      </c>
      <c r="W1420" s="87">
        <f>IFERROR(__xludf.DUMMYFUNCTION("""COMPUTED_VALUE"""),0.0)</f>
        <v>0</v>
      </c>
      <c r="X1420" s="88"/>
      <c r="Y1420" s="74"/>
      <c r="Z1420" s="74"/>
    </row>
    <row r="1421">
      <c r="B1421" s="74" t="str">
        <f>IFERROR(__xludf.DUMMYFUNCTION("""COMPUTED_VALUE"""),"2418")</f>
        <v>2418</v>
      </c>
      <c r="C1421" s="74"/>
      <c r="D1421" s="74" t="str">
        <f>IFERROR(__xludf.DUMMYFUNCTION("""COMPUTED_VALUE"""),"\\MCA-S\mk\2_BM\0_BMat\08_PYM\Inventario\excel\Imagen de refacciones\Ollas revolvedoras\Roller (Q220 x 110 x 90) External _ Rodillo (Q220 x 110 x 90) Externo")</f>
        <v>\\MCA-S\mk\2_BM\0_BMat\08_PYM\Inventario\excel\Imagen de refacciones\Ollas revolvedoras\Roller (Q220 x 110 x 90) External _ Rodillo (Q220 x 110 x 90) Externo</v>
      </c>
      <c r="E1421" s="74"/>
      <c r="F1421" s="74" t="str">
        <f>IFERROR(__xludf.DUMMYFUNCTION("""COMPUTED_VALUE"""),"Roller (Q220 x 110 x 90) External / Rodillo (Q220 x 110 x 90) Externo")</f>
        <v>Roller (Q220 x 110 x 90) External / Rodillo (Q220 x 110 x 90) Externo</v>
      </c>
      <c r="G1421" s="74"/>
      <c r="H1421" s="74"/>
      <c r="I1421" s="74" t="str">
        <f>IFERROR(__xludf.DUMMYFUNCTION("""COMPUTED_VALUE"""),"MIX10062")</f>
        <v>MIX10062</v>
      </c>
      <c r="J1421" s="74" t="str">
        <f>IFERROR(__xludf.DUMMYFUNCTION("""COMPUTED_VALUE"""),"30317010000")</f>
        <v>30317010000</v>
      </c>
      <c r="K1421" s="74"/>
      <c r="L1421" s="74" t="str">
        <f>IFERROR(__xludf.DUMMYFUNCTION("""COMPUTED_VALUE"""),"Transmisión Mecánica")</f>
        <v>Transmisión Mecánica</v>
      </c>
      <c r="M1421" s="74" t="str">
        <f>IFERROR(__xludf.DUMMYFUNCTION("""COMPUTED_VALUE"""),"Sin Asignar")</f>
        <v>Sin Asignar</v>
      </c>
      <c r="N1421" s="87">
        <f>IFERROR(__xludf.DUMMYFUNCTION("""COMPUTED_VALUE"""),0.0)</f>
        <v>0</v>
      </c>
      <c r="O1421" s="74"/>
      <c r="P1421" s="74" t="str">
        <f>IFERROR(__xludf.DUMMYFUNCTION("""COMPUTED_VALUE"""),"No Available")</f>
        <v>No Available</v>
      </c>
      <c r="Q1421" s="74"/>
      <c r="R1421" s="74"/>
      <c r="S1421" s="87">
        <f>IFERROR(__xludf.DUMMYFUNCTION("""COMPUTED_VALUE"""),0.0)</f>
        <v>0</v>
      </c>
      <c r="T1421" s="87">
        <f>IFERROR(__xludf.DUMMYFUNCTION("""COMPUTED_VALUE"""),0.0)</f>
        <v>0</v>
      </c>
      <c r="U1421" s="87">
        <f>IFERROR(__xludf.DUMMYFUNCTION("""COMPUTED_VALUE"""),0.0)</f>
        <v>0</v>
      </c>
      <c r="V1421" s="87">
        <f>IFERROR(__xludf.DUMMYFUNCTION("""COMPUTED_VALUE"""),0.0)</f>
        <v>0</v>
      </c>
      <c r="W1421" s="87">
        <f>IFERROR(__xludf.DUMMYFUNCTION("""COMPUTED_VALUE"""),0.0)</f>
        <v>0</v>
      </c>
      <c r="X1421" s="88"/>
      <c r="Y1421" s="74"/>
      <c r="Z1421" s="74"/>
    </row>
    <row r="1422">
      <c r="B1422" s="74" t="str">
        <f>IFERROR(__xludf.DUMMYFUNCTION("""COMPUTED_VALUE"""),"2419")</f>
        <v>2419</v>
      </c>
      <c r="C1422" s="74"/>
      <c r="D1422" s="74" t="str">
        <f>IFERROR(__xludf.DUMMYFUNCTION("""COMPUTED_VALUE"""),"\\MCA-S\mk\2_BM\0_BMat\08_PYM\Inventario\excel\Imagen de refacciones\Ollas revolvedoras\Roller (Q245 X 130 X 120) Complete _ Rodillo (Q245 X 130 X 120) Completo")</f>
        <v>\\MCA-S\mk\2_BM\0_BMat\08_PYM\Inventario\excel\Imagen de refacciones\Ollas revolvedoras\Roller (Q245 X 130 X 120) Complete _ Rodillo (Q245 X 130 X 120) Completo</v>
      </c>
      <c r="E1422" s="74"/>
      <c r="F1422" s="74" t="str">
        <f>IFERROR(__xludf.DUMMYFUNCTION("""COMPUTED_VALUE"""),"Roller (Q245 X 130 X 120) Complete / Rodillo (Q245 X 130 X 120) Completo")</f>
        <v>Roller (Q245 X 130 X 120) Complete / Rodillo (Q245 X 130 X 120) Completo</v>
      </c>
      <c r="G1422" s="74"/>
      <c r="H1422" s="74"/>
      <c r="I1422" s="74" t="str">
        <f>IFERROR(__xludf.DUMMYFUNCTION("""COMPUTED_VALUE"""),"MIX10056")</f>
        <v>MIX10056</v>
      </c>
      <c r="J1422" s="74" t="str">
        <f>IFERROR(__xludf.DUMMYFUNCTION("""COMPUTED_VALUE"""),"30817805000")</f>
        <v>30817805000</v>
      </c>
      <c r="K1422" s="74"/>
      <c r="L1422" s="74" t="str">
        <f>IFERROR(__xludf.DUMMYFUNCTION("""COMPUTED_VALUE"""),"Transmisión Mecánica")</f>
        <v>Transmisión Mecánica</v>
      </c>
      <c r="M1422" s="74" t="str">
        <f>IFERROR(__xludf.DUMMYFUNCTION("""COMPUTED_VALUE"""),"Sin Asignar")</f>
        <v>Sin Asignar</v>
      </c>
      <c r="N1422" s="87">
        <f>IFERROR(__xludf.DUMMYFUNCTION("""COMPUTED_VALUE"""),0.0)</f>
        <v>0</v>
      </c>
      <c r="O1422" s="74"/>
      <c r="P1422" s="74" t="str">
        <f>IFERROR(__xludf.DUMMYFUNCTION("""COMPUTED_VALUE"""),"No Available")</f>
        <v>No Available</v>
      </c>
      <c r="Q1422" s="74"/>
      <c r="R1422" s="74"/>
      <c r="S1422" s="87">
        <f>IFERROR(__xludf.DUMMYFUNCTION("""COMPUTED_VALUE"""),0.0)</f>
        <v>0</v>
      </c>
      <c r="T1422" s="87">
        <f>IFERROR(__xludf.DUMMYFUNCTION("""COMPUTED_VALUE"""),0.0)</f>
        <v>0</v>
      </c>
      <c r="U1422" s="87">
        <f>IFERROR(__xludf.DUMMYFUNCTION("""COMPUTED_VALUE"""),0.0)</f>
        <v>0</v>
      </c>
      <c r="V1422" s="87">
        <f>IFERROR(__xludf.DUMMYFUNCTION("""COMPUTED_VALUE"""),0.0)</f>
        <v>0</v>
      </c>
      <c r="W1422" s="87">
        <f>IFERROR(__xludf.DUMMYFUNCTION("""COMPUTED_VALUE"""),0.0)</f>
        <v>0</v>
      </c>
      <c r="X1422" s="88"/>
      <c r="Y1422" s="74"/>
      <c r="Z1422" s="74"/>
    </row>
    <row r="1423">
      <c r="B1423" s="74" t="str">
        <f>IFERROR(__xludf.DUMMYFUNCTION("""COMPUTED_VALUE"""),"2420")</f>
        <v>2420</v>
      </c>
      <c r="C1423" s="74"/>
      <c r="D1423" s="74" t="str">
        <f>IFERROR(__xludf.DUMMYFUNCTION("""COMPUTED_VALUE"""),"\\MCA-S\mk\2_BM\0_BMat\08_PYM\Inventario\excel\Imagen de refacciones\Ollas revolvedoras\Roller (Q245 x 130 x 120) External _ Rodillo (Q245 x 130 x 120) Externo")</f>
        <v>\\MCA-S\mk\2_BM\0_BMat\08_PYM\Inventario\excel\Imagen de refacciones\Ollas revolvedoras\Roller (Q245 x 130 x 120) External _ Rodillo (Q245 x 130 x 120) Externo</v>
      </c>
      <c r="E1423" s="74"/>
      <c r="F1423" s="74" t="str">
        <f>IFERROR(__xludf.DUMMYFUNCTION("""COMPUTED_VALUE"""),"Roller (Q245 x 130 x 120) External / Rodillo (Q245 x 130 x 120) Externo")</f>
        <v>Roller (Q245 x 130 x 120) External / Rodillo (Q245 x 130 x 120) Externo</v>
      </c>
      <c r="G1423" s="74"/>
      <c r="H1423" s="74"/>
      <c r="I1423" s="74" t="str">
        <f>IFERROR(__xludf.DUMMYFUNCTION("""COMPUTED_VALUE"""),"MIX10068")</f>
        <v>MIX10068</v>
      </c>
      <c r="J1423" s="74" t="str">
        <f>IFERROR(__xludf.DUMMYFUNCTION("""COMPUTED_VALUE"""),"30817885000")</f>
        <v>30817885000</v>
      </c>
      <c r="K1423" s="74"/>
      <c r="L1423" s="74" t="str">
        <f>IFERROR(__xludf.DUMMYFUNCTION("""COMPUTED_VALUE"""),"Transmisión Mecánica")</f>
        <v>Transmisión Mecánica</v>
      </c>
      <c r="M1423" s="74" t="str">
        <f>IFERROR(__xludf.DUMMYFUNCTION("""COMPUTED_VALUE"""),"Sin Asignar")</f>
        <v>Sin Asignar</v>
      </c>
      <c r="N1423" s="87">
        <f>IFERROR(__xludf.DUMMYFUNCTION("""COMPUTED_VALUE"""),0.0)</f>
        <v>0</v>
      </c>
      <c r="O1423" s="74"/>
      <c r="P1423" s="74" t="str">
        <f>IFERROR(__xludf.DUMMYFUNCTION("""COMPUTED_VALUE"""),"No Available")</f>
        <v>No Available</v>
      </c>
      <c r="Q1423" s="74"/>
      <c r="R1423" s="74"/>
      <c r="S1423" s="87">
        <f>IFERROR(__xludf.DUMMYFUNCTION("""COMPUTED_VALUE"""),0.0)</f>
        <v>0</v>
      </c>
      <c r="T1423" s="87">
        <f>IFERROR(__xludf.DUMMYFUNCTION("""COMPUTED_VALUE"""),0.0)</f>
        <v>0</v>
      </c>
      <c r="U1423" s="87">
        <f>IFERROR(__xludf.DUMMYFUNCTION("""COMPUTED_VALUE"""),0.0)</f>
        <v>0</v>
      </c>
      <c r="V1423" s="87">
        <f>IFERROR(__xludf.DUMMYFUNCTION("""COMPUTED_VALUE"""),0.0)</f>
        <v>0</v>
      </c>
      <c r="W1423" s="87">
        <f>IFERROR(__xludf.DUMMYFUNCTION("""COMPUTED_VALUE"""),0.0)</f>
        <v>0</v>
      </c>
      <c r="X1423" s="88"/>
      <c r="Y1423" s="74"/>
      <c r="Z1423" s="74"/>
    </row>
    <row r="1424">
      <c r="B1424" s="74" t="str">
        <f>IFERROR(__xludf.DUMMYFUNCTION("""COMPUTED_VALUE"""),"2421")</f>
        <v>2421</v>
      </c>
      <c r="C1424" s="74"/>
      <c r="D1424" s="74" t="str">
        <f>IFERROR(__xludf.DUMMYFUNCTION("""COMPUTED_VALUE"""),"\\MCA-S\mk\2_BM\0_BMat\08_PYM\Inventario\excel\Imagen de refacciones\Ollas revolvedoras\Roller (Q250 X 110 X 92) Complete _ Rodillo (Q250 X 110 X 92) Completo")</f>
        <v>\\MCA-S\mk\2_BM\0_BMat\08_PYM\Inventario\excel\Imagen de refacciones\Ollas revolvedoras\Roller (Q250 X 110 X 92) Complete _ Rodillo (Q250 X 110 X 92) Completo</v>
      </c>
      <c r="E1424" s="74"/>
      <c r="F1424" s="74" t="str">
        <f>IFERROR(__xludf.DUMMYFUNCTION("""COMPUTED_VALUE"""),"Roller (Q250 X 110 X 92) Complete / Rodillo (Q250 X 110 X 92) Completo")</f>
        <v>Roller (Q250 X 110 X 92) Complete / Rodillo (Q250 X 110 X 92) Completo</v>
      </c>
      <c r="G1424" s="74"/>
      <c r="H1424" s="74"/>
      <c r="I1424" s="74" t="str">
        <f>IFERROR(__xludf.DUMMYFUNCTION("""COMPUTED_VALUE"""),"MIX10053")</f>
        <v>MIX10053</v>
      </c>
      <c r="J1424" s="74" t="str">
        <f>IFERROR(__xludf.DUMMYFUNCTION("""COMPUTED_VALUE"""),"P10050019")</f>
        <v>P10050019</v>
      </c>
      <c r="K1424" s="74"/>
      <c r="L1424" s="74" t="str">
        <f>IFERROR(__xludf.DUMMYFUNCTION("""COMPUTED_VALUE"""),"Transmisión Mecánica")</f>
        <v>Transmisión Mecánica</v>
      </c>
      <c r="M1424" s="74" t="str">
        <f>IFERROR(__xludf.DUMMYFUNCTION("""COMPUTED_VALUE"""),"Sin Asignar")</f>
        <v>Sin Asignar</v>
      </c>
      <c r="N1424" s="87">
        <f>IFERROR(__xludf.DUMMYFUNCTION("""COMPUTED_VALUE"""),0.0)</f>
        <v>0</v>
      </c>
      <c r="O1424" s="74"/>
      <c r="P1424" s="74" t="str">
        <f>IFERROR(__xludf.DUMMYFUNCTION("""COMPUTED_VALUE"""),"No Available")</f>
        <v>No Available</v>
      </c>
      <c r="Q1424" s="74"/>
      <c r="R1424" s="74"/>
      <c r="S1424" s="87">
        <f>IFERROR(__xludf.DUMMYFUNCTION("""COMPUTED_VALUE"""),0.0)</f>
        <v>0</v>
      </c>
      <c r="T1424" s="87">
        <f>IFERROR(__xludf.DUMMYFUNCTION("""COMPUTED_VALUE"""),0.0)</f>
        <v>0</v>
      </c>
      <c r="U1424" s="87">
        <f>IFERROR(__xludf.DUMMYFUNCTION("""COMPUTED_VALUE"""),0.0)</f>
        <v>0</v>
      </c>
      <c r="V1424" s="87">
        <f>IFERROR(__xludf.DUMMYFUNCTION("""COMPUTED_VALUE"""),0.0)</f>
        <v>0</v>
      </c>
      <c r="W1424" s="87">
        <f>IFERROR(__xludf.DUMMYFUNCTION("""COMPUTED_VALUE"""),0.0)</f>
        <v>0</v>
      </c>
      <c r="X1424" s="88"/>
      <c r="Y1424" s="74"/>
      <c r="Z1424" s="74"/>
    </row>
    <row r="1425">
      <c r="B1425" s="74" t="str">
        <f>IFERROR(__xludf.DUMMYFUNCTION("""COMPUTED_VALUE"""),"2422")</f>
        <v>2422</v>
      </c>
      <c r="C1425" s="74"/>
      <c r="D1425" s="74" t="str">
        <f>IFERROR(__xludf.DUMMYFUNCTION("""COMPUTED_VALUE"""),"\\MCA-S\mk\2_BM\0_BMat\08_PYM\Inventario\excel\Imagen de refacciones\Ollas revolvedoras\Roller (Q250 x 110 x 92) External _ Rodillo (Q250 x 110 x 92) Externo")</f>
        <v>\\MCA-S\mk\2_BM\0_BMat\08_PYM\Inventario\excel\Imagen de refacciones\Ollas revolvedoras\Roller (Q250 x 110 x 92) External _ Rodillo (Q250 x 110 x 92) Externo</v>
      </c>
      <c r="E1425" s="74"/>
      <c r="F1425" s="74" t="str">
        <f>IFERROR(__xludf.DUMMYFUNCTION("""COMPUTED_VALUE"""),"Roller (Q250 x 110 x 92) External / Rodillo (Q250 x 110 x 92) Externo")</f>
        <v>Roller (Q250 x 110 x 92) External / Rodillo (Q250 x 110 x 92) Externo</v>
      </c>
      <c r="G1425" s="74"/>
      <c r="H1425" s="74"/>
      <c r="I1425" s="74" t="str">
        <f>IFERROR(__xludf.DUMMYFUNCTION("""COMPUTED_VALUE"""),"MIX10065")</f>
        <v>MIX10065</v>
      </c>
      <c r="J1425" s="74" t="str">
        <f>IFERROR(__xludf.DUMMYFUNCTION("""COMPUTED_VALUE"""),"P10050019")</f>
        <v>P10050019</v>
      </c>
      <c r="K1425" s="74"/>
      <c r="L1425" s="74" t="str">
        <f>IFERROR(__xludf.DUMMYFUNCTION("""COMPUTED_VALUE"""),"Transmisión Mecánica")</f>
        <v>Transmisión Mecánica</v>
      </c>
      <c r="M1425" s="74" t="str">
        <f>IFERROR(__xludf.DUMMYFUNCTION("""COMPUTED_VALUE"""),"Sin Asignar")</f>
        <v>Sin Asignar</v>
      </c>
      <c r="N1425" s="87">
        <f>IFERROR(__xludf.DUMMYFUNCTION("""COMPUTED_VALUE"""),0.0)</f>
        <v>0</v>
      </c>
      <c r="O1425" s="74"/>
      <c r="P1425" s="74" t="str">
        <f>IFERROR(__xludf.DUMMYFUNCTION("""COMPUTED_VALUE"""),"No Available")</f>
        <v>No Available</v>
      </c>
      <c r="Q1425" s="74"/>
      <c r="R1425" s="74"/>
      <c r="S1425" s="87">
        <f>IFERROR(__xludf.DUMMYFUNCTION("""COMPUTED_VALUE"""),0.0)</f>
        <v>0</v>
      </c>
      <c r="T1425" s="87">
        <f>IFERROR(__xludf.DUMMYFUNCTION("""COMPUTED_VALUE"""),0.0)</f>
        <v>0</v>
      </c>
      <c r="U1425" s="87">
        <f>IFERROR(__xludf.DUMMYFUNCTION("""COMPUTED_VALUE"""),0.0)</f>
        <v>0</v>
      </c>
      <c r="V1425" s="87">
        <f>IFERROR(__xludf.DUMMYFUNCTION("""COMPUTED_VALUE"""),0.0)</f>
        <v>0</v>
      </c>
      <c r="W1425" s="87">
        <f>IFERROR(__xludf.DUMMYFUNCTION("""COMPUTED_VALUE"""),0.0)</f>
        <v>0</v>
      </c>
      <c r="X1425" s="88"/>
      <c r="Y1425" s="74"/>
      <c r="Z1425" s="74"/>
    </row>
    <row r="1426">
      <c r="B1426" s="74" t="str">
        <f>IFERROR(__xludf.DUMMYFUNCTION("""COMPUTED_VALUE"""),"2423")</f>
        <v>2423</v>
      </c>
      <c r="C1426" s="74"/>
      <c r="D1426" s="74" t="str">
        <f>IFERROR(__xludf.DUMMYFUNCTION("""COMPUTED_VALUE"""),"\\MCA-S\mk\2_BM\0_BMat\08_PYM\Inventario\excel\Imagen de refacciones\Ollas revolvedoras\Roller (Q250 X 130 X 100) Complete _ Rodillo (Q250 X 130 X 100) Completo")</f>
        <v>\\MCA-S\mk\2_BM\0_BMat\08_PYM\Inventario\excel\Imagen de refacciones\Ollas revolvedoras\Roller (Q250 X 130 X 100) Complete _ Rodillo (Q250 X 130 X 100) Completo</v>
      </c>
      <c r="E1426" s="74"/>
      <c r="F1426" s="74" t="str">
        <f>IFERROR(__xludf.DUMMYFUNCTION("""COMPUTED_VALUE"""),"Roller (Q250 X 130 X 100) Complete / Rodillo (Q250 X 130 X 100) Completo")</f>
        <v>Roller (Q250 X 130 X 100) Complete / Rodillo (Q250 X 130 X 100) Completo</v>
      </c>
      <c r="G1426" s="74"/>
      <c r="H1426" s="74"/>
      <c r="I1426" s="74" t="str">
        <f>IFERROR(__xludf.DUMMYFUNCTION("""COMPUTED_VALUE"""),"MIX10058")</f>
        <v>MIX10058</v>
      </c>
      <c r="J1426" s="74"/>
      <c r="K1426" s="74"/>
      <c r="L1426" s="74" t="str">
        <f>IFERROR(__xludf.DUMMYFUNCTION("""COMPUTED_VALUE"""),"Transmisión Mecánica")</f>
        <v>Transmisión Mecánica</v>
      </c>
      <c r="M1426" s="74" t="str">
        <f>IFERROR(__xludf.DUMMYFUNCTION("""COMPUTED_VALUE"""),"Sin Asignar")</f>
        <v>Sin Asignar</v>
      </c>
      <c r="N1426" s="87">
        <f>IFERROR(__xludf.DUMMYFUNCTION("""COMPUTED_VALUE"""),0.0)</f>
        <v>0</v>
      </c>
      <c r="O1426" s="74"/>
      <c r="P1426" s="74" t="str">
        <f>IFERROR(__xludf.DUMMYFUNCTION("""COMPUTED_VALUE"""),"No Available")</f>
        <v>No Available</v>
      </c>
      <c r="Q1426" s="74"/>
      <c r="R1426" s="74"/>
      <c r="S1426" s="87">
        <f>IFERROR(__xludf.DUMMYFUNCTION("""COMPUTED_VALUE"""),0.0)</f>
        <v>0</v>
      </c>
      <c r="T1426" s="87">
        <f>IFERROR(__xludf.DUMMYFUNCTION("""COMPUTED_VALUE"""),0.0)</f>
        <v>0</v>
      </c>
      <c r="U1426" s="87">
        <f>IFERROR(__xludf.DUMMYFUNCTION("""COMPUTED_VALUE"""),0.0)</f>
        <v>0</v>
      </c>
      <c r="V1426" s="87">
        <f>IFERROR(__xludf.DUMMYFUNCTION("""COMPUTED_VALUE"""),0.0)</f>
        <v>0</v>
      </c>
      <c r="W1426" s="87">
        <f>IFERROR(__xludf.DUMMYFUNCTION("""COMPUTED_VALUE"""),0.0)</f>
        <v>0</v>
      </c>
      <c r="X1426" s="88"/>
      <c r="Y1426" s="74"/>
      <c r="Z1426" s="74"/>
    </row>
    <row r="1427">
      <c r="B1427" s="74" t="str">
        <f>IFERROR(__xludf.DUMMYFUNCTION("""COMPUTED_VALUE"""),"2424")</f>
        <v>2424</v>
      </c>
      <c r="C1427" s="74"/>
      <c r="D1427" s="74" t="str">
        <f>IFERROR(__xludf.DUMMYFUNCTION("""COMPUTED_VALUE"""),"\\MCA-S\mk\2_BM\0_BMat\08_PYM\Inventario\excel\Imagen de refacciones\Ollas revolvedoras\Roller (Q250 x 130 x 100) External _ Rodillo (Q250 x 130 x 100) Externo")</f>
        <v>\\MCA-S\mk\2_BM\0_BMat\08_PYM\Inventario\excel\Imagen de refacciones\Ollas revolvedoras\Roller (Q250 x 130 x 100) External _ Rodillo (Q250 x 130 x 100) Externo</v>
      </c>
      <c r="E1427" s="74"/>
      <c r="F1427" s="74" t="str">
        <f>IFERROR(__xludf.DUMMYFUNCTION("""COMPUTED_VALUE"""),"Roller (Q250 x 130 x 100) External / Rodillo (Q250 x 130 x 100) Externo")</f>
        <v>Roller (Q250 x 130 x 100) External / Rodillo (Q250 x 130 x 100) Externo</v>
      </c>
      <c r="G1427" s="74"/>
      <c r="H1427" s="74"/>
      <c r="I1427" s="74" t="str">
        <f>IFERROR(__xludf.DUMMYFUNCTION("""COMPUTED_VALUE"""),"MIX10072")</f>
        <v>MIX10072</v>
      </c>
      <c r="J1427" s="74"/>
      <c r="K1427" s="74"/>
      <c r="L1427" s="74" t="str">
        <f>IFERROR(__xludf.DUMMYFUNCTION("""COMPUTED_VALUE"""),"Transmisión Mecánica")</f>
        <v>Transmisión Mecánica</v>
      </c>
      <c r="M1427" s="74" t="str">
        <f>IFERROR(__xludf.DUMMYFUNCTION("""COMPUTED_VALUE"""),"Sin Asignar")</f>
        <v>Sin Asignar</v>
      </c>
      <c r="N1427" s="87">
        <f>IFERROR(__xludf.DUMMYFUNCTION("""COMPUTED_VALUE"""),0.0)</f>
        <v>0</v>
      </c>
      <c r="O1427" s="74"/>
      <c r="P1427" s="74" t="str">
        <f>IFERROR(__xludf.DUMMYFUNCTION("""COMPUTED_VALUE"""),"No Available")</f>
        <v>No Available</v>
      </c>
      <c r="Q1427" s="74"/>
      <c r="R1427" s="74"/>
      <c r="S1427" s="87">
        <f>IFERROR(__xludf.DUMMYFUNCTION("""COMPUTED_VALUE"""),0.0)</f>
        <v>0</v>
      </c>
      <c r="T1427" s="87">
        <f>IFERROR(__xludf.DUMMYFUNCTION("""COMPUTED_VALUE"""),0.0)</f>
        <v>0</v>
      </c>
      <c r="U1427" s="87">
        <f>IFERROR(__xludf.DUMMYFUNCTION("""COMPUTED_VALUE"""),0.0)</f>
        <v>0</v>
      </c>
      <c r="V1427" s="87">
        <f>IFERROR(__xludf.DUMMYFUNCTION("""COMPUTED_VALUE"""),0.0)</f>
        <v>0</v>
      </c>
      <c r="W1427" s="87">
        <f>IFERROR(__xludf.DUMMYFUNCTION("""COMPUTED_VALUE"""),0.0)</f>
        <v>0</v>
      </c>
      <c r="X1427" s="88"/>
      <c r="Y1427" s="74"/>
      <c r="Z1427" s="74"/>
    </row>
    <row r="1428">
      <c r="B1428" s="74" t="str">
        <f>IFERROR(__xludf.DUMMYFUNCTION("""COMPUTED_VALUE"""),"2425")</f>
        <v>2425</v>
      </c>
      <c r="C1428" s="74"/>
      <c r="D1428" s="74" t="str">
        <f>IFERROR(__xludf.DUMMYFUNCTION("""COMPUTED_VALUE"""),"\\MCA-S\mk\2_BM\0_BMat\08_PYM\Inventario\excel\Imagen de refacciones\Ollas revolvedoras\Roller (Q250 X 130 X 120) Complete _ Rodillo (Q250 X 130 X 120) Completo")</f>
        <v>\\MCA-S\mk\2_BM\0_BMat\08_PYM\Inventario\excel\Imagen de refacciones\Ollas revolvedoras\Roller (Q250 X 130 X 120) Complete _ Rodillo (Q250 X 130 X 120) Completo</v>
      </c>
      <c r="E1428" s="74"/>
      <c r="F1428" s="74" t="str">
        <f>IFERROR(__xludf.DUMMYFUNCTION("""COMPUTED_VALUE"""),"Roller (Q250 X 130 X 120) Complete / Rodillo (Q250 X 130 X 120) Completo")</f>
        <v>Roller (Q250 X 130 X 120) Complete / Rodillo (Q250 X 130 X 120) Completo</v>
      </c>
      <c r="G1428" s="74"/>
      <c r="H1428" s="74"/>
      <c r="I1428" s="74" t="str">
        <f>IFERROR(__xludf.DUMMYFUNCTION("""COMPUTED_VALUE"""),"MIX10052")</f>
        <v>MIX10052</v>
      </c>
      <c r="J1428" s="74" t="str">
        <f>IFERROR(__xludf.DUMMYFUNCTION("""COMPUTED_VALUE"""),"4191005")</f>
        <v>4191005</v>
      </c>
      <c r="K1428" s="74"/>
      <c r="L1428" s="74" t="str">
        <f>IFERROR(__xludf.DUMMYFUNCTION("""COMPUTED_VALUE"""),"Transmisión Mecánica")</f>
        <v>Transmisión Mecánica</v>
      </c>
      <c r="M1428" s="74" t="str">
        <f>IFERROR(__xludf.DUMMYFUNCTION("""COMPUTED_VALUE"""),"Sin Asignar")</f>
        <v>Sin Asignar</v>
      </c>
      <c r="N1428" s="87">
        <f>IFERROR(__xludf.DUMMYFUNCTION("""COMPUTED_VALUE"""),0.0)</f>
        <v>0</v>
      </c>
      <c r="O1428" s="74"/>
      <c r="P1428" s="74" t="str">
        <f>IFERROR(__xludf.DUMMYFUNCTION("""COMPUTED_VALUE"""),"No Available")</f>
        <v>No Available</v>
      </c>
      <c r="Q1428" s="74"/>
      <c r="R1428" s="74"/>
      <c r="S1428" s="87">
        <f>IFERROR(__xludf.DUMMYFUNCTION("""COMPUTED_VALUE"""),0.0)</f>
        <v>0</v>
      </c>
      <c r="T1428" s="87">
        <f>IFERROR(__xludf.DUMMYFUNCTION("""COMPUTED_VALUE"""),0.0)</f>
        <v>0</v>
      </c>
      <c r="U1428" s="87">
        <f>IFERROR(__xludf.DUMMYFUNCTION("""COMPUTED_VALUE"""),0.0)</f>
        <v>0</v>
      </c>
      <c r="V1428" s="87">
        <f>IFERROR(__xludf.DUMMYFUNCTION("""COMPUTED_VALUE"""),0.0)</f>
        <v>0</v>
      </c>
      <c r="W1428" s="87">
        <f>IFERROR(__xludf.DUMMYFUNCTION("""COMPUTED_VALUE"""),0.0)</f>
        <v>0</v>
      </c>
      <c r="X1428" s="88"/>
      <c r="Y1428" s="74"/>
      <c r="Z1428" s="74"/>
    </row>
    <row r="1429">
      <c r="B1429" s="74" t="str">
        <f>IFERROR(__xludf.DUMMYFUNCTION("""COMPUTED_VALUE"""),"2426")</f>
        <v>2426</v>
      </c>
      <c r="C1429" s="74"/>
      <c r="D1429" s="74" t="str">
        <f>IFERROR(__xludf.DUMMYFUNCTION("""COMPUTED_VALUE"""),"\\MCA-S\mk\2_BM\0_BMat\08_PYM\Inventario\excel\Imagen de refacciones\Ollas revolvedoras\Roller (Q250 x 130 x 120) External _ Rodillo (Q250 x 130 x 120) Externo")</f>
        <v>\\MCA-S\mk\2_BM\0_BMat\08_PYM\Inventario\excel\Imagen de refacciones\Ollas revolvedoras\Roller (Q250 x 130 x 120) External _ Rodillo (Q250 x 130 x 120) Externo</v>
      </c>
      <c r="E1429" s="74"/>
      <c r="F1429" s="74" t="str">
        <f>IFERROR(__xludf.DUMMYFUNCTION("""COMPUTED_VALUE"""),"Roller (Q250 x 130 x 120) External / Rodillo (Q250 x 130 x 120) Externo")</f>
        <v>Roller (Q250 x 130 x 120) External / Rodillo (Q250 x 130 x 120) Externo</v>
      </c>
      <c r="G1429" s="74"/>
      <c r="H1429" s="74"/>
      <c r="I1429" s="74" t="str">
        <f>IFERROR(__xludf.DUMMYFUNCTION("""COMPUTED_VALUE"""),"MIX10064")</f>
        <v>MIX10064</v>
      </c>
      <c r="J1429" s="74" t="str">
        <f>IFERROR(__xludf.DUMMYFUNCTION("""COMPUTED_VALUE"""),"941491805")</f>
        <v>941491805</v>
      </c>
      <c r="K1429" s="74"/>
      <c r="L1429" s="74" t="str">
        <f>IFERROR(__xludf.DUMMYFUNCTION("""COMPUTED_VALUE"""),"Transmisión Mecánica")</f>
        <v>Transmisión Mecánica</v>
      </c>
      <c r="M1429" s="74" t="str">
        <f>IFERROR(__xludf.DUMMYFUNCTION("""COMPUTED_VALUE"""),"Sin Asignar")</f>
        <v>Sin Asignar</v>
      </c>
      <c r="N1429" s="87">
        <f>IFERROR(__xludf.DUMMYFUNCTION("""COMPUTED_VALUE"""),0.0)</f>
        <v>0</v>
      </c>
      <c r="O1429" s="74"/>
      <c r="P1429" s="74" t="str">
        <f>IFERROR(__xludf.DUMMYFUNCTION("""COMPUTED_VALUE"""),"No Available")</f>
        <v>No Available</v>
      </c>
      <c r="Q1429" s="74"/>
      <c r="R1429" s="74"/>
      <c r="S1429" s="87">
        <f>IFERROR(__xludf.DUMMYFUNCTION("""COMPUTED_VALUE"""),0.0)</f>
        <v>0</v>
      </c>
      <c r="T1429" s="87">
        <f>IFERROR(__xludf.DUMMYFUNCTION("""COMPUTED_VALUE"""),0.0)</f>
        <v>0</v>
      </c>
      <c r="U1429" s="87">
        <f>IFERROR(__xludf.DUMMYFUNCTION("""COMPUTED_VALUE"""),0.0)</f>
        <v>0</v>
      </c>
      <c r="V1429" s="87">
        <f>IFERROR(__xludf.DUMMYFUNCTION("""COMPUTED_VALUE"""),0.0)</f>
        <v>0</v>
      </c>
      <c r="W1429" s="87">
        <f>IFERROR(__xludf.DUMMYFUNCTION("""COMPUTED_VALUE"""),0.0)</f>
        <v>0</v>
      </c>
      <c r="X1429" s="88"/>
      <c r="Y1429" s="74"/>
      <c r="Z1429" s="74"/>
    </row>
    <row r="1430">
      <c r="B1430" s="74" t="str">
        <f>IFERROR(__xludf.DUMMYFUNCTION("""COMPUTED_VALUE"""),"2427")</f>
        <v>2427</v>
      </c>
      <c r="C1430" s="74"/>
      <c r="D1430" s="74" t="str">
        <f>IFERROR(__xludf.DUMMYFUNCTION("""COMPUTED_VALUE"""),"\\MCA-S\mk\2_BM\0_BMat\08_PYM\Inventario\excel\Imagen de refacciones\Ollas revolvedoras\Roller (Q250 x 130 x 145) External _ Rodillo (Q250 x 130 x 145) Externo")</f>
        <v>\\MCA-S\mk\2_BM\0_BMat\08_PYM\Inventario\excel\Imagen de refacciones\Ollas revolvedoras\Roller (Q250 x 130 x 145) External _ Rodillo (Q250 x 130 x 145) Externo</v>
      </c>
      <c r="E1430" s="74"/>
      <c r="F1430" s="74" t="str">
        <f>IFERROR(__xludf.DUMMYFUNCTION("""COMPUTED_VALUE"""),"Roller (Q250 x 130 x 145) External / Rodillo (Q250 x 130 x 145) Externo")</f>
        <v>Roller (Q250 x 130 x 145) External / Rodillo (Q250 x 130 x 145) Externo</v>
      </c>
      <c r="G1430" s="74"/>
      <c r="H1430" s="74"/>
      <c r="I1430" s="74" t="str">
        <f>IFERROR(__xludf.DUMMYFUNCTION("""COMPUTED_VALUE"""),"MIX10070")</f>
        <v>MIX10070</v>
      </c>
      <c r="J1430" s="74"/>
      <c r="K1430" s="74"/>
      <c r="L1430" s="74" t="str">
        <f>IFERROR(__xludf.DUMMYFUNCTION("""COMPUTED_VALUE"""),"Transmisión Mecánica")</f>
        <v>Transmisión Mecánica</v>
      </c>
      <c r="M1430" s="74" t="str">
        <f>IFERROR(__xludf.DUMMYFUNCTION("""COMPUTED_VALUE"""),"Sin Asignar")</f>
        <v>Sin Asignar</v>
      </c>
      <c r="N1430" s="87">
        <f>IFERROR(__xludf.DUMMYFUNCTION("""COMPUTED_VALUE"""),0.0)</f>
        <v>0</v>
      </c>
      <c r="O1430" s="74"/>
      <c r="P1430" s="74" t="str">
        <f>IFERROR(__xludf.DUMMYFUNCTION("""COMPUTED_VALUE"""),"No Available")</f>
        <v>No Available</v>
      </c>
      <c r="Q1430" s="74"/>
      <c r="R1430" s="74"/>
      <c r="S1430" s="87">
        <f>IFERROR(__xludf.DUMMYFUNCTION("""COMPUTED_VALUE"""),0.0)</f>
        <v>0</v>
      </c>
      <c r="T1430" s="87">
        <f>IFERROR(__xludf.DUMMYFUNCTION("""COMPUTED_VALUE"""),0.0)</f>
        <v>0</v>
      </c>
      <c r="U1430" s="87">
        <f>IFERROR(__xludf.DUMMYFUNCTION("""COMPUTED_VALUE"""),0.0)</f>
        <v>0</v>
      </c>
      <c r="V1430" s="87">
        <f>IFERROR(__xludf.DUMMYFUNCTION("""COMPUTED_VALUE"""),0.0)</f>
        <v>0</v>
      </c>
      <c r="W1430" s="87">
        <f>IFERROR(__xludf.DUMMYFUNCTION("""COMPUTED_VALUE"""),0.0)</f>
        <v>0</v>
      </c>
      <c r="X1430" s="88"/>
      <c r="Y1430" s="74"/>
      <c r="Z1430" s="74"/>
    </row>
    <row r="1431">
      <c r="B1431" s="74" t="str">
        <f>IFERROR(__xludf.DUMMYFUNCTION("""COMPUTED_VALUE"""),"2428")</f>
        <v>2428</v>
      </c>
      <c r="C1431" s="74"/>
      <c r="D1431" s="74" t="str">
        <f>IFERROR(__xludf.DUMMYFUNCTION("""COMPUTED_VALUE"""),"\\MCA-S\mk\2_BM\0_BMat\08_PYM\Inventario\excel\Imagen de refacciones\Ollas revolvedoras\Roller (Q250 X 160 X 110) Complete _ Rodillo (Q250 X 160 X 110) Completo")</f>
        <v>\\MCA-S\mk\2_BM\0_BMat\08_PYM\Inventario\excel\Imagen de refacciones\Ollas revolvedoras\Roller (Q250 X 160 X 110) Complete _ Rodillo (Q250 X 160 X 110) Completo</v>
      </c>
      <c r="E1431" s="74"/>
      <c r="F1431" s="74" t="str">
        <f>IFERROR(__xludf.DUMMYFUNCTION("""COMPUTED_VALUE"""),"Roller (Q250 X 160 X 110) Complete / Rodillo (Q250 X 160 X 110) Completo")</f>
        <v>Roller (Q250 X 160 X 110) Complete / Rodillo (Q250 X 160 X 110) Completo</v>
      </c>
      <c r="G1431" s="74"/>
      <c r="H1431" s="74"/>
      <c r="I1431" s="74" t="str">
        <f>IFERROR(__xludf.DUMMYFUNCTION("""COMPUTED_VALUE"""),"MIX10051")</f>
        <v>MIX10051</v>
      </c>
      <c r="J1431" s="74" t="str">
        <f>IFERROR(__xludf.DUMMYFUNCTION("""COMPUTED_VALUE"""),"5320300")</f>
        <v>5320300</v>
      </c>
      <c r="K1431" s="74"/>
      <c r="L1431" s="74" t="str">
        <f>IFERROR(__xludf.DUMMYFUNCTION("""COMPUTED_VALUE"""),"Transmisión Mecánica")</f>
        <v>Transmisión Mecánica</v>
      </c>
      <c r="M1431" s="74" t="str">
        <f>IFERROR(__xludf.DUMMYFUNCTION("""COMPUTED_VALUE"""),"Sin Asignar")</f>
        <v>Sin Asignar</v>
      </c>
      <c r="N1431" s="87">
        <f>IFERROR(__xludf.DUMMYFUNCTION("""COMPUTED_VALUE"""),0.0)</f>
        <v>0</v>
      </c>
      <c r="O1431" s="74"/>
      <c r="P1431" s="74" t="str">
        <f>IFERROR(__xludf.DUMMYFUNCTION("""COMPUTED_VALUE"""),"No Available")</f>
        <v>No Available</v>
      </c>
      <c r="Q1431" s="74"/>
      <c r="R1431" s="74"/>
      <c r="S1431" s="87">
        <f>IFERROR(__xludf.DUMMYFUNCTION("""COMPUTED_VALUE"""),0.0)</f>
        <v>0</v>
      </c>
      <c r="T1431" s="87">
        <f>IFERROR(__xludf.DUMMYFUNCTION("""COMPUTED_VALUE"""),0.0)</f>
        <v>0</v>
      </c>
      <c r="U1431" s="87">
        <f>IFERROR(__xludf.DUMMYFUNCTION("""COMPUTED_VALUE"""),0.0)</f>
        <v>0</v>
      </c>
      <c r="V1431" s="87">
        <f>IFERROR(__xludf.DUMMYFUNCTION("""COMPUTED_VALUE"""),0.0)</f>
        <v>0</v>
      </c>
      <c r="W1431" s="87">
        <f>IFERROR(__xludf.DUMMYFUNCTION("""COMPUTED_VALUE"""),0.0)</f>
        <v>0</v>
      </c>
      <c r="X1431" s="88"/>
      <c r="Y1431" s="74"/>
      <c r="Z1431" s="74"/>
    </row>
    <row r="1432">
      <c r="B1432" s="74" t="str">
        <f>IFERROR(__xludf.DUMMYFUNCTION("""COMPUTED_VALUE"""),"2429")</f>
        <v>2429</v>
      </c>
      <c r="C1432" s="74"/>
      <c r="D1432" s="74" t="str">
        <f>IFERROR(__xludf.DUMMYFUNCTION("""COMPUTED_VALUE"""),"\\MCA-S\mk\2_BM\0_BMat\08_PYM\Inventario\excel\Imagen de refacciones\Ollas revolvedoras\Roller (Q250 x 160 x 110) External _ Rodillo (Q250 x 160 x 110) Externo")</f>
        <v>\\MCA-S\mk\2_BM\0_BMat\08_PYM\Inventario\excel\Imagen de refacciones\Ollas revolvedoras\Roller (Q250 x 160 x 110) External _ Rodillo (Q250 x 160 x 110) Externo</v>
      </c>
      <c r="E1432" s="74"/>
      <c r="F1432" s="74" t="str">
        <f>IFERROR(__xludf.DUMMYFUNCTION("""COMPUTED_VALUE"""),"Roller (Q250 x 160 x 110) External / Rodillo (Q250 x 160 x 110) Externo")</f>
        <v>Roller (Q250 x 160 x 110) External / Rodillo (Q250 x 160 x 110) Externo</v>
      </c>
      <c r="G1432" s="74"/>
      <c r="H1432" s="74"/>
      <c r="I1432" s="74" t="str">
        <f>IFERROR(__xludf.DUMMYFUNCTION("""COMPUTED_VALUE"""),"MIX10063")</f>
        <v>MIX10063</v>
      </c>
      <c r="J1432" s="74" t="str">
        <f>IFERROR(__xludf.DUMMYFUNCTION("""COMPUTED_VALUE"""),"60306854")</f>
        <v>60306854</v>
      </c>
      <c r="K1432" s="74"/>
      <c r="L1432" s="74" t="str">
        <f>IFERROR(__xludf.DUMMYFUNCTION("""COMPUTED_VALUE"""),"Transmisión Mecánica")</f>
        <v>Transmisión Mecánica</v>
      </c>
      <c r="M1432" s="74" t="str">
        <f>IFERROR(__xludf.DUMMYFUNCTION("""COMPUTED_VALUE"""),"Sin Asignar")</f>
        <v>Sin Asignar</v>
      </c>
      <c r="N1432" s="87">
        <f>IFERROR(__xludf.DUMMYFUNCTION("""COMPUTED_VALUE"""),0.0)</f>
        <v>0</v>
      </c>
      <c r="O1432" s="74"/>
      <c r="P1432" s="74" t="str">
        <f>IFERROR(__xludf.DUMMYFUNCTION("""COMPUTED_VALUE"""),"No Available")</f>
        <v>No Available</v>
      </c>
      <c r="Q1432" s="74"/>
      <c r="R1432" s="74"/>
      <c r="S1432" s="87">
        <f>IFERROR(__xludf.DUMMYFUNCTION("""COMPUTED_VALUE"""),0.0)</f>
        <v>0</v>
      </c>
      <c r="T1432" s="87">
        <f>IFERROR(__xludf.DUMMYFUNCTION("""COMPUTED_VALUE"""),0.0)</f>
        <v>0</v>
      </c>
      <c r="U1432" s="87">
        <f>IFERROR(__xludf.DUMMYFUNCTION("""COMPUTED_VALUE"""),0.0)</f>
        <v>0</v>
      </c>
      <c r="V1432" s="87">
        <f>IFERROR(__xludf.DUMMYFUNCTION("""COMPUTED_VALUE"""),0.0)</f>
        <v>0</v>
      </c>
      <c r="W1432" s="87">
        <f>IFERROR(__xludf.DUMMYFUNCTION("""COMPUTED_VALUE"""),0.0)</f>
        <v>0</v>
      </c>
      <c r="X1432" s="88"/>
      <c r="Y1432" s="74"/>
      <c r="Z1432" s="74"/>
    </row>
    <row r="1433">
      <c r="B1433" s="74" t="str">
        <f>IFERROR(__xludf.DUMMYFUNCTION("""COMPUTED_VALUE"""),"2430")</f>
        <v>2430</v>
      </c>
      <c r="C1433" s="74"/>
      <c r="D1433" s="74" t="str">
        <f>IFERROR(__xludf.DUMMYFUNCTION("""COMPUTED_VALUE"""),"\\MCA-S\mk\2_BM\0_BMat\08_PYM\Inventario\excel\Imagen de refacciones\Ollas revolvedoras\Roller (Q260 X 110 X 100) Complete _ Rodillo (Q260 X 110 X 100) Completo")</f>
        <v>\\MCA-S\mk\2_BM\0_BMat\08_PYM\Inventario\excel\Imagen de refacciones\Ollas revolvedoras\Roller (Q260 X 110 X 100) Complete _ Rodillo (Q260 X 110 X 100) Completo</v>
      </c>
      <c r="E1433" s="74"/>
      <c r="F1433" s="74" t="str">
        <f>IFERROR(__xludf.DUMMYFUNCTION("""COMPUTED_VALUE"""),"Roller (Q260 X 110 X 100) Complete / Rodillo (Q260 X 110 X 100) Completo")</f>
        <v>Roller (Q260 X 110 X 100) Complete / Rodillo (Q260 X 110 X 100) Completo</v>
      </c>
      <c r="G1433" s="74"/>
      <c r="H1433" s="74"/>
      <c r="I1433" s="74" t="str">
        <f>IFERROR(__xludf.DUMMYFUNCTION("""COMPUTED_VALUE"""),"MIX10059")</f>
        <v>MIX10059</v>
      </c>
      <c r="J1433" s="74"/>
      <c r="K1433" s="74"/>
      <c r="L1433" s="74" t="str">
        <f>IFERROR(__xludf.DUMMYFUNCTION("""COMPUTED_VALUE"""),"Transmisión Mecánica")</f>
        <v>Transmisión Mecánica</v>
      </c>
      <c r="M1433" s="74" t="str">
        <f>IFERROR(__xludf.DUMMYFUNCTION("""COMPUTED_VALUE"""),"Sin Asignar")</f>
        <v>Sin Asignar</v>
      </c>
      <c r="N1433" s="87">
        <f>IFERROR(__xludf.DUMMYFUNCTION("""COMPUTED_VALUE"""),0.0)</f>
        <v>0</v>
      </c>
      <c r="O1433" s="74"/>
      <c r="P1433" s="74" t="str">
        <f>IFERROR(__xludf.DUMMYFUNCTION("""COMPUTED_VALUE"""),"No Available")</f>
        <v>No Available</v>
      </c>
      <c r="Q1433" s="74"/>
      <c r="R1433" s="74"/>
      <c r="S1433" s="87">
        <f>IFERROR(__xludf.DUMMYFUNCTION("""COMPUTED_VALUE"""),0.0)</f>
        <v>0</v>
      </c>
      <c r="T1433" s="87">
        <f>IFERROR(__xludf.DUMMYFUNCTION("""COMPUTED_VALUE"""),0.0)</f>
        <v>0</v>
      </c>
      <c r="U1433" s="87">
        <f>IFERROR(__xludf.DUMMYFUNCTION("""COMPUTED_VALUE"""),0.0)</f>
        <v>0</v>
      </c>
      <c r="V1433" s="87">
        <f>IFERROR(__xludf.DUMMYFUNCTION("""COMPUTED_VALUE"""),0.0)</f>
        <v>0</v>
      </c>
      <c r="W1433" s="87">
        <f>IFERROR(__xludf.DUMMYFUNCTION("""COMPUTED_VALUE"""),0.0)</f>
        <v>0</v>
      </c>
      <c r="X1433" s="88"/>
      <c r="Y1433" s="74"/>
      <c r="Z1433" s="74"/>
    </row>
    <row r="1434">
      <c r="B1434" s="74" t="str">
        <f>IFERROR(__xludf.DUMMYFUNCTION("""COMPUTED_VALUE"""),"2431")</f>
        <v>2431</v>
      </c>
      <c r="C1434" s="74"/>
      <c r="D1434" s="74" t="str">
        <f>IFERROR(__xludf.DUMMYFUNCTION("""COMPUTED_VALUE"""),"\\MCA-S\mk\2_BM\0_BMat\08_PYM\Inventario\excel\Imagen de refacciones\Ollas revolvedoras\Roller (Q280 X 110 X 90) Complete _ Rodillo (Q280 X 110 X 90) Completo")</f>
        <v>\\MCA-S\mk\2_BM\0_BMat\08_PYM\Inventario\excel\Imagen de refacciones\Ollas revolvedoras\Roller (Q280 X 110 X 90) Complete _ Rodillo (Q280 X 110 X 90) Completo</v>
      </c>
      <c r="E1434" s="74"/>
      <c r="F1434" s="74" t="str">
        <f>IFERROR(__xludf.DUMMYFUNCTION("""COMPUTED_VALUE"""),"Roller (Q280 X 110 X 90) Complete / Rodillo (Q280 X 110 X 90) Completo")</f>
        <v>Roller (Q280 X 110 X 90) Complete / Rodillo (Q280 X 110 X 90) Completo</v>
      </c>
      <c r="G1434" s="74"/>
      <c r="H1434" s="74"/>
      <c r="I1434" s="74" t="str">
        <f>IFERROR(__xludf.DUMMYFUNCTION("""COMPUTED_VALUE"""),"MIX10048")</f>
        <v>MIX10048</v>
      </c>
      <c r="J1434" s="74" t="str">
        <f>IFERROR(__xludf.DUMMYFUNCTION("""COMPUTED_VALUE"""),"30917010000")</f>
        <v>30917010000</v>
      </c>
      <c r="K1434" s="74"/>
      <c r="L1434" s="74" t="str">
        <f>IFERROR(__xludf.DUMMYFUNCTION("""COMPUTED_VALUE"""),"Transmisión Mecánica")</f>
        <v>Transmisión Mecánica</v>
      </c>
      <c r="M1434" s="74" t="str">
        <f>IFERROR(__xludf.DUMMYFUNCTION("""COMPUTED_VALUE"""),"Sin Asignar")</f>
        <v>Sin Asignar</v>
      </c>
      <c r="N1434" s="87">
        <f>IFERROR(__xludf.DUMMYFUNCTION("""COMPUTED_VALUE"""),0.0)</f>
        <v>0</v>
      </c>
      <c r="O1434" s="74"/>
      <c r="P1434" s="74" t="str">
        <f>IFERROR(__xludf.DUMMYFUNCTION("""COMPUTED_VALUE"""),"No Available")</f>
        <v>No Available</v>
      </c>
      <c r="Q1434" s="74"/>
      <c r="R1434" s="74"/>
      <c r="S1434" s="87">
        <f>IFERROR(__xludf.DUMMYFUNCTION("""COMPUTED_VALUE"""),0.0)</f>
        <v>0</v>
      </c>
      <c r="T1434" s="87">
        <f>IFERROR(__xludf.DUMMYFUNCTION("""COMPUTED_VALUE"""),0.0)</f>
        <v>0</v>
      </c>
      <c r="U1434" s="87">
        <f>IFERROR(__xludf.DUMMYFUNCTION("""COMPUTED_VALUE"""),0.0)</f>
        <v>0</v>
      </c>
      <c r="V1434" s="87">
        <f>IFERROR(__xludf.DUMMYFUNCTION("""COMPUTED_VALUE"""),0.0)</f>
        <v>0</v>
      </c>
      <c r="W1434" s="87">
        <f>IFERROR(__xludf.DUMMYFUNCTION("""COMPUTED_VALUE"""),0.0)</f>
        <v>0</v>
      </c>
      <c r="X1434" s="88"/>
      <c r="Y1434" s="74"/>
      <c r="Z1434" s="74"/>
    </row>
    <row r="1435">
      <c r="B1435" s="74" t="str">
        <f>IFERROR(__xludf.DUMMYFUNCTION("""COMPUTED_VALUE"""),"2432")</f>
        <v>2432</v>
      </c>
      <c r="C1435" s="74"/>
      <c r="D1435" s="74" t="str">
        <f>IFERROR(__xludf.DUMMYFUNCTION("""COMPUTED_VALUE"""),"\\MCA-S\mk\2_BM\0_BMat\08_PYM\Inventario\excel\Imagen de refacciones\Ollas revolvedoras\Roller (Q280 X 110 X 90) External _ Rodillo (Q280 X 110 X 90) Externo")</f>
        <v>\\MCA-S\mk\2_BM\0_BMat\08_PYM\Inventario\excel\Imagen de refacciones\Ollas revolvedoras\Roller (Q280 X 110 X 90) External _ Rodillo (Q280 X 110 X 90) Externo</v>
      </c>
      <c r="E1435" s="74"/>
      <c r="F1435" s="74" t="str">
        <f>IFERROR(__xludf.DUMMYFUNCTION("""COMPUTED_VALUE"""),"Roller (Q280 X 110 X 90) External / Rodillo (Q280 X 110 X 90) Externo")</f>
        <v>Roller (Q280 X 110 X 90) External / Rodillo (Q280 X 110 X 90) Externo</v>
      </c>
      <c r="G1435" s="74"/>
      <c r="H1435" s="74"/>
      <c r="I1435" s="74" t="str">
        <f>IFERROR(__xludf.DUMMYFUNCTION("""COMPUTED_VALUE"""),"MIX10060")</f>
        <v>MIX10060</v>
      </c>
      <c r="J1435" s="74" t="str">
        <f>IFERROR(__xludf.DUMMYFUNCTION("""COMPUTED_VALUE"""),"30917010000")</f>
        <v>30917010000</v>
      </c>
      <c r="K1435" s="74"/>
      <c r="L1435" s="74" t="str">
        <f>IFERROR(__xludf.DUMMYFUNCTION("""COMPUTED_VALUE"""),"Transmisión Mecánica")</f>
        <v>Transmisión Mecánica</v>
      </c>
      <c r="M1435" s="74" t="str">
        <f>IFERROR(__xludf.DUMMYFUNCTION("""COMPUTED_VALUE"""),"Sin Asignar")</f>
        <v>Sin Asignar</v>
      </c>
      <c r="N1435" s="87">
        <f>IFERROR(__xludf.DUMMYFUNCTION("""COMPUTED_VALUE"""),0.0)</f>
        <v>0</v>
      </c>
      <c r="O1435" s="74"/>
      <c r="P1435" s="74" t="str">
        <f>IFERROR(__xludf.DUMMYFUNCTION("""COMPUTED_VALUE"""),"No Available")</f>
        <v>No Available</v>
      </c>
      <c r="Q1435" s="74"/>
      <c r="R1435" s="74"/>
      <c r="S1435" s="87">
        <f>IFERROR(__xludf.DUMMYFUNCTION("""COMPUTED_VALUE"""),0.0)</f>
        <v>0</v>
      </c>
      <c r="T1435" s="87">
        <f>IFERROR(__xludf.DUMMYFUNCTION("""COMPUTED_VALUE"""),0.0)</f>
        <v>0</v>
      </c>
      <c r="U1435" s="87">
        <f>IFERROR(__xludf.DUMMYFUNCTION("""COMPUTED_VALUE"""),0.0)</f>
        <v>0</v>
      </c>
      <c r="V1435" s="87">
        <f>IFERROR(__xludf.DUMMYFUNCTION("""COMPUTED_VALUE"""),0.0)</f>
        <v>0</v>
      </c>
      <c r="W1435" s="87">
        <f>IFERROR(__xludf.DUMMYFUNCTION("""COMPUTED_VALUE"""),0.0)</f>
        <v>0</v>
      </c>
      <c r="X1435" s="88"/>
      <c r="Y1435" s="74"/>
      <c r="Z1435" s="74"/>
    </row>
    <row r="1436">
      <c r="B1436" s="74" t="str">
        <f>IFERROR(__xludf.DUMMYFUNCTION("""COMPUTED_VALUE"""),"2433")</f>
        <v>2433</v>
      </c>
      <c r="C1436" s="74"/>
      <c r="D1436" s="74" t="str">
        <f>IFERROR(__xludf.DUMMYFUNCTION("""COMPUTED_VALUE"""),"\\MCA-S\mk\2_BM\0_BMat\08_PYM\Inventario\excel\Imagen de refacciones\Ollas revolvedoras\Roller (Q280 X 160 X 110) Complete _ Rodillo (Q280 X 160 X 110) Completo")</f>
        <v>\\MCA-S\mk\2_BM\0_BMat\08_PYM\Inventario\excel\Imagen de refacciones\Ollas revolvedoras\Roller (Q280 X 160 X 110) Complete _ Rodillo (Q280 X 160 X 110) Completo</v>
      </c>
      <c r="E1436" s="74"/>
      <c r="F1436" s="74" t="str">
        <f>IFERROR(__xludf.DUMMYFUNCTION("""COMPUTED_VALUE"""),"Roller (Q280 X 160 X 110) Complete / Rodillo (Q280 X 160 X 110) Completo")</f>
        <v>Roller (Q280 X 160 X 110) Complete / Rodillo (Q280 X 160 X 110) Completo</v>
      </c>
      <c r="G1436" s="74"/>
      <c r="H1436" s="74"/>
      <c r="I1436" s="74" t="str">
        <f>IFERROR(__xludf.DUMMYFUNCTION("""COMPUTED_VALUE"""),"MIX10054")</f>
        <v>MIX10054</v>
      </c>
      <c r="J1436" s="74" t="str">
        <f>IFERROR(__xludf.DUMMYFUNCTION("""COMPUTED_VALUE"""),"30317112000")</f>
        <v>30317112000</v>
      </c>
      <c r="K1436" s="74"/>
      <c r="L1436" s="74" t="str">
        <f>IFERROR(__xludf.DUMMYFUNCTION("""COMPUTED_VALUE"""),"Transmisión Mecánica")</f>
        <v>Transmisión Mecánica</v>
      </c>
      <c r="M1436" s="74" t="str">
        <f>IFERROR(__xludf.DUMMYFUNCTION("""COMPUTED_VALUE"""),"Sin Asignar")</f>
        <v>Sin Asignar</v>
      </c>
      <c r="N1436" s="87">
        <f>IFERROR(__xludf.DUMMYFUNCTION("""COMPUTED_VALUE"""),0.0)</f>
        <v>0</v>
      </c>
      <c r="O1436" s="74"/>
      <c r="P1436" s="74" t="str">
        <f>IFERROR(__xludf.DUMMYFUNCTION("""COMPUTED_VALUE"""),"No Available")</f>
        <v>No Available</v>
      </c>
      <c r="Q1436" s="74"/>
      <c r="R1436" s="74"/>
      <c r="S1436" s="87">
        <f>IFERROR(__xludf.DUMMYFUNCTION("""COMPUTED_VALUE"""),0.0)</f>
        <v>0</v>
      </c>
      <c r="T1436" s="87">
        <f>IFERROR(__xludf.DUMMYFUNCTION("""COMPUTED_VALUE"""),0.0)</f>
        <v>0</v>
      </c>
      <c r="U1436" s="87">
        <f>IFERROR(__xludf.DUMMYFUNCTION("""COMPUTED_VALUE"""),0.0)</f>
        <v>0</v>
      </c>
      <c r="V1436" s="87">
        <f>IFERROR(__xludf.DUMMYFUNCTION("""COMPUTED_VALUE"""),0.0)</f>
        <v>0</v>
      </c>
      <c r="W1436" s="87">
        <f>IFERROR(__xludf.DUMMYFUNCTION("""COMPUTED_VALUE"""),0.0)</f>
        <v>0</v>
      </c>
      <c r="X1436" s="88"/>
      <c r="Y1436" s="74"/>
      <c r="Z1436" s="74"/>
    </row>
    <row r="1437">
      <c r="B1437" s="74" t="str">
        <f>IFERROR(__xludf.DUMMYFUNCTION("""COMPUTED_VALUE"""),"2434")</f>
        <v>2434</v>
      </c>
      <c r="C1437" s="74"/>
      <c r="D1437" s="74" t="str">
        <f>IFERROR(__xludf.DUMMYFUNCTION("""COMPUTED_VALUE"""),"\\MCA-S\mk\2_BM\0_BMat\08_PYM\Inventario\excel\Imagen de refacciones\Ollas revolvedoras\Roller (Q280 x 160 x 110) External _ Rodillo (Q280 x 160 x 110) Externo")</f>
        <v>\\MCA-S\mk\2_BM\0_BMat\08_PYM\Inventario\excel\Imagen de refacciones\Ollas revolvedoras\Roller (Q280 x 160 x 110) External _ Rodillo (Q280 x 160 x 110) Externo</v>
      </c>
      <c r="E1437" s="74"/>
      <c r="F1437" s="74" t="str">
        <f>IFERROR(__xludf.DUMMYFUNCTION("""COMPUTED_VALUE"""),"Roller (Q280 x 160 x 110) External / Rodillo (Q280 x 160 x 110) Externo")</f>
        <v>Roller (Q280 x 160 x 110) External / Rodillo (Q280 x 160 x 110) Externo</v>
      </c>
      <c r="G1437" s="74"/>
      <c r="H1437" s="74"/>
      <c r="I1437" s="74" t="str">
        <f>IFERROR(__xludf.DUMMYFUNCTION("""COMPUTED_VALUE"""),"MIX10066")</f>
        <v>MIX10066</v>
      </c>
      <c r="J1437" s="74" t="str">
        <f>IFERROR(__xludf.DUMMYFUNCTION("""COMPUTED_VALUE"""),"3031712000")</f>
        <v>3031712000</v>
      </c>
      <c r="K1437" s="74"/>
      <c r="L1437" s="74" t="str">
        <f>IFERROR(__xludf.DUMMYFUNCTION("""COMPUTED_VALUE"""),"Transmisión Mecánica")</f>
        <v>Transmisión Mecánica</v>
      </c>
      <c r="M1437" s="74" t="str">
        <f>IFERROR(__xludf.DUMMYFUNCTION("""COMPUTED_VALUE"""),"Sin Asignar")</f>
        <v>Sin Asignar</v>
      </c>
      <c r="N1437" s="87">
        <f>IFERROR(__xludf.DUMMYFUNCTION("""COMPUTED_VALUE"""),0.0)</f>
        <v>0</v>
      </c>
      <c r="O1437" s="74"/>
      <c r="P1437" s="74" t="str">
        <f>IFERROR(__xludf.DUMMYFUNCTION("""COMPUTED_VALUE"""),"No Available")</f>
        <v>No Available</v>
      </c>
      <c r="Q1437" s="74"/>
      <c r="R1437" s="74"/>
      <c r="S1437" s="87">
        <f>IFERROR(__xludf.DUMMYFUNCTION("""COMPUTED_VALUE"""),0.0)</f>
        <v>0</v>
      </c>
      <c r="T1437" s="87">
        <f>IFERROR(__xludf.DUMMYFUNCTION("""COMPUTED_VALUE"""),0.0)</f>
        <v>0</v>
      </c>
      <c r="U1437" s="87">
        <f>IFERROR(__xludf.DUMMYFUNCTION("""COMPUTED_VALUE"""),0.0)</f>
        <v>0</v>
      </c>
      <c r="V1437" s="87">
        <f>IFERROR(__xludf.DUMMYFUNCTION("""COMPUTED_VALUE"""),0.0)</f>
        <v>0</v>
      </c>
      <c r="W1437" s="87">
        <f>IFERROR(__xludf.DUMMYFUNCTION("""COMPUTED_VALUE"""),0.0)</f>
        <v>0</v>
      </c>
      <c r="X1437" s="88"/>
      <c r="Y1437" s="74"/>
      <c r="Z1437" s="74"/>
    </row>
    <row r="1438">
      <c r="B1438" s="74" t="str">
        <f>IFERROR(__xludf.DUMMYFUNCTION("""COMPUTED_VALUE"""),"2435")</f>
        <v>2435</v>
      </c>
      <c r="C1438" s="74"/>
      <c r="D1438" s="74" t="str">
        <f>IFERROR(__xludf.DUMMYFUNCTION("""COMPUTED_VALUE"""),"\\MCA-S\mk\2_BM\0_BMat\08_PYM\Inventario\excel\Imagen de refacciones\Ollas revolvedoras\Roller (Q280 X 160 X 90) Complete _ Rodillo (Q280 X 160 X 90) Completo")</f>
        <v>\\MCA-S\mk\2_BM\0_BMat\08_PYM\Inventario\excel\Imagen de refacciones\Ollas revolvedoras\Roller (Q280 X 160 X 90) Complete _ Rodillo (Q280 X 160 X 90) Completo</v>
      </c>
      <c r="E1438" s="74"/>
      <c r="F1438" s="74" t="str">
        <f>IFERROR(__xludf.DUMMYFUNCTION("""COMPUTED_VALUE"""),"Roller (Q280 X 160 X 90) Complete / Rodillo (Q280 X 160 X 90) Completo")</f>
        <v>Roller (Q280 X 160 X 90) Complete / Rodillo (Q280 X 160 X 90) Completo</v>
      </c>
      <c r="G1438" s="74"/>
      <c r="H1438" s="74"/>
      <c r="I1438" s="74" t="str">
        <f>IFERROR(__xludf.DUMMYFUNCTION("""COMPUTED_VALUE"""),"MIX10049")</f>
        <v>MIX10049</v>
      </c>
      <c r="J1438" s="74" t="str">
        <f>IFERROR(__xludf.DUMMYFUNCTION("""COMPUTED_VALUE"""),"30617010000")</f>
        <v>30617010000</v>
      </c>
      <c r="K1438" s="74"/>
      <c r="L1438" s="74" t="str">
        <f>IFERROR(__xludf.DUMMYFUNCTION("""COMPUTED_VALUE"""),"Transmisión Mecánica")</f>
        <v>Transmisión Mecánica</v>
      </c>
      <c r="M1438" s="74" t="str">
        <f>IFERROR(__xludf.DUMMYFUNCTION("""COMPUTED_VALUE"""),"Sin Asignar")</f>
        <v>Sin Asignar</v>
      </c>
      <c r="N1438" s="87">
        <f>IFERROR(__xludf.DUMMYFUNCTION("""COMPUTED_VALUE"""),0.0)</f>
        <v>0</v>
      </c>
      <c r="O1438" s="74"/>
      <c r="P1438" s="74" t="str">
        <f>IFERROR(__xludf.DUMMYFUNCTION("""COMPUTED_VALUE"""),"No Available")</f>
        <v>No Available</v>
      </c>
      <c r="Q1438" s="74"/>
      <c r="R1438" s="74"/>
      <c r="S1438" s="87">
        <f>IFERROR(__xludf.DUMMYFUNCTION("""COMPUTED_VALUE"""),0.0)</f>
        <v>0</v>
      </c>
      <c r="T1438" s="87">
        <f>IFERROR(__xludf.DUMMYFUNCTION("""COMPUTED_VALUE"""),0.0)</f>
        <v>0</v>
      </c>
      <c r="U1438" s="87">
        <f>IFERROR(__xludf.DUMMYFUNCTION("""COMPUTED_VALUE"""),0.0)</f>
        <v>0</v>
      </c>
      <c r="V1438" s="87">
        <f>IFERROR(__xludf.DUMMYFUNCTION("""COMPUTED_VALUE"""),0.0)</f>
        <v>0</v>
      </c>
      <c r="W1438" s="87">
        <f>IFERROR(__xludf.DUMMYFUNCTION("""COMPUTED_VALUE"""),0.0)</f>
        <v>0</v>
      </c>
      <c r="X1438" s="88"/>
      <c r="Y1438" s="74"/>
      <c r="Z1438" s="74"/>
    </row>
    <row r="1439">
      <c r="B1439" s="74" t="str">
        <f>IFERROR(__xludf.DUMMYFUNCTION("""COMPUTED_VALUE"""),"2436")</f>
        <v>2436</v>
      </c>
      <c r="C1439" s="74"/>
      <c r="D1439" s="74" t="str">
        <f>IFERROR(__xludf.DUMMYFUNCTION("""COMPUTED_VALUE"""),"\\MCA-S\mk\2_BM\0_BMat\08_PYM\Inventario\excel\Imagen de refacciones\Ollas revolvedoras\Roller (Q280 X 160 X 90) External _ Rodillo (Q280 X 160 X 90) Externo")</f>
        <v>\\MCA-S\mk\2_BM\0_BMat\08_PYM\Inventario\excel\Imagen de refacciones\Ollas revolvedoras\Roller (Q280 X 160 X 90) External _ Rodillo (Q280 X 160 X 90) Externo</v>
      </c>
      <c r="E1439" s="74"/>
      <c r="F1439" s="74" t="str">
        <f>IFERROR(__xludf.DUMMYFUNCTION("""COMPUTED_VALUE"""),"Roller (Q280 X 160 X 90) External / Rodillo (Q280 X 160 X 90) Externo")</f>
        <v>Roller (Q280 X 160 X 90) External / Rodillo (Q280 X 160 X 90) Externo</v>
      </c>
      <c r="G1439" s="74"/>
      <c r="H1439" s="74"/>
      <c r="I1439" s="74" t="str">
        <f>IFERROR(__xludf.DUMMYFUNCTION("""COMPUTED_VALUE"""),"MIX10061")</f>
        <v>MIX10061</v>
      </c>
      <c r="J1439" s="74" t="str">
        <f>IFERROR(__xludf.DUMMYFUNCTION("""COMPUTED_VALUE"""),"30617010000")</f>
        <v>30617010000</v>
      </c>
      <c r="K1439" s="74"/>
      <c r="L1439" s="74" t="str">
        <f>IFERROR(__xludf.DUMMYFUNCTION("""COMPUTED_VALUE"""),"Transmisión Mecánica")</f>
        <v>Transmisión Mecánica</v>
      </c>
      <c r="M1439" s="74" t="str">
        <f>IFERROR(__xludf.DUMMYFUNCTION("""COMPUTED_VALUE"""),"Sin Asignar")</f>
        <v>Sin Asignar</v>
      </c>
      <c r="N1439" s="87">
        <f>IFERROR(__xludf.DUMMYFUNCTION("""COMPUTED_VALUE"""),0.0)</f>
        <v>0</v>
      </c>
      <c r="O1439" s="74"/>
      <c r="P1439" s="74" t="str">
        <f>IFERROR(__xludf.DUMMYFUNCTION("""COMPUTED_VALUE"""),"No Available")</f>
        <v>No Available</v>
      </c>
      <c r="Q1439" s="74"/>
      <c r="R1439" s="74"/>
      <c r="S1439" s="87">
        <f>IFERROR(__xludf.DUMMYFUNCTION("""COMPUTED_VALUE"""),0.0)</f>
        <v>0</v>
      </c>
      <c r="T1439" s="87">
        <f>IFERROR(__xludf.DUMMYFUNCTION("""COMPUTED_VALUE"""),0.0)</f>
        <v>0</v>
      </c>
      <c r="U1439" s="87">
        <f>IFERROR(__xludf.DUMMYFUNCTION("""COMPUTED_VALUE"""),0.0)</f>
        <v>0</v>
      </c>
      <c r="V1439" s="87">
        <f>IFERROR(__xludf.DUMMYFUNCTION("""COMPUTED_VALUE"""),0.0)</f>
        <v>0</v>
      </c>
      <c r="W1439" s="87">
        <f>IFERROR(__xludf.DUMMYFUNCTION("""COMPUTED_VALUE"""),0.0)</f>
        <v>0</v>
      </c>
      <c r="X1439" s="88"/>
      <c r="Y1439" s="74"/>
      <c r="Z1439" s="74"/>
    </row>
    <row r="1440">
      <c r="B1440" s="74" t="str">
        <f>IFERROR(__xludf.DUMMYFUNCTION("""COMPUTED_VALUE"""),"2437")</f>
        <v>2437</v>
      </c>
      <c r="C1440" s="74"/>
      <c r="D1440" s="74" t="str">
        <f>IFERROR(__xludf.DUMMYFUNCTION("""COMPUTED_VALUE"""),"\\MCA-S\mk\2_BM\0_BMat\08_PYM\Inventario\excel\Imagen de refacciones\Ollas revolvedoras\Roller Karde Type (Q180 X 130 X 100) Complete _ Rodillo Tipo Karde (Q180 X 130 X 100) Completo")</f>
        <v>\\MCA-S\mk\2_BM\0_BMat\08_PYM\Inventario\excel\Imagen de refacciones\Ollas revolvedoras\Roller Karde Type (Q180 X 130 X 100) Complete _ Rodillo Tipo Karde (Q180 X 130 X 100) Completo</v>
      </c>
      <c r="E1440" s="74"/>
      <c r="F1440" s="74" t="str">
        <f>IFERROR(__xludf.DUMMYFUNCTION("""COMPUTED_VALUE"""),"Roller Karde Type (Q180 X 130 X 100) Complete / Rodillo Tipo Karde (Q180 X 130 X 100) Completo")</f>
        <v>Roller Karde Type (Q180 X 130 X 100) Complete / Rodillo Tipo Karde (Q180 X 130 X 100) Completo</v>
      </c>
      <c r="G1440" s="74"/>
      <c r="H1440" s="74"/>
      <c r="I1440" s="74" t="str">
        <f>IFERROR(__xludf.DUMMYFUNCTION("""COMPUTED_VALUE"""),"MIX10057")</f>
        <v>MIX10057</v>
      </c>
      <c r="J1440" s="74"/>
      <c r="K1440" s="74"/>
      <c r="L1440" s="74" t="str">
        <f>IFERROR(__xludf.DUMMYFUNCTION("""COMPUTED_VALUE"""),"Transmisión Mecánica")</f>
        <v>Transmisión Mecánica</v>
      </c>
      <c r="M1440" s="74" t="str">
        <f>IFERROR(__xludf.DUMMYFUNCTION("""COMPUTED_VALUE"""),"Sin Asignar")</f>
        <v>Sin Asignar</v>
      </c>
      <c r="N1440" s="87">
        <f>IFERROR(__xludf.DUMMYFUNCTION("""COMPUTED_VALUE"""),0.0)</f>
        <v>0</v>
      </c>
      <c r="O1440" s="74"/>
      <c r="P1440" s="74" t="str">
        <f>IFERROR(__xludf.DUMMYFUNCTION("""COMPUTED_VALUE"""),"No Available")</f>
        <v>No Available</v>
      </c>
      <c r="Q1440" s="74"/>
      <c r="R1440" s="74"/>
      <c r="S1440" s="87">
        <f>IFERROR(__xludf.DUMMYFUNCTION("""COMPUTED_VALUE"""),0.0)</f>
        <v>0</v>
      </c>
      <c r="T1440" s="87">
        <f>IFERROR(__xludf.DUMMYFUNCTION("""COMPUTED_VALUE"""),0.0)</f>
        <v>0</v>
      </c>
      <c r="U1440" s="87">
        <f>IFERROR(__xludf.DUMMYFUNCTION("""COMPUTED_VALUE"""),0.0)</f>
        <v>0</v>
      </c>
      <c r="V1440" s="87">
        <f>IFERROR(__xludf.DUMMYFUNCTION("""COMPUTED_VALUE"""),0.0)</f>
        <v>0</v>
      </c>
      <c r="W1440" s="87">
        <f>IFERROR(__xludf.DUMMYFUNCTION("""COMPUTED_VALUE"""),0.0)</f>
        <v>0</v>
      </c>
      <c r="X1440" s="88"/>
      <c r="Y1440" s="74"/>
      <c r="Z1440" s="74"/>
    </row>
    <row r="1441">
      <c r="B1441" s="74" t="str">
        <f>IFERROR(__xludf.DUMMYFUNCTION("""COMPUTED_VALUE"""),"2438")</f>
        <v>2438</v>
      </c>
      <c r="C1441" s="74"/>
      <c r="D1441" s="74" t="str">
        <f>IFERROR(__xludf.DUMMYFUNCTION("""COMPUTED_VALUE"""),"\\MCA-S\mk\2_BM\0_BMat\08_PYM\Inventario\excel\Imagen de refacciones\Ollas revolvedoras\Roller Karde Type (Q180 x 130 x 100) External _ Rodillo Tipo Karde (Q180 x 130 x 100) Externo")</f>
        <v>\\MCA-S\mk\2_BM\0_BMat\08_PYM\Inventario\excel\Imagen de refacciones\Ollas revolvedoras\Roller Karde Type (Q180 x 130 x 100) External _ Rodillo Tipo Karde (Q180 x 130 x 100) Externo</v>
      </c>
      <c r="E1441" s="74"/>
      <c r="F1441" s="74" t="str">
        <f>IFERROR(__xludf.DUMMYFUNCTION("""COMPUTED_VALUE"""),"Roller Karde Type (Q180 x 130 x 100) External / Rodillo Tipo Karde (Q180 x 130 x 100) Externo")</f>
        <v>Roller Karde Type (Q180 x 130 x 100) External / Rodillo Tipo Karde (Q180 x 130 x 100) Externo</v>
      </c>
      <c r="G1441" s="74"/>
      <c r="H1441" s="74"/>
      <c r="I1441" s="74" t="str">
        <f>IFERROR(__xludf.DUMMYFUNCTION("""COMPUTED_VALUE"""),"MIX10069")</f>
        <v>MIX10069</v>
      </c>
      <c r="J1441" s="74"/>
      <c r="K1441" s="74"/>
      <c r="L1441" s="74" t="str">
        <f>IFERROR(__xludf.DUMMYFUNCTION("""COMPUTED_VALUE"""),"Transmisión Mecánica")</f>
        <v>Transmisión Mecánica</v>
      </c>
      <c r="M1441" s="74" t="str">
        <f>IFERROR(__xludf.DUMMYFUNCTION("""COMPUTED_VALUE"""),"Sin Asignar")</f>
        <v>Sin Asignar</v>
      </c>
      <c r="N1441" s="87">
        <f>IFERROR(__xludf.DUMMYFUNCTION("""COMPUTED_VALUE"""),0.0)</f>
        <v>0</v>
      </c>
      <c r="O1441" s="74"/>
      <c r="P1441" s="74" t="str">
        <f>IFERROR(__xludf.DUMMYFUNCTION("""COMPUTED_VALUE"""),"No Available")</f>
        <v>No Available</v>
      </c>
      <c r="Q1441" s="74"/>
      <c r="R1441" s="74"/>
      <c r="S1441" s="87">
        <f>IFERROR(__xludf.DUMMYFUNCTION("""COMPUTED_VALUE"""),0.0)</f>
        <v>0</v>
      </c>
      <c r="T1441" s="87">
        <f>IFERROR(__xludf.DUMMYFUNCTION("""COMPUTED_VALUE"""),0.0)</f>
        <v>0</v>
      </c>
      <c r="U1441" s="87">
        <f>IFERROR(__xludf.DUMMYFUNCTION("""COMPUTED_VALUE"""),0.0)</f>
        <v>0</v>
      </c>
      <c r="V1441" s="87">
        <f>IFERROR(__xludf.DUMMYFUNCTION("""COMPUTED_VALUE"""),0.0)</f>
        <v>0</v>
      </c>
      <c r="W1441" s="87">
        <f>IFERROR(__xludf.DUMMYFUNCTION("""COMPUTED_VALUE"""),0.0)</f>
        <v>0</v>
      </c>
      <c r="X1441" s="88"/>
      <c r="Y1441" s="74"/>
      <c r="Z1441" s="74"/>
    </row>
    <row r="1442">
      <c r="B1442" s="74" t="str">
        <f>IFERROR(__xludf.DUMMYFUNCTION("""COMPUTED_VALUE"""),"2439")</f>
        <v>2439</v>
      </c>
      <c r="C1442" s="74"/>
      <c r="D1442" s="74" t="str">
        <f>IFERROR(__xludf.DUMMYFUNCTION("""COMPUTED_VALUE"""),"\\MCA-S\mk\2_BM\0_BMat\08_PYM\Inventario\excel\Imagen de refacciones\Ollas revolvedoras\S HOSE 60 MM _ Manguera S 60 MM")</f>
        <v>\\MCA-S\mk\2_BM\0_BMat\08_PYM\Inventario\excel\Imagen de refacciones\Ollas revolvedoras\S HOSE 60 MM _ Manguera S 60 MM</v>
      </c>
      <c r="E1442" s="74"/>
      <c r="F1442" s="74" t="str">
        <f>IFERROR(__xludf.DUMMYFUNCTION("""COMPUTED_VALUE"""),"S HOSE 60 MM / Manguera S 60 MM")</f>
        <v>S HOSE 60 MM / Manguera S 60 MM</v>
      </c>
      <c r="G1442" s="74"/>
      <c r="H1442" s="74"/>
      <c r="I1442" s="74" t="str">
        <f>IFERROR(__xludf.DUMMYFUNCTION("""COMPUTED_VALUE"""),"MIX10204")</f>
        <v>MIX10204</v>
      </c>
      <c r="J1442" s="74"/>
      <c r="K1442" s="74"/>
      <c r="L1442" s="74" t="str">
        <f>IFERROR(__xludf.DUMMYFUNCTION("""COMPUTED_VALUE"""),"Componentes de Tuberías")</f>
        <v>Componentes de Tuberías</v>
      </c>
      <c r="M1442" s="74" t="str">
        <f>IFERROR(__xludf.DUMMYFUNCTION("""COMPUTED_VALUE"""),"Sin Asignar")</f>
        <v>Sin Asignar</v>
      </c>
      <c r="N1442" s="87">
        <f>IFERROR(__xludf.DUMMYFUNCTION("""COMPUTED_VALUE"""),0.0)</f>
        <v>0</v>
      </c>
      <c r="O1442" s="74"/>
      <c r="P1442" s="74" t="str">
        <f>IFERROR(__xludf.DUMMYFUNCTION("""COMPUTED_VALUE"""),"No Available")</f>
        <v>No Available</v>
      </c>
      <c r="Q1442" s="74"/>
      <c r="R1442" s="74"/>
      <c r="S1442" s="87">
        <f>IFERROR(__xludf.DUMMYFUNCTION("""COMPUTED_VALUE"""),0.0)</f>
        <v>0</v>
      </c>
      <c r="T1442" s="87">
        <f>IFERROR(__xludf.DUMMYFUNCTION("""COMPUTED_VALUE"""),0.0)</f>
        <v>0</v>
      </c>
      <c r="U1442" s="87">
        <f>IFERROR(__xludf.DUMMYFUNCTION("""COMPUTED_VALUE"""),0.0)</f>
        <v>0</v>
      </c>
      <c r="V1442" s="87">
        <f>IFERROR(__xludf.DUMMYFUNCTION("""COMPUTED_VALUE"""),0.0)</f>
        <v>0</v>
      </c>
      <c r="W1442" s="87">
        <f>IFERROR(__xludf.DUMMYFUNCTION("""COMPUTED_VALUE"""),0.0)</f>
        <v>0</v>
      </c>
      <c r="X1442" s="88"/>
      <c r="Y1442" s="74"/>
      <c r="Z1442" s="74"/>
    </row>
    <row r="1443">
      <c r="B1443" s="74" t="str">
        <f>IFERROR(__xludf.DUMMYFUNCTION("""COMPUTED_VALUE"""),"2440")</f>
        <v>2440</v>
      </c>
      <c r="C1443" s="74"/>
      <c r="D1443" s="74" t="str">
        <f>IFERROR(__xludf.DUMMYFUNCTION("""COMPUTED_VALUE"""),"\\MCA-S\mk\2_BM\0_BMat\08_PYM\Inventario\excel\Imagen de refacciones\Ollas revolvedoras\Seal for V Chut 168 _ Sello para Tolva en V 168")</f>
        <v>\\MCA-S\mk\2_BM\0_BMat\08_PYM\Inventario\excel\Imagen de refacciones\Ollas revolvedoras\Seal for V Chut 168 _ Sello para Tolva en V 168</v>
      </c>
      <c r="E1443" s="74"/>
      <c r="F1443" s="74" t="str">
        <f>IFERROR(__xludf.DUMMYFUNCTION("""COMPUTED_VALUE"""),"Seal for V Chut 168 / Sello para Tolva en V 168")</f>
        <v>Seal for V Chut 168 / Sello para Tolva en V 168</v>
      </c>
      <c r="G1443" s="74"/>
      <c r="H1443" s="74"/>
      <c r="I1443" s="74" t="str">
        <f>IFERROR(__xludf.DUMMYFUNCTION("""COMPUTED_VALUE"""),"MIX10132")</f>
        <v>MIX10132</v>
      </c>
      <c r="J1443" s="74"/>
      <c r="K1443" s="74"/>
      <c r="L1443" s="74" t="str">
        <f>IFERROR(__xludf.DUMMYFUNCTION("""COMPUTED_VALUE"""),"Sellos y Retenes")</f>
        <v>Sellos y Retenes</v>
      </c>
      <c r="M1443" s="74" t="str">
        <f>IFERROR(__xludf.DUMMYFUNCTION("""COMPUTED_VALUE"""),"Sin Asignar")</f>
        <v>Sin Asignar</v>
      </c>
      <c r="N1443" s="87">
        <f>IFERROR(__xludf.DUMMYFUNCTION("""COMPUTED_VALUE"""),0.0)</f>
        <v>0</v>
      </c>
      <c r="O1443" s="74"/>
      <c r="P1443" s="74" t="str">
        <f>IFERROR(__xludf.DUMMYFUNCTION("""COMPUTED_VALUE"""),"No Available")</f>
        <v>No Available</v>
      </c>
      <c r="Q1443" s="74"/>
      <c r="R1443" s="74"/>
      <c r="S1443" s="87">
        <f>IFERROR(__xludf.DUMMYFUNCTION("""COMPUTED_VALUE"""),0.0)</f>
        <v>0</v>
      </c>
      <c r="T1443" s="87">
        <f>IFERROR(__xludf.DUMMYFUNCTION("""COMPUTED_VALUE"""),0.0)</f>
        <v>0</v>
      </c>
      <c r="U1443" s="87">
        <f>IFERROR(__xludf.DUMMYFUNCTION("""COMPUTED_VALUE"""),0.0)</f>
        <v>0</v>
      </c>
      <c r="V1443" s="87">
        <f>IFERROR(__xludf.DUMMYFUNCTION("""COMPUTED_VALUE"""),0.0)</f>
        <v>0</v>
      </c>
      <c r="W1443" s="87">
        <f>IFERROR(__xludf.DUMMYFUNCTION("""COMPUTED_VALUE"""),0.0)</f>
        <v>0</v>
      </c>
      <c r="X1443" s="88"/>
      <c r="Y1443" s="74"/>
      <c r="Z1443" s="74"/>
    </row>
    <row r="1444">
      <c r="B1444" s="74" t="str">
        <f>IFERROR(__xludf.DUMMYFUNCTION("""COMPUTED_VALUE"""),"2441")</f>
        <v>2441</v>
      </c>
      <c r="C1444" s="74"/>
      <c r="D1444" s="74" t="str">
        <f>IFERROR(__xludf.DUMMYFUNCTION("""COMPUTED_VALUE"""),"\\MCA-S\mk\2_BM\0_BMat\08_PYM\Inventario\excel\Imagen de refacciones\Ollas revolvedoras\Seal Set for C30 Water Pump _ Juego de Sellos para Bomba de Agua C30")</f>
        <v>\\MCA-S\mk\2_BM\0_BMat\08_PYM\Inventario\excel\Imagen de refacciones\Ollas revolvedoras\Seal Set for C30 Water Pump _ Juego de Sellos para Bomba de Agua C30</v>
      </c>
      <c r="E1444" s="74"/>
      <c r="F1444" s="74" t="str">
        <f>IFERROR(__xludf.DUMMYFUNCTION("""COMPUTED_VALUE"""),"Seal Set for C30 Water Pump / Juego de Sellos para Bomba de Agua C30")</f>
        <v>Seal Set for C30 Water Pump / Juego de Sellos para Bomba de Agua C30</v>
      </c>
      <c r="G1444" s="74"/>
      <c r="H1444" s="74"/>
      <c r="I1444" s="74" t="str">
        <f>IFERROR(__xludf.DUMMYFUNCTION("""COMPUTED_VALUE"""),"MIX10008")</f>
        <v>MIX10008</v>
      </c>
      <c r="J1444" s="74" t="str">
        <f>IFERROR(__xludf.DUMMYFUNCTION("""COMPUTED_VALUE"""),"LRCL0042J5")</f>
        <v>LRCL0042J5</v>
      </c>
      <c r="K1444" s="74"/>
      <c r="L1444" s="74" t="str">
        <f>IFERROR(__xludf.DUMMYFUNCTION("""COMPUTED_VALUE"""),"Sellos y Retenes")</f>
        <v>Sellos y Retenes</v>
      </c>
      <c r="M1444" s="74" t="str">
        <f>IFERROR(__xludf.DUMMYFUNCTION("""COMPUTED_VALUE"""),"Sin Asignar")</f>
        <v>Sin Asignar</v>
      </c>
      <c r="N1444" s="87">
        <f>IFERROR(__xludf.DUMMYFUNCTION("""COMPUTED_VALUE"""),0.0)</f>
        <v>0</v>
      </c>
      <c r="O1444" s="74"/>
      <c r="P1444" s="74" t="str">
        <f>IFERROR(__xludf.DUMMYFUNCTION("""COMPUTED_VALUE"""),"No Available")</f>
        <v>No Available</v>
      </c>
      <c r="Q1444" s="74"/>
      <c r="R1444" s="74"/>
      <c r="S1444" s="87">
        <f>IFERROR(__xludf.DUMMYFUNCTION("""COMPUTED_VALUE"""),0.0)</f>
        <v>0</v>
      </c>
      <c r="T1444" s="87">
        <f>IFERROR(__xludf.DUMMYFUNCTION("""COMPUTED_VALUE"""),0.0)</f>
        <v>0</v>
      </c>
      <c r="U1444" s="87">
        <f>IFERROR(__xludf.DUMMYFUNCTION("""COMPUTED_VALUE"""),0.0)</f>
        <v>0</v>
      </c>
      <c r="V1444" s="87">
        <f>IFERROR(__xludf.DUMMYFUNCTION("""COMPUTED_VALUE"""),0.0)</f>
        <v>0</v>
      </c>
      <c r="W1444" s="87">
        <f>IFERROR(__xludf.DUMMYFUNCTION("""COMPUTED_VALUE"""),0.0)</f>
        <v>0</v>
      </c>
      <c r="X1444" s="88"/>
      <c r="Y1444" s="74"/>
      <c r="Z1444" s="74"/>
    </row>
    <row r="1445">
      <c r="B1445" s="74" t="str">
        <f>IFERROR(__xludf.DUMMYFUNCTION("""COMPUTED_VALUE"""),"2442")</f>
        <v>2442</v>
      </c>
      <c r="C1445" s="74"/>
      <c r="D1445" s="74" t="str">
        <f>IFERROR(__xludf.DUMMYFUNCTION("""COMPUTED_VALUE"""),"\\MCA-S\mk\2_BM\0_BMat\08_PYM\Inventario\excel\Imagen de refacciones\Ollas revolvedoras\Short Fiber for Short Chut _ Fibra Corta para Tolva Corta")</f>
        <v>\\MCA-S\mk\2_BM\0_BMat\08_PYM\Inventario\excel\Imagen de refacciones\Ollas revolvedoras\Short Fiber for Short Chut _ Fibra Corta para Tolva Corta</v>
      </c>
      <c r="E1445" s="74"/>
      <c r="F1445" s="74" t="str">
        <f>IFERROR(__xludf.DUMMYFUNCTION("""COMPUTED_VALUE"""),"Short Fiber for Short Chut / Fibra Corta para Tolva Corta")</f>
        <v>Short Fiber for Short Chut / Fibra Corta para Tolva Corta</v>
      </c>
      <c r="G1445" s="74"/>
      <c r="H1445" s="74"/>
      <c r="I1445" s="74" t="str">
        <f>IFERROR(__xludf.DUMMYFUNCTION("""COMPUTED_VALUE"""),"MIX30146")</f>
        <v>MIX30146</v>
      </c>
      <c r="J1445" s="74"/>
      <c r="K1445" s="74"/>
      <c r="L1445" s="74" t="str">
        <f>IFERROR(__xludf.DUMMYFUNCTION("""COMPUTED_VALUE"""),"Componentes de Descarga")</f>
        <v>Componentes de Descarga</v>
      </c>
      <c r="M1445" s="74" t="str">
        <f>IFERROR(__xludf.DUMMYFUNCTION("""COMPUTED_VALUE"""),"Sin Asignar")</f>
        <v>Sin Asignar</v>
      </c>
      <c r="N1445" s="87">
        <f>IFERROR(__xludf.DUMMYFUNCTION("""COMPUTED_VALUE"""),0.0)</f>
        <v>0</v>
      </c>
      <c r="O1445" s="74"/>
      <c r="P1445" s="74" t="str">
        <f>IFERROR(__xludf.DUMMYFUNCTION("""COMPUTED_VALUE"""),"No Available")</f>
        <v>No Available</v>
      </c>
      <c r="Q1445" s="74"/>
      <c r="R1445" s="74"/>
      <c r="S1445" s="87">
        <f>IFERROR(__xludf.DUMMYFUNCTION("""COMPUTED_VALUE"""),0.0)</f>
        <v>0</v>
      </c>
      <c r="T1445" s="87">
        <f>IFERROR(__xludf.DUMMYFUNCTION("""COMPUTED_VALUE"""),0.0)</f>
        <v>0</v>
      </c>
      <c r="U1445" s="87">
        <f>IFERROR(__xludf.DUMMYFUNCTION("""COMPUTED_VALUE"""),0.0)</f>
        <v>0</v>
      </c>
      <c r="V1445" s="87">
        <f>IFERROR(__xludf.DUMMYFUNCTION("""COMPUTED_VALUE"""),0.0)</f>
        <v>0</v>
      </c>
      <c r="W1445" s="87">
        <f>IFERROR(__xludf.DUMMYFUNCTION("""COMPUTED_VALUE"""),0.0)</f>
        <v>0</v>
      </c>
      <c r="X1445" s="88"/>
      <c r="Y1445" s="74"/>
      <c r="Z1445" s="74"/>
    </row>
    <row r="1446">
      <c r="B1446" s="74" t="str">
        <f>IFERROR(__xludf.DUMMYFUNCTION("""COMPUTED_VALUE"""),"2443")</f>
        <v>2443</v>
      </c>
      <c r="C1446" s="74"/>
      <c r="D1446" s="74" t="str">
        <f>IFERROR(__xludf.DUMMYFUNCTION("""COMPUTED_VALUE"""),"\\MCA-S\mk\2_BM\0_BMat\08_PYM\Inventario\excel\Imagen de refacciones\Ollas revolvedoras\Transmitter Cable Type 55 Degree _ Cable de Transmisor Tipo 55 Grados")</f>
        <v>\\MCA-S\mk\2_BM\0_BMat\08_PYM\Inventario\excel\Imagen de refacciones\Ollas revolvedoras\Transmitter Cable Type 55 Degree _ Cable de Transmisor Tipo 55 Grados</v>
      </c>
      <c r="E1446" s="74"/>
      <c r="F1446" s="74" t="str">
        <f>IFERROR(__xludf.DUMMYFUNCTION("""COMPUTED_VALUE"""),"Transmitter Cable Type 55 Degree / Cable de Transmisor Tipo 55 Grados")</f>
        <v>Transmitter Cable Type 55 Degree / Cable de Transmisor Tipo 55 Grados</v>
      </c>
      <c r="G1446" s="74"/>
      <c r="H1446" s="74"/>
      <c r="I1446" s="74" t="str">
        <f>IFERROR(__xludf.DUMMYFUNCTION("""COMPUTED_VALUE"""),"MIX10108")</f>
        <v>MIX10108</v>
      </c>
      <c r="J1446" s="74"/>
      <c r="K1446" s="74"/>
      <c r="L1446" s="74" t="str">
        <f>IFERROR(__xludf.DUMMYFUNCTION("""COMPUTED_VALUE"""),"Elementos de Medición y Control")</f>
        <v>Elementos de Medición y Control</v>
      </c>
      <c r="M1446" s="74" t="str">
        <f>IFERROR(__xludf.DUMMYFUNCTION("""COMPUTED_VALUE"""),"Sin Asignar")</f>
        <v>Sin Asignar</v>
      </c>
      <c r="N1446" s="87">
        <f>IFERROR(__xludf.DUMMYFUNCTION("""COMPUTED_VALUE"""),0.0)</f>
        <v>0</v>
      </c>
      <c r="O1446" s="74"/>
      <c r="P1446" s="74" t="str">
        <f>IFERROR(__xludf.DUMMYFUNCTION("""COMPUTED_VALUE"""),"No Available")</f>
        <v>No Available</v>
      </c>
      <c r="Q1446" s="74"/>
      <c r="R1446" s="74"/>
      <c r="S1446" s="87">
        <f>IFERROR(__xludf.DUMMYFUNCTION("""COMPUTED_VALUE"""),0.0)</f>
        <v>0</v>
      </c>
      <c r="T1446" s="87">
        <f>IFERROR(__xludf.DUMMYFUNCTION("""COMPUTED_VALUE"""),0.0)</f>
        <v>0</v>
      </c>
      <c r="U1446" s="87">
        <f>IFERROR(__xludf.DUMMYFUNCTION("""COMPUTED_VALUE"""),0.0)</f>
        <v>0</v>
      </c>
      <c r="V1446" s="87">
        <f>IFERROR(__xludf.DUMMYFUNCTION("""COMPUTED_VALUE"""),0.0)</f>
        <v>0</v>
      </c>
      <c r="W1446" s="87">
        <f>IFERROR(__xludf.DUMMYFUNCTION("""COMPUTED_VALUE"""),0.0)</f>
        <v>0</v>
      </c>
      <c r="X1446" s="88"/>
      <c r="Y1446" s="74"/>
      <c r="Z1446" s="74"/>
    </row>
    <row r="1447">
      <c r="B1447" s="74" t="str">
        <f>IFERROR(__xludf.DUMMYFUNCTION("""COMPUTED_VALUE"""),"2444")</f>
        <v>2444</v>
      </c>
      <c r="C1447" s="74"/>
      <c r="D1447" s="74" t="str">
        <f>IFERROR(__xludf.DUMMYFUNCTION("""COMPUTED_VALUE"""),"\\MCA-S\mk\2_BM\0_BMat\08_PYM\Inventario\excel\Imagen de refacciones\Ollas revolvedoras\Transmitter Long Type 55 Degree _ Transmisor Tipo Largo 55 Grados")</f>
        <v>\\MCA-S\mk\2_BM\0_BMat\08_PYM\Inventario\excel\Imagen de refacciones\Ollas revolvedoras\Transmitter Long Type 55 Degree _ Transmisor Tipo Largo 55 Grados</v>
      </c>
      <c r="E1447" s="74"/>
      <c r="F1447" s="74" t="str">
        <f>IFERROR(__xludf.DUMMYFUNCTION("""COMPUTED_VALUE"""),"Transmitter Long Type 55 Degree / Transmisor Tipo Largo 55 Grados")</f>
        <v>Transmitter Long Type 55 Degree / Transmisor Tipo Largo 55 Grados</v>
      </c>
      <c r="G1447" s="74"/>
      <c r="H1447" s="74"/>
      <c r="I1447" s="74" t="str">
        <f>IFERROR(__xludf.DUMMYFUNCTION("""COMPUTED_VALUE"""),"MIX10107")</f>
        <v>MIX10107</v>
      </c>
      <c r="J1447" s="74"/>
      <c r="K1447" s="74"/>
      <c r="L1447" s="74" t="str">
        <f>IFERROR(__xludf.DUMMYFUNCTION("""COMPUTED_VALUE"""),"Elementos de Medición y Control")</f>
        <v>Elementos de Medición y Control</v>
      </c>
      <c r="M1447" s="74" t="str">
        <f>IFERROR(__xludf.DUMMYFUNCTION("""COMPUTED_VALUE"""),"Sin Asignar")</f>
        <v>Sin Asignar</v>
      </c>
      <c r="N1447" s="87">
        <f>IFERROR(__xludf.DUMMYFUNCTION("""COMPUTED_VALUE"""),0.0)</f>
        <v>0</v>
      </c>
      <c r="O1447" s="74"/>
      <c r="P1447" s="74" t="str">
        <f>IFERROR(__xludf.DUMMYFUNCTION("""COMPUTED_VALUE"""),"No Available")</f>
        <v>No Available</v>
      </c>
      <c r="Q1447" s="74"/>
      <c r="R1447" s="74"/>
      <c r="S1447" s="87">
        <f>IFERROR(__xludf.DUMMYFUNCTION("""COMPUTED_VALUE"""),0.0)</f>
        <v>0</v>
      </c>
      <c r="T1447" s="87">
        <f>IFERROR(__xludf.DUMMYFUNCTION("""COMPUTED_VALUE"""),0.0)</f>
        <v>0</v>
      </c>
      <c r="U1447" s="87">
        <f>IFERROR(__xludf.DUMMYFUNCTION("""COMPUTED_VALUE"""),0.0)</f>
        <v>0</v>
      </c>
      <c r="V1447" s="87">
        <f>IFERROR(__xludf.DUMMYFUNCTION("""COMPUTED_VALUE"""),0.0)</f>
        <v>0</v>
      </c>
      <c r="W1447" s="87">
        <f>IFERROR(__xludf.DUMMYFUNCTION("""COMPUTED_VALUE"""),0.0)</f>
        <v>0</v>
      </c>
      <c r="X1447" s="88"/>
      <c r="Y1447" s="74"/>
      <c r="Z1447" s="74"/>
    </row>
    <row r="1448">
      <c r="B1448" s="74" t="str">
        <f>IFERROR(__xludf.DUMMYFUNCTION("""COMPUTED_VALUE"""),"2445")</f>
        <v>2445</v>
      </c>
      <c r="C1448" s="74"/>
      <c r="D1448" s="74" t="str">
        <f>IFERROR(__xludf.DUMMYFUNCTION("""COMPUTED_VALUE"""),"\\MCA-S\mk\2_BM\0_BMat\08_PYM\Inventario\excel\Imagen de refacciones\Ollas revolvedoras\Transmitter Short Type 55 Degree _ Transmisor Tipo Corto 55 Grados")</f>
        <v>\\MCA-S\mk\2_BM\0_BMat\08_PYM\Inventario\excel\Imagen de refacciones\Ollas revolvedoras\Transmitter Short Type 55 Degree _ Transmisor Tipo Corto 55 Grados</v>
      </c>
      <c r="E1448" s="74"/>
      <c r="F1448" s="74" t="str">
        <f>IFERROR(__xludf.DUMMYFUNCTION("""COMPUTED_VALUE"""),"Transmitter Short Type 55 Degree / Transmisor Tipo Corto 55 Grados")</f>
        <v>Transmitter Short Type 55 Degree / Transmisor Tipo Corto 55 Grados</v>
      </c>
      <c r="G1448" s="74"/>
      <c r="H1448" s="74"/>
      <c r="I1448" s="74" t="str">
        <f>IFERROR(__xludf.DUMMYFUNCTION("""COMPUTED_VALUE"""),"MIX10106")</f>
        <v>MIX10106</v>
      </c>
      <c r="J1448" s="74"/>
      <c r="K1448" s="74"/>
      <c r="L1448" s="74" t="str">
        <f>IFERROR(__xludf.DUMMYFUNCTION("""COMPUTED_VALUE"""),"Elementos de Medición y Control")</f>
        <v>Elementos de Medición y Control</v>
      </c>
      <c r="M1448" s="74" t="str">
        <f>IFERROR(__xludf.DUMMYFUNCTION("""COMPUTED_VALUE"""),"Sin Asignar")</f>
        <v>Sin Asignar</v>
      </c>
      <c r="N1448" s="87">
        <f>IFERROR(__xludf.DUMMYFUNCTION("""COMPUTED_VALUE"""),0.0)</f>
        <v>0</v>
      </c>
      <c r="O1448" s="74"/>
      <c r="P1448" s="74" t="str">
        <f>IFERROR(__xludf.DUMMYFUNCTION("""COMPUTED_VALUE"""),"No Available")</f>
        <v>No Available</v>
      </c>
      <c r="Q1448" s="74"/>
      <c r="R1448" s="74"/>
      <c r="S1448" s="87">
        <f>IFERROR(__xludf.DUMMYFUNCTION("""COMPUTED_VALUE"""),0.0)</f>
        <v>0</v>
      </c>
      <c r="T1448" s="87">
        <f>IFERROR(__xludf.DUMMYFUNCTION("""COMPUTED_VALUE"""),0.0)</f>
        <v>0</v>
      </c>
      <c r="U1448" s="87">
        <f>IFERROR(__xludf.DUMMYFUNCTION("""COMPUTED_VALUE"""),0.0)</f>
        <v>0</v>
      </c>
      <c r="V1448" s="87">
        <f>IFERROR(__xludf.DUMMYFUNCTION("""COMPUTED_VALUE"""),0.0)</f>
        <v>0</v>
      </c>
      <c r="W1448" s="87">
        <f>IFERROR(__xludf.DUMMYFUNCTION("""COMPUTED_VALUE"""),0.0)</f>
        <v>0</v>
      </c>
      <c r="X1448" s="88"/>
      <c r="Y1448" s="74"/>
      <c r="Z1448" s="74"/>
    </row>
    <row r="1449">
      <c r="B1449" s="74" t="str">
        <f>IFERROR(__xludf.DUMMYFUNCTION("""COMPUTED_VALUE"""),"2446")</f>
        <v>2446</v>
      </c>
      <c r="C1449" s="74"/>
      <c r="D1449" s="74" t="str">
        <f>IFERROR(__xludf.DUMMYFUNCTION("""COMPUTED_VALUE"""),"\\MCA-S\mk\2_BM\0_BMat\08_PYM\Inventario\excel\Imagen de refacciones\Ollas revolvedoras\V Chut Complete _ Tolva en V Completa")</f>
        <v>\\MCA-S\mk\2_BM\0_BMat\08_PYM\Inventario\excel\Imagen de refacciones\Ollas revolvedoras\V Chut Complete _ Tolva en V Completa</v>
      </c>
      <c r="E1449" s="74"/>
      <c r="F1449" s="74" t="str">
        <f>IFERROR(__xludf.DUMMYFUNCTION("""COMPUTED_VALUE"""),"V Chut Complete / Tolva en V Completa")</f>
        <v>V Chut Complete / Tolva en V Completa</v>
      </c>
      <c r="G1449" s="74"/>
      <c r="H1449" s="74"/>
      <c r="I1449" s="74" t="str">
        <f>IFERROR(__xludf.DUMMYFUNCTION("""COMPUTED_VALUE"""),"MIX10117")</f>
        <v>MIX10117</v>
      </c>
      <c r="J1449" s="74"/>
      <c r="K1449" s="74"/>
      <c r="L1449" s="74" t="str">
        <f>IFERROR(__xludf.DUMMYFUNCTION("""COMPUTED_VALUE"""),"Componentes Estructurales y de Montaje")</f>
        <v>Componentes Estructurales y de Montaje</v>
      </c>
      <c r="M1449" s="74" t="str">
        <f>IFERROR(__xludf.DUMMYFUNCTION("""COMPUTED_VALUE"""),"Sin Asignar")</f>
        <v>Sin Asignar</v>
      </c>
      <c r="N1449" s="87">
        <f>IFERROR(__xludf.DUMMYFUNCTION("""COMPUTED_VALUE"""),0.0)</f>
        <v>0</v>
      </c>
      <c r="O1449" s="74"/>
      <c r="P1449" s="74" t="str">
        <f>IFERROR(__xludf.DUMMYFUNCTION("""COMPUTED_VALUE"""),"No Available")</f>
        <v>No Available</v>
      </c>
      <c r="Q1449" s="74"/>
      <c r="R1449" s="74"/>
      <c r="S1449" s="87">
        <f>IFERROR(__xludf.DUMMYFUNCTION("""COMPUTED_VALUE"""),0.0)</f>
        <v>0</v>
      </c>
      <c r="T1449" s="87">
        <f>IFERROR(__xludf.DUMMYFUNCTION("""COMPUTED_VALUE"""),0.0)</f>
        <v>0</v>
      </c>
      <c r="U1449" s="87">
        <f>IFERROR(__xludf.DUMMYFUNCTION("""COMPUTED_VALUE"""),0.0)</f>
        <v>0</v>
      </c>
      <c r="V1449" s="87">
        <f>IFERROR(__xludf.DUMMYFUNCTION("""COMPUTED_VALUE"""),0.0)</f>
        <v>0</v>
      </c>
      <c r="W1449" s="87">
        <f>IFERROR(__xludf.DUMMYFUNCTION("""COMPUTED_VALUE"""),0.0)</f>
        <v>0</v>
      </c>
      <c r="X1449" s="88"/>
      <c r="Y1449" s="74"/>
      <c r="Z1449" s="74"/>
    </row>
    <row r="1450">
      <c r="B1450" s="74" t="str">
        <f>IFERROR(__xludf.DUMMYFUNCTION("""COMPUTED_VALUE"""),"2447")</f>
        <v>2447</v>
      </c>
      <c r="C1450" s="74" t="str">
        <f>IFERROR(__xludf.DUMMYFUNCTION("""COMPUTED_VALUE"""),"75045892447")</f>
        <v>75045892447</v>
      </c>
      <c r="D1450" s="74" t="str">
        <f>IFERROR(__xludf.DUMMYFUNCTION("""COMPUTED_VALUE"""),"\\MCA-S\mk\2_BM\0_BMat\08_PYM\Inventario\excel\Imagen de refacciones\Schwing\Válvula para embrague enquintar 4_2 vias")</f>
        <v>\\MCA-S\mk\2_BM\0_BMat\08_PYM\Inventario\excel\Imagen de refacciones\Schwing\Válvula para embrague enquintar 4_2 vias</v>
      </c>
      <c r="E1450" s="74" t="str">
        <f>IFERROR(__xludf.DUMMYFUNCTION("""COMPUTED_VALUE"""),"HYDRAULIC VALVE HER 350BAR")</f>
        <v>HYDRAULIC VALVE HER 350BAR</v>
      </c>
      <c r="F1450" s="74" t="str">
        <f>IFERROR(__xludf.DUMMYFUNCTION("""COMPUTED_VALUE"""),"VALVULA HER 350BAR PARA EMBRAGUE ENQUINTAR ")</f>
        <v>VALVULA HER 350BAR PARA EMBRAGUE ENQUINTAR </v>
      </c>
      <c r="G1450" s="74"/>
      <c r="H1450" s="74"/>
      <c r="I1450" s="74" t="str">
        <f>IFERROR(__xludf.DUMMYFUNCTION("""COMPUTED_VALUE"""),"10007779")</f>
        <v>10007779</v>
      </c>
      <c r="J1450" s="74"/>
      <c r="K1450" s="74" t="str">
        <f>IFERROR(__xludf.DUMMYFUNCTION("""COMPUTED_VALUE"""),"Schwing")</f>
        <v>Schwing</v>
      </c>
      <c r="L1450" s="74" t="str">
        <f>IFERROR(__xludf.DUMMYFUNCTION("""COMPUTED_VALUE"""),"BARRA V-ROCK")</f>
        <v>BARRA V-ROCK</v>
      </c>
      <c r="M1450" s="74" t="str">
        <f>IFERROR(__xludf.DUMMYFUNCTION("""COMPUTED_VALUE"""),"VALVULAS")</f>
        <v>VALVULAS</v>
      </c>
      <c r="N1450" s="87">
        <f>IFERROR(__xludf.DUMMYFUNCTION("""COMPUTED_VALUE"""),9306.24)</f>
        <v>9306.24</v>
      </c>
      <c r="O1450" s="74">
        <f>IFERROR(__xludf.DUMMYFUNCTION("""COMPUTED_VALUE"""),3.0)</f>
        <v>3</v>
      </c>
      <c r="P1450" s="74" t="str">
        <f>IFERROR(__xludf.DUMMYFUNCTION("""COMPUTED_VALUE"""),"In stock")</f>
        <v>In stock</v>
      </c>
      <c r="Q1450" s="74"/>
      <c r="R1450" s="74"/>
      <c r="S1450" s="87">
        <f>IFERROR(__xludf.DUMMYFUNCTION("""COMPUTED_VALUE"""),140.0)</f>
        <v>140</v>
      </c>
      <c r="T1450" s="87">
        <f>IFERROR(__xludf.DUMMYFUNCTION("""COMPUTED_VALUE"""),524.0)</f>
        <v>524</v>
      </c>
      <c r="U1450" s="87">
        <f>IFERROR(__xludf.DUMMYFUNCTION("""COMPUTED_VALUE"""),503.03999999999996)</f>
        <v>503.04</v>
      </c>
      <c r="V1450" s="87">
        <f>IFERROR(__xludf.DUMMYFUNCTION("""COMPUTED_VALUE"""),171.5)</f>
        <v>171.5</v>
      </c>
      <c r="W1450" s="87">
        <f>IFERROR(__xludf.DUMMYFUNCTION("""COMPUTED_VALUE"""),3215.625)</f>
        <v>3215.625</v>
      </c>
      <c r="X1450" s="88">
        <f>IFERROR(__xludf.DUMMYFUNCTION("""COMPUTED_VALUE"""),3.593142857142857)</f>
        <v>3.593142857</v>
      </c>
      <c r="Y1450" s="74"/>
      <c r="Z1450" s="74"/>
    </row>
    <row r="1451">
      <c r="B1451" s="74" t="str">
        <f>IFERROR(__xludf.DUMMYFUNCTION("""COMPUTED_VALUE"""),"2448")</f>
        <v>2448</v>
      </c>
      <c r="C1451" s="74"/>
      <c r="D1451" s="74" t="str">
        <f>IFERROR(__xludf.DUMMYFUNCTION("""COMPUTED_VALUE"""),"\\MCA-S\mk\2_BM\0_BMat\08_PYM\Inventario\excel\Imagen de refacciones\Ollas revolvedoras\Water Hose Nozzle _ Boquilla de Manguera de Agua")</f>
        <v>\\MCA-S\mk\2_BM\0_BMat\08_PYM\Inventario\excel\Imagen de refacciones\Ollas revolvedoras\Water Hose Nozzle _ Boquilla de Manguera de Agua</v>
      </c>
      <c r="E1451" s="74"/>
      <c r="F1451" s="74" t="str">
        <f>IFERROR(__xludf.DUMMYFUNCTION("""COMPUTED_VALUE"""),"Water Hose Nozzle / Boquilla de Manguera de Agua")</f>
        <v>Water Hose Nozzle / Boquilla de Manguera de Agua</v>
      </c>
      <c r="G1451" s="74"/>
      <c r="H1451" s="74"/>
      <c r="I1451" s="74" t="str">
        <f>IFERROR(__xludf.DUMMYFUNCTION("""COMPUTED_VALUE"""),"MIX10201")</f>
        <v>MIX10201</v>
      </c>
      <c r="J1451" s="74"/>
      <c r="K1451" s="74"/>
      <c r="L1451" s="74" t="str">
        <f>IFERROR(__xludf.DUMMYFUNCTION("""COMPUTED_VALUE"""),"Componentes de Tuberías")</f>
        <v>Componentes de Tuberías</v>
      </c>
      <c r="M1451" s="74" t="str">
        <f>IFERROR(__xludf.DUMMYFUNCTION("""COMPUTED_VALUE"""),"Sin Asignar")</f>
        <v>Sin Asignar</v>
      </c>
      <c r="N1451" s="87">
        <f>IFERROR(__xludf.DUMMYFUNCTION("""COMPUTED_VALUE"""),0.0)</f>
        <v>0</v>
      </c>
      <c r="O1451" s="74"/>
      <c r="P1451" s="74" t="str">
        <f>IFERROR(__xludf.DUMMYFUNCTION("""COMPUTED_VALUE"""),"No Available")</f>
        <v>No Available</v>
      </c>
      <c r="Q1451" s="74"/>
      <c r="R1451" s="74"/>
      <c r="S1451" s="87">
        <f>IFERROR(__xludf.DUMMYFUNCTION("""COMPUTED_VALUE"""),0.0)</f>
        <v>0</v>
      </c>
      <c r="T1451" s="87">
        <f>IFERROR(__xludf.DUMMYFUNCTION("""COMPUTED_VALUE"""),0.0)</f>
        <v>0</v>
      </c>
      <c r="U1451" s="87">
        <f>IFERROR(__xludf.DUMMYFUNCTION("""COMPUTED_VALUE"""),0.0)</f>
        <v>0</v>
      </c>
      <c r="V1451" s="87">
        <f>IFERROR(__xludf.DUMMYFUNCTION("""COMPUTED_VALUE"""),0.0)</f>
        <v>0</v>
      </c>
      <c r="W1451" s="87">
        <f>IFERROR(__xludf.DUMMYFUNCTION("""COMPUTED_VALUE"""),0.0)</f>
        <v>0</v>
      </c>
      <c r="X1451" s="88"/>
      <c r="Y1451" s="74"/>
      <c r="Z1451" s="74"/>
    </row>
    <row r="1452">
      <c r="B1452" s="74" t="str">
        <f>IFERROR(__xludf.DUMMYFUNCTION("""COMPUTED_VALUE"""),"2449")</f>
        <v>2449</v>
      </c>
      <c r="C1452" s="74"/>
      <c r="D1452" s="74" t="str">
        <f>IFERROR(__xludf.DUMMYFUNCTION("""COMPUTED_VALUE"""),"\\MCA-S\mk\2_BM\0_BMat\08_PYM\Inventario\excel\Imagen de refacciones\Ollas revolvedoras\Water Pump C30 Double Bearing (L&amp;T Type) _ Bomba de Agua C30 Doble Rodamiento (Tipo L&amp;T)")</f>
        <v>\\MCA-S\mk\2_BM\0_BMat\08_PYM\Inventario\excel\Imagen de refacciones\Ollas revolvedoras\Water Pump C30 Double Bearing (L&amp;T Type) _ Bomba de Agua C30 Doble Rodamiento (Tipo L&amp;T)</v>
      </c>
      <c r="E1452" s="74"/>
      <c r="F1452" s="74" t="str">
        <f>IFERROR(__xludf.DUMMYFUNCTION("""COMPUTED_VALUE"""),"Water Pump C30 Double Bearing (L&amp;T Type) / Bomba de Agua C30 Doble Rodamiento (Tipo L&amp;T)")</f>
        <v>Water Pump C30 Double Bearing (L&amp;T Type) / Bomba de Agua C30 Doble Rodamiento (Tipo L&amp;T)</v>
      </c>
      <c r="G1452" s="74"/>
      <c r="H1452" s="74"/>
      <c r="I1452" s="74" t="str">
        <f>IFERROR(__xludf.DUMMYFUNCTION("""COMPUTED_VALUE"""),"MIX10001")</f>
        <v>MIX10001</v>
      </c>
      <c r="J1452" s="74" t="str">
        <f>IFERROR(__xludf.DUMMYFUNCTION("""COMPUTED_VALUE"""),"LRCL0048J9")</f>
        <v>LRCL0048J9</v>
      </c>
      <c r="K1452" s="74"/>
      <c r="L1452" s="74" t="str">
        <f>IFERROR(__xludf.DUMMYFUNCTION("""COMPUTED_VALUE"""),"Sistema de Bombeo de Concreto")</f>
        <v>Sistema de Bombeo de Concreto</v>
      </c>
      <c r="M1452" s="74" t="str">
        <f>IFERROR(__xludf.DUMMYFUNCTION("""COMPUTED_VALUE"""),"Sin Asignar")</f>
        <v>Sin Asignar</v>
      </c>
      <c r="N1452" s="87">
        <f>IFERROR(__xludf.DUMMYFUNCTION("""COMPUTED_VALUE"""),0.0)</f>
        <v>0</v>
      </c>
      <c r="O1452" s="74"/>
      <c r="P1452" s="74" t="str">
        <f>IFERROR(__xludf.DUMMYFUNCTION("""COMPUTED_VALUE"""),"No Available")</f>
        <v>No Available</v>
      </c>
      <c r="Q1452" s="74"/>
      <c r="R1452" s="74"/>
      <c r="S1452" s="87">
        <f>IFERROR(__xludf.DUMMYFUNCTION("""COMPUTED_VALUE"""),0.0)</f>
        <v>0</v>
      </c>
      <c r="T1452" s="87">
        <f>IFERROR(__xludf.DUMMYFUNCTION("""COMPUTED_VALUE"""),0.0)</f>
        <v>0</v>
      </c>
      <c r="U1452" s="87">
        <f>IFERROR(__xludf.DUMMYFUNCTION("""COMPUTED_VALUE"""),0.0)</f>
        <v>0</v>
      </c>
      <c r="V1452" s="87">
        <f>IFERROR(__xludf.DUMMYFUNCTION("""COMPUTED_VALUE"""),0.0)</f>
        <v>0</v>
      </c>
      <c r="W1452" s="87">
        <f>IFERROR(__xludf.DUMMYFUNCTION("""COMPUTED_VALUE"""),0.0)</f>
        <v>0</v>
      </c>
      <c r="X1452" s="88"/>
      <c r="Y1452" s="74"/>
      <c r="Z1452" s="74"/>
    </row>
    <row r="1453">
      <c r="B1453" s="74" t="str">
        <f>IFERROR(__xludf.DUMMYFUNCTION("""COMPUTED_VALUE"""),"2450")</f>
        <v>2450</v>
      </c>
      <c r="C1453" s="74"/>
      <c r="D1453" s="74" t="str">
        <f>IFERROR(__xludf.DUMMYFUNCTION("""COMPUTED_VALUE"""),"\\MCA-S\mk\2_BM\0_BMat\08_PYM\Inventario\excel\Imagen de refacciones\Ollas revolvedoras\Water Pump CIFA Gear Type _ Bomba de Agua Tipo Engranaje CIFA")</f>
        <v>\\MCA-S\mk\2_BM\0_BMat\08_PYM\Inventario\excel\Imagen de refacciones\Ollas revolvedoras\Water Pump CIFA Gear Type _ Bomba de Agua Tipo Engranaje CIFA</v>
      </c>
      <c r="E1453" s="74"/>
      <c r="F1453" s="74" t="str">
        <f>IFERROR(__xludf.DUMMYFUNCTION("""COMPUTED_VALUE"""),"Water Pump CIFA Gear Type / Bomba de Agua Tipo Engranaje CIFA")</f>
        <v>Water Pump CIFA Gear Type / Bomba de Agua Tipo Engranaje CIFA</v>
      </c>
      <c r="G1453" s="74"/>
      <c r="H1453" s="74"/>
      <c r="I1453" s="74" t="str">
        <f>IFERROR(__xludf.DUMMYFUNCTION("""COMPUTED_VALUE"""),"MIX10020")</f>
        <v>MIX10020</v>
      </c>
      <c r="J1453" s="74" t="str">
        <f>IFERROR(__xludf.DUMMYFUNCTION("""COMPUTED_VALUE"""),"28432300")</f>
        <v>28432300</v>
      </c>
      <c r="K1453" s="74"/>
      <c r="L1453" s="74" t="str">
        <f>IFERROR(__xludf.DUMMYFUNCTION("""COMPUTED_VALUE"""),"Sistema de Bombeo de Concreto")</f>
        <v>Sistema de Bombeo de Concreto</v>
      </c>
      <c r="M1453" s="74" t="str">
        <f>IFERROR(__xludf.DUMMYFUNCTION("""COMPUTED_VALUE"""),"Sin Asignar")</f>
        <v>Sin Asignar</v>
      </c>
      <c r="N1453" s="87">
        <f>IFERROR(__xludf.DUMMYFUNCTION("""COMPUTED_VALUE"""),0.0)</f>
        <v>0</v>
      </c>
      <c r="O1453" s="74"/>
      <c r="P1453" s="74" t="str">
        <f>IFERROR(__xludf.DUMMYFUNCTION("""COMPUTED_VALUE"""),"No Available")</f>
        <v>No Available</v>
      </c>
      <c r="Q1453" s="74"/>
      <c r="R1453" s="74"/>
      <c r="S1453" s="87">
        <f>IFERROR(__xludf.DUMMYFUNCTION("""COMPUTED_VALUE"""),0.0)</f>
        <v>0</v>
      </c>
      <c r="T1453" s="87">
        <f>IFERROR(__xludf.DUMMYFUNCTION("""COMPUTED_VALUE"""),0.0)</f>
        <v>0</v>
      </c>
      <c r="U1453" s="87">
        <f>IFERROR(__xludf.DUMMYFUNCTION("""COMPUTED_VALUE"""),0.0)</f>
        <v>0</v>
      </c>
      <c r="V1453" s="87">
        <f>IFERROR(__xludf.DUMMYFUNCTION("""COMPUTED_VALUE"""),0.0)</f>
        <v>0</v>
      </c>
      <c r="W1453" s="87">
        <f>IFERROR(__xludf.DUMMYFUNCTION("""COMPUTED_VALUE"""),0.0)</f>
        <v>0</v>
      </c>
      <c r="X1453" s="88"/>
      <c r="Y1453" s="74"/>
      <c r="Z1453" s="74"/>
    </row>
    <row r="1454">
      <c r="B1454" s="74" t="str">
        <f>IFERROR(__xludf.DUMMYFUNCTION("""COMPUTED_VALUE"""),"2451")</f>
        <v>2451</v>
      </c>
      <c r="C1454" s="74"/>
      <c r="D1454" s="74" t="str">
        <f>IFERROR(__xludf.DUMMYFUNCTION("""COMPUTED_VALUE"""),"\\MCA-S\mk\2_BM\0_BMat\08_PYM\Inventario\excel\Imagen de refacciones\Ollas revolvedoras\Water Pump Gear Type NSTII _ Bomba de Agua Tipo Engranaje NSTII")</f>
        <v>\\MCA-S\mk\2_BM\0_BMat\08_PYM\Inventario\excel\Imagen de refacciones\Ollas revolvedoras\Water Pump Gear Type NSTII _ Bomba de Agua Tipo Engranaje NSTII</v>
      </c>
      <c r="E1454" s="74"/>
      <c r="F1454" s="74" t="str">
        <f>IFERROR(__xludf.DUMMYFUNCTION("""COMPUTED_VALUE"""),"Water Pump Gear Type NSTII / Bomba de Agua Tipo Engranaje NSTII")</f>
        <v>Water Pump Gear Type NSTII / Bomba de Agua Tipo Engranaje NSTII</v>
      </c>
      <c r="G1454" s="74"/>
      <c r="H1454" s="74"/>
      <c r="I1454" s="74" t="str">
        <f>IFERROR(__xludf.DUMMYFUNCTION("""COMPUTED_VALUE"""),"MIX10013")</f>
        <v>MIX10013</v>
      </c>
      <c r="J1454" s="74" t="str">
        <f>IFERROR(__xludf.DUMMYFUNCTION("""COMPUTED_VALUE"""),"78519")</f>
        <v>78519</v>
      </c>
      <c r="K1454" s="74"/>
      <c r="L1454" s="74" t="str">
        <f>IFERROR(__xludf.DUMMYFUNCTION("""COMPUTED_VALUE"""),"Sistema de Bombeo de Concreto")</f>
        <v>Sistema de Bombeo de Concreto</v>
      </c>
      <c r="M1454" s="74" t="str">
        <f>IFERROR(__xludf.DUMMYFUNCTION("""COMPUTED_VALUE"""),"Sin Asignar")</f>
        <v>Sin Asignar</v>
      </c>
      <c r="N1454" s="87">
        <f>IFERROR(__xludf.DUMMYFUNCTION("""COMPUTED_VALUE"""),0.0)</f>
        <v>0</v>
      </c>
      <c r="O1454" s="74"/>
      <c r="P1454" s="74" t="str">
        <f>IFERROR(__xludf.DUMMYFUNCTION("""COMPUTED_VALUE"""),"No Available")</f>
        <v>No Available</v>
      </c>
      <c r="Q1454" s="74"/>
      <c r="R1454" s="74"/>
      <c r="S1454" s="87">
        <f>IFERROR(__xludf.DUMMYFUNCTION("""COMPUTED_VALUE"""),0.0)</f>
        <v>0</v>
      </c>
      <c r="T1454" s="87">
        <f>IFERROR(__xludf.DUMMYFUNCTION("""COMPUTED_VALUE"""),0.0)</f>
        <v>0</v>
      </c>
      <c r="U1454" s="87">
        <f>IFERROR(__xludf.DUMMYFUNCTION("""COMPUTED_VALUE"""),0.0)</f>
        <v>0</v>
      </c>
      <c r="V1454" s="87">
        <f>IFERROR(__xludf.DUMMYFUNCTION("""COMPUTED_VALUE"""),0.0)</f>
        <v>0</v>
      </c>
      <c r="W1454" s="87">
        <f>IFERROR(__xludf.DUMMYFUNCTION("""COMPUTED_VALUE"""),0.0)</f>
        <v>0</v>
      </c>
      <c r="X1454" s="88"/>
      <c r="Y1454" s="74"/>
      <c r="Z1454" s="74"/>
    </row>
    <row r="1455">
      <c r="B1455" s="74" t="str">
        <f>IFERROR(__xludf.DUMMYFUNCTION("""COMPUTED_VALUE"""),"2452")</f>
        <v>2452</v>
      </c>
      <c r="C1455" s="74"/>
      <c r="D1455" s="74" t="str">
        <f>IFERROR(__xludf.DUMMYFUNCTION("""COMPUTED_VALUE"""),"\\MCA-S\mk\2_BM\0_BMat\08_PYM\Inventario\excel\Imagen de refacciones\Ollas revolvedoras\Water Pump Shaft Type _ Bomba de Agua Tipo Eje")</f>
        <v>\\MCA-S\mk\2_BM\0_BMat\08_PYM\Inventario\excel\Imagen de refacciones\Ollas revolvedoras\Water Pump Shaft Type _ Bomba de Agua Tipo Eje</v>
      </c>
      <c r="E1455" s="74"/>
      <c r="F1455" s="74" t="str">
        <f>IFERROR(__xludf.DUMMYFUNCTION("""COMPUTED_VALUE"""),"Water Pump Shaft Type / Bomba de Agua Tipo Eje")</f>
        <v>Water Pump Shaft Type / Bomba de Agua Tipo Eje</v>
      </c>
      <c r="G1455" s="74"/>
      <c r="H1455" s="74"/>
      <c r="I1455" s="74" t="str">
        <f>IFERROR(__xludf.DUMMYFUNCTION("""COMPUTED_VALUE"""),"MIX10024")</f>
        <v>MIX10024</v>
      </c>
      <c r="J1455" s="74" t="str">
        <f>IFERROR(__xludf.DUMMYFUNCTION("""COMPUTED_VALUE"""),"75931")</f>
        <v>75931</v>
      </c>
      <c r="K1455" s="74"/>
      <c r="L1455" s="74" t="str">
        <f>IFERROR(__xludf.DUMMYFUNCTION("""COMPUTED_VALUE"""),"Sistema de Bombeo de Concreto")</f>
        <v>Sistema de Bombeo de Concreto</v>
      </c>
      <c r="M1455" s="74" t="str">
        <f>IFERROR(__xludf.DUMMYFUNCTION("""COMPUTED_VALUE"""),"Sin Asignar")</f>
        <v>Sin Asignar</v>
      </c>
      <c r="N1455" s="87">
        <f>IFERROR(__xludf.DUMMYFUNCTION("""COMPUTED_VALUE"""),0.0)</f>
        <v>0</v>
      </c>
      <c r="O1455" s="74"/>
      <c r="P1455" s="74" t="str">
        <f>IFERROR(__xludf.DUMMYFUNCTION("""COMPUTED_VALUE"""),"No Available")</f>
        <v>No Available</v>
      </c>
      <c r="Q1455" s="74"/>
      <c r="R1455" s="74"/>
      <c r="S1455" s="87">
        <f>IFERROR(__xludf.DUMMYFUNCTION("""COMPUTED_VALUE"""),0.0)</f>
        <v>0</v>
      </c>
      <c r="T1455" s="87">
        <f>IFERROR(__xludf.DUMMYFUNCTION("""COMPUTED_VALUE"""),0.0)</f>
        <v>0</v>
      </c>
      <c r="U1455" s="87">
        <f>IFERROR(__xludf.DUMMYFUNCTION("""COMPUTED_VALUE"""),0.0)</f>
        <v>0</v>
      </c>
      <c r="V1455" s="87">
        <f>IFERROR(__xludf.DUMMYFUNCTION("""COMPUTED_VALUE"""),0.0)</f>
        <v>0</v>
      </c>
      <c r="W1455" s="87">
        <f>IFERROR(__xludf.DUMMYFUNCTION("""COMPUTED_VALUE"""),0.0)</f>
        <v>0</v>
      </c>
      <c r="X1455" s="88"/>
      <c r="Y1455" s="74"/>
      <c r="Z1455" s="74"/>
    </row>
    <row r="1456">
      <c r="B1456" s="74" t="str">
        <f>IFERROR(__xludf.DUMMYFUNCTION("""COMPUTED_VALUE"""),"2453")</f>
        <v>2453</v>
      </c>
      <c r="C1456" s="74" t="str">
        <f>IFERROR(__xludf.DUMMYFUNCTION("""COMPUTED_VALUE"""),"75045892453")</f>
        <v>75045892453</v>
      </c>
      <c r="D1456" s="74"/>
      <c r="E1456" s="74" t="str">
        <f>IFERROR(__xludf.DUMMYFUNCTION("""COMPUTED_VALUE"""),"CUTTING RING DN210 CASTING")</f>
        <v>CUTTING RING DN210 CASTING</v>
      </c>
      <c r="F1456" s="74" t="str">
        <f>IFERROR(__xludf.DUMMYFUNCTION("""COMPUTED_VALUE"""),"ANILLO DE CORTE DN210 CASTING  ")</f>
        <v>ANILLO DE CORTE DN210 CASTING  </v>
      </c>
      <c r="G1456" s="74"/>
      <c r="H1456" s="74"/>
      <c r="I1456" s="74" t="str">
        <f>IFERROR(__xludf.DUMMYFUNCTION("""COMPUTED_VALUE"""),"10063939.")</f>
        <v>10063939.</v>
      </c>
      <c r="J1456" s="74"/>
      <c r="K1456" s="74" t="str">
        <f>IFERROR(__xludf.DUMMYFUNCTION("""COMPUTED_VALUE"""),"Schwing")</f>
        <v>Schwing</v>
      </c>
      <c r="L1456" s="74" t="str">
        <f>IFERROR(__xludf.DUMMYFUNCTION("""COMPUTED_VALUE"""),"BARRA V-ROCK")</f>
        <v>BARRA V-ROCK</v>
      </c>
      <c r="M1456" s="74" t="str">
        <f>IFERROR(__xludf.DUMMYFUNCTION("""COMPUTED_VALUE"""),"Sin Asignar")</f>
        <v>Sin Asignar</v>
      </c>
      <c r="N1456" s="87">
        <f>IFERROR(__xludf.DUMMYFUNCTION("""COMPUTED_VALUE"""),2504.16)</f>
        <v>2504.16</v>
      </c>
      <c r="O1456" s="74">
        <f>IFERROR(__xludf.DUMMYFUNCTION("""COMPUTED_VALUE"""),2.0)</f>
        <v>2</v>
      </c>
      <c r="P1456" s="74" t="str">
        <f>IFERROR(__xludf.DUMMYFUNCTION("""COMPUTED_VALUE"""),"Falta Ubicar")</f>
        <v>Falta Ubicar</v>
      </c>
      <c r="Q1456" s="74"/>
      <c r="R1456" s="74"/>
      <c r="S1456" s="87">
        <f>IFERROR(__xludf.DUMMYFUNCTION("""COMPUTED_VALUE"""),40.0)</f>
        <v>40</v>
      </c>
      <c r="T1456" s="87">
        <f>IFERROR(__xludf.DUMMYFUNCTION("""COMPUTED_VALUE"""),141.0)</f>
        <v>141</v>
      </c>
      <c r="U1456" s="87">
        <f>IFERROR(__xludf.DUMMYFUNCTION("""COMPUTED_VALUE"""),135.35999999999999)</f>
        <v>135.36</v>
      </c>
      <c r="V1456" s="87">
        <f>IFERROR(__xludf.DUMMYFUNCTION("""COMPUTED_VALUE"""),49.0)</f>
        <v>49</v>
      </c>
      <c r="W1456" s="87">
        <f>IFERROR(__xludf.DUMMYFUNCTION("""COMPUTED_VALUE"""),918.75)</f>
        <v>918.75</v>
      </c>
      <c r="X1456" s="88">
        <f>IFERROR(__xludf.DUMMYFUNCTION("""COMPUTED_VALUE"""),3.3839999999999995)</f>
        <v>3.384</v>
      </c>
      <c r="Y1456" s="74"/>
      <c r="Z1456" s="74"/>
    </row>
    <row r="1457">
      <c r="B1457" s="74" t="str">
        <f>IFERROR(__xludf.DUMMYFUNCTION("""COMPUTED_VALUE"""),"2454")</f>
        <v>2454</v>
      </c>
      <c r="C1457" s="74" t="str">
        <f>IFERROR(__xludf.DUMMYFUNCTION("""COMPUTED_VALUE"""),"75045892454")</f>
        <v>75045892454</v>
      </c>
      <c r="D1457" s="74"/>
      <c r="E1457" s="74" t="str">
        <f>IFERROR(__xludf.DUMMYFUNCTION("""COMPUTED_VALUE"""),"CUTTING RING DN250 (DN230) CARBIDE")</f>
        <v>CUTTING RING DN250 (DN230) CARBIDE</v>
      </c>
      <c r="F1457" s="74" t="str">
        <f>IFERROR(__xludf.DUMMYFUNCTION("""COMPUTED_VALUE"""),"ANILLO DE CORTE DN250 (DN230) CARBIDE")</f>
        <v>ANILLO DE CORTE DN250 (DN230) CARBIDE</v>
      </c>
      <c r="G1457" s="74"/>
      <c r="H1457" s="74"/>
      <c r="I1457" s="74" t="str">
        <f>IFERROR(__xludf.DUMMYFUNCTION("""COMPUTED_VALUE"""),"10166890CARB")</f>
        <v>10166890CARB</v>
      </c>
      <c r="J1457" s="74"/>
      <c r="K1457" s="74" t="str">
        <f>IFERROR(__xludf.DUMMYFUNCTION("""COMPUTED_VALUE"""),"Schwing")</f>
        <v>Schwing</v>
      </c>
      <c r="L1457" s="74" t="str">
        <f>IFERROR(__xludf.DUMMYFUNCTION("""COMPUTED_VALUE"""),"BARRA V-ROCK")</f>
        <v>BARRA V-ROCK</v>
      </c>
      <c r="M1457" s="74" t="str">
        <f>IFERROR(__xludf.DUMMYFUNCTION("""COMPUTED_VALUE"""),"Sin Asignar")</f>
        <v>Sin Asignar</v>
      </c>
      <c r="N1457" s="87">
        <f>IFERROR(__xludf.DUMMYFUNCTION("""COMPUTED_VALUE"""),4972.8)</f>
        <v>4972.8</v>
      </c>
      <c r="O1457" s="74">
        <f>IFERROR(__xludf.DUMMYFUNCTION("""COMPUTED_VALUE"""),2.0)</f>
        <v>2</v>
      </c>
      <c r="P1457" s="74" t="str">
        <f>IFERROR(__xludf.DUMMYFUNCTION("""COMPUTED_VALUE"""),"In stock")</f>
        <v>In stock</v>
      </c>
      <c r="Q1457" s="74"/>
      <c r="R1457" s="74"/>
      <c r="S1457" s="87">
        <f>IFERROR(__xludf.DUMMYFUNCTION("""COMPUTED_VALUE"""),68.0)</f>
        <v>68</v>
      </c>
      <c r="T1457" s="87">
        <f>IFERROR(__xludf.DUMMYFUNCTION("""COMPUTED_VALUE"""),280.0)</f>
        <v>280</v>
      </c>
      <c r="U1457" s="87">
        <f>IFERROR(__xludf.DUMMYFUNCTION("""COMPUTED_VALUE"""),268.8)</f>
        <v>268.8</v>
      </c>
      <c r="V1457" s="87">
        <f>IFERROR(__xludf.DUMMYFUNCTION("""COMPUTED_VALUE"""),83.3)</f>
        <v>83.3</v>
      </c>
      <c r="W1457" s="87">
        <f>IFERROR(__xludf.DUMMYFUNCTION("""COMPUTED_VALUE"""),1561.875)</f>
        <v>1561.875</v>
      </c>
      <c r="X1457" s="88">
        <f>IFERROR(__xludf.DUMMYFUNCTION("""COMPUTED_VALUE"""),3.9529411764705884)</f>
        <v>3.952941176</v>
      </c>
      <c r="Y1457" s="74"/>
      <c r="Z1457" s="74"/>
    </row>
    <row r="1458">
      <c r="B1458" s="74" t="str">
        <f>IFERROR(__xludf.DUMMYFUNCTION("""COMPUTED_VALUE"""),"2455")</f>
        <v>2455</v>
      </c>
      <c r="C1458" s="74" t="str">
        <f>IFERROR(__xludf.DUMMYFUNCTION("""COMPUTED_VALUE"""),"75045892455")</f>
        <v>75045892455</v>
      </c>
      <c r="D1458" s="74"/>
      <c r="E1458" s="74" t="str">
        <f>IFERROR(__xludf.DUMMYFUNCTION("""COMPUTED_VALUE"""),"CUTTING RING DN250 (DN230) CASTING")</f>
        <v>CUTTING RING DN250 (DN230) CASTING</v>
      </c>
      <c r="F1458" s="74" t="str">
        <f>IFERROR(__xludf.DUMMYFUNCTION("""COMPUTED_VALUE"""),"ANILLO DE CORTE DN250 (DN230) CASTING")</f>
        <v>ANILLO DE CORTE DN250 (DN230) CASTING</v>
      </c>
      <c r="G1458" s="74"/>
      <c r="H1458" s="74"/>
      <c r="I1458" s="74" t="str">
        <f>IFERROR(__xludf.DUMMYFUNCTION("""COMPUTED_VALUE"""),"10166890CAST")</f>
        <v>10166890CAST</v>
      </c>
      <c r="J1458" s="74"/>
      <c r="K1458" s="74" t="str">
        <f>IFERROR(__xludf.DUMMYFUNCTION("""COMPUTED_VALUE"""),"Schwing")</f>
        <v>Schwing</v>
      </c>
      <c r="L1458" s="74" t="str">
        <f>IFERROR(__xludf.DUMMYFUNCTION("""COMPUTED_VALUE"""),"BARRA V-ROCK")</f>
        <v>BARRA V-ROCK</v>
      </c>
      <c r="M1458" s="74" t="str">
        <f>IFERROR(__xludf.DUMMYFUNCTION("""COMPUTED_VALUE"""),"Sin Asignar")</f>
        <v>Sin Asignar</v>
      </c>
      <c r="N1458" s="87">
        <f>IFERROR(__xludf.DUMMYFUNCTION("""COMPUTED_VALUE"""),3285.6)</f>
        <v>3285.6</v>
      </c>
      <c r="O1458" s="74">
        <f>IFERROR(__xludf.DUMMYFUNCTION("""COMPUTED_VALUE"""),2.0)</f>
        <v>2</v>
      </c>
      <c r="P1458" s="74" t="str">
        <f>IFERROR(__xludf.DUMMYFUNCTION("""COMPUTED_VALUE"""),"In stock")</f>
        <v>In stock</v>
      </c>
      <c r="Q1458" s="74"/>
      <c r="R1458" s="74"/>
      <c r="S1458" s="87">
        <f>IFERROR(__xludf.DUMMYFUNCTION("""COMPUTED_VALUE"""),45.0)</f>
        <v>45</v>
      </c>
      <c r="T1458" s="87">
        <f>IFERROR(__xludf.DUMMYFUNCTION("""COMPUTED_VALUE"""),185.0)</f>
        <v>185</v>
      </c>
      <c r="U1458" s="87">
        <f>IFERROR(__xludf.DUMMYFUNCTION("""COMPUTED_VALUE"""),177.6)</f>
        <v>177.6</v>
      </c>
      <c r="V1458" s="87">
        <f>IFERROR(__xludf.DUMMYFUNCTION("""COMPUTED_VALUE"""),55.125)</f>
        <v>55.125</v>
      </c>
      <c r="W1458" s="87">
        <f>IFERROR(__xludf.DUMMYFUNCTION("""COMPUTED_VALUE"""),1033.59375)</f>
        <v>1033.59375</v>
      </c>
      <c r="X1458" s="88">
        <f>IFERROR(__xludf.DUMMYFUNCTION("""COMPUTED_VALUE"""),3.9466666666666663)</f>
        <v>3.946666667</v>
      </c>
      <c r="Y1458" s="74"/>
      <c r="Z1458" s="74"/>
    </row>
    <row r="1459">
      <c r="B1459" s="74" t="str">
        <f>IFERROR(__xludf.DUMMYFUNCTION("""COMPUTED_VALUE"""),"2456")</f>
        <v>2456</v>
      </c>
      <c r="C1459" s="74" t="str">
        <f>IFERROR(__xludf.DUMMYFUNCTION("""COMPUTED_VALUE"""),"75045880575")</f>
        <v>75045880575</v>
      </c>
      <c r="D1459" s="74"/>
      <c r="E1459" s="74" t="str">
        <f>IFERROR(__xludf.DUMMYFUNCTION("""COMPUTED_VALUE"""),"UPPER HOUSING SEAL 90MM SERVICE KIT")</f>
        <v>UPPER HOUSING SEAL 90MM SERVICE KIT</v>
      </c>
      <c r="F1459" s="74" t="str">
        <f>IFERROR(__xludf.DUMMYFUNCTION("""COMPUTED_VALUE"""),"KIT DE SELLOS PARA GUIA DE ALOJAMIENTO 90MM")</f>
        <v>KIT DE SELLOS PARA GUIA DE ALOJAMIENTO 90MM</v>
      </c>
      <c r="G1459" s="74"/>
      <c r="H1459" s="74" t="str">
        <f>IFERROR(__xludf.DUMMYFUNCTION("""COMPUTED_VALUE"""),"KIT DE SELLOS PARA GUÍAS DE ALOJAMIENTO 90 MM PARA BOMBA DE HORMIGON")</f>
        <v>KIT DE SELLOS PARA GUÍAS DE ALOJAMIENTO 90 MM PARA BOMBA DE HORMIGON</v>
      </c>
      <c r="I1459" s="74" t="str">
        <f>IFERROR(__xludf.DUMMYFUNCTION("""COMPUTED_VALUE"""),"274893001-SK")</f>
        <v>274893001-SK</v>
      </c>
      <c r="J1459" s="74"/>
      <c r="K1459" s="74" t="str">
        <f>IFERROR(__xludf.DUMMYFUNCTION("""COMPUTED_VALUE"""),"Putzmeister")</f>
        <v>Putzmeister</v>
      </c>
      <c r="L1459" s="74" t="str">
        <f>IFERROR(__xludf.DUMMYFUNCTION("""COMPUTED_VALUE"""),"BARRA V-ROCK")</f>
        <v>BARRA V-ROCK</v>
      </c>
      <c r="M1459" s="74" t="str">
        <f>IFERROR(__xludf.DUMMYFUNCTION("""COMPUTED_VALUE"""),"EMPAQUES")</f>
        <v>EMPAQUES</v>
      </c>
      <c r="N1459" s="87">
        <f>IFERROR(__xludf.DUMMYFUNCTION("""COMPUTED_VALUE"""),1651.68)</f>
        <v>1651.68</v>
      </c>
      <c r="O1459" s="74">
        <f>IFERROR(__xludf.DUMMYFUNCTION("""COMPUTED_VALUE"""),4.0)</f>
        <v>4</v>
      </c>
      <c r="P1459" s="74" t="str">
        <f>IFERROR(__xludf.DUMMYFUNCTION("""COMPUTED_VALUE"""),"In stock")</f>
        <v>In stock</v>
      </c>
      <c r="Q1459" s="74"/>
      <c r="R1459" s="74"/>
      <c r="S1459" s="87">
        <f>IFERROR(__xludf.DUMMYFUNCTION("""COMPUTED_VALUE"""),4.0)</f>
        <v>4</v>
      </c>
      <c r="T1459" s="87">
        <f>IFERROR(__xludf.DUMMYFUNCTION("""COMPUTED_VALUE"""),93.0)</f>
        <v>93</v>
      </c>
      <c r="U1459" s="87">
        <f>IFERROR(__xludf.DUMMYFUNCTION("""COMPUTED_VALUE"""),89.28)</f>
        <v>89.28</v>
      </c>
      <c r="V1459" s="87">
        <f>IFERROR(__xludf.DUMMYFUNCTION("""COMPUTED_VALUE"""),4.9)</f>
        <v>4.9</v>
      </c>
      <c r="W1459" s="87">
        <f>IFERROR(__xludf.DUMMYFUNCTION("""COMPUTED_VALUE"""),91.875)</f>
        <v>91.875</v>
      </c>
      <c r="X1459" s="88">
        <f>IFERROR(__xludf.DUMMYFUNCTION("""COMPUTED_VALUE"""),22.32)</f>
        <v>22.32</v>
      </c>
      <c r="Y1459" s="74"/>
      <c r="Z1459" s="74"/>
    </row>
    <row r="1460">
      <c r="B1460" s="74" t="str">
        <f>IFERROR(__xludf.DUMMYFUNCTION("""COMPUTED_VALUE"""),"2457")</f>
        <v>2457</v>
      </c>
      <c r="C1460" s="74" t="str">
        <f>IFERROR(__xludf.DUMMYFUNCTION("""COMPUTED_VALUE"""),"75045880466")</f>
        <v>75045880466</v>
      </c>
      <c r="D1460" s="74"/>
      <c r="E1460" s="74" t="str">
        <f>IFERROR(__xludf.DUMMYFUNCTION("""COMPUTED_VALUE"""),"HYDRAULIC MOTOR BRH B470")</f>
        <v>HYDRAULIC MOTOR BRH B470</v>
      </c>
      <c r="F1460" s="74" t="str">
        <f>IFERROR(__xludf.DUMMYFUNCTION("""COMPUTED_VALUE"""),"MOTOR AGITADOR B470")</f>
        <v>MOTOR AGITADOR B470</v>
      </c>
      <c r="G1460" s="74"/>
      <c r="H1460" s="74"/>
      <c r="I1460" s="74" t="str">
        <f>IFERROR(__xludf.DUMMYFUNCTION("""COMPUTED_VALUE"""),"484279")</f>
        <v>484279</v>
      </c>
      <c r="J1460" s="74"/>
      <c r="K1460" s="74" t="str">
        <f>IFERROR(__xludf.DUMMYFUNCTION("""COMPUTED_VALUE"""),"Putzmeister")</f>
        <v>Putzmeister</v>
      </c>
      <c r="L1460" s="74"/>
      <c r="M1460" s="74" t="str">
        <f>IFERROR(__xludf.DUMMYFUNCTION("""COMPUTED_VALUE"""),"MOTORES")</f>
        <v>MOTORES</v>
      </c>
      <c r="N1460" s="87">
        <f>IFERROR(__xludf.DUMMYFUNCTION("""COMPUTED_VALUE"""),10034.4)</f>
        <v>10034.4</v>
      </c>
      <c r="O1460" s="74">
        <f>IFERROR(__xludf.DUMMYFUNCTION("""COMPUTED_VALUE"""),3.0)</f>
        <v>3</v>
      </c>
      <c r="P1460" s="74" t="str">
        <f>IFERROR(__xludf.DUMMYFUNCTION("""COMPUTED_VALUE"""),"In stock")</f>
        <v>In stock</v>
      </c>
      <c r="Q1460" s="74"/>
      <c r="R1460" s="74"/>
      <c r="S1460" s="87">
        <f>IFERROR(__xludf.DUMMYFUNCTION("""COMPUTED_VALUE"""),140.0)</f>
        <v>140</v>
      </c>
      <c r="T1460" s="87">
        <f>IFERROR(__xludf.DUMMYFUNCTION("""COMPUTED_VALUE"""),565.0)</f>
        <v>565</v>
      </c>
      <c r="U1460" s="87">
        <f>IFERROR(__xludf.DUMMYFUNCTION("""COMPUTED_VALUE"""),542.4)</f>
        <v>542.4</v>
      </c>
      <c r="V1460" s="87">
        <f>IFERROR(__xludf.DUMMYFUNCTION("""COMPUTED_VALUE"""),171.5)</f>
        <v>171.5</v>
      </c>
      <c r="W1460" s="87">
        <f>IFERROR(__xludf.DUMMYFUNCTION("""COMPUTED_VALUE"""),3215.625)</f>
        <v>3215.625</v>
      </c>
      <c r="X1460" s="88">
        <f>IFERROR(__xludf.DUMMYFUNCTION("""COMPUTED_VALUE"""),3.874285714285714)</f>
        <v>3.874285714</v>
      </c>
      <c r="Y1460" s="74"/>
      <c r="Z1460" s="74"/>
    </row>
    <row r="1461">
      <c r="B1461" s="74" t="str">
        <f>IFERROR(__xludf.DUMMYFUNCTION("""COMPUTED_VALUE"""),"2458")</f>
        <v>2458</v>
      </c>
      <c r="C1461" s="74" t="str">
        <f>IFERROR(__xludf.DUMMYFUNCTION("""COMPUTED_VALUE"""),"75045882000")</f>
        <v>75045882000</v>
      </c>
      <c r="D1461" s="74" t="str">
        <f>IFERROR(__xludf.DUMMYFUNCTION("""COMPUTED_VALUE"""),"\\MCA-S\mk\2_BM\0_BMat\08_PYM\Inventario\excel\Imagen de refacciones\Ollas revolvedoras\Resorte para lengüeta MTM")</f>
        <v>\\MCA-S\mk\2_BM\0_BMat\08_PYM\Inventario\excel\Imagen de refacciones\Ollas revolvedoras\Resorte para lengüeta MTM</v>
      </c>
      <c r="E1461" s="74" t="str">
        <f>IFERROR(__xludf.DUMMYFUNCTION("""COMPUTED_VALUE"""),"SMALL WATER TANK FLAPPER VALVE SPRING")</f>
        <v>SMALL WATER TANK FLAPPER VALVE SPRING</v>
      </c>
      <c r="F1461" s="74" t="str">
        <f>IFERROR(__xludf.DUMMYFUNCTION("""COMPUTED_VALUE"""),"RESORTE PARA LENGUETA CHICA LONDON O CHALLENGE")</f>
        <v>RESORTE PARA LENGUETA CHICA LONDON O CHALLENGE</v>
      </c>
      <c r="G1461" s="74"/>
      <c r="H1461" s="74"/>
      <c r="I1461" s="74" t="str">
        <f>IFERROR(__xludf.DUMMYFUNCTION("""COMPUTED_VALUE"""),"1070063")</f>
        <v>1070063</v>
      </c>
      <c r="J1461" s="74"/>
      <c r="K1461" s="74" t="str">
        <f>IFERROR(__xludf.DUMMYFUNCTION("""COMPUTED_VALUE"""),"Olla Revolvedora")</f>
        <v>Olla Revolvedora</v>
      </c>
      <c r="L1461" s="74" t="str">
        <f>IFERROR(__xludf.DUMMYFUNCTION("""COMPUTED_VALUE"""),"TANQUE DE AGUA")</f>
        <v>TANQUE DE AGUA</v>
      </c>
      <c r="M1461" s="74" t="str">
        <f>IFERROR(__xludf.DUMMYFUNCTION("""COMPUTED_VALUE"""),"Sin Asignar")</f>
        <v>Sin Asignar</v>
      </c>
      <c r="N1461" s="87">
        <f>IFERROR(__xludf.DUMMYFUNCTION("""COMPUTED_VALUE"""),88.8)</f>
        <v>88.8</v>
      </c>
      <c r="O1461" s="74"/>
      <c r="P1461" s="74" t="str">
        <f>IFERROR(__xludf.DUMMYFUNCTION("""COMPUTED_VALUE"""),"To Re-purchase")</f>
        <v>To Re-purchase</v>
      </c>
      <c r="Q1461" s="74"/>
      <c r="R1461" s="74"/>
      <c r="S1461" s="87">
        <f>IFERROR(__xludf.DUMMYFUNCTION("""COMPUTED_VALUE"""),2.0)</f>
        <v>2</v>
      </c>
      <c r="T1461" s="87">
        <f>IFERROR(__xludf.DUMMYFUNCTION("""COMPUTED_VALUE"""),5.0)</f>
        <v>5</v>
      </c>
      <c r="U1461" s="87">
        <f>IFERROR(__xludf.DUMMYFUNCTION("""COMPUTED_VALUE"""),4.8)</f>
        <v>4.8</v>
      </c>
      <c r="V1461" s="87">
        <f>IFERROR(__xludf.DUMMYFUNCTION("""COMPUTED_VALUE"""),2.45)</f>
        <v>2.45</v>
      </c>
      <c r="W1461" s="87">
        <f>IFERROR(__xludf.DUMMYFUNCTION("""COMPUTED_VALUE"""),45.9375)</f>
        <v>45.9375</v>
      </c>
      <c r="X1461" s="88">
        <f>IFERROR(__xludf.DUMMYFUNCTION("""COMPUTED_VALUE"""),2.4)</f>
        <v>2.4</v>
      </c>
      <c r="Y1461" s="74"/>
      <c r="Z1461" s="74"/>
    </row>
    <row r="1462">
      <c r="B1462" s="74" t="str">
        <f>IFERROR(__xludf.DUMMYFUNCTION("""COMPUTED_VALUE"""),"2459")</f>
        <v>2459</v>
      </c>
      <c r="C1462" s="74" t="str">
        <f>IFERROR(__xludf.DUMMYFUNCTION("""COMPUTED_VALUE"""),"75045882001")</f>
        <v>75045882001</v>
      </c>
      <c r="D1462" s="74" t="str">
        <f>IFERROR(__xludf.DUMMYFUNCTION("""COMPUTED_VALUE"""),"\\MCA-S\mk\2_BM\0_BMat\08_PYM\Inventario\excel\Imagen de refacciones\Ollas revolvedoras\Lengüeta MTM - Lengüeta london - lengüeta challenge_rex - Lengüeta de plastico 5_ - lengüeta de plastico london 4_1_4_")</f>
        <v>\\MCA-S\mk\2_BM\0_BMat\08_PYM\Inventario\excel\Imagen de refacciones\Ollas revolvedoras\Lengüeta MTM - Lengüeta london - lengüeta challenge_rex - Lengüeta de plastico 5_ - lengüeta de plastico london 4_1_4_</v>
      </c>
      <c r="E1462" s="74" t="str">
        <f>IFERROR(__xludf.DUMMYFUNCTION("""COMPUTED_VALUE"""),"FLAPPER LONDON")</f>
        <v>FLAPPER LONDON</v>
      </c>
      <c r="F1462" s="74" t="str">
        <f>IFERROR(__xludf.DUMMYFUNCTION("""COMPUTED_VALUE"""),"LENGUETA LONDON")</f>
        <v>LENGUETA LONDON</v>
      </c>
      <c r="G1462" s="74"/>
      <c r="H1462" s="74"/>
      <c r="I1462" s="74" t="str">
        <f>IFERROR(__xludf.DUMMYFUNCTION("""COMPUTED_VALUE"""),"2182800")</f>
        <v>2182800</v>
      </c>
      <c r="J1462" s="74"/>
      <c r="K1462" s="74" t="str">
        <f>IFERROR(__xludf.DUMMYFUNCTION("""COMPUTED_VALUE"""),"Olla Revolvedora")</f>
        <v>Olla Revolvedora</v>
      </c>
      <c r="L1462" s="74" t="str">
        <f>IFERROR(__xludf.DUMMYFUNCTION("""COMPUTED_VALUE"""),"TANQUE DE AGUA")</f>
        <v>TANQUE DE AGUA</v>
      </c>
      <c r="M1462" s="74" t="str">
        <f>IFERROR(__xludf.DUMMYFUNCTION("""COMPUTED_VALUE"""),"EMPAQUES")</f>
        <v>EMPAQUES</v>
      </c>
      <c r="N1462" s="87">
        <f>IFERROR(__xludf.DUMMYFUNCTION("""COMPUTED_VALUE"""),337.44)</f>
        <v>337.44</v>
      </c>
      <c r="O1462" s="74"/>
      <c r="P1462" s="74" t="str">
        <f>IFERROR(__xludf.DUMMYFUNCTION("""COMPUTED_VALUE"""),"To Re-purchase")</f>
        <v>To Re-purchase</v>
      </c>
      <c r="Q1462" s="74"/>
      <c r="R1462" s="74"/>
      <c r="S1462" s="87">
        <f>IFERROR(__xludf.DUMMYFUNCTION("""COMPUTED_VALUE"""),24.0)</f>
        <v>24</v>
      </c>
      <c r="T1462" s="87">
        <f>IFERROR(__xludf.DUMMYFUNCTION("""COMPUTED_VALUE"""),19.0)</f>
        <v>19</v>
      </c>
      <c r="U1462" s="87">
        <f>IFERROR(__xludf.DUMMYFUNCTION("""COMPUTED_VALUE"""),18.24)</f>
        <v>18.24</v>
      </c>
      <c r="V1462" s="87">
        <f>IFERROR(__xludf.DUMMYFUNCTION("""COMPUTED_VALUE"""),29.4)</f>
        <v>29.4</v>
      </c>
      <c r="W1462" s="87">
        <f>IFERROR(__xludf.DUMMYFUNCTION("""COMPUTED_VALUE"""),551.25)</f>
        <v>551.25</v>
      </c>
      <c r="X1462" s="88">
        <f>IFERROR(__xludf.DUMMYFUNCTION("""COMPUTED_VALUE"""),0.7599999999999999)</f>
        <v>0.76</v>
      </c>
      <c r="Y1462" s="74"/>
      <c r="Z1462" s="74"/>
    </row>
    <row r="1463">
      <c r="B1463" s="74" t="str">
        <f>IFERROR(__xludf.DUMMYFUNCTION("""COMPUTED_VALUE"""),"2460")</f>
        <v>2460</v>
      </c>
      <c r="C1463" s="74" t="str">
        <f>IFERROR(__xludf.DUMMYFUNCTION("""COMPUTED_VALUE"""),"75045882002")</f>
        <v>75045882002</v>
      </c>
      <c r="D1463" s="74" t="str">
        <f>IFERROR(__xludf.DUMMYFUNCTION("""COMPUTED_VALUE"""),"\\MCA-S\mk\2_BM\0_BMat\08_PYM\Inventario\excel\Imagen de refacciones\Ollas revolvedoras\Lengüeta MTM - Lengüeta london - lengüeta challenge_rex - Lengüeta de plastico 5_ - lengüeta de plastico london 4_1_4_")</f>
        <v>\\MCA-S\mk\2_BM\0_BMat\08_PYM\Inventario\excel\Imagen de refacciones\Ollas revolvedoras\Lengüeta MTM - Lengüeta london - lengüeta challenge_rex - Lengüeta de plastico 5_ - lengüeta de plastico london 4_1_4_</v>
      </c>
      <c r="E1463" s="74" t="str">
        <f>IFERROR(__xludf.DUMMYFUNCTION("""COMPUTED_VALUE"""),"FLAPPER CHALLENGE REX")</f>
        <v>FLAPPER CHALLENGE REX</v>
      </c>
      <c r="F1463" s="74" t="str">
        <f>IFERROR(__xludf.DUMMYFUNCTION("""COMPUTED_VALUE"""),"LENGUETA CHALLENGE REX")</f>
        <v>LENGUETA CHALLENGE REX</v>
      </c>
      <c r="G1463" s="74"/>
      <c r="H1463" s="74"/>
      <c r="I1463" s="74" t="str">
        <f>IFERROR(__xludf.DUMMYFUNCTION("""COMPUTED_VALUE"""),"5054169")</f>
        <v>5054169</v>
      </c>
      <c r="J1463" s="74"/>
      <c r="K1463" s="74" t="str">
        <f>IFERROR(__xludf.DUMMYFUNCTION("""COMPUTED_VALUE"""),"Olla Revolvedora")</f>
        <v>Olla Revolvedora</v>
      </c>
      <c r="L1463" s="74" t="str">
        <f>IFERROR(__xludf.DUMMYFUNCTION("""COMPUTED_VALUE"""),"TANQUE DE AGUA")</f>
        <v>TANQUE DE AGUA</v>
      </c>
      <c r="M1463" s="74" t="str">
        <f>IFERROR(__xludf.DUMMYFUNCTION("""COMPUTED_VALUE"""),"EMPAQUES")</f>
        <v>EMPAQUES</v>
      </c>
      <c r="N1463" s="87">
        <f>IFERROR(__xludf.DUMMYFUNCTION("""COMPUTED_VALUE"""),337.44)</f>
        <v>337.44</v>
      </c>
      <c r="O1463" s="74"/>
      <c r="P1463" s="74" t="str">
        <f>IFERROR(__xludf.DUMMYFUNCTION("""COMPUTED_VALUE"""),"To Re-purchase")</f>
        <v>To Re-purchase</v>
      </c>
      <c r="Q1463" s="74"/>
      <c r="R1463" s="74"/>
      <c r="S1463" s="87">
        <f>IFERROR(__xludf.DUMMYFUNCTION("""COMPUTED_VALUE"""),7.0)</f>
        <v>7</v>
      </c>
      <c r="T1463" s="87">
        <f>IFERROR(__xludf.DUMMYFUNCTION("""COMPUTED_VALUE"""),19.0)</f>
        <v>19</v>
      </c>
      <c r="U1463" s="87">
        <f>IFERROR(__xludf.DUMMYFUNCTION("""COMPUTED_VALUE"""),18.24)</f>
        <v>18.24</v>
      </c>
      <c r="V1463" s="87">
        <f>IFERROR(__xludf.DUMMYFUNCTION("""COMPUTED_VALUE"""),8.575)</f>
        <v>8.575</v>
      </c>
      <c r="W1463" s="87">
        <f>IFERROR(__xludf.DUMMYFUNCTION("""COMPUTED_VALUE"""),160.78125)</f>
        <v>160.78125</v>
      </c>
      <c r="X1463" s="88">
        <f>IFERROR(__xludf.DUMMYFUNCTION("""COMPUTED_VALUE"""),2.6057142857142854)</f>
        <v>2.605714286</v>
      </c>
      <c r="Y1463" s="74"/>
      <c r="Z1463" s="74"/>
    </row>
    <row r="1464">
      <c r="B1464" s="74" t="str">
        <f>IFERROR(__xludf.DUMMYFUNCTION("""COMPUTED_VALUE"""),"2461")</f>
        <v>2461</v>
      </c>
      <c r="C1464" s="74" t="str">
        <f>IFERROR(__xludf.DUMMYFUNCTION("""COMPUTED_VALUE"""),"75045882003")</f>
        <v>75045882003</v>
      </c>
      <c r="D1464" s="74" t="str">
        <f>IFERROR(__xludf.DUMMYFUNCTION("""COMPUTED_VALUE"""),"\\MCA-S\mk\2_BM\0_BMat\08_PYM\Inventario\excel\Imagen de refacciones\Ollas revolvedoras\Lengüeta MTM - Lengüeta london - lengüeta challenge_rex - Lengüeta de plastico 5_ - lengüeta de plastico london 4_1_4_")</f>
        <v>\\MCA-S\mk\2_BM\0_BMat\08_PYM\Inventario\excel\Imagen de refacciones\Ollas revolvedoras\Lengüeta MTM - Lengüeta london - lengüeta challenge_rex - Lengüeta de plastico 5_ - lengüeta de plastico london 4_1_4_</v>
      </c>
      <c r="E1464" s="74" t="str">
        <f>IFERROR(__xludf.DUMMYFUNCTION("""COMPUTED_VALUE"""),"FLAPPER PLASTIC 5""")</f>
        <v>FLAPPER PLASTIC 5"</v>
      </c>
      <c r="F1464" s="74" t="str">
        <f>IFERROR(__xludf.DUMMYFUNCTION("""COMPUTED_VALUE"""),"LENGUETA PLASTICO 5""")</f>
        <v>LENGUETA PLASTICO 5"</v>
      </c>
      <c r="G1464" s="74"/>
      <c r="H1464" s="74"/>
      <c r="I1464" s="74" t="str">
        <f>IFERROR(__xludf.DUMMYFUNCTION("""COMPUTED_VALUE"""),"9292092")</f>
        <v>9292092</v>
      </c>
      <c r="J1464" s="74"/>
      <c r="K1464" s="74" t="str">
        <f>IFERROR(__xludf.DUMMYFUNCTION("""COMPUTED_VALUE"""),"Olla Revolvedora")</f>
        <v>Olla Revolvedora</v>
      </c>
      <c r="L1464" s="74" t="str">
        <f>IFERROR(__xludf.DUMMYFUNCTION("""COMPUTED_VALUE"""),"TANQUE DE AGUA")</f>
        <v>TANQUE DE AGUA</v>
      </c>
      <c r="M1464" s="74" t="str">
        <f>IFERROR(__xludf.DUMMYFUNCTION("""COMPUTED_VALUE"""),"EMPAQUES")</f>
        <v>EMPAQUES</v>
      </c>
      <c r="N1464" s="87">
        <f>IFERROR(__xludf.DUMMYFUNCTION("""COMPUTED_VALUE"""),337.44)</f>
        <v>337.44</v>
      </c>
      <c r="O1464" s="74"/>
      <c r="P1464" s="74" t="str">
        <f>IFERROR(__xludf.DUMMYFUNCTION("""COMPUTED_VALUE"""),"To Re-purchase")</f>
        <v>To Re-purchase</v>
      </c>
      <c r="Q1464" s="74"/>
      <c r="R1464" s="74"/>
      <c r="S1464" s="87">
        <f>IFERROR(__xludf.DUMMYFUNCTION("""COMPUTED_VALUE"""),7.0)</f>
        <v>7</v>
      </c>
      <c r="T1464" s="87">
        <f>IFERROR(__xludf.DUMMYFUNCTION("""COMPUTED_VALUE"""),19.0)</f>
        <v>19</v>
      </c>
      <c r="U1464" s="87">
        <f>IFERROR(__xludf.DUMMYFUNCTION("""COMPUTED_VALUE"""),18.24)</f>
        <v>18.24</v>
      </c>
      <c r="V1464" s="87">
        <f>IFERROR(__xludf.DUMMYFUNCTION("""COMPUTED_VALUE"""),8.575)</f>
        <v>8.575</v>
      </c>
      <c r="W1464" s="87">
        <f>IFERROR(__xludf.DUMMYFUNCTION("""COMPUTED_VALUE"""),160.78125)</f>
        <v>160.78125</v>
      </c>
      <c r="X1464" s="88">
        <f>IFERROR(__xludf.DUMMYFUNCTION("""COMPUTED_VALUE"""),2.6057142857142854)</f>
        <v>2.605714286</v>
      </c>
      <c r="Y1464" s="74"/>
      <c r="Z1464" s="74"/>
    </row>
    <row r="1465">
      <c r="B1465" s="74" t="str">
        <f>IFERROR(__xludf.DUMMYFUNCTION("""COMPUTED_VALUE"""),"2462")</f>
        <v>2462</v>
      </c>
      <c r="C1465" s="74" t="str">
        <f>IFERROR(__xludf.DUMMYFUNCTION("""COMPUTED_VALUE"""),"75045882004")</f>
        <v>75045882004</v>
      </c>
      <c r="D1465" s="74" t="str">
        <f>IFERROR(__xludf.DUMMYFUNCTION("""COMPUTED_VALUE"""),"\\MCA-S\mk\2_BM\0_BMat\08_PYM\Inventario\excel\Imagen de refacciones\Ollas revolvedoras\Lengüeta MTM - Lengüeta london - lengüeta challenge_rex - Lengüeta de plastico 5_ - lengüeta de plastico london 4_1_4_")</f>
        <v>\\MCA-S\mk\2_BM\0_BMat\08_PYM\Inventario\excel\Imagen de refacciones\Ollas revolvedoras\Lengüeta MTM - Lengüeta london - lengüeta challenge_rex - Lengüeta de plastico 5_ - lengüeta de plastico london 4_1_4_</v>
      </c>
      <c r="E1465" s="74" t="str">
        <f>IFERROR(__xludf.DUMMYFUNCTION("""COMPUTED_VALUE"""),"FLAPPER PLASTIC LONDON 4-1/4""")</f>
        <v>FLAPPER PLASTIC LONDON 4-1/4"</v>
      </c>
      <c r="F1465" s="74" t="str">
        <f>IFERROR(__xludf.DUMMYFUNCTION("""COMPUTED_VALUE"""),"LENGUETA PLASTICO LONDON 4-1/4""")</f>
        <v>LENGUETA PLASTICO LONDON 4-1/4"</v>
      </c>
      <c r="G1465" s="74"/>
      <c r="H1465" s="74"/>
      <c r="I1465" s="74" t="str">
        <f>IFERROR(__xludf.DUMMYFUNCTION("""COMPUTED_VALUE"""),"4HD260")</f>
        <v>4HD260</v>
      </c>
      <c r="J1465" s="74"/>
      <c r="K1465" s="74" t="str">
        <f>IFERROR(__xludf.DUMMYFUNCTION("""COMPUTED_VALUE"""),"Olla Revolvedora")</f>
        <v>Olla Revolvedora</v>
      </c>
      <c r="L1465" s="74" t="str">
        <f>IFERROR(__xludf.DUMMYFUNCTION("""COMPUTED_VALUE"""),"TANQUE DE AGUA")</f>
        <v>TANQUE DE AGUA</v>
      </c>
      <c r="M1465" s="74" t="str">
        <f>IFERROR(__xludf.DUMMYFUNCTION("""COMPUTED_VALUE"""),"EMPAQUES")</f>
        <v>EMPAQUES</v>
      </c>
      <c r="N1465" s="87">
        <f>IFERROR(__xludf.DUMMYFUNCTION("""COMPUTED_VALUE"""),337.44)</f>
        <v>337.44</v>
      </c>
      <c r="O1465" s="74"/>
      <c r="P1465" s="74" t="str">
        <f>IFERROR(__xludf.DUMMYFUNCTION("""COMPUTED_VALUE"""),"To Re-purchase")</f>
        <v>To Re-purchase</v>
      </c>
      <c r="Q1465" s="74"/>
      <c r="R1465" s="74"/>
      <c r="S1465" s="87">
        <f>IFERROR(__xludf.DUMMYFUNCTION("""COMPUTED_VALUE"""),7.0)</f>
        <v>7</v>
      </c>
      <c r="T1465" s="87">
        <f>IFERROR(__xludf.DUMMYFUNCTION("""COMPUTED_VALUE"""),19.0)</f>
        <v>19</v>
      </c>
      <c r="U1465" s="87">
        <f>IFERROR(__xludf.DUMMYFUNCTION("""COMPUTED_VALUE"""),18.24)</f>
        <v>18.24</v>
      </c>
      <c r="V1465" s="87">
        <f>IFERROR(__xludf.DUMMYFUNCTION("""COMPUTED_VALUE"""),8.575)</f>
        <v>8.575</v>
      </c>
      <c r="W1465" s="87">
        <f>IFERROR(__xludf.DUMMYFUNCTION("""COMPUTED_VALUE"""),160.78125)</f>
        <v>160.78125</v>
      </c>
      <c r="X1465" s="88">
        <f>IFERROR(__xludf.DUMMYFUNCTION("""COMPUTED_VALUE"""),2.6057142857142854)</f>
        <v>2.605714286</v>
      </c>
      <c r="Y1465" s="74"/>
      <c r="Z1465" s="74"/>
    </row>
    <row r="1466">
      <c r="B1466" s="74" t="str">
        <f>IFERROR(__xludf.DUMMYFUNCTION("""COMPUTED_VALUE"""),"2463")</f>
        <v>2463</v>
      </c>
      <c r="C1466" s="74" t="str">
        <f>IFERROR(__xludf.DUMMYFUNCTION("""COMPUTED_VALUE"""),"75045880339")</f>
        <v>75045880339</v>
      </c>
      <c r="D1466" s="74"/>
      <c r="E1466" s="74" t="str">
        <f>IFERROR(__xludf.DUMMYFUNCTION("""COMPUTED_VALUE"""),"PISTON RAM DN230 CIFA")</f>
        <v>PISTON RAM DN230 CIFA</v>
      </c>
      <c r="F1466" s="74" t="str">
        <f>IFERROR(__xludf.DUMMYFUNCTION("""COMPUTED_VALUE"""),"EMBOLO DN230 CIFA")</f>
        <v>EMBOLO DN230 CIFA</v>
      </c>
      <c r="G1466" s="74"/>
      <c r="H1466" s="74" t="str">
        <f>IFERROR(__xludf.DUMMYFUNCTION("""COMPUTED_VALUE"""),"EMBOLO DN230 PARA BOMBA DE HORMGON")</f>
        <v>EMBOLO DN230 PARA BOMBA DE HORMGON</v>
      </c>
      <c r="I1466" s="74" t="str">
        <f>IFERROR(__xludf.DUMMYFUNCTION("""COMPUTED_VALUE"""),"1016135")</f>
        <v>1016135</v>
      </c>
      <c r="J1466" s="74"/>
      <c r="K1466" s="74" t="str">
        <f>IFERROR(__xludf.DUMMYFUNCTION("""COMPUTED_VALUE"""),"CIFA")</f>
        <v>CIFA</v>
      </c>
      <c r="L1466" s="74" t="str">
        <f>IFERROR(__xludf.DUMMYFUNCTION("""COMPUTED_VALUE"""),"SISTEMA DE BOMBEO")</f>
        <v>SISTEMA DE BOMBEO</v>
      </c>
      <c r="M1466" s="74" t="str">
        <f>IFERROR(__xludf.DUMMYFUNCTION("""COMPUTED_VALUE"""),"PISTONES")</f>
        <v>PISTONES</v>
      </c>
      <c r="N1466" s="87">
        <f>IFERROR(__xludf.DUMMYFUNCTION("""COMPUTED_VALUE"""),0.0)</f>
        <v>0</v>
      </c>
      <c r="O1466" s="74">
        <f>IFERROR(__xludf.DUMMYFUNCTION("""COMPUTED_VALUE"""),6.0)</f>
        <v>6</v>
      </c>
      <c r="P1466" s="74" t="str">
        <f>IFERROR(__xludf.DUMMYFUNCTION("""COMPUTED_VALUE"""),"In stock")</f>
        <v>In stock</v>
      </c>
      <c r="Q1466" s="74"/>
      <c r="R1466" s="74"/>
      <c r="S1466" s="87">
        <f>IFERROR(__xludf.DUMMYFUNCTION("""COMPUTED_VALUE"""),0.0)</f>
        <v>0</v>
      </c>
      <c r="T1466" s="87">
        <f>IFERROR(__xludf.DUMMYFUNCTION("""COMPUTED_VALUE"""),0.0)</f>
        <v>0</v>
      </c>
      <c r="U1466" s="87">
        <f>IFERROR(__xludf.DUMMYFUNCTION("""COMPUTED_VALUE"""),0.0)</f>
        <v>0</v>
      </c>
      <c r="V1466" s="87">
        <f>IFERROR(__xludf.DUMMYFUNCTION("""COMPUTED_VALUE"""),0.0)</f>
        <v>0</v>
      </c>
      <c r="W1466" s="87">
        <f>IFERROR(__xludf.DUMMYFUNCTION("""COMPUTED_VALUE"""),0.0)</f>
        <v>0</v>
      </c>
      <c r="X1466" s="88"/>
      <c r="Y1466" s="74"/>
      <c r="Z1466" s="74"/>
    </row>
    <row r="1467">
      <c r="B1467" s="74" t="str">
        <f>IFERROR(__xludf.DUMMYFUNCTION("""COMPUTED_VALUE"""),"2464")</f>
        <v>2464</v>
      </c>
      <c r="C1467" s="74" t="str">
        <f>IFERROR(__xludf.DUMMYFUNCTION("""COMPUTED_VALUE"""),"75045882005")</f>
        <v>75045882005</v>
      </c>
      <c r="D1467" s="74" t="str">
        <f>IFERROR(__xludf.DUMMYFUNCTION("""COMPUTED_VALUE"""),"\\MCA-S\mk\2_BM\0_BMat\08_PYM\Inventario\excel\Imagen de refacciones\Ollas revolvedoras\Regulador de aire 0-60PSI")</f>
        <v>\\MCA-S\mk\2_BM\0_BMat\08_PYM\Inventario\excel\Imagen de refacciones\Ollas revolvedoras\Regulador de aire 0-60PSI</v>
      </c>
      <c r="E1467" s="74" t="str">
        <f>IFERROR(__xludf.DUMMYFUNCTION("""COMPUTED_VALUE"""),"AIR REGULATOR 0-100PSI")</f>
        <v>AIR REGULATOR 0-100PSI</v>
      </c>
      <c r="F1467" s="74" t="str">
        <f>IFERROR(__xludf.DUMMYFUNCTION("""COMPUTED_VALUE"""),"REGULADOR DE AIRE 0-100PSI")</f>
        <v>REGULADOR DE AIRE 0-100PSI</v>
      </c>
      <c r="G1467" s="74"/>
      <c r="H1467" s="74"/>
      <c r="I1467" s="74" t="str">
        <f>IFERROR(__xludf.DUMMYFUNCTION("""COMPUTED_VALUE"""),"1520987")</f>
        <v>1520987</v>
      </c>
      <c r="J1467" s="74"/>
      <c r="K1467" s="74" t="str">
        <f>IFERROR(__xludf.DUMMYFUNCTION("""COMPUTED_VALUE"""),"Olla Revolvedora")</f>
        <v>Olla Revolvedora</v>
      </c>
      <c r="L1467" s="74" t="str">
        <f>IFERROR(__xludf.DUMMYFUNCTION("""COMPUTED_VALUE"""),"TANQUE DE AGUA")</f>
        <v>TANQUE DE AGUA</v>
      </c>
      <c r="M1467" s="74" t="str">
        <f>IFERROR(__xludf.DUMMYFUNCTION("""COMPUTED_VALUE"""),"Sin Asignar")</f>
        <v>Sin Asignar</v>
      </c>
      <c r="N1467" s="87">
        <f>IFERROR(__xludf.DUMMYFUNCTION("""COMPUTED_VALUE"""),355.2)</f>
        <v>355.2</v>
      </c>
      <c r="O1467" s="74"/>
      <c r="P1467" s="74" t="str">
        <f>IFERROR(__xludf.DUMMYFUNCTION("""COMPUTED_VALUE"""),"To Re-purchase")</f>
        <v>To Re-purchase</v>
      </c>
      <c r="Q1467" s="74"/>
      <c r="R1467" s="74"/>
      <c r="S1467" s="87">
        <f>IFERROR(__xludf.DUMMYFUNCTION("""COMPUTED_VALUE"""),0.0)</f>
        <v>0</v>
      </c>
      <c r="T1467" s="87">
        <f>IFERROR(__xludf.DUMMYFUNCTION("""COMPUTED_VALUE"""),20.0)</f>
        <v>20</v>
      </c>
      <c r="U1467" s="87">
        <f>IFERROR(__xludf.DUMMYFUNCTION("""COMPUTED_VALUE"""),19.2)</f>
        <v>19.2</v>
      </c>
      <c r="V1467" s="87">
        <f>IFERROR(__xludf.DUMMYFUNCTION("""COMPUTED_VALUE"""),0.0)</f>
        <v>0</v>
      </c>
      <c r="W1467" s="87">
        <f>IFERROR(__xludf.DUMMYFUNCTION("""COMPUTED_VALUE"""),0.0)</f>
        <v>0</v>
      </c>
      <c r="X1467" s="88"/>
      <c r="Y1467" s="74"/>
      <c r="Z1467" s="74"/>
    </row>
    <row r="1468">
      <c r="B1468" s="74" t="str">
        <f>IFERROR(__xludf.DUMMYFUNCTION("""COMPUTED_VALUE"""),"2465")</f>
        <v>2465</v>
      </c>
      <c r="C1468" s="74" t="str">
        <f>IFERROR(__xludf.DUMMYFUNCTION("""COMPUTED_VALUE"""),"75045882006")</f>
        <v>75045882006</v>
      </c>
      <c r="D1468" s="74" t="str">
        <f>IFERROR(__xludf.DUMMYFUNCTION("""COMPUTED_VALUE"""),"\\MCA-S\mk\2_BM\0_BMat\08_PYM\Inventario\excel\Imagen de refacciones\Ollas revolvedoras\Regulador de aire 0-60PSI")</f>
        <v>\\MCA-S\mk\2_BM\0_BMat\08_PYM\Inventario\excel\Imagen de refacciones\Ollas revolvedoras\Regulador de aire 0-60PSI</v>
      </c>
      <c r="E1468" s="74" t="str">
        <f>IFERROR(__xludf.DUMMYFUNCTION("""COMPUTED_VALUE"""),"AIR REGULATOR 0-125PSI")</f>
        <v>AIR REGULATOR 0-125PSI</v>
      </c>
      <c r="F1468" s="74" t="str">
        <f>IFERROR(__xludf.DUMMYFUNCTION("""COMPUTED_VALUE"""),"REGULADOR DE AIRE 0-125PSI")</f>
        <v>REGULADOR DE AIRE 0-125PSI</v>
      </c>
      <c r="G1468" s="74"/>
      <c r="H1468" s="74"/>
      <c r="I1468" s="74" t="str">
        <f>IFERROR(__xludf.DUMMYFUNCTION("""COMPUTED_VALUE"""),"87011")</f>
        <v>87011</v>
      </c>
      <c r="J1468" s="74"/>
      <c r="K1468" s="74" t="str">
        <f>IFERROR(__xludf.DUMMYFUNCTION("""COMPUTED_VALUE"""),"Olla Revolvedora")</f>
        <v>Olla Revolvedora</v>
      </c>
      <c r="L1468" s="74" t="str">
        <f>IFERROR(__xludf.DUMMYFUNCTION("""COMPUTED_VALUE"""),"TANQUE DE AGUA")</f>
        <v>TANQUE DE AGUA</v>
      </c>
      <c r="M1468" s="74" t="str">
        <f>IFERROR(__xludf.DUMMYFUNCTION("""COMPUTED_VALUE"""),"Sin Asignar")</f>
        <v>Sin Asignar</v>
      </c>
      <c r="N1468" s="87">
        <f>IFERROR(__xludf.DUMMYFUNCTION("""COMPUTED_VALUE"""),532.8)</f>
        <v>532.8</v>
      </c>
      <c r="O1468" s="74"/>
      <c r="P1468" s="74" t="str">
        <f>IFERROR(__xludf.DUMMYFUNCTION("""COMPUTED_VALUE"""),"To Re-purchase")</f>
        <v>To Re-purchase</v>
      </c>
      <c r="Q1468" s="74"/>
      <c r="R1468" s="74"/>
      <c r="S1468" s="87">
        <f>IFERROR(__xludf.DUMMYFUNCTION("""COMPUTED_VALUE"""),0.0)</f>
        <v>0</v>
      </c>
      <c r="T1468" s="87">
        <f>IFERROR(__xludf.DUMMYFUNCTION("""COMPUTED_VALUE"""),30.0)</f>
        <v>30</v>
      </c>
      <c r="U1468" s="87">
        <f>IFERROR(__xludf.DUMMYFUNCTION("""COMPUTED_VALUE"""),28.799999999999997)</f>
        <v>28.8</v>
      </c>
      <c r="V1468" s="87">
        <f>IFERROR(__xludf.DUMMYFUNCTION("""COMPUTED_VALUE"""),0.0)</f>
        <v>0</v>
      </c>
      <c r="W1468" s="87">
        <f>IFERROR(__xludf.DUMMYFUNCTION("""COMPUTED_VALUE"""),0.0)</f>
        <v>0</v>
      </c>
      <c r="X1468" s="88"/>
      <c r="Y1468" s="74"/>
      <c r="Z1468" s="74"/>
    </row>
    <row r="1469">
      <c r="B1469" s="74" t="str">
        <f>IFERROR(__xludf.DUMMYFUNCTION("""COMPUTED_VALUE"""),"2466")</f>
        <v>2466</v>
      </c>
      <c r="C1469" s="74" t="str">
        <f>IFERROR(__xludf.DUMMYFUNCTION("""COMPUTED_VALUE"""),"75045880284")</f>
        <v>75045880284</v>
      </c>
      <c r="D1469" s="74" t="str">
        <f>IFERROR(__xludf.DUMMYFUNCTION("""COMPUTED_VALUE"""),"\\MCA-S\mk\2_BM\0_BMat\08_PYM\Inventario\excel\Imagen de refacciones\Sistemas de tubería\Abrazadera de 5_ metrica doble tornillo")</f>
        <v>\\MCA-S\mk\2_BM\0_BMat\08_PYM\Inventario\excel\Imagen de refacciones\Sistemas de tubería\Abrazadera de 5_ metrica doble tornillo</v>
      </c>
      <c r="E1469" s="74" t="str">
        <f>IFERROR(__xludf.DUMMYFUNCTION("""COMPUTED_VALUE"""),"CLAMP 2 BOLT BIG ZX125 5"" MET. NO BASE")</f>
        <v>CLAMP 2 BOLT BIG ZX125 5" MET. NO BASE</v>
      </c>
      <c r="F1469" s="74" t="str">
        <f>IFERROR(__xludf.DUMMYFUNCTION("""COMPUTED_VALUE"""),"ABRAZADERA 5"" MET. ZX125 DOBLE TORNILLO GRANDE SIN BASE")</f>
        <v>ABRAZADERA 5" MET. ZX125 DOBLE TORNILLO GRANDE SIN BASE</v>
      </c>
      <c r="G1469" s="74"/>
      <c r="H1469" s="74" t="str">
        <f>IFERROR(__xludf.DUMMYFUNCTION("""COMPUTED_VALUE"""),"ABRAZADERA DE 5"" METRICA DOBLE TORNILLO PARA BOMBA DE HORMIGON")</f>
        <v>ABRAZADERA DE 5" METRICA DOBLE TORNILLO PARA BOMBA DE HORMIGON</v>
      </c>
      <c r="I1469" s="74" t="str">
        <f>IFERROR(__xludf.DUMMYFUNCTION("""COMPUTED_VALUE"""),"027707001")</f>
        <v>027707001</v>
      </c>
      <c r="J1469" s="74" t="str">
        <f>IFERROR(__xludf.DUMMYFUNCTION("""COMPUTED_VALUE"""),"426594")</f>
        <v>426594</v>
      </c>
      <c r="K1469" s="74" t="str">
        <f>IFERROR(__xludf.DUMMYFUNCTION("""COMPUTED_VALUE"""),"Tuberia")</f>
        <v>Tuberia</v>
      </c>
      <c r="L1469" s="74" t="str">
        <f>IFERROR(__xludf.DUMMYFUNCTION("""COMPUTED_VALUE"""),"TUBERIA ACERO")</f>
        <v>TUBERIA ACERO</v>
      </c>
      <c r="M1469" s="74" t="str">
        <f>IFERROR(__xludf.DUMMYFUNCTION("""COMPUTED_VALUE"""),"TUBOS")</f>
        <v>TUBOS</v>
      </c>
      <c r="N1469" s="87">
        <f>IFERROR(__xludf.DUMMYFUNCTION("""COMPUTED_VALUE"""),1918.08)</f>
        <v>1918.08</v>
      </c>
      <c r="O1469" s="74">
        <f>IFERROR(__xludf.DUMMYFUNCTION("""COMPUTED_VALUE"""),12.0)</f>
        <v>12</v>
      </c>
      <c r="P1469" s="74" t="str">
        <f>IFERROR(__xludf.DUMMYFUNCTION("""COMPUTED_VALUE"""),"In stock")</f>
        <v>In stock</v>
      </c>
      <c r="Q1469" s="74"/>
      <c r="R1469" s="74"/>
      <c r="S1469" s="87">
        <f>IFERROR(__xludf.DUMMYFUNCTION("""COMPUTED_VALUE"""),15.0)</f>
        <v>15</v>
      </c>
      <c r="T1469" s="87">
        <f>IFERROR(__xludf.DUMMYFUNCTION("""COMPUTED_VALUE"""),108.0)</f>
        <v>108</v>
      </c>
      <c r="U1469" s="87">
        <f>IFERROR(__xludf.DUMMYFUNCTION("""COMPUTED_VALUE"""),103.67999999999999)</f>
        <v>103.68</v>
      </c>
      <c r="V1469" s="87">
        <f>IFERROR(__xludf.DUMMYFUNCTION("""COMPUTED_VALUE"""),18.375)</f>
        <v>18.375</v>
      </c>
      <c r="W1469" s="87">
        <f>IFERROR(__xludf.DUMMYFUNCTION("""COMPUTED_VALUE"""),344.53125)</f>
        <v>344.53125</v>
      </c>
      <c r="X1469" s="88">
        <f>IFERROR(__xludf.DUMMYFUNCTION("""COMPUTED_VALUE"""),6.912)</f>
        <v>6.912</v>
      </c>
      <c r="Y1469" s="74"/>
      <c r="Z1469" s="74"/>
    </row>
    <row r="1470">
      <c r="B1470" s="74" t="str">
        <f>IFERROR(__xludf.DUMMYFUNCTION("""COMPUTED_VALUE"""),"2468")</f>
        <v>2468</v>
      </c>
      <c r="C1470" s="74" t="str">
        <f>IFERROR(__xludf.DUMMYFUNCTION("""COMPUTED_VALUE"""),"75045892468")</f>
        <v>75045892468</v>
      </c>
      <c r="D1470" s="74"/>
      <c r="E1470" s="74" t="str">
        <f>IFERROR(__xludf.DUMMYFUNCTION("""COMPUTED_VALUE"""),"WEAR INSERT DN200 (CARBIDE)")</f>
        <v>WEAR INSERT DN200 (CARBIDE)</v>
      </c>
      <c r="F1470" s="74" t="str">
        <f>IFERROR(__xludf.DUMMYFUNCTION("""COMPUTED_VALUE"""),"INSERTOS DESGASTE DN200")</f>
        <v>INSERTOS DESGASTE DN200</v>
      </c>
      <c r="G1470" s="74"/>
      <c r="H1470" s="74"/>
      <c r="I1470" s="74" t="str">
        <f>IFERROR(__xludf.DUMMYFUNCTION("""COMPUTED_VALUE"""),"10081096")</f>
        <v>10081096</v>
      </c>
      <c r="J1470" s="74"/>
      <c r="K1470" s="74" t="str">
        <f>IFERROR(__xludf.DUMMYFUNCTION("""COMPUTED_VALUE"""),"Schwing")</f>
        <v>Schwing</v>
      </c>
      <c r="L1470" s="74" t="str">
        <f>IFERROR(__xludf.DUMMYFUNCTION("""COMPUTED_VALUE"""),"SIN ASIGNAR")</f>
        <v>SIN ASIGNAR</v>
      </c>
      <c r="M1470" s="74" t="str">
        <f>IFERROR(__xludf.DUMMYFUNCTION("""COMPUTED_VALUE"""),"ANILLOS METALICOS")</f>
        <v>ANILLOS METALICOS</v>
      </c>
      <c r="N1470" s="87">
        <f>IFERROR(__xludf.DUMMYFUNCTION("""COMPUTED_VALUE"""),0.0)</f>
        <v>0</v>
      </c>
      <c r="O1470" s="74"/>
      <c r="P1470" s="74" t="str">
        <f>IFERROR(__xludf.DUMMYFUNCTION("""COMPUTED_VALUE"""),"To Re-purchase")</f>
        <v>To Re-purchase</v>
      </c>
      <c r="Q1470" s="74"/>
      <c r="R1470" s="74"/>
      <c r="S1470" s="87">
        <f>IFERROR(__xludf.DUMMYFUNCTION("""COMPUTED_VALUE"""),0.0)</f>
        <v>0</v>
      </c>
      <c r="T1470" s="87">
        <f>IFERROR(__xludf.DUMMYFUNCTION("""COMPUTED_VALUE"""),0.0)</f>
        <v>0</v>
      </c>
      <c r="U1470" s="87">
        <f>IFERROR(__xludf.DUMMYFUNCTION("""COMPUTED_VALUE"""),0.0)</f>
        <v>0</v>
      </c>
      <c r="V1470" s="87">
        <f>IFERROR(__xludf.DUMMYFUNCTION("""COMPUTED_VALUE"""),0.0)</f>
        <v>0</v>
      </c>
      <c r="W1470" s="87">
        <f>IFERROR(__xludf.DUMMYFUNCTION("""COMPUTED_VALUE"""),0.0)</f>
        <v>0</v>
      </c>
      <c r="X1470" s="88"/>
      <c r="Y1470" s="74"/>
      <c r="Z1470" s="74"/>
    </row>
    <row r="1471">
      <c r="B1471" s="74" t="str">
        <f>IFERROR(__xludf.DUMMYFUNCTION("""COMPUTED_VALUE"""),"2469")</f>
        <v>2469</v>
      </c>
      <c r="C1471" s="74" t="str">
        <f>IFERROR(__xludf.DUMMYFUNCTION("""COMPUTED_VALUE"""),"75045892469")</f>
        <v>75045892469</v>
      </c>
      <c r="D1471" s="74"/>
      <c r="E1471" s="74" t="str">
        <f>IFERROR(__xludf.DUMMYFUNCTION("""COMPUTED_VALUE"""),"LARGE HARDENED WEAR PLATE PUMPKIT")</f>
        <v>LARGE HARDENED WEAR PLATE PUMPKIT</v>
      </c>
      <c r="F1471" s="74" t="str">
        <f>IFERROR(__xludf.DUMMYFUNCTION("""COMPUTED_VALUE"""),"TRIANGULO GRANDE")</f>
        <v>TRIANGULO GRANDE</v>
      </c>
      <c r="G1471" s="74"/>
      <c r="H1471" s="74"/>
      <c r="I1471" s="74" t="str">
        <f>IFERROR(__xludf.DUMMYFUNCTION("""COMPUTED_VALUE"""),"10146063")</f>
        <v>10146063</v>
      </c>
      <c r="J1471" s="74" t="str">
        <f>IFERROR(__xludf.DUMMYFUNCTION("""COMPUTED_VALUE"""),"10183640")</f>
        <v>10183640</v>
      </c>
      <c r="K1471" s="74" t="str">
        <f>IFERROR(__xludf.DUMMYFUNCTION("""COMPUTED_VALUE"""),"Schwing")</f>
        <v>Schwing</v>
      </c>
      <c r="L1471" s="74" t="str">
        <f>IFERROR(__xludf.DUMMYFUNCTION("""COMPUTED_VALUE"""),"SIN ASIGNAR")</f>
        <v>SIN ASIGNAR</v>
      </c>
      <c r="M1471" s="74" t="str">
        <f>IFERROR(__xludf.DUMMYFUNCTION("""COMPUTED_VALUE"""),"SIN ASIGNAR")</f>
        <v>SIN ASIGNAR</v>
      </c>
      <c r="N1471" s="87">
        <f>IFERROR(__xludf.DUMMYFUNCTION("""COMPUTED_VALUE"""),0.0)</f>
        <v>0</v>
      </c>
      <c r="O1471" s="74"/>
      <c r="P1471" s="74" t="str">
        <f>IFERROR(__xludf.DUMMYFUNCTION("""COMPUTED_VALUE"""),"To Re-purchase")</f>
        <v>To Re-purchase</v>
      </c>
      <c r="Q1471" s="74"/>
      <c r="R1471" s="74"/>
      <c r="S1471" s="87">
        <f>IFERROR(__xludf.DUMMYFUNCTION("""COMPUTED_VALUE"""),0.0)</f>
        <v>0</v>
      </c>
      <c r="T1471" s="87">
        <f>IFERROR(__xludf.DUMMYFUNCTION("""COMPUTED_VALUE"""),0.0)</f>
        <v>0</v>
      </c>
      <c r="U1471" s="87">
        <f>IFERROR(__xludf.DUMMYFUNCTION("""COMPUTED_VALUE"""),0.0)</f>
        <v>0</v>
      </c>
      <c r="V1471" s="87">
        <f>IFERROR(__xludf.DUMMYFUNCTION("""COMPUTED_VALUE"""),0.0)</f>
        <v>0</v>
      </c>
      <c r="W1471" s="87">
        <f>IFERROR(__xludf.DUMMYFUNCTION("""COMPUTED_VALUE"""),0.0)</f>
        <v>0</v>
      </c>
      <c r="X1471" s="88"/>
      <c r="Y1471" s="74"/>
      <c r="Z1471" s="74"/>
    </row>
    <row r="1472">
      <c r="B1472" s="74" t="str">
        <f>IFERROR(__xludf.DUMMYFUNCTION("""COMPUTED_VALUE"""),"2470")</f>
        <v>2470</v>
      </c>
      <c r="C1472" s="74"/>
      <c r="D1472" s="74"/>
      <c r="E1472" s="74"/>
      <c r="F1472" s="74" t="str">
        <f>IFERROR(__xludf.DUMMYFUNCTION("""COMPUTED_VALUE"""),"PISTOLA DE LANZADO")</f>
        <v>PISTOLA DE LANZADO</v>
      </c>
      <c r="G1472" s="74"/>
      <c r="H1472" s="74"/>
      <c r="I1472" s="74" t="str">
        <f>IFERROR(__xludf.DUMMYFUNCTION("""COMPUTED_VALUE"""),"30373440")</f>
        <v>30373440</v>
      </c>
      <c r="J1472" s="74"/>
      <c r="K1472" s="74" t="str">
        <f>IFERROR(__xludf.DUMMYFUNCTION("""COMPUTED_VALUE"""),"Tuberia")</f>
        <v>Tuberia</v>
      </c>
      <c r="L1472" s="74" t="str">
        <f>IFERROR(__xludf.DUMMYFUNCTION("""COMPUTED_VALUE"""),"SIN ASIGNAR")</f>
        <v>SIN ASIGNAR</v>
      </c>
      <c r="M1472" s="74" t="str">
        <f>IFERROR(__xludf.DUMMYFUNCTION("""COMPUTED_VALUE"""),"SIN ASIGNAR")</f>
        <v>SIN ASIGNAR</v>
      </c>
      <c r="N1472" s="87">
        <f>IFERROR(__xludf.DUMMYFUNCTION("""COMPUTED_VALUE"""),0.0)</f>
        <v>0</v>
      </c>
      <c r="O1472" s="74"/>
      <c r="P1472" s="74" t="str">
        <f>IFERROR(__xludf.DUMMYFUNCTION("""COMPUTED_VALUE"""),"To Re-purchase")</f>
        <v>To Re-purchase</v>
      </c>
      <c r="Q1472" s="74"/>
      <c r="R1472" s="74"/>
      <c r="S1472" s="87">
        <f>IFERROR(__xludf.DUMMYFUNCTION("""COMPUTED_VALUE"""),0.0)</f>
        <v>0</v>
      </c>
      <c r="T1472" s="87">
        <f>IFERROR(__xludf.DUMMYFUNCTION("""COMPUTED_VALUE"""),0.0)</f>
        <v>0</v>
      </c>
      <c r="U1472" s="87">
        <f>IFERROR(__xludf.DUMMYFUNCTION("""COMPUTED_VALUE"""),0.0)</f>
        <v>0</v>
      </c>
      <c r="V1472" s="87">
        <f>IFERROR(__xludf.DUMMYFUNCTION("""COMPUTED_VALUE"""),0.0)</f>
        <v>0</v>
      </c>
      <c r="W1472" s="87">
        <f>IFERROR(__xludf.DUMMYFUNCTION("""COMPUTED_VALUE"""),0.0)</f>
        <v>0</v>
      </c>
      <c r="X1472" s="88"/>
      <c r="Y1472" s="74"/>
      <c r="Z1472" s="74"/>
    </row>
    <row r="1473">
      <c r="B1473" s="74" t="str">
        <f>IFERROR(__xludf.DUMMYFUNCTION("""COMPUTED_VALUE"""),"2471")</f>
        <v>2471</v>
      </c>
      <c r="C1473" s="74" t="str">
        <f>IFERROR(__xludf.DUMMYFUNCTION("""COMPUTED_VALUE"""),"75045892471")</f>
        <v>75045892471</v>
      </c>
      <c r="D1473" s="74"/>
      <c r="E1473" s="74"/>
      <c r="F1473" s="74" t="str">
        <f>IFERROR(__xludf.DUMMYFUNCTION("""COMPUTED_VALUE"""),"MANGUERA HD2"" 6M DOBLE BOQUILLA")</f>
        <v>MANGUERA HD2" 6M DOBLE BOQUILLA</v>
      </c>
      <c r="G1473" s="74"/>
      <c r="H1473" s="74"/>
      <c r="I1473" s="74"/>
      <c r="J1473" s="74"/>
      <c r="K1473" s="74" t="str">
        <f>IFERROR(__xludf.DUMMYFUNCTION("""COMPUTED_VALUE"""),"Tuberia")</f>
        <v>Tuberia</v>
      </c>
      <c r="L1473" s="74" t="str">
        <f>IFERROR(__xludf.DUMMYFUNCTION("""COMPUTED_VALUE"""),"TUBERIA FLEXIBLE")</f>
        <v>TUBERIA FLEXIBLE</v>
      </c>
      <c r="M1473" s="74" t="str">
        <f>IFERROR(__xludf.DUMMYFUNCTION("""COMPUTED_VALUE"""),"TUBOS")</f>
        <v>TUBOS</v>
      </c>
      <c r="N1473" s="87">
        <f>IFERROR(__xludf.DUMMYFUNCTION("""COMPUTED_VALUE"""),0.0)</f>
        <v>0</v>
      </c>
      <c r="O1473" s="74"/>
      <c r="P1473" s="74" t="str">
        <f>IFERROR(__xludf.DUMMYFUNCTION("""COMPUTED_VALUE"""),"To Re-purchase")</f>
        <v>To Re-purchase</v>
      </c>
      <c r="Q1473" s="74"/>
      <c r="R1473" s="74"/>
      <c r="S1473" s="87">
        <f>IFERROR(__xludf.DUMMYFUNCTION("""COMPUTED_VALUE"""),0.0)</f>
        <v>0</v>
      </c>
      <c r="T1473" s="87">
        <f>IFERROR(__xludf.DUMMYFUNCTION("""COMPUTED_VALUE"""),0.0)</f>
        <v>0</v>
      </c>
      <c r="U1473" s="87">
        <f>IFERROR(__xludf.DUMMYFUNCTION("""COMPUTED_VALUE"""),0.0)</f>
        <v>0</v>
      </c>
      <c r="V1473" s="87">
        <f>IFERROR(__xludf.DUMMYFUNCTION("""COMPUTED_VALUE"""),0.0)</f>
        <v>0</v>
      </c>
      <c r="W1473" s="87">
        <f>IFERROR(__xludf.DUMMYFUNCTION("""COMPUTED_VALUE"""),0.0)</f>
        <v>0</v>
      </c>
      <c r="X1473" s="88"/>
      <c r="Y1473" s="74"/>
      <c r="Z1473" s="74"/>
    </row>
    <row r="1474">
      <c r="B1474" s="74" t="str">
        <f>IFERROR(__xludf.DUMMYFUNCTION("""COMPUTED_VALUE"""),"2472")</f>
        <v>2472</v>
      </c>
      <c r="C1474" s="74" t="str">
        <f>IFERROR(__xludf.DUMMYFUNCTION("""COMPUTED_VALUE"""),"75045892472")</f>
        <v>75045892472</v>
      </c>
      <c r="D1474" s="74" t="str">
        <f>IFERROR(__xludf.DUMMYFUNCTION("""COMPUTED_VALUE"""),"\\MCA-S\mk\2_BM\0_BMat\08_PYM\Inventario\excel\Imagen de refacciones\Sistema tuberia\Codo de 5_ x 90° - metrico Twin wall")</f>
        <v>\\MCA-S\mk\2_BM\0_BMat\08_PYM\Inventario\excel\Imagen de refacciones\Sistema tuberia\Codo de 5_ x 90° - metrico Twin wall</v>
      </c>
      <c r="E1474" s="74" t="str">
        <f>IFERROR(__xludf.DUMMYFUNCTION("""COMPUTED_VALUE"""),"ELBOW MET. SEAMLESS DN125 R1000 5""x90°")</f>
        <v>ELBOW MET. SEAMLESS DN125 R1000 5"x90°</v>
      </c>
      <c r="F1474" s="74" t="str">
        <f>IFERROR(__xludf.DUMMYFUNCTION("""COMPUTED_VALUE"""),"CODO MET. SEAMLESS DN125 R1000 5""x90°")</f>
        <v>CODO MET. SEAMLESS DN125 R1000 5"x90°</v>
      </c>
      <c r="G1474" s="74"/>
      <c r="H1474" s="74" t="str">
        <f>IFERROR(__xludf.DUMMYFUNCTION("""COMPUTED_VALUE"""),"CODO DE 5"" X 90° PARA BOMBA DE HORMIGON")</f>
        <v>CODO DE 5" X 90° PARA BOMBA DE HORMIGON</v>
      </c>
      <c r="I1474" s="74"/>
      <c r="J1474" s="74"/>
      <c r="K1474" s="74" t="str">
        <f>IFERROR(__xludf.DUMMYFUNCTION("""COMPUTED_VALUE"""),"Tuberia")</f>
        <v>Tuberia</v>
      </c>
      <c r="L1474" s="74" t="str">
        <f>IFERROR(__xludf.DUMMYFUNCTION("""COMPUTED_VALUE"""),"TUBERIA ACERO")</f>
        <v>TUBERIA ACERO</v>
      </c>
      <c r="M1474" s="74" t="str">
        <f>IFERROR(__xludf.DUMMYFUNCTION("""COMPUTED_VALUE"""),"TUBOS")</f>
        <v>TUBOS</v>
      </c>
      <c r="N1474" s="87">
        <f>IFERROR(__xludf.DUMMYFUNCTION("""COMPUTED_VALUE"""),3374.4)</f>
        <v>3374.4</v>
      </c>
      <c r="O1474" s="74">
        <f>IFERROR(__xludf.DUMMYFUNCTION("""COMPUTED_VALUE"""),2.0)</f>
        <v>2</v>
      </c>
      <c r="P1474" s="74" t="str">
        <f>IFERROR(__xludf.DUMMYFUNCTION("""COMPUTED_VALUE"""),"In stock")</f>
        <v>In stock</v>
      </c>
      <c r="Q1474" s="74"/>
      <c r="R1474" s="74"/>
      <c r="S1474" s="87">
        <f>IFERROR(__xludf.DUMMYFUNCTION("""COMPUTED_VALUE"""),54.0)</f>
        <v>54</v>
      </c>
      <c r="T1474" s="87">
        <f>IFERROR(__xludf.DUMMYFUNCTION("""COMPUTED_VALUE"""),190.0)</f>
        <v>190</v>
      </c>
      <c r="U1474" s="87">
        <f>IFERROR(__xludf.DUMMYFUNCTION("""COMPUTED_VALUE"""),182.4)</f>
        <v>182.4</v>
      </c>
      <c r="V1474" s="87">
        <f>IFERROR(__xludf.DUMMYFUNCTION("""COMPUTED_VALUE"""),66.15)</f>
        <v>66.15</v>
      </c>
      <c r="W1474" s="87">
        <f>IFERROR(__xludf.DUMMYFUNCTION("""COMPUTED_VALUE"""),1240.3125)</f>
        <v>1240.3125</v>
      </c>
      <c r="X1474" s="88">
        <f>IFERROR(__xludf.DUMMYFUNCTION("""COMPUTED_VALUE"""),3.3777777777777778)</f>
        <v>3.377777778</v>
      </c>
      <c r="Y1474" s="74"/>
      <c r="Z1474" s="74"/>
    </row>
    <row r="1475">
      <c r="B1475" s="74" t="str">
        <f>IFERROR(__xludf.DUMMYFUNCTION("""COMPUTED_VALUE"""),"2473")</f>
        <v>2473</v>
      </c>
      <c r="C1475" s="74" t="str">
        <f>IFERROR(__xludf.DUMMYFUNCTION("""COMPUTED_VALUE"""),"75045892473")</f>
        <v>75045892473</v>
      </c>
      <c r="D1475" s="74"/>
      <c r="E1475" s="74"/>
      <c r="F1475" s="74" t="str">
        <f>IFERROR(__xludf.DUMMYFUNCTION("""COMPUTED_VALUE"""),"TUBO CONERTIDOR SK147MM (MET)-HD157MM 5""x5x500MM")</f>
        <v>TUBO CONERTIDOR SK147MM (MET)-HD157MM 5"x5x500MM</v>
      </c>
      <c r="G1475" s="74"/>
      <c r="H1475" s="74"/>
      <c r="I1475" s="74"/>
      <c r="J1475" s="74"/>
      <c r="K1475" s="74" t="str">
        <f>IFERROR(__xludf.DUMMYFUNCTION("""COMPUTED_VALUE"""),"Tuberia")</f>
        <v>Tuberia</v>
      </c>
      <c r="L1475" s="74" t="str">
        <f>IFERROR(__xludf.DUMMYFUNCTION("""COMPUTED_VALUE"""),"TUBERIA ACERO")</f>
        <v>TUBERIA ACERO</v>
      </c>
      <c r="M1475" s="74" t="str">
        <f>IFERROR(__xludf.DUMMYFUNCTION("""COMPUTED_VALUE"""),"TUBOS")</f>
        <v>TUBOS</v>
      </c>
      <c r="N1475" s="87">
        <f>IFERROR(__xludf.DUMMYFUNCTION("""COMPUTED_VALUE"""),0.0)</f>
        <v>0</v>
      </c>
      <c r="O1475" s="74"/>
      <c r="P1475" s="74" t="str">
        <f>IFERROR(__xludf.DUMMYFUNCTION("""COMPUTED_VALUE"""),"To Re-purchase")</f>
        <v>To Re-purchase</v>
      </c>
      <c r="Q1475" s="74"/>
      <c r="R1475" s="74"/>
      <c r="S1475" s="87">
        <f>IFERROR(__xludf.DUMMYFUNCTION("""COMPUTED_VALUE"""),0.0)</f>
        <v>0</v>
      </c>
      <c r="T1475" s="87">
        <f>IFERROR(__xludf.DUMMYFUNCTION("""COMPUTED_VALUE"""),0.0)</f>
        <v>0</v>
      </c>
      <c r="U1475" s="87">
        <f>IFERROR(__xludf.DUMMYFUNCTION("""COMPUTED_VALUE"""),0.0)</f>
        <v>0</v>
      </c>
      <c r="V1475" s="87">
        <f>IFERROR(__xludf.DUMMYFUNCTION("""COMPUTED_VALUE"""),0.0)</f>
        <v>0</v>
      </c>
      <c r="W1475" s="87">
        <f>IFERROR(__xludf.DUMMYFUNCTION("""COMPUTED_VALUE"""),0.0)</f>
        <v>0</v>
      </c>
      <c r="X1475" s="88"/>
      <c r="Y1475" s="74"/>
      <c r="Z1475" s="74"/>
    </row>
    <row r="1476">
      <c r="B1476" s="74" t="str">
        <f>IFERROR(__xludf.DUMMYFUNCTION("""COMPUTED_VALUE"""),"2474")</f>
        <v>2474</v>
      </c>
      <c r="C1476" s="74" t="str">
        <f>IFERROR(__xludf.DUMMYFUNCTION("""COMPUTED_VALUE"""),"75045892474")</f>
        <v>75045892474</v>
      </c>
      <c r="D1476" s="74"/>
      <c r="E1476" s="74" t="str">
        <f>IFERROR(__xludf.DUMMYFUNCTION("""COMPUTED_VALUE"""),"PISTON RAM DN180")</f>
        <v>PISTON RAM DN180</v>
      </c>
      <c r="F1476" s="74" t="str">
        <f>IFERROR(__xludf.DUMMYFUNCTION("""COMPUTED_VALUE"""),"EMBOLO DN180 PIVOTE")</f>
        <v>EMBOLO DN180 PIVOTE</v>
      </c>
      <c r="G1476" s="74"/>
      <c r="H1476" s="74"/>
      <c r="I1476" s="74" t="str">
        <f>IFERROR(__xludf.DUMMYFUNCTION("""COMPUTED_VALUE"""),"10007943")</f>
        <v>10007943</v>
      </c>
      <c r="J1476" s="74"/>
      <c r="K1476" s="74" t="str">
        <f>IFERROR(__xludf.DUMMYFUNCTION("""COMPUTED_VALUE"""),"Schwing")</f>
        <v>Schwing</v>
      </c>
      <c r="L1476" s="74"/>
      <c r="M1476" s="74" t="str">
        <f>IFERROR(__xludf.DUMMYFUNCTION("""COMPUTED_VALUE"""),"Sin Asignar")</f>
        <v>Sin Asignar</v>
      </c>
      <c r="N1476" s="87">
        <f>IFERROR(__xludf.DUMMYFUNCTION("""COMPUTED_VALUE"""),0.0)</f>
        <v>0</v>
      </c>
      <c r="O1476" s="74"/>
      <c r="P1476" s="74" t="str">
        <f>IFERROR(__xludf.DUMMYFUNCTION("""COMPUTED_VALUE"""),"To Re-purchase")</f>
        <v>To Re-purchase</v>
      </c>
      <c r="Q1476" s="74"/>
      <c r="R1476" s="74"/>
      <c r="S1476" s="87">
        <f>IFERROR(__xludf.DUMMYFUNCTION("""COMPUTED_VALUE"""),0.0)</f>
        <v>0</v>
      </c>
      <c r="T1476" s="87">
        <f>IFERROR(__xludf.DUMMYFUNCTION("""COMPUTED_VALUE"""),0.0)</f>
        <v>0</v>
      </c>
      <c r="U1476" s="87">
        <f>IFERROR(__xludf.DUMMYFUNCTION("""COMPUTED_VALUE"""),0.0)</f>
        <v>0</v>
      </c>
      <c r="V1476" s="87">
        <f>IFERROR(__xludf.DUMMYFUNCTION("""COMPUTED_VALUE"""),0.0)</f>
        <v>0</v>
      </c>
      <c r="W1476" s="87">
        <f>IFERROR(__xludf.DUMMYFUNCTION("""COMPUTED_VALUE"""),0.0)</f>
        <v>0</v>
      </c>
      <c r="X1476" s="88"/>
      <c r="Y1476" s="74"/>
      <c r="Z1476" s="74"/>
    </row>
    <row r="1477">
      <c r="B1477" s="74" t="str">
        <f>IFERROR(__xludf.DUMMYFUNCTION("""COMPUTED_VALUE"""),"2475")</f>
        <v>2475</v>
      </c>
      <c r="C1477" s="74" t="str">
        <f>IFERROR(__xludf.DUMMYFUNCTION("""COMPUTED_VALUE"""),"75045892475")</f>
        <v>75045892475</v>
      </c>
      <c r="D1477" s="74"/>
      <c r="E1477" s="74" t="str">
        <f>IFERROR(__xludf.DUMMYFUNCTION("""COMPUTED_VALUE"""),"COUPLING 17,5x50x48")</f>
        <v>COUPLING 17,5x50x48</v>
      </c>
      <c r="F1477" s="74" t="str">
        <f>IFERROR(__xludf.DUMMYFUNCTION("""COMPUTED_VALUE"""),"COPLE BOMBA HIDRAULICA A2FO12")</f>
        <v>COPLE BOMBA HIDRAULICA A2FO12</v>
      </c>
      <c r="G1477" s="74"/>
      <c r="H1477" s="74"/>
      <c r="I1477" s="74" t="str">
        <f>IFERROR(__xludf.DUMMYFUNCTION("""COMPUTED_VALUE"""),"10033393")</f>
        <v>10033393</v>
      </c>
      <c r="J1477" s="74"/>
      <c r="K1477" s="74" t="str">
        <f>IFERROR(__xludf.DUMMYFUNCTION("""COMPUTED_VALUE"""),"Schwing")</f>
        <v>Schwing</v>
      </c>
      <c r="L1477" s="74"/>
      <c r="M1477" s="74" t="str">
        <f>IFERROR(__xludf.DUMMYFUNCTION("""COMPUTED_VALUE"""),"Sin Asignar")</f>
        <v>Sin Asignar</v>
      </c>
      <c r="N1477" s="87">
        <f>IFERROR(__xludf.DUMMYFUNCTION("""COMPUTED_VALUE"""),0.0)</f>
        <v>0</v>
      </c>
      <c r="O1477" s="74"/>
      <c r="P1477" s="74" t="str">
        <f>IFERROR(__xludf.DUMMYFUNCTION("""COMPUTED_VALUE"""),"To Re-purchase")</f>
        <v>To Re-purchase</v>
      </c>
      <c r="Q1477" s="74"/>
      <c r="R1477" s="74"/>
      <c r="S1477" s="87">
        <f>IFERROR(__xludf.DUMMYFUNCTION("""COMPUTED_VALUE"""),0.0)</f>
        <v>0</v>
      </c>
      <c r="T1477" s="87">
        <f>IFERROR(__xludf.DUMMYFUNCTION("""COMPUTED_VALUE"""),0.0)</f>
        <v>0</v>
      </c>
      <c r="U1477" s="87">
        <f>IFERROR(__xludf.DUMMYFUNCTION("""COMPUTED_VALUE"""),0.0)</f>
        <v>0</v>
      </c>
      <c r="V1477" s="87">
        <f>IFERROR(__xludf.DUMMYFUNCTION("""COMPUTED_VALUE"""),0.0)</f>
        <v>0</v>
      </c>
      <c r="W1477" s="87">
        <f>IFERROR(__xludf.DUMMYFUNCTION("""COMPUTED_VALUE"""),0.0)</f>
        <v>0</v>
      </c>
      <c r="X1477" s="88"/>
      <c r="Y1477" s="74"/>
      <c r="Z1477" s="74"/>
    </row>
    <row r="1478">
      <c r="B1478" s="74" t="str">
        <f>IFERROR(__xludf.DUMMYFUNCTION("""COMPUTED_VALUE"""),"2476")</f>
        <v>2476</v>
      </c>
      <c r="C1478" s="74" t="str">
        <f>IFERROR(__xludf.DUMMYFUNCTION("""COMPUTED_VALUE"""),"75045880538")</f>
        <v>75045880538</v>
      </c>
      <c r="D1478" s="74"/>
      <c r="E1478" s="74" t="str">
        <f>IFERROR(__xludf.DUMMYFUNCTION("""COMPUTED_VALUE"""),"WAY VALVE 4/2")</f>
        <v>WAY VALVE 4/2</v>
      </c>
      <c r="F1478" s="74" t="str">
        <f>IFERROR(__xludf.DUMMYFUNCTION("""COMPUTED_VALUE"""),"VALVULA EMBRAGUE (ENQUINTAR) 4/2 VIAS")</f>
        <v>VALVULA EMBRAGUE (ENQUINTAR) 4/2 VIAS</v>
      </c>
      <c r="G1478" s="74"/>
      <c r="H1478" s="74"/>
      <c r="I1478" s="74" t="str">
        <f>IFERROR(__xludf.DUMMYFUNCTION("""COMPUTED_VALUE"""),"10003149")</f>
        <v>10003149</v>
      </c>
      <c r="J1478" s="74"/>
      <c r="K1478" s="74" t="str">
        <f>IFERROR(__xludf.DUMMYFUNCTION("""COMPUTED_VALUE"""),"Schwing")</f>
        <v>Schwing</v>
      </c>
      <c r="L1478" s="74"/>
      <c r="M1478" s="74" t="str">
        <f>IFERROR(__xludf.DUMMYFUNCTION("""COMPUTED_VALUE"""),"Sin Asignar")</f>
        <v>Sin Asignar</v>
      </c>
      <c r="N1478" s="87">
        <f>IFERROR(__xludf.DUMMYFUNCTION("""COMPUTED_VALUE"""),0.0)</f>
        <v>0</v>
      </c>
      <c r="O1478" s="74"/>
      <c r="P1478" s="74" t="str">
        <f>IFERROR(__xludf.DUMMYFUNCTION("""COMPUTED_VALUE"""),"To Re-purchase")</f>
        <v>To Re-purchase</v>
      </c>
      <c r="Q1478" s="74"/>
      <c r="R1478" s="74"/>
      <c r="S1478" s="87">
        <f>IFERROR(__xludf.DUMMYFUNCTION("""COMPUTED_VALUE"""),0.0)</f>
        <v>0</v>
      </c>
      <c r="T1478" s="87">
        <f>IFERROR(__xludf.DUMMYFUNCTION("""COMPUTED_VALUE"""),0.0)</f>
        <v>0</v>
      </c>
      <c r="U1478" s="87">
        <f>IFERROR(__xludf.DUMMYFUNCTION("""COMPUTED_VALUE"""),0.0)</f>
        <v>0</v>
      </c>
      <c r="V1478" s="87">
        <f>IFERROR(__xludf.DUMMYFUNCTION("""COMPUTED_VALUE"""),0.0)</f>
        <v>0</v>
      </c>
      <c r="W1478" s="87">
        <f>IFERROR(__xludf.DUMMYFUNCTION("""COMPUTED_VALUE"""),0.0)</f>
        <v>0</v>
      </c>
      <c r="X1478" s="88"/>
      <c r="Y1478" s="74"/>
      <c r="Z1478" s="74"/>
    </row>
    <row r="1479">
      <c r="B1479" s="74" t="str">
        <f>IFERROR(__xludf.DUMMYFUNCTION("""COMPUTED_VALUE"""),"2477")</f>
        <v>2477</v>
      </c>
      <c r="C1479" s="74" t="str">
        <f>IFERROR(__xludf.DUMMYFUNCTION("""COMPUTED_VALUE"""),"75045892477")</f>
        <v>75045892477</v>
      </c>
      <c r="D1479" s="74"/>
      <c r="E1479" s="74" t="str">
        <f>IFERROR(__xludf.DUMMYFUNCTION("""COMPUTED_VALUE"""),"ELECTRIC GREASE PUMP 12V")</f>
        <v>ELECTRIC GREASE PUMP 12V</v>
      </c>
      <c r="F1479" s="74" t="str">
        <f>IFERROR(__xludf.DUMMYFUNCTION("""COMPUTED_VALUE"""),"ENGRASADORA AUTOMATICA 12V")</f>
        <v>ENGRASADORA AUTOMATICA 12V</v>
      </c>
      <c r="G1479" s="74"/>
      <c r="H1479" s="74"/>
      <c r="I1479" s="74" t="str">
        <f>IFERROR(__xludf.DUMMYFUNCTION("""COMPUTED_VALUE"""),"A026031-12")</f>
        <v>A026031-12</v>
      </c>
      <c r="J1479" s="74"/>
      <c r="K1479" s="74" t="str">
        <f>IFERROR(__xludf.DUMMYFUNCTION("""COMPUTED_VALUE"""),"Putzmeister")</f>
        <v>Putzmeister</v>
      </c>
      <c r="L1479" s="74"/>
      <c r="M1479" s="74" t="str">
        <f>IFERROR(__xludf.DUMMYFUNCTION("""COMPUTED_VALUE"""),"Sin Asignar")</f>
        <v>Sin Asignar</v>
      </c>
      <c r="N1479" s="87">
        <f>IFERROR(__xludf.DUMMYFUNCTION("""COMPUTED_VALUE"""),0.0)</f>
        <v>0</v>
      </c>
      <c r="O1479" s="74"/>
      <c r="P1479" s="74" t="str">
        <f>IFERROR(__xludf.DUMMYFUNCTION("""COMPUTED_VALUE"""),"To Re-purchase")</f>
        <v>To Re-purchase</v>
      </c>
      <c r="Q1479" s="74"/>
      <c r="R1479" s="74"/>
      <c r="S1479" s="87">
        <f>IFERROR(__xludf.DUMMYFUNCTION("""COMPUTED_VALUE"""),0.0)</f>
        <v>0</v>
      </c>
      <c r="T1479" s="87">
        <f>IFERROR(__xludf.DUMMYFUNCTION("""COMPUTED_VALUE"""),0.0)</f>
        <v>0</v>
      </c>
      <c r="U1479" s="87">
        <f>IFERROR(__xludf.DUMMYFUNCTION("""COMPUTED_VALUE"""),0.0)</f>
        <v>0</v>
      </c>
      <c r="V1479" s="87">
        <f>IFERROR(__xludf.DUMMYFUNCTION("""COMPUTED_VALUE"""),0.0)</f>
        <v>0</v>
      </c>
      <c r="W1479" s="87">
        <f>IFERROR(__xludf.DUMMYFUNCTION("""COMPUTED_VALUE"""),0.0)</f>
        <v>0</v>
      </c>
      <c r="X1479" s="88"/>
      <c r="Y1479" s="74"/>
      <c r="Z1479" s="74"/>
    </row>
    <row r="1480">
      <c r="B1480" s="74" t="str">
        <f>IFERROR(__xludf.DUMMYFUNCTION("""COMPUTED_VALUE"""),"2478")</f>
        <v>2478</v>
      </c>
      <c r="C1480" s="74" t="str">
        <f>IFERROR(__xludf.DUMMYFUNCTION("""COMPUTED_VALUE"""),"75045892478")</f>
        <v>75045892478</v>
      </c>
      <c r="D1480" s="74"/>
      <c r="E1480" s="74" t="str">
        <f>IFERROR(__xludf.DUMMYFUNCTION("""COMPUTED_VALUE"""),"FILTER ELEMENT")</f>
        <v>FILTER ELEMENT</v>
      </c>
      <c r="F1480" s="74" t="str">
        <f>IFERROR(__xludf.DUMMYFUNCTION("""COMPUTED_VALUE"""),"FILTRO HIDRAULICO")</f>
        <v>FILTRO HIDRAULICO</v>
      </c>
      <c r="G1480" s="74"/>
      <c r="H1480" s="74"/>
      <c r="I1480" s="74" t="str">
        <f>IFERROR(__xludf.DUMMYFUNCTION("""COMPUTED_VALUE"""),"273827007")</f>
        <v>273827007</v>
      </c>
      <c r="J1480" s="74"/>
      <c r="K1480" s="74" t="str">
        <f>IFERROR(__xludf.DUMMYFUNCTION("""COMPUTED_VALUE"""),"Putzmeister")</f>
        <v>Putzmeister</v>
      </c>
      <c r="L1480" s="74"/>
      <c r="M1480" s="74" t="str">
        <f>IFERROR(__xludf.DUMMYFUNCTION("""COMPUTED_VALUE"""),"Sin Asignar")</f>
        <v>Sin Asignar</v>
      </c>
      <c r="N1480" s="87">
        <f>IFERROR(__xludf.DUMMYFUNCTION("""COMPUTED_VALUE"""),0.0)</f>
        <v>0</v>
      </c>
      <c r="O1480" s="74"/>
      <c r="P1480" s="74" t="str">
        <f>IFERROR(__xludf.DUMMYFUNCTION("""COMPUTED_VALUE"""),"To Re-purchase")</f>
        <v>To Re-purchase</v>
      </c>
      <c r="Q1480" s="74"/>
      <c r="R1480" s="74"/>
      <c r="S1480" s="87">
        <f>IFERROR(__xludf.DUMMYFUNCTION("""COMPUTED_VALUE"""),0.0)</f>
        <v>0</v>
      </c>
      <c r="T1480" s="87">
        <f>IFERROR(__xludf.DUMMYFUNCTION("""COMPUTED_VALUE"""),0.0)</f>
        <v>0</v>
      </c>
      <c r="U1480" s="87">
        <f>IFERROR(__xludf.DUMMYFUNCTION("""COMPUTED_VALUE"""),0.0)</f>
        <v>0</v>
      </c>
      <c r="V1480" s="87">
        <f>IFERROR(__xludf.DUMMYFUNCTION("""COMPUTED_VALUE"""),0.0)</f>
        <v>0</v>
      </c>
      <c r="W1480" s="87">
        <f>IFERROR(__xludf.DUMMYFUNCTION("""COMPUTED_VALUE"""),0.0)</f>
        <v>0</v>
      </c>
      <c r="X1480" s="88"/>
      <c r="Y1480" s="74"/>
      <c r="Z1480" s="74"/>
    </row>
    <row r="1481">
      <c r="B1481" s="74" t="str">
        <f>IFERROR(__xludf.DUMMYFUNCTION("""COMPUTED_VALUE"""),"2479")</f>
        <v>2479</v>
      </c>
      <c r="C1481" s="74" t="str">
        <f>IFERROR(__xludf.DUMMYFUNCTION("""COMPUTED_VALUE"""),"75045892479")</f>
        <v>75045892479</v>
      </c>
      <c r="D1481" s="74"/>
      <c r="E1481" s="74" t="str">
        <f>IFERROR(__xludf.DUMMYFUNCTION("""COMPUTED_VALUE"""),"HYDRAULIC PUMP A4VG180 HD")</f>
        <v>HYDRAULIC PUMP A4VG180 HD</v>
      </c>
      <c r="F1481" s="74" t="str">
        <f>IFERROR(__xludf.DUMMYFUNCTION("""COMPUTED_VALUE"""),"BOMBA HIDRAULICA A4VG180 HD")</f>
        <v>BOMBA HIDRAULICA A4VG180 HD</v>
      </c>
      <c r="G1481" s="74"/>
      <c r="H1481" s="74"/>
      <c r="I1481" s="74"/>
      <c r="J1481" s="74"/>
      <c r="K1481" s="74" t="str">
        <f>IFERROR(__xludf.DUMMYFUNCTION("""COMPUTED_VALUE"""),"Putzmeister")</f>
        <v>Putzmeister</v>
      </c>
      <c r="L1481" s="74"/>
      <c r="M1481" s="74" t="str">
        <f>IFERROR(__xludf.DUMMYFUNCTION("""COMPUTED_VALUE"""),"Sin Asignar")</f>
        <v>Sin Asignar</v>
      </c>
      <c r="N1481" s="87">
        <f>IFERROR(__xludf.DUMMYFUNCTION("""COMPUTED_VALUE"""),0.0)</f>
        <v>0</v>
      </c>
      <c r="O1481" s="74"/>
      <c r="P1481" s="74" t="str">
        <f>IFERROR(__xludf.DUMMYFUNCTION("""COMPUTED_VALUE"""),"To Re-purchase")</f>
        <v>To Re-purchase</v>
      </c>
      <c r="Q1481" s="74"/>
      <c r="R1481" s="74"/>
      <c r="S1481" s="87">
        <f>IFERROR(__xludf.DUMMYFUNCTION("""COMPUTED_VALUE"""),0.0)</f>
        <v>0</v>
      </c>
      <c r="T1481" s="87">
        <f>IFERROR(__xludf.DUMMYFUNCTION("""COMPUTED_VALUE"""),0.0)</f>
        <v>0</v>
      </c>
      <c r="U1481" s="87">
        <f>IFERROR(__xludf.DUMMYFUNCTION("""COMPUTED_VALUE"""),0.0)</f>
        <v>0</v>
      </c>
      <c r="V1481" s="87">
        <f>IFERROR(__xludf.DUMMYFUNCTION("""COMPUTED_VALUE"""),0.0)</f>
        <v>0</v>
      </c>
      <c r="W1481" s="87">
        <f>IFERROR(__xludf.DUMMYFUNCTION("""COMPUTED_VALUE"""),0.0)</f>
        <v>0</v>
      </c>
      <c r="X1481" s="88"/>
      <c r="Y1481" s="74"/>
      <c r="Z1481" s="74"/>
    </row>
    <row r="1482">
      <c r="B1482" s="74" t="str">
        <f>IFERROR(__xludf.DUMMYFUNCTION("""COMPUTED_VALUE"""),"2480")</f>
        <v>2480</v>
      </c>
      <c r="C1482" s="74" t="str">
        <f>IFERROR(__xludf.DUMMYFUNCTION("""COMPUTED_VALUE"""),"75045892480")</f>
        <v>75045892480</v>
      </c>
      <c r="D1482" s="74"/>
      <c r="E1482" s="74"/>
      <c r="F1482" s="74" t="str">
        <f>IFERROR(__xludf.DUMMYFUNCTION("""COMPUTED_VALUE"""),"KIT SELLOS PARA BOMBA HIDRAULICA")</f>
        <v>KIT SELLOS PARA BOMBA HIDRAULICA</v>
      </c>
      <c r="G1482" s="74"/>
      <c r="H1482" s="74"/>
      <c r="I1482" s="74" t="str">
        <f>IFERROR(__xludf.DUMMYFUNCTION("""COMPUTED_VALUE"""),"A4VG125-SK")</f>
        <v>A4VG125-SK</v>
      </c>
      <c r="J1482" s="74"/>
      <c r="K1482" s="74" t="str">
        <f>IFERROR(__xludf.DUMMYFUNCTION("""COMPUTED_VALUE"""),"Putzmeister")</f>
        <v>Putzmeister</v>
      </c>
      <c r="L1482" s="74"/>
      <c r="M1482" s="74" t="str">
        <f>IFERROR(__xludf.DUMMYFUNCTION("""COMPUTED_VALUE"""),"Sin Asignar")</f>
        <v>Sin Asignar</v>
      </c>
      <c r="N1482" s="87">
        <f>IFERROR(__xludf.DUMMYFUNCTION("""COMPUTED_VALUE"""),0.0)</f>
        <v>0</v>
      </c>
      <c r="O1482" s="74"/>
      <c r="P1482" s="74" t="str">
        <f>IFERROR(__xludf.DUMMYFUNCTION("""COMPUTED_VALUE"""),"To Re-purchase")</f>
        <v>To Re-purchase</v>
      </c>
      <c r="Q1482" s="74"/>
      <c r="R1482" s="74"/>
      <c r="S1482" s="87">
        <f>IFERROR(__xludf.DUMMYFUNCTION("""COMPUTED_VALUE"""),0.0)</f>
        <v>0</v>
      </c>
      <c r="T1482" s="87">
        <f>IFERROR(__xludf.DUMMYFUNCTION("""COMPUTED_VALUE"""),0.0)</f>
        <v>0</v>
      </c>
      <c r="U1482" s="87">
        <f>IFERROR(__xludf.DUMMYFUNCTION("""COMPUTED_VALUE"""),0.0)</f>
        <v>0</v>
      </c>
      <c r="V1482" s="87">
        <f>IFERROR(__xludf.DUMMYFUNCTION("""COMPUTED_VALUE"""),0.0)</f>
        <v>0</v>
      </c>
      <c r="W1482" s="87">
        <f>IFERROR(__xludf.DUMMYFUNCTION("""COMPUTED_VALUE"""),0.0)</f>
        <v>0</v>
      </c>
      <c r="X1482" s="88"/>
      <c r="Y1482" s="74"/>
      <c r="Z1482" s="74"/>
    </row>
    <row r="1483">
      <c r="B1483" s="74" t="str">
        <f>IFERROR(__xludf.DUMMYFUNCTION("""COMPUTED_VALUE"""),"2481")</f>
        <v>2481</v>
      </c>
      <c r="C1483" s="74" t="str">
        <f>IFERROR(__xludf.DUMMYFUNCTION("""COMPUTED_VALUE"""),"75045892481")</f>
        <v>75045892481</v>
      </c>
      <c r="D1483" s="74"/>
      <c r="E1483" s="74" t="str">
        <f>IFERROR(__xludf.DUMMYFUNCTION("""COMPUTED_VALUE"""),"SLIDING CLUTCH")</f>
        <v>SLIDING CLUTCH</v>
      </c>
      <c r="F1483" s="74" t="str">
        <f>IFERROR(__xludf.DUMMYFUNCTION("""COMPUTED_VALUE"""),"ENGRANE HORQUILLA SINCRONIZADOR PARA TRANSMISION")</f>
        <v>ENGRANE HORQUILLA SINCRONIZADOR PARA TRANSMISION</v>
      </c>
      <c r="G1483" s="74"/>
      <c r="H1483" s="74"/>
      <c r="I1483" s="74" t="str">
        <f>IFERROR(__xludf.DUMMYFUNCTION("""COMPUTED_VALUE"""),"284943006")</f>
        <v>284943006</v>
      </c>
      <c r="J1483" s="74"/>
      <c r="K1483" s="74" t="str">
        <f>IFERROR(__xludf.DUMMYFUNCTION("""COMPUTED_VALUE"""),"Putzmeister")</f>
        <v>Putzmeister</v>
      </c>
      <c r="L1483" s="74"/>
      <c r="M1483" s="74" t="str">
        <f>IFERROR(__xludf.DUMMYFUNCTION("""COMPUTED_VALUE"""),"Sin Asignar")</f>
        <v>Sin Asignar</v>
      </c>
      <c r="N1483" s="87">
        <f>IFERROR(__xludf.DUMMYFUNCTION("""COMPUTED_VALUE"""),0.0)</f>
        <v>0</v>
      </c>
      <c r="O1483" s="74"/>
      <c r="P1483" s="74" t="str">
        <f>IFERROR(__xludf.DUMMYFUNCTION("""COMPUTED_VALUE"""),"To Re-purchase")</f>
        <v>To Re-purchase</v>
      </c>
      <c r="Q1483" s="74"/>
      <c r="R1483" s="74"/>
      <c r="S1483" s="87">
        <f>IFERROR(__xludf.DUMMYFUNCTION("""COMPUTED_VALUE"""),0.0)</f>
        <v>0</v>
      </c>
      <c r="T1483" s="87">
        <f>IFERROR(__xludf.DUMMYFUNCTION("""COMPUTED_VALUE"""),0.0)</f>
        <v>0</v>
      </c>
      <c r="U1483" s="87">
        <f>IFERROR(__xludf.DUMMYFUNCTION("""COMPUTED_VALUE"""),0.0)</f>
        <v>0</v>
      </c>
      <c r="V1483" s="87">
        <f>IFERROR(__xludf.DUMMYFUNCTION("""COMPUTED_VALUE"""),0.0)</f>
        <v>0</v>
      </c>
      <c r="W1483" s="87">
        <f>IFERROR(__xludf.DUMMYFUNCTION("""COMPUTED_VALUE"""),0.0)</f>
        <v>0</v>
      </c>
      <c r="X1483" s="88"/>
      <c r="Y1483" s="74"/>
      <c r="Z1483" s="74"/>
    </row>
    <row r="1484">
      <c r="B1484" s="74" t="str">
        <f>IFERROR(__xludf.DUMMYFUNCTION("""COMPUTED_VALUE"""),"2482")</f>
        <v>2482</v>
      </c>
      <c r="C1484" s="74" t="str">
        <f>IFERROR(__xludf.DUMMYFUNCTION("""COMPUTED_VALUE"""),"75045892482")</f>
        <v>75045892482</v>
      </c>
      <c r="D1484" s="74"/>
      <c r="E1484" s="74" t="str">
        <f>IFERROR(__xludf.DUMMYFUNCTION("""COMPUTED_VALUE"""),"PUMP SHAFT G61")</f>
        <v>PUMP SHAFT G61</v>
      </c>
      <c r="F1484" s="74" t="str">
        <f>IFERROR(__xludf.DUMMYFUNCTION("""COMPUTED_VALUE"""),"BARRA PARA CAJA DE TRANSFERENCIA MODELO G61")</f>
        <v>BARRA PARA CAJA DE TRANSFERENCIA MODELO G61</v>
      </c>
      <c r="G1484" s="74"/>
      <c r="H1484" s="74"/>
      <c r="I1484" s="74" t="str">
        <f>IFERROR(__xludf.DUMMYFUNCTION("""COMPUTED_VALUE"""),"221076004")</f>
        <v>221076004</v>
      </c>
      <c r="J1484" s="74"/>
      <c r="K1484" s="74" t="str">
        <f>IFERROR(__xludf.DUMMYFUNCTION("""COMPUTED_VALUE"""),"Putzmeister")</f>
        <v>Putzmeister</v>
      </c>
      <c r="L1484" s="74"/>
      <c r="M1484" s="74" t="str">
        <f>IFERROR(__xludf.DUMMYFUNCTION("""COMPUTED_VALUE"""),"Sin Asignar")</f>
        <v>Sin Asignar</v>
      </c>
      <c r="N1484" s="87">
        <f>IFERROR(__xludf.DUMMYFUNCTION("""COMPUTED_VALUE"""),0.0)</f>
        <v>0</v>
      </c>
      <c r="O1484" s="74"/>
      <c r="P1484" s="74" t="str">
        <f>IFERROR(__xludf.DUMMYFUNCTION("""COMPUTED_VALUE"""),"To Re-purchase")</f>
        <v>To Re-purchase</v>
      </c>
      <c r="Q1484" s="74"/>
      <c r="R1484" s="74"/>
      <c r="S1484" s="87">
        <f>IFERROR(__xludf.DUMMYFUNCTION("""COMPUTED_VALUE"""),0.0)</f>
        <v>0</v>
      </c>
      <c r="T1484" s="87">
        <f>IFERROR(__xludf.DUMMYFUNCTION("""COMPUTED_VALUE"""),0.0)</f>
        <v>0</v>
      </c>
      <c r="U1484" s="87">
        <f>IFERROR(__xludf.DUMMYFUNCTION("""COMPUTED_VALUE"""),0.0)</f>
        <v>0</v>
      </c>
      <c r="V1484" s="87">
        <f>IFERROR(__xludf.DUMMYFUNCTION("""COMPUTED_VALUE"""),0.0)</f>
        <v>0</v>
      </c>
      <c r="W1484" s="87">
        <f>IFERROR(__xludf.DUMMYFUNCTION("""COMPUTED_VALUE"""),0.0)</f>
        <v>0</v>
      </c>
      <c r="X1484" s="88"/>
      <c r="Y1484" s="74"/>
      <c r="Z1484" s="74"/>
    </row>
    <row r="1485">
      <c r="B1485" s="74" t="str">
        <f>IFERROR(__xludf.DUMMYFUNCTION("""COMPUTED_VALUE"""),"2483")</f>
        <v>2483</v>
      </c>
      <c r="C1485" s="74" t="str">
        <f>IFERROR(__xludf.DUMMYFUNCTION("""COMPUTED_VALUE"""),"75045892483")</f>
        <v>75045892483</v>
      </c>
      <c r="D1485" s="74"/>
      <c r="E1485" s="74" t="str">
        <f>IFERROR(__xludf.DUMMYFUNCTION("""COMPUTED_VALUE"""),"HOUSING FOR G61 GEAR BOX")</f>
        <v>HOUSING FOR G61 GEAR BOX</v>
      </c>
      <c r="F1485" s="74" t="str">
        <f>IFERROR(__xludf.DUMMYFUNCTION("""COMPUTED_VALUE"""),"CAJA DE TRANSFERENCIA G61")</f>
        <v>CAJA DE TRANSFERENCIA G61</v>
      </c>
      <c r="G1485" s="74"/>
      <c r="H1485" s="74"/>
      <c r="I1485" s="74" t="str">
        <f>IFERROR(__xludf.DUMMYFUNCTION("""COMPUTED_VALUE"""),"222255002")</f>
        <v>222255002</v>
      </c>
      <c r="J1485" s="74"/>
      <c r="K1485" s="74" t="str">
        <f>IFERROR(__xludf.DUMMYFUNCTION("""COMPUTED_VALUE"""),"Putzmeister")</f>
        <v>Putzmeister</v>
      </c>
      <c r="L1485" s="74"/>
      <c r="M1485" s="74" t="str">
        <f>IFERROR(__xludf.DUMMYFUNCTION("""COMPUTED_VALUE"""),"Sin Asignar")</f>
        <v>Sin Asignar</v>
      </c>
      <c r="N1485" s="87">
        <f>IFERROR(__xludf.DUMMYFUNCTION("""COMPUTED_VALUE"""),0.0)</f>
        <v>0</v>
      </c>
      <c r="O1485" s="74"/>
      <c r="P1485" s="74" t="str">
        <f>IFERROR(__xludf.DUMMYFUNCTION("""COMPUTED_VALUE"""),"To Re-purchase")</f>
        <v>To Re-purchase</v>
      </c>
      <c r="Q1485" s="74"/>
      <c r="R1485" s="74"/>
      <c r="S1485" s="87">
        <f>IFERROR(__xludf.DUMMYFUNCTION("""COMPUTED_VALUE"""),0.0)</f>
        <v>0</v>
      </c>
      <c r="T1485" s="87">
        <f>IFERROR(__xludf.DUMMYFUNCTION("""COMPUTED_VALUE"""),0.0)</f>
        <v>0</v>
      </c>
      <c r="U1485" s="87">
        <f>IFERROR(__xludf.DUMMYFUNCTION("""COMPUTED_VALUE"""),0.0)</f>
        <v>0</v>
      </c>
      <c r="V1485" s="87">
        <f>IFERROR(__xludf.DUMMYFUNCTION("""COMPUTED_VALUE"""),0.0)</f>
        <v>0</v>
      </c>
      <c r="W1485" s="87">
        <f>IFERROR(__xludf.DUMMYFUNCTION("""COMPUTED_VALUE"""),0.0)</f>
        <v>0</v>
      </c>
      <c r="X1485" s="88"/>
      <c r="Y1485" s="74"/>
      <c r="Z1485" s="74"/>
    </row>
    <row r="1486">
      <c r="B1486" s="74" t="str">
        <f>IFERROR(__xludf.DUMMYFUNCTION("""COMPUTED_VALUE"""),"2484")</f>
        <v>2484</v>
      </c>
      <c r="C1486" s="74" t="str">
        <f>IFERROR(__xludf.DUMMYFUNCTION("""COMPUTED_VALUE"""),"75045892484")</f>
        <v>75045892484</v>
      </c>
      <c r="D1486" s="74"/>
      <c r="E1486" s="74" t="str">
        <f>IFERROR(__xludf.DUMMYFUNCTION("""COMPUTED_VALUE"""),"SOLENOID VALVE PILOT OPERATED")</f>
        <v>SOLENOID VALVE PILOT OPERATED</v>
      </c>
      <c r="F1486" s="74" t="str">
        <f>IFERROR(__xludf.DUMMYFUNCTION("""COMPUTED_VALUE"""),"ELECTROVALVULA ")</f>
        <v>ELECTROVALVULA </v>
      </c>
      <c r="G1486" s="74"/>
      <c r="H1486" s="74"/>
      <c r="I1486" s="74" t="str">
        <f>IFERROR(__xludf.DUMMYFUNCTION("""COMPUTED_VALUE"""),"P26006")</f>
        <v>P26006</v>
      </c>
      <c r="J1486" s="74" t="str">
        <f>IFERROR(__xludf.DUMMYFUNCTION("""COMPUTED_VALUE"""),"WT8004A1")</f>
        <v>WT8004A1</v>
      </c>
      <c r="K1486" s="74" t="str">
        <f>IFERROR(__xludf.DUMMYFUNCTION("""COMPUTED_VALUE"""),"WAM")</f>
        <v>WAM</v>
      </c>
      <c r="L1486" s="74"/>
      <c r="M1486" s="74" t="str">
        <f>IFERROR(__xludf.DUMMYFUNCTION("""COMPUTED_VALUE"""),"VALVULAS")</f>
        <v>VALVULAS</v>
      </c>
      <c r="N1486" s="87">
        <f>IFERROR(__xludf.DUMMYFUNCTION("""COMPUTED_VALUE"""),0.0)</f>
        <v>0</v>
      </c>
      <c r="O1486" s="74"/>
      <c r="P1486" s="74" t="str">
        <f>IFERROR(__xludf.DUMMYFUNCTION("""COMPUTED_VALUE"""),"To Re-purchase")</f>
        <v>To Re-purchase</v>
      </c>
      <c r="Q1486" s="74"/>
      <c r="R1486" s="74"/>
      <c r="S1486" s="87">
        <f>IFERROR(__xludf.DUMMYFUNCTION("""COMPUTED_VALUE"""),0.0)</f>
        <v>0</v>
      </c>
      <c r="T1486" s="87">
        <f>IFERROR(__xludf.DUMMYFUNCTION("""COMPUTED_VALUE"""),0.0)</f>
        <v>0</v>
      </c>
      <c r="U1486" s="87">
        <f>IFERROR(__xludf.DUMMYFUNCTION("""COMPUTED_VALUE"""),0.0)</f>
        <v>0</v>
      </c>
      <c r="V1486" s="87">
        <f>IFERROR(__xludf.DUMMYFUNCTION("""COMPUTED_VALUE"""),0.0)</f>
        <v>0</v>
      </c>
      <c r="W1486" s="87">
        <f>IFERROR(__xludf.DUMMYFUNCTION("""COMPUTED_VALUE"""),0.0)</f>
        <v>0</v>
      </c>
      <c r="X1486" s="88"/>
      <c r="Y1486" s="74"/>
      <c r="Z1486" s="74"/>
    </row>
    <row r="1487">
      <c r="B1487" s="74" t="str">
        <f>IFERROR(__xludf.DUMMYFUNCTION("""COMPUTED_VALUE"""),"2485")</f>
        <v>2485</v>
      </c>
      <c r="C1487" s="74" t="str">
        <f>IFERROR(__xludf.DUMMYFUNCTION("""COMPUTED_VALUE"""),"75045892485")</f>
        <v>75045892485</v>
      </c>
      <c r="D1487" s="74"/>
      <c r="E1487" s="74" t="str">
        <f>IFERROR(__xludf.DUMMYFUNCTION("""COMPUTED_VALUE"""),"DOUBLE FLANGE BUTTERFLY VALVE WITH CAST IRON DISK")</f>
        <v>DOUBLE FLANGE BUTTERFLY VALVE WITH CAST IRON DISK</v>
      </c>
      <c r="F1487" s="74" t="str">
        <f>IFERROR(__xludf.DUMMYFUNCTION("""COMPUTED_VALUE"""),"VALVULA MARIPOSA 10"" DOBLE BRIDA ")</f>
        <v>VALVULA MARIPOSA 10" DOBLE BRIDA </v>
      </c>
      <c r="G1487" s="74"/>
      <c r="H1487" s="74"/>
      <c r="I1487" s="74" t="str">
        <f>IFERROR(__xludf.DUMMYFUNCTION("""COMPUTED_VALUE"""),"V2FS250GBB")</f>
        <v>V2FS250GBB</v>
      </c>
      <c r="J1487" s="74"/>
      <c r="K1487" s="74" t="str">
        <f>IFERROR(__xludf.DUMMYFUNCTION("""COMPUTED_VALUE"""),"WAM")</f>
        <v>WAM</v>
      </c>
      <c r="L1487" s="74"/>
      <c r="M1487" s="74" t="str">
        <f>IFERROR(__xludf.DUMMYFUNCTION("""COMPUTED_VALUE"""),"VALVULAS")</f>
        <v>VALVULAS</v>
      </c>
      <c r="N1487" s="87">
        <f>IFERROR(__xludf.DUMMYFUNCTION("""COMPUTED_VALUE"""),0.0)</f>
        <v>0</v>
      </c>
      <c r="O1487" s="74"/>
      <c r="P1487" s="74" t="str">
        <f>IFERROR(__xludf.DUMMYFUNCTION("""COMPUTED_VALUE"""),"To Re-purchase")</f>
        <v>To Re-purchase</v>
      </c>
      <c r="Q1487" s="74"/>
      <c r="R1487" s="74"/>
      <c r="S1487" s="87">
        <f>IFERROR(__xludf.DUMMYFUNCTION("""COMPUTED_VALUE"""),0.0)</f>
        <v>0</v>
      </c>
      <c r="T1487" s="87">
        <f>IFERROR(__xludf.DUMMYFUNCTION("""COMPUTED_VALUE"""),0.0)</f>
        <v>0</v>
      </c>
      <c r="U1487" s="87">
        <f>IFERROR(__xludf.DUMMYFUNCTION("""COMPUTED_VALUE"""),0.0)</f>
        <v>0</v>
      </c>
      <c r="V1487" s="87">
        <f>IFERROR(__xludf.DUMMYFUNCTION("""COMPUTED_VALUE"""),0.0)</f>
        <v>0</v>
      </c>
      <c r="W1487" s="87">
        <f>IFERROR(__xludf.DUMMYFUNCTION("""COMPUTED_VALUE"""),0.0)</f>
        <v>0</v>
      </c>
      <c r="X1487" s="88"/>
      <c r="Y1487" s="74"/>
      <c r="Z1487" s="74"/>
    </row>
    <row r="1488">
      <c r="B1488" s="74" t="str">
        <f>IFERROR(__xludf.DUMMYFUNCTION("""COMPUTED_VALUE"""),"2486")</f>
        <v>2486</v>
      </c>
      <c r="C1488" s="74"/>
      <c r="D1488" s="74"/>
      <c r="E1488" s="74"/>
      <c r="F1488" s="74" t="str">
        <f>IFERROR(__xludf.DUMMYFUNCTION("""COMPUTED_VALUE"""),"VALVULA MARIPOSA 10"" CON ACTUADOR ")</f>
        <v>VALVULA MARIPOSA 10" CON ACTUADOR </v>
      </c>
      <c r="G1488" s="74"/>
      <c r="H1488" s="74"/>
      <c r="I1488" s="74" t="str">
        <f>IFERROR(__xludf.DUMMYFUNCTION("""COMPUTED_VALUE"""),"PBV-101B")</f>
        <v>PBV-101B</v>
      </c>
      <c r="J1488" s="74"/>
      <c r="K1488" s="74" t="str">
        <f>IFERROR(__xludf.DUMMYFUNCTION("""COMPUTED_VALUE"""),"WAM")</f>
        <v>WAM</v>
      </c>
      <c r="L1488" s="74"/>
      <c r="M1488" s="74" t="str">
        <f>IFERROR(__xludf.DUMMYFUNCTION("""COMPUTED_VALUE"""),"VALVULAS")</f>
        <v>VALVULAS</v>
      </c>
      <c r="N1488" s="87">
        <f>IFERROR(__xludf.DUMMYFUNCTION("""COMPUTED_VALUE"""),0.0)</f>
        <v>0</v>
      </c>
      <c r="O1488" s="74"/>
      <c r="P1488" s="74" t="str">
        <f>IFERROR(__xludf.DUMMYFUNCTION("""COMPUTED_VALUE"""),"To Re-purchase")</f>
        <v>To Re-purchase</v>
      </c>
      <c r="Q1488" s="74"/>
      <c r="R1488" s="74"/>
      <c r="S1488" s="87">
        <f>IFERROR(__xludf.DUMMYFUNCTION("""COMPUTED_VALUE"""),0.0)</f>
        <v>0</v>
      </c>
      <c r="T1488" s="87">
        <f>IFERROR(__xludf.DUMMYFUNCTION("""COMPUTED_VALUE"""),0.0)</f>
        <v>0</v>
      </c>
      <c r="U1488" s="87">
        <f>IFERROR(__xludf.DUMMYFUNCTION("""COMPUTED_VALUE"""),0.0)</f>
        <v>0</v>
      </c>
      <c r="V1488" s="87">
        <f>IFERROR(__xludf.DUMMYFUNCTION("""COMPUTED_VALUE"""),0.0)</f>
        <v>0</v>
      </c>
      <c r="W1488" s="87">
        <f>IFERROR(__xludf.DUMMYFUNCTION("""COMPUTED_VALUE"""),0.0)</f>
        <v>0</v>
      </c>
      <c r="X1488" s="88"/>
      <c r="Y1488" s="74"/>
      <c r="Z1488" s="74"/>
    </row>
    <row r="1489">
      <c r="B1489" s="74" t="str">
        <f>IFERROR(__xludf.DUMMYFUNCTION("""COMPUTED_VALUE"""),"2487")</f>
        <v>2487</v>
      </c>
      <c r="C1489" s="74" t="str">
        <f>IFERROR(__xludf.DUMMYFUNCTION("""COMPUTED_VALUE"""),"75045892487")</f>
        <v>75045892487</v>
      </c>
      <c r="D1489" s="74"/>
      <c r="E1489" s="74" t="str">
        <f>IFERROR(__xludf.DUMMYFUNCTION("""COMPUTED_VALUE"""),"8"" SINGLE FLANGE BUTTERFLY VALVE ")</f>
        <v>8" SINGLE FLANGE BUTTERFLY VALVE </v>
      </c>
      <c r="F1489" s="74" t="str">
        <f>IFERROR(__xludf.DUMMYFUNCTION("""COMPUTED_VALUE"""),"VALVULA MARIPOSA 8""BRIDA SIMPLE")</f>
        <v>VALVULA MARIPOSA 8"BRIDA SIMPLE</v>
      </c>
      <c r="G1489" s="74"/>
      <c r="H1489" s="74"/>
      <c r="I1489" s="74" t="str">
        <f>IFERROR(__xludf.DUMMYFUNCTION("""COMPUTED_VALUE"""),"V1FS200GBB")</f>
        <v>V1FS200GBB</v>
      </c>
      <c r="J1489" s="74"/>
      <c r="K1489" s="74" t="str">
        <f>IFERROR(__xludf.DUMMYFUNCTION("""COMPUTED_VALUE"""),"WAM")</f>
        <v>WAM</v>
      </c>
      <c r="L1489" s="74"/>
      <c r="M1489" s="74" t="str">
        <f>IFERROR(__xludf.DUMMYFUNCTION("""COMPUTED_VALUE"""),"VALVULAS")</f>
        <v>VALVULAS</v>
      </c>
      <c r="N1489" s="87">
        <f>IFERROR(__xludf.DUMMYFUNCTION("""COMPUTED_VALUE"""),0.0)</f>
        <v>0</v>
      </c>
      <c r="O1489" s="74"/>
      <c r="P1489" s="74" t="str">
        <f>IFERROR(__xludf.DUMMYFUNCTION("""COMPUTED_VALUE"""),"To Re-purchase")</f>
        <v>To Re-purchase</v>
      </c>
      <c r="Q1489" s="74"/>
      <c r="R1489" s="74"/>
      <c r="S1489" s="87">
        <f>IFERROR(__xludf.DUMMYFUNCTION("""COMPUTED_VALUE"""),0.0)</f>
        <v>0</v>
      </c>
      <c r="T1489" s="87">
        <f>IFERROR(__xludf.DUMMYFUNCTION("""COMPUTED_VALUE"""),0.0)</f>
        <v>0</v>
      </c>
      <c r="U1489" s="87">
        <f>IFERROR(__xludf.DUMMYFUNCTION("""COMPUTED_VALUE"""),0.0)</f>
        <v>0</v>
      </c>
      <c r="V1489" s="87">
        <f>IFERROR(__xludf.DUMMYFUNCTION("""COMPUTED_VALUE"""),0.0)</f>
        <v>0</v>
      </c>
      <c r="W1489" s="87">
        <f>IFERROR(__xludf.DUMMYFUNCTION("""COMPUTED_VALUE"""),0.0)</f>
        <v>0</v>
      </c>
      <c r="X1489" s="88"/>
      <c r="Y1489" s="74"/>
      <c r="Z1489" s="74"/>
    </row>
    <row r="1490">
      <c r="B1490" s="74" t="str">
        <f>IFERROR(__xludf.DUMMYFUNCTION("""COMPUTED_VALUE"""),"2488")</f>
        <v>2488</v>
      </c>
      <c r="C1490" s="74" t="str">
        <f>IFERROR(__xludf.DUMMYFUNCTION("""COMPUTED_VALUE"""),"75045892488")</f>
        <v>75045892488</v>
      </c>
      <c r="D1490" s="74"/>
      <c r="E1490" s="74" t="str">
        <f>IFERROR(__xludf.DUMMYFUNCTION("""COMPUTED_VALUE"""),"U - FLUIDIZATION NOZZLES")</f>
        <v>U - FLUIDIZATION NOZZLES</v>
      </c>
      <c r="F1490" s="74" t="str">
        <f>IFERROR(__xludf.DUMMYFUNCTION("""COMPUTED_VALUE"""),"AIRADOR PARA SILO DE CEMENTO")</f>
        <v>AIRADOR PARA SILO DE CEMENTO</v>
      </c>
      <c r="G1490" s="74"/>
      <c r="H1490" s="74"/>
      <c r="I1490" s="74" t="str">
        <f>IFERROR(__xludf.DUMMYFUNCTION("""COMPUTED_VALUE"""),"U0251")</f>
        <v>U0251</v>
      </c>
      <c r="J1490" s="74"/>
      <c r="K1490" s="74" t="str">
        <f>IFERROR(__xludf.DUMMYFUNCTION("""COMPUTED_VALUE"""),"WAM")</f>
        <v>WAM</v>
      </c>
      <c r="L1490" s="74"/>
      <c r="M1490" s="74" t="str">
        <f>IFERROR(__xludf.DUMMYFUNCTION("""COMPUTED_VALUE"""),"Sin Asignar")</f>
        <v>Sin Asignar</v>
      </c>
      <c r="N1490" s="87">
        <f>IFERROR(__xludf.DUMMYFUNCTION("""COMPUTED_VALUE"""),0.0)</f>
        <v>0</v>
      </c>
      <c r="O1490" s="74"/>
      <c r="P1490" s="74" t="str">
        <f>IFERROR(__xludf.DUMMYFUNCTION("""COMPUTED_VALUE"""),"To Re-purchase")</f>
        <v>To Re-purchase</v>
      </c>
      <c r="Q1490" s="74"/>
      <c r="R1490" s="74"/>
      <c r="S1490" s="87">
        <f>IFERROR(__xludf.DUMMYFUNCTION("""COMPUTED_VALUE"""),0.0)</f>
        <v>0</v>
      </c>
      <c r="T1490" s="87">
        <f>IFERROR(__xludf.DUMMYFUNCTION("""COMPUTED_VALUE"""),0.0)</f>
        <v>0</v>
      </c>
      <c r="U1490" s="87">
        <f>IFERROR(__xludf.DUMMYFUNCTION("""COMPUTED_VALUE"""),0.0)</f>
        <v>0</v>
      </c>
      <c r="V1490" s="87">
        <f>IFERROR(__xludf.DUMMYFUNCTION("""COMPUTED_VALUE"""),0.0)</f>
        <v>0</v>
      </c>
      <c r="W1490" s="87">
        <f>IFERROR(__xludf.DUMMYFUNCTION("""COMPUTED_VALUE"""),0.0)</f>
        <v>0</v>
      </c>
      <c r="X1490" s="88"/>
      <c r="Y1490" s="74"/>
      <c r="Z1490" s="74"/>
    </row>
    <row r="1491">
      <c r="B1491" s="74" t="str">
        <f>IFERROR(__xludf.DUMMYFUNCTION("""COMPUTED_VALUE"""),"2489")</f>
        <v>2489</v>
      </c>
      <c r="C1491" s="74" t="str">
        <f>IFERROR(__xludf.DUMMYFUNCTION("""COMPUTED_VALUE"""),"75045892489")</f>
        <v>75045892489</v>
      </c>
      <c r="D1491" s="74"/>
      <c r="E1491" s="74" t="str">
        <f>IFERROR(__xludf.DUMMYFUNCTION("""COMPUTED_VALUE"""),"6"" MEDIUM WASH OUT BALL")</f>
        <v>6" MEDIUM WASH OUT BALL</v>
      </c>
      <c r="F1491" s="74" t="str">
        <f>IFERROR(__xludf.DUMMYFUNCTION("""COMPUTED_VALUE"""),"PELOTA DE LIMPIEZA 6""")</f>
        <v>PELOTA DE LIMPIEZA 6"</v>
      </c>
      <c r="G1491" s="74"/>
      <c r="H1491" s="74"/>
      <c r="I1491" s="74" t="str">
        <f>IFERROR(__xludf.DUMMYFUNCTION("""COMPUTED_VALUE"""),"CB60M")</f>
        <v>CB60M</v>
      </c>
      <c r="J1491" s="74" t="str">
        <f>IFERROR(__xludf.DUMMYFUNCTION("""COMPUTED_VALUE"""),"PELIM6")</f>
        <v>PELIM6</v>
      </c>
      <c r="K1491" s="74" t="str">
        <f>IFERROR(__xludf.DUMMYFUNCTION("""COMPUTED_VALUE"""),"Tuberia")</f>
        <v>Tuberia</v>
      </c>
      <c r="L1491" s="74" t="str">
        <f>IFERROR(__xludf.DUMMYFUNCTION("""COMPUTED_VALUE"""),"TUBERIA FLEXIBLE")</f>
        <v>TUBERIA FLEXIBLE</v>
      </c>
      <c r="M1491" s="74" t="str">
        <f>IFERROR(__xludf.DUMMYFUNCTION("""COMPUTED_VALUE"""),"LIMPIEZA")</f>
        <v>LIMPIEZA</v>
      </c>
      <c r="N1491" s="87">
        <f>IFERROR(__xludf.DUMMYFUNCTION("""COMPUTED_VALUE"""),0.0)</f>
        <v>0</v>
      </c>
      <c r="O1491" s="74"/>
      <c r="P1491" s="74" t="str">
        <f>IFERROR(__xludf.DUMMYFUNCTION("""COMPUTED_VALUE"""),"To Re-purchase")</f>
        <v>To Re-purchase</v>
      </c>
      <c r="Q1491" s="74"/>
      <c r="R1491" s="74"/>
      <c r="S1491" s="87">
        <f>IFERROR(__xludf.DUMMYFUNCTION("""COMPUTED_VALUE"""),0.0)</f>
        <v>0</v>
      </c>
      <c r="T1491" s="87">
        <f>IFERROR(__xludf.DUMMYFUNCTION("""COMPUTED_VALUE"""),0.0)</f>
        <v>0</v>
      </c>
      <c r="U1491" s="87">
        <f>IFERROR(__xludf.DUMMYFUNCTION("""COMPUTED_VALUE"""),0.0)</f>
        <v>0</v>
      </c>
      <c r="V1491" s="87">
        <f>IFERROR(__xludf.DUMMYFUNCTION("""COMPUTED_VALUE"""),0.0)</f>
        <v>0</v>
      </c>
      <c r="W1491" s="87">
        <f>IFERROR(__xludf.DUMMYFUNCTION("""COMPUTED_VALUE"""),0.0)</f>
        <v>0</v>
      </c>
      <c r="X1491" s="88"/>
      <c r="Y1491" s="74"/>
      <c r="Z1491" s="74"/>
    </row>
    <row r="1492">
      <c r="B1492" s="74" t="str">
        <f>IFERROR(__xludf.DUMMYFUNCTION("""COMPUTED_VALUE"""),"2490")</f>
        <v>2490</v>
      </c>
      <c r="C1492" s="74"/>
      <c r="D1492" s="74"/>
      <c r="E1492" s="74" t="str">
        <f>IFERROR(__xludf.DUMMYFUNCTION("""COMPUTED_VALUE"""),"2.5"" CONCRETE WASHOUT BALL")</f>
        <v>2.5" CONCRETE WASHOUT BALL</v>
      </c>
      <c r="F1492" s="74" t="str">
        <f>IFERROR(__xludf.DUMMYFUNCTION("""COMPUTED_VALUE"""),"PELOTA DE LIMPIEZA 2.5""")</f>
        <v>PELOTA DE LIMPIEZA 2.5"</v>
      </c>
      <c r="G1492" s="74"/>
      <c r="H1492" s="74"/>
      <c r="I1492" s="74"/>
      <c r="J1492" s="74"/>
      <c r="K1492" s="74"/>
      <c r="L1492" s="74"/>
      <c r="M1492" s="74" t="str">
        <f>IFERROR(__xludf.DUMMYFUNCTION("""COMPUTED_VALUE"""),"Sin Asignar")</f>
        <v>Sin Asignar</v>
      </c>
      <c r="N1492" s="87">
        <f>IFERROR(__xludf.DUMMYFUNCTION("""COMPUTED_VALUE"""),0.0)</f>
        <v>0</v>
      </c>
      <c r="O1492" s="74"/>
      <c r="P1492" s="74" t="str">
        <f>IFERROR(__xludf.DUMMYFUNCTION("""COMPUTED_VALUE"""),"No Available")</f>
        <v>No Available</v>
      </c>
      <c r="Q1492" s="74"/>
      <c r="R1492" s="74"/>
      <c r="S1492" s="87">
        <f>IFERROR(__xludf.DUMMYFUNCTION("""COMPUTED_VALUE"""),0.0)</f>
        <v>0</v>
      </c>
      <c r="T1492" s="87">
        <f>IFERROR(__xludf.DUMMYFUNCTION("""COMPUTED_VALUE"""),0.0)</f>
        <v>0</v>
      </c>
      <c r="U1492" s="87">
        <f>IFERROR(__xludf.DUMMYFUNCTION("""COMPUTED_VALUE"""),0.0)</f>
        <v>0</v>
      </c>
      <c r="V1492" s="87">
        <f>IFERROR(__xludf.DUMMYFUNCTION("""COMPUTED_VALUE"""),0.0)</f>
        <v>0</v>
      </c>
      <c r="W1492" s="87">
        <f>IFERROR(__xludf.DUMMYFUNCTION("""COMPUTED_VALUE"""),0.0)</f>
        <v>0</v>
      </c>
      <c r="X1492" s="88"/>
      <c r="Y1492" s="74"/>
      <c r="Z1492" s="74"/>
    </row>
    <row r="1493">
      <c r="B1493" s="74" t="str">
        <f>IFERROR(__xludf.DUMMYFUNCTION("""COMPUTED_VALUE"""),"2491")</f>
        <v>2491</v>
      </c>
      <c r="C1493" s="74" t="str">
        <f>IFERROR(__xludf.DUMMYFUNCTION("""COMPUTED_VALUE"""),"75045892491")</f>
        <v>75045892491</v>
      </c>
      <c r="D1493" s="74"/>
      <c r="E1493" s="74" t="str">
        <f>IFERROR(__xludf.DUMMYFUNCTION("""COMPUTED_VALUE"""),"PLANT SPRING LOADED SILO SAFETY RELIEF VALVE")</f>
        <v>PLANT SPRING LOADED SILO SAFETY RELIEF VALVE</v>
      </c>
      <c r="F1493" s="74" t="str">
        <f>IFERROR(__xludf.DUMMYFUNCTION("""COMPUTED_VALUE"""),"VALVULA DE ALIVIO 8"" ")</f>
        <v>VALVULA DE ALIVIO 8" </v>
      </c>
      <c r="G1493" s="74"/>
      <c r="H1493" s="74"/>
      <c r="I1493" s="74" t="str">
        <f>IFERROR(__xludf.DUMMYFUNCTION("""COMPUTED_VALUE"""),"PSV43520")</f>
        <v>PSV43520</v>
      </c>
      <c r="J1493" s="74"/>
      <c r="K1493" s="74" t="str">
        <f>IFERROR(__xludf.DUMMYFUNCTION("""COMPUTED_VALUE"""),"WAM")</f>
        <v>WAM</v>
      </c>
      <c r="L1493" s="74"/>
      <c r="M1493" s="74" t="str">
        <f>IFERROR(__xludf.DUMMYFUNCTION("""COMPUTED_VALUE"""),"Sin Asignar")</f>
        <v>Sin Asignar</v>
      </c>
      <c r="N1493" s="87">
        <f>IFERROR(__xludf.DUMMYFUNCTION("""COMPUTED_VALUE"""),0.0)</f>
        <v>0</v>
      </c>
      <c r="O1493" s="74"/>
      <c r="P1493" s="74" t="str">
        <f>IFERROR(__xludf.DUMMYFUNCTION("""COMPUTED_VALUE"""),"To Re-purchase")</f>
        <v>To Re-purchase</v>
      </c>
      <c r="Q1493" s="74"/>
      <c r="R1493" s="74"/>
      <c r="S1493" s="87">
        <f>IFERROR(__xludf.DUMMYFUNCTION("""COMPUTED_VALUE"""),0.0)</f>
        <v>0</v>
      </c>
      <c r="T1493" s="87">
        <f>IFERROR(__xludf.DUMMYFUNCTION("""COMPUTED_VALUE"""),0.0)</f>
        <v>0</v>
      </c>
      <c r="U1493" s="87">
        <f>IFERROR(__xludf.DUMMYFUNCTION("""COMPUTED_VALUE"""),0.0)</f>
        <v>0</v>
      </c>
      <c r="V1493" s="87">
        <f>IFERROR(__xludf.DUMMYFUNCTION("""COMPUTED_VALUE"""),0.0)</f>
        <v>0</v>
      </c>
      <c r="W1493" s="87">
        <f>IFERROR(__xludf.DUMMYFUNCTION("""COMPUTED_VALUE"""),0.0)</f>
        <v>0</v>
      </c>
      <c r="X1493" s="88"/>
      <c r="Y1493" s="74"/>
      <c r="Z1493" s="74"/>
    </row>
    <row r="1494">
      <c r="B1494" s="74" t="str">
        <f>IFERROR(__xludf.DUMMYFUNCTION("""COMPUTED_VALUE"""),"2492")</f>
        <v>2492</v>
      </c>
      <c r="C1494" s="74" t="str">
        <f>IFERROR(__xludf.DUMMYFUNCTION("""COMPUTED_VALUE"""),"75045892492")</f>
        <v>75045892492</v>
      </c>
      <c r="D1494" s="74"/>
      <c r="E1494" s="74" t="str">
        <f>IFERROR(__xludf.DUMMYFUNCTION("""COMPUTED_VALUE"""),"FILTER DRYER")</f>
        <v>FILTER DRYER</v>
      </c>
      <c r="F1494" s="74" t="str">
        <f>IFERROR(__xludf.DUMMYFUNCTION("""COMPUTED_VALUE"""),"FILTRO SEPARADOR Y SECADOR DE AIRE SKF")</f>
        <v>FILTRO SEPARADOR Y SECADOR DE AIRE SKF</v>
      </c>
      <c r="G1494" s="74"/>
      <c r="H1494" s="74"/>
      <c r="I1494" s="74" t="str">
        <f>IFERROR(__xludf.DUMMYFUNCTION("""COMPUTED_VALUE"""),"P640150")</f>
        <v>P640150</v>
      </c>
      <c r="J1494" s="74"/>
      <c r="K1494" s="74" t="str">
        <f>IFERROR(__xludf.DUMMYFUNCTION("""COMPUTED_VALUE"""),"WAM")</f>
        <v>WAM</v>
      </c>
      <c r="L1494" s="74"/>
      <c r="M1494" s="74" t="str">
        <f>IFERROR(__xludf.DUMMYFUNCTION("""COMPUTED_VALUE"""),"Sin Asignar")</f>
        <v>Sin Asignar</v>
      </c>
      <c r="N1494" s="87">
        <f>IFERROR(__xludf.DUMMYFUNCTION("""COMPUTED_VALUE"""),0.0)</f>
        <v>0</v>
      </c>
      <c r="O1494" s="74"/>
      <c r="P1494" s="74" t="str">
        <f>IFERROR(__xludf.DUMMYFUNCTION("""COMPUTED_VALUE"""),"To Re-purchase")</f>
        <v>To Re-purchase</v>
      </c>
      <c r="Q1494" s="74"/>
      <c r="R1494" s="74"/>
      <c r="S1494" s="87">
        <f>IFERROR(__xludf.DUMMYFUNCTION("""COMPUTED_VALUE"""),0.0)</f>
        <v>0</v>
      </c>
      <c r="T1494" s="87">
        <f>IFERROR(__xludf.DUMMYFUNCTION("""COMPUTED_VALUE"""),0.0)</f>
        <v>0</v>
      </c>
      <c r="U1494" s="87">
        <f>IFERROR(__xludf.DUMMYFUNCTION("""COMPUTED_VALUE"""),0.0)</f>
        <v>0</v>
      </c>
      <c r="V1494" s="87">
        <f>IFERROR(__xludf.DUMMYFUNCTION("""COMPUTED_VALUE"""),0.0)</f>
        <v>0</v>
      </c>
      <c r="W1494" s="87">
        <f>IFERROR(__xludf.DUMMYFUNCTION("""COMPUTED_VALUE"""),0.0)</f>
        <v>0</v>
      </c>
      <c r="X1494" s="88"/>
      <c r="Y1494" s="74"/>
      <c r="Z1494" s="74"/>
    </row>
    <row r="1495">
      <c r="B1495" s="74" t="str">
        <f>IFERROR(__xludf.DUMMYFUNCTION("""COMPUTED_VALUE"""),"2493")</f>
        <v>2493</v>
      </c>
      <c r="C1495" s="74" t="str">
        <f>IFERROR(__xludf.DUMMYFUNCTION("""COMPUTED_VALUE"""),"75045892493")</f>
        <v>75045892493</v>
      </c>
      <c r="D1495" s="74"/>
      <c r="E1495" s="74" t="str">
        <f>IFERROR(__xludf.DUMMYFUNCTION("""COMPUTED_VALUE"""),"PNEUMATIC VIBRATOR  3.3 A 5.1Ns")</f>
        <v>PNEUMATIC VIBRATOR  3.3 A 5.1Ns</v>
      </c>
      <c r="F1495" s="74" t="str">
        <f>IFERROR(__xludf.DUMMYFUNCTION("""COMPUTED_VALUE"""),"VIBRADOR NEUMATICO TIPO MARTILLO: FUERZA DE IMPACTO: 3.3 A 5.1Ns")</f>
        <v>VIBRADOR NEUMATICO TIPO MARTILLO: FUERZA DE IMPACTO: 3.3 A 5.1Ns</v>
      </c>
      <c r="G1495" s="74"/>
      <c r="H1495" s="74"/>
      <c r="I1495" s="74" t="str">
        <f>IFERROR(__xludf.DUMMYFUNCTION("""COMPUTED_VALUE"""),"SK40")</f>
        <v>SK40</v>
      </c>
      <c r="J1495" s="74"/>
      <c r="K1495" s="74" t="str">
        <f>IFERROR(__xludf.DUMMYFUNCTION("""COMPUTED_VALUE"""),"WAM")</f>
        <v>WAM</v>
      </c>
      <c r="L1495" s="74"/>
      <c r="M1495" s="74" t="str">
        <f>IFERROR(__xludf.DUMMYFUNCTION("""COMPUTED_VALUE"""),"Sin Asignar")</f>
        <v>Sin Asignar</v>
      </c>
      <c r="N1495" s="87">
        <f>IFERROR(__xludf.DUMMYFUNCTION("""COMPUTED_VALUE"""),0.0)</f>
        <v>0</v>
      </c>
      <c r="O1495" s="74"/>
      <c r="P1495" s="74" t="str">
        <f>IFERROR(__xludf.DUMMYFUNCTION("""COMPUTED_VALUE"""),"To Re-purchase")</f>
        <v>To Re-purchase</v>
      </c>
      <c r="Q1495" s="74"/>
      <c r="R1495" s="74"/>
      <c r="S1495" s="87">
        <f>IFERROR(__xludf.DUMMYFUNCTION("""COMPUTED_VALUE"""),0.0)</f>
        <v>0</v>
      </c>
      <c r="T1495" s="87">
        <f>IFERROR(__xludf.DUMMYFUNCTION("""COMPUTED_VALUE"""),0.0)</f>
        <v>0</v>
      </c>
      <c r="U1495" s="87">
        <f>IFERROR(__xludf.DUMMYFUNCTION("""COMPUTED_VALUE"""),0.0)</f>
        <v>0</v>
      </c>
      <c r="V1495" s="87">
        <f>IFERROR(__xludf.DUMMYFUNCTION("""COMPUTED_VALUE"""),0.0)</f>
        <v>0</v>
      </c>
      <c r="W1495" s="87">
        <f>IFERROR(__xludf.DUMMYFUNCTION("""COMPUTED_VALUE"""),0.0)</f>
        <v>0</v>
      </c>
      <c r="X1495" s="88"/>
      <c r="Y1495" s="74"/>
      <c r="Z1495" s="74"/>
    </row>
    <row r="1496">
      <c r="B1496" s="74" t="str">
        <f>IFERROR(__xludf.DUMMYFUNCTION("""COMPUTED_VALUE"""),"2494")</f>
        <v>2494</v>
      </c>
      <c r="C1496" s="74" t="str">
        <f>IFERROR(__xludf.DUMMYFUNCTION("""COMPUTED_VALUE"""),"75045892494")</f>
        <v>75045892494</v>
      </c>
      <c r="D1496" s="74"/>
      <c r="E1496" s="74" t="str">
        <f>IFERROR(__xludf.DUMMYFUNCTION("""COMPUTED_VALUE"""),"CLAMP COUPLING ZX-K5")</f>
        <v>CLAMP COUPLING ZX-K5</v>
      </c>
      <c r="F1496" s="74" t="str">
        <f>IFERROR(__xludf.DUMMYFUNCTION("""COMPUTED_VALUE"""),"ABRAZADERA 5"" MET. CON BASE DE UN TORNILLO ZX-K5/ ACOPLAMIENTO MANGUITO")</f>
        <v>ABRAZADERA 5" MET. CON BASE DE UN TORNILLO ZX-K5/ ACOPLAMIENTO MANGUITO</v>
      </c>
      <c r="G1496" s="74"/>
      <c r="H1496" s="74"/>
      <c r="I1496" s="74" t="str">
        <f>IFERROR(__xludf.DUMMYFUNCTION("""COMPUTED_VALUE"""),"265984000")</f>
        <v>265984000</v>
      </c>
      <c r="J1496" s="74"/>
      <c r="K1496" s="74" t="str">
        <f>IFERROR(__xludf.DUMMYFUNCTION("""COMPUTED_VALUE"""),"Tuberia")</f>
        <v>Tuberia</v>
      </c>
      <c r="L1496" s="74" t="str">
        <f>IFERROR(__xludf.DUMMYFUNCTION("""COMPUTED_VALUE"""),"TUBERIA ACERO")</f>
        <v>TUBERIA ACERO</v>
      </c>
      <c r="M1496" s="74" t="str">
        <f>IFERROR(__xludf.DUMMYFUNCTION("""COMPUTED_VALUE"""),"TUBOS")</f>
        <v>TUBOS</v>
      </c>
      <c r="N1496" s="87">
        <f>IFERROR(__xludf.DUMMYFUNCTION("""COMPUTED_VALUE"""),0.0)</f>
        <v>0</v>
      </c>
      <c r="O1496" s="74"/>
      <c r="P1496" s="74" t="str">
        <f>IFERROR(__xludf.DUMMYFUNCTION("""COMPUTED_VALUE"""),"To Re-purchase")</f>
        <v>To Re-purchase</v>
      </c>
      <c r="Q1496" s="74"/>
      <c r="R1496" s="74"/>
      <c r="S1496" s="87">
        <f>IFERROR(__xludf.DUMMYFUNCTION("""COMPUTED_VALUE"""),0.0)</f>
        <v>0</v>
      </c>
      <c r="T1496" s="87">
        <f>IFERROR(__xludf.DUMMYFUNCTION("""COMPUTED_VALUE"""),0.0)</f>
        <v>0</v>
      </c>
      <c r="U1496" s="87">
        <f>IFERROR(__xludf.DUMMYFUNCTION("""COMPUTED_VALUE"""),0.0)</f>
        <v>0</v>
      </c>
      <c r="V1496" s="87">
        <f>IFERROR(__xludf.DUMMYFUNCTION("""COMPUTED_VALUE"""),0.0)</f>
        <v>0</v>
      </c>
      <c r="W1496" s="87">
        <f>IFERROR(__xludf.DUMMYFUNCTION("""COMPUTED_VALUE"""),0.0)</f>
        <v>0</v>
      </c>
      <c r="X1496" s="88"/>
      <c r="Y1496" s="74"/>
      <c r="Z1496" s="74"/>
    </row>
    <row r="1497">
      <c r="B1497" s="74" t="str">
        <f>IFERROR(__xludf.DUMMYFUNCTION("""COMPUTED_VALUE"""),"2495")</f>
        <v>2495</v>
      </c>
      <c r="C1497" s="74" t="str">
        <f>IFERROR(__xludf.DUMMYFUNCTION("""COMPUTED_VALUE"""),"75045892495")</f>
        <v>75045892495</v>
      </c>
      <c r="D1497" s="74"/>
      <c r="E1497" s="74" t="str">
        <f>IFERROR(__xludf.DUMMYFUNCTION("""COMPUTED_VALUE"""),"COOLER FAN 12 VOLTS, 11""")</f>
        <v>COOLER FAN 12 VOLTS, 11"</v>
      </c>
      <c r="F1497" s="74" t="str">
        <f>IFERROR(__xludf.DUMMYFUNCTION("""COMPUTED_VALUE"""),"ABANICO PARA ENFRIADOR HODRAULICO 12V, 11""")</f>
        <v>ABANICO PARA ENFRIADOR HODRAULICO 12V, 11"</v>
      </c>
      <c r="G1497" s="74"/>
      <c r="H1497" s="74"/>
      <c r="I1497" s="74" t="str">
        <f>IFERROR(__xludf.DUMMYFUNCTION("""COMPUTED_VALUE"""),"30394429")</f>
        <v>30394429</v>
      </c>
      <c r="J1497" s="74"/>
      <c r="K1497" s="74" t="str">
        <f>IFERROR(__xludf.DUMMYFUNCTION("""COMPUTED_VALUE"""),"Schwing")</f>
        <v>Schwing</v>
      </c>
      <c r="L1497" s="74" t="str">
        <f>IFERROR(__xludf.DUMMYFUNCTION("""COMPUTED_VALUE"""),"SIN ASIGNAR")</f>
        <v>SIN ASIGNAR</v>
      </c>
      <c r="M1497" s="74" t="str">
        <f>IFERROR(__xludf.DUMMYFUNCTION("""COMPUTED_VALUE"""),"SIN ASIGNAR")</f>
        <v>SIN ASIGNAR</v>
      </c>
      <c r="N1497" s="87">
        <f>IFERROR(__xludf.DUMMYFUNCTION("""COMPUTED_VALUE"""),0.0)</f>
        <v>0</v>
      </c>
      <c r="O1497" s="74"/>
      <c r="P1497" s="74" t="str">
        <f>IFERROR(__xludf.DUMMYFUNCTION("""COMPUTED_VALUE"""),"To Re-purchase")</f>
        <v>To Re-purchase</v>
      </c>
      <c r="Q1497" s="74"/>
      <c r="R1497" s="74"/>
      <c r="S1497" s="87">
        <f>IFERROR(__xludf.DUMMYFUNCTION("""COMPUTED_VALUE"""),0.0)</f>
        <v>0</v>
      </c>
      <c r="T1497" s="87">
        <f>IFERROR(__xludf.DUMMYFUNCTION("""COMPUTED_VALUE"""),0.0)</f>
        <v>0</v>
      </c>
      <c r="U1497" s="87">
        <f>IFERROR(__xludf.DUMMYFUNCTION("""COMPUTED_VALUE"""),0.0)</f>
        <v>0</v>
      </c>
      <c r="V1497" s="87">
        <f>IFERROR(__xludf.DUMMYFUNCTION("""COMPUTED_VALUE"""),0.0)</f>
        <v>0</v>
      </c>
      <c r="W1497" s="87">
        <f>IFERROR(__xludf.DUMMYFUNCTION("""COMPUTED_VALUE"""),0.0)</f>
        <v>0</v>
      </c>
      <c r="X1497" s="88"/>
      <c r="Y1497" s="74"/>
      <c r="Z1497" s="74"/>
    </row>
    <row r="1498">
      <c r="B1498" s="74" t="str">
        <f>IFERROR(__xludf.DUMMYFUNCTION("""COMPUTED_VALUE"""),"2496")</f>
        <v>2496</v>
      </c>
      <c r="C1498" s="74" t="str">
        <f>IFERROR(__xludf.DUMMYFUNCTION("""COMPUTED_VALUE"""),"75045892496")</f>
        <v>75045892496</v>
      </c>
      <c r="D1498" s="74"/>
      <c r="E1498" s="74" t="str">
        <f>IFERROR(__xludf.DUMMYFUNCTION("""COMPUTED_VALUE"""),"UPPER GASKET SET ")</f>
        <v>UPPER GASKET SET </v>
      </c>
      <c r="F1498" s="74" t="str">
        <f>IFERROR(__xludf.DUMMYFUNCTION("""COMPUTED_VALUE"""),"KIT REPARACION SUPERIOR PARA CABEZA E7, MECANICO Y E7 TECH")</f>
        <v>KIT REPARACION SUPERIOR PARA CABEZA E7, MECANICO Y E7 TECH</v>
      </c>
      <c r="G1498" s="74"/>
      <c r="H1498" s="74"/>
      <c r="I1498" s="74" t="str">
        <f>IFERROR(__xludf.DUMMYFUNCTION("""COMPUTED_VALUE"""),"EGS-3856")</f>
        <v>EGS-3856</v>
      </c>
      <c r="J1498" s="74" t="str">
        <f>IFERROR(__xludf.DUMMYFUNCTION("""COMPUTED_VALUE"""),"EGS-3889")</f>
        <v>EGS-3889</v>
      </c>
      <c r="K1498" s="74" t="str">
        <f>IFERROR(__xludf.DUMMYFUNCTION("""COMPUTED_VALUE"""),"WAM")</f>
        <v>WAM</v>
      </c>
      <c r="L1498" s="74"/>
      <c r="M1498" s="74" t="str">
        <f>IFERROR(__xludf.DUMMYFUNCTION("""COMPUTED_VALUE"""),"EMPAQUES")</f>
        <v>EMPAQUES</v>
      </c>
      <c r="N1498" s="87">
        <f>IFERROR(__xludf.DUMMYFUNCTION("""COMPUTED_VALUE"""),0.0)</f>
        <v>0</v>
      </c>
      <c r="O1498" s="74"/>
      <c r="P1498" s="74" t="str">
        <f>IFERROR(__xludf.DUMMYFUNCTION("""COMPUTED_VALUE"""),"To Re-purchase")</f>
        <v>To Re-purchase</v>
      </c>
      <c r="Q1498" s="74"/>
      <c r="R1498" s="74"/>
      <c r="S1498" s="87">
        <f>IFERROR(__xludf.DUMMYFUNCTION("""COMPUTED_VALUE"""),0.0)</f>
        <v>0</v>
      </c>
      <c r="T1498" s="87">
        <f>IFERROR(__xludf.DUMMYFUNCTION("""COMPUTED_VALUE"""),0.0)</f>
        <v>0</v>
      </c>
      <c r="U1498" s="87">
        <f>IFERROR(__xludf.DUMMYFUNCTION("""COMPUTED_VALUE"""),0.0)</f>
        <v>0</v>
      </c>
      <c r="V1498" s="87">
        <f>IFERROR(__xludf.DUMMYFUNCTION("""COMPUTED_VALUE"""),0.0)</f>
        <v>0</v>
      </c>
      <c r="W1498" s="87">
        <f>IFERROR(__xludf.DUMMYFUNCTION("""COMPUTED_VALUE"""),0.0)</f>
        <v>0</v>
      </c>
      <c r="X1498" s="88"/>
      <c r="Y1498" s="74"/>
      <c r="Z1498" s="74"/>
    </row>
    <row r="1499">
      <c r="B1499" s="74" t="str">
        <f>IFERROR(__xludf.DUMMYFUNCTION("""COMPUTED_VALUE"""),"2497")</f>
        <v>2497</v>
      </c>
      <c r="C1499" s="74" t="str">
        <f>IFERROR(__xludf.DUMMYFUNCTION("""COMPUTED_VALUE"""),"75045892497")</f>
        <v>75045892497</v>
      </c>
      <c r="D1499" s="74"/>
      <c r="E1499" s="74" t="str">
        <f>IFERROR(__xludf.DUMMYFUNCTION("""COMPUTED_VALUE"""),"UNIT INJECTOR SYSTEM")</f>
        <v>UNIT INJECTOR SYSTEM</v>
      </c>
      <c r="F1499" s="74" t="str">
        <f>IFERROR(__xludf.DUMMYFUNCTION("""COMPUTED_VALUE"""),"BOMBA UNITARIA PARA MOTOR")</f>
        <v>BOMBA UNITARIA PARA MOTOR</v>
      </c>
      <c r="G1499" s="74"/>
      <c r="H1499" s="74"/>
      <c r="I1499" s="74" t="str">
        <f>IFERROR(__xludf.DUMMYFUNCTION("""COMPUTED_VALUE"""),"EUP-8764")</f>
        <v>EUP-8764</v>
      </c>
      <c r="J1499" s="74"/>
      <c r="K1499" s="74" t="str">
        <f>IFERROR(__xludf.DUMMYFUNCTION("""COMPUTED_VALUE"""),"WAM")</f>
        <v>WAM</v>
      </c>
      <c r="L1499" s="74"/>
      <c r="M1499" s="74" t="str">
        <f>IFERROR(__xludf.DUMMYFUNCTION("""COMPUTED_VALUE"""),"Sin Asignar")</f>
        <v>Sin Asignar</v>
      </c>
      <c r="N1499" s="87">
        <f>IFERROR(__xludf.DUMMYFUNCTION("""COMPUTED_VALUE"""),0.0)</f>
        <v>0</v>
      </c>
      <c r="O1499" s="74"/>
      <c r="P1499" s="74" t="str">
        <f>IFERROR(__xludf.DUMMYFUNCTION("""COMPUTED_VALUE"""),"To Re-purchase")</f>
        <v>To Re-purchase</v>
      </c>
      <c r="Q1499" s="74"/>
      <c r="R1499" s="74"/>
      <c r="S1499" s="87">
        <f>IFERROR(__xludf.DUMMYFUNCTION("""COMPUTED_VALUE"""),0.0)</f>
        <v>0</v>
      </c>
      <c r="T1499" s="87">
        <f>IFERROR(__xludf.DUMMYFUNCTION("""COMPUTED_VALUE"""),0.0)</f>
        <v>0</v>
      </c>
      <c r="U1499" s="87">
        <f>IFERROR(__xludf.DUMMYFUNCTION("""COMPUTED_VALUE"""),0.0)</f>
        <v>0</v>
      </c>
      <c r="V1499" s="87">
        <f>IFERROR(__xludf.DUMMYFUNCTION("""COMPUTED_VALUE"""),0.0)</f>
        <v>0</v>
      </c>
      <c r="W1499" s="87">
        <f>IFERROR(__xludf.DUMMYFUNCTION("""COMPUTED_VALUE"""),0.0)</f>
        <v>0</v>
      </c>
      <c r="X1499" s="88"/>
      <c r="Y1499" s="74"/>
      <c r="Z1499" s="74"/>
    </row>
    <row r="1500">
      <c r="B1500" s="74" t="str">
        <f>IFERROR(__xludf.DUMMYFUNCTION("""COMPUTED_VALUE"""),"2498")</f>
        <v>2498</v>
      </c>
      <c r="C1500" s="74" t="str">
        <f>IFERROR(__xludf.DUMMYFUNCTION("""COMPUTED_VALUE"""),"75045892498")</f>
        <v>75045892498</v>
      </c>
      <c r="D1500" s="74"/>
      <c r="E1500" s="74" t="str">
        <f>IFERROR(__xludf.DUMMYFUNCTION("""COMPUTED_VALUE"""),"CRACKING CHISEL")</f>
        <v>CRACKING CHISEL</v>
      </c>
      <c r="F1500" s="74" t="str">
        <f>IFERROR(__xludf.DUMMYFUNCTION("""COMPUTED_VALUE"""),"ROMPETUERCAS")</f>
        <v>ROMPETUERCAS</v>
      </c>
      <c r="G1500" s="74"/>
      <c r="H1500" s="74"/>
      <c r="I1500" s="74" t="str">
        <f>IFERROR(__xludf.DUMMYFUNCTION("""COMPUTED_VALUE"""),"30439")</f>
        <v>30439</v>
      </c>
      <c r="J1500" s="74"/>
      <c r="K1500" s="74" t="str">
        <f>IFERROR(__xludf.DUMMYFUNCTION("""COMPUTED_VALUE"""),"TRITURADORAS")</f>
        <v>TRITURADORAS</v>
      </c>
      <c r="L1500" s="74"/>
      <c r="M1500" s="74" t="str">
        <f>IFERROR(__xludf.DUMMYFUNCTION("""COMPUTED_VALUE"""),"Sin Asignar")</f>
        <v>Sin Asignar</v>
      </c>
      <c r="N1500" s="87">
        <f>IFERROR(__xludf.DUMMYFUNCTION("""COMPUTED_VALUE"""),0.0)</f>
        <v>0</v>
      </c>
      <c r="O1500" s="74"/>
      <c r="P1500" s="74" t="str">
        <f>IFERROR(__xludf.DUMMYFUNCTION("""COMPUTED_VALUE"""),"To Re-purchase")</f>
        <v>To Re-purchase</v>
      </c>
      <c r="Q1500" s="74"/>
      <c r="R1500" s="74"/>
      <c r="S1500" s="87">
        <f>IFERROR(__xludf.DUMMYFUNCTION("""COMPUTED_VALUE"""),0.0)</f>
        <v>0</v>
      </c>
      <c r="T1500" s="87">
        <f>IFERROR(__xludf.DUMMYFUNCTION("""COMPUTED_VALUE"""),0.0)</f>
        <v>0</v>
      </c>
      <c r="U1500" s="87">
        <f>IFERROR(__xludf.DUMMYFUNCTION("""COMPUTED_VALUE"""),0.0)</f>
        <v>0</v>
      </c>
      <c r="V1500" s="87">
        <f>IFERROR(__xludf.DUMMYFUNCTION("""COMPUTED_VALUE"""),0.0)</f>
        <v>0</v>
      </c>
      <c r="W1500" s="87">
        <f>IFERROR(__xludf.DUMMYFUNCTION("""COMPUTED_VALUE"""),0.0)</f>
        <v>0</v>
      </c>
      <c r="X1500" s="88"/>
      <c r="Y1500" s="74"/>
      <c r="Z1500" s="74"/>
    </row>
    <row r="1501">
      <c r="B1501" s="74" t="str">
        <f>IFERROR(__xludf.DUMMYFUNCTION("""COMPUTED_VALUE"""),"2499")</f>
        <v>2499</v>
      </c>
      <c r="C1501" s="74" t="str">
        <f>IFERROR(__xludf.DUMMYFUNCTION("""COMPUTED_VALUE"""),"75045892499")</f>
        <v>75045892499</v>
      </c>
      <c r="D1501" s="74"/>
      <c r="E1501" s="74" t="str">
        <f>IFERROR(__xludf.DUMMYFUNCTION("""COMPUTED_VALUE"""),"FOUR-BOLT FLANGED HOUSING UNIT UCF 206")</f>
        <v>FOUR-BOLT FLANGED HOUSING UNIT UCF 206</v>
      </c>
      <c r="F1501" s="74" t="str">
        <f>IFERROR(__xludf.DUMMYFUNCTION("""COMPUTED_VALUE"""),"CHUMACERA CUADRADA DE PARED")</f>
        <v>CHUMACERA CUADRADA DE PARED</v>
      </c>
      <c r="G1501" s="74"/>
      <c r="H1501" s="74"/>
      <c r="I1501" s="74" t="str">
        <f>IFERROR(__xludf.DUMMYFUNCTION("""COMPUTED_VALUE"""),"UCFE.204-12")</f>
        <v>UCFE.204-12</v>
      </c>
      <c r="J1501" s="74"/>
      <c r="K1501" s="74" t="str">
        <f>IFERROR(__xludf.DUMMYFUNCTION("""COMPUTED_VALUE"""),"TRITURADORAS")</f>
        <v>TRITURADORAS</v>
      </c>
      <c r="L1501" s="74"/>
      <c r="M1501" s="74" t="str">
        <f>IFERROR(__xludf.DUMMYFUNCTION("""COMPUTED_VALUE"""),"Sin Asignar")</f>
        <v>Sin Asignar</v>
      </c>
      <c r="N1501" s="87">
        <f>IFERROR(__xludf.DUMMYFUNCTION("""COMPUTED_VALUE"""),0.0)</f>
        <v>0</v>
      </c>
      <c r="O1501" s="74"/>
      <c r="P1501" s="74" t="str">
        <f>IFERROR(__xludf.DUMMYFUNCTION("""COMPUTED_VALUE"""),"To Re-purchase")</f>
        <v>To Re-purchase</v>
      </c>
      <c r="Q1501" s="74"/>
      <c r="R1501" s="74"/>
      <c r="S1501" s="87">
        <f>IFERROR(__xludf.DUMMYFUNCTION("""COMPUTED_VALUE"""),0.0)</f>
        <v>0</v>
      </c>
      <c r="T1501" s="87">
        <f>IFERROR(__xludf.DUMMYFUNCTION("""COMPUTED_VALUE"""),0.0)</f>
        <v>0</v>
      </c>
      <c r="U1501" s="87">
        <f>IFERROR(__xludf.DUMMYFUNCTION("""COMPUTED_VALUE"""),0.0)</f>
        <v>0</v>
      </c>
      <c r="V1501" s="87">
        <f>IFERROR(__xludf.DUMMYFUNCTION("""COMPUTED_VALUE"""),0.0)</f>
        <v>0</v>
      </c>
      <c r="W1501" s="87">
        <f>IFERROR(__xludf.DUMMYFUNCTION("""COMPUTED_VALUE"""),0.0)</f>
        <v>0</v>
      </c>
      <c r="X1501" s="88"/>
      <c r="Y1501" s="74"/>
      <c r="Z1501" s="74"/>
    </row>
    <row r="1502">
      <c r="B1502" s="74" t="str">
        <f>IFERROR(__xludf.DUMMYFUNCTION("""COMPUTED_VALUE"""),"2500")</f>
        <v>2500</v>
      </c>
      <c r="C1502" s="74" t="str">
        <f>IFERROR(__xludf.DUMMYFUNCTION("""COMPUTED_VALUE"""),"75045892500")</f>
        <v>75045892500</v>
      </c>
      <c r="D1502" s="74"/>
      <c r="E1502" s="74" t="str">
        <f>IFERROR(__xludf.DUMMYFUNCTION("""COMPUTED_VALUE"""),"FLANGED BALL BEARING UNIT")</f>
        <v>FLANGED BALL BEARING UNIT</v>
      </c>
      <c r="F1502" s="74" t="str">
        <f>IFERROR(__xludf.DUMMYFUNCTION("""COMPUTED_VALUE"""),"CHUMACERA TIPO OVAL")</f>
        <v>CHUMACERA TIPO OVAL</v>
      </c>
      <c r="G1502" s="74"/>
      <c r="H1502" s="74"/>
      <c r="I1502" s="74" t="str">
        <f>IFERROR(__xludf.DUMMYFUNCTION("""COMPUTED_VALUE"""),"UCFL207")</f>
        <v>UCFL207</v>
      </c>
      <c r="J1502" s="74"/>
      <c r="K1502" s="74" t="str">
        <f>IFERROR(__xludf.DUMMYFUNCTION("""COMPUTED_VALUE"""),"TRITURADORAS")</f>
        <v>TRITURADORAS</v>
      </c>
      <c r="L1502" s="74"/>
      <c r="M1502" s="74" t="str">
        <f>IFERROR(__xludf.DUMMYFUNCTION("""COMPUTED_VALUE"""),"Sin Asignar")</f>
        <v>Sin Asignar</v>
      </c>
      <c r="N1502" s="87">
        <f>IFERROR(__xludf.DUMMYFUNCTION("""COMPUTED_VALUE"""),0.0)</f>
        <v>0</v>
      </c>
      <c r="O1502" s="74"/>
      <c r="P1502" s="74" t="str">
        <f>IFERROR(__xludf.DUMMYFUNCTION("""COMPUTED_VALUE"""),"To Re-purchase")</f>
        <v>To Re-purchase</v>
      </c>
      <c r="Q1502" s="74"/>
      <c r="R1502" s="74"/>
      <c r="S1502" s="87">
        <f>IFERROR(__xludf.DUMMYFUNCTION("""COMPUTED_VALUE"""),0.0)</f>
        <v>0</v>
      </c>
      <c r="T1502" s="87">
        <f>IFERROR(__xludf.DUMMYFUNCTION("""COMPUTED_VALUE"""),0.0)</f>
        <v>0</v>
      </c>
      <c r="U1502" s="87">
        <f>IFERROR(__xludf.DUMMYFUNCTION("""COMPUTED_VALUE"""),0.0)</f>
        <v>0</v>
      </c>
      <c r="V1502" s="87">
        <f>IFERROR(__xludf.DUMMYFUNCTION("""COMPUTED_VALUE"""),0.0)</f>
        <v>0</v>
      </c>
      <c r="W1502" s="87">
        <f>IFERROR(__xludf.DUMMYFUNCTION("""COMPUTED_VALUE"""),0.0)</f>
        <v>0</v>
      </c>
      <c r="X1502" s="88"/>
      <c r="Y1502" s="74"/>
      <c r="Z1502" s="74"/>
    </row>
    <row r="1503">
      <c r="B1503" s="74" t="str">
        <f>IFERROR(__xludf.DUMMYFUNCTION("""COMPUTED_VALUE"""),"2501")</f>
        <v>2501</v>
      </c>
      <c r="C1503" s="74" t="str">
        <f>IFERROR(__xludf.DUMMYFUNCTION("""COMPUTED_VALUE"""),"75045892501")</f>
        <v>75045892501</v>
      </c>
      <c r="D1503" s="74"/>
      <c r="E1503" s="74" t="str">
        <f>IFERROR(__xludf.DUMMYFUNCTION("""COMPUTED_VALUE"""),"UCP 207 PILLOW BLOCK BEARING")</f>
        <v>UCP 207 PILLOW BLOCK BEARING</v>
      </c>
      <c r="F1503" s="74" t="str">
        <f>IFERROR(__xludf.DUMMYFUNCTION("""COMPUTED_VALUE"""),"CHUMACERA DE PISO")</f>
        <v>CHUMACERA DE PISO</v>
      </c>
      <c r="G1503" s="74"/>
      <c r="H1503" s="74"/>
      <c r="I1503" s="74" t="str">
        <f>IFERROR(__xludf.DUMMYFUNCTION("""COMPUTED_VALUE"""),"UCP205-16")</f>
        <v>UCP205-16</v>
      </c>
      <c r="J1503" s="74"/>
      <c r="K1503" s="74" t="str">
        <f>IFERROR(__xludf.DUMMYFUNCTION("""COMPUTED_VALUE"""),"TRITURADORAS")</f>
        <v>TRITURADORAS</v>
      </c>
      <c r="L1503" s="74"/>
      <c r="M1503" s="74" t="str">
        <f>IFERROR(__xludf.DUMMYFUNCTION("""COMPUTED_VALUE"""),"Sin Asignar")</f>
        <v>Sin Asignar</v>
      </c>
      <c r="N1503" s="87">
        <f>IFERROR(__xludf.DUMMYFUNCTION("""COMPUTED_VALUE"""),0.0)</f>
        <v>0</v>
      </c>
      <c r="O1503" s="74"/>
      <c r="P1503" s="74" t="str">
        <f>IFERROR(__xludf.DUMMYFUNCTION("""COMPUTED_VALUE"""),"To Re-purchase")</f>
        <v>To Re-purchase</v>
      </c>
      <c r="Q1503" s="74"/>
      <c r="R1503" s="74"/>
      <c r="S1503" s="87">
        <f>IFERROR(__xludf.DUMMYFUNCTION("""COMPUTED_VALUE"""),0.0)</f>
        <v>0</v>
      </c>
      <c r="T1503" s="87">
        <f>IFERROR(__xludf.DUMMYFUNCTION("""COMPUTED_VALUE"""),0.0)</f>
        <v>0</v>
      </c>
      <c r="U1503" s="87">
        <f>IFERROR(__xludf.DUMMYFUNCTION("""COMPUTED_VALUE"""),0.0)</f>
        <v>0</v>
      </c>
      <c r="V1503" s="87">
        <f>IFERROR(__xludf.DUMMYFUNCTION("""COMPUTED_VALUE"""),0.0)</f>
        <v>0</v>
      </c>
      <c r="W1503" s="87">
        <f>IFERROR(__xludf.DUMMYFUNCTION("""COMPUTED_VALUE"""),0.0)</f>
        <v>0</v>
      </c>
      <c r="X1503" s="88"/>
      <c r="Y1503" s="74"/>
      <c r="Z1503" s="74"/>
    </row>
    <row r="1504">
      <c r="B1504" s="74" t="str">
        <f>IFERROR(__xludf.DUMMYFUNCTION("""COMPUTED_VALUE"""),"2502")</f>
        <v>2502</v>
      </c>
      <c r="C1504" s="74" t="str">
        <f>IFERROR(__xludf.DUMMYFUNCTION("""COMPUTED_VALUE"""),"75045892502")</f>
        <v>75045892502</v>
      </c>
      <c r="D1504" s="74"/>
      <c r="E1504" s="74" t="str">
        <f>IFERROR(__xludf.DUMMYFUNCTION("""COMPUTED_VALUE"""),"100-TF MOUNTED BALL BEARING")</f>
        <v>100-TF MOUNTED BALL BEARING</v>
      </c>
      <c r="F1504" s="74" t="str">
        <f>IFERROR(__xludf.DUMMYFUNCTION("""COMPUTED_VALUE"""),"CHUMACERA 100-TF")</f>
        <v>CHUMACERA 100-TF</v>
      </c>
      <c r="G1504" s="74"/>
      <c r="H1504" s="74"/>
      <c r="I1504" s="74" t="str">
        <f>IFERROR(__xludf.DUMMYFUNCTION("""COMPUTED_VALUE"""),"WSTU 100-TF")</f>
        <v>WSTU 100-TF</v>
      </c>
      <c r="J1504" s="74"/>
      <c r="K1504" s="74" t="str">
        <f>IFERROR(__xludf.DUMMYFUNCTION("""COMPUTED_VALUE"""),"TRITURADORAS")</f>
        <v>TRITURADORAS</v>
      </c>
      <c r="L1504" s="74"/>
      <c r="M1504" s="74" t="str">
        <f>IFERROR(__xludf.DUMMYFUNCTION("""COMPUTED_VALUE"""),"Sin Asignar")</f>
        <v>Sin Asignar</v>
      </c>
      <c r="N1504" s="87">
        <f>IFERROR(__xludf.DUMMYFUNCTION("""COMPUTED_VALUE"""),0.0)</f>
        <v>0</v>
      </c>
      <c r="O1504" s="74"/>
      <c r="P1504" s="74" t="str">
        <f>IFERROR(__xludf.DUMMYFUNCTION("""COMPUTED_VALUE"""),"To Re-purchase")</f>
        <v>To Re-purchase</v>
      </c>
      <c r="Q1504" s="74"/>
      <c r="R1504" s="74"/>
      <c r="S1504" s="87">
        <f>IFERROR(__xludf.DUMMYFUNCTION("""COMPUTED_VALUE"""),0.0)</f>
        <v>0</v>
      </c>
      <c r="T1504" s="87">
        <f>IFERROR(__xludf.DUMMYFUNCTION("""COMPUTED_VALUE"""),0.0)</f>
        <v>0</v>
      </c>
      <c r="U1504" s="87">
        <f>IFERROR(__xludf.DUMMYFUNCTION("""COMPUTED_VALUE"""),0.0)</f>
        <v>0</v>
      </c>
      <c r="V1504" s="87">
        <f>IFERROR(__xludf.DUMMYFUNCTION("""COMPUTED_VALUE"""),0.0)</f>
        <v>0</v>
      </c>
      <c r="W1504" s="87">
        <f>IFERROR(__xludf.DUMMYFUNCTION("""COMPUTED_VALUE"""),0.0)</f>
        <v>0</v>
      </c>
      <c r="X1504" s="88"/>
      <c r="Y1504" s="74"/>
      <c r="Z1504" s="74"/>
    </row>
    <row r="1505">
      <c r="B1505" s="74" t="str">
        <f>IFERROR(__xludf.DUMMYFUNCTION("""COMPUTED_VALUE"""),"2503")</f>
        <v>2503</v>
      </c>
      <c r="C1505" s="74" t="str">
        <f>IFERROR(__xludf.DUMMYFUNCTION("""COMPUTED_VALUE"""),"75045892503")</f>
        <v>75045892503</v>
      </c>
      <c r="D1505" s="74"/>
      <c r="E1505" s="74" t="str">
        <f>IFERROR(__xludf.DUMMYFUNCTION("""COMPUTED_VALUE"""),"DODGE TOQUEN-ARM (TXT)")</f>
        <v>DODGE TOQUEN-ARM (TXT)</v>
      </c>
      <c r="F1505" s="74" t="str">
        <f>IFERROR(__xludf.DUMMYFUNCTION("""COMPUTED_VALUE"""),"MOTOREDUCTOR TXT ")</f>
        <v>MOTOREDUCTOR TXT </v>
      </c>
      <c r="G1505" s="74"/>
      <c r="H1505" s="74"/>
      <c r="I1505" s="74" t="str">
        <f>IFERROR(__xludf.DUMMYFUNCTION("""COMPUTED_VALUE"""),"TXT")</f>
        <v>TXT</v>
      </c>
      <c r="J1505" s="74"/>
      <c r="K1505" s="74" t="str">
        <f>IFERROR(__xludf.DUMMYFUNCTION("""COMPUTED_VALUE"""),"TRITURADORAS")</f>
        <v>TRITURADORAS</v>
      </c>
      <c r="L1505" s="74"/>
      <c r="M1505" s="74" t="str">
        <f>IFERROR(__xludf.DUMMYFUNCTION("""COMPUTED_VALUE"""),"Sin Asignar")</f>
        <v>Sin Asignar</v>
      </c>
      <c r="N1505" s="87">
        <f>IFERROR(__xludf.DUMMYFUNCTION("""COMPUTED_VALUE"""),0.0)</f>
        <v>0</v>
      </c>
      <c r="O1505" s="74"/>
      <c r="P1505" s="74" t="str">
        <f>IFERROR(__xludf.DUMMYFUNCTION("""COMPUTED_VALUE"""),"To Re-purchase")</f>
        <v>To Re-purchase</v>
      </c>
      <c r="Q1505" s="74"/>
      <c r="R1505" s="74"/>
      <c r="S1505" s="87">
        <f>IFERROR(__xludf.DUMMYFUNCTION("""COMPUTED_VALUE"""),0.0)</f>
        <v>0</v>
      </c>
      <c r="T1505" s="87">
        <f>IFERROR(__xludf.DUMMYFUNCTION("""COMPUTED_VALUE"""),0.0)</f>
        <v>0</v>
      </c>
      <c r="U1505" s="87">
        <f>IFERROR(__xludf.DUMMYFUNCTION("""COMPUTED_VALUE"""),0.0)</f>
        <v>0</v>
      </c>
      <c r="V1505" s="87">
        <f>IFERROR(__xludf.DUMMYFUNCTION("""COMPUTED_VALUE"""),0.0)</f>
        <v>0</v>
      </c>
      <c r="W1505" s="87">
        <f>IFERROR(__xludf.DUMMYFUNCTION("""COMPUTED_VALUE"""),0.0)</f>
        <v>0</v>
      </c>
      <c r="X1505" s="88"/>
      <c r="Y1505" s="74"/>
      <c r="Z1505" s="74"/>
    </row>
    <row r="1506">
      <c r="B1506" s="74" t="str">
        <f>IFERROR(__xludf.DUMMYFUNCTION("""COMPUTED_VALUE"""),"2504")</f>
        <v>2504</v>
      </c>
      <c r="C1506" s="74" t="str">
        <f>IFERROR(__xludf.DUMMYFUNCTION("""COMPUTED_VALUE"""),"75045892504")</f>
        <v>75045892504</v>
      </c>
      <c r="D1506" s="74"/>
      <c r="E1506" s="74" t="str">
        <f>IFERROR(__xludf.DUMMYFUNCTION("""COMPUTED_VALUE"""),"QUICKFIT SCREW SYSTEM CONVEYOR BELT FASTENERS")</f>
        <v>QUICKFIT SCREW SYSTEM CONVEYOR BELT FASTENERS</v>
      </c>
      <c r="F1506" s="74" t="str">
        <f>IFERROR(__xludf.DUMMYFUNCTION("""COMPUTED_VALUE"""),"GRAPAS PARA BANDA DE 1 1/2 Y 2"" PULGADAS")</f>
        <v>GRAPAS PARA BANDA DE 1 1/2 Y 2" PULGADAS</v>
      </c>
      <c r="G1506" s="74"/>
      <c r="H1506" s="74"/>
      <c r="I1506" s="74" t="str">
        <f>IFERROR(__xludf.DUMMYFUNCTION("""COMPUTED_VALUE"""),"ENG-3637-01")</f>
        <v>ENG-3637-01</v>
      </c>
      <c r="J1506" s="74"/>
      <c r="K1506" s="74" t="str">
        <f>IFERROR(__xludf.DUMMYFUNCTION("""COMPUTED_VALUE"""),"TRITURADORAS")</f>
        <v>TRITURADORAS</v>
      </c>
      <c r="L1506" s="74"/>
      <c r="M1506" s="74" t="str">
        <f>IFERROR(__xludf.DUMMYFUNCTION("""COMPUTED_VALUE"""),"Sin Asignar")</f>
        <v>Sin Asignar</v>
      </c>
      <c r="N1506" s="87">
        <f>IFERROR(__xludf.DUMMYFUNCTION("""COMPUTED_VALUE"""),0.0)</f>
        <v>0</v>
      </c>
      <c r="O1506" s="74"/>
      <c r="P1506" s="74" t="str">
        <f>IFERROR(__xludf.DUMMYFUNCTION("""COMPUTED_VALUE"""),"To Re-purchase")</f>
        <v>To Re-purchase</v>
      </c>
      <c r="Q1506" s="74"/>
      <c r="R1506" s="74"/>
      <c r="S1506" s="87">
        <f>IFERROR(__xludf.DUMMYFUNCTION("""COMPUTED_VALUE"""),0.0)</f>
        <v>0</v>
      </c>
      <c r="T1506" s="87">
        <f>IFERROR(__xludf.DUMMYFUNCTION("""COMPUTED_VALUE"""),0.0)</f>
        <v>0</v>
      </c>
      <c r="U1506" s="87">
        <f>IFERROR(__xludf.DUMMYFUNCTION("""COMPUTED_VALUE"""),0.0)</f>
        <v>0</v>
      </c>
      <c r="V1506" s="87">
        <f>IFERROR(__xludf.DUMMYFUNCTION("""COMPUTED_VALUE"""),0.0)</f>
        <v>0</v>
      </c>
      <c r="W1506" s="87">
        <f>IFERROR(__xludf.DUMMYFUNCTION("""COMPUTED_VALUE"""),0.0)</f>
        <v>0</v>
      </c>
      <c r="X1506" s="88"/>
      <c r="Y1506" s="74"/>
      <c r="Z1506" s="74"/>
    </row>
    <row r="1507">
      <c r="B1507" s="74" t="str">
        <f>IFERROR(__xludf.DUMMYFUNCTION("""COMPUTED_VALUE"""),"2505")</f>
        <v>2505</v>
      </c>
      <c r="C1507" s="74" t="str">
        <f>IFERROR(__xludf.DUMMYFUNCTION("""COMPUTED_VALUE"""),"750458925056")</f>
        <v>750458925056</v>
      </c>
      <c r="D1507" s="74"/>
      <c r="E1507" s="74" t="str">
        <f>IFERROR(__xludf.DUMMYFUNCTION("""COMPUTED_VALUE"""),"FASTENER INSTALLATION TOOL")</f>
        <v>FASTENER INSTALLATION TOOL</v>
      </c>
      <c r="F1507" s="74" t="str">
        <f>IFERROR(__xludf.DUMMYFUNCTION("""COMPUTED_VALUE"""),"LLAVE MANUAL PARA GRAPA")</f>
        <v>LLAVE MANUAL PARA GRAPA</v>
      </c>
      <c r="G1507" s="74"/>
      <c r="H1507" s="74"/>
      <c r="I1507" s="74" t="str">
        <f>IFERROR(__xludf.DUMMYFUNCTION("""COMPUTED_VALUE""")," 30443")</f>
        <v> 30443</v>
      </c>
      <c r="J1507" s="74"/>
      <c r="K1507" s="74" t="str">
        <f>IFERROR(__xludf.DUMMYFUNCTION("""COMPUTED_VALUE"""),"TRITURADORAS")</f>
        <v>TRITURADORAS</v>
      </c>
      <c r="L1507" s="74"/>
      <c r="M1507" s="74" t="str">
        <f>IFERROR(__xludf.DUMMYFUNCTION("""COMPUTED_VALUE"""),"Sin Asignar")</f>
        <v>Sin Asignar</v>
      </c>
      <c r="N1507" s="87">
        <f>IFERROR(__xludf.DUMMYFUNCTION("""COMPUTED_VALUE"""),0.0)</f>
        <v>0</v>
      </c>
      <c r="O1507" s="74"/>
      <c r="P1507" s="74" t="str">
        <f>IFERROR(__xludf.DUMMYFUNCTION("""COMPUTED_VALUE"""),"To Re-purchase")</f>
        <v>To Re-purchase</v>
      </c>
      <c r="Q1507" s="74"/>
      <c r="R1507" s="74"/>
      <c r="S1507" s="87">
        <f>IFERROR(__xludf.DUMMYFUNCTION("""COMPUTED_VALUE"""),0.0)</f>
        <v>0</v>
      </c>
      <c r="T1507" s="87">
        <f>IFERROR(__xludf.DUMMYFUNCTION("""COMPUTED_VALUE"""),0.0)</f>
        <v>0</v>
      </c>
      <c r="U1507" s="87">
        <f>IFERROR(__xludf.DUMMYFUNCTION("""COMPUTED_VALUE"""),0.0)</f>
        <v>0</v>
      </c>
      <c r="V1507" s="87">
        <f>IFERROR(__xludf.DUMMYFUNCTION("""COMPUTED_VALUE"""),0.0)</f>
        <v>0</v>
      </c>
      <c r="W1507" s="87">
        <f>IFERROR(__xludf.DUMMYFUNCTION("""COMPUTED_VALUE"""),0.0)</f>
        <v>0</v>
      </c>
      <c r="X1507" s="88"/>
      <c r="Y1507" s="74"/>
      <c r="Z1507" s="74"/>
    </row>
    <row r="1508">
      <c r="B1508" s="74" t="str">
        <f>IFERROR(__xludf.DUMMYFUNCTION("""COMPUTED_VALUE"""),"2506")</f>
        <v>2506</v>
      </c>
      <c r="C1508" s="74" t="str">
        <f>IFERROR(__xludf.DUMMYFUNCTION("""COMPUTED_VALUE"""),"75045892506")</f>
        <v>75045892506</v>
      </c>
      <c r="D1508" s="74"/>
      <c r="E1508" s="74" t="str">
        <f>IFERROR(__xludf.DUMMYFUNCTION("""COMPUTED_VALUE"""),"BALL BEARINGS 6310 SKF ")</f>
        <v>BALL BEARINGS 6310 SKF </v>
      </c>
      <c r="F1508" s="74" t="str">
        <f>IFERROR(__xludf.DUMMYFUNCTION("""COMPUTED_VALUE"""),"BALERO 6310 SKF ")</f>
        <v>BALERO 6310 SKF </v>
      </c>
      <c r="G1508" s="74"/>
      <c r="H1508" s="74"/>
      <c r="I1508" s="74" t="str">
        <f>IFERROR(__xludf.DUMMYFUNCTION("""COMPUTED_VALUE"""),"6310")</f>
        <v>6310</v>
      </c>
      <c r="J1508" s="74"/>
      <c r="K1508" s="74" t="str">
        <f>IFERROR(__xludf.DUMMYFUNCTION("""COMPUTED_VALUE"""),"TRITURADORAS")</f>
        <v>TRITURADORAS</v>
      </c>
      <c r="L1508" s="74" t="str">
        <f>IFERROR(__xludf.DUMMYFUNCTION("""COMPUTED_VALUE"""),"SIN ASIGNAR")</f>
        <v>SIN ASIGNAR</v>
      </c>
      <c r="M1508" s="74" t="str">
        <f>IFERROR(__xludf.DUMMYFUNCTION("""COMPUTED_VALUE"""),"BALEROS")</f>
        <v>BALEROS</v>
      </c>
      <c r="N1508" s="87">
        <f>IFERROR(__xludf.DUMMYFUNCTION("""COMPUTED_VALUE"""),0.0)</f>
        <v>0</v>
      </c>
      <c r="O1508" s="74"/>
      <c r="P1508" s="74" t="str">
        <f>IFERROR(__xludf.DUMMYFUNCTION("""COMPUTED_VALUE"""),"To Re-purchase")</f>
        <v>To Re-purchase</v>
      </c>
      <c r="Q1508" s="74"/>
      <c r="R1508" s="74"/>
      <c r="S1508" s="87">
        <f>IFERROR(__xludf.DUMMYFUNCTION("""COMPUTED_VALUE"""),0.0)</f>
        <v>0</v>
      </c>
      <c r="T1508" s="87">
        <f>IFERROR(__xludf.DUMMYFUNCTION("""COMPUTED_VALUE"""),0.0)</f>
        <v>0</v>
      </c>
      <c r="U1508" s="87">
        <f>IFERROR(__xludf.DUMMYFUNCTION("""COMPUTED_VALUE"""),0.0)</f>
        <v>0</v>
      </c>
      <c r="V1508" s="87">
        <f>IFERROR(__xludf.DUMMYFUNCTION("""COMPUTED_VALUE"""),0.0)</f>
        <v>0</v>
      </c>
      <c r="W1508" s="87">
        <f>IFERROR(__xludf.DUMMYFUNCTION("""COMPUTED_VALUE"""),0.0)</f>
        <v>0</v>
      </c>
      <c r="X1508" s="88"/>
      <c r="Y1508" s="74"/>
      <c r="Z1508" s="74"/>
    </row>
    <row r="1509">
      <c r="B1509" s="74" t="str">
        <f>IFERROR(__xludf.DUMMYFUNCTION("""COMPUTED_VALUE"""),"2507")</f>
        <v>2507</v>
      </c>
      <c r="C1509" s="74" t="str">
        <f>IFERROR(__xludf.DUMMYFUNCTION("""COMPUTED_VALUE"""),"75045892507")</f>
        <v>75045892507</v>
      </c>
      <c r="D1509" s="74"/>
      <c r="E1509" s="74" t="str">
        <f>IFERROR(__xludf.DUMMYFUNCTION("""COMPUTED_VALUE"""),"BALL BEARINGS 3212 ATN9")</f>
        <v>BALL BEARINGS 3212 ATN9</v>
      </c>
      <c r="F1509" s="74" t="str">
        <f>IFERROR(__xludf.DUMMYFUNCTION("""COMPUTED_VALUE"""),"BALERO 3212 ATN9")</f>
        <v>BALERO 3212 ATN9</v>
      </c>
      <c r="G1509" s="74"/>
      <c r="H1509" s="74"/>
      <c r="I1509" s="74" t="str">
        <f>IFERROR(__xludf.DUMMYFUNCTION("""COMPUTED_VALUE"""),"3212 ATN9")</f>
        <v>3212 ATN9</v>
      </c>
      <c r="J1509" s="74"/>
      <c r="K1509" s="74" t="str">
        <f>IFERROR(__xludf.DUMMYFUNCTION("""COMPUTED_VALUE"""),"TRITURADORAS")</f>
        <v>TRITURADORAS</v>
      </c>
      <c r="L1509" s="74" t="str">
        <f>IFERROR(__xludf.DUMMYFUNCTION("""COMPUTED_VALUE"""),"SIN ASIGNAR")</f>
        <v>SIN ASIGNAR</v>
      </c>
      <c r="M1509" s="74" t="str">
        <f>IFERROR(__xludf.DUMMYFUNCTION("""COMPUTED_VALUE"""),"BALEROS")</f>
        <v>BALEROS</v>
      </c>
      <c r="N1509" s="87">
        <f>IFERROR(__xludf.DUMMYFUNCTION("""COMPUTED_VALUE"""),0.0)</f>
        <v>0</v>
      </c>
      <c r="O1509" s="74"/>
      <c r="P1509" s="74" t="str">
        <f>IFERROR(__xludf.DUMMYFUNCTION("""COMPUTED_VALUE"""),"To Re-purchase")</f>
        <v>To Re-purchase</v>
      </c>
      <c r="Q1509" s="74"/>
      <c r="R1509" s="74"/>
      <c r="S1509" s="87">
        <f>IFERROR(__xludf.DUMMYFUNCTION("""COMPUTED_VALUE"""),0.0)</f>
        <v>0</v>
      </c>
      <c r="T1509" s="87">
        <f>IFERROR(__xludf.DUMMYFUNCTION("""COMPUTED_VALUE"""),0.0)</f>
        <v>0</v>
      </c>
      <c r="U1509" s="87">
        <f>IFERROR(__xludf.DUMMYFUNCTION("""COMPUTED_VALUE"""),0.0)</f>
        <v>0</v>
      </c>
      <c r="V1509" s="87">
        <f>IFERROR(__xludf.DUMMYFUNCTION("""COMPUTED_VALUE"""),0.0)</f>
        <v>0</v>
      </c>
      <c r="W1509" s="87">
        <f>IFERROR(__xludf.DUMMYFUNCTION("""COMPUTED_VALUE"""),0.0)</f>
        <v>0</v>
      </c>
      <c r="X1509" s="88"/>
      <c r="Y1509" s="74"/>
      <c r="Z1509" s="74"/>
    </row>
    <row r="1510">
      <c r="B1510" s="74" t="str">
        <f>IFERROR(__xludf.DUMMYFUNCTION("""COMPUTED_VALUE"""),"2508")</f>
        <v>2508</v>
      </c>
      <c r="C1510" s="74" t="str">
        <f>IFERROR(__xludf.DUMMYFUNCTION("""COMPUTED_VALUE"""),"75045892508")</f>
        <v>75045892508</v>
      </c>
      <c r="D1510" s="74"/>
      <c r="E1510" s="74" t="str">
        <f>IFERROR(__xludf.DUMMYFUNCTION("""COMPUTED_VALUE"""),"BALL BEARINGS 3212 ATN9 SKF")</f>
        <v>BALL BEARINGS 3212 ATN9 SKF</v>
      </c>
      <c r="F1510" s="74" t="str">
        <f>IFERROR(__xludf.DUMMYFUNCTION("""COMPUTED_VALUE"""),"BALERO 3212 ATN9 SKF")</f>
        <v>BALERO 3212 ATN9 SKF</v>
      </c>
      <c r="G1510" s="74"/>
      <c r="H1510" s="74"/>
      <c r="I1510" s="74" t="str">
        <f>IFERROR(__xludf.DUMMYFUNCTION("""COMPUTED_VALUE"""),"3212 ATN9 SKF")</f>
        <v>3212 ATN9 SKF</v>
      </c>
      <c r="J1510" s="74"/>
      <c r="K1510" s="74" t="str">
        <f>IFERROR(__xludf.DUMMYFUNCTION("""COMPUTED_VALUE"""),"TRITURADORAS")</f>
        <v>TRITURADORAS</v>
      </c>
      <c r="L1510" s="74" t="str">
        <f>IFERROR(__xludf.DUMMYFUNCTION("""COMPUTED_VALUE"""),"SIN ASIGNAR")</f>
        <v>SIN ASIGNAR</v>
      </c>
      <c r="M1510" s="74" t="str">
        <f>IFERROR(__xludf.DUMMYFUNCTION("""COMPUTED_VALUE"""),"BALEROS")</f>
        <v>BALEROS</v>
      </c>
      <c r="N1510" s="87">
        <f>IFERROR(__xludf.DUMMYFUNCTION("""COMPUTED_VALUE"""),0.0)</f>
        <v>0</v>
      </c>
      <c r="O1510" s="74"/>
      <c r="P1510" s="74" t="str">
        <f>IFERROR(__xludf.DUMMYFUNCTION("""COMPUTED_VALUE"""),"To Re-purchase")</f>
        <v>To Re-purchase</v>
      </c>
      <c r="Q1510" s="74"/>
      <c r="R1510" s="74"/>
      <c r="S1510" s="87">
        <f>IFERROR(__xludf.DUMMYFUNCTION("""COMPUTED_VALUE"""),0.0)</f>
        <v>0</v>
      </c>
      <c r="T1510" s="87">
        <f>IFERROR(__xludf.DUMMYFUNCTION("""COMPUTED_VALUE"""),0.0)</f>
        <v>0</v>
      </c>
      <c r="U1510" s="87">
        <f>IFERROR(__xludf.DUMMYFUNCTION("""COMPUTED_VALUE"""),0.0)</f>
        <v>0</v>
      </c>
      <c r="V1510" s="87">
        <f>IFERROR(__xludf.DUMMYFUNCTION("""COMPUTED_VALUE"""),0.0)</f>
        <v>0</v>
      </c>
      <c r="W1510" s="87">
        <f>IFERROR(__xludf.DUMMYFUNCTION("""COMPUTED_VALUE"""),0.0)</f>
        <v>0</v>
      </c>
      <c r="X1510" s="88"/>
      <c r="Y1510" s="74"/>
      <c r="Z1510" s="74"/>
    </row>
    <row r="1511">
      <c r="B1511" s="74" t="str">
        <f>IFERROR(__xludf.DUMMYFUNCTION("""COMPUTED_VALUE"""),"2509")</f>
        <v>2509</v>
      </c>
      <c r="C1511" s="74" t="str">
        <f>IFERROR(__xludf.DUMMYFUNCTION("""COMPUTED_VALUE"""),"75045892509")</f>
        <v>75045892509</v>
      </c>
      <c r="D1511" s="74"/>
      <c r="E1511" s="74" t="str">
        <f>IFERROR(__xludf.DUMMYFUNCTION("""COMPUTED_VALUE"""),"BALL BEARINGS 6312 SKF ")</f>
        <v>BALL BEARINGS 6312 SKF </v>
      </c>
      <c r="F1511" s="74" t="str">
        <f>IFERROR(__xludf.DUMMYFUNCTION("""COMPUTED_VALUE"""),"BALERO 6312 SKF ")</f>
        <v>BALERO 6312 SKF </v>
      </c>
      <c r="G1511" s="74"/>
      <c r="H1511" s="74"/>
      <c r="I1511" s="74" t="str">
        <f>IFERROR(__xludf.DUMMYFUNCTION("""COMPUTED_VALUE"""),"6312 SKF ")</f>
        <v>6312 SKF </v>
      </c>
      <c r="J1511" s="74"/>
      <c r="K1511" s="74" t="str">
        <f>IFERROR(__xludf.DUMMYFUNCTION("""COMPUTED_VALUE"""),"TRITURADORAS")</f>
        <v>TRITURADORAS</v>
      </c>
      <c r="L1511" s="74" t="str">
        <f>IFERROR(__xludf.DUMMYFUNCTION("""COMPUTED_VALUE"""),"SIN ASIGNAR")</f>
        <v>SIN ASIGNAR</v>
      </c>
      <c r="M1511" s="74" t="str">
        <f>IFERROR(__xludf.DUMMYFUNCTION("""COMPUTED_VALUE"""),"BALEROS")</f>
        <v>BALEROS</v>
      </c>
      <c r="N1511" s="87">
        <f>IFERROR(__xludf.DUMMYFUNCTION("""COMPUTED_VALUE"""),0.0)</f>
        <v>0</v>
      </c>
      <c r="O1511" s="74"/>
      <c r="P1511" s="74" t="str">
        <f>IFERROR(__xludf.DUMMYFUNCTION("""COMPUTED_VALUE"""),"To Re-purchase")</f>
        <v>To Re-purchase</v>
      </c>
      <c r="Q1511" s="74"/>
      <c r="R1511" s="74"/>
      <c r="S1511" s="87">
        <f>IFERROR(__xludf.DUMMYFUNCTION("""COMPUTED_VALUE"""),0.0)</f>
        <v>0</v>
      </c>
      <c r="T1511" s="87">
        <f>IFERROR(__xludf.DUMMYFUNCTION("""COMPUTED_VALUE"""),0.0)</f>
        <v>0</v>
      </c>
      <c r="U1511" s="87">
        <f>IFERROR(__xludf.DUMMYFUNCTION("""COMPUTED_VALUE"""),0.0)</f>
        <v>0</v>
      </c>
      <c r="V1511" s="87">
        <f>IFERROR(__xludf.DUMMYFUNCTION("""COMPUTED_VALUE"""),0.0)</f>
        <v>0</v>
      </c>
      <c r="W1511" s="87">
        <f>IFERROR(__xludf.DUMMYFUNCTION("""COMPUTED_VALUE"""),0.0)</f>
        <v>0</v>
      </c>
      <c r="X1511" s="88"/>
      <c r="Y1511" s="74"/>
      <c r="Z1511" s="74"/>
    </row>
    <row r="1512">
      <c r="B1512" s="74" t="str">
        <f>IFERROR(__xludf.DUMMYFUNCTION("""COMPUTED_VALUE"""),"2510")</f>
        <v>2510</v>
      </c>
      <c r="C1512" s="74" t="str">
        <f>IFERROR(__xludf.DUMMYFUNCTION("""COMPUTED_VALUE"""),"75045892510")</f>
        <v>75045892510</v>
      </c>
      <c r="D1512" s="74"/>
      <c r="E1512" s="74" t="str">
        <f>IFERROR(__xludf.DUMMYFUNCTION("""COMPUTED_VALUE"""),"BALL BEARINGS 6211 SYBR")</f>
        <v>BALL BEARINGS 6211 SYBR</v>
      </c>
      <c r="F1512" s="74" t="str">
        <f>IFERROR(__xludf.DUMMYFUNCTION("""COMPUTED_VALUE"""),"BALERO 6211 SYBR")</f>
        <v>BALERO 6211 SYBR</v>
      </c>
      <c r="G1512" s="74"/>
      <c r="H1512" s="74"/>
      <c r="I1512" s="74" t="str">
        <f>IFERROR(__xludf.DUMMYFUNCTION("""COMPUTED_VALUE"""),"6211 SYBR")</f>
        <v>6211 SYBR</v>
      </c>
      <c r="J1512" s="74"/>
      <c r="K1512" s="74" t="str">
        <f>IFERROR(__xludf.DUMMYFUNCTION("""COMPUTED_VALUE"""),"TRITURADORAS")</f>
        <v>TRITURADORAS</v>
      </c>
      <c r="L1512" s="74" t="str">
        <f>IFERROR(__xludf.DUMMYFUNCTION("""COMPUTED_VALUE"""),"SIN ASIGNAR")</f>
        <v>SIN ASIGNAR</v>
      </c>
      <c r="M1512" s="74" t="str">
        <f>IFERROR(__xludf.DUMMYFUNCTION("""COMPUTED_VALUE"""),"BALEROS")</f>
        <v>BALEROS</v>
      </c>
      <c r="N1512" s="87">
        <f>IFERROR(__xludf.DUMMYFUNCTION("""COMPUTED_VALUE"""),0.0)</f>
        <v>0</v>
      </c>
      <c r="O1512" s="74"/>
      <c r="P1512" s="74" t="str">
        <f>IFERROR(__xludf.DUMMYFUNCTION("""COMPUTED_VALUE"""),"To Re-purchase")</f>
        <v>To Re-purchase</v>
      </c>
      <c r="Q1512" s="74"/>
      <c r="R1512" s="74"/>
      <c r="S1512" s="87">
        <f>IFERROR(__xludf.DUMMYFUNCTION("""COMPUTED_VALUE"""),0.0)</f>
        <v>0</v>
      </c>
      <c r="T1512" s="87">
        <f>IFERROR(__xludf.DUMMYFUNCTION("""COMPUTED_VALUE"""),0.0)</f>
        <v>0</v>
      </c>
      <c r="U1512" s="87">
        <f>IFERROR(__xludf.DUMMYFUNCTION("""COMPUTED_VALUE"""),0.0)</f>
        <v>0</v>
      </c>
      <c r="V1512" s="87">
        <f>IFERROR(__xludf.DUMMYFUNCTION("""COMPUTED_VALUE"""),0.0)</f>
        <v>0</v>
      </c>
      <c r="W1512" s="87">
        <f>IFERROR(__xludf.DUMMYFUNCTION("""COMPUTED_VALUE"""),0.0)</f>
        <v>0</v>
      </c>
      <c r="X1512" s="88"/>
      <c r="Y1512" s="74"/>
      <c r="Z1512" s="74"/>
    </row>
    <row r="1513">
      <c r="B1513" s="74" t="str">
        <f>IFERROR(__xludf.DUMMYFUNCTION("""COMPUTED_VALUE"""),"2511")</f>
        <v>2511</v>
      </c>
      <c r="C1513" s="74" t="str">
        <f>IFERROR(__xludf.DUMMYFUNCTION("""COMPUTED_VALUE"""),"75045892511")</f>
        <v>75045892511</v>
      </c>
      <c r="D1513" s="74"/>
      <c r="E1513" s="74" t="str">
        <f>IFERROR(__xludf.DUMMYFUNCTION("""COMPUTED_VALUE"""),"BALL BEARINGS 21309 ")</f>
        <v>BALL BEARINGS 21309 </v>
      </c>
      <c r="F1513" s="74" t="str">
        <f>IFERROR(__xludf.DUMMYFUNCTION("""COMPUTED_VALUE"""),"BALERO 21309 ")</f>
        <v>BALERO 21309 </v>
      </c>
      <c r="G1513" s="74"/>
      <c r="H1513" s="74"/>
      <c r="I1513" s="74" t="str">
        <f>IFERROR(__xludf.DUMMYFUNCTION("""COMPUTED_VALUE"""),"21309 ")</f>
        <v>21309 </v>
      </c>
      <c r="J1513" s="74"/>
      <c r="K1513" s="74" t="str">
        <f>IFERROR(__xludf.DUMMYFUNCTION("""COMPUTED_VALUE"""),"TRITURADORAS")</f>
        <v>TRITURADORAS</v>
      </c>
      <c r="L1513" s="74" t="str">
        <f>IFERROR(__xludf.DUMMYFUNCTION("""COMPUTED_VALUE"""),"SIN ASIGNAR")</f>
        <v>SIN ASIGNAR</v>
      </c>
      <c r="M1513" s="74" t="str">
        <f>IFERROR(__xludf.DUMMYFUNCTION("""COMPUTED_VALUE"""),"BALEROS")</f>
        <v>BALEROS</v>
      </c>
      <c r="N1513" s="87">
        <f>IFERROR(__xludf.DUMMYFUNCTION("""COMPUTED_VALUE"""),0.0)</f>
        <v>0</v>
      </c>
      <c r="O1513" s="74"/>
      <c r="P1513" s="74" t="str">
        <f>IFERROR(__xludf.DUMMYFUNCTION("""COMPUTED_VALUE"""),"To Re-purchase")</f>
        <v>To Re-purchase</v>
      </c>
      <c r="Q1513" s="74"/>
      <c r="R1513" s="74"/>
      <c r="S1513" s="87">
        <f>IFERROR(__xludf.DUMMYFUNCTION("""COMPUTED_VALUE"""),0.0)</f>
        <v>0</v>
      </c>
      <c r="T1513" s="87">
        <f>IFERROR(__xludf.DUMMYFUNCTION("""COMPUTED_VALUE"""),0.0)</f>
        <v>0</v>
      </c>
      <c r="U1513" s="87">
        <f>IFERROR(__xludf.DUMMYFUNCTION("""COMPUTED_VALUE"""),0.0)</f>
        <v>0</v>
      </c>
      <c r="V1513" s="87">
        <f>IFERROR(__xludf.DUMMYFUNCTION("""COMPUTED_VALUE"""),0.0)</f>
        <v>0</v>
      </c>
      <c r="W1513" s="87">
        <f>IFERROR(__xludf.DUMMYFUNCTION("""COMPUTED_VALUE"""),0.0)</f>
        <v>0</v>
      </c>
      <c r="X1513" s="88"/>
      <c r="Y1513" s="74"/>
      <c r="Z1513" s="74"/>
    </row>
    <row r="1514">
      <c r="B1514" s="74" t="str">
        <f>IFERROR(__xludf.DUMMYFUNCTION("""COMPUTED_VALUE"""),"2512")</f>
        <v>2512</v>
      </c>
      <c r="C1514" s="74" t="str">
        <f>IFERROR(__xludf.DUMMYFUNCTION("""COMPUTED_VALUE"""),"75045892512")</f>
        <v>75045892512</v>
      </c>
      <c r="D1514" s="74"/>
      <c r="E1514" s="74" t="str">
        <f>IFERROR(__xludf.DUMMYFUNCTION("""COMPUTED_VALUE"""),"BALL BEARINGS 6206 SYBR ")</f>
        <v>BALL BEARINGS 6206 SYBR </v>
      </c>
      <c r="F1514" s="74" t="str">
        <f>IFERROR(__xludf.DUMMYFUNCTION("""COMPUTED_VALUE"""),"BALERO 6206 SYBR ")</f>
        <v>BALERO 6206 SYBR </v>
      </c>
      <c r="G1514" s="74"/>
      <c r="H1514" s="74"/>
      <c r="I1514" s="74" t="str">
        <f>IFERROR(__xludf.DUMMYFUNCTION("""COMPUTED_VALUE"""),"6206 SYBR ")</f>
        <v>6206 SYBR </v>
      </c>
      <c r="J1514" s="74"/>
      <c r="K1514" s="74" t="str">
        <f>IFERROR(__xludf.DUMMYFUNCTION("""COMPUTED_VALUE"""),"TRITURADORAS")</f>
        <v>TRITURADORAS</v>
      </c>
      <c r="L1514" s="74" t="str">
        <f>IFERROR(__xludf.DUMMYFUNCTION("""COMPUTED_VALUE"""),"SIN ASIGNAR")</f>
        <v>SIN ASIGNAR</v>
      </c>
      <c r="M1514" s="74" t="str">
        <f>IFERROR(__xludf.DUMMYFUNCTION("""COMPUTED_VALUE"""),"BALEROS")</f>
        <v>BALEROS</v>
      </c>
      <c r="N1514" s="87">
        <f>IFERROR(__xludf.DUMMYFUNCTION("""COMPUTED_VALUE"""),0.0)</f>
        <v>0</v>
      </c>
      <c r="O1514" s="74"/>
      <c r="P1514" s="74" t="str">
        <f>IFERROR(__xludf.DUMMYFUNCTION("""COMPUTED_VALUE"""),"To Re-purchase")</f>
        <v>To Re-purchase</v>
      </c>
      <c r="Q1514" s="74"/>
      <c r="R1514" s="74"/>
      <c r="S1514" s="87">
        <f>IFERROR(__xludf.DUMMYFUNCTION("""COMPUTED_VALUE"""),0.0)</f>
        <v>0</v>
      </c>
      <c r="T1514" s="87">
        <f>IFERROR(__xludf.DUMMYFUNCTION("""COMPUTED_VALUE"""),0.0)</f>
        <v>0</v>
      </c>
      <c r="U1514" s="87">
        <f>IFERROR(__xludf.DUMMYFUNCTION("""COMPUTED_VALUE"""),0.0)</f>
        <v>0</v>
      </c>
      <c r="V1514" s="87">
        <f>IFERROR(__xludf.DUMMYFUNCTION("""COMPUTED_VALUE"""),0.0)</f>
        <v>0</v>
      </c>
      <c r="W1514" s="87">
        <f>IFERROR(__xludf.DUMMYFUNCTION("""COMPUTED_VALUE"""),0.0)</f>
        <v>0</v>
      </c>
      <c r="X1514" s="88"/>
      <c r="Y1514" s="74"/>
      <c r="Z1514" s="74"/>
    </row>
    <row r="1515">
      <c r="B1515" s="74" t="str">
        <f>IFERROR(__xludf.DUMMYFUNCTION("""COMPUTED_VALUE"""),"2513")</f>
        <v>2513</v>
      </c>
      <c r="C1515" s="74" t="str">
        <f>IFERROR(__xludf.DUMMYFUNCTION("""COMPUTED_VALUE"""),"75045892513")</f>
        <v>75045892513</v>
      </c>
      <c r="D1515" s="74"/>
      <c r="E1515" s="74" t="str">
        <f>IFERROR(__xludf.DUMMYFUNCTION("""COMPUTED_VALUE"""),"BALL BEARINGS 6204 SYBR ")</f>
        <v>BALL BEARINGS 6204 SYBR </v>
      </c>
      <c r="F1515" s="74" t="str">
        <f>IFERROR(__xludf.DUMMYFUNCTION("""COMPUTED_VALUE"""),"BALERO 6204 SYBR ")</f>
        <v>BALERO 6204 SYBR </v>
      </c>
      <c r="G1515" s="74"/>
      <c r="H1515" s="74"/>
      <c r="I1515" s="74" t="str">
        <f>IFERROR(__xludf.DUMMYFUNCTION("""COMPUTED_VALUE"""),"6204 SYBR ")</f>
        <v>6204 SYBR </v>
      </c>
      <c r="J1515" s="74"/>
      <c r="K1515" s="74" t="str">
        <f>IFERROR(__xludf.DUMMYFUNCTION("""COMPUTED_VALUE"""),"TRITURADORAS")</f>
        <v>TRITURADORAS</v>
      </c>
      <c r="L1515" s="74" t="str">
        <f>IFERROR(__xludf.DUMMYFUNCTION("""COMPUTED_VALUE"""),"SIN ASIGNAR")</f>
        <v>SIN ASIGNAR</v>
      </c>
      <c r="M1515" s="74" t="str">
        <f>IFERROR(__xludf.DUMMYFUNCTION("""COMPUTED_VALUE"""),"BALEROS")</f>
        <v>BALEROS</v>
      </c>
      <c r="N1515" s="87">
        <f>IFERROR(__xludf.DUMMYFUNCTION("""COMPUTED_VALUE"""),0.0)</f>
        <v>0</v>
      </c>
      <c r="O1515" s="74"/>
      <c r="P1515" s="74" t="str">
        <f>IFERROR(__xludf.DUMMYFUNCTION("""COMPUTED_VALUE"""),"To Re-purchase")</f>
        <v>To Re-purchase</v>
      </c>
      <c r="Q1515" s="74"/>
      <c r="R1515" s="74"/>
      <c r="S1515" s="87"/>
      <c r="T1515" s="87"/>
      <c r="U1515" s="87">
        <f>IFERROR(__xludf.DUMMYFUNCTION("""COMPUTED_VALUE"""),0.0)</f>
        <v>0</v>
      </c>
      <c r="V1515" s="87">
        <f>IFERROR(__xludf.DUMMYFUNCTION("""COMPUTED_VALUE"""),0.0)</f>
        <v>0</v>
      </c>
      <c r="W1515" s="87">
        <f>IFERROR(__xludf.DUMMYFUNCTION("""COMPUTED_VALUE"""),0.0)</f>
        <v>0</v>
      </c>
      <c r="X1515" s="88"/>
      <c r="Y1515" s="74"/>
      <c r="Z1515" s="74"/>
    </row>
    <row r="1516">
      <c r="B1516" s="74" t="str">
        <f>IFERROR(__xludf.DUMMYFUNCTION("""COMPUTED_VALUE"""),"2514")</f>
        <v>2514</v>
      </c>
      <c r="C1516" s="74" t="str">
        <f>IFERROR(__xludf.DUMMYFUNCTION("""COMPUTED_VALUE"""),"75045892514")</f>
        <v>75045892514</v>
      </c>
      <c r="D1516" s="74"/>
      <c r="E1516" s="74" t="str">
        <f>IFERROR(__xludf.DUMMYFUNCTION("""COMPUTED_VALUE"""),"BALL BEARINGS 6017-2Z SKF")</f>
        <v>BALL BEARINGS 6017-2Z SKF</v>
      </c>
      <c r="F1516" s="74" t="str">
        <f>IFERROR(__xludf.DUMMYFUNCTION("""COMPUTED_VALUE"""),"BALERO 6017-2Z SKF")</f>
        <v>BALERO 6017-2Z SKF</v>
      </c>
      <c r="G1516" s="74"/>
      <c r="H1516" s="74"/>
      <c r="I1516" s="74" t="str">
        <f>IFERROR(__xludf.DUMMYFUNCTION("""COMPUTED_VALUE"""),"6017-2Z SKF")</f>
        <v>6017-2Z SKF</v>
      </c>
      <c r="J1516" s="74"/>
      <c r="K1516" s="74" t="str">
        <f>IFERROR(__xludf.DUMMYFUNCTION("""COMPUTED_VALUE"""),"TRITURADORAS")</f>
        <v>TRITURADORAS</v>
      </c>
      <c r="L1516" s="74" t="str">
        <f>IFERROR(__xludf.DUMMYFUNCTION("""COMPUTED_VALUE"""),"SIN ASIGNAR")</f>
        <v>SIN ASIGNAR</v>
      </c>
      <c r="M1516" s="74" t="str">
        <f>IFERROR(__xludf.DUMMYFUNCTION("""COMPUTED_VALUE"""),"BALEROS")</f>
        <v>BALEROS</v>
      </c>
      <c r="N1516" s="87">
        <f>IFERROR(__xludf.DUMMYFUNCTION("""COMPUTED_VALUE"""),0.0)</f>
        <v>0</v>
      </c>
      <c r="O1516" s="74"/>
      <c r="P1516" s="74" t="str">
        <f>IFERROR(__xludf.DUMMYFUNCTION("""COMPUTED_VALUE"""),"To Re-purchase")</f>
        <v>To Re-purchase</v>
      </c>
      <c r="Q1516" s="74"/>
      <c r="R1516" s="74"/>
      <c r="S1516" s="87">
        <f>IFERROR(__xludf.DUMMYFUNCTION("""COMPUTED_VALUE"""),0.0)</f>
        <v>0</v>
      </c>
      <c r="T1516" s="87">
        <f>IFERROR(__xludf.DUMMYFUNCTION("""COMPUTED_VALUE"""),0.0)</f>
        <v>0</v>
      </c>
      <c r="U1516" s="87">
        <f>IFERROR(__xludf.DUMMYFUNCTION("""COMPUTED_VALUE"""),0.0)</f>
        <v>0</v>
      </c>
      <c r="V1516" s="87">
        <f>IFERROR(__xludf.DUMMYFUNCTION("""COMPUTED_VALUE"""),0.0)</f>
        <v>0</v>
      </c>
      <c r="W1516" s="87">
        <f>IFERROR(__xludf.DUMMYFUNCTION("""COMPUTED_VALUE"""),0.0)</f>
        <v>0</v>
      </c>
      <c r="X1516" s="88"/>
      <c r="Y1516" s="74"/>
      <c r="Z1516" s="74"/>
    </row>
    <row r="1517">
      <c r="B1517" s="74" t="str">
        <f>IFERROR(__xludf.DUMMYFUNCTION("""COMPUTED_VALUE"""),"2515")</f>
        <v>2515</v>
      </c>
      <c r="C1517" s="74" t="str">
        <f>IFERROR(__xludf.DUMMYFUNCTION("""COMPUTED_VALUE"""),"75045892515")</f>
        <v>75045892515</v>
      </c>
      <c r="D1517" s="74"/>
      <c r="E1517" s="74" t="str">
        <f>IFERROR(__xludf.DUMMYFUNCTION("""COMPUTED_VALUE"""),"BALL BEARINGS 3212A2Z")</f>
        <v>BALL BEARINGS 3212A2Z</v>
      </c>
      <c r="F1517" s="74" t="str">
        <f>IFERROR(__xludf.DUMMYFUNCTION("""COMPUTED_VALUE"""),"BALERO 3212A2Z")</f>
        <v>BALERO 3212A2Z</v>
      </c>
      <c r="G1517" s="74"/>
      <c r="H1517" s="74"/>
      <c r="I1517" s="74" t="str">
        <f>IFERROR(__xludf.DUMMYFUNCTION("""COMPUTED_VALUE"""),"3212A2Z")</f>
        <v>3212A2Z</v>
      </c>
      <c r="J1517" s="74"/>
      <c r="K1517" s="74" t="str">
        <f>IFERROR(__xludf.DUMMYFUNCTION("""COMPUTED_VALUE"""),"TRITURADORAS")</f>
        <v>TRITURADORAS</v>
      </c>
      <c r="L1517" s="74" t="str">
        <f>IFERROR(__xludf.DUMMYFUNCTION("""COMPUTED_VALUE"""),"SIN ASIGNAR")</f>
        <v>SIN ASIGNAR</v>
      </c>
      <c r="M1517" s="74" t="str">
        <f>IFERROR(__xludf.DUMMYFUNCTION("""COMPUTED_VALUE"""),"BALEROS")</f>
        <v>BALEROS</v>
      </c>
      <c r="N1517" s="87">
        <f>IFERROR(__xludf.DUMMYFUNCTION("""COMPUTED_VALUE"""),0.0)</f>
        <v>0</v>
      </c>
      <c r="O1517" s="74"/>
      <c r="P1517" s="74" t="str">
        <f>IFERROR(__xludf.DUMMYFUNCTION("""COMPUTED_VALUE"""),"To Re-purchase")</f>
        <v>To Re-purchase</v>
      </c>
      <c r="Q1517" s="74"/>
      <c r="R1517" s="74"/>
      <c r="S1517" s="87"/>
      <c r="T1517" s="87"/>
      <c r="U1517" s="87">
        <f>IFERROR(__xludf.DUMMYFUNCTION("""COMPUTED_VALUE"""),0.0)</f>
        <v>0</v>
      </c>
      <c r="V1517" s="87">
        <f>IFERROR(__xludf.DUMMYFUNCTION("""COMPUTED_VALUE"""),0.0)</f>
        <v>0</v>
      </c>
      <c r="W1517" s="87">
        <f>IFERROR(__xludf.DUMMYFUNCTION("""COMPUTED_VALUE"""),0.0)</f>
        <v>0</v>
      </c>
      <c r="X1517" s="88"/>
      <c r="Y1517" s="74"/>
      <c r="Z1517" s="74"/>
    </row>
    <row r="1518">
      <c r="B1518" s="74" t="str">
        <f>IFERROR(__xludf.DUMMYFUNCTION("""COMPUTED_VALUE"""),"2516")</f>
        <v>2516</v>
      </c>
      <c r="C1518" s="74" t="str">
        <f>IFERROR(__xludf.DUMMYFUNCTION("""COMPUTED_VALUE"""),"75045892516")</f>
        <v>75045892516</v>
      </c>
      <c r="D1518" s="74"/>
      <c r="E1518" s="74" t="str">
        <f>IFERROR(__xludf.DUMMYFUNCTION("""COMPUTED_VALUE"""),"BALL BEARINGS 3212 A-2Z SKF (sellado) ")</f>
        <v>BALL BEARINGS 3212 A-2Z SKF (sellado) </v>
      </c>
      <c r="F1518" s="74" t="str">
        <f>IFERROR(__xludf.DUMMYFUNCTION("""COMPUTED_VALUE"""),"BALERO 3212 A-2Z SKF (sellado) ")</f>
        <v>BALERO 3212 A-2Z SKF (sellado) </v>
      </c>
      <c r="G1518" s="74"/>
      <c r="H1518" s="74"/>
      <c r="I1518" s="74" t="str">
        <f>IFERROR(__xludf.DUMMYFUNCTION("""COMPUTED_VALUE"""),"3212 A-2Z SKF")</f>
        <v>3212 A-2Z SKF</v>
      </c>
      <c r="J1518" s="74"/>
      <c r="K1518" s="74" t="str">
        <f>IFERROR(__xludf.DUMMYFUNCTION("""COMPUTED_VALUE"""),"TRITURADORAS")</f>
        <v>TRITURADORAS</v>
      </c>
      <c r="L1518" s="74" t="str">
        <f>IFERROR(__xludf.DUMMYFUNCTION("""COMPUTED_VALUE"""),"SIN ASIGNAR")</f>
        <v>SIN ASIGNAR</v>
      </c>
      <c r="M1518" s="74" t="str">
        <f>IFERROR(__xludf.DUMMYFUNCTION("""COMPUTED_VALUE"""),"BALEROS")</f>
        <v>BALEROS</v>
      </c>
      <c r="N1518" s="87">
        <f>IFERROR(__xludf.DUMMYFUNCTION("""COMPUTED_VALUE"""),0.0)</f>
        <v>0</v>
      </c>
      <c r="O1518" s="74"/>
      <c r="P1518" s="74" t="str">
        <f>IFERROR(__xludf.DUMMYFUNCTION("""COMPUTED_VALUE"""),"To Re-purchase")</f>
        <v>To Re-purchase</v>
      </c>
      <c r="Q1518" s="74"/>
      <c r="R1518" s="74"/>
      <c r="S1518" s="87"/>
      <c r="T1518" s="87"/>
      <c r="U1518" s="87">
        <f>IFERROR(__xludf.DUMMYFUNCTION("""COMPUTED_VALUE"""),0.0)</f>
        <v>0</v>
      </c>
      <c r="V1518" s="87">
        <f>IFERROR(__xludf.DUMMYFUNCTION("""COMPUTED_VALUE"""),0.0)</f>
        <v>0</v>
      </c>
      <c r="W1518" s="87">
        <f>IFERROR(__xludf.DUMMYFUNCTION("""COMPUTED_VALUE"""),0.0)</f>
        <v>0</v>
      </c>
      <c r="X1518" s="88"/>
      <c r="Y1518" s="74"/>
      <c r="Z1518" s="74"/>
    </row>
    <row r="1519">
      <c r="B1519" s="74" t="str">
        <f>IFERROR(__xludf.DUMMYFUNCTION("""COMPUTED_VALUE"""),"2517")</f>
        <v>2517</v>
      </c>
      <c r="C1519" s="74" t="str">
        <f>IFERROR(__xludf.DUMMYFUNCTION("""COMPUTED_VALUE"""),"75045892517")</f>
        <v>75045892517</v>
      </c>
      <c r="D1519" s="74"/>
      <c r="E1519" s="74" t="str">
        <f>IFERROR(__xludf.DUMMYFUNCTION("""COMPUTED_VALUE"""),"BALL BEARINGS 1614ZZ C3 (SELLADO)")</f>
        <v>BALL BEARINGS 1614ZZ C3 (SELLADO)</v>
      </c>
      <c r="F1519" s="74" t="str">
        <f>IFERROR(__xludf.DUMMYFUNCTION("""COMPUTED_VALUE"""),"BALERO 1614ZZ C3 (SELLADO)")</f>
        <v>BALERO 1614ZZ C3 (SELLADO)</v>
      </c>
      <c r="G1519" s="74"/>
      <c r="H1519" s="74"/>
      <c r="I1519" s="74" t="str">
        <f>IFERROR(__xludf.DUMMYFUNCTION("""COMPUTED_VALUE"""),"1614ZZ C3")</f>
        <v>1614ZZ C3</v>
      </c>
      <c r="J1519" s="74"/>
      <c r="K1519" s="74" t="str">
        <f>IFERROR(__xludf.DUMMYFUNCTION("""COMPUTED_VALUE"""),"TRITURADORAS")</f>
        <v>TRITURADORAS</v>
      </c>
      <c r="L1519" s="74" t="str">
        <f>IFERROR(__xludf.DUMMYFUNCTION("""COMPUTED_VALUE"""),"SIN ASIGNAR")</f>
        <v>SIN ASIGNAR</v>
      </c>
      <c r="M1519" s="74" t="str">
        <f>IFERROR(__xludf.DUMMYFUNCTION("""COMPUTED_VALUE"""),"BALEROS")</f>
        <v>BALEROS</v>
      </c>
      <c r="N1519" s="87">
        <f>IFERROR(__xludf.DUMMYFUNCTION("""COMPUTED_VALUE"""),0.0)</f>
        <v>0</v>
      </c>
      <c r="O1519" s="74"/>
      <c r="P1519" s="74" t="str">
        <f>IFERROR(__xludf.DUMMYFUNCTION("""COMPUTED_VALUE"""),"To Re-purchase")</f>
        <v>To Re-purchase</v>
      </c>
      <c r="Q1519" s="74"/>
      <c r="R1519" s="74"/>
      <c r="S1519" s="87"/>
      <c r="T1519" s="87"/>
      <c r="U1519" s="87">
        <f>IFERROR(__xludf.DUMMYFUNCTION("""COMPUTED_VALUE"""),0.0)</f>
        <v>0</v>
      </c>
      <c r="V1519" s="87">
        <f>IFERROR(__xludf.DUMMYFUNCTION("""COMPUTED_VALUE"""),0.0)</f>
        <v>0</v>
      </c>
      <c r="W1519" s="87">
        <f>IFERROR(__xludf.DUMMYFUNCTION("""COMPUTED_VALUE"""),0.0)</f>
        <v>0</v>
      </c>
      <c r="X1519" s="88"/>
      <c r="Y1519" s="74"/>
      <c r="Z1519" s="74"/>
    </row>
    <row r="1520">
      <c r="B1520" s="74" t="str">
        <f>IFERROR(__xludf.DUMMYFUNCTION("""COMPUTED_VALUE"""),"2518")</f>
        <v>2518</v>
      </c>
      <c r="C1520" s="74" t="str">
        <f>IFERROR(__xludf.DUMMYFUNCTION("""COMPUTED_VALUE"""),"75045892518")</f>
        <v>75045892518</v>
      </c>
      <c r="D1520" s="74"/>
      <c r="E1520" s="74" t="str">
        <f>IFERROR(__xludf.DUMMYFUNCTION("""COMPUTED_VALUE"""),"Ball bearing UC207")</f>
        <v>Ball bearing UC207</v>
      </c>
      <c r="F1520" s="74" t="str">
        <f>IFERROR(__xludf.DUMMYFUNCTION("""COMPUTED_VALUE"""),"REPUESTO PARA CHUMACERA/ RODAMIENTO DE BOLAS INSERTO")</f>
        <v>REPUESTO PARA CHUMACERA/ RODAMIENTO DE BOLAS INSERTO</v>
      </c>
      <c r="G1520" s="74"/>
      <c r="H1520" s="74"/>
      <c r="I1520" s="74" t="str">
        <f>IFERROR(__xludf.DUMMYFUNCTION("""COMPUTED_VALUE"""),"9902892082")</f>
        <v>9902892082</v>
      </c>
      <c r="J1520" s="74" t="str">
        <f>IFERROR(__xludf.DUMMYFUNCTION("""COMPUTED_VALUE"""),"9902892121")</f>
        <v>9902892121</v>
      </c>
      <c r="K1520" s="74" t="str">
        <f>IFERROR(__xludf.DUMMYFUNCTION("""COMPUTED_VALUE"""),"TRITURADORAS")</f>
        <v>TRITURADORAS</v>
      </c>
      <c r="L1520" s="74" t="str">
        <f>IFERROR(__xludf.DUMMYFUNCTION("""COMPUTED_VALUE"""),"SIN ASIGNAR")</f>
        <v>SIN ASIGNAR</v>
      </c>
      <c r="M1520" s="74" t="str">
        <f>IFERROR(__xludf.DUMMYFUNCTION("""COMPUTED_VALUE"""),"BALEROS")</f>
        <v>BALEROS</v>
      </c>
      <c r="N1520" s="87">
        <f>IFERROR(__xludf.DUMMYFUNCTION("""COMPUTED_VALUE"""),0.0)</f>
        <v>0</v>
      </c>
      <c r="O1520" s="74"/>
      <c r="P1520" s="74" t="str">
        <f>IFERROR(__xludf.DUMMYFUNCTION("""COMPUTED_VALUE"""),"To Re-purchase")</f>
        <v>To Re-purchase</v>
      </c>
      <c r="Q1520" s="74"/>
      <c r="R1520" s="74"/>
      <c r="S1520" s="87"/>
      <c r="T1520" s="87"/>
      <c r="U1520" s="87"/>
      <c r="V1520" s="87"/>
      <c r="W1520" s="87"/>
      <c r="X1520" s="88"/>
      <c r="Y1520" s="74"/>
      <c r="Z1520" s="74"/>
    </row>
    <row r="1521">
      <c r="B1521" s="74" t="str">
        <f>IFERROR(__xludf.DUMMYFUNCTION("""COMPUTED_VALUE"""),"2519")</f>
        <v>2519</v>
      </c>
      <c r="C1521" s="74" t="str">
        <f>IFERROR(__xludf.DUMMYFUNCTION("""COMPUTED_VALUE"""),"75045892519")</f>
        <v>75045892519</v>
      </c>
      <c r="D1521" s="74"/>
      <c r="E1521" s="74"/>
      <c r="F1521" s="74" t="str">
        <f>IFERROR(__xludf.DUMMYFUNCTION("""COMPUTED_VALUE"""),"VALVULA CARTUCHO 280 BAR")</f>
        <v>VALVULA CARTUCHO 280 BAR</v>
      </c>
      <c r="G1521" s="74"/>
      <c r="H1521" s="74"/>
      <c r="I1521" s="74" t="str">
        <f>IFERROR(__xludf.DUMMYFUNCTION("""COMPUTED_VALUE"""),"10010222")</f>
        <v>10010222</v>
      </c>
      <c r="J1521" s="74"/>
      <c r="K1521" s="74" t="str">
        <f>IFERROR(__xludf.DUMMYFUNCTION("""COMPUTED_VALUE"""),"Schwing")</f>
        <v>Schwing</v>
      </c>
      <c r="L1521" s="74" t="str">
        <f>IFERROR(__xludf.DUMMYFUNCTION("""COMPUTED_VALUE"""),"SIN ASIGNAR")</f>
        <v>SIN ASIGNAR</v>
      </c>
      <c r="M1521" s="74" t="str">
        <f>IFERROR(__xludf.DUMMYFUNCTION("""COMPUTED_VALUE"""),"BALEROS")</f>
        <v>BALEROS</v>
      </c>
      <c r="N1521" s="87">
        <f>IFERROR(__xludf.DUMMYFUNCTION("""COMPUTED_VALUE"""),0.0)</f>
        <v>0</v>
      </c>
      <c r="O1521" s="74"/>
      <c r="P1521" s="74" t="str">
        <f>IFERROR(__xludf.DUMMYFUNCTION("""COMPUTED_VALUE"""),"To Re-purchase")</f>
        <v>To Re-purchase</v>
      </c>
      <c r="Q1521" s="74"/>
      <c r="R1521" s="74"/>
      <c r="S1521" s="87"/>
      <c r="T1521" s="87"/>
      <c r="U1521" s="87"/>
      <c r="V1521" s="87"/>
      <c r="W1521" s="87"/>
      <c r="X1521" s="88"/>
      <c r="Y1521" s="74"/>
      <c r="Z1521" s="74"/>
    </row>
    <row r="1522">
      <c r="B1522" s="74" t="str">
        <f>IFERROR(__xludf.DUMMYFUNCTION("""COMPUTED_VALUE"""),"2520")</f>
        <v>2520</v>
      </c>
      <c r="C1522" s="74" t="str">
        <f>IFERROR(__xludf.DUMMYFUNCTION("""COMPUTED_VALUE"""),"75045892520")</f>
        <v>75045892520</v>
      </c>
      <c r="D1522" s="74"/>
      <c r="E1522" s="74" t="str">
        <f>IFERROR(__xludf.DUMMYFUNCTION("""COMPUTED_VALUE"""),"COUPLING GEARBOX SHAFT A2FO23")</f>
        <v>COUPLING GEARBOX SHAFT A2FO23</v>
      </c>
      <c r="F1522" s="74" t="str">
        <f>IFERROR(__xludf.DUMMYFUNCTION("""COMPUTED_VALUE"""),"COPLE PARA BOMBA HIDRÁULICA A2FO23")</f>
        <v>COPLE PARA BOMBA HIDRÁULICA A2FO23</v>
      </c>
      <c r="G1522" s="74"/>
      <c r="H1522" s="74"/>
      <c r="I1522" s="74" t="str">
        <f>IFERROR(__xludf.DUMMYFUNCTION("""COMPUTED_VALUE"""),"10035155")</f>
        <v>10035155</v>
      </c>
      <c r="J1522" s="74"/>
      <c r="K1522" s="74" t="str">
        <f>IFERROR(__xludf.DUMMYFUNCTION("""COMPUTED_VALUE"""),"Schwing")</f>
        <v>Schwing</v>
      </c>
      <c r="L1522" s="74" t="str">
        <f>IFERROR(__xludf.DUMMYFUNCTION("""COMPUTED_VALUE"""),"HIDRAULICO")</f>
        <v>HIDRAULICO</v>
      </c>
      <c r="M1522" s="74" t="str">
        <f>IFERROR(__xludf.DUMMYFUNCTION("""COMPUTED_VALUE"""),"SIN ASIGNAR")</f>
        <v>SIN ASIGNAR</v>
      </c>
      <c r="N1522" s="87">
        <f>IFERROR(__xludf.DUMMYFUNCTION("""COMPUTED_VALUE"""),0.0)</f>
        <v>0</v>
      </c>
      <c r="O1522" s="74"/>
      <c r="P1522" s="74" t="str">
        <f>IFERROR(__xludf.DUMMYFUNCTION("""COMPUTED_VALUE"""),"To Re-purchase")</f>
        <v>To Re-purchase</v>
      </c>
      <c r="Q1522" s="74"/>
      <c r="R1522" s="74"/>
      <c r="S1522" s="87"/>
      <c r="T1522" s="87"/>
      <c r="U1522" s="87"/>
      <c r="V1522" s="87"/>
      <c r="W1522" s="87"/>
      <c r="X1522" s="88"/>
      <c r="Y1522" s="74"/>
      <c r="Z1522" s="74"/>
    </row>
    <row r="1523">
      <c r="B1523" s="74" t="str">
        <f>IFERROR(__xludf.DUMMYFUNCTION("""COMPUTED_VALUE"""),"2521")</f>
        <v>2521</v>
      </c>
      <c r="C1523" s="74" t="str">
        <f>IFERROR(__xludf.DUMMYFUNCTION("""COMPUTED_VALUE"""),"75045892521")</f>
        <v>75045892521</v>
      </c>
      <c r="D1523" s="74"/>
      <c r="E1523" s="74"/>
      <c r="F1523" s="74" t="str">
        <f>IFERROR(__xludf.DUMMYFUNCTION("""COMPUTED_VALUE"""),"BRIDA VASO BOMBA PLUMNA")</f>
        <v>BRIDA VASO BOMBA PLUMNA</v>
      </c>
      <c r="G1523" s="74"/>
      <c r="H1523" s="74"/>
      <c r="I1523" s="74" t="str">
        <f>IFERROR(__xludf.DUMMYFUNCTION("""COMPUTED_VALUE"""),"10170732")</f>
        <v>10170732</v>
      </c>
      <c r="J1523" s="74"/>
      <c r="K1523" s="74" t="str">
        <f>IFERROR(__xludf.DUMMYFUNCTION("""COMPUTED_VALUE"""),"Schwing")</f>
        <v>Schwing</v>
      </c>
      <c r="L1523" s="74" t="str">
        <f>IFERROR(__xludf.DUMMYFUNCTION("""COMPUTED_VALUE"""),"SIN ASIGNAR")</f>
        <v>SIN ASIGNAR</v>
      </c>
      <c r="M1523" s="74" t="str">
        <f>IFERROR(__xludf.DUMMYFUNCTION("""COMPUTED_VALUE"""),"SIN ASIGNAR")</f>
        <v>SIN ASIGNAR</v>
      </c>
      <c r="N1523" s="87">
        <f>IFERROR(__xludf.DUMMYFUNCTION("""COMPUTED_VALUE"""),0.0)</f>
        <v>0</v>
      </c>
      <c r="O1523" s="74"/>
      <c r="P1523" s="74" t="str">
        <f>IFERROR(__xludf.DUMMYFUNCTION("""COMPUTED_VALUE"""),"To Re-purchase")</f>
        <v>To Re-purchase</v>
      </c>
      <c r="Q1523" s="74"/>
      <c r="R1523" s="74"/>
      <c r="S1523" s="87"/>
      <c r="T1523" s="87"/>
      <c r="U1523" s="87"/>
      <c r="V1523" s="87"/>
      <c r="W1523" s="87"/>
      <c r="X1523" s="88"/>
      <c r="Y1523" s="74"/>
      <c r="Z1523" s="74"/>
    </row>
    <row r="1524">
      <c r="B1524" s="74" t="str">
        <f>IFERROR(__xludf.DUMMYFUNCTION("""COMPUTED_VALUE"""),"2522")</f>
        <v>2522</v>
      </c>
      <c r="C1524" s="74" t="str">
        <f>IFERROR(__xludf.DUMMYFUNCTION("""COMPUTED_VALUE"""),"75045892522")</f>
        <v>75045892522</v>
      </c>
      <c r="D1524" s="74"/>
      <c r="E1524" s="74" t="str">
        <f>IFERROR(__xludf.DUMMYFUNCTION("""COMPUTED_VALUE"""),"FLANGE BEARING CLOSED")</f>
        <v>FLANGE BEARING CLOSED</v>
      </c>
      <c r="F1524" s="74" t="str">
        <f>IFERROR(__xludf.DUMMYFUNCTION("""COMPUTED_VALUE"""),"GUIA DE APOYO ")</f>
        <v>GUIA DE APOYO </v>
      </c>
      <c r="G1524" s="74"/>
      <c r="H1524" s="74"/>
      <c r="I1524" s="74" t="str">
        <f>IFERROR(__xludf.DUMMYFUNCTION("""COMPUTED_VALUE"""),"10011747")</f>
        <v>10011747</v>
      </c>
      <c r="J1524" s="74"/>
      <c r="K1524" s="74" t="str">
        <f>IFERROR(__xludf.DUMMYFUNCTION("""COMPUTED_VALUE"""),"Schwing")</f>
        <v>Schwing</v>
      </c>
      <c r="L1524" s="74" t="str">
        <f>IFERROR(__xludf.DUMMYFUNCTION("""COMPUTED_VALUE"""),"SIN ASIGNAR")</f>
        <v>SIN ASIGNAR</v>
      </c>
      <c r="M1524" s="74" t="str">
        <f>IFERROR(__xludf.DUMMYFUNCTION("""COMPUTED_VALUE"""),"SIN ASIGNAR")</f>
        <v>SIN ASIGNAR</v>
      </c>
      <c r="N1524" s="87">
        <f>IFERROR(__xludf.DUMMYFUNCTION("""COMPUTED_VALUE"""),0.0)</f>
        <v>0</v>
      </c>
      <c r="O1524" s="74"/>
      <c r="P1524" s="74" t="str">
        <f>IFERROR(__xludf.DUMMYFUNCTION("""COMPUTED_VALUE"""),"To Re-purchase")</f>
        <v>To Re-purchase</v>
      </c>
      <c r="Q1524" s="74"/>
      <c r="R1524" s="74"/>
      <c r="S1524" s="87"/>
      <c r="T1524" s="87"/>
      <c r="U1524" s="87"/>
      <c r="V1524" s="87"/>
      <c r="W1524" s="87"/>
      <c r="X1524" s="88"/>
      <c r="Y1524" s="74"/>
      <c r="Z1524" s="74"/>
    </row>
    <row r="1525">
      <c r="B1525" s="74" t="str">
        <f>IFERROR(__xludf.DUMMYFUNCTION("""COMPUTED_VALUE"""),"2523")</f>
        <v>2523</v>
      </c>
      <c r="C1525" s="74" t="str">
        <f>IFERROR(__xludf.DUMMYFUNCTION("""COMPUTED_VALUE"""),"75045892523")</f>
        <v>75045892523</v>
      </c>
      <c r="D1525" s="74"/>
      <c r="E1525" s="74"/>
      <c r="F1525" s="74"/>
      <c r="G1525" s="74"/>
      <c r="H1525" s="74"/>
      <c r="I1525" s="74"/>
      <c r="J1525" s="74"/>
      <c r="K1525" s="74"/>
      <c r="L1525" s="74"/>
      <c r="M1525" s="74"/>
      <c r="N1525" s="87">
        <f>IFERROR(__xludf.DUMMYFUNCTION("""COMPUTED_VALUE"""),0.0)</f>
        <v>0</v>
      </c>
      <c r="O1525" s="74"/>
      <c r="P1525" s="74" t="str">
        <f>IFERROR(__xludf.DUMMYFUNCTION("""COMPUTED_VALUE"""),"No Available")</f>
        <v>No Available</v>
      </c>
      <c r="Q1525" s="74"/>
      <c r="R1525" s="74"/>
      <c r="S1525" s="87"/>
      <c r="T1525" s="87"/>
      <c r="U1525" s="87"/>
      <c r="V1525" s="87"/>
      <c r="W1525" s="87"/>
      <c r="X1525" s="88"/>
      <c r="Y1525" s="74"/>
      <c r="Z1525" s="74"/>
    </row>
    <row r="1526">
      <c r="B1526" s="74" t="str">
        <f>IFERROR(__xludf.DUMMYFUNCTION("""COMPUTED_VALUE"""),"2524")</f>
        <v>2524</v>
      </c>
      <c r="C1526" s="74" t="str">
        <f>IFERROR(__xludf.DUMMYFUNCTION("""COMPUTED_VALUE"""),"75045892524")</f>
        <v>75045892524</v>
      </c>
      <c r="D1526" s="74"/>
      <c r="E1526" s="74"/>
      <c r="F1526" s="74"/>
      <c r="G1526" s="74"/>
      <c r="H1526" s="74"/>
      <c r="I1526" s="74"/>
      <c r="J1526" s="74"/>
      <c r="K1526" s="74"/>
      <c r="L1526" s="74"/>
      <c r="M1526" s="74"/>
      <c r="N1526" s="87">
        <f>IFERROR(__xludf.DUMMYFUNCTION("""COMPUTED_VALUE"""),0.0)</f>
        <v>0</v>
      </c>
      <c r="O1526" s="74"/>
      <c r="P1526" s="74"/>
      <c r="Q1526" s="74"/>
      <c r="R1526" s="74"/>
      <c r="S1526" s="87"/>
      <c r="T1526" s="87"/>
      <c r="U1526" s="87"/>
      <c r="V1526" s="87"/>
      <c r="W1526" s="87"/>
      <c r="X1526" s="88"/>
      <c r="Y1526" s="74"/>
      <c r="Z1526" s="74"/>
    </row>
    <row r="1527">
      <c r="B1527" s="74" t="str">
        <f>IFERROR(__xludf.DUMMYFUNCTION("""COMPUTED_VALUE"""),"2525")</f>
        <v>2525</v>
      </c>
      <c r="C1527" s="74" t="str">
        <f>IFERROR(__xludf.DUMMYFUNCTION("""COMPUTED_VALUE"""),"75045892525")</f>
        <v>75045892525</v>
      </c>
      <c r="D1527" s="74"/>
      <c r="E1527" s="74"/>
      <c r="F1527" s="74"/>
      <c r="G1527" s="74"/>
      <c r="H1527" s="74"/>
      <c r="I1527" s="74"/>
      <c r="J1527" s="74"/>
      <c r="K1527" s="74"/>
      <c r="L1527" s="74"/>
      <c r="M1527" s="74"/>
      <c r="N1527" s="87">
        <f>IFERROR(__xludf.DUMMYFUNCTION("""COMPUTED_VALUE"""),0.0)</f>
        <v>0</v>
      </c>
      <c r="O1527" s="74"/>
      <c r="P1527" s="74"/>
      <c r="Q1527" s="74"/>
      <c r="R1527" s="74"/>
      <c r="S1527" s="87"/>
      <c r="T1527" s="87"/>
      <c r="U1527" s="87"/>
      <c r="V1527" s="87"/>
      <c r="W1527" s="87"/>
      <c r="X1527" s="88"/>
      <c r="Y1527" s="74"/>
      <c r="Z1527" s="74"/>
    </row>
    <row r="1528">
      <c r="B1528" s="74" t="str">
        <f>IFERROR(__xludf.DUMMYFUNCTION("""COMPUTED_VALUE"""),"2526")</f>
        <v>2526</v>
      </c>
      <c r="C1528" s="74" t="str">
        <f>IFERROR(__xludf.DUMMYFUNCTION("""COMPUTED_VALUE"""),"75045892526")</f>
        <v>75045892526</v>
      </c>
      <c r="D1528" s="74"/>
      <c r="E1528" s="74"/>
      <c r="F1528" s="74"/>
      <c r="G1528" s="74"/>
      <c r="H1528" s="74"/>
      <c r="I1528" s="74"/>
      <c r="J1528" s="74"/>
      <c r="K1528" s="74"/>
      <c r="L1528" s="74"/>
      <c r="M1528" s="74"/>
      <c r="N1528" s="87">
        <f>IFERROR(__xludf.DUMMYFUNCTION("""COMPUTED_VALUE"""),0.0)</f>
        <v>0</v>
      </c>
      <c r="O1528" s="74"/>
      <c r="P1528" s="74"/>
      <c r="Q1528" s="74"/>
      <c r="R1528" s="74"/>
      <c r="S1528" s="87"/>
      <c r="T1528" s="87"/>
      <c r="U1528" s="87"/>
      <c r="V1528" s="87"/>
      <c r="W1528" s="87"/>
      <c r="X1528" s="88"/>
      <c r="Y1528" s="74"/>
      <c r="Z1528" s="74"/>
    </row>
    <row r="1529">
      <c r="B1529" s="74" t="str">
        <f>IFERROR(__xludf.DUMMYFUNCTION("""COMPUTED_VALUE"""),"2527")</f>
        <v>2527</v>
      </c>
      <c r="C1529" s="74" t="str">
        <f>IFERROR(__xludf.DUMMYFUNCTION("""COMPUTED_VALUE"""),"75045892527")</f>
        <v>75045892527</v>
      </c>
      <c r="D1529" s="74"/>
      <c r="E1529" s="74"/>
      <c r="F1529" s="74"/>
      <c r="G1529" s="74"/>
      <c r="H1529" s="74"/>
      <c r="I1529" s="74"/>
      <c r="J1529" s="74"/>
      <c r="K1529" s="74"/>
      <c r="L1529" s="74"/>
      <c r="M1529" s="74"/>
      <c r="N1529" s="87">
        <f>IFERROR(__xludf.DUMMYFUNCTION("""COMPUTED_VALUE"""),0.0)</f>
        <v>0</v>
      </c>
      <c r="O1529" s="74"/>
      <c r="P1529" s="74"/>
      <c r="Q1529" s="74"/>
      <c r="R1529" s="74"/>
      <c r="S1529" s="87"/>
      <c r="T1529" s="87"/>
      <c r="U1529" s="87"/>
      <c r="V1529" s="87"/>
      <c r="W1529" s="87"/>
      <c r="X1529" s="88"/>
      <c r="Y1529" s="74"/>
      <c r="Z1529" s="74"/>
    </row>
    <row r="1530">
      <c r="B1530" s="74" t="str">
        <f>IFERROR(__xludf.DUMMYFUNCTION("""COMPUTED_VALUE"""),"2528")</f>
        <v>2528</v>
      </c>
      <c r="C1530" s="74" t="str">
        <f>IFERROR(__xludf.DUMMYFUNCTION("""COMPUTED_VALUE"""),"75045892528")</f>
        <v>75045892528</v>
      </c>
      <c r="D1530" s="74"/>
      <c r="E1530" s="74"/>
      <c r="F1530" s="74"/>
      <c r="G1530" s="74"/>
      <c r="H1530" s="74"/>
      <c r="I1530" s="74"/>
      <c r="J1530" s="74"/>
      <c r="K1530" s="74"/>
      <c r="L1530" s="74"/>
      <c r="M1530" s="74"/>
      <c r="N1530" s="87">
        <f>IFERROR(__xludf.DUMMYFUNCTION("""COMPUTED_VALUE"""),0.0)</f>
        <v>0</v>
      </c>
      <c r="O1530" s="74"/>
      <c r="P1530" s="74"/>
      <c r="Q1530" s="74"/>
      <c r="R1530" s="74"/>
      <c r="S1530" s="87"/>
      <c r="T1530" s="87"/>
      <c r="U1530" s="87"/>
      <c r="V1530" s="87"/>
      <c r="W1530" s="87"/>
      <c r="X1530" s="88"/>
      <c r="Y1530" s="74"/>
      <c r="Z1530" s="74"/>
    </row>
    <row r="1531">
      <c r="B1531" s="74" t="str">
        <f>IFERROR(__xludf.DUMMYFUNCTION("""COMPUTED_VALUE"""),"2529")</f>
        <v>2529</v>
      </c>
      <c r="C1531" s="74" t="str">
        <f>IFERROR(__xludf.DUMMYFUNCTION("""COMPUTED_VALUE"""),"75045892529")</f>
        <v>75045892529</v>
      </c>
      <c r="D1531" s="74"/>
      <c r="E1531" s="74"/>
      <c r="F1531" s="74"/>
      <c r="G1531" s="74"/>
      <c r="H1531" s="74"/>
      <c r="I1531" s="74"/>
      <c r="J1531" s="74"/>
      <c r="K1531" s="74"/>
      <c r="L1531" s="74"/>
      <c r="M1531" s="74"/>
      <c r="N1531" s="87">
        <f>IFERROR(__xludf.DUMMYFUNCTION("""COMPUTED_VALUE"""),0.0)</f>
        <v>0</v>
      </c>
      <c r="O1531" s="74"/>
      <c r="P1531" s="74"/>
      <c r="Q1531" s="74"/>
      <c r="R1531" s="74"/>
      <c r="S1531" s="87"/>
      <c r="T1531" s="87"/>
      <c r="U1531" s="87"/>
      <c r="V1531" s="87"/>
      <c r="W1531" s="87"/>
      <c r="X1531" s="88"/>
      <c r="Y1531" s="74"/>
      <c r="Z1531" s="74"/>
    </row>
    <row r="1532">
      <c r="B1532" s="74"/>
      <c r="C1532" s="74"/>
      <c r="D1532" s="74"/>
      <c r="E1532" s="74"/>
      <c r="F1532" s="74"/>
      <c r="G1532" s="74"/>
      <c r="H1532" s="74"/>
      <c r="I1532" s="74"/>
      <c r="J1532" s="74"/>
      <c r="K1532" s="74"/>
      <c r="L1532" s="74"/>
      <c r="M1532" s="74"/>
      <c r="N1532" s="87">
        <f>IFERROR(__xludf.DUMMYFUNCTION("""COMPUTED_VALUE"""),903291.3599999998)</f>
        <v>903291.36</v>
      </c>
      <c r="O1532" s="74">
        <f>IFERROR(__xludf.DUMMYFUNCTION("""COMPUTED_VALUE"""),1837.0)</f>
        <v>1837</v>
      </c>
      <c r="P1532" s="74"/>
      <c r="Q1532" s="74"/>
      <c r="R1532" s="74"/>
      <c r="S1532" s="87">
        <f>IFERROR(__xludf.DUMMYFUNCTION("""COMPUTED_VALUE"""),903291.3599999998)</f>
        <v>903291.36</v>
      </c>
      <c r="T1532" s="87">
        <f>IFERROR(__xludf.DUMMYFUNCTION("""COMPUTED_VALUE"""),903291.3599999998)</f>
        <v>903291.36</v>
      </c>
      <c r="U1532" s="87">
        <f>IFERROR(__xludf.DUMMYFUNCTION("""COMPUTED_VALUE"""),903291.3599999998)</f>
        <v>903291.36</v>
      </c>
      <c r="V1532" s="87">
        <f>IFERROR(__xludf.DUMMYFUNCTION("""COMPUTED_VALUE"""),903291.3599999998)</f>
        <v>903291.36</v>
      </c>
      <c r="W1532" s="87">
        <f>IFERROR(__xludf.DUMMYFUNCTION("""COMPUTED_VALUE"""),903291.3599999998)</f>
        <v>903291.36</v>
      </c>
      <c r="X1532" s="88"/>
      <c r="Y1532" s="74"/>
      <c r="Z1532" s="7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0"/>
    <col customWidth="1" min="2" max="2" width="12.25"/>
    <col customWidth="1" min="3" max="3" width="10.75"/>
    <col customWidth="1" min="4" max="4" width="28.63"/>
    <col customWidth="1" min="5" max="5" width="62.63"/>
    <col customWidth="1" min="6" max="6" width="13.13"/>
    <col customWidth="1" min="7" max="7" width="12.75"/>
    <col customWidth="1" min="8" max="8" width="13.25"/>
    <col customWidth="1" min="9" max="9" width="12.5"/>
    <col customWidth="1" min="10" max="10" width="13.38"/>
    <col customWidth="1" min="11" max="11" width="20.25"/>
    <col customWidth="1" min="12" max="12" width="13.38"/>
    <col customWidth="1" min="13" max="13" width="10.13"/>
    <col customWidth="1" min="14" max="14" width="9.25"/>
    <col customWidth="1" min="15" max="15" width="13.5"/>
    <col customWidth="1" min="16" max="16" width="9.0"/>
    <col customWidth="1" min="17" max="17" width="11.63"/>
    <col customWidth="1" min="18" max="18" width="8.0"/>
    <col customWidth="1" min="19" max="19" width="8.75"/>
    <col customWidth="1" min="20" max="20" width="8.5"/>
    <col customWidth="1" min="21" max="21" width="8.13"/>
    <col customWidth="1" min="22" max="22" width="9.5"/>
    <col customWidth="1" min="23" max="23" width="7.75"/>
    <col customWidth="1" min="24" max="25" width="9.13"/>
  </cols>
  <sheetData>
    <row r="1">
      <c r="A1" s="2"/>
      <c r="B1" s="2"/>
      <c r="C1" s="2"/>
      <c r="D1" s="2"/>
      <c r="E1" s="1"/>
      <c r="F1" s="2"/>
      <c r="G1" s="2"/>
      <c r="H1" s="3" t="s">
        <v>1</v>
      </c>
      <c r="I1" s="4">
        <v>18.5</v>
      </c>
      <c r="J1" s="2"/>
      <c r="K1" s="3" t="s">
        <v>2</v>
      </c>
      <c r="L1" s="5">
        <v>0.96</v>
      </c>
      <c r="M1" s="3" t="s">
        <v>3</v>
      </c>
      <c r="N1" s="5">
        <v>0.0</v>
      </c>
      <c r="O1" s="3" t="s">
        <v>4</v>
      </c>
      <c r="P1" s="5">
        <v>0.225</v>
      </c>
      <c r="Q1" s="3" t="s">
        <v>5</v>
      </c>
      <c r="R1" s="7">
        <v>18.75</v>
      </c>
      <c r="Z1" s="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0"/>
    </row>
    <row r="3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3" t="s">
        <v>30</v>
      </c>
    </row>
    <row r="4">
      <c r="A4" s="15" t="s">
        <v>466</v>
      </c>
      <c r="B4" s="15" t="s">
        <v>467</v>
      </c>
      <c r="C4" s="15" t="s">
        <v>6175</v>
      </c>
      <c r="D4" s="15" t="s">
        <v>468</v>
      </c>
      <c r="E4" s="17" t="s">
        <v>469</v>
      </c>
      <c r="F4" s="18"/>
      <c r="G4" s="15" t="s">
        <v>470</v>
      </c>
      <c r="H4" s="15" t="s">
        <v>471</v>
      </c>
      <c r="I4" s="18"/>
      <c r="J4" s="19" t="s">
        <v>283</v>
      </c>
      <c r="K4" s="19" t="s">
        <v>284</v>
      </c>
      <c r="L4" s="19" t="s">
        <v>285</v>
      </c>
      <c r="M4" s="20">
        <f t="shared" ref="M4:M1516" si="1">T4*$I$1</f>
        <v>710.4</v>
      </c>
      <c r="N4" s="31">
        <v>5.0</v>
      </c>
      <c r="O4" s="19" t="s">
        <v>107</v>
      </c>
      <c r="P4" s="18"/>
      <c r="Q4" s="18"/>
      <c r="R4" s="23">
        <v>6.0</v>
      </c>
      <c r="S4" s="23">
        <v>40.0</v>
      </c>
      <c r="T4" s="23">
        <f t="shared" ref="T4:T1516" si="2">S4*$L$1</f>
        <v>38.4</v>
      </c>
      <c r="U4" s="23">
        <f t="shared" ref="U4:U1516" si="3">R4+((R4*$N$1)+(R4*$P$1))</f>
        <v>7.35</v>
      </c>
      <c r="V4" s="23">
        <f t="shared" ref="V4:V1516" si="4">U4*$R$1</f>
        <v>137.8125</v>
      </c>
      <c r="W4" s="24">
        <f t="shared" ref="W4:W1516" si="5">T4/R4</f>
        <v>6.4</v>
      </c>
    </row>
    <row r="5">
      <c r="A5" s="15" t="s">
        <v>404</v>
      </c>
      <c r="B5" s="15" t="s">
        <v>405</v>
      </c>
      <c r="C5" s="15" t="s">
        <v>6176</v>
      </c>
      <c r="D5" s="15" t="s">
        <v>406</v>
      </c>
      <c r="E5" s="17" t="s">
        <v>407</v>
      </c>
      <c r="F5" s="18"/>
      <c r="G5" s="15" t="s">
        <v>408</v>
      </c>
      <c r="H5" s="15" t="s">
        <v>409</v>
      </c>
      <c r="I5" s="18"/>
      <c r="J5" s="19" t="s">
        <v>283</v>
      </c>
      <c r="K5" s="19" t="s">
        <v>284</v>
      </c>
      <c r="L5" s="19" t="s">
        <v>285</v>
      </c>
      <c r="M5" s="20">
        <f t="shared" si="1"/>
        <v>781.44</v>
      </c>
      <c r="N5" s="31">
        <v>5.0</v>
      </c>
      <c r="O5" s="19" t="s">
        <v>107</v>
      </c>
      <c r="P5" s="18"/>
      <c r="Q5" s="18"/>
      <c r="R5" s="23">
        <v>6.0</v>
      </c>
      <c r="S5" s="23">
        <v>44.0</v>
      </c>
      <c r="T5" s="23">
        <f t="shared" si="2"/>
        <v>42.24</v>
      </c>
      <c r="U5" s="23">
        <f t="shared" si="3"/>
        <v>7.35</v>
      </c>
      <c r="V5" s="23">
        <f t="shared" si="4"/>
        <v>137.8125</v>
      </c>
      <c r="W5" s="24">
        <f t="shared" si="5"/>
        <v>7.04</v>
      </c>
    </row>
    <row r="6">
      <c r="A6" s="15" t="s">
        <v>277</v>
      </c>
      <c r="B6" s="15" t="s">
        <v>278</v>
      </c>
      <c r="C6" s="15" t="s">
        <v>6177</v>
      </c>
      <c r="D6" s="15" t="s">
        <v>279</v>
      </c>
      <c r="E6" s="17" t="s">
        <v>280</v>
      </c>
      <c r="F6" s="18"/>
      <c r="G6" s="15" t="s">
        <v>281</v>
      </c>
      <c r="H6" s="15" t="s">
        <v>282</v>
      </c>
      <c r="I6" s="18"/>
      <c r="J6" s="19" t="s">
        <v>283</v>
      </c>
      <c r="K6" s="19" t="s">
        <v>284</v>
      </c>
      <c r="L6" s="19" t="s">
        <v>285</v>
      </c>
      <c r="M6" s="20">
        <f t="shared" si="1"/>
        <v>888</v>
      </c>
      <c r="N6" s="31">
        <v>5.0</v>
      </c>
      <c r="O6" s="19" t="s">
        <v>107</v>
      </c>
      <c r="P6" s="18"/>
      <c r="Q6" s="18"/>
      <c r="R6" s="23">
        <v>6.0</v>
      </c>
      <c r="S6" s="23">
        <v>50.0</v>
      </c>
      <c r="T6" s="23">
        <f t="shared" si="2"/>
        <v>48</v>
      </c>
      <c r="U6" s="23">
        <f t="shared" si="3"/>
        <v>7.35</v>
      </c>
      <c r="V6" s="23">
        <f t="shared" si="4"/>
        <v>137.8125</v>
      </c>
      <c r="W6" s="24">
        <f t="shared" si="5"/>
        <v>8</v>
      </c>
    </row>
    <row r="7">
      <c r="A7" s="15" t="s">
        <v>515</v>
      </c>
      <c r="B7" s="15" t="s">
        <v>516</v>
      </c>
      <c r="C7" s="15" t="s">
        <v>6178</v>
      </c>
      <c r="D7" s="15" t="s">
        <v>517</v>
      </c>
      <c r="E7" s="17" t="s">
        <v>518</v>
      </c>
      <c r="F7" s="18"/>
      <c r="G7" s="15" t="s">
        <v>519</v>
      </c>
      <c r="H7" s="15" t="s">
        <v>520</v>
      </c>
      <c r="I7" s="18"/>
      <c r="J7" s="19" t="s">
        <v>283</v>
      </c>
      <c r="K7" s="19" t="s">
        <v>284</v>
      </c>
      <c r="L7" s="19" t="s">
        <v>285</v>
      </c>
      <c r="M7" s="20">
        <f t="shared" si="1"/>
        <v>888</v>
      </c>
      <c r="N7" s="31">
        <v>5.0</v>
      </c>
      <c r="O7" s="19" t="s">
        <v>107</v>
      </c>
      <c r="P7" s="18"/>
      <c r="Q7" s="18"/>
      <c r="R7" s="23">
        <v>8.0</v>
      </c>
      <c r="S7" s="23">
        <v>50.0</v>
      </c>
      <c r="T7" s="23">
        <f t="shared" si="2"/>
        <v>48</v>
      </c>
      <c r="U7" s="23">
        <f t="shared" si="3"/>
        <v>9.8</v>
      </c>
      <c r="V7" s="23">
        <f t="shared" si="4"/>
        <v>183.75</v>
      </c>
      <c r="W7" s="24">
        <f t="shared" si="5"/>
        <v>6</v>
      </c>
    </row>
    <row r="8">
      <c r="A8" s="15" t="s">
        <v>586</v>
      </c>
      <c r="B8" s="15" t="s">
        <v>587</v>
      </c>
      <c r="C8" s="15" t="s">
        <v>6179</v>
      </c>
      <c r="D8" s="15" t="s">
        <v>588</v>
      </c>
      <c r="E8" s="17" t="s">
        <v>589</v>
      </c>
      <c r="F8" s="18"/>
      <c r="G8" s="15" t="s">
        <v>590</v>
      </c>
      <c r="H8" s="15" t="s">
        <v>591</v>
      </c>
      <c r="I8" s="18"/>
      <c r="J8" s="19" t="s">
        <v>283</v>
      </c>
      <c r="K8" s="19" t="s">
        <v>284</v>
      </c>
      <c r="L8" s="19" t="s">
        <v>285</v>
      </c>
      <c r="M8" s="20">
        <f t="shared" si="1"/>
        <v>888</v>
      </c>
      <c r="N8" s="31">
        <v>5.0</v>
      </c>
      <c r="O8" s="19" t="s">
        <v>107</v>
      </c>
      <c r="P8" s="18"/>
      <c r="Q8" s="18"/>
      <c r="R8" s="23">
        <v>9.0</v>
      </c>
      <c r="S8" s="23">
        <v>50.0</v>
      </c>
      <c r="T8" s="23">
        <f t="shared" si="2"/>
        <v>48</v>
      </c>
      <c r="U8" s="23">
        <f t="shared" si="3"/>
        <v>11.025</v>
      </c>
      <c r="V8" s="23">
        <f t="shared" si="4"/>
        <v>206.71875</v>
      </c>
      <c r="W8" s="24">
        <f t="shared" si="5"/>
        <v>5.333333333</v>
      </c>
    </row>
    <row r="9" hidden="1">
      <c r="A9" s="15" t="s">
        <v>1141</v>
      </c>
      <c r="B9" s="18"/>
      <c r="C9" s="15" t="s">
        <v>6143</v>
      </c>
      <c r="D9" s="15" t="s">
        <v>1142</v>
      </c>
      <c r="E9" s="17" t="s">
        <v>1143</v>
      </c>
      <c r="F9" s="18"/>
      <c r="G9" s="18"/>
      <c r="H9" s="15" t="s">
        <v>1144</v>
      </c>
      <c r="I9" s="18"/>
      <c r="J9" s="19" t="s">
        <v>283</v>
      </c>
      <c r="K9" s="19" t="s">
        <v>402</v>
      </c>
      <c r="L9" s="19" t="s">
        <v>38</v>
      </c>
      <c r="M9" s="20">
        <f t="shared" si="1"/>
        <v>0</v>
      </c>
      <c r="N9" s="22"/>
      <c r="O9" s="19" t="s">
        <v>1145</v>
      </c>
      <c r="P9" s="18"/>
      <c r="Q9" s="18"/>
      <c r="R9" s="23">
        <v>0.0</v>
      </c>
      <c r="S9" s="23">
        <v>0.0</v>
      </c>
      <c r="T9" s="23">
        <f t="shared" si="2"/>
        <v>0</v>
      </c>
      <c r="U9" s="23">
        <f t="shared" si="3"/>
        <v>0</v>
      </c>
      <c r="V9" s="23">
        <f t="shared" si="4"/>
        <v>0</v>
      </c>
      <c r="W9" s="24" t="str">
        <f t="shared" si="5"/>
        <v>#DIV/0!</v>
      </c>
    </row>
    <row r="10">
      <c r="A10" s="15" t="s">
        <v>575</v>
      </c>
      <c r="B10" s="15" t="s">
        <v>576</v>
      </c>
      <c r="C10" s="15" t="s">
        <v>6180</v>
      </c>
      <c r="D10" s="15" t="s">
        <v>577</v>
      </c>
      <c r="E10" s="17" t="s">
        <v>578</v>
      </c>
      <c r="F10" s="18"/>
      <c r="G10" s="15" t="s">
        <v>579</v>
      </c>
      <c r="H10" s="15" t="s">
        <v>580</v>
      </c>
      <c r="I10" s="18"/>
      <c r="J10" s="19" t="s">
        <v>283</v>
      </c>
      <c r="K10" s="19" t="s">
        <v>284</v>
      </c>
      <c r="L10" s="19" t="s">
        <v>285</v>
      </c>
      <c r="M10" s="20">
        <f t="shared" si="1"/>
        <v>1012.32</v>
      </c>
      <c r="N10" s="31">
        <v>5.0</v>
      </c>
      <c r="O10" s="19" t="s">
        <v>107</v>
      </c>
      <c r="P10" s="18"/>
      <c r="Q10" s="18"/>
      <c r="R10" s="23">
        <v>10.0</v>
      </c>
      <c r="S10" s="23">
        <v>57.0</v>
      </c>
      <c r="T10" s="23">
        <f t="shared" si="2"/>
        <v>54.72</v>
      </c>
      <c r="U10" s="23">
        <f t="shared" si="3"/>
        <v>12.25</v>
      </c>
      <c r="V10" s="23">
        <f t="shared" si="4"/>
        <v>229.6875</v>
      </c>
      <c r="W10" s="24">
        <f t="shared" si="5"/>
        <v>5.472</v>
      </c>
    </row>
    <row r="11" hidden="1">
      <c r="A11" s="15" t="s">
        <v>1146</v>
      </c>
      <c r="B11" s="18"/>
      <c r="C11" s="15" t="s">
        <v>6145</v>
      </c>
      <c r="D11" s="18"/>
      <c r="E11" s="17" t="s">
        <v>1147</v>
      </c>
      <c r="F11" s="18"/>
      <c r="G11" s="18"/>
      <c r="H11" s="15" t="s">
        <v>1148</v>
      </c>
      <c r="I11" s="18"/>
      <c r="J11" s="19" t="s">
        <v>283</v>
      </c>
      <c r="K11" s="19" t="s">
        <v>284</v>
      </c>
      <c r="L11" s="19" t="s">
        <v>38</v>
      </c>
      <c r="M11" s="20">
        <f t="shared" si="1"/>
        <v>0</v>
      </c>
      <c r="N11" s="22"/>
      <c r="O11" s="19" t="s">
        <v>1145</v>
      </c>
      <c r="P11" s="18"/>
      <c r="Q11" s="18"/>
      <c r="R11" s="23">
        <v>0.0</v>
      </c>
      <c r="S11" s="23">
        <v>0.0</v>
      </c>
      <c r="T11" s="23">
        <f t="shared" si="2"/>
        <v>0</v>
      </c>
      <c r="U11" s="23">
        <f t="shared" si="3"/>
        <v>0</v>
      </c>
      <c r="V11" s="23">
        <f t="shared" si="4"/>
        <v>0</v>
      </c>
      <c r="W11" s="24" t="str">
        <f t="shared" si="5"/>
        <v>#DIV/0!</v>
      </c>
    </row>
    <row r="12">
      <c r="A12" s="15" t="s">
        <v>896</v>
      </c>
      <c r="B12" s="18"/>
      <c r="C12" s="15" t="s">
        <v>6083</v>
      </c>
      <c r="D12" s="15" t="s">
        <v>6084</v>
      </c>
      <c r="E12" s="17" t="s">
        <v>6378</v>
      </c>
      <c r="F12" s="18"/>
      <c r="G12" s="18"/>
      <c r="H12" s="15" t="s">
        <v>899</v>
      </c>
      <c r="I12" s="18"/>
      <c r="J12" s="19" t="s">
        <v>59</v>
      </c>
      <c r="K12" s="19" t="s">
        <v>60</v>
      </c>
      <c r="L12" s="19" t="s">
        <v>38</v>
      </c>
      <c r="M12" s="20">
        <f t="shared" si="1"/>
        <v>1420.8</v>
      </c>
      <c r="N12" s="31">
        <v>6.0</v>
      </c>
      <c r="O12" s="19" t="s">
        <v>107</v>
      </c>
      <c r="P12" s="18"/>
      <c r="Q12" s="18"/>
      <c r="R12" s="23">
        <v>10.0</v>
      </c>
      <c r="S12" s="23">
        <v>80.0</v>
      </c>
      <c r="T12" s="23">
        <f t="shared" si="2"/>
        <v>76.8</v>
      </c>
      <c r="U12" s="23">
        <f t="shared" si="3"/>
        <v>12.25</v>
      </c>
      <c r="V12" s="23">
        <f t="shared" si="4"/>
        <v>229.6875</v>
      </c>
      <c r="W12" s="24">
        <f t="shared" si="5"/>
        <v>7.68</v>
      </c>
    </row>
    <row r="13">
      <c r="A13" s="15" t="s">
        <v>1075</v>
      </c>
      <c r="B13" s="18"/>
      <c r="C13" s="15" t="s">
        <v>6003</v>
      </c>
      <c r="D13" s="15" t="s">
        <v>1076</v>
      </c>
      <c r="E13" s="17" t="s">
        <v>6421</v>
      </c>
      <c r="F13" s="18"/>
      <c r="G13" s="18"/>
      <c r="H13" s="15" t="s">
        <v>1078</v>
      </c>
      <c r="I13" s="18"/>
      <c r="J13" s="19" t="s">
        <v>36</v>
      </c>
      <c r="K13" s="19" t="s">
        <v>60</v>
      </c>
      <c r="L13" s="19" t="s">
        <v>115</v>
      </c>
      <c r="M13" s="20">
        <f t="shared" si="1"/>
        <v>4138.08</v>
      </c>
      <c r="N13" s="31">
        <v>4.0</v>
      </c>
      <c r="O13" s="19" t="s">
        <v>107</v>
      </c>
      <c r="P13" s="18"/>
      <c r="Q13" s="18"/>
      <c r="R13" s="23">
        <v>80.0</v>
      </c>
      <c r="S13" s="23">
        <v>233.0</v>
      </c>
      <c r="T13" s="23">
        <f t="shared" si="2"/>
        <v>223.68</v>
      </c>
      <c r="U13" s="23">
        <f t="shared" si="3"/>
        <v>98</v>
      </c>
      <c r="V13" s="23">
        <f t="shared" si="4"/>
        <v>1837.5</v>
      </c>
      <c r="W13" s="24">
        <f t="shared" si="5"/>
        <v>2.796</v>
      </c>
    </row>
    <row r="14">
      <c r="A14" s="15" t="s">
        <v>543</v>
      </c>
      <c r="B14" s="15" t="s">
        <v>544</v>
      </c>
      <c r="C14" s="15" t="s">
        <v>6072</v>
      </c>
      <c r="D14" s="15" t="s">
        <v>545</v>
      </c>
      <c r="E14" s="17" t="s">
        <v>546</v>
      </c>
      <c r="F14" s="18"/>
      <c r="G14" s="15" t="s">
        <v>547</v>
      </c>
      <c r="H14" s="15" t="s">
        <v>548</v>
      </c>
      <c r="I14" s="18"/>
      <c r="J14" s="19" t="s">
        <v>36</v>
      </c>
      <c r="K14" s="19" t="s">
        <v>105</v>
      </c>
      <c r="L14" s="19" t="s">
        <v>38</v>
      </c>
      <c r="M14" s="20">
        <f t="shared" si="1"/>
        <v>1918.08</v>
      </c>
      <c r="N14" s="31">
        <v>8.0</v>
      </c>
      <c r="O14" s="19" t="s">
        <v>107</v>
      </c>
      <c r="P14" s="18"/>
      <c r="Q14" s="18"/>
      <c r="R14" s="23">
        <v>18.0</v>
      </c>
      <c r="S14" s="23">
        <v>108.0</v>
      </c>
      <c r="T14" s="23">
        <f t="shared" si="2"/>
        <v>103.68</v>
      </c>
      <c r="U14" s="23">
        <f t="shared" si="3"/>
        <v>22.05</v>
      </c>
      <c r="V14" s="23">
        <f t="shared" si="4"/>
        <v>413.4375</v>
      </c>
      <c r="W14" s="24">
        <f t="shared" si="5"/>
        <v>5.76</v>
      </c>
    </row>
    <row r="15">
      <c r="A15" s="15" t="s">
        <v>562</v>
      </c>
      <c r="B15" s="15" t="s">
        <v>563</v>
      </c>
      <c r="C15" s="15" t="s">
        <v>6073</v>
      </c>
      <c r="D15" s="15" t="s">
        <v>564</v>
      </c>
      <c r="E15" s="17" t="s">
        <v>565</v>
      </c>
      <c r="F15" s="18"/>
      <c r="G15" s="15" t="s">
        <v>566</v>
      </c>
      <c r="H15" s="15" t="s">
        <v>567</v>
      </c>
      <c r="I15" s="18"/>
      <c r="J15" s="19" t="s">
        <v>36</v>
      </c>
      <c r="K15" s="19" t="s">
        <v>105</v>
      </c>
      <c r="L15" s="19" t="s">
        <v>38</v>
      </c>
      <c r="M15" s="20">
        <f t="shared" si="1"/>
        <v>1243.2</v>
      </c>
      <c r="N15" s="31">
        <v>8.0</v>
      </c>
      <c r="O15" s="19" t="s">
        <v>107</v>
      </c>
      <c r="P15" s="18"/>
      <c r="Q15" s="18"/>
      <c r="R15" s="23">
        <v>12.0</v>
      </c>
      <c r="S15" s="23">
        <v>70.0</v>
      </c>
      <c r="T15" s="23">
        <f t="shared" si="2"/>
        <v>67.2</v>
      </c>
      <c r="U15" s="23">
        <f t="shared" si="3"/>
        <v>14.7</v>
      </c>
      <c r="V15" s="23">
        <f t="shared" si="4"/>
        <v>275.625</v>
      </c>
      <c r="W15" s="24">
        <f t="shared" si="5"/>
        <v>5.6</v>
      </c>
    </row>
    <row r="16" hidden="1">
      <c r="A16" s="15" t="s">
        <v>1149</v>
      </c>
      <c r="B16" s="18"/>
      <c r="C16" s="15" t="s">
        <v>6150</v>
      </c>
      <c r="D16" s="18"/>
      <c r="E16" s="17" t="s">
        <v>1150</v>
      </c>
      <c r="F16" s="18"/>
      <c r="G16" s="18"/>
      <c r="H16" s="15" t="s">
        <v>1151</v>
      </c>
      <c r="I16" s="18"/>
      <c r="J16" s="19" t="s">
        <v>283</v>
      </c>
      <c r="K16" s="19" t="s">
        <v>603</v>
      </c>
      <c r="L16" s="19" t="s">
        <v>38</v>
      </c>
      <c r="M16" s="20">
        <f t="shared" si="1"/>
        <v>0</v>
      </c>
      <c r="N16" s="22"/>
      <c r="O16" s="19" t="s">
        <v>1145</v>
      </c>
      <c r="P16" s="18"/>
      <c r="Q16" s="18"/>
      <c r="R16" s="23">
        <v>0.0</v>
      </c>
      <c r="S16" s="23">
        <v>0.0</v>
      </c>
      <c r="T16" s="23">
        <f t="shared" si="2"/>
        <v>0</v>
      </c>
      <c r="U16" s="23">
        <f t="shared" si="3"/>
        <v>0</v>
      </c>
      <c r="V16" s="23">
        <f t="shared" si="4"/>
        <v>0</v>
      </c>
      <c r="W16" s="24" t="str">
        <f t="shared" si="5"/>
        <v>#DIV/0!</v>
      </c>
    </row>
    <row r="17">
      <c r="A17" s="15" t="s">
        <v>204</v>
      </c>
      <c r="B17" s="15" t="s">
        <v>205</v>
      </c>
      <c r="C17" s="15" t="s">
        <v>6074</v>
      </c>
      <c r="D17" s="15" t="s">
        <v>206</v>
      </c>
      <c r="E17" s="17" t="s">
        <v>207</v>
      </c>
      <c r="F17" s="18"/>
      <c r="G17" s="15" t="s">
        <v>208</v>
      </c>
      <c r="H17" s="15" t="s">
        <v>209</v>
      </c>
      <c r="I17" s="18"/>
      <c r="J17" s="19" t="s">
        <v>36</v>
      </c>
      <c r="K17" s="19" t="s">
        <v>37</v>
      </c>
      <c r="L17" s="19" t="s">
        <v>38</v>
      </c>
      <c r="M17" s="20">
        <f t="shared" si="1"/>
        <v>0</v>
      </c>
      <c r="N17" s="31">
        <v>10.0</v>
      </c>
      <c r="O17" s="19" t="s">
        <v>107</v>
      </c>
      <c r="P17" s="18"/>
      <c r="Q17" s="18"/>
      <c r="R17" s="23">
        <v>0.0</v>
      </c>
      <c r="S17" s="23">
        <v>0.0</v>
      </c>
      <c r="T17" s="23">
        <f t="shared" si="2"/>
        <v>0</v>
      </c>
      <c r="U17" s="23">
        <f t="shared" si="3"/>
        <v>0</v>
      </c>
      <c r="V17" s="23">
        <f t="shared" si="4"/>
        <v>0</v>
      </c>
      <c r="W17" s="24" t="str">
        <f t="shared" si="5"/>
        <v>#DIV/0!</v>
      </c>
    </row>
    <row r="18">
      <c r="A18" s="15" t="s">
        <v>839</v>
      </c>
      <c r="B18" s="15" t="s">
        <v>840</v>
      </c>
      <c r="C18" s="15" t="s">
        <v>6059</v>
      </c>
      <c r="D18" s="15" t="s">
        <v>841</v>
      </c>
      <c r="E18" s="17" t="s">
        <v>842</v>
      </c>
      <c r="F18" s="18"/>
      <c r="G18" s="18"/>
      <c r="H18" s="15" t="s">
        <v>843</v>
      </c>
      <c r="I18" s="18"/>
      <c r="J18" s="19" t="s">
        <v>702</v>
      </c>
      <c r="K18" s="19" t="s">
        <v>52</v>
      </c>
      <c r="L18" s="19" t="s">
        <v>703</v>
      </c>
      <c r="M18" s="20">
        <f t="shared" si="1"/>
        <v>4884</v>
      </c>
      <c r="N18" s="31">
        <v>2.0</v>
      </c>
      <c r="O18" s="19" t="s">
        <v>107</v>
      </c>
      <c r="P18" s="18"/>
      <c r="Q18" s="18"/>
      <c r="R18" s="23">
        <v>65.0</v>
      </c>
      <c r="S18" s="23">
        <v>275.0</v>
      </c>
      <c r="T18" s="23">
        <f t="shared" si="2"/>
        <v>264</v>
      </c>
      <c r="U18" s="23">
        <f t="shared" si="3"/>
        <v>79.625</v>
      </c>
      <c r="V18" s="23">
        <f t="shared" si="4"/>
        <v>1492.96875</v>
      </c>
      <c r="W18" s="24">
        <f t="shared" si="5"/>
        <v>4.061538462</v>
      </c>
    </row>
    <row r="19">
      <c r="A19" s="15" t="s">
        <v>1014</v>
      </c>
      <c r="B19" s="15" t="s">
        <v>1015</v>
      </c>
      <c r="C19" s="15" t="s">
        <v>6060</v>
      </c>
      <c r="D19" s="15" t="s">
        <v>1016</v>
      </c>
      <c r="E19" s="17" t="s">
        <v>1017</v>
      </c>
      <c r="F19" s="18"/>
      <c r="G19" s="18"/>
      <c r="H19" s="15" t="s">
        <v>1018</v>
      </c>
      <c r="I19" s="18"/>
      <c r="J19" s="19" t="s">
        <v>702</v>
      </c>
      <c r="K19" s="19" t="s">
        <v>52</v>
      </c>
      <c r="L19" s="19" t="s">
        <v>703</v>
      </c>
      <c r="M19" s="20">
        <f t="shared" si="1"/>
        <v>5256.96</v>
      </c>
      <c r="N19" s="31">
        <v>2.0</v>
      </c>
      <c r="O19" s="19" t="s">
        <v>107</v>
      </c>
      <c r="P19" s="18"/>
      <c r="Q19" s="18"/>
      <c r="R19" s="23">
        <v>85.0</v>
      </c>
      <c r="S19" s="23">
        <v>296.0</v>
      </c>
      <c r="T19" s="23">
        <f t="shared" si="2"/>
        <v>284.16</v>
      </c>
      <c r="U19" s="23">
        <f t="shared" si="3"/>
        <v>104.125</v>
      </c>
      <c r="V19" s="23">
        <f t="shared" si="4"/>
        <v>1952.34375</v>
      </c>
      <c r="W19" s="24">
        <f t="shared" si="5"/>
        <v>3.343058824</v>
      </c>
    </row>
    <row r="20">
      <c r="A20" s="15" t="s">
        <v>697</v>
      </c>
      <c r="B20" s="15" t="s">
        <v>698</v>
      </c>
      <c r="C20" s="15" t="s">
        <v>6061</v>
      </c>
      <c r="D20" s="15" t="s">
        <v>699</v>
      </c>
      <c r="E20" s="17" t="s">
        <v>700</v>
      </c>
      <c r="F20" s="18"/>
      <c r="G20" s="18"/>
      <c r="H20" s="15" t="s">
        <v>701</v>
      </c>
      <c r="I20" s="18"/>
      <c r="J20" s="19" t="s">
        <v>702</v>
      </c>
      <c r="K20" s="19" t="s">
        <v>52</v>
      </c>
      <c r="L20" s="19" t="s">
        <v>703</v>
      </c>
      <c r="M20" s="20">
        <f t="shared" si="1"/>
        <v>3996</v>
      </c>
      <c r="N20" s="31">
        <v>2.0</v>
      </c>
      <c r="O20" s="19" t="s">
        <v>107</v>
      </c>
      <c r="P20" s="18"/>
      <c r="Q20" s="18"/>
      <c r="R20" s="23">
        <v>45.0</v>
      </c>
      <c r="S20" s="23">
        <v>225.0</v>
      </c>
      <c r="T20" s="23">
        <f t="shared" si="2"/>
        <v>216</v>
      </c>
      <c r="U20" s="23">
        <f t="shared" si="3"/>
        <v>55.125</v>
      </c>
      <c r="V20" s="23">
        <f t="shared" si="4"/>
        <v>1033.59375</v>
      </c>
      <c r="W20" s="24">
        <f t="shared" si="5"/>
        <v>4.8</v>
      </c>
    </row>
    <row r="21">
      <c r="A21" s="15" t="s">
        <v>781</v>
      </c>
      <c r="B21" s="15" t="s">
        <v>782</v>
      </c>
      <c r="C21" s="15" t="s">
        <v>6062</v>
      </c>
      <c r="D21" s="15" t="s">
        <v>783</v>
      </c>
      <c r="E21" s="17" t="s">
        <v>784</v>
      </c>
      <c r="F21" s="18"/>
      <c r="G21" s="18"/>
      <c r="H21" s="15" t="s">
        <v>785</v>
      </c>
      <c r="I21" s="18"/>
      <c r="J21" s="19" t="s">
        <v>702</v>
      </c>
      <c r="K21" s="19" t="s">
        <v>52</v>
      </c>
      <c r="L21" s="19" t="s">
        <v>703</v>
      </c>
      <c r="M21" s="20">
        <f t="shared" si="1"/>
        <v>4440</v>
      </c>
      <c r="N21" s="31">
        <v>2.0</v>
      </c>
      <c r="O21" s="19" t="s">
        <v>107</v>
      </c>
      <c r="P21" s="18"/>
      <c r="Q21" s="18"/>
      <c r="R21" s="23">
        <v>55.0</v>
      </c>
      <c r="S21" s="23">
        <v>250.0</v>
      </c>
      <c r="T21" s="23">
        <f t="shared" si="2"/>
        <v>240</v>
      </c>
      <c r="U21" s="23">
        <f t="shared" si="3"/>
        <v>67.375</v>
      </c>
      <c r="V21" s="23">
        <f t="shared" si="4"/>
        <v>1263.28125</v>
      </c>
      <c r="W21" s="24">
        <f t="shared" si="5"/>
        <v>4.363636364</v>
      </c>
    </row>
    <row r="22">
      <c r="A22" s="15" t="s">
        <v>776</v>
      </c>
      <c r="B22" s="15" t="s">
        <v>777</v>
      </c>
      <c r="C22" s="15" t="s">
        <v>6063</v>
      </c>
      <c r="D22" s="15" t="s">
        <v>778</v>
      </c>
      <c r="E22" s="17" t="s">
        <v>779</v>
      </c>
      <c r="F22" s="18"/>
      <c r="G22" s="18"/>
      <c r="H22" s="15" t="s">
        <v>780</v>
      </c>
      <c r="I22" s="18"/>
      <c r="J22" s="19" t="s">
        <v>702</v>
      </c>
      <c r="K22" s="19" t="s">
        <v>52</v>
      </c>
      <c r="L22" s="19" t="s">
        <v>703</v>
      </c>
      <c r="M22" s="20">
        <f t="shared" si="1"/>
        <v>4457.76</v>
      </c>
      <c r="N22" s="31">
        <v>2.0</v>
      </c>
      <c r="O22" s="19" t="s">
        <v>107</v>
      </c>
      <c r="P22" s="18"/>
      <c r="Q22" s="18"/>
      <c r="R22" s="23">
        <v>55.0</v>
      </c>
      <c r="S22" s="23">
        <v>251.0</v>
      </c>
      <c r="T22" s="23">
        <f t="shared" si="2"/>
        <v>240.96</v>
      </c>
      <c r="U22" s="23">
        <f t="shared" si="3"/>
        <v>67.375</v>
      </c>
      <c r="V22" s="23">
        <f t="shared" si="4"/>
        <v>1263.28125</v>
      </c>
      <c r="W22" s="24">
        <f t="shared" si="5"/>
        <v>4.381090909</v>
      </c>
    </row>
    <row r="23">
      <c r="A23" s="15" t="s">
        <v>964</v>
      </c>
      <c r="B23" s="15" t="s">
        <v>965</v>
      </c>
      <c r="C23" s="15" t="s">
        <v>6064</v>
      </c>
      <c r="D23" s="15" t="s">
        <v>966</v>
      </c>
      <c r="E23" s="17" t="s">
        <v>967</v>
      </c>
      <c r="F23" s="18"/>
      <c r="G23" s="18"/>
      <c r="H23" s="15" t="s">
        <v>968</v>
      </c>
      <c r="I23" s="18"/>
      <c r="J23" s="19" t="s">
        <v>702</v>
      </c>
      <c r="K23" s="19" t="s">
        <v>52</v>
      </c>
      <c r="L23" s="19" t="s">
        <v>703</v>
      </c>
      <c r="M23" s="20">
        <f t="shared" si="1"/>
        <v>4955.04</v>
      </c>
      <c r="N23" s="31">
        <v>2.0</v>
      </c>
      <c r="O23" s="19" t="s">
        <v>107</v>
      </c>
      <c r="P23" s="18"/>
      <c r="Q23" s="18"/>
      <c r="R23" s="23">
        <v>75.0</v>
      </c>
      <c r="S23" s="23">
        <v>279.0</v>
      </c>
      <c r="T23" s="23">
        <f t="shared" si="2"/>
        <v>267.84</v>
      </c>
      <c r="U23" s="23">
        <f t="shared" si="3"/>
        <v>91.875</v>
      </c>
      <c r="V23" s="23">
        <f t="shared" si="4"/>
        <v>1722.65625</v>
      </c>
      <c r="W23" s="24">
        <f t="shared" si="5"/>
        <v>3.5712</v>
      </c>
    </row>
    <row r="24" hidden="1">
      <c r="A24" s="15" t="s">
        <v>1152</v>
      </c>
      <c r="B24" s="18"/>
      <c r="C24" s="15" t="s">
        <v>6158</v>
      </c>
      <c r="D24" s="18"/>
      <c r="E24" s="17" t="s">
        <v>1153</v>
      </c>
      <c r="F24" s="18"/>
      <c r="G24" s="18"/>
      <c r="H24" s="15" t="s">
        <v>1154</v>
      </c>
      <c r="I24" s="18"/>
      <c r="J24" s="19" t="s">
        <v>283</v>
      </c>
      <c r="K24" s="19" t="s">
        <v>105</v>
      </c>
      <c r="L24" s="19" t="s">
        <v>38</v>
      </c>
      <c r="M24" s="20">
        <f t="shared" si="1"/>
        <v>0</v>
      </c>
      <c r="N24" s="22"/>
      <c r="O24" s="19" t="s">
        <v>1145</v>
      </c>
      <c r="P24" s="18"/>
      <c r="Q24" s="18"/>
      <c r="R24" s="23">
        <v>0.0</v>
      </c>
      <c r="S24" s="23">
        <v>0.0</v>
      </c>
      <c r="T24" s="23">
        <f t="shared" si="2"/>
        <v>0</v>
      </c>
      <c r="U24" s="23">
        <f t="shared" si="3"/>
        <v>0</v>
      </c>
      <c r="V24" s="23">
        <f t="shared" si="4"/>
        <v>0</v>
      </c>
      <c r="W24" s="24" t="str">
        <f t="shared" si="5"/>
        <v>#DIV/0!</v>
      </c>
    </row>
    <row r="25" hidden="1">
      <c r="A25" s="15" t="s">
        <v>1155</v>
      </c>
      <c r="B25" s="18"/>
      <c r="C25" s="15" t="s">
        <v>6159</v>
      </c>
      <c r="D25" s="18"/>
      <c r="E25" s="17" t="s">
        <v>470</v>
      </c>
      <c r="F25" s="18"/>
      <c r="G25" s="18"/>
      <c r="H25" s="15" t="s">
        <v>1156</v>
      </c>
      <c r="I25" s="18"/>
      <c r="J25" s="19" t="s">
        <v>283</v>
      </c>
      <c r="K25" s="19" t="s">
        <v>284</v>
      </c>
      <c r="L25" s="19" t="s">
        <v>38</v>
      </c>
      <c r="M25" s="20">
        <f t="shared" si="1"/>
        <v>0</v>
      </c>
      <c r="N25" s="31">
        <v>5.0</v>
      </c>
      <c r="O25" s="19" t="s">
        <v>1145</v>
      </c>
      <c r="P25" s="18"/>
      <c r="Q25" s="18"/>
      <c r="R25" s="23">
        <v>0.0</v>
      </c>
      <c r="S25" s="23">
        <v>0.0</v>
      </c>
      <c r="T25" s="23">
        <f t="shared" si="2"/>
        <v>0</v>
      </c>
      <c r="U25" s="23">
        <f t="shared" si="3"/>
        <v>0</v>
      </c>
      <c r="V25" s="23">
        <f t="shared" si="4"/>
        <v>0</v>
      </c>
      <c r="W25" s="24" t="str">
        <f t="shared" si="5"/>
        <v>#DIV/0!</v>
      </c>
    </row>
    <row r="26" hidden="1">
      <c r="A26" s="15" t="s">
        <v>6160</v>
      </c>
      <c r="B26" s="18"/>
      <c r="C26" s="15" t="s">
        <v>6161</v>
      </c>
      <c r="D26" s="18"/>
      <c r="E26" s="17" t="s">
        <v>6162</v>
      </c>
      <c r="F26" s="18"/>
      <c r="G26" s="18"/>
      <c r="H26" s="15" t="s">
        <v>1156</v>
      </c>
      <c r="I26" s="18"/>
      <c r="J26" s="19" t="s">
        <v>283</v>
      </c>
      <c r="K26" s="19" t="s">
        <v>284</v>
      </c>
      <c r="L26" s="19" t="s">
        <v>38</v>
      </c>
      <c r="M26" s="20">
        <f t="shared" si="1"/>
        <v>0</v>
      </c>
      <c r="N26" s="22"/>
      <c r="O26" s="19" t="s">
        <v>39</v>
      </c>
      <c r="P26" s="18"/>
      <c r="Q26" s="18"/>
      <c r="R26" s="23">
        <v>0.0</v>
      </c>
      <c r="S26" s="23">
        <v>0.0</v>
      </c>
      <c r="T26" s="23">
        <f t="shared" si="2"/>
        <v>0</v>
      </c>
      <c r="U26" s="23">
        <f t="shared" si="3"/>
        <v>0</v>
      </c>
      <c r="V26" s="23">
        <f t="shared" si="4"/>
        <v>0</v>
      </c>
      <c r="W26" s="24" t="str">
        <f t="shared" si="5"/>
        <v>#DIV/0!</v>
      </c>
      <c r="Y26" s="40"/>
    </row>
    <row r="27" hidden="1">
      <c r="A27" s="15" t="s">
        <v>1157</v>
      </c>
      <c r="B27" s="18"/>
      <c r="C27" s="15" t="s">
        <v>6163</v>
      </c>
      <c r="D27" s="18"/>
      <c r="E27" s="17" t="s">
        <v>579</v>
      </c>
      <c r="F27" s="18"/>
      <c r="G27" s="18"/>
      <c r="H27" s="15" t="s">
        <v>1158</v>
      </c>
      <c r="I27" s="18"/>
      <c r="J27" s="19" t="s">
        <v>283</v>
      </c>
      <c r="K27" s="19" t="s">
        <v>284</v>
      </c>
      <c r="L27" s="19" t="s">
        <v>38</v>
      </c>
      <c r="M27" s="20">
        <f t="shared" si="1"/>
        <v>0</v>
      </c>
      <c r="N27" s="22"/>
      <c r="O27" s="19" t="s">
        <v>1145</v>
      </c>
      <c r="P27" s="18"/>
      <c r="Q27" s="18"/>
      <c r="R27" s="23">
        <v>0.0</v>
      </c>
      <c r="S27" s="23">
        <v>0.0</v>
      </c>
      <c r="T27" s="23">
        <f t="shared" si="2"/>
        <v>0</v>
      </c>
      <c r="U27" s="23">
        <f t="shared" si="3"/>
        <v>0</v>
      </c>
      <c r="V27" s="23">
        <f t="shared" si="4"/>
        <v>0</v>
      </c>
      <c r="W27" s="24" t="str">
        <f t="shared" si="5"/>
        <v>#DIV/0!</v>
      </c>
    </row>
    <row r="28" hidden="1">
      <c r="A28" s="15" t="s">
        <v>1159</v>
      </c>
      <c r="B28" s="18"/>
      <c r="C28" s="15" t="s">
        <v>6164</v>
      </c>
      <c r="D28" s="18"/>
      <c r="E28" s="17" t="s">
        <v>1160</v>
      </c>
      <c r="F28" s="18"/>
      <c r="G28" s="18"/>
      <c r="H28" s="15" t="s">
        <v>1161</v>
      </c>
      <c r="I28" s="18"/>
      <c r="J28" s="19" t="s">
        <v>283</v>
      </c>
      <c r="K28" s="19" t="s">
        <v>284</v>
      </c>
      <c r="L28" s="19" t="s">
        <v>38</v>
      </c>
      <c r="M28" s="20">
        <f t="shared" si="1"/>
        <v>0</v>
      </c>
      <c r="N28" s="22"/>
      <c r="O28" s="19" t="s">
        <v>1145</v>
      </c>
      <c r="P28" s="18"/>
      <c r="Q28" s="18"/>
      <c r="R28" s="23">
        <v>0.0</v>
      </c>
      <c r="S28" s="23">
        <v>0.0</v>
      </c>
      <c r="T28" s="23">
        <f t="shared" si="2"/>
        <v>0</v>
      </c>
      <c r="U28" s="23">
        <f t="shared" si="3"/>
        <v>0</v>
      </c>
      <c r="V28" s="23">
        <f t="shared" si="4"/>
        <v>0</v>
      </c>
      <c r="W28" s="24" t="str">
        <f t="shared" si="5"/>
        <v>#DIV/0!</v>
      </c>
    </row>
    <row r="29" hidden="1">
      <c r="A29" s="15" t="s">
        <v>1162</v>
      </c>
      <c r="B29" s="18"/>
      <c r="C29" s="15" t="s">
        <v>6165</v>
      </c>
      <c r="D29" s="18"/>
      <c r="E29" s="17" t="s">
        <v>1163</v>
      </c>
      <c r="F29" s="18"/>
      <c r="G29" s="18"/>
      <c r="H29" s="15" t="s">
        <v>1164</v>
      </c>
      <c r="I29" s="18"/>
      <c r="J29" s="19" t="s">
        <v>283</v>
      </c>
      <c r="K29" s="19" t="s">
        <v>284</v>
      </c>
      <c r="L29" s="19" t="s">
        <v>38</v>
      </c>
      <c r="M29" s="20">
        <f t="shared" si="1"/>
        <v>0</v>
      </c>
      <c r="N29" s="22"/>
      <c r="O29" s="19" t="s">
        <v>1145</v>
      </c>
      <c r="P29" s="18"/>
      <c r="Q29" s="18"/>
      <c r="R29" s="23">
        <v>0.0</v>
      </c>
      <c r="S29" s="23">
        <v>0.0</v>
      </c>
      <c r="T29" s="23">
        <f t="shared" si="2"/>
        <v>0</v>
      </c>
      <c r="U29" s="23">
        <f t="shared" si="3"/>
        <v>0</v>
      </c>
      <c r="V29" s="23">
        <f t="shared" si="4"/>
        <v>0</v>
      </c>
      <c r="W29" s="24" t="str">
        <f t="shared" si="5"/>
        <v>#DIV/0!</v>
      </c>
    </row>
    <row r="30" hidden="1">
      <c r="A30" s="15" t="s">
        <v>1165</v>
      </c>
      <c r="B30" s="18"/>
      <c r="C30" s="15" t="s">
        <v>6166</v>
      </c>
      <c r="D30" s="18"/>
      <c r="E30" s="17" t="s">
        <v>1166</v>
      </c>
      <c r="F30" s="18"/>
      <c r="G30" s="18"/>
      <c r="H30" s="15" t="s">
        <v>1167</v>
      </c>
      <c r="I30" s="18"/>
      <c r="J30" s="19" t="s">
        <v>283</v>
      </c>
      <c r="K30" s="19" t="s">
        <v>284</v>
      </c>
      <c r="L30" s="19" t="s">
        <v>38</v>
      </c>
      <c r="M30" s="20">
        <f t="shared" si="1"/>
        <v>0</v>
      </c>
      <c r="N30" s="22"/>
      <c r="O30" s="19" t="s">
        <v>1145</v>
      </c>
      <c r="P30" s="18"/>
      <c r="Q30" s="18"/>
      <c r="R30" s="23">
        <v>0.0</v>
      </c>
      <c r="S30" s="23">
        <v>0.0</v>
      </c>
      <c r="T30" s="23">
        <f t="shared" si="2"/>
        <v>0</v>
      </c>
      <c r="U30" s="23">
        <f t="shared" si="3"/>
        <v>0</v>
      </c>
      <c r="V30" s="23">
        <f t="shared" si="4"/>
        <v>0</v>
      </c>
      <c r="W30" s="24" t="str">
        <f t="shared" si="5"/>
        <v>#DIV/0!</v>
      </c>
      <c r="Y30" s="40"/>
    </row>
    <row r="31" hidden="1">
      <c r="A31" s="15" t="s">
        <v>1168</v>
      </c>
      <c r="B31" s="18"/>
      <c r="C31" s="15" t="s">
        <v>6167</v>
      </c>
      <c r="D31" s="18"/>
      <c r="E31" s="17" t="s">
        <v>1169</v>
      </c>
      <c r="F31" s="18"/>
      <c r="G31" s="18"/>
      <c r="H31" s="15" t="s">
        <v>1170</v>
      </c>
      <c r="I31" s="18"/>
      <c r="J31" s="19" t="s">
        <v>283</v>
      </c>
      <c r="K31" s="19" t="s">
        <v>284</v>
      </c>
      <c r="L31" s="19" t="s">
        <v>38</v>
      </c>
      <c r="M31" s="20">
        <f t="shared" si="1"/>
        <v>0</v>
      </c>
      <c r="N31" s="22"/>
      <c r="O31" s="19" t="s">
        <v>1145</v>
      </c>
      <c r="P31" s="18"/>
      <c r="Q31" s="18"/>
      <c r="R31" s="23">
        <v>0.0</v>
      </c>
      <c r="S31" s="23">
        <v>0.0</v>
      </c>
      <c r="T31" s="23">
        <f t="shared" si="2"/>
        <v>0</v>
      </c>
      <c r="U31" s="23">
        <f t="shared" si="3"/>
        <v>0</v>
      </c>
      <c r="V31" s="23">
        <f t="shared" si="4"/>
        <v>0</v>
      </c>
      <c r="W31" s="24" t="str">
        <f t="shared" si="5"/>
        <v>#DIV/0!</v>
      </c>
      <c r="Y31" s="40"/>
    </row>
    <row r="32" hidden="1">
      <c r="A32" s="15" t="s">
        <v>1171</v>
      </c>
      <c r="B32" s="18"/>
      <c r="C32" s="15" t="s">
        <v>6168</v>
      </c>
      <c r="D32" s="18"/>
      <c r="E32" s="17" t="s">
        <v>1169</v>
      </c>
      <c r="F32" s="18"/>
      <c r="G32" s="18"/>
      <c r="H32" s="15" t="s">
        <v>1167</v>
      </c>
      <c r="I32" s="18"/>
      <c r="J32" s="19" t="s">
        <v>283</v>
      </c>
      <c r="K32" s="19" t="s">
        <v>284</v>
      </c>
      <c r="L32" s="19" t="s">
        <v>38</v>
      </c>
      <c r="M32" s="20">
        <f t="shared" si="1"/>
        <v>0</v>
      </c>
      <c r="N32" s="22"/>
      <c r="O32" s="19" t="s">
        <v>1145</v>
      </c>
      <c r="P32" s="18"/>
      <c r="Q32" s="18"/>
      <c r="R32" s="23">
        <v>0.0</v>
      </c>
      <c r="S32" s="23">
        <v>0.0</v>
      </c>
      <c r="T32" s="23">
        <f t="shared" si="2"/>
        <v>0</v>
      </c>
      <c r="U32" s="23">
        <f t="shared" si="3"/>
        <v>0</v>
      </c>
      <c r="V32" s="23">
        <f t="shared" si="4"/>
        <v>0</v>
      </c>
      <c r="W32" s="24" t="str">
        <f t="shared" si="5"/>
        <v>#DIV/0!</v>
      </c>
    </row>
    <row r="33" hidden="1">
      <c r="A33" s="15" t="s">
        <v>1172</v>
      </c>
      <c r="B33" s="18"/>
      <c r="C33" s="15" t="s">
        <v>6169</v>
      </c>
      <c r="D33" s="18"/>
      <c r="E33" s="17" t="s">
        <v>1173</v>
      </c>
      <c r="F33" s="18"/>
      <c r="G33" s="18"/>
      <c r="H33" s="15" t="s">
        <v>1174</v>
      </c>
      <c r="I33" s="18"/>
      <c r="J33" s="19" t="s">
        <v>283</v>
      </c>
      <c r="K33" s="19" t="s">
        <v>284</v>
      </c>
      <c r="L33" s="19" t="s">
        <v>38</v>
      </c>
      <c r="M33" s="20">
        <f t="shared" si="1"/>
        <v>0</v>
      </c>
      <c r="N33" s="22"/>
      <c r="O33" s="19" t="s">
        <v>1145</v>
      </c>
      <c r="P33" s="18"/>
      <c r="Q33" s="18"/>
      <c r="R33" s="23">
        <v>0.0</v>
      </c>
      <c r="S33" s="23">
        <v>0.0</v>
      </c>
      <c r="T33" s="23">
        <f t="shared" si="2"/>
        <v>0</v>
      </c>
      <c r="U33" s="23">
        <f t="shared" si="3"/>
        <v>0</v>
      </c>
      <c r="V33" s="23">
        <f t="shared" si="4"/>
        <v>0</v>
      </c>
      <c r="W33" s="24" t="str">
        <f t="shared" si="5"/>
        <v>#DIV/0!</v>
      </c>
    </row>
    <row r="34" hidden="1">
      <c r="A34" s="15" t="s">
        <v>1175</v>
      </c>
      <c r="B34" s="18"/>
      <c r="C34" s="15" t="s">
        <v>6170</v>
      </c>
      <c r="D34" s="18"/>
      <c r="E34" s="17" t="s">
        <v>519</v>
      </c>
      <c r="F34" s="18"/>
      <c r="G34" s="18"/>
      <c r="H34" s="15" t="s">
        <v>1176</v>
      </c>
      <c r="I34" s="18"/>
      <c r="J34" s="19" t="s">
        <v>283</v>
      </c>
      <c r="K34" s="19" t="s">
        <v>284</v>
      </c>
      <c r="L34" s="19" t="s">
        <v>38</v>
      </c>
      <c r="M34" s="20">
        <f t="shared" si="1"/>
        <v>0</v>
      </c>
      <c r="N34" s="22"/>
      <c r="O34" s="19" t="s">
        <v>1145</v>
      </c>
      <c r="P34" s="18"/>
      <c r="Q34" s="18"/>
      <c r="R34" s="23">
        <v>0.0</v>
      </c>
      <c r="S34" s="23">
        <v>0.0</v>
      </c>
      <c r="T34" s="23">
        <f t="shared" si="2"/>
        <v>0</v>
      </c>
      <c r="U34" s="23">
        <f t="shared" si="3"/>
        <v>0</v>
      </c>
      <c r="V34" s="23">
        <f t="shared" si="4"/>
        <v>0</v>
      </c>
      <c r="W34" s="24" t="str">
        <f t="shared" si="5"/>
        <v>#DIV/0!</v>
      </c>
    </row>
    <row r="35" hidden="1">
      <c r="A35" s="15" t="s">
        <v>1177</v>
      </c>
      <c r="B35" s="18"/>
      <c r="C35" s="15" t="s">
        <v>6171</v>
      </c>
      <c r="D35" s="18"/>
      <c r="E35" s="17" t="s">
        <v>408</v>
      </c>
      <c r="F35" s="18"/>
      <c r="G35" s="18"/>
      <c r="H35" s="15" t="s">
        <v>1176</v>
      </c>
      <c r="I35" s="18"/>
      <c r="J35" s="19" t="s">
        <v>283</v>
      </c>
      <c r="K35" s="19" t="s">
        <v>284</v>
      </c>
      <c r="L35" s="19" t="s">
        <v>38</v>
      </c>
      <c r="M35" s="20">
        <f t="shared" si="1"/>
        <v>0</v>
      </c>
      <c r="N35" s="22"/>
      <c r="O35" s="19" t="s">
        <v>1145</v>
      </c>
      <c r="P35" s="18"/>
      <c r="Q35" s="18"/>
      <c r="R35" s="23">
        <v>0.0</v>
      </c>
      <c r="S35" s="23">
        <v>0.0</v>
      </c>
      <c r="T35" s="23">
        <f t="shared" si="2"/>
        <v>0</v>
      </c>
      <c r="U35" s="23">
        <f t="shared" si="3"/>
        <v>0</v>
      </c>
      <c r="V35" s="23">
        <f t="shared" si="4"/>
        <v>0</v>
      </c>
      <c r="W35" s="24" t="str">
        <f t="shared" si="5"/>
        <v>#DIV/0!</v>
      </c>
    </row>
    <row r="36" hidden="1">
      <c r="A36" s="15" t="s">
        <v>1178</v>
      </c>
      <c r="B36" s="18"/>
      <c r="C36" s="15" t="s">
        <v>6172</v>
      </c>
      <c r="D36" s="18"/>
      <c r="E36" s="17" t="s">
        <v>281</v>
      </c>
      <c r="F36" s="18"/>
      <c r="G36" s="18"/>
      <c r="H36" s="15" t="s">
        <v>1176</v>
      </c>
      <c r="I36" s="18"/>
      <c r="J36" s="19" t="s">
        <v>283</v>
      </c>
      <c r="K36" s="19" t="s">
        <v>284</v>
      </c>
      <c r="L36" s="19" t="s">
        <v>38</v>
      </c>
      <c r="M36" s="20">
        <f t="shared" si="1"/>
        <v>0</v>
      </c>
      <c r="N36" s="22"/>
      <c r="O36" s="19" t="s">
        <v>1145</v>
      </c>
      <c r="P36" s="18"/>
      <c r="Q36" s="18"/>
      <c r="R36" s="23">
        <v>0.0</v>
      </c>
      <c r="S36" s="23">
        <v>0.0</v>
      </c>
      <c r="T36" s="23">
        <f t="shared" si="2"/>
        <v>0</v>
      </c>
      <c r="U36" s="23">
        <f t="shared" si="3"/>
        <v>0</v>
      </c>
      <c r="V36" s="23">
        <f t="shared" si="4"/>
        <v>0</v>
      </c>
      <c r="W36" s="24" t="str">
        <f t="shared" si="5"/>
        <v>#DIV/0!</v>
      </c>
    </row>
    <row r="37" hidden="1">
      <c r="A37" s="15" t="s">
        <v>1179</v>
      </c>
      <c r="B37" s="18"/>
      <c r="C37" s="15" t="s">
        <v>6173</v>
      </c>
      <c r="D37" s="18"/>
      <c r="E37" s="17" t="s">
        <v>590</v>
      </c>
      <c r="F37" s="18"/>
      <c r="G37" s="18"/>
      <c r="H37" s="15" t="s">
        <v>1180</v>
      </c>
      <c r="I37" s="18"/>
      <c r="J37" s="19" t="s">
        <v>283</v>
      </c>
      <c r="K37" s="19" t="s">
        <v>284</v>
      </c>
      <c r="L37" s="19" t="s">
        <v>38</v>
      </c>
      <c r="M37" s="20">
        <f t="shared" si="1"/>
        <v>0</v>
      </c>
      <c r="N37" s="22"/>
      <c r="O37" s="19" t="s">
        <v>1145</v>
      </c>
      <c r="P37" s="18"/>
      <c r="Q37" s="18"/>
      <c r="R37" s="23">
        <v>0.0</v>
      </c>
      <c r="S37" s="23">
        <v>0.0</v>
      </c>
      <c r="T37" s="23">
        <f t="shared" si="2"/>
        <v>0</v>
      </c>
      <c r="U37" s="23">
        <f t="shared" si="3"/>
        <v>0</v>
      </c>
      <c r="V37" s="23">
        <f t="shared" si="4"/>
        <v>0</v>
      </c>
      <c r="W37" s="24" t="str">
        <f t="shared" si="5"/>
        <v>#DIV/0!</v>
      </c>
    </row>
    <row r="38" hidden="1">
      <c r="A38" s="15" t="s">
        <v>1181</v>
      </c>
      <c r="B38" s="18"/>
      <c r="C38" s="15" t="s">
        <v>6174</v>
      </c>
      <c r="D38" s="18"/>
      <c r="E38" s="17" t="s">
        <v>1182</v>
      </c>
      <c r="F38" s="18"/>
      <c r="G38" s="18"/>
      <c r="H38" s="15" t="s">
        <v>1183</v>
      </c>
      <c r="I38" s="18"/>
      <c r="J38" s="19" t="s">
        <v>283</v>
      </c>
      <c r="K38" s="19" t="s">
        <v>284</v>
      </c>
      <c r="L38" s="19" t="s">
        <v>38</v>
      </c>
      <c r="M38" s="20">
        <f t="shared" si="1"/>
        <v>0</v>
      </c>
      <c r="N38" s="22"/>
      <c r="O38" s="19" t="s">
        <v>1145</v>
      </c>
      <c r="P38" s="18"/>
      <c r="Q38" s="18"/>
      <c r="R38" s="23">
        <v>0.0</v>
      </c>
      <c r="S38" s="23">
        <v>0.0</v>
      </c>
      <c r="T38" s="23">
        <f t="shared" si="2"/>
        <v>0</v>
      </c>
      <c r="U38" s="23">
        <f t="shared" si="3"/>
        <v>0</v>
      </c>
      <c r="V38" s="23">
        <f t="shared" si="4"/>
        <v>0</v>
      </c>
      <c r="W38" s="24" t="str">
        <f t="shared" si="5"/>
        <v>#DIV/0!</v>
      </c>
    </row>
    <row r="39">
      <c r="A39" s="15" t="s">
        <v>954</v>
      </c>
      <c r="B39" s="15" t="s">
        <v>955</v>
      </c>
      <c r="C39" s="15" t="s">
        <v>6065</v>
      </c>
      <c r="D39" s="15" t="s">
        <v>956</v>
      </c>
      <c r="E39" s="17" t="s">
        <v>957</v>
      </c>
      <c r="F39" s="18"/>
      <c r="G39" s="18"/>
      <c r="H39" s="15" t="s">
        <v>958</v>
      </c>
      <c r="I39" s="18"/>
      <c r="J39" s="19" t="s">
        <v>702</v>
      </c>
      <c r="K39" s="19" t="s">
        <v>52</v>
      </c>
      <c r="L39" s="19" t="s">
        <v>703</v>
      </c>
      <c r="M39" s="20">
        <f t="shared" si="1"/>
        <v>1651.68</v>
      </c>
      <c r="N39" s="31">
        <v>4.0</v>
      </c>
      <c r="O39" s="19" t="s">
        <v>107</v>
      </c>
      <c r="P39" s="18"/>
      <c r="Q39" s="18"/>
      <c r="R39" s="23">
        <v>25.0</v>
      </c>
      <c r="S39" s="23">
        <v>93.0</v>
      </c>
      <c r="T39" s="23">
        <f t="shared" si="2"/>
        <v>89.28</v>
      </c>
      <c r="U39" s="23">
        <f t="shared" si="3"/>
        <v>30.625</v>
      </c>
      <c r="V39" s="23">
        <f t="shared" si="4"/>
        <v>574.21875</v>
      </c>
      <c r="W39" s="24">
        <f t="shared" si="5"/>
        <v>3.5712</v>
      </c>
    </row>
    <row r="40">
      <c r="A40" s="15" t="s">
        <v>959</v>
      </c>
      <c r="B40" s="15" t="s">
        <v>960</v>
      </c>
      <c r="C40" s="15" t="s">
        <v>6066</v>
      </c>
      <c r="D40" s="15" t="s">
        <v>961</v>
      </c>
      <c r="E40" s="17" t="s">
        <v>962</v>
      </c>
      <c r="F40" s="18"/>
      <c r="G40" s="18"/>
      <c r="H40" s="15" t="s">
        <v>963</v>
      </c>
      <c r="I40" s="18"/>
      <c r="J40" s="19" t="s">
        <v>702</v>
      </c>
      <c r="K40" s="19" t="s">
        <v>52</v>
      </c>
      <c r="L40" s="19" t="s">
        <v>703</v>
      </c>
      <c r="M40" s="20">
        <f t="shared" si="1"/>
        <v>1651.68</v>
      </c>
      <c r="N40" s="31">
        <v>4.0</v>
      </c>
      <c r="O40" s="19" t="s">
        <v>107</v>
      </c>
      <c r="P40" s="18"/>
      <c r="Q40" s="18"/>
      <c r="R40" s="23">
        <v>25.0</v>
      </c>
      <c r="S40" s="23">
        <v>93.0</v>
      </c>
      <c r="T40" s="23">
        <f t="shared" si="2"/>
        <v>89.28</v>
      </c>
      <c r="U40" s="23">
        <f t="shared" si="3"/>
        <v>30.625</v>
      </c>
      <c r="V40" s="23">
        <f t="shared" si="4"/>
        <v>574.21875</v>
      </c>
      <c r="W40" s="24">
        <f t="shared" si="5"/>
        <v>3.5712</v>
      </c>
    </row>
    <row r="41">
      <c r="A41" s="15" t="s">
        <v>1129</v>
      </c>
      <c r="B41" s="15" t="s">
        <v>1130</v>
      </c>
      <c r="C41" s="15" t="s">
        <v>1131</v>
      </c>
      <c r="D41" s="15" t="s">
        <v>1132</v>
      </c>
      <c r="E41" s="17" t="s">
        <v>1133</v>
      </c>
      <c r="F41" s="18"/>
      <c r="G41" s="15" t="s">
        <v>1007</v>
      </c>
      <c r="H41" s="15" t="s">
        <v>1134</v>
      </c>
      <c r="I41" s="18"/>
      <c r="J41" s="19" t="s">
        <v>104</v>
      </c>
      <c r="K41" s="19" t="s">
        <v>160</v>
      </c>
      <c r="L41" s="19" t="s">
        <v>106</v>
      </c>
      <c r="M41" s="20">
        <f t="shared" si="1"/>
        <v>1687.2</v>
      </c>
      <c r="N41" s="31">
        <v>30.0</v>
      </c>
      <c r="O41" s="19" t="s">
        <v>107</v>
      </c>
      <c r="P41" s="18"/>
      <c r="Q41" s="18"/>
      <c r="R41" s="23">
        <v>38.0</v>
      </c>
      <c r="S41" s="23">
        <v>95.0</v>
      </c>
      <c r="T41" s="23">
        <f t="shared" si="2"/>
        <v>91.2</v>
      </c>
      <c r="U41" s="23">
        <f t="shared" si="3"/>
        <v>46.55</v>
      </c>
      <c r="V41" s="23">
        <f t="shared" si="4"/>
        <v>872.8125</v>
      </c>
      <c r="W41" s="24">
        <f t="shared" si="5"/>
        <v>2.4</v>
      </c>
    </row>
    <row r="42">
      <c r="A42" s="15" t="s">
        <v>1110</v>
      </c>
      <c r="B42" s="15" t="s">
        <v>1111</v>
      </c>
      <c r="C42" s="15" t="s">
        <v>1112</v>
      </c>
      <c r="D42" s="15" t="s">
        <v>1113</v>
      </c>
      <c r="E42" s="17" t="s">
        <v>1114</v>
      </c>
      <c r="F42" s="18"/>
      <c r="G42" s="15" t="s">
        <v>1115</v>
      </c>
      <c r="H42" s="15" t="s">
        <v>1116</v>
      </c>
      <c r="I42" s="18"/>
      <c r="J42" s="19" t="s">
        <v>104</v>
      </c>
      <c r="K42" s="19" t="s">
        <v>160</v>
      </c>
      <c r="L42" s="19" t="s">
        <v>106</v>
      </c>
      <c r="M42" s="20">
        <f t="shared" si="1"/>
        <v>1154.4</v>
      </c>
      <c r="N42" s="31">
        <v>10.0</v>
      </c>
      <c r="O42" s="19" t="s">
        <v>107</v>
      </c>
      <c r="P42" s="18"/>
      <c r="Q42" s="18"/>
      <c r="R42" s="23">
        <v>25.0</v>
      </c>
      <c r="S42" s="23">
        <v>65.0</v>
      </c>
      <c r="T42" s="23">
        <f t="shared" si="2"/>
        <v>62.4</v>
      </c>
      <c r="U42" s="23">
        <f t="shared" si="3"/>
        <v>30.625</v>
      </c>
      <c r="V42" s="23">
        <f t="shared" si="4"/>
        <v>574.21875</v>
      </c>
      <c r="W42" s="24">
        <f t="shared" si="5"/>
        <v>2.496</v>
      </c>
    </row>
    <row r="43">
      <c r="A43" s="15" t="s">
        <v>100</v>
      </c>
      <c r="B43" s="15" t="s">
        <v>101</v>
      </c>
      <c r="C43" s="15" t="s">
        <v>6655</v>
      </c>
      <c r="D43" s="15" t="s">
        <v>102</v>
      </c>
      <c r="E43" s="17" t="s">
        <v>103</v>
      </c>
      <c r="F43" s="18"/>
      <c r="G43" s="18"/>
      <c r="H43" s="18"/>
      <c r="I43" s="18"/>
      <c r="J43" s="19" t="s">
        <v>104</v>
      </c>
      <c r="K43" s="19" t="s">
        <v>105</v>
      </c>
      <c r="L43" s="19" t="s">
        <v>106</v>
      </c>
      <c r="M43" s="20">
        <f t="shared" si="1"/>
        <v>0</v>
      </c>
      <c r="N43" s="31">
        <v>10.0</v>
      </c>
      <c r="O43" s="19" t="s">
        <v>107</v>
      </c>
      <c r="P43" s="18"/>
      <c r="Q43" s="18"/>
      <c r="R43" s="23">
        <v>0.0</v>
      </c>
      <c r="S43" s="23">
        <v>0.0</v>
      </c>
      <c r="T43" s="23">
        <f t="shared" si="2"/>
        <v>0</v>
      </c>
      <c r="U43" s="23">
        <f t="shared" si="3"/>
        <v>0</v>
      </c>
      <c r="V43" s="23">
        <f t="shared" si="4"/>
        <v>0</v>
      </c>
      <c r="W43" s="24" t="str">
        <f t="shared" si="5"/>
        <v>#DIV/0!</v>
      </c>
    </row>
    <row r="44">
      <c r="A44" s="15" t="s">
        <v>824</v>
      </c>
      <c r="B44" s="15" t="s">
        <v>825</v>
      </c>
      <c r="C44" s="15" t="s">
        <v>6122</v>
      </c>
      <c r="D44" s="15" t="s">
        <v>826</v>
      </c>
      <c r="E44" s="17" t="s">
        <v>827</v>
      </c>
      <c r="F44" s="15" t="s">
        <v>828</v>
      </c>
      <c r="G44" s="15" t="s">
        <v>829</v>
      </c>
      <c r="H44" s="15" t="s">
        <v>830</v>
      </c>
      <c r="I44" s="18"/>
      <c r="J44" s="19" t="s">
        <v>104</v>
      </c>
      <c r="K44" s="19" t="s">
        <v>831</v>
      </c>
      <c r="L44" s="19" t="s">
        <v>135</v>
      </c>
      <c r="M44" s="20">
        <f t="shared" si="1"/>
        <v>53.28</v>
      </c>
      <c r="N44" s="31">
        <v>250.0</v>
      </c>
      <c r="O44" s="19" t="s">
        <v>107</v>
      </c>
      <c r="P44" s="18"/>
      <c r="Q44" s="18"/>
      <c r="R44" s="23">
        <v>0.7</v>
      </c>
      <c r="S44" s="23">
        <v>3.0</v>
      </c>
      <c r="T44" s="23">
        <f t="shared" si="2"/>
        <v>2.88</v>
      </c>
      <c r="U44" s="23">
        <f t="shared" si="3"/>
        <v>0.8575</v>
      </c>
      <c r="V44" s="23">
        <f t="shared" si="4"/>
        <v>16.078125</v>
      </c>
      <c r="W44" s="24">
        <f t="shared" si="5"/>
        <v>4.114285714</v>
      </c>
    </row>
    <row r="45" hidden="1">
      <c r="A45" s="15" t="s">
        <v>1184</v>
      </c>
      <c r="B45" s="18"/>
      <c r="C45" s="15" t="s">
        <v>6181</v>
      </c>
      <c r="D45" s="18"/>
      <c r="E45" s="17" t="s">
        <v>1185</v>
      </c>
      <c r="F45" s="18"/>
      <c r="G45" s="18"/>
      <c r="H45" s="15" t="s">
        <v>1186</v>
      </c>
      <c r="I45" s="18"/>
      <c r="J45" s="19" t="s">
        <v>283</v>
      </c>
      <c r="K45" s="19" t="s">
        <v>284</v>
      </c>
      <c r="L45" s="19" t="s">
        <v>38</v>
      </c>
      <c r="M45" s="20">
        <f t="shared" si="1"/>
        <v>0</v>
      </c>
      <c r="N45" s="22"/>
      <c r="O45" s="19" t="s">
        <v>1145</v>
      </c>
      <c r="P45" s="18"/>
      <c r="Q45" s="18"/>
      <c r="R45" s="23">
        <v>0.0</v>
      </c>
      <c r="S45" s="23">
        <v>0.0</v>
      </c>
      <c r="T45" s="23">
        <f t="shared" si="2"/>
        <v>0</v>
      </c>
      <c r="U45" s="23">
        <f t="shared" si="3"/>
        <v>0</v>
      </c>
      <c r="V45" s="23">
        <f t="shared" si="4"/>
        <v>0</v>
      </c>
      <c r="W45" s="24" t="str">
        <f t="shared" si="5"/>
        <v>#DIV/0!</v>
      </c>
    </row>
    <row r="46" hidden="1">
      <c r="A46" s="15" t="s">
        <v>1187</v>
      </c>
      <c r="B46" s="18"/>
      <c r="C46" s="15" t="s">
        <v>6182</v>
      </c>
      <c r="D46" s="18"/>
      <c r="E46" s="17" t="s">
        <v>1188</v>
      </c>
      <c r="F46" s="18"/>
      <c r="G46" s="18"/>
      <c r="H46" s="15" t="s">
        <v>1189</v>
      </c>
      <c r="I46" s="18"/>
      <c r="J46" s="19" t="s">
        <v>283</v>
      </c>
      <c r="K46" s="19" t="s">
        <v>284</v>
      </c>
      <c r="L46" s="19" t="s">
        <v>38</v>
      </c>
      <c r="M46" s="20">
        <f t="shared" si="1"/>
        <v>0</v>
      </c>
      <c r="N46" s="22"/>
      <c r="O46" s="19" t="s">
        <v>1145</v>
      </c>
      <c r="P46" s="18"/>
      <c r="Q46" s="18"/>
      <c r="R46" s="23">
        <v>0.0</v>
      </c>
      <c r="S46" s="23">
        <v>0.0</v>
      </c>
      <c r="T46" s="23">
        <f t="shared" si="2"/>
        <v>0</v>
      </c>
      <c r="U46" s="23">
        <f t="shared" si="3"/>
        <v>0</v>
      </c>
      <c r="V46" s="23">
        <f t="shared" si="4"/>
        <v>0</v>
      </c>
      <c r="W46" s="24" t="str">
        <f t="shared" si="5"/>
        <v>#DIV/0!</v>
      </c>
    </row>
    <row r="47" hidden="1">
      <c r="A47" s="15" t="s">
        <v>1190</v>
      </c>
      <c r="B47" s="18"/>
      <c r="C47" s="15" t="s">
        <v>6183</v>
      </c>
      <c r="D47" s="18"/>
      <c r="E47" s="17" t="s">
        <v>1191</v>
      </c>
      <c r="F47" s="18"/>
      <c r="G47" s="18"/>
      <c r="H47" s="15" t="s">
        <v>1192</v>
      </c>
      <c r="I47" s="18"/>
      <c r="J47" s="19" t="s">
        <v>283</v>
      </c>
      <c r="K47" s="19" t="s">
        <v>284</v>
      </c>
      <c r="L47" s="19" t="s">
        <v>38</v>
      </c>
      <c r="M47" s="20">
        <f t="shared" si="1"/>
        <v>0</v>
      </c>
      <c r="N47" s="22"/>
      <c r="O47" s="19" t="s">
        <v>1145</v>
      </c>
      <c r="P47" s="18"/>
      <c r="Q47" s="18"/>
      <c r="R47" s="23">
        <v>0.0</v>
      </c>
      <c r="S47" s="23">
        <v>0.0</v>
      </c>
      <c r="T47" s="23">
        <f t="shared" si="2"/>
        <v>0</v>
      </c>
      <c r="U47" s="23">
        <f t="shared" si="3"/>
        <v>0</v>
      </c>
      <c r="V47" s="23">
        <f t="shared" si="4"/>
        <v>0</v>
      </c>
      <c r="W47" s="24" t="str">
        <f t="shared" si="5"/>
        <v>#DIV/0!</v>
      </c>
    </row>
    <row r="48" hidden="1">
      <c r="A48" s="15" t="s">
        <v>1193</v>
      </c>
      <c r="B48" s="18"/>
      <c r="C48" s="15" t="s">
        <v>6184</v>
      </c>
      <c r="D48" s="18"/>
      <c r="E48" s="17" t="s">
        <v>1194</v>
      </c>
      <c r="F48" s="18"/>
      <c r="G48" s="18"/>
      <c r="H48" s="15" t="s">
        <v>1195</v>
      </c>
      <c r="I48" s="18"/>
      <c r="J48" s="19" t="s">
        <v>283</v>
      </c>
      <c r="K48" s="19" t="s">
        <v>284</v>
      </c>
      <c r="L48" s="19" t="s">
        <v>38</v>
      </c>
      <c r="M48" s="20">
        <f t="shared" si="1"/>
        <v>0</v>
      </c>
      <c r="N48" s="22"/>
      <c r="O48" s="19" t="s">
        <v>1145</v>
      </c>
      <c r="P48" s="18"/>
      <c r="Q48" s="18"/>
      <c r="R48" s="23">
        <v>0.0</v>
      </c>
      <c r="S48" s="23">
        <v>0.0</v>
      </c>
      <c r="T48" s="23">
        <f t="shared" si="2"/>
        <v>0</v>
      </c>
      <c r="U48" s="23">
        <f t="shared" si="3"/>
        <v>0</v>
      </c>
      <c r="V48" s="23">
        <f t="shared" si="4"/>
        <v>0</v>
      </c>
      <c r="W48" s="24" t="str">
        <f t="shared" si="5"/>
        <v>#DIV/0!</v>
      </c>
    </row>
    <row r="49" hidden="1">
      <c r="A49" s="15" t="s">
        <v>1196</v>
      </c>
      <c r="B49" s="18"/>
      <c r="C49" s="15" t="s">
        <v>6185</v>
      </c>
      <c r="D49" s="18"/>
      <c r="E49" s="17" t="s">
        <v>1185</v>
      </c>
      <c r="F49" s="18"/>
      <c r="G49" s="18"/>
      <c r="H49" s="15" t="s">
        <v>1186</v>
      </c>
      <c r="I49" s="18"/>
      <c r="J49" s="19" t="s">
        <v>283</v>
      </c>
      <c r="K49" s="19" t="s">
        <v>284</v>
      </c>
      <c r="L49" s="19" t="s">
        <v>38</v>
      </c>
      <c r="M49" s="20">
        <f t="shared" si="1"/>
        <v>0</v>
      </c>
      <c r="N49" s="22"/>
      <c r="O49" s="19" t="s">
        <v>1145</v>
      </c>
      <c r="P49" s="18"/>
      <c r="Q49" s="18"/>
      <c r="R49" s="23">
        <v>0.0</v>
      </c>
      <c r="S49" s="23">
        <v>0.0</v>
      </c>
      <c r="T49" s="23">
        <f t="shared" si="2"/>
        <v>0</v>
      </c>
      <c r="U49" s="23">
        <f t="shared" si="3"/>
        <v>0</v>
      </c>
      <c r="V49" s="23">
        <f t="shared" si="4"/>
        <v>0</v>
      </c>
      <c r="W49" s="24" t="str">
        <f t="shared" si="5"/>
        <v>#DIV/0!</v>
      </c>
    </row>
    <row r="50" hidden="1">
      <c r="A50" s="15" t="s">
        <v>1197</v>
      </c>
      <c r="B50" s="18"/>
      <c r="C50" s="15" t="s">
        <v>6186</v>
      </c>
      <c r="D50" s="18"/>
      <c r="E50" s="17" t="s">
        <v>1198</v>
      </c>
      <c r="F50" s="18"/>
      <c r="G50" s="18"/>
      <c r="H50" s="15" t="s">
        <v>1199</v>
      </c>
      <c r="I50" s="18"/>
      <c r="J50" s="19" t="s">
        <v>283</v>
      </c>
      <c r="K50" s="19" t="s">
        <v>284</v>
      </c>
      <c r="L50" s="19" t="s">
        <v>38</v>
      </c>
      <c r="M50" s="20">
        <f t="shared" si="1"/>
        <v>0</v>
      </c>
      <c r="N50" s="22"/>
      <c r="O50" s="19" t="s">
        <v>1145</v>
      </c>
      <c r="P50" s="18"/>
      <c r="Q50" s="18"/>
      <c r="R50" s="23">
        <v>0.0</v>
      </c>
      <c r="S50" s="23">
        <v>0.0</v>
      </c>
      <c r="T50" s="23">
        <f t="shared" si="2"/>
        <v>0</v>
      </c>
      <c r="U50" s="23">
        <f t="shared" si="3"/>
        <v>0</v>
      </c>
      <c r="V50" s="23">
        <f t="shared" si="4"/>
        <v>0</v>
      </c>
      <c r="W50" s="24" t="str">
        <f t="shared" si="5"/>
        <v>#DIV/0!</v>
      </c>
    </row>
    <row r="51" hidden="1">
      <c r="A51" s="15" t="s">
        <v>1200</v>
      </c>
      <c r="B51" s="18"/>
      <c r="C51" s="15" t="s">
        <v>6187</v>
      </c>
      <c r="D51" s="18"/>
      <c r="E51" s="17" t="s">
        <v>1201</v>
      </c>
      <c r="F51" s="18"/>
      <c r="G51" s="18"/>
      <c r="H51" s="15" t="s">
        <v>1202</v>
      </c>
      <c r="I51" s="18"/>
      <c r="J51" s="19" t="s">
        <v>283</v>
      </c>
      <c r="K51" s="19" t="s">
        <v>284</v>
      </c>
      <c r="L51" s="19" t="s">
        <v>38</v>
      </c>
      <c r="M51" s="20">
        <f t="shared" si="1"/>
        <v>0</v>
      </c>
      <c r="N51" s="22"/>
      <c r="O51" s="19" t="s">
        <v>1145</v>
      </c>
      <c r="P51" s="18"/>
      <c r="Q51" s="18"/>
      <c r="R51" s="23">
        <v>0.0</v>
      </c>
      <c r="S51" s="23">
        <v>0.0</v>
      </c>
      <c r="T51" s="23">
        <f t="shared" si="2"/>
        <v>0</v>
      </c>
      <c r="U51" s="23">
        <f t="shared" si="3"/>
        <v>0</v>
      </c>
      <c r="V51" s="23">
        <f t="shared" si="4"/>
        <v>0</v>
      </c>
      <c r="W51" s="24" t="str">
        <f t="shared" si="5"/>
        <v>#DIV/0!</v>
      </c>
    </row>
    <row r="52" hidden="1">
      <c r="A52" s="15" t="s">
        <v>1203</v>
      </c>
      <c r="B52" s="18"/>
      <c r="C52" s="15" t="s">
        <v>6188</v>
      </c>
      <c r="D52" s="18"/>
      <c r="E52" s="17" t="s">
        <v>1204</v>
      </c>
      <c r="F52" s="18"/>
      <c r="G52" s="18"/>
      <c r="H52" s="15" t="s">
        <v>1205</v>
      </c>
      <c r="I52" s="18"/>
      <c r="J52" s="19" t="s">
        <v>283</v>
      </c>
      <c r="K52" s="19" t="s">
        <v>284</v>
      </c>
      <c r="L52" s="19" t="s">
        <v>38</v>
      </c>
      <c r="M52" s="20">
        <f t="shared" si="1"/>
        <v>0</v>
      </c>
      <c r="N52" s="22"/>
      <c r="O52" s="19" t="s">
        <v>1145</v>
      </c>
      <c r="P52" s="18"/>
      <c r="Q52" s="18"/>
      <c r="R52" s="23">
        <v>0.0</v>
      </c>
      <c r="S52" s="23">
        <v>0.0</v>
      </c>
      <c r="T52" s="23">
        <f t="shared" si="2"/>
        <v>0</v>
      </c>
      <c r="U52" s="23">
        <f t="shared" si="3"/>
        <v>0</v>
      </c>
      <c r="V52" s="23">
        <f t="shared" si="4"/>
        <v>0</v>
      </c>
      <c r="W52" s="24" t="str">
        <f t="shared" si="5"/>
        <v>#DIV/0!</v>
      </c>
    </row>
    <row r="53" hidden="1">
      <c r="A53" s="15" t="s">
        <v>1206</v>
      </c>
      <c r="B53" s="18"/>
      <c r="C53" s="15" t="s">
        <v>6189</v>
      </c>
      <c r="D53" s="18"/>
      <c r="E53" s="17" t="s">
        <v>1207</v>
      </c>
      <c r="F53" s="18"/>
      <c r="G53" s="18"/>
      <c r="H53" s="15" t="s">
        <v>1208</v>
      </c>
      <c r="I53" s="18"/>
      <c r="J53" s="19" t="s">
        <v>283</v>
      </c>
      <c r="K53" s="19" t="s">
        <v>284</v>
      </c>
      <c r="L53" s="19" t="s">
        <v>38</v>
      </c>
      <c r="M53" s="20">
        <f t="shared" si="1"/>
        <v>0</v>
      </c>
      <c r="N53" s="22"/>
      <c r="O53" s="19" t="s">
        <v>1145</v>
      </c>
      <c r="P53" s="18"/>
      <c r="Q53" s="18"/>
      <c r="R53" s="23">
        <v>0.0</v>
      </c>
      <c r="S53" s="23">
        <v>0.0</v>
      </c>
      <c r="T53" s="23">
        <f t="shared" si="2"/>
        <v>0</v>
      </c>
      <c r="U53" s="23">
        <f t="shared" si="3"/>
        <v>0</v>
      </c>
      <c r="V53" s="23">
        <f t="shared" si="4"/>
        <v>0</v>
      </c>
      <c r="W53" s="24" t="str">
        <f t="shared" si="5"/>
        <v>#DIV/0!</v>
      </c>
    </row>
    <row r="54" hidden="1">
      <c r="A54" s="15" t="s">
        <v>1209</v>
      </c>
      <c r="B54" s="18"/>
      <c r="C54" s="15" t="s">
        <v>6190</v>
      </c>
      <c r="D54" s="18"/>
      <c r="E54" s="17" t="s">
        <v>1210</v>
      </c>
      <c r="F54" s="18"/>
      <c r="G54" s="18"/>
      <c r="H54" s="15" t="s">
        <v>1211</v>
      </c>
      <c r="I54" s="18"/>
      <c r="J54" s="19" t="s">
        <v>283</v>
      </c>
      <c r="K54" s="19" t="s">
        <v>284</v>
      </c>
      <c r="L54" s="19" t="s">
        <v>38</v>
      </c>
      <c r="M54" s="20">
        <f t="shared" si="1"/>
        <v>0</v>
      </c>
      <c r="N54" s="22"/>
      <c r="O54" s="19" t="s">
        <v>1145</v>
      </c>
      <c r="P54" s="18"/>
      <c r="Q54" s="18"/>
      <c r="R54" s="23">
        <v>0.0</v>
      </c>
      <c r="S54" s="23">
        <v>0.0</v>
      </c>
      <c r="T54" s="23">
        <f t="shared" si="2"/>
        <v>0</v>
      </c>
      <c r="U54" s="23">
        <f t="shared" si="3"/>
        <v>0</v>
      </c>
      <c r="V54" s="23">
        <f t="shared" si="4"/>
        <v>0</v>
      </c>
      <c r="W54" s="24" t="str">
        <f t="shared" si="5"/>
        <v>#DIV/0!</v>
      </c>
    </row>
    <row r="55" hidden="1">
      <c r="A55" s="15" t="s">
        <v>1212</v>
      </c>
      <c r="B55" s="18"/>
      <c r="C55" s="15" t="s">
        <v>6191</v>
      </c>
      <c r="D55" s="18"/>
      <c r="E55" s="17" t="s">
        <v>1213</v>
      </c>
      <c r="F55" s="18"/>
      <c r="G55" s="18"/>
      <c r="H55" s="18"/>
      <c r="I55" s="18"/>
      <c r="J55" s="19" t="s">
        <v>283</v>
      </c>
      <c r="K55" s="19" t="s">
        <v>284</v>
      </c>
      <c r="L55" s="19" t="s">
        <v>38</v>
      </c>
      <c r="M55" s="20">
        <f t="shared" si="1"/>
        <v>0</v>
      </c>
      <c r="N55" s="22"/>
      <c r="O55" s="19" t="s">
        <v>1145</v>
      </c>
      <c r="P55" s="18"/>
      <c r="Q55" s="18"/>
      <c r="R55" s="23">
        <v>0.0</v>
      </c>
      <c r="S55" s="23">
        <v>0.0</v>
      </c>
      <c r="T55" s="23">
        <f t="shared" si="2"/>
        <v>0</v>
      </c>
      <c r="U55" s="23">
        <f t="shared" si="3"/>
        <v>0</v>
      </c>
      <c r="V55" s="23">
        <f t="shared" si="4"/>
        <v>0</v>
      </c>
      <c r="W55" s="24" t="str">
        <f t="shared" si="5"/>
        <v>#DIV/0!</v>
      </c>
    </row>
    <row r="56" hidden="1">
      <c r="A56" s="15" t="s">
        <v>1214</v>
      </c>
      <c r="B56" s="18"/>
      <c r="C56" s="15" t="s">
        <v>6192</v>
      </c>
      <c r="D56" s="18"/>
      <c r="E56" s="17" t="s">
        <v>1215</v>
      </c>
      <c r="F56" s="18"/>
      <c r="G56" s="18"/>
      <c r="H56" s="15" t="s">
        <v>1216</v>
      </c>
      <c r="I56" s="18"/>
      <c r="J56" s="19" t="s">
        <v>283</v>
      </c>
      <c r="K56" s="19" t="s">
        <v>284</v>
      </c>
      <c r="L56" s="19" t="s">
        <v>38</v>
      </c>
      <c r="M56" s="20">
        <f t="shared" si="1"/>
        <v>0</v>
      </c>
      <c r="N56" s="22"/>
      <c r="O56" s="19" t="s">
        <v>1145</v>
      </c>
      <c r="P56" s="18"/>
      <c r="Q56" s="18"/>
      <c r="R56" s="23">
        <v>0.0</v>
      </c>
      <c r="S56" s="23">
        <v>0.0</v>
      </c>
      <c r="T56" s="23">
        <f t="shared" si="2"/>
        <v>0</v>
      </c>
      <c r="U56" s="23">
        <f t="shared" si="3"/>
        <v>0</v>
      </c>
      <c r="V56" s="23">
        <f t="shared" si="4"/>
        <v>0</v>
      </c>
      <c r="W56" s="24" t="str">
        <f t="shared" si="5"/>
        <v>#DIV/0!</v>
      </c>
    </row>
    <row r="57" hidden="1">
      <c r="A57" s="15" t="s">
        <v>1217</v>
      </c>
      <c r="B57" s="18"/>
      <c r="C57" s="15" t="s">
        <v>6193</v>
      </c>
      <c r="D57" s="18"/>
      <c r="E57" s="17" t="s">
        <v>1218</v>
      </c>
      <c r="F57" s="18"/>
      <c r="G57" s="18"/>
      <c r="H57" s="15" t="s">
        <v>1219</v>
      </c>
      <c r="I57" s="18"/>
      <c r="J57" s="19" t="s">
        <v>283</v>
      </c>
      <c r="K57" s="19" t="s">
        <v>284</v>
      </c>
      <c r="L57" s="19" t="s">
        <v>38</v>
      </c>
      <c r="M57" s="20">
        <f t="shared" si="1"/>
        <v>0</v>
      </c>
      <c r="N57" s="22"/>
      <c r="O57" s="19" t="s">
        <v>1145</v>
      </c>
      <c r="P57" s="18"/>
      <c r="Q57" s="18"/>
      <c r="R57" s="23">
        <v>0.0</v>
      </c>
      <c r="S57" s="23">
        <v>0.0</v>
      </c>
      <c r="T57" s="23">
        <f t="shared" si="2"/>
        <v>0</v>
      </c>
      <c r="U57" s="23">
        <f t="shared" si="3"/>
        <v>0</v>
      </c>
      <c r="V57" s="23">
        <f t="shared" si="4"/>
        <v>0</v>
      </c>
      <c r="W57" s="24" t="str">
        <f t="shared" si="5"/>
        <v>#DIV/0!</v>
      </c>
    </row>
    <row r="58" hidden="1">
      <c r="A58" s="15" t="s">
        <v>1220</v>
      </c>
      <c r="B58" s="18"/>
      <c r="C58" s="15" t="s">
        <v>6194</v>
      </c>
      <c r="D58" s="18"/>
      <c r="E58" s="17" t="s">
        <v>1221</v>
      </c>
      <c r="F58" s="18"/>
      <c r="G58" s="18"/>
      <c r="H58" s="15" t="s">
        <v>1222</v>
      </c>
      <c r="I58" s="18"/>
      <c r="J58" s="19" t="s">
        <v>283</v>
      </c>
      <c r="K58" s="19" t="s">
        <v>284</v>
      </c>
      <c r="L58" s="19" t="s">
        <v>38</v>
      </c>
      <c r="M58" s="20">
        <f t="shared" si="1"/>
        <v>0</v>
      </c>
      <c r="N58" s="22"/>
      <c r="O58" s="19" t="s">
        <v>1145</v>
      </c>
      <c r="P58" s="18"/>
      <c r="Q58" s="18"/>
      <c r="R58" s="23">
        <v>0.0</v>
      </c>
      <c r="S58" s="23">
        <v>0.0</v>
      </c>
      <c r="T58" s="23">
        <f t="shared" si="2"/>
        <v>0</v>
      </c>
      <c r="U58" s="23">
        <f t="shared" si="3"/>
        <v>0</v>
      </c>
      <c r="V58" s="23">
        <f t="shared" si="4"/>
        <v>0</v>
      </c>
      <c r="W58" s="24" t="str">
        <f t="shared" si="5"/>
        <v>#DIV/0!</v>
      </c>
    </row>
    <row r="59" hidden="1">
      <c r="A59" s="15" t="s">
        <v>1223</v>
      </c>
      <c r="B59" s="18"/>
      <c r="C59" s="15" t="s">
        <v>6195</v>
      </c>
      <c r="D59" s="18"/>
      <c r="E59" s="17" t="s">
        <v>1224</v>
      </c>
      <c r="F59" s="18"/>
      <c r="G59" s="18"/>
      <c r="H59" s="15" t="s">
        <v>1156</v>
      </c>
      <c r="I59" s="18"/>
      <c r="J59" s="19" t="s">
        <v>283</v>
      </c>
      <c r="K59" s="19" t="s">
        <v>284</v>
      </c>
      <c r="L59" s="19" t="s">
        <v>38</v>
      </c>
      <c r="M59" s="20">
        <f t="shared" si="1"/>
        <v>0</v>
      </c>
      <c r="N59" s="22"/>
      <c r="O59" s="19" t="s">
        <v>1145</v>
      </c>
      <c r="P59" s="18"/>
      <c r="Q59" s="18"/>
      <c r="R59" s="23">
        <v>0.0</v>
      </c>
      <c r="S59" s="23">
        <v>0.0</v>
      </c>
      <c r="T59" s="23">
        <f t="shared" si="2"/>
        <v>0</v>
      </c>
      <c r="U59" s="23">
        <f t="shared" si="3"/>
        <v>0</v>
      </c>
      <c r="V59" s="23">
        <f t="shared" si="4"/>
        <v>0</v>
      </c>
      <c r="W59" s="24" t="str">
        <f t="shared" si="5"/>
        <v>#DIV/0!</v>
      </c>
    </row>
    <row r="60" hidden="1">
      <c r="A60" s="15" t="s">
        <v>1225</v>
      </c>
      <c r="B60" s="18"/>
      <c r="C60" s="15" t="s">
        <v>6196</v>
      </c>
      <c r="D60" s="18"/>
      <c r="E60" s="17" t="s">
        <v>1226</v>
      </c>
      <c r="F60" s="18"/>
      <c r="G60" s="18"/>
      <c r="H60" s="15" t="s">
        <v>1156</v>
      </c>
      <c r="I60" s="18"/>
      <c r="J60" s="19" t="s">
        <v>283</v>
      </c>
      <c r="K60" s="19" t="s">
        <v>284</v>
      </c>
      <c r="L60" s="19" t="s">
        <v>38</v>
      </c>
      <c r="M60" s="20">
        <f t="shared" si="1"/>
        <v>0</v>
      </c>
      <c r="N60" s="22"/>
      <c r="O60" s="19" t="s">
        <v>1145</v>
      </c>
      <c r="P60" s="18"/>
      <c r="Q60" s="18"/>
      <c r="R60" s="23">
        <v>0.0</v>
      </c>
      <c r="S60" s="23">
        <v>0.0</v>
      </c>
      <c r="T60" s="23">
        <f t="shared" si="2"/>
        <v>0</v>
      </c>
      <c r="U60" s="23">
        <f t="shared" si="3"/>
        <v>0</v>
      </c>
      <c r="V60" s="23">
        <f t="shared" si="4"/>
        <v>0</v>
      </c>
      <c r="W60" s="24" t="str">
        <f t="shared" si="5"/>
        <v>#DIV/0!</v>
      </c>
    </row>
    <row r="61">
      <c r="A61" s="15" t="s">
        <v>832</v>
      </c>
      <c r="B61" s="15" t="s">
        <v>833</v>
      </c>
      <c r="C61" s="15" t="s">
        <v>6123</v>
      </c>
      <c r="D61" s="15" t="s">
        <v>834</v>
      </c>
      <c r="E61" s="17" t="s">
        <v>835</v>
      </c>
      <c r="F61" s="15" t="s">
        <v>836</v>
      </c>
      <c r="G61" s="15" t="s">
        <v>837</v>
      </c>
      <c r="H61" s="15" t="s">
        <v>838</v>
      </c>
      <c r="I61" s="18"/>
      <c r="J61" s="19" t="s">
        <v>104</v>
      </c>
      <c r="K61" s="19" t="s">
        <v>831</v>
      </c>
      <c r="L61" s="19" t="s">
        <v>135</v>
      </c>
      <c r="M61" s="20">
        <f t="shared" si="1"/>
        <v>53.28</v>
      </c>
      <c r="N61" s="31">
        <v>250.0</v>
      </c>
      <c r="O61" s="19" t="s">
        <v>107</v>
      </c>
      <c r="P61" s="18"/>
      <c r="Q61" s="18"/>
      <c r="R61" s="23">
        <v>0.7</v>
      </c>
      <c r="S61" s="23">
        <v>3.0</v>
      </c>
      <c r="T61" s="23">
        <f t="shared" si="2"/>
        <v>2.88</v>
      </c>
      <c r="U61" s="23">
        <f t="shared" si="3"/>
        <v>0.8575</v>
      </c>
      <c r="V61" s="23">
        <f t="shared" si="4"/>
        <v>16.078125</v>
      </c>
      <c r="W61" s="24">
        <f t="shared" si="5"/>
        <v>4.114285714</v>
      </c>
    </row>
    <row r="62" hidden="1">
      <c r="A62" s="15" t="s">
        <v>1227</v>
      </c>
      <c r="B62" s="18"/>
      <c r="C62" s="15" t="s">
        <v>6198</v>
      </c>
      <c r="D62" s="18"/>
      <c r="E62" s="17" t="s">
        <v>1228</v>
      </c>
      <c r="F62" s="18"/>
      <c r="G62" s="18"/>
      <c r="H62" s="15" t="s">
        <v>1229</v>
      </c>
      <c r="I62" s="18"/>
      <c r="J62" s="19" t="s">
        <v>283</v>
      </c>
      <c r="K62" s="19" t="s">
        <v>1230</v>
      </c>
      <c r="L62" s="19" t="s">
        <v>38</v>
      </c>
      <c r="M62" s="20">
        <f t="shared" si="1"/>
        <v>0</v>
      </c>
      <c r="N62" s="22"/>
      <c r="O62" s="19" t="s">
        <v>1145</v>
      </c>
      <c r="P62" s="18"/>
      <c r="Q62" s="18"/>
      <c r="R62" s="23">
        <v>0.0</v>
      </c>
      <c r="S62" s="23">
        <v>0.0</v>
      </c>
      <c r="T62" s="23">
        <f t="shared" si="2"/>
        <v>0</v>
      </c>
      <c r="U62" s="23">
        <f t="shared" si="3"/>
        <v>0</v>
      </c>
      <c r="V62" s="23">
        <f t="shared" si="4"/>
        <v>0</v>
      </c>
      <c r="W62" s="24" t="str">
        <f t="shared" si="5"/>
        <v>#DIV/0!</v>
      </c>
    </row>
    <row r="63" hidden="1">
      <c r="A63" s="15" t="s">
        <v>1231</v>
      </c>
      <c r="B63" s="18"/>
      <c r="C63" s="15" t="s">
        <v>6199</v>
      </c>
      <c r="D63" s="18"/>
      <c r="E63" s="17" t="s">
        <v>1232</v>
      </c>
      <c r="F63" s="18"/>
      <c r="G63" s="18"/>
      <c r="H63" s="15" t="s">
        <v>1233</v>
      </c>
      <c r="I63" s="18"/>
      <c r="J63" s="19" t="s">
        <v>283</v>
      </c>
      <c r="K63" s="19" t="s">
        <v>37</v>
      </c>
      <c r="L63" s="19" t="s">
        <v>38</v>
      </c>
      <c r="M63" s="20">
        <f t="shared" si="1"/>
        <v>0</v>
      </c>
      <c r="N63" s="22"/>
      <c r="O63" s="19" t="s">
        <v>1145</v>
      </c>
      <c r="P63" s="18"/>
      <c r="Q63" s="18"/>
      <c r="R63" s="23">
        <v>0.0</v>
      </c>
      <c r="S63" s="23">
        <v>0.0</v>
      </c>
      <c r="T63" s="23">
        <f t="shared" si="2"/>
        <v>0</v>
      </c>
      <c r="U63" s="23">
        <f t="shared" si="3"/>
        <v>0</v>
      </c>
      <c r="V63" s="23">
        <f t="shared" si="4"/>
        <v>0</v>
      </c>
      <c r="W63" s="24" t="str">
        <f t="shared" si="5"/>
        <v>#DIV/0!</v>
      </c>
    </row>
    <row r="64" hidden="1">
      <c r="A64" s="15" t="s">
        <v>3659</v>
      </c>
      <c r="B64" s="18"/>
      <c r="C64" s="15" t="s">
        <v>6200</v>
      </c>
      <c r="D64" s="18"/>
      <c r="E64" s="17" t="s">
        <v>6201</v>
      </c>
      <c r="F64" s="18"/>
      <c r="G64" s="18"/>
      <c r="H64" s="15" t="s">
        <v>3662</v>
      </c>
      <c r="I64" s="18"/>
      <c r="J64" s="19" t="s">
        <v>283</v>
      </c>
      <c r="K64" s="19" t="s">
        <v>37</v>
      </c>
      <c r="L64" s="19" t="s">
        <v>38</v>
      </c>
      <c r="M64" s="20">
        <f t="shared" si="1"/>
        <v>0</v>
      </c>
      <c r="N64" s="22"/>
      <c r="O64" s="19" t="s">
        <v>1145</v>
      </c>
      <c r="P64" s="18"/>
      <c r="Q64" s="18"/>
      <c r="R64" s="23">
        <v>0.0</v>
      </c>
      <c r="S64" s="23">
        <v>0.0</v>
      </c>
      <c r="T64" s="23">
        <f t="shared" si="2"/>
        <v>0</v>
      </c>
      <c r="U64" s="23">
        <f t="shared" si="3"/>
        <v>0</v>
      </c>
      <c r="V64" s="23">
        <f t="shared" si="4"/>
        <v>0</v>
      </c>
      <c r="W64" s="24" t="str">
        <f t="shared" si="5"/>
        <v>#DIV/0!</v>
      </c>
    </row>
    <row r="65" hidden="1">
      <c r="A65" s="15" t="s">
        <v>3663</v>
      </c>
      <c r="B65" s="18"/>
      <c r="C65" s="15" t="s">
        <v>6202</v>
      </c>
      <c r="D65" s="18"/>
      <c r="E65" s="17" t="s">
        <v>6203</v>
      </c>
      <c r="F65" s="18"/>
      <c r="G65" s="18"/>
      <c r="H65" s="15" t="s">
        <v>3665</v>
      </c>
      <c r="I65" s="18"/>
      <c r="J65" s="19" t="s">
        <v>283</v>
      </c>
      <c r="K65" s="19" t="s">
        <v>37</v>
      </c>
      <c r="L65" s="19" t="s">
        <v>38</v>
      </c>
      <c r="M65" s="20">
        <f t="shared" si="1"/>
        <v>0</v>
      </c>
      <c r="N65" s="22"/>
      <c r="O65" s="19" t="s">
        <v>1145</v>
      </c>
      <c r="P65" s="18"/>
      <c r="Q65" s="18"/>
      <c r="R65" s="23">
        <v>0.0</v>
      </c>
      <c r="S65" s="23">
        <v>0.0</v>
      </c>
      <c r="T65" s="23">
        <f t="shared" si="2"/>
        <v>0</v>
      </c>
      <c r="U65" s="23">
        <f t="shared" si="3"/>
        <v>0</v>
      </c>
      <c r="V65" s="23">
        <f t="shared" si="4"/>
        <v>0</v>
      </c>
      <c r="W65" s="24" t="str">
        <f t="shared" si="5"/>
        <v>#DIV/0!</v>
      </c>
    </row>
    <row r="66" hidden="1">
      <c r="A66" s="15" t="s">
        <v>1234</v>
      </c>
      <c r="B66" s="18"/>
      <c r="C66" s="15" t="s">
        <v>6204</v>
      </c>
      <c r="D66" s="18"/>
      <c r="E66" s="17" t="s">
        <v>1235</v>
      </c>
      <c r="F66" s="18"/>
      <c r="G66" s="18"/>
      <c r="H66" s="15" t="s">
        <v>1236</v>
      </c>
      <c r="I66" s="18"/>
      <c r="J66" s="19" t="s">
        <v>283</v>
      </c>
      <c r="K66" s="19" t="s">
        <v>37</v>
      </c>
      <c r="L66" s="19" t="s">
        <v>38</v>
      </c>
      <c r="M66" s="20">
        <f t="shared" si="1"/>
        <v>0</v>
      </c>
      <c r="N66" s="22"/>
      <c r="O66" s="19" t="s">
        <v>1145</v>
      </c>
      <c r="P66" s="18"/>
      <c r="Q66" s="18"/>
      <c r="R66" s="23">
        <v>0.0</v>
      </c>
      <c r="S66" s="23">
        <v>0.0</v>
      </c>
      <c r="T66" s="23">
        <f t="shared" si="2"/>
        <v>0</v>
      </c>
      <c r="U66" s="23">
        <f t="shared" si="3"/>
        <v>0</v>
      </c>
      <c r="V66" s="23">
        <f t="shared" si="4"/>
        <v>0</v>
      </c>
      <c r="W66" s="24" t="str">
        <f t="shared" si="5"/>
        <v>#DIV/0!</v>
      </c>
    </row>
    <row r="67">
      <c r="A67" s="15" t="s">
        <v>710</v>
      </c>
      <c r="B67" s="15" t="s">
        <v>711</v>
      </c>
      <c r="C67" s="15" t="s">
        <v>6055</v>
      </c>
      <c r="D67" s="15" t="s">
        <v>712</v>
      </c>
      <c r="E67" s="17" t="s">
        <v>713</v>
      </c>
      <c r="F67" s="15" t="s">
        <v>714</v>
      </c>
      <c r="G67" s="15" t="s">
        <v>715</v>
      </c>
      <c r="H67" s="15" t="s">
        <v>716</v>
      </c>
      <c r="I67" s="18"/>
      <c r="J67" s="19" t="s">
        <v>104</v>
      </c>
      <c r="K67" s="19" t="s">
        <v>717</v>
      </c>
      <c r="L67" s="19" t="s">
        <v>106</v>
      </c>
      <c r="M67" s="20">
        <f t="shared" si="1"/>
        <v>12662.88</v>
      </c>
      <c r="N67" s="31">
        <v>3.0</v>
      </c>
      <c r="O67" s="19" t="s">
        <v>107</v>
      </c>
      <c r="P67" s="18"/>
      <c r="Q67" s="18"/>
      <c r="R67" s="23">
        <v>143.0</v>
      </c>
      <c r="S67" s="23">
        <v>713.0</v>
      </c>
      <c r="T67" s="23">
        <f t="shared" si="2"/>
        <v>684.48</v>
      </c>
      <c r="U67" s="23">
        <f t="shared" si="3"/>
        <v>175.175</v>
      </c>
      <c r="V67" s="23">
        <f t="shared" si="4"/>
        <v>3284.53125</v>
      </c>
      <c r="W67" s="24">
        <f t="shared" si="5"/>
        <v>4.786573427</v>
      </c>
    </row>
    <row r="68">
      <c r="A68" s="15" t="s">
        <v>1079</v>
      </c>
      <c r="B68" s="15" t="s">
        <v>1080</v>
      </c>
      <c r="C68" s="15" t="s">
        <v>6004</v>
      </c>
      <c r="D68" s="15" t="s">
        <v>6882</v>
      </c>
      <c r="E68" s="17" t="s">
        <v>1082</v>
      </c>
      <c r="F68" s="18"/>
      <c r="G68" s="18"/>
      <c r="H68" s="15" t="s">
        <v>1083</v>
      </c>
      <c r="I68" s="15"/>
      <c r="J68" s="19" t="s">
        <v>36</v>
      </c>
      <c r="K68" s="19" t="s">
        <v>60</v>
      </c>
      <c r="L68" s="19" t="s">
        <v>115</v>
      </c>
      <c r="M68" s="20">
        <f t="shared" si="1"/>
        <v>4138.08</v>
      </c>
      <c r="N68" s="31">
        <v>4.0</v>
      </c>
      <c r="O68" s="19" t="s">
        <v>107</v>
      </c>
      <c r="P68" s="18"/>
      <c r="Q68" s="18"/>
      <c r="R68" s="23">
        <v>80.0</v>
      </c>
      <c r="S68" s="23">
        <v>233.0</v>
      </c>
      <c r="T68" s="23">
        <f t="shared" si="2"/>
        <v>223.68</v>
      </c>
      <c r="U68" s="23">
        <f t="shared" si="3"/>
        <v>98</v>
      </c>
      <c r="V68" s="23">
        <f t="shared" si="4"/>
        <v>1837.5</v>
      </c>
      <c r="W68" s="24">
        <f t="shared" si="5"/>
        <v>2.796</v>
      </c>
    </row>
    <row r="69" hidden="1">
      <c r="A69" s="15" t="s">
        <v>1237</v>
      </c>
      <c r="B69" s="18"/>
      <c r="C69" s="15" t="s">
        <v>6207</v>
      </c>
      <c r="D69" s="18"/>
      <c r="E69" s="17" t="s">
        <v>1238</v>
      </c>
      <c r="F69" s="18"/>
      <c r="G69" s="18"/>
      <c r="H69" s="15" t="s">
        <v>1239</v>
      </c>
      <c r="I69" s="18"/>
      <c r="J69" s="19" t="s">
        <v>283</v>
      </c>
      <c r="K69" s="19" t="s">
        <v>603</v>
      </c>
      <c r="L69" s="19" t="s">
        <v>38</v>
      </c>
      <c r="M69" s="20">
        <f t="shared" si="1"/>
        <v>0</v>
      </c>
      <c r="N69" s="22"/>
      <c r="O69" s="19" t="s">
        <v>1145</v>
      </c>
      <c r="P69" s="18"/>
      <c r="Q69" s="18"/>
      <c r="R69" s="23">
        <v>0.0</v>
      </c>
      <c r="S69" s="23">
        <v>0.0</v>
      </c>
      <c r="T69" s="23">
        <f t="shared" si="2"/>
        <v>0</v>
      </c>
      <c r="U69" s="23">
        <f t="shared" si="3"/>
        <v>0</v>
      </c>
      <c r="V69" s="23">
        <f t="shared" si="4"/>
        <v>0</v>
      </c>
      <c r="W69" s="24" t="str">
        <f t="shared" si="5"/>
        <v>#DIV/0!</v>
      </c>
    </row>
    <row r="70">
      <c r="A70" s="15" t="s">
        <v>108</v>
      </c>
      <c r="B70" s="15" t="s">
        <v>109</v>
      </c>
      <c r="C70" s="15" t="s">
        <v>7027</v>
      </c>
      <c r="D70" s="15" t="s">
        <v>110</v>
      </c>
      <c r="E70" s="17" t="s">
        <v>111</v>
      </c>
      <c r="F70" s="18"/>
      <c r="G70" s="15" t="s">
        <v>112</v>
      </c>
      <c r="H70" s="15" t="s">
        <v>113</v>
      </c>
      <c r="I70" s="15"/>
      <c r="J70" s="19" t="s">
        <v>36</v>
      </c>
      <c r="K70" s="19" t="s">
        <v>114</v>
      </c>
      <c r="L70" s="19" t="s">
        <v>115</v>
      </c>
      <c r="M70" s="20">
        <f t="shared" si="1"/>
        <v>0</v>
      </c>
      <c r="N70" s="31">
        <v>2.0</v>
      </c>
      <c r="O70" s="19" t="s">
        <v>107</v>
      </c>
      <c r="P70" s="18"/>
      <c r="Q70" s="18"/>
      <c r="R70" s="23">
        <v>0.0</v>
      </c>
      <c r="S70" s="23">
        <v>0.0</v>
      </c>
      <c r="T70" s="23">
        <f t="shared" si="2"/>
        <v>0</v>
      </c>
      <c r="U70" s="23">
        <f t="shared" si="3"/>
        <v>0</v>
      </c>
      <c r="V70" s="23">
        <f t="shared" si="4"/>
        <v>0</v>
      </c>
      <c r="W70" s="24" t="str">
        <f t="shared" si="5"/>
        <v>#DIV/0!</v>
      </c>
    </row>
    <row r="71">
      <c r="A71" s="15" t="s">
        <v>116</v>
      </c>
      <c r="B71" s="15" t="s">
        <v>117</v>
      </c>
      <c r="C71" s="15" t="s">
        <v>7028</v>
      </c>
      <c r="D71" s="15" t="s">
        <v>118</v>
      </c>
      <c r="E71" s="17" t="s">
        <v>119</v>
      </c>
      <c r="F71" s="18"/>
      <c r="G71" s="15" t="s">
        <v>120</v>
      </c>
      <c r="H71" s="15" t="s">
        <v>121</v>
      </c>
      <c r="I71" s="15"/>
      <c r="J71" s="19" t="s">
        <v>36</v>
      </c>
      <c r="K71" s="19" t="s">
        <v>114</v>
      </c>
      <c r="L71" s="19" t="s">
        <v>115</v>
      </c>
      <c r="M71" s="20">
        <f t="shared" si="1"/>
        <v>0</v>
      </c>
      <c r="N71" s="31">
        <v>1.0</v>
      </c>
      <c r="O71" s="19" t="s">
        <v>107</v>
      </c>
      <c r="P71" s="18"/>
      <c r="Q71" s="18"/>
      <c r="R71" s="23">
        <v>0.0</v>
      </c>
      <c r="S71" s="23">
        <v>0.0</v>
      </c>
      <c r="T71" s="23">
        <f t="shared" si="2"/>
        <v>0</v>
      </c>
      <c r="U71" s="23">
        <f t="shared" si="3"/>
        <v>0</v>
      </c>
      <c r="V71" s="23">
        <f t="shared" si="4"/>
        <v>0</v>
      </c>
      <c r="W71" s="24" t="str">
        <f t="shared" si="5"/>
        <v>#DIV/0!</v>
      </c>
    </row>
    <row r="72" hidden="1">
      <c r="A72" s="15" t="s">
        <v>3685</v>
      </c>
      <c r="B72" s="18"/>
      <c r="C72" s="15" t="s">
        <v>6210</v>
      </c>
      <c r="D72" s="18"/>
      <c r="E72" s="17" t="s">
        <v>6211</v>
      </c>
      <c r="F72" s="18"/>
      <c r="G72" s="18"/>
      <c r="H72" s="15" t="s">
        <v>3687</v>
      </c>
      <c r="I72" s="18"/>
      <c r="J72" s="19" t="s">
        <v>283</v>
      </c>
      <c r="K72" s="19" t="s">
        <v>603</v>
      </c>
      <c r="L72" s="19" t="s">
        <v>38</v>
      </c>
      <c r="M72" s="20">
        <f t="shared" si="1"/>
        <v>0</v>
      </c>
      <c r="N72" s="22"/>
      <c r="O72" s="19" t="s">
        <v>1145</v>
      </c>
      <c r="P72" s="18"/>
      <c r="Q72" s="18"/>
      <c r="R72" s="23">
        <v>0.0</v>
      </c>
      <c r="S72" s="23">
        <v>0.0</v>
      </c>
      <c r="T72" s="23">
        <f t="shared" si="2"/>
        <v>0</v>
      </c>
      <c r="U72" s="23">
        <f t="shared" si="3"/>
        <v>0</v>
      </c>
      <c r="V72" s="23">
        <f t="shared" si="4"/>
        <v>0</v>
      </c>
      <c r="W72" s="24" t="str">
        <f t="shared" si="5"/>
        <v>#DIV/0!</v>
      </c>
    </row>
    <row r="73" hidden="1">
      <c r="A73" s="15" t="s">
        <v>1240</v>
      </c>
      <c r="B73" s="18"/>
      <c r="C73" s="15" t="s">
        <v>6212</v>
      </c>
      <c r="D73" s="18"/>
      <c r="E73" s="17" t="s">
        <v>1241</v>
      </c>
      <c r="F73" s="18"/>
      <c r="G73" s="18"/>
      <c r="H73" s="15" t="s">
        <v>1242</v>
      </c>
      <c r="I73" s="18"/>
      <c r="J73" s="19" t="s">
        <v>283</v>
      </c>
      <c r="K73" s="19" t="s">
        <v>1230</v>
      </c>
      <c r="L73" s="19" t="s">
        <v>38</v>
      </c>
      <c r="M73" s="20">
        <f t="shared" si="1"/>
        <v>0</v>
      </c>
      <c r="N73" s="22"/>
      <c r="O73" s="19" t="s">
        <v>1145</v>
      </c>
      <c r="P73" s="18"/>
      <c r="Q73" s="18"/>
      <c r="R73" s="23">
        <v>0.0</v>
      </c>
      <c r="S73" s="23">
        <v>0.0</v>
      </c>
      <c r="T73" s="23">
        <f t="shared" si="2"/>
        <v>0</v>
      </c>
      <c r="U73" s="23">
        <f t="shared" si="3"/>
        <v>0</v>
      </c>
      <c r="V73" s="23">
        <f t="shared" si="4"/>
        <v>0</v>
      </c>
      <c r="W73" s="24" t="str">
        <f t="shared" si="5"/>
        <v>#DIV/0!</v>
      </c>
    </row>
    <row r="74" hidden="1">
      <c r="A74" s="15" t="s">
        <v>1243</v>
      </c>
      <c r="B74" s="18"/>
      <c r="C74" s="15" t="s">
        <v>6213</v>
      </c>
      <c r="D74" s="18"/>
      <c r="E74" s="17" t="s">
        <v>1244</v>
      </c>
      <c r="F74" s="18"/>
      <c r="G74" s="18"/>
      <c r="H74" s="15" t="s">
        <v>1245</v>
      </c>
      <c r="I74" s="18"/>
      <c r="J74" s="19" t="s">
        <v>283</v>
      </c>
      <c r="K74" s="19" t="s">
        <v>1230</v>
      </c>
      <c r="L74" s="19" t="s">
        <v>38</v>
      </c>
      <c r="M74" s="20">
        <f t="shared" si="1"/>
        <v>0</v>
      </c>
      <c r="N74" s="22"/>
      <c r="O74" s="19" t="s">
        <v>1145</v>
      </c>
      <c r="P74" s="18"/>
      <c r="Q74" s="18"/>
      <c r="R74" s="23">
        <v>0.0</v>
      </c>
      <c r="S74" s="23">
        <v>0.0</v>
      </c>
      <c r="T74" s="23">
        <f t="shared" si="2"/>
        <v>0</v>
      </c>
      <c r="U74" s="23">
        <f t="shared" si="3"/>
        <v>0</v>
      </c>
      <c r="V74" s="23">
        <f t="shared" si="4"/>
        <v>0</v>
      </c>
      <c r="W74" s="24" t="str">
        <f t="shared" si="5"/>
        <v>#DIV/0!</v>
      </c>
    </row>
    <row r="75">
      <c r="A75" s="15" t="s">
        <v>597</v>
      </c>
      <c r="B75" s="18"/>
      <c r="C75" s="15" t="s">
        <v>6002</v>
      </c>
      <c r="D75" s="15" t="s">
        <v>599</v>
      </c>
      <c r="E75" s="17" t="s">
        <v>600</v>
      </c>
      <c r="F75" s="18"/>
      <c r="G75" s="18"/>
      <c r="H75" s="15" t="s">
        <v>601</v>
      </c>
      <c r="I75" s="15"/>
      <c r="J75" s="19" t="s">
        <v>602</v>
      </c>
      <c r="K75" s="19" t="s">
        <v>603</v>
      </c>
      <c r="L75" s="19" t="s">
        <v>292</v>
      </c>
      <c r="M75" s="20">
        <f t="shared" si="1"/>
        <v>23088</v>
      </c>
      <c r="N75" s="31">
        <v>3.0</v>
      </c>
      <c r="O75" s="19" t="s">
        <v>107</v>
      </c>
      <c r="P75" s="18"/>
      <c r="Q75" s="18"/>
      <c r="R75" s="23">
        <v>240.0</v>
      </c>
      <c r="S75" s="23">
        <v>1300.0</v>
      </c>
      <c r="T75" s="23">
        <f t="shared" si="2"/>
        <v>1248</v>
      </c>
      <c r="U75" s="23">
        <f t="shared" si="3"/>
        <v>294</v>
      </c>
      <c r="V75" s="23">
        <f t="shared" si="4"/>
        <v>5512.5</v>
      </c>
      <c r="W75" s="24">
        <f t="shared" si="5"/>
        <v>5.2</v>
      </c>
    </row>
    <row r="76">
      <c r="A76" s="15" t="s">
        <v>611</v>
      </c>
      <c r="B76" s="15" t="s">
        <v>612</v>
      </c>
      <c r="C76" s="15" t="s">
        <v>6005</v>
      </c>
      <c r="D76" s="15" t="s">
        <v>613</v>
      </c>
      <c r="E76" s="17" t="s">
        <v>614</v>
      </c>
      <c r="F76" s="18"/>
      <c r="G76" s="18"/>
      <c r="H76" s="15" t="s">
        <v>615</v>
      </c>
      <c r="I76" s="15"/>
      <c r="J76" s="19" t="s">
        <v>36</v>
      </c>
      <c r="K76" s="19" t="s">
        <v>1230</v>
      </c>
      <c r="L76" s="19" t="s">
        <v>38</v>
      </c>
      <c r="M76" s="20">
        <f t="shared" si="1"/>
        <v>4937.28</v>
      </c>
      <c r="N76" s="31">
        <v>3.0</v>
      </c>
      <c r="O76" s="19" t="s">
        <v>107</v>
      </c>
      <c r="P76" s="18"/>
      <c r="Q76" s="18"/>
      <c r="R76" s="23">
        <v>22.0</v>
      </c>
      <c r="S76" s="23">
        <v>278.0</v>
      </c>
      <c r="T76" s="23">
        <f t="shared" si="2"/>
        <v>266.88</v>
      </c>
      <c r="U76" s="23">
        <f t="shared" si="3"/>
        <v>26.95</v>
      </c>
      <c r="V76" s="23">
        <f t="shared" si="4"/>
        <v>505.3125</v>
      </c>
      <c r="W76" s="24">
        <f t="shared" si="5"/>
        <v>12.13090909</v>
      </c>
    </row>
    <row r="77">
      <c r="A77" s="15" t="s">
        <v>657</v>
      </c>
      <c r="B77" s="15" t="s">
        <v>658</v>
      </c>
      <c r="C77" s="15" t="s">
        <v>6006</v>
      </c>
      <c r="D77" s="15" t="s">
        <v>659</v>
      </c>
      <c r="E77" s="17" t="s">
        <v>660</v>
      </c>
      <c r="F77" s="18"/>
      <c r="G77" s="18"/>
      <c r="H77" s="15" t="s">
        <v>661</v>
      </c>
      <c r="I77" s="15"/>
      <c r="J77" s="19" t="s">
        <v>36</v>
      </c>
      <c r="K77" s="19" t="s">
        <v>1230</v>
      </c>
      <c r="L77" s="19" t="s">
        <v>38</v>
      </c>
      <c r="M77" s="20">
        <f t="shared" si="1"/>
        <v>5807.52</v>
      </c>
      <c r="N77" s="31">
        <v>3.0</v>
      </c>
      <c r="O77" s="19" t="s">
        <v>107</v>
      </c>
      <c r="P77" s="18"/>
      <c r="Q77" s="18"/>
      <c r="R77" s="23">
        <v>25.0</v>
      </c>
      <c r="S77" s="23">
        <v>327.0</v>
      </c>
      <c r="T77" s="23">
        <f t="shared" si="2"/>
        <v>313.92</v>
      </c>
      <c r="U77" s="23">
        <f t="shared" si="3"/>
        <v>30.625</v>
      </c>
      <c r="V77" s="23">
        <f t="shared" si="4"/>
        <v>574.21875</v>
      </c>
      <c r="W77" s="24">
        <f t="shared" si="5"/>
        <v>12.5568</v>
      </c>
    </row>
    <row r="78">
      <c r="A78" s="15" t="s">
        <v>936</v>
      </c>
      <c r="B78" s="15" t="s">
        <v>937</v>
      </c>
      <c r="C78" s="15" t="s">
        <v>6097</v>
      </c>
      <c r="D78" s="15" t="s">
        <v>938</v>
      </c>
      <c r="E78" s="17" t="s">
        <v>939</v>
      </c>
      <c r="F78" s="15" t="s">
        <v>940</v>
      </c>
      <c r="G78" s="15" t="s">
        <v>941</v>
      </c>
      <c r="H78" s="15" t="s">
        <v>942</v>
      </c>
      <c r="I78" s="18"/>
      <c r="J78" s="19" t="s">
        <v>104</v>
      </c>
      <c r="K78" s="19" t="s">
        <v>717</v>
      </c>
      <c r="L78" s="19" t="s">
        <v>106</v>
      </c>
      <c r="M78" s="20">
        <f t="shared" si="1"/>
        <v>8862.24</v>
      </c>
      <c r="N78" s="31">
        <v>5.0</v>
      </c>
      <c r="O78" s="19" t="s">
        <v>107</v>
      </c>
      <c r="P78" s="18"/>
      <c r="Q78" s="18"/>
      <c r="R78" s="23">
        <v>106.0</v>
      </c>
      <c r="S78" s="23">
        <v>499.0</v>
      </c>
      <c r="T78" s="23">
        <f t="shared" si="2"/>
        <v>479.04</v>
      </c>
      <c r="U78" s="23">
        <f t="shared" si="3"/>
        <v>129.85</v>
      </c>
      <c r="V78" s="23">
        <f t="shared" si="4"/>
        <v>2434.6875</v>
      </c>
      <c r="W78" s="24">
        <f t="shared" si="5"/>
        <v>4.519245283</v>
      </c>
    </row>
    <row r="79">
      <c r="A79" s="15" t="s">
        <v>395</v>
      </c>
      <c r="B79" s="15" t="s">
        <v>396</v>
      </c>
      <c r="C79" s="15" t="s">
        <v>5997</v>
      </c>
      <c r="D79" s="15" t="s">
        <v>397</v>
      </c>
      <c r="E79" s="17" t="s">
        <v>398</v>
      </c>
      <c r="F79" s="18"/>
      <c r="G79" s="15" t="s">
        <v>399</v>
      </c>
      <c r="H79" s="15" t="s">
        <v>400</v>
      </c>
      <c r="I79" s="15" t="s">
        <v>401</v>
      </c>
      <c r="J79" s="19" t="s">
        <v>283</v>
      </c>
      <c r="K79" s="19" t="s">
        <v>402</v>
      </c>
      <c r="L79" s="19" t="s">
        <v>403</v>
      </c>
      <c r="M79" s="20">
        <f t="shared" si="1"/>
        <v>10158.72</v>
      </c>
      <c r="N79" s="31">
        <v>2.0</v>
      </c>
      <c r="O79" s="19" t="s">
        <v>107</v>
      </c>
      <c r="P79" s="18"/>
      <c r="Q79" s="18"/>
      <c r="R79" s="23">
        <v>78.0</v>
      </c>
      <c r="S79" s="23">
        <v>572.0</v>
      </c>
      <c r="T79" s="23">
        <f t="shared" si="2"/>
        <v>549.12</v>
      </c>
      <c r="U79" s="23">
        <f t="shared" si="3"/>
        <v>95.55</v>
      </c>
      <c r="V79" s="23">
        <f t="shared" si="4"/>
        <v>1791.5625</v>
      </c>
      <c r="W79" s="24">
        <f t="shared" si="5"/>
        <v>7.04</v>
      </c>
    </row>
    <row r="80">
      <c r="A80" s="15" t="s">
        <v>986</v>
      </c>
      <c r="B80" s="15" t="s">
        <v>987</v>
      </c>
      <c r="C80" s="15" t="s">
        <v>5998</v>
      </c>
      <c r="D80" s="15" t="s">
        <v>7294</v>
      </c>
      <c r="E80" s="17" t="s">
        <v>989</v>
      </c>
      <c r="F80" s="18"/>
      <c r="G80" s="18"/>
      <c r="H80" s="15" t="s">
        <v>990</v>
      </c>
      <c r="I80" s="18"/>
      <c r="J80" s="19" t="s">
        <v>283</v>
      </c>
      <c r="K80" s="19" t="s">
        <v>1269</v>
      </c>
      <c r="L80" s="19" t="s">
        <v>38</v>
      </c>
      <c r="M80" s="20">
        <f t="shared" si="1"/>
        <v>2610.72</v>
      </c>
      <c r="N80" s="31">
        <v>3.0</v>
      </c>
      <c r="O80" s="19" t="s">
        <v>107</v>
      </c>
      <c r="P80" s="18"/>
      <c r="Q80" s="18"/>
      <c r="R80" s="23">
        <v>40.0</v>
      </c>
      <c r="S80" s="23">
        <v>147.0</v>
      </c>
      <c r="T80" s="23">
        <f t="shared" si="2"/>
        <v>141.12</v>
      </c>
      <c r="U80" s="23">
        <f t="shared" si="3"/>
        <v>49</v>
      </c>
      <c r="V80" s="23">
        <f t="shared" si="4"/>
        <v>918.75</v>
      </c>
      <c r="W80" s="24">
        <f t="shared" si="5"/>
        <v>3.528</v>
      </c>
    </row>
    <row r="81">
      <c r="A81" s="15" t="s">
        <v>763</v>
      </c>
      <c r="B81" s="15" t="s">
        <v>764</v>
      </c>
      <c r="C81" s="15" t="s">
        <v>7316</v>
      </c>
      <c r="D81" s="15" t="s">
        <v>765</v>
      </c>
      <c r="E81" s="17" t="s">
        <v>766</v>
      </c>
      <c r="F81" s="18"/>
      <c r="G81" s="15" t="s">
        <v>767</v>
      </c>
      <c r="H81" s="15" t="s">
        <v>768</v>
      </c>
      <c r="I81" s="18"/>
      <c r="J81" s="19" t="s">
        <v>283</v>
      </c>
      <c r="K81" s="19" t="s">
        <v>440</v>
      </c>
      <c r="L81" s="19" t="s">
        <v>769</v>
      </c>
      <c r="M81" s="20">
        <f t="shared" si="1"/>
        <v>41647.2</v>
      </c>
      <c r="N81" s="31">
        <v>2.0</v>
      </c>
      <c r="O81" s="19" t="s">
        <v>107</v>
      </c>
      <c r="P81" s="18"/>
      <c r="Q81" s="18"/>
      <c r="R81" s="23">
        <v>500.0</v>
      </c>
      <c r="S81" s="23">
        <v>2345.0</v>
      </c>
      <c r="T81" s="23">
        <f t="shared" si="2"/>
        <v>2251.2</v>
      </c>
      <c r="U81" s="23">
        <f t="shared" si="3"/>
        <v>612.5</v>
      </c>
      <c r="V81" s="23">
        <f t="shared" si="4"/>
        <v>11484.375</v>
      </c>
      <c r="W81" s="24">
        <f t="shared" si="5"/>
        <v>4.5024</v>
      </c>
    </row>
    <row r="82">
      <c r="A82" s="15" t="s">
        <v>621</v>
      </c>
      <c r="B82" s="15" t="s">
        <v>622</v>
      </c>
      <c r="C82" s="15" t="s">
        <v>5999</v>
      </c>
      <c r="D82" s="15" t="s">
        <v>623</v>
      </c>
      <c r="E82" s="17" t="s">
        <v>624</v>
      </c>
      <c r="F82" s="18"/>
      <c r="G82" s="15" t="s">
        <v>625</v>
      </c>
      <c r="H82" s="15" t="s">
        <v>626</v>
      </c>
      <c r="I82" s="18"/>
      <c r="J82" s="19" t="s">
        <v>283</v>
      </c>
      <c r="K82" s="19" t="s">
        <v>440</v>
      </c>
      <c r="L82" s="19" t="s">
        <v>135</v>
      </c>
      <c r="M82" s="20">
        <f t="shared" si="1"/>
        <v>568.32</v>
      </c>
      <c r="N82" s="31">
        <v>5.0</v>
      </c>
      <c r="O82" s="19" t="s">
        <v>107</v>
      </c>
      <c r="P82" s="18"/>
      <c r="Q82" s="18"/>
      <c r="R82" s="23">
        <v>6.0</v>
      </c>
      <c r="S82" s="23">
        <v>32.0</v>
      </c>
      <c r="T82" s="23">
        <f t="shared" si="2"/>
        <v>30.72</v>
      </c>
      <c r="U82" s="23">
        <f t="shared" si="3"/>
        <v>7.35</v>
      </c>
      <c r="V82" s="23">
        <f t="shared" si="4"/>
        <v>137.8125</v>
      </c>
      <c r="W82" s="24">
        <f t="shared" si="5"/>
        <v>5.12</v>
      </c>
    </row>
    <row r="83">
      <c r="A83" s="15" t="s">
        <v>1094</v>
      </c>
      <c r="B83" s="15" t="s">
        <v>1095</v>
      </c>
      <c r="C83" s="15" t="s">
        <v>6118</v>
      </c>
      <c r="D83" s="15" t="s">
        <v>1096</v>
      </c>
      <c r="E83" s="17" t="s">
        <v>1097</v>
      </c>
      <c r="F83" s="18"/>
      <c r="G83" s="15" t="s">
        <v>1098</v>
      </c>
      <c r="H83" s="15" t="s">
        <v>1099</v>
      </c>
      <c r="I83" s="18"/>
      <c r="J83" s="19" t="s">
        <v>283</v>
      </c>
      <c r="K83" s="19" t="s">
        <v>105</v>
      </c>
      <c r="L83" s="19" t="s">
        <v>953</v>
      </c>
      <c r="M83" s="20">
        <f t="shared" si="1"/>
        <v>5434.56</v>
      </c>
      <c r="N83" s="31">
        <v>30.0</v>
      </c>
      <c r="O83" s="19" t="s">
        <v>107</v>
      </c>
      <c r="P83" s="18"/>
      <c r="Q83" s="18"/>
      <c r="R83" s="23">
        <v>80.0</v>
      </c>
      <c r="S83" s="23">
        <v>306.0</v>
      </c>
      <c r="T83" s="23">
        <f t="shared" si="2"/>
        <v>293.76</v>
      </c>
      <c r="U83" s="23">
        <f t="shared" si="3"/>
        <v>98</v>
      </c>
      <c r="V83" s="23">
        <f t="shared" si="4"/>
        <v>1837.5</v>
      </c>
      <c r="W83" s="24">
        <f t="shared" si="5"/>
        <v>3.672</v>
      </c>
    </row>
    <row r="84">
      <c r="A84" s="15" t="s">
        <v>947</v>
      </c>
      <c r="B84" s="15" t="s">
        <v>948</v>
      </c>
      <c r="C84" s="15" t="s">
        <v>6102</v>
      </c>
      <c r="D84" s="15" t="s">
        <v>949</v>
      </c>
      <c r="E84" s="17" t="s">
        <v>950</v>
      </c>
      <c r="F84" s="18"/>
      <c r="G84" s="15" t="s">
        <v>951</v>
      </c>
      <c r="H84" s="15" t="s">
        <v>952</v>
      </c>
      <c r="I84" s="18"/>
      <c r="J84" s="19" t="s">
        <v>283</v>
      </c>
      <c r="K84" s="19" t="s">
        <v>105</v>
      </c>
      <c r="L84" s="19" t="s">
        <v>953</v>
      </c>
      <c r="M84" s="20">
        <f t="shared" si="1"/>
        <v>5434.56</v>
      </c>
      <c r="N84" s="31">
        <v>10.0</v>
      </c>
      <c r="O84" s="19" t="s">
        <v>107</v>
      </c>
      <c r="P84" s="18"/>
      <c r="Q84" s="18"/>
      <c r="R84" s="23">
        <v>82.0</v>
      </c>
      <c r="S84" s="23">
        <v>306.0</v>
      </c>
      <c r="T84" s="23">
        <f t="shared" si="2"/>
        <v>293.76</v>
      </c>
      <c r="U84" s="23">
        <f t="shared" si="3"/>
        <v>100.45</v>
      </c>
      <c r="V84" s="23">
        <f t="shared" si="4"/>
        <v>1883.4375</v>
      </c>
      <c r="W84" s="24">
        <f t="shared" si="5"/>
        <v>3.582439024</v>
      </c>
    </row>
    <row r="85">
      <c r="A85" s="15" t="s">
        <v>434</v>
      </c>
      <c r="B85" s="15" t="s">
        <v>435</v>
      </c>
      <c r="C85" s="15" t="s">
        <v>5999</v>
      </c>
      <c r="D85" s="15" t="s">
        <v>436</v>
      </c>
      <c r="E85" s="17" t="s">
        <v>6000</v>
      </c>
      <c r="F85" s="18"/>
      <c r="G85" s="15" t="s">
        <v>438</v>
      </c>
      <c r="H85" s="15" t="s">
        <v>439</v>
      </c>
      <c r="I85" s="18"/>
      <c r="J85" s="19" t="s">
        <v>283</v>
      </c>
      <c r="K85" s="19" t="s">
        <v>440</v>
      </c>
      <c r="L85" s="19" t="s">
        <v>135</v>
      </c>
      <c r="M85" s="20">
        <f t="shared" si="1"/>
        <v>745.92</v>
      </c>
      <c r="N85" s="31">
        <v>5.0</v>
      </c>
      <c r="O85" s="19" t="s">
        <v>107</v>
      </c>
      <c r="P85" s="18"/>
      <c r="Q85" s="18"/>
      <c r="R85" s="23">
        <v>6.0</v>
      </c>
      <c r="S85" s="23">
        <v>42.0</v>
      </c>
      <c r="T85" s="23">
        <f t="shared" si="2"/>
        <v>40.32</v>
      </c>
      <c r="U85" s="23">
        <f t="shared" si="3"/>
        <v>7.35</v>
      </c>
      <c r="V85" s="23">
        <f t="shared" si="4"/>
        <v>137.8125</v>
      </c>
      <c r="W85" s="24">
        <f t="shared" si="5"/>
        <v>6.72</v>
      </c>
    </row>
    <row r="86" hidden="1">
      <c r="A86" s="15" t="s">
        <v>1246</v>
      </c>
      <c r="B86" s="18"/>
      <c r="C86" s="15" t="s">
        <v>6225</v>
      </c>
      <c r="D86" s="18"/>
      <c r="E86" s="17" t="s">
        <v>1247</v>
      </c>
      <c r="F86" s="18"/>
      <c r="G86" s="18"/>
      <c r="H86" s="15" t="s">
        <v>1248</v>
      </c>
      <c r="I86" s="18"/>
      <c r="J86" s="19" t="s">
        <v>283</v>
      </c>
      <c r="K86" s="19" t="s">
        <v>284</v>
      </c>
      <c r="L86" s="19" t="s">
        <v>38</v>
      </c>
      <c r="M86" s="20">
        <f t="shared" si="1"/>
        <v>0</v>
      </c>
      <c r="N86" s="22"/>
      <c r="O86" s="19" t="s">
        <v>1145</v>
      </c>
      <c r="P86" s="18"/>
      <c r="Q86" s="18"/>
      <c r="R86" s="23">
        <v>0.0</v>
      </c>
      <c r="S86" s="23">
        <v>0.0</v>
      </c>
      <c r="T86" s="23">
        <f t="shared" si="2"/>
        <v>0</v>
      </c>
      <c r="U86" s="23">
        <f t="shared" si="3"/>
        <v>0</v>
      </c>
      <c r="V86" s="23">
        <f t="shared" si="4"/>
        <v>0</v>
      </c>
      <c r="W86" s="24" t="str">
        <f t="shared" si="5"/>
        <v>#DIV/0!</v>
      </c>
    </row>
    <row r="87">
      <c r="A87" s="15" t="s">
        <v>627</v>
      </c>
      <c r="B87" s="15" t="s">
        <v>628</v>
      </c>
      <c r="C87" s="15" t="s">
        <v>5999</v>
      </c>
      <c r="D87" s="15" t="s">
        <v>629</v>
      </c>
      <c r="E87" s="17" t="s">
        <v>6001</v>
      </c>
      <c r="F87" s="18"/>
      <c r="G87" s="15" t="s">
        <v>631</v>
      </c>
      <c r="H87" s="15" t="s">
        <v>632</v>
      </c>
      <c r="I87" s="18"/>
      <c r="J87" s="19" t="s">
        <v>283</v>
      </c>
      <c r="K87" s="19" t="s">
        <v>440</v>
      </c>
      <c r="L87" s="19" t="s">
        <v>135</v>
      </c>
      <c r="M87" s="20">
        <f t="shared" si="1"/>
        <v>568.32</v>
      </c>
      <c r="N87" s="31">
        <v>5.0</v>
      </c>
      <c r="O87" s="19" t="s">
        <v>107</v>
      </c>
      <c r="P87" s="18"/>
      <c r="Q87" s="18"/>
      <c r="R87" s="23">
        <v>6.0</v>
      </c>
      <c r="S87" s="23">
        <v>32.0</v>
      </c>
      <c r="T87" s="23">
        <f t="shared" si="2"/>
        <v>30.72</v>
      </c>
      <c r="U87" s="23">
        <f t="shared" si="3"/>
        <v>7.35</v>
      </c>
      <c r="V87" s="23">
        <f t="shared" si="4"/>
        <v>137.8125</v>
      </c>
      <c r="W87" s="24">
        <f t="shared" si="5"/>
        <v>5.12</v>
      </c>
    </row>
    <row r="88">
      <c r="A88" s="15" t="s">
        <v>724</v>
      </c>
      <c r="B88" s="15" t="s">
        <v>725</v>
      </c>
      <c r="C88" s="15" t="s">
        <v>7334</v>
      </c>
      <c r="D88" s="15" t="s">
        <v>726</v>
      </c>
      <c r="E88" s="17" t="s">
        <v>727</v>
      </c>
      <c r="F88" s="18"/>
      <c r="G88" s="15" t="s">
        <v>728</v>
      </c>
      <c r="H88" s="15" t="s">
        <v>729</v>
      </c>
      <c r="I88" s="18"/>
      <c r="J88" s="19" t="s">
        <v>36</v>
      </c>
      <c r="K88" s="19" t="s">
        <v>60</v>
      </c>
      <c r="L88" s="19" t="s">
        <v>106</v>
      </c>
      <c r="M88" s="20">
        <f t="shared" si="1"/>
        <v>2930.4</v>
      </c>
      <c r="N88" s="31">
        <v>3.0</v>
      </c>
      <c r="O88" s="19" t="s">
        <v>107</v>
      </c>
      <c r="P88" s="18"/>
      <c r="Q88" s="18"/>
      <c r="R88" s="23">
        <v>34.0</v>
      </c>
      <c r="S88" s="23">
        <v>165.0</v>
      </c>
      <c r="T88" s="23">
        <f t="shared" si="2"/>
        <v>158.4</v>
      </c>
      <c r="U88" s="23">
        <f t="shared" si="3"/>
        <v>41.65</v>
      </c>
      <c r="V88" s="23">
        <f t="shared" si="4"/>
        <v>780.9375</v>
      </c>
      <c r="W88" s="24">
        <f t="shared" si="5"/>
        <v>4.658823529</v>
      </c>
    </row>
    <row r="89" hidden="1">
      <c r="A89" s="15" t="s">
        <v>1249</v>
      </c>
      <c r="B89" s="18"/>
      <c r="C89" s="15" t="s">
        <v>6228</v>
      </c>
      <c r="D89" s="18"/>
      <c r="E89" s="17" t="s">
        <v>1250</v>
      </c>
      <c r="F89" s="18"/>
      <c r="G89" s="18"/>
      <c r="H89" s="15" t="s">
        <v>1251</v>
      </c>
      <c r="I89" s="18"/>
      <c r="J89" s="19" t="s">
        <v>283</v>
      </c>
      <c r="K89" s="19" t="s">
        <v>284</v>
      </c>
      <c r="L89" s="19" t="s">
        <v>38</v>
      </c>
      <c r="M89" s="20">
        <f t="shared" si="1"/>
        <v>0</v>
      </c>
      <c r="N89" s="22"/>
      <c r="O89" s="19" t="s">
        <v>1145</v>
      </c>
      <c r="P89" s="18"/>
      <c r="Q89" s="18"/>
      <c r="R89" s="23">
        <v>0.0</v>
      </c>
      <c r="S89" s="23">
        <v>0.0</v>
      </c>
      <c r="T89" s="23">
        <f t="shared" si="2"/>
        <v>0</v>
      </c>
      <c r="U89" s="23">
        <f t="shared" si="3"/>
        <v>0</v>
      </c>
      <c r="V89" s="23">
        <f t="shared" si="4"/>
        <v>0</v>
      </c>
      <c r="W89" s="24" t="str">
        <f t="shared" si="5"/>
        <v>#DIV/0!</v>
      </c>
    </row>
    <row r="90">
      <c r="A90" s="15" t="s">
        <v>663</v>
      </c>
      <c r="B90" s="15" t="s">
        <v>664</v>
      </c>
      <c r="C90" s="15" t="s">
        <v>7335</v>
      </c>
      <c r="D90" s="15" t="s">
        <v>665</v>
      </c>
      <c r="E90" s="17" t="s">
        <v>666</v>
      </c>
      <c r="F90" s="18"/>
      <c r="G90" s="18"/>
      <c r="H90" s="15" t="s">
        <v>8173</v>
      </c>
      <c r="I90" s="18"/>
      <c r="J90" s="19" t="s">
        <v>36</v>
      </c>
      <c r="K90" s="33"/>
      <c r="L90" s="19" t="s">
        <v>38</v>
      </c>
      <c r="M90" s="20">
        <f t="shared" si="1"/>
        <v>16676.64</v>
      </c>
      <c r="N90" s="31">
        <v>1.0</v>
      </c>
      <c r="O90" s="19" t="s">
        <v>107</v>
      </c>
      <c r="P90" s="18"/>
      <c r="Q90" s="18"/>
      <c r="R90" s="23">
        <v>182.0</v>
      </c>
      <c r="S90" s="23">
        <v>939.0</v>
      </c>
      <c r="T90" s="23">
        <f t="shared" si="2"/>
        <v>901.44</v>
      </c>
      <c r="U90" s="23">
        <f t="shared" si="3"/>
        <v>222.95</v>
      </c>
      <c r="V90" s="23">
        <f t="shared" si="4"/>
        <v>4180.3125</v>
      </c>
      <c r="W90" s="24">
        <f t="shared" si="5"/>
        <v>4.952967033</v>
      </c>
    </row>
    <row r="91">
      <c r="A91" s="15" t="s">
        <v>730</v>
      </c>
      <c r="B91" s="15" t="s">
        <v>731</v>
      </c>
      <c r="C91" s="15" t="s">
        <v>7336</v>
      </c>
      <c r="D91" s="15" t="s">
        <v>732</v>
      </c>
      <c r="E91" s="17" t="s">
        <v>733</v>
      </c>
      <c r="F91" s="18"/>
      <c r="G91" s="18"/>
      <c r="H91" s="15" t="s">
        <v>734</v>
      </c>
      <c r="I91" s="18"/>
      <c r="J91" s="19" t="s">
        <v>36</v>
      </c>
      <c r="K91" s="33"/>
      <c r="L91" s="19" t="s">
        <v>38</v>
      </c>
      <c r="M91" s="20">
        <f t="shared" si="1"/>
        <v>19145.28</v>
      </c>
      <c r="N91" s="31">
        <v>1.0</v>
      </c>
      <c r="O91" s="19" t="s">
        <v>107</v>
      </c>
      <c r="P91" s="18"/>
      <c r="Q91" s="18"/>
      <c r="R91" s="23">
        <v>225.0</v>
      </c>
      <c r="S91" s="23">
        <v>1078.0</v>
      </c>
      <c r="T91" s="23">
        <f t="shared" si="2"/>
        <v>1034.88</v>
      </c>
      <c r="U91" s="23">
        <f t="shared" si="3"/>
        <v>275.625</v>
      </c>
      <c r="V91" s="23">
        <f t="shared" si="4"/>
        <v>5167.96875</v>
      </c>
      <c r="W91" s="24">
        <f t="shared" si="5"/>
        <v>4.599466667</v>
      </c>
    </row>
    <row r="92">
      <c r="A92" s="15" t="s">
        <v>748</v>
      </c>
      <c r="B92" s="15" t="s">
        <v>749</v>
      </c>
      <c r="C92" s="18"/>
      <c r="D92" s="15" t="s">
        <v>750</v>
      </c>
      <c r="E92" s="17" t="s">
        <v>751</v>
      </c>
      <c r="F92" s="18"/>
      <c r="G92" s="15" t="s">
        <v>752</v>
      </c>
      <c r="H92" s="15" t="s">
        <v>753</v>
      </c>
      <c r="I92" s="18"/>
      <c r="J92" s="19" t="s">
        <v>36</v>
      </c>
      <c r="K92" s="19" t="s">
        <v>60</v>
      </c>
      <c r="L92" s="19" t="s">
        <v>84</v>
      </c>
      <c r="M92" s="20">
        <f t="shared" si="1"/>
        <v>4617.6</v>
      </c>
      <c r="N92" s="31">
        <v>2.0</v>
      </c>
      <c r="O92" s="19" t="s">
        <v>107</v>
      </c>
      <c r="P92" s="18"/>
      <c r="Q92" s="18"/>
      <c r="R92" s="23">
        <v>55.0</v>
      </c>
      <c r="S92" s="23">
        <v>260.0</v>
      </c>
      <c r="T92" s="23">
        <f t="shared" si="2"/>
        <v>249.6</v>
      </c>
      <c r="U92" s="23">
        <f t="shared" si="3"/>
        <v>67.375</v>
      </c>
      <c r="V92" s="23">
        <f t="shared" si="4"/>
        <v>1263.28125</v>
      </c>
      <c r="W92" s="24">
        <f t="shared" si="5"/>
        <v>4.538181818</v>
      </c>
    </row>
    <row r="93">
      <c r="A93" s="15" t="s">
        <v>754</v>
      </c>
      <c r="B93" s="15" t="s">
        <v>755</v>
      </c>
      <c r="C93" s="15" t="s">
        <v>7337</v>
      </c>
      <c r="D93" s="15" t="s">
        <v>756</v>
      </c>
      <c r="E93" s="17" t="s">
        <v>757</v>
      </c>
      <c r="F93" s="18"/>
      <c r="G93" s="15" t="s">
        <v>752</v>
      </c>
      <c r="H93" s="15" t="s">
        <v>753</v>
      </c>
      <c r="I93" s="18"/>
      <c r="J93" s="19" t="s">
        <v>36</v>
      </c>
      <c r="K93" s="19" t="s">
        <v>60</v>
      </c>
      <c r="L93" s="19" t="s">
        <v>84</v>
      </c>
      <c r="M93" s="20">
        <f t="shared" si="1"/>
        <v>3356.64</v>
      </c>
      <c r="N93" s="31">
        <v>2.0</v>
      </c>
      <c r="O93" s="19" t="s">
        <v>107</v>
      </c>
      <c r="P93" s="18"/>
      <c r="Q93" s="18"/>
      <c r="R93" s="23">
        <v>40.0</v>
      </c>
      <c r="S93" s="23">
        <v>189.0</v>
      </c>
      <c r="T93" s="23">
        <f t="shared" si="2"/>
        <v>181.44</v>
      </c>
      <c r="U93" s="23">
        <f t="shared" si="3"/>
        <v>49</v>
      </c>
      <c r="V93" s="23">
        <f t="shared" si="4"/>
        <v>918.75</v>
      </c>
      <c r="W93" s="24">
        <f t="shared" si="5"/>
        <v>4.536</v>
      </c>
    </row>
    <row r="94">
      <c r="A94" s="15" t="s">
        <v>456</v>
      </c>
      <c r="B94" s="15" t="s">
        <v>457</v>
      </c>
      <c r="C94" s="15" t="s">
        <v>7339</v>
      </c>
      <c r="D94" s="15" t="s">
        <v>458</v>
      </c>
      <c r="E94" s="17" t="s">
        <v>459</v>
      </c>
      <c r="F94" s="18"/>
      <c r="G94" s="18"/>
      <c r="H94" s="15" t="s">
        <v>460</v>
      </c>
      <c r="I94" s="18"/>
      <c r="J94" s="19" t="s">
        <v>36</v>
      </c>
      <c r="K94" s="33"/>
      <c r="L94" s="19" t="s">
        <v>38</v>
      </c>
      <c r="M94" s="20">
        <f t="shared" si="1"/>
        <v>11437.44</v>
      </c>
      <c r="N94" s="31">
        <v>2.0</v>
      </c>
      <c r="O94" s="19" t="s">
        <v>107</v>
      </c>
      <c r="P94" s="18"/>
      <c r="Q94" s="18"/>
      <c r="R94" s="23">
        <v>95.0</v>
      </c>
      <c r="S94" s="23">
        <v>644.0</v>
      </c>
      <c r="T94" s="23">
        <f t="shared" si="2"/>
        <v>618.24</v>
      </c>
      <c r="U94" s="23">
        <f t="shared" si="3"/>
        <v>116.375</v>
      </c>
      <c r="V94" s="23">
        <f t="shared" si="4"/>
        <v>2182.03125</v>
      </c>
      <c r="W94" s="24">
        <f t="shared" si="5"/>
        <v>6.507789474</v>
      </c>
    </row>
    <row r="95">
      <c r="A95" s="15" t="s">
        <v>122</v>
      </c>
      <c r="B95" s="15" t="s">
        <v>123</v>
      </c>
      <c r="C95" s="15" t="s">
        <v>6075</v>
      </c>
      <c r="D95" s="15" t="s">
        <v>124</v>
      </c>
      <c r="E95" s="17" t="s">
        <v>125</v>
      </c>
      <c r="F95" s="18"/>
      <c r="G95" s="15" t="s">
        <v>126</v>
      </c>
      <c r="H95" s="15" t="s">
        <v>127</v>
      </c>
      <c r="I95" s="18"/>
      <c r="J95" s="19" t="s">
        <v>36</v>
      </c>
      <c r="K95" s="19" t="s">
        <v>60</v>
      </c>
      <c r="L95" s="19" t="s">
        <v>38</v>
      </c>
      <c r="M95" s="20">
        <f t="shared" si="1"/>
        <v>3125.76</v>
      </c>
      <c r="N95" s="31">
        <v>8.0</v>
      </c>
      <c r="O95" s="19" t="s">
        <v>107</v>
      </c>
      <c r="P95" s="18"/>
      <c r="Q95" s="18"/>
      <c r="R95" s="23">
        <v>7.0</v>
      </c>
      <c r="S95" s="23">
        <v>176.0</v>
      </c>
      <c r="T95" s="23">
        <f t="shared" si="2"/>
        <v>168.96</v>
      </c>
      <c r="U95" s="23">
        <f t="shared" si="3"/>
        <v>8.575</v>
      </c>
      <c r="V95" s="23">
        <f t="shared" si="4"/>
        <v>160.78125</v>
      </c>
      <c r="W95" s="24">
        <f t="shared" si="5"/>
        <v>24.13714286</v>
      </c>
    </row>
    <row r="96">
      <c r="A96" s="15" t="s">
        <v>171</v>
      </c>
      <c r="B96" s="15" t="s">
        <v>172</v>
      </c>
      <c r="C96" s="15" t="s">
        <v>6007</v>
      </c>
      <c r="D96" s="15" t="s">
        <v>173</v>
      </c>
      <c r="E96" s="17" t="s">
        <v>174</v>
      </c>
      <c r="F96" s="18"/>
      <c r="G96" s="15" t="s">
        <v>175</v>
      </c>
      <c r="H96" s="15" t="s">
        <v>176</v>
      </c>
      <c r="I96" s="18"/>
      <c r="J96" s="19" t="s">
        <v>36</v>
      </c>
      <c r="K96" s="19" t="s">
        <v>60</v>
      </c>
      <c r="L96" s="19" t="s">
        <v>38</v>
      </c>
      <c r="M96" s="20">
        <f t="shared" si="1"/>
        <v>1740.48</v>
      </c>
      <c r="N96" s="31">
        <v>6.0</v>
      </c>
      <c r="O96" s="19" t="s">
        <v>107</v>
      </c>
      <c r="P96" s="18"/>
      <c r="Q96" s="18"/>
      <c r="R96" s="23">
        <v>7.0</v>
      </c>
      <c r="S96" s="23">
        <v>98.0</v>
      </c>
      <c r="T96" s="23">
        <f t="shared" si="2"/>
        <v>94.08</v>
      </c>
      <c r="U96" s="23">
        <f t="shared" si="3"/>
        <v>8.575</v>
      </c>
      <c r="V96" s="23">
        <f t="shared" si="4"/>
        <v>160.78125</v>
      </c>
      <c r="W96" s="24">
        <f t="shared" si="5"/>
        <v>13.44</v>
      </c>
    </row>
    <row r="97">
      <c r="A97" s="15" t="s">
        <v>451</v>
      </c>
      <c r="B97" s="15" t="s">
        <v>452</v>
      </c>
      <c r="C97" s="15" t="s">
        <v>6008</v>
      </c>
      <c r="D97" s="15" t="s">
        <v>453</v>
      </c>
      <c r="E97" s="17" t="s">
        <v>454</v>
      </c>
      <c r="F97" s="18"/>
      <c r="G97" s="18"/>
      <c r="H97" s="15" t="s">
        <v>455</v>
      </c>
      <c r="I97" s="18"/>
      <c r="J97" s="19" t="s">
        <v>36</v>
      </c>
      <c r="K97" s="19" t="s">
        <v>60</v>
      </c>
      <c r="L97" s="19" t="s">
        <v>403</v>
      </c>
      <c r="M97" s="20">
        <f t="shared" si="1"/>
        <v>8453.76</v>
      </c>
      <c r="N97" s="31">
        <v>5.0</v>
      </c>
      <c r="O97" s="19" t="s">
        <v>107</v>
      </c>
      <c r="P97" s="18"/>
      <c r="Q97" s="18"/>
      <c r="R97" s="23">
        <v>70.0</v>
      </c>
      <c r="S97" s="23">
        <v>476.0</v>
      </c>
      <c r="T97" s="23">
        <f t="shared" si="2"/>
        <v>456.96</v>
      </c>
      <c r="U97" s="23">
        <f t="shared" si="3"/>
        <v>85.75</v>
      </c>
      <c r="V97" s="23">
        <f t="shared" si="4"/>
        <v>1607.8125</v>
      </c>
      <c r="W97" s="24">
        <f t="shared" si="5"/>
        <v>6.528</v>
      </c>
    </row>
    <row r="98">
      <c r="A98" s="15" t="s">
        <v>422</v>
      </c>
      <c r="B98" s="15" t="s">
        <v>423</v>
      </c>
      <c r="C98" s="15" t="s">
        <v>7343</v>
      </c>
      <c r="D98" s="15" t="s">
        <v>424</v>
      </c>
      <c r="E98" s="17" t="s">
        <v>425</v>
      </c>
      <c r="F98" s="18"/>
      <c r="G98" s="18"/>
      <c r="H98" s="15" t="s">
        <v>426</v>
      </c>
      <c r="I98" s="18"/>
      <c r="J98" s="19" t="s">
        <v>36</v>
      </c>
      <c r="K98" s="19" t="s">
        <v>427</v>
      </c>
      <c r="L98" s="19" t="s">
        <v>403</v>
      </c>
      <c r="M98" s="20">
        <f t="shared" si="1"/>
        <v>8205.12</v>
      </c>
      <c r="N98" s="31">
        <v>1.0</v>
      </c>
      <c r="O98" s="19" t="s">
        <v>107</v>
      </c>
      <c r="P98" s="18"/>
      <c r="Q98" s="18"/>
      <c r="R98" s="23">
        <v>65.0</v>
      </c>
      <c r="S98" s="23">
        <v>462.0</v>
      </c>
      <c r="T98" s="23">
        <f t="shared" si="2"/>
        <v>443.52</v>
      </c>
      <c r="U98" s="23">
        <f t="shared" si="3"/>
        <v>79.625</v>
      </c>
      <c r="V98" s="23">
        <f t="shared" si="4"/>
        <v>1492.96875</v>
      </c>
      <c r="W98" s="24">
        <f t="shared" si="5"/>
        <v>6.823384615</v>
      </c>
    </row>
    <row r="99">
      <c r="A99" s="15" t="s">
        <v>320</v>
      </c>
      <c r="B99" s="15" t="s">
        <v>321</v>
      </c>
      <c r="C99" s="15" t="s">
        <v>7350</v>
      </c>
      <c r="D99" s="15" t="s">
        <v>322</v>
      </c>
      <c r="E99" s="17" t="s">
        <v>323</v>
      </c>
      <c r="F99" s="18"/>
      <c r="G99" s="15" t="s">
        <v>324</v>
      </c>
      <c r="H99" s="15" t="s">
        <v>325</v>
      </c>
      <c r="I99" s="18"/>
      <c r="J99" s="19" t="s">
        <v>36</v>
      </c>
      <c r="K99" s="19" t="s">
        <v>60</v>
      </c>
      <c r="L99" s="19" t="s">
        <v>52</v>
      </c>
      <c r="M99" s="20">
        <f t="shared" si="1"/>
        <v>8453.76</v>
      </c>
      <c r="N99" s="31">
        <v>2.0</v>
      </c>
      <c r="O99" s="19" t="s">
        <v>107</v>
      </c>
      <c r="P99" s="18"/>
      <c r="Q99" s="18"/>
      <c r="R99" s="23">
        <v>60.0</v>
      </c>
      <c r="S99" s="23">
        <v>476.0</v>
      </c>
      <c r="T99" s="23">
        <f t="shared" si="2"/>
        <v>456.96</v>
      </c>
      <c r="U99" s="23">
        <f t="shared" si="3"/>
        <v>73.5</v>
      </c>
      <c r="V99" s="23">
        <f t="shared" si="4"/>
        <v>1378.125</v>
      </c>
      <c r="W99" s="24">
        <f t="shared" si="5"/>
        <v>7.616</v>
      </c>
    </row>
    <row r="100" hidden="1">
      <c r="A100" s="15" t="s">
        <v>1252</v>
      </c>
      <c r="B100" s="18"/>
      <c r="C100" s="15" t="s">
        <v>6239</v>
      </c>
      <c r="D100" s="18"/>
      <c r="E100" s="17" t="s">
        <v>1253</v>
      </c>
      <c r="F100" s="18"/>
      <c r="G100" s="18"/>
      <c r="H100" s="15" t="s">
        <v>1254</v>
      </c>
      <c r="I100" s="18"/>
      <c r="J100" s="19" t="s">
        <v>283</v>
      </c>
      <c r="K100" s="19" t="s">
        <v>105</v>
      </c>
      <c r="L100" s="19" t="s">
        <v>38</v>
      </c>
      <c r="M100" s="20">
        <f t="shared" si="1"/>
        <v>0</v>
      </c>
      <c r="N100" s="22"/>
      <c r="O100" s="19" t="s">
        <v>1145</v>
      </c>
      <c r="P100" s="18"/>
      <c r="Q100" s="18"/>
      <c r="R100" s="23">
        <v>0.0</v>
      </c>
      <c r="S100" s="23">
        <v>0.0</v>
      </c>
      <c r="T100" s="23">
        <f t="shared" si="2"/>
        <v>0</v>
      </c>
      <c r="U100" s="23">
        <f t="shared" si="3"/>
        <v>0</v>
      </c>
      <c r="V100" s="23">
        <f t="shared" si="4"/>
        <v>0</v>
      </c>
      <c r="W100" s="24" t="str">
        <f t="shared" si="5"/>
        <v>#DIV/0!</v>
      </c>
    </row>
    <row r="101" hidden="1">
      <c r="A101" s="15" t="s">
        <v>1255</v>
      </c>
      <c r="B101" s="18"/>
      <c r="C101" s="15" t="s">
        <v>6240</v>
      </c>
      <c r="D101" s="18"/>
      <c r="E101" s="17" t="s">
        <v>1256</v>
      </c>
      <c r="F101" s="18"/>
      <c r="G101" s="18"/>
      <c r="H101" s="15" t="s">
        <v>1257</v>
      </c>
      <c r="I101" s="18"/>
      <c r="J101" s="19" t="s">
        <v>283</v>
      </c>
      <c r="K101" s="19" t="s">
        <v>37</v>
      </c>
      <c r="L101" s="19" t="s">
        <v>38</v>
      </c>
      <c r="M101" s="20">
        <f t="shared" si="1"/>
        <v>0</v>
      </c>
      <c r="N101" s="22"/>
      <c r="O101" s="19" t="s">
        <v>1145</v>
      </c>
      <c r="P101" s="18"/>
      <c r="Q101" s="18"/>
      <c r="R101" s="23">
        <v>0.0</v>
      </c>
      <c r="S101" s="23">
        <v>0.0</v>
      </c>
      <c r="T101" s="23">
        <f t="shared" si="2"/>
        <v>0</v>
      </c>
      <c r="U101" s="23">
        <f t="shared" si="3"/>
        <v>0</v>
      </c>
      <c r="V101" s="23">
        <f t="shared" si="4"/>
        <v>0</v>
      </c>
      <c r="W101" s="24" t="str">
        <f t="shared" si="5"/>
        <v>#DIV/0!</v>
      </c>
    </row>
    <row r="102" hidden="1">
      <c r="A102" s="15" t="s">
        <v>1258</v>
      </c>
      <c r="B102" s="18"/>
      <c r="C102" s="15" t="s">
        <v>6241</v>
      </c>
      <c r="D102" s="18"/>
      <c r="E102" s="17" t="s">
        <v>1259</v>
      </c>
      <c r="F102" s="18"/>
      <c r="G102" s="18"/>
      <c r="H102" s="15" t="s">
        <v>1257</v>
      </c>
      <c r="I102" s="18"/>
      <c r="J102" s="19" t="s">
        <v>283</v>
      </c>
      <c r="K102" s="19" t="s">
        <v>105</v>
      </c>
      <c r="L102" s="19" t="s">
        <v>38</v>
      </c>
      <c r="M102" s="20">
        <f t="shared" si="1"/>
        <v>0</v>
      </c>
      <c r="N102" s="22"/>
      <c r="O102" s="19" t="s">
        <v>1145</v>
      </c>
      <c r="P102" s="18"/>
      <c r="Q102" s="18"/>
      <c r="R102" s="23">
        <v>0.0</v>
      </c>
      <c r="S102" s="23">
        <v>0.0</v>
      </c>
      <c r="T102" s="23">
        <f t="shared" si="2"/>
        <v>0</v>
      </c>
      <c r="U102" s="23">
        <f t="shared" si="3"/>
        <v>0</v>
      </c>
      <c r="V102" s="23">
        <f t="shared" si="4"/>
        <v>0</v>
      </c>
      <c r="W102" s="24" t="str">
        <f t="shared" si="5"/>
        <v>#DIV/0!</v>
      </c>
    </row>
    <row r="103" hidden="1">
      <c r="A103" s="15" t="s">
        <v>1260</v>
      </c>
      <c r="B103" s="18"/>
      <c r="C103" s="15" t="s">
        <v>6242</v>
      </c>
      <c r="D103" s="18"/>
      <c r="E103" s="17" t="s">
        <v>1261</v>
      </c>
      <c r="F103" s="18"/>
      <c r="G103" s="18"/>
      <c r="H103" s="15" t="s">
        <v>1262</v>
      </c>
      <c r="I103" s="18"/>
      <c r="J103" s="19" t="s">
        <v>283</v>
      </c>
      <c r="K103" s="19" t="s">
        <v>284</v>
      </c>
      <c r="L103" s="19" t="s">
        <v>38</v>
      </c>
      <c r="M103" s="20">
        <f t="shared" si="1"/>
        <v>0</v>
      </c>
      <c r="N103" s="22"/>
      <c r="O103" s="19" t="s">
        <v>1145</v>
      </c>
      <c r="P103" s="18"/>
      <c r="Q103" s="18"/>
      <c r="R103" s="23">
        <v>0.0</v>
      </c>
      <c r="S103" s="23">
        <v>0.0</v>
      </c>
      <c r="T103" s="23">
        <f t="shared" si="2"/>
        <v>0</v>
      </c>
      <c r="U103" s="23">
        <f t="shared" si="3"/>
        <v>0</v>
      </c>
      <c r="V103" s="23">
        <f t="shared" si="4"/>
        <v>0</v>
      </c>
      <c r="W103" s="24" t="str">
        <f t="shared" si="5"/>
        <v>#DIV/0!</v>
      </c>
    </row>
    <row r="104" hidden="1">
      <c r="A104" s="15" t="s">
        <v>1263</v>
      </c>
      <c r="B104" s="18"/>
      <c r="C104" s="15" t="s">
        <v>6243</v>
      </c>
      <c r="D104" s="18"/>
      <c r="E104" s="17" t="s">
        <v>1264</v>
      </c>
      <c r="F104" s="18"/>
      <c r="G104" s="18"/>
      <c r="H104" s="15" t="s">
        <v>1265</v>
      </c>
      <c r="I104" s="18"/>
      <c r="J104" s="19" t="s">
        <v>283</v>
      </c>
      <c r="K104" s="19" t="s">
        <v>284</v>
      </c>
      <c r="L104" s="19" t="s">
        <v>38</v>
      </c>
      <c r="M104" s="20">
        <f t="shared" si="1"/>
        <v>0</v>
      </c>
      <c r="N104" s="22"/>
      <c r="O104" s="19" t="s">
        <v>1145</v>
      </c>
      <c r="P104" s="18"/>
      <c r="Q104" s="18"/>
      <c r="R104" s="23">
        <v>0.0</v>
      </c>
      <c r="S104" s="23">
        <v>0.0</v>
      </c>
      <c r="T104" s="23">
        <f t="shared" si="2"/>
        <v>0</v>
      </c>
      <c r="U104" s="23">
        <f t="shared" si="3"/>
        <v>0</v>
      </c>
      <c r="V104" s="23">
        <f t="shared" si="4"/>
        <v>0</v>
      </c>
      <c r="W104" s="24" t="str">
        <f t="shared" si="5"/>
        <v>#DIV/0!</v>
      </c>
    </row>
    <row r="105" hidden="1">
      <c r="A105" s="15" t="s">
        <v>1266</v>
      </c>
      <c r="B105" s="18"/>
      <c r="C105" s="15" t="s">
        <v>6244</v>
      </c>
      <c r="D105" s="18"/>
      <c r="E105" s="17" t="s">
        <v>1267</v>
      </c>
      <c r="F105" s="18"/>
      <c r="G105" s="18"/>
      <c r="H105" s="15" t="s">
        <v>1268</v>
      </c>
      <c r="I105" s="18"/>
      <c r="J105" s="19" t="s">
        <v>283</v>
      </c>
      <c r="K105" s="19" t="s">
        <v>1269</v>
      </c>
      <c r="L105" s="19" t="s">
        <v>38</v>
      </c>
      <c r="M105" s="20">
        <f t="shared" si="1"/>
        <v>0</v>
      </c>
      <c r="N105" s="22"/>
      <c r="O105" s="19" t="s">
        <v>1145</v>
      </c>
      <c r="P105" s="18"/>
      <c r="Q105" s="18"/>
      <c r="R105" s="23">
        <v>0.0</v>
      </c>
      <c r="S105" s="23">
        <v>0.0</v>
      </c>
      <c r="T105" s="23">
        <f t="shared" si="2"/>
        <v>0</v>
      </c>
      <c r="U105" s="23">
        <f t="shared" si="3"/>
        <v>0</v>
      </c>
      <c r="V105" s="23">
        <f t="shared" si="4"/>
        <v>0</v>
      </c>
      <c r="W105" s="24" t="str">
        <f t="shared" si="5"/>
        <v>#DIV/0!</v>
      </c>
    </row>
    <row r="106" hidden="1">
      <c r="A106" s="15" t="s">
        <v>1270</v>
      </c>
      <c r="B106" s="18"/>
      <c r="C106" s="15" t="s">
        <v>6245</v>
      </c>
      <c r="D106" s="18"/>
      <c r="E106" s="17" t="s">
        <v>1271</v>
      </c>
      <c r="F106" s="18"/>
      <c r="G106" s="18"/>
      <c r="H106" s="15" t="s">
        <v>1272</v>
      </c>
      <c r="I106" s="18"/>
      <c r="J106" s="19" t="s">
        <v>283</v>
      </c>
      <c r="K106" s="19" t="s">
        <v>105</v>
      </c>
      <c r="L106" s="19" t="s">
        <v>38</v>
      </c>
      <c r="M106" s="20">
        <f t="shared" si="1"/>
        <v>0</v>
      </c>
      <c r="N106" s="22"/>
      <c r="O106" s="19" t="s">
        <v>1145</v>
      </c>
      <c r="P106" s="18"/>
      <c r="Q106" s="18"/>
      <c r="R106" s="23">
        <v>0.0</v>
      </c>
      <c r="S106" s="23">
        <v>0.0</v>
      </c>
      <c r="T106" s="23">
        <f t="shared" si="2"/>
        <v>0</v>
      </c>
      <c r="U106" s="23">
        <f t="shared" si="3"/>
        <v>0</v>
      </c>
      <c r="V106" s="23">
        <f t="shared" si="4"/>
        <v>0</v>
      </c>
      <c r="W106" s="24" t="str">
        <f t="shared" si="5"/>
        <v>#DIV/0!</v>
      </c>
    </row>
    <row r="107" hidden="1">
      <c r="A107" s="15" t="s">
        <v>1273</v>
      </c>
      <c r="B107" s="18"/>
      <c r="C107" s="15" t="s">
        <v>6246</v>
      </c>
      <c r="D107" s="18"/>
      <c r="E107" s="17" t="s">
        <v>1274</v>
      </c>
      <c r="F107" s="18"/>
      <c r="G107" s="18"/>
      <c r="H107" s="15" t="s">
        <v>1275</v>
      </c>
      <c r="I107" s="18"/>
      <c r="J107" s="19" t="s">
        <v>283</v>
      </c>
      <c r="K107" s="19" t="s">
        <v>284</v>
      </c>
      <c r="L107" s="19" t="s">
        <v>38</v>
      </c>
      <c r="M107" s="20">
        <f t="shared" si="1"/>
        <v>0</v>
      </c>
      <c r="N107" s="22"/>
      <c r="O107" s="19" t="s">
        <v>1145</v>
      </c>
      <c r="P107" s="18"/>
      <c r="Q107" s="18"/>
      <c r="R107" s="23">
        <v>0.0</v>
      </c>
      <c r="S107" s="23">
        <v>0.0</v>
      </c>
      <c r="T107" s="23">
        <f t="shared" si="2"/>
        <v>0</v>
      </c>
      <c r="U107" s="23">
        <f t="shared" si="3"/>
        <v>0</v>
      </c>
      <c r="V107" s="23">
        <f t="shared" si="4"/>
        <v>0</v>
      </c>
      <c r="W107" s="24" t="str">
        <f t="shared" si="5"/>
        <v>#DIV/0!</v>
      </c>
    </row>
    <row r="108" hidden="1">
      <c r="A108" s="15" t="s">
        <v>1276</v>
      </c>
      <c r="B108" s="18"/>
      <c r="C108" s="15" t="s">
        <v>6247</v>
      </c>
      <c r="D108" s="18"/>
      <c r="E108" s="17" t="s">
        <v>1277</v>
      </c>
      <c r="F108" s="18"/>
      <c r="G108" s="18"/>
      <c r="H108" s="15" t="s">
        <v>1278</v>
      </c>
      <c r="I108" s="18"/>
      <c r="J108" s="19" t="s">
        <v>283</v>
      </c>
      <c r="K108" s="19" t="s">
        <v>105</v>
      </c>
      <c r="L108" s="19" t="s">
        <v>38</v>
      </c>
      <c r="M108" s="20">
        <f t="shared" si="1"/>
        <v>0</v>
      </c>
      <c r="N108" s="22"/>
      <c r="O108" s="19" t="s">
        <v>1145</v>
      </c>
      <c r="P108" s="18"/>
      <c r="Q108" s="18"/>
      <c r="R108" s="23">
        <v>0.0</v>
      </c>
      <c r="S108" s="23">
        <v>0.0</v>
      </c>
      <c r="T108" s="23">
        <f t="shared" si="2"/>
        <v>0</v>
      </c>
      <c r="U108" s="23">
        <f t="shared" si="3"/>
        <v>0</v>
      </c>
      <c r="V108" s="23">
        <f t="shared" si="4"/>
        <v>0</v>
      </c>
      <c r="W108" s="24" t="str">
        <f t="shared" si="5"/>
        <v>#DIV/0!</v>
      </c>
    </row>
    <row r="109" hidden="1">
      <c r="A109" s="15" t="s">
        <v>1279</v>
      </c>
      <c r="B109" s="18"/>
      <c r="C109" s="15" t="s">
        <v>6248</v>
      </c>
      <c r="D109" s="18"/>
      <c r="E109" s="17" t="s">
        <v>1280</v>
      </c>
      <c r="F109" s="18"/>
      <c r="G109" s="18"/>
      <c r="H109" s="15" t="s">
        <v>1281</v>
      </c>
      <c r="I109" s="18"/>
      <c r="J109" s="19" t="s">
        <v>283</v>
      </c>
      <c r="K109" s="19" t="s">
        <v>284</v>
      </c>
      <c r="L109" s="19" t="s">
        <v>38</v>
      </c>
      <c r="M109" s="20">
        <f t="shared" si="1"/>
        <v>0</v>
      </c>
      <c r="N109" s="22"/>
      <c r="O109" s="19" t="s">
        <v>1145</v>
      </c>
      <c r="P109" s="18"/>
      <c r="Q109" s="18"/>
      <c r="R109" s="23">
        <v>0.0</v>
      </c>
      <c r="S109" s="23">
        <v>0.0</v>
      </c>
      <c r="T109" s="23">
        <f t="shared" si="2"/>
        <v>0</v>
      </c>
      <c r="U109" s="23">
        <f t="shared" si="3"/>
        <v>0</v>
      </c>
      <c r="V109" s="23">
        <f t="shared" si="4"/>
        <v>0</v>
      </c>
      <c r="W109" s="24" t="str">
        <f t="shared" si="5"/>
        <v>#DIV/0!</v>
      </c>
    </row>
    <row r="110" hidden="1">
      <c r="A110" s="15" t="s">
        <v>6249</v>
      </c>
      <c r="B110" s="18"/>
      <c r="C110" s="15" t="s">
        <v>6250</v>
      </c>
      <c r="D110" s="18"/>
      <c r="E110" s="17" t="s">
        <v>6251</v>
      </c>
      <c r="F110" s="18"/>
      <c r="G110" s="18"/>
      <c r="H110" s="15" t="s">
        <v>3755</v>
      </c>
      <c r="I110" s="18"/>
      <c r="J110" s="19" t="s">
        <v>283</v>
      </c>
      <c r="K110" s="19" t="s">
        <v>284</v>
      </c>
      <c r="L110" s="19" t="s">
        <v>38</v>
      </c>
      <c r="M110" s="20">
        <f t="shared" si="1"/>
        <v>0</v>
      </c>
      <c r="N110" s="22"/>
      <c r="O110" s="19" t="s">
        <v>39</v>
      </c>
      <c r="P110" s="18"/>
      <c r="Q110" s="18"/>
      <c r="R110" s="23">
        <v>0.0</v>
      </c>
      <c r="S110" s="23">
        <v>0.0</v>
      </c>
      <c r="T110" s="23">
        <f t="shared" si="2"/>
        <v>0</v>
      </c>
      <c r="U110" s="23">
        <f t="shared" si="3"/>
        <v>0</v>
      </c>
      <c r="V110" s="23">
        <f t="shared" si="4"/>
        <v>0</v>
      </c>
      <c r="W110" s="24" t="str">
        <f t="shared" si="5"/>
        <v>#DIV/0!</v>
      </c>
    </row>
    <row r="111" hidden="1">
      <c r="A111" s="15" t="s">
        <v>1282</v>
      </c>
      <c r="B111" s="18"/>
      <c r="C111" s="15" t="s">
        <v>6252</v>
      </c>
      <c r="D111" s="18"/>
      <c r="E111" s="17" t="s">
        <v>1283</v>
      </c>
      <c r="F111" s="18"/>
      <c r="G111" s="18"/>
      <c r="H111" s="15" t="s">
        <v>1284</v>
      </c>
      <c r="I111" s="18"/>
      <c r="J111" s="19" t="s">
        <v>283</v>
      </c>
      <c r="K111" s="19" t="s">
        <v>284</v>
      </c>
      <c r="L111" s="19" t="s">
        <v>38</v>
      </c>
      <c r="M111" s="20">
        <f t="shared" si="1"/>
        <v>0</v>
      </c>
      <c r="N111" s="22"/>
      <c r="O111" s="19" t="s">
        <v>1145</v>
      </c>
      <c r="P111" s="18"/>
      <c r="Q111" s="18"/>
      <c r="R111" s="23">
        <v>0.0</v>
      </c>
      <c r="S111" s="23">
        <v>0.0</v>
      </c>
      <c r="T111" s="23">
        <f t="shared" si="2"/>
        <v>0</v>
      </c>
      <c r="U111" s="23">
        <f t="shared" si="3"/>
        <v>0</v>
      </c>
      <c r="V111" s="23">
        <f t="shared" si="4"/>
        <v>0</v>
      </c>
      <c r="W111" s="24" t="str">
        <f t="shared" si="5"/>
        <v>#DIV/0!</v>
      </c>
    </row>
    <row r="112" hidden="1">
      <c r="A112" s="15" t="s">
        <v>1285</v>
      </c>
      <c r="B112" s="18"/>
      <c r="C112" s="15" t="s">
        <v>6253</v>
      </c>
      <c r="D112" s="18"/>
      <c r="E112" s="17" t="s">
        <v>1286</v>
      </c>
      <c r="F112" s="18"/>
      <c r="G112" s="18"/>
      <c r="H112" s="15" t="s">
        <v>1287</v>
      </c>
      <c r="I112" s="18"/>
      <c r="J112" s="19" t="s">
        <v>283</v>
      </c>
      <c r="K112" s="19" t="s">
        <v>105</v>
      </c>
      <c r="L112" s="19" t="s">
        <v>38</v>
      </c>
      <c r="M112" s="20">
        <f t="shared" si="1"/>
        <v>0</v>
      </c>
      <c r="N112" s="22"/>
      <c r="O112" s="19" t="s">
        <v>1145</v>
      </c>
      <c r="P112" s="18"/>
      <c r="Q112" s="18"/>
      <c r="R112" s="23">
        <v>0.0</v>
      </c>
      <c r="S112" s="23">
        <v>0.0</v>
      </c>
      <c r="T112" s="23">
        <f t="shared" si="2"/>
        <v>0</v>
      </c>
      <c r="U112" s="23">
        <f t="shared" si="3"/>
        <v>0</v>
      </c>
      <c r="V112" s="23">
        <f t="shared" si="4"/>
        <v>0</v>
      </c>
      <c r="W112" s="24" t="str">
        <f t="shared" si="5"/>
        <v>#DIV/0!</v>
      </c>
    </row>
    <row r="113" hidden="1">
      <c r="A113" s="15" t="s">
        <v>1288</v>
      </c>
      <c r="B113" s="18"/>
      <c r="C113" s="15" t="s">
        <v>6254</v>
      </c>
      <c r="D113" s="18"/>
      <c r="E113" s="17" t="s">
        <v>1289</v>
      </c>
      <c r="F113" s="18"/>
      <c r="G113" s="18"/>
      <c r="H113" s="15" t="s">
        <v>1290</v>
      </c>
      <c r="I113" s="18"/>
      <c r="J113" s="19" t="s">
        <v>283</v>
      </c>
      <c r="K113" s="19" t="s">
        <v>105</v>
      </c>
      <c r="L113" s="19" t="s">
        <v>38</v>
      </c>
      <c r="M113" s="20">
        <f t="shared" si="1"/>
        <v>0</v>
      </c>
      <c r="N113" s="22"/>
      <c r="O113" s="19" t="s">
        <v>1145</v>
      </c>
      <c r="P113" s="18"/>
      <c r="Q113" s="18"/>
      <c r="R113" s="23">
        <v>0.0</v>
      </c>
      <c r="S113" s="23">
        <v>0.0</v>
      </c>
      <c r="T113" s="23">
        <f t="shared" si="2"/>
        <v>0</v>
      </c>
      <c r="U113" s="23">
        <f t="shared" si="3"/>
        <v>0</v>
      </c>
      <c r="V113" s="23">
        <f t="shared" si="4"/>
        <v>0</v>
      </c>
      <c r="W113" s="24" t="str">
        <f t="shared" si="5"/>
        <v>#DIV/0!</v>
      </c>
    </row>
    <row r="114" hidden="1">
      <c r="A114" s="15" t="s">
        <v>1291</v>
      </c>
      <c r="B114" s="18"/>
      <c r="C114" s="15" t="s">
        <v>6255</v>
      </c>
      <c r="D114" s="18"/>
      <c r="E114" s="17" t="s">
        <v>1292</v>
      </c>
      <c r="F114" s="18"/>
      <c r="G114" s="18"/>
      <c r="H114" s="15" t="s">
        <v>1293</v>
      </c>
      <c r="I114" s="18"/>
      <c r="J114" s="19" t="s">
        <v>283</v>
      </c>
      <c r="K114" s="19" t="s">
        <v>105</v>
      </c>
      <c r="L114" s="19" t="s">
        <v>38</v>
      </c>
      <c r="M114" s="20">
        <f t="shared" si="1"/>
        <v>0</v>
      </c>
      <c r="N114" s="22"/>
      <c r="O114" s="19" t="s">
        <v>1145</v>
      </c>
      <c r="P114" s="18"/>
      <c r="Q114" s="18"/>
      <c r="R114" s="23">
        <v>0.0</v>
      </c>
      <c r="S114" s="23">
        <v>0.0</v>
      </c>
      <c r="T114" s="23">
        <f t="shared" si="2"/>
        <v>0</v>
      </c>
      <c r="U114" s="23">
        <f t="shared" si="3"/>
        <v>0</v>
      </c>
      <c r="V114" s="23">
        <f t="shared" si="4"/>
        <v>0</v>
      </c>
      <c r="W114" s="24" t="str">
        <f t="shared" si="5"/>
        <v>#DIV/0!</v>
      </c>
    </row>
    <row r="115" hidden="1">
      <c r="A115" s="15" t="s">
        <v>1294</v>
      </c>
      <c r="B115" s="18"/>
      <c r="C115" s="15" t="s">
        <v>6256</v>
      </c>
      <c r="D115" s="18"/>
      <c r="E115" s="17" t="s">
        <v>1295</v>
      </c>
      <c r="F115" s="18"/>
      <c r="G115" s="18"/>
      <c r="H115" s="15" t="s">
        <v>1296</v>
      </c>
      <c r="I115" s="18"/>
      <c r="J115" s="19" t="s">
        <v>283</v>
      </c>
      <c r="K115" s="19" t="s">
        <v>284</v>
      </c>
      <c r="L115" s="19" t="s">
        <v>38</v>
      </c>
      <c r="M115" s="20">
        <f t="shared" si="1"/>
        <v>0</v>
      </c>
      <c r="N115" s="22"/>
      <c r="O115" s="19" t="s">
        <v>1145</v>
      </c>
      <c r="P115" s="18"/>
      <c r="Q115" s="18"/>
      <c r="R115" s="23">
        <v>0.0</v>
      </c>
      <c r="S115" s="23">
        <v>0.0</v>
      </c>
      <c r="T115" s="23">
        <f t="shared" si="2"/>
        <v>0</v>
      </c>
      <c r="U115" s="23">
        <f t="shared" si="3"/>
        <v>0</v>
      </c>
      <c r="V115" s="23">
        <f t="shared" si="4"/>
        <v>0</v>
      </c>
      <c r="W115" s="24" t="str">
        <f t="shared" si="5"/>
        <v>#DIV/0!</v>
      </c>
    </row>
    <row r="116" hidden="1">
      <c r="A116" s="15" t="s">
        <v>1297</v>
      </c>
      <c r="B116" s="18"/>
      <c r="C116" s="15" t="s">
        <v>6257</v>
      </c>
      <c r="D116" s="18"/>
      <c r="E116" s="17" t="s">
        <v>1298</v>
      </c>
      <c r="F116" s="18"/>
      <c r="G116" s="18"/>
      <c r="H116" s="15" t="s">
        <v>1299</v>
      </c>
      <c r="I116" s="18"/>
      <c r="J116" s="19" t="s">
        <v>283</v>
      </c>
      <c r="K116" s="19" t="s">
        <v>284</v>
      </c>
      <c r="L116" s="19" t="s">
        <v>38</v>
      </c>
      <c r="M116" s="20">
        <f t="shared" si="1"/>
        <v>0</v>
      </c>
      <c r="N116" s="22"/>
      <c r="O116" s="19" t="s">
        <v>1145</v>
      </c>
      <c r="P116" s="18"/>
      <c r="Q116" s="18"/>
      <c r="R116" s="23">
        <v>0.0</v>
      </c>
      <c r="S116" s="23">
        <v>0.0</v>
      </c>
      <c r="T116" s="23">
        <f t="shared" si="2"/>
        <v>0</v>
      </c>
      <c r="U116" s="23">
        <f t="shared" si="3"/>
        <v>0</v>
      </c>
      <c r="V116" s="23">
        <f t="shared" si="4"/>
        <v>0</v>
      </c>
      <c r="W116" s="24" t="str">
        <f t="shared" si="5"/>
        <v>#DIV/0!</v>
      </c>
    </row>
    <row r="117">
      <c r="A117" s="15" t="s">
        <v>704</v>
      </c>
      <c r="B117" s="15" t="s">
        <v>705</v>
      </c>
      <c r="C117" s="15" t="s">
        <v>6076</v>
      </c>
      <c r="D117" s="15" t="s">
        <v>706</v>
      </c>
      <c r="E117" s="17" t="s">
        <v>707</v>
      </c>
      <c r="F117" s="18"/>
      <c r="G117" s="15" t="s">
        <v>708</v>
      </c>
      <c r="H117" s="15" t="s">
        <v>709</v>
      </c>
      <c r="I117" s="18"/>
      <c r="J117" s="19" t="s">
        <v>36</v>
      </c>
      <c r="K117" s="33"/>
      <c r="L117" s="19" t="s">
        <v>38</v>
      </c>
      <c r="M117" s="20">
        <f t="shared" si="1"/>
        <v>177.6</v>
      </c>
      <c r="N117" s="31">
        <v>8.0</v>
      </c>
      <c r="O117" s="19" t="s">
        <v>107</v>
      </c>
      <c r="P117" s="18"/>
      <c r="Q117" s="18"/>
      <c r="R117" s="23">
        <v>2.0</v>
      </c>
      <c r="S117" s="23">
        <v>10.0</v>
      </c>
      <c r="T117" s="23">
        <f t="shared" si="2"/>
        <v>9.6</v>
      </c>
      <c r="U117" s="23">
        <f t="shared" si="3"/>
        <v>2.45</v>
      </c>
      <c r="V117" s="23">
        <f t="shared" si="4"/>
        <v>45.9375</v>
      </c>
      <c r="W117" s="24">
        <f t="shared" si="5"/>
        <v>4.8</v>
      </c>
    </row>
    <row r="118" hidden="1">
      <c r="A118" s="15" t="s">
        <v>1300</v>
      </c>
      <c r="B118" s="18"/>
      <c r="C118" s="15" t="s">
        <v>6259</v>
      </c>
      <c r="D118" s="18"/>
      <c r="E118" s="17" t="s">
        <v>1301</v>
      </c>
      <c r="F118" s="18"/>
      <c r="G118" s="18"/>
      <c r="H118" s="15" t="s">
        <v>1302</v>
      </c>
      <c r="I118" s="18"/>
      <c r="J118" s="19" t="s">
        <v>283</v>
      </c>
      <c r="K118" s="19" t="s">
        <v>105</v>
      </c>
      <c r="L118" s="19" t="s">
        <v>38</v>
      </c>
      <c r="M118" s="20">
        <f t="shared" si="1"/>
        <v>0</v>
      </c>
      <c r="N118" s="22"/>
      <c r="O118" s="19" t="s">
        <v>1145</v>
      </c>
      <c r="P118" s="18"/>
      <c r="Q118" s="18"/>
      <c r="R118" s="23">
        <v>0.0</v>
      </c>
      <c r="S118" s="23">
        <v>0.0</v>
      </c>
      <c r="T118" s="23">
        <f t="shared" si="2"/>
        <v>0</v>
      </c>
      <c r="U118" s="23">
        <f t="shared" si="3"/>
        <v>0</v>
      </c>
      <c r="V118" s="23">
        <f t="shared" si="4"/>
        <v>0</v>
      </c>
      <c r="W118" s="24" t="str">
        <f t="shared" si="5"/>
        <v>#DIV/0!</v>
      </c>
    </row>
    <row r="119" hidden="1">
      <c r="A119" s="15" t="s">
        <v>1303</v>
      </c>
      <c r="B119" s="18"/>
      <c r="C119" s="15" t="s">
        <v>6260</v>
      </c>
      <c r="D119" s="18"/>
      <c r="E119" s="17" t="s">
        <v>1304</v>
      </c>
      <c r="F119" s="18"/>
      <c r="G119" s="18"/>
      <c r="H119" s="15" t="s">
        <v>1305</v>
      </c>
      <c r="I119" s="18"/>
      <c r="J119" s="19" t="s">
        <v>283</v>
      </c>
      <c r="K119" s="19" t="s">
        <v>105</v>
      </c>
      <c r="L119" s="19" t="s">
        <v>38</v>
      </c>
      <c r="M119" s="20">
        <f t="shared" si="1"/>
        <v>0</v>
      </c>
      <c r="N119" s="22"/>
      <c r="O119" s="19" t="s">
        <v>1145</v>
      </c>
      <c r="P119" s="18"/>
      <c r="Q119" s="18"/>
      <c r="R119" s="23">
        <v>0.0</v>
      </c>
      <c r="S119" s="23">
        <v>0.0</v>
      </c>
      <c r="T119" s="23">
        <f t="shared" si="2"/>
        <v>0</v>
      </c>
      <c r="U119" s="23">
        <f t="shared" si="3"/>
        <v>0</v>
      </c>
      <c r="V119" s="23">
        <f t="shared" si="4"/>
        <v>0</v>
      </c>
      <c r="W119" s="24" t="str">
        <f t="shared" si="5"/>
        <v>#DIV/0!</v>
      </c>
    </row>
    <row r="120" hidden="1">
      <c r="A120" s="15" t="s">
        <v>1306</v>
      </c>
      <c r="B120" s="18"/>
      <c r="C120" s="15" t="s">
        <v>6261</v>
      </c>
      <c r="D120" s="18"/>
      <c r="E120" s="17" t="s">
        <v>1307</v>
      </c>
      <c r="F120" s="18"/>
      <c r="G120" s="18"/>
      <c r="H120" s="15" t="s">
        <v>1308</v>
      </c>
      <c r="I120" s="18"/>
      <c r="J120" s="19" t="s">
        <v>283</v>
      </c>
      <c r="K120" s="19" t="s">
        <v>284</v>
      </c>
      <c r="L120" s="19" t="s">
        <v>38</v>
      </c>
      <c r="M120" s="20">
        <f t="shared" si="1"/>
        <v>0</v>
      </c>
      <c r="N120" s="22"/>
      <c r="O120" s="19" t="s">
        <v>1145</v>
      </c>
      <c r="P120" s="18"/>
      <c r="Q120" s="18"/>
      <c r="R120" s="23">
        <v>0.0</v>
      </c>
      <c r="S120" s="23">
        <v>0.0</v>
      </c>
      <c r="T120" s="23">
        <f t="shared" si="2"/>
        <v>0</v>
      </c>
      <c r="U120" s="23">
        <f t="shared" si="3"/>
        <v>0</v>
      </c>
      <c r="V120" s="23">
        <f t="shared" si="4"/>
        <v>0</v>
      </c>
      <c r="W120" s="24" t="str">
        <f t="shared" si="5"/>
        <v>#DIV/0!</v>
      </c>
    </row>
    <row r="121" hidden="1">
      <c r="A121" s="15" t="s">
        <v>1309</v>
      </c>
      <c r="B121" s="18"/>
      <c r="C121" s="15" t="s">
        <v>6262</v>
      </c>
      <c r="D121" s="18"/>
      <c r="E121" s="17" t="s">
        <v>1310</v>
      </c>
      <c r="F121" s="18"/>
      <c r="G121" s="18"/>
      <c r="H121" s="15" t="s">
        <v>1311</v>
      </c>
      <c r="I121" s="18"/>
      <c r="J121" s="19" t="s">
        <v>283</v>
      </c>
      <c r="K121" s="19" t="s">
        <v>105</v>
      </c>
      <c r="L121" s="19" t="s">
        <v>38</v>
      </c>
      <c r="M121" s="20">
        <f t="shared" si="1"/>
        <v>0</v>
      </c>
      <c r="N121" s="22"/>
      <c r="O121" s="19" t="s">
        <v>1145</v>
      </c>
      <c r="P121" s="18"/>
      <c r="Q121" s="18"/>
      <c r="R121" s="23">
        <v>0.0</v>
      </c>
      <c r="S121" s="23">
        <v>0.0</v>
      </c>
      <c r="T121" s="23">
        <f t="shared" si="2"/>
        <v>0</v>
      </c>
      <c r="U121" s="23">
        <f t="shared" si="3"/>
        <v>0</v>
      </c>
      <c r="V121" s="23">
        <f t="shared" si="4"/>
        <v>0</v>
      </c>
      <c r="W121" s="24" t="str">
        <f t="shared" si="5"/>
        <v>#DIV/0!</v>
      </c>
    </row>
    <row r="122" hidden="1">
      <c r="A122" s="15" t="s">
        <v>1312</v>
      </c>
      <c r="B122" s="18"/>
      <c r="C122" s="15" t="s">
        <v>6263</v>
      </c>
      <c r="D122" s="18"/>
      <c r="E122" s="17" t="s">
        <v>1313</v>
      </c>
      <c r="F122" s="18"/>
      <c r="G122" s="18"/>
      <c r="H122" s="15" t="s">
        <v>1314</v>
      </c>
      <c r="I122" s="18"/>
      <c r="J122" s="19" t="s">
        <v>283</v>
      </c>
      <c r="K122" s="19" t="s">
        <v>284</v>
      </c>
      <c r="L122" s="19" t="s">
        <v>38</v>
      </c>
      <c r="M122" s="20">
        <f t="shared" si="1"/>
        <v>0</v>
      </c>
      <c r="N122" s="22"/>
      <c r="O122" s="19" t="s">
        <v>1145</v>
      </c>
      <c r="P122" s="18"/>
      <c r="Q122" s="18"/>
      <c r="R122" s="23">
        <v>0.0</v>
      </c>
      <c r="S122" s="23">
        <v>0.0</v>
      </c>
      <c r="T122" s="23">
        <f t="shared" si="2"/>
        <v>0</v>
      </c>
      <c r="U122" s="23">
        <f t="shared" si="3"/>
        <v>0</v>
      </c>
      <c r="V122" s="23">
        <f t="shared" si="4"/>
        <v>0</v>
      </c>
      <c r="W122" s="24" t="str">
        <f t="shared" si="5"/>
        <v>#DIV/0!</v>
      </c>
    </row>
    <row r="123" hidden="1">
      <c r="A123" s="15" t="s">
        <v>1315</v>
      </c>
      <c r="B123" s="18"/>
      <c r="C123" s="15" t="s">
        <v>6264</v>
      </c>
      <c r="D123" s="18"/>
      <c r="E123" s="17" t="s">
        <v>1316</v>
      </c>
      <c r="F123" s="18"/>
      <c r="G123" s="18"/>
      <c r="H123" s="15" t="s">
        <v>1317</v>
      </c>
      <c r="I123" s="18"/>
      <c r="J123" s="19" t="s">
        <v>283</v>
      </c>
      <c r="K123" s="19" t="s">
        <v>284</v>
      </c>
      <c r="L123" s="19" t="s">
        <v>38</v>
      </c>
      <c r="M123" s="20">
        <f t="shared" si="1"/>
        <v>0</v>
      </c>
      <c r="N123" s="22"/>
      <c r="O123" s="19" t="s">
        <v>1145</v>
      </c>
      <c r="P123" s="18"/>
      <c r="Q123" s="18"/>
      <c r="R123" s="23">
        <v>0.0</v>
      </c>
      <c r="S123" s="23">
        <v>0.0</v>
      </c>
      <c r="T123" s="23">
        <f t="shared" si="2"/>
        <v>0</v>
      </c>
      <c r="U123" s="23">
        <f t="shared" si="3"/>
        <v>0</v>
      </c>
      <c r="V123" s="23">
        <f t="shared" si="4"/>
        <v>0</v>
      </c>
      <c r="W123" s="24" t="str">
        <f t="shared" si="5"/>
        <v>#DIV/0!</v>
      </c>
    </row>
    <row r="124" hidden="1">
      <c r="A124" s="15" t="s">
        <v>1318</v>
      </c>
      <c r="B124" s="18"/>
      <c r="C124" s="15" t="s">
        <v>6265</v>
      </c>
      <c r="D124" s="18"/>
      <c r="E124" s="17" t="s">
        <v>1295</v>
      </c>
      <c r="F124" s="18"/>
      <c r="G124" s="18"/>
      <c r="H124" s="15" t="s">
        <v>1319</v>
      </c>
      <c r="I124" s="18"/>
      <c r="J124" s="19" t="s">
        <v>283</v>
      </c>
      <c r="K124" s="19" t="s">
        <v>284</v>
      </c>
      <c r="L124" s="19" t="s">
        <v>38</v>
      </c>
      <c r="M124" s="20">
        <f t="shared" si="1"/>
        <v>0</v>
      </c>
      <c r="N124" s="22"/>
      <c r="O124" s="19" t="s">
        <v>1145</v>
      </c>
      <c r="P124" s="18"/>
      <c r="Q124" s="18"/>
      <c r="R124" s="23">
        <v>0.0</v>
      </c>
      <c r="S124" s="23">
        <v>0.0</v>
      </c>
      <c r="T124" s="23">
        <f t="shared" si="2"/>
        <v>0</v>
      </c>
      <c r="U124" s="23">
        <f t="shared" si="3"/>
        <v>0</v>
      </c>
      <c r="V124" s="23">
        <f t="shared" si="4"/>
        <v>0</v>
      </c>
      <c r="W124" s="24" t="str">
        <f t="shared" si="5"/>
        <v>#DIV/0!</v>
      </c>
    </row>
    <row r="125" hidden="1">
      <c r="A125" s="15" t="s">
        <v>1320</v>
      </c>
      <c r="B125" s="18"/>
      <c r="C125" s="15" t="s">
        <v>6266</v>
      </c>
      <c r="D125" s="18"/>
      <c r="E125" s="17" t="s">
        <v>1289</v>
      </c>
      <c r="F125" s="18"/>
      <c r="G125" s="18"/>
      <c r="H125" s="15" t="s">
        <v>1321</v>
      </c>
      <c r="I125" s="18"/>
      <c r="J125" s="19" t="s">
        <v>283</v>
      </c>
      <c r="K125" s="19" t="s">
        <v>105</v>
      </c>
      <c r="L125" s="19" t="s">
        <v>38</v>
      </c>
      <c r="M125" s="20">
        <f t="shared" si="1"/>
        <v>0</v>
      </c>
      <c r="N125" s="22"/>
      <c r="O125" s="19" t="s">
        <v>1145</v>
      </c>
      <c r="P125" s="18"/>
      <c r="Q125" s="18"/>
      <c r="R125" s="23">
        <v>0.0</v>
      </c>
      <c r="S125" s="23">
        <v>0.0</v>
      </c>
      <c r="T125" s="23">
        <f t="shared" si="2"/>
        <v>0</v>
      </c>
      <c r="U125" s="23">
        <f t="shared" si="3"/>
        <v>0</v>
      </c>
      <c r="V125" s="23">
        <f t="shared" si="4"/>
        <v>0</v>
      </c>
      <c r="W125" s="24" t="str">
        <f t="shared" si="5"/>
        <v>#DIV/0!</v>
      </c>
    </row>
    <row r="126" hidden="1">
      <c r="A126" s="15" t="s">
        <v>1322</v>
      </c>
      <c r="B126" s="18"/>
      <c r="C126" s="15" t="s">
        <v>6267</v>
      </c>
      <c r="D126" s="18"/>
      <c r="E126" s="17" t="s">
        <v>1292</v>
      </c>
      <c r="F126" s="18"/>
      <c r="G126" s="18"/>
      <c r="H126" s="15" t="s">
        <v>1323</v>
      </c>
      <c r="I126" s="18"/>
      <c r="J126" s="19" t="s">
        <v>283</v>
      </c>
      <c r="K126" s="19" t="s">
        <v>105</v>
      </c>
      <c r="L126" s="19" t="s">
        <v>38</v>
      </c>
      <c r="M126" s="20">
        <f t="shared" si="1"/>
        <v>0</v>
      </c>
      <c r="N126" s="22"/>
      <c r="O126" s="19" t="s">
        <v>1145</v>
      </c>
      <c r="P126" s="18"/>
      <c r="Q126" s="18"/>
      <c r="R126" s="23">
        <v>0.0</v>
      </c>
      <c r="S126" s="23">
        <v>0.0</v>
      </c>
      <c r="T126" s="23">
        <f t="shared" si="2"/>
        <v>0</v>
      </c>
      <c r="U126" s="23">
        <f t="shared" si="3"/>
        <v>0</v>
      </c>
      <c r="V126" s="23">
        <f t="shared" si="4"/>
        <v>0</v>
      </c>
      <c r="W126" s="24" t="str">
        <f t="shared" si="5"/>
        <v>#DIV/0!</v>
      </c>
    </row>
    <row r="127" hidden="1">
      <c r="A127" s="15" t="s">
        <v>1324</v>
      </c>
      <c r="B127" s="18"/>
      <c r="C127" s="15" t="s">
        <v>6268</v>
      </c>
      <c r="D127" s="18"/>
      <c r="E127" s="17" t="s">
        <v>1298</v>
      </c>
      <c r="F127" s="18"/>
      <c r="G127" s="18"/>
      <c r="H127" s="15" t="s">
        <v>1325</v>
      </c>
      <c r="I127" s="18"/>
      <c r="J127" s="19" t="s">
        <v>283</v>
      </c>
      <c r="K127" s="19" t="s">
        <v>284</v>
      </c>
      <c r="L127" s="19" t="s">
        <v>38</v>
      </c>
      <c r="M127" s="20">
        <f t="shared" si="1"/>
        <v>0</v>
      </c>
      <c r="N127" s="22"/>
      <c r="O127" s="19" t="s">
        <v>1145</v>
      </c>
      <c r="P127" s="18"/>
      <c r="Q127" s="18"/>
      <c r="R127" s="23">
        <v>0.0</v>
      </c>
      <c r="S127" s="23">
        <v>0.0</v>
      </c>
      <c r="T127" s="23">
        <f t="shared" si="2"/>
        <v>0</v>
      </c>
      <c r="U127" s="23">
        <f t="shared" si="3"/>
        <v>0</v>
      </c>
      <c r="V127" s="23">
        <f t="shared" si="4"/>
        <v>0</v>
      </c>
      <c r="W127" s="24" t="str">
        <f t="shared" si="5"/>
        <v>#DIV/0!</v>
      </c>
    </row>
    <row r="128" hidden="1">
      <c r="A128" s="15" t="s">
        <v>6269</v>
      </c>
      <c r="B128" s="18"/>
      <c r="C128" s="15" t="s">
        <v>6270</v>
      </c>
      <c r="D128" s="18"/>
      <c r="E128" s="17" t="s">
        <v>1354</v>
      </c>
      <c r="F128" s="18"/>
      <c r="G128" s="18"/>
      <c r="H128" s="15" t="s">
        <v>3743</v>
      </c>
      <c r="I128" s="18"/>
      <c r="J128" s="19" t="s">
        <v>283</v>
      </c>
      <c r="K128" s="19" t="s">
        <v>37</v>
      </c>
      <c r="L128" s="19" t="s">
        <v>38</v>
      </c>
      <c r="M128" s="20">
        <f t="shared" si="1"/>
        <v>0</v>
      </c>
      <c r="N128" s="22"/>
      <c r="O128" s="19" t="s">
        <v>39</v>
      </c>
      <c r="P128" s="18"/>
      <c r="Q128" s="18"/>
      <c r="R128" s="23">
        <v>0.0</v>
      </c>
      <c r="S128" s="23">
        <v>0.0</v>
      </c>
      <c r="T128" s="23">
        <f t="shared" si="2"/>
        <v>0</v>
      </c>
      <c r="U128" s="23">
        <f t="shared" si="3"/>
        <v>0</v>
      </c>
      <c r="V128" s="23">
        <f t="shared" si="4"/>
        <v>0</v>
      </c>
      <c r="W128" s="24" t="str">
        <f t="shared" si="5"/>
        <v>#DIV/0!</v>
      </c>
    </row>
    <row r="129">
      <c r="A129" s="15" t="s">
        <v>385</v>
      </c>
      <c r="B129" s="15" t="s">
        <v>386</v>
      </c>
      <c r="C129" s="15" t="s">
        <v>7352</v>
      </c>
      <c r="D129" s="15" t="s">
        <v>7353</v>
      </c>
      <c r="E129" s="17" t="s">
        <v>388</v>
      </c>
      <c r="F129" s="18"/>
      <c r="G129" s="18"/>
      <c r="H129" s="15" t="s">
        <v>389</v>
      </c>
      <c r="I129" s="18"/>
      <c r="J129" s="19" t="s">
        <v>36</v>
      </c>
      <c r="K129" s="33"/>
      <c r="L129" s="19" t="s">
        <v>38</v>
      </c>
      <c r="M129" s="20">
        <f t="shared" si="1"/>
        <v>9252.96</v>
      </c>
      <c r="N129" s="31">
        <v>2.0</v>
      </c>
      <c r="O129" s="19" t="s">
        <v>107</v>
      </c>
      <c r="P129" s="18"/>
      <c r="Q129" s="18"/>
      <c r="R129" s="23">
        <v>70.0</v>
      </c>
      <c r="S129" s="23">
        <v>521.0</v>
      </c>
      <c r="T129" s="23">
        <f t="shared" si="2"/>
        <v>500.16</v>
      </c>
      <c r="U129" s="23">
        <f t="shared" si="3"/>
        <v>85.75</v>
      </c>
      <c r="V129" s="23">
        <f t="shared" si="4"/>
        <v>1607.8125</v>
      </c>
      <c r="W129" s="24">
        <f t="shared" si="5"/>
        <v>7.145142857</v>
      </c>
    </row>
    <row r="130" hidden="1">
      <c r="A130" s="15" t="s">
        <v>1326</v>
      </c>
      <c r="B130" s="18"/>
      <c r="C130" s="15" t="s">
        <v>6272</v>
      </c>
      <c r="D130" s="18"/>
      <c r="E130" s="17" t="s">
        <v>1327</v>
      </c>
      <c r="F130" s="18"/>
      <c r="G130" s="18"/>
      <c r="H130" s="15" t="s">
        <v>1328</v>
      </c>
      <c r="I130" s="18"/>
      <c r="J130" s="19" t="s">
        <v>283</v>
      </c>
      <c r="K130" s="19" t="s">
        <v>105</v>
      </c>
      <c r="L130" s="19" t="s">
        <v>38</v>
      </c>
      <c r="M130" s="20">
        <f t="shared" si="1"/>
        <v>0</v>
      </c>
      <c r="N130" s="22"/>
      <c r="O130" s="19" t="s">
        <v>1145</v>
      </c>
      <c r="P130" s="18"/>
      <c r="Q130" s="18"/>
      <c r="R130" s="23">
        <v>0.0</v>
      </c>
      <c r="S130" s="23">
        <v>0.0</v>
      </c>
      <c r="T130" s="23">
        <f t="shared" si="2"/>
        <v>0</v>
      </c>
      <c r="U130" s="23">
        <f t="shared" si="3"/>
        <v>0</v>
      </c>
      <c r="V130" s="23">
        <f t="shared" si="4"/>
        <v>0</v>
      </c>
      <c r="W130" s="24" t="str">
        <f t="shared" si="5"/>
        <v>#DIV/0!</v>
      </c>
    </row>
    <row r="131" hidden="1">
      <c r="A131" s="15" t="s">
        <v>1329</v>
      </c>
      <c r="B131" s="18"/>
      <c r="C131" s="15" t="s">
        <v>6273</v>
      </c>
      <c r="D131" s="18"/>
      <c r="E131" s="17" t="s">
        <v>1330</v>
      </c>
      <c r="F131" s="18"/>
      <c r="G131" s="18"/>
      <c r="H131" s="15" t="s">
        <v>1331</v>
      </c>
      <c r="I131" s="18"/>
      <c r="J131" s="19" t="s">
        <v>283</v>
      </c>
      <c r="K131" s="19" t="s">
        <v>37</v>
      </c>
      <c r="L131" s="19" t="s">
        <v>38</v>
      </c>
      <c r="M131" s="20">
        <f t="shared" si="1"/>
        <v>0</v>
      </c>
      <c r="N131" s="22"/>
      <c r="O131" s="19" t="s">
        <v>1145</v>
      </c>
      <c r="P131" s="18"/>
      <c r="Q131" s="18"/>
      <c r="R131" s="23">
        <v>0.0</v>
      </c>
      <c r="S131" s="23">
        <v>0.0</v>
      </c>
      <c r="T131" s="23">
        <f t="shared" si="2"/>
        <v>0</v>
      </c>
      <c r="U131" s="23">
        <f t="shared" si="3"/>
        <v>0</v>
      </c>
      <c r="V131" s="23">
        <f t="shared" si="4"/>
        <v>0</v>
      </c>
      <c r="W131" s="24" t="str">
        <f t="shared" si="5"/>
        <v>#DIV/0!</v>
      </c>
    </row>
    <row r="132" hidden="1">
      <c r="A132" s="15" t="s">
        <v>1332</v>
      </c>
      <c r="B132" s="18"/>
      <c r="C132" s="15" t="s">
        <v>6274</v>
      </c>
      <c r="D132" s="18"/>
      <c r="E132" s="17" t="s">
        <v>1333</v>
      </c>
      <c r="F132" s="18"/>
      <c r="G132" s="18"/>
      <c r="H132" s="15" t="s">
        <v>1334</v>
      </c>
      <c r="I132" s="18"/>
      <c r="J132" s="19" t="s">
        <v>283</v>
      </c>
      <c r="K132" s="19" t="s">
        <v>105</v>
      </c>
      <c r="L132" s="19" t="s">
        <v>38</v>
      </c>
      <c r="M132" s="20">
        <f t="shared" si="1"/>
        <v>0</v>
      </c>
      <c r="N132" s="22"/>
      <c r="O132" s="19" t="s">
        <v>1145</v>
      </c>
      <c r="P132" s="18"/>
      <c r="Q132" s="18"/>
      <c r="R132" s="23">
        <v>0.0</v>
      </c>
      <c r="S132" s="23">
        <v>0.0</v>
      </c>
      <c r="T132" s="23">
        <f t="shared" si="2"/>
        <v>0</v>
      </c>
      <c r="U132" s="23">
        <f t="shared" si="3"/>
        <v>0</v>
      </c>
      <c r="V132" s="23">
        <f t="shared" si="4"/>
        <v>0</v>
      </c>
      <c r="W132" s="24" t="str">
        <f t="shared" si="5"/>
        <v>#DIV/0!</v>
      </c>
    </row>
    <row r="133" hidden="1">
      <c r="A133" s="15" t="s">
        <v>1335</v>
      </c>
      <c r="B133" s="18"/>
      <c r="C133" s="15" t="s">
        <v>6275</v>
      </c>
      <c r="D133" s="18"/>
      <c r="E133" s="17" t="s">
        <v>1336</v>
      </c>
      <c r="F133" s="18"/>
      <c r="G133" s="18"/>
      <c r="H133" s="15" t="s">
        <v>1337</v>
      </c>
      <c r="I133" s="18"/>
      <c r="J133" s="19" t="s">
        <v>283</v>
      </c>
      <c r="K133" s="19" t="s">
        <v>105</v>
      </c>
      <c r="L133" s="19" t="s">
        <v>38</v>
      </c>
      <c r="M133" s="20">
        <f t="shared" si="1"/>
        <v>0</v>
      </c>
      <c r="N133" s="22"/>
      <c r="O133" s="19" t="s">
        <v>1145</v>
      </c>
      <c r="P133" s="18"/>
      <c r="Q133" s="18"/>
      <c r="R133" s="23">
        <v>0.0</v>
      </c>
      <c r="S133" s="23">
        <v>0.0</v>
      </c>
      <c r="T133" s="23">
        <f t="shared" si="2"/>
        <v>0</v>
      </c>
      <c r="U133" s="23">
        <f t="shared" si="3"/>
        <v>0</v>
      </c>
      <c r="V133" s="23">
        <f t="shared" si="4"/>
        <v>0</v>
      </c>
      <c r="W133" s="24" t="str">
        <f t="shared" si="5"/>
        <v>#DIV/0!</v>
      </c>
    </row>
    <row r="134" hidden="1">
      <c r="A134" s="15" t="s">
        <v>1338</v>
      </c>
      <c r="B134" s="18"/>
      <c r="C134" s="15" t="s">
        <v>6276</v>
      </c>
      <c r="D134" s="18"/>
      <c r="E134" s="17" t="s">
        <v>1339</v>
      </c>
      <c r="F134" s="18"/>
      <c r="G134" s="18"/>
      <c r="H134" s="15" t="s">
        <v>1340</v>
      </c>
      <c r="I134" s="18"/>
      <c r="J134" s="19" t="s">
        <v>283</v>
      </c>
      <c r="K134" s="19" t="s">
        <v>105</v>
      </c>
      <c r="L134" s="19" t="s">
        <v>38</v>
      </c>
      <c r="M134" s="20">
        <f t="shared" si="1"/>
        <v>0</v>
      </c>
      <c r="N134" s="22"/>
      <c r="O134" s="19" t="s">
        <v>1145</v>
      </c>
      <c r="P134" s="18"/>
      <c r="Q134" s="18"/>
      <c r="R134" s="23">
        <v>0.0</v>
      </c>
      <c r="S134" s="23">
        <v>0.0</v>
      </c>
      <c r="T134" s="23">
        <f t="shared" si="2"/>
        <v>0</v>
      </c>
      <c r="U134" s="23">
        <f t="shared" si="3"/>
        <v>0</v>
      </c>
      <c r="V134" s="23">
        <f t="shared" si="4"/>
        <v>0</v>
      </c>
      <c r="W134" s="24" t="str">
        <f t="shared" si="5"/>
        <v>#DIV/0!</v>
      </c>
    </row>
    <row r="135" hidden="1">
      <c r="A135" s="15" t="s">
        <v>1341</v>
      </c>
      <c r="B135" s="18"/>
      <c r="C135" s="15" t="s">
        <v>6277</v>
      </c>
      <c r="D135" s="18"/>
      <c r="E135" s="17" t="s">
        <v>1342</v>
      </c>
      <c r="F135" s="18"/>
      <c r="G135" s="18"/>
      <c r="H135" s="15" t="s">
        <v>1343</v>
      </c>
      <c r="I135" s="18"/>
      <c r="J135" s="19" t="s">
        <v>283</v>
      </c>
      <c r="K135" s="19" t="s">
        <v>284</v>
      </c>
      <c r="L135" s="19" t="s">
        <v>38</v>
      </c>
      <c r="M135" s="20">
        <f t="shared" si="1"/>
        <v>0</v>
      </c>
      <c r="N135" s="22"/>
      <c r="O135" s="19" t="s">
        <v>1145</v>
      </c>
      <c r="P135" s="18"/>
      <c r="Q135" s="18"/>
      <c r="R135" s="23">
        <v>0.0</v>
      </c>
      <c r="S135" s="23">
        <v>0.0</v>
      </c>
      <c r="T135" s="23">
        <f t="shared" si="2"/>
        <v>0</v>
      </c>
      <c r="U135" s="23">
        <f t="shared" si="3"/>
        <v>0</v>
      </c>
      <c r="V135" s="23">
        <f t="shared" si="4"/>
        <v>0</v>
      </c>
      <c r="W135" s="24" t="str">
        <f t="shared" si="5"/>
        <v>#DIV/0!</v>
      </c>
    </row>
    <row r="136" hidden="1">
      <c r="A136" s="15" t="s">
        <v>1344</v>
      </c>
      <c r="B136" s="18"/>
      <c r="C136" s="15" t="s">
        <v>6278</v>
      </c>
      <c r="D136" s="18"/>
      <c r="E136" s="17" t="s">
        <v>1342</v>
      </c>
      <c r="F136" s="18"/>
      <c r="G136" s="18"/>
      <c r="H136" s="15" t="s">
        <v>1345</v>
      </c>
      <c r="I136" s="18"/>
      <c r="J136" s="19" t="s">
        <v>283</v>
      </c>
      <c r="K136" s="19" t="s">
        <v>284</v>
      </c>
      <c r="L136" s="19" t="s">
        <v>38</v>
      </c>
      <c r="M136" s="20">
        <f t="shared" si="1"/>
        <v>0</v>
      </c>
      <c r="N136" s="22"/>
      <c r="O136" s="19" t="s">
        <v>1145</v>
      </c>
      <c r="P136" s="18"/>
      <c r="Q136" s="18"/>
      <c r="R136" s="23">
        <v>0.0</v>
      </c>
      <c r="S136" s="23">
        <v>0.0</v>
      </c>
      <c r="T136" s="23">
        <f t="shared" si="2"/>
        <v>0</v>
      </c>
      <c r="U136" s="23">
        <f t="shared" si="3"/>
        <v>0</v>
      </c>
      <c r="V136" s="23">
        <f t="shared" si="4"/>
        <v>0</v>
      </c>
      <c r="W136" s="24" t="str">
        <f t="shared" si="5"/>
        <v>#DIV/0!</v>
      </c>
    </row>
    <row r="137" hidden="1">
      <c r="A137" s="15" t="s">
        <v>1346</v>
      </c>
      <c r="B137" s="18"/>
      <c r="C137" s="15" t="s">
        <v>6279</v>
      </c>
      <c r="D137" s="18"/>
      <c r="E137" s="17" t="s">
        <v>1280</v>
      </c>
      <c r="F137" s="18"/>
      <c r="G137" s="18"/>
      <c r="H137" s="15" t="s">
        <v>1347</v>
      </c>
      <c r="I137" s="18"/>
      <c r="J137" s="19" t="s">
        <v>283</v>
      </c>
      <c r="K137" s="19" t="s">
        <v>37</v>
      </c>
      <c r="L137" s="19" t="s">
        <v>38</v>
      </c>
      <c r="M137" s="20">
        <f t="shared" si="1"/>
        <v>0</v>
      </c>
      <c r="N137" s="22"/>
      <c r="O137" s="19" t="s">
        <v>1145</v>
      </c>
      <c r="P137" s="18"/>
      <c r="Q137" s="18"/>
      <c r="R137" s="23">
        <v>0.0</v>
      </c>
      <c r="S137" s="23">
        <v>0.0</v>
      </c>
      <c r="T137" s="23">
        <f t="shared" si="2"/>
        <v>0</v>
      </c>
      <c r="U137" s="23">
        <f t="shared" si="3"/>
        <v>0</v>
      </c>
      <c r="V137" s="23">
        <f t="shared" si="4"/>
        <v>0</v>
      </c>
      <c r="W137" s="24" t="str">
        <f t="shared" si="5"/>
        <v>#DIV/0!</v>
      </c>
    </row>
    <row r="138">
      <c r="A138" s="15" t="s">
        <v>332</v>
      </c>
      <c r="B138" s="15" t="s">
        <v>333</v>
      </c>
      <c r="C138" s="15" t="s">
        <v>6077</v>
      </c>
      <c r="D138" s="15" t="s">
        <v>334</v>
      </c>
      <c r="E138" s="17" t="s">
        <v>335</v>
      </c>
      <c r="F138" s="18"/>
      <c r="G138" s="15" t="s">
        <v>336</v>
      </c>
      <c r="H138" s="15" t="s">
        <v>337</v>
      </c>
      <c r="I138" s="18"/>
      <c r="J138" s="19" t="s">
        <v>36</v>
      </c>
      <c r="K138" s="19" t="s">
        <v>60</v>
      </c>
      <c r="L138" s="19" t="s">
        <v>188</v>
      </c>
      <c r="M138" s="20">
        <f t="shared" si="1"/>
        <v>1260.96</v>
      </c>
      <c r="N138" s="31">
        <v>6.0</v>
      </c>
      <c r="O138" s="19" t="s">
        <v>107</v>
      </c>
      <c r="P138" s="18"/>
      <c r="Q138" s="18"/>
      <c r="R138" s="23">
        <v>9.0</v>
      </c>
      <c r="S138" s="23">
        <v>71.0</v>
      </c>
      <c r="T138" s="23">
        <f t="shared" si="2"/>
        <v>68.16</v>
      </c>
      <c r="U138" s="23">
        <f t="shared" si="3"/>
        <v>11.025</v>
      </c>
      <c r="V138" s="23">
        <f t="shared" si="4"/>
        <v>206.71875</v>
      </c>
      <c r="W138" s="24">
        <f t="shared" si="5"/>
        <v>7.573333333</v>
      </c>
    </row>
    <row r="139" hidden="1">
      <c r="A139" s="15" t="s">
        <v>6281</v>
      </c>
      <c r="B139" s="18"/>
      <c r="C139" s="15" t="s">
        <v>6282</v>
      </c>
      <c r="D139" s="18"/>
      <c r="E139" s="17" t="s">
        <v>6283</v>
      </c>
      <c r="F139" s="18"/>
      <c r="G139" s="18"/>
      <c r="H139" s="15" t="s">
        <v>3737</v>
      </c>
      <c r="I139" s="18"/>
      <c r="J139" s="19" t="s">
        <v>283</v>
      </c>
      <c r="K139" s="19" t="s">
        <v>284</v>
      </c>
      <c r="L139" s="19" t="s">
        <v>38</v>
      </c>
      <c r="M139" s="20">
        <f t="shared" si="1"/>
        <v>0</v>
      </c>
      <c r="N139" s="22"/>
      <c r="O139" s="19" t="s">
        <v>39</v>
      </c>
      <c r="P139" s="18"/>
      <c r="Q139" s="18"/>
      <c r="R139" s="23">
        <v>0.0</v>
      </c>
      <c r="S139" s="23">
        <v>0.0</v>
      </c>
      <c r="T139" s="23">
        <f t="shared" si="2"/>
        <v>0</v>
      </c>
      <c r="U139" s="23">
        <f t="shared" si="3"/>
        <v>0</v>
      </c>
      <c r="V139" s="23">
        <f t="shared" si="4"/>
        <v>0</v>
      </c>
      <c r="W139" s="24" t="str">
        <f t="shared" si="5"/>
        <v>#DIV/0!</v>
      </c>
    </row>
    <row r="140" hidden="1">
      <c r="A140" s="15" t="s">
        <v>1348</v>
      </c>
      <c r="B140" s="18"/>
      <c r="C140" s="15" t="s">
        <v>6284</v>
      </c>
      <c r="D140" s="18"/>
      <c r="E140" s="17" t="s">
        <v>1280</v>
      </c>
      <c r="F140" s="18"/>
      <c r="G140" s="18"/>
      <c r="H140" s="15" t="s">
        <v>1349</v>
      </c>
      <c r="I140" s="18"/>
      <c r="J140" s="19" t="s">
        <v>283</v>
      </c>
      <c r="K140" s="19" t="s">
        <v>37</v>
      </c>
      <c r="L140" s="19" t="s">
        <v>38</v>
      </c>
      <c r="M140" s="20">
        <f t="shared" si="1"/>
        <v>0</v>
      </c>
      <c r="N140" s="22"/>
      <c r="O140" s="19" t="s">
        <v>1145</v>
      </c>
      <c r="P140" s="18"/>
      <c r="Q140" s="18"/>
      <c r="R140" s="23">
        <v>0.0</v>
      </c>
      <c r="S140" s="23">
        <v>0.0</v>
      </c>
      <c r="T140" s="23">
        <f t="shared" si="2"/>
        <v>0</v>
      </c>
      <c r="U140" s="23">
        <f t="shared" si="3"/>
        <v>0</v>
      </c>
      <c r="V140" s="23">
        <f t="shared" si="4"/>
        <v>0</v>
      </c>
      <c r="W140" s="24" t="str">
        <f t="shared" si="5"/>
        <v>#DIV/0!</v>
      </c>
    </row>
    <row r="141" hidden="1">
      <c r="A141" s="15" t="s">
        <v>1350</v>
      </c>
      <c r="B141" s="18"/>
      <c r="C141" s="15" t="s">
        <v>6285</v>
      </c>
      <c r="D141" s="18"/>
      <c r="E141" s="17" t="s">
        <v>1351</v>
      </c>
      <c r="F141" s="18"/>
      <c r="G141" s="18"/>
      <c r="H141" s="15" t="s">
        <v>1352</v>
      </c>
      <c r="I141" s="18"/>
      <c r="J141" s="19" t="s">
        <v>283</v>
      </c>
      <c r="K141" s="19" t="s">
        <v>37</v>
      </c>
      <c r="L141" s="19" t="s">
        <v>38</v>
      </c>
      <c r="M141" s="20">
        <f t="shared" si="1"/>
        <v>0</v>
      </c>
      <c r="N141" s="22"/>
      <c r="O141" s="19" t="s">
        <v>1145</v>
      </c>
      <c r="P141" s="18"/>
      <c r="Q141" s="18"/>
      <c r="R141" s="23">
        <v>0.0</v>
      </c>
      <c r="S141" s="23">
        <v>0.0</v>
      </c>
      <c r="T141" s="23">
        <f t="shared" si="2"/>
        <v>0</v>
      </c>
      <c r="U141" s="23">
        <f t="shared" si="3"/>
        <v>0</v>
      </c>
      <c r="V141" s="23">
        <f t="shared" si="4"/>
        <v>0</v>
      </c>
      <c r="W141" s="24" t="str">
        <f t="shared" si="5"/>
        <v>#DIV/0!</v>
      </c>
    </row>
    <row r="142" hidden="1">
      <c r="A142" s="15" t="s">
        <v>1353</v>
      </c>
      <c r="B142" s="18"/>
      <c r="C142" s="15" t="s">
        <v>6286</v>
      </c>
      <c r="D142" s="18"/>
      <c r="E142" s="17" t="s">
        <v>1354</v>
      </c>
      <c r="F142" s="18"/>
      <c r="G142" s="18"/>
      <c r="H142" s="15" t="s">
        <v>1355</v>
      </c>
      <c r="I142" s="18"/>
      <c r="J142" s="19" t="s">
        <v>283</v>
      </c>
      <c r="K142" s="19" t="s">
        <v>37</v>
      </c>
      <c r="L142" s="19" t="s">
        <v>38</v>
      </c>
      <c r="M142" s="20">
        <f t="shared" si="1"/>
        <v>0</v>
      </c>
      <c r="N142" s="22"/>
      <c r="O142" s="19" t="s">
        <v>1145</v>
      </c>
      <c r="P142" s="18"/>
      <c r="Q142" s="18"/>
      <c r="R142" s="23">
        <v>0.0</v>
      </c>
      <c r="S142" s="23">
        <v>0.0</v>
      </c>
      <c r="T142" s="23">
        <f t="shared" si="2"/>
        <v>0</v>
      </c>
      <c r="U142" s="23">
        <f t="shared" si="3"/>
        <v>0</v>
      </c>
      <c r="V142" s="23">
        <f t="shared" si="4"/>
        <v>0</v>
      </c>
      <c r="W142" s="24" t="str">
        <f t="shared" si="5"/>
        <v>#DIV/0!</v>
      </c>
    </row>
    <row r="143">
      <c r="A143" s="15" t="s">
        <v>183</v>
      </c>
      <c r="B143" s="15" t="s">
        <v>184</v>
      </c>
      <c r="C143" s="15" t="s">
        <v>6009</v>
      </c>
      <c r="D143" s="15" t="s">
        <v>185</v>
      </c>
      <c r="E143" s="17" t="s">
        <v>186</v>
      </c>
      <c r="F143" s="18"/>
      <c r="G143" s="18"/>
      <c r="H143" s="15" t="s">
        <v>187</v>
      </c>
      <c r="I143" s="18"/>
      <c r="J143" s="19" t="s">
        <v>36</v>
      </c>
      <c r="K143" s="19" t="s">
        <v>60</v>
      </c>
      <c r="L143" s="19" t="s">
        <v>188</v>
      </c>
      <c r="M143" s="20">
        <f t="shared" si="1"/>
        <v>3090.24</v>
      </c>
      <c r="N143" s="31">
        <v>4.0</v>
      </c>
      <c r="O143" s="19" t="s">
        <v>107</v>
      </c>
      <c r="P143" s="18"/>
      <c r="Q143" s="18"/>
      <c r="R143" s="23">
        <v>14.0</v>
      </c>
      <c r="S143" s="23">
        <v>174.0</v>
      </c>
      <c r="T143" s="23">
        <f t="shared" si="2"/>
        <v>167.04</v>
      </c>
      <c r="U143" s="23">
        <f t="shared" si="3"/>
        <v>17.15</v>
      </c>
      <c r="V143" s="23">
        <f t="shared" si="4"/>
        <v>321.5625</v>
      </c>
      <c r="W143" s="24">
        <f t="shared" si="5"/>
        <v>11.93142857</v>
      </c>
    </row>
    <row r="144" hidden="1">
      <c r="A144" s="15" t="s">
        <v>6288</v>
      </c>
      <c r="B144" s="18"/>
      <c r="C144" s="15" t="s">
        <v>6289</v>
      </c>
      <c r="D144" s="18"/>
      <c r="E144" s="17" t="s">
        <v>6290</v>
      </c>
      <c r="F144" s="18"/>
      <c r="G144" s="18"/>
      <c r="H144" s="15" t="s">
        <v>4950</v>
      </c>
      <c r="I144" s="18"/>
      <c r="J144" s="19" t="s">
        <v>283</v>
      </c>
      <c r="K144" s="19" t="s">
        <v>402</v>
      </c>
      <c r="L144" s="19" t="s">
        <v>38</v>
      </c>
      <c r="M144" s="20">
        <f t="shared" si="1"/>
        <v>0</v>
      </c>
      <c r="N144" s="22"/>
      <c r="O144" s="19" t="s">
        <v>1145</v>
      </c>
      <c r="P144" s="18"/>
      <c r="Q144" s="18"/>
      <c r="R144" s="23">
        <v>0.0</v>
      </c>
      <c r="S144" s="23">
        <v>0.0</v>
      </c>
      <c r="T144" s="23">
        <f t="shared" si="2"/>
        <v>0</v>
      </c>
      <c r="U144" s="23">
        <f t="shared" si="3"/>
        <v>0</v>
      </c>
      <c r="V144" s="23">
        <f t="shared" si="4"/>
        <v>0</v>
      </c>
      <c r="W144" s="24" t="str">
        <f t="shared" si="5"/>
        <v>#DIV/0!</v>
      </c>
    </row>
    <row r="145">
      <c r="A145" s="15" t="s">
        <v>223</v>
      </c>
      <c r="B145" s="15" t="s">
        <v>224</v>
      </c>
      <c r="C145" s="15" t="s">
        <v>6078</v>
      </c>
      <c r="D145" s="15" t="s">
        <v>225</v>
      </c>
      <c r="E145" s="17" t="s">
        <v>226</v>
      </c>
      <c r="F145" s="18"/>
      <c r="G145" s="15" t="s">
        <v>227</v>
      </c>
      <c r="H145" s="15" t="s">
        <v>228</v>
      </c>
      <c r="I145" s="18"/>
      <c r="J145" s="19" t="s">
        <v>36</v>
      </c>
      <c r="K145" s="19" t="s">
        <v>60</v>
      </c>
      <c r="L145" s="19" t="s">
        <v>188</v>
      </c>
      <c r="M145" s="20">
        <f t="shared" si="1"/>
        <v>355.2</v>
      </c>
      <c r="N145" s="31">
        <v>6.0</v>
      </c>
      <c r="O145" s="19" t="s">
        <v>107</v>
      </c>
      <c r="P145" s="18"/>
      <c r="Q145" s="18"/>
      <c r="R145" s="23">
        <v>2.0</v>
      </c>
      <c r="S145" s="23">
        <v>20.0</v>
      </c>
      <c r="T145" s="23">
        <f t="shared" si="2"/>
        <v>19.2</v>
      </c>
      <c r="U145" s="23">
        <f t="shared" si="3"/>
        <v>2.45</v>
      </c>
      <c r="V145" s="23">
        <f t="shared" si="4"/>
        <v>45.9375</v>
      </c>
      <c r="W145" s="24">
        <f t="shared" si="5"/>
        <v>9.6</v>
      </c>
    </row>
    <row r="146">
      <c r="A146" s="15" t="s">
        <v>1024</v>
      </c>
      <c r="B146" s="15" t="s">
        <v>1025</v>
      </c>
      <c r="C146" s="15" t="s">
        <v>6010</v>
      </c>
      <c r="D146" s="15" t="s">
        <v>1026</v>
      </c>
      <c r="E146" s="17" t="s">
        <v>1027</v>
      </c>
      <c r="F146" s="18"/>
      <c r="G146" s="15" t="s">
        <v>1028</v>
      </c>
      <c r="H146" s="15" t="s">
        <v>1029</v>
      </c>
      <c r="I146" s="18"/>
      <c r="J146" s="19" t="s">
        <v>36</v>
      </c>
      <c r="K146" s="33"/>
      <c r="L146" s="19" t="s">
        <v>38</v>
      </c>
      <c r="M146" s="20">
        <f t="shared" si="1"/>
        <v>390.72</v>
      </c>
      <c r="N146" s="31">
        <v>6.0</v>
      </c>
      <c r="O146" s="19" t="s">
        <v>107</v>
      </c>
      <c r="P146" s="18"/>
      <c r="Q146" s="18"/>
      <c r="R146" s="23">
        <v>6.5</v>
      </c>
      <c r="S146" s="23">
        <v>22.0</v>
      </c>
      <c r="T146" s="23">
        <f t="shared" si="2"/>
        <v>21.12</v>
      </c>
      <c r="U146" s="23">
        <f t="shared" si="3"/>
        <v>7.9625</v>
      </c>
      <c r="V146" s="23">
        <f t="shared" si="4"/>
        <v>149.296875</v>
      </c>
      <c r="W146" s="24">
        <f t="shared" si="5"/>
        <v>3.249230769</v>
      </c>
    </row>
    <row r="147">
      <c r="A147" s="15" t="s">
        <v>679</v>
      </c>
      <c r="B147" s="15" t="s">
        <v>680</v>
      </c>
      <c r="C147" s="15" t="s">
        <v>6011</v>
      </c>
      <c r="D147" s="15" t="s">
        <v>681</v>
      </c>
      <c r="E147" s="17" t="s">
        <v>682</v>
      </c>
      <c r="F147" s="18"/>
      <c r="G147" s="15" t="s">
        <v>683</v>
      </c>
      <c r="H147" s="15" t="s">
        <v>684</v>
      </c>
      <c r="I147" s="18"/>
      <c r="J147" s="19" t="s">
        <v>36</v>
      </c>
      <c r="K147" s="19" t="s">
        <v>60</v>
      </c>
      <c r="L147" s="19" t="s">
        <v>292</v>
      </c>
      <c r="M147" s="20">
        <f t="shared" si="1"/>
        <v>4475.52</v>
      </c>
      <c r="N147" s="31">
        <v>3.0</v>
      </c>
      <c r="O147" s="19" t="s">
        <v>107</v>
      </c>
      <c r="P147" s="18"/>
      <c r="Q147" s="18"/>
      <c r="R147" s="23">
        <v>50.0</v>
      </c>
      <c r="S147" s="23">
        <v>252.0</v>
      </c>
      <c r="T147" s="23">
        <f t="shared" si="2"/>
        <v>241.92</v>
      </c>
      <c r="U147" s="23">
        <f t="shared" si="3"/>
        <v>61.25</v>
      </c>
      <c r="V147" s="23">
        <f t="shared" si="4"/>
        <v>1148.4375</v>
      </c>
      <c r="W147" s="24">
        <f t="shared" si="5"/>
        <v>4.8384</v>
      </c>
    </row>
    <row r="148">
      <c r="A148" s="15" t="s">
        <v>974</v>
      </c>
      <c r="B148" s="15" t="s">
        <v>975</v>
      </c>
      <c r="C148" s="15" t="s">
        <v>7360</v>
      </c>
      <c r="D148" s="15" t="s">
        <v>976</v>
      </c>
      <c r="E148" s="17" t="s">
        <v>977</v>
      </c>
      <c r="F148" s="18"/>
      <c r="G148" s="15" t="s">
        <v>978</v>
      </c>
      <c r="H148" s="15" t="s">
        <v>979</v>
      </c>
      <c r="I148" s="18"/>
      <c r="J148" s="19" t="s">
        <v>36</v>
      </c>
      <c r="K148" s="19" t="s">
        <v>114</v>
      </c>
      <c r="L148" s="19" t="s">
        <v>115</v>
      </c>
      <c r="M148" s="20">
        <f t="shared" si="1"/>
        <v>2504.16</v>
      </c>
      <c r="N148" s="31">
        <v>2.0</v>
      </c>
      <c r="O148" s="19" t="s">
        <v>107</v>
      </c>
      <c r="P148" s="18"/>
      <c r="Q148" s="18"/>
      <c r="R148" s="23">
        <v>38.0</v>
      </c>
      <c r="S148" s="23">
        <v>141.0</v>
      </c>
      <c r="T148" s="23">
        <f t="shared" si="2"/>
        <v>135.36</v>
      </c>
      <c r="U148" s="23">
        <f t="shared" si="3"/>
        <v>46.55</v>
      </c>
      <c r="V148" s="23">
        <f t="shared" si="4"/>
        <v>872.8125</v>
      </c>
      <c r="W148" s="24">
        <f t="shared" si="5"/>
        <v>3.562105263</v>
      </c>
    </row>
    <row r="149" hidden="1">
      <c r="A149" s="15" t="s">
        <v>3834</v>
      </c>
      <c r="B149" s="15" t="s">
        <v>3835</v>
      </c>
      <c r="C149" s="15" t="s">
        <v>6296</v>
      </c>
      <c r="D149" s="15" t="s">
        <v>3836</v>
      </c>
      <c r="E149" s="17" t="s">
        <v>3837</v>
      </c>
      <c r="F149" s="18"/>
      <c r="G149" s="18"/>
      <c r="H149" s="15" t="s">
        <v>3838</v>
      </c>
      <c r="I149" s="18"/>
      <c r="J149" s="19" t="s">
        <v>59</v>
      </c>
      <c r="K149" s="19" t="s">
        <v>402</v>
      </c>
      <c r="L149" s="19" t="s">
        <v>38</v>
      </c>
      <c r="M149" s="20">
        <f t="shared" si="1"/>
        <v>0</v>
      </c>
      <c r="N149" s="22"/>
      <c r="O149" s="19" t="s">
        <v>1145</v>
      </c>
      <c r="P149" s="18"/>
      <c r="Q149" s="18"/>
      <c r="R149" s="23">
        <v>0.0</v>
      </c>
      <c r="S149" s="23">
        <v>0.0</v>
      </c>
      <c r="T149" s="23">
        <f t="shared" si="2"/>
        <v>0</v>
      </c>
      <c r="U149" s="23">
        <f t="shared" si="3"/>
        <v>0</v>
      </c>
      <c r="V149" s="23">
        <f t="shared" si="4"/>
        <v>0</v>
      </c>
      <c r="W149" s="24" t="str">
        <f t="shared" si="5"/>
        <v>#DIV/0!</v>
      </c>
    </row>
    <row r="150">
      <c r="A150" s="15" t="s">
        <v>742</v>
      </c>
      <c r="B150" s="15" t="s">
        <v>743</v>
      </c>
      <c r="C150" s="15" t="s">
        <v>6012</v>
      </c>
      <c r="D150" s="15" t="s">
        <v>744</v>
      </c>
      <c r="E150" s="17" t="s">
        <v>745</v>
      </c>
      <c r="F150" s="18"/>
      <c r="G150" s="15" t="s">
        <v>746</v>
      </c>
      <c r="H150" s="15" t="s">
        <v>747</v>
      </c>
      <c r="I150" s="18"/>
      <c r="J150" s="19" t="s">
        <v>36</v>
      </c>
      <c r="K150" s="19" t="s">
        <v>60</v>
      </c>
      <c r="L150" s="19" t="s">
        <v>292</v>
      </c>
      <c r="M150" s="20">
        <f t="shared" si="1"/>
        <v>674.88</v>
      </c>
      <c r="N150" s="31">
        <v>3.0</v>
      </c>
      <c r="O150" s="19" t="s">
        <v>107</v>
      </c>
      <c r="P150" s="18"/>
      <c r="Q150" s="18"/>
      <c r="R150" s="23">
        <v>8.0</v>
      </c>
      <c r="S150" s="23">
        <v>38.0</v>
      </c>
      <c r="T150" s="23">
        <f t="shared" si="2"/>
        <v>36.48</v>
      </c>
      <c r="U150" s="23">
        <f t="shared" si="3"/>
        <v>9.8</v>
      </c>
      <c r="V150" s="23">
        <f t="shared" si="4"/>
        <v>183.75</v>
      </c>
      <c r="W150" s="24">
        <f t="shared" si="5"/>
        <v>4.56</v>
      </c>
    </row>
    <row r="151">
      <c r="A151" s="15" t="s">
        <v>1047</v>
      </c>
      <c r="B151" s="15" t="s">
        <v>1048</v>
      </c>
      <c r="C151" s="15" t="s">
        <v>6079</v>
      </c>
      <c r="D151" s="15" t="s">
        <v>1037</v>
      </c>
      <c r="E151" s="17" t="s">
        <v>1049</v>
      </c>
      <c r="F151" s="18"/>
      <c r="G151" s="15" t="s">
        <v>1050</v>
      </c>
      <c r="H151" s="15" t="s">
        <v>1051</v>
      </c>
      <c r="I151" s="18"/>
      <c r="J151" s="19" t="s">
        <v>36</v>
      </c>
      <c r="K151" s="19" t="s">
        <v>114</v>
      </c>
      <c r="L151" s="19" t="s">
        <v>115</v>
      </c>
      <c r="M151" s="20">
        <f t="shared" si="1"/>
        <v>3427.68</v>
      </c>
      <c r="N151" s="31">
        <v>4.0</v>
      </c>
      <c r="O151" s="19" t="s">
        <v>107</v>
      </c>
      <c r="P151" s="18"/>
      <c r="Q151" s="18"/>
      <c r="R151" s="23">
        <v>60.0</v>
      </c>
      <c r="S151" s="23">
        <v>193.0</v>
      </c>
      <c r="T151" s="23">
        <f t="shared" si="2"/>
        <v>185.28</v>
      </c>
      <c r="U151" s="23">
        <f t="shared" si="3"/>
        <v>73.5</v>
      </c>
      <c r="V151" s="23">
        <f t="shared" si="4"/>
        <v>1378.125</v>
      </c>
      <c r="W151" s="24">
        <f t="shared" si="5"/>
        <v>3.088</v>
      </c>
    </row>
    <row r="152">
      <c r="A152" s="15" t="s">
        <v>270</v>
      </c>
      <c r="B152" s="15" t="s">
        <v>271</v>
      </c>
      <c r="C152" s="15" t="s">
        <v>7388</v>
      </c>
      <c r="D152" s="15" t="s">
        <v>272</v>
      </c>
      <c r="E152" s="17" t="s">
        <v>273</v>
      </c>
      <c r="F152" s="18"/>
      <c r="G152" s="18"/>
      <c r="H152" s="15" t="s">
        <v>274</v>
      </c>
      <c r="I152" s="15" t="s">
        <v>275</v>
      </c>
      <c r="J152" s="19" t="s">
        <v>36</v>
      </c>
      <c r="K152" s="19" t="s">
        <v>276</v>
      </c>
      <c r="L152" s="19" t="s">
        <v>52</v>
      </c>
      <c r="M152" s="20">
        <f t="shared" si="1"/>
        <v>17937.6</v>
      </c>
      <c r="N152" s="31">
        <v>2.0</v>
      </c>
      <c r="O152" s="19" t="s">
        <v>107</v>
      </c>
      <c r="P152" s="18"/>
      <c r="Q152" s="18"/>
      <c r="R152" s="23">
        <v>120.0</v>
      </c>
      <c r="S152" s="23">
        <v>1010.0</v>
      </c>
      <c r="T152" s="23">
        <f t="shared" si="2"/>
        <v>969.6</v>
      </c>
      <c r="U152" s="23">
        <f t="shared" si="3"/>
        <v>147</v>
      </c>
      <c r="V152" s="23">
        <f t="shared" si="4"/>
        <v>2756.25</v>
      </c>
      <c r="W152" s="24">
        <f t="shared" si="5"/>
        <v>8.08</v>
      </c>
    </row>
    <row r="153">
      <c r="A153" s="15" t="s">
        <v>189</v>
      </c>
      <c r="B153" s="15" t="s">
        <v>190</v>
      </c>
      <c r="C153" s="15" t="s">
        <v>6013</v>
      </c>
      <c r="D153" s="15" t="s">
        <v>191</v>
      </c>
      <c r="E153" s="17" t="s">
        <v>192</v>
      </c>
      <c r="F153" s="18"/>
      <c r="G153" s="18"/>
      <c r="H153" s="15" t="s">
        <v>193</v>
      </c>
      <c r="I153" s="18"/>
      <c r="J153" s="19" t="s">
        <v>36</v>
      </c>
      <c r="K153" s="33"/>
      <c r="L153" s="19" t="s">
        <v>147</v>
      </c>
      <c r="M153" s="20">
        <f t="shared" si="1"/>
        <v>5434.56</v>
      </c>
      <c r="N153" s="31">
        <v>4.0</v>
      </c>
      <c r="O153" s="19" t="s">
        <v>107</v>
      </c>
      <c r="P153" s="18"/>
      <c r="Q153" s="18"/>
      <c r="R153" s="23">
        <v>26.0</v>
      </c>
      <c r="S153" s="23">
        <v>306.0</v>
      </c>
      <c r="T153" s="23">
        <f t="shared" si="2"/>
        <v>293.76</v>
      </c>
      <c r="U153" s="23">
        <f t="shared" si="3"/>
        <v>31.85</v>
      </c>
      <c r="V153" s="23">
        <f t="shared" si="4"/>
        <v>597.1875</v>
      </c>
      <c r="W153" s="24">
        <f t="shared" si="5"/>
        <v>11.29846154</v>
      </c>
    </row>
    <row r="154">
      <c r="A154" s="15" t="s">
        <v>210</v>
      </c>
      <c r="B154" s="15" t="s">
        <v>211</v>
      </c>
      <c r="C154" s="15" t="s">
        <v>6014</v>
      </c>
      <c r="D154" s="15" t="s">
        <v>191</v>
      </c>
      <c r="E154" s="17" t="s">
        <v>192</v>
      </c>
      <c r="F154" s="18"/>
      <c r="G154" s="18"/>
      <c r="H154" s="15" t="s">
        <v>212</v>
      </c>
      <c r="I154" s="18"/>
      <c r="J154" s="19" t="s">
        <v>36</v>
      </c>
      <c r="K154" s="33"/>
      <c r="L154" s="19" t="s">
        <v>147</v>
      </c>
      <c r="M154" s="20">
        <f t="shared" si="1"/>
        <v>1154.4</v>
      </c>
      <c r="N154" s="31">
        <v>4.0</v>
      </c>
      <c r="O154" s="19" t="s">
        <v>107</v>
      </c>
      <c r="P154" s="18"/>
      <c r="Q154" s="18"/>
      <c r="R154" s="23">
        <v>6.5</v>
      </c>
      <c r="S154" s="23">
        <v>65.0</v>
      </c>
      <c r="T154" s="23">
        <f t="shared" si="2"/>
        <v>62.4</v>
      </c>
      <c r="U154" s="23">
        <f t="shared" si="3"/>
        <v>7.9625</v>
      </c>
      <c r="V154" s="23">
        <f t="shared" si="4"/>
        <v>149.296875</v>
      </c>
      <c r="W154" s="24">
        <f t="shared" si="5"/>
        <v>9.6</v>
      </c>
    </row>
    <row r="155">
      <c r="A155" s="15" t="s">
        <v>235</v>
      </c>
      <c r="B155" s="15" t="s">
        <v>236</v>
      </c>
      <c r="C155" s="15" t="s">
        <v>7403</v>
      </c>
      <c r="D155" s="15" t="s">
        <v>237</v>
      </c>
      <c r="E155" s="17" t="s">
        <v>238</v>
      </c>
      <c r="F155" s="18"/>
      <c r="G155" s="15" t="s">
        <v>239</v>
      </c>
      <c r="H155" s="15" t="s">
        <v>240</v>
      </c>
      <c r="I155" s="18"/>
      <c r="J155" s="19" t="s">
        <v>36</v>
      </c>
      <c r="K155" s="19" t="s">
        <v>60</v>
      </c>
      <c r="L155" s="19" t="s">
        <v>84</v>
      </c>
      <c r="M155" s="20">
        <f t="shared" si="1"/>
        <v>6695.52</v>
      </c>
      <c r="N155" s="31">
        <v>2.0</v>
      </c>
      <c r="O155" s="19" t="s">
        <v>107</v>
      </c>
      <c r="P155" s="18"/>
      <c r="Q155" s="18"/>
      <c r="R155" s="23">
        <v>40.0</v>
      </c>
      <c r="S155" s="23">
        <v>377.0</v>
      </c>
      <c r="T155" s="23">
        <f t="shared" si="2"/>
        <v>361.92</v>
      </c>
      <c r="U155" s="23">
        <f t="shared" si="3"/>
        <v>49</v>
      </c>
      <c r="V155" s="23">
        <f t="shared" si="4"/>
        <v>918.75</v>
      </c>
      <c r="W155" s="24">
        <f t="shared" si="5"/>
        <v>9.048</v>
      </c>
    </row>
    <row r="156">
      <c r="A156" s="15" t="s">
        <v>242</v>
      </c>
      <c r="B156" s="15" t="s">
        <v>243</v>
      </c>
      <c r="C156" s="15" t="s">
        <v>7404</v>
      </c>
      <c r="D156" s="15" t="s">
        <v>244</v>
      </c>
      <c r="E156" s="17" t="s">
        <v>245</v>
      </c>
      <c r="F156" s="18"/>
      <c r="G156" s="15" t="s">
        <v>246</v>
      </c>
      <c r="H156" s="15" t="s">
        <v>247</v>
      </c>
      <c r="I156" s="18"/>
      <c r="J156" s="19" t="s">
        <v>36</v>
      </c>
      <c r="K156" s="19" t="s">
        <v>60</v>
      </c>
      <c r="L156" s="19" t="s">
        <v>52</v>
      </c>
      <c r="M156" s="20">
        <f t="shared" si="1"/>
        <v>6695.52</v>
      </c>
      <c r="N156" s="31">
        <v>2.0</v>
      </c>
      <c r="O156" s="19" t="s">
        <v>107</v>
      </c>
      <c r="P156" s="18"/>
      <c r="Q156" s="18"/>
      <c r="R156" s="23">
        <v>40.0</v>
      </c>
      <c r="S156" s="23">
        <v>377.0</v>
      </c>
      <c r="T156" s="23">
        <f t="shared" si="2"/>
        <v>361.92</v>
      </c>
      <c r="U156" s="23">
        <f t="shared" si="3"/>
        <v>49</v>
      </c>
      <c r="V156" s="23">
        <f t="shared" si="4"/>
        <v>918.75</v>
      </c>
      <c r="W156" s="24">
        <f t="shared" si="5"/>
        <v>9.048</v>
      </c>
    </row>
    <row r="157">
      <c r="A157" s="15" t="s">
        <v>920</v>
      </c>
      <c r="B157" s="15" t="s">
        <v>921</v>
      </c>
      <c r="C157" s="15" t="s">
        <v>7405</v>
      </c>
      <c r="D157" s="15" t="s">
        <v>922</v>
      </c>
      <c r="E157" s="17" t="s">
        <v>923</v>
      </c>
      <c r="F157" s="18"/>
      <c r="G157" s="18"/>
      <c r="H157" s="15" t="s">
        <v>924</v>
      </c>
      <c r="I157" s="18"/>
      <c r="J157" s="19" t="s">
        <v>36</v>
      </c>
      <c r="K157" s="19" t="s">
        <v>60</v>
      </c>
      <c r="L157" s="19" t="s">
        <v>52</v>
      </c>
      <c r="M157" s="20">
        <f t="shared" si="1"/>
        <v>4582.08</v>
      </c>
      <c r="N157" s="31">
        <v>2.0</v>
      </c>
      <c r="O157" s="19" t="s">
        <v>107</v>
      </c>
      <c r="P157" s="18"/>
      <c r="Q157" s="18"/>
      <c r="R157" s="23">
        <v>65.0</v>
      </c>
      <c r="S157" s="23">
        <v>258.0</v>
      </c>
      <c r="T157" s="23">
        <f t="shared" si="2"/>
        <v>247.68</v>
      </c>
      <c r="U157" s="23">
        <f t="shared" si="3"/>
        <v>79.625</v>
      </c>
      <c r="V157" s="23">
        <f t="shared" si="4"/>
        <v>1492.96875</v>
      </c>
      <c r="W157" s="24">
        <f t="shared" si="5"/>
        <v>3.810461538</v>
      </c>
    </row>
    <row r="158">
      <c r="A158" s="15" t="s">
        <v>308</v>
      </c>
      <c r="B158" s="15" t="s">
        <v>309</v>
      </c>
      <c r="C158" s="15" t="s">
        <v>6015</v>
      </c>
      <c r="D158" s="15" t="s">
        <v>310</v>
      </c>
      <c r="E158" s="17" t="s">
        <v>311</v>
      </c>
      <c r="F158" s="18"/>
      <c r="G158" s="15" t="s">
        <v>312</v>
      </c>
      <c r="H158" s="15" t="s">
        <v>313</v>
      </c>
      <c r="I158" s="18"/>
      <c r="J158" s="19" t="s">
        <v>36</v>
      </c>
      <c r="K158" s="33"/>
      <c r="L158" s="19" t="s">
        <v>38</v>
      </c>
      <c r="M158" s="20">
        <f t="shared" si="1"/>
        <v>4582.08</v>
      </c>
      <c r="N158" s="31">
        <v>3.0</v>
      </c>
      <c r="O158" s="19" t="s">
        <v>107</v>
      </c>
      <c r="P158" s="18"/>
      <c r="Q158" s="18"/>
      <c r="R158" s="23">
        <v>28.0</v>
      </c>
      <c r="S158" s="23">
        <v>258.0</v>
      </c>
      <c r="T158" s="23">
        <f t="shared" si="2"/>
        <v>247.68</v>
      </c>
      <c r="U158" s="23">
        <f t="shared" si="3"/>
        <v>34.3</v>
      </c>
      <c r="V158" s="23">
        <f t="shared" si="4"/>
        <v>643.125</v>
      </c>
      <c r="W158" s="24">
        <f t="shared" si="5"/>
        <v>8.845714286</v>
      </c>
    </row>
    <row r="159">
      <c r="A159" s="15" t="s">
        <v>259</v>
      </c>
      <c r="B159" s="15" t="s">
        <v>260</v>
      </c>
      <c r="C159" s="15" t="s">
        <v>6016</v>
      </c>
      <c r="D159" s="15" t="s">
        <v>261</v>
      </c>
      <c r="E159" s="17" t="s">
        <v>262</v>
      </c>
      <c r="F159" s="18"/>
      <c r="G159" s="18"/>
      <c r="H159" s="15" t="s">
        <v>263</v>
      </c>
      <c r="I159" s="18"/>
      <c r="J159" s="19" t="s">
        <v>36</v>
      </c>
      <c r="K159" s="19" t="s">
        <v>60</v>
      </c>
      <c r="L159" s="19" t="s">
        <v>6017</v>
      </c>
      <c r="M159" s="20">
        <f t="shared" si="1"/>
        <v>1687.2</v>
      </c>
      <c r="N159" s="31">
        <v>5.0</v>
      </c>
      <c r="O159" s="19" t="s">
        <v>107</v>
      </c>
      <c r="P159" s="18"/>
      <c r="Q159" s="18"/>
      <c r="R159" s="23">
        <v>11.0</v>
      </c>
      <c r="S159" s="23">
        <v>95.0</v>
      </c>
      <c r="T159" s="23">
        <f t="shared" si="2"/>
        <v>91.2</v>
      </c>
      <c r="U159" s="23">
        <f t="shared" si="3"/>
        <v>13.475</v>
      </c>
      <c r="V159" s="23">
        <f t="shared" si="4"/>
        <v>252.65625</v>
      </c>
      <c r="W159" s="24">
        <f t="shared" si="5"/>
        <v>8.290909091</v>
      </c>
    </row>
    <row r="160">
      <c r="A160" s="15" t="s">
        <v>343</v>
      </c>
      <c r="B160" s="15" t="s">
        <v>344</v>
      </c>
      <c r="C160" s="15" t="s">
        <v>6018</v>
      </c>
      <c r="D160" s="15" t="s">
        <v>345</v>
      </c>
      <c r="E160" s="17" t="s">
        <v>346</v>
      </c>
      <c r="F160" s="18"/>
      <c r="G160" s="15" t="s">
        <v>347</v>
      </c>
      <c r="H160" s="15" t="s">
        <v>348</v>
      </c>
      <c r="I160" s="18"/>
      <c r="J160" s="19" t="s">
        <v>36</v>
      </c>
      <c r="K160" s="19" t="s">
        <v>60</v>
      </c>
      <c r="L160" s="19" t="s">
        <v>6017</v>
      </c>
      <c r="M160" s="20">
        <f t="shared" si="1"/>
        <v>1651.68</v>
      </c>
      <c r="N160" s="31">
        <v>3.0</v>
      </c>
      <c r="O160" s="19" t="s">
        <v>107</v>
      </c>
      <c r="P160" s="18"/>
      <c r="Q160" s="18"/>
      <c r="R160" s="23">
        <v>12.0</v>
      </c>
      <c r="S160" s="23">
        <v>93.0</v>
      </c>
      <c r="T160" s="23">
        <f t="shared" si="2"/>
        <v>89.28</v>
      </c>
      <c r="U160" s="23">
        <f t="shared" si="3"/>
        <v>14.7</v>
      </c>
      <c r="V160" s="23">
        <f t="shared" si="4"/>
        <v>275.625</v>
      </c>
      <c r="W160" s="24">
        <f t="shared" si="5"/>
        <v>7.44</v>
      </c>
    </row>
    <row r="161" hidden="1">
      <c r="A161" s="15" t="s">
        <v>1356</v>
      </c>
      <c r="B161" s="18"/>
      <c r="C161" s="15" t="s">
        <v>6309</v>
      </c>
      <c r="D161" s="18"/>
      <c r="E161" s="17" t="s">
        <v>1357</v>
      </c>
      <c r="F161" s="18"/>
      <c r="G161" s="18"/>
      <c r="H161" s="15" t="s">
        <v>1358</v>
      </c>
      <c r="I161" s="18"/>
      <c r="J161" s="19" t="s">
        <v>59</v>
      </c>
      <c r="K161" s="19" t="s">
        <v>402</v>
      </c>
      <c r="L161" s="19" t="s">
        <v>38</v>
      </c>
      <c r="M161" s="20">
        <f t="shared" si="1"/>
        <v>0</v>
      </c>
      <c r="N161" s="22"/>
      <c r="O161" s="19" t="s">
        <v>1145</v>
      </c>
      <c r="P161" s="18"/>
      <c r="Q161" s="18"/>
      <c r="R161" s="23">
        <v>0.0</v>
      </c>
      <c r="S161" s="23">
        <v>0.0</v>
      </c>
      <c r="T161" s="23">
        <f t="shared" si="2"/>
        <v>0</v>
      </c>
      <c r="U161" s="23">
        <f t="shared" si="3"/>
        <v>0</v>
      </c>
      <c r="V161" s="23">
        <f t="shared" si="4"/>
        <v>0</v>
      </c>
      <c r="W161" s="24" t="str">
        <f t="shared" si="5"/>
        <v>#DIV/0!</v>
      </c>
    </row>
    <row r="162">
      <c r="A162" s="15" t="s">
        <v>293</v>
      </c>
      <c r="B162" s="15" t="s">
        <v>294</v>
      </c>
      <c r="C162" s="15" t="s">
        <v>7433</v>
      </c>
      <c r="D162" s="15" t="s">
        <v>295</v>
      </c>
      <c r="E162" s="17" t="s">
        <v>296</v>
      </c>
      <c r="F162" s="18"/>
      <c r="G162" s="18"/>
      <c r="H162" s="15" t="s">
        <v>297</v>
      </c>
      <c r="I162" s="18"/>
      <c r="J162" s="19" t="s">
        <v>36</v>
      </c>
      <c r="K162" s="19" t="s">
        <v>60</v>
      </c>
      <c r="L162" s="19" t="s">
        <v>6017</v>
      </c>
      <c r="M162" s="20">
        <f t="shared" si="1"/>
        <v>1243.2</v>
      </c>
      <c r="N162" s="31">
        <v>2.0</v>
      </c>
      <c r="O162" s="19" t="s">
        <v>107</v>
      </c>
      <c r="P162" s="18"/>
      <c r="Q162" s="18"/>
      <c r="R162" s="23">
        <v>8.5</v>
      </c>
      <c r="S162" s="23">
        <v>70.0</v>
      </c>
      <c r="T162" s="23">
        <f t="shared" si="2"/>
        <v>67.2</v>
      </c>
      <c r="U162" s="23">
        <f t="shared" si="3"/>
        <v>10.4125</v>
      </c>
      <c r="V162" s="23">
        <f t="shared" si="4"/>
        <v>195.234375</v>
      </c>
      <c r="W162" s="24">
        <f t="shared" si="5"/>
        <v>7.905882353</v>
      </c>
    </row>
    <row r="163">
      <c r="A163" s="15" t="s">
        <v>128</v>
      </c>
      <c r="B163" s="15" t="s">
        <v>129</v>
      </c>
      <c r="C163" s="15" t="s">
        <v>6019</v>
      </c>
      <c r="D163" s="15" t="s">
        <v>130</v>
      </c>
      <c r="E163" s="17" t="s">
        <v>131</v>
      </c>
      <c r="F163" s="18"/>
      <c r="G163" s="15" t="s">
        <v>132</v>
      </c>
      <c r="H163" s="15" t="s">
        <v>134</v>
      </c>
      <c r="I163" s="18"/>
      <c r="J163" s="19" t="s">
        <v>36</v>
      </c>
      <c r="K163" s="19" t="s">
        <v>60</v>
      </c>
      <c r="L163" s="19" t="s">
        <v>135</v>
      </c>
      <c r="M163" s="20">
        <f t="shared" si="1"/>
        <v>1651.68</v>
      </c>
      <c r="N163" s="31">
        <v>4.0</v>
      </c>
      <c r="O163" s="19" t="s">
        <v>107</v>
      </c>
      <c r="P163" s="18"/>
      <c r="Q163" s="18"/>
      <c r="R163" s="23">
        <v>4.0</v>
      </c>
      <c r="S163" s="23">
        <v>93.0</v>
      </c>
      <c r="T163" s="23">
        <f t="shared" si="2"/>
        <v>89.28</v>
      </c>
      <c r="U163" s="23">
        <f t="shared" si="3"/>
        <v>4.9</v>
      </c>
      <c r="V163" s="23">
        <f t="shared" si="4"/>
        <v>91.875</v>
      </c>
      <c r="W163" s="24">
        <f t="shared" si="5"/>
        <v>22.32</v>
      </c>
    </row>
    <row r="164">
      <c r="A164" s="15" t="s">
        <v>813</v>
      </c>
      <c r="B164" s="15" t="s">
        <v>814</v>
      </c>
      <c r="C164" s="15" t="s">
        <v>6080</v>
      </c>
      <c r="D164" s="15" t="s">
        <v>815</v>
      </c>
      <c r="E164" s="17" t="s">
        <v>816</v>
      </c>
      <c r="F164" s="18"/>
      <c r="G164" s="15" t="s">
        <v>817</v>
      </c>
      <c r="H164" s="15" t="s">
        <v>818</v>
      </c>
      <c r="I164" s="18"/>
      <c r="J164" s="19" t="s">
        <v>36</v>
      </c>
      <c r="K164" s="19" t="s">
        <v>427</v>
      </c>
      <c r="L164" s="19" t="s">
        <v>610</v>
      </c>
      <c r="M164" s="20">
        <f t="shared" si="1"/>
        <v>923.52</v>
      </c>
      <c r="N164" s="31">
        <v>10.0</v>
      </c>
      <c r="O164" s="19" t="s">
        <v>107</v>
      </c>
      <c r="P164" s="18"/>
      <c r="Q164" s="18"/>
      <c r="R164" s="23">
        <v>12.0</v>
      </c>
      <c r="S164" s="23">
        <v>52.0</v>
      </c>
      <c r="T164" s="23">
        <f t="shared" si="2"/>
        <v>49.92</v>
      </c>
      <c r="U164" s="23">
        <f t="shared" si="3"/>
        <v>14.7</v>
      </c>
      <c r="V164" s="23">
        <f t="shared" si="4"/>
        <v>275.625</v>
      </c>
      <c r="W164" s="24">
        <f t="shared" si="5"/>
        <v>4.16</v>
      </c>
    </row>
    <row r="165">
      <c r="A165" s="15" t="s">
        <v>604</v>
      </c>
      <c r="B165" s="15" t="s">
        <v>605</v>
      </c>
      <c r="C165" s="15" t="s">
        <v>6081</v>
      </c>
      <c r="D165" s="15" t="s">
        <v>606</v>
      </c>
      <c r="E165" s="17" t="s">
        <v>607</v>
      </c>
      <c r="F165" s="18"/>
      <c r="G165" s="15" t="s">
        <v>608</v>
      </c>
      <c r="H165" s="15" t="s">
        <v>609</v>
      </c>
      <c r="I165" s="18"/>
      <c r="J165" s="19" t="s">
        <v>36</v>
      </c>
      <c r="K165" s="19" t="s">
        <v>427</v>
      </c>
      <c r="L165" s="19" t="s">
        <v>610</v>
      </c>
      <c r="M165" s="20">
        <f t="shared" si="1"/>
        <v>1154.4</v>
      </c>
      <c r="N165" s="31">
        <v>10.0</v>
      </c>
      <c r="O165" s="19" t="s">
        <v>107</v>
      </c>
      <c r="P165" s="18"/>
      <c r="Q165" s="18"/>
      <c r="R165" s="23">
        <v>12.0</v>
      </c>
      <c r="S165" s="23">
        <v>65.0</v>
      </c>
      <c r="T165" s="23">
        <f t="shared" si="2"/>
        <v>62.4</v>
      </c>
      <c r="U165" s="23">
        <f t="shared" si="3"/>
        <v>14.7</v>
      </c>
      <c r="V165" s="23">
        <f t="shared" si="4"/>
        <v>275.625</v>
      </c>
      <c r="W165" s="24">
        <f t="shared" si="5"/>
        <v>5.2</v>
      </c>
    </row>
    <row r="166">
      <c r="A166" s="15" t="s">
        <v>264</v>
      </c>
      <c r="B166" s="15" t="s">
        <v>265</v>
      </c>
      <c r="C166" s="15" t="s">
        <v>6020</v>
      </c>
      <c r="D166" s="15" t="s">
        <v>266</v>
      </c>
      <c r="E166" s="17" t="s">
        <v>267</v>
      </c>
      <c r="F166" s="18"/>
      <c r="G166" s="18"/>
      <c r="H166" s="15" t="s">
        <v>268</v>
      </c>
      <c r="I166" s="18"/>
      <c r="J166" s="19" t="s">
        <v>36</v>
      </c>
      <c r="K166" s="19" t="s">
        <v>200</v>
      </c>
      <c r="L166" s="19" t="s">
        <v>269</v>
      </c>
      <c r="M166" s="20">
        <f t="shared" si="1"/>
        <v>15309.12</v>
      </c>
      <c r="N166" s="31">
        <v>3.0</v>
      </c>
      <c r="O166" s="19" t="s">
        <v>107</v>
      </c>
      <c r="P166" s="18"/>
      <c r="Q166" s="18"/>
      <c r="R166" s="23">
        <v>100.0</v>
      </c>
      <c r="S166" s="23">
        <v>862.0</v>
      </c>
      <c r="T166" s="23">
        <f t="shared" si="2"/>
        <v>827.52</v>
      </c>
      <c r="U166" s="23">
        <f t="shared" si="3"/>
        <v>122.5</v>
      </c>
      <c r="V166" s="23">
        <f t="shared" si="4"/>
        <v>2296.875</v>
      </c>
      <c r="W166" s="24">
        <f t="shared" si="5"/>
        <v>8.2752</v>
      </c>
    </row>
    <row r="167">
      <c r="A167" s="15" t="s">
        <v>503</v>
      </c>
      <c r="B167" s="15" t="s">
        <v>504</v>
      </c>
      <c r="C167" s="15" t="s">
        <v>6021</v>
      </c>
      <c r="D167" s="15" t="s">
        <v>505</v>
      </c>
      <c r="E167" s="17" t="s">
        <v>506</v>
      </c>
      <c r="F167" s="18"/>
      <c r="G167" s="15" t="s">
        <v>507</v>
      </c>
      <c r="H167" s="15" t="s">
        <v>508</v>
      </c>
      <c r="I167" s="18"/>
      <c r="J167" s="19" t="s">
        <v>36</v>
      </c>
      <c r="K167" s="19" t="s">
        <v>427</v>
      </c>
      <c r="L167" s="19" t="s">
        <v>269</v>
      </c>
      <c r="M167" s="20">
        <f t="shared" si="1"/>
        <v>8631.36</v>
      </c>
      <c r="N167" s="31">
        <v>4.0</v>
      </c>
      <c r="O167" s="19" t="s">
        <v>107</v>
      </c>
      <c r="P167" s="18"/>
      <c r="Q167" s="18"/>
      <c r="R167" s="23">
        <v>75.0</v>
      </c>
      <c r="S167" s="23">
        <v>486.0</v>
      </c>
      <c r="T167" s="23">
        <f t="shared" si="2"/>
        <v>466.56</v>
      </c>
      <c r="U167" s="23">
        <f t="shared" si="3"/>
        <v>91.875</v>
      </c>
      <c r="V167" s="23">
        <f t="shared" si="4"/>
        <v>1722.65625</v>
      </c>
      <c r="W167" s="24">
        <f t="shared" si="5"/>
        <v>6.2208</v>
      </c>
    </row>
    <row r="168" hidden="1">
      <c r="A168" s="15" t="s">
        <v>3923</v>
      </c>
      <c r="B168" s="15" t="s">
        <v>3924</v>
      </c>
      <c r="C168" s="15" t="s">
        <v>6317</v>
      </c>
      <c r="D168" s="15" t="s">
        <v>3925</v>
      </c>
      <c r="E168" s="17" t="s">
        <v>3926</v>
      </c>
      <c r="F168" s="18"/>
      <c r="G168" s="18"/>
      <c r="H168" s="15" t="s">
        <v>3927</v>
      </c>
      <c r="I168" s="18"/>
      <c r="J168" s="19" t="s">
        <v>59</v>
      </c>
      <c r="K168" s="19" t="s">
        <v>105</v>
      </c>
      <c r="L168" s="19" t="s">
        <v>38</v>
      </c>
      <c r="M168" s="20">
        <f t="shared" si="1"/>
        <v>0</v>
      </c>
      <c r="N168" s="22"/>
      <c r="O168" s="19" t="s">
        <v>1145</v>
      </c>
      <c r="P168" s="18"/>
      <c r="Q168" s="18"/>
      <c r="R168" s="23">
        <v>0.0</v>
      </c>
      <c r="S168" s="23">
        <v>0.0</v>
      </c>
      <c r="T168" s="23">
        <f t="shared" si="2"/>
        <v>0</v>
      </c>
      <c r="U168" s="23">
        <f t="shared" si="3"/>
        <v>0</v>
      </c>
      <c r="V168" s="23">
        <f t="shared" si="4"/>
        <v>0</v>
      </c>
      <c r="W168" s="24" t="str">
        <f t="shared" si="5"/>
        <v>#DIV/0!</v>
      </c>
    </row>
    <row r="169">
      <c r="A169" s="15" t="s">
        <v>446</v>
      </c>
      <c r="B169" s="15" t="s">
        <v>447</v>
      </c>
      <c r="C169" s="15" t="s">
        <v>7444</v>
      </c>
      <c r="D169" s="15" t="s">
        <v>448</v>
      </c>
      <c r="E169" s="17" t="s">
        <v>449</v>
      </c>
      <c r="F169" s="18"/>
      <c r="G169" s="18"/>
      <c r="H169" s="15" t="s">
        <v>450</v>
      </c>
      <c r="I169" s="18"/>
      <c r="J169" s="19" t="s">
        <v>36</v>
      </c>
      <c r="K169" s="19" t="s">
        <v>427</v>
      </c>
      <c r="L169" s="19" t="s">
        <v>269</v>
      </c>
      <c r="M169" s="20">
        <f t="shared" si="1"/>
        <v>7920.96</v>
      </c>
      <c r="N169" s="31">
        <v>2.0</v>
      </c>
      <c r="O169" s="19" t="s">
        <v>107</v>
      </c>
      <c r="P169" s="18"/>
      <c r="Q169" s="18"/>
      <c r="R169" s="23">
        <v>65.0</v>
      </c>
      <c r="S169" s="23">
        <v>446.0</v>
      </c>
      <c r="T169" s="23">
        <f t="shared" si="2"/>
        <v>428.16</v>
      </c>
      <c r="U169" s="23">
        <f t="shared" si="3"/>
        <v>79.625</v>
      </c>
      <c r="V169" s="23">
        <f t="shared" si="4"/>
        <v>1492.96875</v>
      </c>
      <c r="W169" s="24">
        <f t="shared" si="5"/>
        <v>6.587076923</v>
      </c>
    </row>
    <row r="170">
      <c r="A170" s="15" t="s">
        <v>484</v>
      </c>
      <c r="B170" s="15" t="s">
        <v>485</v>
      </c>
      <c r="C170" s="15" t="s">
        <v>7453</v>
      </c>
      <c r="D170" s="15" t="s">
        <v>486</v>
      </c>
      <c r="E170" s="17" t="s">
        <v>487</v>
      </c>
      <c r="F170" s="18"/>
      <c r="G170" s="15" t="s">
        <v>488</v>
      </c>
      <c r="H170" s="15" t="s">
        <v>489</v>
      </c>
      <c r="I170" s="18"/>
      <c r="J170" s="19" t="s">
        <v>36</v>
      </c>
      <c r="K170" s="19" t="s">
        <v>60</v>
      </c>
      <c r="L170" s="19" t="s">
        <v>52</v>
      </c>
      <c r="M170" s="20">
        <f t="shared" si="1"/>
        <v>6695.52</v>
      </c>
      <c r="N170" s="31">
        <v>1.0</v>
      </c>
      <c r="O170" s="19" t="s">
        <v>107</v>
      </c>
      <c r="P170" s="18"/>
      <c r="Q170" s="18"/>
      <c r="R170" s="23">
        <v>57.0</v>
      </c>
      <c r="S170" s="23">
        <v>377.0</v>
      </c>
      <c r="T170" s="23">
        <f t="shared" si="2"/>
        <v>361.92</v>
      </c>
      <c r="U170" s="23">
        <f t="shared" si="3"/>
        <v>69.825</v>
      </c>
      <c r="V170" s="23">
        <f t="shared" si="4"/>
        <v>1309.21875</v>
      </c>
      <c r="W170" s="24">
        <f t="shared" si="5"/>
        <v>6.349473684</v>
      </c>
    </row>
    <row r="171">
      <c r="A171" s="15" t="s">
        <v>357</v>
      </c>
      <c r="B171" s="15" t="s">
        <v>358</v>
      </c>
      <c r="C171" s="15" t="s">
        <v>7454</v>
      </c>
      <c r="D171" s="15" t="s">
        <v>359</v>
      </c>
      <c r="E171" s="17" t="s">
        <v>360</v>
      </c>
      <c r="F171" s="18"/>
      <c r="G171" s="15" t="s">
        <v>361</v>
      </c>
      <c r="H171" s="15" t="s">
        <v>362</v>
      </c>
      <c r="I171" s="18"/>
      <c r="J171" s="19" t="s">
        <v>36</v>
      </c>
      <c r="K171" s="19" t="s">
        <v>60</v>
      </c>
      <c r="L171" s="19" t="s">
        <v>52</v>
      </c>
      <c r="M171" s="20">
        <f t="shared" si="1"/>
        <v>7743.36</v>
      </c>
      <c r="N171" s="31">
        <v>1.0</v>
      </c>
      <c r="O171" s="19" t="s">
        <v>107</v>
      </c>
      <c r="P171" s="18"/>
      <c r="Q171" s="18"/>
      <c r="R171" s="23">
        <v>57.0</v>
      </c>
      <c r="S171" s="23">
        <v>436.0</v>
      </c>
      <c r="T171" s="23">
        <f t="shared" si="2"/>
        <v>418.56</v>
      </c>
      <c r="U171" s="23">
        <f t="shared" si="3"/>
        <v>69.825</v>
      </c>
      <c r="V171" s="23">
        <f t="shared" si="4"/>
        <v>1309.21875</v>
      </c>
      <c r="W171" s="24">
        <f t="shared" si="5"/>
        <v>7.343157895</v>
      </c>
    </row>
    <row r="172">
      <c r="A172" s="15" t="s">
        <v>286</v>
      </c>
      <c r="B172" s="15" t="s">
        <v>287</v>
      </c>
      <c r="C172" s="15" t="s">
        <v>6022</v>
      </c>
      <c r="D172" s="15" t="s">
        <v>288</v>
      </c>
      <c r="E172" s="17" t="s">
        <v>289</v>
      </c>
      <c r="F172" s="18"/>
      <c r="G172" s="15" t="s">
        <v>290</v>
      </c>
      <c r="H172" s="15" t="s">
        <v>291</v>
      </c>
      <c r="I172" s="18"/>
      <c r="J172" s="19" t="s">
        <v>36</v>
      </c>
      <c r="K172" s="19" t="s">
        <v>60</v>
      </c>
      <c r="L172" s="19" t="s">
        <v>292</v>
      </c>
      <c r="M172" s="20">
        <f t="shared" si="1"/>
        <v>1172.16</v>
      </c>
      <c r="N172" s="31">
        <v>3.0</v>
      </c>
      <c r="O172" s="19" t="s">
        <v>107</v>
      </c>
      <c r="P172" s="18"/>
      <c r="Q172" s="18"/>
      <c r="R172" s="23">
        <v>8.0</v>
      </c>
      <c r="S172" s="23">
        <v>66.0</v>
      </c>
      <c r="T172" s="23">
        <f t="shared" si="2"/>
        <v>63.36</v>
      </c>
      <c r="U172" s="23">
        <f t="shared" si="3"/>
        <v>9.8</v>
      </c>
      <c r="V172" s="23">
        <f t="shared" si="4"/>
        <v>183.75</v>
      </c>
      <c r="W172" s="24">
        <f t="shared" si="5"/>
        <v>7.92</v>
      </c>
    </row>
    <row r="173">
      <c r="A173" s="15" t="s">
        <v>770</v>
      </c>
      <c r="B173" s="18"/>
      <c r="C173" s="15" t="s">
        <v>6023</v>
      </c>
      <c r="D173" s="15" t="s">
        <v>772</v>
      </c>
      <c r="E173" s="17" t="s">
        <v>773</v>
      </c>
      <c r="F173" s="18"/>
      <c r="G173" s="18"/>
      <c r="H173" s="15" t="s">
        <v>774</v>
      </c>
      <c r="I173" s="18"/>
      <c r="J173" s="19" t="s">
        <v>36</v>
      </c>
      <c r="K173" s="33"/>
      <c r="L173" s="19" t="s">
        <v>775</v>
      </c>
      <c r="M173" s="20">
        <f t="shared" si="1"/>
        <v>1420.8</v>
      </c>
      <c r="N173" s="31">
        <v>4.0</v>
      </c>
      <c r="O173" s="19" t="s">
        <v>107</v>
      </c>
      <c r="P173" s="18"/>
      <c r="Q173" s="18"/>
      <c r="R173" s="23">
        <v>17.5</v>
      </c>
      <c r="S173" s="23">
        <v>80.0</v>
      </c>
      <c r="T173" s="23">
        <f t="shared" si="2"/>
        <v>76.8</v>
      </c>
      <c r="U173" s="23">
        <f t="shared" si="3"/>
        <v>21.4375</v>
      </c>
      <c r="V173" s="23">
        <f t="shared" si="4"/>
        <v>401.953125</v>
      </c>
      <c r="W173" s="24">
        <f t="shared" si="5"/>
        <v>4.388571429</v>
      </c>
    </row>
    <row r="174">
      <c r="A174" s="15" t="s">
        <v>1123</v>
      </c>
      <c r="B174" s="18"/>
      <c r="C174" s="15" t="s">
        <v>1124</v>
      </c>
      <c r="D174" s="15" t="s">
        <v>8174</v>
      </c>
      <c r="E174" s="17" t="s">
        <v>8175</v>
      </c>
      <c r="F174" s="18"/>
      <c r="G174" s="18"/>
      <c r="H174" s="15" t="s">
        <v>1127</v>
      </c>
      <c r="I174" s="15" t="s">
        <v>1128</v>
      </c>
      <c r="J174" s="19" t="s">
        <v>36</v>
      </c>
      <c r="K174" s="33"/>
      <c r="L174" s="19" t="s">
        <v>775</v>
      </c>
      <c r="M174" s="20">
        <f t="shared" si="1"/>
        <v>923.52</v>
      </c>
      <c r="N174" s="31">
        <v>4.0</v>
      </c>
      <c r="O174" s="19" t="s">
        <v>107</v>
      </c>
      <c r="P174" s="18"/>
      <c r="Q174" s="18"/>
      <c r="R174" s="23">
        <v>22.0</v>
      </c>
      <c r="S174" s="23">
        <v>52.0</v>
      </c>
      <c r="T174" s="23">
        <f t="shared" si="2"/>
        <v>49.92</v>
      </c>
      <c r="U174" s="23">
        <f t="shared" si="3"/>
        <v>26.95</v>
      </c>
      <c r="V174" s="23">
        <f t="shared" si="4"/>
        <v>505.3125</v>
      </c>
      <c r="W174" s="24">
        <f t="shared" si="5"/>
        <v>2.269090909</v>
      </c>
    </row>
    <row r="175">
      <c r="A175" s="15" t="s">
        <v>472</v>
      </c>
      <c r="B175" s="15" t="s">
        <v>473</v>
      </c>
      <c r="C175" s="15" t="s">
        <v>6082</v>
      </c>
      <c r="D175" s="15" t="s">
        <v>474</v>
      </c>
      <c r="E175" s="17" t="s">
        <v>475</v>
      </c>
      <c r="F175" s="18"/>
      <c r="G175" s="15" t="s">
        <v>476</v>
      </c>
      <c r="H175" s="15" t="s">
        <v>477</v>
      </c>
      <c r="I175" s="18"/>
      <c r="J175" s="19" t="s">
        <v>36</v>
      </c>
      <c r="K175" s="33"/>
      <c r="L175" s="19" t="s">
        <v>38</v>
      </c>
      <c r="M175" s="20">
        <f t="shared" si="1"/>
        <v>355.2</v>
      </c>
      <c r="N175" s="31">
        <v>10.0</v>
      </c>
      <c r="O175" s="19" t="s">
        <v>107</v>
      </c>
      <c r="P175" s="18"/>
      <c r="Q175" s="18"/>
      <c r="R175" s="23">
        <v>3.0</v>
      </c>
      <c r="S175" s="23">
        <v>20.0</v>
      </c>
      <c r="T175" s="23">
        <f t="shared" si="2"/>
        <v>19.2</v>
      </c>
      <c r="U175" s="23">
        <f t="shared" si="3"/>
        <v>3.675</v>
      </c>
      <c r="V175" s="23">
        <f t="shared" si="4"/>
        <v>68.90625</v>
      </c>
      <c r="W175" s="24">
        <f t="shared" si="5"/>
        <v>6.4</v>
      </c>
    </row>
    <row r="176">
      <c r="A176" s="15" t="s">
        <v>352</v>
      </c>
      <c r="B176" s="15" t="s">
        <v>353</v>
      </c>
      <c r="C176" s="15" t="s">
        <v>6024</v>
      </c>
      <c r="D176" s="15" t="s">
        <v>354</v>
      </c>
      <c r="E176" s="17" t="s">
        <v>355</v>
      </c>
      <c r="F176" s="18"/>
      <c r="G176" s="18"/>
      <c r="H176" s="15" t="s">
        <v>356</v>
      </c>
      <c r="I176" s="18"/>
      <c r="J176" s="19" t="s">
        <v>36</v>
      </c>
      <c r="K176" s="19" t="s">
        <v>1269</v>
      </c>
      <c r="L176" s="19" t="s">
        <v>38</v>
      </c>
      <c r="M176" s="20">
        <f t="shared" si="1"/>
        <v>4759.68</v>
      </c>
      <c r="N176" s="31">
        <v>6.0</v>
      </c>
      <c r="O176" s="19" t="s">
        <v>107</v>
      </c>
      <c r="P176" s="18"/>
      <c r="Q176" s="18"/>
      <c r="R176" s="23">
        <v>35.0</v>
      </c>
      <c r="S176" s="23">
        <v>268.0</v>
      </c>
      <c r="T176" s="23">
        <f t="shared" si="2"/>
        <v>257.28</v>
      </c>
      <c r="U176" s="23">
        <f t="shared" si="3"/>
        <v>42.875</v>
      </c>
      <c r="V176" s="23">
        <f t="shared" si="4"/>
        <v>803.90625</v>
      </c>
      <c r="W176" s="24">
        <f t="shared" si="5"/>
        <v>7.350857143</v>
      </c>
    </row>
    <row r="177">
      <c r="A177" s="15" t="s">
        <v>797</v>
      </c>
      <c r="B177" s="15" t="s">
        <v>798</v>
      </c>
      <c r="C177" s="15" t="s">
        <v>6025</v>
      </c>
      <c r="D177" s="15" t="s">
        <v>799</v>
      </c>
      <c r="E177" s="17" t="s">
        <v>800</v>
      </c>
      <c r="F177" s="18"/>
      <c r="G177" s="18"/>
      <c r="H177" s="15" t="s">
        <v>801</v>
      </c>
      <c r="I177" s="18"/>
      <c r="J177" s="19" t="s">
        <v>36</v>
      </c>
      <c r="K177" s="19" t="s">
        <v>1269</v>
      </c>
      <c r="L177" s="19" t="s">
        <v>38</v>
      </c>
      <c r="M177" s="20">
        <f t="shared" si="1"/>
        <v>1172.16</v>
      </c>
      <c r="N177" s="31">
        <v>6.0</v>
      </c>
      <c r="O177" s="19" t="s">
        <v>107</v>
      </c>
      <c r="P177" s="18"/>
      <c r="Q177" s="18"/>
      <c r="R177" s="23">
        <v>15.0</v>
      </c>
      <c r="S177" s="23">
        <v>66.0</v>
      </c>
      <c r="T177" s="23">
        <f t="shared" si="2"/>
        <v>63.36</v>
      </c>
      <c r="U177" s="23">
        <f t="shared" si="3"/>
        <v>18.375</v>
      </c>
      <c r="V177" s="23">
        <f t="shared" si="4"/>
        <v>344.53125</v>
      </c>
      <c r="W177" s="24">
        <f t="shared" si="5"/>
        <v>4.224</v>
      </c>
    </row>
    <row r="178">
      <c r="A178" s="15" t="s">
        <v>549</v>
      </c>
      <c r="B178" s="15" t="s">
        <v>550</v>
      </c>
      <c r="C178" s="15" t="s">
        <v>6026</v>
      </c>
      <c r="D178" s="15" t="s">
        <v>551</v>
      </c>
      <c r="E178" s="17" t="s">
        <v>552</v>
      </c>
      <c r="F178" s="18"/>
      <c r="G178" s="18"/>
      <c r="H178" s="15" t="s">
        <v>553</v>
      </c>
      <c r="I178" s="18"/>
      <c r="J178" s="19" t="s">
        <v>36</v>
      </c>
      <c r="K178" s="19" t="s">
        <v>1269</v>
      </c>
      <c r="L178" s="19" t="s">
        <v>38</v>
      </c>
      <c r="M178" s="20">
        <f t="shared" si="1"/>
        <v>1598.4</v>
      </c>
      <c r="N178" s="31">
        <v>6.0</v>
      </c>
      <c r="O178" s="19" t="s">
        <v>107</v>
      </c>
      <c r="P178" s="18"/>
      <c r="Q178" s="18"/>
      <c r="R178" s="23">
        <v>15.0</v>
      </c>
      <c r="S178" s="23">
        <v>90.0</v>
      </c>
      <c r="T178" s="23">
        <f t="shared" si="2"/>
        <v>86.4</v>
      </c>
      <c r="U178" s="23">
        <f t="shared" si="3"/>
        <v>18.375</v>
      </c>
      <c r="V178" s="23">
        <f t="shared" si="4"/>
        <v>344.53125</v>
      </c>
      <c r="W178" s="24">
        <f t="shared" si="5"/>
        <v>5.76</v>
      </c>
    </row>
    <row r="179">
      <c r="A179" s="15" t="s">
        <v>855</v>
      </c>
      <c r="B179" s="15" t="s">
        <v>856</v>
      </c>
      <c r="C179" s="15" t="s">
        <v>6071</v>
      </c>
      <c r="D179" s="15" t="s">
        <v>857</v>
      </c>
      <c r="E179" s="17" t="s">
        <v>858</v>
      </c>
      <c r="F179" s="18"/>
      <c r="G179" s="18"/>
      <c r="H179" s="15" t="s">
        <v>859</v>
      </c>
      <c r="I179" s="18"/>
      <c r="J179" s="19" t="s">
        <v>602</v>
      </c>
      <c r="K179" s="33"/>
      <c r="L179" s="19" t="s">
        <v>52</v>
      </c>
      <c r="M179" s="20">
        <f t="shared" si="1"/>
        <v>2468.64</v>
      </c>
      <c r="N179" s="31">
        <v>6.0</v>
      </c>
      <c r="O179" s="19" t="s">
        <v>107</v>
      </c>
      <c r="P179" s="18"/>
      <c r="Q179" s="18"/>
      <c r="R179" s="23">
        <v>33.0</v>
      </c>
      <c r="S179" s="23">
        <v>139.0</v>
      </c>
      <c r="T179" s="23">
        <f t="shared" si="2"/>
        <v>133.44</v>
      </c>
      <c r="U179" s="23">
        <f t="shared" si="3"/>
        <v>40.425</v>
      </c>
      <c r="V179" s="23">
        <f t="shared" si="4"/>
        <v>757.96875</v>
      </c>
      <c r="W179" s="24">
        <f t="shared" si="5"/>
        <v>4.043636364</v>
      </c>
    </row>
    <row r="180">
      <c r="A180" s="15" t="s">
        <v>557</v>
      </c>
      <c r="B180" s="15" t="s">
        <v>558</v>
      </c>
      <c r="C180" s="15" t="s">
        <v>6027</v>
      </c>
      <c r="D180" s="15" t="s">
        <v>559</v>
      </c>
      <c r="E180" s="17" t="s">
        <v>560</v>
      </c>
      <c r="F180" s="18"/>
      <c r="G180" s="18"/>
      <c r="H180" s="15" t="s">
        <v>561</v>
      </c>
      <c r="I180" s="18"/>
      <c r="J180" s="19" t="s">
        <v>36</v>
      </c>
      <c r="K180" s="33"/>
      <c r="L180" s="19" t="s">
        <v>177</v>
      </c>
      <c r="M180" s="20">
        <f t="shared" si="1"/>
        <v>2504.16</v>
      </c>
      <c r="N180" s="31">
        <v>3.0</v>
      </c>
      <c r="O180" s="19" t="s">
        <v>107</v>
      </c>
      <c r="P180" s="18"/>
      <c r="Q180" s="18"/>
      <c r="R180" s="23">
        <v>24.0</v>
      </c>
      <c r="S180" s="23">
        <v>141.0</v>
      </c>
      <c r="T180" s="23">
        <f t="shared" si="2"/>
        <v>135.36</v>
      </c>
      <c r="U180" s="23">
        <f t="shared" si="3"/>
        <v>29.4</v>
      </c>
      <c r="V180" s="23">
        <f t="shared" si="4"/>
        <v>551.25</v>
      </c>
      <c r="W180" s="24">
        <f t="shared" si="5"/>
        <v>5.64</v>
      </c>
    </row>
    <row r="181">
      <c r="A181" s="15" t="s">
        <v>692</v>
      </c>
      <c r="B181" s="15" t="s">
        <v>558</v>
      </c>
      <c r="C181" s="15" t="s">
        <v>6028</v>
      </c>
      <c r="D181" s="15" t="s">
        <v>694</v>
      </c>
      <c r="E181" s="17" t="s">
        <v>695</v>
      </c>
      <c r="F181" s="18"/>
      <c r="G181" s="18"/>
      <c r="H181" s="15" t="s">
        <v>696</v>
      </c>
      <c r="I181" s="18"/>
      <c r="J181" s="19" t="s">
        <v>36</v>
      </c>
      <c r="K181" s="33"/>
      <c r="L181" s="19" t="s">
        <v>177</v>
      </c>
      <c r="M181" s="20">
        <f t="shared" si="1"/>
        <v>3214.56</v>
      </c>
      <c r="N181" s="31">
        <v>3.0</v>
      </c>
      <c r="O181" s="19" t="s">
        <v>107</v>
      </c>
      <c r="P181" s="18"/>
      <c r="Q181" s="18"/>
      <c r="R181" s="23">
        <v>36.0</v>
      </c>
      <c r="S181" s="23">
        <v>181.0</v>
      </c>
      <c r="T181" s="23">
        <f t="shared" si="2"/>
        <v>173.76</v>
      </c>
      <c r="U181" s="23">
        <f t="shared" si="3"/>
        <v>44.1</v>
      </c>
      <c r="V181" s="23">
        <f t="shared" si="4"/>
        <v>826.875</v>
      </c>
      <c r="W181" s="24">
        <f t="shared" si="5"/>
        <v>4.826666667</v>
      </c>
    </row>
    <row r="182" hidden="1">
      <c r="A182" s="15" t="s">
        <v>3981</v>
      </c>
      <c r="B182" s="18"/>
      <c r="C182" s="15" t="s">
        <v>6341</v>
      </c>
      <c r="D182" s="15" t="s">
        <v>3982</v>
      </c>
      <c r="E182" s="17" t="s">
        <v>3983</v>
      </c>
      <c r="F182" s="18"/>
      <c r="G182" s="18"/>
      <c r="H182" s="15" t="s">
        <v>113</v>
      </c>
      <c r="I182" s="18"/>
      <c r="J182" s="19" t="s">
        <v>59</v>
      </c>
      <c r="K182" s="19" t="s">
        <v>402</v>
      </c>
      <c r="L182" s="19" t="s">
        <v>38</v>
      </c>
      <c r="M182" s="20">
        <f t="shared" si="1"/>
        <v>0</v>
      </c>
      <c r="N182" s="22"/>
      <c r="O182" s="19" t="s">
        <v>39</v>
      </c>
      <c r="P182" s="18"/>
      <c r="Q182" s="18"/>
      <c r="R182" s="23">
        <v>0.0</v>
      </c>
      <c r="S182" s="23">
        <v>0.0</v>
      </c>
      <c r="T182" s="23">
        <f t="shared" si="2"/>
        <v>0</v>
      </c>
      <c r="U182" s="23">
        <f t="shared" si="3"/>
        <v>0</v>
      </c>
      <c r="V182" s="23">
        <f t="shared" si="4"/>
        <v>0</v>
      </c>
      <c r="W182" s="24" t="str">
        <f t="shared" si="5"/>
        <v>#DIV/0!</v>
      </c>
    </row>
    <row r="183">
      <c r="A183" s="15" t="s">
        <v>1104</v>
      </c>
      <c r="B183" s="15" t="s">
        <v>1105</v>
      </c>
      <c r="C183" s="15" t="s">
        <v>6029</v>
      </c>
      <c r="D183" s="15" t="s">
        <v>7523</v>
      </c>
      <c r="E183" s="17" t="s">
        <v>1107</v>
      </c>
      <c r="F183" s="18"/>
      <c r="G183" s="15" t="s">
        <v>1108</v>
      </c>
      <c r="H183" s="15" t="s">
        <v>1109</v>
      </c>
      <c r="I183" s="18"/>
      <c r="J183" s="19" t="s">
        <v>36</v>
      </c>
      <c r="K183" s="19" t="s">
        <v>60</v>
      </c>
      <c r="L183" s="19" t="s">
        <v>177</v>
      </c>
      <c r="M183" s="20">
        <f t="shared" si="1"/>
        <v>3853.92</v>
      </c>
      <c r="N183" s="31">
        <v>3.0</v>
      </c>
      <c r="O183" s="19" t="s">
        <v>107</v>
      </c>
      <c r="P183" s="18"/>
      <c r="Q183" s="18"/>
      <c r="R183" s="23">
        <v>82.0</v>
      </c>
      <c r="S183" s="23">
        <v>217.0</v>
      </c>
      <c r="T183" s="23">
        <f t="shared" si="2"/>
        <v>208.32</v>
      </c>
      <c r="U183" s="23">
        <f t="shared" si="3"/>
        <v>100.45</v>
      </c>
      <c r="V183" s="23">
        <f t="shared" si="4"/>
        <v>1883.4375</v>
      </c>
      <c r="W183" s="24">
        <f t="shared" si="5"/>
        <v>2.540487805</v>
      </c>
    </row>
    <row r="184">
      <c r="A184" s="15" t="s">
        <v>1084</v>
      </c>
      <c r="B184" s="15" t="s">
        <v>1085</v>
      </c>
      <c r="C184" s="15" t="s">
        <v>7524</v>
      </c>
      <c r="D184" s="15" t="s">
        <v>1086</v>
      </c>
      <c r="E184" s="17" t="s">
        <v>1087</v>
      </c>
      <c r="F184" s="18"/>
      <c r="G184" s="18"/>
      <c r="H184" s="15" t="s">
        <v>1088</v>
      </c>
      <c r="I184" s="18"/>
      <c r="J184" s="19" t="s">
        <v>36</v>
      </c>
      <c r="K184" s="33"/>
      <c r="L184" s="19" t="s">
        <v>177</v>
      </c>
      <c r="M184" s="20">
        <f t="shared" si="1"/>
        <v>27385.92</v>
      </c>
      <c r="N184" s="31">
        <v>2.0</v>
      </c>
      <c r="O184" s="19" t="s">
        <v>107</v>
      </c>
      <c r="P184" s="18"/>
      <c r="Q184" s="18"/>
      <c r="R184" s="23">
        <v>530.0</v>
      </c>
      <c r="S184" s="23">
        <v>1542.0</v>
      </c>
      <c r="T184" s="23">
        <f t="shared" si="2"/>
        <v>1480.32</v>
      </c>
      <c r="U184" s="23">
        <f t="shared" si="3"/>
        <v>649.25</v>
      </c>
      <c r="V184" s="23">
        <f t="shared" si="4"/>
        <v>12173.4375</v>
      </c>
      <c r="W184" s="24">
        <f t="shared" si="5"/>
        <v>2.793056604</v>
      </c>
    </row>
    <row r="185" hidden="1">
      <c r="A185" s="15" t="s">
        <v>3995</v>
      </c>
      <c r="B185" s="15" t="s">
        <v>3996</v>
      </c>
      <c r="C185" s="15" t="s">
        <v>6344</v>
      </c>
      <c r="D185" s="15" t="s">
        <v>3997</v>
      </c>
      <c r="E185" s="17" t="s">
        <v>3998</v>
      </c>
      <c r="F185" s="18"/>
      <c r="G185" s="18"/>
      <c r="H185" s="15" t="s">
        <v>3999</v>
      </c>
      <c r="I185" s="18"/>
      <c r="J185" s="19" t="s">
        <v>59</v>
      </c>
      <c r="K185" s="19" t="s">
        <v>37</v>
      </c>
      <c r="L185" s="19" t="s">
        <v>38</v>
      </c>
      <c r="M185" s="20">
        <f t="shared" si="1"/>
        <v>0</v>
      </c>
      <c r="N185" s="22"/>
      <c r="O185" s="19" t="s">
        <v>1145</v>
      </c>
      <c r="P185" s="18"/>
      <c r="Q185" s="18"/>
      <c r="R185" s="23">
        <v>0.0</v>
      </c>
      <c r="S185" s="23">
        <v>0.0</v>
      </c>
      <c r="T185" s="23">
        <f t="shared" si="2"/>
        <v>0</v>
      </c>
      <c r="U185" s="23">
        <f t="shared" si="3"/>
        <v>0</v>
      </c>
      <c r="V185" s="23">
        <f t="shared" si="4"/>
        <v>0</v>
      </c>
      <c r="W185" s="24" t="str">
        <f t="shared" si="5"/>
        <v>#DIV/0!</v>
      </c>
    </row>
    <row r="186" hidden="1">
      <c r="A186" s="15" t="s">
        <v>4000</v>
      </c>
      <c r="B186" s="15" t="s">
        <v>4001</v>
      </c>
      <c r="C186" s="15" t="s">
        <v>6345</v>
      </c>
      <c r="D186" s="15" t="s">
        <v>4002</v>
      </c>
      <c r="E186" s="17" t="s">
        <v>4003</v>
      </c>
      <c r="F186" s="18"/>
      <c r="G186" s="18"/>
      <c r="H186" s="15" t="s">
        <v>3112</v>
      </c>
      <c r="I186" s="18"/>
      <c r="J186" s="19" t="s">
        <v>59</v>
      </c>
      <c r="K186" s="19" t="s">
        <v>37</v>
      </c>
      <c r="L186" s="19" t="s">
        <v>38</v>
      </c>
      <c r="M186" s="20">
        <f t="shared" si="1"/>
        <v>0</v>
      </c>
      <c r="N186" s="22"/>
      <c r="O186" s="19" t="s">
        <v>1145</v>
      </c>
      <c r="P186" s="18"/>
      <c r="Q186" s="18"/>
      <c r="R186" s="23">
        <v>0.0</v>
      </c>
      <c r="S186" s="23">
        <v>0.0</v>
      </c>
      <c r="T186" s="23">
        <f t="shared" si="2"/>
        <v>0</v>
      </c>
      <c r="U186" s="23">
        <f t="shared" si="3"/>
        <v>0</v>
      </c>
      <c r="V186" s="23">
        <f t="shared" si="4"/>
        <v>0</v>
      </c>
      <c r="W186" s="24" t="str">
        <f t="shared" si="5"/>
        <v>#DIV/0!</v>
      </c>
    </row>
    <row r="187" hidden="1">
      <c r="A187" s="15" t="s">
        <v>1359</v>
      </c>
      <c r="B187" s="15" t="s">
        <v>1360</v>
      </c>
      <c r="C187" s="15" t="s">
        <v>6346</v>
      </c>
      <c r="D187" s="15" t="s">
        <v>1361</v>
      </c>
      <c r="E187" s="17" t="s">
        <v>1362</v>
      </c>
      <c r="F187" s="18"/>
      <c r="G187" s="18"/>
      <c r="H187" s="15" t="s">
        <v>1363</v>
      </c>
      <c r="I187" s="18"/>
      <c r="J187" s="19" t="s">
        <v>59</v>
      </c>
      <c r="K187" s="19" t="s">
        <v>37</v>
      </c>
      <c r="L187" s="19" t="s">
        <v>38</v>
      </c>
      <c r="M187" s="20">
        <f t="shared" si="1"/>
        <v>0</v>
      </c>
      <c r="N187" s="22"/>
      <c r="O187" s="19" t="s">
        <v>1145</v>
      </c>
      <c r="P187" s="18"/>
      <c r="Q187" s="18"/>
      <c r="R187" s="23">
        <v>0.0</v>
      </c>
      <c r="S187" s="23">
        <v>0.0</v>
      </c>
      <c r="T187" s="23">
        <f t="shared" si="2"/>
        <v>0</v>
      </c>
      <c r="U187" s="23">
        <f t="shared" si="3"/>
        <v>0</v>
      </c>
      <c r="V187" s="23">
        <f t="shared" si="4"/>
        <v>0</v>
      </c>
      <c r="W187" s="24" t="str">
        <f t="shared" si="5"/>
        <v>#DIV/0!</v>
      </c>
    </row>
    <row r="188" hidden="1">
      <c r="A188" s="15" t="s">
        <v>4004</v>
      </c>
      <c r="B188" s="15" t="s">
        <v>4005</v>
      </c>
      <c r="C188" s="15" t="s">
        <v>6347</v>
      </c>
      <c r="D188" s="15" t="s">
        <v>4006</v>
      </c>
      <c r="E188" s="17" t="s">
        <v>4007</v>
      </c>
      <c r="F188" s="18"/>
      <c r="G188" s="18"/>
      <c r="H188" s="15" t="s">
        <v>4008</v>
      </c>
      <c r="I188" s="18"/>
      <c r="J188" s="19" t="s">
        <v>59</v>
      </c>
      <c r="K188" s="19" t="s">
        <v>37</v>
      </c>
      <c r="L188" s="19" t="s">
        <v>38</v>
      </c>
      <c r="M188" s="20">
        <f t="shared" si="1"/>
        <v>0</v>
      </c>
      <c r="N188" s="22"/>
      <c r="O188" s="19" t="s">
        <v>1145</v>
      </c>
      <c r="P188" s="18"/>
      <c r="Q188" s="18"/>
      <c r="R188" s="23">
        <v>0.0</v>
      </c>
      <c r="S188" s="23">
        <v>0.0</v>
      </c>
      <c r="T188" s="23">
        <f t="shared" si="2"/>
        <v>0</v>
      </c>
      <c r="U188" s="23">
        <f t="shared" si="3"/>
        <v>0</v>
      </c>
      <c r="V188" s="23">
        <f t="shared" si="4"/>
        <v>0</v>
      </c>
      <c r="W188" s="24" t="str">
        <f t="shared" si="5"/>
        <v>#DIV/0!</v>
      </c>
    </row>
    <row r="189" hidden="1">
      <c r="A189" s="15" t="s">
        <v>1364</v>
      </c>
      <c r="B189" s="18"/>
      <c r="C189" s="15" t="s">
        <v>6348</v>
      </c>
      <c r="D189" s="18"/>
      <c r="E189" s="17" t="s">
        <v>1365</v>
      </c>
      <c r="F189" s="18"/>
      <c r="G189" s="15" t="s">
        <v>1365</v>
      </c>
      <c r="H189" s="15" t="s">
        <v>1366</v>
      </c>
      <c r="I189" s="18"/>
      <c r="J189" s="19" t="s">
        <v>59</v>
      </c>
      <c r="K189" s="19" t="s">
        <v>402</v>
      </c>
      <c r="L189" s="19" t="s">
        <v>38</v>
      </c>
      <c r="M189" s="20">
        <f t="shared" si="1"/>
        <v>0</v>
      </c>
      <c r="N189" s="22"/>
      <c r="O189" s="19" t="s">
        <v>1145</v>
      </c>
      <c r="P189" s="18"/>
      <c r="Q189" s="18"/>
      <c r="R189" s="23">
        <v>0.0</v>
      </c>
      <c r="S189" s="23">
        <v>0.0</v>
      </c>
      <c r="T189" s="23">
        <f t="shared" si="2"/>
        <v>0</v>
      </c>
      <c r="U189" s="23">
        <f t="shared" si="3"/>
        <v>0</v>
      </c>
      <c r="V189" s="23">
        <f t="shared" si="4"/>
        <v>0</v>
      </c>
      <c r="W189" s="24" t="str">
        <f t="shared" si="5"/>
        <v>#DIV/0!</v>
      </c>
    </row>
    <row r="190">
      <c r="A190" s="15" t="s">
        <v>369</v>
      </c>
      <c r="B190" s="15" t="s">
        <v>370</v>
      </c>
      <c r="C190" s="15" t="s">
        <v>7525</v>
      </c>
      <c r="D190" s="15" t="s">
        <v>371</v>
      </c>
      <c r="E190" s="17" t="s">
        <v>372</v>
      </c>
      <c r="F190" s="18"/>
      <c r="G190" s="18"/>
      <c r="H190" s="15" t="s">
        <v>373</v>
      </c>
      <c r="I190" s="18"/>
      <c r="J190" s="19" t="s">
        <v>36</v>
      </c>
      <c r="K190" s="19" t="s">
        <v>60</v>
      </c>
      <c r="L190" s="19" t="s">
        <v>177</v>
      </c>
      <c r="M190" s="20">
        <f t="shared" si="1"/>
        <v>42197.76</v>
      </c>
      <c r="N190" s="31">
        <v>1.0</v>
      </c>
      <c r="O190" s="19" t="s">
        <v>107</v>
      </c>
      <c r="P190" s="18"/>
      <c r="Q190" s="18"/>
      <c r="R190" s="23">
        <v>260.0</v>
      </c>
      <c r="S190" s="23">
        <v>2376.0</v>
      </c>
      <c r="T190" s="23">
        <f t="shared" si="2"/>
        <v>2280.96</v>
      </c>
      <c r="U190" s="23">
        <f t="shared" si="3"/>
        <v>318.5</v>
      </c>
      <c r="V190" s="23">
        <f t="shared" si="4"/>
        <v>5971.875</v>
      </c>
      <c r="W190" s="24">
        <f t="shared" si="5"/>
        <v>8.772923077</v>
      </c>
    </row>
    <row r="191">
      <c r="A191" s="15" t="s">
        <v>461</v>
      </c>
      <c r="B191" s="15" t="s">
        <v>462</v>
      </c>
      <c r="C191" s="15" t="s">
        <v>7526</v>
      </c>
      <c r="D191" s="15" t="s">
        <v>463</v>
      </c>
      <c r="E191" s="17" t="s">
        <v>464</v>
      </c>
      <c r="F191" s="18"/>
      <c r="G191" s="18"/>
      <c r="H191" s="15" t="s">
        <v>465</v>
      </c>
      <c r="I191" s="15" t="s">
        <v>187</v>
      </c>
      <c r="J191" s="19" t="s">
        <v>36</v>
      </c>
      <c r="K191" s="19" t="s">
        <v>60</v>
      </c>
      <c r="L191" s="19" t="s">
        <v>177</v>
      </c>
      <c r="M191" s="20">
        <f t="shared" si="1"/>
        <v>38681.28</v>
      </c>
      <c r="N191" s="31">
        <v>1.0</v>
      </c>
      <c r="O191" s="19" t="s">
        <v>107</v>
      </c>
      <c r="P191" s="18"/>
      <c r="Q191" s="18"/>
      <c r="R191" s="23">
        <v>250.0</v>
      </c>
      <c r="S191" s="23">
        <v>2178.0</v>
      </c>
      <c r="T191" s="23">
        <f t="shared" si="2"/>
        <v>2090.88</v>
      </c>
      <c r="U191" s="23">
        <f t="shared" si="3"/>
        <v>306.25</v>
      </c>
      <c r="V191" s="23">
        <f t="shared" si="4"/>
        <v>5742.1875</v>
      </c>
      <c r="W191" s="24">
        <f t="shared" si="5"/>
        <v>8.36352</v>
      </c>
    </row>
    <row r="192">
      <c r="A192" s="15" t="s">
        <v>363</v>
      </c>
      <c r="B192" s="15" t="s">
        <v>364</v>
      </c>
      <c r="C192" s="15" t="s">
        <v>6030</v>
      </c>
      <c r="D192" s="15" t="s">
        <v>365</v>
      </c>
      <c r="E192" s="17" t="s">
        <v>366</v>
      </c>
      <c r="F192" s="18"/>
      <c r="G192" s="18"/>
      <c r="H192" s="15" t="s">
        <v>367</v>
      </c>
      <c r="I192" s="18"/>
      <c r="J192" s="19" t="s">
        <v>59</v>
      </c>
      <c r="K192" s="19" t="s">
        <v>60</v>
      </c>
      <c r="L192" s="19" t="s">
        <v>38</v>
      </c>
      <c r="M192" s="20">
        <f t="shared" si="1"/>
        <v>745.92</v>
      </c>
      <c r="N192" s="31">
        <v>3.0</v>
      </c>
      <c r="O192" s="19" t="s">
        <v>107</v>
      </c>
      <c r="P192" s="18"/>
      <c r="Q192" s="18"/>
      <c r="R192" s="23">
        <v>5.5</v>
      </c>
      <c r="S192" s="23">
        <v>42.0</v>
      </c>
      <c r="T192" s="23">
        <f t="shared" si="2"/>
        <v>40.32</v>
      </c>
      <c r="U192" s="23">
        <f t="shared" si="3"/>
        <v>6.7375</v>
      </c>
      <c r="V192" s="23">
        <f t="shared" si="4"/>
        <v>126.328125</v>
      </c>
      <c r="W192" s="24">
        <f t="shared" si="5"/>
        <v>7.330909091</v>
      </c>
    </row>
    <row r="193">
      <c r="A193" s="15" t="s">
        <v>668</v>
      </c>
      <c r="B193" s="15" t="s">
        <v>669</v>
      </c>
      <c r="C193" s="15" t="s">
        <v>6031</v>
      </c>
      <c r="D193" s="15" t="s">
        <v>670</v>
      </c>
      <c r="E193" s="17" t="s">
        <v>671</v>
      </c>
      <c r="F193" s="18"/>
      <c r="G193" s="18"/>
      <c r="H193" s="15" t="s">
        <v>672</v>
      </c>
      <c r="I193" s="18"/>
      <c r="J193" s="19" t="s">
        <v>59</v>
      </c>
      <c r="K193" s="19" t="s">
        <v>200</v>
      </c>
      <c r="L193" s="19" t="s">
        <v>38</v>
      </c>
      <c r="M193" s="20">
        <f t="shared" si="1"/>
        <v>1456.32</v>
      </c>
      <c r="N193" s="31">
        <v>5.0</v>
      </c>
      <c r="O193" s="19" t="s">
        <v>107</v>
      </c>
      <c r="P193" s="18"/>
      <c r="Q193" s="18"/>
      <c r="R193" s="23">
        <v>16.0</v>
      </c>
      <c r="S193" s="23">
        <v>82.0</v>
      </c>
      <c r="T193" s="23">
        <f t="shared" si="2"/>
        <v>78.72</v>
      </c>
      <c r="U193" s="23">
        <f t="shared" si="3"/>
        <v>19.6</v>
      </c>
      <c r="V193" s="23">
        <f t="shared" si="4"/>
        <v>367.5</v>
      </c>
      <c r="W193" s="24">
        <f t="shared" si="5"/>
        <v>4.92</v>
      </c>
    </row>
    <row r="194">
      <c r="A194" s="15" t="s">
        <v>871</v>
      </c>
      <c r="B194" s="15" t="s">
        <v>872</v>
      </c>
      <c r="C194" s="15" t="s">
        <v>6032</v>
      </c>
      <c r="D194" s="15" t="s">
        <v>873</v>
      </c>
      <c r="E194" s="17" t="s">
        <v>874</v>
      </c>
      <c r="F194" s="18"/>
      <c r="G194" s="15" t="s">
        <v>875</v>
      </c>
      <c r="H194" s="15" t="s">
        <v>876</v>
      </c>
      <c r="I194" s="18"/>
      <c r="J194" s="19" t="s">
        <v>59</v>
      </c>
      <c r="K194" s="19" t="s">
        <v>200</v>
      </c>
      <c r="L194" s="19" t="s">
        <v>292</v>
      </c>
      <c r="M194" s="20">
        <f t="shared" si="1"/>
        <v>1243.2</v>
      </c>
      <c r="N194" s="31">
        <v>5.0</v>
      </c>
      <c r="O194" s="19" t="s">
        <v>107</v>
      </c>
      <c r="P194" s="18"/>
      <c r="Q194" s="18"/>
      <c r="R194" s="23">
        <v>17.0</v>
      </c>
      <c r="S194" s="23">
        <v>70.0</v>
      </c>
      <c r="T194" s="23">
        <f t="shared" si="2"/>
        <v>67.2</v>
      </c>
      <c r="U194" s="23">
        <f t="shared" si="3"/>
        <v>20.825</v>
      </c>
      <c r="V194" s="23">
        <f t="shared" si="4"/>
        <v>390.46875</v>
      </c>
      <c r="W194" s="24">
        <f t="shared" si="5"/>
        <v>3.952941176</v>
      </c>
    </row>
    <row r="195">
      <c r="A195" s="15" t="s">
        <v>634</v>
      </c>
      <c r="B195" s="15" t="s">
        <v>635</v>
      </c>
      <c r="C195" s="15" t="s">
        <v>6033</v>
      </c>
      <c r="D195" s="15" t="s">
        <v>636</v>
      </c>
      <c r="E195" s="17" t="s">
        <v>637</v>
      </c>
      <c r="F195" s="18"/>
      <c r="G195" s="18"/>
      <c r="H195" s="15" t="s">
        <v>638</v>
      </c>
      <c r="I195" s="18"/>
      <c r="J195" s="19" t="s">
        <v>59</v>
      </c>
      <c r="K195" s="19" t="s">
        <v>200</v>
      </c>
      <c r="L195" s="19" t="s">
        <v>292</v>
      </c>
      <c r="M195" s="20">
        <f t="shared" si="1"/>
        <v>745.92</v>
      </c>
      <c r="N195" s="31">
        <v>5.0</v>
      </c>
      <c r="O195" s="19" t="s">
        <v>107</v>
      </c>
      <c r="P195" s="18"/>
      <c r="Q195" s="18"/>
      <c r="R195" s="23">
        <v>8.0</v>
      </c>
      <c r="S195" s="23">
        <v>42.0</v>
      </c>
      <c r="T195" s="23">
        <f t="shared" si="2"/>
        <v>40.32</v>
      </c>
      <c r="U195" s="23">
        <f t="shared" si="3"/>
        <v>9.8</v>
      </c>
      <c r="V195" s="23">
        <f t="shared" si="4"/>
        <v>183.75</v>
      </c>
      <c r="W195" s="24">
        <f t="shared" si="5"/>
        <v>5.04</v>
      </c>
    </row>
    <row r="196">
      <c r="A196" s="15" t="s">
        <v>718</v>
      </c>
      <c r="B196" s="15" t="s">
        <v>719</v>
      </c>
      <c r="C196" s="15" t="s">
        <v>6085</v>
      </c>
      <c r="D196" s="15" t="s">
        <v>720</v>
      </c>
      <c r="E196" s="17" t="s">
        <v>721</v>
      </c>
      <c r="F196" s="18"/>
      <c r="G196" s="15" t="s">
        <v>722</v>
      </c>
      <c r="H196" s="15" t="s">
        <v>723</v>
      </c>
      <c r="I196" s="18"/>
      <c r="J196" s="19" t="s">
        <v>59</v>
      </c>
      <c r="K196" s="19" t="s">
        <v>60</v>
      </c>
      <c r="L196" s="19" t="s">
        <v>38</v>
      </c>
      <c r="M196" s="20">
        <f t="shared" si="1"/>
        <v>2592.96</v>
      </c>
      <c r="N196" s="31">
        <v>5.0</v>
      </c>
      <c r="O196" s="19" t="s">
        <v>107</v>
      </c>
      <c r="P196" s="18"/>
      <c r="Q196" s="18"/>
      <c r="R196" s="23">
        <v>30.0</v>
      </c>
      <c r="S196" s="23">
        <v>146.0</v>
      </c>
      <c r="T196" s="23">
        <f t="shared" si="2"/>
        <v>140.16</v>
      </c>
      <c r="U196" s="23">
        <f t="shared" si="3"/>
        <v>36.75</v>
      </c>
      <c r="V196" s="23">
        <f t="shared" si="4"/>
        <v>689.0625</v>
      </c>
      <c r="W196" s="24">
        <f t="shared" si="5"/>
        <v>4.672</v>
      </c>
    </row>
    <row r="197">
      <c r="A197" s="15" t="s">
        <v>819</v>
      </c>
      <c r="B197" s="15" t="s">
        <v>820</v>
      </c>
      <c r="C197" s="15" t="s">
        <v>6034</v>
      </c>
      <c r="D197" s="15" t="s">
        <v>821</v>
      </c>
      <c r="E197" s="17" t="s">
        <v>822</v>
      </c>
      <c r="F197" s="18"/>
      <c r="G197" s="18"/>
      <c r="H197" s="15" t="s">
        <v>823</v>
      </c>
      <c r="I197" s="18"/>
      <c r="J197" s="19" t="s">
        <v>59</v>
      </c>
      <c r="K197" s="19" t="s">
        <v>200</v>
      </c>
      <c r="L197" s="19" t="s">
        <v>38</v>
      </c>
      <c r="M197" s="20">
        <f t="shared" si="1"/>
        <v>230.88</v>
      </c>
      <c r="N197" s="31">
        <v>5.0</v>
      </c>
      <c r="O197" s="19" t="s">
        <v>107</v>
      </c>
      <c r="P197" s="18"/>
      <c r="Q197" s="18"/>
      <c r="R197" s="23">
        <v>3.0</v>
      </c>
      <c r="S197" s="23">
        <v>13.0</v>
      </c>
      <c r="T197" s="23">
        <f t="shared" si="2"/>
        <v>12.48</v>
      </c>
      <c r="U197" s="23">
        <f t="shared" si="3"/>
        <v>3.675</v>
      </c>
      <c r="V197" s="23">
        <f t="shared" si="4"/>
        <v>68.90625</v>
      </c>
      <c r="W197" s="24">
        <f t="shared" si="5"/>
        <v>4.16</v>
      </c>
    </row>
    <row r="198">
      <c r="A198" s="15" t="s">
        <v>758</v>
      </c>
      <c r="B198" s="15" t="s">
        <v>759</v>
      </c>
      <c r="C198" s="15" t="s">
        <v>6086</v>
      </c>
      <c r="D198" s="15" t="s">
        <v>760</v>
      </c>
      <c r="E198" s="17" t="s">
        <v>761</v>
      </c>
      <c r="F198" s="18"/>
      <c r="G198" s="18"/>
      <c r="H198" s="15" t="s">
        <v>762</v>
      </c>
      <c r="I198" s="18"/>
      <c r="J198" s="19" t="s">
        <v>59</v>
      </c>
      <c r="K198" s="19" t="s">
        <v>60</v>
      </c>
      <c r="L198" s="19" t="s">
        <v>38</v>
      </c>
      <c r="M198" s="20">
        <f t="shared" si="1"/>
        <v>1172.16</v>
      </c>
      <c r="N198" s="31">
        <v>5.0</v>
      </c>
      <c r="O198" s="19" t="s">
        <v>107</v>
      </c>
      <c r="P198" s="18"/>
      <c r="Q198" s="18"/>
      <c r="R198" s="23">
        <v>14.0</v>
      </c>
      <c r="S198" s="23">
        <v>66.0</v>
      </c>
      <c r="T198" s="23">
        <f t="shared" si="2"/>
        <v>63.36</v>
      </c>
      <c r="U198" s="23">
        <f t="shared" si="3"/>
        <v>17.15</v>
      </c>
      <c r="V198" s="23">
        <f t="shared" si="4"/>
        <v>321.5625</v>
      </c>
      <c r="W198" s="24">
        <f t="shared" si="5"/>
        <v>4.525714286</v>
      </c>
    </row>
    <row r="199">
      <c r="A199" s="15" t="s">
        <v>1135</v>
      </c>
      <c r="B199" s="15" t="s">
        <v>1136</v>
      </c>
      <c r="C199" s="15" t="s">
        <v>1137</v>
      </c>
      <c r="D199" s="15" t="s">
        <v>1138</v>
      </c>
      <c r="E199" s="17" t="s">
        <v>1139</v>
      </c>
      <c r="F199" s="18"/>
      <c r="G199" s="18"/>
      <c r="H199" s="15" t="s">
        <v>1140</v>
      </c>
      <c r="I199" s="18"/>
      <c r="J199" s="19" t="s">
        <v>59</v>
      </c>
      <c r="K199" s="19" t="s">
        <v>52</v>
      </c>
      <c r="L199" s="19" t="s">
        <v>52</v>
      </c>
      <c r="M199" s="20">
        <f t="shared" si="1"/>
        <v>177.6</v>
      </c>
      <c r="N199" s="31">
        <v>6.0</v>
      </c>
      <c r="O199" s="19" t="s">
        <v>107</v>
      </c>
      <c r="P199" s="18"/>
      <c r="Q199" s="18"/>
      <c r="R199" s="23">
        <v>5.0</v>
      </c>
      <c r="S199" s="23">
        <v>10.0</v>
      </c>
      <c r="T199" s="23">
        <f t="shared" si="2"/>
        <v>9.6</v>
      </c>
      <c r="U199" s="23">
        <f t="shared" si="3"/>
        <v>6.125</v>
      </c>
      <c r="V199" s="23">
        <f t="shared" si="4"/>
        <v>114.84375</v>
      </c>
      <c r="W199" s="24">
        <f t="shared" si="5"/>
        <v>1.92</v>
      </c>
    </row>
    <row r="200">
      <c r="A200" s="15" t="s">
        <v>850</v>
      </c>
      <c r="B200" s="15" t="s">
        <v>851</v>
      </c>
      <c r="C200" s="15" t="s">
        <v>7638</v>
      </c>
      <c r="D200" s="15" t="s">
        <v>852</v>
      </c>
      <c r="E200" s="17" t="s">
        <v>853</v>
      </c>
      <c r="F200" s="18"/>
      <c r="G200" s="15" t="s">
        <v>683</v>
      </c>
      <c r="H200" s="15" t="s">
        <v>854</v>
      </c>
      <c r="I200" s="18"/>
      <c r="J200" s="19" t="s">
        <v>59</v>
      </c>
      <c r="K200" s="19" t="s">
        <v>60</v>
      </c>
      <c r="L200" s="19" t="s">
        <v>292</v>
      </c>
      <c r="M200" s="20">
        <f t="shared" si="1"/>
        <v>3516.48</v>
      </c>
      <c r="N200" s="31">
        <v>2.0</v>
      </c>
      <c r="O200" s="19" t="s">
        <v>107</v>
      </c>
      <c r="P200" s="18"/>
      <c r="Q200" s="18"/>
      <c r="R200" s="23">
        <v>47.0</v>
      </c>
      <c r="S200" s="23">
        <v>198.0</v>
      </c>
      <c r="T200" s="23">
        <f t="shared" si="2"/>
        <v>190.08</v>
      </c>
      <c r="U200" s="23">
        <f t="shared" si="3"/>
        <v>57.575</v>
      </c>
      <c r="V200" s="23">
        <f t="shared" si="4"/>
        <v>1079.53125</v>
      </c>
      <c r="W200" s="24">
        <f t="shared" si="5"/>
        <v>4.044255319</v>
      </c>
    </row>
    <row r="201">
      <c r="A201" s="15" t="s">
        <v>1009</v>
      </c>
      <c r="B201" s="15" t="s">
        <v>1010</v>
      </c>
      <c r="C201" s="15" t="s">
        <v>6106</v>
      </c>
      <c r="D201" s="15" t="s">
        <v>1011</v>
      </c>
      <c r="E201" s="17" t="s">
        <v>1012</v>
      </c>
      <c r="F201" s="18"/>
      <c r="G201" s="18"/>
      <c r="H201" s="15" t="s">
        <v>1013</v>
      </c>
      <c r="I201" s="18"/>
      <c r="J201" s="19" t="s">
        <v>59</v>
      </c>
      <c r="K201" s="19" t="s">
        <v>200</v>
      </c>
      <c r="L201" s="19" t="s">
        <v>38</v>
      </c>
      <c r="M201" s="20">
        <f t="shared" si="1"/>
        <v>124.32</v>
      </c>
      <c r="N201" s="31">
        <v>16.0</v>
      </c>
      <c r="O201" s="19" t="s">
        <v>107</v>
      </c>
      <c r="P201" s="18"/>
      <c r="Q201" s="18"/>
      <c r="R201" s="23">
        <v>2.0</v>
      </c>
      <c r="S201" s="23">
        <v>7.0</v>
      </c>
      <c r="T201" s="23">
        <f t="shared" si="2"/>
        <v>6.72</v>
      </c>
      <c r="U201" s="23">
        <f t="shared" si="3"/>
        <v>2.45</v>
      </c>
      <c r="V201" s="23">
        <f t="shared" si="4"/>
        <v>45.9375</v>
      </c>
      <c r="W201" s="24">
        <f t="shared" si="5"/>
        <v>3.36</v>
      </c>
    </row>
    <row r="202">
      <c r="A202" s="15" t="s">
        <v>901</v>
      </c>
      <c r="B202" s="15" t="s">
        <v>902</v>
      </c>
      <c r="C202" s="15" t="s">
        <v>7642</v>
      </c>
      <c r="D202" s="15" t="s">
        <v>903</v>
      </c>
      <c r="E202" s="17" t="s">
        <v>904</v>
      </c>
      <c r="F202" s="18"/>
      <c r="G202" s="18"/>
      <c r="H202" s="15" t="s">
        <v>905</v>
      </c>
      <c r="I202" s="18"/>
      <c r="J202" s="19" t="s">
        <v>59</v>
      </c>
      <c r="K202" s="19" t="s">
        <v>200</v>
      </c>
      <c r="L202" s="19" t="s">
        <v>38</v>
      </c>
      <c r="M202" s="20">
        <f t="shared" si="1"/>
        <v>142.08</v>
      </c>
      <c r="N202" s="31">
        <v>16.0</v>
      </c>
      <c r="O202" s="19" t="s">
        <v>107</v>
      </c>
      <c r="P202" s="18"/>
      <c r="Q202" s="18"/>
      <c r="R202" s="23">
        <v>2.0</v>
      </c>
      <c r="S202" s="23">
        <v>8.0</v>
      </c>
      <c r="T202" s="23">
        <f t="shared" si="2"/>
        <v>7.68</v>
      </c>
      <c r="U202" s="23">
        <f t="shared" si="3"/>
        <v>2.45</v>
      </c>
      <c r="V202" s="23">
        <f t="shared" si="4"/>
        <v>45.9375</v>
      </c>
      <c r="W202" s="24">
        <f t="shared" si="5"/>
        <v>3.84</v>
      </c>
    </row>
    <row r="203">
      <c r="A203" s="15" t="s">
        <v>786</v>
      </c>
      <c r="B203" s="15" t="s">
        <v>787</v>
      </c>
      <c r="C203" s="15" t="s">
        <v>6107</v>
      </c>
      <c r="D203" s="15" t="s">
        <v>788</v>
      </c>
      <c r="E203" s="17" t="s">
        <v>789</v>
      </c>
      <c r="F203" s="18"/>
      <c r="G203" s="18"/>
      <c r="H203" s="15" t="s">
        <v>790</v>
      </c>
      <c r="I203" s="18"/>
      <c r="J203" s="19" t="s">
        <v>59</v>
      </c>
      <c r="K203" s="19" t="s">
        <v>200</v>
      </c>
      <c r="L203" s="19" t="s">
        <v>38</v>
      </c>
      <c r="M203" s="20">
        <f t="shared" si="1"/>
        <v>159.84</v>
      </c>
      <c r="N203" s="31">
        <v>16.0</v>
      </c>
      <c r="O203" s="19" t="s">
        <v>107</v>
      </c>
      <c r="P203" s="18"/>
      <c r="Q203" s="18"/>
      <c r="R203" s="23">
        <v>2.0</v>
      </c>
      <c r="S203" s="23">
        <v>9.0</v>
      </c>
      <c r="T203" s="23">
        <f t="shared" si="2"/>
        <v>8.64</v>
      </c>
      <c r="U203" s="23">
        <f t="shared" si="3"/>
        <v>2.45</v>
      </c>
      <c r="V203" s="23">
        <f t="shared" si="4"/>
        <v>45.9375</v>
      </c>
      <c r="W203" s="24">
        <f t="shared" si="5"/>
        <v>4.32</v>
      </c>
    </row>
    <row r="204" hidden="1">
      <c r="A204" s="15" t="s">
        <v>6365</v>
      </c>
      <c r="B204" s="18"/>
      <c r="C204" s="15" t="s">
        <v>6366</v>
      </c>
      <c r="D204" s="18"/>
      <c r="E204" s="17" t="s">
        <v>6367</v>
      </c>
      <c r="F204" s="18"/>
      <c r="G204" s="18"/>
      <c r="H204" s="15" t="s">
        <v>585</v>
      </c>
      <c r="I204" s="18"/>
      <c r="J204" s="19" t="s">
        <v>59</v>
      </c>
      <c r="K204" s="19" t="s">
        <v>284</v>
      </c>
      <c r="L204" s="19" t="s">
        <v>38</v>
      </c>
      <c r="M204" s="20">
        <f t="shared" si="1"/>
        <v>0</v>
      </c>
      <c r="N204" s="22"/>
      <c r="O204" s="19" t="s">
        <v>39</v>
      </c>
      <c r="P204" s="18"/>
      <c r="Q204" s="18"/>
      <c r="R204" s="23">
        <v>0.0</v>
      </c>
      <c r="S204" s="23">
        <v>0.0</v>
      </c>
      <c r="T204" s="23">
        <f t="shared" si="2"/>
        <v>0</v>
      </c>
      <c r="U204" s="23">
        <f t="shared" si="3"/>
        <v>0</v>
      </c>
      <c r="V204" s="23">
        <f t="shared" si="4"/>
        <v>0</v>
      </c>
      <c r="W204" s="24" t="str">
        <f t="shared" si="5"/>
        <v>#DIV/0!</v>
      </c>
    </row>
    <row r="205">
      <c r="A205" s="15" t="s">
        <v>645</v>
      </c>
      <c r="B205" s="15" t="s">
        <v>646</v>
      </c>
      <c r="C205" s="15" t="s">
        <v>6035</v>
      </c>
      <c r="D205" s="15" t="s">
        <v>7644</v>
      </c>
      <c r="E205" s="17" t="s">
        <v>648</v>
      </c>
      <c r="F205" s="18"/>
      <c r="G205" s="15" t="s">
        <v>649</v>
      </c>
      <c r="H205" s="15" t="s">
        <v>650</v>
      </c>
      <c r="I205" s="18"/>
      <c r="J205" s="19" t="s">
        <v>59</v>
      </c>
      <c r="K205" s="19" t="s">
        <v>427</v>
      </c>
      <c r="L205" s="19" t="s">
        <v>292</v>
      </c>
      <c r="M205" s="20">
        <f t="shared" si="1"/>
        <v>1669.44</v>
      </c>
      <c r="N205" s="31">
        <v>5.0</v>
      </c>
      <c r="O205" s="19" t="s">
        <v>107</v>
      </c>
      <c r="P205" s="18"/>
      <c r="Q205" s="18"/>
      <c r="R205" s="23">
        <v>18.0</v>
      </c>
      <c r="S205" s="23">
        <v>94.0</v>
      </c>
      <c r="T205" s="23">
        <f t="shared" si="2"/>
        <v>90.24</v>
      </c>
      <c r="U205" s="23">
        <f t="shared" si="3"/>
        <v>22.05</v>
      </c>
      <c r="V205" s="23">
        <f t="shared" si="4"/>
        <v>413.4375</v>
      </c>
      <c r="W205" s="24">
        <f t="shared" si="5"/>
        <v>5.013333333</v>
      </c>
    </row>
    <row r="206">
      <c r="A206" s="15" t="s">
        <v>865</v>
      </c>
      <c r="B206" s="15" t="s">
        <v>866</v>
      </c>
      <c r="C206" s="15" t="s">
        <v>7657</v>
      </c>
      <c r="D206" s="15" t="s">
        <v>867</v>
      </c>
      <c r="E206" s="17" t="s">
        <v>868</v>
      </c>
      <c r="F206" s="18"/>
      <c r="G206" s="15" t="s">
        <v>869</v>
      </c>
      <c r="H206" s="15" t="s">
        <v>870</v>
      </c>
      <c r="I206" s="18"/>
      <c r="J206" s="19" t="s">
        <v>59</v>
      </c>
      <c r="K206" s="19" t="s">
        <v>496</v>
      </c>
      <c r="L206" s="19" t="s">
        <v>292</v>
      </c>
      <c r="M206" s="20">
        <f t="shared" si="1"/>
        <v>515.04</v>
      </c>
      <c r="N206" s="31">
        <v>2.0</v>
      </c>
      <c r="O206" s="19" t="s">
        <v>107</v>
      </c>
      <c r="P206" s="18"/>
      <c r="Q206" s="18"/>
      <c r="R206" s="23">
        <v>7.0</v>
      </c>
      <c r="S206" s="23">
        <v>29.0</v>
      </c>
      <c r="T206" s="23">
        <f t="shared" si="2"/>
        <v>27.84</v>
      </c>
      <c r="U206" s="23">
        <f t="shared" si="3"/>
        <v>8.575</v>
      </c>
      <c r="V206" s="23">
        <f t="shared" si="4"/>
        <v>160.78125</v>
      </c>
      <c r="W206" s="24">
        <f t="shared" si="5"/>
        <v>3.977142857</v>
      </c>
    </row>
    <row r="207" hidden="1">
      <c r="A207" s="15" t="s">
        <v>1367</v>
      </c>
      <c r="B207" s="18"/>
      <c r="C207" s="15" t="s">
        <v>6370</v>
      </c>
      <c r="D207" s="18"/>
      <c r="E207" s="17" t="s">
        <v>1368</v>
      </c>
      <c r="F207" s="18"/>
      <c r="G207" s="18"/>
      <c r="H207" s="15" t="s">
        <v>4084</v>
      </c>
      <c r="I207" s="18"/>
      <c r="J207" s="19" t="s">
        <v>59</v>
      </c>
      <c r="K207" s="19" t="s">
        <v>37</v>
      </c>
      <c r="L207" s="19" t="s">
        <v>38</v>
      </c>
      <c r="M207" s="20">
        <f t="shared" si="1"/>
        <v>0</v>
      </c>
      <c r="N207" s="22"/>
      <c r="O207" s="19" t="s">
        <v>1145</v>
      </c>
      <c r="P207" s="18"/>
      <c r="Q207" s="18"/>
      <c r="R207" s="23">
        <v>0.0</v>
      </c>
      <c r="S207" s="23">
        <v>0.0</v>
      </c>
      <c r="T207" s="23">
        <f t="shared" si="2"/>
        <v>0</v>
      </c>
      <c r="U207" s="23">
        <f t="shared" si="3"/>
        <v>0</v>
      </c>
      <c r="V207" s="23">
        <f t="shared" si="4"/>
        <v>0</v>
      </c>
      <c r="W207" s="24" t="str">
        <f t="shared" si="5"/>
        <v>#DIV/0!</v>
      </c>
    </row>
    <row r="208" hidden="1">
      <c r="A208" s="15" t="s">
        <v>1369</v>
      </c>
      <c r="B208" s="18"/>
      <c r="C208" s="15" t="s">
        <v>6371</v>
      </c>
      <c r="D208" s="18"/>
      <c r="E208" s="17" t="s">
        <v>1370</v>
      </c>
      <c r="F208" s="18"/>
      <c r="G208" s="18"/>
      <c r="H208" s="15" t="s">
        <v>1371</v>
      </c>
      <c r="I208" s="18"/>
      <c r="J208" s="19" t="s">
        <v>59</v>
      </c>
      <c r="K208" s="19" t="s">
        <v>37</v>
      </c>
      <c r="L208" s="19" t="s">
        <v>38</v>
      </c>
      <c r="M208" s="20">
        <f t="shared" si="1"/>
        <v>0</v>
      </c>
      <c r="N208" s="22"/>
      <c r="O208" s="19" t="s">
        <v>1145</v>
      </c>
      <c r="P208" s="18"/>
      <c r="Q208" s="18"/>
      <c r="R208" s="23">
        <v>0.0</v>
      </c>
      <c r="S208" s="23">
        <v>0.0</v>
      </c>
      <c r="T208" s="23">
        <f t="shared" si="2"/>
        <v>0</v>
      </c>
      <c r="U208" s="23">
        <f t="shared" si="3"/>
        <v>0</v>
      </c>
      <c r="V208" s="23">
        <f t="shared" si="4"/>
        <v>0</v>
      </c>
      <c r="W208" s="24" t="str">
        <f t="shared" si="5"/>
        <v>#DIV/0!</v>
      </c>
    </row>
    <row r="209" hidden="1">
      <c r="A209" s="15" t="s">
        <v>1372</v>
      </c>
      <c r="B209" s="18"/>
      <c r="C209" s="15" t="s">
        <v>6372</v>
      </c>
      <c r="D209" s="18"/>
      <c r="E209" s="17" t="s">
        <v>1373</v>
      </c>
      <c r="F209" s="18"/>
      <c r="G209" s="18"/>
      <c r="H209" s="15" t="s">
        <v>1374</v>
      </c>
      <c r="I209" s="18"/>
      <c r="J209" s="19" t="s">
        <v>59</v>
      </c>
      <c r="K209" s="19" t="s">
        <v>1230</v>
      </c>
      <c r="L209" s="19" t="s">
        <v>38</v>
      </c>
      <c r="M209" s="20">
        <f t="shared" si="1"/>
        <v>0</v>
      </c>
      <c r="N209" s="22"/>
      <c r="O209" s="19" t="s">
        <v>1145</v>
      </c>
      <c r="P209" s="18"/>
      <c r="Q209" s="18"/>
      <c r="R209" s="23">
        <v>0.0</v>
      </c>
      <c r="S209" s="23">
        <v>0.0</v>
      </c>
      <c r="T209" s="23">
        <f t="shared" si="2"/>
        <v>0</v>
      </c>
      <c r="U209" s="23">
        <f t="shared" si="3"/>
        <v>0</v>
      </c>
      <c r="V209" s="23">
        <f t="shared" si="4"/>
        <v>0</v>
      </c>
      <c r="W209" s="24" t="str">
        <f t="shared" si="5"/>
        <v>#DIV/0!</v>
      </c>
    </row>
    <row r="210">
      <c r="A210" s="15" t="s">
        <v>194</v>
      </c>
      <c r="B210" s="15" t="s">
        <v>195</v>
      </c>
      <c r="C210" s="15" t="s">
        <v>6108</v>
      </c>
      <c r="D210" s="15" t="s">
        <v>196</v>
      </c>
      <c r="E210" s="17" t="s">
        <v>197</v>
      </c>
      <c r="F210" s="18"/>
      <c r="G210" s="15" t="s">
        <v>198</v>
      </c>
      <c r="H210" s="15" t="s">
        <v>199</v>
      </c>
      <c r="I210" s="18"/>
      <c r="J210" s="19" t="s">
        <v>59</v>
      </c>
      <c r="K210" s="19" t="s">
        <v>200</v>
      </c>
      <c r="L210" s="19" t="s">
        <v>38</v>
      </c>
      <c r="M210" s="20">
        <f t="shared" si="1"/>
        <v>532.8</v>
      </c>
      <c r="N210" s="31">
        <v>15.0</v>
      </c>
      <c r="O210" s="19" t="s">
        <v>107</v>
      </c>
      <c r="P210" s="18"/>
      <c r="Q210" s="18"/>
      <c r="R210" s="23">
        <v>2.7</v>
      </c>
      <c r="S210" s="23">
        <v>30.0</v>
      </c>
      <c r="T210" s="23">
        <f t="shared" si="2"/>
        <v>28.8</v>
      </c>
      <c r="U210" s="23">
        <f t="shared" si="3"/>
        <v>3.3075</v>
      </c>
      <c r="V210" s="23">
        <f t="shared" si="4"/>
        <v>62.015625</v>
      </c>
      <c r="W210" s="24">
        <f t="shared" si="5"/>
        <v>10.66666667</v>
      </c>
    </row>
    <row r="211">
      <c r="A211" s="15" t="s">
        <v>569</v>
      </c>
      <c r="B211" s="15" t="s">
        <v>570</v>
      </c>
      <c r="C211" s="15" t="s">
        <v>6036</v>
      </c>
      <c r="D211" s="15" t="s">
        <v>571</v>
      </c>
      <c r="E211" s="17" t="s">
        <v>572</v>
      </c>
      <c r="F211" s="18"/>
      <c r="G211" s="15" t="s">
        <v>573</v>
      </c>
      <c r="H211" s="15" t="s">
        <v>574</v>
      </c>
      <c r="I211" s="18"/>
      <c r="J211" s="19" t="s">
        <v>59</v>
      </c>
      <c r="K211" s="19" t="s">
        <v>200</v>
      </c>
      <c r="L211" s="19" t="s">
        <v>38</v>
      </c>
      <c r="M211" s="20">
        <f t="shared" si="1"/>
        <v>355.2</v>
      </c>
      <c r="N211" s="31">
        <v>8.0</v>
      </c>
      <c r="O211" s="19" t="s">
        <v>107</v>
      </c>
      <c r="P211" s="18"/>
      <c r="Q211" s="18"/>
      <c r="R211" s="23">
        <v>3.5</v>
      </c>
      <c r="S211" s="23">
        <v>20.0</v>
      </c>
      <c r="T211" s="23">
        <f t="shared" si="2"/>
        <v>19.2</v>
      </c>
      <c r="U211" s="23">
        <f t="shared" si="3"/>
        <v>4.2875</v>
      </c>
      <c r="V211" s="23">
        <f t="shared" si="4"/>
        <v>80.390625</v>
      </c>
      <c r="W211" s="24">
        <f t="shared" si="5"/>
        <v>5.485714286</v>
      </c>
    </row>
    <row r="212" hidden="1">
      <c r="A212" s="15" t="s">
        <v>4095</v>
      </c>
      <c r="B212" s="18"/>
      <c r="C212" s="15" t="s">
        <v>6376</v>
      </c>
      <c r="D212" s="18"/>
      <c r="E212" s="17" t="s">
        <v>6377</v>
      </c>
      <c r="F212" s="18"/>
      <c r="G212" s="18"/>
      <c r="H212" s="15" t="s">
        <v>4098</v>
      </c>
      <c r="I212" s="18"/>
      <c r="J212" s="19" t="s">
        <v>59</v>
      </c>
      <c r="K212" s="19" t="s">
        <v>37</v>
      </c>
      <c r="L212" s="19" t="s">
        <v>38</v>
      </c>
      <c r="M212" s="20">
        <f t="shared" si="1"/>
        <v>0</v>
      </c>
      <c r="N212" s="22"/>
      <c r="O212" s="19" t="s">
        <v>1145</v>
      </c>
      <c r="P212" s="18"/>
      <c r="Q212" s="18"/>
      <c r="R212" s="23">
        <v>0.0</v>
      </c>
      <c r="S212" s="23">
        <v>0.0</v>
      </c>
      <c r="T212" s="23">
        <f t="shared" si="2"/>
        <v>0</v>
      </c>
      <c r="U212" s="23">
        <f t="shared" si="3"/>
        <v>0</v>
      </c>
      <c r="V212" s="23">
        <f t="shared" si="4"/>
        <v>0</v>
      </c>
      <c r="W212" s="24" t="str">
        <f t="shared" si="5"/>
        <v>#DIV/0!</v>
      </c>
    </row>
    <row r="213">
      <c r="A213" s="15" t="s">
        <v>980</v>
      </c>
      <c r="B213" s="15" t="s">
        <v>981</v>
      </c>
      <c r="C213" s="15" t="s">
        <v>6087</v>
      </c>
      <c r="D213" s="15" t="s">
        <v>982</v>
      </c>
      <c r="E213" s="17" t="s">
        <v>983</v>
      </c>
      <c r="F213" s="18"/>
      <c r="G213" s="15" t="s">
        <v>984</v>
      </c>
      <c r="H213" s="15" t="s">
        <v>985</v>
      </c>
      <c r="I213" s="18"/>
      <c r="J213" s="19" t="s">
        <v>59</v>
      </c>
      <c r="K213" s="19" t="s">
        <v>114</v>
      </c>
      <c r="L213" s="19" t="s">
        <v>115</v>
      </c>
      <c r="M213" s="20">
        <f t="shared" si="1"/>
        <v>4582.08</v>
      </c>
      <c r="N213" s="31">
        <v>4.0</v>
      </c>
      <c r="O213" s="19" t="s">
        <v>107</v>
      </c>
      <c r="P213" s="18"/>
      <c r="Q213" s="18"/>
      <c r="R213" s="23">
        <v>70.0</v>
      </c>
      <c r="S213" s="23">
        <v>258.0</v>
      </c>
      <c r="T213" s="23">
        <f t="shared" si="2"/>
        <v>247.68</v>
      </c>
      <c r="U213" s="23">
        <f t="shared" si="3"/>
        <v>85.75</v>
      </c>
      <c r="V213" s="23">
        <f t="shared" si="4"/>
        <v>1607.8125</v>
      </c>
      <c r="W213" s="24">
        <f t="shared" si="5"/>
        <v>3.538285714</v>
      </c>
    </row>
    <row r="214">
      <c r="A214" s="15" t="s">
        <v>1019</v>
      </c>
      <c r="B214" s="15" t="s">
        <v>1020</v>
      </c>
      <c r="C214" s="15" t="s">
        <v>6088</v>
      </c>
      <c r="D214" s="15" t="s">
        <v>1021</v>
      </c>
      <c r="E214" s="17" t="s">
        <v>1022</v>
      </c>
      <c r="F214" s="18"/>
      <c r="G214" s="18"/>
      <c r="H214" s="15" t="s">
        <v>1023</v>
      </c>
      <c r="I214" s="18"/>
      <c r="J214" s="19" t="s">
        <v>59</v>
      </c>
      <c r="K214" s="19" t="s">
        <v>114</v>
      </c>
      <c r="L214" s="19" t="s">
        <v>115</v>
      </c>
      <c r="M214" s="20">
        <f t="shared" si="1"/>
        <v>3392.16</v>
      </c>
      <c r="N214" s="31">
        <v>4.0</v>
      </c>
      <c r="O214" s="19" t="s">
        <v>107</v>
      </c>
      <c r="P214" s="18"/>
      <c r="Q214" s="18"/>
      <c r="R214" s="23">
        <v>55.0</v>
      </c>
      <c r="S214" s="23">
        <v>191.0</v>
      </c>
      <c r="T214" s="23">
        <f t="shared" si="2"/>
        <v>183.36</v>
      </c>
      <c r="U214" s="23">
        <f t="shared" si="3"/>
        <v>67.375</v>
      </c>
      <c r="V214" s="23">
        <f t="shared" si="4"/>
        <v>1263.28125</v>
      </c>
      <c r="W214" s="24">
        <f t="shared" si="5"/>
        <v>3.333818182</v>
      </c>
    </row>
    <row r="215" hidden="1">
      <c r="A215" s="15" t="s">
        <v>4104</v>
      </c>
      <c r="B215" s="18"/>
      <c r="C215" s="15" t="s">
        <v>6380</v>
      </c>
      <c r="D215" s="18"/>
      <c r="E215" s="17" t="s">
        <v>6381</v>
      </c>
      <c r="F215" s="18"/>
      <c r="G215" s="18"/>
      <c r="H215" s="15" t="s">
        <v>4107</v>
      </c>
      <c r="I215" s="18"/>
      <c r="J215" s="19" t="s">
        <v>59</v>
      </c>
      <c r="K215" s="19" t="s">
        <v>37</v>
      </c>
      <c r="L215" s="19" t="s">
        <v>38</v>
      </c>
      <c r="M215" s="20">
        <f t="shared" si="1"/>
        <v>0</v>
      </c>
      <c r="N215" s="22"/>
      <c r="O215" s="19" t="s">
        <v>1145</v>
      </c>
      <c r="P215" s="18"/>
      <c r="Q215" s="18"/>
      <c r="R215" s="23">
        <v>0.0</v>
      </c>
      <c r="S215" s="23">
        <v>0.0</v>
      </c>
      <c r="T215" s="23">
        <f t="shared" si="2"/>
        <v>0</v>
      </c>
      <c r="U215" s="23">
        <f t="shared" si="3"/>
        <v>0</v>
      </c>
      <c r="V215" s="23">
        <f t="shared" si="4"/>
        <v>0</v>
      </c>
      <c r="W215" s="24" t="str">
        <f t="shared" si="5"/>
        <v>#DIV/0!</v>
      </c>
    </row>
    <row r="216" hidden="1">
      <c r="A216" s="15" t="s">
        <v>4108</v>
      </c>
      <c r="B216" s="18"/>
      <c r="C216" s="15" t="s">
        <v>6382</v>
      </c>
      <c r="D216" s="18"/>
      <c r="E216" s="17" t="s">
        <v>1376</v>
      </c>
      <c r="F216" s="18"/>
      <c r="G216" s="18"/>
      <c r="H216" s="15" t="s">
        <v>1377</v>
      </c>
      <c r="I216" s="18"/>
      <c r="J216" s="19" t="s">
        <v>59</v>
      </c>
      <c r="K216" s="19" t="s">
        <v>37</v>
      </c>
      <c r="L216" s="19" t="s">
        <v>38</v>
      </c>
      <c r="M216" s="20">
        <f t="shared" si="1"/>
        <v>0</v>
      </c>
      <c r="N216" s="22"/>
      <c r="O216" s="19" t="s">
        <v>1145</v>
      </c>
      <c r="P216" s="18"/>
      <c r="Q216" s="18"/>
      <c r="R216" s="23">
        <v>0.0</v>
      </c>
      <c r="S216" s="23">
        <v>0.0</v>
      </c>
      <c r="T216" s="23">
        <f t="shared" si="2"/>
        <v>0</v>
      </c>
      <c r="U216" s="23">
        <f t="shared" si="3"/>
        <v>0</v>
      </c>
      <c r="V216" s="23">
        <f t="shared" si="4"/>
        <v>0</v>
      </c>
      <c r="W216" s="24" t="str">
        <f t="shared" si="5"/>
        <v>#DIV/0!</v>
      </c>
    </row>
    <row r="217" hidden="1">
      <c r="A217" s="15" t="s">
        <v>4111</v>
      </c>
      <c r="B217" s="18"/>
      <c r="C217" s="15" t="s">
        <v>6383</v>
      </c>
      <c r="D217" s="18"/>
      <c r="E217" s="17" t="s">
        <v>6384</v>
      </c>
      <c r="F217" s="18"/>
      <c r="G217" s="18"/>
      <c r="H217" s="15" t="s">
        <v>4114</v>
      </c>
      <c r="I217" s="18"/>
      <c r="J217" s="19" t="s">
        <v>59</v>
      </c>
      <c r="K217" s="19" t="s">
        <v>37</v>
      </c>
      <c r="L217" s="19" t="s">
        <v>38</v>
      </c>
      <c r="M217" s="20">
        <f t="shared" si="1"/>
        <v>0</v>
      </c>
      <c r="N217" s="22"/>
      <c r="O217" s="19" t="s">
        <v>1145</v>
      </c>
      <c r="P217" s="18"/>
      <c r="Q217" s="18"/>
      <c r="R217" s="23">
        <v>0.0</v>
      </c>
      <c r="S217" s="23">
        <v>0.0</v>
      </c>
      <c r="T217" s="23">
        <f t="shared" si="2"/>
        <v>0</v>
      </c>
      <c r="U217" s="23">
        <f t="shared" si="3"/>
        <v>0</v>
      </c>
      <c r="V217" s="23">
        <f t="shared" si="4"/>
        <v>0</v>
      </c>
      <c r="W217" s="24" t="str">
        <f t="shared" si="5"/>
        <v>#DIV/0!</v>
      </c>
    </row>
    <row r="218" hidden="1">
      <c r="A218" s="15" t="s">
        <v>1375</v>
      </c>
      <c r="B218" s="18"/>
      <c r="C218" s="15" t="s">
        <v>6385</v>
      </c>
      <c r="D218" s="18"/>
      <c r="E218" s="17" t="s">
        <v>1376</v>
      </c>
      <c r="F218" s="18"/>
      <c r="G218" s="18"/>
      <c r="H218" s="15" t="s">
        <v>1377</v>
      </c>
      <c r="I218" s="18"/>
      <c r="J218" s="19" t="s">
        <v>59</v>
      </c>
      <c r="K218" s="19" t="s">
        <v>37</v>
      </c>
      <c r="L218" s="19" t="s">
        <v>38</v>
      </c>
      <c r="M218" s="20">
        <f t="shared" si="1"/>
        <v>0</v>
      </c>
      <c r="N218" s="22"/>
      <c r="O218" s="19" t="s">
        <v>1145</v>
      </c>
      <c r="P218" s="18"/>
      <c r="Q218" s="18"/>
      <c r="R218" s="23">
        <v>0.0</v>
      </c>
      <c r="S218" s="23">
        <v>0.0</v>
      </c>
      <c r="T218" s="23">
        <f t="shared" si="2"/>
        <v>0</v>
      </c>
      <c r="U218" s="23">
        <f t="shared" si="3"/>
        <v>0</v>
      </c>
      <c r="V218" s="23">
        <f t="shared" si="4"/>
        <v>0</v>
      </c>
      <c r="W218" s="24" t="str">
        <f t="shared" si="5"/>
        <v>#DIV/0!</v>
      </c>
    </row>
    <row r="219" hidden="1">
      <c r="A219" s="15" t="s">
        <v>6386</v>
      </c>
      <c r="B219" s="18"/>
      <c r="C219" s="15" t="s">
        <v>6387</v>
      </c>
      <c r="D219" s="18"/>
      <c r="E219" s="17" t="s">
        <v>6384</v>
      </c>
      <c r="F219" s="18"/>
      <c r="G219" s="18"/>
      <c r="H219" s="15" t="s">
        <v>4114</v>
      </c>
      <c r="I219" s="18"/>
      <c r="J219" s="19" t="s">
        <v>59</v>
      </c>
      <c r="K219" s="19" t="s">
        <v>37</v>
      </c>
      <c r="L219" s="19" t="s">
        <v>38</v>
      </c>
      <c r="M219" s="20">
        <f t="shared" si="1"/>
        <v>0</v>
      </c>
      <c r="N219" s="22"/>
      <c r="O219" s="19" t="s">
        <v>1145</v>
      </c>
      <c r="P219" s="18"/>
      <c r="Q219" s="18"/>
      <c r="R219" s="23">
        <v>0.0</v>
      </c>
      <c r="S219" s="23">
        <v>0.0</v>
      </c>
      <c r="T219" s="23">
        <f t="shared" si="2"/>
        <v>0</v>
      </c>
      <c r="U219" s="23">
        <f t="shared" si="3"/>
        <v>0</v>
      </c>
      <c r="V219" s="23">
        <f t="shared" si="4"/>
        <v>0</v>
      </c>
      <c r="W219" s="24" t="str">
        <f t="shared" si="5"/>
        <v>#DIV/0!</v>
      </c>
    </row>
    <row r="220" hidden="1">
      <c r="A220" s="15" t="s">
        <v>4115</v>
      </c>
      <c r="B220" s="18"/>
      <c r="C220" s="15" t="s">
        <v>6388</v>
      </c>
      <c r="D220" s="18"/>
      <c r="E220" s="17" t="s">
        <v>6389</v>
      </c>
      <c r="F220" s="18"/>
      <c r="G220" s="18"/>
      <c r="H220" s="15" t="s">
        <v>4118</v>
      </c>
      <c r="I220" s="18"/>
      <c r="J220" s="19" t="s">
        <v>59</v>
      </c>
      <c r="K220" s="19" t="s">
        <v>37</v>
      </c>
      <c r="L220" s="19" t="s">
        <v>38</v>
      </c>
      <c r="M220" s="20">
        <f t="shared" si="1"/>
        <v>0</v>
      </c>
      <c r="N220" s="22"/>
      <c r="O220" s="19" t="s">
        <v>1145</v>
      </c>
      <c r="P220" s="18"/>
      <c r="Q220" s="18"/>
      <c r="R220" s="23">
        <v>0.0</v>
      </c>
      <c r="S220" s="23">
        <v>0.0</v>
      </c>
      <c r="T220" s="23">
        <f t="shared" si="2"/>
        <v>0</v>
      </c>
      <c r="U220" s="23">
        <f t="shared" si="3"/>
        <v>0</v>
      </c>
      <c r="V220" s="23">
        <f t="shared" si="4"/>
        <v>0</v>
      </c>
      <c r="W220" s="24" t="str">
        <f t="shared" si="5"/>
        <v>#DIV/0!</v>
      </c>
    </row>
    <row r="221">
      <c r="A221" s="15" t="s">
        <v>1057</v>
      </c>
      <c r="B221" s="15" t="s">
        <v>1058</v>
      </c>
      <c r="C221" s="15" t="s">
        <v>6089</v>
      </c>
      <c r="D221" s="15" t="s">
        <v>1059</v>
      </c>
      <c r="E221" s="17" t="s">
        <v>1060</v>
      </c>
      <c r="F221" s="18"/>
      <c r="G221" s="15" t="s">
        <v>1061</v>
      </c>
      <c r="H221" s="15" t="s">
        <v>1062</v>
      </c>
      <c r="I221" s="18"/>
      <c r="J221" s="19" t="s">
        <v>59</v>
      </c>
      <c r="K221" s="19" t="s">
        <v>114</v>
      </c>
      <c r="L221" s="19" t="s">
        <v>115</v>
      </c>
      <c r="M221" s="20">
        <f t="shared" si="1"/>
        <v>2912.64</v>
      </c>
      <c r="N221" s="31">
        <v>4.0</v>
      </c>
      <c r="O221" s="19" t="s">
        <v>107</v>
      </c>
      <c r="P221" s="18"/>
      <c r="Q221" s="18"/>
      <c r="R221" s="23">
        <v>55.0</v>
      </c>
      <c r="S221" s="23">
        <v>164.0</v>
      </c>
      <c r="T221" s="23">
        <f t="shared" si="2"/>
        <v>157.44</v>
      </c>
      <c r="U221" s="23">
        <f t="shared" si="3"/>
        <v>67.375</v>
      </c>
      <c r="V221" s="23">
        <f t="shared" si="4"/>
        <v>1263.28125</v>
      </c>
      <c r="W221" s="24">
        <f t="shared" si="5"/>
        <v>2.862545455</v>
      </c>
    </row>
    <row r="222">
      <c r="A222" s="15" t="s">
        <v>906</v>
      </c>
      <c r="B222" s="15" t="s">
        <v>907</v>
      </c>
      <c r="C222" s="15" t="s">
        <v>6090</v>
      </c>
      <c r="D222" s="15" t="s">
        <v>908</v>
      </c>
      <c r="E222" s="17" t="s">
        <v>909</v>
      </c>
      <c r="F222" s="18"/>
      <c r="G222" s="15" t="s">
        <v>910</v>
      </c>
      <c r="H222" s="15" t="s">
        <v>911</v>
      </c>
      <c r="I222" s="18"/>
      <c r="J222" s="19" t="s">
        <v>59</v>
      </c>
      <c r="K222" s="19" t="s">
        <v>114</v>
      </c>
      <c r="L222" s="19" t="s">
        <v>115</v>
      </c>
      <c r="M222" s="20">
        <f t="shared" si="1"/>
        <v>3907.2</v>
      </c>
      <c r="N222" s="31">
        <v>4.0</v>
      </c>
      <c r="O222" s="19" t="s">
        <v>107</v>
      </c>
      <c r="P222" s="18"/>
      <c r="Q222" s="18"/>
      <c r="R222" s="23">
        <v>55.0</v>
      </c>
      <c r="S222" s="23">
        <v>220.0</v>
      </c>
      <c r="T222" s="23">
        <f t="shared" si="2"/>
        <v>211.2</v>
      </c>
      <c r="U222" s="23">
        <f t="shared" si="3"/>
        <v>67.375</v>
      </c>
      <c r="V222" s="23">
        <f t="shared" si="4"/>
        <v>1263.28125</v>
      </c>
      <c r="W222" s="24">
        <f t="shared" si="5"/>
        <v>3.84</v>
      </c>
    </row>
    <row r="223">
      <c r="A223" s="15" t="s">
        <v>1035</v>
      </c>
      <c r="B223" s="15" t="s">
        <v>1036</v>
      </c>
      <c r="C223" s="15" t="s">
        <v>6079</v>
      </c>
      <c r="D223" s="15" t="s">
        <v>1037</v>
      </c>
      <c r="E223" s="17" t="s">
        <v>1038</v>
      </c>
      <c r="F223" s="18"/>
      <c r="G223" s="15" t="s">
        <v>1039</v>
      </c>
      <c r="H223" s="15" t="s">
        <v>1040</v>
      </c>
      <c r="I223" s="18"/>
      <c r="J223" s="19" t="s">
        <v>59</v>
      </c>
      <c r="K223" s="19" t="s">
        <v>114</v>
      </c>
      <c r="L223" s="19" t="s">
        <v>115</v>
      </c>
      <c r="M223" s="20">
        <f t="shared" si="1"/>
        <v>3463.2</v>
      </c>
      <c r="N223" s="31">
        <v>4.0</v>
      </c>
      <c r="O223" s="19" t="s">
        <v>107</v>
      </c>
      <c r="P223" s="18"/>
      <c r="Q223" s="18"/>
      <c r="R223" s="23">
        <v>60.0</v>
      </c>
      <c r="S223" s="23">
        <v>195.0</v>
      </c>
      <c r="T223" s="23">
        <f t="shared" si="2"/>
        <v>187.2</v>
      </c>
      <c r="U223" s="23">
        <f t="shared" si="3"/>
        <v>73.5</v>
      </c>
      <c r="V223" s="23">
        <f t="shared" si="4"/>
        <v>1378.125</v>
      </c>
      <c r="W223" s="24">
        <f t="shared" si="5"/>
        <v>3.12</v>
      </c>
    </row>
    <row r="224">
      <c r="A224" s="15" t="s">
        <v>532</v>
      </c>
      <c r="B224" s="15" t="s">
        <v>533</v>
      </c>
      <c r="C224" s="15" t="s">
        <v>6037</v>
      </c>
      <c r="D224" s="15" t="s">
        <v>534</v>
      </c>
      <c r="E224" s="17" t="s">
        <v>535</v>
      </c>
      <c r="F224" s="18"/>
      <c r="G224" s="18"/>
      <c r="H224" s="15" t="s">
        <v>536</v>
      </c>
      <c r="I224" s="18"/>
      <c r="J224" s="19" t="s">
        <v>59</v>
      </c>
      <c r="K224" s="19" t="s">
        <v>6043</v>
      </c>
      <c r="L224" s="19" t="s">
        <v>147</v>
      </c>
      <c r="M224" s="20">
        <f t="shared" si="1"/>
        <v>710.4</v>
      </c>
      <c r="N224" s="31">
        <v>5.0</v>
      </c>
      <c r="O224" s="19" t="s">
        <v>107</v>
      </c>
      <c r="P224" s="18"/>
      <c r="Q224" s="18"/>
      <c r="R224" s="23">
        <v>6.5</v>
      </c>
      <c r="S224" s="23">
        <v>40.0</v>
      </c>
      <c r="T224" s="23">
        <f t="shared" si="2"/>
        <v>38.4</v>
      </c>
      <c r="U224" s="23">
        <f t="shared" si="3"/>
        <v>7.9625</v>
      </c>
      <c r="V224" s="23">
        <f t="shared" si="4"/>
        <v>149.296875</v>
      </c>
      <c r="W224" s="24">
        <f t="shared" si="5"/>
        <v>5.907692308</v>
      </c>
    </row>
    <row r="225">
      <c r="A225" s="15" t="s">
        <v>201</v>
      </c>
      <c r="B225" s="15" t="s">
        <v>202</v>
      </c>
      <c r="C225" s="15" t="s">
        <v>6038</v>
      </c>
      <c r="D225" s="15" t="s">
        <v>144</v>
      </c>
      <c r="E225" s="17" t="s">
        <v>145</v>
      </c>
      <c r="F225" s="18"/>
      <c r="G225" s="18"/>
      <c r="H225" s="15" t="s">
        <v>203</v>
      </c>
      <c r="I225" s="18"/>
      <c r="J225" s="19" t="s">
        <v>59</v>
      </c>
      <c r="K225" s="19" t="s">
        <v>6043</v>
      </c>
      <c r="L225" s="19" t="s">
        <v>147</v>
      </c>
      <c r="M225" s="20">
        <f t="shared" si="1"/>
        <v>3747.36</v>
      </c>
      <c r="N225" s="31">
        <v>6.0</v>
      </c>
      <c r="O225" s="19" t="s">
        <v>107</v>
      </c>
      <c r="P225" s="18"/>
      <c r="Q225" s="18"/>
      <c r="R225" s="23">
        <v>21.0</v>
      </c>
      <c r="S225" s="23">
        <v>211.0</v>
      </c>
      <c r="T225" s="23">
        <f t="shared" si="2"/>
        <v>202.56</v>
      </c>
      <c r="U225" s="23">
        <f t="shared" si="3"/>
        <v>25.725</v>
      </c>
      <c r="V225" s="23">
        <f t="shared" si="4"/>
        <v>482.34375</v>
      </c>
      <c r="W225" s="24">
        <f t="shared" si="5"/>
        <v>9.645714286</v>
      </c>
    </row>
    <row r="226">
      <c r="A226" s="15" t="s">
        <v>229</v>
      </c>
      <c r="B226" s="15" t="s">
        <v>230</v>
      </c>
      <c r="C226" s="15" t="s">
        <v>6039</v>
      </c>
      <c r="D226" s="15" t="s">
        <v>144</v>
      </c>
      <c r="E226" s="17" t="s">
        <v>145</v>
      </c>
      <c r="F226" s="18"/>
      <c r="G226" s="18"/>
      <c r="H226" s="15" t="s">
        <v>231</v>
      </c>
      <c r="I226" s="18"/>
      <c r="J226" s="19" t="s">
        <v>59</v>
      </c>
      <c r="K226" s="19" t="s">
        <v>6043</v>
      </c>
      <c r="L226" s="19" t="s">
        <v>147</v>
      </c>
      <c r="M226" s="20">
        <f t="shared" si="1"/>
        <v>2042.4</v>
      </c>
      <c r="N226" s="31">
        <v>5.0</v>
      </c>
      <c r="O226" s="19" t="s">
        <v>107</v>
      </c>
      <c r="P226" s="18"/>
      <c r="Q226" s="18"/>
      <c r="R226" s="23">
        <v>12.0</v>
      </c>
      <c r="S226" s="23">
        <v>115.0</v>
      </c>
      <c r="T226" s="23">
        <f t="shared" si="2"/>
        <v>110.4</v>
      </c>
      <c r="U226" s="23">
        <f t="shared" si="3"/>
        <v>14.7</v>
      </c>
      <c r="V226" s="23">
        <f t="shared" si="4"/>
        <v>275.625</v>
      </c>
      <c r="W226" s="24">
        <f t="shared" si="5"/>
        <v>9.2</v>
      </c>
    </row>
    <row r="227" hidden="1">
      <c r="A227" s="15" t="s">
        <v>1378</v>
      </c>
      <c r="B227" s="18"/>
      <c r="C227" s="15" t="s">
        <v>6396</v>
      </c>
      <c r="D227" s="18"/>
      <c r="E227" s="17" t="s">
        <v>1379</v>
      </c>
      <c r="F227" s="18"/>
      <c r="G227" s="18"/>
      <c r="H227" s="15" t="s">
        <v>1380</v>
      </c>
      <c r="I227" s="18"/>
      <c r="J227" s="19" t="s">
        <v>59</v>
      </c>
      <c r="K227" s="19" t="s">
        <v>1230</v>
      </c>
      <c r="L227" s="19" t="s">
        <v>38</v>
      </c>
      <c r="M227" s="20">
        <f t="shared" si="1"/>
        <v>0</v>
      </c>
      <c r="N227" s="22"/>
      <c r="O227" s="19" t="s">
        <v>1145</v>
      </c>
      <c r="P227" s="18"/>
      <c r="Q227" s="18"/>
      <c r="R227" s="23">
        <v>0.0</v>
      </c>
      <c r="S227" s="23">
        <v>0.0</v>
      </c>
      <c r="T227" s="23">
        <f t="shared" si="2"/>
        <v>0</v>
      </c>
      <c r="U227" s="23">
        <f t="shared" si="3"/>
        <v>0</v>
      </c>
      <c r="V227" s="23">
        <f t="shared" si="4"/>
        <v>0</v>
      </c>
      <c r="W227" s="24" t="str">
        <f t="shared" si="5"/>
        <v>#DIV/0!</v>
      </c>
    </row>
    <row r="228" hidden="1">
      <c r="A228" s="15" t="s">
        <v>1381</v>
      </c>
      <c r="B228" s="18"/>
      <c r="C228" s="15" t="s">
        <v>6397</v>
      </c>
      <c r="D228" s="18"/>
      <c r="E228" s="17" t="s">
        <v>1382</v>
      </c>
      <c r="F228" s="18"/>
      <c r="G228" s="18"/>
      <c r="H228" s="15" t="s">
        <v>1383</v>
      </c>
      <c r="I228" s="18"/>
      <c r="J228" s="19" t="s">
        <v>59</v>
      </c>
      <c r="K228" s="19" t="s">
        <v>1230</v>
      </c>
      <c r="L228" s="19" t="s">
        <v>38</v>
      </c>
      <c r="M228" s="20">
        <f t="shared" si="1"/>
        <v>0</v>
      </c>
      <c r="N228" s="22"/>
      <c r="O228" s="19" t="s">
        <v>1145</v>
      </c>
      <c r="P228" s="18"/>
      <c r="Q228" s="18"/>
      <c r="R228" s="23">
        <v>0.0</v>
      </c>
      <c r="S228" s="23">
        <v>0.0</v>
      </c>
      <c r="T228" s="23">
        <f t="shared" si="2"/>
        <v>0</v>
      </c>
      <c r="U228" s="23">
        <f t="shared" si="3"/>
        <v>0</v>
      </c>
      <c r="V228" s="23">
        <f t="shared" si="4"/>
        <v>0</v>
      </c>
      <c r="W228" s="24" t="str">
        <f t="shared" si="5"/>
        <v>#DIV/0!</v>
      </c>
    </row>
    <row r="229" hidden="1">
      <c r="A229" s="15" t="s">
        <v>6398</v>
      </c>
      <c r="B229" s="18"/>
      <c r="C229" s="15" t="s">
        <v>6399</v>
      </c>
      <c r="D229" s="18"/>
      <c r="E229" s="17" t="s">
        <v>6400</v>
      </c>
      <c r="F229" s="18"/>
      <c r="G229" s="18"/>
      <c r="H229" s="15" t="s">
        <v>4028</v>
      </c>
      <c r="I229" s="18"/>
      <c r="J229" s="19" t="s">
        <v>59</v>
      </c>
      <c r="K229" s="19" t="s">
        <v>37</v>
      </c>
      <c r="L229" s="19" t="s">
        <v>38</v>
      </c>
      <c r="M229" s="20">
        <f t="shared" si="1"/>
        <v>0</v>
      </c>
      <c r="N229" s="22"/>
      <c r="O229" s="19" t="s">
        <v>39</v>
      </c>
      <c r="P229" s="18"/>
      <c r="Q229" s="18"/>
      <c r="R229" s="23">
        <v>0.0</v>
      </c>
      <c r="S229" s="23">
        <v>0.0</v>
      </c>
      <c r="T229" s="23">
        <f t="shared" si="2"/>
        <v>0</v>
      </c>
      <c r="U229" s="23">
        <f t="shared" si="3"/>
        <v>0</v>
      </c>
      <c r="V229" s="23">
        <f t="shared" si="4"/>
        <v>0</v>
      </c>
      <c r="W229" s="24" t="str">
        <f t="shared" si="5"/>
        <v>#DIV/0!</v>
      </c>
    </row>
    <row r="230">
      <c r="A230" s="15" t="s">
        <v>349</v>
      </c>
      <c r="B230" s="15" t="s">
        <v>350</v>
      </c>
      <c r="C230" s="15" t="s">
        <v>6040</v>
      </c>
      <c r="D230" s="15" t="s">
        <v>144</v>
      </c>
      <c r="E230" s="17" t="s">
        <v>145</v>
      </c>
      <c r="F230" s="18"/>
      <c r="G230" s="18"/>
      <c r="H230" s="15" t="s">
        <v>351</v>
      </c>
      <c r="I230" s="18"/>
      <c r="J230" s="19" t="s">
        <v>59</v>
      </c>
      <c r="K230" s="19" t="s">
        <v>6043</v>
      </c>
      <c r="L230" s="19" t="s">
        <v>147</v>
      </c>
      <c r="M230" s="20">
        <f t="shared" si="1"/>
        <v>1633.92</v>
      </c>
      <c r="N230" s="31">
        <v>5.0</v>
      </c>
      <c r="O230" s="19" t="s">
        <v>107</v>
      </c>
      <c r="P230" s="18"/>
      <c r="Q230" s="18"/>
      <c r="R230" s="23">
        <v>12.0</v>
      </c>
      <c r="S230" s="23">
        <v>92.0</v>
      </c>
      <c r="T230" s="23">
        <f t="shared" si="2"/>
        <v>88.32</v>
      </c>
      <c r="U230" s="23">
        <f t="shared" si="3"/>
        <v>14.7</v>
      </c>
      <c r="V230" s="23">
        <f t="shared" si="4"/>
        <v>275.625</v>
      </c>
      <c r="W230" s="24">
        <f t="shared" si="5"/>
        <v>7.36</v>
      </c>
    </row>
    <row r="231">
      <c r="A231" s="15" t="s">
        <v>142</v>
      </c>
      <c r="B231" s="15" t="s">
        <v>143</v>
      </c>
      <c r="C231" s="15" t="s">
        <v>6041</v>
      </c>
      <c r="D231" s="15" t="s">
        <v>144</v>
      </c>
      <c r="E231" s="17" t="s">
        <v>145</v>
      </c>
      <c r="F231" s="18"/>
      <c r="G231" s="18"/>
      <c r="H231" s="15" t="s">
        <v>146</v>
      </c>
      <c r="I231" s="18"/>
      <c r="J231" s="19" t="s">
        <v>59</v>
      </c>
      <c r="K231" s="19" t="s">
        <v>6043</v>
      </c>
      <c r="L231" s="19" t="s">
        <v>147</v>
      </c>
      <c r="M231" s="20">
        <f t="shared" si="1"/>
        <v>6553.44</v>
      </c>
      <c r="N231" s="31">
        <v>8.0</v>
      </c>
      <c r="O231" s="19" t="s">
        <v>107</v>
      </c>
      <c r="P231" s="18"/>
      <c r="Q231" s="18"/>
      <c r="R231" s="23">
        <v>22.0</v>
      </c>
      <c r="S231" s="23">
        <v>369.0</v>
      </c>
      <c r="T231" s="23">
        <f t="shared" si="2"/>
        <v>354.24</v>
      </c>
      <c r="U231" s="23">
        <f t="shared" si="3"/>
        <v>26.95</v>
      </c>
      <c r="V231" s="23">
        <f t="shared" si="4"/>
        <v>505.3125</v>
      </c>
      <c r="W231" s="24">
        <f t="shared" si="5"/>
        <v>16.10181818</v>
      </c>
    </row>
    <row r="232">
      <c r="A232" s="15" t="s">
        <v>232</v>
      </c>
      <c r="B232" s="15" t="s">
        <v>233</v>
      </c>
      <c r="C232" s="15" t="s">
        <v>6042</v>
      </c>
      <c r="D232" s="15" t="s">
        <v>144</v>
      </c>
      <c r="E232" s="17" t="s">
        <v>145</v>
      </c>
      <c r="F232" s="18"/>
      <c r="G232" s="18"/>
      <c r="H232" s="15" t="s">
        <v>234</v>
      </c>
      <c r="I232" s="18"/>
      <c r="J232" s="19" t="s">
        <v>59</v>
      </c>
      <c r="K232" s="19" t="s">
        <v>6043</v>
      </c>
      <c r="L232" s="19" t="s">
        <v>147</v>
      </c>
      <c r="M232" s="20">
        <f t="shared" si="1"/>
        <v>2042.4</v>
      </c>
      <c r="N232" s="31">
        <v>6.0</v>
      </c>
      <c r="O232" s="19" t="s">
        <v>107</v>
      </c>
      <c r="P232" s="18"/>
      <c r="Q232" s="18"/>
      <c r="R232" s="23">
        <v>12.0</v>
      </c>
      <c r="S232" s="23">
        <v>115.0</v>
      </c>
      <c r="T232" s="23">
        <f t="shared" si="2"/>
        <v>110.4</v>
      </c>
      <c r="U232" s="23">
        <f t="shared" si="3"/>
        <v>14.7</v>
      </c>
      <c r="V232" s="23">
        <f t="shared" si="4"/>
        <v>275.625</v>
      </c>
      <c r="W232" s="24">
        <f t="shared" si="5"/>
        <v>9.2</v>
      </c>
    </row>
    <row r="233">
      <c r="A233" s="15" t="s">
        <v>651</v>
      </c>
      <c r="B233" s="15" t="s">
        <v>652</v>
      </c>
      <c r="C233" s="15" t="s">
        <v>6044</v>
      </c>
      <c r="D233" s="15" t="s">
        <v>7806</v>
      </c>
      <c r="E233" s="17" t="s">
        <v>654</v>
      </c>
      <c r="F233" s="18"/>
      <c r="G233" s="15" t="s">
        <v>655</v>
      </c>
      <c r="H233" s="15" t="s">
        <v>656</v>
      </c>
      <c r="I233" s="18"/>
      <c r="J233" s="19" t="s">
        <v>59</v>
      </c>
      <c r="K233" s="33"/>
      <c r="L233" s="19" t="s">
        <v>292</v>
      </c>
      <c r="M233" s="20">
        <f t="shared" si="1"/>
        <v>3694.08</v>
      </c>
      <c r="N233" s="31">
        <v>3.0</v>
      </c>
      <c r="O233" s="19" t="s">
        <v>107</v>
      </c>
      <c r="P233" s="18"/>
      <c r="Q233" s="18"/>
      <c r="R233" s="23">
        <v>40.0</v>
      </c>
      <c r="S233" s="23">
        <v>208.0</v>
      </c>
      <c r="T233" s="23">
        <f t="shared" si="2"/>
        <v>199.68</v>
      </c>
      <c r="U233" s="23">
        <f t="shared" si="3"/>
        <v>49</v>
      </c>
      <c r="V233" s="23">
        <f t="shared" si="4"/>
        <v>918.75</v>
      </c>
      <c r="W233" s="24">
        <f t="shared" si="5"/>
        <v>4.992</v>
      </c>
    </row>
    <row r="234">
      <c r="A234" s="15" t="s">
        <v>254</v>
      </c>
      <c r="B234" s="15" t="s">
        <v>255</v>
      </c>
      <c r="C234" s="15" t="s">
        <v>7807</v>
      </c>
      <c r="D234" s="15" t="s">
        <v>256</v>
      </c>
      <c r="E234" s="17" t="s">
        <v>257</v>
      </c>
      <c r="F234" s="18"/>
      <c r="G234" s="18"/>
      <c r="H234" s="15" t="s">
        <v>258</v>
      </c>
      <c r="I234" s="18"/>
      <c r="J234" s="19" t="s">
        <v>59</v>
      </c>
      <c r="K234" s="19" t="s">
        <v>60</v>
      </c>
      <c r="L234" s="19" t="s">
        <v>38</v>
      </c>
      <c r="M234" s="20">
        <f t="shared" si="1"/>
        <v>11988</v>
      </c>
      <c r="N234" s="31">
        <v>2.0</v>
      </c>
      <c r="O234" s="19" t="s">
        <v>107</v>
      </c>
      <c r="P234" s="18"/>
      <c r="Q234" s="18"/>
      <c r="R234" s="23">
        <v>75.0</v>
      </c>
      <c r="S234" s="23">
        <v>675.0</v>
      </c>
      <c r="T234" s="23">
        <f t="shared" si="2"/>
        <v>648</v>
      </c>
      <c r="U234" s="23">
        <f t="shared" si="3"/>
        <v>91.875</v>
      </c>
      <c r="V234" s="23">
        <f t="shared" si="4"/>
        <v>1722.65625</v>
      </c>
      <c r="W234" s="24">
        <f t="shared" si="5"/>
        <v>8.64</v>
      </c>
    </row>
    <row r="235" hidden="1">
      <c r="A235" s="15" t="s">
        <v>6407</v>
      </c>
      <c r="B235" s="18"/>
      <c r="C235" s="15" t="s">
        <v>6408</v>
      </c>
      <c r="D235" s="18"/>
      <c r="E235" s="17" t="s">
        <v>6409</v>
      </c>
      <c r="F235" s="18"/>
      <c r="G235" s="18"/>
      <c r="H235" s="15" t="s">
        <v>5179</v>
      </c>
      <c r="I235" s="18"/>
      <c r="J235" s="19" t="s">
        <v>59</v>
      </c>
      <c r="K235" s="19" t="s">
        <v>603</v>
      </c>
      <c r="L235" s="19" t="s">
        <v>38</v>
      </c>
      <c r="M235" s="20">
        <f t="shared" si="1"/>
        <v>0</v>
      </c>
      <c r="N235" s="22"/>
      <c r="O235" s="19" t="s">
        <v>39</v>
      </c>
      <c r="P235" s="18"/>
      <c r="Q235" s="18"/>
      <c r="R235" s="23">
        <v>0.0</v>
      </c>
      <c r="S235" s="23">
        <v>0.0</v>
      </c>
      <c r="T235" s="23">
        <f t="shared" si="2"/>
        <v>0</v>
      </c>
      <c r="U235" s="23">
        <f t="shared" si="3"/>
        <v>0</v>
      </c>
      <c r="V235" s="23">
        <f t="shared" si="4"/>
        <v>0</v>
      </c>
      <c r="W235" s="24" t="str">
        <f t="shared" si="5"/>
        <v>#DIV/0!</v>
      </c>
    </row>
    <row r="236" hidden="1">
      <c r="A236" s="15" t="s">
        <v>6410</v>
      </c>
      <c r="B236" s="15" t="s">
        <v>5099</v>
      </c>
      <c r="C236" s="15" t="s">
        <v>6411</v>
      </c>
      <c r="D236" s="15"/>
      <c r="E236" s="17" t="s">
        <v>5101</v>
      </c>
      <c r="F236" s="18"/>
      <c r="G236" s="18"/>
      <c r="H236" s="15" t="s">
        <v>5102</v>
      </c>
      <c r="I236" s="18"/>
      <c r="J236" s="19" t="s">
        <v>59</v>
      </c>
      <c r="K236" s="19" t="s">
        <v>105</v>
      </c>
      <c r="L236" s="19" t="s">
        <v>38</v>
      </c>
      <c r="M236" s="20">
        <f t="shared" si="1"/>
        <v>0</v>
      </c>
      <c r="N236" s="22"/>
      <c r="O236" s="19" t="s">
        <v>39</v>
      </c>
      <c r="P236" s="18"/>
      <c r="Q236" s="18"/>
      <c r="R236" s="23">
        <v>0.0</v>
      </c>
      <c r="S236" s="23">
        <v>0.0</v>
      </c>
      <c r="T236" s="23">
        <f t="shared" si="2"/>
        <v>0</v>
      </c>
      <c r="U236" s="23">
        <f t="shared" si="3"/>
        <v>0</v>
      </c>
      <c r="V236" s="23">
        <f t="shared" si="4"/>
        <v>0</v>
      </c>
      <c r="W236" s="24" t="str">
        <f t="shared" si="5"/>
        <v>#DIV/0!</v>
      </c>
    </row>
    <row r="237" hidden="1">
      <c r="A237" s="15" t="s">
        <v>6412</v>
      </c>
      <c r="B237" s="18"/>
      <c r="C237" s="15" t="s">
        <v>6413</v>
      </c>
      <c r="D237" s="18"/>
      <c r="E237" s="17" t="s">
        <v>6414</v>
      </c>
      <c r="F237" s="18"/>
      <c r="G237" s="18"/>
      <c r="H237" s="15" t="s">
        <v>6415</v>
      </c>
      <c r="I237" s="18"/>
      <c r="J237" s="19" t="s">
        <v>59</v>
      </c>
      <c r="K237" s="19" t="s">
        <v>105</v>
      </c>
      <c r="L237" s="19" t="s">
        <v>38</v>
      </c>
      <c r="M237" s="20">
        <f t="shared" si="1"/>
        <v>0</v>
      </c>
      <c r="N237" s="22"/>
      <c r="O237" s="19" t="s">
        <v>39</v>
      </c>
      <c r="P237" s="18"/>
      <c r="Q237" s="18"/>
      <c r="R237" s="23">
        <v>0.0</v>
      </c>
      <c r="S237" s="23">
        <v>0.0</v>
      </c>
      <c r="T237" s="23">
        <f t="shared" si="2"/>
        <v>0</v>
      </c>
      <c r="U237" s="23">
        <f t="shared" si="3"/>
        <v>0</v>
      </c>
      <c r="V237" s="23">
        <f t="shared" si="4"/>
        <v>0</v>
      </c>
      <c r="W237" s="24" t="str">
        <f t="shared" si="5"/>
        <v>#DIV/0!</v>
      </c>
    </row>
    <row r="238" hidden="1">
      <c r="A238" s="15" t="s">
        <v>1384</v>
      </c>
      <c r="B238" s="18"/>
      <c r="C238" s="15" t="s">
        <v>6416</v>
      </c>
      <c r="D238" s="18"/>
      <c r="E238" s="17" t="s">
        <v>1385</v>
      </c>
      <c r="F238" s="18"/>
      <c r="G238" s="18"/>
      <c r="H238" s="15" t="s">
        <v>1386</v>
      </c>
      <c r="I238" s="18"/>
      <c r="J238" s="19" t="s">
        <v>59</v>
      </c>
      <c r="K238" s="19" t="s">
        <v>105</v>
      </c>
      <c r="L238" s="19" t="s">
        <v>38</v>
      </c>
      <c r="M238" s="20">
        <f t="shared" si="1"/>
        <v>0</v>
      </c>
      <c r="N238" s="22"/>
      <c r="O238" s="19" t="s">
        <v>1145</v>
      </c>
      <c r="P238" s="18"/>
      <c r="Q238" s="18"/>
      <c r="R238" s="23">
        <v>0.0</v>
      </c>
      <c r="S238" s="23">
        <v>0.0</v>
      </c>
      <c r="T238" s="23">
        <f t="shared" si="2"/>
        <v>0</v>
      </c>
      <c r="U238" s="23">
        <f t="shared" si="3"/>
        <v>0</v>
      </c>
      <c r="V238" s="23">
        <f t="shared" si="4"/>
        <v>0</v>
      </c>
      <c r="W238" s="24" t="str">
        <f t="shared" si="5"/>
        <v>#DIV/0!</v>
      </c>
    </row>
    <row r="239" hidden="1">
      <c r="A239" s="15" t="s">
        <v>4175</v>
      </c>
      <c r="B239" s="18"/>
      <c r="C239" s="15" t="s">
        <v>6417</v>
      </c>
      <c r="D239" s="18"/>
      <c r="E239" s="17" t="s">
        <v>6418</v>
      </c>
      <c r="F239" s="18"/>
      <c r="G239" s="18"/>
      <c r="H239" s="15" t="s">
        <v>4178</v>
      </c>
      <c r="I239" s="18"/>
      <c r="J239" s="19" t="s">
        <v>59</v>
      </c>
      <c r="K239" s="19" t="s">
        <v>105</v>
      </c>
      <c r="L239" s="19" t="s">
        <v>38</v>
      </c>
      <c r="M239" s="20">
        <f t="shared" si="1"/>
        <v>0</v>
      </c>
      <c r="N239" s="22"/>
      <c r="O239" s="19" t="s">
        <v>1145</v>
      </c>
      <c r="P239" s="18"/>
      <c r="Q239" s="18"/>
      <c r="R239" s="23">
        <v>0.0</v>
      </c>
      <c r="S239" s="23">
        <v>0.0</v>
      </c>
      <c r="T239" s="23">
        <f t="shared" si="2"/>
        <v>0</v>
      </c>
      <c r="U239" s="23">
        <f t="shared" si="3"/>
        <v>0</v>
      </c>
      <c r="V239" s="23">
        <f t="shared" si="4"/>
        <v>0</v>
      </c>
      <c r="W239" s="24" t="str">
        <f t="shared" si="5"/>
        <v>#DIV/0!</v>
      </c>
    </row>
    <row r="240" hidden="1">
      <c r="A240" s="15" t="s">
        <v>1387</v>
      </c>
      <c r="B240" s="15" t="s">
        <v>1388</v>
      </c>
      <c r="C240" s="15" t="s">
        <v>6419</v>
      </c>
      <c r="D240" s="18"/>
      <c r="E240" s="17" t="s">
        <v>1389</v>
      </c>
      <c r="F240" s="18"/>
      <c r="G240" s="18"/>
      <c r="H240" s="15" t="s">
        <v>1390</v>
      </c>
      <c r="I240" s="18"/>
      <c r="J240" s="19" t="s">
        <v>36</v>
      </c>
      <c r="K240" s="19" t="s">
        <v>402</v>
      </c>
      <c r="L240" s="19" t="s">
        <v>38</v>
      </c>
      <c r="M240" s="20">
        <f t="shared" si="1"/>
        <v>0</v>
      </c>
      <c r="N240" s="22"/>
      <c r="O240" s="19" t="s">
        <v>1145</v>
      </c>
      <c r="P240" s="18"/>
      <c r="Q240" s="18"/>
      <c r="R240" s="23">
        <v>0.0</v>
      </c>
      <c r="S240" s="23">
        <v>0.0</v>
      </c>
      <c r="T240" s="23">
        <f t="shared" si="2"/>
        <v>0</v>
      </c>
      <c r="U240" s="23">
        <f t="shared" si="3"/>
        <v>0</v>
      </c>
      <c r="V240" s="23">
        <f t="shared" si="4"/>
        <v>0</v>
      </c>
      <c r="W240" s="24" t="str">
        <f t="shared" si="5"/>
        <v>#DIV/0!</v>
      </c>
    </row>
    <row r="241">
      <c r="A241" s="15" t="s">
        <v>685</v>
      </c>
      <c r="B241" s="15" t="s">
        <v>686</v>
      </c>
      <c r="C241" s="15" t="s">
        <v>6045</v>
      </c>
      <c r="D241" s="15" t="s">
        <v>687</v>
      </c>
      <c r="E241" s="17" t="s">
        <v>688</v>
      </c>
      <c r="F241" s="18"/>
      <c r="G241" s="15" t="s">
        <v>689</v>
      </c>
      <c r="H241" s="15" t="s">
        <v>690</v>
      </c>
      <c r="I241" s="15"/>
      <c r="J241" s="19" t="s">
        <v>59</v>
      </c>
      <c r="K241" s="19" t="s">
        <v>691</v>
      </c>
      <c r="L241" s="19" t="s">
        <v>38</v>
      </c>
      <c r="M241" s="20">
        <f t="shared" si="1"/>
        <v>10283.04</v>
      </c>
      <c r="N241" s="31">
        <v>3.0</v>
      </c>
      <c r="O241" s="19" t="s">
        <v>107</v>
      </c>
      <c r="P241" s="18"/>
      <c r="Q241" s="18"/>
      <c r="R241" s="23">
        <v>115.0</v>
      </c>
      <c r="S241" s="23">
        <v>579.0</v>
      </c>
      <c r="T241" s="23">
        <f t="shared" si="2"/>
        <v>555.84</v>
      </c>
      <c r="U241" s="23">
        <f t="shared" si="3"/>
        <v>140.875</v>
      </c>
      <c r="V241" s="23">
        <f t="shared" si="4"/>
        <v>2641.40625</v>
      </c>
      <c r="W241" s="24">
        <f t="shared" si="5"/>
        <v>4.833391304</v>
      </c>
    </row>
    <row r="242">
      <c r="A242" s="15" t="s">
        <v>931</v>
      </c>
      <c r="B242" s="15" t="s">
        <v>932</v>
      </c>
      <c r="C242" s="15" t="s">
        <v>6109</v>
      </c>
      <c r="D242" s="15" t="s">
        <v>933</v>
      </c>
      <c r="E242" s="17" t="s">
        <v>934</v>
      </c>
      <c r="F242" s="18"/>
      <c r="G242" s="18"/>
      <c r="H242" s="15" t="s">
        <v>935</v>
      </c>
      <c r="I242" s="18"/>
      <c r="J242" s="19" t="s">
        <v>59</v>
      </c>
      <c r="K242" s="19" t="s">
        <v>60</v>
      </c>
      <c r="L242" s="19" t="s">
        <v>38</v>
      </c>
      <c r="M242" s="20">
        <f t="shared" si="1"/>
        <v>745.92</v>
      </c>
      <c r="N242" s="31">
        <v>10.0</v>
      </c>
      <c r="O242" s="19" t="s">
        <v>107</v>
      </c>
      <c r="P242" s="18"/>
      <c r="Q242" s="18"/>
      <c r="R242" s="23">
        <v>11.0</v>
      </c>
      <c r="S242" s="23">
        <v>42.0</v>
      </c>
      <c r="T242" s="23">
        <f t="shared" si="2"/>
        <v>40.32</v>
      </c>
      <c r="U242" s="23">
        <f t="shared" si="3"/>
        <v>13.475</v>
      </c>
      <c r="V242" s="23">
        <f t="shared" si="4"/>
        <v>252.65625</v>
      </c>
      <c r="W242" s="24">
        <f t="shared" si="5"/>
        <v>3.665454545</v>
      </c>
    </row>
    <row r="243">
      <c r="A243" s="15" t="s">
        <v>441</v>
      </c>
      <c r="B243" s="15" t="s">
        <v>442</v>
      </c>
      <c r="C243" s="15" t="s">
        <v>6110</v>
      </c>
      <c r="D243" s="15" t="s">
        <v>443</v>
      </c>
      <c r="E243" s="17" t="s">
        <v>444</v>
      </c>
      <c r="F243" s="18"/>
      <c r="G243" s="18"/>
      <c r="H243" s="15" t="s">
        <v>445</v>
      </c>
      <c r="I243" s="18"/>
      <c r="J243" s="19" t="s">
        <v>59</v>
      </c>
      <c r="K243" s="19" t="s">
        <v>60</v>
      </c>
      <c r="L243" s="19" t="s">
        <v>38</v>
      </c>
      <c r="M243" s="20">
        <f t="shared" si="1"/>
        <v>1243.2</v>
      </c>
      <c r="N243" s="31">
        <v>13.0</v>
      </c>
      <c r="O243" s="19" t="s">
        <v>107</v>
      </c>
      <c r="P243" s="18"/>
      <c r="Q243" s="18"/>
      <c r="R243" s="23">
        <v>10.0</v>
      </c>
      <c r="S243" s="23">
        <v>70.0</v>
      </c>
      <c r="T243" s="23">
        <f t="shared" si="2"/>
        <v>67.2</v>
      </c>
      <c r="U243" s="23">
        <f t="shared" si="3"/>
        <v>12.25</v>
      </c>
      <c r="V243" s="23">
        <f t="shared" si="4"/>
        <v>229.6875</v>
      </c>
      <c r="W243" s="24">
        <f t="shared" si="5"/>
        <v>6.72</v>
      </c>
    </row>
    <row r="244">
      <c r="A244" s="15" t="s">
        <v>338</v>
      </c>
      <c r="B244" s="15" t="s">
        <v>339</v>
      </c>
      <c r="C244" s="15" t="s">
        <v>6046</v>
      </c>
      <c r="D244" s="15" t="s">
        <v>340</v>
      </c>
      <c r="E244" s="17" t="s">
        <v>341</v>
      </c>
      <c r="F244" s="18"/>
      <c r="G244" s="18"/>
      <c r="H244" s="15" t="s">
        <v>342</v>
      </c>
      <c r="I244" s="18"/>
      <c r="J244" s="19" t="s">
        <v>59</v>
      </c>
      <c r="K244" s="33"/>
      <c r="L244" s="19" t="s">
        <v>38</v>
      </c>
      <c r="M244" s="20">
        <f t="shared" si="1"/>
        <v>1243.2</v>
      </c>
      <c r="N244" s="31">
        <v>5.0</v>
      </c>
      <c r="O244" s="19" t="s">
        <v>107</v>
      </c>
      <c r="P244" s="18"/>
      <c r="Q244" s="18"/>
      <c r="R244" s="23">
        <v>9.0</v>
      </c>
      <c r="S244" s="23">
        <v>70.0</v>
      </c>
      <c r="T244" s="23">
        <f t="shared" si="2"/>
        <v>67.2</v>
      </c>
      <c r="U244" s="23">
        <f t="shared" si="3"/>
        <v>11.025</v>
      </c>
      <c r="V244" s="23">
        <f t="shared" si="4"/>
        <v>206.71875</v>
      </c>
      <c r="W244" s="24">
        <f t="shared" si="5"/>
        <v>7.466666667</v>
      </c>
    </row>
    <row r="245">
      <c r="A245" s="15" t="s">
        <v>617</v>
      </c>
      <c r="B245" s="18"/>
      <c r="C245" s="15" t="s">
        <v>6047</v>
      </c>
      <c r="D245" s="15" t="s">
        <v>618</v>
      </c>
      <c r="E245" s="17" t="s">
        <v>619</v>
      </c>
      <c r="F245" s="18"/>
      <c r="G245" s="18"/>
      <c r="H245" s="15" t="s">
        <v>620</v>
      </c>
      <c r="I245" s="15"/>
      <c r="J245" s="19" t="s">
        <v>59</v>
      </c>
      <c r="K245" s="19" t="s">
        <v>60</v>
      </c>
      <c r="L245" s="19" t="s">
        <v>38</v>
      </c>
      <c r="M245" s="20">
        <f t="shared" si="1"/>
        <v>8453.76</v>
      </c>
      <c r="N245" s="31">
        <v>3.0</v>
      </c>
      <c r="O245" s="19" t="s">
        <v>107</v>
      </c>
      <c r="P245" s="18"/>
      <c r="Q245" s="18"/>
      <c r="R245" s="23">
        <v>88.0</v>
      </c>
      <c r="S245" s="23">
        <v>476.0</v>
      </c>
      <c r="T245" s="23">
        <f t="shared" si="2"/>
        <v>456.96</v>
      </c>
      <c r="U245" s="23">
        <f t="shared" si="3"/>
        <v>107.8</v>
      </c>
      <c r="V245" s="23">
        <f t="shared" si="4"/>
        <v>2021.25</v>
      </c>
      <c r="W245" s="24">
        <f t="shared" si="5"/>
        <v>5.192727273</v>
      </c>
    </row>
    <row r="246">
      <c r="A246" s="15" t="s">
        <v>148</v>
      </c>
      <c r="B246" s="15" t="s">
        <v>149</v>
      </c>
      <c r="C246" s="15" t="s">
        <v>6103</v>
      </c>
      <c r="D246" s="15" t="s">
        <v>150</v>
      </c>
      <c r="E246" s="17" t="s">
        <v>151</v>
      </c>
      <c r="F246" s="18"/>
      <c r="G246" s="18"/>
      <c r="H246" s="15" t="s">
        <v>152</v>
      </c>
      <c r="I246" s="18"/>
      <c r="J246" s="19" t="s">
        <v>59</v>
      </c>
      <c r="K246" s="33"/>
      <c r="L246" s="19" t="s">
        <v>38</v>
      </c>
      <c r="M246" s="20">
        <f t="shared" si="1"/>
        <v>88.8</v>
      </c>
      <c r="N246" s="31">
        <v>10.0</v>
      </c>
      <c r="O246" s="19" t="s">
        <v>107</v>
      </c>
      <c r="P246" s="18"/>
      <c r="Q246" s="18"/>
      <c r="R246" s="23">
        <v>0.3</v>
      </c>
      <c r="S246" s="23">
        <v>5.0</v>
      </c>
      <c r="T246" s="23">
        <f t="shared" si="2"/>
        <v>4.8</v>
      </c>
      <c r="U246" s="23">
        <f t="shared" si="3"/>
        <v>0.3675</v>
      </c>
      <c r="V246" s="23">
        <f t="shared" si="4"/>
        <v>6.890625</v>
      </c>
      <c r="W246" s="24">
        <f t="shared" si="5"/>
        <v>16</v>
      </c>
    </row>
    <row r="247">
      <c r="A247" s="15" t="s">
        <v>213</v>
      </c>
      <c r="B247" s="15" t="s">
        <v>214</v>
      </c>
      <c r="C247" s="15" t="s">
        <v>6114</v>
      </c>
      <c r="D247" s="15" t="s">
        <v>215</v>
      </c>
      <c r="E247" s="17" t="s">
        <v>216</v>
      </c>
      <c r="F247" s="18"/>
      <c r="G247" s="18"/>
      <c r="H247" s="15" t="s">
        <v>217</v>
      </c>
      <c r="I247" s="18"/>
      <c r="J247" s="19" t="s">
        <v>59</v>
      </c>
      <c r="K247" s="19" t="s">
        <v>60</v>
      </c>
      <c r="L247" s="19" t="s">
        <v>38</v>
      </c>
      <c r="M247" s="20">
        <f t="shared" si="1"/>
        <v>53.28</v>
      </c>
      <c r="N247" s="31">
        <v>30.0</v>
      </c>
      <c r="O247" s="19" t="s">
        <v>107</v>
      </c>
      <c r="P247" s="18"/>
      <c r="Q247" s="18"/>
      <c r="R247" s="23">
        <v>0.3</v>
      </c>
      <c r="S247" s="23">
        <v>3.0</v>
      </c>
      <c r="T247" s="23">
        <f t="shared" si="2"/>
        <v>2.88</v>
      </c>
      <c r="U247" s="23">
        <f t="shared" si="3"/>
        <v>0.3675</v>
      </c>
      <c r="V247" s="23">
        <f t="shared" si="4"/>
        <v>6.890625</v>
      </c>
      <c r="W247" s="24">
        <f t="shared" si="5"/>
        <v>9.6</v>
      </c>
    </row>
    <row r="248">
      <c r="A248" s="15" t="s">
        <v>218</v>
      </c>
      <c r="B248" s="15" t="s">
        <v>219</v>
      </c>
      <c r="C248" s="15" t="s">
        <v>6115</v>
      </c>
      <c r="D248" s="15" t="s">
        <v>220</v>
      </c>
      <c r="E248" s="17" t="s">
        <v>221</v>
      </c>
      <c r="F248" s="18"/>
      <c r="G248" s="18"/>
      <c r="H248" s="15" t="s">
        <v>222</v>
      </c>
      <c r="I248" s="18"/>
      <c r="J248" s="19" t="s">
        <v>59</v>
      </c>
      <c r="K248" s="33"/>
      <c r="L248" s="19" t="s">
        <v>38</v>
      </c>
      <c r="M248" s="20">
        <f t="shared" si="1"/>
        <v>53.28</v>
      </c>
      <c r="N248" s="31">
        <v>30.0</v>
      </c>
      <c r="O248" s="19" t="s">
        <v>107</v>
      </c>
      <c r="P248" s="18"/>
      <c r="Q248" s="18"/>
      <c r="R248" s="23">
        <v>0.3</v>
      </c>
      <c r="S248" s="23">
        <v>3.0</v>
      </c>
      <c r="T248" s="23">
        <f t="shared" si="2"/>
        <v>2.88</v>
      </c>
      <c r="U248" s="23">
        <f t="shared" si="3"/>
        <v>0.3675</v>
      </c>
      <c r="V248" s="23">
        <f t="shared" si="4"/>
        <v>6.890625</v>
      </c>
      <c r="W248" s="24">
        <f t="shared" si="5"/>
        <v>9.6</v>
      </c>
    </row>
    <row r="249">
      <c r="A249" s="15" t="s">
        <v>497</v>
      </c>
      <c r="B249" s="15" t="s">
        <v>498</v>
      </c>
      <c r="C249" s="15" t="s">
        <v>6091</v>
      </c>
      <c r="D249" s="15" t="s">
        <v>499</v>
      </c>
      <c r="E249" s="17" t="s">
        <v>500</v>
      </c>
      <c r="F249" s="18"/>
      <c r="G249" s="15" t="s">
        <v>501</v>
      </c>
      <c r="H249" s="15" t="s">
        <v>502</v>
      </c>
      <c r="I249" s="18"/>
      <c r="J249" s="19" t="s">
        <v>59</v>
      </c>
      <c r="K249" s="33"/>
      <c r="L249" s="19" t="s">
        <v>115</v>
      </c>
      <c r="M249" s="20">
        <f t="shared" si="1"/>
        <v>692.64</v>
      </c>
      <c r="N249" s="31">
        <v>10.0</v>
      </c>
      <c r="O249" s="19" t="s">
        <v>107</v>
      </c>
      <c r="P249" s="18"/>
      <c r="Q249" s="18"/>
      <c r="R249" s="23">
        <v>6.0</v>
      </c>
      <c r="S249" s="23">
        <v>39.0</v>
      </c>
      <c r="T249" s="23">
        <f t="shared" si="2"/>
        <v>37.44</v>
      </c>
      <c r="U249" s="23">
        <f t="shared" si="3"/>
        <v>7.35</v>
      </c>
      <c r="V249" s="23">
        <f t="shared" si="4"/>
        <v>137.8125</v>
      </c>
      <c r="W249" s="24">
        <f t="shared" si="5"/>
        <v>6.24</v>
      </c>
    </row>
    <row r="250">
      <c r="A250" s="15" t="s">
        <v>303</v>
      </c>
      <c r="B250" s="15" t="s">
        <v>304</v>
      </c>
      <c r="C250" s="15" t="s">
        <v>6092</v>
      </c>
      <c r="D250" s="15" t="s">
        <v>305</v>
      </c>
      <c r="E250" s="17" t="s">
        <v>6093</v>
      </c>
      <c r="F250" s="18"/>
      <c r="G250" s="18"/>
      <c r="H250" s="15" t="s">
        <v>307</v>
      </c>
      <c r="I250" s="18"/>
      <c r="J250" s="19" t="s">
        <v>59</v>
      </c>
      <c r="K250" s="19" t="s">
        <v>60</v>
      </c>
      <c r="L250" s="19" t="s">
        <v>38</v>
      </c>
      <c r="M250" s="20">
        <f t="shared" si="1"/>
        <v>1012.32</v>
      </c>
      <c r="N250" s="31">
        <v>5.0</v>
      </c>
      <c r="O250" s="19" t="s">
        <v>107</v>
      </c>
      <c r="P250" s="18"/>
      <c r="Q250" s="18"/>
      <c r="R250" s="23">
        <v>7.0</v>
      </c>
      <c r="S250" s="23">
        <v>57.0</v>
      </c>
      <c r="T250" s="23">
        <f t="shared" si="2"/>
        <v>54.72</v>
      </c>
      <c r="U250" s="23">
        <f t="shared" si="3"/>
        <v>8.575</v>
      </c>
      <c r="V250" s="23">
        <f t="shared" si="4"/>
        <v>160.78125</v>
      </c>
      <c r="W250" s="24">
        <f t="shared" si="5"/>
        <v>7.817142857</v>
      </c>
    </row>
    <row r="251">
      <c r="A251" s="15" t="s">
        <v>581</v>
      </c>
      <c r="B251" s="15" t="s">
        <v>582</v>
      </c>
      <c r="C251" s="15" t="s">
        <v>7874</v>
      </c>
      <c r="D251" s="15" t="s">
        <v>583</v>
      </c>
      <c r="E251" s="17" t="s">
        <v>584</v>
      </c>
      <c r="F251" s="18"/>
      <c r="G251" s="18"/>
      <c r="H251" s="15" t="s">
        <v>585</v>
      </c>
      <c r="I251" s="18"/>
      <c r="J251" s="19" t="s">
        <v>59</v>
      </c>
      <c r="K251" s="33"/>
      <c r="L251" s="19" t="s">
        <v>38</v>
      </c>
      <c r="M251" s="20">
        <f t="shared" si="1"/>
        <v>14492.16</v>
      </c>
      <c r="N251" s="31">
        <v>2.0</v>
      </c>
      <c r="O251" s="19" t="s">
        <v>107</v>
      </c>
      <c r="P251" s="18"/>
      <c r="Q251" s="18"/>
      <c r="R251" s="23">
        <v>145.0</v>
      </c>
      <c r="S251" s="23">
        <v>816.0</v>
      </c>
      <c r="T251" s="23">
        <f t="shared" si="2"/>
        <v>783.36</v>
      </c>
      <c r="U251" s="23">
        <f t="shared" si="3"/>
        <v>177.625</v>
      </c>
      <c r="V251" s="23">
        <f t="shared" si="4"/>
        <v>3330.46875</v>
      </c>
      <c r="W251" s="24">
        <f t="shared" si="5"/>
        <v>5.402482759</v>
      </c>
    </row>
    <row r="252">
      <c r="A252" s="15" t="s">
        <v>374</v>
      </c>
      <c r="B252" s="15" t="s">
        <v>375</v>
      </c>
      <c r="C252" s="15" t="s">
        <v>6111</v>
      </c>
      <c r="D252" s="15" t="s">
        <v>6112</v>
      </c>
      <c r="E252" s="17" t="s">
        <v>377</v>
      </c>
      <c r="F252" s="18"/>
      <c r="G252" s="18"/>
      <c r="H252" s="15" t="s">
        <v>378</v>
      </c>
      <c r="I252" s="15"/>
      <c r="J252" s="19" t="s">
        <v>59</v>
      </c>
      <c r="K252" s="19" t="s">
        <v>60</v>
      </c>
      <c r="L252" s="19" t="s">
        <v>38</v>
      </c>
      <c r="M252" s="20">
        <f t="shared" si="1"/>
        <v>444</v>
      </c>
      <c r="N252" s="31">
        <v>15.0</v>
      </c>
      <c r="O252" s="19" t="s">
        <v>107</v>
      </c>
      <c r="P252" s="18"/>
      <c r="Q252" s="18"/>
      <c r="R252" s="23">
        <v>3.3</v>
      </c>
      <c r="S252" s="23">
        <v>25.0</v>
      </c>
      <c r="T252" s="23">
        <f t="shared" si="2"/>
        <v>24</v>
      </c>
      <c r="U252" s="23">
        <f t="shared" si="3"/>
        <v>4.0425</v>
      </c>
      <c r="V252" s="23">
        <f t="shared" si="4"/>
        <v>75.796875</v>
      </c>
      <c r="W252" s="24">
        <f t="shared" si="5"/>
        <v>7.272727273</v>
      </c>
    </row>
    <row r="253">
      <c r="A253" s="15" t="s">
        <v>390</v>
      </c>
      <c r="B253" s="15" t="s">
        <v>391</v>
      </c>
      <c r="C253" s="15" t="s">
        <v>7887</v>
      </c>
      <c r="D253" s="15" t="s">
        <v>392</v>
      </c>
      <c r="E253" s="17" t="s">
        <v>393</v>
      </c>
      <c r="F253" s="18"/>
      <c r="G253" s="18"/>
      <c r="H253" s="15" t="s">
        <v>5994</v>
      </c>
      <c r="I253" s="18"/>
      <c r="J253" s="19" t="s">
        <v>59</v>
      </c>
      <c r="K253" s="19" t="s">
        <v>60</v>
      </c>
      <c r="L253" s="19" t="s">
        <v>38</v>
      </c>
      <c r="M253" s="20">
        <f t="shared" si="1"/>
        <v>10478.4</v>
      </c>
      <c r="N253" s="31">
        <v>2.0</v>
      </c>
      <c r="O253" s="19" t="s">
        <v>107</v>
      </c>
      <c r="P253" s="18"/>
      <c r="Q253" s="18"/>
      <c r="R253" s="23">
        <v>80.0</v>
      </c>
      <c r="S253" s="23">
        <v>590.0</v>
      </c>
      <c r="T253" s="23">
        <f t="shared" si="2"/>
        <v>566.4</v>
      </c>
      <c r="U253" s="23">
        <f t="shared" si="3"/>
        <v>98</v>
      </c>
      <c r="V253" s="23">
        <f t="shared" si="4"/>
        <v>1837.5</v>
      </c>
      <c r="W253" s="24">
        <f t="shared" si="5"/>
        <v>7.08</v>
      </c>
    </row>
    <row r="254">
      <c r="A254" s="15" t="s">
        <v>166</v>
      </c>
      <c r="B254" s="15" t="s">
        <v>167</v>
      </c>
      <c r="C254" s="15" t="s">
        <v>6048</v>
      </c>
      <c r="D254" s="15" t="s">
        <v>168</v>
      </c>
      <c r="E254" s="17" t="s">
        <v>169</v>
      </c>
      <c r="F254" s="18"/>
      <c r="G254" s="18"/>
      <c r="H254" s="15" t="s">
        <v>170</v>
      </c>
      <c r="I254" s="18"/>
      <c r="J254" s="19" t="s">
        <v>59</v>
      </c>
      <c r="K254" s="19" t="s">
        <v>60</v>
      </c>
      <c r="L254" s="19" t="s">
        <v>115</v>
      </c>
      <c r="M254" s="20">
        <f t="shared" si="1"/>
        <v>5256.96</v>
      </c>
      <c r="N254" s="31">
        <v>4.0</v>
      </c>
      <c r="O254" s="19" t="s">
        <v>107</v>
      </c>
      <c r="P254" s="18"/>
      <c r="Q254" s="18"/>
      <c r="R254" s="23">
        <v>21.0</v>
      </c>
      <c r="S254" s="23">
        <v>296.0</v>
      </c>
      <c r="T254" s="23">
        <f t="shared" si="2"/>
        <v>284.16</v>
      </c>
      <c r="U254" s="23">
        <f t="shared" si="3"/>
        <v>25.725</v>
      </c>
      <c r="V254" s="23">
        <f t="shared" si="4"/>
        <v>482.34375</v>
      </c>
      <c r="W254" s="24">
        <f t="shared" si="5"/>
        <v>13.53142857</v>
      </c>
    </row>
    <row r="255">
      <c r="A255" s="15" t="s">
        <v>490</v>
      </c>
      <c r="B255" s="15" t="s">
        <v>491</v>
      </c>
      <c r="C255" s="15" t="s">
        <v>6094</v>
      </c>
      <c r="D255" s="15" t="s">
        <v>492</v>
      </c>
      <c r="E255" s="17" t="s">
        <v>493</v>
      </c>
      <c r="F255" s="18"/>
      <c r="G255" s="15" t="s">
        <v>494</v>
      </c>
      <c r="H255" s="15" t="s">
        <v>495</v>
      </c>
      <c r="I255" s="18"/>
      <c r="J255" s="19" t="s">
        <v>59</v>
      </c>
      <c r="K255" s="19" t="s">
        <v>496</v>
      </c>
      <c r="L255" s="19" t="s">
        <v>292</v>
      </c>
      <c r="M255" s="20">
        <f t="shared" si="1"/>
        <v>2575.2</v>
      </c>
      <c r="N255" s="31">
        <v>6.0</v>
      </c>
      <c r="O255" s="19" t="s">
        <v>107</v>
      </c>
      <c r="P255" s="18"/>
      <c r="Q255" s="18"/>
      <c r="R255" s="23">
        <v>22.0</v>
      </c>
      <c r="S255" s="23">
        <v>145.0</v>
      </c>
      <c r="T255" s="23">
        <f t="shared" si="2"/>
        <v>139.2</v>
      </c>
      <c r="U255" s="23">
        <f t="shared" si="3"/>
        <v>26.95</v>
      </c>
      <c r="V255" s="23">
        <f t="shared" si="4"/>
        <v>505.3125</v>
      </c>
      <c r="W255" s="24">
        <f t="shared" si="5"/>
        <v>6.327272727</v>
      </c>
    </row>
    <row r="256">
      <c r="A256" s="15" t="s">
        <v>521</v>
      </c>
      <c r="B256" s="15" t="s">
        <v>522</v>
      </c>
      <c r="C256" s="15" t="s">
        <v>6049</v>
      </c>
      <c r="D256" s="15" t="s">
        <v>523</v>
      </c>
      <c r="E256" s="17" t="s">
        <v>524</v>
      </c>
      <c r="F256" s="18"/>
      <c r="G256" s="15" t="s">
        <v>525</v>
      </c>
      <c r="H256" s="15" t="s">
        <v>526</v>
      </c>
      <c r="I256" s="18"/>
      <c r="J256" s="19" t="s">
        <v>59</v>
      </c>
      <c r="K256" s="19" t="s">
        <v>496</v>
      </c>
      <c r="L256" s="19" t="s">
        <v>292</v>
      </c>
      <c r="M256" s="20">
        <f t="shared" si="1"/>
        <v>941.28</v>
      </c>
      <c r="N256" s="31">
        <v>4.0</v>
      </c>
      <c r="O256" s="19" t="s">
        <v>107</v>
      </c>
      <c r="P256" s="18"/>
      <c r="Q256" s="18"/>
      <c r="R256" s="23">
        <v>8.5</v>
      </c>
      <c r="S256" s="23">
        <v>53.0</v>
      </c>
      <c r="T256" s="23">
        <f t="shared" si="2"/>
        <v>50.88</v>
      </c>
      <c r="U256" s="23">
        <f t="shared" si="3"/>
        <v>10.4125</v>
      </c>
      <c r="V256" s="23">
        <f t="shared" si="4"/>
        <v>195.234375</v>
      </c>
      <c r="W256" s="24">
        <f t="shared" si="5"/>
        <v>5.985882353</v>
      </c>
    </row>
    <row r="257">
      <c r="A257" s="15" t="s">
        <v>527</v>
      </c>
      <c r="B257" s="15" t="s">
        <v>528</v>
      </c>
      <c r="C257" s="15" t="s">
        <v>6049</v>
      </c>
      <c r="D257" s="15" t="s">
        <v>529</v>
      </c>
      <c r="E257" s="17" t="s">
        <v>530</v>
      </c>
      <c r="F257" s="18"/>
      <c r="G257" s="15" t="s">
        <v>525</v>
      </c>
      <c r="H257" s="15" t="s">
        <v>531</v>
      </c>
      <c r="I257" s="18"/>
      <c r="J257" s="19" t="s">
        <v>59</v>
      </c>
      <c r="K257" s="19" t="s">
        <v>496</v>
      </c>
      <c r="L257" s="19" t="s">
        <v>292</v>
      </c>
      <c r="M257" s="20">
        <f t="shared" si="1"/>
        <v>941.28</v>
      </c>
      <c r="N257" s="31">
        <v>4.0</v>
      </c>
      <c r="O257" s="19" t="s">
        <v>107</v>
      </c>
      <c r="P257" s="18"/>
      <c r="Q257" s="18"/>
      <c r="R257" s="23">
        <v>8.5</v>
      </c>
      <c r="S257" s="23">
        <v>53.0</v>
      </c>
      <c r="T257" s="23">
        <f t="shared" si="2"/>
        <v>50.88</v>
      </c>
      <c r="U257" s="23">
        <f t="shared" si="3"/>
        <v>10.4125</v>
      </c>
      <c r="V257" s="23">
        <f t="shared" si="4"/>
        <v>195.234375</v>
      </c>
      <c r="W257" s="24">
        <f t="shared" si="5"/>
        <v>5.985882353</v>
      </c>
    </row>
    <row r="258">
      <c r="A258" s="15" t="s">
        <v>1042</v>
      </c>
      <c r="B258" s="15" t="s">
        <v>1043</v>
      </c>
      <c r="C258" s="15" t="s">
        <v>6050</v>
      </c>
      <c r="D258" s="15" t="s">
        <v>1044</v>
      </c>
      <c r="E258" s="17" t="s">
        <v>1045</v>
      </c>
      <c r="F258" s="18"/>
      <c r="G258" s="18"/>
      <c r="H258" s="15" t="s">
        <v>1046</v>
      </c>
      <c r="I258" s="15"/>
      <c r="J258" s="19" t="s">
        <v>59</v>
      </c>
      <c r="K258" s="19" t="s">
        <v>60</v>
      </c>
      <c r="L258" s="19" t="s">
        <v>38</v>
      </c>
      <c r="M258" s="20">
        <f t="shared" si="1"/>
        <v>1154.4</v>
      </c>
      <c r="N258" s="31">
        <v>5.0</v>
      </c>
      <c r="O258" s="19" t="s">
        <v>107</v>
      </c>
      <c r="P258" s="18"/>
      <c r="Q258" s="18"/>
      <c r="R258" s="23">
        <v>20.0</v>
      </c>
      <c r="S258" s="23">
        <v>65.0</v>
      </c>
      <c r="T258" s="23">
        <f t="shared" si="2"/>
        <v>62.4</v>
      </c>
      <c r="U258" s="23">
        <f t="shared" si="3"/>
        <v>24.5</v>
      </c>
      <c r="V258" s="23">
        <f t="shared" si="4"/>
        <v>459.375</v>
      </c>
      <c r="W258" s="24">
        <f t="shared" si="5"/>
        <v>3.12</v>
      </c>
    </row>
    <row r="259">
      <c r="A259" s="15" t="s">
        <v>428</v>
      </c>
      <c r="B259" s="15" t="s">
        <v>429</v>
      </c>
      <c r="C259" s="15" t="s">
        <v>6095</v>
      </c>
      <c r="D259" s="15" t="s">
        <v>430</v>
      </c>
      <c r="E259" s="17" t="s">
        <v>431</v>
      </c>
      <c r="F259" s="18"/>
      <c r="G259" s="15" t="s">
        <v>432</v>
      </c>
      <c r="H259" s="15" t="s">
        <v>433</v>
      </c>
      <c r="I259" s="18"/>
      <c r="J259" s="19" t="s">
        <v>59</v>
      </c>
      <c r="K259" s="19" t="s">
        <v>60</v>
      </c>
      <c r="L259" s="19" t="s">
        <v>38</v>
      </c>
      <c r="M259" s="20">
        <f t="shared" si="1"/>
        <v>1935.84</v>
      </c>
      <c r="N259" s="31">
        <v>5.0</v>
      </c>
      <c r="O259" s="19" t="s">
        <v>107</v>
      </c>
      <c r="P259" s="18"/>
      <c r="Q259" s="18"/>
      <c r="R259" s="23">
        <v>15.5</v>
      </c>
      <c r="S259" s="23">
        <v>109.0</v>
      </c>
      <c r="T259" s="23">
        <f t="shared" si="2"/>
        <v>104.64</v>
      </c>
      <c r="U259" s="23">
        <f t="shared" si="3"/>
        <v>18.9875</v>
      </c>
      <c r="V259" s="23">
        <f t="shared" si="4"/>
        <v>356.015625</v>
      </c>
      <c r="W259" s="24">
        <f t="shared" si="5"/>
        <v>6.750967742</v>
      </c>
    </row>
    <row r="260">
      <c r="A260" s="15" t="s">
        <v>802</v>
      </c>
      <c r="B260" s="15" t="s">
        <v>803</v>
      </c>
      <c r="C260" s="15" t="s">
        <v>6051</v>
      </c>
      <c r="D260" s="15" t="s">
        <v>804</v>
      </c>
      <c r="E260" s="17" t="s">
        <v>805</v>
      </c>
      <c r="F260" s="18"/>
      <c r="G260" s="18"/>
      <c r="H260" s="15" t="s">
        <v>806</v>
      </c>
      <c r="I260" s="18"/>
      <c r="J260" s="19" t="s">
        <v>59</v>
      </c>
      <c r="K260" s="33"/>
      <c r="L260" s="19" t="s">
        <v>38</v>
      </c>
      <c r="M260" s="20">
        <f t="shared" si="1"/>
        <v>1562.88</v>
      </c>
      <c r="N260" s="31">
        <v>5.0</v>
      </c>
      <c r="O260" s="19" t="s">
        <v>107</v>
      </c>
      <c r="P260" s="18"/>
      <c r="Q260" s="18"/>
      <c r="R260" s="23">
        <v>20.0</v>
      </c>
      <c r="S260" s="23">
        <v>88.0</v>
      </c>
      <c r="T260" s="23">
        <f t="shared" si="2"/>
        <v>84.48</v>
      </c>
      <c r="U260" s="23">
        <f t="shared" si="3"/>
        <v>24.5</v>
      </c>
      <c r="V260" s="23">
        <f t="shared" si="4"/>
        <v>459.375</v>
      </c>
      <c r="W260" s="24">
        <f t="shared" si="5"/>
        <v>4.224</v>
      </c>
    </row>
    <row r="261">
      <c r="A261" s="15" t="s">
        <v>991</v>
      </c>
      <c r="B261" s="15" t="s">
        <v>992</v>
      </c>
      <c r="C261" s="15" t="s">
        <v>6052</v>
      </c>
      <c r="D261" s="15" t="s">
        <v>993</v>
      </c>
      <c r="E261" s="17" t="s">
        <v>994</v>
      </c>
      <c r="F261" s="18"/>
      <c r="G261" s="18"/>
      <c r="H261" s="15" t="s">
        <v>995</v>
      </c>
      <c r="I261" s="18"/>
      <c r="J261" s="19" t="s">
        <v>59</v>
      </c>
      <c r="K261" s="33"/>
      <c r="L261" s="19" t="s">
        <v>38</v>
      </c>
      <c r="M261" s="20">
        <f t="shared" si="1"/>
        <v>888</v>
      </c>
      <c r="N261" s="31">
        <v>5.0</v>
      </c>
      <c r="O261" s="19" t="s">
        <v>107</v>
      </c>
      <c r="P261" s="18"/>
      <c r="Q261" s="18"/>
      <c r="R261" s="23">
        <v>14.0</v>
      </c>
      <c r="S261" s="23">
        <v>50.0</v>
      </c>
      <c r="T261" s="23">
        <f t="shared" si="2"/>
        <v>48</v>
      </c>
      <c r="U261" s="23">
        <f t="shared" si="3"/>
        <v>17.15</v>
      </c>
      <c r="V261" s="23">
        <f t="shared" si="4"/>
        <v>321.5625</v>
      </c>
      <c r="W261" s="24">
        <f t="shared" si="5"/>
        <v>3.428571429</v>
      </c>
    </row>
    <row r="262" hidden="1">
      <c r="A262" s="15" t="s">
        <v>6439</v>
      </c>
      <c r="B262" s="18"/>
      <c r="C262" s="15" t="s">
        <v>6440</v>
      </c>
      <c r="D262" s="18"/>
      <c r="E262" s="17" t="s">
        <v>6441</v>
      </c>
      <c r="F262" s="18"/>
      <c r="G262" s="18"/>
      <c r="H262" s="15" t="s">
        <v>4203</v>
      </c>
      <c r="I262" s="18"/>
      <c r="J262" s="19" t="s">
        <v>36</v>
      </c>
      <c r="K262" s="19" t="s">
        <v>105</v>
      </c>
      <c r="L262" s="19" t="s">
        <v>38</v>
      </c>
      <c r="M262" s="20">
        <f t="shared" si="1"/>
        <v>0</v>
      </c>
      <c r="N262" s="22"/>
      <c r="O262" s="19" t="s">
        <v>39</v>
      </c>
      <c r="P262" s="18"/>
      <c r="Q262" s="18"/>
      <c r="R262" s="23">
        <v>0.0</v>
      </c>
      <c r="S262" s="23">
        <v>0.0</v>
      </c>
      <c r="T262" s="23">
        <f t="shared" si="2"/>
        <v>0</v>
      </c>
      <c r="U262" s="23">
        <f t="shared" si="3"/>
        <v>0</v>
      </c>
      <c r="V262" s="23">
        <f t="shared" si="4"/>
        <v>0</v>
      </c>
      <c r="W262" s="24" t="str">
        <f t="shared" si="5"/>
        <v>#DIV/0!</v>
      </c>
    </row>
    <row r="263">
      <c r="A263" s="15" t="s">
        <v>969</v>
      </c>
      <c r="B263" s="15" t="s">
        <v>970</v>
      </c>
      <c r="C263" s="15" t="s">
        <v>8006</v>
      </c>
      <c r="D263" s="15" t="s">
        <v>971</v>
      </c>
      <c r="E263" s="17" t="s">
        <v>972</v>
      </c>
      <c r="F263" s="18"/>
      <c r="G263" s="18"/>
      <c r="H263" s="15" t="s">
        <v>973</v>
      </c>
      <c r="I263" s="18"/>
      <c r="J263" s="19" t="s">
        <v>59</v>
      </c>
      <c r="K263" s="19" t="s">
        <v>60</v>
      </c>
      <c r="L263" s="19" t="s">
        <v>177</v>
      </c>
      <c r="M263" s="20">
        <f t="shared" si="1"/>
        <v>13852.8</v>
      </c>
      <c r="N263" s="31">
        <v>2.0</v>
      </c>
      <c r="O263" s="19" t="s">
        <v>107</v>
      </c>
      <c r="P263" s="18"/>
      <c r="Q263" s="18"/>
      <c r="R263" s="23">
        <v>210.0</v>
      </c>
      <c r="S263" s="23">
        <v>780.0</v>
      </c>
      <c r="T263" s="23">
        <f t="shared" si="2"/>
        <v>748.8</v>
      </c>
      <c r="U263" s="23">
        <f t="shared" si="3"/>
        <v>257.25</v>
      </c>
      <c r="V263" s="23">
        <f t="shared" si="4"/>
        <v>4823.4375</v>
      </c>
      <c r="W263" s="24">
        <f t="shared" si="5"/>
        <v>3.565714286</v>
      </c>
    </row>
    <row r="264">
      <c r="A264" s="15" t="s">
        <v>298</v>
      </c>
      <c r="B264" s="15" t="s">
        <v>299</v>
      </c>
      <c r="C264" s="15" t="s">
        <v>6053</v>
      </c>
      <c r="D264" s="15" t="s">
        <v>300</v>
      </c>
      <c r="E264" s="17" t="s">
        <v>8007</v>
      </c>
      <c r="F264" s="18"/>
      <c r="G264" s="18"/>
      <c r="H264" s="15" t="s">
        <v>302</v>
      </c>
      <c r="I264" s="18"/>
      <c r="J264" s="19" t="s">
        <v>59</v>
      </c>
      <c r="K264" s="19" t="s">
        <v>60</v>
      </c>
      <c r="L264" s="19" t="s">
        <v>177</v>
      </c>
      <c r="M264" s="20">
        <f t="shared" si="1"/>
        <v>14580.96</v>
      </c>
      <c r="N264" s="31">
        <v>3.0</v>
      </c>
      <c r="O264" s="19" t="s">
        <v>107</v>
      </c>
      <c r="P264" s="18"/>
      <c r="Q264" s="18"/>
      <c r="R264" s="23">
        <v>100.0</v>
      </c>
      <c r="S264" s="23">
        <v>821.0</v>
      </c>
      <c r="T264" s="23">
        <f t="shared" si="2"/>
        <v>788.16</v>
      </c>
      <c r="U264" s="23">
        <f t="shared" si="3"/>
        <v>122.5</v>
      </c>
      <c r="V264" s="23">
        <f t="shared" si="4"/>
        <v>2296.875</v>
      </c>
      <c r="W264" s="24">
        <f t="shared" si="5"/>
        <v>7.8816</v>
      </c>
    </row>
    <row r="265">
      <c r="A265" s="15" t="s">
        <v>248</v>
      </c>
      <c r="B265" s="15" t="s">
        <v>249</v>
      </c>
      <c r="C265" s="15" t="s">
        <v>6096</v>
      </c>
      <c r="D265" s="15" t="s">
        <v>250</v>
      </c>
      <c r="E265" s="17" t="s">
        <v>251</v>
      </c>
      <c r="F265" s="18"/>
      <c r="G265" s="15" t="s">
        <v>252</v>
      </c>
      <c r="H265" s="15" t="s">
        <v>253</v>
      </c>
      <c r="I265" s="18"/>
      <c r="J265" s="19" t="s">
        <v>59</v>
      </c>
      <c r="K265" s="33"/>
      <c r="L265" s="19" t="s">
        <v>38</v>
      </c>
      <c r="M265" s="20">
        <f t="shared" si="1"/>
        <v>2823.84</v>
      </c>
      <c r="N265" s="31">
        <v>6.0</v>
      </c>
      <c r="O265" s="19" t="s">
        <v>107</v>
      </c>
      <c r="P265" s="18"/>
      <c r="Q265" s="18"/>
      <c r="R265" s="23">
        <v>17.0</v>
      </c>
      <c r="S265" s="23">
        <v>159.0</v>
      </c>
      <c r="T265" s="23">
        <f t="shared" si="2"/>
        <v>152.64</v>
      </c>
      <c r="U265" s="23">
        <f t="shared" si="3"/>
        <v>20.825</v>
      </c>
      <c r="V265" s="23">
        <f t="shared" si="4"/>
        <v>390.46875</v>
      </c>
      <c r="W265" s="24">
        <f t="shared" si="5"/>
        <v>8.978823529</v>
      </c>
    </row>
    <row r="266" hidden="1">
      <c r="A266" s="15" t="s">
        <v>4281</v>
      </c>
      <c r="B266" s="15" t="s">
        <v>4282</v>
      </c>
      <c r="C266" s="15" t="s">
        <v>6445</v>
      </c>
      <c r="D266" s="15" t="s">
        <v>4283</v>
      </c>
      <c r="E266" s="17" t="s">
        <v>4284</v>
      </c>
      <c r="F266" s="18"/>
      <c r="G266" s="18"/>
      <c r="H266" s="15" t="s">
        <v>4285</v>
      </c>
      <c r="I266" s="18"/>
      <c r="J266" s="19" t="s">
        <v>36</v>
      </c>
      <c r="K266" s="19" t="s">
        <v>1230</v>
      </c>
      <c r="L266" s="19" t="s">
        <v>38</v>
      </c>
      <c r="M266" s="20">
        <f t="shared" si="1"/>
        <v>0</v>
      </c>
      <c r="N266" s="22"/>
      <c r="O266" s="19" t="s">
        <v>1145</v>
      </c>
      <c r="P266" s="18"/>
      <c r="Q266" s="18"/>
      <c r="R266" s="23">
        <v>0.0</v>
      </c>
      <c r="S266" s="23">
        <v>0.0</v>
      </c>
      <c r="T266" s="23">
        <f t="shared" si="2"/>
        <v>0</v>
      </c>
      <c r="U266" s="23">
        <f t="shared" si="3"/>
        <v>0</v>
      </c>
      <c r="V266" s="23">
        <f t="shared" si="4"/>
        <v>0</v>
      </c>
      <c r="W266" s="24" t="str">
        <f t="shared" si="5"/>
        <v>#DIV/0!</v>
      </c>
    </row>
    <row r="267" hidden="1">
      <c r="A267" s="15" t="s">
        <v>4286</v>
      </c>
      <c r="B267" s="18"/>
      <c r="C267" s="15" t="s">
        <v>6446</v>
      </c>
      <c r="D267" s="18"/>
      <c r="E267" s="17" t="s">
        <v>6447</v>
      </c>
      <c r="F267" s="18"/>
      <c r="G267" s="18"/>
      <c r="H267" s="15" t="s">
        <v>4289</v>
      </c>
      <c r="I267" s="18"/>
      <c r="J267" s="19" t="s">
        <v>36</v>
      </c>
      <c r="K267" s="19" t="s">
        <v>37</v>
      </c>
      <c r="L267" s="19" t="s">
        <v>38</v>
      </c>
      <c r="M267" s="20">
        <f t="shared" si="1"/>
        <v>0</v>
      </c>
      <c r="N267" s="22"/>
      <c r="O267" s="19" t="s">
        <v>1145</v>
      </c>
      <c r="P267" s="18"/>
      <c r="Q267" s="18"/>
      <c r="R267" s="23">
        <v>0.0</v>
      </c>
      <c r="S267" s="23">
        <v>0.0</v>
      </c>
      <c r="T267" s="23">
        <f t="shared" si="2"/>
        <v>0</v>
      </c>
      <c r="U267" s="23">
        <f t="shared" si="3"/>
        <v>0</v>
      </c>
      <c r="V267" s="23">
        <f t="shared" si="4"/>
        <v>0</v>
      </c>
      <c r="W267" s="24" t="str">
        <f t="shared" si="5"/>
        <v>#DIV/0!</v>
      </c>
    </row>
    <row r="268" hidden="1">
      <c r="A268" s="15" t="s">
        <v>4290</v>
      </c>
      <c r="B268" s="18"/>
      <c r="C268" s="15" t="s">
        <v>6448</v>
      </c>
      <c r="D268" s="18"/>
      <c r="E268" s="17" t="s">
        <v>6449</v>
      </c>
      <c r="F268" s="18"/>
      <c r="G268" s="18"/>
      <c r="H268" s="15" t="s">
        <v>4293</v>
      </c>
      <c r="I268" s="18"/>
      <c r="J268" s="19" t="s">
        <v>36</v>
      </c>
      <c r="K268" s="19" t="s">
        <v>37</v>
      </c>
      <c r="L268" s="19" t="s">
        <v>38</v>
      </c>
      <c r="M268" s="20">
        <f t="shared" si="1"/>
        <v>0</v>
      </c>
      <c r="N268" s="22"/>
      <c r="O268" s="19" t="s">
        <v>1145</v>
      </c>
      <c r="P268" s="18"/>
      <c r="Q268" s="18"/>
      <c r="R268" s="23">
        <v>0.0</v>
      </c>
      <c r="S268" s="23">
        <v>0.0</v>
      </c>
      <c r="T268" s="23">
        <f t="shared" si="2"/>
        <v>0</v>
      </c>
      <c r="U268" s="23">
        <f t="shared" si="3"/>
        <v>0</v>
      </c>
      <c r="V268" s="23">
        <f t="shared" si="4"/>
        <v>0</v>
      </c>
      <c r="W268" s="24" t="str">
        <f t="shared" si="5"/>
        <v>#DIV/0!</v>
      </c>
    </row>
    <row r="269" hidden="1">
      <c r="A269" s="15" t="s">
        <v>4294</v>
      </c>
      <c r="B269" s="18"/>
      <c r="C269" s="15" t="s">
        <v>6450</v>
      </c>
      <c r="D269" s="18"/>
      <c r="E269" s="17" t="s">
        <v>6451</v>
      </c>
      <c r="F269" s="18"/>
      <c r="G269" s="18"/>
      <c r="H269" s="15" t="s">
        <v>4297</v>
      </c>
      <c r="I269" s="18"/>
      <c r="J269" s="19" t="s">
        <v>36</v>
      </c>
      <c r="K269" s="19" t="s">
        <v>37</v>
      </c>
      <c r="L269" s="19" t="s">
        <v>38</v>
      </c>
      <c r="M269" s="20">
        <f t="shared" si="1"/>
        <v>0</v>
      </c>
      <c r="N269" s="22"/>
      <c r="O269" s="19" t="s">
        <v>1145</v>
      </c>
      <c r="P269" s="18"/>
      <c r="Q269" s="18"/>
      <c r="R269" s="23">
        <v>0.0</v>
      </c>
      <c r="S269" s="23">
        <v>0.0</v>
      </c>
      <c r="T269" s="23">
        <f t="shared" si="2"/>
        <v>0</v>
      </c>
      <c r="U269" s="23">
        <f t="shared" si="3"/>
        <v>0</v>
      </c>
      <c r="V269" s="23">
        <f t="shared" si="4"/>
        <v>0</v>
      </c>
      <c r="W269" s="24" t="str">
        <f t="shared" si="5"/>
        <v>#DIV/0!</v>
      </c>
    </row>
    <row r="270" hidden="1">
      <c r="A270" s="15" t="s">
        <v>35</v>
      </c>
      <c r="B270" s="15" t="s">
        <v>6452</v>
      </c>
      <c r="C270" s="15" t="s">
        <v>6453</v>
      </c>
      <c r="D270" s="18"/>
      <c r="E270" s="17" t="s">
        <v>6454</v>
      </c>
      <c r="F270" s="18"/>
      <c r="G270" s="18"/>
      <c r="H270" s="15" t="s">
        <v>900</v>
      </c>
      <c r="I270" s="18"/>
      <c r="J270" s="19" t="s">
        <v>36</v>
      </c>
      <c r="K270" s="19" t="s">
        <v>37</v>
      </c>
      <c r="L270" s="19" t="s">
        <v>38</v>
      </c>
      <c r="M270" s="20">
        <f t="shared" si="1"/>
        <v>0</v>
      </c>
      <c r="N270" s="22"/>
      <c r="O270" s="19" t="s">
        <v>1145</v>
      </c>
      <c r="P270" s="18"/>
      <c r="Q270" s="18"/>
      <c r="R270" s="23">
        <v>0.0</v>
      </c>
      <c r="S270" s="23">
        <v>0.0</v>
      </c>
      <c r="T270" s="23">
        <f t="shared" si="2"/>
        <v>0</v>
      </c>
      <c r="U270" s="23">
        <f t="shared" si="3"/>
        <v>0</v>
      </c>
      <c r="V270" s="23">
        <f t="shared" si="4"/>
        <v>0</v>
      </c>
      <c r="W270" s="24" t="str">
        <f t="shared" si="5"/>
        <v>#DIV/0!</v>
      </c>
    </row>
    <row r="271">
      <c r="A271" s="15" t="s">
        <v>1063</v>
      </c>
      <c r="B271" s="15" t="s">
        <v>1064</v>
      </c>
      <c r="C271" s="15" t="s">
        <v>6119</v>
      </c>
      <c r="D271" s="15" t="s">
        <v>1065</v>
      </c>
      <c r="E271" s="17" t="s">
        <v>1066</v>
      </c>
      <c r="F271" s="15" t="s">
        <v>1067</v>
      </c>
      <c r="G271" s="15" t="s">
        <v>1067</v>
      </c>
      <c r="H271" s="15" t="s">
        <v>1068</v>
      </c>
      <c r="I271" s="18"/>
      <c r="J271" s="19" t="s">
        <v>104</v>
      </c>
      <c r="K271" s="19" t="s">
        <v>831</v>
      </c>
      <c r="L271" s="19" t="s">
        <v>106</v>
      </c>
      <c r="M271" s="20">
        <f t="shared" si="1"/>
        <v>3782.88</v>
      </c>
      <c r="N271" s="31">
        <v>50.0</v>
      </c>
      <c r="O271" s="19" t="s">
        <v>107</v>
      </c>
      <c r="P271" s="18"/>
      <c r="Q271" s="18"/>
      <c r="R271" s="23">
        <v>62.0</v>
      </c>
      <c r="S271" s="23">
        <v>213.0</v>
      </c>
      <c r="T271" s="23">
        <f t="shared" si="2"/>
        <v>204.48</v>
      </c>
      <c r="U271" s="23">
        <f t="shared" si="3"/>
        <v>75.95</v>
      </c>
      <c r="V271" s="23">
        <f t="shared" si="4"/>
        <v>1424.0625</v>
      </c>
      <c r="W271" s="24">
        <f t="shared" si="5"/>
        <v>3.298064516</v>
      </c>
    </row>
    <row r="272">
      <c r="A272" s="15" t="s">
        <v>807</v>
      </c>
      <c r="B272" s="15" t="s">
        <v>808</v>
      </c>
      <c r="C272" s="15" t="s">
        <v>6098</v>
      </c>
      <c r="D272" s="15" t="s">
        <v>809</v>
      </c>
      <c r="E272" s="17" t="s">
        <v>810</v>
      </c>
      <c r="F272" s="18"/>
      <c r="G272" s="15" t="s">
        <v>811</v>
      </c>
      <c r="H272" s="15" t="s">
        <v>812</v>
      </c>
      <c r="I272" s="18"/>
      <c r="J272" s="19" t="s">
        <v>104</v>
      </c>
      <c r="K272" s="19" t="s">
        <v>160</v>
      </c>
      <c r="L272" s="19" t="s">
        <v>106</v>
      </c>
      <c r="M272" s="20">
        <f t="shared" si="1"/>
        <v>1083.36</v>
      </c>
      <c r="N272" s="31">
        <v>10.0</v>
      </c>
      <c r="O272" s="19" t="s">
        <v>107</v>
      </c>
      <c r="P272" s="18"/>
      <c r="Q272" s="18"/>
      <c r="R272" s="23">
        <v>14.0</v>
      </c>
      <c r="S272" s="23">
        <v>61.0</v>
      </c>
      <c r="T272" s="23">
        <f t="shared" si="2"/>
        <v>58.56</v>
      </c>
      <c r="U272" s="23">
        <f t="shared" si="3"/>
        <v>17.15</v>
      </c>
      <c r="V272" s="23">
        <f t="shared" si="4"/>
        <v>321.5625</v>
      </c>
      <c r="W272" s="24">
        <f t="shared" si="5"/>
        <v>4.182857143</v>
      </c>
    </row>
    <row r="273">
      <c r="A273" s="15" t="s">
        <v>844</v>
      </c>
      <c r="B273" s="15" t="s">
        <v>845</v>
      </c>
      <c r="C273" s="15" t="s">
        <v>6120</v>
      </c>
      <c r="D273" s="15" t="s">
        <v>846</v>
      </c>
      <c r="E273" s="17" t="s">
        <v>847</v>
      </c>
      <c r="F273" s="18"/>
      <c r="G273" s="15" t="s">
        <v>848</v>
      </c>
      <c r="H273" s="15" t="s">
        <v>849</v>
      </c>
      <c r="I273" s="18"/>
      <c r="J273" s="19" t="s">
        <v>104</v>
      </c>
      <c r="K273" s="19" t="s">
        <v>160</v>
      </c>
      <c r="L273" s="19" t="s">
        <v>106</v>
      </c>
      <c r="M273" s="20">
        <f t="shared" si="1"/>
        <v>816.96</v>
      </c>
      <c r="N273" s="31">
        <v>70.0</v>
      </c>
      <c r="O273" s="19" t="s">
        <v>107</v>
      </c>
      <c r="P273" s="18"/>
      <c r="Q273" s="18"/>
      <c r="R273" s="23">
        <v>10.0</v>
      </c>
      <c r="S273" s="23">
        <v>46.0</v>
      </c>
      <c r="T273" s="23">
        <f t="shared" si="2"/>
        <v>44.16</v>
      </c>
      <c r="U273" s="23">
        <f t="shared" si="3"/>
        <v>12.25</v>
      </c>
      <c r="V273" s="23">
        <f t="shared" si="4"/>
        <v>229.6875</v>
      </c>
      <c r="W273" s="24">
        <f t="shared" si="5"/>
        <v>4.416</v>
      </c>
    </row>
    <row r="274">
      <c r="A274" s="15" t="s">
        <v>673</v>
      </c>
      <c r="B274" s="15" t="s">
        <v>674</v>
      </c>
      <c r="C274" s="15" t="s">
        <v>6099</v>
      </c>
      <c r="D274" s="15" t="s">
        <v>675</v>
      </c>
      <c r="E274" s="17" t="s">
        <v>676</v>
      </c>
      <c r="F274" s="18"/>
      <c r="G274" s="15" t="s">
        <v>677</v>
      </c>
      <c r="H274" s="15" t="s">
        <v>678</v>
      </c>
      <c r="I274" s="18"/>
      <c r="J274" s="19" t="s">
        <v>104</v>
      </c>
      <c r="K274" s="19" t="s">
        <v>160</v>
      </c>
      <c r="L274" s="19" t="s">
        <v>106</v>
      </c>
      <c r="M274" s="20">
        <f t="shared" si="1"/>
        <v>1225.44</v>
      </c>
      <c r="N274" s="31">
        <v>10.0</v>
      </c>
      <c r="O274" s="19" t="s">
        <v>107</v>
      </c>
      <c r="P274" s="18"/>
      <c r="Q274" s="18"/>
      <c r="R274" s="23">
        <v>13.5</v>
      </c>
      <c r="S274" s="23">
        <v>69.0</v>
      </c>
      <c r="T274" s="23">
        <f t="shared" si="2"/>
        <v>66.24</v>
      </c>
      <c r="U274" s="23">
        <f t="shared" si="3"/>
        <v>16.5375</v>
      </c>
      <c r="V274" s="23">
        <f t="shared" si="4"/>
        <v>310.078125</v>
      </c>
      <c r="W274" s="24">
        <f t="shared" si="5"/>
        <v>4.906666667</v>
      </c>
    </row>
    <row r="275" hidden="1">
      <c r="A275" s="15" t="s">
        <v>1391</v>
      </c>
      <c r="B275" s="18"/>
      <c r="C275" s="15" t="s">
        <v>6458</v>
      </c>
      <c r="D275" s="18"/>
      <c r="E275" s="17" t="s">
        <v>1392</v>
      </c>
      <c r="F275" s="18"/>
      <c r="G275" s="18"/>
      <c r="H275" s="15" t="s">
        <v>1393</v>
      </c>
      <c r="I275" s="18"/>
      <c r="J275" s="19" t="s">
        <v>36</v>
      </c>
      <c r="K275" s="19" t="s">
        <v>1230</v>
      </c>
      <c r="L275" s="19" t="s">
        <v>38</v>
      </c>
      <c r="M275" s="20">
        <f t="shared" si="1"/>
        <v>0</v>
      </c>
      <c r="N275" s="22"/>
      <c r="O275" s="19" t="s">
        <v>1145</v>
      </c>
      <c r="P275" s="18"/>
      <c r="Q275" s="18"/>
      <c r="R275" s="23">
        <v>0.0</v>
      </c>
      <c r="S275" s="23">
        <v>0.0</v>
      </c>
      <c r="T275" s="23">
        <f t="shared" si="2"/>
        <v>0</v>
      </c>
      <c r="U275" s="23">
        <f t="shared" si="3"/>
        <v>0</v>
      </c>
      <c r="V275" s="23">
        <f t="shared" si="4"/>
        <v>0</v>
      </c>
      <c r="W275" s="24" t="str">
        <f t="shared" si="5"/>
        <v>#DIV/0!</v>
      </c>
    </row>
    <row r="276" hidden="1">
      <c r="A276" s="15" t="s">
        <v>1394</v>
      </c>
      <c r="B276" s="18"/>
      <c r="C276" s="15" t="s">
        <v>6459</v>
      </c>
      <c r="D276" s="18"/>
      <c r="E276" s="17" t="s">
        <v>1395</v>
      </c>
      <c r="F276" s="18"/>
      <c r="G276" s="18"/>
      <c r="H276" s="15" t="s">
        <v>1396</v>
      </c>
      <c r="I276" s="18"/>
      <c r="J276" s="19" t="s">
        <v>36</v>
      </c>
      <c r="K276" s="19" t="s">
        <v>1230</v>
      </c>
      <c r="L276" s="19" t="s">
        <v>38</v>
      </c>
      <c r="M276" s="20">
        <f t="shared" si="1"/>
        <v>0</v>
      </c>
      <c r="N276" s="22"/>
      <c r="O276" s="19" t="s">
        <v>1145</v>
      </c>
      <c r="P276" s="18"/>
      <c r="Q276" s="18"/>
      <c r="R276" s="23">
        <v>0.0</v>
      </c>
      <c r="S276" s="23">
        <v>0.0</v>
      </c>
      <c r="T276" s="23">
        <f t="shared" si="2"/>
        <v>0</v>
      </c>
      <c r="U276" s="23">
        <f t="shared" si="3"/>
        <v>0</v>
      </c>
      <c r="V276" s="23">
        <f t="shared" si="4"/>
        <v>0</v>
      </c>
      <c r="W276" s="24" t="str">
        <f t="shared" si="5"/>
        <v>#DIV/0!</v>
      </c>
    </row>
    <row r="277" hidden="1">
      <c r="A277" s="15" t="s">
        <v>1397</v>
      </c>
      <c r="B277" s="18"/>
      <c r="C277" s="15" t="s">
        <v>6460</v>
      </c>
      <c r="D277" s="18"/>
      <c r="E277" s="17" t="s">
        <v>1398</v>
      </c>
      <c r="F277" s="18"/>
      <c r="G277" s="18"/>
      <c r="H277" s="15" t="s">
        <v>1399</v>
      </c>
      <c r="I277" s="18"/>
      <c r="J277" s="19" t="s">
        <v>36</v>
      </c>
      <c r="K277" s="19" t="s">
        <v>1230</v>
      </c>
      <c r="L277" s="19" t="s">
        <v>38</v>
      </c>
      <c r="M277" s="20">
        <f t="shared" si="1"/>
        <v>0</v>
      </c>
      <c r="N277" s="22"/>
      <c r="O277" s="19" t="s">
        <v>1145</v>
      </c>
      <c r="P277" s="18"/>
      <c r="Q277" s="18"/>
      <c r="R277" s="23">
        <v>0.0</v>
      </c>
      <c r="S277" s="23">
        <v>0.0</v>
      </c>
      <c r="T277" s="23">
        <f t="shared" si="2"/>
        <v>0</v>
      </c>
      <c r="U277" s="23">
        <f t="shared" si="3"/>
        <v>0</v>
      </c>
      <c r="V277" s="23">
        <f t="shared" si="4"/>
        <v>0</v>
      </c>
      <c r="W277" s="24" t="str">
        <f t="shared" si="5"/>
        <v>#DIV/0!</v>
      </c>
    </row>
    <row r="278" hidden="1">
      <c r="A278" s="15" t="s">
        <v>1400</v>
      </c>
      <c r="B278" s="18"/>
      <c r="C278" s="15" t="s">
        <v>6461</v>
      </c>
      <c r="D278" s="18"/>
      <c r="E278" s="17" t="s">
        <v>1401</v>
      </c>
      <c r="F278" s="18"/>
      <c r="G278" s="18"/>
      <c r="H278" s="15" t="s">
        <v>1402</v>
      </c>
      <c r="I278" s="18"/>
      <c r="J278" s="19" t="s">
        <v>36</v>
      </c>
      <c r="K278" s="19" t="s">
        <v>1230</v>
      </c>
      <c r="L278" s="19" t="s">
        <v>38</v>
      </c>
      <c r="M278" s="20">
        <f t="shared" si="1"/>
        <v>0</v>
      </c>
      <c r="N278" s="22"/>
      <c r="O278" s="19" t="s">
        <v>1145</v>
      </c>
      <c r="P278" s="18"/>
      <c r="Q278" s="18"/>
      <c r="R278" s="23">
        <v>0.0</v>
      </c>
      <c r="S278" s="23">
        <v>0.0</v>
      </c>
      <c r="T278" s="23">
        <f t="shared" si="2"/>
        <v>0</v>
      </c>
      <c r="U278" s="23">
        <f t="shared" si="3"/>
        <v>0</v>
      </c>
      <c r="V278" s="23">
        <f t="shared" si="4"/>
        <v>0</v>
      </c>
      <c r="W278" s="24" t="str">
        <f t="shared" si="5"/>
        <v>#DIV/0!</v>
      </c>
    </row>
    <row r="279" hidden="1">
      <c r="A279" s="15" t="s">
        <v>1403</v>
      </c>
      <c r="B279" s="18"/>
      <c r="C279" s="15" t="s">
        <v>6462</v>
      </c>
      <c r="D279" s="18"/>
      <c r="E279" s="17" t="s">
        <v>1404</v>
      </c>
      <c r="F279" s="18"/>
      <c r="G279" s="18"/>
      <c r="H279" s="15" t="s">
        <v>1405</v>
      </c>
      <c r="I279" s="18"/>
      <c r="J279" s="19" t="s">
        <v>36</v>
      </c>
      <c r="K279" s="19" t="s">
        <v>1230</v>
      </c>
      <c r="L279" s="19" t="s">
        <v>38</v>
      </c>
      <c r="M279" s="20">
        <f t="shared" si="1"/>
        <v>0</v>
      </c>
      <c r="N279" s="22"/>
      <c r="O279" s="19" t="s">
        <v>1145</v>
      </c>
      <c r="P279" s="18"/>
      <c r="Q279" s="18"/>
      <c r="R279" s="23">
        <v>0.0</v>
      </c>
      <c r="S279" s="23">
        <v>0.0</v>
      </c>
      <c r="T279" s="23">
        <f t="shared" si="2"/>
        <v>0</v>
      </c>
      <c r="U279" s="23">
        <f t="shared" si="3"/>
        <v>0</v>
      </c>
      <c r="V279" s="23">
        <f t="shared" si="4"/>
        <v>0</v>
      </c>
      <c r="W279" s="24" t="str">
        <f t="shared" si="5"/>
        <v>#DIV/0!</v>
      </c>
    </row>
    <row r="280">
      <c r="A280" s="15" t="s">
        <v>537</v>
      </c>
      <c r="B280" s="15" t="s">
        <v>538</v>
      </c>
      <c r="C280" s="15" t="s">
        <v>6101</v>
      </c>
      <c r="D280" s="15" t="s">
        <v>539</v>
      </c>
      <c r="E280" s="17" t="s">
        <v>540</v>
      </c>
      <c r="F280" s="18"/>
      <c r="G280" s="15" t="s">
        <v>541</v>
      </c>
      <c r="H280" s="15" t="s">
        <v>542</v>
      </c>
      <c r="I280" s="18"/>
      <c r="J280" s="19" t="s">
        <v>104</v>
      </c>
      <c r="K280" s="19" t="s">
        <v>160</v>
      </c>
      <c r="L280" s="19" t="s">
        <v>106</v>
      </c>
      <c r="M280" s="20">
        <f t="shared" si="1"/>
        <v>1278.72</v>
      </c>
      <c r="N280" s="31">
        <v>10.0</v>
      </c>
      <c r="O280" s="19" t="s">
        <v>107</v>
      </c>
      <c r="P280" s="18"/>
      <c r="Q280" s="18"/>
      <c r="R280" s="23">
        <v>12.0</v>
      </c>
      <c r="S280" s="23">
        <v>72.0</v>
      </c>
      <c r="T280" s="23">
        <f t="shared" si="2"/>
        <v>69.12</v>
      </c>
      <c r="U280" s="23">
        <f t="shared" si="3"/>
        <v>14.7</v>
      </c>
      <c r="V280" s="23">
        <f t="shared" si="4"/>
        <v>275.625</v>
      </c>
      <c r="W280" s="24">
        <f t="shared" si="5"/>
        <v>5.76</v>
      </c>
    </row>
    <row r="281" hidden="1">
      <c r="A281" s="15" t="s">
        <v>1406</v>
      </c>
      <c r="B281" s="15" t="s">
        <v>230</v>
      </c>
      <c r="C281" s="15" t="s">
        <v>6464</v>
      </c>
      <c r="D281" s="18"/>
      <c r="E281" s="17" t="s">
        <v>1407</v>
      </c>
      <c r="F281" s="18"/>
      <c r="G281" s="18"/>
      <c r="H281" s="15" t="s">
        <v>1408</v>
      </c>
      <c r="I281" s="18"/>
      <c r="J281" s="19" t="s">
        <v>36</v>
      </c>
      <c r="K281" s="19" t="s">
        <v>1230</v>
      </c>
      <c r="L281" s="19" t="s">
        <v>38</v>
      </c>
      <c r="M281" s="20">
        <f t="shared" si="1"/>
        <v>0</v>
      </c>
      <c r="N281" s="22"/>
      <c r="O281" s="19" t="s">
        <v>1145</v>
      </c>
      <c r="P281" s="18"/>
      <c r="Q281" s="18"/>
      <c r="R281" s="23">
        <v>0.0</v>
      </c>
      <c r="S281" s="23">
        <v>0.0</v>
      </c>
      <c r="T281" s="23">
        <f t="shared" si="2"/>
        <v>0</v>
      </c>
      <c r="U281" s="23">
        <f t="shared" si="3"/>
        <v>0</v>
      </c>
      <c r="V281" s="23">
        <f t="shared" si="4"/>
        <v>0</v>
      </c>
      <c r="W281" s="24" t="str">
        <f t="shared" si="5"/>
        <v>#DIV/0!</v>
      </c>
    </row>
    <row r="282">
      <c r="A282" s="15" t="s">
        <v>161</v>
      </c>
      <c r="B282" s="18"/>
      <c r="C282" s="15" t="s">
        <v>6100</v>
      </c>
      <c r="D282" s="15" t="s">
        <v>162</v>
      </c>
      <c r="E282" s="17" t="s">
        <v>163</v>
      </c>
      <c r="F282" s="18"/>
      <c r="G282" s="15" t="s">
        <v>164</v>
      </c>
      <c r="H282" s="15" t="s">
        <v>165</v>
      </c>
      <c r="I282" s="18"/>
      <c r="J282" s="19" t="s">
        <v>104</v>
      </c>
      <c r="K282" s="19" t="s">
        <v>160</v>
      </c>
      <c r="L282" s="19" t="s">
        <v>106</v>
      </c>
      <c r="M282" s="20">
        <f t="shared" si="1"/>
        <v>3711.84</v>
      </c>
      <c r="N282" s="31">
        <v>10.0</v>
      </c>
      <c r="O282" s="19" t="s">
        <v>107</v>
      </c>
      <c r="P282" s="18"/>
      <c r="Q282" s="18"/>
      <c r="R282" s="23">
        <v>13.5</v>
      </c>
      <c r="S282" s="23">
        <v>209.0</v>
      </c>
      <c r="T282" s="23">
        <f t="shared" si="2"/>
        <v>200.64</v>
      </c>
      <c r="U282" s="23">
        <f t="shared" si="3"/>
        <v>16.5375</v>
      </c>
      <c r="V282" s="23">
        <f t="shared" si="4"/>
        <v>310.078125</v>
      </c>
      <c r="W282" s="24">
        <f t="shared" si="5"/>
        <v>14.86222222</v>
      </c>
    </row>
    <row r="283">
      <c r="A283" s="15" t="s">
        <v>791</v>
      </c>
      <c r="B283" s="15" t="s">
        <v>792</v>
      </c>
      <c r="C283" s="15" t="s">
        <v>6056</v>
      </c>
      <c r="D283" s="15" t="s">
        <v>793</v>
      </c>
      <c r="E283" s="17" t="s">
        <v>794</v>
      </c>
      <c r="F283" s="18"/>
      <c r="G283" s="15" t="s">
        <v>795</v>
      </c>
      <c r="H283" s="15" t="s">
        <v>796</v>
      </c>
      <c r="I283" s="18"/>
      <c r="J283" s="19" t="s">
        <v>104</v>
      </c>
      <c r="K283" s="19" t="s">
        <v>160</v>
      </c>
      <c r="L283" s="19" t="s">
        <v>106</v>
      </c>
      <c r="M283" s="20">
        <f t="shared" si="1"/>
        <v>1065.6</v>
      </c>
      <c r="N283" s="31">
        <v>8.0</v>
      </c>
      <c r="O283" s="19" t="s">
        <v>107</v>
      </c>
      <c r="P283" s="18"/>
      <c r="Q283" s="18"/>
      <c r="R283" s="23">
        <v>13.5</v>
      </c>
      <c r="S283" s="23">
        <v>60.0</v>
      </c>
      <c r="T283" s="23">
        <f t="shared" si="2"/>
        <v>57.6</v>
      </c>
      <c r="U283" s="23">
        <f t="shared" si="3"/>
        <v>16.5375</v>
      </c>
      <c r="V283" s="23">
        <f t="shared" si="4"/>
        <v>310.078125</v>
      </c>
      <c r="W283" s="24">
        <f t="shared" si="5"/>
        <v>4.266666667</v>
      </c>
    </row>
    <row r="284">
      <c r="A284" s="15" t="s">
        <v>592</v>
      </c>
      <c r="B284" s="15" t="s">
        <v>593</v>
      </c>
      <c r="C284" s="15" t="s">
        <v>6057</v>
      </c>
      <c r="D284" s="15" t="s">
        <v>594</v>
      </c>
      <c r="E284" s="17" t="s">
        <v>595</v>
      </c>
      <c r="F284" s="18"/>
      <c r="G284" s="15" t="s">
        <v>164</v>
      </c>
      <c r="H284" s="15" t="s">
        <v>596</v>
      </c>
      <c r="I284" s="18"/>
      <c r="J284" s="19" t="s">
        <v>104</v>
      </c>
      <c r="K284" s="19" t="s">
        <v>160</v>
      </c>
      <c r="L284" s="19" t="s">
        <v>106</v>
      </c>
      <c r="M284" s="20">
        <f t="shared" si="1"/>
        <v>976.8</v>
      </c>
      <c r="N284" s="31">
        <v>6.0</v>
      </c>
      <c r="O284" s="19" t="s">
        <v>107</v>
      </c>
      <c r="P284" s="18"/>
      <c r="Q284" s="18"/>
      <c r="R284" s="23">
        <v>10.0</v>
      </c>
      <c r="S284" s="23">
        <v>55.0</v>
      </c>
      <c r="T284" s="23">
        <f t="shared" si="2"/>
        <v>52.8</v>
      </c>
      <c r="U284" s="23">
        <f t="shared" si="3"/>
        <v>12.25</v>
      </c>
      <c r="V284" s="23">
        <f t="shared" si="4"/>
        <v>229.6875</v>
      </c>
      <c r="W284" s="24">
        <f t="shared" si="5"/>
        <v>5.28</v>
      </c>
    </row>
    <row r="285">
      <c r="A285" s="15" t="s">
        <v>478</v>
      </c>
      <c r="B285" s="15" t="s">
        <v>479</v>
      </c>
      <c r="C285" s="15" t="s">
        <v>6113</v>
      </c>
      <c r="D285" s="15" t="s">
        <v>480</v>
      </c>
      <c r="E285" s="17" t="s">
        <v>481</v>
      </c>
      <c r="F285" s="18"/>
      <c r="G285" s="15" t="s">
        <v>482</v>
      </c>
      <c r="H285" s="15" t="s">
        <v>483</v>
      </c>
      <c r="I285" s="18"/>
      <c r="J285" s="19" t="s">
        <v>104</v>
      </c>
      <c r="K285" s="19" t="s">
        <v>160</v>
      </c>
      <c r="L285" s="19" t="s">
        <v>106</v>
      </c>
      <c r="M285" s="20">
        <f t="shared" si="1"/>
        <v>177.6</v>
      </c>
      <c r="N285" s="31">
        <v>30.0</v>
      </c>
      <c r="O285" s="19" t="s">
        <v>107</v>
      </c>
      <c r="P285" s="18"/>
      <c r="Q285" s="18"/>
      <c r="R285" s="23">
        <v>1.5</v>
      </c>
      <c r="S285" s="23">
        <v>10.0</v>
      </c>
      <c r="T285" s="23">
        <f t="shared" si="2"/>
        <v>9.6</v>
      </c>
      <c r="U285" s="23">
        <f t="shared" si="3"/>
        <v>1.8375</v>
      </c>
      <c r="V285" s="23">
        <f t="shared" si="4"/>
        <v>34.453125</v>
      </c>
      <c r="W285" s="24">
        <f t="shared" si="5"/>
        <v>6.4</v>
      </c>
    </row>
    <row r="286">
      <c r="A286" s="15" t="s">
        <v>639</v>
      </c>
      <c r="B286" s="15" t="s">
        <v>640</v>
      </c>
      <c r="C286" s="15" t="s">
        <v>6058</v>
      </c>
      <c r="D286" s="15" t="s">
        <v>641</v>
      </c>
      <c r="E286" s="17" t="s">
        <v>642</v>
      </c>
      <c r="F286" s="18"/>
      <c r="G286" s="15" t="s">
        <v>643</v>
      </c>
      <c r="H286" s="15" t="s">
        <v>644</v>
      </c>
      <c r="I286" s="18"/>
      <c r="J286" s="19" t="s">
        <v>104</v>
      </c>
      <c r="K286" s="19" t="s">
        <v>160</v>
      </c>
      <c r="L286" s="19" t="s">
        <v>106</v>
      </c>
      <c r="M286" s="20">
        <f t="shared" si="1"/>
        <v>1864.8</v>
      </c>
      <c r="N286" s="31">
        <v>6.0</v>
      </c>
      <c r="O286" s="19" t="s">
        <v>107</v>
      </c>
      <c r="P286" s="18"/>
      <c r="Q286" s="18"/>
      <c r="R286" s="23">
        <v>20.0</v>
      </c>
      <c r="S286" s="23">
        <v>105.0</v>
      </c>
      <c r="T286" s="23">
        <f t="shared" si="2"/>
        <v>100.8</v>
      </c>
      <c r="U286" s="23">
        <f t="shared" si="3"/>
        <v>24.5</v>
      </c>
      <c r="V286" s="23">
        <f t="shared" si="4"/>
        <v>459.375</v>
      </c>
      <c r="W286" s="24">
        <f t="shared" si="5"/>
        <v>5.04</v>
      </c>
    </row>
    <row r="287" hidden="1">
      <c r="A287" s="15" t="s">
        <v>1409</v>
      </c>
      <c r="B287" s="15" t="s">
        <v>230</v>
      </c>
      <c r="C287" s="15" t="s">
        <v>6471</v>
      </c>
      <c r="D287" s="18"/>
      <c r="E287" s="17" t="s">
        <v>1407</v>
      </c>
      <c r="F287" s="18"/>
      <c r="G287" s="18"/>
      <c r="H287" s="15" t="s">
        <v>1410</v>
      </c>
      <c r="I287" s="18"/>
      <c r="J287" s="19" t="s">
        <v>36</v>
      </c>
      <c r="K287" s="19" t="s">
        <v>1230</v>
      </c>
      <c r="L287" s="19" t="s">
        <v>38</v>
      </c>
      <c r="M287" s="20">
        <f t="shared" si="1"/>
        <v>0</v>
      </c>
      <c r="N287" s="22"/>
      <c r="O287" s="19" t="s">
        <v>1145</v>
      </c>
      <c r="P287" s="18"/>
      <c r="Q287" s="18"/>
      <c r="R287" s="23">
        <v>0.0</v>
      </c>
      <c r="S287" s="23">
        <v>0.0</v>
      </c>
      <c r="T287" s="23">
        <f t="shared" si="2"/>
        <v>0</v>
      </c>
      <c r="U287" s="23">
        <f t="shared" si="3"/>
        <v>0</v>
      </c>
      <c r="V287" s="23">
        <f t="shared" si="4"/>
        <v>0</v>
      </c>
      <c r="W287" s="24" t="str">
        <f t="shared" si="5"/>
        <v>#DIV/0!</v>
      </c>
    </row>
    <row r="288" hidden="1">
      <c r="A288" s="15" t="s">
        <v>1411</v>
      </c>
      <c r="B288" s="18"/>
      <c r="C288" s="15" t="s">
        <v>6472</v>
      </c>
      <c r="D288" s="18"/>
      <c r="E288" s="17" t="s">
        <v>1412</v>
      </c>
      <c r="F288" s="18"/>
      <c r="G288" s="18"/>
      <c r="H288" s="15" t="s">
        <v>1413</v>
      </c>
      <c r="I288" s="18"/>
      <c r="J288" s="19" t="s">
        <v>36</v>
      </c>
      <c r="K288" s="19" t="s">
        <v>37</v>
      </c>
      <c r="L288" s="19" t="s">
        <v>38</v>
      </c>
      <c r="M288" s="20">
        <f t="shared" si="1"/>
        <v>0</v>
      </c>
      <c r="N288" s="22"/>
      <c r="O288" s="19" t="s">
        <v>1145</v>
      </c>
      <c r="P288" s="18"/>
      <c r="Q288" s="18"/>
      <c r="R288" s="23">
        <v>0.0</v>
      </c>
      <c r="S288" s="23">
        <v>0.0</v>
      </c>
      <c r="T288" s="23">
        <f t="shared" si="2"/>
        <v>0</v>
      </c>
      <c r="U288" s="23">
        <f t="shared" si="3"/>
        <v>0</v>
      </c>
      <c r="V288" s="23">
        <f t="shared" si="4"/>
        <v>0</v>
      </c>
      <c r="W288" s="24" t="str">
        <f t="shared" si="5"/>
        <v>#DIV/0!</v>
      </c>
    </row>
    <row r="289">
      <c r="A289" s="15" t="s">
        <v>153</v>
      </c>
      <c r="B289" s="15" t="s">
        <v>154</v>
      </c>
      <c r="C289" s="15" t="s">
        <v>6116</v>
      </c>
      <c r="D289" s="15" t="s">
        <v>155</v>
      </c>
      <c r="E289" s="17" t="s">
        <v>156</v>
      </c>
      <c r="F289" s="18"/>
      <c r="G289" s="15" t="s">
        <v>157</v>
      </c>
      <c r="H289" s="15" t="s">
        <v>158</v>
      </c>
      <c r="I289" s="18"/>
      <c r="J289" s="19" t="s">
        <v>104</v>
      </c>
      <c r="K289" s="19" t="s">
        <v>160</v>
      </c>
      <c r="L289" s="19" t="s">
        <v>106</v>
      </c>
      <c r="M289" s="20">
        <f t="shared" si="1"/>
        <v>444</v>
      </c>
      <c r="N289" s="31">
        <v>36.0</v>
      </c>
      <c r="O289" s="19" t="s">
        <v>107</v>
      </c>
      <c r="P289" s="18"/>
      <c r="Q289" s="18"/>
      <c r="R289" s="23">
        <v>1.5</v>
      </c>
      <c r="S289" s="23">
        <v>25.0</v>
      </c>
      <c r="T289" s="23">
        <f t="shared" si="2"/>
        <v>24</v>
      </c>
      <c r="U289" s="23">
        <f t="shared" si="3"/>
        <v>1.8375</v>
      </c>
      <c r="V289" s="23">
        <f t="shared" si="4"/>
        <v>34.453125</v>
      </c>
      <c r="W289" s="24">
        <f t="shared" si="5"/>
        <v>16</v>
      </c>
    </row>
    <row r="290">
      <c r="A290" s="15" t="s">
        <v>885</v>
      </c>
      <c r="B290" s="15" t="s">
        <v>886</v>
      </c>
      <c r="C290" s="15" t="s">
        <v>8018</v>
      </c>
      <c r="D290" s="15" t="s">
        <v>887</v>
      </c>
      <c r="E290" s="17" t="s">
        <v>888</v>
      </c>
      <c r="F290" s="18"/>
      <c r="G290" s="15" t="s">
        <v>889</v>
      </c>
      <c r="H290" s="15" t="s">
        <v>890</v>
      </c>
      <c r="I290" s="18"/>
      <c r="J290" s="19" t="s">
        <v>104</v>
      </c>
      <c r="K290" s="19" t="s">
        <v>160</v>
      </c>
      <c r="L290" s="19" t="s">
        <v>106</v>
      </c>
      <c r="M290" s="20">
        <f t="shared" si="1"/>
        <v>2379.84</v>
      </c>
      <c r="N290" s="31">
        <v>4.0</v>
      </c>
      <c r="O290" s="19" t="s">
        <v>107</v>
      </c>
      <c r="P290" s="18"/>
      <c r="Q290" s="18"/>
      <c r="R290" s="23">
        <v>33.0</v>
      </c>
      <c r="S290" s="23">
        <v>134.0</v>
      </c>
      <c r="T290" s="23">
        <f t="shared" si="2"/>
        <v>128.64</v>
      </c>
      <c r="U290" s="23">
        <f t="shared" si="3"/>
        <v>40.425</v>
      </c>
      <c r="V290" s="23">
        <f t="shared" si="4"/>
        <v>757.96875</v>
      </c>
      <c r="W290" s="24">
        <f t="shared" si="5"/>
        <v>3.898181818</v>
      </c>
    </row>
    <row r="291">
      <c r="A291" s="15" t="s">
        <v>912</v>
      </c>
      <c r="B291" s="15" t="s">
        <v>913</v>
      </c>
      <c r="C291" s="15" t="s">
        <v>6121</v>
      </c>
      <c r="D291" s="15" t="s">
        <v>914</v>
      </c>
      <c r="E291" s="17" t="s">
        <v>915</v>
      </c>
      <c r="F291" s="18"/>
      <c r="G291" s="15" t="s">
        <v>916</v>
      </c>
      <c r="H291" s="15" t="s">
        <v>917</v>
      </c>
      <c r="I291" s="18"/>
      <c r="J291" s="19" t="s">
        <v>104</v>
      </c>
      <c r="K291" s="33"/>
      <c r="L291" s="19" t="s">
        <v>106</v>
      </c>
      <c r="M291" s="20">
        <f t="shared" si="1"/>
        <v>106.56</v>
      </c>
      <c r="N291" s="31">
        <v>150.0</v>
      </c>
      <c r="O291" s="19" t="s">
        <v>107</v>
      </c>
      <c r="P291" s="18"/>
      <c r="Q291" s="18"/>
      <c r="R291" s="23">
        <v>1.5</v>
      </c>
      <c r="S291" s="23">
        <v>6.0</v>
      </c>
      <c r="T291" s="23">
        <f t="shared" si="2"/>
        <v>5.76</v>
      </c>
      <c r="U291" s="23">
        <f t="shared" si="3"/>
        <v>1.8375</v>
      </c>
      <c r="V291" s="23">
        <f t="shared" si="4"/>
        <v>34.453125</v>
      </c>
      <c r="W291" s="24">
        <f t="shared" si="5"/>
        <v>3.84</v>
      </c>
    </row>
    <row r="292">
      <c r="A292" s="15" t="s">
        <v>509</v>
      </c>
      <c r="B292" s="15" t="s">
        <v>510</v>
      </c>
      <c r="C292" s="15" t="s">
        <v>8020</v>
      </c>
      <c r="D292" s="15" t="s">
        <v>511</v>
      </c>
      <c r="E292" s="17" t="s">
        <v>512</v>
      </c>
      <c r="F292" s="18"/>
      <c r="G292" s="15" t="s">
        <v>513</v>
      </c>
      <c r="H292" s="15" t="s">
        <v>514</v>
      </c>
      <c r="I292" s="18"/>
      <c r="J292" s="19" t="s">
        <v>104</v>
      </c>
      <c r="K292" s="19" t="s">
        <v>160</v>
      </c>
      <c r="L292" s="19" t="s">
        <v>106</v>
      </c>
      <c r="M292" s="20">
        <f t="shared" si="1"/>
        <v>2788.32</v>
      </c>
      <c r="N292" s="31">
        <v>1.0</v>
      </c>
      <c r="O292" s="19" t="s">
        <v>107</v>
      </c>
      <c r="P292" s="18"/>
      <c r="Q292" s="18"/>
      <c r="R292" s="23">
        <v>25.0</v>
      </c>
      <c r="S292" s="23">
        <v>157.0</v>
      </c>
      <c r="T292" s="23">
        <f t="shared" si="2"/>
        <v>150.72</v>
      </c>
      <c r="U292" s="23">
        <f t="shared" si="3"/>
        <v>30.625</v>
      </c>
      <c r="V292" s="23">
        <f t="shared" si="4"/>
        <v>574.21875</v>
      </c>
      <c r="W292" s="24">
        <f t="shared" si="5"/>
        <v>6.0288</v>
      </c>
    </row>
    <row r="293">
      <c r="A293" s="15" t="s">
        <v>326</v>
      </c>
      <c r="B293" s="15" t="s">
        <v>327</v>
      </c>
      <c r="C293" s="15" t="s">
        <v>8020</v>
      </c>
      <c r="D293" s="15" t="s">
        <v>328</v>
      </c>
      <c r="E293" s="17" t="s">
        <v>329</v>
      </c>
      <c r="F293" s="18"/>
      <c r="G293" s="15" t="s">
        <v>330</v>
      </c>
      <c r="H293" s="15" t="s">
        <v>331</v>
      </c>
      <c r="I293" s="18"/>
      <c r="J293" s="19" t="s">
        <v>104</v>
      </c>
      <c r="K293" s="19" t="s">
        <v>160</v>
      </c>
      <c r="L293" s="19" t="s">
        <v>106</v>
      </c>
      <c r="M293" s="20">
        <f t="shared" si="1"/>
        <v>3658.56</v>
      </c>
      <c r="N293" s="31">
        <v>1.0</v>
      </c>
      <c r="O293" s="19" t="s">
        <v>107</v>
      </c>
      <c r="P293" s="18"/>
      <c r="Q293" s="18"/>
      <c r="R293" s="23">
        <v>26.0</v>
      </c>
      <c r="S293" s="23">
        <v>206.0</v>
      </c>
      <c r="T293" s="23">
        <f t="shared" si="2"/>
        <v>197.76</v>
      </c>
      <c r="U293" s="23">
        <f t="shared" si="3"/>
        <v>31.85</v>
      </c>
      <c r="V293" s="23">
        <f t="shared" si="4"/>
        <v>597.1875</v>
      </c>
      <c r="W293" s="24">
        <f t="shared" si="5"/>
        <v>7.606153846</v>
      </c>
    </row>
    <row r="294">
      <c r="A294" s="15" t="s">
        <v>379</v>
      </c>
      <c r="B294" s="15" t="s">
        <v>380</v>
      </c>
      <c r="C294" s="15" t="s">
        <v>8020</v>
      </c>
      <c r="D294" s="15" t="s">
        <v>381</v>
      </c>
      <c r="E294" s="17" t="s">
        <v>382</v>
      </c>
      <c r="F294" s="18"/>
      <c r="G294" s="15" t="s">
        <v>383</v>
      </c>
      <c r="H294" s="15" t="s">
        <v>384</v>
      </c>
      <c r="I294" s="18"/>
      <c r="J294" s="19" t="s">
        <v>104</v>
      </c>
      <c r="K294" s="19" t="s">
        <v>160</v>
      </c>
      <c r="L294" s="19" t="s">
        <v>106</v>
      </c>
      <c r="M294" s="20">
        <f t="shared" si="1"/>
        <v>3338.88</v>
      </c>
      <c r="N294" s="31">
        <v>1.0</v>
      </c>
      <c r="O294" s="19" t="s">
        <v>107</v>
      </c>
      <c r="P294" s="18"/>
      <c r="Q294" s="18"/>
      <c r="R294" s="23">
        <v>25.0</v>
      </c>
      <c r="S294" s="23">
        <v>188.0</v>
      </c>
      <c r="T294" s="23">
        <f t="shared" si="2"/>
        <v>180.48</v>
      </c>
      <c r="U294" s="23">
        <f t="shared" si="3"/>
        <v>30.625</v>
      </c>
      <c r="V294" s="23">
        <f t="shared" si="4"/>
        <v>574.21875</v>
      </c>
      <c r="W294" s="24">
        <f t="shared" si="5"/>
        <v>7.2192</v>
      </c>
    </row>
    <row r="295">
      <c r="A295" s="15" t="s">
        <v>410</v>
      </c>
      <c r="B295" s="15" t="s">
        <v>411</v>
      </c>
      <c r="C295" s="15" t="s">
        <v>8020</v>
      </c>
      <c r="D295" s="15" t="s">
        <v>412</v>
      </c>
      <c r="E295" s="17" t="s">
        <v>413</v>
      </c>
      <c r="F295" s="18"/>
      <c r="G295" s="15" t="s">
        <v>414</v>
      </c>
      <c r="H295" s="15" t="s">
        <v>415</v>
      </c>
      <c r="I295" s="18"/>
      <c r="J295" s="19" t="s">
        <v>104</v>
      </c>
      <c r="K295" s="19" t="s">
        <v>160</v>
      </c>
      <c r="L295" s="19" t="s">
        <v>106</v>
      </c>
      <c r="M295" s="20">
        <f t="shared" si="1"/>
        <v>3587.52</v>
      </c>
      <c r="N295" s="31">
        <v>1.0</v>
      </c>
      <c r="O295" s="19" t="s">
        <v>107</v>
      </c>
      <c r="P295" s="18"/>
      <c r="Q295" s="18"/>
      <c r="R295" s="23">
        <v>28.0</v>
      </c>
      <c r="S295" s="23">
        <v>202.0</v>
      </c>
      <c r="T295" s="23">
        <f t="shared" si="2"/>
        <v>193.92</v>
      </c>
      <c r="U295" s="23">
        <f t="shared" si="3"/>
        <v>34.3</v>
      </c>
      <c r="V295" s="23">
        <f t="shared" si="4"/>
        <v>643.125</v>
      </c>
      <c r="W295" s="24">
        <f t="shared" si="5"/>
        <v>6.925714286</v>
      </c>
    </row>
    <row r="296" hidden="1">
      <c r="A296" s="15" t="s">
        <v>6480</v>
      </c>
      <c r="B296" s="18"/>
      <c r="C296" s="15" t="s">
        <v>6481</v>
      </c>
      <c r="D296" s="18"/>
      <c r="E296" s="17" t="s">
        <v>6482</v>
      </c>
      <c r="F296" s="18"/>
      <c r="G296" s="18"/>
      <c r="H296" s="15" t="s">
        <v>4374</v>
      </c>
      <c r="I296" s="18"/>
      <c r="J296" s="19" t="s">
        <v>36</v>
      </c>
      <c r="K296" s="19" t="s">
        <v>1230</v>
      </c>
      <c r="L296" s="19" t="s">
        <v>38</v>
      </c>
      <c r="M296" s="20">
        <f t="shared" si="1"/>
        <v>0</v>
      </c>
      <c r="N296" s="22"/>
      <c r="O296" s="19" t="s">
        <v>39</v>
      </c>
      <c r="P296" s="18"/>
      <c r="Q296" s="18"/>
      <c r="R296" s="23">
        <v>0.0</v>
      </c>
      <c r="S296" s="23">
        <v>0.0</v>
      </c>
      <c r="T296" s="23">
        <f t="shared" si="2"/>
        <v>0</v>
      </c>
      <c r="U296" s="23">
        <f t="shared" si="3"/>
        <v>0</v>
      </c>
      <c r="V296" s="23">
        <f t="shared" si="4"/>
        <v>0</v>
      </c>
      <c r="W296" s="24" t="str">
        <f t="shared" si="5"/>
        <v>#DIV/0!</v>
      </c>
    </row>
    <row r="297">
      <c r="A297" s="15" t="s">
        <v>178</v>
      </c>
      <c r="B297" s="15" t="s">
        <v>179</v>
      </c>
      <c r="C297" s="15" t="s">
        <v>6117</v>
      </c>
      <c r="D297" s="15" t="s">
        <v>180</v>
      </c>
      <c r="E297" s="17" t="s">
        <v>181</v>
      </c>
      <c r="F297" s="18"/>
      <c r="G297" s="18"/>
      <c r="H297" s="15" t="s">
        <v>182</v>
      </c>
      <c r="I297" s="18"/>
      <c r="J297" s="19" t="s">
        <v>104</v>
      </c>
      <c r="K297" s="19" t="s">
        <v>160</v>
      </c>
      <c r="L297" s="19" t="s">
        <v>106</v>
      </c>
      <c r="M297" s="20">
        <f t="shared" si="1"/>
        <v>124.32</v>
      </c>
      <c r="N297" s="31">
        <v>40.0</v>
      </c>
      <c r="O297" s="19" t="s">
        <v>107</v>
      </c>
      <c r="P297" s="18"/>
      <c r="Q297" s="18"/>
      <c r="R297" s="23">
        <v>0.5</v>
      </c>
      <c r="S297" s="23">
        <v>7.0</v>
      </c>
      <c r="T297" s="23">
        <f t="shared" si="2"/>
        <v>6.72</v>
      </c>
      <c r="U297" s="23">
        <f t="shared" si="3"/>
        <v>0.6125</v>
      </c>
      <c r="V297" s="23">
        <f t="shared" si="4"/>
        <v>11.484375</v>
      </c>
      <c r="W297" s="24">
        <f t="shared" si="5"/>
        <v>13.44</v>
      </c>
    </row>
    <row r="298" hidden="1">
      <c r="A298" s="15" t="s">
        <v>4375</v>
      </c>
      <c r="B298" s="15"/>
      <c r="C298" s="15" t="s">
        <v>6484</v>
      </c>
      <c r="D298" s="18"/>
      <c r="E298" s="17" t="s">
        <v>6485</v>
      </c>
      <c r="F298" s="18"/>
      <c r="G298" s="18"/>
      <c r="H298" s="15" t="s">
        <v>4378</v>
      </c>
      <c r="I298" s="18"/>
      <c r="J298" s="19" t="s">
        <v>36</v>
      </c>
      <c r="K298" s="19" t="s">
        <v>1230</v>
      </c>
      <c r="L298" s="19" t="s">
        <v>38</v>
      </c>
      <c r="M298" s="20">
        <f t="shared" si="1"/>
        <v>0</v>
      </c>
      <c r="N298" s="22"/>
      <c r="O298" s="19" t="s">
        <v>1145</v>
      </c>
      <c r="P298" s="18"/>
      <c r="Q298" s="18"/>
      <c r="R298" s="23">
        <v>0.0</v>
      </c>
      <c r="S298" s="23">
        <v>0.0</v>
      </c>
      <c r="T298" s="23">
        <f t="shared" si="2"/>
        <v>0</v>
      </c>
      <c r="U298" s="23">
        <f t="shared" si="3"/>
        <v>0</v>
      </c>
      <c r="V298" s="23">
        <f t="shared" si="4"/>
        <v>0</v>
      </c>
      <c r="W298" s="24" t="str">
        <f t="shared" si="5"/>
        <v>#DIV/0!</v>
      </c>
    </row>
    <row r="299" hidden="1">
      <c r="A299" s="15" t="s">
        <v>4379</v>
      </c>
      <c r="B299" s="18"/>
      <c r="C299" s="15" t="s">
        <v>6486</v>
      </c>
      <c r="D299" s="18"/>
      <c r="E299" s="17" t="s">
        <v>6487</v>
      </c>
      <c r="F299" s="18"/>
      <c r="G299" s="18"/>
      <c r="H299" s="15" t="s">
        <v>4382</v>
      </c>
      <c r="I299" s="18"/>
      <c r="J299" s="19" t="s">
        <v>36</v>
      </c>
      <c r="K299" s="19" t="s">
        <v>1230</v>
      </c>
      <c r="L299" s="19" t="s">
        <v>38</v>
      </c>
      <c r="M299" s="20">
        <f t="shared" si="1"/>
        <v>0</v>
      </c>
      <c r="N299" s="22"/>
      <c r="O299" s="19" t="s">
        <v>1145</v>
      </c>
      <c r="P299" s="18"/>
      <c r="Q299" s="18"/>
      <c r="R299" s="23">
        <v>0.0</v>
      </c>
      <c r="S299" s="23">
        <v>0.0</v>
      </c>
      <c r="T299" s="23">
        <f t="shared" si="2"/>
        <v>0</v>
      </c>
      <c r="U299" s="23">
        <f t="shared" si="3"/>
        <v>0</v>
      </c>
      <c r="V299" s="23">
        <f t="shared" si="4"/>
        <v>0</v>
      </c>
      <c r="W299" s="24" t="str">
        <f t="shared" si="5"/>
        <v>#DIV/0!</v>
      </c>
    </row>
    <row r="300" hidden="1">
      <c r="A300" s="15" t="s">
        <v>4383</v>
      </c>
      <c r="B300" s="18"/>
      <c r="C300" s="15" t="s">
        <v>6488</v>
      </c>
      <c r="D300" s="18"/>
      <c r="E300" s="17" t="s">
        <v>6489</v>
      </c>
      <c r="F300" s="18"/>
      <c r="G300" s="18"/>
      <c r="H300" s="15" t="s">
        <v>4386</v>
      </c>
      <c r="I300" s="18"/>
      <c r="J300" s="19" t="s">
        <v>36</v>
      </c>
      <c r="K300" s="19" t="s">
        <v>1230</v>
      </c>
      <c r="L300" s="19" t="s">
        <v>38</v>
      </c>
      <c r="M300" s="20">
        <f t="shared" si="1"/>
        <v>0</v>
      </c>
      <c r="N300" s="22"/>
      <c r="O300" s="19" t="s">
        <v>1145</v>
      </c>
      <c r="P300" s="18"/>
      <c r="Q300" s="18"/>
      <c r="R300" s="23">
        <v>0.0</v>
      </c>
      <c r="S300" s="23">
        <v>0.0</v>
      </c>
      <c r="T300" s="23">
        <f t="shared" si="2"/>
        <v>0</v>
      </c>
      <c r="U300" s="23">
        <f t="shared" si="3"/>
        <v>0</v>
      </c>
      <c r="V300" s="23">
        <f t="shared" si="4"/>
        <v>0</v>
      </c>
      <c r="W300" s="24" t="str">
        <f t="shared" si="5"/>
        <v>#DIV/0!</v>
      </c>
    </row>
    <row r="301" hidden="1">
      <c r="A301" s="15" t="s">
        <v>4387</v>
      </c>
      <c r="B301" s="18"/>
      <c r="C301" s="15" t="s">
        <v>6490</v>
      </c>
      <c r="D301" s="18"/>
      <c r="E301" s="17" t="s">
        <v>6491</v>
      </c>
      <c r="F301" s="18"/>
      <c r="G301" s="18"/>
      <c r="H301" s="15" t="s">
        <v>4390</v>
      </c>
      <c r="I301" s="18"/>
      <c r="J301" s="19" t="s">
        <v>36</v>
      </c>
      <c r="K301" s="19" t="s">
        <v>1230</v>
      </c>
      <c r="L301" s="19" t="s">
        <v>38</v>
      </c>
      <c r="M301" s="20">
        <f t="shared" si="1"/>
        <v>0</v>
      </c>
      <c r="N301" s="22"/>
      <c r="O301" s="19" t="s">
        <v>1145</v>
      </c>
      <c r="P301" s="18"/>
      <c r="Q301" s="18"/>
      <c r="R301" s="23">
        <v>0.0</v>
      </c>
      <c r="S301" s="23">
        <v>0.0</v>
      </c>
      <c r="T301" s="23">
        <f t="shared" si="2"/>
        <v>0</v>
      </c>
      <c r="U301" s="23">
        <f t="shared" si="3"/>
        <v>0</v>
      </c>
      <c r="V301" s="23">
        <f t="shared" si="4"/>
        <v>0</v>
      </c>
      <c r="W301" s="24" t="str">
        <f t="shared" si="5"/>
        <v>#DIV/0!</v>
      </c>
    </row>
    <row r="302" hidden="1">
      <c r="A302" s="15" t="s">
        <v>4391</v>
      </c>
      <c r="B302" s="18"/>
      <c r="C302" s="15" t="s">
        <v>6492</v>
      </c>
      <c r="D302" s="18"/>
      <c r="E302" s="17" t="s">
        <v>6493</v>
      </c>
      <c r="F302" s="18"/>
      <c r="G302" s="18"/>
      <c r="H302" s="15" t="s">
        <v>4393</v>
      </c>
      <c r="I302" s="18"/>
      <c r="J302" s="19" t="s">
        <v>36</v>
      </c>
      <c r="K302" s="19" t="s">
        <v>1230</v>
      </c>
      <c r="L302" s="19" t="s">
        <v>38</v>
      </c>
      <c r="M302" s="20">
        <f t="shared" si="1"/>
        <v>0</v>
      </c>
      <c r="N302" s="22"/>
      <c r="O302" s="19" t="s">
        <v>1145</v>
      </c>
      <c r="P302" s="18"/>
      <c r="Q302" s="18"/>
      <c r="R302" s="23">
        <v>0.0</v>
      </c>
      <c r="S302" s="23">
        <v>0.0</v>
      </c>
      <c r="T302" s="23">
        <f t="shared" si="2"/>
        <v>0</v>
      </c>
      <c r="U302" s="23">
        <f t="shared" si="3"/>
        <v>0</v>
      </c>
      <c r="V302" s="23">
        <f t="shared" si="4"/>
        <v>0</v>
      </c>
      <c r="W302" s="24" t="str">
        <f t="shared" si="5"/>
        <v>#DIV/0!</v>
      </c>
    </row>
    <row r="303">
      <c r="A303" s="15" t="s">
        <v>1052</v>
      </c>
      <c r="B303" s="15" t="s">
        <v>1053</v>
      </c>
      <c r="C303" s="15" t="s">
        <v>6067</v>
      </c>
      <c r="D303" s="15" t="s">
        <v>8027</v>
      </c>
      <c r="E303" s="17" t="s">
        <v>1055</v>
      </c>
      <c r="F303" s="18"/>
      <c r="G303" s="18"/>
      <c r="H303" s="15" t="s">
        <v>1056</v>
      </c>
      <c r="I303" s="18"/>
      <c r="J303" s="19" t="s">
        <v>702</v>
      </c>
      <c r="K303" s="19" t="s">
        <v>1230</v>
      </c>
      <c r="L303" s="19" t="s">
        <v>38</v>
      </c>
      <c r="M303" s="20">
        <f t="shared" si="1"/>
        <v>3356.64</v>
      </c>
      <c r="N303" s="31">
        <v>2.0</v>
      </c>
      <c r="O303" s="19" t="s">
        <v>107</v>
      </c>
      <c r="P303" s="18"/>
      <c r="Q303" s="18"/>
      <c r="R303" s="23">
        <v>60.0</v>
      </c>
      <c r="S303" s="23">
        <v>189.0</v>
      </c>
      <c r="T303" s="23">
        <f t="shared" si="2"/>
        <v>181.44</v>
      </c>
      <c r="U303" s="23">
        <f t="shared" si="3"/>
        <v>73.5</v>
      </c>
      <c r="V303" s="23">
        <f t="shared" si="4"/>
        <v>1378.125</v>
      </c>
      <c r="W303" s="24">
        <f t="shared" si="5"/>
        <v>3.024</v>
      </c>
    </row>
    <row r="304">
      <c r="A304" s="15" t="s">
        <v>925</v>
      </c>
      <c r="B304" s="15" t="s">
        <v>926</v>
      </c>
      <c r="C304" s="15" t="s">
        <v>6104</v>
      </c>
      <c r="D304" s="15" t="s">
        <v>927</v>
      </c>
      <c r="E304" s="17" t="s">
        <v>6105</v>
      </c>
      <c r="F304" s="18"/>
      <c r="G304" s="18"/>
      <c r="H304" s="15" t="s">
        <v>929</v>
      </c>
      <c r="I304" s="18"/>
      <c r="J304" s="19" t="s">
        <v>702</v>
      </c>
      <c r="K304" s="19" t="s">
        <v>1444</v>
      </c>
      <c r="L304" s="19" t="s">
        <v>38</v>
      </c>
      <c r="M304" s="20">
        <f t="shared" si="1"/>
        <v>692.64</v>
      </c>
      <c r="N304" s="31">
        <v>10.0</v>
      </c>
      <c r="O304" s="19" t="s">
        <v>107</v>
      </c>
      <c r="P304" s="18"/>
      <c r="Q304" s="18"/>
      <c r="R304" s="23">
        <v>10.0</v>
      </c>
      <c r="S304" s="23">
        <v>39.0</v>
      </c>
      <c r="T304" s="23">
        <f t="shared" si="2"/>
        <v>37.44</v>
      </c>
      <c r="U304" s="23">
        <f t="shared" si="3"/>
        <v>12.25</v>
      </c>
      <c r="V304" s="23">
        <f t="shared" si="4"/>
        <v>229.6875</v>
      </c>
      <c r="W304" s="24">
        <f t="shared" si="5"/>
        <v>3.744</v>
      </c>
    </row>
    <row r="305" hidden="1">
      <c r="A305" s="15" t="s">
        <v>4401</v>
      </c>
      <c r="B305" s="15" t="s">
        <v>4402</v>
      </c>
      <c r="C305" s="15" t="s">
        <v>6496</v>
      </c>
      <c r="D305" s="18"/>
      <c r="E305" s="17" t="s">
        <v>4403</v>
      </c>
      <c r="F305" s="18"/>
      <c r="G305" s="18"/>
      <c r="H305" s="15" t="s">
        <v>4404</v>
      </c>
      <c r="I305" s="18"/>
      <c r="J305" s="19" t="s">
        <v>36</v>
      </c>
      <c r="K305" s="19" t="s">
        <v>284</v>
      </c>
      <c r="L305" s="19" t="s">
        <v>38</v>
      </c>
      <c r="M305" s="20">
        <f t="shared" si="1"/>
        <v>0</v>
      </c>
      <c r="N305" s="22"/>
      <c r="O305" s="19" t="s">
        <v>1145</v>
      </c>
      <c r="P305" s="18"/>
      <c r="Q305" s="18"/>
      <c r="R305" s="23">
        <v>0.0</v>
      </c>
      <c r="S305" s="23">
        <v>0.0</v>
      </c>
      <c r="T305" s="23">
        <f t="shared" si="2"/>
        <v>0</v>
      </c>
      <c r="U305" s="23">
        <f t="shared" si="3"/>
        <v>0</v>
      </c>
      <c r="V305" s="23">
        <f t="shared" si="4"/>
        <v>0</v>
      </c>
      <c r="W305" s="24" t="str">
        <f t="shared" si="5"/>
        <v>#DIV/0!</v>
      </c>
    </row>
    <row r="306">
      <c r="A306" s="15" t="s">
        <v>1069</v>
      </c>
      <c r="B306" s="15" t="s">
        <v>1070</v>
      </c>
      <c r="C306" s="15" t="s">
        <v>6068</v>
      </c>
      <c r="D306" s="15" t="s">
        <v>8056</v>
      </c>
      <c r="E306" s="17" t="s">
        <v>8057</v>
      </c>
      <c r="F306" s="18"/>
      <c r="G306" s="18"/>
      <c r="H306" s="15" t="s">
        <v>1073</v>
      </c>
      <c r="I306" s="15" t="s">
        <v>1074</v>
      </c>
      <c r="J306" s="19" t="s">
        <v>702</v>
      </c>
      <c r="K306" s="19" t="s">
        <v>1230</v>
      </c>
      <c r="L306" s="19" t="s">
        <v>38</v>
      </c>
      <c r="M306" s="20">
        <f t="shared" si="1"/>
        <v>5470.08</v>
      </c>
      <c r="N306" s="31">
        <v>2.0</v>
      </c>
      <c r="O306" s="19" t="s">
        <v>107</v>
      </c>
      <c r="P306" s="18"/>
      <c r="Q306" s="18"/>
      <c r="R306" s="23">
        <v>105.0</v>
      </c>
      <c r="S306" s="23">
        <v>308.0</v>
      </c>
      <c r="T306" s="23">
        <f t="shared" si="2"/>
        <v>295.68</v>
      </c>
      <c r="U306" s="23">
        <f t="shared" si="3"/>
        <v>128.625</v>
      </c>
      <c r="V306" s="23">
        <f t="shared" si="4"/>
        <v>2411.71875</v>
      </c>
      <c r="W306" s="24">
        <f t="shared" si="5"/>
        <v>2.816</v>
      </c>
    </row>
    <row r="307" hidden="1">
      <c r="A307" s="15" t="s">
        <v>1414</v>
      </c>
      <c r="B307" s="18"/>
      <c r="C307" s="15" t="s">
        <v>6498</v>
      </c>
      <c r="D307" s="18"/>
      <c r="E307" s="17" t="s">
        <v>1415</v>
      </c>
      <c r="F307" s="18"/>
      <c r="G307" s="18"/>
      <c r="H307" s="15" t="s">
        <v>1416</v>
      </c>
      <c r="I307" s="18"/>
      <c r="J307" s="19" t="s">
        <v>36</v>
      </c>
      <c r="K307" s="19" t="s">
        <v>37</v>
      </c>
      <c r="L307" s="19" t="s">
        <v>38</v>
      </c>
      <c r="M307" s="20">
        <f t="shared" si="1"/>
        <v>0</v>
      </c>
      <c r="N307" s="22"/>
      <c r="O307" s="19" t="s">
        <v>1145</v>
      </c>
      <c r="P307" s="18"/>
      <c r="Q307" s="18"/>
      <c r="R307" s="23">
        <v>0.0</v>
      </c>
      <c r="S307" s="23">
        <v>0.0</v>
      </c>
      <c r="T307" s="23">
        <f t="shared" si="2"/>
        <v>0</v>
      </c>
      <c r="U307" s="23">
        <f t="shared" si="3"/>
        <v>0</v>
      </c>
      <c r="V307" s="23">
        <f t="shared" si="4"/>
        <v>0</v>
      </c>
      <c r="W307" s="24" t="str">
        <f t="shared" si="5"/>
        <v>#DIV/0!</v>
      </c>
    </row>
    <row r="308" hidden="1">
      <c r="A308" s="15" t="s">
        <v>1417</v>
      </c>
      <c r="B308" s="18"/>
      <c r="C308" s="15" t="s">
        <v>6499</v>
      </c>
      <c r="D308" s="18"/>
      <c r="E308" s="17" t="s">
        <v>1415</v>
      </c>
      <c r="F308" s="18"/>
      <c r="G308" s="18"/>
      <c r="H308" s="15" t="s">
        <v>1418</v>
      </c>
      <c r="I308" s="18"/>
      <c r="J308" s="19" t="s">
        <v>36</v>
      </c>
      <c r="K308" s="19" t="s">
        <v>37</v>
      </c>
      <c r="L308" s="19" t="s">
        <v>38</v>
      </c>
      <c r="M308" s="20">
        <f t="shared" si="1"/>
        <v>0</v>
      </c>
      <c r="N308" s="22"/>
      <c r="O308" s="19" t="s">
        <v>1145</v>
      </c>
      <c r="P308" s="18"/>
      <c r="Q308" s="18"/>
      <c r="R308" s="23">
        <v>0.0</v>
      </c>
      <c r="S308" s="23">
        <v>0.0</v>
      </c>
      <c r="T308" s="23">
        <f t="shared" si="2"/>
        <v>0</v>
      </c>
      <c r="U308" s="23">
        <f t="shared" si="3"/>
        <v>0</v>
      </c>
      <c r="V308" s="23">
        <f t="shared" si="4"/>
        <v>0</v>
      </c>
      <c r="W308" s="24" t="str">
        <f t="shared" si="5"/>
        <v>#DIV/0!</v>
      </c>
    </row>
    <row r="309">
      <c r="A309" s="15" t="s">
        <v>1089</v>
      </c>
      <c r="B309" s="15" t="s">
        <v>1100</v>
      </c>
      <c r="C309" s="15" t="s">
        <v>6069</v>
      </c>
      <c r="D309" s="15" t="s">
        <v>1101</v>
      </c>
      <c r="E309" s="17" t="s">
        <v>1102</v>
      </c>
      <c r="F309" s="18"/>
      <c r="G309" s="18"/>
      <c r="H309" s="15" t="s">
        <v>1103</v>
      </c>
      <c r="I309" s="18"/>
      <c r="J309" s="19" t="s">
        <v>702</v>
      </c>
      <c r="K309" s="19" t="s">
        <v>1230</v>
      </c>
      <c r="L309" s="19" t="s">
        <v>38</v>
      </c>
      <c r="M309" s="20">
        <f t="shared" si="1"/>
        <v>3356.64</v>
      </c>
      <c r="N309" s="31">
        <v>2.0</v>
      </c>
      <c r="O309" s="19" t="s">
        <v>107</v>
      </c>
      <c r="P309" s="18"/>
      <c r="Q309" s="18"/>
      <c r="R309" s="23">
        <v>70.0</v>
      </c>
      <c r="S309" s="23">
        <v>189.0</v>
      </c>
      <c r="T309" s="23">
        <f t="shared" si="2"/>
        <v>181.44</v>
      </c>
      <c r="U309" s="23">
        <f t="shared" si="3"/>
        <v>85.75</v>
      </c>
      <c r="V309" s="23">
        <f t="shared" si="4"/>
        <v>1607.8125</v>
      </c>
      <c r="W309" s="24">
        <f t="shared" si="5"/>
        <v>2.592</v>
      </c>
    </row>
    <row r="310">
      <c r="A310" s="15" t="s">
        <v>1089</v>
      </c>
      <c r="B310" s="35" t="s">
        <v>1090</v>
      </c>
      <c r="C310" s="15" t="s">
        <v>6069</v>
      </c>
      <c r="D310" s="15" t="s">
        <v>1091</v>
      </c>
      <c r="E310" s="17" t="s">
        <v>1092</v>
      </c>
      <c r="F310" s="18"/>
      <c r="G310" s="18"/>
      <c r="H310" s="15" t="s">
        <v>1103</v>
      </c>
      <c r="I310" s="18"/>
      <c r="J310" s="19" t="s">
        <v>702</v>
      </c>
      <c r="K310" s="19" t="s">
        <v>1230</v>
      </c>
      <c r="L310" s="19" t="s">
        <v>38</v>
      </c>
      <c r="M310" s="20">
        <f t="shared" si="1"/>
        <v>3996</v>
      </c>
      <c r="N310" s="31">
        <v>1.0</v>
      </c>
      <c r="O310" s="19" t="s">
        <v>107</v>
      </c>
      <c r="P310" s="18"/>
      <c r="Q310" s="18"/>
      <c r="R310" s="23">
        <v>80.0</v>
      </c>
      <c r="S310" s="23">
        <v>225.0</v>
      </c>
      <c r="T310" s="23">
        <f t="shared" si="2"/>
        <v>216</v>
      </c>
      <c r="U310" s="23">
        <f t="shared" si="3"/>
        <v>98</v>
      </c>
      <c r="V310" s="23">
        <f t="shared" si="4"/>
        <v>1837.5</v>
      </c>
      <c r="W310" s="24">
        <f t="shared" si="5"/>
        <v>2.7</v>
      </c>
    </row>
    <row r="311">
      <c r="A311" s="15" t="s">
        <v>1030</v>
      </c>
      <c r="B311" s="15" t="s">
        <v>1031</v>
      </c>
      <c r="C311" s="15" t="s">
        <v>6070</v>
      </c>
      <c r="D311" s="15" t="s">
        <v>1032</v>
      </c>
      <c r="E311" s="17" t="s">
        <v>1033</v>
      </c>
      <c r="F311" s="18"/>
      <c r="G311" s="18"/>
      <c r="H311" s="15" t="s">
        <v>1034</v>
      </c>
      <c r="I311" s="18"/>
      <c r="J311" s="19" t="s">
        <v>702</v>
      </c>
      <c r="K311" s="19" t="s">
        <v>1230</v>
      </c>
      <c r="L311" s="19" t="s">
        <v>38</v>
      </c>
      <c r="M311" s="20">
        <f t="shared" si="1"/>
        <v>4741.92</v>
      </c>
      <c r="N311" s="31">
        <v>2.0</v>
      </c>
      <c r="O311" s="19" t="s">
        <v>107</v>
      </c>
      <c r="P311" s="18"/>
      <c r="Q311" s="18"/>
      <c r="R311" s="23">
        <v>80.0</v>
      </c>
      <c r="S311" s="23">
        <v>267.0</v>
      </c>
      <c r="T311" s="23">
        <f t="shared" si="2"/>
        <v>256.32</v>
      </c>
      <c r="U311" s="23">
        <f t="shared" si="3"/>
        <v>98</v>
      </c>
      <c r="V311" s="23">
        <f t="shared" si="4"/>
        <v>1837.5</v>
      </c>
      <c r="W311" s="24">
        <f t="shared" si="5"/>
        <v>3.204</v>
      </c>
    </row>
    <row r="312">
      <c r="A312" s="15" t="s">
        <v>1117</v>
      </c>
      <c r="B312" s="15" t="s">
        <v>1118</v>
      </c>
      <c r="C312" s="15" t="s">
        <v>1119</v>
      </c>
      <c r="D312" s="15" t="s">
        <v>1120</v>
      </c>
      <c r="E312" s="17" t="s">
        <v>1121</v>
      </c>
      <c r="F312" s="18"/>
      <c r="G312" s="18"/>
      <c r="H312" s="15" t="s">
        <v>1122</v>
      </c>
      <c r="I312" s="18"/>
      <c r="J312" s="19" t="s">
        <v>702</v>
      </c>
      <c r="K312" s="19" t="s">
        <v>1230</v>
      </c>
      <c r="L312" s="19" t="s">
        <v>38</v>
      </c>
      <c r="M312" s="20">
        <f t="shared" si="1"/>
        <v>3090.24</v>
      </c>
      <c r="N312" s="31">
        <v>2.0</v>
      </c>
      <c r="O312" s="19" t="s">
        <v>107</v>
      </c>
      <c r="P312" s="18"/>
      <c r="Q312" s="18"/>
      <c r="R312" s="23">
        <v>70.0</v>
      </c>
      <c r="S312" s="23">
        <v>174.0</v>
      </c>
      <c r="T312" s="23">
        <f t="shared" si="2"/>
        <v>167.04</v>
      </c>
      <c r="U312" s="23">
        <f t="shared" si="3"/>
        <v>85.75</v>
      </c>
      <c r="V312" s="23">
        <f t="shared" si="4"/>
        <v>1607.8125</v>
      </c>
      <c r="W312" s="24">
        <f t="shared" si="5"/>
        <v>2.386285714</v>
      </c>
    </row>
    <row r="313">
      <c r="A313" s="15" t="s">
        <v>735</v>
      </c>
      <c r="B313" s="15" t="s">
        <v>736</v>
      </c>
      <c r="C313" s="15" t="s">
        <v>6018</v>
      </c>
      <c r="D313" s="15" t="s">
        <v>737</v>
      </c>
      <c r="E313" s="17" t="s">
        <v>738</v>
      </c>
      <c r="F313" s="18"/>
      <c r="G313" s="15" t="s">
        <v>739</v>
      </c>
      <c r="H313" s="15" t="s">
        <v>740</v>
      </c>
      <c r="I313" s="15" t="s">
        <v>741</v>
      </c>
      <c r="J313" s="19" t="s">
        <v>36</v>
      </c>
      <c r="K313" s="19" t="s">
        <v>60</v>
      </c>
      <c r="L313" s="19" t="s">
        <v>6017</v>
      </c>
      <c r="M313" s="20">
        <f t="shared" si="1"/>
        <v>1012.32</v>
      </c>
      <c r="N313" s="31">
        <v>3.0</v>
      </c>
      <c r="O313" s="19" t="s">
        <v>107</v>
      </c>
      <c r="P313" s="18"/>
      <c r="Q313" s="18"/>
      <c r="R313" s="23">
        <v>12.0</v>
      </c>
      <c r="S313" s="23">
        <v>57.0</v>
      </c>
      <c r="T313" s="23">
        <f t="shared" si="2"/>
        <v>54.72</v>
      </c>
      <c r="U313" s="23">
        <f t="shared" si="3"/>
        <v>14.7</v>
      </c>
      <c r="V313" s="23">
        <f t="shared" si="4"/>
        <v>275.625</v>
      </c>
      <c r="W313" s="24">
        <f t="shared" si="5"/>
        <v>4.56</v>
      </c>
    </row>
    <row r="314" hidden="1">
      <c r="A314" s="15" t="s">
        <v>4432</v>
      </c>
      <c r="B314" s="18"/>
      <c r="C314" s="15" t="s">
        <v>6506</v>
      </c>
      <c r="D314" s="18"/>
      <c r="E314" s="17" t="s">
        <v>8176</v>
      </c>
      <c r="F314" s="18"/>
      <c r="G314" s="18"/>
      <c r="H314" s="15" t="s">
        <v>4436</v>
      </c>
      <c r="I314" s="18"/>
      <c r="J314" s="19" t="s">
        <v>36</v>
      </c>
      <c r="K314" s="19" t="s">
        <v>603</v>
      </c>
      <c r="L314" s="19" t="s">
        <v>38</v>
      </c>
      <c r="M314" s="20">
        <f t="shared" si="1"/>
        <v>0</v>
      </c>
      <c r="N314" s="22"/>
      <c r="O314" s="19" t="s">
        <v>1145</v>
      </c>
      <c r="P314" s="18"/>
      <c r="Q314" s="18"/>
      <c r="R314" s="23">
        <v>0.0</v>
      </c>
      <c r="S314" s="23">
        <v>0.0</v>
      </c>
      <c r="T314" s="23">
        <f t="shared" si="2"/>
        <v>0</v>
      </c>
      <c r="U314" s="23">
        <f t="shared" si="3"/>
        <v>0</v>
      </c>
      <c r="V314" s="23">
        <f t="shared" si="4"/>
        <v>0</v>
      </c>
      <c r="W314" s="24" t="str">
        <f t="shared" si="5"/>
        <v>#DIV/0!</v>
      </c>
    </row>
    <row r="315" hidden="1">
      <c r="A315" s="15" t="s">
        <v>4437</v>
      </c>
      <c r="B315" s="18"/>
      <c r="C315" s="15" t="s">
        <v>6507</v>
      </c>
      <c r="D315" s="18"/>
      <c r="E315" s="17" t="s">
        <v>8177</v>
      </c>
      <c r="F315" s="18"/>
      <c r="G315" s="18"/>
      <c r="H315" s="15" t="s">
        <v>4441</v>
      </c>
      <c r="I315" s="18"/>
      <c r="J315" s="19" t="s">
        <v>36</v>
      </c>
      <c r="K315" s="19" t="s">
        <v>105</v>
      </c>
      <c r="L315" s="19" t="s">
        <v>38</v>
      </c>
      <c r="M315" s="20">
        <f t="shared" si="1"/>
        <v>0</v>
      </c>
      <c r="N315" s="22"/>
      <c r="O315" s="19" t="s">
        <v>1145</v>
      </c>
      <c r="P315" s="18"/>
      <c r="Q315" s="18"/>
      <c r="R315" s="23">
        <v>0.0</v>
      </c>
      <c r="S315" s="23">
        <v>0.0</v>
      </c>
      <c r="T315" s="23">
        <f t="shared" si="2"/>
        <v>0</v>
      </c>
      <c r="U315" s="23">
        <f t="shared" si="3"/>
        <v>0</v>
      </c>
      <c r="V315" s="23">
        <f t="shared" si="4"/>
        <v>0</v>
      </c>
      <c r="W315" s="24" t="str">
        <f t="shared" si="5"/>
        <v>#DIV/0!</v>
      </c>
    </row>
    <row r="316" hidden="1">
      <c r="A316" s="15" t="s">
        <v>4442</v>
      </c>
      <c r="B316" s="18"/>
      <c r="C316" s="15" t="s">
        <v>6508</v>
      </c>
      <c r="D316" s="18"/>
      <c r="E316" s="17" t="s">
        <v>6509</v>
      </c>
      <c r="F316" s="18"/>
      <c r="G316" s="18"/>
      <c r="H316" s="15" t="s">
        <v>4446</v>
      </c>
      <c r="I316" s="18"/>
      <c r="J316" s="19" t="s">
        <v>36</v>
      </c>
      <c r="K316" s="19" t="s">
        <v>603</v>
      </c>
      <c r="L316" s="19" t="s">
        <v>38</v>
      </c>
      <c r="M316" s="20">
        <f t="shared" si="1"/>
        <v>0</v>
      </c>
      <c r="N316" s="22"/>
      <c r="O316" s="19" t="s">
        <v>1145</v>
      </c>
      <c r="P316" s="18"/>
      <c r="Q316" s="18"/>
      <c r="R316" s="23">
        <v>0.0</v>
      </c>
      <c r="S316" s="23">
        <v>0.0</v>
      </c>
      <c r="T316" s="23">
        <f t="shared" si="2"/>
        <v>0</v>
      </c>
      <c r="U316" s="23">
        <f t="shared" si="3"/>
        <v>0</v>
      </c>
      <c r="V316" s="23">
        <f t="shared" si="4"/>
        <v>0</v>
      </c>
      <c r="W316" s="24" t="str">
        <f t="shared" si="5"/>
        <v>#DIV/0!</v>
      </c>
    </row>
    <row r="317" hidden="1">
      <c r="A317" s="15" t="s">
        <v>4447</v>
      </c>
      <c r="B317" s="18"/>
      <c r="C317" s="15" t="s">
        <v>6510</v>
      </c>
      <c r="D317" s="18"/>
      <c r="E317" s="17" t="s">
        <v>6511</v>
      </c>
      <c r="F317" s="18"/>
      <c r="G317" s="18"/>
      <c r="H317" s="15" t="s">
        <v>4451</v>
      </c>
      <c r="I317" s="18"/>
      <c r="J317" s="19" t="s">
        <v>36</v>
      </c>
      <c r="K317" s="19" t="s">
        <v>603</v>
      </c>
      <c r="L317" s="19" t="s">
        <v>38</v>
      </c>
      <c r="M317" s="20">
        <f t="shared" si="1"/>
        <v>0</v>
      </c>
      <c r="N317" s="22"/>
      <c r="O317" s="19" t="s">
        <v>1145</v>
      </c>
      <c r="P317" s="18"/>
      <c r="Q317" s="18"/>
      <c r="R317" s="23">
        <v>0.0</v>
      </c>
      <c r="S317" s="23">
        <v>0.0</v>
      </c>
      <c r="T317" s="23">
        <f t="shared" si="2"/>
        <v>0</v>
      </c>
      <c r="U317" s="23">
        <f t="shared" si="3"/>
        <v>0</v>
      </c>
      <c r="V317" s="23">
        <f t="shared" si="4"/>
        <v>0</v>
      </c>
      <c r="W317" s="24" t="str">
        <f t="shared" si="5"/>
        <v>#DIV/0!</v>
      </c>
    </row>
    <row r="318" hidden="1">
      <c r="A318" s="15" t="s">
        <v>4452</v>
      </c>
      <c r="B318" s="18"/>
      <c r="C318" s="15" t="s">
        <v>6512</v>
      </c>
      <c r="D318" s="18"/>
      <c r="E318" s="17" t="s">
        <v>6513</v>
      </c>
      <c r="F318" s="18"/>
      <c r="G318" s="18"/>
      <c r="H318" s="15" t="s">
        <v>4456</v>
      </c>
      <c r="I318" s="18"/>
      <c r="J318" s="19" t="s">
        <v>36</v>
      </c>
      <c r="K318" s="19" t="s">
        <v>603</v>
      </c>
      <c r="L318" s="19" t="s">
        <v>38</v>
      </c>
      <c r="M318" s="20">
        <f t="shared" si="1"/>
        <v>0</v>
      </c>
      <c r="N318" s="22"/>
      <c r="O318" s="19" t="s">
        <v>1145</v>
      </c>
      <c r="P318" s="18"/>
      <c r="Q318" s="18"/>
      <c r="R318" s="23">
        <v>0.0</v>
      </c>
      <c r="S318" s="23">
        <v>0.0</v>
      </c>
      <c r="T318" s="23">
        <f t="shared" si="2"/>
        <v>0</v>
      </c>
      <c r="U318" s="23">
        <f t="shared" si="3"/>
        <v>0</v>
      </c>
      <c r="V318" s="23">
        <f t="shared" si="4"/>
        <v>0</v>
      </c>
      <c r="W318" s="24" t="str">
        <f t="shared" si="5"/>
        <v>#DIV/0!</v>
      </c>
    </row>
    <row r="319" hidden="1">
      <c r="A319" s="15" t="s">
        <v>1419</v>
      </c>
      <c r="B319" s="18"/>
      <c r="C319" s="15" t="s">
        <v>6514</v>
      </c>
      <c r="D319" s="18"/>
      <c r="E319" s="17" t="s">
        <v>1420</v>
      </c>
      <c r="F319" s="18"/>
      <c r="G319" s="18"/>
      <c r="H319" s="15" t="s">
        <v>1421</v>
      </c>
      <c r="I319" s="18"/>
      <c r="J319" s="19" t="s">
        <v>36</v>
      </c>
      <c r="K319" s="19" t="s">
        <v>603</v>
      </c>
      <c r="L319" s="19" t="s">
        <v>38</v>
      </c>
      <c r="M319" s="20">
        <f t="shared" si="1"/>
        <v>0</v>
      </c>
      <c r="N319" s="22"/>
      <c r="O319" s="19" t="s">
        <v>1145</v>
      </c>
      <c r="P319" s="18"/>
      <c r="Q319" s="18"/>
      <c r="R319" s="23">
        <v>0.0</v>
      </c>
      <c r="S319" s="23">
        <v>0.0</v>
      </c>
      <c r="T319" s="23">
        <f t="shared" si="2"/>
        <v>0</v>
      </c>
      <c r="U319" s="23">
        <f t="shared" si="3"/>
        <v>0</v>
      </c>
      <c r="V319" s="23">
        <f t="shared" si="4"/>
        <v>0</v>
      </c>
      <c r="W319" s="24" t="str">
        <f t="shared" si="5"/>
        <v>#DIV/0!</v>
      </c>
    </row>
    <row r="320" hidden="1">
      <c r="A320" s="15" t="s">
        <v>4457</v>
      </c>
      <c r="B320" s="18"/>
      <c r="C320" s="15" t="s">
        <v>6515</v>
      </c>
      <c r="D320" s="18"/>
      <c r="E320" s="17" t="s">
        <v>6516</v>
      </c>
      <c r="F320" s="18"/>
      <c r="G320" s="18"/>
      <c r="H320" s="15" t="s">
        <v>4461</v>
      </c>
      <c r="I320" s="18"/>
      <c r="J320" s="19" t="s">
        <v>36</v>
      </c>
      <c r="K320" s="19" t="s">
        <v>603</v>
      </c>
      <c r="L320" s="19" t="s">
        <v>38</v>
      </c>
      <c r="M320" s="20">
        <f t="shared" si="1"/>
        <v>0</v>
      </c>
      <c r="N320" s="22"/>
      <c r="O320" s="19" t="s">
        <v>1145</v>
      </c>
      <c r="P320" s="18"/>
      <c r="Q320" s="18"/>
      <c r="R320" s="23">
        <v>0.0</v>
      </c>
      <c r="S320" s="23">
        <v>0.0</v>
      </c>
      <c r="T320" s="23">
        <f t="shared" si="2"/>
        <v>0</v>
      </c>
      <c r="U320" s="23">
        <f t="shared" si="3"/>
        <v>0</v>
      </c>
      <c r="V320" s="23">
        <f t="shared" si="4"/>
        <v>0</v>
      </c>
      <c r="W320" s="24" t="str">
        <f t="shared" si="5"/>
        <v>#DIV/0!</v>
      </c>
    </row>
    <row r="321" hidden="1">
      <c r="A321" s="15" t="s">
        <v>1422</v>
      </c>
      <c r="B321" s="18"/>
      <c r="C321" s="15" t="s">
        <v>6517</v>
      </c>
      <c r="D321" s="18"/>
      <c r="E321" s="17" t="s">
        <v>6518</v>
      </c>
      <c r="F321" s="18"/>
      <c r="G321" s="18"/>
      <c r="H321" s="15" t="s">
        <v>1424</v>
      </c>
      <c r="I321" s="18"/>
      <c r="J321" s="19" t="s">
        <v>36</v>
      </c>
      <c r="K321" s="19" t="s">
        <v>1269</v>
      </c>
      <c r="L321" s="19" t="s">
        <v>38</v>
      </c>
      <c r="M321" s="20">
        <f t="shared" si="1"/>
        <v>0</v>
      </c>
      <c r="N321" s="22"/>
      <c r="O321" s="19" t="s">
        <v>1145</v>
      </c>
      <c r="P321" s="18"/>
      <c r="Q321" s="18"/>
      <c r="R321" s="23">
        <v>0.0</v>
      </c>
      <c r="S321" s="23">
        <v>0.0</v>
      </c>
      <c r="T321" s="23">
        <f t="shared" si="2"/>
        <v>0</v>
      </c>
      <c r="U321" s="23">
        <f t="shared" si="3"/>
        <v>0</v>
      </c>
      <c r="V321" s="23">
        <f t="shared" si="4"/>
        <v>0</v>
      </c>
      <c r="W321" s="24" t="str">
        <f t="shared" si="5"/>
        <v>#DIV/0!</v>
      </c>
    </row>
    <row r="322" hidden="1">
      <c r="A322" s="15" t="s">
        <v>4462</v>
      </c>
      <c r="B322" s="18"/>
      <c r="C322" s="15" t="s">
        <v>6519</v>
      </c>
      <c r="D322" s="18"/>
      <c r="E322" s="17" t="s">
        <v>6520</v>
      </c>
      <c r="F322" s="18"/>
      <c r="G322" s="18"/>
      <c r="H322" s="15" t="s">
        <v>4466</v>
      </c>
      <c r="I322" s="18"/>
      <c r="J322" s="19" t="s">
        <v>36</v>
      </c>
      <c r="K322" s="19" t="s">
        <v>284</v>
      </c>
      <c r="L322" s="19" t="s">
        <v>38</v>
      </c>
      <c r="M322" s="20">
        <f t="shared" si="1"/>
        <v>0</v>
      </c>
      <c r="N322" s="22"/>
      <c r="O322" s="19" t="s">
        <v>1145</v>
      </c>
      <c r="P322" s="18"/>
      <c r="Q322" s="18"/>
      <c r="R322" s="23">
        <v>0.0</v>
      </c>
      <c r="S322" s="23">
        <v>0.0</v>
      </c>
      <c r="T322" s="23">
        <f t="shared" si="2"/>
        <v>0</v>
      </c>
      <c r="U322" s="23">
        <f t="shared" si="3"/>
        <v>0</v>
      </c>
      <c r="V322" s="23">
        <f t="shared" si="4"/>
        <v>0</v>
      </c>
      <c r="W322" s="24" t="str">
        <f t="shared" si="5"/>
        <v>#DIV/0!</v>
      </c>
    </row>
    <row r="323" hidden="1">
      <c r="A323" s="15" t="s">
        <v>4467</v>
      </c>
      <c r="B323" s="18"/>
      <c r="C323" s="15" t="s">
        <v>6521</v>
      </c>
      <c r="D323" s="18"/>
      <c r="E323" s="17" t="s">
        <v>6522</v>
      </c>
      <c r="F323" s="18"/>
      <c r="G323" s="18"/>
      <c r="H323" s="15" t="s">
        <v>4470</v>
      </c>
      <c r="I323" s="18"/>
      <c r="J323" s="19" t="s">
        <v>36</v>
      </c>
      <c r="K323" s="19" t="s">
        <v>284</v>
      </c>
      <c r="L323" s="19" t="s">
        <v>38</v>
      </c>
      <c r="M323" s="20">
        <f t="shared" si="1"/>
        <v>0</v>
      </c>
      <c r="N323" s="22"/>
      <c r="O323" s="19" t="s">
        <v>1145</v>
      </c>
      <c r="P323" s="18"/>
      <c r="Q323" s="18"/>
      <c r="R323" s="23">
        <v>0.0</v>
      </c>
      <c r="S323" s="23">
        <v>0.0</v>
      </c>
      <c r="T323" s="23">
        <f t="shared" si="2"/>
        <v>0</v>
      </c>
      <c r="U323" s="23">
        <f t="shared" si="3"/>
        <v>0</v>
      </c>
      <c r="V323" s="23">
        <f t="shared" si="4"/>
        <v>0</v>
      </c>
      <c r="W323" s="24" t="str">
        <f t="shared" si="5"/>
        <v>#DIV/0!</v>
      </c>
    </row>
    <row r="324" hidden="1">
      <c r="A324" s="15" t="s">
        <v>1425</v>
      </c>
      <c r="B324" s="18"/>
      <c r="C324" s="15" t="s">
        <v>6523</v>
      </c>
      <c r="D324" s="18"/>
      <c r="E324" s="17" t="s">
        <v>1426</v>
      </c>
      <c r="F324" s="18"/>
      <c r="G324" s="18"/>
      <c r="H324" s="15" t="s">
        <v>1427</v>
      </c>
      <c r="I324" s="18"/>
      <c r="J324" s="19" t="s">
        <v>36</v>
      </c>
      <c r="K324" s="19" t="s">
        <v>284</v>
      </c>
      <c r="L324" s="19" t="s">
        <v>38</v>
      </c>
      <c r="M324" s="20">
        <f t="shared" si="1"/>
        <v>0</v>
      </c>
      <c r="N324" s="22"/>
      <c r="O324" s="19" t="s">
        <v>1145</v>
      </c>
      <c r="P324" s="18"/>
      <c r="Q324" s="18"/>
      <c r="R324" s="23">
        <v>0.0</v>
      </c>
      <c r="S324" s="23">
        <v>0.0</v>
      </c>
      <c r="T324" s="23">
        <f t="shared" si="2"/>
        <v>0</v>
      </c>
      <c r="U324" s="23">
        <f t="shared" si="3"/>
        <v>0</v>
      </c>
      <c r="V324" s="23">
        <f t="shared" si="4"/>
        <v>0</v>
      </c>
      <c r="W324" s="24" t="str">
        <f t="shared" si="5"/>
        <v>#DIV/0!</v>
      </c>
    </row>
    <row r="325" hidden="1">
      <c r="A325" s="15" t="s">
        <v>4471</v>
      </c>
      <c r="B325" s="18"/>
      <c r="C325" s="15" t="s">
        <v>6524</v>
      </c>
      <c r="D325" s="18"/>
      <c r="E325" s="17" t="s">
        <v>6525</v>
      </c>
      <c r="F325" s="18"/>
      <c r="G325" s="18"/>
      <c r="H325" s="15" t="s">
        <v>4473</v>
      </c>
      <c r="I325" s="18"/>
      <c r="J325" s="19" t="s">
        <v>36</v>
      </c>
      <c r="K325" s="19" t="s">
        <v>1230</v>
      </c>
      <c r="L325" s="19" t="s">
        <v>38</v>
      </c>
      <c r="M325" s="20">
        <f t="shared" si="1"/>
        <v>0</v>
      </c>
      <c r="N325" s="22"/>
      <c r="O325" s="19" t="s">
        <v>1145</v>
      </c>
      <c r="P325" s="18"/>
      <c r="Q325" s="18"/>
      <c r="R325" s="23">
        <v>0.0</v>
      </c>
      <c r="S325" s="23">
        <v>0.0</v>
      </c>
      <c r="T325" s="23">
        <f t="shared" si="2"/>
        <v>0</v>
      </c>
      <c r="U325" s="23">
        <f t="shared" si="3"/>
        <v>0</v>
      </c>
      <c r="V325" s="23">
        <f t="shared" si="4"/>
        <v>0</v>
      </c>
      <c r="W325" s="24" t="str">
        <f t="shared" si="5"/>
        <v>#DIV/0!</v>
      </c>
    </row>
    <row r="326" hidden="1">
      <c r="A326" s="15" t="s">
        <v>4474</v>
      </c>
      <c r="B326" s="18"/>
      <c r="C326" s="15" t="s">
        <v>6526</v>
      </c>
      <c r="D326" s="18"/>
      <c r="E326" s="17" t="s">
        <v>6527</v>
      </c>
      <c r="F326" s="18"/>
      <c r="G326" s="18"/>
      <c r="H326" s="15" t="s">
        <v>4476</v>
      </c>
      <c r="I326" s="18"/>
      <c r="J326" s="19" t="s">
        <v>702</v>
      </c>
      <c r="K326" s="19" t="s">
        <v>1269</v>
      </c>
      <c r="L326" s="19" t="s">
        <v>38</v>
      </c>
      <c r="M326" s="20">
        <f t="shared" si="1"/>
        <v>0</v>
      </c>
      <c r="N326" s="22"/>
      <c r="O326" s="19" t="s">
        <v>1145</v>
      </c>
      <c r="P326" s="18"/>
      <c r="Q326" s="18"/>
      <c r="R326" s="23">
        <v>0.0</v>
      </c>
      <c r="S326" s="23">
        <v>0.0</v>
      </c>
      <c r="T326" s="23">
        <f t="shared" si="2"/>
        <v>0</v>
      </c>
      <c r="U326" s="23">
        <f t="shared" si="3"/>
        <v>0</v>
      </c>
      <c r="V326" s="23">
        <f t="shared" si="4"/>
        <v>0</v>
      </c>
      <c r="W326" s="24" t="str">
        <f t="shared" si="5"/>
        <v>#DIV/0!</v>
      </c>
    </row>
    <row r="327" hidden="1">
      <c r="A327" s="15" t="s">
        <v>4477</v>
      </c>
      <c r="B327" s="18"/>
      <c r="C327" s="15" t="s">
        <v>6528</v>
      </c>
      <c r="D327" s="18"/>
      <c r="E327" s="17" t="s">
        <v>1429</v>
      </c>
      <c r="F327" s="18"/>
      <c r="G327" s="18"/>
      <c r="H327" s="15" t="s">
        <v>6529</v>
      </c>
      <c r="I327" s="18"/>
      <c r="J327" s="19" t="s">
        <v>702</v>
      </c>
      <c r="K327" s="19" t="s">
        <v>1431</v>
      </c>
      <c r="L327" s="19" t="s">
        <v>38</v>
      </c>
      <c r="M327" s="20">
        <f t="shared" si="1"/>
        <v>0</v>
      </c>
      <c r="N327" s="22"/>
      <c r="O327" s="19" t="s">
        <v>1145</v>
      </c>
      <c r="P327" s="18"/>
      <c r="Q327" s="18"/>
      <c r="R327" s="23">
        <v>0.0</v>
      </c>
      <c r="S327" s="23">
        <v>0.0</v>
      </c>
      <c r="T327" s="23">
        <f t="shared" si="2"/>
        <v>0</v>
      </c>
      <c r="U327" s="23">
        <f t="shared" si="3"/>
        <v>0</v>
      </c>
      <c r="V327" s="23">
        <f t="shared" si="4"/>
        <v>0</v>
      </c>
      <c r="W327" s="24" t="str">
        <f t="shared" si="5"/>
        <v>#DIV/0!</v>
      </c>
    </row>
    <row r="328" hidden="1">
      <c r="A328" s="15" t="s">
        <v>1428</v>
      </c>
      <c r="B328" s="18"/>
      <c r="C328" s="15" t="s">
        <v>6530</v>
      </c>
      <c r="D328" s="18"/>
      <c r="E328" s="17" t="s">
        <v>1429</v>
      </c>
      <c r="F328" s="18"/>
      <c r="G328" s="18"/>
      <c r="H328" s="15" t="s">
        <v>1430</v>
      </c>
      <c r="I328" s="18"/>
      <c r="J328" s="19" t="s">
        <v>702</v>
      </c>
      <c r="K328" s="19" t="s">
        <v>1431</v>
      </c>
      <c r="L328" s="19" t="s">
        <v>38</v>
      </c>
      <c r="M328" s="20">
        <f t="shared" si="1"/>
        <v>0</v>
      </c>
      <c r="N328" s="22"/>
      <c r="O328" s="19" t="s">
        <v>1145</v>
      </c>
      <c r="P328" s="18"/>
      <c r="Q328" s="18"/>
      <c r="R328" s="23">
        <v>0.0</v>
      </c>
      <c r="S328" s="23">
        <v>0.0</v>
      </c>
      <c r="T328" s="23">
        <f t="shared" si="2"/>
        <v>0</v>
      </c>
      <c r="U328" s="23">
        <f t="shared" si="3"/>
        <v>0</v>
      </c>
      <c r="V328" s="23">
        <f t="shared" si="4"/>
        <v>0</v>
      </c>
      <c r="W328" s="24" t="str">
        <f t="shared" si="5"/>
        <v>#DIV/0!</v>
      </c>
    </row>
    <row r="329" hidden="1">
      <c r="A329" s="15" t="s">
        <v>4482</v>
      </c>
      <c r="B329" s="18"/>
      <c r="C329" s="15" t="s">
        <v>6531</v>
      </c>
      <c r="D329" s="18"/>
      <c r="E329" s="17" t="s">
        <v>4485</v>
      </c>
      <c r="F329" s="18"/>
      <c r="G329" s="18"/>
      <c r="H329" s="15" t="s">
        <v>6532</v>
      </c>
      <c r="I329" s="18"/>
      <c r="J329" s="19" t="s">
        <v>702</v>
      </c>
      <c r="K329" s="19" t="s">
        <v>603</v>
      </c>
      <c r="L329" s="19" t="s">
        <v>38</v>
      </c>
      <c r="M329" s="20">
        <f t="shared" si="1"/>
        <v>0</v>
      </c>
      <c r="N329" s="22"/>
      <c r="O329" s="19" t="s">
        <v>1145</v>
      </c>
      <c r="P329" s="18"/>
      <c r="Q329" s="18"/>
      <c r="R329" s="23">
        <v>0.0</v>
      </c>
      <c r="S329" s="23">
        <v>0.0</v>
      </c>
      <c r="T329" s="23">
        <f t="shared" si="2"/>
        <v>0</v>
      </c>
      <c r="U329" s="23">
        <f t="shared" si="3"/>
        <v>0</v>
      </c>
      <c r="V329" s="23">
        <f t="shared" si="4"/>
        <v>0</v>
      </c>
      <c r="W329" s="24" t="str">
        <f t="shared" si="5"/>
        <v>#DIV/0!</v>
      </c>
    </row>
    <row r="330" hidden="1">
      <c r="A330" s="15" t="s">
        <v>4487</v>
      </c>
      <c r="B330" s="18"/>
      <c r="C330" s="15" t="s">
        <v>6533</v>
      </c>
      <c r="D330" s="18"/>
      <c r="E330" s="17" t="s">
        <v>4488</v>
      </c>
      <c r="F330" s="18"/>
      <c r="G330" s="18"/>
      <c r="H330" s="15" t="s">
        <v>4489</v>
      </c>
      <c r="I330" s="18"/>
      <c r="J330" s="19" t="s">
        <v>702</v>
      </c>
      <c r="K330" s="19" t="s">
        <v>105</v>
      </c>
      <c r="L330" s="19" t="s">
        <v>38</v>
      </c>
      <c r="M330" s="20">
        <f t="shared" si="1"/>
        <v>0</v>
      </c>
      <c r="N330" s="22"/>
      <c r="O330" s="19" t="s">
        <v>1145</v>
      </c>
      <c r="P330" s="18"/>
      <c r="Q330" s="18"/>
      <c r="R330" s="23">
        <v>0.0</v>
      </c>
      <c r="S330" s="23">
        <v>0.0</v>
      </c>
      <c r="T330" s="23">
        <f t="shared" si="2"/>
        <v>0</v>
      </c>
      <c r="U330" s="23">
        <f t="shared" si="3"/>
        <v>0</v>
      </c>
      <c r="V330" s="23">
        <f t="shared" si="4"/>
        <v>0</v>
      </c>
      <c r="W330" s="24" t="str">
        <f t="shared" si="5"/>
        <v>#DIV/0!</v>
      </c>
    </row>
    <row r="331" hidden="1">
      <c r="A331" s="15" t="s">
        <v>6534</v>
      </c>
      <c r="B331" s="18"/>
      <c r="C331" s="15" t="s">
        <v>6535</v>
      </c>
      <c r="D331" s="18"/>
      <c r="E331" s="17" t="s">
        <v>6536</v>
      </c>
      <c r="F331" s="18"/>
      <c r="G331" s="18"/>
      <c r="H331" s="15" t="s">
        <v>4612</v>
      </c>
      <c r="I331" s="18"/>
      <c r="J331" s="19" t="s">
        <v>702</v>
      </c>
      <c r="K331" s="19" t="s">
        <v>603</v>
      </c>
      <c r="L331" s="19" t="s">
        <v>38</v>
      </c>
      <c r="M331" s="20">
        <f t="shared" si="1"/>
        <v>0</v>
      </c>
      <c r="N331" s="22"/>
      <c r="O331" s="19" t="s">
        <v>1145</v>
      </c>
      <c r="P331" s="18"/>
      <c r="Q331" s="18"/>
      <c r="R331" s="23">
        <v>0.0</v>
      </c>
      <c r="S331" s="23">
        <v>0.0</v>
      </c>
      <c r="T331" s="23">
        <f t="shared" si="2"/>
        <v>0</v>
      </c>
      <c r="U331" s="23">
        <f t="shared" si="3"/>
        <v>0</v>
      </c>
      <c r="V331" s="23">
        <f t="shared" si="4"/>
        <v>0</v>
      </c>
      <c r="W331" s="24" t="str">
        <f t="shared" si="5"/>
        <v>#DIV/0!</v>
      </c>
    </row>
    <row r="332" hidden="1">
      <c r="A332" s="15" t="s">
        <v>4490</v>
      </c>
      <c r="B332" s="18"/>
      <c r="C332" s="15" t="s">
        <v>6537</v>
      </c>
      <c r="D332" s="18"/>
      <c r="E332" s="17" t="s">
        <v>4491</v>
      </c>
      <c r="F332" s="18"/>
      <c r="G332" s="18"/>
      <c r="H332" s="15" t="s">
        <v>4492</v>
      </c>
      <c r="I332" s="18"/>
      <c r="J332" s="19" t="s">
        <v>702</v>
      </c>
      <c r="K332" s="19" t="s">
        <v>105</v>
      </c>
      <c r="L332" s="19" t="s">
        <v>38</v>
      </c>
      <c r="M332" s="20">
        <f t="shared" si="1"/>
        <v>0</v>
      </c>
      <c r="N332" s="22"/>
      <c r="O332" s="19" t="s">
        <v>1145</v>
      </c>
      <c r="P332" s="18"/>
      <c r="Q332" s="18"/>
      <c r="R332" s="23">
        <v>0.0</v>
      </c>
      <c r="S332" s="23">
        <v>0.0</v>
      </c>
      <c r="T332" s="23">
        <f t="shared" si="2"/>
        <v>0</v>
      </c>
      <c r="U332" s="23">
        <f t="shared" si="3"/>
        <v>0</v>
      </c>
      <c r="V332" s="23">
        <f t="shared" si="4"/>
        <v>0</v>
      </c>
      <c r="W332" s="24" t="str">
        <f t="shared" si="5"/>
        <v>#DIV/0!</v>
      </c>
    </row>
    <row r="333" hidden="1">
      <c r="A333" s="15" t="s">
        <v>1432</v>
      </c>
      <c r="B333" s="18"/>
      <c r="C333" s="15" t="s">
        <v>6538</v>
      </c>
      <c r="D333" s="18"/>
      <c r="E333" s="17" t="s">
        <v>1433</v>
      </c>
      <c r="F333" s="18"/>
      <c r="G333" s="18"/>
      <c r="H333" s="15" t="s">
        <v>1434</v>
      </c>
      <c r="I333" s="18"/>
      <c r="J333" s="19" t="s">
        <v>702</v>
      </c>
      <c r="K333" s="19" t="s">
        <v>603</v>
      </c>
      <c r="L333" s="19" t="s">
        <v>38</v>
      </c>
      <c r="M333" s="20">
        <f t="shared" si="1"/>
        <v>0</v>
      </c>
      <c r="N333" s="22"/>
      <c r="O333" s="19" t="s">
        <v>1145</v>
      </c>
      <c r="P333" s="18"/>
      <c r="Q333" s="18"/>
      <c r="R333" s="23">
        <v>0.0</v>
      </c>
      <c r="S333" s="23">
        <v>0.0</v>
      </c>
      <c r="T333" s="23">
        <f t="shared" si="2"/>
        <v>0</v>
      </c>
      <c r="U333" s="23">
        <f t="shared" si="3"/>
        <v>0</v>
      </c>
      <c r="V333" s="23">
        <f t="shared" si="4"/>
        <v>0</v>
      </c>
      <c r="W333" s="24" t="str">
        <f t="shared" si="5"/>
        <v>#DIV/0!</v>
      </c>
    </row>
    <row r="334" hidden="1">
      <c r="A334" s="15" t="s">
        <v>4493</v>
      </c>
      <c r="B334" s="18"/>
      <c r="C334" s="15" t="s">
        <v>6539</v>
      </c>
      <c r="D334" s="18"/>
      <c r="E334" s="17" t="s">
        <v>6540</v>
      </c>
      <c r="F334" s="18"/>
      <c r="G334" s="18"/>
      <c r="H334" s="15" t="s">
        <v>4497</v>
      </c>
      <c r="I334" s="18"/>
      <c r="J334" s="19" t="s">
        <v>702</v>
      </c>
      <c r="K334" s="19" t="s">
        <v>105</v>
      </c>
      <c r="L334" s="19" t="s">
        <v>38</v>
      </c>
      <c r="M334" s="20">
        <f t="shared" si="1"/>
        <v>0</v>
      </c>
      <c r="N334" s="22"/>
      <c r="O334" s="19" t="s">
        <v>1145</v>
      </c>
      <c r="P334" s="18"/>
      <c r="Q334" s="18"/>
      <c r="R334" s="23">
        <v>0.0</v>
      </c>
      <c r="S334" s="23">
        <v>0.0</v>
      </c>
      <c r="T334" s="23">
        <f t="shared" si="2"/>
        <v>0</v>
      </c>
      <c r="U334" s="23">
        <f t="shared" si="3"/>
        <v>0</v>
      </c>
      <c r="V334" s="23">
        <f t="shared" si="4"/>
        <v>0</v>
      </c>
      <c r="W334" s="24" t="str">
        <f t="shared" si="5"/>
        <v>#DIV/0!</v>
      </c>
    </row>
    <row r="335" hidden="1">
      <c r="A335" s="15" t="s">
        <v>4498</v>
      </c>
      <c r="B335" s="18"/>
      <c r="C335" s="15" t="s">
        <v>6541</v>
      </c>
      <c r="D335" s="18"/>
      <c r="E335" s="17" t="s">
        <v>6542</v>
      </c>
      <c r="F335" s="18"/>
      <c r="G335" s="18"/>
      <c r="H335" s="15" t="s">
        <v>4502</v>
      </c>
      <c r="I335" s="18"/>
      <c r="J335" s="19" t="s">
        <v>702</v>
      </c>
      <c r="K335" s="19" t="s">
        <v>105</v>
      </c>
      <c r="L335" s="19" t="s">
        <v>38</v>
      </c>
      <c r="M335" s="20">
        <f t="shared" si="1"/>
        <v>0</v>
      </c>
      <c r="N335" s="22"/>
      <c r="O335" s="19" t="s">
        <v>1145</v>
      </c>
      <c r="P335" s="18"/>
      <c r="Q335" s="18"/>
      <c r="R335" s="23">
        <v>0.0</v>
      </c>
      <c r="S335" s="23">
        <v>0.0</v>
      </c>
      <c r="T335" s="23">
        <f t="shared" si="2"/>
        <v>0</v>
      </c>
      <c r="U335" s="23">
        <f t="shared" si="3"/>
        <v>0</v>
      </c>
      <c r="V335" s="23">
        <f t="shared" si="4"/>
        <v>0</v>
      </c>
      <c r="W335" s="24" t="str">
        <f t="shared" si="5"/>
        <v>#DIV/0!</v>
      </c>
    </row>
    <row r="336" hidden="1">
      <c r="A336" s="15" t="s">
        <v>4503</v>
      </c>
      <c r="B336" s="18"/>
      <c r="C336" s="15" t="s">
        <v>6543</v>
      </c>
      <c r="D336" s="18"/>
      <c r="E336" s="17" t="s">
        <v>6544</v>
      </c>
      <c r="F336" s="18"/>
      <c r="G336" s="18"/>
      <c r="H336" s="15" t="s">
        <v>4507</v>
      </c>
      <c r="I336" s="18"/>
      <c r="J336" s="19" t="s">
        <v>702</v>
      </c>
      <c r="K336" s="19" t="s">
        <v>105</v>
      </c>
      <c r="L336" s="19" t="s">
        <v>38</v>
      </c>
      <c r="M336" s="20">
        <f t="shared" si="1"/>
        <v>0</v>
      </c>
      <c r="N336" s="22"/>
      <c r="O336" s="19" t="s">
        <v>1145</v>
      </c>
      <c r="P336" s="18"/>
      <c r="Q336" s="18"/>
      <c r="R336" s="23">
        <v>0.0</v>
      </c>
      <c r="S336" s="23">
        <v>0.0</v>
      </c>
      <c r="T336" s="23">
        <f t="shared" si="2"/>
        <v>0</v>
      </c>
      <c r="U336" s="23">
        <f t="shared" si="3"/>
        <v>0</v>
      </c>
      <c r="V336" s="23">
        <f t="shared" si="4"/>
        <v>0</v>
      </c>
      <c r="W336" s="24" t="str">
        <f t="shared" si="5"/>
        <v>#DIV/0!</v>
      </c>
    </row>
    <row r="337" hidden="1">
      <c r="A337" s="15" t="s">
        <v>1435</v>
      </c>
      <c r="B337" s="15" t="s">
        <v>1436</v>
      </c>
      <c r="C337" s="15" t="s">
        <v>6545</v>
      </c>
      <c r="D337" s="18"/>
      <c r="E337" s="17" t="s">
        <v>1437</v>
      </c>
      <c r="F337" s="18"/>
      <c r="G337" s="18"/>
      <c r="H337" s="15" t="s">
        <v>1438</v>
      </c>
      <c r="I337" s="18"/>
      <c r="J337" s="19" t="s">
        <v>702</v>
      </c>
      <c r="K337" s="19" t="s">
        <v>603</v>
      </c>
      <c r="L337" s="19" t="s">
        <v>38</v>
      </c>
      <c r="M337" s="20">
        <f t="shared" si="1"/>
        <v>0</v>
      </c>
      <c r="N337" s="22"/>
      <c r="O337" s="19" t="s">
        <v>1145</v>
      </c>
      <c r="P337" s="18"/>
      <c r="Q337" s="18"/>
      <c r="R337" s="23">
        <v>0.0</v>
      </c>
      <c r="S337" s="23">
        <v>0.0</v>
      </c>
      <c r="T337" s="23">
        <f t="shared" si="2"/>
        <v>0</v>
      </c>
      <c r="U337" s="23">
        <f t="shared" si="3"/>
        <v>0</v>
      </c>
      <c r="V337" s="23">
        <f t="shared" si="4"/>
        <v>0</v>
      </c>
      <c r="W337" s="24" t="str">
        <f t="shared" si="5"/>
        <v>#DIV/0!</v>
      </c>
    </row>
    <row r="338" hidden="1">
      <c r="A338" s="15" t="s">
        <v>1439</v>
      </c>
      <c r="B338" s="15" t="s">
        <v>1436</v>
      </c>
      <c r="C338" s="15" t="s">
        <v>6546</v>
      </c>
      <c r="D338" s="18"/>
      <c r="E338" s="17" t="s">
        <v>1437</v>
      </c>
      <c r="F338" s="18"/>
      <c r="G338" s="18"/>
      <c r="H338" s="15" t="s">
        <v>1441</v>
      </c>
      <c r="I338" s="18"/>
      <c r="J338" s="19" t="s">
        <v>702</v>
      </c>
      <c r="K338" s="19" t="s">
        <v>603</v>
      </c>
      <c r="L338" s="19" t="s">
        <v>38</v>
      </c>
      <c r="M338" s="20">
        <f t="shared" si="1"/>
        <v>0</v>
      </c>
      <c r="N338" s="22"/>
      <c r="O338" s="19" t="s">
        <v>1145</v>
      </c>
      <c r="P338" s="18"/>
      <c r="Q338" s="18"/>
      <c r="R338" s="23">
        <v>0.0</v>
      </c>
      <c r="S338" s="23">
        <v>0.0</v>
      </c>
      <c r="T338" s="23">
        <f t="shared" si="2"/>
        <v>0</v>
      </c>
      <c r="U338" s="23">
        <f t="shared" si="3"/>
        <v>0</v>
      </c>
      <c r="V338" s="23">
        <f t="shared" si="4"/>
        <v>0</v>
      </c>
      <c r="W338" s="24" t="str">
        <f t="shared" si="5"/>
        <v>#DIV/0!</v>
      </c>
    </row>
    <row r="339" hidden="1">
      <c r="A339" s="15" t="s">
        <v>1442</v>
      </c>
      <c r="B339" s="18"/>
      <c r="C339" s="15" t="s">
        <v>6547</v>
      </c>
      <c r="D339" s="18"/>
      <c r="E339" s="17" t="s">
        <v>1443</v>
      </c>
      <c r="F339" s="18"/>
      <c r="G339" s="18"/>
      <c r="H339" s="18"/>
      <c r="I339" s="18"/>
      <c r="J339" s="19" t="s">
        <v>702</v>
      </c>
      <c r="K339" s="19" t="s">
        <v>1444</v>
      </c>
      <c r="L339" s="19" t="s">
        <v>38</v>
      </c>
      <c r="M339" s="20">
        <f t="shared" si="1"/>
        <v>0</v>
      </c>
      <c r="N339" s="22"/>
      <c r="O339" s="19" t="s">
        <v>1145</v>
      </c>
      <c r="P339" s="18"/>
      <c r="Q339" s="18"/>
      <c r="R339" s="23">
        <v>0.0</v>
      </c>
      <c r="S339" s="23">
        <v>0.0</v>
      </c>
      <c r="T339" s="23">
        <f t="shared" si="2"/>
        <v>0</v>
      </c>
      <c r="U339" s="23">
        <f t="shared" si="3"/>
        <v>0</v>
      </c>
      <c r="V339" s="23">
        <f t="shared" si="4"/>
        <v>0</v>
      </c>
      <c r="W339" s="24" t="str">
        <f t="shared" si="5"/>
        <v>#DIV/0!</v>
      </c>
    </row>
    <row r="340" hidden="1">
      <c r="A340" s="15" t="s">
        <v>1445</v>
      </c>
      <c r="B340" s="18"/>
      <c r="C340" s="15" t="s">
        <v>6548</v>
      </c>
      <c r="D340" s="18"/>
      <c r="E340" s="17" t="s">
        <v>1446</v>
      </c>
      <c r="F340" s="18"/>
      <c r="G340" s="18"/>
      <c r="H340" s="18"/>
      <c r="I340" s="18"/>
      <c r="J340" s="19" t="s">
        <v>702</v>
      </c>
      <c r="K340" s="19" t="s">
        <v>1444</v>
      </c>
      <c r="L340" s="19" t="s">
        <v>38</v>
      </c>
      <c r="M340" s="20">
        <f t="shared" si="1"/>
        <v>0</v>
      </c>
      <c r="N340" s="22"/>
      <c r="O340" s="19" t="s">
        <v>1145</v>
      </c>
      <c r="P340" s="18"/>
      <c r="Q340" s="18"/>
      <c r="R340" s="23">
        <v>0.0</v>
      </c>
      <c r="S340" s="23">
        <v>0.0</v>
      </c>
      <c r="T340" s="23">
        <f t="shared" si="2"/>
        <v>0</v>
      </c>
      <c r="U340" s="23">
        <f t="shared" si="3"/>
        <v>0</v>
      </c>
      <c r="V340" s="23">
        <f t="shared" si="4"/>
        <v>0</v>
      </c>
      <c r="W340" s="24" t="str">
        <f t="shared" si="5"/>
        <v>#DIV/0!</v>
      </c>
    </row>
    <row r="341" hidden="1">
      <c r="A341" s="15" t="s">
        <v>1447</v>
      </c>
      <c r="B341" s="18"/>
      <c r="C341" s="15" t="s">
        <v>6549</v>
      </c>
      <c r="D341" s="18"/>
      <c r="E341" s="17" t="s">
        <v>1448</v>
      </c>
      <c r="F341" s="18"/>
      <c r="G341" s="18"/>
      <c r="H341" s="15" t="s">
        <v>1449</v>
      </c>
      <c r="I341" s="18"/>
      <c r="J341" s="19" t="s">
        <v>702</v>
      </c>
      <c r="K341" s="19" t="s">
        <v>1444</v>
      </c>
      <c r="L341" s="19" t="s">
        <v>38</v>
      </c>
      <c r="M341" s="20">
        <f t="shared" si="1"/>
        <v>0</v>
      </c>
      <c r="N341" s="22"/>
      <c r="O341" s="19" t="s">
        <v>1145</v>
      </c>
      <c r="P341" s="18"/>
      <c r="Q341" s="18"/>
      <c r="R341" s="23">
        <v>0.0</v>
      </c>
      <c r="S341" s="23">
        <v>0.0</v>
      </c>
      <c r="T341" s="23">
        <f t="shared" si="2"/>
        <v>0</v>
      </c>
      <c r="U341" s="23">
        <f t="shared" si="3"/>
        <v>0</v>
      </c>
      <c r="V341" s="23">
        <f t="shared" si="4"/>
        <v>0</v>
      </c>
      <c r="W341" s="24" t="str">
        <f t="shared" si="5"/>
        <v>#DIV/0!</v>
      </c>
    </row>
    <row r="342" hidden="1">
      <c r="A342" s="15" t="s">
        <v>1450</v>
      </c>
      <c r="B342" s="18"/>
      <c r="C342" s="15" t="s">
        <v>6550</v>
      </c>
      <c r="D342" s="18"/>
      <c r="E342" s="17" t="s">
        <v>1451</v>
      </c>
      <c r="F342" s="18"/>
      <c r="G342" s="18"/>
      <c r="H342" s="15" t="s">
        <v>1452</v>
      </c>
      <c r="I342" s="18"/>
      <c r="J342" s="19" t="s">
        <v>702</v>
      </c>
      <c r="K342" s="19" t="s">
        <v>1444</v>
      </c>
      <c r="L342" s="19" t="s">
        <v>38</v>
      </c>
      <c r="M342" s="20">
        <f t="shared" si="1"/>
        <v>0</v>
      </c>
      <c r="N342" s="22"/>
      <c r="O342" s="19" t="s">
        <v>1145</v>
      </c>
      <c r="P342" s="18"/>
      <c r="Q342" s="18"/>
      <c r="R342" s="23">
        <v>0.0</v>
      </c>
      <c r="S342" s="23">
        <v>0.0</v>
      </c>
      <c r="T342" s="23">
        <f t="shared" si="2"/>
        <v>0</v>
      </c>
      <c r="U342" s="23">
        <f t="shared" si="3"/>
        <v>0</v>
      </c>
      <c r="V342" s="23">
        <f t="shared" si="4"/>
        <v>0</v>
      </c>
      <c r="W342" s="24" t="str">
        <f t="shared" si="5"/>
        <v>#DIV/0!</v>
      </c>
    </row>
    <row r="343" hidden="1">
      <c r="A343" s="15" t="s">
        <v>1453</v>
      </c>
      <c r="B343" s="18"/>
      <c r="C343" s="15" t="s">
        <v>6551</v>
      </c>
      <c r="D343" s="18"/>
      <c r="E343" s="17" t="s">
        <v>1454</v>
      </c>
      <c r="F343" s="18"/>
      <c r="G343" s="18"/>
      <c r="H343" s="15" t="s">
        <v>1455</v>
      </c>
      <c r="I343" s="18"/>
      <c r="J343" s="19" t="s">
        <v>702</v>
      </c>
      <c r="K343" s="19" t="s">
        <v>1444</v>
      </c>
      <c r="L343" s="19" t="s">
        <v>38</v>
      </c>
      <c r="M343" s="20">
        <f t="shared" si="1"/>
        <v>0</v>
      </c>
      <c r="N343" s="22"/>
      <c r="O343" s="19" t="s">
        <v>1145</v>
      </c>
      <c r="P343" s="18"/>
      <c r="Q343" s="18"/>
      <c r="R343" s="23">
        <v>0.0</v>
      </c>
      <c r="S343" s="23">
        <v>0.0</v>
      </c>
      <c r="T343" s="23">
        <f t="shared" si="2"/>
        <v>0</v>
      </c>
      <c r="U343" s="23">
        <f t="shared" si="3"/>
        <v>0</v>
      </c>
      <c r="V343" s="23">
        <f t="shared" si="4"/>
        <v>0</v>
      </c>
      <c r="W343" s="24" t="str">
        <f t="shared" si="5"/>
        <v>#DIV/0!</v>
      </c>
    </row>
    <row r="344" hidden="1">
      <c r="A344" s="15" t="s">
        <v>1456</v>
      </c>
      <c r="B344" s="18"/>
      <c r="C344" s="15" t="s">
        <v>6552</v>
      </c>
      <c r="D344" s="18"/>
      <c r="E344" s="17" t="s">
        <v>1457</v>
      </c>
      <c r="F344" s="18"/>
      <c r="G344" s="18"/>
      <c r="H344" s="15" t="s">
        <v>1458</v>
      </c>
      <c r="I344" s="18"/>
      <c r="J344" s="19" t="s">
        <v>702</v>
      </c>
      <c r="K344" s="19" t="s">
        <v>1444</v>
      </c>
      <c r="L344" s="19" t="s">
        <v>38</v>
      </c>
      <c r="M344" s="20">
        <f t="shared" si="1"/>
        <v>0</v>
      </c>
      <c r="N344" s="22"/>
      <c r="O344" s="19" t="s">
        <v>1145</v>
      </c>
      <c r="P344" s="18"/>
      <c r="Q344" s="18"/>
      <c r="R344" s="23">
        <v>0.0</v>
      </c>
      <c r="S344" s="23">
        <v>0.0</v>
      </c>
      <c r="T344" s="23">
        <f t="shared" si="2"/>
        <v>0</v>
      </c>
      <c r="U344" s="23">
        <f t="shared" si="3"/>
        <v>0</v>
      </c>
      <c r="V344" s="23">
        <f t="shared" si="4"/>
        <v>0</v>
      </c>
      <c r="W344" s="24" t="str">
        <f t="shared" si="5"/>
        <v>#DIV/0!</v>
      </c>
    </row>
    <row r="345" hidden="1">
      <c r="A345" s="15" t="s">
        <v>1459</v>
      </c>
      <c r="B345" s="18"/>
      <c r="C345" s="15" t="s">
        <v>6553</v>
      </c>
      <c r="D345" s="18"/>
      <c r="E345" s="17" t="s">
        <v>1460</v>
      </c>
      <c r="F345" s="18"/>
      <c r="G345" s="18"/>
      <c r="H345" s="15" t="s">
        <v>1461</v>
      </c>
      <c r="I345" s="18"/>
      <c r="J345" s="19" t="s">
        <v>702</v>
      </c>
      <c r="K345" s="19" t="s">
        <v>1444</v>
      </c>
      <c r="L345" s="19" t="s">
        <v>38</v>
      </c>
      <c r="M345" s="20">
        <f t="shared" si="1"/>
        <v>0</v>
      </c>
      <c r="N345" s="22"/>
      <c r="O345" s="19" t="s">
        <v>1145</v>
      </c>
      <c r="P345" s="18"/>
      <c r="Q345" s="18"/>
      <c r="R345" s="23">
        <v>0.0</v>
      </c>
      <c r="S345" s="23">
        <v>0.0</v>
      </c>
      <c r="T345" s="23">
        <f t="shared" si="2"/>
        <v>0</v>
      </c>
      <c r="U345" s="23">
        <f t="shared" si="3"/>
        <v>0</v>
      </c>
      <c r="V345" s="23">
        <f t="shared" si="4"/>
        <v>0</v>
      </c>
      <c r="W345" s="24" t="str">
        <f t="shared" si="5"/>
        <v>#DIV/0!</v>
      </c>
    </row>
    <row r="346" hidden="1">
      <c r="A346" s="15" t="s">
        <v>1462</v>
      </c>
      <c r="B346" s="18"/>
      <c r="C346" s="15" t="s">
        <v>6554</v>
      </c>
      <c r="D346" s="18"/>
      <c r="E346" s="17" t="s">
        <v>1463</v>
      </c>
      <c r="F346" s="18"/>
      <c r="G346" s="18"/>
      <c r="H346" s="15" t="s">
        <v>1464</v>
      </c>
      <c r="I346" s="18"/>
      <c r="J346" s="19" t="s">
        <v>702</v>
      </c>
      <c r="K346" s="19" t="s">
        <v>1444</v>
      </c>
      <c r="L346" s="19" t="s">
        <v>38</v>
      </c>
      <c r="M346" s="20">
        <f t="shared" si="1"/>
        <v>0</v>
      </c>
      <c r="N346" s="22"/>
      <c r="O346" s="19" t="s">
        <v>1145</v>
      </c>
      <c r="P346" s="18"/>
      <c r="Q346" s="18"/>
      <c r="R346" s="23">
        <v>0.0</v>
      </c>
      <c r="S346" s="23">
        <v>0.0</v>
      </c>
      <c r="T346" s="23">
        <f t="shared" si="2"/>
        <v>0</v>
      </c>
      <c r="U346" s="23">
        <f t="shared" si="3"/>
        <v>0</v>
      </c>
      <c r="V346" s="23">
        <f t="shared" si="4"/>
        <v>0</v>
      </c>
      <c r="W346" s="24" t="str">
        <f t="shared" si="5"/>
        <v>#DIV/0!</v>
      </c>
    </row>
    <row r="347" hidden="1">
      <c r="A347" s="15" t="s">
        <v>1465</v>
      </c>
      <c r="B347" s="18"/>
      <c r="C347" s="15" t="s">
        <v>6555</v>
      </c>
      <c r="D347" s="18"/>
      <c r="E347" s="17" t="s">
        <v>1466</v>
      </c>
      <c r="F347" s="18"/>
      <c r="G347" s="18"/>
      <c r="H347" s="15" t="s">
        <v>1467</v>
      </c>
      <c r="I347" s="18"/>
      <c r="J347" s="19" t="s">
        <v>702</v>
      </c>
      <c r="K347" s="19" t="s">
        <v>1444</v>
      </c>
      <c r="L347" s="19" t="s">
        <v>38</v>
      </c>
      <c r="M347" s="20">
        <f t="shared" si="1"/>
        <v>0</v>
      </c>
      <c r="N347" s="22"/>
      <c r="O347" s="19" t="s">
        <v>1145</v>
      </c>
      <c r="P347" s="18"/>
      <c r="Q347" s="18"/>
      <c r="R347" s="23">
        <v>0.0</v>
      </c>
      <c r="S347" s="23">
        <v>0.0</v>
      </c>
      <c r="T347" s="23">
        <f t="shared" si="2"/>
        <v>0</v>
      </c>
      <c r="U347" s="23">
        <f t="shared" si="3"/>
        <v>0</v>
      </c>
      <c r="V347" s="23">
        <f t="shared" si="4"/>
        <v>0</v>
      </c>
      <c r="W347" s="24" t="str">
        <f t="shared" si="5"/>
        <v>#DIV/0!</v>
      </c>
    </row>
    <row r="348" hidden="1">
      <c r="A348" s="15" t="s">
        <v>1468</v>
      </c>
      <c r="B348" s="18"/>
      <c r="C348" s="15" t="s">
        <v>6556</v>
      </c>
      <c r="D348" s="18"/>
      <c r="E348" s="17" t="s">
        <v>1469</v>
      </c>
      <c r="F348" s="18"/>
      <c r="G348" s="18"/>
      <c r="H348" s="15" t="s">
        <v>1470</v>
      </c>
      <c r="I348" s="18"/>
      <c r="J348" s="19" t="s">
        <v>702</v>
      </c>
      <c r="K348" s="19" t="s">
        <v>1444</v>
      </c>
      <c r="L348" s="19" t="s">
        <v>38</v>
      </c>
      <c r="M348" s="20">
        <f t="shared" si="1"/>
        <v>0</v>
      </c>
      <c r="N348" s="22"/>
      <c r="O348" s="19" t="s">
        <v>1145</v>
      </c>
      <c r="P348" s="18"/>
      <c r="Q348" s="18"/>
      <c r="R348" s="23">
        <v>0.0</v>
      </c>
      <c r="S348" s="23">
        <v>0.0</v>
      </c>
      <c r="T348" s="23">
        <f t="shared" si="2"/>
        <v>0</v>
      </c>
      <c r="U348" s="23">
        <f t="shared" si="3"/>
        <v>0</v>
      </c>
      <c r="V348" s="23">
        <f t="shared" si="4"/>
        <v>0</v>
      </c>
      <c r="W348" s="24" t="str">
        <f t="shared" si="5"/>
        <v>#DIV/0!</v>
      </c>
    </row>
    <row r="349" hidden="1">
      <c r="A349" s="15" t="s">
        <v>4508</v>
      </c>
      <c r="B349" s="15" t="s">
        <v>1090</v>
      </c>
      <c r="C349" s="15" t="s">
        <v>6557</v>
      </c>
      <c r="D349" s="18"/>
      <c r="E349" s="17" t="s">
        <v>6558</v>
      </c>
      <c r="F349" s="18"/>
      <c r="G349" s="18"/>
      <c r="H349" s="15" t="s">
        <v>4510</v>
      </c>
      <c r="I349" s="18"/>
      <c r="J349" s="19" t="s">
        <v>702</v>
      </c>
      <c r="K349" s="19" t="s">
        <v>1230</v>
      </c>
      <c r="L349" s="19" t="s">
        <v>38</v>
      </c>
      <c r="M349" s="20">
        <f t="shared" si="1"/>
        <v>0</v>
      </c>
      <c r="N349" s="22"/>
      <c r="O349" s="19" t="s">
        <v>39</v>
      </c>
      <c r="P349" s="18"/>
      <c r="Q349" s="18"/>
      <c r="R349" s="23">
        <v>0.0</v>
      </c>
      <c r="S349" s="23">
        <v>0.0</v>
      </c>
      <c r="T349" s="23">
        <f t="shared" si="2"/>
        <v>0</v>
      </c>
      <c r="U349" s="23">
        <f t="shared" si="3"/>
        <v>0</v>
      </c>
      <c r="V349" s="23">
        <f t="shared" si="4"/>
        <v>0</v>
      </c>
      <c r="W349" s="24" t="str">
        <f t="shared" si="5"/>
        <v>#DIV/0!</v>
      </c>
    </row>
    <row r="350" hidden="1">
      <c r="A350" s="15" t="s">
        <v>4511</v>
      </c>
      <c r="B350" s="15" t="s">
        <v>4512</v>
      </c>
      <c r="C350" s="15" t="s">
        <v>6559</v>
      </c>
      <c r="D350" s="18"/>
      <c r="E350" s="17" t="s">
        <v>6560</v>
      </c>
      <c r="F350" s="18"/>
      <c r="G350" s="18"/>
      <c r="H350" s="15" t="s">
        <v>4515</v>
      </c>
      <c r="I350" s="18"/>
      <c r="J350" s="19" t="s">
        <v>702</v>
      </c>
      <c r="K350" s="19" t="s">
        <v>1269</v>
      </c>
      <c r="L350" s="19" t="s">
        <v>38</v>
      </c>
      <c r="M350" s="20">
        <f t="shared" si="1"/>
        <v>0</v>
      </c>
      <c r="N350" s="22"/>
      <c r="O350" s="19" t="s">
        <v>1145</v>
      </c>
      <c r="P350" s="18"/>
      <c r="Q350" s="18"/>
      <c r="R350" s="23">
        <v>0.0</v>
      </c>
      <c r="S350" s="23">
        <v>0.0</v>
      </c>
      <c r="T350" s="23">
        <f t="shared" si="2"/>
        <v>0</v>
      </c>
      <c r="U350" s="23">
        <f t="shared" si="3"/>
        <v>0</v>
      </c>
      <c r="V350" s="23">
        <f t="shared" si="4"/>
        <v>0</v>
      </c>
      <c r="W350" s="24" t="str">
        <f t="shared" si="5"/>
        <v>#DIV/0!</v>
      </c>
    </row>
    <row r="351" hidden="1">
      <c r="A351" s="15" t="s">
        <v>4517</v>
      </c>
      <c r="B351" s="15" t="s">
        <v>4518</v>
      </c>
      <c r="C351" s="15" t="s">
        <v>6561</v>
      </c>
      <c r="D351" s="18"/>
      <c r="E351" s="17" t="s">
        <v>6562</v>
      </c>
      <c r="F351" s="18"/>
      <c r="G351" s="18"/>
      <c r="H351" s="15" t="s">
        <v>4521</v>
      </c>
      <c r="I351" s="18"/>
      <c r="J351" s="19" t="s">
        <v>702</v>
      </c>
      <c r="K351" s="19" t="s">
        <v>1269</v>
      </c>
      <c r="L351" s="19" t="s">
        <v>38</v>
      </c>
      <c r="M351" s="20">
        <f t="shared" si="1"/>
        <v>0</v>
      </c>
      <c r="N351" s="22"/>
      <c r="O351" s="19" t="s">
        <v>1145</v>
      </c>
      <c r="P351" s="18"/>
      <c r="Q351" s="18"/>
      <c r="R351" s="23">
        <v>0.0</v>
      </c>
      <c r="S351" s="23">
        <v>0.0</v>
      </c>
      <c r="T351" s="23">
        <f t="shared" si="2"/>
        <v>0</v>
      </c>
      <c r="U351" s="23">
        <f t="shared" si="3"/>
        <v>0</v>
      </c>
      <c r="V351" s="23">
        <f t="shared" si="4"/>
        <v>0</v>
      </c>
      <c r="W351" s="24" t="str">
        <f t="shared" si="5"/>
        <v>#DIV/0!</v>
      </c>
    </row>
    <row r="352" hidden="1">
      <c r="A352" s="15" t="s">
        <v>4523</v>
      </c>
      <c r="B352" s="15" t="s">
        <v>4524</v>
      </c>
      <c r="C352" s="15" t="s">
        <v>6563</v>
      </c>
      <c r="D352" s="18"/>
      <c r="E352" s="17" t="s">
        <v>6564</v>
      </c>
      <c r="F352" s="18"/>
      <c r="G352" s="18"/>
      <c r="H352" s="15" t="s">
        <v>4527</v>
      </c>
      <c r="I352" s="18"/>
      <c r="J352" s="19" t="s">
        <v>702</v>
      </c>
      <c r="K352" s="19" t="s">
        <v>1269</v>
      </c>
      <c r="L352" s="19" t="s">
        <v>38</v>
      </c>
      <c r="M352" s="20">
        <f t="shared" si="1"/>
        <v>0</v>
      </c>
      <c r="N352" s="22"/>
      <c r="O352" s="19" t="s">
        <v>1145</v>
      </c>
      <c r="P352" s="18"/>
      <c r="Q352" s="18"/>
      <c r="R352" s="23">
        <v>0.0</v>
      </c>
      <c r="S352" s="23">
        <v>0.0</v>
      </c>
      <c r="T352" s="23">
        <f t="shared" si="2"/>
        <v>0</v>
      </c>
      <c r="U352" s="23">
        <f t="shared" si="3"/>
        <v>0</v>
      </c>
      <c r="V352" s="23">
        <f t="shared" si="4"/>
        <v>0</v>
      </c>
      <c r="W352" s="24" t="str">
        <f t="shared" si="5"/>
        <v>#DIV/0!</v>
      </c>
    </row>
    <row r="353" hidden="1">
      <c r="A353" s="15" t="s">
        <v>4529</v>
      </c>
      <c r="B353" s="15" t="s">
        <v>4530</v>
      </c>
      <c r="C353" s="15" t="s">
        <v>6565</v>
      </c>
      <c r="D353" s="18"/>
      <c r="E353" s="17" t="s">
        <v>6566</v>
      </c>
      <c r="F353" s="18"/>
      <c r="G353" s="18"/>
      <c r="H353" s="15" t="s">
        <v>4533</v>
      </c>
      <c r="I353" s="18"/>
      <c r="J353" s="19" t="s">
        <v>702</v>
      </c>
      <c r="K353" s="19" t="s">
        <v>1269</v>
      </c>
      <c r="L353" s="19" t="s">
        <v>38</v>
      </c>
      <c r="M353" s="20">
        <f t="shared" si="1"/>
        <v>0</v>
      </c>
      <c r="N353" s="22"/>
      <c r="O353" s="19" t="s">
        <v>1145</v>
      </c>
      <c r="P353" s="18"/>
      <c r="Q353" s="18"/>
      <c r="R353" s="23">
        <v>0.0</v>
      </c>
      <c r="S353" s="23">
        <v>0.0</v>
      </c>
      <c r="T353" s="23">
        <f t="shared" si="2"/>
        <v>0</v>
      </c>
      <c r="U353" s="23">
        <f t="shared" si="3"/>
        <v>0</v>
      </c>
      <c r="V353" s="23">
        <f t="shared" si="4"/>
        <v>0</v>
      </c>
      <c r="W353" s="24" t="str">
        <f t="shared" si="5"/>
        <v>#DIV/0!</v>
      </c>
    </row>
    <row r="354" hidden="1">
      <c r="A354" s="15" t="s">
        <v>4535</v>
      </c>
      <c r="B354" s="15" t="s">
        <v>4536</v>
      </c>
      <c r="C354" s="15" t="s">
        <v>6567</v>
      </c>
      <c r="D354" s="18"/>
      <c r="E354" s="17" t="s">
        <v>6568</v>
      </c>
      <c r="F354" s="18"/>
      <c r="G354" s="18"/>
      <c r="H354" s="15" t="s">
        <v>4539</v>
      </c>
      <c r="I354" s="18"/>
      <c r="J354" s="19" t="s">
        <v>702</v>
      </c>
      <c r="K354" s="19" t="s">
        <v>1431</v>
      </c>
      <c r="L354" s="19" t="s">
        <v>38</v>
      </c>
      <c r="M354" s="20">
        <f t="shared" si="1"/>
        <v>0</v>
      </c>
      <c r="N354" s="22"/>
      <c r="O354" s="19" t="s">
        <v>1145</v>
      </c>
      <c r="P354" s="18"/>
      <c r="Q354" s="18"/>
      <c r="R354" s="23">
        <v>0.0</v>
      </c>
      <c r="S354" s="23">
        <v>0.0</v>
      </c>
      <c r="T354" s="23">
        <f t="shared" si="2"/>
        <v>0</v>
      </c>
      <c r="U354" s="23">
        <f t="shared" si="3"/>
        <v>0</v>
      </c>
      <c r="V354" s="23">
        <f t="shared" si="4"/>
        <v>0</v>
      </c>
      <c r="W354" s="24" t="str">
        <f t="shared" si="5"/>
        <v>#DIV/0!</v>
      </c>
    </row>
    <row r="355" hidden="1">
      <c r="A355" s="15" t="s">
        <v>6569</v>
      </c>
      <c r="B355" s="15" t="s">
        <v>6570</v>
      </c>
      <c r="C355" s="15" t="s">
        <v>6571</v>
      </c>
      <c r="D355" s="18"/>
      <c r="E355" s="17" t="s">
        <v>6572</v>
      </c>
      <c r="F355" s="18"/>
      <c r="G355" s="18"/>
      <c r="H355" s="15" t="s">
        <v>6573</v>
      </c>
      <c r="I355" s="18"/>
      <c r="J355" s="19" t="s">
        <v>702</v>
      </c>
      <c r="K355" s="19" t="s">
        <v>1444</v>
      </c>
      <c r="L355" s="19" t="s">
        <v>38</v>
      </c>
      <c r="M355" s="20">
        <f t="shared" si="1"/>
        <v>0</v>
      </c>
      <c r="N355" s="22"/>
      <c r="O355" s="19" t="s">
        <v>1145</v>
      </c>
      <c r="P355" s="18"/>
      <c r="Q355" s="18"/>
      <c r="R355" s="23">
        <v>0.0</v>
      </c>
      <c r="S355" s="23">
        <v>0.0</v>
      </c>
      <c r="T355" s="23">
        <f t="shared" si="2"/>
        <v>0</v>
      </c>
      <c r="U355" s="23">
        <f t="shared" si="3"/>
        <v>0</v>
      </c>
      <c r="V355" s="23">
        <f t="shared" si="4"/>
        <v>0</v>
      </c>
      <c r="W355" s="24" t="str">
        <f t="shared" si="5"/>
        <v>#DIV/0!</v>
      </c>
    </row>
    <row r="356" hidden="1">
      <c r="A356" s="15" t="s">
        <v>4540</v>
      </c>
      <c r="B356" s="15" t="s">
        <v>4541</v>
      </c>
      <c r="C356" s="15" t="s">
        <v>6574</v>
      </c>
      <c r="D356" s="18"/>
      <c r="E356" s="17" t="s">
        <v>6575</v>
      </c>
      <c r="F356" s="18"/>
      <c r="G356" s="18"/>
      <c r="H356" s="15" t="s">
        <v>4544</v>
      </c>
      <c r="I356" s="18"/>
      <c r="J356" s="19" t="s">
        <v>702</v>
      </c>
      <c r="K356" s="19" t="s">
        <v>1444</v>
      </c>
      <c r="L356" s="19" t="s">
        <v>38</v>
      </c>
      <c r="M356" s="20">
        <f t="shared" si="1"/>
        <v>0</v>
      </c>
      <c r="N356" s="22"/>
      <c r="O356" s="19" t="s">
        <v>1145</v>
      </c>
      <c r="P356" s="18"/>
      <c r="Q356" s="18"/>
      <c r="R356" s="23">
        <v>0.0</v>
      </c>
      <c r="S356" s="23">
        <v>0.0</v>
      </c>
      <c r="T356" s="23">
        <f t="shared" si="2"/>
        <v>0</v>
      </c>
      <c r="U356" s="23">
        <f t="shared" si="3"/>
        <v>0</v>
      </c>
      <c r="V356" s="23">
        <f t="shared" si="4"/>
        <v>0</v>
      </c>
      <c r="W356" s="24" t="str">
        <f t="shared" si="5"/>
        <v>#DIV/0!</v>
      </c>
    </row>
    <row r="357" hidden="1">
      <c r="A357" s="15" t="s">
        <v>1471</v>
      </c>
      <c r="B357" s="18"/>
      <c r="C357" s="15" t="s">
        <v>6576</v>
      </c>
      <c r="D357" s="18"/>
      <c r="E357" s="17" t="s">
        <v>1472</v>
      </c>
      <c r="F357" s="18"/>
      <c r="G357" s="18"/>
      <c r="H357" s="15" t="s">
        <v>1473</v>
      </c>
      <c r="I357" s="18"/>
      <c r="J357" s="19" t="s">
        <v>702</v>
      </c>
      <c r="K357" s="19" t="s">
        <v>1444</v>
      </c>
      <c r="L357" s="19" t="s">
        <v>38</v>
      </c>
      <c r="M357" s="20">
        <f t="shared" si="1"/>
        <v>0</v>
      </c>
      <c r="N357" s="22"/>
      <c r="O357" s="19" t="s">
        <v>1145</v>
      </c>
      <c r="P357" s="18"/>
      <c r="Q357" s="18"/>
      <c r="R357" s="23">
        <v>0.0</v>
      </c>
      <c r="S357" s="23">
        <v>0.0</v>
      </c>
      <c r="T357" s="23">
        <f t="shared" si="2"/>
        <v>0</v>
      </c>
      <c r="U357" s="23">
        <f t="shared" si="3"/>
        <v>0</v>
      </c>
      <c r="V357" s="23">
        <f t="shared" si="4"/>
        <v>0</v>
      </c>
      <c r="W357" s="24" t="str">
        <f t="shared" si="5"/>
        <v>#DIV/0!</v>
      </c>
    </row>
    <row r="358" hidden="1">
      <c r="A358" s="15" t="s">
        <v>4545</v>
      </c>
      <c r="B358" s="18"/>
      <c r="C358" s="15" t="s">
        <v>6577</v>
      </c>
      <c r="D358" s="18"/>
      <c r="E358" s="17" t="s">
        <v>6578</v>
      </c>
      <c r="F358" s="18"/>
      <c r="G358" s="18"/>
      <c r="H358" s="15" t="s">
        <v>4549</v>
      </c>
      <c r="I358" s="18"/>
      <c r="J358" s="19" t="s">
        <v>702</v>
      </c>
      <c r="K358" s="19" t="s">
        <v>1444</v>
      </c>
      <c r="L358" s="19" t="s">
        <v>38</v>
      </c>
      <c r="M358" s="20">
        <f t="shared" si="1"/>
        <v>0</v>
      </c>
      <c r="N358" s="22"/>
      <c r="O358" s="19" t="s">
        <v>1145</v>
      </c>
      <c r="P358" s="18"/>
      <c r="Q358" s="18"/>
      <c r="R358" s="23">
        <v>0.0</v>
      </c>
      <c r="S358" s="23">
        <v>0.0</v>
      </c>
      <c r="T358" s="23">
        <f t="shared" si="2"/>
        <v>0</v>
      </c>
      <c r="U358" s="23">
        <f t="shared" si="3"/>
        <v>0</v>
      </c>
      <c r="V358" s="23">
        <f t="shared" si="4"/>
        <v>0</v>
      </c>
      <c r="W358" s="24" t="str">
        <f t="shared" si="5"/>
        <v>#DIV/0!</v>
      </c>
    </row>
    <row r="359" hidden="1">
      <c r="A359" s="15" t="s">
        <v>4550</v>
      </c>
      <c r="B359" s="18"/>
      <c r="C359" s="15" t="s">
        <v>6579</v>
      </c>
      <c r="D359" s="18"/>
      <c r="E359" s="17" t="s">
        <v>6580</v>
      </c>
      <c r="F359" s="18"/>
      <c r="G359" s="18"/>
      <c r="H359" s="15" t="s">
        <v>6581</v>
      </c>
      <c r="I359" s="18"/>
      <c r="J359" s="19" t="s">
        <v>702</v>
      </c>
      <c r="K359" s="19" t="s">
        <v>1431</v>
      </c>
      <c r="L359" s="19" t="s">
        <v>38</v>
      </c>
      <c r="M359" s="20">
        <f t="shared" si="1"/>
        <v>0</v>
      </c>
      <c r="N359" s="22"/>
      <c r="O359" s="19" t="s">
        <v>1145</v>
      </c>
      <c r="P359" s="18"/>
      <c r="Q359" s="18"/>
      <c r="R359" s="23">
        <v>0.0</v>
      </c>
      <c r="S359" s="23">
        <v>0.0</v>
      </c>
      <c r="T359" s="23">
        <f t="shared" si="2"/>
        <v>0</v>
      </c>
      <c r="U359" s="23">
        <f t="shared" si="3"/>
        <v>0</v>
      </c>
      <c r="V359" s="23">
        <f t="shared" si="4"/>
        <v>0</v>
      </c>
      <c r="W359" s="24" t="str">
        <f t="shared" si="5"/>
        <v>#DIV/0!</v>
      </c>
    </row>
    <row r="360" hidden="1">
      <c r="A360" s="15" t="s">
        <v>4554</v>
      </c>
      <c r="B360" s="18"/>
      <c r="C360" s="15" t="s">
        <v>6582</v>
      </c>
      <c r="D360" s="18"/>
      <c r="E360" s="17" t="s">
        <v>6583</v>
      </c>
      <c r="F360" s="18"/>
      <c r="G360" s="18"/>
      <c r="H360" s="15" t="s">
        <v>4558</v>
      </c>
      <c r="I360" s="18"/>
      <c r="J360" s="19" t="s">
        <v>702</v>
      </c>
      <c r="K360" s="19" t="s">
        <v>1431</v>
      </c>
      <c r="L360" s="19" t="s">
        <v>38</v>
      </c>
      <c r="M360" s="20">
        <f t="shared" si="1"/>
        <v>0</v>
      </c>
      <c r="N360" s="22"/>
      <c r="O360" s="19" t="s">
        <v>1145</v>
      </c>
      <c r="P360" s="18"/>
      <c r="Q360" s="18"/>
      <c r="R360" s="23">
        <v>0.0</v>
      </c>
      <c r="S360" s="23">
        <v>0.0</v>
      </c>
      <c r="T360" s="23">
        <f t="shared" si="2"/>
        <v>0</v>
      </c>
      <c r="U360" s="23">
        <f t="shared" si="3"/>
        <v>0</v>
      </c>
      <c r="V360" s="23">
        <f t="shared" si="4"/>
        <v>0</v>
      </c>
      <c r="W360" s="24" t="str">
        <f t="shared" si="5"/>
        <v>#DIV/0!</v>
      </c>
    </row>
    <row r="361" hidden="1">
      <c r="A361" s="15" t="s">
        <v>4559</v>
      </c>
      <c r="B361" s="18"/>
      <c r="C361" s="15" t="s">
        <v>6584</v>
      </c>
      <c r="D361" s="18"/>
      <c r="E361" s="17" t="s">
        <v>6585</v>
      </c>
      <c r="F361" s="18"/>
      <c r="G361" s="18"/>
      <c r="H361" s="15" t="s">
        <v>4563</v>
      </c>
      <c r="I361" s="18"/>
      <c r="J361" s="19" t="s">
        <v>702</v>
      </c>
      <c r="K361" s="19" t="s">
        <v>1444</v>
      </c>
      <c r="L361" s="19" t="s">
        <v>38</v>
      </c>
      <c r="M361" s="20">
        <f t="shared" si="1"/>
        <v>0</v>
      </c>
      <c r="N361" s="22"/>
      <c r="O361" s="19" t="s">
        <v>1145</v>
      </c>
      <c r="P361" s="18"/>
      <c r="Q361" s="18"/>
      <c r="R361" s="23">
        <v>0.0</v>
      </c>
      <c r="S361" s="23">
        <v>0.0</v>
      </c>
      <c r="T361" s="23">
        <f t="shared" si="2"/>
        <v>0</v>
      </c>
      <c r="U361" s="23">
        <f t="shared" si="3"/>
        <v>0</v>
      </c>
      <c r="V361" s="23">
        <f t="shared" si="4"/>
        <v>0</v>
      </c>
      <c r="W361" s="24" t="str">
        <f t="shared" si="5"/>
        <v>#DIV/0!</v>
      </c>
    </row>
    <row r="362" hidden="1">
      <c r="A362" s="15" t="s">
        <v>4564</v>
      </c>
      <c r="B362" s="18"/>
      <c r="C362" s="15" t="s">
        <v>6586</v>
      </c>
      <c r="D362" s="18"/>
      <c r="E362" s="17" t="s">
        <v>6587</v>
      </c>
      <c r="F362" s="18"/>
      <c r="G362" s="18"/>
      <c r="H362" s="15" t="s">
        <v>4567</v>
      </c>
      <c r="I362" s="18"/>
      <c r="J362" s="19" t="s">
        <v>702</v>
      </c>
      <c r="K362" s="19" t="s">
        <v>1444</v>
      </c>
      <c r="L362" s="19" t="s">
        <v>38</v>
      </c>
      <c r="M362" s="20">
        <f t="shared" si="1"/>
        <v>0</v>
      </c>
      <c r="N362" s="22"/>
      <c r="O362" s="19" t="s">
        <v>1145</v>
      </c>
      <c r="P362" s="18"/>
      <c r="Q362" s="18"/>
      <c r="R362" s="23">
        <v>0.0</v>
      </c>
      <c r="S362" s="23">
        <v>0.0</v>
      </c>
      <c r="T362" s="23">
        <f t="shared" si="2"/>
        <v>0</v>
      </c>
      <c r="U362" s="23">
        <f t="shared" si="3"/>
        <v>0</v>
      </c>
      <c r="V362" s="23">
        <f t="shared" si="4"/>
        <v>0</v>
      </c>
      <c r="W362" s="24" t="str">
        <f t="shared" si="5"/>
        <v>#DIV/0!</v>
      </c>
    </row>
    <row r="363">
      <c r="A363" s="15" t="s">
        <v>943</v>
      </c>
      <c r="B363" s="18"/>
      <c r="C363" s="15" t="s">
        <v>6054</v>
      </c>
      <c r="D363" s="15" t="s">
        <v>944</v>
      </c>
      <c r="E363" s="17" t="s">
        <v>945</v>
      </c>
      <c r="F363" s="18"/>
      <c r="G363" s="18"/>
      <c r="H363" s="15" t="s">
        <v>946</v>
      </c>
      <c r="I363" s="18"/>
      <c r="J363" s="19" t="s">
        <v>59</v>
      </c>
      <c r="K363" s="19" t="s">
        <v>60</v>
      </c>
      <c r="L363" s="19" t="s">
        <v>177</v>
      </c>
      <c r="M363" s="20">
        <f t="shared" si="1"/>
        <v>9306.24</v>
      </c>
      <c r="N363" s="31">
        <v>3.0</v>
      </c>
      <c r="O363" s="19" t="s">
        <v>107</v>
      </c>
      <c r="P363" s="18"/>
      <c r="Q363" s="18"/>
      <c r="R363" s="23">
        <v>140.0</v>
      </c>
      <c r="S363" s="23">
        <v>524.0</v>
      </c>
      <c r="T363" s="23">
        <f t="shared" si="2"/>
        <v>503.04</v>
      </c>
      <c r="U363" s="23">
        <f t="shared" si="3"/>
        <v>171.5</v>
      </c>
      <c r="V363" s="23">
        <f t="shared" si="4"/>
        <v>3215.625</v>
      </c>
      <c r="W363" s="24">
        <f t="shared" si="5"/>
        <v>3.593142857</v>
      </c>
    </row>
    <row r="364">
      <c r="A364" s="15" t="s">
        <v>877</v>
      </c>
      <c r="B364" s="18"/>
      <c r="C364" s="18"/>
      <c r="D364" s="15" t="s">
        <v>878</v>
      </c>
      <c r="E364" s="17" t="s">
        <v>879</v>
      </c>
      <c r="F364" s="18"/>
      <c r="G364" s="18"/>
      <c r="H364" s="15" t="s">
        <v>880</v>
      </c>
      <c r="I364" s="18"/>
      <c r="J364" s="19" t="s">
        <v>59</v>
      </c>
      <c r="K364" s="19" t="s">
        <v>60</v>
      </c>
      <c r="L364" s="19" t="s">
        <v>38</v>
      </c>
      <c r="M364" s="20">
        <f t="shared" si="1"/>
        <v>4972.8</v>
      </c>
      <c r="N364" s="31">
        <v>2.0</v>
      </c>
      <c r="O364" s="19" t="s">
        <v>107</v>
      </c>
      <c r="P364" s="18"/>
      <c r="Q364" s="18"/>
      <c r="R364" s="23">
        <v>68.0</v>
      </c>
      <c r="S364" s="23">
        <v>280.0</v>
      </c>
      <c r="T364" s="23">
        <f t="shared" si="2"/>
        <v>268.8</v>
      </c>
      <c r="U364" s="23">
        <f t="shared" si="3"/>
        <v>83.3</v>
      </c>
      <c r="V364" s="23">
        <f t="shared" si="4"/>
        <v>1561.875</v>
      </c>
      <c r="W364" s="24">
        <f t="shared" si="5"/>
        <v>3.952941176</v>
      </c>
    </row>
    <row r="365">
      <c r="A365" s="15" t="s">
        <v>881</v>
      </c>
      <c r="B365" s="18"/>
      <c r="C365" s="18"/>
      <c r="D365" s="15" t="s">
        <v>882</v>
      </c>
      <c r="E365" s="17" t="s">
        <v>883</v>
      </c>
      <c r="F365" s="18"/>
      <c r="G365" s="18"/>
      <c r="H365" s="15" t="s">
        <v>884</v>
      </c>
      <c r="I365" s="18"/>
      <c r="J365" s="19" t="s">
        <v>59</v>
      </c>
      <c r="K365" s="19" t="s">
        <v>60</v>
      </c>
      <c r="L365" s="19" t="s">
        <v>38</v>
      </c>
      <c r="M365" s="20">
        <f t="shared" si="1"/>
        <v>3285.6</v>
      </c>
      <c r="N365" s="31">
        <v>2.0</v>
      </c>
      <c r="O365" s="19" t="s">
        <v>107</v>
      </c>
      <c r="P365" s="18"/>
      <c r="Q365" s="18"/>
      <c r="R365" s="23">
        <v>45.0</v>
      </c>
      <c r="S365" s="23">
        <v>185.0</v>
      </c>
      <c r="T365" s="23">
        <f t="shared" si="2"/>
        <v>177.6</v>
      </c>
      <c r="U365" s="23">
        <f t="shared" si="3"/>
        <v>55.125</v>
      </c>
      <c r="V365" s="23">
        <f t="shared" si="4"/>
        <v>1033.59375</v>
      </c>
      <c r="W365" s="24">
        <f t="shared" si="5"/>
        <v>3.946666667</v>
      </c>
    </row>
    <row r="366">
      <c r="A366" s="15" t="s">
        <v>136</v>
      </c>
      <c r="B366" s="15" t="s">
        <v>137</v>
      </c>
      <c r="C366" s="18"/>
      <c r="D366" s="15" t="s">
        <v>138</v>
      </c>
      <c r="E366" s="17" t="s">
        <v>139</v>
      </c>
      <c r="F366" s="18"/>
      <c r="G366" s="15" t="s">
        <v>140</v>
      </c>
      <c r="H366" s="15" t="s">
        <v>141</v>
      </c>
      <c r="I366" s="18"/>
      <c r="J366" s="19" t="s">
        <v>36</v>
      </c>
      <c r="K366" s="19" t="s">
        <v>60</v>
      </c>
      <c r="L366" s="19" t="s">
        <v>135</v>
      </c>
      <c r="M366" s="20">
        <f t="shared" si="1"/>
        <v>1651.68</v>
      </c>
      <c r="N366" s="31">
        <v>4.0</v>
      </c>
      <c r="O366" s="19" t="s">
        <v>107</v>
      </c>
      <c r="P366" s="18"/>
      <c r="Q366" s="18"/>
      <c r="R366" s="23">
        <v>4.0</v>
      </c>
      <c r="S366" s="23">
        <v>93.0</v>
      </c>
      <c r="T366" s="23">
        <f t="shared" si="2"/>
        <v>89.28</v>
      </c>
      <c r="U366" s="23">
        <f t="shared" si="3"/>
        <v>4.9</v>
      </c>
      <c r="V366" s="23">
        <f t="shared" si="4"/>
        <v>91.875</v>
      </c>
      <c r="W366" s="24">
        <f t="shared" si="5"/>
        <v>22.32</v>
      </c>
    </row>
    <row r="367">
      <c r="A367" s="15" t="s">
        <v>891</v>
      </c>
      <c r="B367" s="15" t="s">
        <v>892</v>
      </c>
      <c r="C367" s="18"/>
      <c r="D367" s="15" t="s">
        <v>893</v>
      </c>
      <c r="E367" s="17" t="s">
        <v>894</v>
      </c>
      <c r="F367" s="18"/>
      <c r="G367" s="18"/>
      <c r="H367" s="15" t="s">
        <v>895</v>
      </c>
      <c r="I367" s="18"/>
      <c r="J367" s="19" t="s">
        <v>36</v>
      </c>
      <c r="K367" s="33"/>
      <c r="L367" s="19" t="s">
        <v>269</v>
      </c>
      <c r="M367" s="20">
        <f t="shared" si="1"/>
        <v>10034.4</v>
      </c>
      <c r="N367" s="31">
        <v>3.0</v>
      </c>
      <c r="O367" s="19" t="s">
        <v>107</v>
      </c>
      <c r="P367" s="18"/>
      <c r="Q367" s="18"/>
      <c r="R367" s="23">
        <v>140.0</v>
      </c>
      <c r="S367" s="23">
        <v>565.0</v>
      </c>
      <c r="T367" s="23">
        <f t="shared" si="2"/>
        <v>542.4</v>
      </c>
      <c r="U367" s="23">
        <f t="shared" si="3"/>
        <v>171.5</v>
      </c>
      <c r="V367" s="23">
        <f t="shared" si="4"/>
        <v>3215.625</v>
      </c>
      <c r="W367" s="24">
        <f t="shared" si="5"/>
        <v>3.874285714</v>
      </c>
    </row>
    <row r="368">
      <c r="A368" s="15" t="s">
        <v>996</v>
      </c>
      <c r="B368" s="15" t="s">
        <v>997</v>
      </c>
      <c r="C368" s="18"/>
      <c r="D368" s="15" t="s">
        <v>998</v>
      </c>
      <c r="E368" s="17" t="s">
        <v>999</v>
      </c>
      <c r="F368" s="18"/>
      <c r="G368" s="15" t="s">
        <v>1000</v>
      </c>
      <c r="H368" s="15" t="s">
        <v>1001</v>
      </c>
      <c r="I368" s="18"/>
      <c r="J368" s="19" t="s">
        <v>1002</v>
      </c>
      <c r="K368" s="19" t="s">
        <v>114</v>
      </c>
      <c r="L368" s="19" t="s">
        <v>115</v>
      </c>
      <c r="M368" s="20">
        <f t="shared" si="1"/>
        <v>0</v>
      </c>
      <c r="N368" s="31">
        <v>6.0</v>
      </c>
      <c r="O368" s="19" t="s">
        <v>107</v>
      </c>
      <c r="P368" s="18"/>
      <c r="Q368" s="18"/>
      <c r="R368" s="23">
        <v>0.0</v>
      </c>
      <c r="S368" s="23">
        <v>0.0</v>
      </c>
      <c r="T368" s="23">
        <f t="shared" si="2"/>
        <v>0</v>
      </c>
      <c r="U368" s="23">
        <f t="shared" si="3"/>
        <v>0</v>
      </c>
      <c r="V368" s="23">
        <f t="shared" si="4"/>
        <v>0</v>
      </c>
      <c r="W368" s="24" t="str">
        <f t="shared" si="5"/>
        <v>#DIV/0!</v>
      </c>
    </row>
    <row r="369">
      <c r="A369" s="15" t="s">
        <v>416</v>
      </c>
      <c r="B369" s="35" t="s">
        <v>417</v>
      </c>
      <c r="C369" s="15" t="s">
        <v>6100</v>
      </c>
      <c r="D369" s="15" t="s">
        <v>418</v>
      </c>
      <c r="E369" s="17" t="s">
        <v>419</v>
      </c>
      <c r="F369" s="18"/>
      <c r="G369" s="15" t="s">
        <v>164</v>
      </c>
      <c r="H369" s="15" t="s">
        <v>420</v>
      </c>
      <c r="I369" s="15" t="s">
        <v>421</v>
      </c>
      <c r="J369" s="19" t="s">
        <v>104</v>
      </c>
      <c r="K369" s="19" t="s">
        <v>160</v>
      </c>
      <c r="L369" s="19" t="s">
        <v>106</v>
      </c>
      <c r="M369" s="20">
        <f t="shared" si="1"/>
        <v>1918.08</v>
      </c>
      <c r="N369" s="31">
        <v>12.0</v>
      </c>
      <c r="O369" s="19" t="s">
        <v>107</v>
      </c>
      <c r="P369" s="18"/>
      <c r="Q369" s="18"/>
      <c r="R369" s="23">
        <v>15.0</v>
      </c>
      <c r="S369" s="23">
        <v>108.0</v>
      </c>
      <c r="T369" s="23">
        <f t="shared" si="2"/>
        <v>103.68</v>
      </c>
      <c r="U369" s="23">
        <f t="shared" si="3"/>
        <v>18.375</v>
      </c>
      <c r="V369" s="23">
        <f t="shared" si="4"/>
        <v>344.53125</v>
      </c>
      <c r="W369" s="24">
        <f t="shared" si="5"/>
        <v>6.912</v>
      </c>
    </row>
    <row r="370" hidden="1">
      <c r="A370" s="15" t="s">
        <v>4573</v>
      </c>
      <c r="B370" s="18"/>
      <c r="C370" s="15" t="s">
        <v>6589</v>
      </c>
      <c r="D370" s="18"/>
      <c r="E370" s="17" t="s">
        <v>6590</v>
      </c>
      <c r="F370" s="18"/>
      <c r="G370" s="18"/>
      <c r="H370" s="15" t="s">
        <v>4577</v>
      </c>
      <c r="I370" s="18"/>
      <c r="J370" s="19" t="s">
        <v>702</v>
      </c>
      <c r="K370" s="19" t="s">
        <v>1431</v>
      </c>
      <c r="L370" s="19" t="s">
        <v>38</v>
      </c>
      <c r="M370" s="20">
        <f t="shared" si="1"/>
        <v>0</v>
      </c>
      <c r="N370" s="22"/>
      <c r="O370" s="19" t="s">
        <v>1145</v>
      </c>
      <c r="P370" s="18"/>
      <c r="Q370" s="18"/>
      <c r="R370" s="23">
        <v>0.0</v>
      </c>
      <c r="S370" s="23">
        <v>0.0</v>
      </c>
      <c r="T370" s="23">
        <f t="shared" si="2"/>
        <v>0</v>
      </c>
      <c r="U370" s="23">
        <f t="shared" si="3"/>
        <v>0</v>
      </c>
      <c r="V370" s="23">
        <f t="shared" si="4"/>
        <v>0</v>
      </c>
      <c r="W370" s="24" t="str">
        <f t="shared" si="5"/>
        <v>#DIV/0!</v>
      </c>
    </row>
    <row r="371" hidden="1">
      <c r="A371" s="15" t="s">
        <v>1474</v>
      </c>
      <c r="B371" s="15" t="s">
        <v>1475</v>
      </c>
      <c r="C371" s="15" t="s">
        <v>6591</v>
      </c>
      <c r="D371" s="18"/>
      <c r="E371" s="17" t="s">
        <v>6592</v>
      </c>
      <c r="F371" s="18"/>
      <c r="G371" s="18"/>
      <c r="H371" s="15" t="s">
        <v>1478</v>
      </c>
      <c r="I371" s="18"/>
      <c r="J371" s="19" t="s">
        <v>702</v>
      </c>
      <c r="K371" s="19" t="s">
        <v>1431</v>
      </c>
      <c r="L371" s="19" t="s">
        <v>38</v>
      </c>
      <c r="M371" s="20">
        <f t="shared" si="1"/>
        <v>0</v>
      </c>
      <c r="N371" s="22"/>
      <c r="O371" s="19" t="s">
        <v>1145</v>
      </c>
      <c r="P371" s="18"/>
      <c r="Q371" s="18"/>
      <c r="R371" s="23">
        <v>0.0</v>
      </c>
      <c r="S371" s="23">
        <v>0.0</v>
      </c>
      <c r="T371" s="23">
        <f t="shared" si="2"/>
        <v>0</v>
      </c>
      <c r="U371" s="23">
        <f t="shared" si="3"/>
        <v>0</v>
      </c>
      <c r="V371" s="23">
        <f t="shared" si="4"/>
        <v>0</v>
      </c>
      <c r="W371" s="24" t="str">
        <f t="shared" si="5"/>
        <v>#DIV/0!</v>
      </c>
    </row>
    <row r="372">
      <c r="A372" s="15" t="s">
        <v>1003</v>
      </c>
      <c r="B372" s="15" t="s">
        <v>1004</v>
      </c>
      <c r="C372" s="15" t="s">
        <v>1131</v>
      </c>
      <c r="D372" s="15" t="s">
        <v>1005</v>
      </c>
      <c r="E372" s="17" t="s">
        <v>8178</v>
      </c>
      <c r="F372" s="18"/>
      <c r="G372" s="15" t="s">
        <v>1007</v>
      </c>
      <c r="H372" s="15"/>
      <c r="I372" s="18"/>
      <c r="J372" s="19" t="s">
        <v>104</v>
      </c>
      <c r="K372" s="19" t="s">
        <v>160</v>
      </c>
      <c r="L372" s="19" t="s">
        <v>106</v>
      </c>
      <c r="M372" s="20">
        <f t="shared" si="1"/>
        <v>3374.4</v>
      </c>
      <c r="N372" s="31">
        <v>2.0</v>
      </c>
      <c r="O372" s="19" t="s">
        <v>107</v>
      </c>
      <c r="P372" s="18"/>
      <c r="Q372" s="18"/>
      <c r="R372" s="23">
        <v>54.0</v>
      </c>
      <c r="S372" s="23">
        <v>190.0</v>
      </c>
      <c r="T372" s="23">
        <f t="shared" si="2"/>
        <v>182.4</v>
      </c>
      <c r="U372" s="23">
        <f t="shared" si="3"/>
        <v>66.15</v>
      </c>
      <c r="V372" s="23">
        <f t="shared" si="4"/>
        <v>1240.3125</v>
      </c>
      <c r="W372" s="24">
        <f t="shared" si="5"/>
        <v>3.377777778</v>
      </c>
    </row>
    <row r="373">
      <c r="A373" s="15" t="s">
        <v>3575</v>
      </c>
      <c r="B373" s="18"/>
      <c r="C373" s="15" t="s">
        <v>6138</v>
      </c>
      <c r="D373" s="18"/>
      <c r="E373" s="17" t="s">
        <v>3576</v>
      </c>
      <c r="F373" s="18"/>
      <c r="G373" s="18"/>
      <c r="H373" s="15" t="s">
        <v>3577</v>
      </c>
      <c r="I373" s="18"/>
      <c r="J373" s="19" t="s">
        <v>283</v>
      </c>
      <c r="K373" s="19" t="s">
        <v>105</v>
      </c>
      <c r="L373" s="19" t="s">
        <v>38</v>
      </c>
      <c r="M373" s="20">
        <f t="shared" si="1"/>
        <v>0</v>
      </c>
      <c r="N373" s="22"/>
      <c r="O373" s="19" t="s">
        <v>3578</v>
      </c>
      <c r="P373" s="18"/>
      <c r="Q373" s="18"/>
      <c r="R373" s="23">
        <v>0.0</v>
      </c>
      <c r="S373" s="23">
        <v>0.0</v>
      </c>
      <c r="T373" s="23">
        <f t="shared" si="2"/>
        <v>0</v>
      </c>
      <c r="U373" s="23">
        <f t="shared" si="3"/>
        <v>0</v>
      </c>
      <c r="V373" s="23">
        <f t="shared" si="4"/>
        <v>0</v>
      </c>
      <c r="W373" s="24" t="str">
        <f t="shared" si="5"/>
        <v>#DIV/0!</v>
      </c>
    </row>
    <row r="374" hidden="1">
      <c r="A374" s="15" t="s">
        <v>4578</v>
      </c>
      <c r="B374" s="15" t="s">
        <v>4579</v>
      </c>
      <c r="C374" s="15" t="s">
        <v>6593</v>
      </c>
      <c r="D374" s="18"/>
      <c r="E374" s="17" t="s">
        <v>6594</v>
      </c>
      <c r="F374" s="18"/>
      <c r="G374" s="18"/>
      <c r="H374" s="15" t="s">
        <v>4582</v>
      </c>
      <c r="I374" s="18"/>
      <c r="J374" s="19" t="s">
        <v>702</v>
      </c>
      <c r="K374" s="19" t="s">
        <v>1431</v>
      </c>
      <c r="L374" s="19" t="s">
        <v>38</v>
      </c>
      <c r="M374" s="20">
        <f t="shared" si="1"/>
        <v>0</v>
      </c>
      <c r="N374" s="22"/>
      <c r="O374" s="19" t="s">
        <v>1145</v>
      </c>
      <c r="P374" s="18"/>
      <c r="Q374" s="18"/>
      <c r="R374" s="23">
        <v>0.0</v>
      </c>
      <c r="S374" s="23">
        <v>0.0</v>
      </c>
      <c r="T374" s="23">
        <f t="shared" si="2"/>
        <v>0</v>
      </c>
      <c r="U374" s="23">
        <f t="shared" si="3"/>
        <v>0</v>
      </c>
      <c r="V374" s="23">
        <f t="shared" si="4"/>
        <v>0</v>
      </c>
      <c r="W374" s="24" t="str">
        <f t="shared" si="5"/>
        <v>#DIV/0!</v>
      </c>
    </row>
    <row r="375" hidden="1">
      <c r="A375" s="15" t="s">
        <v>4583</v>
      </c>
      <c r="B375" s="15" t="s">
        <v>4584</v>
      </c>
      <c r="C375" s="15" t="s">
        <v>6595</v>
      </c>
      <c r="D375" s="18"/>
      <c r="E375" s="17" t="s">
        <v>6596</v>
      </c>
      <c r="F375" s="18"/>
      <c r="G375" s="18"/>
      <c r="H375" s="15" t="s">
        <v>4587</v>
      </c>
      <c r="I375" s="18"/>
      <c r="J375" s="19" t="s">
        <v>702</v>
      </c>
      <c r="K375" s="19" t="s">
        <v>1431</v>
      </c>
      <c r="L375" s="19" t="s">
        <v>38</v>
      </c>
      <c r="M375" s="20">
        <f t="shared" si="1"/>
        <v>0</v>
      </c>
      <c r="N375" s="22"/>
      <c r="O375" s="19" t="s">
        <v>1145</v>
      </c>
      <c r="P375" s="18"/>
      <c r="Q375" s="18"/>
      <c r="R375" s="23">
        <v>0.0</v>
      </c>
      <c r="S375" s="23">
        <v>0.0</v>
      </c>
      <c r="T375" s="23">
        <f t="shared" si="2"/>
        <v>0</v>
      </c>
      <c r="U375" s="23">
        <f t="shared" si="3"/>
        <v>0</v>
      </c>
      <c r="V375" s="23">
        <f t="shared" si="4"/>
        <v>0</v>
      </c>
      <c r="W375" s="24" t="str">
        <f t="shared" si="5"/>
        <v>#DIV/0!</v>
      </c>
    </row>
    <row r="376" hidden="1">
      <c r="A376" s="15" t="s">
        <v>4588</v>
      </c>
      <c r="B376" s="15" t="s">
        <v>4589</v>
      </c>
      <c r="C376" s="15" t="s">
        <v>6597</v>
      </c>
      <c r="D376" s="18"/>
      <c r="E376" s="17" t="s">
        <v>6598</v>
      </c>
      <c r="F376" s="18"/>
      <c r="G376" s="18"/>
      <c r="H376" s="15" t="s">
        <v>4592</v>
      </c>
      <c r="I376" s="18"/>
      <c r="J376" s="19" t="s">
        <v>702</v>
      </c>
      <c r="K376" s="19" t="s">
        <v>1431</v>
      </c>
      <c r="L376" s="19" t="s">
        <v>38</v>
      </c>
      <c r="M376" s="20">
        <f t="shared" si="1"/>
        <v>0</v>
      </c>
      <c r="N376" s="22"/>
      <c r="O376" s="19" t="s">
        <v>1145</v>
      </c>
      <c r="P376" s="18"/>
      <c r="Q376" s="18"/>
      <c r="R376" s="23">
        <v>0.0</v>
      </c>
      <c r="S376" s="23">
        <v>0.0</v>
      </c>
      <c r="T376" s="23">
        <f t="shared" si="2"/>
        <v>0</v>
      </c>
      <c r="U376" s="23">
        <f t="shared" si="3"/>
        <v>0</v>
      </c>
      <c r="V376" s="23">
        <f t="shared" si="4"/>
        <v>0</v>
      </c>
      <c r="W376" s="24" t="str">
        <f t="shared" si="5"/>
        <v>#DIV/0!</v>
      </c>
    </row>
    <row r="377" hidden="1">
      <c r="A377" s="15" t="s">
        <v>4593</v>
      </c>
      <c r="B377" s="15" t="s">
        <v>4594</v>
      </c>
      <c r="C377" s="15" t="s">
        <v>6599</v>
      </c>
      <c r="D377" s="18"/>
      <c r="E377" s="17" t="s">
        <v>6600</v>
      </c>
      <c r="F377" s="18"/>
      <c r="G377" s="18"/>
      <c r="H377" s="15" t="s">
        <v>4597</v>
      </c>
      <c r="I377" s="18"/>
      <c r="J377" s="19" t="s">
        <v>702</v>
      </c>
      <c r="K377" s="19" t="s">
        <v>1431</v>
      </c>
      <c r="L377" s="19" t="s">
        <v>38</v>
      </c>
      <c r="M377" s="20">
        <f t="shared" si="1"/>
        <v>0</v>
      </c>
      <c r="N377" s="22"/>
      <c r="O377" s="19" t="s">
        <v>1145</v>
      </c>
      <c r="P377" s="18"/>
      <c r="Q377" s="18"/>
      <c r="R377" s="23">
        <v>0.0</v>
      </c>
      <c r="S377" s="23">
        <v>0.0</v>
      </c>
      <c r="T377" s="23">
        <f t="shared" si="2"/>
        <v>0</v>
      </c>
      <c r="U377" s="23">
        <f t="shared" si="3"/>
        <v>0</v>
      </c>
      <c r="V377" s="23">
        <f t="shared" si="4"/>
        <v>0</v>
      </c>
      <c r="W377" s="24" t="str">
        <f t="shared" si="5"/>
        <v>#DIV/0!</v>
      </c>
    </row>
    <row r="378" hidden="1">
      <c r="A378" s="15" t="s">
        <v>4598</v>
      </c>
      <c r="B378" s="18"/>
      <c r="C378" s="15" t="s">
        <v>6601</v>
      </c>
      <c r="D378" s="18"/>
      <c r="E378" s="17" t="s">
        <v>6602</v>
      </c>
      <c r="F378" s="18"/>
      <c r="G378" s="18"/>
      <c r="H378" s="15" t="s">
        <v>4602</v>
      </c>
      <c r="I378" s="18"/>
      <c r="J378" s="19" t="s">
        <v>702</v>
      </c>
      <c r="K378" s="19" t="s">
        <v>1269</v>
      </c>
      <c r="L378" s="19" t="s">
        <v>38</v>
      </c>
      <c r="M378" s="20">
        <f t="shared" si="1"/>
        <v>0</v>
      </c>
      <c r="N378" s="22"/>
      <c r="O378" s="19" t="s">
        <v>1145</v>
      </c>
      <c r="P378" s="18"/>
      <c r="Q378" s="18"/>
      <c r="R378" s="23">
        <v>0.0</v>
      </c>
      <c r="S378" s="23">
        <v>0.0</v>
      </c>
      <c r="T378" s="23">
        <f t="shared" si="2"/>
        <v>0</v>
      </c>
      <c r="U378" s="23">
        <f t="shared" si="3"/>
        <v>0</v>
      </c>
      <c r="V378" s="23">
        <f t="shared" si="4"/>
        <v>0</v>
      </c>
      <c r="W378" s="24" t="str">
        <f t="shared" si="5"/>
        <v>#DIV/0!</v>
      </c>
    </row>
    <row r="379" hidden="1">
      <c r="A379" s="15" t="s">
        <v>1479</v>
      </c>
      <c r="B379" s="18"/>
      <c r="C379" s="15" t="s">
        <v>6603</v>
      </c>
      <c r="D379" s="18"/>
      <c r="E379" s="17" t="s">
        <v>6604</v>
      </c>
      <c r="F379" s="18"/>
      <c r="G379" s="18"/>
      <c r="H379" s="15" t="s">
        <v>1481</v>
      </c>
      <c r="I379" s="18"/>
      <c r="J379" s="19" t="s">
        <v>702</v>
      </c>
      <c r="K379" s="19" t="s">
        <v>1444</v>
      </c>
      <c r="L379" s="19" t="s">
        <v>38</v>
      </c>
      <c r="M379" s="20">
        <f t="shared" si="1"/>
        <v>0</v>
      </c>
      <c r="N379" s="22"/>
      <c r="O379" s="19" t="s">
        <v>1145</v>
      </c>
      <c r="P379" s="18"/>
      <c r="Q379" s="18"/>
      <c r="R379" s="23">
        <v>0.0</v>
      </c>
      <c r="S379" s="23">
        <v>0.0</v>
      </c>
      <c r="T379" s="23">
        <f t="shared" si="2"/>
        <v>0</v>
      </c>
      <c r="U379" s="23">
        <f t="shared" si="3"/>
        <v>0</v>
      </c>
      <c r="V379" s="23">
        <f t="shared" si="4"/>
        <v>0</v>
      </c>
      <c r="W379" s="24" t="str">
        <f t="shared" si="5"/>
        <v>#DIV/0!</v>
      </c>
    </row>
    <row r="380" hidden="1">
      <c r="A380" s="15" t="s">
        <v>4603</v>
      </c>
      <c r="B380" s="18"/>
      <c r="C380" s="15" t="s">
        <v>6605</v>
      </c>
      <c r="D380" s="18"/>
      <c r="E380" s="17" t="s">
        <v>6606</v>
      </c>
      <c r="F380" s="18"/>
      <c r="G380" s="18"/>
      <c r="H380" s="15" t="s">
        <v>4607</v>
      </c>
      <c r="I380" s="18"/>
      <c r="J380" s="19" t="s">
        <v>702</v>
      </c>
      <c r="K380" s="19" t="s">
        <v>603</v>
      </c>
      <c r="L380" s="19" t="s">
        <v>38</v>
      </c>
      <c r="M380" s="20">
        <f t="shared" si="1"/>
        <v>0</v>
      </c>
      <c r="N380" s="22"/>
      <c r="O380" s="19" t="s">
        <v>1145</v>
      </c>
      <c r="P380" s="18"/>
      <c r="Q380" s="18"/>
      <c r="R380" s="23">
        <v>0.0</v>
      </c>
      <c r="S380" s="23">
        <v>0.0</v>
      </c>
      <c r="T380" s="23">
        <f t="shared" si="2"/>
        <v>0</v>
      </c>
      <c r="U380" s="23">
        <f t="shared" si="3"/>
        <v>0</v>
      </c>
      <c r="V380" s="23">
        <f t="shared" si="4"/>
        <v>0</v>
      </c>
      <c r="W380" s="24" t="str">
        <f t="shared" si="5"/>
        <v>#DIV/0!</v>
      </c>
    </row>
    <row r="381" hidden="1">
      <c r="A381" s="15" t="s">
        <v>4608</v>
      </c>
      <c r="B381" s="18"/>
      <c r="C381" s="15" t="s">
        <v>6607</v>
      </c>
      <c r="D381" s="18"/>
      <c r="E381" s="17" t="s">
        <v>6608</v>
      </c>
      <c r="F381" s="18"/>
      <c r="G381" s="18"/>
      <c r="H381" s="15" t="s">
        <v>4612</v>
      </c>
      <c r="I381" s="18"/>
      <c r="J381" s="19" t="s">
        <v>702</v>
      </c>
      <c r="K381" s="19" t="s">
        <v>603</v>
      </c>
      <c r="L381" s="19" t="s">
        <v>38</v>
      </c>
      <c r="M381" s="20">
        <f t="shared" si="1"/>
        <v>0</v>
      </c>
      <c r="N381" s="22"/>
      <c r="O381" s="19" t="s">
        <v>1145</v>
      </c>
      <c r="P381" s="18"/>
      <c r="Q381" s="18"/>
      <c r="R381" s="23">
        <v>0.0</v>
      </c>
      <c r="S381" s="23">
        <v>0.0</v>
      </c>
      <c r="T381" s="23">
        <f t="shared" si="2"/>
        <v>0</v>
      </c>
      <c r="U381" s="23">
        <f t="shared" si="3"/>
        <v>0</v>
      </c>
      <c r="V381" s="23">
        <f t="shared" si="4"/>
        <v>0</v>
      </c>
      <c r="W381" s="24" t="str">
        <f t="shared" si="5"/>
        <v>#DIV/0!</v>
      </c>
    </row>
    <row r="382" hidden="1">
      <c r="A382" s="15" t="s">
        <v>4613</v>
      </c>
      <c r="B382" s="18"/>
      <c r="C382" s="15" t="s">
        <v>6609</v>
      </c>
      <c r="D382" s="18"/>
      <c r="E382" s="17" t="s">
        <v>6610</v>
      </c>
      <c r="F382" s="18"/>
      <c r="G382" s="18"/>
      <c r="H382" s="15" t="s">
        <v>4616</v>
      </c>
      <c r="I382" s="18"/>
      <c r="J382" s="19" t="s">
        <v>702</v>
      </c>
      <c r="K382" s="19" t="s">
        <v>1444</v>
      </c>
      <c r="L382" s="19" t="s">
        <v>38</v>
      </c>
      <c r="M382" s="20">
        <f t="shared" si="1"/>
        <v>0</v>
      </c>
      <c r="N382" s="22"/>
      <c r="O382" s="19" t="s">
        <v>1145</v>
      </c>
      <c r="P382" s="18"/>
      <c r="Q382" s="18"/>
      <c r="R382" s="23">
        <v>0.0</v>
      </c>
      <c r="S382" s="23">
        <v>0.0</v>
      </c>
      <c r="T382" s="23">
        <f t="shared" si="2"/>
        <v>0</v>
      </c>
      <c r="U382" s="23">
        <f t="shared" si="3"/>
        <v>0</v>
      </c>
      <c r="V382" s="23">
        <f t="shared" si="4"/>
        <v>0</v>
      </c>
      <c r="W382" s="24" t="str">
        <f t="shared" si="5"/>
        <v>#DIV/0!</v>
      </c>
    </row>
    <row r="383" hidden="1">
      <c r="A383" s="15" t="s">
        <v>4618</v>
      </c>
      <c r="B383" s="18"/>
      <c r="C383" s="15" t="s">
        <v>6611</v>
      </c>
      <c r="D383" s="18"/>
      <c r="E383" s="17" t="s">
        <v>6612</v>
      </c>
      <c r="F383" s="18"/>
      <c r="G383" s="18"/>
      <c r="H383" s="15" t="s">
        <v>4622</v>
      </c>
      <c r="I383" s="18"/>
      <c r="J383" s="19" t="s">
        <v>702</v>
      </c>
      <c r="K383" s="19" t="s">
        <v>1444</v>
      </c>
      <c r="L383" s="19" t="s">
        <v>38</v>
      </c>
      <c r="M383" s="20">
        <f t="shared" si="1"/>
        <v>0</v>
      </c>
      <c r="N383" s="22"/>
      <c r="O383" s="19" t="s">
        <v>1145</v>
      </c>
      <c r="P383" s="18"/>
      <c r="Q383" s="18"/>
      <c r="R383" s="23">
        <v>0.0</v>
      </c>
      <c r="S383" s="23">
        <v>0.0</v>
      </c>
      <c r="T383" s="23">
        <f t="shared" si="2"/>
        <v>0</v>
      </c>
      <c r="U383" s="23">
        <f t="shared" si="3"/>
        <v>0</v>
      </c>
      <c r="V383" s="23">
        <f t="shared" si="4"/>
        <v>0</v>
      </c>
      <c r="W383" s="24" t="str">
        <f t="shared" si="5"/>
        <v>#DIV/0!</v>
      </c>
    </row>
    <row r="384" hidden="1">
      <c r="A384" s="15" t="s">
        <v>4623</v>
      </c>
      <c r="B384" s="15" t="s">
        <v>4536</v>
      </c>
      <c r="C384" s="15" t="s">
        <v>6613</v>
      </c>
      <c r="D384" s="18"/>
      <c r="E384" s="17" t="s">
        <v>6568</v>
      </c>
      <c r="F384" s="18"/>
      <c r="G384" s="18"/>
      <c r="H384" s="15" t="s">
        <v>4625</v>
      </c>
      <c r="I384" s="18"/>
      <c r="J384" s="19" t="s">
        <v>702</v>
      </c>
      <c r="K384" s="19" t="s">
        <v>1431</v>
      </c>
      <c r="L384" s="19" t="s">
        <v>38</v>
      </c>
      <c r="M384" s="20">
        <f t="shared" si="1"/>
        <v>0</v>
      </c>
      <c r="N384" s="22"/>
      <c r="O384" s="19" t="s">
        <v>1145</v>
      </c>
      <c r="P384" s="18"/>
      <c r="Q384" s="18"/>
      <c r="R384" s="23">
        <v>0.0</v>
      </c>
      <c r="S384" s="23">
        <v>0.0</v>
      </c>
      <c r="T384" s="23">
        <f t="shared" si="2"/>
        <v>0</v>
      </c>
      <c r="U384" s="23">
        <f t="shared" si="3"/>
        <v>0</v>
      </c>
      <c r="V384" s="23">
        <f t="shared" si="4"/>
        <v>0</v>
      </c>
      <c r="W384" s="24" t="str">
        <f t="shared" si="5"/>
        <v>#DIV/0!</v>
      </c>
    </row>
    <row r="385" hidden="1">
      <c r="A385" s="15" t="s">
        <v>4626</v>
      </c>
      <c r="B385" s="18"/>
      <c r="C385" s="15" t="s">
        <v>6614</v>
      </c>
      <c r="D385" s="18"/>
      <c r="E385" s="17" t="s">
        <v>6615</v>
      </c>
      <c r="F385" s="18"/>
      <c r="G385" s="18"/>
      <c r="H385" s="15" t="s">
        <v>4628</v>
      </c>
      <c r="I385" s="18"/>
      <c r="J385" s="19" t="s">
        <v>702</v>
      </c>
      <c r="K385" s="19" t="s">
        <v>1269</v>
      </c>
      <c r="L385" s="19" t="s">
        <v>38</v>
      </c>
      <c r="M385" s="20">
        <f t="shared" si="1"/>
        <v>0</v>
      </c>
      <c r="N385" s="22"/>
      <c r="O385" s="19" t="s">
        <v>1145</v>
      </c>
      <c r="P385" s="18"/>
      <c r="Q385" s="18"/>
      <c r="R385" s="23">
        <v>0.0</v>
      </c>
      <c r="S385" s="23">
        <v>0.0</v>
      </c>
      <c r="T385" s="23">
        <f t="shared" si="2"/>
        <v>0</v>
      </c>
      <c r="U385" s="23">
        <f t="shared" si="3"/>
        <v>0</v>
      </c>
      <c r="V385" s="23">
        <f t="shared" si="4"/>
        <v>0</v>
      </c>
      <c r="W385" s="24" t="str">
        <f t="shared" si="5"/>
        <v>#DIV/0!</v>
      </c>
    </row>
    <row r="386" hidden="1">
      <c r="A386" s="15" t="s">
        <v>4629</v>
      </c>
      <c r="B386" s="18"/>
      <c r="C386" s="15" t="s">
        <v>6616</v>
      </c>
      <c r="D386" s="18"/>
      <c r="E386" s="17" t="s">
        <v>6617</v>
      </c>
      <c r="F386" s="18"/>
      <c r="G386" s="18"/>
      <c r="H386" s="15" t="s">
        <v>4631</v>
      </c>
      <c r="I386" s="18"/>
      <c r="J386" s="19" t="s">
        <v>702</v>
      </c>
      <c r="K386" s="19" t="s">
        <v>1269</v>
      </c>
      <c r="L386" s="19" t="s">
        <v>38</v>
      </c>
      <c r="M386" s="20">
        <f t="shared" si="1"/>
        <v>0</v>
      </c>
      <c r="N386" s="22"/>
      <c r="O386" s="19" t="s">
        <v>1145</v>
      </c>
      <c r="P386" s="18"/>
      <c r="Q386" s="18"/>
      <c r="R386" s="23">
        <v>0.0</v>
      </c>
      <c r="S386" s="23">
        <v>0.0</v>
      </c>
      <c r="T386" s="23">
        <f t="shared" si="2"/>
        <v>0</v>
      </c>
      <c r="U386" s="23">
        <f t="shared" si="3"/>
        <v>0</v>
      </c>
      <c r="V386" s="23">
        <f t="shared" si="4"/>
        <v>0</v>
      </c>
      <c r="W386" s="24" t="str">
        <f t="shared" si="5"/>
        <v>#DIV/0!</v>
      </c>
    </row>
    <row r="387" hidden="1">
      <c r="A387" s="15" t="s">
        <v>1482</v>
      </c>
      <c r="B387" s="18"/>
      <c r="C387" s="15" t="s">
        <v>6618</v>
      </c>
      <c r="D387" s="18"/>
      <c r="E387" s="17" t="s">
        <v>1483</v>
      </c>
      <c r="F387" s="18"/>
      <c r="G387" s="18"/>
      <c r="H387" s="15" t="s">
        <v>1484</v>
      </c>
      <c r="I387" s="18"/>
      <c r="J387" s="19" t="s">
        <v>702</v>
      </c>
      <c r="K387" s="19" t="s">
        <v>603</v>
      </c>
      <c r="L387" s="19" t="s">
        <v>38</v>
      </c>
      <c r="M387" s="20">
        <f t="shared" si="1"/>
        <v>0</v>
      </c>
      <c r="N387" s="22"/>
      <c r="O387" s="19" t="s">
        <v>1145</v>
      </c>
      <c r="P387" s="18"/>
      <c r="Q387" s="18"/>
      <c r="R387" s="23">
        <v>0.0</v>
      </c>
      <c r="S387" s="23">
        <v>0.0</v>
      </c>
      <c r="T387" s="23">
        <f t="shared" si="2"/>
        <v>0</v>
      </c>
      <c r="U387" s="23">
        <f t="shared" si="3"/>
        <v>0</v>
      </c>
      <c r="V387" s="23">
        <f t="shared" si="4"/>
        <v>0</v>
      </c>
      <c r="W387" s="24" t="str">
        <f t="shared" si="5"/>
        <v>#DIV/0!</v>
      </c>
    </row>
    <row r="388" hidden="1">
      <c r="A388" s="15" t="s">
        <v>4632</v>
      </c>
      <c r="B388" s="18"/>
      <c r="C388" s="15" t="s">
        <v>6619</v>
      </c>
      <c r="D388" s="18"/>
      <c r="E388" s="17" t="s">
        <v>6620</v>
      </c>
      <c r="F388" s="18"/>
      <c r="G388" s="18"/>
      <c r="H388" s="15" t="s">
        <v>4635</v>
      </c>
      <c r="I388" s="18"/>
      <c r="J388" s="19" t="s">
        <v>702</v>
      </c>
      <c r="K388" s="19" t="s">
        <v>603</v>
      </c>
      <c r="L388" s="19" t="s">
        <v>38</v>
      </c>
      <c r="M388" s="20">
        <f t="shared" si="1"/>
        <v>0</v>
      </c>
      <c r="N388" s="22"/>
      <c r="O388" s="19" t="s">
        <v>1145</v>
      </c>
      <c r="P388" s="18"/>
      <c r="Q388" s="18"/>
      <c r="R388" s="23">
        <v>0.0</v>
      </c>
      <c r="S388" s="23">
        <v>0.0</v>
      </c>
      <c r="T388" s="23">
        <f t="shared" si="2"/>
        <v>0</v>
      </c>
      <c r="U388" s="23">
        <f t="shared" si="3"/>
        <v>0</v>
      </c>
      <c r="V388" s="23">
        <f t="shared" si="4"/>
        <v>0</v>
      </c>
      <c r="W388" s="24" t="str">
        <f t="shared" si="5"/>
        <v>#DIV/0!</v>
      </c>
    </row>
    <row r="389" hidden="1">
      <c r="A389" s="15" t="s">
        <v>4636</v>
      </c>
      <c r="B389" s="18"/>
      <c r="C389" s="15" t="s">
        <v>6621</v>
      </c>
      <c r="D389" s="18"/>
      <c r="E389" s="17" t="s">
        <v>6622</v>
      </c>
      <c r="F389" s="18"/>
      <c r="G389" s="18"/>
      <c r="H389" s="15" t="s">
        <v>4638</v>
      </c>
      <c r="I389" s="18"/>
      <c r="J389" s="19" t="s">
        <v>702</v>
      </c>
      <c r="K389" s="19" t="s">
        <v>1431</v>
      </c>
      <c r="L389" s="19" t="s">
        <v>38</v>
      </c>
      <c r="M389" s="20">
        <f t="shared" si="1"/>
        <v>0</v>
      </c>
      <c r="N389" s="22"/>
      <c r="O389" s="19" t="s">
        <v>1145</v>
      </c>
      <c r="P389" s="18"/>
      <c r="Q389" s="18"/>
      <c r="R389" s="23">
        <v>0.0</v>
      </c>
      <c r="S389" s="23">
        <v>0.0</v>
      </c>
      <c r="T389" s="23">
        <f t="shared" si="2"/>
        <v>0</v>
      </c>
      <c r="U389" s="23">
        <f t="shared" si="3"/>
        <v>0</v>
      </c>
      <c r="V389" s="23">
        <f t="shared" si="4"/>
        <v>0</v>
      </c>
      <c r="W389" s="24" t="str">
        <f t="shared" si="5"/>
        <v>#DIV/0!</v>
      </c>
    </row>
    <row r="390" hidden="1">
      <c r="A390" s="15" t="s">
        <v>4639</v>
      </c>
      <c r="B390" s="18"/>
      <c r="C390" s="15" t="s">
        <v>6623</v>
      </c>
      <c r="D390" s="18"/>
      <c r="E390" s="17" t="s">
        <v>6624</v>
      </c>
      <c r="F390" s="18"/>
      <c r="G390" s="18"/>
      <c r="H390" s="15" t="s">
        <v>6625</v>
      </c>
      <c r="I390" s="18"/>
      <c r="J390" s="19" t="s">
        <v>702</v>
      </c>
      <c r="K390" s="19" t="s">
        <v>1431</v>
      </c>
      <c r="L390" s="19" t="s">
        <v>38</v>
      </c>
      <c r="M390" s="20">
        <f t="shared" si="1"/>
        <v>0</v>
      </c>
      <c r="N390" s="22"/>
      <c r="O390" s="19" t="s">
        <v>1145</v>
      </c>
      <c r="P390" s="18"/>
      <c r="Q390" s="18"/>
      <c r="R390" s="23">
        <v>0.0</v>
      </c>
      <c r="S390" s="23">
        <v>0.0</v>
      </c>
      <c r="T390" s="23">
        <f t="shared" si="2"/>
        <v>0</v>
      </c>
      <c r="U390" s="23">
        <f t="shared" si="3"/>
        <v>0</v>
      </c>
      <c r="V390" s="23">
        <f t="shared" si="4"/>
        <v>0</v>
      </c>
      <c r="W390" s="24" t="str">
        <f t="shared" si="5"/>
        <v>#DIV/0!</v>
      </c>
    </row>
    <row r="391" hidden="1">
      <c r="A391" s="15" t="s">
        <v>4642</v>
      </c>
      <c r="B391" s="18"/>
      <c r="C391" s="15" t="s">
        <v>6626</v>
      </c>
      <c r="D391" s="18"/>
      <c r="E391" s="17" t="s">
        <v>6627</v>
      </c>
      <c r="F391" s="18"/>
      <c r="G391" s="18"/>
      <c r="H391" s="15" t="s">
        <v>1441</v>
      </c>
      <c r="I391" s="18"/>
      <c r="J391" s="19" t="s">
        <v>702</v>
      </c>
      <c r="K391" s="19" t="s">
        <v>1431</v>
      </c>
      <c r="L391" s="19" t="s">
        <v>38</v>
      </c>
      <c r="M391" s="20">
        <f t="shared" si="1"/>
        <v>0</v>
      </c>
      <c r="N391" s="22"/>
      <c r="O391" s="19" t="s">
        <v>1145</v>
      </c>
      <c r="P391" s="18"/>
      <c r="Q391" s="18"/>
      <c r="R391" s="23">
        <v>0.0</v>
      </c>
      <c r="S391" s="23">
        <v>0.0</v>
      </c>
      <c r="T391" s="23">
        <f t="shared" si="2"/>
        <v>0</v>
      </c>
      <c r="U391" s="23">
        <f t="shared" si="3"/>
        <v>0</v>
      </c>
      <c r="V391" s="23">
        <f t="shared" si="4"/>
        <v>0</v>
      </c>
      <c r="W391" s="24" t="str">
        <f t="shared" si="5"/>
        <v>#DIV/0!</v>
      </c>
    </row>
    <row r="392" hidden="1">
      <c r="A392" s="15" t="s">
        <v>1485</v>
      </c>
      <c r="B392" s="18"/>
      <c r="C392" s="15" t="s">
        <v>6628</v>
      </c>
      <c r="D392" s="18"/>
      <c r="E392" s="17" t="s">
        <v>1486</v>
      </c>
      <c r="F392" s="18"/>
      <c r="G392" s="18"/>
      <c r="H392" s="15" t="s">
        <v>1487</v>
      </c>
      <c r="I392" s="18"/>
      <c r="J392" s="19" t="s">
        <v>702</v>
      </c>
      <c r="K392" s="19" t="s">
        <v>1431</v>
      </c>
      <c r="L392" s="19" t="s">
        <v>38</v>
      </c>
      <c r="M392" s="20">
        <f t="shared" si="1"/>
        <v>0</v>
      </c>
      <c r="N392" s="22"/>
      <c r="O392" s="19" t="s">
        <v>1145</v>
      </c>
      <c r="P392" s="18"/>
      <c r="Q392" s="18"/>
      <c r="R392" s="23">
        <v>0.0</v>
      </c>
      <c r="S392" s="23">
        <v>0.0</v>
      </c>
      <c r="T392" s="23">
        <f t="shared" si="2"/>
        <v>0</v>
      </c>
      <c r="U392" s="23">
        <f t="shared" si="3"/>
        <v>0</v>
      </c>
      <c r="V392" s="23">
        <f t="shared" si="4"/>
        <v>0</v>
      </c>
      <c r="W392" s="24" t="str">
        <f t="shared" si="5"/>
        <v>#DIV/0!</v>
      </c>
    </row>
    <row r="393" hidden="1">
      <c r="A393" s="15" t="s">
        <v>1488</v>
      </c>
      <c r="B393" s="18"/>
      <c r="C393" s="15" t="s">
        <v>6629</v>
      </c>
      <c r="D393" s="18"/>
      <c r="E393" s="17" t="s">
        <v>1489</v>
      </c>
      <c r="F393" s="18"/>
      <c r="G393" s="18"/>
      <c r="H393" s="15" t="s">
        <v>1490</v>
      </c>
      <c r="I393" s="18"/>
      <c r="J393" s="19" t="s">
        <v>702</v>
      </c>
      <c r="K393" s="19" t="s">
        <v>603</v>
      </c>
      <c r="L393" s="19" t="s">
        <v>38</v>
      </c>
      <c r="M393" s="20">
        <f t="shared" si="1"/>
        <v>0</v>
      </c>
      <c r="N393" s="22"/>
      <c r="O393" s="19" t="s">
        <v>1145</v>
      </c>
      <c r="P393" s="18"/>
      <c r="Q393" s="18"/>
      <c r="R393" s="23">
        <v>0.0</v>
      </c>
      <c r="S393" s="23">
        <v>0.0</v>
      </c>
      <c r="T393" s="23">
        <f t="shared" si="2"/>
        <v>0</v>
      </c>
      <c r="U393" s="23">
        <f t="shared" si="3"/>
        <v>0</v>
      </c>
      <c r="V393" s="23">
        <f t="shared" si="4"/>
        <v>0</v>
      </c>
      <c r="W393" s="24" t="str">
        <f t="shared" si="5"/>
        <v>#DIV/0!</v>
      </c>
    </row>
    <row r="394" hidden="1">
      <c r="A394" s="15" t="s">
        <v>1491</v>
      </c>
      <c r="B394" s="18"/>
      <c r="C394" s="15" t="s">
        <v>6630</v>
      </c>
      <c r="D394" s="18"/>
      <c r="E394" s="17" t="s">
        <v>1492</v>
      </c>
      <c r="F394" s="18"/>
      <c r="G394" s="18"/>
      <c r="H394" s="15" t="s">
        <v>1493</v>
      </c>
      <c r="I394" s="18"/>
      <c r="J394" s="19" t="s">
        <v>702</v>
      </c>
      <c r="K394" s="19" t="s">
        <v>603</v>
      </c>
      <c r="L394" s="19" t="s">
        <v>38</v>
      </c>
      <c r="M394" s="20">
        <f t="shared" si="1"/>
        <v>0</v>
      </c>
      <c r="N394" s="22"/>
      <c r="O394" s="19" t="s">
        <v>1145</v>
      </c>
      <c r="P394" s="18"/>
      <c r="Q394" s="18"/>
      <c r="R394" s="23">
        <v>0.0</v>
      </c>
      <c r="S394" s="23">
        <v>0.0</v>
      </c>
      <c r="T394" s="23">
        <f t="shared" si="2"/>
        <v>0</v>
      </c>
      <c r="U394" s="23">
        <f t="shared" si="3"/>
        <v>0</v>
      </c>
      <c r="V394" s="23">
        <f t="shared" si="4"/>
        <v>0</v>
      </c>
      <c r="W394" s="24" t="str">
        <f t="shared" si="5"/>
        <v>#DIV/0!</v>
      </c>
    </row>
    <row r="395" hidden="1">
      <c r="A395" s="15" t="s">
        <v>6631</v>
      </c>
      <c r="B395" s="18"/>
      <c r="C395" s="15" t="s">
        <v>6119</v>
      </c>
      <c r="D395" s="18"/>
      <c r="E395" s="17" t="s">
        <v>6632</v>
      </c>
      <c r="F395" s="18"/>
      <c r="G395" s="18"/>
      <c r="H395" s="15" t="s">
        <v>1068</v>
      </c>
      <c r="I395" s="18"/>
      <c r="J395" s="19" t="s">
        <v>104</v>
      </c>
      <c r="K395" s="19" t="s">
        <v>105</v>
      </c>
      <c r="L395" s="19" t="s">
        <v>38</v>
      </c>
      <c r="M395" s="20">
        <f t="shared" si="1"/>
        <v>0</v>
      </c>
      <c r="N395" s="22"/>
      <c r="O395" s="19" t="s">
        <v>1145</v>
      </c>
      <c r="P395" s="18"/>
      <c r="Q395" s="18"/>
      <c r="R395" s="23">
        <v>0.0</v>
      </c>
      <c r="S395" s="23">
        <v>0.0</v>
      </c>
      <c r="T395" s="23">
        <f t="shared" si="2"/>
        <v>0</v>
      </c>
      <c r="U395" s="23">
        <f t="shared" si="3"/>
        <v>0</v>
      </c>
      <c r="V395" s="23">
        <f t="shared" si="4"/>
        <v>0</v>
      </c>
      <c r="W395" s="24" t="str">
        <f t="shared" si="5"/>
        <v>#DIV/0!</v>
      </c>
    </row>
    <row r="396" hidden="1">
      <c r="A396" s="15" t="s">
        <v>1494</v>
      </c>
      <c r="B396" s="18"/>
      <c r="C396" s="15" t="s">
        <v>6633</v>
      </c>
      <c r="D396" s="18"/>
      <c r="E396" s="17" t="s">
        <v>1495</v>
      </c>
      <c r="F396" s="18"/>
      <c r="G396" s="18"/>
      <c r="H396" s="15" t="s">
        <v>1496</v>
      </c>
      <c r="I396" s="18"/>
      <c r="J396" s="19" t="s">
        <v>104</v>
      </c>
      <c r="K396" s="19" t="s">
        <v>105</v>
      </c>
      <c r="L396" s="19" t="s">
        <v>38</v>
      </c>
      <c r="M396" s="20">
        <f t="shared" si="1"/>
        <v>0</v>
      </c>
      <c r="N396" s="22"/>
      <c r="O396" s="19" t="s">
        <v>1145</v>
      </c>
      <c r="P396" s="18"/>
      <c r="Q396" s="18"/>
      <c r="R396" s="23">
        <v>0.0</v>
      </c>
      <c r="S396" s="23">
        <v>0.0</v>
      </c>
      <c r="T396" s="23">
        <f t="shared" si="2"/>
        <v>0</v>
      </c>
      <c r="U396" s="23">
        <f t="shared" si="3"/>
        <v>0</v>
      </c>
      <c r="V396" s="23">
        <f t="shared" si="4"/>
        <v>0</v>
      </c>
      <c r="W396" s="24" t="str">
        <f t="shared" si="5"/>
        <v>#DIV/0!</v>
      </c>
    </row>
    <row r="397" hidden="1">
      <c r="A397" s="15" t="s">
        <v>4645</v>
      </c>
      <c r="B397" s="18"/>
      <c r="C397" s="15" t="s">
        <v>6634</v>
      </c>
      <c r="D397" s="18"/>
      <c r="E397" s="17" t="s">
        <v>4646</v>
      </c>
      <c r="F397" s="18"/>
      <c r="G397" s="18"/>
      <c r="H397" s="15" t="s">
        <v>4647</v>
      </c>
      <c r="I397" s="18"/>
      <c r="J397" s="19" t="s">
        <v>104</v>
      </c>
      <c r="K397" s="19" t="s">
        <v>105</v>
      </c>
      <c r="L397" s="19" t="s">
        <v>38</v>
      </c>
      <c r="M397" s="20">
        <f t="shared" si="1"/>
        <v>0</v>
      </c>
      <c r="N397" s="22"/>
      <c r="O397" s="19" t="s">
        <v>1145</v>
      </c>
      <c r="P397" s="18"/>
      <c r="Q397" s="18"/>
      <c r="R397" s="23">
        <v>0.0</v>
      </c>
      <c r="S397" s="23">
        <v>0.0</v>
      </c>
      <c r="T397" s="23">
        <f t="shared" si="2"/>
        <v>0</v>
      </c>
      <c r="U397" s="23">
        <f t="shared" si="3"/>
        <v>0</v>
      </c>
      <c r="V397" s="23">
        <f t="shared" si="4"/>
        <v>0</v>
      </c>
      <c r="W397" s="24" t="str">
        <f t="shared" si="5"/>
        <v>#DIV/0!</v>
      </c>
    </row>
    <row r="398" hidden="1">
      <c r="A398" s="15" t="s">
        <v>4648</v>
      </c>
      <c r="B398" s="18"/>
      <c r="C398" s="15" t="s">
        <v>6635</v>
      </c>
      <c r="D398" s="18"/>
      <c r="E398" s="17" t="s">
        <v>4649</v>
      </c>
      <c r="F398" s="18"/>
      <c r="G398" s="18"/>
      <c r="H398" s="15" t="s">
        <v>4650</v>
      </c>
      <c r="I398" s="18"/>
      <c r="J398" s="19" t="s">
        <v>104</v>
      </c>
      <c r="K398" s="19" t="s">
        <v>105</v>
      </c>
      <c r="L398" s="19" t="s">
        <v>38</v>
      </c>
      <c r="M398" s="20">
        <f t="shared" si="1"/>
        <v>0</v>
      </c>
      <c r="N398" s="22"/>
      <c r="O398" s="19" t="s">
        <v>1145</v>
      </c>
      <c r="P398" s="18"/>
      <c r="Q398" s="18"/>
      <c r="R398" s="23">
        <v>0.0</v>
      </c>
      <c r="S398" s="23">
        <v>0.0</v>
      </c>
      <c r="T398" s="23">
        <f t="shared" si="2"/>
        <v>0</v>
      </c>
      <c r="U398" s="23">
        <f t="shared" si="3"/>
        <v>0</v>
      </c>
      <c r="V398" s="23">
        <f t="shared" si="4"/>
        <v>0</v>
      </c>
      <c r="W398" s="24" t="str">
        <f t="shared" si="5"/>
        <v>#DIV/0!</v>
      </c>
    </row>
    <row r="399" hidden="1">
      <c r="A399" s="15" t="s">
        <v>1497</v>
      </c>
      <c r="B399" s="18"/>
      <c r="C399" s="15" t="s">
        <v>6636</v>
      </c>
      <c r="D399" s="18"/>
      <c r="E399" s="17" t="s">
        <v>1498</v>
      </c>
      <c r="F399" s="18"/>
      <c r="G399" s="18"/>
      <c r="H399" s="15" t="s">
        <v>1499</v>
      </c>
      <c r="I399" s="18"/>
      <c r="J399" s="19" t="s">
        <v>104</v>
      </c>
      <c r="K399" s="19" t="s">
        <v>105</v>
      </c>
      <c r="L399" s="19" t="s">
        <v>38</v>
      </c>
      <c r="M399" s="20">
        <f t="shared" si="1"/>
        <v>0</v>
      </c>
      <c r="N399" s="22"/>
      <c r="O399" s="19" t="s">
        <v>1145</v>
      </c>
      <c r="P399" s="18"/>
      <c r="Q399" s="18"/>
      <c r="R399" s="23">
        <v>0.0</v>
      </c>
      <c r="S399" s="23">
        <v>0.0</v>
      </c>
      <c r="T399" s="23">
        <f t="shared" si="2"/>
        <v>0</v>
      </c>
      <c r="U399" s="23">
        <f t="shared" si="3"/>
        <v>0</v>
      </c>
      <c r="V399" s="23">
        <f t="shared" si="4"/>
        <v>0</v>
      </c>
      <c r="W399" s="24" t="str">
        <f t="shared" si="5"/>
        <v>#DIV/0!</v>
      </c>
    </row>
    <row r="400" hidden="1">
      <c r="A400" s="15" t="s">
        <v>1500</v>
      </c>
      <c r="B400" s="18"/>
      <c r="C400" s="15" t="s">
        <v>6637</v>
      </c>
      <c r="D400" s="18"/>
      <c r="E400" s="17" t="s">
        <v>1501</v>
      </c>
      <c r="F400" s="18"/>
      <c r="G400" s="18"/>
      <c r="H400" s="15" t="s">
        <v>1502</v>
      </c>
      <c r="I400" s="18"/>
      <c r="J400" s="19" t="s">
        <v>104</v>
      </c>
      <c r="K400" s="19" t="s">
        <v>105</v>
      </c>
      <c r="L400" s="19" t="s">
        <v>38</v>
      </c>
      <c r="M400" s="20">
        <f t="shared" si="1"/>
        <v>0</v>
      </c>
      <c r="N400" s="22"/>
      <c r="O400" s="19" t="s">
        <v>1145</v>
      </c>
      <c r="P400" s="18"/>
      <c r="Q400" s="18"/>
      <c r="R400" s="23">
        <v>0.0</v>
      </c>
      <c r="S400" s="23">
        <v>0.0</v>
      </c>
      <c r="T400" s="23">
        <f t="shared" si="2"/>
        <v>0</v>
      </c>
      <c r="U400" s="23">
        <f t="shared" si="3"/>
        <v>0</v>
      </c>
      <c r="V400" s="23">
        <f t="shared" si="4"/>
        <v>0</v>
      </c>
      <c r="W400" s="24" t="str">
        <f t="shared" si="5"/>
        <v>#DIV/0!</v>
      </c>
    </row>
    <row r="401" hidden="1">
      <c r="A401" s="15" t="s">
        <v>4651</v>
      </c>
      <c r="B401" s="15" t="s">
        <v>4652</v>
      </c>
      <c r="C401" s="15" t="s">
        <v>6638</v>
      </c>
      <c r="D401" s="18"/>
      <c r="E401" s="17" t="s">
        <v>6639</v>
      </c>
      <c r="F401" s="18"/>
      <c r="G401" s="18"/>
      <c r="H401" s="15" t="s">
        <v>3017</v>
      </c>
      <c r="I401" s="18"/>
      <c r="J401" s="19" t="s">
        <v>104</v>
      </c>
      <c r="K401" s="19" t="s">
        <v>105</v>
      </c>
      <c r="L401" s="19" t="s">
        <v>38</v>
      </c>
      <c r="M401" s="20">
        <f t="shared" si="1"/>
        <v>0</v>
      </c>
      <c r="N401" s="22"/>
      <c r="O401" s="19" t="s">
        <v>1145</v>
      </c>
      <c r="P401" s="18"/>
      <c r="Q401" s="18"/>
      <c r="R401" s="23">
        <v>0.0</v>
      </c>
      <c r="S401" s="23">
        <v>0.0</v>
      </c>
      <c r="T401" s="23">
        <f t="shared" si="2"/>
        <v>0</v>
      </c>
      <c r="U401" s="23">
        <f t="shared" si="3"/>
        <v>0</v>
      </c>
      <c r="V401" s="23">
        <f t="shared" si="4"/>
        <v>0</v>
      </c>
      <c r="W401" s="24" t="str">
        <f t="shared" si="5"/>
        <v>#DIV/0!</v>
      </c>
    </row>
    <row r="402" hidden="1">
      <c r="A402" s="15" t="s">
        <v>6640</v>
      </c>
      <c r="B402" s="18"/>
      <c r="C402" s="15" t="s">
        <v>6641</v>
      </c>
      <c r="D402" s="18"/>
      <c r="E402" s="17" t="s">
        <v>1007</v>
      </c>
      <c r="F402" s="18"/>
      <c r="G402" s="18"/>
      <c r="H402" s="15" t="s">
        <v>3017</v>
      </c>
      <c r="I402" s="18"/>
      <c r="J402" s="19" t="s">
        <v>104</v>
      </c>
      <c r="K402" s="19" t="s">
        <v>105</v>
      </c>
      <c r="L402" s="19" t="s">
        <v>38</v>
      </c>
      <c r="M402" s="20">
        <f t="shared" si="1"/>
        <v>0</v>
      </c>
      <c r="N402" s="22"/>
      <c r="O402" s="19" t="s">
        <v>1145</v>
      </c>
      <c r="P402" s="18"/>
      <c r="Q402" s="18"/>
      <c r="R402" s="23">
        <v>0.0</v>
      </c>
      <c r="S402" s="23">
        <v>0.0</v>
      </c>
      <c r="T402" s="23">
        <f t="shared" si="2"/>
        <v>0</v>
      </c>
      <c r="U402" s="23">
        <f t="shared" si="3"/>
        <v>0</v>
      </c>
      <c r="V402" s="23">
        <f t="shared" si="4"/>
        <v>0</v>
      </c>
      <c r="W402" s="24" t="str">
        <f t="shared" si="5"/>
        <v>#DIV/0!</v>
      </c>
    </row>
    <row r="403">
      <c r="A403" s="15" t="s">
        <v>3579</v>
      </c>
      <c r="B403" s="18"/>
      <c r="C403" s="15" t="s">
        <v>6139</v>
      </c>
      <c r="D403" s="15" t="s">
        <v>3580</v>
      </c>
      <c r="E403" s="17" t="s">
        <v>3581</v>
      </c>
      <c r="F403" s="18"/>
      <c r="G403" s="18"/>
      <c r="H403" s="15" t="s">
        <v>3582</v>
      </c>
      <c r="I403" s="18"/>
      <c r="J403" s="19" t="s">
        <v>283</v>
      </c>
      <c r="K403" s="19" t="s">
        <v>402</v>
      </c>
      <c r="L403" s="19" t="s">
        <v>38</v>
      </c>
      <c r="M403" s="20">
        <f t="shared" si="1"/>
        <v>0</v>
      </c>
      <c r="N403" s="22"/>
      <c r="O403" s="19" t="s">
        <v>3578</v>
      </c>
      <c r="P403" s="18"/>
      <c r="Q403" s="18"/>
      <c r="R403" s="23">
        <v>0.0</v>
      </c>
      <c r="S403" s="23">
        <v>0.0</v>
      </c>
      <c r="T403" s="23">
        <f t="shared" si="2"/>
        <v>0</v>
      </c>
      <c r="U403" s="23">
        <f t="shared" si="3"/>
        <v>0</v>
      </c>
      <c r="V403" s="23">
        <f t="shared" si="4"/>
        <v>0</v>
      </c>
      <c r="W403" s="24" t="str">
        <f t="shared" si="5"/>
        <v>#DIV/0!</v>
      </c>
    </row>
    <row r="404">
      <c r="A404" s="15" t="s">
        <v>3583</v>
      </c>
      <c r="B404" s="18"/>
      <c r="C404" s="15" t="s">
        <v>6140</v>
      </c>
      <c r="D404" s="15" t="s">
        <v>3584</v>
      </c>
      <c r="E404" s="17" t="s">
        <v>3585</v>
      </c>
      <c r="F404" s="18"/>
      <c r="G404" s="18"/>
      <c r="H404" s="15" t="s">
        <v>3586</v>
      </c>
      <c r="I404" s="18"/>
      <c r="J404" s="19" t="s">
        <v>283</v>
      </c>
      <c r="K404" s="19" t="s">
        <v>105</v>
      </c>
      <c r="L404" s="19" t="s">
        <v>38</v>
      </c>
      <c r="M404" s="20">
        <f t="shared" si="1"/>
        <v>0</v>
      </c>
      <c r="N404" s="22"/>
      <c r="O404" s="19" t="s">
        <v>3578</v>
      </c>
      <c r="P404" s="18"/>
      <c r="Q404" s="18"/>
      <c r="R404" s="23">
        <v>0.0</v>
      </c>
      <c r="S404" s="23">
        <v>0.0</v>
      </c>
      <c r="T404" s="23">
        <f t="shared" si="2"/>
        <v>0</v>
      </c>
      <c r="U404" s="23">
        <f t="shared" si="3"/>
        <v>0</v>
      </c>
      <c r="V404" s="23">
        <f t="shared" si="4"/>
        <v>0</v>
      </c>
      <c r="W404" s="24" t="str">
        <f t="shared" si="5"/>
        <v>#DIV/0!</v>
      </c>
    </row>
    <row r="405" hidden="1">
      <c r="A405" s="15" t="s">
        <v>1503</v>
      </c>
      <c r="B405" s="18"/>
      <c r="C405" s="15" t="s">
        <v>6642</v>
      </c>
      <c r="D405" s="18"/>
      <c r="E405" s="17" t="s">
        <v>1504</v>
      </c>
      <c r="F405" s="18"/>
      <c r="G405" s="18"/>
      <c r="H405" s="15" t="s">
        <v>1505</v>
      </c>
      <c r="I405" s="18"/>
      <c r="J405" s="19" t="s">
        <v>104</v>
      </c>
      <c r="K405" s="19" t="s">
        <v>105</v>
      </c>
      <c r="L405" s="19" t="s">
        <v>38</v>
      </c>
      <c r="M405" s="20">
        <f t="shared" si="1"/>
        <v>0</v>
      </c>
      <c r="N405" s="22"/>
      <c r="O405" s="19" t="s">
        <v>1145</v>
      </c>
      <c r="P405" s="18"/>
      <c r="Q405" s="18"/>
      <c r="R405" s="23">
        <v>0.0</v>
      </c>
      <c r="S405" s="23">
        <v>0.0</v>
      </c>
      <c r="T405" s="23">
        <f t="shared" si="2"/>
        <v>0</v>
      </c>
      <c r="U405" s="23">
        <f t="shared" si="3"/>
        <v>0</v>
      </c>
      <c r="V405" s="23">
        <f t="shared" si="4"/>
        <v>0</v>
      </c>
      <c r="W405" s="24" t="str">
        <f t="shared" si="5"/>
        <v>#DIV/0!</v>
      </c>
    </row>
    <row r="406" hidden="1">
      <c r="A406" s="15" t="s">
        <v>1506</v>
      </c>
      <c r="B406" s="18"/>
      <c r="C406" s="15" t="s">
        <v>6643</v>
      </c>
      <c r="D406" s="18"/>
      <c r="E406" s="17" t="s">
        <v>1507</v>
      </c>
      <c r="F406" s="18"/>
      <c r="G406" s="18"/>
      <c r="H406" s="15" t="s">
        <v>1508</v>
      </c>
      <c r="I406" s="18"/>
      <c r="J406" s="19" t="s">
        <v>104</v>
      </c>
      <c r="K406" s="19" t="s">
        <v>105</v>
      </c>
      <c r="L406" s="19" t="s">
        <v>38</v>
      </c>
      <c r="M406" s="20">
        <f t="shared" si="1"/>
        <v>0</v>
      </c>
      <c r="N406" s="22"/>
      <c r="O406" s="19" t="s">
        <v>1145</v>
      </c>
      <c r="P406" s="18"/>
      <c r="Q406" s="18"/>
      <c r="R406" s="23">
        <v>0.0</v>
      </c>
      <c r="S406" s="23">
        <v>0.0</v>
      </c>
      <c r="T406" s="23">
        <f t="shared" si="2"/>
        <v>0</v>
      </c>
      <c r="U406" s="23">
        <f t="shared" si="3"/>
        <v>0</v>
      </c>
      <c r="V406" s="23">
        <f t="shared" si="4"/>
        <v>0</v>
      </c>
      <c r="W406" s="24" t="str">
        <f t="shared" si="5"/>
        <v>#DIV/0!</v>
      </c>
    </row>
    <row r="407" hidden="1">
      <c r="A407" s="15" t="s">
        <v>1509</v>
      </c>
      <c r="B407" s="15" t="s">
        <v>1510</v>
      </c>
      <c r="C407" s="15" t="s">
        <v>6644</v>
      </c>
      <c r="D407" s="18"/>
      <c r="E407" s="17" t="s">
        <v>1511</v>
      </c>
      <c r="F407" s="18"/>
      <c r="G407" s="18"/>
      <c r="H407" s="15" t="s">
        <v>1512</v>
      </c>
      <c r="I407" s="18"/>
      <c r="J407" s="19" t="s">
        <v>104</v>
      </c>
      <c r="K407" s="19" t="s">
        <v>105</v>
      </c>
      <c r="L407" s="19" t="s">
        <v>38</v>
      </c>
      <c r="M407" s="20">
        <f t="shared" si="1"/>
        <v>0</v>
      </c>
      <c r="N407" s="22"/>
      <c r="O407" s="19" t="s">
        <v>1145</v>
      </c>
      <c r="P407" s="18"/>
      <c r="Q407" s="18"/>
      <c r="R407" s="23">
        <v>0.0</v>
      </c>
      <c r="S407" s="23">
        <v>0.0</v>
      </c>
      <c r="T407" s="23">
        <f t="shared" si="2"/>
        <v>0</v>
      </c>
      <c r="U407" s="23">
        <f t="shared" si="3"/>
        <v>0</v>
      </c>
      <c r="V407" s="23">
        <f t="shared" si="4"/>
        <v>0</v>
      </c>
      <c r="W407" s="24" t="str">
        <f t="shared" si="5"/>
        <v>#DIV/0!</v>
      </c>
    </row>
    <row r="408" hidden="1">
      <c r="A408" s="15" t="s">
        <v>1513</v>
      </c>
      <c r="B408" s="15" t="s">
        <v>1514</v>
      </c>
      <c r="C408" s="15" t="s">
        <v>6645</v>
      </c>
      <c r="D408" s="18"/>
      <c r="E408" s="17" t="s">
        <v>1515</v>
      </c>
      <c r="F408" s="18"/>
      <c r="G408" s="18"/>
      <c r="H408" s="15" t="s">
        <v>1516</v>
      </c>
      <c r="I408" s="18"/>
      <c r="J408" s="19" t="s">
        <v>104</v>
      </c>
      <c r="K408" s="19" t="s">
        <v>105</v>
      </c>
      <c r="L408" s="19" t="s">
        <v>38</v>
      </c>
      <c r="M408" s="20">
        <f t="shared" si="1"/>
        <v>0</v>
      </c>
      <c r="N408" s="22"/>
      <c r="O408" s="19" t="s">
        <v>1145</v>
      </c>
      <c r="P408" s="18"/>
      <c r="Q408" s="18"/>
      <c r="R408" s="23">
        <v>0.0</v>
      </c>
      <c r="S408" s="23">
        <v>0.0</v>
      </c>
      <c r="T408" s="23">
        <f t="shared" si="2"/>
        <v>0</v>
      </c>
      <c r="U408" s="23">
        <f t="shared" si="3"/>
        <v>0</v>
      </c>
      <c r="V408" s="23">
        <f t="shared" si="4"/>
        <v>0</v>
      </c>
      <c r="W408" s="24" t="str">
        <f t="shared" si="5"/>
        <v>#DIV/0!</v>
      </c>
    </row>
    <row r="409" hidden="1">
      <c r="A409" s="15" t="s">
        <v>1517</v>
      </c>
      <c r="B409" s="15" t="s">
        <v>1518</v>
      </c>
      <c r="C409" s="15" t="s">
        <v>6646</v>
      </c>
      <c r="D409" s="18"/>
      <c r="E409" s="17" t="s">
        <v>1519</v>
      </c>
      <c r="F409" s="18"/>
      <c r="G409" s="18"/>
      <c r="H409" s="15" t="s">
        <v>1520</v>
      </c>
      <c r="I409" s="18"/>
      <c r="J409" s="19" t="s">
        <v>104</v>
      </c>
      <c r="K409" s="19" t="s">
        <v>105</v>
      </c>
      <c r="L409" s="19" t="s">
        <v>38</v>
      </c>
      <c r="M409" s="20">
        <f t="shared" si="1"/>
        <v>0</v>
      </c>
      <c r="N409" s="22"/>
      <c r="O409" s="19" t="s">
        <v>1145</v>
      </c>
      <c r="P409" s="18"/>
      <c r="Q409" s="18"/>
      <c r="R409" s="23">
        <v>0.0</v>
      </c>
      <c r="S409" s="23">
        <v>0.0</v>
      </c>
      <c r="T409" s="23">
        <f t="shared" si="2"/>
        <v>0</v>
      </c>
      <c r="U409" s="23">
        <f t="shared" si="3"/>
        <v>0</v>
      </c>
      <c r="V409" s="23">
        <f t="shared" si="4"/>
        <v>0</v>
      </c>
      <c r="W409" s="24" t="str">
        <f t="shared" si="5"/>
        <v>#DIV/0!</v>
      </c>
    </row>
    <row r="410" hidden="1">
      <c r="A410" s="15" t="s">
        <v>1521</v>
      </c>
      <c r="B410" s="15" t="s">
        <v>1522</v>
      </c>
      <c r="C410" s="15" t="s">
        <v>6647</v>
      </c>
      <c r="D410" s="18"/>
      <c r="E410" s="17" t="s">
        <v>1523</v>
      </c>
      <c r="F410" s="18"/>
      <c r="G410" s="18"/>
      <c r="H410" s="15" t="s">
        <v>1524</v>
      </c>
      <c r="I410" s="18"/>
      <c r="J410" s="19" t="s">
        <v>104</v>
      </c>
      <c r="K410" s="19" t="s">
        <v>105</v>
      </c>
      <c r="L410" s="19" t="s">
        <v>38</v>
      </c>
      <c r="M410" s="20">
        <f t="shared" si="1"/>
        <v>0</v>
      </c>
      <c r="N410" s="22"/>
      <c r="O410" s="19" t="s">
        <v>1145</v>
      </c>
      <c r="P410" s="18"/>
      <c r="Q410" s="18"/>
      <c r="R410" s="23">
        <v>0.0</v>
      </c>
      <c r="S410" s="23">
        <v>0.0</v>
      </c>
      <c r="T410" s="23">
        <f t="shared" si="2"/>
        <v>0</v>
      </c>
      <c r="U410" s="23">
        <f t="shared" si="3"/>
        <v>0</v>
      </c>
      <c r="V410" s="23">
        <f t="shared" si="4"/>
        <v>0</v>
      </c>
      <c r="W410" s="24" t="str">
        <f t="shared" si="5"/>
        <v>#DIV/0!</v>
      </c>
    </row>
    <row r="411" hidden="1">
      <c r="A411" s="15" t="s">
        <v>1525</v>
      </c>
      <c r="B411" s="15" t="s">
        <v>1526</v>
      </c>
      <c r="C411" s="15" t="s">
        <v>6648</v>
      </c>
      <c r="D411" s="18"/>
      <c r="E411" s="17" t="s">
        <v>1527</v>
      </c>
      <c r="F411" s="18"/>
      <c r="G411" s="18"/>
      <c r="H411" s="15" t="s">
        <v>1528</v>
      </c>
      <c r="I411" s="18"/>
      <c r="J411" s="19" t="s">
        <v>104</v>
      </c>
      <c r="K411" s="19" t="s">
        <v>105</v>
      </c>
      <c r="L411" s="19" t="s">
        <v>38</v>
      </c>
      <c r="M411" s="20">
        <f t="shared" si="1"/>
        <v>0</v>
      </c>
      <c r="N411" s="22"/>
      <c r="O411" s="19" t="s">
        <v>1145</v>
      </c>
      <c r="P411" s="18"/>
      <c r="Q411" s="18"/>
      <c r="R411" s="23">
        <v>0.0</v>
      </c>
      <c r="S411" s="23">
        <v>0.0</v>
      </c>
      <c r="T411" s="23">
        <f t="shared" si="2"/>
        <v>0</v>
      </c>
      <c r="U411" s="23">
        <f t="shared" si="3"/>
        <v>0</v>
      </c>
      <c r="V411" s="23">
        <f t="shared" si="4"/>
        <v>0</v>
      </c>
      <c r="W411" s="24" t="str">
        <f t="shared" si="5"/>
        <v>#DIV/0!</v>
      </c>
    </row>
    <row r="412" hidden="1">
      <c r="A412" s="15" t="s">
        <v>1529</v>
      </c>
      <c r="B412" s="15" t="s">
        <v>1530</v>
      </c>
      <c r="C412" s="15" t="s">
        <v>6649</v>
      </c>
      <c r="D412" s="18"/>
      <c r="E412" s="17" t="s">
        <v>1531</v>
      </c>
      <c r="F412" s="18"/>
      <c r="G412" s="18"/>
      <c r="H412" s="15" t="s">
        <v>1532</v>
      </c>
      <c r="I412" s="18"/>
      <c r="J412" s="19" t="s">
        <v>104</v>
      </c>
      <c r="K412" s="19" t="s">
        <v>105</v>
      </c>
      <c r="L412" s="19" t="s">
        <v>38</v>
      </c>
      <c r="M412" s="20">
        <f t="shared" si="1"/>
        <v>0</v>
      </c>
      <c r="N412" s="22"/>
      <c r="O412" s="19" t="s">
        <v>1145</v>
      </c>
      <c r="P412" s="18"/>
      <c r="Q412" s="18"/>
      <c r="R412" s="23">
        <v>0.0</v>
      </c>
      <c r="S412" s="23">
        <v>0.0</v>
      </c>
      <c r="T412" s="23">
        <f t="shared" si="2"/>
        <v>0</v>
      </c>
      <c r="U412" s="23">
        <f t="shared" si="3"/>
        <v>0</v>
      </c>
      <c r="V412" s="23">
        <f t="shared" si="4"/>
        <v>0</v>
      </c>
      <c r="W412" s="24" t="str">
        <f t="shared" si="5"/>
        <v>#DIV/0!</v>
      </c>
    </row>
    <row r="413" hidden="1">
      <c r="A413" s="15" t="s">
        <v>1533</v>
      </c>
      <c r="B413" s="18"/>
      <c r="C413" s="15" t="s">
        <v>6650</v>
      </c>
      <c r="D413" s="18"/>
      <c r="E413" s="17" t="s">
        <v>1534</v>
      </c>
      <c r="F413" s="18"/>
      <c r="G413" s="18"/>
      <c r="H413" s="15" t="s">
        <v>1535</v>
      </c>
      <c r="I413" s="18"/>
      <c r="J413" s="19" t="s">
        <v>104</v>
      </c>
      <c r="K413" s="19" t="s">
        <v>105</v>
      </c>
      <c r="L413" s="19" t="s">
        <v>38</v>
      </c>
      <c r="M413" s="20">
        <f t="shared" si="1"/>
        <v>0</v>
      </c>
      <c r="N413" s="22"/>
      <c r="O413" s="19" t="s">
        <v>1145</v>
      </c>
      <c r="P413" s="18"/>
      <c r="Q413" s="18"/>
      <c r="R413" s="23">
        <v>0.0</v>
      </c>
      <c r="S413" s="23">
        <v>0.0</v>
      </c>
      <c r="T413" s="23">
        <f t="shared" si="2"/>
        <v>0</v>
      </c>
      <c r="U413" s="23">
        <f t="shared" si="3"/>
        <v>0</v>
      </c>
      <c r="V413" s="23">
        <f t="shared" si="4"/>
        <v>0</v>
      </c>
      <c r="W413" s="24" t="str">
        <f t="shared" si="5"/>
        <v>#DIV/0!</v>
      </c>
    </row>
    <row r="414" hidden="1">
      <c r="A414" s="15" t="s">
        <v>4655</v>
      </c>
      <c r="B414" s="18"/>
      <c r="C414" s="15" t="s">
        <v>6651</v>
      </c>
      <c r="D414" s="18"/>
      <c r="E414" s="17" t="s">
        <v>6652</v>
      </c>
      <c r="F414" s="18"/>
      <c r="G414" s="18"/>
      <c r="H414" s="15" t="s">
        <v>4659</v>
      </c>
      <c r="I414" s="18"/>
      <c r="J414" s="19" t="s">
        <v>104</v>
      </c>
      <c r="K414" s="19" t="s">
        <v>1269</v>
      </c>
      <c r="L414" s="19" t="s">
        <v>38</v>
      </c>
      <c r="M414" s="20">
        <f t="shared" si="1"/>
        <v>0</v>
      </c>
      <c r="N414" s="22"/>
      <c r="O414" s="19" t="s">
        <v>1145</v>
      </c>
      <c r="P414" s="18"/>
      <c r="Q414" s="18"/>
      <c r="R414" s="23">
        <v>0.0</v>
      </c>
      <c r="S414" s="23">
        <v>0.0</v>
      </c>
      <c r="T414" s="23">
        <f t="shared" si="2"/>
        <v>0</v>
      </c>
      <c r="U414" s="23">
        <f t="shared" si="3"/>
        <v>0</v>
      </c>
      <c r="V414" s="23">
        <f t="shared" si="4"/>
        <v>0</v>
      </c>
      <c r="W414" s="24" t="str">
        <f t="shared" si="5"/>
        <v>#DIV/0!</v>
      </c>
    </row>
    <row r="415" hidden="1">
      <c r="A415" s="15" t="s">
        <v>4660</v>
      </c>
      <c r="B415" s="15" t="s">
        <v>4661</v>
      </c>
      <c r="C415" s="15" t="s">
        <v>6653</v>
      </c>
      <c r="D415" s="18"/>
      <c r="E415" s="17" t="s">
        <v>6654</v>
      </c>
      <c r="F415" s="18"/>
      <c r="G415" s="18"/>
      <c r="H415" s="15" t="s">
        <v>4663</v>
      </c>
      <c r="I415" s="18"/>
      <c r="J415" s="19" t="s">
        <v>104</v>
      </c>
      <c r="K415" s="19" t="s">
        <v>402</v>
      </c>
      <c r="L415" s="19" t="s">
        <v>38</v>
      </c>
      <c r="M415" s="20">
        <f t="shared" si="1"/>
        <v>0</v>
      </c>
      <c r="N415" s="22"/>
      <c r="O415" s="19" t="s">
        <v>39</v>
      </c>
      <c r="P415" s="18"/>
      <c r="Q415" s="18"/>
      <c r="R415" s="23">
        <v>0.0</v>
      </c>
      <c r="S415" s="23">
        <v>0.0</v>
      </c>
      <c r="T415" s="23">
        <f t="shared" si="2"/>
        <v>0</v>
      </c>
      <c r="U415" s="23">
        <f t="shared" si="3"/>
        <v>0</v>
      </c>
      <c r="V415" s="23">
        <f t="shared" si="4"/>
        <v>0</v>
      </c>
      <c r="W415" s="24" t="str">
        <f t="shared" si="5"/>
        <v>#DIV/0!</v>
      </c>
    </row>
    <row r="416">
      <c r="A416" s="15" t="s">
        <v>3587</v>
      </c>
      <c r="B416" s="18"/>
      <c r="C416" s="15" t="s">
        <v>6141</v>
      </c>
      <c r="D416" s="15" t="s">
        <v>3588</v>
      </c>
      <c r="E416" s="17" t="s">
        <v>3589</v>
      </c>
      <c r="F416" s="18"/>
      <c r="G416" s="18"/>
      <c r="H416" s="15" t="s">
        <v>3590</v>
      </c>
      <c r="I416" s="18"/>
      <c r="J416" s="19" t="s">
        <v>283</v>
      </c>
      <c r="K416" s="19" t="s">
        <v>402</v>
      </c>
      <c r="L416" s="19" t="s">
        <v>38</v>
      </c>
      <c r="M416" s="20">
        <f t="shared" si="1"/>
        <v>0</v>
      </c>
      <c r="N416" s="22"/>
      <c r="O416" s="19" t="s">
        <v>3578</v>
      </c>
      <c r="P416" s="18"/>
      <c r="Q416" s="18"/>
      <c r="R416" s="23">
        <v>0.0</v>
      </c>
      <c r="S416" s="23">
        <v>0.0</v>
      </c>
      <c r="T416" s="23">
        <f t="shared" si="2"/>
        <v>0</v>
      </c>
      <c r="U416" s="23">
        <f t="shared" si="3"/>
        <v>0</v>
      </c>
      <c r="V416" s="23">
        <f t="shared" si="4"/>
        <v>0</v>
      </c>
      <c r="W416" s="24" t="str">
        <f t="shared" si="5"/>
        <v>#DIV/0!</v>
      </c>
    </row>
    <row r="417" hidden="1">
      <c r="A417" s="15" t="s">
        <v>1536</v>
      </c>
      <c r="B417" s="18"/>
      <c r="C417" s="15" t="s">
        <v>6656</v>
      </c>
      <c r="D417" s="18"/>
      <c r="E417" s="17" t="s">
        <v>1537</v>
      </c>
      <c r="F417" s="18"/>
      <c r="G417" s="18"/>
      <c r="H417" s="18"/>
      <c r="I417" s="18"/>
      <c r="J417" s="19" t="s">
        <v>104</v>
      </c>
      <c r="K417" s="19" t="s">
        <v>105</v>
      </c>
      <c r="L417" s="19" t="s">
        <v>38</v>
      </c>
      <c r="M417" s="20">
        <f t="shared" si="1"/>
        <v>0</v>
      </c>
      <c r="N417" s="22"/>
      <c r="O417" s="19" t="s">
        <v>1145</v>
      </c>
      <c r="P417" s="18"/>
      <c r="Q417" s="18"/>
      <c r="R417" s="23">
        <v>0.0</v>
      </c>
      <c r="S417" s="23">
        <v>0.0</v>
      </c>
      <c r="T417" s="23">
        <f t="shared" si="2"/>
        <v>0</v>
      </c>
      <c r="U417" s="23">
        <f t="shared" si="3"/>
        <v>0</v>
      </c>
      <c r="V417" s="23">
        <f t="shared" si="4"/>
        <v>0</v>
      </c>
      <c r="W417" s="24" t="str">
        <f t="shared" si="5"/>
        <v>#DIV/0!</v>
      </c>
    </row>
    <row r="418" hidden="1">
      <c r="A418" s="15" t="s">
        <v>1538</v>
      </c>
      <c r="B418" s="18"/>
      <c r="C418" s="15" t="s">
        <v>6657</v>
      </c>
      <c r="D418" s="18"/>
      <c r="E418" s="17" t="s">
        <v>1539</v>
      </c>
      <c r="F418" s="18"/>
      <c r="G418" s="18"/>
      <c r="H418" s="15" t="s">
        <v>1540</v>
      </c>
      <c r="I418" s="18"/>
      <c r="J418" s="19" t="s">
        <v>104</v>
      </c>
      <c r="K418" s="19" t="s">
        <v>105</v>
      </c>
      <c r="L418" s="19" t="s">
        <v>38</v>
      </c>
      <c r="M418" s="20">
        <f t="shared" si="1"/>
        <v>0</v>
      </c>
      <c r="N418" s="22"/>
      <c r="O418" s="19" t="s">
        <v>1145</v>
      </c>
      <c r="P418" s="18"/>
      <c r="Q418" s="18"/>
      <c r="R418" s="23">
        <v>0.0</v>
      </c>
      <c r="S418" s="23">
        <v>0.0</v>
      </c>
      <c r="T418" s="23">
        <f t="shared" si="2"/>
        <v>0</v>
      </c>
      <c r="U418" s="23">
        <f t="shared" si="3"/>
        <v>0</v>
      </c>
      <c r="V418" s="23">
        <f t="shared" si="4"/>
        <v>0</v>
      </c>
      <c r="W418" s="24" t="str">
        <f t="shared" si="5"/>
        <v>#DIV/0!</v>
      </c>
    </row>
    <row r="419" hidden="1">
      <c r="A419" s="15" t="s">
        <v>4664</v>
      </c>
      <c r="B419" s="18"/>
      <c r="C419" s="15" t="s">
        <v>6658</v>
      </c>
      <c r="D419" s="18"/>
      <c r="E419" s="17" t="s">
        <v>6659</v>
      </c>
      <c r="F419" s="18"/>
      <c r="G419" s="18"/>
      <c r="H419" s="15" t="s">
        <v>4666</v>
      </c>
      <c r="I419" s="18"/>
      <c r="J419" s="19" t="s">
        <v>104</v>
      </c>
      <c r="K419" s="19" t="s">
        <v>105</v>
      </c>
      <c r="L419" s="19" t="s">
        <v>38</v>
      </c>
      <c r="M419" s="20">
        <f t="shared" si="1"/>
        <v>0</v>
      </c>
      <c r="N419" s="22"/>
      <c r="O419" s="19" t="s">
        <v>1145</v>
      </c>
      <c r="P419" s="18"/>
      <c r="Q419" s="18"/>
      <c r="R419" s="23">
        <v>0.0</v>
      </c>
      <c r="S419" s="23">
        <v>0.0</v>
      </c>
      <c r="T419" s="23">
        <f t="shared" si="2"/>
        <v>0</v>
      </c>
      <c r="U419" s="23">
        <f t="shared" si="3"/>
        <v>0</v>
      </c>
      <c r="V419" s="23">
        <f t="shared" si="4"/>
        <v>0</v>
      </c>
      <c r="W419" s="24" t="str">
        <f t="shared" si="5"/>
        <v>#DIV/0!</v>
      </c>
    </row>
    <row r="420" hidden="1">
      <c r="A420" s="15" t="s">
        <v>1541</v>
      </c>
      <c r="B420" s="18"/>
      <c r="C420" s="15" t="s">
        <v>6660</v>
      </c>
      <c r="D420" s="18"/>
      <c r="E420" s="17" t="s">
        <v>1542</v>
      </c>
      <c r="F420" s="18"/>
      <c r="G420" s="18"/>
      <c r="H420" s="15" t="s">
        <v>1543</v>
      </c>
      <c r="I420" s="18"/>
      <c r="J420" s="19" t="s">
        <v>104</v>
      </c>
      <c r="K420" s="19" t="s">
        <v>105</v>
      </c>
      <c r="L420" s="19" t="s">
        <v>38</v>
      </c>
      <c r="M420" s="20">
        <f t="shared" si="1"/>
        <v>0</v>
      </c>
      <c r="N420" s="22"/>
      <c r="O420" s="19" t="s">
        <v>1145</v>
      </c>
      <c r="P420" s="18"/>
      <c r="Q420" s="18"/>
      <c r="R420" s="23">
        <v>0.0</v>
      </c>
      <c r="S420" s="23">
        <v>0.0</v>
      </c>
      <c r="T420" s="23">
        <f t="shared" si="2"/>
        <v>0</v>
      </c>
      <c r="U420" s="23">
        <f t="shared" si="3"/>
        <v>0</v>
      </c>
      <c r="V420" s="23">
        <f t="shared" si="4"/>
        <v>0</v>
      </c>
      <c r="W420" s="24" t="str">
        <f t="shared" si="5"/>
        <v>#DIV/0!</v>
      </c>
    </row>
    <row r="421">
      <c r="A421" s="15" t="s">
        <v>3591</v>
      </c>
      <c r="B421" s="18"/>
      <c r="C421" s="15" t="s">
        <v>6142</v>
      </c>
      <c r="D421" s="41" t="s">
        <v>3592</v>
      </c>
      <c r="E421" s="17" t="s">
        <v>3593</v>
      </c>
      <c r="F421" s="18"/>
      <c r="G421" s="18"/>
      <c r="H421" s="15" t="s">
        <v>3594</v>
      </c>
      <c r="I421" s="18"/>
      <c r="J421" s="19" t="s">
        <v>283</v>
      </c>
      <c r="K421" s="19" t="s">
        <v>1444</v>
      </c>
      <c r="L421" s="19" t="s">
        <v>38</v>
      </c>
      <c r="M421" s="20">
        <f t="shared" si="1"/>
        <v>0</v>
      </c>
      <c r="N421" s="22"/>
      <c r="O421" s="19" t="s">
        <v>3578</v>
      </c>
      <c r="P421" s="18"/>
      <c r="Q421" s="18"/>
      <c r="R421" s="23">
        <v>0.0</v>
      </c>
      <c r="S421" s="23">
        <v>0.0</v>
      </c>
      <c r="T421" s="23">
        <f t="shared" si="2"/>
        <v>0</v>
      </c>
      <c r="U421" s="23">
        <f t="shared" si="3"/>
        <v>0</v>
      </c>
      <c r="V421" s="23">
        <f t="shared" si="4"/>
        <v>0</v>
      </c>
      <c r="W421" s="24" t="str">
        <f t="shared" si="5"/>
        <v>#DIV/0!</v>
      </c>
    </row>
    <row r="422">
      <c r="A422" s="15" t="s">
        <v>3595</v>
      </c>
      <c r="B422" s="18"/>
      <c r="C422" s="15" t="s">
        <v>6144</v>
      </c>
      <c r="D422" s="15" t="s">
        <v>3596</v>
      </c>
      <c r="E422" s="17" t="s">
        <v>3597</v>
      </c>
      <c r="F422" s="18"/>
      <c r="G422" s="18"/>
      <c r="H422" s="15" t="s">
        <v>3598</v>
      </c>
      <c r="I422" s="18"/>
      <c r="J422" s="19" t="s">
        <v>283</v>
      </c>
      <c r="K422" s="19" t="s">
        <v>105</v>
      </c>
      <c r="L422" s="19" t="s">
        <v>38</v>
      </c>
      <c r="M422" s="20">
        <f t="shared" si="1"/>
        <v>0</v>
      </c>
      <c r="N422" s="22"/>
      <c r="O422" s="19" t="s">
        <v>3578</v>
      </c>
      <c r="P422" s="18"/>
      <c r="Q422" s="18"/>
      <c r="R422" s="23">
        <v>0.0</v>
      </c>
      <c r="S422" s="23">
        <v>0.0</v>
      </c>
      <c r="T422" s="23">
        <f t="shared" si="2"/>
        <v>0</v>
      </c>
      <c r="U422" s="23">
        <f t="shared" si="3"/>
        <v>0</v>
      </c>
      <c r="V422" s="23">
        <f t="shared" si="4"/>
        <v>0</v>
      </c>
      <c r="W422" s="24" t="str">
        <f t="shared" si="5"/>
        <v>#DIV/0!</v>
      </c>
    </row>
    <row r="423">
      <c r="A423" s="15" t="s">
        <v>3599</v>
      </c>
      <c r="B423" s="15" t="s">
        <v>3600</v>
      </c>
      <c r="C423" s="15" t="s">
        <v>6146</v>
      </c>
      <c r="D423" s="15" t="s">
        <v>3601</v>
      </c>
      <c r="E423" s="17" t="s">
        <v>3602</v>
      </c>
      <c r="F423" s="18"/>
      <c r="G423" s="18"/>
      <c r="H423" s="15" t="s">
        <v>3603</v>
      </c>
      <c r="I423" s="18"/>
      <c r="J423" s="19" t="s">
        <v>283</v>
      </c>
      <c r="K423" s="19" t="s">
        <v>105</v>
      </c>
      <c r="L423" s="19" t="s">
        <v>38</v>
      </c>
      <c r="M423" s="20">
        <f t="shared" si="1"/>
        <v>0</v>
      </c>
      <c r="N423" s="22"/>
      <c r="O423" s="19" t="s">
        <v>3578</v>
      </c>
      <c r="P423" s="18"/>
      <c r="Q423" s="18"/>
      <c r="R423" s="23">
        <v>0.0</v>
      </c>
      <c r="S423" s="23">
        <v>0.0</v>
      </c>
      <c r="T423" s="23">
        <f t="shared" si="2"/>
        <v>0</v>
      </c>
      <c r="U423" s="23">
        <f t="shared" si="3"/>
        <v>0</v>
      </c>
      <c r="V423" s="23">
        <f t="shared" si="4"/>
        <v>0</v>
      </c>
      <c r="W423" s="24" t="str">
        <f t="shared" si="5"/>
        <v>#DIV/0!</v>
      </c>
    </row>
    <row r="424" hidden="1">
      <c r="A424" s="15" t="s">
        <v>4681</v>
      </c>
      <c r="B424" s="18"/>
      <c r="C424" s="15" t="s">
        <v>6666</v>
      </c>
      <c r="D424" s="18"/>
      <c r="E424" s="17" t="s">
        <v>6667</v>
      </c>
      <c r="F424" s="18"/>
      <c r="G424" s="18"/>
      <c r="H424" s="15" t="s">
        <v>4685</v>
      </c>
      <c r="I424" s="18"/>
      <c r="J424" s="19" t="s">
        <v>104</v>
      </c>
      <c r="K424" s="19" t="s">
        <v>402</v>
      </c>
      <c r="L424" s="19" t="s">
        <v>38</v>
      </c>
      <c r="M424" s="20">
        <f t="shared" si="1"/>
        <v>0</v>
      </c>
      <c r="N424" s="22"/>
      <c r="O424" s="19" t="s">
        <v>1145</v>
      </c>
      <c r="P424" s="18"/>
      <c r="Q424" s="18"/>
      <c r="R424" s="23">
        <v>0.0</v>
      </c>
      <c r="S424" s="23">
        <v>0.0</v>
      </c>
      <c r="T424" s="23">
        <f t="shared" si="2"/>
        <v>0</v>
      </c>
      <c r="U424" s="23">
        <f t="shared" si="3"/>
        <v>0</v>
      </c>
      <c r="V424" s="23">
        <f t="shared" si="4"/>
        <v>0</v>
      </c>
      <c r="W424" s="24" t="str">
        <f t="shared" si="5"/>
        <v>#DIV/0!</v>
      </c>
    </row>
    <row r="425" hidden="1">
      <c r="A425" s="15" t="s">
        <v>4686</v>
      </c>
      <c r="B425" s="18"/>
      <c r="C425" s="15" t="s">
        <v>6668</v>
      </c>
      <c r="D425" s="18"/>
      <c r="E425" s="17" t="s">
        <v>6669</v>
      </c>
      <c r="F425" s="18"/>
      <c r="G425" s="18"/>
      <c r="H425" s="15" t="s">
        <v>4688</v>
      </c>
      <c r="I425" s="18"/>
      <c r="J425" s="19" t="s">
        <v>104</v>
      </c>
      <c r="K425" s="19" t="s">
        <v>37</v>
      </c>
      <c r="L425" s="19" t="s">
        <v>38</v>
      </c>
      <c r="M425" s="20">
        <f t="shared" si="1"/>
        <v>0</v>
      </c>
      <c r="N425" s="22"/>
      <c r="O425" s="19" t="s">
        <v>1145</v>
      </c>
      <c r="P425" s="18"/>
      <c r="Q425" s="18"/>
      <c r="R425" s="23">
        <v>0.0</v>
      </c>
      <c r="S425" s="23">
        <v>0.0</v>
      </c>
      <c r="T425" s="23">
        <f t="shared" si="2"/>
        <v>0</v>
      </c>
      <c r="U425" s="23">
        <f t="shared" si="3"/>
        <v>0</v>
      </c>
      <c r="V425" s="23">
        <f t="shared" si="4"/>
        <v>0</v>
      </c>
      <c r="W425" s="24" t="str">
        <f t="shared" si="5"/>
        <v>#DIV/0!</v>
      </c>
    </row>
    <row r="426">
      <c r="A426" s="15" t="s">
        <v>3604</v>
      </c>
      <c r="B426" s="15" t="s">
        <v>3605</v>
      </c>
      <c r="C426" s="15" t="s">
        <v>6147</v>
      </c>
      <c r="D426" s="15" t="s">
        <v>3606</v>
      </c>
      <c r="E426" s="17" t="s">
        <v>3607</v>
      </c>
      <c r="F426" s="18"/>
      <c r="G426" s="18"/>
      <c r="H426" s="15" t="s">
        <v>3608</v>
      </c>
      <c r="I426" s="18"/>
      <c r="J426" s="19" t="s">
        <v>283</v>
      </c>
      <c r="K426" s="19" t="s">
        <v>105</v>
      </c>
      <c r="L426" s="19" t="s">
        <v>38</v>
      </c>
      <c r="M426" s="20">
        <f t="shared" si="1"/>
        <v>0</v>
      </c>
      <c r="N426" s="22"/>
      <c r="O426" s="19" t="s">
        <v>3578</v>
      </c>
      <c r="P426" s="18"/>
      <c r="Q426" s="18"/>
      <c r="R426" s="23">
        <v>0.0</v>
      </c>
      <c r="S426" s="23">
        <v>0.0</v>
      </c>
      <c r="T426" s="23">
        <f t="shared" si="2"/>
        <v>0</v>
      </c>
      <c r="U426" s="23">
        <f t="shared" si="3"/>
        <v>0</v>
      </c>
      <c r="V426" s="23">
        <f t="shared" si="4"/>
        <v>0</v>
      </c>
      <c r="W426" s="24" t="str">
        <f t="shared" si="5"/>
        <v>#DIV/0!</v>
      </c>
    </row>
    <row r="427" hidden="1">
      <c r="A427" s="15" t="s">
        <v>1544</v>
      </c>
      <c r="B427" s="18"/>
      <c r="C427" s="15" t="s">
        <v>6671</v>
      </c>
      <c r="D427" s="18"/>
      <c r="E427" s="17" t="s">
        <v>1545</v>
      </c>
      <c r="F427" s="18"/>
      <c r="G427" s="18"/>
      <c r="H427" s="15" t="s">
        <v>1546</v>
      </c>
      <c r="I427" s="18"/>
      <c r="J427" s="19" t="s">
        <v>104</v>
      </c>
      <c r="K427" s="19" t="s">
        <v>37</v>
      </c>
      <c r="L427" s="19" t="s">
        <v>38</v>
      </c>
      <c r="M427" s="20">
        <f t="shared" si="1"/>
        <v>0</v>
      </c>
      <c r="N427" s="22"/>
      <c r="O427" s="19" t="s">
        <v>1145</v>
      </c>
      <c r="P427" s="18"/>
      <c r="Q427" s="18"/>
      <c r="R427" s="23">
        <v>0.0</v>
      </c>
      <c r="S427" s="23">
        <v>0.0</v>
      </c>
      <c r="T427" s="23">
        <f t="shared" si="2"/>
        <v>0</v>
      </c>
      <c r="U427" s="23">
        <f t="shared" si="3"/>
        <v>0</v>
      </c>
      <c r="V427" s="23">
        <f t="shared" si="4"/>
        <v>0</v>
      </c>
      <c r="W427" s="24" t="str">
        <f t="shared" si="5"/>
        <v>#DIV/0!</v>
      </c>
    </row>
    <row r="428" hidden="1">
      <c r="A428" s="15" t="s">
        <v>1547</v>
      </c>
      <c r="B428" s="18"/>
      <c r="C428" s="15" t="s">
        <v>6672</v>
      </c>
      <c r="D428" s="18"/>
      <c r="E428" s="17" t="s">
        <v>1548</v>
      </c>
      <c r="F428" s="18"/>
      <c r="G428" s="18"/>
      <c r="H428" s="15" t="s">
        <v>1549</v>
      </c>
      <c r="I428" s="18"/>
      <c r="J428" s="19" t="s">
        <v>104</v>
      </c>
      <c r="K428" s="19" t="s">
        <v>37</v>
      </c>
      <c r="L428" s="19" t="s">
        <v>38</v>
      </c>
      <c r="M428" s="20">
        <f t="shared" si="1"/>
        <v>0</v>
      </c>
      <c r="N428" s="22"/>
      <c r="O428" s="19" t="s">
        <v>1145</v>
      </c>
      <c r="P428" s="18"/>
      <c r="Q428" s="18"/>
      <c r="R428" s="23">
        <v>0.0</v>
      </c>
      <c r="S428" s="23">
        <v>0.0</v>
      </c>
      <c r="T428" s="23">
        <f t="shared" si="2"/>
        <v>0</v>
      </c>
      <c r="U428" s="23">
        <f t="shared" si="3"/>
        <v>0</v>
      </c>
      <c r="V428" s="23">
        <f t="shared" si="4"/>
        <v>0</v>
      </c>
      <c r="W428" s="24" t="str">
        <f t="shared" si="5"/>
        <v>#DIV/0!</v>
      </c>
    </row>
    <row r="429" hidden="1">
      <c r="A429" s="15" t="s">
        <v>4694</v>
      </c>
      <c r="B429" s="18"/>
      <c r="C429" s="15" t="s">
        <v>6673</v>
      </c>
      <c r="D429" s="18"/>
      <c r="E429" s="17" t="s">
        <v>4695</v>
      </c>
      <c r="F429" s="18"/>
      <c r="G429" s="18"/>
      <c r="H429" s="15" t="s">
        <v>4696</v>
      </c>
      <c r="I429" s="18"/>
      <c r="J429" s="19" t="s">
        <v>104</v>
      </c>
      <c r="K429" s="19" t="s">
        <v>37</v>
      </c>
      <c r="L429" s="19" t="s">
        <v>38</v>
      </c>
      <c r="M429" s="20">
        <f t="shared" si="1"/>
        <v>0</v>
      </c>
      <c r="N429" s="22"/>
      <c r="O429" s="19" t="s">
        <v>1145</v>
      </c>
      <c r="P429" s="18"/>
      <c r="Q429" s="18"/>
      <c r="R429" s="23">
        <v>0.0</v>
      </c>
      <c r="S429" s="23">
        <v>0.0</v>
      </c>
      <c r="T429" s="23">
        <f t="shared" si="2"/>
        <v>0</v>
      </c>
      <c r="U429" s="23">
        <f t="shared" si="3"/>
        <v>0</v>
      </c>
      <c r="V429" s="23">
        <f t="shared" si="4"/>
        <v>0</v>
      </c>
      <c r="W429" s="24" t="str">
        <f t="shared" si="5"/>
        <v>#DIV/0!</v>
      </c>
    </row>
    <row r="430" hidden="1">
      <c r="A430" s="15" t="s">
        <v>6674</v>
      </c>
      <c r="B430" s="18"/>
      <c r="C430" s="15" t="s">
        <v>6675</v>
      </c>
      <c r="D430" s="18"/>
      <c r="E430" s="17" t="s">
        <v>4695</v>
      </c>
      <c r="F430" s="18"/>
      <c r="G430" s="18"/>
      <c r="H430" s="15" t="s">
        <v>4696</v>
      </c>
      <c r="I430" s="18"/>
      <c r="J430" s="19" t="s">
        <v>104</v>
      </c>
      <c r="K430" s="19" t="s">
        <v>37</v>
      </c>
      <c r="L430" s="19" t="s">
        <v>38</v>
      </c>
      <c r="M430" s="20">
        <f t="shared" si="1"/>
        <v>0</v>
      </c>
      <c r="N430" s="22"/>
      <c r="O430" s="19" t="s">
        <v>1145</v>
      </c>
      <c r="P430" s="18"/>
      <c r="Q430" s="18"/>
      <c r="R430" s="23">
        <v>0.0</v>
      </c>
      <c r="S430" s="23">
        <v>0.0</v>
      </c>
      <c r="T430" s="23">
        <f t="shared" si="2"/>
        <v>0</v>
      </c>
      <c r="U430" s="23">
        <f t="shared" si="3"/>
        <v>0</v>
      </c>
      <c r="V430" s="23">
        <f t="shared" si="4"/>
        <v>0</v>
      </c>
      <c r="W430" s="24" t="str">
        <f t="shared" si="5"/>
        <v>#DIV/0!</v>
      </c>
    </row>
    <row r="431" hidden="1">
      <c r="A431" s="15" t="s">
        <v>4697</v>
      </c>
      <c r="B431" s="18"/>
      <c r="C431" s="15" t="s">
        <v>6676</v>
      </c>
      <c r="D431" s="18"/>
      <c r="E431" s="17" t="s">
        <v>6677</v>
      </c>
      <c r="F431" s="18"/>
      <c r="G431" s="18"/>
      <c r="H431" s="15" t="s">
        <v>4699</v>
      </c>
      <c r="I431" s="18"/>
      <c r="J431" s="19" t="s">
        <v>104</v>
      </c>
      <c r="K431" s="19" t="s">
        <v>37</v>
      </c>
      <c r="L431" s="19" t="s">
        <v>38</v>
      </c>
      <c r="M431" s="20">
        <f t="shared" si="1"/>
        <v>0</v>
      </c>
      <c r="N431" s="22"/>
      <c r="O431" s="19" t="s">
        <v>1145</v>
      </c>
      <c r="P431" s="18"/>
      <c r="Q431" s="18"/>
      <c r="R431" s="23">
        <v>0.0</v>
      </c>
      <c r="S431" s="23">
        <v>0.0</v>
      </c>
      <c r="T431" s="23">
        <f t="shared" si="2"/>
        <v>0</v>
      </c>
      <c r="U431" s="23">
        <f t="shared" si="3"/>
        <v>0</v>
      </c>
      <c r="V431" s="23">
        <f t="shared" si="4"/>
        <v>0</v>
      </c>
      <c r="W431" s="24" t="str">
        <f t="shared" si="5"/>
        <v>#DIV/0!</v>
      </c>
    </row>
    <row r="432" hidden="1">
      <c r="A432" s="15" t="s">
        <v>4700</v>
      </c>
      <c r="B432" s="18"/>
      <c r="C432" s="15" t="s">
        <v>6678</v>
      </c>
      <c r="D432" s="18"/>
      <c r="E432" s="17" t="s">
        <v>6679</v>
      </c>
      <c r="F432" s="18"/>
      <c r="G432" s="18"/>
      <c r="H432" s="15" t="s">
        <v>4702</v>
      </c>
      <c r="I432" s="18"/>
      <c r="J432" s="19" t="s">
        <v>104</v>
      </c>
      <c r="K432" s="19" t="s">
        <v>37</v>
      </c>
      <c r="L432" s="19" t="s">
        <v>38</v>
      </c>
      <c r="M432" s="20">
        <f t="shared" si="1"/>
        <v>0</v>
      </c>
      <c r="N432" s="22"/>
      <c r="O432" s="19" t="s">
        <v>1145</v>
      </c>
      <c r="P432" s="18"/>
      <c r="Q432" s="18"/>
      <c r="R432" s="23">
        <v>0.0</v>
      </c>
      <c r="S432" s="23">
        <v>0.0</v>
      </c>
      <c r="T432" s="23">
        <f t="shared" si="2"/>
        <v>0</v>
      </c>
      <c r="U432" s="23">
        <f t="shared" si="3"/>
        <v>0</v>
      </c>
      <c r="V432" s="23">
        <f t="shared" si="4"/>
        <v>0</v>
      </c>
      <c r="W432" s="24" t="str">
        <f t="shared" si="5"/>
        <v>#DIV/0!</v>
      </c>
    </row>
    <row r="433">
      <c r="A433" s="15" t="s">
        <v>3609</v>
      </c>
      <c r="B433" s="15" t="s">
        <v>3610</v>
      </c>
      <c r="C433" s="15" t="s">
        <v>6148</v>
      </c>
      <c r="D433" s="15" t="s">
        <v>3611</v>
      </c>
      <c r="E433" s="17" t="s">
        <v>3612</v>
      </c>
      <c r="F433" s="18"/>
      <c r="G433" s="18"/>
      <c r="H433" s="15" t="s">
        <v>3613</v>
      </c>
      <c r="I433" s="18"/>
      <c r="J433" s="19" t="s">
        <v>283</v>
      </c>
      <c r="K433" s="19" t="s">
        <v>105</v>
      </c>
      <c r="L433" s="19" t="s">
        <v>38</v>
      </c>
      <c r="M433" s="20">
        <f t="shared" si="1"/>
        <v>0</v>
      </c>
      <c r="N433" s="22"/>
      <c r="O433" s="19" t="s">
        <v>3578</v>
      </c>
      <c r="P433" s="18"/>
      <c r="Q433" s="18"/>
      <c r="R433" s="23">
        <v>0.0</v>
      </c>
      <c r="S433" s="23">
        <v>0.0</v>
      </c>
      <c r="T433" s="23">
        <f t="shared" si="2"/>
        <v>0</v>
      </c>
      <c r="U433" s="23">
        <f t="shared" si="3"/>
        <v>0</v>
      </c>
      <c r="V433" s="23">
        <f t="shared" si="4"/>
        <v>0</v>
      </c>
      <c r="W433" s="24" t="str">
        <f t="shared" si="5"/>
        <v>#DIV/0!</v>
      </c>
    </row>
    <row r="434">
      <c r="A434" s="15" t="s">
        <v>3614</v>
      </c>
      <c r="B434" s="15" t="s">
        <v>3615</v>
      </c>
      <c r="C434" s="15" t="s">
        <v>6149</v>
      </c>
      <c r="D434" s="15" t="s">
        <v>3616</v>
      </c>
      <c r="E434" s="17" t="s">
        <v>3617</v>
      </c>
      <c r="F434" s="18"/>
      <c r="G434" s="18"/>
      <c r="H434" s="15" t="s">
        <v>3618</v>
      </c>
      <c r="I434" s="18"/>
      <c r="J434" s="19" t="s">
        <v>283</v>
      </c>
      <c r="K434" s="19" t="s">
        <v>105</v>
      </c>
      <c r="L434" s="19" t="s">
        <v>38</v>
      </c>
      <c r="M434" s="20">
        <f t="shared" si="1"/>
        <v>0</v>
      </c>
      <c r="N434" s="22"/>
      <c r="O434" s="19" t="s">
        <v>3578</v>
      </c>
      <c r="P434" s="18"/>
      <c r="Q434" s="18"/>
      <c r="R434" s="23">
        <v>0.0</v>
      </c>
      <c r="S434" s="23">
        <v>0.0</v>
      </c>
      <c r="T434" s="23">
        <f t="shared" si="2"/>
        <v>0</v>
      </c>
      <c r="U434" s="23">
        <f t="shared" si="3"/>
        <v>0</v>
      </c>
      <c r="V434" s="23">
        <f t="shared" si="4"/>
        <v>0</v>
      </c>
      <c r="W434" s="24" t="str">
        <f t="shared" si="5"/>
        <v>#DIV/0!</v>
      </c>
    </row>
    <row r="435" hidden="1">
      <c r="A435" s="15" t="s">
        <v>1550</v>
      </c>
      <c r="B435" s="18"/>
      <c r="C435" s="15" t="s">
        <v>6680</v>
      </c>
      <c r="D435" s="18"/>
      <c r="E435" s="17" t="s">
        <v>1551</v>
      </c>
      <c r="F435" s="18"/>
      <c r="G435" s="18"/>
      <c r="H435" s="15" t="s">
        <v>1552</v>
      </c>
      <c r="I435" s="18"/>
      <c r="J435" s="19" t="s">
        <v>104</v>
      </c>
      <c r="K435" s="19" t="s">
        <v>402</v>
      </c>
      <c r="L435" s="19" t="s">
        <v>38</v>
      </c>
      <c r="M435" s="20">
        <f t="shared" si="1"/>
        <v>0</v>
      </c>
      <c r="N435" s="22"/>
      <c r="O435" s="19" t="s">
        <v>1145</v>
      </c>
      <c r="P435" s="18"/>
      <c r="Q435" s="18"/>
      <c r="R435" s="23">
        <v>0.0</v>
      </c>
      <c r="S435" s="23">
        <v>0.0</v>
      </c>
      <c r="T435" s="23">
        <f t="shared" si="2"/>
        <v>0</v>
      </c>
      <c r="U435" s="23">
        <f t="shared" si="3"/>
        <v>0</v>
      </c>
      <c r="V435" s="23">
        <f t="shared" si="4"/>
        <v>0</v>
      </c>
      <c r="W435" s="24" t="str">
        <f t="shared" si="5"/>
        <v>#DIV/0!</v>
      </c>
    </row>
    <row r="436" hidden="1">
      <c r="A436" s="15" t="s">
        <v>1553</v>
      </c>
      <c r="B436" s="18"/>
      <c r="C436" s="15" t="s">
        <v>6681</v>
      </c>
      <c r="D436" s="18"/>
      <c r="E436" s="17" t="s">
        <v>6682</v>
      </c>
      <c r="F436" s="18"/>
      <c r="G436" s="18"/>
      <c r="H436" s="15" t="s">
        <v>4707</v>
      </c>
      <c r="I436" s="18"/>
      <c r="J436" s="19" t="s">
        <v>104</v>
      </c>
      <c r="K436" s="19" t="s">
        <v>402</v>
      </c>
      <c r="L436" s="19" t="s">
        <v>38</v>
      </c>
      <c r="M436" s="20">
        <f t="shared" si="1"/>
        <v>0</v>
      </c>
      <c r="N436" s="22"/>
      <c r="O436" s="19" t="s">
        <v>1145</v>
      </c>
      <c r="P436" s="18"/>
      <c r="Q436" s="18"/>
      <c r="R436" s="23">
        <v>0.0</v>
      </c>
      <c r="S436" s="23">
        <v>0.0</v>
      </c>
      <c r="T436" s="23">
        <f t="shared" si="2"/>
        <v>0</v>
      </c>
      <c r="U436" s="23">
        <f t="shared" si="3"/>
        <v>0</v>
      </c>
      <c r="V436" s="23">
        <f t="shared" si="4"/>
        <v>0</v>
      </c>
      <c r="W436" s="24" t="str">
        <f t="shared" si="5"/>
        <v>#DIV/0!</v>
      </c>
    </row>
    <row r="437" hidden="1">
      <c r="A437" s="15" t="s">
        <v>4703</v>
      </c>
      <c r="B437" s="18"/>
      <c r="C437" s="15" t="s">
        <v>6683</v>
      </c>
      <c r="D437" s="18"/>
      <c r="E437" s="17" t="s">
        <v>6684</v>
      </c>
      <c r="F437" s="18"/>
      <c r="G437" s="18"/>
      <c r="H437" s="15" t="s">
        <v>1557</v>
      </c>
      <c r="I437" s="18"/>
      <c r="J437" s="19" t="s">
        <v>104</v>
      </c>
      <c r="K437" s="19" t="s">
        <v>402</v>
      </c>
      <c r="L437" s="19" t="s">
        <v>38</v>
      </c>
      <c r="M437" s="20">
        <f t="shared" si="1"/>
        <v>0</v>
      </c>
      <c r="N437" s="22"/>
      <c r="O437" s="19" t="s">
        <v>1145</v>
      </c>
      <c r="P437" s="18"/>
      <c r="Q437" s="18"/>
      <c r="R437" s="23">
        <v>0.0</v>
      </c>
      <c r="S437" s="23">
        <v>0.0</v>
      </c>
      <c r="T437" s="23">
        <f t="shared" si="2"/>
        <v>0</v>
      </c>
      <c r="U437" s="23">
        <f t="shared" si="3"/>
        <v>0</v>
      </c>
      <c r="V437" s="23">
        <f t="shared" si="4"/>
        <v>0</v>
      </c>
      <c r="W437" s="24" t="str">
        <f t="shared" si="5"/>
        <v>#DIV/0!</v>
      </c>
    </row>
    <row r="438">
      <c r="A438" s="15" t="s">
        <v>3619</v>
      </c>
      <c r="B438" s="15" t="s">
        <v>3620</v>
      </c>
      <c r="C438" s="15" t="s">
        <v>6151</v>
      </c>
      <c r="D438" s="15" t="s">
        <v>3621</v>
      </c>
      <c r="E438" s="17" t="s">
        <v>3622</v>
      </c>
      <c r="F438" s="18"/>
      <c r="G438" s="18"/>
      <c r="H438" s="15" t="s">
        <v>3623</v>
      </c>
      <c r="I438" s="18"/>
      <c r="J438" s="19" t="s">
        <v>283</v>
      </c>
      <c r="K438" s="19" t="s">
        <v>105</v>
      </c>
      <c r="L438" s="19" t="s">
        <v>38</v>
      </c>
      <c r="M438" s="20">
        <f t="shared" si="1"/>
        <v>0</v>
      </c>
      <c r="N438" s="22"/>
      <c r="O438" s="19" t="s">
        <v>3578</v>
      </c>
      <c r="P438" s="18"/>
      <c r="Q438" s="18"/>
      <c r="R438" s="23">
        <v>0.0</v>
      </c>
      <c r="S438" s="23">
        <v>0.0</v>
      </c>
      <c r="T438" s="23">
        <f t="shared" si="2"/>
        <v>0</v>
      </c>
      <c r="U438" s="23">
        <f t="shared" si="3"/>
        <v>0</v>
      </c>
      <c r="V438" s="23">
        <f t="shared" si="4"/>
        <v>0</v>
      </c>
      <c r="W438" s="24" t="str">
        <f t="shared" si="5"/>
        <v>#DIV/0!</v>
      </c>
    </row>
    <row r="439">
      <c r="A439" s="15" t="s">
        <v>3624</v>
      </c>
      <c r="B439" s="15" t="s">
        <v>3625</v>
      </c>
      <c r="C439" s="15" t="s">
        <v>6152</v>
      </c>
      <c r="D439" s="15" t="s">
        <v>3626</v>
      </c>
      <c r="E439" s="17" t="s">
        <v>3627</v>
      </c>
      <c r="F439" s="18"/>
      <c r="G439" s="18"/>
      <c r="H439" s="15" t="s">
        <v>3628</v>
      </c>
      <c r="I439" s="18"/>
      <c r="J439" s="19" t="s">
        <v>283</v>
      </c>
      <c r="K439" s="19" t="s">
        <v>603</v>
      </c>
      <c r="L439" s="19" t="s">
        <v>38</v>
      </c>
      <c r="M439" s="20">
        <f t="shared" si="1"/>
        <v>0</v>
      </c>
      <c r="N439" s="22"/>
      <c r="O439" s="19" t="s">
        <v>3578</v>
      </c>
      <c r="P439" s="18"/>
      <c r="Q439" s="18"/>
      <c r="R439" s="23">
        <v>0.0</v>
      </c>
      <c r="S439" s="23">
        <v>0.0</v>
      </c>
      <c r="T439" s="23">
        <f t="shared" si="2"/>
        <v>0</v>
      </c>
      <c r="U439" s="23">
        <f t="shared" si="3"/>
        <v>0</v>
      </c>
      <c r="V439" s="23">
        <f t="shared" si="4"/>
        <v>0</v>
      </c>
      <c r="W439" s="24" t="str">
        <f t="shared" si="5"/>
        <v>#DIV/0!</v>
      </c>
    </row>
    <row r="440" hidden="1">
      <c r="A440" s="15" t="s">
        <v>1558</v>
      </c>
      <c r="B440" s="18"/>
      <c r="C440" s="15" t="s">
        <v>6686</v>
      </c>
      <c r="D440" s="18"/>
      <c r="E440" s="17" t="s">
        <v>1559</v>
      </c>
      <c r="F440" s="18"/>
      <c r="G440" s="18"/>
      <c r="H440" s="15" t="s">
        <v>1560</v>
      </c>
      <c r="I440" s="18"/>
      <c r="J440" s="19" t="s">
        <v>104</v>
      </c>
      <c r="K440" s="19" t="s">
        <v>402</v>
      </c>
      <c r="L440" s="19" t="s">
        <v>38</v>
      </c>
      <c r="M440" s="20">
        <f t="shared" si="1"/>
        <v>0</v>
      </c>
      <c r="N440" s="22"/>
      <c r="O440" s="19" t="s">
        <v>1145</v>
      </c>
      <c r="P440" s="18"/>
      <c r="Q440" s="18"/>
      <c r="R440" s="23">
        <v>0.0</v>
      </c>
      <c r="S440" s="23">
        <v>0.0</v>
      </c>
      <c r="T440" s="23">
        <f t="shared" si="2"/>
        <v>0</v>
      </c>
      <c r="U440" s="23">
        <f t="shared" si="3"/>
        <v>0</v>
      </c>
      <c r="V440" s="23">
        <f t="shared" si="4"/>
        <v>0</v>
      </c>
      <c r="W440" s="24" t="str">
        <f t="shared" si="5"/>
        <v>#DIV/0!</v>
      </c>
    </row>
    <row r="441" hidden="1">
      <c r="A441" s="15" t="s">
        <v>1561</v>
      </c>
      <c r="B441" s="18"/>
      <c r="C441" s="15" t="s">
        <v>6687</v>
      </c>
      <c r="D441" s="18"/>
      <c r="E441" s="17" t="s">
        <v>1562</v>
      </c>
      <c r="F441" s="18"/>
      <c r="G441" s="18"/>
      <c r="H441" s="15" t="s">
        <v>1563</v>
      </c>
      <c r="I441" s="18"/>
      <c r="J441" s="19" t="s">
        <v>104</v>
      </c>
      <c r="K441" s="19" t="s">
        <v>402</v>
      </c>
      <c r="L441" s="19" t="s">
        <v>38</v>
      </c>
      <c r="M441" s="20">
        <f t="shared" si="1"/>
        <v>0</v>
      </c>
      <c r="N441" s="22"/>
      <c r="O441" s="19" t="s">
        <v>1145</v>
      </c>
      <c r="P441" s="18"/>
      <c r="Q441" s="18"/>
      <c r="R441" s="23">
        <v>0.0</v>
      </c>
      <c r="S441" s="23">
        <v>0.0</v>
      </c>
      <c r="T441" s="23">
        <f t="shared" si="2"/>
        <v>0</v>
      </c>
      <c r="U441" s="23">
        <f t="shared" si="3"/>
        <v>0</v>
      </c>
      <c r="V441" s="23">
        <f t="shared" si="4"/>
        <v>0</v>
      </c>
      <c r="W441" s="24" t="str">
        <f t="shared" si="5"/>
        <v>#DIV/0!</v>
      </c>
    </row>
    <row r="442" hidden="1">
      <c r="A442" s="15" t="s">
        <v>1564</v>
      </c>
      <c r="B442" s="18"/>
      <c r="C442" s="15" t="s">
        <v>6688</v>
      </c>
      <c r="D442" s="18"/>
      <c r="E442" s="17" t="s">
        <v>1562</v>
      </c>
      <c r="F442" s="18"/>
      <c r="G442" s="18"/>
      <c r="H442" s="15" t="s">
        <v>1565</v>
      </c>
      <c r="I442" s="18"/>
      <c r="J442" s="19" t="s">
        <v>104</v>
      </c>
      <c r="K442" s="19" t="s">
        <v>402</v>
      </c>
      <c r="L442" s="19" t="s">
        <v>38</v>
      </c>
      <c r="M442" s="20">
        <f t="shared" si="1"/>
        <v>0</v>
      </c>
      <c r="N442" s="22"/>
      <c r="O442" s="19" t="s">
        <v>1145</v>
      </c>
      <c r="P442" s="18"/>
      <c r="Q442" s="18"/>
      <c r="R442" s="23">
        <v>0.0</v>
      </c>
      <c r="S442" s="23">
        <v>0.0</v>
      </c>
      <c r="T442" s="23">
        <f t="shared" si="2"/>
        <v>0</v>
      </c>
      <c r="U442" s="23">
        <f t="shared" si="3"/>
        <v>0</v>
      </c>
      <c r="V442" s="23">
        <f t="shared" si="4"/>
        <v>0</v>
      </c>
      <c r="W442" s="24" t="str">
        <f t="shared" si="5"/>
        <v>#DIV/0!</v>
      </c>
    </row>
    <row r="443">
      <c r="A443" s="15" t="s">
        <v>3629</v>
      </c>
      <c r="B443" s="15" t="s">
        <v>3630</v>
      </c>
      <c r="C443" s="15" t="s">
        <v>6153</v>
      </c>
      <c r="D443" s="15" t="s">
        <v>3631</v>
      </c>
      <c r="E443" s="17" t="s">
        <v>3632</v>
      </c>
      <c r="F443" s="18"/>
      <c r="G443" s="18"/>
      <c r="H443" s="15" t="s">
        <v>3633</v>
      </c>
      <c r="I443" s="18"/>
      <c r="J443" s="19" t="s">
        <v>283</v>
      </c>
      <c r="K443" s="19" t="s">
        <v>603</v>
      </c>
      <c r="L443" s="19" t="s">
        <v>38</v>
      </c>
      <c r="M443" s="20">
        <f t="shared" si="1"/>
        <v>0</v>
      </c>
      <c r="N443" s="22"/>
      <c r="O443" s="19" t="s">
        <v>3578</v>
      </c>
      <c r="P443" s="18"/>
      <c r="Q443" s="18"/>
      <c r="R443" s="23">
        <v>0.0</v>
      </c>
      <c r="S443" s="23">
        <v>0.0</v>
      </c>
      <c r="T443" s="23">
        <f t="shared" si="2"/>
        <v>0</v>
      </c>
      <c r="U443" s="23">
        <f t="shared" si="3"/>
        <v>0</v>
      </c>
      <c r="V443" s="23">
        <f t="shared" si="4"/>
        <v>0</v>
      </c>
      <c r="W443" s="24" t="str">
        <f t="shared" si="5"/>
        <v>#DIV/0!</v>
      </c>
    </row>
    <row r="444">
      <c r="A444" s="15" t="s">
        <v>3634</v>
      </c>
      <c r="B444" s="15" t="s">
        <v>3635</v>
      </c>
      <c r="C444" s="15" t="s">
        <v>6154</v>
      </c>
      <c r="D444" s="15" t="s">
        <v>3636</v>
      </c>
      <c r="E444" s="17" t="s">
        <v>3637</v>
      </c>
      <c r="F444" s="18"/>
      <c r="G444" s="18"/>
      <c r="H444" s="15" t="s">
        <v>3638</v>
      </c>
      <c r="I444" s="18"/>
      <c r="J444" s="19" t="s">
        <v>283</v>
      </c>
      <c r="K444" s="19" t="s">
        <v>603</v>
      </c>
      <c r="L444" s="19" t="s">
        <v>38</v>
      </c>
      <c r="M444" s="20">
        <f t="shared" si="1"/>
        <v>0</v>
      </c>
      <c r="N444" s="22"/>
      <c r="O444" s="19" t="s">
        <v>3578</v>
      </c>
      <c r="P444" s="18"/>
      <c r="Q444" s="18"/>
      <c r="R444" s="23">
        <v>0.0</v>
      </c>
      <c r="S444" s="23">
        <v>0.0</v>
      </c>
      <c r="T444" s="23">
        <f t="shared" si="2"/>
        <v>0</v>
      </c>
      <c r="U444" s="23">
        <f t="shared" si="3"/>
        <v>0</v>
      </c>
      <c r="V444" s="23">
        <f t="shared" si="4"/>
        <v>0</v>
      </c>
      <c r="W444" s="24" t="str">
        <f t="shared" si="5"/>
        <v>#DIV/0!</v>
      </c>
    </row>
    <row r="445" hidden="1">
      <c r="A445" s="15" t="s">
        <v>1566</v>
      </c>
      <c r="B445" s="18"/>
      <c r="C445" s="15" t="s">
        <v>6691</v>
      </c>
      <c r="D445" s="18"/>
      <c r="E445" s="17" t="s">
        <v>1567</v>
      </c>
      <c r="F445" s="18"/>
      <c r="G445" s="18"/>
      <c r="H445" s="15" t="s">
        <v>1568</v>
      </c>
      <c r="I445" s="18"/>
      <c r="J445" s="19" t="s">
        <v>104</v>
      </c>
      <c r="K445" s="19" t="s">
        <v>402</v>
      </c>
      <c r="L445" s="19" t="s">
        <v>38</v>
      </c>
      <c r="M445" s="20">
        <f t="shared" si="1"/>
        <v>0</v>
      </c>
      <c r="N445" s="22"/>
      <c r="O445" s="19" t="s">
        <v>1145</v>
      </c>
      <c r="P445" s="18"/>
      <c r="Q445" s="18"/>
      <c r="R445" s="23">
        <v>0.0</v>
      </c>
      <c r="S445" s="23">
        <v>0.0</v>
      </c>
      <c r="T445" s="23">
        <f t="shared" si="2"/>
        <v>0</v>
      </c>
      <c r="U445" s="23">
        <f t="shared" si="3"/>
        <v>0</v>
      </c>
      <c r="V445" s="23">
        <f t="shared" si="4"/>
        <v>0</v>
      </c>
      <c r="W445" s="24" t="str">
        <f t="shared" si="5"/>
        <v>#DIV/0!</v>
      </c>
    </row>
    <row r="446" hidden="1">
      <c r="A446" s="15" t="s">
        <v>1569</v>
      </c>
      <c r="B446" s="18"/>
      <c r="C446" s="15" t="s">
        <v>6692</v>
      </c>
      <c r="D446" s="18"/>
      <c r="E446" s="17" t="s">
        <v>1570</v>
      </c>
      <c r="F446" s="18"/>
      <c r="G446" s="18"/>
      <c r="H446" s="15" t="s">
        <v>1571</v>
      </c>
      <c r="I446" s="18"/>
      <c r="J446" s="19" t="s">
        <v>104</v>
      </c>
      <c r="K446" s="19" t="s">
        <v>402</v>
      </c>
      <c r="L446" s="19" t="s">
        <v>38</v>
      </c>
      <c r="M446" s="20">
        <f t="shared" si="1"/>
        <v>0</v>
      </c>
      <c r="N446" s="22"/>
      <c r="O446" s="19" t="s">
        <v>1145</v>
      </c>
      <c r="P446" s="18"/>
      <c r="Q446" s="18"/>
      <c r="R446" s="23">
        <v>0.0</v>
      </c>
      <c r="S446" s="23">
        <v>0.0</v>
      </c>
      <c r="T446" s="23">
        <f t="shared" si="2"/>
        <v>0</v>
      </c>
      <c r="U446" s="23">
        <f t="shared" si="3"/>
        <v>0</v>
      </c>
      <c r="V446" s="23">
        <f t="shared" si="4"/>
        <v>0</v>
      </c>
      <c r="W446" s="24" t="str">
        <f t="shared" si="5"/>
        <v>#DIV/0!</v>
      </c>
    </row>
    <row r="447" hidden="1">
      <c r="A447" s="15" t="s">
        <v>1572</v>
      </c>
      <c r="B447" s="18"/>
      <c r="C447" s="15" t="s">
        <v>6693</v>
      </c>
      <c r="D447" s="18"/>
      <c r="E447" s="17" t="s">
        <v>1573</v>
      </c>
      <c r="F447" s="18"/>
      <c r="G447" s="18"/>
      <c r="H447" s="15" t="s">
        <v>1574</v>
      </c>
      <c r="I447" s="18"/>
      <c r="J447" s="19" t="s">
        <v>104</v>
      </c>
      <c r="K447" s="19" t="s">
        <v>402</v>
      </c>
      <c r="L447" s="19" t="s">
        <v>38</v>
      </c>
      <c r="M447" s="20">
        <f t="shared" si="1"/>
        <v>0</v>
      </c>
      <c r="N447" s="22"/>
      <c r="O447" s="19" t="s">
        <v>1145</v>
      </c>
      <c r="P447" s="18"/>
      <c r="Q447" s="18"/>
      <c r="R447" s="23">
        <v>0.0</v>
      </c>
      <c r="S447" s="23">
        <v>0.0</v>
      </c>
      <c r="T447" s="23">
        <f t="shared" si="2"/>
        <v>0</v>
      </c>
      <c r="U447" s="23">
        <f t="shared" si="3"/>
        <v>0</v>
      </c>
      <c r="V447" s="23">
        <f t="shared" si="4"/>
        <v>0</v>
      </c>
      <c r="W447" s="24" t="str">
        <f t="shared" si="5"/>
        <v>#DIV/0!</v>
      </c>
    </row>
    <row r="448" hidden="1">
      <c r="A448" s="15" t="s">
        <v>1575</v>
      </c>
      <c r="B448" s="18"/>
      <c r="C448" s="15" t="s">
        <v>6694</v>
      </c>
      <c r="D448" s="18"/>
      <c r="E448" s="17" t="s">
        <v>1576</v>
      </c>
      <c r="F448" s="18"/>
      <c r="G448" s="18"/>
      <c r="H448" s="15" t="s">
        <v>1577</v>
      </c>
      <c r="I448" s="18"/>
      <c r="J448" s="19" t="s">
        <v>104</v>
      </c>
      <c r="K448" s="19" t="s">
        <v>402</v>
      </c>
      <c r="L448" s="19" t="s">
        <v>38</v>
      </c>
      <c r="M448" s="20">
        <f t="shared" si="1"/>
        <v>0</v>
      </c>
      <c r="N448" s="22"/>
      <c r="O448" s="19" t="s">
        <v>1145</v>
      </c>
      <c r="P448" s="18"/>
      <c r="Q448" s="18"/>
      <c r="R448" s="23">
        <v>0.0</v>
      </c>
      <c r="S448" s="23">
        <v>0.0</v>
      </c>
      <c r="T448" s="23">
        <f t="shared" si="2"/>
        <v>0</v>
      </c>
      <c r="U448" s="23">
        <f t="shared" si="3"/>
        <v>0</v>
      </c>
      <c r="V448" s="23">
        <f t="shared" si="4"/>
        <v>0</v>
      </c>
      <c r="W448" s="24" t="str">
        <f t="shared" si="5"/>
        <v>#DIV/0!</v>
      </c>
    </row>
    <row r="449" hidden="1">
      <c r="A449" s="15" t="s">
        <v>1578</v>
      </c>
      <c r="B449" s="18"/>
      <c r="C449" s="15" t="s">
        <v>6695</v>
      </c>
      <c r="D449" s="18"/>
      <c r="E449" s="17" t="s">
        <v>1576</v>
      </c>
      <c r="F449" s="18"/>
      <c r="G449" s="18"/>
      <c r="H449" s="15" t="s">
        <v>1579</v>
      </c>
      <c r="I449" s="18"/>
      <c r="J449" s="19" t="s">
        <v>104</v>
      </c>
      <c r="K449" s="19" t="s">
        <v>402</v>
      </c>
      <c r="L449" s="19" t="s">
        <v>38</v>
      </c>
      <c r="M449" s="20">
        <f t="shared" si="1"/>
        <v>0</v>
      </c>
      <c r="N449" s="22"/>
      <c r="O449" s="19" t="s">
        <v>1145</v>
      </c>
      <c r="P449" s="18"/>
      <c r="Q449" s="18"/>
      <c r="R449" s="23">
        <v>0.0</v>
      </c>
      <c r="S449" s="23">
        <v>0.0</v>
      </c>
      <c r="T449" s="23">
        <f t="shared" si="2"/>
        <v>0</v>
      </c>
      <c r="U449" s="23">
        <f t="shared" si="3"/>
        <v>0</v>
      </c>
      <c r="V449" s="23">
        <f t="shared" si="4"/>
        <v>0</v>
      </c>
      <c r="W449" s="24" t="str">
        <f t="shared" si="5"/>
        <v>#DIV/0!</v>
      </c>
    </row>
    <row r="450" hidden="1">
      <c r="A450" s="15" t="s">
        <v>1580</v>
      </c>
      <c r="B450" s="18"/>
      <c r="C450" s="15" t="s">
        <v>6696</v>
      </c>
      <c r="D450" s="18"/>
      <c r="E450" s="17" t="s">
        <v>1581</v>
      </c>
      <c r="F450" s="18"/>
      <c r="G450" s="18"/>
      <c r="H450" s="15" t="s">
        <v>1582</v>
      </c>
      <c r="I450" s="18"/>
      <c r="J450" s="19" t="s">
        <v>104</v>
      </c>
      <c r="K450" s="19" t="s">
        <v>402</v>
      </c>
      <c r="L450" s="19" t="s">
        <v>38</v>
      </c>
      <c r="M450" s="20">
        <f t="shared" si="1"/>
        <v>0</v>
      </c>
      <c r="N450" s="22"/>
      <c r="O450" s="19" t="s">
        <v>1145</v>
      </c>
      <c r="P450" s="18"/>
      <c r="Q450" s="18"/>
      <c r="R450" s="23">
        <v>0.0</v>
      </c>
      <c r="S450" s="23">
        <v>0.0</v>
      </c>
      <c r="T450" s="23">
        <f t="shared" si="2"/>
        <v>0</v>
      </c>
      <c r="U450" s="23">
        <f t="shared" si="3"/>
        <v>0</v>
      </c>
      <c r="V450" s="23">
        <f t="shared" si="4"/>
        <v>0</v>
      </c>
      <c r="W450" s="24" t="str">
        <f t="shared" si="5"/>
        <v>#DIV/0!</v>
      </c>
    </row>
    <row r="451" hidden="1">
      <c r="A451" s="15" t="s">
        <v>1583</v>
      </c>
      <c r="B451" s="18"/>
      <c r="C451" s="15" t="s">
        <v>6697</v>
      </c>
      <c r="D451" s="18"/>
      <c r="E451" s="17" t="s">
        <v>1584</v>
      </c>
      <c r="F451" s="18"/>
      <c r="G451" s="18"/>
      <c r="H451" s="15" t="s">
        <v>1585</v>
      </c>
      <c r="I451" s="18"/>
      <c r="J451" s="19" t="s">
        <v>104</v>
      </c>
      <c r="K451" s="19" t="s">
        <v>402</v>
      </c>
      <c r="L451" s="19" t="s">
        <v>38</v>
      </c>
      <c r="M451" s="20">
        <f t="shared" si="1"/>
        <v>0</v>
      </c>
      <c r="N451" s="22"/>
      <c r="O451" s="19" t="s">
        <v>1145</v>
      </c>
      <c r="P451" s="18"/>
      <c r="Q451" s="18"/>
      <c r="R451" s="23">
        <v>0.0</v>
      </c>
      <c r="S451" s="23">
        <v>0.0</v>
      </c>
      <c r="T451" s="23">
        <f t="shared" si="2"/>
        <v>0</v>
      </c>
      <c r="U451" s="23">
        <f t="shared" si="3"/>
        <v>0</v>
      </c>
      <c r="V451" s="23">
        <f t="shared" si="4"/>
        <v>0</v>
      </c>
      <c r="W451" s="24" t="str">
        <f t="shared" si="5"/>
        <v>#DIV/0!</v>
      </c>
    </row>
    <row r="452" hidden="1">
      <c r="A452" s="15" t="s">
        <v>1586</v>
      </c>
      <c r="B452" s="18"/>
      <c r="C452" s="15" t="s">
        <v>6698</v>
      </c>
      <c r="D452" s="18"/>
      <c r="E452" s="17" t="s">
        <v>1587</v>
      </c>
      <c r="F452" s="18"/>
      <c r="G452" s="18"/>
      <c r="H452" s="15" t="s">
        <v>1588</v>
      </c>
      <c r="I452" s="18"/>
      <c r="J452" s="19" t="s">
        <v>104</v>
      </c>
      <c r="K452" s="19" t="s">
        <v>402</v>
      </c>
      <c r="L452" s="19" t="s">
        <v>38</v>
      </c>
      <c r="M452" s="20">
        <f t="shared" si="1"/>
        <v>0</v>
      </c>
      <c r="N452" s="22"/>
      <c r="O452" s="19" t="s">
        <v>1145</v>
      </c>
      <c r="P452" s="18"/>
      <c r="Q452" s="18"/>
      <c r="R452" s="23">
        <v>0.0</v>
      </c>
      <c r="S452" s="23">
        <v>0.0</v>
      </c>
      <c r="T452" s="23">
        <f t="shared" si="2"/>
        <v>0</v>
      </c>
      <c r="U452" s="23">
        <f t="shared" si="3"/>
        <v>0</v>
      </c>
      <c r="V452" s="23">
        <f t="shared" si="4"/>
        <v>0</v>
      </c>
      <c r="W452" s="24" t="str">
        <f t="shared" si="5"/>
        <v>#DIV/0!</v>
      </c>
    </row>
    <row r="453" hidden="1">
      <c r="A453" s="15" t="s">
        <v>1589</v>
      </c>
      <c r="B453" s="18"/>
      <c r="C453" s="15" t="s">
        <v>6699</v>
      </c>
      <c r="D453" s="18"/>
      <c r="E453" s="17" t="s">
        <v>1590</v>
      </c>
      <c r="F453" s="18"/>
      <c r="G453" s="18"/>
      <c r="H453" s="15" t="s">
        <v>1591</v>
      </c>
      <c r="I453" s="18"/>
      <c r="J453" s="19" t="s">
        <v>104</v>
      </c>
      <c r="K453" s="19" t="s">
        <v>402</v>
      </c>
      <c r="L453" s="19" t="s">
        <v>38</v>
      </c>
      <c r="M453" s="20">
        <f t="shared" si="1"/>
        <v>0</v>
      </c>
      <c r="N453" s="22"/>
      <c r="O453" s="19" t="s">
        <v>1145</v>
      </c>
      <c r="P453" s="18"/>
      <c r="Q453" s="18"/>
      <c r="R453" s="23">
        <v>0.0</v>
      </c>
      <c r="S453" s="23">
        <v>0.0</v>
      </c>
      <c r="T453" s="23">
        <f t="shared" si="2"/>
        <v>0</v>
      </c>
      <c r="U453" s="23">
        <f t="shared" si="3"/>
        <v>0</v>
      </c>
      <c r="V453" s="23">
        <f t="shared" si="4"/>
        <v>0</v>
      </c>
      <c r="W453" s="24" t="str">
        <f t="shared" si="5"/>
        <v>#DIV/0!</v>
      </c>
    </row>
    <row r="454" hidden="1">
      <c r="A454" s="15" t="s">
        <v>1592</v>
      </c>
      <c r="B454" s="18"/>
      <c r="C454" s="15" t="s">
        <v>6700</v>
      </c>
      <c r="D454" s="18"/>
      <c r="E454" s="17" t="s">
        <v>1593</v>
      </c>
      <c r="F454" s="18"/>
      <c r="G454" s="18"/>
      <c r="H454" s="15" t="s">
        <v>1594</v>
      </c>
      <c r="I454" s="18"/>
      <c r="J454" s="19" t="s">
        <v>104</v>
      </c>
      <c r="K454" s="19" t="s">
        <v>402</v>
      </c>
      <c r="L454" s="19" t="s">
        <v>38</v>
      </c>
      <c r="M454" s="20">
        <f t="shared" si="1"/>
        <v>0</v>
      </c>
      <c r="N454" s="22"/>
      <c r="O454" s="19" t="s">
        <v>1145</v>
      </c>
      <c r="P454" s="18"/>
      <c r="Q454" s="18"/>
      <c r="R454" s="23">
        <v>0.0</v>
      </c>
      <c r="S454" s="23">
        <v>0.0</v>
      </c>
      <c r="T454" s="23">
        <f t="shared" si="2"/>
        <v>0</v>
      </c>
      <c r="U454" s="23">
        <f t="shared" si="3"/>
        <v>0</v>
      </c>
      <c r="V454" s="23">
        <f t="shared" si="4"/>
        <v>0</v>
      </c>
      <c r="W454" s="24" t="str">
        <f t="shared" si="5"/>
        <v>#DIV/0!</v>
      </c>
    </row>
    <row r="455" hidden="1">
      <c r="A455" s="15" t="s">
        <v>1595</v>
      </c>
      <c r="B455" s="18"/>
      <c r="C455" s="15" t="s">
        <v>6701</v>
      </c>
      <c r="D455" s="18"/>
      <c r="E455" s="17" t="s">
        <v>1593</v>
      </c>
      <c r="F455" s="18"/>
      <c r="G455" s="18"/>
      <c r="H455" s="15" t="s">
        <v>1596</v>
      </c>
      <c r="I455" s="18"/>
      <c r="J455" s="19" t="s">
        <v>104</v>
      </c>
      <c r="K455" s="19" t="s">
        <v>402</v>
      </c>
      <c r="L455" s="19" t="s">
        <v>38</v>
      </c>
      <c r="M455" s="20">
        <f t="shared" si="1"/>
        <v>0</v>
      </c>
      <c r="N455" s="22"/>
      <c r="O455" s="19" t="s">
        <v>1145</v>
      </c>
      <c r="P455" s="18"/>
      <c r="Q455" s="18"/>
      <c r="R455" s="23">
        <v>0.0</v>
      </c>
      <c r="S455" s="23">
        <v>0.0</v>
      </c>
      <c r="T455" s="23">
        <f t="shared" si="2"/>
        <v>0</v>
      </c>
      <c r="U455" s="23">
        <f t="shared" si="3"/>
        <v>0</v>
      </c>
      <c r="V455" s="23">
        <f t="shared" si="4"/>
        <v>0</v>
      </c>
      <c r="W455" s="24" t="str">
        <f t="shared" si="5"/>
        <v>#DIV/0!</v>
      </c>
    </row>
    <row r="456" hidden="1">
      <c r="A456" s="15" t="s">
        <v>1597</v>
      </c>
      <c r="B456" s="18"/>
      <c r="C456" s="15" t="s">
        <v>6702</v>
      </c>
      <c r="D456" s="18"/>
      <c r="E456" s="17" t="s">
        <v>1598</v>
      </c>
      <c r="F456" s="18"/>
      <c r="G456" s="18"/>
      <c r="H456" s="15" t="s">
        <v>1596</v>
      </c>
      <c r="I456" s="18"/>
      <c r="J456" s="19" t="s">
        <v>104</v>
      </c>
      <c r="K456" s="19" t="s">
        <v>402</v>
      </c>
      <c r="L456" s="19" t="s">
        <v>38</v>
      </c>
      <c r="M456" s="20">
        <f t="shared" si="1"/>
        <v>0</v>
      </c>
      <c r="N456" s="22"/>
      <c r="O456" s="19" t="s">
        <v>1145</v>
      </c>
      <c r="P456" s="18"/>
      <c r="Q456" s="18"/>
      <c r="R456" s="23">
        <v>0.0</v>
      </c>
      <c r="S456" s="23">
        <v>0.0</v>
      </c>
      <c r="T456" s="23">
        <f t="shared" si="2"/>
        <v>0</v>
      </c>
      <c r="U456" s="23">
        <f t="shared" si="3"/>
        <v>0</v>
      </c>
      <c r="V456" s="23">
        <f t="shared" si="4"/>
        <v>0</v>
      </c>
      <c r="W456" s="24" t="str">
        <f t="shared" si="5"/>
        <v>#DIV/0!</v>
      </c>
    </row>
    <row r="457" hidden="1">
      <c r="A457" s="15" t="s">
        <v>1599</v>
      </c>
      <c r="B457" s="18"/>
      <c r="C457" s="15" t="s">
        <v>6703</v>
      </c>
      <c r="D457" s="18"/>
      <c r="E457" s="17" t="s">
        <v>1600</v>
      </c>
      <c r="F457" s="18"/>
      <c r="G457" s="18"/>
      <c r="H457" s="15" t="s">
        <v>1601</v>
      </c>
      <c r="I457" s="18"/>
      <c r="J457" s="19" t="s">
        <v>104</v>
      </c>
      <c r="K457" s="19" t="s">
        <v>402</v>
      </c>
      <c r="L457" s="19" t="s">
        <v>38</v>
      </c>
      <c r="M457" s="20">
        <f t="shared" si="1"/>
        <v>0</v>
      </c>
      <c r="N457" s="22"/>
      <c r="O457" s="19" t="s">
        <v>1145</v>
      </c>
      <c r="P457" s="18"/>
      <c r="Q457" s="18"/>
      <c r="R457" s="23">
        <v>0.0</v>
      </c>
      <c r="S457" s="23">
        <v>0.0</v>
      </c>
      <c r="T457" s="23">
        <f t="shared" si="2"/>
        <v>0</v>
      </c>
      <c r="U457" s="23">
        <f t="shared" si="3"/>
        <v>0</v>
      </c>
      <c r="V457" s="23">
        <f t="shared" si="4"/>
        <v>0</v>
      </c>
      <c r="W457" s="24" t="str">
        <f t="shared" si="5"/>
        <v>#DIV/0!</v>
      </c>
    </row>
    <row r="458" hidden="1">
      <c r="A458" s="15" t="s">
        <v>1602</v>
      </c>
      <c r="B458" s="18"/>
      <c r="C458" s="15" t="s">
        <v>6704</v>
      </c>
      <c r="D458" s="18"/>
      <c r="E458" s="17" t="s">
        <v>1603</v>
      </c>
      <c r="F458" s="18"/>
      <c r="G458" s="18"/>
      <c r="H458" s="15" t="s">
        <v>1604</v>
      </c>
      <c r="I458" s="18"/>
      <c r="J458" s="19" t="s">
        <v>104</v>
      </c>
      <c r="K458" s="19" t="s">
        <v>105</v>
      </c>
      <c r="L458" s="19" t="s">
        <v>38</v>
      </c>
      <c r="M458" s="20">
        <f t="shared" si="1"/>
        <v>0</v>
      </c>
      <c r="N458" s="22"/>
      <c r="O458" s="19" t="s">
        <v>1145</v>
      </c>
      <c r="P458" s="18"/>
      <c r="Q458" s="18"/>
      <c r="R458" s="23">
        <v>0.0</v>
      </c>
      <c r="S458" s="23">
        <v>0.0</v>
      </c>
      <c r="T458" s="23">
        <f t="shared" si="2"/>
        <v>0</v>
      </c>
      <c r="U458" s="23">
        <f t="shared" si="3"/>
        <v>0</v>
      </c>
      <c r="V458" s="23">
        <f t="shared" si="4"/>
        <v>0</v>
      </c>
      <c r="W458" s="24" t="str">
        <f t="shared" si="5"/>
        <v>#DIV/0!</v>
      </c>
    </row>
    <row r="459" hidden="1">
      <c r="A459" s="15" t="s">
        <v>1605</v>
      </c>
      <c r="B459" s="18"/>
      <c r="C459" s="15" t="s">
        <v>6705</v>
      </c>
      <c r="D459" s="18"/>
      <c r="E459" s="17" t="s">
        <v>1606</v>
      </c>
      <c r="F459" s="18"/>
      <c r="G459" s="18"/>
      <c r="H459" s="15" t="s">
        <v>1607</v>
      </c>
      <c r="I459" s="18"/>
      <c r="J459" s="19" t="s">
        <v>104</v>
      </c>
      <c r="K459" s="19" t="s">
        <v>402</v>
      </c>
      <c r="L459" s="19" t="s">
        <v>38</v>
      </c>
      <c r="M459" s="20">
        <f t="shared" si="1"/>
        <v>0</v>
      </c>
      <c r="N459" s="22"/>
      <c r="O459" s="19" t="s">
        <v>1145</v>
      </c>
      <c r="P459" s="18"/>
      <c r="Q459" s="18"/>
      <c r="R459" s="23">
        <v>0.0</v>
      </c>
      <c r="S459" s="23">
        <v>0.0</v>
      </c>
      <c r="T459" s="23">
        <f t="shared" si="2"/>
        <v>0</v>
      </c>
      <c r="U459" s="23">
        <f t="shared" si="3"/>
        <v>0</v>
      </c>
      <c r="V459" s="23">
        <f t="shared" si="4"/>
        <v>0</v>
      </c>
      <c r="W459" s="24" t="str">
        <f t="shared" si="5"/>
        <v>#DIV/0!</v>
      </c>
    </row>
    <row r="460" hidden="1">
      <c r="A460" s="15" t="s">
        <v>1608</v>
      </c>
      <c r="B460" s="18"/>
      <c r="C460" s="15" t="s">
        <v>6706</v>
      </c>
      <c r="D460" s="18"/>
      <c r="E460" s="17" t="s">
        <v>1609</v>
      </c>
      <c r="F460" s="18"/>
      <c r="G460" s="18"/>
      <c r="H460" s="15" t="s">
        <v>1610</v>
      </c>
      <c r="I460" s="18"/>
      <c r="J460" s="19" t="s">
        <v>104</v>
      </c>
      <c r="K460" s="19" t="s">
        <v>105</v>
      </c>
      <c r="L460" s="19" t="s">
        <v>38</v>
      </c>
      <c r="M460" s="20">
        <f t="shared" si="1"/>
        <v>0</v>
      </c>
      <c r="N460" s="22"/>
      <c r="O460" s="19" t="s">
        <v>1145</v>
      </c>
      <c r="P460" s="18"/>
      <c r="Q460" s="18"/>
      <c r="R460" s="23">
        <v>0.0</v>
      </c>
      <c r="S460" s="23">
        <v>0.0</v>
      </c>
      <c r="T460" s="23">
        <f t="shared" si="2"/>
        <v>0</v>
      </c>
      <c r="U460" s="23">
        <f t="shared" si="3"/>
        <v>0</v>
      </c>
      <c r="V460" s="23">
        <f t="shared" si="4"/>
        <v>0</v>
      </c>
      <c r="W460" s="24" t="str">
        <f t="shared" si="5"/>
        <v>#DIV/0!</v>
      </c>
    </row>
    <row r="461" hidden="1">
      <c r="A461" s="15" t="s">
        <v>1611</v>
      </c>
      <c r="B461" s="18"/>
      <c r="C461" s="15" t="s">
        <v>6707</v>
      </c>
      <c r="D461" s="18"/>
      <c r="E461" s="17" t="s">
        <v>1612</v>
      </c>
      <c r="F461" s="18"/>
      <c r="G461" s="18"/>
      <c r="H461" s="15" t="s">
        <v>1613</v>
      </c>
      <c r="I461" s="18"/>
      <c r="J461" s="19" t="s">
        <v>104</v>
      </c>
      <c r="K461" s="19" t="s">
        <v>402</v>
      </c>
      <c r="L461" s="19" t="s">
        <v>38</v>
      </c>
      <c r="M461" s="20">
        <f t="shared" si="1"/>
        <v>0</v>
      </c>
      <c r="N461" s="22"/>
      <c r="O461" s="19" t="s">
        <v>1145</v>
      </c>
      <c r="P461" s="18"/>
      <c r="Q461" s="18"/>
      <c r="R461" s="23">
        <v>0.0</v>
      </c>
      <c r="S461" s="23">
        <v>0.0</v>
      </c>
      <c r="T461" s="23">
        <f t="shared" si="2"/>
        <v>0</v>
      </c>
      <c r="U461" s="23">
        <f t="shared" si="3"/>
        <v>0</v>
      </c>
      <c r="V461" s="23">
        <f t="shared" si="4"/>
        <v>0</v>
      </c>
      <c r="W461" s="24" t="str">
        <f t="shared" si="5"/>
        <v>#DIV/0!</v>
      </c>
    </row>
    <row r="462" hidden="1">
      <c r="A462" s="15" t="s">
        <v>1614</v>
      </c>
      <c r="B462" s="18"/>
      <c r="C462" s="15" t="s">
        <v>6708</v>
      </c>
      <c r="D462" s="18"/>
      <c r="E462" s="17" t="s">
        <v>1615</v>
      </c>
      <c r="F462" s="18"/>
      <c r="G462" s="18"/>
      <c r="H462" s="15" t="s">
        <v>1616</v>
      </c>
      <c r="I462" s="18"/>
      <c r="J462" s="19" t="s">
        <v>104</v>
      </c>
      <c r="K462" s="19" t="s">
        <v>105</v>
      </c>
      <c r="L462" s="19" t="s">
        <v>38</v>
      </c>
      <c r="M462" s="20">
        <f t="shared" si="1"/>
        <v>0</v>
      </c>
      <c r="N462" s="22"/>
      <c r="O462" s="19" t="s">
        <v>1145</v>
      </c>
      <c r="P462" s="18"/>
      <c r="Q462" s="18"/>
      <c r="R462" s="23">
        <v>0.0</v>
      </c>
      <c r="S462" s="23">
        <v>0.0</v>
      </c>
      <c r="T462" s="23">
        <f t="shared" si="2"/>
        <v>0</v>
      </c>
      <c r="U462" s="23">
        <f t="shared" si="3"/>
        <v>0</v>
      </c>
      <c r="V462" s="23">
        <f t="shared" si="4"/>
        <v>0</v>
      </c>
      <c r="W462" s="24" t="str">
        <f t="shared" si="5"/>
        <v>#DIV/0!</v>
      </c>
    </row>
    <row r="463" hidden="1">
      <c r="A463" s="15" t="s">
        <v>1617</v>
      </c>
      <c r="B463" s="18"/>
      <c r="C463" s="15" t="s">
        <v>6709</v>
      </c>
      <c r="D463" s="18"/>
      <c r="E463" s="17" t="s">
        <v>1618</v>
      </c>
      <c r="F463" s="18"/>
      <c r="G463" s="18"/>
      <c r="H463" s="15" t="s">
        <v>1619</v>
      </c>
      <c r="I463" s="18"/>
      <c r="J463" s="19" t="s">
        <v>104</v>
      </c>
      <c r="K463" s="19" t="s">
        <v>105</v>
      </c>
      <c r="L463" s="19" t="s">
        <v>38</v>
      </c>
      <c r="M463" s="20">
        <f t="shared" si="1"/>
        <v>0</v>
      </c>
      <c r="N463" s="22"/>
      <c r="O463" s="19" t="s">
        <v>1145</v>
      </c>
      <c r="P463" s="18"/>
      <c r="Q463" s="18"/>
      <c r="R463" s="23">
        <v>0.0</v>
      </c>
      <c r="S463" s="23">
        <v>0.0</v>
      </c>
      <c r="T463" s="23">
        <f t="shared" si="2"/>
        <v>0</v>
      </c>
      <c r="U463" s="23">
        <f t="shared" si="3"/>
        <v>0</v>
      </c>
      <c r="V463" s="23">
        <f t="shared" si="4"/>
        <v>0</v>
      </c>
      <c r="W463" s="24" t="str">
        <f t="shared" si="5"/>
        <v>#DIV/0!</v>
      </c>
    </row>
    <row r="464" hidden="1">
      <c r="A464" s="15" t="s">
        <v>1620</v>
      </c>
      <c r="B464" s="18"/>
      <c r="C464" s="15" t="s">
        <v>6710</v>
      </c>
      <c r="D464" s="18"/>
      <c r="E464" s="17" t="s">
        <v>1621</v>
      </c>
      <c r="F464" s="18"/>
      <c r="G464" s="18"/>
      <c r="H464" s="15" t="s">
        <v>1622</v>
      </c>
      <c r="I464" s="18"/>
      <c r="J464" s="19" t="s">
        <v>104</v>
      </c>
      <c r="K464" s="19" t="s">
        <v>105</v>
      </c>
      <c r="L464" s="19" t="s">
        <v>38</v>
      </c>
      <c r="M464" s="20">
        <f t="shared" si="1"/>
        <v>0</v>
      </c>
      <c r="N464" s="22"/>
      <c r="O464" s="19" t="s">
        <v>1145</v>
      </c>
      <c r="P464" s="18"/>
      <c r="Q464" s="18"/>
      <c r="R464" s="23">
        <v>0.0</v>
      </c>
      <c r="S464" s="23">
        <v>0.0</v>
      </c>
      <c r="T464" s="23">
        <f t="shared" si="2"/>
        <v>0</v>
      </c>
      <c r="U464" s="23">
        <f t="shared" si="3"/>
        <v>0</v>
      </c>
      <c r="V464" s="23">
        <f t="shared" si="4"/>
        <v>0</v>
      </c>
      <c r="W464" s="24" t="str">
        <f t="shared" si="5"/>
        <v>#DIV/0!</v>
      </c>
    </row>
    <row r="465" hidden="1">
      <c r="A465" s="15" t="s">
        <v>1623</v>
      </c>
      <c r="B465" s="18"/>
      <c r="C465" s="15" t="s">
        <v>6711</v>
      </c>
      <c r="D465" s="18"/>
      <c r="E465" s="17" t="s">
        <v>1624</v>
      </c>
      <c r="F465" s="18"/>
      <c r="G465" s="18"/>
      <c r="H465" s="15" t="s">
        <v>1625</v>
      </c>
      <c r="I465" s="18"/>
      <c r="J465" s="19" t="s">
        <v>104</v>
      </c>
      <c r="K465" s="19" t="s">
        <v>105</v>
      </c>
      <c r="L465" s="19" t="s">
        <v>38</v>
      </c>
      <c r="M465" s="20">
        <f t="shared" si="1"/>
        <v>0</v>
      </c>
      <c r="N465" s="22"/>
      <c r="O465" s="19" t="s">
        <v>1145</v>
      </c>
      <c r="P465" s="18"/>
      <c r="Q465" s="18"/>
      <c r="R465" s="23">
        <v>0.0</v>
      </c>
      <c r="S465" s="23">
        <v>0.0</v>
      </c>
      <c r="T465" s="23">
        <f t="shared" si="2"/>
        <v>0</v>
      </c>
      <c r="U465" s="23">
        <f t="shared" si="3"/>
        <v>0</v>
      </c>
      <c r="V465" s="23">
        <f t="shared" si="4"/>
        <v>0</v>
      </c>
      <c r="W465" s="24" t="str">
        <f t="shared" si="5"/>
        <v>#DIV/0!</v>
      </c>
    </row>
    <row r="466" hidden="1">
      <c r="A466" s="15" t="s">
        <v>1626</v>
      </c>
      <c r="B466" s="18"/>
      <c r="C466" s="15" t="s">
        <v>6712</v>
      </c>
      <c r="D466" s="18"/>
      <c r="E466" s="17" t="s">
        <v>1627</v>
      </c>
      <c r="F466" s="18"/>
      <c r="G466" s="18"/>
      <c r="H466" s="15" t="s">
        <v>1628</v>
      </c>
      <c r="I466" s="18"/>
      <c r="J466" s="19" t="s">
        <v>104</v>
      </c>
      <c r="K466" s="19" t="s">
        <v>105</v>
      </c>
      <c r="L466" s="19" t="s">
        <v>38</v>
      </c>
      <c r="M466" s="20">
        <f t="shared" si="1"/>
        <v>0</v>
      </c>
      <c r="N466" s="22"/>
      <c r="O466" s="19" t="s">
        <v>1145</v>
      </c>
      <c r="P466" s="18"/>
      <c r="Q466" s="18"/>
      <c r="R466" s="23">
        <v>0.0</v>
      </c>
      <c r="S466" s="23">
        <v>0.0</v>
      </c>
      <c r="T466" s="23">
        <f t="shared" si="2"/>
        <v>0</v>
      </c>
      <c r="U466" s="23">
        <f t="shared" si="3"/>
        <v>0</v>
      </c>
      <c r="V466" s="23">
        <f t="shared" si="4"/>
        <v>0</v>
      </c>
      <c r="W466" s="24" t="str">
        <f t="shared" si="5"/>
        <v>#DIV/0!</v>
      </c>
    </row>
    <row r="467" hidden="1">
      <c r="A467" s="15" t="s">
        <v>1629</v>
      </c>
      <c r="B467" s="18"/>
      <c r="C467" s="15" t="s">
        <v>6713</v>
      </c>
      <c r="D467" s="18"/>
      <c r="E467" s="17" t="s">
        <v>1630</v>
      </c>
      <c r="F467" s="18"/>
      <c r="G467" s="18"/>
      <c r="H467" s="15" t="s">
        <v>1631</v>
      </c>
      <c r="I467" s="18"/>
      <c r="J467" s="19" t="s">
        <v>104</v>
      </c>
      <c r="K467" s="19" t="s">
        <v>105</v>
      </c>
      <c r="L467" s="19" t="s">
        <v>38</v>
      </c>
      <c r="M467" s="20">
        <f t="shared" si="1"/>
        <v>0</v>
      </c>
      <c r="N467" s="22"/>
      <c r="O467" s="19" t="s">
        <v>1145</v>
      </c>
      <c r="P467" s="18"/>
      <c r="Q467" s="18"/>
      <c r="R467" s="23">
        <v>0.0</v>
      </c>
      <c r="S467" s="23">
        <v>0.0</v>
      </c>
      <c r="T467" s="23">
        <f t="shared" si="2"/>
        <v>0</v>
      </c>
      <c r="U467" s="23">
        <f t="shared" si="3"/>
        <v>0</v>
      </c>
      <c r="V467" s="23">
        <f t="shared" si="4"/>
        <v>0</v>
      </c>
      <c r="W467" s="24" t="str">
        <f t="shared" si="5"/>
        <v>#DIV/0!</v>
      </c>
    </row>
    <row r="468" hidden="1">
      <c r="A468" s="15" t="s">
        <v>1632</v>
      </c>
      <c r="B468" s="18"/>
      <c r="C468" s="15" t="s">
        <v>6714</v>
      </c>
      <c r="D468" s="18"/>
      <c r="E468" s="17" t="s">
        <v>1633</v>
      </c>
      <c r="F468" s="18"/>
      <c r="G468" s="18"/>
      <c r="H468" s="15" t="s">
        <v>1634</v>
      </c>
      <c r="I468" s="18"/>
      <c r="J468" s="19" t="s">
        <v>104</v>
      </c>
      <c r="K468" s="19" t="s">
        <v>105</v>
      </c>
      <c r="L468" s="19" t="s">
        <v>38</v>
      </c>
      <c r="M468" s="20">
        <f t="shared" si="1"/>
        <v>0</v>
      </c>
      <c r="N468" s="22"/>
      <c r="O468" s="19" t="s">
        <v>1145</v>
      </c>
      <c r="P468" s="18"/>
      <c r="Q468" s="18"/>
      <c r="R468" s="23">
        <v>0.0</v>
      </c>
      <c r="S468" s="23">
        <v>0.0</v>
      </c>
      <c r="T468" s="23">
        <f t="shared" si="2"/>
        <v>0</v>
      </c>
      <c r="U468" s="23">
        <f t="shared" si="3"/>
        <v>0</v>
      </c>
      <c r="V468" s="23">
        <f t="shared" si="4"/>
        <v>0</v>
      </c>
      <c r="W468" s="24" t="str">
        <f t="shared" si="5"/>
        <v>#DIV/0!</v>
      </c>
    </row>
    <row r="469" hidden="1">
      <c r="A469" s="15" t="s">
        <v>1635</v>
      </c>
      <c r="B469" s="18"/>
      <c r="C469" s="15" t="s">
        <v>6715</v>
      </c>
      <c r="D469" s="18"/>
      <c r="E469" s="17" t="s">
        <v>1636</v>
      </c>
      <c r="F469" s="18"/>
      <c r="G469" s="18"/>
      <c r="H469" s="15" t="s">
        <v>1637</v>
      </c>
      <c r="I469" s="18"/>
      <c r="J469" s="19" t="s">
        <v>104</v>
      </c>
      <c r="K469" s="19" t="s">
        <v>105</v>
      </c>
      <c r="L469" s="19" t="s">
        <v>38</v>
      </c>
      <c r="M469" s="20">
        <f t="shared" si="1"/>
        <v>0</v>
      </c>
      <c r="N469" s="22"/>
      <c r="O469" s="19" t="s">
        <v>1145</v>
      </c>
      <c r="P469" s="18"/>
      <c r="Q469" s="18"/>
      <c r="R469" s="23">
        <v>0.0</v>
      </c>
      <c r="S469" s="23">
        <v>0.0</v>
      </c>
      <c r="T469" s="23">
        <f t="shared" si="2"/>
        <v>0</v>
      </c>
      <c r="U469" s="23">
        <f t="shared" si="3"/>
        <v>0</v>
      </c>
      <c r="V469" s="23">
        <f t="shared" si="4"/>
        <v>0</v>
      </c>
      <c r="W469" s="24" t="str">
        <f t="shared" si="5"/>
        <v>#DIV/0!</v>
      </c>
    </row>
    <row r="470" hidden="1">
      <c r="A470" s="15" t="s">
        <v>1638</v>
      </c>
      <c r="B470" s="18"/>
      <c r="C470" s="15" t="s">
        <v>6716</v>
      </c>
      <c r="D470" s="18"/>
      <c r="E470" s="17" t="s">
        <v>1639</v>
      </c>
      <c r="F470" s="18"/>
      <c r="G470" s="18"/>
      <c r="H470" s="15" t="s">
        <v>1640</v>
      </c>
      <c r="I470" s="18"/>
      <c r="J470" s="19" t="s">
        <v>104</v>
      </c>
      <c r="K470" s="19" t="s">
        <v>105</v>
      </c>
      <c r="L470" s="19" t="s">
        <v>38</v>
      </c>
      <c r="M470" s="20">
        <f t="shared" si="1"/>
        <v>0</v>
      </c>
      <c r="N470" s="22"/>
      <c r="O470" s="19" t="s">
        <v>1145</v>
      </c>
      <c r="P470" s="18"/>
      <c r="Q470" s="18"/>
      <c r="R470" s="23">
        <v>0.0</v>
      </c>
      <c r="S470" s="23">
        <v>0.0</v>
      </c>
      <c r="T470" s="23">
        <f t="shared" si="2"/>
        <v>0</v>
      </c>
      <c r="U470" s="23">
        <f t="shared" si="3"/>
        <v>0</v>
      </c>
      <c r="V470" s="23">
        <f t="shared" si="4"/>
        <v>0</v>
      </c>
      <c r="W470" s="24" t="str">
        <f t="shared" si="5"/>
        <v>#DIV/0!</v>
      </c>
    </row>
    <row r="471" hidden="1">
      <c r="A471" s="15" t="s">
        <v>1641</v>
      </c>
      <c r="B471" s="18"/>
      <c r="C471" s="15" t="s">
        <v>6717</v>
      </c>
      <c r="D471" s="18"/>
      <c r="E471" s="17" t="s">
        <v>1642</v>
      </c>
      <c r="F471" s="18"/>
      <c r="G471" s="18"/>
      <c r="H471" s="15" t="s">
        <v>1643</v>
      </c>
      <c r="I471" s="18"/>
      <c r="J471" s="19" t="s">
        <v>104</v>
      </c>
      <c r="K471" s="19" t="s">
        <v>105</v>
      </c>
      <c r="L471" s="19" t="s">
        <v>38</v>
      </c>
      <c r="M471" s="20">
        <f t="shared" si="1"/>
        <v>0</v>
      </c>
      <c r="N471" s="22"/>
      <c r="O471" s="19" t="s">
        <v>1145</v>
      </c>
      <c r="P471" s="18"/>
      <c r="Q471" s="18"/>
      <c r="R471" s="23">
        <v>0.0</v>
      </c>
      <c r="S471" s="23">
        <v>0.0</v>
      </c>
      <c r="T471" s="23">
        <f t="shared" si="2"/>
        <v>0</v>
      </c>
      <c r="U471" s="23">
        <f t="shared" si="3"/>
        <v>0</v>
      </c>
      <c r="V471" s="23">
        <f t="shared" si="4"/>
        <v>0</v>
      </c>
      <c r="W471" s="24" t="str">
        <f t="shared" si="5"/>
        <v>#DIV/0!</v>
      </c>
    </row>
    <row r="472" hidden="1">
      <c r="A472" s="15" t="s">
        <v>1644</v>
      </c>
      <c r="B472" s="18"/>
      <c r="C472" s="15" t="s">
        <v>6718</v>
      </c>
      <c r="D472" s="18"/>
      <c r="E472" s="17" t="s">
        <v>1645</v>
      </c>
      <c r="F472" s="18"/>
      <c r="G472" s="18"/>
      <c r="H472" s="15" t="s">
        <v>1646</v>
      </c>
      <c r="I472" s="18"/>
      <c r="J472" s="19" t="s">
        <v>104</v>
      </c>
      <c r="K472" s="19" t="s">
        <v>105</v>
      </c>
      <c r="L472" s="19" t="s">
        <v>38</v>
      </c>
      <c r="M472" s="20">
        <f t="shared" si="1"/>
        <v>0</v>
      </c>
      <c r="N472" s="22"/>
      <c r="O472" s="19" t="s">
        <v>1145</v>
      </c>
      <c r="P472" s="18"/>
      <c r="Q472" s="18"/>
      <c r="R472" s="23">
        <v>0.0</v>
      </c>
      <c r="S472" s="23">
        <v>0.0</v>
      </c>
      <c r="T472" s="23">
        <f t="shared" si="2"/>
        <v>0</v>
      </c>
      <c r="U472" s="23">
        <f t="shared" si="3"/>
        <v>0</v>
      </c>
      <c r="V472" s="23">
        <f t="shared" si="4"/>
        <v>0</v>
      </c>
      <c r="W472" s="24" t="str">
        <f t="shared" si="5"/>
        <v>#DIV/0!</v>
      </c>
    </row>
    <row r="473" hidden="1">
      <c r="A473" s="15" t="s">
        <v>1647</v>
      </c>
      <c r="B473" s="18"/>
      <c r="C473" s="15" t="s">
        <v>6719</v>
      </c>
      <c r="D473" s="18"/>
      <c r="E473" s="17" t="s">
        <v>1648</v>
      </c>
      <c r="F473" s="18"/>
      <c r="G473" s="18"/>
      <c r="H473" s="15" t="s">
        <v>1649</v>
      </c>
      <c r="I473" s="18"/>
      <c r="J473" s="19" t="s">
        <v>104</v>
      </c>
      <c r="K473" s="19" t="s">
        <v>105</v>
      </c>
      <c r="L473" s="19" t="s">
        <v>38</v>
      </c>
      <c r="M473" s="20">
        <f t="shared" si="1"/>
        <v>0</v>
      </c>
      <c r="N473" s="22"/>
      <c r="O473" s="19" t="s">
        <v>1145</v>
      </c>
      <c r="P473" s="18"/>
      <c r="Q473" s="18"/>
      <c r="R473" s="23">
        <v>0.0</v>
      </c>
      <c r="S473" s="23">
        <v>0.0</v>
      </c>
      <c r="T473" s="23">
        <f t="shared" si="2"/>
        <v>0</v>
      </c>
      <c r="U473" s="23">
        <f t="shared" si="3"/>
        <v>0</v>
      </c>
      <c r="V473" s="23">
        <f t="shared" si="4"/>
        <v>0</v>
      </c>
      <c r="W473" s="24" t="str">
        <f t="shared" si="5"/>
        <v>#DIV/0!</v>
      </c>
    </row>
    <row r="474" hidden="1">
      <c r="A474" s="15" t="s">
        <v>1650</v>
      </c>
      <c r="B474" s="18"/>
      <c r="C474" s="15" t="s">
        <v>6720</v>
      </c>
      <c r="D474" s="18"/>
      <c r="E474" s="17" t="s">
        <v>1651</v>
      </c>
      <c r="F474" s="18"/>
      <c r="G474" s="18"/>
      <c r="H474" s="15" t="s">
        <v>1652</v>
      </c>
      <c r="I474" s="18"/>
      <c r="J474" s="19" t="s">
        <v>104</v>
      </c>
      <c r="K474" s="19" t="s">
        <v>105</v>
      </c>
      <c r="L474" s="19" t="s">
        <v>38</v>
      </c>
      <c r="M474" s="20">
        <f t="shared" si="1"/>
        <v>0</v>
      </c>
      <c r="N474" s="22"/>
      <c r="O474" s="19" t="s">
        <v>1145</v>
      </c>
      <c r="P474" s="18"/>
      <c r="Q474" s="18"/>
      <c r="R474" s="23">
        <v>0.0</v>
      </c>
      <c r="S474" s="23">
        <v>0.0</v>
      </c>
      <c r="T474" s="23">
        <f t="shared" si="2"/>
        <v>0</v>
      </c>
      <c r="U474" s="23">
        <f t="shared" si="3"/>
        <v>0</v>
      </c>
      <c r="V474" s="23">
        <f t="shared" si="4"/>
        <v>0</v>
      </c>
      <c r="W474" s="24" t="str">
        <f t="shared" si="5"/>
        <v>#DIV/0!</v>
      </c>
    </row>
    <row r="475" hidden="1">
      <c r="A475" s="15" t="s">
        <v>1653</v>
      </c>
      <c r="B475" s="18"/>
      <c r="C475" s="15" t="s">
        <v>6721</v>
      </c>
      <c r="D475" s="18"/>
      <c r="E475" s="17" t="s">
        <v>1654</v>
      </c>
      <c r="F475" s="18"/>
      <c r="G475" s="18"/>
      <c r="H475" s="15" t="s">
        <v>1655</v>
      </c>
      <c r="I475" s="18"/>
      <c r="J475" s="19" t="s">
        <v>104</v>
      </c>
      <c r="K475" s="19" t="s">
        <v>105</v>
      </c>
      <c r="L475" s="19" t="s">
        <v>38</v>
      </c>
      <c r="M475" s="20">
        <f t="shared" si="1"/>
        <v>0</v>
      </c>
      <c r="N475" s="22"/>
      <c r="O475" s="19" t="s">
        <v>1145</v>
      </c>
      <c r="P475" s="18"/>
      <c r="Q475" s="18"/>
      <c r="R475" s="23">
        <v>0.0</v>
      </c>
      <c r="S475" s="23">
        <v>0.0</v>
      </c>
      <c r="T475" s="23">
        <f t="shared" si="2"/>
        <v>0</v>
      </c>
      <c r="U475" s="23">
        <f t="shared" si="3"/>
        <v>0</v>
      </c>
      <c r="V475" s="23">
        <f t="shared" si="4"/>
        <v>0</v>
      </c>
      <c r="W475" s="24" t="str">
        <f t="shared" si="5"/>
        <v>#DIV/0!</v>
      </c>
    </row>
    <row r="476" hidden="1">
      <c r="A476" s="15" t="s">
        <v>1656</v>
      </c>
      <c r="B476" s="18"/>
      <c r="C476" s="15" t="s">
        <v>6722</v>
      </c>
      <c r="D476" s="18"/>
      <c r="E476" s="17" t="s">
        <v>1657</v>
      </c>
      <c r="F476" s="18"/>
      <c r="G476" s="18"/>
      <c r="H476" s="15" t="s">
        <v>1658</v>
      </c>
      <c r="I476" s="18"/>
      <c r="J476" s="19" t="s">
        <v>104</v>
      </c>
      <c r="K476" s="19" t="s">
        <v>105</v>
      </c>
      <c r="L476" s="19" t="s">
        <v>38</v>
      </c>
      <c r="M476" s="20">
        <f t="shared" si="1"/>
        <v>0</v>
      </c>
      <c r="N476" s="22"/>
      <c r="O476" s="19" t="s">
        <v>1145</v>
      </c>
      <c r="P476" s="18"/>
      <c r="Q476" s="18"/>
      <c r="R476" s="23">
        <v>0.0</v>
      </c>
      <c r="S476" s="23">
        <v>0.0</v>
      </c>
      <c r="T476" s="23">
        <f t="shared" si="2"/>
        <v>0</v>
      </c>
      <c r="U476" s="23">
        <f t="shared" si="3"/>
        <v>0</v>
      </c>
      <c r="V476" s="23">
        <f t="shared" si="4"/>
        <v>0</v>
      </c>
      <c r="W476" s="24" t="str">
        <f t="shared" si="5"/>
        <v>#DIV/0!</v>
      </c>
    </row>
    <row r="477" hidden="1">
      <c r="A477" s="15" t="s">
        <v>1659</v>
      </c>
      <c r="B477" s="18"/>
      <c r="C477" s="15" t="s">
        <v>6723</v>
      </c>
      <c r="D477" s="18"/>
      <c r="E477" s="17" t="s">
        <v>1660</v>
      </c>
      <c r="F477" s="18"/>
      <c r="G477" s="18"/>
      <c r="H477" s="15" t="s">
        <v>1661</v>
      </c>
      <c r="I477" s="18"/>
      <c r="J477" s="19" t="s">
        <v>104</v>
      </c>
      <c r="K477" s="19" t="s">
        <v>105</v>
      </c>
      <c r="L477" s="19" t="s">
        <v>38</v>
      </c>
      <c r="M477" s="20">
        <f t="shared" si="1"/>
        <v>0</v>
      </c>
      <c r="N477" s="22"/>
      <c r="O477" s="19" t="s">
        <v>1145</v>
      </c>
      <c r="P477" s="18"/>
      <c r="Q477" s="18"/>
      <c r="R477" s="23">
        <v>0.0</v>
      </c>
      <c r="S477" s="23">
        <v>0.0</v>
      </c>
      <c r="T477" s="23">
        <f t="shared" si="2"/>
        <v>0</v>
      </c>
      <c r="U477" s="23">
        <f t="shared" si="3"/>
        <v>0</v>
      </c>
      <c r="V477" s="23">
        <f t="shared" si="4"/>
        <v>0</v>
      </c>
      <c r="W477" s="24" t="str">
        <f t="shared" si="5"/>
        <v>#DIV/0!</v>
      </c>
    </row>
    <row r="478" hidden="1">
      <c r="A478" s="15" t="s">
        <v>1662</v>
      </c>
      <c r="B478" s="18"/>
      <c r="C478" s="15" t="s">
        <v>6724</v>
      </c>
      <c r="D478" s="18"/>
      <c r="E478" s="17" t="s">
        <v>1663</v>
      </c>
      <c r="F478" s="18"/>
      <c r="G478" s="18"/>
      <c r="H478" s="15" t="s">
        <v>1664</v>
      </c>
      <c r="I478" s="18"/>
      <c r="J478" s="19" t="s">
        <v>104</v>
      </c>
      <c r="K478" s="19" t="s">
        <v>105</v>
      </c>
      <c r="L478" s="19" t="s">
        <v>38</v>
      </c>
      <c r="M478" s="20">
        <f t="shared" si="1"/>
        <v>0</v>
      </c>
      <c r="N478" s="22"/>
      <c r="O478" s="19" t="s">
        <v>1145</v>
      </c>
      <c r="P478" s="18"/>
      <c r="Q478" s="18"/>
      <c r="R478" s="23">
        <v>0.0</v>
      </c>
      <c r="S478" s="23">
        <v>0.0</v>
      </c>
      <c r="T478" s="23">
        <f t="shared" si="2"/>
        <v>0</v>
      </c>
      <c r="U478" s="23">
        <f t="shared" si="3"/>
        <v>0</v>
      </c>
      <c r="V478" s="23">
        <f t="shared" si="4"/>
        <v>0</v>
      </c>
      <c r="W478" s="24" t="str">
        <f t="shared" si="5"/>
        <v>#DIV/0!</v>
      </c>
    </row>
    <row r="479" hidden="1">
      <c r="A479" s="15" t="s">
        <v>1665</v>
      </c>
      <c r="B479" s="18"/>
      <c r="C479" s="15" t="s">
        <v>6725</v>
      </c>
      <c r="D479" s="18"/>
      <c r="E479" s="17" t="s">
        <v>1666</v>
      </c>
      <c r="F479" s="18"/>
      <c r="G479" s="18"/>
      <c r="H479" s="15" t="s">
        <v>1667</v>
      </c>
      <c r="I479" s="18"/>
      <c r="J479" s="19" t="s">
        <v>104</v>
      </c>
      <c r="K479" s="19" t="s">
        <v>105</v>
      </c>
      <c r="L479" s="19" t="s">
        <v>38</v>
      </c>
      <c r="M479" s="20">
        <f t="shared" si="1"/>
        <v>0</v>
      </c>
      <c r="N479" s="22"/>
      <c r="O479" s="19" t="s">
        <v>1145</v>
      </c>
      <c r="P479" s="18"/>
      <c r="Q479" s="18"/>
      <c r="R479" s="23">
        <v>0.0</v>
      </c>
      <c r="S479" s="23">
        <v>0.0</v>
      </c>
      <c r="T479" s="23">
        <f t="shared" si="2"/>
        <v>0</v>
      </c>
      <c r="U479" s="23">
        <f t="shared" si="3"/>
        <v>0</v>
      </c>
      <c r="V479" s="23">
        <f t="shared" si="4"/>
        <v>0</v>
      </c>
      <c r="W479" s="24" t="str">
        <f t="shared" si="5"/>
        <v>#DIV/0!</v>
      </c>
    </row>
    <row r="480" hidden="1">
      <c r="A480" s="15" t="s">
        <v>1668</v>
      </c>
      <c r="B480" s="18"/>
      <c r="C480" s="15" t="s">
        <v>6726</v>
      </c>
      <c r="D480" s="18"/>
      <c r="E480" s="17" t="s">
        <v>1669</v>
      </c>
      <c r="F480" s="18"/>
      <c r="G480" s="18"/>
      <c r="H480" s="15" t="s">
        <v>1670</v>
      </c>
      <c r="I480" s="18"/>
      <c r="J480" s="19" t="s">
        <v>104</v>
      </c>
      <c r="K480" s="19" t="s">
        <v>105</v>
      </c>
      <c r="L480" s="19" t="s">
        <v>38</v>
      </c>
      <c r="M480" s="20">
        <f t="shared" si="1"/>
        <v>0</v>
      </c>
      <c r="N480" s="22"/>
      <c r="O480" s="19" t="s">
        <v>1145</v>
      </c>
      <c r="P480" s="18"/>
      <c r="Q480" s="18"/>
      <c r="R480" s="23">
        <v>0.0</v>
      </c>
      <c r="S480" s="23">
        <v>0.0</v>
      </c>
      <c r="T480" s="23">
        <f t="shared" si="2"/>
        <v>0</v>
      </c>
      <c r="U480" s="23">
        <f t="shared" si="3"/>
        <v>0</v>
      </c>
      <c r="V480" s="23">
        <f t="shared" si="4"/>
        <v>0</v>
      </c>
      <c r="W480" s="24" t="str">
        <f t="shared" si="5"/>
        <v>#DIV/0!</v>
      </c>
    </row>
    <row r="481" hidden="1">
      <c r="A481" s="15" t="s">
        <v>1671</v>
      </c>
      <c r="B481" s="18"/>
      <c r="C481" s="15" t="s">
        <v>6727</v>
      </c>
      <c r="D481" s="18"/>
      <c r="E481" s="17" t="s">
        <v>1672</v>
      </c>
      <c r="F481" s="18"/>
      <c r="G481" s="18"/>
      <c r="H481" s="15" t="s">
        <v>1673</v>
      </c>
      <c r="I481" s="18"/>
      <c r="J481" s="19" t="s">
        <v>1674</v>
      </c>
      <c r="K481" s="19" t="s">
        <v>105</v>
      </c>
      <c r="L481" s="19" t="s">
        <v>38</v>
      </c>
      <c r="M481" s="20">
        <f t="shared" si="1"/>
        <v>0</v>
      </c>
      <c r="N481" s="22"/>
      <c r="O481" s="19" t="s">
        <v>1145</v>
      </c>
      <c r="P481" s="18"/>
      <c r="Q481" s="18"/>
      <c r="R481" s="23">
        <v>0.0</v>
      </c>
      <c r="S481" s="23">
        <v>0.0</v>
      </c>
      <c r="T481" s="23">
        <f t="shared" si="2"/>
        <v>0</v>
      </c>
      <c r="U481" s="23">
        <f t="shared" si="3"/>
        <v>0</v>
      </c>
      <c r="V481" s="23">
        <f t="shared" si="4"/>
        <v>0</v>
      </c>
      <c r="W481" s="24" t="str">
        <f t="shared" si="5"/>
        <v>#DIV/0!</v>
      </c>
    </row>
    <row r="482" hidden="1">
      <c r="A482" s="15" t="s">
        <v>1675</v>
      </c>
      <c r="B482" s="18"/>
      <c r="C482" s="15" t="s">
        <v>6728</v>
      </c>
      <c r="D482" s="18"/>
      <c r="E482" s="17" t="s">
        <v>1676</v>
      </c>
      <c r="F482" s="18"/>
      <c r="G482" s="18"/>
      <c r="H482" s="15" t="s">
        <v>1677</v>
      </c>
      <c r="I482" s="18"/>
      <c r="J482" s="19" t="s">
        <v>1674</v>
      </c>
      <c r="K482" s="19" t="s">
        <v>37</v>
      </c>
      <c r="L482" s="19" t="s">
        <v>38</v>
      </c>
      <c r="M482" s="20">
        <f t="shared" si="1"/>
        <v>0</v>
      </c>
      <c r="N482" s="22"/>
      <c r="O482" s="19" t="s">
        <v>1145</v>
      </c>
      <c r="P482" s="18"/>
      <c r="Q482" s="18"/>
      <c r="R482" s="23">
        <v>0.0</v>
      </c>
      <c r="S482" s="23">
        <v>0.0</v>
      </c>
      <c r="T482" s="23">
        <f t="shared" si="2"/>
        <v>0</v>
      </c>
      <c r="U482" s="23">
        <f t="shared" si="3"/>
        <v>0</v>
      </c>
      <c r="V482" s="23">
        <f t="shared" si="4"/>
        <v>0</v>
      </c>
      <c r="W482" s="24" t="str">
        <f t="shared" si="5"/>
        <v>#DIV/0!</v>
      </c>
    </row>
    <row r="483" hidden="1">
      <c r="A483" s="15" t="s">
        <v>1678</v>
      </c>
      <c r="B483" s="18"/>
      <c r="C483" s="15" t="s">
        <v>6729</v>
      </c>
      <c r="D483" s="18"/>
      <c r="E483" s="17" t="s">
        <v>1679</v>
      </c>
      <c r="F483" s="18"/>
      <c r="G483" s="18"/>
      <c r="H483" s="15" t="s">
        <v>1680</v>
      </c>
      <c r="I483" s="18"/>
      <c r="J483" s="19" t="s">
        <v>1674</v>
      </c>
      <c r="K483" s="19" t="s">
        <v>402</v>
      </c>
      <c r="L483" s="19" t="s">
        <v>38</v>
      </c>
      <c r="M483" s="20">
        <f t="shared" si="1"/>
        <v>0</v>
      </c>
      <c r="N483" s="22"/>
      <c r="O483" s="19" t="s">
        <v>1145</v>
      </c>
      <c r="P483" s="18"/>
      <c r="Q483" s="18"/>
      <c r="R483" s="23">
        <v>0.0</v>
      </c>
      <c r="S483" s="23">
        <v>0.0</v>
      </c>
      <c r="T483" s="23">
        <f t="shared" si="2"/>
        <v>0</v>
      </c>
      <c r="U483" s="23">
        <f t="shared" si="3"/>
        <v>0</v>
      </c>
      <c r="V483" s="23">
        <f t="shared" si="4"/>
        <v>0</v>
      </c>
      <c r="W483" s="24" t="str">
        <f t="shared" si="5"/>
        <v>#DIV/0!</v>
      </c>
    </row>
    <row r="484" hidden="1">
      <c r="A484" s="15" t="s">
        <v>6730</v>
      </c>
      <c r="B484" s="18"/>
      <c r="C484" s="15" t="s">
        <v>6731</v>
      </c>
      <c r="D484" s="18"/>
      <c r="E484" s="17" t="s">
        <v>916</v>
      </c>
      <c r="F484" s="18"/>
      <c r="G484" s="18"/>
      <c r="H484" s="15" t="s">
        <v>6732</v>
      </c>
      <c r="I484" s="18"/>
      <c r="J484" s="19" t="s">
        <v>1674</v>
      </c>
      <c r="K484" s="19" t="s">
        <v>402</v>
      </c>
      <c r="L484" s="19" t="s">
        <v>38</v>
      </c>
      <c r="M484" s="20">
        <f t="shared" si="1"/>
        <v>0</v>
      </c>
      <c r="N484" s="22"/>
      <c r="O484" s="19" t="s">
        <v>39</v>
      </c>
      <c r="P484" s="18"/>
      <c r="Q484" s="18"/>
      <c r="R484" s="23">
        <v>0.0</v>
      </c>
      <c r="S484" s="23">
        <v>0.0</v>
      </c>
      <c r="T484" s="23">
        <f t="shared" si="2"/>
        <v>0</v>
      </c>
      <c r="U484" s="23">
        <f t="shared" si="3"/>
        <v>0</v>
      </c>
      <c r="V484" s="23">
        <f t="shared" si="4"/>
        <v>0</v>
      </c>
      <c r="W484" s="24" t="str">
        <f t="shared" si="5"/>
        <v>#DIV/0!</v>
      </c>
    </row>
    <row r="485" hidden="1">
      <c r="A485" s="15" t="s">
        <v>6733</v>
      </c>
      <c r="B485" s="18"/>
      <c r="C485" s="15" t="s">
        <v>6734</v>
      </c>
      <c r="D485" s="18"/>
      <c r="E485" s="17" t="s">
        <v>6735</v>
      </c>
      <c r="F485" s="18"/>
      <c r="G485" s="18"/>
      <c r="H485" s="15" t="s">
        <v>6736</v>
      </c>
      <c r="I485" s="18"/>
      <c r="J485" s="19" t="s">
        <v>1674</v>
      </c>
      <c r="K485" s="19" t="s">
        <v>402</v>
      </c>
      <c r="L485" s="19" t="s">
        <v>38</v>
      </c>
      <c r="M485" s="20">
        <f t="shared" si="1"/>
        <v>0</v>
      </c>
      <c r="N485" s="22"/>
      <c r="O485" s="19" t="s">
        <v>39</v>
      </c>
      <c r="P485" s="18"/>
      <c r="Q485" s="18"/>
      <c r="R485" s="23">
        <v>0.0</v>
      </c>
      <c r="S485" s="23">
        <v>0.0</v>
      </c>
      <c r="T485" s="23">
        <f t="shared" si="2"/>
        <v>0</v>
      </c>
      <c r="U485" s="23">
        <f t="shared" si="3"/>
        <v>0</v>
      </c>
      <c r="V485" s="23">
        <f t="shared" si="4"/>
        <v>0</v>
      </c>
      <c r="W485" s="24" t="str">
        <f t="shared" si="5"/>
        <v>#DIV/0!</v>
      </c>
    </row>
    <row r="486" hidden="1">
      <c r="A486" s="15" t="s">
        <v>6737</v>
      </c>
      <c r="B486" s="18"/>
      <c r="C486" s="15" t="s">
        <v>6738</v>
      </c>
      <c r="D486" s="18"/>
      <c r="E486" s="17" t="s">
        <v>6739</v>
      </c>
      <c r="F486" s="18"/>
      <c r="G486" s="18"/>
      <c r="H486" s="15" t="s">
        <v>6740</v>
      </c>
      <c r="I486" s="18"/>
      <c r="J486" s="19" t="s">
        <v>1674</v>
      </c>
      <c r="K486" s="19" t="s">
        <v>402</v>
      </c>
      <c r="L486" s="19" t="s">
        <v>38</v>
      </c>
      <c r="M486" s="20">
        <f t="shared" si="1"/>
        <v>0</v>
      </c>
      <c r="N486" s="22"/>
      <c r="O486" s="19" t="s">
        <v>39</v>
      </c>
      <c r="P486" s="18"/>
      <c r="Q486" s="18"/>
      <c r="R486" s="23">
        <v>0.0</v>
      </c>
      <c r="S486" s="23">
        <v>0.0</v>
      </c>
      <c r="T486" s="23">
        <f t="shared" si="2"/>
        <v>0</v>
      </c>
      <c r="U486" s="23">
        <f t="shared" si="3"/>
        <v>0</v>
      </c>
      <c r="V486" s="23">
        <f t="shared" si="4"/>
        <v>0</v>
      </c>
      <c r="W486" s="24" t="str">
        <f t="shared" si="5"/>
        <v>#DIV/0!</v>
      </c>
    </row>
    <row r="487" hidden="1">
      <c r="A487" s="15" t="s">
        <v>1681</v>
      </c>
      <c r="B487" s="18"/>
      <c r="C487" s="15" t="s">
        <v>6741</v>
      </c>
      <c r="D487" s="18"/>
      <c r="E487" s="17" t="s">
        <v>1682</v>
      </c>
      <c r="F487" s="18"/>
      <c r="G487" s="18"/>
      <c r="H487" s="15" t="s">
        <v>1683</v>
      </c>
      <c r="I487" s="18"/>
      <c r="J487" s="19" t="s">
        <v>1674</v>
      </c>
      <c r="K487" s="19" t="s">
        <v>37</v>
      </c>
      <c r="L487" s="19" t="s">
        <v>38</v>
      </c>
      <c r="M487" s="20">
        <f t="shared" si="1"/>
        <v>0</v>
      </c>
      <c r="N487" s="22"/>
      <c r="O487" s="19" t="s">
        <v>1145</v>
      </c>
      <c r="P487" s="18"/>
      <c r="Q487" s="18"/>
      <c r="R487" s="23">
        <v>0.0</v>
      </c>
      <c r="S487" s="23">
        <v>0.0</v>
      </c>
      <c r="T487" s="23">
        <f t="shared" si="2"/>
        <v>0</v>
      </c>
      <c r="U487" s="23">
        <f t="shared" si="3"/>
        <v>0</v>
      </c>
      <c r="V487" s="23">
        <f t="shared" si="4"/>
        <v>0</v>
      </c>
      <c r="W487" s="24" t="str">
        <f t="shared" si="5"/>
        <v>#DIV/0!</v>
      </c>
    </row>
    <row r="488" hidden="1">
      <c r="A488" s="15" t="s">
        <v>6742</v>
      </c>
      <c r="B488" s="18"/>
      <c r="C488" s="15" t="s">
        <v>6743</v>
      </c>
      <c r="D488" s="18"/>
      <c r="E488" s="17" t="s">
        <v>6744</v>
      </c>
      <c r="F488" s="18"/>
      <c r="G488" s="18"/>
      <c r="H488" s="15" t="s">
        <v>6745</v>
      </c>
      <c r="I488" s="18"/>
      <c r="J488" s="19" t="s">
        <v>1674</v>
      </c>
      <c r="K488" s="19" t="s">
        <v>402</v>
      </c>
      <c r="L488" s="19" t="s">
        <v>38</v>
      </c>
      <c r="M488" s="20">
        <f t="shared" si="1"/>
        <v>0</v>
      </c>
      <c r="N488" s="22"/>
      <c r="O488" s="19" t="s">
        <v>39</v>
      </c>
      <c r="P488" s="18"/>
      <c r="Q488" s="18"/>
      <c r="R488" s="23">
        <v>0.0</v>
      </c>
      <c r="S488" s="23">
        <v>0.0</v>
      </c>
      <c r="T488" s="23">
        <f t="shared" si="2"/>
        <v>0</v>
      </c>
      <c r="U488" s="23">
        <f t="shared" si="3"/>
        <v>0</v>
      </c>
      <c r="V488" s="23">
        <f t="shared" si="4"/>
        <v>0</v>
      </c>
      <c r="W488" s="24" t="str">
        <f t="shared" si="5"/>
        <v>#DIV/0!</v>
      </c>
    </row>
    <row r="489" hidden="1">
      <c r="A489" s="15" t="s">
        <v>1684</v>
      </c>
      <c r="B489" s="18"/>
      <c r="C489" s="15" t="s">
        <v>6746</v>
      </c>
      <c r="D489" s="18"/>
      <c r="E489" s="17" t="s">
        <v>1685</v>
      </c>
      <c r="F489" s="18"/>
      <c r="G489" s="18"/>
      <c r="H489" s="15" t="s">
        <v>1686</v>
      </c>
      <c r="I489" s="18"/>
      <c r="J489" s="19" t="s">
        <v>1674</v>
      </c>
      <c r="K489" s="19" t="s">
        <v>37</v>
      </c>
      <c r="L489" s="19" t="s">
        <v>38</v>
      </c>
      <c r="M489" s="20">
        <f t="shared" si="1"/>
        <v>0</v>
      </c>
      <c r="N489" s="22"/>
      <c r="O489" s="19" t="s">
        <v>1145</v>
      </c>
      <c r="P489" s="18"/>
      <c r="Q489" s="18"/>
      <c r="R489" s="23">
        <v>0.0</v>
      </c>
      <c r="S489" s="23">
        <v>0.0</v>
      </c>
      <c r="T489" s="23">
        <f t="shared" si="2"/>
        <v>0</v>
      </c>
      <c r="U489" s="23">
        <f t="shared" si="3"/>
        <v>0</v>
      </c>
      <c r="V489" s="23">
        <f t="shared" si="4"/>
        <v>0</v>
      </c>
      <c r="W489" s="24" t="str">
        <f t="shared" si="5"/>
        <v>#DIV/0!</v>
      </c>
    </row>
    <row r="490" hidden="1">
      <c r="A490" s="15" t="s">
        <v>1687</v>
      </c>
      <c r="B490" s="18"/>
      <c r="C490" s="15" t="s">
        <v>6747</v>
      </c>
      <c r="D490" s="18"/>
      <c r="E490" s="17" t="s">
        <v>1688</v>
      </c>
      <c r="F490" s="18"/>
      <c r="G490" s="18"/>
      <c r="H490" s="15" t="s">
        <v>1689</v>
      </c>
      <c r="I490" s="18"/>
      <c r="J490" s="19" t="s">
        <v>1674</v>
      </c>
      <c r="K490" s="19" t="s">
        <v>105</v>
      </c>
      <c r="L490" s="19" t="s">
        <v>38</v>
      </c>
      <c r="M490" s="20">
        <f t="shared" si="1"/>
        <v>0</v>
      </c>
      <c r="N490" s="22"/>
      <c r="O490" s="19" t="s">
        <v>1145</v>
      </c>
      <c r="P490" s="18"/>
      <c r="Q490" s="18"/>
      <c r="R490" s="23">
        <v>0.0</v>
      </c>
      <c r="S490" s="23">
        <v>0.0</v>
      </c>
      <c r="T490" s="23">
        <f t="shared" si="2"/>
        <v>0</v>
      </c>
      <c r="U490" s="23">
        <f t="shared" si="3"/>
        <v>0</v>
      </c>
      <c r="V490" s="23">
        <f t="shared" si="4"/>
        <v>0</v>
      </c>
      <c r="W490" s="24" t="str">
        <f t="shared" si="5"/>
        <v>#DIV/0!</v>
      </c>
    </row>
    <row r="491" hidden="1">
      <c r="A491" s="15" t="s">
        <v>1690</v>
      </c>
      <c r="B491" s="18"/>
      <c r="C491" s="15" t="s">
        <v>6748</v>
      </c>
      <c r="D491" s="18"/>
      <c r="E491" s="17" t="s">
        <v>1691</v>
      </c>
      <c r="F491" s="18"/>
      <c r="G491" s="18"/>
      <c r="H491" s="15" t="s">
        <v>1692</v>
      </c>
      <c r="I491" s="18"/>
      <c r="J491" s="19" t="s">
        <v>1674</v>
      </c>
      <c r="K491" s="19" t="s">
        <v>105</v>
      </c>
      <c r="L491" s="19" t="s">
        <v>38</v>
      </c>
      <c r="M491" s="20">
        <f t="shared" si="1"/>
        <v>0</v>
      </c>
      <c r="N491" s="22"/>
      <c r="O491" s="19" t="s">
        <v>1145</v>
      </c>
      <c r="P491" s="18"/>
      <c r="Q491" s="18"/>
      <c r="R491" s="23">
        <v>0.0</v>
      </c>
      <c r="S491" s="23">
        <v>0.0</v>
      </c>
      <c r="T491" s="23">
        <f t="shared" si="2"/>
        <v>0</v>
      </c>
      <c r="U491" s="23">
        <f t="shared" si="3"/>
        <v>0</v>
      </c>
      <c r="V491" s="23">
        <f t="shared" si="4"/>
        <v>0</v>
      </c>
      <c r="W491" s="24" t="str">
        <f t="shared" si="5"/>
        <v>#DIV/0!</v>
      </c>
    </row>
    <row r="492" hidden="1">
      <c r="A492" s="15" t="s">
        <v>1693</v>
      </c>
      <c r="B492" s="18"/>
      <c r="C492" s="15" t="s">
        <v>6749</v>
      </c>
      <c r="D492" s="18"/>
      <c r="E492" s="17" t="s">
        <v>1694</v>
      </c>
      <c r="F492" s="18"/>
      <c r="G492" s="18"/>
      <c r="H492" s="15" t="s">
        <v>1695</v>
      </c>
      <c r="I492" s="18"/>
      <c r="J492" s="19" t="s">
        <v>1674</v>
      </c>
      <c r="K492" s="19" t="s">
        <v>1230</v>
      </c>
      <c r="L492" s="19" t="s">
        <v>38</v>
      </c>
      <c r="M492" s="20">
        <f t="shared" si="1"/>
        <v>0</v>
      </c>
      <c r="N492" s="22"/>
      <c r="O492" s="19" t="s">
        <v>1145</v>
      </c>
      <c r="P492" s="18"/>
      <c r="Q492" s="18"/>
      <c r="R492" s="23">
        <v>0.0</v>
      </c>
      <c r="S492" s="23">
        <v>0.0</v>
      </c>
      <c r="T492" s="23">
        <f t="shared" si="2"/>
        <v>0</v>
      </c>
      <c r="U492" s="23">
        <f t="shared" si="3"/>
        <v>0</v>
      </c>
      <c r="V492" s="23">
        <f t="shared" si="4"/>
        <v>0</v>
      </c>
      <c r="W492" s="24" t="str">
        <f t="shared" si="5"/>
        <v>#DIV/0!</v>
      </c>
    </row>
    <row r="493" hidden="1">
      <c r="A493" s="15" t="s">
        <v>1696</v>
      </c>
      <c r="B493" s="18"/>
      <c r="C493" s="15" t="s">
        <v>6750</v>
      </c>
      <c r="D493" s="18"/>
      <c r="E493" s="17" t="s">
        <v>1697</v>
      </c>
      <c r="F493" s="18"/>
      <c r="G493" s="18"/>
      <c r="H493" s="15" t="s">
        <v>1698</v>
      </c>
      <c r="I493" s="18"/>
      <c r="J493" s="19" t="s">
        <v>1674</v>
      </c>
      <c r="K493" s="19" t="s">
        <v>1230</v>
      </c>
      <c r="L493" s="19" t="s">
        <v>38</v>
      </c>
      <c r="M493" s="20">
        <f t="shared" si="1"/>
        <v>0</v>
      </c>
      <c r="N493" s="22"/>
      <c r="O493" s="19" t="s">
        <v>1145</v>
      </c>
      <c r="P493" s="18"/>
      <c r="Q493" s="18"/>
      <c r="R493" s="23">
        <v>0.0</v>
      </c>
      <c r="S493" s="23">
        <v>0.0</v>
      </c>
      <c r="T493" s="23">
        <f t="shared" si="2"/>
        <v>0</v>
      </c>
      <c r="U493" s="23">
        <f t="shared" si="3"/>
        <v>0</v>
      </c>
      <c r="V493" s="23">
        <f t="shared" si="4"/>
        <v>0</v>
      </c>
      <c r="W493" s="24" t="str">
        <f t="shared" si="5"/>
        <v>#DIV/0!</v>
      </c>
    </row>
    <row r="494" hidden="1">
      <c r="A494" s="15" t="s">
        <v>1699</v>
      </c>
      <c r="B494" s="18"/>
      <c r="C494" s="15" t="s">
        <v>6751</v>
      </c>
      <c r="D494" s="18"/>
      <c r="E494" s="17" t="s">
        <v>1700</v>
      </c>
      <c r="F494" s="18"/>
      <c r="G494" s="18"/>
      <c r="H494" s="15" t="s">
        <v>1701</v>
      </c>
      <c r="I494" s="18"/>
      <c r="J494" s="19" t="s">
        <v>1674</v>
      </c>
      <c r="K494" s="19" t="s">
        <v>402</v>
      </c>
      <c r="L494" s="19" t="s">
        <v>38</v>
      </c>
      <c r="M494" s="20">
        <f t="shared" si="1"/>
        <v>0</v>
      </c>
      <c r="N494" s="22"/>
      <c r="O494" s="19" t="s">
        <v>1145</v>
      </c>
      <c r="P494" s="18"/>
      <c r="Q494" s="18"/>
      <c r="R494" s="23">
        <v>0.0</v>
      </c>
      <c r="S494" s="23">
        <v>0.0</v>
      </c>
      <c r="T494" s="23">
        <f t="shared" si="2"/>
        <v>0</v>
      </c>
      <c r="U494" s="23">
        <f t="shared" si="3"/>
        <v>0</v>
      </c>
      <c r="V494" s="23">
        <f t="shared" si="4"/>
        <v>0</v>
      </c>
      <c r="W494" s="24" t="str">
        <f t="shared" si="5"/>
        <v>#DIV/0!</v>
      </c>
    </row>
    <row r="495" hidden="1">
      <c r="A495" s="15" t="s">
        <v>1702</v>
      </c>
      <c r="B495" s="18"/>
      <c r="C495" s="15" t="s">
        <v>6752</v>
      </c>
      <c r="D495" s="18"/>
      <c r="E495" s="17" t="s">
        <v>1703</v>
      </c>
      <c r="F495" s="18"/>
      <c r="G495" s="18"/>
      <c r="H495" s="15" t="s">
        <v>1704</v>
      </c>
      <c r="I495" s="18"/>
      <c r="J495" s="19" t="s">
        <v>1674</v>
      </c>
      <c r="K495" s="19" t="s">
        <v>105</v>
      </c>
      <c r="L495" s="19" t="s">
        <v>38</v>
      </c>
      <c r="M495" s="20">
        <f t="shared" si="1"/>
        <v>0</v>
      </c>
      <c r="N495" s="22"/>
      <c r="O495" s="19" t="s">
        <v>1145</v>
      </c>
      <c r="P495" s="18"/>
      <c r="Q495" s="18"/>
      <c r="R495" s="23">
        <v>0.0</v>
      </c>
      <c r="S495" s="23">
        <v>0.0</v>
      </c>
      <c r="T495" s="23">
        <f t="shared" si="2"/>
        <v>0</v>
      </c>
      <c r="U495" s="23">
        <f t="shared" si="3"/>
        <v>0</v>
      </c>
      <c r="V495" s="23">
        <f t="shared" si="4"/>
        <v>0</v>
      </c>
      <c r="W495" s="24" t="str">
        <f t="shared" si="5"/>
        <v>#DIV/0!</v>
      </c>
    </row>
    <row r="496" hidden="1">
      <c r="A496" s="15" t="s">
        <v>1705</v>
      </c>
      <c r="B496" s="18"/>
      <c r="C496" s="15" t="s">
        <v>6753</v>
      </c>
      <c r="D496" s="18"/>
      <c r="E496" s="17" t="s">
        <v>1706</v>
      </c>
      <c r="F496" s="18"/>
      <c r="G496" s="18"/>
      <c r="H496" s="15" t="s">
        <v>1707</v>
      </c>
      <c r="I496" s="18"/>
      <c r="J496" s="19" t="s">
        <v>1674</v>
      </c>
      <c r="K496" s="19" t="s">
        <v>1230</v>
      </c>
      <c r="L496" s="19" t="s">
        <v>38</v>
      </c>
      <c r="M496" s="20">
        <f t="shared" si="1"/>
        <v>0</v>
      </c>
      <c r="N496" s="22"/>
      <c r="O496" s="19" t="s">
        <v>1145</v>
      </c>
      <c r="P496" s="18"/>
      <c r="Q496" s="18"/>
      <c r="R496" s="23">
        <v>0.0</v>
      </c>
      <c r="S496" s="23">
        <v>0.0</v>
      </c>
      <c r="T496" s="23">
        <f t="shared" si="2"/>
        <v>0</v>
      </c>
      <c r="U496" s="23">
        <f t="shared" si="3"/>
        <v>0</v>
      </c>
      <c r="V496" s="23">
        <f t="shared" si="4"/>
        <v>0</v>
      </c>
      <c r="W496" s="24" t="str">
        <f t="shared" si="5"/>
        <v>#DIV/0!</v>
      </c>
    </row>
    <row r="497" hidden="1">
      <c r="A497" s="15" t="s">
        <v>1708</v>
      </c>
      <c r="B497" s="18"/>
      <c r="C497" s="15" t="s">
        <v>6754</v>
      </c>
      <c r="D497" s="18"/>
      <c r="E497" s="17" t="s">
        <v>1709</v>
      </c>
      <c r="F497" s="18"/>
      <c r="G497" s="18"/>
      <c r="H497" s="15" t="s">
        <v>1710</v>
      </c>
      <c r="I497" s="18"/>
      <c r="J497" s="19" t="s">
        <v>1674</v>
      </c>
      <c r="K497" s="19" t="s">
        <v>105</v>
      </c>
      <c r="L497" s="19" t="s">
        <v>38</v>
      </c>
      <c r="M497" s="20">
        <f t="shared" si="1"/>
        <v>0</v>
      </c>
      <c r="N497" s="22"/>
      <c r="O497" s="19" t="s">
        <v>1145</v>
      </c>
      <c r="P497" s="18"/>
      <c r="Q497" s="18"/>
      <c r="R497" s="23">
        <v>0.0</v>
      </c>
      <c r="S497" s="23">
        <v>0.0</v>
      </c>
      <c r="T497" s="23">
        <f t="shared" si="2"/>
        <v>0</v>
      </c>
      <c r="U497" s="23">
        <f t="shared" si="3"/>
        <v>0</v>
      </c>
      <c r="V497" s="23">
        <f t="shared" si="4"/>
        <v>0</v>
      </c>
      <c r="W497" s="24" t="str">
        <f t="shared" si="5"/>
        <v>#DIV/0!</v>
      </c>
    </row>
    <row r="498" hidden="1">
      <c r="A498" s="15" t="s">
        <v>1711</v>
      </c>
      <c r="B498" s="18"/>
      <c r="C498" s="15" t="s">
        <v>6755</v>
      </c>
      <c r="D498" s="18"/>
      <c r="E498" s="17" t="s">
        <v>1712</v>
      </c>
      <c r="F498" s="18"/>
      <c r="G498" s="18"/>
      <c r="H498" s="15" t="s">
        <v>1713</v>
      </c>
      <c r="I498" s="18"/>
      <c r="J498" s="19" t="s">
        <v>1674</v>
      </c>
      <c r="K498" s="19" t="s">
        <v>402</v>
      </c>
      <c r="L498" s="19" t="s">
        <v>38</v>
      </c>
      <c r="M498" s="20">
        <f t="shared" si="1"/>
        <v>0</v>
      </c>
      <c r="N498" s="22"/>
      <c r="O498" s="19" t="s">
        <v>1145</v>
      </c>
      <c r="P498" s="18"/>
      <c r="Q498" s="18"/>
      <c r="R498" s="23">
        <v>0.0</v>
      </c>
      <c r="S498" s="23">
        <v>0.0</v>
      </c>
      <c r="T498" s="23">
        <f t="shared" si="2"/>
        <v>0</v>
      </c>
      <c r="U498" s="23">
        <f t="shared" si="3"/>
        <v>0</v>
      </c>
      <c r="V498" s="23">
        <f t="shared" si="4"/>
        <v>0</v>
      </c>
      <c r="W498" s="24" t="str">
        <f t="shared" si="5"/>
        <v>#DIV/0!</v>
      </c>
    </row>
    <row r="499" hidden="1">
      <c r="A499" s="15" t="s">
        <v>6756</v>
      </c>
      <c r="B499" s="18"/>
      <c r="C499" s="15" t="s">
        <v>6757</v>
      </c>
      <c r="D499" s="18"/>
      <c r="E499" s="17" t="s">
        <v>6758</v>
      </c>
      <c r="F499" s="18"/>
      <c r="G499" s="18"/>
      <c r="H499" s="15" t="s">
        <v>6759</v>
      </c>
      <c r="I499" s="15" t="s">
        <v>6760</v>
      </c>
      <c r="J499" s="19" t="s">
        <v>36</v>
      </c>
      <c r="K499" s="19" t="s">
        <v>1230</v>
      </c>
      <c r="L499" s="19" t="s">
        <v>38</v>
      </c>
      <c r="M499" s="20">
        <f t="shared" si="1"/>
        <v>0</v>
      </c>
      <c r="N499" s="22"/>
      <c r="O499" s="19" t="s">
        <v>39</v>
      </c>
      <c r="P499" s="18"/>
      <c r="Q499" s="18"/>
      <c r="R499" s="23">
        <v>0.0</v>
      </c>
      <c r="S499" s="23">
        <v>0.0</v>
      </c>
      <c r="T499" s="23">
        <f t="shared" si="2"/>
        <v>0</v>
      </c>
      <c r="U499" s="23">
        <f t="shared" si="3"/>
        <v>0</v>
      </c>
      <c r="V499" s="23">
        <f t="shared" si="4"/>
        <v>0</v>
      </c>
      <c r="W499" s="24" t="str">
        <f t="shared" si="5"/>
        <v>#DIV/0!</v>
      </c>
    </row>
    <row r="500" hidden="1">
      <c r="A500" s="15" t="s">
        <v>6761</v>
      </c>
      <c r="B500" s="18"/>
      <c r="C500" s="15" t="s">
        <v>6762</v>
      </c>
      <c r="D500" s="18"/>
      <c r="E500" s="17" t="s">
        <v>6763</v>
      </c>
      <c r="F500" s="18"/>
      <c r="G500" s="18"/>
      <c r="H500" s="15" t="s">
        <v>6764</v>
      </c>
      <c r="I500" s="15" t="s">
        <v>187</v>
      </c>
      <c r="J500" s="19" t="s">
        <v>36</v>
      </c>
      <c r="K500" s="19" t="s">
        <v>37</v>
      </c>
      <c r="L500" s="19" t="s">
        <v>38</v>
      </c>
      <c r="M500" s="20">
        <f t="shared" si="1"/>
        <v>0</v>
      </c>
      <c r="N500" s="22"/>
      <c r="O500" s="19" t="s">
        <v>39</v>
      </c>
      <c r="P500" s="18"/>
      <c r="Q500" s="18"/>
      <c r="R500" s="23">
        <v>0.0</v>
      </c>
      <c r="S500" s="23">
        <v>0.0</v>
      </c>
      <c r="T500" s="23">
        <f t="shared" si="2"/>
        <v>0</v>
      </c>
      <c r="U500" s="23">
        <f t="shared" si="3"/>
        <v>0</v>
      </c>
      <c r="V500" s="23">
        <f t="shared" si="4"/>
        <v>0</v>
      </c>
      <c r="W500" s="24" t="str">
        <f t="shared" si="5"/>
        <v>#DIV/0!</v>
      </c>
    </row>
    <row r="501" hidden="1">
      <c r="A501" s="15" t="s">
        <v>6765</v>
      </c>
      <c r="B501" s="18"/>
      <c r="C501" s="15" t="s">
        <v>6766</v>
      </c>
      <c r="D501" s="18"/>
      <c r="E501" s="17" t="s">
        <v>6767</v>
      </c>
      <c r="F501" s="18"/>
      <c r="G501" s="18"/>
      <c r="H501" s="15" t="s">
        <v>6768</v>
      </c>
      <c r="I501" s="15" t="s">
        <v>6769</v>
      </c>
      <c r="J501" s="19" t="s">
        <v>36</v>
      </c>
      <c r="K501" s="19" t="s">
        <v>105</v>
      </c>
      <c r="L501" s="19" t="s">
        <v>38</v>
      </c>
      <c r="M501" s="20">
        <f t="shared" si="1"/>
        <v>0</v>
      </c>
      <c r="N501" s="22"/>
      <c r="O501" s="19" t="s">
        <v>39</v>
      </c>
      <c r="P501" s="18"/>
      <c r="Q501" s="18"/>
      <c r="R501" s="23">
        <v>0.0</v>
      </c>
      <c r="S501" s="23">
        <v>0.0</v>
      </c>
      <c r="T501" s="23">
        <f t="shared" si="2"/>
        <v>0</v>
      </c>
      <c r="U501" s="23">
        <f t="shared" si="3"/>
        <v>0</v>
      </c>
      <c r="V501" s="23">
        <f t="shared" si="4"/>
        <v>0</v>
      </c>
      <c r="W501" s="24" t="str">
        <f t="shared" si="5"/>
        <v>#DIV/0!</v>
      </c>
    </row>
    <row r="502">
      <c r="A502" s="15" t="s">
        <v>3639</v>
      </c>
      <c r="B502" s="15" t="s">
        <v>3640</v>
      </c>
      <c r="C502" s="15" t="s">
        <v>6155</v>
      </c>
      <c r="D502" s="15" t="s">
        <v>3641</v>
      </c>
      <c r="E502" s="17" t="s">
        <v>3642</v>
      </c>
      <c r="F502" s="18"/>
      <c r="G502" s="18"/>
      <c r="H502" s="15" t="s">
        <v>3643</v>
      </c>
      <c r="I502" s="15" t="s">
        <v>3644</v>
      </c>
      <c r="J502" s="19" t="s">
        <v>283</v>
      </c>
      <c r="K502" s="19" t="s">
        <v>603</v>
      </c>
      <c r="L502" s="19" t="s">
        <v>38</v>
      </c>
      <c r="M502" s="20">
        <f t="shared" si="1"/>
        <v>0</v>
      </c>
      <c r="N502" s="22"/>
      <c r="O502" s="19" t="s">
        <v>3578</v>
      </c>
      <c r="P502" s="18"/>
      <c r="Q502" s="18"/>
      <c r="R502" s="23">
        <v>0.0</v>
      </c>
      <c r="S502" s="23">
        <v>0.0</v>
      </c>
      <c r="T502" s="23">
        <f t="shared" si="2"/>
        <v>0</v>
      </c>
      <c r="U502" s="23">
        <f t="shared" si="3"/>
        <v>0</v>
      </c>
      <c r="V502" s="23">
        <f t="shared" si="4"/>
        <v>0</v>
      </c>
      <c r="W502" s="24" t="str">
        <f t="shared" si="5"/>
        <v>#DIV/0!</v>
      </c>
    </row>
    <row r="503" hidden="1">
      <c r="A503" s="15" t="s">
        <v>6773</v>
      </c>
      <c r="B503" s="18"/>
      <c r="C503" s="15" t="s">
        <v>6774</v>
      </c>
      <c r="D503" s="18"/>
      <c r="E503" s="17" t="s">
        <v>6775</v>
      </c>
      <c r="F503" s="18"/>
      <c r="G503" s="18"/>
      <c r="H503" s="15" t="s">
        <v>6776</v>
      </c>
      <c r="I503" s="15" t="s">
        <v>209</v>
      </c>
      <c r="J503" s="19" t="s">
        <v>36</v>
      </c>
      <c r="K503" s="19" t="s">
        <v>105</v>
      </c>
      <c r="L503" s="19" t="s">
        <v>38</v>
      </c>
      <c r="M503" s="20">
        <f t="shared" si="1"/>
        <v>0</v>
      </c>
      <c r="N503" s="22"/>
      <c r="O503" s="19" t="s">
        <v>39</v>
      </c>
      <c r="P503" s="18"/>
      <c r="Q503" s="18"/>
      <c r="R503" s="23">
        <v>0.0</v>
      </c>
      <c r="S503" s="23">
        <v>0.0</v>
      </c>
      <c r="T503" s="23">
        <f t="shared" si="2"/>
        <v>0</v>
      </c>
      <c r="U503" s="23">
        <f t="shared" si="3"/>
        <v>0</v>
      </c>
      <c r="V503" s="23">
        <f t="shared" si="4"/>
        <v>0</v>
      </c>
      <c r="W503" s="24" t="str">
        <f t="shared" si="5"/>
        <v>#DIV/0!</v>
      </c>
    </row>
    <row r="504" hidden="1">
      <c r="A504" s="15" t="s">
        <v>6777</v>
      </c>
      <c r="B504" s="18"/>
      <c r="C504" s="15" t="s">
        <v>6778</v>
      </c>
      <c r="D504" s="18"/>
      <c r="E504" s="17" t="s">
        <v>6779</v>
      </c>
      <c r="F504" s="18"/>
      <c r="G504" s="18"/>
      <c r="H504" s="15" t="s">
        <v>6768</v>
      </c>
      <c r="I504" s="15" t="s">
        <v>6769</v>
      </c>
      <c r="J504" s="19" t="s">
        <v>36</v>
      </c>
      <c r="K504" s="19" t="s">
        <v>105</v>
      </c>
      <c r="L504" s="19" t="s">
        <v>38</v>
      </c>
      <c r="M504" s="20">
        <f t="shared" si="1"/>
        <v>0</v>
      </c>
      <c r="N504" s="22"/>
      <c r="O504" s="19" t="s">
        <v>39</v>
      </c>
      <c r="P504" s="18"/>
      <c r="Q504" s="18"/>
      <c r="R504" s="23">
        <v>0.0</v>
      </c>
      <c r="S504" s="23">
        <v>0.0</v>
      </c>
      <c r="T504" s="23">
        <f t="shared" si="2"/>
        <v>0</v>
      </c>
      <c r="U504" s="23">
        <f t="shared" si="3"/>
        <v>0</v>
      </c>
      <c r="V504" s="23">
        <f t="shared" si="4"/>
        <v>0</v>
      </c>
      <c r="W504" s="24" t="str">
        <f t="shared" si="5"/>
        <v>#DIV/0!</v>
      </c>
    </row>
    <row r="505" hidden="1">
      <c r="A505" s="15" t="s">
        <v>1714</v>
      </c>
      <c r="B505" s="18"/>
      <c r="C505" s="15" t="s">
        <v>6780</v>
      </c>
      <c r="D505" s="18"/>
      <c r="E505" s="17" t="s">
        <v>1715</v>
      </c>
      <c r="F505" s="18"/>
      <c r="G505" s="18"/>
      <c r="H505" s="15" t="s">
        <v>1716</v>
      </c>
      <c r="I505" s="15" t="s">
        <v>1717</v>
      </c>
      <c r="J505" s="19" t="s">
        <v>36</v>
      </c>
      <c r="K505" s="19" t="s">
        <v>37</v>
      </c>
      <c r="L505" s="19" t="s">
        <v>38</v>
      </c>
      <c r="M505" s="20">
        <f t="shared" si="1"/>
        <v>0</v>
      </c>
      <c r="N505" s="22"/>
      <c r="O505" s="19" t="s">
        <v>1145</v>
      </c>
      <c r="P505" s="18"/>
      <c r="Q505" s="18"/>
      <c r="R505" s="23">
        <v>0.0</v>
      </c>
      <c r="S505" s="23">
        <v>0.0</v>
      </c>
      <c r="T505" s="23">
        <f t="shared" si="2"/>
        <v>0</v>
      </c>
      <c r="U505" s="23">
        <f t="shared" si="3"/>
        <v>0</v>
      </c>
      <c r="V505" s="23">
        <f t="shared" si="4"/>
        <v>0</v>
      </c>
      <c r="W505" s="24" t="str">
        <f t="shared" si="5"/>
        <v>#DIV/0!</v>
      </c>
    </row>
    <row r="506" hidden="1">
      <c r="A506" s="15" t="s">
        <v>1718</v>
      </c>
      <c r="B506" s="18"/>
      <c r="C506" s="15" t="s">
        <v>6781</v>
      </c>
      <c r="D506" s="18"/>
      <c r="E506" s="17" t="s">
        <v>1719</v>
      </c>
      <c r="F506" s="18"/>
      <c r="G506" s="18"/>
      <c r="H506" s="15" t="s">
        <v>1720</v>
      </c>
      <c r="I506" s="15" t="s">
        <v>1721</v>
      </c>
      <c r="J506" s="19" t="s">
        <v>36</v>
      </c>
      <c r="K506" s="19" t="s">
        <v>105</v>
      </c>
      <c r="L506" s="19" t="s">
        <v>38</v>
      </c>
      <c r="M506" s="20">
        <f t="shared" si="1"/>
        <v>0</v>
      </c>
      <c r="N506" s="22"/>
      <c r="O506" s="19" t="s">
        <v>1145</v>
      </c>
      <c r="P506" s="18"/>
      <c r="Q506" s="18"/>
      <c r="R506" s="23">
        <v>0.0</v>
      </c>
      <c r="S506" s="23">
        <v>0.0</v>
      </c>
      <c r="T506" s="23">
        <f t="shared" si="2"/>
        <v>0</v>
      </c>
      <c r="U506" s="23">
        <f t="shared" si="3"/>
        <v>0</v>
      </c>
      <c r="V506" s="23">
        <f t="shared" si="4"/>
        <v>0</v>
      </c>
      <c r="W506" s="24" t="str">
        <f t="shared" si="5"/>
        <v>#DIV/0!</v>
      </c>
    </row>
    <row r="507" hidden="1">
      <c r="A507" s="15" t="s">
        <v>6782</v>
      </c>
      <c r="B507" s="18"/>
      <c r="C507" s="15" t="s">
        <v>6783</v>
      </c>
      <c r="D507" s="18"/>
      <c r="E507" s="17" t="s">
        <v>6784</v>
      </c>
      <c r="F507" s="18"/>
      <c r="G507" s="18"/>
      <c r="H507" s="15" t="s">
        <v>6785</v>
      </c>
      <c r="I507" s="15" t="s">
        <v>6786</v>
      </c>
      <c r="J507" s="19" t="s">
        <v>36</v>
      </c>
      <c r="K507" s="19" t="s">
        <v>105</v>
      </c>
      <c r="L507" s="19" t="s">
        <v>38</v>
      </c>
      <c r="M507" s="20">
        <f t="shared" si="1"/>
        <v>0</v>
      </c>
      <c r="N507" s="22"/>
      <c r="O507" s="19" t="s">
        <v>39</v>
      </c>
      <c r="P507" s="18"/>
      <c r="Q507" s="18"/>
      <c r="R507" s="23">
        <v>0.0</v>
      </c>
      <c r="S507" s="23">
        <v>0.0</v>
      </c>
      <c r="T507" s="23">
        <f t="shared" si="2"/>
        <v>0</v>
      </c>
      <c r="U507" s="23">
        <f t="shared" si="3"/>
        <v>0</v>
      </c>
      <c r="V507" s="23">
        <f t="shared" si="4"/>
        <v>0</v>
      </c>
      <c r="W507" s="24" t="str">
        <f t="shared" si="5"/>
        <v>#DIV/0!</v>
      </c>
    </row>
    <row r="508" hidden="1">
      <c r="A508" s="15" t="s">
        <v>1722</v>
      </c>
      <c r="B508" s="18"/>
      <c r="C508" s="15" t="s">
        <v>6787</v>
      </c>
      <c r="D508" s="18"/>
      <c r="E508" s="17" t="s">
        <v>1723</v>
      </c>
      <c r="F508" s="18"/>
      <c r="G508" s="18"/>
      <c r="H508" s="15" t="s">
        <v>1724</v>
      </c>
      <c r="I508" s="15" t="s">
        <v>1725</v>
      </c>
      <c r="J508" s="19" t="s">
        <v>36</v>
      </c>
      <c r="K508" s="19" t="s">
        <v>105</v>
      </c>
      <c r="L508" s="19" t="s">
        <v>38</v>
      </c>
      <c r="M508" s="20">
        <f t="shared" si="1"/>
        <v>0</v>
      </c>
      <c r="N508" s="22"/>
      <c r="O508" s="19" t="s">
        <v>1145</v>
      </c>
      <c r="P508" s="18"/>
      <c r="Q508" s="18"/>
      <c r="R508" s="23">
        <v>0.0</v>
      </c>
      <c r="S508" s="23">
        <v>0.0</v>
      </c>
      <c r="T508" s="23">
        <f t="shared" si="2"/>
        <v>0</v>
      </c>
      <c r="U508" s="23">
        <f t="shared" si="3"/>
        <v>0</v>
      </c>
      <c r="V508" s="23">
        <f t="shared" si="4"/>
        <v>0</v>
      </c>
      <c r="W508" s="24" t="str">
        <f t="shared" si="5"/>
        <v>#DIV/0!</v>
      </c>
    </row>
    <row r="509" hidden="1">
      <c r="A509" s="15" t="s">
        <v>1726</v>
      </c>
      <c r="B509" s="18"/>
      <c r="C509" s="15" t="s">
        <v>6788</v>
      </c>
      <c r="D509" s="18"/>
      <c r="E509" s="17" t="s">
        <v>1727</v>
      </c>
      <c r="F509" s="18"/>
      <c r="G509" s="18"/>
      <c r="H509" s="15" t="s">
        <v>1728</v>
      </c>
      <c r="I509" s="15" t="s">
        <v>1729</v>
      </c>
      <c r="J509" s="19" t="s">
        <v>36</v>
      </c>
      <c r="K509" s="19" t="s">
        <v>1230</v>
      </c>
      <c r="L509" s="19" t="s">
        <v>38</v>
      </c>
      <c r="M509" s="20">
        <f t="shared" si="1"/>
        <v>0</v>
      </c>
      <c r="N509" s="22"/>
      <c r="O509" s="19" t="s">
        <v>1145</v>
      </c>
      <c r="P509" s="18"/>
      <c r="Q509" s="18"/>
      <c r="R509" s="23">
        <v>0.0</v>
      </c>
      <c r="S509" s="23">
        <v>0.0</v>
      </c>
      <c r="T509" s="23">
        <f t="shared" si="2"/>
        <v>0</v>
      </c>
      <c r="U509" s="23">
        <f t="shared" si="3"/>
        <v>0</v>
      </c>
      <c r="V509" s="23">
        <f t="shared" si="4"/>
        <v>0</v>
      </c>
      <c r="W509" s="24" t="str">
        <f t="shared" si="5"/>
        <v>#DIV/0!</v>
      </c>
    </row>
    <row r="510" hidden="1">
      <c r="A510" s="15" t="s">
        <v>1730</v>
      </c>
      <c r="B510" s="18"/>
      <c r="C510" s="15" t="s">
        <v>6789</v>
      </c>
      <c r="D510" s="18"/>
      <c r="E510" s="17" t="s">
        <v>1731</v>
      </c>
      <c r="F510" s="18"/>
      <c r="G510" s="18"/>
      <c r="H510" s="15" t="s">
        <v>1732</v>
      </c>
      <c r="I510" s="15" t="s">
        <v>1733</v>
      </c>
      <c r="J510" s="19" t="s">
        <v>36</v>
      </c>
      <c r="K510" s="19" t="s">
        <v>105</v>
      </c>
      <c r="L510" s="19" t="s">
        <v>38</v>
      </c>
      <c r="M510" s="20">
        <f t="shared" si="1"/>
        <v>0</v>
      </c>
      <c r="N510" s="22"/>
      <c r="O510" s="19" t="s">
        <v>1145</v>
      </c>
      <c r="P510" s="18"/>
      <c r="Q510" s="18"/>
      <c r="R510" s="23">
        <v>0.0</v>
      </c>
      <c r="S510" s="23">
        <v>0.0</v>
      </c>
      <c r="T510" s="23">
        <f t="shared" si="2"/>
        <v>0</v>
      </c>
      <c r="U510" s="23">
        <f t="shared" si="3"/>
        <v>0</v>
      </c>
      <c r="V510" s="23">
        <f t="shared" si="4"/>
        <v>0</v>
      </c>
      <c r="W510" s="24" t="str">
        <f t="shared" si="5"/>
        <v>#DIV/0!</v>
      </c>
    </row>
    <row r="511" hidden="1">
      <c r="A511" s="15" t="s">
        <v>6790</v>
      </c>
      <c r="B511" s="18"/>
      <c r="C511" s="15" t="s">
        <v>6791</v>
      </c>
      <c r="D511" s="18"/>
      <c r="E511" s="17" t="s">
        <v>6792</v>
      </c>
      <c r="F511" s="18"/>
      <c r="G511" s="18"/>
      <c r="H511" s="15" t="s">
        <v>6793</v>
      </c>
      <c r="I511" s="15" t="s">
        <v>6794</v>
      </c>
      <c r="J511" s="19" t="s">
        <v>36</v>
      </c>
      <c r="K511" s="19" t="s">
        <v>105</v>
      </c>
      <c r="L511" s="19" t="s">
        <v>38</v>
      </c>
      <c r="M511" s="20">
        <f t="shared" si="1"/>
        <v>0</v>
      </c>
      <c r="N511" s="22"/>
      <c r="O511" s="19" t="s">
        <v>39</v>
      </c>
      <c r="P511" s="18"/>
      <c r="Q511" s="18"/>
      <c r="R511" s="23">
        <v>0.0</v>
      </c>
      <c r="S511" s="23">
        <v>0.0</v>
      </c>
      <c r="T511" s="23">
        <f t="shared" si="2"/>
        <v>0</v>
      </c>
      <c r="U511" s="23">
        <f t="shared" si="3"/>
        <v>0</v>
      </c>
      <c r="V511" s="23">
        <f t="shared" si="4"/>
        <v>0</v>
      </c>
      <c r="W511" s="24" t="str">
        <f t="shared" si="5"/>
        <v>#DIV/0!</v>
      </c>
    </row>
    <row r="512" hidden="1">
      <c r="A512" s="15" t="s">
        <v>1734</v>
      </c>
      <c r="B512" s="18"/>
      <c r="C512" s="15" t="s">
        <v>6795</v>
      </c>
      <c r="D512" s="18"/>
      <c r="E512" s="17" t="s">
        <v>1735</v>
      </c>
      <c r="F512" s="18"/>
      <c r="G512" s="18"/>
      <c r="H512" s="15" t="s">
        <v>1736</v>
      </c>
      <c r="I512" s="15" t="s">
        <v>1737</v>
      </c>
      <c r="J512" s="19" t="s">
        <v>36</v>
      </c>
      <c r="K512" s="19" t="s">
        <v>105</v>
      </c>
      <c r="L512" s="19" t="s">
        <v>38</v>
      </c>
      <c r="M512" s="20">
        <f t="shared" si="1"/>
        <v>0</v>
      </c>
      <c r="N512" s="22"/>
      <c r="O512" s="19" t="s">
        <v>1145</v>
      </c>
      <c r="P512" s="18"/>
      <c r="Q512" s="18"/>
      <c r="R512" s="23">
        <v>0.0</v>
      </c>
      <c r="S512" s="23">
        <v>0.0</v>
      </c>
      <c r="T512" s="23">
        <f t="shared" si="2"/>
        <v>0</v>
      </c>
      <c r="U512" s="23">
        <f t="shared" si="3"/>
        <v>0</v>
      </c>
      <c r="V512" s="23">
        <f t="shared" si="4"/>
        <v>0</v>
      </c>
      <c r="W512" s="24" t="str">
        <f t="shared" si="5"/>
        <v>#DIV/0!</v>
      </c>
    </row>
    <row r="513" hidden="1">
      <c r="A513" s="15" t="s">
        <v>1738</v>
      </c>
      <c r="B513" s="18"/>
      <c r="C513" s="15" t="s">
        <v>6796</v>
      </c>
      <c r="D513" s="18"/>
      <c r="E513" s="17" t="s">
        <v>1739</v>
      </c>
      <c r="F513" s="18"/>
      <c r="G513" s="18"/>
      <c r="H513" s="15" t="s">
        <v>1740</v>
      </c>
      <c r="I513" s="15" t="s">
        <v>1741</v>
      </c>
      <c r="J513" s="19" t="s">
        <v>36</v>
      </c>
      <c r="K513" s="19" t="s">
        <v>37</v>
      </c>
      <c r="L513" s="19" t="s">
        <v>38</v>
      </c>
      <c r="M513" s="20">
        <f t="shared" si="1"/>
        <v>0</v>
      </c>
      <c r="N513" s="22"/>
      <c r="O513" s="19" t="s">
        <v>1145</v>
      </c>
      <c r="P513" s="18"/>
      <c r="Q513" s="18"/>
      <c r="R513" s="23">
        <v>0.0</v>
      </c>
      <c r="S513" s="23">
        <v>0.0</v>
      </c>
      <c r="T513" s="23">
        <f t="shared" si="2"/>
        <v>0</v>
      </c>
      <c r="U513" s="23">
        <f t="shared" si="3"/>
        <v>0</v>
      </c>
      <c r="V513" s="23">
        <f t="shared" si="4"/>
        <v>0</v>
      </c>
      <c r="W513" s="24" t="str">
        <f t="shared" si="5"/>
        <v>#DIV/0!</v>
      </c>
    </row>
    <row r="514" hidden="1">
      <c r="A514" s="15" t="s">
        <v>1742</v>
      </c>
      <c r="B514" s="18"/>
      <c r="C514" s="15" t="s">
        <v>6797</v>
      </c>
      <c r="D514" s="18"/>
      <c r="E514" s="17" t="s">
        <v>1743</v>
      </c>
      <c r="F514" s="18"/>
      <c r="G514" s="18"/>
      <c r="H514" s="15" t="s">
        <v>1744</v>
      </c>
      <c r="I514" s="15" t="s">
        <v>1745</v>
      </c>
      <c r="J514" s="19" t="s">
        <v>36</v>
      </c>
      <c r="K514" s="19" t="s">
        <v>105</v>
      </c>
      <c r="L514" s="19" t="s">
        <v>38</v>
      </c>
      <c r="M514" s="20">
        <f t="shared" si="1"/>
        <v>0</v>
      </c>
      <c r="N514" s="22"/>
      <c r="O514" s="19" t="s">
        <v>1145</v>
      </c>
      <c r="P514" s="18"/>
      <c r="Q514" s="18"/>
      <c r="R514" s="23">
        <v>0.0</v>
      </c>
      <c r="S514" s="23">
        <v>0.0</v>
      </c>
      <c r="T514" s="23">
        <f t="shared" si="2"/>
        <v>0</v>
      </c>
      <c r="U514" s="23">
        <f t="shared" si="3"/>
        <v>0</v>
      </c>
      <c r="V514" s="23">
        <f t="shared" si="4"/>
        <v>0</v>
      </c>
      <c r="W514" s="24" t="str">
        <f t="shared" si="5"/>
        <v>#DIV/0!</v>
      </c>
    </row>
    <row r="515" hidden="1">
      <c r="A515" s="15" t="s">
        <v>1746</v>
      </c>
      <c r="B515" s="18"/>
      <c r="C515" s="15" t="s">
        <v>6798</v>
      </c>
      <c r="D515" s="18"/>
      <c r="E515" s="17" t="s">
        <v>1747</v>
      </c>
      <c r="F515" s="18"/>
      <c r="G515" s="18"/>
      <c r="H515" s="15" t="s">
        <v>1748</v>
      </c>
      <c r="I515" s="15" t="s">
        <v>1749</v>
      </c>
      <c r="J515" s="19" t="s">
        <v>36</v>
      </c>
      <c r="K515" s="19" t="s">
        <v>37</v>
      </c>
      <c r="L515" s="19" t="s">
        <v>38</v>
      </c>
      <c r="M515" s="20">
        <f t="shared" si="1"/>
        <v>0</v>
      </c>
      <c r="N515" s="22"/>
      <c r="O515" s="19" t="s">
        <v>1145</v>
      </c>
      <c r="P515" s="18"/>
      <c r="Q515" s="18"/>
      <c r="R515" s="23">
        <v>0.0</v>
      </c>
      <c r="S515" s="23">
        <v>0.0</v>
      </c>
      <c r="T515" s="23">
        <f t="shared" si="2"/>
        <v>0</v>
      </c>
      <c r="U515" s="23">
        <f t="shared" si="3"/>
        <v>0</v>
      </c>
      <c r="V515" s="23">
        <f t="shared" si="4"/>
        <v>0</v>
      </c>
      <c r="W515" s="24" t="str">
        <f t="shared" si="5"/>
        <v>#DIV/0!</v>
      </c>
    </row>
    <row r="516" hidden="1">
      <c r="A516" s="15" t="s">
        <v>6799</v>
      </c>
      <c r="B516" s="18"/>
      <c r="C516" s="15" t="s">
        <v>6800</v>
      </c>
      <c r="D516" s="18"/>
      <c r="E516" s="17" t="s">
        <v>6801</v>
      </c>
      <c r="F516" s="18"/>
      <c r="G516" s="18"/>
      <c r="H516" s="15" t="s">
        <v>6802</v>
      </c>
      <c r="I516" s="15" t="s">
        <v>4198</v>
      </c>
      <c r="J516" s="19" t="s">
        <v>36</v>
      </c>
      <c r="K516" s="19" t="s">
        <v>105</v>
      </c>
      <c r="L516" s="19" t="s">
        <v>38</v>
      </c>
      <c r="M516" s="20">
        <f t="shared" si="1"/>
        <v>0</v>
      </c>
      <c r="N516" s="22"/>
      <c r="O516" s="19" t="s">
        <v>39</v>
      </c>
      <c r="P516" s="18"/>
      <c r="Q516" s="18"/>
      <c r="R516" s="23">
        <v>0.0</v>
      </c>
      <c r="S516" s="23">
        <v>0.0</v>
      </c>
      <c r="T516" s="23">
        <f t="shared" si="2"/>
        <v>0</v>
      </c>
      <c r="U516" s="23">
        <f t="shared" si="3"/>
        <v>0</v>
      </c>
      <c r="V516" s="23">
        <f t="shared" si="4"/>
        <v>0</v>
      </c>
      <c r="W516" s="24" t="str">
        <f t="shared" si="5"/>
        <v>#DIV/0!</v>
      </c>
    </row>
    <row r="517" hidden="1">
      <c r="A517" s="15" t="s">
        <v>6803</v>
      </c>
      <c r="B517" s="18"/>
      <c r="C517" s="15" t="s">
        <v>6804</v>
      </c>
      <c r="D517" s="18"/>
      <c r="E517" s="17" t="s">
        <v>132</v>
      </c>
      <c r="F517" s="18"/>
      <c r="G517" s="18"/>
      <c r="H517" s="15" t="s">
        <v>6805</v>
      </c>
      <c r="I517" s="15" t="s">
        <v>6806</v>
      </c>
      <c r="J517" s="19" t="s">
        <v>36</v>
      </c>
      <c r="K517" s="19" t="s">
        <v>37</v>
      </c>
      <c r="L517" s="19" t="s">
        <v>38</v>
      </c>
      <c r="M517" s="20">
        <f t="shared" si="1"/>
        <v>0</v>
      </c>
      <c r="N517" s="22"/>
      <c r="O517" s="19" t="s">
        <v>39</v>
      </c>
      <c r="P517" s="18"/>
      <c r="Q517" s="18"/>
      <c r="R517" s="23">
        <v>0.0</v>
      </c>
      <c r="S517" s="23">
        <v>0.0</v>
      </c>
      <c r="T517" s="23">
        <f t="shared" si="2"/>
        <v>0</v>
      </c>
      <c r="U517" s="23">
        <f t="shared" si="3"/>
        <v>0</v>
      </c>
      <c r="V517" s="23">
        <f t="shared" si="4"/>
        <v>0</v>
      </c>
      <c r="W517" s="24" t="str">
        <f t="shared" si="5"/>
        <v>#DIV/0!</v>
      </c>
    </row>
    <row r="518" hidden="1">
      <c r="A518" s="15" t="s">
        <v>1750</v>
      </c>
      <c r="B518" s="18"/>
      <c r="C518" s="15" t="s">
        <v>6807</v>
      </c>
      <c r="D518" s="18"/>
      <c r="E518" s="17" t="s">
        <v>1751</v>
      </c>
      <c r="F518" s="18"/>
      <c r="G518" s="18"/>
      <c r="H518" s="15" t="s">
        <v>1752</v>
      </c>
      <c r="I518" s="15" t="s">
        <v>1753</v>
      </c>
      <c r="J518" s="19" t="s">
        <v>36</v>
      </c>
      <c r="K518" s="19" t="s">
        <v>105</v>
      </c>
      <c r="L518" s="19" t="s">
        <v>38</v>
      </c>
      <c r="M518" s="20">
        <f t="shared" si="1"/>
        <v>0</v>
      </c>
      <c r="N518" s="22"/>
      <c r="O518" s="19" t="s">
        <v>1145</v>
      </c>
      <c r="P518" s="18"/>
      <c r="Q518" s="18"/>
      <c r="R518" s="23">
        <v>0.0</v>
      </c>
      <c r="S518" s="23">
        <v>0.0</v>
      </c>
      <c r="T518" s="23">
        <f t="shared" si="2"/>
        <v>0</v>
      </c>
      <c r="U518" s="23">
        <f t="shared" si="3"/>
        <v>0</v>
      </c>
      <c r="V518" s="23">
        <f t="shared" si="4"/>
        <v>0</v>
      </c>
      <c r="W518" s="24" t="str">
        <f t="shared" si="5"/>
        <v>#DIV/0!</v>
      </c>
    </row>
    <row r="519" hidden="1">
      <c r="A519" s="15" t="s">
        <v>6808</v>
      </c>
      <c r="B519" s="18"/>
      <c r="C519" s="15" t="s">
        <v>6809</v>
      </c>
      <c r="D519" s="18"/>
      <c r="E519" s="17" t="s">
        <v>6810</v>
      </c>
      <c r="F519" s="18"/>
      <c r="G519" s="18"/>
      <c r="H519" s="15" t="s">
        <v>6811</v>
      </c>
      <c r="I519" s="15" t="s">
        <v>924</v>
      </c>
      <c r="J519" s="19" t="s">
        <v>36</v>
      </c>
      <c r="K519" s="19" t="s">
        <v>105</v>
      </c>
      <c r="L519" s="19" t="s">
        <v>38</v>
      </c>
      <c r="M519" s="20">
        <f t="shared" si="1"/>
        <v>0</v>
      </c>
      <c r="N519" s="22"/>
      <c r="O519" s="19" t="s">
        <v>39</v>
      </c>
      <c r="P519" s="18"/>
      <c r="Q519" s="18"/>
      <c r="R519" s="23">
        <v>0.0</v>
      </c>
      <c r="S519" s="23">
        <v>0.0</v>
      </c>
      <c r="T519" s="23">
        <f t="shared" si="2"/>
        <v>0</v>
      </c>
      <c r="U519" s="23">
        <f t="shared" si="3"/>
        <v>0</v>
      </c>
      <c r="V519" s="23">
        <f t="shared" si="4"/>
        <v>0</v>
      </c>
      <c r="W519" s="24" t="str">
        <f t="shared" si="5"/>
        <v>#DIV/0!</v>
      </c>
    </row>
    <row r="520" hidden="1">
      <c r="A520" s="15" t="s">
        <v>1754</v>
      </c>
      <c r="B520" s="18"/>
      <c r="C520" s="15" t="s">
        <v>6812</v>
      </c>
      <c r="D520" s="18"/>
      <c r="E520" s="17" t="s">
        <v>1755</v>
      </c>
      <c r="F520" s="18"/>
      <c r="G520" s="18"/>
      <c r="H520" s="15" t="s">
        <v>1756</v>
      </c>
      <c r="I520" s="15" t="s">
        <v>1757</v>
      </c>
      <c r="J520" s="19" t="s">
        <v>36</v>
      </c>
      <c r="K520" s="19" t="s">
        <v>37</v>
      </c>
      <c r="L520" s="19" t="s">
        <v>38</v>
      </c>
      <c r="M520" s="20">
        <f t="shared" si="1"/>
        <v>0</v>
      </c>
      <c r="N520" s="22"/>
      <c r="O520" s="19" t="s">
        <v>1145</v>
      </c>
      <c r="P520" s="18"/>
      <c r="Q520" s="18"/>
      <c r="R520" s="23">
        <v>0.0</v>
      </c>
      <c r="S520" s="23">
        <v>0.0</v>
      </c>
      <c r="T520" s="23">
        <f t="shared" si="2"/>
        <v>0</v>
      </c>
      <c r="U520" s="23">
        <f t="shared" si="3"/>
        <v>0</v>
      </c>
      <c r="V520" s="23">
        <f t="shared" si="4"/>
        <v>0</v>
      </c>
      <c r="W520" s="24" t="str">
        <f t="shared" si="5"/>
        <v>#DIV/0!</v>
      </c>
    </row>
    <row r="521" hidden="1">
      <c r="A521" s="15" t="s">
        <v>6813</v>
      </c>
      <c r="B521" s="18"/>
      <c r="C521" s="15" t="s">
        <v>6814</v>
      </c>
      <c r="D521" s="18"/>
      <c r="E521" s="17" t="s">
        <v>6815</v>
      </c>
      <c r="F521" s="18"/>
      <c r="G521" s="18"/>
      <c r="H521" s="15" t="s">
        <v>6816</v>
      </c>
      <c r="I521" s="15" t="s">
        <v>6817</v>
      </c>
      <c r="J521" s="19" t="s">
        <v>36</v>
      </c>
      <c r="K521" s="19" t="s">
        <v>37</v>
      </c>
      <c r="L521" s="19" t="s">
        <v>38</v>
      </c>
      <c r="M521" s="20">
        <f t="shared" si="1"/>
        <v>0</v>
      </c>
      <c r="N521" s="22"/>
      <c r="O521" s="19" t="s">
        <v>39</v>
      </c>
      <c r="P521" s="18"/>
      <c r="Q521" s="18"/>
      <c r="R521" s="23">
        <v>0.0</v>
      </c>
      <c r="S521" s="23">
        <v>0.0</v>
      </c>
      <c r="T521" s="23">
        <f t="shared" si="2"/>
        <v>0</v>
      </c>
      <c r="U521" s="23">
        <f t="shared" si="3"/>
        <v>0</v>
      </c>
      <c r="V521" s="23">
        <f t="shared" si="4"/>
        <v>0</v>
      </c>
      <c r="W521" s="24" t="str">
        <f t="shared" si="5"/>
        <v>#DIV/0!</v>
      </c>
    </row>
    <row r="522" hidden="1">
      <c r="A522" s="15" t="s">
        <v>1758</v>
      </c>
      <c r="B522" s="18"/>
      <c r="C522" s="15" t="s">
        <v>6818</v>
      </c>
      <c r="D522" s="18"/>
      <c r="E522" s="17" t="s">
        <v>1759</v>
      </c>
      <c r="F522" s="18"/>
      <c r="G522" s="18"/>
      <c r="H522" s="15" t="s">
        <v>1760</v>
      </c>
      <c r="I522" s="15" t="s">
        <v>1761</v>
      </c>
      <c r="J522" s="19" t="s">
        <v>36</v>
      </c>
      <c r="K522" s="19" t="s">
        <v>37</v>
      </c>
      <c r="L522" s="19" t="s">
        <v>38</v>
      </c>
      <c r="M522" s="20">
        <f t="shared" si="1"/>
        <v>0</v>
      </c>
      <c r="N522" s="22"/>
      <c r="O522" s="19" t="s">
        <v>1145</v>
      </c>
      <c r="P522" s="18"/>
      <c r="Q522" s="18"/>
      <c r="R522" s="23">
        <v>0.0</v>
      </c>
      <c r="S522" s="23">
        <v>0.0</v>
      </c>
      <c r="T522" s="23">
        <f t="shared" si="2"/>
        <v>0</v>
      </c>
      <c r="U522" s="23">
        <f t="shared" si="3"/>
        <v>0</v>
      </c>
      <c r="V522" s="23">
        <f t="shared" si="4"/>
        <v>0</v>
      </c>
      <c r="W522" s="24" t="str">
        <f t="shared" si="5"/>
        <v>#DIV/0!</v>
      </c>
    </row>
    <row r="523" hidden="1">
      <c r="A523" s="15" t="s">
        <v>1762</v>
      </c>
      <c r="B523" s="18"/>
      <c r="C523" s="15" t="s">
        <v>6819</v>
      </c>
      <c r="D523" s="18"/>
      <c r="E523" s="17" t="s">
        <v>1763</v>
      </c>
      <c r="F523" s="18"/>
      <c r="G523" s="18"/>
      <c r="H523" s="15" t="s">
        <v>1764</v>
      </c>
      <c r="I523" s="15" t="s">
        <v>1765</v>
      </c>
      <c r="J523" s="19" t="s">
        <v>36</v>
      </c>
      <c r="K523" s="19" t="s">
        <v>37</v>
      </c>
      <c r="L523" s="19" t="s">
        <v>38</v>
      </c>
      <c r="M523" s="20">
        <f t="shared" si="1"/>
        <v>0</v>
      </c>
      <c r="N523" s="22"/>
      <c r="O523" s="19" t="s">
        <v>1145</v>
      </c>
      <c r="P523" s="18"/>
      <c r="Q523" s="18"/>
      <c r="R523" s="23">
        <v>0.0</v>
      </c>
      <c r="S523" s="23">
        <v>0.0</v>
      </c>
      <c r="T523" s="23">
        <f t="shared" si="2"/>
        <v>0</v>
      </c>
      <c r="U523" s="23">
        <f t="shared" si="3"/>
        <v>0</v>
      </c>
      <c r="V523" s="23">
        <f t="shared" si="4"/>
        <v>0</v>
      </c>
      <c r="W523" s="24" t="str">
        <f t="shared" si="5"/>
        <v>#DIV/0!</v>
      </c>
    </row>
    <row r="524" hidden="1">
      <c r="A524" s="15" t="s">
        <v>1766</v>
      </c>
      <c r="B524" s="18"/>
      <c r="C524" s="15" t="s">
        <v>6820</v>
      </c>
      <c r="D524" s="18"/>
      <c r="E524" s="17" t="s">
        <v>1767</v>
      </c>
      <c r="F524" s="18"/>
      <c r="G524" s="18"/>
      <c r="H524" s="15" t="s">
        <v>1768</v>
      </c>
      <c r="I524" s="15" t="s">
        <v>1769</v>
      </c>
      <c r="J524" s="19" t="s">
        <v>36</v>
      </c>
      <c r="K524" s="19" t="s">
        <v>37</v>
      </c>
      <c r="L524" s="19" t="s">
        <v>38</v>
      </c>
      <c r="M524" s="20">
        <f t="shared" si="1"/>
        <v>0</v>
      </c>
      <c r="N524" s="22"/>
      <c r="O524" s="19" t="s">
        <v>1145</v>
      </c>
      <c r="P524" s="18"/>
      <c r="Q524" s="18"/>
      <c r="R524" s="23">
        <v>0.0</v>
      </c>
      <c r="S524" s="23">
        <v>0.0</v>
      </c>
      <c r="T524" s="23">
        <f t="shared" si="2"/>
        <v>0</v>
      </c>
      <c r="U524" s="23">
        <f t="shared" si="3"/>
        <v>0</v>
      </c>
      <c r="V524" s="23">
        <f t="shared" si="4"/>
        <v>0</v>
      </c>
      <c r="W524" s="24" t="str">
        <f t="shared" si="5"/>
        <v>#DIV/0!</v>
      </c>
    </row>
    <row r="525" hidden="1">
      <c r="A525" s="15" t="s">
        <v>1770</v>
      </c>
      <c r="B525" s="18"/>
      <c r="C525" s="15" t="s">
        <v>6821</v>
      </c>
      <c r="D525" s="18"/>
      <c r="E525" s="17" t="s">
        <v>1771</v>
      </c>
      <c r="F525" s="18"/>
      <c r="G525" s="18"/>
      <c r="H525" s="15" t="s">
        <v>1772</v>
      </c>
      <c r="I525" s="15" t="s">
        <v>1773</v>
      </c>
      <c r="J525" s="19" t="s">
        <v>36</v>
      </c>
      <c r="K525" s="19" t="s">
        <v>37</v>
      </c>
      <c r="L525" s="19" t="s">
        <v>38</v>
      </c>
      <c r="M525" s="20">
        <f t="shared" si="1"/>
        <v>0</v>
      </c>
      <c r="N525" s="22"/>
      <c r="O525" s="19" t="s">
        <v>1145</v>
      </c>
      <c r="P525" s="18"/>
      <c r="Q525" s="18"/>
      <c r="R525" s="23">
        <v>0.0</v>
      </c>
      <c r="S525" s="23">
        <v>0.0</v>
      </c>
      <c r="T525" s="23">
        <f t="shared" si="2"/>
        <v>0</v>
      </c>
      <c r="U525" s="23">
        <f t="shared" si="3"/>
        <v>0</v>
      </c>
      <c r="V525" s="23">
        <f t="shared" si="4"/>
        <v>0</v>
      </c>
      <c r="W525" s="24" t="str">
        <f t="shared" si="5"/>
        <v>#DIV/0!</v>
      </c>
    </row>
    <row r="526" hidden="1">
      <c r="A526" s="15" t="s">
        <v>1774</v>
      </c>
      <c r="B526" s="18"/>
      <c r="C526" s="15" t="s">
        <v>6822</v>
      </c>
      <c r="D526" s="18"/>
      <c r="E526" s="17" t="s">
        <v>1775</v>
      </c>
      <c r="F526" s="18"/>
      <c r="G526" s="18"/>
      <c r="H526" s="15" t="s">
        <v>1776</v>
      </c>
      <c r="I526" s="15" t="s">
        <v>1777</v>
      </c>
      <c r="J526" s="19" t="s">
        <v>36</v>
      </c>
      <c r="K526" s="19" t="s">
        <v>37</v>
      </c>
      <c r="L526" s="19" t="s">
        <v>38</v>
      </c>
      <c r="M526" s="20">
        <f t="shared" si="1"/>
        <v>0</v>
      </c>
      <c r="N526" s="22"/>
      <c r="O526" s="19" t="s">
        <v>1145</v>
      </c>
      <c r="P526" s="18"/>
      <c r="Q526" s="18"/>
      <c r="R526" s="23">
        <v>0.0</v>
      </c>
      <c r="S526" s="23">
        <v>0.0</v>
      </c>
      <c r="T526" s="23">
        <f t="shared" si="2"/>
        <v>0</v>
      </c>
      <c r="U526" s="23">
        <f t="shared" si="3"/>
        <v>0</v>
      </c>
      <c r="V526" s="23">
        <f t="shared" si="4"/>
        <v>0</v>
      </c>
      <c r="W526" s="24" t="str">
        <f t="shared" si="5"/>
        <v>#DIV/0!</v>
      </c>
    </row>
    <row r="527" hidden="1">
      <c r="A527" s="15" t="s">
        <v>1778</v>
      </c>
      <c r="B527" s="18"/>
      <c r="C527" s="15" t="s">
        <v>6823</v>
      </c>
      <c r="D527" s="18"/>
      <c r="E527" s="17" t="s">
        <v>1779</v>
      </c>
      <c r="F527" s="18"/>
      <c r="G527" s="18"/>
      <c r="H527" s="15" t="s">
        <v>1780</v>
      </c>
      <c r="I527" s="15" t="s">
        <v>1781</v>
      </c>
      <c r="J527" s="19" t="s">
        <v>36</v>
      </c>
      <c r="K527" s="19" t="s">
        <v>1444</v>
      </c>
      <c r="L527" s="19" t="s">
        <v>38</v>
      </c>
      <c r="M527" s="20">
        <f t="shared" si="1"/>
        <v>0</v>
      </c>
      <c r="N527" s="22"/>
      <c r="O527" s="19" t="s">
        <v>1145</v>
      </c>
      <c r="P527" s="18"/>
      <c r="Q527" s="18"/>
      <c r="R527" s="23">
        <v>0.0</v>
      </c>
      <c r="S527" s="23">
        <v>0.0</v>
      </c>
      <c r="T527" s="23">
        <f t="shared" si="2"/>
        <v>0</v>
      </c>
      <c r="U527" s="23">
        <f t="shared" si="3"/>
        <v>0</v>
      </c>
      <c r="V527" s="23">
        <f t="shared" si="4"/>
        <v>0</v>
      </c>
      <c r="W527" s="24" t="str">
        <f t="shared" si="5"/>
        <v>#DIV/0!</v>
      </c>
    </row>
    <row r="528" hidden="1">
      <c r="A528" s="15" t="s">
        <v>1782</v>
      </c>
      <c r="B528" s="18"/>
      <c r="C528" s="15" t="s">
        <v>6824</v>
      </c>
      <c r="D528" s="18"/>
      <c r="E528" s="17" t="s">
        <v>1783</v>
      </c>
      <c r="F528" s="18"/>
      <c r="G528" s="18"/>
      <c r="H528" s="15" t="s">
        <v>1784</v>
      </c>
      <c r="I528" s="15" t="s">
        <v>1785</v>
      </c>
      <c r="J528" s="19" t="s">
        <v>36</v>
      </c>
      <c r="K528" s="19" t="s">
        <v>1444</v>
      </c>
      <c r="L528" s="19" t="s">
        <v>38</v>
      </c>
      <c r="M528" s="20">
        <f t="shared" si="1"/>
        <v>0</v>
      </c>
      <c r="N528" s="22"/>
      <c r="O528" s="19" t="s">
        <v>1145</v>
      </c>
      <c r="P528" s="18"/>
      <c r="Q528" s="18"/>
      <c r="R528" s="23">
        <v>0.0</v>
      </c>
      <c r="S528" s="23">
        <v>0.0</v>
      </c>
      <c r="T528" s="23">
        <f t="shared" si="2"/>
        <v>0</v>
      </c>
      <c r="U528" s="23">
        <f t="shared" si="3"/>
        <v>0</v>
      </c>
      <c r="V528" s="23">
        <f t="shared" si="4"/>
        <v>0</v>
      </c>
      <c r="W528" s="24" t="str">
        <f t="shared" si="5"/>
        <v>#DIV/0!</v>
      </c>
    </row>
    <row r="529" hidden="1">
      <c r="A529" s="15" t="s">
        <v>6825</v>
      </c>
      <c r="B529" s="18"/>
      <c r="C529" s="15" t="s">
        <v>6826</v>
      </c>
      <c r="D529" s="18"/>
      <c r="E529" s="17" t="s">
        <v>6827</v>
      </c>
      <c r="F529" s="18"/>
      <c r="G529" s="18"/>
      <c r="H529" s="15" t="s">
        <v>6828</v>
      </c>
      <c r="I529" s="15" t="s">
        <v>1029</v>
      </c>
      <c r="J529" s="19" t="s">
        <v>36</v>
      </c>
      <c r="K529" s="19" t="s">
        <v>105</v>
      </c>
      <c r="L529" s="19" t="s">
        <v>38</v>
      </c>
      <c r="M529" s="20">
        <f t="shared" si="1"/>
        <v>0</v>
      </c>
      <c r="N529" s="22"/>
      <c r="O529" s="19" t="s">
        <v>39</v>
      </c>
      <c r="P529" s="18"/>
      <c r="Q529" s="18"/>
      <c r="R529" s="23">
        <v>0.0</v>
      </c>
      <c r="S529" s="23">
        <v>0.0</v>
      </c>
      <c r="T529" s="23">
        <f t="shared" si="2"/>
        <v>0</v>
      </c>
      <c r="U529" s="23">
        <f t="shared" si="3"/>
        <v>0</v>
      </c>
      <c r="V529" s="23">
        <f t="shared" si="4"/>
        <v>0</v>
      </c>
      <c r="W529" s="24" t="str">
        <f t="shared" si="5"/>
        <v>#DIV/0!</v>
      </c>
    </row>
    <row r="530" hidden="1">
      <c r="A530" s="15" t="s">
        <v>1786</v>
      </c>
      <c r="B530" s="18"/>
      <c r="C530" s="15" t="s">
        <v>6829</v>
      </c>
      <c r="D530" s="18"/>
      <c r="E530" s="17" t="s">
        <v>1787</v>
      </c>
      <c r="F530" s="18"/>
      <c r="G530" s="18"/>
      <c r="H530" s="15" t="s">
        <v>1788</v>
      </c>
      <c r="I530" s="15" t="s">
        <v>1789</v>
      </c>
      <c r="J530" s="19" t="s">
        <v>36</v>
      </c>
      <c r="K530" s="19" t="s">
        <v>105</v>
      </c>
      <c r="L530" s="19" t="s">
        <v>38</v>
      </c>
      <c r="M530" s="20">
        <f t="shared" si="1"/>
        <v>0</v>
      </c>
      <c r="N530" s="22"/>
      <c r="O530" s="19" t="s">
        <v>1145</v>
      </c>
      <c r="P530" s="18"/>
      <c r="Q530" s="18"/>
      <c r="R530" s="23">
        <v>0.0</v>
      </c>
      <c r="S530" s="23">
        <v>0.0</v>
      </c>
      <c r="T530" s="23">
        <f t="shared" si="2"/>
        <v>0</v>
      </c>
      <c r="U530" s="23">
        <f t="shared" si="3"/>
        <v>0</v>
      </c>
      <c r="V530" s="23">
        <f t="shared" si="4"/>
        <v>0</v>
      </c>
      <c r="W530" s="24" t="str">
        <f t="shared" si="5"/>
        <v>#DIV/0!</v>
      </c>
    </row>
    <row r="531" hidden="1">
      <c r="A531" s="15" t="s">
        <v>6830</v>
      </c>
      <c r="B531" s="15" t="s">
        <v>1080</v>
      </c>
      <c r="C531" s="15" t="s">
        <v>6831</v>
      </c>
      <c r="D531" s="18"/>
      <c r="E531" s="17" t="s">
        <v>6832</v>
      </c>
      <c r="F531" s="18"/>
      <c r="G531" s="18"/>
      <c r="H531" s="15" t="s">
        <v>6833</v>
      </c>
      <c r="I531" s="15" t="s">
        <v>6834</v>
      </c>
      <c r="J531" s="19" t="s">
        <v>36</v>
      </c>
      <c r="K531" s="19" t="s">
        <v>1230</v>
      </c>
      <c r="L531" s="19" t="s">
        <v>38</v>
      </c>
      <c r="M531" s="20">
        <f t="shared" si="1"/>
        <v>0</v>
      </c>
      <c r="N531" s="22"/>
      <c r="O531" s="19" t="s">
        <v>39</v>
      </c>
      <c r="P531" s="18"/>
      <c r="Q531" s="18"/>
      <c r="R531" s="23">
        <v>0.0</v>
      </c>
      <c r="S531" s="23">
        <v>0.0</v>
      </c>
      <c r="T531" s="23">
        <f t="shared" si="2"/>
        <v>0</v>
      </c>
      <c r="U531" s="23">
        <f t="shared" si="3"/>
        <v>0</v>
      </c>
      <c r="V531" s="23">
        <f t="shared" si="4"/>
        <v>0</v>
      </c>
      <c r="W531" s="24" t="str">
        <f t="shared" si="5"/>
        <v>#DIV/0!</v>
      </c>
    </row>
    <row r="532" hidden="1">
      <c r="A532" s="15" t="s">
        <v>6835</v>
      </c>
      <c r="B532" s="18"/>
      <c r="C532" s="15" t="s">
        <v>6836</v>
      </c>
      <c r="D532" s="18"/>
      <c r="E532" s="17" t="s">
        <v>6837</v>
      </c>
      <c r="F532" s="18"/>
      <c r="G532" s="18"/>
      <c r="H532" s="15" t="s">
        <v>6838</v>
      </c>
      <c r="I532" s="15" t="s">
        <v>1078</v>
      </c>
      <c r="J532" s="19" t="s">
        <v>36</v>
      </c>
      <c r="K532" s="19" t="s">
        <v>1230</v>
      </c>
      <c r="L532" s="19" t="s">
        <v>38</v>
      </c>
      <c r="M532" s="20">
        <f t="shared" si="1"/>
        <v>0</v>
      </c>
      <c r="N532" s="22"/>
      <c r="O532" s="19" t="s">
        <v>1145</v>
      </c>
      <c r="P532" s="18"/>
      <c r="Q532" s="18"/>
      <c r="R532" s="23">
        <v>0.0</v>
      </c>
      <c r="S532" s="23">
        <v>0.0</v>
      </c>
      <c r="T532" s="23">
        <f t="shared" si="2"/>
        <v>0</v>
      </c>
      <c r="U532" s="23">
        <f t="shared" si="3"/>
        <v>0</v>
      </c>
      <c r="V532" s="23">
        <f t="shared" si="4"/>
        <v>0</v>
      </c>
      <c r="W532" s="24" t="str">
        <f t="shared" si="5"/>
        <v>#DIV/0!</v>
      </c>
    </row>
    <row r="533" hidden="1">
      <c r="A533" s="15" t="s">
        <v>1790</v>
      </c>
      <c r="B533" s="18"/>
      <c r="C533" s="15" t="s">
        <v>6839</v>
      </c>
      <c r="D533" s="18"/>
      <c r="E533" s="17" t="s">
        <v>1791</v>
      </c>
      <c r="F533" s="18"/>
      <c r="G533" s="18"/>
      <c r="H533" s="15" t="s">
        <v>1792</v>
      </c>
      <c r="I533" s="15" t="s">
        <v>1793</v>
      </c>
      <c r="J533" s="19" t="s">
        <v>36</v>
      </c>
      <c r="K533" s="19" t="s">
        <v>1230</v>
      </c>
      <c r="L533" s="19" t="s">
        <v>38</v>
      </c>
      <c r="M533" s="20">
        <f t="shared" si="1"/>
        <v>0</v>
      </c>
      <c r="N533" s="22"/>
      <c r="O533" s="19" t="s">
        <v>1145</v>
      </c>
      <c r="P533" s="18"/>
      <c r="Q533" s="18"/>
      <c r="R533" s="23">
        <v>0.0</v>
      </c>
      <c r="S533" s="23">
        <v>0.0</v>
      </c>
      <c r="T533" s="23">
        <f t="shared" si="2"/>
        <v>0</v>
      </c>
      <c r="U533" s="23">
        <f t="shared" si="3"/>
        <v>0</v>
      </c>
      <c r="V533" s="23">
        <f t="shared" si="4"/>
        <v>0</v>
      </c>
      <c r="W533" s="24" t="str">
        <f t="shared" si="5"/>
        <v>#DIV/0!</v>
      </c>
    </row>
    <row r="534" hidden="1">
      <c r="A534" s="15" t="s">
        <v>1794</v>
      </c>
      <c r="B534" s="18"/>
      <c r="C534" s="15" t="s">
        <v>6840</v>
      </c>
      <c r="D534" s="18"/>
      <c r="E534" s="17" t="s">
        <v>1795</v>
      </c>
      <c r="F534" s="18"/>
      <c r="G534" s="18"/>
      <c r="H534" s="15" t="s">
        <v>1796</v>
      </c>
      <c r="I534" s="15" t="s">
        <v>1797</v>
      </c>
      <c r="J534" s="19" t="s">
        <v>36</v>
      </c>
      <c r="K534" s="19" t="s">
        <v>1230</v>
      </c>
      <c r="L534" s="19" t="s">
        <v>38</v>
      </c>
      <c r="M534" s="20">
        <f t="shared" si="1"/>
        <v>0</v>
      </c>
      <c r="N534" s="22"/>
      <c r="O534" s="19" t="s">
        <v>1145</v>
      </c>
      <c r="P534" s="18"/>
      <c r="Q534" s="18"/>
      <c r="R534" s="23">
        <v>0.0</v>
      </c>
      <c r="S534" s="23">
        <v>0.0</v>
      </c>
      <c r="T534" s="23">
        <f t="shared" si="2"/>
        <v>0</v>
      </c>
      <c r="U534" s="23">
        <f t="shared" si="3"/>
        <v>0</v>
      </c>
      <c r="V534" s="23">
        <f t="shared" si="4"/>
        <v>0</v>
      </c>
      <c r="W534" s="24" t="str">
        <f t="shared" si="5"/>
        <v>#DIV/0!</v>
      </c>
    </row>
    <row r="535" hidden="1">
      <c r="A535" s="15" t="s">
        <v>6841</v>
      </c>
      <c r="B535" s="15" t="s">
        <v>6842</v>
      </c>
      <c r="C535" s="15" t="s">
        <v>6843</v>
      </c>
      <c r="D535" s="15" t="s">
        <v>6844</v>
      </c>
      <c r="E535" s="17" t="s">
        <v>6845</v>
      </c>
      <c r="F535" s="18"/>
      <c r="G535" s="18"/>
      <c r="H535" s="15" t="s">
        <v>6846</v>
      </c>
      <c r="I535" s="15" t="s">
        <v>6847</v>
      </c>
      <c r="J535" s="19" t="s">
        <v>36</v>
      </c>
      <c r="K535" s="19" t="s">
        <v>37</v>
      </c>
      <c r="L535" s="19" t="s">
        <v>38</v>
      </c>
      <c r="M535" s="20">
        <f t="shared" si="1"/>
        <v>0</v>
      </c>
      <c r="N535" s="22"/>
      <c r="O535" s="19" t="s">
        <v>39</v>
      </c>
      <c r="P535" s="18"/>
      <c r="Q535" s="18"/>
      <c r="R535" s="23">
        <v>0.0</v>
      </c>
      <c r="S535" s="23">
        <v>0.0</v>
      </c>
      <c r="T535" s="23">
        <f t="shared" si="2"/>
        <v>0</v>
      </c>
      <c r="U535" s="23">
        <f t="shared" si="3"/>
        <v>0</v>
      </c>
      <c r="V535" s="23">
        <f t="shared" si="4"/>
        <v>0</v>
      </c>
      <c r="W535" s="24" t="str">
        <f t="shared" si="5"/>
        <v>#DIV/0!</v>
      </c>
    </row>
    <row r="536" hidden="1">
      <c r="A536" s="15" t="s">
        <v>6848</v>
      </c>
      <c r="B536" s="18"/>
      <c r="C536" s="15" t="s">
        <v>6849</v>
      </c>
      <c r="D536" s="18"/>
      <c r="E536" s="17" t="s">
        <v>6850</v>
      </c>
      <c r="F536" s="18"/>
      <c r="G536" s="18"/>
      <c r="H536" s="15" t="s">
        <v>6851</v>
      </c>
      <c r="I536" s="15" t="s">
        <v>228</v>
      </c>
      <c r="J536" s="19" t="s">
        <v>36</v>
      </c>
      <c r="K536" s="19" t="s">
        <v>1230</v>
      </c>
      <c r="L536" s="19" t="s">
        <v>38</v>
      </c>
      <c r="M536" s="20">
        <f t="shared" si="1"/>
        <v>0</v>
      </c>
      <c r="N536" s="22"/>
      <c r="O536" s="19" t="s">
        <v>39</v>
      </c>
      <c r="P536" s="18"/>
      <c r="Q536" s="18"/>
      <c r="R536" s="23">
        <v>0.0</v>
      </c>
      <c r="S536" s="23">
        <v>0.0</v>
      </c>
      <c r="T536" s="23">
        <f t="shared" si="2"/>
        <v>0</v>
      </c>
      <c r="U536" s="23">
        <f t="shared" si="3"/>
        <v>0</v>
      </c>
      <c r="V536" s="23">
        <f t="shared" si="4"/>
        <v>0</v>
      </c>
      <c r="W536" s="24" t="str">
        <f t="shared" si="5"/>
        <v>#DIV/0!</v>
      </c>
    </row>
    <row r="537" hidden="1">
      <c r="A537" s="15" t="s">
        <v>1798</v>
      </c>
      <c r="B537" s="18"/>
      <c r="C537" s="15" t="s">
        <v>6852</v>
      </c>
      <c r="D537" s="18"/>
      <c r="E537" s="17" t="s">
        <v>1799</v>
      </c>
      <c r="F537" s="18"/>
      <c r="G537" s="18"/>
      <c r="H537" s="15" t="s">
        <v>1800</v>
      </c>
      <c r="I537" s="15" t="s">
        <v>1801</v>
      </c>
      <c r="J537" s="19" t="s">
        <v>36</v>
      </c>
      <c r="K537" s="19" t="s">
        <v>1230</v>
      </c>
      <c r="L537" s="19" t="s">
        <v>38</v>
      </c>
      <c r="M537" s="20">
        <f t="shared" si="1"/>
        <v>0</v>
      </c>
      <c r="N537" s="22"/>
      <c r="O537" s="19" t="s">
        <v>1145</v>
      </c>
      <c r="P537" s="18"/>
      <c r="Q537" s="18"/>
      <c r="R537" s="23">
        <v>0.0</v>
      </c>
      <c r="S537" s="23">
        <v>0.0</v>
      </c>
      <c r="T537" s="23">
        <f t="shared" si="2"/>
        <v>0</v>
      </c>
      <c r="U537" s="23">
        <f t="shared" si="3"/>
        <v>0</v>
      </c>
      <c r="V537" s="23">
        <f t="shared" si="4"/>
        <v>0</v>
      </c>
      <c r="W537" s="24" t="str">
        <f t="shared" si="5"/>
        <v>#DIV/0!</v>
      </c>
    </row>
    <row r="538" hidden="1">
      <c r="A538" s="15" t="s">
        <v>1802</v>
      </c>
      <c r="B538" s="18"/>
      <c r="C538" s="15" t="s">
        <v>6853</v>
      </c>
      <c r="D538" s="18"/>
      <c r="E538" s="17" t="s">
        <v>1803</v>
      </c>
      <c r="F538" s="18"/>
      <c r="G538" s="18"/>
      <c r="H538" s="15" t="s">
        <v>1804</v>
      </c>
      <c r="I538" s="15" t="s">
        <v>1805</v>
      </c>
      <c r="J538" s="19" t="s">
        <v>36</v>
      </c>
      <c r="K538" s="19" t="s">
        <v>1230</v>
      </c>
      <c r="L538" s="19" t="s">
        <v>38</v>
      </c>
      <c r="M538" s="20">
        <f t="shared" si="1"/>
        <v>0</v>
      </c>
      <c r="N538" s="22"/>
      <c r="O538" s="19" t="s">
        <v>1145</v>
      </c>
      <c r="P538" s="18"/>
      <c r="Q538" s="18"/>
      <c r="R538" s="23">
        <v>0.0</v>
      </c>
      <c r="S538" s="23">
        <v>0.0</v>
      </c>
      <c r="T538" s="23">
        <f t="shared" si="2"/>
        <v>0</v>
      </c>
      <c r="U538" s="23">
        <f t="shared" si="3"/>
        <v>0</v>
      </c>
      <c r="V538" s="23">
        <f t="shared" si="4"/>
        <v>0</v>
      </c>
      <c r="W538" s="24" t="str">
        <f t="shared" si="5"/>
        <v>#DIV/0!</v>
      </c>
    </row>
    <row r="539" hidden="1">
      <c r="A539" s="15" t="s">
        <v>6854</v>
      </c>
      <c r="B539" s="18"/>
      <c r="C539" s="15" t="s">
        <v>6855</v>
      </c>
      <c r="D539" s="18"/>
      <c r="E539" s="17" t="s">
        <v>6856</v>
      </c>
      <c r="F539" s="18"/>
      <c r="G539" s="18"/>
      <c r="H539" s="15" t="s">
        <v>6857</v>
      </c>
      <c r="I539" s="15" t="s">
        <v>4721</v>
      </c>
      <c r="J539" s="19" t="s">
        <v>36</v>
      </c>
      <c r="K539" s="19" t="s">
        <v>105</v>
      </c>
      <c r="L539" s="19" t="s">
        <v>38</v>
      </c>
      <c r="M539" s="20">
        <f t="shared" si="1"/>
        <v>0</v>
      </c>
      <c r="N539" s="22"/>
      <c r="O539" s="19" t="s">
        <v>1145</v>
      </c>
      <c r="P539" s="18"/>
      <c r="Q539" s="18"/>
      <c r="R539" s="23">
        <v>0.0</v>
      </c>
      <c r="S539" s="23">
        <v>0.0</v>
      </c>
      <c r="T539" s="23">
        <f t="shared" si="2"/>
        <v>0</v>
      </c>
      <c r="U539" s="23">
        <f t="shared" si="3"/>
        <v>0</v>
      </c>
      <c r="V539" s="23">
        <f t="shared" si="4"/>
        <v>0</v>
      </c>
      <c r="W539" s="24" t="str">
        <f t="shared" si="5"/>
        <v>#DIV/0!</v>
      </c>
    </row>
    <row r="540" hidden="1">
      <c r="A540" s="15" t="s">
        <v>6858</v>
      </c>
      <c r="B540" s="18"/>
      <c r="C540" s="15" t="s">
        <v>6859</v>
      </c>
      <c r="D540" s="18"/>
      <c r="E540" s="17" t="s">
        <v>6860</v>
      </c>
      <c r="F540" s="18"/>
      <c r="G540" s="18"/>
      <c r="H540" s="15" t="s">
        <v>6861</v>
      </c>
      <c r="I540" s="15" t="s">
        <v>6862</v>
      </c>
      <c r="J540" s="19" t="s">
        <v>36</v>
      </c>
      <c r="K540" s="19" t="s">
        <v>37</v>
      </c>
      <c r="L540" s="19" t="s">
        <v>38</v>
      </c>
      <c r="M540" s="20">
        <f t="shared" si="1"/>
        <v>0</v>
      </c>
      <c r="N540" s="22"/>
      <c r="O540" s="19" t="s">
        <v>39</v>
      </c>
      <c r="P540" s="18"/>
      <c r="Q540" s="18"/>
      <c r="R540" s="23">
        <v>0.0</v>
      </c>
      <c r="S540" s="23">
        <v>0.0</v>
      </c>
      <c r="T540" s="23">
        <f t="shared" si="2"/>
        <v>0</v>
      </c>
      <c r="U540" s="23">
        <f t="shared" si="3"/>
        <v>0</v>
      </c>
      <c r="V540" s="23">
        <f t="shared" si="4"/>
        <v>0</v>
      </c>
      <c r="W540" s="24" t="str">
        <f t="shared" si="5"/>
        <v>#DIV/0!</v>
      </c>
    </row>
    <row r="541" hidden="1">
      <c r="A541" s="15" t="s">
        <v>1806</v>
      </c>
      <c r="B541" s="18"/>
      <c r="C541" s="15" t="s">
        <v>6863</v>
      </c>
      <c r="D541" s="18"/>
      <c r="E541" s="17" t="s">
        <v>1807</v>
      </c>
      <c r="F541" s="18"/>
      <c r="G541" s="18"/>
      <c r="H541" s="15" t="s">
        <v>1808</v>
      </c>
      <c r="I541" s="15" t="s">
        <v>1809</v>
      </c>
      <c r="J541" s="19" t="s">
        <v>36</v>
      </c>
      <c r="K541" s="19" t="s">
        <v>105</v>
      </c>
      <c r="L541" s="19" t="s">
        <v>38</v>
      </c>
      <c r="M541" s="20">
        <f t="shared" si="1"/>
        <v>0</v>
      </c>
      <c r="N541" s="22"/>
      <c r="O541" s="19" t="s">
        <v>1145</v>
      </c>
      <c r="P541" s="18"/>
      <c r="Q541" s="18"/>
      <c r="R541" s="23">
        <v>0.0</v>
      </c>
      <c r="S541" s="23">
        <v>0.0</v>
      </c>
      <c r="T541" s="23">
        <f t="shared" si="2"/>
        <v>0</v>
      </c>
      <c r="U541" s="23">
        <f t="shared" si="3"/>
        <v>0</v>
      </c>
      <c r="V541" s="23">
        <f t="shared" si="4"/>
        <v>0</v>
      </c>
      <c r="W541" s="24" t="str">
        <f t="shared" si="5"/>
        <v>#DIV/0!</v>
      </c>
    </row>
    <row r="542" hidden="1">
      <c r="A542" s="15" t="s">
        <v>1810</v>
      </c>
      <c r="B542" s="18"/>
      <c r="C542" s="15" t="s">
        <v>6864</v>
      </c>
      <c r="D542" s="18"/>
      <c r="E542" s="17" t="s">
        <v>1811</v>
      </c>
      <c r="F542" s="18"/>
      <c r="G542" s="18"/>
      <c r="H542" s="15" t="s">
        <v>1812</v>
      </c>
      <c r="I542" s="18"/>
      <c r="J542" s="19" t="s">
        <v>36</v>
      </c>
      <c r="K542" s="19" t="s">
        <v>1230</v>
      </c>
      <c r="L542" s="19" t="s">
        <v>38</v>
      </c>
      <c r="M542" s="20">
        <f t="shared" si="1"/>
        <v>0</v>
      </c>
      <c r="N542" s="22"/>
      <c r="O542" s="19" t="s">
        <v>1145</v>
      </c>
      <c r="P542" s="18"/>
      <c r="Q542" s="18"/>
      <c r="R542" s="23">
        <v>0.0</v>
      </c>
      <c r="S542" s="23">
        <v>0.0</v>
      </c>
      <c r="T542" s="23">
        <f t="shared" si="2"/>
        <v>0</v>
      </c>
      <c r="U542" s="23">
        <f t="shared" si="3"/>
        <v>0</v>
      </c>
      <c r="V542" s="23">
        <f t="shared" si="4"/>
        <v>0</v>
      </c>
      <c r="W542" s="24" t="str">
        <f t="shared" si="5"/>
        <v>#DIV/0!</v>
      </c>
    </row>
    <row r="543" hidden="1">
      <c r="A543" s="15" t="s">
        <v>6865</v>
      </c>
      <c r="B543" s="18"/>
      <c r="C543" s="15" t="s">
        <v>6866</v>
      </c>
      <c r="D543" s="18"/>
      <c r="E543" s="17" t="s">
        <v>6867</v>
      </c>
      <c r="F543" s="18"/>
      <c r="G543" s="18"/>
      <c r="H543" s="15" t="s">
        <v>6868</v>
      </c>
      <c r="I543" s="15" t="s">
        <v>362</v>
      </c>
      <c r="J543" s="19" t="s">
        <v>36</v>
      </c>
      <c r="K543" s="19" t="s">
        <v>105</v>
      </c>
      <c r="L543" s="19" t="s">
        <v>38</v>
      </c>
      <c r="M543" s="20">
        <f t="shared" si="1"/>
        <v>0</v>
      </c>
      <c r="N543" s="22"/>
      <c r="O543" s="19" t="s">
        <v>39</v>
      </c>
      <c r="P543" s="18"/>
      <c r="Q543" s="18"/>
      <c r="R543" s="23">
        <v>0.0</v>
      </c>
      <c r="S543" s="23">
        <v>0.0</v>
      </c>
      <c r="T543" s="23">
        <f t="shared" si="2"/>
        <v>0</v>
      </c>
      <c r="U543" s="23">
        <f t="shared" si="3"/>
        <v>0</v>
      </c>
      <c r="V543" s="23">
        <f t="shared" si="4"/>
        <v>0</v>
      </c>
      <c r="W543" s="24" t="str">
        <f t="shared" si="5"/>
        <v>#DIV/0!</v>
      </c>
    </row>
    <row r="544" hidden="1">
      <c r="A544" s="15" t="s">
        <v>1813</v>
      </c>
      <c r="B544" s="18"/>
      <c r="C544" s="15" t="s">
        <v>6869</v>
      </c>
      <c r="D544" s="18"/>
      <c r="E544" s="17" t="s">
        <v>1814</v>
      </c>
      <c r="F544" s="18"/>
      <c r="G544" s="18"/>
      <c r="H544" s="15" t="s">
        <v>1815</v>
      </c>
      <c r="I544" s="15" t="s">
        <v>1816</v>
      </c>
      <c r="J544" s="19" t="s">
        <v>36</v>
      </c>
      <c r="K544" s="19" t="s">
        <v>105</v>
      </c>
      <c r="L544" s="19" t="s">
        <v>38</v>
      </c>
      <c r="M544" s="20">
        <f t="shared" si="1"/>
        <v>0</v>
      </c>
      <c r="N544" s="22"/>
      <c r="O544" s="19" t="s">
        <v>1145</v>
      </c>
      <c r="P544" s="18"/>
      <c r="Q544" s="18"/>
      <c r="R544" s="23">
        <v>0.0</v>
      </c>
      <c r="S544" s="23">
        <v>0.0</v>
      </c>
      <c r="T544" s="23">
        <f t="shared" si="2"/>
        <v>0</v>
      </c>
      <c r="U544" s="23">
        <f t="shared" si="3"/>
        <v>0</v>
      </c>
      <c r="V544" s="23">
        <f t="shared" si="4"/>
        <v>0</v>
      </c>
      <c r="W544" s="24" t="str">
        <f t="shared" si="5"/>
        <v>#DIV/0!</v>
      </c>
    </row>
    <row r="545" hidden="1">
      <c r="A545" s="15" t="s">
        <v>1817</v>
      </c>
      <c r="B545" s="18"/>
      <c r="C545" s="15" t="s">
        <v>6870</v>
      </c>
      <c r="D545" s="18"/>
      <c r="E545" s="17" t="s">
        <v>1818</v>
      </c>
      <c r="F545" s="18"/>
      <c r="G545" s="18"/>
      <c r="H545" s="15" t="s">
        <v>1819</v>
      </c>
      <c r="I545" s="15" t="s">
        <v>1820</v>
      </c>
      <c r="J545" s="19" t="s">
        <v>36</v>
      </c>
      <c r="K545" s="19" t="s">
        <v>105</v>
      </c>
      <c r="L545" s="19" t="s">
        <v>38</v>
      </c>
      <c r="M545" s="20">
        <f t="shared" si="1"/>
        <v>0</v>
      </c>
      <c r="N545" s="22"/>
      <c r="O545" s="19" t="s">
        <v>1145</v>
      </c>
      <c r="P545" s="18"/>
      <c r="Q545" s="18"/>
      <c r="R545" s="23">
        <v>0.0</v>
      </c>
      <c r="S545" s="23">
        <v>0.0</v>
      </c>
      <c r="T545" s="23">
        <f t="shared" si="2"/>
        <v>0</v>
      </c>
      <c r="U545" s="23">
        <f t="shared" si="3"/>
        <v>0</v>
      </c>
      <c r="V545" s="23">
        <f t="shared" si="4"/>
        <v>0</v>
      </c>
      <c r="W545" s="24" t="str">
        <f t="shared" si="5"/>
        <v>#DIV/0!</v>
      </c>
    </row>
    <row r="546" hidden="1">
      <c r="A546" s="15" t="s">
        <v>1821</v>
      </c>
      <c r="B546" s="18"/>
      <c r="C546" s="15" t="s">
        <v>6871</v>
      </c>
      <c r="D546" s="18"/>
      <c r="E546" s="17" t="s">
        <v>1822</v>
      </c>
      <c r="F546" s="18"/>
      <c r="G546" s="18"/>
      <c r="H546" s="15" t="s">
        <v>1823</v>
      </c>
      <c r="I546" s="15" t="s">
        <v>1824</v>
      </c>
      <c r="J546" s="19" t="s">
        <v>36</v>
      </c>
      <c r="K546" s="19" t="s">
        <v>105</v>
      </c>
      <c r="L546" s="19" t="s">
        <v>38</v>
      </c>
      <c r="M546" s="20">
        <f t="shared" si="1"/>
        <v>0</v>
      </c>
      <c r="N546" s="22"/>
      <c r="O546" s="19" t="s">
        <v>1145</v>
      </c>
      <c r="P546" s="18"/>
      <c r="Q546" s="18"/>
      <c r="R546" s="23">
        <v>0.0</v>
      </c>
      <c r="S546" s="23">
        <v>0.0</v>
      </c>
      <c r="T546" s="23">
        <f t="shared" si="2"/>
        <v>0</v>
      </c>
      <c r="U546" s="23">
        <f t="shared" si="3"/>
        <v>0</v>
      </c>
      <c r="V546" s="23">
        <f t="shared" si="4"/>
        <v>0</v>
      </c>
      <c r="W546" s="24" t="str">
        <f t="shared" si="5"/>
        <v>#DIV/0!</v>
      </c>
    </row>
    <row r="547" hidden="1">
      <c r="A547" s="15" t="s">
        <v>1825</v>
      </c>
      <c r="B547" s="18"/>
      <c r="C547" s="15" t="s">
        <v>6872</v>
      </c>
      <c r="D547" s="18"/>
      <c r="E547" s="17" t="s">
        <v>1826</v>
      </c>
      <c r="F547" s="18"/>
      <c r="G547" s="18"/>
      <c r="H547" s="15" t="s">
        <v>1827</v>
      </c>
      <c r="I547" s="15" t="s">
        <v>1828</v>
      </c>
      <c r="J547" s="19" t="s">
        <v>36</v>
      </c>
      <c r="K547" s="19" t="s">
        <v>37</v>
      </c>
      <c r="L547" s="19" t="s">
        <v>38</v>
      </c>
      <c r="M547" s="20">
        <f t="shared" si="1"/>
        <v>0</v>
      </c>
      <c r="N547" s="22"/>
      <c r="O547" s="19" t="s">
        <v>1145</v>
      </c>
      <c r="P547" s="18"/>
      <c r="Q547" s="18"/>
      <c r="R547" s="23">
        <v>0.0</v>
      </c>
      <c r="S547" s="23">
        <v>0.0</v>
      </c>
      <c r="T547" s="23">
        <f t="shared" si="2"/>
        <v>0</v>
      </c>
      <c r="U547" s="23">
        <f t="shared" si="3"/>
        <v>0</v>
      </c>
      <c r="V547" s="23">
        <f t="shared" si="4"/>
        <v>0</v>
      </c>
      <c r="W547" s="24" t="str">
        <f t="shared" si="5"/>
        <v>#DIV/0!</v>
      </c>
    </row>
    <row r="548" hidden="1">
      <c r="A548" s="15" t="s">
        <v>6873</v>
      </c>
      <c r="B548" s="15" t="s">
        <v>6874</v>
      </c>
      <c r="C548" s="15" t="s">
        <v>6875</v>
      </c>
      <c r="D548" s="18"/>
      <c r="E548" s="17" t="s">
        <v>140</v>
      </c>
      <c r="F548" s="18"/>
      <c r="G548" s="18"/>
      <c r="H548" s="15" t="s">
        <v>6876</v>
      </c>
      <c r="I548" s="15" t="s">
        <v>6877</v>
      </c>
      <c r="J548" s="19" t="s">
        <v>36</v>
      </c>
      <c r="K548" s="19" t="s">
        <v>37</v>
      </c>
      <c r="L548" s="19" t="s">
        <v>38</v>
      </c>
      <c r="M548" s="20">
        <f t="shared" si="1"/>
        <v>0</v>
      </c>
      <c r="N548" s="22"/>
      <c r="O548" s="19" t="s">
        <v>39</v>
      </c>
      <c r="P548" s="18"/>
      <c r="Q548" s="18"/>
      <c r="R548" s="23">
        <v>0.0</v>
      </c>
      <c r="S548" s="23">
        <v>0.0</v>
      </c>
      <c r="T548" s="23">
        <f t="shared" si="2"/>
        <v>0</v>
      </c>
      <c r="U548" s="23">
        <f t="shared" si="3"/>
        <v>0</v>
      </c>
      <c r="V548" s="23">
        <f t="shared" si="4"/>
        <v>0</v>
      </c>
      <c r="W548" s="24" t="str">
        <f t="shared" si="5"/>
        <v>#DIV/0!</v>
      </c>
    </row>
    <row r="549" hidden="1">
      <c r="A549" s="15" t="s">
        <v>6878</v>
      </c>
      <c r="B549" s="18"/>
      <c r="C549" s="15" t="s">
        <v>6879</v>
      </c>
      <c r="D549" s="18"/>
      <c r="E549" s="17" t="s">
        <v>6880</v>
      </c>
      <c r="F549" s="18"/>
      <c r="G549" s="18"/>
      <c r="H549" s="15" t="s">
        <v>6881</v>
      </c>
      <c r="I549" s="15" t="s">
        <v>325</v>
      </c>
      <c r="J549" s="19" t="s">
        <v>36</v>
      </c>
      <c r="K549" s="19" t="s">
        <v>105</v>
      </c>
      <c r="L549" s="19" t="s">
        <v>38</v>
      </c>
      <c r="M549" s="20">
        <f t="shared" si="1"/>
        <v>0</v>
      </c>
      <c r="N549" s="22"/>
      <c r="O549" s="19" t="s">
        <v>39</v>
      </c>
      <c r="P549" s="18"/>
      <c r="Q549" s="18"/>
      <c r="R549" s="23">
        <v>0.0</v>
      </c>
      <c r="S549" s="23">
        <v>0.0</v>
      </c>
      <c r="T549" s="23">
        <f t="shared" si="2"/>
        <v>0</v>
      </c>
      <c r="U549" s="23">
        <f t="shared" si="3"/>
        <v>0</v>
      </c>
      <c r="V549" s="23">
        <f t="shared" si="4"/>
        <v>0</v>
      </c>
      <c r="W549" s="24" t="str">
        <f t="shared" si="5"/>
        <v>#DIV/0!</v>
      </c>
    </row>
    <row r="550">
      <c r="A550" s="15" t="s">
        <v>3645</v>
      </c>
      <c r="B550" s="15" t="s">
        <v>3646</v>
      </c>
      <c r="C550" s="15" t="s">
        <v>6156</v>
      </c>
      <c r="D550" s="18"/>
      <c r="E550" s="17" t="s">
        <v>3647</v>
      </c>
      <c r="F550" s="18"/>
      <c r="G550" s="18"/>
      <c r="H550" s="15" t="s">
        <v>3648</v>
      </c>
      <c r="I550" s="18"/>
      <c r="J550" s="19" t="s">
        <v>283</v>
      </c>
      <c r="K550" s="19" t="s">
        <v>284</v>
      </c>
      <c r="L550" s="19" t="s">
        <v>38</v>
      </c>
      <c r="M550" s="20">
        <f t="shared" si="1"/>
        <v>0</v>
      </c>
      <c r="N550" s="22"/>
      <c r="O550" s="19" t="s">
        <v>3578</v>
      </c>
      <c r="P550" s="18"/>
      <c r="Q550" s="18"/>
      <c r="R550" s="23">
        <v>0.0</v>
      </c>
      <c r="S550" s="23">
        <v>0.0</v>
      </c>
      <c r="T550" s="23">
        <f t="shared" si="2"/>
        <v>0</v>
      </c>
      <c r="U550" s="23">
        <f t="shared" si="3"/>
        <v>0</v>
      </c>
      <c r="V550" s="23">
        <f t="shared" si="4"/>
        <v>0</v>
      </c>
      <c r="W550" s="24" t="str">
        <f t="shared" si="5"/>
        <v>#DIV/0!</v>
      </c>
    </row>
    <row r="551" hidden="1">
      <c r="A551" s="15" t="s">
        <v>1829</v>
      </c>
      <c r="B551" s="18"/>
      <c r="C551" s="15" t="s">
        <v>6883</v>
      </c>
      <c r="D551" s="18"/>
      <c r="E551" s="17" t="s">
        <v>1830</v>
      </c>
      <c r="F551" s="18"/>
      <c r="G551" s="18"/>
      <c r="H551" s="15" t="s">
        <v>1831</v>
      </c>
      <c r="I551" s="15" t="s">
        <v>1832</v>
      </c>
      <c r="J551" s="19" t="s">
        <v>36</v>
      </c>
      <c r="K551" s="19" t="s">
        <v>1230</v>
      </c>
      <c r="L551" s="19" t="s">
        <v>38</v>
      </c>
      <c r="M551" s="20">
        <f t="shared" si="1"/>
        <v>0</v>
      </c>
      <c r="N551" s="22"/>
      <c r="O551" s="19" t="s">
        <v>1145</v>
      </c>
      <c r="P551" s="18"/>
      <c r="Q551" s="18"/>
      <c r="R551" s="23">
        <v>0.0</v>
      </c>
      <c r="S551" s="23">
        <v>0.0</v>
      </c>
      <c r="T551" s="23">
        <f t="shared" si="2"/>
        <v>0</v>
      </c>
      <c r="U551" s="23">
        <f t="shared" si="3"/>
        <v>0</v>
      </c>
      <c r="V551" s="23">
        <f t="shared" si="4"/>
        <v>0</v>
      </c>
      <c r="W551" s="24" t="str">
        <f t="shared" si="5"/>
        <v>#DIV/0!</v>
      </c>
    </row>
    <row r="552" hidden="1">
      <c r="A552" s="15" t="s">
        <v>1833</v>
      </c>
      <c r="B552" s="18"/>
      <c r="C552" s="15" t="s">
        <v>6884</v>
      </c>
      <c r="D552" s="18"/>
      <c r="E552" s="17" t="s">
        <v>1834</v>
      </c>
      <c r="F552" s="18"/>
      <c r="G552" s="18"/>
      <c r="H552" s="15" t="s">
        <v>1835</v>
      </c>
      <c r="I552" s="15" t="s">
        <v>1836</v>
      </c>
      <c r="J552" s="19" t="s">
        <v>36</v>
      </c>
      <c r="K552" s="19" t="s">
        <v>1230</v>
      </c>
      <c r="L552" s="19" t="s">
        <v>38</v>
      </c>
      <c r="M552" s="20">
        <f t="shared" si="1"/>
        <v>0</v>
      </c>
      <c r="N552" s="22"/>
      <c r="O552" s="19" t="s">
        <v>1145</v>
      </c>
      <c r="P552" s="18"/>
      <c r="Q552" s="18"/>
      <c r="R552" s="23">
        <v>0.0</v>
      </c>
      <c r="S552" s="23">
        <v>0.0</v>
      </c>
      <c r="T552" s="23">
        <f t="shared" si="2"/>
        <v>0</v>
      </c>
      <c r="U552" s="23">
        <f t="shared" si="3"/>
        <v>0</v>
      </c>
      <c r="V552" s="23">
        <f t="shared" si="4"/>
        <v>0</v>
      </c>
      <c r="W552" s="24" t="str">
        <f t="shared" si="5"/>
        <v>#DIV/0!</v>
      </c>
    </row>
    <row r="553" hidden="1">
      <c r="A553" s="15" t="s">
        <v>1837</v>
      </c>
      <c r="B553" s="18"/>
      <c r="C553" s="15" t="s">
        <v>6885</v>
      </c>
      <c r="D553" s="18"/>
      <c r="E553" s="17" t="s">
        <v>1838</v>
      </c>
      <c r="F553" s="18"/>
      <c r="G553" s="18"/>
      <c r="H553" s="15" t="s">
        <v>1839</v>
      </c>
      <c r="I553" s="15" t="s">
        <v>1840</v>
      </c>
      <c r="J553" s="19" t="s">
        <v>36</v>
      </c>
      <c r="K553" s="19" t="s">
        <v>37</v>
      </c>
      <c r="L553" s="19" t="s">
        <v>38</v>
      </c>
      <c r="M553" s="20">
        <f t="shared" si="1"/>
        <v>0</v>
      </c>
      <c r="N553" s="22"/>
      <c r="O553" s="19" t="s">
        <v>1145</v>
      </c>
      <c r="P553" s="18"/>
      <c r="Q553" s="18"/>
      <c r="R553" s="23">
        <v>0.0</v>
      </c>
      <c r="S553" s="23">
        <v>0.0</v>
      </c>
      <c r="T553" s="23">
        <f t="shared" si="2"/>
        <v>0</v>
      </c>
      <c r="U553" s="23">
        <f t="shared" si="3"/>
        <v>0</v>
      </c>
      <c r="V553" s="23">
        <f t="shared" si="4"/>
        <v>0</v>
      </c>
      <c r="W553" s="24" t="str">
        <f t="shared" si="5"/>
        <v>#DIV/0!</v>
      </c>
    </row>
    <row r="554" hidden="1">
      <c r="A554" s="15" t="s">
        <v>1841</v>
      </c>
      <c r="B554" s="18"/>
      <c r="C554" s="15" t="s">
        <v>6886</v>
      </c>
      <c r="D554" s="18"/>
      <c r="E554" s="17" t="s">
        <v>1842</v>
      </c>
      <c r="F554" s="18"/>
      <c r="G554" s="18"/>
      <c r="H554" s="15" t="s">
        <v>1843</v>
      </c>
      <c r="I554" s="15" t="s">
        <v>1844</v>
      </c>
      <c r="J554" s="19" t="s">
        <v>36</v>
      </c>
      <c r="K554" s="19" t="s">
        <v>1230</v>
      </c>
      <c r="L554" s="19" t="s">
        <v>38</v>
      </c>
      <c r="M554" s="20">
        <f t="shared" si="1"/>
        <v>0</v>
      </c>
      <c r="N554" s="22"/>
      <c r="O554" s="19" t="s">
        <v>1145</v>
      </c>
      <c r="P554" s="18"/>
      <c r="Q554" s="18"/>
      <c r="R554" s="23">
        <v>0.0</v>
      </c>
      <c r="S554" s="23">
        <v>0.0</v>
      </c>
      <c r="T554" s="23">
        <f t="shared" si="2"/>
        <v>0</v>
      </c>
      <c r="U554" s="23">
        <f t="shared" si="3"/>
        <v>0</v>
      </c>
      <c r="V554" s="23">
        <f t="shared" si="4"/>
        <v>0</v>
      </c>
      <c r="W554" s="24" t="str">
        <f t="shared" si="5"/>
        <v>#DIV/0!</v>
      </c>
    </row>
    <row r="555" hidden="1">
      <c r="A555" s="15" t="s">
        <v>1845</v>
      </c>
      <c r="B555" s="18"/>
      <c r="C555" s="15" t="s">
        <v>6887</v>
      </c>
      <c r="D555" s="18"/>
      <c r="E555" s="17" t="s">
        <v>1846</v>
      </c>
      <c r="F555" s="18"/>
      <c r="G555" s="18"/>
      <c r="H555" s="15" t="s">
        <v>1847</v>
      </c>
      <c r="I555" s="15" t="s">
        <v>1848</v>
      </c>
      <c r="J555" s="19" t="s">
        <v>36</v>
      </c>
      <c r="K555" s="19" t="s">
        <v>1230</v>
      </c>
      <c r="L555" s="19" t="s">
        <v>38</v>
      </c>
      <c r="M555" s="20">
        <f t="shared" si="1"/>
        <v>0</v>
      </c>
      <c r="N555" s="22"/>
      <c r="O555" s="19" t="s">
        <v>1145</v>
      </c>
      <c r="P555" s="18"/>
      <c r="Q555" s="18"/>
      <c r="R555" s="23">
        <v>0.0</v>
      </c>
      <c r="S555" s="23">
        <v>0.0</v>
      </c>
      <c r="T555" s="23">
        <f t="shared" si="2"/>
        <v>0</v>
      </c>
      <c r="U555" s="23">
        <f t="shared" si="3"/>
        <v>0</v>
      </c>
      <c r="V555" s="23">
        <f t="shared" si="4"/>
        <v>0</v>
      </c>
      <c r="W555" s="24" t="str">
        <f t="shared" si="5"/>
        <v>#DIV/0!</v>
      </c>
    </row>
    <row r="556" hidden="1">
      <c r="A556" s="15" t="s">
        <v>1849</v>
      </c>
      <c r="B556" s="18"/>
      <c r="C556" s="15" t="s">
        <v>6888</v>
      </c>
      <c r="D556" s="18"/>
      <c r="E556" s="17" t="s">
        <v>1850</v>
      </c>
      <c r="F556" s="18"/>
      <c r="G556" s="18"/>
      <c r="H556" s="15" t="s">
        <v>1851</v>
      </c>
      <c r="I556" s="15" t="s">
        <v>1852</v>
      </c>
      <c r="J556" s="19" t="s">
        <v>36</v>
      </c>
      <c r="K556" s="19" t="s">
        <v>1230</v>
      </c>
      <c r="L556" s="19" t="s">
        <v>38</v>
      </c>
      <c r="M556" s="20">
        <f t="shared" si="1"/>
        <v>0</v>
      </c>
      <c r="N556" s="22"/>
      <c r="O556" s="19" t="s">
        <v>1145</v>
      </c>
      <c r="P556" s="18"/>
      <c r="Q556" s="18"/>
      <c r="R556" s="23">
        <v>0.0</v>
      </c>
      <c r="S556" s="23">
        <v>0.0</v>
      </c>
      <c r="T556" s="23">
        <f t="shared" si="2"/>
        <v>0</v>
      </c>
      <c r="U556" s="23">
        <f t="shared" si="3"/>
        <v>0</v>
      </c>
      <c r="V556" s="23">
        <f t="shared" si="4"/>
        <v>0</v>
      </c>
      <c r="W556" s="24" t="str">
        <f t="shared" si="5"/>
        <v>#DIV/0!</v>
      </c>
    </row>
    <row r="557" hidden="1">
      <c r="A557" s="15" t="s">
        <v>1853</v>
      </c>
      <c r="B557" s="18"/>
      <c r="C557" s="15" t="s">
        <v>6889</v>
      </c>
      <c r="D557" s="18"/>
      <c r="E557" s="17" t="s">
        <v>1854</v>
      </c>
      <c r="F557" s="18"/>
      <c r="G557" s="18"/>
      <c r="H557" s="15" t="s">
        <v>1855</v>
      </c>
      <c r="I557" s="15" t="s">
        <v>1856</v>
      </c>
      <c r="J557" s="19" t="s">
        <v>36</v>
      </c>
      <c r="K557" s="19" t="s">
        <v>1230</v>
      </c>
      <c r="L557" s="19" t="s">
        <v>38</v>
      </c>
      <c r="M557" s="20">
        <f t="shared" si="1"/>
        <v>0</v>
      </c>
      <c r="N557" s="22"/>
      <c r="O557" s="19" t="s">
        <v>1145</v>
      </c>
      <c r="P557" s="18"/>
      <c r="Q557" s="18"/>
      <c r="R557" s="23">
        <v>0.0</v>
      </c>
      <c r="S557" s="23">
        <v>0.0</v>
      </c>
      <c r="T557" s="23">
        <f t="shared" si="2"/>
        <v>0</v>
      </c>
      <c r="U557" s="23">
        <f t="shared" si="3"/>
        <v>0</v>
      </c>
      <c r="V557" s="23">
        <f t="shared" si="4"/>
        <v>0</v>
      </c>
      <c r="W557" s="24" t="str">
        <f t="shared" si="5"/>
        <v>#DIV/0!</v>
      </c>
    </row>
    <row r="558" hidden="1">
      <c r="A558" s="15" t="s">
        <v>1857</v>
      </c>
      <c r="B558" s="18"/>
      <c r="C558" s="15" t="s">
        <v>6890</v>
      </c>
      <c r="D558" s="18"/>
      <c r="E558" s="17" t="s">
        <v>1858</v>
      </c>
      <c r="F558" s="18"/>
      <c r="G558" s="18"/>
      <c r="H558" s="15" t="s">
        <v>1859</v>
      </c>
      <c r="I558" s="15" t="s">
        <v>1860</v>
      </c>
      <c r="J558" s="19" t="s">
        <v>36</v>
      </c>
      <c r="K558" s="19" t="s">
        <v>37</v>
      </c>
      <c r="L558" s="19" t="s">
        <v>38</v>
      </c>
      <c r="M558" s="20">
        <f t="shared" si="1"/>
        <v>0</v>
      </c>
      <c r="N558" s="22"/>
      <c r="O558" s="19" t="s">
        <v>1145</v>
      </c>
      <c r="P558" s="18"/>
      <c r="Q558" s="18"/>
      <c r="R558" s="23">
        <v>0.0</v>
      </c>
      <c r="S558" s="23">
        <v>0.0</v>
      </c>
      <c r="T558" s="23">
        <f t="shared" si="2"/>
        <v>0</v>
      </c>
      <c r="U558" s="23">
        <f t="shared" si="3"/>
        <v>0</v>
      </c>
      <c r="V558" s="23">
        <f t="shared" si="4"/>
        <v>0</v>
      </c>
      <c r="W558" s="24" t="str">
        <f t="shared" si="5"/>
        <v>#DIV/0!</v>
      </c>
    </row>
    <row r="559" hidden="1">
      <c r="A559" s="15" t="s">
        <v>6891</v>
      </c>
      <c r="B559" s="18"/>
      <c r="C559" s="15" t="s">
        <v>6892</v>
      </c>
      <c r="D559" s="18"/>
      <c r="E559" s="17" t="s">
        <v>6893</v>
      </c>
      <c r="F559" s="18"/>
      <c r="G559" s="18"/>
      <c r="H559" s="15" t="s">
        <v>6894</v>
      </c>
      <c r="I559" s="15" t="s">
        <v>684</v>
      </c>
      <c r="J559" s="19" t="s">
        <v>36</v>
      </c>
      <c r="K559" s="19" t="s">
        <v>105</v>
      </c>
      <c r="L559" s="19" t="s">
        <v>38</v>
      </c>
      <c r="M559" s="20">
        <f t="shared" si="1"/>
        <v>0</v>
      </c>
      <c r="N559" s="22"/>
      <c r="O559" s="19" t="s">
        <v>39</v>
      </c>
      <c r="P559" s="18"/>
      <c r="Q559" s="18"/>
      <c r="R559" s="23">
        <v>0.0</v>
      </c>
      <c r="S559" s="23">
        <v>0.0</v>
      </c>
      <c r="T559" s="23">
        <f t="shared" si="2"/>
        <v>0</v>
      </c>
      <c r="U559" s="23">
        <f t="shared" si="3"/>
        <v>0</v>
      </c>
      <c r="V559" s="23">
        <f t="shared" si="4"/>
        <v>0</v>
      </c>
      <c r="W559" s="24" t="str">
        <f t="shared" si="5"/>
        <v>#DIV/0!</v>
      </c>
    </row>
    <row r="560" hidden="1">
      <c r="A560" s="15" t="s">
        <v>1861</v>
      </c>
      <c r="B560" s="18"/>
      <c r="C560" s="15" t="s">
        <v>6895</v>
      </c>
      <c r="D560" s="18"/>
      <c r="E560" s="17" t="s">
        <v>1862</v>
      </c>
      <c r="F560" s="18"/>
      <c r="G560" s="18"/>
      <c r="H560" s="15" t="s">
        <v>1863</v>
      </c>
      <c r="I560" s="15" t="s">
        <v>1864</v>
      </c>
      <c r="J560" s="19" t="s">
        <v>36</v>
      </c>
      <c r="K560" s="19" t="s">
        <v>105</v>
      </c>
      <c r="L560" s="19" t="s">
        <v>38</v>
      </c>
      <c r="M560" s="20">
        <f t="shared" si="1"/>
        <v>0</v>
      </c>
      <c r="N560" s="22"/>
      <c r="O560" s="19" t="s">
        <v>1145</v>
      </c>
      <c r="P560" s="18"/>
      <c r="Q560" s="18"/>
      <c r="R560" s="23">
        <v>0.0</v>
      </c>
      <c r="S560" s="23">
        <v>0.0</v>
      </c>
      <c r="T560" s="23">
        <f t="shared" si="2"/>
        <v>0</v>
      </c>
      <c r="U560" s="23">
        <f t="shared" si="3"/>
        <v>0</v>
      </c>
      <c r="V560" s="23">
        <f t="shared" si="4"/>
        <v>0</v>
      </c>
      <c r="W560" s="24" t="str">
        <f t="shared" si="5"/>
        <v>#DIV/0!</v>
      </c>
    </row>
    <row r="561" hidden="1">
      <c r="A561" s="15" t="s">
        <v>1865</v>
      </c>
      <c r="B561" s="18"/>
      <c r="C561" s="15" t="s">
        <v>6896</v>
      </c>
      <c r="D561" s="18"/>
      <c r="E561" s="17" t="s">
        <v>1866</v>
      </c>
      <c r="F561" s="18"/>
      <c r="G561" s="18"/>
      <c r="H561" s="15" t="s">
        <v>1867</v>
      </c>
      <c r="I561" s="15" t="s">
        <v>1868</v>
      </c>
      <c r="J561" s="19" t="s">
        <v>36</v>
      </c>
      <c r="K561" s="19" t="s">
        <v>105</v>
      </c>
      <c r="L561" s="19" t="s">
        <v>38</v>
      </c>
      <c r="M561" s="20">
        <f t="shared" si="1"/>
        <v>0</v>
      </c>
      <c r="N561" s="22"/>
      <c r="O561" s="19" t="s">
        <v>1145</v>
      </c>
      <c r="P561" s="18"/>
      <c r="Q561" s="18"/>
      <c r="R561" s="23">
        <v>0.0</v>
      </c>
      <c r="S561" s="23">
        <v>0.0</v>
      </c>
      <c r="T561" s="23">
        <f t="shared" si="2"/>
        <v>0</v>
      </c>
      <c r="U561" s="23">
        <f t="shared" si="3"/>
        <v>0</v>
      </c>
      <c r="V561" s="23">
        <f t="shared" si="4"/>
        <v>0</v>
      </c>
      <c r="W561" s="24" t="str">
        <f t="shared" si="5"/>
        <v>#DIV/0!</v>
      </c>
    </row>
    <row r="562" hidden="1">
      <c r="A562" s="15" t="s">
        <v>1869</v>
      </c>
      <c r="B562" s="18"/>
      <c r="C562" s="15" t="s">
        <v>6897</v>
      </c>
      <c r="D562" s="18"/>
      <c r="E562" s="17" t="s">
        <v>1870</v>
      </c>
      <c r="F562" s="18"/>
      <c r="G562" s="18"/>
      <c r="H562" s="15" t="s">
        <v>1871</v>
      </c>
      <c r="I562" s="15" t="s">
        <v>1872</v>
      </c>
      <c r="J562" s="19" t="s">
        <v>36</v>
      </c>
      <c r="K562" s="19" t="s">
        <v>105</v>
      </c>
      <c r="L562" s="19" t="s">
        <v>38</v>
      </c>
      <c r="M562" s="20">
        <f t="shared" si="1"/>
        <v>0</v>
      </c>
      <c r="N562" s="22"/>
      <c r="O562" s="19" t="s">
        <v>1145</v>
      </c>
      <c r="P562" s="18"/>
      <c r="Q562" s="18"/>
      <c r="R562" s="23">
        <v>0.0</v>
      </c>
      <c r="S562" s="23">
        <v>0.0</v>
      </c>
      <c r="T562" s="23">
        <f t="shared" si="2"/>
        <v>0</v>
      </c>
      <c r="U562" s="23">
        <f t="shared" si="3"/>
        <v>0</v>
      </c>
      <c r="V562" s="23">
        <f t="shared" si="4"/>
        <v>0</v>
      </c>
      <c r="W562" s="24" t="str">
        <f t="shared" si="5"/>
        <v>#DIV/0!</v>
      </c>
    </row>
    <row r="563" hidden="1">
      <c r="A563" s="15" t="s">
        <v>6898</v>
      </c>
      <c r="B563" s="18"/>
      <c r="C563" s="15" t="s">
        <v>6899</v>
      </c>
      <c r="D563" s="18"/>
      <c r="E563" s="17" t="s">
        <v>6900</v>
      </c>
      <c r="F563" s="18"/>
      <c r="G563" s="18"/>
      <c r="H563" s="15" t="s">
        <v>6901</v>
      </c>
      <c r="I563" s="15" t="s">
        <v>4265</v>
      </c>
      <c r="J563" s="19" t="s">
        <v>36</v>
      </c>
      <c r="K563" s="19" t="s">
        <v>1230</v>
      </c>
      <c r="L563" s="19" t="s">
        <v>38</v>
      </c>
      <c r="M563" s="20">
        <f t="shared" si="1"/>
        <v>0</v>
      </c>
      <c r="N563" s="22"/>
      <c r="O563" s="19" t="s">
        <v>39</v>
      </c>
      <c r="P563" s="18"/>
      <c r="Q563" s="18"/>
      <c r="R563" s="23">
        <v>0.0</v>
      </c>
      <c r="S563" s="23">
        <v>0.0</v>
      </c>
      <c r="T563" s="23">
        <f t="shared" si="2"/>
        <v>0</v>
      </c>
      <c r="U563" s="23">
        <f t="shared" si="3"/>
        <v>0</v>
      </c>
      <c r="V563" s="23">
        <f t="shared" si="4"/>
        <v>0</v>
      </c>
      <c r="W563" s="24" t="str">
        <f t="shared" si="5"/>
        <v>#DIV/0!</v>
      </c>
    </row>
    <row r="564" hidden="1">
      <c r="A564" s="15" t="s">
        <v>6902</v>
      </c>
      <c r="B564" s="18"/>
      <c r="C564" s="15" t="s">
        <v>6903</v>
      </c>
      <c r="D564" s="18"/>
      <c r="E564" s="17" t="s">
        <v>6904</v>
      </c>
      <c r="F564" s="18"/>
      <c r="G564" s="18"/>
      <c r="H564" s="15" t="s">
        <v>6905</v>
      </c>
      <c r="I564" s="15" t="s">
        <v>4265</v>
      </c>
      <c r="J564" s="19" t="s">
        <v>36</v>
      </c>
      <c r="K564" s="19" t="s">
        <v>1230</v>
      </c>
      <c r="L564" s="19" t="s">
        <v>38</v>
      </c>
      <c r="M564" s="20">
        <f t="shared" si="1"/>
        <v>0</v>
      </c>
      <c r="N564" s="22"/>
      <c r="O564" s="19" t="s">
        <v>39</v>
      </c>
      <c r="P564" s="18"/>
      <c r="Q564" s="18"/>
      <c r="R564" s="23">
        <v>0.0</v>
      </c>
      <c r="S564" s="23">
        <v>0.0</v>
      </c>
      <c r="T564" s="23">
        <f t="shared" si="2"/>
        <v>0</v>
      </c>
      <c r="U564" s="23">
        <f t="shared" si="3"/>
        <v>0</v>
      </c>
      <c r="V564" s="23">
        <f t="shared" si="4"/>
        <v>0</v>
      </c>
      <c r="W564" s="24" t="str">
        <f t="shared" si="5"/>
        <v>#DIV/0!</v>
      </c>
    </row>
    <row r="565" hidden="1">
      <c r="A565" s="15" t="s">
        <v>6906</v>
      </c>
      <c r="B565" s="18"/>
      <c r="C565" s="15" t="s">
        <v>6907</v>
      </c>
      <c r="D565" s="18"/>
      <c r="E565" s="17" t="s">
        <v>6908</v>
      </c>
      <c r="F565" s="18"/>
      <c r="G565" s="18"/>
      <c r="H565" s="15" t="s">
        <v>6909</v>
      </c>
      <c r="I565" s="15" t="s">
        <v>4260</v>
      </c>
      <c r="J565" s="19" t="s">
        <v>36</v>
      </c>
      <c r="K565" s="19" t="s">
        <v>37</v>
      </c>
      <c r="L565" s="19" t="s">
        <v>38</v>
      </c>
      <c r="M565" s="20">
        <f t="shared" si="1"/>
        <v>0</v>
      </c>
      <c r="N565" s="22"/>
      <c r="O565" s="19" t="s">
        <v>39</v>
      </c>
      <c r="P565" s="18"/>
      <c r="Q565" s="18"/>
      <c r="R565" s="23">
        <v>0.0</v>
      </c>
      <c r="S565" s="23">
        <v>0.0</v>
      </c>
      <c r="T565" s="23">
        <f t="shared" si="2"/>
        <v>0</v>
      </c>
      <c r="U565" s="23">
        <f t="shared" si="3"/>
        <v>0</v>
      </c>
      <c r="V565" s="23">
        <f t="shared" si="4"/>
        <v>0</v>
      </c>
      <c r="W565" s="24" t="str">
        <f t="shared" si="5"/>
        <v>#DIV/0!</v>
      </c>
    </row>
    <row r="566" hidden="1">
      <c r="A566" s="15" t="s">
        <v>1873</v>
      </c>
      <c r="B566" s="18"/>
      <c r="C566" s="15" t="s">
        <v>6910</v>
      </c>
      <c r="D566" s="18"/>
      <c r="E566" s="17" t="s">
        <v>1874</v>
      </c>
      <c r="F566" s="18"/>
      <c r="G566" s="18"/>
      <c r="H566" s="15" t="s">
        <v>1875</v>
      </c>
      <c r="I566" s="15" t="s">
        <v>1876</v>
      </c>
      <c r="J566" s="19" t="s">
        <v>36</v>
      </c>
      <c r="K566" s="19" t="s">
        <v>105</v>
      </c>
      <c r="L566" s="19" t="s">
        <v>38</v>
      </c>
      <c r="M566" s="20">
        <f t="shared" si="1"/>
        <v>0</v>
      </c>
      <c r="N566" s="22"/>
      <c r="O566" s="19" t="s">
        <v>1145</v>
      </c>
      <c r="P566" s="18"/>
      <c r="Q566" s="18"/>
      <c r="R566" s="23">
        <v>0.0</v>
      </c>
      <c r="S566" s="23">
        <v>0.0</v>
      </c>
      <c r="T566" s="23">
        <f t="shared" si="2"/>
        <v>0</v>
      </c>
      <c r="U566" s="23">
        <f t="shared" si="3"/>
        <v>0</v>
      </c>
      <c r="V566" s="23">
        <f t="shared" si="4"/>
        <v>0</v>
      </c>
      <c r="W566" s="24" t="str">
        <f t="shared" si="5"/>
        <v>#DIV/0!</v>
      </c>
    </row>
    <row r="567" hidden="1">
      <c r="A567" s="15" t="s">
        <v>6911</v>
      </c>
      <c r="B567" s="18"/>
      <c r="C567" s="15" t="s">
        <v>6912</v>
      </c>
      <c r="D567" s="18"/>
      <c r="E567" s="17" t="s">
        <v>566</v>
      </c>
      <c r="F567" s="18"/>
      <c r="G567" s="18"/>
      <c r="H567" s="15" t="s">
        <v>6913</v>
      </c>
      <c r="I567" s="15" t="s">
        <v>567</v>
      </c>
      <c r="J567" s="19" t="s">
        <v>36</v>
      </c>
      <c r="K567" s="19" t="s">
        <v>105</v>
      </c>
      <c r="L567" s="19" t="s">
        <v>38</v>
      </c>
      <c r="M567" s="20">
        <f t="shared" si="1"/>
        <v>0</v>
      </c>
      <c r="N567" s="22"/>
      <c r="O567" s="19" t="s">
        <v>39</v>
      </c>
      <c r="P567" s="18"/>
      <c r="Q567" s="18"/>
      <c r="R567" s="23">
        <v>0.0</v>
      </c>
      <c r="S567" s="23">
        <v>0.0</v>
      </c>
      <c r="T567" s="23">
        <f t="shared" si="2"/>
        <v>0</v>
      </c>
      <c r="U567" s="23">
        <f t="shared" si="3"/>
        <v>0</v>
      </c>
      <c r="V567" s="23">
        <f t="shared" si="4"/>
        <v>0</v>
      </c>
      <c r="W567" s="24" t="str">
        <f t="shared" si="5"/>
        <v>#DIV/0!</v>
      </c>
    </row>
    <row r="568" hidden="1">
      <c r="A568" s="15" t="s">
        <v>1877</v>
      </c>
      <c r="B568" s="18"/>
      <c r="C568" s="15" t="s">
        <v>6914</v>
      </c>
      <c r="D568" s="18"/>
      <c r="E568" s="17" t="s">
        <v>1878</v>
      </c>
      <c r="F568" s="18"/>
      <c r="G568" s="18"/>
      <c r="H568" s="15" t="s">
        <v>1879</v>
      </c>
      <c r="I568" s="15" t="s">
        <v>1880</v>
      </c>
      <c r="J568" s="19" t="s">
        <v>36</v>
      </c>
      <c r="K568" s="19" t="s">
        <v>105</v>
      </c>
      <c r="L568" s="19" t="s">
        <v>38</v>
      </c>
      <c r="M568" s="20">
        <f t="shared" si="1"/>
        <v>0</v>
      </c>
      <c r="N568" s="22"/>
      <c r="O568" s="19" t="s">
        <v>1145</v>
      </c>
      <c r="P568" s="18"/>
      <c r="Q568" s="18"/>
      <c r="R568" s="23">
        <v>0.0</v>
      </c>
      <c r="S568" s="23">
        <v>0.0</v>
      </c>
      <c r="T568" s="23">
        <f t="shared" si="2"/>
        <v>0</v>
      </c>
      <c r="U568" s="23">
        <f t="shared" si="3"/>
        <v>0</v>
      </c>
      <c r="V568" s="23">
        <f t="shared" si="4"/>
        <v>0</v>
      </c>
      <c r="W568" s="24" t="str">
        <f t="shared" si="5"/>
        <v>#DIV/0!</v>
      </c>
    </row>
    <row r="569" hidden="1">
      <c r="A569" s="15" t="s">
        <v>6915</v>
      </c>
      <c r="B569" s="18"/>
      <c r="C569" s="15" t="s">
        <v>6916</v>
      </c>
      <c r="D569" s="18"/>
      <c r="E569" s="17" t="s">
        <v>6801</v>
      </c>
      <c r="F569" s="18"/>
      <c r="G569" s="18"/>
      <c r="H569" s="15" t="s">
        <v>6917</v>
      </c>
      <c r="I569" s="15" t="s">
        <v>709</v>
      </c>
      <c r="J569" s="19" t="s">
        <v>36</v>
      </c>
      <c r="K569" s="19" t="s">
        <v>105</v>
      </c>
      <c r="L569" s="19" t="s">
        <v>38</v>
      </c>
      <c r="M569" s="20">
        <f t="shared" si="1"/>
        <v>0</v>
      </c>
      <c r="N569" s="22"/>
      <c r="O569" s="19" t="s">
        <v>39</v>
      </c>
      <c r="P569" s="18"/>
      <c r="Q569" s="18"/>
      <c r="R569" s="23">
        <v>0.0</v>
      </c>
      <c r="S569" s="23">
        <v>0.0</v>
      </c>
      <c r="T569" s="23">
        <f t="shared" si="2"/>
        <v>0</v>
      </c>
      <c r="U569" s="23">
        <f t="shared" si="3"/>
        <v>0</v>
      </c>
      <c r="V569" s="23">
        <f t="shared" si="4"/>
        <v>0</v>
      </c>
      <c r="W569" s="24" t="str">
        <f t="shared" si="5"/>
        <v>#DIV/0!</v>
      </c>
    </row>
    <row r="570" hidden="1">
      <c r="A570" s="15" t="s">
        <v>6918</v>
      </c>
      <c r="B570" s="18"/>
      <c r="C570" s="15" t="s">
        <v>6919</v>
      </c>
      <c r="D570" s="18"/>
      <c r="E570" s="17" t="s">
        <v>476</v>
      </c>
      <c r="F570" s="18"/>
      <c r="G570" s="18"/>
      <c r="H570" s="15" t="s">
        <v>6920</v>
      </c>
      <c r="I570" s="15" t="s">
        <v>477</v>
      </c>
      <c r="J570" s="19" t="s">
        <v>36</v>
      </c>
      <c r="K570" s="19" t="s">
        <v>105</v>
      </c>
      <c r="L570" s="19" t="s">
        <v>38</v>
      </c>
      <c r="M570" s="20">
        <f t="shared" si="1"/>
        <v>0</v>
      </c>
      <c r="N570" s="22"/>
      <c r="O570" s="19" t="s">
        <v>39</v>
      </c>
      <c r="P570" s="18"/>
      <c r="Q570" s="18"/>
      <c r="R570" s="23">
        <v>0.0</v>
      </c>
      <c r="S570" s="23">
        <v>0.0</v>
      </c>
      <c r="T570" s="23">
        <f t="shared" si="2"/>
        <v>0</v>
      </c>
      <c r="U570" s="23">
        <f t="shared" si="3"/>
        <v>0</v>
      </c>
      <c r="V570" s="23">
        <f t="shared" si="4"/>
        <v>0</v>
      </c>
      <c r="W570" s="24" t="str">
        <f t="shared" si="5"/>
        <v>#DIV/0!</v>
      </c>
    </row>
    <row r="571" hidden="1">
      <c r="A571" s="15" t="s">
        <v>6921</v>
      </c>
      <c r="B571" s="18"/>
      <c r="C571" s="15" t="s">
        <v>6922</v>
      </c>
      <c r="D571" s="18"/>
      <c r="E571" s="17" t="s">
        <v>547</v>
      </c>
      <c r="F571" s="18"/>
      <c r="G571" s="18"/>
      <c r="H571" s="15" t="s">
        <v>6923</v>
      </c>
      <c r="I571" s="15" t="s">
        <v>548</v>
      </c>
      <c r="J571" s="19" t="s">
        <v>36</v>
      </c>
      <c r="K571" s="19" t="s">
        <v>105</v>
      </c>
      <c r="L571" s="19" t="s">
        <v>38</v>
      </c>
      <c r="M571" s="20">
        <f t="shared" si="1"/>
        <v>0</v>
      </c>
      <c r="N571" s="22"/>
      <c r="O571" s="19" t="s">
        <v>39</v>
      </c>
      <c r="P571" s="18"/>
      <c r="Q571" s="18"/>
      <c r="R571" s="23">
        <v>0.0</v>
      </c>
      <c r="S571" s="23">
        <v>0.0</v>
      </c>
      <c r="T571" s="23">
        <f t="shared" si="2"/>
        <v>0</v>
      </c>
      <c r="U571" s="23">
        <f t="shared" si="3"/>
        <v>0</v>
      </c>
      <c r="V571" s="23">
        <f t="shared" si="4"/>
        <v>0</v>
      </c>
      <c r="W571" s="24" t="str">
        <f t="shared" si="5"/>
        <v>#DIV/0!</v>
      </c>
    </row>
    <row r="572" hidden="1">
      <c r="A572" s="15" t="s">
        <v>1881</v>
      </c>
      <c r="B572" s="18"/>
      <c r="C572" s="15" t="s">
        <v>6924</v>
      </c>
      <c r="D572" s="18"/>
      <c r="E572" s="17" t="s">
        <v>1882</v>
      </c>
      <c r="F572" s="18"/>
      <c r="G572" s="18"/>
      <c r="H572" s="15" t="s">
        <v>1883</v>
      </c>
      <c r="I572" s="15" t="s">
        <v>1884</v>
      </c>
      <c r="J572" s="19" t="s">
        <v>36</v>
      </c>
      <c r="K572" s="19" t="s">
        <v>105</v>
      </c>
      <c r="L572" s="19" t="s">
        <v>38</v>
      </c>
      <c r="M572" s="20">
        <f t="shared" si="1"/>
        <v>0</v>
      </c>
      <c r="N572" s="22"/>
      <c r="O572" s="19" t="s">
        <v>1145</v>
      </c>
      <c r="P572" s="18"/>
      <c r="Q572" s="18"/>
      <c r="R572" s="23">
        <v>0.0</v>
      </c>
      <c r="S572" s="23">
        <v>0.0</v>
      </c>
      <c r="T572" s="23">
        <f t="shared" si="2"/>
        <v>0</v>
      </c>
      <c r="U572" s="23">
        <f t="shared" si="3"/>
        <v>0</v>
      </c>
      <c r="V572" s="23">
        <f t="shared" si="4"/>
        <v>0</v>
      </c>
      <c r="W572" s="24" t="str">
        <f t="shared" si="5"/>
        <v>#DIV/0!</v>
      </c>
    </row>
    <row r="573" hidden="1">
      <c r="A573" s="15" t="s">
        <v>1885</v>
      </c>
      <c r="B573" s="18"/>
      <c r="C573" s="15" t="s">
        <v>6925</v>
      </c>
      <c r="D573" s="18"/>
      <c r="E573" s="17" t="s">
        <v>1886</v>
      </c>
      <c r="F573" s="18"/>
      <c r="G573" s="18"/>
      <c r="H573" s="15" t="s">
        <v>1887</v>
      </c>
      <c r="I573" s="15" t="s">
        <v>1888</v>
      </c>
      <c r="J573" s="19" t="s">
        <v>36</v>
      </c>
      <c r="K573" s="19" t="s">
        <v>105</v>
      </c>
      <c r="L573" s="19" t="s">
        <v>38</v>
      </c>
      <c r="M573" s="20">
        <f t="shared" si="1"/>
        <v>0</v>
      </c>
      <c r="N573" s="22"/>
      <c r="O573" s="19" t="s">
        <v>1145</v>
      </c>
      <c r="P573" s="18"/>
      <c r="Q573" s="18"/>
      <c r="R573" s="23">
        <v>0.0</v>
      </c>
      <c r="S573" s="23">
        <v>0.0</v>
      </c>
      <c r="T573" s="23">
        <f t="shared" si="2"/>
        <v>0</v>
      </c>
      <c r="U573" s="23">
        <f t="shared" si="3"/>
        <v>0</v>
      </c>
      <c r="V573" s="23">
        <f t="shared" si="4"/>
        <v>0</v>
      </c>
      <c r="W573" s="24" t="str">
        <f t="shared" si="5"/>
        <v>#DIV/0!</v>
      </c>
    </row>
    <row r="574" hidden="1">
      <c r="A574" s="15" t="s">
        <v>6926</v>
      </c>
      <c r="B574" s="18"/>
      <c r="C574" s="15" t="s">
        <v>6927</v>
      </c>
      <c r="D574" s="18"/>
      <c r="E574" s="17" t="s">
        <v>6928</v>
      </c>
      <c r="F574" s="18"/>
      <c r="G574" s="18"/>
      <c r="H574" s="15" t="s">
        <v>6929</v>
      </c>
      <c r="I574" s="15" t="s">
        <v>4213</v>
      </c>
      <c r="J574" s="19" t="s">
        <v>36</v>
      </c>
      <c r="K574" s="19" t="s">
        <v>105</v>
      </c>
      <c r="L574" s="19" t="s">
        <v>38</v>
      </c>
      <c r="M574" s="20">
        <f t="shared" si="1"/>
        <v>0</v>
      </c>
      <c r="N574" s="22"/>
      <c r="O574" s="19" t="s">
        <v>1145</v>
      </c>
      <c r="P574" s="18"/>
      <c r="Q574" s="18"/>
      <c r="R574" s="23">
        <v>0.0</v>
      </c>
      <c r="S574" s="23">
        <v>0.0</v>
      </c>
      <c r="T574" s="23">
        <f t="shared" si="2"/>
        <v>0</v>
      </c>
      <c r="U574" s="23">
        <f t="shared" si="3"/>
        <v>0</v>
      </c>
      <c r="V574" s="23">
        <f t="shared" si="4"/>
        <v>0</v>
      </c>
      <c r="W574" s="24" t="str">
        <f t="shared" si="5"/>
        <v>#DIV/0!</v>
      </c>
    </row>
    <row r="575" hidden="1">
      <c r="A575" s="15" t="s">
        <v>1889</v>
      </c>
      <c r="B575" s="18"/>
      <c r="C575" s="15" t="s">
        <v>6930</v>
      </c>
      <c r="D575" s="18"/>
      <c r="E575" s="17" t="s">
        <v>1890</v>
      </c>
      <c r="F575" s="18"/>
      <c r="G575" s="18"/>
      <c r="H575" s="15" t="s">
        <v>1891</v>
      </c>
      <c r="I575" s="15" t="s">
        <v>1892</v>
      </c>
      <c r="J575" s="19" t="s">
        <v>36</v>
      </c>
      <c r="K575" s="19" t="s">
        <v>105</v>
      </c>
      <c r="L575" s="19" t="s">
        <v>38</v>
      </c>
      <c r="M575" s="20">
        <f t="shared" si="1"/>
        <v>0</v>
      </c>
      <c r="N575" s="22"/>
      <c r="O575" s="19" t="s">
        <v>1145</v>
      </c>
      <c r="P575" s="18"/>
      <c r="Q575" s="18"/>
      <c r="R575" s="23">
        <v>0.0</v>
      </c>
      <c r="S575" s="23">
        <v>0.0</v>
      </c>
      <c r="T575" s="23">
        <f t="shared" si="2"/>
        <v>0</v>
      </c>
      <c r="U575" s="23">
        <f t="shared" si="3"/>
        <v>0</v>
      </c>
      <c r="V575" s="23">
        <f t="shared" si="4"/>
        <v>0</v>
      </c>
      <c r="W575" s="24" t="str">
        <f t="shared" si="5"/>
        <v>#DIV/0!</v>
      </c>
    </row>
    <row r="576" hidden="1">
      <c r="A576" s="15" t="s">
        <v>6931</v>
      </c>
      <c r="B576" s="18"/>
      <c r="C576" s="15" t="s">
        <v>6932</v>
      </c>
      <c r="D576" s="18"/>
      <c r="E576" s="17" t="s">
        <v>6933</v>
      </c>
      <c r="F576" s="18"/>
      <c r="G576" s="18"/>
      <c r="H576" s="15" t="s">
        <v>6934</v>
      </c>
      <c r="I576" s="15" t="s">
        <v>4230</v>
      </c>
      <c r="J576" s="19" t="s">
        <v>36</v>
      </c>
      <c r="K576" s="19" t="s">
        <v>105</v>
      </c>
      <c r="L576" s="19" t="s">
        <v>38</v>
      </c>
      <c r="M576" s="20">
        <f t="shared" si="1"/>
        <v>0</v>
      </c>
      <c r="N576" s="22"/>
      <c r="O576" s="19" t="s">
        <v>39</v>
      </c>
      <c r="P576" s="18"/>
      <c r="Q576" s="18"/>
      <c r="R576" s="23">
        <v>0.0</v>
      </c>
      <c r="S576" s="23">
        <v>0.0</v>
      </c>
      <c r="T576" s="23">
        <f t="shared" si="2"/>
        <v>0</v>
      </c>
      <c r="U576" s="23">
        <f t="shared" si="3"/>
        <v>0</v>
      </c>
      <c r="V576" s="23">
        <f t="shared" si="4"/>
        <v>0</v>
      </c>
      <c r="W576" s="24" t="str">
        <f t="shared" si="5"/>
        <v>#DIV/0!</v>
      </c>
    </row>
    <row r="577" hidden="1">
      <c r="A577" s="15" t="s">
        <v>1893</v>
      </c>
      <c r="B577" s="18"/>
      <c r="C577" s="15" t="s">
        <v>6935</v>
      </c>
      <c r="D577" s="18"/>
      <c r="E577" s="17" t="s">
        <v>1894</v>
      </c>
      <c r="F577" s="18"/>
      <c r="G577" s="18"/>
      <c r="H577" s="15" t="s">
        <v>1895</v>
      </c>
      <c r="I577" s="15" t="s">
        <v>1896</v>
      </c>
      <c r="J577" s="19" t="s">
        <v>36</v>
      </c>
      <c r="K577" s="19" t="s">
        <v>105</v>
      </c>
      <c r="L577" s="19" t="s">
        <v>38</v>
      </c>
      <c r="M577" s="20">
        <f t="shared" si="1"/>
        <v>0</v>
      </c>
      <c r="N577" s="22"/>
      <c r="O577" s="19" t="s">
        <v>1145</v>
      </c>
      <c r="P577" s="18"/>
      <c r="Q577" s="18"/>
      <c r="R577" s="23">
        <v>0.0</v>
      </c>
      <c r="S577" s="23">
        <v>0.0</v>
      </c>
      <c r="T577" s="23">
        <f t="shared" si="2"/>
        <v>0</v>
      </c>
      <c r="U577" s="23">
        <f t="shared" si="3"/>
        <v>0</v>
      </c>
      <c r="V577" s="23">
        <f t="shared" si="4"/>
        <v>0</v>
      </c>
      <c r="W577" s="24" t="str">
        <f t="shared" si="5"/>
        <v>#DIV/0!</v>
      </c>
    </row>
    <row r="578" hidden="1">
      <c r="A578" s="15" t="s">
        <v>6936</v>
      </c>
      <c r="B578" s="18"/>
      <c r="C578" s="15" t="s">
        <v>6937</v>
      </c>
      <c r="D578" s="18"/>
      <c r="E578" s="17" t="s">
        <v>6938</v>
      </c>
      <c r="F578" s="18"/>
      <c r="G578" s="18"/>
      <c r="H578" s="15" t="s">
        <v>6939</v>
      </c>
      <c r="I578" s="15" t="s">
        <v>729</v>
      </c>
      <c r="J578" s="19" t="s">
        <v>36</v>
      </c>
      <c r="K578" s="19" t="s">
        <v>105</v>
      </c>
      <c r="L578" s="19" t="s">
        <v>38</v>
      </c>
      <c r="M578" s="20">
        <f t="shared" si="1"/>
        <v>0</v>
      </c>
      <c r="N578" s="22"/>
      <c r="O578" s="19" t="s">
        <v>39</v>
      </c>
      <c r="P578" s="18"/>
      <c r="Q578" s="18"/>
      <c r="R578" s="23">
        <v>0.0</v>
      </c>
      <c r="S578" s="23">
        <v>0.0</v>
      </c>
      <c r="T578" s="23">
        <f t="shared" si="2"/>
        <v>0</v>
      </c>
      <c r="U578" s="23">
        <f t="shared" si="3"/>
        <v>0</v>
      </c>
      <c r="V578" s="23">
        <f t="shared" si="4"/>
        <v>0</v>
      </c>
      <c r="W578" s="24" t="str">
        <f t="shared" si="5"/>
        <v>#DIV/0!</v>
      </c>
    </row>
    <row r="579" hidden="1">
      <c r="A579" s="15" t="s">
        <v>1897</v>
      </c>
      <c r="B579" s="18"/>
      <c r="C579" s="15" t="s">
        <v>6940</v>
      </c>
      <c r="D579" s="18"/>
      <c r="E579" s="17" t="s">
        <v>1898</v>
      </c>
      <c r="F579" s="18"/>
      <c r="G579" s="18"/>
      <c r="H579" s="15" t="s">
        <v>1899</v>
      </c>
      <c r="I579" s="15" t="s">
        <v>1900</v>
      </c>
      <c r="J579" s="19" t="s">
        <v>36</v>
      </c>
      <c r="K579" s="19" t="s">
        <v>105</v>
      </c>
      <c r="L579" s="19" t="s">
        <v>38</v>
      </c>
      <c r="M579" s="20">
        <f t="shared" si="1"/>
        <v>0</v>
      </c>
      <c r="N579" s="22"/>
      <c r="O579" s="19" t="s">
        <v>1145</v>
      </c>
      <c r="P579" s="18"/>
      <c r="Q579" s="18"/>
      <c r="R579" s="23">
        <v>0.0</v>
      </c>
      <c r="S579" s="23">
        <v>0.0</v>
      </c>
      <c r="T579" s="23">
        <f t="shared" si="2"/>
        <v>0</v>
      </c>
      <c r="U579" s="23">
        <f t="shared" si="3"/>
        <v>0</v>
      </c>
      <c r="V579" s="23">
        <f t="shared" si="4"/>
        <v>0</v>
      </c>
      <c r="W579" s="24" t="str">
        <f t="shared" si="5"/>
        <v>#DIV/0!</v>
      </c>
    </row>
    <row r="580" hidden="1">
      <c r="A580" s="15" t="s">
        <v>1901</v>
      </c>
      <c r="B580" s="18"/>
      <c r="C580" s="15" t="s">
        <v>6941</v>
      </c>
      <c r="D580" s="18"/>
      <c r="E580" s="17" t="s">
        <v>1902</v>
      </c>
      <c r="F580" s="18"/>
      <c r="G580" s="18"/>
      <c r="H580" s="15" t="s">
        <v>1903</v>
      </c>
      <c r="I580" s="15" t="s">
        <v>1904</v>
      </c>
      <c r="J580" s="19" t="s">
        <v>36</v>
      </c>
      <c r="K580" s="19" t="s">
        <v>37</v>
      </c>
      <c r="L580" s="19" t="s">
        <v>38</v>
      </c>
      <c r="M580" s="20">
        <f t="shared" si="1"/>
        <v>0</v>
      </c>
      <c r="N580" s="22"/>
      <c r="O580" s="19" t="s">
        <v>1145</v>
      </c>
      <c r="P580" s="18"/>
      <c r="Q580" s="18"/>
      <c r="R580" s="23">
        <v>0.0</v>
      </c>
      <c r="S580" s="23">
        <v>0.0</v>
      </c>
      <c r="T580" s="23">
        <f t="shared" si="2"/>
        <v>0</v>
      </c>
      <c r="U580" s="23">
        <f t="shared" si="3"/>
        <v>0</v>
      </c>
      <c r="V580" s="23">
        <f t="shared" si="4"/>
        <v>0</v>
      </c>
      <c r="W580" s="24" t="str">
        <f t="shared" si="5"/>
        <v>#DIV/0!</v>
      </c>
    </row>
    <row r="581" hidden="1">
      <c r="A581" s="15" t="s">
        <v>1905</v>
      </c>
      <c r="B581" s="18"/>
      <c r="C581" s="15" t="s">
        <v>6942</v>
      </c>
      <c r="D581" s="18"/>
      <c r="E581" s="17" t="s">
        <v>1906</v>
      </c>
      <c r="F581" s="18"/>
      <c r="G581" s="18"/>
      <c r="H581" s="15" t="s">
        <v>1907</v>
      </c>
      <c r="I581" s="15" t="s">
        <v>1908</v>
      </c>
      <c r="J581" s="19" t="s">
        <v>36</v>
      </c>
      <c r="K581" s="19" t="s">
        <v>37</v>
      </c>
      <c r="L581" s="19" t="s">
        <v>38</v>
      </c>
      <c r="M581" s="20">
        <f t="shared" si="1"/>
        <v>0</v>
      </c>
      <c r="N581" s="22"/>
      <c r="O581" s="19" t="s">
        <v>1145</v>
      </c>
      <c r="P581" s="18"/>
      <c r="Q581" s="18"/>
      <c r="R581" s="23">
        <v>0.0</v>
      </c>
      <c r="S581" s="23">
        <v>0.0</v>
      </c>
      <c r="T581" s="23">
        <f t="shared" si="2"/>
        <v>0</v>
      </c>
      <c r="U581" s="23">
        <f t="shared" si="3"/>
        <v>0</v>
      </c>
      <c r="V581" s="23">
        <f t="shared" si="4"/>
        <v>0</v>
      </c>
      <c r="W581" s="24" t="str">
        <f t="shared" si="5"/>
        <v>#DIV/0!</v>
      </c>
    </row>
    <row r="582" hidden="1">
      <c r="A582" s="15" t="s">
        <v>6943</v>
      </c>
      <c r="B582" s="18"/>
      <c r="C582" s="15" t="s">
        <v>6944</v>
      </c>
      <c r="D582" s="18"/>
      <c r="E582" s="17" t="s">
        <v>6945</v>
      </c>
      <c r="F582" s="18"/>
      <c r="G582" s="18"/>
      <c r="H582" s="15" t="s">
        <v>6946</v>
      </c>
      <c r="I582" s="15" t="s">
        <v>747</v>
      </c>
      <c r="J582" s="19" t="s">
        <v>36</v>
      </c>
      <c r="K582" s="19" t="s">
        <v>105</v>
      </c>
      <c r="L582" s="19" t="s">
        <v>38</v>
      </c>
      <c r="M582" s="20">
        <f t="shared" si="1"/>
        <v>0</v>
      </c>
      <c r="N582" s="22"/>
      <c r="O582" s="19" t="s">
        <v>39</v>
      </c>
      <c r="P582" s="18"/>
      <c r="Q582" s="18"/>
      <c r="R582" s="23">
        <v>0.0</v>
      </c>
      <c r="S582" s="23">
        <v>0.0</v>
      </c>
      <c r="T582" s="23">
        <f t="shared" si="2"/>
        <v>0</v>
      </c>
      <c r="U582" s="23">
        <f t="shared" si="3"/>
        <v>0</v>
      </c>
      <c r="V582" s="23">
        <f t="shared" si="4"/>
        <v>0</v>
      </c>
      <c r="W582" s="24" t="str">
        <f t="shared" si="5"/>
        <v>#DIV/0!</v>
      </c>
    </row>
    <row r="583" hidden="1">
      <c r="A583" s="15" t="s">
        <v>6947</v>
      </c>
      <c r="B583" s="18"/>
      <c r="C583" s="15" t="s">
        <v>6948</v>
      </c>
      <c r="D583" s="18"/>
      <c r="E583" s="17" t="s">
        <v>6949</v>
      </c>
      <c r="F583" s="18"/>
      <c r="G583" s="18"/>
      <c r="H583" s="15" t="s">
        <v>6950</v>
      </c>
      <c r="I583" s="15" t="s">
        <v>291</v>
      </c>
      <c r="J583" s="19" t="s">
        <v>36</v>
      </c>
      <c r="K583" s="19" t="s">
        <v>105</v>
      </c>
      <c r="L583" s="19" t="s">
        <v>38</v>
      </c>
      <c r="M583" s="20">
        <f t="shared" si="1"/>
        <v>0</v>
      </c>
      <c r="N583" s="22"/>
      <c r="O583" s="19" t="s">
        <v>39</v>
      </c>
      <c r="P583" s="18"/>
      <c r="Q583" s="18"/>
      <c r="R583" s="23">
        <v>0.0</v>
      </c>
      <c r="S583" s="23">
        <v>0.0</v>
      </c>
      <c r="T583" s="23">
        <f t="shared" si="2"/>
        <v>0</v>
      </c>
      <c r="U583" s="23">
        <f t="shared" si="3"/>
        <v>0</v>
      </c>
      <c r="V583" s="23">
        <f t="shared" si="4"/>
        <v>0</v>
      </c>
      <c r="W583" s="24" t="str">
        <f t="shared" si="5"/>
        <v>#DIV/0!</v>
      </c>
    </row>
    <row r="584" hidden="1">
      <c r="A584" s="15" t="s">
        <v>6951</v>
      </c>
      <c r="B584" s="18"/>
      <c r="C584" s="15" t="s">
        <v>6952</v>
      </c>
      <c r="D584" s="18"/>
      <c r="E584" s="17" t="s">
        <v>6953</v>
      </c>
      <c r="F584" s="18"/>
      <c r="G584" s="18"/>
      <c r="H584" s="15" t="s">
        <v>6954</v>
      </c>
      <c r="I584" s="15" t="s">
        <v>4240</v>
      </c>
      <c r="J584" s="19" t="s">
        <v>36</v>
      </c>
      <c r="K584" s="19" t="s">
        <v>105</v>
      </c>
      <c r="L584" s="19" t="s">
        <v>38</v>
      </c>
      <c r="M584" s="20">
        <f t="shared" si="1"/>
        <v>0</v>
      </c>
      <c r="N584" s="22"/>
      <c r="O584" s="19" t="s">
        <v>39</v>
      </c>
      <c r="P584" s="18"/>
      <c r="Q584" s="18"/>
      <c r="R584" s="23">
        <v>0.0</v>
      </c>
      <c r="S584" s="23">
        <v>0.0</v>
      </c>
      <c r="T584" s="23">
        <f t="shared" si="2"/>
        <v>0</v>
      </c>
      <c r="U584" s="23">
        <f t="shared" si="3"/>
        <v>0</v>
      </c>
      <c r="V584" s="23">
        <f t="shared" si="4"/>
        <v>0</v>
      </c>
      <c r="W584" s="24" t="str">
        <f t="shared" si="5"/>
        <v>#DIV/0!</v>
      </c>
    </row>
    <row r="585" hidden="1">
      <c r="A585" s="15" t="s">
        <v>1909</v>
      </c>
      <c r="B585" s="18"/>
      <c r="C585" s="15" t="s">
        <v>6955</v>
      </c>
      <c r="D585" s="18"/>
      <c r="E585" s="17" t="s">
        <v>1910</v>
      </c>
      <c r="F585" s="18"/>
      <c r="G585" s="18"/>
      <c r="H585" s="15" t="s">
        <v>1911</v>
      </c>
      <c r="I585" s="15" t="s">
        <v>1912</v>
      </c>
      <c r="J585" s="19" t="s">
        <v>36</v>
      </c>
      <c r="K585" s="19" t="s">
        <v>105</v>
      </c>
      <c r="L585" s="19" t="s">
        <v>38</v>
      </c>
      <c r="M585" s="20">
        <f t="shared" si="1"/>
        <v>0</v>
      </c>
      <c r="N585" s="22"/>
      <c r="O585" s="19" t="s">
        <v>1145</v>
      </c>
      <c r="P585" s="18"/>
      <c r="Q585" s="18"/>
      <c r="R585" s="23">
        <v>0.0</v>
      </c>
      <c r="S585" s="23">
        <v>0.0</v>
      </c>
      <c r="T585" s="23">
        <f t="shared" si="2"/>
        <v>0</v>
      </c>
      <c r="U585" s="23">
        <f t="shared" si="3"/>
        <v>0</v>
      </c>
      <c r="V585" s="23">
        <f t="shared" si="4"/>
        <v>0</v>
      </c>
      <c r="W585" s="24" t="str">
        <f t="shared" si="5"/>
        <v>#DIV/0!</v>
      </c>
    </row>
    <row r="586" hidden="1">
      <c r="A586" s="15" t="s">
        <v>1913</v>
      </c>
      <c r="B586" s="18"/>
      <c r="C586" s="15" t="s">
        <v>6956</v>
      </c>
      <c r="D586" s="18"/>
      <c r="E586" s="17" t="s">
        <v>1910</v>
      </c>
      <c r="F586" s="18"/>
      <c r="G586" s="18"/>
      <c r="H586" s="15" t="s">
        <v>1914</v>
      </c>
      <c r="I586" s="15" t="s">
        <v>1915</v>
      </c>
      <c r="J586" s="19" t="s">
        <v>36</v>
      </c>
      <c r="K586" s="19" t="s">
        <v>105</v>
      </c>
      <c r="L586" s="19" t="s">
        <v>38</v>
      </c>
      <c r="M586" s="20">
        <f t="shared" si="1"/>
        <v>0</v>
      </c>
      <c r="N586" s="22"/>
      <c r="O586" s="19" t="s">
        <v>1145</v>
      </c>
      <c r="P586" s="18"/>
      <c r="Q586" s="18"/>
      <c r="R586" s="23">
        <v>0.0</v>
      </c>
      <c r="S586" s="23">
        <v>0.0</v>
      </c>
      <c r="T586" s="23">
        <f t="shared" si="2"/>
        <v>0</v>
      </c>
      <c r="U586" s="23">
        <f t="shared" si="3"/>
        <v>0</v>
      </c>
      <c r="V586" s="23">
        <f t="shared" si="4"/>
        <v>0</v>
      </c>
      <c r="W586" s="24" t="str">
        <f t="shared" si="5"/>
        <v>#DIV/0!</v>
      </c>
    </row>
    <row r="587" hidden="1">
      <c r="A587" s="15" t="s">
        <v>1916</v>
      </c>
      <c r="B587" s="18"/>
      <c r="C587" s="15" t="s">
        <v>6957</v>
      </c>
      <c r="D587" s="18"/>
      <c r="E587" s="17" t="s">
        <v>1917</v>
      </c>
      <c r="F587" s="18"/>
      <c r="G587" s="18"/>
      <c r="H587" s="15" t="s">
        <v>1918</v>
      </c>
      <c r="I587" s="15" t="s">
        <v>1402</v>
      </c>
      <c r="J587" s="19" t="s">
        <v>36</v>
      </c>
      <c r="K587" s="19" t="s">
        <v>1230</v>
      </c>
      <c r="L587" s="19" t="s">
        <v>38</v>
      </c>
      <c r="M587" s="20">
        <f t="shared" si="1"/>
        <v>0</v>
      </c>
      <c r="N587" s="22"/>
      <c r="O587" s="19" t="s">
        <v>1145</v>
      </c>
      <c r="P587" s="18"/>
      <c r="Q587" s="18"/>
      <c r="R587" s="23">
        <v>0.0</v>
      </c>
      <c r="S587" s="23">
        <v>0.0</v>
      </c>
      <c r="T587" s="23">
        <f t="shared" si="2"/>
        <v>0</v>
      </c>
      <c r="U587" s="23">
        <f t="shared" si="3"/>
        <v>0</v>
      </c>
      <c r="V587" s="23">
        <f t="shared" si="4"/>
        <v>0</v>
      </c>
      <c r="W587" s="24" t="str">
        <f t="shared" si="5"/>
        <v>#DIV/0!</v>
      </c>
    </row>
    <row r="588" hidden="1">
      <c r="A588" s="15" t="s">
        <v>6958</v>
      </c>
      <c r="B588" s="18"/>
      <c r="C588" s="15" t="s">
        <v>6959</v>
      </c>
      <c r="D588" s="18"/>
      <c r="E588" s="17"/>
      <c r="F588" s="18"/>
      <c r="G588" s="18"/>
      <c r="H588" s="15" t="s">
        <v>6960</v>
      </c>
      <c r="I588" s="15" t="s">
        <v>6961</v>
      </c>
      <c r="J588" s="19" t="s">
        <v>36</v>
      </c>
      <c r="K588" s="19" t="s">
        <v>1230</v>
      </c>
      <c r="L588" s="19" t="s">
        <v>38</v>
      </c>
      <c r="M588" s="20">
        <f t="shared" si="1"/>
        <v>0</v>
      </c>
      <c r="N588" s="22"/>
      <c r="O588" s="19" t="s">
        <v>39</v>
      </c>
      <c r="P588" s="18"/>
      <c r="Q588" s="18"/>
      <c r="R588" s="23">
        <v>0.0</v>
      </c>
      <c r="S588" s="23">
        <v>0.0</v>
      </c>
      <c r="T588" s="23">
        <f t="shared" si="2"/>
        <v>0</v>
      </c>
      <c r="U588" s="23">
        <f t="shared" si="3"/>
        <v>0</v>
      </c>
      <c r="V588" s="23">
        <f t="shared" si="4"/>
        <v>0</v>
      </c>
      <c r="W588" s="24" t="str">
        <f t="shared" si="5"/>
        <v>#DIV/0!</v>
      </c>
    </row>
    <row r="589" hidden="1">
      <c r="A589" s="15" t="s">
        <v>1919</v>
      </c>
      <c r="B589" s="18"/>
      <c r="C589" s="15" t="s">
        <v>6962</v>
      </c>
      <c r="D589" s="18"/>
      <c r="E589" s="17" t="s">
        <v>1920</v>
      </c>
      <c r="F589" s="18"/>
      <c r="G589" s="18"/>
      <c r="H589" s="15" t="s">
        <v>1921</v>
      </c>
      <c r="I589" s="15" t="s">
        <v>1922</v>
      </c>
      <c r="J589" s="19" t="s">
        <v>36</v>
      </c>
      <c r="K589" s="19" t="s">
        <v>1230</v>
      </c>
      <c r="L589" s="19" t="s">
        <v>38</v>
      </c>
      <c r="M589" s="20">
        <f t="shared" si="1"/>
        <v>0</v>
      </c>
      <c r="N589" s="22"/>
      <c r="O589" s="19" t="s">
        <v>1145</v>
      </c>
      <c r="P589" s="18"/>
      <c r="Q589" s="18"/>
      <c r="R589" s="23">
        <v>0.0</v>
      </c>
      <c r="S589" s="23">
        <v>0.0</v>
      </c>
      <c r="T589" s="23">
        <f t="shared" si="2"/>
        <v>0</v>
      </c>
      <c r="U589" s="23">
        <f t="shared" si="3"/>
        <v>0</v>
      </c>
      <c r="V589" s="23">
        <f t="shared" si="4"/>
        <v>0</v>
      </c>
      <c r="W589" s="24" t="str">
        <f t="shared" si="5"/>
        <v>#DIV/0!</v>
      </c>
    </row>
    <row r="590" hidden="1">
      <c r="A590" s="15" t="s">
        <v>1923</v>
      </c>
      <c r="B590" s="18"/>
      <c r="C590" s="15" t="s">
        <v>6963</v>
      </c>
      <c r="D590" s="18"/>
      <c r="E590" s="17" t="s">
        <v>1924</v>
      </c>
      <c r="F590" s="18"/>
      <c r="G590" s="18"/>
      <c r="H590" s="15" t="s">
        <v>1925</v>
      </c>
      <c r="I590" s="15" t="s">
        <v>1926</v>
      </c>
      <c r="J590" s="19" t="s">
        <v>36</v>
      </c>
      <c r="K590" s="19" t="s">
        <v>1230</v>
      </c>
      <c r="L590" s="19" t="s">
        <v>38</v>
      </c>
      <c r="M590" s="20">
        <f t="shared" si="1"/>
        <v>0</v>
      </c>
      <c r="N590" s="22"/>
      <c r="O590" s="19" t="s">
        <v>1145</v>
      </c>
      <c r="P590" s="18"/>
      <c r="Q590" s="18"/>
      <c r="R590" s="23">
        <v>0.0</v>
      </c>
      <c r="S590" s="23">
        <v>0.0</v>
      </c>
      <c r="T590" s="23">
        <f t="shared" si="2"/>
        <v>0</v>
      </c>
      <c r="U590" s="23">
        <f t="shared" si="3"/>
        <v>0</v>
      </c>
      <c r="V590" s="23">
        <f t="shared" si="4"/>
        <v>0</v>
      </c>
      <c r="W590" s="24" t="str">
        <f t="shared" si="5"/>
        <v>#DIV/0!</v>
      </c>
    </row>
    <row r="591" hidden="1">
      <c r="A591" s="15" t="s">
        <v>1927</v>
      </c>
      <c r="B591" s="18"/>
      <c r="C591" s="15" t="s">
        <v>6964</v>
      </c>
      <c r="D591" s="18"/>
      <c r="E591" s="17" t="s">
        <v>1928</v>
      </c>
      <c r="F591" s="18"/>
      <c r="G591" s="18"/>
      <c r="H591" s="15" t="s">
        <v>1929</v>
      </c>
      <c r="I591" s="15" t="s">
        <v>1930</v>
      </c>
      <c r="J591" s="19" t="s">
        <v>36</v>
      </c>
      <c r="K591" s="19" t="s">
        <v>1230</v>
      </c>
      <c r="L591" s="19" t="s">
        <v>38</v>
      </c>
      <c r="M591" s="20">
        <f t="shared" si="1"/>
        <v>0</v>
      </c>
      <c r="N591" s="22"/>
      <c r="O591" s="19" t="s">
        <v>1145</v>
      </c>
      <c r="P591" s="18"/>
      <c r="Q591" s="18"/>
      <c r="R591" s="23">
        <v>0.0</v>
      </c>
      <c r="S591" s="23">
        <v>0.0</v>
      </c>
      <c r="T591" s="23">
        <f t="shared" si="2"/>
        <v>0</v>
      </c>
      <c r="U591" s="23">
        <f t="shared" si="3"/>
        <v>0</v>
      </c>
      <c r="V591" s="23">
        <f t="shared" si="4"/>
        <v>0</v>
      </c>
      <c r="W591" s="24" t="str">
        <f t="shared" si="5"/>
        <v>#DIV/0!</v>
      </c>
    </row>
    <row r="592" hidden="1">
      <c r="A592" s="15" t="s">
        <v>1931</v>
      </c>
      <c r="B592" s="18"/>
      <c r="C592" s="15" t="s">
        <v>6965</v>
      </c>
      <c r="D592" s="18"/>
      <c r="E592" s="17" t="s">
        <v>1932</v>
      </c>
      <c r="F592" s="18"/>
      <c r="G592" s="18"/>
      <c r="H592" s="15" t="s">
        <v>1933</v>
      </c>
      <c r="I592" s="15" t="s">
        <v>1934</v>
      </c>
      <c r="J592" s="19" t="s">
        <v>36</v>
      </c>
      <c r="K592" s="19" t="s">
        <v>1230</v>
      </c>
      <c r="L592" s="19" t="s">
        <v>38</v>
      </c>
      <c r="M592" s="20">
        <f t="shared" si="1"/>
        <v>0</v>
      </c>
      <c r="N592" s="22"/>
      <c r="O592" s="19" t="s">
        <v>1145</v>
      </c>
      <c r="P592" s="18"/>
      <c r="Q592" s="18"/>
      <c r="R592" s="23">
        <v>0.0</v>
      </c>
      <c r="S592" s="23">
        <v>0.0</v>
      </c>
      <c r="T592" s="23">
        <f t="shared" si="2"/>
        <v>0</v>
      </c>
      <c r="U592" s="23">
        <f t="shared" si="3"/>
        <v>0</v>
      </c>
      <c r="V592" s="23">
        <f t="shared" si="4"/>
        <v>0</v>
      </c>
      <c r="W592" s="24" t="str">
        <f t="shared" si="5"/>
        <v>#DIV/0!</v>
      </c>
    </row>
    <row r="593" hidden="1">
      <c r="A593" s="15" t="s">
        <v>1935</v>
      </c>
      <c r="B593" s="18"/>
      <c r="C593" s="15" t="s">
        <v>6966</v>
      </c>
      <c r="D593" s="18"/>
      <c r="E593" s="17" t="s">
        <v>1936</v>
      </c>
      <c r="F593" s="18"/>
      <c r="G593" s="18"/>
      <c r="H593" s="15" t="s">
        <v>1937</v>
      </c>
      <c r="I593" s="15" t="s">
        <v>1938</v>
      </c>
      <c r="J593" s="19" t="s">
        <v>36</v>
      </c>
      <c r="K593" s="19" t="s">
        <v>1230</v>
      </c>
      <c r="L593" s="19" t="s">
        <v>38</v>
      </c>
      <c r="M593" s="20">
        <f t="shared" si="1"/>
        <v>0</v>
      </c>
      <c r="N593" s="22"/>
      <c r="O593" s="19" t="s">
        <v>1145</v>
      </c>
      <c r="P593" s="18"/>
      <c r="Q593" s="18"/>
      <c r="R593" s="23">
        <v>0.0</v>
      </c>
      <c r="S593" s="23">
        <v>0.0</v>
      </c>
      <c r="T593" s="23">
        <f t="shared" si="2"/>
        <v>0</v>
      </c>
      <c r="U593" s="23">
        <f t="shared" si="3"/>
        <v>0</v>
      </c>
      <c r="V593" s="23">
        <f t="shared" si="4"/>
        <v>0</v>
      </c>
      <c r="W593" s="24" t="str">
        <f t="shared" si="5"/>
        <v>#DIV/0!</v>
      </c>
    </row>
    <row r="594" hidden="1">
      <c r="A594" s="15" t="s">
        <v>6967</v>
      </c>
      <c r="B594" s="18"/>
      <c r="C594" s="15" t="s">
        <v>6968</v>
      </c>
      <c r="D594" s="18"/>
      <c r="E594" s="17" t="s">
        <v>6969</v>
      </c>
      <c r="F594" s="18"/>
      <c r="G594" s="18"/>
      <c r="H594" s="15" t="s">
        <v>6970</v>
      </c>
      <c r="I594" s="15" t="s">
        <v>5032</v>
      </c>
      <c r="J594" s="19" t="s">
        <v>36</v>
      </c>
      <c r="K594" s="19" t="s">
        <v>1230</v>
      </c>
      <c r="L594" s="19" t="s">
        <v>38</v>
      </c>
      <c r="M594" s="20">
        <f t="shared" si="1"/>
        <v>0</v>
      </c>
      <c r="N594" s="22"/>
      <c r="O594" s="19" t="s">
        <v>39</v>
      </c>
      <c r="P594" s="18"/>
      <c r="Q594" s="18"/>
      <c r="R594" s="23">
        <v>0.0</v>
      </c>
      <c r="S594" s="23">
        <v>0.0</v>
      </c>
      <c r="T594" s="23">
        <f t="shared" si="2"/>
        <v>0</v>
      </c>
      <c r="U594" s="23">
        <f t="shared" si="3"/>
        <v>0</v>
      </c>
      <c r="V594" s="23">
        <f t="shared" si="4"/>
        <v>0</v>
      </c>
      <c r="W594" s="24" t="str">
        <f t="shared" si="5"/>
        <v>#DIV/0!</v>
      </c>
    </row>
    <row r="595" hidden="1">
      <c r="A595" s="15" t="s">
        <v>6971</v>
      </c>
      <c r="B595" s="18"/>
      <c r="C595" s="15" t="s">
        <v>6972</v>
      </c>
      <c r="D595" s="18"/>
      <c r="E595" s="17" t="s">
        <v>6973</v>
      </c>
      <c r="F595" s="18"/>
      <c r="G595" s="18"/>
      <c r="H595" s="15" t="s">
        <v>6974</v>
      </c>
      <c r="I595" s="15" t="s">
        <v>6975</v>
      </c>
      <c r="J595" s="19" t="s">
        <v>36</v>
      </c>
      <c r="K595" s="19" t="s">
        <v>1230</v>
      </c>
      <c r="L595" s="19" t="s">
        <v>38</v>
      </c>
      <c r="M595" s="20">
        <f t="shared" si="1"/>
        <v>0</v>
      </c>
      <c r="N595" s="22"/>
      <c r="O595" s="19" t="s">
        <v>39</v>
      </c>
      <c r="P595" s="18"/>
      <c r="Q595" s="18"/>
      <c r="R595" s="23">
        <v>0.0</v>
      </c>
      <c r="S595" s="23">
        <v>0.0</v>
      </c>
      <c r="T595" s="23">
        <f t="shared" si="2"/>
        <v>0</v>
      </c>
      <c r="U595" s="23">
        <f t="shared" si="3"/>
        <v>0</v>
      </c>
      <c r="V595" s="23">
        <f t="shared" si="4"/>
        <v>0</v>
      </c>
      <c r="W595" s="24" t="str">
        <f t="shared" si="5"/>
        <v>#DIV/0!</v>
      </c>
    </row>
    <row r="596" hidden="1">
      <c r="A596" s="15" t="s">
        <v>6976</v>
      </c>
      <c r="B596" s="18"/>
      <c r="C596" s="15" t="s">
        <v>6977</v>
      </c>
      <c r="D596" s="18"/>
      <c r="E596" s="17" t="s">
        <v>6978</v>
      </c>
      <c r="F596" s="18"/>
      <c r="G596" s="18"/>
      <c r="H596" s="15" t="s">
        <v>6979</v>
      </c>
      <c r="I596" s="15" t="s">
        <v>1051</v>
      </c>
      <c r="J596" s="19" t="s">
        <v>36</v>
      </c>
      <c r="K596" s="19" t="s">
        <v>1230</v>
      </c>
      <c r="L596" s="19" t="s">
        <v>38</v>
      </c>
      <c r="M596" s="20">
        <f t="shared" si="1"/>
        <v>0</v>
      </c>
      <c r="N596" s="22"/>
      <c r="O596" s="19" t="s">
        <v>39</v>
      </c>
      <c r="P596" s="18"/>
      <c r="Q596" s="18"/>
      <c r="R596" s="23">
        <v>0.0</v>
      </c>
      <c r="S596" s="23">
        <v>0.0</v>
      </c>
      <c r="T596" s="23">
        <f t="shared" si="2"/>
        <v>0</v>
      </c>
      <c r="U596" s="23">
        <f t="shared" si="3"/>
        <v>0</v>
      </c>
      <c r="V596" s="23">
        <f t="shared" si="4"/>
        <v>0</v>
      </c>
      <c r="W596" s="24" t="str">
        <f t="shared" si="5"/>
        <v>#DIV/0!</v>
      </c>
    </row>
    <row r="597" hidden="1">
      <c r="A597" s="15" t="s">
        <v>1939</v>
      </c>
      <c r="B597" s="18"/>
      <c r="C597" s="15" t="s">
        <v>6980</v>
      </c>
      <c r="D597" s="18"/>
      <c r="E597" s="17" t="s">
        <v>1940</v>
      </c>
      <c r="F597" s="18"/>
      <c r="G597" s="18"/>
      <c r="H597" s="15" t="s">
        <v>1941</v>
      </c>
      <c r="I597" s="15" t="s">
        <v>1942</v>
      </c>
      <c r="J597" s="19" t="s">
        <v>36</v>
      </c>
      <c r="K597" s="19" t="s">
        <v>1230</v>
      </c>
      <c r="L597" s="19" t="s">
        <v>38</v>
      </c>
      <c r="M597" s="20">
        <f t="shared" si="1"/>
        <v>0</v>
      </c>
      <c r="N597" s="22"/>
      <c r="O597" s="19" t="s">
        <v>1145</v>
      </c>
      <c r="P597" s="18"/>
      <c r="Q597" s="18"/>
      <c r="R597" s="23">
        <v>0.0</v>
      </c>
      <c r="S597" s="23">
        <v>0.0</v>
      </c>
      <c r="T597" s="23">
        <f t="shared" si="2"/>
        <v>0</v>
      </c>
      <c r="U597" s="23">
        <f t="shared" si="3"/>
        <v>0</v>
      </c>
      <c r="V597" s="23">
        <f t="shared" si="4"/>
        <v>0</v>
      </c>
      <c r="W597" s="24" t="str">
        <f t="shared" si="5"/>
        <v>#DIV/0!</v>
      </c>
    </row>
    <row r="598" hidden="1">
      <c r="A598" s="15" t="s">
        <v>1943</v>
      </c>
      <c r="B598" s="18"/>
      <c r="C598" s="15" t="s">
        <v>6981</v>
      </c>
      <c r="D598" s="18"/>
      <c r="E598" s="17" t="s">
        <v>1944</v>
      </c>
      <c r="F598" s="18"/>
      <c r="G598" s="18"/>
      <c r="H598" s="15" t="s">
        <v>1945</v>
      </c>
      <c r="I598" s="15" t="s">
        <v>1946</v>
      </c>
      <c r="J598" s="19" t="s">
        <v>36</v>
      </c>
      <c r="K598" s="19" t="s">
        <v>37</v>
      </c>
      <c r="L598" s="19" t="s">
        <v>38</v>
      </c>
      <c r="M598" s="20">
        <f t="shared" si="1"/>
        <v>0</v>
      </c>
      <c r="N598" s="22"/>
      <c r="O598" s="19" t="s">
        <v>1145</v>
      </c>
      <c r="P598" s="18"/>
      <c r="Q598" s="18"/>
      <c r="R598" s="23">
        <v>0.0</v>
      </c>
      <c r="S598" s="23">
        <v>0.0</v>
      </c>
      <c r="T598" s="23">
        <f t="shared" si="2"/>
        <v>0</v>
      </c>
      <c r="U598" s="23">
        <f t="shared" si="3"/>
        <v>0</v>
      </c>
      <c r="V598" s="23">
        <f t="shared" si="4"/>
        <v>0</v>
      </c>
      <c r="W598" s="24" t="str">
        <f t="shared" si="5"/>
        <v>#DIV/0!</v>
      </c>
    </row>
    <row r="599" hidden="1">
      <c r="A599" s="15" t="s">
        <v>40</v>
      </c>
      <c r="B599" s="18"/>
      <c r="C599" s="15" t="s">
        <v>6982</v>
      </c>
      <c r="D599" s="18"/>
      <c r="E599" s="17" t="s">
        <v>41</v>
      </c>
      <c r="F599" s="18"/>
      <c r="G599" s="18"/>
      <c r="H599" s="15" t="s">
        <v>42</v>
      </c>
      <c r="I599" s="15" t="s">
        <v>43</v>
      </c>
      <c r="J599" s="19" t="s">
        <v>36</v>
      </c>
      <c r="K599" s="19" t="s">
        <v>37</v>
      </c>
      <c r="L599" s="19" t="s">
        <v>38</v>
      </c>
      <c r="M599" s="20">
        <f t="shared" si="1"/>
        <v>0</v>
      </c>
      <c r="N599" s="22"/>
      <c r="O599" s="19" t="s">
        <v>1145</v>
      </c>
      <c r="P599" s="18"/>
      <c r="Q599" s="18"/>
      <c r="R599" s="23">
        <v>0.0</v>
      </c>
      <c r="S599" s="23">
        <v>0.0</v>
      </c>
      <c r="T599" s="23">
        <f t="shared" si="2"/>
        <v>0</v>
      </c>
      <c r="U599" s="23">
        <f t="shared" si="3"/>
        <v>0</v>
      </c>
      <c r="V599" s="23">
        <f t="shared" si="4"/>
        <v>0</v>
      </c>
      <c r="W599" s="24" t="str">
        <f t="shared" si="5"/>
        <v>#DIV/0!</v>
      </c>
    </row>
    <row r="600" hidden="1">
      <c r="A600" s="15" t="s">
        <v>44</v>
      </c>
      <c r="B600" s="18"/>
      <c r="C600" s="15" t="s">
        <v>6983</v>
      </c>
      <c r="D600" s="18"/>
      <c r="E600" s="17" t="s">
        <v>45</v>
      </c>
      <c r="F600" s="18"/>
      <c r="G600" s="18"/>
      <c r="H600" s="15" t="s">
        <v>46</v>
      </c>
      <c r="I600" s="15" t="s">
        <v>47</v>
      </c>
      <c r="J600" s="19" t="s">
        <v>36</v>
      </c>
      <c r="K600" s="19" t="s">
        <v>37</v>
      </c>
      <c r="L600" s="19" t="s">
        <v>38</v>
      </c>
      <c r="M600" s="20">
        <f t="shared" si="1"/>
        <v>0</v>
      </c>
      <c r="N600" s="22"/>
      <c r="O600" s="19" t="s">
        <v>1145</v>
      </c>
      <c r="P600" s="18"/>
      <c r="Q600" s="18"/>
      <c r="R600" s="23">
        <v>0.0</v>
      </c>
      <c r="S600" s="23">
        <v>0.0</v>
      </c>
      <c r="T600" s="23">
        <f t="shared" si="2"/>
        <v>0</v>
      </c>
      <c r="U600" s="23">
        <f t="shared" si="3"/>
        <v>0</v>
      </c>
      <c r="V600" s="23">
        <f t="shared" si="4"/>
        <v>0</v>
      </c>
      <c r="W600" s="24" t="str">
        <f t="shared" si="5"/>
        <v>#DIV/0!</v>
      </c>
    </row>
    <row r="601" hidden="1">
      <c r="A601" s="15" t="s">
        <v>6984</v>
      </c>
      <c r="B601" s="18"/>
      <c r="C601" s="15" t="s">
        <v>6985</v>
      </c>
      <c r="D601" s="18"/>
      <c r="E601" s="17" t="s">
        <v>6986</v>
      </c>
      <c r="F601" s="18"/>
      <c r="G601" s="18"/>
      <c r="H601" s="15" t="s">
        <v>6987</v>
      </c>
      <c r="I601" s="15" t="s">
        <v>979</v>
      </c>
      <c r="J601" s="19" t="s">
        <v>36</v>
      </c>
      <c r="K601" s="19" t="s">
        <v>105</v>
      </c>
      <c r="L601" s="19" t="s">
        <v>38</v>
      </c>
      <c r="M601" s="20">
        <f t="shared" si="1"/>
        <v>0</v>
      </c>
      <c r="N601" s="22"/>
      <c r="O601" s="19" t="s">
        <v>39</v>
      </c>
      <c r="P601" s="18"/>
      <c r="Q601" s="18"/>
      <c r="R601" s="23">
        <v>0.0</v>
      </c>
      <c r="S601" s="23">
        <v>0.0</v>
      </c>
      <c r="T601" s="23">
        <f t="shared" si="2"/>
        <v>0</v>
      </c>
      <c r="U601" s="23">
        <f t="shared" si="3"/>
        <v>0</v>
      </c>
      <c r="V601" s="23">
        <f t="shared" si="4"/>
        <v>0</v>
      </c>
      <c r="W601" s="24" t="str">
        <f t="shared" si="5"/>
        <v>#DIV/0!</v>
      </c>
    </row>
    <row r="602" hidden="1">
      <c r="A602" s="15" t="s">
        <v>4713</v>
      </c>
      <c r="B602" s="18"/>
      <c r="C602" s="15" t="s">
        <v>6988</v>
      </c>
      <c r="D602" s="18"/>
      <c r="E602" s="17" t="s">
        <v>6989</v>
      </c>
      <c r="F602" s="18"/>
      <c r="G602" s="18"/>
      <c r="H602" s="15" t="s">
        <v>4717</v>
      </c>
      <c r="I602" s="15" t="s">
        <v>4716</v>
      </c>
      <c r="J602" s="19" t="s">
        <v>36</v>
      </c>
      <c r="K602" s="19" t="s">
        <v>105</v>
      </c>
      <c r="L602" s="19" t="s">
        <v>38</v>
      </c>
      <c r="M602" s="20">
        <f t="shared" si="1"/>
        <v>0</v>
      </c>
      <c r="N602" s="22"/>
      <c r="O602" s="19" t="s">
        <v>1145</v>
      </c>
      <c r="P602" s="18"/>
      <c r="Q602" s="18"/>
      <c r="R602" s="23">
        <v>0.0</v>
      </c>
      <c r="S602" s="23">
        <v>0.0</v>
      </c>
      <c r="T602" s="23">
        <f t="shared" si="2"/>
        <v>0</v>
      </c>
      <c r="U602" s="23">
        <f t="shared" si="3"/>
        <v>0</v>
      </c>
      <c r="V602" s="23">
        <f t="shared" si="4"/>
        <v>0</v>
      </c>
      <c r="W602" s="24" t="str">
        <f t="shared" si="5"/>
        <v>#DIV/0!</v>
      </c>
    </row>
    <row r="603" hidden="1">
      <c r="A603" s="15" t="s">
        <v>1947</v>
      </c>
      <c r="B603" s="18"/>
      <c r="C603" s="15" t="s">
        <v>6990</v>
      </c>
      <c r="D603" s="18"/>
      <c r="E603" s="17" t="s">
        <v>1948</v>
      </c>
      <c r="F603" s="18"/>
      <c r="G603" s="18"/>
      <c r="H603" s="15" t="s">
        <v>1949</v>
      </c>
      <c r="I603" s="15" t="s">
        <v>1950</v>
      </c>
      <c r="J603" s="19" t="s">
        <v>36</v>
      </c>
      <c r="K603" s="19" t="s">
        <v>105</v>
      </c>
      <c r="L603" s="19" t="s">
        <v>38</v>
      </c>
      <c r="M603" s="20">
        <f t="shared" si="1"/>
        <v>0</v>
      </c>
      <c r="N603" s="22"/>
      <c r="O603" s="19" t="s">
        <v>1145</v>
      </c>
      <c r="P603" s="18"/>
      <c r="Q603" s="18"/>
      <c r="R603" s="23">
        <v>0.0</v>
      </c>
      <c r="S603" s="23">
        <v>0.0</v>
      </c>
      <c r="T603" s="23">
        <f t="shared" si="2"/>
        <v>0</v>
      </c>
      <c r="U603" s="23">
        <f t="shared" si="3"/>
        <v>0</v>
      </c>
      <c r="V603" s="23">
        <f t="shared" si="4"/>
        <v>0</v>
      </c>
      <c r="W603" s="24" t="str">
        <f t="shared" si="5"/>
        <v>#DIV/0!</v>
      </c>
    </row>
    <row r="604" hidden="1">
      <c r="A604" s="15" t="s">
        <v>4718</v>
      </c>
      <c r="B604" s="18"/>
      <c r="C604" s="15" t="s">
        <v>6991</v>
      </c>
      <c r="D604" s="18"/>
      <c r="E604" s="17" t="s">
        <v>6992</v>
      </c>
      <c r="F604" s="18"/>
      <c r="G604" s="18"/>
      <c r="H604" s="15" t="s">
        <v>6993</v>
      </c>
      <c r="I604" s="15" t="s">
        <v>4722</v>
      </c>
      <c r="J604" s="19" t="s">
        <v>36</v>
      </c>
      <c r="K604" s="19" t="s">
        <v>105</v>
      </c>
      <c r="L604" s="19" t="s">
        <v>38</v>
      </c>
      <c r="M604" s="20">
        <f t="shared" si="1"/>
        <v>0</v>
      </c>
      <c r="N604" s="22"/>
      <c r="O604" s="19" t="s">
        <v>1145</v>
      </c>
      <c r="P604" s="18"/>
      <c r="Q604" s="18"/>
      <c r="R604" s="23">
        <v>0.0</v>
      </c>
      <c r="S604" s="23">
        <v>0.0</v>
      </c>
      <c r="T604" s="23">
        <f t="shared" si="2"/>
        <v>0</v>
      </c>
      <c r="U604" s="23">
        <f t="shared" si="3"/>
        <v>0</v>
      </c>
      <c r="V604" s="23">
        <f t="shared" si="4"/>
        <v>0</v>
      </c>
      <c r="W604" s="24" t="str">
        <f t="shared" si="5"/>
        <v>#DIV/0!</v>
      </c>
    </row>
    <row r="605" hidden="1">
      <c r="A605" s="15" t="s">
        <v>1951</v>
      </c>
      <c r="B605" s="18"/>
      <c r="C605" s="15" t="s">
        <v>6994</v>
      </c>
      <c r="D605" s="18"/>
      <c r="E605" s="17" t="s">
        <v>1952</v>
      </c>
      <c r="F605" s="18"/>
      <c r="G605" s="18"/>
      <c r="H605" s="15" t="s">
        <v>1953</v>
      </c>
      <c r="I605" s="15" t="s">
        <v>1954</v>
      </c>
      <c r="J605" s="19" t="s">
        <v>36</v>
      </c>
      <c r="K605" s="19" t="s">
        <v>105</v>
      </c>
      <c r="L605" s="19" t="s">
        <v>38</v>
      </c>
      <c r="M605" s="20">
        <f t="shared" si="1"/>
        <v>0</v>
      </c>
      <c r="N605" s="22"/>
      <c r="O605" s="19" t="s">
        <v>1145</v>
      </c>
      <c r="P605" s="18"/>
      <c r="Q605" s="18"/>
      <c r="R605" s="23">
        <v>0.0</v>
      </c>
      <c r="S605" s="23">
        <v>0.0</v>
      </c>
      <c r="T605" s="23">
        <f t="shared" si="2"/>
        <v>0</v>
      </c>
      <c r="U605" s="23">
        <f t="shared" si="3"/>
        <v>0</v>
      </c>
      <c r="V605" s="23">
        <f t="shared" si="4"/>
        <v>0</v>
      </c>
      <c r="W605" s="24" t="str">
        <f t="shared" si="5"/>
        <v>#DIV/0!</v>
      </c>
    </row>
    <row r="606" hidden="1">
      <c r="A606" s="15" t="s">
        <v>1955</v>
      </c>
      <c r="B606" s="18"/>
      <c r="C606" s="15" t="s">
        <v>6995</v>
      </c>
      <c r="D606" s="18"/>
      <c r="E606" s="17" t="s">
        <v>1956</v>
      </c>
      <c r="F606" s="18"/>
      <c r="G606" s="18"/>
      <c r="H606" s="15" t="s">
        <v>1957</v>
      </c>
      <c r="I606" s="15" t="s">
        <v>1958</v>
      </c>
      <c r="J606" s="19" t="s">
        <v>36</v>
      </c>
      <c r="K606" s="19" t="s">
        <v>37</v>
      </c>
      <c r="L606" s="19" t="s">
        <v>38</v>
      </c>
      <c r="M606" s="20">
        <f t="shared" si="1"/>
        <v>0</v>
      </c>
      <c r="N606" s="22"/>
      <c r="O606" s="19" t="s">
        <v>1145</v>
      </c>
      <c r="P606" s="18"/>
      <c r="Q606" s="18"/>
      <c r="R606" s="23">
        <v>0.0</v>
      </c>
      <c r="S606" s="23">
        <v>0.0</v>
      </c>
      <c r="T606" s="23">
        <f t="shared" si="2"/>
        <v>0</v>
      </c>
      <c r="U606" s="23">
        <f t="shared" si="3"/>
        <v>0</v>
      </c>
      <c r="V606" s="23">
        <f t="shared" si="4"/>
        <v>0</v>
      </c>
      <c r="W606" s="24" t="str">
        <f t="shared" si="5"/>
        <v>#DIV/0!</v>
      </c>
    </row>
    <row r="607" hidden="1">
      <c r="A607" s="15" t="s">
        <v>1959</v>
      </c>
      <c r="B607" s="18"/>
      <c r="C607" s="15" t="s">
        <v>6996</v>
      </c>
      <c r="D607" s="18"/>
      <c r="E607" s="17" t="s">
        <v>1952</v>
      </c>
      <c r="F607" s="18"/>
      <c r="G607" s="18"/>
      <c r="H607" s="15" t="s">
        <v>1960</v>
      </c>
      <c r="I607" s="15" t="s">
        <v>1961</v>
      </c>
      <c r="J607" s="19" t="s">
        <v>36</v>
      </c>
      <c r="K607" s="19" t="s">
        <v>105</v>
      </c>
      <c r="L607" s="19" t="s">
        <v>38</v>
      </c>
      <c r="M607" s="20">
        <f t="shared" si="1"/>
        <v>0</v>
      </c>
      <c r="N607" s="22"/>
      <c r="O607" s="19" t="s">
        <v>1145</v>
      </c>
      <c r="P607" s="18"/>
      <c r="Q607" s="18"/>
      <c r="R607" s="23">
        <v>0.0</v>
      </c>
      <c r="S607" s="23">
        <v>0.0</v>
      </c>
      <c r="T607" s="23">
        <f t="shared" si="2"/>
        <v>0</v>
      </c>
      <c r="U607" s="23">
        <f t="shared" si="3"/>
        <v>0</v>
      </c>
      <c r="V607" s="23">
        <f t="shared" si="4"/>
        <v>0</v>
      </c>
      <c r="W607" s="24" t="str">
        <f t="shared" si="5"/>
        <v>#DIV/0!</v>
      </c>
    </row>
    <row r="608" hidden="1">
      <c r="A608" s="15" t="s">
        <v>1962</v>
      </c>
      <c r="B608" s="18"/>
      <c r="C608" s="15" t="s">
        <v>6997</v>
      </c>
      <c r="D608" s="18"/>
      <c r="E608" s="17" t="s">
        <v>1956</v>
      </c>
      <c r="F608" s="18"/>
      <c r="G608" s="18"/>
      <c r="H608" s="15" t="s">
        <v>1963</v>
      </c>
      <c r="I608" s="15" t="s">
        <v>1964</v>
      </c>
      <c r="J608" s="19" t="s">
        <v>36</v>
      </c>
      <c r="K608" s="19" t="s">
        <v>37</v>
      </c>
      <c r="L608" s="19" t="s">
        <v>38</v>
      </c>
      <c r="M608" s="20">
        <f t="shared" si="1"/>
        <v>0</v>
      </c>
      <c r="N608" s="22"/>
      <c r="O608" s="19" t="s">
        <v>1145</v>
      </c>
      <c r="P608" s="18"/>
      <c r="Q608" s="18"/>
      <c r="R608" s="23">
        <v>0.0</v>
      </c>
      <c r="S608" s="23">
        <v>0.0</v>
      </c>
      <c r="T608" s="23">
        <f t="shared" si="2"/>
        <v>0</v>
      </c>
      <c r="U608" s="23">
        <f t="shared" si="3"/>
        <v>0</v>
      </c>
      <c r="V608" s="23">
        <f t="shared" si="4"/>
        <v>0</v>
      </c>
      <c r="W608" s="24" t="str">
        <f t="shared" si="5"/>
        <v>#DIV/0!</v>
      </c>
    </row>
    <row r="609" hidden="1">
      <c r="A609" s="15" t="s">
        <v>1965</v>
      </c>
      <c r="B609" s="18"/>
      <c r="C609" s="15" t="s">
        <v>6998</v>
      </c>
      <c r="D609" s="18"/>
      <c r="E609" s="17" t="s">
        <v>1956</v>
      </c>
      <c r="F609" s="18"/>
      <c r="G609" s="18"/>
      <c r="H609" s="15" t="s">
        <v>1966</v>
      </c>
      <c r="I609" s="15" t="s">
        <v>1967</v>
      </c>
      <c r="J609" s="19" t="s">
        <v>36</v>
      </c>
      <c r="K609" s="19" t="s">
        <v>37</v>
      </c>
      <c r="L609" s="19" t="s">
        <v>38</v>
      </c>
      <c r="M609" s="20">
        <f t="shared" si="1"/>
        <v>0</v>
      </c>
      <c r="N609" s="22"/>
      <c r="O609" s="19" t="s">
        <v>1145</v>
      </c>
      <c r="P609" s="18"/>
      <c r="Q609" s="18"/>
      <c r="R609" s="23">
        <v>0.0</v>
      </c>
      <c r="S609" s="23">
        <v>0.0</v>
      </c>
      <c r="T609" s="23">
        <f t="shared" si="2"/>
        <v>0</v>
      </c>
      <c r="U609" s="23">
        <f t="shared" si="3"/>
        <v>0</v>
      </c>
      <c r="V609" s="23">
        <f t="shared" si="4"/>
        <v>0</v>
      </c>
      <c r="W609" s="24" t="str">
        <f t="shared" si="5"/>
        <v>#DIV/0!</v>
      </c>
    </row>
    <row r="610" hidden="1">
      <c r="A610" s="15" t="s">
        <v>6999</v>
      </c>
      <c r="B610" s="18"/>
      <c r="C610" s="15" t="s">
        <v>7000</v>
      </c>
      <c r="D610" s="18"/>
      <c r="E610" s="17" t="s">
        <v>7001</v>
      </c>
      <c r="F610" s="18"/>
      <c r="G610" s="18"/>
      <c r="H610" s="15" t="s">
        <v>318</v>
      </c>
      <c r="I610" s="15" t="s">
        <v>319</v>
      </c>
      <c r="J610" s="19" t="s">
        <v>36</v>
      </c>
      <c r="K610" s="19" t="s">
        <v>105</v>
      </c>
      <c r="L610" s="19" t="s">
        <v>38</v>
      </c>
      <c r="M610" s="20">
        <f t="shared" si="1"/>
        <v>0</v>
      </c>
      <c r="N610" s="22"/>
      <c r="O610" s="19" t="s">
        <v>39</v>
      </c>
      <c r="P610" s="18"/>
      <c r="Q610" s="18"/>
      <c r="R610" s="23">
        <v>0.0</v>
      </c>
      <c r="S610" s="23">
        <v>0.0</v>
      </c>
      <c r="T610" s="23">
        <f t="shared" si="2"/>
        <v>0</v>
      </c>
      <c r="U610" s="23">
        <f t="shared" si="3"/>
        <v>0</v>
      </c>
      <c r="V610" s="23">
        <f t="shared" si="4"/>
        <v>0</v>
      </c>
      <c r="W610" s="24" t="str">
        <f t="shared" si="5"/>
        <v>#DIV/0!</v>
      </c>
    </row>
    <row r="611" hidden="1">
      <c r="A611" s="15" t="s">
        <v>1968</v>
      </c>
      <c r="B611" s="18"/>
      <c r="C611" s="15" t="s">
        <v>7002</v>
      </c>
      <c r="D611" s="18"/>
      <c r="E611" s="17" t="s">
        <v>1969</v>
      </c>
      <c r="F611" s="18"/>
      <c r="G611" s="18"/>
      <c r="H611" s="15" t="s">
        <v>1970</v>
      </c>
      <c r="I611" s="15" t="s">
        <v>1971</v>
      </c>
      <c r="J611" s="19" t="s">
        <v>36</v>
      </c>
      <c r="K611" s="19" t="s">
        <v>105</v>
      </c>
      <c r="L611" s="19" t="s">
        <v>38</v>
      </c>
      <c r="M611" s="20">
        <f t="shared" si="1"/>
        <v>0</v>
      </c>
      <c r="N611" s="22"/>
      <c r="O611" s="19" t="s">
        <v>1145</v>
      </c>
      <c r="P611" s="18"/>
      <c r="Q611" s="18"/>
      <c r="R611" s="23">
        <v>0.0</v>
      </c>
      <c r="S611" s="23">
        <v>0.0</v>
      </c>
      <c r="T611" s="23">
        <f t="shared" si="2"/>
        <v>0</v>
      </c>
      <c r="U611" s="23">
        <f t="shared" si="3"/>
        <v>0</v>
      </c>
      <c r="V611" s="23">
        <f t="shared" si="4"/>
        <v>0</v>
      </c>
      <c r="W611" s="24" t="str">
        <f t="shared" si="5"/>
        <v>#DIV/0!</v>
      </c>
    </row>
    <row r="612" hidden="1">
      <c r="A612" s="15" t="s">
        <v>1972</v>
      </c>
      <c r="B612" s="18"/>
      <c r="C612" s="15" t="s">
        <v>7003</v>
      </c>
      <c r="D612" s="18"/>
      <c r="E612" s="17" t="s">
        <v>1973</v>
      </c>
      <c r="F612" s="18"/>
      <c r="G612" s="18"/>
      <c r="H612" s="15" t="s">
        <v>1974</v>
      </c>
      <c r="I612" s="15" t="s">
        <v>1975</v>
      </c>
      <c r="J612" s="19" t="s">
        <v>36</v>
      </c>
      <c r="K612" s="19" t="s">
        <v>105</v>
      </c>
      <c r="L612" s="19" t="s">
        <v>38</v>
      </c>
      <c r="M612" s="20">
        <f t="shared" si="1"/>
        <v>0</v>
      </c>
      <c r="N612" s="22"/>
      <c r="O612" s="19" t="s">
        <v>1145</v>
      </c>
      <c r="P612" s="18"/>
      <c r="Q612" s="18"/>
      <c r="R612" s="23">
        <v>0.0</v>
      </c>
      <c r="S612" s="23">
        <v>0.0</v>
      </c>
      <c r="T612" s="23">
        <f t="shared" si="2"/>
        <v>0</v>
      </c>
      <c r="U612" s="23">
        <f t="shared" si="3"/>
        <v>0</v>
      </c>
      <c r="V612" s="23">
        <f t="shared" si="4"/>
        <v>0</v>
      </c>
      <c r="W612" s="24" t="str">
        <f t="shared" si="5"/>
        <v>#DIV/0!</v>
      </c>
    </row>
    <row r="613" hidden="1">
      <c r="A613" s="15" t="s">
        <v>7004</v>
      </c>
      <c r="B613" s="18"/>
      <c r="C613" s="15" t="s">
        <v>7005</v>
      </c>
      <c r="D613" s="18"/>
      <c r="E613" s="17" t="s">
        <v>7006</v>
      </c>
      <c r="F613" s="18"/>
      <c r="G613" s="18"/>
      <c r="H613" s="15" t="s">
        <v>7007</v>
      </c>
      <c r="I613" s="15" t="s">
        <v>7008</v>
      </c>
      <c r="J613" s="19" t="s">
        <v>36</v>
      </c>
      <c r="K613" s="19" t="s">
        <v>105</v>
      </c>
      <c r="L613" s="19" t="s">
        <v>38</v>
      </c>
      <c r="M613" s="20">
        <f t="shared" si="1"/>
        <v>0</v>
      </c>
      <c r="N613" s="22"/>
      <c r="O613" s="19" t="s">
        <v>1145</v>
      </c>
      <c r="P613" s="18"/>
      <c r="Q613" s="18"/>
      <c r="R613" s="23">
        <v>0.0</v>
      </c>
      <c r="S613" s="23">
        <v>0.0</v>
      </c>
      <c r="T613" s="23">
        <f t="shared" si="2"/>
        <v>0</v>
      </c>
      <c r="U613" s="23">
        <f t="shared" si="3"/>
        <v>0</v>
      </c>
      <c r="V613" s="23">
        <f t="shared" si="4"/>
        <v>0</v>
      </c>
      <c r="W613" s="24" t="str">
        <f t="shared" si="5"/>
        <v>#DIV/0!</v>
      </c>
    </row>
    <row r="614" hidden="1">
      <c r="A614" s="15" t="s">
        <v>1976</v>
      </c>
      <c r="B614" s="18"/>
      <c r="C614" s="15" t="s">
        <v>7009</v>
      </c>
      <c r="D614" s="18"/>
      <c r="E614" s="17" t="s">
        <v>1977</v>
      </c>
      <c r="F614" s="18"/>
      <c r="G614" s="18"/>
      <c r="H614" s="15" t="s">
        <v>1978</v>
      </c>
      <c r="I614" s="15" t="s">
        <v>1979</v>
      </c>
      <c r="J614" s="19" t="s">
        <v>36</v>
      </c>
      <c r="K614" s="19" t="s">
        <v>1230</v>
      </c>
      <c r="L614" s="19" t="s">
        <v>38</v>
      </c>
      <c r="M614" s="20">
        <f t="shared" si="1"/>
        <v>0</v>
      </c>
      <c r="N614" s="22"/>
      <c r="O614" s="19" t="s">
        <v>1145</v>
      </c>
      <c r="P614" s="18"/>
      <c r="Q614" s="18"/>
      <c r="R614" s="23">
        <v>0.0</v>
      </c>
      <c r="S614" s="23">
        <v>0.0</v>
      </c>
      <c r="T614" s="23">
        <f t="shared" si="2"/>
        <v>0</v>
      </c>
      <c r="U614" s="23">
        <f t="shared" si="3"/>
        <v>0</v>
      </c>
      <c r="V614" s="23">
        <f t="shared" si="4"/>
        <v>0</v>
      </c>
      <c r="W614" s="24" t="str">
        <f t="shared" si="5"/>
        <v>#DIV/0!</v>
      </c>
    </row>
    <row r="615" hidden="1">
      <c r="A615" s="15" t="s">
        <v>1980</v>
      </c>
      <c r="B615" s="18"/>
      <c r="C615" s="15" t="s">
        <v>7010</v>
      </c>
      <c r="D615" s="18"/>
      <c r="E615" s="17" t="s">
        <v>1981</v>
      </c>
      <c r="F615" s="18"/>
      <c r="G615" s="18"/>
      <c r="H615" s="15" t="s">
        <v>1982</v>
      </c>
      <c r="I615" s="15" t="s">
        <v>1983</v>
      </c>
      <c r="J615" s="19" t="s">
        <v>36</v>
      </c>
      <c r="K615" s="19" t="s">
        <v>105</v>
      </c>
      <c r="L615" s="19" t="s">
        <v>38</v>
      </c>
      <c r="M615" s="20">
        <f t="shared" si="1"/>
        <v>0</v>
      </c>
      <c r="N615" s="22"/>
      <c r="O615" s="19" t="s">
        <v>1145</v>
      </c>
      <c r="P615" s="18"/>
      <c r="Q615" s="18"/>
      <c r="R615" s="23">
        <v>0.0</v>
      </c>
      <c r="S615" s="23">
        <v>0.0</v>
      </c>
      <c r="T615" s="23">
        <f t="shared" si="2"/>
        <v>0</v>
      </c>
      <c r="U615" s="23">
        <f t="shared" si="3"/>
        <v>0</v>
      </c>
      <c r="V615" s="23">
        <f t="shared" si="4"/>
        <v>0</v>
      </c>
      <c r="W615" s="24" t="str">
        <f t="shared" si="5"/>
        <v>#DIV/0!</v>
      </c>
    </row>
    <row r="616" hidden="1">
      <c r="A616" s="15" t="s">
        <v>4723</v>
      </c>
      <c r="B616" s="18"/>
      <c r="C616" s="15" t="s">
        <v>7011</v>
      </c>
      <c r="D616" s="18"/>
      <c r="E616" s="17" t="s">
        <v>7012</v>
      </c>
      <c r="F616" s="18"/>
      <c r="G616" s="18"/>
      <c r="H616" s="15" t="s">
        <v>4727</v>
      </c>
      <c r="I616" s="15" t="s">
        <v>4726</v>
      </c>
      <c r="J616" s="19" t="s">
        <v>36</v>
      </c>
      <c r="K616" s="19" t="s">
        <v>1230</v>
      </c>
      <c r="L616" s="19" t="s">
        <v>38</v>
      </c>
      <c r="M616" s="20">
        <f t="shared" si="1"/>
        <v>0</v>
      </c>
      <c r="N616" s="22"/>
      <c r="O616" s="19" t="s">
        <v>1145</v>
      </c>
      <c r="P616" s="18"/>
      <c r="Q616" s="18"/>
      <c r="R616" s="23">
        <v>0.0</v>
      </c>
      <c r="S616" s="23">
        <v>0.0</v>
      </c>
      <c r="T616" s="23">
        <f t="shared" si="2"/>
        <v>0</v>
      </c>
      <c r="U616" s="23">
        <f t="shared" si="3"/>
        <v>0</v>
      </c>
      <c r="V616" s="23">
        <f t="shared" si="4"/>
        <v>0</v>
      </c>
      <c r="W616" s="24" t="str">
        <f t="shared" si="5"/>
        <v>#DIV/0!</v>
      </c>
    </row>
    <row r="617" hidden="1">
      <c r="A617" s="15" t="s">
        <v>4728</v>
      </c>
      <c r="B617" s="18"/>
      <c r="C617" s="15" t="s">
        <v>7013</v>
      </c>
      <c r="D617" s="18"/>
      <c r="E617" s="17" t="s">
        <v>7014</v>
      </c>
      <c r="F617" s="18"/>
      <c r="G617" s="18"/>
      <c r="H617" s="15" t="s">
        <v>4732</v>
      </c>
      <c r="I617" s="15" t="s">
        <v>4731</v>
      </c>
      <c r="J617" s="19" t="s">
        <v>36</v>
      </c>
      <c r="K617" s="19" t="s">
        <v>1230</v>
      </c>
      <c r="L617" s="19" t="s">
        <v>38</v>
      </c>
      <c r="M617" s="20">
        <f t="shared" si="1"/>
        <v>0</v>
      </c>
      <c r="N617" s="22"/>
      <c r="O617" s="19" t="s">
        <v>1145</v>
      </c>
      <c r="P617" s="18"/>
      <c r="Q617" s="18"/>
      <c r="R617" s="23">
        <v>0.0</v>
      </c>
      <c r="S617" s="23">
        <v>0.0</v>
      </c>
      <c r="T617" s="23">
        <f t="shared" si="2"/>
        <v>0</v>
      </c>
      <c r="U617" s="23">
        <f t="shared" si="3"/>
        <v>0</v>
      </c>
      <c r="V617" s="23">
        <f t="shared" si="4"/>
        <v>0</v>
      </c>
      <c r="W617" s="24" t="str">
        <f t="shared" si="5"/>
        <v>#DIV/0!</v>
      </c>
    </row>
    <row r="618" hidden="1">
      <c r="A618" s="15" t="s">
        <v>4733</v>
      </c>
      <c r="B618" s="18"/>
      <c r="C618" s="15" t="s">
        <v>7015</v>
      </c>
      <c r="D618" s="18"/>
      <c r="E618" s="17" t="s">
        <v>7016</v>
      </c>
      <c r="F618" s="18"/>
      <c r="G618" s="18"/>
      <c r="H618" s="15" t="s">
        <v>7017</v>
      </c>
      <c r="I618" s="15" t="s">
        <v>4736</v>
      </c>
      <c r="J618" s="19" t="s">
        <v>36</v>
      </c>
      <c r="K618" s="19" t="s">
        <v>1230</v>
      </c>
      <c r="L618" s="19" t="s">
        <v>38</v>
      </c>
      <c r="M618" s="20">
        <f t="shared" si="1"/>
        <v>0</v>
      </c>
      <c r="N618" s="22"/>
      <c r="O618" s="19" t="s">
        <v>1145</v>
      </c>
      <c r="P618" s="18"/>
      <c r="Q618" s="18"/>
      <c r="R618" s="23">
        <v>0.0</v>
      </c>
      <c r="S618" s="23">
        <v>0.0</v>
      </c>
      <c r="T618" s="23">
        <f t="shared" si="2"/>
        <v>0</v>
      </c>
      <c r="U618" s="23">
        <f t="shared" si="3"/>
        <v>0</v>
      </c>
      <c r="V618" s="23">
        <f t="shared" si="4"/>
        <v>0</v>
      </c>
      <c r="W618" s="24" t="str">
        <f t="shared" si="5"/>
        <v>#DIV/0!</v>
      </c>
    </row>
    <row r="619" hidden="1">
      <c r="A619" s="15" t="s">
        <v>1984</v>
      </c>
      <c r="B619" s="18"/>
      <c r="C619" s="15" t="s">
        <v>7018</v>
      </c>
      <c r="D619" s="18"/>
      <c r="E619" s="17" t="s">
        <v>1985</v>
      </c>
      <c r="F619" s="18"/>
      <c r="G619" s="18"/>
      <c r="H619" s="15" t="s">
        <v>1986</v>
      </c>
      <c r="I619" s="15" t="s">
        <v>1987</v>
      </c>
      <c r="J619" s="19" t="s">
        <v>36</v>
      </c>
      <c r="K619" s="19" t="s">
        <v>1230</v>
      </c>
      <c r="L619" s="19" t="s">
        <v>38</v>
      </c>
      <c r="M619" s="20">
        <f t="shared" si="1"/>
        <v>0</v>
      </c>
      <c r="N619" s="22"/>
      <c r="O619" s="19" t="s">
        <v>1145</v>
      </c>
      <c r="P619" s="18"/>
      <c r="Q619" s="18"/>
      <c r="R619" s="23">
        <v>0.0</v>
      </c>
      <c r="S619" s="23">
        <v>0.0</v>
      </c>
      <c r="T619" s="23">
        <f t="shared" si="2"/>
        <v>0</v>
      </c>
      <c r="U619" s="23">
        <f t="shared" si="3"/>
        <v>0</v>
      </c>
      <c r="V619" s="23">
        <f t="shared" si="4"/>
        <v>0</v>
      </c>
      <c r="W619" s="24" t="str">
        <f t="shared" si="5"/>
        <v>#DIV/0!</v>
      </c>
    </row>
    <row r="620" hidden="1">
      <c r="A620" s="15" t="s">
        <v>4738</v>
      </c>
      <c r="B620" s="18"/>
      <c r="C620" s="15" t="s">
        <v>7019</v>
      </c>
      <c r="D620" s="18"/>
      <c r="E620" s="17" t="s">
        <v>7020</v>
      </c>
      <c r="F620" s="18"/>
      <c r="G620" s="18"/>
      <c r="H620" s="15" t="s">
        <v>4742</v>
      </c>
      <c r="I620" s="15" t="s">
        <v>4741</v>
      </c>
      <c r="J620" s="19" t="s">
        <v>36</v>
      </c>
      <c r="K620" s="19" t="s">
        <v>1431</v>
      </c>
      <c r="L620" s="19" t="s">
        <v>38</v>
      </c>
      <c r="M620" s="20">
        <f t="shared" si="1"/>
        <v>0</v>
      </c>
      <c r="N620" s="22"/>
      <c r="O620" s="19" t="s">
        <v>1145</v>
      </c>
      <c r="P620" s="18"/>
      <c r="Q620" s="18"/>
      <c r="R620" s="23">
        <v>0.0</v>
      </c>
      <c r="S620" s="23">
        <v>0.0</v>
      </c>
      <c r="T620" s="23">
        <f t="shared" si="2"/>
        <v>0</v>
      </c>
      <c r="U620" s="23">
        <f t="shared" si="3"/>
        <v>0</v>
      </c>
      <c r="V620" s="23">
        <f t="shared" si="4"/>
        <v>0</v>
      </c>
      <c r="W620" s="24" t="str">
        <f t="shared" si="5"/>
        <v>#DIV/0!</v>
      </c>
    </row>
    <row r="621" hidden="1">
      <c r="A621" s="15" t="s">
        <v>4743</v>
      </c>
      <c r="B621" s="18"/>
      <c r="C621" s="15" t="s">
        <v>7021</v>
      </c>
      <c r="D621" s="18"/>
      <c r="E621" s="17" t="s">
        <v>7022</v>
      </c>
      <c r="F621" s="18"/>
      <c r="G621" s="18"/>
      <c r="H621" s="15" t="s">
        <v>4747</v>
      </c>
      <c r="I621" s="15" t="s">
        <v>4746</v>
      </c>
      <c r="J621" s="19" t="s">
        <v>36</v>
      </c>
      <c r="K621" s="19" t="s">
        <v>1230</v>
      </c>
      <c r="L621" s="19" t="s">
        <v>38</v>
      </c>
      <c r="M621" s="20">
        <f t="shared" si="1"/>
        <v>0</v>
      </c>
      <c r="N621" s="22"/>
      <c r="O621" s="19" t="s">
        <v>1145</v>
      </c>
      <c r="P621" s="18"/>
      <c r="Q621" s="18"/>
      <c r="R621" s="23">
        <v>0.0</v>
      </c>
      <c r="S621" s="23">
        <v>0.0</v>
      </c>
      <c r="T621" s="23">
        <f t="shared" si="2"/>
        <v>0</v>
      </c>
      <c r="U621" s="23">
        <f t="shared" si="3"/>
        <v>0</v>
      </c>
      <c r="V621" s="23">
        <f t="shared" si="4"/>
        <v>0</v>
      </c>
      <c r="W621" s="24" t="str">
        <f t="shared" si="5"/>
        <v>#DIV/0!</v>
      </c>
    </row>
    <row r="622" hidden="1">
      <c r="A622" s="15" t="s">
        <v>4748</v>
      </c>
      <c r="B622" s="18"/>
      <c r="C622" s="15" t="s">
        <v>7023</v>
      </c>
      <c r="D622" s="18"/>
      <c r="E622" s="17" t="s">
        <v>7024</v>
      </c>
      <c r="F622" s="18"/>
      <c r="G622" s="18"/>
      <c r="H622" s="15" t="s">
        <v>4752</v>
      </c>
      <c r="I622" s="15" t="s">
        <v>4751</v>
      </c>
      <c r="J622" s="19" t="s">
        <v>36</v>
      </c>
      <c r="K622" s="19" t="s">
        <v>37</v>
      </c>
      <c r="L622" s="19" t="s">
        <v>38</v>
      </c>
      <c r="M622" s="20">
        <f t="shared" si="1"/>
        <v>0</v>
      </c>
      <c r="N622" s="22"/>
      <c r="O622" s="19" t="s">
        <v>1145</v>
      </c>
      <c r="P622" s="18"/>
      <c r="Q622" s="18"/>
      <c r="R622" s="23">
        <v>0.0</v>
      </c>
      <c r="S622" s="23">
        <v>0.0</v>
      </c>
      <c r="T622" s="23">
        <f t="shared" si="2"/>
        <v>0</v>
      </c>
      <c r="U622" s="23">
        <f t="shared" si="3"/>
        <v>0</v>
      </c>
      <c r="V622" s="23">
        <f t="shared" si="4"/>
        <v>0</v>
      </c>
      <c r="W622" s="24" t="str">
        <f t="shared" si="5"/>
        <v>#DIV/0!</v>
      </c>
    </row>
    <row r="623" hidden="1">
      <c r="A623" s="15" t="s">
        <v>1988</v>
      </c>
      <c r="B623" s="18"/>
      <c r="C623" s="15" t="s">
        <v>7025</v>
      </c>
      <c r="D623" s="18"/>
      <c r="E623" s="17" t="s">
        <v>1989</v>
      </c>
      <c r="F623" s="18"/>
      <c r="G623" s="18"/>
      <c r="H623" s="15" t="s">
        <v>1990</v>
      </c>
      <c r="I623" s="15" t="s">
        <v>1991</v>
      </c>
      <c r="J623" s="19" t="s">
        <v>36</v>
      </c>
      <c r="K623" s="19" t="s">
        <v>1230</v>
      </c>
      <c r="L623" s="19" t="s">
        <v>38</v>
      </c>
      <c r="M623" s="20">
        <f t="shared" si="1"/>
        <v>0</v>
      </c>
      <c r="N623" s="22"/>
      <c r="O623" s="19" t="s">
        <v>1145</v>
      </c>
      <c r="P623" s="18"/>
      <c r="Q623" s="18"/>
      <c r="R623" s="23">
        <v>0.0</v>
      </c>
      <c r="S623" s="23">
        <v>0.0</v>
      </c>
      <c r="T623" s="23">
        <f t="shared" si="2"/>
        <v>0</v>
      </c>
      <c r="U623" s="23">
        <f t="shared" si="3"/>
        <v>0</v>
      </c>
      <c r="V623" s="23">
        <f t="shared" si="4"/>
        <v>0</v>
      </c>
      <c r="W623" s="24" t="str">
        <f t="shared" si="5"/>
        <v>#DIV/0!</v>
      </c>
    </row>
    <row r="624" hidden="1">
      <c r="A624" s="15" t="s">
        <v>1992</v>
      </c>
      <c r="B624" s="18"/>
      <c r="C624" s="15" t="s">
        <v>7026</v>
      </c>
      <c r="D624" s="18"/>
      <c r="E624" s="17" t="s">
        <v>1993</v>
      </c>
      <c r="F624" s="18"/>
      <c r="G624" s="18"/>
      <c r="H624" s="15" t="s">
        <v>1990</v>
      </c>
      <c r="I624" s="15" t="s">
        <v>1991</v>
      </c>
      <c r="J624" s="19" t="s">
        <v>36</v>
      </c>
      <c r="K624" s="19" t="s">
        <v>1230</v>
      </c>
      <c r="L624" s="19" t="s">
        <v>38</v>
      </c>
      <c r="M624" s="20">
        <f t="shared" si="1"/>
        <v>0</v>
      </c>
      <c r="N624" s="22"/>
      <c r="O624" s="19" t="s">
        <v>1145</v>
      </c>
      <c r="P624" s="18"/>
      <c r="Q624" s="18"/>
      <c r="R624" s="23">
        <v>0.0</v>
      </c>
      <c r="S624" s="23">
        <v>0.0</v>
      </c>
      <c r="T624" s="23">
        <f t="shared" si="2"/>
        <v>0</v>
      </c>
      <c r="U624" s="23">
        <f t="shared" si="3"/>
        <v>0</v>
      </c>
      <c r="V624" s="23">
        <f t="shared" si="4"/>
        <v>0</v>
      </c>
      <c r="W624" s="24" t="str">
        <f t="shared" si="5"/>
        <v>#DIV/0!</v>
      </c>
    </row>
    <row r="625">
      <c r="A625" s="15" t="s">
        <v>3649</v>
      </c>
      <c r="B625" s="15" t="s">
        <v>3650</v>
      </c>
      <c r="C625" s="15" t="s">
        <v>6157</v>
      </c>
      <c r="D625" s="15" t="s">
        <v>3651</v>
      </c>
      <c r="E625" s="17" t="s">
        <v>3652</v>
      </c>
      <c r="F625" s="18"/>
      <c r="G625" s="18"/>
      <c r="H625" s="15" t="s">
        <v>3653</v>
      </c>
      <c r="I625" s="18"/>
      <c r="J625" s="19" t="s">
        <v>283</v>
      </c>
      <c r="K625" s="19" t="s">
        <v>105</v>
      </c>
      <c r="L625" s="19" t="s">
        <v>38</v>
      </c>
      <c r="M625" s="20">
        <f t="shared" si="1"/>
        <v>0</v>
      </c>
      <c r="N625" s="22"/>
      <c r="O625" s="19" t="s">
        <v>3578</v>
      </c>
      <c r="P625" s="18"/>
      <c r="Q625" s="18"/>
      <c r="R625" s="23">
        <v>0.0</v>
      </c>
      <c r="S625" s="23">
        <v>0.0</v>
      </c>
      <c r="T625" s="23">
        <f t="shared" si="2"/>
        <v>0</v>
      </c>
      <c r="U625" s="23">
        <f t="shared" si="3"/>
        <v>0</v>
      </c>
      <c r="V625" s="23">
        <f t="shared" si="4"/>
        <v>0</v>
      </c>
      <c r="W625" s="24" t="str">
        <f t="shared" si="5"/>
        <v>#DIV/0!</v>
      </c>
    </row>
    <row r="626">
      <c r="A626" s="15" t="s">
        <v>3654</v>
      </c>
      <c r="B626" s="15" t="s">
        <v>3655</v>
      </c>
      <c r="C626" s="15" t="s">
        <v>6197</v>
      </c>
      <c r="D626" s="15" t="s">
        <v>3656</v>
      </c>
      <c r="E626" s="17" t="s">
        <v>3657</v>
      </c>
      <c r="F626" s="18"/>
      <c r="G626" s="18"/>
      <c r="H626" s="15" t="s">
        <v>3658</v>
      </c>
      <c r="I626" s="18"/>
      <c r="J626" s="19" t="s">
        <v>283</v>
      </c>
      <c r="K626" s="19" t="s">
        <v>1269</v>
      </c>
      <c r="L626" s="19" t="s">
        <v>38</v>
      </c>
      <c r="M626" s="20">
        <f t="shared" si="1"/>
        <v>0</v>
      </c>
      <c r="N626" s="22"/>
      <c r="O626" s="19" t="s">
        <v>3578</v>
      </c>
      <c r="P626" s="18"/>
      <c r="Q626" s="18"/>
      <c r="R626" s="23">
        <v>0.0</v>
      </c>
      <c r="S626" s="23">
        <v>0.0</v>
      </c>
      <c r="T626" s="23">
        <f t="shared" si="2"/>
        <v>0</v>
      </c>
      <c r="U626" s="23">
        <f t="shared" si="3"/>
        <v>0</v>
      </c>
      <c r="V626" s="23">
        <f t="shared" si="4"/>
        <v>0</v>
      </c>
      <c r="W626" s="24" t="str">
        <f t="shared" si="5"/>
        <v>#DIV/0!</v>
      </c>
    </row>
    <row r="627" hidden="1">
      <c r="A627" s="15" t="s">
        <v>1994</v>
      </c>
      <c r="B627" s="18"/>
      <c r="C627" s="15" t="s">
        <v>7029</v>
      </c>
      <c r="D627" s="18"/>
      <c r="E627" s="17" t="s">
        <v>1995</v>
      </c>
      <c r="F627" s="18"/>
      <c r="G627" s="18"/>
      <c r="H627" s="15" t="s">
        <v>1996</v>
      </c>
      <c r="I627" s="15" t="s">
        <v>1997</v>
      </c>
      <c r="J627" s="19" t="s">
        <v>36</v>
      </c>
      <c r="K627" s="19" t="s">
        <v>1230</v>
      </c>
      <c r="L627" s="19" t="s">
        <v>38</v>
      </c>
      <c r="M627" s="20">
        <f t="shared" si="1"/>
        <v>0</v>
      </c>
      <c r="N627" s="22"/>
      <c r="O627" s="19" t="s">
        <v>1145</v>
      </c>
      <c r="P627" s="18"/>
      <c r="Q627" s="18"/>
      <c r="R627" s="23">
        <v>0.0</v>
      </c>
      <c r="S627" s="23">
        <v>0.0</v>
      </c>
      <c r="T627" s="23">
        <f t="shared" si="2"/>
        <v>0</v>
      </c>
      <c r="U627" s="23">
        <f t="shared" si="3"/>
        <v>0</v>
      </c>
      <c r="V627" s="23">
        <f t="shared" si="4"/>
        <v>0</v>
      </c>
      <c r="W627" s="24" t="str">
        <f t="shared" si="5"/>
        <v>#DIV/0!</v>
      </c>
    </row>
    <row r="628" hidden="1">
      <c r="A628" s="15" t="s">
        <v>1998</v>
      </c>
      <c r="B628" s="18"/>
      <c r="C628" s="15" t="s">
        <v>7030</v>
      </c>
      <c r="D628" s="18"/>
      <c r="E628" s="17" t="s">
        <v>1999</v>
      </c>
      <c r="F628" s="18"/>
      <c r="G628" s="18"/>
      <c r="H628" s="15" t="s">
        <v>2000</v>
      </c>
      <c r="I628" s="15" t="s">
        <v>2001</v>
      </c>
      <c r="J628" s="19" t="s">
        <v>36</v>
      </c>
      <c r="K628" s="19" t="s">
        <v>1230</v>
      </c>
      <c r="L628" s="19" t="s">
        <v>38</v>
      </c>
      <c r="M628" s="20">
        <f t="shared" si="1"/>
        <v>0</v>
      </c>
      <c r="N628" s="22"/>
      <c r="O628" s="19" t="s">
        <v>1145</v>
      </c>
      <c r="P628" s="18"/>
      <c r="Q628" s="18"/>
      <c r="R628" s="23">
        <v>0.0</v>
      </c>
      <c r="S628" s="23">
        <v>0.0</v>
      </c>
      <c r="T628" s="23">
        <f t="shared" si="2"/>
        <v>0</v>
      </c>
      <c r="U628" s="23">
        <f t="shared" si="3"/>
        <v>0</v>
      </c>
      <c r="V628" s="23">
        <f t="shared" si="4"/>
        <v>0</v>
      </c>
      <c r="W628" s="24" t="str">
        <f t="shared" si="5"/>
        <v>#DIV/0!</v>
      </c>
    </row>
    <row r="629" hidden="1">
      <c r="A629" s="15" t="s">
        <v>2002</v>
      </c>
      <c r="B629" s="18"/>
      <c r="C629" s="15" t="s">
        <v>7031</v>
      </c>
      <c r="D629" s="18"/>
      <c r="E629" s="17" t="s">
        <v>2003</v>
      </c>
      <c r="F629" s="18"/>
      <c r="G629" s="18"/>
      <c r="H629" s="15" t="s">
        <v>2004</v>
      </c>
      <c r="I629" s="15" t="s">
        <v>2005</v>
      </c>
      <c r="J629" s="19" t="s">
        <v>36</v>
      </c>
      <c r="K629" s="19" t="s">
        <v>1230</v>
      </c>
      <c r="L629" s="19" t="s">
        <v>38</v>
      </c>
      <c r="M629" s="20">
        <f t="shared" si="1"/>
        <v>0</v>
      </c>
      <c r="N629" s="22"/>
      <c r="O629" s="19" t="s">
        <v>1145</v>
      </c>
      <c r="P629" s="18"/>
      <c r="Q629" s="18"/>
      <c r="R629" s="23">
        <v>0.0</v>
      </c>
      <c r="S629" s="23">
        <v>0.0</v>
      </c>
      <c r="T629" s="23">
        <f t="shared" si="2"/>
        <v>0</v>
      </c>
      <c r="U629" s="23">
        <f t="shared" si="3"/>
        <v>0</v>
      </c>
      <c r="V629" s="23">
        <f t="shared" si="4"/>
        <v>0</v>
      </c>
      <c r="W629" s="24" t="str">
        <f t="shared" si="5"/>
        <v>#DIV/0!</v>
      </c>
    </row>
    <row r="630" hidden="1">
      <c r="A630" s="15" t="s">
        <v>2006</v>
      </c>
      <c r="B630" s="18"/>
      <c r="C630" s="15" t="s">
        <v>7032</v>
      </c>
      <c r="D630" s="18"/>
      <c r="E630" s="17" t="s">
        <v>2007</v>
      </c>
      <c r="F630" s="18"/>
      <c r="G630" s="18"/>
      <c r="H630" s="15" t="s">
        <v>2008</v>
      </c>
      <c r="I630" s="15" t="s">
        <v>2009</v>
      </c>
      <c r="J630" s="19" t="s">
        <v>36</v>
      </c>
      <c r="K630" s="19" t="s">
        <v>1230</v>
      </c>
      <c r="L630" s="19" t="s">
        <v>38</v>
      </c>
      <c r="M630" s="20">
        <f t="shared" si="1"/>
        <v>0</v>
      </c>
      <c r="N630" s="22"/>
      <c r="O630" s="19" t="s">
        <v>1145</v>
      </c>
      <c r="P630" s="18"/>
      <c r="Q630" s="18"/>
      <c r="R630" s="23">
        <v>0.0</v>
      </c>
      <c r="S630" s="23">
        <v>0.0</v>
      </c>
      <c r="T630" s="23">
        <f t="shared" si="2"/>
        <v>0</v>
      </c>
      <c r="U630" s="23">
        <f t="shared" si="3"/>
        <v>0</v>
      </c>
      <c r="V630" s="23">
        <f t="shared" si="4"/>
        <v>0</v>
      </c>
      <c r="W630" s="24" t="str">
        <f t="shared" si="5"/>
        <v>#DIV/0!</v>
      </c>
    </row>
    <row r="631" hidden="1">
      <c r="A631" s="15" t="s">
        <v>2010</v>
      </c>
      <c r="B631" s="18"/>
      <c r="C631" s="15" t="s">
        <v>7033</v>
      </c>
      <c r="D631" s="18"/>
      <c r="E631" s="17" t="s">
        <v>2011</v>
      </c>
      <c r="F631" s="18"/>
      <c r="G631" s="18"/>
      <c r="H631" s="15" t="s">
        <v>2012</v>
      </c>
      <c r="I631" s="15" t="s">
        <v>2013</v>
      </c>
      <c r="J631" s="19" t="s">
        <v>36</v>
      </c>
      <c r="K631" s="19" t="s">
        <v>1230</v>
      </c>
      <c r="L631" s="19" t="s">
        <v>38</v>
      </c>
      <c r="M631" s="20">
        <f t="shared" si="1"/>
        <v>0</v>
      </c>
      <c r="N631" s="22"/>
      <c r="O631" s="19" t="s">
        <v>1145</v>
      </c>
      <c r="P631" s="18"/>
      <c r="Q631" s="18"/>
      <c r="R631" s="23">
        <v>0.0</v>
      </c>
      <c r="S631" s="23">
        <v>0.0</v>
      </c>
      <c r="T631" s="23">
        <f t="shared" si="2"/>
        <v>0</v>
      </c>
      <c r="U631" s="23">
        <f t="shared" si="3"/>
        <v>0</v>
      </c>
      <c r="V631" s="23">
        <f t="shared" si="4"/>
        <v>0</v>
      </c>
      <c r="W631" s="24" t="str">
        <f t="shared" si="5"/>
        <v>#DIV/0!</v>
      </c>
    </row>
    <row r="632" hidden="1">
      <c r="A632" s="15" t="s">
        <v>2014</v>
      </c>
      <c r="B632" s="18"/>
      <c r="C632" s="15" t="s">
        <v>7034</v>
      </c>
      <c r="D632" s="18"/>
      <c r="E632" s="17" t="s">
        <v>2015</v>
      </c>
      <c r="F632" s="18"/>
      <c r="G632" s="18"/>
      <c r="H632" s="15" t="s">
        <v>2016</v>
      </c>
      <c r="I632" s="15" t="s">
        <v>2017</v>
      </c>
      <c r="J632" s="19" t="s">
        <v>36</v>
      </c>
      <c r="K632" s="19" t="s">
        <v>1230</v>
      </c>
      <c r="L632" s="19" t="s">
        <v>38</v>
      </c>
      <c r="M632" s="20">
        <f t="shared" si="1"/>
        <v>0</v>
      </c>
      <c r="N632" s="22"/>
      <c r="O632" s="19" t="s">
        <v>1145</v>
      </c>
      <c r="P632" s="18"/>
      <c r="Q632" s="18"/>
      <c r="R632" s="23">
        <v>0.0</v>
      </c>
      <c r="S632" s="23">
        <v>0.0</v>
      </c>
      <c r="T632" s="23">
        <f t="shared" si="2"/>
        <v>0</v>
      </c>
      <c r="U632" s="23">
        <f t="shared" si="3"/>
        <v>0</v>
      </c>
      <c r="V632" s="23">
        <f t="shared" si="4"/>
        <v>0</v>
      </c>
      <c r="W632" s="24" t="str">
        <f t="shared" si="5"/>
        <v>#DIV/0!</v>
      </c>
    </row>
    <row r="633" hidden="1">
      <c r="A633" s="15" t="s">
        <v>2018</v>
      </c>
      <c r="B633" s="18"/>
      <c r="C633" s="15" t="s">
        <v>7035</v>
      </c>
      <c r="D633" s="18"/>
      <c r="E633" s="17" t="s">
        <v>2019</v>
      </c>
      <c r="F633" s="18"/>
      <c r="G633" s="18"/>
      <c r="H633" s="15" t="s">
        <v>2016</v>
      </c>
      <c r="I633" s="15" t="s">
        <v>2017</v>
      </c>
      <c r="J633" s="19" t="s">
        <v>36</v>
      </c>
      <c r="K633" s="19" t="s">
        <v>1230</v>
      </c>
      <c r="L633" s="19" t="s">
        <v>38</v>
      </c>
      <c r="M633" s="20">
        <f t="shared" si="1"/>
        <v>0</v>
      </c>
      <c r="N633" s="22"/>
      <c r="O633" s="19" t="s">
        <v>1145</v>
      </c>
      <c r="P633" s="18"/>
      <c r="Q633" s="18"/>
      <c r="R633" s="23">
        <v>0.0</v>
      </c>
      <c r="S633" s="23">
        <v>0.0</v>
      </c>
      <c r="T633" s="23">
        <f t="shared" si="2"/>
        <v>0</v>
      </c>
      <c r="U633" s="23">
        <f t="shared" si="3"/>
        <v>0</v>
      </c>
      <c r="V633" s="23">
        <f t="shared" si="4"/>
        <v>0</v>
      </c>
      <c r="W633" s="24" t="str">
        <f t="shared" si="5"/>
        <v>#DIV/0!</v>
      </c>
    </row>
    <row r="634" hidden="1">
      <c r="A634" s="15" t="s">
        <v>2020</v>
      </c>
      <c r="B634" s="18"/>
      <c r="C634" s="15" t="s">
        <v>7036</v>
      </c>
      <c r="D634" s="18"/>
      <c r="E634" s="17" t="s">
        <v>2019</v>
      </c>
      <c r="F634" s="18"/>
      <c r="G634" s="18"/>
      <c r="H634" s="15" t="s">
        <v>2021</v>
      </c>
      <c r="I634" s="15" t="s">
        <v>2022</v>
      </c>
      <c r="J634" s="19" t="s">
        <v>36</v>
      </c>
      <c r="K634" s="19" t="s">
        <v>1230</v>
      </c>
      <c r="L634" s="19" t="s">
        <v>38</v>
      </c>
      <c r="M634" s="20">
        <f t="shared" si="1"/>
        <v>0</v>
      </c>
      <c r="N634" s="22"/>
      <c r="O634" s="19" t="s">
        <v>1145</v>
      </c>
      <c r="P634" s="18"/>
      <c r="Q634" s="18"/>
      <c r="R634" s="23">
        <v>0.0</v>
      </c>
      <c r="S634" s="23">
        <v>0.0</v>
      </c>
      <c r="T634" s="23">
        <f t="shared" si="2"/>
        <v>0</v>
      </c>
      <c r="U634" s="23">
        <f t="shared" si="3"/>
        <v>0</v>
      </c>
      <c r="V634" s="23">
        <f t="shared" si="4"/>
        <v>0</v>
      </c>
      <c r="W634" s="24" t="str">
        <f t="shared" si="5"/>
        <v>#DIV/0!</v>
      </c>
    </row>
    <row r="635" hidden="1">
      <c r="A635" s="15" t="s">
        <v>2023</v>
      </c>
      <c r="B635" s="18"/>
      <c r="C635" s="15" t="s">
        <v>7037</v>
      </c>
      <c r="D635" s="18"/>
      <c r="E635" s="17" t="s">
        <v>2024</v>
      </c>
      <c r="F635" s="18"/>
      <c r="G635" s="18"/>
      <c r="H635" s="15" t="s">
        <v>2025</v>
      </c>
      <c r="I635" s="15" t="s">
        <v>2026</v>
      </c>
      <c r="J635" s="19" t="s">
        <v>36</v>
      </c>
      <c r="K635" s="19" t="s">
        <v>1230</v>
      </c>
      <c r="L635" s="19" t="s">
        <v>38</v>
      </c>
      <c r="M635" s="20">
        <f t="shared" si="1"/>
        <v>0</v>
      </c>
      <c r="N635" s="22"/>
      <c r="O635" s="19" t="s">
        <v>1145</v>
      </c>
      <c r="P635" s="18"/>
      <c r="Q635" s="18"/>
      <c r="R635" s="23">
        <v>0.0</v>
      </c>
      <c r="S635" s="23">
        <v>0.0</v>
      </c>
      <c r="T635" s="23">
        <f t="shared" si="2"/>
        <v>0</v>
      </c>
      <c r="U635" s="23">
        <f t="shared" si="3"/>
        <v>0</v>
      </c>
      <c r="V635" s="23">
        <f t="shared" si="4"/>
        <v>0</v>
      </c>
      <c r="W635" s="24" t="str">
        <f t="shared" si="5"/>
        <v>#DIV/0!</v>
      </c>
    </row>
    <row r="636" hidden="1">
      <c r="A636" s="15" t="s">
        <v>2027</v>
      </c>
      <c r="B636" s="18"/>
      <c r="C636" s="15" t="s">
        <v>7038</v>
      </c>
      <c r="D636" s="18"/>
      <c r="E636" s="17" t="s">
        <v>2024</v>
      </c>
      <c r="F636" s="18"/>
      <c r="G636" s="18"/>
      <c r="H636" s="15" t="s">
        <v>2028</v>
      </c>
      <c r="I636" s="15" t="s">
        <v>2029</v>
      </c>
      <c r="J636" s="19" t="s">
        <v>36</v>
      </c>
      <c r="K636" s="19" t="s">
        <v>1230</v>
      </c>
      <c r="L636" s="19" t="s">
        <v>38</v>
      </c>
      <c r="M636" s="20">
        <f t="shared" si="1"/>
        <v>0</v>
      </c>
      <c r="N636" s="22"/>
      <c r="O636" s="19" t="s">
        <v>1145</v>
      </c>
      <c r="P636" s="18"/>
      <c r="Q636" s="18"/>
      <c r="R636" s="23">
        <v>0.0</v>
      </c>
      <c r="S636" s="23">
        <v>0.0</v>
      </c>
      <c r="T636" s="23">
        <f t="shared" si="2"/>
        <v>0</v>
      </c>
      <c r="U636" s="23">
        <f t="shared" si="3"/>
        <v>0</v>
      </c>
      <c r="V636" s="23">
        <f t="shared" si="4"/>
        <v>0</v>
      </c>
      <c r="W636" s="24" t="str">
        <f t="shared" si="5"/>
        <v>#DIV/0!</v>
      </c>
    </row>
    <row r="637" hidden="1">
      <c r="A637" s="15" t="s">
        <v>2030</v>
      </c>
      <c r="B637" s="18"/>
      <c r="C637" s="15" t="s">
        <v>7039</v>
      </c>
      <c r="D637" s="18"/>
      <c r="E637" s="17" t="s">
        <v>2031</v>
      </c>
      <c r="F637" s="18"/>
      <c r="G637" s="18"/>
      <c r="H637" s="15" t="s">
        <v>2032</v>
      </c>
      <c r="I637" s="15" t="s">
        <v>2033</v>
      </c>
      <c r="J637" s="19" t="s">
        <v>36</v>
      </c>
      <c r="K637" s="19" t="s">
        <v>1230</v>
      </c>
      <c r="L637" s="19" t="s">
        <v>38</v>
      </c>
      <c r="M637" s="20">
        <f t="shared" si="1"/>
        <v>0</v>
      </c>
      <c r="N637" s="22"/>
      <c r="O637" s="19" t="s">
        <v>1145</v>
      </c>
      <c r="P637" s="18"/>
      <c r="Q637" s="18"/>
      <c r="R637" s="23">
        <v>0.0</v>
      </c>
      <c r="S637" s="23">
        <v>0.0</v>
      </c>
      <c r="T637" s="23">
        <f t="shared" si="2"/>
        <v>0</v>
      </c>
      <c r="U637" s="23">
        <f t="shared" si="3"/>
        <v>0</v>
      </c>
      <c r="V637" s="23">
        <f t="shared" si="4"/>
        <v>0</v>
      </c>
      <c r="W637" s="24" t="str">
        <f t="shared" si="5"/>
        <v>#DIV/0!</v>
      </c>
    </row>
    <row r="638" hidden="1">
      <c r="A638" s="15" t="s">
        <v>2034</v>
      </c>
      <c r="B638" s="18"/>
      <c r="C638" s="15" t="s">
        <v>7040</v>
      </c>
      <c r="D638" s="18"/>
      <c r="E638" s="17" t="s">
        <v>2035</v>
      </c>
      <c r="F638" s="18"/>
      <c r="G638" s="18"/>
      <c r="H638" s="15" t="s">
        <v>2025</v>
      </c>
      <c r="I638" s="15" t="s">
        <v>2026</v>
      </c>
      <c r="J638" s="19" t="s">
        <v>36</v>
      </c>
      <c r="K638" s="19" t="s">
        <v>1230</v>
      </c>
      <c r="L638" s="19" t="s">
        <v>38</v>
      </c>
      <c r="M638" s="20">
        <f t="shared" si="1"/>
        <v>0</v>
      </c>
      <c r="N638" s="22"/>
      <c r="O638" s="19" t="s">
        <v>1145</v>
      </c>
      <c r="P638" s="18"/>
      <c r="Q638" s="18"/>
      <c r="R638" s="23">
        <v>0.0</v>
      </c>
      <c r="S638" s="23">
        <v>0.0</v>
      </c>
      <c r="T638" s="23">
        <f t="shared" si="2"/>
        <v>0</v>
      </c>
      <c r="U638" s="23">
        <f t="shared" si="3"/>
        <v>0</v>
      </c>
      <c r="V638" s="23">
        <f t="shared" si="4"/>
        <v>0</v>
      </c>
      <c r="W638" s="24" t="str">
        <f t="shared" si="5"/>
        <v>#DIV/0!</v>
      </c>
    </row>
    <row r="639" hidden="1">
      <c r="A639" s="15" t="s">
        <v>2036</v>
      </c>
      <c r="B639" s="18"/>
      <c r="C639" s="15" t="s">
        <v>7041</v>
      </c>
      <c r="D639" s="18"/>
      <c r="E639" s="17" t="s">
        <v>2037</v>
      </c>
      <c r="F639" s="18"/>
      <c r="G639" s="18"/>
      <c r="H639" s="15" t="s">
        <v>2038</v>
      </c>
      <c r="I639" s="15" t="s">
        <v>2039</v>
      </c>
      <c r="J639" s="19" t="s">
        <v>36</v>
      </c>
      <c r="K639" s="19" t="s">
        <v>1230</v>
      </c>
      <c r="L639" s="19" t="s">
        <v>38</v>
      </c>
      <c r="M639" s="20">
        <f t="shared" si="1"/>
        <v>0</v>
      </c>
      <c r="N639" s="22"/>
      <c r="O639" s="19" t="s">
        <v>1145</v>
      </c>
      <c r="P639" s="18"/>
      <c r="Q639" s="18"/>
      <c r="R639" s="23">
        <v>0.0</v>
      </c>
      <c r="S639" s="23">
        <v>0.0</v>
      </c>
      <c r="T639" s="23">
        <f t="shared" si="2"/>
        <v>0</v>
      </c>
      <c r="U639" s="23">
        <f t="shared" si="3"/>
        <v>0</v>
      </c>
      <c r="V639" s="23">
        <f t="shared" si="4"/>
        <v>0</v>
      </c>
      <c r="W639" s="24" t="str">
        <f t="shared" si="5"/>
        <v>#DIV/0!</v>
      </c>
    </row>
    <row r="640" hidden="1">
      <c r="A640" s="15" t="s">
        <v>2040</v>
      </c>
      <c r="B640" s="18"/>
      <c r="C640" s="15" t="s">
        <v>7042</v>
      </c>
      <c r="D640" s="18"/>
      <c r="E640" s="17" t="s">
        <v>2041</v>
      </c>
      <c r="F640" s="18"/>
      <c r="G640" s="18"/>
      <c r="H640" s="15" t="s">
        <v>2042</v>
      </c>
      <c r="I640" s="15" t="s">
        <v>2043</v>
      </c>
      <c r="J640" s="19" t="s">
        <v>36</v>
      </c>
      <c r="K640" s="19" t="s">
        <v>1230</v>
      </c>
      <c r="L640" s="19" t="s">
        <v>38</v>
      </c>
      <c r="M640" s="20">
        <f t="shared" si="1"/>
        <v>0</v>
      </c>
      <c r="N640" s="22"/>
      <c r="O640" s="19" t="s">
        <v>1145</v>
      </c>
      <c r="P640" s="18"/>
      <c r="Q640" s="18"/>
      <c r="R640" s="23">
        <v>0.0</v>
      </c>
      <c r="S640" s="23">
        <v>0.0</v>
      </c>
      <c r="T640" s="23">
        <f t="shared" si="2"/>
        <v>0</v>
      </c>
      <c r="U640" s="23">
        <f t="shared" si="3"/>
        <v>0</v>
      </c>
      <c r="V640" s="23">
        <f t="shared" si="4"/>
        <v>0</v>
      </c>
      <c r="W640" s="24" t="str">
        <f t="shared" si="5"/>
        <v>#DIV/0!</v>
      </c>
    </row>
    <row r="641" hidden="1">
      <c r="A641" s="15" t="s">
        <v>2044</v>
      </c>
      <c r="B641" s="18"/>
      <c r="C641" s="15" t="s">
        <v>7043</v>
      </c>
      <c r="D641" s="18"/>
      <c r="E641" s="17" t="s">
        <v>2045</v>
      </c>
      <c r="F641" s="18"/>
      <c r="G641" s="18"/>
      <c r="H641" s="15" t="s">
        <v>2046</v>
      </c>
      <c r="I641" s="15" t="s">
        <v>2047</v>
      </c>
      <c r="J641" s="19" t="s">
        <v>36</v>
      </c>
      <c r="K641" s="19" t="s">
        <v>1230</v>
      </c>
      <c r="L641" s="19" t="s">
        <v>38</v>
      </c>
      <c r="M641" s="20">
        <f t="shared" si="1"/>
        <v>0</v>
      </c>
      <c r="N641" s="22"/>
      <c r="O641" s="19" t="s">
        <v>1145</v>
      </c>
      <c r="P641" s="18"/>
      <c r="Q641" s="18"/>
      <c r="R641" s="23">
        <v>0.0</v>
      </c>
      <c r="S641" s="23">
        <v>0.0</v>
      </c>
      <c r="T641" s="23">
        <f t="shared" si="2"/>
        <v>0</v>
      </c>
      <c r="U641" s="23">
        <f t="shared" si="3"/>
        <v>0</v>
      </c>
      <c r="V641" s="23">
        <f t="shared" si="4"/>
        <v>0</v>
      </c>
      <c r="W641" s="24" t="str">
        <f t="shared" si="5"/>
        <v>#DIV/0!</v>
      </c>
    </row>
    <row r="642" hidden="1">
      <c r="A642" s="15" t="s">
        <v>2048</v>
      </c>
      <c r="B642" s="18"/>
      <c r="C642" s="15" t="s">
        <v>7044</v>
      </c>
      <c r="D642" s="18"/>
      <c r="E642" s="17" t="s">
        <v>2049</v>
      </c>
      <c r="F642" s="18"/>
      <c r="G642" s="18"/>
      <c r="H642" s="15" t="s">
        <v>2050</v>
      </c>
      <c r="I642" s="15" t="s">
        <v>2051</v>
      </c>
      <c r="J642" s="19" t="s">
        <v>36</v>
      </c>
      <c r="K642" s="19" t="s">
        <v>1230</v>
      </c>
      <c r="L642" s="19" t="s">
        <v>38</v>
      </c>
      <c r="M642" s="20">
        <f t="shared" si="1"/>
        <v>0</v>
      </c>
      <c r="N642" s="22"/>
      <c r="O642" s="19" t="s">
        <v>1145</v>
      </c>
      <c r="P642" s="18"/>
      <c r="Q642" s="18"/>
      <c r="R642" s="23">
        <v>0.0</v>
      </c>
      <c r="S642" s="23">
        <v>0.0</v>
      </c>
      <c r="T642" s="23">
        <f t="shared" si="2"/>
        <v>0</v>
      </c>
      <c r="U642" s="23">
        <f t="shared" si="3"/>
        <v>0</v>
      </c>
      <c r="V642" s="23">
        <f t="shared" si="4"/>
        <v>0</v>
      </c>
      <c r="W642" s="24" t="str">
        <f t="shared" si="5"/>
        <v>#DIV/0!</v>
      </c>
    </row>
    <row r="643" hidden="1">
      <c r="A643" s="15" t="s">
        <v>2052</v>
      </c>
      <c r="B643" s="18"/>
      <c r="C643" s="15" t="s">
        <v>7045</v>
      </c>
      <c r="D643" s="18"/>
      <c r="E643" s="17" t="s">
        <v>2053</v>
      </c>
      <c r="F643" s="18"/>
      <c r="G643" s="18"/>
      <c r="H643" s="15" t="s">
        <v>2054</v>
      </c>
      <c r="I643" s="15" t="s">
        <v>2055</v>
      </c>
      <c r="J643" s="19" t="s">
        <v>36</v>
      </c>
      <c r="K643" s="19" t="s">
        <v>37</v>
      </c>
      <c r="L643" s="19" t="s">
        <v>38</v>
      </c>
      <c r="M643" s="20">
        <f t="shared" si="1"/>
        <v>0</v>
      </c>
      <c r="N643" s="22"/>
      <c r="O643" s="19" t="s">
        <v>1145</v>
      </c>
      <c r="P643" s="18"/>
      <c r="Q643" s="18"/>
      <c r="R643" s="23">
        <v>0.0</v>
      </c>
      <c r="S643" s="23">
        <v>0.0</v>
      </c>
      <c r="T643" s="23">
        <f t="shared" si="2"/>
        <v>0</v>
      </c>
      <c r="U643" s="23">
        <f t="shared" si="3"/>
        <v>0</v>
      </c>
      <c r="V643" s="23">
        <f t="shared" si="4"/>
        <v>0</v>
      </c>
      <c r="W643" s="24" t="str">
        <f t="shared" si="5"/>
        <v>#DIV/0!</v>
      </c>
    </row>
    <row r="644" hidden="1">
      <c r="A644" s="15" t="s">
        <v>2056</v>
      </c>
      <c r="B644" s="18"/>
      <c r="C644" s="15" t="s">
        <v>7046</v>
      </c>
      <c r="D644" s="18"/>
      <c r="E644" s="17" t="s">
        <v>2057</v>
      </c>
      <c r="F644" s="18"/>
      <c r="G644" s="18"/>
      <c r="H644" s="15" t="s">
        <v>2058</v>
      </c>
      <c r="I644" s="15" t="s">
        <v>2059</v>
      </c>
      <c r="J644" s="19" t="s">
        <v>36</v>
      </c>
      <c r="K644" s="19" t="s">
        <v>105</v>
      </c>
      <c r="L644" s="19" t="s">
        <v>38</v>
      </c>
      <c r="M644" s="20">
        <f t="shared" si="1"/>
        <v>0</v>
      </c>
      <c r="N644" s="22"/>
      <c r="O644" s="19" t="s">
        <v>1145</v>
      </c>
      <c r="P644" s="18"/>
      <c r="Q644" s="18"/>
      <c r="R644" s="23">
        <v>0.0</v>
      </c>
      <c r="S644" s="23">
        <v>0.0</v>
      </c>
      <c r="T644" s="23">
        <f t="shared" si="2"/>
        <v>0</v>
      </c>
      <c r="U644" s="23">
        <f t="shared" si="3"/>
        <v>0</v>
      </c>
      <c r="V644" s="23">
        <f t="shared" si="4"/>
        <v>0</v>
      </c>
      <c r="W644" s="24" t="str">
        <f t="shared" si="5"/>
        <v>#DIV/0!</v>
      </c>
    </row>
    <row r="645" hidden="1">
      <c r="A645" s="15" t="s">
        <v>7047</v>
      </c>
      <c r="B645" s="18"/>
      <c r="C645" s="15" t="s">
        <v>7048</v>
      </c>
      <c r="D645" s="18"/>
      <c r="E645" s="17" t="s">
        <v>7049</v>
      </c>
      <c r="F645" s="18"/>
      <c r="G645" s="18"/>
      <c r="H645" s="15" t="s">
        <v>7050</v>
      </c>
      <c r="I645" s="15" t="s">
        <v>4203</v>
      </c>
      <c r="J645" s="19" t="s">
        <v>36</v>
      </c>
      <c r="K645" s="19" t="s">
        <v>105</v>
      </c>
      <c r="L645" s="19" t="s">
        <v>38</v>
      </c>
      <c r="M645" s="20">
        <f t="shared" si="1"/>
        <v>0</v>
      </c>
      <c r="N645" s="22"/>
      <c r="O645" s="19" t="s">
        <v>39</v>
      </c>
      <c r="P645" s="18"/>
      <c r="Q645" s="18"/>
      <c r="R645" s="23">
        <v>0.0</v>
      </c>
      <c r="S645" s="23">
        <v>0.0</v>
      </c>
      <c r="T645" s="23">
        <f t="shared" si="2"/>
        <v>0</v>
      </c>
      <c r="U645" s="23">
        <f t="shared" si="3"/>
        <v>0</v>
      </c>
      <c r="V645" s="23">
        <f t="shared" si="4"/>
        <v>0</v>
      </c>
      <c r="W645" s="24" t="str">
        <f t="shared" si="5"/>
        <v>#DIV/0!</v>
      </c>
    </row>
    <row r="646" hidden="1">
      <c r="A646" s="15" t="s">
        <v>2060</v>
      </c>
      <c r="B646" s="18"/>
      <c r="C646" s="15" t="s">
        <v>7051</v>
      </c>
      <c r="D646" s="18"/>
      <c r="E646" s="17" t="s">
        <v>2061</v>
      </c>
      <c r="F646" s="18"/>
      <c r="G646" s="18"/>
      <c r="H646" s="15" t="s">
        <v>2062</v>
      </c>
      <c r="I646" s="15" t="s">
        <v>2063</v>
      </c>
      <c r="J646" s="19" t="s">
        <v>36</v>
      </c>
      <c r="K646" s="19" t="s">
        <v>105</v>
      </c>
      <c r="L646" s="19" t="s">
        <v>38</v>
      </c>
      <c r="M646" s="20">
        <f t="shared" si="1"/>
        <v>0</v>
      </c>
      <c r="N646" s="22"/>
      <c r="O646" s="19" t="s">
        <v>1145</v>
      </c>
      <c r="P646" s="18"/>
      <c r="Q646" s="18"/>
      <c r="R646" s="23">
        <v>0.0</v>
      </c>
      <c r="S646" s="23">
        <v>0.0</v>
      </c>
      <c r="T646" s="23">
        <f t="shared" si="2"/>
        <v>0</v>
      </c>
      <c r="U646" s="23">
        <f t="shared" si="3"/>
        <v>0</v>
      </c>
      <c r="V646" s="23">
        <f t="shared" si="4"/>
        <v>0</v>
      </c>
      <c r="W646" s="24" t="str">
        <f t="shared" si="5"/>
        <v>#DIV/0!</v>
      </c>
    </row>
    <row r="647" hidden="1">
      <c r="A647" s="15" t="s">
        <v>2064</v>
      </c>
      <c r="B647" s="18"/>
      <c r="C647" s="15" t="s">
        <v>7052</v>
      </c>
      <c r="D647" s="18"/>
      <c r="E647" s="17" t="s">
        <v>2065</v>
      </c>
      <c r="F647" s="18"/>
      <c r="G647" s="18"/>
      <c r="H647" s="15" t="s">
        <v>2066</v>
      </c>
      <c r="I647" s="15" t="s">
        <v>2067</v>
      </c>
      <c r="J647" s="19" t="s">
        <v>36</v>
      </c>
      <c r="K647" s="19" t="s">
        <v>402</v>
      </c>
      <c r="L647" s="19" t="s">
        <v>38</v>
      </c>
      <c r="M647" s="20">
        <f t="shared" si="1"/>
        <v>0</v>
      </c>
      <c r="N647" s="22"/>
      <c r="O647" s="19" t="s">
        <v>1145</v>
      </c>
      <c r="P647" s="18"/>
      <c r="Q647" s="18"/>
      <c r="R647" s="23">
        <v>0.0</v>
      </c>
      <c r="S647" s="23">
        <v>0.0</v>
      </c>
      <c r="T647" s="23">
        <f t="shared" si="2"/>
        <v>0</v>
      </c>
      <c r="U647" s="23">
        <f t="shared" si="3"/>
        <v>0</v>
      </c>
      <c r="V647" s="23">
        <f t="shared" si="4"/>
        <v>0</v>
      </c>
      <c r="W647" s="24" t="str">
        <f t="shared" si="5"/>
        <v>#DIV/0!</v>
      </c>
    </row>
    <row r="648" hidden="1">
      <c r="A648" s="15" t="s">
        <v>2068</v>
      </c>
      <c r="B648" s="18"/>
      <c r="C648" s="15" t="s">
        <v>7053</v>
      </c>
      <c r="D648" s="18"/>
      <c r="E648" s="17" t="s">
        <v>2069</v>
      </c>
      <c r="F648" s="18"/>
      <c r="G648" s="18"/>
      <c r="H648" s="15" t="s">
        <v>2070</v>
      </c>
      <c r="I648" s="15" t="s">
        <v>2071</v>
      </c>
      <c r="J648" s="19" t="s">
        <v>36</v>
      </c>
      <c r="K648" s="19" t="s">
        <v>402</v>
      </c>
      <c r="L648" s="19" t="s">
        <v>38</v>
      </c>
      <c r="M648" s="20">
        <f t="shared" si="1"/>
        <v>0</v>
      </c>
      <c r="N648" s="22"/>
      <c r="O648" s="19" t="s">
        <v>1145</v>
      </c>
      <c r="P648" s="18"/>
      <c r="Q648" s="18"/>
      <c r="R648" s="23">
        <v>0.0</v>
      </c>
      <c r="S648" s="23">
        <v>0.0</v>
      </c>
      <c r="T648" s="23">
        <f t="shared" si="2"/>
        <v>0</v>
      </c>
      <c r="U648" s="23">
        <f t="shared" si="3"/>
        <v>0</v>
      </c>
      <c r="V648" s="23">
        <f t="shared" si="4"/>
        <v>0</v>
      </c>
      <c r="W648" s="24" t="str">
        <f t="shared" si="5"/>
        <v>#DIV/0!</v>
      </c>
    </row>
    <row r="649" hidden="1">
      <c r="A649" s="15" t="s">
        <v>2072</v>
      </c>
      <c r="B649" s="18"/>
      <c r="C649" s="15" t="s">
        <v>7054</v>
      </c>
      <c r="D649" s="18"/>
      <c r="E649" s="17" t="s">
        <v>2073</v>
      </c>
      <c r="F649" s="18"/>
      <c r="G649" s="18"/>
      <c r="H649" s="15" t="s">
        <v>2074</v>
      </c>
      <c r="I649" s="15" t="s">
        <v>2075</v>
      </c>
      <c r="J649" s="19" t="s">
        <v>36</v>
      </c>
      <c r="K649" s="19" t="s">
        <v>402</v>
      </c>
      <c r="L649" s="19" t="s">
        <v>38</v>
      </c>
      <c r="M649" s="20">
        <f t="shared" si="1"/>
        <v>0</v>
      </c>
      <c r="N649" s="22"/>
      <c r="O649" s="19" t="s">
        <v>1145</v>
      </c>
      <c r="P649" s="18"/>
      <c r="Q649" s="18"/>
      <c r="R649" s="23">
        <v>0.0</v>
      </c>
      <c r="S649" s="23">
        <v>0.0</v>
      </c>
      <c r="T649" s="23">
        <f t="shared" si="2"/>
        <v>0</v>
      </c>
      <c r="U649" s="23">
        <f t="shared" si="3"/>
        <v>0</v>
      </c>
      <c r="V649" s="23">
        <f t="shared" si="4"/>
        <v>0</v>
      </c>
      <c r="W649" s="24" t="str">
        <f t="shared" si="5"/>
        <v>#DIV/0!</v>
      </c>
    </row>
    <row r="650" hidden="1">
      <c r="A650" s="15" t="s">
        <v>2076</v>
      </c>
      <c r="B650" s="18"/>
      <c r="C650" s="15" t="s">
        <v>7055</v>
      </c>
      <c r="D650" s="18"/>
      <c r="E650" s="17" t="s">
        <v>2077</v>
      </c>
      <c r="F650" s="18"/>
      <c r="G650" s="18"/>
      <c r="H650" s="15" t="s">
        <v>2078</v>
      </c>
      <c r="I650" s="15" t="s">
        <v>2079</v>
      </c>
      <c r="J650" s="19" t="s">
        <v>36</v>
      </c>
      <c r="K650" s="19" t="s">
        <v>402</v>
      </c>
      <c r="L650" s="19" t="s">
        <v>38</v>
      </c>
      <c r="M650" s="20">
        <f t="shared" si="1"/>
        <v>0</v>
      </c>
      <c r="N650" s="22"/>
      <c r="O650" s="19" t="s">
        <v>1145</v>
      </c>
      <c r="P650" s="18"/>
      <c r="Q650" s="18"/>
      <c r="R650" s="23">
        <v>0.0</v>
      </c>
      <c r="S650" s="23">
        <v>0.0</v>
      </c>
      <c r="T650" s="23">
        <f t="shared" si="2"/>
        <v>0</v>
      </c>
      <c r="U650" s="23">
        <f t="shared" si="3"/>
        <v>0</v>
      </c>
      <c r="V650" s="23">
        <f t="shared" si="4"/>
        <v>0</v>
      </c>
      <c r="W650" s="24" t="str">
        <f t="shared" si="5"/>
        <v>#DIV/0!</v>
      </c>
    </row>
    <row r="651" hidden="1">
      <c r="A651" s="15" t="s">
        <v>2080</v>
      </c>
      <c r="B651" s="18"/>
      <c r="C651" s="15" t="s">
        <v>7056</v>
      </c>
      <c r="D651" s="18"/>
      <c r="E651" s="17" t="s">
        <v>2081</v>
      </c>
      <c r="F651" s="18"/>
      <c r="G651" s="18"/>
      <c r="H651" s="15" t="s">
        <v>2082</v>
      </c>
      <c r="I651" s="15" t="s">
        <v>2083</v>
      </c>
      <c r="J651" s="19" t="s">
        <v>36</v>
      </c>
      <c r="K651" s="19" t="s">
        <v>105</v>
      </c>
      <c r="L651" s="19" t="s">
        <v>38</v>
      </c>
      <c r="M651" s="20">
        <f t="shared" si="1"/>
        <v>0</v>
      </c>
      <c r="N651" s="22"/>
      <c r="O651" s="19" t="s">
        <v>1145</v>
      </c>
      <c r="P651" s="18"/>
      <c r="Q651" s="18"/>
      <c r="R651" s="23">
        <v>0.0</v>
      </c>
      <c r="S651" s="23">
        <v>0.0</v>
      </c>
      <c r="T651" s="23">
        <f t="shared" si="2"/>
        <v>0</v>
      </c>
      <c r="U651" s="23">
        <f t="shared" si="3"/>
        <v>0</v>
      </c>
      <c r="V651" s="23">
        <f t="shared" si="4"/>
        <v>0</v>
      </c>
      <c r="W651" s="24" t="str">
        <f t="shared" si="5"/>
        <v>#DIV/0!</v>
      </c>
    </row>
    <row r="652" hidden="1">
      <c r="A652" s="15" t="s">
        <v>2084</v>
      </c>
      <c r="B652" s="18"/>
      <c r="C652" s="15" t="s">
        <v>7057</v>
      </c>
      <c r="D652" s="18"/>
      <c r="E652" s="17" t="s">
        <v>2085</v>
      </c>
      <c r="F652" s="18"/>
      <c r="G652" s="18"/>
      <c r="H652" s="15" t="s">
        <v>2086</v>
      </c>
      <c r="I652" s="15" t="s">
        <v>2087</v>
      </c>
      <c r="J652" s="19" t="s">
        <v>36</v>
      </c>
      <c r="K652" s="19" t="s">
        <v>284</v>
      </c>
      <c r="L652" s="19" t="s">
        <v>38</v>
      </c>
      <c r="M652" s="20">
        <f t="shared" si="1"/>
        <v>0</v>
      </c>
      <c r="N652" s="22"/>
      <c r="O652" s="19" t="s">
        <v>1145</v>
      </c>
      <c r="P652" s="18"/>
      <c r="Q652" s="18"/>
      <c r="R652" s="23">
        <v>0.0</v>
      </c>
      <c r="S652" s="23">
        <v>0.0</v>
      </c>
      <c r="T652" s="23">
        <f t="shared" si="2"/>
        <v>0</v>
      </c>
      <c r="U652" s="23">
        <f t="shared" si="3"/>
        <v>0</v>
      </c>
      <c r="V652" s="23">
        <f t="shared" si="4"/>
        <v>0</v>
      </c>
      <c r="W652" s="24" t="str">
        <f t="shared" si="5"/>
        <v>#DIV/0!</v>
      </c>
    </row>
    <row r="653" hidden="1">
      <c r="A653" s="15" t="s">
        <v>4753</v>
      </c>
      <c r="B653" s="18"/>
      <c r="C653" s="15" t="s">
        <v>7058</v>
      </c>
      <c r="D653" s="18"/>
      <c r="E653" s="17" t="s">
        <v>7059</v>
      </c>
      <c r="F653" s="18"/>
      <c r="G653" s="18"/>
      <c r="H653" s="15" t="s">
        <v>4757</v>
      </c>
      <c r="I653" s="15" t="s">
        <v>7060</v>
      </c>
      <c r="J653" s="19" t="s">
        <v>36</v>
      </c>
      <c r="K653" s="19" t="s">
        <v>105</v>
      </c>
      <c r="L653" s="19" t="s">
        <v>38</v>
      </c>
      <c r="M653" s="20">
        <f t="shared" si="1"/>
        <v>0</v>
      </c>
      <c r="N653" s="22"/>
      <c r="O653" s="19" t="s">
        <v>1145</v>
      </c>
      <c r="P653" s="18"/>
      <c r="Q653" s="18"/>
      <c r="R653" s="23">
        <v>0.0</v>
      </c>
      <c r="S653" s="23">
        <v>0.0</v>
      </c>
      <c r="T653" s="23">
        <f t="shared" si="2"/>
        <v>0</v>
      </c>
      <c r="U653" s="23">
        <f t="shared" si="3"/>
        <v>0</v>
      </c>
      <c r="V653" s="23">
        <f t="shared" si="4"/>
        <v>0</v>
      </c>
      <c r="W653" s="24" t="str">
        <f t="shared" si="5"/>
        <v>#DIV/0!</v>
      </c>
    </row>
    <row r="654" hidden="1">
      <c r="A654" s="15" t="s">
        <v>4758</v>
      </c>
      <c r="B654" s="18"/>
      <c r="C654" s="15" t="s">
        <v>7061</v>
      </c>
      <c r="D654" s="18"/>
      <c r="E654" s="17" t="s">
        <v>7062</v>
      </c>
      <c r="F654" s="18"/>
      <c r="G654" s="18"/>
      <c r="H654" s="15" t="s">
        <v>4762</v>
      </c>
      <c r="I654" s="15" t="s">
        <v>4761</v>
      </c>
      <c r="J654" s="19" t="s">
        <v>36</v>
      </c>
      <c r="K654" s="19" t="s">
        <v>105</v>
      </c>
      <c r="L654" s="19" t="s">
        <v>38</v>
      </c>
      <c r="M654" s="20">
        <f t="shared" si="1"/>
        <v>0</v>
      </c>
      <c r="N654" s="22"/>
      <c r="O654" s="19" t="s">
        <v>1145</v>
      </c>
      <c r="P654" s="18"/>
      <c r="Q654" s="18"/>
      <c r="R654" s="23">
        <v>0.0</v>
      </c>
      <c r="S654" s="23">
        <v>0.0</v>
      </c>
      <c r="T654" s="23">
        <f t="shared" si="2"/>
        <v>0</v>
      </c>
      <c r="U654" s="23">
        <f t="shared" si="3"/>
        <v>0</v>
      </c>
      <c r="V654" s="23">
        <f t="shared" si="4"/>
        <v>0</v>
      </c>
      <c r="W654" s="24" t="str">
        <f t="shared" si="5"/>
        <v>#DIV/0!</v>
      </c>
    </row>
    <row r="655" hidden="1">
      <c r="A655" s="15" t="s">
        <v>4763</v>
      </c>
      <c r="B655" s="18"/>
      <c r="C655" s="15" t="s">
        <v>7063</v>
      </c>
      <c r="D655" s="18"/>
      <c r="E655" s="17" t="s">
        <v>7064</v>
      </c>
      <c r="F655" s="18"/>
      <c r="G655" s="18"/>
      <c r="H655" s="15" t="s">
        <v>4767</v>
      </c>
      <c r="I655" s="15" t="s">
        <v>4766</v>
      </c>
      <c r="J655" s="19" t="s">
        <v>36</v>
      </c>
      <c r="K655" s="19" t="s">
        <v>105</v>
      </c>
      <c r="L655" s="19" t="s">
        <v>38</v>
      </c>
      <c r="M655" s="20">
        <f t="shared" si="1"/>
        <v>0</v>
      </c>
      <c r="N655" s="22"/>
      <c r="O655" s="19" t="s">
        <v>1145</v>
      </c>
      <c r="P655" s="18"/>
      <c r="Q655" s="18"/>
      <c r="R655" s="23">
        <v>0.0</v>
      </c>
      <c r="S655" s="23">
        <v>0.0</v>
      </c>
      <c r="T655" s="23">
        <f t="shared" si="2"/>
        <v>0</v>
      </c>
      <c r="U655" s="23">
        <f t="shared" si="3"/>
        <v>0</v>
      </c>
      <c r="V655" s="23">
        <f t="shared" si="4"/>
        <v>0</v>
      </c>
      <c r="W655" s="24" t="str">
        <f t="shared" si="5"/>
        <v>#DIV/0!</v>
      </c>
    </row>
    <row r="656" hidden="1">
      <c r="A656" s="15" t="s">
        <v>4768</v>
      </c>
      <c r="B656" s="18"/>
      <c r="C656" s="15" t="s">
        <v>7065</v>
      </c>
      <c r="D656" s="18"/>
      <c r="E656" s="17" t="s">
        <v>7066</v>
      </c>
      <c r="F656" s="18"/>
      <c r="G656" s="18"/>
      <c r="H656" s="15" t="s">
        <v>4772</v>
      </c>
      <c r="I656" s="15" t="s">
        <v>4771</v>
      </c>
      <c r="J656" s="19" t="s">
        <v>36</v>
      </c>
      <c r="K656" s="19" t="s">
        <v>105</v>
      </c>
      <c r="L656" s="19" t="s">
        <v>38</v>
      </c>
      <c r="M656" s="20">
        <f t="shared" si="1"/>
        <v>0</v>
      </c>
      <c r="N656" s="22"/>
      <c r="O656" s="19" t="s">
        <v>1145</v>
      </c>
      <c r="P656" s="18"/>
      <c r="Q656" s="18"/>
      <c r="R656" s="23">
        <v>0.0</v>
      </c>
      <c r="S656" s="23">
        <v>0.0</v>
      </c>
      <c r="T656" s="23">
        <f t="shared" si="2"/>
        <v>0</v>
      </c>
      <c r="U656" s="23">
        <f t="shared" si="3"/>
        <v>0</v>
      </c>
      <c r="V656" s="23">
        <f t="shared" si="4"/>
        <v>0</v>
      </c>
      <c r="W656" s="24" t="str">
        <f t="shared" si="5"/>
        <v>#DIV/0!</v>
      </c>
    </row>
    <row r="657" hidden="1">
      <c r="A657" s="15" t="s">
        <v>4773</v>
      </c>
      <c r="B657" s="18"/>
      <c r="C657" s="15" t="s">
        <v>7067</v>
      </c>
      <c r="D657" s="18"/>
      <c r="E657" s="17" t="s">
        <v>7068</v>
      </c>
      <c r="F657" s="18"/>
      <c r="G657" s="18"/>
      <c r="H657" s="15" t="s">
        <v>4777</v>
      </c>
      <c r="I657" s="15" t="s">
        <v>4776</v>
      </c>
      <c r="J657" s="19" t="s">
        <v>36</v>
      </c>
      <c r="K657" s="19" t="s">
        <v>105</v>
      </c>
      <c r="L657" s="19" t="s">
        <v>38</v>
      </c>
      <c r="M657" s="20">
        <f t="shared" si="1"/>
        <v>0</v>
      </c>
      <c r="N657" s="22"/>
      <c r="O657" s="19" t="s">
        <v>1145</v>
      </c>
      <c r="P657" s="18"/>
      <c r="Q657" s="18"/>
      <c r="R657" s="23">
        <v>0.0</v>
      </c>
      <c r="S657" s="23">
        <v>0.0</v>
      </c>
      <c r="T657" s="23">
        <f t="shared" si="2"/>
        <v>0</v>
      </c>
      <c r="U657" s="23">
        <f t="shared" si="3"/>
        <v>0</v>
      </c>
      <c r="V657" s="23">
        <f t="shared" si="4"/>
        <v>0</v>
      </c>
      <c r="W657" s="24" t="str">
        <f t="shared" si="5"/>
        <v>#DIV/0!</v>
      </c>
    </row>
    <row r="658" hidden="1">
      <c r="A658" s="15" t="s">
        <v>7069</v>
      </c>
      <c r="B658" s="18"/>
      <c r="C658" s="15" t="s">
        <v>7070</v>
      </c>
      <c r="D658" s="18"/>
      <c r="E658" s="17" t="s">
        <v>7071</v>
      </c>
      <c r="F658" s="18"/>
      <c r="G658" s="18"/>
      <c r="H658" s="15" t="s">
        <v>7072</v>
      </c>
      <c r="I658" s="15" t="s">
        <v>4235</v>
      </c>
      <c r="J658" s="19" t="s">
        <v>36</v>
      </c>
      <c r="K658" s="19" t="s">
        <v>105</v>
      </c>
      <c r="L658" s="19" t="s">
        <v>38</v>
      </c>
      <c r="M658" s="20">
        <f t="shared" si="1"/>
        <v>0</v>
      </c>
      <c r="N658" s="22"/>
      <c r="O658" s="19" t="s">
        <v>39</v>
      </c>
      <c r="P658" s="18"/>
      <c r="Q658" s="18"/>
      <c r="R658" s="23">
        <v>0.0</v>
      </c>
      <c r="S658" s="23">
        <v>0.0</v>
      </c>
      <c r="T658" s="23">
        <f t="shared" si="2"/>
        <v>0</v>
      </c>
      <c r="U658" s="23">
        <f t="shared" si="3"/>
        <v>0</v>
      </c>
      <c r="V658" s="23">
        <f t="shared" si="4"/>
        <v>0</v>
      </c>
      <c r="W658" s="24" t="str">
        <f t="shared" si="5"/>
        <v>#DIV/0!</v>
      </c>
    </row>
    <row r="659" hidden="1">
      <c r="A659" s="15" t="s">
        <v>4778</v>
      </c>
      <c r="B659" s="18"/>
      <c r="C659" s="15" t="s">
        <v>7073</v>
      </c>
      <c r="D659" s="18"/>
      <c r="E659" s="17" t="s">
        <v>7074</v>
      </c>
      <c r="F659" s="18"/>
      <c r="G659" s="18"/>
      <c r="H659" s="15" t="s">
        <v>7075</v>
      </c>
      <c r="I659" s="15" t="s">
        <v>7076</v>
      </c>
      <c r="J659" s="19" t="s">
        <v>36</v>
      </c>
      <c r="K659" s="19" t="s">
        <v>105</v>
      </c>
      <c r="L659" s="19" t="s">
        <v>38</v>
      </c>
      <c r="M659" s="20">
        <f t="shared" si="1"/>
        <v>0</v>
      </c>
      <c r="N659" s="22"/>
      <c r="O659" s="19" t="s">
        <v>1145</v>
      </c>
      <c r="P659" s="18"/>
      <c r="Q659" s="18"/>
      <c r="R659" s="23">
        <v>0.0</v>
      </c>
      <c r="S659" s="23">
        <v>0.0</v>
      </c>
      <c r="T659" s="23">
        <f t="shared" si="2"/>
        <v>0</v>
      </c>
      <c r="U659" s="23">
        <f t="shared" si="3"/>
        <v>0</v>
      </c>
      <c r="V659" s="23">
        <f t="shared" si="4"/>
        <v>0</v>
      </c>
      <c r="W659" s="24" t="str">
        <f t="shared" si="5"/>
        <v>#DIV/0!</v>
      </c>
    </row>
    <row r="660" hidden="1">
      <c r="A660" s="15" t="s">
        <v>4782</v>
      </c>
      <c r="B660" s="18"/>
      <c r="C660" s="15" t="s">
        <v>7077</v>
      </c>
      <c r="D660" s="18"/>
      <c r="E660" s="17" t="s">
        <v>7078</v>
      </c>
      <c r="F660" s="18"/>
      <c r="G660" s="18"/>
      <c r="H660" s="15" t="s">
        <v>4786</v>
      </c>
      <c r="I660" s="15" t="s">
        <v>4785</v>
      </c>
      <c r="J660" s="19" t="s">
        <v>36</v>
      </c>
      <c r="K660" s="19" t="s">
        <v>105</v>
      </c>
      <c r="L660" s="19" t="s">
        <v>38</v>
      </c>
      <c r="M660" s="20">
        <f t="shared" si="1"/>
        <v>0</v>
      </c>
      <c r="N660" s="22"/>
      <c r="O660" s="19" t="s">
        <v>1145</v>
      </c>
      <c r="P660" s="18"/>
      <c r="Q660" s="18"/>
      <c r="R660" s="23">
        <v>0.0</v>
      </c>
      <c r="S660" s="23">
        <v>0.0</v>
      </c>
      <c r="T660" s="23">
        <f t="shared" si="2"/>
        <v>0</v>
      </c>
      <c r="U660" s="23">
        <f t="shared" si="3"/>
        <v>0</v>
      </c>
      <c r="V660" s="23">
        <f t="shared" si="4"/>
        <v>0</v>
      </c>
      <c r="W660" s="24" t="str">
        <f t="shared" si="5"/>
        <v>#DIV/0!</v>
      </c>
    </row>
    <row r="661" hidden="1">
      <c r="A661" s="15" t="s">
        <v>2088</v>
      </c>
      <c r="B661" s="18"/>
      <c r="C661" s="15" t="s">
        <v>7079</v>
      </c>
      <c r="D661" s="18"/>
      <c r="E661" s="17" t="s">
        <v>2089</v>
      </c>
      <c r="F661" s="18"/>
      <c r="G661" s="18"/>
      <c r="H661" s="15" t="s">
        <v>2090</v>
      </c>
      <c r="I661" s="15" t="s">
        <v>2091</v>
      </c>
      <c r="J661" s="19" t="s">
        <v>36</v>
      </c>
      <c r="K661" s="19" t="s">
        <v>105</v>
      </c>
      <c r="L661" s="19" t="s">
        <v>38</v>
      </c>
      <c r="M661" s="20">
        <f t="shared" si="1"/>
        <v>0</v>
      </c>
      <c r="N661" s="22"/>
      <c r="O661" s="19" t="s">
        <v>1145</v>
      </c>
      <c r="P661" s="18"/>
      <c r="Q661" s="18"/>
      <c r="R661" s="23">
        <v>0.0</v>
      </c>
      <c r="S661" s="23">
        <v>0.0</v>
      </c>
      <c r="T661" s="23">
        <f t="shared" si="2"/>
        <v>0</v>
      </c>
      <c r="U661" s="23">
        <f t="shared" si="3"/>
        <v>0</v>
      </c>
      <c r="V661" s="23">
        <f t="shared" si="4"/>
        <v>0</v>
      </c>
      <c r="W661" s="24" t="str">
        <f t="shared" si="5"/>
        <v>#DIV/0!</v>
      </c>
    </row>
    <row r="662" hidden="1">
      <c r="A662" s="15" t="s">
        <v>2092</v>
      </c>
      <c r="B662" s="18"/>
      <c r="C662" s="15" t="s">
        <v>7080</v>
      </c>
      <c r="D662" s="18"/>
      <c r="E662" s="17" t="s">
        <v>2093</v>
      </c>
      <c r="F662" s="18"/>
      <c r="G662" s="18"/>
      <c r="H662" s="15" t="s">
        <v>2094</v>
      </c>
      <c r="I662" s="15" t="s">
        <v>2095</v>
      </c>
      <c r="J662" s="19" t="s">
        <v>36</v>
      </c>
      <c r="K662" s="19" t="s">
        <v>105</v>
      </c>
      <c r="L662" s="19" t="s">
        <v>38</v>
      </c>
      <c r="M662" s="20">
        <f t="shared" si="1"/>
        <v>0</v>
      </c>
      <c r="N662" s="22"/>
      <c r="O662" s="19" t="s">
        <v>1145</v>
      </c>
      <c r="P662" s="18"/>
      <c r="Q662" s="18"/>
      <c r="R662" s="23">
        <v>0.0</v>
      </c>
      <c r="S662" s="23">
        <v>0.0</v>
      </c>
      <c r="T662" s="23">
        <f t="shared" si="2"/>
        <v>0</v>
      </c>
      <c r="U662" s="23">
        <f t="shared" si="3"/>
        <v>0</v>
      </c>
      <c r="V662" s="23">
        <f t="shared" si="4"/>
        <v>0</v>
      </c>
      <c r="W662" s="24" t="str">
        <f t="shared" si="5"/>
        <v>#DIV/0!</v>
      </c>
    </row>
    <row r="663" hidden="1">
      <c r="A663" s="15" t="s">
        <v>2096</v>
      </c>
      <c r="B663" s="18"/>
      <c r="C663" s="15" t="s">
        <v>7081</v>
      </c>
      <c r="D663" s="18"/>
      <c r="E663" s="17" t="s">
        <v>2097</v>
      </c>
      <c r="F663" s="18"/>
      <c r="G663" s="18"/>
      <c r="H663" s="15" t="s">
        <v>2098</v>
      </c>
      <c r="I663" s="15" t="s">
        <v>2099</v>
      </c>
      <c r="J663" s="19" t="s">
        <v>36</v>
      </c>
      <c r="K663" s="19" t="s">
        <v>105</v>
      </c>
      <c r="L663" s="19" t="s">
        <v>38</v>
      </c>
      <c r="M663" s="20">
        <f t="shared" si="1"/>
        <v>0</v>
      </c>
      <c r="N663" s="22"/>
      <c r="O663" s="19" t="s">
        <v>1145</v>
      </c>
      <c r="P663" s="18"/>
      <c r="Q663" s="18"/>
      <c r="R663" s="23">
        <v>0.0</v>
      </c>
      <c r="S663" s="23">
        <v>0.0</v>
      </c>
      <c r="T663" s="23">
        <f t="shared" si="2"/>
        <v>0</v>
      </c>
      <c r="U663" s="23">
        <f t="shared" si="3"/>
        <v>0</v>
      </c>
      <c r="V663" s="23">
        <f t="shared" si="4"/>
        <v>0</v>
      </c>
      <c r="W663" s="24" t="str">
        <f t="shared" si="5"/>
        <v>#DIV/0!</v>
      </c>
    </row>
    <row r="664" hidden="1">
      <c r="A664" s="15" t="s">
        <v>2100</v>
      </c>
      <c r="B664" s="18"/>
      <c r="C664" s="15" t="s">
        <v>7082</v>
      </c>
      <c r="D664" s="18"/>
      <c r="E664" s="17" t="s">
        <v>2101</v>
      </c>
      <c r="F664" s="18"/>
      <c r="G664" s="18"/>
      <c r="H664" s="15" t="s">
        <v>2102</v>
      </c>
      <c r="I664" s="15" t="s">
        <v>2103</v>
      </c>
      <c r="J664" s="19" t="s">
        <v>36</v>
      </c>
      <c r="K664" s="19" t="s">
        <v>105</v>
      </c>
      <c r="L664" s="19" t="s">
        <v>38</v>
      </c>
      <c r="M664" s="20">
        <f t="shared" si="1"/>
        <v>0</v>
      </c>
      <c r="N664" s="22"/>
      <c r="O664" s="19" t="s">
        <v>1145</v>
      </c>
      <c r="P664" s="18"/>
      <c r="Q664" s="18"/>
      <c r="R664" s="23">
        <v>0.0</v>
      </c>
      <c r="S664" s="23">
        <v>0.0</v>
      </c>
      <c r="T664" s="23">
        <f t="shared" si="2"/>
        <v>0</v>
      </c>
      <c r="U664" s="23">
        <f t="shared" si="3"/>
        <v>0</v>
      </c>
      <c r="V664" s="23">
        <f t="shared" si="4"/>
        <v>0</v>
      </c>
      <c r="W664" s="24" t="str">
        <f t="shared" si="5"/>
        <v>#DIV/0!</v>
      </c>
    </row>
    <row r="665" hidden="1">
      <c r="A665" s="15" t="s">
        <v>2104</v>
      </c>
      <c r="B665" s="18"/>
      <c r="C665" s="15" t="s">
        <v>7083</v>
      </c>
      <c r="D665" s="18"/>
      <c r="E665" s="17" t="s">
        <v>2105</v>
      </c>
      <c r="F665" s="18"/>
      <c r="G665" s="18"/>
      <c r="H665" s="15" t="s">
        <v>2106</v>
      </c>
      <c r="I665" s="15" t="s">
        <v>2107</v>
      </c>
      <c r="J665" s="19" t="s">
        <v>36</v>
      </c>
      <c r="K665" s="19" t="s">
        <v>105</v>
      </c>
      <c r="L665" s="19" t="s">
        <v>38</v>
      </c>
      <c r="M665" s="20">
        <f t="shared" si="1"/>
        <v>0</v>
      </c>
      <c r="N665" s="22"/>
      <c r="O665" s="19" t="s">
        <v>1145</v>
      </c>
      <c r="P665" s="18"/>
      <c r="Q665" s="18"/>
      <c r="R665" s="23">
        <v>0.0</v>
      </c>
      <c r="S665" s="23">
        <v>0.0</v>
      </c>
      <c r="T665" s="23">
        <f t="shared" si="2"/>
        <v>0</v>
      </c>
      <c r="U665" s="23">
        <f t="shared" si="3"/>
        <v>0</v>
      </c>
      <c r="V665" s="23">
        <f t="shared" si="4"/>
        <v>0</v>
      </c>
      <c r="W665" s="24" t="str">
        <f t="shared" si="5"/>
        <v>#DIV/0!</v>
      </c>
    </row>
    <row r="666" hidden="1">
      <c r="A666" s="15" t="s">
        <v>7084</v>
      </c>
      <c r="B666" s="18"/>
      <c r="C666" s="15" t="s">
        <v>7085</v>
      </c>
      <c r="D666" s="18"/>
      <c r="E666" s="17" t="s">
        <v>7086</v>
      </c>
      <c r="F666" s="18"/>
      <c r="G666" s="18"/>
      <c r="H666" s="15" t="s">
        <v>7087</v>
      </c>
      <c r="I666" s="15" t="s">
        <v>7088</v>
      </c>
      <c r="J666" s="19" t="s">
        <v>36</v>
      </c>
      <c r="K666" s="19" t="s">
        <v>105</v>
      </c>
      <c r="L666" s="19" t="s">
        <v>38</v>
      </c>
      <c r="M666" s="20">
        <f t="shared" si="1"/>
        <v>0</v>
      </c>
      <c r="N666" s="22"/>
      <c r="O666" s="19" t="s">
        <v>1145</v>
      </c>
      <c r="P666" s="18"/>
      <c r="Q666" s="18"/>
      <c r="R666" s="23">
        <v>0.0</v>
      </c>
      <c r="S666" s="23">
        <v>0.0</v>
      </c>
      <c r="T666" s="23">
        <f t="shared" si="2"/>
        <v>0</v>
      </c>
      <c r="U666" s="23">
        <f t="shared" si="3"/>
        <v>0</v>
      </c>
      <c r="V666" s="23">
        <f t="shared" si="4"/>
        <v>0</v>
      </c>
      <c r="W666" s="24" t="str">
        <f t="shared" si="5"/>
        <v>#DIV/0!</v>
      </c>
    </row>
    <row r="667" hidden="1">
      <c r="A667" s="15" t="s">
        <v>2108</v>
      </c>
      <c r="B667" s="18"/>
      <c r="C667" s="15" t="s">
        <v>7089</v>
      </c>
      <c r="D667" s="18"/>
      <c r="E667" s="17" t="s">
        <v>2109</v>
      </c>
      <c r="F667" s="18"/>
      <c r="G667" s="18"/>
      <c r="H667" s="15" t="s">
        <v>2110</v>
      </c>
      <c r="I667" s="15" t="s">
        <v>2111</v>
      </c>
      <c r="J667" s="19" t="s">
        <v>36</v>
      </c>
      <c r="K667" s="19" t="s">
        <v>105</v>
      </c>
      <c r="L667" s="19" t="s">
        <v>38</v>
      </c>
      <c r="M667" s="20">
        <f t="shared" si="1"/>
        <v>0</v>
      </c>
      <c r="N667" s="22"/>
      <c r="O667" s="19" t="s">
        <v>1145</v>
      </c>
      <c r="P667" s="18"/>
      <c r="Q667" s="18"/>
      <c r="R667" s="23">
        <v>0.0</v>
      </c>
      <c r="S667" s="23">
        <v>0.0</v>
      </c>
      <c r="T667" s="23">
        <f t="shared" si="2"/>
        <v>0</v>
      </c>
      <c r="U667" s="23">
        <f t="shared" si="3"/>
        <v>0</v>
      </c>
      <c r="V667" s="23">
        <f t="shared" si="4"/>
        <v>0</v>
      </c>
      <c r="W667" s="24" t="str">
        <f t="shared" si="5"/>
        <v>#DIV/0!</v>
      </c>
    </row>
    <row r="668" hidden="1">
      <c r="A668" s="15" t="s">
        <v>2112</v>
      </c>
      <c r="B668" s="18"/>
      <c r="C668" s="15" t="s">
        <v>7090</v>
      </c>
      <c r="D668" s="18"/>
      <c r="E668" s="17" t="s">
        <v>2113</v>
      </c>
      <c r="F668" s="18"/>
      <c r="G668" s="18"/>
      <c r="H668" s="15" t="s">
        <v>2114</v>
      </c>
      <c r="I668" s="15" t="s">
        <v>2115</v>
      </c>
      <c r="J668" s="19" t="s">
        <v>36</v>
      </c>
      <c r="K668" s="19" t="s">
        <v>105</v>
      </c>
      <c r="L668" s="19" t="s">
        <v>38</v>
      </c>
      <c r="M668" s="20">
        <f t="shared" si="1"/>
        <v>0</v>
      </c>
      <c r="N668" s="22"/>
      <c r="O668" s="19" t="s">
        <v>1145</v>
      </c>
      <c r="P668" s="18"/>
      <c r="Q668" s="18"/>
      <c r="R668" s="23">
        <v>0.0</v>
      </c>
      <c r="S668" s="23">
        <v>0.0</v>
      </c>
      <c r="T668" s="23">
        <f t="shared" si="2"/>
        <v>0</v>
      </c>
      <c r="U668" s="23">
        <f t="shared" si="3"/>
        <v>0</v>
      </c>
      <c r="V668" s="23">
        <f t="shared" si="4"/>
        <v>0</v>
      </c>
      <c r="W668" s="24" t="str">
        <f t="shared" si="5"/>
        <v>#DIV/0!</v>
      </c>
    </row>
    <row r="669" hidden="1">
      <c r="A669" s="15" t="s">
        <v>2116</v>
      </c>
      <c r="B669" s="18"/>
      <c r="C669" s="15" t="s">
        <v>7091</v>
      </c>
      <c r="D669" s="18"/>
      <c r="E669" s="17" t="s">
        <v>2117</v>
      </c>
      <c r="F669" s="18"/>
      <c r="G669" s="18"/>
      <c r="H669" s="15" t="s">
        <v>2118</v>
      </c>
      <c r="I669" s="15" t="s">
        <v>2119</v>
      </c>
      <c r="J669" s="19" t="s">
        <v>36</v>
      </c>
      <c r="K669" s="19" t="s">
        <v>105</v>
      </c>
      <c r="L669" s="19" t="s">
        <v>38</v>
      </c>
      <c r="M669" s="20">
        <f t="shared" si="1"/>
        <v>0</v>
      </c>
      <c r="N669" s="22"/>
      <c r="O669" s="19" t="s">
        <v>1145</v>
      </c>
      <c r="P669" s="18"/>
      <c r="Q669" s="18"/>
      <c r="R669" s="23">
        <v>0.0</v>
      </c>
      <c r="S669" s="23">
        <v>0.0</v>
      </c>
      <c r="T669" s="23">
        <f t="shared" si="2"/>
        <v>0</v>
      </c>
      <c r="U669" s="23">
        <f t="shared" si="3"/>
        <v>0</v>
      </c>
      <c r="V669" s="23">
        <f t="shared" si="4"/>
        <v>0</v>
      </c>
      <c r="W669" s="24" t="str">
        <f t="shared" si="5"/>
        <v>#DIV/0!</v>
      </c>
    </row>
    <row r="670" hidden="1">
      <c r="A670" s="15" t="s">
        <v>2120</v>
      </c>
      <c r="B670" s="18"/>
      <c r="C670" s="15" t="s">
        <v>7092</v>
      </c>
      <c r="D670" s="18"/>
      <c r="E670" s="17" t="s">
        <v>2121</v>
      </c>
      <c r="F670" s="18"/>
      <c r="G670" s="18"/>
      <c r="H670" s="15" t="s">
        <v>2122</v>
      </c>
      <c r="I670" s="15" t="s">
        <v>2123</v>
      </c>
      <c r="J670" s="19" t="s">
        <v>36</v>
      </c>
      <c r="K670" s="19" t="s">
        <v>105</v>
      </c>
      <c r="L670" s="19" t="s">
        <v>38</v>
      </c>
      <c r="M670" s="20">
        <f t="shared" si="1"/>
        <v>0</v>
      </c>
      <c r="N670" s="22"/>
      <c r="O670" s="19" t="s">
        <v>1145</v>
      </c>
      <c r="P670" s="18"/>
      <c r="Q670" s="18"/>
      <c r="R670" s="23">
        <v>0.0</v>
      </c>
      <c r="S670" s="23">
        <v>0.0</v>
      </c>
      <c r="T670" s="23">
        <f t="shared" si="2"/>
        <v>0</v>
      </c>
      <c r="U670" s="23">
        <f t="shared" si="3"/>
        <v>0</v>
      </c>
      <c r="V670" s="23">
        <f t="shared" si="4"/>
        <v>0</v>
      </c>
      <c r="W670" s="24" t="str">
        <f t="shared" si="5"/>
        <v>#DIV/0!</v>
      </c>
    </row>
    <row r="671" hidden="1">
      <c r="A671" s="15" t="s">
        <v>2124</v>
      </c>
      <c r="B671" s="18"/>
      <c r="C671" s="15" t="s">
        <v>7093</v>
      </c>
      <c r="D671" s="18"/>
      <c r="E671" s="17" t="s">
        <v>2125</v>
      </c>
      <c r="F671" s="18"/>
      <c r="G671" s="18"/>
      <c r="H671" s="15" t="s">
        <v>2126</v>
      </c>
      <c r="I671" s="15" t="s">
        <v>2127</v>
      </c>
      <c r="J671" s="19" t="s">
        <v>36</v>
      </c>
      <c r="K671" s="19" t="s">
        <v>105</v>
      </c>
      <c r="L671" s="19" t="s">
        <v>38</v>
      </c>
      <c r="M671" s="20">
        <f t="shared" si="1"/>
        <v>0</v>
      </c>
      <c r="N671" s="22"/>
      <c r="O671" s="19" t="s">
        <v>1145</v>
      </c>
      <c r="P671" s="18"/>
      <c r="Q671" s="18"/>
      <c r="R671" s="23">
        <v>0.0</v>
      </c>
      <c r="S671" s="23">
        <v>0.0</v>
      </c>
      <c r="T671" s="23">
        <f t="shared" si="2"/>
        <v>0</v>
      </c>
      <c r="U671" s="23">
        <f t="shared" si="3"/>
        <v>0</v>
      </c>
      <c r="V671" s="23">
        <f t="shared" si="4"/>
        <v>0</v>
      </c>
      <c r="W671" s="24" t="str">
        <f t="shared" si="5"/>
        <v>#DIV/0!</v>
      </c>
    </row>
    <row r="672" hidden="1">
      <c r="A672" s="15" t="s">
        <v>2128</v>
      </c>
      <c r="B672" s="18"/>
      <c r="C672" s="15" t="s">
        <v>7094</v>
      </c>
      <c r="D672" s="18"/>
      <c r="E672" s="17" t="s">
        <v>482</v>
      </c>
      <c r="F672" s="18"/>
      <c r="G672" s="18"/>
      <c r="H672" s="15" t="s">
        <v>2129</v>
      </c>
      <c r="I672" s="15" t="s">
        <v>2130</v>
      </c>
      <c r="J672" s="19" t="s">
        <v>36</v>
      </c>
      <c r="K672" s="19" t="s">
        <v>105</v>
      </c>
      <c r="L672" s="19" t="s">
        <v>38</v>
      </c>
      <c r="M672" s="20">
        <f t="shared" si="1"/>
        <v>0</v>
      </c>
      <c r="N672" s="22"/>
      <c r="O672" s="19" t="s">
        <v>1145</v>
      </c>
      <c r="P672" s="18"/>
      <c r="Q672" s="18"/>
      <c r="R672" s="23">
        <v>0.0</v>
      </c>
      <c r="S672" s="23">
        <v>0.0</v>
      </c>
      <c r="T672" s="23">
        <f t="shared" si="2"/>
        <v>0</v>
      </c>
      <c r="U672" s="23">
        <f t="shared" si="3"/>
        <v>0</v>
      </c>
      <c r="V672" s="23">
        <f t="shared" si="4"/>
        <v>0</v>
      </c>
      <c r="W672" s="24" t="str">
        <f t="shared" si="5"/>
        <v>#DIV/0!</v>
      </c>
    </row>
    <row r="673" hidden="1">
      <c r="A673" s="15" t="s">
        <v>2131</v>
      </c>
      <c r="B673" s="18"/>
      <c r="C673" s="15" t="s">
        <v>7095</v>
      </c>
      <c r="D673" s="18"/>
      <c r="E673" s="17" t="s">
        <v>2132</v>
      </c>
      <c r="F673" s="18"/>
      <c r="G673" s="18"/>
      <c r="H673" s="15" t="s">
        <v>2133</v>
      </c>
      <c r="I673" s="15" t="s">
        <v>2134</v>
      </c>
      <c r="J673" s="19" t="s">
        <v>36</v>
      </c>
      <c r="K673" s="19" t="s">
        <v>105</v>
      </c>
      <c r="L673" s="19" t="s">
        <v>38</v>
      </c>
      <c r="M673" s="20">
        <f t="shared" si="1"/>
        <v>0</v>
      </c>
      <c r="N673" s="22"/>
      <c r="O673" s="19" t="s">
        <v>1145</v>
      </c>
      <c r="P673" s="18"/>
      <c r="Q673" s="18"/>
      <c r="R673" s="23">
        <v>0.0</v>
      </c>
      <c r="S673" s="23">
        <v>0.0</v>
      </c>
      <c r="T673" s="23">
        <f t="shared" si="2"/>
        <v>0</v>
      </c>
      <c r="U673" s="23">
        <f t="shared" si="3"/>
        <v>0</v>
      </c>
      <c r="V673" s="23">
        <f t="shared" si="4"/>
        <v>0</v>
      </c>
      <c r="W673" s="24" t="str">
        <f t="shared" si="5"/>
        <v>#DIV/0!</v>
      </c>
    </row>
    <row r="674" hidden="1">
      <c r="A674" s="15" t="s">
        <v>2135</v>
      </c>
      <c r="B674" s="18"/>
      <c r="C674" s="15" t="s">
        <v>7096</v>
      </c>
      <c r="D674" s="18"/>
      <c r="E674" s="17" t="s">
        <v>2136</v>
      </c>
      <c r="F674" s="18"/>
      <c r="G674" s="18"/>
      <c r="H674" s="15" t="s">
        <v>2137</v>
      </c>
      <c r="I674" s="15" t="s">
        <v>2138</v>
      </c>
      <c r="J674" s="19" t="s">
        <v>36</v>
      </c>
      <c r="K674" s="19" t="s">
        <v>402</v>
      </c>
      <c r="L674" s="19" t="s">
        <v>38</v>
      </c>
      <c r="M674" s="20">
        <f t="shared" si="1"/>
        <v>0</v>
      </c>
      <c r="N674" s="22"/>
      <c r="O674" s="19" t="s">
        <v>1145</v>
      </c>
      <c r="P674" s="18"/>
      <c r="Q674" s="18"/>
      <c r="R674" s="23">
        <v>0.0</v>
      </c>
      <c r="S674" s="23">
        <v>0.0</v>
      </c>
      <c r="T674" s="23">
        <f t="shared" si="2"/>
        <v>0</v>
      </c>
      <c r="U674" s="23">
        <f t="shared" si="3"/>
        <v>0</v>
      </c>
      <c r="V674" s="23">
        <f t="shared" si="4"/>
        <v>0</v>
      </c>
      <c r="W674" s="24" t="str">
        <f t="shared" si="5"/>
        <v>#DIV/0!</v>
      </c>
    </row>
    <row r="675" hidden="1">
      <c r="A675" s="15" t="s">
        <v>2139</v>
      </c>
      <c r="B675" s="18"/>
      <c r="C675" s="15" t="s">
        <v>7097</v>
      </c>
      <c r="D675" s="18"/>
      <c r="E675" s="17" t="s">
        <v>2140</v>
      </c>
      <c r="F675" s="18"/>
      <c r="G675" s="18"/>
      <c r="H675" s="15" t="s">
        <v>2141</v>
      </c>
      <c r="I675" s="15" t="s">
        <v>2142</v>
      </c>
      <c r="J675" s="19" t="s">
        <v>36</v>
      </c>
      <c r="K675" s="19" t="s">
        <v>402</v>
      </c>
      <c r="L675" s="19" t="s">
        <v>38</v>
      </c>
      <c r="M675" s="20">
        <f t="shared" si="1"/>
        <v>0</v>
      </c>
      <c r="N675" s="22"/>
      <c r="O675" s="19" t="s">
        <v>1145</v>
      </c>
      <c r="P675" s="18"/>
      <c r="Q675" s="18"/>
      <c r="R675" s="23">
        <v>0.0</v>
      </c>
      <c r="S675" s="23">
        <v>0.0</v>
      </c>
      <c r="T675" s="23">
        <f t="shared" si="2"/>
        <v>0</v>
      </c>
      <c r="U675" s="23">
        <f t="shared" si="3"/>
        <v>0</v>
      </c>
      <c r="V675" s="23">
        <f t="shared" si="4"/>
        <v>0</v>
      </c>
      <c r="W675" s="24" t="str">
        <f t="shared" si="5"/>
        <v>#DIV/0!</v>
      </c>
    </row>
    <row r="676" hidden="1">
      <c r="A676" s="15" t="s">
        <v>2143</v>
      </c>
      <c r="B676" s="18"/>
      <c r="C676" s="15" t="s">
        <v>7098</v>
      </c>
      <c r="D676" s="18"/>
      <c r="E676" s="17" t="s">
        <v>2144</v>
      </c>
      <c r="F676" s="18"/>
      <c r="G676" s="18"/>
      <c r="H676" s="15" t="s">
        <v>2145</v>
      </c>
      <c r="I676" s="15" t="s">
        <v>2146</v>
      </c>
      <c r="J676" s="19" t="s">
        <v>36</v>
      </c>
      <c r="K676" s="19" t="s">
        <v>37</v>
      </c>
      <c r="L676" s="19" t="s">
        <v>38</v>
      </c>
      <c r="M676" s="20">
        <f t="shared" si="1"/>
        <v>0</v>
      </c>
      <c r="N676" s="22"/>
      <c r="O676" s="19" t="s">
        <v>1145</v>
      </c>
      <c r="P676" s="18"/>
      <c r="Q676" s="18"/>
      <c r="R676" s="23">
        <v>0.0</v>
      </c>
      <c r="S676" s="23">
        <v>0.0</v>
      </c>
      <c r="T676" s="23">
        <f t="shared" si="2"/>
        <v>0</v>
      </c>
      <c r="U676" s="23">
        <f t="shared" si="3"/>
        <v>0</v>
      </c>
      <c r="V676" s="23">
        <f t="shared" si="4"/>
        <v>0</v>
      </c>
      <c r="W676" s="24" t="str">
        <f t="shared" si="5"/>
        <v>#DIV/0!</v>
      </c>
    </row>
    <row r="677" hidden="1">
      <c r="A677" s="15" t="s">
        <v>2147</v>
      </c>
      <c r="B677" s="18"/>
      <c r="C677" s="15" t="s">
        <v>7099</v>
      </c>
      <c r="D677" s="18"/>
      <c r="E677" s="17" t="s">
        <v>2148</v>
      </c>
      <c r="F677" s="18"/>
      <c r="G677" s="18"/>
      <c r="H677" s="15" t="s">
        <v>2149</v>
      </c>
      <c r="I677" s="15" t="s">
        <v>2150</v>
      </c>
      <c r="J677" s="19" t="s">
        <v>36</v>
      </c>
      <c r="K677" s="19" t="s">
        <v>37</v>
      </c>
      <c r="L677" s="19" t="s">
        <v>38</v>
      </c>
      <c r="M677" s="20">
        <f t="shared" si="1"/>
        <v>0</v>
      </c>
      <c r="N677" s="22"/>
      <c r="O677" s="19" t="s">
        <v>1145</v>
      </c>
      <c r="P677" s="18"/>
      <c r="Q677" s="18"/>
      <c r="R677" s="23">
        <v>0.0</v>
      </c>
      <c r="S677" s="23">
        <v>0.0</v>
      </c>
      <c r="T677" s="23">
        <f t="shared" si="2"/>
        <v>0</v>
      </c>
      <c r="U677" s="23">
        <f t="shared" si="3"/>
        <v>0</v>
      </c>
      <c r="V677" s="23">
        <f t="shared" si="4"/>
        <v>0</v>
      </c>
      <c r="W677" s="24" t="str">
        <f t="shared" si="5"/>
        <v>#DIV/0!</v>
      </c>
    </row>
    <row r="678" hidden="1">
      <c r="A678" s="15" t="s">
        <v>2151</v>
      </c>
      <c r="B678" s="18"/>
      <c r="C678" s="15" t="s">
        <v>7100</v>
      </c>
      <c r="D678" s="18"/>
      <c r="E678" s="17" t="s">
        <v>2152</v>
      </c>
      <c r="F678" s="18"/>
      <c r="G678" s="18"/>
      <c r="H678" s="15" t="s">
        <v>2153</v>
      </c>
      <c r="I678" s="15" t="s">
        <v>2154</v>
      </c>
      <c r="J678" s="19" t="s">
        <v>36</v>
      </c>
      <c r="K678" s="19" t="s">
        <v>105</v>
      </c>
      <c r="L678" s="19" t="s">
        <v>38</v>
      </c>
      <c r="M678" s="20">
        <f t="shared" si="1"/>
        <v>0</v>
      </c>
      <c r="N678" s="22"/>
      <c r="O678" s="19" t="s">
        <v>1145</v>
      </c>
      <c r="P678" s="18"/>
      <c r="Q678" s="18"/>
      <c r="R678" s="23">
        <v>0.0</v>
      </c>
      <c r="S678" s="23">
        <v>0.0</v>
      </c>
      <c r="T678" s="23">
        <f t="shared" si="2"/>
        <v>0</v>
      </c>
      <c r="U678" s="23">
        <f t="shared" si="3"/>
        <v>0</v>
      </c>
      <c r="V678" s="23">
        <f t="shared" si="4"/>
        <v>0</v>
      </c>
      <c r="W678" s="24" t="str">
        <f t="shared" si="5"/>
        <v>#DIV/0!</v>
      </c>
    </row>
    <row r="679" hidden="1">
      <c r="A679" s="15" t="s">
        <v>2155</v>
      </c>
      <c r="B679" s="18"/>
      <c r="C679" s="15" t="s">
        <v>7101</v>
      </c>
      <c r="D679" s="18"/>
      <c r="E679" s="17" t="s">
        <v>2156</v>
      </c>
      <c r="F679" s="18"/>
      <c r="G679" s="18"/>
      <c r="H679" s="15" t="s">
        <v>2157</v>
      </c>
      <c r="I679" s="15" t="s">
        <v>2158</v>
      </c>
      <c r="J679" s="19" t="s">
        <v>36</v>
      </c>
      <c r="K679" s="19" t="s">
        <v>105</v>
      </c>
      <c r="L679" s="19" t="s">
        <v>38</v>
      </c>
      <c r="M679" s="20">
        <f t="shared" si="1"/>
        <v>0</v>
      </c>
      <c r="N679" s="22"/>
      <c r="O679" s="19" t="s">
        <v>1145</v>
      </c>
      <c r="P679" s="18"/>
      <c r="Q679" s="18"/>
      <c r="R679" s="23">
        <v>0.0</v>
      </c>
      <c r="S679" s="23">
        <v>0.0</v>
      </c>
      <c r="T679" s="23">
        <f t="shared" si="2"/>
        <v>0</v>
      </c>
      <c r="U679" s="23">
        <f t="shared" si="3"/>
        <v>0</v>
      </c>
      <c r="V679" s="23">
        <f t="shared" si="4"/>
        <v>0</v>
      </c>
      <c r="W679" s="24" t="str">
        <f t="shared" si="5"/>
        <v>#DIV/0!</v>
      </c>
    </row>
    <row r="680" hidden="1">
      <c r="A680" s="15" t="s">
        <v>2159</v>
      </c>
      <c r="B680" s="18"/>
      <c r="C680" s="15" t="s">
        <v>7102</v>
      </c>
      <c r="D680" s="18"/>
      <c r="E680" s="17" t="s">
        <v>2160</v>
      </c>
      <c r="F680" s="18"/>
      <c r="G680" s="18"/>
      <c r="H680" s="15" t="s">
        <v>2161</v>
      </c>
      <c r="I680" s="15" t="s">
        <v>2162</v>
      </c>
      <c r="J680" s="19" t="s">
        <v>36</v>
      </c>
      <c r="K680" s="19" t="s">
        <v>105</v>
      </c>
      <c r="L680" s="19" t="s">
        <v>38</v>
      </c>
      <c r="M680" s="20">
        <f t="shared" si="1"/>
        <v>0</v>
      </c>
      <c r="N680" s="22"/>
      <c r="O680" s="19" t="s">
        <v>1145</v>
      </c>
      <c r="P680" s="18"/>
      <c r="Q680" s="18"/>
      <c r="R680" s="23">
        <v>0.0</v>
      </c>
      <c r="S680" s="23">
        <v>0.0</v>
      </c>
      <c r="T680" s="23">
        <f t="shared" si="2"/>
        <v>0</v>
      </c>
      <c r="U680" s="23">
        <f t="shared" si="3"/>
        <v>0</v>
      </c>
      <c r="V680" s="23">
        <f t="shared" si="4"/>
        <v>0</v>
      </c>
      <c r="W680" s="24" t="str">
        <f t="shared" si="5"/>
        <v>#DIV/0!</v>
      </c>
    </row>
    <row r="681" hidden="1">
      <c r="A681" s="15" t="s">
        <v>2163</v>
      </c>
      <c r="B681" s="18"/>
      <c r="C681" s="15" t="s">
        <v>7103</v>
      </c>
      <c r="D681" s="18"/>
      <c r="E681" s="17" t="s">
        <v>2164</v>
      </c>
      <c r="F681" s="18"/>
      <c r="G681" s="18"/>
      <c r="H681" s="15" t="s">
        <v>2165</v>
      </c>
      <c r="I681" s="15" t="s">
        <v>2166</v>
      </c>
      <c r="J681" s="19" t="s">
        <v>36</v>
      </c>
      <c r="K681" s="19" t="s">
        <v>603</v>
      </c>
      <c r="L681" s="19" t="s">
        <v>38</v>
      </c>
      <c r="M681" s="20">
        <f t="shared" si="1"/>
        <v>0</v>
      </c>
      <c r="N681" s="22"/>
      <c r="O681" s="19" t="s">
        <v>1145</v>
      </c>
      <c r="P681" s="18"/>
      <c r="Q681" s="18"/>
      <c r="R681" s="23">
        <v>0.0</v>
      </c>
      <c r="S681" s="23">
        <v>0.0</v>
      </c>
      <c r="T681" s="23">
        <f t="shared" si="2"/>
        <v>0</v>
      </c>
      <c r="U681" s="23">
        <f t="shared" si="3"/>
        <v>0</v>
      </c>
      <c r="V681" s="23">
        <f t="shared" si="4"/>
        <v>0</v>
      </c>
      <c r="W681" s="24" t="str">
        <f t="shared" si="5"/>
        <v>#DIV/0!</v>
      </c>
    </row>
    <row r="682" hidden="1">
      <c r="A682" s="15" t="s">
        <v>2167</v>
      </c>
      <c r="B682" s="18"/>
      <c r="C682" s="15" t="s">
        <v>7104</v>
      </c>
      <c r="D682" s="18"/>
      <c r="E682" s="17" t="s">
        <v>2168</v>
      </c>
      <c r="F682" s="18"/>
      <c r="G682" s="18"/>
      <c r="H682" s="15" t="s">
        <v>2169</v>
      </c>
      <c r="I682" s="15" t="s">
        <v>2170</v>
      </c>
      <c r="J682" s="19" t="s">
        <v>36</v>
      </c>
      <c r="K682" s="19" t="s">
        <v>1230</v>
      </c>
      <c r="L682" s="19" t="s">
        <v>38</v>
      </c>
      <c r="M682" s="20">
        <f t="shared" si="1"/>
        <v>0</v>
      </c>
      <c r="N682" s="22"/>
      <c r="O682" s="19" t="s">
        <v>1145</v>
      </c>
      <c r="P682" s="18"/>
      <c r="Q682" s="18"/>
      <c r="R682" s="23">
        <v>0.0</v>
      </c>
      <c r="S682" s="23">
        <v>0.0</v>
      </c>
      <c r="T682" s="23">
        <f t="shared" si="2"/>
        <v>0</v>
      </c>
      <c r="U682" s="23">
        <f t="shared" si="3"/>
        <v>0</v>
      </c>
      <c r="V682" s="23">
        <f t="shared" si="4"/>
        <v>0</v>
      </c>
      <c r="W682" s="24" t="str">
        <f t="shared" si="5"/>
        <v>#DIV/0!</v>
      </c>
    </row>
    <row r="683" hidden="1">
      <c r="A683" s="15" t="s">
        <v>2171</v>
      </c>
      <c r="B683" s="18"/>
      <c r="C683" s="15" t="s">
        <v>7105</v>
      </c>
      <c r="D683" s="18"/>
      <c r="E683" s="17" t="s">
        <v>2172</v>
      </c>
      <c r="F683" s="18"/>
      <c r="G683" s="18"/>
      <c r="H683" s="15" t="s">
        <v>2173</v>
      </c>
      <c r="I683" s="15" t="s">
        <v>2174</v>
      </c>
      <c r="J683" s="19" t="s">
        <v>36</v>
      </c>
      <c r="K683" s="19" t="s">
        <v>1269</v>
      </c>
      <c r="L683" s="19" t="s">
        <v>38</v>
      </c>
      <c r="M683" s="20">
        <f t="shared" si="1"/>
        <v>0</v>
      </c>
      <c r="N683" s="22"/>
      <c r="O683" s="19" t="s">
        <v>1145</v>
      </c>
      <c r="P683" s="18"/>
      <c r="Q683" s="18"/>
      <c r="R683" s="23">
        <v>0.0</v>
      </c>
      <c r="S683" s="23">
        <v>0.0</v>
      </c>
      <c r="T683" s="23">
        <f t="shared" si="2"/>
        <v>0</v>
      </c>
      <c r="U683" s="23">
        <f t="shared" si="3"/>
        <v>0</v>
      </c>
      <c r="V683" s="23">
        <f t="shared" si="4"/>
        <v>0</v>
      </c>
      <c r="W683" s="24" t="str">
        <f t="shared" si="5"/>
        <v>#DIV/0!</v>
      </c>
    </row>
    <row r="684" hidden="1">
      <c r="A684" s="15" t="s">
        <v>2175</v>
      </c>
      <c r="B684" s="18"/>
      <c r="C684" s="15" t="s">
        <v>7106</v>
      </c>
      <c r="D684" s="18"/>
      <c r="E684" s="17" t="s">
        <v>2176</v>
      </c>
      <c r="F684" s="18"/>
      <c r="G684" s="18"/>
      <c r="H684" s="15" t="s">
        <v>2177</v>
      </c>
      <c r="I684" s="15" t="s">
        <v>2178</v>
      </c>
      <c r="J684" s="19" t="s">
        <v>36</v>
      </c>
      <c r="K684" s="19" t="s">
        <v>1431</v>
      </c>
      <c r="L684" s="19" t="s">
        <v>38</v>
      </c>
      <c r="M684" s="20">
        <f t="shared" si="1"/>
        <v>0</v>
      </c>
      <c r="N684" s="22"/>
      <c r="O684" s="19" t="s">
        <v>1145</v>
      </c>
      <c r="P684" s="18"/>
      <c r="Q684" s="18"/>
      <c r="R684" s="23">
        <v>0.0</v>
      </c>
      <c r="S684" s="23">
        <v>0.0</v>
      </c>
      <c r="T684" s="23">
        <f t="shared" si="2"/>
        <v>0</v>
      </c>
      <c r="U684" s="23">
        <f t="shared" si="3"/>
        <v>0</v>
      </c>
      <c r="V684" s="23">
        <f t="shared" si="4"/>
        <v>0</v>
      </c>
      <c r="W684" s="24" t="str">
        <f t="shared" si="5"/>
        <v>#DIV/0!</v>
      </c>
    </row>
    <row r="685" hidden="1">
      <c r="A685" s="15" t="s">
        <v>2179</v>
      </c>
      <c r="B685" s="18"/>
      <c r="C685" s="15" t="s">
        <v>7107</v>
      </c>
      <c r="D685" s="18"/>
      <c r="E685" s="17" t="s">
        <v>2180</v>
      </c>
      <c r="F685" s="18"/>
      <c r="G685" s="18"/>
      <c r="H685" s="15" t="s">
        <v>2181</v>
      </c>
      <c r="I685" s="15" t="s">
        <v>2182</v>
      </c>
      <c r="J685" s="19" t="s">
        <v>36</v>
      </c>
      <c r="K685" s="19" t="s">
        <v>1230</v>
      </c>
      <c r="L685" s="19" t="s">
        <v>38</v>
      </c>
      <c r="M685" s="20">
        <f t="shared" si="1"/>
        <v>0</v>
      </c>
      <c r="N685" s="22"/>
      <c r="O685" s="19" t="s">
        <v>1145</v>
      </c>
      <c r="P685" s="18"/>
      <c r="Q685" s="18"/>
      <c r="R685" s="23">
        <v>0.0</v>
      </c>
      <c r="S685" s="23">
        <v>0.0</v>
      </c>
      <c r="T685" s="23">
        <f t="shared" si="2"/>
        <v>0</v>
      </c>
      <c r="U685" s="23">
        <f t="shared" si="3"/>
        <v>0</v>
      </c>
      <c r="V685" s="23">
        <f t="shared" si="4"/>
        <v>0</v>
      </c>
      <c r="W685" s="24" t="str">
        <f t="shared" si="5"/>
        <v>#DIV/0!</v>
      </c>
    </row>
    <row r="686" hidden="1">
      <c r="A686" s="15" t="s">
        <v>4787</v>
      </c>
      <c r="B686" s="18"/>
      <c r="C686" s="15" t="s">
        <v>7108</v>
      </c>
      <c r="D686" s="18"/>
      <c r="E686" s="17" t="s">
        <v>7109</v>
      </c>
      <c r="F686" s="18"/>
      <c r="G686" s="18"/>
      <c r="H686" s="15" t="s">
        <v>7110</v>
      </c>
      <c r="I686" s="15" t="s">
        <v>7111</v>
      </c>
      <c r="J686" s="19" t="s">
        <v>36</v>
      </c>
      <c r="K686" s="19" t="s">
        <v>603</v>
      </c>
      <c r="L686" s="19" t="s">
        <v>38</v>
      </c>
      <c r="M686" s="20">
        <f t="shared" si="1"/>
        <v>0</v>
      </c>
      <c r="N686" s="22"/>
      <c r="O686" s="19" t="s">
        <v>1145</v>
      </c>
      <c r="P686" s="18"/>
      <c r="Q686" s="18"/>
      <c r="R686" s="23">
        <v>0.0</v>
      </c>
      <c r="S686" s="23">
        <v>0.0</v>
      </c>
      <c r="T686" s="23">
        <f t="shared" si="2"/>
        <v>0</v>
      </c>
      <c r="U686" s="23">
        <f t="shared" si="3"/>
        <v>0</v>
      </c>
      <c r="V686" s="23">
        <f t="shared" si="4"/>
        <v>0</v>
      </c>
      <c r="W686" s="24" t="str">
        <f t="shared" si="5"/>
        <v>#DIV/0!</v>
      </c>
    </row>
    <row r="687" hidden="1">
      <c r="A687" s="15" t="s">
        <v>4789</v>
      </c>
      <c r="B687" s="18"/>
      <c r="C687" s="15" t="s">
        <v>7112</v>
      </c>
      <c r="D687" s="18"/>
      <c r="E687" s="17" t="s">
        <v>7113</v>
      </c>
      <c r="F687" s="18"/>
      <c r="G687" s="18"/>
      <c r="H687" s="15" t="s">
        <v>7114</v>
      </c>
      <c r="I687" s="15" t="s">
        <v>4792</v>
      </c>
      <c r="J687" s="19" t="s">
        <v>36</v>
      </c>
      <c r="K687" s="19" t="s">
        <v>1431</v>
      </c>
      <c r="L687" s="19" t="s">
        <v>38</v>
      </c>
      <c r="M687" s="20">
        <f t="shared" si="1"/>
        <v>0</v>
      </c>
      <c r="N687" s="22"/>
      <c r="O687" s="19" t="s">
        <v>1145</v>
      </c>
      <c r="P687" s="18"/>
      <c r="Q687" s="18"/>
      <c r="R687" s="23">
        <v>0.0</v>
      </c>
      <c r="S687" s="23">
        <v>0.0</v>
      </c>
      <c r="T687" s="23">
        <f t="shared" si="2"/>
        <v>0</v>
      </c>
      <c r="U687" s="23">
        <f t="shared" si="3"/>
        <v>0</v>
      </c>
      <c r="V687" s="23">
        <f t="shared" si="4"/>
        <v>0</v>
      </c>
      <c r="W687" s="24" t="str">
        <f t="shared" si="5"/>
        <v>#DIV/0!</v>
      </c>
    </row>
    <row r="688" hidden="1">
      <c r="A688" s="15" t="s">
        <v>4793</v>
      </c>
      <c r="B688" s="18"/>
      <c r="C688" s="15" t="s">
        <v>7115</v>
      </c>
      <c r="D688" s="18"/>
      <c r="E688" s="17" t="s">
        <v>7116</v>
      </c>
      <c r="F688" s="18"/>
      <c r="G688" s="18"/>
      <c r="H688" s="15" t="s">
        <v>7117</v>
      </c>
      <c r="I688" s="15" t="s">
        <v>4796</v>
      </c>
      <c r="J688" s="19" t="s">
        <v>36</v>
      </c>
      <c r="K688" s="19" t="s">
        <v>1431</v>
      </c>
      <c r="L688" s="19" t="s">
        <v>38</v>
      </c>
      <c r="M688" s="20">
        <f t="shared" si="1"/>
        <v>0</v>
      </c>
      <c r="N688" s="22"/>
      <c r="O688" s="19" t="s">
        <v>1145</v>
      </c>
      <c r="P688" s="18"/>
      <c r="Q688" s="18"/>
      <c r="R688" s="23">
        <v>0.0</v>
      </c>
      <c r="S688" s="23">
        <v>0.0</v>
      </c>
      <c r="T688" s="23">
        <f t="shared" si="2"/>
        <v>0</v>
      </c>
      <c r="U688" s="23">
        <f t="shared" si="3"/>
        <v>0</v>
      </c>
      <c r="V688" s="23">
        <f t="shared" si="4"/>
        <v>0</v>
      </c>
      <c r="W688" s="24" t="str">
        <f t="shared" si="5"/>
        <v>#DIV/0!</v>
      </c>
    </row>
    <row r="689" hidden="1">
      <c r="A689" s="15" t="s">
        <v>4798</v>
      </c>
      <c r="B689" s="18"/>
      <c r="C689" s="15" t="s">
        <v>7118</v>
      </c>
      <c r="D689" s="18"/>
      <c r="E689" s="17" t="s">
        <v>7119</v>
      </c>
      <c r="F689" s="18"/>
      <c r="G689" s="18"/>
      <c r="H689" s="15" t="s">
        <v>4801</v>
      </c>
      <c r="I689" s="15" t="s">
        <v>4800</v>
      </c>
      <c r="J689" s="19" t="s">
        <v>36</v>
      </c>
      <c r="K689" s="19" t="s">
        <v>1230</v>
      </c>
      <c r="L689" s="19" t="s">
        <v>38</v>
      </c>
      <c r="M689" s="20">
        <f t="shared" si="1"/>
        <v>0</v>
      </c>
      <c r="N689" s="22"/>
      <c r="O689" s="19" t="s">
        <v>1145</v>
      </c>
      <c r="P689" s="18"/>
      <c r="Q689" s="18"/>
      <c r="R689" s="23">
        <v>0.0</v>
      </c>
      <c r="S689" s="23">
        <v>0.0</v>
      </c>
      <c r="T689" s="23">
        <f t="shared" si="2"/>
        <v>0</v>
      </c>
      <c r="U689" s="23">
        <f t="shared" si="3"/>
        <v>0</v>
      </c>
      <c r="V689" s="23">
        <f t="shared" si="4"/>
        <v>0</v>
      </c>
      <c r="W689" s="24" t="str">
        <f t="shared" si="5"/>
        <v>#DIV/0!</v>
      </c>
    </row>
    <row r="690" hidden="1">
      <c r="A690" s="15" t="s">
        <v>7120</v>
      </c>
      <c r="B690" s="18"/>
      <c r="C690" s="15" t="s">
        <v>7121</v>
      </c>
      <c r="D690" s="18"/>
      <c r="E690" s="17" t="s">
        <v>7122</v>
      </c>
      <c r="F690" s="18"/>
      <c r="G690" s="18"/>
      <c r="H690" s="15" t="s">
        <v>7123</v>
      </c>
      <c r="I690" s="15" t="s">
        <v>4322</v>
      </c>
      <c r="J690" s="19" t="s">
        <v>36</v>
      </c>
      <c r="K690" s="19" t="s">
        <v>1230</v>
      </c>
      <c r="L690" s="19" t="s">
        <v>38</v>
      </c>
      <c r="M690" s="20">
        <f t="shared" si="1"/>
        <v>0</v>
      </c>
      <c r="N690" s="22"/>
      <c r="O690" s="19" t="s">
        <v>39</v>
      </c>
      <c r="P690" s="18"/>
      <c r="Q690" s="18"/>
      <c r="R690" s="23">
        <v>0.0</v>
      </c>
      <c r="S690" s="23">
        <v>0.0</v>
      </c>
      <c r="T690" s="23">
        <f t="shared" si="2"/>
        <v>0</v>
      </c>
      <c r="U690" s="23">
        <f t="shared" si="3"/>
        <v>0</v>
      </c>
      <c r="V690" s="23">
        <f t="shared" si="4"/>
        <v>0</v>
      </c>
      <c r="W690" s="24" t="str">
        <f t="shared" si="5"/>
        <v>#DIV/0!</v>
      </c>
    </row>
    <row r="691" hidden="1">
      <c r="A691" s="15" t="s">
        <v>7124</v>
      </c>
      <c r="B691" s="18"/>
      <c r="C691" s="15" t="s">
        <v>7125</v>
      </c>
      <c r="D691" s="18"/>
      <c r="E691" s="17" t="s">
        <v>7126</v>
      </c>
      <c r="F691" s="18"/>
      <c r="G691" s="18"/>
      <c r="H691" s="15" t="s">
        <v>7127</v>
      </c>
      <c r="I691" s="15" t="s">
        <v>4316</v>
      </c>
      <c r="J691" s="19" t="s">
        <v>36</v>
      </c>
      <c r="K691" s="19" t="s">
        <v>1230</v>
      </c>
      <c r="L691" s="19" t="s">
        <v>38</v>
      </c>
      <c r="M691" s="20">
        <f t="shared" si="1"/>
        <v>0</v>
      </c>
      <c r="N691" s="22"/>
      <c r="O691" s="19" t="s">
        <v>39</v>
      </c>
      <c r="P691" s="18"/>
      <c r="Q691" s="18"/>
      <c r="R691" s="23">
        <v>0.0</v>
      </c>
      <c r="S691" s="23">
        <v>0.0</v>
      </c>
      <c r="T691" s="23">
        <f t="shared" si="2"/>
        <v>0</v>
      </c>
      <c r="U691" s="23">
        <f t="shared" si="3"/>
        <v>0</v>
      </c>
      <c r="V691" s="23">
        <f t="shared" si="4"/>
        <v>0</v>
      </c>
      <c r="W691" s="24" t="str">
        <f t="shared" si="5"/>
        <v>#DIV/0!</v>
      </c>
    </row>
    <row r="692" hidden="1">
      <c r="A692" s="15" t="s">
        <v>4802</v>
      </c>
      <c r="B692" s="18"/>
      <c r="C692" s="15" t="s">
        <v>7128</v>
      </c>
      <c r="D692" s="18"/>
      <c r="E692" s="17" t="s">
        <v>7129</v>
      </c>
      <c r="F692" s="18"/>
      <c r="G692" s="18"/>
      <c r="H692" s="15" t="s">
        <v>7130</v>
      </c>
      <c r="I692" s="15" t="s">
        <v>7131</v>
      </c>
      <c r="J692" s="19" t="s">
        <v>36</v>
      </c>
      <c r="K692" s="19" t="s">
        <v>1230</v>
      </c>
      <c r="L692" s="19" t="s">
        <v>38</v>
      </c>
      <c r="M692" s="20">
        <f t="shared" si="1"/>
        <v>0</v>
      </c>
      <c r="N692" s="22"/>
      <c r="O692" s="19" t="s">
        <v>1145</v>
      </c>
      <c r="P692" s="18"/>
      <c r="Q692" s="18"/>
      <c r="R692" s="23">
        <v>0.0</v>
      </c>
      <c r="S692" s="23">
        <v>0.0</v>
      </c>
      <c r="T692" s="23">
        <f t="shared" si="2"/>
        <v>0</v>
      </c>
      <c r="U692" s="23">
        <f t="shared" si="3"/>
        <v>0</v>
      </c>
      <c r="V692" s="23">
        <f t="shared" si="4"/>
        <v>0</v>
      </c>
      <c r="W692" s="24" t="str">
        <f t="shared" si="5"/>
        <v>#DIV/0!</v>
      </c>
    </row>
    <row r="693" hidden="1">
      <c r="A693" s="15" t="s">
        <v>2183</v>
      </c>
      <c r="B693" s="18"/>
      <c r="C693" s="15" t="s">
        <v>7132</v>
      </c>
      <c r="D693" s="18"/>
      <c r="E693" s="17" t="s">
        <v>2184</v>
      </c>
      <c r="F693" s="18"/>
      <c r="G693" s="18"/>
      <c r="H693" s="15" t="s">
        <v>2185</v>
      </c>
      <c r="I693" s="15" t="s">
        <v>2186</v>
      </c>
      <c r="J693" s="19" t="s">
        <v>36</v>
      </c>
      <c r="K693" s="19" t="s">
        <v>1230</v>
      </c>
      <c r="L693" s="19" t="s">
        <v>38</v>
      </c>
      <c r="M693" s="20">
        <f t="shared" si="1"/>
        <v>0</v>
      </c>
      <c r="N693" s="22"/>
      <c r="O693" s="19" t="s">
        <v>1145</v>
      </c>
      <c r="P693" s="18"/>
      <c r="Q693" s="18"/>
      <c r="R693" s="23">
        <v>0.0</v>
      </c>
      <c r="S693" s="23">
        <v>0.0</v>
      </c>
      <c r="T693" s="23">
        <f t="shared" si="2"/>
        <v>0</v>
      </c>
      <c r="U693" s="23">
        <f t="shared" si="3"/>
        <v>0</v>
      </c>
      <c r="V693" s="23">
        <f t="shared" si="4"/>
        <v>0</v>
      </c>
      <c r="W693" s="24" t="str">
        <f t="shared" si="5"/>
        <v>#DIV/0!</v>
      </c>
    </row>
    <row r="694" hidden="1">
      <c r="A694" s="15" t="s">
        <v>7133</v>
      </c>
      <c r="B694" s="18"/>
      <c r="C694" s="15" t="s">
        <v>7134</v>
      </c>
      <c r="D694" s="18"/>
      <c r="E694" s="17" t="s">
        <v>7135</v>
      </c>
      <c r="F694" s="18"/>
      <c r="G694" s="18"/>
      <c r="H694" s="15" t="s">
        <v>7136</v>
      </c>
      <c r="I694" s="15" t="s">
        <v>193</v>
      </c>
      <c r="J694" s="19" t="s">
        <v>36</v>
      </c>
      <c r="K694" s="19" t="s">
        <v>1230</v>
      </c>
      <c r="L694" s="19" t="s">
        <v>38</v>
      </c>
      <c r="M694" s="20">
        <f t="shared" si="1"/>
        <v>0</v>
      </c>
      <c r="N694" s="22"/>
      <c r="O694" s="19" t="s">
        <v>39</v>
      </c>
      <c r="P694" s="18"/>
      <c r="Q694" s="18"/>
      <c r="R694" s="23">
        <v>0.0</v>
      </c>
      <c r="S694" s="23">
        <v>0.0</v>
      </c>
      <c r="T694" s="23">
        <f t="shared" si="2"/>
        <v>0</v>
      </c>
      <c r="U694" s="23">
        <f t="shared" si="3"/>
        <v>0</v>
      </c>
      <c r="V694" s="23">
        <f t="shared" si="4"/>
        <v>0</v>
      </c>
      <c r="W694" s="24" t="str">
        <f t="shared" si="5"/>
        <v>#DIV/0!</v>
      </c>
    </row>
    <row r="695" hidden="1">
      <c r="A695" s="15" t="s">
        <v>2187</v>
      </c>
      <c r="B695" s="18"/>
      <c r="C695" s="15" t="s">
        <v>7137</v>
      </c>
      <c r="D695" s="18"/>
      <c r="E695" s="17" t="s">
        <v>2188</v>
      </c>
      <c r="F695" s="18"/>
      <c r="G695" s="18"/>
      <c r="H695" s="15" t="s">
        <v>2189</v>
      </c>
      <c r="I695" s="15" t="s">
        <v>2190</v>
      </c>
      <c r="J695" s="19" t="s">
        <v>36</v>
      </c>
      <c r="K695" s="19" t="s">
        <v>1230</v>
      </c>
      <c r="L695" s="19" t="s">
        <v>38</v>
      </c>
      <c r="M695" s="20">
        <f t="shared" si="1"/>
        <v>0</v>
      </c>
      <c r="N695" s="22"/>
      <c r="O695" s="19" t="s">
        <v>1145</v>
      </c>
      <c r="P695" s="18"/>
      <c r="Q695" s="18"/>
      <c r="R695" s="23">
        <v>0.0</v>
      </c>
      <c r="S695" s="23">
        <v>0.0</v>
      </c>
      <c r="T695" s="23">
        <f t="shared" si="2"/>
        <v>0</v>
      </c>
      <c r="U695" s="23">
        <f t="shared" si="3"/>
        <v>0</v>
      </c>
      <c r="V695" s="23">
        <f t="shared" si="4"/>
        <v>0</v>
      </c>
      <c r="W695" s="24" t="str">
        <f t="shared" si="5"/>
        <v>#DIV/0!</v>
      </c>
    </row>
    <row r="696">
      <c r="A696" s="15" t="s">
        <v>3666</v>
      </c>
      <c r="B696" s="15" t="s">
        <v>3667</v>
      </c>
      <c r="C696" s="15" t="s">
        <v>6205</v>
      </c>
      <c r="D696" s="15" t="s">
        <v>3668</v>
      </c>
      <c r="E696" s="17" t="s">
        <v>3669</v>
      </c>
      <c r="F696" s="18"/>
      <c r="G696" s="18"/>
      <c r="H696" s="15" t="s">
        <v>3670</v>
      </c>
      <c r="I696" s="18"/>
      <c r="J696" s="19" t="s">
        <v>283</v>
      </c>
      <c r="K696" s="19" t="s">
        <v>603</v>
      </c>
      <c r="L696" s="19" t="s">
        <v>38</v>
      </c>
      <c r="M696" s="20">
        <f t="shared" si="1"/>
        <v>0</v>
      </c>
      <c r="N696" s="22"/>
      <c r="O696" s="19" t="s">
        <v>3578</v>
      </c>
      <c r="P696" s="18"/>
      <c r="Q696" s="18"/>
      <c r="R696" s="23">
        <v>0.0</v>
      </c>
      <c r="S696" s="23">
        <v>0.0</v>
      </c>
      <c r="T696" s="23">
        <f t="shared" si="2"/>
        <v>0</v>
      </c>
      <c r="U696" s="23">
        <f t="shared" si="3"/>
        <v>0</v>
      </c>
      <c r="V696" s="23">
        <f t="shared" si="4"/>
        <v>0</v>
      </c>
      <c r="W696" s="24" t="str">
        <f t="shared" si="5"/>
        <v>#DIV/0!</v>
      </c>
    </row>
    <row r="697" hidden="1">
      <c r="A697" s="15" t="s">
        <v>4806</v>
      </c>
      <c r="B697" s="18"/>
      <c r="C697" s="15" t="s">
        <v>7138</v>
      </c>
      <c r="D697" s="18"/>
      <c r="E697" s="17" t="s">
        <v>2192</v>
      </c>
      <c r="F697" s="18"/>
      <c r="G697" s="18"/>
      <c r="H697" s="15" t="s">
        <v>4810</v>
      </c>
      <c r="I697" s="15" t="s">
        <v>4809</v>
      </c>
      <c r="J697" s="19" t="s">
        <v>36</v>
      </c>
      <c r="K697" s="19" t="s">
        <v>37</v>
      </c>
      <c r="L697" s="19" t="s">
        <v>38</v>
      </c>
      <c r="M697" s="20">
        <f t="shared" si="1"/>
        <v>0</v>
      </c>
      <c r="N697" s="22"/>
      <c r="O697" s="19" t="s">
        <v>1145</v>
      </c>
      <c r="P697" s="18"/>
      <c r="Q697" s="18"/>
      <c r="R697" s="23">
        <v>0.0</v>
      </c>
      <c r="S697" s="23">
        <v>0.0</v>
      </c>
      <c r="T697" s="23">
        <f t="shared" si="2"/>
        <v>0</v>
      </c>
      <c r="U697" s="23">
        <f t="shared" si="3"/>
        <v>0</v>
      </c>
      <c r="V697" s="23">
        <f t="shared" si="4"/>
        <v>0</v>
      </c>
      <c r="W697" s="24" t="str">
        <f t="shared" si="5"/>
        <v>#DIV/0!</v>
      </c>
    </row>
    <row r="698" hidden="1">
      <c r="A698" s="15" t="s">
        <v>2191</v>
      </c>
      <c r="B698" s="18"/>
      <c r="C698" s="15" t="s">
        <v>7139</v>
      </c>
      <c r="D698" s="18"/>
      <c r="E698" s="17" t="s">
        <v>2192</v>
      </c>
      <c r="F698" s="18"/>
      <c r="G698" s="18"/>
      <c r="H698" s="15" t="s">
        <v>2193</v>
      </c>
      <c r="I698" s="15" t="s">
        <v>2194</v>
      </c>
      <c r="J698" s="19" t="s">
        <v>36</v>
      </c>
      <c r="K698" s="19" t="s">
        <v>37</v>
      </c>
      <c r="L698" s="19" t="s">
        <v>38</v>
      </c>
      <c r="M698" s="20">
        <f t="shared" si="1"/>
        <v>0</v>
      </c>
      <c r="N698" s="22"/>
      <c r="O698" s="19" t="s">
        <v>1145</v>
      </c>
      <c r="P698" s="18"/>
      <c r="Q698" s="18"/>
      <c r="R698" s="23">
        <v>0.0</v>
      </c>
      <c r="S698" s="23">
        <v>0.0</v>
      </c>
      <c r="T698" s="23">
        <f t="shared" si="2"/>
        <v>0</v>
      </c>
      <c r="U698" s="23">
        <f t="shared" si="3"/>
        <v>0</v>
      </c>
      <c r="V698" s="23">
        <f t="shared" si="4"/>
        <v>0</v>
      </c>
      <c r="W698" s="24" t="str">
        <f t="shared" si="5"/>
        <v>#DIV/0!</v>
      </c>
    </row>
    <row r="699" hidden="1">
      <c r="A699" s="15" t="s">
        <v>2195</v>
      </c>
      <c r="B699" s="18"/>
      <c r="C699" s="15" t="s">
        <v>7140</v>
      </c>
      <c r="D699" s="18"/>
      <c r="E699" s="17" t="s">
        <v>2196</v>
      </c>
      <c r="F699" s="18"/>
      <c r="G699" s="18"/>
      <c r="H699" s="15" t="s">
        <v>2197</v>
      </c>
      <c r="I699" s="15" t="s">
        <v>2198</v>
      </c>
      <c r="J699" s="19" t="s">
        <v>36</v>
      </c>
      <c r="K699" s="19" t="s">
        <v>37</v>
      </c>
      <c r="L699" s="19" t="s">
        <v>38</v>
      </c>
      <c r="M699" s="20">
        <f t="shared" si="1"/>
        <v>0</v>
      </c>
      <c r="N699" s="22"/>
      <c r="O699" s="19" t="s">
        <v>1145</v>
      </c>
      <c r="P699" s="18"/>
      <c r="Q699" s="18"/>
      <c r="R699" s="23">
        <v>0.0</v>
      </c>
      <c r="S699" s="23">
        <v>0.0</v>
      </c>
      <c r="T699" s="23">
        <f t="shared" si="2"/>
        <v>0</v>
      </c>
      <c r="U699" s="23">
        <f t="shared" si="3"/>
        <v>0</v>
      </c>
      <c r="V699" s="23">
        <f t="shared" si="4"/>
        <v>0</v>
      </c>
      <c r="W699" s="24" t="str">
        <f t="shared" si="5"/>
        <v>#DIV/0!</v>
      </c>
    </row>
    <row r="700" hidden="1">
      <c r="A700" s="15" t="s">
        <v>2199</v>
      </c>
      <c r="B700" s="18"/>
      <c r="C700" s="15" t="s">
        <v>7141</v>
      </c>
      <c r="D700" s="18"/>
      <c r="E700" s="17" t="s">
        <v>2200</v>
      </c>
      <c r="F700" s="18"/>
      <c r="G700" s="18"/>
      <c r="H700" s="15" t="s">
        <v>2201</v>
      </c>
      <c r="I700" s="15" t="s">
        <v>2202</v>
      </c>
      <c r="J700" s="19" t="s">
        <v>36</v>
      </c>
      <c r="K700" s="19" t="s">
        <v>603</v>
      </c>
      <c r="L700" s="19" t="s">
        <v>38</v>
      </c>
      <c r="M700" s="20">
        <f t="shared" si="1"/>
        <v>0</v>
      </c>
      <c r="N700" s="22"/>
      <c r="O700" s="19" t="s">
        <v>1145</v>
      </c>
      <c r="P700" s="18"/>
      <c r="Q700" s="18"/>
      <c r="R700" s="23">
        <v>0.0</v>
      </c>
      <c r="S700" s="23">
        <v>0.0</v>
      </c>
      <c r="T700" s="23">
        <f t="shared" si="2"/>
        <v>0</v>
      </c>
      <c r="U700" s="23">
        <f t="shared" si="3"/>
        <v>0</v>
      </c>
      <c r="V700" s="23">
        <f t="shared" si="4"/>
        <v>0</v>
      </c>
      <c r="W700" s="24" t="str">
        <f t="shared" si="5"/>
        <v>#DIV/0!</v>
      </c>
    </row>
    <row r="701" hidden="1">
      <c r="A701" s="15" t="s">
        <v>7142</v>
      </c>
      <c r="B701" s="18"/>
      <c r="C701" s="15" t="s">
        <v>7143</v>
      </c>
      <c r="D701" s="18"/>
      <c r="E701" s="17" t="s">
        <v>7144</v>
      </c>
      <c r="F701" s="18"/>
      <c r="G701" s="18"/>
      <c r="H701" s="15" t="s">
        <v>8179</v>
      </c>
      <c r="I701" s="15" t="s">
        <v>8180</v>
      </c>
      <c r="J701" s="19" t="s">
        <v>36</v>
      </c>
      <c r="K701" s="19" t="s">
        <v>603</v>
      </c>
      <c r="L701" s="19" t="s">
        <v>38</v>
      </c>
      <c r="M701" s="20">
        <f t="shared" si="1"/>
        <v>0</v>
      </c>
      <c r="N701" s="22"/>
      <c r="O701" s="19" t="s">
        <v>1145</v>
      </c>
      <c r="P701" s="18"/>
      <c r="Q701" s="18"/>
      <c r="R701" s="23">
        <v>0.0</v>
      </c>
      <c r="S701" s="23">
        <v>0.0</v>
      </c>
      <c r="T701" s="23">
        <f t="shared" si="2"/>
        <v>0</v>
      </c>
      <c r="U701" s="23">
        <f t="shared" si="3"/>
        <v>0</v>
      </c>
      <c r="V701" s="23">
        <f t="shared" si="4"/>
        <v>0</v>
      </c>
      <c r="W701" s="24" t="str">
        <f t="shared" si="5"/>
        <v>#DIV/0!</v>
      </c>
    </row>
    <row r="702" hidden="1">
      <c r="A702" s="15" t="s">
        <v>2203</v>
      </c>
      <c r="B702" s="18"/>
      <c r="C702" s="15" t="s">
        <v>7146</v>
      </c>
      <c r="D702" s="18"/>
      <c r="E702" s="17" t="s">
        <v>2204</v>
      </c>
      <c r="F702" s="18"/>
      <c r="G702" s="18"/>
      <c r="H702" s="15" t="s">
        <v>2205</v>
      </c>
      <c r="I702" s="15" t="s">
        <v>2206</v>
      </c>
      <c r="J702" s="19" t="s">
        <v>36</v>
      </c>
      <c r="K702" s="19" t="s">
        <v>603</v>
      </c>
      <c r="L702" s="19" t="s">
        <v>38</v>
      </c>
      <c r="M702" s="20">
        <f t="shared" si="1"/>
        <v>0</v>
      </c>
      <c r="N702" s="22"/>
      <c r="O702" s="19" t="s">
        <v>1145</v>
      </c>
      <c r="P702" s="18"/>
      <c r="Q702" s="18"/>
      <c r="R702" s="23">
        <v>0.0</v>
      </c>
      <c r="S702" s="23">
        <v>0.0</v>
      </c>
      <c r="T702" s="23">
        <f t="shared" si="2"/>
        <v>0</v>
      </c>
      <c r="U702" s="23">
        <f t="shared" si="3"/>
        <v>0</v>
      </c>
      <c r="V702" s="23">
        <f t="shared" si="4"/>
        <v>0</v>
      </c>
      <c r="W702" s="24" t="str">
        <f t="shared" si="5"/>
        <v>#DIV/0!</v>
      </c>
    </row>
    <row r="703" hidden="1">
      <c r="A703" s="15" t="s">
        <v>2207</v>
      </c>
      <c r="B703" s="18"/>
      <c r="C703" s="15" t="s">
        <v>7147</v>
      </c>
      <c r="D703" s="18"/>
      <c r="E703" s="17" t="s">
        <v>2208</v>
      </c>
      <c r="F703" s="18"/>
      <c r="G703" s="18"/>
      <c r="H703" s="15" t="s">
        <v>2209</v>
      </c>
      <c r="I703" s="15" t="s">
        <v>2210</v>
      </c>
      <c r="J703" s="19" t="s">
        <v>36</v>
      </c>
      <c r="K703" s="19" t="s">
        <v>105</v>
      </c>
      <c r="L703" s="19" t="s">
        <v>38</v>
      </c>
      <c r="M703" s="20">
        <f t="shared" si="1"/>
        <v>0</v>
      </c>
      <c r="N703" s="22"/>
      <c r="O703" s="19" t="s">
        <v>1145</v>
      </c>
      <c r="P703" s="18"/>
      <c r="Q703" s="18"/>
      <c r="R703" s="23">
        <v>0.0</v>
      </c>
      <c r="S703" s="23">
        <v>0.0</v>
      </c>
      <c r="T703" s="23">
        <f t="shared" si="2"/>
        <v>0</v>
      </c>
      <c r="U703" s="23">
        <f t="shared" si="3"/>
        <v>0</v>
      </c>
      <c r="V703" s="23">
        <f t="shared" si="4"/>
        <v>0</v>
      </c>
      <c r="W703" s="24" t="str">
        <f t="shared" si="5"/>
        <v>#DIV/0!</v>
      </c>
    </row>
    <row r="704" hidden="1">
      <c r="A704" s="15" t="s">
        <v>2211</v>
      </c>
      <c r="B704" s="18"/>
      <c r="C704" s="15" t="s">
        <v>7148</v>
      </c>
      <c r="D704" s="18"/>
      <c r="E704" s="17" t="s">
        <v>2212</v>
      </c>
      <c r="F704" s="18"/>
      <c r="G704" s="18"/>
      <c r="H704" s="15" t="s">
        <v>2213</v>
      </c>
      <c r="I704" s="15" t="s">
        <v>2214</v>
      </c>
      <c r="J704" s="19" t="s">
        <v>36</v>
      </c>
      <c r="K704" s="19" t="s">
        <v>603</v>
      </c>
      <c r="L704" s="19" t="s">
        <v>38</v>
      </c>
      <c r="M704" s="20">
        <f t="shared" si="1"/>
        <v>0</v>
      </c>
      <c r="N704" s="22"/>
      <c r="O704" s="19" t="s">
        <v>1145</v>
      </c>
      <c r="P704" s="18"/>
      <c r="Q704" s="18"/>
      <c r="R704" s="23">
        <v>0.0</v>
      </c>
      <c r="S704" s="23">
        <v>0.0</v>
      </c>
      <c r="T704" s="23">
        <f t="shared" si="2"/>
        <v>0</v>
      </c>
      <c r="U704" s="23">
        <f t="shared" si="3"/>
        <v>0</v>
      </c>
      <c r="V704" s="23">
        <f t="shared" si="4"/>
        <v>0</v>
      </c>
      <c r="W704" s="24" t="str">
        <f t="shared" si="5"/>
        <v>#DIV/0!</v>
      </c>
    </row>
    <row r="705" hidden="1">
      <c r="A705" s="15" t="s">
        <v>2215</v>
      </c>
      <c r="B705" s="18"/>
      <c r="C705" s="15" t="s">
        <v>7149</v>
      </c>
      <c r="D705" s="18"/>
      <c r="E705" s="17" t="s">
        <v>2212</v>
      </c>
      <c r="F705" s="18"/>
      <c r="G705" s="18"/>
      <c r="H705" s="15" t="s">
        <v>2216</v>
      </c>
      <c r="I705" s="15" t="s">
        <v>2217</v>
      </c>
      <c r="J705" s="19" t="s">
        <v>36</v>
      </c>
      <c r="K705" s="19" t="s">
        <v>603</v>
      </c>
      <c r="L705" s="19" t="s">
        <v>38</v>
      </c>
      <c r="M705" s="20">
        <f t="shared" si="1"/>
        <v>0</v>
      </c>
      <c r="N705" s="22"/>
      <c r="O705" s="19" t="s">
        <v>1145</v>
      </c>
      <c r="P705" s="18"/>
      <c r="Q705" s="18"/>
      <c r="R705" s="23">
        <v>0.0</v>
      </c>
      <c r="S705" s="23">
        <v>0.0</v>
      </c>
      <c r="T705" s="23">
        <f t="shared" si="2"/>
        <v>0</v>
      </c>
      <c r="U705" s="23">
        <f t="shared" si="3"/>
        <v>0</v>
      </c>
      <c r="V705" s="23">
        <f t="shared" si="4"/>
        <v>0</v>
      </c>
      <c r="W705" s="24" t="str">
        <f t="shared" si="5"/>
        <v>#DIV/0!</v>
      </c>
    </row>
    <row r="706" hidden="1">
      <c r="A706" s="15" t="s">
        <v>2218</v>
      </c>
      <c r="B706" s="18"/>
      <c r="C706" s="15" t="s">
        <v>7150</v>
      </c>
      <c r="D706" s="18"/>
      <c r="E706" s="17" t="s">
        <v>2212</v>
      </c>
      <c r="F706" s="18"/>
      <c r="G706" s="18"/>
      <c r="H706" s="15" t="s">
        <v>2219</v>
      </c>
      <c r="I706" s="15" t="s">
        <v>2220</v>
      </c>
      <c r="J706" s="19" t="s">
        <v>36</v>
      </c>
      <c r="K706" s="19" t="s">
        <v>603</v>
      </c>
      <c r="L706" s="19" t="s">
        <v>38</v>
      </c>
      <c r="M706" s="20">
        <f t="shared" si="1"/>
        <v>0</v>
      </c>
      <c r="N706" s="22"/>
      <c r="O706" s="19" t="s">
        <v>1145</v>
      </c>
      <c r="P706" s="18"/>
      <c r="Q706" s="18"/>
      <c r="R706" s="23">
        <v>0.0</v>
      </c>
      <c r="S706" s="23">
        <v>0.0</v>
      </c>
      <c r="T706" s="23">
        <f t="shared" si="2"/>
        <v>0</v>
      </c>
      <c r="U706" s="23">
        <f t="shared" si="3"/>
        <v>0</v>
      </c>
      <c r="V706" s="23">
        <f t="shared" si="4"/>
        <v>0</v>
      </c>
      <c r="W706" s="24" t="str">
        <f t="shared" si="5"/>
        <v>#DIV/0!</v>
      </c>
    </row>
    <row r="707" hidden="1">
      <c r="A707" s="15" t="s">
        <v>2221</v>
      </c>
      <c r="B707" s="18"/>
      <c r="C707" s="15" t="s">
        <v>7151</v>
      </c>
      <c r="D707" s="18"/>
      <c r="E707" s="17" t="s">
        <v>2222</v>
      </c>
      <c r="F707" s="18"/>
      <c r="G707" s="18"/>
      <c r="H707" s="15" t="s">
        <v>2223</v>
      </c>
      <c r="I707" s="15" t="s">
        <v>2224</v>
      </c>
      <c r="J707" s="19" t="s">
        <v>36</v>
      </c>
      <c r="K707" s="19" t="s">
        <v>603</v>
      </c>
      <c r="L707" s="19" t="s">
        <v>38</v>
      </c>
      <c r="M707" s="20">
        <f t="shared" si="1"/>
        <v>0</v>
      </c>
      <c r="N707" s="22"/>
      <c r="O707" s="19" t="s">
        <v>1145</v>
      </c>
      <c r="P707" s="18"/>
      <c r="Q707" s="18"/>
      <c r="R707" s="23">
        <v>0.0</v>
      </c>
      <c r="S707" s="23">
        <v>0.0</v>
      </c>
      <c r="T707" s="23">
        <f t="shared" si="2"/>
        <v>0</v>
      </c>
      <c r="U707" s="23">
        <f t="shared" si="3"/>
        <v>0</v>
      </c>
      <c r="V707" s="23">
        <f t="shared" si="4"/>
        <v>0</v>
      </c>
      <c r="W707" s="24" t="str">
        <f t="shared" si="5"/>
        <v>#DIV/0!</v>
      </c>
    </row>
    <row r="708" hidden="1">
      <c r="A708" s="15" t="s">
        <v>7152</v>
      </c>
      <c r="B708" s="18"/>
      <c r="C708" s="15" t="s">
        <v>7153</v>
      </c>
      <c r="D708" s="18"/>
      <c r="E708" s="17" t="s">
        <v>7154</v>
      </c>
      <c r="F708" s="18"/>
      <c r="G708" s="18"/>
      <c r="H708" s="15" t="s">
        <v>7155</v>
      </c>
      <c r="I708" s="15" t="s">
        <v>4456</v>
      </c>
      <c r="J708" s="19" t="s">
        <v>36</v>
      </c>
      <c r="K708" s="19" t="s">
        <v>603</v>
      </c>
      <c r="L708" s="19" t="s">
        <v>38</v>
      </c>
      <c r="M708" s="20">
        <f t="shared" si="1"/>
        <v>0</v>
      </c>
      <c r="N708" s="22"/>
      <c r="O708" s="19" t="s">
        <v>1145</v>
      </c>
      <c r="P708" s="18"/>
      <c r="Q708" s="18"/>
      <c r="R708" s="23">
        <v>0.0</v>
      </c>
      <c r="S708" s="23">
        <v>0.0</v>
      </c>
      <c r="T708" s="23">
        <f t="shared" si="2"/>
        <v>0</v>
      </c>
      <c r="U708" s="23">
        <f t="shared" si="3"/>
        <v>0</v>
      </c>
      <c r="V708" s="23">
        <f t="shared" si="4"/>
        <v>0</v>
      </c>
      <c r="W708" s="24" t="str">
        <f t="shared" si="5"/>
        <v>#DIV/0!</v>
      </c>
    </row>
    <row r="709" hidden="1">
      <c r="A709" s="15" t="s">
        <v>7156</v>
      </c>
      <c r="B709" s="18"/>
      <c r="C709" s="15" t="s">
        <v>7157</v>
      </c>
      <c r="D709" s="18"/>
      <c r="E709" s="17" t="s">
        <v>7158</v>
      </c>
      <c r="F709" s="18"/>
      <c r="G709" s="18"/>
      <c r="H709" s="15" t="s">
        <v>7159</v>
      </c>
      <c r="I709" s="15" t="s">
        <v>4451</v>
      </c>
      <c r="J709" s="19" t="s">
        <v>36</v>
      </c>
      <c r="K709" s="19" t="s">
        <v>603</v>
      </c>
      <c r="L709" s="19" t="s">
        <v>38</v>
      </c>
      <c r="M709" s="20">
        <f t="shared" si="1"/>
        <v>0</v>
      </c>
      <c r="N709" s="22"/>
      <c r="O709" s="19" t="s">
        <v>1145</v>
      </c>
      <c r="P709" s="18"/>
      <c r="Q709" s="18"/>
      <c r="R709" s="23">
        <v>0.0</v>
      </c>
      <c r="S709" s="23">
        <v>0.0</v>
      </c>
      <c r="T709" s="23">
        <f t="shared" si="2"/>
        <v>0</v>
      </c>
      <c r="U709" s="23">
        <f t="shared" si="3"/>
        <v>0</v>
      </c>
      <c r="V709" s="23">
        <f t="shared" si="4"/>
        <v>0</v>
      </c>
      <c r="W709" s="24" t="str">
        <f t="shared" si="5"/>
        <v>#DIV/0!</v>
      </c>
    </row>
    <row r="710" hidden="1">
      <c r="A710" s="15" t="s">
        <v>7160</v>
      </c>
      <c r="B710" s="18"/>
      <c r="C710" s="15" t="s">
        <v>7161</v>
      </c>
      <c r="D710" s="18"/>
      <c r="E710" s="17" t="s">
        <v>7162</v>
      </c>
      <c r="F710" s="18"/>
      <c r="G710" s="18"/>
      <c r="H710" s="15" t="s">
        <v>7163</v>
      </c>
      <c r="I710" s="15" t="s">
        <v>4446</v>
      </c>
      <c r="J710" s="19" t="s">
        <v>36</v>
      </c>
      <c r="K710" s="19" t="s">
        <v>603</v>
      </c>
      <c r="L710" s="19" t="s">
        <v>38</v>
      </c>
      <c r="M710" s="20">
        <f t="shared" si="1"/>
        <v>0</v>
      </c>
      <c r="N710" s="22"/>
      <c r="O710" s="19" t="s">
        <v>1145</v>
      </c>
      <c r="P710" s="18"/>
      <c r="Q710" s="18"/>
      <c r="R710" s="23">
        <v>0.0</v>
      </c>
      <c r="S710" s="23">
        <v>0.0</v>
      </c>
      <c r="T710" s="23">
        <f t="shared" si="2"/>
        <v>0</v>
      </c>
      <c r="U710" s="23">
        <f t="shared" si="3"/>
        <v>0</v>
      </c>
      <c r="V710" s="23">
        <f t="shared" si="4"/>
        <v>0</v>
      </c>
      <c r="W710" s="24" t="str">
        <f t="shared" si="5"/>
        <v>#DIV/0!</v>
      </c>
    </row>
    <row r="711" hidden="1">
      <c r="A711" s="15" t="s">
        <v>4811</v>
      </c>
      <c r="B711" s="18"/>
      <c r="C711" s="15" t="s">
        <v>7164</v>
      </c>
      <c r="D711" s="18"/>
      <c r="E711" s="17" t="s">
        <v>7165</v>
      </c>
      <c r="F711" s="18"/>
      <c r="G711" s="18"/>
      <c r="H711" s="15" t="s">
        <v>7166</v>
      </c>
      <c r="I711" s="15" t="s">
        <v>4815</v>
      </c>
      <c r="J711" s="19" t="s">
        <v>36</v>
      </c>
      <c r="K711" s="19" t="s">
        <v>603</v>
      </c>
      <c r="L711" s="19" t="s">
        <v>38</v>
      </c>
      <c r="M711" s="20">
        <f t="shared" si="1"/>
        <v>0</v>
      </c>
      <c r="N711" s="22"/>
      <c r="O711" s="19" t="s">
        <v>1145</v>
      </c>
      <c r="P711" s="18"/>
      <c r="Q711" s="18"/>
      <c r="R711" s="23">
        <v>0.0</v>
      </c>
      <c r="S711" s="23">
        <v>0.0</v>
      </c>
      <c r="T711" s="23">
        <f t="shared" si="2"/>
        <v>0</v>
      </c>
      <c r="U711" s="23">
        <f t="shared" si="3"/>
        <v>0</v>
      </c>
      <c r="V711" s="23">
        <f t="shared" si="4"/>
        <v>0</v>
      </c>
      <c r="W711" s="24" t="str">
        <f t="shared" si="5"/>
        <v>#DIV/0!</v>
      </c>
    </row>
    <row r="712" hidden="1">
      <c r="A712" s="15" t="s">
        <v>7167</v>
      </c>
      <c r="B712" s="18"/>
      <c r="C712" s="15" t="s">
        <v>7168</v>
      </c>
      <c r="D712" s="18"/>
      <c r="E712" s="17" t="s">
        <v>7169</v>
      </c>
      <c r="F712" s="18"/>
      <c r="G712" s="18"/>
      <c r="H712" s="15" t="s">
        <v>7170</v>
      </c>
      <c r="I712" s="15" t="s">
        <v>356</v>
      </c>
      <c r="J712" s="19" t="s">
        <v>36</v>
      </c>
      <c r="K712" s="19" t="s">
        <v>603</v>
      </c>
      <c r="L712" s="19" t="s">
        <v>38</v>
      </c>
      <c r="M712" s="20">
        <f t="shared" si="1"/>
        <v>0</v>
      </c>
      <c r="N712" s="22"/>
      <c r="O712" s="19" t="s">
        <v>39</v>
      </c>
      <c r="P712" s="18"/>
      <c r="Q712" s="18"/>
      <c r="R712" s="23">
        <v>0.0</v>
      </c>
      <c r="S712" s="23">
        <v>0.0</v>
      </c>
      <c r="T712" s="23">
        <f t="shared" si="2"/>
        <v>0</v>
      </c>
      <c r="U712" s="23">
        <f t="shared" si="3"/>
        <v>0</v>
      </c>
      <c r="V712" s="23">
        <f t="shared" si="4"/>
        <v>0</v>
      </c>
      <c r="W712" s="24" t="str">
        <f t="shared" si="5"/>
        <v>#DIV/0!</v>
      </c>
    </row>
    <row r="713" hidden="1">
      <c r="A713" s="15" t="s">
        <v>7171</v>
      </c>
      <c r="B713" s="18"/>
      <c r="C713" s="15" t="s">
        <v>7172</v>
      </c>
      <c r="D713" s="18"/>
      <c r="E713" s="17" t="s">
        <v>7173</v>
      </c>
      <c r="F713" s="18"/>
      <c r="G713" s="18"/>
      <c r="H713" s="15" t="s">
        <v>7174</v>
      </c>
      <c r="I713" s="15" t="s">
        <v>4188</v>
      </c>
      <c r="J713" s="19" t="s">
        <v>36</v>
      </c>
      <c r="K713" s="19" t="s">
        <v>603</v>
      </c>
      <c r="L713" s="19" t="s">
        <v>38</v>
      </c>
      <c r="M713" s="20">
        <f t="shared" si="1"/>
        <v>0</v>
      </c>
      <c r="N713" s="22"/>
      <c r="O713" s="19" t="s">
        <v>39</v>
      </c>
      <c r="P713" s="18"/>
      <c r="Q713" s="18"/>
      <c r="R713" s="23">
        <v>0.0</v>
      </c>
      <c r="S713" s="23">
        <v>0.0</v>
      </c>
      <c r="T713" s="23">
        <f t="shared" si="2"/>
        <v>0</v>
      </c>
      <c r="U713" s="23">
        <f t="shared" si="3"/>
        <v>0</v>
      </c>
      <c r="V713" s="23">
        <f t="shared" si="4"/>
        <v>0</v>
      </c>
      <c r="W713" s="24" t="str">
        <f t="shared" si="5"/>
        <v>#DIV/0!</v>
      </c>
    </row>
    <row r="714" hidden="1">
      <c r="A714" s="15" t="s">
        <v>2225</v>
      </c>
      <c r="B714" s="18"/>
      <c r="C714" s="15" t="s">
        <v>7175</v>
      </c>
      <c r="D714" s="18"/>
      <c r="E714" s="17" t="s">
        <v>2226</v>
      </c>
      <c r="F714" s="18"/>
      <c r="G714" s="18"/>
      <c r="H714" s="15" t="s">
        <v>2227</v>
      </c>
      <c r="I714" s="15" t="s">
        <v>2228</v>
      </c>
      <c r="J714" s="19" t="s">
        <v>36</v>
      </c>
      <c r="K714" s="19" t="s">
        <v>603</v>
      </c>
      <c r="L714" s="19" t="s">
        <v>38</v>
      </c>
      <c r="M714" s="20">
        <f t="shared" si="1"/>
        <v>0</v>
      </c>
      <c r="N714" s="22"/>
      <c r="O714" s="19" t="s">
        <v>1145</v>
      </c>
      <c r="P714" s="18"/>
      <c r="Q714" s="18"/>
      <c r="R714" s="23">
        <v>0.0</v>
      </c>
      <c r="S714" s="23">
        <v>0.0</v>
      </c>
      <c r="T714" s="23">
        <f t="shared" si="2"/>
        <v>0</v>
      </c>
      <c r="U714" s="23">
        <f t="shared" si="3"/>
        <v>0</v>
      </c>
      <c r="V714" s="23">
        <f t="shared" si="4"/>
        <v>0</v>
      </c>
      <c r="W714" s="24" t="str">
        <f t="shared" si="5"/>
        <v>#DIV/0!</v>
      </c>
    </row>
    <row r="715" hidden="1">
      <c r="A715" s="15" t="s">
        <v>2229</v>
      </c>
      <c r="B715" s="18"/>
      <c r="C715" s="15" t="s">
        <v>7176</v>
      </c>
      <c r="D715" s="18"/>
      <c r="E715" s="17" t="s">
        <v>2230</v>
      </c>
      <c r="F715" s="18"/>
      <c r="G715" s="18"/>
      <c r="H715" s="15" t="s">
        <v>2231</v>
      </c>
      <c r="I715" s="15" t="s">
        <v>2232</v>
      </c>
      <c r="J715" s="19" t="s">
        <v>36</v>
      </c>
      <c r="K715" s="19" t="s">
        <v>105</v>
      </c>
      <c r="L715" s="19" t="s">
        <v>38</v>
      </c>
      <c r="M715" s="20">
        <f t="shared" si="1"/>
        <v>0</v>
      </c>
      <c r="N715" s="22"/>
      <c r="O715" s="19" t="s">
        <v>1145</v>
      </c>
      <c r="P715" s="18"/>
      <c r="Q715" s="18"/>
      <c r="R715" s="23">
        <v>0.0</v>
      </c>
      <c r="S715" s="23">
        <v>0.0</v>
      </c>
      <c r="T715" s="23">
        <f t="shared" si="2"/>
        <v>0</v>
      </c>
      <c r="U715" s="23">
        <f t="shared" si="3"/>
        <v>0</v>
      </c>
      <c r="V715" s="23">
        <f t="shared" si="4"/>
        <v>0</v>
      </c>
      <c r="W715" s="24" t="str">
        <f t="shared" si="5"/>
        <v>#DIV/0!</v>
      </c>
    </row>
    <row r="716" hidden="1">
      <c r="A716" s="15" t="s">
        <v>2233</v>
      </c>
      <c r="B716" s="18"/>
      <c r="C716" s="15" t="s">
        <v>7177</v>
      </c>
      <c r="D716" s="18"/>
      <c r="E716" s="17" t="s">
        <v>2234</v>
      </c>
      <c r="F716" s="18"/>
      <c r="G716" s="18"/>
      <c r="H716" s="15" t="s">
        <v>2235</v>
      </c>
      <c r="I716" s="15" t="s">
        <v>2236</v>
      </c>
      <c r="J716" s="19" t="s">
        <v>36</v>
      </c>
      <c r="K716" s="19" t="s">
        <v>105</v>
      </c>
      <c r="L716" s="19" t="s">
        <v>38</v>
      </c>
      <c r="M716" s="20">
        <f t="shared" si="1"/>
        <v>0</v>
      </c>
      <c r="N716" s="22"/>
      <c r="O716" s="19" t="s">
        <v>1145</v>
      </c>
      <c r="P716" s="18"/>
      <c r="Q716" s="18"/>
      <c r="R716" s="23">
        <v>0.0</v>
      </c>
      <c r="S716" s="23">
        <v>0.0</v>
      </c>
      <c r="T716" s="23">
        <f t="shared" si="2"/>
        <v>0</v>
      </c>
      <c r="U716" s="23">
        <f t="shared" si="3"/>
        <v>0</v>
      </c>
      <c r="V716" s="23">
        <f t="shared" si="4"/>
        <v>0</v>
      </c>
      <c r="W716" s="24" t="str">
        <f t="shared" si="5"/>
        <v>#DIV/0!</v>
      </c>
    </row>
    <row r="717" hidden="1">
      <c r="A717" s="15" t="s">
        <v>2237</v>
      </c>
      <c r="B717" s="18"/>
      <c r="C717" s="15" t="s">
        <v>7178</v>
      </c>
      <c r="D717" s="18"/>
      <c r="E717" s="17" t="s">
        <v>2238</v>
      </c>
      <c r="F717" s="18"/>
      <c r="G717" s="18"/>
      <c r="H717" s="15" t="s">
        <v>2239</v>
      </c>
      <c r="I717" s="15" t="s">
        <v>2240</v>
      </c>
      <c r="J717" s="19" t="s">
        <v>36</v>
      </c>
      <c r="K717" s="19" t="s">
        <v>1269</v>
      </c>
      <c r="L717" s="19" t="s">
        <v>38</v>
      </c>
      <c r="M717" s="20">
        <f t="shared" si="1"/>
        <v>0</v>
      </c>
      <c r="N717" s="22"/>
      <c r="O717" s="19" t="s">
        <v>1145</v>
      </c>
      <c r="P717" s="18"/>
      <c r="Q717" s="18"/>
      <c r="R717" s="23">
        <v>0.0</v>
      </c>
      <c r="S717" s="23">
        <v>0.0</v>
      </c>
      <c r="T717" s="23">
        <f t="shared" si="2"/>
        <v>0</v>
      </c>
      <c r="U717" s="23">
        <f t="shared" si="3"/>
        <v>0</v>
      </c>
      <c r="V717" s="23">
        <f t="shared" si="4"/>
        <v>0</v>
      </c>
      <c r="W717" s="24" t="str">
        <f t="shared" si="5"/>
        <v>#DIV/0!</v>
      </c>
    </row>
    <row r="718" hidden="1">
      <c r="A718" s="15" t="s">
        <v>2241</v>
      </c>
      <c r="B718" s="18"/>
      <c r="C718" s="15" t="s">
        <v>7179</v>
      </c>
      <c r="D718" s="18"/>
      <c r="E718" s="17" t="s">
        <v>2242</v>
      </c>
      <c r="F718" s="18"/>
      <c r="G718" s="18"/>
      <c r="H718" s="15" t="s">
        <v>2243</v>
      </c>
      <c r="I718" s="15" t="s">
        <v>2244</v>
      </c>
      <c r="J718" s="19" t="s">
        <v>36</v>
      </c>
      <c r="K718" s="19" t="s">
        <v>603</v>
      </c>
      <c r="L718" s="19" t="s">
        <v>38</v>
      </c>
      <c r="M718" s="20">
        <f t="shared" si="1"/>
        <v>0</v>
      </c>
      <c r="N718" s="22"/>
      <c r="O718" s="19" t="s">
        <v>1145</v>
      </c>
      <c r="P718" s="18"/>
      <c r="Q718" s="18"/>
      <c r="R718" s="23">
        <v>0.0</v>
      </c>
      <c r="S718" s="23">
        <v>0.0</v>
      </c>
      <c r="T718" s="23">
        <f t="shared" si="2"/>
        <v>0</v>
      </c>
      <c r="U718" s="23">
        <f t="shared" si="3"/>
        <v>0</v>
      </c>
      <c r="V718" s="23">
        <f t="shared" si="4"/>
        <v>0</v>
      </c>
      <c r="W718" s="24" t="str">
        <f t="shared" si="5"/>
        <v>#DIV/0!</v>
      </c>
    </row>
    <row r="719" hidden="1">
      <c r="A719" s="15" t="s">
        <v>2245</v>
      </c>
      <c r="B719" s="18"/>
      <c r="C719" s="15" t="s">
        <v>7180</v>
      </c>
      <c r="D719" s="18"/>
      <c r="E719" s="17" t="s">
        <v>2246</v>
      </c>
      <c r="F719" s="18"/>
      <c r="G719" s="18"/>
      <c r="H719" s="15" t="s">
        <v>2247</v>
      </c>
      <c r="I719" s="15" t="s">
        <v>2248</v>
      </c>
      <c r="J719" s="19" t="s">
        <v>36</v>
      </c>
      <c r="K719" s="19" t="s">
        <v>1230</v>
      </c>
      <c r="L719" s="19" t="s">
        <v>38</v>
      </c>
      <c r="M719" s="20">
        <f t="shared" si="1"/>
        <v>0</v>
      </c>
      <c r="N719" s="22"/>
      <c r="O719" s="19" t="s">
        <v>1145</v>
      </c>
      <c r="P719" s="18"/>
      <c r="Q719" s="18"/>
      <c r="R719" s="23">
        <v>0.0</v>
      </c>
      <c r="S719" s="23">
        <v>0.0</v>
      </c>
      <c r="T719" s="23">
        <f t="shared" si="2"/>
        <v>0</v>
      </c>
      <c r="U719" s="23">
        <f t="shared" si="3"/>
        <v>0</v>
      </c>
      <c r="V719" s="23">
        <f t="shared" si="4"/>
        <v>0</v>
      </c>
      <c r="W719" s="24" t="str">
        <f t="shared" si="5"/>
        <v>#DIV/0!</v>
      </c>
    </row>
    <row r="720" hidden="1">
      <c r="A720" s="15" t="s">
        <v>2249</v>
      </c>
      <c r="B720" s="18"/>
      <c r="C720" s="15" t="s">
        <v>7181</v>
      </c>
      <c r="D720" s="18"/>
      <c r="E720" s="17" t="s">
        <v>2250</v>
      </c>
      <c r="F720" s="18"/>
      <c r="G720" s="18"/>
      <c r="H720" s="15" t="s">
        <v>2251</v>
      </c>
      <c r="I720" s="15" t="s">
        <v>2252</v>
      </c>
      <c r="J720" s="19" t="s">
        <v>36</v>
      </c>
      <c r="K720" s="19" t="s">
        <v>1230</v>
      </c>
      <c r="L720" s="19" t="s">
        <v>38</v>
      </c>
      <c r="M720" s="20">
        <f t="shared" si="1"/>
        <v>0</v>
      </c>
      <c r="N720" s="22"/>
      <c r="O720" s="19" t="s">
        <v>1145</v>
      </c>
      <c r="P720" s="18"/>
      <c r="Q720" s="18"/>
      <c r="R720" s="23">
        <v>0.0</v>
      </c>
      <c r="S720" s="23">
        <v>0.0</v>
      </c>
      <c r="T720" s="23">
        <f t="shared" si="2"/>
        <v>0</v>
      </c>
      <c r="U720" s="23">
        <f t="shared" si="3"/>
        <v>0</v>
      </c>
      <c r="V720" s="23">
        <f t="shared" si="4"/>
        <v>0</v>
      </c>
      <c r="W720" s="24" t="str">
        <f t="shared" si="5"/>
        <v>#DIV/0!</v>
      </c>
    </row>
    <row r="721" hidden="1">
      <c r="A721" s="15" t="s">
        <v>2253</v>
      </c>
      <c r="B721" s="18"/>
      <c r="C721" s="15" t="s">
        <v>7182</v>
      </c>
      <c r="D721" s="18"/>
      <c r="E721" s="17" t="s">
        <v>2254</v>
      </c>
      <c r="F721" s="18"/>
      <c r="G721" s="18"/>
      <c r="H721" s="15" t="s">
        <v>2255</v>
      </c>
      <c r="I721" s="15" t="s">
        <v>2256</v>
      </c>
      <c r="J721" s="19" t="s">
        <v>36</v>
      </c>
      <c r="K721" s="19" t="s">
        <v>1230</v>
      </c>
      <c r="L721" s="19" t="s">
        <v>38</v>
      </c>
      <c r="M721" s="20">
        <f t="shared" si="1"/>
        <v>0</v>
      </c>
      <c r="N721" s="22"/>
      <c r="O721" s="19" t="s">
        <v>1145</v>
      </c>
      <c r="P721" s="18"/>
      <c r="Q721" s="18"/>
      <c r="R721" s="23">
        <v>0.0</v>
      </c>
      <c r="S721" s="23">
        <v>0.0</v>
      </c>
      <c r="T721" s="23">
        <f t="shared" si="2"/>
        <v>0</v>
      </c>
      <c r="U721" s="23">
        <f t="shared" si="3"/>
        <v>0</v>
      </c>
      <c r="V721" s="23">
        <f t="shared" si="4"/>
        <v>0</v>
      </c>
      <c r="W721" s="24" t="str">
        <f t="shared" si="5"/>
        <v>#DIV/0!</v>
      </c>
    </row>
    <row r="722" hidden="1">
      <c r="A722" s="15" t="s">
        <v>7183</v>
      </c>
      <c r="B722" s="18"/>
      <c r="C722" s="15" t="s">
        <v>7184</v>
      </c>
      <c r="D722" s="18"/>
      <c r="E722" s="17" t="s">
        <v>7185</v>
      </c>
      <c r="F722" s="18"/>
      <c r="G722" s="18"/>
      <c r="H722" s="15" t="s">
        <v>7186</v>
      </c>
      <c r="I722" s="15" t="s">
        <v>7187</v>
      </c>
      <c r="J722" s="19" t="s">
        <v>36</v>
      </c>
      <c r="K722" s="19" t="s">
        <v>603</v>
      </c>
      <c r="L722" s="19" t="s">
        <v>38</v>
      </c>
      <c r="M722" s="20">
        <f t="shared" si="1"/>
        <v>0</v>
      </c>
      <c r="N722" s="22"/>
      <c r="O722" s="19" t="s">
        <v>39</v>
      </c>
      <c r="P722" s="18"/>
      <c r="Q722" s="18"/>
      <c r="R722" s="23">
        <v>0.0</v>
      </c>
      <c r="S722" s="23">
        <v>0.0</v>
      </c>
      <c r="T722" s="23">
        <f t="shared" si="2"/>
        <v>0</v>
      </c>
      <c r="U722" s="23">
        <f t="shared" si="3"/>
        <v>0</v>
      </c>
      <c r="V722" s="23">
        <f t="shared" si="4"/>
        <v>0</v>
      </c>
      <c r="W722" s="24" t="str">
        <f t="shared" si="5"/>
        <v>#DIV/0!</v>
      </c>
    </row>
    <row r="723" hidden="1">
      <c r="A723" s="15" t="s">
        <v>2257</v>
      </c>
      <c r="B723" s="18"/>
      <c r="C723" s="15" t="s">
        <v>7188</v>
      </c>
      <c r="D723" s="18"/>
      <c r="E723" s="17" t="s">
        <v>2258</v>
      </c>
      <c r="F723" s="18"/>
      <c r="G723" s="18"/>
      <c r="H723" s="15" t="s">
        <v>2259</v>
      </c>
      <c r="I723" s="15" t="s">
        <v>2260</v>
      </c>
      <c r="J723" s="19" t="s">
        <v>36</v>
      </c>
      <c r="K723" s="19" t="s">
        <v>1269</v>
      </c>
      <c r="L723" s="19" t="s">
        <v>38</v>
      </c>
      <c r="M723" s="20">
        <f t="shared" si="1"/>
        <v>0</v>
      </c>
      <c r="N723" s="22"/>
      <c r="O723" s="19" t="s">
        <v>1145</v>
      </c>
      <c r="P723" s="18"/>
      <c r="Q723" s="18"/>
      <c r="R723" s="23">
        <v>0.0</v>
      </c>
      <c r="S723" s="23">
        <v>0.0</v>
      </c>
      <c r="T723" s="23">
        <f t="shared" si="2"/>
        <v>0</v>
      </c>
      <c r="U723" s="23">
        <f t="shared" si="3"/>
        <v>0</v>
      </c>
      <c r="V723" s="23">
        <f t="shared" si="4"/>
        <v>0</v>
      </c>
      <c r="W723" s="24" t="str">
        <f t="shared" si="5"/>
        <v>#DIV/0!</v>
      </c>
    </row>
    <row r="724" hidden="1">
      <c r="A724" s="15" t="s">
        <v>7189</v>
      </c>
      <c r="B724" s="18"/>
      <c r="C724" s="15" t="s">
        <v>7190</v>
      </c>
      <c r="D724" s="18"/>
      <c r="E724" s="17" t="s">
        <v>7191</v>
      </c>
      <c r="F724" s="18"/>
      <c r="G724" s="18"/>
      <c r="H724" s="15" t="s">
        <v>7192</v>
      </c>
      <c r="I724" s="15" t="s">
        <v>553</v>
      </c>
      <c r="J724" s="19" t="s">
        <v>36</v>
      </c>
      <c r="K724" s="19" t="s">
        <v>1269</v>
      </c>
      <c r="L724" s="19" t="s">
        <v>38</v>
      </c>
      <c r="M724" s="20">
        <f t="shared" si="1"/>
        <v>0</v>
      </c>
      <c r="N724" s="22"/>
      <c r="O724" s="19" t="s">
        <v>39</v>
      </c>
      <c r="P724" s="18"/>
      <c r="Q724" s="18"/>
      <c r="R724" s="23">
        <v>0.0</v>
      </c>
      <c r="S724" s="23">
        <v>0.0</v>
      </c>
      <c r="T724" s="23">
        <f t="shared" si="2"/>
        <v>0</v>
      </c>
      <c r="U724" s="23">
        <f t="shared" si="3"/>
        <v>0</v>
      </c>
      <c r="V724" s="23">
        <f t="shared" si="4"/>
        <v>0</v>
      </c>
      <c r="W724" s="24" t="str">
        <f t="shared" si="5"/>
        <v>#DIV/0!</v>
      </c>
    </row>
    <row r="725" hidden="1">
      <c r="A725" s="15" t="s">
        <v>7193</v>
      </c>
      <c r="B725" s="18"/>
      <c r="C725" s="15" t="s">
        <v>7194</v>
      </c>
      <c r="D725" s="18"/>
      <c r="E725" s="17" t="s">
        <v>7195</v>
      </c>
      <c r="F725" s="18"/>
      <c r="G725" s="18"/>
      <c r="H725" s="15" t="s">
        <v>7196</v>
      </c>
      <c r="I725" s="15" t="s">
        <v>7197</v>
      </c>
      <c r="J725" s="19" t="s">
        <v>36</v>
      </c>
      <c r="K725" s="19" t="s">
        <v>1269</v>
      </c>
      <c r="L725" s="19" t="s">
        <v>38</v>
      </c>
      <c r="M725" s="20">
        <f t="shared" si="1"/>
        <v>0</v>
      </c>
      <c r="N725" s="22"/>
      <c r="O725" s="19" t="s">
        <v>1145</v>
      </c>
      <c r="P725" s="18"/>
      <c r="Q725" s="18"/>
      <c r="R725" s="23">
        <v>0.0</v>
      </c>
      <c r="S725" s="23">
        <v>0.0</v>
      </c>
      <c r="T725" s="23">
        <f t="shared" si="2"/>
        <v>0</v>
      </c>
      <c r="U725" s="23">
        <f t="shared" si="3"/>
        <v>0</v>
      </c>
      <c r="V725" s="23">
        <f t="shared" si="4"/>
        <v>0</v>
      </c>
      <c r="W725" s="24" t="str">
        <f t="shared" si="5"/>
        <v>#DIV/0!</v>
      </c>
    </row>
    <row r="726" hidden="1">
      <c r="A726" s="15" t="s">
        <v>2261</v>
      </c>
      <c r="B726" s="18"/>
      <c r="C726" s="15" t="s">
        <v>7198</v>
      </c>
      <c r="D726" s="18"/>
      <c r="E726" s="17" t="s">
        <v>2262</v>
      </c>
      <c r="F726" s="18"/>
      <c r="G726" s="18"/>
      <c r="H726" s="15" t="s">
        <v>2263</v>
      </c>
      <c r="I726" s="15" t="s">
        <v>2264</v>
      </c>
      <c r="J726" s="19" t="s">
        <v>36</v>
      </c>
      <c r="K726" s="19" t="s">
        <v>603</v>
      </c>
      <c r="L726" s="19" t="s">
        <v>38</v>
      </c>
      <c r="M726" s="20">
        <f t="shared" si="1"/>
        <v>0</v>
      </c>
      <c r="N726" s="22"/>
      <c r="O726" s="19" t="s">
        <v>1145</v>
      </c>
      <c r="P726" s="18"/>
      <c r="Q726" s="18"/>
      <c r="R726" s="23">
        <v>0.0</v>
      </c>
      <c r="S726" s="23">
        <v>0.0</v>
      </c>
      <c r="T726" s="23">
        <f t="shared" si="2"/>
        <v>0</v>
      </c>
      <c r="U726" s="23">
        <f t="shared" si="3"/>
        <v>0</v>
      </c>
      <c r="V726" s="23">
        <f t="shared" si="4"/>
        <v>0</v>
      </c>
      <c r="W726" s="24" t="str">
        <f t="shared" si="5"/>
        <v>#DIV/0!</v>
      </c>
    </row>
    <row r="727" hidden="1">
      <c r="A727" s="15" t="s">
        <v>2265</v>
      </c>
      <c r="B727" s="18"/>
      <c r="C727" s="15" t="s">
        <v>7199</v>
      </c>
      <c r="D727" s="18"/>
      <c r="E727" s="17" t="s">
        <v>2266</v>
      </c>
      <c r="F727" s="18"/>
      <c r="G727" s="18"/>
      <c r="H727" s="15" t="s">
        <v>2267</v>
      </c>
      <c r="I727" s="15" t="s">
        <v>2268</v>
      </c>
      <c r="J727" s="19" t="s">
        <v>36</v>
      </c>
      <c r="K727" s="19" t="s">
        <v>603</v>
      </c>
      <c r="L727" s="19" t="s">
        <v>38</v>
      </c>
      <c r="M727" s="20">
        <f t="shared" si="1"/>
        <v>0</v>
      </c>
      <c r="N727" s="22"/>
      <c r="O727" s="19" t="s">
        <v>1145</v>
      </c>
      <c r="P727" s="18"/>
      <c r="Q727" s="18"/>
      <c r="R727" s="23">
        <v>0.0</v>
      </c>
      <c r="S727" s="23">
        <v>0.0</v>
      </c>
      <c r="T727" s="23">
        <f t="shared" si="2"/>
        <v>0</v>
      </c>
      <c r="U727" s="23">
        <f t="shared" si="3"/>
        <v>0</v>
      </c>
      <c r="V727" s="23">
        <f t="shared" si="4"/>
        <v>0</v>
      </c>
      <c r="W727" s="24" t="str">
        <f t="shared" si="5"/>
        <v>#DIV/0!</v>
      </c>
    </row>
    <row r="728" hidden="1">
      <c r="A728" s="15" t="s">
        <v>2269</v>
      </c>
      <c r="B728" s="18"/>
      <c r="C728" s="15" t="s">
        <v>7200</v>
      </c>
      <c r="D728" s="18"/>
      <c r="E728" s="17" t="s">
        <v>2270</v>
      </c>
      <c r="F728" s="18"/>
      <c r="G728" s="18"/>
      <c r="H728" s="15" t="s">
        <v>2271</v>
      </c>
      <c r="I728" s="15" t="s">
        <v>2272</v>
      </c>
      <c r="J728" s="19" t="s">
        <v>36</v>
      </c>
      <c r="K728" s="19" t="s">
        <v>603</v>
      </c>
      <c r="L728" s="19" t="s">
        <v>38</v>
      </c>
      <c r="M728" s="20">
        <f t="shared" si="1"/>
        <v>0</v>
      </c>
      <c r="N728" s="22"/>
      <c r="O728" s="19" t="s">
        <v>1145</v>
      </c>
      <c r="P728" s="18"/>
      <c r="Q728" s="18"/>
      <c r="R728" s="23">
        <v>0.0</v>
      </c>
      <c r="S728" s="23">
        <v>0.0</v>
      </c>
      <c r="T728" s="23">
        <f t="shared" si="2"/>
        <v>0</v>
      </c>
      <c r="U728" s="23">
        <f t="shared" si="3"/>
        <v>0</v>
      </c>
      <c r="V728" s="23">
        <f t="shared" si="4"/>
        <v>0</v>
      </c>
      <c r="W728" s="24" t="str">
        <f t="shared" si="5"/>
        <v>#DIV/0!</v>
      </c>
    </row>
    <row r="729" hidden="1">
      <c r="A729" s="15" t="s">
        <v>2273</v>
      </c>
      <c r="B729" s="18"/>
      <c r="C729" s="15" t="s">
        <v>7201</v>
      </c>
      <c r="D729" s="18"/>
      <c r="E729" s="17" t="s">
        <v>2274</v>
      </c>
      <c r="F729" s="18"/>
      <c r="G729" s="18"/>
      <c r="H729" s="15" t="s">
        <v>2275</v>
      </c>
      <c r="I729" s="15" t="s">
        <v>2276</v>
      </c>
      <c r="J729" s="19" t="s">
        <v>36</v>
      </c>
      <c r="K729" s="19" t="s">
        <v>603</v>
      </c>
      <c r="L729" s="19" t="s">
        <v>38</v>
      </c>
      <c r="M729" s="20">
        <f t="shared" si="1"/>
        <v>0</v>
      </c>
      <c r="N729" s="22"/>
      <c r="O729" s="19" t="s">
        <v>1145</v>
      </c>
      <c r="P729" s="18"/>
      <c r="Q729" s="18"/>
      <c r="R729" s="23">
        <v>0.0</v>
      </c>
      <c r="S729" s="23">
        <v>0.0</v>
      </c>
      <c r="T729" s="23">
        <f t="shared" si="2"/>
        <v>0</v>
      </c>
      <c r="U729" s="23">
        <f t="shared" si="3"/>
        <v>0</v>
      </c>
      <c r="V729" s="23">
        <f t="shared" si="4"/>
        <v>0</v>
      </c>
      <c r="W729" s="24" t="str">
        <f t="shared" si="5"/>
        <v>#DIV/0!</v>
      </c>
    </row>
    <row r="730" hidden="1">
      <c r="A730" s="15" t="s">
        <v>2277</v>
      </c>
      <c r="B730" s="18"/>
      <c r="C730" s="15" t="s">
        <v>7202</v>
      </c>
      <c r="D730" s="18"/>
      <c r="E730" s="17" t="s">
        <v>2278</v>
      </c>
      <c r="F730" s="18"/>
      <c r="G730" s="18"/>
      <c r="H730" s="15" t="s">
        <v>2279</v>
      </c>
      <c r="I730" s="15" t="s">
        <v>2280</v>
      </c>
      <c r="J730" s="19" t="s">
        <v>36</v>
      </c>
      <c r="K730" s="19" t="s">
        <v>603</v>
      </c>
      <c r="L730" s="19" t="s">
        <v>38</v>
      </c>
      <c r="M730" s="20">
        <f t="shared" si="1"/>
        <v>0</v>
      </c>
      <c r="N730" s="22"/>
      <c r="O730" s="19" t="s">
        <v>1145</v>
      </c>
      <c r="P730" s="18"/>
      <c r="Q730" s="18"/>
      <c r="R730" s="23">
        <v>0.0</v>
      </c>
      <c r="S730" s="23">
        <v>0.0</v>
      </c>
      <c r="T730" s="23">
        <f t="shared" si="2"/>
        <v>0</v>
      </c>
      <c r="U730" s="23">
        <f t="shared" si="3"/>
        <v>0</v>
      </c>
      <c r="V730" s="23">
        <f t="shared" si="4"/>
        <v>0</v>
      </c>
      <c r="W730" s="24" t="str">
        <f t="shared" si="5"/>
        <v>#DIV/0!</v>
      </c>
    </row>
    <row r="731" hidden="1">
      <c r="A731" s="15" t="s">
        <v>2281</v>
      </c>
      <c r="B731" s="18"/>
      <c r="C731" s="15" t="s">
        <v>7203</v>
      </c>
      <c r="D731" s="18"/>
      <c r="E731" s="17" t="s">
        <v>2282</v>
      </c>
      <c r="F731" s="18"/>
      <c r="G731" s="18"/>
      <c r="H731" s="15" t="s">
        <v>2283</v>
      </c>
      <c r="I731" s="15" t="s">
        <v>2284</v>
      </c>
      <c r="J731" s="19" t="s">
        <v>36</v>
      </c>
      <c r="K731" s="19" t="s">
        <v>603</v>
      </c>
      <c r="L731" s="19" t="s">
        <v>38</v>
      </c>
      <c r="M731" s="20">
        <f t="shared" si="1"/>
        <v>0</v>
      </c>
      <c r="N731" s="22"/>
      <c r="O731" s="19" t="s">
        <v>1145</v>
      </c>
      <c r="P731" s="18"/>
      <c r="Q731" s="18"/>
      <c r="R731" s="23">
        <v>0.0</v>
      </c>
      <c r="S731" s="23">
        <v>0.0</v>
      </c>
      <c r="T731" s="23">
        <f t="shared" si="2"/>
        <v>0</v>
      </c>
      <c r="U731" s="23">
        <f t="shared" si="3"/>
        <v>0</v>
      </c>
      <c r="V731" s="23">
        <f t="shared" si="4"/>
        <v>0</v>
      </c>
      <c r="W731" s="24" t="str">
        <f t="shared" si="5"/>
        <v>#DIV/0!</v>
      </c>
    </row>
    <row r="732" hidden="1">
      <c r="A732" s="15" t="s">
        <v>2285</v>
      </c>
      <c r="B732" s="18"/>
      <c r="C732" s="15" t="s">
        <v>7204</v>
      </c>
      <c r="D732" s="18"/>
      <c r="E732" s="17" t="s">
        <v>2286</v>
      </c>
      <c r="F732" s="18"/>
      <c r="G732" s="18"/>
      <c r="H732" s="15" t="s">
        <v>2287</v>
      </c>
      <c r="I732" s="15" t="s">
        <v>2288</v>
      </c>
      <c r="J732" s="19" t="s">
        <v>36</v>
      </c>
      <c r="K732" s="19" t="s">
        <v>603</v>
      </c>
      <c r="L732" s="19" t="s">
        <v>38</v>
      </c>
      <c r="M732" s="20">
        <f t="shared" si="1"/>
        <v>0</v>
      </c>
      <c r="N732" s="22"/>
      <c r="O732" s="19" t="s">
        <v>1145</v>
      </c>
      <c r="P732" s="18"/>
      <c r="Q732" s="18"/>
      <c r="R732" s="23">
        <v>0.0</v>
      </c>
      <c r="S732" s="23">
        <v>0.0</v>
      </c>
      <c r="T732" s="23">
        <f t="shared" si="2"/>
        <v>0</v>
      </c>
      <c r="U732" s="23">
        <f t="shared" si="3"/>
        <v>0</v>
      </c>
      <c r="V732" s="23">
        <f t="shared" si="4"/>
        <v>0</v>
      </c>
      <c r="W732" s="24" t="str">
        <f t="shared" si="5"/>
        <v>#DIV/0!</v>
      </c>
    </row>
    <row r="733" hidden="1">
      <c r="A733" s="15" t="s">
        <v>7205</v>
      </c>
      <c r="B733" s="18"/>
      <c r="C733" s="15" t="s">
        <v>7206</v>
      </c>
      <c r="D733" s="15" t="s">
        <v>7207</v>
      </c>
      <c r="E733" s="17" t="s">
        <v>7208</v>
      </c>
      <c r="F733" s="18"/>
      <c r="G733" s="18"/>
      <c r="H733" s="15" t="s">
        <v>7209</v>
      </c>
      <c r="I733" s="15" t="s">
        <v>7210</v>
      </c>
      <c r="J733" s="19" t="s">
        <v>36</v>
      </c>
      <c r="K733" s="19" t="s">
        <v>1230</v>
      </c>
      <c r="L733" s="19" t="s">
        <v>38</v>
      </c>
      <c r="M733" s="20">
        <f t="shared" si="1"/>
        <v>0</v>
      </c>
      <c r="N733" s="22"/>
      <c r="O733" s="19" t="s">
        <v>39</v>
      </c>
      <c r="P733" s="18"/>
      <c r="Q733" s="18"/>
      <c r="R733" s="23">
        <v>0.0</v>
      </c>
      <c r="S733" s="23">
        <v>0.0</v>
      </c>
      <c r="T733" s="23">
        <f t="shared" si="2"/>
        <v>0</v>
      </c>
      <c r="U733" s="23">
        <f t="shared" si="3"/>
        <v>0</v>
      </c>
      <c r="V733" s="23">
        <f t="shared" si="4"/>
        <v>0</v>
      </c>
      <c r="W733" s="24" t="str">
        <f t="shared" si="5"/>
        <v>#DIV/0!</v>
      </c>
    </row>
    <row r="734">
      <c r="A734" s="15" t="s">
        <v>3671</v>
      </c>
      <c r="B734" s="15" t="s">
        <v>3672</v>
      </c>
      <c r="C734" s="15" t="s">
        <v>6206</v>
      </c>
      <c r="D734" s="15" t="s">
        <v>3673</v>
      </c>
      <c r="E734" s="17" t="s">
        <v>3674</v>
      </c>
      <c r="F734" s="18"/>
      <c r="G734" s="18"/>
      <c r="H734" s="15" t="s">
        <v>3675</v>
      </c>
      <c r="I734" s="18"/>
      <c r="J734" s="19" t="s">
        <v>283</v>
      </c>
      <c r="K734" s="19" t="s">
        <v>603</v>
      </c>
      <c r="L734" s="19" t="s">
        <v>38</v>
      </c>
      <c r="M734" s="20">
        <f t="shared" si="1"/>
        <v>0</v>
      </c>
      <c r="N734" s="22"/>
      <c r="O734" s="19" t="s">
        <v>3578</v>
      </c>
      <c r="P734" s="18"/>
      <c r="Q734" s="18"/>
      <c r="R734" s="23">
        <v>0.0</v>
      </c>
      <c r="S734" s="23">
        <v>0.0</v>
      </c>
      <c r="T734" s="23">
        <f t="shared" si="2"/>
        <v>0</v>
      </c>
      <c r="U734" s="23">
        <f t="shared" si="3"/>
        <v>0</v>
      </c>
      <c r="V734" s="23">
        <f t="shared" si="4"/>
        <v>0</v>
      </c>
      <c r="W734" s="24" t="str">
        <f t="shared" si="5"/>
        <v>#DIV/0!</v>
      </c>
    </row>
    <row r="735" hidden="1">
      <c r="A735" s="15" t="s">
        <v>7211</v>
      </c>
      <c r="B735" s="15" t="s">
        <v>658</v>
      </c>
      <c r="C735" s="15" t="s">
        <v>7212</v>
      </c>
      <c r="D735" s="18"/>
      <c r="E735" s="17" t="s">
        <v>7213</v>
      </c>
      <c r="F735" s="18"/>
      <c r="G735" s="18"/>
      <c r="H735" s="15" t="s">
        <v>7214</v>
      </c>
      <c r="I735" s="15" t="s">
        <v>7215</v>
      </c>
      <c r="J735" s="19" t="s">
        <v>36</v>
      </c>
      <c r="K735" s="19" t="s">
        <v>1230</v>
      </c>
      <c r="L735" s="19" t="s">
        <v>38</v>
      </c>
      <c r="M735" s="20">
        <f t="shared" si="1"/>
        <v>0</v>
      </c>
      <c r="N735" s="22"/>
      <c r="O735" s="19" t="s">
        <v>39</v>
      </c>
      <c r="P735" s="18"/>
      <c r="Q735" s="18"/>
      <c r="R735" s="23">
        <v>0.0</v>
      </c>
      <c r="S735" s="23">
        <v>0.0</v>
      </c>
      <c r="T735" s="23">
        <f t="shared" si="2"/>
        <v>0</v>
      </c>
      <c r="U735" s="23">
        <f t="shared" si="3"/>
        <v>0</v>
      </c>
      <c r="V735" s="23">
        <f t="shared" si="4"/>
        <v>0</v>
      </c>
      <c r="W735" s="24" t="str">
        <f t="shared" si="5"/>
        <v>#DIV/0!</v>
      </c>
    </row>
    <row r="736">
      <c r="A736" s="15" t="s">
        <v>3676</v>
      </c>
      <c r="B736" s="15" t="s">
        <v>3677</v>
      </c>
      <c r="C736" s="15" t="s">
        <v>6208</v>
      </c>
      <c r="D736" s="15" t="s">
        <v>3678</v>
      </c>
      <c r="E736" s="17" t="s">
        <v>3679</v>
      </c>
      <c r="F736" s="18"/>
      <c r="G736" s="18"/>
      <c r="H736" s="15" t="s">
        <v>3680</v>
      </c>
      <c r="I736" s="18"/>
      <c r="J736" s="19" t="s">
        <v>283</v>
      </c>
      <c r="K736" s="19" t="s">
        <v>603</v>
      </c>
      <c r="L736" s="19" t="s">
        <v>38</v>
      </c>
      <c r="M736" s="20">
        <f t="shared" si="1"/>
        <v>0</v>
      </c>
      <c r="N736" s="22"/>
      <c r="O736" s="19" t="s">
        <v>3578</v>
      </c>
      <c r="P736" s="18"/>
      <c r="Q736" s="18"/>
      <c r="R736" s="23">
        <v>0.0</v>
      </c>
      <c r="S736" s="23">
        <v>0.0</v>
      </c>
      <c r="T736" s="23">
        <f t="shared" si="2"/>
        <v>0</v>
      </c>
      <c r="U736" s="23">
        <f t="shared" si="3"/>
        <v>0</v>
      </c>
      <c r="V736" s="23">
        <f t="shared" si="4"/>
        <v>0</v>
      </c>
      <c r="W736" s="24" t="str">
        <f t="shared" si="5"/>
        <v>#DIV/0!</v>
      </c>
    </row>
    <row r="737" hidden="1">
      <c r="A737" s="15" t="s">
        <v>7216</v>
      </c>
      <c r="B737" s="18"/>
      <c r="C737" s="15" t="s">
        <v>7217</v>
      </c>
      <c r="D737" s="18"/>
      <c r="E737" s="17" t="s">
        <v>7218</v>
      </c>
      <c r="F737" s="18"/>
      <c r="G737" s="18"/>
      <c r="H737" s="15" t="s">
        <v>7219</v>
      </c>
      <c r="I737" s="15" t="s">
        <v>7220</v>
      </c>
      <c r="J737" s="19" t="s">
        <v>36</v>
      </c>
      <c r="K737" s="19" t="s">
        <v>1230</v>
      </c>
      <c r="L737" s="19" t="s">
        <v>38</v>
      </c>
      <c r="M737" s="20">
        <f t="shared" si="1"/>
        <v>0</v>
      </c>
      <c r="N737" s="22"/>
      <c r="O737" s="19" t="s">
        <v>39</v>
      </c>
      <c r="P737" s="18"/>
      <c r="Q737" s="18"/>
      <c r="R737" s="23">
        <v>0.0</v>
      </c>
      <c r="S737" s="23">
        <v>0.0</v>
      </c>
      <c r="T737" s="23">
        <f t="shared" si="2"/>
        <v>0</v>
      </c>
      <c r="U737" s="23">
        <f t="shared" si="3"/>
        <v>0</v>
      </c>
      <c r="V737" s="23">
        <f t="shared" si="4"/>
        <v>0</v>
      </c>
      <c r="W737" s="24" t="str">
        <f t="shared" si="5"/>
        <v>#DIV/0!</v>
      </c>
    </row>
    <row r="738">
      <c r="A738" s="15" t="s">
        <v>3681</v>
      </c>
      <c r="B738" s="15" t="s">
        <v>3682</v>
      </c>
      <c r="C738" s="15" t="s">
        <v>6209</v>
      </c>
      <c r="D738" s="18"/>
      <c r="E738" s="17" t="s">
        <v>3683</v>
      </c>
      <c r="F738" s="18"/>
      <c r="G738" s="18"/>
      <c r="H738" s="15" t="s">
        <v>3684</v>
      </c>
      <c r="I738" s="18"/>
      <c r="J738" s="19" t="s">
        <v>283</v>
      </c>
      <c r="K738" s="19" t="s">
        <v>1230</v>
      </c>
      <c r="L738" s="19" t="s">
        <v>38</v>
      </c>
      <c r="M738" s="20">
        <f t="shared" si="1"/>
        <v>0</v>
      </c>
      <c r="N738" s="22"/>
      <c r="O738" s="19" t="s">
        <v>3578</v>
      </c>
      <c r="P738" s="18"/>
      <c r="Q738" s="18"/>
      <c r="R738" s="23">
        <v>0.0</v>
      </c>
      <c r="S738" s="23">
        <v>0.0</v>
      </c>
      <c r="T738" s="23">
        <f t="shared" si="2"/>
        <v>0</v>
      </c>
      <c r="U738" s="23">
        <f t="shared" si="3"/>
        <v>0</v>
      </c>
      <c r="V738" s="23">
        <f t="shared" si="4"/>
        <v>0</v>
      </c>
      <c r="W738" s="24" t="str">
        <f t="shared" si="5"/>
        <v>#DIV/0!</v>
      </c>
    </row>
    <row r="739" hidden="1">
      <c r="A739" s="15" t="s">
        <v>2289</v>
      </c>
      <c r="B739" s="18"/>
      <c r="C739" s="15" t="s">
        <v>7222</v>
      </c>
      <c r="D739" s="18"/>
      <c r="E739" s="17" t="s">
        <v>2290</v>
      </c>
      <c r="F739" s="18"/>
      <c r="G739" s="18"/>
      <c r="H739" s="15" t="s">
        <v>2291</v>
      </c>
      <c r="I739" s="15" t="s">
        <v>2292</v>
      </c>
      <c r="J739" s="19" t="s">
        <v>36</v>
      </c>
      <c r="K739" s="19" t="s">
        <v>105</v>
      </c>
      <c r="L739" s="19" t="s">
        <v>38</v>
      </c>
      <c r="M739" s="20">
        <f t="shared" si="1"/>
        <v>0</v>
      </c>
      <c r="N739" s="22"/>
      <c r="O739" s="19" t="s">
        <v>1145</v>
      </c>
      <c r="P739" s="18"/>
      <c r="Q739" s="18"/>
      <c r="R739" s="23">
        <v>0.0</v>
      </c>
      <c r="S739" s="23">
        <v>0.0</v>
      </c>
      <c r="T739" s="23">
        <f t="shared" si="2"/>
        <v>0</v>
      </c>
      <c r="U739" s="23">
        <f t="shared" si="3"/>
        <v>0</v>
      </c>
      <c r="V739" s="23">
        <f t="shared" si="4"/>
        <v>0</v>
      </c>
      <c r="W739" s="24" t="str">
        <f t="shared" si="5"/>
        <v>#DIV/0!</v>
      </c>
    </row>
    <row r="740" hidden="1">
      <c r="A740" s="15" t="s">
        <v>2293</v>
      </c>
      <c r="B740" s="18"/>
      <c r="C740" s="15" t="s">
        <v>7223</v>
      </c>
      <c r="D740" s="18"/>
      <c r="E740" s="17" t="s">
        <v>2294</v>
      </c>
      <c r="F740" s="18"/>
      <c r="G740" s="18"/>
      <c r="H740" s="15" t="s">
        <v>2295</v>
      </c>
      <c r="I740" s="15" t="s">
        <v>2296</v>
      </c>
      <c r="J740" s="19" t="s">
        <v>36</v>
      </c>
      <c r="K740" s="19" t="s">
        <v>1269</v>
      </c>
      <c r="L740" s="19" t="s">
        <v>38</v>
      </c>
      <c r="M740" s="20">
        <f t="shared" si="1"/>
        <v>0</v>
      </c>
      <c r="N740" s="22"/>
      <c r="O740" s="19" t="s">
        <v>1145</v>
      </c>
      <c r="P740" s="18"/>
      <c r="Q740" s="18"/>
      <c r="R740" s="23">
        <v>0.0</v>
      </c>
      <c r="S740" s="23">
        <v>0.0</v>
      </c>
      <c r="T740" s="23">
        <f t="shared" si="2"/>
        <v>0</v>
      </c>
      <c r="U740" s="23">
        <f t="shared" si="3"/>
        <v>0</v>
      </c>
      <c r="V740" s="23">
        <f t="shared" si="4"/>
        <v>0</v>
      </c>
      <c r="W740" s="24" t="str">
        <f t="shared" si="5"/>
        <v>#DIV/0!</v>
      </c>
    </row>
    <row r="741" hidden="1">
      <c r="A741" s="15" t="s">
        <v>7224</v>
      </c>
      <c r="B741" s="18"/>
      <c r="C741" s="15" t="s">
        <v>7225</v>
      </c>
      <c r="D741" s="18"/>
      <c r="E741" s="17" t="s">
        <v>7226</v>
      </c>
      <c r="F741" s="18"/>
      <c r="G741" s="18"/>
      <c r="H741" s="15" t="s">
        <v>7227</v>
      </c>
      <c r="I741" s="15" t="s">
        <v>609</v>
      </c>
      <c r="J741" s="19" t="s">
        <v>36</v>
      </c>
      <c r="K741" s="19" t="s">
        <v>1269</v>
      </c>
      <c r="L741" s="19" t="s">
        <v>38</v>
      </c>
      <c r="M741" s="20">
        <f t="shared" si="1"/>
        <v>0</v>
      </c>
      <c r="N741" s="22"/>
      <c r="O741" s="19" t="s">
        <v>39</v>
      </c>
      <c r="P741" s="18"/>
      <c r="Q741" s="18"/>
      <c r="R741" s="23">
        <v>0.0</v>
      </c>
      <c r="S741" s="23">
        <v>0.0</v>
      </c>
      <c r="T741" s="23">
        <f t="shared" si="2"/>
        <v>0</v>
      </c>
      <c r="U741" s="23">
        <f t="shared" si="3"/>
        <v>0</v>
      </c>
      <c r="V741" s="23">
        <f t="shared" si="4"/>
        <v>0</v>
      </c>
      <c r="W741" s="24" t="str">
        <f t="shared" si="5"/>
        <v>#DIV/0!</v>
      </c>
    </row>
    <row r="742" hidden="1">
      <c r="A742" s="15" t="s">
        <v>2297</v>
      </c>
      <c r="B742" s="18"/>
      <c r="C742" s="15" t="s">
        <v>7228</v>
      </c>
      <c r="D742" s="18"/>
      <c r="E742" s="17" t="s">
        <v>2298</v>
      </c>
      <c r="F742" s="18"/>
      <c r="G742" s="18"/>
      <c r="H742" s="15" t="s">
        <v>2299</v>
      </c>
      <c r="I742" s="15" t="s">
        <v>2300</v>
      </c>
      <c r="J742" s="19" t="s">
        <v>36</v>
      </c>
      <c r="K742" s="19" t="s">
        <v>1269</v>
      </c>
      <c r="L742" s="19" t="s">
        <v>38</v>
      </c>
      <c r="M742" s="20">
        <f t="shared" si="1"/>
        <v>0</v>
      </c>
      <c r="N742" s="22"/>
      <c r="O742" s="19" t="s">
        <v>1145</v>
      </c>
      <c r="P742" s="18"/>
      <c r="Q742" s="18"/>
      <c r="R742" s="23">
        <v>0.0</v>
      </c>
      <c r="S742" s="23">
        <v>0.0</v>
      </c>
      <c r="T742" s="23">
        <f t="shared" si="2"/>
        <v>0</v>
      </c>
      <c r="U742" s="23">
        <f t="shared" si="3"/>
        <v>0</v>
      </c>
      <c r="V742" s="23">
        <f t="shared" si="4"/>
        <v>0</v>
      </c>
      <c r="W742" s="24" t="str">
        <f t="shared" si="5"/>
        <v>#DIV/0!</v>
      </c>
    </row>
    <row r="743" hidden="1">
      <c r="A743" s="15" t="s">
        <v>2301</v>
      </c>
      <c r="B743" s="18"/>
      <c r="C743" s="15" t="s">
        <v>7229</v>
      </c>
      <c r="D743" s="18"/>
      <c r="E743" s="17" t="s">
        <v>2302</v>
      </c>
      <c r="F743" s="18"/>
      <c r="G743" s="18"/>
      <c r="H743" s="15" t="s">
        <v>2303</v>
      </c>
      <c r="I743" s="15" t="s">
        <v>2304</v>
      </c>
      <c r="J743" s="19" t="s">
        <v>36</v>
      </c>
      <c r="K743" s="19" t="s">
        <v>1230</v>
      </c>
      <c r="L743" s="19" t="s">
        <v>38</v>
      </c>
      <c r="M743" s="20">
        <f t="shared" si="1"/>
        <v>0</v>
      </c>
      <c r="N743" s="22"/>
      <c r="O743" s="19" t="s">
        <v>1145</v>
      </c>
      <c r="P743" s="18"/>
      <c r="Q743" s="18"/>
      <c r="R743" s="23">
        <v>0.0</v>
      </c>
      <c r="S743" s="23">
        <v>0.0</v>
      </c>
      <c r="T743" s="23">
        <f t="shared" si="2"/>
        <v>0</v>
      </c>
      <c r="U743" s="23">
        <f t="shared" si="3"/>
        <v>0</v>
      </c>
      <c r="V743" s="23">
        <f t="shared" si="4"/>
        <v>0</v>
      </c>
      <c r="W743" s="24" t="str">
        <f t="shared" si="5"/>
        <v>#DIV/0!</v>
      </c>
    </row>
    <row r="744" hidden="1">
      <c r="A744" s="15" t="s">
        <v>7230</v>
      </c>
      <c r="B744" s="18"/>
      <c r="C744" s="15" t="s">
        <v>7231</v>
      </c>
      <c r="D744" s="18"/>
      <c r="E744" s="17" t="s">
        <v>2310</v>
      </c>
      <c r="F744" s="18"/>
      <c r="G744" s="18"/>
      <c r="H744" s="15" t="s">
        <v>7232</v>
      </c>
      <c r="I744" s="15" t="s">
        <v>6469</v>
      </c>
      <c r="J744" s="19" t="s">
        <v>36</v>
      </c>
      <c r="K744" s="19" t="s">
        <v>1230</v>
      </c>
      <c r="L744" s="19" t="s">
        <v>38</v>
      </c>
      <c r="M744" s="20">
        <f t="shared" si="1"/>
        <v>0</v>
      </c>
      <c r="N744" s="22"/>
      <c r="O744" s="19" t="s">
        <v>39</v>
      </c>
      <c r="P744" s="18"/>
      <c r="Q744" s="18"/>
      <c r="R744" s="23">
        <v>0.0</v>
      </c>
      <c r="S744" s="23">
        <v>0.0</v>
      </c>
      <c r="T744" s="23">
        <f t="shared" si="2"/>
        <v>0</v>
      </c>
      <c r="U744" s="23">
        <f t="shared" si="3"/>
        <v>0</v>
      </c>
      <c r="V744" s="23">
        <f t="shared" si="4"/>
        <v>0</v>
      </c>
      <c r="W744" s="24" t="str">
        <f t="shared" si="5"/>
        <v>#DIV/0!</v>
      </c>
    </row>
    <row r="745" hidden="1">
      <c r="A745" s="15" t="s">
        <v>7233</v>
      </c>
      <c r="B745" s="15" t="s">
        <v>7234</v>
      </c>
      <c r="C745" s="15" t="s">
        <v>7235</v>
      </c>
      <c r="D745" s="18"/>
      <c r="E745" s="17" t="s">
        <v>7236</v>
      </c>
      <c r="F745" s="18"/>
      <c r="G745" s="18"/>
      <c r="H745" s="15" t="s">
        <v>7237</v>
      </c>
      <c r="I745" s="15" t="s">
        <v>426</v>
      </c>
      <c r="J745" s="19" t="s">
        <v>36</v>
      </c>
      <c r="K745" s="19" t="s">
        <v>1230</v>
      </c>
      <c r="L745" s="19" t="s">
        <v>38</v>
      </c>
      <c r="M745" s="20">
        <f t="shared" si="1"/>
        <v>0</v>
      </c>
      <c r="N745" s="22"/>
      <c r="O745" s="19" t="s">
        <v>39</v>
      </c>
      <c r="P745" s="18"/>
      <c r="Q745" s="18"/>
      <c r="R745" s="23">
        <v>0.0</v>
      </c>
      <c r="S745" s="23">
        <v>0.0</v>
      </c>
      <c r="T745" s="23">
        <f t="shared" si="2"/>
        <v>0</v>
      </c>
      <c r="U745" s="23">
        <f t="shared" si="3"/>
        <v>0</v>
      </c>
      <c r="V745" s="23">
        <f t="shared" si="4"/>
        <v>0</v>
      </c>
      <c r="W745" s="24" t="str">
        <f t="shared" si="5"/>
        <v>#DIV/0!</v>
      </c>
    </row>
    <row r="746" hidden="1">
      <c r="A746" s="15" t="s">
        <v>2305</v>
      </c>
      <c r="B746" s="18"/>
      <c r="C746" s="15" t="s">
        <v>7238</v>
      </c>
      <c r="D746" s="18"/>
      <c r="E746" s="17" t="s">
        <v>2306</v>
      </c>
      <c r="F746" s="18"/>
      <c r="G746" s="18"/>
      <c r="H746" s="15" t="s">
        <v>2307</v>
      </c>
      <c r="I746" s="15" t="s">
        <v>2308</v>
      </c>
      <c r="J746" s="19" t="s">
        <v>36</v>
      </c>
      <c r="K746" s="19" t="s">
        <v>1230</v>
      </c>
      <c r="L746" s="19" t="s">
        <v>38</v>
      </c>
      <c r="M746" s="20">
        <f t="shared" si="1"/>
        <v>0</v>
      </c>
      <c r="N746" s="22"/>
      <c r="O746" s="19" t="s">
        <v>1145</v>
      </c>
      <c r="P746" s="18"/>
      <c r="Q746" s="18"/>
      <c r="R746" s="23">
        <v>0.0</v>
      </c>
      <c r="S746" s="23">
        <v>0.0</v>
      </c>
      <c r="T746" s="23">
        <f t="shared" si="2"/>
        <v>0</v>
      </c>
      <c r="U746" s="23">
        <f t="shared" si="3"/>
        <v>0</v>
      </c>
      <c r="V746" s="23">
        <f t="shared" si="4"/>
        <v>0</v>
      </c>
      <c r="W746" s="24" t="str">
        <f t="shared" si="5"/>
        <v>#DIV/0!</v>
      </c>
    </row>
    <row r="747" hidden="1">
      <c r="A747" s="15" t="s">
        <v>2309</v>
      </c>
      <c r="B747" s="18"/>
      <c r="C747" s="15" t="s">
        <v>7239</v>
      </c>
      <c r="D747" s="18"/>
      <c r="E747" s="17" t="s">
        <v>2310</v>
      </c>
      <c r="F747" s="18"/>
      <c r="G747" s="18"/>
      <c r="H747" s="15" t="s">
        <v>2311</v>
      </c>
      <c r="I747" s="15" t="s">
        <v>2312</v>
      </c>
      <c r="J747" s="19" t="s">
        <v>36</v>
      </c>
      <c r="K747" s="19" t="s">
        <v>1230</v>
      </c>
      <c r="L747" s="19" t="s">
        <v>38</v>
      </c>
      <c r="M747" s="20">
        <f t="shared" si="1"/>
        <v>0</v>
      </c>
      <c r="N747" s="22"/>
      <c r="O747" s="19" t="s">
        <v>1145</v>
      </c>
      <c r="P747" s="18"/>
      <c r="Q747" s="18"/>
      <c r="R747" s="23">
        <v>0.0</v>
      </c>
      <c r="S747" s="23">
        <v>0.0</v>
      </c>
      <c r="T747" s="23">
        <f t="shared" si="2"/>
        <v>0</v>
      </c>
      <c r="U747" s="23">
        <f t="shared" si="3"/>
        <v>0</v>
      </c>
      <c r="V747" s="23">
        <f t="shared" si="4"/>
        <v>0</v>
      </c>
      <c r="W747" s="24" t="str">
        <f t="shared" si="5"/>
        <v>#DIV/0!</v>
      </c>
    </row>
    <row r="748" hidden="1">
      <c r="A748" s="15" t="s">
        <v>2313</v>
      </c>
      <c r="B748" s="18"/>
      <c r="C748" s="15" t="s">
        <v>7240</v>
      </c>
      <c r="D748" s="18"/>
      <c r="E748" s="17" t="s">
        <v>2310</v>
      </c>
      <c r="F748" s="18"/>
      <c r="G748" s="18"/>
      <c r="H748" s="15" t="s">
        <v>2314</v>
      </c>
      <c r="I748" s="15" t="s">
        <v>2315</v>
      </c>
      <c r="J748" s="19" t="s">
        <v>36</v>
      </c>
      <c r="K748" s="19" t="s">
        <v>1230</v>
      </c>
      <c r="L748" s="19" t="s">
        <v>38</v>
      </c>
      <c r="M748" s="20">
        <f t="shared" si="1"/>
        <v>0</v>
      </c>
      <c r="N748" s="22"/>
      <c r="O748" s="19" t="s">
        <v>1145</v>
      </c>
      <c r="P748" s="18"/>
      <c r="Q748" s="18"/>
      <c r="R748" s="23">
        <v>0.0</v>
      </c>
      <c r="S748" s="23">
        <v>0.0</v>
      </c>
      <c r="T748" s="23">
        <f t="shared" si="2"/>
        <v>0</v>
      </c>
      <c r="U748" s="23">
        <f t="shared" si="3"/>
        <v>0</v>
      </c>
      <c r="V748" s="23">
        <f t="shared" si="4"/>
        <v>0</v>
      </c>
      <c r="W748" s="24" t="str">
        <f t="shared" si="5"/>
        <v>#DIV/0!</v>
      </c>
    </row>
    <row r="749" hidden="1">
      <c r="A749" s="15" t="s">
        <v>7241</v>
      </c>
      <c r="B749" s="18"/>
      <c r="C749" s="15" t="s">
        <v>7242</v>
      </c>
      <c r="D749" s="18"/>
      <c r="E749" s="17" t="s">
        <v>7243</v>
      </c>
      <c r="F749" s="18"/>
      <c r="G749" s="18"/>
      <c r="H749" s="15" t="s">
        <v>7244</v>
      </c>
      <c r="I749" s="15" t="s">
        <v>7245</v>
      </c>
      <c r="J749" s="19" t="s">
        <v>36</v>
      </c>
      <c r="K749" s="19" t="s">
        <v>1230</v>
      </c>
      <c r="L749" s="19" t="s">
        <v>38</v>
      </c>
      <c r="M749" s="20">
        <f t="shared" si="1"/>
        <v>0</v>
      </c>
      <c r="N749" s="22"/>
      <c r="O749" s="19" t="s">
        <v>39</v>
      </c>
      <c r="P749" s="18"/>
      <c r="Q749" s="18"/>
      <c r="R749" s="23">
        <v>0.0</v>
      </c>
      <c r="S749" s="23">
        <v>0.0</v>
      </c>
      <c r="T749" s="23">
        <f t="shared" si="2"/>
        <v>0</v>
      </c>
      <c r="U749" s="23">
        <f t="shared" si="3"/>
        <v>0</v>
      </c>
      <c r="V749" s="23">
        <f t="shared" si="4"/>
        <v>0</v>
      </c>
      <c r="W749" s="24" t="str">
        <f t="shared" si="5"/>
        <v>#DIV/0!</v>
      </c>
    </row>
    <row r="750" hidden="1">
      <c r="A750" s="15" t="s">
        <v>2316</v>
      </c>
      <c r="B750" s="18"/>
      <c r="C750" s="15" t="s">
        <v>7246</v>
      </c>
      <c r="D750" s="18"/>
      <c r="E750" s="17" t="s">
        <v>2317</v>
      </c>
      <c r="F750" s="18"/>
      <c r="G750" s="18"/>
      <c r="H750" s="15" t="s">
        <v>2318</v>
      </c>
      <c r="I750" s="15" t="s">
        <v>2319</v>
      </c>
      <c r="J750" s="19" t="s">
        <v>36</v>
      </c>
      <c r="K750" s="19" t="s">
        <v>402</v>
      </c>
      <c r="L750" s="19" t="s">
        <v>38</v>
      </c>
      <c r="M750" s="20">
        <f t="shared" si="1"/>
        <v>0</v>
      </c>
      <c r="N750" s="22"/>
      <c r="O750" s="19" t="s">
        <v>1145</v>
      </c>
      <c r="P750" s="18"/>
      <c r="Q750" s="18"/>
      <c r="R750" s="23">
        <v>0.0</v>
      </c>
      <c r="S750" s="23">
        <v>0.0</v>
      </c>
      <c r="T750" s="23">
        <f t="shared" si="2"/>
        <v>0</v>
      </c>
      <c r="U750" s="23">
        <f t="shared" si="3"/>
        <v>0</v>
      </c>
      <c r="V750" s="23">
        <f t="shared" si="4"/>
        <v>0</v>
      </c>
      <c r="W750" s="24" t="str">
        <f t="shared" si="5"/>
        <v>#DIV/0!</v>
      </c>
    </row>
    <row r="751" hidden="1">
      <c r="A751" s="15" t="s">
        <v>2320</v>
      </c>
      <c r="B751" s="18"/>
      <c r="C751" s="15" t="s">
        <v>7247</v>
      </c>
      <c r="D751" s="18"/>
      <c r="E751" s="17" t="s">
        <v>2321</v>
      </c>
      <c r="F751" s="18"/>
      <c r="G751" s="18"/>
      <c r="H751" s="15" t="s">
        <v>2322</v>
      </c>
      <c r="I751" s="15" t="s">
        <v>2323</v>
      </c>
      <c r="J751" s="19" t="s">
        <v>36</v>
      </c>
      <c r="K751" s="19" t="s">
        <v>402</v>
      </c>
      <c r="L751" s="19" t="s">
        <v>38</v>
      </c>
      <c r="M751" s="20">
        <f t="shared" si="1"/>
        <v>0</v>
      </c>
      <c r="N751" s="22"/>
      <c r="O751" s="19" t="s">
        <v>1145</v>
      </c>
      <c r="P751" s="18"/>
      <c r="Q751" s="18"/>
      <c r="R751" s="23">
        <v>0.0</v>
      </c>
      <c r="S751" s="23">
        <v>0.0</v>
      </c>
      <c r="T751" s="23">
        <f t="shared" si="2"/>
        <v>0</v>
      </c>
      <c r="U751" s="23">
        <f t="shared" si="3"/>
        <v>0</v>
      </c>
      <c r="V751" s="23">
        <f t="shared" si="4"/>
        <v>0</v>
      </c>
      <c r="W751" s="24" t="str">
        <f t="shared" si="5"/>
        <v>#DIV/0!</v>
      </c>
    </row>
    <row r="752" hidden="1">
      <c r="A752" s="15" t="s">
        <v>7248</v>
      </c>
      <c r="B752" s="15" t="s">
        <v>447</v>
      </c>
      <c r="C752" s="15" t="s">
        <v>7249</v>
      </c>
      <c r="D752" s="18"/>
      <c r="E752" s="17" t="s">
        <v>7250</v>
      </c>
      <c r="F752" s="18"/>
      <c r="G752" s="18"/>
      <c r="H752" s="15" t="s">
        <v>7251</v>
      </c>
      <c r="I752" s="15" t="s">
        <v>7252</v>
      </c>
      <c r="J752" s="19" t="s">
        <v>36</v>
      </c>
      <c r="K752" s="19" t="s">
        <v>1230</v>
      </c>
      <c r="L752" s="19" t="s">
        <v>38</v>
      </c>
      <c r="M752" s="20">
        <f t="shared" si="1"/>
        <v>0</v>
      </c>
      <c r="N752" s="22"/>
      <c r="O752" s="19" t="s">
        <v>39</v>
      </c>
      <c r="P752" s="18"/>
      <c r="Q752" s="18"/>
      <c r="R752" s="23">
        <v>0.0</v>
      </c>
      <c r="S752" s="23">
        <v>0.0</v>
      </c>
      <c r="T752" s="23">
        <f t="shared" si="2"/>
        <v>0</v>
      </c>
      <c r="U752" s="23">
        <f t="shared" si="3"/>
        <v>0</v>
      </c>
      <c r="V752" s="23">
        <f t="shared" si="4"/>
        <v>0</v>
      </c>
      <c r="W752" s="24" t="str">
        <f t="shared" si="5"/>
        <v>#DIV/0!</v>
      </c>
    </row>
    <row r="753" hidden="1">
      <c r="A753" s="15" t="s">
        <v>4821</v>
      </c>
      <c r="B753" s="18"/>
      <c r="C753" s="15" t="s">
        <v>7253</v>
      </c>
      <c r="D753" s="18"/>
      <c r="E753" s="17" t="s">
        <v>7254</v>
      </c>
      <c r="F753" s="18"/>
      <c r="G753" s="18"/>
      <c r="H753" s="15" t="s">
        <v>7255</v>
      </c>
      <c r="I753" s="15" t="s">
        <v>4825</v>
      </c>
      <c r="J753" s="19" t="s">
        <v>36</v>
      </c>
      <c r="K753" s="19" t="s">
        <v>284</v>
      </c>
      <c r="L753" s="19" t="s">
        <v>38</v>
      </c>
      <c r="M753" s="20">
        <f t="shared" si="1"/>
        <v>0</v>
      </c>
      <c r="N753" s="22"/>
      <c r="O753" s="19" t="s">
        <v>1145</v>
      </c>
      <c r="P753" s="18"/>
      <c r="Q753" s="18"/>
      <c r="R753" s="23">
        <v>0.0</v>
      </c>
      <c r="S753" s="23">
        <v>0.0</v>
      </c>
      <c r="T753" s="23">
        <f t="shared" si="2"/>
        <v>0</v>
      </c>
      <c r="U753" s="23">
        <f t="shared" si="3"/>
        <v>0</v>
      </c>
      <c r="V753" s="23">
        <f t="shared" si="4"/>
        <v>0</v>
      </c>
      <c r="W753" s="24" t="str">
        <f t="shared" si="5"/>
        <v>#DIV/0!</v>
      </c>
    </row>
    <row r="754" hidden="1">
      <c r="A754" s="15" t="s">
        <v>2324</v>
      </c>
      <c r="B754" s="18"/>
      <c r="C754" s="15" t="s">
        <v>7256</v>
      </c>
      <c r="D754" s="18"/>
      <c r="E754" s="17" t="s">
        <v>2325</v>
      </c>
      <c r="F754" s="18"/>
      <c r="G754" s="18"/>
      <c r="H754" s="15" t="s">
        <v>2326</v>
      </c>
      <c r="I754" s="15" t="s">
        <v>2327</v>
      </c>
      <c r="J754" s="19" t="s">
        <v>36</v>
      </c>
      <c r="K754" s="19" t="s">
        <v>105</v>
      </c>
      <c r="L754" s="19" t="s">
        <v>38</v>
      </c>
      <c r="M754" s="20">
        <f t="shared" si="1"/>
        <v>0</v>
      </c>
      <c r="N754" s="22"/>
      <c r="O754" s="19" t="s">
        <v>1145</v>
      </c>
      <c r="P754" s="18"/>
      <c r="Q754" s="18"/>
      <c r="R754" s="23">
        <v>0.0</v>
      </c>
      <c r="S754" s="23">
        <v>0.0</v>
      </c>
      <c r="T754" s="23">
        <f t="shared" si="2"/>
        <v>0</v>
      </c>
      <c r="U754" s="23">
        <f t="shared" si="3"/>
        <v>0</v>
      </c>
      <c r="V754" s="23">
        <f t="shared" si="4"/>
        <v>0</v>
      </c>
      <c r="W754" s="24" t="str">
        <f t="shared" si="5"/>
        <v>#DIV/0!</v>
      </c>
    </row>
    <row r="755" hidden="1">
      <c r="A755" s="15" t="s">
        <v>2328</v>
      </c>
      <c r="B755" s="18"/>
      <c r="C755" s="15" t="s">
        <v>7257</v>
      </c>
      <c r="D755" s="18"/>
      <c r="E755" s="17" t="s">
        <v>2325</v>
      </c>
      <c r="F755" s="18"/>
      <c r="G755" s="18"/>
      <c r="H755" s="15" t="s">
        <v>2329</v>
      </c>
      <c r="I755" s="15" t="s">
        <v>2330</v>
      </c>
      <c r="J755" s="19" t="s">
        <v>36</v>
      </c>
      <c r="K755" s="19" t="s">
        <v>105</v>
      </c>
      <c r="L755" s="19" t="s">
        <v>38</v>
      </c>
      <c r="M755" s="20">
        <f t="shared" si="1"/>
        <v>0</v>
      </c>
      <c r="N755" s="22"/>
      <c r="O755" s="19" t="s">
        <v>1145</v>
      </c>
      <c r="P755" s="18"/>
      <c r="Q755" s="18"/>
      <c r="R755" s="23">
        <v>0.0</v>
      </c>
      <c r="S755" s="23">
        <v>0.0</v>
      </c>
      <c r="T755" s="23">
        <f t="shared" si="2"/>
        <v>0</v>
      </c>
      <c r="U755" s="23">
        <f t="shared" si="3"/>
        <v>0</v>
      </c>
      <c r="V755" s="23">
        <f t="shared" si="4"/>
        <v>0</v>
      </c>
      <c r="W755" s="24" t="str">
        <f t="shared" si="5"/>
        <v>#DIV/0!</v>
      </c>
    </row>
    <row r="756" hidden="1">
      <c r="A756" s="15" t="s">
        <v>4826</v>
      </c>
      <c r="B756" s="18"/>
      <c r="C756" s="15" t="s">
        <v>7258</v>
      </c>
      <c r="D756" s="18"/>
      <c r="E756" s="17" t="s">
        <v>7259</v>
      </c>
      <c r="F756" s="18"/>
      <c r="G756" s="18"/>
      <c r="H756" s="15" t="s">
        <v>7260</v>
      </c>
      <c r="I756" s="15" t="s">
        <v>4829</v>
      </c>
      <c r="J756" s="19" t="s">
        <v>36</v>
      </c>
      <c r="K756" s="19" t="s">
        <v>1230</v>
      </c>
      <c r="L756" s="19" t="s">
        <v>38</v>
      </c>
      <c r="M756" s="20">
        <f t="shared" si="1"/>
        <v>0</v>
      </c>
      <c r="N756" s="22"/>
      <c r="O756" s="19" t="s">
        <v>1145</v>
      </c>
      <c r="P756" s="18"/>
      <c r="Q756" s="18"/>
      <c r="R756" s="23">
        <v>0.0</v>
      </c>
      <c r="S756" s="23">
        <v>0.0</v>
      </c>
      <c r="T756" s="23">
        <f t="shared" si="2"/>
        <v>0</v>
      </c>
      <c r="U756" s="23">
        <f t="shared" si="3"/>
        <v>0</v>
      </c>
      <c r="V756" s="23">
        <f t="shared" si="4"/>
        <v>0</v>
      </c>
      <c r="W756" s="24" t="str">
        <f t="shared" si="5"/>
        <v>#DIV/0!</v>
      </c>
    </row>
    <row r="757" hidden="1">
      <c r="A757" s="15" t="s">
        <v>2331</v>
      </c>
      <c r="B757" s="18"/>
      <c r="C757" s="15" t="s">
        <v>7261</v>
      </c>
      <c r="D757" s="18"/>
      <c r="E757" s="17" t="s">
        <v>2332</v>
      </c>
      <c r="F757" s="18"/>
      <c r="G757" s="18"/>
      <c r="H757" s="15" t="s">
        <v>2333</v>
      </c>
      <c r="I757" s="15" t="s">
        <v>2334</v>
      </c>
      <c r="J757" s="19" t="s">
        <v>36</v>
      </c>
      <c r="K757" s="19" t="s">
        <v>105</v>
      </c>
      <c r="L757" s="19" t="s">
        <v>38</v>
      </c>
      <c r="M757" s="20">
        <f t="shared" si="1"/>
        <v>0</v>
      </c>
      <c r="N757" s="22"/>
      <c r="O757" s="19" t="s">
        <v>1145</v>
      </c>
      <c r="P757" s="18"/>
      <c r="Q757" s="18"/>
      <c r="R757" s="23">
        <v>0.0</v>
      </c>
      <c r="S757" s="23">
        <v>0.0</v>
      </c>
      <c r="T757" s="23">
        <f t="shared" si="2"/>
        <v>0</v>
      </c>
      <c r="U757" s="23">
        <f t="shared" si="3"/>
        <v>0</v>
      </c>
      <c r="V757" s="23">
        <f t="shared" si="4"/>
        <v>0</v>
      </c>
      <c r="W757" s="24" t="str">
        <f t="shared" si="5"/>
        <v>#DIV/0!</v>
      </c>
    </row>
    <row r="758" hidden="1">
      <c r="A758" s="15" t="s">
        <v>2335</v>
      </c>
      <c r="B758" s="18"/>
      <c r="C758" s="15" t="s">
        <v>7262</v>
      </c>
      <c r="D758" s="18"/>
      <c r="E758" s="17" t="s">
        <v>2336</v>
      </c>
      <c r="F758" s="18"/>
      <c r="G758" s="18"/>
      <c r="H758" s="15" t="s">
        <v>2337</v>
      </c>
      <c r="I758" s="15" t="s">
        <v>2338</v>
      </c>
      <c r="J758" s="19" t="s">
        <v>36</v>
      </c>
      <c r="K758" s="19" t="s">
        <v>284</v>
      </c>
      <c r="L758" s="19" t="s">
        <v>38</v>
      </c>
      <c r="M758" s="20">
        <f t="shared" si="1"/>
        <v>0</v>
      </c>
      <c r="N758" s="22"/>
      <c r="O758" s="19" t="s">
        <v>1145</v>
      </c>
      <c r="P758" s="18"/>
      <c r="Q758" s="18"/>
      <c r="R758" s="23">
        <v>0.0</v>
      </c>
      <c r="S758" s="23">
        <v>0.0</v>
      </c>
      <c r="T758" s="23">
        <f t="shared" si="2"/>
        <v>0</v>
      </c>
      <c r="U758" s="23">
        <f t="shared" si="3"/>
        <v>0</v>
      </c>
      <c r="V758" s="23">
        <f t="shared" si="4"/>
        <v>0</v>
      </c>
      <c r="W758" s="24" t="str">
        <f t="shared" si="5"/>
        <v>#DIV/0!</v>
      </c>
    </row>
    <row r="759" hidden="1">
      <c r="A759" s="15" t="s">
        <v>2339</v>
      </c>
      <c r="B759" s="18"/>
      <c r="C759" s="15" t="s">
        <v>7263</v>
      </c>
      <c r="D759" s="18"/>
      <c r="E759" s="17" t="s">
        <v>2340</v>
      </c>
      <c r="F759" s="18"/>
      <c r="G759" s="18"/>
      <c r="H759" s="15" t="s">
        <v>2341</v>
      </c>
      <c r="I759" s="15" t="s">
        <v>2342</v>
      </c>
      <c r="J759" s="19" t="s">
        <v>36</v>
      </c>
      <c r="K759" s="19" t="s">
        <v>105</v>
      </c>
      <c r="L759" s="19" t="s">
        <v>38</v>
      </c>
      <c r="M759" s="20">
        <f t="shared" si="1"/>
        <v>0</v>
      </c>
      <c r="N759" s="22"/>
      <c r="O759" s="19" t="s">
        <v>1145</v>
      </c>
      <c r="P759" s="18"/>
      <c r="Q759" s="18"/>
      <c r="R759" s="23">
        <v>0.0</v>
      </c>
      <c r="S759" s="23">
        <v>0.0</v>
      </c>
      <c r="T759" s="23">
        <f t="shared" si="2"/>
        <v>0</v>
      </c>
      <c r="U759" s="23">
        <f t="shared" si="3"/>
        <v>0</v>
      </c>
      <c r="V759" s="23">
        <f t="shared" si="4"/>
        <v>0</v>
      </c>
      <c r="W759" s="24" t="str">
        <f t="shared" si="5"/>
        <v>#DIV/0!</v>
      </c>
    </row>
    <row r="760" hidden="1">
      <c r="A760" s="15" t="s">
        <v>2343</v>
      </c>
      <c r="B760" s="18"/>
      <c r="C760" s="15" t="s">
        <v>7264</v>
      </c>
      <c r="D760" s="18"/>
      <c r="E760" s="17" t="s">
        <v>2344</v>
      </c>
      <c r="F760" s="18"/>
      <c r="G760" s="18"/>
      <c r="H760" s="15" t="s">
        <v>2341</v>
      </c>
      <c r="I760" s="15" t="s">
        <v>2342</v>
      </c>
      <c r="J760" s="19" t="s">
        <v>36</v>
      </c>
      <c r="K760" s="19" t="s">
        <v>105</v>
      </c>
      <c r="L760" s="19" t="s">
        <v>38</v>
      </c>
      <c r="M760" s="20">
        <f t="shared" si="1"/>
        <v>0</v>
      </c>
      <c r="N760" s="22"/>
      <c r="O760" s="19" t="s">
        <v>1145</v>
      </c>
      <c r="P760" s="18"/>
      <c r="Q760" s="18"/>
      <c r="R760" s="23">
        <v>0.0</v>
      </c>
      <c r="S760" s="23">
        <v>0.0</v>
      </c>
      <c r="T760" s="23">
        <f t="shared" si="2"/>
        <v>0</v>
      </c>
      <c r="U760" s="23">
        <f t="shared" si="3"/>
        <v>0</v>
      </c>
      <c r="V760" s="23">
        <f t="shared" si="4"/>
        <v>0</v>
      </c>
      <c r="W760" s="24" t="str">
        <f t="shared" si="5"/>
        <v>#DIV/0!</v>
      </c>
    </row>
    <row r="761" hidden="1">
      <c r="A761" s="15" t="s">
        <v>2345</v>
      </c>
      <c r="B761" s="18"/>
      <c r="C761" s="15" t="s">
        <v>7265</v>
      </c>
      <c r="D761" s="18"/>
      <c r="E761" s="17" t="s">
        <v>2346</v>
      </c>
      <c r="F761" s="18"/>
      <c r="G761" s="18"/>
      <c r="H761" s="15" t="s">
        <v>2347</v>
      </c>
      <c r="I761" s="15" t="s">
        <v>2348</v>
      </c>
      <c r="J761" s="19" t="s">
        <v>36</v>
      </c>
      <c r="K761" s="19" t="s">
        <v>105</v>
      </c>
      <c r="L761" s="19" t="s">
        <v>38</v>
      </c>
      <c r="M761" s="20">
        <f t="shared" si="1"/>
        <v>0</v>
      </c>
      <c r="N761" s="22"/>
      <c r="O761" s="19" t="s">
        <v>1145</v>
      </c>
      <c r="P761" s="18"/>
      <c r="Q761" s="18"/>
      <c r="R761" s="23">
        <v>0.0</v>
      </c>
      <c r="S761" s="23">
        <v>0.0</v>
      </c>
      <c r="T761" s="23">
        <f t="shared" si="2"/>
        <v>0</v>
      </c>
      <c r="U761" s="23">
        <f t="shared" si="3"/>
        <v>0</v>
      </c>
      <c r="V761" s="23">
        <f t="shared" si="4"/>
        <v>0</v>
      </c>
      <c r="W761" s="24" t="str">
        <f t="shared" si="5"/>
        <v>#DIV/0!</v>
      </c>
    </row>
    <row r="762" hidden="1">
      <c r="A762" s="15" t="s">
        <v>2349</v>
      </c>
      <c r="B762" s="18"/>
      <c r="C762" s="15" t="s">
        <v>7266</v>
      </c>
      <c r="D762" s="18"/>
      <c r="E762" s="17" t="s">
        <v>2350</v>
      </c>
      <c r="F762" s="18"/>
      <c r="G762" s="18"/>
      <c r="H762" s="15" t="s">
        <v>2351</v>
      </c>
      <c r="I762" s="15" t="s">
        <v>2352</v>
      </c>
      <c r="J762" s="19" t="s">
        <v>36</v>
      </c>
      <c r="K762" s="19" t="s">
        <v>105</v>
      </c>
      <c r="L762" s="19" t="s">
        <v>38</v>
      </c>
      <c r="M762" s="20">
        <f t="shared" si="1"/>
        <v>0</v>
      </c>
      <c r="N762" s="22"/>
      <c r="O762" s="19" t="s">
        <v>1145</v>
      </c>
      <c r="P762" s="18"/>
      <c r="Q762" s="18"/>
      <c r="R762" s="23">
        <v>0.0</v>
      </c>
      <c r="S762" s="23">
        <v>0.0</v>
      </c>
      <c r="T762" s="23">
        <f t="shared" si="2"/>
        <v>0</v>
      </c>
      <c r="U762" s="23">
        <f t="shared" si="3"/>
        <v>0</v>
      </c>
      <c r="V762" s="23">
        <f t="shared" si="4"/>
        <v>0</v>
      </c>
      <c r="W762" s="24" t="str">
        <f t="shared" si="5"/>
        <v>#DIV/0!</v>
      </c>
    </row>
    <row r="763" hidden="1">
      <c r="A763" s="15" t="s">
        <v>2353</v>
      </c>
      <c r="B763" s="18"/>
      <c r="C763" s="15" t="s">
        <v>7267</v>
      </c>
      <c r="D763" s="18"/>
      <c r="E763" s="17" t="s">
        <v>2354</v>
      </c>
      <c r="F763" s="18"/>
      <c r="G763" s="18"/>
      <c r="H763" s="15" t="s">
        <v>2355</v>
      </c>
      <c r="I763" s="15" t="s">
        <v>2356</v>
      </c>
      <c r="J763" s="19" t="s">
        <v>36</v>
      </c>
      <c r="K763" s="19" t="s">
        <v>105</v>
      </c>
      <c r="L763" s="19" t="s">
        <v>38</v>
      </c>
      <c r="M763" s="20">
        <f t="shared" si="1"/>
        <v>0</v>
      </c>
      <c r="N763" s="22"/>
      <c r="O763" s="19" t="s">
        <v>1145</v>
      </c>
      <c r="P763" s="18"/>
      <c r="Q763" s="18"/>
      <c r="R763" s="23">
        <v>0.0</v>
      </c>
      <c r="S763" s="23">
        <v>0.0</v>
      </c>
      <c r="T763" s="23">
        <f t="shared" si="2"/>
        <v>0</v>
      </c>
      <c r="U763" s="23">
        <f t="shared" si="3"/>
        <v>0</v>
      </c>
      <c r="V763" s="23">
        <f t="shared" si="4"/>
        <v>0</v>
      </c>
      <c r="W763" s="24" t="str">
        <f t="shared" si="5"/>
        <v>#DIV/0!</v>
      </c>
    </row>
    <row r="764" hidden="1">
      <c r="A764" s="15" t="s">
        <v>2357</v>
      </c>
      <c r="B764" s="18"/>
      <c r="C764" s="15" t="s">
        <v>7268</v>
      </c>
      <c r="D764" s="18"/>
      <c r="E764" s="17" t="s">
        <v>2358</v>
      </c>
      <c r="F764" s="18"/>
      <c r="G764" s="18"/>
      <c r="H764" s="15" t="s">
        <v>2359</v>
      </c>
      <c r="I764" s="15" t="s">
        <v>2360</v>
      </c>
      <c r="J764" s="19" t="s">
        <v>36</v>
      </c>
      <c r="K764" s="19" t="s">
        <v>1230</v>
      </c>
      <c r="L764" s="19" t="s">
        <v>38</v>
      </c>
      <c r="M764" s="20">
        <f t="shared" si="1"/>
        <v>0</v>
      </c>
      <c r="N764" s="22"/>
      <c r="O764" s="19" t="s">
        <v>1145</v>
      </c>
      <c r="P764" s="18"/>
      <c r="Q764" s="18"/>
      <c r="R764" s="23">
        <v>0.0</v>
      </c>
      <c r="S764" s="23">
        <v>0.0</v>
      </c>
      <c r="T764" s="23">
        <f t="shared" si="2"/>
        <v>0</v>
      </c>
      <c r="U764" s="23">
        <f t="shared" si="3"/>
        <v>0</v>
      </c>
      <c r="V764" s="23">
        <f t="shared" si="4"/>
        <v>0</v>
      </c>
      <c r="W764" s="24" t="str">
        <f t="shared" si="5"/>
        <v>#DIV/0!</v>
      </c>
    </row>
    <row r="765" hidden="1">
      <c r="A765" s="15" t="s">
        <v>7269</v>
      </c>
      <c r="B765" s="18"/>
      <c r="C765" s="15" t="s">
        <v>7270</v>
      </c>
      <c r="D765" s="18"/>
      <c r="E765" s="17" t="s">
        <v>7271</v>
      </c>
      <c r="F765" s="18"/>
      <c r="G765" s="18"/>
      <c r="H765" s="15" t="s">
        <v>7272</v>
      </c>
      <c r="I765" s="15" t="s">
        <v>7273</v>
      </c>
      <c r="J765" s="19" t="s">
        <v>36</v>
      </c>
      <c r="K765" s="19" t="s">
        <v>105</v>
      </c>
      <c r="L765" s="19" t="s">
        <v>38</v>
      </c>
      <c r="M765" s="20">
        <f t="shared" si="1"/>
        <v>0</v>
      </c>
      <c r="N765" s="22"/>
      <c r="O765" s="19" t="s">
        <v>39</v>
      </c>
      <c r="P765" s="18"/>
      <c r="Q765" s="18"/>
      <c r="R765" s="23">
        <v>0.0</v>
      </c>
      <c r="S765" s="23">
        <v>0.0</v>
      </c>
      <c r="T765" s="23">
        <f t="shared" si="2"/>
        <v>0</v>
      </c>
      <c r="U765" s="23">
        <f t="shared" si="3"/>
        <v>0</v>
      </c>
      <c r="V765" s="23">
        <f t="shared" si="4"/>
        <v>0</v>
      </c>
      <c r="W765" s="24" t="str">
        <f t="shared" si="5"/>
        <v>#DIV/0!</v>
      </c>
    </row>
    <row r="766" hidden="1">
      <c r="A766" s="15" t="s">
        <v>2361</v>
      </c>
      <c r="B766" s="18"/>
      <c r="C766" s="15" t="s">
        <v>7274</v>
      </c>
      <c r="D766" s="18"/>
      <c r="E766" s="17" t="s">
        <v>2362</v>
      </c>
      <c r="F766" s="18"/>
      <c r="G766" s="18"/>
      <c r="H766" s="15" t="s">
        <v>2363</v>
      </c>
      <c r="I766" s="15" t="s">
        <v>2364</v>
      </c>
      <c r="J766" s="19" t="s">
        <v>36</v>
      </c>
      <c r="K766" s="19" t="s">
        <v>37</v>
      </c>
      <c r="L766" s="19" t="s">
        <v>38</v>
      </c>
      <c r="M766" s="20">
        <f t="shared" si="1"/>
        <v>0</v>
      </c>
      <c r="N766" s="22"/>
      <c r="O766" s="19" t="s">
        <v>1145</v>
      </c>
      <c r="P766" s="18"/>
      <c r="Q766" s="18"/>
      <c r="R766" s="23">
        <v>0.0</v>
      </c>
      <c r="S766" s="23">
        <v>0.0</v>
      </c>
      <c r="T766" s="23">
        <f t="shared" si="2"/>
        <v>0</v>
      </c>
      <c r="U766" s="23">
        <f t="shared" si="3"/>
        <v>0</v>
      </c>
      <c r="V766" s="23">
        <f t="shared" si="4"/>
        <v>0</v>
      </c>
      <c r="W766" s="24" t="str">
        <f t="shared" si="5"/>
        <v>#DIV/0!</v>
      </c>
    </row>
    <row r="767">
      <c r="A767" s="15" t="s">
        <v>3689</v>
      </c>
      <c r="B767" s="18"/>
      <c r="C767" s="15" t="s">
        <v>6214</v>
      </c>
      <c r="D767" s="18"/>
      <c r="E767" s="17" t="s">
        <v>3690</v>
      </c>
      <c r="F767" s="18"/>
      <c r="G767" s="18"/>
      <c r="H767" s="18"/>
      <c r="I767" s="18"/>
      <c r="J767" s="19" t="s">
        <v>283</v>
      </c>
      <c r="K767" s="19" t="s">
        <v>603</v>
      </c>
      <c r="L767" s="19" t="s">
        <v>38</v>
      </c>
      <c r="M767" s="20">
        <f t="shared" si="1"/>
        <v>0</v>
      </c>
      <c r="N767" s="22"/>
      <c r="O767" s="19" t="s">
        <v>3578</v>
      </c>
      <c r="P767" s="18"/>
      <c r="Q767" s="18"/>
      <c r="R767" s="23">
        <v>0.0</v>
      </c>
      <c r="S767" s="23">
        <v>0.0</v>
      </c>
      <c r="T767" s="23">
        <f t="shared" si="2"/>
        <v>0</v>
      </c>
      <c r="U767" s="23">
        <f t="shared" si="3"/>
        <v>0</v>
      </c>
      <c r="V767" s="23">
        <f t="shared" si="4"/>
        <v>0</v>
      </c>
      <c r="W767" s="24" t="str">
        <f t="shared" si="5"/>
        <v>#DIV/0!</v>
      </c>
    </row>
    <row r="768">
      <c r="A768" s="15" t="s">
        <v>3691</v>
      </c>
      <c r="B768" s="15" t="s">
        <v>3692</v>
      </c>
      <c r="C768" s="15" t="s">
        <v>6215</v>
      </c>
      <c r="D768" s="18"/>
      <c r="E768" s="17" t="s">
        <v>3693</v>
      </c>
      <c r="F768" s="18"/>
      <c r="G768" s="18"/>
      <c r="H768" s="15" t="s">
        <v>3694</v>
      </c>
      <c r="I768" s="18"/>
      <c r="J768" s="19" t="s">
        <v>283</v>
      </c>
      <c r="K768" s="19" t="s">
        <v>603</v>
      </c>
      <c r="L768" s="19" t="s">
        <v>38</v>
      </c>
      <c r="M768" s="20">
        <f t="shared" si="1"/>
        <v>0</v>
      </c>
      <c r="N768" s="22"/>
      <c r="O768" s="19" t="s">
        <v>3578</v>
      </c>
      <c r="P768" s="18"/>
      <c r="Q768" s="18"/>
      <c r="R768" s="23">
        <v>0.0</v>
      </c>
      <c r="S768" s="23">
        <v>0.0</v>
      </c>
      <c r="T768" s="23">
        <f t="shared" si="2"/>
        <v>0</v>
      </c>
      <c r="U768" s="23">
        <f t="shared" si="3"/>
        <v>0</v>
      </c>
      <c r="V768" s="23">
        <f t="shared" si="4"/>
        <v>0</v>
      </c>
      <c r="W768" s="24" t="str">
        <f t="shared" si="5"/>
        <v>#DIV/0!</v>
      </c>
    </row>
    <row r="769">
      <c r="A769" s="15" t="s">
        <v>3695</v>
      </c>
      <c r="B769" s="15" t="s">
        <v>3696</v>
      </c>
      <c r="C769" s="15" t="s">
        <v>6216</v>
      </c>
      <c r="D769" s="18"/>
      <c r="E769" s="17" t="s">
        <v>3697</v>
      </c>
      <c r="F769" s="18"/>
      <c r="G769" s="18"/>
      <c r="H769" s="15" t="s">
        <v>3698</v>
      </c>
      <c r="I769" s="18"/>
      <c r="J769" s="19" t="s">
        <v>283</v>
      </c>
      <c r="K769" s="19" t="s">
        <v>1269</v>
      </c>
      <c r="L769" s="19" t="s">
        <v>38</v>
      </c>
      <c r="M769" s="20">
        <f t="shared" si="1"/>
        <v>0</v>
      </c>
      <c r="N769" s="22"/>
      <c r="O769" s="19" t="s">
        <v>3578</v>
      </c>
      <c r="P769" s="18"/>
      <c r="Q769" s="18"/>
      <c r="R769" s="23">
        <v>0.0</v>
      </c>
      <c r="S769" s="23">
        <v>0.0</v>
      </c>
      <c r="T769" s="23">
        <f t="shared" si="2"/>
        <v>0</v>
      </c>
      <c r="U769" s="23">
        <f t="shared" si="3"/>
        <v>0</v>
      </c>
      <c r="V769" s="23">
        <f t="shared" si="4"/>
        <v>0</v>
      </c>
      <c r="W769" s="24" t="str">
        <f t="shared" si="5"/>
        <v>#DIV/0!</v>
      </c>
    </row>
    <row r="770" hidden="1">
      <c r="A770" s="15" t="s">
        <v>2365</v>
      </c>
      <c r="B770" s="15" t="s">
        <v>2366</v>
      </c>
      <c r="C770" s="15" t="s">
        <v>7277</v>
      </c>
      <c r="D770" s="18"/>
      <c r="E770" s="17" t="s">
        <v>2367</v>
      </c>
      <c r="F770" s="18"/>
      <c r="G770" s="18"/>
      <c r="H770" s="15" t="s">
        <v>2368</v>
      </c>
      <c r="I770" s="18"/>
      <c r="J770" s="19" t="s">
        <v>283</v>
      </c>
      <c r="K770" s="33"/>
      <c r="L770" s="19" t="s">
        <v>38</v>
      </c>
      <c r="M770" s="20">
        <f t="shared" si="1"/>
        <v>0</v>
      </c>
      <c r="N770" s="22"/>
      <c r="O770" s="19" t="s">
        <v>1145</v>
      </c>
      <c r="P770" s="18"/>
      <c r="Q770" s="18"/>
      <c r="R770" s="23">
        <v>0.0</v>
      </c>
      <c r="S770" s="23">
        <v>0.0</v>
      </c>
      <c r="T770" s="23">
        <f t="shared" si="2"/>
        <v>0</v>
      </c>
      <c r="U770" s="23">
        <f t="shared" si="3"/>
        <v>0</v>
      </c>
      <c r="V770" s="23">
        <f t="shared" si="4"/>
        <v>0</v>
      </c>
      <c r="W770" s="24" t="str">
        <f t="shared" si="5"/>
        <v>#DIV/0!</v>
      </c>
    </row>
    <row r="771">
      <c r="A771" s="15" t="s">
        <v>3699</v>
      </c>
      <c r="B771" s="15" t="s">
        <v>3700</v>
      </c>
      <c r="C771" s="15" t="s">
        <v>6217</v>
      </c>
      <c r="D771" s="15" t="s">
        <v>3701</v>
      </c>
      <c r="E771" s="17" t="s">
        <v>3702</v>
      </c>
      <c r="F771" s="18"/>
      <c r="G771" s="18"/>
      <c r="H771" s="15" t="s">
        <v>3703</v>
      </c>
      <c r="I771" s="18"/>
      <c r="J771" s="19" t="s">
        <v>283</v>
      </c>
      <c r="K771" s="19" t="s">
        <v>1269</v>
      </c>
      <c r="L771" s="19" t="s">
        <v>38</v>
      </c>
      <c r="M771" s="20">
        <f t="shared" si="1"/>
        <v>0</v>
      </c>
      <c r="N771" s="22"/>
      <c r="O771" s="19" t="s">
        <v>3578</v>
      </c>
      <c r="P771" s="18"/>
      <c r="Q771" s="18"/>
      <c r="R771" s="23">
        <v>0.0</v>
      </c>
      <c r="S771" s="23">
        <v>0.0</v>
      </c>
      <c r="T771" s="23">
        <f t="shared" si="2"/>
        <v>0</v>
      </c>
      <c r="U771" s="23">
        <f t="shared" si="3"/>
        <v>0</v>
      </c>
      <c r="V771" s="23">
        <f t="shared" si="4"/>
        <v>0</v>
      </c>
      <c r="W771" s="24" t="str">
        <f t="shared" si="5"/>
        <v>#DIV/0!</v>
      </c>
    </row>
    <row r="772">
      <c r="A772" s="15" t="s">
        <v>3704</v>
      </c>
      <c r="B772" s="15" t="s">
        <v>3705</v>
      </c>
      <c r="C772" s="15" t="s">
        <v>6218</v>
      </c>
      <c r="D772" s="15" t="s">
        <v>3706</v>
      </c>
      <c r="E772" s="17" t="s">
        <v>3707</v>
      </c>
      <c r="F772" s="18"/>
      <c r="G772" s="18"/>
      <c r="H772" s="15" t="s">
        <v>3708</v>
      </c>
      <c r="I772" s="18"/>
      <c r="J772" s="19" t="s">
        <v>283</v>
      </c>
      <c r="K772" s="19" t="s">
        <v>427</v>
      </c>
      <c r="L772" s="19" t="s">
        <v>115</v>
      </c>
      <c r="M772" s="20">
        <f t="shared" si="1"/>
        <v>0</v>
      </c>
      <c r="N772" s="22"/>
      <c r="O772" s="19" t="s">
        <v>3578</v>
      </c>
      <c r="P772" s="18"/>
      <c r="Q772" s="18"/>
      <c r="R772" s="23">
        <v>0.0</v>
      </c>
      <c r="S772" s="23">
        <v>0.0</v>
      </c>
      <c r="T772" s="23">
        <f t="shared" si="2"/>
        <v>0</v>
      </c>
      <c r="U772" s="23">
        <f t="shared" si="3"/>
        <v>0</v>
      </c>
      <c r="V772" s="23">
        <f t="shared" si="4"/>
        <v>0</v>
      </c>
      <c r="W772" s="24" t="str">
        <f t="shared" si="5"/>
        <v>#DIV/0!</v>
      </c>
    </row>
    <row r="773">
      <c r="A773" s="15" t="s">
        <v>3709</v>
      </c>
      <c r="B773" s="15" t="s">
        <v>3710</v>
      </c>
      <c r="C773" s="15" t="s">
        <v>6219</v>
      </c>
      <c r="D773" s="18"/>
      <c r="E773" s="17" t="s">
        <v>3711</v>
      </c>
      <c r="F773" s="18"/>
      <c r="G773" s="18"/>
      <c r="H773" s="15" t="s">
        <v>3712</v>
      </c>
      <c r="I773" s="18"/>
      <c r="J773" s="19" t="s">
        <v>283</v>
      </c>
      <c r="K773" s="19" t="s">
        <v>427</v>
      </c>
      <c r="L773" s="19" t="s">
        <v>38</v>
      </c>
      <c r="M773" s="20">
        <f t="shared" si="1"/>
        <v>0</v>
      </c>
      <c r="N773" s="22"/>
      <c r="O773" s="19" t="s">
        <v>3578</v>
      </c>
      <c r="P773" s="18"/>
      <c r="Q773" s="18"/>
      <c r="R773" s="23">
        <v>0.0</v>
      </c>
      <c r="S773" s="23">
        <v>0.0</v>
      </c>
      <c r="T773" s="23">
        <f t="shared" si="2"/>
        <v>0</v>
      </c>
      <c r="U773" s="23">
        <f t="shared" si="3"/>
        <v>0</v>
      </c>
      <c r="V773" s="23">
        <f t="shared" si="4"/>
        <v>0</v>
      </c>
      <c r="W773" s="24" t="str">
        <f t="shared" si="5"/>
        <v>#DIV/0!</v>
      </c>
    </row>
    <row r="774">
      <c r="A774" s="15" t="s">
        <v>3713</v>
      </c>
      <c r="B774" s="15" t="s">
        <v>3714</v>
      </c>
      <c r="C774" s="15" t="s">
        <v>6220</v>
      </c>
      <c r="D774" s="15" t="s">
        <v>3715</v>
      </c>
      <c r="E774" s="17" t="s">
        <v>3716</v>
      </c>
      <c r="F774" s="18"/>
      <c r="G774" s="18"/>
      <c r="H774" s="15" t="s">
        <v>3717</v>
      </c>
      <c r="I774" s="18"/>
      <c r="J774" s="19" t="s">
        <v>283</v>
      </c>
      <c r="K774" s="19" t="s">
        <v>402</v>
      </c>
      <c r="L774" s="19" t="s">
        <v>38</v>
      </c>
      <c r="M774" s="20">
        <f t="shared" si="1"/>
        <v>0</v>
      </c>
      <c r="N774" s="22"/>
      <c r="O774" s="19" t="s">
        <v>3578</v>
      </c>
      <c r="P774" s="18"/>
      <c r="Q774" s="18"/>
      <c r="R774" s="23">
        <v>0.0</v>
      </c>
      <c r="S774" s="23">
        <v>0.0</v>
      </c>
      <c r="T774" s="23">
        <f t="shared" si="2"/>
        <v>0</v>
      </c>
      <c r="U774" s="23">
        <f t="shared" si="3"/>
        <v>0</v>
      </c>
      <c r="V774" s="23">
        <f t="shared" si="4"/>
        <v>0</v>
      </c>
      <c r="W774" s="24" t="str">
        <f t="shared" si="5"/>
        <v>#DIV/0!</v>
      </c>
    </row>
    <row r="775">
      <c r="A775" s="15" t="s">
        <v>3718</v>
      </c>
      <c r="B775" s="15" t="s">
        <v>3719</v>
      </c>
      <c r="C775" s="15" t="s">
        <v>6221</v>
      </c>
      <c r="D775" s="15" t="s">
        <v>3720</v>
      </c>
      <c r="E775" s="17" t="s">
        <v>3721</v>
      </c>
      <c r="F775" s="18"/>
      <c r="G775" s="18"/>
      <c r="H775" s="15" t="s">
        <v>3722</v>
      </c>
      <c r="I775" s="18"/>
      <c r="J775" s="19" t="s">
        <v>283</v>
      </c>
      <c r="K775" s="19" t="s">
        <v>284</v>
      </c>
      <c r="L775" s="19" t="s">
        <v>38</v>
      </c>
      <c r="M775" s="20">
        <f t="shared" si="1"/>
        <v>0</v>
      </c>
      <c r="N775" s="22"/>
      <c r="O775" s="19" t="s">
        <v>3578</v>
      </c>
      <c r="P775" s="18"/>
      <c r="Q775" s="18"/>
      <c r="R775" s="23">
        <v>0.0</v>
      </c>
      <c r="S775" s="23">
        <v>0.0</v>
      </c>
      <c r="T775" s="23">
        <f t="shared" si="2"/>
        <v>0</v>
      </c>
      <c r="U775" s="23">
        <f t="shared" si="3"/>
        <v>0</v>
      </c>
      <c r="V775" s="23">
        <f t="shared" si="4"/>
        <v>0</v>
      </c>
      <c r="W775" s="24" t="str">
        <f t="shared" si="5"/>
        <v>#DIV/0!</v>
      </c>
    </row>
    <row r="776">
      <c r="A776" s="15" t="s">
        <v>3723</v>
      </c>
      <c r="B776" s="15" t="s">
        <v>3724</v>
      </c>
      <c r="C776" s="15" t="s">
        <v>6222</v>
      </c>
      <c r="D776" s="15" t="s">
        <v>3725</v>
      </c>
      <c r="E776" s="17" t="s">
        <v>3726</v>
      </c>
      <c r="F776" s="18"/>
      <c r="G776" s="18"/>
      <c r="H776" s="15" t="s">
        <v>3727</v>
      </c>
      <c r="I776" s="18"/>
      <c r="J776" s="19" t="s">
        <v>283</v>
      </c>
      <c r="K776" s="19" t="s">
        <v>284</v>
      </c>
      <c r="L776" s="19" t="s">
        <v>368</v>
      </c>
      <c r="M776" s="20">
        <f t="shared" si="1"/>
        <v>0</v>
      </c>
      <c r="N776" s="22"/>
      <c r="O776" s="19" t="s">
        <v>3578</v>
      </c>
      <c r="P776" s="18"/>
      <c r="Q776" s="18"/>
      <c r="R776" s="23">
        <v>0.0</v>
      </c>
      <c r="S776" s="23">
        <v>0.0</v>
      </c>
      <c r="T776" s="23">
        <f t="shared" si="2"/>
        <v>0</v>
      </c>
      <c r="U776" s="23">
        <f t="shared" si="3"/>
        <v>0</v>
      </c>
      <c r="V776" s="23">
        <f t="shared" si="4"/>
        <v>0</v>
      </c>
      <c r="W776" s="24" t="str">
        <f t="shared" si="5"/>
        <v>#DIV/0!</v>
      </c>
    </row>
    <row r="777">
      <c r="A777" s="15" t="s">
        <v>3728</v>
      </c>
      <c r="B777" s="15" t="s">
        <v>3729</v>
      </c>
      <c r="C777" s="15" t="s">
        <v>6223</v>
      </c>
      <c r="D777" s="15" t="s">
        <v>3730</v>
      </c>
      <c r="E777" s="17" t="s">
        <v>3731</v>
      </c>
      <c r="F777" s="18"/>
      <c r="G777" s="18"/>
      <c r="H777" s="15" t="s">
        <v>3732</v>
      </c>
      <c r="I777" s="18"/>
      <c r="J777" s="19" t="s">
        <v>283</v>
      </c>
      <c r="K777" s="19" t="s">
        <v>37</v>
      </c>
      <c r="L777" s="19" t="s">
        <v>135</v>
      </c>
      <c r="M777" s="20">
        <f t="shared" si="1"/>
        <v>0</v>
      </c>
      <c r="N777" s="22"/>
      <c r="O777" s="19" t="s">
        <v>3578</v>
      </c>
      <c r="P777" s="18"/>
      <c r="Q777" s="18"/>
      <c r="R777" s="23">
        <v>0.0</v>
      </c>
      <c r="S777" s="23">
        <v>0.0</v>
      </c>
      <c r="T777" s="23">
        <f t="shared" si="2"/>
        <v>0</v>
      </c>
      <c r="U777" s="23">
        <f t="shared" si="3"/>
        <v>0</v>
      </c>
      <c r="V777" s="23">
        <f t="shared" si="4"/>
        <v>0</v>
      </c>
      <c r="W777" s="24" t="str">
        <f t="shared" si="5"/>
        <v>#DIV/0!</v>
      </c>
    </row>
    <row r="778" hidden="1">
      <c r="A778" s="15" t="s">
        <v>4867</v>
      </c>
      <c r="B778" s="15" t="s">
        <v>4868</v>
      </c>
      <c r="C778" s="15" t="s">
        <v>7284</v>
      </c>
      <c r="D778" s="18"/>
      <c r="E778" s="17" t="s">
        <v>7285</v>
      </c>
      <c r="F778" s="18"/>
      <c r="G778" s="18"/>
      <c r="H778" s="15" t="s">
        <v>4871</v>
      </c>
      <c r="I778" s="18"/>
      <c r="J778" s="19" t="s">
        <v>283</v>
      </c>
      <c r="K778" s="33"/>
      <c r="L778" s="19" t="s">
        <v>38</v>
      </c>
      <c r="M778" s="20">
        <f t="shared" si="1"/>
        <v>0</v>
      </c>
      <c r="N778" s="22"/>
      <c r="O778" s="19" t="s">
        <v>1145</v>
      </c>
      <c r="P778" s="18"/>
      <c r="Q778" s="18"/>
      <c r="R778" s="23">
        <v>0.0</v>
      </c>
      <c r="S778" s="23">
        <v>0.0</v>
      </c>
      <c r="T778" s="23">
        <f t="shared" si="2"/>
        <v>0</v>
      </c>
      <c r="U778" s="23">
        <f t="shared" si="3"/>
        <v>0</v>
      </c>
      <c r="V778" s="23">
        <f t="shared" si="4"/>
        <v>0</v>
      </c>
      <c r="W778" s="24" t="str">
        <f t="shared" si="5"/>
        <v>#DIV/0!</v>
      </c>
    </row>
    <row r="779">
      <c r="A779" s="15" t="s">
        <v>3733</v>
      </c>
      <c r="B779" s="15" t="s">
        <v>3734</v>
      </c>
      <c r="C779" s="15" t="s">
        <v>6224</v>
      </c>
      <c r="D779" s="15" t="s">
        <v>3735</v>
      </c>
      <c r="E779" s="17" t="s">
        <v>3736</v>
      </c>
      <c r="F779" s="18"/>
      <c r="G779" s="18"/>
      <c r="H779" s="15" t="s">
        <v>3737</v>
      </c>
      <c r="I779" s="15" t="s">
        <v>3738</v>
      </c>
      <c r="J779" s="19" t="s">
        <v>283</v>
      </c>
      <c r="K779" s="19" t="s">
        <v>284</v>
      </c>
      <c r="L779" s="19" t="s">
        <v>38</v>
      </c>
      <c r="M779" s="20">
        <f t="shared" si="1"/>
        <v>0</v>
      </c>
      <c r="N779" s="22"/>
      <c r="O779" s="19" t="s">
        <v>3578</v>
      </c>
      <c r="P779" s="18"/>
      <c r="Q779" s="18"/>
      <c r="R779" s="23">
        <v>0.0</v>
      </c>
      <c r="S779" s="23">
        <v>0.0</v>
      </c>
      <c r="T779" s="23">
        <f t="shared" si="2"/>
        <v>0</v>
      </c>
      <c r="U779" s="23">
        <f t="shared" si="3"/>
        <v>0</v>
      </c>
      <c r="V779" s="23">
        <f t="shared" si="4"/>
        <v>0</v>
      </c>
      <c r="W779" s="24" t="str">
        <f t="shared" si="5"/>
        <v>#DIV/0!</v>
      </c>
    </row>
    <row r="780">
      <c r="A780" s="15" t="s">
        <v>3739</v>
      </c>
      <c r="B780" s="15" t="s">
        <v>3740</v>
      </c>
      <c r="C780" s="15" t="s">
        <v>6226</v>
      </c>
      <c r="D780" s="41" t="s">
        <v>3741</v>
      </c>
      <c r="E780" s="17" t="s">
        <v>3742</v>
      </c>
      <c r="F780" s="18"/>
      <c r="G780" s="18"/>
      <c r="H780" s="15" t="s">
        <v>3743</v>
      </c>
      <c r="I780" s="15" t="s">
        <v>3744</v>
      </c>
      <c r="J780" s="19" t="s">
        <v>283</v>
      </c>
      <c r="K780" s="19" t="s">
        <v>427</v>
      </c>
      <c r="L780" s="19" t="s">
        <v>135</v>
      </c>
      <c r="M780" s="20">
        <f t="shared" si="1"/>
        <v>0</v>
      </c>
      <c r="N780" s="22"/>
      <c r="O780" s="19" t="s">
        <v>3578</v>
      </c>
      <c r="P780" s="18"/>
      <c r="Q780" s="18"/>
      <c r="R780" s="23">
        <v>0.0</v>
      </c>
      <c r="S780" s="23">
        <v>0.0</v>
      </c>
      <c r="T780" s="23">
        <f t="shared" si="2"/>
        <v>0</v>
      </c>
      <c r="U780" s="23">
        <f t="shared" si="3"/>
        <v>0</v>
      </c>
      <c r="V780" s="23">
        <f t="shared" si="4"/>
        <v>0</v>
      </c>
      <c r="W780" s="24" t="str">
        <f t="shared" si="5"/>
        <v>#DIV/0!</v>
      </c>
    </row>
    <row r="781">
      <c r="A781" s="15" t="s">
        <v>3745</v>
      </c>
      <c r="B781" s="15" t="s">
        <v>3746</v>
      </c>
      <c r="C781" s="15" t="s">
        <v>6227</v>
      </c>
      <c r="D781" s="15" t="s">
        <v>3747</v>
      </c>
      <c r="E781" s="17" t="s">
        <v>3748</v>
      </c>
      <c r="F781" s="18"/>
      <c r="G781" s="18"/>
      <c r="H781" s="15" t="s">
        <v>3749</v>
      </c>
      <c r="I781" s="15" t="s">
        <v>3750</v>
      </c>
      <c r="J781" s="19" t="s">
        <v>283</v>
      </c>
      <c r="K781" s="19" t="s">
        <v>427</v>
      </c>
      <c r="L781" s="19" t="s">
        <v>38</v>
      </c>
      <c r="M781" s="20">
        <f t="shared" si="1"/>
        <v>0</v>
      </c>
      <c r="N781" s="22"/>
      <c r="O781" s="19" t="s">
        <v>3578</v>
      </c>
      <c r="P781" s="18"/>
      <c r="Q781" s="18"/>
      <c r="R781" s="23">
        <v>0.0</v>
      </c>
      <c r="S781" s="23">
        <v>0.0</v>
      </c>
      <c r="T781" s="23">
        <f t="shared" si="2"/>
        <v>0</v>
      </c>
      <c r="U781" s="23">
        <f t="shared" si="3"/>
        <v>0</v>
      </c>
      <c r="V781" s="23">
        <f t="shared" si="4"/>
        <v>0</v>
      </c>
      <c r="W781" s="24" t="str">
        <f t="shared" si="5"/>
        <v>#DIV/0!</v>
      </c>
    </row>
    <row r="782">
      <c r="A782" s="15" t="s">
        <v>3751</v>
      </c>
      <c r="B782" s="15" t="s">
        <v>3752</v>
      </c>
      <c r="C782" s="15" t="s">
        <v>6229</v>
      </c>
      <c r="D782" s="15" t="s">
        <v>3753</v>
      </c>
      <c r="E782" s="17" t="s">
        <v>3754</v>
      </c>
      <c r="F782" s="18"/>
      <c r="G782" s="18"/>
      <c r="H782" s="15" t="s">
        <v>3755</v>
      </c>
      <c r="I782" s="15" t="s">
        <v>3756</v>
      </c>
      <c r="J782" s="19" t="s">
        <v>283</v>
      </c>
      <c r="K782" s="19" t="s">
        <v>284</v>
      </c>
      <c r="L782" s="19" t="s">
        <v>38</v>
      </c>
      <c r="M782" s="20">
        <f t="shared" si="1"/>
        <v>0</v>
      </c>
      <c r="N782" s="22"/>
      <c r="O782" s="19" t="s">
        <v>3578</v>
      </c>
      <c r="P782" s="18"/>
      <c r="Q782" s="18"/>
      <c r="R782" s="23">
        <v>0.0</v>
      </c>
      <c r="S782" s="23">
        <v>0.0</v>
      </c>
      <c r="T782" s="23">
        <f t="shared" si="2"/>
        <v>0</v>
      </c>
      <c r="U782" s="23">
        <f t="shared" si="3"/>
        <v>0</v>
      </c>
      <c r="V782" s="23">
        <f t="shared" si="4"/>
        <v>0</v>
      </c>
      <c r="W782" s="24" t="str">
        <f t="shared" si="5"/>
        <v>#DIV/0!</v>
      </c>
    </row>
    <row r="783">
      <c r="A783" s="15" t="s">
        <v>3757</v>
      </c>
      <c r="B783" s="15" t="s">
        <v>3758</v>
      </c>
      <c r="C783" s="15" t="s">
        <v>6230</v>
      </c>
      <c r="D783" s="18"/>
      <c r="E783" s="17" t="s">
        <v>3759</v>
      </c>
      <c r="F783" s="18"/>
      <c r="G783" s="18"/>
      <c r="H783" s="15" t="s">
        <v>3760</v>
      </c>
      <c r="I783" s="18"/>
      <c r="J783" s="19" t="s">
        <v>283</v>
      </c>
      <c r="K783" s="19" t="s">
        <v>1230</v>
      </c>
      <c r="L783" s="19" t="s">
        <v>38</v>
      </c>
      <c r="M783" s="20">
        <f t="shared" si="1"/>
        <v>0</v>
      </c>
      <c r="N783" s="22"/>
      <c r="O783" s="19" t="s">
        <v>3578</v>
      </c>
      <c r="P783" s="18"/>
      <c r="Q783" s="18"/>
      <c r="R783" s="23">
        <v>0.0</v>
      </c>
      <c r="S783" s="23">
        <v>0.0</v>
      </c>
      <c r="T783" s="23">
        <f t="shared" si="2"/>
        <v>0</v>
      </c>
      <c r="U783" s="23">
        <f t="shared" si="3"/>
        <v>0</v>
      </c>
      <c r="V783" s="23">
        <f t="shared" si="4"/>
        <v>0</v>
      </c>
      <c r="W783" s="24" t="str">
        <f t="shared" si="5"/>
        <v>#DIV/0!</v>
      </c>
    </row>
    <row r="784">
      <c r="A784" s="15" t="s">
        <v>3761</v>
      </c>
      <c r="B784" s="15" t="s">
        <v>3762</v>
      </c>
      <c r="C784" s="15" t="s">
        <v>6231</v>
      </c>
      <c r="D784" s="15" t="s">
        <v>3763</v>
      </c>
      <c r="E784" s="17" t="s">
        <v>3764</v>
      </c>
      <c r="F784" s="18"/>
      <c r="G784" s="18"/>
      <c r="H784" s="15" t="s">
        <v>1257</v>
      </c>
      <c r="I784" s="18"/>
      <c r="J784" s="19" t="s">
        <v>283</v>
      </c>
      <c r="K784" s="19" t="s">
        <v>37</v>
      </c>
      <c r="L784" s="19" t="s">
        <v>38</v>
      </c>
      <c r="M784" s="20">
        <f t="shared" si="1"/>
        <v>0</v>
      </c>
      <c r="N784" s="22"/>
      <c r="O784" s="19" t="s">
        <v>3578</v>
      </c>
      <c r="P784" s="18"/>
      <c r="Q784" s="18"/>
      <c r="R784" s="23">
        <v>0.0</v>
      </c>
      <c r="S784" s="23">
        <v>0.0</v>
      </c>
      <c r="T784" s="23">
        <f t="shared" si="2"/>
        <v>0</v>
      </c>
      <c r="U784" s="23">
        <f t="shared" si="3"/>
        <v>0</v>
      </c>
      <c r="V784" s="23">
        <f t="shared" si="4"/>
        <v>0</v>
      </c>
      <c r="W784" s="24" t="str">
        <f t="shared" si="5"/>
        <v>#DIV/0!</v>
      </c>
    </row>
    <row r="785">
      <c r="A785" s="15" t="s">
        <v>3765</v>
      </c>
      <c r="B785" s="15" t="s">
        <v>3766</v>
      </c>
      <c r="C785" s="15" t="s">
        <v>6232</v>
      </c>
      <c r="D785" s="18"/>
      <c r="E785" s="17" t="s">
        <v>3767</v>
      </c>
      <c r="F785" s="18"/>
      <c r="G785" s="18"/>
      <c r="H785" s="15" t="s">
        <v>3768</v>
      </c>
      <c r="I785" s="18"/>
      <c r="J785" s="19" t="s">
        <v>283</v>
      </c>
      <c r="K785" s="19" t="s">
        <v>603</v>
      </c>
      <c r="L785" s="19" t="s">
        <v>38</v>
      </c>
      <c r="M785" s="20">
        <f t="shared" si="1"/>
        <v>0</v>
      </c>
      <c r="N785" s="22"/>
      <c r="O785" s="19" t="s">
        <v>3578</v>
      </c>
      <c r="P785" s="18"/>
      <c r="Q785" s="18"/>
      <c r="R785" s="23">
        <v>0.0</v>
      </c>
      <c r="S785" s="23">
        <v>0.0</v>
      </c>
      <c r="T785" s="23">
        <f t="shared" si="2"/>
        <v>0</v>
      </c>
      <c r="U785" s="23">
        <f t="shared" si="3"/>
        <v>0</v>
      </c>
      <c r="V785" s="23">
        <f t="shared" si="4"/>
        <v>0</v>
      </c>
      <c r="W785" s="24" t="str">
        <f t="shared" si="5"/>
        <v>#DIV/0!</v>
      </c>
    </row>
    <row r="786" hidden="1">
      <c r="A786" s="15" t="s">
        <v>2369</v>
      </c>
      <c r="B786" s="15" t="s">
        <v>2370</v>
      </c>
      <c r="C786" s="15" t="s">
        <v>7293</v>
      </c>
      <c r="D786" s="18"/>
      <c r="E786" s="17" t="s">
        <v>2371</v>
      </c>
      <c r="F786" s="18"/>
      <c r="G786" s="18"/>
      <c r="H786" s="15" t="s">
        <v>2372</v>
      </c>
      <c r="I786" s="18"/>
      <c r="J786" s="19" t="s">
        <v>283</v>
      </c>
      <c r="K786" s="33"/>
      <c r="L786" s="19" t="s">
        <v>38</v>
      </c>
      <c r="M786" s="20">
        <f t="shared" si="1"/>
        <v>0</v>
      </c>
      <c r="N786" s="22"/>
      <c r="O786" s="19" t="s">
        <v>1145</v>
      </c>
      <c r="P786" s="18"/>
      <c r="Q786" s="18"/>
      <c r="R786" s="23">
        <v>0.0</v>
      </c>
      <c r="S786" s="23">
        <v>0.0</v>
      </c>
      <c r="T786" s="23">
        <f t="shared" si="2"/>
        <v>0</v>
      </c>
      <c r="U786" s="23">
        <f t="shared" si="3"/>
        <v>0</v>
      </c>
      <c r="V786" s="23">
        <f t="shared" si="4"/>
        <v>0</v>
      </c>
      <c r="W786" s="24" t="str">
        <f t="shared" si="5"/>
        <v>#DIV/0!</v>
      </c>
    </row>
    <row r="787">
      <c r="A787" s="15" t="s">
        <v>3769</v>
      </c>
      <c r="B787" s="15" t="s">
        <v>3770</v>
      </c>
      <c r="C787" s="15" t="s">
        <v>6233</v>
      </c>
      <c r="D787" s="18"/>
      <c r="E787" s="17" t="s">
        <v>3771</v>
      </c>
      <c r="F787" s="18"/>
      <c r="G787" s="18"/>
      <c r="H787" s="15" t="s">
        <v>3772</v>
      </c>
      <c r="I787" s="18"/>
      <c r="J787" s="19" t="s">
        <v>283</v>
      </c>
      <c r="K787" s="19" t="s">
        <v>603</v>
      </c>
      <c r="L787" s="19" t="s">
        <v>38</v>
      </c>
      <c r="M787" s="20">
        <f t="shared" si="1"/>
        <v>0</v>
      </c>
      <c r="N787" s="22"/>
      <c r="O787" s="19" t="s">
        <v>3578</v>
      </c>
      <c r="P787" s="18"/>
      <c r="Q787" s="18"/>
      <c r="R787" s="23">
        <v>0.0</v>
      </c>
      <c r="S787" s="23">
        <v>0.0</v>
      </c>
      <c r="T787" s="23">
        <f t="shared" si="2"/>
        <v>0</v>
      </c>
      <c r="U787" s="23">
        <f t="shared" si="3"/>
        <v>0</v>
      </c>
      <c r="V787" s="23">
        <f t="shared" si="4"/>
        <v>0</v>
      </c>
      <c r="W787" s="24" t="str">
        <f t="shared" si="5"/>
        <v>#DIV/0!</v>
      </c>
    </row>
    <row r="788">
      <c r="A788" s="15" t="s">
        <v>3773</v>
      </c>
      <c r="B788" s="15" t="s">
        <v>3774</v>
      </c>
      <c r="C788" s="15" t="s">
        <v>6234</v>
      </c>
      <c r="D788" s="18"/>
      <c r="E788" s="17" t="s">
        <v>3775</v>
      </c>
      <c r="F788" s="18"/>
      <c r="G788" s="18"/>
      <c r="H788" s="15" t="s">
        <v>3776</v>
      </c>
      <c r="I788" s="18"/>
      <c r="J788" s="19" t="s">
        <v>283</v>
      </c>
      <c r="K788" s="19" t="s">
        <v>603</v>
      </c>
      <c r="L788" s="19" t="s">
        <v>38</v>
      </c>
      <c r="M788" s="20">
        <f t="shared" si="1"/>
        <v>0</v>
      </c>
      <c r="N788" s="22"/>
      <c r="O788" s="19" t="s">
        <v>3578</v>
      </c>
      <c r="P788" s="18"/>
      <c r="Q788" s="18"/>
      <c r="R788" s="23">
        <v>0.0</v>
      </c>
      <c r="S788" s="23">
        <v>0.0</v>
      </c>
      <c r="T788" s="23">
        <f t="shared" si="2"/>
        <v>0</v>
      </c>
      <c r="U788" s="23">
        <f t="shared" si="3"/>
        <v>0</v>
      </c>
      <c r="V788" s="23">
        <f t="shared" si="4"/>
        <v>0</v>
      </c>
      <c r="W788" s="24" t="str">
        <f t="shared" si="5"/>
        <v>#DIV/0!</v>
      </c>
    </row>
    <row r="789">
      <c r="A789" s="15" t="s">
        <v>3777</v>
      </c>
      <c r="B789" s="15" t="s">
        <v>3778</v>
      </c>
      <c r="C789" s="15" t="s">
        <v>6235</v>
      </c>
      <c r="D789" s="18"/>
      <c r="E789" s="17" t="s">
        <v>3779</v>
      </c>
      <c r="F789" s="18"/>
      <c r="G789" s="18"/>
      <c r="H789" s="15" t="s">
        <v>3780</v>
      </c>
      <c r="I789" s="18"/>
      <c r="J789" s="19" t="s">
        <v>283</v>
      </c>
      <c r="K789" s="19" t="s">
        <v>402</v>
      </c>
      <c r="L789" s="19" t="s">
        <v>38</v>
      </c>
      <c r="M789" s="20">
        <f t="shared" si="1"/>
        <v>0</v>
      </c>
      <c r="N789" s="22"/>
      <c r="O789" s="19" t="s">
        <v>3578</v>
      </c>
      <c r="P789" s="18"/>
      <c r="Q789" s="18"/>
      <c r="R789" s="23">
        <v>0.0</v>
      </c>
      <c r="S789" s="23">
        <v>0.0</v>
      </c>
      <c r="T789" s="23">
        <f t="shared" si="2"/>
        <v>0</v>
      </c>
      <c r="U789" s="23">
        <f t="shared" si="3"/>
        <v>0</v>
      </c>
      <c r="V789" s="23">
        <f t="shared" si="4"/>
        <v>0</v>
      </c>
      <c r="W789" s="24" t="str">
        <f t="shared" si="5"/>
        <v>#DIV/0!</v>
      </c>
    </row>
    <row r="790" hidden="1">
      <c r="A790" s="15" t="s">
        <v>2373</v>
      </c>
      <c r="B790" s="15" t="s">
        <v>2374</v>
      </c>
      <c r="C790" s="15" t="s">
        <v>7297</v>
      </c>
      <c r="D790" s="18"/>
      <c r="E790" s="17" t="s">
        <v>2375</v>
      </c>
      <c r="F790" s="18"/>
      <c r="G790" s="18"/>
      <c r="H790" s="15" t="s">
        <v>2376</v>
      </c>
      <c r="I790" s="18"/>
      <c r="J790" s="19" t="s">
        <v>283</v>
      </c>
      <c r="K790" s="33"/>
      <c r="L790" s="19" t="s">
        <v>38</v>
      </c>
      <c r="M790" s="20">
        <f t="shared" si="1"/>
        <v>0</v>
      </c>
      <c r="N790" s="22"/>
      <c r="O790" s="19" t="s">
        <v>1145</v>
      </c>
      <c r="P790" s="18"/>
      <c r="Q790" s="18"/>
      <c r="R790" s="23">
        <v>0.0</v>
      </c>
      <c r="S790" s="23">
        <v>0.0</v>
      </c>
      <c r="T790" s="23">
        <f t="shared" si="2"/>
        <v>0</v>
      </c>
      <c r="U790" s="23">
        <f t="shared" si="3"/>
        <v>0</v>
      </c>
      <c r="V790" s="23">
        <f t="shared" si="4"/>
        <v>0</v>
      </c>
      <c r="W790" s="24" t="str">
        <f t="shared" si="5"/>
        <v>#DIV/0!</v>
      </c>
    </row>
    <row r="791">
      <c r="A791" s="15" t="s">
        <v>3781</v>
      </c>
      <c r="B791" s="15" t="s">
        <v>3782</v>
      </c>
      <c r="C791" s="15" t="s">
        <v>6236</v>
      </c>
      <c r="D791" s="15" t="s">
        <v>3783</v>
      </c>
      <c r="E791" s="17" t="s">
        <v>3784</v>
      </c>
      <c r="F791" s="18"/>
      <c r="G791" s="18"/>
      <c r="H791" s="15" t="s">
        <v>3785</v>
      </c>
      <c r="I791" s="18"/>
      <c r="J791" s="19" t="s">
        <v>283</v>
      </c>
      <c r="K791" s="19" t="s">
        <v>1230</v>
      </c>
      <c r="L791" s="19" t="s">
        <v>38</v>
      </c>
      <c r="M791" s="20">
        <f t="shared" si="1"/>
        <v>0</v>
      </c>
      <c r="N791" s="22"/>
      <c r="O791" s="19" t="s">
        <v>3578</v>
      </c>
      <c r="P791" s="18"/>
      <c r="Q791" s="18"/>
      <c r="R791" s="23">
        <v>0.0</v>
      </c>
      <c r="S791" s="23">
        <v>0.0</v>
      </c>
      <c r="T791" s="23">
        <f t="shared" si="2"/>
        <v>0</v>
      </c>
      <c r="U791" s="23">
        <f t="shared" si="3"/>
        <v>0</v>
      </c>
      <c r="V791" s="23">
        <f t="shared" si="4"/>
        <v>0</v>
      </c>
      <c r="W791" s="24" t="str">
        <f t="shared" si="5"/>
        <v>#DIV/0!</v>
      </c>
    </row>
    <row r="792">
      <c r="A792" s="15" t="s">
        <v>3786</v>
      </c>
      <c r="B792" s="15" t="s">
        <v>3787</v>
      </c>
      <c r="C792" s="15" t="s">
        <v>6237</v>
      </c>
      <c r="D792" s="18"/>
      <c r="E792" s="17" t="s">
        <v>3788</v>
      </c>
      <c r="F792" s="18"/>
      <c r="G792" s="18"/>
      <c r="H792" s="15" t="s">
        <v>3789</v>
      </c>
      <c r="I792" s="18"/>
      <c r="J792" s="19" t="s">
        <v>283</v>
      </c>
      <c r="K792" s="19" t="s">
        <v>105</v>
      </c>
      <c r="L792" s="19" t="s">
        <v>38</v>
      </c>
      <c r="M792" s="20">
        <f t="shared" si="1"/>
        <v>0</v>
      </c>
      <c r="N792" s="22"/>
      <c r="O792" s="19" t="s">
        <v>3578</v>
      </c>
      <c r="P792" s="18"/>
      <c r="Q792" s="18"/>
      <c r="R792" s="23">
        <v>0.0</v>
      </c>
      <c r="S792" s="23">
        <v>0.0</v>
      </c>
      <c r="T792" s="23">
        <f t="shared" si="2"/>
        <v>0</v>
      </c>
      <c r="U792" s="23">
        <f t="shared" si="3"/>
        <v>0</v>
      </c>
      <c r="V792" s="23">
        <f t="shared" si="4"/>
        <v>0</v>
      </c>
      <c r="W792" s="24" t="str">
        <f t="shared" si="5"/>
        <v>#DIV/0!</v>
      </c>
    </row>
    <row r="793">
      <c r="A793" s="15" t="s">
        <v>3790</v>
      </c>
      <c r="B793" s="15" t="s">
        <v>3791</v>
      </c>
      <c r="C793" s="15" t="s">
        <v>6238</v>
      </c>
      <c r="D793" s="18"/>
      <c r="E793" s="17" t="s">
        <v>3792</v>
      </c>
      <c r="F793" s="18"/>
      <c r="G793" s="18"/>
      <c r="H793" s="15" t="s">
        <v>3793</v>
      </c>
      <c r="I793" s="18"/>
      <c r="J793" s="19" t="s">
        <v>283</v>
      </c>
      <c r="K793" s="19" t="s">
        <v>1269</v>
      </c>
      <c r="L793" s="19" t="s">
        <v>38</v>
      </c>
      <c r="M793" s="20">
        <f t="shared" si="1"/>
        <v>0</v>
      </c>
      <c r="N793" s="22"/>
      <c r="O793" s="19" t="s">
        <v>3578</v>
      </c>
      <c r="P793" s="18"/>
      <c r="Q793" s="18"/>
      <c r="R793" s="23">
        <v>0.0</v>
      </c>
      <c r="S793" s="23">
        <v>0.0</v>
      </c>
      <c r="T793" s="23">
        <f t="shared" si="2"/>
        <v>0</v>
      </c>
      <c r="U793" s="23">
        <f t="shared" si="3"/>
        <v>0</v>
      </c>
      <c r="V793" s="23">
        <f t="shared" si="4"/>
        <v>0</v>
      </c>
      <c r="W793" s="24" t="str">
        <f t="shared" si="5"/>
        <v>#DIV/0!</v>
      </c>
    </row>
    <row r="794">
      <c r="A794" s="15" t="s">
        <v>3794</v>
      </c>
      <c r="B794" s="15" t="s">
        <v>3795</v>
      </c>
      <c r="C794" s="15" t="s">
        <v>6258</v>
      </c>
      <c r="D794" s="15" t="s">
        <v>1313</v>
      </c>
      <c r="E794" s="17" t="s">
        <v>3796</v>
      </c>
      <c r="F794" s="18"/>
      <c r="G794" s="18"/>
      <c r="H794" s="15" t="s">
        <v>3797</v>
      </c>
      <c r="I794" s="15" t="s">
        <v>3798</v>
      </c>
      <c r="J794" s="19" t="s">
        <v>283</v>
      </c>
      <c r="K794" s="19" t="s">
        <v>284</v>
      </c>
      <c r="L794" s="19" t="s">
        <v>38</v>
      </c>
      <c r="M794" s="20">
        <f t="shared" si="1"/>
        <v>0</v>
      </c>
      <c r="N794" s="22"/>
      <c r="O794" s="19" t="s">
        <v>3578</v>
      </c>
      <c r="P794" s="18"/>
      <c r="Q794" s="18"/>
      <c r="R794" s="23">
        <v>0.0</v>
      </c>
      <c r="S794" s="23">
        <v>0.0</v>
      </c>
      <c r="T794" s="23">
        <f t="shared" si="2"/>
        <v>0</v>
      </c>
      <c r="U794" s="23">
        <f t="shared" si="3"/>
        <v>0</v>
      </c>
      <c r="V794" s="23">
        <f t="shared" si="4"/>
        <v>0</v>
      </c>
      <c r="W794" s="24" t="str">
        <f t="shared" si="5"/>
        <v>#DIV/0!</v>
      </c>
    </row>
    <row r="795">
      <c r="A795" s="15" t="s">
        <v>3799</v>
      </c>
      <c r="B795" s="15" t="s">
        <v>3800</v>
      </c>
      <c r="C795" s="15" t="s">
        <v>6271</v>
      </c>
      <c r="D795" s="15" t="s">
        <v>3801</v>
      </c>
      <c r="E795" s="17" t="s">
        <v>3802</v>
      </c>
      <c r="F795" s="18"/>
      <c r="G795" s="18"/>
      <c r="H795" s="15" t="s">
        <v>3803</v>
      </c>
      <c r="I795" s="15" t="s">
        <v>3804</v>
      </c>
      <c r="J795" s="19" t="s">
        <v>283</v>
      </c>
      <c r="K795" s="19" t="s">
        <v>1269</v>
      </c>
      <c r="L795" s="19" t="s">
        <v>38</v>
      </c>
      <c r="M795" s="20">
        <f t="shared" si="1"/>
        <v>0</v>
      </c>
      <c r="N795" s="22"/>
      <c r="O795" s="19" t="s">
        <v>3578</v>
      </c>
      <c r="P795" s="18"/>
      <c r="Q795" s="18"/>
      <c r="R795" s="23">
        <v>0.0</v>
      </c>
      <c r="S795" s="23">
        <v>0.0</v>
      </c>
      <c r="T795" s="23">
        <f t="shared" si="2"/>
        <v>0</v>
      </c>
      <c r="U795" s="23">
        <f t="shared" si="3"/>
        <v>0</v>
      </c>
      <c r="V795" s="23">
        <f t="shared" si="4"/>
        <v>0</v>
      </c>
      <c r="W795" s="24" t="str">
        <f t="shared" si="5"/>
        <v>#DIV/0!</v>
      </c>
    </row>
    <row r="796">
      <c r="A796" s="15" t="s">
        <v>3805</v>
      </c>
      <c r="B796" s="15" t="s">
        <v>3806</v>
      </c>
      <c r="C796" s="15" t="s">
        <v>6280</v>
      </c>
      <c r="D796" s="15" t="s">
        <v>3807</v>
      </c>
      <c r="E796" s="17" t="s">
        <v>3796</v>
      </c>
      <c r="F796" s="18"/>
      <c r="G796" s="18"/>
      <c r="H796" s="15" t="s">
        <v>3808</v>
      </c>
      <c r="I796" s="15" t="s">
        <v>3809</v>
      </c>
      <c r="J796" s="19" t="s">
        <v>283</v>
      </c>
      <c r="K796" s="19" t="s">
        <v>284</v>
      </c>
      <c r="L796" s="19" t="s">
        <v>368</v>
      </c>
      <c r="M796" s="20">
        <f t="shared" si="1"/>
        <v>0</v>
      </c>
      <c r="N796" s="22"/>
      <c r="O796" s="19" t="s">
        <v>3578</v>
      </c>
      <c r="P796" s="18"/>
      <c r="Q796" s="18"/>
      <c r="R796" s="23">
        <v>0.0</v>
      </c>
      <c r="S796" s="23">
        <v>0.0</v>
      </c>
      <c r="T796" s="23">
        <f t="shared" si="2"/>
        <v>0</v>
      </c>
      <c r="U796" s="23">
        <f t="shared" si="3"/>
        <v>0</v>
      </c>
      <c r="V796" s="23">
        <f t="shared" si="4"/>
        <v>0</v>
      </c>
      <c r="W796" s="24" t="str">
        <f t="shared" si="5"/>
        <v>#DIV/0!</v>
      </c>
    </row>
    <row r="797">
      <c r="A797" s="15" t="s">
        <v>3810</v>
      </c>
      <c r="B797" s="15" t="s">
        <v>3811</v>
      </c>
      <c r="C797" s="15" t="s">
        <v>6287</v>
      </c>
      <c r="D797" s="15" t="s">
        <v>3812</v>
      </c>
      <c r="E797" s="17" t="s">
        <v>3813</v>
      </c>
      <c r="F797" s="18"/>
      <c r="G797" s="18"/>
      <c r="H797" s="15" t="s">
        <v>3142</v>
      </c>
      <c r="I797" s="18"/>
      <c r="J797" s="19" t="s">
        <v>283</v>
      </c>
      <c r="K797" s="19" t="s">
        <v>402</v>
      </c>
      <c r="L797" s="19" t="s">
        <v>38</v>
      </c>
      <c r="M797" s="20">
        <f t="shared" si="1"/>
        <v>0</v>
      </c>
      <c r="N797" s="22"/>
      <c r="O797" s="19" t="s">
        <v>3578</v>
      </c>
      <c r="P797" s="18"/>
      <c r="Q797" s="18"/>
      <c r="R797" s="23">
        <v>0.0</v>
      </c>
      <c r="S797" s="23">
        <v>0.0</v>
      </c>
      <c r="T797" s="23">
        <f t="shared" si="2"/>
        <v>0</v>
      </c>
      <c r="U797" s="23">
        <f t="shared" si="3"/>
        <v>0</v>
      </c>
      <c r="V797" s="23">
        <f t="shared" si="4"/>
        <v>0</v>
      </c>
      <c r="W797" s="24" t="str">
        <f t="shared" si="5"/>
        <v>#DIV/0!</v>
      </c>
    </row>
    <row r="798">
      <c r="A798" s="15" t="s">
        <v>3814</v>
      </c>
      <c r="B798" s="15" t="s">
        <v>3815</v>
      </c>
      <c r="C798" s="15" t="s">
        <v>6291</v>
      </c>
      <c r="D798" s="15" t="s">
        <v>6292</v>
      </c>
      <c r="E798" s="17" t="s">
        <v>3817</v>
      </c>
      <c r="F798" s="18"/>
      <c r="G798" s="18"/>
      <c r="H798" s="15" t="s">
        <v>3818</v>
      </c>
      <c r="I798" s="18"/>
      <c r="J798" s="19" t="s">
        <v>283</v>
      </c>
      <c r="K798" s="19" t="s">
        <v>105</v>
      </c>
      <c r="L798" s="19" t="s">
        <v>38</v>
      </c>
      <c r="M798" s="20">
        <f t="shared" si="1"/>
        <v>0</v>
      </c>
      <c r="N798" s="22"/>
      <c r="O798" s="19" t="s">
        <v>3578</v>
      </c>
      <c r="P798" s="18"/>
      <c r="Q798" s="18"/>
      <c r="R798" s="23">
        <v>0.0</v>
      </c>
      <c r="S798" s="23">
        <v>0.0</v>
      </c>
      <c r="T798" s="23">
        <f t="shared" si="2"/>
        <v>0</v>
      </c>
      <c r="U798" s="23">
        <f t="shared" si="3"/>
        <v>0</v>
      </c>
      <c r="V798" s="23">
        <f t="shared" si="4"/>
        <v>0</v>
      </c>
      <c r="W798" s="24" t="str">
        <f t="shared" si="5"/>
        <v>#DIV/0!</v>
      </c>
    </row>
    <row r="799">
      <c r="A799" s="15" t="s">
        <v>3819</v>
      </c>
      <c r="B799" s="15" t="s">
        <v>3820</v>
      </c>
      <c r="C799" s="15" t="s">
        <v>6293</v>
      </c>
      <c r="D799" s="41" t="s">
        <v>3821</v>
      </c>
      <c r="E799" s="17" t="s">
        <v>3822</v>
      </c>
      <c r="F799" s="18"/>
      <c r="G799" s="18"/>
      <c r="H799" s="15" t="s">
        <v>3823</v>
      </c>
      <c r="I799" s="18"/>
      <c r="J799" s="19" t="s">
        <v>283</v>
      </c>
      <c r="K799" s="19" t="s">
        <v>402</v>
      </c>
      <c r="L799" s="19" t="s">
        <v>38</v>
      </c>
      <c r="M799" s="20">
        <f t="shared" si="1"/>
        <v>0</v>
      </c>
      <c r="N799" s="22"/>
      <c r="O799" s="19" t="s">
        <v>3578</v>
      </c>
      <c r="P799" s="18"/>
      <c r="Q799" s="18"/>
      <c r="R799" s="23">
        <v>0.0</v>
      </c>
      <c r="S799" s="23">
        <v>0.0</v>
      </c>
      <c r="T799" s="23">
        <f t="shared" si="2"/>
        <v>0</v>
      </c>
      <c r="U799" s="23">
        <f t="shared" si="3"/>
        <v>0</v>
      </c>
      <c r="V799" s="23">
        <f t="shared" si="4"/>
        <v>0</v>
      </c>
      <c r="W799" s="24" t="str">
        <f t="shared" si="5"/>
        <v>#DIV/0!</v>
      </c>
    </row>
    <row r="800" hidden="1">
      <c r="A800" s="15" t="s">
        <v>7307</v>
      </c>
      <c r="B800" s="15"/>
      <c r="C800" s="15" t="s">
        <v>7308</v>
      </c>
      <c r="D800" s="18"/>
      <c r="E800" s="17" t="s">
        <v>7309</v>
      </c>
      <c r="F800" s="18"/>
      <c r="G800" s="18"/>
      <c r="H800" s="15" t="s">
        <v>7310</v>
      </c>
      <c r="I800" s="18"/>
      <c r="J800" s="19" t="s">
        <v>283</v>
      </c>
      <c r="K800" s="33"/>
      <c r="L800" s="19" t="s">
        <v>38</v>
      </c>
      <c r="M800" s="20">
        <f t="shared" si="1"/>
        <v>0</v>
      </c>
      <c r="N800" s="22"/>
      <c r="O800" s="19" t="s">
        <v>39</v>
      </c>
      <c r="P800" s="18"/>
      <c r="Q800" s="18"/>
      <c r="R800" s="23">
        <v>0.0</v>
      </c>
      <c r="S800" s="23">
        <v>0.0</v>
      </c>
      <c r="T800" s="23">
        <f t="shared" si="2"/>
        <v>0</v>
      </c>
      <c r="U800" s="23">
        <f t="shared" si="3"/>
        <v>0</v>
      </c>
      <c r="V800" s="23">
        <f t="shared" si="4"/>
        <v>0</v>
      </c>
      <c r="W800" s="24" t="str">
        <f t="shared" si="5"/>
        <v>#DIV/0!</v>
      </c>
    </row>
    <row r="801">
      <c r="A801" s="15" t="s">
        <v>3824</v>
      </c>
      <c r="B801" s="15" t="s">
        <v>3825</v>
      </c>
      <c r="C801" s="15" t="s">
        <v>6294</v>
      </c>
      <c r="D801" s="15" t="s">
        <v>3826</v>
      </c>
      <c r="E801" s="17" t="s">
        <v>3827</v>
      </c>
      <c r="F801" s="18"/>
      <c r="G801" s="18"/>
      <c r="H801" s="15" t="s">
        <v>3828</v>
      </c>
      <c r="I801" s="18"/>
      <c r="J801" s="19" t="s">
        <v>283</v>
      </c>
      <c r="K801" s="19" t="s">
        <v>402</v>
      </c>
      <c r="L801" s="19" t="s">
        <v>38</v>
      </c>
      <c r="M801" s="20">
        <f t="shared" si="1"/>
        <v>0</v>
      </c>
      <c r="N801" s="22"/>
      <c r="O801" s="19" t="s">
        <v>3578</v>
      </c>
      <c r="P801" s="18"/>
      <c r="Q801" s="18"/>
      <c r="R801" s="23">
        <v>0.0</v>
      </c>
      <c r="S801" s="23">
        <v>0.0</v>
      </c>
      <c r="T801" s="23">
        <f t="shared" si="2"/>
        <v>0</v>
      </c>
      <c r="U801" s="23">
        <f t="shared" si="3"/>
        <v>0</v>
      </c>
      <c r="V801" s="23">
        <f t="shared" si="4"/>
        <v>0</v>
      </c>
      <c r="W801" s="24" t="str">
        <f t="shared" si="5"/>
        <v>#DIV/0!</v>
      </c>
    </row>
    <row r="802">
      <c r="A802" s="15" t="s">
        <v>3829</v>
      </c>
      <c r="B802" s="15" t="s">
        <v>3830</v>
      </c>
      <c r="C802" s="15" t="s">
        <v>6295</v>
      </c>
      <c r="D802" s="15" t="s">
        <v>3831</v>
      </c>
      <c r="E802" s="17" t="s">
        <v>3832</v>
      </c>
      <c r="F802" s="18"/>
      <c r="G802" s="18"/>
      <c r="H802" s="15" t="s">
        <v>3833</v>
      </c>
      <c r="I802" s="18"/>
      <c r="J802" s="19" t="s">
        <v>283</v>
      </c>
      <c r="K802" s="19" t="s">
        <v>402</v>
      </c>
      <c r="L802" s="19" t="s">
        <v>38</v>
      </c>
      <c r="M802" s="20">
        <f t="shared" si="1"/>
        <v>0</v>
      </c>
      <c r="N802" s="22"/>
      <c r="O802" s="19" t="s">
        <v>3578</v>
      </c>
      <c r="P802" s="18"/>
      <c r="Q802" s="18"/>
      <c r="R802" s="23">
        <v>0.0</v>
      </c>
      <c r="S802" s="23">
        <v>0.0</v>
      </c>
      <c r="T802" s="23">
        <f t="shared" si="2"/>
        <v>0</v>
      </c>
      <c r="U802" s="23">
        <f t="shared" si="3"/>
        <v>0</v>
      </c>
      <c r="V802" s="23">
        <f t="shared" si="4"/>
        <v>0</v>
      </c>
      <c r="W802" s="24" t="str">
        <f t="shared" si="5"/>
        <v>#DIV/0!</v>
      </c>
    </row>
    <row r="803">
      <c r="A803" s="15" t="s">
        <v>3839</v>
      </c>
      <c r="B803" s="15" t="s">
        <v>3840</v>
      </c>
      <c r="C803" s="15" t="s">
        <v>6297</v>
      </c>
      <c r="D803" s="15" t="s">
        <v>3841</v>
      </c>
      <c r="E803" s="17" t="s">
        <v>3842</v>
      </c>
      <c r="F803" s="18"/>
      <c r="G803" s="18"/>
      <c r="H803" s="15" t="s">
        <v>3843</v>
      </c>
      <c r="I803" s="18"/>
      <c r="J803" s="19" t="s">
        <v>59</v>
      </c>
      <c r="K803" s="19" t="s">
        <v>402</v>
      </c>
      <c r="L803" s="19" t="s">
        <v>38</v>
      </c>
      <c r="M803" s="20">
        <f t="shared" si="1"/>
        <v>0</v>
      </c>
      <c r="N803" s="22"/>
      <c r="O803" s="19" t="s">
        <v>3578</v>
      </c>
      <c r="P803" s="18"/>
      <c r="Q803" s="18"/>
      <c r="R803" s="23">
        <v>0.0</v>
      </c>
      <c r="S803" s="23">
        <v>0.0</v>
      </c>
      <c r="T803" s="23">
        <f t="shared" si="2"/>
        <v>0</v>
      </c>
      <c r="U803" s="23">
        <f t="shared" si="3"/>
        <v>0</v>
      </c>
      <c r="V803" s="23">
        <f t="shared" si="4"/>
        <v>0</v>
      </c>
      <c r="W803" s="24" t="str">
        <f t="shared" si="5"/>
        <v>#DIV/0!</v>
      </c>
    </row>
    <row r="804">
      <c r="A804" s="15" t="s">
        <v>3845</v>
      </c>
      <c r="B804" s="15" t="s">
        <v>3846</v>
      </c>
      <c r="C804" s="15" t="s">
        <v>6298</v>
      </c>
      <c r="D804" s="18"/>
      <c r="E804" s="17" t="s">
        <v>3848</v>
      </c>
      <c r="F804" s="18"/>
      <c r="G804" s="18"/>
      <c r="H804" s="15" t="s">
        <v>3849</v>
      </c>
      <c r="I804" s="18"/>
      <c r="J804" s="19" t="s">
        <v>59</v>
      </c>
      <c r="K804" s="19" t="s">
        <v>402</v>
      </c>
      <c r="L804" s="19" t="s">
        <v>38</v>
      </c>
      <c r="M804" s="20">
        <f t="shared" si="1"/>
        <v>0</v>
      </c>
      <c r="N804" s="22"/>
      <c r="O804" s="19" t="s">
        <v>3578</v>
      </c>
      <c r="P804" s="18"/>
      <c r="Q804" s="18"/>
      <c r="R804" s="23">
        <v>0.0</v>
      </c>
      <c r="S804" s="23">
        <v>0.0</v>
      </c>
      <c r="T804" s="23">
        <f t="shared" si="2"/>
        <v>0</v>
      </c>
      <c r="U804" s="23">
        <f t="shared" si="3"/>
        <v>0</v>
      </c>
      <c r="V804" s="23">
        <f t="shared" si="4"/>
        <v>0</v>
      </c>
      <c r="W804" s="24" t="str">
        <f t="shared" si="5"/>
        <v>#DIV/0!</v>
      </c>
    </row>
    <row r="805">
      <c r="A805" s="15" t="s">
        <v>3850</v>
      </c>
      <c r="B805" s="15" t="s">
        <v>3851</v>
      </c>
      <c r="C805" s="15" t="s">
        <v>6299</v>
      </c>
      <c r="D805" s="15" t="s">
        <v>3852</v>
      </c>
      <c r="E805" s="17" t="s">
        <v>3853</v>
      </c>
      <c r="F805" s="18"/>
      <c r="G805" s="18"/>
      <c r="H805" s="15" t="s">
        <v>3854</v>
      </c>
      <c r="I805" s="18"/>
      <c r="J805" s="19" t="s">
        <v>283</v>
      </c>
      <c r="K805" s="19" t="s">
        <v>52</v>
      </c>
      <c r="L805" s="19" t="s">
        <v>177</v>
      </c>
      <c r="M805" s="20">
        <f t="shared" si="1"/>
        <v>0</v>
      </c>
      <c r="N805" s="22"/>
      <c r="O805" s="19" t="s">
        <v>3578</v>
      </c>
      <c r="P805" s="18"/>
      <c r="Q805" s="18"/>
      <c r="R805" s="23">
        <v>0.0</v>
      </c>
      <c r="S805" s="23">
        <v>0.0</v>
      </c>
      <c r="T805" s="23">
        <f t="shared" si="2"/>
        <v>0</v>
      </c>
      <c r="U805" s="23">
        <f t="shared" si="3"/>
        <v>0</v>
      </c>
      <c r="V805" s="23">
        <f t="shared" si="4"/>
        <v>0</v>
      </c>
      <c r="W805" s="24" t="str">
        <f t="shared" si="5"/>
        <v>#DIV/0!</v>
      </c>
    </row>
    <row r="806">
      <c r="A806" s="15" t="s">
        <v>3855</v>
      </c>
      <c r="B806" s="15" t="s">
        <v>3856</v>
      </c>
      <c r="C806" s="15" t="s">
        <v>6300</v>
      </c>
      <c r="D806" s="15" t="s">
        <v>3862</v>
      </c>
      <c r="E806" s="17" t="s">
        <v>3858</v>
      </c>
      <c r="F806" s="18"/>
      <c r="G806" s="18"/>
      <c r="H806" s="15" t="s">
        <v>3859</v>
      </c>
      <c r="I806" s="18"/>
      <c r="J806" s="19" t="s">
        <v>59</v>
      </c>
      <c r="K806" s="19" t="s">
        <v>402</v>
      </c>
      <c r="L806" s="19" t="s">
        <v>38</v>
      </c>
      <c r="M806" s="20">
        <f t="shared" si="1"/>
        <v>0</v>
      </c>
      <c r="N806" s="22"/>
      <c r="O806" s="19" t="s">
        <v>3578</v>
      </c>
      <c r="P806" s="18"/>
      <c r="Q806" s="18"/>
      <c r="R806" s="23">
        <v>0.0</v>
      </c>
      <c r="S806" s="23">
        <v>0.0</v>
      </c>
      <c r="T806" s="23">
        <f t="shared" si="2"/>
        <v>0</v>
      </c>
      <c r="U806" s="23">
        <f t="shared" si="3"/>
        <v>0</v>
      </c>
      <c r="V806" s="23">
        <f t="shared" si="4"/>
        <v>0</v>
      </c>
      <c r="W806" s="24" t="str">
        <f t="shared" si="5"/>
        <v>#DIV/0!</v>
      </c>
    </row>
    <row r="807">
      <c r="A807" s="15" t="s">
        <v>3860</v>
      </c>
      <c r="B807" s="15" t="s">
        <v>3861</v>
      </c>
      <c r="C807" s="15" t="s">
        <v>6301</v>
      </c>
      <c r="D807" s="15" t="s">
        <v>3862</v>
      </c>
      <c r="E807" s="17" t="s">
        <v>3863</v>
      </c>
      <c r="F807" s="18"/>
      <c r="G807" s="18"/>
      <c r="H807" s="15" t="s">
        <v>3864</v>
      </c>
      <c r="I807" s="18"/>
      <c r="J807" s="19" t="s">
        <v>59</v>
      </c>
      <c r="K807" s="19" t="s">
        <v>52</v>
      </c>
      <c r="L807" s="19" t="s">
        <v>177</v>
      </c>
      <c r="M807" s="20">
        <f t="shared" si="1"/>
        <v>0</v>
      </c>
      <c r="N807" s="22"/>
      <c r="O807" s="19" t="s">
        <v>3578</v>
      </c>
      <c r="P807" s="18"/>
      <c r="Q807" s="18"/>
      <c r="R807" s="23">
        <v>0.0</v>
      </c>
      <c r="S807" s="23">
        <v>0.0</v>
      </c>
      <c r="T807" s="23">
        <f t="shared" si="2"/>
        <v>0</v>
      </c>
      <c r="U807" s="23">
        <f t="shared" si="3"/>
        <v>0</v>
      </c>
      <c r="V807" s="23">
        <f t="shared" si="4"/>
        <v>0</v>
      </c>
      <c r="W807" s="24" t="str">
        <f t="shared" si="5"/>
        <v>#DIV/0!</v>
      </c>
    </row>
    <row r="808">
      <c r="A808" s="15" t="s">
        <v>3865</v>
      </c>
      <c r="B808" s="15" t="s">
        <v>3866</v>
      </c>
      <c r="C808" s="15" t="s">
        <v>6302</v>
      </c>
      <c r="D808" s="15" t="s">
        <v>3867</v>
      </c>
      <c r="E808" s="17" t="s">
        <v>3868</v>
      </c>
      <c r="F808" s="18"/>
      <c r="G808" s="18"/>
      <c r="H808" s="15" t="s">
        <v>3869</v>
      </c>
      <c r="I808" s="18"/>
      <c r="J808" s="19" t="s">
        <v>59</v>
      </c>
      <c r="K808" s="19" t="s">
        <v>52</v>
      </c>
      <c r="L808" s="19" t="s">
        <v>52</v>
      </c>
      <c r="M808" s="20">
        <f t="shared" si="1"/>
        <v>0</v>
      </c>
      <c r="N808" s="22"/>
      <c r="O808" s="19" t="s">
        <v>3578</v>
      </c>
      <c r="P808" s="18"/>
      <c r="Q808" s="18"/>
      <c r="R808" s="23">
        <v>0.0</v>
      </c>
      <c r="S808" s="23">
        <v>0.0</v>
      </c>
      <c r="T808" s="23">
        <f t="shared" si="2"/>
        <v>0</v>
      </c>
      <c r="U808" s="23">
        <f t="shared" si="3"/>
        <v>0</v>
      </c>
      <c r="V808" s="23">
        <f t="shared" si="4"/>
        <v>0</v>
      </c>
      <c r="W808" s="24" t="str">
        <f t="shared" si="5"/>
        <v>#DIV/0!</v>
      </c>
    </row>
    <row r="809">
      <c r="A809" s="15" t="s">
        <v>3870</v>
      </c>
      <c r="B809" s="15" t="s">
        <v>3871</v>
      </c>
      <c r="C809" s="15" t="s">
        <v>6303</v>
      </c>
      <c r="D809" s="15" t="s">
        <v>3872</v>
      </c>
      <c r="E809" s="17" t="s">
        <v>3873</v>
      </c>
      <c r="F809" s="18"/>
      <c r="G809" s="18"/>
      <c r="H809" s="15" t="s">
        <v>3874</v>
      </c>
      <c r="I809" s="18"/>
      <c r="J809" s="19" t="s">
        <v>59</v>
      </c>
      <c r="K809" s="19" t="s">
        <v>52</v>
      </c>
      <c r="L809" s="19" t="s">
        <v>52</v>
      </c>
      <c r="M809" s="20">
        <f t="shared" si="1"/>
        <v>0</v>
      </c>
      <c r="N809" s="22"/>
      <c r="O809" s="19" t="s">
        <v>3578</v>
      </c>
      <c r="P809" s="18"/>
      <c r="Q809" s="18"/>
      <c r="R809" s="23">
        <v>0.0</v>
      </c>
      <c r="S809" s="23">
        <v>0.0</v>
      </c>
      <c r="T809" s="23">
        <f t="shared" si="2"/>
        <v>0</v>
      </c>
      <c r="U809" s="23">
        <f t="shared" si="3"/>
        <v>0</v>
      </c>
      <c r="V809" s="23">
        <f t="shared" si="4"/>
        <v>0</v>
      </c>
      <c r="W809" s="24" t="str">
        <f t="shared" si="5"/>
        <v>#DIV/0!</v>
      </c>
    </row>
    <row r="810">
      <c r="A810" s="15" t="s">
        <v>3875</v>
      </c>
      <c r="B810" s="15" t="s">
        <v>3876</v>
      </c>
      <c r="C810" s="15" t="s">
        <v>6304</v>
      </c>
      <c r="D810" s="15" t="s">
        <v>3877</v>
      </c>
      <c r="E810" s="17" t="s">
        <v>3878</v>
      </c>
      <c r="F810" s="18"/>
      <c r="G810" s="18"/>
      <c r="H810" s="15" t="s">
        <v>3879</v>
      </c>
      <c r="I810" s="18"/>
      <c r="J810" s="19" t="s">
        <v>59</v>
      </c>
      <c r="K810" s="19" t="s">
        <v>52</v>
      </c>
      <c r="L810" s="19" t="s">
        <v>52</v>
      </c>
      <c r="M810" s="20">
        <f t="shared" si="1"/>
        <v>0</v>
      </c>
      <c r="N810" s="22"/>
      <c r="O810" s="19" t="s">
        <v>3578</v>
      </c>
      <c r="P810" s="18"/>
      <c r="Q810" s="18"/>
      <c r="R810" s="23">
        <v>0.0</v>
      </c>
      <c r="S810" s="23">
        <v>0.0</v>
      </c>
      <c r="T810" s="23">
        <f t="shared" si="2"/>
        <v>0</v>
      </c>
      <c r="U810" s="23">
        <f t="shared" si="3"/>
        <v>0</v>
      </c>
      <c r="V810" s="23">
        <f t="shared" si="4"/>
        <v>0</v>
      </c>
      <c r="W810" s="24" t="str">
        <f t="shared" si="5"/>
        <v>#DIV/0!</v>
      </c>
    </row>
    <row r="811">
      <c r="A811" s="15" t="s">
        <v>3880</v>
      </c>
      <c r="B811" s="15" t="s">
        <v>3881</v>
      </c>
      <c r="C811" s="15" t="s">
        <v>6305</v>
      </c>
      <c r="D811" s="15" t="s">
        <v>3882</v>
      </c>
      <c r="E811" s="17" t="s">
        <v>3883</v>
      </c>
      <c r="F811" s="18"/>
      <c r="G811" s="18"/>
      <c r="H811" s="15" t="s">
        <v>3884</v>
      </c>
      <c r="I811" s="18"/>
      <c r="J811" s="19" t="s">
        <v>59</v>
      </c>
      <c r="K811" s="19" t="s">
        <v>60</v>
      </c>
      <c r="L811" s="19" t="s">
        <v>115</v>
      </c>
      <c r="M811" s="20">
        <f t="shared" si="1"/>
        <v>0</v>
      </c>
      <c r="N811" s="22"/>
      <c r="O811" s="19" t="s">
        <v>3578</v>
      </c>
      <c r="P811" s="18"/>
      <c r="Q811" s="18"/>
      <c r="R811" s="23">
        <v>0.0</v>
      </c>
      <c r="S811" s="23">
        <v>0.0</v>
      </c>
      <c r="T811" s="23">
        <f t="shared" si="2"/>
        <v>0</v>
      </c>
      <c r="U811" s="23">
        <f t="shared" si="3"/>
        <v>0</v>
      </c>
      <c r="V811" s="23">
        <f t="shared" si="4"/>
        <v>0</v>
      </c>
      <c r="W811" s="24" t="str">
        <f t="shared" si="5"/>
        <v>#DIV/0!</v>
      </c>
    </row>
    <row r="812">
      <c r="A812" s="15" t="s">
        <v>3885</v>
      </c>
      <c r="B812" s="15" t="s">
        <v>3886</v>
      </c>
      <c r="C812" s="15" t="s">
        <v>6306</v>
      </c>
      <c r="D812" s="15" t="s">
        <v>3887</v>
      </c>
      <c r="E812" s="17" t="s">
        <v>3888</v>
      </c>
      <c r="F812" s="18"/>
      <c r="G812" s="18"/>
      <c r="H812" s="15" t="s">
        <v>6307</v>
      </c>
      <c r="I812" s="18"/>
      <c r="J812" s="19" t="s">
        <v>59</v>
      </c>
      <c r="K812" s="19" t="s">
        <v>284</v>
      </c>
      <c r="L812" s="19" t="s">
        <v>135</v>
      </c>
      <c r="M812" s="20">
        <f t="shared" si="1"/>
        <v>0</v>
      </c>
      <c r="N812" s="22"/>
      <c r="O812" s="19" t="s">
        <v>3578</v>
      </c>
      <c r="P812" s="18"/>
      <c r="Q812" s="18"/>
      <c r="R812" s="23">
        <v>0.0</v>
      </c>
      <c r="S812" s="23">
        <v>0.0</v>
      </c>
      <c r="T812" s="23">
        <f t="shared" si="2"/>
        <v>0</v>
      </c>
      <c r="U812" s="23">
        <f t="shared" si="3"/>
        <v>0</v>
      </c>
      <c r="V812" s="23">
        <f t="shared" si="4"/>
        <v>0</v>
      </c>
      <c r="W812" s="24" t="str">
        <f t="shared" si="5"/>
        <v>#DIV/0!</v>
      </c>
    </row>
    <row r="813">
      <c r="A813" s="15" t="s">
        <v>3890</v>
      </c>
      <c r="B813" s="15" t="s">
        <v>3891</v>
      </c>
      <c r="C813" s="15" t="s">
        <v>6308</v>
      </c>
      <c r="D813" s="15" t="s">
        <v>3892</v>
      </c>
      <c r="E813" s="17" t="s">
        <v>3893</v>
      </c>
      <c r="F813" s="18"/>
      <c r="G813" s="18"/>
      <c r="H813" s="15" t="s">
        <v>3894</v>
      </c>
      <c r="I813" s="18"/>
      <c r="J813" s="19" t="s">
        <v>59</v>
      </c>
      <c r="K813" s="19" t="s">
        <v>60</v>
      </c>
      <c r="L813" s="19" t="s">
        <v>115</v>
      </c>
      <c r="M813" s="20">
        <f t="shared" si="1"/>
        <v>0</v>
      </c>
      <c r="N813" s="22"/>
      <c r="O813" s="19" t="s">
        <v>3578</v>
      </c>
      <c r="P813" s="18"/>
      <c r="Q813" s="18"/>
      <c r="R813" s="23">
        <v>0.0</v>
      </c>
      <c r="S813" s="23">
        <v>0.0</v>
      </c>
      <c r="T813" s="23">
        <f t="shared" si="2"/>
        <v>0</v>
      </c>
      <c r="U813" s="23">
        <f t="shared" si="3"/>
        <v>0</v>
      </c>
      <c r="V813" s="23">
        <f t="shared" si="4"/>
        <v>0</v>
      </c>
      <c r="W813" s="24" t="str">
        <f t="shared" si="5"/>
        <v>#DIV/0!</v>
      </c>
    </row>
    <row r="814">
      <c r="A814" s="15" t="s">
        <v>3895</v>
      </c>
      <c r="B814" s="15" t="s">
        <v>3896</v>
      </c>
      <c r="C814" s="15" t="s">
        <v>6310</v>
      </c>
      <c r="D814" s="15" t="s">
        <v>3897</v>
      </c>
      <c r="E814" s="17" t="s">
        <v>3898</v>
      </c>
      <c r="F814" s="18"/>
      <c r="G814" s="18"/>
      <c r="H814" s="15" t="s">
        <v>3899</v>
      </c>
      <c r="I814" s="18"/>
      <c r="J814" s="19" t="s">
        <v>59</v>
      </c>
      <c r="K814" s="19" t="s">
        <v>402</v>
      </c>
      <c r="L814" s="19" t="s">
        <v>38</v>
      </c>
      <c r="M814" s="20">
        <f t="shared" si="1"/>
        <v>0</v>
      </c>
      <c r="N814" s="22"/>
      <c r="O814" s="19" t="s">
        <v>3578</v>
      </c>
      <c r="P814" s="18"/>
      <c r="Q814" s="18"/>
      <c r="R814" s="23">
        <v>0.0</v>
      </c>
      <c r="S814" s="23">
        <v>0.0</v>
      </c>
      <c r="T814" s="23">
        <f t="shared" si="2"/>
        <v>0</v>
      </c>
      <c r="U814" s="23">
        <f t="shared" si="3"/>
        <v>0</v>
      </c>
      <c r="V814" s="23">
        <f t="shared" si="4"/>
        <v>0</v>
      </c>
      <c r="W814" s="24" t="str">
        <f t="shared" si="5"/>
        <v>#DIV/0!</v>
      </c>
    </row>
    <row r="815">
      <c r="A815" s="15" t="s">
        <v>3900</v>
      </c>
      <c r="B815" s="15" t="s">
        <v>3901</v>
      </c>
      <c r="C815" s="15" t="s">
        <v>6311</v>
      </c>
      <c r="D815" s="15" t="s">
        <v>3902</v>
      </c>
      <c r="E815" s="17" t="s">
        <v>3903</v>
      </c>
      <c r="F815" s="18"/>
      <c r="G815" s="18"/>
      <c r="H815" s="15" t="s">
        <v>6312</v>
      </c>
      <c r="I815" s="18"/>
      <c r="J815" s="19" t="s">
        <v>59</v>
      </c>
      <c r="K815" s="19" t="s">
        <v>402</v>
      </c>
      <c r="L815" s="19" t="s">
        <v>38</v>
      </c>
      <c r="M815" s="20">
        <f t="shared" si="1"/>
        <v>0</v>
      </c>
      <c r="N815" s="22"/>
      <c r="O815" s="19" t="s">
        <v>3578</v>
      </c>
      <c r="P815" s="18"/>
      <c r="Q815" s="18"/>
      <c r="R815" s="23">
        <v>0.0</v>
      </c>
      <c r="S815" s="23">
        <v>0.0</v>
      </c>
      <c r="T815" s="23">
        <f t="shared" si="2"/>
        <v>0</v>
      </c>
      <c r="U815" s="23">
        <f t="shared" si="3"/>
        <v>0</v>
      </c>
      <c r="V815" s="23">
        <f t="shared" si="4"/>
        <v>0</v>
      </c>
      <c r="W815" s="24" t="str">
        <f t="shared" si="5"/>
        <v>#DIV/0!</v>
      </c>
    </row>
    <row r="816">
      <c r="A816" s="15" t="s">
        <v>3904</v>
      </c>
      <c r="B816" s="15" t="s">
        <v>3905</v>
      </c>
      <c r="C816" s="15" t="s">
        <v>6313</v>
      </c>
      <c r="D816" s="42" t="s">
        <v>3906</v>
      </c>
      <c r="E816" s="17" t="s">
        <v>3907</v>
      </c>
      <c r="F816" s="18"/>
      <c r="G816" s="18"/>
      <c r="H816" s="15" t="s">
        <v>3908</v>
      </c>
      <c r="I816" s="18"/>
      <c r="J816" s="19" t="s">
        <v>59</v>
      </c>
      <c r="K816" s="19" t="s">
        <v>402</v>
      </c>
      <c r="L816" s="19" t="s">
        <v>38</v>
      </c>
      <c r="M816" s="20">
        <f t="shared" si="1"/>
        <v>0</v>
      </c>
      <c r="N816" s="22"/>
      <c r="O816" s="19" t="s">
        <v>3578</v>
      </c>
      <c r="P816" s="18"/>
      <c r="Q816" s="18"/>
      <c r="R816" s="23">
        <v>0.0</v>
      </c>
      <c r="S816" s="23">
        <v>0.0</v>
      </c>
      <c r="T816" s="23">
        <f t="shared" si="2"/>
        <v>0</v>
      </c>
      <c r="U816" s="23">
        <f t="shared" si="3"/>
        <v>0</v>
      </c>
      <c r="V816" s="23">
        <f t="shared" si="4"/>
        <v>0</v>
      </c>
      <c r="W816" s="24" t="str">
        <f t="shared" si="5"/>
        <v>#DIV/0!</v>
      </c>
    </row>
    <row r="817">
      <c r="A817" s="15" t="s">
        <v>3909</v>
      </c>
      <c r="B817" s="18"/>
      <c r="C817" s="15" t="s">
        <v>6314</v>
      </c>
      <c r="D817" s="15" t="s">
        <v>3910</v>
      </c>
      <c r="E817" s="17" t="s">
        <v>3911</v>
      </c>
      <c r="F817" s="18"/>
      <c r="G817" s="18"/>
      <c r="H817" s="15" t="s">
        <v>3912</v>
      </c>
      <c r="I817" s="15" t="s">
        <v>3913</v>
      </c>
      <c r="J817" s="19" t="s">
        <v>59</v>
      </c>
      <c r="K817" s="19" t="s">
        <v>402</v>
      </c>
      <c r="L817" s="19" t="s">
        <v>38</v>
      </c>
      <c r="M817" s="20">
        <f t="shared" si="1"/>
        <v>0</v>
      </c>
      <c r="N817" s="22"/>
      <c r="O817" s="19" t="s">
        <v>3578</v>
      </c>
      <c r="P817" s="18"/>
      <c r="Q817" s="18"/>
      <c r="R817" s="23">
        <v>0.0</v>
      </c>
      <c r="S817" s="23">
        <v>0.0</v>
      </c>
      <c r="T817" s="23">
        <f t="shared" si="2"/>
        <v>0</v>
      </c>
      <c r="U817" s="23">
        <f t="shared" si="3"/>
        <v>0</v>
      </c>
      <c r="V817" s="23">
        <f t="shared" si="4"/>
        <v>0</v>
      </c>
      <c r="W817" s="24" t="str">
        <f t="shared" si="5"/>
        <v>#DIV/0!</v>
      </c>
    </row>
    <row r="818">
      <c r="A818" s="15" t="s">
        <v>3914</v>
      </c>
      <c r="B818" s="15" t="s">
        <v>3915</v>
      </c>
      <c r="C818" s="15" t="s">
        <v>6315</v>
      </c>
      <c r="D818" s="15" t="s">
        <v>288</v>
      </c>
      <c r="E818" s="17" t="s">
        <v>3916</v>
      </c>
      <c r="F818" s="18"/>
      <c r="G818" s="18"/>
      <c r="H818" s="15" t="s">
        <v>3917</v>
      </c>
      <c r="I818" s="18"/>
      <c r="J818" s="19" t="s">
        <v>59</v>
      </c>
      <c r="K818" s="19" t="s">
        <v>105</v>
      </c>
      <c r="L818" s="19" t="s">
        <v>38</v>
      </c>
      <c r="M818" s="20">
        <f t="shared" si="1"/>
        <v>0</v>
      </c>
      <c r="N818" s="22"/>
      <c r="O818" s="19" t="s">
        <v>3578</v>
      </c>
      <c r="P818" s="18"/>
      <c r="Q818" s="18"/>
      <c r="R818" s="23">
        <v>0.0</v>
      </c>
      <c r="S818" s="23">
        <v>0.0</v>
      </c>
      <c r="T818" s="23">
        <f t="shared" si="2"/>
        <v>0</v>
      </c>
      <c r="U818" s="23">
        <f t="shared" si="3"/>
        <v>0</v>
      </c>
      <c r="V818" s="23">
        <f t="shared" si="4"/>
        <v>0</v>
      </c>
      <c r="W818" s="24" t="str">
        <f t="shared" si="5"/>
        <v>#DIV/0!</v>
      </c>
    </row>
    <row r="819">
      <c r="A819" s="15" t="s">
        <v>3918</v>
      </c>
      <c r="B819" s="15" t="s">
        <v>3919</v>
      </c>
      <c r="C819" s="15" t="s">
        <v>6316</v>
      </c>
      <c r="D819" s="15" t="s">
        <v>3920</v>
      </c>
      <c r="E819" s="17" t="s">
        <v>3921</v>
      </c>
      <c r="F819" s="18"/>
      <c r="G819" s="18"/>
      <c r="H819" s="15" t="s">
        <v>3922</v>
      </c>
      <c r="I819" s="18"/>
      <c r="J819" s="19" t="s">
        <v>59</v>
      </c>
      <c r="K819" s="19" t="s">
        <v>402</v>
      </c>
      <c r="L819" s="19" t="s">
        <v>38</v>
      </c>
      <c r="M819" s="20">
        <f t="shared" si="1"/>
        <v>0</v>
      </c>
      <c r="N819" s="22"/>
      <c r="O819" s="19" t="s">
        <v>3578</v>
      </c>
      <c r="P819" s="18"/>
      <c r="Q819" s="18"/>
      <c r="R819" s="23">
        <v>0.0</v>
      </c>
      <c r="S819" s="23">
        <v>0.0</v>
      </c>
      <c r="T819" s="23">
        <f t="shared" si="2"/>
        <v>0</v>
      </c>
      <c r="U819" s="23">
        <f t="shared" si="3"/>
        <v>0</v>
      </c>
      <c r="V819" s="23">
        <f t="shared" si="4"/>
        <v>0</v>
      </c>
      <c r="W819" s="24" t="str">
        <f t="shared" si="5"/>
        <v>#DIV/0!</v>
      </c>
    </row>
    <row r="820">
      <c r="A820" s="15" t="s">
        <v>3928</v>
      </c>
      <c r="B820" s="15" t="s">
        <v>3929</v>
      </c>
      <c r="C820" s="15" t="s">
        <v>6318</v>
      </c>
      <c r="D820" s="15" t="s">
        <v>3930</v>
      </c>
      <c r="E820" s="17" t="s">
        <v>3931</v>
      </c>
      <c r="F820" s="18"/>
      <c r="G820" s="18"/>
      <c r="H820" s="15" t="s">
        <v>3932</v>
      </c>
      <c r="I820" s="18"/>
      <c r="J820" s="19" t="s">
        <v>59</v>
      </c>
      <c r="K820" s="19" t="s">
        <v>402</v>
      </c>
      <c r="L820" s="19" t="s">
        <v>38</v>
      </c>
      <c r="M820" s="20">
        <f t="shared" si="1"/>
        <v>0</v>
      </c>
      <c r="N820" s="22"/>
      <c r="O820" s="19" t="s">
        <v>3578</v>
      </c>
      <c r="P820" s="18"/>
      <c r="Q820" s="18"/>
      <c r="R820" s="23">
        <v>0.0</v>
      </c>
      <c r="S820" s="23">
        <v>0.0</v>
      </c>
      <c r="T820" s="23">
        <f t="shared" si="2"/>
        <v>0</v>
      </c>
      <c r="U820" s="23">
        <f t="shared" si="3"/>
        <v>0</v>
      </c>
      <c r="V820" s="23">
        <f t="shared" si="4"/>
        <v>0</v>
      </c>
      <c r="W820" s="24" t="str">
        <f t="shared" si="5"/>
        <v>#DIV/0!</v>
      </c>
    </row>
    <row r="821">
      <c r="A821" s="15" t="s">
        <v>3933</v>
      </c>
      <c r="B821" s="15" t="s">
        <v>3934</v>
      </c>
      <c r="C821" s="15" t="s">
        <v>6319</v>
      </c>
      <c r="D821" s="15" t="s">
        <v>3935</v>
      </c>
      <c r="E821" s="17" t="s">
        <v>3936</v>
      </c>
      <c r="F821" s="18"/>
      <c r="G821" s="18"/>
      <c r="H821" s="15" t="s">
        <v>3937</v>
      </c>
      <c r="I821" s="18"/>
      <c r="J821" s="19" t="s">
        <v>59</v>
      </c>
      <c r="K821" s="19" t="s">
        <v>37</v>
      </c>
      <c r="L821" s="19" t="s">
        <v>38</v>
      </c>
      <c r="M821" s="20">
        <f t="shared" si="1"/>
        <v>0</v>
      </c>
      <c r="N821" s="22"/>
      <c r="O821" s="19" t="s">
        <v>3578</v>
      </c>
      <c r="P821" s="18"/>
      <c r="Q821" s="18"/>
      <c r="R821" s="23">
        <v>0.0</v>
      </c>
      <c r="S821" s="23">
        <v>0.0</v>
      </c>
      <c r="T821" s="23">
        <f t="shared" si="2"/>
        <v>0</v>
      </c>
      <c r="U821" s="23">
        <f t="shared" si="3"/>
        <v>0</v>
      </c>
      <c r="V821" s="23">
        <f t="shared" si="4"/>
        <v>0</v>
      </c>
      <c r="W821" s="24" t="str">
        <f t="shared" si="5"/>
        <v>#DIV/0!</v>
      </c>
    </row>
    <row r="822">
      <c r="A822" s="15" t="s">
        <v>3938</v>
      </c>
      <c r="B822" s="15" t="s">
        <v>3939</v>
      </c>
      <c r="C822" s="15" t="s">
        <v>6320</v>
      </c>
      <c r="D822" s="15" t="s">
        <v>3940</v>
      </c>
      <c r="E822" s="17" t="s">
        <v>3941</v>
      </c>
      <c r="F822" s="18"/>
      <c r="G822" s="18"/>
      <c r="H822" s="15" t="s">
        <v>2814</v>
      </c>
      <c r="I822" s="18"/>
      <c r="J822" s="19" t="s">
        <v>59</v>
      </c>
      <c r="K822" s="19" t="s">
        <v>37</v>
      </c>
      <c r="L822" s="19" t="s">
        <v>38</v>
      </c>
      <c r="M822" s="20">
        <f t="shared" si="1"/>
        <v>0</v>
      </c>
      <c r="N822" s="22"/>
      <c r="O822" s="19" t="s">
        <v>3578</v>
      </c>
      <c r="P822" s="18"/>
      <c r="Q822" s="18"/>
      <c r="R822" s="23">
        <v>0.0</v>
      </c>
      <c r="S822" s="23">
        <v>0.0</v>
      </c>
      <c r="T822" s="23">
        <f t="shared" si="2"/>
        <v>0</v>
      </c>
      <c r="U822" s="23">
        <f t="shared" si="3"/>
        <v>0</v>
      </c>
      <c r="V822" s="23">
        <f t="shared" si="4"/>
        <v>0</v>
      </c>
      <c r="W822" s="24" t="str">
        <f t="shared" si="5"/>
        <v>#DIV/0!</v>
      </c>
    </row>
    <row r="823">
      <c r="A823" s="15" t="s">
        <v>3942</v>
      </c>
      <c r="B823" s="15" t="s">
        <v>3943</v>
      </c>
      <c r="C823" s="15" t="s">
        <v>6321</v>
      </c>
      <c r="D823" s="15" t="s">
        <v>3944</v>
      </c>
      <c r="E823" s="17" t="s">
        <v>3945</v>
      </c>
      <c r="F823" s="18"/>
      <c r="G823" s="18"/>
      <c r="H823" s="15" t="s">
        <v>3946</v>
      </c>
      <c r="I823" s="18"/>
      <c r="J823" s="19" t="s">
        <v>59</v>
      </c>
      <c r="K823" s="19" t="s">
        <v>402</v>
      </c>
      <c r="L823" s="19" t="s">
        <v>38</v>
      </c>
      <c r="M823" s="20">
        <f t="shared" si="1"/>
        <v>0</v>
      </c>
      <c r="N823" s="22"/>
      <c r="O823" s="19" t="s">
        <v>3578</v>
      </c>
      <c r="P823" s="18"/>
      <c r="Q823" s="18"/>
      <c r="R823" s="23">
        <v>0.0</v>
      </c>
      <c r="S823" s="23">
        <v>0.0</v>
      </c>
      <c r="T823" s="23">
        <f t="shared" si="2"/>
        <v>0</v>
      </c>
      <c r="U823" s="23">
        <f t="shared" si="3"/>
        <v>0</v>
      </c>
      <c r="V823" s="23">
        <f t="shared" si="4"/>
        <v>0</v>
      </c>
      <c r="W823" s="24" t="str">
        <f t="shared" si="5"/>
        <v>#DIV/0!</v>
      </c>
    </row>
    <row r="824" hidden="1">
      <c r="A824" s="15" t="s">
        <v>2377</v>
      </c>
      <c r="B824" s="18"/>
      <c r="C824" s="15" t="s">
        <v>7330</v>
      </c>
      <c r="D824" s="18"/>
      <c r="E824" s="17" t="s">
        <v>1050</v>
      </c>
      <c r="F824" s="18"/>
      <c r="G824" s="18"/>
      <c r="H824" s="18"/>
      <c r="I824" s="18"/>
      <c r="J824" s="19" t="s">
        <v>283</v>
      </c>
      <c r="K824" s="33"/>
      <c r="L824" s="19" t="s">
        <v>38</v>
      </c>
      <c r="M824" s="20">
        <f t="shared" si="1"/>
        <v>0</v>
      </c>
      <c r="N824" s="22"/>
      <c r="O824" s="19" t="s">
        <v>1145</v>
      </c>
      <c r="P824" s="18"/>
      <c r="Q824" s="18"/>
      <c r="R824" s="23">
        <v>0.0</v>
      </c>
      <c r="S824" s="23">
        <v>0.0</v>
      </c>
      <c r="T824" s="23">
        <f t="shared" si="2"/>
        <v>0</v>
      </c>
      <c r="U824" s="23">
        <f t="shared" si="3"/>
        <v>0</v>
      </c>
      <c r="V824" s="23">
        <f t="shared" si="4"/>
        <v>0</v>
      </c>
      <c r="W824" s="24" t="str">
        <f t="shared" si="5"/>
        <v>#DIV/0!</v>
      </c>
    </row>
    <row r="825" hidden="1">
      <c r="A825" s="15" t="s">
        <v>2378</v>
      </c>
      <c r="B825" s="18"/>
      <c r="C825" s="15" t="s">
        <v>7331</v>
      </c>
      <c r="D825" s="18"/>
      <c r="E825" s="17" t="s">
        <v>2379</v>
      </c>
      <c r="F825" s="18"/>
      <c r="G825" s="18"/>
      <c r="H825" s="15" t="s">
        <v>2380</v>
      </c>
      <c r="I825" s="15" t="s">
        <v>2381</v>
      </c>
      <c r="J825" s="19" t="s">
        <v>36</v>
      </c>
      <c r="K825" s="19" t="s">
        <v>2382</v>
      </c>
      <c r="L825" s="19" t="s">
        <v>38</v>
      </c>
      <c r="M825" s="20">
        <f t="shared" si="1"/>
        <v>0</v>
      </c>
      <c r="N825" s="22"/>
      <c r="O825" s="19" t="s">
        <v>1145</v>
      </c>
      <c r="P825" s="18"/>
      <c r="Q825" s="18"/>
      <c r="R825" s="23">
        <v>0.0</v>
      </c>
      <c r="S825" s="23">
        <v>0.0</v>
      </c>
      <c r="T825" s="23">
        <f t="shared" si="2"/>
        <v>0</v>
      </c>
      <c r="U825" s="23">
        <f t="shared" si="3"/>
        <v>0</v>
      </c>
      <c r="V825" s="23">
        <f t="shared" si="4"/>
        <v>0</v>
      </c>
      <c r="W825" s="24" t="str">
        <f t="shared" si="5"/>
        <v>#DIV/0!</v>
      </c>
    </row>
    <row r="826" hidden="1">
      <c r="A826" s="15" t="s">
        <v>2383</v>
      </c>
      <c r="B826" s="18"/>
      <c r="C826" s="15" t="s">
        <v>7332</v>
      </c>
      <c r="D826" s="18"/>
      <c r="E826" s="17" t="s">
        <v>2384</v>
      </c>
      <c r="F826" s="18"/>
      <c r="G826" s="18"/>
      <c r="H826" s="15" t="s">
        <v>2385</v>
      </c>
      <c r="I826" s="15" t="s">
        <v>2386</v>
      </c>
      <c r="J826" s="19" t="s">
        <v>36</v>
      </c>
      <c r="K826" s="19" t="s">
        <v>2387</v>
      </c>
      <c r="L826" s="19" t="s">
        <v>38</v>
      </c>
      <c r="M826" s="20">
        <f t="shared" si="1"/>
        <v>0</v>
      </c>
      <c r="N826" s="22"/>
      <c r="O826" s="19" t="s">
        <v>1145</v>
      </c>
      <c r="P826" s="18"/>
      <c r="Q826" s="18"/>
      <c r="R826" s="23">
        <v>0.0</v>
      </c>
      <c r="S826" s="23">
        <v>0.0</v>
      </c>
      <c r="T826" s="23">
        <f t="shared" si="2"/>
        <v>0</v>
      </c>
      <c r="U826" s="23">
        <f t="shared" si="3"/>
        <v>0</v>
      </c>
      <c r="V826" s="23">
        <f t="shared" si="4"/>
        <v>0</v>
      </c>
      <c r="W826" s="24" t="str">
        <f t="shared" si="5"/>
        <v>#DIV/0!</v>
      </c>
    </row>
    <row r="827" hidden="1">
      <c r="A827" s="15" t="s">
        <v>2388</v>
      </c>
      <c r="B827" s="18"/>
      <c r="C827" s="15" t="s">
        <v>7333</v>
      </c>
      <c r="D827" s="18"/>
      <c r="E827" s="17" t="s">
        <v>2389</v>
      </c>
      <c r="F827" s="18"/>
      <c r="G827" s="18"/>
      <c r="H827" s="15" t="s">
        <v>2390</v>
      </c>
      <c r="I827" s="15" t="s">
        <v>2391</v>
      </c>
      <c r="J827" s="19" t="s">
        <v>36</v>
      </c>
      <c r="K827" s="19" t="s">
        <v>2387</v>
      </c>
      <c r="L827" s="19" t="s">
        <v>38</v>
      </c>
      <c r="M827" s="20">
        <f t="shared" si="1"/>
        <v>0</v>
      </c>
      <c r="N827" s="22"/>
      <c r="O827" s="19" t="s">
        <v>1145</v>
      </c>
      <c r="P827" s="18"/>
      <c r="Q827" s="18"/>
      <c r="R827" s="23">
        <v>0.0</v>
      </c>
      <c r="S827" s="23">
        <v>0.0</v>
      </c>
      <c r="T827" s="23">
        <f t="shared" si="2"/>
        <v>0</v>
      </c>
      <c r="U827" s="23">
        <f t="shared" si="3"/>
        <v>0</v>
      </c>
      <c r="V827" s="23">
        <f t="shared" si="4"/>
        <v>0</v>
      </c>
      <c r="W827" s="24" t="str">
        <f t="shared" si="5"/>
        <v>#DIV/0!</v>
      </c>
    </row>
    <row r="828">
      <c r="A828" s="15" t="s">
        <v>3947</v>
      </c>
      <c r="B828" s="15" t="s">
        <v>3948</v>
      </c>
      <c r="C828" s="15" t="s">
        <v>6322</v>
      </c>
      <c r="D828" s="15" t="s">
        <v>3949</v>
      </c>
      <c r="E828" s="17" t="s">
        <v>3950</v>
      </c>
      <c r="F828" s="18"/>
      <c r="G828" s="18"/>
      <c r="H828" s="15" t="s">
        <v>3951</v>
      </c>
      <c r="I828" s="18"/>
      <c r="J828" s="19" t="s">
        <v>59</v>
      </c>
      <c r="K828" s="19" t="s">
        <v>402</v>
      </c>
      <c r="L828" s="19" t="s">
        <v>38</v>
      </c>
      <c r="M828" s="20">
        <f t="shared" si="1"/>
        <v>0</v>
      </c>
      <c r="N828" s="22"/>
      <c r="O828" s="19" t="s">
        <v>3578</v>
      </c>
      <c r="P828" s="18"/>
      <c r="Q828" s="18"/>
      <c r="R828" s="23">
        <v>0.0</v>
      </c>
      <c r="S828" s="23">
        <v>0.0</v>
      </c>
      <c r="T828" s="23">
        <f t="shared" si="2"/>
        <v>0</v>
      </c>
      <c r="U828" s="23">
        <f t="shared" si="3"/>
        <v>0</v>
      </c>
      <c r="V828" s="23">
        <f t="shared" si="4"/>
        <v>0</v>
      </c>
      <c r="W828" s="24" t="str">
        <f t="shared" si="5"/>
        <v>#DIV/0!</v>
      </c>
    </row>
    <row r="829">
      <c r="A829" s="15" t="s">
        <v>5924</v>
      </c>
      <c r="B829" s="15" t="s">
        <v>5925</v>
      </c>
      <c r="C829" s="15" t="s">
        <v>6323</v>
      </c>
      <c r="D829" s="15" t="s">
        <v>5926</v>
      </c>
      <c r="E829" s="17" t="s">
        <v>5927</v>
      </c>
      <c r="F829" s="18"/>
      <c r="G829" s="18"/>
      <c r="H829" s="15" t="s">
        <v>5928</v>
      </c>
      <c r="I829" s="18"/>
      <c r="J829" s="19" t="s">
        <v>59</v>
      </c>
      <c r="K829" s="19" t="s">
        <v>402</v>
      </c>
      <c r="L829" s="19" t="s">
        <v>38</v>
      </c>
      <c r="M829" s="20">
        <f t="shared" si="1"/>
        <v>426.24</v>
      </c>
      <c r="N829" s="31"/>
      <c r="O829" s="19" t="s">
        <v>3578</v>
      </c>
      <c r="P829" s="18"/>
      <c r="Q829" s="18"/>
      <c r="R829" s="23">
        <v>7.0</v>
      </c>
      <c r="S829" s="23">
        <v>24.0</v>
      </c>
      <c r="T829" s="23">
        <f t="shared" si="2"/>
        <v>23.04</v>
      </c>
      <c r="U829" s="23">
        <f t="shared" si="3"/>
        <v>8.575</v>
      </c>
      <c r="V829" s="23">
        <f t="shared" si="4"/>
        <v>160.78125</v>
      </c>
      <c r="W829" s="24">
        <f t="shared" si="5"/>
        <v>3.291428571</v>
      </c>
    </row>
    <row r="830">
      <c r="A830" s="15" t="s">
        <v>3952</v>
      </c>
      <c r="B830" s="15" t="s">
        <v>3953</v>
      </c>
      <c r="C830" s="15" t="s">
        <v>6324</v>
      </c>
      <c r="D830" s="15" t="s">
        <v>3954</v>
      </c>
      <c r="E830" s="17" t="s">
        <v>3955</v>
      </c>
      <c r="F830" s="18"/>
      <c r="G830" s="18"/>
      <c r="H830" s="15" t="s">
        <v>3956</v>
      </c>
      <c r="I830" s="18"/>
      <c r="J830" s="19" t="s">
        <v>59</v>
      </c>
      <c r="K830" s="19" t="s">
        <v>1230</v>
      </c>
      <c r="L830" s="19" t="s">
        <v>38</v>
      </c>
      <c r="M830" s="20">
        <f t="shared" si="1"/>
        <v>0</v>
      </c>
      <c r="N830" s="22"/>
      <c r="O830" s="19" t="s">
        <v>3578</v>
      </c>
      <c r="P830" s="18"/>
      <c r="Q830" s="18"/>
      <c r="R830" s="23">
        <v>0.0</v>
      </c>
      <c r="S830" s="23">
        <v>0.0</v>
      </c>
      <c r="T830" s="23">
        <f t="shared" si="2"/>
        <v>0</v>
      </c>
      <c r="U830" s="23">
        <f t="shared" si="3"/>
        <v>0</v>
      </c>
      <c r="V830" s="23">
        <f t="shared" si="4"/>
        <v>0</v>
      </c>
      <c r="W830" s="24" t="str">
        <f t="shared" si="5"/>
        <v>#DIV/0!</v>
      </c>
    </row>
    <row r="831">
      <c r="A831" s="15" t="s">
        <v>6325</v>
      </c>
      <c r="B831" s="15" t="s">
        <v>6326</v>
      </c>
      <c r="C831" s="15" t="s">
        <v>6327</v>
      </c>
      <c r="D831" s="15" t="s">
        <v>6328</v>
      </c>
      <c r="E831" s="17" t="s">
        <v>6329</v>
      </c>
      <c r="F831" s="18"/>
      <c r="G831" s="18"/>
      <c r="H831" s="15" t="s">
        <v>3960</v>
      </c>
      <c r="I831" s="18"/>
      <c r="J831" s="19" t="s">
        <v>59</v>
      </c>
      <c r="K831" s="19" t="s">
        <v>402</v>
      </c>
      <c r="L831" s="19" t="s">
        <v>38</v>
      </c>
      <c r="M831" s="20">
        <f t="shared" si="1"/>
        <v>0</v>
      </c>
      <c r="N831" s="22"/>
      <c r="O831" s="19" t="s">
        <v>3578</v>
      </c>
      <c r="P831" s="18"/>
      <c r="Q831" s="18"/>
      <c r="R831" s="23">
        <v>0.0</v>
      </c>
      <c r="S831" s="23">
        <v>0.0</v>
      </c>
      <c r="T831" s="23">
        <f t="shared" si="2"/>
        <v>0</v>
      </c>
      <c r="U831" s="23">
        <f t="shared" si="3"/>
        <v>0</v>
      </c>
      <c r="V831" s="23">
        <f t="shared" si="4"/>
        <v>0</v>
      </c>
      <c r="W831" s="24" t="str">
        <f t="shared" si="5"/>
        <v>#DIV/0!</v>
      </c>
    </row>
    <row r="832">
      <c r="A832" s="15" t="s">
        <v>3957</v>
      </c>
      <c r="B832" s="15" t="s">
        <v>6330</v>
      </c>
      <c r="C832" s="15" t="s">
        <v>6331</v>
      </c>
      <c r="D832" s="15" t="s">
        <v>3958</v>
      </c>
      <c r="E832" s="17" t="s">
        <v>3959</v>
      </c>
      <c r="F832" s="18"/>
      <c r="G832" s="18"/>
      <c r="H832" s="15" t="s">
        <v>6332</v>
      </c>
      <c r="I832" s="18"/>
      <c r="J832" s="19" t="s">
        <v>59</v>
      </c>
      <c r="K832" s="19" t="s">
        <v>402</v>
      </c>
      <c r="L832" s="19" t="s">
        <v>38</v>
      </c>
      <c r="M832" s="20">
        <f t="shared" si="1"/>
        <v>0</v>
      </c>
      <c r="N832" s="22"/>
      <c r="O832" s="19" t="s">
        <v>3578</v>
      </c>
      <c r="P832" s="18"/>
      <c r="Q832" s="18"/>
      <c r="R832" s="23">
        <v>0.0</v>
      </c>
      <c r="S832" s="23">
        <v>0.0</v>
      </c>
      <c r="T832" s="23">
        <f t="shared" si="2"/>
        <v>0</v>
      </c>
      <c r="U832" s="23">
        <f t="shared" si="3"/>
        <v>0</v>
      </c>
      <c r="V832" s="23">
        <f t="shared" si="4"/>
        <v>0</v>
      </c>
      <c r="W832" s="24" t="str">
        <f t="shared" si="5"/>
        <v>#DIV/0!</v>
      </c>
    </row>
    <row r="833" hidden="1">
      <c r="A833" s="15" t="s">
        <v>314</v>
      </c>
      <c r="B833" s="18"/>
      <c r="C833" s="15" t="s">
        <v>6074</v>
      </c>
      <c r="D833" s="15" t="s">
        <v>316</v>
      </c>
      <c r="E833" s="17" t="s">
        <v>317</v>
      </c>
      <c r="F833" s="18"/>
      <c r="G833" s="18"/>
      <c r="H833" s="15" t="s">
        <v>318</v>
      </c>
      <c r="I833" s="15" t="s">
        <v>319</v>
      </c>
      <c r="J833" s="19" t="s">
        <v>36</v>
      </c>
      <c r="K833" s="19" t="s">
        <v>37</v>
      </c>
      <c r="L833" s="19" t="s">
        <v>38</v>
      </c>
      <c r="M833" s="20">
        <f t="shared" si="1"/>
        <v>0</v>
      </c>
      <c r="N833" s="22"/>
      <c r="O833" s="19" t="s">
        <v>1145</v>
      </c>
      <c r="P833" s="18"/>
      <c r="Q833" s="18"/>
      <c r="R833" s="23">
        <v>0.0</v>
      </c>
      <c r="S833" s="23">
        <v>0.0</v>
      </c>
      <c r="T833" s="23">
        <f t="shared" si="2"/>
        <v>0</v>
      </c>
      <c r="U833" s="23">
        <f t="shared" si="3"/>
        <v>0</v>
      </c>
      <c r="V833" s="23">
        <f t="shared" si="4"/>
        <v>0</v>
      </c>
      <c r="W833" s="24" t="str">
        <f t="shared" si="5"/>
        <v>#DIV/0!</v>
      </c>
    </row>
    <row r="834" hidden="1">
      <c r="A834" s="15" t="s">
        <v>2392</v>
      </c>
      <c r="B834" s="18"/>
      <c r="C834" s="15" t="s">
        <v>7338</v>
      </c>
      <c r="D834" s="18"/>
      <c r="E834" s="17" t="s">
        <v>2393</v>
      </c>
      <c r="F834" s="18"/>
      <c r="G834" s="18"/>
      <c r="H834" s="15" t="s">
        <v>2394</v>
      </c>
      <c r="I834" s="15" t="s">
        <v>2395</v>
      </c>
      <c r="J834" s="19" t="s">
        <v>36</v>
      </c>
      <c r="K834" s="19" t="s">
        <v>2396</v>
      </c>
      <c r="L834" s="19" t="s">
        <v>38</v>
      </c>
      <c r="M834" s="20">
        <f t="shared" si="1"/>
        <v>0</v>
      </c>
      <c r="N834" s="22"/>
      <c r="O834" s="19" t="s">
        <v>1145</v>
      </c>
      <c r="P834" s="18"/>
      <c r="Q834" s="18"/>
      <c r="R834" s="23">
        <v>0.0</v>
      </c>
      <c r="S834" s="23">
        <v>0.0</v>
      </c>
      <c r="T834" s="23">
        <f t="shared" si="2"/>
        <v>0</v>
      </c>
      <c r="U834" s="23">
        <f t="shared" si="3"/>
        <v>0</v>
      </c>
      <c r="V834" s="23">
        <f t="shared" si="4"/>
        <v>0</v>
      </c>
      <c r="W834" s="24" t="str">
        <f t="shared" si="5"/>
        <v>#DIV/0!</v>
      </c>
    </row>
    <row r="835">
      <c r="A835" s="15" t="s">
        <v>3961</v>
      </c>
      <c r="B835" s="15" t="s">
        <v>3962</v>
      </c>
      <c r="C835" s="15" t="s">
        <v>6333</v>
      </c>
      <c r="D835" s="15" t="s">
        <v>3963</v>
      </c>
      <c r="E835" s="17" t="s">
        <v>3964</v>
      </c>
      <c r="F835" s="18"/>
      <c r="G835" s="18"/>
      <c r="H835" s="15" t="s">
        <v>3965</v>
      </c>
      <c r="I835" s="18"/>
      <c r="J835" s="19" t="s">
        <v>59</v>
      </c>
      <c r="K835" s="19" t="s">
        <v>402</v>
      </c>
      <c r="L835" s="19" t="s">
        <v>38</v>
      </c>
      <c r="M835" s="20">
        <f t="shared" si="1"/>
        <v>0</v>
      </c>
      <c r="N835" s="22"/>
      <c r="O835" s="19" t="s">
        <v>3578</v>
      </c>
      <c r="P835" s="18"/>
      <c r="Q835" s="18"/>
      <c r="R835" s="23">
        <v>0.0</v>
      </c>
      <c r="S835" s="23">
        <v>0.0</v>
      </c>
      <c r="T835" s="23">
        <f t="shared" si="2"/>
        <v>0</v>
      </c>
      <c r="U835" s="23">
        <f t="shared" si="3"/>
        <v>0</v>
      </c>
      <c r="V835" s="23">
        <f t="shared" si="4"/>
        <v>0</v>
      </c>
      <c r="W835" s="24" t="str">
        <f t="shared" si="5"/>
        <v>#DIV/0!</v>
      </c>
    </row>
    <row r="836" hidden="1">
      <c r="A836" s="15" t="s">
        <v>5013</v>
      </c>
      <c r="B836" s="15" t="s">
        <v>5014</v>
      </c>
      <c r="C836" s="15" t="s">
        <v>7340</v>
      </c>
      <c r="D836" s="18"/>
      <c r="E836" s="17" t="s">
        <v>8181</v>
      </c>
      <c r="F836" s="18"/>
      <c r="G836" s="18"/>
      <c r="H836" s="15" t="s">
        <v>8182</v>
      </c>
      <c r="I836" s="18"/>
      <c r="J836" s="19" t="s">
        <v>36</v>
      </c>
      <c r="K836" s="33"/>
      <c r="L836" s="19" t="s">
        <v>38</v>
      </c>
      <c r="M836" s="20">
        <f t="shared" si="1"/>
        <v>0</v>
      </c>
      <c r="N836" s="22"/>
      <c r="O836" s="19" t="s">
        <v>1145</v>
      </c>
      <c r="P836" s="18"/>
      <c r="Q836" s="18"/>
      <c r="R836" s="23">
        <v>0.0</v>
      </c>
      <c r="S836" s="23">
        <v>0.0</v>
      </c>
      <c r="T836" s="23">
        <f t="shared" si="2"/>
        <v>0</v>
      </c>
      <c r="U836" s="23">
        <f t="shared" si="3"/>
        <v>0</v>
      </c>
      <c r="V836" s="23">
        <f t="shared" si="4"/>
        <v>0</v>
      </c>
      <c r="W836" s="24" t="str">
        <f t="shared" si="5"/>
        <v>#DIV/0!</v>
      </c>
    </row>
    <row r="837" hidden="1">
      <c r="A837" s="15" t="s">
        <v>2397</v>
      </c>
      <c r="B837" s="18"/>
      <c r="C837" s="15" t="s">
        <v>7341</v>
      </c>
      <c r="D837" s="18"/>
      <c r="E837" s="17" t="s">
        <v>2398</v>
      </c>
      <c r="F837" s="18"/>
      <c r="G837" s="18"/>
      <c r="H837" s="15" t="s">
        <v>2399</v>
      </c>
      <c r="I837" s="15" t="s">
        <v>2400</v>
      </c>
      <c r="J837" s="19" t="s">
        <v>36</v>
      </c>
      <c r="K837" s="19" t="s">
        <v>2401</v>
      </c>
      <c r="L837" s="19" t="s">
        <v>38</v>
      </c>
      <c r="M837" s="20">
        <f t="shared" si="1"/>
        <v>0</v>
      </c>
      <c r="N837" s="22"/>
      <c r="O837" s="19" t="s">
        <v>1145</v>
      </c>
      <c r="P837" s="18"/>
      <c r="Q837" s="18"/>
      <c r="R837" s="23">
        <v>0.0</v>
      </c>
      <c r="S837" s="23">
        <v>0.0</v>
      </c>
      <c r="T837" s="23">
        <f t="shared" si="2"/>
        <v>0</v>
      </c>
      <c r="U837" s="23">
        <f t="shared" si="3"/>
        <v>0</v>
      </c>
      <c r="V837" s="23">
        <f t="shared" si="4"/>
        <v>0</v>
      </c>
      <c r="W837" s="24" t="str">
        <f t="shared" si="5"/>
        <v>#DIV/0!</v>
      </c>
    </row>
    <row r="838">
      <c r="A838" s="15" t="s">
        <v>3966</v>
      </c>
      <c r="B838" s="15" t="s">
        <v>3967</v>
      </c>
      <c r="C838" s="15" t="s">
        <v>6334</v>
      </c>
      <c r="D838" s="15" t="s">
        <v>6335</v>
      </c>
      <c r="E838" s="17" t="s">
        <v>6336</v>
      </c>
      <c r="F838" s="18"/>
      <c r="G838" s="18"/>
      <c r="H838" s="15" t="s">
        <v>2969</v>
      </c>
      <c r="I838" s="18"/>
      <c r="J838" s="19" t="s">
        <v>59</v>
      </c>
      <c r="K838" s="19" t="s">
        <v>402</v>
      </c>
      <c r="L838" s="19" t="s">
        <v>38</v>
      </c>
      <c r="M838" s="20">
        <f t="shared" si="1"/>
        <v>0</v>
      </c>
      <c r="N838" s="22"/>
      <c r="O838" s="19" t="s">
        <v>3578</v>
      </c>
      <c r="P838" s="18"/>
      <c r="Q838" s="18"/>
      <c r="R838" s="23">
        <v>0.0</v>
      </c>
      <c r="S838" s="23">
        <v>0.0</v>
      </c>
      <c r="T838" s="23">
        <f t="shared" si="2"/>
        <v>0</v>
      </c>
      <c r="U838" s="23">
        <f t="shared" si="3"/>
        <v>0</v>
      </c>
      <c r="V838" s="23">
        <f t="shared" si="4"/>
        <v>0</v>
      </c>
      <c r="W838" s="24" t="str">
        <f t="shared" si="5"/>
        <v>#DIV/0!</v>
      </c>
    </row>
    <row r="839">
      <c r="A839" s="15" t="s">
        <v>3971</v>
      </c>
      <c r="B839" s="15" t="s">
        <v>3972</v>
      </c>
      <c r="C839" s="15" t="s">
        <v>6337</v>
      </c>
      <c r="D839" s="15" t="s">
        <v>6338</v>
      </c>
      <c r="E839" s="17" t="s">
        <v>6339</v>
      </c>
      <c r="F839" s="18"/>
      <c r="G839" s="18"/>
      <c r="H839" s="15" t="s">
        <v>3975</v>
      </c>
      <c r="I839" s="18"/>
      <c r="J839" s="19" t="s">
        <v>59</v>
      </c>
      <c r="K839" s="19" t="s">
        <v>402</v>
      </c>
      <c r="L839" s="19" t="s">
        <v>38</v>
      </c>
      <c r="M839" s="20">
        <f t="shared" si="1"/>
        <v>0</v>
      </c>
      <c r="N839" s="22"/>
      <c r="O839" s="19" t="s">
        <v>3578</v>
      </c>
      <c r="P839" s="18"/>
      <c r="Q839" s="18"/>
      <c r="R839" s="23">
        <v>0.0</v>
      </c>
      <c r="S839" s="23">
        <v>0.0</v>
      </c>
      <c r="T839" s="23">
        <f t="shared" si="2"/>
        <v>0</v>
      </c>
      <c r="U839" s="23">
        <f t="shared" si="3"/>
        <v>0</v>
      </c>
      <c r="V839" s="23">
        <f t="shared" si="4"/>
        <v>0</v>
      </c>
      <c r="W839" s="24" t="str">
        <f t="shared" si="5"/>
        <v>#DIV/0!</v>
      </c>
    </row>
    <row r="840">
      <c r="A840" s="15" t="s">
        <v>3976</v>
      </c>
      <c r="B840" s="15" t="s">
        <v>3977</v>
      </c>
      <c r="C840" s="15" t="s">
        <v>6340</v>
      </c>
      <c r="D840" s="15" t="s">
        <v>3978</v>
      </c>
      <c r="E840" s="17" t="s">
        <v>3979</v>
      </c>
      <c r="F840" s="18"/>
      <c r="G840" s="18"/>
      <c r="H840" s="15" t="s">
        <v>3980</v>
      </c>
      <c r="I840" s="18"/>
      <c r="J840" s="19" t="s">
        <v>59</v>
      </c>
      <c r="K840" s="19" t="s">
        <v>402</v>
      </c>
      <c r="L840" s="19" t="s">
        <v>38</v>
      </c>
      <c r="M840" s="20">
        <f t="shared" si="1"/>
        <v>0</v>
      </c>
      <c r="N840" s="22"/>
      <c r="O840" s="19" t="s">
        <v>3578</v>
      </c>
      <c r="P840" s="18"/>
      <c r="Q840" s="18"/>
      <c r="R840" s="23">
        <v>0.0</v>
      </c>
      <c r="S840" s="23">
        <v>0.0</v>
      </c>
      <c r="T840" s="23">
        <f t="shared" si="2"/>
        <v>0</v>
      </c>
      <c r="U840" s="23">
        <f t="shared" si="3"/>
        <v>0</v>
      </c>
      <c r="V840" s="23">
        <f t="shared" si="4"/>
        <v>0</v>
      </c>
      <c r="W840" s="24" t="str">
        <f t="shared" si="5"/>
        <v>#DIV/0!</v>
      </c>
    </row>
    <row r="841">
      <c r="A841" s="15" t="s">
        <v>3985</v>
      </c>
      <c r="B841" s="15" t="s">
        <v>3986</v>
      </c>
      <c r="C841" s="15" t="s">
        <v>6342</v>
      </c>
      <c r="D841" s="15" t="s">
        <v>3987</v>
      </c>
      <c r="E841" s="17" t="s">
        <v>3988</v>
      </c>
      <c r="F841" s="18"/>
      <c r="G841" s="18"/>
      <c r="H841" s="15" t="s">
        <v>3989</v>
      </c>
      <c r="I841" s="18"/>
      <c r="J841" s="19" t="s">
        <v>59</v>
      </c>
      <c r="K841" s="19" t="s">
        <v>284</v>
      </c>
      <c r="L841" s="19" t="s">
        <v>38</v>
      </c>
      <c r="M841" s="20">
        <f t="shared" si="1"/>
        <v>0</v>
      </c>
      <c r="N841" s="22"/>
      <c r="O841" s="19" t="s">
        <v>3578</v>
      </c>
      <c r="P841" s="18"/>
      <c r="Q841" s="18"/>
      <c r="R841" s="23">
        <v>0.0</v>
      </c>
      <c r="S841" s="23">
        <v>0.0</v>
      </c>
      <c r="T841" s="23">
        <f t="shared" si="2"/>
        <v>0</v>
      </c>
      <c r="U841" s="23">
        <f t="shared" si="3"/>
        <v>0</v>
      </c>
      <c r="V841" s="23">
        <f t="shared" si="4"/>
        <v>0</v>
      </c>
      <c r="W841" s="24" t="str">
        <f t="shared" si="5"/>
        <v>#DIV/0!</v>
      </c>
    </row>
    <row r="842">
      <c r="A842" s="15" t="s">
        <v>3990</v>
      </c>
      <c r="B842" s="15" t="s">
        <v>3991</v>
      </c>
      <c r="C842" s="15" t="s">
        <v>6343</v>
      </c>
      <c r="D842" s="15" t="s">
        <v>3992</v>
      </c>
      <c r="E842" s="17" t="s">
        <v>3993</v>
      </c>
      <c r="F842" s="18"/>
      <c r="G842" s="18"/>
      <c r="H842" s="15" t="s">
        <v>3994</v>
      </c>
      <c r="I842" s="18"/>
      <c r="J842" s="19" t="s">
        <v>59</v>
      </c>
      <c r="K842" s="19" t="s">
        <v>37</v>
      </c>
      <c r="L842" s="19" t="s">
        <v>38</v>
      </c>
      <c r="M842" s="20">
        <f t="shared" si="1"/>
        <v>0</v>
      </c>
      <c r="N842" s="22"/>
      <c r="O842" s="19" t="s">
        <v>3578</v>
      </c>
      <c r="P842" s="18"/>
      <c r="Q842" s="18"/>
      <c r="R842" s="23">
        <v>0.0</v>
      </c>
      <c r="S842" s="23">
        <v>0.0</v>
      </c>
      <c r="T842" s="23">
        <f t="shared" si="2"/>
        <v>0</v>
      </c>
      <c r="U842" s="23">
        <f t="shared" si="3"/>
        <v>0</v>
      </c>
      <c r="V842" s="23">
        <f t="shared" si="4"/>
        <v>0</v>
      </c>
      <c r="W842" s="24" t="str">
        <f t="shared" si="5"/>
        <v>#DIV/0!</v>
      </c>
    </row>
    <row r="843" hidden="1">
      <c r="A843" s="15" t="s">
        <v>7344</v>
      </c>
      <c r="B843" s="15" t="s">
        <v>7345</v>
      </c>
      <c r="C843" s="15" t="s">
        <v>7346</v>
      </c>
      <c r="D843" s="18"/>
      <c r="E843" s="17" t="s">
        <v>7347</v>
      </c>
      <c r="F843" s="18"/>
      <c r="G843" s="18"/>
      <c r="H843" s="15" t="s">
        <v>7348</v>
      </c>
      <c r="I843" s="15" t="s">
        <v>696</v>
      </c>
      <c r="J843" s="19" t="s">
        <v>36</v>
      </c>
      <c r="K843" s="19" t="s">
        <v>2387</v>
      </c>
      <c r="L843" s="19" t="s">
        <v>38</v>
      </c>
      <c r="M843" s="20">
        <f t="shared" si="1"/>
        <v>0</v>
      </c>
      <c r="N843" s="22"/>
      <c r="O843" s="19" t="s">
        <v>39</v>
      </c>
      <c r="P843" s="18"/>
      <c r="Q843" s="18"/>
      <c r="R843" s="23">
        <v>0.0</v>
      </c>
      <c r="S843" s="23">
        <v>0.0</v>
      </c>
      <c r="T843" s="23">
        <f t="shared" si="2"/>
        <v>0</v>
      </c>
      <c r="U843" s="23">
        <f t="shared" si="3"/>
        <v>0</v>
      </c>
      <c r="V843" s="23">
        <f t="shared" si="4"/>
        <v>0</v>
      </c>
      <c r="W843" s="24" t="str">
        <f t="shared" si="5"/>
        <v>#DIV/0!</v>
      </c>
    </row>
    <row r="844" hidden="1">
      <c r="A844" s="15" t="s">
        <v>2402</v>
      </c>
      <c r="B844" s="18"/>
      <c r="C844" s="15" t="s">
        <v>7349</v>
      </c>
      <c r="D844" s="18"/>
      <c r="E844" s="17" t="s">
        <v>2403</v>
      </c>
      <c r="F844" s="18"/>
      <c r="G844" s="18"/>
      <c r="H844" s="15" t="s">
        <v>2404</v>
      </c>
      <c r="I844" s="15" t="s">
        <v>2405</v>
      </c>
      <c r="J844" s="19" t="s">
        <v>36</v>
      </c>
      <c r="K844" s="19" t="s">
        <v>2401</v>
      </c>
      <c r="L844" s="19" t="s">
        <v>38</v>
      </c>
      <c r="M844" s="20">
        <f t="shared" si="1"/>
        <v>0</v>
      </c>
      <c r="N844" s="22"/>
      <c r="O844" s="19" t="s">
        <v>1145</v>
      </c>
      <c r="P844" s="18"/>
      <c r="Q844" s="18"/>
      <c r="R844" s="23">
        <v>0.0</v>
      </c>
      <c r="S844" s="23">
        <v>0.0</v>
      </c>
      <c r="T844" s="23">
        <f t="shared" si="2"/>
        <v>0</v>
      </c>
      <c r="U844" s="23">
        <f t="shared" si="3"/>
        <v>0</v>
      </c>
      <c r="V844" s="23">
        <f t="shared" si="4"/>
        <v>0</v>
      </c>
      <c r="W844" s="24" t="str">
        <f t="shared" si="5"/>
        <v>#DIV/0!</v>
      </c>
    </row>
    <row r="845">
      <c r="A845" s="15" t="s">
        <v>4009</v>
      </c>
      <c r="B845" s="15" t="s">
        <v>4010</v>
      </c>
      <c r="C845" s="15" t="s">
        <v>6349</v>
      </c>
      <c r="D845" s="15" t="s">
        <v>4011</v>
      </c>
      <c r="E845" s="17" t="s">
        <v>4012</v>
      </c>
      <c r="F845" s="18"/>
      <c r="G845" s="18"/>
      <c r="H845" s="15" t="s">
        <v>4013</v>
      </c>
      <c r="I845" s="18"/>
      <c r="J845" s="19" t="s">
        <v>59</v>
      </c>
      <c r="K845" s="19" t="s">
        <v>37</v>
      </c>
      <c r="L845" s="19" t="s">
        <v>38</v>
      </c>
      <c r="M845" s="20">
        <f t="shared" si="1"/>
        <v>0</v>
      </c>
      <c r="N845" s="22"/>
      <c r="O845" s="19" t="s">
        <v>3578</v>
      </c>
      <c r="P845" s="18"/>
      <c r="Q845" s="18"/>
      <c r="R845" s="23">
        <v>0.0</v>
      </c>
      <c r="S845" s="23">
        <v>0.0</v>
      </c>
      <c r="T845" s="23">
        <f t="shared" si="2"/>
        <v>0</v>
      </c>
      <c r="U845" s="23">
        <f t="shared" si="3"/>
        <v>0</v>
      </c>
      <c r="V845" s="23">
        <f t="shared" si="4"/>
        <v>0</v>
      </c>
      <c r="W845" s="24" t="str">
        <f t="shared" si="5"/>
        <v>#DIV/0!</v>
      </c>
    </row>
    <row r="846">
      <c r="A846" s="15" t="s">
        <v>4014</v>
      </c>
      <c r="B846" s="15" t="s">
        <v>4015</v>
      </c>
      <c r="C846" s="15" t="s">
        <v>6350</v>
      </c>
      <c r="D846" s="15" t="s">
        <v>4016</v>
      </c>
      <c r="E846" s="17" t="s">
        <v>4017</v>
      </c>
      <c r="F846" s="18"/>
      <c r="G846" s="18"/>
      <c r="H846" s="15" t="s">
        <v>4018</v>
      </c>
      <c r="I846" s="18"/>
      <c r="J846" s="19" t="s">
        <v>59</v>
      </c>
      <c r="K846" s="19" t="s">
        <v>37</v>
      </c>
      <c r="L846" s="19" t="s">
        <v>38</v>
      </c>
      <c r="M846" s="20">
        <f t="shared" si="1"/>
        <v>0</v>
      </c>
      <c r="N846" s="22"/>
      <c r="O846" s="19" t="s">
        <v>3578</v>
      </c>
      <c r="P846" s="18"/>
      <c r="Q846" s="18"/>
      <c r="R846" s="23">
        <v>0.0</v>
      </c>
      <c r="S846" s="23">
        <v>0.0</v>
      </c>
      <c r="T846" s="23">
        <f t="shared" si="2"/>
        <v>0</v>
      </c>
      <c r="U846" s="23">
        <f t="shared" si="3"/>
        <v>0</v>
      </c>
      <c r="V846" s="23">
        <f t="shared" si="4"/>
        <v>0</v>
      </c>
      <c r="W846" s="24" t="str">
        <f t="shared" si="5"/>
        <v>#DIV/0!</v>
      </c>
    </row>
    <row r="847" hidden="1">
      <c r="A847" s="15" t="s">
        <v>2406</v>
      </c>
      <c r="B847" s="18"/>
      <c r="C847" s="15" t="s">
        <v>7351</v>
      </c>
      <c r="D847" s="18"/>
      <c r="E847" s="17" t="s">
        <v>2407</v>
      </c>
      <c r="F847" s="18"/>
      <c r="G847" s="18"/>
      <c r="H847" s="15" t="s">
        <v>2408</v>
      </c>
      <c r="I847" s="15" t="s">
        <v>2409</v>
      </c>
      <c r="J847" s="19" t="s">
        <v>36</v>
      </c>
      <c r="K847" s="19" t="s">
        <v>2401</v>
      </c>
      <c r="L847" s="19" t="s">
        <v>38</v>
      </c>
      <c r="M847" s="20">
        <f t="shared" si="1"/>
        <v>0</v>
      </c>
      <c r="N847" s="22"/>
      <c r="O847" s="19" t="s">
        <v>1145</v>
      </c>
      <c r="P847" s="18"/>
      <c r="Q847" s="18"/>
      <c r="R847" s="23">
        <v>0.0</v>
      </c>
      <c r="S847" s="23">
        <v>0.0</v>
      </c>
      <c r="T847" s="23">
        <f t="shared" si="2"/>
        <v>0</v>
      </c>
      <c r="U847" s="23">
        <f t="shared" si="3"/>
        <v>0</v>
      </c>
      <c r="V847" s="23">
        <f t="shared" si="4"/>
        <v>0</v>
      </c>
      <c r="W847" s="24" t="str">
        <f t="shared" si="5"/>
        <v>#DIV/0!</v>
      </c>
    </row>
    <row r="848">
      <c r="A848" s="15" t="s">
        <v>4019</v>
      </c>
      <c r="B848" s="15" t="s">
        <v>4020</v>
      </c>
      <c r="C848" s="15" t="s">
        <v>6351</v>
      </c>
      <c r="D848" s="15" t="s">
        <v>4021</v>
      </c>
      <c r="E848" s="17" t="s">
        <v>4022</v>
      </c>
      <c r="F848" s="18"/>
      <c r="G848" s="18"/>
      <c r="H848" s="15" t="s">
        <v>4023</v>
      </c>
      <c r="I848" s="18"/>
      <c r="J848" s="19" t="s">
        <v>59</v>
      </c>
      <c r="K848" s="19" t="s">
        <v>37</v>
      </c>
      <c r="L848" s="19" t="s">
        <v>38</v>
      </c>
      <c r="M848" s="20">
        <f t="shared" si="1"/>
        <v>0</v>
      </c>
      <c r="N848" s="22"/>
      <c r="O848" s="19" t="s">
        <v>3578</v>
      </c>
      <c r="P848" s="18"/>
      <c r="Q848" s="18"/>
      <c r="R848" s="23">
        <v>0.0</v>
      </c>
      <c r="S848" s="23">
        <v>0.0</v>
      </c>
      <c r="T848" s="23">
        <f t="shared" si="2"/>
        <v>0</v>
      </c>
      <c r="U848" s="23">
        <f t="shared" si="3"/>
        <v>0</v>
      </c>
      <c r="V848" s="23">
        <f t="shared" si="4"/>
        <v>0</v>
      </c>
      <c r="W848" s="24" t="str">
        <f t="shared" si="5"/>
        <v>#DIV/0!</v>
      </c>
    </row>
    <row r="849">
      <c r="A849" s="15" t="s">
        <v>4024</v>
      </c>
      <c r="B849" s="15" t="s">
        <v>4025</v>
      </c>
      <c r="C849" s="15" t="s">
        <v>6352</v>
      </c>
      <c r="D849" s="15" t="s">
        <v>4026</v>
      </c>
      <c r="E849" s="17" t="s">
        <v>4027</v>
      </c>
      <c r="F849" s="18"/>
      <c r="G849" s="18"/>
      <c r="H849" s="15" t="s">
        <v>4028</v>
      </c>
      <c r="I849" s="18"/>
      <c r="J849" s="19" t="s">
        <v>59</v>
      </c>
      <c r="K849" s="19" t="s">
        <v>37</v>
      </c>
      <c r="L849" s="19" t="s">
        <v>38</v>
      </c>
      <c r="M849" s="20">
        <f t="shared" si="1"/>
        <v>0</v>
      </c>
      <c r="N849" s="22"/>
      <c r="O849" s="19" t="s">
        <v>3578</v>
      </c>
      <c r="P849" s="18"/>
      <c r="Q849" s="18"/>
      <c r="R849" s="23">
        <v>0.0</v>
      </c>
      <c r="S849" s="23">
        <v>0.0</v>
      </c>
      <c r="T849" s="23">
        <f t="shared" si="2"/>
        <v>0</v>
      </c>
      <c r="U849" s="23">
        <f t="shared" si="3"/>
        <v>0</v>
      </c>
      <c r="V849" s="23">
        <f t="shared" si="4"/>
        <v>0</v>
      </c>
      <c r="W849" s="24" t="str">
        <f t="shared" si="5"/>
        <v>#DIV/0!</v>
      </c>
    </row>
    <row r="850">
      <c r="A850" s="15" t="s">
        <v>4029</v>
      </c>
      <c r="B850" s="15" t="s">
        <v>4030</v>
      </c>
      <c r="C850" s="15" t="s">
        <v>6353</v>
      </c>
      <c r="D850" s="15" t="s">
        <v>4031</v>
      </c>
      <c r="E850" s="17" t="s">
        <v>4032</v>
      </c>
      <c r="F850" s="18"/>
      <c r="G850" s="18"/>
      <c r="H850" s="15" t="s">
        <v>4033</v>
      </c>
      <c r="I850" s="18"/>
      <c r="J850" s="19" t="s">
        <v>59</v>
      </c>
      <c r="K850" s="19" t="s">
        <v>603</v>
      </c>
      <c r="L850" s="19" t="s">
        <v>38</v>
      </c>
      <c r="M850" s="20">
        <f t="shared" si="1"/>
        <v>0</v>
      </c>
      <c r="N850" s="22"/>
      <c r="O850" s="19" t="s">
        <v>3578</v>
      </c>
      <c r="P850" s="18"/>
      <c r="Q850" s="18"/>
      <c r="R850" s="23">
        <v>0.0</v>
      </c>
      <c r="S850" s="23">
        <v>0.0</v>
      </c>
      <c r="T850" s="23">
        <f t="shared" si="2"/>
        <v>0</v>
      </c>
      <c r="U850" s="23">
        <f t="shared" si="3"/>
        <v>0</v>
      </c>
      <c r="V850" s="23">
        <f t="shared" si="4"/>
        <v>0</v>
      </c>
      <c r="W850" s="24" t="str">
        <f t="shared" si="5"/>
        <v>#DIV/0!</v>
      </c>
    </row>
    <row r="851">
      <c r="A851" s="15" t="s">
        <v>4034</v>
      </c>
      <c r="B851" s="15" t="s">
        <v>4035</v>
      </c>
      <c r="C851" s="15" t="s">
        <v>6354</v>
      </c>
      <c r="D851" s="15" t="s">
        <v>4036</v>
      </c>
      <c r="E851" s="17" t="s">
        <v>4037</v>
      </c>
      <c r="F851" s="18"/>
      <c r="G851" s="18"/>
      <c r="H851" s="15" t="s">
        <v>4038</v>
      </c>
      <c r="I851" s="18"/>
      <c r="J851" s="19" t="s">
        <v>59</v>
      </c>
      <c r="K851" s="19" t="s">
        <v>1230</v>
      </c>
      <c r="L851" s="19" t="s">
        <v>38</v>
      </c>
      <c r="M851" s="20">
        <f t="shared" si="1"/>
        <v>0</v>
      </c>
      <c r="N851" s="22"/>
      <c r="O851" s="19" t="s">
        <v>3578</v>
      </c>
      <c r="P851" s="18"/>
      <c r="Q851" s="18"/>
      <c r="R851" s="23">
        <v>0.0</v>
      </c>
      <c r="S851" s="23">
        <v>0.0</v>
      </c>
      <c r="T851" s="23">
        <f t="shared" si="2"/>
        <v>0</v>
      </c>
      <c r="U851" s="23">
        <f t="shared" si="3"/>
        <v>0</v>
      </c>
      <c r="V851" s="23">
        <f t="shared" si="4"/>
        <v>0</v>
      </c>
      <c r="W851" s="24" t="str">
        <f t="shared" si="5"/>
        <v>#DIV/0!</v>
      </c>
    </row>
    <row r="852" hidden="1">
      <c r="A852" s="15" t="s">
        <v>2410</v>
      </c>
      <c r="B852" s="18"/>
      <c r="C852" s="15" t="s">
        <v>7354</v>
      </c>
      <c r="D852" s="18"/>
      <c r="E852" s="17" t="s">
        <v>2411</v>
      </c>
      <c r="F852" s="18"/>
      <c r="G852" s="18"/>
      <c r="H852" s="15" t="s">
        <v>2412</v>
      </c>
      <c r="I852" s="15" t="s">
        <v>2413</v>
      </c>
      <c r="J852" s="19" t="s">
        <v>36</v>
      </c>
      <c r="K852" s="19" t="s">
        <v>2396</v>
      </c>
      <c r="L852" s="19" t="s">
        <v>38</v>
      </c>
      <c r="M852" s="20">
        <f t="shared" si="1"/>
        <v>0</v>
      </c>
      <c r="N852" s="22"/>
      <c r="O852" s="19" t="s">
        <v>1145</v>
      </c>
      <c r="P852" s="18"/>
      <c r="Q852" s="18"/>
      <c r="R852" s="23">
        <v>0.0</v>
      </c>
      <c r="S852" s="23">
        <v>0.0</v>
      </c>
      <c r="T852" s="23">
        <f t="shared" si="2"/>
        <v>0</v>
      </c>
      <c r="U852" s="23">
        <f t="shared" si="3"/>
        <v>0</v>
      </c>
      <c r="V852" s="23">
        <f t="shared" si="4"/>
        <v>0</v>
      </c>
      <c r="W852" s="24" t="str">
        <f t="shared" si="5"/>
        <v>#DIV/0!</v>
      </c>
    </row>
    <row r="853">
      <c r="A853" s="15" t="s">
        <v>4039</v>
      </c>
      <c r="B853" s="15" t="s">
        <v>4040</v>
      </c>
      <c r="C853" s="15" t="s">
        <v>6355</v>
      </c>
      <c r="D853" s="15" t="s">
        <v>4041</v>
      </c>
      <c r="E853" s="17" t="s">
        <v>4042</v>
      </c>
      <c r="F853" s="18"/>
      <c r="G853" s="18"/>
      <c r="H853" s="15" t="s">
        <v>4043</v>
      </c>
      <c r="I853" s="18"/>
      <c r="J853" s="19" t="s">
        <v>59</v>
      </c>
      <c r="K853" s="19" t="s">
        <v>284</v>
      </c>
      <c r="L853" s="19" t="s">
        <v>38</v>
      </c>
      <c r="M853" s="20">
        <f t="shared" si="1"/>
        <v>0</v>
      </c>
      <c r="N853" s="22"/>
      <c r="O853" s="19" t="s">
        <v>3578</v>
      </c>
      <c r="P853" s="18"/>
      <c r="Q853" s="18"/>
      <c r="R853" s="23">
        <v>0.0</v>
      </c>
      <c r="S853" s="23">
        <v>0.0</v>
      </c>
      <c r="T853" s="23">
        <f t="shared" si="2"/>
        <v>0</v>
      </c>
      <c r="U853" s="23">
        <f t="shared" si="3"/>
        <v>0</v>
      </c>
      <c r="V853" s="23">
        <f t="shared" si="4"/>
        <v>0</v>
      </c>
      <c r="W853" s="24" t="str">
        <f t="shared" si="5"/>
        <v>#DIV/0!</v>
      </c>
    </row>
    <row r="854" hidden="1">
      <c r="A854" s="15" t="s">
        <v>2414</v>
      </c>
      <c r="B854" s="15" t="s">
        <v>2415</v>
      </c>
      <c r="C854" s="15" t="s">
        <v>7355</v>
      </c>
      <c r="D854" s="18"/>
      <c r="E854" s="17" t="s">
        <v>2416</v>
      </c>
      <c r="F854" s="18"/>
      <c r="G854" s="18"/>
      <c r="H854" s="15" t="s">
        <v>2417</v>
      </c>
      <c r="I854" s="18"/>
      <c r="J854" s="19" t="s">
        <v>36</v>
      </c>
      <c r="K854" s="33"/>
      <c r="L854" s="19" t="s">
        <v>38</v>
      </c>
      <c r="M854" s="20">
        <f t="shared" si="1"/>
        <v>0</v>
      </c>
      <c r="N854" s="22"/>
      <c r="O854" s="19" t="s">
        <v>1145</v>
      </c>
      <c r="P854" s="18"/>
      <c r="Q854" s="18"/>
      <c r="R854" s="23">
        <v>0.0</v>
      </c>
      <c r="S854" s="23">
        <v>0.0</v>
      </c>
      <c r="T854" s="23">
        <f t="shared" si="2"/>
        <v>0</v>
      </c>
      <c r="U854" s="23">
        <f t="shared" si="3"/>
        <v>0</v>
      </c>
      <c r="V854" s="23">
        <f t="shared" si="4"/>
        <v>0</v>
      </c>
      <c r="W854" s="24" t="str">
        <f t="shared" si="5"/>
        <v>#DIV/0!</v>
      </c>
    </row>
    <row r="855" hidden="1">
      <c r="A855" s="15" t="s">
        <v>2418</v>
      </c>
      <c r="B855" s="18"/>
      <c r="C855" s="15" t="s">
        <v>7356</v>
      </c>
      <c r="D855" s="18"/>
      <c r="E855" s="17" t="s">
        <v>2419</v>
      </c>
      <c r="F855" s="18"/>
      <c r="G855" s="18"/>
      <c r="H855" s="15" t="s">
        <v>2420</v>
      </c>
      <c r="I855" s="15" t="s">
        <v>2421</v>
      </c>
      <c r="J855" s="19" t="s">
        <v>36</v>
      </c>
      <c r="K855" s="19" t="s">
        <v>691</v>
      </c>
      <c r="L855" s="19" t="s">
        <v>38</v>
      </c>
      <c r="M855" s="20">
        <f t="shared" si="1"/>
        <v>0</v>
      </c>
      <c r="N855" s="22"/>
      <c r="O855" s="19" t="s">
        <v>1145</v>
      </c>
      <c r="P855" s="18"/>
      <c r="Q855" s="18"/>
      <c r="R855" s="23">
        <v>0.0</v>
      </c>
      <c r="S855" s="23">
        <v>0.0</v>
      </c>
      <c r="T855" s="23">
        <f t="shared" si="2"/>
        <v>0</v>
      </c>
      <c r="U855" s="23">
        <f t="shared" si="3"/>
        <v>0</v>
      </c>
      <c r="V855" s="23">
        <f t="shared" si="4"/>
        <v>0</v>
      </c>
      <c r="W855" s="24" t="str">
        <f t="shared" si="5"/>
        <v>#DIV/0!</v>
      </c>
    </row>
    <row r="856" hidden="1">
      <c r="A856" s="15" t="s">
        <v>2422</v>
      </c>
      <c r="B856" s="18"/>
      <c r="C856" s="15" t="s">
        <v>7357</v>
      </c>
      <c r="D856" s="18"/>
      <c r="E856" s="17" t="s">
        <v>2423</v>
      </c>
      <c r="F856" s="18"/>
      <c r="G856" s="18"/>
      <c r="H856" s="15" t="s">
        <v>2424</v>
      </c>
      <c r="I856" s="15" t="s">
        <v>2425</v>
      </c>
      <c r="J856" s="19" t="s">
        <v>36</v>
      </c>
      <c r="K856" s="19" t="s">
        <v>691</v>
      </c>
      <c r="L856" s="19" t="s">
        <v>38</v>
      </c>
      <c r="M856" s="20">
        <f t="shared" si="1"/>
        <v>0</v>
      </c>
      <c r="N856" s="22"/>
      <c r="O856" s="19" t="s">
        <v>1145</v>
      </c>
      <c r="P856" s="18"/>
      <c r="Q856" s="18"/>
      <c r="R856" s="23">
        <v>0.0</v>
      </c>
      <c r="S856" s="23">
        <v>0.0</v>
      </c>
      <c r="T856" s="23">
        <f t="shared" si="2"/>
        <v>0</v>
      </c>
      <c r="U856" s="23">
        <f t="shared" si="3"/>
        <v>0</v>
      </c>
      <c r="V856" s="23">
        <f t="shared" si="4"/>
        <v>0</v>
      </c>
      <c r="W856" s="24" t="str">
        <f t="shared" si="5"/>
        <v>#DIV/0!</v>
      </c>
    </row>
    <row r="857" hidden="1">
      <c r="A857" s="15" t="s">
        <v>7358</v>
      </c>
      <c r="B857" s="18"/>
      <c r="C857" s="18"/>
      <c r="D857" s="18"/>
      <c r="E857" s="17" t="s">
        <v>7359</v>
      </c>
      <c r="F857" s="18"/>
      <c r="G857" s="18"/>
      <c r="H857" s="15" t="s">
        <v>854</v>
      </c>
      <c r="I857" s="18"/>
      <c r="J857" s="19" t="s">
        <v>36</v>
      </c>
      <c r="K857" s="33"/>
      <c r="L857" s="19" t="s">
        <v>38</v>
      </c>
      <c r="M857" s="20">
        <f t="shared" si="1"/>
        <v>0</v>
      </c>
      <c r="N857" s="22"/>
      <c r="O857" s="19" t="s">
        <v>39</v>
      </c>
      <c r="P857" s="18"/>
      <c r="Q857" s="18"/>
      <c r="R857" s="23">
        <v>0.0</v>
      </c>
      <c r="S857" s="23">
        <v>0.0</v>
      </c>
      <c r="T857" s="23">
        <f t="shared" si="2"/>
        <v>0</v>
      </c>
      <c r="U857" s="23">
        <f t="shared" si="3"/>
        <v>0</v>
      </c>
      <c r="V857" s="23">
        <f t="shared" si="4"/>
        <v>0</v>
      </c>
      <c r="W857" s="24" t="str">
        <f t="shared" si="5"/>
        <v>#DIV/0!</v>
      </c>
    </row>
    <row r="858">
      <c r="A858" s="15" t="s">
        <v>4044</v>
      </c>
      <c r="B858" s="15" t="s">
        <v>4045</v>
      </c>
      <c r="C858" s="15" t="s">
        <v>6356</v>
      </c>
      <c r="D858" s="15" t="s">
        <v>4046</v>
      </c>
      <c r="E858" s="17" t="s">
        <v>4047</v>
      </c>
      <c r="F858" s="18"/>
      <c r="G858" s="18"/>
      <c r="H858" s="15" t="s">
        <v>4048</v>
      </c>
      <c r="I858" s="18"/>
      <c r="J858" s="19" t="s">
        <v>59</v>
      </c>
      <c r="K858" s="19" t="s">
        <v>105</v>
      </c>
      <c r="L858" s="19" t="s">
        <v>38</v>
      </c>
      <c r="M858" s="20">
        <f t="shared" si="1"/>
        <v>0</v>
      </c>
      <c r="N858" s="22"/>
      <c r="O858" s="19" t="s">
        <v>3578</v>
      </c>
      <c r="P858" s="18"/>
      <c r="Q858" s="18"/>
      <c r="R858" s="23">
        <v>0.0</v>
      </c>
      <c r="S858" s="23">
        <v>0.0</v>
      </c>
      <c r="T858" s="23">
        <f t="shared" si="2"/>
        <v>0</v>
      </c>
      <c r="U858" s="23">
        <f t="shared" si="3"/>
        <v>0</v>
      </c>
      <c r="V858" s="23">
        <f t="shared" si="4"/>
        <v>0</v>
      </c>
      <c r="W858" s="24" t="str">
        <f t="shared" si="5"/>
        <v>#DIV/0!</v>
      </c>
    </row>
    <row r="859">
      <c r="A859" s="15" t="s">
        <v>4049</v>
      </c>
      <c r="B859" s="15" t="s">
        <v>4050</v>
      </c>
      <c r="C859" s="15" t="s">
        <v>6357</v>
      </c>
      <c r="D859" s="18"/>
      <c r="E859" s="17" t="s">
        <v>4051</v>
      </c>
      <c r="F859" s="18"/>
      <c r="G859" s="18"/>
      <c r="H859" s="15" t="s">
        <v>4052</v>
      </c>
      <c r="I859" s="18"/>
      <c r="J859" s="19" t="s">
        <v>59</v>
      </c>
      <c r="K859" s="19" t="s">
        <v>105</v>
      </c>
      <c r="L859" s="19" t="s">
        <v>38</v>
      </c>
      <c r="M859" s="20">
        <f t="shared" si="1"/>
        <v>0</v>
      </c>
      <c r="N859" s="22"/>
      <c r="O859" s="19" t="s">
        <v>3578</v>
      </c>
      <c r="P859" s="18"/>
      <c r="Q859" s="18"/>
      <c r="R859" s="23">
        <v>0.0</v>
      </c>
      <c r="S859" s="23">
        <v>0.0</v>
      </c>
      <c r="T859" s="23">
        <f t="shared" si="2"/>
        <v>0</v>
      </c>
      <c r="U859" s="23">
        <f t="shared" si="3"/>
        <v>0</v>
      </c>
      <c r="V859" s="23">
        <f t="shared" si="4"/>
        <v>0</v>
      </c>
      <c r="W859" s="24" t="str">
        <f t="shared" si="5"/>
        <v>#DIV/0!</v>
      </c>
    </row>
    <row r="860" hidden="1">
      <c r="A860" s="15" t="s">
        <v>2426</v>
      </c>
      <c r="B860" s="18"/>
      <c r="C860" s="15" t="s">
        <v>7361</v>
      </c>
      <c r="D860" s="18"/>
      <c r="E860" s="17" t="s">
        <v>2427</v>
      </c>
      <c r="F860" s="18"/>
      <c r="G860" s="18"/>
      <c r="H860" s="15" t="s">
        <v>2428</v>
      </c>
      <c r="I860" s="18"/>
      <c r="J860" s="19" t="s">
        <v>36</v>
      </c>
      <c r="K860" s="33"/>
      <c r="L860" s="19" t="s">
        <v>38</v>
      </c>
      <c r="M860" s="20">
        <f t="shared" si="1"/>
        <v>0</v>
      </c>
      <c r="N860" s="22"/>
      <c r="O860" s="19" t="s">
        <v>1145</v>
      </c>
      <c r="P860" s="18"/>
      <c r="Q860" s="18"/>
      <c r="R860" s="23">
        <v>0.0</v>
      </c>
      <c r="S860" s="23">
        <v>0.0</v>
      </c>
      <c r="T860" s="23">
        <f t="shared" si="2"/>
        <v>0</v>
      </c>
      <c r="U860" s="23">
        <f t="shared" si="3"/>
        <v>0</v>
      </c>
      <c r="V860" s="23">
        <f t="shared" si="4"/>
        <v>0</v>
      </c>
      <c r="W860" s="24" t="str">
        <f t="shared" si="5"/>
        <v>#DIV/0!</v>
      </c>
    </row>
    <row r="861" hidden="1">
      <c r="A861" s="15" t="s">
        <v>5023</v>
      </c>
      <c r="B861" s="15" t="s">
        <v>5024</v>
      </c>
      <c r="C861" s="15" t="s">
        <v>7362</v>
      </c>
      <c r="D861" s="18"/>
      <c r="E861" s="17" t="s">
        <v>8183</v>
      </c>
      <c r="F861" s="18"/>
      <c r="G861" s="18"/>
      <c r="H861" s="15" t="s">
        <v>5027</v>
      </c>
      <c r="I861" s="18"/>
      <c r="J861" s="19" t="s">
        <v>36</v>
      </c>
      <c r="K861" s="33"/>
      <c r="L861" s="19" t="s">
        <v>38</v>
      </c>
      <c r="M861" s="20">
        <f t="shared" si="1"/>
        <v>0</v>
      </c>
      <c r="N861" s="22"/>
      <c r="O861" s="19" t="s">
        <v>1145</v>
      </c>
      <c r="P861" s="18"/>
      <c r="Q861" s="18"/>
      <c r="R861" s="23">
        <v>0.0</v>
      </c>
      <c r="S861" s="23">
        <v>0.0</v>
      </c>
      <c r="T861" s="23">
        <f t="shared" si="2"/>
        <v>0</v>
      </c>
      <c r="U861" s="23">
        <f t="shared" si="3"/>
        <v>0</v>
      </c>
      <c r="V861" s="23">
        <f t="shared" si="4"/>
        <v>0</v>
      </c>
      <c r="W861" s="24" t="str">
        <f t="shared" si="5"/>
        <v>#DIV/0!</v>
      </c>
    </row>
    <row r="862" hidden="1">
      <c r="A862" s="15" t="s">
        <v>2429</v>
      </c>
      <c r="B862" s="18"/>
      <c r="C862" s="15" t="s">
        <v>7363</v>
      </c>
      <c r="D862" s="18"/>
      <c r="E862" s="17" t="s">
        <v>2430</v>
      </c>
      <c r="F862" s="18"/>
      <c r="G862" s="18"/>
      <c r="H862" s="15" t="s">
        <v>2431</v>
      </c>
      <c r="I862" s="15" t="s">
        <v>2432</v>
      </c>
      <c r="J862" s="19" t="s">
        <v>36</v>
      </c>
      <c r="K862" s="19" t="s">
        <v>691</v>
      </c>
      <c r="L862" s="19" t="s">
        <v>38</v>
      </c>
      <c r="M862" s="20">
        <f t="shared" si="1"/>
        <v>0</v>
      </c>
      <c r="N862" s="22"/>
      <c r="O862" s="19" t="s">
        <v>1145</v>
      </c>
      <c r="P862" s="18"/>
      <c r="Q862" s="18"/>
      <c r="R862" s="23">
        <v>0.0</v>
      </c>
      <c r="S862" s="23">
        <v>0.0</v>
      </c>
      <c r="T862" s="23">
        <f t="shared" si="2"/>
        <v>0</v>
      </c>
      <c r="U862" s="23">
        <f t="shared" si="3"/>
        <v>0</v>
      </c>
      <c r="V862" s="23">
        <f t="shared" si="4"/>
        <v>0</v>
      </c>
      <c r="W862" s="24" t="str">
        <f t="shared" si="5"/>
        <v>#DIV/0!</v>
      </c>
    </row>
    <row r="863" hidden="1">
      <c r="A863" s="15" t="s">
        <v>2433</v>
      </c>
      <c r="B863" s="18"/>
      <c r="C863" s="15" t="s">
        <v>7364</v>
      </c>
      <c r="D863" s="18"/>
      <c r="E863" s="17" t="s">
        <v>2434</v>
      </c>
      <c r="F863" s="18"/>
      <c r="G863" s="18"/>
      <c r="H863" s="15" t="s">
        <v>2435</v>
      </c>
      <c r="I863" s="15" t="s">
        <v>2436</v>
      </c>
      <c r="J863" s="19" t="s">
        <v>36</v>
      </c>
      <c r="K863" s="19" t="s">
        <v>691</v>
      </c>
      <c r="L863" s="19" t="s">
        <v>38</v>
      </c>
      <c r="M863" s="20">
        <f t="shared" si="1"/>
        <v>0</v>
      </c>
      <c r="N863" s="22"/>
      <c r="O863" s="19" t="s">
        <v>1145</v>
      </c>
      <c r="P863" s="18"/>
      <c r="Q863" s="18"/>
      <c r="R863" s="23">
        <v>0.0</v>
      </c>
      <c r="S863" s="23">
        <v>0.0</v>
      </c>
      <c r="T863" s="23">
        <f t="shared" si="2"/>
        <v>0</v>
      </c>
      <c r="U863" s="23">
        <f t="shared" si="3"/>
        <v>0</v>
      </c>
      <c r="V863" s="23">
        <f t="shared" si="4"/>
        <v>0</v>
      </c>
      <c r="W863" s="24" t="str">
        <f t="shared" si="5"/>
        <v>#DIV/0!</v>
      </c>
    </row>
    <row r="864" hidden="1">
      <c r="A864" s="15" t="s">
        <v>2437</v>
      </c>
      <c r="B864" s="18"/>
      <c r="C864" s="15" t="s">
        <v>7365</v>
      </c>
      <c r="D864" s="18"/>
      <c r="E864" s="17" t="s">
        <v>2438</v>
      </c>
      <c r="F864" s="18"/>
      <c r="G864" s="18"/>
      <c r="H864" s="15" t="s">
        <v>2439</v>
      </c>
      <c r="I864" s="15" t="s">
        <v>2440</v>
      </c>
      <c r="J864" s="19" t="s">
        <v>36</v>
      </c>
      <c r="K864" s="19" t="s">
        <v>691</v>
      </c>
      <c r="L864" s="19" t="s">
        <v>38</v>
      </c>
      <c r="M864" s="20">
        <f t="shared" si="1"/>
        <v>0</v>
      </c>
      <c r="N864" s="22"/>
      <c r="O864" s="19" t="s">
        <v>1145</v>
      </c>
      <c r="P864" s="18"/>
      <c r="Q864" s="18"/>
      <c r="R864" s="23">
        <v>0.0</v>
      </c>
      <c r="S864" s="23">
        <v>0.0</v>
      </c>
      <c r="T864" s="23">
        <f t="shared" si="2"/>
        <v>0</v>
      </c>
      <c r="U864" s="23">
        <f t="shared" si="3"/>
        <v>0</v>
      </c>
      <c r="V864" s="23">
        <f t="shared" si="4"/>
        <v>0</v>
      </c>
      <c r="W864" s="24" t="str">
        <f t="shared" si="5"/>
        <v>#DIV/0!</v>
      </c>
    </row>
    <row r="865" hidden="1">
      <c r="A865" s="15" t="s">
        <v>2441</v>
      </c>
      <c r="B865" s="18"/>
      <c r="C865" s="15" t="s">
        <v>7366</v>
      </c>
      <c r="D865" s="18"/>
      <c r="E865" s="17" t="s">
        <v>2442</v>
      </c>
      <c r="F865" s="18"/>
      <c r="G865" s="18"/>
      <c r="H865" s="15" t="s">
        <v>2443</v>
      </c>
      <c r="I865" s="15" t="s">
        <v>2444</v>
      </c>
      <c r="J865" s="19" t="s">
        <v>36</v>
      </c>
      <c r="K865" s="19" t="s">
        <v>2396</v>
      </c>
      <c r="L865" s="19" t="s">
        <v>38</v>
      </c>
      <c r="M865" s="20">
        <f t="shared" si="1"/>
        <v>0</v>
      </c>
      <c r="N865" s="22"/>
      <c r="O865" s="19" t="s">
        <v>1145</v>
      </c>
      <c r="P865" s="18"/>
      <c r="Q865" s="18"/>
      <c r="R865" s="23">
        <v>0.0</v>
      </c>
      <c r="S865" s="23">
        <v>0.0</v>
      </c>
      <c r="T865" s="23">
        <f t="shared" si="2"/>
        <v>0</v>
      </c>
      <c r="U865" s="23">
        <f t="shared" si="3"/>
        <v>0</v>
      </c>
      <c r="V865" s="23">
        <f t="shared" si="4"/>
        <v>0</v>
      </c>
      <c r="W865" s="24" t="str">
        <f t="shared" si="5"/>
        <v>#DIV/0!</v>
      </c>
    </row>
    <row r="866">
      <c r="A866" s="15" t="s">
        <v>4053</v>
      </c>
      <c r="B866" s="15" t="s">
        <v>4054</v>
      </c>
      <c r="C866" s="15" t="s">
        <v>6358</v>
      </c>
      <c r="D866" s="18"/>
      <c r="E866" s="17" t="s">
        <v>4055</v>
      </c>
      <c r="F866" s="18"/>
      <c r="G866" s="18"/>
      <c r="H866" s="15" t="s">
        <v>4056</v>
      </c>
      <c r="I866" s="18"/>
      <c r="J866" s="19" t="s">
        <v>59</v>
      </c>
      <c r="K866" s="19" t="s">
        <v>1230</v>
      </c>
      <c r="L866" s="19" t="s">
        <v>38</v>
      </c>
      <c r="M866" s="20">
        <f t="shared" si="1"/>
        <v>0</v>
      </c>
      <c r="N866" s="22"/>
      <c r="O866" s="19" t="s">
        <v>3578</v>
      </c>
      <c r="P866" s="18"/>
      <c r="Q866" s="18"/>
      <c r="R866" s="23">
        <v>0.0</v>
      </c>
      <c r="S866" s="23">
        <v>0.0</v>
      </c>
      <c r="T866" s="23">
        <f t="shared" si="2"/>
        <v>0</v>
      </c>
      <c r="U866" s="23">
        <f t="shared" si="3"/>
        <v>0</v>
      </c>
      <c r="V866" s="23">
        <f t="shared" si="4"/>
        <v>0</v>
      </c>
      <c r="W866" s="24" t="str">
        <f t="shared" si="5"/>
        <v>#DIV/0!</v>
      </c>
    </row>
    <row r="867" hidden="1">
      <c r="A867" s="15" t="s">
        <v>2445</v>
      </c>
      <c r="B867" s="18"/>
      <c r="C867" s="15" t="s">
        <v>7367</v>
      </c>
      <c r="D867" s="18"/>
      <c r="E867" s="17" t="s">
        <v>2446</v>
      </c>
      <c r="F867" s="18"/>
      <c r="G867" s="18"/>
      <c r="H867" s="15" t="s">
        <v>2447</v>
      </c>
      <c r="I867" s="15" t="s">
        <v>2448</v>
      </c>
      <c r="J867" s="19" t="s">
        <v>36</v>
      </c>
      <c r="K867" s="19" t="s">
        <v>2396</v>
      </c>
      <c r="L867" s="19" t="s">
        <v>38</v>
      </c>
      <c r="M867" s="20">
        <f t="shared" si="1"/>
        <v>0</v>
      </c>
      <c r="N867" s="22"/>
      <c r="O867" s="19" t="s">
        <v>1145</v>
      </c>
      <c r="P867" s="18"/>
      <c r="Q867" s="18"/>
      <c r="R867" s="23">
        <v>0.0</v>
      </c>
      <c r="S867" s="23">
        <v>0.0</v>
      </c>
      <c r="T867" s="23">
        <f t="shared" si="2"/>
        <v>0</v>
      </c>
      <c r="U867" s="23">
        <f t="shared" si="3"/>
        <v>0</v>
      </c>
      <c r="V867" s="23">
        <f t="shared" si="4"/>
        <v>0</v>
      </c>
      <c r="W867" s="24" t="str">
        <f t="shared" si="5"/>
        <v>#DIV/0!</v>
      </c>
    </row>
    <row r="868" hidden="1">
      <c r="A868" s="15" t="s">
        <v>2449</v>
      </c>
      <c r="B868" s="18"/>
      <c r="C868" s="15" t="s">
        <v>7368</v>
      </c>
      <c r="D868" s="18"/>
      <c r="E868" s="17" t="s">
        <v>2450</v>
      </c>
      <c r="F868" s="18"/>
      <c r="G868" s="18"/>
      <c r="H868" s="15" t="s">
        <v>2451</v>
      </c>
      <c r="I868" s="15" t="s">
        <v>2452</v>
      </c>
      <c r="J868" s="19" t="s">
        <v>36</v>
      </c>
      <c r="K868" s="19" t="s">
        <v>2387</v>
      </c>
      <c r="L868" s="19" t="s">
        <v>38</v>
      </c>
      <c r="M868" s="20">
        <f t="shared" si="1"/>
        <v>0</v>
      </c>
      <c r="N868" s="22"/>
      <c r="O868" s="19" t="s">
        <v>1145</v>
      </c>
      <c r="P868" s="18"/>
      <c r="Q868" s="18"/>
      <c r="R868" s="23">
        <v>0.0</v>
      </c>
      <c r="S868" s="23">
        <v>0.0</v>
      </c>
      <c r="T868" s="23">
        <f t="shared" si="2"/>
        <v>0</v>
      </c>
      <c r="U868" s="23">
        <f t="shared" si="3"/>
        <v>0</v>
      </c>
      <c r="V868" s="23">
        <f t="shared" si="4"/>
        <v>0</v>
      </c>
      <c r="W868" s="24" t="str">
        <f t="shared" si="5"/>
        <v>#DIV/0!</v>
      </c>
    </row>
    <row r="869" hidden="1">
      <c r="A869" s="15" t="s">
        <v>2453</v>
      </c>
      <c r="B869" s="18"/>
      <c r="C869" s="15" t="s">
        <v>7369</v>
      </c>
      <c r="D869" s="18"/>
      <c r="E869" s="17" t="s">
        <v>2454</v>
      </c>
      <c r="F869" s="18"/>
      <c r="G869" s="18"/>
      <c r="H869" s="15" t="s">
        <v>2455</v>
      </c>
      <c r="I869" s="15" t="s">
        <v>2456</v>
      </c>
      <c r="J869" s="19" t="s">
        <v>36</v>
      </c>
      <c r="K869" s="19" t="s">
        <v>2396</v>
      </c>
      <c r="L869" s="19" t="s">
        <v>38</v>
      </c>
      <c r="M869" s="20">
        <f t="shared" si="1"/>
        <v>0</v>
      </c>
      <c r="N869" s="22"/>
      <c r="O869" s="19" t="s">
        <v>1145</v>
      </c>
      <c r="P869" s="18"/>
      <c r="Q869" s="18"/>
      <c r="R869" s="23">
        <v>0.0</v>
      </c>
      <c r="S869" s="23">
        <v>0.0</v>
      </c>
      <c r="T869" s="23">
        <f t="shared" si="2"/>
        <v>0</v>
      </c>
      <c r="U869" s="23">
        <f t="shared" si="3"/>
        <v>0</v>
      </c>
      <c r="V869" s="23">
        <f t="shared" si="4"/>
        <v>0</v>
      </c>
      <c r="W869" s="24" t="str">
        <f t="shared" si="5"/>
        <v>#DIV/0!</v>
      </c>
    </row>
    <row r="870" hidden="1">
      <c r="A870" s="15" t="s">
        <v>2457</v>
      </c>
      <c r="B870" s="18"/>
      <c r="C870" s="15" t="s">
        <v>7370</v>
      </c>
      <c r="D870" s="18"/>
      <c r="E870" s="17" t="s">
        <v>2458</v>
      </c>
      <c r="F870" s="18"/>
      <c r="G870" s="18"/>
      <c r="H870" s="15" t="s">
        <v>2459</v>
      </c>
      <c r="I870" s="15" t="s">
        <v>2460</v>
      </c>
      <c r="J870" s="19" t="s">
        <v>36</v>
      </c>
      <c r="K870" s="19" t="s">
        <v>2387</v>
      </c>
      <c r="L870" s="19" t="s">
        <v>38</v>
      </c>
      <c r="M870" s="20">
        <f t="shared" si="1"/>
        <v>0</v>
      </c>
      <c r="N870" s="22"/>
      <c r="O870" s="19" t="s">
        <v>1145</v>
      </c>
      <c r="P870" s="18"/>
      <c r="Q870" s="18"/>
      <c r="R870" s="23">
        <v>0.0</v>
      </c>
      <c r="S870" s="23">
        <v>0.0</v>
      </c>
      <c r="T870" s="23">
        <f t="shared" si="2"/>
        <v>0</v>
      </c>
      <c r="U870" s="23">
        <f t="shared" si="3"/>
        <v>0</v>
      </c>
      <c r="V870" s="23">
        <f t="shared" si="4"/>
        <v>0</v>
      </c>
      <c r="W870" s="24" t="str">
        <f t="shared" si="5"/>
        <v>#DIV/0!</v>
      </c>
    </row>
    <row r="871" hidden="1">
      <c r="A871" s="15" t="s">
        <v>2461</v>
      </c>
      <c r="B871" s="18"/>
      <c r="C871" s="15" t="s">
        <v>7371</v>
      </c>
      <c r="D871" s="18"/>
      <c r="E871" s="17" t="s">
        <v>2462</v>
      </c>
      <c r="F871" s="18"/>
      <c r="G871" s="18"/>
      <c r="H871" s="15" t="s">
        <v>2463</v>
      </c>
      <c r="I871" s="15" t="s">
        <v>2464</v>
      </c>
      <c r="J871" s="19" t="s">
        <v>36</v>
      </c>
      <c r="K871" s="19" t="s">
        <v>2387</v>
      </c>
      <c r="L871" s="19" t="s">
        <v>38</v>
      </c>
      <c r="M871" s="20">
        <f t="shared" si="1"/>
        <v>0</v>
      </c>
      <c r="N871" s="22"/>
      <c r="O871" s="19" t="s">
        <v>1145</v>
      </c>
      <c r="P871" s="18"/>
      <c r="Q871" s="18"/>
      <c r="R871" s="23">
        <v>0.0</v>
      </c>
      <c r="S871" s="23">
        <v>0.0</v>
      </c>
      <c r="T871" s="23">
        <f t="shared" si="2"/>
        <v>0</v>
      </c>
      <c r="U871" s="23">
        <f t="shared" si="3"/>
        <v>0</v>
      </c>
      <c r="V871" s="23">
        <f t="shared" si="4"/>
        <v>0</v>
      </c>
      <c r="W871" s="24" t="str">
        <f t="shared" si="5"/>
        <v>#DIV/0!</v>
      </c>
    </row>
    <row r="872" hidden="1">
      <c r="A872" s="15" t="s">
        <v>2465</v>
      </c>
      <c r="B872" s="18"/>
      <c r="C872" s="15" t="s">
        <v>7372</v>
      </c>
      <c r="D872" s="18"/>
      <c r="E872" s="17" t="s">
        <v>2466</v>
      </c>
      <c r="F872" s="18"/>
      <c r="G872" s="18"/>
      <c r="H872" s="15" t="s">
        <v>2467</v>
      </c>
      <c r="I872" s="18"/>
      <c r="J872" s="19" t="s">
        <v>36</v>
      </c>
      <c r="K872" s="19" t="s">
        <v>2382</v>
      </c>
      <c r="L872" s="19" t="s">
        <v>38</v>
      </c>
      <c r="M872" s="20">
        <f t="shared" si="1"/>
        <v>0</v>
      </c>
      <c r="N872" s="22"/>
      <c r="O872" s="19" t="s">
        <v>1145</v>
      </c>
      <c r="P872" s="18"/>
      <c r="Q872" s="18"/>
      <c r="R872" s="23">
        <v>0.0</v>
      </c>
      <c r="S872" s="23">
        <v>0.0</v>
      </c>
      <c r="T872" s="23">
        <f t="shared" si="2"/>
        <v>0</v>
      </c>
      <c r="U872" s="23">
        <f t="shared" si="3"/>
        <v>0</v>
      </c>
      <c r="V872" s="23">
        <f t="shared" si="4"/>
        <v>0</v>
      </c>
      <c r="W872" s="24" t="str">
        <f t="shared" si="5"/>
        <v>#DIV/0!</v>
      </c>
    </row>
    <row r="873" hidden="1">
      <c r="A873" s="15" t="s">
        <v>2468</v>
      </c>
      <c r="B873" s="18"/>
      <c r="C873" s="15" t="s">
        <v>7373</v>
      </c>
      <c r="D873" s="18"/>
      <c r="E873" s="17" t="s">
        <v>2469</v>
      </c>
      <c r="F873" s="18"/>
      <c r="G873" s="18"/>
      <c r="H873" s="15" t="s">
        <v>2470</v>
      </c>
      <c r="I873" s="18"/>
      <c r="J873" s="19" t="s">
        <v>36</v>
      </c>
      <c r="K873" s="19" t="s">
        <v>2382</v>
      </c>
      <c r="L873" s="19" t="s">
        <v>38</v>
      </c>
      <c r="M873" s="20">
        <f t="shared" si="1"/>
        <v>0</v>
      </c>
      <c r="N873" s="22"/>
      <c r="O873" s="19" t="s">
        <v>1145</v>
      </c>
      <c r="P873" s="18"/>
      <c r="Q873" s="18"/>
      <c r="R873" s="23">
        <v>0.0</v>
      </c>
      <c r="S873" s="23">
        <v>0.0</v>
      </c>
      <c r="T873" s="23">
        <f t="shared" si="2"/>
        <v>0</v>
      </c>
      <c r="U873" s="23">
        <f t="shared" si="3"/>
        <v>0</v>
      </c>
      <c r="V873" s="23">
        <f t="shared" si="4"/>
        <v>0</v>
      </c>
      <c r="W873" s="24" t="str">
        <f t="shared" si="5"/>
        <v>#DIV/0!</v>
      </c>
    </row>
    <row r="874" hidden="1">
      <c r="A874" s="15" t="s">
        <v>2471</v>
      </c>
      <c r="B874" s="18"/>
      <c r="C874" s="15" t="s">
        <v>7374</v>
      </c>
      <c r="D874" s="18"/>
      <c r="E874" s="17" t="s">
        <v>2472</v>
      </c>
      <c r="F874" s="18"/>
      <c r="G874" s="18"/>
      <c r="H874" s="15" t="s">
        <v>2473</v>
      </c>
      <c r="I874" s="15" t="s">
        <v>2474</v>
      </c>
      <c r="J874" s="19" t="s">
        <v>36</v>
      </c>
      <c r="K874" s="19" t="s">
        <v>691</v>
      </c>
      <c r="L874" s="19" t="s">
        <v>38</v>
      </c>
      <c r="M874" s="20">
        <f t="shared" si="1"/>
        <v>0</v>
      </c>
      <c r="N874" s="22"/>
      <c r="O874" s="19" t="s">
        <v>1145</v>
      </c>
      <c r="P874" s="18"/>
      <c r="Q874" s="18"/>
      <c r="R874" s="23">
        <v>0.0</v>
      </c>
      <c r="S874" s="23">
        <v>0.0</v>
      </c>
      <c r="T874" s="23">
        <f t="shared" si="2"/>
        <v>0</v>
      </c>
      <c r="U874" s="23">
        <f t="shared" si="3"/>
        <v>0</v>
      </c>
      <c r="V874" s="23">
        <f t="shared" si="4"/>
        <v>0</v>
      </c>
      <c r="W874" s="24" t="str">
        <f t="shared" si="5"/>
        <v>#DIV/0!</v>
      </c>
    </row>
    <row r="875" hidden="1">
      <c r="A875" s="15" t="s">
        <v>7375</v>
      </c>
      <c r="B875" s="18"/>
      <c r="C875" s="15" t="s">
        <v>7376</v>
      </c>
      <c r="D875" s="18"/>
      <c r="E875" s="17" t="s">
        <v>7377</v>
      </c>
      <c r="F875" s="18"/>
      <c r="G875" s="18"/>
      <c r="H875" s="15" t="s">
        <v>7378</v>
      </c>
      <c r="I875" s="15" t="s">
        <v>7379</v>
      </c>
      <c r="J875" s="19" t="s">
        <v>36</v>
      </c>
      <c r="K875" s="19" t="s">
        <v>2387</v>
      </c>
      <c r="L875" s="19" t="s">
        <v>38</v>
      </c>
      <c r="M875" s="20">
        <f t="shared" si="1"/>
        <v>0</v>
      </c>
      <c r="N875" s="22"/>
      <c r="O875" s="19" t="s">
        <v>1145</v>
      </c>
      <c r="P875" s="18"/>
      <c r="Q875" s="18"/>
      <c r="R875" s="23">
        <v>0.0</v>
      </c>
      <c r="S875" s="23">
        <v>0.0</v>
      </c>
      <c r="T875" s="23">
        <f t="shared" si="2"/>
        <v>0</v>
      </c>
      <c r="U875" s="23">
        <f t="shared" si="3"/>
        <v>0</v>
      </c>
      <c r="V875" s="23">
        <f t="shared" si="4"/>
        <v>0</v>
      </c>
      <c r="W875" s="24" t="str">
        <f t="shared" si="5"/>
        <v>#DIV/0!</v>
      </c>
    </row>
    <row r="876" hidden="1">
      <c r="A876" s="15" t="s">
        <v>2475</v>
      </c>
      <c r="B876" s="18"/>
      <c r="C876" s="15" t="s">
        <v>7380</v>
      </c>
      <c r="D876" s="18"/>
      <c r="E876" s="17" t="s">
        <v>2476</v>
      </c>
      <c r="F876" s="18"/>
      <c r="G876" s="18"/>
      <c r="H876" s="15" t="s">
        <v>2477</v>
      </c>
      <c r="I876" s="15" t="s">
        <v>2478</v>
      </c>
      <c r="J876" s="19" t="s">
        <v>36</v>
      </c>
      <c r="K876" s="19" t="s">
        <v>2401</v>
      </c>
      <c r="L876" s="19" t="s">
        <v>38</v>
      </c>
      <c r="M876" s="20">
        <f t="shared" si="1"/>
        <v>0</v>
      </c>
      <c r="N876" s="22"/>
      <c r="O876" s="19" t="s">
        <v>1145</v>
      </c>
      <c r="P876" s="18"/>
      <c r="Q876" s="18"/>
      <c r="R876" s="23">
        <v>0.0</v>
      </c>
      <c r="S876" s="23">
        <v>0.0</v>
      </c>
      <c r="T876" s="23">
        <f t="shared" si="2"/>
        <v>0</v>
      </c>
      <c r="U876" s="23">
        <f t="shared" si="3"/>
        <v>0</v>
      </c>
      <c r="V876" s="23">
        <f t="shared" si="4"/>
        <v>0</v>
      </c>
      <c r="W876" s="24" t="str">
        <f t="shared" si="5"/>
        <v>#DIV/0!</v>
      </c>
    </row>
    <row r="877" hidden="1">
      <c r="A877" s="15" t="s">
        <v>2479</v>
      </c>
      <c r="B877" s="18"/>
      <c r="C877" s="15" t="s">
        <v>7381</v>
      </c>
      <c r="D877" s="18"/>
      <c r="E877" s="17" t="s">
        <v>2476</v>
      </c>
      <c r="F877" s="18"/>
      <c r="G877" s="18"/>
      <c r="H877" s="15" t="s">
        <v>2480</v>
      </c>
      <c r="I877" s="15" t="s">
        <v>2481</v>
      </c>
      <c r="J877" s="19" t="s">
        <v>36</v>
      </c>
      <c r="K877" s="19" t="s">
        <v>2401</v>
      </c>
      <c r="L877" s="19" t="s">
        <v>38</v>
      </c>
      <c r="M877" s="20">
        <f t="shared" si="1"/>
        <v>0</v>
      </c>
      <c r="N877" s="22"/>
      <c r="O877" s="19" t="s">
        <v>1145</v>
      </c>
      <c r="P877" s="18"/>
      <c r="Q877" s="18"/>
      <c r="R877" s="23">
        <v>0.0</v>
      </c>
      <c r="S877" s="23">
        <v>0.0</v>
      </c>
      <c r="T877" s="23">
        <f t="shared" si="2"/>
        <v>0</v>
      </c>
      <c r="U877" s="23">
        <f t="shared" si="3"/>
        <v>0</v>
      </c>
      <c r="V877" s="23">
        <f t="shared" si="4"/>
        <v>0</v>
      </c>
      <c r="W877" s="24" t="str">
        <f t="shared" si="5"/>
        <v>#DIV/0!</v>
      </c>
    </row>
    <row r="878" hidden="1">
      <c r="A878" s="15" t="s">
        <v>2482</v>
      </c>
      <c r="B878" s="18"/>
      <c r="C878" s="15" t="s">
        <v>7382</v>
      </c>
      <c r="D878" s="18"/>
      <c r="E878" s="17" t="s">
        <v>2483</v>
      </c>
      <c r="F878" s="18"/>
      <c r="G878" s="18"/>
      <c r="H878" s="15" t="s">
        <v>2484</v>
      </c>
      <c r="I878" s="15" t="s">
        <v>2485</v>
      </c>
      <c r="J878" s="19" t="s">
        <v>36</v>
      </c>
      <c r="K878" s="19" t="s">
        <v>2401</v>
      </c>
      <c r="L878" s="19" t="s">
        <v>38</v>
      </c>
      <c r="M878" s="20">
        <f t="shared" si="1"/>
        <v>0</v>
      </c>
      <c r="N878" s="22"/>
      <c r="O878" s="19" t="s">
        <v>1145</v>
      </c>
      <c r="P878" s="18"/>
      <c r="Q878" s="18"/>
      <c r="R878" s="23">
        <v>0.0</v>
      </c>
      <c r="S878" s="23">
        <v>0.0</v>
      </c>
      <c r="T878" s="23">
        <f t="shared" si="2"/>
        <v>0</v>
      </c>
      <c r="U878" s="23">
        <f t="shared" si="3"/>
        <v>0</v>
      </c>
      <c r="V878" s="23">
        <f t="shared" si="4"/>
        <v>0</v>
      </c>
      <c r="W878" s="24" t="str">
        <f t="shared" si="5"/>
        <v>#DIV/0!</v>
      </c>
    </row>
    <row r="879" hidden="1">
      <c r="A879" s="15" t="s">
        <v>2486</v>
      </c>
      <c r="B879" s="18"/>
      <c r="C879" s="15" t="s">
        <v>7383</v>
      </c>
      <c r="D879" s="18"/>
      <c r="E879" s="17" t="s">
        <v>2487</v>
      </c>
      <c r="F879" s="18"/>
      <c r="G879" s="18"/>
      <c r="H879" s="15" t="s">
        <v>2488</v>
      </c>
      <c r="I879" s="15" t="s">
        <v>2489</v>
      </c>
      <c r="J879" s="19" t="s">
        <v>36</v>
      </c>
      <c r="K879" s="19" t="s">
        <v>2401</v>
      </c>
      <c r="L879" s="19" t="s">
        <v>38</v>
      </c>
      <c r="M879" s="20">
        <f t="shared" si="1"/>
        <v>0</v>
      </c>
      <c r="N879" s="22"/>
      <c r="O879" s="19" t="s">
        <v>1145</v>
      </c>
      <c r="P879" s="18"/>
      <c r="Q879" s="18"/>
      <c r="R879" s="23">
        <v>0.0</v>
      </c>
      <c r="S879" s="23">
        <v>0.0</v>
      </c>
      <c r="T879" s="23">
        <f t="shared" si="2"/>
        <v>0</v>
      </c>
      <c r="U879" s="23">
        <f t="shared" si="3"/>
        <v>0</v>
      </c>
      <c r="V879" s="23">
        <f t="shared" si="4"/>
        <v>0</v>
      </c>
      <c r="W879" s="24" t="str">
        <f t="shared" si="5"/>
        <v>#DIV/0!</v>
      </c>
    </row>
    <row r="880" hidden="1">
      <c r="A880" s="15" t="s">
        <v>2490</v>
      </c>
      <c r="B880" s="18"/>
      <c r="C880" s="15" t="s">
        <v>7384</v>
      </c>
      <c r="D880" s="18"/>
      <c r="E880" s="17" t="s">
        <v>2491</v>
      </c>
      <c r="F880" s="18"/>
      <c r="G880" s="18"/>
      <c r="H880" s="15" t="s">
        <v>2492</v>
      </c>
      <c r="I880" s="15" t="s">
        <v>2493</v>
      </c>
      <c r="J880" s="19" t="s">
        <v>36</v>
      </c>
      <c r="K880" s="19" t="s">
        <v>2396</v>
      </c>
      <c r="L880" s="19" t="s">
        <v>38</v>
      </c>
      <c r="M880" s="20">
        <f t="shared" si="1"/>
        <v>0</v>
      </c>
      <c r="N880" s="22"/>
      <c r="O880" s="19" t="s">
        <v>1145</v>
      </c>
      <c r="P880" s="18"/>
      <c r="Q880" s="18"/>
      <c r="R880" s="23">
        <v>0.0</v>
      </c>
      <c r="S880" s="23">
        <v>0.0</v>
      </c>
      <c r="T880" s="23">
        <f t="shared" si="2"/>
        <v>0</v>
      </c>
      <c r="U880" s="23">
        <f t="shared" si="3"/>
        <v>0</v>
      </c>
      <c r="V880" s="23">
        <f t="shared" si="4"/>
        <v>0</v>
      </c>
      <c r="W880" s="24" t="str">
        <f t="shared" si="5"/>
        <v>#DIV/0!</v>
      </c>
    </row>
    <row r="881" hidden="1">
      <c r="A881" s="15" t="s">
        <v>2494</v>
      </c>
      <c r="B881" s="18"/>
      <c r="C881" s="15" t="s">
        <v>7385</v>
      </c>
      <c r="D881" s="18"/>
      <c r="E881" s="17" t="s">
        <v>2495</v>
      </c>
      <c r="F881" s="18"/>
      <c r="G881" s="18"/>
      <c r="H881" s="15" t="s">
        <v>2496</v>
      </c>
      <c r="I881" s="15" t="s">
        <v>2497</v>
      </c>
      <c r="J881" s="19" t="s">
        <v>36</v>
      </c>
      <c r="K881" s="19" t="s">
        <v>2382</v>
      </c>
      <c r="L881" s="19" t="s">
        <v>38</v>
      </c>
      <c r="M881" s="20">
        <f t="shared" si="1"/>
        <v>0</v>
      </c>
      <c r="N881" s="22"/>
      <c r="O881" s="19" t="s">
        <v>1145</v>
      </c>
      <c r="P881" s="18"/>
      <c r="Q881" s="18"/>
      <c r="R881" s="23">
        <v>0.0</v>
      </c>
      <c r="S881" s="23">
        <v>0.0</v>
      </c>
      <c r="T881" s="23">
        <f t="shared" si="2"/>
        <v>0</v>
      </c>
      <c r="U881" s="23">
        <f t="shared" si="3"/>
        <v>0</v>
      </c>
      <c r="V881" s="23">
        <f t="shared" si="4"/>
        <v>0</v>
      </c>
      <c r="W881" s="24" t="str">
        <f t="shared" si="5"/>
        <v>#DIV/0!</v>
      </c>
    </row>
    <row r="882">
      <c r="A882" s="15" t="s">
        <v>4057</v>
      </c>
      <c r="B882" s="15" t="s">
        <v>4058</v>
      </c>
      <c r="C882" s="15" t="s">
        <v>6359</v>
      </c>
      <c r="D882" s="18"/>
      <c r="E882" s="17" t="s">
        <v>4060</v>
      </c>
      <c r="F882" s="18"/>
      <c r="G882" s="18"/>
      <c r="H882" s="15" t="s">
        <v>4061</v>
      </c>
      <c r="I882" s="18"/>
      <c r="J882" s="19" t="s">
        <v>59</v>
      </c>
      <c r="K882" s="19" t="s">
        <v>1230</v>
      </c>
      <c r="L882" s="19" t="s">
        <v>38</v>
      </c>
      <c r="M882" s="20">
        <f t="shared" si="1"/>
        <v>0</v>
      </c>
      <c r="N882" s="22"/>
      <c r="O882" s="19" t="s">
        <v>3578</v>
      </c>
      <c r="P882" s="18"/>
      <c r="Q882" s="18"/>
      <c r="R882" s="23">
        <v>0.0</v>
      </c>
      <c r="S882" s="23">
        <v>0.0</v>
      </c>
      <c r="T882" s="23">
        <f t="shared" si="2"/>
        <v>0</v>
      </c>
      <c r="U882" s="23">
        <f t="shared" si="3"/>
        <v>0</v>
      </c>
      <c r="V882" s="23">
        <f t="shared" si="4"/>
        <v>0</v>
      </c>
      <c r="W882" s="24" t="str">
        <f t="shared" si="5"/>
        <v>#DIV/0!</v>
      </c>
    </row>
    <row r="883">
      <c r="A883" s="15" t="s">
        <v>4062</v>
      </c>
      <c r="B883" s="15" t="s">
        <v>4063</v>
      </c>
      <c r="C883" s="15" t="s">
        <v>6360</v>
      </c>
      <c r="D883" s="18"/>
      <c r="E883" s="17" t="s">
        <v>4064</v>
      </c>
      <c r="F883" s="18"/>
      <c r="G883" s="18"/>
      <c r="H883" s="15" t="s">
        <v>4065</v>
      </c>
      <c r="I883" s="18"/>
      <c r="J883" s="19" t="s">
        <v>59</v>
      </c>
      <c r="K883" s="19" t="s">
        <v>1230</v>
      </c>
      <c r="L883" s="19" t="s">
        <v>38</v>
      </c>
      <c r="M883" s="20">
        <f t="shared" si="1"/>
        <v>0</v>
      </c>
      <c r="N883" s="22"/>
      <c r="O883" s="19" t="s">
        <v>3578</v>
      </c>
      <c r="P883" s="18"/>
      <c r="Q883" s="18"/>
      <c r="R883" s="23">
        <v>0.0</v>
      </c>
      <c r="S883" s="23">
        <v>0.0</v>
      </c>
      <c r="T883" s="23">
        <f t="shared" si="2"/>
        <v>0</v>
      </c>
      <c r="U883" s="23">
        <f t="shared" si="3"/>
        <v>0</v>
      </c>
      <c r="V883" s="23">
        <f t="shared" si="4"/>
        <v>0</v>
      </c>
      <c r="W883" s="24" t="str">
        <f t="shared" si="5"/>
        <v>#DIV/0!</v>
      </c>
    </row>
    <row r="884" hidden="1">
      <c r="A884" s="15" t="s">
        <v>7386</v>
      </c>
      <c r="B884" s="18"/>
      <c r="C884" s="15" t="s">
        <v>6453</v>
      </c>
      <c r="D884" s="18"/>
      <c r="E884" s="17" t="s">
        <v>837</v>
      </c>
      <c r="F884" s="18"/>
      <c r="G884" s="18"/>
      <c r="H884" s="18"/>
      <c r="I884" s="18"/>
      <c r="J884" s="19" t="s">
        <v>36</v>
      </c>
      <c r="K884" s="19" t="s">
        <v>37</v>
      </c>
      <c r="L884" s="19" t="s">
        <v>38</v>
      </c>
      <c r="M884" s="20">
        <f t="shared" si="1"/>
        <v>0</v>
      </c>
      <c r="N884" s="22"/>
      <c r="O884" s="19" t="s">
        <v>39</v>
      </c>
      <c r="P884" s="18"/>
      <c r="Q884" s="18"/>
      <c r="R884" s="23">
        <v>0.0</v>
      </c>
      <c r="S884" s="23">
        <v>0.0</v>
      </c>
      <c r="T884" s="23">
        <f t="shared" si="2"/>
        <v>0</v>
      </c>
      <c r="U884" s="23">
        <f t="shared" si="3"/>
        <v>0</v>
      </c>
      <c r="V884" s="23">
        <f t="shared" si="4"/>
        <v>0</v>
      </c>
      <c r="W884" s="24" t="str">
        <f t="shared" si="5"/>
        <v>#DIV/0!</v>
      </c>
    </row>
    <row r="885" hidden="1">
      <c r="A885" s="15" t="s">
        <v>7387</v>
      </c>
      <c r="B885" s="18"/>
      <c r="C885" s="15" t="s">
        <v>6453</v>
      </c>
      <c r="D885" s="18"/>
      <c r="E885" s="17" t="s">
        <v>829</v>
      </c>
      <c r="F885" s="18"/>
      <c r="G885" s="18"/>
      <c r="H885" s="18"/>
      <c r="I885" s="18"/>
      <c r="J885" s="19" t="s">
        <v>36</v>
      </c>
      <c r="K885" s="19" t="s">
        <v>37</v>
      </c>
      <c r="L885" s="19" t="s">
        <v>38</v>
      </c>
      <c r="M885" s="20">
        <f t="shared" si="1"/>
        <v>0</v>
      </c>
      <c r="N885" s="22"/>
      <c r="O885" s="19" t="s">
        <v>39</v>
      </c>
      <c r="P885" s="18"/>
      <c r="Q885" s="18"/>
      <c r="R885" s="23">
        <v>0.0</v>
      </c>
      <c r="S885" s="23">
        <v>0.0</v>
      </c>
      <c r="T885" s="23">
        <f t="shared" si="2"/>
        <v>0</v>
      </c>
      <c r="U885" s="23">
        <f t="shared" si="3"/>
        <v>0</v>
      </c>
      <c r="V885" s="23">
        <f t="shared" si="4"/>
        <v>0</v>
      </c>
      <c r="W885" s="24" t="str">
        <f t="shared" si="5"/>
        <v>#DIV/0!</v>
      </c>
    </row>
    <row r="886">
      <c r="A886" s="15" t="s">
        <v>4066</v>
      </c>
      <c r="B886" s="15" t="s">
        <v>4067</v>
      </c>
      <c r="C886" s="15" t="s">
        <v>6361</v>
      </c>
      <c r="D886" s="15" t="s">
        <v>6362</v>
      </c>
      <c r="E886" s="17" t="s">
        <v>4069</v>
      </c>
      <c r="F886" s="18"/>
      <c r="G886" s="18"/>
      <c r="H886" s="15" t="s">
        <v>4070</v>
      </c>
      <c r="I886" s="18"/>
      <c r="J886" s="19" t="s">
        <v>59</v>
      </c>
      <c r="K886" s="19" t="s">
        <v>284</v>
      </c>
      <c r="L886" s="19" t="s">
        <v>38</v>
      </c>
      <c r="M886" s="20">
        <f t="shared" si="1"/>
        <v>0</v>
      </c>
      <c r="N886" s="22"/>
      <c r="O886" s="19" t="s">
        <v>3578</v>
      </c>
      <c r="P886" s="18"/>
      <c r="Q886" s="18"/>
      <c r="R886" s="23">
        <v>0.0</v>
      </c>
      <c r="S886" s="23">
        <v>0.0</v>
      </c>
      <c r="T886" s="23">
        <f t="shared" si="2"/>
        <v>0</v>
      </c>
      <c r="U886" s="23">
        <f t="shared" si="3"/>
        <v>0</v>
      </c>
      <c r="V886" s="23">
        <f t="shared" si="4"/>
        <v>0</v>
      </c>
      <c r="W886" s="24" t="str">
        <f t="shared" si="5"/>
        <v>#DIV/0!</v>
      </c>
    </row>
    <row r="887" hidden="1">
      <c r="A887" s="15" t="s">
        <v>2498</v>
      </c>
      <c r="B887" s="18"/>
      <c r="C887" s="15" t="s">
        <v>7389</v>
      </c>
      <c r="D887" s="18"/>
      <c r="E887" s="17" t="s">
        <v>2499</v>
      </c>
      <c r="F887" s="18"/>
      <c r="G887" s="18"/>
      <c r="H887" s="15" t="s">
        <v>2500</v>
      </c>
      <c r="I887" s="15" t="s">
        <v>2501</v>
      </c>
      <c r="J887" s="19" t="s">
        <v>36</v>
      </c>
      <c r="K887" s="19" t="s">
        <v>2396</v>
      </c>
      <c r="L887" s="19" t="s">
        <v>38</v>
      </c>
      <c r="M887" s="20">
        <f t="shared" si="1"/>
        <v>0</v>
      </c>
      <c r="N887" s="22"/>
      <c r="O887" s="19" t="s">
        <v>1145</v>
      </c>
      <c r="P887" s="18"/>
      <c r="Q887" s="18"/>
      <c r="R887" s="23">
        <v>0.0</v>
      </c>
      <c r="S887" s="23">
        <v>0.0</v>
      </c>
      <c r="T887" s="23">
        <f t="shared" si="2"/>
        <v>0</v>
      </c>
      <c r="U887" s="23">
        <f t="shared" si="3"/>
        <v>0</v>
      </c>
      <c r="V887" s="23">
        <f t="shared" si="4"/>
        <v>0</v>
      </c>
      <c r="W887" s="24" t="str">
        <f t="shared" si="5"/>
        <v>#DIV/0!</v>
      </c>
    </row>
    <row r="888" hidden="1">
      <c r="A888" s="15" t="s">
        <v>7390</v>
      </c>
      <c r="B888" s="18"/>
      <c r="C888" s="15" t="s">
        <v>7391</v>
      </c>
      <c r="D888" s="18"/>
      <c r="E888" s="17" t="s">
        <v>2503</v>
      </c>
      <c r="F888" s="18"/>
      <c r="G888" s="18"/>
      <c r="H888" s="15" t="s">
        <v>7392</v>
      </c>
      <c r="I888" s="15" t="s">
        <v>4319</v>
      </c>
      <c r="J888" s="19" t="s">
        <v>36</v>
      </c>
      <c r="K888" s="19" t="s">
        <v>2506</v>
      </c>
      <c r="L888" s="19" t="s">
        <v>38</v>
      </c>
      <c r="M888" s="20">
        <f t="shared" si="1"/>
        <v>0</v>
      </c>
      <c r="N888" s="22"/>
      <c r="O888" s="19" t="s">
        <v>39</v>
      </c>
      <c r="P888" s="18"/>
      <c r="Q888" s="18"/>
      <c r="R888" s="23">
        <v>0.0</v>
      </c>
      <c r="S888" s="23">
        <v>0.0</v>
      </c>
      <c r="T888" s="23">
        <f t="shared" si="2"/>
        <v>0</v>
      </c>
      <c r="U888" s="23">
        <f t="shared" si="3"/>
        <v>0</v>
      </c>
      <c r="V888" s="23">
        <f t="shared" si="4"/>
        <v>0</v>
      </c>
      <c r="W888" s="24" t="str">
        <f t="shared" si="5"/>
        <v>#DIV/0!</v>
      </c>
    </row>
    <row r="889" hidden="1">
      <c r="A889" s="15" t="s">
        <v>2502</v>
      </c>
      <c r="B889" s="18"/>
      <c r="C889" s="15" t="s">
        <v>7393</v>
      </c>
      <c r="D889" s="18"/>
      <c r="E889" s="17" t="s">
        <v>2503</v>
      </c>
      <c r="F889" s="18"/>
      <c r="G889" s="18"/>
      <c r="H889" s="15" t="s">
        <v>2504</v>
      </c>
      <c r="I889" s="15" t="s">
        <v>2505</v>
      </c>
      <c r="J889" s="19" t="s">
        <v>36</v>
      </c>
      <c r="K889" s="19" t="s">
        <v>2506</v>
      </c>
      <c r="L889" s="19" t="s">
        <v>38</v>
      </c>
      <c r="M889" s="20">
        <f t="shared" si="1"/>
        <v>0</v>
      </c>
      <c r="N889" s="22"/>
      <c r="O889" s="19" t="s">
        <v>1145</v>
      </c>
      <c r="P889" s="18"/>
      <c r="Q889" s="18"/>
      <c r="R889" s="23">
        <v>0.0</v>
      </c>
      <c r="S889" s="23">
        <v>0.0</v>
      </c>
      <c r="T889" s="23">
        <f t="shared" si="2"/>
        <v>0</v>
      </c>
      <c r="U889" s="23">
        <f t="shared" si="3"/>
        <v>0</v>
      </c>
      <c r="V889" s="23">
        <f t="shared" si="4"/>
        <v>0</v>
      </c>
      <c r="W889" s="24" t="str">
        <f t="shared" si="5"/>
        <v>#DIV/0!</v>
      </c>
    </row>
    <row r="890" hidden="1">
      <c r="A890" s="15" t="s">
        <v>2507</v>
      </c>
      <c r="B890" s="18"/>
      <c r="C890" s="15" t="s">
        <v>7394</v>
      </c>
      <c r="D890" s="18"/>
      <c r="E890" s="17" t="s">
        <v>2508</v>
      </c>
      <c r="F890" s="18"/>
      <c r="G890" s="18"/>
      <c r="H890" s="15" t="s">
        <v>2509</v>
      </c>
      <c r="I890" s="15" t="s">
        <v>2510</v>
      </c>
      <c r="J890" s="19" t="s">
        <v>36</v>
      </c>
      <c r="K890" s="19" t="s">
        <v>2506</v>
      </c>
      <c r="L890" s="19" t="s">
        <v>38</v>
      </c>
      <c r="M890" s="20">
        <f t="shared" si="1"/>
        <v>0</v>
      </c>
      <c r="N890" s="22"/>
      <c r="O890" s="19" t="s">
        <v>1145</v>
      </c>
      <c r="P890" s="18"/>
      <c r="Q890" s="18"/>
      <c r="R890" s="23">
        <v>0.0</v>
      </c>
      <c r="S890" s="23">
        <v>0.0</v>
      </c>
      <c r="T890" s="23">
        <f t="shared" si="2"/>
        <v>0</v>
      </c>
      <c r="U890" s="23">
        <f t="shared" si="3"/>
        <v>0</v>
      </c>
      <c r="V890" s="23">
        <f t="shared" si="4"/>
        <v>0</v>
      </c>
      <c r="W890" s="24" t="str">
        <f t="shared" si="5"/>
        <v>#DIV/0!</v>
      </c>
    </row>
    <row r="891">
      <c r="A891" s="15" t="s">
        <v>4071</v>
      </c>
      <c r="B891" s="15" t="s">
        <v>4072</v>
      </c>
      <c r="C891" s="15" t="s">
        <v>6363</v>
      </c>
      <c r="D891" s="15" t="s">
        <v>6364</v>
      </c>
      <c r="E891" s="17" t="s">
        <v>4074</v>
      </c>
      <c r="F891" s="18"/>
      <c r="G891" s="18"/>
      <c r="H891" s="15" t="s">
        <v>4075</v>
      </c>
      <c r="I891" s="18"/>
      <c r="J891" s="19" t="s">
        <v>59</v>
      </c>
      <c r="K891" s="19" t="s">
        <v>284</v>
      </c>
      <c r="L891" s="19" t="s">
        <v>38</v>
      </c>
      <c r="M891" s="20">
        <f t="shared" si="1"/>
        <v>0</v>
      </c>
      <c r="N891" s="22"/>
      <c r="O891" s="19" t="s">
        <v>3578</v>
      </c>
      <c r="P891" s="18"/>
      <c r="Q891" s="18"/>
      <c r="R891" s="23">
        <v>0.0</v>
      </c>
      <c r="S891" s="23">
        <v>0.0</v>
      </c>
      <c r="T891" s="23">
        <f t="shared" si="2"/>
        <v>0</v>
      </c>
      <c r="U891" s="23">
        <f t="shared" si="3"/>
        <v>0</v>
      </c>
      <c r="V891" s="23">
        <f t="shared" si="4"/>
        <v>0</v>
      </c>
      <c r="W891" s="24" t="str">
        <f t="shared" si="5"/>
        <v>#DIV/0!</v>
      </c>
    </row>
    <row r="892">
      <c r="A892" s="15" t="s">
        <v>4076</v>
      </c>
      <c r="B892" s="15" t="s">
        <v>4077</v>
      </c>
      <c r="C892" s="15" t="s">
        <v>6368</v>
      </c>
      <c r="D892" s="15" t="s">
        <v>4078</v>
      </c>
      <c r="E892" s="17" t="s">
        <v>4079</v>
      </c>
      <c r="F892" s="18"/>
      <c r="G892" s="18"/>
      <c r="H892" s="15" t="s">
        <v>4080</v>
      </c>
      <c r="I892" s="18"/>
      <c r="J892" s="19" t="s">
        <v>59</v>
      </c>
      <c r="K892" s="19" t="s">
        <v>402</v>
      </c>
      <c r="L892" s="19" t="s">
        <v>38</v>
      </c>
      <c r="M892" s="20">
        <f t="shared" si="1"/>
        <v>0</v>
      </c>
      <c r="N892" s="22"/>
      <c r="O892" s="19" t="s">
        <v>3578</v>
      </c>
      <c r="P892" s="18"/>
      <c r="Q892" s="18"/>
      <c r="R892" s="23">
        <v>0.0</v>
      </c>
      <c r="S892" s="23">
        <v>0.0</v>
      </c>
      <c r="T892" s="23">
        <f t="shared" si="2"/>
        <v>0</v>
      </c>
      <c r="U892" s="23">
        <f t="shared" si="3"/>
        <v>0</v>
      </c>
      <c r="V892" s="23">
        <f t="shared" si="4"/>
        <v>0</v>
      </c>
      <c r="W892" s="24" t="str">
        <f t="shared" si="5"/>
        <v>#DIV/0!</v>
      </c>
    </row>
    <row r="893" hidden="1">
      <c r="A893" s="15" t="s">
        <v>2511</v>
      </c>
      <c r="B893" s="18"/>
      <c r="C893" s="15" t="s">
        <v>7395</v>
      </c>
      <c r="D893" s="18"/>
      <c r="E893" s="17" t="s">
        <v>2512</v>
      </c>
      <c r="F893" s="18"/>
      <c r="G893" s="18"/>
      <c r="H893" s="15" t="s">
        <v>2513</v>
      </c>
      <c r="I893" s="15" t="s">
        <v>2514</v>
      </c>
      <c r="J893" s="19" t="s">
        <v>36</v>
      </c>
      <c r="K893" s="19" t="s">
        <v>2387</v>
      </c>
      <c r="L893" s="19" t="s">
        <v>38</v>
      </c>
      <c r="M893" s="20">
        <f t="shared" si="1"/>
        <v>0</v>
      </c>
      <c r="N893" s="22"/>
      <c r="O893" s="19" t="s">
        <v>1145</v>
      </c>
      <c r="P893" s="18"/>
      <c r="Q893" s="18"/>
      <c r="R893" s="23">
        <v>0.0</v>
      </c>
      <c r="S893" s="23">
        <v>0.0</v>
      </c>
      <c r="T893" s="23">
        <f t="shared" si="2"/>
        <v>0</v>
      </c>
      <c r="U893" s="23">
        <f t="shared" si="3"/>
        <v>0</v>
      </c>
      <c r="V893" s="23">
        <f t="shared" si="4"/>
        <v>0</v>
      </c>
      <c r="W893" s="24" t="str">
        <f t="shared" si="5"/>
        <v>#DIV/0!</v>
      </c>
    </row>
    <row r="894" hidden="1">
      <c r="A894" s="15" t="s">
        <v>2515</v>
      </c>
      <c r="B894" s="18"/>
      <c r="C894" s="15" t="s">
        <v>7396</v>
      </c>
      <c r="D894" s="18"/>
      <c r="E894" s="17" t="s">
        <v>2516</v>
      </c>
      <c r="F894" s="18"/>
      <c r="G894" s="18"/>
      <c r="H894" s="15" t="s">
        <v>2517</v>
      </c>
      <c r="I894" s="15" t="s">
        <v>2518</v>
      </c>
      <c r="J894" s="19" t="s">
        <v>36</v>
      </c>
      <c r="K894" s="19" t="s">
        <v>2519</v>
      </c>
      <c r="L894" s="19" t="s">
        <v>38</v>
      </c>
      <c r="M894" s="20">
        <f t="shared" si="1"/>
        <v>0</v>
      </c>
      <c r="N894" s="22"/>
      <c r="O894" s="19" t="s">
        <v>1145</v>
      </c>
      <c r="P894" s="18"/>
      <c r="Q894" s="18"/>
      <c r="R894" s="23">
        <v>0.0</v>
      </c>
      <c r="S894" s="23">
        <v>0.0</v>
      </c>
      <c r="T894" s="23">
        <f t="shared" si="2"/>
        <v>0</v>
      </c>
      <c r="U894" s="23">
        <f t="shared" si="3"/>
        <v>0</v>
      </c>
      <c r="V894" s="23">
        <f t="shared" si="4"/>
        <v>0</v>
      </c>
      <c r="W894" s="24" t="str">
        <f t="shared" si="5"/>
        <v>#DIV/0!</v>
      </c>
    </row>
    <row r="895" hidden="1">
      <c r="A895" s="15" t="s">
        <v>2520</v>
      </c>
      <c r="B895" s="18"/>
      <c r="C895" s="15" t="s">
        <v>7397</v>
      </c>
      <c r="D895" s="18"/>
      <c r="E895" s="17" t="s">
        <v>2521</v>
      </c>
      <c r="F895" s="18"/>
      <c r="G895" s="18"/>
      <c r="H895" s="15" t="s">
        <v>2522</v>
      </c>
      <c r="I895" s="15" t="s">
        <v>2523</v>
      </c>
      <c r="J895" s="19" t="s">
        <v>36</v>
      </c>
      <c r="K895" s="19" t="s">
        <v>2387</v>
      </c>
      <c r="L895" s="19" t="s">
        <v>38</v>
      </c>
      <c r="M895" s="20">
        <f t="shared" si="1"/>
        <v>0</v>
      </c>
      <c r="N895" s="22"/>
      <c r="O895" s="19" t="s">
        <v>1145</v>
      </c>
      <c r="P895" s="18"/>
      <c r="Q895" s="18"/>
      <c r="R895" s="23">
        <v>0.0</v>
      </c>
      <c r="S895" s="23">
        <v>0.0</v>
      </c>
      <c r="T895" s="23">
        <f t="shared" si="2"/>
        <v>0</v>
      </c>
      <c r="U895" s="23">
        <f t="shared" si="3"/>
        <v>0</v>
      </c>
      <c r="V895" s="23">
        <f t="shared" si="4"/>
        <v>0</v>
      </c>
      <c r="W895" s="24" t="str">
        <f t="shared" si="5"/>
        <v>#DIV/0!</v>
      </c>
    </row>
    <row r="896" hidden="1">
      <c r="A896" s="15" t="s">
        <v>7398</v>
      </c>
      <c r="B896" s="18"/>
      <c r="C896" s="15" t="s">
        <v>7399</v>
      </c>
      <c r="D896" s="18"/>
      <c r="E896" s="17" t="s">
        <v>7400</v>
      </c>
      <c r="F896" s="18"/>
      <c r="G896" s="18"/>
      <c r="H896" s="15" t="s">
        <v>7401</v>
      </c>
      <c r="I896" s="15" t="s">
        <v>4208</v>
      </c>
      <c r="J896" s="19" t="s">
        <v>36</v>
      </c>
      <c r="K896" s="19" t="s">
        <v>2382</v>
      </c>
      <c r="L896" s="19" t="s">
        <v>38</v>
      </c>
      <c r="M896" s="20">
        <f t="shared" si="1"/>
        <v>0</v>
      </c>
      <c r="N896" s="22"/>
      <c r="O896" s="19" t="s">
        <v>39</v>
      </c>
      <c r="P896" s="18"/>
      <c r="Q896" s="18"/>
      <c r="R896" s="23">
        <v>0.0</v>
      </c>
      <c r="S896" s="23">
        <v>0.0</v>
      </c>
      <c r="T896" s="23">
        <f t="shared" si="2"/>
        <v>0</v>
      </c>
      <c r="U896" s="23">
        <f t="shared" si="3"/>
        <v>0</v>
      </c>
      <c r="V896" s="23">
        <f t="shared" si="4"/>
        <v>0</v>
      </c>
      <c r="W896" s="24" t="str">
        <f t="shared" si="5"/>
        <v>#DIV/0!</v>
      </c>
    </row>
    <row r="897" hidden="1">
      <c r="A897" s="15" t="s">
        <v>2524</v>
      </c>
      <c r="B897" s="18"/>
      <c r="C897" s="15" t="s">
        <v>7402</v>
      </c>
      <c r="D897" s="18"/>
      <c r="E897" s="17" t="s">
        <v>2525</v>
      </c>
      <c r="F897" s="18"/>
      <c r="G897" s="18"/>
      <c r="H897" s="15" t="s">
        <v>2526</v>
      </c>
      <c r="I897" s="15" t="s">
        <v>2527</v>
      </c>
      <c r="J897" s="19" t="s">
        <v>36</v>
      </c>
      <c r="K897" s="19" t="s">
        <v>2401</v>
      </c>
      <c r="L897" s="19" t="s">
        <v>38</v>
      </c>
      <c r="M897" s="20">
        <f t="shared" si="1"/>
        <v>0</v>
      </c>
      <c r="N897" s="22"/>
      <c r="O897" s="19" t="s">
        <v>1145</v>
      </c>
      <c r="P897" s="18"/>
      <c r="Q897" s="18"/>
      <c r="R897" s="23">
        <v>0.0</v>
      </c>
      <c r="S897" s="23">
        <v>0.0</v>
      </c>
      <c r="T897" s="23">
        <f t="shared" si="2"/>
        <v>0</v>
      </c>
      <c r="U897" s="23">
        <f t="shared" si="3"/>
        <v>0</v>
      </c>
      <c r="V897" s="23">
        <f t="shared" si="4"/>
        <v>0</v>
      </c>
      <c r="W897" s="24" t="str">
        <f t="shared" si="5"/>
        <v>#DIV/0!</v>
      </c>
    </row>
    <row r="898">
      <c r="A898" s="15" t="s">
        <v>4081</v>
      </c>
      <c r="B898" s="15" t="s">
        <v>4082</v>
      </c>
      <c r="C898" s="15" t="s">
        <v>6369</v>
      </c>
      <c r="D898" s="18"/>
      <c r="E898" s="17" t="s">
        <v>4083</v>
      </c>
      <c r="F898" s="18"/>
      <c r="G898" s="18"/>
      <c r="H898" s="15" t="s">
        <v>4084</v>
      </c>
      <c r="I898" s="18"/>
      <c r="J898" s="19" t="s">
        <v>59</v>
      </c>
      <c r="K898" s="19" t="s">
        <v>37</v>
      </c>
      <c r="L898" s="19" t="s">
        <v>38</v>
      </c>
      <c r="M898" s="20">
        <f t="shared" si="1"/>
        <v>0</v>
      </c>
      <c r="N898" s="22"/>
      <c r="O898" s="19" t="s">
        <v>3578</v>
      </c>
      <c r="P898" s="18"/>
      <c r="Q898" s="18"/>
      <c r="R898" s="23">
        <v>0.0</v>
      </c>
      <c r="S898" s="23">
        <v>0.0</v>
      </c>
      <c r="T898" s="23">
        <f t="shared" si="2"/>
        <v>0</v>
      </c>
      <c r="U898" s="23">
        <f t="shared" si="3"/>
        <v>0</v>
      </c>
      <c r="V898" s="23">
        <f t="shared" si="4"/>
        <v>0</v>
      </c>
      <c r="W898" s="24" t="str">
        <f t="shared" si="5"/>
        <v>#DIV/0!</v>
      </c>
    </row>
    <row r="899">
      <c r="A899" s="15" t="s">
        <v>4085</v>
      </c>
      <c r="B899" s="15" t="s">
        <v>4086</v>
      </c>
      <c r="C899" s="15" t="s">
        <v>6373</v>
      </c>
      <c r="D899" s="15" t="s">
        <v>4087</v>
      </c>
      <c r="E899" s="17" t="s">
        <v>4088</v>
      </c>
      <c r="F899" s="18"/>
      <c r="G899" s="18"/>
      <c r="H899" s="15" t="s">
        <v>4089</v>
      </c>
      <c r="I899" s="18"/>
      <c r="J899" s="19" t="s">
        <v>59</v>
      </c>
      <c r="K899" s="19" t="s">
        <v>37</v>
      </c>
      <c r="L899" s="19" t="s">
        <v>38</v>
      </c>
      <c r="M899" s="20">
        <f t="shared" si="1"/>
        <v>0</v>
      </c>
      <c r="N899" s="22"/>
      <c r="O899" s="19" t="s">
        <v>3578</v>
      </c>
      <c r="P899" s="18"/>
      <c r="Q899" s="18"/>
      <c r="R899" s="23">
        <v>0.0</v>
      </c>
      <c r="S899" s="23">
        <v>0.0</v>
      </c>
      <c r="T899" s="23">
        <f t="shared" si="2"/>
        <v>0</v>
      </c>
      <c r="U899" s="23">
        <f t="shared" si="3"/>
        <v>0</v>
      </c>
      <c r="V899" s="23">
        <f t="shared" si="4"/>
        <v>0</v>
      </c>
      <c r="W899" s="24" t="str">
        <f t="shared" si="5"/>
        <v>#DIV/0!</v>
      </c>
    </row>
    <row r="900">
      <c r="A900" s="15" t="s">
        <v>4090</v>
      </c>
      <c r="B900" s="15" t="s">
        <v>4091</v>
      </c>
      <c r="C900" s="15" t="s">
        <v>6374</v>
      </c>
      <c r="D900" s="18"/>
      <c r="E900" s="17" t="s">
        <v>6375</v>
      </c>
      <c r="F900" s="18"/>
      <c r="G900" s="18"/>
      <c r="H900" s="15" t="s">
        <v>4094</v>
      </c>
      <c r="I900" s="18"/>
      <c r="J900" s="19" t="s">
        <v>59</v>
      </c>
      <c r="K900" s="19" t="s">
        <v>37</v>
      </c>
      <c r="L900" s="19" t="s">
        <v>38</v>
      </c>
      <c r="M900" s="20">
        <f t="shared" si="1"/>
        <v>0</v>
      </c>
      <c r="N900" s="22"/>
      <c r="O900" s="19" t="s">
        <v>3578</v>
      </c>
      <c r="P900" s="18"/>
      <c r="Q900" s="18"/>
      <c r="R900" s="23">
        <v>0.0</v>
      </c>
      <c r="S900" s="23">
        <v>0.0</v>
      </c>
      <c r="T900" s="23">
        <f t="shared" si="2"/>
        <v>0</v>
      </c>
      <c r="U900" s="23">
        <f t="shared" si="3"/>
        <v>0</v>
      </c>
      <c r="V900" s="23">
        <f t="shared" si="4"/>
        <v>0</v>
      </c>
      <c r="W900" s="24" t="str">
        <f t="shared" si="5"/>
        <v>#DIV/0!</v>
      </c>
    </row>
    <row r="901">
      <c r="A901" s="15" t="s">
        <v>4099</v>
      </c>
      <c r="B901" s="15" t="s">
        <v>4100</v>
      </c>
      <c r="C901" s="15" t="s">
        <v>6379</v>
      </c>
      <c r="D901" s="15" t="s">
        <v>4101</v>
      </c>
      <c r="E901" s="17" t="s">
        <v>4102</v>
      </c>
      <c r="F901" s="18"/>
      <c r="G901" s="18"/>
      <c r="H901" s="15" t="s">
        <v>4103</v>
      </c>
      <c r="I901" s="18"/>
      <c r="J901" s="19" t="s">
        <v>59</v>
      </c>
      <c r="K901" s="19" t="s">
        <v>1230</v>
      </c>
      <c r="L901" s="19" t="s">
        <v>38</v>
      </c>
      <c r="M901" s="20">
        <f t="shared" si="1"/>
        <v>0</v>
      </c>
      <c r="N901" s="22"/>
      <c r="O901" s="19" t="s">
        <v>3578</v>
      </c>
      <c r="P901" s="18"/>
      <c r="Q901" s="18"/>
      <c r="R901" s="23">
        <v>0.0</v>
      </c>
      <c r="S901" s="23">
        <v>0.0</v>
      </c>
      <c r="T901" s="23">
        <f t="shared" si="2"/>
        <v>0</v>
      </c>
      <c r="U901" s="23">
        <f t="shared" si="3"/>
        <v>0</v>
      </c>
      <c r="V901" s="23">
        <f t="shared" si="4"/>
        <v>0</v>
      </c>
      <c r="W901" s="24" t="str">
        <f t="shared" si="5"/>
        <v>#DIV/0!</v>
      </c>
    </row>
    <row r="902" hidden="1">
      <c r="A902" s="15" t="s">
        <v>2528</v>
      </c>
      <c r="B902" s="18"/>
      <c r="C902" s="15" t="s">
        <v>7406</v>
      </c>
      <c r="D902" s="18"/>
      <c r="E902" s="17" t="s">
        <v>2529</v>
      </c>
      <c r="F902" s="18"/>
      <c r="G902" s="18"/>
      <c r="H902" s="15" t="s">
        <v>2530</v>
      </c>
      <c r="I902" s="15" t="s">
        <v>2531</v>
      </c>
      <c r="J902" s="19" t="s">
        <v>36</v>
      </c>
      <c r="K902" s="19" t="s">
        <v>691</v>
      </c>
      <c r="L902" s="19" t="s">
        <v>38</v>
      </c>
      <c r="M902" s="20">
        <f t="shared" si="1"/>
        <v>0</v>
      </c>
      <c r="N902" s="22"/>
      <c r="O902" s="19" t="s">
        <v>1145</v>
      </c>
      <c r="P902" s="18"/>
      <c r="Q902" s="18"/>
      <c r="R902" s="23">
        <v>0.0</v>
      </c>
      <c r="S902" s="23">
        <v>0.0</v>
      </c>
      <c r="T902" s="23">
        <f t="shared" si="2"/>
        <v>0</v>
      </c>
      <c r="U902" s="23">
        <f t="shared" si="3"/>
        <v>0</v>
      </c>
      <c r="V902" s="23">
        <f t="shared" si="4"/>
        <v>0</v>
      </c>
      <c r="W902" s="24" t="str">
        <f t="shared" si="5"/>
        <v>#DIV/0!</v>
      </c>
    </row>
    <row r="903" hidden="1">
      <c r="A903" s="15" t="s">
        <v>7407</v>
      </c>
      <c r="B903" s="18"/>
      <c r="C903" s="15" t="s">
        <v>7408</v>
      </c>
      <c r="D903" s="18"/>
      <c r="E903" s="17" t="s">
        <v>7409</v>
      </c>
      <c r="F903" s="18"/>
      <c r="G903" s="18"/>
      <c r="H903" s="15" t="s">
        <v>7410</v>
      </c>
      <c r="I903" s="15" t="s">
        <v>7411</v>
      </c>
      <c r="J903" s="19" t="s">
        <v>36</v>
      </c>
      <c r="K903" s="19" t="s">
        <v>2396</v>
      </c>
      <c r="L903" s="19" t="s">
        <v>38</v>
      </c>
      <c r="M903" s="20">
        <f t="shared" si="1"/>
        <v>0</v>
      </c>
      <c r="N903" s="22"/>
      <c r="O903" s="19" t="s">
        <v>39</v>
      </c>
      <c r="P903" s="18"/>
      <c r="Q903" s="18"/>
      <c r="R903" s="23">
        <v>0.0</v>
      </c>
      <c r="S903" s="23">
        <v>0.0</v>
      </c>
      <c r="T903" s="23">
        <f t="shared" si="2"/>
        <v>0</v>
      </c>
      <c r="U903" s="23">
        <f t="shared" si="3"/>
        <v>0</v>
      </c>
      <c r="V903" s="23">
        <f t="shared" si="4"/>
        <v>0</v>
      </c>
      <c r="W903" s="24" t="str">
        <f t="shared" si="5"/>
        <v>#DIV/0!</v>
      </c>
    </row>
    <row r="904" hidden="1">
      <c r="A904" s="15" t="s">
        <v>7412</v>
      </c>
      <c r="B904" s="18"/>
      <c r="C904" s="15" t="s">
        <v>7413</v>
      </c>
      <c r="D904" s="18"/>
      <c r="E904" s="17" t="s">
        <v>7414</v>
      </c>
      <c r="F904" s="18"/>
      <c r="G904" s="18"/>
      <c r="H904" s="15" t="s">
        <v>7415</v>
      </c>
      <c r="I904" s="15" t="s">
        <v>4461</v>
      </c>
      <c r="J904" s="19" t="s">
        <v>36</v>
      </c>
      <c r="K904" s="19" t="s">
        <v>2519</v>
      </c>
      <c r="L904" s="19" t="s">
        <v>38</v>
      </c>
      <c r="M904" s="20">
        <f t="shared" si="1"/>
        <v>0</v>
      </c>
      <c r="N904" s="22"/>
      <c r="O904" s="19" t="s">
        <v>1145</v>
      </c>
      <c r="P904" s="18"/>
      <c r="Q904" s="18"/>
      <c r="R904" s="23">
        <v>0.0</v>
      </c>
      <c r="S904" s="23">
        <v>0.0</v>
      </c>
      <c r="T904" s="23">
        <f t="shared" si="2"/>
        <v>0</v>
      </c>
      <c r="U904" s="23">
        <f t="shared" si="3"/>
        <v>0</v>
      </c>
      <c r="V904" s="23">
        <f t="shared" si="4"/>
        <v>0</v>
      </c>
      <c r="W904" s="24" t="str">
        <f t="shared" si="5"/>
        <v>#DIV/0!</v>
      </c>
    </row>
    <row r="905" hidden="1">
      <c r="A905" s="15" t="s">
        <v>2532</v>
      </c>
      <c r="B905" s="18"/>
      <c r="C905" s="15" t="s">
        <v>7416</v>
      </c>
      <c r="D905" s="18"/>
      <c r="E905" s="17" t="s">
        <v>2533</v>
      </c>
      <c r="F905" s="18"/>
      <c r="G905" s="18"/>
      <c r="H905" s="15" t="s">
        <v>2534</v>
      </c>
      <c r="I905" s="15" t="s">
        <v>2535</v>
      </c>
      <c r="J905" s="19" t="s">
        <v>36</v>
      </c>
      <c r="K905" s="19" t="s">
        <v>2387</v>
      </c>
      <c r="L905" s="19" t="s">
        <v>38</v>
      </c>
      <c r="M905" s="20">
        <f t="shared" si="1"/>
        <v>0</v>
      </c>
      <c r="N905" s="22"/>
      <c r="O905" s="19" t="s">
        <v>1145</v>
      </c>
      <c r="P905" s="18"/>
      <c r="Q905" s="18"/>
      <c r="R905" s="23">
        <v>0.0</v>
      </c>
      <c r="S905" s="23">
        <v>0.0</v>
      </c>
      <c r="T905" s="23">
        <f t="shared" si="2"/>
        <v>0</v>
      </c>
      <c r="U905" s="23">
        <f t="shared" si="3"/>
        <v>0</v>
      </c>
      <c r="V905" s="23">
        <f t="shared" si="4"/>
        <v>0</v>
      </c>
      <c r="W905" s="24" t="str">
        <f t="shared" si="5"/>
        <v>#DIV/0!</v>
      </c>
    </row>
    <row r="906" hidden="1">
      <c r="A906" s="15" t="s">
        <v>2536</v>
      </c>
      <c r="B906" s="18"/>
      <c r="C906" s="15" t="s">
        <v>7417</v>
      </c>
      <c r="D906" s="18"/>
      <c r="E906" s="17" t="s">
        <v>2537</v>
      </c>
      <c r="F906" s="18"/>
      <c r="G906" s="18"/>
      <c r="H906" s="15" t="s">
        <v>2538</v>
      </c>
      <c r="I906" s="15" t="s">
        <v>2539</v>
      </c>
      <c r="J906" s="19" t="s">
        <v>36</v>
      </c>
      <c r="K906" s="19" t="s">
        <v>2387</v>
      </c>
      <c r="L906" s="19" t="s">
        <v>38</v>
      </c>
      <c r="M906" s="20">
        <f t="shared" si="1"/>
        <v>0</v>
      </c>
      <c r="N906" s="22"/>
      <c r="O906" s="19" t="s">
        <v>1145</v>
      </c>
      <c r="P906" s="18"/>
      <c r="Q906" s="18"/>
      <c r="R906" s="23">
        <v>0.0</v>
      </c>
      <c r="S906" s="23">
        <v>0.0</v>
      </c>
      <c r="T906" s="23">
        <f t="shared" si="2"/>
        <v>0</v>
      </c>
      <c r="U906" s="23">
        <f t="shared" si="3"/>
        <v>0</v>
      </c>
      <c r="V906" s="23">
        <f t="shared" si="4"/>
        <v>0</v>
      </c>
      <c r="W906" s="24" t="str">
        <f t="shared" si="5"/>
        <v>#DIV/0!</v>
      </c>
    </row>
    <row r="907" hidden="1">
      <c r="A907" s="15" t="s">
        <v>2540</v>
      </c>
      <c r="B907" s="18"/>
      <c r="C907" s="15" t="s">
        <v>7418</v>
      </c>
      <c r="D907" s="18"/>
      <c r="E907" s="17" t="s">
        <v>2541</v>
      </c>
      <c r="F907" s="18"/>
      <c r="G907" s="18"/>
      <c r="H907" s="15" t="s">
        <v>2542</v>
      </c>
      <c r="I907" s="15" t="s">
        <v>2543</v>
      </c>
      <c r="J907" s="19" t="s">
        <v>36</v>
      </c>
      <c r="K907" s="19" t="s">
        <v>2387</v>
      </c>
      <c r="L907" s="19" t="s">
        <v>38</v>
      </c>
      <c r="M907" s="20">
        <f t="shared" si="1"/>
        <v>0</v>
      </c>
      <c r="N907" s="22"/>
      <c r="O907" s="19" t="s">
        <v>1145</v>
      </c>
      <c r="P907" s="18"/>
      <c r="Q907" s="18"/>
      <c r="R907" s="23">
        <v>0.0</v>
      </c>
      <c r="S907" s="23">
        <v>0.0</v>
      </c>
      <c r="T907" s="23">
        <f t="shared" si="2"/>
        <v>0</v>
      </c>
      <c r="U907" s="23">
        <f t="shared" si="3"/>
        <v>0</v>
      </c>
      <c r="V907" s="23">
        <f t="shared" si="4"/>
        <v>0</v>
      </c>
      <c r="W907" s="24" t="str">
        <f t="shared" si="5"/>
        <v>#DIV/0!</v>
      </c>
    </row>
    <row r="908" hidden="1">
      <c r="A908" s="15" t="s">
        <v>2544</v>
      </c>
      <c r="B908" s="18"/>
      <c r="C908" s="15" t="s">
        <v>7419</v>
      </c>
      <c r="D908" s="18"/>
      <c r="E908" s="17" t="s">
        <v>2545</v>
      </c>
      <c r="F908" s="18"/>
      <c r="G908" s="18"/>
      <c r="H908" s="15" t="s">
        <v>2546</v>
      </c>
      <c r="I908" s="15" t="s">
        <v>2547</v>
      </c>
      <c r="J908" s="19" t="s">
        <v>36</v>
      </c>
      <c r="K908" s="19" t="s">
        <v>2387</v>
      </c>
      <c r="L908" s="19" t="s">
        <v>38</v>
      </c>
      <c r="M908" s="20">
        <f t="shared" si="1"/>
        <v>0</v>
      </c>
      <c r="N908" s="22"/>
      <c r="O908" s="19" t="s">
        <v>1145</v>
      </c>
      <c r="P908" s="18"/>
      <c r="Q908" s="18"/>
      <c r="R908" s="23">
        <v>0.0</v>
      </c>
      <c r="S908" s="23">
        <v>0.0</v>
      </c>
      <c r="T908" s="23">
        <f t="shared" si="2"/>
        <v>0</v>
      </c>
      <c r="U908" s="23">
        <f t="shared" si="3"/>
        <v>0</v>
      </c>
      <c r="V908" s="23">
        <f t="shared" si="4"/>
        <v>0</v>
      </c>
      <c r="W908" s="24" t="str">
        <f t="shared" si="5"/>
        <v>#DIV/0!</v>
      </c>
    </row>
    <row r="909" hidden="1">
      <c r="A909" s="15" t="s">
        <v>2548</v>
      </c>
      <c r="B909" s="18"/>
      <c r="C909" s="15" t="s">
        <v>7420</v>
      </c>
      <c r="D909" s="18"/>
      <c r="E909" s="17" t="s">
        <v>2549</v>
      </c>
      <c r="F909" s="18"/>
      <c r="G909" s="18"/>
      <c r="H909" s="15" t="s">
        <v>2550</v>
      </c>
      <c r="I909" s="15" t="s">
        <v>2551</v>
      </c>
      <c r="J909" s="19" t="s">
        <v>36</v>
      </c>
      <c r="K909" s="19" t="s">
        <v>2387</v>
      </c>
      <c r="L909" s="19" t="s">
        <v>38</v>
      </c>
      <c r="M909" s="20">
        <f t="shared" si="1"/>
        <v>0</v>
      </c>
      <c r="N909" s="22"/>
      <c r="O909" s="19" t="s">
        <v>1145</v>
      </c>
      <c r="P909" s="18"/>
      <c r="Q909" s="18"/>
      <c r="R909" s="23">
        <v>0.0</v>
      </c>
      <c r="S909" s="23">
        <v>0.0</v>
      </c>
      <c r="T909" s="23">
        <f t="shared" si="2"/>
        <v>0</v>
      </c>
      <c r="U909" s="23">
        <f t="shared" si="3"/>
        <v>0</v>
      </c>
      <c r="V909" s="23">
        <f t="shared" si="4"/>
        <v>0</v>
      </c>
      <c r="W909" s="24" t="str">
        <f t="shared" si="5"/>
        <v>#DIV/0!</v>
      </c>
    </row>
    <row r="910" hidden="1">
      <c r="A910" s="15" t="s">
        <v>2552</v>
      </c>
      <c r="B910" s="18"/>
      <c r="C910" s="15" t="s">
        <v>7421</v>
      </c>
      <c r="D910" s="18"/>
      <c r="E910" s="17" t="s">
        <v>2553</v>
      </c>
      <c r="F910" s="18"/>
      <c r="G910" s="18"/>
      <c r="H910" s="15" t="s">
        <v>2554</v>
      </c>
      <c r="I910" s="15" t="s">
        <v>2555</v>
      </c>
      <c r="J910" s="19" t="s">
        <v>36</v>
      </c>
      <c r="K910" s="19" t="s">
        <v>2387</v>
      </c>
      <c r="L910" s="19" t="s">
        <v>38</v>
      </c>
      <c r="M910" s="20">
        <f t="shared" si="1"/>
        <v>0</v>
      </c>
      <c r="N910" s="22"/>
      <c r="O910" s="19" t="s">
        <v>1145</v>
      </c>
      <c r="P910" s="18"/>
      <c r="Q910" s="18"/>
      <c r="R910" s="23">
        <v>0.0</v>
      </c>
      <c r="S910" s="23">
        <v>0.0</v>
      </c>
      <c r="T910" s="23">
        <f t="shared" si="2"/>
        <v>0</v>
      </c>
      <c r="U910" s="23">
        <f t="shared" si="3"/>
        <v>0</v>
      </c>
      <c r="V910" s="23">
        <f t="shared" si="4"/>
        <v>0</v>
      </c>
      <c r="W910" s="24" t="str">
        <f t="shared" si="5"/>
        <v>#DIV/0!</v>
      </c>
    </row>
    <row r="911" hidden="1">
      <c r="A911" s="15" t="s">
        <v>2556</v>
      </c>
      <c r="B911" s="18"/>
      <c r="C911" s="15" t="s">
        <v>7422</v>
      </c>
      <c r="D911" s="18"/>
      <c r="E911" s="17" t="s">
        <v>2557</v>
      </c>
      <c r="F911" s="18"/>
      <c r="G911" s="18"/>
      <c r="H911" s="15" t="s">
        <v>2558</v>
      </c>
      <c r="I911" s="15" t="s">
        <v>2559</v>
      </c>
      <c r="J911" s="19" t="s">
        <v>36</v>
      </c>
      <c r="K911" s="19" t="s">
        <v>2387</v>
      </c>
      <c r="L911" s="19" t="s">
        <v>38</v>
      </c>
      <c r="M911" s="20">
        <f t="shared" si="1"/>
        <v>0</v>
      </c>
      <c r="N911" s="22"/>
      <c r="O911" s="19" t="s">
        <v>1145</v>
      </c>
      <c r="P911" s="18"/>
      <c r="Q911" s="18"/>
      <c r="R911" s="23">
        <v>0.0</v>
      </c>
      <c r="S911" s="23">
        <v>0.0</v>
      </c>
      <c r="T911" s="23">
        <f t="shared" si="2"/>
        <v>0</v>
      </c>
      <c r="U911" s="23">
        <f t="shared" si="3"/>
        <v>0</v>
      </c>
      <c r="V911" s="23">
        <f t="shared" si="4"/>
        <v>0</v>
      </c>
      <c r="W911" s="24" t="str">
        <f t="shared" si="5"/>
        <v>#DIV/0!</v>
      </c>
    </row>
    <row r="912" hidden="1">
      <c r="A912" s="15" t="s">
        <v>2560</v>
      </c>
      <c r="B912" s="18"/>
      <c r="C912" s="15" t="s">
        <v>7423</v>
      </c>
      <c r="D912" s="18"/>
      <c r="E912" s="17" t="s">
        <v>2557</v>
      </c>
      <c r="F912" s="18"/>
      <c r="G912" s="18"/>
      <c r="H912" s="15" t="s">
        <v>2561</v>
      </c>
      <c r="I912" s="15" t="s">
        <v>2562</v>
      </c>
      <c r="J912" s="19" t="s">
        <v>36</v>
      </c>
      <c r="K912" s="19" t="s">
        <v>2387</v>
      </c>
      <c r="L912" s="19" t="s">
        <v>38</v>
      </c>
      <c r="M912" s="20">
        <f t="shared" si="1"/>
        <v>0</v>
      </c>
      <c r="N912" s="22"/>
      <c r="O912" s="19" t="s">
        <v>1145</v>
      </c>
      <c r="P912" s="18"/>
      <c r="Q912" s="18"/>
      <c r="R912" s="23">
        <v>0.0</v>
      </c>
      <c r="S912" s="23">
        <v>0.0</v>
      </c>
      <c r="T912" s="23">
        <f t="shared" si="2"/>
        <v>0</v>
      </c>
      <c r="U912" s="23">
        <f t="shared" si="3"/>
        <v>0</v>
      </c>
      <c r="V912" s="23">
        <f t="shared" si="4"/>
        <v>0</v>
      </c>
      <c r="W912" s="24" t="str">
        <f t="shared" si="5"/>
        <v>#DIV/0!</v>
      </c>
    </row>
    <row r="913" hidden="1">
      <c r="A913" s="15" t="s">
        <v>2563</v>
      </c>
      <c r="B913" s="18"/>
      <c r="C913" s="15" t="s">
        <v>7424</v>
      </c>
      <c r="D913" s="18"/>
      <c r="E913" s="17" t="s">
        <v>2564</v>
      </c>
      <c r="F913" s="18"/>
      <c r="G913" s="18"/>
      <c r="H913" s="15" t="s">
        <v>2565</v>
      </c>
      <c r="I913" s="15" t="s">
        <v>2566</v>
      </c>
      <c r="J913" s="19" t="s">
        <v>36</v>
      </c>
      <c r="K913" s="19" t="s">
        <v>2387</v>
      </c>
      <c r="L913" s="19" t="s">
        <v>38</v>
      </c>
      <c r="M913" s="20">
        <f t="shared" si="1"/>
        <v>0</v>
      </c>
      <c r="N913" s="22"/>
      <c r="O913" s="19" t="s">
        <v>1145</v>
      </c>
      <c r="P913" s="18"/>
      <c r="Q913" s="18"/>
      <c r="R913" s="23">
        <v>0.0</v>
      </c>
      <c r="S913" s="23">
        <v>0.0</v>
      </c>
      <c r="T913" s="23">
        <f t="shared" si="2"/>
        <v>0</v>
      </c>
      <c r="U913" s="23">
        <f t="shared" si="3"/>
        <v>0</v>
      </c>
      <c r="V913" s="23">
        <f t="shared" si="4"/>
        <v>0</v>
      </c>
      <c r="W913" s="24" t="str">
        <f t="shared" si="5"/>
        <v>#DIV/0!</v>
      </c>
    </row>
    <row r="914" hidden="1">
      <c r="A914" s="15" t="s">
        <v>2567</v>
      </c>
      <c r="B914" s="18"/>
      <c r="C914" s="15" t="s">
        <v>7425</v>
      </c>
      <c r="D914" s="18"/>
      <c r="E914" s="17" t="s">
        <v>2568</v>
      </c>
      <c r="F914" s="18"/>
      <c r="G914" s="18"/>
      <c r="H914" s="15" t="s">
        <v>2569</v>
      </c>
      <c r="I914" s="15" t="s">
        <v>2570</v>
      </c>
      <c r="J914" s="19" t="s">
        <v>36</v>
      </c>
      <c r="K914" s="19" t="s">
        <v>2387</v>
      </c>
      <c r="L914" s="19" t="s">
        <v>38</v>
      </c>
      <c r="M914" s="20">
        <f t="shared" si="1"/>
        <v>0</v>
      </c>
      <c r="N914" s="22"/>
      <c r="O914" s="19" t="s">
        <v>1145</v>
      </c>
      <c r="P914" s="18"/>
      <c r="Q914" s="18"/>
      <c r="R914" s="23">
        <v>0.0</v>
      </c>
      <c r="S914" s="23">
        <v>0.0</v>
      </c>
      <c r="T914" s="23">
        <f t="shared" si="2"/>
        <v>0</v>
      </c>
      <c r="U914" s="23">
        <f t="shared" si="3"/>
        <v>0</v>
      </c>
      <c r="V914" s="23">
        <f t="shared" si="4"/>
        <v>0</v>
      </c>
      <c r="W914" s="24" t="str">
        <f t="shared" si="5"/>
        <v>#DIV/0!</v>
      </c>
    </row>
    <row r="915" hidden="1">
      <c r="A915" s="15" t="s">
        <v>2571</v>
      </c>
      <c r="B915" s="18"/>
      <c r="C915" s="15" t="s">
        <v>7426</v>
      </c>
      <c r="D915" s="18"/>
      <c r="E915" s="17" t="s">
        <v>2572</v>
      </c>
      <c r="F915" s="18"/>
      <c r="G915" s="18"/>
      <c r="H915" s="15" t="s">
        <v>2573</v>
      </c>
      <c r="I915" s="15" t="s">
        <v>2574</v>
      </c>
      <c r="J915" s="19" t="s">
        <v>36</v>
      </c>
      <c r="K915" s="19" t="s">
        <v>2387</v>
      </c>
      <c r="L915" s="19" t="s">
        <v>38</v>
      </c>
      <c r="M915" s="20">
        <f t="shared" si="1"/>
        <v>0</v>
      </c>
      <c r="N915" s="22"/>
      <c r="O915" s="19" t="s">
        <v>1145</v>
      </c>
      <c r="P915" s="18"/>
      <c r="Q915" s="18"/>
      <c r="R915" s="23">
        <v>0.0</v>
      </c>
      <c r="S915" s="23">
        <v>0.0</v>
      </c>
      <c r="T915" s="23">
        <f t="shared" si="2"/>
        <v>0</v>
      </c>
      <c r="U915" s="23">
        <f t="shared" si="3"/>
        <v>0</v>
      </c>
      <c r="V915" s="23">
        <f t="shared" si="4"/>
        <v>0</v>
      </c>
      <c r="W915" s="24" t="str">
        <f t="shared" si="5"/>
        <v>#DIV/0!</v>
      </c>
    </row>
    <row r="916" hidden="1">
      <c r="A916" s="15" t="s">
        <v>7427</v>
      </c>
      <c r="B916" s="15" t="s">
        <v>7428</v>
      </c>
      <c r="C916" s="15" t="s">
        <v>7429</v>
      </c>
      <c r="D916" s="18"/>
      <c r="E916" s="17" t="s">
        <v>7430</v>
      </c>
      <c r="F916" s="18"/>
      <c r="G916" s="18"/>
      <c r="H916" s="15" t="s">
        <v>7431</v>
      </c>
      <c r="I916" s="15" t="s">
        <v>7432</v>
      </c>
      <c r="J916" s="19" t="s">
        <v>36</v>
      </c>
      <c r="K916" s="19" t="s">
        <v>2387</v>
      </c>
      <c r="L916" s="19" t="s">
        <v>38</v>
      </c>
      <c r="M916" s="20">
        <f t="shared" si="1"/>
        <v>0</v>
      </c>
      <c r="N916" s="22"/>
      <c r="O916" s="19" t="s">
        <v>39</v>
      </c>
      <c r="P916" s="18"/>
      <c r="Q916" s="18"/>
      <c r="R916" s="23">
        <v>0.0</v>
      </c>
      <c r="S916" s="23">
        <v>0.0</v>
      </c>
      <c r="T916" s="23">
        <f t="shared" si="2"/>
        <v>0</v>
      </c>
      <c r="U916" s="23">
        <f t="shared" si="3"/>
        <v>0</v>
      </c>
      <c r="V916" s="23">
        <f t="shared" si="4"/>
        <v>0</v>
      </c>
      <c r="W916" s="24" t="str">
        <f t="shared" si="5"/>
        <v>#DIV/0!</v>
      </c>
    </row>
    <row r="917">
      <c r="A917" s="15" t="s">
        <v>4119</v>
      </c>
      <c r="B917" s="15" t="s">
        <v>4120</v>
      </c>
      <c r="C917" s="15" t="s">
        <v>6390</v>
      </c>
      <c r="D917" s="15" t="s">
        <v>4121</v>
      </c>
      <c r="E917" s="17" t="s">
        <v>4122</v>
      </c>
      <c r="F917" s="18"/>
      <c r="G917" s="18"/>
      <c r="H917" s="15" t="s">
        <v>4123</v>
      </c>
      <c r="I917" s="18"/>
      <c r="J917" s="19" t="s">
        <v>59</v>
      </c>
      <c r="K917" s="19" t="s">
        <v>1269</v>
      </c>
      <c r="L917" s="19" t="s">
        <v>38</v>
      </c>
      <c r="M917" s="20">
        <f t="shared" si="1"/>
        <v>0</v>
      </c>
      <c r="N917" s="22"/>
      <c r="O917" s="19" t="s">
        <v>3578</v>
      </c>
      <c r="P917" s="18"/>
      <c r="Q917" s="18"/>
      <c r="R917" s="23">
        <v>0.0</v>
      </c>
      <c r="S917" s="23">
        <v>0.0</v>
      </c>
      <c r="T917" s="23">
        <f t="shared" si="2"/>
        <v>0</v>
      </c>
      <c r="U917" s="23">
        <f t="shared" si="3"/>
        <v>0</v>
      </c>
      <c r="V917" s="23">
        <f t="shared" si="4"/>
        <v>0</v>
      </c>
      <c r="W917" s="24" t="str">
        <f t="shared" si="5"/>
        <v>#DIV/0!</v>
      </c>
    </row>
    <row r="918">
      <c r="A918" s="15" t="s">
        <v>4124</v>
      </c>
      <c r="B918" s="15" t="s">
        <v>4125</v>
      </c>
      <c r="C918" s="15" t="s">
        <v>6391</v>
      </c>
      <c r="D918" s="15" t="s">
        <v>4126</v>
      </c>
      <c r="E918" s="17" t="s">
        <v>4127</v>
      </c>
      <c r="F918" s="18"/>
      <c r="G918" s="18"/>
      <c r="H918" s="15" t="s">
        <v>4128</v>
      </c>
      <c r="I918" s="18"/>
      <c r="J918" s="19" t="s">
        <v>59</v>
      </c>
      <c r="K918" s="19" t="s">
        <v>1269</v>
      </c>
      <c r="L918" s="19" t="s">
        <v>38</v>
      </c>
      <c r="M918" s="20">
        <f t="shared" si="1"/>
        <v>0</v>
      </c>
      <c r="N918" s="22"/>
      <c r="O918" s="19" t="s">
        <v>3578</v>
      </c>
      <c r="P918" s="18"/>
      <c r="Q918" s="18"/>
      <c r="R918" s="23">
        <v>0.0</v>
      </c>
      <c r="S918" s="23">
        <v>0.0</v>
      </c>
      <c r="T918" s="23">
        <f t="shared" si="2"/>
        <v>0</v>
      </c>
      <c r="U918" s="23">
        <f t="shared" si="3"/>
        <v>0</v>
      </c>
      <c r="V918" s="23">
        <f t="shared" si="4"/>
        <v>0</v>
      </c>
      <c r="W918" s="24" t="str">
        <f t="shared" si="5"/>
        <v>#DIV/0!</v>
      </c>
    </row>
    <row r="919">
      <c r="A919" s="15" t="s">
        <v>4129</v>
      </c>
      <c r="B919" s="15" t="s">
        <v>4130</v>
      </c>
      <c r="C919" s="15" t="s">
        <v>6392</v>
      </c>
      <c r="D919" s="15" t="s">
        <v>4131</v>
      </c>
      <c r="E919" s="17" t="s">
        <v>4132</v>
      </c>
      <c r="F919" s="18"/>
      <c r="G919" s="18"/>
      <c r="H919" s="15" t="s">
        <v>4133</v>
      </c>
      <c r="I919" s="18"/>
      <c r="J919" s="19" t="s">
        <v>59</v>
      </c>
      <c r="K919" s="19" t="s">
        <v>1269</v>
      </c>
      <c r="L919" s="19" t="s">
        <v>38</v>
      </c>
      <c r="M919" s="20">
        <f t="shared" si="1"/>
        <v>0</v>
      </c>
      <c r="N919" s="22"/>
      <c r="O919" s="19" t="s">
        <v>3578</v>
      </c>
      <c r="P919" s="18"/>
      <c r="Q919" s="18"/>
      <c r="R919" s="23">
        <v>0.0</v>
      </c>
      <c r="S919" s="23">
        <v>0.0</v>
      </c>
      <c r="T919" s="23">
        <f t="shared" si="2"/>
        <v>0</v>
      </c>
      <c r="U919" s="23">
        <f t="shared" si="3"/>
        <v>0</v>
      </c>
      <c r="V919" s="23">
        <f t="shared" si="4"/>
        <v>0</v>
      </c>
      <c r="W919" s="24" t="str">
        <f t="shared" si="5"/>
        <v>#DIV/0!</v>
      </c>
    </row>
    <row r="920">
      <c r="A920" s="15" t="s">
        <v>4134</v>
      </c>
      <c r="B920" s="15" t="s">
        <v>4135</v>
      </c>
      <c r="C920" s="15" t="s">
        <v>6393</v>
      </c>
      <c r="D920" s="15" t="s">
        <v>4136</v>
      </c>
      <c r="E920" s="17" t="s">
        <v>4137</v>
      </c>
      <c r="F920" s="18"/>
      <c r="G920" s="18"/>
      <c r="H920" s="15" t="s">
        <v>4138</v>
      </c>
      <c r="I920" s="18"/>
      <c r="J920" s="19" t="s">
        <v>59</v>
      </c>
      <c r="K920" s="19" t="s">
        <v>1230</v>
      </c>
      <c r="L920" s="19" t="s">
        <v>38</v>
      </c>
      <c r="M920" s="20">
        <f t="shared" si="1"/>
        <v>0</v>
      </c>
      <c r="N920" s="22"/>
      <c r="O920" s="19" t="s">
        <v>3578</v>
      </c>
      <c r="P920" s="18"/>
      <c r="Q920" s="18"/>
      <c r="R920" s="23">
        <v>0.0</v>
      </c>
      <c r="S920" s="23">
        <v>0.0</v>
      </c>
      <c r="T920" s="23">
        <f t="shared" si="2"/>
        <v>0</v>
      </c>
      <c r="U920" s="23">
        <f t="shared" si="3"/>
        <v>0</v>
      </c>
      <c r="V920" s="23">
        <f t="shared" si="4"/>
        <v>0</v>
      </c>
      <c r="W920" s="24" t="str">
        <f t="shared" si="5"/>
        <v>#DIV/0!</v>
      </c>
    </row>
    <row r="921" hidden="1">
      <c r="A921" s="15" t="s">
        <v>5033</v>
      </c>
      <c r="B921" s="18"/>
      <c r="C921" s="15" t="s">
        <v>7434</v>
      </c>
      <c r="D921" s="18"/>
      <c r="E921" s="17" t="s">
        <v>7435</v>
      </c>
      <c r="F921" s="18"/>
      <c r="G921" s="18"/>
      <c r="H921" s="15" t="s">
        <v>7436</v>
      </c>
      <c r="I921" s="15" t="s">
        <v>5036</v>
      </c>
      <c r="J921" s="19" t="s">
        <v>36</v>
      </c>
      <c r="K921" s="19" t="s">
        <v>2506</v>
      </c>
      <c r="L921" s="19" t="s">
        <v>38</v>
      </c>
      <c r="M921" s="20">
        <f t="shared" si="1"/>
        <v>0</v>
      </c>
      <c r="N921" s="22"/>
      <c r="O921" s="19" t="s">
        <v>1145</v>
      </c>
      <c r="P921" s="18"/>
      <c r="Q921" s="18"/>
      <c r="R921" s="23">
        <v>0.0</v>
      </c>
      <c r="S921" s="23">
        <v>0.0</v>
      </c>
      <c r="T921" s="23">
        <f t="shared" si="2"/>
        <v>0</v>
      </c>
      <c r="U921" s="23">
        <f t="shared" si="3"/>
        <v>0</v>
      </c>
      <c r="V921" s="23">
        <f t="shared" si="4"/>
        <v>0</v>
      </c>
      <c r="W921" s="24" t="str">
        <f t="shared" si="5"/>
        <v>#DIV/0!</v>
      </c>
    </row>
    <row r="922" hidden="1">
      <c r="A922" s="15" t="s">
        <v>2575</v>
      </c>
      <c r="B922" s="18"/>
      <c r="C922" s="15" t="s">
        <v>7437</v>
      </c>
      <c r="D922" s="18"/>
      <c r="E922" s="17" t="s">
        <v>2576</v>
      </c>
      <c r="F922" s="18"/>
      <c r="G922" s="18"/>
      <c r="H922" s="15" t="s">
        <v>2577</v>
      </c>
      <c r="I922" s="15" t="s">
        <v>2578</v>
      </c>
      <c r="J922" s="19" t="s">
        <v>36</v>
      </c>
      <c r="K922" s="19" t="s">
        <v>2387</v>
      </c>
      <c r="L922" s="19" t="s">
        <v>38</v>
      </c>
      <c r="M922" s="20">
        <f t="shared" si="1"/>
        <v>0</v>
      </c>
      <c r="N922" s="22"/>
      <c r="O922" s="19" t="s">
        <v>1145</v>
      </c>
      <c r="P922" s="18"/>
      <c r="Q922" s="18"/>
      <c r="R922" s="23">
        <v>0.0</v>
      </c>
      <c r="S922" s="23">
        <v>0.0</v>
      </c>
      <c r="T922" s="23">
        <f t="shared" si="2"/>
        <v>0</v>
      </c>
      <c r="U922" s="23">
        <f t="shared" si="3"/>
        <v>0</v>
      </c>
      <c r="V922" s="23">
        <f t="shared" si="4"/>
        <v>0</v>
      </c>
      <c r="W922" s="24" t="str">
        <f t="shared" si="5"/>
        <v>#DIV/0!</v>
      </c>
    </row>
    <row r="923">
      <c r="A923" s="15" t="s">
        <v>4139</v>
      </c>
      <c r="B923" s="15" t="s">
        <v>4140</v>
      </c>
      <c r="C923" s="15" t="s">
        <v>6394</v>
      </c>
      <c r="D923" s="15" t="s">
        <v>4141</v>
      </c>
      <c r="E923" s="17" t="s">
        <v>4142</v>
      </c>
      <c r="F923" s="18"/>
      <c r="G923" s="18"/>
      <c r="H923" s="15" t="s">
        <v>4143</v>
      </c>
      <c r="I923" s="15" t="s">
        <v>4144</v>
      </c>
      <c r="J923" s="19" t="s">
        <v>59</v>
      </c>
      <c r="K923" s="19" t="s">
        <v>60</v>
      </c>
      <c r="L923" s="19" t="s">
        <v>115</v>
      </c>
      <c r="M923" s="20">
        <f t="shared" si="1"/>
        <v>0</v>
      </c>
      <c r="N923" s="22"/>
      <c r="O923" s="19" t="s">
        <v>3578</v>
      </c>
      <c r="P923" s="18"/>
      <c r="Q923" s="18"/>
      <c r="R923" s="23">
        <v>0.0</v>
      </c>
      <c r="S923" s="23">
        <v>0.0</v>
      </c>
      <c r="T923" s="23">
        <f t="shared" si="2"/>
        <v>0</v>
      </c>
      <c r="U923" s="23">
        <f t="shared" si="3"/>
        <v>0</v>
      </c>
      <c r="V923" s="23">
        <f t="shared" si="4"/>
        <v>0</v>
      </c>
      <c r="W923" s="24" t="str">
        <f t="shared" si="5"/>
        <v>#DIV/0!</v>
      </c>
    </row>
    <row r="924">
      <c r="A924" s="15" t="s">
        <v>4145</v>
      </c>
      <c r="B924" s="15" t="s">
        <v>4146</v>
      </c>
      <c r="C924" s="15" t="s">
        <v>6395</v>
      </c>
      <c r="D924" s="15" t="s">
        <v>4147</v>
      </c>
      <c r="E924" s="17" t="s">
        <v>4148</v>
      </c>
      <c r="F924" s="18"/>
      <c r="G924" s="18"/>
      <c r="H924" s="15" t="s">
        <v>4149</v>
      </c>
      <c r="I924" s="18"/>
      <c r="J924" s="19" t="s">
        <v>59</v>
      </c>
      <c r="K924" s="19" t="s">
        <v>1230</v>
      </c>
      <c r="L924" s="19" t="s">
        <v>38</v>
      </c>
      <c r="M924" s="20">
        <f t="shared" si="1"/>
        <v>0</v>
      </c>
      <c r="N924" s="22"/>
      <c r="O924" s="19" t="s">
        <v>3578</v>
      </c>
      <c r="P924" s="18"/>
      <c r="Q924" s="18"/>
      <c r="R924" s="23">
        <v>0.0</v>
      </c>
      <c r="S924" s="23">
        <v>0.0</v>
      </c>
      <c r="T924" s="23">
        <f t="shared" si="2"/>
        <v>0</v>
      </c>
      <c r="U924" s="23">
        <f t="shared" si="3"/>
        <v>0</v>
      </c>
      <c r="V924" s="23">
        <f t="shared" si="4"/>
        <v>0</v>
      </c>
      <c r="W924" s="24" t="str">
        <f t="shared" si="5"/>
        <v>#DIV/0!</v>
      </c>
    </row>
    <row r="925" hidden="1">
      <c r="A925" s="15" t="s">
        <v>2579</v>
      </c>
      <c r="B925" s="18"/>
      <c r="C925" s="15" t="s">
        <v>7438</v>
      </c>
      <c r="D925" s="18"/>
      <c r="E925" s="17" t="s">
        <v>2580</v>
      </c>
      <c r="F925" s="18"/>
      <c r="G925" s="18"/>
      <c r="H925" s="15" t="s">
        <v>2581</v>
      </c>
      <c r="I925" s="15" t="s">
        <v>2582</v>
      </c>
      <c r="J925" s="19" t="s">
        <v>36</v>
      </c>
      <c r="K925" s="19" t="s">
        <v>691</v>
      </c>
      <c r="L925" s="19" t="s">
        <v>38</v>
      </c>
      <c r="M925" s="20">
        <f t="shared" si="1"/>
        <v>0</v>
      </c>
      <c r="N925" s="22"/>
      <c r="O925" s="19" t="s">
        <v>1145</v>
      </c>
      <c r="P925" s="18"/>
      <c r="Q925" s="18"/>
      <c r="R925" s="23">
        <v>0.0</v>
      </c>
      <c r="S925" s="23">
        <v>0.0</v>
      </c>
      <c r="T925" s="23">
        <f t="shared" si="2"/>
        <v>0</v>
      </c>
      <c r="U925" s="23">
        <f t="shared" si="3"/>
        <v>0</v>
      </c>
      <c r="V925" s="23">
        <f t="shared" si="4"/>
        <v>0</v>
      </c>
      <c r="W925" s="24" t="str">
        <f t="shared" si="5"/>
        <v>#DIV/0!</v>
      </c>
    </row>
    <row r="926" hidden="1">
      <c r="A926" s="15" t="s">
        <v>2583</v>
      </c>
      <c r="B926" s="18"/>
      <c r="C926" s="15" t="s">
        <v>7439</v>
      </c>
      <c r="D926" s="18"/>
      <c r="E926" s="17" t="s">
        <v>2584</v>
      </c>
      <c r="F926" s="18"/>
      <c r="G926" s="18"/>
      <c r="H926" s="15" t="s">
        <v>2585</v>
      </c>
      <c r="I926" s="15" t="s">
        <v>2586</v>
      </c>
      <c r="J926" s="19" t="s">
        <v>36</v>
      </c>
      <c r="K926" s="19" t="s">
        <v>2401</v>
      </c>
      <c r="L926" s="19" t="s">
        <v>38</v>
      </c>
      <c r="M926" s="20">
        <f t="shared" si="1"/>
        <v>0</v>
      </c>
      <c r="N926" s="22"/>
      <c r="O926" s="19" t="s">
        <v>1145</v>
      </c>
      <c r="P926" s="18"/>
      <c r="Q926" s="18"/>
      <c r="R926" s="23">
        <v>0.0</v>
      </c>
      <c r="S926" s="23">
        <v>0.0</v>
      </c>
      <c r="T926" s="23">
        <f t="shared" si="2"/>
        <v>0</v>
      </c>
      <c r="U926" s="23">
        <f t="shared" si="3"/>
        <v>0</v>
      </c>
      <c r="V926" s="23">
        <f t="shared" si="4"/>
        <v>0</v>
      </c>
      <c r="W926" s="24" t="str">
        <f t="shared" si="5"/>
        <v>#DIV/0!</v>
      </c>
    </row>
    <row r="927" hidden="1">
      <c r="A927" s="15" t="s">
        <v>2587</v>
      </c>
      <c r="B927" s="18"/>
      <c r="C927" s="15" t="s">
        <v>7440</v>
      </c>
      <c r="D927" s="18"/>
      <c r="E927" s="17" t="s">
        <v>2588</v>
      </c>
      <c r="F927" s="18"/>
      <c r="G927" s="18"/>
      <c r="H927" s="15" t="s">
        <v>2589</v>
      </c>
      <c r="I927" s="15" t="s">
        <v>2590</v>
      </c>
      <c r="J927" s="19" t="s">
        <v>36</v>
      </c>
      <c r="K927" s="19" t="s">
        <v>2387</v>
      </c>
      <c r="L927" s="19" t="s">
        <v>38</v>
      </c>
      <c r="M927" s="20">
        <f t="shared" si="1"/>
        <v>0</v>
      </c>
      <c r="N927" s="22"/>
      <c r="O927" s="19" t="s">
        <v>1145</v>
      </c>
      <c r="P927" s="18"/>
      <c r="Q927" s="18"/>
      <c r="R927" s="23">
        <v>0.0</v>
      </c>
      <c r="S927" s="23">
        <v>0.0</v>
      </c>
      <c r="T927" s="23">
        <f t="shared" si="2"/>
        <v>0</v>
      </c>
      <c r="U927" s="23">
        <f t="shared" si="3"/>
        <v>0</v>
      </c>
      <c r="V927" s="23">
        <f t="shared" si="4"/>
        <v>0</v>
      </c>
      <c r="W927" s="24" t="str">
        <f t="shared" si="5"/>
        <v>#DIV/0!</v>
      </c>
    </row>
    <row r="928" hidden="1">
      <c r="A928" s="15" t="s">
        <v>5037</v>
      </c>
      <c r="B928" s="15" t="s">
        <v>5038</v>
      </c>
      <c r="C928" s="15" t="s">
        <v>7441</v>
      </c>
      <c r="D928" s="18"/>
      <c r="E928" s="17" t="s">
        <v>7442</v>
      </c>
      <c r="F928" s="18"/>
      <c r="G928" s="18"/>
      <c r="H928" s="15" t="s">
        <v>7443</v>
      </c>
      <c r="I928" s="18"/>
      <c r="J928" s="19" t="s">
        <v>36</v>
      </c>
      <c r="K928" s="33"/>
      <c r="L928" s="19" t="s">
        <v>38</v>
      </c>
      <c r="M928" s="20">
        <f t="shared" si="1"/>
        <v>0</v>
      </c>
      <c r="N928" s="22"/>
      <c r="O928" s="19" t="s">
        <v>1145</v>
      </c>
      <c r="P928" s="18"/>
      <c r="Q928" s="18"/>
      <c r="R928" s="23">
        <v>0.0</v>
      </c>
      <c r="S928" s="23">
        <v>0.0</v>
      </c>
      <c r="T928" s="23">
        <f t="shared" si="2"/>
        <v>0</v>
      </c>
      <c r="U928" s="23">
        <f t="shared" si="3"/>
        <v>0</v>
      </c>
      <c r="V928" s="23">
        <f t="shared" si="4"/>
        <v>0</v>
      </c>
      <c r="W928" s="24" t="str">
        <f t="shared" si="5"/>
        <v>#DIV/0!</v>
      </c>
    </row>
    <row r="929">
      <c r="A929" s="15" t="s">
        <v>4150</v>
      </c>
      <c r="B929" s="15" t="s">
        <v>4151</v>
      </c>
      <c r="C929" s="15" t="s">
        <v>6401</v>
      </c>
      <c r="D929" s="15" t="s">
        <v>4152</v>
      </c>
      <c r="E929" s="17" t="s">
        <v>4153</v>
      </c>
      <c r="F929" s="18"/>
      <c r="G929" s="18"/>
      <c r="H929" s="15" t="s">
        <v>4154</v>
      </c>
      <c r="I929" s="18"/>
      <c r="J929" s="19" t="s">
        <v>59</v>
      </c>
      <c r="K929" s="19" t="s">
        <v>37</v>
      </c>
      <c r="L929" s="19" t="s">
        <v>38</v>
      </c>
      <c r="M929" s="20">
        <f t="shared" si="1"/>
        <v>0</v>
      </c>
      <c r="N929" s="22"/>
      <c r="O929" s="19" t="s">
        <v>3578</v>
      </c>
      <c r="P929" s="18"/>
      <c r="Q929" s="18"/>
      <c r="R929" s="23">
        <v>0.0</v>
      </c>
      <c r="S929" s="23">
        <v>0.0</v>
      </c>
      <c r="T929" s="23">
        <f t="shared" si="2"/>
        <v>0</v>
      </c>
      <c r="U929" s="23">
        <f t="shared" si="3"/>
        <v>0</v>
      </c>
      <c r="V929" s="23">
        <f t="shared" si="4"/>
        <v>0</v>
      </c>
      <c r="W929" s="24" t="str">
        <f t="shared" si="5"/>
        <v>#DIV/0!</v>
      </c>
    </row>
    <row r="930">
      <c r="A930" s="15" t="s">
        <v>4155</v>
      </c>
      <c r="B930" s="15" t="s">
        <v>4156</v>
      </c>
      <c r="C930" s="15" t="s">
        <v>6402</v>
      </c>
      <c r="D930" s="15" t="s">
        <v>4157</v>
      </c>
      <c r="E930" s="17" t="s">
        <v>4158</v>
      </c>
      <c r="F930" s="18"/>
      <c r="G930" s="18"/>
      <c r="H930" s="15" t="s">
        <v>4159</v>
      </c>
      <c r="I930" s="18"/>
      <c r="J930" s="19" t="s">
        <v>59</v>
      </c>
      <c r="K930" s="19" t="s">
        <v>37</v>
      </c>
      <c r="L930" s="19" t="s">
        <v>38</v>
      </c>
      <c r="M930" s="20">
        <f t="shared" si="1"/>
        <v>0</v>
      </c>
      <c r="N930" s="22"/>
      <c r="O930" s="19" t="s">
        <v>3578</v>
      </c>
      <c r="P930" s="18"/>
      <c r="Q930" s="18"/>
      <c r="R930" s="23">
        <v>0.0</v>
      </c>
      <c r="S930" s="23">
        <v>0.0</v>
      </c>
      <c r="T930" s="23">
        <f t="shared" si="2"/>
        <v>0</v>
      </c>
      <c r="U930" s="23">
        <f t="shared" si="3"/>
        <v>0</v>
      </c>
      <c r="V930" s="23">
        <f t="shared" si="4"/>
        <v>0</v>
      </c>
      <c r="W930" s="24" t="str">
        <f t="shared" si="5"/>
        <v>#DIV/0!</v>
      </c>
    </row>
    <row r="931">
      <c r="A931" s="15" t="s">
        <v>4160</v>
      </c>
      <c r="B931" s="15" t="s">
        <v>4161</v>
      </c>
      <c r="C931" s="15" t="s">
        <v>6403</v>
      </c>
      <c r="D931" s="15" t="s">
        <v>6404</v>
      </c>
      <c r="E931" s="17" t="s">
        <v>4163</v>
      </c>
      <c r="F931" s="18"/>
      <c r="G931" s="18"/>
      <c r="H931" s="15" t="s">
        <v>4164</v>
      </c>
      <c r="I931" s="18"/>
      <c r="J931" s="19" t="s">
        <v>59</v>
      </c>
      <c r="K931" s="19" t="s">
        <v>37</v>
      </c>
      <c r="L931" s="19" t="s">
        <v>38</v>
      </c>
      <c r="M931" s="20">
        <f t="shared" si="1"/>
        <v>0</v>
      </c>
      <c r="N931" s="22"/>
      <c r="O931" s="19" t="s">
        <v>3578</v>
      </c>
      <c r="P931" s="18"/>
      <c r="Q931" s="18"/>
      <c r="R931" s="23">
        <v>0.0</v>
      </c>
      <c r="S931" s="23">
        <v>0.0</v>
      </c>
      <c r="T931" s="23">
        <f t="shared" si="2"/>
        <v>0</v>
      </c>
      <c r="U931" s="23">
        <f t="shared" si="3"/>
        <v>0</v>
      </c>
      <c r="V931" s="23">
        <f t="shared" si="4"/>
        <v>0</v>
      </c>
      <c r="W931" s="24" t="str">
        <f t="shared" si="5"/>
        <v>#DIV/0!</v>
      </c>
    </row>
    <row r="932">
      <c r="A932" s="15" t="s">
        <v>4165</v>
      </c>
      <c r="B932" s="15" t="s">
        <v>4166</v>
      </c>
      <c r="C932" s="15" t="s">
        <v>6405</v>
      </c>
      <c r="D932" s="15" t="s">
        <v>4167</v>
      </c>
      <c r="E932" s="17" t="s">
        <v>4168</v>
      </c>
      <c r="F932" s="18"/>
      <c r="G932" s="18"/>
      <c r="H932" s="15" t="s">
        <v>4169</v>
      </c>
      <c r="I932" s="18"/>
      <c r="J932" s="19" t="s">
        <v>59</v>
      </c>
      <c r="K932" s="19" t="s">
        <v>52</v>
      </c>
      <c r="L932" s="19" t="s">
        <v>115</v>
      </c>
      <c r="M932" s="20">
        <f t="shared" si="1"/>
        <v>0</v>
      </c>
      <c r="N932" s="22"/>
      <c r="O932" s="19" t="s">
        <v>3578</v>
      </c>
      <c r="P932" s="18"/>
      <c r="Q932" s="18"/>
      <c r="R932" s="23">
        <v>0.0</v>
      </c>
      <c r="S932" s="23">
        <v>0.0</v>
      </c>
      <c r="T932" s="23">
        <f t="shared" si="2"/>
        <v>0</v>
      </c>
      <c r="U932" s="23">
        <f t="shared" si="3"/>
        <v>0</v>
      </c>
      <c r="V932" s="23">
        <f t="shared" si="4"/>
        <v>0</v>
      </c>
      <c r="W932" s="24" t="str">
        <f t="shared" si="5"/>
        <v>#DIV/0!</v>
      </c>
    </row>
    <row r="933" hidden="1">
      <c r="A933" s="15" t="s">
        <v>2591</v>
      </c>
      <c r="B933" s="18"/>
      <c r="C933" s="15" t="s">
        <v>7447</v>
      </c>
      <c r="D933" s="18"/>
      <c r="E933" s="17" t="s">
        <v>2592</v>
      </c>
      <c r="F933" s="18"/>
      <c r="G933" s="18"/>
      <c r="H933" s="15" t="s">
        <v>2593</v>
      </c>
      <c r="I933" s="15" t="s">
        <v>2594</v>
      </c>
      <c r="J933" s="19" t="s">
        <v>36</v>
      </c>
      <c r="K933" s="19" t="s">
        <v>2506</v>
      </c>
      <c r="L933" s="19" t="s">
        <v>38</v>
      </c>
      <c r="M933" s="20">
        <f t="shared" si="1"/>
        <v>0</v>
      </c>
      <c r="N933" s="22"/>
      <c r="O933" s="19" t="s">
        <v>1145</v>
      </c>
      <c r="P933" s="18"/>
      <c r="Q933" s="18"/>
      <c r="R933" s="23">
        <v>0.0</v>
      </c>
      <c r="S933" s="23">
        <v>0.0</v>
      </c>
      <c r="T933" s="23">
        <f t="shared" si="2"/>
        <v>0</v>
      </c>
      <c r="U933" s="23">
        <f t="shared" si="3"/>
        <v>0</v>
      </c>
      <c r="V933" s="23">
        <f t="shared" si="4"/>
        <v>0</v>
      </c>
      <c r="W933" s="24" t="str">
        <f t="shared" si="5"/>
        <v>#DIV/0!</v>
      </c>
    </row>
    <row r="934" hidden="1">
      <c r="A934" s="15" t="s">
        <v>2595</v>
      </c>
      <c r="B934" s="18"/>
      <c r="C934" s="15" t="s">
        <v>7448</v>
      </c>
      <c r="D934" s="18"/>
      <c r="E934" s="17" t="s">
        <v>2596</v>
      </c>
      <c r="F934" s="18"/>
      <c r="G934" s="18"/>
      <c r="H934" s="15" t="s">
        <v>2597</v>
      </c>
      <c r="I934" s="15" t="s">
        <v>2598</v>
      </c>
      <c r="J934" s="19" t="s">
        <v>36</v>
      </c>
      <c r="K934" s="19" t="s">
        <v>2382</v>
      </c>
      <c r="L934" s="19" t="s">
        <v>38</v>
      </c>
      <c r="M934" s="20">
        <f t="shared" si="1"/>
        <v>0</v>
      </c>
      <c r="N934" s="22"/>
      <c r="O934" s="19" t="s">
        <v>1145</v>
      </c>
      <c r="P934" s="18"/>
      <c r="Q934" s="18"/>
      <c r="R934" s="23">
        <v>0.0</v>
      </c>
      <c r="S934" s="23">
        <v>0.0</v>
      </c>
      <c r="T934" s="23">
        <f t="shared" si="2"/>
        <v>0</v>
      </c>
      <c r="U934" s="23">
        <f t="shared" si="3"/>
        <v>0</v>
      </c>
      <c r="V934" s="23">
        <f t="shared" si="4"/>
        <v>0</v>
      </c>
      <c r="W934" s="24" t="str">
        <f t="shared" si="5"/>
        <v>#DIV/0!</v>
      </c>
    </row>
    <row r="935" hidden="1">
      <c r="A935" s="15" t="s">
        <v>2599</v>
      </c>
      <c r="B935" s="18"/>
      <c r="C935" s="15" t="s">
        <v>7449</v>
      </c>
      <c r="D935" s="18"/>
      <c r="E935" s="17" t="s">
        <v>2600</v>
      </c>
      <c r="F935" s="18"/>
      <c r="G935" s="18"/>
      <c r="H935" s="15" t="s">
        <v>2601</v>
      </c>
      <c r="I935" s="15" t="s">
        <v>2602</v>
      </c>
      <c r="J935" s="19" t="s">
        <v>36</v>
      </c>
      <c r="K935" s="19" t="s">
        <v>2382</v>
      </c>
      <c r="L935" s="19" t="s">
        <v>38</v>
      </c>
      <c r="M935" s="20">
        <f t="shared" si="1"/>
        <v>0</v>
      </c>
      <c r="N935" s="22"/>
      <c r="O935" s="19" t="s">
        <v>1145</v>
      </c>
      <c r="P935" s="18"/>
      <c r="Q935" s="18"/>
      <c r="R935" s="23">
        <v>0.0</v>
      </c>
      <c r="S935" s="23">
        <v>0.0</v>
      </c>
      <c r="T935" s="23">
        <f t="shared" si="2"/>
        <v>0</v>
      </c>
      <c r="U935" s="23">
        <f t="shared" si="3"/>
        <v>0</v>
      </c>
      <c r="V935" s="23">
        <f t="shared" si="4"/>
        <v>0</v>
      </c>
      <c r="W935" s="24" t="str">
        <f t="shared" si="5"/>
        <v>#DIV/0!</v>
      </c>
    </row>
    <row r="936" hidden="1">
      <c r="A936" s="15" t="s">
        <v>2603</v>
      </c>
      <c r="B936" s="18"/>
      <c r="C936" s="15" t="s">
        <v>7450</v>
      </c>
      <c r="D936" s="18"/>
      <c r="E936" s="17" t="s">
        <v>2604</v>
      </c>
      <c r="F936" s="18"/>
      <c r="G936" s="18"/>
      <c r="H936" s="15" t="s">
        <v>2605</v>
      </c>
      <c r="I936" s="15" t="s">
        <v>2606</v>
      </c>
      <c r="J936" s="19" t="s">
        <v>36</v>
      </c>
      <c r="K936" s="19" t="s">
        <v>691</v>
      </c>
      <c r="L936" s="19" t="s">
        <v>38</v>
      </c>
      <c r="M936" s="20">
        <f t="shared" si="1"/>
        <v>0</v>
      </c>
      <c r="N936" s="22"/>
      <c r="O936" s="19" t="s">
        <v>1145</v>
      </c>
      <c r="P936" s="18"/>
      <c r="Q936" s="18"/>
      <c r="R936" s="23">
        <v>0.0</v>
      </c>
      <c r="S936" s="23">
        <v>0.0</v>
      </c>
      <c r="T936" s="23">
        <f t="shared" si="2"/>
        <v>0</v>
      </c>
      <c r="U936" s="23">
        <f t="shared" si="3"/>
        <v>0</v>
      </c>
      <c r="V936" s="23">
        <f t="shared" si="4"/>
        <v>0</v>
      </c>
      <c r="W936" s="24" t="str">
        <f t="shared" si="5"/>
        <v>#DIV/0!</v>
      </c>
    </row>
    <row r="937" hidden="1">
      <c r="A937" s="15" t="s">
        <v>2607</v>
      </c>
      <c r="B937" s="18"/>
      <c r="C937" s="15" t="s">
        <v>7451</v>
      </c>
      <c r="D937" s="18"/>
      <c r="E937" s="17" t="s">
        <v>2604</v>
      </c>
      <c r="F937" s="18"/>
      <c r="G937" s="18"/>
      <c r="H937" s="15" t="s">
        <v>2608</v>
      </c>
      <c r="I937" s="15" t="s">
        <v>2609</v>
      </c>
      <c r="J937" s="19" t="s">
        <v>36</v>
      </c>
      <c r="K937" s="19" t="s">
        <v>691</v>
      </c>
      <c r="L937" s="19" t="s">
        <v>38</v>
      </c>
      <c r="M937" s="20">
        <f t="shared" si="1"/>
        <v>0</v>
      </c>
      <c r="N937" s="22"/>
      <c r="O937" s="19" t="s">
        <v>1145</v>
      </c>
      <c r="P937" s="18"/>
      <c r="Q937" s="18"/>
      <c r="R937" s="23">
        <v>0.0</v>
      </c>
      <c r="S937" s="23">
        <v>0.0</v>
      </c>
      <c r="T937" s="23">
        <f t="shared" si="2"/>
        <v>0</v>
      </c>
      <c r="U937" s="23">
        <f t="shared" si="3"/>
        <v>0</v>
      </c>
      <c r="V937" s="23">
        <f t="shared" si="4"/>
        <v>0</v>
      </c>
      <c r="W937" s="24" t="str">
        <f t="shared" si="5"/>
        <v>#DIV/0!</v>
      </c>
    </row>
    <row r="938" hidden="1">
      <c r="A938" s="15" t="s">
        <v>2610</v>
      </c>
      <c r="B938" s="18"/>
      <c r="C938" s="15" t="s">
        <v>7452</v>
      </c>
      <c r="D938" s="18"/>
      <c r="E938" s="17" t="s">
        <v>2611</v>
      </c>
      <c r="F938" s="18"/>
      <c r="G938" s="18"/>
      <c r="H938" s="15" t="s">
        <v>2612</v>
      </c>
      <c r="I938" s="15" t="s">
        <v>2613</v>
      </c>
      <c r="J938" s="19" t="s">
        <v>36</v>
      </c>
      <c r="K938" s="19" t="s">
        <v>691</v>
      </c>
      <c r="L938" s="19" t="s">
        <v>38</v>
      </c>
      <c r="M938" s="20">
        <f t="shared" si="1"/>
        <v>0</v>
      </c>
      <c r="N938" s="22"/>
      <c r="O938" s="19" t="s">
        <v>1145</v>
      </c>
      <c r="P938" s="18"/>
      <c r="Q938" s="18"/>
      <c r="R938" s="23">
        <v>0.0</v>
      </c>
      <c r="S938" s="23">
        <v>0.0</v>
      </c>
      <c r="T938" s="23">
        <f t="shared" si="2"/>
        <v>0</v>
      </c>
      <c r="U938" s="23">
        <f t="shared" si="3"/>
        <v>0</v>
      </c>
      <c r="V938" s="23">
        <f t="shared" si="4"/>
        <v>0</v>
      </c>
      <c r="W938" s="24" t="str">
        <f t="shared" si="5"/>
        <v>#DIV/0!</v>
      </c>
    </row>
    <row r="939">
      <c r="A939" s="15" t="s">
        <v>4170</v>
      </c>
      <c r="B939" s="15" t="s">
        <v>4171</v>
      </c>
      <c r="C939" s="15" t="s">
        <v>6406</v>
      </c>
      <c r="D939" s="15" t="s">
        <v>4172</v>
      </c>
      <c r="E939" s="17" t="s">
        <v>4173</v>
      </c>
      <c r="F939" s="18"/>
      <c r="G939" s="18"/>
      <c r="H939" s="15" t="s">
        <v>4174</v>
      </c>
      <c r="I939" s="18"/>
      <c r="J939" s="19" t="s">
        <v>59</v>
      </c>
      <c r="K939" s="19" t="s">
        <v>402</v>
      </c>
      <c r="L939" s="19" t="s">
        <v>115</v>
      </c>
      <c r="M939" s="20">
        <f t="shared" si="1"/>
        <v>0</v>
      </c>
      <c r="N939" s="22"/>
      <c r="O939" s="19" t="s">
        <v>3578</v>
      </c>
      <c r="P939" s="18"/>
      <c r="Q939" s="18"/>
      <c r="R939" s="23">
        <v>0.0</v>
      </c>
      <c r="S939" s="23">
        <v>0.0</v>
      </c>
      <c r="T939" s="23">
        <f t="shared" si="2"/>
        <v>0</v>
      </c>
      <c r="U939" s="23">
        <f t="shared" si="3"/>
        <v>0</v>
      </c>
      <c r="V939" s="23">
        <f t="shared" si="4"/>
        <v>0</v>
      </c>
      <c r="W939" s="24" t="str">
        <f t="shared" si="5"/>
        <v>#DIV/0!</v>
      </c>
    </row>
    <row r="940">
      <c r="A940" s="15" t="s">
        <v>4179</v>
      </c>
      <c r="B940" s="15" t="s">
        <v>4180</v>
      </c>
      <c r="C940" s="15" t="s">
        <v>6420</v>
      </c>
      <c r="D940" s="15" t="s">
        <v>4181</v>
      </c>
      <c r="E940" s="17" t="s">
        <v>4182</v>
      </c>
      <c r="F940" s="18"/>
      <c r="G940" s="18"/>
      <c r="H940" s="15" t="s">
        <v>4183</v>
      </c>
      <c r="I940" s="18"/>
      <c r="J940" s="19" t="s">
        <v>36</v>
      </c>
      <c r="K940" s="19" t="s">
        <v>402</v>
      </c>
      <c r="L940" s="19" t="s">
        <v>38</v>
      </c>
      <c r="M940" s="20">
        <f t="shared" si="1"/>
        <v>0</v>
      </c>
      <c r="N940" s="22"/>
      <c r="O940" s="19" t="s">
        <v>3578</v>
      </c>
      <c r="P940" s="18"/>
      <c r="Q940" s="18"/>
      <c r="R940" s="23">
        <v>0.0</v>
      </c>
      <c r="S940" s="23">
        <v>0.0</v>
      </c>
      <c r="T940" s="23">
        <f t="shared" si="2"/>
        <v>0</v>
      </c>
      <c r="U940" s="23">
        <f t="shared" si="3"/>
        <v>0</v>
      </c>
      <c r="V940" s="23">
        <f t="shared" si="4"/>
        <v>0</v>
      </c>
      <c r="W940" s="24" t="str">
        <f t="shared" si="5"/>
        <v>#DIV/0!</v>
      </c>
    </row>
    <row r="941">
      <c r="A941" s="15" t="s">
        <v>4184</v>
      </c>
      <c r="B941" s="15" t="s">
        <v>4185</v>
      </c>
      <c r="C941" s="15" t="s">
        <v>6422</v>
      </c>
      <c r="D941" s="15" t="s">
        <v>4186</v>
      </c>
      <c r="E941" s="17" t="s">
        <v>4187</v>
      </c>
      <c r="F941" s="18"/>
      <c r="G941" s="18"/>
      <c r="H941" s="15" t="s">
        <v>4188</v>
      </c>
      <c r="I941" s="18"/>
      <c r="J941" s="19" t="s">
        <v>36</v>
      </c>
      <c r="K941" s="19" t="s">
        <v>402</v>
      </c>
      <c r="L941" s="19" t="s">
        <v>38</v>
      </c>
      <c r="M941" s="20">
        <f t="shared" si="1"/>
        <v>0</v>
      </c>
      <c r="N941" s="22"/>
      <c r="O941" s="19" t="s">
        <v>3578</v>
      </c>
      <c r="P941" s="18"/>
      <c r="Q941" s="18"/>
      <c r="R941" s="23">
        <v>0.0</v>
      </c>
      <c r="S941" s="23">
        <v>0.0</v>
      </c>
      <c r="T941" s="23">
        <f t="shared" si="2"/>
        <v>0</v>
      </c>
      <c r="U941" s="23">
        <f t="shared" si="3"/>
        <v>0</v>
      </c>
      <c r="V941" s="23">
        <f t="shared" si="4"/>
        <v>0</v>
      </c>
      <c r="W941" s="24" t="str">
        <f t="shared" si="5"/>
        <v>#DIV/0!</v>
      </c>
    </row>
    <row r="942" hidden="1">
      <c r="A942" s="15" t="s">
        <v>2614</v>
      </c>
      <c r="B942" s="18"/>
      <c r="C942" s="15" t="s">
        <v>7455</v>
      </c>
      <c r="D942" s="18"/>
      <c r="E942" s="17" t="s">
        <v>2615</v>
      </c>
      <c r="F942" s="18"/>
      <c r="G942" s="18"/>
      <c r="H942" s="15" t="s">
        <v>2616</v>
      </c>
      <c r="I942" s="15" t="s">
        <v>2617</v>
      </c>
      <c r="J942" s="19" t="s">
        <v>36</v>
      </c>
      <c r="K942" s="19" t="s">
        <v>691</v>
      </c>
      <c r="L942" s="19" t="s">
        <v>38</v>
      </c>
      <c r="M942" s="20">
        <f t="shared" si="1"/>
        <v>0</v>
      </c>
      <c r="N942" s="22"/>
      <c r="O942" s="19" t="s">
        <v>1145</v>
      </c>
      <c r="P942" s="18"/>
      <c r="Q942" s="18"/>
      <c r="R942" s="23">
        <v>0.0</v>
      </c>
      <c r="S942" s="23">
        <v>0.0</v>
      </c>
      <c r="T942" s="23">
        <f t="shared" si="2"/>
        <v>0</v>
      </c>
      <c r="U942" s="23">
        <f t="shared" si="3"/>
        <v>0</v>
      </c>
      <c r="V942" s="23">
        <f t="shared" si="4"/>
        <v>0</v>
      </c>
      <c r="W942" s="24" t="str">
        <f t="shared" si="5"/>
        <v>#DIV/0!</v>
      </c>
    </row>
    <row r="943" hidden="1">
      <c r="A943" s="15" t="s">
        <v>2618</v>
      </c>
      <c r="B943" s="18"/>
      <c r="C943" s="15" t="s">
        <v>7456</v>
      </c>
      <c r="D943" s="18"/>
      <c r="E943" s="17" t="s">
        <v>1985</v>
      </c>
      <c r="F943" s="18"/>
      <c r="G943" s="18"/>
      <c r="H943" s="15" t="s">
        <v>2619</v>
      </c>
      <c r="I943" s="15" t="s">
        <v>2620</v>
      </c>
      <c r="J943" s="19" t="s">
        <v>36</v>
      </c>
      <c r="K943" s="19" t="s">
        <v>2387</v>
      </c>
      <c r="L943" s="19" t="s">
        <v>38</v>
      </c>
      <c r="M943" s="20">
        <f t="shared" si="1"/>
        <v>0</v>
      </c>
      <c r="N943" s="22"/>
      <c r="O943" s="19" t="s">
        <v>1145</v>
      </c>
      <c r="P943" s="18"/>
      <c r="Q943" s="18"/>
      <c r="R943" s="23">
        <v>0.0</v>
      </c>
      <c r="S943" s="23">
        <v>0.0</v>
      </c>
      <c r="T943" s="23">
        <f t="shared" si="2"/>
        <v>0</v>
      </c>
      <c r="U943" s="23">
        <f t="shared" si="3"/>
        <v>0</v>
      </c>
      <c r="V943" s="23">
        <f t="shared" si="4"/>
        <v>0</v>
      </c>
      <c r="W943" s="24" t="str">
        <f t="shared" si="5"/>
        <v>#DIV/0!</v>
      </c>
    </row>
    <row r="944" hidden="1">
      <c r="A944" s="15" t="s">
        <v>5046</v>
      </c>
      <c r="B944" s="18"/>
      <c r="C944" s="15" t="s">
        <v>7457</v>
      </c>
      <c r="D944" s="18"/>
      <c r="E944" s="17" t="s">
        <v>7458</v>
      </c>
      <c r="F944" s="18"/>
      <c r="G944" s="18"/>
      <c r="H944" s="15" t="s">
        <v>5050</v>
      </c>
      <c r="I944" s="15" t="s">
        <v>5049</v>
      </c>
      <c r="J944" s="19" t="s">
        <v>36</v>
      </c>
      <c r="K944" s="19" t="s">
        <v>2396</v>
      </c>
      <c r="L944" s="19" t="s">
        <v>38</v>
      </c>
      <c r="M944" s="20">
        <f t="shared" si="1"/>
        <v>0</v>
      </c>
      <c r="N944" s="22"/>
      <c r="O944" s="19" t="s">
        <v>1145</v>
      </c>
      <c r="P944" s="18"/>
      <c r="Q944" s="18"/>
      <c r="R944" s="23">
        <v>0.0</v>
      </c>
      <c r="S944" s="23">
        <v>0.0</v>
      </c>
      <c r="T944" s="23">
        <f t="shared" si="2"/>
        <v>0</v>
      </c>
      <c r="U944" s="23">
        <f t="shared" si="3"/>
        <v>0</v>
      </c>
      <c r="V944" s="23">
        <f t="shared" si="4"/>
        <v>0</v>
      </c>
      <c r="W944" s="24" t="str">
        <f t="shared" si="5"/>
        <v>#DIV/0!</v>
      </c>
    </row>
    <row r="945" hidden="1">
      <c r="A945" s="15" t="s">
        <v>2621</v>
      </c>
      <c r="B945" s="18"/>
      <c r="C945" s="15" t="s">
        <v>7459</v>
      </c>
      <c r="D945" s="18"/>
      <c r="E945" s="17" t="s">
        <v>2622</v>
      </c>
      <c r="F945" s="18"/>
      <c r="G945" s="18"/>
      <c r="H945" s="15" t="s">
        <v>2623</v>
      </c>
      <c r="I945" s="15" t="s">
        <v>2624</v>
      </c>
      <c r="J945" s="19" t="s">
        <v>36</v>
      </c>
      <c r="K945" s="19" t="s">
        <v>2401</v>
      </c>
      <c r="L945" s="19" t="s">
        <v>38</v>
      </c>
      <c r="M945" s="20">
        <f t="shared" si="1"/>
        <v>0</v>
      </c>
      <c r="N945" s="22"/>
      <c r="O945" s="19" t="s">
        <v>1145</v>
      </c>
      <c r="P945" s="18"/>
      <c r="Q945" s="18"/>
      <c r="R945" s="23">
        <v>0.0</v>
      </c>
      <c r="S945" s="23">
        <v>0.0</v>
      </c>
      <c r="T945" s="23">
        <f t="shared" si="2"/>
        <v>0</v>
      </c>
      <c r="U945" s="23">
        <f t="shared" si="3"/>
        <v>0</v>
      </c>
      <c r="V945" s="23">
        <f t="shared" si="4"/>
        <v>0</v>
      </c>
      <c r="W945" s="24" t="str">
        <f t="shared" si="5"/>
        <v>#DIV/0!</v>
      </c>
    </row>
    <row r="946" hidden="1">
      <c r="A946" s="15" t="s">
        <v>2625</v>
      </c>
      <c r="B946" s="18"/>
      <c r="C946" s="15" t="s">
        <v>7460</v>
      </c>
      <c r="D946" s="18"/>
      <c r="E946" s="17" t="s">
        <v>2626</v>
      </c>
      <c r="F946" s="18"/>
      <c r="G946" s="18"/>
      <c r="H946" s="15" t="s">
        <v>2627</v>
      </c>
      <c r="I946" s="15" t="s">
        <v>2628</v>
      </c>
      <c r="J946" s="19" t="s">
        <v>36</v>
      </c>
      <c r="K946" s="19" t="s">
        <v>2387</v>
      </c>
      <c r="L946" s="19" t="s">
        <v>38</v>
      </c>
      <c r="M946" s="20">
        <f t="shared" si="1"/>
        <v>0</v>
      </c>
      <c r="N946" s="22"/>
      <c r="O946" s="19" t="s">
        <v>1145</v>
      </c>
      <c r="P946" s="18"/>
      <c r="Q946" s="18"/>
      <c r="R946" s="23">
        <v>0.0</v>
      </c>
      <c r="S946" s="23">
        <v>0.0</v>
      </c>
      <c r="T946" s="23">
        <f t="shared" si="2"/>
        <v>0</v>
      </c>
      <c r="U946" s="23">
        <f t="shared" si="3"/>
        <v>0</v>
      </c>
      <c r="V946" s="23">
        <f t="shared" si="4"/>
        <v>0</v>
      </c>
      <c r="W946" s="24" t="str">
        <f t="shared" si="5"/>
        <v>#DIV/0!</v>
      </c>
    </row>
    <row r="947" hidden="1">
      <c r="A947" s="15" t="s">
        <v>2629</v>
      </c>
      <c r="B947" s="18"/>
      <c r="C947" s="15" t="s">
        <v>7461</v>
      </c>
      <c r="D947" s="18"/>
      <c r="E947" s="17" t="s">
        <v>2626</v>
      </c>
      <c r="F947" s="18"/>
      <c r="G947" s="18"/>
      <c r="H947" s="15" t="s">
        <v>2630</v>
      </c>
      <c r="I947" s="15" t="s">
        <v>2631</v>
      </c>
      <c r="J947" s="19" t="s">
        <v>36</v>
      </c>
      <c r="K947" s="19" t="s">
        <v>2387</v>
      </c>
      <c r="L947" s="19" t="s">
        <v>38</v>
      </c>
      <c r="M947" s="20">
        <f t="shared" si="1"/>
        <v>0</v>
      </c>
      <c r="N947" s="22"/>
      <c r="O947" s="19" t="s">
        <v>1145</v>
      </c>
      <c r="P947" s="18"/>
      <c r="Q947" s="18"/>
      <c r="R947" s="23">
        <v>0.0</v>
      </c>
      <c r="S947" s="23">
        <v>0.0</v>
      </c>
      <c r="T947" s="23">
        <f t="shared" si="2"/>
        <v>0</v>
      </c>
      <c r="U947" s="23">
        <f t="shared" si="3"/>
        <v>0</v>
      </c>
      <c r="V947" s="23">
        <f t="shared" si="4"/>
        <v>0</v>
      </c>
      <c r="W947" s="24" t="str">
        <f t="shared" si="5"/>
        <v>#DIV/0!</v>
      </c>
    </row>
    <row r="948">
      <c r="A948" s="15" t="s">
        <v>4189</v>
      </c>
      <c r="B948" s="15" t="s">
        <v>4190</v>
      </c>
      <c r="C948" s="15" t="s">
        <v>6423</v>
      </c>
      <c r="D948" s="15" t="s">
        <v>4191</v>
      </c>
      <c r="E948" s="17" t="s">
        <v>4192</v>
      </c>
      <c r="F948" s="18"/>
      <c r="G948" s="18"/>
      <c r="H948" s="15" t="s">
        <v>4193</v>
      </c>
      <c r="I948" s="18"/>
      <c r="J948" s="19" t="s">
        <v>36</v>
      </c>
      <c r="K948" s="19" t="s">
        <v>105</v>
      </c>
      <c r="L948" s="19" t="s">
        <v>38</v>
      </c>
      <c r="M948" s="20">
        <f t="shared" si="1"/>
        <v>0</v>
      </c>
      <c r="N948" s="22"/>
      <c r="O948" s="19" t="s">
        <v>3578</v>
      </c>
      <c r="P948" s="18"/>
      <c r="Q948" s="18"/>
      <c r="R948" s="23">
        <v>0.0</v>
      </c>
      <c r="S948" s="23">
        <v>0.0</v>
      </c>
      <c r="T948" s="23">
        <f t="shared" si="2"/>
        <v>0</v>
      </c>
      <c r="U948" s="23">
        <f t="shared" si="3"/>
        <v>0</v>
      </c>
      <c r="V948" s="23">
        <f t="shared" si="4"/>
        <v>0</v>
      </c>
      <c r="W948" s="24" t="str">
        <f t="shared" si="5"/>
        <v>#DIV/0!</v>
      </c>
    </row>
    <row r="949" hidden="1">
      <c r="A949" s="15" t="s">
        <v>2632</v>
      </c>
      <c r="B949" s="18"/>
      <c r="C949" s="15" t="s">
        <v>7463</v>
      </c>
      <c r="D949" s="18"/>
      <c r="E949" s="17" t="s">
        <v>2633</v>
      </c>
      <c r="F949" s="18"/>
      <c r="G949" s="18"/>
      <c r="H949" s="15" t="s">
        <v>2634</v>
      </c>
      <c r="I949" s="15" t="s">
        <v>2635</v>
      </c>
      <c r="J949" s="19" t="s">
        <v>36</v>
      </c>
      <c r="K949" s="19" t="s">
        <v>2506</v>
      </c>
      <c r="L949" s="19" t="s">
        <v>38</v>
      </c>
      <c r="M949" s="20">
        <f t="shared" si="1"/>
        <v>0</v>
      </c>
      <c r="N949" s="22"/>
      <c r="O949" s="19" t="s">
        <v>1145</v>
      </c>
      <c r="P949" s="18"/>
      <c r="Q949" s="18"/>
      <c r="R949" s="23">
        <v>0.0</v>
      </c>
      <c r="S949" s="23">
        <v>0.0</v>
      </c>
      <c r="T949" s="23">
        <f t="shared" si="2"/>
        <v>0</v>
      </c>
      <c r="U949" s="23">
        <f t="shared" si="3"/>
        <v>0</v>
      </c>
      <c r="V949" s="23">
        <f t="shared" si="4"/>
        <v>0</v>
      </c>
      <c r="W949" s="24" t="str">
        <f t="shared" si="5"/>
        <v>#DIV/0!</v>
      </c>
    </row>
    <row r="950">
      <c r="A950" s="15" t="s">
        <v>4194</v>
      </c>
      <c r="B950" s="15" t="s">
        <v>4195</v>
      </c>
      <c r="C950" s="15" t="s">
        <v>6424</v>
      </c>
      <c r="D950" s="15"/>
      <c r="E950" s="17" t="s">
        <v>4197</v>
      </c>
      <c r="F950" s="18"/>
      <c r="G950" s="18"/>
      <c r="H950" s="15" t="s">
        <v>4198</v>
      </c>
      <c r="I950" s="18"/>
      <c r="J950" s="19" t="s">
        <v>36</v>
      </c>
      <c r="K950" s="19" t="s">
        <v>284</v>
      </c>
      <c r="L950" s="19" t="s">
        <v>38</v>
      </c>
      <c r="M950" s="20">
        <f t="shared" si="1"/>
        <v>0</v>
      </c>
      <c r="N950" s="22"/>
      <c r="O950" s="19" t="s">
        <v>3578</v>
      </c>
      <c r="P950" s="18"/>
      <c r="Q950" s="18"/>
      <c r="R950" s="23">
        <v>0.0</v>
      </c>
      <c r="S950" s="23">
        <v>0.0</v>
      </c>
      <c r="T950" s="23">
        <f t="shared" si="2"/>
        <v>0</v>
      </c>
      <c r="U950" s="23">
        <f t="shared" si="3"/>
        <v>0</v>
      </c>
      <c r="V950" s="23">
        <f t="shared" si="4"/>
        <v>0</v>
      </c>
      <c r="W950" s="24" t="str">
        <f t="shared" si="5"/>
        <v>#DIV/0!</v>
      </c>
    </row>
    <row r="951" hidden="1">
      <c r="A951" s="15" t="s">
        <v>5056</v>
      </c>
      <c r="B951" s="15" t="s">
        <v>5057</v>
      </c>
      <c r="C951" s="15" t="s">
        <v>7464</v>
      </c>
      <c r="D951" s="18"/>
      <c r="E951" s="17" t="s">
        <v>5059</v>
      </c>
      <c r="F951" s="18"/>
      <c r="G951" s="18"/>
      <c r="H951" s="15" t="s">
        <v>5060</v>
      </c>
      <c r="I951" s="18"/>
      <c r="J951" s="19" t="s">
        <v>36</v>
      </c>
      <c r="K951" s="33"/>
      <c r="L951" s="19" t="s">
        <v>38</v>
      </c>
      <c r="M951" s="20">
        <f t="shared" si="1"/>
        <v>0</v>
      </c>
      <c r="N951" s="22"/>
      <c r="O951" s="19" t="s">
        <v>1145</v>
      </c>
      <c r="P951" s="18"/>
      <c r="Q951" s="18"/>
      <c r="R951" s="23">
        <v>0.0</v>
      </c>
      <c r="S951" s="23">
        <v>0.0</v>
      </c>
      <c r="T951" s="23">
        <f t="shared" si="2"/>
        <v>0</v>
      </c>
      <c r="U951" s="23">
        <f t="shared" si="3"/>
        <v>0</v>
      </c>
      <c r="V951" s="23">
        <f t="shared" si="4"/>
        <v>0</v>
      </c>
      <c r="W951" s="24" t="str">
        <f t="shared" si="5"/>
        <v>#DIV/0!</v>
      </c>
    </row>
    <row r="952">
      <c r="A952" s="15" t="s">
        <v>4199</v>
      </c>
      <c r="B952" s="15" t="s">
        <v>4200</v>
      </c>
      <c r="C952" s="15" t="s">
        <v>6425</v>
      </c>
      <c r="D952" s="15" t="s">
        <v>4201</v>
      </c>
      <c r="E952" s="17" t="s">
        <v>4202</v>
      </c>
      <c r="F952" s="18"/>
      <c r="G952" s="18"/>
      <c r="H952" s="15" t="s">
        <v>4203</v>
      </c>
      <c r="I952" s="18"/>
      <c r="J952" s="19" t="s">
        <v>36</v>
      </c>
      <c r="K952" s="19" t="s">
        <v>284</v>
      </c>
      <c r="L952" s="19" t="s">
        <v>38</v>
      </c>
      <c r="M952" s="20">
        <f t="shared" si="1"/>
        <v>0</v>
      </c>
      <c r="N952" s="22"/>
      <c r="O952" s="19" t="s">
        <v>3578</v>
      </c>
      <c r="P952" s="18"/>
      <c r="Q952" s="18"/>
      <c r="R952" s="23">
        <v>0.0</v>
      </c>
      <c r="S952" s="23">
        <v>0.0</v>
      </c>
      <c r="T952" s="23">
        <f t="shared" si="2"/>
        <v>0</v>
      </c>
      <c r="U952" s="23">
        <f t="shared" si="3"/>
        <v>0</v>
      </c>
      <c r="V952" s="23">
        <f t="shared" si="4"/>
        <v>0</v>
      </c>
      <c r="W952" s="24" t="str">
        <f t="shared" si="5"/>
        <v>#DIV/0!</v>
      </c>
    </row>
    <row r="953" hidden="1">
      <c r="A953" s="15" t="s">
        <v>2636</v>
      </c>
      <c r="B953" s="18"/>
      <c r="C953" s="15" t="s">
        <v>7465</v>
      </c>
      <c r="D953" s="18"/>
      <c r="E953" s="17" t="s">
        <v>2637</v>
      </c>
      <c r="F953" s="18"/>
      <c r="G953" s="18"/>
      <c r="H953" s="15" t="s">
        <v>2638</v>
      </c>
      <c r="I953" s="15" t="s">
        <v>2639</v>
      </c>
      <c r="J953" s="19" t="s">
        <v>36</v>
      </c>
      <c r="K953" s="19" t="s">
        <v>2396</v>
      </c>
      <c r="L953" s="19" t="s">
        <v>38</v>
      </c>
      <c r="M953" s="20">
        <f t="shared" si="1"/>
        <v>0</v>
      </c>
      <c r="N953" s="22"/>
      <c r="O953" s="19" t="s">
        <v>1145</v>
      </c>
      <c r="P953" s="18"/>
      <c r="Q953" s="18"/>
      <c r="R953" s="23">
        <v>0.0</v>
      </c>
      <c r="S953" s="23">
        <v>0.0</v>
      </c>
      <c r="T953" s="23">
        <f t="shared" si="2"/>
        <v>0</v>
      </c>
      <c r="U953" s="23">
        <f t="shared" si="3"/>
        <v>0</v>
      </c>
      <c r="V953" s="23">
        <f t="shared" si="4"/>
        <v>0</v>
      </c>
      <c r="W953" s="24" t="str">
        <f t="shared" si="5"/>
        <v>#DIV/0!</v>
      </c>
    </row>
    <row r="954" hidden="1">
      <c r="A954" s="15" t="s">
        <v>2640</v>
      </c>
      <c r="B954" s="18"/>
      <c r="C954" s="15" t="s">
        <v>7466</v>
      </c>
      <c r="D954" s="18"/>
      <c r="E954" s="17" t="s">
        <v>2641</v>
      </c>
      <c r="F954" s="18"/>
      <c r="G954" s="18"/>
      <c r="H954" s="15" t="s">
        <v>2642</v>
      </c>
      <c r="I954" s="15" t="s">
        <v>2643</v>
      </c>
      <c r="J954" s="19" t="s">
        <v>36</v>
      </c>
      <c r="K954" s="19" t="s">
        <v>2382</v>
      </c>
      <c r="L954" s="19" t="s">
        <v>38</v>
      </c>
      <c r="M954" s="20">
        <f t="shared" si="1"/>
        <v>0</v>
      </c>
      <c r="N954" s="22"/>
      <c r="O954" s="19" t="s">
        <v>1145</v>
      </c>
      <c r="P954" s="18"/>
      <c r="Q954" s="18"/>
      <c r="R954" s="23">
        <v>0.0</v>
      </c>
      <c r="S954" s="23">
        <v>0.0</v>
      </c>
      <c r="T954" s="23">
        <f t="shared" si="2"/>
        <v>0</v>
      </c>
      <c r="U954" s="23">
        <f t="shared" si="3"/>
        <v>0</v>
      </c>
      <c r="V954" s="23">
        <f t="shared" si="4"/>
        <v>0</v>
      </c>
      <c r="W954" s="24" t="str">
        <f t="shared" si="5"/>
        <v>#DIV/0!</v>
      </c>
    </row>
    <row r="955" hidden="1">
      <c r="A955" s="15" t="s">
        <v>2644</v>
      </c>
      <c r="B955" s="18"/>
      <c r="C955" s="15" t="s">
        <v>7467</v>
      </c>
      <c r="D955" s="18"/>
      <c r="E955" s="17" t="s">
        <v>2645</v>
      </c>
      <c r="F955" s="18"/>
      <c r="G955" s="18"/>
      <c r="H955" s="15" t="s">
        <v>2646</v>
      </c>
      <c r="I955" s="15" t="s">
        <v>2647</v>
      </c>
      <c r="J955" s="19" t="s">
        <v>36</v>
      </c>
      <c r="K955" s="19" t="s">
        <v>2382</v>
      </c>
      <c r="L955" s="19" t="s">
        <v>38</v>
      </c>
      <c r="M955" s="20">
        <f t="shared" si="1"/>
        <v>0</v>
      </c>
      <c r="N955" s="22"/>
      <c r="O955" s="19" t="s">
        <v>1145</v>
      </c>
      <c r="P955" s="18"/>
      <c r="Q955" s="18"/>
      <c r="R955" s="23">
        <v>0.0</v>
      </c>
      <c r="S955" s="23">
        <v>0.0</v>
      </c>
      <c r="T955" s="23">
        <f t="shared" si="2"/>
        <v>0</v>
      </c>
      <c r="U955" s="23">
        <f t="shared" si="3"/>
        <v>0</v>
      </c>
      <c r="V955" s="23">
        <f t="shared" si="4"/>
        <v>0</v>
      </c>
      <c r="W955" s="24" t="str">
        <f t="shared" si="5"/>
        <v>#DIV/0!</v>
      </c>
    </row>
    <row r="956" hidden="1">
      <c r="A956" s="15" t="s">
        <v>2648</v>
      </c>
      <c r="B956" s="18"/>
      <c r="C956" s="15" t="s">
        <v>7468</v>
      </c>
      <c r="D956" s="18"/>
      <c r="E956" s="17" t="s">
        <v>2649</v>
      </c>
      <c r="F956" s="18"/>
      <c r="G956" s="18"/>
      <c r="H956" s="15" t="s">
        <v>2650</v>
      </c>
      <c r="I956" s="15" t="s">
        <v>2651</v>
      </c>
      <c r="J956" s="19" t="s">
        <v>36</v>
      </c>
      <c r="K956" s="19" t="s">
        <v>2396</v>
      </c>
      <c r="L956" s="19" t="s">
        <v>38</v>
      </c>
      <c r="M956" s="20">
        <f t="shared" si="1"/>
        <v>0</v>
      </c>
      <c r="N956" s="22"/>
      <c r="O956" s="19" t="s">
        <v>1145</v>
      </c>
      <c r="P956" s="18"/>
      <c r="Q956" s="18"/>
      <c r="R956" s="23">
        <v>0.0</v>
      </c>
      <c r="S956" s="23">
        <v>0.0</v>
      </c>
      <c r="T956" s="23">
        <f t="shared" si="2"/>
        <v>0</v>
      </c>
      <c r="U956" s="23">
        <f t="shared" si="3"/>
        <v>0</v>
      </c>
      <c r="V956" s="23">
        <f t="shared" si="4"/>
        <v>0</v>
      </c>
      <c r="W956" s="24" t="str">
        <f t="shared" si="5"/>
        <v>#DIV/0!</v>
      </c>
    </row>
    <row r="957" hidden="1">
      <c r="A957" s="15" t="s">
        <v>2652</v>
      </c>
      <c r="B957" s="18"/>
      <c r="C957" s="15" t="s">
        <v>7469</v>
      </c>
      <c r="D957" s="18"/>
      <c r="E957" s="17" t="s">
        <v>2653</v>
      </c>
      <c r="F957" s="18"/>
      <c r="G957" s="18"/>
      <c r="H957" s="15" t="s">
        <v>2654</v>
      </c>
      <c r="I957" s="15" t="s">
        <v>2655</v>
      </c>
      <c r="J957" s="19" t="s">
        <v>36</v>
      </c>
      <c r="K957" s="19" t="s">
        <v>2396</v>
      </c>
      <c r="L957" s="19" t="s">
        <v>38</v>
      </c>
      <c r="M957" s="20">
        <f t="shared" si="1"/>
        <v>0</v>
      </c>
      <c r="N957" s="22"/>
      <c r="O957" s="19" t="s">
        <v>1145</v>
      </c>
      <c r="P957" s="18"/>
      <c r="Q957" s="18"/>
      <c r="R957" s="23">
        <v>0.0</v>
      </c>
      <c r="S957" s="23">
        <v>0.0</v>
      </c>
      <c r="T957" s="23">
        <f t="shared" si="2"/>
        <v>0</v>
      </c>
      <c r="U957" s="23">
        <f t="shared" si="3"/>
        <v>0</v>
      </c>
      <c r="V957" s="23">
        <f t="shared" si="4"/>
        <v>0</v>
      </c>
      <c r="W957" s="24" t="str">
        <f t="shared" si="5"/>
        <v>#DIV/0!</v>
      </c>
    </row>
    <row r="958" hidden="1">
      <c r="A958" s="15" t="s">
        <v>2656</v>
      </c>
      <c r="B958" s="18"/>
      <c r="C958" s="15" t="s">
        <v>7470</v>
      </c>
      <c r="D958" s="18"/>
      <c r="E958" s="17" t="s">
        <v>2657</v>
      </c>
      <c r="F958" s="18"/>
      <c r="G958" s="18"/>
      <c r="H958" s="15" t="s">
        <v>2658</v>
      </c>
      <c r="I958" s="15" t="s">
        <v>2659</v>
      </c>
      <c r="J958" s="19" t="s">
        <v>36</v>
      </c>
      <c r="K958" s="19" t="s">
        <v>2396</v>
      </c>
      <c r="L958" s="19" t="s">
        <v>38</v>
      </c>
      <c r="M958" s="20">
        <f t="shared" si="1"/>
        <v>0</v>
      </c>
      <c r="N958" s="22"/>
      <c r="O958" s="19" t="s">
        <v>1145</v>
      </c>
      <c r="P958" s="18"/>
      <c r="Q958" s="18"/>
      <c r="R958" s="23">
        <v>0.0</v>
      </c>
      <c r="S958" s="23">
        <v>0.0</v>
      </c>
      <c r="T958" s="23">
        <f t="shared" si="2"/>
        <v>0</v>
      </c>
      <c r="U958" s="23">
        <f t="shared" si="3"/>
        <v>0</v>
      </c>
      <c r="V958" s="23">
        <f t="shared" si="4"/>
        <v>0</v>
      </c>
      <c r="W958" s="24" t="str">
        <f t="shared" si="5"/>
        <v>#DIV/0!</v>
      </c>
    </row>
    <row r="959" hidden="1">
      <c r="A959" s="15" t="s">
        <v>2660</v>
      </c>
      <c r="B959" s="18"/>
      <c r="C959" s="15" t="s">
        <v>7471</v>
      </c>
      <c r="D959" s="18"/>
      <c r="E959" s="17" t="s">
        <v>2661</v>
      </c>
      <c r="F959" s="18"/>
      <c r="G959" s="18"/>
      <c r="H959" s="15" t="s">
        <v>2662</v>
      </c>
      <c r="I959" s="15" t="s">
        <v>2663</v>
      </c>
      <c r="J959" s="19" t="s">
        <v>36</v>
      </c>
      <c r="K959" s="19" t="s">
        <v>691</v>
      </c>
      <c r="L959" s="19" t="s">
        <v>38</v>
      </c>
      <c r="M959" s="20">
        <f t="shared" si="1"/>
        <v>0</v>
      </c>
      <c r="N959" s="22"/>
      <c r="O959" s="19" t="s">
        <v>1145</v>
      </c>
      <c r="P959" s="18"/>
      <c r="Q959" s="18"/>
      <c r="R959" s="23">
        <v>0.0</v>
      </c>
      <c r="S959" s="23">
        <v>0.0</v>
      </c>
      <c r="T959" s="23">
        <f t="shared" si="2"/>
        <v>0</v>
      </c>
      <c r="U959" s="23">
        <f t="shared" si="3"/>
        <v>0</v>
      </c>
      <c r="V959" s="23">
        <f t="shared" si="4"/>
        <v>0</v>
      </c>
      <c r="W959" s="24" t="str">
        <f t="shared" si="5"/>
        <v>#DIV/0!</v>
      </c>
    </row>
    <row r="960" hidden="1">
      <c r="A960" s="15" t="s">
        <v>2664</v>
      </c>
      <c r="B960" s="18"/>
      <c r="C960" s="15" t="s">
        <v>7472</v>
      </c>
      <c r="D960" s="18"/>
      <c r="E960" s="17" t="s">
        <v>2665</v>
      </c>
      <c r="F960" s="18"/>
      <c r="G960" s="18"/>
      <c r="H960" s="15" t="s">
        <v>2666</v>
      </c>
      <c r="I960" s="15" t="s">
        <v>2667</v>
      </c>
      <c r="J960" s="19" t="s">
        <v>36</v>
      </c>
      <c r="K960" s="19" t="s">
        <v>2396</v>
      </c>
      <c r="L960" s="19" t="s">
        <v>38</v>
      </c>
      <c r="M960" s="20">
        <f t="shared" si="1"/>
        <v>0</v>
      </c>
      <c r="N960" s="22"/>
      <c r="O960" s="19" t="s">
        <v>1145</v>
      </c>
      <c r="P960" s="18"/>
      <c r="Q960" s="18"/>
      <c r="R960" s="23">
        <v>0.0</v>
      </c>
      <c r="S960" s="23">
        <v>0.0</v>
      </c>
      <c r="T960" s="23">
        <f t="shared" si="2"/>
        <v>0</v>
      </c>
      <c r="U960" s="23">
        <f t="shared" si="3"/>
        <v>0</v>
      </c>
      <c r="V960" s="23">
        <f t="shared" si="4"/>
        <v>0</v>
      </c>
      <c r="W960" s="24" t="str">
        <f t="shared" si="5"/>
        <v>#DIV/0!</v>
      </c>
    </row>
    <row r="961" hidden="1">
      <c r="A961" s="15" t="s">
        <v>2668</v>
      </c>
      <c r="B961" s="18"/>
      <c r="C961" s="15" t="s">
        <v>7473</v>
      </c>
      <c r="D961" s="18"/>
      <c r="E961" s="17" t="s">
        <v>2669</v>
      </c>
      <c r="F961" s="18"/>
      <c r="G961" s="18"/>
      <c r="H961" s="15" t="s">
        <v>2670</v>
      </c>
      <c r="I961" s="15" t="s">
        <v>2671</v>
      </c>
      <c r="J961" s="19" t="s">
        <v>36</v>
      </c>
      <c r="K961" s="19" t="s">
        <v>691</v>
      </c>
      <c r="L961" s="19" t="s">
        <v>38</v>
      </c>
      <c r="M961" s="20">
        <f t="shared" si="1"/>
        <v>0</v>
      </c>
      <c r="N961" s="22"/>
      <c r="O961" s="19" t="s">
        <v>1145</v>
      </c>
      <c r="P961" s="18"/>
      <c r="Q961" s="18"/>
      <c r="R961" s="23">
        <v>0.0</v>
      </c>
      <c r="S961" s="23">
        <v>0.0</v>
      </c>
      <c r="T961" s="23">
        <f t="shared" si="2"/>
        <v>0</v>
      </c>
      <c r="U961" s="23">
        <f t="shared" si="3"/>
        <v>0</v>
      </c>
      <c r="V961" s="23">
        <f t="shared" si="4"/>
        <v>0</v>
      </c>
      <c r="W961" s="24" t="str">
        <f t="shared" si="5"/>
        <v>#DIV/0!</v>
      </c>
    </row>
    <row r="962" hidden="1">
      <c r="A962" s="15" t="s">
        <v>2672</v>
      </c>
      <c r="B962" s="18"/>
      <c r="C962" s="15" t="s">
        <v>7474</v>
      </c>
      <c r="D962" s="18"/>
      <c r="E962" s="17" t="s">
        <v>2673</v>
      </c>
      <c r="F962" s="18"/>
      <c r="G962" s="18"/>
      <c r="H962" s="15" t="s">
        <v>2674</v>
      </c>
      <c r="I962" s="15" t="s">
        <v>2675</v>
      </c>
      <c r="J962" s="19" t="s">
        <v>36</v>
      </c>
      <c r="K962" s="19" t="s">
        <v>2382</v>
      </c>
      <c r="L962" s="19" t="s">
        <v>38</v>
      </c>
      <c r="M962" s="20">
        <f t="shared" si="1"/>
        <v>0</v>
      </c>
      <c r="N962" s="22"/>
      <c r="O962" s="19" t="s">
        <v>1145</v>
      </c>
      <c r="P962" s="18"/>
      <c r="Q962" s="18"/>
      <c r="R962" s="23">
        <v>0.0</v>
      </c>
      <c r="S962" s="23">
        <v>0.0</v>
      </c>
      <c r="T962" s="23">
        <f t="shared" si="2"/>
        <v>0</v>
      </c>
      <c r="U962" s="23">
        <f t="shared" si="3"/>
        <v>0</v>
      </c>
      <c r="V962" s="23">
        <f t="shared" si="4"/>
        <v>0</v>
      </c>
      <c r="W962" s="24" t="str">
        <f t="shared" si="5"/>
        <v>#DIV/0!</v>
      </c>
    </row>
    <row r="963" hidden="1">
      <c r="A963" s="15" t="s">
        <v>2676</v>
      </c>
      <c r="B963" s="18"/>
      <c r="C963" s="15" t="s">
        <v>7475</v>
      </c>
      <c r="D963" s="18"/>
      <c r="E963" s="17" t="s">
        <v>2673</v>
      </c>
      <c r="F963" s="18"/>
      <c r="G963" s="18"/>
      <c r="H963" s="15" t="s">
        <v>2677</v>
      </c>
      <c r="I963" s="15" t="s">
        <v>2678</v>
      </c>
      <c r="J963" s="19" t="s">
        <v>36</v>
      </c>
      <c r="K963" s="19" t="s">
        <v>2382</v>
      </c>
      <c r="L963" s="19" t="s">
        <v>38</v>
      </c>
      <c r="M963" s="20">
        <f t="shared" si="1"/>
        <v>0</v>
      </c>
      <c r="N963" s="22"/>
      <c r="O963" s="19" t="s">
        <v>1145</v>
      </c>
      <c r="P963" s="18"/>
      <c r="Q963" s="18"/>
      <c r="R963" s="23">
        <v>0.0</v>
      </c>
      <c r="S963" s="23">
        <v>0.0</v>
      </c>
      <c r="T963" s="23">
        <f t="shared" si="2"/>
        <v>0</v>
      </c>
      <c r="U963" s="23">
        <f t="shared" si="3"/>
        <v>0</v>
      </c>
      <c r="V963" s="23">
        <f t="shared" si="4"/>
        <v>0</v>
      </c>
      <c r="W963" s="24" t="str">
        <f t="shared" si="5"/>
        <v>#DIV/0!</v>
      </c>
    </row>
    <row r="964" hidden="1">
      <c r="A964" s="15" t="s">
        <v>2679</v>
      </c>
      <c r="B964" s="18"/>
      <c r="C964" s="15" t="s">
        <v>7476</v>
      </c>
      <c r="D964" s="18"/>
      <c r="E964" s="17" t="s">
        <v>2673</v>
      </c>
      <c r="F964" s="18"/>
      <c r="G964" s="18"/>
      <c r="H964" s="15" t="s">
        <v>2680</v>
      </c>
      <c r="I964" s="15" t="s">
        <v>2681</v>
      </c>
      <c r="J964" s="19" t="s">
        <v>36</v>
      </c>
      <c r="K964" s="19" t="s">
        <v>2382</v>
      </c>
      <c r="L964" s="19" t="s">
        <v>38</v>
      </c>
      <c r="M964" s="20">
        <f t="shared" si="1"/>
        <v>0</v>
      </c>
      <c r="N964" s="22"/>
      <c r="O964" s="19" t="s">
        <v>1145</v>
      </c>
      <c r="P964" s="18"/>
      <c r="Q964" s="18"/>
      <c r="R964" s="23">
        <v>0.0</v>
      </c>
      <c r="S964" s="23">
        <v>0.0</v>
      </c>
      <c r="T964" s="23">
        <f t="shared" si="2"/>
        <v>0</v>
      </c>
      <c r="U964" s="23">
        <f t="shared" si="3"/>
        <v>0</v>
      </c>
      <c r="V964" s="23">
        <f t="shared" si="4"/>
        <v>0</v>
      </c>
      <c r="W964" s="24" t="str">
        <f t="shared" si="5"/>
        <v>#DIV/0!</v>
      </c>
    </row>
    <row r="965" hidden="1">
      <c r="A965" s="15" t="s">
        <v>2682</v>
      </c>
      <c r="B965" s="18"/>
      <c r="C965" s="15" t="s">
        <v>7477</v>
      </c>
      <c r="D965" s="18"/>
      <c r="E965" s="17" t="s">
        <v>2673</v>
      </c>
      <c r="F965" s="18"/>
      <c r="G965" s="18"/>
      <c r="H965" s="15" t="s">
        <v>2683</v>
      </c>
      <c r="I965" s="15" t="s">
        <v>2684</v>
      </c>
      <c r="J965" s="19" t="s">
        <v>36</v>
      </c>
      <c r="K965" s="19" t="s">
        <v>2382</v>
      </c>
      <c r="L965" s="19" t="s">
        <v>38</v>
      </c>
      <c r="M965" s="20">
        <f t="shared" si="1"/>
        <v>0</v>
      </c>
      <c r="N965" s="22"/>
      <c r="O965" s="19" t="s">
        <v>1145</v>
      </c>
      <c r="P965" s="18"/>
      <c r="Q965" s="18"/>
      <c r="R965" s="23">
        <v>0.0</v>
      </c>
      <c r="S965" s="23">
        <v>0.0</v>
      </c>
      <c r="T965" s="23">
        <f t="shared" si="2"/>
        <v>0</v>
      </c>
      <c r="U965" s="23">
        <f t="shared" si="3"/>
        <v>0</v>
      </c>
      <c r="V965" s="23">
        <f t="shared" si="4"/>
        <v>0</v>
      </c>
      <c r="W965" s="24" t="str">
        <f t="shared" si="5"/>
        <v>#DIV/0!</v>
      </c>
    </row>
    <row r="966" hidden="1">
      <c r="A966" s="15" t="s">
        <v>7478</v>
      </c>
      <c r="B966" s="18"/>
      <c r="C966" s="15" t="s">
        <v>7479</v>
      </c>
      <c r="D966" s="18"/>
      <c r="E966" s="17" t="s">
        <v>2673</v>
      </c>
      <c r="F966" s="18"/>
      <c r="G966" s="18"/>
      <c r="H966" s="15" t="s">
        <v>7480</v>
      </c>
      <c r="I966" s="15" t="s">
        <v>7481</v>
      </c>
      <c r="J966" s="19" t="s">
        <v>36</v>
      </c>
      <c r="K966" s="19" t="s">
        <v>2382</v>
      </c>
      <c r="L966" s="19" t="s">
        <v>38</v>
      </c>
      <c r="M966" s="20">
        <f t="shared" si="1"/>
        <v>0</v>
      </c>
      <c r="N966" s="22"/>
      <c r="O966" s="19" t="s">
        <v>39</v>
      </c>
      <c r="P966" s="18"/>
      <c r="Q966" s="18"/>
      <c r="R966" s="23">
        <v>0.0</v>
      </c>
      <c r="S966" s="23">
        <v>0.0</v>
      </c>
      <c r="T966" s="23">
        <f t="shared" si="2"/>
        <v>0</v>
      </c>
      <c r="U966" s="23">
        <f t="shared" si="3"/>
        <v>0</v>
      </c>
      <c r="V966" s="23">
        <f t="shared" si="4"/>
        <v>0</v>
      </c>
      <c r="W966" s="24" t="str">
        <f t="shared" si="5"/>
        <v>#DIV/0!</v>
      </c>
    </row>
    <row r="967" hidden="1">
      <c r="A967" s="15" t="s">
        <v>2685</v>
      </c>
      <c r="B967" s="18"/>
      <c r="C967" s="15" t="s">
        <v>7482</v>
      </c>
      <c r="D967" s="18"/>
      <c r="E967" s="17" t="s">
        <v>2673</v>
      </c>
      <c r="F967" s="18"/>
      <c r="G967" s="18"/>
      <c r="H967" s="15" t="s">
        <v>2686</v>
      </c>
      <c r="I967" s="15" t="s">
        <v>2687</v>
      </c>
      <c r="J967" s="19" t="s">
        <v>36</v>
      </c>
      <c r="K967" s="19" t="s">
        <v>2382</v>
      </c>
      <c r="L967" s="19" t="s">
        <v>38</v>
      </c>
      <c r="M967" s="20">
        <f t="shared" si="1"/>
        <v>0</v>
      </c>
      <c r="N967" s="22"/>
      <c r="O967" s="19" t="s">
        <v>1145</v>
      </c>
      <c r="P967" s="18"/>
      <c r="Q967" s="18"/>
      <c r="R967" s="23">
        <v>0.0</v>
      </c>
      <c r="S967" s="23">
        <v>0.0</v>
      </c>
      <c r="T967" s="23">
        <f t="shared" si="2"/>
        <v>0</v>
      </c>
      <c r="U967" s="23">
        <f t="shared" si="3"/>
        <v>0</v>
      </c>
      <c r="V967" s="23">
        <f t="shared" si="4"/>
        <v>0</v>
      </c>
      <c r="W967" s="24" t="str">
        <f t="shared" si="5"/>
        <v>#DIV/0!</v>
      </c>
    </row>
    <row r="968" hidden="1">
      <c r="A968" s="15" t="s">
        <v>2688</v>
      </c>
      <c r="B968" s="18"/>
      <c r="C968" s="15" t="s">
        <v>7483</v>
      </c>
      <c r="D968" s="18"/>
      <c r="E968" s="17" t="s">
        <v>2689</v>
      </c>
      <c r="F968" s="18"/>
      <c r="G968" s="18"/>
      <c r="H968" s="15" t="s">
        <v>2690</v>
      </c>
      <c r="I968" s="15" t="s">
        <v>2691</v>
      </c>
      <c r="J968" s="19" t="s">
        <v>36</v>
      </c>
      <c r="K968" s="19" t="s">
        <v>2382</v>
      </c>
      <c r="L968" s="19" t="s">
        <v>38</v>
      </c>
      <c r="M968" s="20">
        <f t="shared" si="1"/>
        <v>0</v>
      </c>
      <c r="N968" s="22"/>
      <c r="O968" s="19" t="s">
        <v>1145</v>
      </c>
      <c r="P968" s="18"/>
      <c r="Q968" s="18"/>
      <c r="R968" s="23">
        <v>0.0</v>
      </c>
      <c r="S968" s="23">
        <v>0.0</v>
      </c>
      <c r="T968" s="23">
        <f t="shared" si="2"/>
        <v>0</v>
      </c>
      <c r="U968" s="23">
        <f t="shared" si="3"/>
        <v>0</v>
      </c>
      <c r="V968" s="23">
        <f t="shared" si="4"/>
        <v>0</v>
      </c>
      <c r="W968" s="24" t="str">
        <f t="shared" si="5"/>
        <v>#DIV/0!</v>
      </c>
    </row>
    <row r="969" hidden="1">
      <c r="A969" s="15" t="s">
        <v>7484</v>
      </c>
      <c r="B969" s="18"/>
      <c r="C969" s="15" t="s">
        <v>7485</v>
      </c>
      <c r="D969" s="18"/>
      <c r="E969" s="17" t="s">
        <v>7486</v>
      </c>
      <c r="F969" s="18"/>
      <c r="G969" s="18"/>
      <c r="H969" s="15" t="s">
        <v>7487</v>
      </c>
      <c r="I969" s="15" t="s">
        <v>7488</v>
      </c>
      <c r="J969" s="19" t="s">
        <v>36</v>
      </c>
      <c r="K969" s="19" t="s">
        <v>2382</v>
      </c>
      <c r="L969" s="19" t="s">
        <v>38</v>
      </c>
      <c r="M969" s="20">
        <f t="shared" si="1"/>
        <v>0</v>
      </c>
      <c r="N969" s="22"/>
      <c r="O969" s="19" t="s">
        <v>39</v>
      </c>
      <c r="P969" s="18"/>
      <c r="Q969" s="18"/>
      <c r="R969" s="23">
        <v>0.0</v>
      </c>
      <c r="S969" s="23">
        <v>0.0</v>
      </c>
      <c r="T969" s="23">
        <f t="shared" si="2"/>
        <v>0</v>
      </c>
      <c r="U969" s="23">
        <f t="shared" si="3"/>
        <v>0</v>
      </c>
      <c r="V969" s="23">
        <f t="shared" si="4"/>
        <v>0</v>
      </c>
      <c r="W969" s="24" t="str">
        <f t="shared" si="5"/>
        <v>#DIV/0!</v>
      </c>
    </row>
    <row r="970" hidden="1">
      <c r="A970" s="15" t="s">
        <v>2692</v>
      </c>
      <c r="B970" s="18"/>
      <c r="C970" s="15" t="s">
        <v>7489</v>
      </c>
      <c r="D970" s="18"/>
      <c r="E970" s="17" t="s">
        <v>2693</v>
      </c>
      <c r="F970" s="18"/>
      <c r="G970" s="18"/>
      <c r="H970" s="15" t="s">
        <v>2694</v>
      </c>
      <c r="I970" s="15" t="s">
        <v>2695</v>
      </c>
      <c r="J970" s="19" t="s">
        <v>36</v>
      </c>
      <c r="K970" s="19" t="s">
        <v>2382</v>
      </c>
      <c r="L970" s="19" t="s">
        <v>38</v>
      </c>
      <c r="M970" s="20">
        <f t="shared" si="1"/>
        <v>0</v>
      </c>
      <c r="N970" s="22"/>
      <c r="O970" s="19" t="s">
        <v>1145</v>
      </c>
      <c r="P970" s="18"/>
      <c r="Q970" s="18"/>
      <c r="R970" s="23">
        <v>0.0</v>
      </c>
      <c r="S970" s="23">
        <v>0.0</v>
      </c>
      <c r="T970" s="23">
        <f t="shared" si="2"/>
        <v>0</v>
      </c>
      <c r="U970" s="23">
        <f t="shared" si="3"/>
        <v>0</v>
      </c>
      <c r="V970" s="23">
        <f t="shared" si="4"/>
        <v>0</v>
      </c>
      <c r="W970" s="24" t="str">
        <f t="shared" si="5"/>
        <v>#DIV/0!</v>
      </c>
    </row>
    <row r="971" hidden="1">
      <c r="A971" s="15" t="s">
        <v>2696</v>
      </c>
      <c r="B971" s="18"/>
      <c r="C971" s="15" t="s">
        <v>7490</v>
      </c>
      <c r="D971" s="18"/>
      <c r="E971" s="17" t="s">
        <v>2697</v>
      </c>
      <c r="F971" s="18"/>
      <c r="G971" s="18"/>
      <c r="H971" s="15" t="s">
        <v>2698</v>
      </c>
      <c r="I971" s="15" t="s">
        <v>2699</v>
      </c>
      <c r="J971" s="19" t="s">
        <v>36</v>
      </c>
      <c r="K971" s="19" t="s">
        <v>2382</v>
      </c>
      <c r="L971" s="19" t="s">
        <v>38</v>
      </c>
      <c r="M971" s="20">
        <f t="shared" si="1"/>
        <v>0</v>
      </c>
      <c r="N971" s="22"/>
      <c r="O971" s="19" t="s">
        <v>1145</v>
      </c>
      <c r="P971" s="18"/>
      <c r="Q971" s="18"/>
      <c r="R971" s="23">
        <v>0.0</v>
      </c>
      <c r="S971" s="23">
        <v>0.0</v>
      </c>
      <c r="T971" s="23">
        <f t="shared" si="2"/>
        <v>0</v>
      </c>
      <c r="U971" s="23">
        <f t="shared" si="3"/>
        <v>0</v>
      </c>
      <c r="V971" s="23">
        <f t="shared" si="4"/>
        <v>0</v>
      </c>
      <c r="W971" s="24" t="str">
        <f t="shared" si="5"/>
        <v>#DIV/0!</v>
      </c>
    </row>
    <row r="972" hidden="1">
      <c r="A972" s="15" t="s">
        <v>2700</v>
      </c>
      <c r="B972" s="18"/>
      <c r="C972" s="15" t="s">
        <v>7491</v>
      </c>
      <c r="D972" s="18"/>
      <c r="E972" s="17" t="s">
        <v>2701</v>
      </c>
      <c r="F972" s="18"/>
      <c r="G972" s="18"/>
      <c r="H972" s="15" t="s">
        <v>2702</v>
      </c>
      <c r="I972" s="15" t="s">
        <v>2703</v>
      </c>
      <c r="J972" s="19" t="s">
        <v>36</v>
      </c>
      <c r="K972" s="19" t="s">
        <v>2382</v>
      </c>
      <c r="L972" s="19" t="s">
        <v>38</v>
      </c>
      <c r="M972" s="20">
        <f t="shared" si="1"/>
        <v>0</v>
      </c>
      <c r="N972" s="22"/>
      <c r="O972" s="19" t="s">
        <v>1145</v>
      </c>
      <c r="P972" s="18"/>
      <c r="Q972" s="18"/>
      <c r="R972" s="23">
        <v>0.0</v>
      </c>
      <c r="S972" s="23">
        <v>0.0</v>
      </c>
      <c r="T972" s="23">
        <f t="shared" si="2"/>
        <v>0</v>
      </c>
      <c r="U972" s="23">
        <f t="shared" si="3"/>
        <v>0</v>
      </c>
      <c r="V972" s="23">
        <f t="shared" si="4"/>
        <v>0</v>
      </c>
      <c r="W972" s="24" t="str">
        <f t="shared" si="5"/>
        <v>#DIV/0!</v>
      </c>
    </row>
    <row r="973" hidden="1">
      <c r="A973" s="15" t="s">
        <v>2704</v>
      </c>
      <c r="B973" s="18"/>
      <c r="C973" s="15" t="s">
        <v>7492</v>
      </c>
      <c r="D973" s="18"/>
      <c r="E973" s="17" t="s">
        <v>2705</v>
      </c>
      <c r="F973" s="18"/>
      <c r="G973" s="18"/>
      <c r="H973" s="15" t="s">
        <v>2706</v>
      </c>
      <c r="I973" s="15" t="s">
        <v>2707</v>
      </c>
      <c r="J973" s="19" t="s">
        <v>36</v>
      </c>
      <c r="K973" s="19" t="s">
        <v>2382</v>
      </c>
      <c r="L973" s="19" t="s">
        <v>38</v>
      </c>
      <c r="M973" s="20">
        <f t="shared" si="1"/>
        <v>0</v>
      </c>
      <c r="N973" s="22"/>
      <c r="O973" s="19" t="s">
        <v>1145</v>
      </c>
      <c r="P973" s="18"/>
      <c r="Q973" s="18"/>
      <c r="R973" s="23">
        <v>0.0</v>
      </c>
      <c r="S973" s="23">
        <v>0.0</v>
      </c>
      <c r="T973" s="23">
        <f t="shared" si="2"/>
        <v>0</v>
      </c>
      <c r="U973" s="23">
        <f t="shared" si="3"/>
        <v>0</v>
      </c>
      <c r="V973" s="23">
        <f t="shared" si="4"/>
        <v>0</v>
      </c>
      <c r="W973" s="24" t="str">
        <f t="shared" si="5"/>
        <v>#DIV/0!</v>
      </c>
    </row>
    <row r="974" hidden="1">
      <c r="A974" s="15" t="s">
        <v>2708</v>
      </c>
      <c r="B974" s="18"/>
      <c r="C974" s="15" t="s">
        <v>7493</v>
      </c>
      <c r="D974" s="18"/>
      <c r="E974" s="17" t="s">
        <v>2709</v>
      </c>
      <c r="F974" s="18"/>
      <c r="G974" s="18"/>
      <c r="H974" s="15" t="s">
        <v>2710</v>
      </c>
      <c r="I974" s="15" t="s">
        <v>2711</v>
      </c>
      <c r="J974" s="19" t="s">
        <v>36</v>
      </c>
      <c r="K974" s="19" t="s">
        <v>2382</v>
      </c>
      <c r="L974" s="19" t="s">
        <v>38</v>
      </c>
      <c r="M974" s="20">
        <f t="shared" si="1"/>
        <v>0</v>
      </c>
      <c r="N974" s="22"/>
      <c r="O974" s="19" t="s">
        <v>1145</v>
      </c>
      <c r="P974" s="18"/>
      <c r="Q974" s="18"/>
      <c r="R974" s="23">
        <v>0.0</v>
      </c>
      <c r="S974" s="23">
        <v>0.0</v>
      </c>
      <c r="T974" s="23">
        <f t="shared" si="2"/>
        <v>0</v>
      </c>
      <c r="U974" s="23">
        <f t="shared" si="3"/>
        <v>0</v>
      </c>
      <c r="V974" s="23">
        <f t="shared" si="4"/>
        <v>0</v>
      </c>
      <c r="W974" s="24" t="str">
        <f t="shared" si="5"/>
        <v>#DIV/0!</v>
      </c>
    </row>
    <row r="975" hidden="1">
      <c r="A975" s="15" t="s">
        <v>2712</v>
      </c>
      <c r="B975" s="18"/>
      <c r="C975" s="15" t="s">
        <v>7494</v>
      </c>
      <c r="D975" s="18"/>
      <c r="E975" s="17" t="s">
        <v>2713</v>
      </c>
      <c r="F975" s="18"/>
      <c r="G975" s="18"/>
      <c r="H975" s="15" t="s">
        <v>2714</v>
      </c>
      <c r="I975" s="15" t="s">
        <v>2715</v>
      </c>
      <c r="J975" s="19" t="s">
        <v>36</v>
      </c>
      <c r="K975" s="19" t="s">
        <v>2382</v>
      </c>
      <c r="L975" s="19" t="s">
        <v>38</v>
      </c>
      <c r="M975" s="20">
        <f t="shared" si="1"/>
        <v>0</v>
      </c>
      <c r="N975" s="22"/>
      <c r="O975" s="19" t="s">
        <v>1145</v>
      </c>
      <c r="P975" s="18"/>
      <c r="Q975" s="18"/>
      <c r="R975" s="23">
        <v>0.0</v>
      </c>
      <c r="S975" s="23">
        <v>0.0</v>
      </c>
      <c r="T975" s="23">
        <f t="shared" si="2"/>
        <v>0</v>
      </c>
      <c r="U975" s="23">
        <f t="shared" si="3"/>
        <v>0</v>
      </c>
      <c r="V975" s="23">
        <f t="shared" si="4"/>
        <v>0</v>
      </c>
      <c r="W975" s="24" t="str">
        <f t="shared" si="5"/>
        <v>#DIV/0!</v>
      </c>
    </row>
    <row r="976" hidden="1">
      <c r="A976" s="15" t="s">
        <v>2716</v>
      </c>
      <c r="B976" s="18"/>
      <c r="C976" s="15" t="s">
        <v>7495</v>
      </c>
      <c r="D976" s="18"/>
      <c r="E976" s="17" t="s">
        <v>2717</v>
      </c>
      <c r="F976" s="18"/>
      <c r="G976" s="18"/>
      <c r="H976" s="15" t="s">
        <v>2718</v>
      </c>
      <c r="I976" s="15" t="s">
        <v>2719</v>
      </c>
      <c r="J976" s="19" t="s">
        <v>36</v>
      </c>
      <c r="K976" s="19" t="s">
        <v>2382</v>
      </c>
      <c r="L976" s="19" t="s">
        <v>38</v>
      </c>
      <c r="M976" s="20">
        <f t="shared" si="1"/>
        <v>0</v>
      </c>
      <c r="N976" s="22"/>
      <c r="O976" s="19" t="s">
        <v>1145</v>
      </c>
      <c r="P976" s="18"/>
      <c r="Q976" s="18"/>
      <c r="R976" s="23">
        <v>0.0</v>
      </c>
      <c r="S976" s="23">
        <v>0.0</v>
      </c>
      <c r="T976" s="23">
        <f t="shared" si="2"/>
        <v>0</v>
      </c>
      <c r="U976" s="23">
        <f t="shared" si="3"/>
        <v>0</v>
      </c>
      <c r="V976" s="23">
        <f t="shared" si="4"/>
        <v>0</v>
      </c>
      <c r="W976" s="24" t="str">
        <f t="shared" si="5"/>
        <v>#DIV/0!</v>
      </c>
    </row>
    <row r="977" hidden="1">
      <c r="A977" s="15" t="s">
        <v>2720</v>
      </c>
      <c r="B977" s="18"/>
      <c r="C977" s="15" t="s">
        <v>7496</v>
      </c>
      <c r="D977" s="18"/>
      <c r="E977" s="17" t="s">
        <v>2721</v>
      </c>
      <c r="F977" s="18"/>
      <c r="G977" s="18"/>
      <c r="H977" s="15" t="s">
        <v>2722</v>
      </c>
      <c r="I977" s="15" t="s">
        <v>2723</v>
      </c>
      <c r="J977" s="19" t="s">
        <v>36</v>
      </c>
      <c r="K977" s="19" t="s">
        <v>2382</v>
      </c>
      <c r="L977" s="19" t="s">
        <v>38</v>
      </c>
      <c r="M977" s="20">
        <f t="shared" si="1"/>
        <v>0</v>
      </c>
      <c r="N977" s="22"/>
      <c r="O977" s="19" t="s">
        <v>1145</v>
      </c>
      <c r="P977" s="18"/>
      <c r="Q977" s="18"/>
      <c r="R977" s="23">
        <v>0.0</v>
      </c>
      <c r="S977" s="23">
        <v>0.0</v>
      </c>
      <c r="T977" s="23">
        <f t="shared" si="2"/>
        <v>0</v>
      </c>
      <c r="U977" s="23">
        <f t="shared" si="3"/>
        <v>0</v>
      </c>
      <c r="V977" s="23">
        <f t="shared" si="4"/>
        <v>0</v>
      </c>
      <c r="W977" s="24" t="str">
        <f t="shared" si="5"/>
        <v>#DIV/0!</v>
      </c>
    </row>
    <row r="978" hidden="1">
      <c r="A978" s="15" t="s">
        <v>2724</v>
      </c>
      <c r="B978" s="18"/>
      <c r="C978" s="15" t="s">
        <v>7497</v>
      </c>
      <c r="D978" s="18"/>
      <c r="E978" s="17" t="s">
        <v>2725</v>
      </c>
      <c r="F978" s="18"/>
      <c r="G978" s="18"/>
      <c r="H978" s="15" t="s">
        <v>2726</v>
      </c>
      <c r="I978" s="15" t="s">
        <v>2727</v>
      </c>
      <c r="J978" s="19" t="s">
        <v>36</v>
      </c>
      <c r="K978" s="19" t="s">
        <v>691</v>
      </c>
      <c r="L978" s="19" t="s">
        <v>38</v>
      </c>
      <c r="M978" s="20">
        <f t="shared" si="1"/>
        <v>0</v>
      </c>
      <c r="N978" s="22"/>
      <c r="O978" s="19" t="s">
        <v>1145</v>
      </c>
      <c r="P978" s="18"/>
      <c r="Q978" s="18"/>
      <c r="R978" s="23">
        <v>0.0</v>
      </c>
      <c r="S978" s="23">
        <v>0.0</v>
      </c>
      <c r="T978" s="23">
        <f t="shared" si="2"/>
        <v>0</v>
      </c>
      <c r="U978" s="23">
        <f t="shared" si="3"/>
        <v>0</v>
      </c>
      <c r="V978" s="23">
        <f t="shared" si="4"/>
        <v>0</v>
      </c>
      <c r="W978" s="24" t="str">
        <f t="shared" si="5"/>
        <v>#DIV/0!</v>
      </c>
    </row>
    <row r="979" hidden="1">
      <c r="A979" s="15" t="s">
        <v>2728</v>
      </c>
      <c r="B979" s="18"/>
      <c r="C979" s="15" t="s">
        <v>7498</v>
      </c>
      <c r="D979" s="18"/>
      <c r="E979" s="17" t="s">
        <v>2729</v>
      </c>
      <c r="F979" s="18"/>
      <c r="G979" s="18"/>
      <c r="H979" s="15" t="s">
        <v>2730</v>
      </c>
      <c r="I979" s="15" t="s">
        <v>2731</v>
      </c>
      <c r="J979" s="19" t="s">
        <v>36</v>
      </c>
      <c r="K979" s="19" t="s">
        <v>2382</v>
      </c>
      <c r="L979" s="19" t="s">
        <v>38</v>
      </c>
      <c r="M979" s="20">
        <f t="shared" si="1"/>
        <v>0</v>
      </c>
      <c r="N979" s="22"/>
      <c r="O979" s="19" t="s">
        <v>1145</v>
      </c>
      <c r="P979" s="18"/>
      <c r="Q979" s="18"/>
      <c r="R979" s="23">
        <v>0.0</v>
      </c>
      <c r="S979" s="23">
        <v>0.0</v>
      </c>
      <c r="T979" s="23">
        <f t="shared" si="2"/>
        <v>0</v>
      </c>
      <c r="U979" s="23">
        <f t="shared" si="3"/>
        <v>0</v>
      </c>
      <c r="V979" s="23">
        <f t="shared" si="4"/>
        <v>0</v>
      </c>
      <c r="W979" s="24" t="str">
        <f t="shared" si="5"/>
        <v>#DIV/0!</v>
      </c>
    </row>
    <row r="980" hidden="1">
      <c r="A980" s="15" t="s">
        <v>2732</v>
      </c>
      <c r="B980" s="18"/>
      <c r="C980" s="15" t="s">
        <v>7499</v>
      </c>
      <c r="D980" s="18"/>
      <c r="E980" s="17" t="s">
        <v>2733</v>
      </c>
      <c r="F980" s="18"/>
      <c r="G980" s="18"/>
      <c r="H980" s="15" t="s">
        <v>2734</v>
      </c>
      <c r="I980" s="15" t="s">
        <v>2735</v>
      </c>
      <c r="J980" s="19" t="s">
        <v>36</v>
      </c>
      <c r="K980" s="19" t="s">
        <v>2382</v>
      </c>
      <c r="L980" s="19" t="s">
        <v>38</v>
      </c>
      <c r="M980" s="20">
        <f t="shared" si="1"/>
        <v>0</v>
      </c>
      <c r="N980" s="22"/>
      <c r="O980" s="19" t="s">
        <v>1145</v>
      </c>
      <c r="P980" s="18"/>
      <c r="Q980" s="18"/>
      <c r="R980" s="23">
        <v>0.0</v>
      </c>
      <c r="S980" s="23">
        <v>0.0</v>
      </c>
      <c r="T980" s="23">
        <f t="shared" si="2"/>
        <v>0</v>
      </c>
      <c r="U980" s="23">
        <f t="shared" si="3"/>
        <v>0</v>
      </c>
      <c r="V980" s="23">
        <f t="shared" si="4"/>
        <v>0</v>
      </c>
      <c r="W980" s="24" t="str">
        <f t="shared" si="5"/>
        <v>#DIV/0!</v>
      </c>
    </row>
    <row r="981" hidden="1">
      <c r="A981" s="15" t="s">
        <v>2736</v>
      </c>
      <c r="B981" s="15" t="s">
        <v>2737</v>
      </c>
      <c r="C981" s="15" t="s">
        <v>7500</v>
      </c>
      <c r="D981" s="18"/>
      <c r="E981" s="17" t="s">
        <v>2738</v>
      </c>
      <c r="F981" s="18"/>
      <c r="G981" s="18"/>
      <c r="H981" s="15" t="s">
        <v>2739</v>
      </c>
      <c r="I981" s="18"/>
      <c r="J981" s="19" t="s">
        <v>36</v>
      </c>
      <c r="K981" s="33"/>
      <c r="L981" s="19" t="s">
        <v>38</v>
      </c>
      <c r="M981" s="20">
        <f t="shared" si="1"/>
        <v>0</v>
      </c>
      <c r="N981" s="22"/>
      <c r="O981" s="19" t="s">
        <v>1145</v>
      </c>
      <c r="P981" s="18"/>
      <c r="Q981" s="18"/>
      <c r="R981" s="23">
        <v>0.0</v>
      </c>
      <c r="S981" s="23">
        <v>0.0</v>
      </c>
      <c r="T981" s="23">
        <f t="shared" si="2"/>
        <v>0</v>
      </c>
      <c r="U981" s="23">
        <f t="shared" si="3"/>
        <v>0</v>
      </c>
      <c r="V981" s="23">
        <f t="shared" si="4"/>
        <v>0</v>
      </c>
      <c r="W981" s="24" t="str">
        <f t="shared" si="5"/>
        <v>#DIV/0!</v>
      </c>
    </row>
    <row r="982">
      <c r="A982" s="15" t="s">
        <v>4204</v>
      </c>
      <c r="B982" s="15" t="s">
        <v>4205</v>
      </c>
      <c r="C982" s="15" t="s">
        <v>6426</v>
      </c>
      <c r="D982" s="15" t="s">
        <v>4206</v>
      </c>
      <c r="E982" s="17" t="s">
        <v>4207</v>
      </c>
      <c r="F982" s="18"/>
      <c r="G982" s="18"/>
      <c r="H982" s="15" t="s">
        <v>4208</v>
      </c>
      <c r="I982" s="18"/>
      <c r="J982" s="19" t="s">
        <v>36</v>
      </c>
      <c r="K982" s="19" t="s">
        <v>37</v>
      </c>
      <c r="L982" s="19" t="s">
        <v>38</v>
      </c>
      <c r="M982" s="20">
        <f t="shared" si="1"/>
        <v>0</v>
      </c>
      <c r="N982" s="22"/>
      <c r="O982" s="19" t="s">
        <v>3578</v>
      </c>
      <c r="P982" s="18"/>
      <c r="Q982" s="18"/>
      <c r="R982" s="23">
        <v>0.0</v>
      </c>
      <c r="S982" s="23">
        <v>0.0</v>
      </c>
      <c r="T982" s="23">
        <f t="shared" si="2"/>
        <v>0</v>
      </c>
      <c r="U982" s="23">
        <f t="shared" si="3"/>
        <v>0</v>
      </c>
      <c r="V982" s="23">
        <f t="shared" si="4"/>
        <v>0</v>
      </c>
      <c r="W982" s="24" t="str">
        <f t="shared" si="5"/>
        <v>#DIV/0!</v>
      </c>
    </row>
    <row r="983">
      <c r="A983" s="15" t="s">
        <v>4209</v>
      </c>
      <c r="B983" s="15" t="s">
        <v>4210</v>
      </c>
      <c r="C983" s="15" t="s">
        <v>6427</v>
      </c>
      <c r="D983" s="15" t="s">
        <v>4211</v>
      </c>
      <c r="E983" s="17" t="s">
        <v>4212</v>
      </c>
      <c r="F983" s="18"/>
      <c r="G983" s="18"/>
      <c r="H983" s="15" t="s">
        <v>4213</v>
      </c>
      <c r="I983" s="15" t="s">
        <v>5595</v>
      </c>
      <c r="J983" s="19" t="s">
        <v>36</v>
      </c>
      <c r="K983" s="19" t="s">
        <v>402</v>
      </c>
      <c r="L983" s="19" t="s">
        <v>38</v>
      </c>
      <c r="M983" s="20">
        <f t="shared" si="1"/>
        <v>0</v>
      </c>
      <c r="N983" s="22"/>
      <c r="O983" s="19" t="s">
        <v>3578</v>
      </c>
      <c r="P983" s="18"/>
      <c r="Q983" s="18"/>
      <c r="R983" s="23">
        <v>0.0</v>
      </c>
      <c r="S983" s="23">
        <v>0.0</v>
      </c>
      <c r="T983" s="23">
        <f t="shared" si="2"/>
        <v>0</v>
      </c>
      <c r="U983" s="23">
        <f t="shared" si="3"/>
        <v>0</v>
      </c>
      <c r="V983" s="23">
        <f t="shared" si="4"/>
        <v>0</v>
      </c>
      <c r="W983" s="24" t="str">
        <f t="shared" si="5"/>
        <v>#DIV/0!</v>
      </c>
    </row>
    <row r="984" hidden="1">
      <c r="A984" s="15" t="s">
        <v>5061</v>
      </c>
      <c r="B984" s="15" t="s">
        <v>5062</v>
      </c>
      <c r="C984" s="15" t="s">
        <v>7501</v>
      </c>
      <c r="D984" s="18"/>
      <c r="E984" s="17" t="s">
        <v>7502</v>
      </c>
      <c r="F984" s="18"/>
      <c r="G984" s="18"/>
      <c r="H984" s="15" t="s">
        <v>7197</v>
      </c>
      <c r="I984" s="18"/>
      <c r="J984" s="19" t="s">
        <v>36</v>
      </c>
      <c r="K984" s="19" t="s">
        <v>1269</v>
      </c>
      <c r="L984" s="19" t="s">
        <v>38</v>
      </c>
      <c r="M984" s="20">
        <f t="shared" si="1"/>
        <v>0</v>
      </c>
      <c r="N984" s="22"/>
      <c r="O984" s="19" t="s">
        <v>1145</v>
      </c>
      <c r="P984" s="18"/>
      <c r="Q984" s="18"/>
      <c r="R984" s="23">
        <v>0.0</v>
      </c>
      <c r="S984" s="23">
        <v>0.0</v>
      </c>
      <c r="T984" s="23">
        <f t="shared" si="2"/>
        <v>0</v>
      </c>
      <c r="U984" s="23">
        <f t="shared" si="3"/>
        <v>0</v>
      </c>
      <c r="V984" s="23">
        <f t="shared" si="4"/>
        <v>0</v>
      </c>
      <c r="W984" s="24" t="str">
        <f t="shared" si="5"/>
        <v>#DIV/0!</v>
      </c>
    </row>
    <row r="985">
      <c r="A985" s="15" t="s">
        <v>4214</v>
      </c>
      <c r="B985" s="15" t="s">
        <v>4215</v>
      </c>
      <c r="C985" s="15" t="s">
        <v>6428</v>
      </c>
      <c r="D985" s="15" t="s">
        <v>4216</v>
      </c>
      <c r="E985" s="17" t="s">
        <v>4217</v>
      </c>
      <c r="F985" s="18"/>
      <c r="G985" s="18"/>
      <c r="H985" s="15" t="s">
        <v>4218</v>
      </c>
      <c r="I985" s="15" t="s">
        <v>5599</v>
      </c>
      <c r="J985" s="19" t="s">
        <v>36</v>
      </c>
      <c r="K985" s="19" t="s">
        <v>402</v>
      </c>
      <c r="L985" s="19" t="s">
        <v>38</v>
      </c>
      <c r="M985" s="20">
        <f t="shared" si="1"/>
        <v>0</v>
      </c>
      <c r="N985" s="22"/>
      <c r="O985" s="19" t="s">
        <v>3578</v>
      </c>
      <c r="P985" s="18"/>
      <c r="Q985" s="18"/>
      <c r="R985" s="23">
        <v>0.0</v>
      </c>
      <c r="S985" s="23">
        <v>0.0</v>
      </c>
      <c r="T985" s="23">
        <f t="shared" si="2"/>
        <v>0</v>
      </c>
      <c r="U985" s="23">
        <f t="shared" si="3"/>
        <v>0</v>
      </c>
      <c r="V985" s="23">
        <f t="shared" si="4"/>
        <v>0</v>
      </c>
      <c r="W985" s="24" t="str">
        <f t="shared" si="5"/>
        <v>#DIV/0!</v>
      </c>
    </row>
    <row r="986">
      <c r="A986" s="15" t="s">
        <v>4219</v>
      </c>
      <c r="B986" s="15" t="s">
        <v>4220</v>
      </c>
      <c r="C986" s="15" t="s">
        <v>6429</v>
      </c>
      <c r="D986" s="15" t="s">
        <v>4221</v>
      </c>
      <c r="E986" s="17" t="s">
        <v>3921</v>
      </c>
      <c r="F986" s="18"/>
      <c r="G986" s="18"/>
      <c r="H986" s="15" t="s">
        <v>4222</v>
      </c>
      <c r="I986" s="18"/>
      <c r="J986" s="19" t="s">
        <v>36</v>
      </c>
      <c r="K986" s="19" t="s">
        <v>105</v>
      </c>
      <c r="L986" s="19" t="s">
        <v>38</v>
      </c>
      <c r="M986" s="20">
        <f t="shared" si="1"/>
        <v>0</v>
      </c>
      <c r="N986" s="22"/>
      <c r="O986" s="19" t="s">
        <v>3578</v>
      </c>
      <c r="P986" s="18"/>
      <c r="Q986" s="18"/>
      <c r="R986" s="23">
        <v>0.0</v>
      </c>
      <c r="S986" s="23">
        <v>0.0</v>
      </c>
      <c r="T986" s="23">
        <f t="shared" si="2"/>
        <v>0</v>
      </c>
      <c r="U986" s="23">
        <f t="shared" si="3"/>
        <v>0</v>
      </c>
      <c r="V986" s="23">
        <f t="shared" si="4"/>
        <v>0</v>
      </c>
      <c r="W986" s="24" t="str">
        <f t="shared" si="5"/>
        <v>#DIV/0!</v>
      </c>
    </row>
    <row r="987" hidden="1">
      <c r="A987" s="15" t="s">
        <v>2740</v>
      </c>
      <c r="B987" s="18"/>
      <c r="C987" s="15" t="s">
        <v>7503</v>
      </c>
      <c r="D987" s="18"/>
      <c r="E987" s="17" t="s">
        <v>2741</v>
      </c>
      <c r="F987" s="18"/>
      <c r="G987" s="18"/>
      <c r="H987" s="15" t="s">
        <v>2742</v>
      </c>
      <c r="I987" s="15" t="s">
        <v>2743</v>
      </c>
      <c r="J987" s="19" t="s">
        <v>36</v>
      </c>
      <c r="K987" s="19" t="s">
        <v>2382</v>
      </c>
      <c r="L987" s="19" t="s">
        <v>38</v>
      </c>
      <c r="M987" s="20">
        <f t="shared" si="1"/>
        <v>0</v>
      </c>
      <c r="N987" s="22"/>
      <c r="O987" s="19" t="s">
        <v>1145</v>
      </c>
      <c r="P987" s="18"/>
      <c r="Q987" s="18"/>
      <c r="R987" s="23">
        <v>0.0</v>
      </c>
      <c r="S987" s="23">
        <v>0.0</v>
      </c>
      <c r="T987" s="23">
        <f t="shared" si="2"/>
        <v>0</v>
      </c>
      <c r="U987" s="23">
        <f t="shared" si="3"/>
        <v>0</v>
      </c>
      <c r="V987" s="23">
        <f t="shared" si="4"/>
        <v>0</v>
      </c>
      <c r="W987" s="24" t="str">
        <f t="shared" si="5"/>
        <v>#DIV/0!</v>
      </c>
    </row>
    <row r="988" hidden="1">
      <c r="A988" s="15" t="s">
        <v>7504</v>
      </c>
      <c r="B988" s="18"/>
      <c r="C988" s="15" t="s">
        <v>7505</v>
      </c>
      <c r="D988" s="18"/>
      <c r="E988" s="17" t="s">
        <v>7506</v>
      </c>
      <c r="F988" s="18"/>
      <c r="G988" s="18"/>
      <c r="H988" s="15" t="s">
        <v>7507</v>
      </c>
      <c r="I988" s="15" t="s">
        <v>4409</v>
      </c>
      <c r="J988" s="19" t="s">
        <v>36</v>
      </c>
      <c r="K988" s="19" t="s">
        <v>2401</v>
      </c>
      <c r="L988" s="19" t="s">
        <v>38</v>
      </c>
      <c r="M988" s="20">
        <f t="shared" si="1"/>
        <v>0</v>
      </c>
      <c r="N988" s="22"/>
      <c r="O988" s="19" t="s">
        <v>39</v>
      </c>
      <c r="P988" s="18"/>
      <c r="Q988" s="18"/>
      <c r="R988" s="23">
        <v>0.0</v>
      </c>
      <c r="S988" s="23">
        <v>0.0</v>
      </c>
      <c r="T988" s="23">
        <f t="shared" si="2"/>
        <v>0</v>
      </c>
      <c r="U988" s="23">
        <f t="shared" si="3"/>
        <v>0</v>
      </c>
      <c r="V988" s="23">
        <f t="shared" si="4"/>
        <v>0</v>
      </c>
      <c r="W988" s="24" t="str">
        <f t="shared" si="5"/>
        <v>#DIV/0!</v>
      </c>
    </row>
    <row r="989" hidden="1">
      <c r="A989" s="15" t="s">
        <v>2744</v>
      </c>
      <c r="B989" s="18"/>
      <c r="C989" s="15" t="s">
        <v>7508</v>
      </c>
      <c r="D989" s="18"/>
      <c r="E989" s="17" t="s">
        <v>2745</v>
      </c>
      <c r="F989" s="18"/>
      <c r="G989" s="18"/>
      <c r="H989" s="15" t="s">
        <v>2746</v>
      </c>
      <c r="I989" s="15" t="s">
        <v>2747</v>
      </c>
      <c r="J989" s="19" t="s">
        <v>36</v>
      </c>
      <c r="K989" s="19" t="s">
        <v>2387</v>
      </c>
      <c r="L989" s="19" t="s">
        <v>38</v>
      </c>
      <c r="M989" s="20">
        <f t="shared" si="1"/>
        <v>0</v>
      </c>
      <c r="N989" s="22"/>
      <c r="O989" s="19" t="s">
        <v>1145</v>
      </c>
      <c r="P989" s="18"/>
      <c r="Q989" s="18"/>
      <c r="R989" s="23">
        <v>0.0</v>
      </c>
      <c r="S989" s="23">
        <v>0.0</v>
      </c>
      <c r="T989" s="23">
        <f t="shared" si="2"/>
        <v>0</v>
      </c>
      <c r="U989" s="23">
        <f t="shared" si="3"/>
        <v>0</v>
      </c>
      <c r="V989" s="23">
        <f t="shared" si="4"/>
        <v>0</v>
      </c>
      <c r="W989" s="24" t="str">
        <f t="shared" si="5"/>
        <v>#DIV/0!</v>
      </c>
    </row>
    <row r="990" hidden="1">
      <c r="A990" s="15" t="s">
        <v>2748</v>
      </c>
      <c r="B990" s="18"/>
      <c r="C990" s="15" t="s">
        <v>7509</v>
      </c>
      <c r="D990" s="18"/>
      <c r="E990" s="17" t="s">
        <v>2749</v>
      </c>
      <c r="F990" s="18"/>
      <c r="G990" s="18"/>
      <c r="H990" s="15" t="s">
        <v>2750</v>
      </c>
      <c r="I990" s="15" t="s">
        <v>2751</v>
      </c>
      <c r="J990" s="19" t="s">
        <v>36</v>
      </c>
      <c r="K990" s="19" t="s">
        <v>2401</v>
      </c>
      <c r="L990" s="19" t="s">
        <v>38</v>
      </c>
      <c r="M990" s="20">
        <f t="shared" si="1"/>
        <v>0</v>
      </c>
      <c r="N990" s="22"/>
      <c r="O990" s="19" t="s">
        <v>1145</v>
      </c>
      <c r="P990" s="18"/>
      <c r="Q990" s="18"/>
      <c r="R990" s="23">
        <v>0.0</v>
      </c>
      <c r="S990" s="23">
        <v>0.0</v>
      </c>
      <c r="T990" s="23">
        <f t="shared" si="2"/>
        <v>0</v>
      </c>
      <c r="U990" s="23">
        <f t="shared" si="3"/>
        <v>0</v>
      </c>
      <c r="V990" s="23">
        <f t="shared" si="4"/>
        <v>0</v>
      </c>
      <c r="W990" s="24" t="str">
        <f t="shared" si="5"/>
        <v>#DIV/0!</v>
      </c>
    </row>
    <row r="991" hidden="1">
      <c r="A991" s="15" t="s">
        <v>2752</v>
      </c>
      <c r="B991" s="18"/>
      <c r="C991" s="15" t="s">
        <v>7510</v>
      </c>
      <c r="D991" s="18"/>
      <c r="E991" s="17" t="s">
        <v>2749</v>
      </c>
      <c r="F991" s="18"/>
      <c r="G991" s="18"/>
      <c r="H991" s="15" t="s">
        <v>2753</v>
      </c>
      <c r="I991" s="15" t="s">
        <v>2754</v>
      </c>
      <c r="J991" s="19" t="s">
        <v>36</v>
      </c>
      <c r="K991" s="19" t="s">
        <v>2401</v>
      </c>
      <c r="L991" s="19" t="s">
        <v>38</v>
      </c>
      <c r="M991" s="20">
        <f t="shared" si="1"/>
        <v>0</v>
      </c>
      <c r="N991" s="22"/>
      <c r="O991" s="19" t="s">
        <v>1145</v>
      </c>
      <c r="P991" s="18"/>
      <c r="Q991" s="18"/>
      <c r="R991" s="23">
        <v>0.0</v>
      </c>
      <c r="S991" s="23">
        <v>0.0</v>
      </c>
      <c r="T991" s="23">
        <f t="shared" si="2"/>
        <v>0</v>
      </c>
      <c r="U991" s="23">
        <f t="shared" si="3"/>
        <v>0</v>
      </c>
      <c r="V991" s="23">
        <f t="shared" si="4"/>
        <v>0</v>
      </c>
      <c r="W991" s="24" t="str">
        <f t="shared" si="5"/>
        <v>#DIV/0!</v>
      </c>
    </row>
    <row r="992" hidden="1">
      <c r="A992" s="15" t="s">
        <v>2755</v>
      </c>
      <c r="B992" s="18"/>
      <c r="C992" s="15" t="s">
        <v>7511</v>
      </c>
      <c r="D992" s="18"/>
      <c r="E992" s="17" t="s">
        <v>2756</v>
      </c>
      <c r="F992" s="18"/>
      <c r="G992" s="18"/>
      <c r="H992" s="15" t="s">
        <v>2757</v>
      </c>
      <c r="I992" s="15" t="s">
        <v>2758</v>
      </c>
      <c r="J992" s="19" t="s">
        <v>36</v>
      </c>
      <c r="K992" s="19" t="s">
        <v>691</v>
      </c>
      <c r="L992" s="19" t="s">
        <v>38</v>
      </c>
      <c r="M992" s="20">
        <f t="shared" si="1"/>
        <v>0</v>
      </c>
      <c r="N992" s="22"/>
      <c r="O992" s="19" t="s">
        <v>1145</v>
      </c>
      <c r="P992" s="18"/>
      <c r="Q992" s="18"/>
      <c r="R992" s="23">
        <v>0.0</v>
      </c>
      <c r="S992" s="23">
        <v>0.0</v>
      </c>
      <c r="T992" s="23">
        <f t="shared" si="2"/>
        <v>0</v>
      </c>
      <c r="U992" s="23">
        <f t="shared" si="3"/>
        <v>0</v>
      </c>
      <c r="V992" s="23">
        <f t="shared" si="4"/>
        <v>0</v>
      </c>
      <c r="W992" s="24" t="str">
        <f t="shared" si="5"/>
        <v>#DIV/0!</v>
      </c>
    </row>
    <row r="993" hidden="1">
      <c r="A993" s="15" t="s">
        <v>2759</v>
      </c>
      <c r="B993" s="18"/>
      <c r="C993" s="15" t="s">
        <v>7512</v>
      </c>
      <c r="D993" s="18"/>
      <c r="E993" s="17" t="s">
        <v>2760</v>
      </c>
      <c r="F993" s="18"/>
      <c r="G993" s="18"/>
      <c r="H993" s="15" t="s">
        <v>2761</v>
      </c>
      <c r="I993" s="15" t="s">
        <v>2762</v>
      </c>
      <c r="J993" s="19" t="s">
        <v>36</v>
      </c>
      <c r="K993" s="19" t="s">
        <v>2519</v>
      </c>
      <c r="L993" s="19" t="s">
        <v>38</v>
      </c>
      <c r="M993" s="20">
        <f t="shared" si="1"/>
        <v>0</v>
      </c>
      <c r="N993" s="22"/>
      <c r="O993" s="19" t="s">
        <v>1145</v>
      </c>
      <c r="P993" s="18"/>
      <c r="Q993" s="18"/>
      <c r="R993" s="23">
        <v>0.0</v>
      </c>
      <c r="S993" s="23">
        <v>0.0</v>
      </c>
      <c r="T993" s="23">
        <f t="shared" si="2"/>
        <v>0</v>
      </c>
      <c r="U993" s="23">
        <f t="shared" si="3"/>
        <v>0</v>
      </c>
      <c r="V993" s="23">
        <f t="shared" si="4"/>
        <v>0</v>
      </c>
      <c r="W993" s="24" t="str">
        <f t="shared" si="5"/>
        <v>#DIV/0!</v>
      </c>
    </row>
    <row r="994" hidden="1">
      <c r="A994" s="15" t="s">
        <v>7513</v>
      </c>
      <c r="B994" s="18"/>
      <c r="C994" s="15" t="s">
        <v>7514</v>
      </c>
      <c r="D994" s="18"/>
      <c r="E994" s="17" t="s">
        <v>2760</v>
      </c>
      <c r="F994" s="18"/>
      <c r="G994" s="18"/>
      <c r="H994" s="15" t="s">
        <v>7515</v>
      </c>
      <c r="I994" s="15" t="s">
        <v>176</v>
      </c>
      <c r="J994" s="19" t="s">
        <v>36</v>
      </c>
      <c r="K994" s="19" t="s">
        <v>2519</v>
      </c>
      <c r="L994" s="19" t="s">
        <v>38</v>
      </c>
      <c r="M994" s="20">
        <f t="shared" si="1"/>
        <v>0</v>
      </c>
      <c r="N994" s="22"/>
      <c r="O994" s="19" t="s">
        <v>39</v>
      </c>
      <c r="P994" s="18"/>
      <c r="Q994" s="18"/>
      <c r="R994" s="23">
        <v>0.0</v>
      </c>
      <c r="S994" s="23">
        <v>0.0</v>
      </c>
      <c r="T994" s="23">
        <f t="shared" si="2"/>
        <v>0</v>
      </c>
      <c r="U994" s="23">
        <f t="shared" si="3"/>
        <v>0</v>
      </c>
      <c r="V994" s="23">
        <f t="shared" si="4"/>
        <v>0</v>
      </c>
      <c r="W994" s="24" t="str">
        <f t="shared" si="5"/>
        <v>#DIV/0!</v>
      </c>
    </row>
    <row r="995">
      <c r="A995" s="15" t="s">
        <v>4223</v>
      </c>
      <c r="B995" s="15" t="s">
        <v>4224</v>
      </c>
      <c r="C995" s="15" t="s">
        <v>6430</v>
      </c>
      <c r="D995" s="15" t="s">
        <v>430</v>
      </c>
      <c r="E995" s="17" t="s">
        <v>4225</v>
      </c>
      <c r="F995" s="18"/>
      <c r="G995" s="18"/>
      <c r="H995" s="15" t="s">
        <v>1908</v>
      </c>
      <c r="I995" s="18"/>
      <c r="J995" s="19" t="s">
        <v>36</v>
      </c>
      <c r="K995" s="19" t="s">
        <v>37</v>
      </c>
      <c r="L995" s="19" t="s">
        <v>38</v>
      </c>
      <c r="M995" s="20">
        <f t="shared" si="1"/>
        <v>0</v>
      </c>
      <c r="N995" s="22"/>
      <c r="O995" s="19" t="s">
        <v>3578</v>
      </c>
      <c r="P995" s="18"/>
      <c r="Q995" s="18"/>
      <c r="R995" s="23">
        <v>0.0</v>
      </c>
      <c r="S995" s="23">
        <v>0.0</v>
      </c>
      <c r="T995" s="23">
        <f t="shared" si="2"/>
        <v>0</v>
      </c>
      <c r="U995" s="23">
        <f t="shared" si="3"/>
        <v>0</v>
      </c>
      <c r="V995" s="23">
        <f t="shared" si="4"/>
        <v>0</v>
      </c>
      <c r="W995" s="24" t="str">
        <f t="shared" si="5"/>
        <v>#DIV/0!</v>
      </c>
    </row>
    <row r="996" hidden="1">
      <c r="A996" s="15" t="s">
        <v>2763</v>
      </c>
      <c r="B996" s="18"/>
      <c r="C996" s="15" t="s">
        <v>7516</v>
      </c>
      <c r="D996" s="18"/>
      <c r="E996" s="17" t="s">
        <v>2764</v>
      </c>
      <c r="F996" s="18"/>
      <c r="G996" s="18"/>
      <c r="H996" s="15" t="s">
        <v>2765</v>
      </c>
      <c r="I996" s="15" t="s">
        <v>2766</v>
      </c>
      <c r="J996" s="19" t="s">
        <v>36</v>
      </c>
      <c r="K996" s="19" t="s">
        <v>691</v>
      </c>
      <c r="L996" s="19" t="s">
        <v>38</v>
      </c>
      <c r="M996" s="20">
        <f t="shared" si="1"/>
        <v>0</v>
      </c>
      <c r="N996" s="22"/>
      <c r="O996" s="19" t="s">
        <v>1145</v>
      </c>
      <c r="P996" s="18"/>
      <c r="Q996" s="18"/>
      <c r="R996" s="23">
        <v>0.0</v>
      </c>
      <c r="S996" s="23">
        <v>0.0</v>
      </c>
      <c r="T996" s="23">
        <f t="shared" si="2"/>
        <v>0</v>
      </c>
      <c r="U996" s="23">
        <f t="shared" si="3"/>
        <v>0</v>
      </c>
      <c r="V996" s="23">
        <f t="shared" si="4"/>
        <v>0</v>
      </c>
      <c r="W996" s="24" t="str">
        <f t="shared" si="5"/>
        <v>#DIV/0!</v>
      </c>
    </row>
    <row r="997" hidden="1">
      <c r="A997" s="15" t="s">
        <v>2767</v>
      </c>
      <c r="B997" s="18"/>
      <c r="C997" s="15" t="s">
        <v>7517</v>
      </c>
      <c r="D997" s="18"/>
      <c r="E997" s="17" t="s">
        <v>2768</v>
      </c>
      <c r="F997" s="18"/>
      <c r="G997" s="18"/>
      <c r="H997" s="15" t="s">
        <v>2769</v>
      </c>
      <c r="I997" s="15" t="s">
        <v>2770</v>
      </c>
      <c r="J997" s="19" t="s">
        <v>36</v>
      </c>
      <c r="K997" s="19" t="s">
        <v>2401</v>
      </c>
      <c r="L997" s="19" t="s">
        <v>38</v>
      </c>
      <c r="M997" s="20">
        <f t="shared" si="1"/>
        <v>0</v>
      </c>
      <c r="N997" s="22"/>
      <c r="O997" s="19" t="s">
        <v>1145</v>
      </c>
      <c r="P997" s="18"/>
      <c r="Q997" s="18"/>
      <c r="R997" s="23">
        <v>0.0</v>
      </c>
      <c r="S997" s="23">
        <v>0.0</v>
      </c>
      <c r="T997" s="23">
        <f t="shared" si="2"/>
        <v>0</v>
      </c>
      <c r="U997" s="23">
        <f t="shared" si="3"/>
        <v>0</v>
      </c>
      <c r="V997" s="23">
        <f t="shared" si="4"/>
        <v>0</v>
      </c>
      <c r="W997" s="24" t="str">
        <f t="shared" si="5"/>
        <v>#DIV/0!</v>
      </c>
    </row>
    <row r="998" hidden="1">
      <c r="A998" s="15" t="s">
        <v>2771</v>
      </c>
      <c r="B998" s="18"/>
      <c r="C998" s="15" t="s">
        <v>7518</v>
      </c>
      <c r="D998" s="18"/>
      <c r="E998" s="17" t="s">
        <v>2772</v>
      </c>
      <c r="F998" s="18"/>
      <c r="G998" s="18"/>
      <c r="H998" s="15" t="s">
        <v>2773</v>
      </c>
      <c r="I998" s="15" t="s">
        <v>2774</v>
      </c>
      <c r="J998" s="19" t="s">
        <v>36</v>
      </c>
      <c r="K998" s="19" t="s">
        <v>2519</v>
      </c>
      <c r="L998" s="19" t="s">
        <v>38</v>
      </c>
      <c r="M998" s="20">
        <f t="shared" si="1"/>
        <v>0</v>
      </c>
      <c r="N998" s="22"/>
      <c r="O998" s="19" t="s">
        <v>1145</v>
      </c>
      <c r="P998" s="18"/>
      <c r="Q998" s="18"/>
      <c r="R998" s="23">
        <v>0.0</v>
      </c>
      <c r="S998" s="23">
        <v>0.0</v>
      </c>
      <c r="T998" s="23">
        <f t="shared" si="2"/>
        <v>0</v>
      </c>
      <c r="U998" s="23">
        <f t="shared" si="3"/>
        <v>0</v>
      </c>
      <c r="V998" s="23">
        <f t="shared" si="4"/>
        <v>0</v>
      </c>
      <c r="W998" s="24" t="str">
        <f t="shared" si="5"/>
        <v>#DIV/0!</v>
      </c>
    </row>
    <row r="999" hidden="1">
      <c r="A999" s="15" t="s">
        <v>2775</v>
      </c>
      <c r="B999" s="18"/>
      <c r="C999" s="15" t="s">
        <v>7519</v>
      </c>
      <c r="D999" s="18"/>
      <c r="E999" s="17" t="s">
        <v>2776</v>
      </c>
      <c r="F999" s="18"/>
      <c r="G999" s="18"/>
      <c r="H999" s="15" t="s">
        <v>2777</v>
      </c>
      <c r="I999" s="15" t="s">
        <v>2778</v>
      </c>
      <c r="J999" s="19" t="s">
        <v>36</v>
      </c>
      <c r="K999" s="19" t="s">
        <v>2506</v>
      </c>
      <c r="L999" s="19" t="s">
        <v>38</v>
      </c>
      <c r="M999" s="20">
        <f t="shared" si="1"/>
        <v>0</v>
      </c>
      <c r="N999" s="22"/>
      <c r="O999" s="19" t="s">
        <v>1145</v>
      </c>
      <c r="P999" s="18"/>
      <c r="Q999" s="18"/>
      <c r="R999" s="23">
        <v>0.0</v>
      </c>
      <c r="S999" s="23">
        <v>0.0</v>
      </c>
      <c r="T999" s="23">
        <f t="shared" si="2"/>
        <v>0</v>
      </c>
      <c r="U999" s="23">
        <f t="shared" si="3"/>
        <v>0</v>
      </c>
      <c r="V999" s="23">
        <f t="shared" si="4"/>
        <v>0</v>
      </c>
      <c r="W999" s="24" t="str">
        <f t="shared" si="5"/>
        <v>#DIV/0!</v>
      </c>
    </row>
    <row r="1000" hidden="1">
      <c r="A1000" s="15" t="s">
        <v>2779</v>
      </c>
      <c r="B1000" s="18"/>
      <c r="C1000" s="15" t="s">
        <v>7520</v>
      </c>
      <c r="D1000" s="18"/>
      <c r="E1000" s="17" t="s">
        <v>2780</v>
      </c>
      <c r="F1000" s="18"/>
      <c r="G1000" s="18"/>
      <c r="H1000" s="15" t="s">
        <v>2781</v>
      </c>
      <c r="I1000" s="15" t="s">
        <v>2782</v>
      </c>
      <c r="J1000" s="19" t="s">
        <v>36</v>
      </c>
      <c r="K1000" s="19" t="s">
        <v>691</v>
      </c>
      <c r="L1000" s="19" t="s">
        <v>38</v>
      </c>
      <c r="M1000" s="20">
        <f t="shared" si="1"/>
        <v>0</v>
      </c>
      <c r="N1000" s="22"/>
      <c r="O1000" s="19" t="s">
        <v>1145</v>
      </c>
      <c r="P1000" s="18"/>
      <c r="Q1000" s="18"/>
      <c r="R1000" s="23">
        <v>0.0</v>
      </c>
      <c r="S1000" s="23">
        <v>0.0</v>
      </c>
      <c r="T1000" s="23">
        <f t="shared" si="2"/>
        <v>0</v>
      </c>
      <c r="U1000" s="23">
        <f t="shared" si="3"/>
        <v>0</v>
      </c>
      <c r="V1000" s="23">
        <f t="shared" si="4"/>
        <v>0</v>
      </c>
      <c r="W1000" s="24" t="str">
        <f t="shared" si="5"/>
        <v>#DIV/0!</v>
      </c>
    </row>
    <row r="1001" hidden="1">
      <c r="A1001" s="15" t="s">
        <v>2783</v>
      </c>
      <c r="B1001" s="18"/>
      <c r="C1001" s="15" t="s">
        <v>7521</v>
      </c>
      <c r="D1001" s="18"/>
      <c r="E1001" s="17" t="s">
        <v>2784</v>
      </c>
      <c r="F1001" s="18"/>
      <c r="G1001" s="18"/>
      <c r="H1001" s="15" t="s">
        <v>2785</v>
      </c>
      <c r="I1001" s="15" t="s">
        <v>2786</v>
      </c>
      <c r="J1001" s="19" t="s">
        <v>36</v>
      </c>
      <c r="K1001" s="19" t="s">
        <v>2396</v>
      </c>
      <c r="L1001" s="19" t="s">
        <v>38</v>
      </c>
      <c r="M1001" s="20">
        <f t="shared" si="1"/>
        <v>0</v>
      </c>
      <c r="N1001" s="22"/>
      <c r="O1001" s="19" t="s">
        <v>1145</v>
      </c>
      <c r="P1001" s="18"/>
      <c r="Q1001" s="18"/>
      <c r="R1001" s="23">
        <v>0.0</v>
      </c>
      <c r="S1001" s="23">
        <v>0.0</v>
      </c>
      <c r="T1001" s="23">
        <f t="shared" si="2"/>
        <v>0</v>
      </c>
      <c r="U1001" s="23">
        <f t="shared" si="3"/>
        <v>0</v>
      </c>
      <c r="V1001" s="23">
        <f t="shared" si="4"/>
        <v>0</v>
      </c>
      <c r="W1001" s="24" t="str">
        <f t="shared" si="5"/>
        <v>#DIV/0!</v>
      </c>
    </row>
    <row r="1002" hidden="1">
      <c r="A1002" s="15" t="s">
        <v>2787</v>
      </c>
      <c r="B1002" s="18"/>
      <c r="C1002" s="15" t="s">
        <v>7522</v>
      </c>
      <c r="D1002" s="18"/>
      <c r="E1002" s="17" t="s">
        <v>2788</v>
      </c>
      <c r="F1002" s="18"/>
      <c r="G1002" s="18"/>
      <c r="H1002" s="15" t="s">
        <v>2789</v>
      </c>
      <c r="I1002" s="15" t="s">
        <v>2790</v>
      </c>
      <c r="J1002" s="19" t="s">
        <v>36</v>
      </c>
      <c r="K1002" s="19" t="s">
        <v>2387</v>
      </c>
      <c r="L1002" s="19" t="s">
        <v>38</v>
      </c>
      <c r="M1002" s="20">
        <f t="shared" si="1"/>
        <v>0</v>
      </c>
      <c r="N1002" s="22"/>
      <c r="O1002" s="19" t="s">
        <v>1145</v>
      </c>
      <c r="P1002" s="18"/>
      <c r="Q1002" s="18"/>
      <c r="R1002" s="23">
        <v>0.0</v>
      </c>
      <c r="S1002" s="23">
        <v>0.0</v>
      </c>
      <c r="T1002" s="23">
        <f t="shared" si="2"/>
        <v>0</v>
      </c>
      <c r="U1002" s="23">
        <f t="shared" si="3"/>
        <v>0</v>
      </c>
      <c r="V1002" s="23">
        <f t="shared" si="4"/>
        <v>0</v>
      </c>
      <c r="W1002" s="24" t="str">
        <f t="shared" si="5"/>
        <v>#DIV/0!</v>
      </c>
    </row>
    <row r="1003">
      <c r="A1003" s="15" t="s">
        <v>4226</v>
      </c>
      <c r="B1003" s="15" t="s">
        <v>4227</v>
      </c>
      <c r="C1003" s="15" t="s">
        <v>6431</v>
      </c>
      <c r="D1003" s="15" t="s">
        <v>4228</v>
      </c>
      <c r="E1003" s="17" t="s">
        <v>4229</v>
      </c>
      <c r="F1003" s="18"/>
      <c r="G1003" s="18"/>
      <c r="H1003" s="15" t="s">
        <v>4230</v>
      </c>
      <c r="I1003" s="18"/>
      <c r="J1003" s="19" t="s">
        <v>36</v>
      </c>
      <c r="K1003" s="19" t="s">
        <v>402</v>
      </c>
      <c r="L1003" s="19" t="s">
        <v>38</v>
      </c>
      <c r="M1003" s="20">
        <f t="shared" si="1"/>
        <v>0</v>
      </c>
      <c r="N1003" s="22"/>
      <c r="O1003" s="19" t="s">
        <v>3578</v>
      </c>
      <c r="P1003" s="18"/>
      <c r="Q1003" s="18"/>
      <c r="R1003" s="23">
        <v>0.0</v>
      </c>
      <c r="S1003" s="23">
        <v>0.0</v>
      </c>
      <c r="T1003" s="23">
        <f t="shared" si="2"/>
        <v>0</v>
      </c>
      <c r="U1003" s="23">
        <f t="shared" si="3"/>
        <v>0</v>
      </c>
      <c r="V1003" s="23">
        <f t="shared" si="4"/>
        <v>0</v>
      </c>
      <c r="W1003" s="24" t="str">
        <f t="shared" si="5"/>
        <v>#DIV/0!</v>
      </c>
    </row>
    <row r="1004">
      <c r="A1004" s="15" t="s">
        <v>4231</v>
      </c>
      <c r="B1004" s="15" t="s">
        <v>4232</v>
      </c>
      <c r="C1004" s="15" t="s">
        <v>6432</v>
      </c>
      <c r="D1004" s="15" t="s">
        <v>4233</v>
      </c>
      <c r="E1004" s="17" t="s">
        <v>4234</v>
      </c>
      <c r="F1004" s="18"/>
      <c r="G1004" s="18"/>
      <c r="H1004" s="15" t="s">
        <v>4235</v>
      </c>
      <c r="I1004" s="18"/>
      <c r="J1004" s="19" t="s">
        <v>36</v>
      </c>
      <c r="K1004" s="19" t="s">
        <v>402</v>
      </c>
      <c r="L1004" s="19" t="s">
        <v>38</v>
      </c>
      <c r="M1004" s="20">
        <f t="shared" si="1"/>
        <v>0</v>
      </c>
      <c r="N1004" s="22"/>
      <c r="O1004" s="19" t="s">
        <v>3578</v>
      </c>
      <c r="P1004" s="18"/>
      <c r="Q1004" s="18"/>
      <c r="R1004" s="23">
        <v>0.0</v>
      </c>
      <c r="S1004" s="23">
        <v>0.0</v>
      </c>
      <c r="T1004" s="23">
        <f t="shared" si="2"/>
        <v>0</v>
      </c>
      <c r="U1004" s="23">
        <f t="shared" si="3"/>
        <v>0</v>
      </c>
      <c r="V1004" s="23">
        <f t="shared" si="4"/>
        <v>0</v>
      </c>
      <c r="W1004" s="24" t="str">
        <f t="shared" si="5"/>
        <v>#DIV/0!</v>
      </c>
    </row>
    <row r="1005">
      <c r="A1005" s="15" t="s">
        <v>4236</v>
      </c>
      <c r="B1005" s="15" t="s">
        <v>4237</v>
      </c>
      <c r="C1005" s="15" t="s">
        <v>6433</v>
      </c>
      <c r="D1005" s="15" t="s">
        <v>4238</v>
      </c>
      <c r="E1005" s="17" t="s">
        <v>4239</v>
      </c>
      <c r="F1005" s="18"/>
      <c r="G1005" s="18"/>
      <c r="H1005" s="15" t="s">
        <v>4240</v>
      </c>
      <c r="I1005" s="18"/>
      <c r="J1005" s="19" t="s">
        <v>36</v>
      </c>
      <c r="K1005" s="19" t="s">
        <v>105</v>
      </c>
      <c r="L1005" s="19" t="s">
        <v>38</v>
      </c>
      <c r="M1005" s="20">
        <f t="shared" si="1"/>
        <v>0</v>
      </c>
      <c r="N1005" s="22"/>
      <c r="O1005" s="19" t="s">
        <v>3578</v>
      </c>
      <c r="P1005" s="18"/>
      <c r="Q1005" s="18"/>
      <c r="R1005" s="23">
        <v>0.0</v>
      </c>
      <c r="S1005" s="23">
        <v>0.0</v>
      </c>
      <c r="T1005" s="23">
        <f t="shared" si="2"/>
        <v>0</v>
      </c>
      <c r="U1005" s="23">
        <f t="shared" si="3"/>
        <v>0</v>
      </c>
      <c r="V1005" s="23">
        <f t="shared" si="4"/>
        <v>0</v>
      </c>
      <c r="W1005" s="24" t="str">
        <f t="shared" si="5"/>
        <v>#DIV/0!</v>
      </c>
    </row>
    <row r="1006">
      <c r="A1006" s="15" t="s">
        <v>4241</v>
      </c>
      <c r="B1006" s="15" t="s">
        <v>4242</v>
      </c>
      <c r="C1006" s="15" t="s">
        <v>6434</v>
      </c>
      <c r="D1006" s="15" t="s">
        <v>4243</v>
      </c>
      <c r="E1006" s="17" t="s">
        <v>4244</v>
      </c>
      <c r="F1006" s="18"/>
      <c r="G1006" s="18"/>
      <c r="H1006" s="15" t="s">
        <v>4245</v>
      </c>
      <c r="I1006" s="18"/>
      <c r="J1006" s="19" t="s">
        <v>36</v>
      </c>
      <c r="K1006" s="19" t="s">
        <v>1230</v>
      </c>
      <c r="L1006" s="19" t="s">
        <v>38</v>
      </c>
      <c r="M1006" s="20">
        <f t="shared" si="1"/>
        <v>0</v>
      </c>
      <c r="N1006" s="22"/>
      <c r="O1006" s="19" t="s">
        <v>3578</v>
      </c>
      <c r="P1006" s="18"/>
      <c r="Q1006" s="18"/>
      <c r="R1006" s="23">
        <v>0.0</v>
      </c>
      <c r="S1006" s="23">
        <v>0.0</v>
      </c>
      <c r="T1006" s="23">
        <f t="shared" si="2"/>
        <v>0</v>
      </c>
      <c r="U1006" s="23">
        <f t="shared" si="3"/>
        <v>0</v>
      </c>
      <c r="V1006" s="23">
        <f t="shared" si="4"/>
        <v>0</v>
      </c>
      <c r="W1006" s="24" t="str">
        <f t="shared" si="5"/>
        <v>#DIV/0!</v>
      </c>
    </row>
    <row r="1007">
      <c r="A1007" s="15" t="s">
        <v>4246</v>
      </c>
      <c r="B1007" s="15" t="s">
        <v>4247</v>
      </c>
      <c r="C1007" s="15" t="s">
        <v>6435</v>
      </c>
      <c r="D1007" s="15" t="s">
        <v>4248</v>
      </c>
      <c r="E1007" s="17" t="s">
        <v>4249</v>
      </c>
      <c r="F1007" s="18"/>
      <c r="G1007" s="18"/>
      <c r="H1007" s="15" t="s">
        <v>4250</v>
      </c>
      <c r="I1007" s="18"/>
      <c r="J1007" s="19" t="s">
        <v>36</v>
      </c>
      <c r="K1007" s="19" t="s">
        <v>402</v>
      </c>
      <c r="L1007" s="19" t="s">
        <v>38</v>
      </c>
      <c r="M1007" s="20">
        <f t="shared" si="1"/>
        <v>0</v>
      </c>
      <c r="N1007" s="22"/>
      <c r="O1007" s="19" t="s">
        <v>3578</v>
      </c>
      <c r="P1007" s="18"/>
      <c r="Q1007" s="18"/>
      <c r="R1007" s="23">
        <v>0.0</v>
      </c>
      <c r="S1007" s="23">
        <v>0.0</v>
      </c>
      <c r="T1007" s="23">
        <f t="shared" si="2"/>
        <v>0</v>
      </c>
      <c r="U1007" s="23">
        <f t="shared" si="3"/>
        <v>0</v>
      </c>
      <c r="V1007" s="23">
        <f t="shared" si="4"/>
        <v>0</v>
      </c>
      <c r="W1007" s="24" t="str">
        <f t="shared" si="5"/>
        <v>#DIV/0!</v>
      </c>
    </row>
    <row r="1008">
      <c r="A1008" s="15" t="s">
        <v>4251</v>
      </c>
      <c r="B1008" s="15" t="s">
        <v>4252</v>
      </c>
      <c r="C1008" s="15" t="s">
        <v>6436</v>
      </c>
      <c r="D1008" s="15" t="s">
        <v>4253</v>
      </c>
      <c r="E1008" s="17" t="s">
        <v>4254</v>
      </c>
      <c r="F1008" s="18"/>
      <c r="G1008" s="18"/>
      <c r="H1008" s="15" t="s">
        <v>4255</v>
      </c>
      <c r="I1008" s="18"/>
      <c r="J1008" s="19" t="s">
        <v>36</v>
      </c>
      <c r="K1008" s="19" t="s">
        <v>1230</v>
      </c>
      <c r="L1008" s="19" t="s">
        <v>38</v>
      </c>
      <c r="M1008" s="20">
        <f t="shared" si="1"/>
        <v>0</v>
      </c>
      <c r="N1008" s="22"/>
      <c r="O1008" s="19" t="s">
        <v>3578</v>
      </c>
      <c r="P1008" s="18"/>
      <c r="Q1008" s="18"/>
      <c r="R1008" s="23">
        <v>0.0</v>
      </c>
      <c r="S1008" s="23">
        <v>0.0</v>
      </c>
      <c r="T1008" s="23">
        <f t="shared" si="2"/>
        <v>0</v>
      </c>
      <c r="U1008" s="23">
        <f t="shared" si="3"/>
        <v>0</v>
      </c>
      <c r="V1008" s="23">
        <f t="shared" si="4"/>
        <v>0</v>
      </c>
      <c r="W1008" s="24" t="str">
        <f t="shared" si="5"/>
        <v>#DIV/0!</v>
      </c>
    </row>
    <row r="1009" hidden="1">
      <c r="A1009" s="15" t="s">
        <v>7527</v>
      </c>
      <c r="B1009" s="15" t="s">
        <v>7528</v>
      </c>
      <c r="C1009" s="15" t="s">
        <v>7529</v>
      </c>
      <c r="D1009" s="18"/>
      <c r="E1009" s="17" t="s">
        <v>7530</v>
      </c>
      <c r="F1009" s="18"/>
      <c r="G1009" s="18"/>
      <c r="H1009" s="15" t="s">
        <v>7531</v>
      </c>
      <c r="I1009" s="18"/>
      <c r="J1009" s="19" t="s">
        <v>36</v>
      </c>
      <c r="K1009" s="33"/>
      <c r="L1009" s="19" t="s">
        <v>38</v>
      </c>
      <c r="M1009" s="20">
        <f t="shared" si="1"/>
        <v>0</v>
      </c>
      <c r="N1009" s="22"/>
      <c r="O1009" s="19" t="s">
        <v>39</v>
      </c>
      <c r="P1009" s="18"/>
      <c r="Q1009" s="18"/>
      <c r="R1009" s="23">
        <v>0.0</v>
      </c>
      <c r="S1009" s="23">
        <v>0.0</v>
      </c>
      <c r="T1009" s="23">
        <f t="shared" si="2"/>
        <v>0</v>
      </c>
      <c r="U1009" s="23">
        <f t="shared" si="3"/>
        <v>0</v>
      </c>
      <c r="V1009" s="23">
        <f t="shared" si="4"/>
        <v>0</v>
      </c>
      <c r="W1009" s="24" t="str">
        <f t="shared" si="5"/>
        <v>#DIV/0!</v>
      </c>
    </row>
    <row r="1010" hidden="1">
      <c r="A1010" s="15" t="s">
        <v>2791</v>
      </c>
      <c r="B1010" s="18"/>
      <c r="C1010" s="15" t="s">
        <v>7532</v>
      </c>
      <c r="D1010" s="18"/>
      <c r="E1010" s="17" t="s">
        <v>2792</v>
      </c>
      <c r="F1010" s="18"/>
      <c r="G1010" s="18"/>
      <c r="H1010" s="15" t="s">
        <v>2793</v>
      </c>
      <c r="I1010" s="15" t="s">
        <v>2794</v>
      </c>
      <c r="J1010" s="19" t="s">
        <v>36</v>
      </c>
      <c r="K1010" s="19" t="s">
        <v>691</v>
      </c>
      <c r="L1010" s="19" t="s">
        <v>38</v>
      </c>
      <c r="M1010" s="20">
        <f t="shared" si="1"/>
        <v>0</v>
      </c>
      <c r="N1010" s="22"/>
      <c r="O1010" s="19" t="s">
        <v>1145</v>
      </c>
      <c r="P1010" s="18"/>
      <c r="Q1010" s="18"/>
      <c r="R1010" s="23">
        <v>0.0</v>
      </c>
      <c r="S1010" s="23">
        <v>0.0</v>
      </c>
      <c r="T1010" s="23">
        <f t="shared" si="2"/>
        <v>0</v>
      </c>
      <c r="U1010" s="23">
        <f t="shared" si="3"/>
        <v>0</v>
      </c>
      <c r="V1010" s="23">
        <f t="shared" si="4"/>
        <v>0</v>
      </c>
      <c r="W1010" s="24" t="str">
        <f t="shared" si="5"/>
        <v>#DIV/0!</v>
      </c>
    </row>
    <row r="1011" hidden="1">
      <c r="A1011" s="15" t="s">
        <v>2795</v>
      </c>
      <c r="B1011" s="18"/>
      <c r="C1011" s="15" t="s">
        <v>7533</v>
      </c>
      <c r="D1011" s="18"/>
      <c r="E1011" s="17" t="s">
        <v>2796</v>
      </c>
      <c r="F1011" s="18"/>
      <c r="G1011" s="18"/>
      <c r="H1011" s="15" t="s">
        <v>2797</v>
      </c>
      <c r="I1011" s="15" t="s">
        <v>2798</v>
      </c>
      <c r="J1011" s="19" t="s">
        <v>36</v>
      </c>
      <c r="K1011" s="19" t="s">
        <v>691</v>
      </c>
      <c r="L1011" s="19" t="s">
        <v>38</v>
      </c>
      <c r="M1011" s="20">
        <f t="shared" si="1"/>
        <v>0</v>
      </c>
      <c r="N1011" s="22"/>
      <c r="O1011" s="19" t="s">
        <v>1145</v>
      </c>
      <c r="P1011" s="18"/>
      <c r="Q1011" s="18"/>
      <c r="R1011" s="23">
        <v>0.0</v>
      </c>
      <c r="S1011" s="23">
        <v>0.0</v>
      </c>
      <c r="T1011" s="23">
        <f t="shared" si="2"/>
        <v>0</v>
      </c>
      <c r="U1011" s="23">
        <f t="shared" si="3"/>
        <v>0</v>
      </c>
      <c r="V1011" s="23">
        <f t="shared" si="4"/>
        <v>0</v>
      </c>
      <c r="W1011" s="24" t="str">
        <f t="shared" si="5"/>
        <v>#DIV/0!</v>
      </c>
    </row>
    <row r="1012" hidden="1">
      <c r="A1012" s="15" t="s">
        <v>2799</v>
      </c>
      <c r="B1012" s="18"/>
      <c r="C1012" s="15" t="s">
        <v>7534</v>
      </c>
      <c r="D1012" s="18"/>
      <c r="E1012" s="17" t="s">
        <v>2800</v>
      </c>
      <c r="F1012" s="18"/>
      <c r="G1012" s="18"/>
      <c r="H1012" s="15" t="s">
        <v>2801</v>
      </c>
      <c r="I1012" s="15" t="s">
        <v>2802</v>
      </c>
      <c r="J1012" s="19" t="s">
        <v>36</v>
      </c>
      <c r="K1012" s="19" t="s">
        <v>691</v>
      </c>
      <c r="L1012" s="19" t="s">
        <v>38</v>
      </c>
      <c r="M1012" s="20">
        <f t="shared" si="1"/>
        <v>0</v>
      </c>
      <c r="N1012" s="22"/>
      <c r="O1012" s="19" t="s">
        <v>1145</v>
      </c>
      <c r="P1012" s="18"/>
      <c r="Q1012" s="18"/>
      <c r="R1012" s="23">
        <v>0.0</v>
      </c>
      <c r="S1012" s="23">
        <v>0.0</v>
      </c>
      <c r="T1012" s="23">
        <f t="shared" si="2"/>
        <v>0</v>
      </c>
      <c r="U1012" s="23">
        <f t="shared" si="3"/>
        <v>0</v>
      </c>
      <c r="V1012" s="23">
        <f t="shared" si="4"/>
        <v>0</v>
      </c>
      <c r="W1012" s="24" t="str">
        <f t="shared" si="5"/>
        <v>#DIV/0!</v>
      </c>
    </row>
    <row r="1013" hidden="1">
      <c r="A1013" s="15" t="s">
        <v>2803</v>
      </c>
      <c r="B1013" s="18"/>
      <c r="C1013" s="15" t="s">
        <v>7535</v>
      </c>
      <c r="D1013" s="18"/>
      <c r="E1013" s="17" t="s">
        <v>2804</v>
      </c>
      <c r="F1013" s="18"/>
      <c r="G1013" s="18"/>
      <c r="H1013" s="15" t="s">
        <v>2805</v>
      </c>
      <c r="I1013" s="15" t="s">
        <v>2806</v>
      </c>
      <c r="J1013" s="19" t="s">
        <v>36</v>
      </c>
      <c r="K1013" s="19" t="s">
        <v>2396</v>
      </c>
      <c r="L1013" s="19" t="s">
        <v>38</v>
      </c>
      <c r="M1013" s="20">
        <f t="shared" si="1"/>
        <v>0</v>
      </c>
      <c r="N1013" s="22"/>
      <c r="O1013" s="19" t="s">
        <v>1145</v>
      </c>
      <c r="P1013" s="18"/>
      <c r="Q1013" s="18"/>
      <c r="R1013" s="23">
        <v>0.0</v>
      </c>
      <c r="S1013" s="23">
        <v>0.0</v>
      </c>
      <c r="T1013" s="23">
        <f t="shared" si="2"/>
        <v>0</v>
      </c>
      <c r="U1013" s="23">
        <f t="shared" si="3"/>
        <v>0</v>
      </c>
      <c r="V1013" s="23">
        <f t="shared" si="4"/>
        <v>0</v>
      </c>
      <c r="W1013" s="24" t="str">
        <f t="shared" si="5"/>
        <v>#DIV/0!</v>
      </c>
    </row>
    <row r="1014" hidden="1">
      <c r="A1014" s="15" t="s">
        <v>2807</v>
      </c>
      <c r="B1014" s="18"/>
      <c r="C1014" s="15" t="s">
        <v>7536</v>
      </c>
      <c r="D1014" s="18"/>
      <c r="E1014" s="17" t="s">
        <v>2804</v>
      </c>
      <c r="F1014" s="18"/>
      <c r="G1014" s="18"/>
      <c r="H1014" s="15" t="s">
        <v>2808</v>
      </c>
      <c r="I1014" s="15" t="s">
        <v>2809</v>
      </c>
      <c r="J1014" s="19" t="s">
        <v>36</v>
      </c>
      <c r="K1014" s="19" t="s">
        <v>2396</v>
      </c>
      <c r="L1014" s="19" t="s">
        <v>38</v>
      </c>
      <c r="M1014" s="20">
        <f t="shared" si="1"/>
        <v>0</v>
      </c>
      <c r="N1014" s="22"/>
      <c r="O1014" s="19" t="s">
        <v>1145</v>
      </c>
      <c r="P1014" s="18"/>
      <c r="Q1014" s="18"/>
      <c r="R1014" s="23">
        <v>0.0</v>
      </c>
      <c r="S1014" s="23">
        <v>0.0</v>
      </c>
      <c r="T1014" s="23">
        <f t="shared" si="2"/>
        <v>0</v>
      </c>
      <c r="U1014" s="23">
        <f t="shared" si="3"/>
        <v>0</v>
      </c>
      <c r="V1014" s="23">
        <f t="shared" si="4"/>
        <v>0</v>
      </c>
      <c r="W1014" s="24" t="str">
        <f t="shared" si="5"/>
        <v>#DIV/0!</v>
      </c>
    </row>
    <row r="1015" hidden="1">
      <c r="A1015" s="15" t="s">
        <v>5064</v>
      </c>
      <c r="B1015" s="18"/>
      <c r="C1015" s="15" t="s">
        <v>7537</v>
      </c>
      <c r="D1015" s="18"/>
      <c r="E1015" s="17" t="s">
        <v>7538</v>
      </c>
      <c r="F1015" s="18"/>
      <c r="G1015" s="18"/>
      <c r="H1015" s="15" t="s">
        <v>7539</v>
      </c>
      <c r="I1015" s="15" t="s">
        <v>5067</v>
      </c>
      <c r="J1015" s="19" t="s">
        <v>59</v>
      </c>
      <c r="K1015" s="19" t="s">
        <v>2396</v>
      </c>
      <c r="L1015" s="19" t="s">
        <v>38</v>
      </c>
      <c r="M1015" s="20">
        <f t="shared" si="1"/>
        <v>0</v>
      </c>
      <c r="N1015" s="22"/>
      <c r="O1015" s="19" t="s">
        <v>1145</v>
      </c>
      <c r="P1015" s="18"/>
      <c r="Q1015" s="18"/>
      <c r="R1015" s="23">
        <v>0.0</v>
      </c>
      <c r="S1015" s="23">
        <v>0.0</v>
      </c>
      <c r="T1015" s="23">
        <f t="shared" si="2"/>
        <v>0</v>
      </c>
      <c r="U1015" s="23">
        <f t="shared" si="3"/>
        <v>0</v>
      </c>
      <c r="V1015" s="23">
        <f t="shared" si="4"/>
        <v>0</v>
      </c>
      <c r="W1015" s="24" t="str">
        <f t="shared" si="5"/>
        <v>#DIV/0!</v>
      </c>
    </row>
    <row r="1016" hidden="1">
      <c r="A1016" s="15" t="s">
        <v>5068</v>
      </c>
      <c r="B1016" s="18"/>
      <c r="C1016" s="15" t="s">
        <v>7540</v>
      </c>
      <c r="D1016" s="18"/>
      <c r="E1016" s="17" t="s">
        <v>7541</v>
      </c>
      <c r="F1016" s="18"/>
      <c r="G1016" s="18"/>
      <c r="H1016" s="15" t="s">
        <v>7542</v>
      </c>
      <c r="I1016" s="15" t="s">
        <v>5070</v>
      </c>
      <c r="J1016" s="19" t="s">
        <v>59</v>
      </c>
      <c r="K1016" s="19" t="s">
        <v>2396</v>
      </c>
      <c r="L1016" s="19" t="s">
        <v>38</v>
      </c>
      <c r="M1016" s="20">
        <f t="shared" si="1"/>
        <v>0</v>
      </c>
      <c r="N1016" s="22"/>
      <c r="O1016" s="19" t="s">
        <v>1145</v>
      </c>
      <c r="P1016" s="18"/>
      <c r="Q1016" s="18"/>
      <c r="R1016" s="23">
        <v>0.0</v>
      </c>
      <c r="S1016" s="23">
        <v>0.0</v>
      </c>
      <c r="T1016" s="23">
        <f t="shared" si="2"/>
        <v>0</v>
      </c>
      <c r="U1016" s="23">
        <f t="shared" si="3"/>
        <v>0</v>
      </c>
      <c r="V1016" s="23">
        <f t="shared" si="4"/>
        <v>0</v>
      </c>
      <c r="W1016" s="24" t="str">
        <f t="shared" si="5"/>
        <v>#DIV/0!</v>
      </c>
    </row>
    <row r="1017" hidden="1">
      <c r="A1017" s="15" t="s">
        <v>2810</v>
      </c>
      <c r="B1017" s="18"/>
      <c r="C1017" s="15" t="s">
        <v>7543</v>
      </c>
      <c r="D1017" s="18"/>
      <c r="E1017" s="17" t="s">
        <v>2812</v>
      </c>
      <c r="F1017" s="18"/>
      <c r="G1017" s="18"/>
      <c r="H1017" s="15" t="s">
        <v>2813</v>
      </c>
      <c r="I1017" s="15" t="s">
        <v>2814</v>
      </c>
      <c r="J1017" s="19" t="s">
        <v>59</v>
      </c>
      <c r="K1017" s="19" t="s">
        <v>2382</v>
      </c>
      <c r="L1017" s="19" t="s">
        <v>38</v>
      </c>
      <c r="M1017" s="20">
        <f t="shared" si="1"/>
        <v>0</v>
      </c>
      <c r="N1017" s="22"/>
      <c r="O1017" s="19" t="s">
        <v>1145</v>
      </c>
      <c r="P1017" s="18"/>
      <c r="Q1017" s="18"/>
      <c r="R1017" s="23">
        <v>0.0</v>
      </c>
      <c r="S1017" s="23">
        <v>0.0</v>
      </c>
      <c r="T1017" s="23">
        <f t="shared" si="2"/>
        <v>0</v>
      </c>
      <c r="U1017" s="23">
        <f t="shared" si="3"/>
        <v>0</v>
      </c>
      <c r="V1017" s="23">
        <f t="shared" si="4"/>
        <v>0</v>
      </c>
      <c r="W1017" s="24" t="str">
        <f t="shared" si="5"/>
        <v>#DIV/0!</v>
      </c>
    </row>
    <row r="1018">
      <c r="A1018" s="15" t="s">
        <v>4256</v>
      </c>
      <c r="B1018" s="15" t="s">
        <v>4257</v>
      </c>
      <c r="C1018" s="15" t="s">
        <v>6437</v>
      </c>
      <c r="D1018" s="15" t="s">
        <v>4258</v>
      </c>
      <c r="E1018" s="17" t="s">
        <v>4259</v>
      </c>
      <c r="F1018" s="18"/>
      <c r="G1018" s="18"/>
      <c r="H1018" s="15" t="s">
        <v>4260</v>
      </c>
      <c r="I1018" s="18"/>
      <c r="J1018" s="19" t="s">
        <v>36</v>
      </c>
      <c r="K1018" s="19" t="s">
        <v>37</v>
      </c>
      <c r="L1018" s="19" t="s">
        <v>38</v>
      </c>
      <c r="M1018" s="20">
        <f t="shared" si="1"/>
        <v>0</v>
      </c>
      <c r="N1018" s="22"/>
      <c r="O1018" s="19" t="s">
        <v>3578</v>
      </c>
      <c r="P1018" s="18"/>
      <c r="Q1018" s="18"/>
      <c r="R1018" s="23">
        <v>0.0</v>
      </c>
      <c r="S1018" s="23">
        <v>0.0</v>
      </c>
      <c r="T1018" s="23">
        <f t="shared" si="2"/>
        <v>0</v>
      </c>
      <c r="U1018" s="23">
        <f t="shared" si="3"/>
        <v>0</v>
      </c>
      <c r="V1018" s="23">
        <f t="shared" si="4"/>
        <v>0</v>
      </c>
      <c r="W1018" s="24" t="str">
        <f t="shared" si="5"/>
        <v>#DIV/0!</v>
      </c>
    </row>
    <row r="1019" hidden="1">
      <c r="A1019" s="15" t="s">
        <v>7548</v>
      </c>
      <c r="B1019" s="15"/>
      <c r="C1019" s="15" t="s">
        <v>7549</v>
      </c>
      <c r="D1019" s="15" t="s">
        <v>7550</v>
      </c>
      <c r="E1019" s="17" t="s">
        <v>7551</v>
      </c>
      <c r="F1019" s="18"/>
      <c r="G1019" s="18"/>
      <c r="H1019" s="15" t="s">
        <v>644</v>
      </c>
      <c r="I1019" s="18"/>
      <c r="J1019" s="19" t="s">
        <v>59</v>
      </c>
      <c r="K1019" s="33"/>
      <c r="L1019" s="19" t="s">
        <v>106</v>
      </c>
      <c r="M1019" s="20">
        <f t="shared" si="1"/>
        <v>0</v>
      </c>
      <c r="N1019" s="22"/>
      <c r="O1019" s="19" t="s">
        <v>39</v>
      </c>
      <c r="P1019" s="18"/>
      <c r="Q1019" s="18"/>
      <c r="R1019" s="23">
        <v>0.0</v>
      </c>
      <c r="S1019" s="23">
        <v>0.0</v>
      </c>
      <c r="T1019" s="23">
        <f t="shared" si="2"/>
        <v>0</v>
      </c>
      <c r="U1019" s="23">
        <f t="shared" si="3"/>
        <v>0</v>
      </c>
      <c r="V1019" s="23">
        <f t="shared" si="4"/>
        <v>0</v>
      </c>
      <c r="W1019" s="24" t="str">
        <f t="shared" si="5"/>
        <v>#DIV/0!</v>
      </c>
    </row>
    <row r="1020" hidden="1">
      <c r="A1020" s="15" t="s">
        <v>5071</v>
      </c>
      <c r="B1020" s="18"/>
      <c r="C1020" s="15" t="s">
        <v>7552</v>
      </c>
      <c r="D1020" s="18"/>
      <c r="E1020" s="17" t="s">
        <v>7553</v>
      </c>
      <c r="F1020" s="18"/>
      <c r="G1020" s="18"/>
      <c r="H1020" s="15" t="s">
        <v>7554</v>
      </c>
      <c r="I1020" s="15" t="s">
        <v>5074</v>
      </c>
      <c r="J1020" s="19" t="s">
        <v>59</v>
      </c>
      <c r="K1020" s="19" t="s">
        <v>2401</v>
      </c>
      <c r="L1020" s="19" t="s">
        <v>38</v>
      </c>
      <c r="M1020" s="20">
        <f t="shared" si="1"/>
        <v>0</v>
      </c>
      <c r="N1020" s="22"/>
      <c r="O1020" s="19" t="s">
        <v>1145</v>
      </c>
      <c r="P1020" s="18"/>
      <c r="Q1020" s="18"/>
      <c r="R1020" s="23">
        <v>0.0</v>
      </c>
      <c r="S1020" s="23">
        <v>0.0</v>
      </c>
      <c r="T1020" s="23">
        <f t="shared" si="2"/>
        <v>0</v>
      </c>
      <c r="U1020" s="23">
        <f t="shared" si="3"/>
        <v>0</v>
      </c>
      <c r="V1020" s="23">
        <f t="shared" si="4"/>
        <v>0</v>
      </c>
      <c r="W1020" s="24" t="str">
        <f t="shared" si="5"/>
        <v>#DIV/0!</v>
      </c>
    </row>
    <row r="1021" hidden="1">
      <c r="A1021" s="15" t="s">
        <v>5075</v>
      </c>
      <c r="B1021" s="18"/>
      <c r="C1021" s="15" t="s">
        <v>7555</v>
      </c>
      <c r="D1021" s="18"/>
      <c r="E1021" s="17" t="s">
        <v>7556</v>
      </c>
      <c r="F1021" s="18"/>
      <c r="G1021" s="18"/>
      <c r="H1021" s="15" t="s">
        <v>7557</v>
      </c>
      <c r="I1021" s="15" t="s">
        <v>5078</v>
      </c>
      <c r="J1021" s="19" t="s">
        <v>59</v>
      </c>
      <c r="K1021" s="19" t="s">
        <v>2401</v>
      </c>
      <c r="L1021" s="19" t="s">
        <v>38</v>
      </c>
      <c r="M1021" s="20">
        <f t="shared" si="1"/>
        <v>0</v>
      </c>
      <c r="N1021" s="22"/>
      <c r="O1021" s="19" t="s">
        <v>1145</v>
      </c>
      <c r="P1021" s="18"/>
      <c r="Q1021" s="18"/>
      <c r="R1021" s="23">
        <v>0.0</v>
      </c>
      <c r="S1021" s="23">
        <v>0.0</v>
      </c>
      <c r="T1021" s="23">
        <f t="shared" si="2"/>
        <v>0</v>
      </c>
      <c r="U1021" s="23">
        <f t="shared" si="3"/>
        <v>0</v>
      </c>
      <c r="V1021" s="23">
        <f t="shared" si="4"/>
        <v>0</v>
      </c>
      <c r="W1021" s="24" t="str">
        <f t="shared" si="5"/>
        <v>#DIV/0!</v>
      </c>
    </row>
    <row r="1022" hidden="1">
      <c r="A1022" s="15" t="s">
        <v>2815</v>
      </c>
      <c r="B1022" s="18"/>
      <c r="C1022" s="15" t="s">
        <v>7558</v>
      </c>
      <c r="D1022" s="18"/>
      <c r="E1022" s="17" t="s">
        <v>2816</v>
      </c>
      <c r="F1022" s="18"/>
      <c r="G1022" s="18"/>
      <c r="H1022" s="15" t="s">
        <v>2817</v>
      </c>
      <c r="I1022" s="15" t="s">
        <v>2818</v>
      </c>
      <c r="J1022" s="19" t="s">
        <v>59</v>
      </c>
      <c r="K1022" s="19" t="s">
        <v>2396</v>
      </c>
      <c r="L1022" s="19" t="s">
        <v>38</v>
      </c>
      <c r="M1022" s="20">
        <f t="shared" si="1"/>
        <v>0</v>
      </c>
      <c r="N1022" s="22"/>
      <c r="O1022" s="19" t="s">
        <v>1145</v>
      </c>
      <c r="P1022" s="18"/>
      <c r="Q1022" s="18"/>
      <c r="R1022" s="23">
        <v>0.0</v>
      </c>
      <c r="S1022" s="23">
        <v>0.0</v>
      </c>
      <c r="T1022" s="23">
        <f t="shared" si="2"/>
        <v>0</v>
      </c>
      <c r="U1022" s="23">
        <f t="shared" si="3"/>
        <v>0</v>
      </c>
      <c r="V1022" s="23">
        <f t="shared" si="4"/>
        <v>0</v>
      </c>
      <c r="W1022" s="24" t="str">
        <f t="shared" si="5"/>
        <v>#DIV/0!</v>
      </c>
    </row>
    <row r="1023" hidden="1">
      <c r="A1023" s="15" t="s">
        <v>5079</v>
      </c>
      <c r="B1023" s="18"/>
      <c r="C1023" s="15" t="s">
        <v>7559</v>
      </c>
      <c r="D1023" s="18"/>
      <c r="E1023" s="17" t="s">
        <v>2820</v>
      </c>
      <c r="F1023" s="18"/>
      <c r="G1023" s="18"/>
      <c r="H1023" s="15" t="s">
        <v>7560</v>
      </c>
      <c r="I1023" s="15" t="s">
        <v>5082</v>
      </c>
      <c r="J1023" s="19" t="s">
        <v>59</v>
      </c>
      <c r="K1023" s="19" t="s">
        <v>2396</v>
      </c>
      <c r="L1023" s="19" t="s">
        <v>38</v>
      </c>
      <c r="M1023" s="20">
        <f t="shared" si="1"/>
        <v>0</v>
      </c>
      <c r="N1023" s="22"/>
      <c r="O1023" s="19" t="s">
        <v>1145</v>
      </c>
      <c r="P1023" s="18"/>
      <c r="Q1023" s="18"/>
      <c r="R1023" s="23">
        <v>0.0</v>
      </c>
      <c r="S1023" s="23">
        <v>0.0</v>
      </c>
      <c r="T1023" s="23">
        <f t="shared" si="2"/>
        <v>0</v>
      </c>
      <c r="U1023" s="23">
        <f t="shared" si="3"/>
        <v>0</v>
      </c>
      <c r="V1023" s="23">
        <f t="shared" si="4"/>
        <v>0</v>
      </c>
      <c r="W1023" s="24" t="str">
        <f t="shared" si="5"/>
        <v>#DIV/0!</v>
      </c>
    </row>
    <row r="1024" hidden="1">
      <c r="A1024" s="15" t="s">
        <v>2819</v>
      </c>
      <c r="B1024" s="18"/>
      <c r="C1024" s="15" t="s">
        <v>7561</v>
      </c>
      <c r="D1024" s="18"/>
      <c r="E1024" s="17" t="s">
        <v>2820</v>
      </c>
      <c r="F1024" s="18"/>
      <c r="G1024" s="18"/>
      <c r="H1024" s="15" t="s">
        <v>2821</v>
      </c>
      <c r="I1024" s="15" t="s">
        <v>2822</v>
      </c>
      <c r="J1024" s="19" t="s">
        <v>59</v>
      </c>
      <c r="K1024" s="19" t="s">
        <v>2396</v>
      </c>
      <c r="L1024" s="19" t="s">
        <v>38</v>
      </c>
      <c r="M1024" s="20">
        <f t="shared" si="1"/>
        <v>0</v>
      </c>
      <c r="N1024" s="22"/>
      <c r="O1024" s="19" t="s">
        <v>1145</v>
      </c>
      <c r="P1024" s="18"/>
      <c r="Q1024" s="18"/>
      <c r="R1024" s="23">
        <v>0.0</v>
      </c>
      <c r="S1024" s="23">
        <v>0.0</v>
      </c>
      <c r="T1024" s="23">
        <f t="shared" si="2"/>
        <v>0</v>
      </c>
      <c r="U1024" s="23">
        <f t="shared" si="3"/>
        <v>0</v>
      </c>
      <c r="V1024" s="23">
        <f t="shared" si="4"/>
        <v>0</v>
      </c>
      <c r="W1024" s="24" t="str">
        <f t="shared" si="5"/>
        <v>#DIV/0!</v>
      </c>
    </row>
    <row r="1025" hidden="1">
      <c r="A1025" s="15" t="s">
        <v>2823</v>
      </c>
      <c r="B1025" s="18"/>
      <c r="C1025" s="15" t="s">
        <v>7562</v>
      </c>
      <c r="D1025" s="18"/>
      <c r="E1025" s="17" t="s">
        <v>2820</v>
      </c>
      <c r="F1025" s="18"/>
      <c r="G1025" s="18"/>
      <c r="H1025" s="15" t="s">
        <v>2824</v>
      </c>
      <c r="I1025" s="15" t="s">
        <v>2825</v>
      </c>
      <c r="J1025" s="19" t="s">
        <v>59</v>
      </c>
      <c r="K1025" s="19" t="s">
        <v>2396</v>
      </c>
      <c r="L1025" s="19" t="s">
        <v>38</v>
      </c>
      <c r="M1025" s="20">
        <f t="shared" si="1"/>
        <v>0</v>
      </c>
      <c r="N1025" s="22"/>
      <c r="O1025" s="19" t="s">
        <v>1145</v>
      </c>
      <c r="P1025" s="18"/>
      <c r="Q1025" s="18"/>
      <c r="R1025" s="23">
        <v>0.0</v>
      </c>
      <c r="S1025" s="23">
        <v>0.0</v>
      </c>
      <c r="T1025" s="23">
        <f t="shared" si="2"/>
        <v>0</v>
      </c>
      <c r="U1025" s="23">
        <f t="shared" si="3"/>
        <v>0</v>
      </c>
      <c r="V1025" s="23">
        <f t="shared" si="4"/>
        <v>0</v>
      </c>
      <c r="W1025" s="24" t="str">
        <f t="shared" si="5"/>
        <v>#DIV/0!</v>
      </c>
    </row>
    <row r="1026">
      <c r="A1026" s="15" t="s">
        <v>4261</v>
      </c>
      <c r="B1026" s="15" t="s">
        <v>4262</v>
      </c>
      <c r="C1026" s="15" t="s">
        <v>6438</v>
      </c>
      <c r="D1026" s="15" t="s">
        <v>4263</v>
      </c>
      <c r="E1026" s="17" t="s">
        <v>4264</v>
      </c>
      <c r="F1026" s="18"/>
      <c r="G1026" s="18"/>
      <c r="H1026" s="15" t="s">
        <v>4265</v>
      </c>
      <c r="I1026" s="18"/>
      <c r="J1026" s="19" t="s">
        <v>36</v>
      </c>
      <c r="K1026" s="19" t="s">
        <v>105</v>
      </c>
      <c r="L1026" s="19" t="s">
        <v>38</v>
      </c>
      <c r="M1026" s="20">
        <f t="shared" si="1"/>
        <v>0</v>
      </c>
      <c r="N1026" s="22"/>
      <c r="O1026" s="19" t="s">
        <v>3578</v>
      </c>
      <c r="P1026" s="18"/>
      <c r="Q1026" s="18"/>
      <c r="R1026" s="23">
        <v>0.0</v>
      </c>
      <c r="S1026" s="23">
        <v>0.0</v>
      </c>
      <c r="T1026" s="23">
        <f t="shared" si="2"/>
        <v>0</v>
      </c>
      <c r="U1026" s="23">
        <f t="shared" si="3"/>
        <v>0</v>
      </c>
      <c r="V1026" s="23">
        <f t="shared" si="4"/>
        <v>0</v>
      </c>
      <c r="W1026" s="24" t="str">
        <f t="shared" si="5"/>
        <v>#DIV/0!</v>
      </c>
    </row>
    <row r="1027" hidden="1">
      <c r="A1027" s="15" t="s">
        <v>2826</v>
      </c>
      <c r="B1027" s="18"/>
      <c r="C1027" s="18"/>
      <c r="D1027" s="18"/>
      <c r="E1027" s="17" t="s">
        <v>2827</v>
      </c>
      <c r="F1027" s="18"/>
      <c r="G1027" s="18"/>
      <c r="H1027" s="18"/>
      <c r="I1027" s="18"/>
      <c r="J1027" s="19" t="s">
        <v>59</v>
      </c>
      <c r="K1027" s="33"/>
      <c r="L1027" s="19" t="s">
        <v>38</v>
      </c>
      <c r="M1027" s="20">
        <f t="shared" si="1"/>
        <v>0</v>
      </c>
      <c r="N1027" s="22"/>
      <c r="O1027" s="19" t="s">
        <v>1145</v>
      </c>
      <c r="P1027" s="18"/>
      <c r="Q1027" s="18"/>
      <c r="R1027" s="23">
        <v>0.0</v>
      </c>
      <c r="S1027" s="23">
        <v>0.0</v>
      </c>
      <c r="T1027" s="23">
        <f t="shared" si="2"/>
        <v>0</v>
      </c>
      <c r="U1027" s="23">
        <f t="shared" si="3"/>
        <v>0</v>
      </c>
      <c r="V1027" s="23">
        <f t="shared" si="4"/>
        <v>0</v>
      </c>
      <c r="W1027" s="24" t="str">
        <f t="shared" si="5"/>
        <v>#DIV/0!</v>
      </c>
    </row>
    <row r="1028" hidden="1">
      <c r="A1028" s="15" t="s">
        <v>2828</v>
      </c>
      <c r="B1028" s="18"/>
      <c r="C1028" s="18"/>
      <c r="D1028" s="18"/>
      <c r="E1028" s="17" t="s">
        <v>2827</v>
      </c>
      <c r="F1028" s="18"/>
      <c r="G1028" s="18"/>
      <c r="H1028" s="18"/>
      <c r="I1028" s="18"/>
      <c r="J1028" s="19" t="s">
        <v>59</v>
      </c>
      <c r="K1028" s="33"/>
      <c r="L1028" s="19" t="s">
        <v>38</v>
      </c>
      <c r="M1028" s="20">
        <f t="shared" si="1"/>
        <v>0</v>
      </c>
      <c r="N1028" s="22"/>
      <c r="O1028" s="19" t="s">
        <v>1145</v>
      </c>
      <c r="P1028" s="18"/>
      <c r="Q1028" s="18"/>
      <c r="R1028" s="23">
        <v>0.0</v>
      </c>
      <c r="S1028" s="23">
        <v>0.0</v>
      </c>
      <c r="T1028" s="23">
        <f t="shared" si="2"/>
        <v>0</v>
      </c>
      <c r="U1028" s="23">
        <f t="shared" si="3"/>
        <v>0</v>
      </c>
      <c r="V1028" s="23">
        <f t="shared" si="4"/>
        <v>0</v>
      </c>
      <c r="W1028" s="24" t="str">
        <f t="shared" si="5"/>
        <v>#DIV/0!</v>
      </c>
    </row>
    <row r="1029" hidden="1">
      <c r="A1029" s="15" t="s">
        <v>90</v>
      </c>
      <c r="B1029" s="15" t="s">
        <v>91</v>
      </c>
      <c r="C1029" s="15" t="s">
        <v>7564</v>
      </c>
      <c r="D1029" s="15" t="s">
        <v>92</v>
      </c>
      <c r="E1029" s="17" t="s">
        <v>93</v>
      </c>
      <c r="F1029" s="15" t="s">
        <v>66</v>
      </c>
      <c r="G1029" s="15" t="s">
        <v>66</v>
      </c>
      <c r="H1029" s="15" t="s">
        <v>67</v>
      </c>
      <c r="I1029" s="18"/>
      <c r="J1029" s="19" t="s">
        <v>59</v>
      </c>
      <c r="K1029" s="19" t="s">
        <v>60</v>
      </c>
      <c r="L1029" s="19" t="s">
        <v>38</v>
      </c>
      <c r="M1029" s="20">
        <f t="shared" si="1"/>
        <v>8968.8</v>
      </c>
      <c r="N1029" s="31">
        <v>1.0</v>
      </c>
      <c r="O1029" s="19" t="s">
        <v>61</v>
      </c>
      <c r="P1029" s="18"/>
      <c r="Q1029" s="18"/>
      <c r="R1029" s="23">
        <v>160.0</v>
      </c>
      <c r="S1029" s="32">
        <v>505.0</v>
      </c>
      <c r="T1029" s="23">
        <f t="shared" si="2"/>
        <v>484.8</v>
      </c>
      <c r="U1029" s="23">
        <f t="shared" si="3"/>
        <v>196</v>
      </c>
      <c r="V1029" s="23">
        <f t="shared" si="4"/>
        <v>3675</v>
      </c>
      <c r="W1029" s="24">
        <f t="shared" si="5"/>
        <v>3.03</v>
      </c>
    </row>
    <row r="1030" hidden="1">
      <c r="A1030" s="15" t="s">
        <v>62</v>
      </c>
      <c r="B1030" s="15" t="s">
        <v>63</v>
      </c>
      <c r="C1030" s="15" t="s">
        <v>7564</v>
      </c>
      <c r="D1030" s="15" t="s">
        <v>64</v>
      </c>
      <c r="E1030" s="17" t="s">
        <v>65</v>
      </c>
      <c r="F1030" s="18"/>
      <c r="G1030" s="15" t="s">
        <v>66</v>
      </c>
      <c r="H1030" s="15" t="s">
        <v>94</v>
      </c>
      <c r="I1030" s="18"/>
      <c r="J1030" s="19" t="s">
        <v>59</v>
      </c>
      <c r="K1030" s="19" t="s">
        <v>60</v>
      </c>
      <c r="L1030" s="19" t="s">
        <v>38</v>
      </c>
      <c r="M1030" s="20">
        <f t="shared" si="1"/>
        <v>7548</v>
      </c>
      <c r="N1030" s="31">
        <v>1.0</v>
      </c>
      <c r="O1030" s="19" t="s">
        <v>61</v>
      </c>
      <c r="P1030" s="18"/>
      <c r="Q1030" s="18"/>
      <c r="R1030" s="23">
        <v>110.0</v>
      </c>
      <c r="S1030" s="23">
        <v>425.0</v>
      </c>
      <c r="T1030" s="23">
        <f t="shared" si="2"/>
        <v>408</v>
      </c>
      <c r="U1030" s="23">
        <f t="shared" si="3"/>
        <v>134.75</v>
      </c>
      <c r="V1030" s="23">
        <f t="shared" si="4"/>
        <v>2526.5625</v>
      </c>
      <c r="W1030" s="24">
        <f t="shared" si="5"/>
        <v>3.709090909</v>
      </c>
    </row>
    <row r="1031" hidden="1">
      <c r="A1031" s="15" t="s">
        <v>95</v>
      </c>
      <c r="B1031" s="15" t="s">
        <v>96</v>
      </c>
      <c r="C1031" s="15" t="s">
        <v>7565</v>
      </c>
      <c r="D1031" s="15" t="s">
        <v>97</v>
      </c>
      <c r="E1031" s="17" t="s">
        <v>98</v>
      </c>
      <c r="F1031" s="18"/>
      <c r="G1031" s="15" t="s">
        <v>73</v>
      </c>
      <c r="H1031" s="15" t="s">
        <v>74</v>
      </c>
      <c r="I1031" s="18"/>
      <c r="J1031" s="19" t="s">
        <v>59</v>
      </c>
      <c r="K1031" s="19" t="s">
        <v>60</v>
      </c>
      <c r="L1031" s="19" t="s">
        <v>38</v>
      </c>
      <c r="M1031" s="20">
        <f t="shared" si="1"/>
        <v>8968.8</v>
      </c>
      <c r="N1031" s="31">
        <v>1.0</v>
      </c>
      <c r="O1031" s="19" t="s">
        <v>61</v>
      </c>
      <c r="P1031" s="18"/>
      <c r="Q1031" s="18"/>
      <c r="R1031" s="23">
        <v>180.0</v>
      </c>
      <c r="S1031" s="23">
        <v>505.0</v>
      </c>
      <c r="T1031" s="23">
        <f t="shared" si="2"/>
        <v>484.8</v>
      </c>
      <c r="U1031" s="23">
        <f t="shared" si="3"/>
        <v>220.5</v>
      </c>
      <c r="V1031" s="23">
        <f t="shared" si="4"/>
        <v>4134.375</v>
      </c>
      <c r="W1031" s="24">
        <f t="shared" si="5"/>
        <v>2.693333333</v>
      </c>
    </row>
    <row r="1032" hidden="1">
      <c r="A1032" s="15" t="s">
        <v>69</v>
      </c>
      <c r="B1032" s="15" t="s">
        <v>70</v>
      </c>
      <c r="C1032" s="18"/>
      <c r="D1032" s="15" t="s">
        <v>71</v>
      </c>
      <c r="E1032" s="17" t="s">
        <v>72</v>
      </c>
      <c r="F1032" s="18"/>
      <c r="G1032" s="15" t="s">
        <v>73</v>
      </c>
      <c r="H1032" s="15" t="s">
        <v>99</v>
      </c>
      <c r="I1032" s="18"/>
      <c r="J1032" s="19" t="s">
        <v>59</v>
      </c>
      <c r="K1032" s="19" t="s">
        <v>60</v>
      </c>
      <c r="L1032" s="19" t="s">
        <v>38</v>
      </c>
      <c r="M1032" s="20">
        <f t="shared" si="1"/>
        <v>7992</v>
      </c>
      <c r="N1032" s="31">
        <v>1.0</v>
      </c>
      <c r="O1032" s="19" t="s">
        <v>61</v>
      </c>
      <c r="P1032" s="18"/>
      <c r="Q1032" s="18"/>
      <c r="R1032" s="23">
        <v>120.0</v>
      </c>
      <c r="S1032" s="23">
        <v>450.0</v>
      </c>
      <c r="T1032" s="23">
        <f t="shared" si="2"/>
        <v>432</v>
      </c>
      <c r="U1032" s="23">
        <f t="shared" si="3"/>
        <v>147</v>
      </c>
      <c r="V1032" s="23">
        <f t="shared" si="4"/>
        <v>2756.25</v>
      </c>
      <c r="W1032" s="24">
        <f t="shared" si="5"/>
        <v>3.6</v>
      </c>
    </row>
    <row r="1033" hidden="1">
      <c r="A1033" s="15" t="s">
        <v>85</v>
      </c>
      <c r="B1033" s="15" t="s">
        <v>86</v>
      </c>
      <c r="C1033" s="15" t="s">
        <v>7566</v>
      </c>
      <c r="D1033" s="15" t="s">
        <v>87</v>
      </c>
      <c r="E1033" s="17" t="s">
        <v>88</v>
      </c>
      <c r="F1033" s="18"/>
      <c r="G1033" s="15" t="s">
        <v>57</v>
      </c>
      <c r="H1033" s="15" t="s">
        <v>58</v>
      </c>
      <c r="I1033" s="18"/>
      <c r="J1033" s="19" t="s">
        <v>59</v>
      </c>
      <c r="K1033" s="19" t="s">
        <v>60</v>
      </c>
      <c r="L1033" s="19" t="s">
        <v>38</v>
      </c>
      <c r="M1033" s="20">
        <f t="shared" si="1"/>
        <v>10727.04</v>
      </c>
      <c r="N1033" s="31">
        <v>1.0</v>
      </c>
      <c r="O1033" s="19" t="s">
        <v>61</v>
      </c>
      <c r="P1033" s="18"/>
      <c r="Q1033" s="18"/>
      <c r="R1033" s="23">
        <v>180.0</v>
      </c>
      <c r="S1033" s="23">
        <v>604.0</v>
      </c>
      <c r="T1033" s="23">
        <f t="shared" si="2"/>
        <v>579.84</v>
      </c>
      <c r="U1033" s="23">
        <f t="shared" si="3"/>
        <v>220.5</v>
      </c>
      <c r="V1033" s="23">
        <f t="shared" si="4"/>
        <v>4134.375</v>
      </c>
      <c r="W1033" s="24">
        <f t="shared" si="5"/>
        <v>3.221333333</v>
      </c>
    </row>
    <row r="1034" hidden="1">
      <c r="A1034" s="15" t="s">
        <v>53</v>
      </c>
      <c r="B1034" s="15" t="s">
        <v>54</v>
      </c>
      <c r="C1034" s="18"/>
      <c r="D1034" s="15" t="s">
        <v>55</v>
      </c>
      <c r="E1034" s="17" t="s">
        <v>56</v>
      </c>
      <c r="F1034" s="18"/>
      <c r="G1034" s="15" t="s">
        <v>57</v>
      </c>
      <c r="H1034" s="15" t="s">
        <v>89</v>
      </c>
      <c r="I1034" s="18"/>
      <c r="J1034" s="19" t="s">
        <v>59</v>
      </c>
      <c r="K1034" s="19" t="s">
        <v>60</v>
      </c>
      <c r="L1034" s="19" t="s">
        <v>38</v>
      </c>
      <c r="M1034" s="20">
        <f t="shared" si="1"/>
        <v>8880</v>
      </c>
      <c r="N1034" s="31">
        <v>1.0</v>
      </c>
      <c r="O1034" s="19" t="s">
        <v>61</v>
      </c>
      <c r="P1034" s="18"/>
      <c r="Q1034" s="18"/>
      <c r="R1034" s="23">
        <v>120.0</v>
      </c>
      <c r="S1034" s="23">
        <v>500.0</v>
      </c>
      <c r="T1034" s="23">
        <f t="shared" si="2"/>
        <v>480</v>
      </c>
      <c r="U1034" s="23">
        <f t="shared" si="3"/>
        <v>147</v>
      </c>
      <c r="V1034" s="23">
        <f t="shared" si="4"/>
        <v>2756.25</v>
      </c>
      <c r="W1034" s="24">
        <f t="shared" si="5"/>
        <v>4</v>
      </c>
    </row>
    <row r="1035" hidden="1">
      <c r="A1035" s="15" t="s">
        <v>7567</v>
      </c>
      <c r="B1035" s="18"/>
      <c r="C1035" s="15" t="s">
        <v>7568</v>
      </c>
      <c r="D1035" s="18"/>
      <c r="E1035" s="17" t="s">
        <v>7569</v>
      </c>
      <c r="F1035" s="18"/>
      <c r="G1035" s="18"/>
      <c r="H1035" s="15" t="s">
        <v>7570</v>
      </c>
      <c r="I1035" s="15" t="s">
        <v>367</v>
      </c>
      <c r="J1035" s="19" t="s">
        <v>59</v>
      </c>
      <c r="K1035" s="19" t="s">
        <v>2401</v>
      </c>
      <c r="L1035" s="19" t="s">
        <v>38</v>
      </c>
      <c r="M1035" s="20">
        <f t="shared" si="1"/>
        <v>0</v>
      </c>
      <c r="N1035" s="22"/>
      <c r="O1035" s="19" t="s">
        <v>39</v>
      </c>
      <c r="P1035" s="18"/>
      <c r="Q1035" s="18"/>
      <c r="R1035" s="23">
        <v>0.0</v>
      </c>
      <c r="S1035" s="23">
        <v>0.0</v>
      </c>
      <c r="T1035" s="23">
        <f t="shared" si="2"/>
        <v>0</v>
      </c>
      <c r="U1035" s="23">
        <f t="shared" si="3"/>
        <v>0</v>
      </c>
      <c r="V1035" s="23">
        <f t="shared" si="4"/>
        <v>0</v>
      </c>
      <c r="W1035" s="24" t="str">
        <f t="shared" si="5"/>
        <v>#DIV/0!</v>
      </c>
    </row>
    <row r="1036">
      <c r="A1036" s="15" t="s">
        <v>4266</v>
      </c>
      <c r="B1036" s="15" t="s">
        <v>4267</v>
      </c>
      <c r="C1036" s="15" t="s">
        <v>6442</v>
      </c>
      <c r="D1036" s="15" t="s">
        <v>4268</v>
      </c>
      <c r="E1036" s="17" t="s">
        <v>4269</v>
      </c>
      <c r="F1036" s="18"/>
      <c r="G1036" s="18"/>
      <c r="H1036" s="15" t="s">
        <v>4270</v>
      </c>
      <c r="I1036" s="15" t="s">
        <v>4271</v>
      </c>
      <c r="J1036" s="19" t="s">
        <v>36</v>
      </c>
      <c r="K1036" s="19" t="s">
        <v>284</v>
      </c>
      <c r="L1036" s="19" t="s">
        <v>38</v>
      </c>
      <c r="M1036" s="20">
        <f t="shared" si="1"/>
        <v>0</v>
      </c>
      <c r="N1036" s="22"/>
      <c r="O1036" s="19" t="s">
        <v>3578</v>
      </c>
      <c r="P1036" s="18"/>
      <c r="Q1036" s="18"/>
      <c r="R1036" s="23">
        <v>0.0</v>
      </c>
      <c r="S1036" s="23">
        <v>0.0</v>
      </c>
      <c r="T1036" s="23">
        <f t="shared" si="2"/>
        <v>0</v>
      </c>
      <c r="U1036" s="23">
        <f t="shared" si="3"/>
        <v>0</v>
      </c>
      <c r="V1036" s="23">
        <f t="shared" si="4"/>
        <v>0</v>
      </c>
      <c r="W1036" s="24" t="str">
        <f t="shared" si="5"/>
        <v>#DIV/0!</v>
      </c>
    </row>
    <row r="1037" hidden="1">
      <c r="A1037" s="15" t="s">
        <v>2829</v>
      </c>
      <c r="B1037" s="18"/>
      <c r="C1037" s="15" t="s">
        <v>7573</v>
      </c>
      <c r="D1037" s="18"/>
      <c r="E1037" s="17" t="s">
        <v>2830</v>
      </c>
      <c r="F1037" s="18"/>
      <c r="G1037" s="18"/>
      <c r="H1037" s="15" t="s">
        <v>2831</v>
      </c>
      <c r="I1037" s="15" t="s">
        <v>394</v>
      </c>
      <c r="J1037" s="19" t="s">
        <v>59</v>
      </c>
      <c r="K1037" s="19" t="s">
        <v>2382</v>
      </c>
      <c r="L1037" s="19" t="s">
        <v>38</v>
      </c>
      <c r="M1037" s="20">
        <f t="shared" si="1"/>
        <v>0</v>
      </c>
      <c r="N1037" s="22"/>
      <c r="O1037" s="19" t="s">
        <v>1145</v>
      </c>
      <c r="P1037" s="18"/>
      <c r="Q1037" s="18"/>
      <c r="R1037" s="23">
        <v>0.0</v>
      </c>
      <c r="S1037" s="23">
        <v>0.0</v>
      </c>
      <c r="T1037" s="23">
        <f t="shared" si="2"/>
        <v>0</v>
      </c>
      <c r="U1037" s="23">
        <f t="shared" si="3"/>
        <v>0</v>
      </c>
      <c r="V1037" s="23">
        <f t="shared" si="4"/>
        <v>0</v>
      </c>
      <c r="W1037" s="24" t="str">
        <f t="shared" si="5"/>
        <v>#DIV/0!</v>
      </c>
    </row>
    <row r="1038">
      <c r="A1038" s="15" t="s">
        <v>4272</v>
      </c>
      <c r="B1038" s="15" t="s">
        <v>4273</v>
      </c>
      <c r="C1038" s="15" t="s">
        <v>6443</v>
      </c>
      <c r="D1038" s="15" t="s">
        <v>4274</v>
      </c>
      <c r="E1038" s="17" t="s">
        <v>4275</v>
      </c>
      <c r="F1038" s="18"/>
      <c r="G1038" s="18"/>
      <c r="H1038" s="15" t="s">
        <v>4276</v>
      </c>
      <c r="I1038" s="18"/>
      <c r="J1038" s="19" t="s">
        <v>36</v>
      </c>
      <c r="K1038" s="19" t="s">
        <v>105</v>
      </c>
      <c r="L1038" s="19" t="s">
        <v>38</v>
      </c>
      <c r="M1038" s="20">
        <f t="shared" si="1"/>
        <v>0</v>
      </c>
      <c r="N1038" s="22"/>
      <c r="O1038" s="19" t="s">
        <v>3578</v>
      </c>
      <c r="P1038" s="18"/>
      <c r="Q1038" s="18"/>
      <c r="R1038" s="23">
        <v>0.0</v>
      </c>
      <c r="S1038" s="23">
        <v>0.0</v>
      </c>
      <c r="T1038" s="23">
        <f t="shared" si="2"/>
        <v>0</v>
      </c>
      <c r="U1038" s="23">
        <f t="shared" si="3"/>
        <v>0</v>
      </c>
      <c r="V1038" s="23">
        <f t="shared" si="4"/>
        <v>0</v>
      </c>
      <c r="W1038" s="24" t="str">
        <f t="shared" si="5"/>
        <v>#DIV/0!</v>
      </c>
    </row>
    <row r="1039">
      <c r="A1039" s="15" t="s">
        <v>4277</v>
      </c>
      <c r="B1039" s="15" t="s">
        <v>4278</v>
      </c>
      <c r="C1039" s="15" t="s">
        <v>6444</v>
      </c>
      <c r="D1039" s="15" t="s">
        <v>3725</v>
      </c>
      <c r="E1039" s="17" t="s">
        <v>4279</v>
      </c>
      <c r="F1039" s="18"/>
      <c r="G1039" s="18"/>
      <c r="H1039" s="15" t="s">
        <v>4280</v>
      </c>
      <c r="I1039" s="18"/>
      <c r="J1039" s="19" t="s">
        <v>36</v>
      </c>
      <c r="K1039" s="19" t="s">
        <v>1230</v>
      </c>
      <c r="L1039" s="19" t="s">
        <v>38</v>
      </c>
      <c r="M1039" s="20">
        <f t="shared" si="1"/>
        <v>0</v>
      </c>
      <c r="N1039" s="22"/>
      <c r="O1039" s="19" t="s">
        <v>3578</v>
      </c>
      <c r="P1039" s="18"/>
      <c r="Q1039" s="18"/>
      <c r="R1039" s="23">
        <v>0.0</v>
      </c>
      <c r="S1039" s="23">
        <v>0.0</v>
      </c>
      <c r="T1039" s="23">
        <f t="shared" si="2"/>
        <v>0</v>
      </c>
      <c r="U1039" s="23">
        <f t="shared" si="3"/>
        <v>0</v>
      </c>
      <c r="V1039" s="23">
        <f t="shared" si="4"/>
        <v>0</v>
      </c>
      <c r="W1039" s="24" t="str">
        <f t="shared" si="5"/>
        <v>#DIV/0!</v>
      </c>
    </row>
    <row r="1040">
      <c r="A1040" s="15" t="s">
        <v>4298</v>
      </c>
      <c r="B1040" s="15" t="s">
        <v>4299</v>
      </c>
      <c r="C1040" s="15" t="s">
        <v>6455</v>
      </c>
      <c r="D1040" s="15" t="s">
        <v>4300</v>
      </c>
      <c r="E1040" s="17" t="s">
        <v>4301</v>
      </c>
      <c r="F1040" s="18"/>
      <c r="G1040" s="18"/>
      <c r="H1040" s="15" t="s">
        <v>4302</v>
      </c>
      <c r="I1040" s="15" t="s">
        <v>5615</v>
      </c>
      <c r="J1040" s="19" t="s">
        <v>36</v>
      </c>
      <c r="K1040" s="19" t="s">
        <v>37</v>
      </c>
      <c r="L1040" s="19" t="s">
        <v>38</v>
      </c>
      <c r="M1040" s="20">
        <f t="shared" si="1"/>
        <v>0</v>
      </c>
      <c r="N1040" s="22"/>
      <c r="O1040" s="19" t="s">
        <v>3578</v>
      </c>
      <c r="P1040" s="18"/>
      <c r="Q1040" s="18"/>
      <c r="R1040" s="23">
        <v>0.0</v>
      </c>
      <c r="S1040" s="23">
        <v>0.0</v>
      </c>
      <c r="T1040" s="23">
        <f t="shared" si="2"/>
        <v>0</v>
      </c>
      <c r="U1040" s="23">
        <f t="shared" si="3"/>
        <v>0</v>
      </c>
      <c r="V1040" s="23">
        <f t="shared" si="4"/>
        <v>0</v>
      </c>
      <c r="W1040" s="24" t="str">
        <f t="shared" si="5"/>
        <v>#DIV/0!</v>
      </c>
    </row>
    <row r="1041">
      <c r="A1041" s="15" t="s">
        <v>4303</v>
      </c>
      <c r="B1041" s="15" t="s">
        <v>4304</v>
      </c>
      <c r="C1041" s="15" t="s">
        <v>6456</v>
      </c>
      <c r="D1041" s="42" t="s">
        <v>4305</v>
      </c>
      <c r="E1041" s="17" t="s">
        <v>4306</v>
      </c>
      <c r="F1041" s="18"/>
      <c r="G1041" s="18"/>
      <c r="H1041" s="15" t="s">
        <v>47</v>
      </c>
      <c r="I1041" s="15" t="s">
        <v>4307</v>
      </c>
      <c r="J1041" s="19" t="s">
        <v>36</v>
      </c>
      <c r="K1041" s="19" t="s">
        <v>37</v>
      </c>
      <c r="L1041" s="19" t="s">
        <v>38</v>
      </c>
      <c r="M1041" s="20">
        <f t="shared" si="1"/>
        <v>0</v>
      </c>
      <c r="N1041" s="22"/>
      <c r="O1041" s="19" t="s">
        <v>3578</v>
      </c>
      <c r="P1041" s="18"/>
      <c r="Q1041" s="18"/>
      <c r="R1041" s="23">
        <v>0.0</v>
      </c>
      <c r="S1041" s="23">
        <v>0.0</v>
      </c>
      <c r="T1041" s="23">
        <f t="shared" si="2"/>
        <v>0</v>
      </c>
      <c r="U1041" s="23">
        <f t="shared" si="3"/>
        <v>0</v>
      </c>
      <c r="V1041" s="23">
        <f t="shared" si="4"/>
        <v>0</v>
      </c>
      <c r="W1041" s="24" t="str">
        <f t="shared" si="5"/>
        <v>#DIV/0!</v>
      </c>
    </row>
    <row r="1042">
      <c r="A1042" s="15" t="s">
        <v>4308</v>
      </c>
      <c r="B1042" s="15" t="s">
        <v>4309</v>
      </c>
      <c r="C1042" s="15" t="s">
        <v>6457</v>
      </c>
      <c r="D1042" s="15" t="s">
        <v>4310</v>
      </c>
      <c r="E1042" s="17" t="s">
        <v>4311</v>
      </c>
      <c r="F1042" s="18"/>
      <c r="G1042" s="18"/>
      <c r="H1042" s="15" t="s">
        <v>4312</v>
      </c>
      <c r="I1042" s="18"/>
      <c r="J1042" s="19" t="s">
        <v>36</v>
      </c>
      <c r="K1042" s="19" t="s">
        <v>37</v>
      </c>
      <c r="L1042" s="19" t="s">
        <v>38</v>
      </c>
      <c r="M1042" s="20">
        <f t="shared" si="1"/>
        <v>0</v>
      </c>
      <c r="N1042" s="22"/>
      <c r="O1042" s="19" t="s">
        <v>3578</v>
      </c>
      <c r="P1042" s="18"/>
      <c r="Q1042" s="18"/>
      <c r="R1042" s="23">
        <v>0.0</v>
      </c>
      <c r="S1042" s="23">
        <v>0.0</v>
      </c>
      <c r="T1042" s="23">
        <f t="shared" si="2"/>
        <v>0</v>
      </c>
      <c r="U1042" s="23">
        <f t="shared" si="3"/>
        <v>0</v>
      </c>
      <c r="V1042" s="23">
        <f t="shared" si="4"/>
        <v>0</v>
      </c>
      <c r="W1042" s="24" t="str">
        <f t="shared" si="5"/>
        <v>#DIV/0!</v>
      </c>
    </row>
    <row r="1043">
      <c r="A1043" s="15" t="s">
        <v>4313</v>
      </c>
      <c r="B1043" s="15" t="s">
        <v>4314</v>
      </c>
      <c r="C1043" s="15" t="s">
        <v>6463</v>
      </c>
      <c r="D1043" s="15" t="s">
        <v>4315</v>
      </c>
      <c r="E1043" s="17" t="s">
        <v>192</v>
      </c>
      <c r="F1043" s="18"/>
      <c r="G1043" s="18"/>
      <c r="H1043" s="15" t="s">
        <v>4316</v>
      </c>
      <c r="I1043" s="18"/>
      <c r="J1043" s="19" t="s">
        <v>36</v>
      </c>
      <c r="K1043" s="19" t="s">
        <v>1230</v>
      </c>
      <c r="L1043" s="19" t="s">
        <v>38</v>
      </c>
      <c r="M1043" s="20">
        <f t="shared" si="1"/>
        <v>0</v>
      </c>
      <c r="N1043" s="22"/>
      <c r="O1043" s="19" t="s">
        <v>3578</v>
      </c>
      <c r="P1043" s="18"/>
      <c r="Q1043" s="18"/>
      <c r="R1043" s="23">
        <v>0.0</v>
      </c>
      <c r="S1043" s="23">
        <v>0.0</v>
      </c>
      <c r="T1043" s="23">
        <f t="shared" si="2"/>
        <v>0</v>
      </c>
      <c r="U1043" s="23">
        <f t="shared" si="3"/>
        <v>0</v>
      </c>
      <c r="V1043" s="23">
        <f t="shared" si="4"/>
        <v>0</v>
      </c>
      <c r="W1043" s="24" t="str">
        <f t="shared" si="5"/>
        <v>#DIV/0!</v>
      </c>
    </row>
    <row r="1044">
      <c r="A1044" s="15" t="s">
        <v>4317</v>
      </c>
      <c r="B1044" s="15" t="s">
        <v>4318</v>
      </c>
      <c r="C1044" s="15" t="s">
        <v>6465</v>
      </c>
      <c r="D1044" s="15" t="s">
        <v>4315</v>
      </c>
      <c r="E1044" s="17" t="s">
        <v>192</v>
      </c>
      <c r="F1044" s="18"/>
      <c r="G1044" s="18"/>
      <c r="H1044" s="15" t="s">
        <v>4319</v>
      </c>
      <c r="I1044" s="18"/>
      <c r="J1044" s="19" t="s">
        <v>36</v>
      </c>
      <c r="K1044" s="19" t="s">
        <v>1230</v>
      </c>
      <c r="L1044" s="19" t="s">
        <v>38</v>
      </c>
      <c r="M1044" s="20">
        <f t="shared" si="1"/>
        <v>0</v>
      </c>
      <c r="N1044" s="22"/>
      <c r="O1044" s="19" t="s">
        <v>3578</v>
      </c>
      <c r="P1044" s="18"/>
      <c r="Q1044" s="18"/>
      <c r="R1044" s="23">
        <v>0.0</v>
      </c>
      <c r="S1044" s="23">
        <v>0.0</v>
      </c>
      <c r="T1044" s="23">
        <f t="shared" si="2"/>
        <v>0</v>
      </c>
      <c r="U1044" s="23">
        <f t="shared" si="3"/>
        <v>0</v>
      </c>
      <c r="V1044" s="23">
        <f t="shared" si="4"/>
        <v>0</v>
      </c>
      <c r="W1044" s="24" t="str">
        <f t="shared" si="5"/>
        <v>#DIV/0!</v>
      </c>
    </row>
    <row r="1045" hidden="1">
      <c r="A1045" s="15" t="s">
        <v>2832</v>
      </c>
      <c r="B1045" s="18"/>
      <c r="C1045" s="15" t="s">
        <v>7578</v>
      </c>
      <c r="D1045" s="18"/>
      <c r="E1045" s="17" t="s">
        <v>2833</v>
      </c>
      <c r="F1045" s="18"/>
      <c r="G1045" s="18"/>
      <c r="H1045" s="15" t="s">
        <v>2834</v>
      </c>
      <c r="I1045" s="15" t="s">
        <v>2835</v>
      </c>
      <c r="J1045" s="19" t="s">
        <v>59</v>
      </c>
      <c r="K1045" s="19" t="s">
        <v>691</v>
      </c>
      <c r="L1045" s="19" t="s">
        <v>38</v>
      </c>
      <c r="M1045" s="20">
        <f t="shared" si="1"/>
        <v>0</v>
      </c>
      <c r="N1045" s="22"/>
      <c r="O1045" s="19" t="s">
        <v>1145</v>
      </c>
      <c r="P1045" s="18"/>
      <c r="Q1045" s="18"/>
      <c r="R1045" s="23">
        <v>0.0</v>
      </c>
      <c r="S1045" s="23">
        <v>0.0</v>
      </c>
      <c r="T1045" s="23">
        <f t="shared" si="2"/>
        <v>0</v>
      </c>
      <c r="U1045" s="23">
        <f t="shared" si="3"/>
        <v>0</v>
      </c>
      <c r="V1045" s="23">
        <f t="shared" si="4"/>
        <v>0</v>
      </c>
      <c r="W1045" s="24" t="str">
        <f t="shared" si="5"/>
        <v>#DIV/0!</v>
      </c>
    </row>
    <row r="1046" hidden="1">
      <c r="A1046" s="15" t="s">
        <v>2836</v>
      </c>
      <c r="B1046" s="18"/>
      <c r="C1046" s="15" t="s">
        <v>7579</v>
      </c>
      <c r="D1046" s="18"/>
      <c r="E1046" s="17" t="s">
        <v>2833</v>
      </c>
      <c r="F1046" s="18"/>
      <c r="G1046" s="18"/>
      <c r="H1046" s="15" t="s">
        <v>2837</v>
      </c>
      <c r="I1046" s="15" t="s">
        <v>2838</v>
      </c>
      <c r="J1046" s="19" t="s">
        <v>59</v>
      </c>
      <c r="K1046" s="19" t="s">
        <v>691</v>
      </c>
      <c r="L1046" s="19" t="s">
        <v>38</v>
      </c>
      <c r="M1046" s="20">
        <f t="shared" si="1"/>
        <v>0</v>
      </c>
      <c r="N1046" s="22"/>
      <c r="O1046" s="19" t="s">
        <v>1145</v>
      </c>
      <c r="P1046" s="18"/>
      <c r="Q1046" s="18"/>
      <c r="R1046" s="23">
        <v>0.0</v>
      </c>
      <c r="S1046" s="23">
        <v>0.0</v>
      </c>
      <c r="T1046" s="23">
        <f t="shared" si="2"/>
        <v>0</v>
      </c>
      <c r="U1046" s="23">
        <f t="shared" si="3"/>
        <v>0</v>
      </c>
      <c r="V1046" s="23">
        <f t="shared" si="4"/>
        <v>0</v>
      </c>
      <c r="W1046" s="24" t="str">
        <f t="shared" si="5"/>
        <v>#DIV/0!</v>
      </c>
    </row>
    <row r="1047">
      <c r="A1047" s="15" t="s">
        <v>4320</v>
      </c>
      <c r="B1047" s="15" t="s">
        <v>4321</v>
      </c>
      <c r="C1047" s="15" t="s">
        <v>6466</v>
      </c>
      <c r="D1047" s="15" t="s">
        <v>4315</v>
      </c>
      <c r="E1047" s="17" t="s">
        <v>192</v>
      </c>
      <c r="F1047" s="18"/>
      <c r="G1047" s="18"/>
      <c r="H1047" s="15" t="s">
        <v>4322</v>
      </c>
      <c r="I1047" s="18"/>
      <c r="J1047" s="19" t="s">
        <v>36</v>
      </c>
      <c r="K1047" s="19" t="s">
        <v>1230</v>
      </c>
      <c r="L1047" s="19" t="s">
        <v>38</v>
      </c>
      <c r="M1047" s="20">
        <f t="shared" si="1"/>
        <v>0</v>
      </c>
      <c r="N1047" s="22"/>
      <c r="O1047" s="19" t="s">
        <v>3578</v>
      </c>
      <c r="P1047" s="18"/>
      <c r="Q1047" s="18"/>
      <c r="R1047" s="23">
        <v>0.0</v>
      </c>
      <c r="S1047" s="23">
        <v>0.0</v>
      </c>
      <c r="T1047" s="23">
        <f t="shared" si="2"/>
        <v>0</v>
      </c>
      <c r="U1047" s="23">
        <f t="shared" si="3"/>
        <v>0</v>
      </c>
      <c r="V1047" s="23">
        <f t="shared" si="4"/>
        <v>0</v>
      </c>
      <c r="W1047" s="24" t="str">
        <f t="shared" si="5"/>
        <v>#DIV/0!</v>
      </c>
    </row>
    <row r="1048" hidden="1">
      <c r="A1048" s="15" t="s">
        <v>2839</v>
      </c>
      <c r="B1048" s="18"/>
      <c r="C1048" s="15" t="s">
        <v>7581</v>
      </c>
      <c r="D1048" s="18"/>
      <c r="E1048" s="17" t="s">
        <v>2840</v>
      </c>
      <c r="F1048" s="18"/>
      <c r="G1048" s="18"/>
      <c r="H1048" s="15" t="s">
        <v>2841</v>
      </c>
      <c r="I1048" s="15" t="s">
        <v>2825</v>
      </c>
      <c r="J1048" s="19" t="s">
        <v>59</v>
      </c>
      <c r="K1048" s="19" t="s">
        <v>2519</v>
      </c>
      <c r="L1048" s="19" t="s">
        <v>38</v>
      </c>
      <c r="M1048" s="20">
        <f t="shared" si="1"/>
        <v>0</v>
      </c>
      <c r="N1048" s="22"/>
      <c r="O1048" s="19" t="s">
        <v>1145</v>
      </c>
      <c r="P1048" s="18"/>
      <c r="Q1048" s="18"/>
      <c r="R1048" s="23">
        <v>0.0</v>
      </c>
      <c r="S1048" s="23">
        <v>0.0</v>
      </c>
      <c r="T1048" s="23">
        <f t="shared" si="2"/>
        <v>0</v>
      </c>
      <c r="U1048" s="23">
        <f t="shared" si="3"/>
        <v>0</v>
      </c>
      <c r="V1048" s="23">
        <f t="shared" si="4"/>
        <v>0</v>
      </c>
      <c r="W1048" s="24" t="str">
        <f t="shared" si="5"/>
        <v>#DIV/0!</v>
      </c>
    </row>
    <row r="1049" hidden="1">
      <c r="A1049" s="15" t="s">
        <v>2842</v>
      </c>
      <c r="B1049" s="18"/>
      <c r="C1049" s="15" t="s">
        <v>7582</v>
      </c>
      <c r="D1049" s="18"/>
      <c r="E1049" s="17" t="s">
        <v>2840</v>
      </c>
      <c r="F1049" s="18"/>
      <c r="G1049" s="18"/>
      <c r="H1049" s="15" t="s">
        <v>2843</v>
      </c>
      <c r="I1049" s="15" t="s">
        <v>2844</v>
      </c>
      <c r="J1049" s="19" t="s">
        <v>59</v>
      </c>
      <c r="K1049" s="19" t="s">
        <v>2519</v>
      </c>
      <c r="L1049" s="19" t="s">
        <v>38</v>
      </c>
      <c r="M1049" s="20">
        <f t="shared" si="1"/>
        <v>0</v>
      </c>
      <c r="N1049" s="22"/>
      <c r="O1049" s="19" t="s">
        <v>1145</v>
      </c>
      <c r="P1049" s="18"/>
      <c r="Q1049" s="18"/>
      <c r="R1049" s="23">
        <v>0.0</v>
      </c>
      <c r="S1049" s="23">
        <v>0.0</v>
      </c>
      <c r="T1049" s="23">
        <f t="shared" si="2"/>
        <v>0</v>
      </c>
      <c r="U1049" s="23">
        <f t="shared" si="3"/>
        <v>0</v>
      </c>
      <c r="V1049" s="23">
        <f t="shared" si="4"/>
        <v>0</v>
      </c>
      <c r="W1049" s="24" t="str">
        <f t="shared" si="5"/>
        <v>#DIV/0!</v>
      </c>
    </row>
    <row r="1050" hidden="1">
      <c r="A1050" s="15" t="s">
        <v>2845</v>
      </c>
      <c r="B1050" s="18"/>
      <c r="C1050" s="15" t="s">
        <v>7583</v>
      </c>
      <c r="D1050" s="18"/>
      <c r="E1050" s="17" t="s">
        <v>2846</v>
      </c>
      <c r="F1050" s="18"/>
      <c r="G1050" s="18"/>
      <c r="H1050" s="15" t="s">
        <v>2847</v>
      </c>
      <c r="I1050" s="15" t="s">
        <v>2848</v>
      </c>
      <c r="J1050" s="19" t="s">
        <v>59</v>
      </c>
      <c r="K1050" s="19" t="s">
        <v>2401</v>
      </c>
      <c r="L1050" s="19" t="s">
        <v>38</v>
      </c>
      <c r="M1050" s="20">
        <f t="shared" si="1"/>
        <v>0</v>
      </c>
      <c r="N1050" s="22"/>
      <c r="O1050" s="19" t="s">
        <v>1145</v>
      </c>
      <c r="P1050" s="18"/>
      <c r="Q1050" s="18"/>
      <c r="R1050" s="23">
        <v>0.0</v>
      </c>
      <c r="S1050" s="23">
        <v>0.0</v>
      </c>
      <c r="T1050" s="23">
        <f t="shared" si="2"/>
        <v>0</v>
      </c>
      <c r="U1050" s="23">
        <f t="shared" si="3"/>
        <v>0</v>
      </c>
      <c r="V1050" s="23">
        <f t="shared" si="4"/>
        <v>0</v>
      </c>
      <c r="W1050" s="24" t="str">
        <f t="shared" si="5"/>
        <v>#DIV/0!</v>
      </c>
    </row>
    <row r="1051" hidden="1">
      <c r="A1051" s="15" t="s">
        <v>2849</v>
      </c>
      <c r="B1051" s="18"/>
      <c r="C1051" s="15" t="s">
        <v>7584</v>
      </c>
      <c r="D1051" s="18"/>
      <c r="E1051" s="17" t="s">
        <v>2850</v>
      </c>
      <c r="F1051" s="18"/>
      <c r="G1051" s="18"/>
      <c r="H1051" s="15" t="s">
        <v>2851</v>
      </c>
      <c r="I1051" s="15" t="s">
        <v>2852</v>
      </c>
      <c r="J1051" s="19" t="s">
        <v>59</v>
      </c>
      <c r="K1051" s="19" t="s">
        <v>2401</v>
      </c>
      <c r="L1051" s="19" t="s">
        <v>38</v>
      </c>
      <c r="M1051" s="20">
        <f t="shared" si="1"/>
        <v>0</v>
      </c>
      <c r="N1051" s="22"/>
      <c r="O1051" s="19" t="s">
        <v>1145</v>
      </c>
      <c r="P1051" s="18"/>
      <c r="Q1051" s="18"/>
      <c r="R1051" s="23">
        <v>0.0</v>
      </c>
      <c r="S1051" s="23">
        <v>0.0</v>
      </c>
      <c r="T1051" s="23">
        <f t="shared" si="2"/>
        <v>0</v>
      </c>
      <c r="U1051" s="23">
        <f t="shared" si="3"/>
        <v>0</v>
      </c>
      <c r="V1051" s="23">
        <f t="shared" si="4"/>
        <v>0</v>
      </c>
      <c r="W1051" s="24" t="str">
        <f t="shared" si="5"/>
        <v>#DIV/0!</v>
      </c>
    </row>
    <row r="1052" hidden="1">
      <c r="A1052" s="15" t="s">
        <v>7585</v>
      </c>
      <c r="B1052" s="18"/>
      <c r="C1052" s="15" t="s">
        <v>7586</v>
      </c>
      <c r="D1052" s="18"/>
      <c r="E1052" s="17" t="s">
        <v>7587</v>
      </c>
      <c r="F1052" s="18"/>
      <c r="G1052" s="18"/>
      <c r="H1052" s="15" t="s">
        <v>7588</v>
      </c>
      <c r="I1052" s="15" t="s">
        <v>762</v>
      </c>
      <c r="J1052" s="19" t="s">
        <v>59</v>
      </c>
      <c r="K1052" s="19" t="s">
        <v>2401</v>
      </c>
      <c r="L1052" s="19" t="s">
        <v>38</v>
      </c>
      <c r="M1052" s="20">
        <f t="shared" si="1"/>
        <v>0</v>
      </c>
      <c r="N1052" s="22"/>
      <c r="O1052" s="19" t="s">
        <v>39</v>
      </c>
      <c r="P1052" s="18"/>
      <c r="Q1052" s="18"/>
      <c r="R1052" s="23">
        <v>0.0</v>
      </c>
      <c r="S1052" s="23">
        <v>0.0</v>
      </c>
      <c r="T1052" s="23">
        <f t="shared" si="2"/>
        <v>0</v>
      </c>
      <c r="U1052" s="23">
        <f t="shared" si="3"/>
        <v>0</v>
      </c>
      <c r="V1052" s="23">
        <f t="shared" si="4"/>
        <v>0</v>
      </c>
      <c r="W1052" s="24" t="str">
        <f t="shared" si="5"/>
        <v>#DIV/0!</v>
      </c>
    </row>
    <row r="1053" hidden="1">
      <c r="A1053" s="15" t="s">
        <v>2853</v>
      </c>
      <c r="B1053" s="18"/>
      <c r="C1053" s="15" t="s">
        <v>7589</v>
      </c>
      <c r="D1053" s="18"/>
      <c r="E1053" s="17" t="s">
        <v>2854</v>
      </c>
      <c r="F1053" s="18"/>
      <c r="G1053" s="18"/>
      <c r="H1053" s="15" t="s">
        <v>2855</v>
      </c>
      <c r="I1053" s="15" t="s">
        <v>2856</v>
      </c>
      <c r="J1053" s="19" t="s">
        <v>59</v>
      </c>
      <c r="K1053" s="19" t="s">
        <v>2401</v>
      </c>
      <c r="L1053" s="19" t="s">
        <v>38</v>
      </c>
      <c r="M1053" s="20">
        <f t="shared" si="1"/>
        <v>0</v>
      </c>
      <c r="N1053" s="22"/>
      <c r="O1053" s="19" t="s">
        <v>1145</v>
      </c>
      <c r="P1053" s="18"/>
      <c r="Q1053" s="18"/>
      <c r="R1053" s="23">
        <v>0.0</v>
      </c>
      <c r="S1053" s="23">
        <v>0.0</v>
      </c>
      <c r="T1053" s="23">
        <f t="shared" si="2"/>
        <v>0</v>
      </c>
      <c r="U1053" s="23">
        <f t="shared" si="3"/>
        <v>0</v>
      </c>
      <c r="V1053" s="23">
        <f t="shared" si="4"/>
        <v>0</v>
      </c>
      <c r="W1053" s="24" t="str">
        <f t="shared" si="5"/>
        <v>#DIV/0!</v>
      </c>
    </row>
    <row r="1054" hidden="1">
      <c r="A1054" s="15" t="s">
        <v>7590</v>
      </c>
      <c r="B1054" s="18"/>
      <c r="C1054" s="15" t="s">
        <v>7591</v>
      </c>
      <c r="D1054" s="18"/>
      <c r="E1054" s="17" t="s">
        <v>7592</v>
      </c>
      <c r="F1054" s="18"/>
      <c r="G1054" s="18"/>
      <c r="H1054" s="15" t="s">
        <v>7593</v>
      </c>
      <c r="I1054" s="15" t="s">
        <v>307</v>
      </c>
      <c r="J1054" s="19" t="s">
        <v>59</v>
      </c>
      <c r="K1054" s="19" t="s">
        <v>691</v>
      </c>
      <c r="L1054" s="19" t="s">
        <v>38</v>
      </c>
      <c r="M1054" s="20">
        <f t="shared" si="1"/>
        <v>0</v>
      </c>
      <c r="N1054" s="22"/>
      <c r="O1054" s="19" t="s">
        <v>39</v>
      </c>
      <c r="P1054" s="18"/>
      <c r="Q1054" s="18"/>
      <c r="R1054" s="23">
        <v>0.0</v>
      </c>
      <c r="S1054" s="23">
        <v>0.0</v>
      </c>
      <c r="T1054" s="23">
        <f t="shared" si="2"/>
        <v>0</v>
      </c>
      <c r="U1054" s="23">
        <f t="shared" si="3"/>
        <v>0</v>
      </c>
      <c r="V1054" s="23">
        <f t="shared" si="4"/>
        <v>0</v>
      </c>
      <c r="W1054" s="24" t="str">
        <f t="shared" si="5"/>
        <v>#DIV/0!</v>
      </c>
    </row>
    <row r="1055" hidden="1">
      <c r="A1055" s="15" t="s">
        <v>5119</v>
      </c>
      <c r="B1055" s="18"/>
      <c r="C1055" s="15" t="s">
        <v>7594</v>
      </c>
      <c r="D1055" s="18"/>
      <c r="E1055" s="17" t="s">
        <v>7592</v>
      </c>
      <c r="F1055" s="18"/>
      <c r="G1055" s="18"/>
      <c r="H1055" s="15" t="s">
        <v>7595</v>
      </c>
      <c r="I1055" s="15" t="s">
        <v>5122</v>
      </c>
      <c r="J1055" s="19" t="s">
        <v>59</v>
      </c>
      <c r="K1055" s="19" t="s">
        <v>691</v>
      </c>
      <c r="L1055" s="19" t="s">
        <v>38</v>
      </c>
      <c r="M1055" s="20">
        <f t="shared" si="1"/>
        <v>0</v>
      </c>
      <c r="N1055" s="22"/>
      <c r="O1055" s="19" t="s">
        <v>1145</v>
      </c>
      <c r="P1055" s="18"/>
      <c r="Q1055" s="18"/>
      <c r="R1055" s="23">
        <v>0.0</v>
      </c>
      <c r="S1055" s="23">
        <v>0.0</v>
      </c>
      <c r="T1055" s="23">
        <f t="shared" si="2"/>
        <v>0</v>
      </c>
      <c r="U1055" s="23">
        <f t="shared" si="3"/>
        <v>0</v>
      </c>
      <c r="V1055" s="23">
        <f t="shared" si="4"/>
        <v>0</v>
      </c>
      <c r="W1055" s="24" t="str">
        <f t="shared" si="5"/>
        <v>#DIV/0!</v>
      </c>
    </row>
    <row r="1056" hidden="1">
      <c r="A1056" s="15" t="s">
        <v>7596</v>
      </c>
      <c r="B1056" s="18"/>
      <c r="C1056" s="15" t="s">
        <v>7597</v>
      </c>
      <c r="D1056" s="18"/>
      <c r="E1056" s="17" t="s">
        <v>7598</v>
      </c>
      <c r="F1056" s="18"/>
      <c r="G1056" s="18"/>
      <c r="H1056" s="15" t="s">
        <v>7599</v>
      </c>
      <c r="I1056" s="15" t="s">
        <v>4950</v>
      </c>
      <c r="J1056" s="19" t="s">
        <v>59</v>
      </c>
      <c r="K1056" s="19" t="s">
        <v>691</v>
      </c>
      <c r="L1056" s="19" t="s">
        <v>38</v>
      </c>
      <c r="M1056" s="20">
        <f t="shared" si="1"/>
        <v>0</v>
      </c>
      <c r="N1056" s="22"/>
      <c r="O1056" s="19" t="s">
        <v>39</v>
      </c>
      <c r="P1056" s="18"/>
      <c r="Q1056" s="18"/>
      <c r="R1056" s="23">
        <v>0.0</v>
      </c>
      <c r="S1056" s="23">
        <v>0.0</v>
      </c>
      <c r="T1056" s="23">
        <f t="shared" si="2"/>
        <v>0</v>
      </c>
      <c r="U1056" s="23">
        <f t="shared" si="3"/>
        <v>0</v>
      </c>
      <c r="V1056" s="23">
        <f t="shared" si="4"/>
        <v>0</v>
      </c>
      <c r="W1056" s="24" t="str">
        <f t="shared" si="5"/>
        <v>#DIV/0!</v>
      </c>
    </row>
    <row r="1057">
      <c r="A1057" s="15" t="s">
        <v>4323</v>
      </c>
      <c r="B1057" s="15" t="s">
        <v>4324</v>
      </c>
      <c r="C1057" s="15" t="s">
        <v>6467</v>
      </c>
      <c r="D1057" s="18"/>
      <c r="E1057" s="17" t="s">
        <v>4325</v>
      </c>
      <c r="F1057" s="18"/>
      <c r="G1057" s="18"/>
      <c r="H1057" s="15" t="s">
        <v>4326</v>
      </c>
      <c r="I1057" s="18"/>
      <c r="J1057" s="19" t="s">
        <v>36</v>
      </c>
      <c r="K1057" s="19" t="s">
        <v>1230</v>
      </c>
      <c r="L1057" s="19" t="s">
        <v>38</v>
      </c>
      <c r="M1057" s="20">
        <f t="shared" si="1"/>
        <v>0</v>
      </c>
      <c r="N1057" s="22"/>
      <c r="O1057" s="19" t="s">
        <v>3578</v>
      </c>
      <c r="P1057" s="18"/>
      <c r="Q1057" s="18"/>
      <c r="R1057" s="23">
        <v>0.0</v>
      </c>
      <c r="S1057" s="23">
        <v>0.0</v>
      </c>
      <c r="T1057" s="23">
        <f t="shared" si="2"/>
        <v>0</v>
      </c>
      <c r="U1057" s="23">
        <f t="shared" si="3"/>
        <v>0</v>
      </c>
      <c r="V1057" s="23">
        <f t="shared" si="4"/>
        <v>0</v>
      </c>
      <c r="W1057" s="24" t="str">
        <f t="shared" si="5"/>
        <v>#DIV/0!</v>
      </c>
    </row>
    <row r="1058">
      <c r="A1058" s="15" t="s">
        <v>4327</v>
      </c>
      <c r="B1058" s="15" t="s">
        <v>4328</v>
      </c>
      <c r="C1058" s="15" t="s">
        <v>6468</v>
      </c>
      <c r="D1058" s="15" t="s">
        <v>4329</v>
      </c>
      <c r="E1058" s="17" t="s">
        <v>4330</v>
      </c>
      <c r="F1058" s="18"/>
      <c r="G1058" s="18"/>
      <c r="H1058" s="15" t="s">
        <v>6469</v>
      </c>
      <c r="I1058" s="18"/>
      <c r="J1058" s="19" t="s">
        <v>36</v>
      </c>
      <c r="K1058" s="19" t="s">
        <v>1230</v>
      </c>
      <c r="L1058" s="19" t="s">
        <v>38</v>
      </c>
      <c r="M1058" s="20">
        <f t="shared" si="1"/>
        <v>0</v>
      </c>
      <c r="N1058" s="22"/>
      <c r="O1058" s="19" t="s">
        <v>3578</v>
      </c>
      <c r="P1058" s="18"/>
      <c r="Q1058" s="18"/>
      <c r="R1058" s="23">
        <v>0.0</v>
      </c>
      <c r="S1058" s="23">
        <v>0.0</v>
      </c>
      <c r="T1058" s="23">
        <f t="shared" si="2"/>
        <v>0</v>
      </c>
      <c r="U1058" s="23">
        <f t="shared" si="3"/>
        <v>0</v>
      </c>
      <c r="V1058" s="23">
        <f t="shared" si="4"/>
        <v>0</v>
      </c>
      <c r="W1058" s="24" t="str">
        <f t="shared" si="5"/>
        <v>#DIV/0!</v>
      </c>
    </row>
    <row r="1059">
      <c r="A1059" s="15" t="s">
        <v>4332</v>
      </c>
      <c r="B1059" s="15" t="s">
        <v>4333</v>
      </c>
      <c r="C1059" s="15" t="s">
        <v>6470</v>
      </c>
      <c r="D1059" s="15" t="s">
        <v>4315</v>
      </c>
      <c r="E1059" s="17" t="s">
        <v>4334</v>
      </c>
      <c r="F1059" s="18"/>
      <c r="G1059" s="18"/>
      <c r="H1059" s="15" t="s">
        <v>4335</v>
      </c>
      <c r="I1059" s="18"/>
      <c r="J1059" s="19" t="s">
        <v>36</v>
      </c>
      <c r="K1059" s="19" t="s">
        <v>1230</v>
      </c>
      <c r="L1059" s="19" t="s">
        <v>38</v>
      </c>
      <c r="M1059" s="20">
        <f t="shared" si="1"/>
        <v>0</v>
      </c>
      <c r="N1059" s="22"/>
      <c r="O1059" s="19" t="s">
        <v>3578</v>
      </c>
      <c r="P1059" s="18"/>
      <c r="Q1059" s="18"/>
      <c r="R1059" s="23">
        <v>0.0</v>
      </c>
      <c r="S1059" s="23">
        <v>0.0</v>
      </c>
      <c r="T1059" s="23">
        <f t="shared" si="2"/>
        <v>0</v>
      </c>
      <c r="U1059" s="23">
        <f t="shared" si="3"/>
        <v>0</v>
      </c>
      <c r="V1059" s="23">
        <f t="shared" si="4"/>
        <v>0</v>
      </c>
      <c r="W1059" s="24" t="str">
        <f t="shared" si="5"/>
        <v>#DIV/0!</v>
      </c>
    </row>
    <row r="1060">
      <c r="A1060" s="15" t="s">
        <v>4336</v>
      </c>
      <c r="B1060" s="15" t="s">
        <v>4337</v>
      </c>
      <c r="C1060" s="15" t="s">
        <v>6473</v>
      </c>
      <c r="D1060" s="15" t="s">
        <v>4338</v>
      </c>
      <c r="E1060" s="17" t="s">
        <v>4339</v>
      </c>
      <c r="F1060" s="18"/>
      <c r="G1060" s="18"/>
      <c r="H1060" s="15" t="s">
        <v>4340</v>
      </c>
      <c r="I1060" s="18"/>
      <c r="J1060" s="19" t="s">
        <v>36</v>
      </c>
      <c r="K1060" s="19" t="s">
        <v>37</v>
      </c>
      <c r="L1060" s="19" t="s">
        <v>38</v>
      </c>
      <c r="M1060" s="20">
        <f t="shared" si="1"/>
        <v>0</v>
      </c>
      <c r="N1060" s="22"/>
      <c r="O1060" s="19" t="s">
        <v>3578</v>
      </c>
      <c r="P1060" s="18"/>
      <c r="Q1060" s="18"/>
      <c r="R1060" s="23">
        <v>0.0</v>
      </c>
      <c r="S1060" s="23">
        <v>0.0</v>
      </c>
      <c r="T1060" s="23">
        <f t="shared" si="2"/>
        <v>0</v>
      </c>
      <c r="U1060" s="23">
        <f t="shared" si="3"/>
        <v>0</v>
      </c>
      <c r="V1060" s="23">
        <f t="shared" si="4"/>
        <v>0</v>
      </c>
      <c r="W1060" s="24" t="str">
        <f t="shared" si="5"/>
        <v>#DIV/0!</v>
      </c>
    </row>
    <row r="1061">
      <c r="A1061" s="15" t="s">
        <v>4341</v>
      </c>
      <c r="B1061" s="15" t="s">
        <v>4342</v>
      </c>
      <c r="C1061" s="15" t="s">
        <v>6474</v>
      </c>
      <c r="D1061" s="15" t="s">
        <v>4343</v>
      </c>
      <c r="E1061" s="17" t="s">
        <v>4344</v>
      </c>
      <c r="F1061" s="18"/>
      <c r="G1061" s="18"/>
      <c r="H1061" s="15" t="s">
        <v>4345</v>
      </c>
      <c r="I1061" s="18"/>
      <c r="J1061" s="19" t="s">
        <v>36</v>
      </c>
      <c r="K1061" s="19" t="s">
        <v>37</v>
      </c>
      <c r="L1061" s="19" t="s">
        <v>38</v>
      </c>
      <c r="M1061" s="20">
        <f t="shared" si="1"/>
        <v>0</v>
      </c>
      <c r="N1061" s="22"/>
      <c r="O1061" s="19" t="s">
        <v>3578</v>
      </c>
      <c r="P1061" s="18"/>
      <c r="Q1061" s="18"/>
      <c r="R1061" s="23">
        <v>0.0</v>
      </c>
      <c r="S1061" s="23">
        <v>0.0</v>
      </c>
      <c r="T1061" s="23">
        <f t="shared" si="2"/>
        <v>0</v>
      </c>
      <c r="U1061" s="23">
        <f t="shared" si="3"/>
        <v>0</v>
      </c>
      <c r="V1061" s="23">
        <f t="shared" si="4"/>
        <v>0</v>
      </c>
      <c r="W1061" s="24" t="str">
        <f t="shared" si="5"/>
        <v>#DIV/0!</v>
      </c>
    </row>
    <row r="1062">
      <c r="A1062" s="15" t="s">
        <v>4346</v>
      </c>
      <c r="B1062" s="15" t="s">
        <v>4347</v>
      </c>
      <c r="C1062" s="15" t="s">
        <v>6475</v>
      </c>
      <c r="D1062" s="15" t="s">
        <v>4348</v>
      </c>
      <c r="E1062" s="17" t="s">
        <v>4349</v>
      </c>
      <c r="F1062" s="18"/>
      <c r="G1062" s="18"/>
      <c r="H1062" s="15" t="s">
        <v>4350</v>
      </c>
      <c r="I1062" s="18"/>
      <c r="J1062" s="19" t="s">
        <v>36</v>
      </c>
      <c r="K1062" s="19" t="s">
        <v>37</v>
      </c>
      <c r="L1062" s="19" t="s">
        <v>38</v>
      </c>
      <c r="M1062" s="20">
        <f t="shared" si="1"/>
        <v>0</v>
      </c>
      <c r="N1062" s="22"/>
      <c r="O1062" s="19" t="s">
        <v>3578</v>
      </c>
      <c r="P1062" s="18"/>
      <c r="Q1062" s="18"/>
      <c r="R1062" s="23">
        <v>0.0</v>
      </c>
      <c r="S1062" s="23">
        <v>0.0</v>
      </c>
      <c r="T1062" s="23">
        <f t="shared" si="2"/>
        <v>0</v>
      </c>
      <c r="U1062" s="23">
        <f t="shared" si="3"/>
        <v>0</v>
      </c>
      <c r="V1062" s="23">
        <f t="shared" si="4"/>
        <v>0</v>
      </c>
      <c r="W1062" s="24" t="str">
        <f t="shared" si="5"/>
        <v>#DIV/0!</v>
      </c>
    </row>
    <row r="1063" hidden="1">
      <c r="A1063" s="15" t="s">
        <v>7601</v>
      </c>
      <c r="B1063" s="18"/>
      <c r="C1063" s="15" t="s">
        <v>7602</v>
      </c>
      <c r="D1063" s="18"/>
      <c r="E1063" s="17" t="s">
        <v>2858</v>
      </c>
      <c r="F1063" s="18"/>
      <c r="G1063" s="18"/>
      <c r="H1063" s="15" t="s">
        <v>7603</v>
      </c>
      <c r="I1063" s="15" t="s">
        <v>3951</v>
      </c>
      <c r="J1063" s="19" t="s">
        <v>59</v>
      </c>
      <c r="K1063" s="19" t="s">
        <v>2401</v>
      </c>
      <c r="L1063" s="19" t="s">
        <v>38</v>
      </c>
      <c r="M1063" s="20">
        <f t="shared" si="1"/>
        <v>0</v>
      </c>
      <c r="N1063" s="22"/>
      <c r="O1063" s="19" t="s">
        <v>39</v>
      </c>
      <c r="P1063" s="18"/>
      <c r="Q1063" s="18"/>
      <c r="R1063" s="23">
        <v>0.0</v>
      </c>
      <c r="S1063" s="23">
        <v>0.0</v>
      </c>
      <c r="T1063" s="23">
        <f t="shared" si="2"/>
        <v>0</v>
      </c>
      <c r="U1063" s="23">
        <f t="shared" si="3"/>
        <v>0</v>
      </c>
      <c r="V1063" s="23">
        <f t="shared" si="4"/>
        <v>0</v>
      </c>
      <c r="W1063" s="24" t="str">
        <f t="shared" si="5"/>
        <v>#DIV/0!</v>
      </c>
    </row>
    <row r="1064" hidden="1">
      <c r="A1064" s="15" t="s">
        <v>5128</v>
      </c>
      <c r="B1064" s="18"/>
      <c r="C1064" s="15" t="s">
        <v>7604</v>
      </c>
      <c r="D1064" s="18"/>
      <c r="E1064" s="17" t="s">
        <v>2858</v>
      </c>
      <c r="F1064" s="18"/>
      <c r="G1064" s="18"/>
      <c r="H1064" s="15" t="s">
        <v>7605</v>
      </c>
      <c r="I1064" s="15" t="s">
        <v>5131</v>
      </c>
      <c r="J1064" s="19" t="s">
        <v>59</v>
      </c>
      <c r="K1064" s="19" t="s">
        <v>2401</v>
      </c>
      <c r="L1064" s="19" t="s">
        <v>38</v>
      </c>
      <c r="M1064" s="20">
        <f t="shared" si="1"/>
        <v>0</v>
      </c>
      <c r="N1064" s="22"/>
      <c r="O1064" s="19" t="s">
        <v>1145</v>
      </c>
      <c r="P1064" s="18"/>
      <c r="Q1064" s="18"/>
      <c r="R1064" s="23">
        <v>0.0</v>
      </c>
      <c r="S1064" s="23">
        <v>0.0</v>
      </c>
      <c r="T1064" s="23">
        <f t="shared" si="2"/>
        <v>0</v>
      </c>
      <c r="U1064" s="23">
        <f t="shared" si="3"/>
        <v>0</v>
      </c>
      <c r="V1064" s="23">
        <f t="shared" si="4"/>
        <v>0</v>
      </c>
      <c r="W1064" s="24" t="str">
        <f t="shared" si="5"/>
        <v>#DIV/0!</v>
      </c>
    </row>
    <row r="1065" hidden="1">
      <c r="A1065" s="15" t="s">
        <v>2857</v>
      </c>
      <c r="B1065" s="18"/>
      <c r="C1065" s="15" t="s">
        <v>7606</v>
      </c>
      <c r="D1065" s="18"/>
      <c r="E1065" s="17" t="s">
        <v>2858</v>
      </c>
      <c r="F1065" s="18"/>
      <c r="G1065" s="18"/>
      <c r="H1065" s="15" t="s">
        <v>2859</v>
      </c>
      <c r="I1065" s="15" t="s">
        <v>2860</v>
      </c>
      <c r="J1065" s="19" t="s">
        <v>59</v>
      </c>
      <c r="K1065" s="19" t="s">
        <v>2401</v>
      </c>
      <c r="L1065" s="19" t="s">
        <v>38</v>
      </c>
      <c r="M1065" s="20">
        <f t="shared" si="1"/>
        <v>0</v>
      </c>
      <c r="N1065" s="22"/>
      <c r="O1065" s="19" t="s">
        <v>1145</v>
      </c>
      <c r="P1065" s="18"/>
      <c r="Q1065" s="18"/>
      <c r="R1065" s="23">
        <v>0.0</v>
      </c>
      <c r="S1065" s="23">
        <v>0.0</v>
      </c>
      <c r="T1065" s="23">
        <f t="shared" si="2"/>
        <v>0</v>
      </c>
      <c r="U1065" s="23">
        <f t="shared" si="3"/>
        <v>0</v>
      </c>
      <c r="V1065" s="23">
        <f t="shared" si="4"/>
        <v>0</v>
      </c>
      <c r="W1065" s="24" t="str">
        <f t="shared" si="5"/>
        <v>#DIV/0!</v>
      </c>
    </row>
    <row r="1066" hidden="1">
      <c r="A1066" s="15" t="s">
        <v>2861</v>
      </c>
      <c r="B1066" s="18"/>
      <c r="C1066" s="15" t="s">
        <v>7607</v>
      </c>
      <c r="D1066" s="18"/>
      <c r="E1066" s="17" t="s">
        <v>2858</v>
      </c>
      <c r="F1066" s="18"/>
      <c r="G1066" s="18"/>
      <c r="H1066" s="15" t="s">
        <v>2862</v>
      </c>
      <c r="I1066" s="15" t="s">
        <v>2863</v>
      </c>
      <c r="J1066" s="19" t="s">
        <v>59</v>
      </c>
      <c r="K1066" s="19" t="s">
        <v>2401</v>
      </c>
      <c r="L1066" s="19" t="s">
        <v>38</v>
      </c>
      <c r="M1066" s="20">
        <f t="shared" si="1"/>
        <v>0</v>
      </c>
      <c r="N1066" s="22"/>
      <c r="O1066" s="19" t="s">
        <v>1145</v>
      </c>
      <c r="P1066" s="18"/>
      <c r="Q1066" s="18"/>
      <c r="R1066" s="23">
        <v>0.0</v>
      </c>
      <c r="S1066" s="23">
        <v>0.0</v>
      </c>
      <c r="T1066" s="23">
        <f t="shared" si="2"/>
        <v>0</v>
      </c>
      <c r="U1066" s="23">
        <f t="shared" si="3"/>
        <v>0</v>
      </c>
      <c r="V1066" s="23">
        <f t="shared" si="4"/>
        <v>0</v>
      </c>
      <c r="W1066" s="24" t="str">
        <f t="shared" si="5"/>
        <v>#DIV/0!</v>
      </c>
    </row>
    <row r="1067" hidden="1">
      <c r="A1067" s="15" t="s">
        <v>5132</v>
      </c>
      <c r="B1067" s="18"/>
      <c r="C1067" s="15" t="s">
        <v>7608</v>
      </c>
      <c r="D1067" s="18"/>
      <c r="E1067" s="17" t="s">
        <v>7609</v>
      </c>
      <c r="F1067" s="18"/>
      <c r="G1067" s="18"/>
      <c r="H1067" s="15" t="s">
        <v>7610</v>
      </c>
      <c r="I1067" s="15" t="s">
        <v>5135</v>
      </c>
      <c r="J1067" s="19" t="s">
        <v>59</v>
      </c>
      <c r="K1067" s="19" t="s">
        <v>2401</v>
      </c>
      <c r="L1067" s="19" t="s">
        <v>38</v>
      </c>
      <c r="M1067" s="20">
        <f t="shared" si="1"/>
        <v>0</v>
      </c>
      <c r="N1067" s="22"/>
      <c r="O1067" s="19" t="s">
        <v>1145</v>
      </c>
      <c r="P1067" s="18"/>
      <c r="Q1067" s="18"/>
      <c r="R1067" s="23">
        <v>0.0</v>
      </c>
      <c r="S1067" s="23">
        <v>0.0</v>
      </c>
      <c r="T1067" s="23">
        <f t="shared" si="2"/>
        <v>0</v>
      </c>
      <c r="U1067" s="23">
        <f t="shared" si="3"/>
        <v>0</v>
      </c>
      <c r="V1067" s="23">
        <f t="shared" si="4"/>
        <v>0</v>
      </c>
      <c r="W1067" s="24" t="str">
        <f t="shared" si="5"/>
        <v>#DIV/0!</v>
      </c>
    </row>
    <row r="1068" hidden="1">
      <c r="A1068" s="15" t="s">
        <v>7611</v>
      </c>
      <c r="B1068" s="18"/>
      <c r="C1068" s="15" t="s">
        <v>7612</v>
      </c>
      <c r="D1068" s="18"/>
      <c r="E1068" s="17" t="s">
        <v>7613</v>
      </c>
      <c r="F1068" s="18"/>
      <c r="G1068" s="18"/>
      <c r="H1068" s="15" t="s">
        <v>7614</v>
      </c>
      <c r="I1068" s="15" t="s">
        <v>823</v>
      </c>
      <c r="J1068" s="19" t="s">
        <v>59</v>
      </c>
      <c r="K1068" s="19" t="s">
        <v>2401</v>
      </c>
      <c r="L1068" s="19" t="s">
        <v>38</v>
      </c>
      <c r="M1068" s="20">
        <f t="shared" si="1"/>
        <v>0</v>
      </c>
      <c r="N1068" s="22"/>
      <c r="O1068" s="19" t="s">
        <v>39</v>
      </c>
      <c r="P1068" s="18"/>
      <c r="Q1068" s="18"/>
      <c r="R1068" s="23">
        <v>0.0</v>
      </c>
      <c r="S1068" s="23">
        <v>0.0</v>
      </c>
      <c r="T1068" s="23">
        <f t="shared" si="2"/>
        <v>0</v>
      </c>
      <c r="U1068" s="23">
        <f t="shared" si="3"/>
        <v>0</v>
      </c>
      <c r="V1068" s="23">
        <f t="shared" si="4"/>
        <v>0</v>
      </c>
      <c r="W1068" s="24" t="str">
        <f t="shared" si="5"/>
        <v>#DIV/0!</v>
      </c>
    </row>
    <row r="1069">
      <c r="A1069" s="15" t="s">
        <v>4351</v>
      </c>
      <c r="B1069" s="15" t="s">
        <v>4352</v>
      </c>
      <c r="C1069" s="15" t="s">
        <v>6476</v>
      </c>
      <c r="D1069" s="15" t="s">
        <v>4353</v>
      </c>
      <c r="E1069" s="17" t="s">
        <v>4354</v>
      </c>
      <c r="F1069" s="18"/>
      <c r="G1069" s="18"/>
      <c r="H1069" s="15" t="s">
        <v>4355</v>
      </c>
      <c r="I1069" s="18"/>
      <c r="J1069" s="19" t="s">
        <v>36</v>
      </c>
      <c r="K1069" s="19" t="s">
        <v>37</v>
      </c>
      <c r="L1069" s="19" t="s">
        <v>38</v>
      </c>
      <c r="M1069" s="20">
        <f t="shared" si="1"/>
        <v>0</v>
      </c>
      <c r="N1069" s="22"/>
      <c r="O1069" s="19" t="s">
        <v>3578</v>
      </c>
      <c r="P1069" s="18"/>
      <c r="Q1069" s="18"/>
      <c r="R1069" s="23">
        <v>0.0</v>
      </c>
      <c r="S1069" s="23">
        <v>0.0</v>
      </c>
      <c r="T1069" s="23">
        <f t="shared" si="2"/>
        <v>0</v>
      </c>
      <c r="U1069" s="23">
        <f t="shared" si="3"/>
        <v>0</v>
      </c>
      <c r="V1069" s="23">
        <f t="shared" si="4"/>
        <v>0</v>
      </c>
      <c r="W1069" s="24" t="str">
        <f t="shared" si="5"/>
        <v>#DIV/0!</v>
      </c>
    </row>
    <row r="1070" hidden="1">
      <c r="A1070" s="15" t="s">
        <v>2864</v>
      </c>
      <c r="B1070" s="15" t="s">
        <v>2865</v>
      </c>
      <c r="C1070" s="15" t="s">
        <v>7616</v>
      </c>
      <c r="D1070" s="18"/>
      <c r="E1070" s="17" t="s">
        <v>2866</v>
      </c>
      <c r="F1070" s="18"/>
      <c r="G1070" s="18"/>
      <c r="H1070" s="15" t="s">
        <v>2867</v>
      </c>
      <c r="I1070" s="18"/>
      <c r="J1070" s="19" t="s">
        <v>59</v>
      </c>
      <c r="K1070" s="33"/>
      <c r="L1070" s="19" t="s">
        <v>38</v>
      </c>
      <c r="M1070" s="20">
        <f t="shared" si="1"/>
        <v>0</v>
      </c>
      <c r="N1070" s="22"/>
      <c r="O1070" s="19" t="s">
        <v>1145</v>
      </c>
      <c r="P1070" s="18"/>
      <c r="Q1070" s="18"/>
      <c r="R1070" s="23">
        <v>0.0</v>
      </c>
      <c r="S1070" s="23">
        <v>0.0</v>
      </c>
      <c r="T1070" s="23">
        <f t="shared" si="2"/>
        <v>0</v>
      </c>
      <c r="U1070" s="23">
        <f t="shared" si="3"/>
        <v>0</v>
      </c>
      <c r="V1070" s="23">
        <f t="shared" si="4"/>
        <v>0</v>
      </c>
      <c r="W1070" s="24" t="str">
        <f t="shared" si="5"/>
        <v>#DIV/0!</v>
      </c>
    </row>
    <row r="1071">
      <c r="A1071" s="15" t="s">
        <v>4356</v>
      </c>
      <c r="B1071" s="15" t="s">
        <v>4357</v>
      </c>
      <c r="C1071" s="15" t="s">
        <v>6477</v>
      </c>
      <c r="D1071" s="15" t="s">
        <v>4358</v>
      </c>
      <c r="E1071" s="17" t="s">
        <v>4359</v>
      </c>
      <c r="F1071" s="18"/>
      <c r="G1071" s="18"/>
      <c r="H1071" s="15" t="s">
        <v>4360</v>
      </c>
      <c r="I1071" s="18"/>
      <c r="J1071" s="19" t="s">
        <v>36</v>
      </c>
      <c r="K1071" s="19" t="s">
        <v>37</v>
      </c>
      <c r="L1071" s="19" t="s">
        <v>38</v>
      </c>
      <c r="M1071" s="20">
        <f t="shared" si="1"/>
        <v>0</v>
      </c>
      <c r="N1071" s="22"/>
      <c r="O1071" s="19" t="s">
        <v>3578</v>
      </c>
      <c r="P1071" s="18"/>
      <c r="Q1071" s="18"/>
      <c r="R1071" s="23">
        <v>0.0</v>
      </c>
      <c r="S1071" s="23">
        <v>0.0</v>
      </c>
      <c r="T1071" s="23">
        <f t="shared" si="2"/>
        <v>0</v>
      </c>
      <c r="U1071" s="23">
        <f t="shared" si="3"/>
        <v>0</v>
      </c>
      <c r="V1071" s="23">
        <f t="shared" si="4"/>
        <v>0</v>
      </c>
      <c r="W1071" s="24" t="str">
        <f t="shared" si="5"/>
        <v>#DIV/0!</v>
      </c>
    </row>
    <row r="1072">
      <c r="A1072" s="15" t="s">
        <v>4361</v>
      </c>
      <c r="B1072" s="15" t="s">
        <v>4362</v>
      </c>
      <c r="C1072" s="15" t="s">
        <v>6478</v>
      </c>
      <c r="D1072" s="15" t="s">
        <v>4363</v>
      </c>
      <c r="E1072" s="17" t="s">
        <v>4364</v>
      </c>
      <c r="F1072" s="18"/>
      <c r="G1072" s="18"/>
      <c r="H1072" s="15" t="s">
        <v>4365</v>
      </c>
      <c r="I1072" s="18"/>
      <c r="J1072" s="19" t="s">
        <v>36</v>
      </c>
      <c r="K1072" s="19" t="s">
        <v>37</v>
      </c>
      <c r="L1072" s="19" t="s">
        <v>38</v>
      </c>
      <c r="M1072" s="20">
        <f t="shared" si="1"/>
        <v>0</v>
      </c>
      <c r="N1072" s="22"/>
      <c r="O1072" s="19" t="s">
        <v>3578</v>
      </c>
      <c r="P1072" s="18"/>
      <c r="Q1072" s="18"/>
      <c r="R1072" s="23">
        <v>0.0</v>
      </c>
      <c r="S1072" s="23">
        <v>0.0</v>
      </c>
      <c r="T1072" s="23">
        <f t="shared" si="2"/>
        <v>0</v>
      </c>
      <c r="U1072" s="23">
        <f t="shared" si="3"/>
        <v>0</v>
      </c>
      <c r="V1072" s="23">
        <f t="shared" si="4"/>
        <v>0</v>
      </c>
      <c r="W1072" s="24" t="str">
        <f t="shared" si="5"/>
        <v>#DIV/0!</v>
      </c>
    </row>
    <row r="1073" hidden="1">
      <c r="A1073" s="15" t="s">
        <v>2868</v>
      </c>
      <c r="B1073" s="18"/>
      <c r="C1073" s="15" t="s">
        <v>7619</v>
      </c>
      <c r="D1073" s="18"/>
      <c r="E1073" s="17" t="s">
        <v>2869</v>
      </c>
      <c r="F1073" s="18"/>
      <c r="G1073" s="18"/>
      <c r="H1073" s="15" t="s">
        <v>2870</v>
      </c>
      <c r="I1073" s="18"/>
      <c r="J1073" s="19" t="s">
        <v>59</v>
      </c>
      <c r="K1073" s="19" t="s">
        <v>691</v>
      </c>
      <c r="L1073" s="19" t="s">
        <v>38</v>
      </c>
      <c r="M1073" s="20">
        <f t="shared" si="1"/>
        <v>0</v>
      </c>
      <c r="N1073" s="22"/>
      <c r="O1073" s="19" t="s">
        <v>1145</v>
      </c>
      <c r="P1073" s="18"/>
      <c r="Q1073" s="18"/>
      <c r="R1073" s="23">
        <v>0.0</v>
      </c>
      <c r="S1073" s="23">
        <v>0.0</v>
      </c>
      <c r="T1073" s="23">
        <f t="shared" si="2"/>
        <v>0</v>
      </c>
      <c r="U1073" s="23">
        <f t="shared" si="3"/>
        <v>0</v>
      </c>
      <c r="V1073" s="23">
        <f t="shared" si="4"/>
        <v>0</v>
      </c>
      <c r="W1073" s="24" t="str">
        <f t="shared" si="5"/>
        <v>#DIV/0!</v>
      </c>
    </row>
    <row r="1074" hidden="1">
      <c r="A1074" s="15" t="s">
        <v>7620</v>
      </c>
      <c r="B1074" s="18"/>
      <c r="C1074" s="15" t="s">
        <v>7621</v>
      </c>
      <c r="D1074" s="18"/>
      <c r="E1074" s="17" t="s">
        <v>7622</v>
      </c>
      <c r="F1074" s="18"/>
      <c r="G1074" s="18"/>
      <c r="H1074" s="15" t="s">
        <v>7623</v>
      </c>
      <c r="I1074" s="15" t="s">
        <v>796</v>
      </c>
      <c r="J1074" s="19" t="s">
        <v>59</v>
      </c>
      <c r="K1074" s="19" t="s">
        <v>691</v>
      </c>
      <c r="L1074" s="19" t="s">
        <v>38</v>
      </c>
      <c r="M1074" s="20">
        <f t="shared" si="1"/>
        <v>0</v>
      </c>
      <c r="N1074" s="22"/>
      <c r="O1074" s="19" t="s">
        <v>39</v>
      </c>
      <c r="P1074" s="18"/>
      <c r="Q1074" s="18"/>
      <c r="R1074" s="23">
        <v>0.0</v>
      </c>
      <c r="S1074" s="23">
        <v>0.0</v>
      </c>
      <c r="T1074" s="23">
        <f t="shared" si="2"/>
        <v>0</v>
      </c>
      <c r="U1074" s="23">
        <f t="shared" si="3"/>
        <v>0</v>
      </c>
      <c r="V1074" s="23">
        <f t="shared" si="4"/>
        <v>0</v>
      </c>
      <c r="W1074" s="24" t="str">
        <f t="shared" si="5"/>
        <v>#DIV/0!</v>
      </c>
    </row>
    <row r="1075" hidden="1">
      <c r="A1075" s="15" t="s">
        <v>7624</v>
      </c>
      <c r="B1075" s="18"/>
      <c r="C1075" s="15" t="s">
        <v>7625</v>
      </c>
      <c r="D1075" s="18"/>
      <c r="E1075" s="17" t="s">
        <v>7626</v>
      </c>
      <c r="F1075" s="18"/>
      <c r="G1075" s="18"/>
      <c r="H1075" s="15" t="s">
        <v>7627</v>
      </c>
      <c r="I1075" s="15" t="s">
        <v>531</v>
      </c>
      <c r="J1075" s="19" t="s">
        <v>59</v>
      </c>
      <c r="K1075" s="19" t="s">
        <v>691</v>
      </c>
      <c r="L1075" s="19" t="s">
        <v>38</v>
      </c>
      <c r="M1075" s="20">
        <f t="shared" si="1"/>
        <v>0</v>
      </c>
      <c r="N1075" s="22"/>
      <c r="O1075" s="19" t="s">
        <v>39</v>
      </c>
      <c r="P1075" s="18"/>
      <c r="Q1075" s="18"/>
      <c r="R1075" s="23">
        <v>0.0</v>
      </c>
      <c r="S1075" s="23">
        <v>0.0</v>
      </c>
      <c r="T1075" s="23">
        <f t="shared" si="2"/>
        <v>0</v>
      </c>
      <c r="U1075" s="23">
        <f t="shared" si="3"/>
        <v>0</v>
      </c>
      <c r="V1075" s="23">
        <f t="shared" si="4"/>
        <v>0</v>
      </c>
      <c r="W1075" s="24" t="str">
        <f t="shared" si="5"/>
        <v>#DIV/0!</v>
      </c>
    </row>
    <row r="1076" hidden="1">
      <c r="A1076" s="15" t="s">
        <v>7628</v>
      </c>
      <c r="B1076" s="18"/>
      <c r="C1076" s="15" t="s">
        <v>7629</v>
      </c>
      <c r="D1076" s="18"/>
      <c r="E1076" s="17" t="s">
        <v>7630</v>
      </c>
      <c r="F1076" s="18"/>
      <c r="G1076" s="18"/>
      <c r="H1076" s="15" t="s">
        <v>7631</v>
      </c>
      <c r="I1076" s="15" t="s">
        <v>526</v>
      </c>
      <c r="J1076" s="19" t="s">
        <v>59</v>
      </c>
      <c r="K1076" s="19" t="s">
        <v>691</v>
      </c>
      <c r="L1076" s="19" t="s">
        <v>38</v>
      </c>
      <c r="M1076" s="20">
        <f t="shared" si="1"/>
        <v>0</v>
      </c>
      <c r="N1076" s="22"/>
      <c r="O1076" s="19" t="s">
        <v>39</v>
      </c>
      <c r="P1076" s="18"/>
      <c r="Q1076" s="18"/>
      <c r="R1076" s="23">
        <v>0.0</v>
      </c>
      <c r="S1076" s="23">
        <v>0.0</v>
      </c>
      <c r="T1076" s="23">
        <f t="shared" si="2"/>
        <v>0</v>
      </c>
      <c r="U1076" s="23">
        <f t="shared" si="3"/>
        <v>0</v>
      </c>
      <c r="V1076" s="23">
        <f t="shared" si="4"/>
        <v>0</v>
      </c>
      <c r="W1076" s="24" t="str">
        <f t="shared" si="5"/>
        <v>#DIV/0!</v>
      </c>
    </row>
    <row r="1077" hidden="1">
      <c r="A1077" s="15" t="s">
        <v>7632</v>
      </c>
      <c r="B1077" s="18"/>
      <c r="C1077" s="15" t="s">
        <v>7633</v>
      </c>
      <c r="D1077" s="18"/>
      <c r="E1077" s="17" t="s">
        <v>7634</v>
      </c>
      <c r="F1077" s="18"/>
      <c r="G1077" s="18"/>
      <c r="H1077" s="15" t="s">
        <v>7635</v>
      </c>
      <c r="I1077" s="15" t="s">
        <v>849</v>
      </c>
      <c r="J1077" s="19" t="s">
        <v>59</v>
      </c>
      <c r="K1077" s="19" t="s">
        <v>691</v>
      </c>
      <c r="L1077" s="19" t="s">
        <v>38</v>
      </c>
      <c r="M1077" s="20">
        <f t="shared" si="1"/>
        <v>0</v>
      </c>
      <c r="N1077" s="22"/>
      <c r="O1077" s="19" t="s">
        <v>39</v>
      </c>
      <c r="P1077" s="18"/>
      <c r="Q1077" s="18"/>
      <c r="R1077" s="23">
        <v>0.0</v>
      </c>
      <c r="S1077" s="23">
        <v>0.0</v>
      </c>
      <c r="T1077" s="23">
        <f t="shared" si="2"/>
        <v>0</v>
      </c>
      <c r="U1077" s="23">
        <f t="shared" si="3"/>
        <v>0</v>
      </c>
      <c r="V1077" s="23">
        <f t="shared" si="4"/>
        <v>0</v>
      </c>
      <c r="W1077" s="24" t="str">
        <f t="shared" si="5"/>
        <v>#DIV/0!</v>
      </c>
    </row>
    <row r="1078" hidden="1">
      <c r="A1078" s="15" t="s">
        <v>2871</v>
      </c>
      <c r="B1078" s="18"/>
      <c r="C1078" s="15" t="s">
        <v>7636</v>
      </c>
      <c r="D1078" s="18"/>
      <c r="E1078" s="17" t="s">
        <v>2872</v>
      </c>
      <c r="F1078" s="18"/>
      <c r="G1078" s="18"/>
      <c r="H1078" s="15"/>
      <c r="I1078" s="15" t="s">
        <v>2873</v>
      </c>
      <c r="J1078" s="19" t="s">
        <v>59</v>
      </c>
      <c r="K1078" s="19" t="s">
        <v>2396</v>
      </c>
      <c r="L1078" s="19" t="s">
        <v>38</v>
      </c>
      <c r="M1078" s="20">
        <f t="shared" si="1"/>
        <v>0</v>
      </c>
      <c r="N1078" s="22"/>
      <c r="O1078" s="19" t="s">
        <v>1145</v>
      </c>
      <c r="P1078" s="18"/>
      <c r="Q1078" s="18"/>
      <c r="R1078" s="23">
        <v>0.0</v>
      </c>
      <c r="S1078" s="23">
        <v>0.0</v>
      </c>
      <c r="T1078" s="23">
        <f t="shared" si="2"/>
        <v>0</v>
      </c>
      <c r="U1078" s="23">
        <f t="shared" si="3"/>
        <v>0</v>
      </c>
      <c r="V1078" s="23">
        <f t="shared" si="4"/>
        <v>0</v>
      </c>
      <c r="W1078" s="24" t="str">
        <f t="shared" si="5"/>
        <v>#DIV/0!</v>
      </c>
    </row>
    <row r="1079" hidden="1">
      <c r="A1079" s="15" t="s">
        <v>2874</v>
      </c>
      <c r="B1079" s="18"/>
      <c r="C1079" s="15" t="s">
        <v>7637</v>
      </c>
      <c r="D1079" s="18"/>
      <c r="E1079" s="17" t="s">
        <v>2875</v>
      </c>
      <c r="F1079" s="18"/>
      <c r="G1079" s="18"/>
      <c r="H1079" s="15"/>
      <c r="I1079" s="15" t="s">
        <v>2876</v>
      </c>
      <c r="J1079" s="19" t="s">
        <v>59</v>
      </c>
      <c r="K1079" s="19" t="s">
        <v>2396</v>
      </c>
      <c r="L1079" s="19" t="s">
        <v>38</v>
      </c>
      <c r="M1079" s="20">
        <f t="shared" si="1"/>
        <v>0</v>
      </c>
      <c r="N1079" s="22"/>
      <c r="O1079" s="19" t="s">
        <v>1145</v>
      </c>
      <c r="P1079" s="18"/>
      <c r="Q1079" s="18"/>
      <c r="R1079" s="23">
        <v>0.0</v>
      </c>
      <c r="S1079" s="23">
        <v>0.0</v>
      </c>
      <c r="T1079" s="23">
        <f t="shared" si="2"/>
        <v>0</v>
      </c>
      <c r="U1079" s="23">
        <f t="shared" si="3"/>
        <v>0</v>
      </c>
      <c r="V1079" s="23">
        <f t="shared" si="4"/>
        <v>0</v>
      </c>
      <c r="W1079" s="24" t="str">
        <f t="shared" si="5"/>
        <v>#DIV/0!</v>
      </c>
    </row>
    <row r="1080">
      <c r="A1080" s="15" t="s">
        <v>4366</v>
      </c>
      <c r="B1080" s="15" t="s">
        <v>4367</v>
      </c>
      <c r="C1080" s="15" t="s">
        <v>6479</v>
      </c>
      <c r="D1080" s="15" t="s">
        <v>4368</v>
      </c>
      <c r="E1080" s="17" t="s">
        <v>4369</v>
      </c>
      <c r="F1080" s="18"/>
      <c r="G1080" s="18"/>
      <c r="H1080" s="15" t="s">
        <v>4370</v>
      </c>
      <c r="I1080" s="18"/>
      <c r="J1080" s="19" t="s">
        <v>36</v>
      </c>
      <c r="K1080" s="19" t="s">
        <v>37</v>
      </c>
      <c r="L1080" s="19" t="s">
        <v>38</v>
      </c>
      <c r="M1080" s="20">
        <f t="shared" si="1"/>
        <v>0</v>
      </c>
      <c r="N1080" s="22"/>
      <c r="O1080" s="19" t="s">
        <v>3578</v>
      </c>
      <c r="P1080" s="18"/>
      <c r="Q1080" s="18"/>
      <c r="R1080" s="23">
        <v>0.0</v>
      </c>
      <c r="S1080" s="23">
        <v>0.0</v>
      </c>
      <c r="T1080" s="23">
        <f t="shared" si="2"/>
        <v>0</v>
      </c>
      <c r="U1080" s="23">
        <f t="shared" si="3"/>
        <v>0</v>
      </c>
      <c r="V1080" s="23">
        <f t="shared" si="4"/>
        <v>0</v>
      </c>
      <c r="W1080" s="24" t="str">
        <f t="shared" si="5"/>
        <v>#DIV/0!</v>
      </c>
    </row>
    <row r="1081" hidden="1">
      <c r="A1081" s="15" t="s">
        <v>2877</v>
      </c>
      <c r="B1081" s="18"/>
      <c r="C1081" s="15" t="s">
        <v>7639</v>
      </c>
      <c r="D1081" s="18"/>
      <c r="E1081" s="17" t="s">
        <v>2878</v>
      </c>
      <c r="F1081" s="18"/>
      <c r="G1081" s="18"/>
      <c r="H1081" s="15" t="s">
        <v>2879</v>
      </c>
      <c r="I1081" s="15" t="s">
        <v>2880</v>
      </c>
      <c r="J1081" s="19" t="s">
        <v>59</v>
      </c>
      <c r="K1081" s="19" t="s">
        <v>2396</v>
      </c>
      <c r="L1081" s="19" t="s">
        <v>38</v>
      </c>
      <c r="M1081" s="20">
        <f t="shared" si="1"/>
        <v>0</v>
      </c>
      <c r="N1081" s="22"/>
      <c r="O1081" s="19" t="s">
        <v>1145</v>
      </c>
      <c r="P1081" s="18"/>
      <c r="Q1081" s="18"/>
      <c r="R1081" s="23">
        <v>0.0</v>
      </c>
      <c r="S1081" s="23">
        <v>0.0</v>
      </c>
      <c r="T1081" s="23">
        <f t="shared" si="2"/>
        <v>0</v>
      </c>
      <c r="U1081" s="23">
        <f t="shared" si="3"/>
        <v>0</v>
      </c>
      <c r="V1081" s="23">
        <f t="shared" si="4"/>
        <v>0</v>
      </c>
      <c r="W1081" s="24" t="str">
        <f t="shared" si="5"/>
        <v>#DIV/0!</v>
      </c>
    </row>
    <row r="1082" hidden="1">
      <c r="A1082" s="15" t="s">
        <v>2881</v>
      </c>
      <c r="B1082" s="18"/>
      <c r="C1082" s="15" t="s">
        <v>7640</v>
      </c>
      <c r="D1082" s="18"/>
      <c r="E1082" s="17" t="s">
        <v>2882</v>
      </c>
      <c r="F1082" s="18"/>
      <c r="G1082" s="18"/>
      <c r="H1082" s="15" t="s">
        <v>2883</v>
      </c>
      <c r="I1082" s="15" t="s">
        <v>2884</v>
      </c>
      <c r="J1082" s="19" t="s">
        <v>59</v>
      </c>
      <c r="K1082" s="19" t="s">
        <v>2401</v>
      </c>
      <c r="L1082" s="19" t="s">
        <v>38</v>
      </c>
      <c r="M1082" s="20">
        <f t="shared" si="1"/>
        <v>0</v>
      </c>
      <c r="N1082" s="22"/>
      <c r="O1082" s="19" t="s">
        <v>1145</v>
      </c>
      <c r="P1082" s="18"/>
      <c r="Q1082" s="18"/>
      <c r="R1082" s="23">
        <v>0.0</v>
      </c>
      <c r="S1082" s="23">
        <v>0.0</v>
      </c>
      <c r="T1082" s="23">
        <f t="shared" si="2"/>
        <v>0</v>
      </c>
      <c r="U1082" s="23">
        <f t="shared" si="3"/>
        <v>0</v>
      </c>
      <c r="V1082" s="23">
        <f t="shared" si="4"/>
        <v>0</v>
      </c>
      <c r="W1082" s="24" t="str">
        <f t="shared" si="5"/>
        <v>#DIV/0!</v>
      </c>
    </row>
    <row r="1083" hidden="1">
      <c r="A1083" s="15" t="s">
        <v>2885</v>
      </c>
      <c r="B1083" s="18"/>
      <c r="C1083" s="15" t="s">
        <v>7641</v>
      </c>
      <c r="D1083" s="18"/>
      <c r="E1083" s="17" t="s">
        <v>2882</v>
      </c>
      <c r="F1083" s="18"/>
      <c r="G1083" s="18"/>
      <c r="H1083" s="15" t="s">
        <v>2886</v>
      </c>
      <c r="I1083" s="15" t="s">
        <v>2887</v>
      </c>
      <c r="J1083" s="19" t="s">
        <v>59</v>
      </c>
      <c r="K1083" s="19" t="s">
        <v>2401</v>
      </c>
      <c r="L1083" s="19" t="s">
        <v>38</v>
      </c>
      <c r="M1083" s="20">
        <f t="shared" si="1"/>
        <v>0</v>
      </c>
      <c r="N1083" s="22"/>
      <c r="O1083" s="19" t="s">
        <v>1145</v>
      </c>
      <c r="P1083" s="18"/>
      <c r="Q1083" s="18"/>
      <c r="R1083" s="23">
        <v>0.0</v>
      </c>
      <c r="S1083" s="23">
        <v>0.0</v>
      </c>
      <c r="T1083" s="23">
        <f t="shared" si="2"/>
        <v>0</v>
      </c>
      <c r="U1083" s="23">
        <f t="shared" si="3"/>
        <v>0</v>
      </c>
      <c r="V1083" s="23">
        <f t="shared" si="4"/>
        <v>0</v>
      </c>
      <c r="W1083" s="24" t="str">
        <f t="shared" si="5"/>
        <v>#DIV/0!</v>
      </c>
    </row>
    <row r="1084">
      <c r="A1084" s="15" t="s">
        <v>4371</v>
      </c>
      <c r="B1084" s="18"/>
      <c r="C1084" s="15" t="s">
        <v>6483</v>
      </c>
      <c r="D1084" s="18"/>
      <c r="E1084" s="17" t="s">
        <v>4373</v>
      </c>
      <c r="F1084" s="18"/>
      <c r="G1084" s="18"/>
      <c r="H1084" s="15" t="s">
        <v>4374</v>
      </c>
      <c r="I1084" s="18"/>
      <c r="J1084" s="19" t="s">
        <v>36</v>
      </c>
      <c r="K1084" s="19" t="s">
        <v>1230</v>
      </c>
      <c r="L1084" s="19" t="s">
        <v>38</v>
      </c>
      <c r="M1084" s="20">
        <f t="shared" si="1"/>
        <v>0</v>
      </c>
      <c r="N1084" s="22"/>
      <c r="O1084" s="19" t="s">
        <v>3578</v>
      </c>
      <c r="P1084" s="18"/>
      <c r="Q1084" s="18"/>
      <c r="R1084" s="23">
        <v>0.0</v>
      </c>
      <c r="S1084" s="23">
        <v>0.0</v>
      </c>
      <c r="T1084" s="23">
        <f t="shared" si="2"/>
        <v>0</v>
      </c>
      <c r="U1084" s="23">
        <f t="shared" si="3"/>
        <v>0</v>
      </c>
      <c r="V1084" s="23">
        <f t="shared" si="4"/>
        <v>0</v>
      </c>
      <c r="W1084" s="24" t="str">
        <f t="shared" si="5"/>
        <v>#DIV/0!</v>
      </c>
    </row>
    <row r="1085">
      <c r="A1085" s="15" t="s">
        <v>4394</v>
      </c>
      <c r="B1085" s="18"/>
      <c r="C1085" s="15" t="s">
        <v>6494</v>
      </c>
      <c r="D1085" s="18"/>
      <c r="E1085" s="17" t="s">
        <v>4395</v>
      </c>
      <c r="F1085" s="18"/>
      <c r="G1085" s="18"/>
      <c r="H1085" s="15" t="s">
        <v>4396</v>
      </c>
      <c r="I1085" s="18"/>
      <c r="J1085" s="19" t="s">
        <v>36</v>
      </c>
      <c r="K1085" s="19" t="s">
        <v>1230</v>
      </c>
      <c r="L1085" s="19" t="s">
        <v>38</v>
      </c>
      <c r="M1085" s="20">
        <f t="shared" si="1"/>
        <v>0</v>
      </c>
      <c r="N1085" s="22"/>
      <c r="O1085" s="19" t="s">
        <v>3578</v>
      </c>
      <c r="P1085" s="18"/>
      <c r="Q1085" s="18"/>
      <c r="R1085" s="23">
        <v>0.0</v>
      </c>
      <c r="S1085" s="23">
        <v>0.0</v>
      </c>
      <c r="T1085" s="23">
        <f t="shared" si="2"/>
        <v>0</v>
      </c>
      <c r="U1085" s="23">
        <f t="shared" si="3"/>
        <v>0</v>
      </c>
      <c r="V1085" s="23">
        <f t="shared" si="4"/>
        <v>0</v>
      </c>
      <c r="W1085" s="24" t="str">
        <f t="shared" si="5"/>
        <v>#DIV/0!</v>
      </c>
    </row>
    <row r="1086">
      <c r="A1086" s="15" t="s">
        <v>4397</v>
      </c>
      <c r="B1086" s="15" t="s">
        <v>4398</v>
      </c>
      <c r="C1086" s="15" t="s">
        <v>6495</v>
      </c>
      <c r="D1086" s="18"/>
      <c r="E1086" s="17" t="s">
        <v>4399</v>
      </c>
      <c r="F1086" s="18"/>
      <c r="G1086" s="18"/>
      <c r="H1086" s="15" t="s">
        <v>4400</v>
      </c>
      <c r="I1086" s="18"/>
      <c r="J1086" s="19" t="s">
        <v>36</v>
      </c>
      <c r="K1086" s="19" t="s">
        <v>284</v>
      </c>
      <c r="L1086" s="19" t="s">
        <v>38</v>
      </c>
      <c r="M1086" s="20">
        <f t="shared" si="1"/>
        <v>0</v>
      </c>
      <c r="N1086" s="22"/>
      <c r="O1086" s="19" t="s">
        <v>3578</v>
      </c>
      <c r="P1086" s="18"/>
      <c r="Q1086" s="18"/>
      <c r="R1086" s="23">
        <v>0.0</v>
      </c>
      <c r="S1086" s="23">
        <v>0.0</v>
      </c>
      <c r="T1086" s="23">
        <f t="shared" si="2"/>
        <v>0</v>
      </c>
      <c r="U1086" s="23">
        <f t="shared" si="3"/>
        <v>0</v>
      </c>
      <c r="V1086" s="23">
        <f t="shared" si="4"/>
        <v>0</v>
      </c>
      <c r="W1086" s="24" t="str">
        <f t="shared" si="5"/>
        <v>#DIV/0!</v>
      </c>
    </row>
    <row r="1087" hidden="1">
      <c r="A1087" s="15" t="s">
        <v>2888</v>
      </c>
      <c r="B1087" s="15" t="s">
        <v>2889</v>
      </c>
      <c r="C1087" s="15" t="s">
        <v>7643</v>
      </c>
      <c r="D1087" s="18"/>
      <c r="E1087" s="17" t="s">
        <v>2890</v>
      </c>
      <c r="F1087" s="18"/>
      <c r="G1087" s="18"/>
      <c r="H1087" s="15" t="s">
        <v>2891</v>
      </c>
      <c r="I1087" s="18"/>
      <c r="J1087" s="19" t="s">
        <v>59</v>
      </c>
      <c r="K1087" s="33"/>
      <c r="L1087" s="19" t="s">
        <v>38</v>
      </c>
      <c r="M1087" s="20">
        <f t="shared" si="1"/>
        <v>0</v>
      </c>
      <c r="N1087" s="22"/>
      <c r="O1087" s="19" t="s">
        <v>1145</v>
      </c>
      <c r="P1087" s="18"/>
      <c r="Q1087" s="18"/>
      <c r="R1087" s="23">
        <v>0.0</v>
      </c>
      <c r="S1087" s="23">
        <v>0.0</v>
      </c>
      <c r="T1087" s="23">
        <f t="shared" si="2"/>
        <v>0</v>
      </c>
      <c r="U1087" s="23">
        <f t="shared" si="3"/>
        <v>0</v>
      </c>
      <c r="V1087" s="23">
        <f t="shared" si="4"/>
        <v>0</v>
      </c>
      <c r="W1087" s="24" t="str">
        <f t="shared" si="5"/>
        <v>#DIV/0!</v>
      </c>
    </row>
    <row r="1088">
      <c r="A1088" s="15" t="s">
        <v>4405</v>
      </c>
      <c r="B1088" s="15" t="s">
        <v>4406</v>
      </c>
      <c r="C1088" s="15" t="s">
        <v>6497</v>
      </c>
      <c r="D1088" s="15" t="s">
        <v>4407</v>
      </c>
      <c r="E1088" s="17" t="s">
        <v>4408</v>
      </c>
      <c r="F1088" s="18"/>
      <c r="G1088" s="18"/>
      <c r="H1088" s="15" t="s">
        <v>4409</v>
      </c>
      <c r="I1088" s="18"/>
      <c r="J1088" s="19" t="s">
        <v>36</v>
      </c>
      <c r="K1088" s="19" t="s">
        <v>284</v>
      </c>
      <c r="L1088" s="19" t="s">
        <v>38</v>
      </c>
      <c r="M1088" s="20">
        <f t="shared" si="1"/>
        <v>0</v>
      </c>
      <c r="N1088" s="22"/>
      <c r="O1088" s="19" t="s">
        <v>3578</v>
      </c>
      <c r="P1088" s="18"/>
      <c r="Q1088" s="18"/>
      <c r="R1088" s="23">
        <v>0.0</v>
      </c>
      <c r="S1088" s="23">
        <v>0.0</v>
      </c>
      <c r="T1088" s="23">
        <f t="shared" si="2"/>
        <v>0</v>
      </c>
      <c r="U1088" s="23">
        <f t="shared" si="3"/>
        <v>0</v>
      </c>
      <c r="V1088" s="23">
        <f t="shared" si="4"/>
        <v>0</v>
      </c>
      <c r="W1088" s="24" t="str">
        <f t="shared" si="5"/>
        <v>#DIV/0!</v>
      </c>
    </row>
    <row r="1089" hidden="1">
      <c r="A1089" s="15" t="s">
        <v>2892</v>
      </c>
      <c r="B1089" s="18"/>
      <c r="C1089" s="15" t="s">
        <v>7645</v>
      </c>
      <c r="D1089" s="18"/>
      <c r="E1089" s="17" t="s">
        <v>2430</v>
      </c>
      <c r="F1089" s="18"/>
      <c r="G1089" s="18"/>
      <c r="H1089" s="15" t="s">
        <v>2893</v>
      </c>
      <c r="I1089" s="15" t="s">
        <v>2894</v>
      </c>
      <c r="J1089" s="19" t="s">
        <v>59</v>
      </c>
      <c r="K1089" s="19" t="s">
        <v>691</v>
      </c>
      <c r="L1089" s="19" t="s">
        <v>38</v>
      </c>
      <c r="M1089" s="20">
        <f t="shared" si="1"/>
        <v>0</v>
      </c>
      <c r="N1089" s="22"/>
      <c r="O1089" s="19" t="s">
        <v>1145</v>
      </c>
      <c r="P1089" s="18"/>
      <c r="Q1089" s="18"/>
      <c r="R1089" s="23">
        <v>0.0</v>
      </c>
      <c r="S1089" s="23">
        <v>0.0</v>
      </c>
      <c r="T1089" s="23">
        <f t="shared" si="2"/>
        <v>0</v>
      </c>
      <c r="U1089" s="23">
        <f t="shared" si="3"/>
        <v>0</v>
      </c>
      <c r="V1089" s="23">
        <f t="shared" si="4"/>
        <v>0</v>
      </c>
      <c r="W1089" s="24" t="str">
        <f t="shared" si="5"/>
        <v>#DIV/0!</v>
      </c>
    </row>
    <row r="1090" hidden="1">
      <c r="A1090" s="15" t="s">
        <v>2895</v>
      </c>
      <c r="B1090" s="18"/>
      <c r="C1090" s="15" t="s">
        <v>7646</v>
      </c>
      <c r="D1090" s="18"/>
      <c r="E1090" s="17" t="s">
        <v>2896</v>
      </c>
      <c r="F1090" s="18"/>
      <c r="G1090" s="18"/>
      <c r="H1090" s="15" t="s">
        <v>2897</v>
      </c>
      <c r="I1090" s="15" t="s">
        <v>2898</v>
      </c>
      <c r="J1090" s="19" t="s">
        <v>59</v>
      </c>
      <c r="K1090" s="19" t="s">
        <v>691</v>
      </c>
      <c r="L1090" s="19" t="s">
        <v>38</v>
      </c>
      <c r="M1090" s="20">
        <f t="shared" si="1"/>
        <v>0</v>
      </c>
      <c r="N1090" s="22"/>
      <c r="O1090" s="19" t="s">
        <v>1145</v>
      </c>
      <c r="P1090" s="18"/>
      <c r="Q1090" s="18"/>
      <c r="R1090" s="23">
        <v>0.0</v>
      </c>
      <c r="S1090" s="23">
        <v>0.0</v>
      </c>
      <c r="T1090" s="23">
        <f t="shared" si="2"/>
        <v>0</v>
      </c>
      <c r="U1090" s="23">
        <f t="shared" si="3"/>
        <v>0</v>
      </c>
      <c r="V1090" s="23">
        <f t="shared" si="4"/>
        <v>0</v>
      </c>
      <c r="W1090" s="24" t="str">
        <f t="shared" si="5"/>
        <v>#DIV/0!</v>
      </c>
    </row>
    <row r="1091" hidden="1">
      <c r="A1091" s="15" t="s">
        <v>2899</v>
      </c>
      <c r="B1091" s="18"/>
      <c r="C1091" s="15" t="s">
        <v>7647</v>
      </c>
      <c r="D1091" s="18"/>
      <c r="E1091" s="17" t="s">
        <v>2900</v>
      </c>
      <c r="F1091" s="18"/>
      <c r="G1091" s="18"/>
      <c r="H1091" s="15" t="s">
        <v>2901</v>
      </c>
      <c r="I1091" s="15" t="s">
        <v>2902</v>
      </c>
      <c r="J1091" s="19" t="s">
        <v>59</v>
      </c>
      <c r="K1091" s="19" t="s">
        <v>691</v>
      </c>
      <c r="L1091" s="19" t="s">
        <v>38</v>
      </c>
      <c r="M1091" s="20">
        <f t="shared" si="1"/>
        <v>0</v>
      </c>
      <c r="N1091" s="22"/>
      <c r="O1091" s="19" t="s">
        <v>1145</v>
      </c>
      <c r="P1091" s="18"/>
      <c r="Q1091" s="18"/>
      <c r="R1091" s="23">
        <v>0.0</v>
      </c>
      <c r="S1091" s="23">
        <v>0.0</v>
      </c>
      <c r="T1091" s="23">
        <f t="shared" si="2"/>
        <v>0</v>
      </c>
      <c r="U1091" s="23">
        <f t="shared" si="3"/>
        <v>0</v>
      </c>
      <c r="V1091" s="23">
        <f t="shared" si="4"/>
        <v>0</v>
      </c>
      <c r="W1091" s="24" t="str">
        <f t="shared" si="5"/>
        <v>#DIV/0!</v>
      </c>
    </row>
    <row r="1092" hidden="1">
      <c r="A1092" s="15" t="s">
        <v>7648</v>
      </c>
      <c r="B1092" s="18"/>
      <c r="C1092" s="15" t="s">
        <v>7649</v>
      </c>
      <c r="D1092" s="18"/>
      <c r="E1092" s="17" t="s">
        <v>7650</v>
      </c>
      <c r="F1092" s="18"/>
      <c r="G1092" s="18"/>
      <c r="H1092" s="15" t="s">
        <v>7651</v>
      </c>
      <c r="I1092" s="15" t="s">
        <v>650</v>
      </c>
      <c r="J1092" s="19" t="s">
        <v>59</v>
      </c>
      <c r="K1092" s="19" t="s">
        <v>691</v>
      </c>
      <c r="L1092" s="19" t="s">
        <v>38</v>
      </c>
      <c r="M1092" s="20">
        <f t="shared" si="1"/>
        <v>0</v>
      </c>
      <c r="N1092" s="22"/>
      <c r="O1092" s="19" t="s">
        <v>39</v>
      </c>
      <c r="P1092" s="18"/>
      <c r="Q1092" s="18"/>
      <c r="R1092" s="23">
        <v>0.0</v>
      </c>
      <c r="S1092" s="23">
        <v>0.0</v>
      </c>
      <c r="T1092" s="23">
        <f t="shared" si="2"/>
        <v>0</v>
      </c>
      <c r="U1092" s="23">
        <f t="shared" si="3"/>
        <v>0</v>
      </c>
      <c r="V1092" s="23">
        <f t="shared" si="4"/>
        <v>0</v>
      </c>
      <c r="W1092" s="24" t="str">
        <f t="shared" si="5"/>
        <v>#DIV/0!</v>
      </c>
    </row>
    <row r="1093" hidden="1">
      <c r="A1093" s="15" t="s">
        <v>2903</v>
      </c>
      <c r="B1093" s="18"/>
      <c r="C1093" s="15" t="s">
        <v>7652</v>
      </c>
      <c r="D1093" s="18"/>
      <c r="E1093" s="17" t="s">
        <v>2904</v>
      </c>
      <c r="F1093" s="18"/>
      <c r="G1093" s="18"/>
      <c r="H1093" s="15" t="s">
        <v>2905</v>
      </c>
      <c r="I1093" s="15" t="s">
        <v>2906</v>
      </c>
      <c r="J1093" s="19" t="s">
        <v>59</v>
      </c>
      <c r="K1093" s="19" t="s">
        <v>691</v>
      </c>
      <c r="L1093" s="19" t="s">
        <v>38</v>
      </c>
      <c r="M1093" s="20">
        <f t="shared" si="1"/>
        <v>0</v>
      </c>
      <c r="N1093" s="22"/>
      <c r="O1093" s="19" t="s">
        <v>1145</v>
      </c>
      <c r="P1093" s="18"/>
      <c r="Q1093" s="18"/>
      <c r="R1093" s="23">
        <v>0.0</v>
      </c>
      <c r="S1093" s="23">
        <v>0.0</v>
      </c>
      <c r="T1093" s="23">
        <f t="shared" si="2"/>
        <v>0</v>
      </c>
      <c r="U1093" s="23">
        <f t="shared" si="3"/>
        <v>0</v>
      </c>
      <c r="V1093" s="23">
        <f t="shared" si="4"/>
        <v>0</v>
      </c>
      <c r="W1093" s="24" t="str">
        <f t="shared" si="5"/>
        <v>#DIV/0!</v>
      </c>
    </row>
    <row r="1094" hidden="1">
      <c r="A1094" s="15" t="s">
        <v>5150</v>
      </c>
      <c r="B1094" s="18"/>
      <c r="C1094" s="15" t="s">
        <v>7653</v>
      </c>
      <c r="D1094" s="18"/>
      <c r="E1094" s="17" t="s">
        <v>7654</v>
      </c>
      <c r="F1094" s="18"/>
      <c r="G1094" s="18"/>
      <c r="H1094" s="15" t="s">
        <v>5154</v>
      </c>
      <c r="I1094" s="15" t="s">
        <v>5153</v>
      </c>
      <c r="J1094" s="19" t="s">
        <v>59</v>
      </c>
      <c r="K1094" s="19" t="s">
        <v>2382</v>
      </c>
      <c r="L1094" s="19" t="s">
        <v>38</v>
      </c>
      <c r="M1094" s="20">
        <f t="shared" si="1"/>
        <v>0</v>
      </c>
      <c r="N1094" s="22"/>
      <c r="O1094" s="19" t="s">
        <v>1145</v>
      </c>
      <c r="P1094" s="18"/>
      <c r="Q1094" s="18"/>
      <c r="R1094" s="23">
        <v>0.0</v>
      </c>
      <c r="S1094" s="23">
        <v>0.0</v>
      </c>
      <c r="T1094" s="23">
        <f t="shared" si="2"/>
        <v>0</v>
      </c>
      <c r="U1094" s="23">
        <f t="shared" si="3"/>
        <v>0</v>
      </c>
      <c r="V1094" s="23">
        <f t="shared" si="4"/>
        <v>0</v>
      </c>
      <c r="W1094" s="24" t="str">
        <f t="shared" si="5"/>
        <v>#DIV/0!</v>
      </c>
    </row>
    <row r="1095" hidden="1">
      <c r="A1095" s="15" t="s">
        <v>2907</v>
      </c>
      <c r="B1095" s="18"/>
      <c r="C1095" s="15" t="s">
        <v>7655</v>
      </c>
      <c r="D1095" s="18"/>
      <c r="E1095" s="17" t="s">
        <v>2908</v>
      </c>
      <c r="F1095" s="18"/>
      <c r="G1095" s="18"/>
      <c r="H1095" s="15" t="s">
        <v>2909</v>
      </c>
      <c r="I1095" s="15" t="s">
        <v>2910</v>
      </c>
      <c r="J1095" s="19" t="s">
        <v>59</v>
      </c>
      <c r="K1095" s="19" t="s">
        <v>2382</v>
      </c>
      <c r="L1095" s="19" t="s">
        <v>38</v>
      </c>
      <c r="M1095" s="20">
        <f t="shared" si="1"/>
        <v>0</v>
      </c>
      <c r="N1095" s="22"/>
      <c r="O1095" s="19" t="s">
        <v>1145</v>
      </c>
      <c r="P1095" s="18"/>
      <c r="Q1095" s="18"/>
      <c r="R1095" s="23">
        <v>0.0</v>
      </c>
      <c r="S1095" s="23">
        <v>0.0</v>
      </c>
      <c r="T1095" s="23">
        <f t="shared" si="2"/>
        <v>0</v>
      </c>
      <c r="U1095" s="23">
        <f t="shared" si="3"/>
        <v>0</v>
      </c>
      <c r="V1095" s="23">
        <f t="shared" si="4"/>
        <v>0</v>
      </c>
      <c r="W1095" s="24" t="str">
        <f t="shared" si="5"/>
        <v>#DIV/0!</v>
      </c>
    </row>
    <row r="1096" hidden="1">
      <c r="A1096" s="15" t="s">
        <v>2911</v>
      </c>
      <c r="B1096" s="18"/>
      <c r="C1096" s="15" t="s">
        <v>7656</v>
      </c>
      <c r="D1096" s="18"/>
      <c r="E1096" s="17" t="s">
        <v>2912</v>
      </c>
      <c r="F1096" s="18"/>
      <c r="G1096" s="18"/>
      <c r="H1096" s="15" t="s">
        <v>2913</v>
      </c>
      <c r="I1096" s="15" t="s">
        <v>2914</v>
      </c>
      <c r="J1096" s="19" t="s">
        <v>59</v>
      </c>
      <c r="K1096" s="19" t="s">
        <v>60</v>
      </c>
      <c r="L1096" s="19" t="s">
        <v>38</v>
      </c>
      <c r="M1096" s="20">
        <f t="shared" si="1"/>
        <v>0</v>
      </c>
      <c r="N1096" s="31"/>
      <c r="O1096" s="19" t="s">
        <v>1145</v>
      </c>
      <c r="P1096" s="18"/>
      <c r="Q1096" s="18"/>
      <c r="R1096" s="23">
        <v>0.0</v>
      </c>
      <c r="S1096" s="23">
        <v>0.0</v>
      </c>
      <c r="T1096" s="23">
        <f t="shared" si="2"/>
        <v>0</v>
      </c>
      <c r="U1096" s="23">
        <f t="shared" si="3"/>
        <v>0</v>
      </c>
      <c r="V1096" s="23">
        <f t="shared" si="4"/>
        <v>0</v>
      </c>
      <c r="W1096" s="24" t="str">
        <f t="shared" si="5"/>
        <v>#DIV/0!</v>
      </c>
    </row>
    <row r="1097">
      <c r="A1097" s="15" t="s">
        <v>4410</v>
      </c>
      <c r="B1097" s="15" t="s">
        <v>4411</v>
      </c>
      <c r="C1097" s="15" t="s">
        <v>6500</v>
      </c>
      <c r="D1097" s="15" t="s">
        <v>4412</v>
      </c>
      <c r="E1097" s="17" t="s">
        <v>4413</v>
      </c>
      <c r="F1097" s="18"/>
      <c r="G1097" s="18"/>
      <c r="H1097" s="15" t="s">
        <v>4414</v>
      </c>
      <c r="I1097" s="18"/>
      <c r="J1097" s="19" t="s">
        <v>36</v>
      </c>
      <c r="K1097" s="19" t="s">
        <v>284</v>
      </c>
      <c r="L1097" s="19" t="s">
        <v>38</v>
      </c>
      <c r="M1097" s="20">
        <f t="shared" si="1"/>
        <v>0</v>
      </c>
      <c r="N1097" s="22"/>
      <c r="O1097" s="19" t="s">
        <v>3578</v>
      </c>
      <c r="P1097" s="18"/>
      <c r="Q1097" s="18"/>
      <c r="R1097" s="23">
        <v>0.0</v>
      </c>
      <c r="S1097" s="23">
        <v>0.0</v>
      </c>
      <c r="T1097" s="23">
        <f t="shared" si="2"/>
        <v>0</v>
      </c>
      <c r="U1097" s="23">
        <f t="shared" si="3"/>
        <v>0</v>
      </c>
      <c r="V1097" s="23">
        <f t="shared" si="4"/>
        <v>0</v>
      </c>
      <c r="W1097" s="24" t="str">
        <f t="shared" si="5"/>
        <v>#DIV/0!</v>
      </c>
    </row>
    <row r="1098" hidden="1">
      <c r="A1098" s="15" t="s">
        <v>7658</v>
      </c>
      <c r="B1098" s="18"/>
      <c r="C1098" s="15" t="s">
        <v>7659</v>
      </c>
      <c r="D1098" s="18"/>
      <c r="E1098" s="17" t="s">
        <v>7660</v>
      </c>
      <c r="F1098" s="18"/>
      <c r="G1098" s="18"/>
      <c r="H1098" s="15" t="s">
        <v>7661</v>
      </c>
      <c r="I1098" s="15" t="s">
        <v>890</v>
      </c>
      <c r="J1098" s="19" t="s">
        <v>59</v>
      </c>
      <c r="K1098" s="19" t="s">
        <v>691</v>
      </c>
      <c r="L1098" s="19" t="s">
        <v>38</v>
      </c>
      <c r="M1098" s="20">
        <f t="shared" si="1"/>
        <v>0</v>
      </c>
      <c r="N1098" s="22"/>
      <c r="O1098" s="19" t="s">
        <v>39</v>
      </c>
      <c r="P1098" s="18"/>
      <c r="Q1098" s="18"/>
      <c r="R1098" s="23">
        <v>0.0</v>
      </c>
      <c r="S1098" s="23">
        <v>0.0</v>
      </c>
      <c r="T1098" s="23">
        <f t="shared" si="2"/>
        <v>0</v>
      </c>
      <c r="U1098" s="23">
        <f t="shared" si="3"/>
        <v>0</v>
      </c>
      <c r="V1098" s="23">
        <f t="shared" si="4"/>
        <v>0</v>
      </c>
      <c r="W1098" s="24" t="str">
        <f t="shared" si="5"/>
        <v>#DIV/0!</v>
      </c>
    </row>
    <row r="1099" hidden="1">
      <c r="A1099" s="15" t="s">
        <v>7662</v>
      </c>
      <c r="B1099" s="18"/>
      <c r="C1099" s="15" t="s">
        <v>7663</v>
      </c>
      <c r="D1099" s="18"/>
      <c r="E1099" s="17" t="s">
        <v>7664</v>
      </c>
      <c r="F1099" s="18"/>
      <c r="G1099" s="18"/>
      <c r="H1099" s="15" t="s">
        <v>7665</v>
      </c>
      <c r="I1099" s="15" t="s">
        <v>644</v>
      </c>
      <c r="J1099" s="19" t="s">
        <v>59</v>
      </c>
      <c r="K1099" s="19" t="s">
        <v>691</v>
      </c>
      <c r="L1099" s="19" t="s">
        <v>38</v>
      </c>
      <c r="M1099" s="20">
        <f t="shared" si="1"/>
        <v>0</v>
      </c>
      <c r="N1099" s="22"/>
      <c r="O1099" s="19" t="s">
        <v>39</v>
      </c>
      <c r="P1099" s="18"/>
      <c r="Q1099" s="18"/>
      <c r="R1099" s="23">
        <v>0.0</v>
      </c>
      <c r="S1099" s="23">
        <v>0.0</v>
      </c>
      <c r="T1099" s="23">
        <f t="shared" si="2"/>
        <v>0</v>
      </c>
      <c r="U1099" s="23">
        <f t="shared" si="3"/>
        <v>0</v>
      </c>
      <c r="V1099" s="23">
        <f t="shared" si="4"/>
        <v>0</v>
      </c>
      <c r="W1099" s="24" t="str">
        <f t="shared" si="5"/>
        <v>#DIV/0!</v>
      </c>
    </row>
    <row r="1100" hidden="1">
      <c r="A1100" s="15" t="s">
        <v>2915</v>
      </c>
      <c r="B1100" s="18"/>
      <c r="C1100" s="15" t="s">
        <v>7666</v>
      </c>
      <c r="D1100" s="18"/>
      <c r="E1100" s="17" t="s">
        <v>2916</v>
      </c>
      <c r="F1100" s="18"/>
      <c r="G1100" s="18"/>
      <c r="H1100" s="15" t="s">
        <v>2917</v>
      </c>
      <c r="I1100" s="15" t="s">
        <v>2918</v>
      </c>
      <c r="J1100" s="19" t="s">
        <v>59</v>
      </c>
      <c r="K1100" s="19" t="s">
        <v>2396</v>
      </c>
      <c r="L1100" s="19" t="s">
        <v>38</v>
      </c>
      <c r="M1100" s="20">
        <f t="shared" si="1"/>
        <v>0</v>
      </c>
      <c r="N1100" s="22"/>
      <c r="O1100" s="19" t="s">
        <v>1145</v>
      </c>
      <c r="P1100" s="18"/>
      <c r="Q1100" s="18"/>
      <c r="R1100" s="23">
        <v>0.0</v>
      </c>
      <c r="S1100" s="23">
        <v>0.0</v>
      </c>
      <c r="T1100" s="23">
        <f t="shared" si="2"/>
        <v>0</v>
      </c>
      <c r="U1100" s="23">
        <f t="shared" si="3"/>
        <v>0</v>
      </c>
      <c r="V1100" s="23">
        <f t="shared" si="4"/>
        <v>0</v>
      </c>
      <c r="W1100" s="24" t="str">
        <f t="shared" si="5"/>
        <v>#DIV/0!</v>
      </c>
    </row>
    <row r="1101" hidden="1">
      <c r="A1101" s="15" t="s">
        <v>2919</v>
      </c>
      <c r="B1101" s="18"/>
      <c r="C1101" s="15" t="s">
        <v>7667</v>
      </c>
      <c r="D1101" s="18"/>
      <c r="E1101" s="17" t="s">
        <v>2920</v>
      </c>
      <c r="F1101" s="18"/>
      <c r="G1101" s="18"/>
      <c r="H1101" s="15" t="s">
        <v>2921</v>
      </c>
      <c r="I1101" s="15"/>
      <c r="J1101" s="19" t="s">
        <v>59</v>
      </c>
      <c r="K1101" s="19" t="s">
        <v>2396</v>
      </c>
      <c r="L1101" s="19" t="s">
        <v>38</v>
      </c>
      <c r="M1101" s="20">
        <f t="shared" si="1"/>
        <v>0</v>
      </c>
      <c r="N1101" s="22"/>
      <c r="O1101" s="19" t="s">
        <v>1145</v>
      </c>
      <c r="P1101" s="18"/>
      <c r="Q1101" s="18"/>
      <c r="R1101" s="23">
        <v>0.0</v>
      </c>
      <c r="S1101" s="23">
        <v>0.0</v>
      </c>
      <c r="T1101" s="23">
        <f t="shared" si="2"/>
        <v>0</v>
      </c>
      <c r="U1101" s="23">
        <f t="shared" si="3"/>
        <v>0</v>
      </c>
      <c r="V1101" s="23">
        <f t="shared" si="4"/>
        <v>0</v>
      </c>
      <c r="W1101" s="24" t="str">
        <f t="shared" si="5"/>
        <v>#DIV/0!</v>
      </c>
    </row>
    <row r="1102" hidden="1">
      <c r="A1102" s="15" t="s">
        <v>75</v>
      </c>
      <c r="B1102" s="18"/>
      <c r="C1102" s="15" t="s">
        <v>7668</v>
      </c>
      <c r="D1102" s="15" t="s">
        <v>76</v>
      </c>
      <c r="E1102" s="17" t="s">
        <v>77</v>
      </c>
      <c r="F1102" s="18"/>
      <c r="G1102" s="18"/>
      <c r="H1102" s="15" t="s">
        <v>78</v>
      </c>
      <c r="I1102" s="15"/>
      <c r="J1102" s="19" t="s">
        <v>59</v>
      </c>
      <c r="K1102" s="19" t="s">
        <v>60</v>
      </c>
      <c r="L1102" s="19" t="s">
        <v>38</v>
      </c>
      <c r="M1102" s="20">
        <f t="shared" si="1"/>
        <v>3818.4</v>
      </c>
      <c r="N1102" s="31">
        <v>2.0</v>
      </c>
      <c r="O1102" s="19" t="s">
        <v>61</v>
      </c>
      <c r="P1102" s="18"/>
      <c r="Q1102" s="18"/>
      <c r="R1102" s="23">
        <v>60.0</v>
      </c>
      <c r="S1102" s="23">
        <v>215.0</v>
      </c>
      <c r="T1102" s="23">
        <f t="shared" si="2"/>
        <v>206.4</v>
      </c>
      <c r="U1102" s="23">
        <f t="shared" si="3"/>
        <v>73.5</v>
      </c>
      <c r="V1102" s="23">
        <f t="shared" si="4"/>
        <v>1378.125</v>
      </c>
      <c r="W1102" s="24">
        <f t="shared" si="5"/>
        <v>3.44</v>
      </c>
    </row>
    <row r="1103" hidden="1">
      <c r="A1103" s="15" t="s">
        <v>2922</v>
      </c>
      <c r="B1103" s="18"/>
      <c r="C1103" s="15" t="s">
        <v>7669</v>
      </c>
      <c r="D1103" s="18"/>
      <c r="E1103" s="17" t="s">
        <v>2923</v>
      </c>
      <c r="F1103" s="18"/>
      <c r="G1103" s="18"/>
      <c r="H1103" s="15" t="s">
        <v>2924</v>
      </c>
      <c r="I1103" s="15" t="s">
        <v>2925</v>
      </c>
      <c r="J1103" s="19" t="s">
        <v>59</v>
      </c>
      <c r="K1103" s="19" t="s">
        <v>2396</v>
      </c>
      <c r="L1103" s="19" t="s">
        <v>38</v>
      </c>
      <c r="M1103" s="20">
        <f t="shared" si="1"/>
        <v>0</v>
      </c>
      <c r="N1103" s="22"/>
      <c r="O1103" s="19" t="s">
        <v>1145</v>
      </c>
      <c r="P1103" s="18"/>
      <c r="Q1103" s="18"/>
      <c r="R1103" s="23">
        <v>0.0</v>
      </c>
      <c r="S1103" s="23">
        <v>0.0</v>
      </c>
      <c r="T1103" s="23">
        <f t="shared" si="2"/>
        <v>0</v>
      </c>
      <c r="U1103" s="23">
        <f t="shared" si="3"/>
        <v>0</v>
      </c>
      <c r="V1103" s="23">
        <f t="shared" si="4"/>
        <v>0</v>
      </c>
      <c r="W1103" s="24" t="str">
        <f t="shared" si="5"/>
        <v>#DIV/0!</v>
      </c>
    </row>
    <row r="1104" hidden="1">
      <c r="A1104" s="15" t="s">
        <v>2926</v>
      </c>
      <c r="B1104" s="18"/>
      <c r="C1104" s="15" t="s">
        <v>7670</v>
      </c>
      <c r="D1104" s="18"/>
      <c r="E1104" s="17" t="s">
        <v>2927</v>
      </c>
      <c r="F1104" s="18"/>
      <c r="G1104" s="18"/>
      <c r="H1104" s="15" t="s">
        <v>2928</v>
      </c>
      <c r="I1104" s="15" t="s">
        <v>2929</v>
      </c>
      <c r="J1104" s="19" t="s">
        <v>59</v>
      </c>
      <c r="K1104" s="19" t="s">
        <v>2396</v>
      </c>
      <c r="L1104" s="19" t="s">
        <v>38</v>
      </c>
      <c r="M1104" s="20">
        <f t="shared" si="1"/>
        <v>0</v>
      </c>
      <c r="N1104" s="22"/>
      <c r="O1104" s="19" t="s">
        <v>1145</v>
      </c>
      <c r="P1104" s="18"/>
      <c r="Q1104" s="18"/>
      <c r="R1104" s="23">
        <v>0.0</v>
      </c>
      <c r="S1104" s="23">
        <v>0.0</v>
      </c>
      <c r="T1104" s="23">
        <f t="shared" si="2"/>
        <v>0</v>
      </c>
      <c r="U1104" s="23">
        <f t="shared" si="3"/>
        <v>0</v>
      </c>
      <c r="V1104" s="23">
        <f t="shared" si="4"/>
        <v>0</v>
      </c>
      <c r="W1104" s="24" t="str">
        <f t="shared" si="5"/>
        <v>#DIV/0!</v>
      </c>
    </row>
    <row r="1105" hidden="1">
      <c r="A1105" s="15" t="s">
        <v>2930</v>
      </c>
      <c r="B1105" s="18"/>
      <c r="C1105" s="15" t="s">
        <v>7671</v>
      </c>
      <c r="D1105" s="18"/>
      <c r="E1105" s="17" t="s">
        <v>2931</v>
      </c>
      <c r="F1105" s="18"/>
      <c r="G1105" s="18"/>
      <c r="H1105" s="15" t="s">
        <v>2932</v>
      </c>
      <c r="I1105" s="15" t="s">
        <v>2933</v>
      </c>
      <c r="J1105" s="19" t="s">
        <v>59</v>
      </c>
      <c r="K1105" s="19" t="s">
        <v>2396</v>
      </c>
      <c r="L1105" s="19" t="s">
        <v>38</v>
      </c>
      <c r="M1105" s="20">
        <f t="shared" si="1"/>
        <v>0</v>
      </c>
      <c r="N1105" s="22"/>
      <c r="O1105" s="19" t="s">
        <v>1145</v>
      </c>
      <c r="P1105" s="18"/>
      <c r="Q1105" s="18"/>
      <c r="R1105" s="23">
        <v>0.0</v>
      </c>
      <c r="S1105" s="23">
        <v>0.0</v>
      </c>
      <c r="T1105" s="23">
        <f t="shared" si="2"/>
        <v>0</v>
      </c>
      <c r="U1105" s="23">
        <f t="shared" si="3"/>
        <v>0</v>
      </c>
      <c r="V1105" s="23">
        <f t="shared" si="4"/>
        <v>0</v>
      </c>
      <c r="W1105" s="24" t="str">
        <f t="shared" si="5"/>
        <v>#DIV/0!</v>
      </c>
    </row>
    <row r="1106" hidden="1">
      <c r="A1106" s="15" t="s">
        <v>2934</v>
      </c>
      <c r="B1106" s="18"/>
      <c r="C1106" s="15" t="s">
        <v>7672</v>
      </c>
      <c r="D1106" s="18"/>
      <c r="E1106" s="17" t="s">
        <v>2935</v>
      </c>
      <c r="F1106" s="18"/>
      <c r="G1106" s="18"/>
      <c r="H1106" s="15" t="s">
        <v>2936</v>
      </c>
      <c r="I1106" s="15" t="s">
        <v>2937</v>
      </c>
      <c r="J1106" s="19" t="s">
        <v>59</v>
      </c>
      <c r="K1106" s="19" t="s">
        <v>2396</v>
      </c>
      <c r="L1106" s="19" t="s">
        <v>38</v>
      </c>
      <c r="M1106" s="20">
        <f t="shared" si="1"/>
        <v>0</v>
      </c>
      <c r="N1106" s="22"/>
      <c r="O1106" s="19" t="s">
        <v>1145</v>
      </c>
      <c r="P1106" s="18"/>
      <c r="Q1106" s="18"/>
      <c r="R1106" s="23">
        <v>0.0</v>
      </c>
      <c r="S1106" s="23">
        <v>0.0</v>
      </c>
      <c r="T1106" s="23">
        <f t="shared" si="2"/>
        <v>0</v>
      </c>
      <c r="U1106" s="23">
        <f t="shared" si="3"/>
        <v>0</v>
      </c>
      <c r="V1106" s="23">
        <f t="shared" si="4"/>
        <v>0</v>
      </c>
      <c r="W1106" s="24" t="str">
        <f t="shared" si="5"/>
        <v>#DIV/0!</v>
      </c>
    </row>
    <row r="1107" hidden="1">
      <c r="A1107" s="15" t="s">
        <v>2938</v>
      </c>
      <c r="B1107" s="18"/>
      <c r="C1107" s="15" t="s">
        <v>7673</v>
      </c>
      <c r="D1107" s="18"/>
      <c r="E1107" s="17" t="s">
        <v>2939</v>
      </c>
      <c r="F1107" s="18"/>
      <c r="G1107" s="18"/>
      <c r="H1107" s="15" t="s">
        <v>2940</v>
      </c>
      <c r="I1107" s="15" t="s">
        <v>2941</v>
      </c>
      <c r="J1107" s="19" t="s">
        <v>59</v>
      </c>
      <c r="K1107" s="19" t="s">
        <v>2396</v>
      </c>
      <c r="L1107" s="19" t="s">
        <v>38</v>
      </c>
      <c r="M1107" s="20">
        <f t="shared" si="1"/>
        <v>0</v>
      </c>
      <c r="N1107" s="22"/>
      <c r="O1107" s="19" t="s">
        <v>1145</v>
      </c>
      <c r="P1107" s="18"/>
      <c r="Q1107" s="18"/>
      <c r="R1107" s="23">
        <v>0.0</v>
      </c>
      <c r="S1107" s="23">
        <v>0.0</v>
      </c>
      <c r="T1107" s="23">
        <f t="shared" si="2"/>
        <v>0</v>
      </c>
      <c r="U1107" s="23">
        <f t="shared" si="3"/>
        <v>0</v>
      </c>
      <c r="V1107" s="23">
        <f t="shared" si="4"/>
        <v>0</v>
      </c>
      <c r="W1107" s="24" t="str">
        <f t="shared" si="5"/>
        <v>#DIV/0!</v>
      </c>
    </row>
    <row r="1108" hidden="1">
      <c r="A1108" s="15" t="s">
        <v>2942</v>
      </c>
      <c r="B1108" s="18"/>
      <c r="C1108" s="15" t="s">
        <v>7674</v>
      </c>
      <c r="D1108" s="18"/>
      <c r="E1108" s="17" t="s">
        <v>2943</v>
      </c>
      <c r="F1108" s="18"/>
      <c r="G1108" s="18"/>
      <c r="H1108" s="15" t="s">
        <v>2944</v>
      </c>
      <c r="I1108" s="15" t="s">
        <v>2945</v>
      </c>
      <c r="J1108" s="19" t="s">
        <v>59</v>
      </c>
      <c r="K1108" s="19" t="s">
        <v>2396</v>
      </c>
      <c r="L1108" s="19" t="s">
        <v>38</v>
      </c>
      <c r="M1108" s="20">
        <f t="shared" si="1"/>
        <v>0</v>
      </c>
      <c r="N1108" s="22"/>
      <c r="O1108" s="19" t="s">
        <v>1145</v>
      </c>
      <c r="P1108" s="18"/>
      <c r="Q1108" s="18"/>
      <c r="R1108" s="23">
        <v>0.0</v>
      </c>
      <c r="S1108" s="23">
        <v>0.0</v>
      </c>
      <c r="T1108" s="23">
        <f t="shared" si="2"/>
        <v>0</v>
      </c>
      <c r="U1108" s="23">
        <f t="shared" si="3"/>
        <v>0</v>
      </c>
      <c r="V1108" s="23">
        <f t="shared" si="4"/>
        <v>0</v>
      </c>
      <c r="W1108" s="24" t="str">
        <f t="shared" si="5"/>
        <v>#DIV/0!</v>
      </c>
    </row>
    <row r="1109" hidden="1">
      <c r="A1109" s="15" t="s">
        <v>5155</v>
      </c>
      <c r="B1109" s="18"/>
      <c r="C1109" s="15" t="s">
        <v>7675</v>
      </c>
      <c r="D1109" s="18"/>
      <c r="E1109" s="17" t="s">
        <v>7676</v>
      </c>
      <c r="F1109" s="18"/>
      <c r="G1109" s="18"/>
      <c r="H1109" s="15" t="s">
        <v>7677</v>
      </c>
      <c r="I1109" s="15" t="s">
        <v>5158</v>
      </c>
      <c r="J1109" s="19" t="s">
        <v>59</v>
      </c>
      <c r="K1109" s="19" t="s">
        <v>691</v>
      </c>
      <c r="L1109" s="19" t="s">
        <v>38</v>
      </c>
      <c r="M1109" s="20">
        <f t="shared" si="1"/>
        <v>0</v>
      </c>
      <c r="N1109" s="22"/>
      <c r="O1109" s="19" t="s">
        <v>1145</v>
      </c>
      <c r="P1109" s="18"/>
      <c r="Q1109" s="18"/>
      <c r="R1109" s="23">
        <v>0.0</v>
      </c>
      <c r="S1109" s="23">
        <v>0.0</v>
      </c>
      <c r="T1109" s="23">
        <f t="shared" si="2"/>
        <v>0</v>
      </c>
      <c r="U1109" s="23">
        <f t="shared" si="3"/>
        <v>0</v>
      </c>
      <c r="V1109" s="23">
        <f t="shared" si="4"/>
        <v>0</v>
      </c>
      <c r="W1109" s="24" t="str">
        <f t="shared" si="5"/>
        <v>#DIV/0!</v>
      </c>
    </row>
    <row r="1110" hidden="1">
      <c r="A1110" s="15" t="s">
        <v>2946</v>
      </c>
      <c r="B1110" s="18"/>
      <c r="C1110" s="15" t="s">
        <v>7678</v>
      </c>
      <c r="D1110" s="18"/>
      <c r="E1110" s="17" t="s">
        <v>2947</v>
      </c>
      <c r="F1110" s="18"/>
      <c r="G1110" s="18"/>
      <c r="H1110" s="15" t="s">
        <v>2948</v>
      </c>
      <c r="I1110" s="15" t="s">
        <v>2949</v>
      </c>
      <c r="J1110" s="19" t="s">
        <v>59</v>
      </c>
      <c r="K1110" s="19" t="s">
        <v>691</v>
      </c>
      <c r="L1110" s="19" t="s">
        <v>38</v>
      </c>
      <c r="M1110" s="20">
        <f t="shared" si="1"/>
        <v>0</v>
      </c>
      <c r="N1110" s="22"/>
      <c r="O1110" s="19" t="s">
        <v>1145</v>
      </c>
      <c r="P1110" s="18"/>
      <c r="Q1110" s="18"/>
      <c r="R1110" s="23">
        <v>0.0</v>
      </c>
      <c r="S1110" s="23">
        <v>0.0</v>
      </c>
      <c r="T1110" s="23">
        <f t="shared" si="2"/>
        <v>0</v>
      </c>
      <c r="U1110" s="23">
        <f t="shared" si="3"/>
        <v>0</v>
      </c>
      <c r="V1110" s="23">
        <f t="shared" si="4"/>
        <v>0</v>
      </c>
      <c r="W1110" s="24" t="str">
        <f t="shared" si="5"/>
        <v>#DIV/0!</v>
      </c>
    </row>
    <row r="1111" hidden="1">
      <c r="A1111" s="15" t="s">
        <v>7679</v>
      </c>
      <c r="B1111" s="18"/>
      <c r="C1111" s="15" t="s">
        <v>7680</v>
      </c>
      <c r="D1111" s="18"/>
      <c r="E1111" s="17" t="s">
        <v>7681</v>
      </c>
      <c r="F1111" s="18"/>
      <c r="G1111" s="18"/>
      <c r="H1111" s="15" t="s">
        <v>7682</v>
      </c>
      <c r="I1111" s="15" t="s">
        <v>4149</v>
      </c>
      <c r="J1111" s="19" t="s">
        <v>59</v>
      </c>
      <c r="K1111" s="19" t="s">
        <v>2387</v>
      </c>
      <c r="L1111" s="19" t="s">
        <v>38</v>
      </c>
      <c r="M1111" s="20">
        <f t="shared" si="1"/>
        <v>0</v>
      </c>
      <c r="N1111" s="22"/>
      <c r="O1111" s="19" t="s">
        <v>39</v>
      </c>
      <c r="P1111" s="18"/>
      <c r="Q1111" s="18"/>
      <c r="R1111" s="23">
        <v>0.0</v>
      </c>
      <c r="S1111" s="23">
        <v>0.0</v>
      </c>
      <c r="T1111" s="23">
        <f t="shared" si="2"/>
        <v>0</v>
      </c>
      <c r="U1111" s="23">
        <f t="shared" si="3"/>
        <v>0</v>
      </c>
      <c r="V1111" s="23">
        <f t="shared" si="4"/>
        <v>0</v>
      </c>
      <c r="W1111" s="24" t="str">
        <f t="shared" si="5"/>
        <v>#DIV/0!</v>
      </c>
    </row>
    <row r="1112" hidden="1">
      <c r="A1112" s="15" t="s">
        <v>7683</v>
      </c>
      <c r="B1112" s="18"/>
      <c r="C1112" s="15" t="s">
        <v>7684</v>
      </c>
      <c r="D1112" s="18"/>
      <c r="E1112" s="17" t="s">
        <v>7681</v>
      </c>
      <c r="F1112" s="18"/>
      <c r="G1112" s="18"/>
      <c r="H1112" s="15" t="s">
        <v>7685</v>
      </c>
      <c r="I1112" s="15" t="s">
        <v>7686</v>
      </c>
      <c r="J1112" s="19" t="s">
        <v>59</v>
      </c>
      <c r="K1112" s="19" t="s">
        <v>2387</v>
      </c>
      <c r="L1112" s="19" t="s">
        <v>38</v>
      </c>
      <c r="M1112" s="20">
        <f t="shared" si="1"/>
        <v>0</v>
      </c>
      <c r="N1112" s="22"/>
      <c r="O1112" s="19" t="s">
        <v>39</v>
      </c>
      <c r="P1112" s="18"/>
      <c r="Q1112" s="18"/>
      <c r="R1112" s="23">
        <v>0.0</v>
      </c>
      <c r="S1112" s="23">
        <v>0.0</v>
      </c>
      <c r="T1112" s="23">
        <f t="shared" si="2"/>
        <v>0</v>
      </c>
      <c r="U1112" s="23">
        <f t="shared" si="3"/>
        <v>0</v>
      </c>
      <c r="V1112" s="23">
        <f t="shared" si="4"/>
        <v>0</v>
      </c>
      <c r="W1112" s="24" t="str">
        <f t="shared" si="5"/>
        <v>#DIV/0!</v>
      </c>
    </row>
    <row r="1113" hidden="1">
      <c r="A1113" s="15" t="s">
        <v>5159</v>
      </c>
      <c r="B1113" s="18"/>
      <c r="C1113" s="15" t="s">
        <v>7687</v>
      </c>
      <c r="D1113" s="18"/>
      <c r="E1113" s="17" t="s">
        <v>7688</v>
      </c>
      <c r="F1113" s="18"/>
      <c r="G1113" s="18"/>
      <c r="H1113" s="15" t="s">
        <v>7689</v>
      </c>
      <c r="I1113" s="15" t="s">
        <v>5162</v>
      </c>
      <c r="J1113" s="19" t="s">
        <v>59</v>
      </c>
      <c r="K1113" s="19" t="s">
        <v>691</v>
      </c>
      <c r="L1113" s="19" t="s">
        <v>38</v>
      </c>
      <c r="M1113" s="20">
        <f t="shared" si="1"/>
        <v>0</v>
      </c>
      <c r="N1113" s="22"/>
      <c r="O1113" s="19" t="s">
        <v>1145</v>
      </c>
      <c r="P1113" s="18"/>
      <c r="Q1113" s="18"/>
      <c r="R1113" s="23">
        <v>0.0</v>
      </c>
      <c r="S1113" s="23">
        <v>0.0</v>
      </c>
      <c r="T1113" s="23">
        <f t="shared" si="2"/>
        <v>0</v>
      </c>
      <c r="U1113" s="23">
        <f t="shared" si="3"/>
        <v>0</v>
      </c>
      <c r="V1113" s="23">
        <f t="shared" si="4"/>
        <v>0</v>
      </c>
      <c r="W1113" s="24" t="str">
        <f t="shared" si="5"/>
        <v>#DIV/0!</v>
      </c>
    </row>
    <row r="1114" hidden="1">
      <c r="A1114" s="15" t="s">
        <v>3566</v>
      </c>
      <c r="B1114" s="18"/>
      <c r="C1114" s="15" t="s">
        <v>7690</v>
      </c>
      <c r="D1114" s="18"/>
      <c r="E1114" s="17" t="s">
        <v>3567</v>
      </c>
      <c r="F1114" s="18"/>
      <c r="G1114" s="18"/>
      <c r="H1114" s="15" t="s">
        <v>3568</v>
      </c>
      <c r="I1114" s="15" t="s">
        <v>3569</v>
      </c>
      <c r="J1114" s="19" t="s">
        <v>59</v>
      </c>
      <c r="K1114" s="19" t="s">
        <v>2396</v>
      </c>
      <c r="L1114" s="19" t="s">
        <v>38</v>
      </c>
      <c r="M1114" s="20">
        <f t="shared" si="1"/>
        <v>1935.84</v>
      </c>
      <c r="N1114" s="22"/>
      <c r="O1114" s="19" t="s">
        <v>1145</v>
      </c>
      <c r="P1114" s="18"/>
      <c r="Q1114" s="18"/>
      <c r="R1114" s="23">
        <v>15.5</v>
      </c>
      <c r="S1114" s="23">
        <v>109.0</v>
      </c>
      <c r="T1114" s="23">
        <f t="shared" si="2"/>
        <v>104.64</v>
      </c>
      <c r="U1114" s="23">
        <f t="shared" si="3"/>
        <v>18.9875</v>
      </c>
      <c r="V1114" s="23">
        <f t="shared" si="4"/>
        <v>356.015625</v>
      </c>
      <c r="W1114" s="24">
        <f t="shared" si="5"/>
        <v>6.750967742</v>
      </c>
    </row>
    <row r="1115" hidden="1">
      <c r="A1115" s="15" t="s">
        <v>2950</v>
      </c>
      <c r="B1115" s="18"/>
      <c r="C1115" s="15" t="s">
        <v>7691</v>
      </c>
      <c r="D1115" s="18"/>
      <c r="E1115" s="17" t="s">
        <v>2951</v>
      </c>
      <c r="F1115" s="18"/>
      <c r="G1115" s="18"/>
      <c r="H1115" s="15" t="s">
        <v>2952</v>
      </c>
      <c r="I1115" s="15" t="s">
        <v>2953</v>
      </c>
      <c r="J1115" s="19" t="s">
        <v>59</v>
      </c>
      <c r="K1115" s="19" t="s">
        <v>2396</v>
      </c>
      <c r="L1115" s="19" t="s">
        <v>38</v>
      </c>
      <c r="M1115" s="20">
        <f t="shared" si="1"/>
        <v>0</v>
      </c>
      <c r="N1115" s="22"/>
      <c r="O1115" s="19" t="s">
        <v>1145</v>
      </c>
      <c r="P1115" s="18"/>
      <c r="Q1115" s="18"/>
      <c r="R1115" s="23">
        <v>0.0</v>
      </c>
      <c r="S1115" s="23">
        <v>0.0</v>
      </c>
      <c r="T1115" s="23">
        <f t="shared" si="2"/>
        <v>0</v>
      </c>
      <c r="U1115" s="23">
        <f t="shared" si="3"/>
        <v>0</v>
      </c>
      <c r="V1115" s="23">
        <f t="shared" si="4"/>
        <v>0</v>
      </c>
      <c r="W1115" s="24" t="str">
        <f t="shared" si="5"/>
        <v>#DIV/0!</v>
      </c>
    </row>
    <row r="1116" hidden="1">
      <c r="A1116" s="15" t="s">
        <v>7692</v>
      </c>
      <c r="B1116" s="18"/>
      <c r="C1116" s="15" t="s">
        <v>7693</v>
      </c>
      <c r="D1116" s="18"/>
      <c r="E1116" s="17" t="s">
        <v>7694</v>
      </c>
      <c r="F1116" s="18"/>
      <c r="G1116" s="18"/>
      <c r="H1116" s="15" t="s">
        <v>7695</v>
      </c>
      <c r="I1116" s="15" t="s">
        <v>3960</v>
      </c>
      <c r="J1116" s="19" t="s">
        <v>59</v>
      </c>
      <c r="K1116" s="19" t="s">
        <v>2396</v>
      </c>
      <c r="L1116" s="19" t="s">
        <v>38</v>
      </c>
      <c r="M1116" s="20">
        <f t="shared" si="1"/>
        <v>0</v>
      </c>
      <c r="N1116" s="22"/>
      <c r="O1116" s="19" t="s">
        <v>39</v>
      </c>
      <c r="P1116" s="18"/>
      <c r="Q1116" s="18"/>
      <c r="R1116" s="23">
        <v>0.0</v>
      </c>
      <c r="S1116" s="23">
        <v>0.0</v>
      </c>
      <c r="T1116" s="23">
        <f t="shared" si="2"/>
        <v>0</v>
      </c>
      <c r="U1116" s="23">
        <f t="shared" si="3"/>
        <v>0</v>
      </c>
      <c r="V1116" s="23">
        <f t="shared" si="4"/>
        <v>0</v>
      </c>
      <c r="W1116" s="24" t="str">
        <f t="shared" si="5"/>
        <v>#DIV/0!</v>
      </c>
    </row>
    <row r="1117" hidden="1">
      <c r="A1117" s="15" t="s">
        <v>2954</v>
      </c>
      <c r="B1117" s="18"/>
      <c r="C1117" s="15" t="s">
        <v>7696</v>
      </c>
      <c r="D1117" s="18"/>
      <c r="E1117" s="17" t="s">
        <v>2955</v>
      </c>
      <c r="F1117" s="18"/>
      <c r="G1117" s="18"/>
      <c r="H1117" s="15" t="s">
        <v>2956</v>
      </c>
      <c r="I1117" s="15" t="s">
        <v>2957</v>
      </c>
      <c r="J1117" s="19" t="s">
        <v>59</v>
      </c>
      <c r="K1117" s="19" t="s">
        <v>2396</v>
      </c>
      <c r="L1117" s="19" t="s">
        <v>38</v>
      </c>
      <c r="M1117" s="20">
        <f t="shared" si="1"/>
        <v>0</v>
      </c>
      <c r="N1117" s="22"/>
      <c r="O1117" s="19" t="s">
        <v>1145</v>
      </c>
      <c r="P1117" s="18"/>
      <c r="Q1117" s="18"/>
      <c r="R1117" s="23">
        <v>0.0</v>
      </c>
      <c r="S1117" s="23">
        <v>0.0</v>
      </c>
      <c r="T1117" s="23">
        <f t="shared" si="2"/>
        <v>0</v>
      </c>
      <c r="U1117" s="23">
        <f t="shared" si="3"/>
        <v>0</v>
      </c>
      <c r="V1117" s="23">
        <f t="shared" si="4"/>
        <v>0</v>
      </c>
      <c r="W1117" s="24" t="str">
        <f t="shared" si="5"/>
        <v>#DIV/0!</v>
      </c>
    </row>
    <row r="1118" hidden="1">
      <c r="A1118" s="15" t="s">
        <v>2958</v>
      </c>
      <c r="B1118" s="18"/>
      <c r="C1118" s="15" t="s">
        <v>7697</v>
      </c>
      <c r="D1118" s="18"/>
      <c r="E1118" s="17" t="s">
        <v>2959</v>
      </c>
      <c r="F1118" s="18"/>
      <c r="G1118" s="18"/>
      <c r="H1118" s="15" t="s">
        <v>2960</v>
      </c>
      <c r="I1118" s="15" t="s">
        <v>2961</v>
      </c>
      <c r="J1118" s="19" t="s">
        <v>59</v>
      </c>
      <c r="K1118" s="19" t="s">
        <v>2396</v>
      </c>
      <c r="L1118" s="19" t="s">
        <v>38</v>
      </c>
      <c r="M1118" s="20">
        <f t="shared" si="1"/>
        <v>0</v>
      </c>
      <c r="N1118" s="22"/>
      <c r="O1118" s="19" t="s">
        <v>1145</v>
      </c>
      <c r="P1118" s="18"/>
      <c r="Q1118" s="18"/>
      <c r="R1118" s="23">
        <v>0.0</v>
      </c>
      <c r="S1118" s="23">
        <v>0.0</v>
      </c>
      <c r="T1118" s="23">
        <f t="shared" si="2"/>
        <v>0</v>
      </c>
      <c r="U1118" s="23">
        <f t="shared" si="3"/>
        <v>0</v>
      </c>
      <c r="V1118" s="23">
        <f t="shared" si="4"/>
        <v>0</v>
      </c>
      <c r="W1118" s="24" t="str">
        <f t="shared" si="5"/>
        <v>#DIV/0!</v>
      </c>
    </row>
    <row r="1119" hidden="1">
      <c r="A1119" s="15" t="s">
        <v>2962</v>
      </c>
      <c r="B1119" s="18"/>
      <c r="C1119" s="15" t="s">
        <v>7698</v>
      </c>
      <c r="D1119" s="18"/>
      <c r="E1119" s="17" t="s">
        <v>2963</v>
      </c>
      <c r="F1119" s="18"/>
      <c r="G1119" s="18"/>
      <c r="H1119" s="15" t="s">
        <v>2964</v>
      </c>
      <c r="I1119" s="15" t="s">
        <v>2965</v>
      </c>
      <c r="J1119" s="19" t="s">
        <v>59</v>
      </c>
      <c r="K1119" s="19" t="s">
        <v>2396</v>
      </c>
      <c r="L1119" s="19" t="s">
        <v>38</v>
      </c>
      <c r="M1119" s="20">
        <f t="shared" si="1"/>
        <v>0</v>
      </c>
      <c r="N1119" s="22"/>
      <c r="O1119" s="19" t="s">
        <v>1145</v>
      </c>
      <c r="P1119" s="18"/>
      <c r="Q1119" s="18"/>
      <c r="R1119" s="23">
        <v>0.0</v>
      </c>
      <c r="S1119" s="23">
        <v>0.0</v>
      </c>
      <c r="T1119" s="23">
        <f t="shared" si="2"/>
        <v>0</v>
      </c>
      <c r="U1119" s="23">
        <f t="shared" si="3"/>
        <v>0</v>
      </c>
      <c r="V1119" s="23">
        <f t="shared" si="4"/>
        <v>0</v>
      </c>
      <c r="W1119" s="24" t="str">
        <f t="shared" si="5"/>
        <v>#DIV/0!</v>
      </c>
    </row>
    <row r="1120" hidden="1">
      <c r="A1120" s="15" t="s">
        <v>2966</v>
      </c>
      <c r="B1120" s="18"/>
      <c r="C1120" s="15" t="s">
        <v>7699</v>
      </c>
      <c r="D1120" s="18"/>
      <c r="E1120" s="17" t="s">
        <v>2967</v>
      </c>
      <c r="F1120" s="18"/>
      <c r="G1120" s="18"/>
      <c r="H1120" s="15" t="s">
        <v>2968</v>
      </c>
      <c r="I1120" s="15" t="s">
        <v>2969</v>
      </c>
      <c r="J1120" s="19" t="s">
        <v>59</v>
      </c>
      <c r="K1120" s="19" t="s">
        <v>2396</v>
      </c>
      <c r="L1120" s="19" t="s">
        <v>38</v>
      </c>
      <c r="M1120" s="20">
        <f t="shared" si="1"/>
        <v>0</v>
      </c>
      <c r="N1120" s="22"/>
      <c r="O1120" s="19" t="s">
        <v>1145</v>
      </c>
      <c r="P1120" s="18"/>
      <c r="Q1120" s="18"/>
      <c r="R1120" s="23">
        <v>0.0</v>
      </c>
      <c r="S1120" s="23">
        <v>0.0</v>
      </c>
      <c r="T1120" s="23">
        <f t="shared" si="2"/>
        <v>0</v>
      </c>
      <c r="U1120" s="23">
        <f t="shared" si="3"/>
        <v>0</v>
      </c>
      <c r="V1120" s="23">
        <f t="shared" si="4"/>
        <v>0</v>
      </c>
      <c r="W1120" s="24" t="str">
        <f t="shared" si="5"/>
        <v>#DIV/0!</v>
      </c>
    </row>
    <row r="1121" hidden="1">
      <c r="A1121" s="15" t="s">
        <v>2970</v>
      </c>
      <c r="B1121" s="18"/>
      <c r="C1121" s="15" t="s">
        <v>7700</v>
      </c>
      <c r="D1121" s="18"/>
      <c r="E1121" s="17" t="s">
        <v>2967</v>
      </c>
      <c r="F1121" s="18"/>
      <c r="G1121" s="18"/>
      <c r="H1121" s="15" t="s">
        <v>2971</v>
      </c>
      <c r="I1121" s="15" t="s">
        <v>2972</v>
      </c>
      <c r="J1121" s="19" t="s">
        <v>59</v>
      </c>
      <c r="K1121" s="19" t="s">
        <v>2396</v>
      </c>
      <c r="L1121" s="19" t="s">
        <v>38</v>
      </c>
      <c r="M1121" s="20">
        <f t="shared" si="1"/>
        <v>0</v>
      </c>
      <c r="N1121" s="22"/>
      <c r="O1121" s="19" t="s">
        <v>1145</v>
      </c>
      <c r="P1121" s="18"/>
      <c r="Q1121" s="18"/>
      <c r="R1121" s="23">
        <v>0.0</v>
      </c>
      <c r="S1121" s="23">
        <v>0.0</v>
      </c>
      <c r="T1121" s="23">
        <f t="shared" si="2"/>
        <v>0</v>
      </c>
      <c r="U1121" s="23">
        <f t="shared" si="3"/>
        <v>0</v>
      </c>
      <c r="V1121" s="23">
        <f t="shared" si="4"/>
        <v>0</v>
      </c>
      <c r="W1121" s="24" t="str">
        <f t="shared" si="5"/>
        <v>#DIV/0!</v>
      </c>
    </row>
    <row r="1122" hidden="1">
      <c r="A1122" s="15" t="s">
        <v>7701</v>
      </c>
      <c r="B1122" s="18"/>
      <c r="C1122" s="15" t="s">
        <v>7702</v>
      </c>
      <c r="D1122" s="18"/>
      <c r="E1122" s="17" t="s">
        <v>7703</v>
      </c>
      <c r="F1122" s="18"/>
      <c r="G1122" s="18"/>
      <c r="H1122" s="15" t="s">
        <v>7704</v>
      </c>
      <c r="I1122" s="15" t="s">
        <v>1068</v>
      </c>
      <c r="J1122" s="19" t="s">
        <v>59</v>
      </c>
      <c r="K1122" s="19" t="s">
        <v>2396</v>
      </c>
      <c r="L1122" s="19" t="s">
        <v>38</v>
      </c>
      <c r="M1122" s="20">
        <f t="shared" si="1"/>
        <v>0</v>
      </c>
      <c r="N1122" s="22"/>
      <c r="O1122" s="19" t="s">
        <v>1145</v>
      </c>
      <c r="P1122" s="18"/>
      <c r="Q1122" s="18"/>
      <c r="R1122" s="23">
        <v>0.0</v>
      </c>
      <c r="S1122" s="23">
        <v>0.0</v>
      </c>
      <c r="T1122" s="23">
        <f t="shared" si="2"/>
        <v>0</v>
      </c>
      <c r="U1122" s="23">
        <f t="shared" si="3"/>
        <v>0</v>
      </c>
      <c r="V1122" s="23">
        <f t="shared" si="4"/>
        <v>0</v>
      </c>
      <c r="W1122" s="24" t="str">
        <f t="shared" si="5"/>
        <v>#DIV/0!</v>
      </c>
    </row>
    <row r="1123" hidden="1">
      <c r="A1123" s="15" t="s">
        <v>2973</v>
      </c>
      <c r="B1123" s="18"/>
      <c r="C1123" s="15" t="s">
        <v>7705</v>
      </c>
      <c r="D1123" s="18"/>
      <c r="E1123" s="17" t="s">
        <v>2974</v>
      </c>
      <c r="F1123" s="18"/>
      <c r="G1123" s="18"/>
      <c r="H1123" s="15" t="s">
        <v>2975</v>
      </c>
      <c r="I1123" s="15" t="s">
        <v>2976</v>
      </c>
      <c r="J1123" s="19" t="s">
        <v>59</v>
      </c>
      <c r="K1123" s="19" t="s">
        <v>2396</v>
      </c>
      <c r="L1123" s="19" t="s">
        <v>38</v>
      </c>
      <c r="M1123" s="20">
        <f t="shared" si="1"/>
        <v>0</v>
      </c>
      <c r="N1123" s="22"/>
      <c r="O1123" s="19" t="s">
        <v>1145</v>
      </c>
      <c r="P1123" s="18"/>
      <c r="Q1123" s="18"/>
      <c r="R1123" s="23">
        <v>0.0</v>
      </c>
      <c r="S1123" s="23">
        <v>0.0</v>
      </c>
      <c r="T1123" s="23">
        <f t="shared" si="2"/>
        <v>0</v>
      </c>
      <c r="U1123" s="23">
        <f t="shared" si="3"/>
        <v>0</v>
      </c>
      <c r="V1123" s="23">
        <f t="shared" si="4"/>
        <v>0</v>
      </c>
      <c r="W1123" s="24" t="str">
        <f t="shared" si="5"/>
        <v>#DIV/0!</v>
      </c>
    </row>
    <row r="1124" hidden="1">
      <c r="A1124" s="15" t="s">
        <v>2977</v>
      </c>
      <c r="B1124" s="18"/>
      <c r="C1124" s="15" t="s">
        <v>7706</v>
      </c>
      <c r="D1124" s="18"/>
      <c r="E1124" s="17" t="s">
        <v>2978</v>
      </c>
      <c r="F1124" s="18"/>
      <c r="G1124" s="18"/>
      <c r="H1124" s="15" t="s">
        <v>2979</v>
      </c>
      <c r="I1124" s="15" t="s">
        <v>2980</v>
      </c>
      <c r="J1124" s="19" t="s">
        <v>59</v>
      </c>
      <c r="K1124" s="19" t="s">
        <v>2396</v>
      </c>
      <c r="L1124" s="19" t="s">
        <v>38</v>
      </c>
      <c r="M1124" s="20">
        <f t="shared" si="1"/>
        <v>0</v>
      </c>
      <c r="N1124" s="22"/>
      <c r="O1124" s="19" t="s">
        <v>1145</v>
      </c>
      <c r="P1124" s="18"/>
      <c r="Q1124" s="18"/>
      <c r="R1124" s="23">
        <v>0.0</v>
      </c>
      <c r="S1124" s="23">
        <v>0.0</v>
      </c>
      <c r="T1124" s="23">
        <f t="shared" si="2"/>
        <v>0</v>
      </c>
      <c r="U1124" s="23">
        <f t="shared" si="3"/>
        <v>0</v>
      </c>
      <c r="V1124" s="23">
        <f t="shared" si="4"/>
        <v>0</v>
      </c>
      <c r="W1124" s="24" t="str">
        <f t="shared" si="5"/>
        <v>#DIV/0!</v>
      </c>
    </row>
    <row r="1125" hidden="1">
      <c r="A1125" s="15" t="s">
        <v>2981</v>
      </c>
      <c r="B1125" s="18"/>
      <c r="C1125" s="15" t="s">
        <v>7707</v>
      </c>
      <c r="D1125" s="18"/>
      <c r="E1125" s="17" t="s">
        <v>2982</v>
      </c>
      <c r="F1125" s="18"/>
      <c r="G1125" s="18"/>
      <c r="H1125" s="15" t="s">
        <v>2983</v>
      </c>
      <c r="I1125" s="15" t="s">
        <v>2984</v>
      </c>
      <c r="J1125" s="19" t="s">
        <v>59</v>
      </c>
      <c r="K1125" s="19" t="s">
        <v>2396</v>
      </c>
      <c r="L1125" s="19" t="s">
        <v>38</v>
      </c>
      <c r="M1125" s="20">
        <f t="shared" si="1"/>
        <v>0</v>
      </c>
      <c r="N1125" s="22"/>
      <c r="O1125" s="19" t="s">
        <v>1145</v>
      </c>
      <c r="P1125" s="18"/>
      <c r="Q1125" s="18"/>
      <c r="R1125" s="23">
        <v>0.0</v>
      </c>
      <c r="S1125" s="23">
        <v>0.0</v>
      </c>
      <c r="T1125" s="23">
        <f t="shared" si="2"/>
        <v>0</v>
      </c>
      <c r="U1125" s="23">
        <f t="shared" si="3"/>
        <v>0</v>
      </c>
      <c r="V1125" s="23">
        <f t="shared" si="4"/>
        <v>0</v>
      </c>
      <c r="W1125" s="24" t="str">
        <f t="shared" si="5"/>
        <v>#DIV/0!</v>
      </c>
    </row>
    <row r="1126" hidden="1">
      <c r="A1126" s="15" t="s">
        <v>2985</v>
      </c>
      <c r="B1126" s="18"/>
      <c r="C1126" s="15" t="s">
        <v>7708</v>
      </c>
      <c r="D1126" s="18"/>
      <c r="E1126" s="17" t="s">
        <v>2986</v>
      </c>
      <c r="F1126" s="18"/>
      <c r="G1126" s="18"/>
      <c r="H1126" s="15" t="s">
        <v>2987</v>
      </c>
      <c r="I1126" s="15" t="s">
        <v>2988</v>
      </c>
      <c r="J1126" s="19" t="s">
        <v>59</v>
      </c>
      <c r="K1126" s="19" t="s">
        <v>2396</v>
      </c>
      <c r="L1126" s="19" t="s">
        <v>38</v>
      </c>
      <c r="M1126" s="20">
        <f t="shared" si="1"/>
        <v>0</v>
      </c>
      <c r="N1126" s="22"/>
      <c r="O1126" s="19" t="s">
        <v>1145</v>
      </c>
      <c r="P1126" s="18"/>
      <c r="Q1126" s="18"/>
      <c r="R1126" s="23">
        <v>0.0</v>
      </c>
      <c r="S1126" s="23">
        <v>0.0</v>
      </c>
      <c r="T1126" s="23">
        <f t="shared" si="2"/>
        <v>0</v>
      </c>
      <c r="U1126" s="23">
        <f t="shared" si="3"/>
        <v>0</v>
      </c>
      <c r="V1126" s="23">
        <f t="shared" si="4"/>
        <v>0</v>
      </c>
      <c r="W1126" s="24" t="str">
        <f t="shared" si="5"/>
        <v>#DIV/0!</v>
      </c>
    </row>
    <row r="1127" hidden="1">
      <c r="A1127" s="15" t="s">
        <v>2989</v>
      </c>
      <c r="B1127" s="18"/>
      <c r="C1127" s="15" t="s">
        <v>7709</v>
      </c>
      <c r="D1127" s="18"/>
      <c r="E1127" s="17" t="s">
        <v>2990</v>
      </c>
      <c r="F1127" s="18"/>
      <c r="G1127" s="18"/>
      <c r="H1127" s="15" t="s">
        <v>2991</v>
      </c>
      <c r="I1127" s="15" t="s">
        <v>2992</v>
      </c>
      <c r="J1127" s="19" t="s">
        <v>59</v>
      </c>
      <c r="K1127" s="19" t="s">
        <v>2396</v>
      </c>
      <c r="L1127" s="19" t="s">
        <v>38</v>
      </c>
      <c r="M1127" s="20">
        <f t="shared" si="1"/>
        <v>0</v>
      </c>
      <c r="N1127" s="22"/>
      <c r="O1127" s="19" t="s">
        <v>1145</v>
      </c>
      <c r="P1127" s="18"/>
      <c r="Q1127" s="18"/>
      <c r="R1127" s="23">
        <v>0.0</v>
      </c>
      <c r="S1127" s="23">
        <v>0.0</v>
      </c>
      <c r="T1127" s="23">
        <f t="shared" si="2"/>
        <v>0</v>
      </c>
      <c r="U1127" s="23">
        <f t="shared" si="3"/>
        <v>0</v>
      </c>
      <c r="V1127" s="23">
        <f t="shared" si="4"/>
        <v>0</v>
      </c>
      <c r="W1127" s="24" t="str">
        <f t="shared" si="5"/>
        <v>#DIV/0!</v>
      </c>
    </row>
    <row r="1128" hidden="1">
      <c r="A1128" s="15" t="s">
        <v>2993</v>
      </c>
      <c r="B1128" s="18"/>
      <c r="C1128" s="15" t="s">
        <v>7710</v>
      </c>
      <c r="D1128" s="18"/>
      <c r="E1128" s="17" t="s">
        <v>2994</v>
      </c>
      <c r="F1128" s="18"/>
      <c r="G1128" s="18"/>
      <c r="H1128" s="15" t="s">
        <v>2995</v>
      </c>
      <c r="I1128" s="15" t="s">
        <v>2996</v>
      </c>
      <c r="J1128" s="19" t="s">
        <v>59</v>
      </c>
      <c r="K1128" s="19" t="s">
        <v>2396</v>
      </c>
      <c r="L1128" s="19" t="s">
        <v>38</v>
      </c>
      <c r="M1128" s="20">
        <f t="shared" si="1"/>
        <v>0</v>
      </c>
      <c r="N1128" s="22"/>
      <c r="O1128" s="19" t="s">
        <v>1145</v>
      </c>
      <c r="P1128" s="18"/>
      <c r="Q1128" s="18"/>
      <c r="R1128" s="23">
        <v>0.0</v>
      </c>
      <c r="S1128" s="23">
        <v>0.0</v>
      </c>
      <c r="T1128" s="23">
        <f t="shared" si="2"/>
        <v>0</v>
      </c>
      <c r="U1128" s="23">
        <f t="shared" si="3"/>
        <v>0</v>
      </c>
      <c r="V1128" s="23">
        <f t="shared" si="4"/>
        <v>0</v>
      </c>
      <c r="W1128" s="24" t="str">
        <f t="shared" si="5"/>
        <v>#DIV/0!</v>
      </c>
    </row>
    <row r="1129" hidden="1">
      <c r="A1129" s="15" t="s">
        <v>7711</v>
      </c>
      <c r="B1129" s="18"/>
      <c r="C1129" s="15" t="s">
        <v>7712</v>
      </c>
      <c r="D1129" s="18"/>
      <c r="E1129" s="17" t="s">
        <v>7713</v>
      </c>
      <c r="F1129" s="18"/>
      <c r="G1129" s="18"/>
      <c r="H1129" s="15" t="s">
        <v>7714</v>
      </c>
      <c r="I1129" s="15" t="s">
        <v>199</v>
      </c>
      <c r="J1129" s="19" t="s">
        <v>59</v>
      </c>
      <c r="K1129" s="19" t="s">
        <v>691</v>
      </c>
      <c r="L1129" s="19" t="s">
        <v>38</v>
      </c>
      <c r="M1129" s="20">
        <f t="shared" si="1"/>
        <v>0</v>
      </c>
      <c r="N1129" s="22"/>
      <c r="O1129" s="19" t="s">
        <v>39</v>
      </c>
      <c r="P1129" s="18"/>
      <c r="Q1129" s="18"/>
      <c r="R1129" s="23">
        <v>0.0</v>
      </c>
      <c r="S1129" s="23">
        <v>0.0</v>
      </c>
      <c r="T1129" s="23">
        <f t="shared" si="2"/>
        <v>0</v>
      </c>
      <c r="U1129" s="23">
        <f t="shared" si="3"/>
        <v>0</v>
      </c>
      <c r="V1129" s="23">
        <f t="shared" si="4"/>
        <v>0</v>
      </c>
      <c r="W1129" s="24" t="str">
        <f t="shared" si="5"/>
        <v>#DIV/0!</v>
      </c>
    </row>
    <row r="1130" hidden="1">
      <c r="A1130" s="15" t="s">
        <v>7715</v>
      </c>
      <c r="B1130" s="18"/>
      <c r="C1130" s="15" t="s">
        <v>7716</v>
      </c>
      <c r="D1130" s="18"/>
      <c r="E1130" s="17" t="s">
        <v>7717</v>
      </c>
      <c r="F1130" s="18"/>
      <c r="G1130" s="18"/>
      <c r="H1130" s="15" t="s">
        <v>7718</v>
      </c>
      <c r="I1130" s="15" t="s">
        <v>574</v>
      </c>
      <c r="J1130" s="19" t="s">
        <v>59</v>
      </c>
      <c r="K1130" s="19" t="s">
        <v>691</v>
      </c>
      <c r="L1130" s="19" t="s">
        <v>38</v>
      </c>
      <c r="M1130" s="20">
        <f t="shared" si="1"/>
        <v>0</v>
      </c>
      <c r="N1130" s="22"/>
      <c r="O1130" s="19" t="s">
        <v>39</v>
      </c>
      <c r="P1130" s="18"/>
      <c r="Q1130" s="18"/>
      <c r="R1130" s="23">
        <v>0.0</v>
      </c>
      <c r="S1130" s="23">
        <v>0.0</v>
      </c>
      <c r="T1130" s="23">
        <f t="shared" si="2"/>
        <v>0</v>
      </c>
      <c r="U1130" s="23">
        <f t="shared" si="3"/>
        <v>0</v>
      </c>
      <c r="V1130" s="23">
        <f t="shared" si="4"/>
        <v>0</v>
      </c>
      <c r="W1130" s="24" t="str">
        <f t="shared" si="5"/>
        <v>#DIV/0!</v>
      </c>
    </row>
    <row r="1131">
      <c r="A1131" s="15" t="s">
        <v>4415</v>
      </c>
      <c r="B1131" s="15" t="s">
        <v>4416</v>
      </c>
      <c r="C1131" s="15" t="s">
        <v>6501</v>
      </c>
      <c r="D1131" s="18"/>
      <c r="E1131" s="17" t="s">
        <v>6502</v>
      </c>
      <c r="F1131" s="18"/>
      <c r="G1131" s="18"/>
      <c r="H1131" s="15" t="s">
        <v>4419</v>
      </c>
      <c r="I1131" s="15"/>
      <c r="J1131" s="19" t="s">
        <v>36</v>
      </c>
      <c r="K1131" s="19" t="s">
        <v>402</v>
      </c>
      <c r="L1131" s="19" t="s">
        <v>38</v>
      </c>
      <c r="M1131" s="20">
        <f t="shared" si="1"/>
        <v>0</v>
      </c>
      <c r="N1131" s="22"/>
      <c r="O1131" s="19" t="s">
        <v>3578</v>
      </c>
      <c r="P1131" s="18"/>
      <c r="Q1131" s="18"/>
      <c r="R1131" s="23">
        <v>0.0</v>
      </c>
      <c r="S1131" s="23">
        <v>0.0</v>
      </c>
      <c r="T1131" s="23">
        <f t="shared" si="2"/>
        <v>0</v>
      </c>
      <c r="U1131" s="23">
        <f t="shared" si="3"/>
        <v>0</v>
      </c>
      <c r="V1131" s="23">
        <f t="shared" si="4"/>
        <v>0</v>
      </c>
      <c r="W1131" s="24" t="str">
        <f t="shared" si="5"/>
        <v>#DIV/0!</v>
      </c>
    </row>
    <row r="1132">
      <c r="A1132" s="15" t="s">
        <v>4420</v>
      </c>
      <c r="B1132" s="15" t="s">
        <v>4421</v>
      </c>
      <c r="C1132" s="15" t="s">
        <v>6503</v>
      </c>
      <c r="D1132" s="15" t="s">
        <v>4422</v>
      </c>
      <c r="E1132" s="17" t="s">
        <v>4423</v>
      </c>
      <c r="F1132" s="18"/>
      <c r="G1132" s="18"/>
      <c r="H1132" s="15" t="s">
        <v>2304</v>
      </c>
      <c r="I1132" s="18"/>
      <c r="J1132" s="19" t="s">
        <v>36</v>
      </c>
      <c r="K1132" s="19" t="s">
        <v>1230</v>
      </c>
      <c r="L1132" s="19" t="s">
        <v>38</v>
      </c>
      <c r="M1132" s="20">
        <f t="shared" si="1"/>
        <v>0</v>
      </c>
      <c r="N1132" s="22"/>
      <c r="O1132" s="19" t="s">
        <v>3578</v>
      </c>
      <c r="P1132" s="18"/>
      <c r="Q1132" s="18"/>
      <c r="R1132" s="23">
        <v>0.0</v>
      </c>
      <c r="S1132" s="23">
        <v>0.0</v>
      </c>
      <c r="T1132" s="23">
        <f t="shared" si="2"/>
        <v>0</v>
      </c>
      <c r="U1132" s="23">
        <f t="shared" si="3"/>
        <v>0</v>
      </c>
      <c r="V1132" s="23">
        <f t="shared" si="4"/>
        <v>0</v>
      </c>
      <c r="W1132" s="24" t="str">
        <f t="shared" si="5"/>
        <v>#DIV/0!</v>
      </c>
    </row>
    <row r="1133" hidden="1">
      <c r="A1133" s="15" t="s">
        <v>2997</v>
      </c>
      <c r="B1133" s="18"/>
      <c r="C1133" s="15" t="s">
        <v>7719</v>
      </c>
      <c r="D1133" s="18"/>
      <c r="E1133" s="17" t="s">
        <v>2998</v>
      </c>
      <c r="F1133" s="18"/>
      <c r="G1133" s="18"/>
      <c r="H1133" s="15" t="s">
        <v>2999</v>
      </c>
      <c r="I1133" s="15" t="s">
        <v>3000</v>
      </c>
      <c r="J1133" s="19" t="s">
        <v>59</v>
      </c>
      <c r="K1133" s="19" t="s">
        <v>2396</v>
      </c>
      <c r="L1133" s="19" t="s">
        <v>38</v>
      </c>
      <c r="M1133" s="20">
        <f t="shared" si="1"/>
        <v>0</v>
      </c>
      <c r="N1133" s="22"/>
      <c r="O1133" s="19" t="s">
        <v>1145</v>
      </c>
      <c r="P1133" s="18"/>
      <c r="Q1133" s="18"/>
      <c r="R1133" s="23">
        <v>0.0</v>
      </c>
      <c r="S1133" s="23">
        <v>0.0</v>
      </c>
      <c r="T1133" s="23">
        <f t="shared" si="2"/>
        <v>0</v>
      </c>
      <c r="U1133" s="23">
        <f t="shared" si="3"/>
        <v>0</v>
      </c>
      <c r="V1133" s="23">
        <f t="shared" si="4"/>
        <v>0</v>
      </c>
      <c r="W1133" s="24" t="str">
        <f t="shared" si="5"/>
        <v>#DIV/0!</v>
      </c>
    </row>
    <row r="1134" hidden="1">
      <c r="A1134" s="15" t="s">
        <v>5163</v>
      </c>
      <c r="B1134" s="18"/>
      <c r="C1134" s="15" t="s">
        <v>7720</v>
      </c>
      <c r="D1134" s="18"/>
      <c r="E1134" s="17" t="s">
        <v>7721</v>
      </c>
      <c r="F1134" s="18"/>
      <c r="G1134" s="18"/>
      <c r="H1134" s="15" t="s">
        <v>7722</v>
      </c>
      <c r="I1134" s="15" t="s">
        <v>5166</v>
      </c>
      <c r="J1134" s="19" t="s">
        <v>59</v>
      </c>
      <c r="K1134" s="19" t="s">
        <v>2396</v>
      </c>
      <c r="L1134" s="19" t="s">
        <v>38</v>
      </c>
      <c r="M1134" s="20">
        <f t="shared" si="1"/>
        <v>0</v>
      </c>
      <c r="N1134" s="22"/>
      <c r="O1134" s="19" t="s">
        <v>1145</v>
      </c>
      <c r="P1134" s="18"/>
      <c r="Q1134" s="18"/>
      <c r="R1134" s="23">
        <v>0.0</v>
      </c>
      <c r="S1134" s="23">
        <v>0.0</v>
      </c>
      <c r="T1134" s="23">
        <f t="shared" si="2"/>
        <v>0</v>
      </c>
      <c r="U1134" s="23">
        <f t="shared" si="3"/>
        <v>0</v>
      </c>
      <c r="V1134" s="23">
        <f t="shared" si="4"/>
        <v>0</v>
      </c>
      <c r="W1134" s="24" t="str">
        <f t="shared" si="5"/>
        <v>#DIV/0!</v>
      </c>
    </row>
    <row r="1135" hidden="1">
      <c r="A1135" s="15" t="s">
        <v>3001</v>
      </c>
      <c r="B1135" s="18"/>
      <c r="C1135" s="15" t="s">
        <v>7723</v>
      </c>
      <c r="D1135" s="18"/>
      <c r="E1135" s="17" t="s">
        <v>7724</v>
      </c>
      <c r="F1135" s="18"/>
      <c r="G1135" s="18"/>
      <c r="H1135" s="15" t="s">
        <v>3004</v>
      </c>
      <c r="I1135" s="15" t="s">
        <v>3005</v>
      </c>
      <c r="J1135" s="19" t="s">
        <v>59</v>
      </c>
      <c r="K1135" s="19" t="s">
        <v>2396</v>
      </c>
      <c r="L1135" s="19" t="s">
        <v>38</v>
      </c>
      <c r="M1135" s="20">
        <f t="shared" si="1"/>
        <v>0</v>
      </c>
      <c r="N1135" s="22"/>
      <c r="O1135" s="19" t="s">
        <v>1145</v>
      </c>
      <c r="P1135" s="18"/>
      <c r="Q1135" s="18"/>
      <c r="R1135" s="23">
        <v>0.0</v>
      </c>
      <c r="S1135" s="23">
        <v>0.0</v>
      </c>
      <c r="T1135" s="23">
        <f t="shared" si="2"/>
        <v>0</v>
      </c>
      <c r="U1135" s="23">
        <f t="shared" si="3"/>
        <v>0</v>
      </c>
      <c r="V1135" s="23">
        <f t="shared" si="4"/>
        <v>0</v>
      </c>
      <c r="W1135" s="24" t="str">
        <f t="shared" si="5"/>
        <v>#DIV/0!</v>
      </c>
    </row>
    <row r="1136" hidden="1">
      <c r="A1136" s="15" t="s">
        <v>7725</v>
      </c>
      <c r="B1136" s="18"/>
      <c r="C1136" s="15" t="s">
        <v>7726</v>
      </c>
      <c r="D1136" s="18"/>
      <c r="E1136" s="17" t="s">
        <v>7727</v>
      </c>
      <c r="F1136" s="18"/>
      <c r="G1136" s="18"/>
      <c r="H1136" s="15" t="s">
        <v>7728</v>
      </c>
      <c r="I1136" s="15" t="s">
        <v>1116</v>
      </c>
      <c r="J1136" s="19" t="s">
        <v>59</v>
      </c>
      <c r="K1136" s="19" t="s">
        <v>2396</v>
      </c>
      <c r="L1136" s="19" t="s">
        <v>38</v>
      </c>
      <c r="M1136" s="20">
        <f t="shared" si="1"/>
        <v>0</v>
      </c>
      <c r="N1136" s="22"/>
      <c r="O1136" s="19" t="s">
        <v>1145</v>
      </c>
      <c r="P1136" s="18"/>
      <c r="Q1136" s="18"/>
      <c r="R1136" s="23">
        <v>0.0</v>
      </c>
      <c r="S1136" s="23">
        <v>0.0</v>
      </c>
      <c r="T1136" s="23">
        <f t="shared" si="2"/>
        <v>0</v>
      </c>
      <c r="U1136" s="23">
        <f t="shared" si="3"/>
        <v>0</v>
      </c>
      <c r="V1136" s="23">
        <f t="shared" si="4"/>
        <v>0</v>
      </c>
      <c r="W1136" s="24" t="str">
        <f t="shared" si="5"/>
        <v>#DIV/0!</v>
      </c>
    </row>
    <row r="1137" hidden="1">
      <c r="A1137" s="15" t="s">
        <v>3006</v>
      </c>
      <c r="B1137" s="18"/>
      <c r="C1137" s="15" t="s">
        <v>7729</v>
      </c>
      <c r="D1137" s="18"/>
      <c r="E1137" s="17" t="s">
        <v>3007</v>
      </c>
      <c r="F1137" s="18"/>
      <c r="G1137" s="18"/>
      <c r="H1137" s="15" t="s">
        <v>3008</v>
      </c>
      <c r="I1137" s="15" t="s">
        <v>3009</v>
      </c>
      <c r="J1137" s="19" t="s">
        <v>59</v>
      </c>
      <c r="K1137" s="19" t="s">
        <v>2396</v>
      </c>
      <c r="L1137" s="19" t="s">
        <v>38</v>
      </c>
      <c r="M1137" s="20">
        <f t="shared" si="1"/>
        <v>0</v>
      </c>
      <c r="N1137" s="22"/>
      <c r="O1137" s="19" t="s">
        <v>1145</v>
      </c>
      <c r="P1137" s="18"/>
      <c r="Q1137" s="18"/>
      <c r="R1137" s="23">
        <v>0.0</v>
      </c>
      <c r="S1137" s="23">
        <v>0.0</v>
      </c>
      <c r="T1137" s="23">
        <f t="shared" si="2"/>
        <v>0</v>
      </c>
      <c r="U1137" s="23">
        <f t="shared" si="3"/>
        <v>0</v>
      </c>
      <c r="V1137" s="23">
        <f t="shared" si="4"/>
        <v>0</v>
      </c>
      <c r="W1137" s="24" t="str">
        <f t="shared" si="5"/>
        <v>#DIV/0!</v>
      </c>
    </row>
    <row r="1138" hidden="1">
      <c r="A1138" s="15" t="s">
        <v>3010</v>
      </c>
      <c r="B1138" s="18"/>
      <c r="C1138" s="15" t="s">
        <v>7730</v>
      </c>
      <c r="D1138" s="18"/>
      <c r="E1138" s="17" t="s">
        <v>3011</v>
      </c>
      <c r="F1138" s="18"/>
      <c r="G1138" s="18"/>
      <c r="H1138" s="15" t="s">
        <v>3012</v>
      </c>
      <c r="I1138" s="15" t="s">
        <v>3013</v>
      </c>
      <c r="J1138" s="19" t="s">
        <v>59</v>
      </c>
      <c r="K1138" s="19" t="s">
        <v>2396</v>
      </c>
      <c r="L1138" s="19" t="s">
        <v>38</v>
      </c>
      <c r="M1138" s="20">
        <f t="shared" si="1"/>
        <v>0</v>
      </c>
      <c r="N1138" s="22"/>
      <c r="O1138" s="19" t="s">
        <v>1145</v>
      </c>
      <c r="P1138" s="18"/>
      <c r="Q1138" s="18"/>
      <c r="R1138" s="23">
        <v>0.0</v>
      </c>
      <c r="S1138" s="23">
        <v>0.0</v>
      </c>
      <c r="T1138" s="23">
        <f t="shared" si="2"/>
        <v>0</v>
      </c>
      <c r="U1138" s="23">
        <f t="shared" si="3"/>
        <v>0</v>
      </c>
      <c r="V1138" s="23">
        <f t="shared" si="4"/>
        <v>0</v>
      </c>
      <c r="W1138" s="24" t="str">
        <f t="shared" si="5"/>
        <v>#DIV/0!</v>
      </c>
    </row>
    <row r="1139" hidden="1">
      <c r="A1139" s="15" t="s">
        <v>3014</v>
      </c>
      <c r="B1139" s="18"/>
      <c r="C1139" s="15" t="s">
        <v>7731</v>
      </c>
      <c r="D1139" s="18"/>
      <c r="E1139" s="17" t="s">
        <v>3015</v>
      </c>
      <c r="F1139" s="18"/>
      <c r="G1139" s="18"/>
      <c r="H1139" s="15" t="s">
        <v>3016</v>
      </c>
      <c r="I1139" s="15" t="s">
        <v>3017</v>
      </c>
      <c r="J1139" s="19" t="s">
        <v>59</v>
      </c>
      <c r="K1139" s="19" t="s">
        <v>2396</v>
      </c>
      <c r="L1139" s="19" t="s">
        <v>38</v>
      </c>
      <c r="M1139" s="20">
        <f t="shared" si="1"/>
        <v>0</v>
      </c>
      <c r="N1139" s="22"/>
      <c r="O1139" s="19" t="s">
        <v>1145</v>
      </c>
      <c r="P1139" s="18"/>
      <c r="Q1139" s="18"/>
      <c r="R1139" s="23">
        <v>0.0</v>
      </c>
      <c r="S1139" s="23">
        <v>0.0</v>
      </c>
      <c r="T1139" s="23">
        <f t="shared" si="2"/>
        <v>0</v>
      </c>
      <c r="U1139" s="23">
        <f t="shared" si="3"/>
        <v>0</v>
      </c>
      <c r="V1139" s="23">
        <f t="shared" si="4"/>
        <v>0</v>
      </c>
      <c r="W1139" s="24" t="str">
        <f t="shared" si="5"/>
        <v>#DIV/0!</v>
      </c>
    </row>
    <row r="1140" hidden="1">
      <c r="A1140" s="15" t="s">
        <v>5167</v>
      </c>
      <c r="B1140" s="18"/>
      <c r="C1140" s="15" t="s">
        <v>7732</v>
      </c>
      <c r="D1140" s="18"/>
      <c r="E1140" s="17" t="s">
        <v>7733</v>
      </c>
      <c r="F1140" s="18"/>
      <c r="G1140" s="18"/>
      <c r="H1140" s="15" t="s">
        <v>7734</v>
      </c>
      <c r="I1140" s="15" t="s">
        <v>5170</v>
      </c>
      <c r="J1140" s="19" t="s">
        <v>59</v>
      </c>
      <c r="K1140" s="19" t="s">
        <v>2396</v>
      </c>
      <c r="L1140" s="19" t="s">
        <v>38</v>
      </c>
      <c r="M1140" s="20">
        <f t="shared" si="1"/>
        <v>0</v>
      </c>
      <c r="N1140" s="22"/>
      <c r="O1140" s="19" t="s">
        <v>1145</v>
      </c>
      <c r="P1140" s="18"/>
      <c r="Q1140" s="18"/>
      <c r="R1140" s="23">
        <v>0.0</v>
      </c>
      <c r="S1140" s="23">
        <v>0.0</v>
      </c>
      <c r="T1140" s="23">
        <f t="shared" si="2"/>
        <v>0</v>
      </c>
      <c r="U1140" s="23">
        <f t="shared" si="3"/>
        <v>0</v>
      </c>
      <c r="V1140" s="23">
        <f t="shared" si="4"/>
        <v>0</v>
      </c>
      <c r="W1140" s="24" t="str">
        <f t="shared" si="5"/>
        <v>#DIV/0!</v>
      </c>
    </row>
    <row r="1141" hidden="1">
      <c r="A1141" s="15" t="s">
        <v>3018</v>
      </c>
      <c r="B1141" s="18"/>
      <c r="C1141" s="15" t="s">
        <v>7735</v>
      </c>
      <c r="D1141" s="18"/>
      <c r="E1141" s="17" t="s">
        <v>3019</v>
      </c>
      <c r="F1141" s="18"/>
      <c r="G1141" s="18"/>
      <c r="H1141" s="15" t="s">
        <v>3020</v>
      </c>
      <c r="I1141" s="18"/>
      <c r="J1141" s="19" t="s">
        <v>59</v>
      </c>
      <c r="K1141" s="19" t="s">
        <v>2396</v>
      </c>
      <c r="L1141" s="19" t="s">
        <v>38</v>
      </c>
      <c r="M1141" s="20">
        <f t="shared" si="1"/>
        <v>0</v>
      </c>
      <c r="N1141" s="22"/>
      <c r="O1141" s="19" t="s">
        <v>1145</v>
      </c>
      <c r="P1141" s="18"/>
      <c r="Q1141" s="18"/>
      <c r="R1141" s="23">
        <v>0.0</v>
      </c>
      <c r="S1141" s="23">
        <v>0.0</v>
      </c>
      <c r="T1141" s="23">
        <f t="shared" si="2"/>
        <v>0</v>
      </c>
      <c r="U1141" s="23">
        <f t="shared" si="3"/>
        <v>0</v>
      </c>
      <c r="V1141" s="23">
        <f t="shared" si="4"/>
        <v>0</v>
      </c>
      <c r="W1141" s="24" t="str">
        <f t="shared" si="5"/>
        <v>#DIV/0!</v>
      </c>
    </row>
    <row r="1142" hidden="1">
      <c r="A1142" s="15" t="s">
        <v>5171</v>
      </c>
      <c r="B1142" s="18"/>
      <c r="C1142" s="15" t="s">
        <v>7736</v>
      </c>
      <c r="D1142" s="18"/>
      <c r="E1142" s="17" t="s">
        <v>7737</v>
      </c>
      <c r="F1142" s="18"/>
      <c r="G1142" s="18"/>
      <c r="H1142" s="15" t="s">
        <v>7738</v>
      </c>
      <c r="I1142" s="15" t="s">
        <v>5174</v>
      </c>
      <c r="J1142" s="19" t="s">
        <v>59</v>
      </c>
      <c r="K1142" s="19" t="s">
        <v>2396</v>
      </c>
      <c r="L1142" s="19" t="s">
        <v>38</v>
      </c>
      <c r="M1142" s="20">
        <f t="shared" si="1"/>
        <v>0</v>
      </c>
      <c r="N1142" s="22"/>
      <c r="O1142" s="19" t="s">
        <v>1145</v>
      </c>
      <c r="P1142" s="18"/>
      <c r="Q1142" s="18"/>
      <c r="R1142" s="23">
        <v>0.0</v>
      </c>
      <c r="S1142" s="23">
        <v>0.0</v>
      </c>
      <c r="T1142" s="23">
        <f t="shared" si="2"/>
        <v>0</v>
      </c>
      <c r="U1142" s="23">
        <f t="shared" si="3"/>
        <v>0</v>
      </c>
      <c r="V1142" s="23">
        <f t="shared" si="4"/>
        <v>0</v>
      </c>
      <c r="W1142" s="24" t="str">
        <f t="shared" si="5"/>
        <v>#DIV/0!</v>
      </c>
    </row>
    <row r="1143" hidden="1">
      <c r="A1143" s="15" t="s">
        <v>7739</v>
      </c>
      <c r="B1143" s="18"/>
      <c r="C1143" s="15" t="s">
        <v>7740</v>
      </c>
      <c r="D1143" s="18"/>
      <c r="E1143" s="17" t="s">
        <v>7741</v>
      </c>
      <c r="F1143" s="18"/>
      <c r="G1143" s="18"/>
      <c r="H1143" s="15" t="s">
        <v>7742</v>
      </c>
      <c r="I1143" s="15" t="s">
        <v>3932</v>
      </c>
      <c r="J1143" s="19" t="s">
        <v>59</v>
      </c>
      <c r="K1143" s="19" t="s">
        <v>2396</v>
      </c>
      <c r="L1143" s="19" t="s">
        <v>38</v>
      </c>
      <c r="M1143" s="20">
        <f t="shared" si="1"/>
        <v>0</v>
      </c>
      <c r="N1143" s="22"/>
      <c r="O1143" s="19" t="s">
        <v>39</v>
      </c>
      <c r="P1143" s="18"/>
      <c r="Q1143" s="18"/>
      <c r="R1143" s="23">
        <v>0.0</v>
      </c>
      <c r="S1143" s="23">
        <v>0.0</v>
      </c>
      <c r="T1143" s="23">
        <f t="shared" si="2"/>
        <v>0</v>
      </c>
      <c r="U1143" s="23">
        <f t="shared" si="3"/>
        <v>0</v>
      </c>
      <c r="V1143" s="23">
        <f t="shared" si="4"/>
        <v>0</v>
      </c>
      <c r="W1143" s="24" t="str">
        <f t="shared" si="5"/>
        <v>#DIV/0!</v>
      </c>
    </row>
    <row r="1144">
      <c r="A1144" s="15" t="s">
        <v>4424</v>
      </c>
      <c r="B1144" s="15" t="s">
        <v>4425</v>
      </c>
      <c r="C1144" s="15" t="s">
        <v>6504</v>
      </c>
      <c r="D1144" s="15" t="s">
        <v>4426</v>
      </c>
      <c r="E1144" s="17" t="s">
        <v>4427</v>
      </c>
      <c r="F1144" s="18"/>
      <c r="G1144" s="18"/>
      <c r="H1144" s="15" t="s">
        <v>4428</v>
      </c>
      <c r="I1144" s="18"/>
      <c r="J1144" s="19" t="s">
        <v>36</v>
      </c>
      <c r="K1144" s="19" t="s">
        <v>37</v>
      </c>
      <c r="L1144" s="19" t="s">
        <v>38</v>
      </c>
      <c r="M1144" s="20">
        <f t="shared" si="1"/>
        <v>0</v>
      </c>
      <c r="N1144" s="22"/>
      <c r="O1144" s="19" t="s">
        <v>3578</v>
      </c>
      <c r="P1144" s="18"/>
      <c r="Q1144" s="18"/>
      <c r="R1144" s="23">
        <v>0.0</v>
      </c>
      <c r="S1144" s="23">
        <v>0.0</v>
      </c>
      <c r="T1144" s="23">
        <f t="shared" si="2"/>
        <v>0</v>
      </c>
      <c r="U1144" s="23">
        <f t="shared" si="3"/>
        <v>0</v>
      </c>
      <c r="V1144" s="23">
        <f t="shared" si="4"/>
        <v>0</v>
      </c>
      <c r="W1144" s="24" t="str">
        <f t="shared" si="5"/>
        <v>#DIV/0!</v>
      </c>
    </row>
    <row r="1145">
      <c r="A1145" s="15" t="s">
        <v>4429</v>
      </c>
      <c r="B1145" s="15" t="s">
        <v>339</v>
      </c>
      <c r="C1145" s="15" t="s">
        <v>6505</v>
      </c>
      <c r="D1145" s="15" t="s">
        <v>4426</v>
      </c>
      <c r="E1145" s="17" t="s">
        <v>4427</v>
      </c>
      <c r="F1145" s="18"/>
      <c r="G1145" s="18"/>
      <c r="H1145" s="15" t="s">
        <v>4431</v>
      </c>
      <c r="I1145" s="18"/>
      <c r="J1145" s="19" t="s">
        <v>36</v>
      </c>
      <c r="K1145" s="19" t="s">
        <v>37</v>
      </c>
      <c r="L1145" s="19" t="s">
        <v>38</v>
      </c>
      <c r="M1145" s="20">
        <f t="shared" si="1"/>
        <v>0</v>
      </c>
      <c r="N1145" s="22"/>
      <c r="O1145" s="19" t="s">
        <v>3578</v>
      </c>
      <c r="P1145" s="18"/>
      <c r="Q1145" s="18"/>
      <c r="R1145" s="23">
        <v>0.0</v>
      </c>
      <c r="S1145" s="23">
        <v>0.0</v>
      </c>
      <c r="T1145" s="23">
        <f t="shared" si="2"/>
        <v>0</v>
      </c>
      <c r="U1145" s="23">
        <f t="shared" si="3"/>
        <v>0</v>
      </c>
      <c r="V1145" s="23">
        <f t="shared" si="4"/>
        <v>0</v>
      </c>
      <c r="W1145" s="24" t="str">
        <f t="shared" si="5"/>
        <v>#DIV/0!</v>
      </c>
    </row>
    <row r="1146">
      <c r="A1146" s="15" t="s">
        <v>4568</v>
      </c>
      <c r="B1146" s="15" t="s">
        <v>4569</v>
      </c>
      <c r="C1146" s="15" t="s">
        <v>6588</v>
      </c>
      <c r="D1146" s="15" t="s">
        <v>4570</v>
      </c>
      <c r="E1146" s="17" t="s">
        <v>4571</v>
      </c>
      <c r="F1146" s="18"/>
      <c r="G1146" s="18"/>
      <c r="H1146" s="15" t="s">
        <v>4572</v>
      </c>
      <c r="I1146" s="18"/>
      <c r="J1146" s="19" t="s">
        <v>702</v>
      </c>
      <c r="K1146" s="19" t="s">
        <v>52</v>
      </c>
      <c r="L1146" s="19" t="s">
        <v>703</v>
      </c>
      <c r="M1146" s="20">
        <f t="shared" si="1"/>
        <v>0</v>
      </c>
      <c r="N1146" s="22"/>
      <c r="O1146" s="19" t="s">
        <v>3578</v>
      </c>
      <c r="P1146" s="18"/>
      <c r="Q1146" s="18"/>
      <c r="R1146" s="23">
        <v>0.0</v>
      </c>
      <c r="S1146" s="23">
        <v>0.0</v>
      </c>
      <c r="T1146" s="23">
        <f t="shared" si="2"/>
        <v>0</v>
      </c>
      <c r="U1146" s="23">
        <f t="shared" si="3"/>
        <v>0</v>
      </c>
      <c r="V1146" s="23">
        <f t="shared" si="4"/>
        <v>0</v>
      </c>
      <c r="W1146" s="24" t="str">
        <f t="shared" si="5"/>
        <v>#DIV/0!</v>
      </c>
    </row>
    <row r="1147" hidden="1">
      <c r="A1147" s="15" t="s">
        <v>7744</v>
      </c>
      <c r="B1147" s="15"/>
      <c r="C1147" s="15" t="s">
        <v>6079</v>
      </c>
      <c r="D1147" s="18"/>
      <c r="E1147" s="17" t="s">
        <v>7745</v>
      </c>
      <c r="F1147" s="18"/>
      <c r="G1147" s="18"/>
      <c r="H1147" s="18"/>
      <c r="I1147" s="18"/>
      <c r="J1147" s="19" t="s">
        <v>59</v>
      </c>
      <c r="K1147" s="33"/>
      <c r="L1147" s="19" t="s">
        <v>38</v>
      </c>
      <c r="M1147" s="20">
        <f t="shared" si="1"/>
        <v>0</v>
      </c>
      <c r="N1147" s="22"/>
      <c r="O1147" s="19" t="s">
        <v>39</v>
      </c>
      <c r="P1147" s="18"/>
      <c r="Q1147" s="18"/>
      <c r="R1147" s="23">
        <v>0.0</v>
      </c>
      <c r="S1147" s="23">
        <v>0.0</v>
      </c>
      <c r="T1147" s="23">
        <f t="shared" si="2"/>
        <v>0</v>
      </c>
      <c r="U1147" s="23">
        <f t="shared" si="3"/>
        <v>0</v>
      </c>
      <c r="V1147" s="23">
        <f t="shared" si="4"/>
        <v>0</v>
      </c>
      <c r="W1147" s="24" t="str">
        <f t="shared" si="5"/>
        <v>#DIV/0!</v>
      </c>
    </row>
    <row r="1148">
      <c r="A1148" s="15" t="s">
        <v>4667</v>
      </c>
      <c r="B1148" s="18"/>
      <c r="C1148" s="15" t="s">
        <v>6661</v>
      </c>
      <c r="D1148" s="15" t="s">
        <v>4668</v>
      </c>
      <c r="E1148" s="17" t="s">
        <v>4669</v>
      </c>
      <c r="F1148" s="18"/>
      <c r="G1148" s="18"/>
      <c r="H1148" s="15" t="s">
        <v>4670</v>
      </c>
      <c r="I1148" s="18"/>
      <c r="J1148" s="19" t="s">
        <v>104</v>
      </c>
      <c r="K1148" s="19" t="s">
        <v>160</v>
      </c>
      <c r="L1148" s="19" t="s">
        <v>106</v>
      </c>
      <c r="M1148" s="20">
        <f t="shared" si="1"/>
        <v>0</v>
      </c>
      <c r="N1148" s="22"/>
      <c r="O1148" s="19" t="s">
        <v>3578</v>
      </c>
      <c r="P1148" s="18"/>
      <c r="Q1148" s="18"/>
      <c r="R1148" s="23">
        <v>0.0</v>
      </c>
      <c r="S1148" s="23">
        <v>0.0</v>
      </c>
      <c r="T1148" s="23">
        <f t="shared" si="2"/>
        <v>0</v>
      </c>
      <c r="U1148" s="23">
        <f t="shared" si="3"/>
        <v>0</v>
      </c>
      <c r="V1148" s="23">
        <f t="shared" si="4"/>
        <v>0</v>
      </c>
      <c r="W1148" s="24" t="str">
        <f t="shared" si="5"/>
        <v>#DIV/0!</v>
      </c>
    </row>
    <row r="1149">
      <c r="A1149" s="15" t="s">
        <v>4671</v>
      </c>
      <c r="B1149" s="15" t="s">
        <v>6662</v>
      </c>
      <c r="C1149" s="15" t="s">
        <v>6663</v>
      </c>
      <c r="D1149" s="15" t="s">
        <v>4673</v>
      </c>
      <c r="E1149" s="17" t="s">
        <v>4674</v>
      </c>
      <c r="F1149" s="18"/>
      <c r="G1149" s="18"/>
      <c r="H1149" s="15" t="s">
        <v>4675</v>
      </c>
      <c r="I1149" s="18"/>
      <c r="J1149" s="19" t="s">
        <v>104</v>
      </c>
      <c r="K1149" s="19" t="s">
        <v>160</v>
      </c>
      <c r="L1149" s="19" t="s">
        <v>106</v>
      </c>
      <c r="M1149" s="20">
        <f t="shared" si="1"/>
        <v>0</v>
      </c>
      <c r="N1149" s="22"/>
      <c r="O1149" s="19" t="s">
        <v>3578</v>
      </c>
      <c r="P1149" s="18"/>
      <c r="Q1149" s="18"/>
      <c r="R1149" s="23">
        <v>0.0</v>
      </c>
      <c r="S1149" s="23">
        <v>0.0</v>
      </c>
      <c r="T1149" s="23">
        <f t="shared" si="2"/>
        <v>0</v>
      </c>
      <c r="U1149" s="23">
        <f t="shared" si="3"/>
        <v>0</v>
      </c>
      <c r="V1149" s="23">
        <f t="shared" si="4"/>
        <v>0</v>
      </c>
      <c r="W1149" s="24" t="str">
        <f t="shared" si="5"/>
        <v>#DIV/0!</v>
      </c>
    </row>
    <row r="1150">
      <c r="A1150" s="15" t="s">
        <v>4676</v>
      </c>
      <c r="B1150" s="15" t="s">
        <v>6664</v>
      </c>
      <c r="C1150" s="15" t="s">
        <v>6665</v>
      </c>
      <c r="D1150" s="15" t="s">
        <v>4678</v>
      </c>
      <c r="E1150" s="17" t="s">
        <v>4679</v>
      </c>
      <c r="F1150" s="18"/>
      <c r="G1150" s="18"/>
      <c r="H1150" s="15" t="s">
        <v>4680</v>
      </c>
      <c r="I1150" s="18"/>
      <c r="J1150" s="19" t="s">
        <v>104</v>
      </c>
      <c r="K1150" s="19" t="s">
        <v>160</v>
      </c>
      <c r="L1150" s="19" t="s">
        <v>106</v>
      </c>
      <c r="M1150" s="20">
        <f t="shared" si="1"/>
        <v>0</v>
      </c>
      <c r="N1150" s="22"/>
      <c r="O1150" s="19" t="s">
        <v>3578</v>
      </c>
      <c r="P1150" s="18"/>
      <c r="Q1150" s="18"/>
      <c r="R1150" s="23">
        <v>0.0</v>
      </c>
      <c r="S1150" s="23">
        <v>0.0</v>
      </c>
      <c r="T1150" s="23">
        <f t="shared" si="2"/>
        <v>0</v>
      </c>
      <c r="U1150" s="23">
        <f t="shared" si="3"/>
        <v>0</v>
      </c>
      <c r="V1150" s="23">
        <f t="shared" si="4"/>
        <v>0</v>
      </c>
      <c r="W1150" s="24" t="str">
        <f t="shared" si="5"/>
        <v>#DIV/0!</v>
      </c>
    </row>
    <row r="1151" hidden="1">
      <c r="A1151" s="15" t="s">
        <v>3021</v>
      </c>
      <c r="B1151" s="18"/>
      <c r="C1151" s="15" t="s">
        <v>7746</v>
      </c>
      <c r="D1151" s="18"/>
      <c r="E1151" s="17" t="s">
        <v>3022</v>
      </c>
      <c r="F1151" s="18"/>
      <c r="G1151" s="18"/>
      <c r="H1151" s="15" t="s">
        <v>3023</v>
      </c>
      <c r="I1151" s="15" t="s">
        <v>3024</v>
      </c>
      <c r="J1151" s="19" t="s">
        <v>59</v>
      </c>
      <c r="K1151" s="19" t="s">
        <v>2387</v>
      </c>
      <c r="L1151" s="19" t="s">
        <v>38</v>
      </c>
      <c r="M1151" s="20">
        <f t="shared" si="1"/>
        <v>0</v>
      </c>
      <c r="N1151" s="22"/>
      <c r="O1151" s="19" t="s">
        <v>1145</v>
      </c>
      <c r="P1151" s="18"/>
      <c r="Q1151" s="18"/>
      <c r="R1151" s="23">
        <v>0.0</v>
      </c>
      <c r="S1151" s="23">
        <v>0.0</v>
      </c>
      <c r="T1151" s="23">
        <f t="shared" si="2"/>
        <v>0</v>
      </c>
      <c r="U1151" s="23">
        <f t="shared" si="3"/>
        <v>0</v>
      </c>
      <c r="V1151" s="23">
        <f t="shared" si="4"/>
        <v>0</v>
      </c>
      <c r="W1151" s="24" t="str">
        <f t="shared" si="5"/>
        <v>#DIV/0!</v>
      </c>
    </row>
    <row r="1152" hidden="1">
      <c r="A1152" s="15" t="s">
        <v>3025</v>
      </c>
      <c r="B1152" s="18"/>
      <c r="C1152" s="15" t="s">
        <v>7747</v>
      </c>
      <c r="D1152" s="18"/>
      <c r="E1152" s="17" t="s">
        <v>3026</v>
      </c>
      <c r="F1152" s="18"/>
      <c r="G1152" s="18"/>
      <c r="H1152" s="15" t="s">
        <v>3027</v>
      </c>
      <c r="I1152" s="15" t="s">
        <v>3028</v>
      </c>
      <c r="J1152" s="19" t="s">
        <v>59</v>
      </c>
      <c r="K1152" s="19" t="s">
        <v>2387</v>
      </c>
      <c r="L1152" s="19" t="s">
        <v>38</v>
      </c>
      <c r="M1152" s="20">
        <f t="shared" si="1"/>
        <v>0</v>
      </c>
      <c r="N1152" s="22"/>
      <c r="O1152" s="19" t="s">
        <v>1145</v>
      </c>
      <c r="P1152" s="18"/>
      <c r="Q1152" s="18"/>
      <c r="R1152" s="23">
        <v>0.0</v>
      </c>
      <c r="S1152" s="23">
        <v>0.0</v>
      </c>
      <c r="T1152" s="23">
        <f t="shared" si="2"/>
        <v>0</v>
      </c>
      <c r="U1152" s="23">
        <f t="shared" si="3"/>
        <v>0</v>
      </c>
      <c r="V1152" s="23">
        <f t="shared" si="4"/>
        <v>0</v>
      </c>
      <c r="W1152" s="24" t="str">
        <f t="shared" si="5"/>
        <v>#DIV/0!</v>
      </c>
    </row>
    <row r="1153" hidden="1">
      <c r="A1153" s="15" t="s">
        <v>7748</v>
      </c>
      <c r="B1153" s="15"/>
      <c r="C1153" s="15" t="s">
        <v>7749</v>
      </c>
      <c r="D1153" s="15"/>
      <c r="E1153" s="17"/>
      <c r="F1153" s="18"/>
      <c r="G1153" s="18"/>
      <c r="H1153" s="15" t="s">
        <v>690</v>
      </c>
      <c r="I1153" s="18"/>
      <c r="J1153" s="19" t="s">
        <v>59</v>
      </c>
      <c r="K1153" s="19" t="s">
        <v>60</v>
      </c>
      <c r="L1153" s="19" t="s">
        <v>38</v>
      </c>
      <c r="M1153" s="20">
        <f t="shared" si="1"/>
        <v>0</v>
      </c>
      <c r="N1153" s="31">
        <v>3.0</v>
      </c>
      <c r="O1153" s="19" t="s">
        <v>39</v>
      </c>
      <c r="P1153" s="18"/>
      <c r="Q1153" s="18"/>
      <c r="R1153" s="23">
        <v>0.0</v>
      </c>
      <c r="S1153" s="23">
        <v>0.0</v>
      </c>
      <c r="T1153" s="23">
        <f t="shared" si="2"/>
        <v>0</v>
      </c>
      <c r="U1153" s="23">
        <f t="shared" si="3"/>
        <v>0</v>
      </c>
      <c r="V1153" s="23">
        <f t="shared" si="4"/>
        <v>0</v>
      </c>
      <c r="W1153" s="24" t="str">
        <f t="shared" si="5"/>
        <v>#DIV/0!</v>
      </c>
    </row>
    <row r="1154" hidden="1">
      <c r="A1154" s="15" t="s">
        <v>3029</v>
      </c>
      <c r="B1154" s="18"/>
      <c r="C1154" s="15" t="s">
        <v>7750</v>
      </c>
      <c r="D1154" s="18"/>
      <c r="E1154" s="17" t="s">
        <v>3030</v>
      </c>
      <c r="F1154" s="18"/>
      <c r="G1154" s="18"/>
      <c r="H1154" s="15" t="s">
        <v>3031</v>
      </c>
      <c r="I1154" s="15" t="s">
        <v>3032</v>
      </c>
      <c r="J1154" s="19" t="s">
        <v>59</v>
      </c>
      <c r="K1154" s="19" t="s">
        <v>691</v>
      </c>
      <c r="L1154" s="19" t="s">
        <v>38</v>
      </c>
      <c r="M1154" s="20">
        <f t="shared" si="1"/>
        <v>0</v>
      </c>
      <c r="N1154" s="22"/>
      <c r="O1154" s="19" t="s">
        <v>1145</v>
      </c>
      <c r="P1154" s="18"/>
      <c r="Q1154" s="18"/>
      <c r="R1154" s="23">
        <v>0.0</v>
      </c>
      <c r="S1154" s="23">
        <v>0.0</v>
      </c>
      <c r="T1154" s="23">
        <f t="shared" si="2"/>
        <v>0</v>
      </c>
      <c r="U1154" s="23">
        <f t="shared" si="3"/>
        <v>0</v>
      </c>
      <c r="V1154" s="23">
        <f t="shared" si="4"/>
        <v>0</v>
      </c>
      <c r="W1154" s="24" t="str">
        <f t="shared" si="5"/>
        <v>#DIV/0!</v>
      </c>
    </row>
    <row r="1155" hidden="1">
      <c r="A1155" s="15" t="s">
        <v>7751</v>
      </c>
      <c r="B1155" s="18"/>
      <c r="C1155" s="15" t="s">
        <v>7752</v>
      </c>
      <c r="D1155" s="18"/>
      <c r="E1155" s="17" t="s">
        <v>3034</v>
      </c>
      <c r="F1155" s="18"/>
      <c r="G1155" s="18"/>
      <c r="H1155" s="15" t="s">
        <v>7753</v>
      </c>
      <c r="I1155" s="15" t="s">
        <v>536</v>
      </c>
      <c r="J1155" s="19" t="s">
        <v>59</v>
      </c>
      <c r="K1155" s="19" t="s">
        <v>2387</v>
      </c>
      <c r="L1155" s="19" t="s">
        <v>38</v>
      </c>
      <c r="M1155" s="20">
        <f t="shared" si="1"/>
        <v>0</v>
      </c>
      <c r="N1155" s="22"/>
      <c r="O1155" s="19" t="s">
        <v>39</v>
      </c>
      <c r="P1155" s="18"/>
      <c r="Q1155" s="18"/>
      <c r="R1155" s="23">
        <v>0.0</v>
      </c>
      <c r="S1155" s="23">
        <v>0.0</v>
      </c>
      <c r="T1155" s="23">
        <f t="shared" si="2"/>
        <v>0</v>
      </c>
      <c r="U1155" s="23">
        <f t="shared" si="3"/>
        <v>0</v>
      </c>
      <c r="V1155" s="23">
        <f t="shared" si="4"/>
        <v>0</v>
      </c>
      <c r="W1155" s="24" t="str">
        <f t="shared" si="5"/>
        <v>#DIV/0!</v>
      </c>
    </row>
    <row r="1156" hidden="1">
      <c r="A1156" s="15" t="s">
        <v>7754</v>
      </c>
      <c r="B1156" s="18"/>
      <c r="C1156" s="15" t="s">
        <v>7755</v>
      </c>
      <c r="D1156" s="18"/>
      <c r="E1156" s="17" t="s">
        <v>3034</v>
      </c>
      <c r="F1156" s="18"/>
      <c r="G1156" s="18"/>
      <c r="H1156" s="15" t="s">
        <v>7756</v>
      </c>
      <c r="I1156" s="15" t="s">
        <v>203</v>
      </c>
      <c r="J1156" s="19" t="s">
        <v>59</v>
      </c>
      <c r="K1156" s="19" t="s">
        <v>2387</v>
      </c>
      <c r="L1156" s="19" t="s">
        <v>38</v>
      </c>
      <c r="M1156" s="20">
        <f t="shared" si="1"/>
        <v>0</v>
      </c>
      <c r="N1156" s="22"/>
      <c r="O1156" s="19" t="s">
        <v>39</v>
      </c>
      <c r="P1156" s="18"/>
      <c r="Q1156" s="18"/>
      <c r="R1156" s="23">
        <v>0.0</v>
      </c>
      <c r="S1156" s="23">
        <v>0.0</v>
      </c>
      <c r="T1156" s="23">
        <f t="shared" si="2"/>
        <v>0</v>
      </c>
      <c r="U1156" s="23">
        <f t="shared" si="3"/>
        <v>0</v>
      </c>
      <c r="V1156" s="23">
        <f t="shared" si="4"/>
        <v>0</v>
      </c>
      <c r="W1156" s="24" t="str">
        <f t="shared" si="5"/>
        <v>#DIV/0!</v>
      </c>
    </row>
    <row r="1157">
      <c r="A1157" s="15" t="s">
        <v>4689</v>
      </c>
      <c r="B1157" s="15" t="s">
        <v>4690</v>
      </c>
      <c r="C1157" s="15" t="s">
        <v>6670</v>
      </c>
      <c r="D1157" s="15" t="s">
        <v>4691</v>
      </c>
      <c r="E1157" s="17" t="s">
        <v>4692</v>
      </c>
      <c r="F1157" s="18"/>
      <c r="G1157" s="18"/>
      <c r="H1157" s="15" t="s">
        <v>830</v>
      </c>
      <c r="I1157" s="18"/>
      <c r="J1157" s="19" t="s">
        <v>104</v>
      </c>
      <c r="K1157" s="19" t="s">
        <v>37</v>
      </c>
      <c r="L1157" s="19" t="s">
        <v>38</v>
      </c>
      <c r="M1157" s="20">
        <f t="shared" si="1"/>
        <v>0</v>
      </c>
      <c r="N1157" s="22"/>
      <c r="O1157" s="19" t="s">
        <v>3578</v>
      </c>
      <c r="P1157" s="18"/>
      <c r="Q1157" s="18"/>
      <c r="R1157" s="23">
        <v>0.0</v>
      </c>
      <c r="S1157" s="23">
        <v>0.0</v>
      </c>
      <c r="T1157" s="23">
        <f t="shared" si="2"/>
        <v>0</v>
      </c>
      <c r="U1157" s="23">
        <f t="shared" si="3"/>
        <v>0</v>
      </c>
      <c r="V1157" s="23">
        <f t="shared" si="4"/>
        <v>0</v>
      </c>
      <c r="W1157" s="24" t="str">
        <f t="shared" si="5"/>
        <v>#DIV/0!</v>
      </c>
    </row>
    <row r="1158" hidden="1">
      <c r="A1158" s="15" t="s">
        <v>3033</v>
      </c>
      <c r="B1158" s="18"/>
      <c r="C1158" s="15" t="s">
        <v>7758</v>
      </c>
      <c r="D1158" s="18"/>
      <c r="E1158" s="17" t="s">
        <v>3034</v>
      </c>
      <c r="F1158" s="18"/>
      <c r="G1158" s="18"/>
      <c r="H1158" s="15" t="s">
        <v>3035</v>
      </c>
      <c r="I1158" s="15" t="s">
        <v>3036</v>
      </c>
      <c r="J1158" s="19" t="s">
        <v>59</v>
      </c>
      <c r="K1158" s="19" t="s">
        <v>2387</v>
      </c>
      <c r="L1158" s="19" t="s">
        <v>38</v>
      </c>
      <c r="M1158" s="20">
        <f t="shared" si="1"/>
        <v>0</v>
      </c>
      <c r="N1158" s="22"/>
      <c r="O1158" s="19" t="s">
        <v>1145</v>
      </c>
      <c r="P1158" s="18"/>
      <c r="Q1158" s="18"/>
      <c r="R1158" s="23">
        <v>0.0</v>
      </c>
      <c r="S1158" s="23">
        <v>0.0</v>
      </c>
      <c r="T1158" s="23">
        <f t="shared" si="2"/>
        <v>0</v>
      </c>
      <c r="U1158" s="23">
        <f t="shared" si="3"/>
        <v>0</v>
      </c>
      <c r="V1158" s="23">
        <f t="shared" si="4"/>
        <v>0</v>
      </c>
      <c r="W1158" s="24" t="str">
        <f t="shared" si="5"/>
        <v>#DIV/0!</v>
      </c>
    </row>
    <row r="1159" hidden="1">
      <c r="A1159" s="15" t="s">
        <v>7759</v>
      </c>
      <c r="B1159" s="18"/>
      <c r="C1159" s="15" t="s">
        <v>7760</v>
      </c>
      <c r="D1159" s="18"/>
      <c r="E1159" s="17" t="s">
        <v>3034</v>
      </c>
      <c r="F1159" s="18"/>
      <c r="G1159" s="18"/>
      <c r="H1159" s="15" t="s">
        <v>7761</v>
      </c>
      <c r="I1159" s="15" t="s">
        <v>351</v>
      </c>
      <c r="J1159" s="19" t="s">
        <v>59</v>
      </c>
      <c r="K1159" s="19" t="s">
        <v>2387</v>
      </c>
      <c r="L1159" s="19" t="s">
        <v>38</v>
      </c>
      <c r="M1159" s="20">
        <f t="shared" si="1"/>
        <v>0</v>
      </c>
      <c r="N1159" s="22"/>
      <c r="O1159" s="19" t="s">
        <v>39</v>
      </c>
      <c r="P1159" s="18"/>
      <c r="Q1159" s="18"/>
      <c r="R1159" s="23">
        <v>0.0</v>
      </c>
      <c r="S1159" s="23">
        <v>0.0</v>
      </c>
      <c r="T1159" s="23">
        <f t="shared" si="2"/>
        <v>0</v>
      </c>
      <c r="U1159" s="23">
        <f t="shared" si="3"/>
        <v>0</v>
      </c>
      <c r="V1159" s="23">
        <f t="shared" si="4"/>
        <v>0</v>
      </c>
      <c r="W1159" s="24" t="str">
        <f t="shared" si="5"/>
        <v>#DIV/0!</v>
      </c>
    </row>
    <row r="1160" hidden="1">
      <c r="A1160" s="15" t="s">
        <v>7762</v>
      </c>
      <c r="B1160" s="18"/>
      <c r="C1160" s="15" t="s">
        <v>7763</v>
      </c>
      <c r="D1160" s="15" t="s">
        <v>7764</v>
      </c>
      <c r="E1160" s="17" t="s">
        <v>3034</v>
      </c>
      <c r="F1160" s="18"/>
      <c r="G1160" s="18"/>
      <c r="H1160" s="15" t="s">
        <v>7765</v>
      </c>
      <c r="I1160" s="15" t="s">
        <v>234</v>
      </c>
      <c r="J1160" s="19" t="s">
        <v>59</v>
      </c>
      <c r="K1160" s="19" t="s">
        <v>2387</v>
      </c>
      <c r="L1160" s="19" t="s">
        <v>38</v>
      </c>
      <c r="M1160" s="20">
        <f t="shared" si="1"/>
        <v>0</v>
      </c>
      <c r="N1160" s="22"/>
      <c r="O1160" s="19" t="s">
        <v>39</v>
      </c>
      <c r="P1160" s="18"/>
      <c r="Q1160" s="18"/>
      <c r="R1160" s="23">
        <v>0.0</v>
      </c>
      <c r="S1160" s="23">
        <v>0.0</v>
      </c>
      <c r="T1160" s="23">
        <f t="shared" si="2"/>
        <v>0</v>
      </c>
      <c r="U1160" s="23">
        <f t="shared" si="3"/>
        <v>0</v>
      </c>
      <c r="V1160" s="23">
        <f t="shared" si="4"/>
        <v>0</v>
      </c>
      <c r="W1160" s="24" t="str">
        <f t="shared" si="5"/>
        <v>#DIV/0!</v>
      </c>
    </row>
    <row r="1161">
      <c r="A1161" s="15" t="s">
        <v>5889</v>
      </c>
      <c r="B1161" s="18"/>
      <c r="C1161" s="15" t="s">
        <v>6685</v>
      </c>
      <c r="D1161" s="15" t="s">
        <v>5890</v>
      </c>
      <c r="E1161" s="17" t="s">
        <v>5891</v>
      </c>
      <c r="F1161" s="15" t="s">
        <v>5892</v>
      </c>
      <c r="G1161" s="15"/>
      <c r="H1161" s="15" t="s">
        <v>5893</v>
      </c>
      <c r="I1161" s="18"/>
      <c r="J1161" s="19" t="s">
        <v>104</v>
      </c>
      <c r="K1161" s="19" t="s">
        <v>717</v>
      </c>
      <c r="L1161" s="19" t="s">
        <v>106</v>
      </c>
      <c r="M1161" s="20">
        <f t="shared" si="1"/>
        <v>12662.88</v>
      </c>
      <c r="N1161" s="31">
        <v>0.0</v>
      </c>
      <c r="O1161" s="19" t="s">
        <v>3578</v>
      </c>
      <c r="P1161" s="18"/>
      <c r="Q1161" s="18"/>
      <c r="R1161" s="23">
        <v>135.0</v>
      </c>
      <c r="S1161" s="23">
        <v>713.0</v>
      </c>
      <c r="T1161" s="23">
        <f t="shared" si="2"/>
        <v>684.48</v>
      </c>
      <c r="U1161" s="23">
        <f t="shared" si="3"/>
        <v>165.375</v>
      </c>
      <c r="V1161" s="23">
        <f t="shared" si="4"/>
        <v>3100.78125</v>
      </c>
      <c r="W1161" s="24">
        <f t="shared" si="5"/>
        <v>5.070222222</v>
      </c>
    </row>
    <row r="1162">
      <c r="A1162" s="15" t="s">
        <v>5899</v>
      </c>
      <c r="B1162" s="18"/>
      <c r="C1162" s="15" t="s">
        <v>6689</v>
      </c>
      <c r="D1162" s="15" t="s">
        <v>5900</v>
      </c>
      <c r="E1162" s="17" t="s">
        <v>5901</v>
      </c>
      <c r="F1162" s="15" t="s">
        <v>5902</v>
      </c>
      <c r="G1162" s="15"/>
      <c r="H1162" s="15" t="s">
        <v>5903</v>
      </c>
      <c r="I1162" s="18"/>
      <c r="J1162" s="19" t="s">
        <v>104</v>
      </c>
      <c r="K1162" s="19" t="s">
        <v>717</v>
      </c>
      <c r="L1162" s="19" t="s">
        <v>106</v>
      </c>
      <c r="M1162" s="20">
        <f t="shared" si="1"/>
        <v>19340.64</v>
      </c>
      <c r="N1162" s="31">
        <v>0.0</v>
      </c>
      <c r="O1162" s="19" t="s">
        <v>3578</v>
      </c>
      <c r="P1162" s="18"/>
      <c r="Q1162" s="18"/>
      <c r="R1162" s="23">
        <v>237.0</v>
      </c>
      <c r="S1162" s="23">
        <v>1089.0</v>
      </c>
      <c r="T1162" s="23">
        <f t="shared" si="2"/>
        <v>1045.44</v>
      </c>
      <c r="U1162" s="23">
        <f t="shared" si="3"/>
        <v>290.325</v>
      </c>
      <c r="V1162" s="23">
        <f t="shared" si="4"/>
        <v>5443.59375</v>
      </c>
      <c r="W1162" s="24">
        <f t="shared" si="5"/>
        <v>4.411139241</v>
      </c>
    </row>
    <row r="1163">
      <c r="A1163" s="15" t="s">
        <v>5904</v>
      </c>
      <c r="B1163" s="15"/>
      <c r="C1163" s="15" t="s">
        <v>6690</v>
      </c>
      <c r="D1163" s="15" t="s">
        <v>5905</v>
      </c>
      <c r="E1163" s="17" t="s">
        <v>5906</v>
      </c>
      <c r="F1163" s="15" t="s">
        <v>5907</v>
      </c>
      <c r="G1163" s="15"/>
      <c r="H1163" s="15" t="s">
        <v>5908</v>
      </c>
      <c r="I1163" s="18"/>
      <c r="J1163" s="19" t="s">
        <v>104</v>
      </c>
      <c r="K1163" s="19" t="s">
        <v>717</v>
      </c>
      <c r="L1163" s="19" t="s">
        <v>106</v>
      </c>
      <c r="M1163" s="20">
        <f t="shared" si="1"/>
        <v>19340.64</v>
      </c>
      <c r="N1163" s="31"/>
      <c r="O1163" s="19" t="s">
        <v>3578</v>
      </c>
      <c r="P1163" s="18"/>
      <c r="Q1163" s="18"/>
      <c r="R1163" s="23">
        <v>245.0</v>
      </c>
      <c r="S1163" s="23">
        <v>1089.0</v>
      </c>
      <c r="T1163" s="23">
        <f t="shared" si="2"/>
        <v>1045.44</v>
      </c>
      <c r="U1163" s="23">
        <f t="shared" si="3"/>
        <v>300.125</v>
      </c>
      <c r="V1163" s="23">
        <f t="shared" si="4"/>
        <v>5627.34375</v>
      </c>
      <c r="W1163" s="24">
        <f t="shared" si="5"/>
        <v>4.267102041</v>
      </c>
    </row>
    <row r="1164">
      <c r="A1164" s="15" t="s">
        <v>4708</v>
      </c>
      <c r="B1164" s="15" t="s">
        <v>4709</v>
      </c>
      <c r="C1164" s="15" t="s">
        <v>6770</v>
      </c>
      <c r="D1164" s="15" t="s">
        <v>6771</v>
      </c>
      <c r="E1164" s="17" t="s">
        <v>6772</v>
      </c>
      <c r="F1164" s="18"/>
      <c r="G1164" s="18"/>
      <c r="H1164" s="15" t="s">
        <v>4712</v>
      </c>
      <c r="I1164" s="15"/>
      <c r="J1164" s="19" t="s">
        <v>36</v>
      </c>
      <c r="K1164" s="19" t="s">
        <v>37</v>
      </c>
      <c r="L1164" s="19" t="s">
        <v>38</v>
      </c>
      <c r="M1164" s="20">
        <f t="shared" si="1"/>
        <v>0</v>
      </c>
      <c r="N1164" s="22"/>
      <c r="O1164" s="19" t="s">
        <v>3578</v>
      </c>
      <c r="P1164" s="18"/>
      <c r="Q1164" s="18"/>
      <c r="R1164" s="23">
        <v>0.0</v>
      </c>
      <c r="S1164" s="23">
        <v>0.0</v>
      </c>
      <c r="T1164" s="23">
        <f t="shared" si="2"/>
        <v>0</v>
      </c>
      <c r="U1164" s="23">
        <f t="shared" si="3"/>
        <v>0</v>
      </c>
      <c r="V1164" s="23">
        <f t="shared" si="4"/>
        <v>0</v>
      </c>
      <c r="W1164" s="24" t="str">
        <f t="shared" si="5"/>
        <v>#DIV/0!</v>
      </c>
    </row>
    <row r="1165">
      <c r="A1165" s="15" t="s">
        <v>4816</v>
      </c>
      <c r="B1165" s="18"/>
      <c r="C1165" s="15" t="s">
        <v>7221</v>
      </c>
      <c r="D1165" s="15" t="s">
        <v>4817</v>
      </c>
      <c r="E1165" s="17" t="s">
        <v>4818</v>
      </c>
      <c r="F1165" s="18"/>
      <c r="G1165" s="18"/>
      <c r="H1165" s="15" t="s">
        <v>4819</v>
      </c>
      <c r="I1165" s="15" t="s">
        <v>4820</v>
      </c>
      <c r="J1165" s="19" t="s">
        <v>36</v>
      </c>
      <c r="K1165" s="19" t="s">
        <v>1230</v>
      </c>
      <c r="L1165" s="19" t="s">
        <v>38</v>
      </c>
      <c r="M1165" s="20">
        <f t="shared" si="1"/>
        <v>0</v>
      </c>
      <c r="N1165" s="22"/>
      <c r="O1165" s="19" t="s">
        <v>3578</v>
      </c>
      <c r="P1165" s="18"/>
      <c r="Q1165" s="18"/>
      <c r="R1165" s="23">
        <v>0.0</v>
      </c>
      <c r="S1165" s="23">
        <v>0.0</v>
      </c>
      <c r="T1165" s="23">
        <f t="shared" si="2"/>
        <v>0</v>
      </c>
      <c r="U1165" s="23">
        <f t="shared" si="3"/>
        <v>0</v>
      </c>
      <c r="V1165" s="23">
        <f t="shared" si="4"/>
        <v>0</v>
      </c>
      <c r="W1165" s="24" t="str">
        <f t="shared" si="5"/>
        <v>#DIV/0!</v>
      </c>
    </row>
    <row r="1166">
      <c r="A1166" s="15" t="s">
        <v>5909</v>
      </c>
      <c r="B1166" s="18"/>
      <c r="C1166" s="15" t="s">
        <v>7275</v>
      </c>
      <c r="D1166" s="15" t="s">
        <v>5910</v>
      </c>
      <c r="E1166" s="17" t="s">
        <v>5911</v>
      </c>
      <c r="F1166" s="15" t="s">
        <v>5912</v>
      </c>
      <c r="G1166" s="15"/>
      <c r="H1166" s="15" t="s">
        <v>5913</v>
      </c>
      <c r="I1166" s="18"/>
      <c r="J1166" s="19" t="s">
        <v>104</v>
      </c>
      <c r="K1166" s="19" t="s">
        <v>717</v>
      </c>
      <c r="L1166" s="19" t="s">
        <v>106</v>
      </c>
      <c r="M1166" s="20">
        <f t="shared" si="1"/>
        <v>8862.24</v>
      </c>
      <c r="N1166" s="22"/>
      <c r="O1166" s="19" t="s">
        <v>3578</v>
      </c>
      <c r="P1166" s="18"/>
      <c r="Q1166" s="18"/>
      <c r="R1166" s="23">
        <v>115.0</v>
      </c>
      <c r="S1166" s="23">
        <v>499.0</v>
      </c>
      <c r="T1166" s="23">
        <f t="shared" si="2"/>
        <v>479.04</v>
      </c>
      <c r="U1166" s="23">
        <f t="shared" si="3"/>
        <v>140.875</v>
      </c>
      <c r="V1166" s="23">
        <f t="shared" si="4"/>
        <v>2641.40625</v>
      </c>
      <c r="W1166" s="24">
        <f t="shared" si="5"/>
        <v>4.165565217</v>
      </c>
    </row>
    <row r="1167" hidden="1">
      <c r="A1167" s="15" t="s">
        <v>7766</v>
      </c>
      <c r="B1167" s="18"/>
      <c r="C1167" s="15" t="s">
        <v>7767</v>
      </c>
      <c r="D1167" s="18"/>
      <c r="E1167" s="17" t="s">
        <v>7768</v>
      </c>
      <c r="F1167" s="18"/>
      <c r="G1167" s="18"/>
      <c r="H1167" s="15" t="s">
        <v>7769</v>
      </c>
      <c r="I1167" s="15" t="s">
        <v>638</v>
      </c>
      <c r="J1167" s="19" t="s">
        <v>59</v>
      </c>
      <c r="K1167" s="19" t="s">
        <v>2401</v>
      </c>
      <c r="L1167" s="19" t="s">
        <v>38</v>
      </c>
      <c r="M1167" s="20">
        <f t="shared" si="1"/>
        <v>0</v>
      </c>
      <c r="N1167" s="22"/>
      <c r="O1167" s="19" t="s">
        <v>39</v>
      </c>
      <c r="P1167" s="18"/>
      <c r="Q1167" s="18"/>
      <c r="R1167" s="23">
        <v>0.0</v>
      </c>
      <c r="S1167" s="23">
        <v>0.0</v>
      </c>
      <c r="T1167" s="23">
        <f t="shared" si="2"/>
        <v>0</v>
      </c>
      <c r="U1167" s="23">
        <f t="shared" si="3"/>
        <v>0</v>
      </c>
      <c r="V1167" s="23">
        <f t="shared" si="4"/>
        <v>0</v>
      </c>
      <c r="W1167" s="24" t="str">
        <f t="shared" si="5"/>
        <v>#DIV/0!</v>
      </c>
    </row>
    <row r="1168" hidden="1">
      <c r="A1168" s="15" t="s">
        <v>3037</v>
      </c>
      <c r="B1168" s="18"/>
      <c r="C1168" s="15" t="s">
        <v>7770</v>
      </c>
      <c r="D1168" s="18"/>
      <c r="E1168" s="17" t="s">
        <v>3038</v>
      </c>
      <c r="F1168" s="18"/>
      <c r="G1168" s="18"/>
      <c r="H1168" s="15" t="s">
        <v>3039</v>
      </c>
      <c r="I1168" s="15" t="s">
        <v>3040</v>
      </c>
      <c r="J1168" s="19" t="s">
        <v>59</v>
      </c>
      <c r="K1168" s="19" t="s">
        <v>691</v>
      </c>
      <c r="L1168" s="19" t="s">
        <v>38</v>
      </c>
      <c r="M1168" s="20">
        <f t="shared" si="1"/>
        <v>0</v>
      </c>
      <c r="N1168" s="22"/>
      <c r="O1168" s="19" t="s">
        <v>1145</v>
      </c>
      <c r="P1168" s="18"/>
      <c r="Q1168" s="18"/>
      <c r="R1168" s="23">
        <v>0.0</v>
      </c>
      <c r="S1168" s="23">
        <v>0.0</v>
      </c>
      <c r="T1168" s="23">
        <f t="shared" si="2"/>
        <v>0</v>
      </c>
      <c r="U1168" s="23">
        <f t="shared" si="3"/>
        <v>0</v>
      </c>
      <c r="V1168" s="23">
        <f t="shared" si="4"/>
        <v>0</v>
      </c>
      <c r="W1168" s="24" t="str">
        <f t="shared" si="5"/>
        <v>#DIV/0!</v>
      </c>
    </row>
    <row r="1169" hidden="1">
      <c r="A1169" s="15" t="s">
        <v>3041</v>
      </c>
      <c r="B1169" s="18"/>
      <c r="C1169" s="15" t="s">
        <v>7771</v>
      </c>
      <c r="D1169" s="18"/>
      <c r="E1169" s="17" t="s">
        <v>3042</v>
      </c>
      <c r="F1169" s="18"/>
      <c r="G1169" s="18"/>
      <c r="H1169" s="15" t="s">
        <v>3043</v>
      </c>
      <c r="I1169" s="15" t="s">
        <v>3044</v>
      </c>
      <c r="J1169" s="19" t="s">
        <v>59</v>
      </c>
      <c r="K1169" s="19" t="s">
        <v>2401</v>
      </c>
      <c r="L1169" s="19" t="s">
        <v>38</v>
      </c>
      <c r="M1169" s="20">
        <f t="shared" si="1"/>
        <v>0</v>
      </c>
      <c r="N1169" s="22"/>
      <c r="O1169" s="19" t="s">
        <v>1145</v>
      </c>
      <c r="P1169" s="18"/>
      <c r="Q1169" s="18"/>
      <c r="R1169" s="23">
        <v>0.0</v>
      </c>
      <c r="S1169" s="23">
        <v>0.0</v>
      </c>
      <c r="T1169" s="23">
        <f t="shared" si="2"/>
        <v>0</v>
      </c>
      <c r="U1169" s="23">
        <f t="shared" si="3"/>
        <v>0</v>
      </c>
      <c r="V1169" s="23">
        <f t="shared" si="4"/>
        <v>0</v>
      </c>
      <c r="W1169" s="24" t="str">
        <f t="shared" si="5"/>
        <v>#DIV/0!</v>
      </c>
    </row>
    <row r="1170" hidden="1">
      <c r="A1170" s="15" t="s">
        <v>3045</v>
      </c>
      <c r="B1170" s="18"/>
      <c r="C1170" s="15" t="s">
        <v>7772</v>
      </c>
      <c r="D1170" s="18"/>
      <c r="E1170" s="17" t="s">
        <v>3046</v>
      </c>
      <c r="F1170" s="18"/>
      <c r="G1170" s="18"/>
      <c r="H1170" s="15" t="s">
        <v>3047</v>
      </c>
      <c r="I1170" s="15" t="s">
        <v>3048</v>
      </c>
      <c r="J1170" s="19" t="s">
        <v>59</v>
      </c>
      <c r="K1170" s="19" t="s">
        <v>2401</v>
      </c>
      <c r="L1170" s="19" t="s">
        <v>38</v>
      </c>
      <c r="M1170" s="20">
        <f t="shared" si="1"/>
        <v>0</v>
      </c>
      <c r="N1170" s="22"/>
      <c r="O1170" s="19" t="s">
        <v>1145</v>
      </c>
      <c r="P1170" s="18"/>
      <c r="Q1170" s="18"/>
      <c r="R1170" s="23">
        <v>0.0</v>
      </c>
      <c r="S1170" s="23">
        <v>0.0</v>
      </c>
      <c r="T1170" s="23">
        <f t="shared" si="2"/>
        <v>0</v>
      </c>
      <c r="U1170" s="23">
        <f t="shared" si="3"/>
        <v>0</v>
      </c>
      <c r="V1170" s="23">
        <f t="shared" si="4"/>
        <v>0</v>
      </c>
      <c r="W1170" s="24" t="str">
        <f t="shared" si="5"/>
        <v>#DIV/0!</v>
      </c>
    </row>
    <row r="1171" hidden="1">
      <c r="A1171" s="15" t="s">
        <v>7773</v>
      </c>
      <c r="B1171" s="18"/>
      <c r="C1171" s="15" t="s">
        <v>7774</v>
      </c>
      <c r="D1171" s="18"/>
      <c r="E1171" s="17" t="s">
        <v>7775</v>
      </c>
      <c r="F1171" s="18"/>
      <c r="G1171" s="18"/>
      <c r="H1171" s="15" t="s">
        <v>7776</v>
      </c>
      <c r="I1171" s="15" t="s">
        <v>3818</v>
      </c>
      <c r="J1171" s="19" t="s">
        <v>59</v>
      </c>
      <c r="K1171" s="19" t="s">
        <v>2401</v>
      </c>
      <c r="L1171" s="19" t="s">
        <v>38</v>
      </c>
      <c r="M1171" s="20">
        <f t="shared" si="1"/>
        <v>0</v>
      </c>
      <c r="N1171" s="22"/>
      <c r="O1171" s="19" t="s">
        <v>39</v>
      </c>
      <c r="P1171" s="18"/>
      <c r="Q1171" s="18"/>
      <c r="R1171" s="23">
        <v>0.0</v>
      </c>
      <c r="S1171" s="23">
        <v>0.0</v>
      </c>
      <c r="T1171" s="23">
        <f t="shared" si="2"/>
        <v>0</v>
      </c>
      <c r="U1171" s="23">
        <f t="shared" si="3"/>
        <v>0</v>
      </c>
      <c r="V1171" s="23">
        <f t="shared" si="4"/>
        <v>0</v>
      </c>
      <c r="W1171" s="24" t="str">
        <f t="shared" si="5"/>
        <v>#DIV/0!</v>
      </c>
    </row>
    <row r="1172" hidden="1">
      <c r="A1172" s="15" t="s">
        <v>3049</v>
      </c>
      <c r="B1172" s="18"/>
      <c r="C1172" s="15" t="s">
        <v>7777</v>
      </c>
      <c r="D1172" s="18"/>
      <c r="E1172" s="17" t="s">
        <v>3050</v>
      </c>
      <c r="F1172" s="18"/>
      <c r="G1172" s="18"/>
      <c r="H1172" s="15" t="s">
        <v>3051</v>
      </c>
      <c r="I1172" s="15" t="s">
        <v>3052</v>
      </c>
      <c r="J1172" s="19" t="s">
        <v>59</v>
      </c>
      <c r="K1172" s="19" t="s">
        <v>2401</v>
      </c>
      <c r="L1172" s="19" t="s">
        <v>38</v>
      </c>
      <c r="M1172" s="20">
        <f t="shared" si="1"/>
        <v>0</v>
      </c>
      <c r="N1172" s="22"/>
      <c r="O1172" s="19" t="s">
        <v>1145</v>
      </c>
      <c r="P1172" s="18"/>
      <c r="Q1172" s="18"/>
      <c r="R1172" s="23">
        <v>0.0</v>
      </c>
      <c r="S1172" s="23">
        <v>0.0</v>
      </c>
      <c r="T1172" s="23">
        <f t="shared" si="2"/>
        <v>0</v>
      </c>
      <c r="U1172" s="23">
        <f t="shared" si="3"/>
        <v>0</v>
      </c>
      <c r="V1172" s="23">
        <f t="shared" si="4"/>
        <v>0</v>
      </c>
      <c r="W1172" s="24" t="str">
        <f t="shared" si="5"/>
        <v>#DIV/0!</v>
      </c>
    </row>
    <row r="1173" hidden="1">
      <c r="A1173" s="15" t="s">
        <v>7778</v>
      </c>
      <c r="B1173" s="18"/>
      <c r="C1173" s="15" t="s">
        <v>7779</v>
      </c>
      <c r="D1173" s="18"/>
      <c r="E1173" s="17" t="s">
        <v>7780</v>
      </c>
      <c r="F1173" s="18"/>
      <c r="G1173" s="18"/>
      <c r="H1173" s="15" t="s">
        <v>7781</v>
      </c>
      <c r="I1173" s="15" t="s">
        <v>672</v>
      </c>
      <c r="J1173" s="19" t="s">
        <v>59</v>
      </c>
      <c r="K1173" s="19" t="s">
        <v>2401</v>
      </c>
      <c r="L1173" s="19" t="s">
        <v>38</v>
      </c>
      <c r="M1173" s="20">
        <f t="shared" si="1"/>
        <v>0</v>
      </c>
      <c r="N1173" s="22"/>
      <c r="O1173" s="19" t="s">
        <v>39</v>
      </c>
      <c r="P1173" s="18"/>
      <c r="Q1173" s="18"/>
      <c r="R1173" s="23">
        <v>0.0</v>
      </c>
      <c r="S1173" s="23">
        <v>0.0</v>
      </c>
      <c r="T1173" s="23">
        <f t="shared" si="2"/>
        <v>0</v>
      </c>
      <c r="U1173" s="23">
        <f t="shared" si="3"/>
        <v>0</v>
      </c>
      <c r="V1173" s="23">
        <f t="shared" si="4"/>
        <v>0</v>
      </c>
      <c r="W1173" s="24" t="str">
        <f t="shared" si="5"/>
        <v>#DIV/0!</v>
      </c>
    </row>
    <row r="1174" hidden="1">
      <c r="A1174" s="15" t="s">
        <v>7782</v>
      </c>
      <c r="B1174" s="18"/>
      <c r="C1174" s="15" t="s">
        <v>7783</v>
      </c>
      <c r="D1174" s="18"/>
      <c r="E1174" s="17" t="s">
        <v>7780</v>
      </c>
      <c r="F1174" s="18"/>
      <c r="G1174" s="18"/>
      <c r="H1174" s="15" t="s">
        <v>7784</v>
      </c>
      <c r="I1174" s="15" t="s">
        <v>876</v>
      </c>
      <c r="J1174" s="19" t="s">
        <v>59</v>
      </c>
      <c r="K1174" s="19" t="s">
        <v>2401</v>
      </c>
      <c r="L1174" s="19" t="s">
        <v>38</v>
      </c>
      <c r="M1174" s="20">
        <f t="shared" si="1"/>
        <v>0</v>
      </c>
      <c r="N1174" s="22"/>
      <c r="O1174" s="19" t="s">
        <v>39</v>
      </c>
      <c r="P1174" s="18"/>
      <c r="Q1174" s="18"/>
      <c r="R1174" s="23">
        <v>0.0</v>
      </c>
      <c r="S1174" s="23">
        <v>0.0</v>
      </c>
      <c r="T1174" s="23">
        <f t="shared" si="2"/>
        <v>0</v>
      </c>
      <c r="U1174" s="23">
        <f t="shared" si="3"/>
        <v>0</v>
      </c>
      <c r="V1174" s="23">
        <f t="shared" si="4"/>
        <v>0</v>
      </c>
      <c r="W1174" s="24" t="str">
        <f t="shared" si="5"/>
        <v>#DIV/0!</v>
      </c>
    </row>
    <row r="1175" hidden="1">
      <c r="A1175" s="15" t="s">
        <v>7785</v>
      </c>
      <c r="B1175" s="18"/>
      <c r="C1175" s="15" t="s">
        <v>7786</v>
      </c>
      <c r="D1175" s="18"/>
      <c r="E1175" s="17" t="s">
        <v>7787</v>
      </c>
      <c r="F1175" s="18"/>
      <c r="G1175" s="18"/>
      <c r="H1175" s="15" t="s">
        <v>7788</v>
      </c>
      <c r="I1175" s="15" t="s">
        <v>3864</v>
      </c>
      <c r="J1175" s="19" t="s">
        <v>59</v>
      </c>
      <c r="K1175" s="19" t="s">
        <v>2396</v>
      </c>
      <c r="L1175" s="19" t="s">
        <v>38</v>
      </c>
      <c r="M1175" s="20">
        <f t="shared" si="1"/>
        <v>0</v>
      </c>
      <c r="N1175" s="22"/>
      <c r="O1175" s="19" t="s">
        <v>39</v>
      </c>
      <c r="P1175" s="18"/>
      <c r="Q1175" s="18"/>
      <c r="R1175" s="23">
        <v>0.0</v>
      </c>
      <c r="S1175" s="23">
        <v>0.0</v>
      </c>
      <c r="T1175" s="23">
        <f t="shared" si="2"/>
        <v>0</v>
      </c>
      <c r="U1175" s="23">
        <f t="shared" si="3"/>
        <v>0</v>
      </c>
      <c r="V1175" s="23">
        <f t="shared" si="4"/>
        <v>0</v>
      </c>
      <c r="W1175" s="24" t="str">
        <f t="shared" si="5"/>
        <v>#DIV/0!</v>
      </c>
    </row>
    <row r="1176" hidden="1">
      <c r="A1176" s="15" t="s">
        <v>3053</v>
      </c>
      <c r="B1176" s="18"/>
      <c r="C1176" s="15" t="s">
        <v>7789</v>
      </c>
      <c r="D1176" s="18"/>
      <c r="E1176" s="17" t="s">
        <v>3054</v>
      </c>
      <c r="F1176" s="18"/>
      <c r="G1176" s="18"/>
      <c r="H1176" s="15" t="s">
        <v>3055</v>
      </c>
      <c r="I1176" s="15" t="s">
        <v>3056</v>
      </c>
      <c r="J1176" s="19" t="s">
        <v>59</v>
      </c>
      <c r="K1176" s="19" t="s">
        <v>2401</v>
      </c>
      <c r="L1176" s="19" t="s">
        <v>38</v>
      </c>
      <c r="M1176" s="20">
        <f t="shared" si="1"/>
        <v>0</v>
      </c>
      <c r="N1176" s="22"/>
      <c r="O1176" s="19" t="s">
        <v>1145</v>
      </c>
      <c r="P1176" s="18"/>
      <c r="Q1176" s="18"/>
      <c r="R1176" s="23">
        <v>0.0</v>
      </c>
      <c r="S1176" s="23">
        <v>0.0</v>
      </c>
      <c r="T1176" s="23">
        <f t="shared" si="2"/>
        <v>0</v>
      </c>
      <c r="U1176" s="23">
        <f t="shared" si="3"/>
        <v>0</v>
      </c>
      <c r="V1176" s="23">
        <f t="shared" si="4"/>
        <v>0</v>
      </c>
      <c r="W1176" s="24" t="str">
        <f t="shared" si="5"/>
        <v>#DIV/0!</v>
      </c>
    </row>
    <row r="1177" hidden="1">
      <c r="A1177" s="15" t="s">
        <v>7790</v>
      </c>
      <c r="B1177" s="18"/>
      <c r="C1177" s="15" t="s">
        <v>7791</v>
      </c>
      <c r="D1177" s="18"/>
      <c r="E1177" s="17" t="s">
        <v>3054</v>
      </c>
      <c r="F1177" s="18"/>
      <c r="G1177" s="18"/>
      <c r="H1177" s="15" t="s">
        <v>7792</v>
      </c>
      <c r="I1177" s="15" t="s">
        <v>3879</v>
      </c>
      <c r="J1177" s="19" t="s">
        <v>59</v>
      </c>
      <c r="K1177" s="19" t="s">
        <v>2401</v>
      </c>
      <c r="L1177" s="19" t="s">
        <v>38</v>
      </c>
      <c r="M1177" s="20">
        <f t="shared" si="1"/>
        <v>0</v>
      </c>
      <c r="N1177" s="22"/>
      <c r="O1177" s="19" t="s">
        <v>39</v>
      </c>
      <c r="P1177" s="18"/>
      <c r="Q1177" s="18"/>
      <c r="R1177" s="23">
        <v>0.0</v>
      </c>
      <c r="S1177" s="23">
        <v>0.0</v>
      </c>
      <c r="T1177" s="23">
        <f t="shared" si="2"/>
        <v>0</v>
      </c>
      <c r="U1177" s="23">
        <f t="shared" si="3"/>
        <v>0</v>
      </c>
      <c r="V1177" s="23">
        <f t="shared" si="4"/>
        <v>0</v>
      </c>
      <c r="W1177" s="24" t="str">
        <f t="shared" si="5"/>
        <v>#DIV/0!</v>
      </c>
    </row>
    <row r="1178" hidden="1">
      <c r="A1178" s="15" t="s">
        <v>3057</v>
      </c>
      <c r="B1178" s="18"/>
      <c r="C1178" s="15" t="s">
        <v>7793</v>
      </c>
      <c r="D1178" s="18"/>
      <c r="E1178" s="17" t="s">
        <v>3058</v>
      </c>
      <c r="F1178" s="18"/>
      <c r="G1178" s="18"/>
      <c r="H1178" s="15" t="s">
        <v>3059</v>
      </c>
      <c r="I1178" s="15" t="s">
        <v>3060</v>
      </c>
      <c r="J1178" s="19" t="s">
        <v>59</v>
      </c>
      <c r="K1178" s="19" t="s">
        <v>2401</v>
      </c>
      <c r="L1178" s="19" t="s">
        <v>38</v>
      </c>
      <c r="M1178" s="20">
        <f t="shared" si="1"/>
        <v>0</v>
      </c>
      <c r="N1178" s="22"/>
      <c r="O1178" s="19" t="s">
        <v>1145</v>
      </c>
      <c r="P1178" s="18"/>
      <c r="Q1178" s="18"/>
      <c r="R1178" s="23">
        <v>0.0</v>
      </c>
      <c r="S1178" s="23">
        <v>0.0</v>
      </c>
      <c r="T1178" s="23">
        <f t="shared" si="2"/>
        <v>0</v>
      </c>
      <c r="U1178" s="23">
        <f t="shared" si="3"/>
        <v>0</v>
      </c>
      <c r="V1178" s="23">
        <f t="shared" si="4"/>
        <v>0</v>
      </c>
      <c r="W1178" s="24" t="str">
        <f t="shared" si="5"/>
        <v>#DIV/0!</v>
      </c>
    </row>
    <row r="1179" hidden="1">
      <c r="A1179" s="15" t="s">
        <v>3061</v>
      </c>
      <c r="B1179" s="18"/>
      <c r="C1179" s="15" t="s">
        <v>7794</v>
      </c>
      <c r="D1179" s="18"/>
      <c r="E1179" s="17" t="s">
        <v>3062</v>
      </c>
      <c r="F1179" s="18"/>
      <c r="G1179" s="18"/>
      <c r="H1179" s="15" t="s">
        <v>3063</v>
      </c>
      <c r="I1179" s="15" t="s">
        <v>3064</v>
      </c>
      <c r="J1179" s="19" t="s">
        <v>59</v>
      </c>
      <c r="K1179" s="19" t="s">
        <v>2401</v>
      </c>
      <c r="L1179" s="19" t="s">
        <v>38</v>
      </c>
      <c r="M1179" s="20">
        <f t="shared" si="1"/>
        <v>0</v>
      </c>
      <c r="N1179" s="22"/>
      <c r="O1179" s="19" t="s">
        <v>1145</v>
      </c>
      <c r="P1179" s="18"/>
      <c r="Q1179" s="18"/>
      <c r="R1179" s="23">
        <v>0.0</v>
      </c>
      <c r="S1179" s="23">
        <v>0.0</v>
      </c>
      <c r="T1179" s="23">
        <f t="shared" si="2"/>
        <v>0</v>
      </c>
      <c r="U1179" s="23">
        <f t="shared" si="3"/>
        <v>0</v>
      </c>
      <c r="V1179" s="23">
        <f t="shared" si="4"/>
        <v>0</v>
      </c>
      <c r="W1179" s="24" t="str">
        <f t="shared" si="5"/>
        <v>#DIV/0!</v>
      </c>
    </row>
    <row r="1180" hidden="1">
      <c r="A1180" s="15" t="s">
        <v>7795</v>
      </c>
      <c r="B1180" s="18"/>
      <c r="C1180" s="15" t="s">
        <v>7796</v>
      </c>
      <c r="D1180" s="18"/>
      <c r="E1180" s="17" t="s">
        <v>7797</v>
      </c>
      <c r="F1180" s="18"/>
      <c r="G1180" s="18"/>
      <c r="H1180" s="15" t="s">
        <v>7798</v>
      </c>
      <c r="I1180" s="15" t="s">
        <v>3823</v>
      </c>
      <c r="J1180" s="19" t="s">
        <v>59</v>
      </c>
      <c r="K1180" s="19" t="s">
        <v>691</v>
      </c>
      <c r="L1180" s="19" t="s">
        <v>38</v>
      </c>
      <c r="M1180" s="20">
        <f t="shared" si="1"/>
        <v>0</v>
      </c>
      <c r="N1180" s="22"/>
      <c r="O1180" s="19" t="s">
        <v>39</v>
      </c>
      <c r="P1180" s="18"/>
      <c r="Q1180" s="18"/>
      <c r="R1180" s="23">
        <v>0.0</v>
      </c>
      <c r="S1180" s="23">
        <v>0.0</v>
      </c>
      <c r="T1180" s="23">
        <f t="shared" si="2"/>
        <v>0</v>
      </c>
      <c r="U1180" s="23">
        <f t="shared" si="3"/>
        <v>0</v>
      </c>
      <c r="V1180" s="23">
        <f t="shared" si="4"/>
        <v>0</v>
      </c>
      <c r="W1180" s="24" t="str">
        <f t="shared" si="5"/>
        <v>#DIV/0!</v>
      </c>
    </row>
    <row r="1181" hidden="1">
      <c r="A1181" s="15" t="s">
        <v>5184</v>
      </c>
      <c r="B1181" s="18"/>
      <c r="C1181" s="15" t="s">
        <v>7799</v>
      </c>
      <c r="D1181" s="18"/>
      <c r="E1181" s="17" t="s">
        <v>7800</v>
      </c>
      <c r="F1181" s="18"/>
      <c r="G1181" s="18"/>
      <c r="H1181" s="15" t="s">
        <v>7801</v>
      </c>
      <c r="I1181" s="15" t="s">
        <v>5187</v>
      </c>
      <c r="J1181" s="19" t="s">
        <v>59</v>
      </c>
      <c r="K1181" s="19" t="s">
        <v>691</v>
      </c>
      <c r="L1181" s="19" t="s">
        <v>38</v>
      </c>
      <c r="M1181" s="20">
        <f t="shared" si="1"/>
        <v>0</v>
      </c>
      <c r="N1181" s="22"/>
      <c r="O1181" s="19" t="s">
        <v>1145</v>
      </c>
      <c r="P1181" s="18"/>
      <c r="Q1181" s="18"/>
      <c r="R1181" s="23">
        <v>0.0</v>
      </c>
      <c r="S1181" s="23">
        <v>0.0</v>
      </c>
      <c r="T1181" s="23">
        <f t="shared" si="2"/>
        <v>0</v>
      </c>
      <c r="U1181" s="23">
        <f t="shared" si="3"/>
        <v>0</v>
      </c>
      <c r="V1181" s="23">
        <f t="shared" si="4"/>
        <v>0</v>
      </c>
      <c r="W1181" s="24" t="str">
        <f t="shared" si="5"/>
        <v>#DIV/0!</v>
      </c>
    </row>
    <row r="1182" hidden="1">
      <c r="A1182" s="15" t="s">
        <v>7802</v>
      </c>
      <c r="B1182" s="18"/>
      <c r="C1182" s="15" t="s">
        <v>7803</v>
      </c>
      <c r="D1182" s="18"/>
      <c r="E1182" s="17" t="s">
        <v>7804</v>
      </c>
      <c r="F1182" s="18"/>
      <c r="G1182" s="18"/>
      <c r="H1182" s="15" t="s">
        <v>7805</v>
      </c>
      <c r="I1182" s="15" t="s">
        <v>4075</v>
      </c>
      <c r="J1182" s="19" t="s">
        <v>59</v>
      </c>
      <c r="K1182" s="19" t="s">
        <v>2401</v>
      </c>
      <c r="L1182" s="19" t="s">
        <v>38</v>
      </c>
      <c r="M1182" s="20">
        <f t="shared" si="1"/>
        <v>0</v>
      </c>
      <c r="N1182" s="22"/>
      <c r="O1182" s="19" t="s">
        <v>39</v>
      </c>
      <c r="P1182" s="18"/>
      <c r="Q1182" s="18"/>
      <c r="R1182" s="23">
        <v>0.0</v>
      </c>
      <c r="S1182" s="23">
        <v>0.0</v>
      </c>
      <c r="T1182" s="23">
        <f t="shared" si="2"/>
        <v>0</v>
      </c>
      <c r="U1182" s="23">
        <f t="shared" si="3"/>
        <v>0</v>
      </c>
      <c r="V1182" s="23">
        <f t="shared" si="4"/>
        <v>0</v>
      </c>
      <c r="W1182" s="24" t="str">
        <f t="shared" si="5"/>
        <v>#DIV/0!</v>
      </c>
    </row>
    <row r="1183">
      <c r="A1183" s="15" t="s">
        <v>4830</v>
      </c>
      <c r="B1183" s="15" t="s">
        <v>4831</v>
      </c>
      <c r="C1183" s="15" t="s">
        <v>7276</v>
      </c>
      <c r="D1183" s="15" t="s">
        <v>4832</v>
      </c>
      <c r="E1183" s="17" t="s">
        <v>4833</v>
      </c>
      <c r="F1183" s="18"/>
      <c r="G1183" s="18"/>
      <c r="H1183" s="15" t="s">
        <v>4834</v>
      </c>
      <c r="I1183" s="18"/>
      <c r="J1183" s="19" t="s">
        <v>283</v>
      </c>
      <c r="K1183" s="33"/>
      <c r="L1183" s="19" t="s">
        <v>38</v>
      </c>
      <c r="M1183" s="20">
        <f t="shared" si="1"/>
        <v>0</v>
      </c>
      <c r="N1183" s="22"/>
      <c r="O1183" s="19" t="s">
        <v>3578</v>
      </c>
      <c r="P1183" s="18"/>
      <c r="Q1183" s="18"/>
      <c r="R1183" s="23">
        <v>0.0</v>
      </c>
      <c r="S1183" s="23">
        <v>0.0</v>
      </c>
      <c r="T1183" s="23">
        <f t="shared" si="2"/>
        <v>0</v>
      </c>
      <c r="U1183" s="23">
        <f t="shared" si="3"/>
        <v>0</v>
      </c>
      <c r="V1183" s="23">
        <f t="shared" si="4"/>
        <v>0</v>
      </c>
      <c r="W1183" s="24" t="str">
        <f t="shared" si="5"/>
        <v>#DIV/0!</v>
      </c>
    </row>
    <row r="1184">
      <c r="A1184" s="15" t="s">
        <v>4835</v>
      </c>
      <c r="B1184" s="15" t="s">
        <v>4836</v>
      </c>
      <c r="C1184" s="15" t="s">
        <v>7278</v>
      </c>
      <c r="D1184" s="15" t="s">
        <v>4837</v>
      </c>
      <c r="E1184" s="17" t="s">
        <v>4838</v>
      </c>
      <c r="F1184" s="18"/>
      <c r="G1184" s="18"/>
      <c r="H1184" s="15" t="s">
        <v>4839</v>
      </c>
      <c r="I1184" s="15" t="s">
        <v>4840</v>
      </c>
      <c r="J1184" s="19" t="s">
        <v>283</v>
      </c>
      <c r="K1184" s="33"/>
      <c r="L1184" s="19" t="s">
        <v>38</v>
      </c>
      <c r="M1184" s="20">
        <f t="shared" si="1"/>
        <v>0</v>
      </c>
      <c r="N1184" s="22"/>
      <c r="O1184" s="19" t="s">
        <v>3578</v>
      </c>
      <c r="P1184" s="18"/>
      <c r="Q1184" s="18"/>
      <c r="R1184" s="23">
        <v>0.0</v>
      </c>
      <c r="S1184" s="23">
        <v>0.0</v>
      </c>
      <c r="T1184" s="23">
        <f t="shared" si="2"/>
        <v>0</v>
      </c>
      <c r="U1184" s="23">
        <f t="shared" si="3"/>
        <v>0</v>
      </c>
      <c r="V1184" s="23">
        <f t="shared" si="4"/>
        <v>0</v>
      </c>
      <c r="W1184" s="24" t="str">
        <f t="shared" si="5"/>
        <v>#DIV/0!</v>
      </c>
    </row>
    <row r="1185" hidden="1">
      <c r="A1185" s="15" t="s">
        <v>3065</v>
      </c>
      <c r="B1185" s="18"/>
      <c r="C1185" s="15" t="s">
        <v>7808</v>
      </c>
      <c r="D1185" s="18"/>
      <c r="E1185" s="17" t="s">
        <v>3066</v>
      </c>
      <c r="F1185" s="18"/>
      <c r="G1185" s="18"/>
      <c r="H1185" s="15" t="s">
        <v>3067</v>
      </c>
      <c r="I1185" s="15" t="s">
        <v>3068</v>
      </c>
      <c r="J1185" s="19" t="s">
        <v>59</v>
      </c>
      <c r="K1185" s="19" t="s">
        <v>691</v>
      </c>
      <c r="L1185" s="19" t="s">
        <v>38</v>
      </c>
      <c r="M1185" s="20">
        <f t="shared" si="1"/>
        <v>0</v>
      </c>
      <c r="N1185" s="22"/>
      <c r="O1185" s="19" t="s">
        <v>1145</v>
      </c>
      <c r="P1185" s="18"/>
      <c r="Q1185" s="18"/>
      <c r="R1185" s="23">
        <v>0.0</v>
      </c>
      <c r="S1185" s="23">
        <v>0.0</v>
      </c>
      <c r="T1185" s="23">
        <f t="shared" si="2"/>
        <v>0</v>
      </c>
      <c r="U1185" s="23">
        <f t="shared" si="3"/>
        <v>0</v>
      </c>
      <c r="V1185" s="23">
        <f t="shared" si="4"/>
        <v>0</v>
      </c>
      <c r="W1185" s="24" t="str">
        <f t="shared" si="5"/>
        <v>#DIV/0!</v>
      </c>
    </row>
    <row r="1186">
      <c r="A1186" s="15" t="s">
        <v>4841</v>
      </c>
      <c r="B1186" s="15" t="s">
        <v>4842</v>
      </c>
      <c r="C1186" s="15" t="s">
        <v>7279</v>
      </c>
      <c r="D1186" s="18"/>
      <c r="E1186" s="17" t="s">
        <v>4843</v>
      </c>
      <c r="F1186" s="18"/>
      <c r="G1186" s="18"/>
      <c r="H1186" s="15" t="s">
        <v>4844</v>
      </c>
      <c r="I1186" s="18"/>
      <c r="J1186" s="19" t="s">
        <v>283</v>
      </c>
      <c r="K1186" s="33"/>
      <c r="L1186" s="19" t="s">
        <v>38</v>
      </c>
      <c r="M1186" s="20">
        <f t="shared" si="1"/>
        <v>0</v>
      </c>
      <c r="N1186" s="22"/>
      <c r="O1186" s="19" t="s">
        <v>3578</v>
      </c>
      <c r="P1186" s="18"/>
      <c r="Q1186" s="18"/>
      <c r="R1186" s="23">
        <v>0.0</v>
      </c>
      <c r="S1186" s="23">
        <v>0.0</v>
      </c>
      <c r="T1186" s="23">
        <f t="shared" si="2"/>
        <v>0</v>
      </c>
      <c r="U1186" s="23">
        <f t="shared" si="3"/>
        <v>0</v>
      </c>
      <c r="V1186" s="23">
        <f t="shared" si="4"/>
        <v>0</v>
      </c>
      <c r="W1186" s="24" t="str">
        <f t="shared" si="5"/>
        <v>#DIV/0!</v>
      </c>
    </row>
    <row r="1187">
      <c r="A1187" s="15" t="s">
        <v>4846</v>
      </c>
      <c r="B1187" s="15" t="s">
        <v>4847</v>
      </c>
      <c r="C1187" s="15" t="s">
        <v>7280</v>
      </c>
      <c r="D1187" s="15" t="s">
        <v>4848</v>
      </c>
      <c r="E1187" s="17" t="s">
        <v>4849</v>
      </c>
      <c r="F1187" s="18"/>
      <c r="G1187" s="18"/>
      <c r="H1187" s="15" t="s">
        <v>4850</v>
      </c>
      <c r="I1187" s="15" t="s">
        <v>4851</v>
      </c>
      <c r="J1187" s="19" t="s">
        <v>283</v>
      </c>
      <c r="K1187" s="33"/>
      <c r="L1187" s="19" t="s">
        <v>38</v>
      </c>
      <c r="M1187" s="20">
        <f t="shared" si="1"/>
        <v>0</v>
      </c>
      <c r="N1187" s="22"/>
      <c r="O1187" s="19" t="s">
        <v>3578</v>
      </c>
      <c r="P1187" s="18"/>
      <c r="Q1187" s="18"/>
      <c r="R1187" s="23">
        <v>0.0</v>
      </c>
      <c r="S1187" s="23">
        <v>0.0</v>
      </c>
      <c r="T1187" s="23">
        <f t="shared" si="2"/>
        <v>0</v>
      </c>
      <c r="U1187" s="23">
        <f t="shared" si="3"/>
        <v>0</v>
      </c>
      <c r="V1187" s="23">
        <f t="shared" si="4"/>
        <v>0</v>
      </c>
      <c r="W1187" s="24" t="str">
        <f t="shared" si="5"/>
        <v>#DIV/0!</v>
      </c>
    </row>
    <row r="1188" hidden="1">
      <c r="A1188" s="15" t="s">
        <v>7809</v>
      </c>
      <c r="B1188" s="18"/>
      <c r="C1188" s="18"/>
      <c r="D1188" s="18"/>
      <c r="E1188" s="17" t="s">
        <v>7810</v>
      </c>
      <c r="F1188" s="18"/>
      <c r="G1188" s="18"/>
      <c r="H1188" s="18"/>
      <c r="I1188" s="18"/>
      <c r="J1188" s="19" t="s">
        <v>59</v>
      </c>
      <c r="K1188" s="33"/>
      <c r="L1188" s="19" t="s">
        <v>38</v>
      </c>
      <c r="M1188" s="20">
        <f t="shared" si="1"/>
        <v>0</v>
      </c>
      <c r="N1188" s="22"/>
      <c r="O1188" s="19" t="s">
        <v>39</v>
      </c>
      <c r="P1188" s="18"/>
      <c r="Q1188" s="18"/>
      <c r="R1188" s="23">
        <v>0.0</v>
      </c>
      <c r="S1188" s="23">
        <v>0.0</v>
      </c>
      <c r="T1188" s="23">
        <f t="shared" si="2"/>
        <v>0</v>
      </c>
      <c r="U1188" s="23">
        <f t="shared" si="3"/>
        <v>0</v>
      </c>
      <c r="V1188" s="23">
        <f t="shared" si="4"/>
        <v>0</v>
      </c>
      <c r="W1188" s="24" t="str">
        <f t="shared" si="5"/>
        <v>#DIV/0!</v>
      </c>
    </row>
    <row r="1189">
      <c r="A1189" s="15" t="s">
        <v>4852</v>
      </c>
      <c r="B1189" s="15" t="s">
        <v>4853</v>
      </c>
      <c r="C1189" s="15" t="s">
        <v>7281</v>
      </c>
      <c r="D1189" s="15" t="s">
        <v>4854</v>
      </c>
      <c r="E1189" s="17" t="s">
        <v>4855</v>
      </c>
      <c r="F1189" s="18"/>
      <c r="G1189" s="18"/>
      <c r="H1189" s="15" t="s">
        <v>4856</v>
      </c>
      <c r="I1189" s="15" t="s">
        <v>4857</v>
      </c>
      <c r="J1189" s="19" t="s">
        <v>283</v>
      </c>
      <c r="K1189" s="33"/>
      <c r="L1189" s="19" t="s">
        <v>38</v>
      </c>
      <c r="M1189" s="20">
        <f t="shared" si="1"/>
        <v>0</v>
      </c>
      <c r="N1189" s="22"/>
      <c r="O1189" s="19" t="s">
        <v>3578</v>
      </c>
      <c r="P1189" s="18"/>
      <c r="Q1189" s="18"/>
      <c r="R1189" s="23">
        <v>0.0</v>
      </c>
      <c r="S1189" s="23">
        <v>0.0</v>
      </c>
      <c r="T1189" s="23">
        <f t="shared" si="2"/>
        <v>0</v>
      </c>
      <c r="U1189" s="23">
        <f t="shared" si="3"/>
        <v>0</v>
      </c>
      <c r="V1189" s="23">
        <f t="shared" si="4"/>
        <v>0</v>
      </c>
      <c r="W1189" s="24" t="str">
        <f t="shared" si="5"/>
        <v>#DIV/0!</v>
      </c>
    </row>
    <row r="1190" hidden="1">
      <c r="A1190" s="15" t="s">
        <v>3069</v>
      </c>
      <c r="B1190" s="18"/>
      <c r="C1190" s="15" t="s">
        <v>7811</v>
      </c>
      <c r="D1190" s="18"/>
      <c r="E1190" s="17" t="s">
        <v>3070</v>
      </c>
      <c r="F1190" s="18"/>
      <c r="G1190" s="18"/>
      <c r="H1190" s="15" t="s">
        <v>3071</v>
      </c>
      <c r="I1190" s="15" t="s">
        <v>3072</v>
      </c>
      <c r="J1190" s="19" t="s">
        <v>59</v>
      </c>
      <c r="K1190" s="19" t="s">
        <v>2387</v>
      </c>
      <c r="L1190" s="19" t="s">
        <v>38</v>
      </c>
      <c r="M1190" s="20">
        <f t="shared" si="1"/>
        <v>0</v>
      </c>
      <c r="N1190" s="22"/>
      <c r="O1190" s="19" t="s">
        <v>1145</v>
      </c>
      <c r="P1190" s="18"/>
      <c r="Q1190" s="18"/>
      <c r="R1190" s="23">
        <v>0.0</v>
      </c>
      <c r="S1190" s="23">
        <v>0.0</v>
      </c>
      <c r="T1190" s="23">
        <f t="shared" si="2"/>
        <v>0</v>
      </c>
      <c r="U1190" s="23">
        <f t="shared" si="3"/>
        <v>0</v>
      </c>
      <c r="V1190" s="23">
        <f t="shared" si="4"/>
        <v>0</v>
      </c>
      <c r="W1190" s="24" t="str">
        <f t="shared" si="5"/>
        <v>#DIV/0!</v>
      </c>
    </row>
    <row r="1191" hidden="1">
      <c r="A1191" s="15" t="s">
        <v>7812</v>
      </c>
      <c r="B1191" s="18"/>
      <c r="C1191" s="15" t="s">
        <v>7813</v>
      </c>
      <c r="D1191" s="18"/>
      <c r="E1191" s="17" t="s">
        <v>7814</v>
      </c>
      <c r="F1191" s="18"/>
      <c r="G1191" s="18"/>
      <c r="H1191" s="15" t="s">
        <v>7815</v>
      </c>
      <c r="I1191" s="15" t="s">
        <v>4169</v>
      </c>
      <c r="J1191" s="19" t="s">
        <v>59</v>
      </c>
      <c r="K1191" s="19" t="s">
        <v>2387</v>
      </c>
      <c r="L1191" s="19" t="s">
        <v>38</v>
      </c>
      <c r="M1191" s="20">
        <f t="shared" si="1"/>
        <v>0</v>
      </c>
      <c r="N1191" s="22"/>
      <c r="O1191" s="19" t="s">
        <v>39</v>
      </c>
      <c r="P1191" s="18"/>
      <c r="Q1191" s="18"/>
      <c r="R1191" s="23">
        <v>0.0</v>
      </c>
      <c r="S1191" s="23">
        <v>0.0</v>
      </c>
      <c r="T1191" s="23">
        <f t="shared" si="2"/>
        <v>0</v>
      </c>
      <c r="U1191" s="23">
        <f t="shared" si="3"/>
        <v>0</v>
      </c>
      <c r="V1191" s="23">
        <f t="shared" si="4"/>
        <v>0</v>
      </c>
      <c r="W1191" s="24" t="str">
        <f t="shared" si="5"/>
        <v>#DIV/0!</v>
      </c>
    </row>
    <row r="1192" hidden="1">
      <c r="A1192" s="15" t="s">
        <v>7816</v>
      </c>
      <c r="B1192" s="18"/>
      <c r="C1192" s="15" t="s">
        <v>7817</v>
      </c>
      <c r="D1192" s="18"/>
      <c r="E1192" s="17" t="s">
        <v>7818</v>
      </c>
      <c r="F1192" s="18"/>
      <c r="G1192" s="18"/>
      <c r="H1192" s="15" t="s">
        <v>7819</v>
      </c>
      <c r="I1192" s="15" t="s">
        <v>4174</v>
      </c>
      <c r="J1192" s="19" t="s">
        <v>59</v>
      </c>
      <c r="K1192" s="19" t="s">
        <v>2387</v>
      </c>
      <c r="L1192" s="19" t="s">
        <v>38</v>
      </c>
      <c r="M1192" s="20">
        <f t="shared" si="1"/>
        <v>0</v>
      </c>
      <c r="N1192" s="22"/>
      <c r="O1192" s="19" t="s">
        <v>1145</v>
      </c>
      <c r="P1192" s="18"/>
      <c r="Q1192" s="18"/>
      <c r="R1192" s="23">
        <v>0.0</v>
      </c>
      <c r="S1192" s="23">
        <v>0.0</v>
      </c>
      <c r="T1192" s="23">
        <f t="shared" si="2"/>
        <v>0</v>
      </c>
      <c r="U1192" s="23">
        <f t="shared" si="3"/>
        <v>0</v>
      </c>
      <c r="V1192" s="23">
        <f t="shared" si="4"/>
        <v>0</v>
      </c>
      <c r="W1192" s="24" t="str">
        <f t="shared" si="5"/>
        <v>#DIV/0!</v>
      </c>
    </row>
    <row r="1193" hidden="1">
      <c r="A1193" s="15" t="s">
        <v>3073</v>
      </c>
      <c r="B1193" s="18"/>
      <c r="C1193" s="15" t="s">
        <v>7820</v>
      </c>
      <c r="D1193" s="18"/>
      <c r="E1193" s="17" t="s">
        <v>3074</v>
      </c>
      <c r="F1193" s="18"/>
      <c r="G1193" s="18"/>
      <c r="H1193" s="15" t="s">
        <v>3075</v>
      </c>
      <c r="I1193" s="15" t="s">
        <v>3076</v>
      </c>
      <c r="J1193" s="19" t="s">
        <v>59</v>
      </c>
      <c r="K1193" s="19" t="s">
        <v>2387</v>
      </c>
      <c r="L1193" s="19" t="s">
        <v>38</v>
      </c>
      <c r="M1193" s="20">
        <f t="shared" si="1"/>
        <v>0</v>
      </c>
      <c r="N1193" s="22"/>
      <c r="O1193" s="19" t="s">
        <v>1145</v>
      </c>
      <c r="P1193" s="18"/>
      <c r="Q1193" s="18"/>
      <c r="R1193" s="23">
        <v>0.0</v>
      </c>
      <c r="S1193" s="23">
        <v>0.0</v>
      </c>
      <c r="T1193" s="23">
        <f t="shared" si="2"/>
        <v>0</v>
      </c>
      <c r="U1193" s="23">
        <f t="shared" si="3"/>
        <v>0</v>
      </c>
      <c r="V1193" s="23">
        <f t="shared" si="4"/>
        <v>0</v>
      </c>
      <c r="W1193" s="24" t="str">
        <f t="shared" si="5"/>
        <v>#DIV/0!</v>
      </c>
    </row>
    <row r="1194" hidden="1">
      <c r="A1194" s="15" t="s">
        <v>3077</v>
      </c>
      <c r="B1194" s="18"/>
      <c r="C1194" s="15" t="s">
        <v>7821</v>
      </c>
      <c r="D1194" s="18"/>
      <c r="E1194" s="17" t="s">
        <v>3078</v>
      </c>
      <c r="F1194" s="18"/>
      <c r="G1194" s="18"/>
      <c r="H1194" s="15" t="s">
        <v>3079</v>
      </c>
      <c r="I1194" s="15" t="s">
        <v>3080</v>
      </c>
      <c r="J1194" s="19" t="s">
        <v>59</v>
      </c>
      <c r="K1194" s="19" t="s">
        <v>2387</v>
      </c>
      <c r="L1194" s="19" t="s">
        <v>38</v>
      </c>
      <c r="M1194" s="20">
        <f t="shared" si="1"/>
        <v>0</v>
      </c>
      <c r="N1194" s="22"/>
      <c r="O1194" s="19" t="s">
        <v>1145</v>
      </c>
      <c r="P1194" s="18"/>
      <c r="Q1194" s="18"/>
      <c r="R1194" s="23">
        <v>0.0</v>
      </c>
      <c r="S1194" s="23">
        <v>0.0</v>
      </c>
      <c r="T1194" s="23">
        <f t="shared" si="2"/>
        <v>0</v>
      </c>
      <c r="U1194" s="23">
        <f t="shared" si="3"/>
        <v>0</v>
      </c>
      <c r="V1194" s="23">
        <f t="shared" si="4"/>
        <v>0</v>
      </c>
      <c r="W1194" s="24" t="str">
        <f t="shared" si="5"/>
        <v>#DIV/0!</v>
      </c>
    </row>
    <row r="1195" hidden="1">
      <c r="A1195" s="15" t="s">
        <v>3081</v>
      </c>
      <c r="B1195" s="18"/>
      <c r="C1195" s="15" t="s">
        <v>7822</v>
      </c>
      <c r="D1195" s="18"/>
      <c r="E1195" s="17" t="s">
        <v>3082</v>
      </c>
      <c r="F1195" s="18"/>
      <c r="G1195" s="18"/>
      <c r="H1195" s="15" t="s">
        <v>3083</v>
      </c>
      <c r="I1195" s="15" t="s">
        <v>3084</v>
      </c>
      <c r="J1195" s="19" t="s">
        <v>59</v>
      </c>
      <c r="K1195" s="19" t="s">
        <v>2387</v>
      </c>
      <c r="L1195" s="19" t="s">
        <v>38</v>
      </c>
      <c r="M1195" s="20">
        <f t="shared" si="1"/>
        <v>0</v>
      </c>
      <c r="N1195" s="22"/>
      <c r="O1195" s="19" t="s">
        <v>1145</v>
      </c>
      <c r="P1195" s="18"/>
      <c r="Q1195" s="18"/>
      <c r="R1195" s="23">
        <v>0.0</v>
      </c>
      <c r="S1195" s="23">
        <v>0.0</v>
      </c>
      <c r="T1195" s="23">
        <f t="shared" si="2"/>
        <v>0</v>
      </c>
      <c r="U1195" s="23">
        <f t="shared" si="3"/>
        <v>0</v>
      </c>
      <c r="V1195" s="23">
        <f t="shared" si="4"/>
        <v>0</v>
      </c>
      <c r="W1195" s="24" t="str">
        <f t="shared" si="5"/>
        <v>#DIV/0!</v>
      </c>
    </row>
    <row r="1196">
      <c r="A1196" s="15" t="s">
        <v>4858</v>
      </c>
      <c r="B1196" s="15" t="s">
        <v>4859</v>
      </c>
      <c r="C1196" s="15" t="s">
        <v>7282</v>
      </c>
      <c r="D1196" s="18"/>
      <c r="E1196" s="17" t="s">
        <v>4860</v>
      </c>
      <c r="F1196" s="18"/>
      <c r="G1196" s="18"/>
      <c r="H1196" s="15" t="s">
        <v>4861</v>
      </c>
      <c r="I1196" s="18"/>
      <c r="J1196" s="19" t="s">
        <v>283</v>
      </c>
      <c r="K1196" s="33"/>
      <c r="L1196" s="19" t="s">
        <v>38</v>
      </c>
      <c r="M1196" s="20">
        <f t="shared" si="1"/>
        <v>0</v>
      </c>
      <c r="N1196" s="22"/>
      <c r="O1196" s="19" t="s">
        <v>3578</v>
      </c>
      <c r="P1196" s="18"/>
      <c r="Q1196" s="18"/>
      <c r="R1196" s="23">
        <v>0.0</v>
      </c>
      <c r="S1196" s="23">
        <v>0.0</v>
      </c>
      <c r="T1196" s="23">
        <f t="shared" si="2"/>
        <v>0</v>
      </c>
      <c r="U1196" s="23">
        <f t="shared" si="3"/>
        <v>0</v>
      </c>
      <c r="V1196" s="23">
        <f t="shared" si="4"/>
        <v>0</v>
      </c>
      <c r="W1196" s="24" t="str">
        <f t="shared" si="5"/>
        <v>#DIV/0!</v>
      </c>
    </row>
    <row r="1197">
      <c r="A1197" s="15" t="s">
        <v>4862</v>
      </c>
      <c r="B1197" s="15" t="s">
        <v>4863</v>
      </c>
      <c r="C1197" s="15" t="s">
        <v>7283</v>
      </c>
      <c r="D1197" s="15" t="s">
        <v>4864</v>
      </c>
      <c r="E1197" s="17" t="s">
        <v>4865</v>
      </c>
      <c r="F1197" s="18"/>
      <c r="G1197" s="18"/>
      <c r="H1197" s="15" t="s">
        <v>4866</v>
      </c>
      <c r="I1197" s="18"/>
      <c r="J1197" s="19" t="s">
        <v>283</v>
      </c>
      <c r="K1197" s="33"/>
      <c r="L1197" s="19" t="s">
        <v>38</v>
      </c>
      <c r="M1197" s="20">
        <f t="shared" si="1"/>
        <v>0</v>
      </c>
      <c r="N1197" s="22"/>
      <c r="O1197" s="19" t="s">
        <v>3578</v>
      </c>
      <c r="P1197" s="18"/>
      <c r="Q1197" s="18"/>
      <c r="R1197" s="23">
        <v>0.0</v>
      </c>
      <c r="S1197" s="23">
        <v>0.0</v>
      </c>
      <c r="T1197" s="23">
        <f t="shared" si="2"/>
        <v>0</v>
      </c>
      <c r="U1197" s="23">
        <f t="shared" si="3"/>
        <v>0</v>
      </c>
      <c r="V1197" s="23">
        <f t="shared" si="4"/>
        <v>0</v>
      </c>
      <c r="W1197" s="24" t="str">
        <f t="shared" si="5"/>
        <v>#DIV/0!</v>
      </c>
    </row>
    <row r="1198">
      <c r="A1198" s="15" t="s">
        <v>5919</v>
      </c>
      <c r="B1198" s="15" t="s">
        <v>5920</v>
      </c>
      <c r="C1198" s="15" t="s">
        <v>7286</v>
      </c>
      <c r="D1198" s="15" t="s">
        <v>5921</v>
      </c>
      <c r="E1198" s="17" t="s">
        <v>5922</v>
      </c>
      <c r="F1198" s="18"/>
      <c r="G1198" s="18"/>
      <c r="H1198" s="15" t="s">
        <v>5923</v>
      </c>
      <c r="I1198" s="18"/>
      <c r="J1198" s="19" t="s">
        <v>283</v>
      </c>
      <c r="K1198" s="19" t="s">
        <v>4972</v>
      </c>
      <c r="L1198" s="19" t="s">
        <v>38</v>
      </c>
      <c r="M1198" s="20">
        <f t="shared" si="1"/>
        <v>124.32</v>
      </c>
      <c r="N1198" s="22"/>
      <c r="O1198" s="19" t="s">
        <v>3578</v>
      </c>
      <c r="P1198" s="18"/>
      <c r="Q1198" s="18"/>
      <c r="R1198" s="23">
        <v>2.0</v>
      </c>
      <c r="S1198" s="23">
        <v>7.0</v>
      </c>
      <c r="T1198" s="23">
        <f t="shared" si="2"/>
        <v>6.72</v>
      </c>
      <c r="U1198" s="23">
        <f t="shared" si="3"/>
        <v>2.45</v>
      </c>
      <c r="V1198" s="23">
        <f t="shared" si="4"/>
        <v>45.9375</v>
      </c>
      <c r="W1198" s="24">
        <f t="shared" si="5"/>
        <v>3.36</v>
      </c>
    </row>
    <row r="1199" hidden="1">
      <c r="A1199" s="15" t="s">
        <v>3085</v>
      </c>
      <c r="B1199" s="18"/>
      <c r="C1199" s="15" t="s">
        <v>7825</v>
      </c>
      <c r="D1199" s="18"/>
      <c r="E1199" s="17" t="s">
        <v>3086</v>
      </c>
      <c r="F1199" s="18"/>
      <c r="G1199" s="18"/>
      <c r="H1199" s="15" t="s">
        <v>3087</v>
      </c>
      <c r="I1199" s="15" t="s">
        <v>3088</v>
      </c>
      <c r="J1199" s="19" t="s">
        <v>59</v>
      </c>
      <c r="K1199" s="19" t="s">
        <v>691</v>
      </c>
      <c r="L1199" s="19" t="s">
        <v>38</v>
      </c>
      <c r="M1199" s="20">
        <f t="shared" si="1"/>
        <v>0</v>
      </c>
      <c r="N1199" s="22"/>
      <c r="O1199" s="19" t="s">
        <v>1145</v>
      </c>
      <c r="P1199" s="18"/>
      <c r="Q1199" s="18"/>
      <c r="R1199" s="23">
        <v>0.0</v>
      </c>
      <c r="S1199" s="23">
        <v>0.0</v>
      </c>
      <c r="T1199" s="23">
        <f t="shared" si="2"/>
        <v>0</v>
      </c>
      <c r="U1199" s="23">
        <f t="shared" si="3"/>
        <v>0</v>
      </c>
      <c r="V1199" s="23">
        <f t="shared" si="4"/>
        <v>0</v>
      </c>
      <c r="W1199" s="24" t="str">
        <f t="shared" si="5"/>
        <v>#DIV/0!</v>
      </c>
    </row>
    <row r="1200">
      <c r="A1200" s="15" t="s">
        <v>4873</v>
      </c>
      <c r="B1200" s="15" t="s">
        <v>4874</v>
      </c>
      <c r="C1200" s="15" t="s">
        <v>7287</v>
      </c>
      <c r="D1200" s="18"/>
      <c r="E1200" s="17" t="s">
        <v>4875</v>
      </c>
      <c r="F1200" s="18"/>
      <c r="G1200" s="18"/>
      <c r="H1200" s="15" t="s">
        <v>4876</v>
      </c>
      <c r="I1200" s="18"/>
      <c r="J1200" s="19" t="s">
        <v>283</v>
      </c>
      <c r="K1200" s="33"/>
      <c r="L1200" s="19" t="s">
        <v>38</v>
      </c>
      <c r="M1200" s="20">
        <f t="shared" si="1"/>
        <v>0</v>
      </c>
      <c r="N1200" s="22"/>
      <c r="O1200" s="19" t="s">
        <v>3578</v>
      </c>
      <c r="P1200" s="18"/>
      <c r="Q1200" s="18"/>
      <c r="R1200" s="23">
        <v>0.0</v>
      </c>
      <c r="S1200" s="23">
        <v>0.0</v>
      </c>
      <c r="T1200" s="23">
        <f t="shared" si="2"/>
        <v>0</v>
      </c>
      <c r="U1200" s="23">
        <f t="shared" si="3"/>
        <v>0</v>
      </c>
      <c r="V1200" s="23">
        <f t="shared" si="4"/>
        <v>0</v>
      </c>
      <c r="W1200" s="24" t="str">
        <f t="shared" si="5"/>
        <v>#DIV/0!</v>
      </c>
    </row>
    <row r="1201" hidden="1">
      <c r="A1201" s="15" t="s">
        <v>7826</v>
      </c>
      <c r="B1201" s="18"/>
      <c r="C1201" s="15" t="s">
        <v>7827</v>
      </c>
      <c r="D1201" s="18"/>
      <c r="E1201" s="17" t="s">
        <v>7828</v>
      </c>
      <c r="F1201" s="18"/>
      <c r="G1201" s="18"/>
      <c r="H1201" s="15" t="s">
        <v>7829</v>
      </c>
      <c r="I1201" s="15" t="s">
        <v>620</v>
      </c>
      <c r="J1201" s="19" t="s">
        <v>59</v>
      </c>
      <c r="K1201" s="19" t="s">
        <v>2387</v>
      </c>
      <c r="L1201" s="19" t="s">
        <v>38</v>
      </c>
      <c r="M1201" s="20">
        <f t="shared" si="1"/>
        <v>0</v>
      </c>
      <c r="N1201" s="22"/>
      <c r="O1201" s="19" t="s">
        <v>39</v>
      </c>
      <c r="P1201" s="18"/>
      <c r="Q1201" s="18"/>
      <c r="R1201" s="23">
        <v>0.0</v>
      </c>
      <c r="S1201" s="23">
        <v>0.0</v>
      </c>
      <c r="T1201" s="23">
        <f t="shared" si="2"/>
        <v>0</v>
      </c>
      <c r="U1201" s="23">
        <f t="shared" si="3"/>
        <v>0</v>
      </c>
      <c r="V1201" s="23">
        <f t="shared" si="4"/>
        <v>0</v>
      </c>
      <c r="W1201" s="24" t="str">
        <f t="shared" si="5"/>
        <v>#DIV/0!</v>
      </c>
    </row>
    <row r="1202" hidden="1">
      <c r="A1202" s="15" t="s">
        <v>7830</v>
      </c>
      <c r="B1202" s="18"/>
      <c r="C1202" s="15" t="s">
        <v>7831</v>
      </c>
      <c r="D1202" s="18"/>
      <c r="E1202" s="17" t="s">
        <v>7832</v>
      </c>
      <c r="F1202" s="18"/>
      <c r="G1202" s="18"/>
      <c r="H1202" s="15" t="s">
        <v>7833</v>
      </c>
      <c r="I1202" s="15" t="s">
        <v>3937</v>
      </c>
      <c r="J1202" s="19" t="s">
        <v>59</v>
      </c>
      <c r="K1202" s="19" t="s">
        <v>2382</v>
      </c>
      <c r="L1202" s="19" t="s">
        <v>38</v>
      </c>
      <c r="M1202" s="20">
        <f t="shared" si="1"/>
        <v>0</v>
      </c>
      <c r="N1202" s="22"/>
      <c r="O1202" s="19" t="s">
        <v>39</v>
      </c>
      <c r="P1202" s="18"/>
      <c r="Q1202" s="18"/>
      <c r="R1202" s="23">
        <v>0.0</v>
      </c>
      <c r="S1202" s="23">
        <v>0.0</v>
      </c>
      <c r="T1202" s="23">
        <f t="shared" si="2"/>
        <v>0</v>
      </c>
      <c r="U1202" s="23">
        <f t="shared" si="3"/>
        <v>0</v>
      </c>
      <c r="V1202" s="23">
        <f t="shared" si="4"/>
        <v>0</v>
      </c>
      <c r="W1202" s="24" t="str">
        <f t="shared" si="5"/>
        <v>#DIV/0!</v>
      </c>
    </row>
    <row r="1203">
      <c r="A1203" s="15" t="s">
        <v>4877</v>
      </c>
      <c r="B1203" s="15" t="s">
        <v>4878</v>
      </c>
      <c r="C1203" s="15" t="s">
        <v>7288</v>
      </c>
      <c r="D1203" s="18"/>
      <c r="E1203" s="17" t="s">
        <v>4879</v>
      </c>
      <c r="F1203" s="18"/>
      <c r="G1203" s="18"/>
      <c r="H1203" s="15" t="s">
        <v>4880</v>
      </c>
      <c r="I1203" s="18"/>
      <c r="J1203" s="19" t="s">
        <v>283</v>
      </c>
      <c r="K1203" s="33"/>
      <c r="L1203" s="19" t="s">
        <v>38</v>
      </c>
      <c r="M1203" s="20">
        <f t="shared" si="1"/>
        <v>0</v>
      </c>
      <c r="N1203" s="22"/>
      <c r="O1203" s="19" t="s">
        <v>3578</v>
      </c>
      <c r="P1203" s="18"/>
      <c r="Q1203" s="18"/>
      <c r="R1203" s="23">
        <v>0.0</v>
      </c>
      <c r="S1203" s="23">
        <v>0.0</v>
      </c>
      <c r="T1203" s="23">
        <f t="shared" si="2"/>
        <v>0</v>
      </c>
      <c r="U1203" s="23">
        <f t="shared" si="3"/>
        <v>0</v>
      </c>
      <c r="V1203" s="23">
        <f t="shared" si="4"/>
        <v>0</v>
      </c>
      <c r="W1203" s="24" t="str">
        <f t="shared" si="5"/>
        <v>#DIV/0!</v>
      </c>
    </row>
    <row r="1204">
      <c r="A1204" s="15" t="s">
        <v>4881</v>
      </c>
      <c r="B1204" s="15" t="s">
        <v>4882</v>
      </c>
      <c r="C1204" s="15" t="s">
        <v>7289</v>
      </c>
      <c r="D1204" s="15" t="s">
        <v>191</v>
      </c>
      <c r="E1204" s="17" t="s">
        <v>4883</v>
      </c>
      <c r="F1204" s="18"/>
      <c r="G1204" s="18"/>
      <c r="H1204" s="15" t="s">
        <v>4884</v>
      </c>
      <c r="I1204" s="18"/>
      <c r="J1204" s="19" t="s">
        <v>283</v>
      </c>
      <c r="K1204" s="33"/>
      <c r="L1204" s="19" t="s">
        <v>38</v>
      </c>
      <c r="M1204" s="20">
        <f t="shared" si="1"/>
        <v>0</v>
      </c>
      <c r="N1204" s="22"/>
      <c r="O1204" s="19" t="s">
        <v>3578</v>
      </c>
      <c r="P1204" s="18"/>
      <c r="Q1204" s="18"/>
      <c r="R1204" s="23">
        <v>0.0</v>
      </c>
      <c r="S1204" s="23">
        <v>0.0</v>
      </c>
      <c r="T1204" s="23">
        <f t="shared" si="2"/>
        <v>0</v>
      </c>
      <c r="U1204" s="23">
        <f t="shared" si="3"/>
        <v>0</v>
      </c>
      <c r="V1204" s="23">
        <f t="shared" si="4"/>
        <v>0</v>
      </c>
      <c r="W1204" s="24" t="str">
        <f t="shared" si="5"/>
        <v>#DIV/0!</v>
      </c>
    </row>
    <row r="1205">
      <c r="A1205" s="15" t="s">
        <v>4885</v>
      </c>
      <c r="B1205" s="15" t="s">
        <v>4886</v>
      </c>
      <c r="C1205" s="15" t="s">
        <v>7290</v>
      </c>
      <c r="D1205" s="15" t="s">
        <v>4887</v>
      </c>
      <c r="E1205" s="17" t="s">
        <v>4888</v>
      </c>
      <c r="F1205" s="18"/>
      <c r="G1205" s="18"/>
      <c r="H1205" s="15" t="s">
        <v>4889</v>
      </c>
      <c r="I1205" s="18"/>
      <c r="J1205" s="19" t="s">
        <v>283</v>
      </c>
      <c r="K1205" s="33"/>
      <c r="L1205" s="19" t="s">
        <v>38</v>
      </c>
      <c r="M1205" s="20">
        <f t="shared" si="1"/>
        <v>0</v>
      </c>
      <c r="N1205" s="22"/>
      <c r="O1205" s="19" t="s">
        <v>3578</v>
      </c>
      <c r="P1205" s="18"/>
      <c r="Q1205" s="18"/>
      <c r="R1205" s="23">
        <v>0.0</v>
      </c>
      <c r="S1205" s="23">
        <v>0.0</v>
      </c>
      <c r="T1205" s="23">
        <f t="shared" si="2"/>
        <v>0</v>
      </c>
      <c r="U1205" s="23">
        <f t="shared" si="3"/>
        <v>0</v>
      </c>
      <c r="V1205" s="23">
        <f t="shared" si="4"/>
        <v>0</v>
      </c>
      <c r="W1205" s="24" t="str">
        <f t="shared" si="5"/>
        <v>#DIV/0!</v>
      </c>
    </row>
    <row r="1206" hidden="1">
      <c r="A1206" s="15" t="s">
        <v>3089</v>
      </c>
      <c r="B1206" s="18"/>
      <c r="C1206" s="15" t="s">
        <v>7834</v>
      </c>
      <c r="D1206" s="18"/>
      <c r="E1206" s="17" t="s">
        <v>3090</v>
      </c>
      <c r="F1206" s="18"/>
      <c r="G1206" s="18"/>
      <c r="H1206" s="15" t="s">
        <v>3091</v>
      </c>
      <c r="I1206" s="15" t="s">
        <v>3092</v>
      </c>
      <c r="J1206" s="19" t="s">
        <v>59</v>
      </c>
      <c r="K1206" s="19" t="s">
        <v>691</v>
      </c>
      <c r="L1206" s="19" t="s">
        <v>38</v>
      </c>
      <c r="M1206" s="20">
        <f t="shared" si="1"/>
        <v>0</v>
      </c>
      <c r="N1206" s="22"/>
      <c r="O1206" s="19" t="s">
        <v>1145</v>
      </c>
      <c r="P1206" s="18"/>
      <c r="Q1206" s="18"/>
      <c r="R1206" s="23">
        <v>0.0</v>
      </c>
      <c r="S1206" s="23">
        <v>0.0</v>
      </c>
      <c r="T1206" s="23">
        <f t="shared" si="2"/>
        <v>0</v>
      </c>
      <c r="U1206" s="23">
        <f t="shared" si="3"/>
        <v>0</v>
      </c>
      <c r="V1206" s="23">
        <f t="shared" si="4"/>
        <v>0</v>
      </c>
      <c r="W1206" s="24" t="str">
        <f t="shared" si="5"/>
        <v>#DIV/0!</v>
      </c>
    </row>
    <row r="1207" hidden="1">
      <c r="A1207" s="15" t="s">
        <v>3093</v>
      </c>
      <c r="B1207" s="18"/>
      <c r="C1207" s="15" t="s">
        <v>7835</v>
      </c>
      <c r="D1207" s="18"/>
      <c r="E1207" s="17" t="s">
        <v>3094</v>
      </c>
      <c r="F1207" s="18"/>
      <c r="G1207" s="18"/>
      <c r="H1207" s="15" t="s">
        <v>3095</v>
      </c>
      <c r="I1207" s="15" t="s">
        <v>3096</v>
      </c>
      <c r="J1207" s="19" t="s">
        <v>59</v>
      </c>
      <c r="K1207" s="19" t="s">
        <v>2401</v>
      </c>
      <c r="L1207" s="19" t="s">
        <v>38</v>
      </c>
      <c r="M1207" s="20">
        <f t="shared" si="1"/>
        <v>0</v>
      </c>
      <c r="N1207" s="22"/>
      <c r="O1207" s="19" t="s">
        <v>1145</v>
      </c>
      <c r="P1207" s="18"/>
      <c r="Q1207" s="18"/>
      <c r="R1207" s="23">
        <v>0.0</v>
      </c>
      <c r="S1207" s="23">
        <v>0.0</v>
      </c>
      <c r="T1207" s="23">
        <f t="shared" si="2"/>
        <v>0</v>
      </c>
      <c r="U1207" s="23">
        <f t="shared" si="3"/>
        <v>0</v>
      </c>
      <c r="V1207" s="23">
        <f t="shared" si="4"/>
        <v>0</v>
      </c>
      <c r="W1207" s="24" t="str">
        <f t="shared" si="5"/>
        <v>#DIV/0!</v>
      </c>
    </row>
    <row r="1208" hidden="1">
      <c r="A1208" s="15" t="s">
        <v>5198</v>
      </c>
      <c r="B1208" s="18"/>
      <c r="C1208" s="15" t="s">
        <v>7836</v>
      </c>
      <c r="D1208" s="18"/>
      <c r="E1208" s="17" t="s">
        <v>7837</v>
      </c>
      <c r="F1208" s="18"/>
      <c r="G1208" s="18"/>
      <c r="H1208" s="15" t="s">
        <v>7838</v>
      </c>
      <c r="I1208" s="15" t="s">
        <v>5199</v>
      </c>
      <c r="J1208" s="19" t="s">
        <v>59</v>
      </c>
      <c r="K1208" s="19" t="s">
        <v>691</v>
      </c>
      <c r="L1208" s="19" t="s">
        <v>38</v>
      </c>
      <c r="M1208" s="20">
        <f t="shared" si="1"/>
        <v>0</v>
      </c>
      <c r="N1208" s="22"/>
      <c r="O1208" s="19" t="s">
        <v>1145</v>
      </c>
      <c r="P1208" s="18"/>
      <c r="Q1208" s="18"/>
      <c r="R1208" s="23">
        <v>0.0</v>
      </c>
      <c r="S1208" s="23">
        <v>0.0</v>
      </c>
      <c r="T1208" s="23">
        <f t="shared" si="2"/>
        <v>0</v>
      </c>
      <c r="U1208" s="23">
        <f t="shared" si="3"/>
        <v>0</v>
      </c>
      <c r="V1208" s="23">
        <f t="shared" si="4"/>
        <v>0</v>
      </c>
      <c r="W1208" s="24" t="str">
        <f t="shared" si="5"/>
        <v>#DIV/0!</v>
      </c>
    </row>
    <row r="1209" hidden="1">
      <c r="A1209" s="15" t="s">
        <v>7839</v>
      </c>
      <c r="B1209" s="15" t="s">
        <v>7840</v>
      </c>
      <c r="C1209" s="15" t="s">
        <v>7841</v>
      </c>
      <c r="D1209" s="18"/>
      <c r="E1209" s="17" t="s">
        <v>7842</v>
      </c>
      <c r="F1209" s="18"/>
      <c r="G1209" s="18"/>
      <c r="H1209" s="15" t="s">
        <v>4174</v>
      </c>
      <c r="I1209" s="18"/>
      <c r="J1209" s="19" t="s">
        <v>59</v>
      </c>
      <c r="K1209" s="33"/>
      <c r="L1209" s="19" t="s">
        <v>38</v>
      </c>
      <c r="M1209" s="20">
        <f t="shared" si="1"/>
        <v>0</v>
      </c>
      <c r="N1209" s="22"/>
      <c r="O1209" s="19" t="s">
        <v>1145</v>
      </c>
      <c r="P1209" s="18"/>
      <c r="Q1209" s="18"/>
      <c r="R1209" s="23">
        <v>0.0</v>
      </c>
      <c r="S1209" s="23">
        <v>0.0</v>
      </c>
      <c r="T1209" s="23">
        <f t="shared" si="2"/>
        <v>0</v>
      </c>
      <c r="U1209" s="23">
        <f t="shared" si="3"/>
        <v>0</v>
      </c>
      <c r="V1209" s="23">
        <f t="shared" si="4"/>
        <v>0</v>
      </c>
      <c r="W1209" s="24" t="str">
        <f t="shared" si="5"/>
        <v>#DIV/0!</v>
      </c>
    </row>
    <row r="1210" hidden="1">
      <c r="A1210" s="15" t="s">
        <v>3097</v>
      </c>
      <c r="B1210" s="18"/>
      <c r="C1210" s="15" t="s">
        <v>7843</v>
      </c>
      <c r="D1210" s="18"/>
      <c r="E1210" s="17" t="s">
        <v>3098</v>
      </c>
      <c r="F1210" s="18"/>
      <c r="G1210" s="18"/>
      <c r="H1210" s="15" t="s">
        <v>3099</v>
      </c>
      <c r="I1210" s="15" t="s">
        <v>3100</v>
      </c>
      <c r="J1210" s="19" t="s">
        <v>59</v>
      </c>
      <c r="K1210" s="19" t="s">
        <v>2401</v>
      </c>
      <c r="L1210" s="19" t="s">
        <v>38</v>
      </c>
      <c r="M1210" s="20">
        <f t="shared" si="1"/>
        <v>0</v>
      </c>
      <c r="N1210" s="22"/>
      <c r="O1210" s="19" t="s">
        <v>1145</v>
      </c>
      <c r="P1210" s="18"/>
      <c r="Q1210" s="18"/>
      <c r="R1210" s="23">
        <v>0.0</v>
      </c>
      <c r="S1210" s="23">
        <v>0.0</v>
      </c>
      <c r="T1210" s="23">
        <f t="shared" si="2"/>
        <v>0</v>
      </c>
      <c r="U1210" s="23">
        <f t="shared" si="3"/>
        <v>0</v>
      </c>
      <c r="V1210" s="23">
        <f t="shared" si="4"/>
        <v>0</v>
      </c>
      <c r="W1210" s="24" t="str">
        <f t="shared" si="5"/>
        <v>#DIV/0!</v>
      </c>
    </row>
    <row r="1211">
      <c r="A1211" s="15" t="s">
        <v>4890</v>
      </c>
      <c r="B1211" s="15" t="s">
        <v>4891</v>
      </c>
      <c r="C1211" s="15" t="s">
        <v>7291</v>
      </c>
      <c r="D1211" s="15" t="s">
        <v>4892</v>
      </c>
      <c r="E1211" s="17" t="s">
        <v>4893</v>
      </c>
      <c r="F1211" s="18"/>
      <c r="G1211" s="18"/>
      <c r="H1211" s="15" t="s">
        <v>4894</v>
      </c>
      <c r="I1211" s="18"/>
      <c r="J1211" s="19" t="s">
        <v>283</v>
      </c>
      <c r="K1211" s="33"/>
      <c r="L1211" s="19" t="s">
        <v>38</v>
      </c>
      <c r="M1211" s="20">
        <f t="shared" si="1"/>
        <v>0</v>
      </c>
      <c r="N1211" s="22"/>
      <c r="O1211" s="19" t="s">
        <v>3578</v>
      </c>
      <c r="P1211" s="18"/>
      <c r="Q1211" s="18"/>
      <c r="R1211" s="23">
        <v>0.0</v>
      </c>
      <c r="S1211" s="23">
        <v>0.0</v>
      </c>
      <c r="T1211" s="23">
        <f t="shared" si="2"/>
        <v>0</v>
      </c>
      <c r="U1211" s="23">
        <f t="shared" si="3"/>
        <v>0</v>
      </c>
      <c r="V1211" s="23">
        <f t="shared" si="4"/>
        <v>0</v>
      </c>
      <c r="W1211" s="24" t="str">
        <f t="shared" si="5"/>
        <v>#DIV/0!</v>
      </c>
    </row>
    <row r="1212" hidden="1">
      <c r="A1212" s="15" t="s">
        <v>3101</v>
      </c>
      <c r="B1212" s="18"/>
      <c r="C1212" s="15" t="s">
        <v>7844</v>
      </c>
      <c r="D1212" s="18"/>
      <c r="E1212" s="17" t="s">
        <v>3102</v>
      </c>
      <c r="F1212" s="18"/>
      <c r="G1212" s="18"/>
      <c r="H1212" s="15" t="s">
        <v>3103</v>
      </c>
      <c r="I1212" s="15" t="s">
        <v>3104</v>
      </c>
      <c r="J1212" s="19" t="s">
        <v>59</v>
      </c>
      <c r="K1212" s="19" t="s">
        <v>2396</v>
      </c>
      <c r="L1212" s="19" t="s">
        <v>38</v>
      </c>
      <c r="M1212" s="20">
        <f t="shared" si="1"/>
        <v>0</v>
      </c>
      <c r="N1212" s="22"/>
      <c r="O1212" s="19" t="s">
        <v>1145</v>
      </c>
      <c r="P1212" s="18"/>
      <c r="Q1212" s="18"/>
      <c r="R1212" s="23">
        <v>0.0</v>
      </c>
      <c r="S1212" s="23">
        <v>0.0</v>
      </c>
      <c r="T1212" s="23">
        <f t="shared" si="2"/>
        <v>0</v>
      </c>
      <c r="U1212" s="23">
        <f t="shared" si="3"/>
        <v>0</v>
      </c>
      <c r="V1212" s="23">
        <f t="shared" si="4"/>
        <v>0</v>
      </c>
      <c r="W1212" s="24" t="str">
        <f t="shared" si="5"/>
        <v>#DIV/0!</v>
      </c>
    </row>
    <row r="1213" hidden="1">
      <c r="A1213" s="15" t="s">
        <v>3105</v>
      </c>
      <c r="B1213" s="18"/>
      <c r="C1213" s="15" t="s">
        <v>7845</v>
      </c>
      <c r="D1213" s="18"/>
      <c r="E1213" s="17" t="s">
        <v>3106</v>
      </c>
      <c r="F1213" s="18"/>
      <c r="G1213" s="18"/>
      <c r="H1213" s="15" t="s">
        <v>3107</v>
      </c>
      <c r="I1213" s="15" t="s">
        <v>3108</v>
      </c>
      <c r="J1213" s="19" t="s">
        <v>59</v>
      </c>
      <c r="K1213" s="19" t="s">
        <v>2396</v>
      </c>
      <c r="L1213" s="19" t="s">
        <v>38</v>
      </c>
      <c r="M1213" s="20">
        <f t="shared" si="1"/>
        <v>0</v>
      </c>
      <c r="N1213" s="22"/>
      <c r="O1213" s="19" t="s">
        <v>1145</v>
      </c>
      <c r="P1213" s="18"/>
      <c r="Q1213" s="18"/>
      <c r="R1213" s="23">
        <v>0.0</v>
      </c>
      <c r="S1213" s="23">
        <v>0.0</v>
      </c>
      <c r="T1213" s="23">
        <f t="shared" si="2"/>
        <v>0</v>
      </c>
      <c r="U1213" s="23">
        <f t="shared" si="3"/>
        <v>0</v>
      </c>
      <c r="V1213" s="23">
        <f t="shared" si="4"/>
        <v>0</v>
      </c>
      <c r="W1213" s="24" t="str">
        <f t="shared" si="5"/>
        <v>#DIV/0!</v>
      </c>
    </row>
    <row r="1214" hidden="1">
      <c r="A1214" s="15" t="s">
        <v>7846</v>
      </c>
      <c r="B1214" s="18"/>
      <c r="C1214" s="15" t="s">
        <v>7847</v>
      </c>
      <c r="D1214" s="18"/>
      <c r="E1214" s="17" t="s">
        <v>7848</v>
      </c>
      <c r="F1214" s="18"/>
      <c r="G1214" s="18"/>
      <c r="H1214" s="15" t="s">
        <v>7849</v>
      </c>
      <c r="I1214" s="15" t="s">
        <v>7850</v>
      </c>
      <c r="J1214" s="19" t="s">
        <v>59</v>
      </c>
      <c r="K1214" s="19" t="s">
        <v>2396</v>
      </c>
      <c r="L1214" s="19" t="s">
        <v>38</v>
      </c>
      <c r="M1214" s="20">
        <f t="shared" si="1"/>
        <v>0</v>
      </c>
      <c r="N1214" s="22"/>
      <c r="O1214" s="19" t="s">
        <v>1145</v>
      </c>
      <c r="P1214" s="18"/>
      <c r="Q1214" s="18"/>
      <c r="R1214" s="23">
        <v>0.0</v>
      </c>
      <c r="S1214" s="23">
        <v>0.0</v>
      </c>
      <c r="T1214" s="23">
        <f t="shared" si="2"/>
        <v>0</v>
      </c>
      <c r="U1214" s="23">
        <f t="shared" si="3"/>
        <v>0</v>
      </c>
      <c r="V1214" s="23">
        <f t="shared" si="4"/>
        <v>0</v>
      </c>
      <c r="W1214" s="24" t="str">
        <f t="shared" si="5"/>
        <v>#DIV/0!</v>
      </c>
    </row>
    <row r="1215" hidden="1">
      <c r="A1215" s="15" t="s">
        <v>7851</v>
      </c>
      <c r="B1215" s="18"/>
      <c r="C1215" s="15" t="s">
        <v>7852</v>
      </c>
      <c r="D1215" s="18"/>
      <c r="E1215" s="17" t="s">
        <v>7853</v>
      </c>
      <c r="F1215" s="18"/>
      <c r="G1215" s="18"/>
      <c r="H1215" s="15" t="s">
        <v>7854</v>
      </c>
      <c r="I1215" s="15" t="s">
        <v>985</v>
      </c>
      <c r="J1215" s="19" t="s">
        <v>59</v>
      </c>
      <c r="K1215" s="19" t="s">
        <v>2396</v>
      </c>
      <c r="L1215" s="19" t="s">
        <v>38</v>
      </c>
      <c r="M1215" s="20">
        <f t="shared" si="1"/>
        <v>0</v>
      </c>
      <c r="N1215" s="22"/>
      <c r="O1215" s="19" t="s">
        <v>39</v>
      </c>
      <c r="P1215" s="18"/>
      <c r="Q1215" s="18"/>
      <c r="R1215" s="23">
        <v>0.0</v>
      </c>
      <c r="S1215" s="23">
        <v>0.0</v>
      </c>
      <c r="T1215" s="23">
        <f t="shared" si="2"/>
        <v>0</v>
      </c>
      <c r="U1215" s="23">
        <f t="shared" si="3"/>
        <v>0</v>
      </c>
      <c r="V1215" s="23">
        <f t="shared" si="4"/>
        <v>0</v>
      </c>
      <c r="W1215" s="24" t="str">
        <f t="shared" si="5"/>
        <v>#DIV/0!</v>
      </c>
    </row>
    <row r="1216" hidden="1">
      <c r="A1216" s="15" t="s">
        <v>3109</v>
      </c>
      <c r="B1216" s="18"/>
      <c r="C1216" s="15" t="s">
        <v>7855</v>
      </c>
      <c r="D1216" s="18"/>
      <c r="E1216" s="17" t="s">
        <v>3110</v>
      </c>
      <c r="F1216" s="18"/>
      <c r="G1216" s="18"/>
      <c r="H1216" s="15" t="s">
        <v>3111</v>
      </c>
      <c r="I1216" s="15" t="s">
        <v>3112</v>
      </c>
      <c r="J1216" s="19" t="s">
        <v>59</v>
      </c>
      <c r="K1216" s="19" t="s">
        <v>2382</v>
      </c>
      <c r="L1216" s="19" t="s">
        <v>38</v>
      </c>
      <c r="M1216" s="20">
        <f t="shared" si="1"/>
        <v>0</v>
      </c>
      <c r="N1216" s="22"/>
      <c r="O1216" s="19" t="s">
        <v>1145</v>
      </c>
      <c r="P1216" s="18"/>
      <c r="Q1216" s="18"/>
      <c r="R1216" s="23">
        <v>0.0</v>
      </c>
      <c r="S1216" s="23">
        <v>0.0</v>
      </c>
      <c r="T1216" s="23">
        <f t="shared" si="2"/>
        <v>0</v>
      </c>
      <c r="U1216" s="23">
        <f t="shared" si="3"/>
        <v>0</v>
      </c>
      <c r="V1216" s="23">
        <f t="shared" si="4"/>
        <v>0</v>
      </c>
      <c r="W1216" s="24" t="str">
        <f t="shared" si="5"/>
        <v>#DIV/0!</v>
      </c>
    </row>
    <row r="1217" hidden="1">
      <c r="A1217" s="15" t="s">
        <v>3113</v>
      </c>
      <c r="B1217" s="18"/>
      <c r="C1217" s="15" t="s">
        <v>7856</v>
      </c>
      <c r="D1217" s="18"/>
      <c r="E1217" s="17" t="s">
        <v>3114</v>
      </c>
      <c r="F1217" s="18"/>
      <c r="G1217" s="18"/>
      <c r="H1217" s="15" t="s">
        <v>3115</v>
      </c>
      <c r="I1217" s="15" t="s">
        <v>3116</v>
      </c>
      <c r="J1217" s="19" t="s">
        <v>59</v>
      </c>
      <c r="K1217" s="19" t="s">
        <v>2382</v>
      </c>
      <c r="L1217" s="19" t="s">
        <v>38</v>
      </c>
      <c r="M1217" s="20">
        <f t="shared" si="1"/>
        <v>0</v>
      </c>
      <c r="N1217" s="22"/>
      <c r="O1217" s="19" t="s">
        <v>1145</v>
      </c>
      <c r="P1217" s="18"/>
      <c r="Q1217" s="18"/>
      <c r="R1217" s="23">
        <v>0.0</v>
      </c>
      <c r="S1217" s="23">
        <v>0.0</v>
      </c>
      <c r="T1217" s="23">
        <f t="shared" si="2"/>
        <v>0</v>
      </c>
      <c r="U1217" s="23">
        <f t="shared" si="3"/>
        <v>0</v>
      </c>
      <c r="V1217" s="23">
        <f t="shared" si="4"/>
        <v>0</v>
      </c>
      <c r="W1217" s="24" t="str">
        <f t="shared" si="5"/>
        <v>#DIV/0!</v>
      </c>
    </row>
    <row r="1218" hidden="1">
      <c r="A1218" s="15" t="s">
        <v>7857</v>
      </c>
      <c r="B1218" s="18"/>
      <c r="C1218" s="15" t="s">
        <v>7858</v>
      </c>
      <c r="D1218" s="18"/>
      <c r="E1218" s="17" t="s">
        <v>7859</v>
      </c>
      <c r="F1218" s="18"/>
      <c r="G1218" s="18"/>
      <c r="H1218" s="15" t="s">
        <v>7860</v>
      </c>
      <c r="I1218" s="15" t="s">
        <v>7861</v>
      </c>
      <c r="J1218" s="19" t="s">
        <v>59</v>
      </c>
      <c r="K1218" s="19" t="s">
        <v>2401</v>
      </c>
      <c r="L1218" s="19" t="s">
        <v>38</v>
      </c>
      <c r="M1218" s="20">
        <f t="shared" si="1"/>
        <v>0</v>
      </c>
      <c r="N1218" s="22"/>
      <c r="O1218" s="19" t="s">
        <v>39</v>
      </c>
      <c r="P1218" s="18"/>
      <c r="Q1218" s="18"/>
      <c r="R1218" s="23">
        <v>0.0</v>
      </c>
      <c r="S1218" s="23">
        <v>0.0</v>
      </c>
      <c r="T1218" s="23">
        <f t="shared" si="2"/>
        <v>0</v>
      </c>
      <c r="U1218" s="23">
        <f t="shared" si="3"/>
        <v>0</v>
      </c>
      <c r="V1218" s="23">
        <f t="shared" si="4"/>
        <v>0</v>
      </c>
      <c r="W1218" s="24" t="str">
        <f t="shared" si="5"/>
        <v>#DIV/0!</v>
      </c>
    </row>
    <row r="1219" hidden="1">
      <c r="A1219" s="15" t="s">
        <v>7862</v>
      </c>
      <c r="B1219" s="18"/>
      <c r="C1219" s="15" t="s">
        <v>7863</v>
      </c>
      <c r="D1219" s="15" t="s">
        <v>7864</v>
      </c>
      <c r="E1219" s="17" t="s">
        <v>7865</v>
      </c>
      <c r="F1219" s="18"/>
      <c r="G1219" s="18"/>
      <c r="H1219" s="15" t="s">
        <v>3984</v>
      </c>
      <c r="I1219" s="15"/>
      <c r="J1219" s="19" t="s">
        <v>59</v>
      </c>
      <c r="K1219" s="19" t="s">
        <v>2387</v>
      </c>
      <c r="L1219" s="19" t="s">
        <v>38</v>
      </c>
      <c r="M1219" s="20">
        <f t="shared" si="1"/>
        <v>0</v>
      </c>
      <c r="N1219" s="22"/>
      <c r="O1219" s="19" t="s">
        <v>39</v>
      </c>
      <c r="P1219" s="18"/>
      <c r="Q1219" s="18"/>
      <c r="R1219" s="23">
        <v>0.0</v>
      </c>
      <c r="S1219" s="23">
        <v>0.0</v>
      </c>
      <c r="T1219" s="23">
        <f t="shared" si="2"/>
        <v>0</v>
      </c>
      <c r="U1219" s="23">
        <f t="shared" si="3"/>
        <v>0</v>
      </c>
      <c r="V1219" s="23">
        <f t="shared" si="4"/>
        <v>0</v>
      </c>
      <c r="W1219" s="24" t="str">
        <f t="shared" si="5"/>
        <v>#DIV/0!</v>
      </c>
    </row>
    <row r="1220" hidden="1">
      <c r="A1220" s="15" t="s">
        <v>3117</v>
      </c>
      <c r="B1220" s="18"/>
      <c r="C1220" s="15" t="s">
        <v>7866</v>
      </c>
      <c r="D1220" s="18"/>
      <c r="E1220" s="17" t="s">
        <v>3118</v>
      </c>
      <c r="F1220" s="18"/>
      <c r="G1220" s="18"/>
      <c r="H1220" s="15" t="s">
        <v>3119</v>
      </c>
      <c r="I1220" s="15" t="s">
        <v>3120</v>
      </c>
      <c r="J1220" s="19" t="s">
        <v>59</v>
      </c>
      <c r="K1220" s="19" t="s">
        <v>2387</v>
      </c>
      <c r="L1220" s="19" t="s">
        <v>38</v>
      </c>
      <c r="M1220" s="20">
        <f t="shared" si="1"/>
        <v>0</v>
      </c>
      <c r="N1220" s="22"/>
      <c r="O1220" s="19" t="s">
        <v>1145</v>
      </c>
      <c r="P1220" s="18"/>
      <c r="Q1220" s="18"/>
      <c r="R1220" s="23">
        <v>0.0</v>
      </c>
      <c r="S1220" s="23">
        <v>0.0</v>
      </c>
      <c r="T1220" s="23">
        <f t="shared" si="2"/>
        <v>0</v>
      </c>
      <c r="U1220" s="23">
        <f t="shared" si="3"/>
        <v>0</v>
      </c>
      <c r="V1220" s="23">
        <f t="shared" si="4"/>
        <v>0</v>
      </c>
      <c r="W1220" s="24" t="str">
        <f t="shared" si="5"/>
        <v>#DIV/0!</v>
      </c>
    </row>
    <row r="1221" hidden="1">
      <c r="A1221" s="15" t="s">
        <v>3121</v>
      </c>
      <c r="B1221" s="18"/>
      <c r="C1221" s="15" t="s">
        <v>7867</v>
      </c>
      <c r="D1221" s="18"/>
      <c r="E1221" s="17" t="s">
        <v>3122</v>
      </c>
      <c r="F1221" s="18"/>
      <c r="G1221" s="18"/>
      <c r="H1221" s="15" t="s">
        <v>3123</v>
      </c>
      <c r="I1221" s="15" t="s">
        <v>3124</v>
      </c>
      <c r="J1221" s="19" t="s">
        <v>59</v>
      </c>
      <c r="K1221" s="19" t="s">
        <v>2387</v>
      </c>
      <c r="L1221" s="19" t="s">
        <v>38</v>
      </c>
      <c r="M1221" s="20">
        <f t="shared" si="1"/>
        <v>0</v>
      </c>
      <c r="N1221" s="22"/>
      <c r="O1221" s="19" t="s">
        <v>1145</v>
      </c>
      <c r="P1221" s="18"/>
      <c r="Q1221" s="18"/>
      <c r="R1221" s="23">
        <v>0.0</v>
      </c>
      <c r="S1221" s="23">
        <v>0.0</v>
      </c>
      <c r="T1221" s="23">
        <f t="shared" si="2"/>
        <v>0</v>
      </c>
      <c r="U1221" s="23">
        <f t="shared" si="3"/>
        <v>0</v>
      </c>
      <c r="V1221" s="23">
        <f t="shared" si="4"/>
        <v>0</v>
      </c>
      <c r="W1221" s="24" t="str">
        <f t="shared" si="5"/>
        <v>#DIV/0!</v>
      </c>
    </row>
    <row r="1222" hidden="1">
      <c r="A1222" s="15" t="s">
        <v>7868</v>
      </c>
      <c r="B1222" s="18"/>
      <c r="C1222" s="15" t="s">
        <v>7869</v>
      </c>
      <c r="D1222" s="18"/>
      <c r="E1222" s="17" t="s">
        <v>112</v>
      </c>
      <c r="F1222" s="18"/>
      <c r="G1222" s="18"/>
      <c r="H1222" s="15" t="s">
        <v>7870</v>
      </c>
      <c r="I1222" s="15" t="s">
        <v>7871</v>
      </c>
      <c r="J1222" s="19" t="s">
        <v>59</v>
      </c>
      <c r="K1222" s="19" t="s">
        <v>2387</v>
      </c>
      <c r="L1222" s="19" t="s">
        <v>38</v>
      </c>
      <c r="M1222" s="20">
        <f t="shared" si="1"/>
        <v>0</v>
      </c>
      <c r="N1222" s="22"/>
      <c r="O1222" s="19" t="s">
        <v>39</v>
      </c>
      <c r="P1222" s="18"/>
      <c r="Q1222" s="18"/>
      <c r="R1222" s="23">
        <v>0.0</v>
      </c>
      <c r="S1222" s="23">
        <v>0.0</v>
      </c>
      <c r="T1222" s="23">
        <f t="shared" si="2"/>
        <v>0</v>
      </c>
      <c r="U1222" s="23">
        <f t="shared" si="3"/>
        <v>0</v>
      </c>
      <c r="V1222" s="23">
        <f t="shared" si="4"/>
        <v>0</v>
      </c>
      <c r="W1222" s="24" t="str">
        <f t="shared" si="5"/>
        <v>#DIV/0!</v>
      </c>
    </row>
    <row r="1223" hidden="1">
      <c r="A1223" s="15" t="s">
        <v>3125</v>
      </c>
      <c r="B1223" s="18"/>
      <c r="C1223" s="15" t="s">
        <v>7872</v>
      </c>
      <c r="D1223" s="18"/>
      <c r="E1223" s="17" t="s">
        <v>3126</v>
      </c>
      <c r="F1223" s="18"/>
      <c r="G1223" s="18"/>
      <c r="H1223" s="15" t="s">
        <v>3127</v>
      </c>
      <c r="I1223" s="15" t="s">
        <v>3128</v>
      </c>
      <c r="J1223" s="19" t="s">
        <v>59</v>
      </c>
      <c r="K1223" s="19" t="s">
        <v>2401</v>
      </c>
      <c r="L1223" s="19" t="s">
        <v>38</v>
      </c>
      <c r="M1223" s="20">
        <f t="shared" si="1"/>
        <v>0</v>
      </c>
      <c r="N1223" s="22"/>
      <c r="O1223" s="19" t="s">
        <v>1145</v>
      </c>
      <c r="P1223" s="18"/>
      <c r="Q1223" s="18"/>
      <c r="R1223" s="23">
        <v>0.0</v>
      </c>
      <c r="S1223" s="23">
        <v>0.0</v>
      </c>
      <c r="T1223" s="23">
        <f t="shared" si="2"/>
        <v>0</v>
      </c>
      <c r="U1223" s="23">
        <f t="shared" si="3"/>
        <v>0</v>
      </c>
      <c r="V1223" s="23">
        <f t="shared" si="4"/>
        <v>0</v>
      </c>
      <c r="W1223" s="24" t="str">
        <f t="shared" si="5"/>
        <v>#DIV/0!</v>
      </c>
    </row>
    <row r="1224" hidden="1">
      <c r="A1224" s="15" t="s">
        <v>3129</v>
      </c>
      <c r="B1224" s="18"/>
      <c r="C1224" s="15" t="s">
        <v>7873</v>
      </c>
      <c r="D1224" s="18"/>
      <c r="E1224" s="17" t="s">
        <v>3126</v>
      </c>
      <c r="F1224" s="18"/>
      <c r="G1224" s="18"/>
      <c r="H1224" s="15" t="s">
        <v>3130</v>
      </c>
      <c r="I1224" s="15" t="s">
        <v>3131</v>
      </c>
      <c r="J1224" s="19" t="s">
        <v>59</v>
      </c>
      <c r="K1224" s="19" t="s">
        <v>2401</v>
      </c>
      <c r="L1224" s="19" t="s">
        <v>38</v>
      </c>
      <c r="M1224" s="20">
        <f t="shared" si="1"/>
        <v>0</v>
      </c>
      <c r="N1224" s="22"/>
      <c r="O1224" s="19" t="s">
        <v>1145</v>
      </c>
      <c r="P1224" s="18"/>
      <c r="Q1224" s="18"/>
      <c r="R1224" s="23">
        <v>0.0</v>
      </c>
      <c r="S1224" s="23">
        <v>0.0</v>
      </c>
      <c r="T1224" s="23">
        <f t="shared" si="2"/>
        <v>0</v>
      </c>
      <c r="U1224" s="23">
        <f t="shared" si="3"/>
        <v>0</v>
      </c>
      <c r="V1224" s="23">
        <f t="shared" si="4"/>
        <v>0</v>
      </c>
      <c r="W1224" s="24" t="str">
        <f t="shared" si="5"/>
        <v>#DIV/0!</v>
      </c>
    </row>
    <row r="1225">
      <c r="A1225" s="15" t="s">
        <v>4895</v>
      </c>
      <c r="B1225" s="15" t="s">
        <v>4896</v>
      </c>
      <c r="C1225" s="15" t="s">
        <v>7292</v>
      </c>
      <c r="D1225" s="15" t="s">
        <v>4897</v>
      </c>
      <c r="E1225" s="17" t="s">
        <v>4898</v>
      </c>
      <c r="F1225" s="18"/>
      <c r="G1225" s="18"/>
      <c r="H1225" s="15" t="s">
        <v>4899</v>
      </c>
      <c r="I1225" s="18"/>
      <c r="J1225" s="19" t="s">
        <v>283</v>
      </c>
      <c r="K1225" s="33"/>
      <c r="L1225" s="19" t="s">
        <v>38</v>
      </c>
      <c r="M1225" s="20">
        <f t="shared" si="1"/>
        <v>0</v>
      </c>
      <c r="N1225" s="22"/>
      <c r="O1225" s="19" t="s">
        <v>3578</v>
      </c>
      <c r="P1225" s="18"/>
      <c r="Q1225" s="18"/>
      <c r="R1225" s="23">
        <v>0.0</v>
      </c>
      <c r="S1225" s="23">
        <v>0.0</v>
      </c>
      <c r="T1225" s="23">
        <f t="shared" si="2"/>
        <v>0</v>
      </c>
      <c r="U1225" s="23">
        <f t="shared" si="3"/>
        <v>0</v>
      </c>
      <c r="V1225" s="23">
        <f t="shared" si="4"/>
        <v>0</v>
      </c>
      <c r="W1225" s="24" t="str">
        <f t="shared" si="5"/>
        <v>#DIV/0!</v>
      </c>
    </row>
    <row r="1226">
      <c r="A1226" s="15" t="s">
        <v>4900</v>
      </c>
      <c r="B1226" s="15" t="s">
        <v>4901</v>
      </c>
      <c r="C1226" s="15" t="s">
        <v>7295</v>
      </c>
      <c r="D1226" s="15" t="s">
        <v>4902</v>
      </c>
      <c r="E1226" s="17" t="s">
        <v>4903</v>
      </c>
      <c r="F1226" s="18"/>
      <c r="G1226" s="18"/>
      <c r="H1226" s="15" t="s">
        <v>4904</v>
      </c>
      <c r="I1226" s="18"/>
      <c r="J1226" s="19" t="s">
        <v>283</v>
      </c>
      <c r="K1226" s="19" t="s">
        <v>1269</v>
      </c>
      <c r="L1226" s="19" t="s">
        <v>38</v>
      </c>
      <c r="M1226" s="20">
        <f t="shared" si="1"/>
        <v>0</v>
      </c>
      <c r="N1226" s="22"/>
      <c r="O1226" s="19" t="s">
        <v>3578</v>
      </c>
      <c r="P1226" s="18"/>
      <c r="Q1226" s="18"/>
      <c r="R1226" s="23">
        <v>0.0</v>
      </c>
      <c r="S1226" s="23">
        <v>0.0</v>
      </c>
      <c r="T1226" s="23">
        <f t="shared" si="2"/>
        <v>0</v>
      </c>
      <c r="U1226" s="23">
        <f t="shared" si="3"/>
        <v>0</v>
      </c>
      <c r="V1226" s="23">
        <f t="shared" si="4"/>
        <v>0</v>
      </c>
      <c r="W1226" s="24" t="str">
        <f t="shared" si="5"/>
        <v>#DIV/0!</v>
      </c>
    </row>
    <row r="1227">
      <c r="A1227" s="15" t="s">
        <v>4905</v>
      </c>
      <c r="B1227" s="15" t="s">
        <v>4906</v>
      </c>
      <c r="C1227" s="15" t="s">
        <v>7296</v>
      </c>
      <c r="D1227" s="15" t="s">
        <v>4907</v>
      </c>
      <c r="E1227" s="17" t="s">
        <v>4908</v>
      </c>
      <c r="F1227" s="18"/>
      <c r="G1227" s="18"/>
      <c r="H1227" s="15" t="s">
        <v>4909</v>
      </c>
      <c r="I1227" s="15" t="s">
        <v>4910</v>
      </c>
      <c r="J1227" s="19" t="s">
        <v>283</v>
      </c>
      <c r="K1227" s="33"/>
      <c r="L1227" s="19" t="s">
        <v>38</v>
      </c>
      <c r="M1227" s="20">
        <f t="shared" si="1"/>
        <v>0</v>
      </c>
      <c r="N1227" s="22"/>
      <c r="O1227" s="19" t="s">
        <v>3578</v>
      </c>
      <c r="P1227" s="18"/>
      <c r="Q1227" s="18"/>
      <c r="R1227" s="23">
        <v>0.0</v>
      </c>
      <c r="S1227" s="23">
        <v>0.0</v>
      </c>
      <c r="T1227" s="23">
        <f t="shared" si="2"/>
        <v>0</v>
      </c>
      <c r="U1227" s="23">
        <f t="shared" si="3"/>
        <v>0</v>
      </c>
      <c r="V1227" s="23">
        <f t="shared" si="4"/>
        <v>0</v>
      </c>
      <c r="W1227" s="24" t="str">
        <f t="shared" si="5"/>
        <v>#DIV/0!</v>
      </c>
    </row>
    <row r="1228" hidden="1">
      <c r="A1228" s="15" t="s">
        <v>5200</v>
      </c>
      <c r="B1228" s="18"/>
      <c r="C1228" s="15" t="s">
        <v>7875</v>
      </c>
      <c r="D1228" s="18"/>
      <c r="E1228" s="17" t="s">
        <v>7876</v>
      </c>
      <c r="F1228" s="18"/>
      <c r="G1228" s="18"/>
      <c r="H1228" s="15" t="s">
        <v>7877</v>
      </c>
      <c r="I1228" s="15" t="s">
        <v>5203</v>
      </c>
      <c r="J1228" s="19" t="s">
        <v>59</v>
      </c>
      <c r="K1228" s="19" t="s">
        <v>2396</v>
      </c>
      <c r="L1228" s="19" t="s">
        <v>38</v>
      </c>
      <c r="M1228" s="20">
        <f t="shared" si="1"/>
        <v>0</v>
      </c>
      <c r="N1228" s="22"/>
      <c r="O1228" s="19" t="s">
        <v>1145</v>
      </c>
      <c r="P1228" s="18"/>
      <c r="Q1228" s="18"/>
      <c r="R1228" s="23">
        <v>0.0</v>
      </c>
      <c r="S1228" s="23">
        <v>0.0</v>
      </c>
      <c r="T1228" s="23">
        <f t="shared" si="2"/>
        <v>0</v>
      </c>
      <c r="U1228" s="23">
        <f t="shared" si="3"/>
        <v>0</v>
      </c>
      <c r="V1228" s="23">
        <f t="shared" si="4"/>
        <v>0</v>
      </c>
      <c r="W1228" s="24" t="str">
        <f t="shared" si="5"/>
        <v>#DIV/0!</v>
      </c>
    </row>
    <row r="1229" hidden="1">
      <c r="A1229" s="15" t="s">
        <v>5204</v>
      </c>
      <c r="B1229" s="18"/>
      <c r="C1229" s="15" t="s">
        <v>7878</v>
      </c>
      <c r="D1229" s="18"/>
      <c r="E1229" s="17" t="s">
        <v>7879</v>
      </c>
      <c r="F1229" s="18"/>
      <c r="G1229" s="18"/>
      <c r="H1229" s="15" t="s">
        <v>7880</v>
      </c>
      <c r="I1229" s="15" t="s">
        <v>5207</v>
      </c>
      <c r="J1229" s="19" t="s">
        <v>59</v>
      </c>
      <c r="K1229" s="19" t="s">
        <v>2396</v>
      </c>
      <c r="L1229" s="19" t="s">
        <v>38</v>
      </c>
      <c r="M1229" s="20">
        <f t="shared" si="1"/>
        <v>0</v>
      </c>
      <c r="N1229" s="22"/>
      <c r="O1229" s="19" t="s">
        <v>1145</v>
      </c>
      <c r="P1229" s="18"/>
      <c r="Q1229" s="18"/>
      <c r="R1229" s="23">
        <v>0.0</v>
      </c>
      <c r="S1229" s="23">
        <v>0.0</v>
      </c>
      <c r="T1229" s="23">
        <f t="shared" si="2"/>
        <v>0</v>
      </c>
      <c r="U1229" s="23">
        <f t="shared" si="3"/>
        <v>0</v>
      </c>
      <c r="V1229" s="23">
        <f t="shared" si="4"/>
        <v>0</v>
      </c>
      <c r="W1229" s="24" t="str">
        <f t="shared" si="5"/>
        <v>#DIV/0!</v>
      </c>
    </row>
    <row r="1230" hidden="1">
      <c r="A1230" s="15" t="s">
        <v>5208</v>
      </c>
      <c r="B1230" s="18"/>
      <c r="C1230" s="15" t="s">
        <v>7881</v>
      </c>
      <c r="D1230" s="18"/>
      <c r="E1230" s="17" t="s">
        <v>7882</v>
      </c>
      <c r="F1230" s="18"/>
      <c r="G1230" s="18"/>
      <c r="H1230" s="15" t="s">
        <v>7883</v>
      </c>
      <c r="I1230" s="15" t="s">
        <v>5211</v>
      </c>
      <c r="J1230" s="19" t="s">
        <v>59</v>
      </c>
      <c r="K1230" s="19" t="s">
        <v>691</v>
      </c>
      <c r="L1230" s="19" t="s">
        <v>38</v>
      </c>
      <c r="M1230" s="20">
        <f t="shared" si="1"/>
        <v>0</v>
      </c>
      <c r="N1230" s="22"/>
      <c r="O1230" s="19" t="s">
        <v>1145</v>
      </c>
      <c r="P1230" s="18"/>
      <c r="Q1230" s="18"/>
      <c r="R1230" s="23">
        <v>0.0</v>
      </c>
      <c r="S1230" s="23">
        <v>0.0</v>
      </c>
      <c r="T1230" s="23">
        <f t="shared" si="2"/>
        <v>0</v>
      </c>
      <c r="U1230" s="23">
        <f t="shared" si="3"/>
        <v>0</v>
      </c>
      <c r="V1230" s="23">
        <f t="shared" si="4"/>
        <v>0</v>
      </c>
      <c r="W1230" s="24" t="str">
        <f t="shared" si="5"/>
        <v>#DIV/0!</v>
      </c>
    </row>
    <row r="1231" hidden="1">
      <c r="A1231" s="15" t="s">
        <v>3132</v>
      </c>
      <c r="B1231" s="18"/>
      <c r="C1231" s="15" t="s">
        <v>7884</v>
      </c>
      <c r="D1231" s="18"/>
      <c r="E1231" s="17" t="s">
        <v>3133</v>
      </c>
      <c r="F1231" s="18"/>
      <c r="G1231" s="18"/>
      <c r="H1231" s="15" t="s">
        <v>3134</v>
      </c>
      <c r="I1231" s="15" t="s">
        <v>2505</v>
      </c>
      <c r="J1231" s="19" t="s">
        <v>59</v>
      </c>
      <c r="K1231" s="19" t="s">
        <v>691</v>
      </c>
      <c r="L1231" s="19" t="s">
        <v>38</v>
      </c>
      <c r="M1231" s="20">
        <f t="shared" si="1"/>
        <v>0</v>
      </c>
      <c r="N1231" s="22"/>
      <c r="O1231" s="19" t="s">
        <v>1145</v>
      </c>
      <c r="P1231" s="18"/>
      <c r="Q1231" s="18"/>
      <c r="R1231" s="23">
        <v>0.0</v>
      </c>
      <c r="S1231" s="23">
        <v>0.0</v>
      </c>
      <c r="T1231" s="23">
        <f t="shared" si="2"/>
        <v>0</v>
      </c>
      <c r="U1231" s="23">
        <f t="shared" si="3"/>
        <v>0</v>
      </c>
      <c r="V1231" s="23">
        <f t="shared" si="4"/>
        <v>0</v>
      </c>
      <c r="W1231" s="24" t="str">
        <f t="shared" si="5"/>
        <v>#DIV/0!</v>
      </c>
    </row>
    <row r="1232" hidden="1">
      <c r="A1232" s="15" t="s">
        <v>3135</v>
      </c>
      <c r="B1232" s="18"/>
      <c r="C1232" s="15" t="s">
        <v>7885</v>
      </c>
      <c r="D1232" s="18"/>
      <c r="E1232" s="17" t="s">
        <v>3136</v>
      </c>
      <c r="F1232" s="18"/>
      <c r="G1232" s="18"/>
      <c r="H1232" s="15" t="s">
        <v>3137</v>
      </c>
      <c r="I1232" s="15" t="s">
        <v>3138</v>
      </c>
      <c r="J1232" s="19" t="s">
        <v>59</v>
      </c>
      <c r="K1232" s="19" t="s">
        <v>2382</v>
      </c>
      <c r="L1232" s="19" t="s">
        <v>38</v>
      </c>
      <c r="M1232" s="20">
        <f t="shared" si="1"/>
        <v>0</v>
      </c>
      <c r="N1232" s="22"/>
      <c r="O1232" s="19" t="s">
        <v>1145</v>
      </c>
      <c r="P1232" s="18"/>
      <c r="Q1232" s="18"/>
      <c r="R1232" s="23">
        <v>0.0</v>
      </c>
      <c r="S1232" s="23">
        <v>0.0</v>
      </c>
      <c r="T1232" s="23">
        <f t="shared" si="2"/>
        <v>0</v>
      </c>
      <c r="U1232" s="23">
        <f t="shared" si="3"/>
        <v>0</v>
      </c>
      <c r="V1232" s="23">
        <f t="shared" si="4"/>
        <v>0</v>
      </c>
      <c r="W1232" s="24" t="str">
        <f t="shared" si="5"/>
        <v>#DIV/0!</v>
      </c>
    </row>
    <row r="1233">
      <c r="A1233" s="15" t="s">
        <v>4911</v>
      </c>
      <c r="B1233" s="15" t="s">
        <v>4912</v>
      </c>
      <c r="C1233" s="15" t="s">
        <v>7298</v>
      </c>
      <c r="D1233" s="18"/>
      <c r="E1233" s="17" t="s">
        <v>4914</v>
      </c>
      <c r="F1233" s="18"/>
      <c r="G1233" s="18"/>
      <c r="H1233" s="15" t="s">
        <v>4915</v>
      </c>
      <c r="I1233" s="18"/>
      <c r="J1233" s="19" t="s">
        <v>283</v>
      </c>
      <c r="K1233" s="33"/>
      <c r="L1233" s="19" t="s">
        <v>38</v>
      </c>
      <c r="M1233" s="20">
        <f t="shared" si="1"/>
        <v>0</v>
      </c>
      <c r="N1233" s="22"/>
      <c r="O1233" s="19" t="s">
        <v>3578</v>
      </c>
      <c r="P1233" s="18"/>
      <c r="Q1233" s="18"/>
      <c r="R1233" s="23">
        <v>0.0</v>
      </c>
      <c r="S1233" s="23">
        <v>0.0</v>
      </c>
      <c r="T1233" s="23">
        <f t="shared" si="2"/>
        <v>0</v>
      </c>
      <c r="U1233" s="23">
        <f t="shared" si="3"/>
        <v>0</v>
      </c>
      <c r="V1233" s="23">
        <f t="shared" si="4"/>
        <v>0</v>
      </c>
      <c r="W1233" s="24" t="str">
        <f t="shared" si="5"/>
        <v>#DIV/0!</v>
      </c>
    </row>
    <row r="1234">
      <c r="A1234" s="15" t="s">
        <v>4916</v>
      </c>
      <c r="B1234" s="15" t="s">
        <v>4917</v>
      </c>
      <c r="C1234" s="15" t="s">
        <v>7299</v>
      </c>
      <c r="D1234" s="18"/>
      <c r="E1234" s="17" t="s">
        <v>4919</v>
      </c>
      <c r="F1234" s="18"/>
      <c r="G1234" s="18"/>
      <c r="H1234" s="15" t="s">
        <v>4920</v>
      </c>
      <c r="I1234" s="18"/>
      <c r="J1234" s="19" t="s">
        <v>283</v>
      </c>
      <c r="K1234" s="33"/>
      <c r="L1234" s="19" t="s">
        <v>38</v>
      </c>
      <c r="M1234" s="20">
        <f t="shared" si="1"/>
        <v>0</v>
      </c>
      <c r="N1234" s="22"/>
      <c r="O1234" s="19" t="s">
        <v>3578</v>
      </c>
      <c r="P1234" s="18"/>
      <c r="Q1234" s="18"/>
      <c r="R1234" s="23">
        <v>0.0</v>
      </c>
      <c r="S1234" s="23">
        <v>0.0</v>
      </c>
      <c r="T1234" s="23">
        <f t="shared" si="2"/>
        <v>0</v>
      </c>
      <c r="U1234" s="23">
        <f t="shared" si="3"/>
        <v>0</v>
      </c>
      <c r="V1234" s="23">
        <f t="shared" si="4"/>
        <v>0</v>
      </c>
      <c r="W1234" s="24" t="str">
        <f t="shared" si="5"/>
        <v>#DIV/0!</v>
      </c>
    </row>
    <row r="1235" hidden="1">
      <c r="A1235" s="15" t="s">
        <v>3139</v>
      </c>
      <c r="B1235" s="18"/>
      <c r="C1235" s="15" t="s">
        <v>7888</v>
      </c>
      <c r="D1235" s="18"/>
      <c r="E1235" s="17" t="s">
        <v>3140</v>
      </c>
      <c r="F1235" s="18"/>
      <c r="G1235" s="18"/>
      <c r="H1235" s="15" t="s">
        <v>3141</v>
      </c>
      <c r="I1235" s="15" t="s">
        <v>3142</v>
      </c>
      <c r="J1235" s="19" t="s">
        <v>59</v>
      </c>
      <c r="K1235" s="19" t="s">
        <v>2396</v>
      </c>
      <c r="L1235" s="19" t="s">
        <v>38</v>
      </c>
      <c r="M1235" s="20">
        <f t="shared" si="1"/>
        <v>0</v>
      </c>
      <c r="N1235" s="22"/>
      <c r="O1235" s="19" t="s">
        <v>1145</v>
      </c>
      <c r="P1235" s="18"/>
      <c r="Q1235" s="18"/>
      <c r="R1235" s="23">
        <v>0.0</v>
      </c>
      <c r="S1235" s="23">
        <v>0.0</v>
      </c>
      <c r="T1235" s="23">
        <f t="shared" si="2"/>
        <v>0</v>
      </c>
      <c r="U1235" s="23">
        <f t="shared" si="3"/>
        <v>0</v>
      </c>
      <c r="V1235" s="23">
        <f t="shared" si="4"/>
        <v>0</v>
      </c>
      <c r="W1235" s="24" t="str">
        <f t="shared" si="5"/>
        <v>#DIV/0!</v>
      </c>
    </row>
    <row r="1236" hidden="1">
      <c r="A1236" s="15" t="s">
        <v>5217</v>
      </c>
      <c r="B1236" s="18"/>
      <c r="C1236" s="15" t="s">
        <v>7889</v>
      </c>
      <c r="D1236" s="18"/>
      <c r="E1236" s="17" t="s">
        <v>7890</v>
      </c>
      <c r="F1236" s="18"/>
      <c r="G1236" s="18"/>
      <c r="H1236" s="15" t="s">
        <v>5221</v>
      </c>
      <c r="I1236" s="15" t="s">
        <v>5220</v>
      </c>
      <c r="J1236" s="19" t="s">
        <v>59</v>
      </c>
      <c r="K1236" s="19" t="s">
        <v>2396</v>
      </c>
      <c r="L1236" s="19" t="s">
        <v>38</v>
      </c>
      <c r="M1236" s="20">
        <f t="shared" si="1"/>
        <v>0</v>
      </c>
      <c r="N1236" s="22"/>
      <c r="O1236" s="19" t="s">
        <v>1145</v>
      </c>
      <c r="P1236" s="18"/>
      <c r="Q1236" s="18"/>
      <c r="R1236" s="23">
        <v>0.0</v>
      </c>
      <c r="S1236" s="23">
        <v>0.0</v>
      </c>
      <c r="T1236" s="23">
        <f t="shared" si="2"/>
        <v>0</v>
      </c>
      <c r="U1236" s="23">
        <f t="shared" si="3"/>
        <v>0</v>
      </c>
      <c r="V1236" s="23">
        <f t="shared" si="4"/>
        <v>0</v>
      </c>
      <c r="W1236" s="24" t="str">
        <f t="shared" si="5"/>
        <v>#DIV/0!</v>
      </c>
    </row>
    <row r="1237" hidden="1">
      <c r="A1237" s="15" t="s">
        <v>3143</v>
      </c>
      <c r="B1237" s="18"/>
      <c r="C1237" s="15" t="s">
        <v>7891</v>
      </c>
      <c r="D1237" s="18"/>
      <c r="E1237" s="17" t="s">
        <v>3144</v>
      </c>
      <c r="F1237" s="18"/>
      <c r="G1237" s="18"/>
      <c r="H1237" s="15" t="s">
        <v>3145</v>
      </c>
      <c r="I1237" s="15" t="s">
        <v>2844</v>
      </c>
      <c r="J1237" s="19" t="s">
        <v>59</v>
      </c>
      <c r="K1237" s="19" t="s">
        <v>2396</v>
      </c>
      <c r="L1237" s="19" t="s">
        <v>38</v>
      </c>
      <c r="M1237" s="20">
        <f t="shared" si="1"/>
        <v>0</v>
      </c>
      <c r="N1237" s="22"/>
      <c r="O1237" s="19" t="s">
        <v>1145</v>
      </c>
      <c r="P1237" s="18"/>
      <c r="Q1237" s="18"/>
      <c r="R1237" s="23">
        <v>0.0</v>
      </c>
      <c r="S1237" s="23">
        <v>0.0</v>
      </c>
      <c r="T1237" s="23">
        <f t="shared" si="2"/>
        <v>0</v>
      </c>
      <c r="U1237" s="23">
        <f t="shared" si="3"/>
        <v>0</v>
      </c>
      <c r="V1237" s="23">
        <f t="shared" si="4"/>
        <v>0</v>
      </c>
      <c r="W1237" s="24" t="str">
        <f t="shared" si="5"/>
        <v>#DIV/0!</v>
      </c>
    </row>
    <row r="1238" hidden="1">
      <c r="A1238" s="15" t="s">
        <v>5222</v>
      </c>
      <c r="B1238" s="18"/>
      <c r="C1238" s="15" t="s">
        <v>7892</v>
      </c>
      <c r="D1238" s="18"/>
      <c r="E1238" s="17" t="s">
        <v>3144</v>
      </c>
      <c r="F1238" s="18"/>
      <c r="G1238" s="18"/>
      <c r="H1238" s="15" t="s">
        <v>7893</v>
      </c>
      <c r="I1238" s="15" t="s">
        <v>5225</v>
      </c>
      <c r="J1238" s="19" t="s">
        <v>59</v>
      </c>
      <c r="K1238" s="19" t="s">
        <v>2396</v>
      </c>
      <c r="L1238" s="19" t="s">
        <v>38</v>
      </c>
      <c r="M1238" s="20">
        <f t="shared" si="1"/>
        <v>0</v>
      </c>
      <c r="N1238" s="22"/>
      <c r="O1238" s="19" t="s">
        <v>1145</v>
      </c>
      <c r="P1238" s="18"/>
      <c r="Q1238" s="18"/>
      <c r="R1238" s="23">
        <v>0.0</v>
      </c>
      <c r="S1238" s="23">
        <v>0.0</v>
      </c>
      <c r="T1238" s="23">
        <f t="shared" si="2"/>
        <v>0</v>
      </c>
      <c r="U1238" s="23">
        <f t="shared" si="3"/>
        <v>0</v>
      </c>
      <c r="V1238" s="23">
        <f t="shared" si="4"/>
        <v>0</v>
      </c>
      <c r="W1238" s="24" t="str">
        <f t="shared" si="5"/>
        <v>#DIV/0!</v>
      </c>
    </row>
    <row r="1239">
      <c r="A1239" s="15" t="s">
        <v>4921</v>
      </c>
      <c r="B1239" s="15" t="s">
        <v>4922</v>
      </c>
      <c r="C1239" s="15" t="s">
        <v>7300</v>
      </c>
      <c r="D1239" s="18"/>
      <c r="E1239" s="17" t="s">
        <v>4923</v>
      </c>
      <c r="F1239" s="18"/>
      <c r="G1239" s="18"/>
      <c r="H1239" s="15" t="s">
        <v>4924</v>
      </c>
      <c r="I1239" s="18"/>
      <c r="J1239" s="19" t="s">
        <v>283</v>
      </c>
      <c r="K1239" s="33"/>
      <c r="L1239" s="19" t="s">
        <v>38</v>
      </c>
      <c r="M1239" s="20">
        <f t="shared" si="1"/>
        <v>0</v>
      </c>
      <c r="N1239" s="22"/>
      <c r="O1239" s="19" t="s">
        <v>3578</v>
      </c>
      <c r="P1239" s="18"/>
      <c r="Q1239" s="18"/>
      <c r="R1239" s="23">
        <v>0.0</v>
      </c>
      <c r="S1239" s="23">
        <v>0.0</v>
      </c>
      <c r="T1239" s="23">
        <f t="shared" si="2"/>
        <v>0</v>
      </c>
      <c r="U1239" s="23">
        <f t="shared" si="3"/>
        <v>0</v>
      </c>
      <c r="V1239" s="23">
        <f t="shared" si="4"/>
        <v>0</v>
      </c>
      <c r="W1239" s="24" t="str">
        <f t="shared" si="5"/>
        <v>#DIV/0!</v>
      </c>
    </row>
    <row r="1240" hidden="1">
      <c r="A1240" s="15" t="s">
        <v>7894</v>
      </c>
      <c r="B1240" s="18"/>
      <c r="C1240" s="15" t="s">
        <v>7895</v>
      </c>
      <c r="D1240" s="18"/>
      <c r="E1240" s="17" t="s">
        <v>7896</v>
      </c>
      <c r="F1240" s="18"/>
      <c r="G1240" s="18"/>
      <c r="H1240" s="15" t="s">
        <v>7897</v>
      </c>
      <c r="I1240" s="15" t="s">
        <v>170</v>
      </c>
      <c r="J1240" s="19" t="s">
        <v>59</v>
      </c>
      <c r="K1240" s="19" t="s">
        <v>691</v>
      </c>
      <c r="L1240" s="19" t="s">
        <v>38</v>
      </c>
      <c r="M1240" s="20">
        <f t="shared" si="1"/>
        <v>0</v>
      </c>
      <c r="N1240" s="22"/>
      <c r="O1240" s="19" t="s">
        <v>39</v>
      </c>
      <c r="P1240" s="18"/>
      <c r="Q1240" s="18"/>
      <c r="R1240" s="23">
        <v>0.0</v>
      </c>
      <c r="S1240" s="23">
        <v>0.0</v>
      </c>
      <c r="T1240" s="23">
        <f t="shared" si="2"/>
        <v>0</v>
      </c>
      <c r="U1240" s="23">
        <f t="shared" si="3"/>
        <v>0</v>
      </c>
      <c r="V1240" s="23">
        <f t="shared" si="4"/>
        <v>0</v>
      </c>
      <c r="W1240" s="24" t="str">
        <f t="shared" si="5"/>
        <v>#DIV/0!</v>
      </c>
    </row>
    <row r="1241" hidden="1">
      <c r="A1241" s="15" t="s">
        <v>3146</v>
      </c>
      <c r="B1241" s="18"/>
      <c r="C1241" s="15" t="s">
        <v>7898</v>
      </c>
      <c r="D1241" s="18"/>
      <c r="E1241" s="17" t="s">
        <v>3147</v>
      </c>
      <c r="F1241" s="18"/>
      <c r="G1241" s="18"/>
      <c r="H1241" s="15" t="s">
        <v>3148</v>
      </c>
      <c r="I1241" s="15" t="s">
        <v>3149</v>
      </c>
      <c r="J1241" s="19" t="s">
        <v>59</v>
      </c>
      <c r="K1241" s="19" t="s">
        <v>2387</v>
      </c>
      <c r="L1241" s="19" t="s">
        <v>38</v>
      </c>
      <c r="M1241" s="20">
        <f t="shared" si="1"/>
        <v>0</v>
      </c>
      <c r="N1241" s="22"/>
      <c r="O1241" s="19" t="s">
        <v>1145</v>
      </c>
      <c r="P1241" s="18"/>
      <c r="Q1241" s="18"/>
      <c r="R1241" s="23">
        <v>0.0</v>
      </c>
      <c r="S1241" s="23">
        <v>0.0</v>
      </c>
      <c r="T1241" s="23">
        <f t="shared" si="2"/>
        <v>0</v>
      </c>
      <c r="U1241" s="23">
        <f t="shared" si="3"/>
        <v>0</v>
      </c>
      <c r="V1241" s="23">
        <f t="shared" si="4"/>
        <v>0</v>
      </c>
      <c r="W1241" s="24" t="str">
        <f t="shared" si="5"/>
        <v>#DIV/0!</v>
      </c>
    </row>
    <row r="1242" hidden="1">
      <c r="A1242" s="15" t="s">
        <v>3150</v>
      </c>
      <c r="B1242" s="18"/>
      <c r="C1242" s="15" t="s">
        <v>7899</v>
      </c>
      <c r="D1242" s="18"/>
      <c r="E1242" s="17" t="s">
        <v>3151</v>
      </c>
      <c r="F1242" s="18"/>
      <c r="G1242" s="18"/>
      <c r="H1242" s="15" t="s">
        <v>3152</v>
      </c>
      <c r="I1242" s="15" t="s">
        <v>3153</v>
      </c>
      <c r="J1242" s="19" t="s">
        <v>59</v>
      </c>
      <c r="K1242" s="19" t="s">
        <v>691</v>
      </c>
      <c r="L1242" s="19" t="s">
        <v>38</v>
      </c>
      <c r="M1242" s="20">
        <f t="shared" si="1"/>
        <v>0</v>
      </c>
      <c r="N1242" s="22"/>
      <c r="O1242" s="19" t="s">
        <v>1145</v>
      </c>
      <c r="P1242" s="18"/>
      <c r="Q1242" s="18"/>
      <c r="R1242" s="23">
        <v>0.0</v>
      </c>
      <c r="S1242" s="23">
        <v>0.0</v>
      </c>
      <c r="T1242" s="23">
        <f t="shared" si="2"/>
        <v>0</v>
      </c>
      <c r="U1242" s="23">
        <f t="shared" si="3"/>
        <v>0</v>
      </c>
      <c r="V1242" s="23">
        <f t="shared" si="4"/>
        <v>0</v>
      </c>
      <c r="W1242" s="24" t="str">
        <f t="shared" si="5"/>
        <v>#DIV/0!</v>
      </c>
    </row>
    <row r="1243" hidden="1">
      <c r="A1243" s="15" t="s">
        <v>7900</v>
      </c>
      <c r="B1243" s="18"/>
      <c r="C1243" s="15" t="s">
        <v>7901</v>
      </c>
      <c r="D1243" s="18"/>
      <c r="E1243" s="17" t="s">
        <v>7902</v>
      </c>
      <c r="F1243" s="18"/>
      <c r="G1243" s="18"/>
      <c r="H1243" s="15" t="s">
        <v>7903</v>
      </c>
      <c r="I1243" s="15" t="s">
        <v>596</v>
      </c>
      <c r="J1243" s="19" t="s">
        <v>59</v>
      </c>
      <c r="K1243" s="19" t="s">
        <v>691</v>
      </c>
      <c r="L1243" s="19" t="s">
        <v>38</v>
      </c>
      <c r="M1243" s="20">
        <f t="shared" si="1"/>
        <v>0</v>
      </c>
      <c r="N1243" s="22"/>
      <c r="O1243" s="19" t="s">
        <v>39</v>
      </c>
      <c r="P1243" s="18"/>
      <c r="Q1243" s="18"/>
      <c r="R1243" s="23">
        <v>0.0</v>
      </c>
      <c r="S1243" s="23">
        <v>0.0</v>
      </c>
      <c r="T1243" s="23">
        <f t="shared" si="2"/>
        <v>0</v>
      </c>
      <c r="U1243" s="23">
        <f t="shared" si="3"/>
        <v>0</v>
      </c>
      <c r="V1243" s="23">
        <f t="shared" si="4"/>
        <v>0</v>
      </c>
      <c r="W1243" s="24" t="str">
        <f t="shared" si="5"/>
        <v>#DIV/0!</v>
      </c>
    </row>
    <row r="1244" hidden="1">
      <c r="A1244" s="15" t="s">
        <v>3154</v>
      </c>
      <c r="B1244" s="18"/>
      <c r="C1244" s="15" t="s">
        <v>7904</v>
      </c>
      <c r="D1244" s="18"/>
      <c r="E1244" s="17" t="s">
        <v>3155</v>
      </c>
      <c r="F1244" s="18"/>
      <c r="G1244" s="18"/>
      <c r="H1244" s="15" t="s">
        <v>3156</v>
      </c>
      <c r="I1244" s="15" t="s">
        <v>3157</v>
      </c>
      <c r="J1244" s="19" t="s">
        <v>59</v>
      </c>
      <c r="K1244" s="19" t="s">
        <v>2382</v>
      </c>
      <c r="L1244" s="19" t="s">
        <v>38</v>
      </c>
      <c r="M1244" s="20">
        <f t="shared" si="1"/>
        <v>0</v>
      </c>
      <c r="N1244" s="22"/>
      <c r="O1244" s="19" t="s">
        <v>1145</v>
      </c>
      <c r="P1244" s="18"/>
      <c r="Q1244" s="18"/>
      <c r="R1244" s="23">
        <v>0.0</v>
      </c>
      <c r="S1244" s="23">
        <v>0.0</v>
      </c>
      <c r="T1244" s="23">
        <f t="shared" si="2"/>
        <v>0</v>
      </c>
      <c r="U1244" s="23">
        <f t="shared" si="3"/>
        <v>0</v>
      </c>
      <c r="V1244" s="23">
        <f t="shared" si="4"/>
        <v>0</v>
      </c>
      <c r="W1244" s="24" t="str">
        <f t="shared" si="5"/>
        <v>#DIV/0!</v>
      </c>
    </row>
    <row r="1245" hidden="1">
      <c r="A1245" s="15" t="s">
        <v>3158</v>
      </c>
      <c r="B1245" s="18"/>
      <c r="C1245" s="15" t="s">
        <v>7905</v>
      </c>
      <c r="D1245" s="18"/>
      <c r="E1245" s="17" t="s">
        <v>3159</v>
      </c>
      <c r="F1245" s="18"/>
      <c r="G1245" s="18"/>
      <c r="H1245" s="15" t="s">
        <v>3160</v>
      </c>
      <c r="I1245" s="15" t="s">
        <v>3161</v>
      </c>
      <c r="J1245" s="19" t="s">
        <v>59</v>
      </c>
      <c r="K1245" s="19" t="s">
        <v>2382</v>
      </c>
      <c r="L1245" s="19" t="s">
        <v>38</v>
      </c>
      <c r="M1245" s="20">
        <f t="shared" si="1"/>
        <v>0</v>
      </c>
      <c r="N1245" s="22"/>
      <c r="O1245" s="19" t="s">
        <v>1145</v>
      </c>
      <c r="P1245" s="18"/>
      <c r="Q1245" s="18"/>
      <c r="R1245" s="23">
        <v>0.0</v>
      </c>
      <c r="S1245" s="23">
        <v>0.0</v>
      </c>
      <c r="T1245" s="23">
        <f t="shared" si="2"/>
        <v>0</v>
      </c>
      <c r="U1245" s="23">
        <f t="shared" si="3"/>
        <v>0</v>
      </c>
      <c r="V1245" s="23">
        <f t="shared" si="4"/>
        <v>0</v>
      </c>
      <c r="W1245" s="24" t="str">
        <f t="shared" si="5"/>
        <v>#DIV/0!</v>
      </c>
    </row>
    <row r="1246" hidden="1">
      <c r="A1246" s="15" t="s">
        <v>7906</v>
      </c>
      <c r="B1246" s="18"/>
      <c r="C1246" s="15" t="s">
        <v>7907</v>
      </c>
      <c r="D1246" s="18"/>
      <c r="E1246" s="17" t="s">
        <v>7908</v>
      </c>
      <c r="F1246" s="18"/>
      <c r="G1246" s="18"/>
      <c r="H1246" s="15" t="s">
        <v>7909</v>
      </c>
      <c r="I1246" s="15" t="s">
        <v>445</v>
      </c>
      <c r="J1246" s="19" t="s">
        <v>59</v>
      </c>
      <c r="K1246" s="19" t="s">
        <v>2382</v>
      </c>
      <c r="L1246" s="19" t="s">
        <v>38</v>
      </c>
      <c r="M1246" s="20">
        <f t="shared" si="1"/>
        <v>0</v>
      </c>
      <c r="N1246" s="22"/>
      <c r="O1246" s="19" t="s">
        <v>39</v>
      </c>
      <c r="P1246" s="18"/>
      <c r="Q1246" s="18"/>
      <c r="R1246" s="23">
        <v>0.0</v>
      </c>
      <c r="S1246" s="23">
        <v>0.0</v>
      </c>
      <c r="T1246" s="23">
        <f t="shared" si="2"/>
        <v>0</v>
      </c>
      <c r="U1246" s="23">
        <f t="shared" si="3"/>
        <v>0</v>
      </c>
      <c r="V1246" s="23">
        <f t="shared" si="4"/>
        <v>0</v>
      </c>
      <c r="W1246" s="24" t="str">
        <f t="shared" si="5"/>
        <v>#DIV/0!</v>
      </c>
    </row>
    <row r="1247" hidden="1">
      <c r="A1247" s="15" t="s">
        <v>3162</v>
      </c>
      <c r="B1247" s="18"/>
      <c r="C1247" s="15" t="s">
        <v>7910</v>
      </c>
      <c r="D1247" s="18"/>
      <c r="E1247" s="17" t="s">
        <v>3163</v>
      </c>
      <c r="F1247" s="18"/>
      <c r="G1247" s="18"/>
      <c r="H1247" s="15" t="s">
        <v>3164</v>
      </c>
      <c r="I1247" s="15" t="s">
        <v>3165</v>
      </c>
      <c r="J1247" s="19" t="s">
        <v>59</v>
      </c>
      <c r="K1247" s="19" t="s">
        <v>2382</v>
      </c>
      <c r="L1247" s="19" t="s">
        <v>38</v>
      </c>
      <c r="M1247" s="20">
        <f t="shared" si="1"/>
        <v>0</v>
      </c>
      <c r="N1247" s="22"/>
      <c r="O1247" s="19" t="s">
        <v>1145</v>
      </c>
      <c r="P1247" s="18"/>
      <c r="Q1247" s="18"/>
      <c r="R1247" s="23">
        <v>0.0</v>
      </c>
      <c r="S1247" s="23">
        <v>0.0</v>
      </c>
      <c r="T1247" s="23">
        <f t="shared" si="2"/>
        <v>0</v>
      </c>
      <c r="U1247" s="23">
        <f t="shared" si="3"/>
        <v>0</v>
      </c>
      <c r="V1247" s="23">
        <f t="shared" si="4"/>
        <v>0</v>
      </c>
      <c r="W1247" s="24" t="str">
        <f t="shared" si="5"/>
        <v>#DIV/0!</v>
      </c>
    </row>
    <row r="1248" hidden="1">
      <c r="A1248" s="15" t="s">
        <v>3166</v>
      </c>
      <c r="B1248" s="18"/>
      <c r="C1248" s="15" t="s">
        <v>7911</v>
      </c>
      <c r="D1248" s="18"/>
      <c r="E1248" s="17" t="s">
        <v>3167</v>
      </c>
      <c r="F1248" s="18"/>
      <c r="G1248" s="18"/>
      <c r="H1248" s="15" t="s">
        <v>3168</v>
      </c>
      <c r="I1248" s="15" t="s">
        <v>838</v>
      </c>
      <c r="J1248" s="19" t="s">
        <v>59</v>
      </c>
      <c r="K1248" s="19" t="s">
        <v>2382</v>
      </c>
      <c r="L1248" s="19" t="s">
        <v>38</v>
      </c>
      <c r="M1248" s="20">
        <f t="shared" si="1"/>
        <v>0</v>
      </c>
      <c r="N1248" s="22"/>
      <c r="O1248" s="19" t="s">
        <v>1145</v>
      </c>
      <c r="P1248" s="18"/>
      <c r="Q1248" s="18"/>
      <c r="R1248" s="23">
        <v>0.0</v>
      </c>
      <c r="S1248" s="23">
        <v>0.0</v>
      </c>
      <c r="T1248" s="23">
        <f t="shared" si="2"/>
        <v>0</v>
      </c>
      <c r="U1248" s="23">
        <f t="shared" si="3"/>
        <v>0</v>
      </c>
      <c r="V1248" s="23">
        <f t="shared" si="4"/>
        <v>0</v>
      </c>
      <c r="W1248" s="24" t="str">
        <f t="shared" si="5"/>
        <v>#DIV/0!</v>
      </c>
    </row>
    <row r="1249" hidden="1">
      <c r="A1249" s="15" t="s">
        <v>7912</v>
      </c>
      <c r="B1249" s="18"/>
      <c r="C1249" s="15" t="s">
        <v>7913</v>
      </c>
      <c r="D1249" s="18"/>
      <c r="E1249" s="17" t="s">
        <v>3170</v>
      </c>
      <c r="F1249" s="18"/>
      <c r="G1249" s="18"/>
      <c r="H1249" s="15" t="s">
        <v>7914</v>
      </c>
      <c r="I1249" s="15" t="s">
        <v>790</v>
      </c>
      <c r="J1249" s="19" t="s">
        <v>59</v>
      </c>
      <c r="K1249" s="19" t="s">
        <v>2382</v>
      </c>
      <c r="L1249" s="19" t="s">
        <v>38</v>
      </c>
      <c r="M1249" s="20">
        <f t="shared" si="1"/>
        <v>0</v>
      </c>
      <c r="N1249" s="22"/>
      <c r="O1249" s="19" t="s">
        <v>39</v>
      </c>
      <c r="P1249" s="18"/>
      <c r="Q1249" s="18"/>
      <c r="R1249" s="23">
        <v>0.0</v>
      </c>
      <c r="S1249" s="23">
        <v>0.0</v>
      </c>
      <c r="T1249" s="23">
        <f t="shared" si="2"/>
        <v>0</v>
      </c>
      <c r="U1249" s="23">
        <f t="shared" si="3"/>
        <v>0</v>
      </c>
      <c r="V1249" s="23">
        <f t="shared" si="4"/>
        <v>0</v>
      </c>
      <c r="W1249" s="24" t="str">
        <f t="shared" si="5"/>
        <v>#DIV/0!</v>
      </c>
    </row>
    <row r="1250" hidden="1">
      <c r="A1250" s="15" t="s">
        <v>3169</v>
      </c>
      <c r="B1250" s="18"/>
      <c r="C1250" s="15" t="s">
        <v>7915</v>
      </c>
      <c r="D1250" s="18"/>
      <c r="E1250" s="17" t="s">
        <v>3170</v>
      </c>
      <c r="F1250" s="18"/>
      <c r="G1250" s="18"/>
      <c r="H1250" s="15" t="s">
        <v>3171</v>
      </c>
      <c r="I1250" s="15" t="s">
        <v>3172</v>
      </c>
      <c r="J1250" s="19" t="s">
        <v>59</v>
      </c>
      <c r="K1250" s="19" t="s">
        <v>2382</v>
      </c>
      <c r="L1250" s="19" t="s">
        <v>38</v>
      </c>
      <c r="M1250" s="20">
        <f t="shared" si="1"/>
        <v>0</v>
      </c>
      <c r="N1250" s="22"/>
      <c r="O1250" s="19" t="s">
        <v>1145</v>
      </c>
      <c r="P1250" s="18"/>
      <c r="Q1250" s="18"/>
      <c r="R1250" s="23">
        <v>0.0</v>
      </c>
      <c r="S1250" s="23">
        <v>0.0</v>
      </c>
      <c r="T1250" s="23">
        <f t="shared" si="2"/>
        <v>0</v>
      </c>
      <c r="U1250" s="23">
        <f t="shared" si="3"/>
        <v>0</v>
      </c>
      <c r="V1250" s="23">
        <f t="shared" si="4"/>
        <v>0</v>
      </c>
      <c r="W1250" s="24" t="str">
        <f t="shared" si="5"/>
        <v>#DIV/0!</v>
      </c>
    </row>
    <row r="1251" hidden="1">
      <c r="A1251" s="15" t="s">
        <v>7916</v>
      </c>
      <c r="B1251" s="18"/>
      <c r="C1251" s="15" t="s">
        <v>7917</v>
      </c>
      <c r="D1251" s="18"/>
      <c r="E1251" s="17" t="s">
        <v>2725</v>
      </c>
      <c r="F1251" s="18"/>
      <c r="G1251" s="18"/>
      <c r="H1251" s="15" t="s">
        <v>7918</v>
      </c>
      <c r="I1251" s="15" t="s">
        <v>433</v>
      </c>
      <c r="J1251" s="19" t="s">
        <v>59</v>
      </c>
      <c r="K1251" s="19" t="s">
        <v>2382</v>
      </c>
      <c r="L1251" s="19" t="s">
        <v>38</v>
      </c>
      <c r="M1251" s="20">
        <f t="shared" si="1"/>
        <v>0</v>
      </c>
      <c r="N1251" s="22"/>
      <c r="O1251" s="19" t="s">
        <v>39</v>
      </c>
      <c r="P1251" s="18"/>
      <c r="Q1251" s="18"/>
      <c r="R1251" s="23">
        <v>0.0</v>
      </c>
      <c r="S1251" s="23">
        <v>0.0</v>
      </c>
      <c r="T1251" s="23">
        <f t="shared" si="2"/>
        <v>0</v>
      </c>
      <c r="U1251" s="23">
        <f t="shared" si="3"/>
        <v>0</v>
      </c>
      <c r="V1251" s="23">
        <f t="shared" si="4"/>
        <v>0</v>
      </c>
      <c r="W1251" s="24" t="str">
        <f t="shared" si="5"/>
        <v>#DIV/0!</v>
      </c>
    </row>
    <row r="1252" hidden="1">
      <c r="A1252" s="15" t="s">
        <v>3173</v>
      </c>
      <c r="B1252" s="18"/>
      <c r="C1252" s="15" t="s">
        <v>7919</v>
      </c>
      <c r="D1252" s="18"/>
      <c r="E1252" s="17" t="s">
        <v>3174</v>
      </c>
      <c r="F1252" s="18"/>
      <c r="G1252" s="18"/>
      <c r="H1252" s="15" t="s">
        <v>3175</v>
      </c>
      <c r="I1252" s="15" t="s">
        <v>3176</v>
      </c>
      <c r="J1252" s="19" t="s">
        <v>59</v>
      </c>
      <c r="K1252" s="19" t="s">
        <v>2382</v>
      </c>
      <c r="L1252" s="19" t="s">
        <v>38</v>
      </c>
      <c r="M1252" s="20">
        <f t="shared" si="1"/>
        <v>0</v>
      </c>
      <c r="N1252" s="22"/>
      <c r="O1252" s="19" t="s">
        <v>1145</v>
      </c>
      <c r="P1252" s="18"/>
      <c r="Q1252" s="18"/>
      <c r="R1252" s="23">
        <v>0.0</v>
      </c>
      <c r="S1252" s="23">
        <v>0.0</v>
      </c>
      <c r="T1252" s="23">
        <f t="shared" si="2"/>
        <v>0</v>
      </c>
      <c r="U1252" s="23">
        <f t="shared" si="3"/>
        <v>0</v>
      </c>
      <c r="V1252" s="23">
        <f t="shared" si="4"/>
        <v>0</v>
      </c>
      <c r="W1252" s="24" t="str">
        <f t="shared" si="5"/>
        <v>#DIV/0!</v>
      </c>
    </row>
    <row r="1253" hidden="1">
      <c r="A1253" s="15" t="s">
        <v>5226</v>
      </c>
      <c r="B1253" s="18"/>
      <c r="C1253" s="15" t="s">
        <v>7920</v>
      </c>
      <c r="D1253" s="18"/>
      <c r="E1253" s="17" t="s">
        <v>7921</v>
      </c>
      <c r="F1253" s="18"/>
      <c r="G1253" s="18"/>
      <c r="H1253" s="15" t="s">
        <v>5230</v>
      </c>
      <c r="I1253" s="15" t="s">
        <v>5229</v>
      </c>
      <c r="J1253" s="19" t="s">
        <v>59</v>
      </c>
      <c r="K1253" s="19" t="s">
        <v>2401</v>
      </c>
      <c r="L1253" s="19" t="s">
        <v>38</v>
      </c>
      <c r="M1253" s="20">
        <f t="shared" si="1"/>
        <v>0</v>
      </c>
      <c r="N1253" s="22"/>
      <c r="O1253" s="19" t="s">
        <v>1145</v>
      </c>
      <c r="P1253" s="18"/>
      <c r="Q1253" s="18"/>
      <c r="R1253" s="23">
        <v>0.0</v>
      </c>
      <c r="S1253" s="23">
        <v>0.0</v>
      </c>
      <c r="T1253" s="23">
        <f t="shared" si="2"/>
        <v>0</v>
      </c>
      <c r="U1253" s="23">
        <f t="shared" si="3"/>
        <v>0</v>
      </c>
      <c r="V1253" s="23">
        <f t="shared" si="4"/>
        <v>0</v>
      </c>
      <c r="W1253" s="24" t="str">
        <f t="shared" si="5"/>
        <v>#DIV/0!</v>
      </c>
    </row>
    <row r="1254" hidden="1">
      <c r="A1254" s="15" t="s">
        <v>7922</v>
      </c>
      <c r="B1254" s="18"/>
      <c r="C1254" s="15" t="s">
        <v>7923</v>
      </c>
      <c r="D1254" s="18"/>
      <c r="E1254" s="17" t="s">
        <v>7924</v>
      </c>
      <c r="F1254" s="18"/>
      <c r="G1254" s="18"/>
      <c r="H1254" s="15" t="s">
        <v>7925</v>
      </c>
      <c r="I1254" s="15" t="s">
        <v>495</v>
      </c>
      <c r="J1254" s="19" t="s">
        <v>59</v>
      </c>
      <c r="K1254" s="19" t="s">
        <v>2382</v>
      </c>
      <c r="L1254" s="19" t="s">
        <v>38</v>
      </c>
      <c r="M1254" s="20">
        <f t="shared" si="1"/>
        <v>0</v>
      </c>
      <c r="N1254" s="22"/>
      <c r="O1254" s="19" t="s">
        <v>39</v>
      </c>
      <c r="P1254" s="18"/>
      <c r="Q1254" s="18"/>
      <c r="R1254" s="23">
        <v>0.0</v>
      </c>
      <c r="S1254" s="23">
        <v>0.0</v>
      </c>
      <c r="T1254" s="23">
        <f t="shared" si="2"/>
        <v>0</v>
      </c>
      <c r="U1254" s="23">
        <f t="shared" si="3"/>
        <v>0</v>
      </c>
      <c r="V1254" s="23">
        <f t="shared" si="4"/>
        <v>0</v>
      </c>
      <c r="W1254" s="24" t="str">
        <f t="shared" si="5"/>
        <v>#DIV/0!</v>
      </c>
    </row>
    <row r="1255" hidden="1">
      <c r="A1255" s="15" t="s">
        <v>7926</v>
      </c>
      <c r="B1255" s="18"/>
      <c r="C1255" s="18"/>
      <c r="D1255" s="18"/>
      <c r="E1255" s="17" t="s">
        <v>7927</v>
      </c>
      <c r="F1255" s="18"/>
      <c r="G1255" s="18"/>
      <c r="H1255" s="18"/>
      <c r="I1255" s="18"/>
      <c r="J1255" s="19" t="s">
        <v>59</v>
      </c>
      <c r="K1255" s="33"/>
      <c r="L1255" s="19" t="s">
        <v>38</v>
      </c>
      <c r="M1255" s="20">
        <f t="shared" si="1"/>
        <v>0</v>
      </c>
      <c r="N1255" s="22"/>
      <c r="O1255" s="19" t="s">
        <v>39</v>
      </c>
      <c r="P1255" s="18"/>
      <c r="Q1255" s="18"/>
      <c r="R1255" s="23">
        <v>0.0</v>
      </c>
      <c r="S1255" s="23">
        <v>0.0</v>
      </c>
      <c r="T1255" s="23">
        <f t="shared" si="2"/>
        <v>0</v>
      </c>
      <c r="U1255" s="23">
        <f t="shared" si="3"/>
        <v>0</v>
      </c>
      <c r="V1255" s="23">
        <f t="shared" si="4"/>
        <v>0</v>
      </c>
      <c r="W1255" s="24" t="str">
        <f t="shared" si="5"/>
        <v>#DIV/0!</v>
      </c>
    </row>
    <row r="1256">
      <c r="A1256" s="15" t="s">
        <v>4925</v>
      </c>
      <c r="B1256" s="15" t="s">
        <v>4926</v>
      </c>
      <c r="C1256" s="15" t="s">
        <v>7301</v>
      </c>
      <c r="D1256" s="18"/>
      <c r="E1256" s="17" t="s">
        <v>4928</v>
      </c>
      <c r="F1256" s="18"/>
      <c r="G1256" s="18"/>
      <c r="H1256" s="15" t="s">
        <v>4929</v>
      </c>
      <c r="I1256" s="18"/>
      <c r="J1256" s="19" t="s">
        <v>283</v>
      </c>
      <c r="K1256" s="33"/>
      <c r="L1256" s="19" t="s">
        <v>38</v>
      </c>
      <c r="M1256" s="20">
        <f t="shared" si="1"/>
        <v>0</v>
      </c>
      <c r="N1256" s="22"/>
      <c r="O1256" s="19" t="s">
        <v>3578</v>
      </c>
      <c r="P1256" s="18"/>
      <c r="Q1256" s="18"/>
      <c r="R1256" s="23">
        <v>0.0</v>
      </c>
      <c r="S1256" s="23">
        <v>0.0</v>
      </c>
      <c r="T1256" s="23">
        <f t="shared" si="2"/>
        <v>0</v>
      </c>
      <c r="U1256" s="23">
        <f t="shared" si="3"/>
        <v>0</v>
      </c>
      <c r="V1256" s="23">
        <f t="shared" si="4"/>
        <v>0</v>
      </c>
      <c r="W1256" s="24" t="str">
        <f t="shared" si="5"/>
        <v>#DIV/0!</v>
      </c>
    </row>
    <row r="1257" hidden="1">
      <c r="A1257" s="15" t="s">
        <v>7928</v>
      </c>
      <c r="B1257" s="15" t="s">
        <v>7929</v>
      </c>
      <c r="C1257" s="15" t="s">
        <v>7930</v>
      </c>
      <c r="D1257" s="18"/>
      <c r="E1257" s="17" t="s">
        <v>7931</v>
      </c>
      <c r="F1257" s="18"/>
      <c r="G1257" s="18"/>
      <c r="H1257" s="15" t="s">
        <v>4089</v>
      </c>
      <c r="I1257" s="18"/>
      <c r="J1257" s="19" t="s">
        <v>59</v>
      </c>
      <c r="K1257" s="33"/>
      <c r="L1257" s="19" t="s">
        <v>38</v>
      </c>
      <c r="M1257" s="20">
        <f t="shared" si="1"/>
        <v>0</v>
      </c>
      <c r="N1257" s="22"/>
      <c r="O1257" s="19" t="s">
        <v>39</v>
      </c>
      <c r="P1257" s="18"/>
      <c r="Q1257" s="18"/>
      <c r="R1257" s="23">
        <v>0.0</v>
      </c>
      <c r="S1257" s="23">
        <v>0.0</v>
      </c>
      <c r="T1257" s="23">
        <f t="shared" si="2"/>
        <v>0</v>
      </c>
      <c r="U1257" s="23">
        <f t="shared" si="3"/>
        <v>0</v>
      </c>
      <c r="V1257" s="23">
        <f t="shared" si="4"/>
        <v>0</v>
      </c>
      <c r="W1257" s="24" t="str">
        <f t="shared" si="5"/>
        <v>#DIV/0!</v>
      </c>
    </row>
    <row r="1258" hidden="1">
      <c r="A1258" s="15" t="s">
        <v>3177</v>
      </c>
      <c r="B1258" s="18"/>
      <c r="C1258" s="15" t="s">
        <v>7932</v>
      </c>
      <c r="D1258" s="18"/>
      <c r="E1258" s="17" t="s">
        <v>3178</v>
      </c>
      <c r="F1258" s="18"/>
      <c r="G1258" s="18"/>
      <c r="H1258" s="15" t="s">
        <v>3179</v>
      </c>
      <c r="I1258" s="15" t="s">
        <v>3180</v>
      </c>
      <c r="J1258" s="19" t="s">
        <v>59</v>
      </c>
      <c r="K1258" s="19" t="s">
        <v>2401</v>
      </c>
      <c r="L1258" s="19" t="s">
        <v>38</v>
      </c>
      <c r="M1258" s="20">
        <f t="shared" si="1"/>
        <v>0</v>
      </c>
      <c r="N1258" s="22"/>
      <c r="O1258" s="19" t="s">
        <v>1145</v>
      </c>
      <c r="P1258" s="18"/>
      <c r="Q1258" s="18"/>
      <c r="R1258" s="23">
        <v>0.0</v>
      </c>
      <c r="S1258" s="23">
        <v>0.0</v>
      </c>
      <c r="T1258" s="23">
        <f t="shared" si="2"/>
        <v>0</v>
      </c>
      <c r="U1258" s="23">
        <f t="shared" si="3"/>
        <v>0</v>
      </c>
      <c r="V1258" s="23">
        <f t="shared" si="4"/>
        <v>0</v>
      </c>
      <c r="W1258" s="24" t="str">
        <f t="shared" si="5"/>
        <v>#DIV/0!</v>
      </c>
    </row>
    <row r="1259" hidden="1">
      <c r="A1259" s="15" t="s">
        <v>7933</v>
      </c>
      <c r="B1259" s="18"/>
      <c r="C1259" s="15" t="s">
        <v>7934</v>
      </c>
      <c r="D1259" s="18"/>
      <c r="E1259" s="17" t="s">
        <v>7935</v>
      </c>
      <c r="F1259" s="18"/>
      <c r="G1259" s="18"/>
      <c r="H1259" s="15" t="s">
        <v>7936</v>
      </c>
      <c r="I1259" s="15" t="s">
        <v>3874</v>
      </c>
      <c r="J1259" s="19" t="s">
        <v>59</v>
      </c>
      <c r="K1259" s="19" t="s">
        <v>2396</v>
      </c>
      <c r="L1259" s="19" t="s">
        <v>38</v>
      </c>
      <c r="M1259" s="20">
        <f t="shared" si="1"/>
        <v>0</v>
      </c>
      <c r="N1259" s="22"/>
      <c r="O1259" s="19" t="s">
        <v>39</v>
      </c>
      <c r="P1259" s="18"/>
      <c r="Q1259" s="18"/>
      <c r="R1259" s="23">
        <v>0.0</v>
      </c>
      <c r="S1259" s="23">
        <v>0.0</v>
      </c>
      <c r="T1259" s="23">
        <f t="shared" si="2"/>
        <v>0</v>
      </c>
      <c r="U1259" s="23">
        <f t="shared" si="3"/>
        <v>0</v>
      </c>
      <c r="V1259" s="23">
        <f t="shared" si="4"/>
        <v>0</v>
      </c>
      <c r="W1259" s="24" t="str">
        <f t="shared" si="5"/>
        <v>#DIV/0!</v>
      </c>
    </row>
    <row r="1260">
      <c r="A1260" s="15" t="s">
        <v>5949</v>
      </c>
      <c r="B1260" s="15" t="s">
        <v>5950</v>
      </c>
      <c r="C1260" s="15" t="s">
        <v>5983</v>
      </c>
      <c r="D1260" s="15" t="s">
        <v>5951</v>
      </c>
      <c r="E1260" s="17" t="s">
        <v>5952</v>
      </c>
      <c r="F1260" s="18"/>
      <c r="G1260" s="18"/>
      <c r="H1260" s="15" t="s">
        <v>5953</v>
      </c>
      <c r="I1260" s="18"/>
      <c r="J1260" s="19" t="s">
        <v>283</v>
      </c>
      <c r="K1260" s="19" t="s">
        <v>4972</v>
      </c>
      <c r="L1260" s="19" t="s">
        <v>135</v>
      </c>
      <c r="M1260" s="20">
        <f t="shared" si="1"/>
        <v>337.44</v>
      </c>
      <c r="N1260" s="22"/>
      <c r="O1260" s="19" t="s">
        <v>3578</v>
      </c>
      <c r="P1260" s="18"/>
      <c r="Q1260" s="18"/>
      <c r="R1260" s="23">
        <v>7.0</v>
      </c>
      <c r="S1260" s="23">
        <v>19.0</v>
      </c>
      <c r="T1260" s="23">
        <f t="shared" si="2"/>
        <v>18.24</v>
      </c>
      <c r="U1260" s="23">
        <f t="shared" si="3"/>
        <v>8.575</v>
      </c>
      <c r="V1260" s="23">
        <f t="shared" si="4"/>
        <v>160.78125</v>
      </c>
      <c r="W1260" s="24">
        <f t="shared" si="5"/>
        <v>2.605714286</v>
      </c>
    </row>
    <row r="1261">
      <c r="A1261" s="15" t="s">
        <v>5929</v>
      </c>
      <c r="B1261" s="15" t="s">
        <v>5930</v>
      </c>
      <c r="C1261" s="15" t="s">
        <v>7302</v>
      </c>
      <c r="D1261" s="15" t="s">
        <v>5931</v>
      </c>
      <c r="E1261" s="17" t="s">
        <v>5932</v>
      </c>
      <c r="F1261" s="18"/>
      <c r="G1261" s="18"/>
      <c r="H1261" s="15" t="s">
        <v>5933</v>
      </c>
      <c r="I1261" s="18"/>
      <c r="J1261" s="19" t="s">
        <v>283</v>
      </c>
      <c r="K1261" s="19" t="s">
        <v>4972</v>
      </c>
      <c r="L1261" s="19" t="s">
        <v>135</v>
      </c>
      <c r="M1261" s="20">
        <f t="shared" si="1"/>
        <v>1225.44</v>
      </c>
      <c r="N1261" s="22"/>
      <c r="O1261" s="19" t="s">
        <v>3578</v>
      </c>
      <c r="P1261" s="18"/>
      <c r="Q1261" s="18"/>
      <c r="R1261" s="23">
        <v>20.5</v>
      </c>
      <c r="S1261" s="23">
        <v>69.0</v>
      </c>
      <c r="T1261" s="23">
        <f t="shared" si="2"/>
        <v>66.24</v>
      </c>
      <c r="U1261" s="23">
        <f t="shared" si="3"/>
        <v>25.1125</v>
      </c>
      <c r="V1261" s="23">
        <f t="shared" si="4"/>
        <v>470.859375</v>
      </c>
      <c r="W1261" s="24">
        <f t="shared" si="5"/>
        <v>3.231219512</v>
      </c>
    </row>
    <row r="1262" hidden="1">
      <c r="A1262" s="15" t="s">
        <v>5237</v>
      </c>
      <c r="B1262" s="18"/>
      <c r="C1262" s="15" t="s">
        <v>7939</v>
      </c>
      <c r="D1262" s="18"/>
      <c r="E1262" s="17" t="s">
        <v>5235</v>
      </c>
      <c r="F1262" s="18"/>
      <c r="G1262" s="18"/>
      <c r="H1262" s="15" t="s">
        <v>7940</v>
      </c>
      <c r="I1262" s="15" t="s">
        <v>5239</v>
      </c>
      <c r="J1262" s="19" t="s">
        <v>59</v>
      </c>
      <c r="K1262" s="19" t="s">
        <v>2401</v>
      </c>
      <c r="L1262" s="19" t="s">
        <v>38</v>
      </c>
      <c r="M1262" s="20">
        <f t="shared" si="1"/>
        <v>0</v>
      </c>
      <c r="N1262" s="22"/>
      <c r="O1262" s="19" t="s">
        <v>1145</v>
      </c>
      <c r="P1262" s="18"/>
      <c r="Q1262" s="18"/>
      <c r="R1262" s="23">
        <v>0.0</v>
      </c>
      <c r="S1262" s="23">
        <v>0.0</v>
      </c>
      <c r="T1262" s="23">
        <f t="shared" si="2"/>
        <v>0</v>
      </c>
      <c r="U1262" s="23">
        <f t="shared" si="3"/>
        <v>0</v>
      </c>
      <c r="V1262" s="23">
        <f t="shared" si="4"/>
        <v>0</v>
      </c>
      <c r="W1262" s="24" t="str">
        <f t="shared" si="5"/>
        <v>#DIV/0!</v>
      </c>
    </row>
    <row r="1263" hidden="1">
      <c r="A1263" s="15" t="s">
        <v>3181</v>
      </c>
      <c r="B1263" s="18"/>
      <c r="C1263" s="15" t="s">
        <v>7941</v>
      </c>
      <c r="D1263" s="18"/>
      <c r="E1263" s="17" t="s">
        <v>3182</v>
      </c>
      <c r="F1263" s="18"/>
      <c r="G1263" s="18"/>
      <c r="H1263" s="15" t="s">
        <v>3183</v>
      </c>
      <c r="I1263" s="15" t="s">
        <v>394</v>
      </c>
      <c r="J1263" s="19" t="s">
        <v>59</v>
      </c>
      <c r="K1263" s="19" t="s">
        <v>2401</v>
      </c>
      <c r="L1263" s="19" t="s">
        <v>38</v>
      </c>
      <c r="M1263" s="20">
        <f t="shared" si="1"/>
        <v>0</v>
      </c>
      <c r="N1263" s="22"/>
      <c r="O1263" s="19" t="s">
        <v>1145</v>
      </c>
      <c r="P1263" s="18"/>
      <c r="Q1263" s="18"/>
      <c r="R1263" s="23">
        <v>0.0</v>
      </c>
      <c r="S1263" s="23">
        <v>0.0</v>
      </c>
      <c r="T1263" s="23">
        <f t="shared" si="2"/>
        <v>0</v>
      </c>
      <c r="U1263" s="23">
        <f t="shared" si="3"/>
        <v>0</v>
      </c>
      <c r="V1263" s="23">
        <f t="shared" si="4"/>
        <v>0</v>
      </c>
      <c r="W1263" s="24" t="str">
        <f t="shared" si="5"/>
        <v>#DIV/0!</v>
      </c>
    </row>
    <row r="1264" hidden="1">
      <c r="A1264" s="15" t="s">
        <v>7942</v>
      </c>
      <c r="B1264" s="18"/>
      <c r="C1264" s="15" t="s">
        <v>7943</v>
      </c>
      <c r="D1264" s="18"/>
      <c r="E1264" s="17" t="s">
        <v>7944</v>
      </c>
      <c r="F1264" s="18"/>
      <c r="G1264" s="18"/>
      <c r="H1264" s="15" t="s">
        <v>7945</v>
      </c>
      <c r="I1264" s="15" t="s">
        <v>258</v>
      </c>
      <c r="J1264" s="19" t="s">
        <v>59</v>
      </c>
      <c r="K1264" s="19" t="s">
        <v>2401</v>
      </c>
      <c r="L1264" s="19" t="s">
        <v>38</v>
      </c>
      <c r="M1264" s="20">
        <f t="shared" si="1"/>
        <v>0</v>
      </c>
      <c r="N1264" s="22"/>
      <c r="O1264" s="19" t="s">
        <v>39</v>
      </c>
      <c r="P1264" s="18"/>
      <c r="Q1264" s="18"/>
      <c r="R1264" s="23">
        <v>0.0</v>
      </c>
      <c r="S1264" s="23">
        <v>0.0</v>
      </c>
      <c r="T1264" s="23">
        <f t="shared" si="2"/>
        <v>0</v>
      </c>
      <c r="U1264" s="23">
        <f t="shared" si="3"/>
        <v>0</v>
      </c>
      <c r="V1264" s="23">
        <f t="shared" si="4"/>
        <v>0</v>
      </c>
      <c r="W1264" s="24" t="str">
        <f t="shared" si="5"/>
        <v>#DIV/0!</v>
      </c>
    </row>
    <row r="1265" hidden="1">
      <c r="A1265" s="15" t="s">
        <v>5240</v>
      </c>
      <c r="B1265" s="18"/>
      <c r="C1265" s="15" t="s">
        <v>7946</v>
      </c>
      <c r="D1265" s="18"/>
      <c r="E1265" s="17" t="s">
        <v>7944</v>
      </c>
      <c r="F1265" s="18"/>
      <c r="G1265" s="18"/>
      <c r="H1265" s="15" t="s">
        <v>7947</v>
      </c>
      <c r="I1265" s="15" t="s">
        <v>5242</v>
      </c>
      <c r="J1265" s="19" t="s">
        <v>59</v>
      </c>
      <c r="K1265" s="19" t="s">
        <v>2401</v>
      </c>
      <c r="L1265" s="19" t="s">
        <v>38</v>
      </c>
      <c r="M1265" s="20">
        <f t="shared" si="1"/>
        <v>0</v>
      </c>
      <c r="N1265" s="22"/>
      <c r="O1265" s="19" t="s">
        <v>1145</v>
      </c>
      <c r="P1265" s="18"/>
      <c r="Q1265" s="18"/>
      <c r="R1265" s="23">
        <v>0.0</v>
      </c>
      <c r="S1265" s="23">
        <v>0.0</v>
      </c>
      <c r="T1265" s="23">
        <f t="shared" si="2"/>
        <v>0</v>
      </c>
      <c r="U1265" s="23">
        <f t="shared" si="3"/>
        <v>0</v>
      </c>
      <c r="V1265" s="23">
        <f t="shared" si="4"/>
        <v>0</v>
      </c>
      <c r="W1265" s="24" t="str">
        <f t="shared" si="5"/>
        <v>#DIV/0!</v>
      </c>
    </row>
    <row r="1266" hidden="1">
      <c r="A1266" s="15" t="s">
        <v>3184</v>
      </c>
      <c r="B1266" s="18"/>
      <c r="C1266" s="15" t="s">
        <v>7948</v>
      </c>
      <c r="D1266" s="18"/>
      <c r="E1266" s="17" t="s">
        <v>3185</v>
      </c>
      <c r="F1266" s="18"/>
      <c r="G1266" s="18"/>
      <c r="H1266" s="15" t="s">
        <v>3186</v>
      </c>
      <c r="I1266" s="15" t="s">
        <v>3187</v>
      </c>
      <c r="J1266" s="19" t="s">
        <v>59</v>
      </c>
      <c r="K1266" s="19" t="s">
        <v>2401</v>
      </c>
      <c r="L1266" s="19" t="s">
        <v>38</v>
      </c>
      <c r="M1266" s="20">
        <f t="shared" si="1"/>
        <v>0</v>
      </c>
      <c r="N1266" s="22"/>
      <c r="O1266" s="19" t="s">
        <v>1145</v>
      </c>
      <c r="P1266" s="18"/>
      <c r="Q1266" s="18"/>
      <c r="R1266" s="23">
        <v>0.0</v>
      </c>
      <c r="S1266" s="23">
        <v>0.0</v>
      </c>
      <c r="T1266" s="23">
        <f t="shared" si="2"/>
        <v>0</v>
      </c>
      <c r="U1266" s="23">
        <f t="shared" si="3"/>
        <v>0</v>
      </c>
      <c r="V1266" s="23">
        <f t="shared" si="4"/>
        <v>0</v>
      </c>
      <c r="W1266" s="24" t="str">
        <f t="shared" si="5"/>
        <v>#DIV/0!</v>
      </c>
    </row>
    <row r="1267" hidden="1">
      <c r="A1267" s="15" t="s">
        <v>7949</v>
      </c>
      <c r="B1267" s="18"/>
      <c r="C1267" s="15" t="s">
        <v>7950</v>
      </c>
      <c r="D1267" s="18"/>
      <c r="E1267" s="17" t="s">
        <v>3185</v>
      </c>
      <c r="F1267" s="18"/>
      <c r="G1267" s="18"/>
      <c r="H1267" s="15" t="s">
        <v>7951</v>
      </c>
      <c r="I1267" s="15" t="s">
        <v>5113</v>
      </c>
      <c r="J1267" s="19" t="s">
        <v>59</v>
      </c>
      <c r="K1267" s="19" t="s">
        <v>2401</v>
      </c>
      <c r="L1267" s="19" t="s">
        <v>38</v>
      </c>
      <c r="M1267" s="20">
        <f t="shared" si="1"/>
        <v>0</v>
      </c>
      <c r="N1267" s="22"/>
      <c r="O1267" s="19" t="s">
        <v>39</v>
      </c>
      <c r="P1267" s="18"/>
      <c r="Q1267" s="18"/>
      <c r="R1267" s="23">
        <v>0.0</v>
      </c>
      <c r="S1267" s="23">
        <v>0.0</v>
      </c>
      <c r="T1267" s="23">
        <f t="shared" si="2"/>
        <v>0</v>
      </c>
      <c r="U1267" s="23">
        <f t="shared" si="3"/>
        <v>0</v>
      </c>
      <c r="V1267" s="23">
        <f t="shared" si="4"/>
        <v>0</v>
      </c>
      <c r="W1267" s="24" t="str">
        <f t="shared" si="5"/>
        <v>#DIV/0!</v>
      </c>
    </row>
    <row r="1268" hidden="1">
      <c r="A1268" s="15" t="s">
        <v>7952</v>
      </c>
      <c r="B1268" s="15" t="s">
        <v>5925</v>
      </c>
      <c r="C1268" s="15" t="s">
        <v>7953</v>
      </c>
      <c r="D1268" s="18"/>
      <c r="E1268" s="17" t="s">
        <v>7954</v>
      </c>
      <c r="F1268" s="18"/>
      <c r="G1268" s="18"/>
      <c r="H1268" s="15" t="s">
        <v>5928</v>
      </c>
      <c r="I1268" s="18"/>
      <c r="J1268" s="19" t="s">
        <v>59</v>
      </c>
      <c r="K1268" s="33"/>
      <c r="L1268" s="19" t="s">
        <v>38</v>
      </c>
      <c r="M1268" s="20">
        <f t="shared" si="1"/>
        <v>0</v>
      </c>
      <c r="N1268" s="22"/>
      <c r="O1268" s="19" t="s">
        <v>39</v>
      </c>
      <c r="P1268" s="18"/>
      <c r="Q1268" s="18"/>
      <c r="R1268" s="23">
        <v>0.0</v>
      </c>
      <c r="S1268" s="23">
        <v>0.0</v>
      </c>
      <c r="T1268" s="23">
        <f t="shared" si="2"/>
        <v>0</v>
      </c>
      <c r="U1268" s="23">
        <f t="shared" si="3"/>
        <v>0</v>
      </c>
      <c r="V1268" s="23">
        <f t="shared" si="4"/>
        <v>0</v>
      </c>
      <c r="W1268" s="24" t="str">
        <f t="shared" si="5"/>
        <v>#DIV/0!</v>
      </c>
    </row>
    <row r="1269" hidden="1">
      <c r="A1269" s="15" t="s">
        <v>3188</v>
      </c>
      <c r="B1269" s="18"/>
      <c r="C1269" s="15" t="s">
        <v>7955</v>
      </c>
      <c r="D1269" s="18"/>
      <c r="E1269" s="17" t="s">
        <v>3189</v>
      </c>
      <c r="F1269" s="18"/>
      <c r="G1269" s="18"/>
      <c r="H1269" s="15" t="s">
        <v>3190</v>
      </c>
      <c r="I1269" s="15" t="s">
        <v>3191</v>
      </c>
      <c r="J1269" s="19" t="s">
        <v>59</v>
      </c>
      <c r="K1269" s="19" t="s">
        <v>691</v>
      </c>
      <c r="L1269" s="19" t="s">
        <v>38</v>
      </c>
      <c r="M1269" s="20">
        <f t="shared" si="1"/>
        <v>0</v>
      </c>
      <c r="N1269" s="22"/>
      <c r="O1269" s="19" t="s">
        <v>1145</v>
      </c>
      <c r="P1269" s="18"/>
      <c r="Q1269" s="18"/>
      <c r="R1269" s="23">
        <v>0.0</v>
      </c>
      <c r="S1269" s="23">
        <v>0.0</v>
      </c>
      <c r="T1269" s="23">
        <f t="shared" si="2"/>
        <v>0</v>
      </c>
      <c r="U1269" s="23">
        <f t="shared" si="3"/>
        <v>0</v>
      </c>
      <c r="V1269" s="23">
        <f t="shared" si="4"/>
        <v>0</v>
      </c>
      <c r="W1269" s="24" t="str">
        <f t="shared" si="5"/>
        <v>#DIV/0!</v>
      </c>
    </row>
    <row r="1270">
      <c r="A1270" s="15" t="s">
        <v>4931</v>
      </c>
      <c r="B1270" s="15" t="s">
        <v>4932</v>
      </c>
      <c r="C1270" s="15" t="s">
        <v>7303</v>
      </c>
      <c r="D1270" s="15" t="s">
        <v>4933</v>
      </c>
      <c r="E1270" s="17" t="s">
        <v>4934</v>
      </c>
      <c r="F1270" s="18"/>
      <c r="G1270" s="18"/>
      <c r="H1270" s="15" t="s">
        <v>4935</v>
      </c>
      <c r="I1270" s="18"/>
      <c r="J1270" s="19" t="s">
        <v>283</v>
      </c>
      <c r="K1270" s="33"/>
      <c r="L1270" s="19" t="s">
        <v>38</v>
      </c>
      <c r="M1270" s="20">
        <f t="shared" si="1"/>
        <v>0</v>
      </c>
      <c r="N1270" s="22"/>
      <c r="O1270" s="19" t="s">
        <v>3578</v>
      </c>
      <c r="P1270" s="18"/>
      <c r="Q1270" s="18"/>
      <c r="R1270" s="23">
        <v>0.0</v>
      </c>
      <c r="S1270" s="23">
        <v>0.0</v>
      </c>
      <c r="T1270" s="23">
        <f t="shared" si="2"/>
        <v>0</v>
      </c>
      <c r="U1270" s="23">
        <f t="shared" si="3"/>
        <v>0</v>
      </c>
      <c r="V1270" s="23">
        <f t="shared" si="4"/>
        <v>0</v>
      </c>
      <c r="W1270" s="24" t="str">
        <f t="shared" si="5"/>
        <v>#DIV/0!</v>
      </c>
    </row>
    <row r="1271">
      <c r="A1271" s="15" t="s">
        <v>5934</v>
      </c>
      <c r="B1271" s="15" t="s">
        <v>5935</v>
      </c>
      <c r="C1271" s="15" t="s">
        <v>7304</v>
      </c>
      <c r="D1271" s="15" t="s">
        <v>5936</v>
      </c>
      <c r="E1271" s="17" t="s">
        <v>5937</v>
      </c>
      <c r="F1271" s="18"/>
      <c r="G1271" s="18"/>
      <c r="H1271" s="15" t="s">
        <v>5938</v>
      </c>
      <c r="I1271" s="18"/>
      <c r="J1271" s="19" t="s">
        <v>283</v>
      </c>
      <c r="K1271" s="19" t="s">
        <v>4972</v>
      </c>
      <c r="L1271" s="19" t="s">
        <v>610</v>
      </c>
      <c r="M1271" s="20">
        <f t="shared" si="1"/>
        <v>177.6</v>
      </c>
      <c r="N1271" s="22"/>
      <c r="O1271" s="19" t="s">
        <v>3578</v>
      </c>
      <c r="P1271" s="18"/>
      <c r="Q1271" s="18"/>
      <c r="R1271" s="23">
        <v>3.2</v>
      </c>
      <c r="S1271" s="23">
        <v>10.0</v>
      </c>
      <c r="T1271" s="23">
        <f t="shared" si="2"/>
        <v>9.6</v>
      </c>
      <c r="U1271" s="23">
        <f t="shared" si="3"/>
        <v>3.92</v>
      </c>
      <c r="V1271" s="23">
        <f t="shared" si="4"/>
        <v>73.5</v>
      </c>
      <c r="W1271" s="24">
        <f t="shared" si="5"/>
        <v>3</v>
      </c>
    </row>
    <row r="1272" hidden="1">
      <c r="A1272" s="15" t="s">
        <v>7956</v>
      </c>
      <c r="B1272" s="18"/>
      <c r="C1272" s="15" t="s">
        <v>7957</v>
      </c>
      <c r="D1272" s="15" t="s">
        <v>7958</v>
      </c>
      <c r="E1272" s="17" t="s">
        <v>7959</v>
      </c>
      <c r="F1272" s="18"/>
      <c r="G1272" s="18"/>
      <c r="H1272" s="15" t="s">
        <v>806</v>
      </c>
      <c r="I1272" s="15"/>
      <c r="J1272" s="19" t="s">
        <v>59</v>
      </c>
      <c r="K1272" s="19" t="s">
        <v>60</v>
      </c>
      <c r="L1272" s="19" t="s">
        <v>38</v>
      </c>
      <c r="M1272" s="20">
        <f t="shared" si="1"/>
        <v>0</v>
      </c>
      <c r="N1272" s="31">
        <v>5.0</v>
      </c>
      <c r="O1272" s="19" t="s">
        <v>39</v>
      </c>
      <c r="P1272" s="18"/>
      <c r="Q1272" s="18"/>
      <c r="R1272" s="23">
        <v>0.0</v>
      </c>
      <c r="S1272" s="23">
        <v>0.0</v>
      </c>
      <c r="T1272" s="23">
        <f t="shared" si="2"/>
        <v>0</v>
      </c>
      <c r="U1272" s="23">
        <f t="shared" si="3"/>
        <v>0</v>
      </c>
      <c r="V1272" s="23">
        <f t="shared" si="4"/>
        <v>0</v>
      </c>
      <c r="W1272" s="24" t="str">
        <f t="shared" si="5"/>
        <v>#DIV/0!</v>
      </c>
    </row>
    <row r="1273">
      <c r="A1273" s="15" t="s">
        <v>4936</v>
      </c>
      <c r="B1273" s="15" t="s">
        <v>4937</v>
      </c>
      <c r="C1273" s="15" t="s">
        <v>7305</v>
      </c>
      <c r="D1273" s="15" t="s">
        <v>4938</v>
      </c>
      <c r="E1273" s="17" t="s">
        <v>7306</v>
      </c>
      <c r="F1273" s="18"/>
      <c r="G1273" s="18"/>
      <c r="H1273" s="15" t="s">
        <v>4940</v>
      </c>
      <c r="I1273" s="18"/>
      <c r="J1273" s="19" t="s">
        <v>283</v>
      </c>
      <c r="K1273" s="33"/>
      <c r="L1273" s="19" t="s">
        <v>38</v>
      </c>
      <c r="M1273" s="20">
        <f t="shared" si="1"/>
        <v>0</v>
      </c>
      <c r="N1273" s="22"/>
      <c r="O1273" s="19" t="s">
        <v>3578</v>
      </c>
      <c r="P1273" s="18"/>
      <c r="Q1273" s="18"/>
      <c r="R1273" s="23">
        <v>0.0</v>
      </c>
      <c r="S1273" s="23">
        <v>0.0</v>
      </c>
      <c r="T1273" s="23">
        <f t="shared" si="2"/>
        <v>0</v>
      </c>
      <c r="U1273" s="23">
        <f t="shared" si="3"/>
        <v>0</v>
      </c>
      <c r="V1273" s="23">
        <f t="shared" si="4"/>
        <v>0</v>
      </c>
      <c r="W1273" s="24" t="str">
        <f t="shared" si="5"/>
        <v>#DIV/0!</v>
      </c>
    </row>
    <row r="1274" hidden="1">
      <c r="A1274" s="15" t="s">
        <v>7960</v>
      </c>
      <c r="B1274" s="18"/>
      <c r="C1274" s="15" t="s">
        <v>7961</v>
      </c>
      <c r="D1274" s="18"/>
      <c r="E1274" s="17" t="s">
        <v>3193</v>
      </c>
      <c r="F1274" s="18"/>
      <c r="G1274" s="18"/>
      <c r="H1274" s="15" t="s">
        <v>7962</v>
      </c>
      <c r="I1274" s="15" t="s">
        <v>723</v>
      </c>
      <c r="J1274" s="19" t="s">
        <v>59</v>
      </c>
      <c r="K1274" s="19" t="s">
        <v>2401</v>
      </c>
      <c r="L1274" s="19" t="s">
        <v>38</v>
      </c>
      <c r="M1274" s="20">
        <f t="shared" si="1"/>
        <v>0</v>
      </c>
      <c r="N1274" s="22"/>
      <c r="O1274" s="19" t="s">
        <v>39</v>
      </c>
      <c r="P1274" s="18"/>
      <c r="Q1274" s="18"/>
      <c r="R1274" s="23">
        <v>0.0</v>
      </c>
      <c r="S1274" s="23">
        <v>0.0</v>
      </c>
      <c r="T1274" s="23">
        <f t="shared" si="2"/>
        <v>0</v>
      </c>
      <c r="U1274" s="23">
        <f t="shared" si="3"/>
        <v>0</v>
      </c>
      <c r="V1274" s="23">
        <f t="shared" si="4"/>
        <v>0</v>
      </c>
      <c r="W1274" s="24" t="str">
        <f t="shared" si="5"/>
        <v>#DIV/0!</v>
      </c>
    </row>
    <row r="1275" hidden="1">
      <c r="A1275" s="15" t="s">
        <v>3192</v>
      </c>
      <c r="B1275" s="18"/>
      <c r="C1275" s="15" t="s">
        <v>7963</v>
      </c>
      <c r="D1275" s="18"/>
      <c r="E1275" s="17" t="s">
        <v>3193</v>
      </c>
      <c r="F1275" s="18"/>
      <c r="G1275" s="18"/>
      <c r="H1275" s="15" t="s">
        <v>3194</v>
      </c>
      <c r="I1275" s="15" t="s">
        <v>3195</v>
      </c>
      <c r="J1275" s="19" t="s">
        <v>59</v>
      </c>
      <c r="K1275" s="19" t="s">
        <v>2401</v>
      </c>
      <c r="L1275" s="19" t="s">
        <v>38</v>
      </c>
      <c r="M1275" s="20">
        <f t="shared" si="1"/>
        <v>0</v>
      </c>
      <c r="N1275" s="22"/>
      <c r="O1275" s="19" t="s">
        <v>1145</v>
      </c>
      <c r="P1275" s="18"/>
      <c r="Q1275" s="18"/>
      <c r="R1275" s="23">
        <v>0.0</v>
      </c>
      <c r="S1275" s="23">
        <v>0.0</v>
      </c>
      <c r="T1275" s="23">
        <f t="shared" si="2"/>
        <v>0</v>
      </c>
      <c r="U1275" s="23">
        <f t="shared" si="3"/>
        <v>0</v>
      </c>
      <c r="V1275" s="23">
        <f t="shared" si="4"/>
        <v>0</v>
      </c>
      <c r="W1275" s="24" t="str">
        <f t="shared" si="5"/>
        <v>#DIV/0!</v>
      </c>
    </row>
    <row r="1276" hidden="1">
      <c r="A1276" s="15" t="s">
        <v>7964</v>
      </c>
      <c r="B1276" s="18"/>
      <c r="C1276" s="15" t="s">
        <v>7965</v>
      </c>
      <c r="D1276" s="18"/>
      <c r="E1276" s="17" t="s">
        <v>7966</v>
      </c>
      <c r="F1276" s="18"/>
      <c r="G1276" s="18"/>
      <c r="H1276" s="15" t="s">
        <v>995</v>
      </c>
      <c r="I1276" s="15"/>
      <c r="J1276" s="19" t="s">
        <v>59</v>
      </c>
      <c r="K1276" s="19" t="s">
        <v>691</v>
      </c>
      <c r="L1276" s="19" t="s">
        <v>38</v>
      </c>
      <c r="M1276" s="20">
        <f t="shared" si="1"/>
        <v>0</v>
      </c>
      <c r="N1276" s="22"/>
      <c r="O1276" s="19" t="s">
        <v>39</v>
      </c>
      <c r="P1276" s="18"/>
      <c r="Q1276" s="18"/>
      <c r="R1276" s="23">
        <v>0.0</v>
      </c>
      <c r="S1276" s="23">
        <v>0.0</v>
      </c>
      <c r="T1276" s="23">
        <f t="shared" si="2"/>
        <v>0</v>
      </c>
      <c r="U1276" s="23">
        <f t="shared" si="3"/>
        <v>0</v>
      </c>
      <c r="V1276" s="23">
        <f t="shared" si="4"/>
        <v>0</v>
      </c>
      <c r="W1276" s="24" t="str">
        <f t="shared" si="5"/>
        <v>#DIV/0!</v>
      </c>
    </row>
    <row r="1277">
      <c r="A1277" s="15" t="s">
        <v>4941</v>
      </c>
      <c r="B1277" s="15" t="s">
        <v>4942</v>
      </c>
      <c r="C1277" s="15" t="s">
        <v>7311</v>
      </c>
      <c r="D1277" s="15" t="s">
        <v>4943</v>
      </c>
      <c r="E1277" s="17" t="s">
        <v>4944</v>
      </c>
      <c r="F1277" s="18"/>
      <c r="G1277" s="18"/>
      <c r="H1277" s="15" t="s">
        <v>4945</v>
      </c>
      <c r="I1277" s="18"/>
      <c r="J1277" s="19" t="s">
        <v>283</v>
      </c>
      <c r="K1277" s="33"/>
      <c r="L1277" s="19" t="s">
        <v>38</v>
      </c>
      <c r="M1277" s="20">
        <f t="shared" si="1"/>
        <v>0</v>
      </c>
      <c r="N1277" s="22"/>
      <c r="O1277" s="19" t="s">
        <v>3578</v>
      </c>
      <c r="P1277" s="18"/>
      <c r="Q1277" s="18"/>
      <c r="R1277" s="23">
        <v>0.0</v>
      </c>
      <c r="S1277" s="23">
        <v>0.0</v>
      </c>
      <c r="T1277" s="23">
        <f t="shared" si="2"/>
        <v>0</v>
      </c>
      <c r="U1277" s="23">
        <f t="shared" si="3"/>
        <v>0</v>
      </c>
      <c r="V1277" s="23">
        <f t="shared" si="4"/>
        <v>0</v>
      </c>
      <c r="W1277" s="24" t="str">
        <f t="shared" si="5"/>
        <v>#DIV/0!</v>
      </c>
    </row>
    <row r="1278" hidden="1">
      <c r="A1278" s="15" t="s">
        <v>7967</v>
      </c>
      <c r="B1278" s="18"/>
      <c r="C1278" s="15" t="s">
        <v>7968</v>
      </c>
      <c r="D1278" s="18"/>
      <c r="E1278" s="17" t="s">
        <v>7969</v>
      </c>
      <c r="F1278" s="18"/>
      <c r="G1278" s="18"/>
      <c r="H1278" s="15" t="s">
        <v>1046</v>
      </c>
      <c r="I1278" s="18"/>
      <c r="J1278" s="19" t="s">
        <v>59</v>
      </c>
      <c r="K1278" s="33"/>
      <c r="L1278" s="19" t="s">
        <v>38</v>
      </c>
      <c r="M1278" s="20">
        <f t="shared" si="1"/>
        <v>0</v>
      </c>
      <c r="N1278" s="22"/>
      <c r="O1278" s="19" t="s">
        <v>39</v>
      </c>
      <c r="P1278" s="18"/>
      <c r="Q1278" s="18"/>
      <c r="R1278" s="23">
        <v>0.0</v>
      </c>
      <c r="S1278" s="23">
        <v>0.0</v>
      </c>
      <c r="T1278" s="23">
        <f t="shared" si="2"/>
        <v>0</v>
      </c>
      <c r="U1278" s="23">
        <f t="shared" si="3"/>
        <v>0</v>
      </c>
      <c r="V1278" s="23">
        <f t="shared" si="4"/>
        <v>0</v>
      </c>
      <c r="W1278" s="24" t="str">
        <f t="shared" si="5"/>
        <v>#DIV/0!</v>
      </c>
    </row>
    <row r="1279">
      <c r="A1279" s="15" t="s">
        <v>4946</v>
      </c>
      <c r="B1279" s="15" t="s">
        <v>4947</v>
      </c>
      <c r="C1279" s="15" t="s">
        <v>7312</v>
      </c>
      <c r="D1279" s="15" t="s">
        <v>4948</v>
      </c>
      <c r="E1279" s="17" t="s">
        <v>4949</v>
      </c>
      <c r="F1279" s="18"/>
      <c r="G1279" s="18"/>
      <c r="H1279" s="15" t="s">
        <v>4950</v>
      </c>
      <c r="I1279" s="18"/>
      <c r="J1279" s="19" t="s">
        <v>283</v>
      </c>
      <c r="K1279" s="33"/>
      <c r="L1279" s="19" t="s">
        <v>38</v>
      </c>
      <c r="M1279" s="20">
        <f t="shared" si="1"/>
        <v>0</v>
      </c>
      <c r="N1279" s="22"/>
      <c r="O1279" s="19" t="s">
        <v>3578</v>
      </c>
      <c r="P1279" s="18"/>
      <c r="Q1279" s="18"/>
      <c r="R1279" s="23">
        <v>0.0</v>
      </c>
      <c r="S1279" s="23">
        <v>0.0</v>
      </c>
      <c r="T1279" s="23">
        <f t="shared" si="2"/>
        <v>0</v>
      </c>
      <c r="U1279" s="23">
        <f t="shared" si="3"/>
        <v>0</v>
      </c>
      <c r="V1279" s="23">
        <f t="shared" si="4"/>
        <v>0</v>
      </c>
      <c r="W1279" s="24" t="str">
        <f t="shared" si="5"/>
        <v>#DIV/0!</v>
      </c>
    </row>
    <row r="1280">
      <c r="A1280" s="15" t="s">
        <v>4952</v>
      </c>
      <c r="B1280" s="15" t="s">
        <v>4953</v>
      </c>
      <c r="C1280" s="15" t="s">
        <v>7313</v>
      </c>
      <c r="D1280" s="15" t="s">
        <v>4954</v>
      </c>
      <c r="E1280" s="17" t="s">
        <v>4955</v>
      </c>
      <c r="F1280" s="18"/>
      <c r="G1280" s="18"/>
      <c r="H1280" s="15" t="s">
        <v>4956</v>
      </c>
      <c r="I1280" s="18"/>
      <c r="J1280" s="19" t="s">
        <v>283</v>
      </c>
      <c r="K1280" s="33"/>
      <c r="L1280" s="19" t="s">
        <v>38</v>
      </c>
      <c r="M1280" s="20">
        <f t="shared" si="1"/>
        <v>0</v>
      </c>
      <c r="N1280" s="22"/>
      <c r="O1280" s="19" t="s">
        <v>3578</v>
      </c>
      <c r="P1280" s="18"/>
      <c r="Q1280" s="18"/>
      <c r="R1280" s="23">
        <v>0.0</v>
      </c>
      <c r="S1280" s="23">
        <v>0.0</v>
      </c>
      <c r="T1280" s="23">
        <f t="shared" si="2"/>
        <v>0</v>
      </c>
      <c r="U1280" s="23">
        <f t="shared" si="3"/>
        <v>0</v>
      </c>
      <c r="V1280" s="23">
        <f t="shared" si="4"/>
        <v>0</v>
      </c>
      <c r="W1280" s="24" t="str">
        <f t="shared" si="5"/>
        <v>#DIV/0!</v>
      </c>
    </row>
    <row r="1281" hidden="1">
      <c r="A1281" s="15" t="s">
        <v>7970</v>
      </c>
      <c r="B1281" s="18"/>
      <c r="C1281" s="15" t="s">
        <v>7971</v>
      </c>
      <c r="D1281" s="18"/>
      <c r="E1281" s="17" t="s">
        <v>7972</v>
      </c>
      <c r="F1281" s="18"/>
      <c r="G1281" s="18"/>
      <c r="H1281" s="15" t="s">
        <v>7973</v>
      </c>
      <c r="I1281" s="15" t="s">
        <v>3922</v>
      </c>
      <c r="J1281" s="19" t="s">
        <v>59</v>
      </c>
      <c r="K1281" s="19" t="s">
        <v>2396</v>
      </c>
      <c r="L1281" s="19" t="s">
        <v>38</v>
      </c>
      <c r="M1281" s="20">
        <f t="shared" si="1"/>
        <v>0</v>
      </c>
      <c r="N1281" s="22"/>
      <c r="O1281" s="19" t="s">
        <v>39</v>
      </c>
      <c r="P1281" s="18"/>
      <c r="Q1281" s="18"/>
      <c r="R1281" s="23">
        <v>0.0</v>
      </c>
      <c r="S1281" s="23">
        <v>0.0</v>
      </c>
      <c r="T1281" s="23">
        <f t="shared" si="2"/>
        <v>0</v>
      </c>
      <c r="U1281" s="23">
        <f t="shared" si="3"/>
        <v>0</v>
      </c>
      <c r="V1281" s="23">
        <f t="shared" si="4"/>
        <v>0</v>
      </c>
      <c r="W1281" s="24" t="str">
        <f t="shared" si="5"/>
        <v>#DIV/0!</v>
      </c>
    </row>
    <row r="1282" hidden="1">
      <c r="A1282" s="15" t="s">
        <v>5243</v>
      </c>
      <c r="B1282" s="18"/>
      <c r="C1282" s="15" t="s">
        <v>7974</v>
      </c>
      <c r="D1282" s="18"/>
      <c r="E1282" s="17" t="s">
        <v>7975</v>
      </c>
      <c r="F1282" s="18"/>
      <c r="G1282" s="18"/>
      <c r="H1282" s="15" t="s">
        <v>5247</v>
      </c>
      <c r="I1282" s="15" t="s">
        <v>5246</v>
      </c>
      <c r="J1282" s="19" t="s">
        <v>59</v>
      </c>
      <c r="K1282" s="19" t="s">
        <v>2396</v>
      </c>
      <c r="L1282" s="19" t="s">
        <v>38</v>
      </c>
      <c r="M1282" s="20">
        <f t="shared" si="1"/>
        <v>0</v>
      </c>
      <c r="N1282" s="22"/>
      <c r="O1282" s="19" t="s">
        <v>1145</v>
      </c>
      <c r="P1282" s="18"/>
      <c r="Q1282" s="18"/>
      <c r="R1282" s="23">
        <v>0.0</v>
      </c>
      <c r="S1282" s="23">
        <v>0.0</v>
      </c>
      <c r="T1282" s="23">
        <f t="shared" si="2"/>
        <v>0</v>
      </c>
      <c r="U1282" s="23">
        <f t="shared" si="3"/>
        <v>0</v>
      </c>
      <c r="V1282" s="23">
        <f t="shared" si="4"/>
        <v>0</v>
      </c>
      <c r="W1282" s="24" t="str">
        <f t="shared" si="5"/>
        <v>#DIV/0!</v>
      </c>
    </row>
    <row r="1283" hidden="1">
      <c r="A1283" s="15" t="s">
        <v>3196</v>
      </c>
      <c r="B1283" s="18"/>
      <c r="C1283" s="15" t="s">
        <v>7976</v>
      </c>
      <c r="D1283" s="18"/>
      <c r="E1283" s="17" t="s">
        <v>3197</v>
      </c>
      <c r="F1283" s="18"/>
      <c r="G1283" s="18"/>
      <c r="H1283" s="15" t="s">
        <v>3198</v>
      </c>
      <c r="I1283" s="15" t="s">
        <v>3199</v>
      </c>
      <c r="J1283" s="19" t="s">
        <v>59</v>
      </c>
      <c r="K1283" s="19" t="s">
        <v>2396</v>
      </c>
      <c r="L1283" s="19" t="s">
        <v>38</v>
      </c>
      <c r="M1283" s="20">
        <f t="shared" si="1"/>
        <v>0</v>
      </c>
      <c r="N1283" s="22"/>
      <c r="O1283" s="19" t="s">
        <v>1145</v>
      </c>
      <c r="P1283" s="18"/>
      <c r="Q1283" s="18"/>
      <c r="R1283" s="23">
        <v>0.0</v>
      </c>
      <c r="S1283" s="23">
        <v>0.0</v>
      </c>
      <c r="T1283" s="23">
        <f t="shared" si="2"/>
        <v>0</v>
      </c>
      <c r="U1283" s="23">
        <f t="shared" si="3"/>
        <v>0</v>
      </c>
      <c r="V1283" s="23">
        <f t="shared" si="4"/>
        <v>0</v>
      </c>
      <c r="W1283" s="24" t="str">
        <f t="shared" si="5"/>
        <v>#DIV/0!</v>
      </c>
    </row>
    <row r="1284" hidden="1">
      <c r="A1284" s="15" t="s">
        <v>3200</v>
      </c>
      <c r="B1284" s="18"/>
      <c r="C1284" s="15" t="s">
        <v>7977</v>
      </c>
      <c r="D1284" s="18"/>
      <c r="E1284" s="17" t="s">
        <v>3201</v>
      </c>
      <c r="F1284" s="18"/>
      <c r="G1284" s="18"/>
      <c r="H1284" s="15" t="s">
        <v>3202</v>
      </c>
      <c r="I1284" s="15" t="s">
        <v>3203</v>
      </c>
      <c r="J1284" s="19" t="s">
        <v>59</v>
      </c>
      <c r="K1284" s="19" t="s">
        <v>2396</v>
      </c>
      <c r="L1284" s="19" t="s">
        <v>38</v>
      </c>
      <c r="M1284" s="20">
        <f t="shared" si="1"/>
        <v>0</v>
      </c>
      <c r="N1284" s="22"/>
      <c r="O1284" s="19" t="s">
        <v>1145</v>
      </c>
      <c r="P1284" s="18"/>
      <c r="Q1284" s="18"/>
      <c r="R1284" s="23">
        <v>0.0</v>
      </c>
      <c r="S1284" s="23">
        <v>0.0</v>
      </c>
      <c r="T1284" s="23">
        <f t="shared" si="2"/>
        <v>0</v>
      </c>
      <c r="U1284" s="23">
        <f t="shared" si="3"/>
        <v>0</v>
      </c>
      <c r="V1284" s="23">
        <f t="shared" si="4"/>
        <v>0</v>
      </c>
      <c r="W1284" s="24" t="str">
        <f t="shared" si="5"/>
        <v>#DIV/0!</v>
      </c>
    </row>
    <row r="1285" hidden="1">
      <c r="A1285" s="15" t="s">
        <v>7978</v>
      </c>
      <c r="B1285" s="18"/>
      <c r="C1285" s="15" t="s">
        <v>7979</v>
      </c>
      <c r="D1285" s="18"/>
      <c r="E1285" s="17" t="s">
        <v>7980</v>
      </c>
      <c r="F1285" s="18"/>
      <c r="G1285" s="18"/>
      <c r="H1285" s="15" t="s">
        <v>7981</v>
      </c>
      <c r="I1285" s="15" t="s">
        <v>5264</v>
      </c>
      <c r="J1285" s="19" t="s">
        <v>59</v>
      </c>
      <c r="K1285" s="19" t="s">
        <v>691</v>
      </c>
      <c r="L1285" s="19" t="s">
        <v>38</v>
      </c>
      <c r="M1285" s="20">
        <f t="shared" si="1"/>
        <v>0</v>
      </c>
      <c r="N1285" s="22"/>
      <c r="O1285" s="19" t="s">
        <v>39</v>
      </c>
      <c r="P1285" s="18"/>
      <c r="Q1285" s="18"/>
      <c r="R1285" s="23">
        <v>0.0</v>
      </c>
      <c r="S1285" s="23">
        <v>0.0</v>
      </c>
      <c r="T1285" s="23">
        <f t="shared" si="2"/>
        <v>0</v>
      </c>
      <c r="U1285" s="23">
        <f t="shared" si="3"/>
        <v>0</v>
      </c>
      <c r="V1285" s="23">
        <f t="shared" si="4"/>
        <v>0</v>
      </c>
      <c r="W1285" s="24" t="str">
        <f t="shared" si="5"/>
        <v>#DIV/0!</v>
      </c>
    </row>
    <row r="1286" hidden="1">
      <c r="A1286" s="15" t="s">
        <v>5248</v>
      </c>
      <c r="B1286" s="18"/>
      <c r="C1286" s="15" t="s">
        <v>7982</v>
      </c>
      <c r="D1286" s="18"/>
      <c r="E1286" s="17" t="s">
        <v>7983</v>
      </c>
      <c r="F1286" s="18"/>
      <c r="G1286" s="18"/>
      <c r="H1286" s="15" t="s">
        <v>5252</v>
      </c>
      <c r="I1286" s="15" t="s">
        <v>5251</v>
      </c>
      <c r="J1286" s="19" t="s">
        <v>59</v>
      </c>
      <c r="K1286" s="19" t="s">
        <v>691</v>
      </c>
      <c r="L1286" s="19" t="s">
        <v>38</v>
      </c>
      <c r="M1286" s="20">
        <f t="shared" si="1"/>
        <v>0</v>
      </c>
      <c r="N1286" s="22"/>
      <c r="O1286" s="19" t="s">
        <v>1145</v>
      </c>
      <c r="P1286" s="18"/>
      <c r="Q1286" s="18"/>
      <c r="R1286" s="23">
        <v>0.0</v>
      </c>
      <c r="S1286" s="23">
        <v>0.0</v>
      </c>
      <c r="T1286" s="23">
        <f t="shared" si="2"/>
        <v>0</v>
      </c>
      <c r="U1286" s="23">
        <f t="shared" si="3"/>
        <v>0</v>
      </c>
      <c r="V1286" s="23">
        <f t="shared" si="4"/>
        <v>0</v>
      </c>
      <c r="W1286" s="24" t="str">
        <f t="shared" si="5"/>
        <v>#DIV/0!</v>
      </c>
    </row>
    <row r="1287" hidden="1">
      <c r="A1287" s="15" t="s">
        <v>5253</v>
      </c>
      <c r="B1287" s="18"/>
      <c r="C1287" s="15" t="s">
        <v>7984</v>
      </c>
      <c r="D1287" s="18"/>
      <c r="E1287" s="17" t="s">
        <v>3205</v>
      </c>
      <c r="F1287" s="18"/>
      <c r="G1287" s="18"/>
      <c r="H1287" s="15" t="s">
        <v>7985</v>
      </c>
      <c r="I1287" s="15" t="s">
        <v>5256</v>
      </c>
      <c r="J1287" s="19" t="s">
        <v>59</v>
      </c>
      <c r="K1287" s="19" t="s">
        <v>691</v>
      </c>
      <c r="L1287" s="19" t="s">
        <v>38</v>
      </c>
      <c r="M1287" s="20">
        <f t="shared" si="1"/>
        <v>0</v>
      </c>
      <c r="N1287" s="22"/>
      <c r="O1287" s="19" t="s">
        <v>1145</v>
      </c>
      <c r="P1287" s="18"/>
      <c r="Q1287" s="18"/>
      <c r="R1287" s="23">
        <v>0.0</v>
      </c>
      <c r="S1287" s="23">
        <v>0.0</v>
      </c>
      <c r="T1287" s="23">
        <f t="shared" si="2"/>
        <v>0</v>
      </c>
      <c r="U1287" s="23">
        <f t="shared" si="3"/>
        <v>0</v>
      </c>
      <c r="V1287" s="23">
        <f t="shared" si="4"/>
        <v>0</v>
      </c>
      <c r="W1287" s="24" t="str">
        <f t="shared" si="5"/>
        <v>#DIV/0!</v>
      </c>
    </row>
    <row r="1288" hidden="1">
      <c r="A1288" s="15" t="s">
        <v>3204</v>
      </c>
      <c r="B1288" s="18"/>
      <c r="C1288" s="15" t="s">
        <v>7986</v>
      </c>
      <c r="D1288" s="18"/>
      <c r="E1288" s="17" t="s">
        <v>3205</v>
      </c>
      <c r="F1288" s="18"/>
      <c r="G1288" s="18"/>
      <c r="H1288" s="15" t="s">
        <v>3206</v>
      </c>
      <c r="I1288" s="15" t="s">
        <v>3207</v>
      </c>
      <c r="J1288" s="19" t="s">
        <v>59</v>
      </c>
      <c r="K1288" s="19" t="s">
        <v>2382</v>
      </c>
      <c r="L1288" s="19" t="s">
        <v>38</v>
      </c>
      <c r="M1288" s="20">
        <f t="shared" si="1"/>
        <v>0</v>
      </c>
      <c r="N1288" s="22"/>
      <c r="O1288" s="19" t="s">
        <v>1145</v>
      </c>
      <c r="P1288" s="18"/>
      <c r="Q1288" s="18"/>
      <c r="R1288" s="23">
        <v>0.0</v>
      </c>
      <c r="S1288" s="23">
        <v>0.0</v>
      </c>
      <c r="T1288" s="23">
        <f t="shared" si="2"/>
        <v>0</v>
      </c>
      <c r="U1288" s="23">
        <f t="shared" si="3"/>
        <v>0</v>
      </c>
      <c r="V1288" s="23">
        <f t="shared" si="4"/>
        <v>0</v>
      </c>
      <c r="W1288" s="24" t="str">
        <f t="shared" si="5"/>
        <v>#DIV/0!</v>
      </c>
    </row>
    <row r="1289" hidden="1">
      <c r="A1289" s="15" t="s">
        <v>3208</v>
      </c>
      <c r="B1289" s="18"/>
      <c r="C1289" s="15" t="s">
        <v>7987</v>
      </c>
      <c r="D1289" s="18"/>
      <c r="E1289" s="17" t="s">
        <v>3209</v>
      </c>
      <c r="F1289" s="18"/>
      <c r="G1289" s="18"/>
      <c r="H1289" s="15" t="s">
        <v>3210</v>
      </c>
      <c r="I1289" s="15" t="s">
        <v>3211</v>
      </c>
      <c r="J1289" s="19" t="s">
        <v>59</v>
      </c>
      <c r="K1289" s="19" t="s">
        <v>2382</v>
      </c>
      <c r="L1289" s="19" t="s">
        <v>38</v>
      </c>
      <c r="M1289" s="20">
        <f t="shared" si="1"/>
        <v>0</v>
      </c>
      <c r="N1289" s="22"/>
      <c r="O1289" s="19" t="s">
        <v>1145</v>
      </c>
      <c r="P1289" s="18"/>
      <c r="Q1289" s="18"/>
      <c r="R1289" s="23">
        <v>0.0</v>
      </c>
      <c r="S1289" s="23">
        <v>0.0</v>
      </c>
      <c r="T1289" s="23">
        <f t="shared" si="2"/>
        <v>0</v>
      </c>
      <c r="U1289" s="23">
        <f t="shared" si="3"/>
        <v>0</v>
      </c>
      <c r="V1289" s="23">
        <f t="shared" si="4"/>
        <v>0</v>
      </c>
      <c r="W1289" s="24" t="str">
        <f t="shared" si="5"/>
        <v>#DIV/0!</v>
      </c>
    </row>
    <row r="1290" hidden="1">
      <c r="A1290" s="15" t="s">
        <v>3212</v>
      </c>
      <c r="B1290" s="18"/>
      <c r="C1290" s="15" t="s">
        <v>7988</v>
      </c>
      <c r="D1290" s="18"/>
      <c r="E1290" s="17" t="s">
        <v>3213</v>
      </c>
      <c r="F1290" s="18"/>
      <c r="G1290" s="18"/>
      <c r="H1290" s="15" t="s">
        <v>3214</v>
      </c>
      <c r="I1290" s="15" t="s">
        <v>3215</v>
      </c>
      <c r="J1290" s="19" t="s">
        <v>59</v>
      </c>
      <c r="K1290" s="19" t="s">
        <v>2382</v>
      </c>
      <c r="L1290" s="19" t="s">
        <v>38</v>
      </c>
      <c r="M1290" s="20">
        <f t="shared" si="1"/>
        <v>0</v>
      </c>
      <c r="N1290" s="22"/>
      <c r="O1290" s="19" t="s">
        <v>1145</v>
      </c>
      <c r="P1290" s="18"/>
      <c r="Q1290" s="18"/>
      <c r="R1290" s="23">
        <v>0.0</v>
      </c>
      <c r="S1290" s="23">
        <v>0.0</v>
      </c>
      <c r="T1290" s="23">
        <f t="shared" si="2"/>
        <v>0</v>
      </c>
      <c r="U1290" s="23">
        <f t="shared" si="3"/>
        <v>0</v>
      </c>
      <c r="V1290" s="23">
        <f t="shared" si="4"/>
        <v>0</v>
      </c>
      <c r="W1290" s="24" t="str">
        <f t="shared" si="5"/>
        <v>#DIV/0!</v>
      </c>
    </row>
    <row r="1291" hidden="1">
      <c r="A1291" s="15" t="s">
        <v>3216</v>
      </c>
      <c r="B1291" s="18"/>
      <c r="C1291" s="15" t="s">
        <v>7989</v>
      </c>
      <c r="D1291" s="18"/>
      <c r="E1291" s="17" t="s">
        <v>3217</v>
      </c>
      <c r="F1291" s="18"/>
      <c r="G1291" s="18"/>
      <c r="H1291" s="15" t="s">
        <v>3218</v>
      </c>
      <c r="I1291" s="15" t="s">
        <v>3219</v>
      </c>
      <c r="J1291" s="19" t="s">
        <v>59</v>
      </c>
      <c r="K1291" s="19" t="s">
        <v>2382</v>
      </c>
      <c r="L1291" s="19" t="s">
        <v>38</v>
      </c>
      <c r="M1291" s="20">
        <f t="shared" si="1"/>
        <v>0</v>
      </c>
      <c r="N1291" s="22"/>
      <c r="O1291" s="19" t="s">
        <v>1145</v>
      </c>
      <c r="P1291" s="18"/>
      <c r="Q1291" s="18"/>
      <c r="R1291" s="23">
        <v>0.0</v>
      </c>
      <c r="S1291" s="23">
        <v>0.0</v>
      </c>
      <c r="T1291" s="23">
        <f t="shared" si="2"/>
        <v>0</v>
      </c>
      <c r="U1291" s="23">
        <f t="shared" si="3"/>
        <v>0</v>
      </c>
      <c r="V1291" s="23">
        <f t="shared" si="4"/>
        <v>0</v>
      </c>
      <c r="W1291" s="24" t="str">
        <f t="shared" si="5"/>
        <v>#DIV/0!</v>
      </c>
    </row>
    <row r="1292" hidden="1">
      <c r="A1292" s="15" t="s">
        <v>5257</v>
      </c>
      <c r="B1292" s="18"/>
      <c r="C1292" s="15" t="s">
        <v>7990</v>
      </c>
      <c r="D1292" s="18"/>
      <c r="E1292" s="17" t="s">
        <v>7991</v>
      </c>
      <c r="F1292" s="18"/>
      <c r="G1292" s="18"/>
      <c r="H1292" s="15" t="s">
        <v>7992</v>
      </c>
      <c r="I1292" s="15" t="s">
        <v>5260</v>
      </c>
      <c r="J1292" s="19" t="s">
        <v>59</v>
      </c>
      <c r="K1292" s="19" t="s">
        <v>2401</v>
      </c>
      <c r="L1292" s="19" t="s">
        <v>38</v>
      </c>
      <c r="M1292" s="20">
        <f t="shared" si="1"/>
        <v>0</v>
      </c>
      <c r="N1292" s="22"/>
      <c r="O1292" s="19" t="s">
        <v>1145</v>
      </c>
      <c r="P1292" s="18"/>
      <c r="Q1292" s="18"/>
      <c r="R1292" s="23">
        <v>0.0</v>
      </c>
      <c r="S1292" s="23">
        <v>0.0</v>
      </c>
      <c r="T1292" s="23">
        <f t="shared" si="2"/>
        <v>0</v>
      </c>
      <c r="U1292" s="23">
        <f t="shared" si="3"/>
        <v>0</v>
      </c>
      <c r="V1292" s="23">
        <f t="shared" si="4"/>
        <v>0</v>
      </c>
      <c r="W1292" s="24" t="str">
        <f t="shared" si="5"/>
        <v>#DIV/0!</v>
      </c>
    </row>
    <row r="1293" hidden="1">
      <c r="A1293" s="15" t="s">
        <v>7993</v>
      </c>
      <c r="B1293" s="18"/>
      <c r="C1293" s="15" t="s">
        <v>7994</v>
      </c>
      <c r="D1293" s="18"/>
      <c r="E1293" s="17" t="s">
        <v>7995</v>
      </c>
      <c r="F1293" s="18"/>
      <c r="G1293" s="18"/>
      <c r="H1293" s="15" t="s">
        <v>7996</v>
      </c>
      <c r="I1293" s="15" t="s">
        <v>3908</v>
      </c>
      <c r="J1293" s="19" t="s">
        <v>59</v>
      </c>
      <c r="K1293" s="19" t="s">
        <v>691</v>
      </c>
      <c r="L1293" s="19" t="s">
        <v>38</v>
      </c>
      <c r="M1293" s="20">
        <f t="shared" si="1"/>
        <v>0</v>
      </c>
      <c r="N1293" s="22"/>
      <c r="O1293" s="19" t="s">
        <v>39</v>
      </c>
      <c r="P1293" s="18"/>
      <c r="Q1293" s="18"/>
      <c r="R1293" s="23">
        <v>0.0</v>
      </c>
      <c r="S1293" s="23">
        <v>0.0</v>
      </c>
      <c r="T1293" s="23">
        <f t="shared" si="2"/>
        <v>0</v>
      </c>
      <c r="U1293" s="23">
        <f t="shared" si="3"/>
        <v>0</v>
      </c>
      <c r="V1293" s="23">
        <f t="shared" si="4"/>
        <v>0</v>
      </c>
      <c r="W1293" s="24" t="str">
        <f t="shared" si="5"/>
        <v>#DIV/0!</v>
      </c>
    </row>
    <row r="1294" hidden="1">
      <c r="A1294" s="15" t="s">
        <v>7997</v>
      </c>
      <c r="B1294" s="18"/>
      <c r="C1294" s="15" t="s">
        <v>7998</v>
      </c>
      <c r="D1294" s="18"/>
      <c r="E1294" s="17" t="s">
        <v>7999</v>
      </c>
      <c r="F1294" s="18"/>
      <c r="G1294" s="18"/>
      <c r="H1294" s="15" t="s">
        <v>8000</v>
      </c>
      <c r="I1294" s="15" t="s">
        <v>3980</v>
      </c>
      <c r="J1294" s="19" t="s">
        <v>59</v>
      </c>
      <c r="K1294" s="19" t="s">
        <v>691</v>
      </c>
      <c r="L1294" s="19" t="s">
        <v>38</v>
      </c>
      <c r="M1294" s="20">
        <f t="shared" si="1"/>
        <v>0</v>
      </c>
      <c r="N1294" s="22"/>
      <c r="O1294" s="19" t="s">
        <v>39</v>
      </c>
      <c r="P1294" s="18"/>
      <c r="Q1294" s="18"/>
      <c r="R1294" s="23">
        <v>0.0</v>
      </c>
      <c r="S1294" s="23">
        <v>0.0</v>
      </c>
      <c r="T1294" s="23">
        <f t="shared" si="2"/>
        <v>0</v>
      </c>
      <c r="U1294" s="23">
        <f t="shared" si="3"/>
        <v>0</v>
      </c>
      <c r="V1294" s="23">
        <f t="shared" si="4"/>
        <v>0</v>
      </c>
      <c r="W1294" s="24" t="str">
        <f t="shared" si="5"/>
        <v>#DIV/0!</v>
      </c>
    </row>
    <row r="1295" hidden="1">
      <c r="A1295" s="15" t="s">
        <v>8001</v>
      </c>
      <c r="B1295" s="18"/>
      <c r="C1295" s="15" t="s">
        <v>8002</v>
      </c>
      <c r="D1295" s="18"/>
      <c r="E1295" s="17" t="s">
        <v>8003</v>
      </c>
      <c r="F1295" s="18"/>
      <c r="G1295" s="18"/>
      <c r="H1295" s="15" t="s">
        <v>8004</v>
      </c>
      <c r="I1295" s="15" t="s">
        <v>182</v>
      </c>
      <c r="J1295" s="19" t="s">
        <v>59</v>
      </c>
      <c r="K1295" s="19" t="s">
        <v>691</v>
      </c>
      <c r="L1295" s="19" t="s">
        <v>38</v>
      </c>
      <c r="M1295" s="20">
        <f t="shared" si="1"/>
        <v>0</v>
      </c>
      <c r="N1295" s="22"/>
      <c r="O1295" s="19" t="s">
        <v>39</v>
      </c>
      <c r="P1295" s="18"/>
      <c r="Q1295" s="18"/>
      <c r="R1295" s="23">
        <v>0.0</v>
      </c>
      <c r="S1295" s="23">
        <v>0.0</v>
      </c>
      <c r="T1295" s="23">
        <f t="shared" si="2"/>
        <v>0</v>
      </c>
      <c r="U1295" s="23">
        <f t="shared" si="3"/>
        <v>0</v>
      </c>
      <c r="V1295" s="23">
        <f t="shared" si="4"/>
        <v>0</v>
      </c>
      <c r="W1295" s="24" t="str">
        <f t="shared" si="5"/>
        <v>#DIV/0!</v>
      </c>
    </row>
    <row r="1296">
      <c r="A1296" s="15" t="s">
        <v>4957</v>
      </c>
      <c r="B1296" s="15" t="s">
        <v>4958</v>
      </c>
      <c r="C1296" s="15" t="s">
        <v>7314</v>
      </c>
      <c r="D1296" s="15" t="s">
        <v>4959</v>
      </c>
      <c r="E1296" s="17" t="s">
        <v>4960</v>
      </c>
      <c r="F1296" s="18"/>
      <c r="G1296" s="18"/>
      <c r="H1296" s="15" t="s">
        <v>4961</v>
      </c>
      <c r="I1296" s="18"/>
      <c r="J1296" s="19" t="s">
        <v>283</v>
      </c>
      <c r="K1296" s="19" t="s">
        <v>427</v>
      </c>
      <c r="L1296" s="19" t="s">
        <v>115</v>
      </c>
      <c r="M1296" s="20">
        <f t="shared" si="1"/>
        <v>0</v>
      </c>
      <c r="N1296" s="22"/>
      <c r="O1296" s="19" t="s">
        <v>3578</v>
      </c>
      <c r="P1296" s="18"/>
      <c r="Q1296" s="18"/>
      <c r="R1296" s="23">
        <v>0.0</v>
      </c>
      <c r="S1296" s="23">
        <v>0.0</v>
      </c>
      <c r="T1296" s="23">
        <f t="shared" si="2"/>
        <v>0</v>
      </c>
      <c r="U1296" s="23">
        <f t="shared" si="3"/>
        <v>0</v>
      </c>
      <c r="V1296" s="23">
        <f t="shared" si="4"/>
        <v>0</v>
      </c>
      <c r="W1296" s="24" t="str">
        <f t="shared" si="5"/>
        <v>#DIV/0!</v>
      </c>
    </row>
    <row r="1297">
      <c r="A1297" s="15" t="s">
        <v>4962</v>
      </c>
      <c r="B1297" s="15" t="s">
        <v>4963</v>
      </c>
      <c r="C1297" s="15" t="s">
        <v>7315</v>
      </c>
      <c r="D1297" s="15" t="s">
        <v>4964</v>
      </c>
      <c r="E1297" s="17" t="s">
        <v>4965</v>
      </c>
      <c r="F1297" s="18"/>
      <c r="G1297" s="18"/>
      <c r="H1297" s="15" t="s">
        <v>4966</v>
      </c>
      <c r="I1297" s="18"/>
      <c r="J1297" s="19" t="s">
        <v>283</v>
      </c>
      <c r="K1297" s="33"/>
      <c r="L1297" s="19" t="s">
        <v>38</v>
      </c>
      <c r="M1297" s="20">
        <f t="shared" si="1"/>
        <v>0</v>
      </c>
      <c r="N1297" s="22"/>
      <c r="O1297" s="19" t="s">
        <v>3578</v>
      </c>
      <c r="P1297" s="18"/>
      <c r="Q1297" s="18"/>
      <c r="R1297" s="23">
        <v>0.0</v>
      </c>
      <c r="S1297" s="23">
        <v>0.0</v>
      </c>
      <c r="T1297" s="23">
        <f t="shared" si="2"/>
        <v>0</v>
      </c>
      <c r="U1297" s="23">
        <f t="shared" si="3"/>
        <v>0</v>
      </c>
      <c r="V1297" s="23">
        <f t="shared" si="4"/>
        <v>0</v>
      </c>
      <c r="W1297" s="24" t="str">
        <f t="shared" si="5"/>
        <v>#DIV/0!</v>
      </c>
    </row>
    <row r="1298">
      <c r="A1298" s="15" t="s">
        <v>4967</v>
      </c>
      <c r="B1298" s="15" t="s">
        <v>4968</v>
      </c>
      <c r="C1298" s="15" t="s">
        <v>7317</v>
      </c>
      <c r="D1298" s="15" t="s">
        <v>4969</v>
      </c>
      <c r="E1298" s="17" t="s">
        <v>4970</v>
      </c>
      <c r="F1298" s="18"/>
      <c r="G1298" s="18"/>
      <c r="H1298" s="15" t="s">
        <v>4971</v>
      </c>
      <c r="I1298" s="18"/>
      <c r="J1298" s="19" t="s">
        <v>283</v>
      </c>
      <c r="K1298" s="19" t="s">
        <v>4972</v>
      </c>
      <c r="L1298" s="19" t="s">
        <v>38</v>
      </c>
      <c r="M1298" s="20">
        <f t="shared" si="1"/>
        <v>372.96</v>
      </c>
      <c r="N1298" s="22"/>
      <c r="O1298" s="19" t="s">
        <v>3578</v>
      </c>
      <c r="P1298" s="18"/>
      <c r="Q1298" s="18"/>
      <c r="R1298" s="23">
        <v>0.0</v>
      </c>
      <c r="S1298" s="23">
        <v>21.0</v>
      </c>
      <c r="T1298" s="23">
        <f t="shared" si="2"/>
        <v>20.16</v>
      </c>
      <c r="U1298" s="23">
        <f t="shared" si="3"/>
        <v>0</v>
      </c>
      <c r="V1298" s="23">
        <f t="shared" si="4"/>
        <v>0</v>
      </c>
      <c r="W1298" s="24" t="str">
        <f t="shared" si="5"/>
        <v>#DIV/0!</v>
      </c>
    </row>
    <row r="1299" hidden="1">
      <c r="A1299" s="15" t="s">
        <v>8008</v>
      </c>
      <c r="B1299" s="15" t="s">
        <v>8009</v>
      </c>
      <c r="C1299" s="15" t="s">
        <v>6054</v>
      </c>
      <c r="D1299" s="18"/>
      <c r="E1299" s="17" t="s">
        <v>8010</v>
      </c>
      <c r="F1299" s="18"/>
      <c r="G1299" s="18"/>
      <c r="H1299" s="15" t="s">
        <v>973</v>
      </c>
      <c r="I1299" s="18"/>
      <c r="J1299" s="19" t="s">
        <v>59</v>
      </c>
      <c r="K1299" s="33"/>
      <c r="L1299" s="19" t="s">
        <v>38</v>
      </c>
      <c r="M1299" s="20">
        <f t="shared" si="1"/>
        <v>0</v>
      </c>
      <c r="N1299" s="22"/>
      <c r="O1299" s="19" t="s">
        <v>39</v>
      </c>
      <c r="P1299" s="18"/>
      <c r="Q1299" s="18"/>
      <c r="R1299" s="23">
        <v>0.0</v>
      </c>
      <c r="S1299" s="23">
        <v>0.0</v>
      </c>
      <c r="T1299" s="23">
        <f t="shared" si="2"/>
        <v>0</v>
      </c>
      <c r="U1299" s="23">
        <f t="shared" si="3"/>
        <v>0</v>
      </c>
      <c r="V1299" s="23">
        <f t="shared" si="4"/>
        <v>0</v>
      </c>
      <c r="W1299" s="24" t="str">
        <f t="shared" si="5"/>
        <v>#DIV/0!</v>
      </c>
    </row>
    <row r="1300">
      <c r="A1300" s="15" t="s">
        <v>5914</v>
      </c>
      <c r="B1300" s="15" t="s">
        <v>5915</v>
      </c>
      <c r="C1300" s="15" t="s">
        <v>5977</v>
      </c>
      <c r="D1300" s="15" t="s">
        <v>5916</v>
      </c>
      <c r="E1300" s="17" t="s">
        <v>5917</v>
      </c>
      <c r="F1300" s="18"/>
      <c r="G1300" s="18"/>
      <c r="H1300" s="15" t="s">
        <v>5918</v>
      </c>
      <c r="I1300" s="18"/>
      <c r="J1300" s="19" t="s">
        <v>283</v>
      </c>
      <c r="K1300" s="19" t="s">
        <v>4972</v>
      </c>
      <c r="L1300" s="19" t="s">
        <v>38</v>
      </c>
      <c r="M1300" s="20">
        <f t="shared" si="1"/>
        <v>142.08</v>
      </c>
      <c r="N1300" s="22"/>
      <c r="O1300" s="19" t="s">
        <v>3578</v>
      </c>
      <c r="P1300" s="18"/>
      <c r="Q1300" s="18"/>
      <c r="R1300" s="23">
        <v>2.0</v>
      </c>
      <c r="S1300" s="23">
        <v>8.0</v>
      </c>
      <c r="T1300" s="23">
        <f t="shared" si="2"/>
        <v>7.68</v>
      </c>
      <c r="U1300" s="23">
        <f t="shared" si="3"/>
        <v>2.45</v>
      </c>
      <c r="V1300" s="23">
        <f t="shared" si="4"/>
        <v>45.9375</v>
      </c>
      <c r="W1300" s="24">
        <f t="shared" si="5"/>
        <v>3.84</v>
      </c>
    </row>
    <row r="1301">
      <c r="A1301" s="15" t="s">
        <v>4973</v>
      </c>
      <c r="B1301" s="15" t="s">
        <v>4974</v>
      </c>
      <c r="C1301" s="15" t="s">
        <v>7318</v>
      </c>
      <c r="D1301" s="15" t="s">
        <v>4975</v>
      </c>
      <c r="E1301" s="17" t="s">
        <v>4976</v>
      </c>
      <c r="F1301" s="18"/>
      <c r="G1301" s="18"/>
      <c r="H1301" s="15" t="s">
        <v>4977</v>
      </c>
      <c r="I1301" s="18"/>
      <c r="J1301" s="19" t="s">
        <v>283</v>
      </c>
      <c r="K1301" s="19" t="s">
        <v>4978</v>
      </c>
      <c r="L1301" s="19" t="s">
        <v>38</v>
      </c>
      <c r="M1301" s="20">
        <f t="shared" si="1"/>
        <v>2024.64</v>
      </c>
      <c r="N1301" s="22"/>
      <c r="O1301" s="19" t="s">
        <v>3578</v>
      </c>
      <c r="P1301" s="18"/>
      <c r="Q1301" s="18"/>
      <c r="R1301" s="23">
        <v>0.0</v>
      </c>
      <c r="S1301" s="23">
        <v>114.0</v>
      </c>
      <c r="T1301" s="23">
        <f t="shared" si="2"/>
        <v>109.44</v>
      </c>
      <c r="U1301" s="23">
        <f t="shared" si="3"/>
        <v>0</v>
      </c>
      <c r="V1301" s="23">
        <f t="shared" si="4"/>
        <v>0</v>
      </c>
      <c r="W1301" s="24" t="str">
        <f t="shared" si="5"/>
        <v>#DIV/0!</v>
      </c>
    </row>
    <row r="1302">
      <c r="A1302" s="15" t="s">
        <v>4979</v>
      </c>
      <c r="B1302" s="15" t="s">
        <v>4980</v>
      </c>
      <c r="C1302" s="15" t="s">
        <v>7319</v>
      </c>
      <c r="D1302" s="15" t="s">
        <v>4981</v>
      </c>
      <c r="E1302" s="17" t="s">
        <v>4982</v>
      </c>
      <c r="F1302" s="18"/>
      <c r="G1302" s="18"/>
      <c r="H1302" s="15" t="s">
        <v>4983</v>
      </c>
      <c r="I1302" s="18"/>
      <c r="J1302" s="19" t="s">
        <v>283</v>
      </c>
      <c r="K1302" s="19" t="s">
        <v>427</v>
      </c>
      <c r="L1302" s="19" t="s">
        <v>38</v>
      </c>
      <c r="M1302" s="20">
        <f t="shared" si="1"/>
        <v>0</v>
      </c>
      <c r="N1302" s="22"/>
      <c r="O1302" s="19" t="s">
        <v>3578</v>
      </c>
      <c r="P1302" s="18"/>
      <c r="Q1302" s="18"/>
      <c r="R1302" s="23">
        <v>0.0</v>
      </c>
      <c r="S1302" s="23">
        <v>0.0</v>
      </c>
      <c r="T1302" s="23">
        <f t="shared" si="2"/>
        <v>0</v>
      </c>
      <c r="U1302" s="23">
        <f t="shared" si="3"/>
        <v>0</v>
      </c>
      <c r="V1302" s="23">
        <f t="shared" si="4"/>
        <v>0</v>
      </c>
      <c r="W1302" s="24" t="str">
        <f t="shared" si="5"/>
        <v>#DIV/0!</v>
      </c>
    </row>
    <row r="1303" hidden="1">
      <c r="A1303" s="15" t="s">
        <v>3220</v>
      </c>
      <c r="B1303" s="18"/>
      <c r="C1303" s="15" t="s">
        <v>8013</v>
      </c>
      <c r="D1303" s="18"/>
      <c r="E1303" s="17" t="s">
        <v>3221</v>
      </c>
      <c r="F1303" s="18"/>
      <c r="G1303" s="18"/>
      <c r="H1303" s="15" t="s">
        <v>3222</v>
      </c>
      <c r="I1303" s="15" t="s">
        <v>3223</v>
      </c>
      <c r="J1303" s="19" t="s">
        <v>59</v>
      </c>
      <c r="K1303" s="19" t="s">
        <v>2396</v>
      </c>
      <c r="L1303" s="19" t="s">
        <v>38</v>
      </c>
      <c r="M1303" s="20">
        <f t="shared" si="1"/>
        <v>0</v>
      </c>
      <c r="N1303" s="22"/>
      <c r="O1303" s="19" t="s">
        <v>1145</v>
      </c>
      <c r="P1303" s="18"/>
      <c r="Q1303" s="18"/>
      <c r="R1303" s="23">
        <v>0.0</v>
      </c>
      <c r="S1303" s="23">
        <v>0.0</v>
      </c>
      <c r="T1303" s="23">
        <f t="shared" si="2"/>
        <v>0</v>
      </c>
      <c r="U1303" s="23">
        <f t="shared" si="3"/>
        <v>0</v>
      </c>
      <c r="V1303" s="23">
        <f t="shared" si="4"/>
        <v>0</v>
      </c>
      <c r="W1303" s="24" t="str">
        <f t="shared" si="5"/>
        <v>#DIV/0!</v>
      </c>
    </row>
    <row r="1304" hidden="1">
      <c r="A1304" s="15" t="s">
        <v>3224</v>
      </c>
      <c r="B1304" s="18"/>
      <c r="C1304" s="15" t="s">
        <v>8014</v>
      </c>
      <c r="D1304" s="18"/>
      <c r="E1304" s="17" t="s">
        <v>3225</v>
      </c>
      <c r="F1304" s="18"/>
      <c r="G1304" s="18"/>
      <c r="H1304" s="15" t="s">
        <v>3226</v>
      </c>
      <c r="I1304" s="15" t="s">
        <v>3227</v>
      </c>
      <c r="J1304" s="19" t="s">
        <v>59</v>
      </c>
      <c r="K1304" s="19" t="s">
        <v>2396</v>
      </c>
      <c r="L1304" s="19" t="s">
        <v>38</v>
      </c>
      <c r="M1304" s="20">
        <f t="shared" si="1"/>
        <v>0</v>
      </c>
      <c r="N1304" s="22"/>
      <c r="O1304" s="19" t="s">
        <v>1145</v>
      </c>
      <c r="P1304" s="18"/>
      <c r="Q1304" s="18"/>
      <c r="R1304" s="23">
        <v>0.0</v>
      </c>
      <c r="S1304" s="23">
        <v>0.0</v>
      </c>
      <c r="T1304" s="23">
        <f t="shared" si="2"/>
        <v>0</v>
      </c>
      <c r="U1304" s="23">
        <f t="shared" si="3"/>
        <v>0</v>
      </c>
      <c r="V1304" s="23">
        <f t="shared" si="4"/>
        <v>0</v>
      </c>
      <c r="W1304" s="24" t="str">
        <f t="shared" si="5"/>
        <v>#DIV/0!</v>
      </c>
    </row>
    <row r="1305" hidden="1">
      <c r="A1305" s="15" t="s">
        <v>3228</v>
      </c>
      <c r="B1305" s="18"/>
      <c r="C1305" s="15" t="s">
        <v>8015</v>
      </c>
      <c r="D1305" s="18"/>
      <c r="E1305" s="17" t="s">
        <v>3229</v>
      </c>
      <c r="F1305" s="18"/>
      <c r="G1305" s="18"/>
      <c r="H1305" s="15" t="s">
        <v>3230</v>
      </c>
      <c r="I1305" s="15" t="s">
        <v>3231</v>
      </c>
      <c r="J1305" s="19" t="s">
        <v>59</v>
      </c>
      <c r="K1305" s="19" t="s">
        <v>2396</v>
      </c>
      <c r="L1305" s="19" t="s">
        <v>38</v>
      </c>
      <c r="M1305" s="20">
        <f t="shared" si="1"/>
        <v>0</v>
      </c>
      <c r="N1305" s="22"/>
      <c r="O1305" s="19" t="s">
        <v>1145</v>
      </c>
      <c r="P1305" s="18"/>
      <c r="Q1305" s="18"/>
      <c r="R1305" s="23">
        <v>0.0</v>
      </c>
      <c r="S1305" s="23">
        <v>0.0</v>
      </c>
      <c r="T1305" s="23">
        <f t="shared" si="2"/>
        <v>0</v>
      </c>
      <c r="U1305" s="23">
        <f t="shared" si="3"/>
        <v>0</v>
      </c>
      <c r="V1305" s="23">
        <f t="shared" si="4"/>
        <v>0</v>
      </c>
      <c r="W1305" s="24" t="str">
        <f t="shared" si="5"/>
        <v>#DIV/0!</v>
      </c>
    </row>
    <row r="1306" hidden="1">
      <c r="A1306" s="15" t="s">
        <v>3232</v>
      </c>
      <c r="B1306" s="18"/>
      <c r="C1306" s="15" t="s">
        <v>8016</v>
      </c>
      <c r="D1306" s="18"/>
      <c r="E1306" s="17" t="s">
        <v>3233</v>
      </c>
      <c r="F1306" s="18"/>
      <c r="G1306" s="18"/>
      <c r="H1306" s="15" t="s">
        <v>3234</v>
      </c>
      <c r="I1306" s="15" t="s">
        <v>3235</v>
      </c>
      <c r="J1306" s="19" t="s">
        <v>59</v>
      </c>
      <c r="K1306" s="19" t="s">
        <v>2396</v>
      </c>
      <c r="L1306" s="19" t="s">
        <v>38</v>
      </c>
      <c r="M1306" s="20">
        <f t="shared" si="1"/>
        <v>0</v>
      </c>
      <c r="N1306" s="22"/>
      <c r="O1306" s="19" t="s">
        <v>1145</v>
      </c>
      <c r="P1306" s="18"/>
      <c r="Q1306" s="18"/>
      <c r="R1306" s="23">
        <v>0.0</v>
      </c>
      <c r="S1306" s="23">
        <v>0.0</v>
      </c>
      <c r="T1306" s="23">
        <f t="shared" si="2"/>
        <v>0</v>
      </c>
      <c r="U1306" s="23">
        <f t="shared" si="3"/>
        <v>0</v>
      </c>
      <c r="V1306" s="23">
        <f t="shared" si="4"/>
        <v>0</v>
      </c>
      <c r="W1306" s="24" t="str">
        <f t="shared" si="5"/>
        <v>#DIV/0!</v>
      </c>
    </row>
    <row r="1307" hidden="1">
      <c r="A1307" s="15" t="s">
        <v>8017</v>
      </c>
      <c r="B1307" s="18"/>
      <c r="C1307" s="15" t="s">
        <v>6641</v>
      </c>
      <c r="D1307" s="18"/>
      <c r="E1307" s="17" t="s">
        <v>1115</v>
      </c>
      <c r="F1307" s="18"/>
      <c r="G1307" s="18"/>
      <c r="H1307" s="18"/>
      <c r="I1307" s="18"/>
      <c r="J1307" s="19" t="s">
        <v>104</v>
      </c>
      <c r="K1307" s="19" t="s">
        <v>105</v>
      </c>
      <c r="L1307" s="19" t="s">
        <v>38</v>
      </c>
      <c r="M1307" s="20">
        <f t="shared" si="1"/>
        <v>0</v>
      </c>
      <c r="N1307" s="22"/>
      <c r="O1307" s="19" t="s">
        <v>39</v>
      </c>
      <c r="P1307" s="18"/>
      <c r="Q1307" s="18"/>
      <c r="R1307" s="23">
        <v>0.0</v>
      </c>
      <c r="S1307" s="23">
        <v>0.0</v>
      </c>
      <c r="T1307" s="23">
        <f t="shared" si="2"/>
        <v>0</v>
      </c>
      <c r="U1307" s="23">
        <f t="shared" si="3"/>
        <v>0</v>
      </c>
      <c r="V1307" s="23">
        <f t="shared" si="4"/>
        <v>0</v>
      </c>
      <c r="W1307" s="24" t="str">
        <f t="shared" si="5"/>
        <v>#DIV/0!</v>
      </c>
    </row>
    <row r="1308">
      <c r="A1308" s="15" t="s">
        <v>4984</v>
      </c>
      <c r="B1308" s="15" t="s">
        <v>4985</v>
      </c>
      <c r="C1308" s="15" t="s">
        <v>7320</v>
      </c>
      <c r="D1308" s="18"/>
      <c r="E1308" s="17" t="s">
        <v>4986</v>
      </c>
      <c r="F1308" s="18"/>
      <c r="G1308" s="18"/>
      <c r="H1308" s="15" t="s">
        <v>4987</v>
      </c>
      <c r="I1308" s="18"/>
      <c r="J1308" s="19" t="s">
        <v>283</v>
      </c>
      <c r="K1308" s="33"/>
      <c r="L1308" s="19" t="s">
        <v>38</v>
      </c>
      <c r="M1308" s="20">
        <f t="shared" si="1"/>
        <v>0</v>
      </c>
      <c r="N1308" s="22"/>
      <c r="O1308" s="19" t="s">
        <v>3578</v>
      </c>
      <c r="P1308" s="18"/>
      <c r="Q1308" s="18"/>
      <c r="R1308" s="23">
        <v>0.0</v>
      </c>
      <c r="S1308" s="23">
        <v>0.0</v>
      </c>
      <c r="T1308" s="23">
        <f t="shared" si="2"/>
        <v>0</v>
      </c>
      <c r="U1308" s="23">
        <f t="shared" si="3"/>
        <v>0</v>
      </c>
      <c r="V1308" s="23">
        <f t="shared" si="4"/>
        <v>0</v>
      </c>
      <c r="W1308" s="24" t="str">
        <f t="shared" si="5"/>
        <v>#DIV/0!</v>
      </c>
    </row>
    <row r="1309">
      <c r="A1309" s="15" t="s">
        <v>4988</v>
      </c>
      <c r="B1309" s="15" t="s">
        <v>4989</v>
      </c>
      <c r="C1309" s="15" t="s">
        <v>7321</v>
      </c>
      <c r="D1309" s="18"/>
      <c r="E1309" s="17" t="s">
        <v>4990</v>
      </c>
      <c r="F1309" s="18"/>
      <c r="G1309" s="18"/>
      <c r="H1309" s="15" t="s">
        <v>4991</v>
      </c>
      <c r="I1309" s="18"/>
      <c r="J1309" s="19" t="s">
        <v>283</v>
      </c>
      <c r="K1309" s="33"/>
      <c r="L1309" s="19" t="s">
        <v>38</v>
      </c>
      <c r="M1309" s="20">
        <f t="shared" si="1"/>
        <v>0</v>
      </c>
      <c r="N1309" s="22"/>
      <c r="O1309" s="19" t="s">
        <v>3578</v>
      </c>
      <c r="P1309" s="18"/>
      <c r="Q1309" s="18"/>
      <c r="R1309" s="23">
        <v>0.0</v>
      </c>
      <c r="S1309" s="23">
        <v>0.0</v>
      </c>
      <c r="T1309" s="23">
        <f t="shared" si="2"/>
        <v>0</v>
      </c>
      <c r="U1309" s="23">
        <f t="shared" si="3"/>
        <v>0</v>
      </c>
      <c r="V1309" s="23">
        <f t="shared" si="4"/>
        <v>0</v>
      </c>
      <c r="W1309" s="24" t="str">
        <f t="shared" si="5"/>
        <v>#DIV/0!</v>
      </c>
    </row>
    <row r="1310">
      <c r="A1310" s="15" t="s">
        <v>4992</v>
      </c>
      <c r="B1310" s="15" t="s">
        <v>4993</v>
      </c>
      <c r="C1310" s="15" t="s">
        <v>7322</v>
      </c>
      <c r="D1310" s="18"/>
      <c r="E1310" s="17" t="s">
        <v>4994</v>
      </c>
      <c r="F1310" s="18"/>
      <c r="G1310" s="18"/>
      <c r="H1310" s="15" t="s">
        <v>4995</v>
      </c>
      <c r="I1310" s="18"/>
      <c r="J1310" s="19" t="s">
        <v>283</v>
      </c>
      <c r="K1310" s="33"/>
      <c r="L1310" s="19" t="s">
        <v>38</v>
      </c>
      <c r="M1310" s="20">
        <f t="shared" si="1"/>
        <v>0</v>
      </c>
      <c r="N1310" s="22"/>
      <c r="O1310" s="19" t="s">
        <v>3578</v>
      </c>
      <c r="P1310" s="18"/>
      <c r="Q1310" s="18"/>
      <c r="R1310" s="23">
        <v>0.0</v>
      </c>
      <c r="S1310" s="23">
        <v>0.0</v>
      </c>
      <c r="T1310" s="23">
        <f t="shared" si="2"/>
        <v>0</v>
      </c>
      <c r="U1310" s="23">
        <f t="shared" si="3"/>
        <v>0</v>
      </c>
      <c r="V1310" s="23">
        <f t="shared" si="4"/>
        <v>0</v>
      </c>
      <c r="W1310" s="24" t="str">
        <f t="shared" si="5"/>
        <v>#DIV/0!</v>
      </c>
    </row>
    <row r="1311">
      <c r="A1311" s="15" t="s">
        <v>4996</v>
      </c>
      <c r="B1311" s="15" t="s">
        <v>4997</v>
      </c>
      <c r="C1311" s="15" t="s">
        <v>7323</v>
      </c>
      <c r="D1311" s="15" t="s">
        <v>4998</v>
      </c>
      <c r="E1311" s="17" t="s">
        <v>4999</v>
      </c>
      <c r="F1311" s="18"/>
      <c r="G1311" s="18"/>
      <c r="H1311" s="15" t="s">
        <v>5000</v>
      </c>
      <c r="I1311" s="15" t="s">
        <v>5001</v>
      </c>
      <c r="J1311" s="19" t="s">
        <v>283</v>
      </c>
      <c r="K1311" s="33"/>
      <c r="L1311" s="19" t="s">
        <v>38</v>
      </c>
      <c r="M1311" s="20">
        <f t="shared" si="1"/>
        <v>0</v>
      </c>
      <c r="N1311" s="22"/>
      <c r="O1311" s="19" t="s">
        <v>3578</v>
      </c>
      <c r="P1311" s="18"/>
      <c r="Q1311" s="18"/>
      <c r="R1311" s="23">
        <v>0.0</v>
      </c>
      <c r="S1311" s="23">
        <v>0.0</v>
      </c>
      <c r="T1311" s="23">
        <f t="shared" si="2"/>
        <v>0</v>
      </c>
      <c r="U1311" s="23">
        <f t="shared" si="3"/>
        <v>0</v>
      </c>
      <c r="V1311" s="23">
        <f t="shared" si="4"/>
        <v>0</v>
      </c>
      <c r="W1311" s="24" t="str">
        <f t="shared" si="5"/>
        <v>#DIV/0!</v>
      </c>
    </row>
    <row r="1312">
      <c r="A1312" s="15" t="s">
        <v>5002</v>
      </c>
      <c r="B1312" s="15" t="s">
        <v>5003</v>
      </c>
      <c r="C1312" s="15" t="s">
        <v>7324</v>
      </c>
      <c r="D1312" s="15" t="s">
        <v>7325</v>
      </c>
      <c r="E1312" s="17" t="s">
        <v>7326</v>
      </c>
      <c r="F1312" s="18"/>
      <c r="G1312" s="18"/>
      <c r="H1312" s="15" t="s">
        <v>5006</v>
      </c>
      <c r="I1312" s="18"/>
      <c r="J1312" s="19" t="s">
        <v>283</v>
      </c>
      <c r="K1312" s="33"/>
      <c r="L1312" s="19" t="s">
        <v>38</v>
      </c>
      <c r="M1312" s="20">
        <f t="shared" si="1"/>
        <v>0</v>
      </c>
      <c r="N1312" s="22"/>
      <c r="O1312" s="19" t="s">
        <v>3578</v>
      </c>
      <c r="P1312" s="18"/>
      <c r="Q1312" s="18"/>
      <c r="R1312" s="23">
        <v>0.0</v>
      </c>
      <c r="S1312" s="23">
        <v>0.0</v>
      </c>
      <c r="T1312" s="23">
        <f t="shared" si="2"/>
        <v>0</v>
      </c>
      <c r="U1312" s="23">
        <f t="shared" si="3"/>
        <v>0</v>
      </c>
      <c r="V1312" s="23">
        <f t="shared" si="4"/>
        <v>0</v>
      </c>
      <c r="W1312" s="24" t="str">
        <f t="shared" si="5"/>
        <v>#DIV/0!</v>
      </c>
    </row>
    <row r="1313">
      <c r="A1313" s="15" t="s">
        <v>5944</v>
      </c>
      <c r="B1313" s="15" t="s">
        <v>5945</v>
      </c>
      <c r="C1313" s="15" t="s">
        <v>7327</v>
      </c>
      <c r="D1313" s="15" t="s">
        <v>5946</v>
      </c>
      <c r="E1313" s="17" t="s">
        <v>5947</v>
      </c>
      <c r="F1313" s="18"/>
      <c r="G1313" s="18"/>
      <c r="H1313" s="15" t="s">
        <v>5948</v>
      </c>
      <c r="I1313" s="18"/>
      <c r="J1313" s="19" t="s">
        <v>283</v>
      </c>
      <c r="K1313" s="19" t="s">
        <v>4972</v>
      </c>
      <c r="L1313" s="19" t="s">
        <v>177</v>
      </c>
      <c r="M1313" s="20">
        <f t="shared" si="1"/>
        <v>355.2</v>
      </c>
      <c r="N1313" s="22"/>
      <c r="O1313" s="19" t="s">
        <v>3578</v>
      </c>
      <c r="P1313" s="18"/>
      <c r="Q1313" s="18"/>
      <c r="R1313" s="23">
        <v>6.8</v>
      </c>
      <c r="S1313" s="23">
        <v>20.0</v>
      </c>
      <c r="T1313" s="23">
        <f t="shared" si="2"/>
        <v>19.2</v>
      </c>
      <c r="U1313" s="23">
        <f t="shared" si="3"/>
        <v>8.33</v>
      </c>
      <c r="V1313" s="23">
        <f t="shared" si="4"/>
        <v>156.1875</v>
      </c>
      <c r="W1313" s="24">
        <f t="shared" si="5"/>
        <v>2.823529412</v>
      </c>
    </row>
    <row r="1314">
      <c r="A1314" s="15" t="s">
        <v>5894</v>
      </c>
      <c r="B1314" s="15" t="s">
        <v>5895</v>
      </c>
      <c r="C1314" s="15" t="s">
        <v>7328</v>
      </c>
      <c r="D1314" s="15" t="s">
        <v>5896</v>
      </c>
      <c r="E1314" s="17" t="s">
        <v>5897</v>
      </c>
      <c r="F1314" s="18"/>
      <c r="G1314" s="18"/>
      <c r="H1314" s="15" t="s">
        <v>5898</v>
      </c>
      <c r="I1314" s="18"/>
      <c r="J1314" s="19" t="s">
        <v>283</v>
      </c>
      <c r="K1314" s="19" t="s">
        <v>4972</v>
      </c>
      <c r="L1314" s="19" t="s">
        <v>177</v>
      </c>
      <c r="M1314" s="20">
        <f t="shared" si="1"/>
        <v>497.28</v>
      </c>
      <c r="N1314" s="22"/>
      <c r="O1314" s="19" t="s">
        <v>3578</v>
      </c>
      <c r="P1314" s="18"/>
      <c r="Q1314" s="18"/>
      <c r="R1314" s="23">
        <v>6.0</v>
      </c>
      <c r="S1314" s="23">
        <v>28.0</v>
      </c>
      <c r="T1314" s="23">
        <f t="shared" si="2"/>
        <v>26.88</v>
      </c>
      <c r="U1314" s="23">
        <f t="shared" si="3"/>
        <v>7.35</v>
      </c>
      <c r="V1314" s="23">
        <f t="shared" si="4"/>
        <v>137.8125</v>
      </c>
      <c r="W1314" s="24">
        <f t="shared" si="5"/>
        <v>4.48</v>
      </c>
    </row>
    <row r="1315">
      <c r="A1315" s="15" t="s">
        <v>5008</v>
      </c>
      <c r="B1315" s="15" t="s">
        <v>5009</v>
      </c>
      <c r="C1315" s="15" t="s">
        <v>7329</v>
      </c>
      <c r="D1315" s="15" t="s">
        <v>5010</v>
      </c>
      <c r="E1315" s="17" t="s">
        <v>5011</v>
      </c>
      <c r="F1315" s="18"/>
      <c r="G1315" s="18"/>
      <c r="H1315" s="15" t="s">
        <v>5012</v>
      </c>
      <c r="I1315" s="18"/>
      <c r="J1315" s="19" t="s">
        <v>283</v>
      </c>
      <c r="K1315" s="19" t="s">
        <v>427</v>
      </c>
      <c r="L1315" s="19" t="s">
        <v>177</v>
      </c>
      <c r="M1315" s="20">
        <f t="shared" si="1"/>
        <v>0</v>
      </c>
      <c r="N1315" s="22"/>
      <c r="O1315" s="19" t="s">
        <v>3578</v>
      </c>
      <c r="P1315" s="18"/>
      <c r="Q1315" s="18"/>
      <c r="R1315" s="23">
        <v>0.0</v>
      </c>
      <c r="S1315" s="23">
        <v>0.0</v>
      </c>
      <c r="T1315" s="23">
        <f t="shared" si="2"/>
        <v>0</v>
      </c>
      <c r="U1315" s="23">
        <f t="shared" si="3"/>
        <v>0</v>
      </c>
      <c r="V1315" s="23">
        <f t="shared" si="4"/>
        <v>0</v>
      </c>
      <c r="W1315" s="24" t="str">
        <f t="shared" si="5"/>
        <v>#DIV/0!</v>
      </c>
    </row>
    <row r="1316">
      <c r="A1316" s="15" t="s">
        <v>5018</v>
      </c>
      <c r="B1316" s="15" t="s">
        <v>5019</v>
      </c>
      <c r="C1316" s="15" t="s">
        <v>7342</v>
      </c>
      <c r="D1316" s="15" t="s">
        <v>5020</v>
      </c>
      <c r="E1316" s="17" t="s">
        <v>5021</v>
      </c>
      <c r="F1316" s="18"/>
      <c r="G1316" s="18"/>
      <c r="H1316" s="15" t="s">
        <v>5022</v>
      </c>
      <c r="I1316" s="18"/>
      <c r="J1316" s="19" t="s">
        <v>36</v>
      </c>
      <c r="K1316" s="33"/>
      <c r="L1316" s="19" t="s">
        <v>38</v>
      </c>
      <c r="M1316" s="20">
        <f t="shared" si="1"/>
        <v>0</v>
      </c>
      <c r="N1316" s="22"/>
      <c r="O1316" s="19" t="s">
        <v>3578</v>
      </c>
      <c r="P1316" s="18"/>
      <c r="Q1316" s="18"/>
      <c r="R1316" s="23">
        <v>0.0</v>
      </c>
      <c r="S1316" s="23">
        <v>0.0</v>
      </c>
      <c r="T1316" s="23">
        <f t="shared" si="2"/>
        <v>0</v>
      </c>
      <c r="U1316" s="23">
        <f t="shared" si="3"/>
        <v>0</v>
      </c>
      <c r="V1316" s="23">
        <f t="shared" si="4"/>
        <v>0</v>
      </c>
      <c r="W1316" s="24" t="str">
        <f t="shared" si="5"/>
        <v>#DIV/0!</v>
      </c>
    </row>
    <row r="1317">
      <c r="A1317" s="15" t="s">
        <v>5028</v>
      </c>
      <c r="B1317" s="15" t="s">
        <v>5029</v>
      </c>
      <c r="C1317" s="15" t="s">
        <v>7330</v>
      </c>
      <c r="D1317" s="15" t="s">
        <v>5030</v>
      </c>
      <c r="E1317" s="17" t="s">
        <v>5031</v>
      </c>
      <c r="F1317" s="18"/>
      <c r="G1317" s="18"/>
      <c r="H1317" s="15" t="s">
        <v>5032</v>
      </c>
      <c r="I1317" s="15"/>
      <c r="J1317" s="19" t="s">
        <v>36</v>
      </c>
      <c r="K1317" s="33"/>
      <c r="L1317" s="19" t="s">
        <v>38</v>
      </c>
      <c r="M1317" s="20">
        <f t="shared" si="1"/>
        <v>0</v>
      </c>
      <c r="N1317" s="22"/>
      <c r="O1317" s="19" t="s">
        <v>3578</v>
      </c>
      <c r="P1317" s="18"/>
      <c r="Q1317" s="18"/>
      <c r="R1317" s="23">
        <v>0.0</v>
      </c>
      <c r="S1317" s="23">
        <v>0.0</v>
      </c>
      <c r="T1317" s="23">
        <f t="shared" si="2"/>
        <v>0</v>
      </c>
      <c r="U1317" s="23">
        <f t="shared" si="3"/>
        <v>0</v>
      </c>
      <c r="V1317" s="23">
        <f t="shared" si="4"/>
        <v>0</v>
      </c>
      <c r="W1317" s="24" t="str">
        <f t="shared" si="5"/>
        <v>#DIV/0!</v>
      </c>
    </row>
    <row r="1318">
      <c r="A1318" s="15" t="s">
        <v>5041</v>
      </c>
      <c r="B1318" s="15" t="s">
        <v>5042</v>
      </c>
      <c r="C1318" s="15" t="s">
        <v>7445</v>
      </c>
      <c r="D1318" s="15" t="s">
        <v>5043</v>
      </c>
      <c r="E1318" s="17" t="s">
        <v>5044</v>
      </c>
      <c r="F1318" s="18"/>
      <c r="G1318" s="18"/>
      <c r="H1318" s="15" t="s">
        <v>7446</v>
      </c>
      <c r="I1318" s="18"/>
      <c r="J1318" s="19" t="s">
        <v>36</v>
      </c>
      <c r="K1318" s="33"/>
      <c r="L1318" s="19" t="s">
        <v>38</v>
      </c>
      <c r="M1318" s="20">
        <f t="shared" si="1"/>
        <v>0</v>
      </c>
      <c r="N1318" s="22"/>
      <c r="O1318" s="19" t="s">
        <v>3578</v>
      </c>
      <c r="P1318" s="18"/>
      <c r="Q1318" s="18"/>
      <c r="R1318" s="23">
        <v>0.0</v>
      </c>
      <c r="S1318" s="23">
        <v>0.0</v>
      </c>
      <c r="T1318" s="23">
        <f t="shared" si="2"/>
        <v>0</v>
      </c>
      <c r="U1318" s="23">
        <f t="shared" si="3"/>
        <v>0</v>
      </c>
      <c r="V1318" s="23">
        <f t="shared" si="4"/>
        <v>0</v>
      </c>
      <c r="W1318" s="24" t="str">
        <f t="shared" si="5"/>
        <v>#DIV/0!</v>
      </c>
    </row>
    <row r="1319">
      <c r="A1319" s="15" t="s">
        <v>5051</v>
      </c>
      <c r="B1319" s="15" t="s">
        <v>5052</v>
      </c>
      <c r="C1319" s="15" t="s">
        <v>7462</v>
      </c>
      <c r="D1319" s="18"/>
      <c r="E1319" s="17" t="s">
        <v>5054</v>
      </c>
      <c r="F1319" s="18"/>
      <c r="G1319" s="18"/>
      <c r="H1319" s="15" t="s">
        <v>5055</v>
      </c>
      <c r="I1319" s="18"/>
      <c r="J1319" s="19" t="s">
        <v>36</v>
      </c>
      <c r="K1319" s="33"/>
      <c r="L1319" s="19" t="s">
        <v>38</v>
      </c>
      <c r="M1319" s="20">
        <f t="shared" si="1"/>
        <v>0</v>
      </c>
      <c r="N1319" s="22"/>
      <c r="O1319" s="19" t="s">
        <v>3578</v>
      </c>
      <c r="P1319" s="18"/>
      <c r="Q1319" s="18"/>
      <c r="R1319" s="23">
        <v>0.0</v>
      </c>
      <c r="S1319" s="23">
        <v>0.0</v>
      </c>
      <c r="T1319" s="23">
        <f t="shared" si="2"/>
        <v>0</v>
      </c>
      <c r="U1319" s="23">
        <f t="shared" si="3"/>
        <v>0</v>
      </c>
      <c r="V1319" s="23">
        <f t="shared" si="4"/>
        <v>0</v>
      </c>
      <c r="W1319" s="24" t="str">
        <f t="shared" si="5"/>
        <v>#DIV/0!</v>
      </c>
    </row>
    <row r="1320" hidden="1">
      <c r="A1320" s="15" t="s">
        <v>3570</v>
      </c>
      <c r="B1320" s="15" t="s">
        <v>3571</v>
      </c>
      <c r="C1320" s="15" t="s">
        <v>8019</v>
      </c>
      <c r="D1320" s="18"/>
      <c r="E1320" s="17" t="s">
        <v>3572</v>
      </c>
      <c r="F1320" s="18"/>
      <c r="G1320" s="18"/>
      <c r="H1320" s="15" t="s">
        <v>3573</v>
      </c>
      <c r="I1320" s="18"/>
      <c r="J1320" s="19" t="s">
        <v>104</v>
      </c>
      <c r="K1320" s="33"/>
      <c r="L1320" s="19" t="s">
        <v>38</v>
      </c>
      <c r="M1320" s="20">
        <f t="shared" si="1"/>
        <v>0</v>
      </c>
      <c r="N1320" s="22"/>
      <c r="O1320" s="19" t="s">
        <v>3574</v>
      </c>
      <c r="P1320" s="18"/>
      <c r="Q1320" s="18"/>
      <c r="R1320" s="23">
        <v>0.0</v>
      </c>
      <c r="S1320" s="23">
        <v>0.0</v>
      </c>
      <c r="T1320" s="23">
        <f t="shared" si="2"/>
        <v>0</v>
      </c>
      <c r="U1320" s="23">
        <f t="shared" si="3"/>
        <v>0</v>
      </c>
      <c r="V1320" s="23">
        <f t="shared" si="4"/>
        <v>0</v>
      </c>
      <c r="W1320" s="24" t="str">
        <f t="shared" si="5"/>
        <v>#DIV/0!</v>
      </c>
    </row>
    <row r="1321">
      <c r="A1321" s="15" t="s">
        <v>7544</v>
      </c>
      <c r="B1321" s="15" t="s">
        <v>7545</v>
      </c>
      <c r="C1321" s="15" t="s">
        <v>7546</v>
      </c>
      <c r="D1321" s="18"/>
      <c r="E1321" s="17" t="s">
        <v>7547</v>
      </c>
      <c r="F1321" s="18"/>
      <c r="G1321" s="18"/>
      <c r="H1321" s="15" t="s">
        <v>5463</v>
      </c>
      <c r="I1321" s="18"/>
      <c r="J1321" s="19" t="s">
        <v>59</v>
      </c>
      <c r="K1321" s="33"/>
      <c r="L1321" s="19" t="s">
        <v>38</v>
      </c>
      <c r="M1321" s="20">
        <f t="shared" si="1"/>
        <v>0</v>
      </c>
      <c r="N1321" s="22"/>
      <c r="O1321" s="19" t="s">
        <v>3578</v>
      </c>
      <c r="P1321" s="18"/>
      <c r="Q1321" s="18"/>
      <c r="R1321" s="23">
        <v>0.0</v>
      </c>
      <c r="S1321" s="23">
        <v>0.0</v>
      </c>
      <c r="T1321" s="23">
        <f t="shared" si="2"/>
        <v>0</v>
      </c>
      <c r="U1321" s="23">
        <f t="shared" si="3"/>
        <v>0</v>
      </c>
      <c r="V1321" s="23">
        <f t="shared" si="4"/>
        <v>0</v>
      </c>
      <c r="W1321" s="24" t="str">
        <f t="shared" si="5"/>
        <v>#DIV/0!</v>
      </c>
    </row>
    <row r="1322">
      <c r="A1322" s="15" t="s">
        <v>5083</v>
      </c>
      <c r="B1322" s="15" t="s">
        <v>5084</v>
      </c>
      <c r="C1322" s="15" t="s">
        <v>7563</v>
      </c>
      <c r="D1322" s="15" t="s">
        <v>5085</v>
      </c>
      <c r="E1322" s="17" t="s">
        <v>5086</v>
      </c>
      <c r="F1322" s="18"/>
      <c r="G1322" s="18"/>
      <c r="H1322" s="15" t="s">
        <v>5087</v>
      </c>
      <c r="I1322" s="18"/>
      <c r="J1322" s="19" t="s">
        <v>59</v>
      </c>
      <c r="K1322" s="19" t="s">
        <v>60</v>
      </c>
      <c r="L1322" s="19" t="s">
        <v>84</v>
      </c>
      <c r="M1322" s="20">
        <f t="shared" si="1"/>
        <v>0</v>
      </c>
      <c r="N1322" s="22"/>
      <c r="O1322" s="19" t="s">
        <v>3578</v>
      </c>
      <c r="P1322" s="18"/>
      <c r="Q1322" s="18"/>
      <c r="R1322" s="23">
        <v>0.0</v>
      </c>
      <c r="S1322" s="23">
        <v>0.0</v>
      </c>
      <c r="T1322" s="23">
        <f t="shared" si="2"/>
        <v>0</v>
      </c>
      <c r="U1322" s="23">
        <f t="shared" si="3"/>
        <v>0</v>
      </c>
      <c r="V1322" s="23">
        <f t="shared" si="4"/>
        <v>0</v>
      </c>
      <c r="W1322" s="24" t="str">
        <f t="shared" si="5"/>
        <v>#DIV/0!</v>
      </c>
    </row>
    <row r="1323">
      <c r="A1323" s="15" t="s">
        <v>5088</v>
      </c>
      <c r="B1323" s="15" t="s">
        <v>5089</v>
      </c>
      <c r="C1323" s="15" t="s">
        <v>7571</v>
      </c>
      <c r="D1323" s="42" t="s">
        <v>5090</v>
      </c>
      <c r="E1323" s="17" t="s">
        <v>7572</v>
      </c>
      <c r="F1323" s="18"/>
      <c r="G1323" s="18"/>
      <c r="H1323" s="15" t="s">
        <v>5092</v>
      </c>
      <c r="I1323" s="15"/>
      <c r="J1323" s="19" t="s">
        <v>59</v>
      </c>
      <c r="K1323" s="19" t="s">
        <v>2382</v>
      </c>
      <c r="L1323" s="19" t="s">
        <v>38</v>
      </c>
      <c r="M1323" s="20">
        <f t="shared" si="1"/>
        <v>0</v>
      </c>
      <c r="N1323" s="22"/>
      <c r="O1323" s="19" t="s">
        <v>3578</v>
      </c>
      <c r="P1323" s="18"/>
      <c r="Q1323" s="18"/>
      <c r="R1323" s="23">
        <v>0.0</v>
      </c>
      <c r="S1323" s="23">
        <v>0.0</v>
      </c>
      <c r="T1323" s="23">
        <f t="shared" si="2"/>
        <v>0</v>
      </c>
      <c r="U1323" s="23">
        <f t="shared" si="3"/>
        <v>0</v>
      </c>
      <c r="V1323" s="23">
        <f t="shared" si="4"/>
        <v>0</v>
      </c>
      <c r="W1323" s="24" t="str">
        <f t="shared" si="5"/>
        <v>#DIV/0!</v>
      </c>
    </row>
    <row r="1324">
      <c r="A1324" s="15" t="s">
        <v>5093</v>
      </c>
      <c r="B1324" s="15" t="s">
        <v>5094</v>
      </c>
      <c r="C1324" s="15" t="s">
        <v>7574</v>
      </c>
      <c r="D1324" s="15" t="s">
        <v>5095</v>
      </c>
      <c r="E1324" s="17" t="s">
        <v>5096</v>
      </c>
      <c r="F1324" s="18"/>
      <c r="G1324" s="18"/>
      <c r="H1324" s="15" t="s">
        <v>6415</v>
      </c>
      <c r="I1324" s="18"/>
      <c r="J1324" s="19" t="s">
        <v>59</v>
      </c>
      <c r="K1324" s="33"/>
      <c r="L1324" s="19" t="s">
        <v>38</v>
      </c>
      <c r="M1324" s="20">
        <f t="shared" si="1"/>
        <v>0</v>
      </c>
      <c r="N1324" s="22"/>
      <c r="O1324" s="19" t="s">
        <v>3578</v>
      </c>
      <c r="P1324" s="18"/>
      <c r="Q1324" s="18"/>
      <c r="R1324" s="23">
        <v>0.0</v>
      </c>
      <c r="S1324" s="23">
        <v>0.0</v>
      </c>
      <c r="T1324" s="23">
        <f t="shared" si="2"/>
        <v>0</v>
      </c>
      <c r="U1324" s="23">
        <f t="shared" si="3"/>
        <v>0</v>
      </c>
      <c r="V1324" s="23">
        <f t="shared" si="4"/>
        <v>0</v>
      </c>
      <c r="W1324" s="24" t="str">
        <f t="shared" si="5"/>
        <v>#DIV/0!</v>
      </c>
    </row>
    <row r="1325">
      <c r="A1325" s="15" t="s">
        <v>5098</v>
      </c>
      <c r="B1325" s="15" t="s">
        <v>5099</v>
      </c>
      <c r="C1325" s="15" t="s">
        <v>7575</v>
      </c>
      <c r="D1325" s="15" t="s">
        <v>5100</v>
      </c>
      <c r="E1325" s="17" t="s">
        <v>5101</v>
      </c>
      <c r="F1325" s="18"/>
      <c r="G1325" s="18"/>
      <c r="H1325" s="15" t="s">
        <v>5102</v>
      </c>
      <c r="I1325" s="18"/>
      <c r="J1325" s="19" t="s">
        <v>59</v>
      </c>
      <c r="K1325" s="33"/>
      <c r="L1325" s="19" t="s">
        <v>38</v>
      </c>
      <c r="M1325" s="20">
        <f t="shared" si="1"/>
        <v>0</v>
      </c>
      <c r="N1325" s="22"/>
      <c r="O1325" s="19" t="s">
        <v>3578</v>
      </c>
      <c r="P1325" s="18"/>
      <c r="Q1325" s="18"/>
      <c r="R1325" s="23">
        <v>0.0</v>
      </c>
      <c r="S1325" s="23">
        <v>0.0</v>
      </c>
      <c r="T1325" s="23">
        <f t="shared" si="2"/>
        <v>0</v>
      </c>
      <c r="U1325" s="23">
        <f t="shared" si="3"/>
        <v>0</v>
      </c>
      <c r="V1325" s="23">
        <f t="shared" si="4"/>
        <v>0</v>
      </c>
      <c r="W1325" s="24" t="str">
        <f t="shared" si="5"/>
        <v>#DIV/0!</v>
      </c>
    </row>
    <row r="1326">
      <c r="A1326" s="15" t="s">
        <v>5103</v>
      </c>
      <c r="B1326" s="15" t="s">
        <v>5104</v>
      </c>
      <c r="C1326" s="15" t="s">
        <v>7576</v>
      </c>
      <c r="D1326" s="15" t="s">
        <v>5105</v>
      </c>
      <c r="E1326" s="17" t="s">
        <v>5106</v>
      </c>
      <c r="F1326" s="18"/>
      <c r="G1326" s="18"/>
      <c r="H1326" s="15" t="s">
        <v>5107</v>
      </c>
      <c r="I1326" s="18"/>
      <c r="J1326" s="19" t="s">
        <v>59</v>
      </c>
      <c r="K1326" s="33"/>
      <c r="L1326" s="19" t="s">
        <v>135</v>
      </c>
      <c r="M1326" s="20">
        <f t="shared" si="1"/>
        <v>0</v>
      </c>
      <c r="N1326" s="22"/>
      <c r="O1326" s="19" t="s">
        <v>3578</v>
      </c>
      <c r="P1326" s="18"/>
      <c r="Q1326" s="18"/>
      <c r="R1326" s="23">
        <v>0.0</v>
      </c>
      <c r="S1326" s="23">
        <v>0.0</v>
      </c>
      <c r="T1326" s="23">
        <f t="shared" si="2"/>
        <v>0</v>
      </c>
      <c r="U1326" s="23">
        <f t="shared" si="3"/>
        <v>0</v>
      </c>
      <c r="V1326" s="23">
        <f t="shared" si="4"/>
        <v>0</v>
      </c>
      <c r="W1326" s="24" t="str">
        <f t="shared" si="5"/>
        <v>#DIV/0!</v>
      </c>
    </row>
    <row r="1327">
      <c r="A1327" s="15" t="s">
        <v>5109</v>
      </c>
      <c r="B1327" s="15" t="s">
        <v>5110</v>
      </c>
      <c r="C1327" s="15" t="s">
        <v>7577</v>
      </c>
      <c r="D1327" s="15" t="s">
        <v>5111</v>
      </c>
      <c r="E1327" s="17" t="s">
        <v>5112</v>
      </c>
      <c r="F1327" s="18"/>
      <c r="G1327" s="18"/>
      <c r="H1327" s="15" t="s">
        <v>5113</v>
      </c>
      <c r="I1327" s="18"/>
      <c r="J1327" s="19" t="s">
        <v>59</v>
      </c>
      <c r="K1327" s="19" t="s">
        <v>60</v>
      </c>
      <c r="L1327" s="19" t="s">
        <v>177</v>
      </c>
      <c r="M1327" s="20">
        <f t="shared" si="1"/>
        <v>0</v>
      </c>
      <c r="N1327" s="22"/>
      <c r="O1327" s="19" t="s">
        <v>3578</v>
      </c>
      <c r="P1327" s="18"/>
      <c r="Q1327" s="18"/>
      <c r="R1327" s="23">
        <v>0.0</v>
      </c>
      <c r="S1327" s="23">
        <v>0.0</v>
      </c>
      <c r="T1327" s="23">
        <f t="shared" si="2"/>
        <v>0</v>
      </c>
      <c r="U1327" s="23">
        <f t="shared" si="3"/>
        <v>0</v>
      </c>
      <c r="V1327" s="23">
        <f t="shared" si="4"/>
        <v>0</v>
      </c>
      <c r="W1327" s="24" t="str">
        <f t="shared" si="5"/>
        <v>#DIV/0!</v>
      </c>
    </row>
    <row r="1328" hidden="1">
      <c r="A1328" s="15" t="s">
        <v>8023</v>
      </c>
      <c r="B1328" s="15"/>
      <c r="C1328" s="15" t="s">
        <v>8020</v>
      </c>
      <c r="D1328" s="18"/>
      <c r="E1328" s="17"/>
      <c r="F1328" s="18"/>
      <c r="G1328" s="18"/>
      <c r="H1328" s="15"/>
      <c r="I1328" s="18"/>
      <c r="J1328" s="19" t="s">
        <v>104</v>
      </c>
      <c r="K1328" s="33"/>
      <c r="L1328" s="19" t="s">
        <v>38</v>
      </c>
      <c r="M1328" s="20">
        <f t="shared" si="1"/>
        <v>0</v>
      </c>
      <c r="N1328" s="22"/>
      <c r="O1328" s="19" t="s">
        <v>39</v>
      </c>
      <c r="P1328" s="18"/>
      <c r="Q1328" s="18"/>
      <c r="R1328" s="23">
        <v>0.0</v>
      </c>
      <c r="S1328" s="23">
        <v>0.0</v>
      </c>
      <c r="T1328" s="23">
        <f t="shared" si="2"/>
        <v>0</v>
      </c>
      <c r="U1328" s="23">
        <f t="shared" si="3"/>
        <v>0</v>
      </c>
      <c r="V1328" s="23">
        <f t="shared" si="4"/>
        <v>0</v>
      </c>
      <c r="W1328" s="24" t="str">
        <f t="shared" si="5"/>
        <v>#DIV/0!</v>
      </c>
    </row>
    <row r="1329" hidden="1">
      <c r="A1329" s="15" t="s">
        <v>8024</v>
      </c>
      <c r="B1329" s="15"/>
      <c r="C1329" s="15" t="s">
        <v>8025</v>
      </c>
      <c r="D1329" s="18"/>
      <c r="E1329" s="17" t="s">
        <v>8026</v>
      </c>
      <c r="F1329" s="18"/>
      <c r="G1329" s="18"/>
      <c r="H1329" s="15"/>
      <c r="I1329" s="18"/>
      <c r="J1329" s="19" t="s">
        <v>104</v>
      </c>
      <c r="K1329" s="33"/>
      <c r="L1329" s="19" t="s">
        <v>38</v>
      </c>
      <c r="M1329" s="20">
        <f t="shared" si="1"/>
        <v>0</v>
      </c>
      <c r="N1329" s="22"/>
      <c r="O1329" s="19" t="s">
        <v>39</v>
      </c>
      <c r="P1329" s="18"/>
      <c r="Q1329" s="18"/>
      <c r="R1329" s="23">
        <v>0.0</v>
      </c>
      <c r="S1329" s="23">
        <v>0.0</v>
      </c>
      <c r="T1329" s="23">
        <f t="shared" si="2"/>
        <v>0</v>
      </c>
      <c r="U1329" s="23">
        <f t="shared" si="3"/>
        <v>0</v>
      </c>
      <c r="V1329" s="23">
        <f t="shared" si="4"/>
        <v>0</v>
      </c>
      <c r="W1329" s="24" t="str">
        <f t="shared" si="5"/>
        <v>#DIV/0!</v>
      </c>
    </row>
    <row r="1330">
      <c r="A1330" s="15" t="s">
        <v>5114</v>
      </c>
      <c r="B1330" s="15" t="s">
        <v>5115</v>
      </c>
      <c r="C1330" s="15" t="s">
        <v>7580</v>
      </c>
      <c r="D1330" s="18"/>
      <c r="E1330" s="17" t="s">
        <v>5117</v>
      </c>
      <c r="F1330" s="18"/>
      <c r="G1330" s="18"/>
      <c r="H1330" s="15" t="s">
        <v>5118</v>
      </c>
      <c r="I1330" s="18"/>
      <c r="J1330" s="19" t="s">
        <v>59</v>
      </c>
      <c r="K1330" s="33"/>
      <c r="L1330" s="19" t="s">
        <v>38</v>
      </c>
      <c r="M1330" s="20">
        <f t="shared" si="1"/>
        <v>0</v>
      </c>
      <c r="N1330" s="22"/>
      <c r="O1330" s="19" t="s">
        <v>3578</v>
      </c>
      <c r="P1330" s="18"/>
      <c r="Q1330" s="18"/>
      <c r="R1330" s="23">
        <v>0.0</v>
      </c>
      <c r="S1330" s="23">
        <v>0.0</v>
      </c>
      <c r="T1330" s="23">
        <f t="shared" si="2"/>
        <v>0</v>
      </c>
      <c r="U1330" s="23">
        <f t="shared" si="3"/>
        <v>0</v>
      </c>
      <c r="V1330" s="23">
        <f t="shared" si="4"/>
        <v>0</v>
      </c>
      <c r="W1330" s="24" t="str">
        <f t="shared" si="5"/>
        <v>#DIV/0!</v>
      </c>
    </row>
    <row r="1331">
      <c r="A1331" s="15" t="s">
        <v>5123</v>
      </c>
      <c r="B1331" s="15" t="s">
        <v>5124</v>
      </c>
      <c r="C1331" s="15" t="s">
        <v>7600</v>
      </c>
      <c r="D1331" s="15" t="s">
        <v>5125</v>
      </c>
      <c r="E1331" s="17" t="s">
        <v>5126</v>
      </c>
      <c r="F1331" s="18"/>
      <c r="G1331" s="18"/>
      <c r="H1331" s="15" t="s">
        <v>5127</v>
      </c>
      <c r="I1331" s="18"/>
      <c r="J1331" s="19" t="s">
        <v>59</v>
      </c>
      <c r="K1331" s="33"/>
      <c r="L1331" s="19" t="s">
        <v>38</v>
      </c>
      <c r="M1331" s="20">
        <f t="shared" si="1"/>
        <v>0</v>
      </c>
      <c r="N1331" s="22"/>
      <c r="O1331" s="19" t="s">
        <v>3578</v>
      </c>
      <c r="P1331" s="18"/>
      <c r="Q1331" s="18"/>
      <c r="R1331" s="23">
        <v>0.0</v>
      </c>
      <c r="S1331" s="23">
        <v>0.0</v>
      </c>
      <c r="T1331" s="23">
        <f t="shared" si="2"/>
        <v>0</v>
      </c>
      <c r="U1331" s="23">
        <f t="shared" si="3"/>
        <v>0</v>
      </c>
      <c r="V1331" s="23">
        <f t="shared" si="4"/>
        <v>0</v>
      </c>
      <c r="W1331" s="24" t="str">
        <f t="shared" si="5"/>
        <v>#DIV/0!</v>
      </c>
    </row>
    <row r="1332" hidden="1">
      <c r="A1332" s="15" t="s">
        <v>3236</v>
      </c>
      <c r="B1332" s="15" t="s">
        <v>3237</v>
      </c>
      <c r="C1332" s="15" t="s">
        <v>8028</v>
      </c>
      <c r="D1332" s="18"/>
      <c r="E1332" s="17" t="s">
        <v>3238</v>
      </c>
      <c r="F1332" s="18"/>
      <c r="G1332" s="18"/>
      <c r="H1332" s="15" t="s">
        <v>3239</v>
      </c>
      <c r="I1332" s="18"/>
      <c r="J1332" s="19" t="s">
        <v>702</v>
      </c>
      <c r="K1332" s="19" t="s">
        <v>1444</v>
      </c>
      <c r="L1332" s="19" t="s">
        <v>38</v>
      </c>
      <c r="M1332" s="20">
        <f t="shared" si="1"/>
        <v>0</v>
      </c>
      <c r="N1332" s="22"/>
      <c r="O1332" s="19" t="s">
        <v>1145</v>
      </c>
      <c r="P1332" s="18"/>
      <c r="Q1332" s="18"/>
      <c r="R1332" s="23">
        <v>0.0</v>
      </c>
      <c r="S1332" s="23">
        <v>0.0</v>
      </c>
      <c r="T1332" s="23">
        <f t="shared" si="2"/>
        <v>0</v>
      </c>
      <c r="U1332" s="23">
        <f t="shared" si="3"/>
        <v>0</v>
      </c>
      <c r="V1332" s="23">
        <f t="shared" si="4"/>
        <v>0</v>
      </c>
      <c r="W1332" s="24" t="str">
        <f t="shared" si="5"/>
        <v>#DIV/0!</v>
      </c>
    </row>
    <row r="1333">
      <c r="A1333" s="15" t="s">
        <v>5136</v>
      </c>
      <c r="B1333" s="15" t="s">
        <v>5137</v>
      </c>
      <c r="C1333" s="15" t="s">
        <v>7615</v>
      </c>
      <c r="D1333" s="18"/>
      <c r="E1333" s="17" t="s">
        <v>5138</v>
      </c>
      <c r="F1333" s="18"/>
      <c r="G1333" s="18"/>
      <c r="H1333" s="15" t="s">
        <v>5139</v>
      </c>
      <c r="I1333" s="18"/>
      <c r="J1333" s="19" t="s">
        <v>59</v>
      </c>
      <c r="K1333" s="33"/>
      <c r="L1333" s="19" t="s">
        <v>38</v>
      </c>
      <c r="M1333" s="20">
        <f t="shared" si="1"/>
        <v>0</v>
      </c>
      <c r="N1333" s="22"/>
      <c r="O1333" s="19" t="s">
        <v>3578</v>
      </c>
      <c r="P1333" s="18"/>
      <c r="Q1333" s="18"/>
      <c r="R1333" s="23">
        <v>0.0</v>
      </c>
      <c r="S1333" s="23">
        <v>0.0</v>
      </c>
      <c r="T1333" s="23">
        <f t="shared" si="2"/>
        <v>0</v>
      </c>
      <c r="U1333" s="23">
        <f t="shared" si="3"/>
        <v>0</v>
      </c>
      <c r="V1333" s="23">
        <f t="shared" si="4"/>
        <v>0</v>
      </c>
      <c r="W1333" s="24" t="str">
        <f t="shared" si="5"/>
        <v>#DIV/0!</v>
      </c>
    </row>
    <row r="1334" hidden="1">
      <c r="A1334" s="15" t="s">
        <v>5285</v>
      </c>
      <c r="B1334" s="15" t="s">
        <v>5286</v>
      </c>
      <c r="C1334" s="15" t="s">
        <v>8029</v>
      </c>
      <c r="D1334" s="18"/>
      <c r="E1334" s="17" t="s">
        <v>8030</v>
      </c>
      <c r="F1334" s="18"/>
      <c r="G1334" s="18"/>
      <c r="H1334" s="15" t="s">
        <v>5288</v>
      </c>
      <c r="I1334" s="18"/>
      <c r="J1334" s="19" t="s">
        <v>702</v>
      </c>
      <c r="K1334" s="19" t="s">
        <v>105</v>
      </c>
      <c r="L1334" s="19" t="s">
        <v>38</v>
      </c>
      <c r="M1334" s="20">
        <f t="shared" si="1"/>
        <v>0</v>
      </c>
      <c r="N1334" s="22"/>
      <c r="O1334" s="19" t="s">
        <v>1145</v>
      </c>
      <c r="P1334" s="18"/>
      <c r="Q1334" s="18"/>
      <c r="R1334" s="23">
        <v>0.0</v>
      </c>
      <c r="S1334" s="23">
        <v>0.0</v>
      </c>
      <c r="T1334" s="23">
        <f t="shared" si="2"/>
        <v>0</v>
      </c>
      <c r="U1334" s="23">
        <f t="shared" si="3"/>
        <v>0</v>
      </c>
      <c r="V1334" s="23">
        <f t="shared" si="4"/>
        <v>0</v>
      </c>
      <c r="W1334" s="24" t="str">
        <f t="shared" si="5"/>
        <v>#DIV/0!</v>
      </c>
    </row>
    <row r="1335" hidden="1">
      <c r="A1335" s="15" t="s">
        <v>5289</v>
      </c>
      <c r="B1335" s="15" t="s">
        <v>5290</v>
      </c>
      <c r="C1335" s="15" t="s">
        <v>8031</v>
      </c>
      <c r="D1335" s="18"/>
      <c r="E1335" s="17" t="s">
        <v>8032</v>
      </c>
      <c r="F1335" s="18"/>
      <c r="G1335" s="18"/>
      <c r="H1335" s="15" t="s">
        <v>8033</v>
      </c>
      <c r="I1335" s="18"/>
      <c r="J1335" s="19" t="s">
        <v>702</v>
      </c>
      <c r="K1335" s="19" t="s">
        <v>1269</v>
      </c>
      <c r="L1335" s="19" t="s">
        <v>38</v>
      </c>
      <c r="M1335" s="20">
        <f t="shared" si="1"/>
        <v>0</v>
      </c>
      <c r="N1335" s="22"/>
      <c r="O1335" s="19" t="s">
        <v>1145</v>
      </c>
      <c r="P1335" s="18"/>
      <c r="Q1335" s="18"/>
      <c r="R1335" s="23">
        <v>0.0</v>
      </c>
      <c r="S1335" s="23">
        <v>0.0</v>
      </c>
      <c r="T1335" s="23">
        <f t="shared" si="2"/>
        <v>0</v>
      </c>
      <c r="U1335" s="23">
        <f t="shared" si="3"/>
        <v>0</v>
      </c>
      <c r="V1335" s="23">
        <f t="shared" si="4"/>
        <v>0</v>
      </c>
      <c r="W1335" s="24" t="str">
        <f t="shared" si="5"/>
        <v>#DIV/0!</v>
      </c>
    </row>
    <row r="1336" hidden="1">
      <c r="A1336" s="15" t="s">
        <v>5294</v>
      </c>
      <c r="B1336" s="15" t="s">
        <v>5295</v>
      </c>
      <c r="C1336" s="15" t="s">
        <v>8034</v>
      </c>
      <c r="D1336" s="18"/>
      <c r="E1336" s="17" t="s">
        <v>8035</v>
      </c>
      <c r="F1336" s="18"/>
      <c r="G1336" s="18"/>
      <c r="H1336" s="15" t="s">
        <v>5298</v>
      </c>
      <c r="I1336" s="18"/>
      <c r="J1336" s="19" t="s">
        <v>702</v>
      </c>
      <c r="K1336" s="19" t="s">
        <v>1269</v>
      </c>
      <c r="L1336" s="19" t="s">
        <v>38</v>
      </c>
      <c r="M1336" s="20">
        <f t="shared" si="1"/>
        <v>0</v>
      </c>
      <c r="N1336" s="22"/>
      <c r="O1336" s="19" t="s">
        <v>1145</v>
      </c>
      <c r="P1336" s="18"/>
      <c r="Q1336" s="18"/>
      <c r="R1336" s="23">
        <v>0.0</v>
      </c>
      <c r="S1336" s="23">
        <v>0.0</v>
      </c>
      <c r="T1336" s="23">
        <f t="shared" si="2"/>
        <v>0</v>
      </c>
      <c r="U1336" s="23">
        <f t="shared" si="3"/>
        <v>0</v>
      </c>
      <c r="V1336" s="23">
        <f t="shared" si="4"/>
        <v>0</v>
      </c>
      <c r="W1336" s="24" t="str">
        <f t="shared" si="5"/>
        <v>#DIV/0!</v>
      </c>
    </row>
    <row r="1337" hidden="1">
      <c r="A1337" s="15" t="s">
        <v>5299</v>
      </c>
      <c r="B1337" s="15" t="s">
        <v>5300</v>
      </c>
      <c r="C1337" s="15" t="s">
        <v>8036</v>
      </c>
      <c r="D1337" s="18"/>
      <c r="E1337" s="17" t="s">
        <v>8037</v>
      </c>
      <c r="F1337" s="18"/>
      <c r="G1337" s="18"/>
      <c r="H1337" s="15" t="s">
        <v>5303</v>
      </c>
      <c r="I1337" s="18"/>
      <c r="J1337" s="19" t="s">
        <v>702</v>
      </c>
      <c r="K1337" s="19" t="s">
        <v>1269</v>
      </c>
      <c r="L1337" s="19" t="s">
        <v>38</v>
      </c>
      <c r="M1337" s="20">
        <f t="shared" si="1"/>
        <v>0</v>
      </c>
      <c r="N1337" s="22"/>
      <c r="O1337" s="19" t="s">
        <v>1145</v>
      </c>
      <c r="P1337" s="18"/>
      <c r="Q1337" s="18"/>
      <c r="R1337" s="23">
        <v>0.0</v>
      </c>
      <c r="S1337" s="23">
        <v>0.0</v>
      </c>
      <c r="T1337" s="23">
        <f t="shared" si="2"/>
        <v>0</v>
      </c>
      <c r="U1337" s="23">
        <f t="shared" si="3"/>
        <v>0</v>
      </c>
      <c r="V1337" s="23">
        <f t="shared" si="4"/>
        <v>0</v>
      </c>
      <c r="W1337" s="24" t="str">
        <f t="shared" si="5"/>
        <v>#DIV/0!</v>
      </c>
    </row>
    <row r="1338" hidden="1">
      <c r="A1338" s="15" t="s">
        <v>5304</v>
      </c>
      <c r="B1338" s="15" t="s">
        <v>5305</v>
      </c>
      <c r="C1338" s="15" t="s">
        <v>8038</v>
      </c>
      <c r="D1338" s="18"/>
      <c r="E1338" s="17" t="s">
        <v>8039</v>
      </c>
      <c r="F1338" s="18"/>
      <c r="G1338" s="18"/>
      <c r="H1338" s="15" t="s">
        <v>5308</v>
      </c>
      <c r="I1338" s="18"/>
      <c r="J1338" s="19" t="s">
        <v>702</v>
      </c>
      <c r="K1338" s="19" t="s">
        <v>1269</v>
      </c>
      <c r="L1338" s="19" t="s">
        <v>38</v>
      </c>
      <c r="M1338" s="20">
        <f t="shared" si="1"/>
        <v>0</v>
      </c>
      <c r="N1338" s="22"/>
      <c r="O1338" s="19" t="s">
        <v>1145</v>
      </c>
      <c r="P1338" s="18"/>
      <c r="Q1338" s="18"/>
      <c r="R1338" s="23">
        <v>0.0</v>
      </c>
      <c r="S1338" s="23">
        <v>0.0</v>
      </c>
      <c r="T1338" s="23">
        <f t="shared" si="2"/>
        <v>0</v>
      </c>
      <c r="U1338" s="23">
        <f t="shared" si="3"/>
        <v>0</v>
      </c>
      <c r="V1338" s="23">
        <f t="shared" si="4"/>
        <v>0</v>
      </c>
      <c r="W1338" s="24" t="str">
        <f t="shared" si="5"/>
        <v>#DIV/0!</v>
      </c>
    </row>
    <row r="1339" hidden="1">
      <c r="A1339" s="15" t="s">
        <v>5309</v>
      </c>
      <c r="B1339" s="15" t="s">
        <v>5310</v>
      </c>
      <c r="C1339" s="15" t="s">
        <v>8040</v>
      </c>
      <c r="D1339" s="18"/>
      <c r="E1339" s="17" t="s">
        <v>8041</v>
      </c>
      <c r="F1339" s="18"/>
      <c r="G1339" s="18"/>
      <c r="H1339" s="15" t="s">
        <v>5313</v>
      </c>
      <c r="I1339" s="18"/>
      <c r="J1339" s="19" t="s">
        <v>702</v>
      </c>
      <c r="K1339" s="19" t="s">
        <v>1269</v>
      </c>
      <c r="L1339" s="19" t="s">
        <v>38</v>
      </c>
      <c r="M1339" s="20">
        <f t="shared" si="1"/>
        <v>0</v>
      </c>
      <c r="N1339" s="22"/>
      <c r="O1339" s="19" t="s">
        <v>1145</v>
      </c>
      <c r="P1339" s="18"/>
      <c r="Q1339" s="18"/>
      <c r="R1339" s="23">
        <v>0.0</v>
      </c>
      <c r="S1339" s="23">
        <v>0.0</v>
      </c>
      <c r="T1339" s="23">
        <f t="shared" si="2"/>
        <v>0</v>
      </c>
      <c r="U1339" s="23">
        <f t="shared" si="3"/>
        <v>0</v>
      </c>
      <c r="V1339" s="23">
        <f t="shared" si="4"/>
        <v>0</v>
      </c>
      <c r="W1339" s="24" t="str">
        <f t="shared" si="5"/>
        <v>#DIV/0!</v>
      </c>
    </row>
    <row r="1340" hidden="1">
      <c r="A1340" s="15" t="s">
        <v>5314</v>
      </c>
      <c r="B1340" s="15" t="s">
        <v>5315</v>
      </c>
      <c r="C1340" s="15" t="s">
        <v>8042</v>
      </c>
      <c r="D1340" s="18"/>
      <c r="E1340" s="17" t="s">
        <v>8043</v>
      </c>
      <c r="F1340" s="18"/>
      <c r="G1340" s="18"/>
      <c r="H1340" s="15" t="s">
        <v>5318</v>
      </c>
      <c r="I1340" s="18"/>
      <c r="J1340" s="19" t="s">
        <v>702</v>
      </c>
      <c r="K1340" s="19" t="s">
        <v>1269</v>
      </c>
      <c r="L1340" s="19" t="s">
        <v>38</v>
      </c>
      <c r="M1340" s="20">
        <f t="shared" si="1"/>
        <v>0</v>
      </c>
      <c r="N1340" s="22"/>
      <c r="O1340" s="19" t="s">
        <v>1145</v>
      </c>
      <c r="P1340" s="18"/>
      <c r="Q1340" s="18"/>
      <c r="R1340" s="23">
        <v>0.0</v>
      </c>
      <c r="S1340" s="23">
        <v>0.0</v>
      </c>
      <c r="T1340" s="23">
        <f t="shared" si="2"/>
        <v>0</v>
      </c>
      <c r="U1340" s="23">
        <f t="shared" si="3"/>
        <v>0</v>
      </c>
      <c r="V1340" s="23">
        <f t="shared" si="4"/>
        <v>0</v>
      </c>
      <c r="W1340" s="24" t="str">
        <f t="shared" si="5"/>
        <v>#DIV/0!</v>
      </c>
    </row>
    <row r="1341" hidden="1">
      <c r="A1341" s="15" t="s">
        <v>5319</v>
      </c>
      <c r="B1341" s="15" t="s">
        <v>5320</v>
      </c>
      <c r="C1341" s="15" t="s">
        <v>8044</v>
      </c>
      <c r="D1341" s="18"/>
      <c r="E1341" s="17" t="s">
        <v>8045</v>
      </c>
      <c r="F1341" s="18"/>
      <c r="G1341" s="18"/>
      <c r="H1341" s="15" t="s">
        <v>5322</v>
      </c>
      <c r="I1341" s="18"/>
      <c r="J1341" s="19" t="s">
        <v>702</v>
      </c>
      <c r="K1341" s="19" t="s">
        <v>1431</v>
      </c>
      <c r="L1341" s="19" t="s">
        <v>38</v>
      </c>
      <c r="M1341" s="20">
        <f t="shared" si="1"/>
        <v>0</v>
      </c>
      <c r="N1341" s="22"/>
      <c r="O1341" s="19" t="s">
        <v>1145</v>
      </c>
      <c r="P1341" s="18"/>
      <c r="Q1341" s="18"/>
      <c r="R1341" s="23">
        <v>0.0</v>
      </c>
      <c r="S1341" s="23">
        <v>0.0</v>
      </c>
      <c r="T1341" s="23">
        <f t="shared" si="2"/>
        <v>0</v>
      </c>
      <c r="U1341" s="23">
        <f t="shared" si="3"/>
        <v>0</v>
      </c>
      <c r="V1341" s="23">
        <f t="shared" si="4"/>
        <v>0</v>
      </c>
      <c r="W1341" s="24" t="str">
        <f t="shared" si="5"/>
        <v>#DIV/0!</v>
      </c>
    </row>
    <row r="1342" hidden="1">
      <c r="A1342" s="15" t="s">
        <v>8046</v>
      </c>
      <c r="B1342" s="15" t="s">
        <v>8047</v>
      </c>
      <c r="C1342" s="15" t="s">
        <v>8048</v>
      </c>
      <c r="D1342" s="18"/>
      <c r="E1342" s="17" t="s">
        <v>8049</v>
      </c>
      <c r="F1342" s="18"/>
      <c r="G1342" s="18"/>
      <c r="H1342" s="15" t="s">
        <v>5322</v>
      </c>
      <c r="I1342" s="18"/>
      <c r="J1342" s="19" t="s">
        <v>702</v>
      </c>
      <c r="K1342" s="19" t="s">
        <v>1431</v>
      </c>
      <c r="L1342" s="19" t="s">
        <v>38</v>
      </c>
      <c r="M1342" s="20">
        <f t="shared" si="1"/>
        <v>0</v>
      </c>
      <c r="N1342" s="22"/>
      <c r="O1342" s="19" t="s">
        <v>1145</v>
      </c>
      <c r="P1342" s="18"/>
      <c r="Q1342" s="18"/>
      <c r="R1342" s="23">
        <v>0.0</v>
      </c>
      <c r="S1342" s="23">
        <v>0.0</v>
      </c>
      <c r="T1342" s="23">
        <f t="shared" si="2"/>
        <v>0</v>
      </c>
      <c r="U1342" s="23">
        <f t="shared" si="3"/>
        <v>0</v>
      </c>
      <c r="V1342" s="23">
        <f t="shared" si="4"/>
        <v>0</v>
      </c>
      <c r="W1342" s="24" t="str">
        <f t="shared" si="5"/>
        <v>#DIV/0!</v>
      </c>
    </row>
    <row r="1343" hidden="1">
      <c r="A1343" s="15" t="s">
        <v>5324</v>
      </c>
      <c r="B1343" s="15" t="s">
        <v>5325</v>
      </c>
      <c r="C1343" s="15" t="s">
        <v>8050</v>
      </c>
      <c r="D1343" s="18"/>
      <c r="E1343" s="17" t="s">
        <v>8051</v>
      </c>
      <c r="F1343" s="18"/>
      <c r="G1343" s="18"/>
      <c r="H1343" s="15" t="s">
        <v>8052</v>
      </c>
      <c r="I1343" s="18"/>
      <c r="J1343" s="19" t="s">
        <v>702</v>
      </c>
      <c r="K1343" s="19" t="s">
        <v>1444</v>
      </c>
      <c r="L1343" s="19" t="s">
        <v>38</v>
      </c>
      <c r="M1343" s="20">
        <f t="shared" si="1"/>
        <v>0</v>
      </c>
      <c r="N1343" s="22"/>
      <c r="O1343" s="19" t="s">
        <v>1145</v>
      </c>
      <c r="P1343" s="18"/>
      <c r="Q1343" s="18"/>
      <c r="R1343" s="23">
        <v>0.0</v>
      </c>
      <c r="S1343" s="23">
        <v>0.0</v>
      </c>
      <c r="T1343" s="23">
        <f t="shared" si="2"/>
        <v>0</v>
      </c>
      <c r="U1343" s="23">
        <f t="shared" si="3"/>
        <v>0</v>
      </c>
      <c r="V1343" s="23">
        <f t="shared" si="4"/>
        <v>0</v>
      </c>
      <c r="W1343" s="24" t="str">
        <f t="shared" si="5"/>
        <v>#DIV/0!</v>
      </c>
    </row>
    <row r="1344" hidden="1">
      <c r="A1344" s="15" t="s">
        <v>3240</v>
      </c>
      <c r="B1344" s="15" t="s">
        <v>1436</v>
      </c>
      <c r="C1344" s="15" t="s">
        <v>8053</v>
      </c>
      <c r="D1344" s="18"/>
      <c r="E1344" s="17" t="s">
        <v>1437</v>
      </c>
      <c r="F1344" s="18"/>
      <c r="G1344" s="18"/>
      <c r="H1344" s="15" t="s">
        <v>3241</v>
      </c>
      <c r="I1344" s="18"/>
      <c r="J1344" s="19" t="s">
        <v>702</v>
      </c>
      <c r="K1344" s="19" t="s">
        <v>603</v>
      </c>
      <c r="L1344" s="19" t="s">
        <v>38</v>
      </c>
      <c r="M1344" s="20">
        <f t="shared" si="1"/>
        <v>0</v>
      </c>
      <c r="N1344" s="22"/>
      <c r="O1344" s="19" t="s">
        <v>1145</v>
      </c>
      <c r="P1344" s="18"/>
      <c r="Q1344" s="18"/>
      <c r="R1344" s="23">
        <v>0.0</v>
      </c>
      <c r="S1344" s="23">
        <v>0.0</v>
      </c>
      <c r="T1344" s="23">
        <f t="shared" si="2"/>
        <v>0</v>
      </c>
      <c r="U1344" s="23">
        <f t="shared" si="3"/>
        <v>0</v>
      </c>
      <c r="V1344" s="23">
        <f t="shared" si="4"/>
        <v>0</v>
      </c>
      <c r="W1344" s="24" t="str">
        <f t="shared" si="5"/>
        <v>#DIV/0!</v>
      </c>
    </row>
    <row r="1345" hidden="1">
      <c r="A1345" s="15" t="s">
        <v>3242</v>
      </c>
      <c r="B1345" s="15" t="s">
        <v>3243</v>
      </c>
      <c r="C1345" s="15" t="s">
        <v>8054</v>
      </c>
      <c r="D1345" s="18"/>
      <c r="E1345" s="17" t="s">
        <v>3244</v>
      </c>
      <c r="F1345" s="18"/>
      <c r="G1345" s="18"/>
      <c r="H1345" s="15" t="s">
        <v>3245</v>
      </c>
      <c r="I1345" s="18"/>
      <c r="J1345" s="19" t="s">
        <v>702</v>
      </c>
      <c r="K1345" s="33"/>
      <c r="L1345" s="19" t="s">
        <v>38</v>
      </c>
      <c r="M1345" s="20">
        <f t="shared" si="1"/>
        <v>0</v>
      </c>
      <c r="N1345" s="22"/>
      <c r="O1345" s="19" t="s">
        <v>1145</v>
      </c>
      <c r="P1345" s="18"/>
      <c r="Q1345" s="18"/>
      <c r="R1345" s="23">
        <v>0.0</v>
      </c>
      <c r="S1345" s="23">
        <v>0.0</v>
      </c>
      <c r="T1345" s="23">
        <f t="shared" si="2"/>
        <v>0</v>
      </c>
      <c r="U1345" s="23">
        <f t="shared" si="3"/>
        <v>0</v>
      </c>
      <c r="V1345" s="23">
        <f t="shared" si="4"/>
        <v>0</v>
      </c>
      <c r="W1345" s="24" t="str">
        <f t="shared" si="5"/>
        <v>#DIV/0!</v>
      </c>
    </row>
    <row r="1346">
      <c r="A1346" s="15" t="s">
        <v>5140</v>
      </c>
      <c r="B1346" s="15" t="s">
        <v>5141</v>
      </c>
      <c r="C1346" s="15" t="s">
        <v>7617</v>
      </c>
      <c r="D1346" s="15" t="s">
        <v>5142</v>
      </c>
      <c r="E1346" s="17" t="s">
        <v>5143</v>
      </c>
      <c r="F1346" s="18"/>
      <c r="G1346" s="18"/>
      <c r="H1346" s="15" t="s">
        <v>5144</v>
      </c>
      <c r="I1346" s="18"/>
      <c r="J1346" s="19" t="s">
        <v>59</v>
      </c>
      <c r="K1346" s="33"/>
      <c r="L1346" s="19" t="s">
        <v>38</v>
      </c>
      <c r="M1346" s="20">
        <f t="shared" si="1"/>
        <v>0</v>
      </c>
      <c r="N1346" s="22"/>
      <c r="O1346" s="19" t="s">
        <v>3578</v>
      </c>
      <c r="P1346" s="18"/>
      <c r="Q1346" s="18"/>
      <c r="R1346" s="23">
        <v>0.0</v>
      </c>
      <c r="S1346" s="23">
        <v>0.0</v>
      </c>
      <c r="T1346" s="23">
        <f t="shared" si="2"/>
        <v>0</v>
      </c>
      <c r="U1346" s="23">
        <f t="shared" si="3"/>
        <v>0</v>
      </c>
      <c r="V1346" s="23">
        <f t="shared" si="4"/>
        <v>0</v>
      </c>
      <c r="W1346" s="24" t="str">
        <f t="shared" si="5"/>
        <v>#DIV/0!</v>
      </c>
    </row>
    <row r="1347">
      <c r="A1347" s="15" t="s">
        <v>5145</v>
      </c>
      <c r="B1347" s="15" t="s">
        <v>5146</v>
      </c>
      <c r="C1347" s="15" t="s">
        <v>7618</v>
      </c>
      <c r="D1347" s="18"/>
      <c r="E1347" s="17" t="s">
        <v>5148</v>
      </c>
      <c r="F1347" s="18"/>
      <c r="G1347" s="18"/>
      <c r="H1347" s="15" t="s">
        <v>5149</v>
      </c>
      <c r="I1347" s="18"/>
      <c r="J1347" s="19" t="s">
        <v>59</v>
      </c>
      <c r="K1347" s="33"/>
      <c r="L1347" s="19" t="s">
        <v>38</v>
      </c>
      <c r="M1347" s="20">
        <f t="shared" si="1"/>
        <v>0</v>
      </c>
      <c r="N1347" s="22"/>
      <c r="O1347" s="19" t="s">
        <v>3578</v>
      </c>
      <c r="P1347" s="18"/>
      <c r="Q1347" s="18"/>
      <c r="R1347" s="23">
        <v>0.0</v>
      </c>
      <c r="S1347" s="23">
        <v>0.0</v>
      </c>
      <c r="T1347" s="23">
        <f t="shared" si="2"/>
        <v>0</v>
      </c>
      <c r="U1347" s="23">
        <f t="shared" si="3"/>
        <v>0</v>
      </c>
      <c r="V1347" s="23">
        <f t="shared" si="4"/>
        <v>0</v>
      </c>
      <c r="W1347" s="24" t="str">
        <f t="shared" si="5"/>
        <v>#DIV/0!</v>
      </c>
    </row>
    <row r="1348">
      <c r="A1348" s="15" t="s">
        <v>5175</v>
      </c>
      <c r="B1348" s="15" t="s">
        <v>5176</v>
      </c>
      <c r="C1348" s="15" t="s">
        <v>7743</v>
      </c>
      <c r="D1348" s="15" t="s">
        <v>5177</v>
      </c>
      <c r="E1348" s="17" t="s">
        <v>5178</v>
      </c>
      <c r="F1348" s="18"/>
      <c r="G1348" s="18"/>
      <c r="H1348" s="15" t="s">
        <v>5179</v>
      </c>
      <c r="I1348" s="18"/>
      <c r="J1348" s="19" t="s">
        <v>59</v>
      </c>
      <c r="K1348" s="33"/>
      <c r="L1348" s="19" t="s">
        <v>177</v>
      </c>
      <c r="M1348" s="20">
        <f t="shared" si="1"/>
        <v>0</v>
      </c>
      <c r="N1348" s="22"/>
      <c r="O1348" s="19" t="s">
        <v>3578</v>
      </c>
      <c r="P1348" s="18"/>
      <c r="Q1348" s="18"/>
      <c r="R1348" s="23">
        <v>0.0</v>
      </c>
      <c r="S1348" s="23">
        <v>0.0</v>
      </c>
      <c r="T1348" s="23">
        <f t="shared" si="2"/>
        <v>0</v>
      </c>
      <c r="U1348" s="23">
        <f t="shared" si="3"/>
        <v>0</v>
      </c>
      <c r="V1348" s="23">
        <f t="shared" si="4"/>
        <v>0</v>
      </c>
      <c r="W1348" s="24" t="str">
        <f t="shared" si="5"/>
        <v>#DIV/0!</v>
      </c>
    </row>
    <row r="1349">
      <c r="A1349" s="15" t="s">
        <v>5180</v>
      </c>
      <c r="B1349" s="18"/>
      <c r="C1349" s="15" t="s">
        <v>7757</v>
      </c>
      <c r="D1349" s="15" t="s">
        <v>5181</v>
      </c>
      <c r="E1349" s="17" t="s">
        <v>5182</v>
      </c>
      <c r="F1349" s="18"/>
      <c r="G1349" s="18"/>
      <c r="H1349" s="15" t="s">
        <v>5183</v>
      </c>
      <c r="I1349" s="15"/>
      <c r="J1349" s="19" t="s">
        <v>59</v>
      </c>
      <c r="K1349" s="19" t="s">
        <v>2387</v>
      </c>
      <c r="L1349" s="19" t="s">
        <v>38</v>
      </c>
      <c r="M1349" s="20">
        <f t="shared" si="1"/>
        <v>0</v>
      </c>
      <c r="N1349" s="22"/>
      <c r="O1349" s="19" t="s">
        <v>3578</v>
      </c>
      <c r="P1349" s="18"/>
      <c r="Q1349" s="18"/>
      <c r="R1349" s="23">
        <v>0.0</v>
      </c>
      <c r="S1349" s="23">
        <v>0.0</v>
      </c>
      <c r="T1349" s="23">
        <f t="shared" si="2"/>
        <v>0</v>
      </c>
      <c r="U1349" s="23">
        <f t="shared" si="3"/>
        <v>0</v>
      </c>
      <c r="V1349" s="23">
        <f t="shared" si="4"/>
        <v>0</v>
      </c>
      <c r="W1349" s="24" t="str">
        <f t="shared" si="5"/>
        <v>#DIV/0!</v>
      </c>
    </row>
    <row r="1350">
      <c r="A1350" s="15" t="s">
        <v>5188</v>
      </c>
      <c r="B1350" s="15" t="s">
        <v>5189</v>
      </c>
      <c r="C1350" s="15" t="s">
        <v>7823</v>
      </c>
      <c r="D1350" s="18"/>
      <c r="E1350" s="17" t="s">
        <v>5191</v>
      </c>
      <c r="F1350" s="18"/>
      <c r="G1350" s="18"/>
      <c r="H1350" s="15" t="s">
        <v>5192</v>
      </c>
      <c r="I1350" s="18"/>
      <c r="J1350" s="19" t="s">
        <v>59</v>
      </c>
      <c r="K1350" s="33"/>
      <c r="L1350" s="19" t="s">
        <v>38</v>
      </c>
      <c r="M1350" s="20">
        <f t="shared" si="1"/>
        <v>0</v>
      </c>
      <c r="N1350" s="22"/>
      <c r="O1350" s="19" t="s">
        <v>3578</v>
      </c>
      <c r="P1350" s="18"/>
      <c r="Q1350" s="18"/>
      <c r="R1350" s="23">
        <v>0.0</v>
      </c>
      <c r="S1350" s="23">
        <v>0.0</v>
      </c>
      <c r="T1350" s="23">
        <f t="shared" si="2"/>
        <v>0</v>
      </c>
      <c r="U1350" s="23">
        <f t="shared" si="3"/>
        <v>0</v>
      </c>
      <c r="V1350" s="23">
        <f t="shared" si="4"/>
        <v>0</v>
      </c>
      <c r="W1350" s="24" t="str">
        <f t="shared" si="5"/>
        <v>#DIV/0!</v>
      </c>
    </row>
    <row r="1351">
      <c r="A1351" s="15" t="s">
        <v>5193</v>
      </c>
      <c r="B1351" s="15" t="s">
        <v>5194</v>
      </c>
      <c r="C1351" s="15" t="s">
        <v>7824</v>
      </c>
      <c r="D1351" s="15" t="s">
        <v>5195</v>
      </c>
      <c r="E1351" s="17" t="s">
        <v>5196</v>
      </c>
      <c r="F1351" s="18"/>
      <c r="G1351" s="18"/>
      <c r="H1351" s="15" t="s">
        <v>5197</v>
      </c>
      <c r="I1351" s="18"/>
      <c r="J1351" s="19" t="s">
        <v>59</v>
      </c>
      <c r="K1351" s="33"/>
      <c r="L1351" s="19" t="s">
        <v>38</v>
      </c>
      <c r="M1351" s="20">
        <f t="shared" si="1"/>
        <v>0</v>
      </c>
      <c r="N1351" s="22"/>
      <c r="O1351" s="19" t="s">
        <v>3578</v>
      </c>
      <c r="P1351" s="18"/>
      <c r="Q1351" s="18"/>
      <c r="R1351" s="23">
        <v>0.0</v>
      </c>
      <c r="S1351" s="23">
        <v>0.0</v>
      </c>
      <c r="T1351" s="23">
        <f t="shared" si="2"/>
        <v>0</v>
      </c>
      <c r="U1351" s="23">
        <f t="shared" si="3"/>
        <v>0</v>
      </c>
      <c r="V1351" s="23">
        <f t="shared" si="4"/>
        <v>0</v>
      </c>
      <c r="W1351" s="24" t="str">
        <f t="shared" si="5"/>
        <v>#DIV/0!</v>
      </c>
    </row>
    <row r="1352">
      <c r="A1352" s="15" t="s">
        <v>5212</v>
      </c>
      <c r="B1352" s="15" t="s">
        <v>5213</v>
      </c>
      <c r="C1352" s="15" t="s">
        <v>7886</v>
      </c>
      <c r="D1352" s="15" t="s">
        <v>5214</v>
      </c>
      <c r="E1352" s="17" t="s">
        <v>5215</v>
      </c>
      <c r="F1352" s="18"/>
      <c r="G1352" s="18"/>
      <c r="H1352" s="15" t="s">
        <v>5216</v>
      </c>
      <c r="I1352" s="18"/>
      <c r="J1352" s="19" t="s">
        <v>59</v>
      </c>
      <c r="K1352" s="19" t="s">
        <v>60</v>
      </c>
      <c r="L1352" s="19" t="s">
        <v>38</v>
      </c>
      <c r="M1352" s="20">
        <f t="shared" si="1"/>
        <v>0</v>
      </c>
      <c r="N1352" s="22"/>
      <c r="O1352" s="19" t="s">
        <v>3578</v>
      </c>
      <c r="P1352" s="18"/>
      <c r="Q1352" s="18"/>
      <c r="R1352" s="23">
        <v>0.0</v>
      </c>
      <c r="S1352" s="23">
        <v>0.0</v>
      </c>
      <c r="T1352" s="23">
        <f t="shared" si="2"/>
        <v>0</v>
      </c>
      <c r="U1352" s="23">
        <f t="shared" si="3"/>
        <v>0</v>
      </c>
      <c r="V1352" s="23">
        <f t="shared" si="4"/>
        <v>0</v>
      </c>
      <c r="W1352" s="24" t="str">
        <f t="shared" si="5"/>
        <v>#DIV/0!</v>
      </c>
    </row>
    <row r="1353" hidden="1">
      <c r="A1353" s="15" t="s">
        <v>3246</v>
      </c>
      <c r="B1353" s="15" t="s">
        <v>3247</v>
      </c>
      <c r="C1353" s="15" t="s">
        <v>8060</v>
      </c>
      <c r="D1353" s="18"/>
      <c r="E1353" s="17" t="s">
        <v>3248</v>
      </c>
      <c r="F1353" s="18"/>
      <c r="G1353" s="18"/>
      <c r="H1353" s="15" t="s">
        <v>3249</v>
      </c>
      <c r="I1353" s="18"/>
      <c r="J1353" s="19" t="s">
        <v>702</v>
      </c>
      <c r="K1353" s="19" t="s">
        <v>603</v>
      </c>
      <c r="L1353" s="19" t="s">
        <v>38</v>
      </c>
      <c r="M1353" s="20">
        <f t="shared" si="1"/>
        <v>0</v>
      </c>
      <c r="N1353" s="22"/>
      <c r="O1353" s="19" t="s">
        <v>1145</v>
      </c>
      <c r="P1353" s="18"/>
      <c r="Q1353" s="18"/>
      <c r="R1353" s="23">
        <v>0.0</v>
      </c>
      <c r="S1353" s="23">
        <v>0.0</v>
      </c>
      <c r="T1353" s="23">
        <f t="shared" si="2"/>
        <v>0</v>
      </c>
      <c r="U1353" s="23">
        <f t="shared" si="3"/>
        <v>0</v>
      </c>
      <c r="V1353" s="23">
        <f t="shared" si="4"/>
        <v>0</v>
      </c>
      <c r="W1353" s="24" t="str">
        <f t="shared" si="5"/>
        <v>#DIV/0!</v>
      </c>
    </row>
    <row r="1354" hidden="1">
      <c r="A1354" s="15" t="s">
        <v>8061</v>
      </c>
      <c r="B1354" s="15" t="s">
        <v>8062</v>
      </c>
      <c r="C1354" s="15" t="s">
        <v>8063</v>
      </c>
      <c r="D1354" s="15"/>
      <c r="E1354" s="17" t="s">
        <v>8064</v>
      </c>
      <c r="F1354" s="18"/>
      <c r="G1354" s="18"/>
      <c r="H1354" s="15" t="s">
        <v>8065</v>
      </c>
      <c r="I1354" s="18"/>
      <c r="J1354" s="19" t="s">
        <v>702</v>
      </c>
      <c r="K1354" s="19" t="s">
        <v>52</v>
      </c>
      <c r="L1354" s="19" t="s">
        <v>52</v>
      </c>
      <c r="M1354" s="20">
        <f t="shared" si="1"/>
        <v>0</v>
      </c>
      <c r="N1354" s="31"/>
      <c r="O1354" s="19" t="s">
        <v>39</v>
      </c>
      <c r="P1354" s="18"/>
      <c r="Q1354" s="18"/>
      <c r="R1354" s="23">
        <v>0.0</v>
      </c>
      <c r="S1354" s="23">
        <v>0.0</v>
      </c>
      <c r="T1354" s="23">
        <f t="shared" si="2"/>
        <v>0</v>
      </c>
      <c r="U1354" s="23">
        <f t="shared" si="3"/>
        <v>0</v>
      </c>
      <c r="V1354" s="23">
        <f t="shared" si="4"/>
        <v>0</v>
      </c>
      <c r="W1354" s="24" t="str">
        <f t="shared" si="5"/>
        <v>#DIV/0!</v>
      </c>
    </row>
    <row r="1355" hidden="1">
      <c r="A1355" s="15" t="s">
        <v>8066</v>
      </c>
      <c r="B1355" s="15"/>
      <c r="C1355" s="15" t="s">
        <v>8063</v>
      </c>
      <c r="D1355" s="15"/>
      <c r="E1355" s="17" t="s">
        <v>8067</v>
      </c>
      <c r="F1355" s="18"/>
      <c r="G1355" s="18"/>
      <c r="H1355" s="15" t="s">
        <v>8068</v>
      </c>
      <c r="I1355" s="18"/>
      <c r="J1355" s="19" t="s">
        <v>702</v>
      </c>
      <c r="K1355" s="19" t="s">
        <v>52</v>
      </c>
      <c r="L1355" s="19" t="s">
        <v>52</v>
      </c>
      <c r="M1355" s="20">
        <f t="shared" si="1"/>
        <v>0</v>
      </c>
      <c r="N1355" s="31"/>
      <c r="O1355" s="19" t="s">
        <v>39</v>
      </c>
      <c r="P1355" s="18"/>
      <c r="Q1355" s="18"/>
      <c r="R1355" s="23">
        <v>0.0</v>
      </c>
      <c r="S1355" s="23">
        <v>0.0</v>
      </c>
      <c r="T1355" s="23">
        <f t="shared" si="2"/>
        <v>0</v>
      </c>
      <c r="U1355" s="23">
        <f t="shared" si="3"/>
        <v>0</v>
      </c>
      <c r="V1355" s="23">
        <f t="shared" si="4"/>
        <v>0</v>
      </c>
      <c r="W1355" s="24" t="str">
        <f t="shared" si="5"/>
        <v>#DIV/0!</v>
      </c>
    </row>
    <row r="1356" hidden="1">
      <c r="A1356" s="15" t="s">
        <v>5329</v>
      </c>
      <c r="B1356" s="15" t="s">
        <v>5330</v>
      </c>
      <c r="C1356" s="15" t="s">
        <v>8069</v>
      </c>
      <c r="D1356" s="18"/>
      <c r="E1356" s="17" t="s">
        <v>8070</v>
      </c>
      <c r="F1356" s="18"/>
      <c r="G1356" s="18"/>
      <c r="H1356" s="15" t="s">
        <v>8071</v>
      </c>
      <c r="I1356" s="18"/>
      <c r="J1356" s="19" t="s">
        <v>702</v>
      </c>
      <c r="K1356" s="19" t="s">
        <v>1431</v>
      </c>
      <c r="L1356" s="19" t="s">
        <v>38</v>
      </c>
      <c r="M1356" s="20">
        <f t="shared" si="1"/>
        <v>0</v>
      </c>
      <c r="N1356" s="22"/>
      <c r="O1356" s="19" t="s">
        <v>1145</v>
      </c>
      <c r="P1356" s="18"/>
      <c r="Q1356" s="18"/>
      <c r="R1356" s="23">
        <v>0.0</v>
      </c>
      <c r="S1356" s="23">
        <v>0.0</v>
      </c>
      <c r="T1356" s="23">
        <f t="shared" si="2"/>
        <v>0</v>
      </c>
      <c r="U1356" s="23">
        <f t="shared" si="3"/>
        <v>0</v>
      </c>
      <c r="V1356" s="23">
        <f t="shared" si="4"/>
        <v>0</v>
      </c>
      <c r="W1356" s="24" t="str">
        <f t="shared" si="5"/>
        <v>#DIV/0!</v>
      </c>
    </row>
    <row r="1357" hidden="1">
      <c r="A1357" s="15" t="s">
        <v>3250</v>
      </c>
      <c r="B1357" s="15" t="s">
        <v>3251</v>
      </c>
      <c r="C1357" s="15" t="s">
        <v>8072</v>
      </c>
      <c r="D1357" s="18"/>
      <c r="E1357" s="17" t="s">
        <v>3252</v>
      </c>
      <c r="F1357" s="18"/>
      <c r="G1357" s="18"/>
      <c r="H1357" s="15" t="s">
        <v>3253</v>
      </c>
      <c r="I1357" s="18"/>
      <c r="J1357" s="19" t="s">
        <v>702</v>
      </c>
      <c r="K1357" s="19" t="s">
        <v>1431</v>
      </c>
      <c r="L1357" s="19" t="s">
        <v>38</v>
      </c>
      <c r="M1357" s="20">
        <f t="shared" si="1"/>
        <v>0</v>
      </c>
      <c r="N1357" s="22"/>
      <c r="O1357" s="19" t="s">
        <v>1145</v>
      </c>
      <c r="P1357" s="18"/>
      <c r="Q1357" s="18"/>
      <c r="R1357" s="23">
        <v>0.0</v>
      </c>
      <c r="S1357" s="23">
        <v>0.0</v>
      </c>
      <c r="T1357" s="23">
        <f t="shared" si="2"/>
        <v>0</v>
      </c>
      <c r="U1357" s="23">
        <f t="shared" si="3"/>
        <v>0</v>
      </c>
      <c r="V1357" s="23">
        <f t="shared" si="4"/>
        <v>0</v>
      </c>
      <c r="W1357" s="24" t="str">
        <f t="shared" si="5"/>
        <v>#DIV/0!</v>
      </c>
    </row>
    <row r="1358" hidden="1">
      <c r="A1358" s="15" t="s">
        <v>8073</v>
      </c>
      <c r="B1358" s="15" t="s">
        <v>315</v>
      </c>
      <c r="C1358" s="18"/>
      <c r="D1358" s="18"/>
      <c r="E1358" s="17" t="s">
        <v>8074</v>
      </c>
      <c r="F1358" s="18"/>
      <c r="G1358" s="18"/>
      <c r="H1358" s="18"/>
      <c r="I1358" s="15" t="s">
        <v>753</v>
      </c>
      <c r="J1358" s="33"/>
      <c r="K1358" s="33"/>
      <c r="L1358" s="19" t="s">
        <v>38</v>
      </c>
      <c r="M1358" s="20">
        <f t="shared" si="1"/>
        <v>0</v>
      </c>
      <c r="N1358" s="22"/>
      <c r="O1358" s="19" t="s">
        <v>39</v>
      </c>
      <c r="P1358" s="18"/>
      <c r="Q1358" s="18"/>
      <c r="R1358" s="23">
        <v>0.0</v>
      </c>
      <c r="S1358" s="23">
        <v>0.0</v>
      </c>
      <c r="T1358" s="23">
        <f t="shared" si="2"/>
        <v>0</v>
      </c>
      <c r="U1358" s="23">
        <f t="shared" si="3"/>
        <v>0</v>
      </c>
      <c r="V1358" s="23">
        <f t="shared" si="4"/>
        <v>0</v>
      </c>
      <c r="W1358" s="24" t="str">
        <f t="shared" si="5"/>
        <v>#DIV/0!</v>
      </c>
    </row>
    <row r="1359" hidden="1">
      <c r="A1359" s="15" t="s">
        <v>8075</v>
      </c>
      <c r="B1359" s="15" t="s">
        <v>54</v>
      </c>
      <c r="C1359" s="18"/>
      <c r="D1359" s="18"/>
      <c r="E1359" s="17" t="s">
        <v>8076</v>
      </c>
      <c r="F1359" s="18"/>
      <c r="G1359" s="18"/>
      <c r="H1359" s="18"/>
      <c r="I1359" s="15" t="s">
        <v>753</v>
      </c>
      <c r="J1359" s="33"/>
      <c r="K1359" s="33"/>
      <c r="L1359" s="19" t="s">
        <v>38</v>
      </c>
      <c r="M1359" s="20">
        <f t="shared" si="1"/>
        <v>0</v>
      </c>
      <c r="N1359" s="22"/>
      <c r="O1359" s="19" t="s">
        <v>39</v>
      </c>
      <c r="P1359" s="18"/>
      <c r="Q1359" s="18"/>
      <c r="R1359" s="23">
        <v>0.0</v>
      </c>
      <c r="S1359" s="23">
        <v>0.0</v>
      </c>
      <c r="T1359" s="23">
        <f t="shared" si="2"/>
        <v>0</v>
      </c>
      <c r="U1359" s="23">
        <f t="shared" si="3"/>
        <v>0</v>
      </c>
      <c r="V1359" s="23">
        <f t="shared" si="4"/>
        <v>0</v>
      </c>
      <c r="W1359" s="24" t="str">
        <f t="shared" si="5"/>
        <v>#DIV/0!</v>
      </c>
    </row>
    <row r="1360" hidden="1">
      <c r="A1360" s="15" t="s">
        <v>3254</v>
      </c>
      <c r="B1360" s="18"/>
      <c r="C1360" s="18"/>
      <c r="D1360" s="18"/>
      <c r="E1360" s="17" t="s">
        <v>2827</v>
      </c>
      <c r="F1360" s="18"/>
      <c r="G1360" s="18"/>
      <c r="H1360" s="18"/>
      <c r="I1360" s="18"/>
      <c r="J1360" s="33"/>
      <c r="K1360" s="33"/>
      <c r="L1360" s="19" t="s">
        <v>38</v>
      </c>
      <c r="M1360" s="20">
        <f t="shared" si="1"/>
        <v>0</v>
      </c>
      <c r="N1360" s="22"/>
      <c r="O1360" s="19" t="s">
        <v>1145</v>
      </c>
      <c r="P1360" s="18"/>
      <c r="Q1360" s="18"/>
      <c r="R1360" s="23">
        <v>0.0</v>
      </c>
      <c r="S1360" s="23">
        <v>0.0</v>
      </c>
      <c r="T1360" s="23">
        <f t="shared" si="2"/>
        <v>0</v>
      </c>
      <c r="U1360" s="23">
        <f t="shared" si="3"/>
        <v>0</v>
      </c>
      <c r="V1360" s="23">
        <f t="shared" si="4"/>
        <v>0</v>
      </c>
      <c r="W1360" s="24" t="str">
        <f t="shared" si="5"/>
        <v>#DIV/0!</v>
      </c>
    </row>
    <row r="1361" hidden="1">
      <c r="A1361" s="15" t="s">
        <v>3255</v>
      </c>
      <c r="B1361" s="18"/>
      <c r="C1361" s="18"/>
      <c r="D1361" s="18"/>
      <c r="E1361" s="17" t="s">
        <v>2827</v>
      </c>
      <c r="F1361" s="18"/>
      <c r="G1361" s="18"/>
      <c r="H1361" s="18"/>
      <c r="I1361" s="18"/>
      <c r="J1361" s="33"/>
      <c r="K1361" s="33"/>
      <c r="L1361" s="19" t="s">
        <v>38</v>
      </c>
      <c r="M1361" s="20">
        <f t="shared" si="1"/>
        <v>0</v>
      </c>
      <c r="N1361" s="22"/>
      <c r="O1361" s="19" t="s">
        <v>1145</v>
      </c>
      <c r="P1361" s="18"/>
      <c r="Q1361" s="18"/>
      <c r="R1361" s="23">
        <v>0.0</v>
      </c>
      <c r="S1361" s="23">
        <v>0.0</v>
      </c>
      <c r="T1361" s="23">
        <f t="shared" si="2"/>
        <v>0</v>
      </c>
      <c r="U1361" s="23">
        <f t="shared" si="3"/>
        <v>0</v>
      </c>
      <c r="V1361" s="23">
        <f t="shared" si="4"/>
        <v>0</v>
      </c>
      <c r="W1361" s="24" t="str">
        <f t="shared" si="5"/>
        <v>#DIV/0!</v>
      </c>
    </row>
    <row r="1362" hidden="1">
      <c r="A1362" s="15" t="s">
        <v>3256</v>
      </c>
      <c r="B1362" s="18"/>
      <c r="C1362" s="15" t="s">
        <v>8077</v>
      </c>
      <c r="D1362" s="18"/>
      <c r="E1362" s="17" t="s">
        <v>3257</v>
      </c>
      <c r="F1362" s="18"/>
      <c r="G1362" s="18"/>
      <c r="H1362" s="15" t="s">
        <v>3258</v>
      </c>
      <c r="I1362" s="18"/>
      <c r="J1362" s="33"/>
      <c r="K1362" s="19" t="s">
        <v>2387</v>
      </c>
      <c r="L1362" s="19" t="s">
        <v>38</v>
      </c>
      <c r="M1362" s="20">
        <f t="shared" si="1"/>
        <v>0</v>
      </c>
      <c r="N1362" s="22"/>
      <c r="O1362" s="19" t="s">
        <v>1145</v>
      </c>
      <c r="P1362" s="18"/>
      <c r="Q1362" s="18"/>
      <c r="R1362" s="23">
        <v>0.0</v>
      </c>
      <c r="S1362" s="23">
        <v>0.0</v>
      </c>
      <c r="T1362" s="23">
        <f t="shared" si="2"/>
        <v>0</v>
      </c>
      <c r="U1362" s="23">
        <f t="shared" si="3"/>
        <v>0</v>
      </c>
      <c r="V1362" s="23">
        <f t="shared" si="4"/>
        <v>0</v>
      </c>
      <c r="W1362" s="24" t="str">
        <f t="shared" si="5"/>
        <v>#DIV/0!</v>
      </c>
    </row>
    <row r="1363" hidden="1">
      <c r="A1363" s="15" t="s">
        <v>3259</v>
      </c>
      <c r="B1363" s="18"/>
      <c r="C1363" s="15" t="s">
        <v>8078</v>
      </c>
      <c r="D1363" s="18"/>
      <c r="E1363" s="17" t="s">
        <v>3260</v>
      </c>
      <c r="F1363" s="18"/>
      <c r="G1363" s="18"/>
      <c r="H1363" s="15" t="s">
        <v>3261</v>
      </c>
      <c r="I1363" s="18"/>
      <c r="J1363" s="33"/>
      <c r="K1363" s="19" t="s">
        <v>2387</v>
      </c>
      <c r="L1363" s="19" t="s">
        <v>38</v>
      </c>
      <c r="M1363" s="20">
        <f t="shared" si="1"/>
        <v>0</v>
      </c>
      <c r="N1363" s="22"/>
      <c r="O1363" s="19" t="s">
        <v>1145</v>
      </c>
      <c r="P1363" s="18"/>
      <c r="Q1363" s="18"/>
      <c r="R1363" s="23">
        <v>0.0</v>
      </c>
      <c r="S1363" s="23">
        <v>0.0</v>
      </c>
      <c r="T1363" s="23">
        <f t="shared" si="2"/>
        <v>0</v>
      </c>
      <c r="U1363" s="23">
        <f t="shared" si="3"/>
        <v>0</v>
      </c>
      <c r="V1363" s="23">
        <f t="shared" si="4"/>
        <v>0</v>
      </c>
      <c r="W1363" s="24" t="str">
        <f t="shared" si="5"/>
        <v>#DIV/0!</v>
      </c>
    </row>
    <row r="1364" hidden="1">
      <c r="A1364" s="15" t="s">
        <v>3262</v>
      </c>
      <c r="B1364" s="18"/>
      <c r="C1364" s="15" t="s">
        <v>8079</v>
      </c>
      <c r="D1364" s="18"/>
      <c r="E1364" s="17" t="s">
        <v>3263</v>
      </c>
      <c r="F1364" s="18"/>
      <c r="G1364" s="18"/>
      <c r="H1364" s="15" t="s">
        <v>3264</v>
      </c>
      <c r="I1364" s="18"/>
      <c r="J1364" s="33"/>
      <c r="K1364" s="19" t="s">
        <v>2387</v>
      </c>
      <c r="L1364" s="19" t="s">
        <v>38</v>
      </c>
      <c r="M1364" s="20">
        <f t="shared" si="1"/>
        <v>0</v>
      </c>
      <c r="N1364" s="22"/>
      <c r="O1364" s="19" t="s">
        <v>1145</v>
      </c>
      <c r="P1364" s="18"/>
      <c r="Q1364" s="18"/>
      <c r="R1364" s="23">
        <v>0.0</v>
      </c>
      <c r="S1364" s="23">
        <v>0.0</v>
      </c>
      <c r="T1364" s="23">
        <f t="shared" si="2"/>
        <v>0</v>
      </c>
      <c r="U1364" s="23">
        <f t="shared" si="3"/>
        <v>0</v>
      </c>
      <c r="V1364" s="23">
        <f t="shared" si="4"/>
        <v>0</v>
      </c>
      <c r="W1364" s="24" t="str">
        <f t="shared" si="5"/>
        <v>#DIV/0!</v>
      </c>
    </row>
    <row r="1365" hidden="1">
      <c r="A1365" s="15" t="s">
        <v>3265</v>
      </c>
      <c r="B1365" s="18"/>
      <c r="C1365" s="15" t="s">
        <v>8080</v>
      </c>
      <c r="D1365" s="18"/>
      <c r="E1365" s="17" t="s">
        <v>3266</v>
      </c>
      <c r="F1365" s="18"/>
      <c r="G1365" s="18"/>
      <c r="H1365" s="15" t="s">
        <v>3267</v>
      </c>
      <c r="I1365" s="18"/>
      <c r="J1365" s="33"/>
      <c r="K1365" s="19" t="s">
        <v>3268</v>
      </c>
      <c r="L1365" s="19" t="s">
        <v>38</v>
      </c>
      <c r="M1365" s="20">
        <f t="shared" si="1"/>
        <v>0</v>
      </c>
      <c r="N1365" s="22"/>
      <c r="O1365" s="19" t="s">
        <v>1145</v>
      </c>
      <c r="P1365" s="18"/>
      <c r="Q1365" s="18"/>
      <c r="R1365" s="23">
        <v>0.0</v>
      </c>
      <c r="S1365" s="23">
        <v>0.0</v>
      </c>
      <c r="T1365" s="23">
        <f t="shared" si="2"/>
        <v>0</v>
      </c>
      <c r="U1365" s="23">
        <f t="shared" si="3"/>
        <v>0</v>
      </c>
      <c r="V1365" s="23">
        <f t="shared" si="4"/>
        <v>0</v>
      </c>
      <c r="W1365" s="24" t="str">
        <f t="shared" si="5"/>
        <v>#DIV/0!</v>
      </c>
    </row>
    <row r="1366" hidden="1">
      <c r="A1366" s="15" t="s">
        <v>3269</v>
      </c>
      <c r="B1366" s="18"/>
      <c r="C1366" s="15" t="s">
        <v>8081</v>
      </c>
      <c r="D1366" s="18"/>
      <c r="E1366" s="17" t="s">
        <v>3270</v>
      </c>
      <c r="F1366" s="18"/>
      <c r="G1366" s="18"/>
      <c r="H1366" s="15" t="s">
        <v>3271</v>
      </c>
      <c r="I1366" s="18"/>
      <c r="J1366" s="33"/>
      <c r="K1366" s="19" t="s">
        <v>2401</v>
      </c>
      <c r="L1366" s="19" t="s">
        <v>38</v>
      </c>
      <c r="M1366" s="20">
        <f t="shared" si="1"/>
        <v>0</v>
      </c>
      <c r="N1366" s="22"/>
      <c r="O1366" s="19" t="s">
        <v>1145</v>
      </c>
      <c r="P1366" s="18"/>
      <c r="Q1366" s="18"/>
      <c r="R1366" s="23">
        <v>0.0</v>
      </c>
      <c r="S1366" s="23">
        <v>0.0</v>
      </c>
      <c r="T1366" s="23">
        <f t="shared" si="2"/>
        <v>0</v>
      </c>
      <c r="U1366" s="23">
        <f t="shared" si="3"/>
        <v>0</v>
      </c>
      <c r="V1366" s="23">
        <f t="shared" si="4"/>
        <v>0</v>
      </c>
      <c r="W1366" s="24" t="str">
        <f t="shared" si="5"/>
        <v>#DIV/0!</v>
      </c>
    </row>
    <row r="1367" hidden="1">
      <c r="A1367" s="15" t="s">
        <v>3272</v>
      </c>
      <c r="B1367" s="18"/>
      <c r="C1367" s="15" t="s">
        <v>8082</v>
      </c>
      <c r="D1367" s="18"/>
      <c r="E1367" s="17" t="s">
        <v>3273</v>
      </c>
      <c r="F1367" s="18"/>
      <c r="G1367" s="18"/>
      <c r="H1367" s="15" t="s">
        <v>3274</v>
      </c>
      <c r="I1367" s="18"/>
      <c r="J1367" s="33"/>
      <c r="K1367" s="19" t="s">
        <v>2519</v>
      </c>
      <c r="L1367" s="19" t="s">
        <v>38</v>
      </c>
      <c r="M1367" s="20">
        <f t="shared" si="1"/>
        <v>0</v>
      </c>
      <c r="N1367" s="22"/>
      <c r="O1367" s="19" t="s">
        <v>1145</v>
      </c>
      <c r="P1367" s="18"/>
      <c r="Q1367" s="18"/>
      <c r="R1367" s="23">
        <v>0.0</v>
      </c>
      <c r="S1367" s="23">
        <v>0.0</v>
      </c>
      <c r="T1367" s="23">
        <f t="shared" si="2"/>
        <v>0</v>
      </c>
      <c r="U1367" s="23">
        <f t="shared" si="3"/>
        <v>0</v>
      </c>
      <c r="V1367" s="23">
        <f t="shared" si="4"/>
        <v>0</v>
      </c>
      <c r="W1367" s="24" t="str">
        <f t="shared" si="5"/>
        <v>#DIV/0!</v>
      </c>
    </row>
    <row r="1368" hidden="1">
      <c r="A1368" s="15" t="s">
        <v>3275</v>
      </c>
      <c r="B1368" s="18"/>
      <c r="C1368" s="15" t="s">
        <v>8083</v>
      </c>
      <c r="D1368" s="18"/>
      <c r="E1368" s="17" t="s">
        <v>3276</v>
      </c>
      <c r="F1368" s="18"/>
      <c r="G1368" s="18"/>
      <c r="H1368" s="15" t="s">
        <v>3277</v>
      </c>
      <c r="I1368" s="18"/>
      <c r="J1368" s="33"/>
      <c r="K1368" s="19" t="s">
        <v>2519</v>
      </c>
      <c r="L1368" s="19" t="s">
        <v>38</v>
      </c>
      <c r="M1368" s="20">
        <f t="shared" si="1"/>
        <v>0</v>
      </c>
      <c r="N1368" s="22"/>
      <c r="O1368" s="19" t="s">
        <v>1145</v>
      </c>
      <c r="P1368" s="18"/>
      <c r="Q1368" s="18"/>
      <c r="R1368" s="23">
        <v>0.0</v>
      </c>
      <c r="S1368" s="23">
        <v>0.0</v>
      </c>
      <c r="T1368" s="23">
        <f t="shared" si="2"/>
        <v>0</v>
      </c>
      <c r="U1368" s="23">
        <f t="shared" si="3"/>
        <v>0</v>
      </c>
      <c r="V1368" s="23">
        <f t="shared" si="4"/>
        <v>0</v>
      </c>
      <c r="W1368" s="24" t="str">
        <f t="shared" si="5"/>
        <v>#DIV/0!</v>
      </c>
    </row>
    <row r="1369" hidden="1">
      <c r="A1369" s="15" t="s">
        <v>3278</v>
      </c>
      <c r="B1369" s="18"/>
      <c r="C1369" s="15" t="s">
        <v>8084</v>
      </c>
      <c r="D1369" s="18"/>
      <c r="E1369" s="17" t="s">
        <v>3279</v>
      </c>
      <c r="F1369" s="18"/>
      <c r="G1369" s="18"/>
      <c r="H1369" s="15" t="s">
        <v>3280</v>
      </c>
      <c r="I1369" s="18"/>
      <c r="J1369" s="33"/>
      <c r="K1369" s="19" t="s">
        <v>2519</v>
      </c>
      <c r="L1369" s="19" t="s">
        <v>38</v>
      </c>
      <c r="M1369" s="20">
        <f t="shared" si="1"/>
        <v>0</v>
      </c>
      <c r="N1369" s="22"/>
      <c r="O1369" s="19" t="s">
        <v>1145</v>
      </c>
      <c r="P1369" s="18"/>
      <c r="Q1369" s="18"/>
      <c r="R1369" s="23">
        <v>0.0</v>
      </c>
      <c r="S1369" s="23">
        <v>0.0</v>
      </c>
      <c r="T1369" s="23">
        <f t="shared" si="2"/>
        <v>0</v>
      </c>
      <c r="U1369" s="23">
        <f t="shared" si="3"/>
        <v>0</v>
      </c>
      <c r="V1369" s="23">
        <f t="shared" si="4"/>
        <v>0</v>
      </c>
      <c r="W1369" s="24" t="str">
        <f t="shared" si="5"/>
        <v>#DIV/0!</v>
      </c>
    </row>
    <row r="1370" hidden="1">
      <c r="A1370" s="15" t="s">
        <v>3281</v>
      </c>
      <c r="B1370" s="18"/>
      <c r="C1370" s="15" t="s">
        <v>8085</v>
      </c>
      <c r="D1370" s="18"/>
      <c r="E1370" s="17" t="s">
        <v>3282</v>
      </c>
      <c r="F1370" s="18"/>
      <c r="G1370" s="18"/>
      <c r="H1370" s="15" t="s">
        <v>3283</v>
      </c>
      <c r="I1370" s="18"/>
      <c r="J1370" s="33"/>
      <c r="K1370" s="19" t="s">
        <v>2519</v>
      </c>
      <c r="L1370" s="19" t="s">
        <v>38</v>
      </c>
      <c r="M1370" s="20">
        <f t="shared" si="1"/>
        <v>0</v>
      </c>
      <c r="N1370" s="22"/>
      <c r="O1370" s="19" t="s">
        <v>1145</v>
      </c>
      <c r="P1370" s="18"/>
      <c r="Q1370" s="18"/>
      <c r="R1370" s="23">
        <v>0.0</v>
      </c>
      <c r="S1370" s="23">
        <v>0.0</v>
      </c>
      <c r="T1370" s="23">
        <f t="shared" si="2"/>
        <v>0</v>
      </c>
      <c r="U1370" s="23">
        <f t="shared" si="3"/>
        <v>0</v>
      </c>
      <c r="V1370" s="23">
        <f t="shared" si="4"/>
        <v>0</v>
      </c>
      <c r="W1370" s="24" t="str">
        <f t="shared" si="5"/>
        <v>#DIV/0!</v>
      </c>
    </row>
    <row r="1371" hidden="1">
      <c r="A1371" s="15" t="s">
        <v>3284</v>
      </c>
      <c r="B1371" s="18"/>
      <c r="C1371" s="15" t="s">
        <v>8086</v>
      </c>
      <c r="D1371" s="18"/>
      <c r="E1371" s="17" t="s">
        <v>3285</v>
      </c>
      <c r="F1371" s="18"/>
      <c r="G1371" s="18"/>
      <c r="H1371" s="15" t="s">
        <v>3286</v>
      </c>
      <c r="I1371" s="18"/>
      <c r="J1371" s="33"/>
      <c r="K1371" s="19" t="s">
        <v>2519</v>
      </c>
      <c r="L1371" s="19" t="s">
        <v>38</v>
      </c>
      <c r="M1371" s="20">
        <f t="shared" si="1"/>
        <v>0</v>
      </c>
      <c r="N1371" s="22"/>
      <c r="O1371" s="19" t="s">
        <v>1145</v>
      </c>
      <c r="P1371" s="18"/>
      <c r="Q1371" s="18"/>
      <c r="R1371" s="23">
        <v>0.0</v>
      </c>
      <c r="S1371" s="23">
        <v>0.0</v>
      </c>
      <c r="T1371" s="23">
        <f t="shared" si="2"/>
        <v>0</v>
      </c>
      <c r="U1371" s="23">
        <f t="shared" si="3"/>
        <v>0</v>
      </c>
      <c r="V1371" s="23">
        <f t="shared" si="4"/>
        <v>0</v>
      </c>
      <c r="W1371" s="24" t="str">
        <f t="shared" si="5"/>
        <v>#DIV/0!</v>
      </c>
    </row>
    <row r="1372" hidden="1">
      <c r="A1372" s="15" t="s">
        <v>3287</v>
      </c>
      <c r="B1372" s="18"/>
      <c r="C1372" s="15" t="s">
        <v>8087</v>
      </c>
      <c r="D1372" s="18"/>
      <c r="E1372" s="17" t="s">
        <v>3288</v>
      </c>
      <c r="F1372" s="18"/>
      <c r="G1372" s="18"/>
      <c r="H1372" s="15" t="s">
        <v>3289</v>
      </c>
      <c r="I1372" s="18"/>
      <c r="J1372" s="33"/>
      <c r="K1372" s="19" t="s">
        <v>2519</v>
      </c>
      <c r="L1372" s="19" t="s">
        <v>38</v>
      </c>
      <c r="M1372" s="20">
        <f t="shared" si="1"/>
        <v>0</v>
      </c>
      <c r="N1372" s="22"/>
      <c r="O1372" s="19" t="s">
        <v>1145</v>
      </c>
      <c r="P1372" s="18"/>
      <c r="Q1372" s="18"/>
      <c r="R1372" s="23">
        <v>0.0</v>
      </c>
      <c r="S1372" s="23">
        <v>0.0</v>
      </c>
      <c r="T1372" s="23">
        <f t="shared" si="2"/>
        <v>0</v>
      </c>
      <c r="U1372" s="23">
        <f t="shared" si="3"/>
        <v>0</v>
      </c>
      <c r="V1372" s="23">
        <f t="shared" si="4"/>
        <v>0</v>
      </c>
      <c r="W1372" s="24" t="str">
        <f t="shared" si="5"/>
        <v>#DIV/0!</v>
      </c>
    </row>
    <row r="1373" hidden="1">
      <c r="A1373" s="15" t="s">
        <v>3290</v>
      </c>
      <c r="B1373" s="18"/>
      <c r="C1373" s="15" t="s">
        <v>8088</v>
      </c>
      <c r="D1373" s="18"/>
      <c r="E1373" s="17" t="s">
        <v>3291</v>
      </c>
      <c r="F1373" s="18"/>
      <c r="G1373" s="18"/>
      <c r="H1373" s="15" t="s">
        <v>3292</v>
      </c>
      <c r="I1373" s="18"/>
      <c r="J1373" s="33"/>
      <c r="K1373" s="19" t="s">
        <v>2519</v>
      </c>
      <c r="L1373" s="19" t="s">
        <v>38</v>
      </c>
      <c r="M1373" s="20">
        <f t="shared" si="1"/>
        <v>0</v>
      </c>
      <c r="N1373" s="22"/>
      <c r="O1373" s="19" t="s">
        <v>1145</v>
      </c>
      <c r="P1373" s="18"/>
      <c r="Q1373" s="18"/>
      <c r="R1373" s="23">
        <v>0.0</v>
      </c>
      <c r="S1373" s="23">
        <v>0.0</v>
      </c>
      <c r="T1373" s="23">
        <f t="shared" si="2"/>
        <v>0</v>
      </c>
      <c r="U1373" s="23">
        <f t="shared" si="3"/>
        <v>0</v>
      </c>
      <c r="V1373" s="23">
        <f t="shared" si="4"/>
        <v>0</v>
      </c>
      <c r="W1373" s="24" t="str">
        <f t="shared" si="5"/>
        <v>#DIV/0!</v>
      </c>
    </row>
    <row r="1374" hidden="1">
      <c r="A1374" s="15" t="s">
        <v>3293</v>
      </c>
      <c r="B1374" s="18"/>
      <c r="C1374" s="15" t="s">
        <v>8089</v>
      </c>
      <c r="D1374" s="18"/>
      <c r="E1374" s="17" t="s">
        <v>3294</v>
      </c>
      <c r="F1374" s="18"/>
      <c r="G1374" s="18"/>
      <c r="H1374" s="15" t="s">
        <v>3295</v>
      </c>
      <c r="I1374" s="18"/>
      <c r="J1374" s="33"/>
      <c r="K1374" s="19" t="s">
        <v>2519</v>
      </c>
      <c r="L1374" s="19" t="s">
        <v>38</v>
      </c>
      <c r="M1374" s="20">
        <f t="shared" si="1"/>
        <v>0</v>
      </c>
      <c r="N1374" s="22"/>
      <c r="O1374" s="19" t="s">
        <v>1145</v>
      </c>
      <c r="P1374" s="18"/>
      <c r="Q1374" s="18"/>
      <c r="R1374" s="23">
        <v>0.0</v>
      </c>
      <c r="S1374" s="23">
        <v>0.0</v>
      </c>
      <c r="T1374" s="23">
        <f t="shared" si="2"/>
        <v>0</v>
      </c>
      <c r="U1374" s="23">
        <f t="shared" si="3"/>
        <v>0</v>
      </c>
      <c r="V1374" s="23">
        <f t="shared" si="4"/>
        <v>0</v>
      </c>
      <c r="W1374" s="24" t="str">
        <f t="shared" si="5"/>
        <v>#DIV/0!</v>
      </c>
    </row>
    <row r="1375" hidden="1">
      <c r="A1375" s="15" t="s">
        <v>3296</v>
      </c>
      <c r="B1375" s="18"/>
      <c r="C1375" s="15" t="s">
        <v>8090</v>
      </c>
      <c r="D1375" s="18"/>
      <c r="E1375" s="17" t="s">
        <v>3297</v>
      </c>
      <c r="F1375" s="18"/>
      <c r="G1375" s="18"/>
      <c r="H1375" s="15" t="s">
        <v>3298</v>
      </c>
      <c r="I1375" s="18"/>
      <c r="J1375" s="33"/>
      <c r="K1375" s="19" t="s">
        <v>2519</v>
      </c>
      <c r="L1375" s="19" t="s">
        <v>38</v>
      </c>
      <c r="M1375" s="20">
        <f t="shared" si="1"/>
        <v>0</v>
      </c>
      <c r="N1375" s="22"/>
      <c r="O1375" s="19" t="s">
        <v>1145</v>
      </c>
      <c r="P1375" s="18"/>
      <c r="Q1375" s="18"/>
      <c r="R1375" s="23">
        <v>0.0</v>
      </c>
      <c r="S1375" s="23">
        <v>0.0</v>
      </c>
      <c r="T1375" s="23">
        <f t="shared" si="2"/>
        <v>0</v>
      </c>
      <c r="U1375" s="23">
        <f t="shared" si="3"/>
        <v>0</v>
      </c>
      <c r="V1375" s="23">
        <f t="shared" si="4"/>
        <v>0</v>
      </c>
      <c r="W1375" s="24" t="str">
        <f t="shared" si="5"/>
        <v>#DIV/0!</v>
      </c>
    </row>
    <row r="1376" hidden="1">
      <c r="A1376" s="15" t="s">
        <v>3299</v>
      </c>
      <c r="B1376" s="18"/>
      <c r="C1376" s="15" t="s">
        <v>8091</v>
      </c>
      <c r="D1376" s="18"/>
      <c r="E1376" s="17" t="s">
        <v>3300</v>
      </c>
      <c r="F1376" s="18"/>
      <c r="G1376" s="18"/>
      <c r="H1376" s="15" t="s">
        <v>3301</v>
      </c>
      <c r="I1376" s="18"/>
      <c r="J1376" s="33"/>
      <c r="K1376" s="19" t="s">
        <v>2519</v>
      </c>
      <c r="L1376" s="19" t="s">
        <v>38</v>
      </c>
      <c r="M1376" s="20">
        <f t="shared" si="1"/>
        <v>0</v>
      </c>
      <c r="N1376" s="22"/>
      <c r="O1376" s="19" t="s">
        <v>1145</v>
      </c>
      <c r="P1376" s="18"/>
      <c r="Q1376" s="18"/>
      <c r="R1376" s="23">
        <v>0.0</v>
      </c>
      <c r="S1376" s="23">
        <v>0.0</v>
      </c>
      <c r="T1376" s="23">
        <f t="shared" si="2"/>
        <v>0</v>
      </c>
      <c r="U1376" s="23">
        <f t="shared" si="3"/>
        <v>0</v>
      </c>
      <c r="V1376" s="23">
        <f t="shared" si="4"/>
        <v>0</v>
      </c>
      <c r="W1376" s="24" t="str">
        <f t="shared" si="5"/>
        <v>#DIV/0!</v>
      </c>
    </row>
    <row r="1377" hidden="1">
      <c r="A1377" s="15" t="s">
        <v>3302</v>
      </c>
      <c r="B1377" s="18"/>
      <c r="C1377" s="15" t="s">
        <v>8092</v>
      </c>
      <c r="D1377" s="18"/>
      <c r="E1377" s="17" t="s">
        <v>3303</v>
      </c>
      <c r="F1377" s="18"/>
      <c r="G1377" s="18"/>
      <c r="H1377" s="15" t="s">
        <v>3304</v>
      </c>
      <c r="I1377" s="18"/>
      <c r="J1377" s="33"/>
      <c r="K1377" s="19" t="s">
        <v>2519</v>
      </c>
      <c r="L1377" s="19" t="s">
        <v>38</v>
      </c>
      <c r="M1377" s="20">
        <f t="shared" si="1"/>
        <v>0</v>
      </c>
      <c r="N1377" s="22"/>
      <c r="O1377" s="19" t="s">
        <v>1145</v>
      </c>
      <c r="P1377" s="18"/>
      <c r="Q1377" s="18"/>
      <c r="R1377" s="23">
        <v>0.0</v>
      </c>
      <c r="S1377" s="23">
        <v>0.0</v>
      </c>
      <c r="T1377" s="23">
        <f t="shared" si="2"/>
        <v>0</v>
      </c>
      <c r="U1377" s="23">
        <f t="shared" si="3"/>
        <v>0</v>
      </c>
      <c r="V1377" s="23">
        <f t="shared" si="4"/>
        <v>0</v>
      </c>
      <c r="W1377" s="24" t="str">
        <f t="shared" si="5"/>
        <v>#DIV/0!</v>
      </c>
    </row>
    <row r="1378" hidden="1">
      <c r="A1378" s="15" t="s">
        <v>3305</v>
      </c>
      <c r="B1378" s="18"/>
      <c r="C1378" s="15" t="s">
        <v>8093</v>
      </c>
      <c r="D1378" s="18"/>
      <c r="E1378" s="17" t="s">
        <v>3306</v>
      </c>
      <c r="F1378" s="18"/>
      <c r="G1378" s="18"/>
      <c r="H1378" s="15" t="s">
        <v>3307</v>
      </c>
      <c r="I1378" s="18"/>
      <c r="J1378" s="33"/>
      <c r="K1378" s="19" t="s">
        <v>2519</v>
      </c>
      <c r="L1378" s="19" t="s">
        <v>38</v>
      </c>
      <c r="M1378" s="20">
        <f t="shared" si="1"/>
        <v>0</v>
      </c>
      <c r="N1378" s="22"/>
      <c r="O1378" s="19" t="s">
        <v>1145</v>
      </c>
      <c r="P1378" s="18"/>
      <c r="Q1378" s="18"/>
      <c r="R1378" s="23">
        <v>0.0</v>
      </c>
      <c r="S1378" s="23">
        <v>0.0</v>
      </c>
      <c r="T1378" s="23">
        <f t="shared" si="2"/>
        <v>0</v>
      </c>
      <c r="U1378" s="23">
        <f t="shared" si="3"/>
        <v>0</v>
      </c>
      <c r="V1378" s="23">
        <f t="shared" si="4"/>
        <v>0</v>
      </c>
      <c r="W1378" s="24" t="str">
        <f t="shared" si="5"/>
        <v>#DIV/0!</v>
      </c>
    </row>
    <row r="1379" hidden="1">
      <c r="A1379" s="15" t="s">
        <v>3308</v>
      </c>
      <c r="B1379" s="18"/>
      <c r="C1379" s="15" t="s">
        <v>8094</v>
      </c>
      <c r="D1379" s="18"/>
      <c r="E1379" s="17" t="s">
        <v>3309</v>
      </c>
      <c r="F1379" s="18"/>
      <c r="G1379" s="18"/>
      <c r="H1379" s="15" t="s">
        <v>3310</v>
      </c>
      <c r="I1379" s="18"/>
      <c r="J1379" s="33"/>
      <c r="K1379" s="19" t="s">
        <v>2519</v>
      </c>
      <c r="L1379" s="19" t="s">
        <v>38</v>
      </c>
      <c r="M1379" s="20">
        <f t="shared" si="1"/>
        <v>0</v>
      </c>
      <c r="N1379" s="22"/>
      <c r="O1379" s="19" t="s">
        <v>1145</v>
      </c>
      <c r="P1379" s="18"/>
      <c r="Q1379" s="18"/>
      <c r="R1379" s="23">
        <v>0.0</v>
      </c>
      <c r="S1379" s="23">
        <v>0.0</v>
      </c>
      <c r="T1379" s="23">
        <f t="shared" si="2"/>
        <v>0</v>
      </c>
      <c r="U1379" s="23">
        <f t="shared" si="3"/>
        <v>0</v>
      </c>
      <c r="V1379" s="23">
        <f t="shared" si="4"/>
        <v>0</v>
      </c>
      <c r="W1379" s="24" t="str">
        <f t="shared" si="5"/>
        <v>#DIV/0!</v>
      </c>
    </row>
    <row r="1380" hidden="1">
      <c r="A1380" s="15" t="s">
        <v>3311</v>
      </c>
      <c r="B1380" s="18"/>
      <c r="C1380" s="15" t="s">
        <v>8095</v>
      </c>
      <c r="D1380" s="18"/>
      <c r="E1380" s="17" t="s">
        <v>3312</v>
      </c>
      <c r="F1380" s="18"/>
      <c r="G1380" s="18"/>
      <c r="H1380" s="15" t="s">
        <v>3313</v>
      </c>
      <c r="I1380" s="18"/>
      <c r="J1380" s="33"/>
      <c r="K1380" s="19" t="s">
        <v>2519</v>
      </c>
      <c r="L1380" s="19" t="s">
        <v>38</v>
      </c>
      <c r="M1380" s="20">
        <f t="shared" si="1"/>
        <v>0</v>
      </c>
      <c r="N1380" s="22"/>
      <c r="O1380" s="19" t="s">
        <v>1145</v>
      </c>
      <c r="P1380" s="18"/>
      <c r="Q1380" s="18"/>
      <c r="R1380" s="23">
        <v>0.0</v>
      </c>
      <c r="S1380" s="23">
        <v>0.0</v>
      </c>
      <c r="T1380" s="23">
        <f t="shared" si="2"/>
        <v>0</v>
      </c>
      <c r="U1380" s="23">
        <f t="shared" si="3"/>
        <v>0</v>
      </c>
      <c r="V1380" s="23">
        <f t="shared" si="4"/>
        <v>0</v>
      </c>
      <c r="W1380" s="24" t="str">
        <f t="shared" si="5"/>
        <v>#DIV/0!</v>
      </c>
    </row>
    <row r="1381" hidden="1">
      <c r="A1381" s="15" t="s">
        <v>3314</v>
      </c>
      <c r="B1381" s="18"/>
      <c r="C1381" s="15" t="s">
        <v>8096</v>
      </c>
      <c r="D1381" s="18"/>
      <c r="E1381" s="17" t="s">
        <v>3315</v>
      </c>
      <c r="F1381" s="18"/>
      <c r="G1381" s="18"/>
      <c r="H1381" s="15" t="s">
        <v>3316</v>
      </c>
      <c r="I1381" s="18"/>
      <c r="J1381" s="33"/>
      <c r="K1381" s="19" t="s">
        <v>2519</v>
      </c>
      <c r="L1381" s="19" t="s">
        <v>38</v>
      </c>
      <c r="M1381" s="20">
        <f t="shared" si="1"/>
        <v>0</v>
      </c>
      <c r="N1381" s="22"/>
      <c r="O1381" s="19" t="s">
        <v>1145</v>
      </c>
      <c r="P1381" s="18"/>
      <c r="Q1381" s="18"/>
      <c r="R1381" s="23">
        <v>0.0</v>
      </c>
      <c r="S1381" s="23">
        <v>0.0</v>
      </c>
      <c r="T1381" s="23">
        <f t="shared" si="2"/>
        <v>0</v>
      </c>
      <c r="U1381" s="23">
        <f t="shared" si="3"/>
        <v>0</v>
      </c>
      <c r="V1381" s="23">
        <f t="shared" si="4"/>
        <v>0</v>
      </c>
      <c r="W1381" s="24" t="str">
        <f t="shared" si="5"/>
        <v>#DIV/0!</v>
      </c>
    </row>
    <row r="1382" hidden="1">
      <c r="A1382" s="15" t="s">
        <v>3317</v>
      </c>
      <c r="B1382" s="18"/>
      <c r="C1382" s="15" t="s">
        <v>8097</v>
      </c>
      <c r="D1382" s="18"/>
      <c r="E1382" s="17" t="s">
        <v>3318</v>
      </c>
      <c r="F1382" s="18"/>
      <c r="G1382" s="18"/>
      <c r="H1382" s="15" t="s">
        <v>3319</v>
      </c>
      <c r="I1382" s="18"/>
      <c r="J1382" s="33"/>
      <c r="K1382" s="19" t="s">
        <v>2519</v>
      </c>
      <c r="L1382" s="19" t="s">
        <v>38</v>
      </c>
      <c r="M1382" s="20">
        <f t="shared" si="1"/>
        <v>0</v>
      </c>
      <c r="N1382" s="22"/>
      <c r="O1382" s="19" t="s">
        <v>1145</v>
      </c>
      <c r="P1382" s="18"/>
      <c r="Q1382" s="18"/>
      <c r="R1382" s="23">
        <v>0.0</v>
      </c>
      <c r="S1382" s="23">
        <v>0.0</v>
      </c>
      <c r="T1382" s="23">
        <f t="shared" si="2"/>
        <v>0</v>
      </c>
      <c r="U1382" s="23">
        <f t="shared" si="3"/>
        <v>0</v>
      </c>
      <c r="V1382" s="23">
        <f t="shared" si="4"/>
        <v>0</v>
      </c>
      <c r="W1382" s="24" t="str">
        <f t="shared" si="5"/>
        <v>#DIV/0!</v>
      </c>
    </row>
    <row r="1383" hidden="1">
      <c r="A1383" s="15" t="s">
        <v>3320</v>
      </c>
      <c r="B1383" s="18"/>
      <c r="C1383" s="15" t="s">
        <v>8098</v>
      </c>
      <c r="D1383" s="18"/>
      <c r="E1383" s="17" t="s">
        <v>3321</v>
      </c>
      <c r="F1383" s="18"/>
      <c r="G1383" s="18"/>
      <c r="H1383" s="15" t="s">
        <v>3322</v>
      </c>
      <c r="I1383" s="18"/>
      <c r="J1383" s="33"/>
      <c r="K1383" s="19" t="s">
        <v>2519</v>
      </c>
      <c r="L1383" s="19" t="s">
        <v>38</v>
      </c>
      <c r="M1383" s="20">
        <f t="shared" si="1"/>
        <v>0</v>
      </c>
      <c r="N1383" s="22"/>
      <c r="O1383" s="19" t="s">
        <v>1145</v>
      </c>
      <c r="P1383" s="18"/>
      <c r="Q1383" s="18"/>
      <c r="R1383" s="23">
        <v>0.0</v>
      </c>
      <c r="S1383" s="23">
        <v>0.0</v>
      </c>
      <c r="T1383" s="23">
        <f t="shared" si="2"/>
        <v>0</v>
      </c>
      <c r="U1383" s="23">
        <f t="shared" si="3"/>
        <v>0</v>
      </c>
      <c r="V1383" s="23">
        <f t="shared" si="4"/>
        <v>0</v>
      </c>
      <c r="W1383" s="24" t="str">
        <f t="shared" si="5"/>
        <v>#DIV/0!</v>
      </c>
    </row>
    <row r="1384" hidden="1">
      <c r="A1384" s="15" t="s">
        <v>3323</v>
      </c>
      <c r="B1384" s="18"/>
      <c r="C1384" s="15" t="s">
        <v>8099</v>
      </c>
      <c r="D1384" s="18"/>
      <c r="E1384" s="17" t="s">
        <v>3324</v>
      </c>
      <c r="F1384" s="18"/>
      <c r="G1384" s="18"/>
      <c r="H1384" s="15" t="s">
        <v>3325</v>
      </c>
      <c r="I1384" s="15" t="s">
        <v>3326</v>
      </c>
      <c r="J1384" s="33"/>
      <c r="K1384" s="19" t="s">
        <v>2401</v>
      </c>
      <c r="L1384" s="19" t="s">
        <v>38</v>
      </c>
      <c r="M1384" s="20">
        <f t="shared" si="1"/>
        <v>0</v>
      </c>
      <c r="N1384" s="22"/>
      <c r="O1384" s="19" t="s">
        <v>1145</v>
      </c>
      <c r="P1384" s="18"/>
      <c r="Q1384" s="18"/>
      <c r="R1384" s="23">
        <v>0.0</v>
      </c>
      <c r="S1384" s="23">
        <v>0.0</v>
      </c>
      <c r="T1384" s="23">
        <f t="shared" si="2"/>
        <v>0</v>
      </c>
      <c r="U1384" s="23">
        <f t="shared" si="3"/>
        <v>0</v>
      </c>
      <c r="V1384" s="23">
        <f t="shared" si="4"/>
        <v>0</v>
      </c>
      <c r="W1384" s="24" t="str">
        <f t="shared" si="5"/>
        <v>#DIV/0!</v>
      </c>
    </row>
    <row r="1385" hidden="1">
      <c r="A1385" s="15" t="s">
        <v>3327</v>
      </c>
      <c r="B1385" s="18"/>
      <c r="C1385" s="15" t="s">
        <v>8100</v>
      </c>
      <c r="D1385" s="18"/>
      <c r="E1385" s="17" t="s">
        <v>3328</v>
      </c>
      <c r="F1385" s="18"/>
      <c r="G1385" s="18"/>
      <c r="H1385" s="15" t="s">
        <v>3329</v>
      </c>
      <c r="I1385" s="18"/>
      <c r="J1385" s="33"/>
      <c r="K1385" s="19" t="s">
        <v>3330</v>
      </c>
      <c r="L1385" s="19" t="s">
        <v>38</v>
      </c>
      <c r="M1385" s="20">
        <f t="shared" si="1"/>
        <v>0</v>
      </c>
      <c r="N1385" s="22"/>
      <c r="O1385" s="19" t="s">
        <v>1145</v>
      </c>
      <c r="P1385" s="18"/>
      <c r="Q1385" s="18"/>
      <c r="R1385" s="23">
        <v>0.0</v>
      </c>
      <c r="S1385" s="23">
        <v>0.0</v>
      </c>
      <c r="T1385" s="23">
        <f t="shared" si="2"/>
        <v>0</v>
      </c>
      <c r="U1385" s="23">
        <f t="shared" si="3"/>
        <v>0</v>
      </c>
      <c r="V1385" s="23">
        <f t="shared" si="4"/>
        <v>0</v>
      </c>
      <c r="W1385" s="24" t="str">
        <f t="shared" si="5"/>
        <v>#DIV/0!</v>
      </c>
    </row>
    <row r="1386" hidden="1">
      <c r="A1386" s="15" t="s">
        <v>3331</v>
      </c>
      <c r="B1386" s="18"/>
      <c r="C1386" s="15" t="s">
        <v>8101</v>
      </c>
      <c r="D1386" s="18"/>
      <c r="E1386" s="17" t="s">
        <v>3332</v>
      </c>
      <c r="F1386" s="18"/>
      <c r="G1386" s="18"/>
      <c r="H1386" s="15" t="s">
        <v>3333</v>
      </c>
      <c r="I1386" s="18"/>
      <c r="J1386" s="33"/>
      <c r="K1386" s="19" t="s">
        <v>3334</v>
      </c>
      <c r="L1386" s="19" t="s">
        <v>38</v>
      </c>
      <c r="M1386" s="20">
        <f t="shared" si="1"/>
        <v>0</v>
      </c>
      <c r="N1386" s="22"/>
      <c r="O1386" s="19" t="s">
        <v>1145</v>
      </c>
      <c r="P1386" s="18"/>
      <c r="Q1386" s="18"/>
      <c r="R1386" s="23">
        <v>0.0</v>
      </c>
      <c r="S1386" s="23">
        <v>0.0</v>
      </c>
      <c r="T1386" s="23">
        <f t="shared" si="2"/>
        <v>0</v>
      </c>
      <c r="U1386" s="23">
        <f t="shared" si="3"/>
        <v>0</v>
      </c>
      <c r="V1386" s="23">
        <f t="shared" si="4"/>
        <v>0</v>
      </c>
      <c r="W1386" s="24" t="str">
        <f t="shared" si="5"/>
        <v>#DIV/0!</v>
      </c>
    </row>
    <row r="1387" hidden="1">
      <c r="A1387" s="15" t="s">
        <v>3335</v>
      </c>
      <c r="B1387" s="18"/>
      <c r="C1387" s="15" t="s">
        <v>8102</v>
      </c>
      <c r="D1387" s="18"/>
      <c r="E1387" s="17" t="s">
        <v>3336</v>
      </c>
      <c r="F1387" s="18"/>
      <c r="G1387" s="18"/>
      <c r="H1387" s="15" t="s">
        <v>3337</v>
      </c>
      <c r="I1387" s="18"/>
      <c r="J1387" s="33"/>
      <c r="K1387" s="19" t="s">
        <v>3330</v>
      </c>
      <c r="L1387" s="19" t="s">
        <v>38</v>
      </c>
      <c r="M1387" s="20">
        <f t="shared" si="1"/>
        <v>0</v>
      </c>
      <c r="N1387" s="22"/>
      <c r="O1387" s="19" t="s">
        <v>1145</v>
      </c>
      <c r="P1387" s="18"/>
      <c r="Q1387" s="18"/>
      <c r="R1387" s="23">
        <v>0.0</v>
      </c>
      <c r="S1387" s="23">
        <v>0.0</v>
      </c>
      <c r="T1387" s="23">
        <f t="shared" si="2"/>
        <v>0</v>
      </c>
      <c r="U1387" s="23">
        <f t="shared" si="3"/>
        <v>0</v>
      </c>
      <c r="V1387" s="23">
        <f t="shared" si="4"/>
        <v>0</v>
      </c>
      <c r="W1387" s="24" t="str">
        <f t="shared" si="5"/>
        <v>#DIV/0!</v>
      </c>
    </row>
    <row r="1388" hidden="1">
      <c r="A1388" s="15" t="s">
        <v>3338</v>
      </c>
      <c r="B1388" s="18"/>
      <c r="C1388" s="15" t="s">
        <v>8103</v>
      </c>
      <c r="D1388" s="18"/>
      <c r="E1388" s="17" t="s">
        <v>3339</v>
      </c>
      <c r="F1388" s="18"/>
      <c r="G1388" s="18"/>
      <c r="H1388" s="15" t="s">
        <v>3340</v>
      </c>
      <c r="I1388" s="18"/>
      <c r="J1388" s="33"/>
      <c r="K1388" s="19" t="s">
        <v>691</v>
      </c>
      <c r="L1388" s="19" t="s">
        <v>38</v>
      </c>
      <c r="M1388" s="20">
        <f t="shared" si="1"/>
        <v>0</v>
      </c>
      <c r="N1388" s="22"/>
      <c r="O1388" s="19" t="s">
        <v>1145</v>
      </c>
      <c r="P1388" s="18"/>
      <c r="Q1388" s="18"/>
      <c r="R1388" s="23">
        <v>0.0</v>
      </c>
      <c r="S1388" s="23">
        <v>0.0</v>
      </c>
      <c r="T1388" s="23">
        <f t="shared" si="2"/>
        <v>0</v>
      </c>
      <c r="U1388" s="23">
        <f t="shared" si="3"/>
        <v>0</v>
      </c>
      <c r="V1388" s="23">
        <f t="shared" si="4"/>
        <v>0</v>
      </c>
      <c r="W1388" s="24" t="str">
        <f t="shared" si="5"/>
        <v>#DIV/0!</v>
      </c>
    </row>
    <row r="1389" hidden="1">
      <c r="A1389" s="15" t="s">
        <v>3341</v>
      </c>
      <c r="B1389" s="18"/>
      <c r="C1389" s="15" t="s">
        <v>8104</v>
      </c>
      <c r="D1389" s="18"/>
      <c r="E1389" s="17" t="s">
        <v>3342</v>
      </c>
      <c r="F1389" s="18"/>
      <c r="G1389" s="18"/>
      <c r="H1389" s="15" t="s">
        <v>3343</v>
      </c>
      <c r="I1389" s="18"/>
      <c r="J1389" s="33"/>
      <c r="K1389" s="19" t="s">
        <v>2387</v>
      </c>
      <c r="L1389" s="19" t="s">
        <v>38</v>
      </c>
      <c r="M1389" s="20">
        <f t="shared" si="1"/>
        <v>0</v>
      </c>
      <c r="N1389" s="22"/>
      <c r="O1389" s="19" t="s">
        <v>1145</v>
      </c>
      <c r="P1389" s="18"/>
      <c r="Q1389" s="18"/>
      <c r="R1389" s="23">
        <v>0.0</v>
      </c>
      <c r="S1389" s="23">
        <v>0.0</v>
      </c>
      <c r="T1389" s="23">
        <f t="shared" si="2"/>
        <v>0</v>
      </c>
      <c r="U1389" s="23">
        <f t="shared" si="3"/>
        <v>0</v>
      </c>
      <c r="V1389" s="23">
        <f t="shared" si="4"/>
        <v>0</v>
      </c>
      <c r="W1389" s="24" t="str">
        <f t="shared" si="5"/>
        <v>#DIV/0!</v>
      </c>
    </row>
    <row r="1390" hidden="1">
      <c r="A1390" s="15" t="s">
        <v>3344</v>
      </c>
      <c r="B1390" s="18"/>
      <c r="C1390" s="15" t="s">
        <v>8105</v>
      </c>
      <c r="D1390" s="18"/>
      <c r="E1390" s="17" t="s">
        <v>3345</v>
      </c>
      <c r="F1390" s="18"/>
      <c r="G1390" s="18"/>
      <c r="H1390" s="15" t="s">
        <v>3346</v>
      </c>
      <c r="I1390" s="18"/>
      <c r="J1390" s="33"/>
      <c r="K1390" s="19" t="s">
        <v>2506</v>
      </c>
      <c r="L1390" s="19" t="s">
        <v>38</v>
      </c>
      <c r="M1390" s="20">
        <f t="shared" si="1"/>
        <v>0</v>
      </c>
      <c r="N1390" s="22"/>
      <c r="O1390" s="19" t="s">
        <v>1145</v>
      </c>
      <c r="P1390" s="18"/>
      <c r="Q1390" s="18"/>
      <c r="R1390" s="23">
        <v>0.0</v>
      </c>
      <c r="S1390" s="23">
        <v>0.0</v>
      </c>
      <c r="T1390" s="23">
        <f t="shared" si="2"/>
        <v>0</v>
      </c>
      <c r="U1390" s="23">
        <f t="shared" si="3"/>
        <v>0</v>
      </c>
      <c r="V1390" s="23">
        <f t="shared" si="4"/>
        <v>0</v>
      </c>
      <c r="W1390" s="24" t="str">
        <f t="shared" si="5"/>
        <v>#DIV/0!</v>
      </c>
    </row>
    <row r="1391" hidden="1">
      <c r="A1391" s="15" t="s">
        <v>3347</v>
      </c>
      <c r="B1391" s="18"/>
      <c r="C1391" s="15" t="s">
        <v>8106</v>
      </c>
      <c r="D1391" s="18"/>
      <c r="E1391" s="17" t="s">
        <v>3348</v>
      </c>
      <c r="F1391" s="18"/>
      <c r="G1391" s="18"/>
      <c r="H1391" s="15" t="s">
        <v>3349</v>
      </c>
      <c r="I1391" s="18"/>
      <c r="J1391" s="33"/>
      <c r="K1391" s="19" t="s">
        <v>2506</v>
      </c>
      <c r="L1391" s="19" t="s">
        <v>38</v>
      </c>
      <c r="M1391" s="20">
        <f t="shared" si="1"/>
        <v>0</v>
      </c>
      <c r="N1391" s="22"/>
      <c r="O1391" s="19" t="s">
        <v>1145</v>
      </c>
      <c r="P1391" s="18"/>
      <c r="Q1391" s="18"/>
      <c r="R1391" s="23">
        <v>0.0</v>
      </c>
      <c r="S1391" s="23">
        <v>0.0</v>
      </c>
      <c r="T1391" s="23">
        <f t="shared" si="2"/>
        <v>0</v>
      </c>
      <c r="U1391" s="23">
        <f t="shared" si="3"/>
        <v>0</v>
      </c>
      <c r="V1391" s="23">
        <f t="shared" si="4"/>
        <v>0</v>
      </c>
      <c r="W1391" s="24" t="str">
        <f t="shared" si="5"/>
        <v>#DIV/0!</v>
      </c>
    </row>
    <row r="1392" hidden="1">
      <c r="A1392" s="15" t="s">
        <v>3350</v>
      </c>
      <c r="B1392" s="18"/>
      <c r="C1392" s="15" t="s">
        <v>8107</v>
      </c>
      <c r="D1392" s="18"/>
      <c r="E1392" s="17" t="s">
        <v>3351</v>
      </c>
      <c r="F1392" s="18"/>
      <c r="G1392" s="18"/>
      <c r="H1392" s="15" t="s">
        <v>3352</v>
      </c>
      <c r="I1392" s="18"/>
      <c r="J1392" s="33"/>
      <c r="K1392" s="19" t="s">
        <v>3330</v>
      </c>
      <c r="L1392" s="19" t="s">
        <v>38</v>
      </c>
      <c r="M1392" s="20">
        <f t="shared" si="1"/>
        <v>0</v>
      </c>
      <c r="N1392" s="22"/>
      <c r="O1392" s="19" t="s">
        <v>1145</v>
      </c>
      <c r="P1392" s="18"/>
      <c r="Q1392" s="18"/>
      <c r="R1392" s="23">
        <v>0.0</v>
      </c>
      <c r="S1392" s="23">
        <v>0.0</v>
      </c>
      <c r="T1392" s="23">
        <f t="shared" si="2"/>
        <v>0</v>
      </c>
      <c r="U1392" s="23">
        <f t="shared" si="3"/>
        <v>0</v>
      </c>
      <c r="V1392" s="23">
        <f t="shared" si="4"/>
        <v>0</v>
      </c>
      <c r="W1392" s="24" t="str">
        <f t="shared" si="5"/>
        <v>#DIV/0!</v>
      </c>
    </row>
    <row r="1393" hidden="1">
      <c r="A1393" s="15" t="s">
        <v>3353</v>
      </c>
      <c r="B1393" s="18"/>
      <c r="C1393" s="15" t="s">
        <v>8108</v>
      </c>
      <c r="D1393" s="18"/>
      <c r="E1393" s="17" t="s">
        <v>3354</v>
      </c>
      <c r="F1393" s="18"/>
      <c r="G1393" s="18"/>
      <c r="H1393" s="15" t="s">
        <v>3355</v>
      </c>
      <c r="I1393" s="18"/>
      <c r="J1393" s="33"/>
      <c r="K1393" s="19" t="s">
        <v>691</v>
      </c>
      <c r="L1393" s="19" t="s">
        <v>38</v>
      </c>
      <c r="M1393" s="20">
        <f t="shared" si="1"/>
        <v>0</v>
      </c>
      <c r="N1393" s="22"/>
      <c r="O1393" s="19" t="s">
        <v>1145</v>
      </c>
      <c r="P1393" s="18"/>
      <c r="Q1393" s="18"/>
      <c r="R1393" s="23">
        <v>0.0</v>
      </c>
      <c r="S1393" s="23">
        <v>0.0</v>
      </c>
      <c r="T1393" s="23">
        <f t="shared" si="2"/>
        <v>0</v>
      </c>
      <c r="U1393" s="23">
        <f t="shared" si="3"/>
        <v>0</v>
      </c>
      <c r="V1393" s="23">
        <f t="shared" si="4"/>
        <v>0</v>
      </c>
      <c r="W1393" s="24" t="str">
        <f t="shared" si="5"/>
        <v>#DIV/0!</v>
      </c>
    </row>
    <row r="1394" hidden="1">
      <c r="A1394" s="15" t="s">
        <v>3356</v>
      </c>
      <c r="B1394" s="18"/>
      <c r="C1394" s="15" t="s">
        <v>8109</v>
      </c>
      <c r="D1394" s="18"/>
      <c r="E1394" s="17" t="s">
        <v>3357</v>
      </c>
      <c r="F1394" s="18"/>
      <c r="G1394" s="18"/>
      <c r="H1394" s="15" t="s">
        <v>3358</v>
      </c>
      <c r="I1394" s="18"/>
      <c r="J1394" s="33"/>
      <c r="K1394" s="19" t="s">
        <v>2382</v>
      </c>
      <c r="L1394" s="19" t="s">
        <v>38</v>
      </c>
      <c r="M1394" s="20">
        <f t="shared" si="1"/>
        <v>0</v>
      </c>
      <c r="N1394" s="22"/>
      <c r="O1394" s="19" t="s">
        <v>1145</v>
      </c>
      <c r="P1394" s="18"/>
      <c r="Q1394" s="18"/>
      <c r="R1394" s="23">
        <v>0.0</v>
      </c>
      <c r="S1394" s="23">
        <v>0.0</v>
      </c>
      <c r="T1394" s="23">
        <f t="shared" si="2"/>
        <v>0</v>
      </c>
      <c r="U1394" s="23">
        <f t="shared" si="3"/>
        <v>0</v>
      </c>
      <c r="V1394" s="23">
        <f t="shared" si="4"/>
        <v>0</v>
      </c>
      <c r="W1394" s="24" t="str">
        <f t="shared" si="5"/>
        <v>#DIV/0!</v>
      </c>
    </row>
    <row r="1395" hidden="1">
      <c r="A1395" s="15" t="s">
        <v>3359</v>
      </c>
      <c r="B1395" s="18"/>
      <c r="C1395" s="15" t="s">
        <v>8110</v>
      </c>
      <c r="D1395" s="18"/>
      <c r="E1395" s="17" t="s">
        <v>3360</v>
      </c>
      <c r="F1395" s="18"/>
      <c r="G1395" s="18"/>
      <c r="H1395" s="15" t="s">
        <v>3361</v>
      </c>
      <c r="I1395" s="18"/>
      <c r="J1395" s="33"/>
      <c r="K1395" s="19" t="s">
        <v>3330</v>
      </c>
      <c r="L1395" s="19" t="s">
        <v>38</v>
      </c>
      <c r="M1395" s="20">
        <f t="shared" si="1"/>
        <v>0</v>
      </c>
      <c r="N1395" s="22"/>
      <c r="O1395" s="19" t="s">
        <v>1145</v>
      </c>
      <c r="P1395" s="18"/>
      <c r="Q1395" s="18"/>
      <c r="R1395" s="23">
        <v>0.0</v>
      </c>
      <c r="S1395" s="23">
        <v>0.0</v>
      </c>
      <c r="T1395" s="23">
        <f t="shared" si="2"/>
        <v>0</v>
      </c>
      <c r="U1395" s="23">
        <f t="shared" si="3"/>
        <v>0</v>
      </c>
      <c r="V1395" s="23">
        <f t="shared" si="4"/>
        <v>0</v>
      </c>
      <c r="W1395" s="24" t="str">
        <f t="shared" si="5"/>
        <v>#DIV/0!</v>
      </c>
    </row>
    <row r="1396" hidden="1">
      <c r="A1396" s="15" t="s">
        <v>3362</v>
      </c>
      <c r="B1396" s="18"/>
      <c r="C1396" s="15" t="s">
        <v>8111</v>
      </c>
      <c r="D1396" s="18"/>
      <c r="E1396" s="17" t="s">
        <v>3363</v>
      </c>
      <c r="F1396" s="18"/>
      <c r="G1396" s="18"/>
      <c r="H1396" s="15" t="s">
        <v>3364</v>
      </c>
      <c r="I1396" s="18"/>
      <c r="J1396" s="33"/>
      <c r="K1396" s="19" t="s">
        <v>2387</v>
      </c>
      <c r="L1396" s="19" t="s">
        <v>38</v>
      </c>
      <c r="M1396" s="20">
        <f t="shared" si="1"/>
        <v>0</v>
      </c>
      <c r="N1396" s="22"/>
      <c r="O1396" s="19" t="s">
        <v>1145</v>
      </c>
      <c r="P1396" s="18"/>
      <c r="Q1396" s="18"/>
      <c r="R1396" s="23">
        <v>0.0</v>
      </c>
      <c r="S1396" s="23">
        <v>0.0</v>
      </c>
      <c r="T1396" s="23">
        <f t="shared" si="2"/>
        <v>0</v>
      </c>
      <c r="U1396" s="23">
        <f t="shared" si="3"/>
        <v>0</v>
      </c>
      <c r="V1396" s="23">
        <f t="shared" si="4"/>
        <v>0</v>
      </c>
      <c r="W1396" s="24" t="str">
        <f t="shared" si="5"/>
        <v>#DIV/0!</v>
      </c>
    </row>
    <row r="1397" hidden="1">
      <c r="A1397" s="15" t="s">
        <v>3365</v>
      </c>
      <c r="B1397" s="18"/>
      <c r="C1397" s="15" t="s">
        <v>8112</v>
      </c>
      <c r="D1397" s="18"/>
      <c r="E1397" s="17" t="s">
        <v>3366</v>
      </c>
      <c r="F1397" s="18"/>
      <c r="G1397" s="18"/>
      <c r="H1397" s="15" t="s">
        <v>3367</v>
      </c>
      <c r="I1397" s="18"/>
      <c r="J1397" s="33"/>
      <c r="K1397" s="19" t="s">
        <v>691</v>
      </c>
      <c r="L1397" s="19" t="s">
        <v>38</v>
      </c>
      <c r="M1397" s="20">
        <f t="shared" si="1"/>
        <v>0</v>
      </c>
      <c r="N1397" s="22"/>
      <c r="O1397" s="19" t="s">
        <v>1145</v>
      </c>
      <c r="P1397" s="18"/>
      <c r="Q1397" s="18"/>
      <c r="R1397" s="23">
        <v>0.0</v>
      </c>
      <c r="S1397" s="23">
        <v>0.0</v>
      </c>
      <c r="T1397" s="23">
        <f t="shared" si="2"/>
        <v>0</v>
      </c>
      <c r="U1397" s="23">
        <f t="shared" si="3"/>
        <v>0</v>
      </c>
      <c r="V1397" s="23">
        <f t="shared" si="4"/>
        <v>0</v>
      </c>
      <c r="W1397" s="24" t="str">
        <f t="shared" si="5"/>
        <v>#DIV/0!</v>
      </c>
    </row>
    <row r="1398" hidden="1">
      <c r="A1398" s="15" t="s">
        <v>3368</v>
      </c>
      <c r="B1398" s="18"/>
      <c r="C1398" s="15" t="s">
        <v>8113</v>
      </c>
      <c r="D1398" s="18"/>
      <c r="E1398" s="17" t="s">
        <v>3369</v>
      </c>
      <c r="F1398" s="18"/>
      <c r="G1398" s="18"/>
      <c r="H1398" s="15" t="s">
        <v>3370</v>
      </c>
      <c r="I1398" s="15" t="s">
        <v>3371</v>
      </c>
      <c r="J1398" s="33"/>
      <c r="K1398" s="19" t="s">
        <v>2401</v>
      </c>
      <c r="L1398" s="19" t="s">
        <v>38</v>
      </c>
      <c r="M1398" s="20">
        <f t="shared" si="1"/>
        <v>0</v>
      </c>
      <c r="N1398" s="22"/>
      <c r="O1398" s="19" t="s">
        <v>1145</v>
      </c>
      <c r="P1398" s="18"/>
      <c r="Q1398" s="18"/>
      <c r="R1398" s="23">
        <v>0.0</v>
      </c>
      <c r="S1398" s="23">
        <v>0.0</v>
      </c>
      <c r="T1398" s="23">
        <f t="shared" si="2"/>
        <v>0</v>
      </c>
      <c r="U1398" s="23">
        <f t="shared" si="3"/>
        <v>0</v>
      </c>
      <c r="V1398" s="23">
        <f t="shared" si="4"/>
        <v>0</v>
      </c>
      <c r="W1398" s="24" t="str">
        <f t="shared" si="5"/>
        <v>#DIV/0!</v>
      </c>
    </row>
    <row r="1399" hidden="1">
      <c r="A1399" s="15" t="s">
        <v>3372</v>
      </c>
      <c r="B1399" s="18"/>
      <c r="C1399" s="15" t="s">
        <v>8114</v>
      </c>
      <c r="D1399" s="18"/>
      <c r="E1399" s="17" t="s">
        <v>3373</v>
      </c>
      <c r="F1399" s="18"/>
      <c r="G1399" s="18"/>
      <c r="H1399" s="15" t="s">
        <v>3374</v>
      </c>
      <c r="I1399" s="18"/>
      <c r="J1399" s="33"/>
      <c r="K1399" s="19" t="s">
        <v>2387</v>
      </c>
      <c r="L1399" s="19" t="s">
        <v>38</v>
      </c>
      <c r="M1399" s="20">
        <f t="shared" si="1"/>
        <v>0</v>
      </c>
      <c r="N1399" s="22"/>
      <c r="O1399" s="19" t="s">
        <v>1145</v>
      </c>
      <c r="P1399" s="18"/>
      <c r="Q1399" s="18"/>
      <c r="R1399" s="23">
        <v>0.0</v>
      </c>
      <c r="S1399" s="23">
        <v>0.0</v>
      </c>
      <c r="T1399" s="23">
        <f t="shared" si="2"/>
        <v>0</v>
      </c>
      <c r="U1399" s="23">
        <f t="shared" si="3"/>
        <v>0</v>
      </c>
      <c r="V1399" s="23">
        <f t="shared" si="4"/>
        <v>0</v>
      </c>
      <c r="W1399" s="24" t="str">
        <f t="shared" si="5"/>
        <v>#DIV/0!</v>
      </c>
    </row>
    <row r="1400" hidden="1">
      <c r="A1400" s="15" t="s">
        <v>3375</v>
      </c>
      <c r="B1400" s="18"/>
      <c r="C1400" s="15" t="s">
        <v>8115</v>
      </c>
      <c r="D1400" s="18"/>
      <c r="E1400" s="17" t="s">
        <v>2564</v>
      </c>
      <c r="F1400" s="18"/>
      <c r="G1400" s="18"/>
      <c r="H1400" s="15" t="s">
        <v>3376</v>
      </c>
      <c r="I1400" s="18"/>
      <c r="J1400" s="33"/>
      <c r="K1400" s="19" t="s">
        <v>2387</v>
      </c>
      <c r="L1400" s="19" t="s">
        <v>38</v>
      </c>
      <c r="M1400" s="20">
        <f t="shared" si="1"/>
        <v>0</v>
      </c>
      <c r="N1400" s="22"/>
      <c r="O1400" s="19" t="s">
        <v>1145</v>
      </c>
      <c r="P1400" s="18"/>
      <c r="Q1400" s="18"/>
      <c r="R1400" s="23">
        <v>0.0</v>
      </c>
      <c r="S1400" s="23">
        <v>0.0</v>
      </c>
      <c r="T1400" s="23">
        <f t="shared" si="2"/>
        <v>0</v>
      </c>
      <c r="U1400" s="23">
        <f t="shared" si="3"/>
        <v>0</v>
      </c>
      <c r="V1400" s="23">
        <f t="shared" si="4"/>
        <v>0</v>
      </c>
      <c r="W1400" s="24" t="str">
        <f t="shared" si="5"/>
        <v>#DIV/0!</v>
      </c>
    </row>
    <row r="1401" hidden="1">
      <c r="A1401" s="15" t="s">
        <v>3377</v>
      </c>
      <c r="B1401" s="18"/>
      <c r="C1401" s="15" t="s">
        <v>8116</v>
      </c>
      <c r="D1401" s="18"/>
      <c r="E1401" s="17" t="s">
        <v>3378</v>
      </c>
      <c r="F1401" s="18"/>
      <c r="G1401" s="18"/>
      <c r="H1401" s="15" t="s">
        <v>3379</v>
      </c>
      <c r="I1401" s="18"/>
      <c r="J1401" s="33"/>
      <c r="K1401" s="19" t="s">
        <v>2387</v>
      </c>
      <c r="L1401" s="19" t="s">
        <v>38</v>
      </c>
      <c r="M1401" s="20">
        <f t="shared" si="1"/>
        <v>0</v>
      </c>
      <c r="N1401" s="22"/>
      <c r="O1401" s="19" t="s">
        <v>1145</v>
      </c>
      <c r="P1401" s="18"/>
      <c r="Q1401" s="18"/>
      <c r="R1401" s="23">
        <v>0.0</v>
      </c>
      <c r="S1401" s="23">
        <v>0.0</v>
      </c>
      <c r="T1401" s="23">
        <f t="shared" si="2"/>
        <v>0</v>
      </c>
      <c r="U1401" s="23">
        <f t="shared" si="3"/>
        <v>0</v>
      </c>
      <c r="V1401" s="23">
        <f t="shared" si="4"/>
        <v>0</v>
      </c>
      <c r="W1401" s="24" t="str">
        <f t="shared" si="5"/>
        <v>#DIV/0!</v>
      </c>
    </row>
    <row r="1402" hidden="1">
      <c r="A1402" s="15" t="s">
        <v>3380</v>
      </c>
      <c r="B1402" s="18"/>
      <c r="C1402" s="15" t="s">
        <v>8117</v>
      </c>
      <c r="D1402" s="18"/>
      <c r="E1402" s="17" t="s">
        <v>3381</v>
      </c>
      <c r="F1402" s="18"/>
      <c r="G1402" s="18"/>
      <c r="H1402" s="15" t="s">
        <v>3382</v>
      </c>
      <c r="I1402" s="18"/>
      <c r="J1402" s="33"/>
      <c r="K1402" s="19" t="s">
        <v>2387</v>
      </c>
      <c r="L1402" s="19" t="s">
        <v>38</v>
      </c>
      <c r="M1402" s="20">
        <f t="shared" si="1"/>
        <v>0</v>
      </c>
      <c r="N1402" s="22"/>
      <c r="O1402" s="19" t="s">
        <v>1145</v>
      </c>
      <c r="P1402" s="18"/>
      <c r="Q1402" s="18"/>
      <c r="R1402" s="23">
        <v>0.0</v>
      </c>
      <c r="S1402" s="23">
        <v>0.0</v>
      </c>
      <c r="T1402" s="23">
        <f t="shared" si="2"/>
        <v>0</v>
      </c>
      <c r="U1402" s="23">
        <f t="shared" si="3"/>
        <v>0</v>
      </c>
      <c r="V1402" s="23">
        <f t="shared" si="4"/>
        <v>0</v>
      </c>
      <c r="W1402" s="24" t="str">
        <f t="shared" si="5"/>
        <v>#DIV/0!</v>
      </c>
    </row>
    <row r="1403" hidden="1">
      <c r="A1403" s="15" t="s">
        <v>3383</v>
      </c>
      <c r="B1403" s="18"/>
      <c r="C1403" s="15" t="s">
        <v>8118</v>
      </c>
      <c r="D1403" s="18"/>
      <c r="E1403" s="17" t="s">
        <v>3384</v>
      </c>
      <c r="F1403" s="18"/>
      <c r="G1403" s="18"/>
      <c r="H1403" s="15" t="s">
        <v>3385</v>
      </c>
      <c r="I1403" s="18"/>
      <c r="J1403" s="33"/>
      <c r="K1403" s="19" t="s">
        <v>2387</v>
      </c>
      <c r="L1403" s="19" t="s">
        <v>38</v>
      </c>
      <c r="M1403" s="20">
        <f t="shared" si="1"/>
        <v>0</v>
      </c>
      <c r="N1403" s="22"/>
      <c r="O1403" s="19" t="s">
        <v>1145</v>
      </c>
      <c r="P1403" s="18"/>
      <c r="Q1403" s="18"/>
      <c r="R1403" s="23">
        <v>0.0</v>
      </c>
      <c r="S1403" s="23">
        <v>0.0</v>
      </c>
      <c r="T1403" s="23">
        <f t="shared" si="2"/>
        <v>0</v>
      </c>
      <c r="U1403" s="23">
        <f t="shared" si="3"/>
        <v>0</v>
      </c>
      <c r="V1403" s="23">
        <f t="shared" si="4"/>
        <v>0</v>
      </c>
      <c r="W1403" s="24" t="str">
        <f t="shared" si="5"/>
        <v>#DIV/0!</v>
      </c>
    </row>
    <row r="1404" hidden="1">
      <c r="A1404" s="15" t="s">
        <v>3386</v>
      </c>
      <c r="B1404" s="18"/>
      <c r="C1404" s="15" t="s">
        <v>8119</v>
      </c>
      <c r="D1404" s="18"/>
      <c r="E1404" s="17" t="s">
        <v>3387</v>
      </c>
      <c r="F1404" s="18"/>
      <c r="G1404" s="18"/>
      <c r="H1404" s="15" t="s">
        <v>3388</v>
      </c>
      <c r="I1404" s="15" t="s">
        <v>3389</v>
      </c>
      <c r="J1404" s="33"/>
      <c r="K1404" s="19" t="s">
        <v>2396</v>
      </c>
      <c r="L1404" s="19" t="s">
        <v>38</v>
      </c>
      <c r="M1404" s="20">
        <f t="shared" si="1"/>
        <v>0</v>
      </c>
      <c r="N1404" s="22"/>
      <c r="O1404" s="19" t="s">
        <v>1145</v>
      </c>
      <c r="P1404" s="18"/>
      <c r="Q1404" s="18"/>
      <c r="R1404" s="23">
        <v>0.0</v>
      </c>
      <c r="S1404" s="23">
        <v>0.0</v>
      </c>
      <c r="T1404" s="23">
        <f t="shared" si="2"/>
        <v>0</v>
      </c>
      <c r="U1404" s="23">
        <f t="shared" si="3"/>
        <v>0</v>
      </c>
      <c r="V1404" s="23">
        <f t="shared" si="4"/>
        <v>0</v>
      </c>
      <c r="W1404" s="24" t="str">
        <f t="shared" si="5"/>
        <v>#DIV/0!</v>
      </c>
    </row>
    <row r="1405" hidden="1">
      <c r="A1405" s="15" t="s">
        <v>3390</v>
      </c>
      <c r="B1405" s="18"/>
      <c r="C1405" s="15" t="s">
        <v>8120</v>
      </c>
      <c r="D1405" s="18"/>
      <c r="E1405" s="17" t="s">
        <v>3391</v>
      </c>
      <c r="F1405" s="18"/>
      <c r="G1405" s="18"/>
      <c r="H1405" s="15" t="s">
        <v>3392</v>
      </c>
      <c r="I1405" s="15" t="s">
        <v>3393</v>
      </c>
      <c r="J1405" s="33"/>
      <c r="K1405" s="19" t="s">
        <v>2396</v>
      </c>
      <c r="L1405" s="19" t="s">
        <v>38</v>
      </c>
      <c r="M1405" s="20">
        <f t="shared" si="1"/>
        <v>0</v>
      </c>
      <c r="N1405" s="22"/>
      <c r="O1405" s="19" t="s">
        <v>1145</v>
      </c>
      <c r="P1405" s="18"/>
      <c r="Q1405" s="18"/>
      <c r="R1405" s="23">
        <v>0.0</v>
      </c>
      <c r="S1405" s="23">
        <v>0.0</v>
      </c>
      <c r="T1405" s="23">
        <f t="shared" si="2"/>
        <v>0</v>
      </c>
      <c r="U1405" s="23">
        <f t="shared" si="3"/>
        <v>0</v>
      </c>
      <c r="V1405" s="23">
        <f t="shared" si="4"/>
        <v>0</v>
      </c>
      <c r="W1405" s="24" t="str">
        <f t="shared" si="5"/>
        <v>#DIV/0!</v>
      </c>
    </row>
    <row r="1406">
      <c r="A1406" s="15" t="s">
        <v>5231</v>
      </c>
      <c r="B1406" s="18"/>
      <c r="C1406" s="15" t="s">
        <v>7937</v>
      </c>
      <c r="D1406" s="18"/>
      <c r="E1406" s="17" t="s">
        <v>5232</v>
      </c>
      <c r="F1406" s="18"/>
      <c r="G1406" s="18"/>
      <c r="H1406" s="15" t="s">
        <v>5233</v>
      </c>
      <c r="I1406" s="15" t="s">
        <v>3869</v>
      </c>
      <c r="J1406" s="19" t="s">
        <v>59</v>
      </c>
      <c r="K1406" s="19" t="s">
        <v>2396</v>
      </c>
      <c r="L1406" s="19" t="s">
        <v>38</v>
      </c>
      <c r="M1406" s="20">
        <f t="shared" si="1"/>
        <v>0</v>
      </c>
      <c r="N1406" s="22"/>
      <c r="O1406" s="19" t="s">
        <v>3578</v>
      </c>
      <c r="P1406" s="18"/>
      <c r="Q1406" s="18"/>
      <c r="R1406" s="23">
        <v>0.0</v>
      </c>
      <c r="S1406" s="23">
        <v>0.0</v>
      </c>
      <c r="T1406" s="23">
        <f t="shared" si="2"/>
        <v>0</v>
      </c>
      <c r="U1406" s="23">
        <f t="shared" si="3"/>
        <v>0</v>
      </c>
      <c r="V1406" s="23">
        <f t="shared" si="4"/>
        <v>0</v>
      </c>
      <c r="W1406" s="24" t="str">
        <f t="shared" si="5"/>
        <v>#DIV/0!</v>
      </c>
    </row>
    <row r="1407" hidden="1">
      <c r="A1407" s="15" t="s">
        <v>3394</v>
      </c>
      <c r="B1407" s="18"/>
      <c r="C1407" s="15" t="s">
        <v>8121</v>
      </c>
      <c r="D1407" s="18"/>
      <c r="E1407" s="17" t="s">
        <v>3395</v>
      </c>
      <c r="F1407" s="18"/>
      <c r="G1407" s="18"/>
      <c r="H1407" s="15" t="s">
        <v>3396</v>
      </c>
      <c r="I1407" s="18"/>
      <c r="J1407" s="33"/>
      <c r="K1407" s="19" t="s">
        <v>3330</v>
      </c>
      <c r="L1407" s="19" t="s">
        <v>38</v>
      </c>
      <c r="M1407" s="20">
        <f t="shared" si="1"/>
        <v>0</v>
      </c>
      <c r="N1407" s="22"/>
      <c r="O1407" s="19" t="s">
        <v>1145</v>
      </c>
      <c r="P1407" s="18"/>
      <c r="Q1407" s="18"/>
      <c r="R1407" s="23">
        <v>0.0</v>
      </c>
      <c r="S1407" s="23">
        <v>0.0</v>
      </c>
      <c r="T1407" s="23">
        <f t="shared" si="2"/>
        <v>0</v>
      </c>
      <c r="U1407" s="23">
        <f t="shared" si="3"/>
        <v>0</v>
      </c>
      <c r="V1407" s="23">
        <f t="shared" si="4"/>
        <v>0</v>
      </c>
      <c r="W1407" s="24" t="str">
        <f t="shared" si="5"/>
        <v>#DIV/0!</v>
      </c>
    </row>
    <row r="1408" hidden="1">
      <c r="A1408" s="15" t="s">
        <v>3397</v>
      </c>
      <c r="B1408" s="18"/>
      <c r="C1408" s="15" t="s">
        <v>8122</v>
      </c>
      <c r="D1408" s="18"/>
      <c r="E1408" s="17" t="s">
        <v>3398</v>
      </c>
      <c r="F1408" s="18"/>
      <c r="G1408" s="18"/>
      <c r="H1408" s="15" t="s">
        <v>3399</v>
      </c>
      <c r="I1408" s="18"/>
      <c r="J1408" s="33"/>
      <c r="K1408" s="19" t="s">
        <v>3400</v>
      </c>
      <c r="L1408" s="19" t="s">
        <v>38</v>
      </c>
      <c r="M1408" s="20">
        <f t="shared" si="1"/>
        <v>0</v>
      </c>
      <c r="N1408" s="22"/>
      <c r="O1408" s="19" t="s">
        <v>1145</v>
      </c>
      <c r="P1408" s="18"/>
      <c r="Q1408" s="18"/>
      <c r="R1408" s="23">
        <v>0.0</v>
      </c>
      <c r="S1408" s="23">
        <v>0.0</v>
      </c>
      <c r="T1408" s="23">
        <f t="shared" si="2"/>
        <v>0</v>
      </c>
      <c r="U1408" s="23">
        <f t="shared" si="3"/>
        <v>0</v>
      </c>
      <c r="V1408" s="23">
        <f t="shared" si="4"/>
        <v>0</v>
      </c>
      <c r="W1408" s="24" t="str">
        <f t="shared" si="5"/>
        <v>#DIV/0!</v>
      </c>
    </row>
    <row r="1409" hidden="1">
      <c r="A1409" s="15" t="s">
        <v>3401</v>
      </c>
      <c r="B1409" s="18"/>
      <c r="C1409" s="15" t="s">
        <v>8123</v>
      </c>
      <c r="D1409" s="18"/>
      <c r="E1409" s="17" t="s">
        <v>3402</v>
      </c>
      <c r="F1409" s="18"/>
      <c r="G1409" s="18"/>
      <c r="H1409" s="15" t="s">
        <v>3403</v>
      </c>
      <c r="I1409" s="18"/>
      <c r="J1409" s="33"/>
      <c r="K1409" s="19" t="s">
        <v>2387</v>
      </c>
      <c r="L1409" s="19" t="s">
        <v>38</v>
      </c>
      <c r="M1409" s="20">
        <f t="shared" si="1"/>
        <v>0</v>
      </c>
      <c r="N1409" s="22"/>
      <c r="O1409" s="19" t="s">
        <v>1145</v>
      </c>
      <c r="P1409" s="18"/>
      <c r="Q1409" s="18"/>
      <c r="R1409" s="23">
        <v>0.0</v>
      </c>
      <c r="S1409" s="23">
        <v>0.0</v>
      </c>
      <c r="T1409" s="23">
        <f t="shared" si="2"/>
        <v>0</v>
      </c>
      <c r="U1409" s="23">
        <f t="shared" si="3"/>
        <v>0</v>
      </c>
      <c r="V1409" s="23">
        <f t="shared" si="4"/>
        <v>0</v>
      </c>
      <c r="W1409" s="24" t="str">
        <f t="shared" si="5"/>
        <v>#DIV/0!</v>
      </c>
    </row>
    <row r="1410" hidden="1">
      <c r="A1410" s="15" t="s">
        <v>3404</v>
      </c>
      <c r="B1410" s="18"/>
      <c r="C1410" s="15" t="s">
        <v>8124</v>
      </c>
      <c r="D1410" s="18"/>
      <c r="E1410" s="17" t="s">
        <v>3405</v>
      </c>
      <c r="F1410" s="18"/>
      <c r="G1410" s="18"/>
      <c r="H1410" s="15" t="s">
        <v>3406</v>
      </c>
      <c r="I1410" s="18"/>
      <c r="J1410" s="33"/>
      <c r="K1410" s="19" t="s">
        <v>2382</v>
      </c>
      <c r="L1410" s="19" t="s">
        <v>38</v>
      </c>
      <c r="M1410" s="20">
        <f t="shared" si="1"/>
        <v>0</v>
      </c>
      <c r="N1410" s="22"/>
      <c r="O1410" s="19" t="s">
        <v>1145</v>
      </c>
      <c r="P1410" s="18"/>
      <c r="Q1410" s="18"/>
      <c r="R1410" s="23">
        <v>0.0</v>
      </c>
      <c r="S1410" s="23">
        <v>0.0</v>
      </c>
      <c r="T1410" s="23">
        <f t="shared" si="2"/>
        <v>0</v>
      </c>
      <c r="U1410" s="23">
        <f t="shared" si="3"/>
        <v>0</v>
      </c>
      <c r="V1410" s="23">
        <f t="shared" si="4"/>
        <v>0</v>
      </c>
      <c r="W1410" s="24" t="str">
        <f t="shared" si="5"/>
        <v>#DIV/0!</v>
      </c>
    </row>
    <row r="1411" hidden="1">
      <c r="A1411" s="15" t="s">
        <v>3407</v>
      </c>
      <c r="B1411" s="18"/>
      <c r="C1411" s="15" t="s">
        <v>8125</v>
      </c>
      <c r="D1411" s="18"/>
      <c r="E1411" s="17" t="s">
        <v>3408</v>
      </c>
      <c r="F1411" s="18"/>
      <c r="G1411" s="18"/>
      <c r="H1411" s="15" t="s">
        <v>3409</v>
      </c>
      <c r="I1411" s="18"/>
      <c r="J1411" s="33"/>
      <c r="K1411" s="19" t="s">
        <v>2382</v>
      </c>
      <c r="L1411" s="19" t="s">
        <v>38</v>
      </c>
      <c r="M1411" s="20">
        <f t="shared" si="1"/>
        <v>0</v>
      </c>
      <c r="N1411" s="22"/>
      <c r="O1411" s="19" t="s">
        <v>1145</v>
      </c>
      <c r="P1411" s="18"/>
      <c r="Q1411" s="18"/>
      <c r="R1411" s="23">
        <v>0.0</v>
      </c>
      <c r="S1411" s="23">
        <v>0.0</v>
      </c>
      <c r="T1411" s="23">
        <f t="shared" si="2"/>
        <v>0</v>
      </c>
      <c r="U1411" s="23">
        <f t="shared" si="3"/>
        <v>0</v>
      </c>
      <c r="V1411" s="23">
        <f t="shared" si="4"/>
        <v>0</v>
      </c>
      <c r="W1411" s="24" t="str">
        <f t="shared" si="5"/>
        <v>#DIV/0!</v>
      </c>
    </row>
    <row r="1412" hidden="1">
      <c r="A1412" s="15" t="s">
        <v>3410</v>
      </c>
      <c r="B1412" s="18"/>
      <c r="C1412" s="15" t="s">
        <v>8126</v>
      </c>
      <c r="D1412" s="18"/>
      <c r="E1412" s="17" t="s">
        <v>3411</v>
      </c>
      <c r="F1412" s="18"/>
      <c r="G1412" s="18"/>
      <c r="H1412" s="15" t="s">
        <v>3412</v>
      </c>
      <c r="I1412" s="18"/>
      <c r="J1412" s="33"/>
      <c r="K1412" s="19" t="s">
        <v>2387</v>
      </c>
      <c r="L1412" s="19" t="s">
        <v>38</v>
      </c>
      <c r="M1412" s="20">
        <f t="shared" si="1"/>
        <v>0</v>
      </c>
      <c r="N1412" s="22"/>
      <c r="O1412" s="19" t="s">
        <v>1145</v>
      </c>
      <c r="P1412" s="18"/>
      <c r="Q1412" s="18"/>
      <c r="R1412" s="23">
        <v>0.0</v>
      </c>
      <c r="S1412" s="23">
        <v>0.0</v>
      </c>
      <c r="T1412" s="23">
        <f t="shared" si="2"/>
        <v>0</v>
      </c>
      <c r="U1412" s="23">
        <f t="shared" si="3"/>
        <v>0</v>
      </c>
      <c r="V1412" s="23">
        <f t="shared" si="4"/>
        <v>0</v>
      </c>
      <c r="W1412" s="24" t="str">
        <f t="shared" si="5"/>
        <v>#DIV/0!</v>
      </c>
    </row>
    <row r="1413" hidden="1">
      <c r="A1413" s="15" t="s">
        <v>3413</v>
      </c>
      <c r="B1413" s="18"/>
      <c r="C1413" s="15" t="s">
        <v>8127</v>
      </c>
      <c r="D1413" s="18"/>
      <c r="E1413" s="17" t="s">
        <v>3414</v>
      </c>
      <c r="F1413" s="18"/>
      <c r="G1413" s="18"/>
      <c r="H1413" s="15" t="s">
        <v>3415</v>
      </c>
      <c r="I1413" s="18"/>
      <c r="J1413" s="33"/>
      <c r="K1413" s="19" t="s">
        <v>2506</v>
      </c>
      <c r="L1413" s="19" t="s">
        <v>38</v>
      </c>
      <c r="M1413" s="20">
        <f t="shared" si="1"/>
        <v>0</v>
      </c>
      <c r="N1413" s="22"/>
      <c r="O1413" s="19" t="s">
        <v>1145</v>
      </c>
      <c r="P1413" s="18"/>
      <c r="Q1413" s="18"/>
      <c r="R1413" s="23">
        <v>0.0</v>
      </c>
      <c r="S1413" s="23">
        <v>0.0</v>
      </c>
      <c r="T1413" s="23">
        <f t="shared" si="2"/>
        <v>0</v>
      </c>
      <c r="U1413" s="23">
        <f t="shared" si="3"/>
        <v>0</v>
      </c>
      <c r="V1413" s="23">
        <f t="shared" si="4"/>
        <v>0</v>
      </c>
      <c r="W1413" s="24" t="str">
        <f t="shared" si="5"/>
        <v>#DIV/0!</v>
      </c>
    </row>
    <row r="1414" hidden="1">
      <c r="A1414" s="15" t="s">
        <v>3416</v>
      </c>
      <c r="B1414" s="18"/>
      <c r="C1414" s="15" t="s">
        <v>8128</v>
      </c>
      <c r="D1414" s="18"/>
      <c r="E1414" s="17" t="s">
        <v>3417</v>
      </c>
      <c r="F1414" s="18"/>
      <c r="G1414" s="18"/>
      <c r="H1414" s="15" t="s">
        <v>3418</v>
      </c>
      <c r="I1414" s="18"/>
      <c r="J1414" s="33"/>
      <c r="K1414" s="19" t="s">
        <v>2401</v>
      </c>
      <c r="L1414" s="19" t="s">
        <v>38</v>
      </c>
      <c r="M1414" s="20">
        <f t="shared" si="1"/>
        <v>0</v>
      </c>
      <c r="N1414" s="22"/>
      <c r="O1414" s="19" t="s">
        <v>1145</v>
      </c>
      <c r="P1414" s="18"/>
      <c r="Q1414" s="18"/>
      <c r="R1414" s="23">
        <v>0.0</v>
      </c>
      <c r="S1414" s="23">
        <v>0.0</v>
      </c>
      <c r="T1414" s="23">
        <f t="shared" si="2"/>
        <v>0</v>
      </c>
      <c r="U1414" s="23">
        <f t="shared" si="3"/>
        <v>0</v>
      </c>
      <c r="V1414" s="23">
        <f t="shared" si="4"/>
        <v>0</v>
      </c>
      <c r="W1414" s="24" t="str">
        <f t="shared" si="5"/>
        <v>#DIV/0!</v>
      </c>
    </row>
    <row r="1415" hidden="1">
      <c r="A1415" s="15" t="s">
        <v>3419</v>
      </c>
      <c r="B1415" s="18"/>
      <c r="C1415" s="15" t="s">
        <v>8129</v>
      </c>
      <c r="D1415" s="18"/>
      <c r="E1415" s="17" t="s">
        <v>3420</v>
      </c>
      <c r="F1415" s="18"/>
      <c r="G1415" s="18"/>
      <c r="H1415" s="15" t="s">
        <v>3421</v>
      </c>
      <c r="I1415" s="18"/>
      <c r="J1415" s="33"/>
      <c r="K1415" s="19" t="s">
        <v>2401</v>
      </c>
      <c r="L1415" s="19" t="s">
        <v>38</v>
      </c>
      <c r="M1415" s="20">
        <f t="shared" si="1"/>
        <v>0</v>
      </c>
      <c r="N1415" s="22"/>
      <c r="O1415" s="19" t="s">
        <v>1145</v>
      </c>
      <c r="P1415" s="18"/>
      <c r="Q1415" s="18"/>
      <c r="R1415" s="23">
        <v>0.0</v>
      </c>
      <c r="S1415" s="23">
        <v>0.0</v>
      </c>
      <c r="T1415" s="23">
        <f t="shared" si="2"/>
        <v>0</v>
      </c>
      <c r="U1415" s="23">
        <f t="shared" si="3"/>
        <v>0</v>
      </c>
      <c r="V1415" s="23">
        <f t="shared" si="4"/>
        <v>0</v>
      </c>
      <c r="W1415" s="24" t="str">
        <f t="shared" si="5"/>
        <v>#DIV/0!</v>
      </c>
    </row>
    <row r="1416" hidden="1">
      <c r="A1416" s="15" t="s">
        <v>3422</v>
      </c>
      <c r="B1416" s="18"/>
      <c r="C1416" s="15" t="s">
        <v>8130</v>
      </c>
      <c r="D1416" s="18"/>
      <c r="E1416" s="17" t="s">
        <v>3423</v>
      </c>
      <c r="F1416" s="18"/>
      <c r="G1416" s="18"/>
      <c r="H1416" s="15" t="s">
        <v>3424</v>
      </c>
      <c r="I1416" s="15" t="s">
        <v>3425</v>
      </c>
      <c r="J1416" s="33"/>
      <c r="K1416" s="19" t="s">
        <v>691</v>
      </c>
      <c r="L1416" s="19" t="s">
        <v>38</v>
      </c>
      <c r="M1416" s="20">
        <f t="shared" si="1"/>
        <v>0</v>
      </c>
      <c r="N1416" s="22"/>
      <c r="O1416" s="19" t="s">
        <v>1145</v>
      </c>
      <c r="P1416" s="18"/>
      <c r="Q1416" s="18"/>
      <c r="R1416" s="23">
        <v>0.0</v>
      </c>
      <c r="S1416" s="23">
        <v>0.0</v>
      </c>
      <c r="T1416" s="23">
        <f t="shared" si="2"/>
        <v>0</v>
      </c>
      <c r="U1416" s="23">
        <f t="shared" si="3"/>
        <v>0</v>
      </c>
      <c r="V1416" s="23">
        <f t="shared" si="4"/>
        <v>0</v>
      </c>
      <c r="W1416" s="24" t="str">
        <f t="shared" si="5"/>
        <v>#DIV/0!</v>
      </c>
    </row>
    <row r="1417" hidden="1">
      <c r="A1417" s="15" t="s">
        <v>3426</v>
      </c>
      <c r="B1417" s="18"/>
      <c r="C1417" s="15" t="s">
        <v>8131</v>
      </c>
      <c r="D1417" s="18"/>
      <c r="E1417" s="17" t="s">
        <v>3427</v>
      </c>
      <c r="F1417" s="18"/>
      <c r="G1417" s="18"/>
      <c r="H1417" s="15" t="s">
        <v>3428</v>
      </c>
      <c r="I1417" s="15" t="s">
        <v>3429</v>
      </c>
      <c r="J1417" s="33"/>
      <c r="K1417" s="19" t="s">
        <v>2396</v>
      </c>
      <c r="L1417" s="19" t="s">
        <v>38</v>
      </c>
      <c r="M1417" s="20">
        <f t="shared" si="1"/>
        <v>0</v>
      </c>
      <c r="N1417" s="22"/>
      <c r="O1417" s="19" t="s">
        <v>1145</v>
      </c>
      <c r="P1417" s="18"/>
      <c r="Q1417" s="18"/>
      <c r="R1417" s="23">
        <v>0.0</v>
      </c>
      <c r="S1417" s="23">
        <v>0.0</v>
      </c>
      <c r="T1417" s="23">
        <f t="shared" si="2"/>
        <v>0</v>
      </c>
      <c r="U1417" s="23">
        <f t="shared" si="3"/>
        <v>0</v>
      </c>
      <c r="V1417" s="23">
        <f t="shared" si="4"/>
        <v>0</v>
      </c>
      <c r="W1417" s="24" t="str">
        <f t="shared" si="5"/>
        <v>#DIV/0!</v>
      </c>
    </row>
    <row r="1418" hidden="1">
      <c r="A1418" s="15" t="s">
        <v>3430</v>
      </c>
      <c r="B1418" s="18"/>
      <c r="C1418" s="15" t="s">
        <v>8132</v>
      </c>
      <c r="D1418" s="18"/>
      <c r="E1418" s="17" t="s">
        <v>3431</v>
      </c>
      <c r="F1418" s="18"/>
      <c r="G1418" s="18"/>
      <c r="H1418" s="15" t="s">
        <v>3432</v>
      </c>
      <c r="I1418" s="18"/>
      <c r="J1418" s="33"/>
      <c r="K1418" s="19" t="s">
        <v>2401</v>
      </c>
      <c r="L1418" s="19" t="s">
        <v>38</v>
      </c>
      <c r="M1418" s="20">
        <f t="shared" si="1"/>
        <v>0</v>
      </c>
      <c r="N1418" s="22"/>
      <c r="O1418" s="19" t="s">
        <v>1145</v>
      </c>
      <c r="P1418" s="18"/>
      <c r="Q1418" s="18"/>
      <c r="R1418" s="23">
        <v>0.0</v>
      </c>
      <c r="S1418" s="23">
        <v>0.0</v>
      </c>
      <c r="T1418" s="23">
        <f t="shared" si="2"/>
        <v>0</v>
      </c>
      <c r="U1418" s="23">
        <f t="shared" si="3"/>
        <v>0</v>
      </c>
      <c r="V1418" s="23">
        <f t="shared" si="4"/>
        <v>0</v>
      </c>
      <c r="W1418" s="24" t="str">
        <f t="shared" si="5"/>
        <v>#DIV/0!</v>
      </c>
    </row>
    <row r="1419" hidden="1">
      <c r="A1419" s="15" t="s">
        <v>3433</v>
      </c>
      <c r="B1419" s="18"/>
      <c r="C1419" s="15" t="s">
        <v>8133</v>
      </c>
      <c r="D1419" s="18"/>
      <c r="E1419" s="17" t="s">
        <v>3434</v>
      </c>
      <c r="F1419" s="18"/>
      <c r="G1419" s="18"/>
      <c r="H1419" s="15" t="s">
        <v>3435</v>
      </c>
      <c r="I1419" s="15" t="s">
        <v>3436</v>
      </c>
      <c r="J1419" s="33"/>
      <c r="K1419" s="19" t="s">
        <v>2401</v>
      </c>
      <c r="L1419" s="19" t="s">
        <v>38</v>
      </c>
      <c r="M1419" s="20">
        <f t="shared" si="1"/>
        <v>0</v>
      </c>
      <c r="N1419" s="22"/>
      <c r="O1419" s="19" t="s">
        <v>1145</v>
      </c>
      <c r="P1419" s="18"/>
      <c r="Q1419" s="18"/>
      <c r="R1419" s="23">
        <v>0.0</v>
      </c>
      <c r="S1419" s="23">
        <v>0.0</v>
      </c>
      <c r="T1419" s="23">
        <f t="shared" si="2"/>
        <v>0</v>
      </c>
      <c r="U1419" s="23">
        <f t="shared" si="3"/>
        <v>0</v>
      </c>
      <c r="V1419" s="23">
        <f t="shared" si="4"/>
        <v>0</v>
      </c>
      <c r="W1419" s="24" t="str">
        <f t="shared" si="5"/>
        <v>#DIV/0!</v>
      </c>
    </row>
    <row r="1420" hidden="1">
      <c r="A1420" s="15" t="s">
        <v>3437</v>
      </c>
      <c r="B1420" s="18"/>
      <c r="C1420" s="15" t="s">
        <v>8134</v>
      </c>
      <c r="D1420" s="18"/>
      <c r="E1420" s="17" t="s">
        <v>3438</v>
      </c>
      <c r="F1420" s="18"/>
      <c r="G1420" s="18"/>
      <c r="H1420" s="15" t="s">
        <v>3439</v>
      </c>
      <c r="I1420" s="15" t="s">
        <v>3436</v>
      </c>
      <c r="J1420" s="33"/>
      <c r="K1420" s="19" t="s">
        <v>2401</v>
      </c>
      <c r="L1420" s="19" t="s">
        <v>38</v>
      </c>
      <c r="M1420" s="20">
        <f t="shared" si="1"/>
        <v>0</v>
      </c>
      <c r="N1420" s="22"/>
      <c r="O1420" s="19" t="s">
        <v>1145</v>
      </c>
      <c r="P1420" s="18"/>
      <c r="Q1420" s="18"/>
      <c r="R1420" s="23">
        <v>0.0</v>
      </c>
      <c r="S1420" s="23">
        <v>0.0</v>
      </c>
      <c r="T1420" s="23">
        <f t="shared" si="2"/>
        <v>0</v>
      </c>
      <c r="U1420" s="23">
        <f t="shared" si="3"/>
        <v>0</v>
      </c>
      <c r="V1420" s="23">
        <f t="shared" si="4"/>
        <v>0</v>
      </c>
      <c r="W1420" s="24" t="str">
        <f t="shared" si="5"/>
        <v>#DIV/0!</v>
      </c>
    </row>
    <row r="1421" hidden="1">
      <c r="A1421" s="15" t="s">
        <v>3440</v>
      </c>
      <c r="B1421" s="18"/>
      <c r="C1421" s="15" t="s">
        <v>8135</v>
      </c>
      <c r="D1421" s="18"/>
      <c r="E1421" s="17" t="s">
        <v>3441</v>
      </c>
      <c r="F1421" s="18"/>
      <c r="G1421" s="18"/>
      <c r="H1421" s="15" t="s">
        <v>3442</v>
      </c>
      <c r="I1421" s="15" t="s">
        <v>3443</v>
      </c>
      <c r="J1421" s="33"/>
      <c r="K1421" s="19" t="s">
        <v>2401</v>
      </c>
      <c r="L1421" s="19" t="s">
        <v>38</v>
      </c>
      <c r="M1421" s="20">
        <f t="shared" si="1"/>
        <v>0</v>
      </c>
      <c r="N1421" s="22"/>
      <c r="O1421" s="19" t="s">
        <v>1145</v>
      </c>
      <c r="P1421" s="18"/>
      <c r="Q1421" s="18"/>
      <c r="R1421" s="23">
        <v>0.0</v>
      </c>
      <c r="S1421" s="23">
        <v>0.0</v>
      </c>
      <c r="T1421" s="23">
        <f t="shared" si="2"/>
        <v>0</v>
      </c>
      <c r="U1421" s="23">
        <f t="shared" si="3"/>
        <v>0</v>
      </c>
      <c r="V1421" s="23">
        <f t="shared" si="4"/>
        <v>0</v>
      </c>
      <c r="W1421" s="24" t="str">
        <f t="shared" si="5"/>
        <v>#DIV/0!</v>
      </c>
    </row>
    <row r="1422" hidden="1">
      <c r="A1422" s="15" t="s">
        <v>3444</v>
      </c>
      <c r="B1422" s="18"/>
      <c r="C1422" s="15" t="s">
        <v>8136</v>
      </c>
      <c r="D1422" s="18"/>
      <c r="E1422" s="17" t="s">
        <v>3445</v>
      </c>
      <c r="F1422" s="18"/>
      <c r="G1422" s="18"/>
      <c r="H1422" s="15" t="s">
        <v>3446</v>
      </c>
      <c r="I1422" s="15" t="s">
        <v>3443</v>
      </c>
      <c r="J1422" s="33"/>
      <c r="K1422" s="19" t="s">
        <v>2401</v>
      </c>
      <c r="L1422" s="19" t="s">
        <v>38</v>
      </c>
      <c r="M1422" s="20">
        <f t="shared" si="1"/>
        <v>0</v>
      </c>
      <c r="N1422" s="22"/>
      <c r="O1422" s="19" t="s">
        <v>1145</v>
      </c>
      <c r="P1422" s="18"/>
      <c r="Q1422" s="18"/>
      <c r="R1422" s="23">
        <v>0.0</v>
      </c>
      <c r="S1422" s="23">
        <v>0.0</v>
      </c>
      <c r="T1422" s="23">
        <f t="shared" si="2"/>
        <v>0</v>
      </c>
      <c r="U1422" s="23">
        <f t="shared" si="3"/>
        <v>0</v>
      </c>
      <c r="V1422" s="23">
        <f t="shared" si="4"/>
        <v>0</v>
      </c>
      <c r="W1422" s="24" t="str">
        <f t="shared" si="5"/>
        <v>#DIV/0!</v>
      </c>
    </row>
    <row r="1423" hidden="1">
      <c r="A1423" s="15" t="s">
        <v>3447</v>
      </c>
      <c r="B1423" s="18"/>
      <c r="C1423" s="15" t="s">
        <v>8137</v>
      </c>
      <c r="D1423" s="18"/>
      <c r="E1423" s="17" t="s">
        <v>3448</v>
      </c>
      <c r="F1423" s="18"/>
      <c r="G1423" s="18"/>
      <c r="H1423" s="15" t="s">
        <v>3449</v>
      </c>
      <c r="I1423" s="15" t="s">
        <v>3450</v>
      </c>
      <c r="J1423" s="33"/>
      <c r="K1423" s="19" t="s">
        <v>2401</v>
      </c>
      <c r="L1423" s="19" t="s">
        <v>38</v>
      </c>
      <c r="M1423" s="20">
        <f t="shared" si="1"/>
        <v>0</v>
      </c>
      <c r="N1423" s="22"/>
      <c r="O1423" s="19" t="s">
        <v>1145</v>
      </c>
      <c r="P1423" s="18"/>
      <c r="Q1423" s="18"/>
      <c r="R1423" s="23">
        <v>0.0</v>
      </c>
      <c r="S1423" s="23">
        <v>0.0</v>
      </c>
      <c r="T1423" s="23">
        <f t="shared" si="2"/>
        <v>0</v>
      </c>
      <c r="U1423" s="23">
        <f t="shared" si="3"/>
        <v>0</v>
      </c>
      <c r="V1423" s="23">
        <f t="shared" si="4"/>
        <v>0</v>
      </c>
      <c r="W1423" s="24" t="str">
        <f t="shared" si="5"/>
        <v>#DIV/0!</v>
      </c>
    </row>
    <row r="1424" hidden="1">
      <c r="A1424" s="15" t="s">
        <v>3451</v>
      </c>
      <c r="B1424" s="18"/>
      <c r="C1424" s="15" t="s">
        <v>8138</v>
      </c>
      <c r="D1424" s="18"/>
      <c r="E1424" s="17" t="s">
        <v>3452</v>
      </c>
      <c r="F1424" s="18"/>
      <c r="G1424" s="18"/>
      <c r="H1424" s="15" t="s">
        <v>3453</v>
      </c>
      <c r="I1424" s="15" t="s">
        <v>3454</v>
      </c>
      <c r="J1424" s="33"/>
      <c r="K1424" s="19" t="s">
        <v>2401</v>
      </c>
      <c r="L1424" s="19" t="s">
        <v>38</v>
      </c>
      <c r="M1424" s="20">
        <f t="shared" si="1"/>
        <v>0</v>
      </c>
      <c r="N1424" s="22"/>
      <c r="O1424" s="19" t="s">
        <v>1145</v>
      </c>
      <c r="P1424" s="18"/>
      <c r="Q1424" s="18"/>
      <c r="R1424" s="23">
        <v>0.0</v>
      </c>
      <c r="S1424" s="23">
        <v>0.0</v>
      </c>
      <c r="T1424" s="23">
        <f t="shared" si="2"/>
        <v>0</v>
      </c>
      <c r="U1424" s="23">
        <f t="shared" si="3"/>
        <v>0</v>
      </c>
      <c r="V1424" s="23">
        <f t="shared" si="4"/>
        <v>0</v>
      </c>
      <c r="W1424" s="24" t="str">
        <f t="shared" si="5"/>
        <v>#DIV/0!</v>
      </c>
    </row>
    <row r="1425" hidden="1">
      <c r="A1425" s="15" t="s">
        <v>3455</v>
      </c>
      <c r="B1425" s="18"/>
      <c r="C1425" s="15" t="s">
        <v>8139</v>
      </c>
      <c r="D1425" s="18"/>
      <c r="E1425" s="17" t="s">
        <v>3456</v>
      </c>
      <c r="F1425" s="18"/>
      <c r="G1425" s="18"/>
      <c r="H1425" s="15" t="s">
        <v>3457</v>
      </c>
      <c r="I1425" s="15" t="s">
        <v>3458</v>
      </c>
      <c r="J1425" s="33"/>
      <c r="K1425" s="19" t="s">
        <v>2401</v>
      </c>
      <c r="L1425" s="19" t="s">
        <v>38</v>
      </c>
      <c r="M1425" s="20">
        <f t="shared" si="1"/>
        <v>0</v>
      </c>
      <c r="N1425" s="22"/>
      <c r="O1425" s="19" t="s">
        <v>1145</v>
      </c>
      <c r="P1425" s="18"/>
      <c r="Q1425" s="18"/>
      <c r="R1425" s="23">
        <v>0.0</v>
      </c>
      <c r="S1425" s="23">
        <v>0.0</v>
      </c>
      <c r="T1425" s="23">
        <f t="shared" si="2"/>
        <v>0</v>
      </c>
      <c r="U1425" s="23">
        <f t="shared" si="3"/>
        <v>0</v>
      </c>
      <c r="V1425" s="23">
        <f t="shared" si="4"/>
        <v>0</v>
      </c>
      <c r="W1425" s="24" t="str">
        <f t="shared" si="5"/>
        <v>#DIV/0!</v>
      </c>
    </row>
    <row r="1426" hidden="1">
      <c r="A1426" s="15" t="s">
        <v>3459</v>
      </c>
      <c r="B1426" s="18"/>
      <c r="C1426" s="15" t="s">
        <v>8140</v>
      </c>
      <c r="D1426" s="18"/>
      <c r="E1426" s="17" t="s">
        <v>3460</v>
      </c>
      <c r="F1426" s="18"/>
      <c r="G1426" s="18"/>
      <c r="H1426" s="15" t="s">
        <v>3461</v>
      </c>
      <c r="I1426" s="15" t="s">
        <v>3458</v>
      </c>
      <c r="J1426" s="33"/>
      <c r="K1426" s="19" t="s">
        <v>2401</v>
      </c>
      <c r="L1426" s="19" t="s">
        <v>38</v>
      </c>
      <c r="M1426" s="20">
        <f t="shared" si="1"/>
        <v>0</v>
      </c>
      <c r="N1426" s="22"/>
      <c r="O1426" s="19" t="s">
        <v>1145</v>
      </c>
      <c r="P1426" s="18"/>
      <c r="Q1426" s="18"/>
      <c r="R1426" s="23">
        <v>0.0</v>
      </c>
      <c r="S1426" s="23">
        <v>0.0</v>
      </c>
      <c r="T1426" s="23">
        <f t="shared" si="2"/>
        <v>0</v>
      </c>
      <c r="U1426" s="23">
        <f t="shared" si="3"/>
        <v>0</v>
      </c>
      <c r="V1426" s="23">
        <f t="shared" si="4"/>
        <v>0</v>
      </c>
      <c r="W1426" s="24" t="str">
        <f t="shared" si="5"/>
        <v>#DIV/0!</v>
      </c>
    </row>
    <row r="1427" hidden="1">
      <c r="A1427" s="15" t="s">
        <v>3462</v>
      </c>
      <c r="B1427" s="18"/>
      <c r="C1427" s="15" t="s">
        <v>8141</v>
      </c>
      <c r="D1427" s="18"/>
      <c r="E1427" s="17" t="s">
        <v>3463</v>
      </c>
      <c r="F1427" s="18"/>
      <c r="G1427" s="18"/>
      <c r="H1427" s="15" t="s">
        <v>3464</v>
      </c>
      <c r="I1427" s="18"/>
      <c r="J1427" s="33"/>
      <c r="K1427" s="19" t="s">
        <v>2401</v>
      </c>
      <c r="L1427" s="19" t="s">
        <v>38</v>
      </c>
      <c r="M1427" s="20">
        <f t="shared" si="1"/>
        <v>0</v>
      </c>
      <c r="N1427" s="22"/>
      <c r="O1427" s="19" t="s">
        <v>1145</v>
      </c>
      <c r="P1427" s="18"/>
      <c r="Q1427" s="18"/>
      <c r="R1427" s="23">
        <v>0.0</v>
      </c>
      <c r="S1427" s="23">
        <v>0.0</v>
      </c>
      <c r="T1427" s="23">
        <f t="shared" si="2"/>
        <v>0</v>
      </c>
      <c r="U1427" s="23">
        <f t="shared" si="3"/>
        <v>0</v>
      </c>
      <c r="V1427" s="23">
        <f t="shared" si="4"/>
        <v>0</v>
      </c>
      <c r="W1427" s="24" t="str">
        <f t="shared" si="5"/>
        <v>#DIV/0!</v>
      </c>
    </row>
    <row r="1428" hidden="1">
      <c r="A1428" s="15" t="s">
        <v>3465</v>
      </c>
      <c r="B1428" s="18"/>
      <c r="C1428" s="15" t="s">
        <v>8142</v>
      </c>
      <c r="D1428" s="18"/>
      <c r="E1428" s="17" t="s">
        <v>3466</v>
      </c>
      <c r="F1428" s="18"/>
      <c r="G1428" s="18"/>
      <c r="H1428" s="15" t="s">
        <v>3467</v>
      </c>
      <c r="I1428" s="18"/>
      <c r="J1428" s="33"/>
      <c r="K1428" s="19" t="s">
        <v>2401</v>
      </c>
      <c r="L1428" s="19" t="s">
        <v>38</v>
      </c>
      <c r="M1428" s="20">
        <f t="shared" si="1"/>
        <v>0</v>
      </c>
      <c r="N1428" s="22"/>
      <c r="O1428" s="19" t="s">
        <v>1145</v>
      </c>
      <c r="P1428" s="18"/>
      <c r="Q1428" s="18"/>
      <c r="R1428" s="23">
        <v>0.0</v>
      </c>
      <c r="S1428" s="23">
        <v>0.0</v>
      </c>
      <c r="T1428" s="23">
        <f t="shared" si="2"/>
        <v>0</v>
      </c>
      <c r="U1428" s="23">
        <f t="shared" si="3"/>
        <v>0</v>
      </c>
      <c r="V1428" s="23">
        <f t="shared" si="4"/>
        <v>0</v>
      </c>
      <c r="W1428" s="24" t="str">
        <f t="shared" si="5"/>
        <v>#DIV/0!</v>
      </c>
    </row>
    <row r="1429" hidden="1">
      <c r="A1429" s="15" t="s">
        <v>3468</v>
      </c>
      <c r="B1429" s="18"/>
      <c r="C1429" s="15" t="s">
        <v>8143</v>
      </c>
      <c r="D1429" s="18"/>
      <c r="E1429" s="17" t="s">
        <v>3469</v>
      </c>
      <c r="F1429" s="18"/>
      <c r="G1429" s="18"/>
      <c r="H1429" s="15" t="s">
        <v>3470</v>
      </c>
      <c r="I1429" s="15" t="s">
        <v>3471</v>
      </c>
      <c r="J1429" s="33"/>
      <c r="K1429" s="19" t="s">
        <v>2401</v>
      </c>
      <c r="L1429" s="19" t="s">
        <v>38</v>
      </c>
      <c r="M1429" s="20">
        <f t="shared" si="1"/>
        <v>0</v>
      </c>
      <c r="N1429" s="22"/>
      <c r="O1429" s="19" t="s">
        <v>1145</v>
      </c>
      <c r="P1429" s="18"/>
      <c r="Q1429" s="18"/>
      <c r="R1429" s="23">
        <v>0.0</v>
      </c>
      <c r="S1429" s="23">
        <v>0.0</v>
      </c>
      <c r="T1429" s="23">
        <f t="shared" si="2"/>
        <v>0</v>
      </c>
      <c r="U1429" s="23">
        <f t="shared" si="3"/>
        <v>0</v>
      </c>
      <c r="V1429" s="23">
        <f t="shared" si="4"/>
        <v>0</v>
      </c>
      <c r="W1429" s="24" t="str">
        <f t="shared" si="5"/>
        <v>#DIV/0!</v>
      </c>
    </row>
    <row r="1430" hidden="1">
      <c r="A1430" s="15" t="s">
        <v>3472</v>
      </c>
      <c r="B1430" s="18"/>
      <c r="C1430" s="15" t="s">
        <v>8144</v>
      </c>
      <c r="D1430" s="18"/>
      <c r="E1430" s="17" t="s">
        <v>3473</v>
      </c>
      <c r="F1430" s="18"/>
      <c r="G1430" s="18"/>
      <c r="H1430" s="15" t="s">
        <v>3474</v>
      </c>
      <c r="I1430" s="15" t="s">
        <v>3475</v>
      </c>
      <c r="J1430" s="33"/>
      <c r="K1430" s="19" t="s">
        <v>2401</v>
      </c>
      <c r="L1430" s="19" t="s">
        <v>38</v>
      </c>
      <c r="M1430" s="20">
        <f t="shared" si="1"/>
        <v>0</v>
      </c>
      <c r="N1430" s="22"/>
      <c r="O1430" s="19" t="s">
        <v>1145</v>
      </c>
      <c r="P1430" s="18"/>
      <c r="Q1430" s="18"/>
      <c r="R1430" s="23">
        <v>0.0</v>
      </c>
      <c r="S1430" s="23">
        <v>0.0</v>
      </c>
      <c r="T1430" s="23">
        <f t="shared" si="2"/>
        <v>0</v>
      </c>
      <c r="U1430" s="23">
        <f t="shared" si="3"/>
        <v>0</v>
      </c>
      <c r="V1430" s="23">
        <f t="shared" si="4"/>
        <v>0</v>
      </c>
      <c r="W1430" s="24" t="str">
        <f t="shared" si="5"/>
        <v>#DIV/0!</v>
      </c>
    </row>
    <row r="1431" hidden="1">
      <c r="A1431" s="15" t="s">
        <v>3476</v>
      </c>
      <c r="B1431" s="18"/>
      <c r="C1431" s="15" t="s">
        <v>8145</v>
      </c>
      <c r="D1431" s="18"/>
      <c r="E1431" s="17" t="s">
        <v>3477</v>
      </c>
      <c r="F1431" s="18"/>
      <c r="G1431" s="18"/>
      <c r="H1431" s="15" t="s">
        <v>3478</v>
      </c>
      <c r="I1431" s="18"/>
      <c r="J1431" s="33"/>
      <c r="K1431" s="19" t="s">
        <v>2401</v>
      </c>
      <c r="L1431" s="19" t="s">
        <v>38</v>
      </c>
      <c r="M1431" s="20">
        <f t="shared" si="1"/>
        <v>0</v>
      </c>
      <c r="N1431" s="22"/>
      <c r="O1431" s="19" t="s">
        <v>1145</v>
      </c>
      <c r="P1431" s="18"/>
      <c r="Q1431" s="18"/>
      <c r="R1431" s="23">
        <v>0.0</v>
      </c>
      <c r="S1431" s="23">
        <v>0.0</v>
      </c>
      <c r="T1431" s="23">
        <f t="shared" si="2"/>
        <v>0</v>
      </c>
      <c r="U1431" s="23">
        <f t="shared" si="3"/>
        <v>0</v>
      </c>
      <c r="V1431" s="23">
        <f t="shared" si="4"/>
        <v>0</v>
      </c>
      <c r="W1431" s="24" t="str">
        <f t="shared" si="5"/>
        <v>#DIV/0!</v>
      </c>
    </row>
    <row r="1432" hidden="1">
      <c r="A1432" s="15" t="s">
        <v>3479</v>
      </c>
      <c r="B1432" s="18"/>
      <c r="C1432" s="15" t="s">
        <v>8146</v>
      </c>
      <c r="D1432" s="18"/>
      <c r="E1432" s="17" t="s">
        <v>3480</v>
      </c>
      <c r="F1432" s="18"/>
      <c r="G1432" s="18"/>
      <c r="H1432" s="15" t="s">
        <v>3481</v>
      </c>
      <c r="I1432" s="15" t="s">
        <v>3482</v>
      </c>
      <c r="J1432" s="33"/>
      <c r="K1432" s="19" t="s">
        <v>2401</v>
      </c>
      <c r="L1432" s="19" t="s">
        <v>38</v>
      </c>
      <c r="M1432" s="20">
        <f t="shared" si="1"/>
        <v>0</v>
      </c>
      <c r="N1432" s="22"/>
      <c r="O1432" s="19" t="s">
        <v>1145</v>
      </c>
      <c r="P1432" s="18"/>
      <c r="Q1432" s="18"/>
      <c r="R1432" s="23">
        <v>0.0</v>
      </c>
      <c r="S1432" s="23">
        <v>0.0</v>
      </c>
      <c r="T1432" s="23">
        <f t="shared" si="2"/>
        <v>0</v>
      </c>
      <c r="U1432" s="23">
        <f t="shared" si="3"/>
        <v>0</v>
      </c>
      <c r="V1432" s="23">
        <f t="shared" si="4"/>
        <v>0</v>
      </c>
      <c r="W1432" s="24" t="str">
        <f t="shared" si="5"/>
        <v>#DIV/0!</v>
      </c>
    </row>
    <row r="1433" hidden="1">
      <c r="A1433" s="15" t="s">
        <v>3483</v>
      </c>
      <c r="B1433" s="18"/>
      <c r="C1433" s="15" t="s">
        <v>8147</v>
      </c>
      <c r="D1433" s="18"/>
      <c r="E1433" s="17" t="s">
        <v>3484</v>
      </c>
      <c r="F1433" s="18"/>
      <c r="G1433" s="18"/>
      <c r="H1433" s="15" t="s">
        <v>3485</v>
      </c>
      <c r="I1433" s="15" t="s">
        <v>3486</v>
      </c>
      <c r="J1433" s="33"/>
      <c r="K1433" s="19" t="s">
        <v>2401</v>
      </c>
      <c r="L1433" s="19" t="s">
        <v>38</v>
      </c>
      <c r="M1433" s="20">
        <f t="shared" si="1"/>
        <v>0</v>
      </c>
      <c r="N1433" s="22"/>
      <c r="O1433" s="19" t="s">
        <v>1145</v>
      </c>
      <c r="P1433" s="18"/>
      <c r="Q1433" s="18"/>
      <c r="R1433" s="23">
        <v>0.0</v>
      </c>
      <c r="S1433" s="23">
        <v>0.0</v>
      </c>
      <c r="T1433" s="23">
        <f t="shared" si="2"/>
        <v>0</v>
      </c>
      <c r="U1433" s="23">
        <f t="shared" si="3"/>
        <v>0</v>
      </c>
      <c r="V1433" s="23">
        <f t="shared" si="4"/>
        <v>0</v>
      </c>
      <c r="W1433" s="24" t="str">
        <f t="shared" si="5"/>
        <v>#DIV/0!</v>
      </c>
    </row>
    <row r="1434" hidden="1">
      <c r="A1434" s="15" t="s">
        <v>3487</v>
      </c>
      <c r="B1434" s="18"/>
      <c r="C1434" s="15" t="s">
        <v>8148</v>
      </c>
      <c r="D1434" s="18"/>
      <c r="E1434" s="17" t="s">
        <v>3488</v>
      </c>
      <c r="F1434" s="18"/>
      <c r="G1434" s="18"/>
      <c r="H1434" s="15" t="s">
        <v>3489</v>
      </c>
      <c r="I1434" s="18"/>
      <c r="J1434" s="33"/>
      <c r="K1434" s="19" t="s">
        <v>2401</v>
      </c>
      <c r="L1434" s="19" t="s">
        <v>38</v>
      </c>
      <c r="M1434" s="20">
        <f t="shared" si="1"/>
        <v>0</v>
      </c>
      <c r="N1434" s="22"/>
      <c r="O1434" s="19" t="s">
        <v>1145</v>
      </c>
      <c r="P1434" s="18"/>
      <c r="Q1434" s="18"/>
      <c r="R1434" s="23">
        <v>0.0</v>
      </c>
      <c r="S1434" s="23">
        <v>0.0</v>
      </c>
      <c r="T1434" s="23">
        <f t="shared" si="2"/>
        <v>0</v>
      </c>
      <c r="U1434" s="23">
        <f t="shared" si="3"/>
        <v>0</v>
      </c>
      <c r="V1434" s="23">
        <f t="shared" si="4"/>
        <v>0</v>
      </c>
      <c r="W1434" s="24" t="str">
        <f t="shared" si="5"/>
        <v>#DIV/0!</v>
      </c>
    </row>
    <row r="1435" hidden="1">
      <c r="A1435" s="15" t="s">
        <v>3490</v>
      </c>
      <c r="B1435" s="18"/>
      <c r="C1435" s="15" t="s">
        <v>8149</v>
      </c>
      <c r="D1435" s="18"/>
      <c r="E1435" s="17" t="s">
        <v>3491</v>
      </c>
      <c r="F1435" s="18"/>
      <c r="G1435" s="18"/>
      <c r="H1435" s="15" t="s">
        <v>3492</v>
      </c>
      <c r="I1435" s="15" t="s">
        <v>3493</v>
      </c>
      <c r="J1435" s="33"/>
      <c r="K1435" s="19" t="s">
        <v>2401</v>
      </c>
      <c r="L1435" s="19" t="s">
        <v>38</v>
      </c>
      <c r="M1435" s="20">
        <f t="shared" si="1"/>
        <v>0</v>
      </c>
      <c r="N1435" s="22"/>
      <c r="O1435" s="19" t="s">
        <v>1145</v>
      </c>
      <c r="P1435" s="18"/>
      <c r="Q1435" s="18"/>
      <c r="R1435" s="23">
        <v>0.0</v>
      </c>
      <c r="S1435" s="23">
        <v>0.0</v>
      </c>
      <c r="T1435" s="23">
        <f t="shared" si="2"/>
        <v>0</v>
      </c>
      <c r="U1435" s="23">
        <f t="shared" si="3"/>
        <v>0</v>
      </c>
      <c r="V1435" s="23">
        <f t="shared" si="4"/>
        <v>0</v>
      </c>
      <c r="W1435" s="24" t="str">
        <f t="shared" si="5"/>
        <v>#DIV/0!</v>
      </c>
    </row>
    <row r="1436" hidden="1">
      <c r="A1436" s="15" t="s">
        <v>3494</v>
      </c>
      <c r="B1436" s="18"/>
      <c r="C1436" s="15" t="s">
        <v>8150</v>
      </c>
      <c r="D1436" s="18"/>
      <c r="E1436" s="17" t="s">
        <v>3495</v>
      </c>
      <c r="F1436" s="18"/>
      <c r="G1436" s="18"/>
      <c r="H1436" s="15" t="s">
        <v>3496</v>
      </c>
      <c r="I1436" s="15" t="s">
        <v>3493</v>
      </c>
      <c r="J1436" s="33"/>
      <c r="K1436" s="19" t="s">
        <v>2401</v>
      </c>
      <c r="L1436" s="19" t="s">
        <v>38</v>
      </c>
      <c r="M1436" s="20">
        <f t="shared" si="1"/>
        <v>0</v>
      </c>
      <c r="N1436" s="22"/>
      <c r="O1436" s="19" t="s">
        <v>1145</v>
      </c>
      <c r="P1436" s="18"/>
      <c r="Q1436" s="18"/>
      <c r="R1436" s="23">
        <v>0.0</v>
      </c>
      <c r="S1436" s="23">
        <v>0.0</v>
      </c>
      <c r="T1436" s="23">
        <f t="shared" si="2"/>
        <v>0</v>
      </c>
      <c r="U1436" s="23">
        <f t="shared" si="3"/>
        <v>0</v>
      </c>
      <c r="V1436" s="23">
        <f t="shared" si="4"/>
        <v>0</v>
      </c>
      <c r="W1436" s="24" t="str">
        <f t="shared" si="5"/>
        <v>#DIV/0!</v>
      </c>
    </row>
    <row r="1437" hidden="1">
      <c r="A1437" s="15" t="s">
        <v>3497</v>
      </c>
      <c r="B1437" s="18"/>
      <c r="C1437" s="15" t="s">
        <v>8151</v>
      </c>
      <c r="D1437" s="18"/>
      <c r="E1437" s="17" t="s">
        <v>3498</v>
      </c>
      <c r="F1437" s="18"/>
      <c r="G1437" s="18"/>
      <c r="H1437" s="15" t="s">
        <v>3499</v>
      </c>
      <c r="I1437" s="15" t="s">
        <v>3500</v>
      </c>
      <c r="J1437" s="33"/>
      <c r="K1437" s="19" t="s">
        <v>2401</v>
      </c>
      <c r="L1437" s="19" t="s">
        <v>38</v>
      </c>
      <c r="M1437" s="20">
        <f t="shared" si="1"/>
        <v>0</v>
      </c>
      <c r="N1437" s="22"/>
      <c r="O1437" s="19" t="s">
        <v>1145</v>
      </c>
      <c r="P1437" s="18"/>
      <c r="Q1437" s="18"/>
      <c r="R1437" s="23">
        <v>0.0</v>
      </c>
      <c r="S1437" s="23">
        <v>0.0</v>
      </c>
      <c r="T1437" s="23">
        <f t="shared" si="2"/>
        <v>0</v>
      </c>
      <c r="U1437" s="23">
        <f t="shared" si="3"/>
        <v>0</v>
      </c>
      <c r="V1437" s="23">
        <f t="shared" si="4"/>
        <v>0</v>
      </c>
      <c r="W1437" s="24" t="str">
        <f t="shared" si="5"/>
        <v>#DIV/0!</v>
      </c>
    </row>
    <row r="1438" hidden="1">
      <c r="A1438" s="15" t="s">
        <v>3501</v>
      </c>
      <c r="B1438" s="18"/>
      <c r="C1438" s="15" t="s">
        <v>8152</v>
      </c>
      <c r="D1438" s="18"/>
      <c r="E1438" s="17" t="s">
        <v>3502</v>
      </c>
      <c r="F1438" s="18"/>
      <c r="G1438" s="18"/>
      <c r="H1438" s="15" t="s">
        <v>3503</v>
      </c>
      <c r="I1438" s="15" t="s">
        <v>3504</v>
      </c>
      <c r="J1438" s="33"/>
      <c r="K1438" s="19" t="s">
        <v>2401</v>
      </c>
      <c r="L1438" s="19" t="s">
        <v>38</v>
      </c>
      <c r="M1438" s="20">
        <f t="shared" si="1"/>
        <v>0</v>
      </c>
      <c r="N1438" s="22"/>
      <c r="O1438" s="19" t="s">
        <v>1145</v>
      </c>
      <c r="P1438" s="18"/>
      <c r="Q1438" s="18"/>
      <c r="R1438" s="23">
        <v>0.0</v>
      </c>
      <c r="S1438" s="23">
        <v>0.0</v>
      </c>
      <c r="T1438" s="23">
        <f t="shared" si="2"/>
        <v>0</v>
      </c>
      <c r="U1438" s="23">
        <f t="shared" si="3"/>
        <v>0</v>
      </c>
      <c r="V1438" s="23">
        <f t="shared" si="4"/>
        <v>0</v>
      </c>
      <c r="W1438" s="24" t="str">
        <f t="shared" si="5"/>
        <v>#DIV/0!</v>
      </c>
    </row>
    <row r="1439" hidden="1">
      <c r="A1439" s="15" t="s">
        <v>3505</v>
      </c>
      <c r="B1439" s="18"/>
      <c r="C1439" s="15" t="s">
        <v>8153</v>
      </c>
      <c r="D1439" s="18"/>
      <c r="E1439" s="17" t="s">
        <v>3506</v>
      </c>
      <c r="F1439" s="18"/>
      <c r="G1439" s="18"/>
      <c r="H1439" s="15" t="s">
        <v>3507</v>
      </c>
      <c r="I1439" s="15" t="s">
        <v>3508</v>
      </c>
      <c r="J1439" s="33"/>
      <c r="K1439" s="19" t="s">
        <v>2401</v>
      </c>
      <c r="L1439" s="19" t="s">
        <v>38</v>
      </c>
      <c r="M1439" s="20">
        <f t="shared" si="1"/>
        <v>0</v>
      </c>
      <c r="N1439" s="22"/>
      <c r="O1439" s="19" t="s">
        <v>1145</v>
      </c>
      <c r="P1439" s="18"/>
      <c r="Q1439" s="18"/>
      <c r="R1439" s="23">
        <v>0.0</v>
      </c>
      <c r="S1439" s="23">
        <v>0.0</v>
      </c>
      <c r="T1439" s="23">
        <f t="shared" si="2"/>
        <v>0</v>
      </c>
      <c r="U1439" s="23">
        <f t="shared" si="3"/>
        <v>0</v>
      </c>
      <c r="V1439" s="23">
        <f t="shared" si="4"/>
        <v>0</v>
      </c>
      <c r="W1439" s="24" t="str">
        <f t="shared" si="5"/>
        <v>#DIV/0!</v>
      </c>
    </row>
    <row r="1440" hidden="1">
      <c r="A1440" s="15" t="s">
        <v>3509</v>
      </c>
      <c r="B1440" s="18"/>
      <c r="C1440" s="15" t="s">
        <v>8154</v>
      </c>
      <c r="D1440" s="18"/>
      <c r="E1440" s="17" t="s">
        <v>3510</v>
      </c>
      <c r="F1440" s="18"/>
      <c r="G1440" s="18"/>
      <c r="H1440" s="15" t="s">
        <v>3511</v>
      </c>
      <c r="I1440" s="15" t="s">
        <v>3508</v>
      </c>
      <c r="J1440" s="33"/>
      <c r="K1440" s="19" t="s">
        <v>2401</v>
      </c>
      <c r="L1440" s="19" t="s">
        <v>38</v>
      </c>
      <c r="M1440" s="20">
        <f t="shared" si="1"/>
        <v>0</v>
      </c>
      <c r="N1440" s="22"/>
      <c r="O1440" s="19" t="s">
        <v>1145</v>
      </c>
      <c r="P1440" s="18"/>
      <c r="Q1440" s="18"/>
      <c r="R1440" s="23">
        <v>0.0</v>
      </c>
      <c r="S1440" s="23">
        <v>0.0</v>
      </c>
      <c r="T1440" s="23">
        <f t="shared" si="2"/>
        <v>0</v>
      </c>
      <c r="U1440" s="23">
        <f t="shared" si="3"/>
        <v>0</v>
      </c>
      <c r="V1440" s="23">
        <f t="shared" si="4"/>
        <v>0</v>
      </c>
      <c r="W1440" s="24" t="str">
        <f t="shared" si="5"/>
        <v>#DIV/0!</v>
      </c>
    </row>
    <row r="1441" hidden="1">
      <c r="A1441" s="15" t="s">
        <v>3512</v>
      </c>
      <c r="B1441" s="18"/>
      <c r="C1441" s="15" t="s">
        <v>8155</v>
      </c>
      <c r="D1441" s="18"/>
      <c r="E1441" s="17" t="s">
        <v>3513</v>
      </c>
      <c r="F1441" s="18"/>
      <c r="G1441" s="18"/>
      <c r="H1441" s="15" t="s">
        <v>3514</v>
      </c>
      <c r="I1441" s="18"/>
      <c r="J1441" s="33"/>
      <c r="K1441" s="19" t="s">
        <v>2401</v>
      </c>
      <c r="L1441" s="19" t="s">
        <v>38</v>
      </c>
      <c r="M1441" s="20">
        <f t="shared" si="1"/>
        <v>0</v>
      </c>
      <c r="N1441" s="22"/>
      <c r="O1441" s="19" t="s">
        <v>1145</v>
      </c>
      <c r="P1441" s="18"/>
      <c r="Q1441" s="18"/>
      <c r="R1441" s="23">
        <v>0.0</v>
      </c>
      <c r="S1441" s="23">
        <v>0.0</v>
      </c>
      <c r="T1441" s="23">
        <f t="shared" si="2"/>
        <v>0</v>
      </c>
      <c r="U1441" s="23">
        <f t="shared" si="3"/>
        <v>0</v>
      </c>
      <c r="V1441" s="23">
        <f t="shared" si="4"/>
        <v>0</v>
      </c>
      <c r="W1441" s="24" t="str">
        <f t="shared" si="5"/>
        <v>#DIV/0!</v>
      </c>
    </row>
    <row r="1442" hidden="1">
      <c r="A1442" s="15" t="s">
        <v>3515</v>
      </c>
      <c r="B1442" s="18"/>
      <c r="C1442" s="15" t="s">
        <v>8156</v>
      </c>
      <c r="D1442" s="18"/>
      <c r="E1442" s="17" t="s">
        <v>3516</v>
      </c>
      <c r="F1442" s="18"/>
      <c r="G1442" s="18"/>
      <c r="H1442" s="15" t="s">
        <v>3517</v>
      </c>
      <c r="I1442" s="18"/>
      <c r="J1442" s="33"/>
      <c r="K1442" s="19" t="s">
        <v>2401</v>
      </c>
      <c r="L1442" s="19" t="s">
        <v>38</v>
      </c>
      <c r="M1442" s="20">
        <f t="shared" si="1"/>
        <v>0</v>
      </c>
      <c r="N1442" s="22"/>
      <c r="O1442" s="19" t="s">
        <v>1145</v>
      </c>
      <c r="P1442" s="18"/>
      <c r="Q1442" s="18"/>
      <c r="R1442" s="23">
        <v>0.0</v>
      </c>
      <c r="S1442" s="23">
        <v>0.0</v>
      </c>
      <c r="T1442" s="23">
        <f t="shared" si="2"/>
        <v>0</v>
      </c>
      <c r="U1442" s="23">
        <f t="shared" si="3"/>
        <v>0</v>
      </c>
      <c r="V1442" s="23">
        <f t="shared" si="4"/>
        <v>0</v>
      </c>
      <c r="W1442" s="24" t="str">
        <f t="shared" si="5"/>
        <v>#DIV/0!</v>
      </c>
    </row>
    <row r="1443" hidden="1">
      <c r="A1443" s="15" t="s">
        <v>3518</v>
      </c>
      <c r="B1443" s="18"/>
      <c r="C1443" s="15" t="s">
        <v>8157</v>
      </c>
      <c r="D1443" s="18"/>
      <c r="E1443" s="17" t="s">
        <v>3519</v>
      </c>
      <c r="F1443" s="18"/>
      <c r="G1443" s="18"/>
      <c r="H1443" s="15" t="s">
        <v>3520</v>
      </c>
      <c r="I1443" s="18"/>
      <c r="J1443" s="33"/>
      <c r="K1443" s="19" t="s">
        <v>3521</v>
      </c>
      <c r="L1443" s="19" t="s">
        <v>38</v>
      </c>
      <c r="M1443" s="20">
        <f t="shared" si="1"/>
        <v>0</v>
      </c>
      <c r="N1443" s="22"/>
      <c r="O1443" s="19" t="s">
        <v>1145</v>
      </c>
      <c r="P1443" s="18"/>
      <c r="Q1443" s="18"/>
      <c r="R1443" s="23">
        <v>0.0</v>
      </c>
      <c r="S1443" s="23">
        <v>0.0</v>
      </c>
      <c r="T1443" s="23">
        <f t="shared" si="2"/>
        <v>0</v>
      </c>
      <c r="U1443" s="23">
        <f t="shared" si="3"/>
        <v>0</v>
      </c>
      <c r="V1443" s="23">
        <f t="shared" si="4"/>
        <v>0</v>
      </c>
      <c r="W1443" s="24" t="str">
        <f t="shared" si="5"/>
        <v>#DIV/0!</v>
      </c>
    </row>
    <row r="1444" hidden="1">
      <c r="A1444" s="15" t="s">
        <v>3522</v>
      </c>
      <c r="B1444" s="18"/>
      <c r="C1444" s="15" t="s">
        <v>8158</v>
      </c>
      <c r="D1444" s="18"/>
      <c r="E1444" s="17" t="s">
        <v>3523</v>
      </c>
      <c r="F1444" s="18"/>
      <c r="G1444" s="18"/>
      <c r="H1444" s="15" t="s">
        <v>3524</v>
      </c>
      <c r="I1444" s="18"/>
      <c r="J1444" s="33"/>
      <c r="K1444" s="19" t="s">
        <v>2382</v>
      </c>
      <c r="L1444" s="19" t="s">
        <v>38</v>
      </c>
      <c r="M1444" s="20">
        <f t="shared" si="1"/>
        <v>0</v>
      </c>
      <c r="N1444" s="22"/>
      <c r="O1444" s="19" t="s">
        <v>1145</v>
      </c>
      <c r="P1444" s="18"/>
      <c r="Q1444" s="18"/>
      <c r="R1444" s="23">
        <v>0.0</v>
      </c>
      <c r="S1444" s="23">
        <v>0.0</v>
      </c>
      <c r="T1444" s="23">
        <f t="shared" si="2"/>
        <v>0</v>
      </c>
      <c r="U1444" s="23">
        <f t="shared" si="3"/>
        <v>0</v>
      </c>
      <c r="V1444" s="23">
        <f t="shared" si="4"/>
        <v>0</v>
      </c>
      <c r="W1444" s="24" t="str">
        <f t="shared" si="5"/>
        <v>#DIV/0!</v>
      </c>
    </row>
    <row r="1445" hidden="1">
      <c r="A1445" s="15" t="s">
        <v>3525</v>
      </c>
      <c r="B1445" s="18"/>
      <c r="C1445" s="15" t="s">
        <v>8159</v>
      </c>
      <c r="D1445" s="18"/>
      <c r="E1445" s="17" t="s">
        <v>3526</v>
      </c>
      <c r="F1445" s="18"/>
      <c r="G1445" s="18"/>
      <c r="H1445" s="15" t="s">
        <v>3527</v>
      </c>
      <c r="I1445" s="15" t="s">
        <v>3528</v>
      </c>
      <c r="J1445" s="33"/>
      <c r="K1445" s="19" t="s">
        <v>2382</v>
      </c>
      <c r="L1445" s="19" t="s">
        <v>38</v>
      </c>
      <c r="M1445" s="20">
        <f t="shared" si="1"/>
        <v>0</v>
      </c>
      <c r="N1445" s="22"/>
      <c r="O1445" s="19" t="s">
        <v>1145</v>
      </c>
      <c r="P1445" s="18"/>
      <c r="Q1445" s="18"/>
      <c r="R1445" s="23">
        <v>0.0</v>
      </c>
      <c r="S1445" s="23">
        <v>0.0</v>
      </c>
      <c r="T1445" s="23">
        <f t="shared" si="2"/>
        <v>0</v>
      </c>
      <c r="U1445" s="23">
        <f t="shared" si="3"/>
        <v>0</v>
      </c>
      <c r="V1445" s="23">
        <f t="shared" si="4"/>
        <v>0</v>
      </c>
      <c r="W1445" s="24" t="str">
        <f t="shared" si="5"/>
        <v>#DIV/0!</v>
      </c>
    </row>
    <row r="1446" hidden="1">
      <c r="A1446" s="15" t="s">
        <v>3529</v>
      </c>
      <c r="B1446" s="18"/>
      <c r="C1446" s="15" t="s">
        <v>8160</v>
      </c>
      <c r="D1446" s="18"/>
      <c r="E1446" s="17" t="s">
        <v>3530</v>
      </c>
      <c r="F1446" s="18"/>
      <c r="G1446" s="18"/>
      <c r="H1446" s="15" t="s">
        <v>3531</v>
      </c>
      <c r="I1446" s="18"/>
      <c r="J1446" s="33"/>
      <c r="K1446" s="19" t="s">
        <v>3330</v>
      </c>
      <c r="L1446" s="19" t="s">
        <v>38</v>
      </c>
      <c r="M1446" s="20">
        <f t="shared" si="1"/>
        <v>0</v>
      </c>
      <c r="N1446" s="22"/>
      <c r="O1446" s="19" t="s">
        <v>1145</v>
      </c>
      <c r="P1446" s="18"/>
      <c r="Q1446" s="18"/>
      <c r="R1446" s="23">
        <v>0.0</v>
      </c>
      <c r="S1446" s="23">
        <v>0.0</v>
      </c>
      <c r="T1446" s="23">
        <f t="shared" si="2"/>
        <v>0</v>
      </c>
      <c r="U1446" s="23">
        <f t="shared" si="3"/>
        <v>0</v>
      </c>
      <c r="V1446" s="23">
        <f t="shared" si="4"/>
        <v>0</v>
      </c>
      <c r="W1446" s="24" t="str">
        <f t="shared" si="5"/>
        <v>#DIV/0!</v>
      </c>
    </row>
    <row r="1447" hidden="1">
      <c r="A1447" s="15" t="s">
        <v>3532</v>
      </c>
      <c r="B1447" s="18"/>
      <c r="C1447" s="15" t="s">
        <v>8161</v>
      </c>
      <c r="D1447" s="18"/>
      <c r="E1447" s="17" t="s">
        <v>3533</v>
      </c>
      <c r="F1447" s="18"/>
      <c r="G1447" s="18"/>
      <c r="H1447" s="15" t="s">
        <v>3534</v>
      </c>
      <c r="I1447" s="18"/>
      <c r="J1447" s="33"/>
      <c r="K1447" s="19" t="s">
        <v>2506</v>
      </c>
      <c r="L1447" s="19" t="s">
        <v>38</v>
      </c>
      <c r="M1447" s="20">
        <f t="shared" si="1"/>
        <v>0</v>
      </c>
      <c r="N1447" s="22"/>
      <c r="O1447" s="19" t="s">
        <v>1145</v>
      </c>
      <c r="P1447" s="18"/>
      <c r="Q1447" s="18"/>
      <c r="R1447" s="23">
        <v>0.0</v>
      </c>
      <c r="S1447" s="23">
        <v>0.0</v>
      </c>
      <c r="T1447" s="23">
        <f t="shared" si="2"/>
        <v>0</v>
      </c>
      <c r="U1447" s="23">
        <f t="shared" si="3"/>
        <v>0</v>
      </c>
      <c r="V1447" s="23">
        <f t="shared" si="4"/>
        <v>0</v>
      </c>
      <c r="W1447" s="24" t="str">
        <f t="shared" si="5"/>
        <v>#DIV/0!</v>
      </c>
    </row>
    <row r="1448" hidden="1">
      <c r="A1448" s="15" t="s">
        <v>3535</v>
      </c>
      <c r="B1448" s="18"/>
      <c r="C1448" s="15" t="s">
        <v>8162</v>
      </c>
      <c r="D1448" s="18"/>
      <c r="E1448" s="17" t="s">
        <v>3536</v>
      </c>
      <c r="F1448" s="18"/>
      <c r="G1448" s="18"/>
      <c r="H1448" s="15" t="s">
        <v>3537</v>
      </c>
      <c r="I1448" s="18"/>
      <c r="J1448" s="33"/>
      <c r="K1448" s="19" t="s">
        <v>2506</v>
      </c>
      <c r="L1448" s="19" t="s">
        <v>38</v>
      </c>
      <c r="M1448" s="20">
        <f t="shared" si="1"/>
        <v>0</v>
      </c>
      <c r="N1448" s="22"/>
      <c r="O1448" s="19" t="s">
        <v>1145</v>
      </c>
      <c r="P1448" s="18"/>
      <c r="Q1448" s="18"/>
      <c r="R1448" s="23">
        <v>0.0</v>
      </c>
      <c r="S1448" s="23">
        <v>0.0</v>
      </c>
      <c r="T1448" s="23">
        <f t="shared" si="2"/>
        <v>0</v>
      </c>
      <c r="U1448" s="23">
        <f t="shared" si="3"/>
        <v>0</v>
      </c>
      <c r="V1448" s="23">
        <f t="shared" si="4"/>
        <v>0</v>
      </c>
      <c r="W1448" s="24" t="str">
        <f t="shared" si="5"/>
        <v>#DIV/0!</v>
      </c>
    </row>
    <row r="1449" hidden="1">
      <c r="A1449" s="15" t="s">
        <v>3538</v>
      </c>
      <c r="B1449" s="18"/>
      <c r="C1449" s="15" t="s">
        <v>8163</v>
      </c>
      <c r="D1449" s="18"/>
      <c r="E1449" s="17" t="s">
        <v>3539</v>
      </c>
      <c r="F1449" s="18"/>
      <c r="G1449" s="18"/>
      <c r="H1449" s="15" t="s">
        <v>3540</v>
      </c>
      <c r="I1449" s="18"/>
      <c r="J1449" s="33"/>
      <c r="K1449" s="19" t="s">
        <v>2506</v>
      </c>
      <c r="L1449" s="19" t="s">
        <v>38</v>
      </c>
      <c r="M1449" s="20">
        <f t="shared" si="1"/>
        <v>0</v>
      </c>
      <c r="N1449" s="22"/>
      <c r="O1449" s="19" t="s">
        <v>1145</v>
      </c>
      <c r="P1449" s="18"/>
      <c r="Q1449" s="18"/>
      <c r="R1449" s="23">
        <v>0.0</v>
      </c>
      <c r="S1449" s="23">
        <v>0.0</v>
      </c>
      <c r="T1449" s="23">
        <f t="shared" si="2"/>
        <v>0</v>
      </c>
      <c r="U1449" s="23">
        <f t="shared" si="3"/>
        <v>0</v>
      </c>
      <c r="V1449" s="23">
        <f t="shared" si="4"/>
        <v>0</v>
      </c>
      <c r="W1449" s="24" t="str">
        <f t="shared" si="5"/>
        <v>#DIV/0!</v>
      </c>
    </row>
    <row r="1450" hidden="1">
      <c r="A1450" s="15" t="s">
        <v>3541</v>
      </c>
      <c r="B1450" s="18"/>
      <c r="C1450" s="15" t="s">
        <v>8164</v>
      </c>
      <c r="D1450" s="18"/>
      <c r="E1450" s="17" t="s">
        <v>3542</v>
      </c>
      <c r="F1450" s="18"/>
      <c r="G1450" s="18"/>
      <c r="H1450" s="15" t="s">
        <v>3543</v>
      </c>
      <c r="I1450" s="18"/>
      <c r="J1450" s="33"/>
      <c r="K1450" s="19" t="s">
        <v>691</v>
      </c>
      <c r="L1450" s="19" t="s">
        <v>38</v>
      </c>
      <c r="M1450" s="20">
        <f t="shared" si="1"/>
        <v>0</v>
      </c>
      <c r="N1450" s="22"/>
      <c r="O1450" s="19" t="s">
        <v>1145</v>
      </c>
      <c r="P1450" s="18"/>
      <c r="Q1450" s="18"/>
      <c r="R1450" s="23">
        <v>0.0</v>
      </c>
      <c r="S1450" s="23">
        <v>0.0</v>
      </c>
      <c r="T1450" s="23">
        <f t="shared" si="2"/>
        <v>0</v>
      </c>
      <c r="U1450" s="23">
        <f t="shared" si="3"/>
        <v>0</v>
      </c>
      <c r="V1450" s="23">
        <f t="shared" si="4"/>
        <v>0</v>
      </c>
      <c r="W1450" s="24" t="str">
        <f t="shared" si="5"/>
        <v>#DIV/0!</v>
      </c>
    </row>
    <row r="1451">
      <c r="A1451" s="15" t="s">
        <v>5234</v>
      </c>
      <c r="B1451" s="18"/>
      <c r="C1451" s="15" t="s">
        <v>7938</v>
      </c>
      <c r="D1451" s="18"/>
      <c r="E1451" s="17" t="s">
        <v>5235</v>
      </c>
      <c r="F1451" s="18"/>
      <c r="G1451" s="18"/>
      <c r="H1451" s="15" t="s">
        <v>5236</v>
      </c>
      <c r="I1451" s="15" t="s">
        <v>3884</v>
      </c>
      <c r="J1451" s="19" t="s">
        <v>59</v>
      </c>
      <c r="K1451" s="19" t="s">
        <v>2401</v>
      </c>
      <c r="L1451" s="19" t="s">
        <v>38</v>
      </c>
      <c r="M1451" s="20">
        <f t="shared" si="1"/>
        <v>0</v>
      </c>
      <c r="N1451" s="22"/>
      <c r="O1451" s="19" t="s">
        <v>3578</v>
      </c>
      <c r="P1451" s="18"/>
      <c r="Q1451" s="18"/>
      <c r="R1451" s="23">
        <v>0.0</v>
      </c>
      <c r="S1451" s="23">
        <v>0.0</v>
      </c>
      <c r="T1451" s="23">
        <f t="shared" si="2"/>
        <v>0</v>
      </c>
      <c r="U1451" s="23">
        <f t="shared" si="3"/>
        <v>0</v>
      </c>
      <c r="V1451" s="23">
        <f t="shared" si="4"/>
        <v>0</v>
      </c>
      <c r="W1451" s="24" t="str">
        <f t="shared" si="5"/>
        <v>#DIV/0!</v>
      </c>
    </row>
    <row r="1452" hidden="1">
      <c r="A1452" s="15" t="s">
        <v>3544</v>
      </c>
      <c r="B1452" s="18"/>
      <c r="C1452" s="15" t="s">
        <v>8165</v>
      </c>
      <c r="D1452" s="18"/>
      <c r="E1452" s="17" t="s">
        <v>3545</v>
      </c>
      <c r="F1452" s="18"/>
      <c r="G1452" s="18"/>
      <c r="H1452" s="15" t="s">
        <v>3546</v>
      </c>
      <c r="I1452" s="18"/>
      <c r="J1452" s="33"/>
      <c r="K1452" s="19" t="s">
        <v>3521</v>
      </c>
      <c r="L1452" s="19" t="s">
        <v>38</v>
      </c>
      <c r="M1452" s="20">
        <f t="shared" si="1"/>
        <v>0</v>
      </c>
      <c r="N1452" s="22"/>
      <c r="O1452" s="19" t="s">
        <v>1145</v>
      </c>
      <c r="P1452" s="18"/>
      <c r="Q1452" s="18"/>
      <c r="R1452" s="23">
        <v>0.0</v>
      </c>
      <c r="S1452" s="23">
        <v>0.0</v>
      </c>
      <c r="T1452" s="23">
        <f t="shared" si="2"/>
        <v>0</v>
      </c>
      <c r="U1452" s="23">
        <f t="shared" si="3"/>
        <v>0</v>
      </c>
      <c r="V1452" s="23">
        <f t="shared" si="4"/>
        <v>0</v>
      </c>
      <c r="W1452" s="24" t="str">
        <f t="shared" si="5"/>
        <v>#DIV/0!</v>
      </c>
    </row>
    <row r="1453" hidden="1">
      <c r="A1453" s="15" t="s">
        <v>3547</v>
      </c>
      <c r="B1453" s="18"/>
      <c r="C1453" s="15" t="s">
        <v>8166</v>
      </c>
      <c r="D1453" s="18"/>
      <c r="E1453" s="17" t="s">
        <v>3548</v>
      </c>
      <c r="F1453" s="18"/>
      <c r="G1453" s="18"/>
      <c r="H1453" s="15" t="s">
        <v>3549</v>
      </c>
      <c r="I1453" s="15" t="s">
        <v>3550</v>
      </c>
      <c r="J1453" s="33"/>
      <c r="K1453" s="19" t="s">
        <v>2396</v>
      </c>
      <c r="L1453" s="19" t="s">
        <v>38</v>
      </c>
      <c r="M1453" s="20">
        <f t="shared" si="1"/>
        <v>0</v>
      </c>
      <c r="N1453" s="22"/>
      <c r="O1453" s="19" t="s">
        <v>1145</v>
      </c>
      <c r="P1453" s="18"/>
      <c r="Q1453" s="18"/>
      <c r="R1453" s="23">
        <v>0.0</v>
      </c>
      <c r="S1453" s="23">
        <v>0.0</v>
      </c>
      <c r="T1453" s="23">
        <f t="shared" si="2"/>
        <v>0</v>
      </c>
      <c r="U1453" s="23">
        <f t="shared" si="3"/>
        <v>0</v>
      </c>
      <c r="V1453" s="23">
        <f t="shared" si="4"/>
        <v>0</v>
      </c>
      <c r="W1453" s="24" t="str">
        <f t="shared" si="5"/>
        <v>#DIV/0!</v>
      </c>
    </row>
    <row r="1454" hidden="1">
      <c r="A1454" s="15" t="s">
        <v>3551</v>
      </c>
      <c r="B1454" s="18"/>
      <c r="C1454" s="15" t="s">
        <v>8167</v>
      </c>
      <c r="D1454" s="18"/>
      <c r="E1454" s="17" t="s">
        <v>3552</v>
      </c>
      <c r="F1454" s="18"/>
      <c r="G1454" s="18"/>
      <c r="H1454" s="15" t="s">
        <v>3553</v>
      </c>
      <c r="I1454" s="15" t="s">
        <v>3554</v>
      </c>
      <c r="J1454" s="33"/>
      <c r="K1454" s="19" t="s">
        <v>2396</v>
      </c>
      <c r="L1454" s="19" t="s">
        <v>38</v>
      </c>
      <c r="M1454" s="20">
        <f t="shared" si="1"/>
        <v>0</v>
      </c>
      <c r="N1454" s="22"/>
      <c r="O1454" s="19" t="s">
        <v>1145</v>
      </c>
      <c r="P1454" s="18"/>
      <c r="Q1454" s="18"/>
      <c r="R1454" s="23">
        <v>0.0</v>
      </c>
      <c r="S1454" s="23">
        <v>0.0</v>
      </c>
      <c r="T1454" s="23">
        <f t="shared" si="2"/>
        <v>0</v>
      </c>
      <c r="U1454" s="23">
        <f t="shared" si="3"/>
        <v>0</v>
      </c>
      <c r="V1454" s="23">
        <f t="shared" si="4"/>
        <v>0</v>
      </c>
      <c r="W1454" s="24" t="str">
        <f t="shared" si="5"/>
        <v>#DIV/0!</v>
      </c>
    </row>
    <row r="1455" hidden="1">
      <c r="A1455" s="15" t="s">
        <v>3555</v>
      </c>
      <c r="B1455" s="18"/>
      <c r="C1455" s="15" t="s">
        <v>8168</v>
      </c>
      <c r="D1455" s="18"/>
      <c r="E1455" s="17" t="s">
        <v>3556</v>
      </c>
      <c r="F1455" s="18"/>
      <c r="G1455" s="18"/>
      <c r="H1455" s="15" t="s">
        <v>3557</v>
      </c>
      <c r="I1455" s="15" t="s">
        <v>3558</v>
      </c>
      <c r="J1455" s="33"/>
      <c r="K1455" s="19" t="s">
        <v>2396</v>
      </c>
      <c r="L1455" s="19" t="s">
        <v>38</v>
      </c>
      <c r="M1455" s="20">
        <f t="shared" si="1"/>
        <v>0</v>
      </c>
      <c r="N1455" s="22"/>
      <c r="O1455" s="19" t="s">
        <v>1145</v>
      </c>
      <c r="P1455" s="18"/>
      <c r="Q1455" s="18"/>
      <c r="R1455" s="23">
        <v>0.0</v>
      </c>
      <c r="S1455" s="23">
        <v>0.0</v>
      </c>
      <c r="T1455" s="23">
        <f t="shared" si="2"/>
        <v>0</v>
      </c>
      <c r="U1455" s="23">
        <f t="shared" si="3"/>
        <v>0</v>
      </c>
      <c r="V1455" s="23">
        <f t="shared" si="4"/>
        <v>0</v>
      </c>
      <c r="W1455" s="24" t="str">
        <f t="shared" si="5"/>
        <v>#DIV/0!</v>
      </c>
    </row>
    <row r="1456" hidden="1">
      <c r="A1456" s="15" t="s">
        <v>3559</v>
      </c>
      <c r="B1456" s="18"/>
      <c r="C1456" s="15" t="s">
        <v>8169</v>
      </c>
      <c r="D1456" s="18"/>
      <c r="E1456" s="17" t="s">
        <v>3560</v>
      </c>
      <c r="F1456" s="18"/>
      <c r="G1456" s="18"/>
      <c r="H1456" s="15" t="s">
        <v>3561</v>
      </c>
      <c r="I1456" s="15" t="s">
        <v>3562</v>
      </c>
      <c r="J1456" s="33"/>
      <c r="K1456" s="19" t="s">
        <v>2396</v>
      </c>
      <c r="L1456" s="19" t="s">
        <v>38</v>
      </c>
      <c r="M1456" s="20">
        <f t="shared" si="1"/>
        <v>0</v>
      </c>
      <c r="N1456" s="22"/>
      <c r="O1456" s="19" t="s">
        <v>1145</v>
      </c>
      <c r="P1456" s="18"/>
      <c r="Q1456" s="18"/>
      <c r="R1456" s="23">
        <v>0.0</v>
      </c>
      <c r="S1456" s="23">
        <v>0.0</v>
      </c>
      <c r="T1456" s="23">
        <f t="shared" si="2"/>
        <v>0</v>
      </c>
      <c r="U1456" s="23">
        <f t="shared" si="3"/>
        <v>0</v>
      </c>
      <c r="V1456" s="23">
        <f t="shared" si="4"/>
        <v>0</v>
      </c>
      <c r="W1456" s="24" t="str">
        <f t="shared" si="5"/>
        <v>#DIV/0!</v>
      </c>
    </row>
    <row r="1457" hidden="1">
      <c r="A1457" s="15" t="s">
        <v>80</v>
      </c>
      <c r="B1457" s="18"/>
      <c r="C1457" s="18"/>
      <c r="D1457" s="15" t="s">
        <v>81</v>
      </c>
      <c r="E1457" s="17" t="s">
        <v>82</v>
      </c>
      <c r="F1457" s="18"/>
      <c r="G1457" s="18"/>
      <c r="H1457" s="15" t="s">
        <v>83</v>
      </c>
      <c r="I1457" s="18"/>
      <c r="J1457" s="19" t="s">
        <v>59</v>
      </c>
      <c r="K1457" s="19" t="s">
        <v>60</v>
      </c>
      <c r="L1457" s="19" t="s">
        <v>38</v>
      </c>
      <c r="M1457" s="20">
        <f t="shared" si="1"/>
        <v>2504.16</v>
      </c>
      <c r="N1457" s="31">
        <v>2.0</v>
      </c>
      <c r="O1457" s="19" t="s">
        <v>61</v>
      </c>
      <c r="P1457" s="18"/>
      <c r="Q1457" s="18"/>
      <c r="R1457" s="23">
        <v>40.0</v>
      </c>
      <c r="S1457" s="23">
        <v>141.0</v>
      </c>
      <c r="T1457" s="23">
        <f t="shared" si="2"/>
        <v>135.36</v>
      </c>
      <c r="U1457" s="23">
        <f t="shared" si="3"/>
        <v>49</v>
      </c>
      <c r="V1457" s="23">
        <f t="shared" si="4"/>
        <v>918.75</v>
      </c>
      <c r="W1457" s="24">
        <f t="shared" si="5"/>
        <v>3.384</v>
      </c>
    </row>
    <row r="1458">
      <c r="A1458" s="15" t="s">
        <v>5261</v>
      </c>
      <c r="B1458" s="15" t="s">
        <v>5262</v>
      </c>
      <c r="C1458" s="15" t="s">
        <v>8005</v>
      </c>
      <c r="D1458" s="18"/>
      <c r="E1458" s="17" t="s">
        <v>5263</v>
      </c>
      <c r="F1458" s="18"/>
      <c r="G1458" s="18"/>
      <c r="H1458" s="15" t="s">
        <v>5264</v>
      </c>
      <c r="I1458" s="18"/>
      <c r="J1458" s="19" t="s">
        <v>59</v>
      </c>
      <c r="K1458" s="33"/>
      <c r="L1458" s="19" t="s">
        <v>38</v>
      </c>
      <c r="M1458" s="20">
        <f t="shared" si="1"/>
        <v>0</v>
      </c>
      <c r="N1458" s="22"/>
      <c r="O1458" s="19" t="s">
        <v>3578</v>
      </c>
      <c r="P1458" s="18"/>
      <c r="Q1458" s="18"/>
      <c r="R1458" s="23">
        <v>0.0</v>
      </c>
      <c r="S1458" s="23">
        <v>0.0</v>
      </c>
      <c r="T1458" s="23">
        <f t="shared" si="2"/>
        <v>0</v>
      </c>
      <c r="U1458" s="23">
        <f t="shared" si="3"/>
        <v>0</v>
      </c>
      <c r="V1458" s="23">
        <f t="shared" si="4"/>
        <v>0</v>
      </c>
      <c r="W1458" s="24" t="str">
        <f t="shared" si="5"/>
        <v>#DIV/0!</v>
      </c>
    </row>
    <row r="1459">
      <c r="A1459" s="15" t="s">
        <v>5265</v>
      </c>
      <c r="B1459" s="15" t="s">
        <v>5266</v>
      </c>
      <c r="C1459" s="15" t="s">
        <v>8011</v>
      </c>
      <c r="D1459" s="15" t="s">
        <v>5267</v>
      </c>
      <c r="E1459" s="17" t="s">
        <v>5268</v>
      </c>
      <c r="F1459" s="18"/>
      <c r="G1459" s="18"/>
      <c r="H1459" s="15" t="s">
        <v>5269</v>
      </c>
      <c r="I1459" s="18"/>
      <c r="J1459" s="19" t="s">
        <v>59</v>
      </c>
      <c r="K1459" s="33"/>
      <c r="L1459" s="19" t="s">
        <v>38</v>
      </c>
      <c r="M1459" s="20">
        <f t="shared" si="1"/>
        <v>0</v>
      </c>
      <c r="N1459" s="22"/>
      <c r="O1459" s="19" t="s">
        <v>3578</v>
      </c>
      <c r="P1459" s="18"/>
      <c r="Q1459" s="18"/>
      <c r="R1459" s="23">
        <v>0.0</v>
      </c>
      <c r="S1459" s="23">
        <v>0.0</v>
      </c>
      <c r="T1459" s="23">
        <f t="shared" si="2"/>
        <v>0</v>
      </c>
      <c r="U1459" s="23">
        <f t="shared" si="3"/>
        <v>0</v>
      </c>
      <c r="V1459" s="23">
        <f t="shared" si="4"/>
        <v>0</v>
      </c>
      <c r="W1459" s="24" t="str">
        <f t="shared" si="5"/>
        <v>#DIV/0!</v>
      </c>
    </row>
    <row r="1460">
      <c r="A1460" s="15" t="s">
        <v>5270</v>
      </c>
      <c r="B1460" s="15" t="s">
        <v>5271</v>
      </c>
      <c r="C1460" s="15" t="s">
        <v>8012</v>
      </c>
      <c r="D1460" s="42" t="s">
        <v>5272</v>
      </c>
      <c r="E1460" s="17" t="s">
        <v>5273</v>
      </c>
      <c r="F1460" s="18"/>
      <c r="G1460" s="18"/>
      <c r="H1460" s="15" t="s">
        <v>5274</v>
      </c>
      <c r="I1460" s="15" t="s">
        <v>3912</v>
      </c>
      <c r="J1460" s="19" t="s">
        <v>59</v>
      </c>
      <c r="K1460" s="33"/>
      <c r="L1460" s="19" t="s">
        <v>38</v>
      </c>
      <c r="M1460" s="20">
        <f t="shared" si="1"/>
        <v>0</v>
      </c>
      <c r="N1460" s="22"/>
      <c r="O1460" s="19" t="s">
        <v>3578</v>
      </c>
      <c r="P1460" s="18"/>
      <c r="Q1460" s="18"/>
      <c r="R1460" s="23">
        <v>0.0</v>
      </c>
      <c r="S1460" s="23">
        <v>0.0</v>
      </c>
      <c r="T1460" s="23">
        <f t="shared" si="2"/>
        <v>0</v>
      </c>
      <c r="U1460" s="23">
        <f t="shared" si="3"/>
        <v>0</v>
      </c>
      <c r="V1460" s="23">
        <f t="shared" si="4"/>
        <v>0</v>
      </c>
      <c r="W1460" s="24" t="str">
        <f t="shared" si="5"/>
        <v>#DIV/0!</v>
      </c>
    </row>
    <row r="1461">
      <c r="A1461" s="15" t="s">
        <v>5275</v>
      </c>
      <c r="B1461" s="45" t="s">
        <v>5276</v>
      </c>
      <c r="C1461" s="45" t="s">
        <v>8021</v>
      </c>
      <c r="D1461" s="45" t="s">
        <v>5277</v>
      </c>
      <c r="E1461" s="47" t="s">
        <v>5278</v>
      </c>
      <c r="F1461" s="46"/>
      <c r="G1461" s="46"/>
      <c r="H1461" s="45" t="s">
        <v>5279</v>
      </c>
      <c r="I1461" s="46"/>
      <c r="J1461" s="48" t="s">
        <v>104</v>
      </c>
      <c r="K1461" s="48" t="s">
        <v>160</v>
      </c>
      <c r="L1461" s="48" t="s">
        <v>106</v>
      </c>
      <c r="M1461" s="49">
        <f t="shared" si="1"/>
        <v>0</v>
      </c>
      <c r="N1461" s="22"/>
      <c r="O1461" s="48" t="s">
        <v>3578</v>
      </c>
      <c r="P1461" s="46"/>
      <c r="Q1461" s="46"/>
      <c r="R1461" s="50">
        <v>0.0</v>
      </c>
      <c r="S1461" s="50">
        <v>0.0</v>
      </c>
      <c r="T1461" s="50">
        <f t="shared" si="2"/>
        <v>0</v>
      </c>
      <c r="U1461" s="50">
        <f t="shared" si="3"/>
        <v>0</v>
      </c>
      <c r="V1461" s="50">
        <f t="shared" si="4"/>
        <v>0</v>
      </c>
      <c r="W1461" s="82" t="str">
        <f t="shared" si="5"/>
        <v>#DIV/0!</v>
      </c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</row>
    <row r="1462">
      <c r="A1462" s="15" t="s">
        <v>5280</v>
      </c>
      <c r="B1462" s="45" t="s">
        <v>5281</v>
      </c>
      <c r="C1462" s="15" t="s">
        <v>8022</v>
      </c>
      <c r="D1462" s="15" t="s">
        <v>5282</v>
      </c>
      <c r="E1462" s="17" t="s">
        <v>5283</v>
      </c>
      <c r="F1462" s="18"/>
      <c r="G1462" s="18"/>
      <c r="H1462" s="15" t="s">
        <v>5284</v>
      </c>
      <c r="I1462" s="18"/>
      <c r="J1462" s="19" t="s">
        <v>104</v>
      </c>
      <c r="K1462" s="19" t="s">
        <v>160</v>
      </c>
      <c r="L1462" s="19" t="s">
        <v>106</v>
      </c>
      <c r="M1462" s="20">
        <f t="shared" si="1"/>
        <v>0</v>
      </c>
      <c r="N1462" s="22"/>
      <c r="O1462" s="19" t="s">
        <v>3578</v>
      </c>
      <c r="P1462" s="18"/>
      <c r="Q1462" s="18"/>
      <c r="R1462" s="23">
        <v>0.0</v>
      </c>
      <c r="S1462" s="23">
        <v>0.0</v>
      </c>
      <c r="T1462" s="23">
        <f t="shared" si="2"/>
        <v>0</v>
      </c>
      <c r="U1462" s="23">
        <f t="shared" si="3"/>
        <v>0</v>
      </c>
      <c r="V1462" s="23">
        <f t="shared" si="4"/>
        <v>0</v>
      </c>
      <c r="W1462" s="24" t="str">
        <f t="shared" si="5"/>
        <v>#DIV/0!</v>
      </c>
    </row>
    <row r="1463">
      <c r="A1463" s="15" t="s">
        <v>5969</v>
      </c>
      <c r="B1463" s="45" t="s">
        <v>5970</v>
      </c>
      <c r="C1463" s="15" t="s">
        <v>8055</v>
      </c>
      <c r="D1463" s="15" t="s">
        <v>5971</v>
      </c>
      <c r="E1463" s="17" t="s">
        <v>5972</v>
      </c>
      <c r="F1463" s="18"/>
      <c r="G1463" s="18"/>
      <c r="H1463" s="15" t="s">
        <v>5973</v>
      </c>
      <c r="I1463" s="18"/>
      <c r="J1463" s="19" t="s">
        <v>702</v>
      </c>
      <c r="K1463" s="19" t="s">
        <v>1444</v>
      </c>
      <c r="L1463" s="19" t="s">
        <v>38</v>
      </c>
      <c r="M1463" s="20">
        <f t="shared" si="1"/>
        <v>0</v>
      </c>
      <c r="N1463" s="22"/>
      <c r="O1463" s="19" t="s">
        <v>3578</v>
      </c>
      <c r="P1463" s="18"/>
      <c r="Q1463" s="18"/>
      <c r="R1463" s="23">
        <v>0.0</v>
      </c>
      <c r="S1463" s="23">
        <v>0.0</v>
      </c>
      <c r="T1463" s="23">
        <f t="shared" si="2"/>
        <v>0</v>
      </c>
      <c r="U1463" s="23">
        <f t="shared" si="3"/>
        <v>0</v>
      </c>
      <c r="V1463" s="23">
        <f t="shared" si="4"/>
        <v>0</v>
      </c>
      <c r="W1463" s="24" t="str">
        <f t="shared" si="5"/>
        <v>#DIV/0!</v>
      </c>
    </row>
    <row r="1464">
      <c r="A1464" s="15" t="s">
        <v>5939</v>
      </c>
      <c r="B1464" s="45" t="s">
        <v>5940</v>
      </c>
      <c r="C1464" s="15" t="s">
        <v>8058</v>
      </c>
      <c r="D1464" s="15" t="s">
        <v>5941</v>
      </c>
      <c r="E1464" s="17" t="s">
        <v>5942</v>
      </c>
      <c r="F1464" s="18"/>
      <c r="G1464" s="18"/>
      <c r="H1464" s="15" t="s">
        <v>8059</v>
      </c>
      <c r="I1464" s="18"/>
      <c r="J1464" s="19" t="s">
        <v>702</v>
      </c>
      <c r="K1464" s="19" t="s">
        <v>1230</v>
      </c>
      <c r="L1464" s="19" t="s">
        <v>38</v>
      </c>
      <c r="M1464" s="20">
        <f t="shared" si="1"/>
        <v>4937.28</v>
      </c>
      <c r="N1464" s="31">
        <v>2.0</v>
      </c>
      <c r="O1464" s="19" t="s">
        <v>3578</v>
      </c>
      <c r="P1464" s="18"/>
      <c r="Q1464" s="18"/>
      <c r="R1464" s="23">
        <v>90.0</v>
      </c>
      <c r="S1464" s="23">
        <v>278.0</v>
      </c>
      <c r="T1464" s="23">
        <f t="shared" si="2"/>
        <v>266.88</v>
      </c>
      <c r="U1464" s="23">
        <f t="shared" si="3"/>
        <v>110.25</v>
      </c>
      <c r="V1464" s="23">
        <f t="shared" si="4"/>
        <v>2067.1875</v>
      </c>
      <c r="W1464" s="24">
        <f t="shared" si="5"/>
        <v>2.965333333</v>
      </c>
    </row>
    <row r="1465">
      <c r="A1465" s="15" t="s">
        <v>5975</v>
      </c>
      <c r="B1465" s="83" t="s">
        <v>5976</v>
      </c>
      <c r="C1465" s="55" t="s">
        <v>5977</v>
      </c>
      <c r="D1465" s="35" t="s">
        <v>5978</v>
      </c>
      <c r="E1465" s="35" t="s">
        <v>5979</v>
      </c>
      <c r="F1465" s="56"/>
      <c r="G1465" s="56"/>
      <c r="H1465" s="35" t="s">
        <v>5980</v>
      </c>
      <c r="I1465" s="56"/>
      <c r="J1465" s="57" t="s">
        <v>283</v>
      </c>
      <c r="K1465" s="58" t="s">
        <v>4972</v>
      </c>
      <c r="L1465" s="59" t="s">
        <v>38</v>
      </c>
      <c r="M1465" s="60">
        <f t="shared" si="1"/>
        <v>88.8</v>
      </c>
      <c r="N1465" s="22"/>
      <c r="O1465" s="61" t="s">
        <v>3578</v>
      </c>
      <c r="P1465" s="56"/>
      <c r="Q1465" s="56"/>
      <c r="R1465" s="62">
        <v>2.0</v>
      </c>
      <c r="S1465" s="63">
        <v>5.0</v>
      </c>
      <c r="T1465" s="62">
        <f t="shared" si="2"/>
        <v>4.8</v>
      </c>
      <c r="U1465" s="62">
        <f t="shared" si="3"/>
        <v>2.45</v>
      </c>
      <c r="V1465" s="62">
        <f t="shared" si="4"/>
        <v>45.9375</v>
      </c>
      <c r="W1465" s="84">
        <f t="shared" si="5"/>
        <v>2.4</v>
      </c>
    </row>
    <row r="1466">
      <c r="A1466" s="15" t="s">
        <v>5981</v>
      </c>
      <c r="B1466" s="35" t="s">
        <v>5982</v>
      </c>
      <c r="C1466" s="15" t="s">
        <v>5983</v>
      </c>
      <c r="D1466" s="15" t="s">
        <v>5984</v>
      </c>
      <c r="E1466" s="17" t="s">
        <v>5985</v>
      </c>
      <c r="F1466" s="18"/>
      <c r="G1466" s="18"/>
      <c r="H1466" s="15" t="s">
        <v>5986</v>
      </c>
      <c r="I1466" s="18"/>
      <c r="J1466" s="19" t="s">
        <v>283</v>
      </c>
      <c r="K1466" s="19" t="s">
        <v>4972</v>
      </c>
      <c r="L1466" s="19" t="s">
        <v>135</v>
      </c>
      <c r="M1466" s="20">
        <f t="shared" si="1"/>
        <v>337.44</v>
      </c>
      <c r="N1466" s="22"/>
      <c r="O1466" s="19" t="s">
        <v>3578</v>
      </c>
      <c r="P1466" s="18"/>
      <c r="Q1466" s="18"/>
      <c r="R1466" s="23">
        <v>24.0</v>
      </c>
      <c r="S1466" s="23">
        <v>19.0</v>
      </c>
      <c r="T1466" s="23">
        <f t="shared" si="2"/>
        <v>18.24</v>
      </c>
      <c r="U1466" s="23">
        <f t="shared" si="3"/>
        <v>29.4</v>
      </c>
      <c r="V1466" s="23">
        <f t="shared" si="4"/>
        <v>551.25</v>
      </c>
      <c r="W1466" s="24">
        <f t="shared" si="5"/>
        <v>0.76</v>
      </c>
    </row>
    <row r="1467">
      <c r="A1467" s="15" t="s">
        <v>5954</v>
      </c>
      <c r="B1467" s="83" t="s">
        <v>5955</v>
      </c>
      <c r="C1467" s="15" t="s">
        <v>5983</v>
      </c>
      <c r="D1467" s="15" t="s">
        <v>5956</v>
      </c>
      <c r="E1467" s="17" t="s">
        <v>5957</v>
      </c>
      <c r="F1467" s="18"/>
      <c r="G1467" s="18"/>
      <c r="H1467" s="15" t="s">
        <v>5958</v>
      </c>
      <c r="I1467" s="18"/>
      <c r="J1467" s="19" t="s">
        <v>283</v>
      </c>
      <c r="K1467" s="19" t="s">
        <v>4972</v>
      </c>
      <c r="L1467" s="19" t="s">
        <v>135</v>
      </c>
      <c r="M1467" s="20">
        <f t="shared" si="1"/>
        <v>337.44</v>
      </c>
      <c r="N1467" s="22"/>
      <c r="O1467" s="19" t="s">
        <v>3578</v>
      </c>
      <c r="P1467" s="18"/>
      <c r="Q1467" s="18"/>
      <c r="R1467" s="23">
        <v>7.0</v>
      </c>
      <c r="S1467" s="23">
        <v>19.0</v>
      </c>
      <c r="T1467" s="23">
        <f t="shared" si="2"/>
        <v>18.24</v>
      </c>
      <c r="U1467" s="23">
        <f t="shared" si="3"/>
        <v>8.575</v>
      </c>
      <c r="V1467" s="23">
        <f t="shared" si="4"/>
        <v>160.78125</v>
      </c>
      <c r="W1467" s="24">
        <f t="shared" si="5"/>
        <v>2.605714286</v>
      </c>
    </row>
    <row r="1468">
      <c r="A1468" s="15" t="s">
        <v>5959</v>
      </c>
      <c r="B1468" s="83" t="s">
        <v>5960</v>
      </c>
      <c r="C1468" s="15" t="s">
        <v>5983</v>
      </c>
      <c r="D1468" s="15" t="s">
        <v>5961</v>
      </c>
      <c r="E1468" s="17" t="s">
        <v>5962</v>
      </c>
      <c r="F1468" s="18"/>
      <c r="G1468" s="18"/>
      <c r="H1468" s="15" t="s">
        <v>5963</v>
      </c>
      <c r="I1468" s="18"/>
      <c r="J1468" s="19" t="s">
        <v>283</v>
      </c>
      <c r="K1468" s="19" t="s">
        <v>4972</v>
      </c>
      <c r="L1468" s="19" t="s">
        <v>135</v>
      </c>
      <c r="M1468" s="20">
        <f t="shared" si="1"/>
        <v>337.44</v>
      </c>
      <c r="N1468" s="22"/>
      <c r="O1468" s="19" t="s">
        <v>3578</v>
      </c>
      <c r="P1468" s="18"/>
      <c r="Q1468" s="18"/>
      <c r="R1468" s="23">
        <v>7.0</v>
      </c>
      <c r="S1468" s="23">
        <v>19.0</v>
      </c>
      <c r="T1468" s="23">
        <f t="shared" si="2"/>
        <v>18.24</v>
      </c>
      <c r="U1468" s="23">
        <f t="shared" si="3"/>
        <v>8.575</v>
      </c>
      <c r="V1468" s="23">
        <f t="shared" si="4"/>
        <v>160.78125</v>
      </c>
      <c r="W1468" s="24">
        <f t="shared" si="5"/>
        <v>2.605714286</v>
      </c>
    </row>
    <row r="1469">
      <c r="A1469" s="15" t="s">
        <v>5964</v>
      </c>
      <c r="B1469" s="83" t="s">
        <v>5965</v>
      </c>
      <c r="C1469" s="15" t="s">
        <v>5983</v>
      </c>
      <c r="D1469" s="15" t="s">
        <v>5966</v>
      </c>
      <c r="E1469" s="17" t="s">
        <v>5967</v>
      </c>
      <c r="F1469" s="18"/>
      <c r="G1469" s="18"/>
      <c r="H1469" s="15" t="s">
        <v>5968</v>
      </c>
      <c r="I1469" s="18"/>
      <c r="J1469" s="19" t="s">
        <v>283</v>
      </c>
      <c r="K1469" s="19" t="s">
        <v>4972</v>
      </c>
      <c r="L1469" s="19" t="s">
        <v>135</v>
      </c>
      <c r="M1469" s="20">
        <f t="shared" si="1"/>
        <v>337.44</v>
      </c>
      <c r="N1469" s="22"/>
      <c r="O1469" s="19" t="s">
        <v>3578</v>
      </c>
      <c r="P1469" s="18"/>
      <c r="Q1469" s="18"/>
      <c r="R1469" s="23">
        <v>7.0</v>
      </c>
      <c r="S1469" s="23">
        <v>19.0</v>
      </c>
      <c r="T1469" s="23">
        <f t="shared" si="2"/>
        <v>18.24</v>
      </c>
      <c r="U1469" s="23">
        <f t="shared" si="3"/>
        <v>8.575</v>
      </c>
      <c r="V1469" s="23">
        <f t="shared" si="4"/>
        <v>160.78125</v>
      </c>
      <c r="W1469" s="24">
        <f t="shared" si="5"/>
        <v>2.605714286</v>
      </c>
    </row>
    <row r="1470">
      <c r="A1470" s="15" t="s">
        <v>5336</v>
      </c>
      <c r="B1470" s="83" t="s">
        <v>5337</v>
      </c>
      <c r="C1470" s="15" t="s">
        <v>7317</v>
      </c>
      <c r="D1470" s="15" t="s">
        <v>5338</v>
      </c>
      <c r="E1470" s="17" t="s">
        <v>5339</v>
      </c>
      <c r="F1470" s="18"/>
      <c r="G1470" s="18"/>
      <c r="H1470" s="15" t="s">
        <v>5340</v>
      </c>
      <c r="I1470" s="18"/>
      <c r="J1470" s="19" t="s">
        <v>283</v>
      </c>
      <c r="K1470" s="19" t="s">
        <v>4972</v>
      </c>
      <c r="L1470" s="19" t="s">
        <v>38</v>
      </c>
      <c r="M1470" s="20">
        <f t="shared" si="1"/>
        <v>355.2</v>
      </c>
      <c r="N1470" s="22"/>
      <c r="O1470" s="19" t="s">
        <v>3578</v>
      </c>
      <c r="P1470" s="18"/>
      <c r="Q1470" s="18"/>
      <c r="R1470" s="23">
        <v>0.0</v>
      </c>
      <c r="S1470" s="23">
        <v>20.0</v>
      </c>
      <c r="T1470" s="23">
        <f t="shared" si="2"/>
        <v>19.2</v>
      </c>
      <c r="U1470" s="23">
        <f t="shared" si="3"/>
        <v>0</v>
      </c>
      <c r="V1470" s="23">
        <f t="shared" si="4"/>
        <v>0</v>
      </c>
      <c r="W1470" s="24" t="str">
        <f t="shared" si="5"/>
        <v>#DIV/0!</v>
      </c>
    </row>
    <row r="1471">
      <c r="A1471" s="15" t="s">
        <v>5341</v>
      </c>
      <c r="B1471" s="35" t="s">
        <v>5342</v>
      </c>
      <c r="C1471" s="15" t="s">
        <v>7317</v>
      </c>
      <c r="D1471" s="15" t="s">
        <v>5343</v>
      </c>
      <c r="E1471" s="17" t="s">
        <v>5344</v>
      </c>
      <c r="F1471" s="18"/>
      <c r="G1471" s="18"/>
      <c r="H1471" s="15" t="s">
        <v>5345</v>
      </c>
      <c r="I1471" s="18"/>
      <c r="J1471" s="19" t="s">
        <v>283</v>
      </c>
      <c r="K1471" s="19" t="s">
        <v>4972</v>
      </c>
      <c r="L1471" s="19" t="s">
        <v>38</v>
      </c>
      <c r="M1471" s="20">
        <f t="shared" si="1"/>
        <v>532.8</v>
      </c>
      <c r="N1471" s="22"/>
      <c r="O1471" s="19" t="s">
        <v>3578</v>
      </c>
      <c r="P1471" s="18"/>
      <c r="Q1471" s="18"/>
      <c r="R1471" s="23">
        <v>0.0</v>
      </c>
      <c r="S1471" s="23">
        <v>30.0</v>
      </c>
      <c r="T1471" s="23">
        <f t="shared" si="2"/>
        <v>28.8</v>
      </c>
      <c r="U1471" s="23">
        <f t="shared" si="3"/>
        <v>0</v>
      </c>
      <c r="V1471" s="23">
        <f t="shared" si="4"/>
        <v>0</v>
      </c>
      <c r="W1471" s="24" t="str">
        <f t="shared" si="5"/>
        <v>#DIV/0!</v>
      </c>
    </row>
    <row r="1472">
      <c r="A1472" s="15" t="s">
        <v>5346</v>
      </c>
      <c r="B1472" s="15" t="s">
        <v>5347</v>
      </c>
      <c r="C1472" s="18"/>
      <c r="D1472" s="15" t="s">
        <v>5348</v>
      </c>
      <c r="E1472" s="17" t="s">
        <v>5349</v>
      </c>
      <c r="F1472" s="18"/>
      <c r="G1472" s="18"/>
      <c r="H1472" s="15" t="s">
        <v>5350</v>
      </c>
      <c r="I1472" s="18"/>
      <c r="J1472" s="19" t="s">
        <v>59</v>
      </c>
      <c r="K1472" s="19" t="s">
        <v>52</v>
      </c>
      <c r="L1472" s="19" t="s">
        <v>84</v>
      </c>
      <c r="M1472" s="20">
        <f t="shared" si="1"/>
        <v>0</v>
      </c>
      <c r="N1472" s="22"/>
      <c r="O1472" s="19" t="s">
        <v>3578</v>
      </c>
      <c r="P1472" s="18"/>
      <c r="Q1472" s="18"/>
      <c r="R1472" s="23">
        <v>0.0</v>
      </c>
      <c r="S1472" s="23">
        <v>0.0</v>
      </c>
      <c r="T1472" s="23">
        <f t="shared" si="2"/>
        <v>0</v>
      </c>
      <c r="U1472" s="23">
        <f t="shared" si="3"/>
        <v>0</v>
      </c>
      <c r="V1472" s="23">
        <f t="shared" si="4"/>
        <v>0</v>
      </c>
      <c r="W1472" s="24" t="str">
        <f t="shared" si="5"/>
        <v>#DIV/0!</v>
      </c>
    </row>
    <row r="1473">
      <c r="A1473" s="15" t="s">
        <v>5351</v>
      </c>
      <c r="B1473" s="15" t="s">
        <v>5352</v>
      </c>
      <c r="C1473" s="18"/>
      <c r="D1473" s="15" t="s">
        <v>5353</v>
      </c>
      <c r="E1473" s="17" t="s">
        <v>5354</v>
      </c>
      <c r="F1473" s="18"/>
      <c r="G1473" s="18"/>
      <c r="H1473" s="15" t="s">
        <v>5355</v>
      </c>
      <c r="I1473" s="18"/>
      <c r="J1473" s="33"/>
      <c r="K1473" s="33"/>
      <c r="L1473" s="19" t="s">
        <v>38</v>
      </c>
      <c r="M1473" s="20">
        <f t="shared" si="1"/>
        <v>0</v>
      </c>
      <c r="N1473" s="22"/>
      <c r="O1473" s="19" t="s">
        <v>3578</v>
      </c>
      <c r="P1473" s="18"/>
      <c r="Q1473" s="18"/>
      <c r="R1473" s="23">
        <v>0.0</v>
      </c>
      <c r="S1473" s="23">
        <v>0.0</v>
      </c>
      <c r="T1473" s="23">
        <f t="shared" si="2"/>
        <v>0</v>
      </c>
      <c r="U1473" s="23">
        <f t="shared" si="3"/>
        <v>0</v>
      </c>
      <c r="V1473" s="23">
        <f t="shared" si="4"/>
        <v>0</v>
      </c>
      <c r="W1473" s="24" t="str">
        <f t="shared" si="5"/>
        <v>#DIV/0!</v>
      </c>
    </row>
    <row r="1474">
      <c r="A1474" s="15" t="s">
        <v>8170</v>
      </c>
      <c r="B1474" s="18"/>
      <c r="C1474" s="18"/>
      <c r="D1474" s="18"/>
      <c r="E1474" s="17" t="s">
        <v>8171</v>
      </c>
      <c r="F1474" s="18"/>
      <c r="G1474" s="18"/>
      <c r="H1474" s="15" t="s">
        <v>4685</v>
      </c>
      <c r="I1474" s="18"/>
      <c r="J1474" s="19" t="s">
        <v>104</v>
      </c>
      <c r="K1474" s="19" t="s">
        <v>52</v>
      </c>
      <c r="L1474" s="19" t="s">
        <v>52</v>
      </c>
      <c r="M1474" s="20">
        <f t="shared" si="1"/>
        <v>0</v>
      </c>
      <c r="N1474" s="22"/>
      <c r="O1474" s="19" t="s">
        <v>3578</v>
      </c>
      <c r="P1474" s="18"/>
      <c r="Q1474" s="18"/>
      <c r="R1474" s="23">
        <v>0.0</v>
      </c>
      <c r="S1474" s="23">
        <v>0.0</v>
      </c>
      <c r="T1474" s="23">
        <f t="shared" si="2"/>
        <v>0</v>
      </c>
      <c r="U1474" s="23">
        <f t="shared" si="3"/>
        <v>0</v>
      </c>
      <c r="V1474" s="23">
        <f t="shared" si="4"/>
        <v>0</v>
      </c>
      <c r="W1474" s="24" t="str">
        <f t="shared" si="5"/>
        <v>#DIV/0!</v>
      </c>
    </row>
    <row r="1475">
      <c r="A1475" s="15" t="s">
        <v>5357</v>
      </c>
      <c r="B1475" s="15" t="s">
        <v>5358</v>
      </c>
      <c r="C1475" s="18"/>
      <c r="D1475" s="18"/>
      <c r="E1475" s="17" t="s">
        <v>5359</v>
      </c>
      <c r="F1475" s="18"/>
      <c r="G1475" s="18"/>
      <c r="H1475" s="18"/>
      <c r="I1475" s="18"/>
      <c r="J1475" s="19" t="s">
        <v>104</v>
      </c>
      <c r="K1475" s="19" t="s">
        <v>717</v>
      </c>
      <c r="L1475" s="19" t="s">
        <v>106</v>
      </c>
      <c r="M1475" s="20">
        <f t="shared" si="1"/>
        <v>0</v>
      </c>
      <c r="N1475" s="22"/>
      <c r="O1475" s="19" t="s">
        <v>3578</v>
      </c>
      <c r="P1475" s="18"/>
      <c r="Q1475" s="18"/>
      <c r="R1475" s="23">
        <v>0.0</v>
      </c>
      <c r="S1475" s="23">
        <v>0.0</v>
      </c>
      <c r="T1475" s="23">
        <f t="shared" si="2"/>
        <v>0</v>
      </c>
      <c r="U1475" s="23">
        <f t="shared" si="3"/>
        <v>0</v>
      </c>
      <c r="V1475" s="23">
        <f t="shared" si="4"/>
        <v>0</v>
      </c>
      <c r="W1475" s="24" t="str">
        <f t="shared" si="5"/>
        <v>#DIV/0!</v>
      </c>
    </row>
    <row r="1476">
      <c r="A1476" s="15" t="s">
        <v>5360</v>
      </c>
      <c r="B1476" s="15" t="s">
        <v>5361</v>
      </c>
      <c r="C1476" s="18"/>
      <c r="D1476" s="18"/>
      <c r="E1476" s="17" t="s">
        <v>5362</v>
      </c>
      <c r="F1476" s="18"/>
      <c r="G1476" s="18"/>
      <c r="H1476" s="18"/>
      <c r="I1476" s="18"/>
      <c r="J1476" s="19" t="s">
        <v>104</v>
      </c>
      <c r="K1476" s="19" t="s">
        <v>160</v>
      </c>
      <c r="L1476" s="19" t="s">
        <v>106</v>
      </c>
      <c r="M1476" s="20">
        <f t="shared" si="1"/>
        <v>0</v>
      </c>
      <c r="N1476" s="22"/>
      <c r="O1476" s="19" t="s">
        <v>3578</v>
      </c>
      <c r="P1476" s="18"/>
      <c r="Q1476" s="18"/>
      <c r="R1476" s="23">
        <v>0.0</v>
      </c>
      <c r="S1476" s="23">
        <v>0.0</v>
      </c>
      <c r="T1476" s="23">
        <f t="shared" si="2"/>
        <v>0</v>
      </c>
      <c r="U1476" s="23">
        <f t="shared" si="3"/>
        <v>0</v>
      </c>
      <c r="V1476" s="23">
        <f t="shared" si="4"/>
        <v>0</v>
      </c>
      <c r="W1476" s="24" t="str">
        <f t="shared" si="5"/>
        <v>#DIV/0!</v>
      </c>
    </row>
    <row r="1477">
      <c r="A1477" s="15" t="s">
        <v>5363</v>
      </c>
      <c r="B1477" s="15" t="s">
        <v>5364</v>
      </c>
      <c r="C1477" s="18"/>
      <c r="D1477" s="15" t="s">
        <v>5365</v>
      </c>
      <c r="E1477" s="17" t="s">
        <v>5366</v>
      </c>
      <c r="F1477" s="18"/>
      <c r="G1477" s="18"/>
      <c r="H1477" s="15" t="s">
        <v>5367</v>
      </c>
      <c r="I1477" s="18"/>
      <c r="J1477" s="19" t="s">
        <v>59</v>
      </c>
      <c r="K1477" s="33"/>
      <c r="L1477" s="19" t="s">
        <v>38</v>
      </c>
      <c r="M1477" s="20">
        <f t="shared" si="1"/>
        <v>0</v>
      </c>
      <c r="N1477" s="22"/>
      <c r="O1477" s="19" t="s">
        <v>3578</v>
      </c>
      <c r="P1477" s="18"/>
      <c r="Q1477" s="18"/>
      <c r="R1477" s="23">
        <v>0.0</v>
      </c>
      <c r="S1477" s="23">
        <v>0.0</v>
      </c>
      <c r="T1477" s="23">
        <f t="shared" si="2"/>
        <v>0</v>
      </c>
      <c r="U1477" s="23">
        <f t="shared" si="3"/>
        <v>0</v>
      </c>
      <c r="V1477" s="23">
        <f t="shared" si="4"/>
        <v>0</v>
      </c>
      <c r="W1477" s="24" t="str">
        <f t="shared" si="5"/>
        <v>#DIV/0!</v>
      </c>
    </row>
    <row r="1478">
      <c r="A1478" s="15" t="s">
        <v>5368</v>
      </c>
      <c r="B1478" s="15" t="s">
        <v>5369</v>
      </c>
      <c r="C1478" s="18"/>
      <c r="D1478" s="15" t="s">
        <v>5370</v>
      </c>
      <c r="E1478" s="17" t="s">
        <v>5371</v>
      </c>
      <c r="F1478" s="18"/>
      <c r="G1478" s="18"/>
      <c r="H1478" s="15" t="s">
        <v>2898</v>
      </c>
      <c r="I1478" s="18"/>
      <c r="J1478" s="19" t="s">
        <v>59</v>
      </c>
      <c r="K1478" s="33"/>
      <c r="L1478" s="19" t="s">
        <v>38</v>
      </c>
      <c r="M1478" s="20">
        <f t="shared" si="1"/>
        <v>0</v>
      </c>
      <c r="N1478" s="22"/>
      <c r="O1478" s="19" t="s">
        <v>3578</v>
      </c>
      <c r="P1478" s="18"/>
      <c r="Q1478" s="18"/>
      <c r="R1478" s="23">
        <v>0.0</v>
      </c>
      <c r="S1478" s="23">
        <v>0.0</v>
      </c>
      <c r="T1478" s="23">
        <f t="shared" si="2"/>
        <v>0</v>
      </c>
      <c r="U1478" s="23">
        <f t="shared" si="3"/>
        <v>0</v>
      </c>
      <c r="V1478" s="23">
        <f t="shared" si="4"/>
        <v>0</v>
      </c>
      <c r="W1478" s="24" t="str">
        <f t="shared" si="5"/>
        <v>#DIV/0!</v>
      </c>
    </row>
    <row r="1479">
      <c r="A1479" s="15" t="s">
        <v>5372</v>
      </c>
      <c r="B1479" s="15" t="s">
        <v>5373</v>
      </c>
      <c r="C1479" s="18"/>
      <c r="D1479" s="15" t="s">
        <v>5374</v>
      </c>
      <c r="E1479" s="17" t="s">
        <v>5375</v>
      </c>
      <c r="F1479" s="18"/>
      <c r="G1479" s="18"/>
      <c r="H1479" s="15" t="s">
        <v>5376</v>
      </c>
      <c r="I1479" s="18"/>
      <c r="J1479" s="19" t="s">
        <v>59</v>
      </c>
      <c r="K1479" s="33"/>
      <c r="L1479" s="19" t="s">
        <v>38</v>
      </c>
      <c r="M1479" s="20">
        <f t="shared" si="1"/>
        <v>0</v>
      </c>
      <c r="N1479" s="22"/>
      <c r="O1479" s="19" t="s">
        <v>3578</v>
      </c>
      <c r="P1479" s="18"/>
      <c r="Q1479" s="18"/>
      <c r="R1479" s="23">
        <v>0.0</v>
      </c>
      <c r="S1479" s="23">
        <v>0.0</v>
      </c>
      <c r="T1479" s="23">
        <f t="shared" si="2"/>
        <v>0</v>
      </c>
      <c r="U1479" s="23">
        <f t="shared" si="3"/>
        <v>0</v>
      </c>
      <c r="V1479" s="23">
        <f t="shared" si="4"/>
        <v>0</v>
      </c>
      <c r="W1479" s="24" t="str">
        <f t="shared" si="5"/>
        <v>#DIV/0!</v>
      </c>
    </row>
    <row r="1480">
      <c r="A1480" s="15" t="s">
        <v>5377</v>
      </c>
      <c r="B1480" s="15" t="s">
        <v>5378</v>
      </c>
      <c r="C1480" s="18"/>
      <c r="D1480" s="15" t="s">
        <v>5379</v>
      </c>
      <c r="E1480" s="17" t="s">
        <v>5380</v>
      </c>
      <c r="F1480" s="18"/>
      <c r="G1480" s="18"/>
      <c r="H1480" s="15" t="s">
        <v>5381</v>
      </c>
      <c r="I1480" s="18"/>
      <c r="J1480" s="19" t="s">
        <v>36</v>
      </c>
      <c r="K1480" s="33"/>
      <c r="L1480" s="19" t="s">
        <v>38</v>
      </c>
      <c r="M1480" s="20">
        <f t="shared" si="1"/>
        <v>0</v>
      </c>
      <c r="N1480" s="22"/>
      <c r="O1480" s="19" t="s">
        <v>3578</v>
      </c>
      <c r="P1480" s="18"/>
      <c r="Q1480" s="18"/>
      <c r="R1480" s="23">
        <v>0.0</v>
      </c>
      <c r="S1480" s="23">
        <v>0.0</v>
      </c>
      <c r="T1480" s="23">
        <f t="shared" si="2"/>
        <v>0</v>
      </c>
      <c r="U1480" s="23">
        <f t="shared" si="3"/>
        <v>0</v>
      </c>
      <c r="V1480" s="23">
        <f t="shared" si="4"/>
        <v>0</v>
      </c>
      <c r="W1480" s="24" t="str">
        <f t="shared" si="5"/>
        <v>#DIV/0!</v>
      </c>
    </row>
    <row r="1481">
      <c r="A1481" s="15" t="s">
        <v>5382</v>
      </c>
      <c r="B1481" s="15" t="s">
        <v>5383</v>
      </c>
      <c r="C1481" s="18"/>
      <c r="D1481" s="15" t="s">
        <v>4315</v>
      </c>
      <c r="E1481" s="17" t="s">
        <v>192</v>
      </c>
      <c r="F1481" s="18"/>
      <c r="G1481" s="18"/>
      <c r="H1481" s="15" t="s">
        <v>5384</v>
      </c>
      <c r="I1481" s="18"/>
      <c r="J1481" s="19" t="s">
        <v>36</v>
      </c>
      <c r="K1481" s="33"/>
      <c r="L1481" s="19" t="s">
        <v>38</v>
      </c>
      <c r="M1481" s="20">
        <f t="shared" si="1"/>
        <v>0</v>
      </c>
      <c r="N1481" s="22"/>
      <c r="O1481" s="19" t="s">
        <v>3578</v>
      </c>
      <c r="P1481" s="18"/>
      <c r="Q1481" s="18"/>
      <c r="R1481" s="23">
        <v>0.0</v>
      </c>
      <c r="S1481" s="23">
        <v>0.0</v>
      </c>
      <c r="T1481" s="23">
        <f t="shared" si="2"/>
        <v>0</v>
      </c>
      <c r="U1481" s="23">
        <f t="shared" si="3"/>
        <v>0</v>
      </c>
      <c r="V1481" s="23">
        <f t="shared" si="4"/>
        <v>0</v>
      </c>
      <c r="W1481" s="24" t="str">
        <f t="shared" si="5"/>
        <v>#DIV/0!</v>
      </c>
    </row>
    <row r="1482">
      <c r="A1482" s="15" t="s">
        <v>5385</v>
      </c>
      <c r="B1482" s="15" t="s">
        <v>5386</v>
      </c>
      <c r="C1482" s="18"/>
      <c r="D1482" s="15" t="s">
        <v>5387</v>
      </c>
      <c r="E1482" s="17" t="s">
        <v>5388</v>
      </c>
      <c r="F1482" s="18"/>
      <c r="G1482" s="18"/>
      <c r="H1482" s="18"/>
      <c r="I1482" s="18"/>
      <c r="J1482" s="19" t="s">
        <v>36</v>
      </c>
      <c r="K1482" s="33"/>
      <c r="L1482" s="19" t="s">
        <v>38</v>
      </c>
      <c r="M1482" s="20">
        <f t="shared" si="1"/>
        <v>0</v>
      </c>
      <c r="N1482" s="22"/>
      <c r="O1482" s="19" t="s">
        <v>3578</v>
      </c>
      <c r="P1482" s="18"/>
      <c r="Q1482" s="18"/>
      <c r="R1482" s="23">
        <v>0.0</v>
      </c>
      <c r="S1482" s="23">
        <v>0.0</v>
      </c>
      <c r="T1482" s="23">
        <f t="shared" si="2"/>
        <v>0</v>
      </c>
      <c r="U1482" s="23">
        <f t="shared" si="3"/>
        <v>0</v>
      </c>
      <c r="V1482" s="23">
        <f t="shared" si="4"/>
        <v>0</v>
      </c>
      <c r="W1482" s="24" t="str">
        <f t="shared" si="5"/>
        <v>#DIV/0!</v>
      </c>
    </row>
    <row r="1483">
      <c r="A1483" s="15" t="s">
        <v>5389</v>
      </c>
      <c r="B1483" s="15" t="s">
        <v>5390</v>
      </c>
      <c r="C1483" s="18"/>
      <c r="D1483" s="18"/>
      <c r="E1483" s="17" t="s">
        <v>5391</v>
      </c>
      <c r="F1483" s="18"/>
      <c r="G1483" s="18"/>
      <c r="H1483" s="15" t="s">
        <v>5392</v>
      </c>
      <c r="I1483" s="18"/>
      <c r="J1483" s="19" t="s">
        <v>36</v>
      </c>
      <c r="K1483" s="33"/>
      <c r="L1483" s="19" t="s">
        <v>38</v>
      </c>
      <c r="M1483" s="20">
        <f t="shared" si="1"/>
        <v>0</v>
      </c>
      <c r="N1483" s="22"/>
      <c r="O1483" s="19" t="s">
        <v>3578</v>
      </c>
      <c r="P1483" s="18"/>
      <c r="Q1483" s="18"/>
      <c r="R1483" s="23">
        <v>0.0</v>
      </c>
      <c r="S1483" s="23">
        <v>0.0</v>
      </c>
      <c r="T1483" s="23">
        <f t="shared" si="2"/>
        <v>0</v>
      </c>
      <c r="U1483" s="23">
        <f t="shared" si="3"/>
        <v>0</v>
      </c>
      <c r="V1483" s="23">
        <f t="shared" si="4"/>
        <v>0</v>
      </c>
      <c r="W1483" s="24" t="str">
        <f t="shared" si="5"/>
        <v>#DIV/0!</v>
      </c>
    </row>
    <row r="1484" hidden="1">
      <c r="A1484" s="15" t="s">
        <v>5393</v>
      </c>
      <c r="B1484" s="18"/>
      <c r="C1484" s="18"/>
      <c r="D1484" s="18"/>
      <c r="E1484" s="85"/>
      <c r="F1484" s="18"/>
      <c r="G1484" s="18"/>
      <c r="H1484" s="18"/>
      <c r="I1484" s="18"/>
      <c r="J1484" s="33"/>
      <c r="K1484" s="33"/>
      <c r="L1484" s="19" t="s">
        <v>38</v>
      </c>
      <c r="M1484" s="20">
        <f t="shared" si="1"/>
        <v>0</v>
      </c>
      <c r="N1484" s="22"/>
      <c r="O1484" s="19" t="s">
        <v>1145</v>
      </c>
      <c r="P1484" s="18"/>
      <c r="Q1484" s="18"/>
      <c r="R1484" s="23">
        <v>0.0</v>
      </c>
      <c r="S1484" s="23">
        <v>0.0</v>
      </c>
      <c r="T1484" s="23">
        <f t="shared" si="2"/>
        <v>0</v>
      </c>
      <c r="U1484" s="23">
        <f t="shared" si="3"/>
        <v>0</v>
      </c>
      <c r="V1484" s="23">
        <f t="shared" si="4"/>
        <v>0</v>
      </c>
      <c r="W1484" s="24" t="str">
        <f t="shared" si="5"/>
        <v>#DIV/0!</v>
      </c>
    </row>
    <row r="1485" hidden="1">
      <c r="A1485" s="15" t="s">
        <v>5398</v>
      </c>
      <c r="B1485" s="18"/>
      <c r="C1485" s="18"/>
      <c r="D1485" s="18"/>
      <c r="E1485" s="85"/>
      <c r="F1485" s="18"/>
      <c r="G1485" s="18"/>
      <c r="H1485" s="18"/>
      <c r="I1485" s="18"/>
      <c r="J1485" s="33"/>
      <c r="K1485" s="33"/>
      <c r="L1485" s="19" t="s">
        <v>38</v>
      </c>
      <c r="M1485" s="20">
        <f t="shared" si="1"/>
        <v>0</v>
      </c>
      <c r="N1485" s="22"/>
      <c r="O1485" s="19" t="s">
        <v>1145</v>
      </c>
      <c r="P1485" s="18"/>
      <c r="Q1485" s="18"/>
      <c r="R1485" s="23">
        <v>0.0</v>
      </c>
      <c r="S1485" s="23">
        <v>0.0</v>
      </c>
      <c r="T1485" s="23">
        <f t="shared" si="2"/>
        <v>0</v>
      </c>
      <c r="U1485" s="23">
        <f t="shared" si="3"/>
        <v>0</v>
      </c>
      <c r="V1485" s="23">
        <f t="shared" si="4"/>
        <v>0</v>
      </c>
      <c r="W1485" s="24" t="str">
        <f t="shared" si="5"/>
        <v>#DIV/0!</v>
      </c>
    </row>
    <row r="1486" hidden="1">
      <c r="A1486" s="15" t="s">
        <v>5403</v>
      </c>
      <c r="B1486" s="18"/>
      <c r="C1486" s="18"/>
      <c r="D1486" s="18"/>
      <c r="E1486" s="85"/>
      <c r="F1486" s="18"/>
      <c r="G1486" s="18"/>
      <c r="H1486" s="18"/>
      <c r="I1486" s="18"/>
      <c r="J1486" s="33"/>
      <c r="K1486" s="33"/>
      <c r="L1486" s="19" t="s">
        <v>38</v>
      </c>
      <c r="M1486" s="20">
        <f t="shared" si="1"/>
        <v>0</v>
      </c>
      <c r="N1486" s="22"/>
      <c r="O1486" s="19" t="s">
        <v>1145</v>
      </c>
      <c r="P1486" s="18"/>
      <c r="Q1486" s="18"/>
      <c r="R1486" s="23">
        <v>0.0</v>
      </c>
      <c r="S1486" s="23">
        <v>0.0</v>
      </c>
      <c r="T1486" s="23">
        <f t="shared" si="2"/>
        <v>0</v>
      </c>
      <c r="U1486" s="23">
        <f t="shared" si="3"/>
        <v>0</v>
      </c>
      <c r="V1486" s="23">
        <f t="shared" si="4"/>
        <v>0</v>
      </c>
      <c r="W1486" s="24" t="str">
        <f t="shared" si="5"/>
        <v>#DIV/0!</v>
      </c>
    </row>
    <row r="1487" hidden="1">
      <c r="A1487" s="15" t="s">
        <v>5408</v>
      </c>
      <c r="B1487" s="18"/>
      <c r="C1487" s="18"/>
      <c r="D1487" s="18"/>
      <c r="E1487" s="85"/>
      <c r="F1487" s="18"/>
      <c r="G1487" s="18"/>
      <c r="H1487" s="18"/>
      <c r="I1487" s="18"/>
      <c r="J1487" s="33"/>
      <c r="K1487" s="33"/>
      <c r="L1487" s="19" t="s">
        <v>38</v>
      </c>
      <c r="M1487" s="20">
        <f t="shared" si="1"/>
        <v>0</v>
      </c>
      <c r="N1487" s="22"/>
      <c r="O1487" s="19" t="s">
        <v>1145</v>
      </c>
      <c r="P1487" s="18"/>
      <c r="Q1487" s="18"/>
      <c r="R1487" s="23">
        <v>0.0</v>
      </c>
      <c r="S1487" s="23">
        <v>0.0</v>
      </c>
      <c r="T1487" s="23">
        <f t="shared" si="2"/>
        <v>0</v>
      </c>
      <c r="U1487" s="23">
        <f t="shared" si="3"/>
        <v>0</v>
      </c>
      <c r="V1487" s="23">
        <f t="shared" si="4"/>
        <v>0</v>
      </c>
      <c r="W1487" s="24" t="str">
        <f t="shared" si="5"/>
        <v>#DIV/0!</v>
      </c>
    </row>
    <row r="1488" hidden="1">
      <c r="A1488" s="15" t="s">
        <v>5414</v>
      </c>
      <c r="B1488" s="18"/>
      <c r="C1488" s="18"/>
      <c r="D1488" s="18"/>
      <c r="E1488" s="85"/>
      <c r="F1488" s="18"/>
      <c r="G1488" s="18"/>
      <c r="H1488" s="18"/>
      <c r="I1488" s="18"/>
      <c r="J1488" s="33"/>
      <c r="K1488" s="33"/>
      <c r="L1488" s="19" t="s">
        <v>38</v>
      </c>
      <c r="M1488" s="20">
        <f t="shared" si="1"/>
        <v>0</v>
      </c>
      <c r="N1488" s="22"/>
      <c r="O1488" s="19" t="s">
        <v>1145</v>
      </c>
      <c r="P1488" s="18"/>
      <c r="Q1488" s="18"/>
      <c r="R1488" s="23">
        <v>0.0</v>
      </c>
      <c r="S1488" s="23">
        <v>0.0</v>
      </c>
      <c r="T1488" s="23">
        <f t="shared" si="2"/>
        <v>0</v>
      </c>
      <c r="U1488" s="23">
        <f t="shared" si="3"/>
        <v>0</v>
      </c>
      <c r="V1488" s="23">
        <f t="shared" si="4"/>
        <v>0</v>
      </c>
      <c r="W1488" s="24" t="str">
        <f t="shared" si="5"/>
        <v>#DIV/0!</v>
      </c>
    </row>
    <row r="1489" hidden="1">
      <c r="A1489" s="15" t="s">
        <v>5419</v>
      </c>
      <c r="B1489" s="18"/>
      <c r="C1489" s="18"/>
      <c r="D1489" s="18"/>
      <c r="E1489" s="85"/>
      <c r="F1489" s="18"/>
      <c r="G1489" s="18"/>
      <c r="H1489" s="18"/>
      <c r="I1489" s="18"/>
      <c r="J1489" s="33"/>
      <c r="K1489" s="33"/>
      <c r="L1489" s="19" t="s">
        <v>38</v>
      </c>
      <c r="M1489" s="20">
        <f t="shared" si="1"/>
        <v>0</v>
      </c>
      <c r="N1489" s="22"/>
      <c r="O1489" s="19" t="s">
        <v>1145</v>
      </c>
      <c r="P1489" s="18"/>
      <c r="Q1489" s="18"/>
      <c r="R1489" s="23">
        <v>0.0</v>
      </c>
      <c r="S1489" s="23">
        <v>0.0</v>
      </c>
      <c r="T1489" s="23">
        <f t="shared" si="2"/>
        <v>0</v>
      </c>
      <c r="U1489" s="23">
        <f t="shared" si="3"/>
        <v>0</v>
      </c>
      <c r="V1489" s="23">
        <f t="shared" si="4"/>
        <v>0</v>
      </c>
      <c r="W1489" s="24" t="str">
        <f t="shared" si="5"/>
        <v>#DIV/0!</v>
      </c>
    </row>
    <row r="1490" hidden="1">
      <c r="A1490" s="15" t="s">
        <v>5422</v>
      </c>
      <c r="B1490" s="18"/>
      <c r="C1490" s="18"/>
      <c r="D1490" s="18"/>
      <c r="E1490" s="85"/>
      <c r="F1490" s="18"/>
      <c r="G1490" s="18"/>
      <c r="H1490" s="18"/>
      <c r="I1490" s="18"/>
      <c r="J1490" s="33"/>
      <c r="K1490" s="33"/>
      <c r="L1490" s="19" t="s">
        <v>38</v>
      </c>
      <c r="M1490" s="20">
        <f t="shared" si="1"/>
        <v>0</v>
      </c>
      <c r="N1490" s="22"/>
      <c r="O1490" s="19" t="s">
        <v>1145</v>
      </c>
      <c r="P1490" s="18"/>
      <c r="Q1490" s="18"/>
      <c r="R1490" s="23">
        <v>0.0</v>
      </c>
      <c r="S1490" s="23">
        <v>0.0</v>
      </c>
      <c r="T1490" s="23">
        <f t="shared" si="2"/>
        <v>0</v>
      </c>
      <c r="U1490" s="23">
        <f t="shared" si="3"/>
        <v>0</v>
      </c>
      <c r="V1490" s="23">
        <f t="shared" si="4"/>
        <v>0</v>
      </c>
      <c r="W1490" s="24" t="str">
        <f t="shared" si="5"/>
        <v>#DIV/0!</v>
      </c>
    </row>
    <row r="1491" hidden="1">
      <c r="A1491" s="15" t="s">
        <v>5427</v>
      </c>
      <c r="B1491" s="18"/>
      <c r="C1491" s="18"/>
      <c r="D1491" s="18"/>
      <c r="E1491" s="85"/>
      <c r="F1491" s="18"/>
      <c r="G1491" s="18"/>
      <c r="H1491" s="18"/>
      <c r="I1491" s="18"/>
      <c r="J1491" s="33"/>
      <c r="K1491" s="33"/>
      <c r="L1491" s="19" t="s">
        <v>38</v>
      </c>
      <c r="M1491" s="20">
        <f t="shared" si="1"/>
        <v>0</v>
      </c>
      <c r="N1491" s="22"/>
      <c r="O1491" s="19" t="s">
        <v>1145</v>
      </c>
      <c r="P1491" s="18"/>
      <c r="Q1491" s="18"/>
      <c r="R1491" s="23">
        <v>0.0</v>
      </c>
      <c r="S1491" s="23">
        <v>0.0</v>
      </c>
      <c r="T1491" s="23">
        <f t="shared" si="2"/>
        <v>0</v>
      </c>
      <c r="U1491" s="23">
        <f t="shared" si="3"/>
        <v>0</v>
      </c>
      <c r="V1491" s="23">
        <f t="shared" si="4"/>
        <v>0</v>
      </c>
      <c r="W1491" s="24" t="str">
        <f t="shared" si="5"/>
        <v>#DIV/0!</v>
      </c>
    </row>
    <row r="1492" hidden="1">
      <c r="A1492" s="15" t="s">
        <v>5432</v>
      </c>
      <c r="B1492" s="18"/>
      <c r="C1492" s="18"/>
      <c r="D1492" s="18"/>
      <c r="E1492" s="85"/>
      <c r="F1492" s="18"/>
      <c r="G1492" s="18"/>
      <c r="H1492" s="18"/>
      <c r="I1492" s="18"/>
      <c r="J1492" s="33"/>
      <c r="K1492" s="33"/>
      <c r="L1492" s="19" t="s">
        <v>38</v>
      </c>
      <c r="M1492" s="20">
        <f t="shared" si="1"/>
        <v>0</v>
      </c>
      <c r="N1492" s="22"/>
      <c r="O1492" s="19" t="s">
        <v>1145</v>
      </c>
      <c r="P1492" s="18"/>
      <c r="Q1492" s="18"/>
      <c r="R1492" s="23">
        <v>0.0</v>
      </c>
      <c r="S1492" s="23">
        <v>0.0</v>
      </c>
      <c r="T1492" s="23">
        <f t="shared" si="2"/>
        <v>0</v>
      </c>
      <c r="U1492" s="23">
        <f t="shared" si="3"/>
        <v>0</v>
      </c>
      <c r="V1492" s="23">
        <f t="shared" si="4"/>
        <v>0</v>
      </c>
      <c r="W1492" s="24" t="str">
        <f t="shared" si="5"/>
        <v>#DIV/0!</v>
      </c>
    </row>
    <row r="1493" hidden="1">
      <c r="A1493" s="15" t="s">
        <v>3563</v>
      </c>
      <c r="B1493" s="18"/>
      <c r="C1493" s="18"/>
      <c r="D1493" s="18"/>
      <c r="E1493" s="85"/>
      <c r="F1493" s="18"/>
      <c r="G1493" s="18"/>
      <c r="H1493" s="18"/>
      <c r="I1493" s="18"/>
      <c r="J1493" s="33"/>
      <c r="K1493" s="33"/>
      <c r="L1493" s="19" t="s">
        <v>38</v>
      </c>
      <c r="M1493" s="20">
        <f t="shared" si="1"/>
        <v>0</v>
      </c>
      <c r="N1493" s="22"/>
      <c r="O1493" s="19" t="s">
        <v>1145</v>
      </c>
      <c r="P1493" s="18"/>
      <c r="Q1493" s="18"/>
      <c r="R1493" s="23">
        <v>0.0</v>
      </c>
      <c r="S1493" s="23">
        <v>0.0</v>
      </c>
      <c r="T1493" s="23">
        <f t="shared" si="2"/>
        <v>0</v>
      </c>
      <c r="U1493" s="23">
        <f t="shared" si="3"/>
        <v>0</v>
      </c>
      <c r="V1493" s="23">
        <f t="shared" si="4"/>
        <v>0</v>
      </c>
      <c r="W1493" s="24" t="str">
        <f t="shared" si="5"/>
        <v>#DIV/0!</v>
      </c>
    </row>
    <row r="1494" hidden="1">
      <c r="A1494" s="15" t="s">
        <v>5438</v>
      </c>
      <c r="B1494" s="18"/>
      <c r="C1494" s="18"/>
      <c r="D1494" s="18"/>
      <c r="E1494" s="85"/>
      <c r="F1494" s="18"/>
      <c r="G1494" s="18"/>
      <c r="H1494" s="18"/>
      <c r="I1494" s="18"/>
      <c r="J1494" s="33"/>
      <c r="K1494" s="33"/>
      <c r="L1494" s="19" t="s">
        <v>38</v>
      </c>
      <c r="M1494" s="20">
        <f t="shared" si="1"/>
        <v>0</v>
      </c>
      <c r="N1494" s="22"/>
      <c r="O1494" s="19" t="s">
        <v>1145</v>
      </c>
      <c r="P1494" s="18"/>
      <c r="Q1494" s="18"/>
      <c r="R1494" s="23">
        <v>0.0</v>
      </c>
      <c r="S1494" s="23">
        <v>0.0</v>
      </c>
      <c r="T1494" s="23">
        <f t="shared" si="2"/>
        <v>0</v>
      </c>
      <c r="U1494" s="23">
        <f t="shared" si="3"/>
        <v>0</v>
      </c>
      <c r="V1494" s="23">
        <f t="shared" si="4"/>
        <v>0</v>
      </c>
      <c r="W1494" s="24" t="str">
        <f t="shared" si="5"/>
        <v>#DIV/0!</v>
      </c>
    </row>
    <row r="1495" hidden="1">
      <c r="A1495" s="15" t="s">
        <v>5443</v>
      </c>
      <c r="B1495" s="18"/>
      <c r="C1495" s="18"/>
      <c r="D1495" s="18"/>
      <c r="E1495" s="85"/>
      <c r="F1495" s="18"/>
      <c r="G1495" s="18"/>
      <c r="H1495" s="18"/>
      <c r="I1495" s="18"/>
      <c r="J1495" s="33"/>
      <c r="K1495" s="33"/>
      <c r="L1495" s="19" t="s">
        <v>38</v>
      </c>
      <c r="M1495" s="20">
        <f t="shared" si="1"/>
        <v>0</v>
      </c>
      <c r="N1495" s="22"/>
      <c r="O1495" s="19" t="s">
        <v>1145</v>
      </c>
      <c r="P1495" s="18"/>
      <c r="Q1495" s="18"/>
      <c r="R1495" s="23">
        <v>0.0</v>
      </c>
      <c r="S1495" s="23">
        <v>0.0</v>
      </c>
      <c r="T1495" s="23">
        <f t="shared" si="2"/>
        <v>0</v>
      </c>
      <c r="U1495" s="23">
        <f t="shared" si="3"/>
        <v>0</v>
      </c>
      <c r="V1495" s="23">
        <f t="shared" si="4"/>
        <v>0</v>
      </c>
      <c r="W1495" s="24" t="str">
        <f t="shared" si="5"/>
        <v>#DIV/0!</v>
      </c>
    </row>
    <row r="1496" hidden="1">
      <c r="A1496" s="15" t="s">
        <v>5448</v>
      </c>
      <c r="B1496" s="18"/>
      <c r="C1496" s="18"/>
      <c r="D1496" s="18"/>
      <c r="E1496" s="85"/>
      <c r="F1496" s="18"/>
      <c r="G1496" s="18"/>
      <c r="H1496" s="18"/>
      <c r="I1496" s="18"/>
      <c r="J1496" s="33"/>
      <c r="K1496" s="33"/>
      <c r="L1496" s="19" t="s">
        <v>38</v>
      </c>
      <c r="M1496" s="20">
        <f t="shared" si="1"/>
        <v>0</v>
      </c>
      <c r="N1496" s="22"/>
      <c r="O1496" s="19" t="s">
        <v>1145</v>
      </c>
      <c r="P1496" s="18"/>
      <c r="Q1496" s="18"/>
      <c r="R1496" s="23">
        <v>0.0</v>
      </c>
      <c r="S1496" s="23">
        <v>0.0</v>
      </c>
      <c r="T1496" s="23">
        <f t="shared" si="2"/>
        <v>0</v>
      </c>
      <c r="U1496" s="23">
        <f t="shared" si="3"/>
        <v>0</v>
      </c>
      <c r="V1496" s="23">
        <f t="shared" si="4"/>
        <v>0</v>
      </c>
      <c r="W1496" s="24" t="str">
        <f t="shared" si="5"/>
        <v>#DIV/0!</v>
      </c>
    </row>
    <row r="1497" hidden="1">
      <c r="A1497" s="15" t="s">
        <v>5454</v>
      </c>
      <c r="B1497" s="18"/>
      <c r="C1497" s="18"/>
      <c r="D1497" s="18"/>
      <c r="E1497" s="85"/>
      <c r="F1497" s="18"/>
      <c r="G1497" s="18"/>
      <c r="H1497" s="18"/>
      <c r="I1497" s="18"/>
      <c r="J1497" s="33"/>
      <c r="K1497" s="33"/>
      <c r="L1497" s="19" t="s">
        <v>38</v>
      </c>
      <c r="M1497" s="20">
        <f t="shared" si="1"/>
        <v>0</v>
      </c>
      <c r="N1497" s="22"/>
      <c r="O1497" s="19" t="s">
        <v>1145</v>
      </c>
      <c r="P1497" s="18"/>
      <c r="Q1497" s="18"/>
      <c r="R1497" s="23">
        <v>0.0</v>
      </c>
      <c r="S1497" s="23">
        <v>0.0</v>
      </c>
      <c r="T1497" s="23">
        <f t="shared" si="2"/>
        <v>0</v>
      </c>
      <c r="U1497" s="23">
        <f t="shared" si="3"/>
        <v>0</v>
      </c>
      <c r="V1497" s="23">
        <f t="shared" si="4"/>
        <v>0</v>
      </c>
      <c r="W1497" s="24" t="str">
        <f t="shared" si="5"/>
        <v>#DIV/0!</v>
      </c>
    </row>
    <row r="1498" hidden="1">
      <c r="A1498" s="15" t="s">
        <v>5459</v>
      </c>
      <c r="B1498" s="18"/>
      <c r="C1498" s="18"/>
      <c r="D1498" s="18"/>
      <c r="E1498" s="85"/>
      <c r="F1498" s="18"/>
      <c r="G1498" s="18"/>
      <c r="H1498" s="18"/>
      <c r="I1498" s="18"/>
      <c r="J1498" s="33"/>
      <c r="K1498" s="33"/>
      <c r="L1498" s="19" t="s">
        <v>38</v>
      </c>
      <c r="M1498" s="20">
        <f t="shared" si="1"/>
        <v>0</v>
      </c>
      <c r="N1498" s="22"/>
      <c r="O1498" s="19" t="s">
        <v>1145</v>
      </c>
      <c r="P1498" s="18"/>
      <c r="Q1498" s="18"/>
      <c r="R1498" s="23">
        <v>0.0</v>
      </c>
      <c r="S1498" s="23">
        <v>0.0</v>
      </c>
      <c r="T1498" s="23">
        <f t="shared" si="2"/>
        <v>0</v>
      </c>
      <c r="U1498" s="23">
        <f t="shared" si="3"/>
        <v>0</v>
      </c>
      <c r="V1498" s="23">
        <f t="shared" si="4"/>
        <v>0</v>
      </c>
      <c r="W1498" s="24" t="str">
        <f t="shared" si="5"/>
        <v>#DIV/0!</v>
      </c>
    </row>
    <row r="1499" hidden="1">
      <c r="A1499" s="15" t="s">
        <v>5464</v>
      </c>
      <c r="B1499" s="18"/>
      <c r="C1499" s="18"/>
      <c r="D1499" s="18"/>
      <c r="E1499" s="85"/>
      <c r="F1499" s="18"/>
      <c r="G1499" s="18"/>
      <c r="H1499" s="18"/>
      <c r="I1499" s="18"/>
      <c r="J1499" s="33"/>
      <c r="K1499" s="33"/>
      <c r="L1499" s="19" t="s">
        <v>38</v>
      </c>
      <c r="M1499" s="20">
        <f t="shared" si="1"/>
        <v>0</v>
      </c>
      <c r="N1499" s="22"/>
      <c r="O1499" s="19" t="s">
        <v>1145</v>
      </c>
      <c r="P1499" s="18"/>
      <c r="Q1499" s="18"/>
      <c r="R1499" s="23">
        <v>0.0</v>
      </c>
      <c r="S1499" s="23">
        <v>0.0</v>
      </c>
      <c r="T1499" s="23">
        <f t="shared" si="2"/>
        <v>0</v>
      </c>
      <c r="U1499" s="23">
        <f t="shared" si="3"/>
        <v>0</v>
      </c>
      <c r="V1499" s="23">
        <f t="shared" si="4"/>
        <v>0</v>
      </c>
      <c r="W1499" s="24" t="str">
        <f t="shared" si="5"/>
        <v>#DIV/0!</v>
      </c>
    </row>
    <row r="1500" hidden="1">
      <c r="A1500" s="15" t="s">
        <v>5470</v>
      </c>
      <c r="B1500" s="18"/>
      <c r="C1500" s="18"/>
      <c r="D1500" s="18"/>
      <c r="E1500" s="85"/>
      <c r="F1500" s="18"/>
      <c r="G1500" s="18"/>
      <c r="H1500" s="18"/>
      <c r="I1500" s="18"/>
      <c r="J1500" s="33"/>
      <c r="K1500" s="33"/>
      <c r="L1500" s="19" t="s">
        <v>38</v>
      </c>
      <c r="M1500" s="20">
        <f t="shared" si="1"/>
        <v>0</v>
      </c>
      <c r="N1500" s="22"/>
      <c r="O1500" s="19" t="s">
        <v>1145</v>
      </c>
      <c r="P1500" s="18"/>
      <c r="Q1500" s="18"/>
      <c r="R1500" s="23">
        <v>0.0</v>
      </c>
      <c r="S1500" s="23">
        <v>0.0</v>
      </c>
      <c r="T1500" s="23">
        <f t="shared" si="2"/>
        <v>0</v>
      </c>
      <c r="U1500" s="23">
        <f t="shared" si="3"/>
        <v>0</v>
      </c>
      <c r="V1500" s="23">
        <f t="shared" si="4"/>
        <v>0</v>
      </c>
      <c r="W1500" s="24" t="str">
        <f t="shared" si="5"/>
        <v>#DIV/0!</v>
      </c>
    </row>
    <row r="1501" hidden="1">
      <c r="A1501" s="15" t="s">
        <v>5475</v>
      </c>
      <c r="B1501" s="18"/>
      <c r="C1501" s="18"/>
      <c r="D1501" s="18"/>
      <c r="E1501" s="85"/>
      <c r="F1501" s="18"/>
      <c r="G1501" s="18"/>
      <c r="H1501" s="18"/>
      <c r="I1501" s="18"/>
      <c r="J1501" s="33"/>
      <c r="K1501" s="33"/>
      <c r="L1501" s="19" t="s">
        <v>38</v>
      </c>
      <c r="M1501" s="20">
        <f t="shared" si="1"/>
        <v>0</v>
      </c>
      <c r="N1501" s="22"/>
      <c r="O1501" s="19" t="s">
        <v>1145</v>
      </c>
      <c r="P1501" s="18"/>
      <c r="Q1501" s="18"/>
      <c r="R1501" s="23">
        <v>0.0</v>
      </c>
      <c r="S1501" s="23">
        <v>0.0</v>
      </c>
      <c r="T1501" s="23">
        <f t="shared" si="2"/>
        <v>0</v>
      </c>
      <c r="U1501" s="23">
        <f t="shared" si="3"/>
        <v>0</v>
      </c>
      <c r="V1501" s="23">
        <f t="shared" si="4"/>
        <v>0</v>
      </c>
      <c r="W1501" s="24" t="str">
        <f t="shared" si="5"/>
        <v>#DIV/0!</v>
      </c>
    </row>
    <row r="1502" hidden="1">
      <c r="A1502" s="15" t="s">
        <v>5481</v>
      </c>
      <c r="B1502" s="18"/>
      <c r="C1502" s="18"/>
      <c r="D1502" s="18"/>
      <c r="E1502" s="85"/>
      <c r="F1502" s="18"/>
      <c r="G1502" s="18"/>
      <c r="H1502" s="18"/>
      <c r="I1502" s="18"/>
      <c r="J1502" s="33"/>
      <c r="K1502" s="33"/>
      <c r="L1502" s="19" t="s">
        <v>38</v>
      </c>
      <c r="M1502" s="20">
        <f t="shared" si="1"/>
        <v>0</v>
      </c>
      <c r="N1502" s="22"/>
      <c r="O1502" s="19" t="s">
        <v>1145</v>
      </c>
      <c r="P1502" s="18"/>
      <c r="Q1502" s="18"/>
      <c r="R1502" s="23">
        <v>0.0</v>
      </c>
      <c r="S1502" s="23">
        <v>0.0</v>
      </c>
      <c r="T1502" s="23">
        <f t="shared" si="2"/>
        <v>0</v>
      </c>
      <c r="U1502" s="23">
        <f t="shared" si="3"/>
        <v>0</v>
      </c>
      <c r="V1502" s="23">
        <f t="shared" si="4"/>
        <v>0</v>
      </c>
      <c r="W1502" s="24" t="str">
        <f t="shared" si="5"/>
        <v>#DIV/0!</v>
      </c>
    </row>
    <row r="1503" hidden="1">
      <c r="A1503" s="15" t="s">
        <v>5486</v>
      </c>
      <c r="B1503" s="18"/>
      <c r="C1503" s="18"/>
      <c r="D1503" s="18"/>
      <c r="E1503" s="85"/>
      <c r="F1503" s="18"/>
      <c r="G1503" s="18"/>
      <c r="H1503" s="18"/>
      <c r="I1503" s="18"/>
      <c r="J1503" s="33"/>
      <c r="K1503" s="33"/>
      <c r="L1503" s="19" t="s">
        <v>38</v>
      </c>
      <c r="M1503" s="20">
        <f t="shared" si="1"/>
        <v>0</v>
      </c>
      <c r="N1503" s="22"/>
      <c r="O1503" s="19" t="s">
        <v>1145</v>
      </c>
      <c r="P1503" s="18"/>
      <c r="Q1503" s="18"/>
      <c r="R1503" s="23">
        <v>0.0</v>
      </c>
      <c r="S1503" s="23">
        <v>0.0</v>
      </c>
      <c r="T1503" s="23">
        <f t="shared" si="2"/>
        <v>0</v>
      </c>
      <c r="U1503" s="23">
        <f t="shared" si="3"/>
        <v>0</v>
      </c>
      <c r="V1503" s="23">
        <f t="shared" si="4"/>
        <v>0</v>
      </c>
      <c r="W1503" s="24" t="str">
        <f t="shared" si="5"/>
        <v>#DIV/0!</v>
      </c>
    </row>
    <row r="1504" hidden="1">
      <c r="A1504" s="15" t="s">
        <v>5491</v>
      </c>
      <c r="B1504" s="18"/>
      <c r="C1504" s="18"/>
      <c r="D1504" s="18"/>
      <c r="E1504" s="85"/>
      <c r="F1504" s="18"/>
      <c r="G1504" s="18"/>
      <c r="H1504" s="18"/>
      <c r="I1504" s="18"/>
      <c r="J1504" s="33"/>
      <c r="K1504" s="33"/>
      <c r="L1504" s="19" t="s">
        <v>38</v>
      </c>
      <c r="M1504" s="20">
        <f t="shared" si="1"/>
        <v>0</v>
      </c>
      <c r="N1504" s="22"/>
      <c r="O1504" s="19" t="s">
        <v>1145</v>
      </c>
      <c r="P1504" s="18"/>
      <c r="Q1504" s="18"/>
      <c r="R1504" s="23">
        <v>0.0</v>
      </c>
      <c r="S1504" s="23">
        <v>0.0</v>
      </c>
      <c r="T1504" s="23">
        <f t="shared" si="2"/>
        <v>0</v>
      </c>
      <c r="U1504" s="23">
        <f t="shared" si="3"/>
        <v>0</v>
      </c>
      <c r="V1504" s="23">
        <f t="shared" si="4"/>
        <v>0</v>
      </c>
      <c r="W1504" s="24" t="str">
        <f t="shared" si="5"/>
        <v>#DIV/0!</v>
      </c>
    </row>
    <row r="1505" hidden="1">
      <c r="A1505" s="15" t="s">
        <v>5496</v>
      </c>
      <c r="B1505" s="18"/>
      <c r="C1505" s="18"/>
      <c r="D1505" s="18"/>
      <c r="E1505" s="85"/>
      <c r="F1505" s="18"/>
      <c r="G1505" s="18"/>
      <c r="H1505" s="18"/>
      <c r="I1505" s="18"/>
      <c r="J1505" s="33"/>
      <c r="K1505" s="33"/>
      <c r="L1505" s="19" t="s">
        <v>38</v>
      </c>
      <c r="M1505" s="20">
        <f t="shared" si="1"/>
        <v>0</v>
      </c>
      <c r="N1505" s="22"/>
      <c r="O1505" s="19" t="s">
        <v>1145</v>
      </c>
      <c r="P1505" s="18"/>
      <c r="Q1505" s="18"/>
      <c r="R1505" s="23">
        <v>0.0</v>
      </c>
      <c r="S1505" s="23">
        <v>0.0</v>
      </c>
      <c r="T1505" s="23">
        <f t="shared" si="2"/>
        <v>0</v>
      </c>
      <c r="U1505" s="23">
        <f t="shared" si="3"/>
        <v>0</v>
      </c>
      <c r="V1505" s="23">
        <f t="shared" si="4"/>
        <v>0</v>
      </c>
      <c r="W1505" s="24" t="str">
        <f t="shared" si="5"/>
        <v>#DIV/0!</v>
      </c>
    </row>
    <row r="1506" hidden="1">
      <c r="A1506" s="15" t="s">
        <v>5501</v>
      </c>
      <c r="B1506" s="18"/>
      <c r="C1506" s="18"/>
      <c r="D1506" s="18"/>
      <c r="E1506" s="85"/>
      <c r="F1506" s="18"/>
      <c r="G1506" s="18"/>
      <c r="H1506" s="18"/>
      <c r="I1506" s="18"/>
      <c r="J1506" s="33"/>
      <c r="K1506" s="33"/>
      <c r="L1506" s="19" t="s">
        <v>38</v>
      </c>
      <c r="M1506" s="20">
        <f t="shared" si="1"/>
        <v>0</v>
      </c>
      <c r="N1506" s="22"/>
      <c r="O1506" s="19" t="s">
        <v>1145</v>
      </c>
      <c r="P1506" s="18"/>
      <c r="Q1506" s="18"/>
      <c r="R1506" s="23">
        <v>0.0</v>
      </c>
      <c r="S1506" s="23">
        <v>0.0</v>
      </c>
      <c r="T1506" s="23">
        <f t="shared" si="2"/>
        <v>0</v>
      </c>
      <c r="U1506" s="23">
        <f t="shared" si="3"/>
        <v>0</v>
      </c>
      <c r="V1506" s="23">
        <f t="shared" si="4"/>
        <v>0</v>
      </c>
      <c r="W1506" s="24" t="str">
        <f t="shared" si="5"/>
        <v>#DIV/0!</v>
      </c>
    </row>
    <row r="1507" hidden="1">
      <c r="A1507" s="15" t="s">
        <v>5506</v>
      </c>
      <c r="B1507" s="18"/>
      <c r="C1507" s="18"/>
      <c r="D1507" s="18"/>
      <c r="E1507" s="85"/>
      <c r="F1507" s="18"/>
      <c r="G1507" s="18"/>
      <c r="H1507" s="18"/>
      <c r="I1507" s="18"/>
      <c r="J1507" s="33"/>
      <c r="K1507" s="33"/>
      <c r="L1507" s="19" t="s">
        <v>38</v>
      </c>
      <c r="M1507" s="20">
        <f t="shared" si="1"/>
        <v>0</v>
      </c>
      <c r="N1507" s="22"/>
      <c r="O1507" s="19" t="s">
        <v>1145</v>
      </c>
      <c r="P1507" s="18"/>
      <c r="Q1507" s="18"/>
      <c r="R1507" s="23">
        <v>0.0</v>
      </c>
      <c r="S1507" s="23">
        <v>0.0</v>
      </c>
      <c r="T1507" s="23">
        <f t="shared" si="2"/>
        <v>0</v>
      </c>
      <c r="U1507" s="23">
        <f t="shared" si="3"/>
        <v>0</v>
      </c>
      <c r="V1507" s="23">
        <f t="shared" si="4"/>
        <v>0</v>
      </c>
      <c r="W1507" s="24" t="str">
        <f t="shared" si="5"/>
        <v>#DIV/0!</v>
      </c>
    </row>
    <row r="1508" hidden="1">
      <c r="A1508" s="15" t="s">
        <v>5512</v>
      </c>
      <c r="B1508" s="18"/>
      <c r="C1508" s="18"/>
      <c r="D1508" s="18"/>
      <c r="E1508" s="85"/>
      <c r="F1508" s="18"/>
      <c r="G1508" s="18"/>
      <c r="H1508" s="18"/>
      <c r="I1508" s="18"/>
      <c r="J1508" s="33"/>
      <c r="K1508" s="33"/>
      <c r="L1508" s="19" t="s">
        <v>38</v>
      </c>
      <c r="M1508" s="20">
        <f t="shared" si="1"/>
        <v>0</v>
      </c>
      <c r="N1508" s="22"/>
      <c r="O1508" s="19" t="s">
        <v>1145</v>
      </c>
      <c r="P1508" s="18"/>
      <c r="Q1508" s="18"/>
      <c r="R1508" s="23">
        <v>0.0</v>
      </c>
      <c r="S1508" s="23">
        <v>0.0</v>
      </c>
      <c r="T1508" s="23">
        <f t="shared" si="2"/>
        <v>0</v>
      </c>
      <c r="U1508" s="23">
        <f t="shared" si="3"/>
        <v>0</v>
      </c>
      <c r="V1508" s="23">
        <f t="shared" si="4"/>
        <v>0</v>
      </c>
      <c r="W1508" s="24" t="str">
        <f t="shared" si="5"/>
        <v>#DIV/0!</v>
      </c>
    </row>
    <row r="1509" hidden="1">
      <c r="A1509" s="15" t="s">
        <v>5517</v>
      </c>
      <c r="B1509" s="18"/>
      <c r="C1509" s="18"/>
      <c r="D1509" s="18"/>
      <c r="E1509" s="85"/>
      <c r="F1509" s="18"/>
      <c r="G1509" s="18"/>
      <c r="H1509" s="18"/>
      <c r="I1509" s="18"/>
      <c r="J1509" s="33"/>
      <c r="K1509" s="33"/>
      <c r="L1509" s="19" t="s">
        <v>38</v>
      </c>
      <c r="M1509" s="20">
        <f t="shared" si="1"/>
        <v>0</v>
      </c>
      <c r="N1509" s="22"/>
      <c r="O1509" s="19" t="s">
        <v>1145</v>
      </c>
      <c r="P1509" s="18"/>
      <c r="Q1509" s="18"/>
      <c r="R1509" s="23">
        <v>0.0</v>
      </c>
      <c r="S1509" s="23">
        <v>0.0</v>
      </c>
      <c r="T1509" s="23">
        <f t="shared" si="2"/>
        <v>0</v>
      </c>
      <c r="U1509" s="23">
        <f t="shared" si="3"/>
        <v>0</v>
      </c>
      <c r="V1509" s="23">
        <f t="shared" si="4"/>
        <v>0</v>
      </c>
      <c r="W1509" s="24" t="str">
        <f t="shared" si="5"/>
        <v>#DIV/0!</v>
      </c>
    </row>
    <row r="1510" hidden="1">
      <c r="A1510" s="15" t="s">
        <v>5522</v>
      </c>
      <c r="B1510" s="18"/>
      <c r="C1510" s="18"/>
      <c r="D1510" s="18"/>
      <c r="E1510" s="85"/>
      <c r="F1510" s="18"/>
      <c r="G1510" s="18"/>
      <c r="H1510" s="18"/>
      <c r="I1510" s="18"/>
      <c r="J1510" s="33"/>
      <c r="K1510" s="33"/>
      <c r="L1510" s="19" t="s">
        <v>38</v>
      </c>
      <c r="M1510" s="20">
        <f t="shared" si="1"/>
        <v>0</v>
      </c>
      <c r="N1510" s="22"/>
      <c r="O1510" s="19" t="s">
        <v>1145</v>
      </c>
      <c r="P1510" s="18"/>
      <c r="Q1510" s="18"/>
      <c r="R1510" s="23">
        <v>0.0</v>
      </c>
      <c r="S1510" s="23">
        <v>0.0</v>
      </c>
      <c r="T1510" s="23">
        <f t="shared" si="2"/>
        <v>0</v>
      </c>
      <c r="U1510" s="23">
        <f t="shared" si="3"/>
        <v>0</v>
      </c>
      <c r="V1510" s="23">
        <f t="shared" si="4"/>
        <v>0</v>
      </c>
      <c r="W1510" s="24" t="str">
        <f t="shared" si="5"/>
        <v>#DIV/0!</v>
      </c>
    </row>
    <row r="1511" hidden="1">
      <c r="A1511" s="15" t="s">
        <v>5527</v>
      </c>
      <c r="B1511" s="18"/>
      <c r="C1511" s="18"/>
      <c r="D1511" s="18"/>
      <c r="E1511" s="85"/>
      <c r="F1511" s="18"/>
      <c r="G1511" s="18"/>
      <c r="H1511" s="18"/>
      <c r="I1511" s="18"/>
      <c r="J1511" s="33"/>
      <c r="K1511" s="33"/>
      <c r="L1511" s="19" t="s">
        <v>38</v>
      </c>
      <c r="M1511" s="20">
        <f t="shared" si="1"/>
        <v>0</v>
      </c>
      <c r="N1511" s="22"/>
      <c r="O1511" s="19" t="s">
        <v>1145</v>
      </c>
      <c r="P1511" s="18"/>
      <c r="Q1511" s="18"/>
      <c r="R1511" s="23">
        <v>0.0</v>
      </c>
      <c r="S1511" s="23">
        <v>0.0</v>
      </c>
      <c r="T1511" s="23">
        <f t="shared" si="2"/>
        <v>0</v>
      </c>
      <c r="U1511" s="23">
        <f t="shared" si="3"/>
        <v>0</v>
      </c>
      <c r="V1511" s="23">
        <f t="shared" si="4"/>
        <v>0</v>
      </c>
      <c r="W1511" s="24" t="str">
        <f t="shared" si="5"/>
        <v>#DIV/0!</v>
      </c>
    </row>
    <row r="1512" hidden="1">
      <c r="A1512" s="15" t="s">
        <v>5532</v>
      </c>
      <c r="B1512" s="18"/>
      <c r="C1512" s="18"/>
      <c r="D1512" s="18"/>
      <c r="E1512" s="85"/>
      <c r="F1512" s="18"/>
      <c r="G1512" s="18"/>
      <c r="H1512" s="18"/>
      <c r="I1512" s="18"/>
      <c r="J1512" s="33"/>
      <c r="K1512" s="33"/>
      <c r="L1512" s="19" t="s">
        <v>38</v>
      </c>
      <c r="M1512" s="20">
        <f t="shared" si="1"/>
        <v>0</v>
      </c>
      <c r="N1512" s="22"/>
      <c r="O1512" s="19" t="s">
        <v>1145</v>
      </c>
      <c r="P1512" s="18"/>
      <c r="Q1512" s="18"/>
      <c r="R1512" s="23">
        <v>0.0</v>
      </c>
      <c r="S1512" s="23">
        <v>0.0</v>
      </c>
      <c r="T1512" s="23">
        <f t="shared" si="2"/>
        <v>0</v>
      </c>
      <c r="U1512" s="23">
        <f t="shared" si="3"/>
        <v>0</v>
      </c>
      <c r="V1512" s="23">
        <f t="shared" si="4"/>
        <v>0</v>
      </c>
      <c r="W1512" s="24" t="str">
        <f t="shared" si="5"/>
        <v>#DIV/0!</v>
      </c>
    </row>
    <row r="1513" hidden="1">
      <c r="A1513" s="15" t="s">
        <v>5537</v>
      </c>
      <c r="B1513" s="18"/>
      <c r="C1513" s="18"/>
      <c r="D1513" s="18"/>
      <c r="E1513" s="85"/>
      <c r="F1513" s="18"/>
      <c r="G1513" s="18"/>
      <c r="H1513" s="18"/>
      <c r="I1513" s="18"/>
      <c r="J1513" s="33"/>
      <c r="K1513" s="33"/>
      <c r="L1513" s="19" t="s">
        <v>38</v>
      </c>
      <c r="M1513" s="20">
        <f t="shared" si="1"/>
        <v>0</v>
      </c>
      <c r="N1513" s="22"/>
      <c r="O1513" s="19" t="s">
        <v>1145</v>
      </c>
      <c r="P1513" s="18"/>
      <c r="Q1513" s="18"/>
      <c r="R1513" s="23">
        <v>0.0</v>
      </c>
      <c r="S1513" s="23">
        <v>0.0</v>
      </c>
      <c r="T1513" s="23">
        <f t="shared" si="2"/>
        <v>0</v>
      </c>
      <c r="U1513" s="23">
        <f t="shared" si="3"/>
        <v>0</v>
      </c>
      <c r="V1513" s="23">
        <f t="shared" si="4"/>
        <v>0</v>
      </c>
      <c r="W1513" s="24" t="str">
        <f t="shared" si="5"/>
        <v>#DIV/0!</v>
      </c>
    </row>
    <row r="1514" hidden="1">
      <c r="A1514" s="15" t="s">
        <v>5541</v>
      </c>
      <c r="B1514" s="18"/>
      <c r="C1514" s="18"/>
      <c r="D1514" s="18"/>
      <c r="E1514" s="85"/>
      <c r="F1514" s="18"/>
      <c r="G1514" s="18"/>
      <c r="H1514" s="18"/>
      <c r="I1514" s="18"/>
      <c r="J1514" s="33"/>
      <c r="K1514" s="33"/>
      <c r="L1514" s="19" t="s">
        <v>38</v>
      </c>
      <c r="M1514" s="20">
        <f t="shared" si="1"/>
        <v>0</v>
      </c>
      <c r="N1514" s="22"/>
      <c r="O1514" s="19" t="s">
        <v>1145</v>
      </c>
      <c r="P1514" s="18"/>
      <c r="Q1514" s="18"/>
      <c r="R1514" s="23">
        <v>0.0</v>
      </c>
      <c r="S1514" s="23">
        <v>0.0</v>
      </c>
      <c r="T1514" s="23">
        <f t="shared" si="2"/>
        <v>0</v>
      </c>
      <c r="U1514" s="23">
        <f t="shared" si="3"/>
        <v>0</v>
      </c>
      <c r="V1514" s="23">
        <f t="shared" si="4"/>
        <v>0</v>
      </c>
      <c r="W1514" s="24" t="str">
        <f t="shared" si="5"/>
        <v>#DIV/0!</v>
      </c>
    </row>
    <row r="1515" hidden="1">
      <c r="A1515" s="15" t="s">
        <v>5545</v>
      </c>
      <c r="B1515" s="18"/>
      <c r="C1515" s="18"/>
      <c r="D1515" s="18"/>
      <c r="E1515" s="85"/>
      <c r="F1515" s="18"/>
      <c r="G1515" s="18"/>
      <c r="H1515" s="18"/>
      <c r="I1515" s="18"/>
      <c r="J1515" s="33"/>
      <c r="K1515" s="33"/>
      <c r="L1515" s="19" t="s">
        <v>38</v>
      </c>
      <c r="M1515" s="20">
        <f t="shared" si="1"/>
        <v>0</v>
      </c>
      <c r="N1515" s="22"/>
      <c r="O1515" s="19" t="s">
        <v>1145</v>
      </c>
      <c r="P1515" s="18"/>
      <c r="Q1515" s="18"/>
      <c r="R1515" s="23">
        <v>0.0</v>
      </c>
      <c r="S1515" s="23">
        <v>0.0</v>
      </c>
      <c r="T1515" s="23">
        <f t="shared" si="2"/>
        <v>0</v>
      </c>
      <c r="U1515" s="23">
        <f t="shared" si="3"/>
        <v>0</v>
      </c>
      <c r="V1515" s="23">
        <f t="shared" si="4"/>
        <v>0</v>
      </c>
      <c r="W1515" s="24" t="str">
        <f t="shared" si="5"/>
        <v>#DIV/0!</v>
      </c>
    </row>
    <row r="1516" hidden="1">
      <c r="A1516" s="15" t="s">
        <v>5549</v>
      </c>
      <c r="B1516" s="18"/>
      <c r="C1516" s="18"/>
      <c r="D1516" s="18"/>
      <c r="E1516" s="85"/>
      <c r="F1516" s="18"/>
      <c r="G1516" s="18"/>
      <c r="H1516" s="18"/>
      <c r="I1516" s="18"/>
      <c r="J1516" s="33"/>
      <c r="K1516" s="33"/>
      <c r="L1516" s="19" t="s">
        <v>38</v>
      </c>
      <c r="M1516" s="20">
        <f t="shared" si="1"/>
        <v>0</v>
      </c>
      <c r="N1516" s="22"/>
      <c r="O1516" s="19" t="s">
        <v>1145</v>
      </c>
      <c r="P1516" s="18"/>
      <c r="Q1516" s="18"/>
      <c r="R1516" s="23">
        <v>0.0</v>
      </c>
      <c r="S1516" s="23">
        <v>0.0</v>
      </c>
      <c r="T1516" s="23">
        <f t="shared" si="2"/>
        <v>0</v>
      </c>
      <c r="U1516" s="23">
        <f t="shared" si="3"/>
        <v>0</v>
      </c>
      <c r="V1516" s="23">
        <f t="shared" si="4"/>
        <v>0</v>
      </c>
      <c r="W1516" s="24" t="str">
        <f t="shared" si="5"/>
        <v>#DIV/0!</v>
      </c>
    </row>
    <row r="1517" hidden="1">
      <c r="A1517" s="26"/>
      <c r="B1517" s="26"/>
      <c r="C1517" s="26"/>
      <c r="D1517" s="26"/>
      <c r="E1517" s="26"/>
      <c r="F1517" s="26"/>
      <c r="G1517" s="26"/>
      <c r="H1517" s="26"/>
      <c r="I1517" s="26"/>
      <c r="J1517" s="54"/>
      <c r="K1517" s="54"/>
      <c r="L1517" s="54"/>
      <c r="M1517" s="89"/>
      <c r="N1517" s="29"/>
      <c r="O1517" s="54"/>
      <c r="P1517" s="26"/>
      <c r="Q1517" s="26"/>
      <c r="R1517" s="90"/>
      <c r="S1517" s="90"/>
      <c r="T1517" s="90"/>
      <c r="U1517" s="90"/>
      <c r="V1517" s="90"/>
      <c r="W1517" s="91"/>
    </row>
    <row r="1518">
      <c r="A1518" s="66"/>
      <c r="B1518" s="66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20">
        <f>SUM(Inventory_tracker_2[$ Venta])</f>
        <v>910963.68</v>
      </c>
      <c r="N1518" s="22">
        <f>SUM(Inventory_tracker_2[Stock])</f>
        <v>1814</v>
      </c>
      <c r="O1518" s="66"/>
      <c r="P1518" s="66"/>
      <c r="Q1518" s="66"/>
      <c r="R1518" s="20">
        <f>SUM(Inventory_tracker_2[$ Venta])</f>
        <v>910963.68</v>
      </c>
      <c r="S1518" s="20">
        <f>SUM(Inventory_tracker_2[$ Venta])</f>
        <v>910963.68</v>
      </c>
      <c r="T1518" s="20">
        <f>SUM(Inventory_tracker_2[$ Venta])</f>
        <v>910963.68</v>
      </c>
      <c r="U1518" s="20">
        <f>SUM(Inventory_tracker_2[$ Venta])</f>
        <v>910963.68</v>
      </c>
      <c r="V1518" s="20">
        <f>SUM(Inventory_tracker_2[$ Venta])</f>
        <v>910963.68</v>
      </c>
      <c r="W1518" s="68"/>
    </row>
  </sheetData>
  <conditionalFormatting sqref="R4:W1517">
    <cfRule type="cellIs" dxfId="6" priority="1" operator="equal">
      <formula>0</formula>
    </cfRule>
  </conditionalFormatting>
  <dataValidations>
    <dataValidation type="list" allowBlank="1" sqref="K4:K1517">
      <formula1>"BARRA V-ROCK,AGITADOR V-ROCK,FILTROS,TUBERIA ACERO,TUBERIA FLEXIBLE,REDUCTOR,HIDRAULICO,OTROS,SISTEMA DE BOMBEO,TANQUE DE AGUA,CANALONES Y TOLVAS,TOLVA,SIN ASIGNAR"</formula1>
    </dataValidation>
    <dataValidation type="list" allowBlank="1" sqref="L4:L1517">
      <formula1>"FILTROS,EMPAQUES,ENGRANES,BALEROS,VALVULAS,BOMBAS,ANILLOS METALICOS,CASQUILLOS,TUBOS,SIN ASIGNAR,TRANSMISIONES,PISTONES,RODILLOS,ACCESORIOS ,RELAYS,MOTORES,MEDIDORES,CABLES,VIBRADORES"</formula1>
    </dataValidation>
    <dataValidation type="custom" allowBlank="1" showDropDown="1" sqref="M4:N1517 R4:V1517">
      <formula1>AND(ISNUMBER(M4),(NOT(OR(NOT(ISERROR(DATEVALUE(M4))), AND(ISNUMBER(M4), LEFT(CELL("format", M4))="D")))))</formula1>
    </dataValidation>
    <dataValidation allowBlank="1" showDropDown="1" sqref="A4:I1517 P4:Q1517"/>
    <dataValidation type="custom" allowBlank="1" showDropDown="1" sqref="W4:W1517">
      <formula1>AND(ISNUMBER(W4),(NOT(OR(NOT(ISERROR(DATEVALUE(W4))), AND(ISNUMBER(W4), LEFT(CELL("format", W4))="D")))))</formula1>
    </dataValidation>
    <dataValidation type="list" allowBlank="1" sqref="J4:J1517">
      <formula1>"Olla Revolvedora,Sitrak,Schwing,Putzmeister,WAM,Tuberia,Otro,CIFA"</formula1>
    </dataValidation>
    <dataValidation type="list" allowBlank="1" sqref="O4:O1517">
      <formula1>"In stock,No Available,To Re-purchase,Sold out,borrar,Falta Ubicar"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1" width="6.0"/>
    <col customWidth="1" min="2" max="2" width="12.25"/>
    <col customWidth="1" min="3" max="3" width="10.75"/>
    <col customWidth="1" min="4" max="4" width="28.63"/>
    <col customWidth="1" min="5" max="5" width="62.63"/>
    <col customWidth="1" min="6" max="6" width="13.13" outlineLevel="1"/>
    <col customWidth="1" min="7" max="7" width="12.75"/>
    <col customWidth="1" min="8" max="8" width="13.25"/>
    <col customWidth="1" min="9" max="9" width="12.5"/>
    <col customWidth="1" min="10" max="10" width="13.38"/>
    <col customWidth="1" min="11" max="11" width="20.25"/>
    <col customWidth="1" min="12" max="12" width="13.38"/>
    <col customWidth="1" min="13" max="13" width="10.13"/>
    <col customWidth="1" min="14" max="14" width="9.25"/>
    <col customWidth="1" min="15" max="15" width="13.5"/>
    <col customWidth="1" min="16" max="16" width="9.0"/>
    <col customWidth="1" min="17" max="17" width="11.63"/>
    <col customWidth="1" min="18" max="18" width="8.0"/>
    <col customWidth="1" min="19" max="19" width="8.75"/>
    <col customWidth="1" min="20" max="20" width="8.5"/>
    <col customWidth="1" min="21" max="21" width="8.13"/>
    <col customWidth="1" min="22" max="22" width="9.5"/>
    <col customWidth="1" min="23" max="23" width="7.75"/>
    <col customWidth="1" min="24" max="25" width="9.13"/>
  </cols>
  <sheetData>
    <row r="1">
      <c r="A1" s="2"/>
      <c r="B1" s="2"/>
      <c r="C1" s="2"/>
      <c r="D1" s="2"/>
      <c r="E1" s="1"/>
      <c r="F1" s="2"/>
      <c r="G1" s="2"/>
      <c r="H1" s="3" t="s">
        <v>1</v>
      </c>
      <c r="I1" s="4">
        <v>18.5</v>
      </c>
      <c r="J1" s="2"/>
      <c r="K1" s="3" t="s">
        <v>2</v>
      </c>
      <c r="L1" s="5">
        <v>0.96</v>
      </c>
      <c r="M1" s="3" t="s">
        <v>3</v>
      </c>
      <c r="N1" s="5">
        <v>0.0</v>
      </c>
      <c r="O1" s="3" t="s">
        <v>4</v>
      </c>
      <c r="P1" s="5">
        <v>0.225</v>
      </c>
      <c r="Q1" s="3" t="s">
        <v>5</v>
      </c>
      <c r="R1" s="7">
        <v>18.75</v>
      </c>
      <c r="Z1" s="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0"/>
    </row>
    <row r="3">
      <c r="A3" s="11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1" t="s">
        <v>19</v>
      </c>
      <c r="N3" s="11" t="s">
        <v>21</v>
      </c>
      <c r="O3" s="11" t="s">
        <v>22</v>
      </c>
      <c r="P3" s="11" t="s">
        <v>23</v>
      </c>
      <c r="Q3" s="11" t="s">
        <v>24</v>
      </c>
      <c r="R3" s="11" t="s">
        <v>25</v>
      </c>
      <c r="S3" s="11" t="s">
        <v>26</v>
      </c>
      <c r="T3" s="11" t="s">
        <v>27</v>
      </c>
      <c r="U3" s="11" t="s">
        <v>28</v>
      </c>
      <c r="V3" s="11" t="s">
        <v>29</v>
      </c>
      <c r="W3" s="13" t="s">
        <v>30</v>
      </c>
    </row>
    <row r="4">
      <c r="A4" s="15" t="s">
        <v>3575</v>
      </c>
      <c r="B4" s="18" t="str">
        <f t="shared" ref="B4:B8" si="1">CONCATENATE(7504589,A4)</f>
        <v>75045891000</v>
      </c>
      <c r="C4" s="15" t="s">
        <v>6138</v>
      </c>
      <c r="D4" s="18"/>
      <c r="E4" s="17" t="s">
        <v>3576</v>
      </c>
      <c r="F4" s="18"/>
      <c r="G4" s="18"/>
      <c r="H4" s="15" t="s">
        <v>3577</v>
      </c>
      <c r="I4" s="18"/>
      <c r="J4" s="19" t="s">
        <v>283</v>
      </c>
      <c r="K4" s="19" t="s">
        <v>105</v>
      </c>
      <c r="L4" s="19" t="s">
        <v>38</v>
      </c>
      <c r="M4" s="20">
        <f t="shared" ref="M4:M1532" si="2">T4*$I$1</f>
        <v>0</v>
      </c>
      <c r="N4" s="22"/>
      <c r="O4" s="19" t="s">
        <v>3578</v>
      </c>
      <c r="P4" s="18"/>
      <c r="Q4" s="18"/>
      <c r="R4" s="23">
        <v>0.0</v>
      </c>
      <c r="S4" s="23">
        <v>0.0</v>
      </c>
      <c r="T4" s="23">
        <f t="shared" ref="T4:T1520" si="3">S4*$L$1</f>
        <v>0</v>
      </c>
      <c r="U4" s="23">
        <f t="shared" ref="U4:U1520" si="4">R4+((R4*$N$1)+(R4*$P$1))</f>
        <v>0</v>
      </c>
      <c r="V4" s="23">
        <f t="shared" ref="V4:V1520" si="5">U4*$R$1</f>
        <v>0</v>
      </c>
      <c r="W4" s="24" t="str">
        <f t="shared" ref="W4:W1520" si="6">T4/R4</f>
        <v>#DIV/0!</v>
      </c>
    </row>
    <row r="5">
      <c r="A5" s="15" t="s">
        <v>3579</v>
      </c>
      <c r="B5" s="18" t="str">
        <f t="shared" si="1"/>
        <v>75045891001</v>
      </c>
      <c r="C5" s="15" t="s">
        <v>6139</v>
      </c>
      <c r="D5" s="15" t="s">
        <v>3580</v>
      </c>
      <c r="E5" s="17" t="s">
        <v>3581</v>
      </c>
      <c r="F5" s="18"/>
      <c r="G5" s="18"/>
      <c r="H5" s="15" t="s">
        <v>3582</v>
      </c>
      <c r="I5" s="18"/>
      <c r="J5" s="19" t="s">
        <v>283</v>
      </c>
      <c r="K5" s="19" t="s">
        <v>402</v>
      </c>
      <c r="L5" s="19" t="s">
        <v>38</v>
      </c>
      <c r="M5" s="20">
        <f t="shared" si="2"/>
        <v>0</v>
      </c>
      <c r="N5" s="22"/>
      <c r="O5" s="19" t="s">
        <v>3578</v>
      </c>
      <c r="P5" s="18"/>
      <c r="Q5" s="18"/>
      <c r="R5" s="23">
        <v>0.0</v>
      </c>
      <c r="S5" s="23">
        <v>0.0</v>
      </c>
      <c r="T5" s="23">
        <f t="shared" si="3"/>
        <v>0</v>
      </c>
      <c r="U5" s="23">
        <f t="shared" si="4"/>
        <v>0</v>
      </c>
      <c r="V5" s="23">
        <f t="shared" si="5"/>
        <v>0</v>
      </c>
      <c r="W5" s="24" t="str">
        <f t="shared" si="6"/>
        <v>#DIV/0!</v>
      </c>
    </row>
    <row r="6">
      <c r="A6" s="15" t="s">
        <v>3583</v>
      </c>
      <c r="B6" s="18" t="str">
        <f t="shared" si="1"/>
        <v>75045891002</v>
      </c>
      <c r="C6" s="15" t="s">
        <v>6140</v>
      </c>
      <c r="D6" s="15" t="s">
        <v>3584</v>
      </c>
      <c r="E6" s="17" t="s">
        <v>3585</v>
      </c>
      <c r="F6" s="18"/>
      <c r="G6" s="18"/>
      <c r="H6" s="15" t="s">
        <v>3586</v>
      </c>
      <c r="I6" s="18"/>
      <c r="J6" s="19" t="s">
        <v>283</v>
      </c>
      <c r="K6" s="19" t="s">
        <v>105</v>
      </c>
      <c r="L6" s="19" t="s">
        <v>38</v>
      </c>
      <c r="M6" s="20">
        <f t="shared" si="2"/>
        <v>0</v>
      </c>
      <c r="N6" s="22"/>
      <c r="O6" s="19" t="s">
        <v>3578</v>
      </c>
      <c r="P6" s="18"/>
      <c r="Q6" s="18"/>
      <c r="R6" s="23">
        <v>0.0</v>
      </c>
      <c r="S6" s="23">
        <v>0.0</v>
      </c>
      <c r="T6" s="23">
        <f t="shared" si="3"/>
        <v>0</v>
      </c>
      <c r="U6" s="23">
        <f t="shared" si="4"/>
        <v>0</v>
      </c>
      <c r="V6" s="23">
        <f t="shared" si="5"/>
        <v>0</v>
      </c>
      <c r="W6" s="24" t="str">
        <f t="shared" si="6"/>
        <v>#DIV/0!</v>
      </c>
    </row>
    <row r="7">
      <c r="A7" s="15" t="s">
        <v>3587</v>
      </c>
      <c r="B7" s="18" t="str">
        <f t="shared" si="1"/>
        <v>75045891003</v>
      </c>
      <c r="C7" s="15" t="s">
        <v>6141</v>
      </c>
      <c r="D7" s="15" t="s">
        <v>3588</v>
      </c>
      <c r="E7" s="17" t="s">
        <v>3589</v>
      </c>
      <c r="F7" s="18"/>
      <c r="G7" s="18"/>
      <c r="H7" s="15" t="s">
        <v>3590</v>
      </c>
      <c r="I7" s="18"/>
      <c r="J7" s="19" t="s">
        <v>283</v>
      </c>
      <c r="K7" s="19" t="s">
        <v>402</v>
      </c>
      <c r="L7" s="19" t="s">
        <v>38</v>
      </c>
      <c r="M7" s="20">
        <f t="shared" si="2"/>
        <v>0</v>
      </c>
      <c r="N7" s="22"/>
      <c r="O7" s="19" t="s">
        <v>3578</v>
      </c>
      <c r="P7" s="18"/>
      <c r="Q7" s="18"/>
      <c r="R7" s="23">
        <v>0.0</v>
      </c>
      <c r="S7" s="23">
        <v>0.0</v>
      </c>
      <c r="T7" s="23">
        <f t="shared" si="3"/>
        <v>0</v>
      </c>
      <c r="U7" s="23">
        <f t="shared" si="4"/>
        <v>0</v>
      </c>
      <c r="V7" s="23">
        <f t="shared" si="5"/>
        <v>0</v>
      </c>
      <c r="W7" s="24" t="str">
        <f t="shared" si="6"/>
        <v>#DIV/0!</v>
      </c>
    </row>
    <row r="8">
      <c r="A8" s="15" t="s">
        <v>3591</v>
      </c>
      <c r="B8" s="18" t="str">
        <f t="shared" si="1"/>
        <v>75045891004</v>
      </c>
      <c r="C8" s="15" t="s">
        <v>6142</v>
      </c>
      <c r="D8" s="41" t="s">
        <v>3592</v>
      </c>
      <c r="E8" s="17" t="s">
        <v>3593</v>
      </c>
      <c r="F8" s="18"/>
      <c r="G8" s="18"/>
      <c r="H8" s="15" t="s">
        <v>3594</v>
      </c>
      <c r="I8" s="18"/>
      <c r="J8" s="19" t="s">
        <v>283</v>
      </c>
      <c r="K8" s="19" t="s">
        <v>1444</v>
      </c>
      <c r="L8" s="19" t="s">
        <v>38</v>
      </c>
      <c r="M8" s="20">
        <f t="shared" si="2"/>
        <v>0</v>
      </c>
      <c r="N8" s="22"/>
      <c r="O8" s="19" t="s">
        <v>3578</v>
      </c>
      <c r="P8" s="18"/>
      <c r="Q8" s="18"/>
      <c r="R8" s="23">
        <v>0.0</v>
      </c>
      <c r="S8" s="23">
        <v>0.0</v>
      </c>
      <c r="T8" s="23">
        <f t="shared" si="3"/>
        <v>0</v>
      </c>
      <c r="U8" s="23">
        <f t="shared" si="4"/>
        <v>0</v>
      </c>
      <c r="V8" s="23">
        <f t="shared" si="5"/>
        <v>0</v>
      </c>
      <c r="W8" s="24" t="str">
        <f t="shared" si="6"/>
        <v>#DIV/0!</v>
      </c>
    </row>
    <row r="9">
      <c r="A9" s="15" t="s">
        <v>1141</v>
      </c>
      <c r="B9" s="18"/>
      <c r="C9" s="15" t="s">
        <v>6143</v>
      </c>
      <c r="D9" s="15" t="s">
        <v>1142</v>
      </c>
      <c r="E9" s="17" t="s">
        <v>1143</v>
      </c>
      <c r="F9" s="18"/>
      <c r="G9" s="18"/>
      <c r="H9" s="15" t="s">
        <v>1144</v>
      </c>
      <c r="I9" s="18"/>
      <c r="J9" s="19" t="s">
        <v>283</v>
      </c>
      <c r="K9" s="19" t="s">
        <v>402</v>
      </c>
      <c r="L9" s="19" t="s">
        <v>38</v>
      </c>
      <c r="M9" s="20">
        <f t="shared" si="2"/>
        <v>0</v>
      </c>
      <c r="N9" s="22"/>
      <c r="O9" s="19" t="s">
        <v>1145</v>
      </c>
      <c r="P9" s="18"/>
      <c r="Q9" s="18"/>
      <c r="R9" s="23">
        <v>0.0</v>
      </c>
      <c r="S9" s="23">
        <v>0.0</v>
      </c>
      <c r="T9" s="23">
        <f t="shared" si="3"/>
        <v>0</v>
      </c>
      <c r="U9" s="23">
        <f t="shared" si="4"/>
        <v>0</v>
      </c>
      <c r="V9" s="23">
        <f t="shared" si="5"/>
        <v>0</v>
      </c>
      <c r="W9" s="24" t="str">
        <f t="shared" si="6"/>
        <v>#DIV/0!</v>
      </c>
    </row>
    <row r="10">
      <c r="A10" s="15" t="s">
        <v>3595</v>
      </c>
      <c r="B10" s="18" t="str">
        <f>CONCATENATE(7504589,A10)</f>
        <v>75045891006</v>
      </c>
      <c r="C10" s="15" t="s">
        <v>6144</v>
      </c>
      <c r="D10" s="15" t="s">
        <v>3596</v>
      </c>
      <c r="E10" s="17" t="s">
        <v>3597</v>
      </c>
      <c r="F10" s="18"/>
      <c r="G10" s="18"/>
      <c r="H10" s="15" t="s">
        <v>3598</v>
      </c>
      <c r="I10" s="18"/>
      <c r="J10" s="19" t="s">
        <v>283</v>
      </c>
      <c r="K10" s="19" t="s">
        <v>105</v>
      </c>
      <c r="L10" s="19" t="s">
        <v>38</v>
      </c>
      <c r="M10" s="20">
        <f t="shared" si="2"/>
        <v>0</v>
      </c>
      <c r="N10" s="22"/>
      <c r="O10" s="19" t="s">
        <v>3578</v>
      </c>
      <c r="P10" s="18"/>
      <c r="Q10" s="18"/>
      <c r="R10" s="23">
        <v>0.0</v>
      </c>
      <c r="S10" s="23">
        <v>0.0</v>
      </c>
      <c r="T10" s="23">
        <f t="shared" si="3"/>
        <v>0</v>
      </c>
      <c r="U10" s="23">
        <f t="shared" si="4"/>
        <v>0</v>
      </c>
      <c r="V10" s="23">
        <f t="shared" si="5"/>
        <v>0</v>
      </c>
      <c r="W10" s="24" t="str">
        <f t="shared" si="6"/>
        <v>#DIV/0!</v>
      </c>
    </row>
    <row r="11">
      <c r="A11" s="15" t="s">
        <v>1146</v>
      </c>
      <c r="B11" s="18"/>
      <c r="C11" s="15" t="s">
        <v>6145</v>
      </c>
      <c r="D11" s="18"/>
      <c r="E11" s="17" t="s">
        <v>1147</v>
      </c>
      <c r="F11" s="18"/>
      <c r="G11" s="18"/>
      <c r="H11" s="15" t="s">
        <v>1148</v>
      </c>
      <c r="I11" s="18"/>
      <c r="J11" s="19" t="s">
        <v>283</v>
      </c>
      <c r="K11" s="19" t="s">
        <v>284</v>
      </c>
      <c r="L11" s="19" t="s">
        <v>38</v>
      </c>
      <c r="M11" s="20">
        <f t="shared" si="2"/>
        <v>0</v>
      </c>
      <c r="N11" s="22"/>
      <c r="O11" s="19" t="s">
        <v>1145</v>
      </c>
      <c r="P11" s="18"/>
      <c r="Q11" s="18"/>
      <c r="R11" s="23">
        <v>0.0</v>
      </c>
      <c r="S11" s="23">
        <v>0.0</v>
      </c>
      <c r="T11" s="23">
        <f t="shared" si="3"/>
        <v>0</v>
      </c>
      <c r="U11" s="23">
        <f t="shared" si="4"/>
        <v>0</v>
      </c>
      <c r="V11" s="23">
        <f t="shared" si="5"/>
        <v>0</v>
      </c>
      <c r="W11" s="24" t="str">
        <f t="shared" si="6"/>
        <v>#DIV/0!</v>
      </c>
    </row>
    <row r="12">
      <c r="A12" s="15" t="s">
        <v>3599</v>
      </c>
      <c r="B12" s="15" t="s">
        <v>3600</v>
      </c>
      <c r="C12" s="15" t="s">
        <v>6146</v>
      </c>
      <c r="D12" s="15" t="s">
        <v>3601</v>
      </c>
      <c r="E12" s="17" t="s">
        <v>3602</v>
      </c>
      <c r="F12" s="18"/>
      <c r="G12" s="18"/>
      <c r="H12" s="15" t="s">
        <v>3603</v>
      </c>
      <c r="I12" s="18"/>
      <c r="J12" s="19" t="s">
        <v>283</v>
      </c>
      <c r="K12" s="19" t="s">
        <v>105</v>
      </c>
      <c r="L12" s="19" t="s">
        <v>38</v>
      </c>
      <c r="M12" s="20">
        <f t="shared" si="2"/>
        <v>0</v>
      </c>
      <c r="N12" s="22"/>
      <c r="O12" s="19" t="s">
        <v>3578</v>
      </c>
      <c r="P12" s="18"/>
      <c r="Q12" s="18"/>
      <c r="R12" s="23">
        <v>0.0</v>
      </c>
      <c r="S12" s="23">
        <v>0.0</v>
      </c>
      <c r="T12" s="23">
        <f t="shared" si="3"/>
        <v>0</v>
      </c>
      <c r="U12" s="23">
        <f t="shared" si="4"/>
        <v>0</v>
      </c>
      <c r="V12" s="23">
        <f t="shared" si="5"/>
        <v>0</v>
      </c>
      <c r="W12" s="24" t="str">
        <f t="shared" si="6"/>
        <v>#DIV/0!</v>
      </c>
    </row>
    <row r="13">
      <c r="A13" s="15" t="s">
        <v>3604</v>
      </c>
      <c r="B13" s="15" t="s">
        <v>3605</v>
      </c>
      <c r="C13" s="15" t="s">
        <v>6147</v>
      </c>
      <c r="D13" s="15" t="s">
        <v>3606</v>
      </c>
      <c r="E13" s="17" t="s">
        <v>3607</v>
      </c>
      <c r="F13" s="18"/>
      <c r="G13" s="18"/>
      <c r="H13" s="15" t="s">
        <v>3608</v>
      </c>
      <c r="I13" s="18"/>
      <c r="J13" s="19" t="s">
        <v>283</v>
      </c>
      <c r="K13" s="19" t="s">
        <v>105</v>
      </c>
      <c r="L13" s="19" t="s">
        <v>38</v>
      </c>
      <c r="M13" s="20">
        <f t="shared" si="2"/>
        <v>0</v>
      </c>
      <c r="N13" s="22"/>
      <c r="O13" s="19" t="s">
        <v>3578</v>
      </c>
      <c r="P13" s="18"/>
      <c r="Q13" s="18"/>
      <c r="R13" s="23">
        <v>0.0</v>
      </c>
      <c r="S13" s="23">
        <v>0.0</v>
      </c>
      <c r="T13" s="23">
        <f t="shared" si="3"/>
        <v>0</v>
      </c>
      <c r="U13" s="23">
        <f t="shared" si="4"/>
        <v>0</v>
      </c>
      <c r="V13" s="23">
        <f t="shared" si="5"/>
        <v>0</v>
      </c>
      <c r="W13" s="24" t="str">
        <f t="shared" si="6"/>
        <v>#DIV/0!</v>
      </c>
    </row>
    <row r="14">
      <c r="A14" s="15" t="s">
        <v>3609</v>
      </c>
      <c r="B14" s="15" t="s">
        <v>3610</v>
      </c>
      <c r="C14" s="15" t="s">
        <v>6148</v>
      </c>
      <c r="D14" s="15" t="s">
        <v>3611</v>
      </c>
      <c r="E14" s="17" t="s">
        <v>3612</v>
      </c>
      <c r="F14" s="18"/>
      <c r="G14" s="18"/>
      <c r="H14" s="15" t="s">
        <v>3613</v>
      </c>
      <c r="I14" s="18"/>
      <c r="J14" s="19" t="s">
        <v>283</v>
      </c>
      <c r="K14" s="19" t="s">
        <v>105</v>
      </c>
      <c r="L14" s="19" t="s">
        <v>38</v>
      </c>
      <c r="M14" s="20">
        <f t="shared" si="2"/>
        <v>0</v>
      </c>
      <c r="N14" s="22"/>
      <c r="O14" s="19" t="s">
        <v>3578</v>
      </c>
      <c r="P14" s="18"/>
      <c r="Q14" s="18"/>
      <c r="R14" s="23">
        <v>0.0</v>
      </c>
      <c r="S14" s="23">
        <v>0.0</v>
      </c>
      <c r="T14" s="23">
        <f t="shared" si="3"/>
        <v>0</v>
      </c>
      <c r="U14" s="23">
        <f t="shared" si="4"/>
        <v>0</v>
      </c>
      <c r="V14" s="23">
        <f t="shared" si="5"/>
        <v>0</v>
      </c>
      <c r="W14" s="24" t="str">
        <f t="shared" si="6"/>
        <v>#DIV/0!</v>
      </c>
    </row>
    <row r="15">
      <c r="A15" s="15" t="s">
        <v>3614</v>
      </c>
      <c r="B15" s="15" t="s">
        <v>3615</v>
      </c>
      <c r="C15" s="15" t="s">
        <v>6149</v>
      </c>
      <c r="D15" s="15" t="s">
        <v>3616</v>
      </c>
      <c r="E15" s="17" t="s">
        <v>3617</v>
      </c>
      <c r="F15" s="18"/>
      <c r="G15" s="18"/>
      <c r="H15" s="15" t="s">
        <v>3618</v>
      </c>
      <c r="I15" s="18"/>
      <c r="J15" s="19" t="s">
        <v>283</v>
      </c>
      <c r="K15" s="19" t="s">
        <v>105</v>
      </c>
      <c r="L15" s="19" t="s">
        <v>38</v>
      </c>
      <c r="M15" s="20">
        <f t="shared" si="2"/>
        <v>0</v>
      </c>
      <c r="N15" s="22"/>
      <c r="O15" s="19" t="s">
        <v>3578</v>
      </c>
      <c r="P15" s="18"/>
      <c r="Q15" s="18"/>
      <c r="R15" s="23">
        <v>0.0</v>
      </c>
      <c r="S15" s="23">
        <v>0.0</v>
      </c>
      <c r="T15" s="23">
        <f t="shared" si="3"/>
        <v>0</v>
      </c>
      <c r="U15" s="23">
        <f t="shared" si="4"/>
        <v>0</v>
      </c>
      <c r="V15" s="23">
        <f t="shared" si="5"/>
        <v>0</v>
      </c>
      <c r="W15" s="24" t="str">
        <f t="shared" si="6"/>
        <v>#DIV/0!</v>
      </c>
    </row>
    <row r="16">
      <c r="A16" s="15" t="s">
        <v>1149</v>
      </c>
      <c r="B16" s="18"/>
      <c r="C16" s="15" t="s">
        <v>6150</v>
      </c>
      <c r="D16" s="18"/>
      <c r="E16" s="17" t="s">
        <v>1150</v>
      </c>
      <c r="F16" s="18"/>
      <c r="G16" s="18"/>
      <c r="H16" s="15" t="s">
        <v>1151</v>
      </c>
      <c r="I16" s="18"/>
      <c r="J16" s="19" t="s">
        <v>283</v>
      </c>
      <c r="K16" s="19" t="s">
        <v>603</v>
      </c>
      <c r="L16" s="19" t="s">
        <v>38</v>
      </c>
      <c r="M16" s="20">
        <f t="shared" si="2"/>
        <v>0</v>
      </c>
      <c r="N16" s="22"/>
      <c r="O16" s="19" t="s">
        <v>1145</v>
      </c>
      <c r="P16" s="18"/>
      <c r="Q16" s="18"/>
      <c r="R16" s="23">
        <v>0.0</v>
      </c>
      <c r="S16" s="23">
        <v>0.0</v>
      </c>
      <c r="T16" s="23">
        <f t="shared" si="3"/>
        <v>0</v>
      </c>
      <c r="U16" s="23">
        <f t="shared" si="4"/>
        <v>0</v>
      </c>
      <c r="V16" s="23">
        <f t="shared" si="5"/>
        <v>0</v>
      </c>
      <c r="W16" s="24" t="str">
        <f t="shared" si="6"/>
        <v>#DIV/0!</v>
      </c>
    </row>
    <row r="17">
      <c r="A17" s="15" t="s">
        <v>3619</v>
      </c>
      <c r="B17" s="15" t="s">
        <v>3620</v>
      </c>
      <c r="C17" s="15" t="s">
        <v>6151</v>
      </c>
      <c r="D17" s="15" t="s">
        <v>3621</v>
      </c>
      <c r="E17" s="17" t="s">
        <v>3622</v>
      </c>
      <c r="F17" s="18"/>
      <c r="G17" s="18"/>
      <c r="H17" s="15" t="s">
        <v>3623</v>
      </c>
      <c r="I17" s="18"/>
      <c r="J17" s="19" t="s">
        <v>283</v>
      </c>
      <c r="K17" s="19" t="s">
        <v>105</v>
      </c>
      <c r="L17" s="19" t="s">
        <v>38</v>
      </c>
      <c r="M17" s="20">
        <f t="shared" si="2"/>
        <v>0</v>
      </c>
      <c r="N17" s="22"/>
      <c r="O17" s="19" t="s">
        <v>3578</v>
      </c>
      <c r="P17" s="18"/>
      <c r="Q17" s="18"/>
      <c r="R17" s="23">
        <v>0.0</v>
      </c>
      <c r="S17" s="23">
        <v>0.0</v>
      </c>
      <c r="T17" s="23">
        <f t="shared" si="3"/>
        <v>0</v>
      </c>
      <c r="U17" s="23">
        <f t="shared" si="4"/>
        <v>0</v>
      </c>
      <c r="V17" s="23">
        <f t="shared" si="5"/>
        <v>0</v>
      </c>
      <c r="W17" s="24" t="str">
        <f t="shared" si="6"/>
        <v>#DIV/0!</v>
      </c>
    </row>
    <row r="18">
      <c r="A18" s="15" t="s">
        <v>3624</v>
      </c>
      <c r="B18" s="15" t="s">
        <v>3625</v>
      </c>
      <c r="C18" s="15" t="s">
        <v>6152</v>
      </c>
      <c r="D18" s="15" t="s">
        <v>3626</v>
      </c>
      <c r="E18" s="17" t="s">
        <v>3627</v>
      </c>
      <c r="F18" s="18"/>
      <c r="G18" s="18"/>
      <c r="H18" s="15" t="s">
        <v>3628</v>
      </c>
      <c r="I18" s="18"/>
      <c r="J18" s="19" t="s">
        <v>283</v>
      </c>
      <c r="K18" s="19" t="s">
        <v>603</v>
      </c>
      <c r="L18" s="19" t="s">
        <v>38</v>
      </c>
      <c r="M18" s="20">
        <f t="shared" si="2"/>
        <v>0</v>
      </c>
      <c r="N18" s="22"/>
      <c r="O18" s="19" t="s">
        <v>3578</v>
      </c>
      <c r="P18" s="18"/>
      <c r="Q18" s="18"/>
      <c r="R18" s="23">
        <v>0.0</v>
      </c>
      <c r="S18" s="23">
        <v>0.0</v>
      </c>
      <c r="T18" s="23">
        <f t="shared" si="3"/>
        <v>0</v>
      </c>
      <c r="U18" s="23">
        <f t="shared" si="4"/>
        <v>0</v>
      </c>
      <c r="V18" s="23">
        <f t="shared" si="5"/>
        <v>0</v>
      </c>
      <c r="W18" s="24" t="str">
        <f t="shared" si="6"/>
        <v>#DIV/0!</v>
      </c>
    </row>
    <row r="19">
      <c r="A19" s="15" t="s">
        <v>3629</v>
      </c>
      <c r="B19" s="15" t="s">
        <v>3630</v>
      </c>
      <c r="C19" s="15" t="s">
        <v>6153</v>
      </c>
      <c r="D19" s="15" t="s">
        <v>3631</v>
      </c>
      <c r="E19" s="17" t="s">
        <v>3632</v>
      </c>
      <c r="F19" s="18"/>
      <c r="G19" s="18"/>
      <c r="H19" s="15" t="s">
        <v>3633</v>
      </c>
      <c r="I19" s="18"/>
      <c r="J19" s="19" t="s">
        <v>283</v>
      </c>
      <c r="K19" s="19" t="s">
        <v>603</v>
      </c>
      <c r="L19" s="19" t="s">
        <v>38</v>
      </c>
      <c r="M19" s="20">
        <f t="shared" si="2"/>
        <v>0</v>
      </c>
      <c r="N19" s="22"/>
      <c r="O19" s="19" t="s">
        <v>3578</v>
      </c>
      <c r="P19" s="18"/>
      <c r="Q19" s="18"/>
      <c r="R19" s="23">
        <v>0.0</v>
      </c>
      <c r="S19" s="23">
        <v>0.0</v>
      </c>
      <c r="T19" s="23">
        <f t="shared" si="3"/>
        <v>0</v>
      </c>
      <c r="U19" s="23">
        <f t="shared" si="4"/>
        <v>0</v>
      </c>
      <c r="V19" s="23">
        <f t="shared" si="5"/>
        <v>0</v>
      </c>
      <c r="W19" s="24" t="str">
        <f t="shared" si="6"/>
        <v>#DIV/0!</v>
      </c>
    </row>
    <row r="20">
      <c r="A20" s="15" t="s">
        <v>3634</v>
      </c>
      <c r="B20" s="15" t="s">
        <v>3635</v>
      </c>
      <c r="C20" s="15" t="s">
        <v>6154</v>
      </c>
      <c r="D20" s="15" t="s">
        <v>3636</v>
      </c>
      <c r="E20" s="17" t="s">
        <v>3637</v>
      </c>
      <c r="F20" s="18"/>
      <c r="G20" s="18"/>
      <c r="H20" s="15" t="s">
        <v>3638</v>
      </c>
      <c r="I20" s="18"/>
      <c r="J20" s="19" t="s">
        <v>283</v>
      </c>
      <c r="K20" s="19" t="s">
        <v>603</v>
      </c>
      <c r="L20" s="19" t="s">
        <v>38</v>
      </c>
      <c r="M20" s="20">
        <f t="shared" si="2"/>
        <v>0</v>
      </c>
      <c r="N20" s="22"/>
      <c r="O20" s="19" t="s">
        <v>3578</v>
      </c>
      <c r="P20" s="18"/>
      <c r="Q20" s="18"/>
      <c r="R20" s="23">
        <v>0.0</v>
      </c>
      <c r="S20" s="23">
        <v>0.0</v>
      </c>
      <c r="T20" s="23">
        <f t="shared" si="3"/>
        <v>0</v>
      </c>
      <c r="U20" s="23">
        <f t="shared" si="4"/>
        <v>0</v>
      </c>
      <c r="V20" s="23">
        <f t="shared" si="5"/>
        <v>0</v>
      </c>
      <c r="W20" s="24" t="str">
        <f t="shared" si="6"/>
        <v>#DIV/0!</v>
      </c>
    </row>
    <row r="21">
      <c r="A21" s="15" t="s">
        <v>3639</v>
      </c>
      <c r="B21" s="15" t="s">
        <v>3640</v>
      </c>
      <c r="C21" s="15" t="s">
        <v>6155</v>
      </c>
      <c r="D21" s="15" t="s">
        <v>3641</v>
      </c>
      <c r="E21" s="17" t="s">
        <v>3642</v>
      </c>
      <c r="F21" s="18"/>
      <c r="G21" s="18"/>
      <c r="H21" s="15" t="s">
        <v>3643</v>
      </c>
      <c r="I21" s="15" t="s">
        <v>3644</v>
      </c>
      <c r="J21" s="19" t="s">
        <v>283</v>
      </c>
      <c r="K21" s="19" t="s">
        <v>603</v>
      </c>
      <c r="L21" s="19" t="s">
        <v>38</v>
      </c>
      <c r="M21" s="20">
        <f t="shared" si="2"/>
        <v>0</v>
      </c>
      <c r="N21" s="22"/>
      <c r="O21" s="19" t="s">
        <v>3578</v>
      </c>
      <c r="P21" s="18"/>
      <c r="Q21" s="18"/>
      <c r="R21" s="23">
        <v>0.0</v>
      </c>
      <c r="S21" s="23">
        <v>0.0</v>
      </c>
      <c r="T21" s="23">
        <f t="shared" si="3"/>
        <v>0</v>
      </c>
      <c r="U21" s="23">
        <f t="shared" si="4"/>
        <v>0</v>
      </c>
      <c r="V21" s="23">
        <f t="shared" si="5"/>
        <v>0</v>
      </c>
      <c r="W21" s="24" t="str">
        <f t="shared" si="6"/>
        <v>#DIV/0!</v>
      </c>
    </row>
    <row r="22">
      <c r="A22" s="15" t="s">
        <v>3645</v>
      </c>
      <c r="B22" s="15" t="s">
        <v>3646</v>
      </c>
      <c r="C22" s="15" t="s">
        <v>6156</v>
      </c>
      <c r="D22" s="18"/>
      <c r="E22" s="17" t="s">
        <v>3647</v>
      </c>
      <c r="F22" s="18"/>
      <c r="G22" s="18"/>
      <c r="H22" s="15" t="s">
        <v>3648</v>
      </c>
      <c r="I22" s="18"/>
      <c r="J22" s="19" t="s">
        <v>283</v>
      </c>
      <c r="K22" s="19" t="s">
        <v>284</v>
      </c>
      <c r="L22" s="19" t="s">
        <v>38</v>
      </c>
      <c r="M22" s="20">
        <f t="shared" si="2"/>
        <v>0</v>
      </c>
      <c r="N22" s="22"/>
      <c r="O22" s="19" t="s">
        <v>3578</v>
      </c>
      <c r="P22" s="18"/>
      <c r="Q22" s="18"/>
      <c r="R22" s="23">
        <v>0.0</v>
      </c>
      <c r="S22" s="23">
        <v>0.0</v>
      </c>
      <c r="T22" s="23">
        <f t="shared" si="3"/>
        <v>0</v>
      </c>
      <c r="U22" s="23">
        <f t="shared" si="4"/>
        <v>0</v>
      </c>
      <c r="V22" s="23">
        <f t="shared" si="5"/>
        <v>0</v>
      </c>
      <c r="W22" s="24" t="str">
        <f t="shared" si="6"/>
        <v>#DIV/0!</v>
      </c>
    </row>
    <row r="23">
      <c r="A23" s="15" t="s">
        <v>3649</v>
      </c>
      <c r="B23" s="15" t="s">
        <v>3650</v>
      </c>
      <c r="C23" s="15" t="s">
        <v>6157</v>
      </c>
      <c r="D23" s="15" t="s">
        <v>3651</v>
      </c>
      <c r="E23" s="17" t="s">
        <v>3652</v>
      </c>
      <c r="F23" s="18"/>
      <c r="G23" s="18"/>
      <c r="H23" s="15" t="s">
        <v>3653</v>
      </c>
      <c r="I23" s="18"/>
      <c r="J23" s="19" t="s">
        <v>283</v>
      </c>
      <c r="K23" s="19" t="s">
        <v>105</v>
      </c>
      <c r="L23" s="19" t="s">
        <v>38</v>
      </c>
      <c r="M23" s="20">
        <f t="shared" si="2"/>
        <v>0</v>
      </c>
      <c r="N23" s="22"/>
      <c r="O23" s="19" t="s">
        <v>3578</v>
      </c>
      <c r="P23" s="18"/>
      <c r="Q23" s="18"/>
      <c r="R23" s="23">
        <v>0.0</v>
      </c>
      <c r="S23" s="23">
        <v>0.0</v>
      </c>
      <c r="T23" s="23">
        <f t="shared" si="3"/>
        <v>0</v>
      </c>
      <c r="U23" s="23">
        <f t="shared" si="4"/>
        <v>0</v>
      </c>
      <c r="V23" s="23">
        <f t="shared" si="5"/>
        <v>0</v>
      </c>
      <c r="W23" s="24" t="str">
        <f t="shared" si="6"/>
        <v>#DIV/0!</v>
      </c>
    </row>
    <row r="24">
      <c r="A24" s="15" t="s">
        <v>1152</v>
      </c>
      <c r="B24" s="18"/>
      <c r="C24" s="15" t="s">
        <v>6158</v>
      </c>
      <c r="D24" s="18"/>
      <c r="E24" s="17" t="s">
        <v>1153</v>
      </c>
      <c r="F24" s="18"/>
      <c r="G24" s="18"/>
      <c r="H24" s="15" t="s">
        <v>1154</v>
      </c>
      <c r="I24" s="18"/>
      <c r="J24" s="19" t="s">
        <v>283</v>
      </c>
      <c r="K24" s="19" t="s">
        <v>105</v>
      </c>
      <c r="L24" s="19" t="s">
        <v>38</v>
      </c>
      <c r="M24" s="20">
        <f t="shared" si="2"/>
        <v>0</v>
      </c>
      <c r="N24" s="22"/>
      <c r="O24" s="19" t="s">
        <v>1145</v>
      </c>
      <c r="P24" s="18"/>
      <c r="Q24" s="18"/>
      <c r="R24" s="23">
        <v>0.0</v>
      </c>
      <c r="S24" s="23">
        <v>0.0</v>
      </c>
      <c r="T24" s="23">
        <f t="shared" si="3"/>
        <v>0</v>
      </c>
      <c r="U24" s="23">
        <f t="shared" si="4"/>
        <v>0</v>
      </c>
      <c r="V24" s="23">
        <f t="shared" si="5"/>
        <v>0</v>
      </c>
      <c r="W24" s="24" t="str">
        <f t="shared" si="6"/>
        <v>#DIV/0!</v>
      </c>
    </row>
    <row r="25">
      <c r="A25" s="15" t="s">
        <v>1155</v>
      </c>
      <c r="B25" s="18"/>
      <c r="C25" s="15" t="s">
        <v>6159</v>
      </c>
      <c r="D25" s="18"/>
      <c r="E25" s="17" t="s">
        <v>470</v>
      </c>
      <c r="F25" s="18"/>
      <c r="G25" s="18"/>
      <c r="H25" s="15" t="s">
        <v>1156</v>
      </c>
      <c r="I25" s="18"/>
      <c r="J25" s="19" t="s">
        <v>283</v>
      </c>
      <c r="K25" s="19" t="s">
        <v>284</v>
      </c>
      <c r="L25" s="19" t="s">
        <v>38</v>
      </c>
      <c r="M25" s="20">
        <f t="shared" si="2"/>
        <v>0</v>
      </c>
      <c r="N25" s="31">
        <v>5.0</v>
      </c>
      <c r="O25" s="19" t="s">
        <v>1145</v>
      </c>
      <c r="P25" s="18"/>
      <c r="Q25" s="18"/>
      <c r="R25" s="23">
        <v>0.0</v>
      </c>
      <c r="S25" s="23">
        <v>0.0</v>
      </c>
      <c r="T25" s="23">
        <f t="shared" si="3"/>
        <v>0</v>
      </c>
      <c r="U25" s="23">
        <f t="shared" si="4"/>
        <v>0</v>
      </c>
      <c r="V25" s="23">
        <f t="shared" si="5"/>
        <v>0</v>
      </c>
      <c r="W25" s="24" t="str">
        <f t="shared" si="6"/>
        <v>#DIV/0!</v>
      </c>
    </row>
    <row r="26">
      <c r="A26" s="15" t="s">
        <v>6160</v>
      </c>
      <c r="B26" s="18"/>
      <c r="C26" s="15" t="s">
        <v>6161</v>
      </c>
      <c r="D26" s="18"/>
      <c r="E26" s="17" t="s">
        <v>6162</v>
      </c>
      <c r="F26" s="18"/>
      <c r="G26" s="18"/>
      <c r="H26" s="15" t="s">
        <v>1156</v>
      </c>
      <c r="I26" s="18"/>
      <c r="J26" s="19" t="s">
        <v>283</v>
      </c>
      <c r="K26" s="19" t="s">
        <v>284</v>
      </c>
      <c r="L26" s="19" t="s">
        <v>38</v>
      </c>
      <c r="M26" s="20">
        <f t="shared" si="2"/>
        <v>0</v>
      </c>
      <c r="N26" s="22"/>
      <c r="O26" s="19" t="s">
        <v>39</v>
      </c>
      <c r="P26" s="18"/>
      <c r="Q26" s="18"/>
      <c r="R26" s="23">
        <v>0.0</v>
      </c>
      <c r="S26" s="23">
        <v>0.0</v>
      </c>
      <c r="T26" s="23">
        <f t="shared" si="3"/>
        <v>0</v>
      </c>
      <c r="U26" s="23">
        <f t="shared" si="4"/>
        <v>0</v>
      </c>
      <c r="V26" s="23">
        <f t="shared" si="5"/>
        <v>0</v>
      </c>
      <c r="W26" s="24" t="str">
        <f t="shared" si="6"/>
        <v>#DIV/0!</v>
      </c>
      <c r="Y26" s="40"/>
    </row>
    <row r="27">
      <c r="A27" s="15" t="s">
        <v>1157</v>
      </c>
      <c r="B27" s="18"/>
      <c r="C27" s="15" t="s">
        <v>6163</v>
      </c>
      <c r="D27" s="18"/>
      <c r="E27" s="17" t="s">
        <v>579</v>
      </c>
      <c r="F27" s="18"/>
      <c r="G27" s="18"/>
      <c r="H27" s="15" t="s">
        <v>1158</v>
      </c>
      <c r="I27" s="18"/>
      <c r="J27" s="19" t="s">
        <v>283</v>
      </c>
      <c r="K27" s="19" t="s">
        <v>284</v>
      </c>
      <c r="L27" s="19" t="s">
        <v>38</v>
      </c>
      <c r="M27" s="20">
        <f t="shared" si="2"/>
        <v>0</v>
      </c>
      <c r="N27" s="22"/>
      <c r="O27" s="19" t="s">
        <v>1145</v>
      </c>
      <c r="P27" s="18"/>
      <c r="Q27" s="18"/>
      <c r="R27" s="23">
        <v>0.0</v>
      </c>
      <c r="S27" s="23">
        <v>0.0</v>
      </c>
      <c r="T27" s="23">
        <f t="shared" si="3"/>
        <v>0</v>
      </c>
      <c r="U27" s="23">
        <f t="shared" si="4"/>
        <v>0</v>
      </c>
      <c r="V27" s="23">
        <f t="shared" si="5"/>
        <v>0</v>
      </c>
      <c r="W27" s="24" t="str">
        <f t="shared" si="6"/>
        <v>#DIV/0!</v>
      </c>
    </row>
    <row r="28">
      <c r="A28" s="15" t="s">
        <v>1159</v>
      </c>
      <c r="B28" s="18"/>
      <c r="C28" s="15" t="s">
        <v>6164</v>
      </c>
      <c r="D28" s="18"/>
      <c r="E28" s="17" t="s">
        <v>1160</v>
      </c>
      <c r="F28" s="18"/>
      <c r="G28" s="18"/>
      <c r="H28" s="15" t="s">
        <v>1161</v>
      </c>
      <c r="I28" s="18"/>
      <c r="J28" s="19" t="s">
        <v>283</v>
      </c>
      <c r="K28" s="19" t="s">
        <v>284</v>
      </c>
      <c r="L28" s="19" t="s">
        <v>38</v>
      </c>
      <c r="M28" s="20">
        <f t="shared" si="2"/>
        <v>0</v>
      </c>
      <c r="N28" s="22"/>
      <c r="O28" s="19" t="s">
        <v>1145</v>
      </c>
      <c r="P28" s="18"/>
      <c r="Q28" s="18"/>
      <c r="R28" s="23">
        <v>0.0</v>
      </c>
      <c r="S28" s="23">
        <v>0.0</v>
      </c>
      <c r="T28" s="23">
        <f t="shared" si="3"/>
        <v>0</v>
      </c>
      <c r="U28" s="23">
        <f t="shared" si="4"/>
        <v>0</v>
      </c>
      <c r="V28" s="23">
        <f t="shared" si="5"/>
        <v>0</v>
      </c>
      <c r="W28" s="24" t="str">
        <f t="shared" si="6"/>
        <v>#DIV/0!</v>
      </c>
    </row>
    <row r="29">
      <c r="A29" s="15" t="s">
        <v>1162</v>
      </c>
      <c r="B29" s="18"/>
      <c r="C29" s="15" t="s">
        <v>6165</v>
      </c>
      <c r="D29" s="18"/>
      <c r="E29" s="17" t="s">
        <v>1163</v>
      </c>
      <c r="F29" s="18"/>
      <c r="G29" s="18"/>
      <c r="H29" s="15" t="s">
        <v>1164</v>
      </c>
      <c r="I29" s="18"/>
      <c r="J29" s="19" t="s">
        <v>283</v>
      </c>
      <c r="K29" s="19" t="s">
        <v>284</v>
      </c>
      <c r="L29" s="19" t="s">
        <v>38</v>
      </c>
      <c r="M29" s="20">
        <f t="shared" si="2"/>
        <v>0</v>
      </c>
      <c r="N29" s="22"/>
      <c r="O29" s="19" t="s">
        <v>1145</v>
      </c>
      <c r="P29" s="18"/>
      <c r="Q29" s="18"/>
      <c r="R29" s="23">
        <v>0.0</v>
      </c>
      <c r="S29" s="23">
        <v>0.0</v>
      </c>
      <c r="T29" s="23">
        <f t="shared" si="3"/>
        <v>0</v>
      </c>
      <c r="U29" s="23">
        <f t="shared" si="4"/>
        <v>0</v>
      </c>
      <c r="V29" s="23">
        <f t="shared" si="5"/>
        <v>0</v>
      </c>
      <c r="W29" s="24" t="str">
        <f t="shared" si="6"/>
        <v>#DIV/0!</v>
      </c>
    </row>
    <row r="30">
      <c r="A30" s="15" t="s">
        <v>1165</v>
      </c>
      <c r="B30" s="18"/>
      <c r="C30" s="15" t="s">
        <v>6166</v>
      </c>
      <c r="D30" s="18"/>
      <c r="E30" s="17" t="s">
        <v>1166</v>
      </c>
      <c r="F30" s="18"/>
      <c r="G30" s="18"/>
      <c r="H30" s="15" t="s">
        <v>1167</v>
      </c>
      <c r="I30" s="18"/>
      <c r="J30" s="19" t="s">
        <v>283</v>
      </c>
      <c r="K30" s="19" t="s">
        <v>284</v>
      </c>
      <c r="L30" s="19" t="s">
        <v>38</v>
      </c>
      <c r="M30" s="20">
        <f t="shared" si="2"/>
        <v>0</v>
      </c>
      <c r="N30" s="22"/>
      <c r="O30" s="19" t="s">
        <v>1145</v>
      </c>
      <c r="P30" s="18"/>
      <c r="Q30" s="18"/>
      <c r="R30" s="23">
        <v>0.0</v>
      </c>
      <c r="S30" s="23">
        <v>0.0</v>
      </c>
      <c r="T30" s="23">
        <f t="shared" si="3"/>
        <v>0</v>
      </c>
      <c r="U30" s="23">
        <f t="shared" si="4"/>
        <v>0</v>
      </c>
      <c r="V30" s="23">
        <f t="shared" si="5"/>
        <v>0</v>
      </c>
      <c r="W30" s="24" t="str">
        <f t="shared" si="6"/>
        <v>#DIV/0!</v>
      </c>
      <c r="Y30" s="40"/>
    </row>
    <row r="31">
      <c r="A31" s="15" t="s">
        <v>1168</v>
      </c>
      <c r="B31" s="18"/>
      <c r="C31" s="15" t="s">
        <v>6167</v>
      </c>
      <c r="D31" s="18"/>
      <c r="E31" s="17" t="s">
        <v>1169</v>
      </c>
      <c r="F31" s="18"/>
      <c r="G31" s="18"/>
      <c r="H31" s="15" t="s">
        <v>1170</v>
      </c>
      <c r="I31" s="18"/>
      <c r="J31" s="19" t="s">
        <v>283</v>
      </c>
      <c r="K31" s="19" t="s">
        <v>284</v>
      </c>
      <c r="L31" s="19" t="s">
        <v>38</v>
      </c>
      <c r="M31" s="20">
        <f t="shared" si="2"/>
        <v>0</v>
      </c>
      <c r="N31" s="22"/>
      <c r="O31" s="19" t="s">
        <v>1145</v>
      </c>
      <c r="P31" s="18"/>
      <c r="Q31" s="18"/>
      <c r="R31" s="23">
        <v>0.0</v>
      </c>
      <c r="S31" s="23">
        <v>0.0</v>
      </c>
      <c r="T31" s="23">
        <f t="shared" si="3"/>
        <v>0</v>
      </c>
      <c r="U31" s="23">
        <f t="shared" si="4"/>
        <v>0</v>
      </c>
      <c r="V31" s="23">
        <f t="shared" si="5"/>
        <v>0</v>
      </c>
      <c r="W31" s="24" t="str">
        <f t="shared" si="6"/>
        <v>#DIV/0!</v>
      </c>
      <c r="Y31" s="40"/>
    </row>
    <row r="32">
      <c r="A32" s="15" t="s">
        <v>1171</v>
      </c>
      <c r="B32" s="18"/>
      <c r="C32" s="15" t="s">
        <v>6168</v>
      </c>
      <c r="D32" s="18"/>
      <c r="E32" s="17" t="s">
        <v>1169</v>
      </c>
      <c r="F32" s="18"/>
      <c r="G32" s="18"/>
      <c r="H32" s="15" t="s">
        <v>1167</v>
      </c>
      <c r="I32" s="18"/>
      <c r="J32" s="19" t="s">
        <v>283</v>
      </c>
      <c r="K32" s="19" t="s">
        <v>284</v>
      </c>
      <c r="L32" s="19" t="s">
        <v>38</v>
      </c>
      <c r="M32" s="20">
        <f t="shared" si="2"/>
        <v>0</v>
      </c>
      <c r="N32" s="22"/>
      <c r="O32" s="19" t="s">
        <v>1145</v>
      </c>
      <c r="P32" s="18"/>
      <c r="Q32" s="18"/>
      <c r="R32" s="23">
        <v>0.0</v>
      </c>
      <c r="S32" s="23">
        <v>0.0</v>
      </c>
      <c r="T32" s="23">
        <f t="shared" si="3"/>
        <v>0</v>
      </c>
      <c r="U32" s="23">
        <f t="shared" si="4"/>
        <v>0</v>
      </c>
      <c r="V32" s="23">
        <f t="shared" si="5"/>
        <v>0</v>
      </c>
      <c r="W32" s="24" t="str">
        <f t="shared" si="6"/>
        <v>#DIV/0!</v>
      </c>
    </row>
    <row r="33">
      <c r="A33" s="15" t="s">
        <v>1172</v>
      </c>
      <c r="B33" s="18"/>
      <c r="C33" s="15" t="s">
        <v>6169</v>
      </c>
      <c r="D33" s="18"/>
      <c r="E33" s="17" t="s">
        <v>1173</v>
      </c>
      <c r="F33" s="18"/>
      <c r="G33" s="18"/>
      <c r="H33" s="15" t="s">
        <v>1174</v>
      </c>
      <c r="I33" s="18"/>
      <c r="J33" s="19" t="s">
        <v>283</v>
      </c>
      <c r="K33" s="19" t="s">
        <v>284</v>
      </c>
      <c r="L33" s="19" t="s">
        <v>38</v>
      </c>
      <c r="M33" s="20">
        <f t="shared" si="2"/>
        <v>0</v>
      </c>
      <c r="N33" s="22"/>
      <c r="O33" s="19" t="s">
        <v>1145</v>
      </c>
      <c r="P33" s="18"/>
      <c r="Q33" s="18"/>
      <c r="R33" s="23">
        <v>0.0</v>
      </c>
      <c r="S33" s="23">
        <v>0.0</v>
      </c>
      <c r="T33" s="23">
        <f t="shared" si="3"/>
        <v>0</v>
      </c>
      <c r="U33" s="23">
        <f t="shared" si="4"/>
        <v>0</v>
      </c>
      <c r="V33" s="23">
        <f t="shared" si="5"/>
        <v>0</v>
      </c>
      <c r="W33" s="24" t="str">
        <f t="shared" si="6"/>
        <v>#DIV/0!</v>
      </c>
    </row>
    <row r="34">
      <c r="A34" s="15" t="s">
        <v>1175</v>
      </c>
      <c r="B34" s="18"/>
      <c r="C34" s="15" t="s">
        <v>6170</v>
      </c>
      <c r="D34" s="18"/>
      <c r="E34" s="17" t="s">
        <v>519</v>
      </c>
      <c r="F34" s="18"/>
      <c r="G34" s="18"/>
      <c r="H34" s="15" t="s">
        <v>1176</v>
      </c>
      <c r="I34" s="18"/>
      <c r="J34" s="19" t="s">
        <v>283</v>
      </c>
      <c r="K34" s="19" t="s">
        <v>284</v>
      </c>
      <c r="L34" s="19" t="s">
        <v>38</v>
      </c>
      <c r="M34" s="20">
        <f t="shared" si="2"/>
        <v>0</v>
      </c>
      <c r="N34" s="22"/>
      <c r="O34" s="19" t="s">
        <v>1145</v>
      </c>
      <c r="P34" s="18"/>
      <c r="Q34" s="18"/>
      <c r="R34" s="23">
        <v>0.0</v>
      </c>
      <c r="S34" s="23">
        <v>0.0</v>
      </c>
      <c r="T34" s="23">
        <f t="shared" si="3"/>
        <v>0</v>
      </c>
      <c r="U34" s="23">
        <f t="shared" si="4"/>
        <v>0</v>
      </c>
      <c r="V34" s="23">
        <f t="shared" si="5"/>
        <v>0</v>
      </c>
      <c r="W34" s="24" t="str">
        <f t="shared" si="6"/>
        <v>#DIV/0!</v>
      </c>
    </row>
    <row r="35">
      <c r="A35" s="15" t="s">
        <v>1177</v>
      </c>
      <c r="B35" s="18"/>
      <c r="C35" s="15" t="s">
        <v>6171</v>
      </c>
      <c r="D35" s="18"/>
      <c r="E35" s="17" t="s">
        <v>408</v>
      </c>
      <c r="F35" s="18"/>
      <c r="G35" s="18"/>
      <c r="H35" s="15" t="s">
        <v>1176</v>
      </c>
      <c r="I35" s="18"/>
      <c r="J35" s="19" t="s">
        <v>283</v>
      </c>
      <c r="K35" s="19" t="s">
        <v>284</v>
      </c>
      <c r="L35" s="19" t="s">
        <v>38</v>
      </c>
      <c r="M35" s="20">
        <f t="shared" si="2"/>
        <v>0</v>
      </c>
      <c r="N35" s="22"/>
      <c r="O35" s="19" t="s">
        <v>1145</v>
      </c>
      <c r="P35" s="18"/>
      <c r="Q35" s="18"/>
      <c r="R35" s="23">
        <v>0.0</v>
      </c>
      <c r="S35" s="23">
        <v>0.0</v>
      </c>
      <c r="T35" s="23">
        <f t="shared" si="3"/>
        <v>0</v>
      </c>
      <c r="U35" s="23">
        <f t="shared" si="4"/>
        <v>0</v>
      </c>
      <c r="V35" s="23">
        <f t="shared" si="5"/>
        <v>0</v>
      </c>
      <c r="W35" s="24" t="str">
        <f t="shared" si="6"/>
        <v>#DIV/0!</v>
      </c>
    </row>
    <row r="36">
      <c r="A36" s="15" t="s">
        <v>1178</v>
      </c>
      <c r="B36" s="18"/>
      <c r="C36" s="15" t="s">
        <v>6172</v>
      </c>
      <c r="D36" s="18"/>
      <c r="E36" s="17" t="s">
        <v>281</v>
      </c>
      <c r="F36" s="18"/>
      <c r="G36" s="18"/>
      <c r="H36" s="15" t="s">
        <v>1176</v>
      </c>
      <c r="I36" s="18"/>
      <c r="J36" s="19" t="s">
        <v>283</v>
      </c>
      <c r="K36" s="19" t="s">
        <v>284</v>
      </c>
      <c r="L36" s="19" t="s">
        <v>38</v>
      </c>
      <c r="M36" s="20">
        <f t="shared" si="2"/>
        <v>0</v>
      </c>
      <c r="N36" s="22"/>
      <c r="O36" s="19" t="s">
        <v>1145</v>
      </c>
      <c r="P36" s="18"/>
      <c r="Q36" s="18"/>
      <c r="R36" s="23">
        <v>0.0</v>
      </c>
      <c r="S36" s="23">
        <v>0.0</v>
      </c>
      <c r="T36" s="23">
        <f t="shared" si="3"/>
        <v>0</v>
      </c>
      <c r="U36" s="23">
        <f t="shared" si="4"/>
        <v>0</v>
      </c>
      <c r="V36" s="23">
        <f t="shared" si="5"/>
        <v>0</v>
      </c>
      <c r="W36" s="24" t="str">
        <f t="shared" si="6"/>
        <v>#DIV/0!</v>
      </c>
    </row>
    <row r="37">
      <c r="A37" s="15" t="s">
        <v>1179</v>
      </c>
      <c r="B37" s="18"/>
      <c r="C37" s="15" t="s">
        <v>6173</v>
      </c>
      <c r="D37" s="18"/>
      <c r="E37" s="17" t="s">
        <v>590</v>
      </c>
      <c r="F37" s="18"/>
      <c r="G37" s="18"/>
      <c r="H37" s="15" t="s">
        <v>1180</v>
      </c>
      <c r="I37" s="18"/>
      <c r="J37" s="19" t="s">
        <v>283</v>
      </c>
      <c r="K37" s="19" t="s">
        <v>284</v>
      </c>
      <c r="L37" s="19" t="s">
        <v>38</v>
      </c>
      <c r="M37" s="20">
        <f t="shared" si="2"/>
        <v>0</v>
      </c>
      <c r="N37" s="22"/>
      <c r="O37" s="19" t="s">
        <v>1145</v>
      </c>
      <c r="P37" s="18"/>
      <c r="Q37" s="18"/>
      <c r="R37" s="23">
        <v>0.0</v>
      </c>
      <c r="S37" s="23">
        <v>0.0</v>
      </c>
      <c r="T37" s="23">
        <f t="shared" si="3"/>
        <v>0</v>
      </c>
      <c r="U37" s="23">
        <f t="shared" si="4"/>
        <v>0</v>
      </c>
      <c r="V37" s="23">
        <f t="shared" si="5"/>
        <v>0</v>
      </c>
      <c r="W37" s="24" t="str">
        <f t="shared" si="6"/>
        <v>#DIV/0!</v>
      </c>
    </row>
    <row r="38">
      <c r="A38" s="15" t="s">
        <v>1181</v>
      </c>
      <c r="B38" s="18"/>
      <c r="C38" s="15" t="s">
        <v>6174</v>
      </c>
      <c r="D38" s="18"/>
      <c r="E38" s="17" t="s">
        <v>1182</v>
      </c>
      <c r="F38" s="18"/>
      <c r="G38" s="18"/>
      <c r="H38" s="15" t="s">
        <v>1183</v>
      </c>
      <c r="I38" s="18"/>
      <c r="J38" s="19" t="s">
        <v>283</v>
      </c>
      <c r="K38" s="19" t="s">
        <v>284</v>
      </c>
      <c r="L38" s="19" t="s">
        <v>38</v>
      </c>
      <c r="M38" s="20">
        <f t="shared" si="2"/>
        <v>0</v>
      </c>
      <c r="N38" s="22"/>
      <c r="O38" s="19" t="s">
        <v>1145</v>
      </c>
      <c r="P38" s="18"/>
      <c r="Q38" s="18"/>
      <c r="R38" s="23">
        <v>0.0</v>
      </c>
      <c r="S38" s="23">
        <v>0.0</v>
      </c>
      <c r="T38" s="23">
        <f t="shared" si="3"/>
        <v>0</v>
      </c>
      <c r="U38" s="23">
        <f t="shared" si="4"/>
        <v>0</v>
      </c>
      <c r="V38" s="23">
        <f t="shared" si="5"/>
        <v>0</v>
      </c>
      <c r="W38" s="24" t="str">
        <f t="shared" si="6"/>
        <v>#DIV/0!</v>
      </c>
    </row>
    <row r="39">
      <c r="A39" s="15" t="s">
        <v>466</v>
      </c>
      <c r="B39" s="15" t="s">
        <v>467</v>
      </c>
      <c r="C39" s="15" t="s">
        <v>6175</v>
      </c>
      <c r="D39" s="15" t="s">
        <v>468</v>
      </c>
      <c r="E39" s="17" t="s">
        <v>469</v>
      </c>
      <c r="F39" s="18"/>
      <c r="G39" s="15" t="s">
        <v>470</v>
      </c>
      <c r="H39" s="15" t="s">
        <v>471</v>
      </c>
      <c r="I39" s="18"/>
      <c r="J39" s="19" t="s">
        <v>283</v>
      </c>
      <c r="K39" s="19" t="s">
        <v>284</v>
      </c>
      <c r="L39" s="19" t="s">
        <v>285</v>
      </c>
      <c r="M39" s="20">
        <f t="shared" si="2"/>
        <v>710.4</v>
      </c>
      <c r="N39" s="31">
        <v>5.0</v>
      </c>
      <c r="O39" s="19" t="s">
        <v>107</v>
      </c>
      <c r="P39" s="18"/>
      <c r="Q39" s="18"/>
      <c r="R39" s="23">
        <v>6.0</v>
      </c>
      <c r="S39" s="23">
        <v>40.0</v>
      </c>
      <c r="T39" s="23">
        <f t="shared" si="3"/>
        <v>38.4</v>
      </c>
      <c r="U39" s="23">
        <f t="shared" si="4"/>
        <v>7.35</v>
      </c>
      <c r="V39" s="23">
        <f t="shared" si="5"/>
        <v>137.8125</v>
      </c>
      <c r="W39" s="24">
        <f t="shared" si="6"/>
        <v>6.4</v>
      </c>
    </row>
    <row r="40">
      <c r="A40" s="15" t="s">
        <v>404</v>
      </c>
      <c r="B40" s="15" t="s">
        <v>405</v>
      </c>
      <c r="C40" s="15" t="s">
        <v>6176</v>
      </c>
      <c r="D40" s="15" t="s">
        <v>406</v>
      </c>
      <c r="E40" s="17" t="s">
        <v>407</v>
      </c>
      <c r="F40" s="18"/>
      <c r="G40" s="15" t="s">
        <v>408</v>
      </c>
      <c r="H40" s="15" t="s">
        <v>409</v>
      </c>
      <c r="I40" s="18"/>
      <c r="J40" s="19" t="s">
        <v>283</v>
      </c>
      <c r="K40" s="19" t="s">
        <v>284</v>
      </c>
      <c r="L40" s="19" t="s">
        <v>285</v>
      </c>
      <c r="M40" s="20">
        <f t="shared" si="2"/>
        <v>781.44</v>
      </c>
      <c r="N40" s="31">
        <v>5.0</v>
      </c>
      <c r="O40" s="19" t="s">
        <v>107</v>
      </c>
      <c r="P40" s="18"/>
      <c r="Q40" s="18"/>
      <c r="R40" s="23">
        <v>6.0</v>
      </c>
      <c r="S40" s="23">
        <v>44.0</v>
      </c>
      <c r="T40" s="23">
        <f t="shared" si="3"/>
        <v>42.24</v>
      </c>
      <c r="U40" s="23">
        <f t="shared" si="4"/>
        <v>7.35</v>
      </c>
      <c r="V40" s="23">
        <f t="shared" si="5"/>
        <v>137.8125</v>
      </c>
      <c r="W40" s="24">
        <f t="shared" si="6"/>
        <v>7.04</v>
      </c>
    </row>
    <row r="41">
      <c r="A41" s="15" t="s">
        <v>277</v>
      </c>
      <c r="B41" s="15" t="s">
        <v>278</v>
      </c>
      <c r="C41" s="15" t="s">
        <v>6177</v>
      </c>
      <c r="D41" s="15" t="s">
        <v>279</v>
      </c>
      <c r="E41" s="17" t="s">
        <v>280</v>
      </c>
      <c r="F41" s="18"/>
      <c r="G41" s="15" t="s">
        <v>281</v>
      </c>
      <c r="H41" s="15" t="s">
        <v>282</v>
      </c>
      <c r="I41" s="18"/>
      <c r="J41" s="19" t="s">
        <v>283</v>
      </c>
      <c r="K41" s="19" t="s">
        <v>284</v>
      </c>
      <c r="L41" s="19" t="s">
        <v>285</v>
      </c>
      <c r="M41" s="20">
        <f t="shared" si="2"/>
        <v>888</v>
      </c>
      <c r="N41" s="31">
        <v>5.0</v>
      </c>
      <c r="O41" s="19" t="s">
        <v>107</v>
      </c>
      <c r="P41" s="18"/>
      <c r="Q41" s="18"/>
      <c r="R41" s="23">
        <v>6.0</v>
      </c>
      <c r="S41" s="23">
        <v>50.0</v>
      </c>
      <c r="T41" s="23">
        <f t="shared" si="3"/>
        <v>48</v>
      </c>
      <c r="U41" s="23">
        <f t="shared" si="4"/>
        <v>7.35</v>
      </c>
      <c r="V41" s="23">
        <f t="shared" si="5"/>
        <v>137.8125</v>
      </c>
      <c r="W41" s="24">
        <f t="shared" si="6"/>
        <v>8</v>
      </c>
    </row>
    <row r="42">
      <c r="A42" s="15" t="s">
        <v>515</v>
      </c>
      <c r="B42" s="15" t="s">
        <v>516</v>
      </c>
      <c r="C42" s="15" t="s">
        <v>6178</v>
      </c>
      <c r="D42" s="15" t="s">
        <v>517</v>
      </c>
      <c r="E42" s="17" t="s">
        <v>518</v>
      </c>
      <c r="F42" s="18"/>
      <c r="G42" s="15" t="s">
        <v>519</v>
      </c>
      <c r="H42" s="15" t="s">
        <v>520</v>
      </c>
      <c r="I42" s="18"/>
      <c r="J42" s="19" t="s">
        <v>283</v>
      </c>
      <c r="K42" s="19" t="s">
        <v>284</v>
      </c>
      <c r="L42" s="19" t="s">
        <v>285</v>
      </c>
      <c r="M42" s="20">
        <f t="shared" si="2"/>
        <v>888</v>
      </c>
      <c r="N42" s="31">
        <v>5.0</v>
      </c>
      <c r="O42" s="19" t="s">
        <v>107</v>
      </c>
      <c r="P42" s="18"/>
      <c r="Q42" s="18"/>
      <c r="R42" s="23">
        <v>8.0</v>
      </c>
      <c r="S42" s="23">
        <v>50.0</v>
      </c>
      <c r="T42" s="23">
        <f t="shared" si="3"/>
        <v>48</v>
      </c>
      <c r="U42" s="23">
        <f t="shared" si="4"/>
        <v>9.8</v>
      </c>
      <c r="V42" s="23">
        <f t="shared" si="5"/>
        <v>183.75</v>
      </c>
      <c r="W42" s="24">
        <f t="shared" si="6"/>
        <v>6</v>
      </c>
    </row>
    <row r="43">
      <c r="A43" s="15" t="s">
        <v>586</v>
      </c>
      <c r="B43" s="15" t="s">
        <v>587</v>
      </c>
      <c r="C43" s="15" t="s">
        <v>6179</v>
      </c>
      <c r="D43" s="15" t="s">
        <v>588</v>
      </c>
      <c r="E43" s="17" t="s">
        <v>589</v>
      </c>
      <c r="F43" s="18"/>
      <c r="G43" s="15" t="s">
        <v>590</v>
      </c>
      <c r="H43" s="15" t="s">
        <v>591</v>
      </c>
      <c r="I43" s="18"/>
      <c r="J43" s="19" t="s">
        <v>283</v>
      </c>
      <c r="K43" s="19" t="s">
        <v>284</v>
      </c>
      <c r="L43" s="19" t="s">
        <v>285</v>
      </c>
      <c r="M43" s="20">
        <f t="shared" si="2"/>
        <v>888</v>
      </c>
      <c r="N43" s="31">
        <v>5.0</v>
      </c>
      <c r="O43" s="19" t="s">
        <v>107</v>
      </c>
      <c r="P43" s="18"/>
      <c r="Q43" s="18"/>
      <c r="R43" s="23">
        <v>9.0</v>
      </c>
      <c r="S43" s="23">
        <v>50.0</v>
      </c>
      <c r="T43" s="23">
        <f t="shared" si="3"/>
        <v>48</v>
      </c>
      <c r="U43" s="23">
        <f t="shared" si="4"/>
        <v>11.025</v>
      </c>
      <c r="V43" s="23">
        <f t="shared" si="5"/>
        <v>206.71875</v>
      </c>
      <c r="W43" s="24">
        <f t="shared" si="6"/>
        <v>5.333333333</v>
      </c>
    </row>
    <row r="44">
      <c r="A44" s="15" t="s">
        <v>575</v>
      </c>
      <c r="B44" s="15" t="s">
        <v>576</v>
      </c>
      <c r="C44" s="15" t="s">
        <v>6180</v>
      </c>
      <c r="D44" s="15" t="s">
        <v>577</v>
      </c>
      <c r="E44" s="17" t="s">
        <v>578</v>
      </c>
      <c r="F44" s="18"/>
      <c r="G44" s="15" t="s">
        <v>579</v>
      </c>
      <c r="H44" s="15" t="s">
        <v>580</v>
      </c>
      <c r="I44" s="18"/>
      <c r="J44" s="19" t="s">
        <v>283</v>
      </c>
      <c r="K44" s="19" t="s">
        <v>284</v>
      </c>
      <c r="L44" s="19" t="s">
        <v>285</v>
      </c>
      <c r="M44" s="20">
        <f t="shared" si="2"/>
        <v>1012.32</v>
      </c>
      <c r="N44" s="31">
        <v>5.0</v>
      </c>
      <c r="O44" s="19" t="s">
        <v>107</v>
      </c>
      <c r="P44" s="18"/>
      <c r="Q44" s="18"/>
      <c r="R44" s="23">
        <v>10.0</v>
      </c>
      <c r="S44" s="23">
        <v>57.0</v>
      </c>
      <c r="T44" s="23">
        <f t="shared" si="3"/>
        <v>54.72</v>
      </c>
      <c r="U44" s="23">
        <f t="shared" si="4"/>
        <v>12.25</v>
      </c>
      <c r="V44" s="23">
        <f t="shared" si="5"/>
        <v>229.6875</v>
      </c>
      <c r="W44" s="24">
        <f t="shared" si="6"/>
        <v>5.472</v>
      </c>
    </row>
    <row r="45">
      <c r="A45" s="15" t="s">
        <v>1184</v>
      </c>
      <c r="B45" s="18"/>
      <c r="C45" s="15" t="s">
        <v>6181</v>
      </c>
      <c r="D45" s="18"/>
      <c r="E45" s="17" t="s">
        <v>1185</v>
      </c>
      <c r="F45" s="18"/>
      <c r="G45" s="18"/>
      <c r="H45" s="15" t="s">
        <v>1186</v>
      </c>
      <c r="I45" s="18"/>
      <c r="J45" s="19" t="s">
        <v>283</v>
      </c>
      <c r="K45" s="19" t="s">
        <v>284</v>
      </c>
      <c r="L45" s="19" t="s">
        <v>38</v>
      </c>
      <c r="M45" s="20">
        <f t="shared" si="2"/>
        <v>0</v>
      </c>
      <c r="N45" s="22"/>
      <c r="O45" s="19" t="s">
        <v>1145</v>
      </c>
      <c r="P45" s="18"/>
      <c r="Q45" s="18"/>
      <c r="R45" s="23">
        <v>0.0</v>
      </c>
      <c r="S45" s="23">
        <v>0.0</v>
      </c>
      <c r="T45" s="23">
        <f t="shared" si="3"/>
        <v>0</v>
      </c>
      <c r="U45" s="23">
        <f t="shared" si="4"/>
        <v>0</v>
      </c>
      <c r="V45" s="23">
        <f t="shared" si="5"/>
        <v>0</v>
      </c>
      <c r="W45" s="24" t="str">
        <f t="shared" si="6"/>
        <v>#DIV/0!</v>
      </c>
    </row>
    <row r="46">
      <c r="A46" s="15" t="s">
        <v>1187</v>
      </c>
      <c r="B46" s="18"/>
      <c r="C46" s="15" t="s">
        <v>6182</v>
      </c>
      <c r="D46" s="18"/>
      <c r="E46" s="17" t="s">
        <v>1188</v>
      </c>
      <c r="F46" s="18"/>
      <c r="G46" s="18"/>
      <c r="H46" s="15" t="s">
        <v>1189</v>
      </c>
      <c r="I46" s="18"/>
      <c r="J46" s="19" t="s">
        <v>283</v>
      </c>
      <c r="K46" s="19" t="s">
        <v>284</v>
      </c>
      <c r="L46" s="19" t="s">
        <v>38</v>
      </c>
      <c r="M46" s="20">
        <f t="shared" si="2"/>
        <v>0</v>
      </c>
      <c r="N46" s="22"/>
      <c r="O46" s="19" t="s">
        <v>1145</v>
      </c>
      <c r="P46" s="18"/>
      <c r="Q46" s="18"/>
      <c r="R46" s="23">
        <v>0.0</v>
      </c>
      <c r="S46" s="23">
        <v>0.0</v>
      </c>
      <c r="T46" s="23">
        <f t="shared" si="3"/>
        <v>0</v>
      </c>
      <c r="U46" s="23">
        <f t="shared" si="4"/>
        <v>0</v>
      </c>
      <c r="V46" s="23">
        <f t="shared" si="5"/>
        <v>0</v>
      </c>
      <c r="W46" s="24" t="str">
        <f t="shared" si="6"/>
        <v>#DIV/0!</v>
      </c>
    </row>
    <row r="47">
      <c r="A47" s="15" t="s">
        <v>1190</v>
      </c>
      <c r="B47" s="18"/>
      <c r="C47" s="15" t="s">
        <v>6183</v>
      </c>
      <c r="D47" s="18"/>
      <c r="E47" s="17" t="s">
        <v>1191</v>
      </c>
      <c r="F47" s="18"/>
      <c r="G47" s="18"/>
      <c r="H47" s="15" t="s">
        <v>1192</v>
      </c>
      <c r="I47" s="18"/>
      <c r="J47" s="19" t="s">
        <v>283</v>
      </c>
      <c r="K47" s="19" t="s">
        <v>284</v>
      </c>
      <c r="L47" s="19" t="s">
        <v>38</v>
      </c>
      <c r="M47" s="20">
        <f t="shared" si="2"/>
        <v>0</v>
      </c>
      <c r="N47" s="22"/>
      <c r="O47" s="19" t="s">
        <v>1145</v>
      </c>
      <c r="P47" s="18"/>
      <c r="Q47" s="18"/>
      <c r="R47" s="23">
        <v>0.0</v>
      </c>
      <c r="S47" s="23">
        <v>0.0</v>
      </c>
      <c r="T47" s="23">
        <f t="shared" si="3"/>
        <v>0</v>
      </c>
      <c r="U47" s="23">
        <f t="shared" si="4"/>
        <v>0</v>
      </c>
      <c r="V47" s="23">
        <f t="shared" si="5"/>
        <v>0</v>
      </c>
      <c r="W47" s="24" t="str">
        <f t="shared" si="6"/>
        <v>#DIV/0!</v>
      </c>
    </row>
    <row r="48">
      <c r="A48" s="15" t="s">
        <v>1193</v>
      </c>
      <c r="B48" s="18"/>
      <c r="C48" s="15" t="s">
        <v>6184</v>
      </c>
      <c r="D48" s="18"/>
      <c r="E48" s="17" t="s">
        <v>1194</v>
      </c>
      <c r="F48" s="18"/>
      <c r="G48" s="18"/>
      <c r="H48" s="15" t="s">
        <v>1195</v>
      </c>
      <c r="I48" s="18"/>
      <c r="J48" s="19" t="s">
        <v>283</v>
      </c>
      <c r="K48" s="19" t="s">
        <v>284</v>
      </c>
      <c r="L48" s="19" t="s">
        <v>38</v>
      </c>
      <c r="M48" s="20">
        <f t="shared" si="2"/>
        <v>0</v>
      </c>
      <c r="N48" s="22"/>
      <c r="O48" s="19" t="s">
        <v>1145</v>
      </c>
      <c r="P48" s="18"/>
      <c r="Q48" s="18"/>
      <c r="R48" s="23">
        <v>0.0</v>
      </c>
      <c r="S48" s="23">
        <v>0.0</v>
      </c>
      <c r="T48" s="23">
        <f t="shared" si="3"/>
        <v>0</v>
      </c>
      <c r="U48" s="23">
        <f t="shared" si="4"/>
        <v>0</v>
      </c>
      <c r="V48" s="23">
        <f t="shared" si="5"/>
        <v>0</v>
      </c>
      <c r="W48" s="24" t="str">
        <f t="shared" si="6"/>
        <v>#DIV/0!</v>
      </c>
    </row>
    <row r="49">
      <c r="A49" s="15" t="s">
        <v>1196</v>
      </c>
      <c r="B49" s="18"/>
      <c r="C49" s="15" t="s">
        <v>6185</v>
      </c>
      <c r="D49" s="18"/>
      <c r="E49" s="17" t="s">
        <v>1185</v>
      </c>
      <c r="F49" s="18"/>
      <c r="G49" s="18"/>
      <c r="H49" s="15" t="s">
        <v>1186</v>
      </c>
      <c r="I49" s="18"/>
      <c r="J49" s="19" t="s">
        <v>283</v>
      </c>
      <c r="K49" s="19" t="s">
        <v>284</v>
      </c>
      <c r="L49" s="19" t="s">
        <v>38</v>
      </c>
      <c r="M49" s="20">
        <f t="shared" si="2"/>
        <v>0</v>
      </c>
      <c r="N49" s="22"/>
      <c r="O49" s="19" t="s">
        <v>1145</v>
      </c>
      <c r="P49" s="18"/>
      <c r="Q49" s="18"/>
      <c r="R49" s="23">
        <v>0.0</v>
      </c>
      <c r="S49" s="23">
        <v>0.0</v>
      </c>
      <c r="T49" s="23">
        <f t="shared" si="3"/>
        <v>0</v>
      </c>
      <c r="U49" s="23">
        <f t="shared" si="4"/>
        <v>0</v>
      </c>
      <c r="V49" s="23">
        <f t="shared" si="5"/>
        <v>0</v>
      </c>
      <c r="W49" s="24" t="str">
        <f t="shared" si="6"/>
        <v>#DIV/0!</v>
      </c>
    </row>
    <row r="50">
      <c r="A50" s="15" t="s">
        <v>1197</v>
      </c>
      <c r="B50" s="18"/>
      <c r="C50" s="15" t="s">
        <v>6186</v>
      </c>
      <c r="D50" s="18"/>
      <c r="E50" s="17" t="s">
        <v>1198</v>
      </c>
      <c r="F50" s="18"/>
      <c r="G50" s="18"/>
      <c r="H50" s="15" t="s">
        <v>1199</v>
      </c>
      <c r="I50" s="18"/>
      <c r="J50" s="19" t="s">
        <v>283</v>
      </c>
      <c r="K50" s="19" t="s">
        <v>284</v>
      </c>
      <c r="L50" s="19" t="s">
        <v>38</v>
      </c>
      <c r="M50" s="20">
        <f t="shared" si="2"/>
        <v>0</v>
      </c>
      <c r="N50" s="22"/>
      <c r="O50" s="19" t="s">
        <v>1145</v>
      </c>
      <c r="P50" s="18"/>
      <c r="Q50" s="18"/>
      <c r="R50" s="23">
        <v>0.0</v>
      </c>
      <c r="S50" s="23">
        <v>0.0</v>
      </c>
      <c r="T50" s="23">
        <f t="shared" si="3"/>
        <v>0</v>
      </c>
      <c r="U50" s="23">
        <f t="shared" si="4"/>
        <v>0</v>
      </c>
      <c r="V50" s="23">
        <f t="shared" si="5"/>
        <v>0</v>
      </c>
      <c r="W50" s="24" t="str">
        <f t="shared" si="6"/>
        <v>#DIV/0!</v>
      </c>
    </row>
    <row r="51">
      <c r="A51" s="15" t="s">
        <v>1200</v>
      </c>
      <c r="B51" s="18"/>
      <c r="C51" s="15" t="s">
        <v>6187</v>
      </c>
      <c r="D51" s="18"/>
      <c r="E51" s="17" t="s">
        <v>1201</v>
      </c>
      <c r="F51" s="18"/>
      <c r="G51" s="18"/>
      <c r="H51" s="15" t="s">
        <v>1202</v>
      </c>
      <c r="I51" s="18"/>
      <c r="J51" s="19" t="s">
        <v>283</v>
      </c>
      <c r="K51" s="19" t="s">
        <v>284</v>
      </c>
      <c r="L51" s="19" t="s">
        <v>38</v>
      </c>
      <c r="M51" s="20">
        <f t="shared" si="2"/>
        <v>0</v>
      </c>
      <c r="N51" s="22"/>
      <c r="O51" s="19" t="s">
        <v>1145</v>
      </c>
      <c r="P51" s="18"/>
      <c r="Q51" s="18"/>
      <c r="R51" s="23">
        <v>0.0</v>
      </c>
      <c r="S51" s="23">
        <v>0.0</v>
      </c>
      <c r="T51" s="23">
        <f t="shared" si="3"/>
        <v>0</v>
      </c>
      <c r="U51" s="23">
        <f t="shared" si="4"/>
        <v>0</v>
      </c>
      <c r="V51" s="23">
        <f t="shared" si="5"/>
        <v>0</v>
      </c>
      <c r="W51" s="24" t="str">
        <f t="shared" si="6"/>
        <v>#DIV/0!</v>
      </c>
    </row>
    <row r="52">
      <c r="A52" s="15" t="s">
        <v>1203</v>
      </c>
      <c r="B52" s="18"/>
      <c r="C52" s="15" t="s">
        <v>6188</v>
      </c>
      <c r="D52" s="18"/>
      <c r="E52" s="17" t="s">
        <v>1204</v>
      </c>
      <c r="F52" s="18"/>
      <c r="G52" s="18"/>
      <c r="H52" s="15" t="s">
        <v>1205</v>
      </c>
      <c r="I52" s="18"/>
      <c r="J52" s="19" t="s">
        <v>283</v>
      </c>
      <c r="K52" s="19" t="s">
        <v>284</v>
      </c>
      <c r="L52" s="19" t="s">
        <v>38</v>
      </c>
      <c r="M52" s="20">
        <f t="shared" si="2"/>
        <v>0</v>
      </c>
      <c r="N52" s="22"/>
      <c r="O52" s="19" t="s">
        <v>1145</v>
      </c>
      <c r="P52" s="18"/>
      <c r="Q52" s="18"/>
      <c r="R52" s="23">
        <v>0.0</v>
      </c>
      <c r="S52" s="23">
        <v>0.0</v>
      </c>
      <c r="T52" s="23">
        <f t="shared" si="3"/>
        <v>0</v>
      </c>
      <c r="U52" s="23">
        <f t="shared" si="4"/>
        <v>0</v>
      </c>
      <c r="V52" s="23">
        <f t="shared" si="5"/>
        <v>0</v>
      </c>
      <c r="W52" s="24" t="str">
        <f t="shared" si="6"/>
        <v>#DIV/0!</v>
      </c>
    </row>
    <row r="53">
      <c r="A53" s="15" t="s">
        <v>1206</v>
      </c>
      <c r="B53" s="18"/>
      <c r="C53" s="15" t="s">
        <v>6189</v>
      </c>
      <c r="D53" s="18"/>
      <c r="E53" s="17" t="s">
        <v>1207</v>
      </c>
      <c r="F53" s="18"/>
      <c r="G53" s="18"/>
      <c r="H53" s="15" t="s">
        <v>1208</v>
      </c>
      <c r="I53" s="18"/>
      <c r="J53" s="19" t="s">
        <v>283</v>
      </c>
      <c r="K53" s="19" t="s">
        <v>284</v>
      </c>
      <c r="L53" s="19" t="s">
        <v>38</v>
      </c>
      <c r="M53" s="20">
        <f t="shared" si="2"/>
        <v>0</v>
      </c>
      <c r="N53" s="22"/>
      <c r="O53" s="19" t="s">
        <v>1145</v>
      </c>
      <c r="P53" s="18"/>
      <c r="Q53" s="18"/>
      <c r="R53" s="23">
        <v>0.0</v>
      </c>
      <c r="S53" s="23">
        <v>0.0</v>
      </c>
      <c r="T53" s="23">
        <f t="shared" si="3"/>
        <v>0</v>
      </c>
      <c r="U53" s="23">
        <f t="shared" si="4"/>
        <v>0</v>
      </c>
      <c r="V53" s="23">
        <f t="shared" si="5"/>
        <v>0</v>
      </c>
      <c r="W53" s="24" t="str">
        <f t="shared" si="6"/>
        <v>#DIV/0!</v>
      </c>
    </row>
    <row r="54">
      <c r="A54" s="15" t="s">
        <v>1209</v>
      </c>
      <c r="B54" s="18"/>
      <c r="C54" s="15" t="s">
        <v>6190</v>
      </c>
      <c r="D54" s="18"/>
      <c r="E54" s="17" t="s">
        <v>1210</v>
      </c>
      <c r="F54" s="18"/>
      <c r="G54" s="18"/>
      <c r="H54" s="15" t="s">
        <v>1211</v>
      </c>
      <c r="I54" s="18"/>
      <c r="J54" s="19" t="s">
        <v>283</v>
      </c>
      <c r="K54" s="19" t="s">
        <v>284</v>
      </c>
      <c r="L54" s="19" t="s">
        <v>38</v>
      </c>
      <c r="M54" s="20">
        <f t="shared" si="2"/>
        <v>0</v>
      </c>
      <c r="N54" s="22"/>
      <c r="O54" s="19" t="s">
        <v>1145</v>
      </c>
      <c r="P54" s="18"/>
      <c r="Q54" s="18"/>
      <c r="R54" s="23">
        <v>0.0</v>
      </c>
      <c r="S54" s="23">
        <v>0.0</v>
      </c>
      <c r="T54" s="23">
        <f t="shared" si="3"/>
        <v>0</v>
      </c>
      <c r="U54" s="23">
        <f t="shared" si="4"/>
        <v>0</v>
      </c>
      <c r="V54" s="23">
        <f t="shared" si="5"/>
        <v>0</v>
      </c>
      <c r="W54" s="24" t="str">
        <f t="shared" si="6"/>
        <v>#DIV/0!</v>
      </c>
    </row>
    <row r="55">
      <c r="A55" s="15" t="s">
        <v>1212</v>
      </c>
      <c r="B55" s="18"/>
      <c r="C55" s="15" t="s">
        <v>6191</v>
      </c>
      <c r="D55" s="18"/>
      <c r="E55" s="17" t="s">
        <v>1213</v>
      </c>
      <c r="F55" s="18"/>
      <c r="G55" s="18"/>
      <c r="H55" s="18"/>
      <c r="I55" s="18"/>
      <c r="J55" s="19" t="s">
        <v>283</v>
      </c>
      <c r="K55" s="19" t="s">
        <v>284</v>
      </c>
      <c r="L55" s="19" t="s">
        <v>38</v>
      </c>
      <c r="M55" s="20">
        <f t="shared" si="2"/>
        <v>0</v>
      </c>
      <c r="N55" s="22"/>
      <c r="O55" s="19" t="s">
        <v>1145</v>
      </c>
      <c r="P55" s="18"/>
      <c r="Q55" s="18"/>
      <c r="R55" s="23">
        <v>0.0</v>
      </c>
      <c r="S55" s="23">
        <v>0.0</v>
      </c>
      <c r="T55" s="23">
        <f t="shared" si="3"/>
        <v>0</v>
      </c>
      <c r="U55" s="23">
        <f t="shared" si="4"/>
        <v>0</v>
      </c>
      <c r="V55" s="23">
        <f t="shared" si="5"/>
        <v>0</v>
      </c>
      <c r="W55" s="24" t="str">
        <f t="shared" si="6"/>
        <v>#DIV/0!</v>
      </c>
    </row>
    <row r="56">
      <c r="A56" s="15" t="s">
        <v>1214</v>
      </c>
      <c r="B56" s="18"/>
      <c r="C56" s="15" t="s">
        <v>6192</v>
      </c>
      <c r="D56" s="18"/>
      <c r="E56" s="17" t="s">
        <v>1215</v>
      </c>
      <c r="F56" s="18"/>
      <c r="G56" s="18"/>
      <c r="H56" s="15" t="s">
        <v>1216</v>
      </c>
      <c r="I56" s="18"/>
      <c r="J56" s="19" t="s">
        <v>283</v>
      </c>
      <c r="K56" s="19" t="s">
        <v>284</v>
      </c>
      <c r="L56" s="19" t="s">
        <v>38</v>
      </c>
      <c r="M56" s="20">
        <f t="shared" si="2"/>
        <v>0</v>
      </c>
      <c r="N56" s="22"/>
      <c r="O56" s="19" t="s">
        <v>1145</v>
      </c>
      <c r="P56" s="18"/>
      <c r="Q56" s="18"/>
      <c r="R56" s="23">
        <v>0.0</v>
      </c>
      <c r="S56" s="23">
        <v>0.0</v>
      </c>
      <c r="T56" s="23">
        <f t="shared" si="3"/>
        <v>0</v>
      </c>
      <c r="U56" s="23">
        <f t="shared" si="4"/>
        <v>0</v>
      </c>
      <c r="V56" s="23">
        <f t="shared" si="5"/>
        <v>0</v>
      </c>
      <c r="W56" s="24" t="str">
        <f t="shared" si="6"/>
        <v>#DIV/0!</v>
      </c>
    </row>
    <row r="57">
      <c r="A57" s="15" t="s">
        <v>1217</v>
      </c>
      <c r="B57" s="18"/>
      <c r="C57" s="15" t="s">
        <v>6193</v>
      </c>
      <c r="D57" s="18"/>
      <c r="E57" s="17" t="s">
        <v>1218</v>
      </c>
      <c r="F57" s="18"/>
      <c r="G57" s="18"/>
      <c r="H57" s="15" t="s">
        <v>1219</v>
      </c>
      <c r="I57" s="18"/>
      <c r="J57" s="19" t="s">
        <v>283</v>
      </c>
      <c r="K57" s="19" t="s">
        <v>284</v>
      </c>
      <c r="L57" s="19" t="s">
        <v>38</v>
      </c>
      <c r="M57" s="20">
        <f t="shared" si="2"/>
        <v>0</v>
      </c>
      <c r="N57" s="22"/>
      <c r="O57" s="19" t="s">
        <v>1145</v>
      </c>
      <c r="P57" s="18"/>
      <c r="Q57" s="18"/>
      <c r="R57" s="23">
        <v>0.0</v>
      </c>
      <c r="S57" s="23">
        <v>0.0</v>
      </c>
      <c r="T57" s="23">
        <f t="shared" si="3"/>
        <v>0</v>
      </c>
      <c r="U57" s="23">
        <f t="shared" si="4"/>
        <v>0</v>
      </c>
      <c r="V57" s="23">
        <f t="shared" si="5"/>
        <v>0</v>
      </c>
      <c r="W57" s="24" t="str">
        <f t="shared" si="6"/>
        <v>#DIV/0!</v>
      </c>
    </row>
    <row r="58">
      <c r="A58" s="15" t="s">
        <v>1220</v>
      </c>
      <c r="B58" s="18"/>
      <c r="C58" s="15" t="s">
        <v>6194</v>
      </c>
      <c r="D58" s="18"/>
      <c r="E58" s="17" t="s">
        <v>1221</v>
      </c>
      <c r="F58" s="18"/>
      <c r="G58" s="18"/>
      <c r="H58" s="15" t="s">
        <v>1222</v>
      </c>
      <c r="I58" s="18"/>
      <c r="J58" s="19" t="s">
        <v>283</v>
      </c>
      <c r="K58" s="19" t="s">
        <v>284</v>
      </c>
      <c r="L58" s="19" t="s">
        <v>38</v>
      </c>
      <c r="M58" s="20">
        <f t="shared" si="2"/>
        <v>0</v>
      </c>
      <c r="N58" s="22"/>
      <c r="O58" s="19" t="s">
        <v>1145</v>
      </c>
      <c r="P58" s="18"/>
      <c r="Q58" s="18"/>
      <c r="R58" s="23">
        <v>0.0</v>
      </c>
      <c r="S58" s="23">
        <v>0.0</v>
      </c>
      <c r="T58" s="23">
        <f t="shared" si="3"/>
        <v>0</v>
      </c>
      <c r="U58" s="23">
        <f t="shared" si="4"/>
        <v>0</v>
      </c>
      <c r="V58" s="23">
        <f t="shared" si="5"/>
        <v>0</v>
      </c>
      <c r="W58" s="24" t="str">
        <f t="shared" si="6"/>
        <v>#DIV/0!</v>
      </c>
    </row>
    <row r="59">
      <c r="A59" s="15" t="s">
        <v>1223</v>
      </c>
      <c r="B59" s="18"/>
      <c r="C59" s="15" t="s">
        <v>6195</v>
      </c>
      <c r="D59" s="18"/>
      <c r="E59" s="17" t="s">
        <v>1224</v>
      </c>
      <c r="F59" s="18"/>
      <c r="G59" s="18"/>
      <c r="H59" s="15" t="s">
        <v>1156</v>
      </c>
      <c r="I59" s="18"/>
      <c r="J59" s="19" t="s">
        <v>283</v>
      </c>
      <c r="K59" s="19" t="s">
        <v>284</v>
      </c>
      <c r="L59" s="19" t="s">
        <v>38</v>
      </c>
      <c r="M59" s="20">
        <f t="shared" si="2"/>
        <v>0</v>
      </c>
      <c r="N59" s="22"/>
      <c r="O59" s="19" t="s">
        <v>1145</v>
      </c>
      <c r="P59" s="18"/>
      <c r="Q59" s="18"/>
      <c r="R59" s="23">
        <v>0.0</v>
      </c>
      <c r="S59" s="23">
        <v>0.0</v>
      </c>
      <c r="T59" s="23">
        <f t="shared" si="3"/>
        <v>0</v>
      </c>
      <c r="U59" s="23">
        <f t="shared" si="4"/>
        <v>0</v>
      </c>
      <c r="V59" s="23">
        <f t="shared" si="5"/>
        <v>0</v>
      </c>
      <c r="W59" s="24" t="str">
        <f t="shared" si="6"/>
        <v>#DIV/0!</v>
      </c>
    </row>
    <row r="60">
      <c r="A60" s="15" t="s">
        <v>1225</v>
      </c>
      <c r="B60" s="18"/>
      <c r="C60" s="15" t="s">
        <v>6196</v>
      </c>
      <c r="D60" s="18"/>
      <c r="E60" s="17" t="s">
        <v>1226</v>
      </c>
      <c r="F60" s="18"/>
      <c r="G60" s="18"/>
      <c r="H60" s="15" t="s">
        <v>1156</v>
      </c>
      <c r="I60" s="18"/>
      <c r="J60" s="19" t="s">
        <v>283</v>
      </c>
      <c r="K60" s="19" t="s">
        <v>284</v>
      </c>
      <c r="L60" s="19" t="s">
        <v>38</v>
      </c>
      <c r="M60" s="20">
        <f t="shared" si="2"/>
        <v>0</v>
      </c>
      <c r="N60" s="22"/>
      <c r="O60" s="19" t="s">
        <v>1145</v>
      </c>
      <c r="P60" s="18"/>
      <c r="Q60" s="18"/>
      <c r="R60" s="23">
        <v>0.0</v>
      </c>
      <c r="S60" s="23">
        <v>0.0</v>
      </c>
      <c r="T60" s="23">
        <f t="shared" si="3"/>
        <v>0</v>
      </c>
      <c r="U60" s="23">
        <f t="shared" si="4"/>
        <v>0</v>
      </c>
      <c r="V60" s="23">
        <f t="shared" si="5"/>
        <v>0</v>
      </c>
      <c r="W60" s="24" t="str">
        <f t="shared" si="6"/>
        <v>#DIV/0!</v>
      </c>
    </row>
    <row r="61">
      <c r="A61" s="15" t="s">
        <v>3654</v>
      </c>
      <c r="B61" s="15" t="s">
        <v>3655</v>
      </c>
      <c r="C61" s="15" t="s">
        <v>6197</v>
      </c>
      <c r="D61" s="15" t="s">
        <v>3656</v>
      </c>
      <c r="E61" s="17" t="s">
        <v>3657</v>
      </c>
      <c r="F61" s="18"/>
      <c r="G61" s="18"/>
      <c r="H61" s="15" t="s">
        <v>3658</v>
      </c>
      <c r="I61" s="18"/>
      <c r="J61" s="19" t="s">
        <v>283</v>
      </c>
      <c r="K61" s="19" t="s">
        <v>1269</v>
      </c>
      <c r="L61" s="19" t="s">
        <v>38</v>
      </c>
      <c r="M61" s="20">
        <f t="shared" si="2"/>
        <v>0</v>
      </c>
      <c r="N61" s="22"/>
      <c r="O61" s="19" t="s">
        <v>3578</v>
      </c>
      <c r="P61" s="18"/>
      <c r="Q61" s="18"/>
      <c r="R61" s="23">
        <v>0.0</v>
      </c>
      <c r="S61" s="23">
        <v>0.0</v>
      </c>
      <c r="T61" s="23">
        <f t="shared" si="3"/>
        <v>0</v>
      </c>
      <c r="U61" s="23">
        <f t="shared" si="4"/>
        <v>0</v>
      </c>
      <c r="V61" s="23">
        <f t="shared" si="5"/>
        <v>0</v>
      </c>
      <c r="W61" s="24" t="str">
        <f t="shared" si="6"/>
        <v>#DIV/0!</v>
      </c>
    </row>
    <row r="62">
      <c r="A62" s="15" t="s">
        <v>1227</v>
      </c>
      <c r="B62" s="18"/>
      <c r="C62" s="15" t="s">
        <v>6198</v>
      </c>
      <c r="D62" s="18"/>
      <c r="E62" s="17" t="s">
        <v>1228</v>
      </c>
      <c r="F62" s="18"/>
      <c r="G62" s="18"/>
      <c r="H62" s="15" t="s">
        <v>1229</v>
      </c>
      <c r="I62" s="18"/>
      <c r="J62" s="19" t="s">
        <v>283</v>
      </c>
      <c r="K62" s="19" t="s">
        <v>1230</v>
      </c>
      <c r="L62" s="19" t="s">
        <v>38</v>
      </c>
      <c r="M62" s="20">
        <f t="shared" si="2"/>
        <v>0</v>
      </c>
      <c r="N62" s="22"/>
      <c r="O62" s="19" t="s">
        <v>1145</v>
      </c>
      <c r="P62" s="18"/>
      <c r="Q62" s="18"/>
      <c r="R62" s="23">
        <v>0.0</v>
      </c>
      <c r="S62" s="23">
        <v>0.0</v>
      </c>
      <c r="T62" s="23">
        <f t="shared" si="3"/>
        <v>0</v>
      </c>
      <c r="U62" s="23">
        <f t="shared" si="4"/>
        <v>0</v>
      </c>
      <c r="V62" s="23">
        <f t="shared" si="5"/>
        <v>0</v>
      </c>
      <c r="W62" s="24" t="str">
        <f t="shared" si="6"/>
        <v>#DIV/0!</v>
      </c>
    </row>
    <row r="63">
      <c r="A63" s="15" t="s">
        <v>1231</v>
      </c>
      <c r="B63" s="18"/>
      <c r="C63" s="15" t="s">
        <v>6199</v>
      </c>
      <c r="D63" s="18"/>
      <c r="E63" s="17" t="s">
        <v>1232</v>
      </c>
      <c r="F63" s="18"/>
      <c r="G63" s="18"/>
      <c r="H63" s="15" t="s">
        <v>1233</v>
      </c>
      <c r="I63" s="18"/>
      <c r="J63" s="19" t="s">
        <v>283</v>
      </c>
      <c r="K63" s="19" t="s">
        <v>37</v>
      </c>
      <c r="L63" s="19" t="s">
        <v>38</v>
      </c>
      <c r="M63" s="20">
        <f t="shared" si="2"/>
        <v>0</v>
      </c>
      <c r="N63" s="22"/>
      <c r="O63" s="19" t="s">
        <v>1145</v>
      </c>
      <c r="P63" s="18"/>
      <c r="Q63" s="18"/>
      <c r="R63" s="23">
        <v>0.0</v>
      </c>
      <c r="S63" s="23">
        <v>0.0</v>
      </c>
      <c r="T63" s="23">
        <f t="shared" si="3"/>
        <v>0</v>
      </c>
      <c r="U63" s="23">
        <f t="shared" si="4"/>
        <v>0</v>
      </c>
      <c r="V63" s="23">
        <f t="shared" si="5"/>
        <v>0</v>
      </c>
      <c r="W63" s="24" t="str">
        <f t="shared" si="6"/>
        <v>#DIV/0!</v>
      </c>
    </row>
    <row r="64">
      <c r="A64" s="15" t="s">
        <v>3659</v>
      </c>
      <c r="B64" s="18"/>
      <c r="C64" s="15" t="s">
        <v>6200</v>
      </c>
      <c r="D64" s="18"/>
      <c r="E64" s="17" t="s">
        <v>6201</v>
      </c>
      <c r="F64" s="18"/>
      <c r="G64" s="18"/>
      <c r="H64" s="15" t="s">
        <v>3662</v>
      </c>
      <c r="I64" s="18"/>
      <c r="J64" s="19" t="s">
        <v>283</v>
      </c>
      <c r="K64" s="19" t="s">
        <v>37</v>
      </c>
      <c r="L64" s="19" t="s">
        <v>38</v>
      </c>
      <c r="M64" s="20">
        <f t="shared" si="2"/>
        <v>0</v>
      </c>
      <c r="N64" s="22"/>
      <c r="O64" s="19" t="s">
        <v>1145</v>
      </c>
      <c r="P64" s="18"/>
      <c r="Q64" s="18"/>
      <c r="R64" s="23">
        <v>0.0</v>
      </c>
      <c r="S64" s="23">
        <v>0.0</v>
      </c>
      <c r="T64" s="23">
        <f t="shared" si="3"/>
        <v>0</v>
      </c>
      <c r="U64" s="23">
        <f t="shared" si="4"/>
        <v>0</v>
      </c>
      <c r="V64" s="23">
        <f t="shared" si="5"/>
        <v>0</v>
      </c>
      <c r="W64" s="24" t="str">
        <f t="shared" si="6"/>
        <v>#DIV/0!</v>
      </c>
    </row>
    <row r="65">
      <c r="A65" s="15" t="s">
        <v>3663</v>
      </c>
      <c r="B65" s="18"/>
      <c r="C65" s="15" t="s">
        <v>6202</v>
      </c>
      <c r="D65" s="18"/>
      <c r="E65" s="17" t="s">
        <v>6203</v>
      </c>
      <c r="F65" s="18"/>
      <c r="G65" s="18"/>
      <c r="H65" s="15" t="s">
        <v>3665</v>
      </c>
      <c r="I65" s="18"/>
      <c r="J65" s="19" t="s">
        <v>283</v>
      </c>
      <c r="K65" s="19" t="s">
        <v>37</v>
      </c>
      <c r="L65" s="19" t="s">
        <v>38</v>
      </c>
      <c r="M65" s="20">
        <f t="shared" si="2"/>
        <v>0</v>
      </c>
      <c r="N65" s="22"/>
      <c r="O65" s="19" t="s">
        <v>1145</v>
      </c>
      <c r="P65" s="18"/>
      <c r="Q65" s="18"/>
      <c r="R65" s="23">
        <v>0.0</v>
      </c>
      <c r="S65" s="23">
        <v>0.0</v>
      </c>
      <c r="T65" s="23">
        <f t="shared" si="3"/>
        <v>0</v>
      </c>
      <c r="U65" s="23">
        <f t="shared" si="4"/>
        <v>0</v>
      </c>
      <c r="V65" s="23">
        <f t="shared" si="5"/>
        <v>0</v>
      </c>
      <c r="W65" s="24" t="str">
        <f t="shared" si="6"/>
        <v>#DIV/0!</v>
      </c>
    </row>
    <row r="66">
      <c r="A66" s="15" t="s">
        <v>1234</v>
      </c>
      <c r="B66" s="18"/>
      <c r="C66" s="15" t="s">
        <v>6204</v>
      </c>
      <c r="D66" s="18"/>
      <c r="E66" s="17" t="s">
        <v>1235</v>
      </c>
      <c r="F66" s="18"/>
      <c r="G66" s="18"/>
      <c r="H66" s="15" t="s">
        <v>1236</v>
      </c>
      <c r="I66" s="18"/>
      <c r="J66" s="19" t="s">
        <v>283</v>
      </c>
      <c r="K66" s="19" t="s">
        <v>37</v>
      </c>
      <c r="L66" s="19" t="s">
        <v>38</v>
      </c>
      <c r="M66" s="20">
        <f t="shared" si="2"/>
        <v>0</v>
      </c>
      <c r="N66" s="22"/>
      <c r="O66" s="19" t="s">
        <v>1145</v>
      </c>
      <c r="P66" s="18"/>
      <c r="Q66" s="18"/>
      <c r="R66" s="23">
        <v>0.0</v>
      </c>
      <c r="S66" s="23">
        <v>0.0</v>
      </c>
      <c r="T66" s="23">
        <f t="shared" si="3"/>
        <v>0</v>
      </c>
      <c r="U66" s="23">
        <f t="shared" si="4"/>
        <v>0</v>
      </c>
      <c r="V66" s="23">
        <f t="shared" si="5"/>
        <v>0</v>
      </c>
      <c r="W66" s="24" t="str">
        <f t="shared" si="6"/>
        <v>#DIV/0!</v>
      </c>
    </row>
    <row r="67">
      <c r="A67" s="15" t="s">
        <v>3666</v>
      </c>
      <c r="B67" s="15" t="s">
        <v>3667</v>
      </c>
      <c r="C67" s="15" t="s">
        <v>6205</v>
      </c>
      <c r="D67" s="15" t="s">
        <v>3668</v>
      </c>
      <c r="E67" s="17" t="s">
        <v>3669</v>
      </c>
      <c r="F67" s="18"/>
      <c r="G67" s="18"/>
      <c r="H67" s="15" t="s">
        <v>3670</v>
      </c>
      <c r="I67" s="18"/>
      <c r="J67" s="19" t="s">
        <v>283</v>
      </c>
      <c r="K67" s="19" t="s">
        <v>603</v>
      </c>
      <c r="L67" s="19" t="s">
        <v>38</v>
      </c>
      <c r="M67" s="20">
        <f t="shared" si="2"/>
        <v>0</v>
      </c>
      <c r="N67" s="22"/>
      <c r="O67" s="19" t="s">
        <v>3578</v>
      </c>
      <c r="P67" s="18"/>
      <c r="Q67" s="18"/>
      <c r="R67" s="23">
        <v>0.0</v>
      </c>
      <c r="S67" s="23">
        <v>0.0</v>
      </c>
      <c r="T67" s="23">
        <f t="shared" si="3"/>
        <v>0</v>
      </c>
      <c r="U67" s="23">
        <f t="shared" si="4"/>
        <v>0</v>
      </c>
      <c r="V67" s="23">
        <f t="shared" si="5"/>
        <v>0</v>
      </c>
      <c r="W67" s="24" t="str">
        <f t="shared" si="6"/>
        <v>#DIV/0!</v>
      </c>
    </row>
    <row r="68">
      <c r="A68" s="15" t="s">
        <v>3671</v>
      </c>
      <c r="B68" s="15" t="s">
        <v>3672</v>
      </c>
      <c r="C68" s="15" t="s">
        <v>6206</v>
      </c>
      <c r="D68" s="15" t="s">
        <v>3673</v>
      </c>
      <c r="E68" s="17" t="s">
        <v>3674</v>
      </c>
      <c r="F68" s="18"/>
      <c r="G68" s="18"/>
      <c r="H68" s="15" t="s">
        <v>3675</v>
      </c>
      <c r="I68" s="18"/>
      <c r="J68" s="19" t="s">
        <v>283</v>
      </c>
      <c r="K68" s="19" t="s">
        <v>603</v>
      </c>
      <c r="L68" s="19" t="s">
        <v>38</v>
      </c>
      <c r="M68" s="20">
        <f t="shared" si="2"/>
        <v>0</v>
      </c>
      <c r="N68" s="22"/>
      <c r="O68" s="19" t="s">
        <v>3578</v>
      </c>
      <c r="P68" s="18"/>
      <c r="Q68" s="18"/>
      <c r="R68" s="23">
        <v>0.0</v>
      </c>
      <c r="S68" s="23">
        <v>0.0</v>
      </c>
      <c r="T68" s="23">
        <f t="shared" si="3"/>
        <v>0</v>
      </c>
      <c r="U68" s="23">
        <f t="shared" si="4"/>
        <v>0</v>
      </c>
      <c r="V68" s="23">
        <f t="shared" si="5"/>
        <v>0</v>
      </c>
      <c r="W68" s="24" t="str">
        <f t="shared" si="6"/>
        <v>#DIV/0!</v>
      </c>
    </row>
    <row r="69">
      <c r="A69" s="15" t="s">
        <v>1237</v>
      </c>
      <c r="B69" s="18"/>
      <c r="C69" s="15" t="s">
        <v>6207</v>
      </c>
      <c r="D69" s="18"/>
      <c r="E69" s="17" t="s">
        <v>1238</v>
      </c>
      <c r="F69" s="18"/>
      <c r="G69" s="18"/>
      <c r="H69" s="15" t="s">
        <v>1239</v>
      </c>
      <c r="I69" s="18"/>
      <c r="J69" s="19" t="s">
        <v>283</v>
      </c>
      <c r="K69" s="19" t="s">
        <v>603</v>
      </c>
      <c r="L69" s="19" t="s">
        <v>38</v>
      </c>
      <c r="M69" s="20">
        <f t="shared" si="2"/>
        <v>0</v>
      </c>
      <c r="N69" s="22"/>
      <c r="O69" s="19" t="s">
        <v>1145</v>
      </c>
      <c r="P69" s="18"/>
      <c r="Q69" s="18"/>
      <c r="R69" s="23">
        <v>0.0</v>
      </c>
      <c r="S69" s="23">
        <v>0.0</v>
      </c>
      <c r="T69" s="23">
        <f t="shared" si="3"/>
        <v>0</v>
      </c>
      <c r="U69" s="23">
        <f t="shared" si="4"/>
        <v>0</v>
      </c>
      <c r="V69" s="23">
        <f t="shared" si="5"/>
        <v>0</v>
      </c>
      <c r="W69" s="24" t="str">
        <f t="shared" si="6"/>
        <v>#DIV/0!</v>
      </c>
    </row>
    <row r="70">
      <c r="A70" s="15" t="s">
        <v>3676</v>
      </c>
      <c r="B70" s="15" t="s">
        <v>3677</v>
      </c>
      <c r="C70" s="15" t="s">
        <v>6208</v>
      </c>
      <c r="D70" s="15" t="s">
        <v>3678</v>
      </c>
      <c r="E70" s="17" t="s">
        <v>3679</v>
      </c>
      <c r="F70" s="18"/>
      <c r="G70" s="18"/>
      <c r="H70" s="15" t="s">
        <v>3680</v>
      </c>
      <c r="I70" s="18"/>
      <c r="J70" s="19" t="s">
        <v>283</v>
      </c>
      <c r="K70" s="19" t="s">
        <v>603</v>
      </c>
      <c r="L70" s="19" t="s">
        <v>38</v>
      </c>
      <c r="M70" s="20">
        <f t="shared" si="2"/>
        <v>0</v>
      </c>
      <c r="N70" s="22"/>
      <c r="O70" s="19" t="s">
        <v>3578</v>
      </c>
      <c r="P70" s="18"/>
      <c r="Q70" s="18"/>
      <c r="R70" s="23">
        <v>0.0</v>
      </c>
      <c r="S70" s="23">
        <v>0.0</v>
      </c>
      <c r="T70" s="23">
        <f t="shared" si="3"/>
        <v>0</v>
      </c>
      <c r="U70" s="23">
        <f t="shared" si="4"/>
        <v>0</v>
      </c>
      <c r="V70" s="23">
        <f t="shared" si="5"/>
        <v>0</v>
      </c>
      <c r="W70" s="24" t="str">
        <f t="shared" si="6"/>
        <v>#DIV/0!</v>
      </c>
    </row>
    <row r="71">
      <c r="A71" s="15" t="s">
        <v>3681</v>
      </c>
      <c r="B71" s="15" t="s">
        <v>3682</v>
      </c>
      <c r="C71" s="15" t="s">
        <v>6209</v>
      </c>
      <c r="D71" s="18"/>
      <c r="E71" s="17" t="s">
        <v>3683</v>
      </c>
      <c r="F71" s="18"/>
      <c r="G71" s="18"/>
      <c r="H71" s="15" t="s">
        <v>3684</v>
      </c>
      <c r="I71" s="18"/>
      <c r="J71" s="19" t="s">
        <v>283</v>
      </c>
      <c r="K71" s="19" t="s">
        <v>1230</v>
      </c>
      <c r="L71" s="19" t="s">
        <v>38</v>
      </c>
      <c r="M71" s="20">
        <f t="shared" si="2"/>
        <v>0</v>
      </c>
      <c r="N71" s="22"/>
      <c r="O71" s="19" t="s">
        <v>3578</v>
      </c>
      <c r="P71" s="18"/>
      <c r="Q71" s="18"/>
      <c r="R71" s="23">
        <v>0.0</v>
      </c>
      <c r="S71" s="23">
        <v>0.0</v>
      </c>
      <c r="T71" s="23">
        <f t="shared" si="3"/>
        <v>0</v>
      </c>
      <c r="U71" s="23">
        <f t="shared" si="4"/>
        <v>0</v>
      </c>
      <c r="V71" s="23">
        <f t="shared" si="5"/>
        <v>0</v>
      </c>
      <c r="W71" s="24" t="str">
        <f t="shared" si="6"/>
        <v>#DIV/0!</v>
      </c>
    </row>
    <row r="72">
      <c r="A72" s="15" t="s">
        <v>3685</v>
      </c>
      <c r="B72" s="18"/>
      <c r="C72" s="15" t="s">
        <v>6210</v>
      </c>
      <c r="D72" s="18"/>
      <c r="E72" s="17" t="s">
        <v>6211</v>
      </c>
      <c r="F72" s="18"/>
      <c r="G72" s="18"/>
      <c r="H72" s="15" t="s">
        <v>3687</v>
      </c>
      <c r="I72" s="18"/>
      <c r="J72" s="19" t="s">
        <v>283</v>
      </c>
      <c r="K72" s="19" t="s">
        <v>603</v>
      </c>
      <c r="L72" s="19" t="s">
        <v>38</v>
      </c>
      <c r="M72" s="20">
        <f t="shared" si="2"/>
        <v>0</v>
      </c>
      <c r="N72" s="22"/>
      <c r="O72" s="19" t="s">
        <v>1145</v>
      </c>
      <c r="P72" s="18"/>
      <c r="Q72" s="18"/>
      <c r="R72" s="23">
        <v>0.0</v>
      </c>
      <c r="S72" s="23">
        <v>0.0</v>
      </c>
      <c r="T72" s="23">
        <f t="shared" si="3"/>
        <v>0</v>
      </c>
      <c r="U72" s="23">
        <f t="shared" si="4"/>
        <v>0</v>
      </c>
      <c r="V72" s="23">
        <f t="shared" si="5"/>
        <v>0</v>
      </c>
      <c r="W72" s="24" t="str">
        <f t="shared" si="6"/>
        <v>#DIV/0!</v>
      </c>
    </row>
    <row r="73">
      <c r="A73" s="15" t="s">
        <v>1240</v>
      </c>
      <c r="B73" s="18"/>
      <c r="C73" s="15" t="s">
        <v>6212</v>
      </c>
      <c r="D73" s="18"/>
      <c r="E73" s="17" t="s">
        <v>1241</v>
      </c>
      <c r="F73" s="18"/>
      <c r="G73" s="18"/>
      <c r="H73" s="15" t="s">
        <v>1242</v>
      </c>
      <c r="I73" s="18"/>
      <c r="J73" s="19" t="s">
        <v>283</v>
      </c>
      <c r="K73" s="19" t="s">
        <v>1230</v>
      </c>
      <c r="L73" s="19" t="s">
        <v>38</v>
      </c>
      <c r="M73" s="20">
        <f t="shared" si="2"/>
        <v>0</v>
      </c>
      <c r="N73" s="22"/>
      <c r="O73" s="19" t="s">
        <v>1145</v>
      </c>
      <c r="P73" s="18"/>
      <c r="Q73" s="18"/>
      <c r="R73" s="23">
        <v>0.0</v>
      </c>
      <c r="S73" s="23">
        <v>0.0</v>
      </c>
      <c r="T73" s="23">
        <f t="shared" si="3"/>
        <v>0</v>
      </c>
      <c r="U73" s="23">
        <f t="shared" si="4"/>
        <v>0</v>
      </c>
      <c r="V73" s="23">
        <f t="shared" si="5"/>
        <v>0</v>
      </c>
      <c r="W73" s="24" t="str">
        <f t="shared" si="6"/>
        <v>#DIV/0!</v>
      </c>
    </row>
    <row r="74">
      <c r="A74" s="15" t="s">
        <v>1243</v>
      </c>
      <c r="B74" s="18"/>
      <c r="C74" s="15" t="s">
        <v>6213</v>
      </c>
      <c r="D74" s="18"/>
      <c r="E74" s="17" t="s">
        <v>1244</v>
      </c>
      <c r="F74" s="18"/>
      <c r="G74" s="18"/>
      <c r="H74" s="15" t="s">
        <v>1245</v>
      </c>
      <c r="I74" s="18"/>
      <c r="J74" s="19" t="s">
        <v>283</v>
      </c>
      <c r="K74" s="19" t="s">
        <v>1230</v>
      </c>
      <c r="L74" s="19" t="s">
        <v>38</v>
      </c>
      <c r="M74" s="20">
        <f t="shared" si="2"/>
        <v>0</v>
      </c>
      <c r="N74" s="22"/>
      <c r="O74" s="19" t="s">
        <v>1145</v>
      </c>
      <c r="P74" s="18"/>
      <c r="Q74" s="18"/>
      <c r="R74" s="23">
        <v>0.0</v>
      </c>
      <c r="S74" s="23">
        <v>0.0</v>
      </c>
      <c r="T74" s="23">
        <f t="shared" si="3"/>
        <v>0</v>
      </c>
      <c r="U74" s="23">
        <f t="shared" si="4"/>
        <v>0</v>
      </c>
      <c r="V74" s="23">
        <f t="shared" si="5"/>
        <v>0</v>
      </c>
      <c r="W74" s="24" t="str">
        <f t="shared" si="6"/>
        <v>#DIV/0!</v>
      </c>
    </row>
    <row r="75">
      <c r="A75" s="15" t="s">
        <v>3689</v>
      </c>
      <c r="B75" s="18" t="str">
        <f>CONCATENATE(7504589,A75)</f>
        <v>75045891071</v>
      </c>
      <c r="C75" s="15" t="s">
        <v>6214</v>
      </c>
      <c r="D75" s="18"/>
      <c r="E75" s="17" t="s">
        <v>3690</v>
      </c>
      <c r="F75" s="18"/>
      <c r="G75" s="18"/>
      <c r="H75" s="18"/>
      <c r="I75" s="18"/>
      <c r="J75" s="19" t="s">
        <v>283</v>
      </c>
      <c r="K75" s="19" t="s">
        <v>603</v>
      </c>
      <c r="L75" s="19" t="s">
        <v>38</v>
      </c>
      <c r="M75" s="20">
        <f t="shared" si="2"/>
        <v>0</v>
      </c>
      <c r="N75" s="22"/>
      <c r="O75" s="19" t="s">
        <v>3578</v>
      </c>
      <c r="P75" s="18"/>
      <c r="Q75" s="18"/>
      <c r="R75" s="23">
        <v>0.0</v>
      </c>
      <c r="S75" s="23">
        <v>0.0</v>
      </c>
      <c r="T75" s="23">
        <f t="shared" si="3"/>
        <v>0</v>
      </c>
      <c r="U75" s="23">
        <f t="shared" si="4"/>
        <v>0</v>
      </c>
      <c r="V75" s="23">
        <f t="shared" si="5"/>
        <v>0</v>
      </c>
      <c r="W75" s="24" t="str">
        <f t="shared" si="6"/>
        <v>#DIV/0!</v>
      </c>
    </row>
    <row r="76">
      <c r="A76" s="15" t="s">
        <v>3691</v>
      </c>
      <c r="B76" s="15" t="s">
        <v>3692</v>
      </c>
      <c r="C76" s="15" t="s">
        <v>6215</v>
      </c>
      <c r="D76" s="18"/>
      <c r="E76" s="17" t="s">
        <v>3693</v>
      </c>
      <c r="F76" s="18"/>
      <c r="G76" s="18"/>
      <c r="H76" s="15" t="s">
        <v>3694</v>
      </c>
      <c r="I76" s="18"/>
      <c r="J76" s="19" t="s">
        <v>283</v>
      </c>
      <c r="K76" s="19" t="s">
        <v>603</v>
      </c>
      <c r="L76" s="19" t="s">
        <v>38</v>
      </c>
      <c r="M76" s="20">
        <f t="shared" si="2"/>
        <v>0</v>
      </c>
      <c r="N76" s="22"/>
      <c r="O76" s="19" t="s">
        <v>3578</v>
      </c>
      <c r="P76" s="18"/>
      <c r="Q76" s="18"/>
      <c r="R76" s="23">
        <v>0.0</v>
      </c>
      <c r="S76" s="23">
        <v>0.0</v>
      </c>
      <c r="T76" s="23">
        <f t="shared" si="3"/>
        <v>0</v>
      </c>
      <c r="U76" s="23">
        <f t="shared" si="4"/>
        <v>0</v>
      </c>
      <c r="V76" s="23">
        <f t="shared" si="5"/>
        <v>0</v>
      </c>
      <c r="W76" s="24" t="str">
        <f t="shared" si="6"/>
        <v>#DIV/0!</v>
      </c>
    </row>
    <row r="77">
      <c r="A77" s="15" t="s">
        <v>3695</v>
      </c>
      <c r="B77" s="15" t="s">
        <v>3696</v>
      </c>
      <c r="C77" s="15" t="s">
        <v>6216</v>
      </c>
      <c r="D77" s="18"/>
      <c r="E77" s="17" t="s">
        <v>3697</v>
      </c>
      <c r="F77" s="18"/>
      <c r="G77" s="18"/>
      <c r="H77" s="15" t="s">
        <v>3698</v>
      </c>
      <c r="I77" s="18"/>
      <c r="J77" s="19" t="s">
        <v>283</v>
      </c>
      <c r="K77" s="19" t="s">
        <v>1269</v>
      </c>
      <c r="L77" s="19" t="s">
        <v>38</v>
      </c>
      <c r="M77" s="20">
        <f t="shared" si="2"/>
        <v>0</v>
      </c>
      <c r="N77" s="22"/>
      <c r="O77" s="19" t="s">
        <v>3578</v>
      </c>
      <c r="P77" s="18"/>
      <c r="Q77" s="18"/>
      <c r="R77" s="23">
        <v>0.0</v>
      </c>
      <c r="S77" s="23">
        <v>0.0</v>
      </c>
      <c r="T77" s="23">
        <f t="shared" si="3"/>
        <v>0</v>
      </c>
      <c r="U77" s="23">
        <f t="shared" si="4"/>
        <v>0</v>
      </c>
      <c r="V77" s="23">
        <f t="shared" si="5"/>
        <v>0</v>
      </c>
      <c r="W77" s="24" t="str">
        <f t="shared" si="6"/>
        <v>#DIV/0!</v>
      </c>
    </row>
    <row r="78">
      <c r="A78" s="15" t="s">
        <v>3699</v>
      </c>
      <c r="B78" s="15" t="s">
        <v>3700</v>
      </c>
      <c r="C78" s="15" t="s">
        <v>6217</v>
      </c>
      <c r="D78" s="15" t="s">
        <v>3701</v>
      </c>
      <c r="E78" s="17" t="s">
        <v>3702</v>
      </c>
      <c r="F78" s="18"/>
      <c r="G78" s="18"/>
      <c r="H78" s="15" t="s">
        <v>3703</v>
      </c>
      <c r="I78" s="18"/>
      <c r="J78" s="19" t="s">
        <v>283</v>
      </c>
      <c r="K78" s="19" t="s">
        <v>1269</v>
      </c>
      <c r="L78" s="19" t="s">
        <v>38</v>
      </c>
      <c r="M78" s="20">
        <f t="shared" si="2"/>
        <v>0</v>
      </c>
      <c r="N78" s="22"/>
      <c r="O78" s="19" t="s">
        <v>3578</v>
      </c>
      <c r="P78" s="18"/>
      <c r="Q78" s="18"/>
      <c r="R78" s="23">
        <v>0.0</v>
      </c>
      <c r="S78" s="23">
        <v>0.0</v>
      </c>
      <c r="T78" s="23">
        <f t="shared" si="3"/>
        <v>0</v>
      </c>
      <c r="U78" s="23">
        <f t="shared" si="4"/>
        <v>0</v>
      </c>
      <c r="V78" s="23">
        <f t="shared" si="5"/>
        <v>0</v>
      </c>
      <c r="W78" s="24" t="str">
        <f t="shared" si="6"/>
        <v>#DIV/0!</v>
      </c>
    </row>
    <row r="79">
      <c r="A79" s="15" t="s">
        <v>3704</v>
      </c>
      <c r="B79" s="15" t="s">
        <v>3705</v>
      </c>
      <c r="C79" s="15" t="s">
        <v>6218</v>
      </c>
      <c r="D79" s="15" t="s">
        <v>3706</v>
      </c>
      <c r="E79" s="17" t="s">
        <v>3707</v>
      </c>
      <c r="F79" s="18"/>
      <c r="G79" s="18"/>
      <c r="H79" s="15" t="s">
        <v>3708</v>
      </c>
      <c r="I79" s="18"/>
      <c r="J79" s="19" t="s">
        <v>283</v>
      </c>
      <c r="K79" s="19" t="s">
        <v>427</v>
      </c>
      <c r="L79" s="19" t="s">
        <v>115</v>
      </c>
      <c r="M79" s="20">
        <f t="shared" si="2"/>
        <v>0</v>
      </c>
      <c r="N79" s="22"/>
      <c r="O79" s="19" t="s">
        <v>3578</v>
      </c>
      <c r="P79" s="18"/>
      <c r="Q79" s="18"/>
      <c r="R79" s="23">
        <v>0.0</v>
      </c>
      <c r="S79" s="23">
        <v>0.0</v>
      </c>
      <c r="T79" s="23">
        <f t="shared" si="3"/>
        <v>0</v>
      </c>
      <c r="U79" s="23">
        <f t="shared" si="4"/>
        <v>0</v>
      </c>
      <c r="V79" s="23">
        <f t="shared" si="5"/>
        <v>0</v>
      </c>
      <c r="W79" s="24" t="str">
        <f t="shared" si="6"/>
        <v>#DIV/0!</v>
      </c>
    </row>
    <row r="80">
      <c r="A80" s="15" t="s">
        <v>3709</v>
      </c>
      <c r="B80" s="15" t="s">
        <v>3710</v>
      </c>
      <c r="C80" s="15" t="s">
        <v>6219</v>
      </c>
      <c r="D80" s="18"/>
      <c r="E80" s="17" t="s">
        <v>3711</v>
      </c>
      <c r="F80" s="18"/>
      <c r="G80" s="18"/>
      <c r="H80" s="15" t="s">
        <v>3712</v>
      </c>
      <c r="I80" s="18"/>
      <c r="J80" s="19" t="s">
        <v>283</v>
      </c>
      <c r="K80" s="19" t="s">
        <v>427</v>
      </c>
      <c r="L80" s="19" t="s">
        <v>38</v>
      </c>
      <c r="M80" s="20">
        <f t="shared" si="2"/>
        <v>0</v>
      </c>
      <c r="N80" s="22"/>
      <c r="O80" s="19" t="s">
        <v>3578</v>
      </c>
      <c r="P80" s="18"/>
      <c r="Q80" s="18"/>
      <c r="R80" s="23">
        <v>0.0</v>
      </c>
      <c r="S80" s="23">
        <v>0.0</v>
      </c>
      <c r="T80" s="23">
        <f t="shared" si="3"/>
        <v>0</v>
      </c>
      <c r="U80" s="23">
        <f t="shared" si="4"/>
        <v>0</v>
      </c>
      <c r="V80" s="23">
        <f t="shared" si="5"/>
        <v>0</v>
      </c>
      <c r="W80" s="24" t="str">
        <f t="shared" si="6"/>
        <v>#DIV/0!</v>
      </c>
    </row>
    <row r="81">
      <c r="A81" s="15" t="s">
        <v>3713</v>
      </c>
      <c r="B81" s="15" t="s">
        <v>3714</v>
      </c>
      <c r="C81" s="15" t="s">
        <v>6220</v>
      </c>
      <c r="D81" s="15" t="s">
        <v>3715</v>
      </c>
      <c r="E81" s="17" t="s">
        <v>3716</v>
      </c>
      <c r="F81" s="18"/>
      <c r="G81" s="18"/>
      <c r="H81" s="15" t="s">
        <v>3717</v>
      </c>
      <c r="I81" s="18"/>
      <c r="J81" s="19" t="s">
        <v>283</v>
      </c>
      <c r="K81" s="19" t="s">
        <v>402</v>
      </c>
      <c r="L81" s="19" t="s">
        <v>38</v>
      </c>
      <c r="M81" s="20">
        <f t="shared" si="2"/>
        <v>0</v>
      </c>
      <c r="N81" s="22"/>
      <c r="O81" s="19" t="s">
        <v>3578</v>
      </c>
      <c r="P81" s="18"/>
      <c r="Q81" s="18"/>
      <c r="R81" s="23">
        <v>0.0</v>
      </c>
      <c r="S81" s="23">
        <v>0.0</v>
      </c>
      <c r="T81" s="23">
        <f t="shared" si="3"/>
        <v>0</v>
      </c>
      <c r="U81" s="23">
        <f t="shared" si="4"/>
        <v>0</v>
      </c>
      <c r="V81" s="23">
        <f t="shared" si="5"/>
        <v>0</v>
      </c>
      <c r="W81" s="24" t="str">
        <f t="shared" si="6"/>
        <v>#DIV/0!</v>
      </c>
    </row>
    <row r="82">
      <c r="A82" s="15" t="s">
        <v>3718</v>
      </c>
      <c r="B82" s="15" t="s">
        <v>3719</v>
      </c>
      <c r="C82" s="15" t="s">
        <v>6221</v>
      </c>
      <c r="D82" s="15" t="s">
        <v>3720</v>
      </c>
      <c r="E82" s="17" t="s">
        <v>3721</v>
      </c>
      <c r="F82" s="18"/>
      <c r="G82" s="18"/>
      <c r="H82" s="15" t="s">
        <v>3722</v>
      </c>
      <c r="I82" s="18"/>
      <c r="J82" s="19" t="s">
        <v>283</v>
      </c>
      <c r="K82" s="19" t="s">
        <v>284</v>
      </c>
      <c r="L82" s="19" t="s">
        <v>368</v>
      </c>
      <c r="M82" s="20">
        <f t="shared" si="2"/>
        <v>0</v>
      </c>
      <c r="N82" s="22"/>
      <c r="O82" s="19" t="s">
        <v>3578</v>
      </c>
      <c r="P82" s="18"/>
      <c r="Q82" s="18"/>
      <c r="R82" s="23">
        <v>0.0</v>
      </c>
      <c r="S82" s="23">
        <v>0.0</v>
      </c>
      <c r="T82" s="23">
        <f t="shared" si="3"/>
        <v>0</v>
      </c>
      <c r="U82" s="23">
        <f t="shared" si="4"/>
        <v>0</v>
      </c>
      <c r="V82" s="23">
        <f t="shared" si="5"/>
        <v>0</v>
      </c>
      <c r="W82" s="24" t="str">
        <f t="shared" si="6"/>
        <v>#DIV/0!</v>
      </c>
    </row>
    <row r="83">
      <c r="A83" s="15" t="s">
        <v>3723</v>
      </c>
      <c r="B83" s="15" t="s">
        <v>3724</v>
      </c>
      <c r="C83" s="15" t="s">
        <v>6222</v>
      </c>
      <c r="D83" s="15" t="s">
        <v>3725</v>
      </c>
      <c r="E83" s="17" t="s">
        <v>3726</v>
      </c>
      <c r="F83" s="18"/>
      <c r="G83" s="18"/>
      <c r="H83" s="15" t="s">
        <v>3727</v>
      </c>
      <c r="I83" s="18"/>
      <c r="J83" s="19" t="s">
        <v>283</v>
      </c>
      <c r="K83" s="19" t="s">
        <v>284</v>
      </c>
      <c r="L83" s="19" t="s">
        <v>368</v>
      </c>
      <c r="M83" s="20">
        <f t="shared" si="2"/>
        <v>0</v>
      </c>
      <c r="N83" s="22"/>
      <c r="O83" s="19" t="s">
        <v>3578</v>
      </c>
      <c r="P83" s="18"/>
      <c r="Q83" s="18"/>
      <c r="R83" s="23">
        <v>0.0</v>
      </c>
      <c r="S83" s="23">
        <v>0.0</v>
      </c>
      <c r="T83" s="23">
        <f t="shared" si="3"/>
        <v>0</v>
      </c>
      <c r="U83" s="23">
        <f t="shared" si="4"/>
        <v>0</v>
      </c>
      <c r="V83" s="23">
        <f t="shared" si="5"/>
        <v>0</v>
      </c>
      <c r="W83" s="24" t="str">
        <f t="shared" si="6"/>
        <v>#DIV/0!</v>
      </c>
    </row>
    <row r="84">
      <c r="A84" s="15" t="s">
        <v>3728</v>
      </c>
      <c r="B84" s="15" t="s">
        <v>3729</v>
      </c>
      <c r="C84" s="15" t="s">
        <v>6223</v>
      </c>
      <c r="D84" s="15" t="s">
        <v>3730</v>
      </c>
      <c r="E84" s="17" t="s">
        <v>3731</v>
      </c>
      <c r="F84" s="18"/>
      <c r="G84" s="18"/>
      <c r="H84" s="15" t="s">
        <v>3732</v>
      </c>
      <c r="I84" s="18"/>
      <c r="J84" s="19" t="s">
        <v>283</v>
      </c>
      <c r="K84" s="19" t="s">
        <v>37</v>
      </c>
      <c r="L84" s="19" t="s">
        <v>135</v>
      </c>
      <c r="M84" s="20">
        <f t="shared" si="2"/>
        <v>0</v>
      </c>
      <c r="N84" s="22"/>
      <c r="O84" s="19" t="s">
        <v>3578</v>
      </c>
      <c r="P84" s="18"/>
      <c r="Q84" s="18"/>
      <c r="R84" s="23">
        <v>0.0</v>
      </c>
      <c r="S84" s="23">
        <v>0.0</v>
      </c>
      <c r="T84" s="23">
        <f t="shared" si="3"/>
        <v>0</v>
      </c>
      <c r="U84" s="23">
        <f t="shared" si="4"/>
        <v>0</v>
      </c>
      <c r="V84" s="23">
        <f t="shared" si="5"/>
        <v>0</v>
      </c>
      <c r="W84" s="24" t="str">
        <f t="shared" si="6"/>
        <v>#DIV/0!</v>
      </c>
    </row>
    <row r="85">
      <c r="A85" s="15" t="s">
        <v>3733</v>
      </c>
      <c r="B85" s="15" t="s">
        <v>3734</v>
      </c>
      <c r="C85" s="15" t="s">
        <v>6224</v>
      </c>
      <c r="D85" s="15" t="s">
        <v>3735</v>
      </c>
      <c r="E85" s="17" t="s">
        <v>3736</v>
      </c>
      <c r="F85" s="18"/>
      <c r="G85" s="18"/>
      <c r="H85" s="15" t="s">
        <v>3737</v>
      </c>
      <c r="I85" s="15" t="s">
        <v>3738</v>
      </c>
      <c r="J85" s="19" t="s">
        <v>283</v>
      </c>
      <c r="K85" s="19" t="s">
        <v>284</v>
      </c>
      <c r="L85" s="19" t="s">
        <v>38</v>
      </c>
      <c r="M85" s="20">
        <f t="shared" si="2"/>
        <v>0</v>
      </c>
      <c r="N85" s="22"/>
      <c r="O85" s="19" t="s">
        <v>3578</v>
      </c>
      <c r="P85" s="18"/>
      <c r="Q85" s="18"/>
      <c r="R85" s="23">
        <v>0.0</v>
      </c>
      <c r="S85" s="23">
        <v>0.0</v>
      </c>
      <c r="T85" s="23">
        <f t="shared" si="3"/>
        <v>0</v>
      </c>
      <c r="U85" s="23">
        <f t="shared" si="4"/>
        <v>0</v>
      </c>
      <c r="V85" s="23">
        <f t="shared" si="5"/>
        <v>0</v>
      </c>
      <c r="W85" s="24" t="str">
        <f t="shared" si="6"/>
        <v>#DIV/0!</v>
      </c>
    </row>
    <row r="86">
      <c r="A86" s="15" t="s">
        <v>1246</v>
      </c>
      <c r="B86" s="18"/>
      <c r="C86" s="15" t="s">
        <v>6225</v>
      </c>
      <c r="D86" s="18"/>
      <c r="E86" s="17" t="s">
        <v>1247</v>
      </c>
      <c r="F86" s="18"/>
      <c r="G86" s="18"/>
      <c r="H86" s="15" t="s">
        <v>1248</v>
      </c>
      <c r="I86" s="18"/>
      <c r="J86" s="19" t="s">
        <v>283</v>
      </c>
      <c r="K86" s="19" t="s">
        <v>284</v>
      </c>
      <c r="L86" s="19" t="s">
        <v>38</v>
      </c>
      <c r="M86" s="20">
        <f t="shared" si="2"/>
        <v>0</v>
      </c>
      <c r="N86" s="22"/>
      <c r="O86" s="19" t="s">
        <v>1145</v>
      </c>
      <c r="P86" s="18"/>
      <c r="Q86" s="18"/>
      <c r="R86" s="23">
        <v>0.0</v>
      </c>
      <c r="S86" s="23">
        <v>0.0</v>
      </c>
      <c r="T86" s="23">
        <f t="shared" si="3"/>
        <v>0</v>
      </c>
      <c r="U86" s="23">
        <f t="shared" si="4"/>
        <v>0</v>
      </c>
      <c r="V86" s="23">
        <f t="shared" si="5"/>
        <v>0</v>
      </c>
      <c r="W86" s="24" t="str">
        <f t="shared" si="6"/>
        <v>#DIV/0!</v>
      </c>
    </row>
    <row r="87">
      <c r="A87" s="15" t="s">
        <v>3739</v>
      </c>
      <c r="B87" s="15" t="s">
        <v>3740</v>
      </c>
      <c r="C87" s="15" t="s">
        <v>6226</v>
      </c>
      <c r="D87" s="41" t="s">
        <v>3741</v>
      </c>
      <c r="E87" s="17" t="s">
        <v>3742</v>
      </c>
      <c r="F87" s="18"/>
      <c r="G87" s="18"/>
      <c r="H87" s="15" t="s">
        <v>3743</v>
      </c>
      <c r="I87" s="15" t="s">
        <v>3744</v>
      </c>
      <c r="J87" s="19" t="s">
        <v>283</v>
      </c>
      <c r="K87" s="19" t="s">
        <v>427</v>
      </c>
      <c r="L87" s="19" t="s">
        <v>135</v>
      </c>
      <c r="M87" s="20">
        <f t="shared" si="2"/>
        <v>0</v>
      </c>
      <c r="N87" s="22"/>
      <c r="O87" s="19" t="s">
        <v>3578</v>
      </c>
      <c r="P87" s="18"/>
      <c r="Q87" s="18"/>
      <c r="R87" s="23">
        <v>0.0</v>
      </c>
      <c r="S87" s="23">
        <v>0.0</v>
      </c>
      <c r="T87" s="23">
        <f t="shared" si="3"/>
        <v>0</v>
      </c>
      <c r="U87" s="23">
        <f t="shared" si="4"/>
        <v>0</v>
      </c>
      <c r="V87" s="23">
        <f t="shared" si="5"/>
        <v>0</v>
      </c>
      <c r="W87" s="24" t="str">
        <f t="shared" si="6"/>
        <v>#DIV/0!</v>
      </c>
    </row>
    <row r="88">
      <c r="A88" s="15" t="s">
        <v>3745</v>
      </c>
      <c r="B88" s="15" t="s">
        <v>3746</v>
      </c>
      <c r="C88" s="15" t="s">
        <v>6227</v>
      </c>
      <c r="D88" s="15" t="s">
        <v>3747</v>
      </c>
      <c r="E88" s="17" t="s">
        <v>3748</v>
      </c>
      <c r="F88" s="18"/>
      <c r="G88" s="18"/>
      <c r="H88" s="15" t="s">
        <v>3749</v>
      </c>
      <c r="I88" s="15" t="s">
        <v>3750</v>
      </c>
      <c r="J88" s="19" t="s">
        <v>283</v>
      </c>
      <c r="K88" s="19" t="s">
        <v>427</v>
      </c>
      <c r="L88" s="19" t="s">
        <v>38</v>
      </c>
      <c r="M88" s="20">
        <f t="shared" si="2"/>
        <v>0</v>
      </c>
      <c r="N88" s="22"/>
      <c r="O88" s="19" t="s">
        <v>3578</v>
      </c>
      <c r="P88" s="18"/>
      <c r="Q88" s="18"/>
      <c r="R88" s="23">
        <v>0.0</v>
      </c>
      <c r="S88" s="23">
        <v>0.0</v>
      </c>
      <c r="T88" s="23">
        <f t="shared" si="3"/>
        <v>0</v>
      </c>
      <c r="U88" s="23">
        <f t="shared" si="4"/>
        <v>0</v>
      </c>
      <c r="V88" s="23">
        <f t="shared" si="5"/>
        <v>0</v>
      </c>
      <c r="W88" s="24" t="str">
        <f t="shared" si="6"/>
        <v>#DIV/0!</v>
      </c>
    </row>
    <row r="89">
      <c r="A89" s="15" t="s">
        <v>1249</v>
      </c>
      <c r="B89" s="18"/>
      <c r="C89" s="15" t="s">
        <v>6228</v>
      </c>
      <c r="D89" s="18"/>
      <c r="E89" s="17" t="s">
        <v>1250</v>
      </c>
      <c r="F89" s="18"/>
      <c r="G89" s="18"/>
      <c r="H89" s="15" t="s">
        <v>1251</v>
      </c>
      <c r="I89" s="18"/>
      <c r="J89" s="19" t="s">
        <v>283</v>
      </c>
      <c r="K89" s="19" t="s">
        <v>284</v>
      </c>
      <c r="L89" s="19" t="s">
        <v>38</v>
      </c>
      <c r="M89" s="20">
        <f t="shared" si="2"/>
        <v>0</v>
      </c>
      <c r="N89" s="22"/>
      <c r="O89" s="19" t="s">
        <v>1145</v>
      </c>
      <c r="P89" s="18"/>
      <c r="Q89" s="18"/>
      <c r="R89" s="23">
        <v>0.0</v>
      </c>
      <c r="S89" s="23">
        <v>0.0</v>
      </c>
      <c r="T89" s="23">
        <f t="shared" si="3"/>
        <v>0</v>
      </c>
      <c r="U89" s="23">
        <f t="shared" si="4"/>
        <v>0</v>
      </c>
      <c r="V89" s="23">
        <f t="shared" si="5"/>
        <v>0</v>
      </c>
      <c r="W89" s="24" t="str">
        <f t="shared" si="6"/>
        <v>#DIV/0!</v>
      </c>
    </row>
    <row r="90">
      <c r="A90" s="15" t="s">
        <v>3751</v>
      </c>
      <c r="B90" s="15" t="s">
        <v>3752</v>
      </c>
      <c r="C90" s="15" t="s">
        <v>6229</v>
      </c>
      <c r="D90" s="15" t="s">
        <v>3753</v>
      </c>
      <c r="E90" s="17" t="s">
        <v>3754</v>
      </c>
      <c r="F90" s="18"/>
      <c r="G90" s="18"/>
      <c r="H90" s="15" t="s">
        <v>3755</v>
      </c>
      <c r="I90" s="15" t="s">
        <v>3756</v>
      </c>
      <c r="J90" s="19" t="s">
        <v>283</v>
      </c>
      <c r="K90" s="19" t="s">
        <v>284</v>
      </c>
      <c r="L90" s="19" t="s">
        <v>368</v>
      </c>
      <c r="M90" s="20">
        <f t="shared" si="2"/>
        <v>0</v>
      </c>
      <c r="N90" s="22"/>
      <c r="O90" s="19" t="s">
        <v>3578</v>
      </c>
      <c r="P90" s="18"/>
      <c r="Q90" s="18"/>
      <c r="R90" s="23">
        <v>0.0</v>
      </c>
      <c r="S90" s="23">
        <v>0.0</v>
      </c>
      <c r="T90" s="23">
        <f t="shared" si="3"/>
        <v>0</v>
      </c>
      <c r="U90" s="23">
        <f t="shared" si="4"/>
        <v>0</v>
      </c>
      <c r="V90" s="23">
        <f t="shared" si="5"/>
        <v>0</v>
      </c>
      <c r="W90" s="24" t="str">
        <f t="shared" si="6"/>
        <v>#DIV/0!</v>
      </c>
    </row>
    <row r="91">
      <c r="A91" s="15" t="s">
        <v>3757</v>
      </c>
      <c r="B91" s="15" t="s">
        <v>3758</v>
      </c>
      <c r="C91" s="15" t="s">
        <v>6230</v>
      </c>
      <c r="D91" s="18"/>
      <c r="E91" s="17" t="s">
        <v>3759</v>
      </c>
      <c r="F91" s="18"/>
      <c r="G91" s="18"/>
      <c r="H91" s="15" t="s">
        <v>3760</v>
      </c>
      <c r="I91" s="18"/>
      <c r="J91" s="19" t="s">
        <v>283</v>
      </c>
      <c r="K91" s="19" t="s">
        <v>1230</v>
      </c>
      <c r="L91" s="19" t="s">
        <v>38</v>
      </c>
      <c r="M91" s="20">
        <f t="shared" si="2"/>
        <v>0</v>
      </c>
      <c r="N91" s="22"/>
      <c r="O91" s="19" t="s">
        <v>3578</v>
      </c>
      <c r="P91" s="18"/>
      <c r="Q91" s="18"/>
      <c r="R91" s="23">
        <v>0.0</v>
      </c>
      <c r="S91" s="23">
        <v>0.0</v>
      </c>
      <c r="T91" s="23">
        <f t="shared" si="3"/>
        <v>0</v>
      </c>
      <c r="U91" s="23">
        <f t="shared" si="4"/>
        <v>0</v>
      </c>
      <c r="V91" s="23">
        <f t="shared" si="5"/>
        <v>0</v>
      </c>
      <c r="W91" s="24" t="str">
        <f t="shared" si="6"/>
        <v>#DIV/0!</v>
      </c>
    </row>
    <row r="92">
      <c r="A92" s="15" t="s">
        <v>3761</v>
      </c>
      <c r="B92" s="15" t="s">
        <v>3762</v>
      </c>
      <c r="C92" s="15" t="s">
        <v>6231</v>
      </c>
      <c r="D92" s="15" t="s">
        <v>3763</v>
      </c>
      <c r="E92" s="17" t="s">
        <v>3764</v>
      </c>
      <c r="F92" s="18"/>
      <c r="G92" s="18"/>
      <c r="H92" s="15" t="s">
        <v>1257</v>
      </c>
      <c r="I92" s="18"/>
      <c r="J92" s="19" t="s">
        <v>283</v>
      </c>
      <c r="K92" s="19" t="s">
        <v>37</v>
      </c>
      <c r="L92" s="19" t="s">
        <v>38</v>
      </c>
      <c r="M92" s="20">
        <f t="shared" si="2"/>
        <v>0</v>
      </c>
      <c r="N92" s="22"/>
      <c r="O92" s="19" t="s">
        <v>3578</v>
      </c>
      <c r="P92" s="18"/>
      <c r="Q92" s="18"/>
      <c r="R92" s="23">
        <v>0.0</v>
      </c>
      <c r="S92" s="23">
        <v>0.0</v>
      </c>
      <c r="T92" s="23">
        <f t="shared" si="3"/>
        <v>0</v>
      </c>
      <c r="U92" s="23">
        <f t="shared" si="4"/>
        <v>0</v>
      </c>
      <c r="V92" s="23">
        <f t="shared" si="5"/>
        <v>0</v>
      </c>
      <c r="W92" s="24" t="str">
        <f t="shared" si="6"/>
        <v>#DIV/0!</v>
      </c>
    </row>
    <row r="93">
      <c r="A93" s="15" t="s">
        <v>3765</v>
      </c>
      <c r="B93" s="15" t="s">
        <v>3766</v>
      </c>
      <c r="C93" s="15" t="s">
        <v>6232</v>
      </c>
      <c r="D93" s="18"/>
      <c r="E93" s="17" t="s">
        <v>3767</v>
      </c>
      <c r="F93" s="18"/>
      <c r="G93" s="18"/>
      <c r="H93" s="15" t="s">
        <v>3768</v>
      </c>
      <c r="I93" s="18"/>
      <c r="J93" s="19" t="s">
        <v>283</v>
      </c>
      <c r="K93" s="19" t="s">
        <v>603</v>
      </c>
      <c r="L93" s="19" t="s">
        <v>38</v>
      </c>
      <c r="M93" s="20">
        <f t="shared" si="2"/>
        <v>0</v>
      </c>
      <c r="N93" s="22"/>
      <c r="O93" s="19" t="s">
        <v>3578</v>
      </c>
      <c r="P93" s="18"/>
      <c r="Q93" s="18"/>
      <c r="R93" s="23">
        <v>0.0</v>
      </c>
      <c r="S93" s="23">
        <v>0.0</v>
      </c>
      <c r="T93" s="23">
        <f t="shared" si="3"/>
        <v>0</v>
      </c>
      <c r="U93" s="23">
        <f t="shared" si="4"/>
        <v>0</v>
      </c>
      <c r="V93" s="23">
        <f t="shared" si="5"/>
        <v>0</v>
      </c>
      <c r="W93" s="24" t="str">
        <f t="shared" si="6"/>
        <v>#DIV/0!</v>
      </c>
    </row>
    <row r="94">
      <c r="A94" s="15" t="s">
        <v>3769</v>
      </c>
      <c r="B94" s="15" t="s">
        <v>3770</v>
      </c>
      <c r="C94" s="15" t="s">
        <v>6233</v>
      </c>
      <c r="D94" s="18"/>
      <c r="E94" s="17" t="s">
        <v>3771</v>
      </c>
      <c r="F94" s="18"/>
      <c r="G94" s="18"/>
      <c r="H94" s="15" t="s">
        <v>3772</v>
      </c>
      <c r="I94" s="18"/>
      <c r="J94" s="19" t="s">
        <v>283</v>
      </c>
      <c r="K94" s="19" t="s">
        <v>603</v>
      </c>
      <c r="L94" s="19" t="s">
        <v>38</v>
      </c>
      <c r="M94" s="20">
        <f t="shared" si="2"/>
        <v>0</v>
      </c>
      <c r="N94" s="22"/>
      <c r="O94" s="19" t="s">
        <v>3578</v>
      </c>
      <c r="P94" s="18"/>
      <c r="Q94" s="18"/>
      <c r="R94" s="23">
        <v>0.0</v>
      </c>
      <c r="S94" s="23">
        <v>0.0</v>
      </c>
      <c r="T94" s="23">
        <f t="shared" si="3"/>
        <v>0</v>
      </c>
      <c r="U94" s="23">
        <f t="shared" si="4"/>
        <v>0</v>
      </c>
      <c r="V94" s="23">
        <f t="shared" si="5"/>
        <v>0</v>
      </c>
      <c r="W94" s="24" t="str">
        <f t="shared" si="6"/>
        <v>#DIV/0!</v>
      </c>
    </row>
    <row r="95">
      <c r="A95" s="15" t="s">
        <v>3773</v>
      </c>
      <c r="B95" s="15" t="s">
        <v>3774</v>
      </c>
      <c r="C95" s="15" t="s">
        <v>6234</v>
      </c>
      <c r="D95" s="18"/>
      <c r="E95" s="17" t="s">
        <v>3775</v>
      </c>
      <c r="F95" s="18"/>
      <c r="G95" s="18"/>
      <c r="H95" s="15" t="s">
        <v>3776</v>
      </c>
      <c r="I95" s="18"/>
      <c r="J95" s="19" t="s">
        <v>283</v>
      </c>
      <c r="K95" s="19" t="s">
        <v>603</v>
      </c>
      <c r="L95" s="19" t="s">
        <v>38</v>
      </c>
      <c r="M95" s="20">
        <f t="shared" si="2"/>
        <v>0</v>
      </c>
      <c r="N95" s="22"/>
      <c r="O95" s="19" t="s">
        <v>3578</v>
      </c>
      <c r="P95" s="18"/>
      <c r="Q95" s="18"/>
      <c r="R95" s="23">
        <v>0.0</v>
      </c>
      <c r="S95" s="23">
        <v>0.0</v>
      </c>
      <c r="T95" s="23">
        <f t="shared" si="3"/>
        <v>0</v>
      </c>
      <c r="U95" s="23">
        <f t="shared" si="4"/>
        <v>0</v>
      </c>
      <c r="V95" s="23">
        <f t="shared" si="5"/>
        <v>0</v>
      </c>
      <c r="W95" s="24" t="str">
        <f t="shared" si="6"/>
        <v>#DIV/0!</v>
      </c>
    </row>
    <row r="96">
      <c r="A96" s="15" t="s">
        <v>3777</v>
      </c>
      <c r="B96" s="15" t="s">
        <v>3778</v>
      </c>
      <c r="C96" s="15" t="s">
        <v>6235</v>
      </c>
      <c r="D96" s="18"/>
      <c r="E96" s="17" t="s">
        <v>3779</v>
      </c>
      <c r="F96" s="18"/>
      <c r="G96" s="18"/>
      <c r="H96" s="15" t="s">
        <v>3780</v>
      </c>
      <c r="I96" s="18"/>
      <c r="J96" s="19" t="s">
        <v>283</v>
      </c>
      <c r="K96" s="19" t="s">
        <v>402</v>
      </c>
      <c r="L96" s="19" t="s">
        <v>38</v>
      </c>
      <c r="M96" s="20">
        <f t="shared" si="2"/>
        <v>0</v>
      </c>
      <c r="N96" s="22"/>
      <c r="O96" s="19" t="s">
        <v>3578</v>
      </c>
      <c r="P96" s="18"/>
      <c r="Q96" s="18"/>
      <c r="R96" s="23">
        <v>0.0</v>
      </c>
      <c r="S96" s="23">
        <v>0.0</v>
      </c>
      <c r="T96" s="23">
        <f t="shared" si="3"/>
        <v>0</v>
      </c>
      <c r="U96" s="23">
        <f t="shared" si="4"/>
        <v>0</v>
      </c>
      <c r="V96" s="23">
        <f t="shared" si="5"/>
        <v>0</v>
      </c>
      <c r="W96" s="24" t="str">
        <f t="shared" si="6"/>
        <v>#DIV/0!</v>
      </c>
    </row>
    <row r="97">
      <c r="A97" s="15" t="s">
        <v>3781</v>
      </c>
      <c r="B97" s="15" t="s">
        <v>3782</v>
      </c>
      <c r="C97" s="15" t="s">
        <v>6236</v>
      </c>
      <c r="D97" s="15" t="s">
        <v>3783</v>
      </c>
      <c r="E97" s="17" t="s">
        <v>3784</v>
      </c>
      <c r="F97" s="18"/>
      <c r="G97" s="18"/>
      <c r="H97" s="15" t="s">
        <v>3785</v>
      </c>
      <c r="I97" s="18"/>
      <c r="J97" s="19" t="s">
        <v>283</v>
      </c>
      <c r="K97" s="19" t="s">
        <v>1230</v>
      </c>
      <c r="L97" s="19" t="s">
        <v>38</v>
      </c>
      <c r="M97" s="20">
        <f t="shared" si="2"/>
        <v>0</v>
      </c>
      <c r="N97" s="22"/>
      <c r="O97" s="19" t="s">
        <v>3578</v>
      </c>
      <c r="P97" s="18"/>
      <c r="Q97" s="18"/>
      <c r="R97" s="23">
        <v>0.0</v>
      </c>
      <c r="S97" s="23">
        <v>0.0</v>
      </c>
      <c r="T97" s="23">
        <f t="shared" si="3"/>
        <v>0</v>
      </c>
      <c r="U97" s="23">
        <f t="shared" si="4"/>
        <v>0</v>
      </c>
      <c r="V97" s="23">
        <f t="shared" si="5"/>
        <v>0</v>
      </c>
      <c r="W97" s="24" t="str">
        <f t="shared" si="6"/>
        <v>#DIV/0!</v>
      </c>
    </row>
    <row r="98">
      <c r="A98" s="15" t="s">
        <v>3786</v>
      </c>
      <c r="B98" s="15" t="s">
        <v>3787</v>
      </c>
      <c r="C98" s="15" t="s">
        <v>6237</v>
      </c>
      <c r="D98" s="18"/>
      <c r="E98" s="17" t="s">
        <v>3788</v>
      </c>
      <c r="F98" s="18"/>
      <c r="G98" s="18"/>
      <c r="H98" s="15" t="s">
        <v>3789</v>
      </c>
      <c r="I98" s="18"/>
      <c r="J98" s="19" t="s">
        <v>283</v>
      </c>
      <c r="K98" s="19" t="s">
        <v>105</v>
      </c>
      <c r="L98" s="19" t="s">
        <v>38</v>
      </c>
      <c r="M98" s="20">
        <f t="shared" si="2"/>
        <v>0</v>
      </c>
      <c r="N98" s="22"/>
      <c r="O98" s="19" t="s">
        <v>3578</v>
      </c>
      <c r="P98" s="18"/>
      <c r="Q98" s="18"/>
      <c r="R98" s="23">
        <v>0.0</v>
      </c>
      <c r="S98" s="23">
        <v>0.0</v>
      </c>
      <c r="T98" s="23">
        <f t="shared" si="3"/>
        <v>0</v>
      </c>
      <c r="U98" s="23">
        <f t="shared" si="4"/>
        <v>0</v>
      </c>
      <c r="V98" s="23">
        <f t="shared" si="5"/>
        <v>0</v>
      </c>
      <c r="W98" s="24" t="str">
        <f t="shared" si="6"/>
        <v>#DIV/0!</v>
      </c>
    </row>
    <row r="99">
      <c r="A99" s="15" t="s">
        <v>3790</v>
      </c>
      <c r="B99" s="15" t="s">
        <v>3791</v>
      </c>
      <c r="C99" s="15" t="s">
        <v>6238</v>
      </c>
      <c r="D99" s="18"/>
      <c r="E99" s="17" t="s">
        <v>3792</v>
      </c>
      <c r="F99" s="18"/>
      <c r="G99" s="18"/>
      <c r="H99" s="15" t="s">
        <v>3793</v>
      </c>
      <c r="I99" s="18"/>
      <c r="J99" s="19" t="s">
        <v>283</v>
      </c>
      <c r="K99" s="19" t="s">
        <v>1269</v>
      </c>
      <c r="L99" s="19" t="s">
        <v>38</v>
      </c>
      <c r="M99" s="20">
        <f t="shared" si="2"/>
        <v>0</v>
      </c>
      <c r="N99" s="22"/>
      <c r="O99" s="19" t="s">
        <v>3578</v>
      </c>
      <c r="P99" s="18"/>
      <c r="Q99" s="18"/>
      <c r="R99" s="23">
        <v>0.0</v>
      </c>
      <c r="S99" s="23">
        <v>0.0</v>
      </c>
      <c r="T99" s="23">
        <f t="shared" si="3"/>
        <v>0</v>
      </c>
      <c r="U99" s="23">
        <f t="shared" si="4"/>
        <v>0</v>
      </c>
      <c r="V99" s="23">
        <f t="shared" si="5"/>
        <v>0</v>
      </c>
      <c r="W99" s="24" t="str">
        <f t="shared" si="6"/>
        <v>#DIV/0!</v>
      </c>
    </row>
    <row r="100">
      <c r="A100" s="15" t="s">
        <v>1252</v>
      </c>
      <c r="B100" s="18"/>
      <c r="C100" s="15" t="s">
        <v>6239</v>
      </c>
      <c r="D100" s="18"/>
      <c r="E100" s="17" t="s">
        <v>1253</v>
      </c>
      <c r="F100" s="18"/>
      <c r="G100" s="18"/>
      <c r="H100" s="15" t="s">
        <v>1254</v>
      </c>
      <c r="I100" s="18"/>
      <c r="J100" s="19" t="s">
        <v>283</v>
      </c>
      <c r="K100" s="19" t="s">
        <v>105</v>
      </c>
      <c r="L100" s="19" t="s">
        <v>38</v>
      </c>
      <c r="M100" s="20">
        <f t="shared" si="2"/>
        <v>0</v>
      </c>
      <c r="N100" s="22"/>
      <c r="O100" s="19" t="s">
        <v>1145</v>
      </c>
      <c r="P100" s="18"/>
      <c r="Q100" s="18"/>
      <c r="R100" s="23">
        <v>0.0</v>
      </c>
      <c r="S100" s="23">
        <v>0.0</v>
      </c>
      <c r="T100" s="23">
        <f t="shared" si="3"/>
        <v>0</v>
      </c>
      <c r="U100" s="23">
        <f t="shared" si="4"/>
        <v>0</v>
      </c>
      <c r="V100" s="23">
        <f t="shared" si="5"/>
        <v>0</v>
      </c>
      <c r="W100" s="24" t="str">
        <f t="shared" si="6"/>
        <v>#DIV/0!</v>
      </c>
    </row>
    <row r="101">
      <c r="A101" s="15" t="s">
        <v>1255</v>
      </c>
      <c r="B101" s="18"/>
      <c r="C101" s="15" t="s">
        <v>6240</v>
      </c>
      <c r="D101" s="18"/>
      <c r="E101" s="17" t="s">
        <v>1256</v>
      </c>
      <c r="F101" s="18"/>
      <c r="G101" s="18"/>
      <c r="H101" s="15" t="s">
        <v>1257</v>
      </c>
      <c r="I101" s="18"/>
      <c r="J101" s="19" t="s">
        <v>283</v>
      </c>
      <c r="K101" s="19" t="s">
        <v>37</v>
      </c>
      <c r="L101" s="19" t="s">
        <v>38</v>
      </c>
      <c r="M101" s="20">
        <f t="shared" si="2"/>
        <v>0</v>
      </c>
      <c r="N101" s="22"/>
      <c r="O101" s="19" t="s">
        <v>1145</v>
      </c>
      <c r="P101" s="18"/>
      <c r="Q101" s="18"/>
      <c r="R101" s="23">
        <v>0.0</v>
      </c>
      <c r="S101" s="23">
        <v>0.0</v>
      </c>
      <c r="T101" s="23">
        <f t="shared" si="3"/>
        <v>0</v>
      </c>
      <c r="U101" s="23">
        <f t="shared" si="4"/>
        <v>0</v>
      </c>
      <c r="V101" s="23">
        <f t="shared" si="5"/>
        <v>0</v>
      </c>
      <c r="W101" s="24" t="str">
        <f t="shared" si="6"/>
        <v>#DIV/0!</v>
      </c>
    </row>
    <row r="102">
      <c r="A102" s="15" t="s">
        <v>1258</v>
      </c>
      <c r="B102" s="18"/>
      <c r="C102" s="15" t="s">
        <v>6241</v>
      </c>
      <c r="D102" s="18"/>
      <c r="E102" s="17" t="s">
        <v>1259</v>
      </c>
      <c r="F102" s="18"/>
      <c r="G102" s="18"/>
      <c r="H102" s="15" t="s">
        <v>1257</v>
      </c>
      <c r="I102" s="18"/>
      <c r="J102" s="19" t="s">
        <v>283</v>
      </c>
      <c r="K102" s="19" t="s">
        <v>105</v>
      </c>
      <c r="L102" s="19" t="s">
        <v>38</v>
      </c>
      <c r="M102" s="20">
        <f t="shared" si="2"/>
        <v>0</v>
      </c>
      <c r="N102" s="22"/>
      <c r="O102" s="19" t="s">
        <v>1145</v>
      </c>
      <c r="P102" s="18"/>
      <c r="Q102" s="18"/>
      <c r="R102" s="23">
        <v>0.0</v>
      </c>
      <c r="S102" s="23">
        <v>0.0</v>
      </c>
      <c r="T102" s="23">
        <f t="shared" si="3"/>
        <v>0</v>
      </c>
      <c r="U102" s="23">
        <f t="shared" si="4"/>
        <v>0</v>
      </c>
      <c r="V102" s="23">
        <f t="shared" si="5"/>
        <v>0</v>
      </c>
      <c r="W102" s="24" t="str">
        <f t="shared" si="6"/>
        <v>#DIV/0!</v>
      </c>
    </row>
    <row r="103">
      <c r="A103" s="15" t="s">
        <v>1260</v>
      </c>
      <c r="B103" s="18"/>
      <c r="C103" s="15" t="s">
        <v>6242</v>
      </c>
      <c r="D103" s="18"/>
      <c r="E103" s="17" t="s">
        <v>1261</v>
      </c>
      <c r="F103" s="18"/>
      <c r="G103" s="18"/>
      <c r="H103" s="15" t="s">
        <v>1262</v>
      </c>
      <c r="I103" s="18"/>
      <c r="J103" s="19" t="s">
        <v>283</v>
      </c>
      <c r="K103" s="19" t="s">
        <v>284</v>
      </c>
      <c r="L103" s="19" t="s">
        <v>38</v>
      </c>
      <c r="M103" s="20">
        <f t="shared" si="2"/>
        <v>0</v>
      </c>
      <c r="N103" s="22"/>
      <c r="O103" s="19" t="s">
        <v>1145</v>
      </c>
      <c r="P103" s="18"/>
      <c r="Q103" s="18"/>
      <c r="R103" s="23">
        <v>0.0</v>
      </c>
      <c r="S103" s="23">
        <v>0.0</v>
      </c>
      <c r="T103" s="23">
        <f t="shared" si="3"/>
        <v>0</v>
      </c>
      <c r="U103" s="23">
        <f t="shared" si="4"/>
        <v>0</v>
      </c>
      <c r="V103" s="23">
        <f t="shared" si="5"/>
        <v>0</v>
      </c>
      <c r="W103" s="24" t="str">
        <f t="shared" si="6"/>
        <v>#DIV/0!</v>
      </c>
    </row>
    <row r="104">
      <c r="A104" s="15" t="s">
        <v>1263</v>
      </c>
      <c r="B104" s="18"/>
      <c r="C104" s="15" t="s">
        <v>6243</v>
      </c>
      <c r="D104" s="18"/>
      <c r="E104" s="17" t="s">
        <v>1264</v>
      </c>
      <c r="F104" s="18"/>
      <c r="G104" s="18"/>
      <c r="H104" s="15" t="s">
        <v>1265</v>
      </c>
      <c r="I104" s="18"/>
      <c r="J104" s="19" t="s">
        <v>283</v>
      </c>
      <c r="K104" s="19" t="s">
        <v>284</v>
      </c>
      <c r="L104" s="19" t="s">
        <v>38</v>
      </c>
      <c r="M104" s="20">
        <f t="shared" si="2"/>
        <v>0</v>
      </c>
      <c r="N104" s="22"/>
      <c r="O104" s="19" t="s">
        <v>1145</v>
      </c>
      <c r="P104" s="18"/>
      <c r="Q104" s="18"/>
      <c r="R104" s="23">
        <v>0.0</v>
      </c>
      <c r="S104" s="23">
        <v>0.0</v>
      </c>
      <c r="T104" s="23">
        <f t="shared" si="3"/>
        <v>0</v>
      </c>
      <c r="U104" s="23">
        <f t="shared" si="4"/>
        <v>0</v>
      </c>
      <c r="V104" s="23">
        <f t="shared" si="5"/>
        <v>0</v>
      </c>
      <c r="W104" s="24" t="str">
        <f t="shared" si="6"/>
        <v>#DIV/0!</v>
      </c>
    </row>
    <row r="105">
      <c r="A105" s="15" t="s">
        <v>1266</v>
      </c>
      <c r="B105" s="18"/>
      <c r="C105" s="15" t="s">
        <v>6244</v>
      </c>
      <c r="D105" s="18"/>
      <c r="E105" s="17" t="s">
        <v>1267</v>
      </c>
      <c r="F105" s="18"/>
      <c r="G105" s="18"/>
      <c r="H105" s="15" t="s">
        <v>1268</v>
      </c>
      <c r="I105" s="18"/>
      <c r="J105" s="19" t="s">
        <v>283</v>
      </c>
      <c r="K105" s="19" t="s">
        <v>1269</v>
      </c>
      <c r="L105" s="19" t="s">
        <v>38</v>
      </c>
      <c r="M105" s="20">
        <f t="shared" si="2"/>
        <v>0</v>
      </c>
      <c r="N105" s="22"/>
      <c r="O105" s="19" t="s">
        <v>1145</v>
      </c>
      <c r="P105" s="18"/>
      <c r="Q105" s="18"/>
      <c r="R105" s="23">
        <v>0.0</v>
      </c>
      <c r="S105" s="23">
        <v>0.0</v>
      </c>
      <c r="T105" s="23">
        <f t="shared" si="3"/>
        <v>0</v>
      </c>
      <c r="U105" s="23">
        <f t="shared" si="4"/>
        <v>0</v>
      </c>
      <c r="V105" s="23">
        <f t="shared" si="5"/>
        <v>0</v>
      </c>
      <c r="W105" s="24" t="str">
        <f t="shared" si="6"/>
        <v>#DIV/0!</v>
      </c>
    </row>
    <row r="106">
      <c r="A106" s="15" t="s">
        <v>1270</v>
      </c>
      <c r="B106" s="18"/>
      <c r="C106" s="15" t="s">
        <v>6245</v>
      </c>
      <c r="D106" s="18"/>
      <c r="E106" s="17" t="s">
        <v>1271</v>
      </c>
      <c r="F106" s="18"/>
      <c r="G106" s="18"/>
      <c r="H106" s="15" t="s">
        <v>1272</v>
      </c>
      <c r="I106" s="18"/>
      <c r="J106" s="19" t="s">
        <v>283</v>
      </c>
      <c r="K106" s="19" t="s">
        <v>105</v>
      </c>
      <c r="L106" s="19" t="s">
        <v>38</v>
      </c>
      <c r="M106" s="20">
        <f t="shared" si="2"/>
        <v>0</v>
      </c>
      <c r="N106" s="22"/>
      <c r="O106" s="19" t="s">
        <v>1145</v>
      </c>
      <c r="P106" s="18"/>
      <c r="Q106" s="18"/>
      <c r="R106" s="23">
        <v>0.0</v>
      </c>
      <c r="S106" s="23">
        <v>0.0</v>
      </c>
      <c r="T106" s="23">
        <f t="shared" si="3"/>
        <v>0</v>
      </c>
      <c r="U106" s="23">
        <f t="shared" si="4"/>
        <v>0</v>
      </c>
      <c r="V106" s="23">
        <f t="shared" si="5"/>
        <v>0</v>
      </c>
      <c r="W106" s="24" t="str">
        <f t="shared" si="6"/>
        <v>#DIV/0!</v>
      </c>
    </row>
    <row r="107">
      <c r="A107" s="15" t="s">
        <v>1273</v>
      </c>
      <c r="B107" s="18"/>
      <c r="C107" s="15" t="s">
        <v>6246</v>
      </c>
      <c r="D107" s="18"/>
      <c r="E107" s="17" t="s">
        <v>1274</v>
      </c>
      <c r="F107" s="18"/>
      <c r="G107" s="18"/>
      <c r="H107" s="15" t="s">
        <v>1275</v>
      </c>
      <c r="I107" s="18"/>
      <c r="J107" s="19" t="s">
        <v>283</v>
      </c>
      <c r="K107" s="19" t="s">
        <v>284</v>
      </c>
      <c r="L107" s="19" t="s">
        <v>38</v>
      </c>
      <c r="M107" s="20">
        <f t="shared" si="2"/>
        <v>0</v>
      </c>
      <c r="N107" s="22"/>
      <c r="O107" s="19" t="s">
        <v>1145</v>
      </c>
      <c r="P107" s="18"/>
      <c r="Q107" s="18"/>
      <c r="R107" s="23">
        <v>0.0</v>
      </c>
      <c r="S107" s="23">
        <v>0.0</v>
      </c>
      <c r="T107" s="23">
        <f t="shared" si="3"/>
        <v>0</v>
      </c>
      <c r="U107" s="23">
        <f t="shared" si="4"/>
        <v>0</v>
      </c>
      <c r="V107" s="23">
        <f t="shared" si="5"/>
        <v>0</v>
      </c>
      <c r="W107" s="24" t="str">
        <f t="shared" si="6"/>
        <v>#DIV/0!</v>
      </c>
    </row>
    <row r="108">
      <c r="A108" s="15" t="s">
        <v>1276</v>
      </c>
      <c r="B108" s="18"/>
      <c r="C108" s="15" t="s">
        <v>6247</v>
      </c>
      <c r="D108" s="18"/>
      <c r="E108" s="17" t="s">
        <v>1277</v>
      </c>
      <c r="F108" s="18"/>
      <c r="G108" s="18"/>
      <c r="H108" s="15" t="s">
        <v>1278</v>
      </c>
      <c r="I108" s="18"/>
      <c r="J108" s="19" t="s">
        <v>283</v>
      </c>
      <c r="K108" s="19" t="s">
        <v>105</v>
      </c>
      <c r="L108" s="19" t="s">
        <v>38</v>
      </c>
      <c r="M108" s="20">
        <f t="shared" si="2"/>
        <v>0</v>
      </c>
      <c r="N108" s="22"/>
      <c r="O108" s="19" t="s">
        <v>1145</v>
      </c>
      <c r="P108" s="18"/>
      <c r="Q108" s="18"/>
      <c r="R108" s="23">
        <v>0.0</v>
      </c>
      <c r="S108" s="23">
        <v>0.0</v>
      </c>
      <c r="T108" s="23">
        <f t="shared" si="3"/>
        <v>0</v>
      </c>
      <c r="U108" s="23">
        <f t="shared" si="4"/>
        <v>0</v>
      </c>
      <c r="V108" s="23">
        <f t="shared" si="5"/>
        <v>0</v>
      </c>
      <c r="W108" s="24" t="str">
        <f t="shared" si="6"/>
        <v>#DIV/0!</v>
      </c>
    </row>
    <row r="109">
      <c r="A109" s="15" t="s">
        <v>1279</v>
      </c>
      <c r="B109" s="18"/>
      <c r="C109" s="15" t="s">
        <v>6248</v>
      </c>
      <c r="D109" s="18"/>
      <c r="E109" s="17" t="s">
        <v>1280</v>
      </c>
      <c r="F109" s="18"/>
      <c r="G109" s="18"/>
      <c r="H109" s="15" t="s">
        <v>1281</v>
      </c>
      <c r="I109" s="18"/>
      <c r="J109" s="19" t="s">
        <v>283</v>
      </c>
      <c r="K109" s="19" t="s">
        <v>284</v>
      </c>
      <c r="L109" s="19" t="s">
        <v>38</v>
      </c>
      <c r="M109" s="20">
        <f t="shared" si="2"/>
        <v>0</v>
      </c>
      <c r="N109" s="22"/>
      <c r="O109" s="19" t="s">
        <v>1145</v>
      </c>
      <c r="P109" s="18"/>
      <c r="Q109" s="18"/>
      <c r="R109" s="23">
        <v>0.0</v>
      </c>
      <c r="S109" s="23">
        <v>0.0</v>
      </c>
      <c r="T109" s="23">
        <f t="shared" si="3"/>
        <v>0</v>
      </c>
      <c r="U109" s="23">
        <f t="shared" si="4"/>
        <v>0</v>
      </c>
      <c r="V109" s="23">
        <f t="shared" si="5"/>
        <v>0</v>
      </c>
      <c r="W109" s="24" t="str">
        <f t="shared" si="6"/>
        <v>#DIV/0!</v>
      </c>
    </row>
    <row r="110">
      <c r="A110" s="15" t="s">
        <v>6249</v>
      </c>
      <c r="B110" s="18"/>
      <c r="C110" s="15" t="s">
        <v>6250</v>
      </c>
      <c r="D110" s="18"/>
      <c r="E110" s="17" t="s">
        <v>6251</v>
      </c>
      <c r="F110" s="18"/>
      <c r="G110" s="18"/>
      <c r="H110" s="15" t="s">
        <v>3755</v>
      </c>
      <c r="I110" s="18"/>
      <c r="J110" s="19" t="s">
        <v>283</v>
      </c>
      <c r="K110" s="19" t="s">
        <v>284</v>
      </c>
      <c r="L110" s="19" t="s">
        <v>38</v>
      </c>
      <c r="M110" s="20">
        <f t="shared" si="2"/>
        <v>0</v>
      </c>
      <c r="N110" s="22"/>
      <c r="O110" s="19" t="s">
        <v>39</v>
      </c>
      <c r="P110" s="18"/>
      <c r="Q110" s="18"/>
      <c r="R110" s="23">
        <v>0.0</v>
      </c>
      <c r="S110" s="23">
        <v>0.0</v>
      </c>
      <c r="T110" s="23">
        <f t="shared" si="3"/>
        <v>0</v>
      </c>
      <c r="U110" s="23">
        <f t="shared" si="4"/>
        <v>0</v>
      </c>
      <c r="V110" s="23">
        <f t="shared" si="5"/>
        <v>0</v>
      </c>
      <c r="W110" s="24" t="str">
        <f t="shared" si="6"/>
        <v>#DIV/0!</v>
      </c>
    </row>
    <row r="111">
      <c r="A111" s="15" t="s">
        <v>1282</v>
      </c>
      <c r="B111" s="18"/>
      <c r="C111" s="15" t="s">
        <v>6252</v>
      </c>
      <c r="D111" s="18"/>
      <c r="E111" s="17" t="s">
        <v>1283</v>
      </c>
      <c r="F111" s="18"/>
      <c r="G111" s="18"/>
      <c r="H111" s="15" t="s">
        <v>1284</v>
      </c>
      <c r="I111" s="18"/>
      <c r="J111" s="19" t="s">
        <v>283</v>
      </c>
      <c r="K111" s="19" t="s">
        <v>284</v>
      </c>
      <c r="L111" s="19" t="s">
        <v>38</v>
      </c>
      <c r="M111" s="20">
        <f t="shared" si="2"/>
        <v>0</v>
      </c>
      <c r="N111" s="22"/>
      <c r="O111" s="19" t="s">
        <v>1145</v>
      </c>
      <c r="P111" s="18"/>
      <c r="Q111" s="18"/>
      <c r="R111" s="23">
        <v>0.0</v>
      </c>
      <c r="S111" s="23">
        <v>0.0</v>
      </c>
      <c r="T111" s="23">
        <f t="shared" si="3"/>
        <v>0</v>
      </c>
      <c r="U111" s="23">
        <f t="shared" si="4"/>
        <v>0</v>
      </c>
      <c r="V111" s="23">
        <f t="shared" si="5"/>
        <v>0</v>
      </c>
      <c r="W111" s="24" t="str">
        <f t="shared" si="6"/>
        <v>#DIV/0!</v>
      </c>
    </row>
    <row r="112">
      <c r="A112" s="15" t="s">
        <v>1285</v>
      </c>
      <c r="B112" s="18"/>
      <c r="C112" s="15" t="s">
        <v>6253</v>
      </c>
      <c r="D112" s="18"/>
      <c r="E112" s="17" t="s">
        <v>1286</v>
      </c>
      <c r="F112" s="18"/>
      <c r="G112" s="18"/>
      <c r="H112" s="15" t="s">
        <v>1287</v>
      </c>
      <c r="I112" s="18"/>
      <c r="J112" s="19" t="s">
        <v>283</v>
      </c>
      <c r="K112" s="19" t="s">
        <v>105</v>
      </c>
      <c r="L112" s="19" t="s">
        <v>38</v>
      </c>
      <c r="M112" s="20">
        <f t="shared" si="2"/>
        <v>0</v>
      </c>
      <c r="N112" s="22"/>
      <c r="O112" s="19" t="s">
        <v>1145</v>
      </c>
      <c r="P112" s="18"/>
      <c r="Q112" s="18"/>
      <c r="R112" s="23">
        <v>0.0</v>
      </c>
      <c r="S112" s="23">
        <v>0.0</v>
      </c>
      <c r="T112" s="23">
        <f t="shared" si="3"/>
        <v>0</v>
      </c>
      <c r="U112" s="23">
        <f t="shared" si="4"/>
        <v>0</v>
      </c>
      <c r="V112" s="23">
        <f t="shared" si="5"/>
        <v>0</v>
      </c>
      <c r="W112" s="24" t="str">
        <f t="shared" si="6"/>
        <v>#DIV/0!</v>
      </c>
    </row>
    <row r="113">
      <c r="A113" s="15" t="s">
        <v>1288</v>
      </c>
      <c r="B113" s="18"/>
      <c r="C113" s="15" t="s">
        <v>6254</v>
      </c>
      <c r="D113" s="18"/>
      <c r="E113" s="17" t="s">
        <v>1289</v>
      </c>
      <c r="F113" s="18"/>
      <c r="G113" s="18"/>
      <c r="H113" s="15" t="s">
        <v>1290</v>
      </c>
      <c r="I113" s="18"/>
      <c r="J113" s="19" t="s">
        <v>283</v>
      </c>
      <c r="K113" s="19" t="s">
        <v>105</v>
      </c>
      <c r="L113" s="19" t="s">
        <v>38</v>
      </c>
      <c r="M113" s="20">
        <f t="shared" si="2"/>
        <v>0</v>
      </c>
      <c r="N113" s="22"/>
      <c r="O113" s="19" t="s">
        <v>1145</v>
      </c>
      <c r="P113" s="18"/>
      <c r="Q113" s="18"/>
      <c r="R113" s="23">
        <v>0.0</v>
      </c>
      <c r="S113" s="23">
        <v>0.0</v>
      </c>
      <c r="T113" s="23">
        <f t="shared" si="3"/>
        <v>0</v>
      </c>
      <c r="U113" s="23">
        <f t="shared" si="4"/>
        <v>0</v>
      </c>
      <c r="V113" s="23">
        <f t="shared" si="5"/>
        <v>0</v>
      </c>
      <c r="W113" s="24" t="str">
        <f t="shared" si="6"/>
        <v>#DIV/0!</v>
      </c>
    </row>
    <row r="114">
      <c r="A114" s="15" t="s">
        <v>1291</v>
      </c>
      <c r="B114" s="18"/>
      <c r="C114" s="15" t="s">
        <v>6255</v>
      </c>
      <c r="D114" s="18"/>
      <c r="E114" s="17" t="s">
        <v>1292</v>
      </c>
      <c r="F114" s="18"/>
      <c r="G114" s="18"/>
      <c r="H114" s="15" t="s">
        <v>1293</v>
      </c>
      <c r="I114" s="18"/>
      <c r="J114" s="19" t="s">
        <v>283</v>
      </c>
      <c r="K114" s="19" t="s">
        <v>105</v>
      </c>
      <c r="L114" s="19" t="s">
        <v>38</v>
      </c>
      <c r="M114" s="20">
        <f t="shared" si="2"/>
        <v>0</v>
      </c>
      <c r="N114" s="22"/>
      <c r="O114" s="19" t="s">
        <v>1145</v>
      </c>
      <c r="P114" s="18"/>
      <c r="Q114" s="18"/>
      <c r="R114" s="23">
        <v>0.0</v>
      </c>
      <c r="S114" s="23">
        <v>0.0</v>
      </c>
      <c r="T114" s="23">
        <f t="shared" si="3"/>
        <v>0</v>
      </c>
      <c r="U114" s="23">
        <f t="shared" si="4"/>
        <v>0</v>
      </c>
      <c r="V114" s="23">
        <f t="shared" si="5"/>
        <v>0</v>
      </c>
      <c r="W114" s="24" t="str">
        <f t="shared" si="6"/>
        <v>#DIV/0!</v>
      </c>
    </row>
    <row r="115">
      <c r="A115" s="15" t="s">
        <v>1294</v>
      </c>
      <c r="B115" s="18"/>
      <c r="C115" s="15" t="s">
        <v>6256</v>
      </c>
      <c r="D115" s="18"/>
      <c r="E115" s="17" t="s">
        <v>1295</v>
      </c>
      <c r="F115" s="18"/>
      <c r="G115" s="18"/>
      <c r="H115" s="15" t="s">
        <v>1296</v>
      </c>
      <c r="I115" s="18"/>
      <c r="J115" s="19" t="s">
        <v>283</v>
      </c>
      <c r="K115" s="19" t="s">
        <v>284</v>
      </c>
      <c r="L115" s="19" t="s">
        <v>38</v>
      </c>
      <c r="M115" s="20">
        <f t="shared" si="2"/>
        <v>0</v>
      </c>
      <c r="N115" s="22"/>
      <c r="O115" s="19" t="s">
        <v>1145</v>
      </c>
      <c r="P115" s="18"/>
      <c r="Q115" s="18"/>
      <c r="R115" s="23">
        <v>0.0</v>
      </c>
      <c r="S115" s="23">
        <v>0.0</v>
      </c>
      <c r="T115" s="23">
        <f t="shared" si="3"/>
        <v>0</v>
      </c>
      <c r="U115" s="23">
        <f t="shared" si="4"/>
        <v>0</v>
      </c>
      <c r="V115" s="23">
        <f t="shared" si="5"/>
        <v>0</v>
      </c>
      <c r="W115" s="24" t="str">
        <f t="shared" si="6"/>
        <v>#DIV/0!</v>
      </c>
    </row>
    <row r="116">
      <c r="A116" s="15" t="s">
        <v>1297</v>
      </c>
      <c r="B116" s="18"/>
      <c r="C116" s="15" t="s">
        <v>6257</v>
      </c>
      <c r="D116" s="18"/>
      <c r="E116" s="17" t="s">
        <v>1298</v>
      </c>
      <c r="F116" s="18"/>
      <c r="G116" s="18"/>
      <c r="H116" s="15" t="s">
        <v>1299</v>
      </c>
      <c r="I116" s="18"/>
      <c r="J116" s="19" t="s">
        <v>283</v>
      </c>
      <c r="K116" s="19" t="s">
        <v>284</v>
      </c>
      <c r="L116" s="19" t="s">
        <v>38</v>
      </c>
      <c r="M116" s="20">
        <f t="shared" si="2"/>
        <v>0</v>
      </c>
      <c r="N116" s="22"/>
      <c r="O116" s="19" t="s">
        <v>1145</v>
      </c>
      <c r="P116" s="18"/>
      <c r="Q116" s="18"/>
      <c r="R116" s="23">
        <v>0.0</v>
      </c>
      <c r="S116" s="23">
        <v>0.0</v>
      </c>
      <c r="T116" s="23">
        <f t="shared" si="3"/>
        <v>0</v>
      </c>
      <c r="U116" s="23">
        <f t="shared" si="4"/>
        <v>0</v>
      </c>
      <c r="V116" s="23">
        <f t="shared" si="5"/>
        <v>0</v>
      </c>
      <c r="W116" s="24" t="str">
        <f t="shared" si="6"/>
        <v>#DIV/0!</v>
      </c>
    </row>
    <row r="117">
      <c r="A117" s="15" t="s">
        <v>3794</v>
      </c>
      <c r="B117" s="15" t="s">
        <v>3795</v>
      </c>
      <c r="C117" s="15" t="s">
        <v>6258</v>
      </c>
      <c r="D117" s="15" t="s">
        <v>1313</v>
      </c>
      <c r="E117" s="17" t="s">
        <v>3796</v>
      </c>
      <c r="F117" s="18"/>
      <c r="G117" s="18"/>
      <c r="H117" s="15" t="s">
        <v>3797</v>
      </c>
      <c r="I117" s="15" t="s">
        <v>3798</v>
      </c>
      <c r="J117" s="19" t="s">
        <v>283</v>
      </c>
      <c r="K117" s="19" t="s">
        <v>284</v>
      </c>
      <c r="L117" s="19" t="s">
        <v>368</v>
      </c>
      <c r="M117" s="20">
        <f t="shared" si="2"/>
        <v>0</v>
      </c>
      <c r="N117" s="22"/>
      <c r="O117" s="19" t="s">
        <v>3578</v>
      </c>
      <c r="P117" s="18"/>
      <c r="Q117" s="18"/>
      <c r="R117" s="23">
        <v>0.0</v>
      </c>
      <c r="S117" s="23">
        <v>0.0</v>
      </c>
      <c r="T117" s="23">
        <f t="shared" si="3"/>
        <v>0</v>
      </c>
      <c r="U117" s="23">
        <f t="shared" si="4"/>
        <v>0</v>
      </c>
      <c r="V117" s="23">
        <f t="shared" si="5"/>
        <v>0</v>
      </c>
      <c r="W117" s="24" t="str">
        <f t="shared" si="6"/>
        <v>#DIV/0!</v>
      </c>
    </row>
    <row r="118">
      <c r="A118" s="15" t="s">
        <v>1300</v>
      </c>
      <c r="B118" s="18"/>
      <c r="C118" s="15" t="s">
        <v>6259</v>
      </c>
      <c r="D118" s="18"/>
      <c r="E118" s="17" t="s">
        <v>1301</v>
      </c>
      <c r="F118" s="18"/>
      <c r="G118" s="18"/>
      <c r="H118" s="15" t="s">
        <v>1302</v>
      </c>
      <c r="I118" s="18"/>
      <c r="J118" s="19" t="s">
        <v>283</v>
      </c>
      <c r="K118" s="19" t="s">
        <v>105</v>
      </c>
      <c r="L118" s="19" t="s">
        <v>38</v>
      </c>
      <c r="M118" s="20">
        <f t="shared" si="2"/>
        <v>0</v>
      </c>
      <c r="N118" s="22"/>
      <c r="O118" s="19" t="s">
        <v>1145</v>
      </c>
      <c r="P118" s="18"/>
      <c r="Q118" s="18"/>
      <c r="R118" s="23">
        <v>0.0</v>
      </c>
      <c r="S118" s="23">
        <v>0.0</v>
      </c>
      <c r="T118" s="23">
        <f t="shared" si="3"/>
        <v>0</v>
      </c>
      <c r="U118" s="23">
        <f t="shared" si="4"/>
        <v>0</v>
      </c>
      <c r="V118" s="23">
        <f t="shared" si="5"/>
        <v>0</v>
      </c>
      <c r="W118" s="24" t="str">
        <f t="shared" si="6"/>
        <v>#DIV/0!</v>
      </c>
    </row>
    <row r="119">
      <c r="A119" s="15" t="s">
        <v>1303</v>
      </c>
      <c r="B119" s="18"/>
      <c r="C119" s="15" t="s">
        <v>6260</v>
      </c>
      <c r="D119" s="18"/>
      <c r="E119" s="17" t="s">
        <v>1304</v>
      </c>
      <c r="F119" s="18"/>
      <c r="G119" s="18"/>
      <c r="H119" s="15" t="s">
        <v>1305</v>
      </c>
      <c r="I119" s="18"/>
      <c r="J119" s="19" t="s">
        <v>283</v>
      </c>
      <c r="K119" s="19" t="s">
        <v>105</v>
      </c>
      <c r="L119" s="19" t="s">
        <v>38</v>
      </c>
      <c r="M119" s="20">
        <f t="shared" si="2"/>
        <v>0</v>
      </c>
      <c r="N119" s="22"/>
      <c r="O119" s="19" t="s">
        <v>1145</v>
      </c>
      <c r="P119" s="18"/>
      <c r="Q119" s="18"/>
      <c r="R119" s="23">
        <v>0.0</v>
      </c>
      <c r="S119" s="23">
        <v>0.0</v>
      </c>
      <c r="T119" s="23">
        <f t="shared" si="3"/>
        <v>0</v>
      </c>
      <c r="U119" s="23">
        <f t="shared" si="4"/>
        <v>0</v>
      </c>
      <c r="V119" s="23">
        <f t="shared" si="5"/>
        <v>0</v>
      </c>
      <c r="W119" s="24" t="str">
        <f t="shared" si="6"/>
        <v>#DIV/0!</v>
      </c>
    </row>
    <row r="120">
      <c r="A120" s="15" t="s">
        <v>1306</v>
      </c>
      <c r="B120" s="18"/>
      <c r="C120" s="15" t="s">
        <v>6261</v>
      </c>
      <c r="D120" s="18"/>
      <c r="E120" s="17" t="s">
        <v>1307</v>
      </c>
      <c r="F120" s="18"/>
      <c r="G120" s="18"/>
      <c r="H120" s="15" t="s">
        <v>1308</v>
      </c>
      <c r="I120" s="18"/>
      <c r="J120" s="19" t="s">
        <v>283</v>
      </c>
      <c r="K120" s="19" t="s">
        <v>284</v>
      </c>
      <c r="L120" s="19" t="s">
        <v>38</v>
      </c>
      <c r="M120" s="20">
        <f t="shared" si="2"/>
        <v>0</v>
      </c>
      <c r="N120" s="22"/>
      <c r="O120" s="19" t="s">
        <v>1145</v>
      </c>
      <c r="P120" s="18"/>
      <c r="Q120" s="18"/>
      <c r="R120" s="23">
        <v>0.0</v>
      </c>
      <c r="S120" s="23">
        <v>0.0</v>
      </c>
      <c r="T120" s="23">
        <f t="shared" si="3"/>
        <v>0</v>
      </c>
      <c r="U120" s="23">
        <f t="shared" si="4"/>
        <v>0</v>
      </c>
      <c r="V120" s="23">
        <f t="shared" si="5"/>
        <v>0</v>
      </c>
      <c r="W120" s="24" t="str">
        <f t="shared" si="6"/>
        <v>#DIV/0!</v>
      </c>
    </row>
    <row r="121">
      <c r="A121" s="15" t="s">
        <v>1309</v>
      </c>
      <c r="B121" s="18"/>
      <c r="C121" s="15" t="s">
        <v>6262</v>
      </c>
      <c r="D121" s="18"/>
      <c r="E121" s="17" t="s">
        <v>1310</v>
      </c>
      <c r="F121" s="18"/>
      <c r="G121" s="18"/>
      <c r="H121" s="15" t="s">
        <v>1311</v>
      </c>
      <c r="I121" s="18"/>
      <c r="J121" s="19" t="s">
        <v>283</v>
      </c>
      <c r="K121" s="19" t="s">
        <v>105</v>
      </c>
      <c r="L121" s="19" t="s">
        <v>38</v>
      </c>
      <c r="M121" s="20">
        <f t="shared" si="2"/>
        <v>0</v>
      </c>
      <c r="N121" s="22"/>
      <c r="O121" s="19" t="s">
        <v>1145</v>
      </c>
      <c r="P121" s="18"/>
      <c r="Q121" s="18"/>
      <c r="R121" s="23">
        <v>0.0</v>
      </c>
      <c r="S121" s="23">
        <v>0.0</v>
      </c>
      <c r="T121" s="23">
        <f t="shared" si="3"/>
        <v>0</v>
      </c>
      <c r="U121" s="23">
        <f t="shared" si="4"/>
        <v>0</v>
      </c>
      <c r="V121" s="23">
        <f t="shared" si="5"/>
        <v>0</v>
      </c>
      <c r="W121" s="24" t="str">
        <f t="shared" si="6"/>
        <v>#DIV/0!</v>
      </c>
    </row>
    <row r="122">
      <c r="A122" s="15" t="s">
        <v>1312</v>
      </c>
      <c r="B122" s="18"/>
      <c r="C122" s="15" t="s">
        <v>6263</v>
      </c>
      <c r="D122" s="18"/>
      <c r="E122" s="17" t="s">
        <v>1313</v>
      </c>
      <c r="F122" s="18"/>
      <c r="G122" s="18"/>
      <c r="H122" s="15" t="s">
        <v>1314</v>
      </c>
      <c r="I122" s="18"/>
      <c r="J122" s="19" t="s">
        <v>283</v>
      </c>
      <c r="K122" s="19" t="s">
        <v>284</v>
      </c>
      <c r="L122" s="19" t="s">
        <v>38</v>
      </c>
      <c r="M122" s="20">
        <f t="shared" si="2"/>
        <v>0</v>
      </c>
      <c r="N122" s="22"/>
      <c r="O122" s="19" t="s">
        <v>1145</v>
      </c>
      <c r="P122" s="18"/>
      <c r="Q122" s="18"/>
      <c r="R122" s="23">
        <v>0.0</v>
      </c>
      <c r="S122" s="23">
        <v>0.0</v>
      </c>
      <c r="T122" s="23">
        <f t="shared" si="3"/>
        <v>0</v>
      </c>
      <c r="U122" s="23">
        <f t="shared" si="4"/>
        <v>0</v>
      </c>
      <c r="V122" s="23">
        <f t="shared" si="5"/>
        <v>0</v>
      </c>
      <c r="W122" s="24" t="str">
        <f t="shared" si="6"/>
        <v>#DIV/0!</v>
      </c>
    </row>
    <row r="123">
      <c r="A123" s="15" t="s">
        <v>1315</v>
      </c>
      <c r="B123" s="18"/>
      <c r="C123" s="15" t="s">
        <v>6264</v>
      </c>
      <c r="D123" s="18"/>
      <c r="E123" s="17" t="s">
        <v>1316</v>
      </c>
      <c r="F123" s="18"/>
      <c r="G123" s="18"/>
      <c r="H123" s="15" t="s">
        <v>1317</v>
      </c>
      <c r="I123" s="18"/>
      <c r="J123" s="19" t="s">
        <v>283</v>
      </c>
      <c r="K123" s="19" t="s">
        <v>284</v>
      </c>
      <c r="L123" s="19" t="s">
        <v>38</v>
      </c>
      <c r="M123" s="20">
        <f t="shared" si="2"/>
        <v>0</v>
      </c>
      <c r="N123" s="22"/>
      <c r="O123" s="19" t="s">
        <v>1145</v>
      </c>
      <c r="P123" s="18"/>
      <c r="Q123" s="18"/>
      <c r="R123" s="23">
        <v>0.0</v>
      </c>
      <c r="S123" s="23">
        <v>0.0</v>
      </c>
      <c r="T123" s="23">
        <f t="shared" si="3"/>
        <v>0</v>
      </c>
      <c r="U123" s="23">
        <f t="shared" si="4"/>
        <v>0</v>
      </c>
      <c r="V123" s="23">
        <f t="shared" si="5"/>
        <v>0</v>
      </c>
      <c r="W123" s="24" t="str">
        <f t="shared" si="6"/>
        <v>#DIV/0!</v>
      </c>
    </row>
    <row r="124">
      <c r="A124" s="15" t="s">
        <v>1318</v>
      </c>
      <c r="B124" s="18"/>
      <c r="C124" s="15" t="s">
        <v>6265</v>
      </c>
      <c r="D124" s="18"/>
      <c r="E124" s="17" t="s">
        <v>1295</v>
      </c>
      <c r="F124" s="18"/>
      <c r="G124" s="18"/>
      <c r="H124" s="15" t="s">
        <v>1319</v>
      </c>
      <c r="I124" s="18"/>
      <c r="J124" s="19" t="s">
        <v>283</v>
      </c>
      <c r="K124" s="19" t="s">
        <v>284</v>
      </c>
      <c r="L124" s="19" t="s">
        <v>38</v>
      </c>
      <c r="M124" s="20">
        <f t="shared" si="2"/>
        <v>0</v>
      </c>
      <c r="N124" s="22"/>
      <c r="O124" s="19" t="s">
        <v>1145</v>
      </c>
      <c r="P124" s="18"/>
      <c r="Q124" s="18"/>
      <c r="R124" s="23">
        <v>0.0</v>
      </c>
      <c r="S124" s="23">
        <v>0.0</v>
      </c>
      <c r="T124" s="23">
        <f t="shared" si="3"/>
        <v>0</v>
      </c>
      <c r="U124" s="23">
        <f t="shared" si="4"/>
        <v>0</v>
      </c>
      <c r="V124" s="23">
        <f t="shared" si="5"/>
        <v>0</v>
      </c>
      <c r="W124" s="24" t="str">
        <f t="shared" si="6"/>
        <v>#DIV/0!</v>
      </c>
    </row>
    <row r="125">
      <c r="A125" s="15" t="s">
        <v>1320</v>
      </c>
      <c r="B125" s="18"/>
      <c r="C125" s="15" t="s">
        <v>6266</v>
      </c>
      <c r="D125" s="18"/>
      <c r="E125" s="17" t="s">
        <v>1289</v>
      </c>
      <c r="F125" s="18"/>
      <c r="G125" s="18"/>
      <c r="H125" s="15" t="s">
        <v>1321</v>
      </c>
      <c r="I125" s="18"/>
      <c r="J125" s="19" t="s">
        <v>283</v>
      </c>
      <c r="K125" s="19" t="s">
        <v>105</v>
      </c>
      <c r="L125" s="19" t="s">
        <v>38</v>
      </c>
      <c r="M125" s="20">
        <f t="shared" si="2"/>
        <v>0</v>
      </c>
      <c r="N125" s="22"/>
      <c r="O125" s="19" t="s">
        <v>1145</v>
      </c>
      <c r="P125" s="18"/>
      <c r="Q125" s="18"/>
      <c r="R125" s="23">
        <v>0.0</v>
      </c>
      <c r="S125" s="23">
        <v>0.0</v>
      </c>
      <c r="T125" s="23">
        <f t="shared" si="3"/>
        <v>0</v>
      </c>
      <c r="U125" s="23">
        <f t="shared" si="4"/>
        <v>0</v>
      </c>
      <c r="V125" s="23">
        <f t="shared" si="5"/>
        <v>0</v>
      </c>
      <c r="W125" s="24" t="str">
        <f t="shared" si="6"/>
        <v>#DIV/0!</v>
      </c>
    </row>
    <row r="126">
      <c r="A126" s="15" t="s">
        <v>1322</v>
      </c>
      <c r="B126" s="18"/>
      <c r="C126" s="15" t="s">
        <v>6267</v>
      </c>
      <c r="D126" s="18"/>
      <c r="E126" s="17" t="s">
        <v>1292</v>
      </c>
      <c r="F126" s="18"/>
      <c r="G126" s="18"/>
      <c r="H126" s="15" t="s">
        <v>1323</v>
      </c>
      <c r="I126" s="18"/>
      <c r="J126" s="19" t="s">
        <v>283</v>
      </c>
      <c r="K126" s="19" t="s">
        <v>105</v>
      </c>
      <c r="L126" s="19" t="s">
        <v>38</v>
      </c>
      <c r="M126" s="20">
        <f t="shared" si="2"/>
        <v>0</v>
      </c>
      <c r="N126" s="22"/>
      <c r="O126" s="19" t="s">
        <v>1145</v>
      </c>
      <c r="P126" s="18"/>
      <c r="Q126" s="18"/>
      <c r="R126" s="23">
        <v>0.0</v>
      </c>
      <c r="S126" s="23">
        <v>0.0</v>
      </c>
      <c r="T126" s="23">
        <f t="shared" si="3"/>
        <v>0</v>
      </c>
      <c r="U126" s="23">
        <f t="shared" si="4"/>
        <v>0</v>
      </c>
      <c r="V126" s="23">
        <f t="shared" si="5"/>
        <v>0</v>
      </c>
      <c r="W126" s="24" t="str">
        <f t="shared" si="6"/>
        <v>#DIV/0!</v>
      </c>
    </row>
    <row r="127">
      <c r="A127" s="15" t="s">
        <v>1324</v>
      </c>
      <c r="B127" s="18"/>
      <c r="C127" s="15" t="s">
        <v>6268</v>
      </c>
      <c r="D127" s="18"/>
      <c r="E127" s="17" t="s">
        <v>1298</v>
      </c>
      <c r="F127" s="18"/>
      <c r="G127" s="18"/>
      <c r="H127" s="15" t="s">
        <v>1325</v>
      </c>
      <c r="I127" s="18"/>
      <c r="J127" s="19" t="s">
        <v>283</v>
      </c>
      <c r="K127" s="19" t="s">
        <v>284</v>
      </c>
      <c r="L127" s="19" t="s">
        <v>38</v>
      </c>
      <c r="M127" s="20">
        <f t="shared" si="2"/>
        <v>0</v>
      </c>
      <c r="N127" s="22"/>
      <c r="O127" s="19" t="s">
        <v>1145</v>
      </c>
      <c r="P127" s="18"/>
      <c r="Q127" s="18"/>
      <c r="R127" s="23">
        <v>0.0</v>
      </c>
      <c r="S127" s="23">
        <v>0.0</v>
      </c>
      <c r="T127" s="23">
        <f t="shared" si="3"/>
        <v>0</v>
      </c>
      <c r="U127" s="23">
        <f t="shared" si="4"/>
        <v>0</v>
      </c>
      <c r="V127" s="23">
        <f t="shared" si="5"/>
        <v>0</v>
      </c>
      <c r="W127" s="24" t="str">
        <f t="shared" si="6"/>
        <v>#DIV/0!</v>
      </c>
    </row>
    <row r="128">
      <c r="A128" s="15" t="s">
        <v>6269</v>
      </c>
      <c r="B128" s="18"/>
      <c r="C128" s="15" t="s">
        <v>6270</v>
      </c>
      <c r="D128" s="18"/>
      <c r="E128" s="17" t="s">
        <v>1354</v>
      </c>
      <c r="F128" s="18"/>
      <c r="G128" s="18"/>
      <c r="H128" s="15" t="s">
        <v>3743</v>
      </c>
      <c r="I128" s="18"/>
      <c r="J128" s="19" t="s">
        <v>283</v>
      </c>
      <c r="K128" s="19" t="s">
        <v>37</v>
      </c>
      <c r="L128" s="19" t="s">
        <v>38</v>
      </c>
      <c r="M128" s="20">
        <f t="shared" si="2"/>
        <v>0</v>
      </c>
      <c r="N128" s="22"/>
      <c r="O128" s="19" t="s">
        <v>39</v>
      </c>
      <c r="P128" s="18"/>
      <c r="Q128" s="18"/>
      <c r="R128" s="23">
        <v>0.0</v>
      </c>
      <c r="S128" s="23">
        <v>0.0</v>
      </c>
      <c r="T128" s="23">
        <f t="shared" si="3"/>
        <v>0</v>
      </c>
      <c r="U128" s="23">
        <f t="shared" si="4"/>
        <v>0</v>
      </c>
      <c r="V128" s="23">
        <f t="shared" si="5"/>
        <v>0</v>
      </c>
      <c r="W128" s="24" t="str">
        <f t="shared" si="6"/>
        <v>#DIV/0!</v>
      </c>
    </row>
    <row r="129">
      <c r="A129" s="15" t="s">
        <v>3799</v>
      </c>
      <c r="B129" s="15" t="s">
        <v>3800</v>
      </c>
      <c r="C129" s="15" t="s">
        <v>6271</v>
      </c>
      <c r="D129" s="15" t="s">
        <v>3801</v>
      </c>
      <c r="E129" s="17" t="s">
        <v>3802</v>
      </c>
      <c r="F129" s="18"/>
      <c r="G129" s="18"/>
      <c r="H129" s="15" t="s">
        <v>3803</v>
      </c>
      <c r="I129" s="15" t="s">
        <v>3804</v>
      </c>
      <c r="J129" s="19" t="s">
        <v>283</v>
      </c>
      <c r="K129" s="19" t="s">
        <v>1269</v>
      </c>
      <c r="L129" s="19" t="s">
        <v>38</v>
      </c>
      <c r="M129" s="20">
        <f t="shared" si="2"/>
        <v>0</v>
      </c>
      <c r="N129" s="22"/>
      <c r="O129" s="19" t="s">
        <v>3578</v>
      </c>
      <c r="P129" s="18"/>
      <c r="Q129" s="18"/>
      <c r="R129" s="23">
        <v>0.0</v>
      </c>
      <c r="S129" s="23">
        <v>0.0</v>
      </c>
      <c r="T129" s="23">
        <f t="shared" si="3"/>
        <v>0</v>
      </c>
      <c r="U129" s="23">
        <f t="shared" si="4"/>
        <v>0</v>
      </c>
      <c r="V129" s="23">
        <f t="shared" si="5"/>
        <v>0</v>
      </c>
      <c r="W129" s="24" t="str">
        <f t="shared" si="6"/>
        <v>#DIV/0!</v>
      </c>
    </row>
    <row r="130">
      <c r="A130" s="15" t="s">
        <v>1326</v>
      </c>
      <c r="B130" s="18"/>
      <c r="C130" s="15" t="s">
        <v>6272</v>
      </c>
      <c r="D130" s="18"/>
      <c r="E130" s="17" t="s">
        <v>1327</v>
      </c>
      <c r="F130" s="18"/>
      <c r="G130" s="18"/>
      <c r="H130" s="15" t="s">
        <v>1328</v>
      </c>
      <c r="I130" s="18"/>
      <c r="J130" s="19" t="s">
        <v>283</v>
      </c>
      <c r="K130" s="19" t="s">
        <v>105</v>
      </c>
      <c r="L130" s="19" t="s">
        <v>38</v>
      </c>
      <c r="M130" s="20">
        <f t="shared" si="2"/>
        <v>0</v>
      </c>
      <c r="N130" s="22"/>
      <c r="O130" s="19" t="s">
        <v>1145</v>
      </c>
      <c r="P130" s="18"/>
      <c r="Q130" s="18"/>
      <c r="R130" s="23">
        <v>0.0</v>
      </c>
      <c r="S130" s="23">
        <v>0.0</v>
      </c>
      <c r="T130" s="23">
        <f t="shared" si="3"/>
        <v>0</v>
      </c>
      <c r="U130" s="23">
        <f t="shared" si="4"/>
        <v>0</v>
      </c>
      <c r="V130" s="23">
        <f t="shared" si="5"/>
        <v>0</v>
      </c>
      <c r="W130" s="24" t="str">
        <f t="shared" si="6"/>
        <v>#DIV/0!</v>
      </c>
    </row>
    <row r="131">
      <c r="A131" s="15" t="s">
        <v>1329</v>
      </c>
      <c r="B131" s="18"/>
      <c r="C131" s="15" t="s">
        <v>6273</v>
      </c>
      <c r="D131" s="18"/>
      <c r="E131" s="17" t="s">
        <v>1330</v>
      </c>
      <c r="F131" s="18"/>
      <c r="G131" s="18"/>
      <c r="H131" s="15" t="s">
        <v>1331</v>
      </c>
      <c r="I131" s="18"/>
      <c r="J131" s="19" t="s">
        <v>283</v>
      </c>
      <c r="K131" s="19" t="s">
        <v>37</v>
      </c>
      <c r="L131" s="19" t="s">
        <v>38</v>
      </c>
      <c r="M131" s="20">
        <f t="shared" si="2"/>
        <v>0</v>
      </c>
      <c r="N131" s="22"/>
      <c r="O131" s="19" t="s">
        <v>1145</v>
      </c>
      <c r="P131" s="18"/>
      <c r="Q131" s="18"/>
      <c r="R131" s="23">
        <v>0.0</v>
      </c>
      <c r="S131" s="23">
        <v>0.0</v>
      </c>
      <c r="T131" s="23">
        <f t="shared" si="3"/>
        <v>0</v>
      </c>
      <c r="U131" s="23">
        <f t="shared" si="4"/>
        <v>0</v>
      </c>
      <c r="V131" s="23">
        <f t="shared" si="5"/>
        <v>0</v>
      </c>
      <c r="W131" s="24" t="str">
        <f t="shared" si="6"/>
        <v>#DIV/0!</v>
      </c>
    </row>
    <row r="132">
      <c r="A132" s="15" t="s">
        <v>1332</v>
      </c>
      <c r="B132" s="18"/>
      <c r="C132" s="15" t="s">
        <v>6274</v>
      </c>
      <c r="D132" s="18"/>
      <c r="E132" s="17" t="s">
        <v>1333</v>
      </c>
      <c r="F132" s="18"/>
      <c r="G132" s="18"/>
      <c r="H132" s="15" t="s">
        <v>1334</v>
      </c>
      <c r="I132" s="18"/>
      <c r="J132" s="19" t="s">
        <v>283</v>
      </c>
      <c r="K132" s="19" t="s">
        <v>105</v>
      </c>
      <c r="L132" s="19" t="s">
        <v>38</v>
      </c>
      <c r="M132" s="20">
        <f t="shared" si="2"/>
        <v>0</v>
      </c>
      <c r="N132" s="22"/>
      <c r="O132" s="19" t="s">
        <v>1145</v>
      </c>
      <c r="P132" s="18"/>
      <c r="Q132" s="18"/>
      <c r="R132" s="23">
        <v>0.0</v>
      </c>
      <c r="S132" s="23">
        <v>0.0</v>
      </c>
      <c r="T132" s="23">
        <f t="shared" si="3"/>
        <v>0</v>
      </c>
      <c r="U132" s="23">
        <f t="shared" si="4"/>
        <v>0</v>
      </c>
      <c r="V132" s="23">
        <f t="shared" si="5"/>
        <v>0</v>
      </c>
      <c r="W132" s="24" t="str">
        <f t="shared" si="6"/>
        <v>#DIV/0!</v>
      </c>
    </row>
    <row r="133">
      <c r="A133" s="15" t="s">
        <v>1335</v>
      </c>
      <c r="B133" s="18"/>
      <c r="C133" s="15" t="s">
        <v>6275</v>
      </c>
      <c r="D133" s="18"/>
      <c r="E133" s="17" t="s">
        <v>1336</v>
      </c>
      <c r="F133" s="18"/>
      <c r="G133" s="18"/>
      <c r="H133" s="15" t="s">
        <v>1337</v>
      </c>
      <c r="I133" s="18"/>
      <c r="J133" s="19" t="s">
        <v>283</v>
      </c>
      <c r="K133" s="19" t="s">
        <v>105</v>
      </c>
      <c r="L133" s="19" t="s">
        <v>38</v>
      </c>
      <c r="M133" s="20">
        <f t="shared" si="2"/>
        <v>0</v>
      </c>
      <c r="N133" s="22"/>
      <c r="O133" s="19" t="s">
        <v>1145</v>
      </c>
      <c r="P133" s="18"/>
      <c r="Q133" s="18"/>
      <c r="R133" s="23">
        <v>0.0</v>
      </c>
      <c r="S133" s="23">
        <v>0.0</v>
      </c>
      <c r="T133" s="23">
        <f t="shared" si="3"/>
        <v>0</v>
      </c>
      <c r="U133" s="23">
        <f t="shared" si="4"/>
        <v>0</v>
      </c>
      <c r="V133" s="23">
        <f t="shared" si="5"/>
        <v>0</v>
      </c>
      <c r="W133" s="24" t="str">
        <f t="shared" si="6"/>
        <v>#DIV/0!</v>
      </c>
    </row>
    <row r="134">
      <c r="A134" s="15" t="s">
        <v>1338</v>
      </c>
      <c r="B134" s="18"/>
      <c r="C134" s="15" t="s">
        <v>6276</v>
      </c>
      <c r="D134" s="18"/>
      <c r="E134" s="17" t="s">
        <v>1339</v>
      </c>
      <c r="F134" s="18"/>
      <c r="G134" s="18"/>
      <c r="H134" s="15" t="s">
        <v>1340</v>
      </c>
      <c r="I134" s="18"/>
      <c r="J134" s="19" t="s">
        <v>283</v>
      </c>
      <c r="K134" s="19" t="s">
        <v>105</v>
      </c>
      <c r="L134" s="19" t="s">
        <v>38</v>
      </c>
      <c r="M134" s="20">
        <f t="shared" si="2"/>
        <v>0</v>
      </c>
      <c r="N134" s="22"/>
      <c r="O134" s="19" t="s">
        <v>1145</v>
      </c>
      <c r="P134" s="18"/>
      <c r="Q134" s="18"/>
      <c r="R134" s="23">
        <v>0.0</v>
      </c>
      <c r="S134" s="23">
        <v>0.0</v>
      </c>
      <c r="T134" s="23">
        <f t="shared" si="3"/>
        <v>0</v>
      </c>
      <c r="U134" s="23">
        <f t="shared" si="4"/>
        <v>0</v>
      </c>
      <c r="V134" s="23">
        <f t="shared" si="5"/>
        <v>0</v>
      </c>
      <c r="W134" s="24" t="str">
        <f t="shared" si="6"/>
        <v>#DIV/0!</v>
      </c>
    </row>
    <row r="135">
      <c r="A135" s="15" t="s">
        <v>1341</v>
      </c>
      <c r="B135" s="18"/>
      <c r="C135" s="15" t="s">
        <v>6277</v>
      </c>
      <c r="D135" s="18"/>
      <c r="E135" s="17" t="s">
        <v>1342</v>
      </c>
      <c r="F135" s="18"/>
      <c r="G135" s="18"/>
      <c r="H135" s="15" t="s">
        <v>1343</v>
      </c>
      <c r="I135" s="18"/>
      <c r="J135" s="19" t="s">
        <v>283</v>
      </c>
      <c r="K135" s="19" t="s">
        <v>284</v>
      </c>
      <c r="L135" s="19" t="s">
        <v>38</v>
      </c>
      <c r="M135" s="20">
        <f t="shared" si="2"/>
        <v>0</v>
      </c>
      <c r="N135" s="22"/>
      <c r="O135" s="19" t="s">
        <v>1145</v>
      </c>
      <c r="P135" s="18"/>
      <c r="Q135" s="18"/>
      <c r="R135" s="23">
        <v>0.0</v>
      </c>
      <c r="S135" s="23">
        <v>0.0</v>
      </c>
      <c r="T135" s="23">
        <f t="shared" si="3"/>
        <v>0</v>
      </c>
      <c r="U135" s="23">
        <f t="shared" si="4"/>
        <v>0</v>
      </c>
      <c r="V135" s="23">
        <f t="shared" si="5"/>
        <v>0</v>
      </c>
      <c r="W135" s="24" t="str">
        <f t="shared" si="6"/>
        <v>#DIV/0!</v>
      </c>
    </row>
    <row r="136">
      <c r="A136" s="15" t="s">
        <v>1344</v>
      </c>
      <c r="B136" s="18"/>
      <c r="C136" s="15" t="s">
        <v>6278</v>
      </c>
      <c r="D136" s="18"/>
      <c r="E136" s="17" t="s">
        <v>1342</v>
      </c>
      <c r="F136" s="18"/>
      <c r="G136" s="18"/>
      <c r="H136" s="15" t="s">
        <v>1345</v>
      </c>
      <c r="I136" s="18"/>
      <c r="J136" s="19" t="s">
        <v>283</v>
      </c>
      <c r="K136" s="19" t="s">
        <v>284</v>
      </c>
      <c r="L136" s="19" t="s">
        <v>38</v>
      </c>
      <c r="M136" s="20">
        <f t="shared" si="2"/>
        <v>0</v>
      </c>
      <c r="N136" s="22"/>
      <c r="O136" s="19" t="s">
        <v>1145</v>
      </c>
      <c r="P136" s="18"/>
      <c r="Q136" s="18"/>
      <c r="R136" s="23">
        <v>0.0</v>
      </c>
      <c r="S136" s="23">
        <v>0.0</v>
      </c>
      <c r="T136" s="23">
        <f t="shared" si="3"/>
        <v>0</v>
      </c>
      <c r="U136" s="23">
        <f t="shared" si="4"/>
        <v>0</v>
      </c>
      <c r="V136" s="23">
        <f t="shared" si="5"/>
        <v>0</v>
      </c>
      <c r="W136" s="24" t="str">
        <f t="shared" si="6"/>
        <v>#DIV/0!</v>
      </c>
    </row>
    <row r="137">
      <c r="A137" s="15" t="s">
        <v>1346</v>
      </c>
      <c r="B137" s="18"/>
      <c r="C137" s="15" t="s">
        <v>6279</v>
      </c>
      <c r="D137" s="18"/>
      <c r="E137" s="17" t="s">
        <v>1280</v>
      </c>
      <c r="F137" s="18"/>
      <c r="G137" s="18"/>
      <c r="H137" s="15" t="s">
        <v>1347</v>
      </c>
      <c r="I137" s="18"/>
      <c r="J137" s="19" t="s">
        <v>283</v>
      </c>
      <c r="K137" s="19" t="s">
        <v>37</v>
      </c>
      <c r="L137" s="19" t="s">
        <v>38</v>
      </c>
      <c r="M137" s="20">
        <f t="shared" si="2"/>
        <v>0</v>
      </c>
      <c r="N137" s="22"/>
      <c r="O137" s="19" t="s">
        <v>1145</v>
      </c>
      <c r="P137" s="18"/>
      <c r="Q137" s="18"/>
      <c r="R137" s="23">
        <v>0.0</v>
      </c>
      <c r="S137" s="23">
        <v>0.0</v>
      </c>
      <c r="T137" s="23">
        <f t="shared" si="3"/>
        <v>0</v>
      </c>
      <c r="U137" s="23">
        <f t="shared" si="4"/>
        <v>0</v>
      </c>
      <c r="V137" s="23">
        <f t="shared" si="5"/>
        <v>0</v>
      </c>
      <c r="W137" s="24" t="str">
        <f t="shared" si="6"/>
        <v>#DIV/0!</v>
      </c>
    </row>
    <row r="138">
      <c r="A138" s="15" t="s">
        <v>3805</v>
      </c>
      <c r="B138" s="15" t="s">
        <v>3806</v>
      </c>
      <c r="C138" s="15" t="s">
        <v>6280</v>
      </c>
      <c r="D138" s="15" t="s">
        <v>3807</v>
      </c>
      <c r="E138" s="17" t="s">
        <v>3796</v>
      </c>
      <c r="F138" s="18"/>
      <c r="G138" s="18"/>
      <c r="H138" s="15" t="s">
        <v>3808</v>
      </c>
      <c r="I138" s="15" t="s">
        <v>3809</v>
      </c>
      <c r="J138" s="19" t="s">
        <v>283</v>
      </c>
      <c r="K138" s="19" t="s">
        <v>284</v>
      </c>
      <c r="L138" s="19" t="s">
        <v>368</v>
      </c>
      <c r="M138" s="20">
        <f t="shared" si="2"/>
        <v>0</v>
      </c>
      <c r="N138" s="22"/>
      <c r="O138" s="19" t="s">
        <v>3578</v>
      </c>
      <c r="P138" s="18"/>
      <c r="Q138" s="18"/>
      <c r="R138" s="23">
        <v>0.0</v>
      </c>
      <c r="S138" s="23">
        <v>0.0</v>
      </c>
      <c r="T138" s="23">
        <f t="shared" si="3"/>
        <v>0</v>
      </c>
      <c r="U138" s="23">
        <f t="shared" si="4"/>
        <v>0</v>
      </c>
      <c r="V138" s="23">
        <f t="shared" si="5"/>
        <v>0</v>
      </c>
      <c r="W138" s="24" t="str">
        <f t="shared" si="6"/>
        <v>#DIV/0!</v>
      </c>
    </row>
    <row r="139">
      <c r="A139" s="15" t="s">
        <v>6281</v>
      </c>
      <c r="B139" s="18"/>
      <c r="C139" s="15" t="s">
        <v>6282</v>
      </c>
      <c r="D139" s="18"/>
      <c r="E139" s="17" t="s">
        <v>6283</v>
      </c>
      <c r="F139" s="18"/>
      <c r="G139" s="18"/>
      <c r="H139" s="15" t="s">
        <v>3737</v>
      </c>
      <c r="I139" s="18"/>
      <c r="J139" s="19" t="s">
        <v>283</v>
      </c>
      <c r="K139" s="19" t="s">
        <v>284</v>
      </c>
      <c r="L139" s="19" t="s">
        <v>38</v>
      </c>
      <c r="M139" s="20">
        <f t="shared" si="2"/>
        <v>0</v>
      </c>
      <c r="N139" s="22"/>
      <c r="O139" s="19" t="s">
        <v>39</v>
      </c>
      <c r="P139" s="18"/>
      <c r="Q139" s="18"/>
      <c r="R139" s="23">
        <v>0.0</v>
      </c>
      <c r="S139" s="23">
        <v>0.0</v>
      </c>
      <c r="T139" s="23">
        <f t="shared" si="3"/>
        <v>0</v>
      </c>
      <c r="U139" s="23">
        <f t="shared" si="4"/>
        <v>0</v>
      </c>
      <c r="V139" s="23">
        <f t="shared" si="5"/>
        <v>0</v>
      </c>
      <c r="W139" s="24" t="str">
        <f t="shared" si="6"/>
        <v>#DIV/0!</v>
      </c>
    </row>
    <row r="140">
      <c r="A140" s="15" t="s">
        <v>1348</v>
      </c>
      <c r="B140" s="18"/>
      <c r="C140" s="15" t="s">
        <v>6284</v>
      </c>
      <c r="D140" s="18"/>
      <c r="E140" s="17" t="s">
        <v>1280</v>
      </c>
      <c r="F140" s="18"/>
      <c r="G140" s="18"/>
      <c r="H140" s="15" t="s">
        <v>1349</v>
      </c>
      <c r="I140" s="18"/>
      <c r="J140" s="19" t="s">
        <v>283</v>
      </c>
      <c r="K140" s="19" t="s">
        <v>37</v>
      </c>
      <c r="L140" s="19" t="s">
        <v>38</v>
      </c>
      <c r="M140" s="20">
        <f t="shared" si="2"/>
        <v>0</v>
      </c>
      <c r="N140" s="22"/>
      <c r="O140" s="19" t="s">
        <v>1145</v>
      </c>
      <c r="P140" s="18"/>
      <c r="Q140" s="18"/>
      <c r="R140" s="23">
        <v>0.0</v>
      </c>
      <c r="S140" s="23">
        <v>0.0</v>
      </c>
      <c r="T140" s="23">
        <f t="shared" si="3"/>
        <v>0</v>
      </c>
      <c r="U140" s="23">
        <f t="shared" si="4"/>
        <v>0</v>
      </c>
      <c r="V140" s="23">
        <f t="shared" si="5"/>
        <v>0</v>
      </c>
      <c r="W140" s="24" t="str">
        <f t="shared" si="6"/>
        <v>#DIV/0!</v>
      </c>
    </row>
    <row r="141">
      <c r="A141" s="15" t="s">
        <v>1350</v>
      </c>
      <c r="B141" s="18"/>
      <c r="C141" s="15" t="s">
        <v>6285</v>
      </c>
      <c r="D141" s="18"/>
      <c r="E141" s="17" t="s">
        <v>1351</v>
      </c>
      <c r="F141" s="18"/>
      <c r="G141" s="18"/>
      <c r="H141" s="15" t="s">
        <v>1352</v>
      </c>
      <c r="I141" s="18"/>
      <c r="J141" s="19" t="s">
        <v>283</v>
      </c>
      <c r="K141" s="19" t="s">
        <v>37</v>
      </c>
      <c r="L141" s="19" t="s">
        <v>38</v>
      </c>
      <c r="M141" s="20">
        <f t="shared" si="2"/>
        <v>0</v>
      </c>
      <c r="N141" s="22"/>
      <c r="O141" s="19" t="s">
        <v>1145</v>
      </c>
      <c r="P141" s="18"/>
      <c r="Q141" s="18"/>
      <c r="R141" s="23">
        <v>0.0</v>
      </c>
      <c r="S141" s="23">
        <v>0.0</v>
      </c>
      <c r="T141" s="23">
        <f t="shared" si="3"/>
        <v>0</v>
      </c>
      <c r="U141" s="23">
        <f t="shared" si="4"/>
        <v>0</v>
      </c>
      <c r="V141" s="23">
        <f t="shared" si="5"/>
        <v>0</v>
      </c>
      <c r="W141" s="24" t="str">
        <f t="shared" si="6"/>
        <v>#DIV/0!</v>
      </c>
    </row>
    <row r="142">
      <c r="A142" s="15" t="s">
        <v>1353</v>
      </c>
      <c r="B142" s="18"/>
      <c r="C142" s="15" t="s">
        <v>6286</v>
      </c>
      <c r="D142" s="18"/>
      <c r="E142" s="17" t="s">
        <v>1354</v>
      </c>
      <c r="F142" s="18"/>
      <c r="G142" s="18"/>
      <c r="H142" s="15" t="s">
        <v>1355</v>
      </c>
      <c r="I142" s="18"/>
      <c r="J142" s="19" t="s">
        <v>283</v>
      </c>
      <c r="K142" s="19" t="s">
        <v>37</v>
      </c>
      <c r="L142" s="19" t="s">
        <v>38</v>
      </c>
      <c r="M142" s="20">
        <f t="shared" si="2"/>
        <v>0</v>
      </c>
      <c r="N142" s="22"/>
      <c r="O142" s="19" t="s">
        <v>1145</v>
      </c>
      <c r="P142" s="18"/>
      <c r="Q142" s="18"/>
      <c r="R142" s="23">
        <v>0.0</v>
      </c>
      <c r="S142" s="23">
        <v>0.0</v>
      </c>
      <c r="T142" s="23">
        <f t="shared" si="3"/>
        <v>0</v>
      </c>
      <c r="U142" s="23">
        <f t="shared" si="4"/>
        <v>0</v>
      </c>
      <c r="V142" s="23">
        <f t="shared" si="5"/>
        <v>0</v>
      </c>
      <c r="W142" s="24" t="str">
        <f t="shared" si="6"/>
        <v>#DIV/0!</v>
      </c>
    </row>
    <row r="143">
      <c r="A143" s="15" t="s">
        <v>3810</v>
      </c>
      <c r="B143" s="15" t="s">
        <v>3811</v>
      </c>
      <c r="C143" s="15" t="s">
        <v>6287</v>
      </c>
      <c r="D143" s="15" t="s">
        <v>3812</v>
      </c>
      <c r="E143" s="17" t="s">
        <v>3813</v>
      </c>
      <c r="F143" s="18"/>
      <c r="G143" s="18"/>
      <c r="H143" s="15" t="s">
        <v>3142</v>
      </c>
      <c r="I143" s="18"/>
      <c r="J143" s="19" t="s">
        <v>283</v>
      </c>
      <c r="K143" s="19" t="s">
        <v>402</v>
      </c>
      <c r="L143" s="19" t="s">
        <v>38</v>
      </c>
      <c r="M143" s="20">
        <f t="shared" si="2"/>
        <v>0</v>
      </c>
      <c r="N143" s="22"/>
      <c r="O143" s="19" t="s">
        <v>3578</v>
      </c>
      <c r="P143" s="18"/>
      <c r="Q143" s="18"/>
      <c r="R143" s="23">
        <v>0.0</v>
      </c>
      <c r="S143" s="23">
        <v>0.0</v>
      </c>
      <c r="T143" s="23">
        <f t="shared" si="3"/>
        <v>0</v>
      </c>
      <c r="U143" s="23">
        <f t="shared" si="4"/>
        <v>0</v>
      </c>
      <c r="V143" s="23">
        <f t="shared" si="5"/>
        <v>0</v>
      </c>
      <c r="W143" s="24" t="str">
        <f t="shared" si="6"/>
        <v>#DIV/0!</v>
      </c>
    </row>
    <row r="144">
      <c r="A144" s="15" t="s">
        <v>6288</v>
      </c>
      <c r="B144" s="18"/>
      <c r="C144" s="15" t="s">
        <v>6289</v>
      </c>
      <c r="D144" s="15" t="s">
        <v>8184</v>
      </c>
      <c r="E144" s="17" t="s">
        <v>4949</v>
      </c>
      <c r="F144" s="18"/>
      <c r="G144" s="18"/>
      <c r="H144" s="15"/>
      <c r="I144" s="18"/>
      <c r="J144" s="19" t="s">
        <v>283</v>
      </c>
      <c r="K144" s="19" t="s">
        <v>60</v>
      </c>
      <c r="L144" s="19" t="s">
        <v>38</v>
      </c>
      <c r="M144" s="20">
        <f t="shared" si="2"/>
        <v>0</v>
      </c>
      <c r="N144" s="22"/>
      <c r="O144" s="19" t="s">
        <v>39</v>
      </c>
      <c r="P144" s="18"/>
      <c r="Q144" s="18"/>
      <c r="R144" s="23">
        <v>0.0</v>
      </c>
      <c r="S144" s="23">
        <v>0.0</v>
      </c>
      <c r="T144" s="23">
        <f t="shared" si="3"/>
        <v>0</v>
      </c>
      <c r="U144" s="23">
        <f t="shared" si="4"/>
        <v>0</v>
      </c>
      <c r="V144" s="23">
        <f t="shared" si="5"/>
        <v>0</v>
      </c>
      <c r="W144" s="24" t="str">
        <f t="shared" si="6"/>
        <v>#DIV/0!</v>
      </c>
    </row>
    <row r="145">
      <c r="A145" s="15" t="s">
        <v>3814</v>
      </c>
      <c r="B145" s="15" t="s">
        <v>3815</v>
      </c>
      <c r="C145" s="15" t="s">
        <v>6291</v>
      </c>
      <c r="D145" s="15" t="s">
        <v>3816</v>
      </c>
      <c r="E145" s="17" t="s">
        <v>3817</v>
      </c>
      <c r="F145" s="18"/>
      <c r="G145" s="18"/>
      <c r="H145" s="15" t="s">
        <v>3818</v>
      </c>
      <c r="I145" s="18"/>
      <c r="J145" s="19" t="s">
        <v>283</v>
      </c>
      <c r="K145" s="19" t="s">
        <v>60</v>
      </c>
      <c r="L145" s="19" t="s">
        <v>38</v>
      </c>
      <c r="M145" s="20">
        <f t="shared" si="2"/>
        <v>0</v>
      </c>
      <c r="N145" s="22"/>
      <c r="O145" s="19" t="s">
        <v>3578</v>
      </c>
      <c r="P145" s="18"/>
      <c r="Q145" s="18"/>
      <c r="R145" s="23">
        <v>0.0</v>
      </c>
      <c r="S145" s="23">
        <v>0.0</v>
      </c>
      <c r="T145" s="23">
        <f t="shared" si="3"/>
        <v>0</v>
      </c>
      <c r="U145" s="23">
        <f t="shared" si="4"/>
        <v>0</v>
      </c>
      <c r="V145" s="23">
        <f t="shared" si="5"/>
        <v>0</v>
      </c>
      <c r="W145" s="24" t="str">
        <f t="shared" si="6"/>
        <v>#DIV/0!</v>
      </c>
    </row>
    <row r="146">
      <c r="A146" s="15" t="s">
        <v>3819</v>
      </c>
      <c r="B146" s="15" t="s">
        <v>3820</v>
      </c>
      <c r="C146" s="15" t="s">
        <v>6293</v>
      </c>
      <c r="D146" s="41" t="s">
        <v>3821</v>
      </c>
      <c r="E146" s="17" t="s">
        <v>3822</v>
      </c>
      <c r="F146" s="18"/>
      <c r="G146" s="18"/>
      <c r="H146" s="15" t="s">
        <v>3823</v>
      </c>
      <c r="I146" s="18"/>
      <c r="J146" s="19" t="s">
        <v>283</v>
      </c>
      <c r="K146" s="19" t="s">
        <v>60</v>
      </c>
      <c r="L146" s="19" t="s">
        <v>38</v>
      </c>
      <c r="M146" s="20">
        <f t="shared" si="2"/>
        <v>0</v>
      </c>
      <c r="N146" s="22"/>
      <c r="O146" s="19" t="s">
        <v>3578</v>
      </c>
      <c r="P146" s="18"/>
      <c r="Q146" s="18"/>
      <c r="R146" s="23">
        <v>0.0</v>
      </c>
      <c r="S146" s="23">
        <v>0.0</v>
      </c>
      <c r="T146" s="23">
        <f t="shared" si="3"/>
        <v>0</v>
      </c>
      <c r="U146" s="23">
        <f t="shared" si="4"/>
        <v>0</v>
      </c>
      <c r="V146" s="23">
        <f t="shared" si="5"/>
        <v>0</v>
      </c>
      <c r="W146" s="24" t="str">
        <f t="shared" si="6"/>
        <v>#DIV/0!</v>
      </c>
    </row>
    <row r="147">
      <c r="A147" s="15" t="s">
        <v>3824</v>
      </c>
      <c r="B147" s="15" t="s">
        <v>3825</v>
      </c>
      <c r="C147" s="15" t="s">
        <v>6294</v>
      </c>
      <c r="D147" s="15" t="s">
        <v>3826</v>
      </c>
      <c r="E147" s="17" t="s">
        <v>3827</v>
      </c>
      <c r="F147" s="18"/>
      <c r="G147" s="18"/>
      <c r="H147" s="15" t="s">
        <v>3828</v>
      </c>
      <c r="I147" s="18"/>
      <c r="J147" s="19" t="s">
        <v>283</v>
      </c>
      <c r="K147" s="19" t="s">
        <v>60</v>
      </c>
      <c r="L147" s="19" t="s">
        <v>38</v>
      </c>
      <c r="M147" s="20">
        <f t="shared" si="2"/>
        <v>0</v>
      </c>
      <c r="N147" s="22"/>
      <c r="O147" s="19" t="s">
        <v>3578</v>
      </c>
      <c r="P147" s="18"/>
      <c r="Q147" s="18"/>
      <c r="R147" s="23">
        <v>0.0</v>
      </c>
      <c r="S147" s="23">
        <v>0.0</v>
      </c>
      <c r="T147" s="23">
        <f t="shared" si="3"/>
        <v>0</v>
      </c>
      <c r="U147" s="23">
        <f t="shared" si="4"/>
        <v>0</v>
      </c>
      <c r="V147" s="23">
        <f t="shared" si="5"/>
        <v>0</v>
      </c>
      <c r="W147" s="24" t="str">
        <f t="shared" si="6"/>
        <v>#DIV/0!</v>
      </c>
    </row>
    <row r="148">
      <c r="A148" s="15" t="s">
        <v>3829</v>
      </c>
      <c r="B148" s="15" t="s">
        <v>3830</v>
      </c>
      <c r="C148" s="15" t="s">
        <v>6295</v>
      </c>
      <c r="D148" s="15" t="s">
        <v>3831</v>
      </c>
      <c r="E148" s="17" t="s">
        <v>3832</v>
      </c>
      <c r="F148" s="18"/>
      <c r="G148" s="18"/>
      <c r="H148" s="15" t="s">
        <v>3833</v>
      </c>
      <c r="I148" s="18"/>
      <c r="J148" s="19" t="s">
        <v>283</v>
      </c>
      <c r="K148" s="19" t="s">
        <v>402</v>
      </c>
      <c r="L148" s="19" t="s">
        <v>38</v>
      </c>
      <c r="M148" s="20">
        <f t="shared" si="2"/>
        <v>0</v>
      </c>
      <c r="N148" s="22"/>
      <c r="O148" s="19" t="s">
        <v>3578</v>
      </c>
      <c r="P148" s="18"/>
      <c r="Q148" s="18"/>
      <c r="R148" s="23">
        <v>0.0</v>
      </c>
      <c r="S148" s="23">
        <v>0.0</v>
      </c>
      <c r="T148" s="23">
        <f t="shared" si="3"/>
        <v>0</v>
      </c>
      <c r="U148" s="23">
        <f t="shared" si="4"/>
        <v>0</v>
      </c>
      <c r="V148" s="23">
        <f t="shared" si="5"/>
        <v>0</v>
      </c>
      <c r="W148" s="24" t="str">
        <f t="shared" si="6"/>
        <v>#DIV/0!</v>
      </c>
    </row>
    <row r="149">
      <c r="A149" s="15" t="s">
        <v>3834</v>
      </c>
      <c r="B149" s="15" t="s">
        <v>3835</v>
      </c>
      <c r="C149" s="15" t="s">
        <v>6296</v>
      </c>
      <c r="D149" s="15" t="s">
        <v>3836</v>
      </c>
      <c r="E149" s="17" t="s">
        <v>3837</v>
      </c>
      <c r="F149" s="18"/>
      <c r="G149" s="18"/>
      <c r="H149" s="15" t="s">
        <v>3838</v>
      </c>
      <c r="I149" s="18"/>
      <c r="J149" s="19" t="s">
        <v>59</v>
      </c>
      <c r="K149" s="19" t="s">
        <v>60</v>
      </c>
      <c r="L149" s="19" t="s">
        <v>52</v>
      </c>
      <c r="M149" s="20">
        <f t="shared" si="2"/>
        <v>0</v>
      </c>
      <c r="N149" s="22"/>
      <c r="O149" s="19" t="s">
        <v>3578</v>
      </c>
      <c r="P149" s="18"/>
      <c r="Q149" s="18"/>
      <c r="R149" s="23">
        <v>0.0</v>
      </c>
      <c r="S149" s="23">
        <v>0.0</v>
      </c>
      <c r="T149" s="23">
        <f t="shared" si="3"/>
        <v>0</v>
      </c>
      <c r="U149" s="23">
        <f t="shared" si="4"/>
        <v>0</v>
      </c>
      <c r="V149" s="23">
        <f t="shared" si="5"/>
        <v>0</v>
      </c>
      <c r="W149" s="24" t="str">
        <f t="shared" si="6"/>
        <v>#DIV/0!</v>
      </c>
    </row>
    <row r="150">
      <c r="A150" s="15" t="s">
        <v>3839</v>
      </c>
      <c r="B150" s="15" t="s">
        <v>3840</v>
      </c>
      <c r="C150" s="15" t="s">
        <v>6297</v>
      </c>
      <c r="D150" s="15" t="s">
        <v>3841</v>
      </c>
      <c r="E150" s="17" t="s">
        <v>3842</v>
      </c>
      <c r="F150" s="18"/>
      <c r="G150" s="18"/>
      <c r="H150" s="15" t="s">
        <v>3843</v>
      </c>
      <c r="I150" s="15" t="s">
        <v>3844</v>
      </c>
      <c r="J150" s="19" t="s">
        <v>59</v>
      </c>
      <c r="K150" s="19" t="s">
        <v>402</v>
      </c>
      <c r="L150" s="19" t="s">
        <v>52</v>
      </c>
      <c r="M150" s="20">
        <f t="shared" si="2"/>
        <v>0</v>
      </c>
      <c r="N150" s="22"/>
      <c r="O150" s="19" t="s">
        <v>3578</v>
      </c>
      <c r="P150" s="18"/>
      <c r="Q150" s="18"/>
      <c r="R150" s="23">
        <v>0.0</v>
      </c>
      <c r="S150" s="23">
        <v>0.0</v>
      </c>
      <c r="T150" s="23">
        <f t="shared" si="3"/>
        <v>0</v>
      </c>
      <c r="U150" s="23">
        <f t="shared" si="4"/>
        <v>0</v>
      </c>
      <c r="V150" s="23">
        <f t="shared" si="5"/>
        <v>0</v>
      </c>
      <c r="W150" s="24" t="str">
        <f t="shared" si="6"/>
        <v>#DIV/0!</v>
      </c>
    </row>
    <row r="151">
      <c r="A151" s="15" t="s">
        <v>3845</v>
      </c>
      <c r="B151" s="15" t="s">
        <v>3846</v>
      </c>
      <c r="C151" s="15" t="s">
        <v>6298</v>
      </c>
      <c r="D151" s="15" t="s">
        <v>3847</v>
      </c>
      <c r="E151" s="17" t="s">
        <v>3848</v>
      </c>
      <c r="F151" s="18"/>
      <c r="G151" s="18"/>
      <c r="H151" s="15" t="s">
        <v>3849</v>
      </c>
      <c r="I151" s="18"/>
      <c r="J151" s="19" t="s">
        <v>59</v>
      </c>
      <c r="K151" s="19" t="s">
        <v>52</v>
      </c>
      <c r="L151" s="19" t="s">
        <v>52</v>
      </c>
      <c r="M151" s="20">
        <f t="shared" si="2"/>
        <v>0</v>
      </c>
      <c r="N151" s="22"/>
      <c r="O151" s="19" t="s">
        <v>3578</v>
      </c>
      <c r="P151" s="18"/>
      <c r="Q151" s="18"/>
      <c r="R151" s="23">
        <v>0.0</v>
      </c>
      <c r="S151" s="23">
        <v>0.0</v>
      </c>
      <c r="T151" s="23">
        <f t="shared" si="3"/>
        <v>0</v>
      </c>
      <c r="U151" s="23">
        <f t="shared" si="4"/>
        <v>0</v>
      </c>
      <c r="V151" s="23">
        <f t="shared" si="5"/>
        <v>0</v>
      </c>
      <c r="W151" s="24" t="str">
        <f t="shared" si="6"/>
        <v>#DIV/0!</v>
      </c>
    </row>
    <row r="152">
      <c r="A152" s="15" t="s">
        <v>3850</v>
      </c>
      <c r="B152" s="15" t="s">
        <v>3851</v>
      </c>
      <c r="C152" s="15" t="s">
        <v>6299</v>
      </c>
      <c r="D152" s="15" t="s">
        <v>3852</v>
      </c>
      <c r="E152" s="17" t="s">
        <v>3853</v>
      </c>
      <c r="F152" s="18"/>
      <c r="G152" s="18"/>
      <c r="H152" s="15" t="s">
        <v>3854</v>
      </c>
      <c r="I152" s="18"/>
      <c r="J152" s="19" t="s">
        <v>283</v>
      </c>
      <c r="K152" s="19" t="s">
        <v>52</v>
      </c>
      <c r="L152" s="19" t="s">
        <v>177</v>
      </c>
      <c r="M152" s="20">
        <f t="shared" si="2"/>
        <v>0</v>
      </c>
      <c r="N152" s="22"/>
      <c r="O152" s="19" t="s">
        <v>3578</v>
      </c>
      <c r="P152" s="18"/>
      <c r="Q152" s="18"/>
      <c r="R152" s="23">
        <v>0.0</v>
      </c>
      <c r="S152" s="23">
        <v>0.0</v>
      </c>
      <c r="T152" s="23">
        <f t="shared" si="3"/>
        <v>0</v>
      </c>
      <c r="U152" s="23">
        <f t="shared" si="4"/>
        <v>0</v>
      </c>
      <c r="V152" s="23">
        <f t="shared" si="5"/>
        <v>0</v>
      </c>
      <c r="W152" s="24" t="str">
        <f t="shared" si="6"/>
        <v>#DIV/0!</v>
      </c>
    </row>
    <row r="153">
      <c r="A153" s="15" t="s">
        <v>3855</v>
      </c>
      <c r="B153" s="15" t="s">
        <v>3856</v>
      </c>
      <c r="C153" s="15" t="s">
        <v>6300</v>
      </c>
      <c r="D153" s="15" t="s">
        <v>3857</v>
      </c>
      <c r="E153" s="17" t="s">
        <v>3858</v>
      </c>
      <c r="F153" s="18"/>
      <c r="G153" s="18"/>
      <c r="H153" s="15" t="s">
        <v>3859</v>
      </c>
      <c r="I153" s="18"/>
      <c r="J153" s="19" t="s">
        <v>59</v>
      </c>
      <c r="K153" s="19" t="s">
        <v>402</v>
      </c>
      <c r="L153" s="19" t="s">
        <v>38</v>
      </c>
      <c r="M153" s="20">
        <f t="shared" si="2"/>
        <v>0</v>
      </c>
      <c r="N153" s="22"/>
      <c r="O153" s="19" t="s">
        <v>3578</v>
      </c>
      <c r="P153" s="18"/>
      <c r="Q153" s="18"/>
      <c r="R153" s="23">
        <v>0.0</v>
      </c>
      <c r="S153" s="23">
        <v>0.0</v>
      </c>
      <c r="T153" s="23">
        <f t="shared" si="3"/>
        <v>0</v>
      </c>
      <c r="U153" s="23">
        <f t="shared" si="4"/>
        <v>0</v>
      </c>
      <c r="V153" s="23">
        <f t="shared" si="5"/>
        <v>0</v>
      </c>
      <c r="W153" s="24" t="str">
        <f t="shared" si="6"/>
        <v>#DIV/0!</v>
      </c>
    </row>
    <row r="154">
      <c r="A154" s="15" t="s">
        <v>3860</v>
      </c>
      <c r="B154" s="15" t="s">
        <v>3861</v>
      </c>
      <c r="C154" s="15" t="s">
        <v>6301</v>
      </c>
      <c r="D154" s="15" t="s">
        <v>3862</v>
      </c>
      <c r="E154" s="17" t="s">
        <v>3863</v>
      </c>
      <c r="F154" s="18"/>
      <c r="G154" s="18"/>
      <c r="H154" s="15" t="s">
        <v>3864</v>
      </c>
      <c r="I154" s="18"/>
      <c r="J154" s="19" t="s">
        <v>59</v>
      </c>
      <c r="K154" s="19" t="s">
        <v>52</v>
      </c>
      <c r="L154" s="19" t="s">
        <v>177</v>
      </c>
      <c r="M154" s="20">
        <f t="shared" si="2"/>
        <v>0</v>
      </c>
      <c r="N154" s="22"/>
      <c r="O154" s="19" t="s">
        <v>3578</v>
      </c>
      <c r="P154" s="18"/>
      <c r="Q154" s="18"/>
      <c r="R154" s="23">
        <v>0.0</v>
      </c>
      <c r="S154" s="23">
        <v>0.0</v>
      </c>
      <c r="T154" s="23">
        <f t="shared" si="3"/>
        <v>0</v>
      </c>
      <c r="U154" s="23">
        <f t="shared" si="4"/>
        <v>0</v>
      </c>
      <c r="V154" s="23">
        <f t="shared" si="5"/>
        <v>0</v>
      </c>
      <c r="W154" s="24" t="str">
        <f t="shared" si="6"/>
        <v>#DIV/0!</v>
      </c>
    </row>
    <row r="155">
      <c r="A155" s="15" t="s">
        <v>3865</v>
      </c>
      <c r="B155" s="15" t="s">
        <v>3866</v>
      </c>
      <c r="C155" s="15" t="s">
        <v>6302</v>
      </c>
      <c r="D155" s="15" t="s">
        <v>3867</v>
      </c>
      <c r="E155" s="17" t="s">
        <v>3868</v>
      </c>
      <c r="F155" s="18"/>
      <c r="G155" s="18"/>
      <c r="H155" s="15" t="s">
        <v>3869</v>
      </c>
      <c r="I155" s="18"/>
      <c r="J155" s="19" t="s">
        <v>59</v>
      </c>
      <c r="K155" s="19" t="s">
        <v>52</v>
      </c>
      <c r="L155" s="19" t="s">
        <v>52</v>
      </c>
      <c r="M155" s="20">
        <f t="shared" si="2"/>
        <v>0</v>
      </c>
      <c r="N155" s="22"/>
      <c r="O155" s="19" t="s">
        <v>3578</v>
      </c>
      <c r="P155" s="18"/>
      <c r="Q155" s="18"/>
      <c r="R155" s="23">
        <v>0.0</v>
      </c>
      <c r="S155" s="23">
        <v>0.0</v>
      </c>
      <c r="T155" s="23">
        <f t="shared" si="3"/>
        <v>0</v>
      </c>
      <c r="U155" s="23">
        <f t="shared" si="4"/>
        <v>0</v>
      </c>
      <c r="V155" s="23">
        <f t="shared" si="5"/>
        <v>0</v>
      </c>
      <c r="W155" s="24" t="str">
        <f t="shared" si="6"/>
        <v>#DIV/0!</v>
      </c>
    </row>
    <row r="156">
      <c r="A156" s="15" t="s">
        <v>3870</v>
      </c>
      <c r="B156" s="15" t="s">
        <v>3871</v>
      </c>
      <c r="C156" s="15" t="s">
        <v>6303</v>
      </c>
      <c r="D156" s="15" t="s">
        <v>3872</v>
      </c>
      <c r="E156" s="17" t="s">
        <v>3873</v>
      </c>
      <c r="F156" s="18"/>
      <c r="G156" s="18"/>
      <c r="H156" s="15" t="s">
        <v>3874</v>
      </c>
      <c r="I156" s="18"/>
      <c r="J156" s="19" t="s">
        <v>59</v>
      </c>
      <c r="K156" s="19" t="s">
        <v>52</v>
      </c>
      <c r="L156" s="19" t="s">
        <v>52</v>
      </c>
      <c r="M156" s="20">
        <f t="shared" si="2"/>
        <v>0</v>
      </c>
      <c r="N156" s="22"/>
      <c r="O156" s="19" t="s">
        <v>3578</v>
      </c>
      <c r="P156" s="18"/>
      <c r="Q156" s="18"/>
      <c r="R156" s="23">
        <v>0.0</v>
      </c>
      <c r="S156" s="23">
        <v>0.0</v>
      </c>
      <c r="T156" s="23">
        <f t="shared" si="3"/>
        <v>0</v>
      </c>
      <c r="U156" s="23">
        <f t="shared" si="4"/>
        <v>0</v>
      </c>
      <c r="V156" s="23">
        <f t="shared" si="5"/>
        <v>0</v>
      </c>
      <c r="W156" s="24" t="str">
        <f t="shared" si="6"/>
        <v>#DIV/0!</v>
      </c>
    </row>
    <row r="157">
      <c r="A157" s="15" t="s">
        <v>3875</v>
      </c>
      <c r="B157" s="15" t="s">
        <v>3876</v>
      </c>
      <c r="C157" s="15" t="s">
        <v>6304</v>
      </c>
      <c r="D157" s="15" t="s">
        <v>3877</v>
      </c>
      <c r="E157" s="17" t="s">
        <v>3878</v>
      </c>
      <c r="F157" s="18"/>
      <c r="G157" s="18"/>
      <c r="H157" s="15" t="s">
        <v>3879</v>
      </c>
      <c r="I157" s="18"/>
      <c r="J157" s="19" t="s">
        <v>59</v>
      </c>
      <c r="K157" s="19" t="s">
        <v>52</v>
      </c>
      <c r="L157" s="19" t="s">
        <v>368</v>
      </c>
      <c r="M157" s="20">
        <f t="shared" si="2"/>
        <v>0</v>
      </c>
      <c r="N157" s="22"/>
      <c r="O157" s="19" t="s">
        <v>3578</v>
      </c>
      <c r="P157" s="18"/>
      <c r="Q157" s="18"/>
      <c r="R157" s="23">
        <v>0.0</v>
      </c>
      <c r="S157" s="23">
        <v>0.0</v>
      </c>
      <c r="T157" s="23">
        <f t="shared" si="3"/>
        <v>0</v>
      </c>
      <c r="U157" s="23">
        <f t="shared" si="4"/>
        <v>0</v>
      </c>
      <c r="V157" s="23">
        <f t="shared" si="5"/>
        <v>0</v>
      </c>
      <c r="W157" s="24" t="str">
        <f t="shared" si="6"/>
        <v>#DIV/0!</v>
      </c>
    </row>
    <row r="158">
      <c r="A158" s="15" t="s">
        <v>3880</v>
      </c>
      <c r="B158" s="15" t="s">
        <v>3881</v>
      </c>
      <c r="C158" s="15" t="s">
        <v>6305</v>
      </c>
      <c r="D158" s="15" t="s">
        <v>3882</v>
      </c>
      <c r="E158" s="17" t="s">
        <v>3883</v>
      </c>
      <c r="F158" s="18"/>
      <c r="G158" s="18"/>
      <c r="H158" s="15" t="s">
        <v>3884</v>
      </c>
      <c r="I158" s="18"/>
      <c r="J158" s="19" t="s">
        <v>59</v>
      </c>
      <c r="K158" s="19" t="s">
        <v>60</v>
      </c>
      <c r="L158" s="19" t="s">
        <v>115</v>
      </c>
      <c r="M158" s="20">
        <f t="shared" si="2"/>
        <v>0</v>
      </c>
      <c r="N158" s="22"/>
      <c r="O158" s="19" t="s">
        <v>3578</v>
      </c>
      <c r="P158" s="18"/>
      <c r="Q158" s="18"/>
      <c r="R158" s="23">
        <v>0.0</v>
      </c>
      <c r="S158" s="23">
        <v>0.0</v>
      </c>
      <c r="T158" s="23">
        <f t="shared" si="3"/>
        <v>0</v>
      </c>
      <c r="U158" s="23">
        <f t="shared" si="4"/>
        <v>0</v>
      </c>
      <c r="V158" s="23">
        <f t="shared" si="5"/>
        <v>0</v>
      </c>
      <c r="W158" s="24" t="str">
        <f t="shared" si="6"/>
        <v>#DIV/0!</v>
      </c>
    </row>
    <row r="159">
      <c r="A159" s="15" t="s">
        <v>3885</v>
      </c>
      <c r="B159" s="15" t="s">
        <v>3886</v>
      </c>
      <c r="C159" s="15" t="s">
        <v>6306</v>
      </c>
      <c r="D159" s="15" t="s">
        <v>3887</v>
      </c>
      <c r="E159" s="17" t="s">
        <v>3888</v>
      </c>
      <c r="F159" s="18"/>
      <c r="G159" s="18"/>
      <c r="H159" s="15" t="s">
        <v>6307</v>
      </c>
      <c r="I159" s="18"/>
      <c r="J159" s="19" t="s">
        <v>59</v>
      </c>
      <c r="K159" s="19" t="s">
        <v>284</v>
      </c>
      <c r="L159" s="19" t="s">
        <v>135</v>
      </c>
      <c r="M159" s="20">
        <f t="shared" si="2"/>
        <v>0</v>
      </c>
      <c r="N159" s="22"/>
      <c r="O159" s="19" t="s">
        <v>3578</v>
      </c>
      <c r="P159" s="18"/>
      <c r="Q159" s="18"/>
      <c r="R159" s="23">
        <v>0.0</v>
      </c>
      <c r="S159" s="23">
        <v>0.0</v>
      </c>
      <c r="T159" s="23">
        <f t="shared" si="3"/>
        <v>0</v>
      </c>
      <c r="U159" s="23">
        <f t="shared" si="4"/>
        <v>0</v>
      </c>
      <c r="V159" s="23">
        <f t="shared" si="5"/>
        <v>0</v>
      </c>
      <c r="W159" s="24" t="str">
        <f t="shared" si="6"/>
        <v>#DIV/0!</v>
      </c>
    </row>
    <row r="160">
      <c r="A160" s="15" t="s">
        <v>3890</v>
      </c>
      <c r="B160" s="15" t="s">
        <v>3891</v>
      </c>
      <c r="C160" s="15" t="s">
        <v>6308</v>
      </c>
      <c r="D160" s="15" t="s">
        <v>3892</v>
      </c>
      <c r="E160" s="17" t="s">
        <v>3893</v>
      </c>
      <c r="F160" s="18"/>
      <c r="G160" s="18"/>
      <c r="H160" s="15" t="s">
        <v>3894</v>
      </c>
      <c r="I160" s="18"/>
      <c r="J160" s="19" t="s">
        <v>59</v>
      </c>
      <c r="K160" s="19" t="s">
        <v>60</v>
      </c>
      <c r="L160" s="19" t="s">
        <v>115</v>
      </c>
      <c r="M160" s="20">
        <f t="shared" si="2"/>
        <v>0</v>
      </c>
      <c r="N160" s="22"/>
      <c r="O160" s="19" t="s">
        <v>3578</v>
      </c>
      <c r="P160" s="18"/>
      <c r="Q160" s="18"/>
      <c r="R160" s="23">
        <v>0.0</v>
      </c>
      <c r="S160" s="23">
        <v>0.0</v>
      </c>
      <c r="T160" s="23">
        <f t="shared" si="3"/>
        <v>0</v>
      </c>
      <c r="U160" s="23">
        <f t="shared" si="4"/>
        <v>0</v>
      </c>
      <c r="V160" s="23">
        <f t="shared" si="5"/>
        <v>0</v>
      </c>
      <c r="W160" s="24" t="str">
        <f t="shared" si="6"/>
        <v>#DIV/0!</v>
      </c>
    </row>
    <row r="161">
      <c r="A161" s="15" t="s">
        <v>1356</v>
      </c>
      <c r="B161" s="18"/>
      <c r="C161" s="15" t="s">
        <v>6309</v>
      </c>
      <c r="D161" s="18"/>
      <c r="E161" s="17" t="s">
        <v>1357</v>
      </c>
      <c r="F161" s="18"/>
      <c r="G161" s="18"/>
      <c r="H161" s="15" t="s">
        <v>1358</v>
      </c>
      <c r="I161" s="18"/>
      <c r="J161" s="19" t="s">
        <v>59</v>
      </c>
      <c r="K161" s="19" t="s">
        <v>402</v>
      </c>
      <c r="L161" s="19" t="s">
        <v>38</v>
      </c>
      <c r="M161" s="20">
        <f t="shared" si="2"/>
        <v>0</v>
      </c>
      <c r="N161" s="22"/>
      <c r="O161" s="19" t="s">
        <v>1145</v>
      </c>
      <c r="P161" s="18"/>
      <c r="Q161" s="18"/>
      <c r="R161" s="23">
        <v>0.0</v>
      </c>
      <c r="S161" s="23">
        <v>0.0</v>
      </c>
      <c r="T161" s="23">
        <f t="shared" si="3"/>
        <v>0</v>
      </c>
      <c r="U161" s="23">
        <f t="shared" si="4"/>
        <v>0</v>
      </c>
      <c r="V161" s="23">
        <f t="shared" si="5"/>
        <v>0</v>
      </c>
      <c r="W161" s="24" t="str">
        <f t="shared" si="6"/>
        <v>#DIV/0!</v>
      </c>
    </row>
    <row r="162">
      <c r="A162" s="15" t="s">
        <v>3895</v>
      </c>
      <c r="B162" s="15" t="s">
        <v>3896</v>
      </c>
      <c r="C162" s="15" t="s">
        <v>6310</v>
      </c>
      <c r="D162" s="15" t="s">
        <v>3897</v>
      </c>
      <c r="E162" s="17" t="s">
        <v>3898</v>
      </c>
      <c r="F162" s="18"/>
      <c r="G162" s="18"/>
      <c r="H162" s="15" t="s">
        <v>3899</v>
      </c>
      <c r="I162" s="18"/>
      <c r="J162" s="19" t="s">
        <v>59</v>
      </c>
      <c r="K162" s="19" t="s">
        <v>402</v>
      </c>
      <c r="L162" s="19" t="s">
        <v>38</v>
      </c>
      <c r="M162" s="20">
        <f t="shared" si="2"/>
        <v>0</v>
      </c>
      <c r="N162" s="22"/>
      <c r="O162" s="19" t="s">
        <v>3578</v>
      </c>
      <c r="P162" s="18"/>
      <c r="Q162" s="18"/>
      <c r="R162" s="23">
        <v>0.0</v>
      </c>
      <c r="S162" s="23">
        <v>0.0</v>
      </c>
      <c r="T162" s="23">
        <f t="shared" si="3"/>
        <v>0</v>
      </c>
      <c r="U162" s="23">
        <f t="shared" si="4"/>
        <v>0</v>
      </c>
      <c r="V162" s="23">
        <f t="shared" si="5"/>
        <v>0</v>
      </c>
      <c r="W162" s="24" t="str">
        <f t="shared" si="6"/>
        <v>#DIV/0!</v>
      </c>
    </row>
    <row r="163">
      <c r="A163" s="15" t="s">
        <v>3900</v>
      </c>
      <c r="B163" s="15" t="s">
        <v>3901</v>
      </c>
      <c r="C163" s="15" t="s">
        <v>6311</v>
      </c>
      <c r="D163" s="15" t="s">
        <v>3902</v>
      </c>
      <c r="E163" s="17" t="s">
        <v>3903</v>
      </c>
      <c r="F163" s="18"/>
      <c r="G163" s="18"/>
      <c r="H163" s="15" t="s">
        <v>2880</v>
      </c>
      <c r="I163" s="18"/>
      <c r="J163" s="19" t="s">
        <v>59</v>
      </c>
      <c r="K163" s="19" t="s">
        <v>402</v>
      </c>
      <c r="L163" s="19" t="s">
        <v>38</v>
      </c>
      <c r="M163" s="20">
        <f t="shared" si="2"/>
        <v>0</v>
      </c>
      <c r="N163" s="22"/>
      <c r="O163" s="19" t="s">
        <v>3578</v>
      </c>
      <c r="P163" s="18"/>
      <c r="Q163" s="18"/>
      <c r="R163" s="23">
        <v>0.0</v>
      </c>
      <c r="S163" s="23">
        <v>0.0</v>
      </c>
      <c r="T163" s="23">
        <f t="shared" si="3"/>
        <v>0</v>
      </c>
      <c r="U163" s="23">
        <f t="shared" si="4"/>
        <v>0</v>
      </c>
      <c r="V163" s="23">
        <f t="shared" si="5"/>
        <v>0</v>
      </c>
      <c r="W163" s="24" t="str">
        <f t="shared" si="6"/>
        <v>#DIV/0!</v>
      </c>
    </row>
    <row r="164">
      <c r="A164" s="15" t="s">
        <v>3904</v>
      </c>
      <c r="B164" s="15" t="s">
        <v>3905</v>
      </c>
      <c r="C164" s="15" t="s">
        <v>6313</v>
      </c>
      <c r="D164" s="42" t="s">
        <v>3906</v>
      </c>
      <c r="E164" s="17" t="s">
        <v>3907</v>
      </c>
      <c r="F164" s="18"/>
      <c r="G164" s="18"/>
      <c r="H164" s="15" t="s">
        <v>3908</v>
      </c>
      <c r="I164" s="18"/>
      <c r="J164" s="19" t="s">
        <v>59</v>
      </c>
      <c r="K164" s="19" t="s">
        <v>402</v>
      </c>
      <c r="L164" s="19" t="s">
        <v>38</v>
      </c>
      <c r="M164" s="20">
        <f t="shared" si="2"/>
        <v>0</v>
      </c>
      <c r="N164" s="22"/>
      <c r="O164" s="19" t="s">
        <v>3578</v>
      </c>
      <c r="P164" s="18"/>
      <c r="Q164" s="18"/>
      <c r="R164" s="23">
        <v>0.0</v>
      </c>
      <c r="S164" s="23">
        <v>0.0</v>
      </c>
      <c r="T164" s="23">
        <f t="shared" si="3"/>
        <v>0</v>
      </c>
      <c r="U164" s="23">
        <f t="shared" si="4"/>
        <v>0</v>
      </c>
      <c r="V164" s="23">
        <f t="shared" si="5"/>
        <v>0</v>
      </c>
      <c r="W164" s="24" t="str">
        <f t="shared" si="6"/>
        <v>#DIV/0!</v>
      </c>
    </row>
    <row r="165">
      <c r="A165" s="15" t="s">
        <v>3909</v>
      </c>
      <c r="B165" s="18" t="str">
        <f>CONCATENATE(7504589,A165)</f>
        <v>75045891161</v>
      </c>
      <c r="C165" s="15" t="s">
        <v>6314</v>
      </c>
      <c r="D165" s="15" t="s">
        <v>3910</v>
      </c>
      <c r="E165" s="17" t="s">
        <v>3911</v>
      </c>
      <c r="F165" s="18"/>
      <c r="G165" s="18"/>
      <c r="H165" s="15" t="s">
        <v>3912</v>
      </c>
      <c r="I165" s="15" t="s">
        <v>3913</v>
      </c>
      <c r="J165" s="19" t="s">
        <v>59</v>
      </c>
      <c r="K165" s="19" t="s">
        <v>402</v>
      </c>
      <c r="L165" s="19" t="s">
        <v>38</v>
      </c>
      <c r="M165" s="20">
        <f t="shared" si="2"/>
        <v>0</v>
      </c>
      <c r="N165" s="22"/>
      <c r="O165" s="19" t="s">
        <v>3578</v>
      </c>
      <c r="P165" s="18"/>
      <c r="Q165" s="18"/>
      <c r="R165" s="23">
        <v>0.0</v>
      </c>
      <c r="S165" s="23">
        <v>0.0</v>
      </c>
      <c r="T165" s="23">
        <f t="shared" si="3"/>
        <v>0</v>
      </c>
      <c r="U165" s="23">
        <f t="shared" si="4"/>
        <v>0</v>
      </c>
      <c r="V165" s="23">
        <f t="shared" si="5"/>
        <v>0</v>
      </c>
      <c r="W165" s="24" t="str">
        <f t="shared" si="6"/>
        <v>#DIV/0!</v>
      </c>
    </row>
    <row r="166">
      <c r="A166" s="15" t="s">
        <v>3914</v>
      </c>
      <c r="B166" s="15" t="s">
        <v>3915</v>
      </c>
      <c r="C166" s="15" t="s">
        <v>6315</v>
      </c>
      <c r="D166" s="15" t="s">
        <v>288</v>
      </c>
      <c r="E166" s="17" t="s">
        <v>3916</v>
      </c>
      <c r="F166" s="18"/>
      <c r="G166" s="18"/>
      <c r="H166" s="15" t="s">
        <v>3917</v>
      </c>
      <c r="I166" s="18"/>
      <c r="J166" s="19" t="s">
        <v>59</v>
      </c>
      <c r="K166" s="19" t="s">
        <v>105</v>
      </c>
      <c r="L166" s="19" t="s">
        <v>38</v>
      </c>
      <c r="M166" s="20">
        <f t="shared" si="2"/>
        <v>0</v>
      </c>
      <c r="N166" s="22"/>
      <c r="O166" s="19" t="s">
        <v>3578</v>
      </c>
      <c r="P166" s="18"/>
      <c r="Q166" s="18"/>
      <c r="R166" s="23">
        <v>0.0</v>
      </c>
      <c r="S166" s="23">
        <v>0.0</v>
      </c>
      <c r="T166" s="23">
        <f t="shared" si="3"/>
        <v>0</v>
      </c>
      <c r="U166" s="23">
        <f t="shared" si="4"/>
        <v>0</v>
      </c>
      <c r="V166" s="23">
        <f t="shared" si="5"/>
        <v>0</v>
      </c>
      <c r="W166" s="24" t="str">
        <f t="shared" si="6"/>
        <v>#DIV/0!</v>
      </c>
    </row>
    <row r="167">
      <c r="A167" s="15" t="s">
        <v>3918</v>
      </c>
      <c r="B167" s="15" t="s">
        <v>3919</v>
      </c>
      <c r="C167" s="15" t="s">
        <v>6316</v>
      </c>
      <c r="D167" s="15" t="s">
        <v>3920</v>
      </c>
      <c r="E167" s="17" t="s">
        <v>3921</v>
      </c>
      <c r="F167" s="18"/>
      <c r="G167" s="18"/>
      <c r="H167" s="15" t="s">
        <v>3922</v>
      </c>
      <c r="I167" s="18"/>
      <c r="J167" s="19" t="s">
        <v>59</v>
      </c>
      <c r="K167" s="19" t="s">
        <v>402</v>
      </c>
      <c r="L167" s="19" t="s">
        <v>38</v>
      </c>
      <c r="M167" s="20">
        <f t="shared" si="2"/>
        <v>0</v>
      </c>
      <c r="N167" s="22"/>
      <c r="O167" s="19" t="s">
        <v>3578</v>
      </c>
      <c r="P167" s="18"/>
      <c r="Q167" s="18"/>
      <c r="R167" s="23">
        <v>0.0</v>
      </c>
      <c r="S167" s="23">
        <v>0.0</v>
      </c>
      <c r="T167" s="23">
        <f t="shared" si="3"/>
        <v>0</v>
      </c>
      <c r="U167" s="23">
        <f t="shared" si="4"/>
        <v>0</v>
      </c>
      <c r="V167" s="23">
        <f t="shared" si="5"/>
        <v>0</v>
      </c>
      <c r="W167" s="24" t="str">
        <f t="shared" si="6"/>
        <v>#DIV/0!</v>
      </c>
    </row>
    <row r="168">
      <c r="A168" s="15" t="s">
        <v>3923</v>
      </c>
      <c r="B168" s="15" t="s">
        <v>3924</v>
      </c>
      <c r="C168" s="15" t="s">
        <v>6317</v>
      </c>
      <c r="D168" s="15" t="s">
        <v>3925</v>
      </c>
      <c r="E168" s="17" t="s">
        <v>3926</v>
      </c>
      <c r="F168" s="18"/>
      <c r="G168" s="18"/>
      <c r="H168" s="15" t="s">
        <v>3927</v>
      </c>
      <c r="I168" s="18"/>
      <c r="J168" s="19" t="s">
        <v>59</v>
      </c>
      <c r="K168" s="19" t="s">
        <v>105</v>
      </c>
      <c r="L168" s="19" t="s">
        <v>38</v>
      </c>
      <c r="M168" s="20">
        <f t="shared" si="2"/>
        <v>0</v>
      </c>
      <c r="N168" s="22"/>
      <c r="O168" s="19" t="s">
        <v>3578</v>
      </c>
      <c r="P168" s="18"/>
      <c r="Q168" s="18"/>
      <c r="R168" s="23">
        <v>0.0</v>
      </c>
      <c r="S168" s="23">
        <v>0.0</v>
      </c>
      <c r="T168" s="23">
        <f t="shared" si="3"/>
        <v>0</v>
      </c>
      <c r="U168" s="23">
        <f t="shared" si="4"/>
        <v>0</v>
      </c>
      <c r="V168" s="23">
        <f t="shared" si="5"/>
        <v>0</v>
      </c>
      <c r="W168" s="24" t="str">
        <f t="shared" si="6"/>
        <v>#DIV/0!</v>
      </c>
    </row>
    <row r="169">
      <c r="A169" s="15" t="s">
        <v>3928</v>
      </c>
      <c r="B169" s="15" t="s">
        <v>3929</v>
      </c>
      <c r="C169" s="15" t="s">
        <v>6318</v>
      </c>
      <c r="D169" s="15" t="s">
        <v>3930</v>
      </c>
      <c r="E169" s="17" t="s">
        <v>3931</v>
      </c>
      <c r="F169" s="18"/>
      <c r="G169" s="18"/>
      <c r="H169" s="15" t="s">
        <v>3932</v>
      </c>
      <c r="I169" s="18"/>
      <c r="J169" s="19" t="s">
        <v>59</v>
      </c>
      <c r="K169" s="19" t="s">
        <v>402</v>
      </c>
      <c r="L169" s="19" t="s">
        <v>38</v>
      </c>
      <c r="M169" s="20">
        <f t="shared" si="2"/>
        <v>0</v>
      </c>
      <c r="N169" s="22"/>
      <c r="O169" s="19" t="s">
        <v>3578</v>
      </c>
      <c r="P169" s="18"/>
      <c r="Q169" s="18"/>
      <c r="R169" s="23">
        <v>0.0</v>
      </c>
      <c r="S169" s="23">
        <v>0.0</v>
      </c>
      <c r="T169" s="23">
        <f t="shared" si="3"/>
        <v>0</v>
      </c>
      <c r="U169" s="23">
        <f t="shared" si="4"/>
        <v>0</v>
      </c>
      <c r="V169" s="23">
        <f t="shared" si="5"/>
        <v>0</v>
      </c>
      <c r="W169" s="24" t="str">
        <f t="shared" si="6"/>
        <v>#DIV/0!</v>
      </c>
    </row>
    <row r="170">
      <c r="A170" s="15" t="s">
        <v>3933</v>
      </c>
      <c r="B170" s="15" t="s">
        <v>3934</v>
      </c>
      <c r="C170" s="15" t="s">
        <v>6319</v>
      </c>
      <c r="D170" s="15" t="s">
        <v>3935</v>
      </c>
      <c r="E170" s="17" t="s">
        <v>3936</v>
      </c>
      <c r="F170" s="18"/>
      <c r="G170" s="18"/>
      <c r="H170" s="15" t="s">
        <v>3937</v>
      </c>
      <c r="I170" s="18"/>
      <c r="J170" s="19" t="s">
        <v>59</v>
      </c>
      <c r="K170" s="19" t="s">
        <v>37</v>
      </c>
      <c r="L170" s="19" t="s">
        <v>38</v>
      </c>
      <c r="M170" s="20">
        <f t="shared" si="2"/>
        <v>0</v>
      </c>
      <c r="N170" s="22"/>
      <c r="O170" s="19" t="s">
        <v>3578</v>
      </c>
      <c r="P170" s="18"/>
      <c r="Q170" s="18"/>
      <c r="R170" s="23">
        <v>0.0</v>
      </c>
      <c r="S170" s="23">
        <v>0.0</v>
      </c>
      <c r="T170" s="23">
        <f t="shared" si="3"/>
        <v>0</v>
      </c>
      <c r="U170" s="23">
        <f t="shared" si="4"/>
        <v>0</v>
      </c>
      <c r="V170" s="23">
        <f t="shared" si="5"/>
        <v>0</v>
      </c>
      <c r="W170" s="24" t="str">
        <f t="shared" si="6"/>
        <v>#DIV/0!</v>
      </c>
    </row>
    <row r="171">
      <c r="A171" s="15" t="s">
        <v>3938</v>
      </c>
      <c r="B171" s="15" t="s">
        <v>3939</v>
      </c>
      <c r="C171" s="15" t="s">
        <v>6320</v>
      </c>
      <c r="D171" s="15" t="s">
        <v>3940</v>
      </c>
      <c r="E171" s="17" t="s">
        <v>3941</v>
      </c>
      <c r="F171" s="18"/>
      <c r="G171" s="18"/>
      <c r="H171" s="15" t="s">
        <v>2814</v>
      </c>
      <c r="I171" s="18"/>
      <c r="J171" s="19" t="s">
        <v>59</v>
      </c>
      <c r="K171" s="19" t="s">
        <v>37</v>
      </c>
      <c r="L171" s="19" t="s">
        <v>38</v>
      </c>
      <c r="M171" s="20">
        <f t="shared" si="2"/>
        <v>0</v>
      </c>
      <c r="N171" s="22"/>
      <c r="O171" s="19" t="s">
        <v>3578</v>
      </c>
      <c r="P171" s="18"/>
      <c r="Q171" s="18"/>
      <c r="R171" s="23">
        <v>0.0</v>
      </c>
      <c r="S171" s="23">
        <v>0.0</v>
      </c>
      <c r="T171" s="23">
        <f t="shared" si="3"/>
        <v>0</v>
      </c>
      <c r="U171" s="23">
        <f t="shared" si="4"/>
        <v>0</v>
      </c>
      <c r="V171" s="23">
        <f t="shared" si="5"/>
        <v>0</v>
      </c>
      <c r="W171" s="24" t="str">
        <f t="shared" si="6"/>
        <v>#DIV/0!</v>
      </c>
    </row>
    <row r="172">
      <c r="A172" s="15" t="s">
        <v>3942</v>
      </c>
      <c r="B172" s="15" t="s">
        <v>3943</v>
      </c>
      <c r="C172" s="15" t="s">
        <v>6321</v>
      </c>
      <c r="D172" s="15" t="s">
        <v>3944</v>
      </c>
      <c r="E172" s="17" t="s">
        <v>3945</v>
      </c>
      <c r="F172" s="18"/>
      <c r="G172" s="18"/>
      <c r="H172" s="15" t="s">
        <v>3946</v>
      </c>
      <c r="I172" s="18"/>
      <c r="J172" s="19" t="s">
        <v>59</v>
      </c>
      <c r="K172" s="19" t="s">
        <v>402</v>
      </c>
      <c r="L172" s="19" t="s">
        <v>38</v>
      </c>
      <c r="M172" s="20">
        <f t="shared" si="2"/>
        <v>0</v>
      </c>
      <c r="N172" s="22"/>
      <c r="O172" s="19" t="s">
        <v>3578</v>
      </c>
      <c r="P172" s="18"/>
      <c r="Q172" s="18"/>
      <c r="R172" s="23">
        <v>0.0</v>
      </c>
      <c r="S172" s="23">
        <v>0.0</v>
      </c>
      <c r="T172" s="23">
        <f t="shared" si="3"/>
        <v>0</v>
      </c>
      <c r="U172" s="23">
        <f t="shared" si="4"/>
        <v>0</v>
      </c>
      <c r="V172" s="23">
        <f t="shared" si="5"/>
        <v>0</v>
      </c>
      <c r="W172" s="24" t="str">
        <f t="shared" si="6"/>
        <v>#DIV/0!</v>
      </c>
    </row>
    <row r="173">
      <c r="A173" s="15" t="s">
        <v>3947</v>
      </c>
      <c r="B173" s="15" t="s">
        <v>3948</v>
      </c>
      <c r="C173" s="15" t="s">
        <v>6322</v>
      </c>
      <c r="D173" s="15" t="s">
        <v>3949</v>
      </c>
      <c r="E173" s="17" t="s">
        <v>3950</v>
      </c>
      <c r="F173" s="18"/>
      <c r="G173" s="18"/>
      <c r="H173" s="15" t="s">
        <v>3951</v>
      </c>
      <c r="I173" s="18"/>
      <c r="J173" s="19" t="s">
        <v>59</v>
      </c>
      <c r="K173" s="19" t="s">
        <v>402</v>
      </c>
      <c r="L173" s="19" t="s">
        <v>38</v>
      </c>
      <c r="M173" s="20">
        <f t="shared" si="2"/>
        <v>0</v>
      </c>
      <c r="N173" s="22"/>
      <c r="O173" s="19" t="s">
        <v>3578</v>
      </c>
      <c r="P173" s="18"/>
      <c r="Q173" s="18"/>
      <c r="R173" s="23">
        <v>0.0</v>
      </c>
      <c r="S173" s="23">
        <v>0.0</v>
      </c>
      <c r="T173" s="23">
        <f t="shared" si="3"/>
        <v>0</v>
      </c>
      <c r="U173" s="23">
        <f t="shared" si="4"/>
        <v>0</v>
      </c>
      <c r="V173" s="23">
        <f t="shared" si="5"/>
        <v>0</v>
      </c>
      <c r="W173" s="24" t="str">
        <f t="shared" si="6"/>
        <v>#DIV/0!</v>
      </c>
    </row>
    <row r="174">
      <c r="A174" s="15" t="s">
        <v>5924</v>
      </c>
      <c r="B174" s="15" t="s">
        <v>5925</v>
      </c>
      <c r="C174" s="15" t="s">
        <v>6323</v>
      </c>
      <c r="D174" s="15" t="s">
        <v>5926</v>
      </c>
      <c r="E174" s="17" t="s">
        <v>5927</v>
      </c>
      <c r="F174" s="18"/>
      <c r="G174" s="18"/>
      <c r="H174" s="15" t="s">
        <v>5928</v>
      </c>
      <c r="I174" s="18"/>
      <c r="J174" s="19" t="s">
        <v>59</v>
      </c>
      <c r="K174" s="19" t="s">
        <v>402</v>
      </c>
      <c r="L174" s="19" t="s">
        <v>38</v>
      </c>
      <c r="M174" s="20">
        <f t="shared" si="2"/>
        <v>426.24</v>
      </c>
      <c r="N174" s="31"/>
      <c r="O174" s="19" t="s">
        <v>3578</v>
      </c>
      <c r="P174" s="18"/>
      <c r="Q174" s="18"/>
      <c r="R174" s="23">
        <v>7.0</v>
      </c>
      <c r="S174" s="23">
        <v>24.0</v>
      </c>
      <c r="T174" s="23">
        <f t="shared" si="3"/>
        <v>23.04</v>
      </c>
      <c r="U174" s="23">
        <f t="shared" si="4"/>
        <v>8.575</v>
      </c>
      <c r="V174" s="23">
        <f t="shared" si="5"/>
        <v>160.78125</v>
      </c>
      <c r="W174" s="24">
        <f t="shared" si="6"/>
        <v>3.291428571</v>
      </c>
    </row>
    <row r="175">
      <c r="A175" s="15" t="s">
        <v>3952</v>
      </c>
      <c r="B175" s="15" t="s">
        <v>3953</v>
      </c>
      <c r="C175" s="15" t="s">
        <v>6324</v>
      </c>
      <c r="D175" s="15" t="s">
        <v>3954</v>
      </c>
      <c r="E175" s="17" t="s">
        <v>3955</v>
      </c>
      <c r="F175" s="18"/>
      <c r="G175" s="18"/>
      <c r="H175" s="15" t="s">
        <v>3956</v>
      </c>
      <c r="I175" s="18"/>
      <c r="J175" s="19" t="s">
        <v>59</v>
      </c>
      <c r="K175" s="19" t="s">
        <v>1230</v>
      </c>
      <c r="L175" s="19" t="s">
        <v>38</v>
      </c>
      <c r="M175" s="20">
        <f t="shared" si="2"/>
        <v>0</v>
      </c>
      <c r="N175" s="22"/>
      <c r="O175" s="19" t="s">
        <v>3578</v>
      </c>
      <c r="P175" s="18"/>
      <c r="Q175" s="18"/>
      <c r="R175" s="23">
        <v>0.0</v>
      </c>
      <c r="S175" s="23">
        <v>0.0</v>
      </c>
      <c r="T175" s="23">
        <f t="shared" si="3"/>
        <v>0</v>
      </c>
      <c r="U175" s="23">
        <f t="shared" si="4"/>
        <v>0</v>
      </c>
      <c r="V175" s="23">
        <f t="shared" si="5"/>
        <v>0</v>
      </c>
      <c r="W175" s="24" t="str">
        <f t="shared" si="6"/>
        <v>#DIV/0!</v>
      </c>
    </row>
    <row r="176">
      <c r="A176" s="15" t="s">
        <v>6325</v>
      </c>
      <c r="B176" s="15"/>
      <c r="C176" s="15" t="s">
        <v>6327</v>
      </c>
      <c r="D176" s="15" t="s">
        <v>6328</v>
      </c>
      <c r="E176" s="17" t="s">
        <v>6329</v>
      </c>
      <c r="F176" s="18"/>
      <c r="G176" s="18"/>
      <c r="H176" s="15"/>
      <c r="I176" s="18"/>
      <c r="J176" s="19" t="s">
        <v>59</v>
      </c>
      <c r="K176" s="19" t="s">
        <v>402</v>
      </c>
      <c r="L176" s="19" t="s">
        <v>38</v>
      </c>
      <c r="M176" s="20">
        <f t="shared" si="2"/>
        <v>0</v>
      </c>
      <c r="N176" s="22"/>
      <c r="O176" s="19" t="s">
        <v>39</v>
      </c>
      <c r="P176" s="18"/>
      <c r="Q176" s="18"/>
      <c r="R176" s="23">
        <v>0.0</v>
      </c>
      <c r="S176" s="23">
        <v>0.0</v>
      </c>
      <c r="T176" s="23">
        <f t="shared" si="3"/>
        <v>0</v>
      </c>
      <c r="U176" s="23">
        <f t="shared" si="4"/>
        <v>0</v>
      </c>
      <c r="V176" s="23">
        <f t="shared" si="5"/>
        <v>0</v>
      </c>
      <c r="W176" s="24" t="str">
        <f t="shared" si="6"/>
        <v>#DIV/0!</v>
      </c>
    </row>
    <row r="177">
      <c r="A177" s="15" t="s">
        <v>3957</v>
      </c>
      <c r="B177" s="15" t="str">
        <f>CONCATENATE(7504589,A177)</f>
        <v>75045891173</v>
      </c>
      <c r="C177" s="15" t="s">
        <v>6331</v>
      </c>
      <c r="D177" s="15" t="s">
        <v>3958</v>
      </c>
      <c r="E177" s="17" t="s">
        <v>3959</v>
      </c>
      <c r="F177" s="18"/>
      <c r="G177" s="18"/>
      <c r="H177" s="15" t="s">
        <v>3960</v>
      </c>
      <c r="I177" s="18"/>
      <c r="J177" s="19" t="s">
        <v>59</v>
      </c>
      <c r="K177" s="19" t="s">
        <v>402</v>
      </c>
      <c r="L177" s="19" t="s">
        <v>38</v>
      </c>
      <c r="M177" s="20">
        <f t="shared" si="2"/>
        <v>0</v>
      </c>
      <c r="N177" s="22"/>
      <c r="O177" s="19" t="s">
        <v>3578</v>
      </c>
      <c r="P177" s="18"/>
      <c r="Q177" s="18"/>
      <c r="R177" s="23">
        <v>0.0</v>
      </c>
      <c r="S177" s="23">
        <v>0.0</v>
      </c>
      <c r="T177" s="23">
        <f t="shared" si="3"/>
        <v>0</v>
      </c>
      <c r="U177" s="23">
        <f t="shared" si="4"/>
        <v>0</v>
      </c>
      <c r="V177" s="23">
        <f t="shared" si="5"/>
        <v>0</v>
      </c>
      <c r="W177" s="24" t="str">
        <f t="shared" si="6"/>
        <v>#DIV/0!</v>
      </c>
    </row>
    <row r="178">
      <c r="A178" s="15" t="s">
        <v>3961</v>
      </c>
      <c r="B178" s="15" t="s">
        <v>3962</v>
      </c>
      <c r="C178" s="15" t="s">
        <v>6333</v>
      </c>
      <c r="D178" s="15" t="s">
        <v>3963</v>
      </c>
      <c r="E178" s="17" t="s">
        <v>3964</v>
      </c>
      <c r="F178" s="18"/>
      <c r="G178" s="18"/>
      <c r="H178" s="15" t="s">
        <v>3965</v>
      </c>
      <c r="I178" s="18"/>
      <c r="J178" s="19" t="s">
        <v>59</v>
      </c>
      <c r="K178" s="19" t="s">
        <v>402</v>
      </c>
      <c r="L178" s="19" t="s">
        <v>38</v>
      </c>
      <c r="M178" s="20">
        <f t="shared" si="2"/>
        <v>0</v>
      </c>
      <c r="N178" s="22"/>
      <c r="O178" s="19" t="s">
        <v>3578</v>
      </c>
      <c r="P178" s="18"/>
      <c r="Q178" s="18"/>
      <c r="R178" s="23">
        <v>0.0</v>
      </c>
      <c r="S178" s="23">
        <v>0.0</v>
      </c>
      <c r="T178" s="23">
        <f t="shared" si="3"/>
        <v>0</v>
      </c>
      <c r="U178" s="23">
        <f t="shared" si="4"/>
        <v>0</v>
      </c>
      <c r="V178" s="23">
        <f t="shared" si="5"/>
        <v>0</v>
      </c>
      <c r="W178" s="24" t="str">
        <f t="shared" si="6"/>
        <v>#DIV/0!</v>
      </c>
    </row>
    <row r="179">
      <c r="A179" s="15" t="s">
        <v>3966</v>
      </c>
      <c r="B179" s="15" t="s">
        <v>3967</v>
      </c>
      <c r="C179" s="15" t="s">
        <v>6334</v>
      </c>
      <c r="D179" s="15" t="s">
        <v>3968</v>
      </c>
      <c r="E179" s="17" t="s">
        <v>3969</v>
      </c>
      <c r="F179" s="18"/>
      <c r="G179" s="18"/>
      <c r="H179" s="15" t="s">
        <v>3970</v>
      </c>
      <c r="I179" s="18"/>
      <c r="J179" s="19" t="s">
        <v>59</v>
      </c>
      <c r="K179" s="19" t="s">
        <v>402</v>
      </c>
      <c r="L179" s="19" t="s">
        <v>38</v>
      </c>
      <c r="M179" s="20">
        <f t="shared" si="2"/>
        <v>0</v>
      </c>
      <c r="N179" s="22"/>
      <c r="O179" s="19" t="s">
        <v>3578</v>
      </c>
      <c r="P179" s="18"/>
      <c r="Q179" s="18"/>
      <c r="R179" s="23">
        <v>0.0</v>
      </c>
      <c r="S179" s="23">
        <v>0.0</v>
      </c>
      <c r="T179" s="23">
        <f t="shared" si="3"/>
        <v>0</v>
      </c>
      <c r="U179" s="23">
        <f t="shared" si="4"/>
        <v>0</v>
      </c>
      <c r="V179" s="23">
        <f t="shared" si="5"/>
        <v>0</v>
      </c>
      <c r="W179" s="24" t="str">
        <f t="shared" si="6"/>
        <v>#DIV/0!</v>
      </c>
    </row>
    <row r="180">
      <c r="A180" s="15" t="s">
        <v>3971</v>
      </c>
      <c r="B180" s="15" t="s">
        <v>3972</v>
      </c>
      <c r="C180" s="15" t="s">
        <v>6337</v>
      </c>
      <c r="D180" s="15" t="s">
        <v>3973</v>
      </c>
      <c r="E180" s="17" t="s">
        <v>3974</v>
      </c>
      <c r="F180" s="18"/>
      <c r="G180" s="18"/>
      <c r="H180" s="15" t="s">
        <v>3975</v>
      </c>
      <c r="I180" s="18"/>
      <c r="J180" s="19" t="s">
        <v>59</v>
      </c>
      <c r="K180" s="19" t="s">
        <v>402</v>
      </c>
      <c r="L180" s="19" t="s">
        <v>38</v>
      </c>
      <c r="M180" s="20">
        <f t="shared" si="2"/>
        <v>0</v>
      </c>
      <c r="N180" s="22"/>
      <c r="O180" s="19" t="s">
        <v>3578</v>
      </c>
      <c r="P180" s="18"/>
      <c r="Q180" s="18"/>
      <c r="R180" s="23">
        <v>0.0</v>
      </c>
      <c r="S180" s="23">
        <v>0.0</v>
      </c>
      <c r="T180" s="23">
        <f t="shared" si="3"/>
        <v>0</v>
      </c>
      <c r="U180" s="23">
        <f t="shared" si="4"/>
        <v>0</v>
      </c>
      <c r="V180" s="23">
        <f t="shared" si="5"/>
        <v>0</v>
      </c>
      <c r="W180" s="24" t="str">
        <f t="shared" si="6"/>
        <v>#DIV/0!</v>
      </c>
    </row>
    <row r="181">
      <c r="A181" s="15" t="s">
        <v>3976</v>
      </c>
      <c r="B181" s="15" t="s">
        <v>3977</v>
      </c>
      <c r="C181" s="15" t="s">
        <v>6340</v>
      </c>
      <c r="D181" s="15" t="s">
        <v>3978</v>
      </c>
      <c r="E181" s="17" t="s">
        <v>3979</v>
      </c>
      <c r="F181" s="18"/>
      <c r="G181" s="18"/>
      <c r="H181" s="15" t="s">
        <v>3980</v>
      </c>
      <c r="I181" s="18"/>
      <c r="J181" s="19" t="s">
        <v>59</v>
      </c>
      <c r="K181" s="19" t="s">
        <v>402</v>
      </c>
      <c r="L181" s="19" t="s">
        <v>38</v>
      </c>
      <c r="M181" s="20">
        <f t="shared" si="2"/>
        <v>0</v>
      </c>
      <c r="N181" s="22"/>
      <c r="O181" s="19" t="s">
        <v>3578</v>
      </c>
      <c r="P181" s="18"/>
      <c r="Q181" s="18"/>
      <c r="R181" s="23">
        <v>0.0</v>
      </c>
      <c r="S181" s="23">
        <v>0.0</v>
      </c>
      <c r="T181" s="23">
        <f t="shared" si="3"/>
        <v>0</v>
      </c>
      <c r="U181" s="23">
        <f t="shared" si="4"/>
        <v>0</v>
      </c>
      <c r="V181" s="23">
        <f t="shared" si="5"/>
        <v>0</v>
      </c>
      <c r="W181" s="24" t="str">
        <f t="shared" si="6"/>
        <v>#DIV/0!</v>
      </c>
    </row>
    <row r="182">
      <c r="A182" s="15" t="s">
        <v>3981</v>
      </c>
      <c r="B182" s="18" t="str">
        <f>CONCATENATE(7504589,A182)</f>
        <v>75045891178</v>
      </c>
      <c r="C182" s="15" t="s">
        <v>6341</v>
      </c>
      <c r="D182" s="15" t="s">
        <v>3982</v>
      </c>
      <c r="E182" s="17" t="s">
        <v>3983</v>
      </c>
      <c r="F182" s="18"/>
      <c r="G182" s="18"/>
      <c r="H182" s="15" t="s">
        <v>3984</v>
      </c>
      <c r="I182" s="18"/>
      <c r="J182" s="19" t="s">
        <v>59</v>
      </c>
      <c r="K182" s="19" t="s">
        <v>402</v>
      </c>
      <c r="L182" s="19" t="s">
        <v>38</v>
      </c>
      <c r="M182" s="20">
        <f t="shared" si="2"/>
        <v>0</v>
      </c>
      <c r="N182" s="22"/>
      <c r="O182" s="19" t="s">
        <v>3578</v>
      </c>
      <c r="P182" s="18"/>
      <c r="Q182" s="18"/>
      <c r="R182" s="23">
        <v>0.0</v>
      </c>
      <c r="S182" s="23">
        <v>0.0</v>
      </c>
      <c r="T182" s="23">
        <f t="shared" si="3"/>
        <v>0</v>
      </c>
      <c r="U182" s="23">
        <f t="shared" si="4"/>
        <v>0</v>
      </c>
      <c r="V182" s="23">
        <f t="shared" si="5"/>
        <v>0</v>
      </c>
      <c r="W182" s="24" t="str">
        <f t="shared" si="6"/>
        <v>#DIV/0!</v>
      </c>
    </row>
    <row r="183">
      <c r="A183" s="15" t="s">
        <v>3985</v>
      </c>
      <c r="B183" s="15" t="s">
        <v>3986</v>
      </c>
      <c r="C183" s="15" t="s">
        <v>6342</v>
      </c>
      <c r="D183" s="15" t="s">
        <v>3987</v>
      </c>
      <c r="E183" s="17" t="s">
        <v>3988</v>
      </c>
      <c r="F183" s="18"/>
      <c r="G183" s="18"/>
      <c r="H183" s="15" t="s">
        <v>3989</v>
      </c>
      <c r="I183" s="18"/>
      <c r="J183" s="19" t="s">
        <v>59</v>
      </c>
      <c r="K183" s="19" t="s">
        <v>284</v>
      </c>
      <c r="L183" s="19" t="s">
        <v>38</v>
      </c>
      <c r="M183" s="20">
        <f t="shared" si="2"/>
        <v>0</v>
      </c>
      <c r="N183" s="22"/>
      <c r="O183" s="19" t="s">
        <v>3578</v>
      </c>
      <c r="P183" s="18"/>
      <c r="Q183" s="18"/>
      <c r="R183" s="23">
        <v>0.0</v>
      </c>
      <c r="S183" s="23">
        <v>0.0</v>
      </c>
      <c r="T183" s="23">
        <f t="shared" si="3"/>
        <v>0</v>
      </c>
      <c r="U183" s="23">
        <f t="shared" si="4"/>
        <v>0</v>
      </c>
      <c r="V183" s="23">
        <f t="shared" si="5"/>
        <v>0</v>
      </c>
      <c r="W183" s="24" t="str">
        <f t="shared" si="6"/>
        <v>#DIV/0!</v>
      </c>
    </row>
    <row r="184">
      <c r="A184" s="15" t="s">
        <v>3990</v>
      </c>
      <c r="B184" s="15" t="s">
        <v>3991</v>
      </c>
      <c r="C184" s="15" t="s">
        <v>6343</v>
      </c>
      <c r="D184" s="15" t="s">
        <v>3992</v>
      </c>
      <c r="E184" s="17" t="s">
        <v>3993</v>
      </c>
      <c r="F184" s="18"/>
      <c r="G184" s="18"/>
      <c r="H184" s="15" t="s">
        <v>3994</v>
      </c>
      <c r="I184" s="18"/>
      <c r="J184" s="19" t="s">
        <v>59</v>
      </c>
      <c r="K184" s="19" t="s">
        <v>37</v>
      </c>
      <c r="L184" s="19" t="s">
        <v>38</v>
      </c>
      <c r="M184" s="20">
        <f t="shared" si="2"/>
        <v>0</v>
      </c>
      <c r="N184" s="22"/>
      <c r="O184" s="19" t="s">
        <v>3578</v>
      </c>
      <c r="P184" s="18"/>
      <c r="Q184" s="18"/>
      <c r="R184" s="23">
        <v>0.0</v>
      </c>
      <c r="S184" s="23">
        <v>0.0</v>
      </c>
      <c r="T184" s="23">
        <f t="shared" si="3"/>
        <v>0</v>
      </c>
      <c r="U184" s="23">
        <f t="shared" si="4"/>
        <v>0</v>
      </c>
      <c r="V184" s="23">
        <f t="shared" si="5"/>
        <v>0</v>
      </c>
      <c r="W184" s="24" t="str">
        <f t="shared" si="6"/>
        <v>#DIV/0!</v>
      </c>
    </row>
    <row r="185">
      <c r="A185" s="15" t="s">
        <v>3995</v>
      </c>
      <c r="B185" s="15" t="s">
        <v>3996</v>
      </c>
      <c r="C185" s="15" t="s">
        <v>6344</v>
      </c>
      <c r="D185" s="15" t="s">
        <v>3997</v>
      </c>
      <c r="E185" s="17" t="s">
        <v>3998</v>
      </c>
      <c r="F185" s="18"/>
      <c r="G185" s="18"/>
      <c r="H185" s="15" t="s">
        <v>3999</v>
      </c>
      <c r="I185" s="18"/>
      <c r="J185" s="19" t="s">
        <v>59</v>
      </c>
      <c r="K185" s="19" t="s">
        <v>37</v>
      </c>
      <c r="L185" s="19" t="s">
        <v>38</v>
      </c>
      <c r="M185" s="20">
        <f t="shared" si="2"/>
        <v>0</v>
      </c>
      <c r="N185" s="22"/>
      <c r="O185" s="19" t="s">
        <v>3578</v>
      </c>
      <c r="P185" s="18"/>
      <c r="Q185" s="18"/>
      <c r="R185" s="23">
        <v>0.0</v>
      </c>
      <c r="S185" s="23">
        <v>0.0</v>
      </c>
      <c r="T185" s="23">
        <f t="shared" si="3"/>
        <v>0</v>
      </c>
      <c r="U185" s="23">
        <f t="shared" si="4"/>
        <v>0</v>
      </c>
      <c r="V185" s="23">
        <f t="shared" si="5"/>
        <v>0</v>
      </c>
      <c r="W185" s="24" t="str">
        <f t="shared" si="6"/>
        <v>#DIV/0!</v>
      </c>
    </row>
    <row r="186">
      <c r="A186" s="15" t="s">
        <v>4000</v>
      </c>
      <c r="B186" s="15" t="s">
        <v>4001</v>
      </c>
      <c r="C186" s="15" t="s">
        <v>6345</v>
      </c>
      <c r="D186" s="15" t="s">
        <v>4002</v>
      </c>
      <c r="E186" s="17" t="s">
        <v>4003</v>
      </c>
      <c r="F186" s="18"/>
      <c r="G186" s="18"/>
      <c r="H186" s="15" t="s">
        <v>3112</v>
      </c>
      <c r="I186" s="18"/>
      <c r="J186" s="19" t="s">
        <v>59</v>
      </c>
      <c r="K186" s="19" t="s">
        <v>37</v>
      </c>
      <c r="L186" s="19" t="s">
        <v>38</v>
      </c>
      <c r="M186" s="20">
        <f t="shared" si="2"/>
        <v>0</v>
      </c>
      <c r="N186" s="22"/>
      <c r="O186" s="19" t="s">
        <v>3578</v>
      </c>
      <c r="P186" s="18"/>
      <c r="Q186" s="18"/>
      <c r="R186" s="23">
        <v>0.0</v>
      </c>
      <c r="S186" s="23">
        <v>0.0</v>
      </c>
      <c r="T186" s="23">
        <f t="shared" si="3"/>
        <v>0</v>
      </c>
      <c r="U186" s="23">
        <f t="shared" si="4"/>
        <v>0</v>
      </c>
      <c r="V186" s="23">
        <f t="shared" si="5"/>
        <v>0</v>
      </c>
      <c r="W186" s="24" t="str">
        <f t="shared" si="6"/>
        <v>#DIV/0!</v>
      </c>
    </row>
    <row r="187">
      <c r="A187" s="15" t="s">
        <v>1359</v>
      </c>
      <c r="B187" s="15" t="s">
        <v>1360</v>
      </c>
      <c r="C187" s="15" t="s">
        <v>6346</v>
      </c>
      <c r="D187" s="15" t="s">
        <v>1361</v>
      </c>
      <c r="E187" s="17" t="s">
        <v>1362</v>
      </c>
      <c r="F187" s="18"/>
      <c r="G187" s="18"/>
      <c r="H187" s="15" t="s">
        <v>1363</v>
      </c>
      <c r="I187" s="18"/>
      <c r="J187" s="19" t="s">
        <v>59</v>
      </c>
      <c r="K187" s="19" t="s">
        <v>37</v>
      </c>
      <c r="L187" s="19" t="s">
        <v>38</v>
      </c>
      <c r="M187" s="20">
        <f t="shared" si="2"/>
        <v>0</v>
      </c>
      <c r="N187" s="22"/>
      <c r="O187" s="19" t="s">
        <v>1145</v>
      </c>
      <c r="P187" s="18"/>
      <c r="Q187" s="18"/>
      <c r="R187" s="23">
        <v>0.0</v>
      </c>
      <c r="S187" s="23">
        <v>0.0</v>
      </c>
      <c r="T187" s="23">
        <f t="shared" si="3"/>
        <v>0</v>
      </c>
      <c r="U187" s="23">
        <f t="shared" si="4"/>
        <v>0</v>
      </c>
      <c r="V187" s="23">
        <f t="shared" si="5"/>
        <v>0</v>
      </c>
      <c r="W187" s="24" t="str">
        <f t="shared" si="6"/>
        <v>#DIV/0!</v>
      </c>
    </row>
    <row r="188">
      <c r="A188" s="15" t="s">
        <v>4004</v>
      </c>
      <c r="B188" s="15" t="s">
        <v>4005</v>
      </c>
      <c r="C188" s="15" t="s">
        <v>6347</v>
      </c>
      <c r="D188" s="15" t="s">
        <v>4006</v>
      </c>
      <c r="E188" s="17" t="s">
        <v>4007</v>
      </c>
      <c r="F188" s="18"/>
      <c r="G188" s="18"/>
      <c r="H188" s="15" t="s">
        <v>4008</v>
      </c>
      <c r="I188" s="18"/>
      <c r="J188" s="19" t="s">
        <v>59</v>
      </c>
      <c r="K188" s="19" t="s">
        <v>37</v>
      </c>
      <c r="L188" s="19" t="s">
        <v>38</v>
      </c>
      <c r="M188" s="20">
        <f t="shared" si="2"/>
        <v>0</v>
      </c>
      <c r="N188" s="22"/>
      <c r="O188" s="19" t="s">
        <v>3578</v>
      </c>
      <c r="P188" s="18"/>
      <c r="Q188" s="18"/>
      <c r="R188" s="23">
        <v>0.0</v>
      </c>
      <c r="S188" s="23">
        <v>0.0</v>
      </c>
      <c r="T188" s="23">
        <f t="shared" si="3"/>
        <v>0</v>
      </c>
      <c r="U188" s="23">
        <f t="shared" si="4"/>
        <v>0</v>
      </c>
      <c r="V188" s="23">
        <f t="shared" si="5"/>
        <v>0</v>
      </c>
      <c r="W188" s="24" t="str">
        <f t="shared" si="6"/>
        <v>#DIV/0!</v>
      </c>
    </row>
    <row r="189">
      <c r="A189" s="15" t="s">
        <v>1364</v>
      </c>
      <c r="B189" s="18"/>
      <c r="C189" s="15" t="s">
        <v>6348</v>
      </c>
      <c r="D189" s="18"/>
      <c r="E189" s="17" t="s">
        <v>1365</v>
      </c>
      <c r="F189" s="18"/>
      <c r="G189" s="15" t="s">
        <v>1365</v>
      </c>
      <c r="H189" s="15" t="s">
        <v>1366</v>
      </c>
      <c r="I189" s="18"/>
      <c r="J189" s="19" t="s">
        <v>59</v>
      </c>
      <c r="K189" s="19" t="s">
        <v>402</v>
      </c>
      <c r="L189" s="19" t="s">
        <v>38</v>
      </c>
      <c r="M189" s="20">
        <f t="shared" si="2"/>
        <v>0</v>
      </c>
      <c r="N189" s="22"/>
      <c r="O189" s="19" t="s">
        <v>1145</v>
      </c>
      <c r="P189" s="18"/>
      <c r="Q189" s="18"/>
      <c r="R189" s="23">
        <v>0.0</v>
      </c>
      <c r="S189" s="23">
        <v>0.0</v>
      </c>
      <c r="T189" s="23">
        <f t="shared" si="3"/>
        <v>0</v>
      </c>
      <c r="U189" s="23">
        <f t="shared" si="4"/>
        <v>0</v>
      </c>
      <c r="V189" s="23">
        <f t="shared" si="5"/>
        <v>0</v>
      </c>
      <c r="W189" s="24" t="str">
        <f t="shared" si="6"/>
        <v>#DIV/0!</v>
      </c>
    </row>
    <row r="190">
      <c r="A190" s="15" t="s">
        <v>4009</v>
      </c>
      <c r="B190" s="15" t="s">
        <v>4010</v>
      </c>
      <c r="C190" s="15" t="s">
        <v>6349</v>
      </c>
      <c r="D190" s="15" t="s">
        <v>4011</v>
      </c>
      <c r="E190" s="17" t="s">
        <v>4012</v>
      </c>
      <c r="F190" s="18"/>
      <c r="G190" s="18"/>
      <c r="H190" s="15" t="s">
        <v>4013</v>
      </c>
      <c r="I190" s="18"/>
      <c r="J190" s="19" t="s">
        <v>59</v>
      </c>
      <c r="K190" s="19" t="s">
        <v>37</v>
      </c>
      <c r="L190" s="19" t="s">
        <v>38</v>
      </c>
      <c r="M190" s="20">
        <f t="shared" si="2"/>
        <v>0</v>
      </c>
      <c r="N190" s="22"/>
      <c r="O190" s="19" t="s">
        <v>3578</v>
      </c>
      <c r="P190" s="18"/>
      <c r="Q190" s="18"/>
      <c r="R190" s="23">
        <v>0.0</v>
      </c>
      <c r="S190" s="23">
        <v>0.0</v>
      </c>
      <c r="T190" s="23">
        <f t="shared" si="3"/>
        <v>0</v>
      </c>
      <c r="U190" s="23">
        <f t="shared" si="4"/>
        <v>0</v>
      </c>
      <c r="V190" s="23">
        <f t="shared" si="5"/>
        <v>0</v>
      </c>
      <c r="W190" s="24" t="str">
        <f t="shared" si="6"/>
        <v>#DIV/0!</v>
      </c>
    </row>
    <row r="191">
      <c r="A191" s="15" t="s">
        <v>4014</v>
      </c>
      <c r="B191" s="15" t="s">
        <v>4015</v>
      </c>
      <c r="C191" s="15" t="s">
        <v>6350</v>
      </c>
      <c r="D191" s="15" t="s">
        <v>4016</v>
      </c>
      <c r="E191" s="17" t="s">
        <v>4017</v>
      </c>
      <c r="F191" s="18"/>
      <c r="G191" s="18"/>
      <c r="H191" s="15" t="s">
        <v>4018</v>
      </c>
      <c r="I191" s="18"/>
      <c r="J191" s="19" t="s">
        <v>59</v>
      </c>
      <c r="K191" s="19" t="s">
        <v>37</v>
      </c>
      <c r="L191" s="19" t="s">
        <v>38</v>
      </c>
      <c r="M191" s="20">
        <f t="shared" si="2"/>
        <v>0</v>
      </c>
      <c r="N191" s="22"/>
      <c r="O191" s="19" t="s">
        <v>3578</v>
      </c>
      <c r="P191" s="18"/>
      <c r="Q191" s="18"/>
      <c r="R191" s="23">
        <v>0.0</v>
      </c>
      <c r="S191" s="23">
        <v>0.0</v>
      </c>
      <c r="T191" s="23">
        <f t="shared" si="3"/>
        <v>0</v>
      </c>
      <c r="U191" s="23">
        <f t="shared" si="4"/>
        <v>0</v>
      </c>
      <c r="V191" s="23">
        <f t="shared" si="5"/>
        <v>0</v>
      </c>
      <c r="W191" s="24" t="str">
        <f t="shared" si="6"/>
        <v>#DIV/0!</v>
      </c>
    </row>
    <row r="192">
      <c r="A192" s="15" t="s">
        <v>4019</v>
      </c>
      <c r="B192" s="15" t="s">
        <v>4020</v>
      </c>
      <c r="C192" s="15" t="s">
        <v>6351</v>
      </c>
      <c r="D192" s="15" t="s">
        <v>4021</v>
      </c>
      <c r="E192" s="17" t="s">
        <v>4022</v>
      </c>
      <c r="F192" s="18"/>
      <c r="G192" s="18"/>
      <c r="H192" s="15" t="s">
        <v>4023</v>
      </c>
      <c r="I192" s="18"/>
      <c r="J192" s="19" t="s">
        <v>59</v>
      </c>
      <c r="K192" s="19" t="s">
        <v>37</v>
      </c>
      <c r="L192" s="19" t="s">
        <v>38</v>
      </c>
      <c r="M192" s="20">
        <f t="shared" si="2"/>
        <v>0</v>
      </c>
      <c r="N192" s="22"/>
      <c r="O192" s="19" t="s">
        <v>3578</v>
      </c>
      <c r="P192" s="18"/>
      <c r="Q192" s="18"/>
      <c r="R192" s="23">
        <v>0.0</v>
      </c>
      <c r="S192" s="23">
        <v>0.0</v>
      </c>
      <c r="T192" s="23">
        <f t="shared" si="3"/>
        <v>0</v>
      </c>
      <c r="U192" s="23">
        <f t="shared" si="4"/>
        <v>0</v>
      </c>
      <c r="V192" s="23">
        <f t="shared" si="5"/>
        <v>0</v>
      </c>
      <c r="W192" s="24" t="str">
        <f t="shared" si="6"/>
        <v>#DIV/0!</v>
      </c>
    </row>
    <row r="193">
      <c r="A193" s="15" t="s">
        <v>4024</v>
      </c>
      <c r="B193" s="15" t="s">
        <v>4025</v>
      </c>
      <c r="C193" s="15" t="s">
        <v>6352</v>
      </c>
      <c r="D193" s="15" t="s">
        <v>4026</v>
      </c>
      <c r="E193" s="17" t="s">
        <v>4027</v>
      </c>
      <c r="F193" s="18"/>
      <c r="G193" s="18"/>
      <c r="H193" s="15" t="s">
        <v>4028</v>
      </c>
      <c r="I193" s="18"/>
      <c r="J193" s="19" t="s">
        <v>59</v>
      </c>
      <c r="K193" s="19" t="s">
        <v>37</v>
      </c>
      <c r="L193" s="19" t="s">
        <v>38</v>
      </c>
      <c r="M193" s="20">
        <f t="shared" si="2"/>
        <v>0</v>
      </c>
      <c r="N193" s="22"/>
      <c r="O193" s="19" t="s">
        <v>3578</v>
      </c>
      <c r="P193" s="18"/>
      <c r="Q193" s="18"/>
      <c r="R193" s="23">
        <v>0.0</v>
      </c>
      <c r="S193" s="23">
        <v>0.0</v>
      </c>
      <c r="T193" s="23">
        <f t="shared" si="3"/>
        <v>0</v>
      </c>
      <c r="U193" s="23">
        <f t="shared" si="4"/>
        <v>0</v>
      </c>
      <c r="V193" s="23">
        <f t="shared" si="5"/>
        <v>0</v>
      </c>
      <c r="W193" s="24" t="str">
        <f t="shared" si="6"/>
        <v>#DIV/0!</v>
      </c>
    </row>
    <row r="194">
      <c r="A194" s="15" t="s">
        <v>4029</v>
      </c>
      <c r="B194" s="15" t="s">
        <v>4030</v>
      </c>
      <c r="C194" s="15" t="s">
        <v>6353</v>
      </c>
      <c r="D194" s="15" t="s">
        <v>4031</v>
      </c>
      <c r="E194" s="17" t="s">
        <v>4032</v>
      </c>
      <c r="F194" s="18"/>
      <c r="G194" s="18"/>
      <c r="H194" s="15" t="s">
        <v>4033</v>
      </c>
      <c r="I194" s="18"/>
      <c r="J194" s="19" t="s">
        <v>59</v>
      </c>
      <c r="K194" s="19" t="s">
        <v>603</v>
      </c>
      <c r="L194" s="19" t="s">
        <v>38</v>
      </c>
      <c r="M194" s="20">
        <f t="shared" si="2"/>
        <v>0</v>
      </c>
      <c r="N194" s="22"/>
      <c r="O194" s="19" t="s">
        <v>3578</v>
      </c>
      <c r="P194" s="18"/>
      <c r="Q194" s="18"/>
      <c r="R194" s="23">
        <v>0.0</v>
      </c>
      <c r="S194" s="23">
        <v>0.0</v>
      </c>
      <c r="T194" s="23">
        <f t="shared" si="3"/>
        <v>0</v>
      </c>
      <c r="U194" s="23">
        <f t="shared" si="4"/>
        <v>0</v>
      </c>
      <c r="V194" s="23">
        <f t="shared" si="5"/>
        <v>0</v>
      </c>
      <c r="W194" s="24" t="str">
        <f t="shared" si="6"/>
        <v>#DIV/0!</v>
      </c>
    </row>
    <row r="195">
      <c r="A195" s="15" t="s">
        <v>4034</v>
      </c>
      <c r="B195" s="15" t="s">
        <v>4035</v>
      </c>
      <c r="C195" s="15" t="s">
        <v>6354</v>
      </c>
      <c r="D195" s="15" t="s">
        <v>4036</v>
      </c>
      <c r="E195" s="17" t="s">
        <v>4037</v>
      </c>
      <c r="F195" s="18"/>
      <c r="G195" s="18"/>
      <c r="H195" s="15" t="s">
        <v>4038</v>
      </c>
      <c r="I195" s="18"/>
      <c r="J195" s="19" t="s">
        <v>59</v>
      </c>
      <c r="K195" s="19" t="s">
        <v>1230</v>
      </c>
      <c r="L195" s="19" t="s">
        <v>38</v>
      </c>
      <c r="M195" s="20">
        <f t="shared" si="2"/>
        <v>0</v>
      </c>
      <c r="N195" s="22"/>
      <c r="O195" s="19" t="s">
        <v>3578</v>
      </c>
      <c r="P195" s="18"/>
      <c r="Q195" s="18"/>
      <c r="R195" s="23">
        <v>0.0</v>
      </c>
      <c r="S195" s="23">
        <v>0.0</v>
      </c>
      <c r="T195" s="23">
        <f t="shared" si="3"/>
        <v>0</v>
      </c>
      <c r="U195" s="23">
        <f t="shared" si="4"/>
        <v>0</v>
      </c>
      <c r="V195" s="23">
        <f t="shared" si="5"/>
        <v>0</v>
      </c>
      <c r="W195" s="24" t="str">
        <f t="shared" si="6"/>
        <v>#DIV/0!</v>
      </c>
    </row>
    <row r="196">
      <c r="A196" s="15" t="s">
        <v>4039</v>
      </c>
      <c r="B196" s="15" t="s">
        <v>4040</v>
      </c>
      <c r="C196" s="15" t="s">
        <v>6355</v>
      </c>
      <c r="D196" s="15" t="s">
        <v>4041</v>
      </c>
      <c r="E196" s="17" t="s">
        <v>4042</v>
      </c>
      <c r="F196" s="18"/>
      <c r="G196" s="18"/>
      <c r="H196" s="15" t="s">
        <v>4043</v>
      </c>
      <c r="I196" s="18"/>
      <c r="J196" s="19" t="s">
        <v>59</v>
      </c>
      <c r="K196" s="19" t="s">
        <v>284</v>
      </c>
      <c r="L196" s="19" t="s">
        <v>38</v>
      </c>
      <c r="M196" s="20">
        <f t="shared" si="2"/>
        <v>0</v>
      </c>
      <c r="N196" s="22"/>
      <c r="O196" s="19" t="s">
        <v>3578</v>
      </c>
      <c r="P196" s="18"/>
      <c r="Q196" s="18"/>
      <c r="R196" s="23">
        <v>0.0</v>
      </c>
      <c r="S196" s="23">
        <v>0.0</v>
      </c>
      <c r="T196" s="23">
        <f t="shared" si="3"/>
        <v>0</v>
      </c>
      <c r="U196" s="23">
        <f t="shared" si="4"/>
        <v>0</v>
      </c>
      <c r="V196" s="23">
        <f t="shared" si="5"/>
        <v>0</v>
      </c>
      <c r="W196" s="24" t="str">
        <f t="shared" si="6"/>
        <v>#DIV/0!</v>
      </c>
    </row>
    <row r="197">
      <c r="A197" s="15" t="s">
        <v>4044</v>
      </c>
      <c r="B197" s="15" t="s">
        <v>4045</v>
      </c>
      <c r="C197" s="15" t="s">
        <v>6356</v>
      </c>
      <c r="D197" s="15" t="s">
        <v>4046</v>
      </c>
      <c r="E197" s="17" t="s">
        <v>4047</v>
      </c>
      <c r="F197" s="18"/>
      <c r="G197" s="18"/>
      <c r="H197" s="15" t="s">
        <v>4048</v>
      </c>
      <c r="I197" s="18"/>
      <c r="J197" s="19" t="s">
        <v>59</v>
      </c>
      <c r="K197" s="19" t="s">
        <v>105</v>
      </c>
      <c r="L197" s="19" t="s">
        <v>38</v>
      </c>
      <c r="M197" s="20">
        <f t="shared" si="2"/>
        <v>0</v>
      </c>
      <c r="N197" s="22"/>
      <c r="O197" s="19" t="s">
        <v>3578</v>
      </c>
      <c r="P197" s="18"/>
      <c r="Q197" s="18"/>
      <c r="R197" s="23">
        <v>0.0</v>
      </c>
      <c r="S197" s="23">
        <v>0.0</v>
      </c>
      <c r="T197" s="23">
        <f t="shared" si="3"/>
        <v>0</v>
      </c>
      <c r="U197" s="23">
        <f t="shared" si="4"/>
        <v>0</v>
      </c>
      <c r="V197" s="23">
        <f t="shared" si="5"/>
        <v>0</v>
      </c>
      <c r="W197" s="24" t="str">
        <f t="shared" si="6"/>
        <v>#DIV/0!</v>
      </c>
    </row>
    <row r="198">
      <c r="A198" s="15" t="s">
        <v>4049</v>
      </c>
      <c r="B198" s="15" t="s">
        <v>4050</v>
      </c>
      <c r="C198" s="15" t="s">
        <v>6357</v>
      </c>
      <c r="D198" s="18"/>
      <c r="E198" s="17" t="s">
        <v>4051</v>
      </c>
      <c r="F198" s="18"/>
      <c r="G198" s="18"/>
      <c r="H198" s="15" t="s">
        <v>4052</v>
      </c>
      <c r="I198" s="18"/>
      <c r="J198" s="19" t="s">
        <v>59</v>
      </c>
      <c r="K198" s="19" t="s">
        <v>105</v>
      </c>
      <c r="L198" s="19" t="s">
        <v>38</v>
      </c>
      <c r="M198" s="20">
        <f t="shared" si="2"/>
        <v>0</v>
      </c>
      <c r="N198" s="22"/>
      <c r="O198" s="19" t="s">
        <v>3578</v>
      </c>
      <c r="P198" s="18"/>
      <c r="Q198" s="18"/>
      <c r="R198" s="23">
        <v>0.0</v>
      </c>
      <c r="S198" s="23">
        <v>0.0</v>
      </c>
      <c r="T198" s="23">
        <f t="shared" si="3"/>
        <v>0</v>
      </c>
      <c r="U198" s="23">
        <f t="shared" si="4"/>
        <v>0</v>
      </c>
      <c r="V198" s="23">
        <f t="shared" si="5"/>
        <v>0</v>
      </c>
      <c r="W198" s="24" t="str">
        <f t="shared" si="6"/>
        <v>#DIV/0!</v>
      </c>
    </row>
    <row r="199">
      <c r="A199" s="15" t="s">
        <v>4053</v>
      </c>
      <c r="B199" s="15" t="s">
        <v>4054</v>
      </c>
      <c r="C199" s="15" t="s">
        <v>6358</v>
      </c>
      <c r="D199" s="18"/>
      <c r="E199" s="17" t="s">
        <v>4055</v>
      </c>
      <c r="F199" s="18"/>
      <c r="G199" s="18"/>
      <c r="H199" s="15" t="s">
        <v>4056</v>
      </c>
      <c r="I199" s="18"/>
      <c r="J199" s="19" t="s">
        <v>59</v>
      </c>
      <c r="K199" s="19" t="s">
        <v>1230</v>
      </c>
      <c r="L199" s="19" t="s">
        <v>38</v>
      </c>
      <c r="M199" s="20">
        <f t="shared" si="2"/>
        <v>0</v>
      </c>
      <c r="N199" s="22"/>
      <c r="O199" s="19" t="s">
        <v>3578</v>
      </c>
      <c r="P199" s="18"/>
      <c r="Q199" s="18"/>
      <c r="R199" s="23">
        <v>0.0</v>
      </c>
      <c r="S199" s="23">
        <v>0.0</v>
      </c>
      <c r="T199" s="23">
        <f t="shared" si="3"/>
        <v>0</v>
      </c>
      <c r="U199" s="23">
        <f t="shared" si="4"/>
        <v>0</v>
      </c>
      <c r="V199" s="23">
        <f t="shared" si="5"/>
        <v>0</v>
      </c>
      <c r="W199" s="24" t="str">
        <f t="shared" si="6"/>
        <v>#DIV/0!</v>
      </c>
    </row>
    <row r="200">
      <c r="A200" s="15" t="s">
        <v>4057</v>
      </c>
      <c r="B200" s="15" t="s">
        <v>4058</v>
      </c>
      <c r="C200" s="15" t="s">
        <v>6359</v>
      </c>
      <c r="D200" s="15" t="s">
        <v>4059</v>
      </c>
      <c r="E200" s="17" t="s">
        <v>4060</v>
      </c>
      <c r="F200" s="18"/>
      <c r="G200" s="18"/>
      <c r="H200" s="15" t="s">
        <v>4061</v>
      </c>
      <c r="I200" s="18"/>
      <c r="J200" s="19" t="s">
        <v>59</v>
      </c>
      <c r="K200" s="19" t="s">
        <v>1230</v>
      </c>
      <c r="L200" s="19" t="s">
        <v>38</v>
      </c>
      <c r="M200" s="20">
        <f t="shared" si="2"/>
        <v>0</v>
      </c>
      <c r="N200" s="22"/>
      <c r="O200" s="19" t="s">
        <v>3578</v>
      </c>
      <c r="P200" s="18"/>
      <c r="Q200" s="18"/>
      <c r="R200" s="23">
        <v>0.0</v>
      </c>
      <c r="S200" s="23">
        <v>0.0</v>
      </c>
      <c r="T200" s="23">
        <f t="shared" si="3"/>
        <v>0</v>
      </c>
      <c r="U200" s="23">
        <f t="shared" si="4"/>
        <v>0</v>
      </c>
      <c r="V200" s="23">
        <f t="shared" si="5"/>
        <v>0</v>
      </c>
      <c r="W200" s="24" t="str">
        <f t="shared" si="6"/>
        <v>#DIV/0!</v>
      </c>
    </row>
    <row r="201">
      <c r="A201" s="15" t="s">
        <v>4062</v>
      </c>
      <c r="B201" s="15" t="s">
        <v>4063</v>
      </c>
      <c r="C201" s="15" t="s">
        <v>6360</v>
      </c>
      <c r="D201" s="18"/>
      <c r="E201" s="17" t="s">
        <v>4064</v>
      </c>
      <c r="F201" s="18"/>
      <c r="G201" s="18"/>
      <c r="H201" s="15" t="s">
        <v>4065</v>
      </c>
      <c r="I201" s="18"/>
      <c r="J201" s="19" t="s">
        <v>59</v>
      </c>
      <c r="K201" s="19" t="s">
        <v>1230</v>
      </c>
      <c r="L201" s="19" t="s">
        <v>38</v>
      </c>
      <c r="M201" s="20">
        <f t="shared" si="2"/>
        <v>0</v>
      </c>
      <c r="N201" s="22"/>
      <c r="O201" s="19" t="s">
        <v>3578</v>
      </c>
      <c r="P201" s="18"/>
      <c r="Q201" s="18"/>
      <c r="R201" s="23">
        <v>0.0</v>
      </c>
      <c r="S201" s="23">
        <v>0.0</v>
      </c>
      <c r="T201" s="23">
        <f t="shared" si="3"/>
        <v>0</v>
      </c>
      <c r="U201" s="23">
        <f t="shared" si="4"/>
        <v>0</v>
      </c>
      <c r="V201" s="23">
        <f t="shared" si="5"/>
        <v>0</v>
      </c>
      <c r="W201" s="24" t="str">
        <f t="shared" si="6"/>
        <v>#DIV/0!</v>
      </c>
    </row>
    <row r="202">
      <c r="A202" s="15" t="s">
        <v>4066</v>
      </c>
      <c r="B202" s="15" t="s">
        <v>4067</v>
      </c>
      <c r="C202" s="15" t="s">
        <v>6361</v>
      </c>
      <c r="D202" s="15" t="s">
        <v>4068</v>
      </c>
      <c r="E202" s="17" t="s">
        <v>4069</v>
      </c>
      <c r="F202" s="18"/>
      <c r="G202" s="18"/>
      <c r="H202" s="15" t="s">
        <v>4070</v>
      </c>
      <c r="I202" s="18"/>
      <c r="J202" s="19" t="s">
        <v>59</v>
      </c>
      <c r="K202" s="19" t="s">
        <v>284</v>
      </c>
      <c r="L202" s="19" t="s">
        <v>38</v>
      </c>
      <c r="M202" s="20">
        <f t="shared" si="2"/>
        <v>0</v>
      </c>
      <c r="N202" s="22"/>
      <c r="O202" s="19" t="s">
        <v>3578</v>
      </c>
      <c r="P202" s="18"/>
      <c r="Q202" s="18"/>
      <c r="R202" s="23">
        <v>0.0</v>
      </c>
      <c r="S202" s="23">
        <v>0.0</v>
      </c>
      <c r="T202" s="23">
        <f t="shared" si="3"/>
        <v>0</v>
      </c>
      <c r="U202" s="23">
        <f t="shared" si="4"/>
        <v>0</v>
      </c>
      <c r="V202" s="23">
        <f t="shared" si="5"/>
        <v>0</v>
      </c>
      <c r="W202" s="24" t="str">
        <f t="shared" si="6"/>
        <v>#DIV/0!</v>
      </c>
    </row>
    <row r="203">
      <c r="A203" s="15" t="s">
        <v>4071</v>
      </c>
      <c r="B203" s="15" t="s">
        <v>4072</v>
      </c>
      <c r="C203" s="15" t="s">
        <v>6363</v>
      </c>
      <c r="D203" s="15" t="s">
        <v>4073</v>
      </c>
      <c r="E203" s="17" t="s">
        <v>4074</v>
      </c>
      <c r="F203" s="18"/>
      <c r="G203" s="18"/>
      <c r="H203" s="15" t="s">
        <v>4075</v>
      </c>
      <c r="I203" s="18"/>
      <c r="J203" s="19" t="s">
        <v>59</v>
      </c>
      <c r="K203" s="19" t="s">
        <v>284</v>
      </c>
      <c r="L203" s="19" t="s">
        <v>38</v>
      </c>
      <c r="M203" s="20">
        <f t="shared" si="2"/>
        <v>0</v>
      </c>
      <c r="N203" s="22"/>
      <c r="O203" s="19" t="s">
        <v>3578</v>
      </c>
      <c r="P203" s="18"/>
      <c r="Q203" s="18"/>
      <c r="R203" s="23">
        <v>0.0</v>
      </c>
      <c r="S203" s="23">
        <v>0.0</v>
      </c>
      <c r="T203" s="23">
        <f t="shared" si="3"/>
        <v>0</v>
      </c>
      <c r="U203" s="23">
        <f t="shared" si="4"/>
        <v>0</v>
      </c>
      <c r="V203" s="23">
        <f t="shared" si="5"/>
        <v>0</v>
      </c>
      <c r="W203" s="24" t="str">
        <f t="shared" si="6"/>
        <v>#DIV/0!</v>
      </c>
    </row>
    <row r="204">
      <c r="A204" s="15" t="s">
        <v>6365</v>
      </c>
      <c r="B204" s="18"/>
      <c r="C204" s="15" t="s">
        <v>6366</v>
      </c>
      <c r="D204" s="18"/>
      <c r="E204" s="17" t="s">
        <v>6367</v>
      </c>
      <c r="F204" s="18"/>
      <c r="G204" s="18"/>
      <c r="H204" s="15" t="s">
        <v>585</v>
      </c>
      <c r="I204" s="18"/>
      <c r="J204" s="19" t="s">
        <v>59</v>
      </c>
      <c r="K204" s="19" t="s">
        <v>284</v>
      </c>
      <c r="L204" s="19" t="s">
        <v>38</v>
      </c>
      <c r="M204" s="20">
        <f t="shared" si="2"/>
        <v>0</v>
      </c>
      <c r="N204" s="22"/>
      <c r="O204" s="19" t="s">
        <v>39</v>
      </c>
      <c r="P204" s="18"/>
      <c r="Q204" s="18"/>
      <c r="R204" s="23">
        <v>0.0</v>
      </c>
      <c r="S204" s="23">
        <v>0.0</v>
      </c>
      <c r="T204" s="23">
        <f t="shared" si="3"/>
        <v>0</v>
      </c>
      <c r="U204" s="23">
        <f t="shared" si="4"/>
        <v>0</v>
      </c>
      <c r="V204" s="23">
        <f t="shared" si="5"/>
        <v>0</v>
      </c>
      <c r="W204" s="24" t="str">
        <f t="shared" si="6"/>
        <v>#DIV/0!</v>
      </c>
    </row>
    <row r="205">
      <c r="A205" s="15" t="s">
        <v>4076</v>
      </c>
      <c r="B205" s="15" t="s">
        <v>4077</v>
      </c>
      <c r="C205" s="15" t="s">
        <v>6368</v>
      </c>
      <c r="D205" s="15" t="s">
        <v>4078</v>
      </c>
      <c r="E205" s="17" t="s">
        <v>4079</v>
      </c>
      <c r="F205" s="18"/>
      <c r="G205" s="18"/>
      <c r="H205" s="15" t="s">
        <v>4080</v>
      </c>
      <c r="I205" s="18"/>
      <c r="J205" s="19" t="s">
        <v>59</v>
      </c>
      <c r="K205" s="19" t="s">
        <v>52</v>
      </c>
      <c r="L205" s="19" t="s">
        <v>52</v>
      </c>
      <c r="M205" s="20">
        <f t="shared" si="2"/>
        <v>0</v>
      </c>
      <c r="N205" s="22"/>
      <c r="O205" s="19" t="s">
        <v>3578</v>
      </c>
      <c r="P205" s="18"/>
      <c r="Q205" s="18"/>
      <c r="R205" s="23">
        <v>0.0</v>
      </c>
      <c r="S205" s="23">
        <v>0.0</v>
      </c>
      <c r="T205" s="23">
        <f t="shared" si="3"/>
        <v>0</v>
      </c>
      <c r="U205" s="23">
        <f t="shared" si="4"/>
        <v>0</v>
      </c>
      <c r="V205" s="23">
        <f t="shared" si="5"/>
        <v>0</v>
      </c>
      <c r="W205" s="24" t="str">
        <f t="shared" si="6"/>
        <v>#DIV/0!</v>
      </c>
    </row>
    <row r="206">
      <c r="A206" s="15" t="s">
        <v>4081</v>
      </c>
      <c r="B206" s="15" t="s">
        <v>4082</v>
      </c>
      <c r="C206" s="15" t="s">
        <v>6369</v>
      </c>
      <c r="D206" s="18"/>
      <c r="E206" s="17" t="s">
        <v>4083</v>
      </c>
      <c r="F206" s="18"/>
      <c r="G206" s="18"/>
      <c r="H206" s="15" t="s">
        <v>4084</v>
      </c>
      <c r="I206" s="18"/>
      <c r="J206" s="19" t="s">
        <v>59</v>
      </c>
      <c r="K206" s="19" t="s">
        <v>52</v>
      </c>
      <c r="L206" s="19" t="s">
        <v>52</v>
      </c>
      <c r="M206" s="20">
        <f t="shared" si="2"/>
        <v>0</v>
      </c>
      <c r="N206" s="22"/>
      <c r="O206" s="19" t="s">
        <v>3578</v>
      </c>
      <c r="P206" s="18"/>
      <c r="Q206" s="18"/>
      <c r="R206" s="23">
        <v>0.0</v>
      </c>
      <c r="S206" s="23">
        <v>0.0</v>
      </c>
      <c r="T206" s="23">
        <f t="shared" si="3"/>
        <v>0</v>
      </c>
      <c r="U206" s="23">
        <f t="shared" si="4"/>
        <v>0</v>
      </c>
      <c r="V206" s="23">
        <f t="shared" si="5"/>
        <v>0</v>
      </c>
      <c r="W206" s="24" t="str">
        <f t="shared" si="6"/>
        <v>#DIV/0!</v>
      </c>
    </row>
    <row r="207">
      <c r="A207" s="15" t="s">
        <v>1367</v>
      </c>
      <c r="B207" s="18"/>
      <c r="C207" s="15" t="s">
        <v>6370</v>
      </c>
      <c r="D207" s="18"/>
      <c r="E207" s="17" t="s">
        <v>1368</v>
      </c>
      <c r="F207" s="18"/>
      <c r="G207" s="18"/>
      <c r="H207" s="15"/>
      <c r="I207" s="18"/>
      <c r="J207" s="19" t="s">
        <v>59</v>
      </c>
      <c r="K207" s="19" t="s">
        <v>37</v>
      </c>
      <c r="L207" s="19" t="s">
        <v>38</v>
      </c>
      <c r="M207" s="20">
        <f t="shared" si="2"/>
        <v>0</v>
      </c>
      <c r="N207" s="22"/>
      <c r="O207" s="19" t="s">
        <v>1145</v>
      </c>
      <c r="P207" s="18"/>
      <c r="Q207" s="18"/>
      <c r="R207" s="23">
        <v>0.0</v>
      </c>
      <c r="S207" s="23">
        <v>0.0</v>
      </c>
      <c r="T207" s="23">
        <f t="shared" si="3"/>
        <v>0</v>
      </c>
      <c r="U207" s="23">
        <f t="shared" si="4"/>
        <v>0</v>
      </c>
      <c r="V207" s="23">
        <f t="shared" si="5"/>
        <v>0</v>
      </c>
      <c r="W207" s="24" t="str">
        <f t="shared" si="6"/>
        <v>#DIV/0!</v>
      </c>
    </row>
    <row r="208">
      <c r="A208" s="15" t="s">
        <v>1369</v>
      </c>
      <c r="B208" s="18"/>
      <c r="C208" s="15" t="s">
        <v>6371</v>
      </c>
      <c r="D208" s="18"/>
      <c r="E208" s="17" t="s">
        <v>1370</v>
      </c>
      <c r="F208" s="18"/>
      <c r="G208" s="18"/>
      <c r="H208" s="15" t="s">
        <v>1371</v>
      </c>
      <c r="I208" s="18"/>
      <c r="J208" s="19" t="s">
        <v>59</v>
      </c>
      <c r="K208" s="19" t="s">
        <v>37</v>
      </c>
      <c r="L208" s="19" t="s">
        <v>38</v>
      </c>
      <c r="M208" s="20">
        <f t="shared" si="2"/>
        <v>0</v>
      </c>
      <c r="N208" s="22"/>
      <c r="O208" s="19" t="s">
        <v>1145</v>
      </c>
      <c r="P208" s="18"/>
      <c r="Q208" s="18"/>
      <c r="R208" s="23">
        <v>0.0</v>
      </c>
      <c r="S208" s="23">
        <v>0.0</v>
      </c>
      <c r="T208" s="23">
        <f t="shared" si="3"/>
        <v>0</v>
      </c>
      <c r="U208" s="23">
        <f t="shared" si="4"/>
        <v>0</v>
      </c>
      <c r="V208" s="23">
        <f t="shared" si="5"/>
        <v>0</v>
      </c>
      <c r="W208" s="24" t="str">
        <f t="shared" si="6"/>
        <v>#DIV/0!</v>
      </c>
    </row>
    <row r="209">
      <c r="A209" s="15" t="s">
        <v>1372</v>
      </c>
      <c r="B209" s="18"/>
      <c r="C209" s="15" t="s">
        <v>6372</v>
      </c>
      <c r="D209" s="18"/>
      <c r="E209" s="17" t="s">
        <v>1373</v>
      </c>
      <c r="F209" s="18"/>
      <c r="G209" s="18"/>
      <c r="H209" s="15" t="s">
        <v>1374</v>
      </c>
      <c r="I209" s="18"/>
      <c r="J209" s="19" t="s">
        <v>59</v>
      </c>
      <c r="K209" s="19" t="s">
        <v>1230</v>
      </c>
      <c r="L209" s="19" t="s">
        <v>38</v>
      </c>
      <c r="M209" s="20">
        <f t="shared" si="2"/>
        <v>0</v>
      </c>
      <c r="N209" s="22"/>
      <c r="O209" s="19" t="s">
        <v>1145</v>
      </c>
      <c r="P209" s="18"/>
      <c r="Q209" s="18"/>
      <c r="R209" s="23">
        <v>0.0</v>
      </c>
      <c r="S209" s="23">
        <v>0.0</v>
      </c>
      <c r="T209" s="23">
        <f t="shared" si="3"/>
        <v>0</v>
      </c>
      <c r="U209" s="23">
        <f t="shared" si="4"/>
        <v>0</v>
      </c>
      <c r="V209" s="23">
        <f t="shared" si="5"/>
        <v>0</v>
      </c>
      <c r="W209" s="24" t="str">
        <f t="shared" si="6"/>
        <v>#DIV/0!</v>
      </c>
    </row>
    <row r="210">
      <c r="A210" s="15" t="s">
        <v>4085</v>
      </c>
      <c r="B210" s="15" t="s">
        <v>4086</v>
      </c>
      <c r="C210" s="15" t="s">
        <v>6373</v>
      </c>
      <c r="D210" s="15" t="s">
        <v>4087</v>
      </c>
      <c r="E210" s="17" t="s">
        <v>4088</v>
      </c>
      <c r="F210" s="18"/>
      <c r="G210" s="18"/>
      <c r="H210" s="15" t="s">
        <v>4089</v>
      </c>
      <c r="I210" s="18"/>
      <c r="J210" s="19" t="s">
        <v>59</v>
      </c>
      <c r="K210" s="19" t="s">
        <v>52</v>
      </c>
      <c r="L210" s="19" t="s">
        <v>135</v>
      </c>
      <c r="M210" s="20">
        <f t="shared" si="2"/>
        <v>0</v>
      </c>
      <c r="N210" s="22"/>
      <c r="O210" s="19" t="s">
        <v>3578</v>
      </c>
      <c r="P210" s="18"/>
      <c r="Q210" s="18"/>
      <c r="R210" s="23">
        <v>0.0</v>
      </c>
      <c r="S210" s="23">
        <v>0.0</v>
      </c>
      <c r="T210" s="23">
        <f t="shared" si="3"/>
        <v>0</v>
      </c>
      <c r="U210" s="23">
        <f t="shared" si="4"/>
        <v>0</v>
      </c>
      <c r="V210" s="23">
        <f t="shared" si="5"/>
        <v>0</v>
      </c>
      <c r="W210" s="24" t="str">
        <f t="shared" si="6"/>
        <v>#DIV/0!</v>
      </c>
    </row>
    <row r="211">
      <c r="A211" s="15" t="s">
        <v>4090</v>
      </c>
      <c r="B211" s="15" t="s">
        <v>4091</v>
      </c>
      <c r="C211" s="15" t="s">
        <v>6374</v>
      </c>
      <c r="D211" s="15" t="s">
        <v>4092</v>
      </c>
      <c r="E211" s="17" t="s">
        <v>4093</v>
      </c>
      <c r="F211" s="18"/>
      <c r="G211" s="18"/>
      <c r="H211" s="15" t="s">
        <v>4094</v>
      </c>
      <c r="I211" s="18"/>
      <c r="J211" s="19" t="s">
        <v>59</v>
      </c>
      <c r="K211" s="19" t="s">
        <v>60</v>
      </c>
      <c r="L211" s="19" t="s">
        <v>135</v>
      </c>
      <c r="M211" s="20">
        <f t="shared" si="2"/>
        <v>0</v>
      </c>
      <c r="N211" s="22"/>
      <c r="O211" s="19" t="s">
        <v>3578</v>
      </c>
      <c r="P211" s="18"/>
      <c r="Q211" s="18"/>
      <c r="R211" s="23">
        <v>0.0</v>
      </c>
      <c r="S211" s="23">
        <v>0.0</v>
      </c>
      <c r="T211" s="23">
        <f t="shared" si="3"/>
        <v>0</v>
      </c>
      <c r="U211" s="23">
        <f t="shared" si="4"/>
        <v>0</v>
      </c>
      <c r="V211" s="23">
        <f t="shared" si="5"/>
        <v>0</v>
      </c>
      <c r="W211" s="24" t="str">
        <f t="shared" si="6"/>
        <v>#DIV/0!</v>
      </c>
    </row>
    <row r="212">
      <c r="A212" s="15" t="s">
        <v>4095</v>
      </c>
      <c r="B212" s="18" t="str">
        <f t="shared" ref="B212:B213" si="7">CONCATENATE(7504589,A212)</f>
        <v>75045891208</v>
      </c>
      <c r="C212" s="15" t="s">
        <v>6376</v>
      </c>
      <c r="D212" s="15" t="s">
        <v>4096</v>
      </c>
      <c r="E212" s="17" t="s">
        <v>4097</v>
      </c>
      <c r="F212" s="18"/>
      <c r="G212" s="18"/>
      <c r="H212" s="15" t="s">
        <v>4098</v>
      </c>
      <c r="I212" s="18"/>
      <c r="J212" s="19" t="s">
        <v>59</v>
      </c>
      <c r="K212" s="19" t="s">
        <v>60</v>
      </c>
      <c r="L212" s="19" t="s">
        <v>135</v>
      </c>
      <c r="M212" s="20">
        <f t="shared" si="2"/>
        <v>0</v>
      </c>
      <c r="N212" s="22"/>
      <c r="O212" s="19" t="s">
        <v>3578</v>
      </c>
      <c r="P212" s="18"/>
      <c r="Q212" s="18"/>
      <c r="R212" s="23">
        <v>0.0</v>
      </c>
      <c r="S212" s="23">
        <v>0.0</v>
      </c>
      <c r="T212" s="23">
        <f t="shared" si="3"/>
        <v>0</v>
      </c>
      <c r="U212" s="23">
        <f t="shared" si="4"/>
        <v>0</v>
      </c>
      <c r="V212" s="23">
        <f t="shared" si="5"/>
        <v>0</v>
      </c>
      <c r="W212" s="24" t="str">
        <f t="shared" si="6"/>
        <v>#DIV/0!</v>
      </c>
    </row>
    <row r="213">
      <c r="A213" s="15" t="s">
        <v>896</v>
      </c>
      <c r="B213" s="18" t="str">
        <f t="shared" si="7"/>
        <v>75045891209</v>
      </c>
      <c r="C213" s="15" t="s">
        <v>6083</v>
      </c>
      <c r="D213" s="15" t="s">
        <v>6084</v>
      </c>
      <c r="E213" s="17" t="s">
        <v>5993</v>
      </c>
      <c r="F213" s="18"/>
      <c r="G213" s="18"/>
      <c r="H213" s="15" t="s">
        <v>899</v>
      </c>
      <c r="I213" s="18"/>
      <c r="J213" s="19" t="s">
        <v>59</v>
      </c>
      <c r="K213" s="19" t="s">
        <v>60</v>
      </c>
      <c r="L213" s="19" t="s">
        <v>135</v>
      </c>
      <c r="M213" s="20">
        <f t="shared" si="2"/>
        <v>1420.8</v>
      </c>
      <c r="N213" s="31">
        <v>6.0</v>
      </c>
      <c r="O213" s="19" t="s">
        <v>107</v>
      </c>
      <c r="P213" s="18"/>
      <c r="Q213" s="18"/>
      <c r="R213" s="23">
        <v>10.0</v>
      </c>
      <c r="S213" s="23">
        <v>80.0</v>
      </c>
      <c r="T213" s="23">
        <f t="shared" si="3"/>
        <v>76.8</v>
      </c>
      <c r="U213" s="23">
        <f t="shared" si="4"/>
        <v>12.25</v>
      </c>
      <c r="V213" s="23">
        <f t="shared" si="5"/>
        <v>229.6875</v>
      </c>
      <c r="W213" s="24">
        <f t="shared" si="6"/>
        <v>7.68</v>
      </c>
    </row>
    <row r="214">
      <c r="A214" s="15" t="s">
        <v>4099</v>
      </c>
      <c r="B214" s="15" t="s">
        <v>4100</v>
      </c>
      <c r="C214" s="15" t="s">
        <v>6379</v>
      </c>
      <c r="D214" s="15" t="s">
        <v>4101</v>
      </c>
      <c r="E214" s="17" t="s">
        <v>4102</v>
      </c>
      <c r="F214" s="18"/>
      <c r="G214" s="18"/>
      <c r="H214" s="15" t="s">
        <v>4103</v>
      </c>
      <c r="I214" s="18"/>
      <c r="J214" s="19" t="s">
        <v>59</v>
      </c>
      <c r="K214" s="19" t="s">
        <v>52</v>
      </c>
      <c r="L214" s="19" t="s">
        <v>52</v>
      </c>
      <c r="M214" s="20">
        <f t="shared" si="2"/>
        <v>0</v>
      </c>
      <c r="N214" s="22"/>
      <c r="O214" s="19" t="s">
        <v>3578</v>
      </c>
      <c r="P214" s="18"/>
      <c r="Q214" s="18"/>
      <c r="R214" s="23">
        <v>0.0</v>
      </c>
      <c r="S214" s="23">
        <v>0.0</v>
      </c>
      <c r="T214" s="23">
        <f t="shared" si="3"/>
        <v>0</v>
      </c>
      <c r="U214" s="23">
        <f t="shared" si="4"/>
        <v>0</v>
      </c>
      <c r="V214" s="23">
        <f t="shared" si="5"/>
        <v>0</v>
      </c>
      <c r="W214" s="24" t="str">
        <f t="shared" si="6"/>
        <v>#DIV/0!</v>
      </c>
    </row>
    <row r="215">
      <c r="A215" s="15" t="s">
        <v>4104</v>
      </c>
      <c r="B215" s="18" t="str">
        <f t="shared" ref="B215:B218" si="8">CONCATENATE(7504589,A215)</f>
        <v>75045891211</v>
      </c>
      <c r="C215" s="15" t="s">
        <v>6380</v>
      </c>
      <c r="D215" s="15" t="s">
        <v>4105</v>
      </c>
      <c r="E215" s="17" t="s">
        <v>4106</v>
      </c>
      <c r="F215" s="18"/>
      <c r="G215" s="18"/>
      <c r="H215" s="15" t="s">
        <v>4107</v>
      </c>
      <c r="I215" s="18"/>
      <c r="J215" s="19" t="s">
        <v>59</v>
      </c>
      <c r="K215" s="19" t="s">
        <v>52</v>
      </c>
      <c r="L215" s="19" t="s">
        <v>135</v>
      </c>
      <c r="M215" s="20">
        <f t="shared" si="2"/>
        <v>0</v>
      </c>
      <c r="N215" s="22"/>
      <c r="O215" s="19" t="s">
        <v>3578</v>
      </c>
      <c r="P215" s="18"/>
      <c r="Q215" s="18"/>
      <c r="R215" s="23">
        <v>0.0</v>
      </c>
      <c r="S215" s="23">
        <v>0.0</v>
      </c>
      <c r="T215" s="23">
        <f t="shared" si="3"/>
        <v>0</v>
      </c>
      <c r="U215" s="23">
        <f t="shared" si="4"/>
        <v>0</v>
      </c>
      <c r="V215" s="23">
        <f t="shared" si="5"/>
        <v>0</v>
      </c>
      <c r="W215" s="24" t="str">
        <f t="shared" si="6"/>
        <v>#DIV/0!</v>
      </c>
    </row>
    <row r="216">
      <c r="A216" s="15" t="s">
        <v>4108</v>
      </c>
      <c r="B216" s="18" t="str">
        <f t="shared" si="8"/>
        <v>75045891212</v>
      </c>
      <c r="C216" s="15" t="s">
        <v>6382</v>
      </c>
      <c r="D216" s="15" t="s">
        <v>4109</v>
      </c>
      <c r="E216" s="17" t="s">
        <v>4110</v>
      </c>
      <c r="F216" s="18"/>
      <c r="G216" s="18"/>
      <c r="H216" s="15" t="s">
        <v>1377</v>
      </c>
      <c r="I216" s="18"/>
      <c r="J216" s="19" t="s">
        <v>59</v>
      </c>
      <c r="K216" s="19" t="s">
        <v>52</v>
      </c>
      <c r="L216" s="19" t="s">
        <v>135</v>
      </c>
      <c r="M216" s="20">
        <f t="shared" si="2"/>
        <v>0</v>
      </c>
      <c r="N216" s="22"/>
      <c r="O216" s="19" t="s">
        <v>3578</v>
      </c>
      <c r="P216" s="18"/>
      <c r="Q216" s="18"/>
      <c r="R216" s="23">
        <v>0.0</v>
      </c>
      <c r="S216" s="23">
        <v>0.0</v>
      </c>
      <c r="T216" s="23">
        <f t="shared" si="3"/>
        <v>0</v>
      </c>
      <c r="U216" s="23">
        <f t="shared" si="4"/>
        <v>0</v>
      </c>
      <c r="V216" s="23">
        <f t="shared" si="5"/>
        <v>0</v>
      </c>
      <c r="W216" s="24" t="str">
        <f t="shared" si="6"/>
        <v>#DIV/0!</v>
      </c>
    </row>
    <row r="217">
      <c r="A217" s="15" t="s">
        <v>4111</v>
      </c>
      <c r="B217" s="18" t="str">
        <f t="shared" si="8"/>
        <v>75045891213</v>
      </c>
      <c r="C217" s="15" t="s">
        <v>6383</v>
      </c>
      <c r="D217" s="15" t="s">
        <v>4112</v>
      </c>
      <c r="E217" s="17" t="s">
        <v>4113</v>
      </c>
      <c r="F217" s="18"/>
      <c r="G217" s="18"/>
      <c r="H217" s="15" t="s">
        <v>4114</v>
      </c>
      <c r="I217" s="18"/>
      <c r="J217" s="19" t="s">
        <v>59</v>
      </c>
      <c r="K217" s="19" t="s">
        <v>52</v>
      </c>
      <c r="L217" s="19" t="s">
        <v>135</v>
      </c>
      <c r="M217" s="20">
        <f t="shared" si="2"/>
        <v>0</v>
      </c>
      <c r="N217" s="22"/>
      <c r="O217" s="19" t="s">
        <v>3578</v>
      </c>
      <c r="P217" s="18"/>
      <c r="Q217" s="18"/>
      <c r="R217" s="23">
        <v>0.0</v>
      </c>
      <c r="S217" s="23">
        <v>0.0</v>
      </c>
      <c r="T217" s="23">
        <f t="shared" si="3"/>
        <v>0</v>
      </c>
      <c r="U217" s="23">
        <f t="shared" si="4"/>
        <v>0</v>
      </c>
      <c r="V217" s="23">
        <f t="shared" si="5"/>
        <v>0</v>
      </c>
      <c r="W217" s="24" t="str">
        <f t="shared" si="6"/>
        <v>#DIV/0!</v>
      </c>
    </row>
    <row r="218">
      <c r="A218" s="15" t="s">
        <v>1375</v>
      </c>
      <c r="B218" s="18" t="str">
        <f t="shared" si="8"/>
        <v>75045891214</v>
      </c>
      <c r="C218" s="15" t="s">
        <v>6385</v>
      </c>
      <c r="D218" s="18"/>
      <c r="E218" s="17" t="s">
        <v>1376</v>
      </c>
      <c r="F218" s="18"/>
      <c r="G218" s="18"/>
      <c r="H218" s="15" t="s">
        <v>1377</v>
      </c>
      <c r="I218" s="18"/>
      <c r="J218" s="19" t="s">
        <v>59</v>
      </c>
      <c r="K218" s="19" t="s">
        <v>37</v>
      </c>
      <c r="L218" s="19" t="s">
        <v>38</v>
      </c>
      <c r="M218" s="20">
        <f t="shared" si="2"/>
        <v>0</v>
      </c>
      <c r="N218" s="22"/>
      <c r="O218" s="19" t="s">
        <v>1145</v>
      </c>
      <c r="P218" s="18"/>
      <c r="Q218" s="18"/>
      <c r="R218" s="23">
        <v>0.0</v>
      </c>
      <c r="S218" s="23">
        <v>0.0</v>
      </c>
      <c r="T218" s="23">
        <f t="shared" si="3"/>
        <v>0</v>
      </c>
      <c r="U218" s="23">
        <f t="shared" si="4"/>
        <v>0</v>
      </c>
      <c r="V218" s="23">
        <f t="shared" si="5"/>
        <v>0</v>
      </c>
      <c r="W218" s="24" t="str">
        <f t="shared" si="6"/>
        <v>#DIV/0!</v>
      </c>
    </row>
    <row r="219">
      <c r="A219" s="15" t="s">
        <v>6386</v>
      </c>
      <c r="B219" s="18"/>
      <c r="C219" s="15" t="s">
        <v>6387</v>
      </c>
      <c r="D219" s="18"/>
      <c r="E219" s="17" t="s">
        <v>6384</v>
      </c>
      <c r="F219" s="18"/>
      <c r="G219" s="18"/>
      <c r="H219" s="15" t="s">
        <v>4114</v>
      </c>
      <c r="I219" s="18"/>
      <c r="J219" s="19" t="s">
        <v>59</v>
      </c>
      <c r="K219" s="19" t="s">
        <v>37</v>
      </c>
      <c r="L219" s="19" t="s">
        <v>38</v>
      </c>
      <c r="M219" s="20">
        <f t="shared" si="2"/>
        <v>0</v>
      </c>
      <c r="N219" s="22"/>
      <c r="O219" s="19" t="s">
        <v>1145</v>
      </c>
      <c r="P219" s="18"/>
      <c r="Q219" s="18"/>
      <c r="R219" s="23">
        <v>0.0</v>
      </c>
      <c r="S219" s="23">
        <v>0.0</v>
      </c>
      <c r="T219" s="23">
        <f t="shared" si="3"/>
        <v>0</v>
      </c>
      <c r="U219" s="23">
        <f t="shared" si="4"/>
        <v>0</v>
      </c>
      <c r="V219" s="23">
        <f t="shared" si="5"/>
        <v>0</v>
      </c>
      <c r="W219" s="24" t="str">
        <f t="shared" si="6"/>
        <v>#DIV/0!</v>
      </c>
    </row>
    <row r="220">
      <c r="A220" s="15" t="s">
        <v>4115</v>
      </c>
      <c r="B220" s="18" t="str">
        <f>CONCATENATE(7504589,A220)</f>
        <v>75045891216</v>
      </c>
      <c r="C220" s="15" t="s">
        <v>6388</v>
      </c>
      <c r="D220" s="15" t="s">
        <v>4116</v>
      </c>
      <c r="E220" s="17" t="s">
        <v>4117</v>
      </c>
      <c r="F220" s="18"/>
      <c r="G220" s="18"/>
      <c r="H220" s="15" t="s">
        <v>4118</v>
      </c>
      <c r="I220" s="18"/>
      <c r="J220" s="19" t="s">
        <v>59</v>
      </c>
      <c r="K220" s="19" t="s">
        <v>52</v>
      </c>
      <c r="L220" s="19" t="s">
        <v>135</v>
      </c>
      <c r="M220" s="20">
        <f t="shared" si="2"/>
        <v>0</v>
      </c>
      <c r="N220" s="22"/>
      <c r="O220" s="19" t="s">
        <v>3578</v>
      </c>
      <c r="P220" s="18"/>
      <c r="Q220" s="18"/>
      <c r="R220" s="23">
        <v>0.0</v>
      </c>
      <c r="S220" s="23">
        <v>0.0</v>
      </c>
      <c r="T220" s="23">
        <f t="shared" si="3"/>
        <v>0</v>
      </c>
      <c r="U220" s="23">
        <f t="shared" si="4"/>
        <v>0</v>
      </c>
      <c r="V220" s="23">
        <f t="shared" si="5"/>
        <v>0</v>
      </c>
      <c r="W220" s="24" t="str">
        <f t="shared" si="6"/>
        <v>#DIV/0!</v>
      </c>
    </row>
    <row r="221">
      <c r="A221" s="15" t="s">
        <v>4119</v>
      </c>
      <c r="B221" s="15" t="s">
        <v>4120</v>
      </c>
      <c r="C221" s="15" t="s">
        <v>6390</v>
      </c>
      <c r="D221" s="15" t="s">
        <v>4121</v>
      </c>
      <c r="E221" s="17" t="s">
        <v>4122</v>
      </c>
      <c r="F221" s="18"/>
      <c r="G221" s="18"/>
      <c r="H221" s="15" t="s">
        <v>4123</v>
      </c>
      <c r="I221" s="18"/>
      <c r="J221" s="19" t="s">
        <v>59</v>
      </c>
      <c r="K221" s="19" t="s">
        <v>1269</v>
      </c>
      <c r="L221" s="19" t="s">
        <v>38</v>
      </c>
      <c r="M221" s="20">
        <f t="shared" si="2"/>
        <v>0</v>
      </c>
      <c r="N221" s="22"/>
      <c r="O221" s="19" t="s">
        <v>3578</v>
      </c>
      <c r="P221" s="18"/>
      <c r="Q221" s="18"/>
      <c r="R221" s="23">
        <v>0.0</v>
      </c>
      <c r="S221" s="23">
        <v>0.0</v>
      </c>
      <c r="T221" s="23">
        <f t="shared" si="3"/>
        <v>0</v>
      </c>
      <c r="U221" s="23">
        <f t="shared" si="4"/>
        <v>0</v>
      </c>
      <c r="V221" s="23">
        <f t="shared" si="5"/>
        <v>0</v>
      </c>
      <c r="W221" s="24" t="str">
        <f t="shared" si="6"/>
        <v>#DIV/0!</v>
      </c>
    </row>
    <row r="222">
      <c r="A222" s="15" t="s">
        <v>4124</v>
      </c>
      <c r="B222" s="15" t="s">
        <v>4125</v>
      </c>
      <c r="C222" s="15" t="s">
        <v>6391</v>
      </c>
      <c r="D222" s="15" t="s">
        <v>4126</v>
      </c>
      <c r="E222" s="17" t="s">
        <v>4127</v>
      </c>
      <c r="F222" s="18"/>
      <c r="G222" s="18"/>
      <c r="H222" s="15" t="s">
        <v>4128</v>
      </c>
      <c r="I222" s="18"/>
      <c r="J222" s="19" t="s">
        <v>59</v>
      </c>
      <c r="K222" s="19" t="s">
        <v>1269</v>
      </c>
      <c r="L222" s="19" t="s">
        <v>38</v>
      </c>
      <c r="M222" s="20">
        <f t="shared" si="2"/>
        <v>0</v>
      </c>
      <c r="N222" s="22"/>
      <c r="O222" s="19" t="s">
        <v>3578</v>
      </c>
      <c r="P222" s="18"/>
      <c r="Q222" s="18"/>
      <c r="R222" s="23">
        <v>0.0</v>
      </c>
      <c r="S222" s="23">
        <v>0.0</v>
      </c>
      <c r="T222" s="23">
        <f t="shared" si="3"/>
        <v>0</v>
      </c>
      <c r="U222" s="23">
        <f t="shared" si="4"/>
        <v>0</v>
      </c>
      <c r="V222" s="23">
        <f t="shared" si="5"/>
        <v>0</v>
      </c>
      <c r="W222" s="24" t="str">
        <f t="shared" si="6"/>
        <v>#DIV/0!</v>
      </c>
    </row>
    <row r="223">
      <c r="A223" s="15" t="s">
        <v>4129</v>
      </c>
      <c r="B223" s="15" t="s">
        <v>4130</v>
      </c>
      <c r="C223" s="15" t="s">
        <v>6392</v>
      </c>
      <c r="D223" s="15" t="s">
        <v>4131</v>
      </c>
      <c r="E223" s="17" t="s">
        <v>4132</v>
      </c>
      <c r="F223" s="18"/>
      <c r="G223" s="18"/>
      <c r="H223" s="15" t="s">
        <v>4133</v>
      </c>
      <c r="I223" s="18"/>
      <c r="J223" s="19" t="s">
        <v>59</v>
      </c>
      <c r="K223" s="19" t="s">
        <v>1269</v>
      </c>
      <c r="L223" s="19" t="s">
        <v>38</v>
      </c>
      <c r="M223" s="20">
        <f t="shared" si="2"/>
        <v>0</v>
      </c>
      <c r="N223" s="22"/>
      <c r="O223" s="19" t="s">
        <v>3578</v>
      </c>
      <c r="P223" s="18"/>
      <c r="Q223" s="18"/>
      <c r="R223" s="23">
        <v>0.0</v>
      </c>
      <c r="S223" s="23">
        <v>0.0</v>
      </c>
      <c r="T223" s="23">
        <f t="shared" si="3"/>
        <v>0</v>
      </c>
      <c r="U223" s="23">
        <f t="shared" si="4"/>
        <v>0</v>
      </c>
      <c r="V223" s="23">
        <f t="shared" si="5"/>
        <v>0</v>
      </c>
      <c r="W223" s="24" t="str">
        <f t="shared" si="6"/>
        <v>#DIV/0!</v>
      </c>
    </row>
    <row r="224">
      <c r="A224" s="15" t="s">
        <v>4134</v>
      </c>
      <c r="B224" s="15" t="s">
        <v>4135</v>
      </c>
      <c r="C224" s="15" t="s">
        <v>6393</v>
      </c>
      <c r="D224" s="15" t="s">
        <v>4136</v>
      </c>
      <c r="E224" s="17" t="s">
        <v>4137</v>
      </c>
      <c r="F224" s="18"/>
      <c r="G224" s="18"/>
      <c r="H224" s="15" t="s">
        <v>4138</v>
      </c>
      <c r="I224" s="18"/>
      <c r="J224" s="19" t="s">
        <v>59</v>
      </c>
      <c r="K224" s="19" t="s">
        <v>52</v>
      </c>
      <c r="L224" s="19" t="s">
        <v>52</v>
      </c>
      <c r="M224" s="20">
        <f t="shared" si="2"/>
        <v>0</v>
      </c>
      <c r="N224" s="22"/>
      <c r="O224" s="19" t="s">
        <v>3578</v>
      </c>
      <c r="P224" s="18"/>
      <c r="Q224" s="18"/>
      <c r="R224" s="23">
        <v>0.0</v>
      </c>
      <c r="S224" s="23">
        <v>0.0</v>
      </c>
      <c r="T224" s="23">
        <f t="shared" si="3"/>
        <v>0</v>
      </c>
      <c r="U224" s="23">
        <f t="shared" si="4"/>
        <v>0</v>
      </c>
      <c r="V224" s="23">
        <f t="shared" si="5"/>
        <v>0</v>
      </c>
      <c r="W224" s="24" t="str">
        <f t="shared" si="6"/>
        <v>#DIV/0!</v>
      </c>
    </row>
    <row r="225">
      <c r="A225" s="15" t="s">
        <v>4139</v>
      </c>
      <c r="B225" s="15" t="s">
        <v>4140</v>
      </c>
      <c r="C225" s="15" t="s">
        <v>6394</v>
      </c>
      <c r="D225" s="15" t="s">
        <v>4141</v>
      </c>
      <c r="E225" s="17" t="s">
        <v>4142</v>
      </c>
      <c r="F225" s="18"/>
      <c r="G225" s="18"/>
      <c r="H225" s="15" t="s">
        <v>4143</v>
      </c>
      <c r="I225" s="15" t="s">
        <v>4144</v>
      </c>
      <c r="J225" s="19" t="s">
        <v>59</v>
      </c>
      <c r="K225" s="19" t="s">
        <v>60</v>
      </c>
      <c r="L225" s="19" t="s">
        <v>115</v>
      </c>
      <c r="M225" s="20">
        <f t="shared" si="2"/>
        <v>0</v>
      </c>
      <c r="N225" s="22"/>
      <c r="O225" s="19" t="s">
        <v>3578</v>
      </c>
      <c r="P225" s="18"/>
      <c r="Q225" s="18"/>
      <c r="R225" s="23">
        <v>0.0</v>
      </c>
      <c r="S225" s="23">
        <v>0.0</v>
      </c>
      <c r="T225" s="23">
        <f t="shared" si="3"/>
        <v>0</v>
      </c>
      <c r="U225" s="23">
        <f t="shared" si="4"/>
        <v>0</v>
      </c>
      <c r="V225" s="23">
        <f t="shared" si="5"/>
        <v>0</v>
      </c>
      <c r="W225" s="24" t="str">
        <f t="shared" si="6"/>
        <v>#DIV/0!</v>
      </c>
    </row>
    <row r="226">
      <c r="A226" s="15" t="s">
        <v>4145</v>
      </c>
      <c r="B226" s="15" t="s">
        <v>4146</v>
      </c>
      <c r="C226" s="15" t="s">
        <v>6395</v>
      </c>
      <c r="D226" s="15" t="s">
        <v>4147</v>
      </c>
      <c r="E226" s="17" t="s">
        <v>4148</v>
      </c>
      <c r="F226" s="18"/>
      <c r="G226" s="18"/>
      <c r="H226" s="15" t="s">
        <v>4149</v>
      </c>
      <c r="I226" s="18"/>
      <c r="J226" s="19" t="s">
        <v>59</v>
      </c>
      <c r="K226" s="19" t="s">
        <v>1230</v>
      </c>
      <c r="L226" s="19" t="s">
        <v>38</v>
      </c>
      <c r="M226" s="20">
        <f t="shared" si="2"/>
        <v>0</v>
      </c>
      <c r="N226" s="22"/>
      <c r="O226" s="19" t="s">
        <v>3578</v>
      </c>
      <c r="P226" s="18"/>
      <c r="Q226" s="18"/>
      <c r="R226" s="23">
        <v>0.0</v>
      </c>
      <c r="S226" s="23">
        <v>0.0</v>
      </c>
      <c r="T226" s="23">
        <f t="shared" si="3"/>
        <v>0</v>
      </c>
      <c r="U226" s="23">
        <f t="shared" si="4"/>
        <v>0</v>
      </c>
      <c r="V226" s="23">
        <f t="shared" si="5"/>
        <v>0</v>
      </c>
      <c r="W226" s="24" t="str">
        <f t="shared" si="6"/>
        <v>#DIV/0!</v>
      </c>
    </row>
    <row r="227">
      <c r="A227" s="15" t="s">
        <v>1378</v>
      </c>
      <c r="B227" s="18"/>
      <c r="C227" s="15" t="s">
        <v>6396</v>
      </c>
      <c r="D227" s="18"/>
      <c r="E227" s="17" t="s">
        <v>1379</v>
      </c>
      <c r="F227" s="18"/>
      <c r="G227" s="18"/>
      <c r="H227" s="15" t="s">
        <v>1380</v>
      </c>
      <c r="I227" s="18"/>
      <c r="J227" s="19" t="s">
        <v>59</v>
      </c>
      <c r="K227" s="19" t="s">
        <v>1230</v>
      </c>
      <c r="L227" s="19" t="s">
        <v>38</v>
      </c>
      <c r="M227" s="20">
        <f t="shared" si="2"/>
        <v>0</v>
      </c>
      <c r="N227" s="22"/>
      <c r="O227" s="19" t="s">
        <v>1145</v>
      </c>
      <c r="P227" s="18"/>
      <c r="Q227" s="18"/>
      <c r="R227" s="23">
        <v>0.0</v>
      </c>
      <c r="S227" s="23">
        <v>0.0</v>
      </c>
      <c r="T227" s="23">
        <f t="shared" si="3"/>
        <v>0</v>
      </c>
      <c r="U227" s="23">
        <f t="shared" si="4"/>
        <v>0</v>
      </c>
      <c r="V227" s="23">
        <f t="shared" si="5"/>
        <v>0</v>
      </c>
      <c r="W227" s="24" t="str">
        <f t="shared" si="6"/>
        <v>#DIV/0!</v>
      </c>
    </row>
    <row r="228">
      <c r="A228" s="15" t="s">
        <v>1381</v>
      </c>
      <c r="B228" s="18"/>
      <c r="C228" s="15" t="s">
        <v>6397</v>
      </c>
      <c r="D228" s="18"/>
      <c r="E228" s="17" t="s">
        <v>1382</v>
      </c>
      <c r="F228" s="18"/>
      <c r="G228" s="18"/>
      <c r="H228" s="15" t="s">
        <v>1383</v>
      </c>
      <c r="I228" s="18"/>
      <c r="J228" s="19" t="s">
        <v>59</v>
      </c>
      <c r="K228" s="19" t="s">
        <v>1230</v>
      </c>
      <c r="L228" s="19" t="s">
        <v>38</v>
      </c>
      <c r="M228" s="20">
        <f t="shared" si="2"/>
        <v>0</v>
      </c>
      <c r="N228" s="22"/>
      <c r="O228" s="19" t="s">
        <v>1145</v>
      </c>
      <c r="P228" s="18"/>
      <c r="Q228" s="18"/>
      <c r="R228" s="23">
        <v>0.0</v>
      </c>
      <c r="S228" s="23">
        <v>0.0</v>
      </c>
      <c r="T228" s="23">
        <f t="shared" si="3"/>
        <v>0</v>
      </c>
      <c r="U228" s="23">
        <f t="shared" si="4"/>
        <v>0</v>
      </c>
      <c r="V228" s="23">
        <f t="shared" si="5"/>
        <v>0</v>
      </c>
      <c r="W228" s="24" t="str">
        <f t="shared" si="6"/>
        <v>#DIV/0!</v>
      </c>
    </row>
    <row r="229">
      <c r="A229" s="15" t="s">
        <v>6398</v>
      </c>
      <c r="B229" s="18"/>
      <c r="C229" s="15" t="s">
        <v>6399</v>
      </c>
      <c r="D229" s="18"/>
      <c r="E229" s="17" t="s">
        <v>6400</v>
      </c>
      <c r="F229" s="18"/>
      <c r="G229" s="18"/>
      <c r="H229" s="15" t="s">
        <v>4028</v>
      </c>
      <c r="I229" s="18"/>
      <c r="J229" s="19" t="s">
        <v>59</v>
      </c>
      <c r="K229" s="19" t="s">
        <v>37</v>
      </c>
      <c r="L229" s="19" t="s">
        <v>38</v>
      </c>
      <c r="M229" s="20">
        <f t="shared" si="2"/>
        <v>0</v>
      </c>
      <c r="N229" s="22"/>
      <c r="O229" s="19" t="s">
        <v>39</v>
      </c>
      <c r="P229" s="18"/>
      <c r="Q229" s="18"/>
      <c r="R229" s="23">
        <v>0.0</v>
      </c>
      <c r="S229" s="23">
        <v>0.0</v>
      </c>
      <c r="T229" s="23">
        <f t="shared" si="3"/>
        <v>0</v>
      </c>
      <c r="U229" s="23">
        <f t="shared" si="4"/>
        <v>0</v>
      </c>
      <c r="V229" s="23">
        <f t="shared" si="5"/>
        <v>0</v>
      </c>
      <c r="W229" s="24" t="str">
        <f t="shared" si="6"/>
        <v>#DIV/0!</v>
      </c>
    </row>
    <row r="230">
      <c r="A230" s="15" t="s">
        <v>4150</v>
      </c>
      <c r="B230" s="15" t="s">
        <v>4151</v>
      </c>
      <c r="C230" s="15" t="s">
        <v>6401</v>
      </c>
      <c r="D230" s="15" t="s">
        <v>4152</v>
      </c>
      <c r="E230" s="17" t="s">
        <v>4153</v>
      </c>
      <c r="F230" s="18"/>
      <c r="G230" s="18"/>
      <c r="H230" s="15" t="s">
        <v>4154</v>
      </c>
      <c r="I230" s="18"/>
      <c r="J230" s="19" t="s">
        <v>59</v>
      </c>
      <c r="K230" s="19" t="s">
        <v>37</v>
      </c>
      <c r="L230" s="19" t="s">
        <v>38</v>
      </c>
      <c r="M230" s="20">
        <f t="shared" si="2"/>
        <v>0</v>
      </c>
      <c r="N230" s="22"/>
      <c r="O230" s="19" t="s">
        <v>3578</v>
      </c>
      <c r="P230" s="18"/>
      <c r="Q230" s="18"/>
      <c r="R230" s="23">
        <v>0.0</v>
      </c>
      <c r="S230" s="23">
        <v>0.0</v>
      </c>
      <c r="T230" s="23">
        <f t="shared" si="3"/>
        <v>0</v>
      </c>
      <c r="U230" s="23">
        <f t="shared" si="4"/>
        <v>0</v>
      </c>
      <c r="V230" s="23">
        <f t="shared" si="5"/>
        <v>0</v>
      </c>
      <c r="W230" s="24" t="str">
        <f t="shared" si="6"/>
        <v>#DIV/0!</v>
      </c>
    </row>
    <row r="231">
      <c r="A231" s="15" t="s">
        <v>4155</v>
      </c>
      <c r="B231" s="15" t="s">
        <v>4156</v>
      </c>
      <c r="C231" s="15" t="s">
        <v>6402</v>
      </c>
      <c r="D231" s="15" t="s">
        <v>4157</v>
      </c>
      <c r="E231" s="17" t="s">
        <v>4158</v>
      </c>
      <c r="F231" s="18"/>
      <c r="G231" s="18"/>
      <c r="H231" s="15" t="s">
        <v>4159</v>
      </c>
      <c r="I231" s="18"/>
      <c r="J231" s="19" t="s">
        <v>59</v>
      </c>
      <c r="K231" s="19" t="s">
        <v>37</v>
      </c>
      <c r="L231" s="19" t="s">
        <v>38</v>
      </c>
      <c r="M231" s="20">
        <f t="shared" si="2"/>
        <v>0</v>
      </c>
      <c r="N231" s="22"/>
      <c r="O231" s="19" t="s">
        <v>3578</v>
      </c>
      <c r="P231" s="18"/>
      <c r="Q231" s="18"/>
      <c r="R231" s="23">
        <v>0.0</v>
      </c>
      <c r="S231" s="23">
        <v>0.0</v>
      </c>
      <c r="T231" s="23">
        <f t="shared" si="3"/>
        <v>0</v>
      </c>
      <c r="U231" s="23">
        <f t="shared" si="4"/>
        <v>0</v>
      </c>
      <c r="V231" s="23">
        <f t="shared" si="5"/>
        <v>0</v>
      </c>
      <c r="W231" s="24" t="str">
        <f t="shared" si="6"/>
        <v>#DIV/0!</v>
      </c>
    </row>
    <row r="232">
      <c r="A232" s="15" t="s">
        <v>4160</v>
      </c>
      <c r="B232" s="15" t="s">
        <v>4161</v>
      </c>
      <c r="C232" s="15" t="s">
        <v>6403</v>
      </c>
      <c r="D232" s="15" t="s">
        <v>6404</v>
      </c>
      <c r="E232" s="17" t="s">
        <v>4163</v>
      </c>
      <c r="F232" s="18"/>
      <c r="G232" s="18"/>
      <c r="H232" s="15" t="s">
        <v>4164</v>
      </c>
      <c r="I232" s="18"/>
      <c r="J232" s="19" t="s">
        <v>59</v>
      </c>
      <c r="K232" s="19" t="s">
        <v>37</v>
      </c>
      <c r="L232" s="19" t="s">
        <v>38</v>
      </c>
      <c r="M232" s="20">
        <f t="shared" si="2"/>
        <v>0</v>
      </c>
      <c r="N232" s="22"/>
      <c r="O232" s="19" t="s">
        <v>3578</v>
      </c>
      <c r="P232" s="18"/>
      <c r="Q232" s="18"/>
      <c r="R232" s="23">
        <v>0.0</v>
      </c>
      <c r="S232" s="23">
        <v>0.0</v>
      </c>
      <c r="T232" s="23">
        <f t="shared" si="3"/>
        <v>0</v>
      </c>
      <c r="U232" s="23">
        <f t="shared" si="4"/>
        <v>0</v>
      </c>
      <c r="V232" s="23">
        <f t="shared" si="5"/>
        <v>0</v>
      </c>
      <c r="W232" s="24" t="str">
        <f t="shared" si="6"/>
        <v>#DIV/0!</v>
      </c>
    </row>
    <row r="233">
      <c r="A233" s="15" t="s">
        <v>4165</v>
      </c>
      <c r="B233" s="15" t="s">
        <v>4166</v>
      </c>
      <c r="C233" s="15" t="s">
        <v>6405</v>
      </c>
      <c r="D233" s="15" t="s">
        <v>4167</v>
      </c>
      <c r="E233" s="17" t="s">
        <v>4168</v>
      </c>
      <c r="F233" s="18"/>
      <c r="G233" s="18"/>
      <c r="H233" s="15" t="s">
        <v>4169</v>
      </c>
      <c r="I233" s="18"/>
      <c r="J233" s="19" t="s">
        <v>59</v>
      </c>
      <c r="K233" s="19" t="s">
        <v>52</v>
      </c>
      <c r="L233" s="19" t="s">
        <v>115</v>
      </c>
      <c r="M233" s="20">
        <f t="shared" si="2"/>
        <v>0</v>
      </c>
      <c r="N233" s="22"/>
      <c r="O233" s="19" t="s">
        <v>3578</v>
      </c>
      <c r="P233" s="18"/>
      <c r="Q233" s="18"/>
      <c r="R233" s="23">
        <v>0.0</v>
      </c>
      <c r="S233" s="23">
        <v>0.0</v>
      </c>
      <c r="T233" s="23">
        <f t="shared" si="3"/>
        <v>0</v>
      </c>
      <c r="U233" s="23">
        <f t="shared" si="4"/>
        <v>0</v>
      </c>
      <c r="V233" s="23">
        <f t="shared" si="5"/>
        <v>0</v>
      </c>
      <c r="W233" s="24" t="str">
        <f t="shared" si="6"/>
        <v>#DIV/0!</v>
      </c>
    </row>
    <row r="234">
      <c r="A234" s="15" t="s">
        <v>4170</v>
      </c>
      <c r="B234" s="15" t="s">
        <v>4171</v>
      </c>
      <c r="C234" s="15" t="s">
        <v>6406</v>
      </c>
      <c r="D234" s="15" t="s">
        <v>4172</v>
      </c>
      <c r="E234" s="17" t="s">
        <v>4173</v>
      </c>
      <c r="F234" s="18"/>
      <c r="G234" s="18"/>
      <c r="H234" s="15" t="s">
        <v>4174</v>
      </c>
      <c r="I234" s="18"/>
      <c r="J234" s="19" t="s">
        <v>59</v>
      </c>
      <c r="K234" s="19" t="s">
        <v>402</v>
      </c>
      <c r="L234" s="19" t="s">
        <v>115</v>
      </c>
      <c r="M234" s="20">
        <f t="shared" si="2"/>
        <v>0</v>
      </c>
      <c r="N234" s="22"/>
      <c r="O234" s="19" t="s">
        <v>3578</v>
      </c>
      <c r="P234" s="18"/>
      <c r="Q234" s="18"/>
      <c r="R234" s="23">
        <v>0.0</v>
      </c>
      <c r="S234" s="23">
        <v>0.0</v>
      </c>
      <c r="T234" s="23">
        <f t="shared" si="3"/>
        <v>0</v>
      </c>
      <c r="U234" s="23">
        <f t="shared" si="4"/>
        <v>0</v>
      </c>
      <c r="V234" s="23">
        <f t="shared" si="5"/>
        <v>0</v>
      </c>
      <c r="W234" s="24" t="str">
        <f t="shared" si="6"/>
        <v>#DIV/0!</v>
      </c>
    </row>
    <row r="235">
      <c r="A235" s="15" t="s">
        <v>6407</v>
      </c>
      <c r="B235" s="18"/>
      <c r="C235" s="15" t="s">
        <v>6408</v>
      </c>
      <c r="D235" s="18"/>
      <c r="E235" s="17" t="s">
        <v>6409</v>
      </c>
      <c r="F235" s="18"/>
      <c r="G235" s="18"/>
      <c r="H235" s="15" t="s">
        <v>5179</v>
      </c>
      <c r="I235" s="18"/>
      <c r="J235" s="19" t="s">
        <v>59</v>
      </c>
      <c r="K235" s="19" t="s">
        <v>603</v>
      </c>
      <c r="L235" s="19" t="s">
        <v>38</v>
      </c>
      <c r="M235" s="20">
        <f t="shared" si="2"/>
        <v>0</v>
      </c>
      <c r="N235" s="22"/>
      <c r="O235" s="19" t="s">
        <v>39</v>
      </c>
      <c r="P235" s="18"/>
      <c r="Q235" s="18"/>
      <c r="R235" s="23">
        <v>0.0</v>
      </c>
      <c r="S235" s="23">
        <v>0.0</v>
      </c>
      <c r="T235" s="23">
        <f t="shared" si="3"/>
        <v>0</v>
      </c>
      <c r="U235" s="23">
        <f t="shared" si="4"/>
        <v>0</v>
      </c>
      <c r="V235" s="23">
        <f t="shared" si="5"/>
        <v>0</v>
      </c>
      <c r="W235" s="24" t="str">
        <f t="shared" si="6"/>
        <v>#DIV/0!</v>
      </c>
    </row>
    <row r="236">
      <c r="A236" s="15" t="s">
        <v>6410</v>
      </c>
      <c r="B236" s="15" t="s">
        <v>5099</v>
      </c>
      <c r="C236" s="15" t="s">
        <v>6411</v>
      </c>
      <c r="D236" s="15"/>
      <c r="E236" s="17" t="s">
        <v>5101</v>
      </c>
      <c r="F236" s="18"/>
      <c r="G236" s="18"/>
      <c r="H236" s="15" t="s">
        <v>5102</v>
      </c>
      <c r="I236" s="18"/>
      <c r="J236" s="19" t="s">
        <v>59</v>
      </c>
      <c r="K236" s="19" t="s">
        <v>105</v>
      </c>
      <c r="L236" s="19" t="s">
        <v>368</v>
      </c>
      <c r="M236" s="20">
        <f t="shared" si="2"/>
        <v>0</v>
      </c>
      <c r="N236" s="22"/>
      <c r="O236" s="19" t="s">
        <v>39</v>
      </c>
      <c r="P236" s="18"/>
      <c r="Q236" s="18"/>
      <c r="R236" s="23">
        <v>0.0</v>
      </c>
      <c r="S236" s="23">
        <v>0.0</v>
      </c>
      <c r="T236" s="23">
        <f t="shared" si="3"/>
        <v>0</v>
      </c>
      <c r="U236" s="23">
        <f t="shared" si="4"/>
        <v>0</v>
      </c>
      <c r="V236" s="23">
        <f t="shared" si="5"/>
        <v>0</v>
      </c>
      <c r="W236" s="24" t="str">
        <f t="shared" si="6"/>
        <v>#DIV/0!</v>
      </c>
    </row>
    <row r="237">
      <c r="A237" s="15" t="s">
        <v>6412</v>
      </c>
      <c r="B237" s="18"/>
      <c r="C237" s="15" t="s">
        <v>6413</v>
      </c>
      <c r="D237" s="18"/>
      <c r="E237" s="17" t="s">
        <v>6414</v>
      </c>
      <c r="F237" s="18"/>
      <c r="G237" s="18"/>
      <c r="H237" s="15" t="s">
        <v>6415</v>
      </c>
      <c r="I237" s="18"/>
      <c r="J237" s="19" t="s">
        <v>59</v>
      </c>
      <c r="K237" s="19" t="s">
        <v>105</v>
      </c>
      <c r="L237" s="19" t="s">
        <v>38</v>
      </c>
      <c r="M237" s="20">
        <f t="shared" si="2"/>
        <v>0</v>
      </c>
      <c r="N237" s="22"/>
      <c r="O237" s="19" t="s">
        <v>39</v>
      </c>
      <c r="P237" s="18"/>
      <c r="Q237" s="18"/>
      <c r="R237" s="23">
        <v>0.0</v>
      </c>
      <c r="S237" s="23">
        <v>0.0</v>
      </c>
      <c r="T237" s="23">
        <f t="shared" si="3"/>
        <v>0</v>
      </c>
      <c r="U237" s="23">
        <f t="shared" si="4"/>
        <v>0</v>
      </c>
      <c r="V237" s="23">
        <f t="shared" si="5"/>
        <v>0</v>
      </c>
      <c r="W237" s="24" t="str">
        <f t="shared" si="6"/>
        <v>#DIV/0!</v>
      </c>
    </row>
    <row r="238">
      <c r="A238" s="15" t="s">
        <v>1384</v>
      </c>
      <c r="B238" s="18"/>
      <c r="C238" s="15" t="s">
        <v>6416</v>
      </c>
      <c r="D238" s="18"/>
      <c r="E238" s="17" t="s">
        <v>1385</v>
      </c>
      <c r="F238" s="18"/>
      <c r="G238" s="18"/>
      <c r="H238" s="15" t="s">
        <v>1386</v>
      </c>
      <c r="I238" s="18"/>
      <c r="J238" s="19" t="s">
        <v>59</v>
      </c>
      <c r="K238" s="19" t="s">
        <v>105</v>
      </c>
      <c r="L238" s="19" t="s">
        <v>38</v>
      </c>
      <c r="M238" s="20">
        <f t="shared" si="2"/>
        <v>0</v>
      </c>
      <c r="N238" s="22"/>
      <c r="O238" s="19" t="s">
        <v>1145</v>
      </c>
      <c r="P238" s="18"/>
      <c r="Q238" s="18"/>
      <c r="R238" s="23">
        <v>0.0</v>
      </c>
      <c r="S238" s="23">
        <v>0.0</v>
      </c>
      <c r="T238" s="23">
        <f t="shared" si="3"/>
        <v>0</v>
      </c>
      <c r="U238" s="23">
        <f t="shared" si="4"/>
        <v>0</v>
      </c>
      <c r="V238" s="23">
        <f t="shared" si="5"/>
        <v>0</v>
      </c>
      <c r="W238" s="24" t="str">
        <f t="shared" si="6"/>
        <v>#DIV/0!</v>
      </c>
    </row>
    <row r="239">
      <c r="A239" s="15" t="s">
        <v>4175</v>
      </c>
      <c r="B239" s="18"/>
      <c r="C239" s="15" t="s">
        <v>6417</v>
      </c>
      <c r="D239" s="18"/>
      <c r="E239" s="17" t="s">
        <v>6418</v>
      </c>
      <c r="F239" s="18"/>
      <c r="G239" s="18"/>
      <c r="H239" s="15" t="s">
        <v>4178</v>
      </c>
      <c r="I239" s="18"/>
      <c r="J239" s="19" t="s">
        <v>59</v>
      </c>
      <c r="K239" s="19" t="s">
        <v>105</v>
      </c>
      <c r="L239" s="19" t="s">
        <v>38</v>
      </c>
      <c r="M239" s="20">
        <f t="shared" si="2"/>
        <v>0</v>
      </c>
      <c r="N239" s="22"/>
      <c r="O239" s="19" t="s">
        <v>1145</v>
      </c>
      <c r="P239" s="18"/>
      <c r="Q239" s="18"/>
      <c r="R239" s="23">
        <v>0.0</v>
      </c>
      <c r="S239" s="23">
        <v>0.0</v>
      </c>
      <c r="T239" s="23">
        <f t="shared" si="3"/>
        <v>0</v>
      </c>
      <c r="U239" s="23">
        <f t="shared" si="4"/>
        <v>0</v>
      </c>
      <c r="V239" s="23">
        <f t="shared" si="5"/>
        <v>0</v>
      </c>
      <c r="W239" s="24" t="str">
        <f t="shared" si="6"/>
        <v>#DIV/0!</v>
      </c>
    </row>
    <row r="240">
      <c r="A240" s="15" t="s">
        <v>1387</v>
      </c>
      <c r="B240" s="15" t="s">
        <v>1388</v>
      </c>
      <c r="C240" s="15" t="s">
        <v>6419</v>
      </c>
      <c r="D240" s="18"/>
      <c r="E240" s="17" t="s">
        <v>1389</v>
      </c>
      <c r="F240" s="18"/>
      <c r="G240" s="18"/>
      <c r="H240" s="15" t="s">
        <v>1390</v>
      </c>
      <c r="I240" s="18"/>
      <c r="J240" s="19" t="s">
        <v>36</v>
      </c>
      <c r="K240" s="19" t="s">
        <v>402</v>
      </c>
      <c r="L240" s="19" t="s">
        <v>38</v>
      </c>
      <c r="M240" s="20">
        <f t="shared" si="2"/>
        <v>0</v>
      </c>
      <c r="N240" s="22"/>
      <c r="O240" s="19" t="s">
        <v>1145</v>
      </c>
      <c r="P240" s="18"/>
      <c r="Q240" s="18"/>
      <c r="R240" s="23">
        <v>0.0</v>
      </c>
      <c r="S240" s="23">
        <v>0.0</v>
      </c>
      <c r="T240" s="23">
        <f t="shared" si="3"/>
        <v>0</v>
      </c>
      <c r="U240" s="23">
        <f t="shared" si="4"/>
        <v>0</v>
      </c>
      <c r="V240" s="23">
        <f t="shared" si="5"/>
        <v>0</v>
      </c>
      <c r="W240" s="24" t="str">
        <f t="shared" si="6"/>
        <v>#DIV/0!</v>
      </c>
    </row>
    <row r="241">
      <c r="A241" s="15" t="s">
        <v>4179</v>
      </c>
      <c r="B241" s="15" t="s">
        <v>4180</v>
      </c>
      <c r="C241" s="15" t="s">
        <v>6420</v>
      </c>
      <c r="D241" s="15" t="s">
        <v>4181</v>
      </c>
      <c r="E241" s="17" t="s">
        <v>4182</v>
      </c>
      <c r="F241" s="18"/>
      <c r="G241" s="18"/>
      <c r="H241" s="15" t="s">
        <v>4183</v>
      </c>
      <c r="I241" s="18"/>
      <c r="J241" s="19" t="s">
        <v>36</v>
      </c>
      <c r="K241" s="19" t="s">
        <v>402</v>
      </c>
      <c r="L241" s="19" t="s">
        <v>38</v>
      </c>
      <c r="M241" s="20">
        <f t="shared" si="2"/>
        <v>0</v>
      </c>
      <c r="N241" s="22"/>
      <c r="O241" s="19" t="s">
        <v>3578</v>
      </c>
      <c r="P241" s="18"/>
      <c r="Q241" s="18"/>
      <c r="R241" s="23">
        <v>0.0</v>
      </c>
      <c r="S241" s="23">
        <v>0.0</v>
      </c>
      <c r="T241" s="23">
        <f t="shared" si="3"/>
        <v>0</v>
      </c>
      <c r="U241" s="23">
        <f t="shared" si="4"/>
        <v>0</v>
      </c>
      <c r="V241" s="23">
        <f t="shared" si="5"/>
        <v>0</v>
      </c>
      <c r="W241" s="24" t="str">
        <f t="shared" si="6"/>
        <v>#DIV/0!</v>
      </c>
    </row>
    <row r="242">
      <c r="A242" s="15" t="s">
        <v>1075</v>
      </c>
      <c r="B242" s="18" t="str">
        <f>CONCATENATE(7504589,A242)</f>
        <v>75045891238</v>
      </c>
      <c r="C242" s="15" t="s">
        <v>6003</v>
      </c>
      <c r="D242" s="15" t="s">
        <v>1076</v>
      </c>
      <c r="E242" s="17" t="s">
        <v>1077</v>
      </c>
      <c r="F242" s="18"/>
      <c r="G242" s="18"/>
      <c r="H242" s="15" t="s">
        <v>1078</v>
      </c>
      <c r="I242" s="18"/>
      <c r="J242" s="19" t="s">
        <v>36</v>
      </c>
      <c r="K242" s="19" t="s">
        <v>60</v>
      </c>
      <c r="L242" s="19" t="s">
        <v>115</v>
      </c>
      <c r="M242" s="20">
        <f t="shared" si="2"/>
        <v>4138.08</v>
      </c>
      <c r="N242" s="31">
        <v>4.0</v>
      </c>
      <c r="O242" s="19" t="s">
        <v>107</v>
      </c>
      <c r="P242" s="18"/>
      <c r="Q242" s="18"/>
      <c r="R242" s="23">
        <v>80.0</v>
      </c>
      <c r="S242" s="23">
        <v>233.0</v>
      </c>
      <c r="T242" s="23">
        <f t="shared" si="3"/>
        <v>223.68</v>
      </c>
      <c r="U242" s="23">
        <f t="shared" si="4"/>
        <v>98</v>
      </c>
      <c r="V242" s="23">
        <f t="shared" si="5"/>
        <v>1837.5</v>
      </c>
      <c r="W242" s="24">
        <f t="shared" si="6"/>
        <v>2.796</v>
      </c>
    </row>
    <row r="243">
      <c r="A243" s="15" t="s">
        <v>4184</v>
      </c>
      <c r="B243" s="15" t="s">
        <v>4185</v>
      </c>
      <c r="C243" s="15" t="s">
        <v>6422</v>
      </c>
      <c r="D243" s="15" t="s">
        <v>4186</v>
      </c>
      <c r="E243" s="17" t="s">
        <v>4187</v>
      </c>
      <c r="F243" s="18"/>
      <c r="G243" s="18"/>
      <c r="H243" s="15" t="s">
        <v>4188</v>
      </c>
      <c r="I243" s="18"/>
      <c r="J243" s="19" t="s">
        <v>36</v>
      </c>
      <c r="K243" s="19" t="s">
        <v>402</v>
      </c>
      <c r="L243" s="19" t="s">
        <v>38</v>
      </c>
      <c r="M243" s="20">
        <f t="shared" si="2"/>
        <v>0</v>
      </c>
      <c r="N243" s="22"/>
      <c r="O243" s="19" t="s">
        <v>3578</v>
      </c>
      <c r="P243" s="18"/>
      <c r="Q243" s="18"/>
      <c r="R243" s="23">
        <v>0.0</v>
      </c>
      <c r="S243" s="23">
        <v>0.0</v>
      </c>
      <c r="T243" s="23">
        <f t="shared" si="3"/>
        <v>0</v>
      </c>
      <c r="U243" s="23">
        <f t="shared" si="4"/>
        <v>0</v>
      </c>
      <c r="V243" s="23">
        <f t="shared" si="5"/>
        <v>0</v>
      </c>
      <c r="W243" s="24" t="str">
        <f t="shared" si="6"/>
        <v>#DIV/0!</v>
      </c>
    </row>
    <row r="244">
      <c r="A244" s="15" t="s">
        <v>4189</v>
      </c>
      <c r="B244" s="15" t="s">
        <v>4190</v>
      </c>
      <c r="C244" s="15" t="s">
        <v>6423</v>
      </c>
      <c r="D244" s="15" t="s">
        <v>4191</v>
      </c>
      <c r="E244" s="17" t="s">
        <v>4192</v>
      </c>
      <c r="F244" s="18"/>
      <c r="G244" s="18"/>
      <c r="H244" s="15" t="s">
        <v>4193</v>
      </c>
      <c r="I244" s="18"/>
      <c r="J244" s="19" t="s">
        <v>36</v>
      </c>
      <c r="K244" s="19" t="s">
        <v>105</v>
      </c>
      <c r="L244" s="19" t="s">
        <v>38</v>
      </c>
      <c r="M244" s="20">
        <f t="shared" si="2"/>
        <v>0</v>
      </c>
      <c r="N244" s="22"/>
      <c r="O244" s="19" t="s">
        <v>3578</v>
      </c>
      <c r="P244" s="18"/>
      <c r="Q244" s="18"/>
      <c r="R244" s="23">
        <v>0.0</v>
      </c>
      <c r="S244" s="23">
        <v>0.0</v>
      </c>
      <c r="T244" s="23">
        <f t="shared" si="3"/>
        <v>0</v>
      </c>
      <c r="U244" s="23">
        <f t="shared" si="4"/>
        <v>0</v>
      </c>
      <c r="V244" s="23">
        <f t="shared" si="5"/>
        <v>0</v>
      </c>
      <c r="W244" s="24" t="str">
        <f t="shared" si="6"/>
        <v>#DIV/0!</v>
      </c>
    </row>
    <row r="245">
      <c r="A245" s="15" t="s">
        <v>4194</v>
      </c>
      <c r="B245" s="15" t="s">
        <v>4195</v>
      </c>
      <c r="C245" s="15" t="s">
        <v>6424</v>
      </c>
      <c r="D245" s="15"/>
      <c r="E245" s="17" t="s">
        <v>4197</v>
      </c>
      <c r="F245" s="18"/>
      <c r="G245" s="18"/>
      <c r="H245" s="15" t="s">
        <v>4198</v>
      </c>
      <c r="I245" s="18"/>
      <c r="J245" s="19" t="s">
        <v>36</v>
      </c>
      <c r="K245" s="19" t="s">
        <v>284</v>
      </c>
      <c r="L245" s="19" t="s">
        <v>38</v>
      </c>
      <c r="M245" s="20">
        <f t="shared" si="2"/>
        <v>0</v>
      </c>
      <c r="N245" s="22"/>
      <c r="O245" s="19" t="s">
        <v>3578</v>
      </c>
      <c r="P245" s="18"/>
      <c r="Q245" s="18"/>
      <c r="R245" s="23">
        <v>0.0</v>
      </c>
      <c r="S245" s="23">
        <v>0.0</v>
      </c>
      <c r="T245" s="23">
        <f t="shared" si="3"/>
        <v>0</v>
      </c>
      <c r="U245" s="23">
        <f t="shared" si="4"/>
        <v>0</v>
      </c>
      <c r="V245" s="23">
        <f t="shared" si="5"/>
        <v>0</v>
      </c>
      <c r="W245" s="24" t="str">
        <f t="shared" si="6"/>
        <v>#DIV/0!</v>
      </c>
    </row>
    <row r="246">
      <c r="A246" s="15" t="s">
        <v>4199</v>
      </c>
      <c r="B246" s="15" t="s">
        <v>4200</v>
      </c>
      <c r="C246" s="15" t="s">
        <v>6425</v>
      </c>
      <c r="D246" s="15" t="s">
        <v>4201</v>
      </c>
      <c r="E246" s="17" t="s">
        <v>4202</v>
      </c>
      <c r="F246" s="18"/>
      <c r="G246" s="18"/>
      <c r="H246" s="15" t="s">
        <v>4203</v>
      </c>
      <c r="I246" s="18"/>
      <c r="J246" s="19" t="s">
        <v>36</v>
      </c>
      <c r="K246" s="19" t="s">
        <v>284</v>
      </c>
      <c r="L246" s="19" t="s">
        <v>38</v>
      </c>
      <c r="M246" s="20">
        <f t="shared" si="2"/>
        <v>0</v>
      </c>
      <c r="N246" s="22"/>
      <c r="O246" s="19" t="s">
        <v>3578</v>
      </c>
      <c r="P246" s="18"/>
      <c r="Q246" s="18"/>
      <c r="R246" s="23">
        <v>0.0</v>
      </c>
      <c r="S246" s="23">
        <v>0.0</v>
      </c>
      <c r="T246" s="23">
        <f t="shared" si="3"/>
        <v>0</v>
      </c>
      <c r="U246" s="23">
        <f t="shared" si="4"/>
        <v>0</v>
      </c>
      <c r="V246" s="23">
        <f t="shared" si="5"/>
        <v>0</v>
      </c>
      <c r="W246" s="24" t="str">
        <f t="shared" si="6"/>
        <v>#DIV/0!</v>
      </c>
    </row>
    <row r="247">
      <c r="A247" s="15" t="s">
        <v>4204</v>
      </c>
      <c r="B247" s="15" t="s">
        <v>4205</v>
      </c>
      <c r="C247" s="15" t="s">
        <v>6426</v>
      </c>
      <c r="D247" s="15" t="s">
        <v>4206</v>
      </c>
      <c r="E247" s="17" t="s">
        <v>4207</v>
      </c>
      <c r="F247" s="18"/>
      <c r="G247" s="18"/>
      <c r="H247" s="15" t="s">
        <v>4208</v>
      </c>
      <c r="I247" s="18"/>
      <c r="J247" s="19" t="s">
        <v>36</v>
      </c>
      <c r="K247" s="19" t="s">
        <v>37</v>
      </c>
      <c r="L247" s="19" t="s">
        <v>38</v>
      </c>
      <c r="M247" s="20">
        <f t="shared" si="2"/>
        <v>0</v>
      </c>
      <c r="N247" s="22"/>
      <c r="O247" s="19" t="s">
        <v>3578</v>
      </c>
      <c r="P247" s="18"/>
      <c r="Q247" s="18"/>
      <c r="R247" s="23">
        <v>0.0</v>
      </c>
      <c r="S247" s="23">
        <v>0.0</v>
      </c>
      <c r="T247" s="23">
        <f t="shared" si="3"/>
        <v>0</v>
      </c>
      <c r="U247" s="23">
        <f t="shared" si="4"/>
        <v>0</v>
      </c>
      <c r="V247" s="23">
        <f t="shared" si="5"/>
        <v>0</v>
      </c>
      <c r="W247" s="24" t="str">
        <f t="shared" si="6"/>
        <v>#DIV/0!</v>
      </c>
    </row>
    <row r="248">
      <c r="A248" s="15" t="s">
        <v>4209</v>
      </c>
      <c r="B248" s="15" t="s">
        <v>4210</v>
      </c>
      <c r="C248" s="15" t="s">
        <v>6427</v>
      </c>
      <c r="D248" s="15" t="s">
        <v>4211</v>
      </c>
      <c r="E248" s="17" t="s">
        <v>4212</v>
      </c>
      <c r="F248" s="18"/>
      <c r="G248" s="18"/>
      <c r="H248" s="15" t="s">
        <v>4213</v>
      </c>
      <c r="I248" s="15" t="s">
        <v>5595</v>
      </c>
      <c r="J248" s="19" t="s">
        <v>36</v>
      </c>
      <c r="K248" s="19" t="s">
        <v>402</v>
      </c>
      <c r="L248" s="19" t="s">
        <v>38</v>
      </c>
      <c r="M248" s="20">
        <f t="shared" si="2"/>
        <v>0</v>
      </c>
      <c r="N248" s="22"/>
      <c r="O248" s="19" t="s">
        <v>3578</v>
      </c>
      <c r="P248" s="18"/>
      <c r="Q248" s="18"/>
      <c r="R248" s="23">
        <v>0.0</v>
      </c>
      <c r="S248" s="23">
        <v>0.0</v>
      </c>
      <c r="T248" s="23">
        <f t="shared" si="3"/>
        <v>0</v>
      </c>
      <c r="U248" s="23">
        <f t="shared" si="4"/>
        <v>0</v>
      </c>
      <c r="V248" s="23">
        <f t="shared" si="5"/>
        <v>0</v>
      </c>
      <c r="W248" s="24" t="str">
        <f t="shared" si="6"/>
        <v>#DIV/0!</v>
      </c>
    </row>
    <row r="249">
      <c r="A249" s="15" t="s">
        <v>4214</v>
      </c>
      <c r="B249" s="15" t="s">
        <v>4215</v>
      </c>
      <c r="C249" s="15" t="s">
        <v>6428</v>
      </c>
      <c r="D249" s="15" t="s">
        <v>4216</v>
      </c>
      <c r="E249" s="17" t="s">
        <v>4217</v>
      </c>
      <c r="F249" s="18"/>
      <c r="G249" s="18"/>
      <c r="H249" s="15" t="s">
        <v>4218</v>
      </c>
      <c r="I249" s="15" t="s">
        <v>5599</v>
      </c>
      <c r="J249" s="19" t="s">
        <v>36</v>
      </c>
      <c r="K249" s="19" t="s">
        <v>402</v>
      </c>
      <c r="L249" s="19" t="s">
        <v>38</v>
      </c>
      <c r="M249" s="20">
        <f t="shared" si="2"/>
        <v>0</v>
      </c>
      <c r="N249" s="22"/>
      <c r="O249" s="19" t="s">
        <v>3578</v>
      </c>
      <c r="P249" s="18"/>
      <c r="Q249" s="18"/>
      <c r="R249" s="23">
        <v>0.0</v>
      </c>
      <c r="S249" s="23">
        <v>0.0</v>
      </c>
      <c r="T249" s="23">
        <f t="shared" si="3"/>
        <v>0</v>
      </c>
      <c r="U249" s="23">
        <f t="shared" si="4"/>
        <v>0</v>
      </c>
      <c r="V249" s="23">
        <f t="shared" si="5"/>
        <v>0</v>
      </c>
      <c r="W249" s="24" t="str">
        <f t="shared" si="6"/>
        <v>#DIV/0!</v>
      </c>
    </row>
    <row r="250">
      <c r="A250" s="15" t="s">
        <v>4219</v>
      </c>
      <c r="B250" s="15" t="s">
        <v>4220</v>
      </c>
      <c r="C250" s="15" t="s">
        <v>6429</v>
      </c>
      <c r="D250" s="15" t="s">
        <v>4221</v>
      </c>
      <c r="E250" s="17" t="s">
        <v>3921</v>
      </c>
      <c r="F250" s="18"/>
      <c r="G250" s="18"/>
      <c r="H250" s="15" t="s">
        <v>4222</v>
      </c>
      <c r="I250" s="18"/>
      <c r="J250" s="19" t="s">
        <v>36</v>
      </c>
      <c r="K250" s="19" t="s">
        <v>105</v>
      </c>
      <c r="L250" s="19" t="s">
        <v>38</v>
      </c>
      <c r="M250" s="20">
        <f t="shared" si="2"/>
        <v>0</v>
      </c>
      <c r="N250" s="22"/>
      <c r="O250" s="19" t="s">
        <v>3578</v>
      </c>
      <c r="P250" s="18"/>
      <c r="Q250" s="18"/>
      <c r="R250" s="23">
        <v>0.0</v>
      </c>
      <c r="S250" s="23">
        <v>0.0</v>
      </c>
      <c r="T250" s="23">
        <f t="shared" si="3"/>
        <v>0</v>
      </c>
      <c r="U250" s="23">
        <f t="shared" si="4"/>
        <v>0</v>
      </c>
      <c r="V250" s="23">
        <f t="shared" si="5"/>
        <v>0</v>
      </c>
      <c r="W250" s="24" t="str">
        <f t="shared" si="6"/>
        <v>#DIV/0!</v>
      </c>
    </row>
    <row r="251">
      <c r="A251" s="15" t="s">
        <v>4223</v>
      </c>
      <c r="B251" s="15" t="s">
        <v>4224</v>
      </c>
      <c r="C251" s="15" t="s">
        <v>6430</v>
      </c>
      <c r="D251" s="15" t="s">
        <v>430</v>
      </c>
      <c r="E251" s="17" t="s">
        <v>4225</v>
      </c>
      <c r="F251" s="18"/>
      <c r="G251" s="18"/>
      <c r="H251" s="15" t="s">
        <v>1908</v>
      </c>
      <c r="I251" s="18"/>
      <c r="J251" s="19" t="s">
        <v>36</v>
      </c>
      <c r="K251" s="19" t="s">
        <v>37</v>
      </c>
      <c r="L251" s="19" t="s">
        <v>38</v>
      </c>
      <c r="M251" s="20">
        <f t="shared" si="2"/>
        <v>0</v>
      </c>
      <c r="N251" s="22"/>
      <c r="O251" s="19" t="s">
        <v>3578</v>
      </c>
      <c r="P251" s="18"/>
      <c r="Q251" s="18"/>
      <c r="R251" s="23">
        <v>0.0</v>
      </c>
      <c r="S251" s="23">
        <v>0.0</v>
      </c>
      <c r="T251" s="23">
        <f t="shared" si="3"/>
        <v>0</v>
      </c>
      <c r="U251" s="23">
        <f t="shared" si="4"/>
        <v>0</v>
      </c>
      <c r="V251" s="23">
        <f t="shared" si="5"/>
        <v>0</v>
      </c>
      <c r="W251" s="24" t="str">
        <f t="shared" si="6"/>
        <v>#DIV/0!</v>
      </c>
    </row>
    <row r="252">
      <c r="A252" s="15" t="s">
        <v>4226</v>
      </c>
      <c r="B252" s="15" t="s">
        <v>4227</v>
      </c>
      <c r="C252" s="15" t="s">
        <v>6431</v>
      </c>
      <c r="D252" s="15" t="s">
        <v>4228</v>
      </c>
      <c r="E252" s="17" t="s">
        <v>4229</v>
      </c>
      <c r="F252" s="18"/>
      <c r="G252" s="18"/>
      <c r="H252" s="15" t="s">
        <v>4230</v>
      </c>
      <c r="I252" s="18"/>
      <c r="J252" s="19" t="s">
        <v>36</v>
      </c>
      <c r="K252" s="19" t="s">
        <v>402</v>
      </c>
      <c r="L252" s="19" t="s">
        <v>38</v>
      </c>
      <c r="M252" s="20">
        <f t="shared" si="2"/>
        <v>0</v>
      </c>
      <c r="N252" s="22"/>
      <c r="O252" s="19" t="s">
        <v>3578</v>
      </c>
      <c r="P252" s="18"/>
      <c r="Q252" s="18"/>
      <c r="R252" s="23">
        <v>0.0</v>
      </c>
      <c r="S252" s="23">
        <v>0.0</v>
      </c>
      <c r="T252" s="23">
        <f t="shared" si="3"/>
        <v>0</v>
      </c>
      <c r="U252" s="23">
        <f t="shared" si="4"/>
        <v>0</v>
      </c>
      <c r="V252" s="23">
        <f t="shared" si="5"/>
        <v>0</v>
      </c>
      <c r="W252" s="24" t="str">
        <f t="shared" si="6"/>
        <v>#DIV/0!</v>
      </c>
    </row>
    <row r="253">
      <c r="A253" s="15" t="s">
        <v>4231</v>
      </c>
      <c r="B253" s="15" t="s">
        <v>4232</v>
      </c>
      <c r="C253" s="15" t="s">
        <v>6432</v>
      </c>
      <c r="D253" s="15" t="s">
        <v>4233</v>
      </c>
      <c r="E253" s="17" t="s">
        <v>4234</v>
      </c>
      <c r="F253" s="18"/>
      <c r="G253" s="18"/>
      <c r="H253" s="15" t="s">
        <v>4235</v>
      </c>
      <c r="I253" s="18"/>
      <c r="J253" s="19" t="s">
        <v>36</v>
      </c>
      <c r="K253" s="19" t="s">
        <v>52</v>
      </c>
      <c r="L253" s="19" t="s">
        <v>52</v>
      </c>
      <c r="M253" s="20">
        <f t="shared" si="2"/>
        <v>0</v>
      </c>
      <c r="N253" s="22"/>
      <c r="O253" s="19" t="s">
        <v>3578</v>
      </c>
      <c r="P253" s="18"/>
      <c r="Q253" s="18"/>
      <c r="R253" s="23">
        <v>0.0</v>
      </c>
      <c r="S253" s="23">
        <v>0.0</v>
      </c>
      <c r="T253" s="23">
        <f t="shared" si="3"/>
        <v>0</v>
      </c>
      <c r="U253" s="23">
        <f t="shared" si="4"/>
        <v>0</v>
      </c>
      <c r="V253" s="23">
        <f t="shared" si="5"/>
        <v>0</v>
      </c>
      <c r="W253" s="24" t="str">
        <f t="shared" si="6"/>
        <v>#DIV/0!</v>
      </c>
    </row>
    <row r="254">
      <c r="A254" s="15" t="s">
        <v>4236</v>
      </c>
      <c r="B254" s="15" t="s">
        <v>4237</v>
      </c>
      <c r="C254" s="15" t="s">
        <v>6433</v>
      </c>
      <c r="D254" s="15" t="s">
        <v>4238</v>
      </c>
      <c r="E254" s="17" t="s">
        <v>4239</v>
      </c>
      <c r="F254" s="18"/>
      <c r="G254" s="18"/>
      <c r="H254" s="15" t="s">
        <v>4240</v>
      </c>
      <c r="I254" s="18"/>
      <c r="J254" s="19" t="s">
        <v>36</v>
      </c>
      <c r="K254" s="19" t="s">
        <v>105</v>
      </c>
      <c r="L254" s="19" t="s">
        <v>38</v>
      </c>
      <c r="M254" s="20">
        <f t="shared" si="2"/>
        <v>0</v>
      </c>
      <c r="N254" s="22"/>
      <c r="O254" s="19" t="s">
        <v>3578</v>
      </c>
      <c r="P254" s="18"/>
      <c r="Q254" s="18"/>
      <c r="R254" s="23">
        <v>0.0</v>
      </c>
      <c r="S254" s="23">
        <v>0.0</v>
      </c>
      <c r="T254" s="23">
        <f t="shared" si="3"/>
        <v>0</v>
      </c>
      <c r="U254" s="23">
        <f t="shared" si="4"/>
        <v>0</v>
      </c>
      <c r="V254" s="23">
        <f t="shared" si="5"/>
        <v>0</v>
      </c>
      <c r="W254" s="24" t="str">
        <f t="shared" si="6"/>
        <v>#DIV/0!</v>
      </c>
    </row>
    <row r="255">
      <c r="A255" s="15" t="s">
        <v>4241</v>
      </c>
      <c r="B255" s="15" t="s">
        <v>4242</v>
      </c>
      <c r="C255" s="15" t="s">
        <v>6434</v>
      </c>
      <c r="D255" s="15" t="s">
        <v>4243</v>
      </c>
      <c r="E255" s="17" t="s">
        <v>4244</v>
      </c>
      <c r="F255" s="18"/>
      <c r="G255" s="18"/>
      <c r="H255" s="15" t="s">
        <v>4245</v>
      </c>
      <c r="I255" s="18"/>
      <c r="J255" s="19" t="s">
        <v>36</v>
      </c>
      <c r="K255" s="19" t="s">
        <v>1230</v>
      </c>
      <c r="L255" s="19" t="s">
        <v>38</v>
      </c>
      <c r="M255" s="20">
        <f t="shared" si="2"/>
        <v>0</v>
      </c>
      <c r="N255" s="22"/>
      <c r="O255" s="19" t="s">
        <v>3578</v>
      </c>
      <c r="P255" s="18"/>
      <c r="Q255" s="18"/>
      <c r="R255" s="23">
        <v>0.0</v>
      </c>
      <c r="S255" s="23">
        <v>0.0</v>
      </c>
      <c r="T255" s="23">
        <f t="shared" si="3"/>
        <v>0</v>
      </c>
      <c r="U255" s="23">
        <f t="shared" si="4"/>
        <v>0</v>
      </c>
      <c r="V255" s="23">
        <f t="shared" si="5"/>
        <v>0</v>
      </c>
      <c r="W255" s="24" t="str">
        <f t="shared" si="6"/>
        <v>#DIV/0!</v>
      </c>
    </row>
    <row r="256">
      <c r="A256" s="15" t="s">
        <v>4246</v>
      </c>
      <c r="B256" s="15" t="s">
        <v>4247</v>
      </c>
      <c r="C256" s="15" t="s">
        <v>6435</v>
      </c>
      <c r="D256" s="15" t="s">
        <v>4248</v>
      </c>
      <c r="E256" s="17" t="s">
        <v>4249</v>
      </c>
      <c r="F256" s="18"/>
      <c r="G256" s="18"/>
      <c r="H256" s="15" t="s">
        <v>4250</v>
      </c>
      <c r="I256" s="18"/>
      <c r="J256" s="19" t="s">
        <v>36</v>
      </c>
      <c r="K256" s="19" t="s">
        <v>402</v>
      </c>
      <c r="L256" s="19" t="s">
        <v>38</v>
      </c>
      <c r="M256" s="20">
        <f t="shared" si="2"/>
        <v>0</v>
      </c>
      <c r="N256" s="22"/>
      <c r="O256" s="19" t="s">
        <v>3578</v>
      </c>
      <c r="P256" s="18"/>
      <c r="Q256" s="18"/>
      <c r="R256" s="23">
        <v>0.0</v>
      </c>
      <c r="S256" s="23">
        <v>0.0</v>
      </c>
      <c r="T256" s="23">
        <f t="shared" si="3"/>
        <v>0</v>
      </c>
      <c r="U256" s="23">
        <f t="shared" si="4"/>
        <v>0</v>
      </c>
      <c r="V256" s="23">
        <f t="shared" si="5"/>
        <v>0</v>
      </c>
      <c r="W256" s="24" t="str">
        <f t="shared" si="6"/>
        <v>#DIV/0!</v>
      </c>
    </row>
    <row r="257">
      <c r="A257" s="15" t="s">
        <v>4251</v>
      </c>
      <c r="B257" s="15" t="s">
        <v>4252</v>
      </c>
      <c r="C257" s="15" t="s">
        <v>6436</v>
      </c>
      <c r="D257" s="15" t="s">
        <v>4253</v>
      </c>
      <c r="E257" s="17" t="s">
        <v>4254</v>
      </c>
      <c r="F257" s="18"/>
      <c r="G257" s="18"/>
      <c r="H257" s="15" t="s">
        <v>4255</v>
      </c>
      <c r="I257" s="18"/>
      <c r="J257" s="19" t="s">
        <v>36</v>
      </c>
      <c r="K257" s="19" t="s">
        <v>1230</v>
      </c>
      <c r="L257" s="19" t="s">
        <v>38</v>
      </c>
      <c r="M257" s="20">
        <f t="shared" si="2"/>
        <v>0</v>
      </c>
      <c r="N257" s="22"/>
      <c r="O257" s="19" t="s">
        <v>3578</v>
      </c>
      <c r="P257" s="18"/>
      <c r="Q257" s="18"/>
      <c r="R257" s="23">
        <v>0.0</v>
      </c>
      <c r="S257" s="23">
        <v>0.0</v>
      </c>
      <c r="T257" s="23">
        <f t="shared" si="3"/>
        <v>0</v>
      </c>
      <c r="U257" s="23">
        <f t="shared" si="4"/>
        <v>0</v>
      </c>
      <c r="V257" s="23">
        <f t="shared" si="5"/>
        <v>0</v>
      </c>
      <c r="W257" s="24" t="str">
        <f t="shared" si="6"/>
        <v>#DIV/0!</v>
      </c>
    </row>
    <row r="258">
      <c r="A258" s="15" t="s">
        <v>4256</v>
      </c>
      <c r="B258" s="15" t="s">
        <v>4257</v>
      </c>
      <c r="C258" s="15" t="s">
        <v>6437</v>
      </c>
      <c r="D258" s="15" t="s">
        <v>4258</v>
      </c>
      <c r="E258" s="17" t="s">
        <v>4259</v>
      </c>
      <c r="F258" s="18"/>
      <c r="G258" s="18"/>
      <c r="H258" s="15" t="s">
        <v>4260</v>
      </c>
      <c r="I258" s="18"/>
      <c r="J258" s="19" t="s">
        <v>36</v>
      </c>
      <c r="K258" s="19" t="s">
        <v>37</v>
      </c>
      <c r="L258" s="19" t="s">
        <v>38</v>
      </c>
      <c r="M258" s="20">
        <f t="shared" si="2"/>
        <v>0</v>
      </c>
      <c r="N258" s="22"/>
      <c r="O258" s="19" t="s">
        <v>3578</v>
      </c>
      <c r="P258" s="18"/>
      <c r="Q258" s="18"/>
      <c r="R258" s="23">
        <v>0.0</v>
      </c>
      <c r="S258" s="23">
        <v>0.0</v>
      </c>
      <c r="T258" s="23">
        <f t="shared" si="3"/>
        <v>0</v>
      </c>
      <c r="U258" s="23">
        <f t="shared" si="4"/>
        <v>0</v>
      </c>
      <c r="V258" s="23">
        <f t="shared" si="5"/>
        <v>0</v>
      </c>
      <c r="W258" s="24" t="str">
        <f t="shared" si="6"/>
        <v>#DIV/0!</v>
      </c>
    </row>
    <row r="259">
      <c r="A259" s="15" t="s">
        <v>4261</v>
      </c>
      <c r="B259" s="15" t="s">
        <v>4262</v>
      </c>
      <c r="C259" s="15" t="s">
        <v>6438</v>
      </c>
      <c r="D259" s="15" t="s">
        <v>4263</v>
      </c>
      <c r="E259" s="17" t="s">
        <v>4264</v>
      </c>
      <c r="F259" s="18"/>
      <c r="G259" s="18"/>
      <c r="H259" s="15" t="s">
        <v>4265</v>
      </c>
      <c r="I259" s="18"/>
      <c r="J259" s="19" t="s">
        <v>36</v>
      </c>
      <c r="K259" s="19" t="s">
        <v>105</v>
      </c>
      <c r="L259" s="19" t="s">
        <v>38</v>
      </c>
      <c r="M259" s="20">
        <f t="shared" si="2"/>
        <v>0</v>
      </c>
      <c r="N259" s="22"/>
      <c r="O259" s="19" t="s">
        <v>3578</v>
      </c>
      <c r="P259" s="18"/>
      <c r="Q259" s="18"/>
      <c r="R259" s="23">
        <v>0.0</v>
      </c>
      <c r="S259" s="23">
        <v>0.0</v>
      </c>
      <c r="T259" s="23">
        <f t="shared" si="3"/>
        <v>0</v>
      </c>
      <c r="U259" s="23">
        <f t="shared" si="4"/>
        <v>0</v>
      </c>
      <c r="V259" s="23">
        <f t="shared" si="5"/>
        <v>0</v>
      </c>
      <c r="W259" s="24" t="str">
        <f t="shared" si="6"/>
        <v>#DIV/0!</v>
      </c>
    </row>
    <row r="260">
      <c r="A260" s="15" t="s">
        <v>543</v>
      </c>
      <c r="B260" s="15" t="s">
        <v>544</v>
      </c>
      <c r="C260" s="15" t="s">
        <v>6072</v>
      </c>
      <c r="D260" s="15" t="s">
        <v>545</v>
      </c>
      <c r="E260" s="17" t="s">
        <v>546</v>
      </c>
      <c r="F260" s="18"/>
      <c r="G260" s="15" t="s">
        <v>547</v>
      </c>
      <c r="H260" s="15" t="s">
        <v>548</v>
      </c>
      <c r="I260" s="18"/>
      <c r="J260" s="19" t="s">
        <v>36</v>
      </c>
      <c r="K260" s="19" t="s">
        <v>105</v>
      </c>
      <c r="L260" s="19" t="s">
        <v>38</v>
      </c>
      <c r="M260" s="20">
        <f t="shared" si="2"/>
        <v>1918.08</v>
      </c>
      <c r="N260" s="31">
        <v>8.0</v>
      </c>
      <c r="O260" s="19" t="s">
        <v>107</v>
      </c>
      <c r="P260" s="18"/>
      <c r="Q260" s="18"/>
      <c r="R260" s="23">
        <v>18.0</v>
      </c>
      <c r="S260" s="23">
        <v>108.0</v>
      </c>
      <c r="T260" s="23">
        <f t="shared" si="3"/>
        <v>103.68</v>
      </c>
      <c r="U260" s="23">
        <f t="shared" si="4"/>
        <v>22.05</v>
      </c>
      <c r="V260" s="23">
        <f t="shared" si="5"/>
        <v>413.4375</v>
      </c>
      <c r="W260" s="24">
        <f t="shared" si="6"/>
        <v>5.76</v>
      </c>
    </row>
    <row r="261">
      <c r="A261" s="15" t="s">
        <v>562</v>
      </c>
      <c r="B261" s="15" t="s">
        <v>563</v>
      </c>
      <c r="C261" s="15" t="s">
        <v>6073</v>
      </c>
      <c r="D261" s="15" t="s">
        <v>564</v>
      </c>
      <c r="E261" s="17" t="s">
        <v>565</v>
      </c>
      <c r="F261" s="18"/>
      <c r="G261" s="15" t="s">
        <v>566</v>
      </c>
      <c r="H261" s="15" t="s">
        <v>567</v>
      </c>
      <c r="I261" s="18"/>
      <c r="J261" s="19" t="s">
        <v>36</v>
      </c>
      <c r="K261" s="19" t="s">
        <v>105</v>
      </c>
      <c r="L261" s="19" t="s">
        <v>38</v>
      </c>
      <c r="M261" s="20">
        <f t="shared" si="2"/>
        <v>1243.2</v>
      </c>
      <c r="N261" s="31">
        <v>8.0</v>
      </c>
      <c r="O261" s="19" t="s">
        <v>107</v>
      </c>
      <c r="P261" s="18"/>
      <c r="Q261" s="18"/>
      <c r="R261" s="23">
        <v>12.0</v>
      </c>
      <c r="S261" s="23">
        <v>70.0</v>
      </c>
      <c r="T261" s="23">
        <f t="shared" si="3"/>
        <v>67.2</v>
      </c>
      <c r="U261" s="23">
        <f t="shared" si="4"/>
        <v>14.7</v>
      </c>
      <c r="V261" s="23">
        <f t="shared" si="5"/>
        <v>275.625</v>
      </c>
      <c r="W261" s="24">
        <f t="shared" si="6"/>
        <v>5.6</v>
      </c>
    </row>
    <row r="262">
      <c r="A262" s="15" t="s">
        <v>6439</v>
      </c>
      <c r="B262" s="18"/>
      <c r="C262" s="15" t="s">
        <v>6440</v>
      </c>
      <c r="D262" s="18"/>
      <c r="E262" s="17" t="s">
        <v>6441</v>
      </c>
      <c r="F262" s="18"/>
      <c r="G262" s="18"/>
      <c r="H262" s="15" t="s">
        <v>4203</v>
      </c>
      <c r="I262" s="18"/>
      <c r="J262" s="19" t="s">
        <v>36</v>
      </c>
      <c r="K262" s="19" t="s">
        <v>105</v>
      </c>
      <c r="L262" s="19" t="s">
        <v>38</v>
      </c>
      <c r="M262" s="20">
        <f t="shared" si="2"/>
        <v>0</v>
      </c>
      <c r="N262" s="22"/>
      <c r="O262" s="19" t="s">
        <v>39</v>
      </c>
      <c r="P262" s="18"/>
      <c r="Q262" s="18"/>
      <c r="R262" s="23">
        <v>0.0</v>
      </c>
      <c r="S262" s="23">
        <v>0.0</v>
      </c>
      <c r="T262" s="23">
        <f t="shared" si="3"/>
        <v>0</v>
      </c>
      <c r="U262" s="23">
        <f t="shared" si="4"/>
        <v>0</v>
      </c>
      <c r="V262" s="23">
        <f t="shared" si="5"/>
        <v>0</v>
      </c>
      <c r="W262" s="24" t="str">
        <f t="shared" si="6"/>
        <v>#DIV/0!</v>
      </c>
    </row>
    <row r="263">
      <c r="A263" s="15" t="s">
        <v>4266</v>
      </c>
      <c r="B263" s="15" t="s">
        <v>4267</v>
      </c>
      <c r="C263" s="15" t="s">
        <v>6442</v>
      </c>
      <c r="D263" s="15" t="s">
        <v>4268</v>
      </c>
      <c r="E263" s="17" t="s">
        <v>4269</v>
      </c>
      <c r="F263" s="18"/>
      <c r="G263" s="18"/>
      <c r="H263" s="15" t="s">
        <v>4270</v>
      </c>
      <c r="I263" s="15" t="s">
        <v>4271</v>
      </c>
      <c r="J263" s="19" t="s">
        <v>36</v>
      </c>
      <c r="K263" s="19" t="s">
        <v>284</v>
      </c>
      <c r="L263" s="19" t="s">
        <v>38</v>
      </c>
      <c r="M263" s="20">
        <f t="shared" si="2"/>
        <v>0</v>
      </c>
      <c r="N263" s="22"/>
      <c r="O263" s="19" t="s">
        <v>3578</v>
      </c>
      <c r="P263" s="18"/>
      <c r="Q263" s="18"/>
      <c r="R263" s="23">
        <v>0.0</v>
      </c>
      <c r="S263" s="23">
        <v>0.0</v>
      </c>
      <c r="T263" s="23">
        <f t="shared" si="3"/>
        <v>0</v>
      </c>
      <c r="U263" s="23">
        <f t="shared" si="4"/>
        <v>0</v>
      </c>
      <c r="V263" s="23">
        <f t="shared" si="5"/>
        <v>0</v>
      </c>
      <c r="W263" s="24" t="str">
        <f t="shared" si="6"/>
        <v>#DIV/0!</v>
      </c>
    </row>
    <row r="264">
      <c r="A264" s="15" t="s">
        <v>4272</v>
      </c>
      <c r="B264" s="15" t="s">
        <v>4273</v>
      </c>
      <c r="C264" s="15" t="s">
        <v>6443</v>
      </c>
      <c r="D264" s="15" t="s">
        <v>4274</v>
      </c>
      <c r="E264" s="17" t="s">
        <v>4275</v>
      </c>
      <c r="F264" s="18"/>
      <c r="G264" s="18"/>
      <c r="H264" s="15" t="s">
        <v>4276</v>
      </c>
      <c r="I264" s="18"/>
      <c r="J264" s="19" t="s">
        <v>36</v>
      </c>
      <c r="K264" s="19" t="s">
        <v>105</v>
      </c>
      <c r="L264" s="19" t="s">
        <v>38</v>
      </c>
      <c r="M264" s="20">
        <f t="shared" si="2"/>
        <v>0</v>
      </c>
      <c r="N264" s="22"/>
      <c r="O264" s="19" t="s">
        <v>3578</v>
      </c>
      <c r="P264" s="18"/>
      <c r="Q264" s="18"/>
      <c r="R264" s="23">
        <v>0.0</v>
      </c>
      <c r="S264" s="23">
        <v>0.0</v>
      </c>
      <c r="T264" s="23">
        <f t="shared" si="3"/>
        <v>0</v>
      </c>
      <c r="U264" s="23">
        <f t="shared" si="4"/>
        <v>0</v>
      </c>
      <c r="V264" s="23">
        <f t="shared" si="5"/>
        <v>0</v>
      </c>
      <c r="W264" s="24" t="str">
        <f t="shared" si="6"/>
        <v>#DIV/0!</v>
      </c>
    </row>
    <row r="265">
      <c r="A265" s="15" t="s">
        <v>4277</v>
      </c>
      <c r="B265" s="15" t="s">
        <v>4278</v>
      </c>
      <c r="C265" s="15" t="s">
        <v>6444</v>
      </c>
      <c r="D265" s="15" t="s">
        <v>3725</v>
      </c>
      <c r="E265" s="17" t="s">
        <v>4279</v>
      </c>
      <c r="F265" s="18"/>
      <c r="G265" s="18"/>
      <c r="H265" s="15" t="s">
        <v>4280</v>
      </c>
      <c r="I265" s="18"/>
      <c r="J265" s="19" t="s">
        <v>36</v>
      </c>
      <c r="K265" s="19" t="s">
        <v>1230</v>
      </c>
      <c r="L265" s="19" t="s">
        <v>368</v>
      </c>
      <c r="M265" s="20">
        <f t="shared" si="2"/>
        <v>0</v>
      </c>
      <c r="N265" s="22"/>
      <c r="O265" s="19" t="s">
        <v>3578</v>
      </c>
      <c r="P265" s="18"/>
      <c r="Q265" s="18"/>
      <c r="R265" s="23">
        <v>0.0</v>
      </c>
      <c r="S265" s="23">
        <v>0.0</v>
      </c>
      <c r="T265" s="23">
        <f t="shared" si="3"/>
        <v>0</v>
      </c>
      <c r="U265" s="23">
        <f t="shared" si="4"/>
        <v>0</v>
      </c>
      <c r="V265" s="23">
        <f t="shared" si="5"/>
        <v>0</v>
      </c>
      <c r="W265" s="24" t="str">
        <f t="shared" si="6"/>
        <v>#DIV/0!</v>
      </c>
    </row>
    <row r="266">
      <c r="A266" s="15" t="s">
        <v>4281</v>
      </c>
      <c r="B266" s="15" t="s">
        <v>4282</v>
      </c>
      <c r="C266" s="15" t="s">
        <v>6445</v>
      </c>
      <c r="D266" s="15" t="s">
        <v>4283</v>
      </c>
      <c r="E266" s="17" t="s">
        <v>4284</v>
      </c>
      <c r="F266" s="18"/>
      <c r="G266" s="18"/>
      <c r="H266" s="15" t="s">
        <v>4285</v>
      </c>
      <c r="I266" s="18"/>
      <c r="J266" s="19" t="s">
        <v>36</v>
      </c>
      <c r="K266" s="19" t="s">
        <v>1230</v>
      </c>
      <c r="L266" s="19" t="s">
        <v>368</v>
      </c>
      <c r="M266" s="20">
        <f t="shared" si="2"/>
        <v>0</v>
      </c>
      <c r="N266" s="22"/>
      <c r="O266" s="19" t="s">
        <v>3578</v>
      </c>
      <c r="P266" s="18"/>
      <c r="Q266" s="18"/>
      <c r="R266" s="23">
        <v>0.0</v>
      </c>
      <c r="S266" s="23">
        <v>0.0</v>
      </c>
      <c r="T266" s="23">
        <f t="shared" si="3"/>
        <v>0</v>
      </c>
      <c r="U266" s="23">
        <f t="shared" si="4"/>
        <v>0</v>
      </c>
      <c r="V266" s="23">
        <f t="shared" si="5"/>
        <v>0</v>
      </c>
      <c r="W266" s="24" t="str">
        <f t="shared" si="6"/>
        <v>#DIV/0!</v>
      </c>
    </row>
    <row r="267">
      <c r="A267" s="15" t="s">
        <v>4286</v>
      </c>
      <c r="B267" s="15" t="s">
        <v>4287</v>
      </c>
      <c r="C267" s="15" t="s">
        <v>6446</v>
      </c>
      <c r="D267" s="18"/>
      <c r="E267" s="17" t="s">
        <v>4288</v>
      </c>
      <c r="F267" s="18"/>
      <c r="G267" s="18"/>
      <c r="H267" s="15" t="s">
        <v>4289</v>
      </c>
      <c r="I267" s="18"/>
      <c r="J267" s="19" t="s">
        <v>36</v>
      </c>
      <c r="K267" s="19" t="s">
        <v>37</v>
      </c>
      <c r="L267" s="19" t="s">
        <v>38</v>
      </c>
      <c r="M267" s="20">
        <f t="shared" si="2"/>
        <v>0</v>
      </c>
      <c r="N267" s="22"/>
      <c r="O267" s="19" t="s">
        <v>3578</v>
      </c>
      <c r="P267" s="18"/>
      <c r="Q267" s="18"/>
      <c r="R267" s="23">
        <v>0.0</v>
      </c>
      <c r="S267" s="23">
        <v>0.0</v>
      </c>
      <c r="T267" s="23">
        <f t="shared" si="3"/>
        <v>0</v>
      </c>
      <c r="U267" s="23">
        <f t="shared" si="4"/>
        <v>0</v>
      </c>
      <c r="V267" s="23">
        <f t="shared" si="5"/>
        <v>0</v>
      </c>
      <c r="W267" s="24" t="str">
        <f t="shared" si="6"/>
        <v>#DIV/0!</v>
      </c>
    </row>
    <row r="268">
      <c r="A268" s="15" t="s">
        <v>4290</v>
      </c>
      <c r="B268" s="15" t="s">
        <v>4291</v>
      </c>
      <c r="C268" s="15" t="s">
        <v>6448</v>
      </c>
      <c r="D268" s="18"/>
      <c r="E268" s="17" t="s">
        <v>4292</v>
      </c>
      <c r="F268" s="18"/>
      <c r="G268" s="18"/>
      <c r="H268" s="15" t="s">
        <v>4293</v>
      </c>
      <c r="I268" s="18"/>
      <c r="J268" s="19" t="s">
        <v>36</v>
      </c>
      <c r="K268" s="19" t="s">
        <v>37</v>
      </c>
      <c r="L268" s="19" t="s">
        <v>38</v>
      </c>
      <c r="M268" s="20">
        <f t="shared" si="2"/>
        <v>0</v>
      </c>
      <c r="N268" s="22"/>
      <c r="O268" s="19" t="s">
        <v>3578</v>
      </c>
      <c r="P268" s="18"/>
      <c r="Q268" s="18"/>
      <c r="R268" s="23">
        <v>0.0</v>
      </c>
      <c r="S268" s="23">
        <v>0.0</v>
      </c>
      <c r="T268" s="23">
        <f t="shared" si="3"/>
        <v>0</v>
      </c>
      <c r="U268" s="23">
        <f t="shared" si="4"/>
        <v>0</v>
      </c>
      <c r="V268" s="23">
        <f t="shared" si="5"/>
        <v>0</v>
      </c>
      <c r="W268" s="24" t="str">
        <f t="shared" si="6"/>
        <v>#DIV/0!</v>
      </c>
    </row>
    <row r="269">
      <c r="A269" s="15" t="s">
        <v>4294</v>
      </c>
      <c r="B269" s="15" t="s">
        <v>4295</v>
      </c>
      <c r="C269" s="15" t="s">
        <v>6450</v>
      </c>
      <c r="D269" s="18"/>
      <c r="E269" s="17" t="s">
        <v>4296</v>
      </c>
      <c r="F269" s="18"/>
      <c r="G269" s="18"/>
      <c r="H269" s="15" t="s">
        <v>4297</v>
      </c>
      <c r="I269" s="18"/>
      <c r="J269" s="19" t="s">
        <v>36</v>
      </c>
      <c r="K269" s="19" t="s">
        <v>37</v>
      </c>
      <c r="L269" s="19" t="s">
        <v>38</v>
      </c>
      <c r="M269" s="20">
        <f t="shared" si="2"/>
        <v>0</v>
      </c>
      <c r="N269" s="22"/>
      <c r="O269" s="19" t="s">
        <v>3578</v>
      </c>
      <c r="P269" s="18"/>
      <c r="Q269" s="18"/>
      <c r="R269" s="23">
        <v>0.0</v>
      </c>
      <c r="S269" s="23">
        <v>0.0</v>
      </c>
      <c r="T269" s="23">
        <f t="shared" si="3"/>
        <v>0</v>
      </c>
      <c r="U269" s="23">
        <f t="shared" si="4"/>
        <v>0</v>
      </c>
      <c r="V269" s="23">
        <f t="shared" si="5"/>
        <v>0</v>
      </c>
      <c r="W269" s="24" t="str">
        <f t="shared" si="6"/>
        <v>#DIV/0!</v>
      </c>
    </row>
    <row r="270">
      <c r="A270" s="15" t="s">
        <v>35</v>
      </c>
      <c r="B270" s="15" t="s">
        <v>6452</v>
      </c>
      <c r="C270" s="15" t="s">
        <v>6453</v>
      </c>
      <c r="D270" s="15" t="s">
        <v>8185</v>
      </c>
      <c r="E270" s="17" t="s">
        <v>898</v>
      </c>
      <c r="F270" s="18"/>
      <c r="G270" s="18"/>
      <c r="H270" s="15" t="s">
        <v>900</v>
      </c>
      <c r="I270" s="18"/>
      <c r="J270" s="19" t="s">
        <v>36</v>
      </c>
      <c r="K270" s="19" t="s">
        <v>37</v>
      </c>
      <c r="L270" s="19" t="s">
        <v>38</v>
      </c>
      <c r="M270" s="20">
        <f t="shared" si="2"/>
        <v>0</v>
      </c>
      <c r="N270" s="22"/>
      <c r="O270" s="19" t="s">
        <v>3578</v>
      </c>
      <c r="P270" s="18"/>
      <c r="Q270" s="18"/>
      <c r="R270" s="23">
        <v>0.0</v>
      </c>
      <c r="S270" s="23">
        <v>0.0</v>
      </c>
      <c r="T270" s="23">
        <f t="shared" si="3"/>
        <v>0</v>
      </c>
      <c r="U270" s="23">
        <f t="shared" si="4"/>
        <v>0</v>
      </c>
      <c r="V270" s="23">
        <f t="shared" si="5"/>
        <v>0</v>
      </c>
      <c r="W270" s="24" t="str">
        <f t="shared" si="6"/>
        <v>#DIV/0!</v>
      </c>
    </row>
    <row r="271">
      <c r="A271" s="15" t="s">
        <v>4298</v>
      </c>
      <c r="B271" s="15" t="s">
        <v>4299</v>
      </c>
      <c r="C271" s="15" t="s">
        <v>6455</v>
      </c>
      <c r="D271" s="15" t="s">
        <v>4300</v>
      </c>
      <c r="E271" s="17" t="s">
        <v>4301</v>
      </c>
      <c r="F271" s="18"/>
      <c r="G271" s="18"/>
      <c r="H271" s="15" t="s">
        <v>4302</v>
      </c>
      <c r="I271" s="15" t="s">
        <v>5615</v>
      </c>
      <c r="J271" s="19" t="s">
        <v>36</v>
      </c>
      <c r="K271" s="19" t="s">
        <v>37</v>
      </c>
      <c r="L271" s="19" t="s">
        <v>38</v>
      </c>
      <c r="M271" s="20">
        <f t="shared" si="2"/>
        <v>0</v>
      </c>
      <c r="N271" s="22"/>
      <c r="O271" s="19" t="s">
        <v>3578</v>
      </c>
      <c r="P271" s="18"/>
      <c r="Q271" s="18"/>
      <c r="R271" s="23">
        <v>0.0</v>
      </c>
      <c r="S271" s="23">
        <v>0.0</v>
      </c>
      <c r="T271" s="23">
        <f t="shared" si="3"/>
        <v>0</v>
      </c>
      <c r="U271" s="23">
        <f t="shared" si="4"/>
        <v>0</v>
      </c>
      <c r="V271" s="23">
        <f t="shared" si="5"/>
        <v>0</v>
      </c>
      <c r="W271" s="24" t="str">
        <f t="shared" si="6"/>
        <v>#DIV/0!</v>
      </c>
    </row>
    <row r="272">
      <c r="A272" s="15" t="s">
        <v>4303</v>
      </c>
      <c r="B272" s="15" t="s">
        <v>4304</v>
      </c>
      <c r="C272" s="15" t="s">
        <v>6456</v>
      </c>
      <c r="D272" s="42" t="s">
        <v>4305</v>
      </c>
      <c r="E272" s="17" t="s">
        <v>4306</v>
      </c>
      <c r="F272" s="18"/>
      <c r="G272" s="18"/>
      <c r="H272" s="15" t="s">
        <v>47</v>
      </c>
      <c r="I272" s="15" t="s">
        <v>4307</v>
      </c>
      <c r="J272" s="19" t="s">
        <v>36</v>
      </c>
      <c r="K272" s="19" t="s">
        <v>37</v>
      </c>
      <c r="L272" s="19" t="s">
        <v>38</v>
      </c>
      <c r="M272" s="20">
        <f t="shared" si="2"/>
        <v>0</v>
      </c>
      <c r="N272" s="22"/>
      <c r="O272" s="19" t="s">
        <v>3578</v>
      </c>
      <c r="P272" s="18"/>
      <c r="Q272" s="18"/>
      <c r="R272" s="23">
        <v>0.0</v>
      </c>
      <c r="S272" s="23">
        <v>0.0</v>
      </c>
      <c r="T272" s="23">
        <f t="shared" si="3"/>
        <v>0</v>
      </c>
      <c r="U272" s="23">
        <f t="shared" si="4"/>
        <v>0</v>
      </c>
      <c r="V272" s="23">
        <f t="shared" si="5"/>
        <v>0</v>
      </c>
      <c r="W272" s="24" t="str">
        <f t="shared" si="6"/>
        <v>#DIV/0!</v>
      </c>
    </row>
    <row r="273">
      <c r="A273" s="15" t="s">
        <v>4308</v>
      </c>
      <c r="B273" s="15" t="s">
        <v>4309</v>
      </c>
      <c r="C273" s="15" t="s">
        <v>6457</v>
      </c>
      <c r="D273" s="15" t="s">
        <v>4310</v>
      </c>
      <c r="E273" s="17" t="s">
        <v>4311</v>
      </c>
      <c r="F273" s="18"/>
      <c r="G273" s="18"/>
      <c r="H273" s="15" t="s">
        <v>4312</v>
      </c>
      <c r="I273" s="18"/>
      <c r="J273" s="19" t="s">
        <v>36</v>
      </c>
      <c r="K273" s="19" t="s">
        <v>37</v>
      </c>
      <c r="L273" s="19" t="s">
        <v>38</v>
      </c>
      <c r="M273" s="20">
        <f t="shared" si="2"/>
        <v>0</v>
      </c>
      <c r="N273" s="22"/>
      <c r="O273" s="19" t="s">
        <v>3578</v>
      </c>
      <c r="P273" s="18"/>
      <c r="Q273" s="18"/>
      <c r="R273" s="23">
        <v>0.0</v>
      </c>
      <c r="S273" s="23">
        <v>0.0</v>
      </c>
      <c r="T273" s="23">
        <f t="shared" si="3"/>
        <v>0</v>
      </c>
      <c r="U273" s="23">
        <f t="shared" si="4"/>
        <v>0</v>
      </c>
      <c r="V273" s="23">
        <f t="shared" si="5"/>
        <v>0</v>
      </c>
      <c r="W273" s="24" t="str">
        <f t="shared" si="6"/>
        <v>#DIV/0!</v>
      </c>
    </row>
    <row r="274">
      <c r="A274" s="15" t="s">
        <v>204</v>
      </c>
      <c r="B274" s="15" t="s">
        <v>205</v>
      </c>
      <c r="C274" s="15" t="s">
        <v>6074</v>
      </c>
      <c r="D274" s="15" t="s">
        <v>206</v>
      </c>
      <c r="E274" s="17" t="s">
        <v>207</v>
      </c>
      <c r="F274" s="18"/>
      <c r="G274" s="15" t="s">
        <v>208</v>
      </c>
      <c r="H274" s="15" t="s">
        <v>209</v>
      </c>
      <c r="I274" s="18"/>
      <c r="J274" s="19" t="s">
        <v>36</v>
      </c>
      <c r="K274" s="19" t="s">
        <v>37</v>
      </c>
      <c r="L274" s="19" t="s">
        <v>38</v>
      </c>
      <c r="M274" s="20">
        <f t="shared" si="2"/>
        <v>532.8</v>
      </c>
      <c r="N274" s="31">
        <v>10.0</v>
      </c>
      <c r="O274" s="19" t="s">
        <v>107</v>
      </c>
      <c r="P274" s="18"/>
      <c r="Q274" s="18"/>
      <c r="R274" s="23">
        <v>3.0</v>
      </c>
      <c r="S274" s="23">
        <v>30.0</v>
      </c>
      <c r="T274" s="23">
        <f t="shared" si="3"/>
        <v>28.8</v>
      </c>
      <c r="U274" s="23">
        <f t="shared" si="4"/>
        <v>3.675</v>
      </c>
      <c r="V274" s="23">
        <f t="shared" si="5"/>
        <v>68.90625</v>
      </c>
      <c r="W274" s="24">
        <f t="shared" si="6"/>
        <v>9.6</v>
      </c>
    </row>
    <row r="275">
      <c r="A275" s="15" t="s">
        <v>1391</v>
      </c>
      <c r="B275" s="18"/>
      <c r="C275" s="15" t="s">
        <v>6458</v>
      </c>
      <c r="D275" s="18"/>
      <c r="E275" s="17" t="s">
        <v>1392</v>
      </c>
      <c r="F275" s="18"/>
      <c r="G275" s="18"/>
      <c r="H275" s="15" t="s">
        <v>1393</v>
      </c>
      <c r="I275" s="18"/>
      <c r="J275" s="19" t="s">
        <v>36</v>
      </c>
      <c r="K275" s="19" t="s">
        <v>1230</v>
      </c>
      <c r="L275" s="19" t="s">
        <v>38</v>
      </c>
      <c r="M275" s="20">
        <f t="shared" si="2"/>
        <v>0</v>
      </c>
      <c r="N275" s="22"/>
      <c r="O275" s="19" t="s">
        <v>1145</v>
      </c>
      <c r="P275" s="18"/>
      <c r="Q275" s="18"/>
      <c r="R275" s="23">
        <v>0.0</v>
      </c>
      <c r="S275" s="23">
        <v>0.0</v>
      </c>
      <c r="T275" s="23">
        <f t="shared" si="3"/>
        <v>0</v>
      </c>
      <c r="U275" s="23">
        <f t="shared" si="4"/>
        <v>0</v>
      </c>
      <c r="V275" s="23">
        <f t="shared" si="5"/>
        <v>0</v>
      </c>
      <c r="W275" s="24" t="str">
        <f t="shared" si="6"/>
        <v>#DIV/0!</v>
      </c>
    </row>
    <row r="276">
      <c r="A276" s="15" t="s">
        <v>1394</v>
      </c>
      <c r="B276" s="18"/>
      <c r="C276" s="15" t="s">
        <v>6459</v>
      </c>
      <c r="D276" s="18"/>
      <c r="E276" s="17" t="s">
        <v>1395</v>
      </c>
      <c r="F276" s="18"/>
      <c r="G276" s="18"/>
      <c r="H276" s="15" t="s">
        <v>1396</v>
      </c>
      <c r="I276" s="18"/>
      <c r="J276" s="19" t="s">
        <v>36</v>
      </c>
      <c r="K276" s="19" t="s">
        <v>1230</v>
      </c>
      <c r="L276" s="19" t="s">
        <v>38</v>
      </c>
      <c r="M276" s="20">
        <f t="shared" si="2"/>
        <v>0</v>
      </c>
      <c r="N276" s="22"/>
      <c r="O276" s="19" t="s">
        <v>1145</v>
      </c>
      <c r="P276" s="18"/>
      <c r="Q276" s="18"/>
      <c r="R276" s="23">
        <v>0.0</v>
      </c>
      <c r="S276" s="23">
        <v>0.0</v>
      </c>
      <c r="T276" s="23">
        <f t="shared" si="3"/>
        <v>0</v>
      </c>
      <c r="U276" s="23">
        <f t="shared" si="4"/>
        <v>0</v>
      </c>
      <c r="V276" s="23">
        <f t="shared" si="5"/>
        <v>0</v>
      </c>
      <c r="W276" s="24" t="str">
        <f t="shared" si="6"/>
        <v>#DIV/0!</v>
      </c>
    </row>
    <row r="277">
      <c r="A277" s="15" t="s">
        <v>1397</v>
      </c>
      <c r="B277" s="18"/>
      <c r="C277" s="15" t="s">
        <v>6460</v>
      </c>
      <c r="D277" s="18"/>
      <c r="E277" s="17" t="s">
        <v>1398</v>
      </c>
      <c r="F277" s="18"/>
      <c r="G277" s="18"/>
      <c r="H277" s="15" t="s">
        <v>1399</v>
      </c>
      <c r="I277" s="18"/>
      <c r="J277" s="19" t="s">
        <v>36</v>
      </c>
      <c r="K277" s="19" t="s">
        <v>1230</v>
      </c>
      <c r="L277" s="19" t="s">
        <v>38</v>
      </c>
      <c r="M277" s="20">
        <f t="shared" si="2"/>
        <v>0</v>
      </c>
      <c r="N277" s="22"/>
      <c r="O277" s="19" t="s">
        <v>1145</v>
      </c>
      <c r="P277" s="18"/>
      <c r="Q277" s="18"/>
      <c r="R277" s="23">
        <v>0.0</v>
      </c>
      <c r="S277" s="23">
        <v>0.0</v>
      </c>
      <c r="T277" s="23">
        <f t="shared" si="3"/>
        <v>0</v>
      </c>
      <c r="U277" s="23">
        <f t="shared" si="4"/>
        <v>0</v>
      </c>
      <c r="V277" s="23">
        <f t="shared" si="5"/>
        <v>0</v>
      </c>
      <c r="W277" s="24" t="str">
        <f t="shared" si="6"/>
        <v>#DIV/0!</v>
      </c>
    </row>
    <row r="278">
      <c r="A278" s="15" t="s">
        <v>1400</v>
      </c>
      <c r="B278" s="18"/>
      <c r="C278" s="15" t="s">
        <v>6461</v>
      </c>
      <c r="D278" s="18"/>
      <c r="E278" s="17" t="s">
        <v>1401</v>
      </c>
      <c r="F278" s="18"/>
      <c r="G278" s="18"/>
      <c r="H278" s="15" t="s">
        <v>1402</v>
      </c>
      <c r="I278" s="18"/>
      <c r="J278" s="19" t="s">
        <v>36</v>
      </c>
      <c r="K278" s="19" t="s">
        <v>1230</v>
      </c>
      <c r="L278" s="19" t="s">
        <v>38</v>
      </c>
      <c r="M278" s="20">
        <f t="shared" si="2"/>
        <v>0</v>
      </c>
      <c r="N278" s="22"/>
      <c r="O278" s="19" t="s">
        <v>1145</v>
      </c>
      <c r="P278" s="18"/>
      <c r="Q278" s="18"/>
      <c r="R278" s="23">
        <v>0.0</v>
      </c>
      <c r="S278" s="23">
        <v>0.0</v>
      </c>
      <c r="T278" s="23">
        <f t="shared" si="3"/>
        <v>0</v>
      </c>
      <c r="U278" s="23">
        <f t="shared" si="4"/>
        <v>0</v>
      </c>
      <c r="V278" s="23">
        <f t="shared" si="5"/>
        <v>0</v>
      </c>
      <c r="W278" s="24" t="str">
        <f t="shared" si="6"/>
        <v>#DIV/0!</v>
      </c>
    </row>
    <row r="279">
      <c r="A279" s="15" t="s">
        <v>1403</v>
      </c>
      <c r="B279" s="18"/>
      <c r="C279" s="15" t="s">
        <v>6462</v>
      </c>
      <c r="D279" s="18"/>
      <c r="E279" s="17" t="s">
        <v>1404</v>
      </c>
      <c r="F279" s="18"/>
      <c r="G279" s="18"/>
      <c r="H279" s="15" t="s">
        <v>1405</v>
      </c>
      <c r="I279" s="18"/>
      <c r="J279" s="19" t="s">
        <v>36</v>
      </c>
      <c r="K279" s="19" t="s">
        <v>1230</v>
      </c>
      <c r="L279" s="19" t="s">
        <v>38</v>
      </c>
      <c r="M279" s="20">
        <f t="shared" si="2"/>
        <v>0</v>
      </c>
      <c r="N279" s="22"/>
      <c r="O279" s="19" t="s">
        <v>1145</v>
      </c>
      <c r="P279" s="18"/>
      <c r="Q279" s="18"/>
      <c r="R279" s="23">
        <v>0.0</v>
      </c>
      <c r="S279" s="23">
        <v>0.0</v>
      </c>
      <c r="T279" s="23">
        <f t="shared" si="3"/>
        <v>0</v>
      </c>
      <c r="U279" s="23">
        <f t="shared" si="4"/>
        <v>0</v>
      </c>
      <c r="V279" s="23">
        <f t="shared" si="5"/>
        <v>0</v>
      </c>
      <c r="W279" s="24" t="str">
        <f t="shared" si="6"/>
        <v>#DIV/0!</v>
      </c>
    </row>
    <row r="280">
      <c r="A280" s="15" t="s">
        <v>4313</v>
      </c>
      <c r="B280" s="15" t="s">
        <v>4314</v>
      </c>
      <c r="C280" s="15" t="s">
        <v>6463</v>
      </c>
      <c r="D280" s="15" t="s">
        <v>4315</v>
      </c>
      <c r="E280" s="17" t="s">
        <v>192</v>
      </c>
      <c r="F280" s="18"/>
      <c r="G280" s="18"/>
      <c r="H280" s="15" t="s">
        <v>4316</v>
      </c>
      <c r="I280" s="18"/>
      <c r="J280" s="19" t="s">
        <v>36</v>
      </c>
      <c r="K280" s="19" t="s">
        <v>1230</v>
      </c>
      <c r="L280" s="19" t="s">
        <v>38</v>
      </c>
      <c r="M280" s="20">
        <f t="shared" si="2"/>
        <v>0</v>
      </c>
      <c r="N280" s="22"/>
      <c r="O280" s="19" t="s">
        <v>3578</v>
      </c>
      <c r="P280" s="18"/>
      <c r="Q280" s="18"/>
      <c r="R280" s="23">
        <v>0.0</v>
      </c>
      <c r="S280" s="23">
        <v>0.0</v>
      </c>
      <c r="T280" s="23">
        <f t="shared" si="3"/>
        <v>0</v>
      </c>
      <c r="U280" s="23">
        <f t="shared" si="4"/>
        <v>0</v>
      </c>
      <c r="V280" s="23">
        <f t="shared" si="5"/>
        <v>0</v>
      </c>
      <c r="W280" s="24" t="str">
        <f t="shared" si="6"/>
        <v>#DIV/0!</v>
      </c>
    </row>
    <row r="281">
      <c r="A281" s="15" t="s">
        <v>1406</v>
      </c>
      <c r="B281" s="15" t="s">
        <v>230</v>
      </c>
      <c r="C281" s="15" t="s">
        <v>6464</v>
      </c>
      <c r="D281" s="18"/>
      <c r="E281" s="17" t="s">
        <v>1407</v>
      </c>
      <c r="F281" s="18"/>
      <c r="G281" s="18"/>
      <c r="H281" s="15" t="s">
        <v>1408</v>
      </c>
      <c r="I281" s="18"/>
      <c r="J281" s="19" t="s">
        <v>36</v>
      </c>
      <c r="K281" s="19" t="s">
        <v>1230</v>
      </c>
      <c r="L281" s="19" t="s">
        <v>38</v>
      </c>
      <c r="M281" s="20">
        <f t="shared" si="2"/>
        <v>0</v>
      </c>
      <c r="N281" s="22"/>
      <c r="O281" s="19" t="s">
        <v>1145</v>
      </c>
      <c r="P281" s="18"/>
      <c r="Q281" s="18"/>
      <c r="R281" s="23">
        <v>0.0</v>
      </c>
      <c r="S281" s="23">
        <v>0.0</v>
      </c>
      <c r="T281" s="23">
        <f t="shared" si="3"/>
        <v>0</v>
      </c>
      <c r="U281" s="23">
        <f t="shared" si="4"/>
        <v>0</v>
      </c>
      <c r="V281" s="23">
        <f t="shared" si="5"/>
        <v>0</v>
      </c>
      <c r="W281" s="24" t="str">
        <f t="shared" si="6"/>
        <v>#DIV/0!</v>
      </c>
    </row>
    <row r="282">
      <c r="A282" s="15" t="s">
        <v>4317</v>
      </c>
      <c r="B282" s="15" t="s">
        <v>4318</v>
      </c>
      <c r="C282" s="15" t="s">
        <v>6465</v>
      </c>
      <c r="D282" s="15" t="s">
        <v>4315</v>
      </c>
      <c r="E282" s="17" t="s">
        <v>192</v>
      </c>
      <c r="F282" s="18"/>
      <c r="G282" s="18"/>
      <c r="H282" s="15" t="s">
        <v>4319</v>
      </c>
      <c r="I282" s="18"/>
      <c r="J282" s="19" t="s">
        <v>36</v>
      </c>
      <c r="K282" s="19" t="s">
        <v>1230</v>
      </c>
      <c r="L282" s="19" t="s">
        <v>38</v>
      </c>
      <c r="M282" s="20">
        <f t="shared" si="2"/>
        <v>0</v>
      </c>
      <c r="N282" s="22"/>
      <c r="O282" s="19" t="s">
        <v>3578</v>
      </c>
      <c r="P282" s="18"/>
      <c r="Q282" s="18"/>
      <c r="R282" s="23">
        <v>0.0</v>
      </c>
      <c r="S282" s="23">
        <v>0.0</v>
      </c>
      <c r="T282" s="23">
        <f t="shared" si="3"/>
        <v>0</v>
      </c>
      <c r="U282" s="23">
        <f t="shared" si="4"/>
        <v>0</v>
      </c>
      <c r="V282" s="23">
        <f t="shared" si="5"/>
        <v>0</v>
      </c>
      <c r="W282" s="24" t="str">
        <f t="shared" si="6"/>
        <v>#DIV/0!</v>
      </c>
    </row>
    <row r="283">
      <c r="A283" s="15" t="s">
        <v>4320</v>
      </c>
      <c r="B283" s="15" t="s">
        <v>4321</v>
      </c>
      <c r="C283" s="15" t="s">
        <v>6466</v>
      </c>
      <c r="D283" s="15" t="s">
        <v>4315</v>
      </c>
      <c r="E283" s="17" t="s">
        <v>192</v>
      </c>
      <c r="F283" s="18"/>
      <c r="G283" s="18"/>
      <c r="H283" s="15" t="s">
        <v>4322</v>
      </c>
      <c r="I283" s="18"/>
      <c r="J283" s="19" t="s">
        <v>36</v>
      </c>
      <c r="K283" s="19" t="s">
        <v>1230</v>
      </c>
      <c r="L283" s="19" t="s">
        <v>38</v>
      </c>
      <c r="M283" s="20">
        <f t="shared" si="2"/>
        <v>0</v>
      </c>
      <c r="N283" s="22"/>
      <c r="O283" s="19" t="s">
        <v>3578</v>
      </c>
      <c r="P283" s="18"/>
      <c r="Q283" s="18"/>
      <c r="R283" s="23">
        <v>0.0</v>
      </c>
      <c r="S283" s="23">
        <v>0.0</v>
      </c>
      <c r="T283" s="23">
        <f t="shared" si="3"/>
        <v>0</v>
      </c>
      <c r="U283" s="23">
        <f t="shared" si="4"/>
        <v>0</v>
      </c>
      <c r="V283" s="23">
        <f t="shared" si="5"/>
        <v>0</v>
      </c>
      <c r="W283" s="24" t="str">
        <f t="shared" si="6"/>
        <v>#DIV/0!</v>
      </c>
    </row>
    <row r="284">
      <c r="A284" s="15" t="s">
        <v>4323</v>
      </c>
      <c r="B284" s="15" t="s">
        <v>4324</v>
      </c>
      <c r="C284" s="15" t="s">
        <v>6467</v>
      </c>
      <c r="D284" s="18"/>
      <c r="E284" s="17" t="s">
        <v>4325</v>
      </c>
      <c r="F284" s="18"/>
      <c r="G284" s="18"/>
      <c r="H284" s="15" t="s">
        <v>4326</v>
      </c>
      <c r="I284" s="18"/>
      <c r="J284" s="19" t="s">
        <v>36</v>
      </c>
      <c r="K284" s="19" t="s">
        <v>1230</v>
      </c>
      <c r="L284" s="19" t="s">
        <v>38</v>
      </c>
      <c r="M284" s="20">
        <f t="shared" si="2"/>
        <v>0</v>
      </c>
      <c r="N284" s="22"/>
      <c r="O284" s="19" t="s">
        <v>3578</v>
      </c>
      <c r="P284" s="18"/>
      <c r="Q284" s="18"/>
      <c r="R284" s="23">
        <v>0.0</v>
      </c>
      <c r="S284" s="23">
        <v>0.0</v>
      </c>
      <c r="T284" s="23">
        <f t="shared" si="3"/>
        <v>0</v>
      </c>
      <c r="U284" s="23">
        <f t="shared" si="4"/>
        <v>0</v>
      </c>
      <c r="V284" s="23">
        <f t="shared" si="5"/>
        <v>0</v>
      </c>
      <c r="W284" s="24" t="str">
        <f t="shared" si="6"/>
        <v>#DIV/0!</v>
      </c>
    </row>
    <row r="285">
      <c r="A285" s="15" t="s">
        <v>4327</v>
      </c>
      <c r="B285" s="15" t="s">
        <v>4328</v>
      </c>
      <c r="C285" s="15" t="s">
        <v>6468</v>
      </c>
      <c r="D285" s="15" t="s">
        <v>4329</v>
      </c>
      <c r="E285" s="17" t="s">
        <v>4330</v>
      </c>
      <c r="F285" s="18"/>
      <c r="G285" s="18"/>
      <c r="H285" s="15" t="s">
        <v>6469</v>
      </c>
      <c r="I285" s="18"/>
      <c r="J285" s="19" t="s">
        <v>36</v>
      </c>
      <c r="K285" s="19" t="s">
        <v>1230</v>
      </c>
      <c r="L285" s="19" t="s">
        <v>38</v>
      </c>
      <c r="M285" s="20">
        <f t="shared" si="2"/>
        <v>0</v>
      </c>
      <c r="N285" s="22"/>
      <c r="O285" s="19" t="s">
        <v>3578</v>
      </c>
      <c r="P285" s="18"/>
      <c r="Q285" s="18"/>
      <c r="R285" s="23">
        <v>0.0</v>
      </c>
      <c r="S285" s="23">
        <v>0.0</v>
      </c>
      <c r="T285" s="23">
        <f t="shared" si="3"/>
        <v>0</v>
      </c>
      <c r="U285" s="23">
        <f t="shared" si="4"/>
        <v>0</v>
      </c>
      <c r="V285" s="23">
        <f t="shared" si="5"/>
        <v>0</v>
      </c>
      <c r="W285" s="24" t="str">
        <f t="shared" si="6"/>
        <v>#DIV/0!</v>
      </c>
    </row>
    <row r="286">
      <c r="A286" s="15" t="s">
        <v>4332</v>
      </c>
      <c r="B286" s="15" t="s">
        <v>4333</v>
      </c>
      <c r="C286" s="15" t="s">
        <v>6470</v>
      </c>
      <c r="D286" s="15" t="s">
        <v>4315</v>
      </c>
      <c r="E286" s="17" t="s">
        <v>4334</v>
      </c>
      <c r="F286" s="18"/>
      <c r="G286" s="18"/>
      <c r="H286" s="15" t="s">
        <v>4335</v>
      </c>
      <c r="I286" s="18"/>
      <c r="J286" s="19" t="s">
        <v>36</v>
      </c>
      <c r="K286" s="19" t="s">
        <v>1230</v>
      </c>
      <c r="L286" s="19" t="s">
        <v>38</v>
      </c>
      <c r="M286" s="20">
        <f t="shared" si="2"/>
        <v>0</v>
      </c>
      <c r="N286" s="22"/>
      <c r="O286" s="19" t="s">
        <v>3578</v>
      </c>
      <c r="P286" s="18"/>
      <c r="Q286" s="18"/>
      <c r="R286" s="23">
        <v>0.0</v>
      </c>
      <c r="S286" s="23">
        <v>0.0</v>
      </c>
      <c r="T286" s="23">
        <f t="shared" si="3"/>
        <v>0</v>
      </c>
      <c r="U286" s="23">
        <f t="shared" si="4"/>
        <v>0</v>
      </c>
      <c r="V286" s="23">
        <f t="shared" si="5"/>
        <v>0</v>
      </c>
      <c r="W286" s="24" t="str">
        <f t="shared" si="6"/>
        <v>#DIV/0!</v>
      </c>
    </row>
    <row r="287">
      <c r="A287" s="15" t="s">
        <v>1409</v>
      </c>
      <c r="B287" s="15" t="s">
        <v>230</v>
      </c>
      <c r="C287" s="15" t="s">
        <v>6471</v>
      </c>
      <c r="D287" s="18"/>
      <c r="E287" s="17" t="s">
        <v>1407</v>
      </c>
      <c r="F287" s="18"/>
      <c r="G287" s="18"/>
      <c r="H287" s="15" t="s">
        <v>1410</v>
      </c>
      <c r="I287" s="18"/>
      <c r="J287" s="19" t="s">
        <v>36</v>
      </c>
      <c r="K287" s="19" t="s">
        <v>1230</v>
      </c>
      <c r="L287" s="19" t="s">
        <v>38</v>
      </c>
      <c r="M287" s="20">
        <f t="shared" si="2"/>
        <v>0</v>
      </c>
      <c r="N287" s="22"/>
      <c r="O287" s="19" t="s">
        <v>1145</v>
      </c>
      <c r="P287" s="18"/>
      <c r="Q287" s="18"/>
      <c r="R287" s="23">
        <v>0.0</v>
      </c>
      <c r="S287" s="23">
        <v>0.0</v>
      </c>
      <c r="T287" s="23">
        <f t="shared" si="3"/>
        <v>0</v>
      </c>
      <c r="U287" s="23">
        <f t="shared" si="4"/>
        <v>0</v>
      </c>
      <c r="V287" s="23">
        <f t="shared" si="5"/>
        <v>0</v>
      </c>
      <c r="W287" s="24" t="str">
        <f t="shared" si="6"/>
        <v>#DIV/0!</v>
      </c>
    </row>
    <row r="288">
      <c r="A288" s="15" t="s">
        <v>1411</v>
      </c>
      <c r="B288" s="18"/>
      <c r="C288" s="15" t="s">
        <v>6472</v>
      </c>
      <c r="D288" s="18"/>
      <c r="E288" s="17" t="s">
        <v>1412</v>
      </c>
      <c r="F288" s="18"/>
      <c r="G288" s="18"/>
      <c r="H288" s="15" t="s">
        <v>1413</v>
      </c>
      <c r="I288" s="18"/>
      <c r="J288" s="19" t="s">
        <v>36</v>
      </c>
      <c r="K288" s="19" t="s">
        <v>37</v>
      </c>
      <c r="L288" s="19" t="s">
        <v>38</v>
      </c>
      <c r="M288" s="20">
        <f t="shared" si="2"/>
        <v>0</v>
      </c>
      <c r="N288" s="22"/>
      <c r="O288" s="19" t="s">
        <v>1145</v>
      </c>
      <c r="P288" s="18"/>
      <c r="Q288" s="18"/>
      <c r="R288" s="23">
        <v>0.0</v>
      </c>
      <c r="S288" s="23">
        <v>0.0</v>
      </c>
      <c r="T288" s="23">
        <f t="shared" si="3"/>
        <v>0</v>
      </c>
      <c r="U288" s="23">
        <f t="shared" si="4"/>
        <v>0</v>
      </c>
      <c r="V288" s="23">
        <f t="shared" si="5"/>
        <v>0</v>
      </c>
      <c r="W288" s="24" t="str">
        <f t="shared" si="6"/>
        <v>#DIV/0!</v>
      </c>
    </row>
    <row r="289">
      <c r="A289" s="15" t="s">
        <v>4336</v>
      </c>
      <c r="B289" s="15" t="s">
        <v>4337</v>
      </c>
      <c r="C289" s="15" t="s">
        <v>6473</v>
      </c>
      <c r="D289" s="15" t="s">
        <v>4338</v>
      </c>
      <c r="E289" s="17" t="s">
        <v>4339</v>
      </c>
      <c r="F289" s="18"/>
      <c r="G289" s="18"/>
      <c r="H289" s="15" t="s">
        <v>4340</v>
      </c>
      <c r="I289" s="18"/>
      <c r="J289" s="19" t="s">
        <v>36</v>
      </c>
      <c r="K289" s="19" t="s">
        <v>37</v>
      </c>
      <c r="L289" s="19" t="s">
        <v>38</v>
      </c>
      <c r="M289" s="20">
        <f t="shared" si="2"/>
        <v>0</v>
      </c>
      <c r="N289" s="22"/>
      <c r="O289" s="19" t="s">
        <v>3578</v>
      </c>
      <c r="P289" s="18"/>
      <c r="Q289" s="18"/>
      <c r="R289" s="23">
        <v>0.0</v>
      </c>
      <c r="S289" s="23">
        <v>0.0</v>
      </c>
      <c r="T289" s="23">
        <f t="shared" si="3"/>
        <v>0</v>
      </c>
      <c r="U289" s="23">
        <f t="shared" si="4"/>
        <v>0</v>
      </c>
      <c r="V289" s="23">
        <f t="shared" si="5"/>
        <v>0</v>
      </c>
      <c r="W289" s="24" t="str">
        <f t="shared" si="6"/>
        <v>#DIV/0!</v>
      </c>
    </row>
    <row r="290">
      <c r="A290" s="15" t="s">
        <v>4341</v>
      </c>
      <c r="B290" s="15" t="s">
        <v>4342</v>
      </c>
      <c r="C290" s="15" t="s">
        <v>6474</v>
      </c>
      <c r="D290" s="15" t="s">
        <v>4343</v>
      </c>
      <c r="E290" s="17" t="s">
        <v>4344</v>
      </c>
      <c r="F290" s="18"/>
      <c r="G290" s="18"/>
      <c r="H290" s="15" t="s">
        <v>4345</v>
      </c>
      <c r="I290" s="18"/>
      <c r="J290" s="19" t="s">
        <v>36</v>
      </c>
      <c r="K290" s="19" t="s">
        <v>37</v>
      </c>
      <c r="L290" s="19" t="s">
        <v>38</v>
      </c>
      <c r="M290" s="20">
        <f t="shared" si="2"/>
        <v>0</v>
      </c>
      <c r="N290" s="22"/>
      <c r="O290" s="19" t="s">
        <v>3578</v>
      </c>
      <c r="P290" s="18"/>
      <c r="Q290" s="18"/>
      <c r="R290" s="23">
        <v>0.0</v>
      </c>
      <c r="S290" s="23">
        <v>0.0</v>
      </c>
      <c r="T290" s="23">
        <f t="shared" si="3"/>
        <v>0</v>
      </c>
      <c r="U290" s="23">
        <f t="shared" si="4"/>
        <v>0</v>
      </c>
      <c r="V290" s="23">
        <f t="shared" si="5"/>
        <v>0</v>
      </c>
      <c r="W290" s="24" t="str">
        <f t="shared" si="6"/>
        <v>#DIV/0!</v>
      </c>
    </row>
    <row r="291">
      <c r="A291" s="15" t="s">
        <v>4346</v>
      </c>
      <c r="B291" s="15" t="s">
        <v>4347</v>
      </c>
      <c r="C291" s="15" t="s">
        <v>6475</v>
      </c>
      <c r="D291" s="15" t="s">
        <v>4348</v>
      </c>
      <c r="E291" s="17" t="s">
        <v>4349</v>
      </c>
      <c r="F291" s="18"/>
      <c r="G291" s="18"/>
      <c r="H291" s="15" t="s">
        <v>4350</v>
      </c>
      <c r="I291" s="18"/>
      <c r="J291" s="19" t="s">
        <v>36</v>
      </c>
      <c r="K291" s="19" t="s">
        <v>37</v>
      </c>
      <c r="L291" s="19" t="s">
        <v>38</v>
      </c>
      <c r="M291" s="20">
        <f t="shared" si="2"/>
        <v>0</v>
      </c>
      <c r="N291" s="22"/>
      <c r="O291" s="19" t="s">
        <v>3578</v>
      </c>
      <c r="P291" s="18"/>
      <c r="Q291" s="18"/>
      <c r="R291" s="23">
        <v>0.0</v>
      </c>
      <c r="S291" s="23">
        <v>0.0</v>
      </c>
      <c r="T291" s="23">
        <f t="shared" si="3"/>
        <v>0</v>
      </c>
      <c r="U291" s="23">
        <f t="shared" si="4"/>
        <v>0</v>
      </c>
      <c r="V291" s="23">
        <f t="shared" si="5"/>
        <v>0</v>
      </c>
      <c r="W291" s="24" t="str">
        <f t="shared" si="6"/>
        <v>#DIV/0!</v>
      </c>
    </row>
    <row r="292">
      <c r="A292" s="15" t="s">
        <v>4351</v>
      </c>
      <c r="B292" s="15" t="s">
        <v>4352</v>
      </c>
      <c r="C292" s="15" t="s">
        <v>6476</v>
      </c>
      <c r="D292" s="15" t="s">
        <v>4353</v>
      </c>
      <c r="E292" s="17" t="s">
        <v>4354</v>
      </c>
      <c r="F292" s="18"/>
      <c r="G292" s="18"/>
      <c r="H292" s="15" t="s">
        <v>4355</v>
      </c>
      <c r="I292" s="18"/>
      <c r="J292" s="19" t="s">
        <v>36</v>
      </c>
      <c r="K292" s="19" t="s">
        <v>37</v>
      </c>
      <c r="L292" s="19" t="s">
        <v>38</v>
      </c>
      <c r="M292" s="20">
        <f t="shared" si="2"/>
        <v>0</v>
      </c>
      <c r="N292" s="22"/>
      <c r="O292" s="19" t="s">
        <v>3578</v>
      </c>
      <c r="P292" s="18"/>
      <c r="Q292" s="18"/>
      <c r="R292" s="23">
        <v>0.0</v>
      </c>
      <c r="S292" s="23">
        <v>0.0</v>
      </c>
      <c r="T292" s="23">
        <f t="shared" si="3"/>
        <v>0</v>
      </c>
      <c r="U292" s="23">
        <f t="shared" si="4"/>
        <v>0</v>
      </c>
      <c r="V292" s="23">
        <f t="shared" si="5"/>
        <v>0</v>
      </c>
      <c r="W292" s="24" t="str">
        <f t="shared" si="6"/>
        <v>#DIV/0!</v>
      </c>
    </row>
    <row r="293">
      <c r="A293" s="15" t="s">
        <v>4356</v>
      </c>
      <c r="B293" s="15" t="s">
        <v>4357</v>
      </c>
      <c r="C293" s="15" t="s">
        <v>6477</v>
      </c>
      <c r="D293" s="15" t="s">
        <v>4358</v>
      </c>
      <c r="E293" s="17" t="s">
        <v>4359</v>
      </c>
      <c r="F293" s="18"/>
      <c r="G293" s="18"/>
      <c r="H293" s="15" t="s">
        <v>4360</v>
      </c>
      <c r="I293" s="18"/>
      <c r="J293" s="19" t="s">
        <v>36</v>
      </c>
      <c r="K293" s="19" t="s">
        <v>37</v>
      </c>
      <c r="L293" s="19" t="s">
        <v>38</v>
      </c>
      <c r="M293" s="20">
        <f t="shared" si="2"/>
        <v>0</v>
      </c>
      <c r="N293" s="22"/>
      <c r="O293" s="19" t="s">
        <v>3578</v>
      </c>
      <c r="P293" s="18"/>
      <c r="Q293" s="18"/>
      <c r="R293" s="23">
        <v>0.0</v>
      </c>
      <c r="S293" s="23">
        <v>0.0</v>
      </c>
      <c r="T293" s="23">
        <f t="shared" si="3"/>
        <v>0</v>
      </c>
      <c r="U293" s="23">
        <f t="shared" si="4"/>
        <v>0</v>
      </c>
      <c r="V293" s="23">
        <f t="shared" si="5"/>
        <v>0</v>
      </c>
      <c r="W293" s="24" t="str">
        <f t="shared" si="6"/>
        <v>#DIV/0!</v>
      </c>
    </row>
    <row r="294">
      <c r="A294" s="15" t="s">
        <v>4361</v>
      </c>
      <c r="B294" s="15" t="s">
        <v>4362</v>
      </c>
      <c r="C294" s="15" t="s">
        <v>6478</v>
      </c>
      <c r="D294" s="15" t="s">
        <v>4363</v>
      </c>
      <c r="E294" s="17" t="s">
        <v>4364</v>
      </c>
      <c r="F294" s="18"/>
      <c r="G294" s="18"/>
      <c r="H294" s="15" t="s">
        <v>4365</v>
      </c>
      <c r="I294" s="18"/>
      <c r="J294" s="19" t="s">
        <v>36</v>
      </c>
      <c r="K294" s="19" t="s">
        <v>37</v>
      </c>
      <c r="L294" s="19" t="s">
        <v>38</v>
      </c>
      <c r="M294" s="20">
        <f t="shared" si="2"/>
        <v>0</v>
      </c>
      <c r="N294" s="22"/>
      <c r="O294" s="19" t="s">
        <v>3578</v>
      </c>
      <c r="P294" s="18"/>
      <c r="Q294" s="18"/>
      <c r="R294" s="23">
        <v>0.0</v>
      </c>
      <c r="S294" s="23">
        <v>0.0</v>
      </c>
      <c r="T294" s="23">
        <f t="shared" si="3"/>
        <v>0</v>
      </c>
      <c r="U294" s="23">
        <f t="shared" si="4"/>
        <v>0</v>
      </c>
      <c r="V294" s="23">
        <f t="shared" si="5"/>
        <v>0</v>
      </c>
      <c r="W294" s="24" t="str">
        <f t="shared" si="6"/>
        <v>#DIV/0!</v>
      </c>
    </row>
    <row r="295">
      <c r="A295" s="15" t="s">
        <v>4366</v>
      </c>
      <c r="B295" s="15" t="s">
        <v>4367</v>
      </c>
      <c r="C295" s="15" t="s">
        <v>6479</v>
      </c>
      <c r="D295" s="15" t="s">
        <v>4368</v>
      </c>
      <c r="E295" s="17" t="s">
        <v>4369</v>
      </c>
      <c r="F295" s="18"/>
      <c r="G295" s="18"/>
      <c r="H295" s="15" t="s">
        <v>4370</v>
      </c>
      <c r="I295" s="18"/>
      <c r="J295" s="19" t="s">
        <v>36</v>
      </c>
      <c r="K295" s="19" t="s">
        <v>37</v>
      </c>
      <c r="L295" s="19" t="s">
        <v>38</v>
      </c>
      <c r="M295" s="20">
        <f t="shared" si="2"/>
        <v>0</v>
      </c>
      <c r="N295" s="22"/>
      <c r="O295" s="19" t="s">
        <v>3578</v>
      </c>
      <c r="P295" s="18"/>
      <c r="Q295" s="18"/>
      <c r="R295" s="23">
        <v>0.0</v>
      </c>
      <c r="S295" s="23">
        <v>0.0</v>
      </c>
      <c r="T295" s="23">
        <f t="shared" si="3"/>
        <v>0</v>
      </c>
      <c r="U295" s="23">
        <f t="shared" si="4"/>
        <v>0</v>
      </c>
      <c r="V295" s="23">
        <f t="shared" si="5"/>
        <v>0</v>
      </c>
      <c r="W295" s="24" t="str">
        <f t="shared" si="6"/>
        <v>#DIV/0!</v>
      </c>
    </row>
    <row r="296">
      <c r="A296" s="15" t="s">
        <v>6480</v>
      </c>
      <c r="B296" s="18"/>
      <c r="C296" s="15" t="s">
        <v>6481</v>
      </c>
      <c r="D296" s="18"/>
      <c r="E296" s="17" t="s">
        <v>6482</v>
      </c>
      <c r="F296" s="18"/>
      <c r="G296" s="18"/>
      <c r="H296" s="15" t="s">
        <v>4374</v>
      </c>
      <c r="I296" s="18"/>
      <c r="J296" s="19" t="s">
        <v>36</v>
      </c>
      <c r="K296" s="19" t="s">
        <v>1230</v>
      </c>
      <c r="L296" s="19" t="s">
        <v>38</v>
      </c>
      <c r="M296" s="20">
        <f t="shared" si="2"/>
        <v>0</v>
      </c>
      <c r="N296" s="22"/>
      <c r="O296" s="19" t="s">
        <v>39</v>
      </c>
      <c r="P296" s="18"/>
      <c r="Q296" s="18"/>
      <c r="R296" s="23">
        <v>0.0</v>
      </c>
      <c r="S296" s="23">
        <v>0.0</v>
      </c>
      <c r="T296" s="23">
        <f t="shared" si="3"/>
        <v>0</v>
      </c>
      <c r="U296" s="23">
        <f t="shared" si="4"/>
        <v>0</v>
      </c>
      <c r="V296" s="23">
        <f t="shared" si="5"/>
        <v>0</v>
      </c>
      <c r="W296" s="24" t="str">
        <f t="shared" si="6"/>
        <v>#DIV/0!</v>
      </c>
    </row>
    <row r="297">
      <c r="A297" s="15" t="s">
        <v>4371</v>
      </c>
      <c r="B297" s="18"/>
      <c r="C297" s="15" t="s">
        <v>6483</v>
      </c>
      <c r="D297" s="18"/>
      <c r="E297" s="17" t="s">
        <v>4373</v>
      </c>
      <c r="F297" s="18"/>
      <c r="G297" s="18"/>
      <c r="H297" s="15" t="s">
        <v>4374</v>
      </c>
      <c r="I297" s="18"/>
      <c r="J297" s="19" t="s">
        <v>36</v>
      </c>
      <c r="K297" s="19" t="s">
        <v>1230</v>
      </c>
      <c r="L297" s="19" t="s">
        <v>38</v>
      </c>
      <c r="M297" s="20">
        <f t="shared" si="2"/>
        <v>0</v>
      </c>
      <c r="N297" s="22"/>
      <c r="O297" s="19" t="s">
        <v>3578</v>
      </c>
      <c r="P297" s="18"/>
      <c r="Q297" s="18"/>
      <c r="R297" s="23">
        <v>0.0</v>
      </c>
      <c r="S297" s="23">
        <v>0.0</v>
      </c>
      <c r="T297" s="23">
        <f t="shared" si="3"/>
        <v>0</v>
      </c>
      <c r="U297" s="23">
        <f t="shared" si="4"/>
        <v>0</v>
      </c>
      <c r="V297" s="23">
        <f t="shared" si="5"/>
        <v>0</v>
      </c>
      <c r="W297" s="24" t="str">
        <f t="shared" si="6"/>
        <v>#DIV/0!</v>
      </c>
    </row>
    <row r="298">
      <c r="A298" s="15" t="s">
        <v>4375</v>
      </c>
      <c r="B298" s="15"/>
      <c r="C298" s="15" t="s">
        <v>6484</v>
      </c>
      <c r="D298" s="18"/>
      <c r="E298" s="17" t="s">
        <v>6485</v>
      </c>
      <c r="F298" s="18"/>
      <c r="G298" s="18"/>
      <c r="H298" s="15" t="s">
        <v>4378</v>
      </c>
      <c r="I298" s="18"/>
      <c r="J298" s="19" t="s">
        <v>36</v>
      </c>
      <c r="K298" s="19" t="s">
        <v>1230</v>
      </c>
      <c r="L298" s="19" t="s">
        <v>38</v>
      </c>
      <c r="M298" s="20">
        <f t="shared" si="2"/>
        <v>0</v>
      </c>
      <c r="N298" s="22"/>
      <c r="O298" s="19" t="s">
        <v>1145</v>
      </c>
      <c r="P298" s="18"/>
      <c r="Q298" s="18"/>
      <c r="R298" s="23">
        <v>0.0</v>
      </c>
      <c r="S298" s="23">
        <v>0.0</v>
      </c>
      <c r="T298" s="23">
        <f t="shared" si="3"/>
        <v>0</v>
      </c>
      <c r="U298" s="23">
        <f t="shared" si="4"/>
        <v>0</v>
      </c>
      <c r="V298" s="23">
        <f t="shared" si="5"/>
        <v>0</v>
      </c>
      <c r="W298" s="24" t="str">
        <f t="shared" si="6"/>
        <v>#DIV/0!</v>
      </c>
    </row>
    <row r="299">
      <c r="A299" s="15" t="s">
        <v>4379</v>
      </c>
      <c r="B299" s="18"/>
      <c r="C299" s="15" t="s">
        <v>6486</v>
      </c>
      <c r="D299" s="18"/>
      <c r="E299" s="17" t="s">
        <v>6487</v>
      </c>
      <c r="F299" s="18"/>
      <c r="G299" s="18"/>
      <c r="H299" s="15" t="s">
        <v>4382</v>
      </c>
      <c r="I299" s="18"/>
      <c r="J299" s="19" t="s">
        <v>36</v>
      </c>
      <c r="K299" s="19" t="s">
        <v>1230</v>
      </c>
      <c r="L299" s="19" t="s">
        <v>38</v>
      </c>
      <c r="M299" s="20">
        <f t="shared" si="2"/>
        <v>0</v>
      </c>
      <c r="N299" s="22"/>
      <c r="O299" s="19" t="s">
        <v>1145</v>
      </c>
      <c r="P299" s="18"/>
      <c r="Q299" s="18"/>
      <c r="R299" s="23">
        <v>0.0</v>
      </c>
      <c r="S299" s="23">
        <v>0.0</v>
      </c>
      <c r="T299" s="23">
        <f t="shared" si="3"/>
        <v>0</v>
      </c>
      <c r="U299" s="23">
        <f t="shared" si="4"/>
        <v>0</v>
      </c>
      <c r="V299" s="23">
        <f t="shared" si="5"/>
        <v>0</v>
      </c>
      <c r="W299" s="24" t="str">
        <f t="shared" si="6"/>
        <v>#DIV/0!</v>
      </c>
    </row>
    <row r="300">
      <c r="A300" s="15" t="s">
        <v>4383</v>
      </c>
      <c r="B300" s="18"/>
      <c r="C300" s="15" t="s">
        <v>6488</v>
      </c>
      <c r="D300" s="18"/>
      <c r="E300" s="17" t="s">
        <v>6489</v>
      </c>
      <c r="F300" s="18"/>
      <c r="G300" s="18"/>
      <c r="H300" s="15" t="s">
        <v>4386</v>
      </c>
      <c r="I300" s="18"/>
      <c r="J300" s="19" t="s">
        <v>36</v>
      </c>
      <c r="K300" s="19" t="s">
        <v>1230</v>
      </c>
      <c r="L300" s="19" t="s">
        <v>38</v>
      </c>
      <c r="M300" s="20">
        <f t="shared" si="2"/>
        <v>0</v>
      </c>
      <c r="N300" s="22"/>
      <c r="O300" s="19" t="s">
        <v>1145</v>
      </c>
      <c r="P300" s="18"/>
      <c r="Q300" s="18"/>
      <c r="R300" s="23">
        <v>0.0</v>
      </c>
      <c r="S300" s="23">
        <v>0.0</v>
      </c>
      <c r="T300" s="23">
        <f t="shared" si="3"/>
        <v>0</v>
      </c>
      <c r="U300" s="23">
        <f t="shared" si="4"/>
        <v>0</v>
      </c>
      <c r="V300" s="23">
        <f t="shared" si="5"/>
        <v>0</v>
      </c>
      <c r="W300" s="24" t="str">
        <f t="shared" si="6"/>
        <v>#DIV/0!</v>
      </c>
    </row>
    <row r="301">
      <c r="A301" s="15" t="s">
        <v>4387</v>
      </c>
      <c r="B301" s="18"/>
      <c r="C301" s="15" t="s">
        <v>6490</v>
      </c>
      <c r="D301" s="18"/>
      <c r="E301" s="17" t="s">
        <v>6491</v>
      </c>
      <c r="F301" s="18"/>
      <c r="G301" s="18"/>
      <c r="H301" s="15" t="s">
        <v>4390</v>
      </c>
      <c r="I301" s="18"/>
      <c r="J301" s="19" t="s">
        <v>36</v>
      </c>
      <c r="K301" s="19" t="s">
        <v>1230</v>
      </c>
      <c r="L301" s="19" t="s">
        <v>38</v>
      </c>
      <c r="M301" s="20">
        <f t="shared" si="2"/>
        <v>0</v>
      </c>
      <c r="N301" s="22"/>
      <c r="O301" s="19" t="s">
        <v>1145</v>
      </c>
      <c r="P301" s="18"/>
      <c r="Q301" s="18"/>
      <c r="R301" s="23">
        <v>0.0</v>
      </c>
      <c r="S301" s="23">
        <v>0.0</v>
      </c>
      <c r="T301" s="23">
        <f t="shared" si="3"/>
        <v>0</v>
      </c>
      <c r="U301" s="23">
        <f t="shared" si="4"/>
        <v>0</v>
      </c>
      <c r="V301" s="23">
        <f t="shared" si="5"/>
        <v>0</v>
      </c>
      <c r="W301" s="24" t="str">
        <f t="shared" si="6"/>
        <v>#DIV/0!</v>
      </c>
    </row>
    <row r="302">
      <c r="A302" s="15" t="s">
        <v>4391</v>
      </c>
      <c r="B302" s="18"/>
      <c r="C302" s="15" t="s">
        <v>6492</v>
      </c>
      <c r="D302" s="18"/>
      <c r="E302" s="17" t="s">
        <v>6493</v>
      </c>
      <c r="F302" s="18"/>
      <c r="G302" s="18"/>
      <c r="H302" s="15" t="s">
        <v>4393</v>
      </c>
      <c r="I302" s="18"/>
      <c r="J302" s="19" t="s">
        <v>36</v>
      </c>
      <c r="K302" s="19" t="s">
        <v>1230</v>
      </c>
      <c r="L302" s="19" t="s">
        <v>38</v>
      </c>
      <c r="M302" s="20">
        <f t="shared" si="2"/>
        <v>0</v>
      </c>
      <c r="N302" s="22"/>
      <c r="O302" s="19" t="s">
        <v>1145</v>
      </c>
      <c r="P302" s="18"/>
      <c r="Q302" s="18"/>
      <c r="R302" s="23">
        <v>0.0</v>
      </c>
      <c r="S302" s="23">
        <v>0.0</v>
      </c>
      <c r="T302" s="23">
        <f t="shared" si="3"/>
        <v>0</v>
      </c>
      <c r="U302" s="23">
        <f t="shared" si="4"/>
        <v>0</v>
      </c>
      <c r="V302" s="23">
        <f t="shared" si="5"/>
        <v>0</v>
      </c>
      <c r="W302" s="24" t="str">
        <f t="shared" si="6"/>
        <v>#DIV/0!</v>
      </c>
    </row>
    <row r="303">
      <c r="A303" s="15" t="s">
        <v>4394</v>
      </c>
      <c r="B303" s="18"/>
      <c r="C303" s="15" t="s">
        <v>6494</v>
      </c>
      <c r="D303" s="18"/>
      <c r="E303" s="17" t="s">
        <v>4395</v>
      </c>
      <c r="F303" s="18"/>
      <c r="G303" s="18"/>
      <c r="H303" s="15" t="s">
        <v>4396</v>
      </c>
      <c r="I303" s="18"/>
      <c r="J303" s="19" t="s">
        <v>36</v>
      </c>
      <c r="K303" s="19" t="s">
        <v>1230</v>
      </c>
      <c r="L303" s="19" t="s">
        <v>38</v>
      </c>
      <c r="M303" s="20">
        <f t="shared" si="2"/>
        <v>0</v>
      </c>
      <c r="N303" s="22"/>
      <c r="O303" s="19" t="s">
        <v>3578</v>
      </c>
      <c r="P303" s="18"/>
      <c r="Q303" s="18"/>
      <c r="R303" s="23">
        <v>0.0</v>
      </c>
      <c r="S303" s="23">
        <v>0.0</v>
      </c>
      <c r="T303" s="23">
        <f t="shared" si="3"/>
        <v>0</v>
      </c>
      <c r="U303" s="23">
        <f t="shared" si="4"/>
        <v>0</v>
      </c>
      <c r="V303" s="23">
        <f t="shared" si="5"/>
        <v>0</v>
      </c>
      <c r="W303" s="24" t="str">
        <f t="shared" si="6"/>
        <v>#DIV/0!</v>
      </c>
    </row>
    <row r="304">
      <c r="A304" s="15" t="s">
        <v>4397</v>
      </c>
      <c r="B304" s="15" t="s">
        <v>4398</v>
      </c>
      <c r="C304" s="15" t="s">
        <v>6495</v>
      </c>
      <c r="D304" s="18"/>
      <c r="E304" s="17" t="s">
        <v>4399</v>
      </c>
      <c r="F304" s="18"/>
      <c r="G304" s="18"/>
      <c r="H304" s="15" t="s">
        <v>4400</v>
      </c>
      <c r="I304" s="18"/>
      <c r="J304" s="19" t="s">
        <v>36</v>
      </c>
      <c r="K304" s="19" t="s">
        <v>284</v>
      </c>
      <c r="L304" s="19" t="s">
        <v>38</v>
      </c>
      <c r="M304" s="20">
        <f t="shared" si="2"/>
        <v>0</v>
      </c>
      <c r="N304" s="22"/>
      <c r="O304" s="19" t="s">
        <v>3578</v>
      </c>
      <c r="P304" s="18"/>
      <c r="Q304" s="18"/>
      <c r="R304" s="23">
        <v>0.0</v>
      </c>
      <c r="S304" s="23">
        <v>0.0</v>
      </c>
      <c r="T304" s="23">
        <f t="shared" si="3"/>
        <v>0</v>
      </c>
      <c r="U304" s="23">
        <f t="shared" si="4"/>
        <v>0</v>
      </c>
      <c r="V304" s="23">
        <f t="shared" si="5"/>
        <v>0</v>
      </c>
      <c r="W304" s="24" t="str">
        <f t="shared" si="6"/>
        <v>#DIV/0!</v>
      </c>
    </row>
    <row r="305">
      <c r="A305" s="15" t="s">
        <v>4401</v>
      </c>
      <c r="B305" s="15" t="s">
        <v>4402</v>
      </c>
      <c r="C305" s="15" t="s">
        <v>6496</v>
      </c>
      <c r="D305" s="18"/>
      <c r="E305" s="17" t="s">
        <v>4403</v>
      </c>
      <c r="F305" s="18"/>
      <c r="G305" s="18"/>
      <c r="H305" s="15" t="s">
        <v>4404</v>
      </c>
      <c r="I305" s="18"/>
      <c r="J305" s="19" t="s">
        <v>36</v>
      </c>
      <c r="K305" s="19" t="s">
        <v>284</v>
      </c>
      <c r="L305" s="19" t="s">
        <v>38</v>
      </c>
      <c r="M305" s="20">
        <f t="shared" si="2"/>
        <v>0</v>
      </c>
      <c r="N305" s="22"/>
      <c r="O305" s="19" t="s">
        <v>1145</v>
      </c>
      <c r="P305" s="18"/>
      <c r="Q305" s="18"/>
      <c r="R305" s="23">
        <v>0.0</v>
      </c>
      <c r="S305" s="23">
        <v>0.0</v>
      </c>
      <c r="T305" s="23">
        <f t="shared" si="3"/>
        <v>0</v>
      </c>
      <c r="U305" s="23">
        <f t="shared" si="4"/>
        <v>0</v>
      </c>
      <c r="V305" s="23">
        <f t="shared" si="5"/>
        <v>0</v>
      </c>
      <c r="W305" s="24" t="str">
        <f t="shared" si="6"/>
        <v>#DIV/0!</v>
      </c>
    </row>
    <row r="306">
      <c r="A306" s="15" t="s">
        <v>4405</v>
      </c>
      <c r="B306" s="15" t="s">
        <v>4406</v>
      </c>
      <c r="C306" s="15" t="s">
        <v>6497</v>
      </c>
      <c r="D306" s="15" t="s">
        <v>4407</v>
      </c>
      <c r="E306" s="17" t="s">
        <v>4408</v>
      </c>
      <c r="F306" s="18"/>
      <c r="G306" s="18"/>
      <c r="H306" s="15" t="s">
        <v>4409</v>
      </c>
      <c r="I306" s="18"/>
      <c r="J306" s="19" t="s">
        <v>36</v>
      </c>
      <c r="K306" s="19" t="s">
        <v>284</v>
      </c>
      <c r="L306" s="19" t="s">
        <v>38</v>
      </c>
      <c r="M306" s="20">
        <f t="shared" si="2"/>
        <v>0</v>
      </c>
      <c r="N306" s="22"/>
      <c r="O306" s="19" t="s">
        <v>3578</v>
      </c>
      <c r="P306" s="18"/>
      <c r="Q306" s="18"/>
      <c r="R306" s="23">
        <v>0.0</v>
      </c>
      <c r="S306" s="23">
        <v>0.0</v>
      </c>
      <c r="T306" s="23">
        <f t="shared" si="3"/>
        <v>0</v>
      </c>
      <c r="U306" s="23">
        <f t="shared" si="4"/>
        <v>0</v>
      </c>
      <c r="V306" s="23">
        <f t="shared" si="5"/>
        <v>0</v>
      </c>
      <c r="W306" s="24" t="str">
        <f t="shared" si="6"/>
        <v>#DIV/0!</v>
      </c>
    </row>
    <row r="307">
      <c r="A307" s="15" t="s">
        <v>1414</v>
      </c>
      <c r="B307" s="18"/>
      <c r="C307" s="15" t="s">
        <v>6498</v>
      </c>
      <c r="D307" s="18"/>
      <c r="E307" s="17" t="s">
        <v>1415</v>
      </c>
      <c r="F307" s="18"/>
      <c r="G307" s="18"/>
      <c r="H307" s="15" t="s">
        <v>1416</v>
      </c>
      <c r="I307" s="18"/>
      <c r="J307" s="19" t="s">
        <v>36</v>
      </c>
      <c r="K307" s="19" t="s">
        <v>37</v>
      </c>
      <c r="L307" s="19" t="s">
        <v>38</v>
      </c>
      <c r="M307" s="20">
        <f t="shared" si="2"/>
        <v>0</v>
      </c>
      <c r="N307" s="22"/>
      <c r="O307" s="19" t="s">
        <v>1145</v>
      </c>
      <c r="P307" s="18"/>
      <c r="Q307" s="18"/>
      <c r="R307" s="23">
        <v>0.0</v>
      </c>
      <c r="S307" s="23">
        <v>0.0</v>
      </c>
      <c r="T307" s="23">
        <f t="shared" si="3"/>
        <v>0</v>
      </c>
      <c r="U307" s="23">
        <f t="shared" si="4"/>
        <v>0</v>
      </c>
      <c r="V307" s="23">
        <f t="shared" si="5"/>
        <v>0</v>
      </c>
      <c r="W307" s="24" t="str">
        <f t="shared" si="6"/>
        <v>#DIV/0!</v>
      </c>
    </row>
    <row r="308">
      <c r="A308" s="15" t="s">
        <v>1417</v>
      </c>
      <c r="B308" s="18"/>
      <c r="C308" s="15" t="s">
        <v>6499</v>
      </c>
      <c r="D308" s="18"/>
      <c r="E308" s="17" t="s">
        <v>1415</v>
      </c>
      <c r="F308" s="18"/>
      <c r="G308" s="18"/>
      <c r="H308" s="15" t="s">
        <v>1418</v>
      </c>
      <c r="I308" s="18"/>
      <c r="J308" s="19" t="s">
        <v>36</v>
      </c>
      <c r="K308" s="19" t="s">
        <v>37</v>
      </c>
      <c r="L308" s="19" t="s">
        <v>38</v>
      </c>
      <c r="M308" s="20">
        <f t="shared" si="2"/>
        <v>0</v>
      </c>
      <c r="N308" s="22"/>
      <c r="O308" s="19" t="s">
        <v>1145</v>
      </c>
      <c r="P308" s="18"/>
      <c r="Q308" s="18"/>
      <c r="R308" s="23">
        <v>0.0</v>
      </c>
      <c r="S308" s="23">
        <v>0.0</v>
      </c>
      <c r="T308" s="23">
        <f t="shared" si="3"/>
        <v>0</v>
      </c>
      <c r="U308" s="23">
        <f t="shared" si="4"/>
        <v>0</v>
      </c>
      <c r="V308" s="23">
        <f t="shared" si="5"/>
        <v>0</v>
      </c>
      <c r="W308" s="24" t="str">
        <f t="shared" si="6"/>
        <v>#DIV/0!</v>
      </c>
    </row>
    <row r="309">
      <c r="A309" s="15" t="s">
        <v>4410</v>
      </c>
      <c r="B309" s="15" t="s">
        <v>4411</v>
      </c>
      <c r="C309" s="15" t="s">
        <v>6500</v>
      </c>
      <c r="D309" s="15" t="s">
        <v>4412</v>
      </c>
      <c r="E309" s="17" t="s">
        <v>4413</v>
      </c>
      <c r="F309" s="18"/>
      <c r="G309" s="18"/>
      <c r="H309" s="15" t="s">
        <v>4414</v>
      </c>
      <c r="I309" s="18"/>
      <c r="J309" s="19" t="s">
        <v>36</v>
      </c>
      <c r="K309" s="19" t="s">
        <v>284</v>
      </c>
      <c r="L309" s="19" t="s">
        <v>38</v>
      </c>
      <c r="M309" s="20">
        <f t="shared" si="2"/>
        <v>0</v>
      </c>
      <c r="N309" s="22"/>
      <c r="O309" s="19" t="s">
        <v>3578</v>
      </c>
      <c r="P309" s="18"/>
      <c r="Q309" s="18"/>
      <c r="R309" s="23">
        <v>0.0</v>
      </c>
      <c r="S309" s="23">
        <v>0.0</v>
      </c>
      <c r="T309" s="23">
        <f t="shared" si="3"/>
        <v>0</v>
      </c>
      <c r="U309" s="23">
        <f t="shared" si="4"/>
        <v>0</v>
      </c>
      <c r="V309" s="23">
        <f t="shared" si="5"/>
        <v>0</v>
      </c>
      <c r="W309" s="24" t="str">
        <f t="shared" si="6"/>
        <v>#DIV/0!</v>
      </c>
    </row>
    <row r="310">
      <c r="A310" s="15" t="s">
        <v>4415</v>
      </c>
      <c r="B310" s="15" t="s">
        <v>4416</v>
      </c>
      <c r="C310" s="15" t="s">
        <v>6501</v>
      </c>
      <c r="D310" s="18"/>
      <c r="E310" s="17" t="s">
        <v>6502</v>
      </c>
      <c r="F310" s="18"/>
      <c r="G310" s="18"/>
      <c r="H310" s="15" t="s">
        <v>4419</v>
      </c>
      <c r="I310" s="15"/>
      <c r="J310" s="19" t="s">
        <v>36</v>
      </c>
      <c r="K310" s="19" t="s">
        <v>402</v>
      </c>
      <c r="L310" s="19" t="s">
        <v>38</v>
      </c>
      <c r="M310" s="20">
        <f t="shared" si="2"/>
        <v>0</v>
      </c>
      <c r="N310" s="22"/>
      <c r="O310" s="19" t="s">
        <v>3578</v>
      </c>
      <c r="P310" s="18"/>
      <c r="Q310" s="18"/>
      <c r="R310" s="23">
        <v>0.0</v>
      </c>
      <c r="S310" s="23">
        <v>0.0</v>
      </c>
      <c r="T310" s="23">
        <f t="shared" si="3"/>
        <v>0</v>
      </c>
      <c r="U310" s="23">
        <f t="shared" si="4"/>
        <v>0</v>
      </c>
      <c r="V310" s="23">
        <f t="shared" si="5"/>
        <v>0</v>
      </c>
      <c r="W310" s="24" t="str">
        <f t="shared" si="6"/>
        <v>#DIV/0!</v>
      </c>
    </row>
    <row r="311">
      <c r="A311" s="15" t="s">
        <v>4420</v>
      </c>
      <c r="B311" s="15" t="s">
        <v>4421</v>
      </c>
      <c r="C311" s="15" t="s">
        <v>6503</v>
      </c>
      <c r="D311" s="15" t="s">
        <v>4422</v>
      </c>
      <c r="E311" s="17" t="s">
        <v>4423</v>
      </c>
      <c r="F311" s="18"/>
      <c r="G311" s="18"/>
      <c r="H311" s="15" t="s">
        <v>2304</v>
      </c>
      <c r="I311" s="18"/>
      <c r="J311" s="19" t="s">
        <v>36</v>
      </c>
      <c r="K311" s="19" t="s">
        <v>1230</v>
      </c>
      <c r="L311" s="19" t="s">
        <v>38</v>
      </c>
      <c r="M311" s="20">
        <f t="shared" si="2"/>
        <v>0</v>
      </c>
      <c r="N311" s="22"/>
      <c r="O311" s="19" t="s">
        <v>3578</v>
      </c>
      <c r="P311" s="18"/>
      <c r="Q311" s="18"/>
      <c r="R311" s="23">
        <v>0.0</v>
      </c>
      <c r="S311" s="23">
        <v>0.0</v>
      </c>
      <c r="T311" s="23">
        <f t="shared" si="3"/>
        <v>0</v>
      </c>
      <c r="U311" s="23">
        <f t="shared" si="4"/>
        <v>0</v>
      </c>
      <c r="V311" s="23">
        <f t="shared" si="5"/>
        <v>0</v>
      </c>
      <c r="W311" s="24" t="str">
        <f t="shared" si="6"/>
        <v>#DIV/0!</v>
      </c>
    </row>
    <row r="312">
      <c r="A312" s="15" t="s">
        <v>4424</v>
      </c>
      <c r="B312" s="15" t="s">
        <v>4425</v>
      </c>
      <c r="C312" s="15" t="s">
        <v>6504</v>
      </c>
      <c r="D312" s="15" t="s">
        <v>4426</v>
      </c>
      <c r="E312" s="17" t="s">
        <v>4427</v>
      </c>
      <c r="F312" s="18"/>
      <c r="G312" s="18"/>
      <c r="H312" s="15" t="s">
        <v>4428</v>
      </c>
      <c r="I312" s="18"/>
      <c r="J312" s="19" t="s">
        <v>36</v>
      </c>
      <c r="K312" s="19" t="s">
        <v>37</v>
      </c>
      <c r="L312" s="19" t="s">
        <v>38</v>
      </c>
      <c r="M312" s="20">
        <f t="shared" si="2"/>
        <v>0</v>
      </c>
      <c r="N312" s="22"/>
      <c r="O312" s="19" t="s">
        <v>3578</v>
      </c>
      <c r="P312" s="18"/>
      <c r="Q312" s="18"/>
      <c r="R312" s="23">
        <v>0.0</v>
      </c>
      <c r="S312" s="23">
        <v>0.0</v>
      </c>
      <c r="T312" s="23">
        <f t="shared" si="3"/>
        <v>0</v>
      </c>
      <c r="U312" s="23">
        <f t="shared" si="4"/>
        <v>0</v>
      </c>
      <c r="V312" s="23">
        <f t="shared" si="5"/>
        <v>0</v>
      </c>
      <c r="W312" s="24" t="str">
        <f t="shared" si="6"/>
        <v>#DIV/0!</v>
      </c>
    </row>
    <row r="313">
      <c r="A313" s="15" t="s">
        <v>4429</v>
      </c>
      <c r="B313" s="15" t="s">
        <v>4430</v>
      </c>
      <c r="C313" s="15" t="s">
        <v>6505</v>
      </c>
      <c r="D313" s="15" t="s">
        <v>4426</v>
      </c>
      <c r="E313" s="17" t="s">
        <v>4427</v>
      </c>
      <c r="F313" s="18"/>
      <c r="G313" s="18"/>
      <c r="H313" s="15" t="s">
        <v>4431</v>
      </c>
      <c r="I313" s="18"/>
      <c r="J313" s="19" t="s">
        <v>36</v>
      </c>
      <c r="K313" s="19" t="s">
        <v>37</v>
      </c>
      <c r="L313" s="19" t="s">
        <v>38</v>
      </c>
      <c r="M313" s="20">
        <f t="shared" si="2"/>
        <v>0</v>
      </c>
      <c r="N313" s="22"/>
      <c r="O313" s="19" t="s">
        <v>3578</v>
      </c>
      <c r="P313" s="18"/>
      <c r="Q313" s="18"/>
      <c r="R313" s="23">
        <v>0.0</v>
      </c>
      <c r="S313" s="23">
        <v>0.0</v>
      </c>
      <c r="T313" s="23">
        <f t="shared" si="3"/>
        <v>0</v>
      </c>
      <c r="U313" s="23">
        <f t="shared" si="4"/>
        <v>0</v>
      </c>
      <c r="V313" s="23">
        <f t="shared" si="5"/>
        <v>0</v>
      </c>
      <c r="W313" s="24" t="str">
        <f t="shared" si="6"/>
        <v>#DIV/0!</v>
      </c>
    </row>
    <row r="314">
      <c r="A314" s="15" t="s">
        <v>4432</v>
      </c>
      <c r="B314" s="15" t="s">
        <v>4433</v>
      </c>
      <c r="C314" s="15" t="s">
        <v>6506</v>
      </c>
      <c r="D314" s="15" t="s">
        <v>4434</v>
      </c>
      <c r="E314" s="17" t="s">
        <v>4435</v>
      </c>
      <c r="F314" s="18"/>
      <c r="G314" s="18"/>
      <c r="H314" s="15" t="s">
        <v>4436</v>
      </c>
      <c r="I314" s="18"/>
      <c r="J314" s="19" t="s">
        <v>36</v>
      </c>
      <c r="K314" s="19" t="s">
        <v>603</v>
      </c>
      <c r="L314" s="19" t="s">
        <v>38</v>
      </c>
      <c r="M314" s="20">
        <f t="shared" si="2"/>
        <v>0</v>
      </c>
      <c r="N314" s="22"/>
      <c r="O314" s="19" t="s">
        <v>3578</v>
      </c>
      <c r="P314" s="18"/>
      <c r="Q314" s="18"/>
      <c r="R314" s="23">
        <v>0.0</v>
      </c>
      <c r="S314" s="23">
        <v>0.0</v>
      </c>
      <c r="T314" s="23">
        <f t="shared" si="3"/>
        <v>0</v>
      </c>
      <c r="U314" s="23">
        <f t="shared" si="4"/>
        <v>0</v>
      </c>
      <c r="V314" s="23">
        <f t="shared" si="5"/>
        <v>0</v>
      </c>
      <c r="W314" s="24" t="str">
        <f t="shared" si="6"/>
        <v>#DIV/0!</v>
      </c>
    </row>
    <row r="315">
      <c r="A315" s="15" t="s">
        <v>4437</v>
      </c>
      <c r="B315" s="15" t="s">
        <v>4438</v>
      </c>
      <c r="C315" s="15" t="s">
        <v>6507</v>
      </c>
      <c r="D315" s="15" t="s">
        <v>4439</v>
      </c>
      <c r="E315" s="17" t="s">
        <v>4440</v>
      </c>
      <c r="F315" s="18"/>
      <c r="G315" s="18"/>
      <c r="H315" s="15" t="s">
        <v>4441</v>
      </c>
      <c r="I315" s="18"/>
      <c r="J315" s="19" t="s">
        <v>36</v>
      </c>
      <c r="K315" s="19" t="s">
        <v>105</v>
      </c>
      <c r="L315" s="19" t="s">
        <v>38</v>
      </c>
      <c r="M315" s="20">
        <f t="shared" si="2"/>
        <v>0</v>
      </c>
      <c r="N315" s="22"/>
      <c r="O315" s="19" t="s">
        <v>3578</v>
      </c>
      <c r="P315" s="18"/>
      <c r="Q315" s="18"/>
      <c r="R315" s="23">
        <v>0.0</v>
      </c>
      <c r="S315" s="23">
        <v>0.0</v>
      </c>
      <c r="T315" s="23">
        <f t="shared" si="3"/>
        <v>0</v>
      </c>
      <c r="U315" s="23">
        <f t="shared" si="4"/>
        <v>0</v>
      </c>
      <c r="V315" s="23">
        <f t="shared" si="5"/>
        <v>0</v>
      </c>
      <c r="W315" s="24" t="str">
        <f t="shared" si="6"/>
        <v>#DIV/0!</v>
      </c>
    </row>
    <row r="316">
      <c r="A316" s="15" t="s">
        <v>4442</v>
      </c>
      <c r="B316" s="15" t="s">
        <v>4443</v>
      </c>
      <c r="C316" s="15" t="s">
        <v>6508</v>
      </c>
      <c r="D316" s="15" t="s">
        <v>8186</v>
      </c>
      <c r="E316" s="17" t="s">
        <v>4445</v>
      </c>
      <c r="F316" s="18"/>
      <c r="G316" s="18"/>
      <c r="H316" s="15" t="s">
        <v>4446</v>
      </c>
      <c r="I316" s="18"/>
      <c r="J316" s="19" t="s">
        <v>36</v>
      </c>
      <c r="K316" s="19" t="s">
        <v>603</v>
      </c>
      <c r="L316" s="19" t="s">
        <v>38</v>
      </c>
      <c r="M316" s="20">
        <f t="shared" si="2"/>
        <v>0</v>
      </c>
      <c r="N316" s="22"/>
      <c r="O316" s="19" t="s">
        <v>3578</v>
      </c>
      <c r="P316" s="18"/>
      <c r="Q316" s="18"/>
      <c r="R316" s="23">
        <v>0.0</v>
      </c>
      <c r="S316" s="23">
        <v>0.0</v>
      </c>
      <c r="T316" s="23">
        <f t="shared" si="3"/>
        <v>0</v>
      </c>
      <c r="U316" s="23">
        <f t="shared" si="4"/>
        <v>0</v>
      </c>
      <c r="V316" s="23">
        <f t="shared" si="5"/>
        <v>0</v>
      </c>
      <c r="W316" s="24" t="str">
        <f t="shared" si="6"/>
        <v>#DIV/0!</v>
      </c>
    </row>
    <row r="317">
      <c r="A317" s="15" t="s">
        <v>4447</v>
      </c>
      <c r="B317" s="15" t="s">
        <v>4448</v>
      </c>
      <c r="C317" s="15" t="s">
        <v>6510</v>
      </c>
      <c r="D317" s="15" t="s">
        <v>8187</v>
      </c>
      <c r="E317" s="17" t="s">
        <v>4450</v>
      </c>
      <c r="F317" s="18"/>
      <c r="G317" s="18"/>
      <c r="H317" s="15" t="s">
        <v>4451</v>
      </c>
      <c r="I317" s="18"/>
      <c r="J317" s="19" t="s">
        <v>36</v>
      </c>
      <c r="K317" s="19" t="s">
        <v>603</v>
      </c>
      <c r="L317" s="19" t="s">
        <v>38</v>
      </c>
      <c r="M317" s="20">
        <f t="shared" si="2"/>
        <v>0</v>
      </c>
      <c r="N317" s="22"/>
      <c r="O317" s="19" t="s">
        <v>3578</v>
      </c>
      <c r="P317" s="18"/>
      <c r="Q317" s="18"/>
      <c r="R317" s="23">
        <v>0.0</v>
      </c>
      <c r="S317" s="23">
        <v>0.0</v>
      </c>
      <c r="T317" s="23">
        <f t="shared" si="3"/>
        <v>0</v>
      </c>
      <c r="U317" s="23">
        <f t="shared" si="4"/>
        <v>0</v>
      </c>
      <c r="V317" s="23">
        <f t="shared" si="5"/>
        <v>0</v>
      </c>
      <c r="W317" s="24" t="str">
        <f t="shared" si="6"/>
        <v>#DIV/0!</v>
      </c>
    </row>
    <row r="318">
      <c r="A318" s="15" t="s">
        <v>4452</v>
      </c>
      <c r="B318" s="15" t="s">
        <v>4453</v>
      </c>
      <c r="C318" s="15" t="s">
        <v>6512</v>
      </c>
      <c r="D318" s="15" t="s">
        <v>8188</v>
      </c>
      <c r="E318" s="17" t="s">
        <v>4455</v>
      </c>
      <c r="F318" s="18"/>
      <c r="G318" s="18"/>
      <c r="H318" s="15" t="s">
        <v>4456</v>
      </c>
      <c r="I318" s="18"/>
      <c r="J318" s="19" t="s">
        <v>36</v>
      </c>
      <c r="K318" s="19" t="s">
        <v>603</v>
      </c>
      <c r="L318" s="19" t="s">
        <v>38</v>
      </c>
      <c r="M318" s="20">
        <f t="shared" si="2"/>
        <v>0</v>
      </c>
      <c r="N318" s="22"/>
      <c r="O318" s="19" t="s">
        <v>3578</v>
      </c>
      <c r="P318" s="18"/>
      <c r="Q318" s="18"/>
      <c r="R318" s="23">
        <v>0.0</v>
      </c>
      <c r="S318" s="23">
        <v>0.0</v>
      </c>
      <c r="T318" s="23">
        <f t="shared" si="3"/>
        <v>0</v>
      </c>
      <c r="U318" s="23">
        <f t="shared" si="4"/>
        <v>0</v>
      </c>
      <c r="V318" s="23">
        <f t="shared" si="5"/>
        <v>0</v>
      </c>
      <c r="W318" s="24" t="str">
        <f t="shared" si="6"/>
        <v>#DIV/0!</v>
      </c>
    </row>
    <row r="319">
      <c r="A319" s="15" t="s">
        <v>1419</v>
      </c>
      <c r="B319" s="18"/>
      <c r="C319" s="15" t="s">
        <v>6514</v>
      </c>
      <c r="D319" s="18"/>
      <c r="E319" s="17" t="s">
        <v>1420</v>
      </c>
      <c r="F319" s="18"/>
      <c r="G319" s="18"/>
      <c r="H319" s="15" t="s">
        <v>1421</v>
      </c>
      <c r="I319" s="18"/>
      <c r="J319" s="19" t="s">
        <v>36</v>
      </c>
      <c r="K319" s="19" t="s">
        <v>603</v>
      </c>
      <c r="L319" s="19" t="s">
        <v>38</v>
      </c>
      <c r="M319" s="20">
        <f t="shared" si="2"/>
        <v>0</v>
      </c>
      <c r="N319" s="22"/>
      <c r="O319" s="19" t="s">
        <v>1145</v>
      </c>
      <c r="P319" s="18"/>
      <c r="Q319" s="18"/>
      <c r="R319" s="23">
        <v>0.0</v>
      </c>
      <c r="S319" s="23">
        <v>0.0</v>
      </c>
      <c r="T319" s="23">
        <f t="shared" si="3"/>
        <v>0</v>
      </c>
      <c r="U319" s="23">
        <f t="shared" si="4"/>
        <v>0</v>
      </c>
      <c r="V319" s="23">
        <f t="shared" si="5"/>
        <v>0</v>
      </c>
      <c r="W319" s="24" t="str">
        <f t="shared" si="6"/>
        <v>#DIV/0!</v>
      </c>
    </row>
    <row r="320">
      <c r="A320" s="15" t="s">
        <v>4457</v>
      </c>
      <c r="B320" s="15" t="s">
        <v>4458</v>
      </c>
      <c r="C320" s="15" t="s">
        <v>6515</v>
      </c>
      <c r="D320" s="15" t="s">
        <v>4459</v>
      </c>
      <c r="E320" s="17" t="s">
        <v>4460</v>
      </c>
      <c r="F320" s="18"/>
      <c r="G320" s="18"/>
      <c r="H320" s="15" t="s">
        <v>4461</v>
      </c>
      <c r="I320" s="18"/>
      <c r="J320" s="19" t="s">
        <v>36</v>
      </c>
      <c r="K320" s="19" t="s">
        <v>603</v>
      </c>
      <c r="L320" s="19" t="s">
        <v>38</v>
      </c>
      <c r="M320" s="20">
        <f t="shared" si="2"/>
        <v>0</v>
      </c>
      <c r="N320" s="22"/>
      <c r="O320" s="19" t="s">
        <v>3578</v>
      </c>
      <c r="P320" s="18"/>
      <c r="Q320" s="18"/>
      <c r="R320" s="23">
        <v>0.0</v>
      </c>
      <c r="S320" s="23">
        <v>0.0</v>
      </c>
      <c r="T320" s="23">
        <f t="shared" si="3"/>
        <v>0</v>
      </c>
      <c r="U320" s="23">
        <f t="shared" si="4"/>
        <v>0</v>
      </c>
      <c r="V320" s="23">
        <f t="shared" si="5"/>
        <v>0</v>
      </c>
      <c r="W320" s="24" t="str">
        <f t="shared" si="6"/>
        <v>#DIV/0!</v>
      </c>
    </row>
    <row r="321">
      <c r="A321" s="15" t="s">
        <v>1422</v>
      </c>
      <c r="B321" s="18"/>
      <c r="C321" s="15" t="s">
        <v>6517</v>
      </c>
      <c r="D321" s="18"/>
      <c r="E321" s="17" t="s">
        <v>1423</v>
      </c>
      <c r="F321" s="18"/>
      <c r="G321" s="18"/>
      <c r="H321" s="15" t="s">
        <v>1424</v>
      </c>
      <c r="I321" s="18"/>
      <c r="J321" s="19" t="s">
        <v>36</v>
      </c>
      <c r="K321" s="19" t="s">
        <v>1269</v>
      </c>
      <c r="L321" s="19" t="s">
        <v>38</v>
      </c>
      <c r="M321" s="20">
        <f t="shared" si="2"/>
        <v>0</v>
      </c>
      <c r="N321" s="22"/>
      <c r="O321" s="19" t="s">
        <v>1145</v>
      </c>
      <c r="P321" s="18"/>
      <c r="Q321" s="18"/>
      <c r="R321" s="23">
        <v>0.0</v>
      </c>
      <c r="S321" s="23">
        <v>0.0</v>
      </c>
      <c r="T321" s="23">
        <f t="shared" si="3"/>
        <v>0</v>
      </c>
      <c r="U321" s="23">
        <f t="shared" si="4"/>
        <v>0</v>
      </c>
      <c r="V321" s="23">
        <f t="shared" si="5"/>
        <v>0</v>
      </c>
      <c r="W321" s="24" t="str">
        <f t="shared" si="6"/>
        <v>#DIV/0!</v>
      </c>
    </row>
    <row r="322">
      <c r="A322" s="15" t="s">
        <v>4462</v>
      </c>
      <c r="B322" s="15" t="s">
        <v>4463</v>
      </c>
      <c r="C322" s="15" t="s">
        <v>6519</v>
      </c>
      <c r="D322" s="15" t="s">
        <v>4464</v>
      </c>
      <c r="E322" s="17" t="s">
        <v>4465</v>
      </c>
      <c r="F322" s="18"/>
      <c r="G322" s="18"/>
      <c r="H322" s="15" t="s">
        <v>4466</v>
      </c>
      <c r="I322" s="18"/>
      <c r="J322" s="19" t="s">
        <v>36</v>
      </c>
      <c r="K322" s="19" t="s">
        <v>284</v>
      </c>
      <c r="L322" s="19" t="s">
        <v>38</v>
      </c>
      <c r="M322" s="20">
        <f t="shared" si="2"/>
        <v>0</v>
      </c>
      <c r="N322" s="22"/>
      <c r="O322" s="19" t="s">
        <v>3578</v>
      </c>
      <c r="P322" s="18"/>
      <c r="Q322" s="18"/>
      <c r="R322" s="23">
        <v>0.0</v>
      </c>
      <c r="S322" s="23">
        <v>0.0</v>
      </c>
      <c r="T322" s="23">
        <f t="shared" si="3"/>
        <v>0</v>
      </c>
      <c r="U322" s="23">
        <f t="shared" si="4"/>
        <v>0</v>
      </c>
      <c r="V322" s="23">
        <f t="shared" si="5"/>
        <v>0</v>
      </c>
      <c r="W322" s="24" t="str">
        <f t="shared" si="6"/>
        <v>#DIV/0!</v>
      </c>
    </row>
    <row r="323">
      <c r="A323" s="15" t="s">
        <v>4467</v>
      </c>
      <c r="B323" s="15" t="s">
        <v>4468</v>
      </c>
      <c r="C323" s="15" t="s">
        <v>6521</v>
      </c>
      <c r="D323" s="18"/>
      <c r="E323" s="17" t="s">
        <v>4469</v>
      </c>
      <c r="F323" s="18"/>
      <c r="G323" s="18"/>
      <c r="H323" s="15" t="s">
        <v>4470</v>
      </c>
      <c r="I323" s="18"/>
      <c r="J323" s="19" t="s">
        <v>36</v>
      </c>
      <c r="K323" s="19" t="s">
        <v>284</v>
      </c>
      <c r="L323" s="19" t="s">
        <v>38</v>
      </c>
      <c r="M323" s="20">
        <f t="shared" si="2"/>
        <v>0</v>
      </c>
      <c r="N323" s="22"/>
      <c r="O323" s="19" t="s">
        <v>3578</v>
      </c>
      <c r="P323" s="18"/>
      <c r="Q323" s="18"/>
      <c r="R323" s="23">
        <v>0.0</v>
      </c>
      <c r="S323" s="23">
        <v>0.0</v>
      </c>
      <c r="T323" s="23">
        <f t="shared" si="3"/>
        <v>0</v>
      </c>
      <c r="U323" s="23">
        <f t="shared" si="4"/>
        <v>0</v>
      </c>
      <c r="V323" s="23">
        <f t="shared" si="5"/>
        <v>0</v>
      </c>
      <c r="W323" s="24" t="str">
        <f t="shared" si="6"/>
        <v>#DIV/0!</v>
      </c>
    </row>
    <row r="324">
      <c r="A324" s="15" t="s">
        <v>1425</v>
      </c>
      <c r="B324" s="18"/>
      <c r="C324" s="15" t="s">
        <v>6523</v>
      </c>
      <c r="D324" s="18"/>
      <c r="E324" s="17" t="s">
        <v>1426</v>
      </c>
      <c r="F324" s="18"/>
      <c r="G324" s="18"/>
      <c r="H324" s="15" t="s">
        <v>1427</v>
      </c>
      <c r="I324" s="18"/>
      <c r="J324" s="19" t="s">
        <v>36</v>
      </c>
      <c r="K324" s="19" t="s">
        <v>284</v>
      </c>
      <c r="L324" s="19" t="s">
        <v>38</v>
      </c>
      <c r="M324" s="20">
        <f t="shared" si="2"/>
        <v>0</v>
      </c>
      <c r="N324" s="22"/>
      <c r="O324" s="19" t="s">
        <v>1145</v>
      </c>
      <c r="P324" s="18"/>
      <c r="Q324" s="18"/>
      <c r="R324" s="23">
        <v>0.0</v>
      </c>
      <c r="S324" s="23">
        <v>0.0</v>
      </c>
      <c r="T324" s="23">
        <f t="shared" si="3"/>
        <v>0</v>
      </c>
      <c r="U324" s="23">
        <f t="shared" si="4"/>
        <v>0</v>
      </c>
      <c r="V324" s="23">
        <f t="shared" si="5"/>
        <v>0</v>
      </c>
      <c r="W324" s="24" t="str">
        <f t="shared" si="6"/>
        <v>#DIV/0!</v>
      </c>
    </row>
    <row r="325">
      <c r="A325" s="15" t="s">
        <v>4471</v>
      </c>
      <c r="B325" s="18"/>
      <c r="C325" s="15" t="s">
        <v>6524</v>
      </c>
      <c r="D325" s="18"/>
      <c r="E325" s="17" t="s">
        <v>4472</v>
      </c>
      <c r="F325" s="18"/>
      <c r="G325" s="18"/>
      <c r="H325" s="15" t="s">
        <v>4473</v>
      </c>
      <c r="I325" s="18"/>
      <c r="J325" s="19" t="s">
        <v>36</v>
      </c>
      <c r="K325" s="19" t="s">
        <v>1230</v>
      </c>
      <c r="L325" s="19" t="s">
        <v>38</v>
      </c>
      <c r="M325" s="20">
        <f t="shared" si="2"/>
        <v>0</v>
      </c>
      <c r="N325" s="22"/>
      <c r="O325" s="19" t="s">
        <v>3578</v>
      </c>
      <c r="P325" s="18"/>
      <c r="Q325" s="18"/>
      <c r="R325" s="23">
        <v>0.0</v>
      </c>
      <c r="S325" s="23">
        <v>0.0</v>
      </c>
      <c r="T325" s="23">
        <f t="shared" si="3"/>
        <v>0</v>
      </c>
      <c r="U325" s="23">
        <f t="shared" si="4"/>
        <v>0</v>
      </c>
      <c r="V325" s="23">
        <f t="shared" si="5"/>
        <v>0</v>
      </c>
      <c r="W325" s="24" t="str">
        <f t="shared" si="6"/>
        <v>#DIV/0!</v>
      </c>
    </row>
    <row r="326">
      <c r="A326" s="15" t="s">
        <v>4474</v>
      </c>
      <c r="B326" s="18"/>
      <c r="C326" s="15" t="s">
        <v>6526</v>
      </c>
      <c r="D326" s="18"/>
      <c r="E326" s="17" t="s">
        <v>4475</v>
      </c>
      <c r="F326" s="18"/>
      <c r="G326" s="18"/>
      <c r="H326" s="15" t="s">
        <v>4476</v>
      </c>
      <c r="I326" s="18"/>
      <c r="J326" s="19" t="s">
        <v>702</v>
      </c>
      <c r="K326" s="19" t="s">
        <v>1269</v>
      </c>
      <c r="L326" s="19" t="s">
        <v>38</v>
      </c>
      <c r="M326" s="20">
        <f t="shared" si="2"/>
        <v>0</v>
      </c>
      <c r="N326" s="22"/>
      <c r="O326" s="19" t="s">
        <v>3578</v>
      </c>
      <c r="P326" s="18"/>
      <c r="Q326" s="18"/>
      <c r="R326" s="23">
        <v>0.0</v>
      </c>
      <c r="S326" s="23">
        <v>0.0</v>
      </c>
      <c r="T326" s="23">
        <f t="shared" si="3"/>
        <v>0</v>
      </c>
      <c r="U326" s="23">
        <f t="shared" si="4"/>
        <v>0</v>
      </c>
      <c r="V326" s="23">
        <f t="shared" si="5"/>
        <v>0</v>
      </c>
      <c r="W326" s="24" t="str">
        <f t="shared" si="6"/>
        <v>#DIV/0!</v>
      </c>
    </row>
    <row r="327">
      <c r="A327" s="15" t="s">
        <v>4477</v>
      </c>
      <c r="B327" s="18"/>
      <c r="C327" s="15" t="s">
        <v>6528</v>
      </c>
      <c r="D327" s="18"/>
      <c r="E327" s="17" t="s">
        <v>1429</v>
      </c>
      <c r="F327" s="18"/>
      <c r="G327" s="18"/>
      <c r="H327" s="15" t="s">
        <v>6529</v>
      </c>
      <c r="I327" s="18"/>
      <c r="J327" s="19" t="s">
        <v>702</v>
      </c>
      <c r="K327" s="19" t="s">
        <v>1431</v>
      </c>
      <c r="L327" s="19" t="s">
        <v>38</v>
      </c>
      <c r="M327" s="20">
        <f t="shared" si="2"/>
        <v>0</v>
      </c>
      <c r="N327" s="22"/>
      <c r="O327" s="19" t="s">
        <v>1145</v>
      </c>
      <c r="P327" s="18"/>
      <c r="Q327" s="18"/>
      <c r="R327" s="23">
        <v>0.0</v>
      </c>
      <c r="S327" s="23">
        <v>0.0</v>
      </c>
      <c r="T327" s="23">
        <f t="shared" si="3"/>
        <v>0</v>
      </c>
      <c r="U327" s="23">
        <f t="shared" si="4"/>
        <v>0</v>
      </c>
      <c r="V327" s="23">
        <f t="shared" si="5"/>
        <v>0</v>
      </c>
      <c r="W327" s="24" t="str">
        <f t="shared" si="6"/>
        <v>#DIV/0!</v>
      </c>
    </row>
    <row r="328">
      <c r="A328" s="15" t="s">
        <v>1428</v>
      </c>
      <c r="B328" s="18"/>
      <c r="C328" s="15" t="s">
        <v>6530</v>
      </c>
      <c r="D328" s="18"/>
      <c r="E328" s="17" t="s">
        <v>1429</v>
      </c>
      <c r="F328" s="18"/>
      <c r="G328" s="18"/>
      <c r="H328" s="15" t="s">
        <v>1430</v>
      </c>
      <c r="I328" s="18"/>
      <c r="J328" s="19" t="s">
        <v>702</v>
      </c>
      <c r="K328" s="19" t="s">
        <v>1431</v>
      </c>
      <c r="L328" s="19" t="s">
        <v>38</v>
      </c>
      <c r="M328" s="20">
        <f t="shared" si="2"/>
        <v>0</v>
      </c>
      <c r="N328" s="22"/>
      <c r="O328" s="19" t="s">
        <v>1145</v>
      </c>
      <c r="P328" s="18"/>
      <c r="Q328" s="18"/>
      <c r="R328" s="23">
        <v>0.0</v>
      </c>
      <c r="S328" s="23">
        <v>0.0</v>
      </c>
      <c r="T328" s="23">
        <f t="shared" si="3"/>
        <v>0</v>
      </c>
      <c r="U328" s="23">
        <f t="shared" si="4"/>
        <v>0</v>
      </c>
      <c r="V328" s="23">
        <f t="shared" si="5"/>
        <v>0</v>
      </c>
      <c r="W328" s="24" t="str">
        <f t="shared" si="6"/>
        <v>#DIV/0!</v>
      </c>
    </row>
    <row r="329">
      <c r="A329" s="15" t="s">
        <v>4482</v>
      </c>
      <c r="B329" s="15" t="s">
        <v>4483</v>
      </c>
      <c r="C329" s="15" t="s">
        <v>6531</v>
      </c>
      <c r="D329" s="15" t="s">
        <v>4484</v>
      </c>
      <c r="E329" s="17" t="s">
        <v>4485</v>
      </c>
      <c r="F329" s="18"/>
      <c r="G329" s="18"/>
      <c r="H329" s="15" t="s">
        <v>4486</v>
      </c>
      <c r="I329" s="18"/>
      <c r="J329" s="19" t="s">
        <v>702</v>
      </c>
      <c r="K329" s="19" t="s">
        <v>603</v>
      </c>
      <c r="L329" s="19" t="s">
        <v>38</v>
      </c>
      <c r="M329" s="20">
        <f t="shared" si="2"/>
        <v>0</v>
      </c>
      <c r="N329" s="22"/>
      <c r="O329" s="19" t="s">
        <v>3578</v>
      </c>
      <c r="P329" s="18"/>
      <c r="Q329" s="18"/>
      <c r="R329" s="23">
        <v>0.0</v>
      </c>
      <c r="S329" s="23">
        <v>0.0</v>
      </c>
      <c r="T329" s="23">
        <f t="shared" si="3"/>
        <v>0</v>
      </c>
      <c r="U329" s="23">
        <f t="shared" si="4"/>
        <v>0</v>
      </c>
      <c r="V329" s="23">
        <f t="shared" si="5"/>
        <v>0</v>
      </c>
      <c r="W329" s="24" t="str">
        <f t="shared" si="6"/>
        <v>#DIV/0!</v>
      </c>
    </row>
    <row r="330">
      <c r="A330" s="15" t="s">
        <v>4487</v>
      </c>
      <c r="B330" s="18"/>
      <c r="C330" s="15" t="s">
        <v>6533</v>
      </c>
      <c r="D330" s="18"/>
      <c r="E330" s="17" t="s">
        <v>4488</v>
      </c>
      <c r="F330" s="18"/>
      <c r="G330" s="18"/>
      <c r="H330" s="15" t="s">
        <v>4489</v>
      </c>
      <c r="I330" s="18"/>
      <c r="J330" s="19" t="s">
        <v>702</v>
      </c>
      <c r="K330" s="19" t="s">
        <v>105</v>
      </c>
      <c r="L330" s="19" t="s">
        <v>38</v>
      </c>
      <c r="M330" s="20">
        <f t="shared" si="2"/>
        <v>0</v>
      </c>
      <c r="N330" s="22"/>
      <c r="O330" s="19" t="s">
        <v>3578</v>
      </c>
      <c r="P330" s="18"/>
      <c r="Q330" s="18"/>
      <c r="R330" s="23">
        <v>0.0</v>
      </c>
      <c r="S330" s="23">
        <v>0.0</v>
      </c>
      <c r="T330" s="23">
        <f t="shared" si="3"/>
        <v>0</v>
      </c>
      <c r="U330" s="23">
        <f t="shared" si="4"/>
        <v>0</v>
      </c>
      <c r="V330" s="23">
        <f t="shared" si="5"/>
        <v>0</v>
      </c>
      <c r="W330" s="24" t="str">
        <f t="shared" si="6"/>
        <v>#DIV/0!</v>
      </c>
    </row>
    <row r="331">
      <c r="A331" s="15" t="s">
        <v>6534</v>
      </c>
      <c r="B331" s="15" t="s">
        <v>8189</v>
      </c>
      <c r="C331" s="15" t="s">
        <v>6535</v>
      </c>
      <c r="D331" s="18"/>
      <c r="E331" s="17" t="s">
        <v>8190</v>
      </c>
      <c r="F331" s="18"/>
      <c r="G331" s="18"/>
      <c r="H331" s="15" t="s">
        <v>4612</v>
      </c>
      <c r="I331" s="18"/>
      <c r="J331" s="19" t="s">
        <v>702</v>
      </c>
      <c r="K331" s="19" t="s">
        <v>603</v>
      </c>
      <c r="L331" s="19" t="s">
        <v>38</v>
      </c>
      <c r="M331" s="20">
        <f t="shared" si="2"/>
        <v>0</v>
      </c>
      <c r="N331" s="22"/>
      <c r="O331" s="19" t="s">
        <v>3578</v>
      </c>
      <c r="P331" s="18"/>
      <c r="Q331" s="18"/>
      <c r="R331" s="23">
        <v>0.0</v>
      </c>
      <c r="S331" s="23">
        <v>0.0</v>
      </c>
      <c r="T331" s="23">
        <f t="shared" si="3"/>
        <v>0</v>
      </c>
      <c r="U331" s="23">
        <f t="shared" si="4"/>
        <v>0</v>
      </c>
      <c r="V331" s="23">
        <f t="shared" si="5"/>
        <v>0</v>
      </c>
      <c r="W331" s="24" t="str">
        <f t="shared" si="6"/>
        <v>#DIV/0!</v>
      </c>
    </row>
    <row r="332">
      <c r="A332" s="15" t="s">
        <v>4490</v>
      </c>
      <c r="B332" s="18"/>
      <c r="C332" s="15" t="s">
        <v>6537</v>
      </c>
      <c r="D332" s="18"/>
      <c r="E332" s="17" t="s">
        <v>4491</v>
      </c>
      <c r="F332" s="18"/>
      <c r="G332" s="18"/>
      <c r="H332" s="15" t="s">
        <v>4492</v>
      </c>
      <c r="I332" s="18"/>
      <c r="J332" s="19" t="s">
        <v>702</v>
      </c>
      <c r="K332" s="19" t="s">
        <v>105</v>
      </c>
      <c r="L332" s="19" t="s">
        <v>38</v>
      </c>
      <c r="M332" s="20">
        <f t="shared" si="2"/>
        <v>0</v>
      </c>
      <c r="N332" s="22"/>
      <c r="O332" s="19" t="s">
        <v>3578</v>
      </c>
      <c r="P332" s="18"/>
      <c r="Q332" s="18"/>
      <c r="R332" s="23">
        <v>0.0</v>
      </c>
      <c r="S332" s="23">
        <v>0.0</v>
      </c>
      <c r="T332" s="23">
        <f t="shared" si="3"/>
        <v>0</v>
      </c>
      <c r="U332" s="23">
        <f t="shared" si="4"/>
        <v>0</v>
      </c>
      <c r="V332" s="23">
        <f t="shared" si="5"/>
        <v>0</v>
      </c>
      <c r="W332" s="24" t="str">
        <f t="shared" si="6"/>
        <v>#DIV/0!</v>
      </c>
    </row>
    <row r="333">
      <c r="A333" s="15" t="s">
        <v>1432</v>
      </c>
      <c r="B333" s="18"/>
      <c r="C333" s="15" t="s">
        <v>6538</v>
      </c>
      <c r="D333" s="18"/>
      <c r="E333" s="17" t="s">
        <v>1433</v>
      </c>
      <c r="F333" s="18"/>
      <c r="G333" s="18"/>
      <c r="H333" s="15" t="s">
        <v>1434</v>
      </c>
      <c r="I333" s="18"/>
      <c r="J333" s="19" t="s">
        <v>702</v>
      </c>
      <c r="K333" s="19" t="s">
        <v>603</v>
      </c>
      <c r="L333" s="19" t="s">
        <v>38</v>
      </c>
      <c r="M333" s="20">
        <f t="shared" si="2"/>
        <v>0</v>
      </c>
      <c r="N333" s="22"/>
      <c r="O333" s="19" t="s">
        <v>1145</v>
      </c>
      <c r="P333" s="18"/>
      <c r="Q333" s="18"/>
      <c r="R333" s="23">
        <v>0.0</v>
      </c>
      <c r="S333" s="23">
        <v>0.0</v>
      </c>
      <c r="T333" s="23">
        <f t="shared" si="3"/>
        <v>0</v>
      </c>
      <c r="U333" s="23">
        <f t="shared" si="4"/>
        <v>0</v>
      </c>
      <c r="V333" s="23">
        <f t="shared" si="5"/>
        <v>0</v>
      </c>
      <c r="W333" s="24" t="str">
        <f t="shared" si="6"/>
        <v>#DIV/0!</v>
      </c>
    </row>
    <row r="334">
      <c r="A334" s="15" t="s">
        <v>4493</v>
      </c>
      <c r="B334" s="15" t="s">
        <v>4494</v>
      </c>
      <c r="C334" s="15" t="s">
        <v>6539</v>
      </c>
      <c r="D334" s="15" t="s">
        <v>4495</v>
      </c>
      <c r="E334" s="17" t="s">
        <v>4496</v>
      </c>
      <c r="F334" s="18"/>
      <c r="G334" s="18"/>
      <c r="H334" s="15" t="s">
        <v>4497</v>
      </c>
      <c r="I334" s="18"/>
      <c r="J334" s="19" t="s">
        <v>702</v>
      </c>
      <c r="K334" s="19" t="s">
        <v>105</v>
      </c>
      <c r="L334" s="19" t="s">
        <v>38</v>
      </c>
      <c r="M334" s="20">
        <f t="shared" si="2"/>
        <v>0</v>
      </c>
      <c r="N334" s="22"/>
      <c r="O334" s="19" t="s">
        <v>3578</v>
      </c>
      <c r="P334" s="18"/>
      <c r="Q334" s="18"/>
      <c r="R334" s="23">
        <v>0.0</v>
      </c>
      <c r="S334" s="23">
        <v>0.0</v>
      </c>
      <c r="T334" s="23">
        <f t="shared" si="3"/>
        <v>0</v>
      </c>
      <c r="U334" s="23">
        <f t="shared" si="4"/>
        <v>0</v>
      </c>
      <c r="V334" s="23">
        <f t="shared" si="5"/>
        <v>0</v>
      </c>
      <c r="W334" s="24" t="str">
        <f t="shared" si="6"/>
        <v>#DIV/0!</v>
      </c>
    </row>
    <row r="335">
      <c r="A335" s="15" t="s">
        <v>4498</v>
      </c>
      <c r="B335" s="15" t="s">
        <v>4499</v>
      </c>
      <c r="C335" s="15" t="s">
        <v>6541</v>
      </c>
      <c r="D335" s="15" t="s">
        <v>4500</v>
      </c>
      <c r="E335" s="17" t="s">
        <v>4501</v>
      </c>
      <c r="F335" s="18"/>
      <c r="G335" s="18"/>
      <c r="H335" s="15" t="s">
        <v>4502</v>
      </c>
      <c r="I335" s="18"/>
      <c r="J335" s="19" t="s">
        <v>702</v>
      </c>
      <c r="K335" s="19" t="s">
        <v>105</v>
      </c>
      <c r="L335" s="19" t="s">
        <v>38</v>
      </c>
      <c r="M335" s="20">
        <f t="shared" si="2"/>
        <v>0</v>
      </c>
      <c r="N335" s="22"/>
      <c r="O335" s="19" t="s">
        <v>3578</v>
      </c>
      <c r="P335" s="18"/>
      <c r="Q335" s="18"/>
      <c r="R335" s="23">
        <v>0.0</v>
      </c>
      <c r="S335" s="23">
        <v>0.0</v>
      </c>
      <c r="T335" s="23">
        <f t="shared" si="3"/>
        <v>0</v>
      </c>
      <c r="U335" s="23">
        <f t="shared" si="4"/>
        <v>0</v>
      </c>
      <c r="V335" s="23">
        <f t="shared" si="5"/>
        <v>0</v>
      </c>
      <c r="W335" s="24" t="str">
        <f t="shared" si="6"/>
        <v>#DIV/0!</v>
      </c>
    </row>
    <row r="336">
      <c r="A336" s="15" t="s">
        <v>4503</v>
      </c>
      <c r="B336" s="15" t="s">
        <v>4504</v>
      </c>
      <c r="C336" s="15" t="s">
        <v>6543</v>
      </c>
      <c r="D336" s="15" t="s">
        <v>4505</v>
      </c>
      <c r="E336" s="17" t="s">
        <v>4506</v>
      </c>
      <c r="F336" s="18"/>
      <c r="G336" s="18"/>
      <c r="H336" s="15" t="s">
        <v>4507</v>
      </c>
      <c r="I336" s="18"/>
      <c r="J336" s="19" t="s">
        <v>702</v>
      </c>
      <c r="K336" s="19" t="s">
        <v>105</v>
      </c>
      <c r="L336" s="19" t="s">
        <v>38</v>
      </c>
      <c r="M336" s="20">
        <f t="shared" si="2"/>
        <v>0</v>
      </c>
      <c r="N336" s="22"/>
      <c r="O336" s="19" t="s">
        <v>3578</v>
      </c>
      <c r="P336" s="18"/>
      <c r="Q336" s="18"/>
      <c r="R336" s="23">
        <v>0.0</v>
      </c>
      <c r="S336" s="23">
        <v>0.0</v>
      </c>
      <c r="T336" s="23">
        <f t="shared" si="3"/>
        <v>0</v>
      </c>
      <c r="U336" s="23">
        <f t="shared" si="4"/>
        <v>0</v>
      </c>
      <c r="V336" s="23">
        <f t="shared" si="5"/>
        <v>0</v>
      </c>
      <c r="W336" s="24" t="str">
        <f t="shared" si="6"/>
        <v>#DIV/0!</v>
      </c>
    </row>
    <row r="337">
      <c r="A337" s="15" t="s">
        <v>1435</v>
      </c>
      <c r="B337" s="15" t="s">
        <v>1436</v>
      </c>
      <c r="C337" s="15" t="s">
        <v>6545</v>
      </c>
      <c r="D337" s="18"/>
      <c r="E337" s="17" t="s">
        <v>1437</v>
      </c>
      <c r="F337" s="18"/>
      <c r="G337" s="18"/>
      <c r="H337" s="15" t="s">
        <v>1438</v>
      </c>
      <c r="I337" s="18"/>
      <c r="J337" s="19" t="s">
        <v>702</v>
      </c>
      <c r="K337" s="19" t="s">
        <v>603</v>
      </c>
      <c r="L337" s="19" t="s">
        <v>38</v>
      </c>
      <c r="M337" s="20">
        <f t="shared" si="2"/>
        <v>0</v>
      </c>
      <c r="N337" s="22"/>
      <c r="O337" s="19" t="s">
        <v>1145</v>
      </c>
      <c r="P337" s="18"/>
      <c r="Q337" s="18"/>
      <c r="R337" s="23">
        <v>0.0</v>
      </c>
      <c r="S337" s="23">
        <v>0.0</v>
      </c>
      <c r="T337" s="23">
        <f t="shared" si="3"/>
        <v>0</v>
      </c>
      <c r="U337" s="23">
        <f t="shared" si="4"/>
        <v>0</v>
      </c>
      <c r="V337" s="23">
        <f t="shared" si="5"/>
        <v>0</v>
      </c>
      <c r="W337" s="24" t="str">
        <f t="shared" si="6"/>
        <v>#DIV/0!</v>
      </c>
    </row>
    <row r="338">
      <c r="A338" s="15" t="s">
        <v>1439</v>
      </c>
      <c r="B338" s="15" t="s">
        <v>1436</v>
      </c>
      <c r="C338" s="15" t="s">
        <v>6546</v>
      </c>
      <c r="D338" s="18"/>
      <c r="E338" s="17" t="s">
        <v>1440</v>
      </c>
      <c r="F338" s="18"/>
      <c r="G338" s="18"/>
      <c r="H338" s="15" t="s">
        <v>1441</v>
      </c>
      <c r="I338" s="18"/>
      <c r="J338" s="19" t="s">
        <v>702</v>
      </c>
      <c r="K338" s="19" t="s">
        <v>603</v>
      </c>
      <c r="L338" s="19" t="s">
        <v>38</v>
      </c>
      <c r="M338" s="20">
        <f t="shared" si="2"/>
        <v>0</v>
      </c>
      <c r="N338" s="22"/>
      <c r="O338" s="19" t="s">
        <v>1145</v>
      </c>
      <c r="P338" s="18"/>
      <c r="Q338" s="18"/>
      <c r="R338" s="23">
        <v>0.0</v>
      </c>
      <c r="S338" s="23">
        <v>0.0</v>
      </c>
      <c r="T338" s="23">
        <f t="shared" si="3"/>
        <v>0</v>
      </c>
      <c r="U338" s="23">
        <f t="shared" si="4"/>
        <v>0</v>
      </c>
      <c r="V338" s="23">
        <f t="shared" si="5"/>
        <v>0</v>
      </c>
      <c r="W338" s="24" t="str">
        <f t="shared" si="6"/>
        <v>#DIV/0!</v>
      </c>
    </row>
    <row r="339">
      <c r="A339" s="15" t="s">
        <v>1442</v>
      </c>
      <c r="B339" s="18"/>
      <c r="C339" s="15" t="s">
        <v>6547</v>
      </c>
      <c r="D339" s="18"/>
      <c r="E339" s="17" t="s">
        <v>1443</v>
      </c>
      <c r="F339" s="18"/>
      <c r="G339" s="18"/>
      <c r="H339" s="18"/>
      <c r="I339" s="18"/>
      <c r="J339" s="19" t="s">
        <v>702</v>
      </c>
      <c r="K339" s="19" t="s">
        <v>1444</v>
      </c>
      <c r="L339" s="19" t="s">
        <v>38</v>
      </c>
      <c r="M339" s="20">
        <f t="shared" si="2"/>
        <v>0</v>
      </c>
      <c r="N339" s="22"/>
      <c r="O339" s="19" t="s">
        <v>1145</v>
      </c>
      <c r="P339" s="18"/>
      <c r="Q339" s="18"/>
      <c r="R339" s="23">
        <v>0.0</v>
      </c>
      <c r="S339" s="23">
        <v>0.0</v>
      </c>
      <c r="T339" s="23">
        <f t="shared" si="3"/>
        <v>0</v>
      </c>
      <c r="U339" s="23">
        <f t="shared" si="4"/>
        <v>0</v>
      </c>
      <c r="V339" s="23">
        <f t="shared" si="5"/>
        <v>0</v>
      </c>
      <c r="W339" s="24" t="str">
        <f t="shared" si="6"/>
        <v>#DIV/0!</v>
      </c>
    </row>
    <row r="340">
      <c r="A340" s="15" t="s">
        <v>1445</v>
      </c>
      <c r="B340" s="18"/>
      <c r="C340" s="15" t="s">
        <v>6548</v>
      </c>
      <c r="D340" s="18"/>
      <c r="E340" s="17" t="s">
        <v>1446</v>
      </c>
      <c r="F340" s="18"/>
      <c r="G340" s="18"/>
      <c r="H340" s="18"/>
      <c r="I340" s="18"/>
      <c r="J340" s="19" t="s">
        <v>702</v>
      </c>
      <c r="K340" s="19" t="s">
        <v>1444</v>
      </c>
      <c r="L340" s="19" t="s">
        <v>38</v>
      </c>
      <c r="M340" s="20">
        <f t="shared" si="2"/>
        <v>0</v>
      </c>
      <c r="N340" s="22"/>
      <c r="O340" s="19" t="s">
        <v>1145</v>
      </c>
      <c r="P340" s="18"/>
      <c r="Q340" s="18"/>
      <c r="R340" s="23">
        <v>0.0</v>
      </c>
      <c r="S340" s="23">
        <v>0.0</v>
      </c>
      <c r="T340" s="23">
        <f t="shared" si="3"/>
        <v>0</v>
      </c>
      <c r="U340" s="23">
        <f t="shared" si="4"/>
        <v>0</v>
      </c>
      <c r="V340" s="23">
        <f t="shared" si="5"/>
        <v>0</v>
      </c>
      <c r="W340" s="24" t="str">
        <f t="shared" si="6"/>
        <v>#DIV/0!</v>
      </c>
    </row>
    <row r="341">
      <c r="A341" s="15" t="s">
        <v>1447</v>
      </c>
      <c r="B341" s="18"/>
      <c r="C341" s="15" t="s">
        <v>6549</v>
      </c>
      <c r="D341" s="18"/>
      <c r="E341" s="17" t="s">
        <v>1448</v>
      </c>
      <c r="F341" s="18"/>
      <c r="G341" s="18"/>
      <c r="H341" s="15" t="s">
        <v>1449</v>
      </c>
      <c r="I341" s="18"/>
      <c r="J341" s="19" t="s">
        <v>702</v>
      </c>
      <c r="K341" s="19" t="s">
        <v>1444</v>
      </c>
      <c r="L341" s="19" t="s">
        <v>38</v>
      </c>
      <c r="M341" s="20">
        <f t="shared" si="2"/>
        <v>0</v>
      </c>
      <c r="N341" s="22"/>
      <c r="O341" s="19" t="s">
        <v>1145</v>
      </c>
      <c r="P341" s="18"/>
      <c r="Q341" s="18"/>
      <c r="R341" s="23">
        <v>0.0</v>
      </c>
      <c r="S341" s="23">
        <v>0.0</v>
      </c>
      <c r="T341" s="23">
        <f t="shared" si="3"/>
        <v>0</v>
      </c>
      <c r="U341" s="23">
        <f t="shared" si="4"/>
        <v>0</v>
      </c>
      <c r="V341" s="23">
        <f t="shared" si="5"/>
        <v>0</v>
      </c>
      <c r="W341" s="24" t="str">
        <f t="shared" si="6"/>
        <v>#DIV/0!</v>
      </c>
    </row>
    <row r="342">
      <c r="A342" s="15" t="s">
        <v>1450</v>
      </c>
      <c r="B342" s="18"/>
      <c r="C342" s="15" t="s">
        <v>6550</v>
      </c>
      <c r="D342" s="18"/>
      <c r="E342" s="17" t="s">
        <v>1451</v>
      </c>
      <c r="F342" s="18"/>
      <c r="G342" s="18"/>
      <c r="H342" s="15" t="s">
        <v>1452</v>
      </c>
      <c r="I342" s="18"/>
      <c r="J342" s="19" t="s">
        <v>702</v>
      </c>
      <c r="K342" s="19" t="s">
        <v>1444</v>
      </c>
      <c r="L342" s="19" t="s">
        <v>38</v>
      </c>
      <c r="M342" s="20">
        <f t="shared" si="2"/>
        <v>0</v>
      </c>
      <c r="N342" s="22"/>
      <c r="O342" s="19" t="s">
        <v>1145</v>
      </c>
      <c r="P342" s="18"/>
      <c r="Q342" s="18"/>
      <c r="R342" s="23">
        <v>0.0</v>
      </c>
      <c r="S342" s="23">
        <v>0.0</v>
      </c>
      <c r="T342" s="23">
        <f t="shared" si="3"/>
        <v>0</v>
      </c>
      <c r="U342" s="23">
        <f t="shared" si="4"/>
        <v>0</v>
      </c>
      <c r="V342" s="23">
        <f t="shared" si="5"/>
        <v>0</v>
      </c>
      <c r="W342" s="24" t="str">
        <f t="shared" si="6"/>
        <v>#DIV/0!</v>
      </c>
    </row>
    <row r="343">
      <c r="A343" s="15" t="s">
        <v>1453</v>
      </c>
      <c r="B343" s="18"/>
      <c r="C343" s="15" t="s">
        <v>6551</v>
      </c>
      <c r="D343" s="18"/>
      <c r="E343" s="17" t="s">
        <v>1454</v>
      </c>
      <c r="F343" s="18"/>
      <c r="G343" s="18"/>
      <c r="H343" s="15" t="s">
        <v>1455</v>
      </c>
      <c r="I343" s="18"/>
      <c r="J343" s="19" t="s">
        <v>702</v>
      </c>
      <c r="K343" s="19" t="s">
        <v>1444</v>
      </c>
      <c r="L343" s="19" t="s">
        <v>38</v>
      </c>
      <c r="M343" s="20">
        <f t="shared" si="2"/>
        <v>0</v>
      </c>
      <c r="N343" s="22"/>
      <c r="O343" s="19" t="s">
        <v>1145</v>
      </c>
      <c r="P343" s="18"/>
      <c r="Q343" s="18"/>
      <c r="R343" s="23">
        <v>0.0</v>
      </c>
      <c r="S343" s="23">
        <v>0.0</v>
      </c>
      <c r="T343" s="23">
        <f t="shared" si="3"/>
        <v>0</v>
      </c>
      <c r="U343" s="23">
        <f t="shared" si="4"/>
        <v>0</v>
      </c>
      <c r="V343" s="23">
        <f t="shared" si="5"/>
        <v>0</v>
      </c>
      <c r="W343" s="24" t="str">
        <f t="shared" si="6"/>
        <v>#DIV/0!</v>
      </c>
    </row>
    <row r="344">
      <c r="A344" s="15" t="s">
        <v>1456</v>
      </c>
      <c r="B344" s="18"/>
      <c r="C344" s="15" t="s">
        <v>6552</v>
      </c>
      <c r="D344" s="18"/>
      <c r="E344" s="17" t="s">
        <v>1457</v>
      </c>
      <c r="F344" s="18"/>
      <c r="G344" s="18"/>
      <c r="H344" s="15" t="s">
        <v>1458</v>
      </c>
      <c r="I344" s="18"/>
      <c r="J344" s="19" t="s">
        <v>702</v>
      </c>
      <c r="K344" s="19" t="s">
        <v>1444</v>
      </c>
      <c r="L344" s="19" t="s">
        <v>38</v>
      </c>
      <c r="M344" s="20">
        <f t="shared" si="2"/>
        <v>0</v>
      </c>
      <c r="N344" s="22"/>
      <c r="O344" s="19" t="s">
        <v>1145</v>
      </c>
      <c r="P344" s="18"/>
      <c r="Q344" s="18"/>
      <c r="R344" s="23">
        <v>0.0</v>
      </c>
      <c r="S344" s="23">
        <v>0.0</v>
      </c>
      <c r="T344" s="23">
        <f t="shared" si="3"/>
        <v>0</v>
      </c>
      <c r="U344" s="23">
        <f t="shared" si="4"/>
        <v>0</v>
      </c>
      <c r="V344" s="23">
        <f t="shared" si="5"/>
        <v>0</v>
      </c>
      <c r="W344" s="24" t="str">
        <f t="shared" si="6"/>
        <v>#DIV/0!</v>
      </c>
    </row>
    <row r="345">
      <c r="A345" s="15" t="s">
        <v>1459</v>
      </c>
      <c r="B345" s="18"/>
      <c r="C345" s="15" t="s">
        <v>6553</v>
      </c>
      <c r="D345" s="18"/>
      <c r="E345" s="17" t="s">
        <v>1460</v>
      </c>
      <c r="F345" s="18"/>
      <c r="G345" s="18"/>
      <c r="H345" s="15" t="s">
        <v>1461</v>
      </c>
      <c r="I345" s="18"/>
      <c r="J345" s="19" t="s">
        <v>702</v>
      </c>
      <c r="K345" s="19" t="s">
        <v>1444</v>
      </c>
      <c r="L345" s="19" t="s">
        <v>38</v>
      </c>
      <c r="M345" s="20">
        <f t="shared" si="2"/>
        <v>0</v>
      </c>
      <c r="N345" s="22"/>
      <c r="O345" s="19" t="s">
        <v>1145</v>
      </c>
      <c r="P345" s="18"/>
      <c r="Q345" s="18"/>
      <c r="R345" s="23">
        <v>0.0</v>
      </c>
      <c r="S345" s="23">
        <v>0.0</v>
      </c>
      <c r="T345" s="23">
        <f t="shared" si="3"/>
        <v>0</v>
      </c>
      <c r="U345" s="23">
        <f t="shared" si="4"/>
        <v>0</v>
      </c>
      <c r="V345" s="23">
        <f t="shared" si="5"/>
        <v>0</v>
      </c>
      <c r="W345" s="24" t="str">
        <f t="shared" si="6"/>
        <v>#DIV/0!</v>
      </c>
    </row>
    <row r="346">
      <c r="A346" s="15" t="s">
        <v>1462</v>
      </c>
      <c r="B346" s="18"/>
      <c r="C346" s="15" t="s">
        <v>6554</v>
      </c>
      <c r="D346" s="18"/>
      <c r="E346" s="17" t="s">
        <v>1463</v>
      </c>
      <c r="F346" s="18"/>
      <c r="G346" s="18"/>
      <c r="H346" s="15" t="s">
        <v>1464</v>
      </c>
      <c r="I346" s="18"/>
      <c r="J346" s="19" t="s">
        <v>702</v>
      </c>
      <c r="K346" s="19" t="s">
        <v>1444</v>
      </c>
      <c r="L346" s="19" t="s">
        <v>38</v>
      </c>
      <c r="M346" s="20">
        <f t="shared" si="2"/>
        <v>0</v>
      </c>
      <c r="N346" s="22"/>
      <c r="O346" s="19" t="s">
        <v>1145</v>
      </c>
      <c r="P346" s="18"/>
      <c r="Q346" s="18"/>
      <c r="R346" s="23">
        <v>0.0</v>
      </c>
      <c r="S346" s="23">
        <v>0.0</v>
      </c>
      <c r="T346" s="23">
        <f t="shared" si="3"/>
        <v>0</v>
      </c>
      <c r="U346" s="23">
        <f t="shared" si="4"/>
        <v>0</v>
      </c>
      <c r="V346" s="23">
        <f t="shared" si="5"/>
        <v>0</v>
      </c>
      <c r="W346" s="24" t="str">
        <f t="shared" si="6"/>
        <v>#DIV/0!</v>
      </c>
    </row>
    <row r="347">
      <c r="A347" s="15" t="s">
        <v>1465</v>
      </c>
      <c r="B347" s="18"/>
      <c r="C347" s="15" t="s">
        <v>6555</v>
      </c>
      <c r="D347" s="18"/>
      <c r="E347" s="17" t="s">
        <v>1466</v>
      </c>
      <c r="F347" s="18"/>
      <c r="G347" s="18"/>
      <c r="H347" s="15" t="s">
        <v>1467</v>
      </c>
      <c r="I347" s="18"/>
      <c r="J347" s="19" t="s">
        <v>702</v>
      </c>
      <c r="K347" s="19" t="s">
        <v>1444</v>
      </c>
      <c r="L347" s="19" t="s">
        <v>38</v>
      </c>
      <c r="M347" s="20">
        <f t="shared" si="2"/>
        <v>0</v>
      </c>
      <c r="N347" s="22"/>
      <c r="O347" s="19" t="s">
        <v>1145</v>
      </c>
      <c r="P347" s="18"/>
      <c r="Q347" s="18"/>
      <c r="R347" s="23">
        <v>0.0</v>
      </c>
      <c r="S347" s="23">
        <v>0.0</v>
      </c>
      <c r="T347" s="23">
        <f t="shared" si="3"/>
        <v>0</v>
      </c>
      <c r="U347" s="23">
        <f t="shared" si="4"/>
        <v>0</v>
      </c>
      <c r="V347" s="23">
        <f t="shared" si="5"/>
        <v>0</v>
      </c>
      <c r="W347" s="24" t="str">
        <f t="shared" si="6"/>
        <v>#DIV/0!</v>
      </c>
    </row>
    <row r="348">
      <c r="A348" s="15" t="s">
        <v>1468</v>
      </c>
      <c r="B348" s="18"/>
      <c r="C348" s="15" t="s">
        <v>6556</v>
      </c>
      <c r="D348" s="18"/>
      <c r="E348" s="17" t="s">
        <v>1469</v>
      </c>
      <c r="F348" s="18"/>
      <c r="G348" s="18"/>
      <c r="H348" s="15" t="s">
        <v>1470</v>
      </c>
      <c r="I348" s="18"/>
      <c r="J348" s="19" t="s">
        <v>702</v>
      </c>
      <c r="K348" s="19" t="s">
        <v>1444</v>
      </c>
      <c r="L348" s="19" t="s">
        <v>38</v>
      </c>
      <c r="M348" s="20">
        <f t="shared" si="2"/>
        <v>0</v>
      </c>
      <c r="N348" s="22"/>
      <c r="O348" s="19" t="s">
        <v>1145</v>
      </c>
      <c r="P348" s="18"/>
      <c r="Q348" s="18"/>
      <c r="R348" s="23">
        <v>0.0</v>
      </c>
      <c r="S348" s="23">
        <v>0.0</v>
      </c>
      <c r="T348" s="23">
        <f t="shared" si="3"/>
        <v>0</v>
      </c>
      <c r="U348" s="23">
        <f t="shared" si="4"/>
        <v>0</v>
      </c>
      <c r="V348" s="23">
        <f t="shared" si="5"/>
        <v>0</v>
      </c>
      <c r="W348" s="24" t="str">
        <f t="shared" si="6"/>
        <v>#DIV/0!</v>
      </c>
    </row>
    <row r="349">
      <c r="A349" s="15" t="s">
        <v>4508</v>
      </c>
      <c r="B349" s="15" t="s">
        <v>1090</v>
      </c>
      <c r="C349" s="15" t="s">
        <v>6557</v>
      </c>
      <c r="D349" s="15" t="s">
        <v>4509</v>
      </c>
      <c r="E349" s="17" t="s">
        <v>1092</v>
      </c>
      <c r="F349" s="18"/>
      <c r="G349" s="18"/>
      <c r="H349" s="15" t="s">
        <v>4510</v>
      </c>
      <c r="I349" s="18"/>
      <c r="J349" s="19" t="s">
        <v>702</v>
      </c>
      <c r="K349" s="19" t="s">
        <v>1230</v>
      </c>
      <c r="L349" s="19" t="s">
        <v>38</v>
      </c>
      <c r="M349" s="20">
        <f t="shared" si="2"/>
        <v>0</v>
      </c>
      <c r="N349" s="22"/>
      <c r="O349" s="19" t="s">
        <v>3578</v>
      </c>
      <c r="P349" s="18"/>
      <c r="Q349" s="18"/>
      <c r="R349" s="23">
        <v>0.0</v>
      </c>
      <c r="S349" s="23">
        <v>0.0</v>
      </c>
      <c r="T349" s="23">
        <f t="shared" si="3"/>
        <v>0</v>
      </c>
      <c r="U349" s="23">
        <f t="shared" si="4"/>
        <v>0</v>
      </c>
      <c r="V349" s="23">
        <f t="shared" si="5"/>
        <v>0</v>
      </c>
      <c r="W349" s="24" t="str">
        <f t="shared" si="6"/>
        <v>#DIV/0!</v>
      </c>
    </row>
    <row r="350">
      <c r="A350" s="15" t="s">
        <v>4511</v>
      </c>
      <c r="B350" s="15" t="s">
        <v>4512</v>
      </c>
      <c r="C350" s="15" t="s">
        <v>6559</v>
      </c>
      <c r="D350" s="15" t="s">
        <v>4513</v>
      </c>
      <c r="E350" s="17" t="s">
        <v>4514</v>
      </c>
      <c r="F350" s="18"/>
      <c r="G350" s="18"/>
      <c r="H350" s="15" t="s">
        <v>4515</v>
      </c>
      <c r="I350" s="15" t="s">
        <v>4516</v>
      </c>
      <c r="J350" s="19" t="s">
        <v>702</v>
      </c>
      <c r="K350" s="19" t="s">
        <v>1269</v>
      </c>
      <c r="L350" s="19" t="s">
        <v>38</v>
      </c>
      <c r="M350" s="20">
        <f t="shared" si="2"/>
        <v>0</v>
      </c>
      <c r="N350" s="22"/>
      <c r="O350" s="19" t="s">
        <v>3578</v>
      </c>
      <c r="P350" s="18"/>
      <c r="Q350" s="18"/>
      <c r="R350" s="23">
        <v>0.0</v>
      </c>
      <c r="S350" s="23">
        <v>0.0</v>
      </c>
      <c r="T350" s="23">
        <f t="shared" si="3"/>
        <v>0</v>
      </c>
      <c r="U350" s="23">
        <f t="shared" si="4"/>
        <v>0</v>
      </c>
      <c r="V350" s="23">
        <f t="shared" si="5"/>
        <v>0</v>
      </c>
      <c r="W350" s="24" t="str">
        <f t="shared" si="6"/>
        <v>#DIV/0!</v>
      </c>
    </row>
    <row r="351">
      <c r="A351" s="15" t="s">
        <v>4517</v>
      </c>
      <c r="B351" s="15" t="s">
        <v>4518</v>
      </c>
      <c r="C351" s="15" t="s">
        <v>6561</v>
      </c>
      <c r="D351" s="15" t="s">
        <v>4519</v>
      </c>
      <c r="E351" s="17" t="s">
        <v>4520</v>
      </c>
      <c r="F351" s="18"/>
      <c r="G351" s="18"/>
      <c r="H351" s="15" t="s">
        <v>4521</v>
      </c>
      <c r="I351" s="15" t="s">
        <v>4522</v>
      </c>
      <c r="J351" s="19" t="s">
        <v>702</v>
      </c>
      <c r="K351" s="19" t="s">
        <v>1269</v>
      </c>
      <c r="L351" s="19" t="s">
        <v>38</v>
      </c>
      <c r="M351" s="20">
        <f t="shared" si="2"/>
        <v>0</v>
      </c>
      <c r="N351" s="22"/>
      <c r="O351" s="19" t="s">
        <v>3578</v>
      </c>
      <c r="P351" s="18"/>
      <c r="Q351" s="18"/>
      <c r="R351" s="23">
        <v>0.0</v>
      </c>
      <c r="S351" s="23">
        <v>0.0</v>
      </c>
      <c r="T351" s="23">
        <f t="shared" si="3"/>
        <v>0</v>
      </c>
      <c r="U351" s="23">
        <f t="shared" si="4"/>
        <v>0</v>
      </c>
      <c r="V351" s="23">
        <f t="shared" si="5"/>
        <v>0</v>
      </c>
      <c r="W351" s="24" t="str">
        <f t="shared" si="6"/>
        <v>#DIV/0!</v>
      </c>
    </row>
    <row r="352">
      <c r="A352" s="15" t="s">
        <v>4523</v>
      </c>
      <c r="B352" s="15" t="s">
        <v>4524</v>
      </c>
      <c r="C352" s="15" t="s">
        <v>6563</v>
      </c>
      <c r="D352" s="15" t="s">
        <v>4525</v>
      </c>
      <c r="E352" s="17" t="s">
        <v>4526</v>
      </c>
      <c r="F352" s="18"/>
      <c r="G352" s="18"/>
      <c r="H352" s="15" t="s">
        <v>4527</v>
      </c>
      <c r="I352" s="15" t="s">
        <v>4528</v>
      </c>
      <c r="J352" s="19" t="s">
        <v>702</v>
      </c>
      <c r="K352" s="19" t="s">
        <v>1269</v>
      </c>
      <c r="L352" s="19" t="s">
        <v>38</v>
      </c>
      <c r="M352" s="20">
        <f t="shared" si="2"/>
        <v>0</v>
      </c>
      <c r="N352" s="22"/>
      <c r="O352" s="19" t="s">
        <v>3578</v>
      </c>
      <c r="P352" s="18"/>
      <c r="Q352" s="18"/>
      <c r="R352" s="23">
        <v>0.0</v>
      </c>
      <c r="S352" s="23">
        <v>0.0</v>
      </c>
      <c r="T352" s="23">
        <f t="shared" si="3"/>
        <v>0</v>
      </c>
      <c r="U352" s="23">
        <f t="shared" si="4"/>
        <v>0</v>
      </c>
      <c r="V352" s="23">
        <f t="shared" si="5"/>
        <v>0</v>
      </c>
      <c r="W352" s="24" t="str">
        <f t="shared" si="6"/>
        <v>#DIV/0!</v>
      </c>
    </row>
    <row r="353">
      <c r="A353" s="15" t="s">
        <v>4529</v>
      </c>
      <c r="B353" s="15" t="s">
        <v>4530</v>
      </c>
      <c r="C353" s="15" t="s">
        <v>6565</v>
      </c>
      <c r="D353" s="25" t="s">
        <v>4531</v>
      </c>
      <c r="E353" s="17" t="s">
        <v>4532</v>
      </c>
      <c r="F353" s="18"/>
      <c r="G353" s="18"/>
      <c r="H353" s="15" t="s">
        <v>4533</v>
      </c>
      <c r="I353" s="15" t="s">
        <v>4534</v>
      </c>
      <c r="J353" s="19" t="s">
        <v>702</v>
      </c>
      <c r="K353" s="19" t="s">
        <v>1269</v>
      </c>
      <c r="L353" s="19" t="s">
        <v>38</v>
      </c>
      <c r="M353" s="20">
        <f t="shared" si="2"/>
        <v>0</v>
      </c>
      <c r="N353" s="22"/>
      <c r="O353" s="19" t="s">
        <v>3578</v>
      </c>
      <c r="P353" s="18"/>
      <c r="Q353" s="18"/>
      <c r="R353" s="23">
        <v>0.0</v>
      </c>
      <c r="S353" s="23">
        <v>0.0</v>
      </c>
      <c r="T353" s="23">
        <f t="shared" si="3"/>
        <v>0</v>
      </c>
      <c r="U353" s="23">
        <f t="shared" si="4"/>
        <v>0</v>
      </c>
      <c r="V353" s="23">
        <f t="shared" si="5"/>
        <v>0</v>
      </c>
      <c r="W353" s="24" t="str">
        <f t="shared" si="6"/>
        <v>#DIV/0!</v>
      </c>
    </row>
    <row r="354">
      <c r="A354" s="15" t="s">
        <v>4535</v>
      </c>
      <c r="B354" s="15" t="s">
        <v>4536</v>
      </c>
      <c r="C354" s="15" t="s">
        <v>6567</v>
      </c>
      <c r="D354" s="15" t="s">
        <v>4537</v>
      </c>
      <c r="E354" s="17" t="s">
        <v>4538</v>
      </c>
      <c r="F354" s="18"/>
      <c r="G354" s="18"/>
      <c r="H354" s="15" t="s">
        <v>4539</v>
      </c>
      <c r="I354" s="18"/>
      <c r="J354" s="19" t="s">
        <v>702</v>
      </c>
      <c r="K354" s="19" t="s">
        <v>1431</v>
      </c>
      <c r="L354" s="19" t="s">
        <v>38</v>
      </c>
      <c r="M354" s="20">
        <f t="shared" si="2"/>
        <v>0</v>
      </c>
      <c r="N354" s="22"/>
      <c r="O354" s="19" t="s">
        <v>3578</v>
      </c>
      <c r="P354" s="18"/>
      <c r="Q354" s="18"/>
      <c r="R354" s="23">
        <v>0.0</v>
      </c>
      <c r="S354" s="23">
        <v>0.0</v>
      </c>
      <c r="T354" s="23">
        <f t="shared" si="3"/>
        <v>0</v>
      </c>
      <c r="U354" s="23">
        <f t="shared" si="4"/>
        <v>0</v>
      </c>
      <c r="V354" s="23">
        <f t="shared" si="5"/>
        <v>0</v>
      </c>
      <c r="W354" s="24" t="str">
        <f t="shared" si="6"/>
        <v>#DIV/0!</v>
      </c>
    </row>
    <row r="355">
      <c r="A355" s="15" t="s">
        <v>6569</v>
      </c>
      <c r="B355" s="15" t="s">
        <v>6570</v>
      </c>
      <c r="C355" s="15" t="s">
        <v>6571</v>
      </c>
      <c r="D355" s="15" t="s">
        <v>8191</v>
      </c>
      <c r="E355" s="17" t="s">
        <v>8192</v>
      </c>
      <c r="F355" s="18"/>
      <c r="G355" s="18"/>
      <c r="H355" s="15" t="s">
        <v>5974</v>
      </c>
      <c r="I355" s="18"/>
      <c r="J355" s="19" t="s">
        <v>702</v>
      </c>
      <c r="K355" s="19" t="s">
        <v>1444</v>
      </c>
      <c r="L355" s="19" t="s">
        <v>38</v>
      </c>
      <c r="M355" s="20">
        <f t="shared" si="2"/>
        <v>0</v>
      </c>
      <c r="N355" s="22"/>
      <c r="O355" s="19" t="s">
        <v>1145</v>
      </c>
      <c r="P355" s="18"/>
      <c r="Q355" s="18"/>
      <c r="R355" s="23">
        <v>0.0</v>
      </c>
      <c r="S355" s="23">
        <v>0.0</v>
      </c>
      <c r="T355" s="23">
        <f t="shared" si="3"/>
        <v>0</v>
      </c>
      <c r="U355" s="23">
        <f t="shared" si="4"/>
        <v>0</v>
      </c>
      <c r="V355" s="23">
        <f t="shared" si="5"/>
        <v>0</v>
      </c>
      <c r="W355" s="24" t="str">
        <f t="shared" si="6"/>
        <v>#DIV/0!</v>
      </c>
    </row>
    <row r="356">
      <c r="A356" s="15" t="s">
        <v>4540</v>
      </c>
      <c r="B356" s="15" t="s">
        <v>4541</v>
      </c>
      <c r="C356" s="15" t="s">
        <v>6574</v>
      </c>
      <c r="D356" s="15" t="s">
        <v>4542</v>
      </c>
      <c r="E356" s="17" t="s">
        <v>4543</v>
      </c>
      <c r="F356" s="18"/>
      <c r="G356" s="18"/>
      <c r="H356" s="15" t="s">
        <v>4544</v>
      </c>
      <c r="I356" s="18"/>
      <c r="J356" s="19" t="s">
        <v>702</v>
      </c>
      <c r="K356" s="19" t="s">
        <v>1444</v>
      </c>
      <c r="L356" s="19" t="s">
        <v>38</v>
      </c>
      <c r="M356" s="20">
        <f t="shared" si="2"/>
        <v>0</v>
      </c>
      <c r="N356" s="22"/>
      <c r="O356" s="19" t="s">
        <v>3578</v>
      </c>
      <c r="P356" s="18"/>
      <c r="Q356" s="18"/>
      <c r="R356" s="23">
        <v>0.0</v>
      </c>
      <c r="S356" s="23">
        <v>0.0</v>
      </c>
      <c r="T356" s="23">
        <f t="shared" si="3"/>
        <v>0</v>
      </c>
      <c r="U356" s="23">
        <f t="shared" si="4"/>
        <v>0</v>
      </c>
      <c r="V356" s="23">
        <f t="shared" si="5"/>
        <v>0</v>
      </c>
      <c r="W356" s="24" t="str">
        <f t="shared" si="6"/>
        <v>#DIV/0!</v>
      </c>
    </row>
    <row r="357">
      <c r="A357" s="15" t="s">
        <v>1471</v>
      </c>
      <c r="B357" s="18"/>
      <c r="C357" s="15" t="s">
        <v>6576</v>
      </c>
      <c r="D357" s="18"/>
      <c r="E357" s="17" t="s">
        <v>1472</v>
      </c>
      <c r="F357" s="18"/>
      <c r="G357" s="18"/>
      <c r="H357" s="15" t="s">
        <v>1473</v>
      </c>
      <c r="I357" s="18"/>
      <c r="J357" s="19" t="s">
        <v>702</v>
      </c>
      <c r="K357" s="19" t="s">
        <v>1444</v>
      </c>
      <c r="L357" s="19" t="s">
        <v>38</v>
      </c>
      <c r="M357" s="20">
        <f t="shared" si="2"/>
        <v>0</v>
      </c>
      <c r="N357" s="22"/>
      <c r="O357" s="19" t="s">
        <v>1145</v>
      </c>
      <c r="P357" s="18"/>
      <c r="Q357" s="18"/>
      <c r="R357" s="23">
        <v>0.0</v>
      </c>
      <c r="S357" s="23">
        <v>0.0</v>
      </c>
      <c r="T357" s="23">
        <f t="shared" si="3"/>
        <v>0</v>
      </c>
      <c r="U357" s="23">
        <f t="shared" si="4"/>
        <v>0</v>
      </c>
      <c r="V357" s="23">
        <f t="shared" si="5"/>
        <v>0</v>
      </c>
      <c r="W357" s="24" t="str">
        <f t="shared" si="6"/>
        <v>#DIV/0!</v>
      </c>
    </row>
    <row r="358">
      <c r="A358" s="15" t="s">
        <v>4545</v>
      </c>
      <c r="B358" s="15" t="s">
        <v>4546</v>
      </c>
      <c r="C358" s="15" t="s">
        <v>6577</v>
      </c>
      <c r="D358" s="15" t="s">
        <v>4547</v>
      </c>
      <c r="E358" s="17" t="s">
        <v>4548</v>
      </c>
      <c r="F358" s="18"/>
      <c r="G358" s="18"/>
      <c r="H358" s="15" t="s">
        <v>4549</v>
      </c>
      <c r="I358" s="18"/>
      <c r="J358" s="19" t="s">
        <v>702</v>
      </c>
      <c r="K358" s="19" t="s">
        <v>1444</v>
      </c>
      <c r="L358" s="19" t="s">
        <v>38</v>
      </c>
      <c r="M358" s="20">
        <f t="shared" si="2"/>
        <v>0</v>
      </c>
      <c r="N358" s="22"/>
      <c r="O358" s="19" t="s">
        <v>3578</v>
      </c>
      <c r="P358" s="18"/>
      <c r="Q358" s="18"/>
      <c r="R358" s="23">
        <v>0.0</v>
      </c>
      <c r="S358" s="23">
        <v>0.0</v>
      </c>
      <c r="T358" s="23">
        <f t="shared" si="3"/>
        <v>0</v>
      </c>
      <c r="U358" s="23">
        <f t="shared" si="4"/>
        <v>0</v>
      </c>
      <c r="V358" s="23">
        <f t="shared" si="5"/>
        <v>0</v>
      </c>
      <c r="W358" s="24" t="str">
        <f t="shared" si="6"/>
        <v>#DIV/0!</v>
      </c>
    </row>
    <row r="359">
      <c r="A359" s="15" t="s">
        <v>4550</v>
      </c>
      <c r="B359" s="15" t="s">
        <v>4551</v>
      </c>
      <c r="C359" s="15" t="s">
        <v>6579</v>
      </c>
      <c r="D359" s="18"/>
      <c r="E359" s="17" t="s">
        <v>4552</v>
      </c>
      <c r="F359" s="18"/>
      <c r="G359" s="18"/>
      <c r="H359" s="15" t="s">
        <v>4553</v>
      </c>
      <c r="I359" s="18"/>
      <c r="J359" s="19" t="s">
        <v>702</v>
      </c>
      <c r="K359" s="19" t="s">
        <v>1431</v>
      </c>
      <c r="L359" s="19" t="s">
        <v>38</v>
      </c>
      <c r="M359" s="20">
        <f t="shared" si="2"/>
        <v>0</v>
      </c>
      <c r="N359" s="22"/>
      <c r="O359" s="19" t="s">
        <v>3578</v>
      </c>
      <c r="P359" s="18"/>
      <c r="Q359" s="18"/>
      <c r="R359" s="23">
        <v>0.0</v>
      </c>
      <c r="S359" s="23">
        <v>0.0</v>
      </c>
      <c r="T359" s="23">
        <f t="shared" si="3"/>
        <v>0</v>
      </c>
      <c r="U359" s="23">
        <f t="shared" si="4"/>
        <v>0</v>
      </c>
      <c r="V359" s="23">
        <f t="shared" si="5"/>
        <v>0</v>
      </c>
      <c r="W359" s="24" t="str">
        <f t="shared" si="6"/>
        <v>#DIV/0!</v>
      </c>
    </row>
    <row r="360">
      <c r="A360" s="15" t="s">
        <v>4554</v>
      </c>
      <c r="B360" s="15" t="s">
        <v>4555</v>
      </c>
      <c r="C360" s="15" t="s">
        <v>6582</v>
      </c>
      <c r="D360" s="15" t="s">
        <v>4556</v>
      </c>
      <c r="E360" s="17" t="s">
        <v>4557</v>
      </c>
      <c r="F360" s="18"/>
      <c r="G360" s="18"/>
      <c r="H360" s="15" t="s">
        <v>4558</v>
      </c>
      <c r="I360" s="18"/>
      <c r="J360" s="19" t="s">
        <v>702</v>
      </c>
      <c r="K360" s="19" t="s">
        <v>1431</v>
      </c>
      <c r="L360" s="19" t="s">
        <v>38</v>
      </c>
      <c r="M360" s="20">
        <f t="shared" si="2"/>
        <v>0</v>
      </c>
      <c r="N360" s="22"/>
      <c r="O360" s="19" t="s">
        <v>3578</v>
      </c>
      <c r="P360" s="18"/>
      <c r="Q360" s="18"/>
      <c r="R360" s="23">
        <v>0.0</v>
      </c>
      <c r="S360" s="23">
        <v>0.0</v>
      </c>
      <c r="T360" s="23">
        <f t="shared" si="3"/>
        <v>0</v>
      </c>
      <c r="U360" s="23">
        <f t="shared" si="4"/>
        <v>0</v>
      </c>
      <c r="V360" s="23">
        <f t="shared" si="5"/>
        <v>0</v>
      </c>
      <c r="W360" s="24" t="str">
        <f t="shared" si="6"/>
        <v>#DIV/0!</v>
      </c>
    </row>
    <row r="361">
      <c r="A361" s="15" t="s">
        <v>4559</v>
      </c>
      <c r="B361" s="15" t="s">
        <v>4560</v>
      </c>
      <c r="C361" s="15" t="s">
        <v>6584</v>
      </c>
      <c r="D361" s="18"/>
      <c r="E361" s="17" t="s">
        <v>4562</v>
      </c>
      <c r="F361" s="18"/>
      <c r="G361" s="18"/>
      <c r="H361" s="15" t="s">
        <v>4563</v>
      </c>
      <c r="I361" s="18"/>
      <c r="J361" s="19" t="s">
        <v>702</v>
      </c>
      <c r="K361" s="19" t="s">
        <v>1444</v>
      </c>
      <c r="L361" s="19" t="s">
        <v>38</v>
      </c>
      <c r="M361" s="20">
        <f t="shared" si="2"/>
        <v>0</v>
      </c>
      <c r="N361" s="22"/>
      <c r="O361" s="19" t="s">
        <v>3578</v>
      </c>
      <c r="P361" s="18"/>
      <c r="Q361" s="18"/>
      <c r="R361" s="23">
        <v>0.0</v>
      </c>
      <c r="S361" s="23">
        <v>0.0</v>
      </c>
      <c r="T361" s="23">
        <f t="shared" si="3"/>
        <v>0</v>
      </c>
      <c r="U361" s="23">
        <f t="shared" si="4"/>
        <v>0</v>
      </c>
      <c r="V361" s="23">
        <f t="shared" si="5"/>
        <v>0</v>
      </c>
      <c r="W361" s="24" t="str">
        <f t="shared" si="6"/>
        <v>#DIV/0!</v>
      </c>
    </row>
    <row r="362">
      <c r="A362" s="15" t="s">
        <v>4564</v>
      </c>
      <c r="B362" s="15" t="s">
        <v>4565</v>
      </c>
      <c r="C362" s="15" t="s">
        <v>6586</v>
      </c>
      <c r="D362" s="18"/>
      <c r="E362" s="17" t="s">
        <v>4566</v>
      </c>
      <c r="F362" s="18"/>
      <c r="G362" s="18"/>
      <c r="H362" s="15" t="s">
        <v>4567</v>
      </c>
      <c r="I362" s="18"/>
      <c r="J362" s="19" t="s">
        <v>702</v>
      </c>
      <c r="K362" s="19" t="s">
        <v>1444</v>
      </c>
      <c r="L362" s="19" t="s">
        <v>38</v>
      </c>
      <c r="M362" s="20">
        <f t="shared" si="2"/>
        <v>0</v>
      </c>
      <c r="N362" s="22"/>
      <c r="O362" s="19" t="s">
        <v>3578</v>
      </c>
      <c r="P362" s="18"/>
      <c r="Q362" s="18"/>
      <c r="R362" s="23">
        <v>0.0</v>
      </c>
      <c r="S362" s="23">
        <v>0.0</v>
      </c>
      <c r="T362" s="23">
        <f t="shared" si="3"/>
        <v>0</v>
      </c>
      <c r="U362" s="23">
        <f t="shared" si="4"/>
        <v>0</v>
      </c>
      <c r="V362" s="23">
        <f t="shared" si="5"/>
        <v>0</v>
      </c>
      <c r="W362" s="24" t="str">
        <f t="shared" si="6"/>
        <v>#DIV/0!</v>
      </c>
    </row>
    <row r="363">
      <c r="A363" s="15" t="s">
        <v>839</v>
      </c>
      <c r="B363" s="15" t="s">
        <v>840</v>
      </c>
      <c r="C363" s="15" t="s">
        <v>6059</v>
      </c>
      <c r="D363" s="15" t="s">
        <v>841</v>
      </c>
      <c r="E363" s="17" t="s">
        <v>842</v>
      </c>
      <c r="F363" s="18"/>
      <c r="G363" s="18"/>
      <c r="H363" s="15" t="s">
        <v>843</v>
      </c>
      <c r="I363" s="18"/>
      <c r="J363" s="19" t="s">
        <v>702</v>
      </c>
      <c r="K363" s="19" t="s">
        <v>52</v>
      </c>
      <c r="L363" s="19" t="s">
        <v>703</v>
      </c>
      <c r="M363" s="20">
        <f t="shared" si="2"/>
        <v>4884</v>
      </c>
      <c r="N363" s="31">
        <v>2.0</v>
      </c>
      <c r="O363" s="19" t="s">
        <v>107</v>
      </c>
      <c r="P363" s="18"/>
      <c r="Q363" s="18"/>
      <c r="R363" s="23">
        <v>65.0</v>
      </c>
      <c r="S363" s="23">
        <v>275.0</v>
      </c>
      <c r="T363" s="23">
        <f t="shared" si="3"/>
        <v>264</v>
      </c>
      <c r="U363" s="23">
        <f t="shared" si="4"/>
        <v>79.625</v>
      </c>
      <c r="V363" s="23">
        <f t="shared" si="5"/>
        <v>1492.96875</v>
      </c>
      <c r="W363" s="24">
        <f t="shared" si="6"/>
        <v>4.061538462</v>
      </c>
    </row>
    <row r="364">
      <c r="A364" s="15" t="s">
        <v>1014</v>
      </c>
      <c r="B364" s="15" t="s">
        <v>1015</v>
      </c>
      <c r="C364" s="15" t="s">
        <v>6060</v>
      </c>
      <c r="D364" s="15" t="s">
        <v>1016</v>
      </c>
      <c r="E364" s="17" t="s">
        <v>1017</v>
      </c>
      <c r="F364" s="18"/>
      <c r="G364" s="18"/>
      <c r="H364" s="15" t="s">
        <v>1018</v>
      </c>
      <c r="I364" s="18"/>
      <c r="J364" s="19" t="s">
        <v>702</v>
      </c>
      <c r="K364" s="19" t="s">
        <v>52</v>
      </c>
      <c r="L364" s="19" t="s">
        <v>703</v>
      </c>
      <c r="M364" s="20">
        <f t="shared" si="2"/>
        <v>5256.96</v>
      </c>
      <c r="N364" s="31">
        <v>2.0</v>
      </c>
      <c r="O364" s="19" t="s">
        <v>107</v>
      </c>
      <c r="P364" s="18"/>
      <c r="Q364" s="18"/>
      <c r="R364" s="23">
        <v>85.0</v>
      </c>
      <c r="S364" s="23">
        <v>296.0</v>
      </c>
      <c r="T364" s="23">
        <f t="shared" si="3"/>
        <v>284.16</v>
      </c>
      <c r="U364" s="23">
        <f t="shared" si="4"/>
        <v>104.125</v>
      </c>
      <c r="V364" s="23">
        <f t="shared" si="5"/>
        <v>1952.34375</v>
      </c>
      <c r="W364" s="24">
        <f t="shared" si="6"/>
        <v>3.343058824</v>
      </c>
    </row>
    <row r="365">
      <c r="A365" s="15" t="s">
        <v>697</v>
      </c>
      <c r="B365" s="15" t="s">
        <v>698</v>
      </c>
      <c r="C365" s="15" t="s">
        <v>6061</v>
      </c>
      <c r="D365" s="15" t="s">
        <v>699</v>
      </c>
      <c r="E365" s="17" t="s">
        <v>700</v>
      </c>
      <c r="F365" s="18"/>
      <c r="G365" s="18"/>
      <c r="H365" s="15" t="s">
        <v>701</v>
      </c>
      <c r="I365" s="18"/>
      <c r="J365" s="19" t="s">
        <v>702</v>
      </c>
      <c r="K365" s="19" t="s">
        <v>52</v>
      </c>
      <c r="L365" s="19" t="s">
        <v>703</v>
      </c>
      <c r="M365" s="20">
        <f t="shared" si="2"/>
        <v>3996</v>
      </c>
      <c r="N365" s="31">
        <v>2.0</v>
      </c>
      <c r="O365" s="19" t="s">
        <v>107</v>
      </c>
      <c r="P365" s="18"/>
      <c r="Q365" s="18"/>
      <c r="R365" s="23">
        <v>45.0</v>
      </c>
      <c r="S365" s="23">
        <v>225.0</v>
      </c>
      <c r="T365" s="23">
        <f t="shared" si="3"/>
        <v>216</v>
      </c>
      <c r="U365" s="23">
        <f t="shared" si="4"/>
        <v>55.125</v>
      </c>
      <c r="V365" s="23">
        <f t="shared" si="5"/>
        <v>1033.59375</v>
      </c>
      <c r="W365" s="24">
        <f t="shared" si="6"/>
        <v>4.8</v>
      </c>
    </row>
    <row r="366">
      <c r="A366" s="15" t="s">
        <v>4568</v>
      </c>
      <c r="B366" s="15" t="s">
        <v>4569</v>
      </c>
      <c r="C366" s="15" t="s">
        <v>6588</v>
      </c>
      <c r="D366" s="15" t="s">
        <v>4570</v>
      </c>
      <c r="E366" s="17" t="s">
        <v>4571</v>
      </c>
      <c r="F366" s="18"/>
      <c r="G366" s="18"/>
      <c r="H366" s="15" t="s">
        <v>4572</v>
      </c>
      <c r="I366" s="18"/>
      <c r="J366" s="19" t="s">
        <v>702</v>
      </c>
      <c r="K366" s="19" t="s">
        <v>52</v>
      </c>
      <c r="L366" s="19" t="s">
        <v>703</v>
      </c>
      <c r="M366" s="20">
        <f t="shared" si="2"/>
        <v>0</v>
      </c>
      <c r="N366" s="22"/>
      <c r="O366" s="19" t="s">
        <v>3578</v>
      </c>
      <c r="P366" s="18"/>
      <c r="Q366" s="18"/>
      <c r="R366" s="23">
        <v>0.0</v>
      </c>
      <c r="S366" s="23">
        <v>0.0</v>
      </c>
      <c r="T366" s="23">
        <f t="shared" si="3"/>
        <v>0</v>
      </c>
      <c r="U366" s="23">
        <f t="shared" si="4"/>
        <v>0</v>
      </c>
      <c r="V366" s="23">
        <f t="shared" si="5"/>
        <v>0</v>
      </c>
      <c r="W366" s="24" t="str">
        <f t="shared" si="6"/>
        <v>#DIV/0!</v>
      </c>
    </row>
    <row r="367">
      <c r="A367" s="15" t="s">
        <v>781</v>
      </c>
      <c r="B367" s="15" t="s">
        <v>782</v>
      </c>
      <c r="C367" s="15" t="s">
        <v>6062</v>
      </c>
      <c r="D367" s="15" t="s">
        <v>783</v>
      </c>
      <c r="E367" s="17" t="s">
        <v>784</v>
      </c>
      <c r="F367" s="18"/>
      <c r="G367" s="18"/>
      <c r="H367" s="15" t="s">
        <v>785</v>
      </c>
      <c r="I367" s="18"/>
      <c r="J367" s="19" t="s">
        <v>702</v>
      </c>
      <c r="K367" s="19" t="s">
        <v>52</v>
      </c>
      <c r="L367" s="19" t="s">
        <v>703</v>
      </c>
      <c r="M367" s="20">
        <f t="shared" si="2"/>
        <v>4440</v>
      </c>
      <c r="N367" s="31">
        <v>2.0</v>
      </c>
      <c r="O367" s="19" t="s">
        <v>107</v>
      </c>
      <c r="P367" s="18"/>
      <c r="Q367" s="18"/>
      <c r="R367" s="23">
        <v>55.0</v>
      </c>
      <c r="S367" s="23">
        <v>250.0</v>
      </c>
      <c r="T367" s="23">
        <f t="shared" si="3"/>
        <v>240</v>
      </c>
      <c r="U367" s="23">
        <f t="shared" si="4"/>
        <v>67.375</v>
      </c>
      <c r="V367" s="23">
        <f t="shared" si="5"/>
        <v>1263.28125</v>
      </c>
      <c r="W367" s="24">
        <f t="shared" si="6"/>
        <v>4.363636364</v>
      </c>
    </row>
    <row r="368">
      <c r="A368" s="15" t="s">
        <v>776</v>
      </c>
      <c r="B368" s="15" t="s">
        <v>777</v>
      </c>
      <c r="C368" s="15" t="s">
        <v>6063</v>
      </c>
      <c r="D368" s="15" t="s">
        <v>778</v>
      </c>
      <c r="E368" s="17" t="s">
        <v>779</v>
      </c>
      <c r="F368" s="18"/>
      <c r="G368" s="18"/>
      <c r="H368" s="15" t="s">
        <v>780</v>
      </c>
      <c r="I368" s="18"/>
      <c r="J368" s="19" t="s">
        <v>702</v>
      </c>
      <c r="K368" s="19" t="s">
        <v>52</v>
      </c>
      <c r="L368" s="19" t="s">
        <v>703</v>
      </c>
      <c r="M368" s="20">
        <f t="shared" si="2"/>
        <v>4457.76</v>
      </c>
      <c r="N368" s="31">
        <v>2.0</v>
      </c>
      <c r="O368" s="19" t="s">
        <v>107</v>
      </c>
      <c r="P368" s="18"/>
      <c r="Q368" s="18"/>
      <c r="R368" s="23">
        <v>55.0</v>
      </c>
      <c r="S368" s="23">
        <v>251.0</v>
      </c>
      <c r="T368" s="23">
        <f t="shared" si="3"/>
        <v>240.96</v>
      </c>
      <c r="U368" s="23">
        <f t="shared" si="4"/>
        <v>67.375</v>
      </c>
      <c r="V368" s="23">
        <f t="shared" si="5"/>
        <v>1263.28125</v>
      </c>
      <c r="W368" s="24">
        <f t="shared" si="6"/>
        <v>4.381090909</v>
      </c>
    </row>
    <row r="369">
      <c r="A369" s="15" t="s">
        <v>964</v>
      </c>
      <c r="B369" s="15" t="s">
        <v>965</v>
      </c>
      <c r="C369" s="15" t="s">
        <v>6064</v>
      </c>
      <c r="D369" s="15" t="s">
        <v>966</v>
      </c>
      <c r="E369" s="17" t="s">
        <v>967</v>
      </c>
      <c r="F369" s="18"/>
      <c r="G369" s="18"/>
      <c r="H369" s="15" t="s">
        <v>968</v>
      </c>
      <c r="I369" s="18"/>
      <c r="J369" s="19" t="s">
        <v>702</v>
      </c>
      <c r="K369" s="19" t="s">
        <v>52</v>
      </c>
      <c r="L369" s="19" t="s">
        <v>703</v>
      </c>
      <c r="M369" s="20">
        <f t="shared" si="2"/>
        <v>4955.04</v>
      </c>
      <c r="N369" s="31">
        <v>2.0</v>
      </c>
      <c r="O369" s="19" t="s">
        <v>107</v>
      </c>
      <c r="P369" s="18"/>
      <c r="Q369" s="18"/>
      <c r="R369" s="23">
        <v>75.0</v>
      </c>
      <c r="S369" s="23">
        <v>279.0</v>
      </c>
      <c r="T369" s="23">
        <f t="shared" si="3"/>
        <v>267.84</v>
      </c>
      <c r="U369" s="23">
        <f t="shared" si="4"/>
        <v>91.875</v>
      </c>
      <c r="V369" s="23">
        <f t="shared" si="5"/>
        <v>1722.65625</v>
      </c>
      <c r="W369" s="24">
        <f t="shared" si="6"/>
        <v>3.5712</v>
      </c>
    </row>
    <row r="370">
      <c r="A370" s="15" t="s">
        <v>4573</v>
      </c>
      <c r="B370" s="15" t="s">
        <v>4574</v>
      </c>
      <c r="C370" s="15" t="s">
        <v>6589</v>
      </c>
      <c r="D370" s="15" t="s">
        <v>4575</v>
      </c>
      <c r="E370" s="17" t="s">
        <v>4576</v>
      </c>
      <c r="F370" s="18"/>
      <c r="G370" s="18"/>
      <c r="H370" s="15" t="s">
        <v>4577</v>
      </c>
      <c r="I370" s="18"/>
      <c r="J370" s="19" t="s">
        <v>702</v>
      </c>
      <c r="K370" s="19" t="s">
        <v>52</v>
      </c>
      <c r="L370" s="19" t="s">
        <v>703</v>
      </c>
      <c r="M370" s="20">
        <f t="shared" si="2"/>
        <v>0</v>
      </c>
      <c r="N370" s="22"/>
      <c r="O370" s="19" t="s">
        <v>3578</v>
      </c>
      <c r="P370" s="18"/>
      <c r="Q370" s="18"/>
      <c r="R370" s="23">
        <v>0.0</v>
      </c>
      <c r="S370" s="23">
        <v>0.0</v>
      </c>
      <c r="T370" s="23">
        <f t="shared" si="3"/>
        <v>0</v>
      </c>
      <c r="U370" s="23">
        <f t="shared" si="4"/>
        <v>0</v>
      </c>
      <c r="V370" s="23">
        <f t="shared" si="5"/>
        <v>0</v>
      </c>
      <c r="W370" s="24" t="str">
        <f t="shared" si="6"/>
        <v>#DIV/0!</v>
      </c>
    </row>
    <row r="371">
      <c r="A371" s="15" t="s">
        <v>1474</v>
      </c>
      <c r="B371" s="15" t="s">
        <v>1475</v>
      </c>
      <c r="C371" s="15" t="s">
        <v>6591</v>
      </c>
      <c r="D371" s="15" t="s">
        <v>1476</v>
      </c>
      <c r="E371" s="17" t="s">
        <v>1477</v>
      </c>
      <c r="F371" s="18"/>
      <c r="G371" s="18"/>
      <c r="H371" s="15" t="s">
        <v>1478</v>
      </c>
      <c r="I371" s="18"/>
      <c r="J371" s="19" t="s">
        <v>702</v>
      </c>
      <c r="K371" s="19" t="s">
        <v>1431</v>
      </c>
      <c r="L371" s="19" t="s">
        <v>38</v>
      </c>
      <c r="M371" s="20">
        <f t="shared" si="2"/>
        <v>0</v>
      </c>
      <c r="N371" s="22"/>
      <c r="O371" s="19" t="s">
        <v>1145</v>
      </c>
      <c r="P371" s="18"/>
      <c r="Q371" s="18"/>
      <c r="R371" s="23">
        <v>0.0</v>
      </c>
      <c r="S371" s="23">
        <v>0.0</v>
      </c>
      <c r="T371" s="23">
        <f t="shared" si="3"/>
        <v>0</v>
      </c>
      <c r="U371" s="23">
        <f t="shared" si="4"/>
        <v>0</v>
      </c>
      <c r="V371" s="23">
        <f t="shared" si="5"/>
        <v>0</v>
      </c>
      <c r="W371" s="24" t="str">
        <f t="shared" si="6"/>
        <v>#DIV/0!</v>
      </c>
    </row>
    <row r="372">
      <c r="A372" s="15" t="s">
        <v>954</v>
      </c>
      <c r="B372" s="15" t="s">
        <v>955</v>
      </c>
      <c r="C372" s="15" t="s">
        <v>6065</v>
      </c>
      <c r="D372" s="15" t="s">
        <v>956</v>
      </c>
      <c r="E372" s="17" t="s">
        <v>957</v>
      </c>
      <c r="F372" s="18"/>
      <c r="G372" s="18"/>
      <c r="H372" s="15" t="s">
        <v>958</v>
      </c>
      <c r="I372" s="18"/>
      <c r="J372" s="19" t="s">
        <v>702</v>
      </c>
      <c r="K372" s="19" t="s">
        <v>52</v>
      </c>
      <c r="L372" s="19" t="s">
        <v>703</v>
      </c>
      <c r="M372" s="20">
        <f t="shared" si="2"/>
        <v>1651.68</v>
      </c>
      <c r="N372" s="31">
        <v>4.0</v>
      </c>
      <c r="O372" s="19" t="s">
        <v>107</v>
      </c>
      <c r="P372" s="18"/>
      <c r="Q372" s="18"/>
      <c r="R372" s="23">
        <v>25.0</v>
      </c>
      <c r="S372" s="23">
        <v>93.0</v>
      </c>
      <c r="T372" s="23">
        <f t="shared" si="3"/>
        <v>89.28</v>
      </c>
      <c r="U372" s="23">
        <f t="shared" si="4"/>
        <v>30.625</v>
      </c>
      <c r="V372" s="23">
        <f t="shared" si="5"/>
        <v>574.21875</v>
      </c>
      <c r="W372" s="24">
        <f t="shared" si="6"/>
        <v>3.5712</v>
      </c>
    </row>
    <row r="373">
      <c r="A373" s="15" t="s">
        <v>959</v>
      </c>
      <c r="B373" s="15" t="s">
        <v>960</v>
      </c>
      <c r="C373" s="15" t="s">
        <v>6066</v>
      </c>
      <c r="D373" s="15" t="s">
        <v>961</v>
      </c>
      <c r="E373" s="17" t="s">
        <v>962</v>
      </c>
      <c r="F373" s="18"/>
      <c r="G373" s="18"/>
      <c r="H373" s="15" t="s">
        <v>963</v>
      </c>
      <c r="I373" s="18"/>
      <c r="J373" s="19" t="s">
        <v>702</v>
      </c>
      <c r="K373" s="19" t="s">
        <v>52</v>
      </c>
      <c r="L373" s="19" t="s">
        <v>703</v>
      </c>
      <c r="M373" s="20">
        <f t="shared" si="2"/>
        <v>1651.68</v>
      </c>
      <c r="N373" s="31">
        <v>4.0</v>
      </c>
      <c r="O373" s="19" t="s">
        <v>107</v>
      </c>
      <c r="P373" s="18"/>
      <c r="Q373" s="18"/>
      <c r="R373" s="23">
        <v>25.0</v>
      </c>
      <c r="S373" s="23">
        <v>93.0</v>
      </c>
      <c r="T373" s="23">
        <f t="shared" si="3"/>
        <v>89.28</v>
      </c>
      <c r="U373" s="23">
        <f t="shared" si="4"/>
        <v>30.625</v>
      </c>
      <c r="V373" s="23">
        <f t="shared" si="5"/>
        <v>574.21875</v>
      </c>
      <c r="W373" s="24">
        <f t="shared" si="6"/>
        <v>3.5712</v>
      </c>
    </row>
    <row r="374">
      <c r="A374" s="15" t="s">
        <v>4578</v>
      </c>
      <c r="B374" s="15" t="s">
        <v>4579</v>
      </c>
      <c r="C374" s="15" t="s">
        <v>6593</v>
      </c>
      <c r="D374" s="15" t="s">
        <v>4580</v>
      </c>
      <c r="E374" s="17" t="s">
        <v>4581</v>
      </c>
      <c r="F374" s="18"/>
      <c r="G374" s="18"/>
      <c r="H374" s="15" t="s">
        <v>4582</v>
      </c>
      <c r="I374" s="18"/>
      <c r="J374" s="19" t="s">
        <v>702</v>
      </c>
      <c r="K374" s="19" t="s">
        <v>52</v>
      </c>
      <c r="L374" s="19" t="s">
        <v>703</v>
      </c>
      <c r="M374" s="20">
        <f t="shared" si="2"/>
        <v>0</v>
      </c>
      <c r="N374" s="22"/>
      <c r="O374" s="19" t="s">
        <v>3578</v>
      </c>
      <c r="P374" s="18"/>
      <c r="Q374" s="18"/>
      <c r="R374" s="23">
        <v>0.0</v>
      </c>
      <c r="S374" s="23">
        <v>0.0</v>
      </c>
      <c r="T374" s="23">
        <f t="shared" si="3"/>
        <v>0</v>
      </c>
      <c r="U374" s="23">
        <f t="shared" si="4"/>
        <v>0</v>
      </c>
      <c r="V374" s="23">
        <f t="shared" si="5"/>
        <v>0</v>
      </c>
      <c r="W374" s="24" t="str">
        <f t="shared" si="6"/>
        <v>#DIV/0!</v>
      </c>
    </row>
    <row r="375">
      <c r="A375" s="15" t="s">
        <v>4583</v>
      </c>
      <c r="B375" s="15" t="s">
        <v>4584</v>
      </c>
      <c r="C375" s="15" t="s">
        <v>6595</v>
      </c>
      <c r="D375" s="15" t="s">
        <v>4585</v>
      </c>
      <c r="E375" s="17" t="s">
        <v>4586</v>
      </c>
      <c r="F375" s="18"/>
      <c r="G375" s="18"/>
      <c r="H375" s="15" t="s">
        <v>4587</v>
      </c>
      <c r="I375" s="18"/>
      <c r="J375" s="19" t="s">
        <v>702</v>
      </c>
      <c r="K375" s="19" t="s">
        <v>52</v>
      </c>
      <c r="L375" s="19" t="s">
        <v>703</v>
      </c>
      <c r="M375" s="20">
        <f t="shared" si="2"/>
        <v>0</v>
      </c>
      <c r="N375" s="22"/>
      <c r="O375" s="19" t="s">
        <v>3578</v>
      </c>
      <c r="P375" s="18"/>
      <c r="Q375" s="18"/>
      <c r="R375" s="23">
        <v>0.0</v>
      </c>
      <c r="S375" s="23">
        <v>0.0</v>
      </c>
      <c r="T375" s="23">
        <f t="shared" si="3"/>
        <v>0</v>
      </c>
      <c r="U375" s="23">
        <f t="shared" si="4"/>
        <v>0</v>
      </c>
      <c r="V375" s="23">
        <f t="shared" si="5"/>
        <v>0</v>
      </c>
      <c r="W375" s="24" t="str">
        <f t="shared" si="6"/>
        <v>#DIV/0!</v>
      </c>
    </row>
    <row r="376">
      <c r="A376" s="15" t="s">
        <v>4588</v>
      </c>
      <c r="B376" s="15" t="s">
        <v>4589</v>
      </c>
      <c r="C376" s="15" t="s">
        <v>6597</v>
      </c>
      <c r="D376" s="15" t="s">
        <v>4590</v>
      </c>
      <c r="E376" s="17" t="s">
        <v>4591</v>
      </c>
      <c r="F376" s="18"/>
      <c r="G376" s="18"/>
      <c r="H376" s="15" t="s">
        <v>4592</v>
      </c>
      <c r="I376" s="18"/>
      <c r="J376" s="19" t="s">
        <v>702</v>
      </c>
      <c r="K376" s="19" t="s">
        <v>52</v>
      </c>
      <c r="L376" s="19" t="s">
        <v>703</v>
      </c>
      <c r="M376" s="20">
        <f t="shared" si="2"/>
        <v>0</v>
      </c>
      <c r="N376" s="22"/>
      <c r="O376" s="19" t="s">
        <v>3578</v>
      </c>
      <c r="P376" s="18"/>
      <c r="Q376" s="18"/>
      <c r="R376" s="23">
        <v>0.0</v>
      </c>
      <c r="S376" s="23">
        <v>0.0</v>
      </c>
      <c r="T376" s="23">
        <f t="shared" si="3"/>
        <v>0</v>
      </c>
      <c r="U376" s="23">
        <f t="shared" si="4"/>
        <v>0</v>
      </c>
      <c r="V376" s="23">
        <f t="shared" si="5"/>
        <v>0</v>
      </c>
      <c r="W376" s="24" t="str">
        <f t="shared" si="6"/>
        <v>#DIV/0!</v>
      </c>
    </row>
    <row r="377">
      <c r="A377" s="15" t="s">
        <v>4593</v>
      </c>
      <c r="B377" s="15" t="s">
        <v>4594</v>
      </c>
      <c r="C377" s="15" t="s">
        <v>6599</v>
      </c>
      <c r="D377" s="15" t="s">
        <v>4595</v>
      </c>
      <c r="E377" s="17" t="s">
        <v>4596</v>
      </c>
      <c r="F377" s="18"/>
      <c r="G377" s="18"/>
      <c r="H377" s="15" t="s">
        <v>4597</v>
      </c>
      <c r="I377" s="18"/>
      <c r="J377" s="19" t="s">
        <v>702</v>
      </c>
      <c r="K377" s="19" t="s">
        <v>52</v>
      </c>
      <c r="L377" s="19" t="s">
        <v>703</v>
      </c>
      <c r="M377" s="20">
        <f t="shared" si="2"/>
        <v>0</v>
      </c>
      <c r="N377" s="22"/>
      <c r="O377" s="19" t="s">
        <v>3578</v>
      </c>
      <c r="P377" s="18"/>
      <c r="Q377" s="18"/>
      <c r="R377" s="23">
        <v>0.0</v>
      </c>
      <c r="S377" s="23">
        <v>0.0</v>
      </c>
      <c r="T377" s="23">
        <f t="shared" si="3"/>
        <v>0</v>
      </c>
      <c r="U377" s="23">
        <f t="shared" si="4"/>
        <v>0</v>
      </c>
      <c r="V377" s="23">
        <f t="shared" si="5"/>
        <v>0</v>
      </c>
      <c r="W377" s="24" t="str">
        <f t="shared" si="6"/>
        <v>#DIV/0!</v>
      </c>
    </row>
    <row r="378">
      <c r="A378" s="15" t="s">
        <v>4598</v>
      </c>
      <c r="B378" s="15" t="s">
        <v>4599</v>
      </c>
      <c r="C378" s="15" t="s">
        <v>6601</v>
      </c>
      <c r="D378" s="15" t="s">
        <v>4600</v>
      </c>
      <c r="E378" s="17" t="s">
        <v>4601</v>
      </c>
      <c r="F378" s="18"/>
      <c r="G378" s="18"/>
      <c r="H378" s="15" t="s">
        <v>4602</v>
      </c>
      <c r="I378" s="18"/>
      <c r="J378" s="19" t="s">
        <v>702</v>
      </c>
      <c r="K378" s="19" t="s">
        <v>1269</v>
      </c>
      <c r="L378" s="19" t="s">
        <v>38</v>
      </c>
      <c r="M378" s="20">
        <f t="shared" si="2"/>
        <v>0</v>
      </c>
      <c r="N378" s="22"/>
      <c r="O378" s="19" t="s">
        <v>3578</v>
      </c>
      <c r="P378" s="18"/>
      <c r="Q378" s="18"/>
      <c r="R378" s="23">
        <v>0.0</v>
      </c>
      <c r="S378" s="23">
        <v>0.0</v>
      </c>
      <c r="T378" s="23">
        <f t="shared" si="3"/>
        <v>0</v>
      </c>
      <c r="U378" s="23">
        <f t="shared" si="4"/>
        <v>0</v>
      </c>
      <c r="V378" s="23">
        <f t="shared" si="5"/>
        <v>0</v>
      </c>
      <c r="W378" s="24" t="str">
        <f t="shared" si="6"/>
        <v>#DIV/0!</v>
      </c>
    </row>
    <row r="379">
      <c r="A379" s="15" t="s">
        <v>1479</v>
      </c>
      <c r="B379" s="18"/>
      <c r="C379" s="15" t="s">
        <v>6603</v>
      </c>
      <c r="D379" s="18"/>
      <c r="E379" s="17" t="s">
        <v>1480</v>
      </c>
      <c r="F379" s="18"/>
      <c r="G379" s="18"/>
      <c r="H379" s="15" t="s">
        <v>1481</v>
      </c>
      <c r="I379" s="18"/>
      <c r="J379" s="19" t="s">
        <v>702</v>
      </c>
      <c r="K379" s="19" t="s">
        <v>1444</v>
      </c>
      <c r="L379" s="19" t="s">
        <v>38</v>
      </c>
      <c r="M379" s="20">
        <f t="shared" si="2"/>
        <v>0</v>
      </c>
      <c r="N379" s="22"/>
      <c r="O379" s="19" t="s">
        <v>1145</v>
      </c>
      <c r="P379" s="18"/>
      <c r="Q379" s="18"/>
      <c r="R379" s="23">
        <v>0.0</v>
      </c>
      <c r="S379" s="23">
        <v>0.0</v>
      </c>
      <c r="T379" s="23">
        <f t="shared" si="3"/>
        <v>0</v>
      </c>
      <c r="U379" s="23">
        <f t="shared" si="4"/>
        <v>0</v>
      </c>
      <c r="V379" s="23">
        <f t="shared" si="5"/>
        <v>0</v>
      </c>
      <c r="W379" s="24" t="str">
        <f t="shared" si="6"/>
        <v>#DIV/0!</v>
      </c>
    </row>
    <row r="380">
      <c r="A380" s="15" t="s">
        <v>4603</v>
      </c>
      <c r="B380" s="15" t="s">
        <v>4604</v>
      </c>
      <c r="C380" s="15" t="s">
        <v>6605</v>
      </c>
      <c r="D380" s="15" t="s">
        <v>4605</v>
      </c>
      <c r="E380" s="17" t="s">
        <v>4606</v>
      </c>
      <c r="F380" s="18"/>
      <c r="G380" s="18"/>
      <c r="H380" s="15" t="s">
        <v>4607</v>
      </c>
      <c r="I380" s="18"/>
      <c r="J380" s="19" t="s">
        <v>702</v>
      </c>
      <c r="K380" s="19" t="s">
        <v>603</v>
      </c>
      <c r="L380" s="19" t="s">
        <v>38</v>
      </c>
      <c r="M380" s="20">
        <f t="shared" si="2"/>
        <v>0</v>
      </c>
      <c r="N380" s="22"/>
      <c r="O380" s="19" t="s">
        <v>3578</v>
      </c>
      <c r="P380" s="18"/>
      <c r="Q380" s="18"/>
      <c r="R380" s="23">
        <v>0.0</v>
      </c>
      <c r="S380" s="23">
        <v>0.0</v>
      </c>
      <c r="T380" s="23">
        <f t="shared" si="3"/>
        <v>0</v>
      </c>
      <c r="U380" s="23">
        <f t="shared" si="4"/>
        <v>0</v>
      </c>
      <c r="V380" s="23">
        <f t="shared" si="5"/>
        <v>0</v>
      </c>
      <c r="W380" s="24" t="str">
        <f t="shared" si="6"/>
        <v>#DIV/0!</v>
      </c>
    </row>
    <row r="381">
      <c r="A381" s="15" t="s">
        <v>4608</v>
      </c>
      <c r="B381" s="15" t="s">
        <v>4609</v>
      </c>
      <c r="C381" s="15" t="s">
        <v>6607</v>
      </c>
      <c r="D381" s="15" t="s">
        <v>4610</v>
      </c>
      <c r="E381" s="17" t="s">
        <v>4611</v>
      </c>
      <c r="F381" s="18"/>
      <c r="G381" s="18"/>
      <c r="H381" s="15" t="s">
        <v>4612</v>
      </c>
      <c r="I381" s="18"/>
      <c r="J381" s="19" t="s">
        <v>702</v>
      </c>
      <c r="K381" s="19" t="s">
        <v>603</v>
      </c>
      <c r="L381" s="19" t="s">
        <v>38</v>
      </c>
      <c r="M381" s="20">
        <f t="shared" si="2"/>
        <v>0</v>
      </c>
      <c r="N381" s="22"/>
      <c r="O381" s="19" t="s">
        <v>3578</v>
      </c>
      <c r="P381" s="18"/>
      <c r="Q381" s="18"/>
      <c r="R381" s="23">
        <v>0.0</v>
      </c>
      <c r="S381" s="23">
        <v>0.0</v>
      </c>
      <c r="T381" s="23">
        <f t="shared" si="3"/>
        <v>0</v>
      </c>
      <c r="U381" s="23">
        <f t="shared" si="4"/>
        <v>0</v>
      </c>
      <c r="V381" s="23">
        <f t="shared" si="5"/>
        <v>0</v>
      </c>
      <c r="W381" s="24" t="str">
        <f t="shared" si="6"/>
        <v>#DIV/0!</v>
      </c>
    </row>
    <row r="382">
      <c r="A382" s="15" t="s">
        <v>4613</v>
      </c>
      <c r="B382" s="15" t="s">
        <v>4614</v>
      </c>
      <c r="C382" s="15" t="s">
        <v>6609</v>
      </c>
      <c r="D382" s="18"/>
      <c r="E382" s="17" t="s">
        <v>8193</v>
      </c>
      <c r="F382" s="18"/>
      <c r="G382" s="18"/>
      <c r="H382" s="15" t="s">
        <v>4616</v>
      </c>
      <c r="I382" s="18"/>
      <c r="J382" s="19" t="s">
        <v>702</v>
      </c>
      <c r="K382" s="19" t="s">
        <v>1444</v>
      </c>
      <c r="L382" s="19" t="s">
        <v>38</v>
      </c>
      <c r="M382" s="20">
        <f t="shared" si="2"/>
        <v>0</v>
      </c>
      <c r="N382" s="22"/>
      <c r="O382" s="19" t="s">
        <v>3578</v>
      </c>
      <c r="P382" s="18"/>
      <c r="Q382" s="18"/>
      <c r="R382" s="23">
        <v>0.0</v>
      </c>
      <c r="S382" s="23">
        <v>0.0</v>
      </c>
      <c r="T382" s="23">
        <f t="shared" si="3"/>
        <v>0</v>
      </c>
      <c r="U382" s="23">
        <f t="shared" si="4"/>
        <v>0</v>
      </c>
      <c r="V382" s="23">
        <f t="shared" si="5"/>
        <v>0</v>
      </c>
      <c r="W382" s="24" t="str">
        <f t="shared" si="6"/>
        <v>#DIV/0!</v>
      </c>
    </row>
    <row r="383">
      <c r="A383" s="15" t="s">
        <v>4618</v>
      </c>
      <c r="B383" s="15" t="s">
        <v>4619</v>
      </c>
      <c r="C383" s="15" t="s">
        <v>6611</v>
      </c>
      <c r="D383" s="15" t="s">
        <v>4620</v>
      </c>
      <c r="E383" s="17" t="s">
        <v>4621</v>
      </c>
      <c r="F383" s="18"/>
      <c r="G383" s="18"/>
      <c r="H383" s="15" t="s">
        <v>4622</v>
      </c>
      <c r="I383" s="18"/>
      <c r="J383" s="19" t="s">
        <v>702</v>
      </c>
      <c r="K383" s="19" t="s">
        <v>1444</v>
      </c>
      <c r="L383" s="19" t="s">
        <v>38</v>
      </c>
      <c r="M383" s="20">
        <f t="shared" si="2"/>
        <v>0</v>
      </c>
      <c r="N383" s="22"/>
      <c r="O383" s="19" t="s">
        <v>3578</v>
      </c>
      <c r="P383" s="18"/>
      <c r="Q383" s="18"/>
      <c r="R383" s="23">
        <v>0.0</v>
      </c>
      <c r="S383" s="23">
        <v>0.0</v>
      </c>
      <c r="T383" s="23">
        <f t="shared" si="3"/>
        <v>0</v>
      </c>
      <c r="U383" s="23">
        <f t="shared" si="4"/>
        <v>0</v>
      </c>
      <c r="V383" s="23">
        <f t="shared" si="5"/>
        <v>0</v>
      </c>
      <c r="W383" s="24" t="str">
        <f t="shared" si="6"/>
        <v>#DIV/0!</v>
      </c>
    </row>
    <row r="384">
      <c r="A384" s="15" t="s">
        <v>4623</v>
      </c>
      <c r="B384" s="15" t="s">
        <v>4536</v>
      </c>
      <c r="C384" s="15" t="s">
        <v>6613</v>
      </c>
      <c r="D384" s="18"/>
      <c r="E384" s="17" t="s">
        <v>4624</v>
      </c>
      <c r="F384" s="18"/>
      <c r="G384" s="18"/>
      <c r="H384" s="15" t="s">
        <v>4625</v>
      </c>
      <c r="I384" s="18"/>
      <c r="J384" s="19" t="s">
        <v>702</v>
      </c>
      <c r="K384" s="19" t="s">
        <v>52</v>
      </c>
      <c r="L384" s="19" t="s">
        <v>703</v>
      </c>
      <c r="M384" s="20">
        <f t="shared" si="2"/>
        <v>0</v>
      </c>
      <c r="N384" s="22"/>
      <c r="O384" s="19" t="s">
        <v>3578</v>
      </c>
      <c r="P384" s="18"/>
      <c r="Q384" s="18"/>
      <c r="R384" s="23">
        <v>0.0</v>
      </c>
      <c r="S384" s="23">
        <v>0.0</v>
      </c>
      <c r="T384" s="23">
        <f t="shared" si="3"/>
        <v>0</v>
      </c>
      <c r="U384" s="23">
        <f t="shared" si="4"/>
        <v>0</v>
      </c>
      <c r="V384" s="23">
        <f t="shared" si="5"/>
        <v>0</v>
      </c>
      <c r="W384" s="24" t="str">
        <f t="shared" si="6"/>
        <v>#DIV/0!</v>
      </c>
    </row>
    <row r="385">
      <c r="A385" s="15" t="s">
        <v>4626</v>
      </c>
      <c r="B385" s="18"/>
      <c r="C385" s="15" t="s">
        <v>6614</v>
      </c>
      <c r="D385" s="18"/>
      <c r="E385" s="17" t="s">
        <v>4627</v>
      </c>
      <c r="F385" s="18"/>
      <c r="G385" s="18"/>
      <c r="H385" s="15" t="s">
        <v>4628</v>
      </c>
      <c r="I385" s="18"/>
      <c r="J385" s="19" t="s">
        <v>702</v>
      </c>
      <c r="K385" s="19" t="s">
        <v>1269</v>
      </c>
      <c r="L385" s="19" t="s">
        <v>38</v>
      </c>
      <c r="M385" s="20">
        <f t="shared" si="2"/>
        <v>0</v>
      </c>
      <c r="N385" s="22"/>
      <c r="O385" s="19" t="s">
        <v>3578</v>
      </c>
      <c r="P385" s="18"/>
      <c r="Q385" s="18"/>
      <c r="R385" s="23">
        <v>0.0</v>
      </c>
      <c r="S385" s="23">
        <v>0.0</v>
      </c>
      <c r="T385" s="23">
        <f t="shared" si="3"/>
        <v>0</v>
      </c>
      <c r="U385" s="23">
        <f t="shared" si="4"/>
        <v>0</v>
      </c>
      <c r="V385" s="23">
        <f t="shared" si="5"/>
        <v>0</v>
      </c>
      <c r="W385" s="24" t="str">
        <f t="shared" si="6"/>
        <v>#DIV/0!</v>
      </c>
    </row>
    <row r="386">
      <c r="A386" s="15" t="s">
        <v>4629</v>
      </c>
      <c r="B386" s="18"/>
      <c r="C386" s="15" t="s">
        <v>6616</v>
      </c>
      <c r="D386" s="18"/>
      <c r="E386" s="17" t="s">
        <v>4630</v>
      </c>
      <c r="F386" s="18"/>
      <c r="G386" s="18"/>
      <c r="H386" s="15" t="s">
        <v>4631</v>
      </c>
      <c r="I386" s="18"/>
      <c r="J386" s="19" t="s">
        <v>702</v>
      </c>
      <c r="K386" s="19" t="s">
        <v>1269</v>
      </c>
      <c r="L386" s="19" t="s">
        <v>38</v>
      </c>
      <c r="M386" s="20">
        <f t="shared" si="2"/>
        <v>0</v>
      </c>
      <c r="N386" s="22"/>
      <c r="O386" s="19" t="s">
        <v>3578</v>
      </c>
      <c r="P386" s="18"/>
      <c r="Q386" s="18"/>
      <c r="R386" s="23">
        <v>0.0</v>
      </c>
      <c r="S386" s="23">
        <v>0.0</v>
      </c>
      <c r="T386" s="23">
        <f t="shared" si="3"/>
        <v>0</v>
      </c>
      <c r="U386" s="23">
        <f t="shared" si="4"/>
        <v>0</v>
      </c>
      <c r="V386" s="23">
        <f t="shared" si="5"/>
        <v>0</v>
      </c>
      <c r="W386" s="24" t="str">
        <f t="shared" si="6"/>
        <v>#DIV/0!</v>
      </c>
    </row>
    <row r="387">
      <c r="A387" s="15" t="s">
        <v>1482</v>
      </c>
      <c r="B387" s="18"/>
      <c r="C387" s="15" t="s">
        <v>6618</v>
      </c>
      <c r="D387" s="18"/>
      <c r="E387" s="17" t="s">
        <v>1483</v>
      </c>
      <c r="F387" s="18"/>
      <c r="G387" s="18"/>
      <c r="H387" s="15" t="s">
        <v>1484</v>
      </c>
      <c r="I387" s="18"/>
      <c r="J387" s="19" t="s">
        <v>702</v>
      </c>
      <c r="K387" s="19" t="s">
        <v>603</v>
      </c>
      <c r="L387" s="19" t="s">
        <v>38</v>
      </c>
      <c r="M387" s="20">
        <f t="shared" si="2"/>
        <v>0</v>
      </c>
      <c r="N387" s="22"/>
      <c r="O387" s="19" t="s">
        <v>1145</v>
      </c>
      <c r="P387" s="18"/>
      <c r="Q387" s="18"/>
      <c r="R387" s="23">
        <v>0.0</v>
      </c>
      <c r="S387" s="23">
        <v>0.0</v>
      </c>
      <c r="T387" s="23">
        <f t="shared" si="3"/>
        <v>0</v>
      </c>
      <c r="U387" s="23">
        <f t="shared" si="4"/>
        <v>0</v>
      </c>
      <c r="V387" s="23">
        <f t="shared" si="5"/>
        <v>0</v>
      </c>
      <c r="W387" s="24" t="str">
        <f t="shared" si="6"/>
        <v>#DIV/0!</v>
      </c>
    </row>
    <row r="388">
      <c r="A388" s="15" t="s">
        <v>4632</v>
      </c>
      <c r="B388" s="18"/>
      <c r="C388" s="15" t="s">
        <v>6619</v>
      </c>
      <c r="D388" s="18"/>
      <c r="E388" s="17" t="s">
        <v>6620</v>
      </c>
      <c r="F388" s="18"/>
      <c r="G388" s="18"/>
      <c r="H388" s="15" t="s">
        <v>4635</v>
      </c>
      <c r="I388" s="18"/>
      <c r="J388" s="19" t="s">
        <v>702</v>
      </c>
      <c r="K388" s="19" t="s">
        <v>603</v>
      </c>
      <c r="L388" s="19" t="s">
        <v>38</v>
      </c>
      <c r="M388" s="20">
        <f t="shared" si="2"/>
        <v>0</v>
      </c>
      <c r="N388" s="22"/>
      <c r="O388" s="19" t="s">
        <v>1145</v>
      </c>
      <c r="P388" s="18"/>
      <c r="Q388" s="18"/>
      <c r="R388" s="23">
        <v>0.0</v>
      </c>
      <c r="S388" s="23">
        <v>0.0</v>
      </c>
      <c r="T388" s="23">
        <f t="shared" si="3"/>
        <v>0</v>
      </c>
      <c r="U388" s="23">
        <f t="shared" si="4"/>
        <v>0</v>
      </c>
      <c r="V388" s="23">
        <f t="shared" si="5"/>
        <v>0</v>
      </c>
      <c r="W388" s="24" t="str">
        <f t="shared" si="6"/>
        <v>#DIV/0!</v>
      </c>
    </row>
    <row r="389">
      <c r="A389" s="15" t="s">
        <v>4636</v>
      </c>
      <c r="B389" s="18"/>
      <c r="C389" s="15" t="s">
        <v>6621</v>
      </c>
      <c r="D389" s="18"/>
      <c r="E389" s="17" t="s">
        <v>6622</v>
      </c>
      <c r="F389" s="18"/>
      <c r="G389" s="18"/>
      <c r="H389" s="15" t="s">
        <v>4638</v>
      </c>
      <c r="I389" s="18"/>
      <c r="J389" s="19" t="s">
        <v>702</v>
      </c>
      <c r="K389" s="19" t="s">
        <v>1431</v>
      </c>
      <c r="L389" s="19" t="s">
        <v>38</v>
      </c>
      <c r="M389" s="20">
        <f t="shared" si="2"/>
        <v>0</v>
      </c>
      <c r="N389" s="22"/>
      <c r="O389" s="19" t="s">
        <v>1145</v>
      </c>
      <c r="P389" s="18"/>
      <c r="Q389" s="18"/>
      <c r="R389" s="23">
        <v>0.0</v>
      </c>
      <c r="S389" s="23">
        <v>0.0</v>
      </c>
      <c r="T389" s="23">
        <f t="shared" si="3"/>
        <v>0</v>
      </c>
      <c r="U389" s="23">
        <f t="shared" si="4"/>
        <v>0</v>
      </c>
      <c r="V389" s="23">
        <f t="shared" si="5"/>
        <v>0</v>
      </c>
      <c r="W389" s="24" t="str">
        <f t="shared" si="6"/>
        <v>#DIV/0!</v>
      </c>
    </row>
    <row r="390">
      <c r="A390" s="15" t="s">
        <v>4639</v>
      </c>
      <c r="B390" s="18"/>
      <c r="C390" s="15" t="s">
        <v>6623</v>
      </c>
      <c r="D390" s="18"/>
      <c r="E390" s="17" t="s">
        <v>6624</v>
      </c>
      <c r="F390" s="18"/>
      <c r="G390" s="18"/>
      <c r="H390" s="15" t="s">
        <v>6625</v>
      </c>
      <c r="I390" s="18"/>
      <c r="J390" s="19" t="s">
        <v>702</v>
      </c>
      <c r="K390" s="19" t="s">
        <v>1431</v>
      </c>
      <c r="L390" s="19" t="s">
        <v>38</v>
      </c>
      <c r="M390" s="20">
        <f t="shared" si="2"/>
        <v>0</v>
      </c>
      <c r="N390" s="22"/>
      <c r="O390" s="19" t="s">
        <v>1145</v>
      </c>
      <c r="P390" s="18"/>
      <c r="Q390" s="18"/>
      <c r="R390" s="23">
        <v>0.0</v>
      </c>
      <c r="S390" s="23">
        <v>0.0</v>
      </c>
      <c r="T390" s="23">
        <f t="shared" si="3"/>
        <v>0</v>
      </c>
      <c r="U390" s="23">
        <f t="shared" si="4"/>
        <v>0</v>
      </c>
      <c r="V390" s="23">
        <f t="shared" si="5"/>
        <v>0</v>
      </c>
      <c r="W390" s="24" t="str">
        <f t="shared" si="6"/>
        <v>#DIV/0!</v>
      </c>
    </row>
    <row r="391">
      <c r="A391" s="15" t="s">
        <v>4642</v>
      </c>
      <c r="B391" s="18"/>
      <c r="C391" s="15" t="s">
        <v>6626</v>
      </c>
      <c r="D391" s="18"/>
      <c r="E391" s="17" t="s">
        <v>6627</v>
      </c>
      <c r="F391" s="18"/>
      <c r="G391" s="18"/>
      <c r="H391" s="15" t="s">
        <v>1441</v>
      </c>
      <c r="I391" s="18"/>
      <c r="J391" s="19" t="s">
        <v>702</v>
      </c>
      <c r="K391" s="19" t="s">
        <v>1431</v>
      </c>
      <c r="L391" s="19" t="s">
        <v>38</v>
      </c>
      <c r="M391" s="20">
        <f t="shared" si="2"/>
        <v>0</v>
      </c>
      <c r="N391" s="22"/>
      <c r="O391" s="19" t="s">
        <v>1145</v>
      </c>
      <c r="P391" s="18"/>
      <c r="Q391" s="18"/>
      <c r="R391" s="23">
        <v>0.0</v>
      </c>
      <c r="S391" s="23">
        <v>0.0</v>
      </c>
      <c r="T391" s="23">
        <f t="shared" si="3"/>
        <v>0</v>
      </c>
      <c r="U391" s="23">
        <f t="shared" si="4"/>
        <v>0</v>
      </c>
      <c r="V391" s="23">
        <f t="shared" si="5"/>
        <v>0</v>
      </c>
      <c r="W391" s="24" t="str">
        <f t="shared" si="6"/>
        <v>#DIV/0!</v>
      </c>
    </row>
    <row r="392">
      <c r="A392" s="15" t="s">
        <v>1485</v>
      </c>
      <c r="B392" s="18"/>
      <c r="C392" s="15" t="s">
        <v>6628</v>
      </c>
      <c r="D392" s="18"/>
      <c r="E392" s="17" t="s">
        <v>1486</v>
      </c>
      <c r="F392" s="18"/>
      <c r="G392" s="18"/>
      <c r="H392" s="15" t="s">
        <v>1487</v>
      </c>
      <c r="I392" s="18"/>
      <c r="J392" s="19" t="s">
        <v>702</v>
      </c>
      <c r="K392" s="19" t="s">
        <v>1431</v>
      </c>
      <c r="L392" s="19" t="s">
        <v>38</v>
      </c>
      <c r="M392" s="20">
        <f t="shared" si="2"/>
        <v>0</v>
      </c>
      <c r="N392" s="22"/>
      <c r="O392" s="19" t="s">
        <v>1145</v>
      </c>
      <c r="P392" s="18"/>
      <c r="Q392" s="18"/>
      <c r="R392" s="23">
        <v>0.0</v>
      </c>
      <c r="S392" s="23">
        <v>0.0</v>
      </c>
      <c r="T392" s="23">
        <f t="shared" si="3"/>
        <v>0</v>
      </c>
      <c r="U392" s="23">
        <f t="shared" si="4"/>
        <v>0</v>
      </c>
      <c r="V392" s="23">
        <f t="shared" si="5"/>
        <v>0</v>
      </c>
      <c r="W392" s="24" t="str">
        <f t="shared" si="6"/>
        <v>#DIV/0!</v>
      </c>
    </row>
    <row r="393">
      <c r="A393" s="15" t="s">
        <v>1488</v>
      </c>
      <c r="B393" s="18"/>
      <c r="C393" s="15" t="s">
        <v>6629</v>
      </c>
      <c r="D393" s="18"/>
      <c r="E393" s="17" t="s">
        <v>1489</v>
      </c>
      <c r="F393" s="18"/>
      <c r="G393" s="18"/>
      <c r="H393" s="15" t="s">
        <v>1490</v>
      </c>
      <c r="I393" s="18"/>
      <c r="J393" s="19" t="s">
        <v>702</v>
      </c>
      <c r="K393" s="19" t="s">
        <v>603</v>
      </c>
      <c r="L393" s="19" t="s">
        <v>38</v>
      </c>
      <c r="M393" s="20">
        <f t="shared" si="2"/>
        <v>0</v>
      </c>
      <c r="N393" s="22"/>
      <c r="O393" s="19" t="s">
        <v>1145</v>
      </c>
      <c r="P393" s="18"/>
      <c r="Q393" s="18"/>
      <c r="R393" s="23">
        <v>0.0</v>
      </c>
      <c r="S393" s="23">
        <v>0.0</v>
      </c>
      <c r="T393" s="23">
        <f t="shared" si="3"/>
        <v>0</v>
      </c>
      <c r="U393" s="23">
        <f t="shared" si="4"/>
        <v>0</v>
      </c>
      <c r="V393" s="23">
        <f t="shared" si="5"/>
        <v>0</v>
      </c>
      <c r="W393" s="24" t="str">
        <f t="shared" si="6"/>
        <v>#DIV/0!</v>
      </c>
    </row>
    <row r="394">
      <c r="A394" s="15" t="s">
        <v>1491</v>
      </c>
      <c r="B394" s="18"/>
      <c r="C394" s="15" t="s">
        <v>6630</v>
      </c>
      <c r="D394" s="18"/>
      <c r="E394" s="17" t="s">
        <v>1492</v>
      </c>
      <c r="F394" s="18"/>
      <c r="G394" s="18"/>
      <c r="H394" s="15" t="s">
        <v>1493</v>
      </c>
      <c r="I394" s="18"/>
      <c r="J394" s="19" t="s">
        <v>702</v>
      </c>
      <c r="K394" s="19" t="s">
        <v>603</v>
      </c>
      <c r="L394" s="19" t="s">
        <v>38</v>
      </c>
      <c r="M394" s="20">
        <f t="shared" si="2"/>
        <v>0</v>
      </c>
      <c r="N394" s="22"/>
      <c r="O394" s="19" t="s">
        <v>1145</v>
      </c>
      <c r="P394" s="18"/>
      <c r="Q394" s="18"/>
      <c r="R394" s="23">
        <v>0.0</v>
      </c>
      <c r="S394" s="23">
        <v>0.0</v>
      </c>
      <c r="T394" s="23">
        <f t="shared" si="3"/>
        <v>0</v>
      </c>
      <c r="U394" s="23">
        <f t="shared" si="4"/>
        <v>0</v>
      </c>
      <c r="V394" s="23">
        <f t="shared" si="5"/>
        <v>0</v>
      </c>
      <c r="W394" s="24" t="str">
        <f t="shared" si="6"/>
        <v>#DIV/0!</v>
      </c>
    </row>
    <row r="395">
      <c r="A395" s="15" t="s">
        <v>6631</v>
      </c>
      <c r="B395" s="18"/>
      <c r="C395" s="15" t="s">
        <v>6119</v>
      </c>
      <c r="D395" s="18"/>
      <c r="E395" s="17" t="s">
        <v>6632</v>
      </c>
      <c r="F395" s="18"/>
      <c r="G395" s="18"/>
      <c r="H395" s="15" t="s">
        <v>1068</v>
      </c>
      <c r="I395" s="18"/>
      <c r="J395" s="19" t="s">
        <v>104</v>
      </c>
      <c r="K395" s="19" t="s">
        <v>105</v>
      </c>
      <c r="L395" s="19" t="s">
        <v>38</v>
      </c>
      <c r="M395" s="20">
        <f t="shared" si="2"/>
        <v>0</v>
      </c>
      <c r="N395" s="22"/>
      <c r="O395" s="19" t="s">
        <v>1145</v>
      </c>
      <c r="P395" s="18"/>
      <c r="Q395" s="18"/>
      <c r="R395" s="23">
        <v>0.0</v>
      </c>
      <c r="S395" s="23">
        <v>0.0</v>
      </c>
      <c r="T395" s="23">
        <f t="shared" si="3"/>
        <v>0</v>
      </c>
      <c r="U395" s="23">
        <f t="shared" si="4"/>
        <v>0</v>
      </c>
      <c r="V395" s="23">
        <f t="shared" si="5"/>
        <v>0</v>
      </c>
      <c r="W395" s="24" t="str">
        <f t="shared" si="6"/>
        <v>#DIV/0!</v>
      </c>
    </row>
    <row r="396">
      <c r="A396" s="15" t="s">
        <v>1494</v>
      </c>
      <c r="B396" s="18"/>
      <c r="C396" s="15" t="s">
        <v>6633</v>
      </c>
      <c r="D396" s="18"/>
      <c r="E396" s="17" t="s">
        <v>1495</v>
      </c>
      <c r="F396" s="18"/>
      <c r="G396" s="18"/>
      <c r="H396" s="15" t="s">
        <v>1496</v>
      </c>
      <c r="I396" s="18"/>
      <c r="J396" s="19" t="s">
        <v>104</v>
      </c>
      <c r="K396" s="19" t="s">
        <v>105</v>
      </c>
      <c r="L396" s="19" t="s">
        <v>38</v>
      </c>
      <c r="M396" s="20">
        <f t="shared" si="2"/>
        <v>0</v>
      </c>
      <c r="N396" s="22"/>
      <c r="O396" s="19" t="s">
        <v>1145</v>
      </c>
      <c r="P396" s="18"/>
      <c r="Q396" s="18"/>
      <c r="R396" s="23">
        <v>0.0</v>
      </c>
      <c r="S396" s="23">
        <v>0.0</v>
      </c>
      <c r="T396" s="23">
        <f t="shared" si="3"/>
        <v>0</v>
      </c>
      <c r="U396" s="23">
        <f t="shared" si="4"/>
        <v>0</v>
      </c>
      <c r="V396" s="23">
        <f t="shared" si="5"/>
        <v>0</v>
      </c>
      <c r="W396" s="24" t="str">
        <f t="shared" si="6"/>
        <v>#DIV/0!</v>
      </c>
    </row>
    <row r="397">
      <c r="A397" s="15" t="s">
        <v>4645</v>
      </c>
      <c r="B397" s="18"/>
      <c r="C397" s="15" t="s">
        <v>6634</v>
      </c>
      <c r="D397" s="18"/>
      <c r="E397" s="17" t="s">
        <v>4646</v>
      </c>
      <c r="F397" s="18"/>
      <c r="G397" s="18"/>
      <c r="H397" s="15" t="s">
        <v>4647</v>
      </c>
      <c r="I397" s="18"/>
      <c r="J397" s="19" t="s">
        <v>104</v>
      </c>
      <c r="K397" s="19" t="s">
        <v>105</v>
      </c>
      <c r="L397" s="19" t="s">
        <v>38</v>
      </c>
      <c r="M397" s="20">
        <f t="shared" si="2"/>
        <v>0</v>
      </c>
      <c r="N397" s="22"/>
      <c r="O397" s="19" t="s">
        <v>1145</v>
      </c>
      <c r="P397" s="18"/>
      <c r="Q397" s="18"/>
      <c r="R397" s="23">
        <v>0.0</v>
      </c>
      <c r="S397" s="23">
        <v>0.0</v>
      </c>
      <c r="T397" s="23">
        <f t="shared" si="3"/>
        <v>0</v>
      </c>
      <c r="U397" s="23">
        <f t="shared" si="4"/>
        <v>0</v>
      </c>
      <c r="V397" s="23">
        <f t="shared" si="5"/>
        <v>0</v>
      </c>
      <c r="W397" s="24" t="str">
        <f t="shared" si="6"/>
        <v>#DIV/0!</v>
      </c>
    </row>
    <row r="398">
      <c r="A398" s="15" t="s">
        <v>4648</v>
      </c>
      <c r="B398" s="18"/>
      <c r="C398" s="15" t="s">
        <v>6635</v>
      </c>
      <c r="D398" s="18"/>
      <c r="E398" s="17" t="s">
        <v>4649</v>
      </c>
      <c r="F398" s="18"/>
      <c r="G398" s="18"/>
      <c r="H398" s="15" t="s">
        <v>4650</v>
      </c>
      <c r="I398" s="18"/>
      <c r="J398" s="19" t="s">
        <v>104</v>
      </c>
      <c r="K398" s="19" t="s">
        <v>105</v>
      </c>
      <c r="L398" s="19" t="s">
        <v>38</v>
      </c>
      <c r="M398" s="20">
        <f t="shared" si="2"/>
        <v>0</v>
      </c>
      <c r="N398" s="22"/>
      <c r="O398" s="19" t="s">
        <v>1145</v>
      </c>
      <c r="P398" s="18"/>
      <c r="Q398" s="18"/>
      <c r="R398" s="23">
        <v>0.0</v>
      </c>
      <c r="S398" s="23">
        <v>0.0</v>
      </c>
      <c r="T398" s="23">
        <f t="shared" si="3"/>
        <v>0</v>
      </c>
      <c r="U398" s="23">
        <f t="shared" si="4"/>
        <v>0</v>
      </c>
      <c r="V398" s="23">
        <f t="shared" si="5"/>
        <v>0</v>
      </c>
      <c r="W398" s="24" t="str">
        <f t="shared" si="6"/>
        <v>#DIV/0!</v>
      </c>
    </row>
    <row r="399">
      <c r="A399" s="15" t="s">
        <v>1497</v>
      </c>
      <c r="B399" s="18"/>
      <c r="C399" s="15" t="s">
        <v>6636</v>
      </c>
      <c r="D399" s="18"/>
      <c r="E399" s="17" t="s">
        <v>1498</v>
      </c>
      <c r="F399" s="18"/>
      <c r="G399" s="18"/>
      <c r="H399" s="15" t="s">
        <v>1499</v>
      </c>
      <c r="I399" s="18"/>
      <c r="J399" s="19" t="s">
        <v>104</v>
      </c>
      <c r="K399" s="19" t="s">
        <v>105</v>
      </c>
      <c r="L399" s="19" t="s">
        <v>38</v>
      </c>
      <c r="M399" s="20">
        <f t="shared" si="2"/>
        <v>0</v>
      </c>
      <c r="N399" s="22"/>
      <c r="O399" s="19" t="s">
        <v>1145</v>
      </c>
      <c r="P399" s="18"/>
      <c r="Q399" s="18"/>
      <c r="R399" s="23">
        <v>0.0</v>
      </c>
      <c r="S399" s="23">
        <v>0.0</v>
      </c>
      <c r="T399" s="23">
        <f t="shared" si="3"/>
        <v>0</v>
      </c>
      <c r="U399" s="23">
        <f t="shared" si="4"/>
        <v>0</v>
      </c>
      <c r="V399" s="23">
        <f t="shared" si="5"/>
        <v>0</v>
      </c>
      <c r="W399" s="24" t="str">
        <f t="shared" si="6"/>
        <v>#DIV/0!</v>
      </c>
    </row>
    <row r="400">
      <c r="A400" s="15" t="s">
        <v>1500</v>
      </c>
      <c r="B400" s="18"/>
      <c r="C400" s="15" t="s">
        <v>6637</v>
      </c>
      <c r="D400" s="18"/>
      <c r="E400" s="17" t="s">
        <v>1501</v>
      </c>
      <c r="F400" s="18"/>
      <c r="G400" s="18"/>
      <c r="H400" s="15" t="s">
        <v>1502</v>
      </c>
      <c r="I400" s="18"/>
      <c r="J400" s="19" t="s">
        <v>104</v>
      </c>
      <c r="K400" s="19" t="s">
        <v>105</v>
      </c>
      <c r="L400" s="19" t="s">
        <v>38</v>
      </c>
      <c r="M400" s="20">
        <f t="shared" si="2"/>
        <v>0</v>
      </c>
      <c r="N400" s="22"/>
      <c r="O400" s="19" t="s">
        <v>1145</v>
      </c>
      <c r="P400" s="18"/>
      <c r="Q400" s="18"/>
      <c r="R400" s="23">
        <v>0.0</v>
      </c>
      <c r="S400" s="23">
        <v>0.0</v>
      </c>
      <c r="T400" s="23">
        <f t="shared" si="3"/>
        <v>0</v>
      </c>
      <c r="U400" s="23">
        <f t="shared" si="4"/>
        <v>0</v>
      </c>
      <c r="V400" s="23">
        <f t="shared" si="5"/>
        <v>0</v>
      </c>
      <c r="W400" s="24" t="str">
        <f t="shared" si="6"/>
        <v>#DIV/0!</v>
      </c>
    </row>
    <row r="401">
      <c r="A401" s="15" t="s">
        <v>4651</v>
      </c>
      <c r="B401" s="15" t="s">
        <v>4652</v>
      </c>
      <c r="C401" s="15" t="s">
        <v>6638</v>
      </c>
      <c r="D401" s="18"/>
      <c r="E401" s="17" t="s">
        <v>6639</v>
      </c>
      <c r="F401" s="18"/>
      <c r="G401" s="18"/>
      <c r="H401" s="15" t="s">
        <v>3017</v>
      </c>
      <c r="I401" s="18"/>
      <c r="J401" s="19" t="s">
        <v>104</v>
      </c>
      <c r="K401" s="19" t="s">
        <v>105</v>
      </c>
      <c r="L401" s="19" t="s">
        <v>38</v>
      </c>
      <c r="M401" s="20">
        <f t="shared" si="2"/>
        <v>0</v>
      </c>
      <c r="N401" s="22"/>
      <c r="O401" s="19" t="s">
        <v>1145</v>
      </c>
      <c r="P401" s="18"/>
      <c r="Q401" s="18"/>
      <c r="R401" s="23">
        <v>0.0</v>
      </c>
      <c r="S401" s="23">
        <v>0.0</v>
      </c>
      <c r="T401" s="23">
        <f t="shared" si="3"/>
        <v>0</v>
      </c>
      <c r="U401" s="23">
        <f t="shared" si="4"/>
        <v>0</v>
      </c>
      <c r="V401" s="23">
        <f t="shared" si="5"/>
        <v>0</v>
      </c>
      <c r="W401" s="24" t="str">
        <f t="shared" si="6"/>
        <v>#DIV/0!</v>
      </c>
    </row>
    <row r="402">
      <c r="A402" s="15" t="s">
        <v>6640</v>
      </c>
      <c r="B402" s="18"/>
      <c r="C402" s="15" t="s">
        <v>6641</v>
      </c>
      <c r="D402" s="18"/>
      <c r="E402" s="17" t="s">
        <v>1007</v>
      </c>
      <c r="F402" s="18"/>
      <c r="G402" s="18"/>
      <c r="H402" s="15" t="s">
        <v>3017</v>
      </c>
      <c r="I402" s="18"/>
      <c r="J402" s="19" t="s">
        <v>104</v>
      </c>
      <c r="K402" s="19" t="s">
        <v>105</v>
      </c>
      <c r="L402" s="19" t="s">
        <v>38</v>
      </c>
      <c r="M402" s="20">
        <f t="shared" si="2"/>
        <v>0</v>
      </c>
      <c r="N402" s="22"/>
      <c r="O402" s="19" t="s">
        <v>1145</v>
      </c>
      <c r="P402" s="18"/>
      <c r="Q402" s="18"/>
      <c r="R402" s="23">
        <v>0.0</v>
      </c>
      <c r="S402" s="23">
        <v>0.0</v>
      </c>
      <c r="T402" s="23">
        <f t="shared" si="3"/>
        <v>0</v>
      </c>
      <c r="U402" s="23">
        <f t="shared" si="4"/>
        <v>0</v>
      </c>
      <c r="V402" s="23">
        <f t="shared" si="5"/>
        <v>0</v>
      </c>
      <c r="W402" s="24" t="str">
        <f t="shared" si="6"/>
        <v>#DIV/0!</v>
      </c>
    </row>
    <row r="403">
      <c r="A403" s="15" t="s">
        <v>1129</v>
      </c>
      <c r="B403" s="15" t="s">
        <v>1130</v>
      </c>
      <c r="C403" s="15" t="s">
        <v>1131</v>
      </c>
      <c r="D403" s="15" t="s">
        <v>1132</v>
      </c>
      <c r="E403" s="17" t="s">
        <v>1133</v>
      </c>
      <c r="F403" s="18"/>
      <c r="G403" s="15" t="s">
        <v>1007</v>
      </c>
      <c r="H403" s="15" t="s">
        <v>1134</v>
      </c>
      <c r="I403" s="18"/>
      <c r="J403" s="19" t="s">
        <v>104</v>
      </c>
      <c r="K403" s="19" t="s">
        <v>160</v>
      </c>
      <c r="L403" s="19" t="s">
        <v>106</v>
      </c>
      <c r="M403" s="20">
        <f t="shared" si="2"/>
        <v>1687.2</v>
      </c>
      <c r="N403" s="31">
        <v>30.0</v>
      </c>
      <c r="O403" s="19" t="s">
        <v>107</v>
      </c>
      <c r="P403" s="18"/>
      <c r="Q403" s="18"/>
      <c r="R403" s="23">
        <v>38.0</v>
      </c>
      <c r="S403" s="23">
        <v>95.0</v>
      </c>
      <c r="T403" s="23">
        <f t="shared" si="3"/>
        <v>91.2</v>
      </c>
      <c r="U403" s="23">
        <f t="shared" si="4"/>
        <v>46.55</v>
      </c>
      <c r="V403" s="23">
        <f t="shared" si="5"/>
        <v>872.8125</v>
      </c>
      <c r="W403" s="24">
        <f t="shared" si="6"/>
        <v>2.4</v>
      </c>
    </row>
    <row r="404">
      <c r="A404" s="15" t="s">
        <v>1110</v>
      </c>
      <c r="B404" s="15" t="s">
        <v>1111</v>
      </c>
      <c r="C404" s="15" t="s">
        <v>1112</v>
      </c>
      <c r="D404" s="15" t="s">
        <v>1113</v>
      </c>
      <c r="E404" s="17" t="s">
        <v>1114</v>
      </c>
      <c r="F404" s="18"/>
      <c r="G404" s="15" t="s">
        <v>1115</v>
      </c>
      <c r="H404" s="15" t="s">
        <v>1116</v>
      </c>
      <c r="I404" s="18"/>
      <c r="J404" s="19" t="s">
        <v>104</v>
      </c>
      <c r="K404" s="19" t="s">
        <v>160</v>
      </c>
      <c r="L404" s="19" t="s">
        <v>106</v>
      </c>
      <c r="M404" s="20">
        <f t="shared" si="2"/>
        <v>1154.4</v>
      </c>
      <c r="N404" s="31">
        <v>10.0</v>
      </c>
      <c r="O404" s="19" t="s">
        <v>107</v>
      </c>
      <c r="P404" s="18"/>
      <c r="Q404" s="18"/>
      <c r="R404" s="23">
        <v>25.0</v>
      </c>
      <c r="S404" s="23">
        <v>65.0</v>
      </c>
      <c r="T404" s="23">
        <f t="shared" si="3"/>
        <v>62.4</v>
      </c>
      <c r="U404" s="23">
        <f t="shared" si="4"/>
        <v>30.625</v>
      </c>
      <c r="V404" s="23">
        <f t="shared" si="5"/>
        <v>574.21875</v>
      </c>
      <c r="W404" s="24">
        <f t="shared" si="6"/>
        <v>2.496</v>
      </c>
    </row>
    <row r="405">
      <c r="A405" s="15" t="s">
        <v>1503</v>
      </c>
      <c r="B405" s="18"/>
      <c r="C405" s="15" t="s">
        <v>6642</v>
      </c>
      <c r="D405" s="18"/>
      <c r="E405" s="17" t="s">
        <v>1504</v>
      </c>
      <c r="F405" s="18"/>
      <c r="G405" s="18"/>
      <c r="H405" s="15" t="s">
        <v>1505</v>
      </c>
      <c r="I405" s="18"/>
      <c r="J405" s="19" t="s">
        <v>104</v>
      </c>
      <c r="K405" s="19" t="s">
        <v>105</v>
      </c>
      <c r="L405" s="19" t="s">
        <v>38</v>
      </c>
      <c r="M405" s="20">
        <f t="shared" si="2"/>
        <v>0</v>
      </c>
      <c r="N405" s="22"/>
      <c r="O405" s="19" t="s">
        <v>1145</v>
      </c>
      <c r="P405" s="18"/>
      <c r="Q405" s="18"/>
      <c r="R405" s="23">
        <v>0.0</v>
      </c>
      <c r="S405" s="23">
        <v>0.0</v>
      </c>
      <c r="T405" s="23">
        <f t="shared" si="3"/>
        <v>0</v>
      </c>
      <c r="U405" s="23">
        <f t="shared" si="4"/>
        <v>0</v>
      </c>
      <c r="V405" s="23">
        <f t="shared" si="5"/>
        <v>0</v>
      </c>
      <c r="W405" s="24" t="str">
        <f t="shared" si="6"/>
        <v>#DIV/0!</v>
      </c>
    </row>
    <row r="406">
      <c r="A406" s="15" t="s">
        <v>1506</v>
      </c>
      <c r="B406" s="18"/>
      <c r="C406" s="15" t="s">
        <v>6643</v>
      </c>
      <c r="D406" s="18"/>
      <c r="E406" s="17" t="s">
        <v>1507</v>
      </c>
      <c r="F406" s="18"/>
      <c r="G406" s="18"/>
      <c r="H406" s="15" t="s">
        <v>1508</v>
      </c>
      <c r="I406" s="18"/>
      <c r="J406" s="19" t="s">
        <v>104</v>
      </c>
      <c r="K406" s="19" t="s">
        <v>105</v>
      </c>
      <c r="L406" s="19" t="s">
        <v>38</v>
      </c>
      <c r="M406" s="20">
        <f t="shared" si="2"/>
        <v>0</v>
      </c>
      <c r="N406" s="22"/>
      <c r="O406" s="19" t="s">
        <v>1145</v>
      </c>
      <c r="P406" s="18"/>
      <c r="Q406" s="18"/>
      <c r="R406" s="23">
        <v>0.0</v>
      </c>
      <c r="S406" s="23">
        <v>0.0</v>
      </c>
      <c r="T406" s="23">
        <f t="shared" si="3"/>
        <v>0</v>
      </c>
      <c r="U406" s="23">
        <f t="shared" si="4"/>
        <v>0</v>
      </c>
      <c r="V406" s="23">
        <f t="shared" si="5"/>
        <v>0</v>
      </c>
      <c r="W406" s="24" t="str">
        <f t="shared" si="6"/>
        <v>#DIV/0!</v>
      </c>
    </row>
    <row r="407">
      <c r="A407" s="15" t="s">
        <v>1509</v>
      </c>
      <c r="B407" s="15" t="s">
        <v>1510</v>
      </c>
      <c r="C407" s="15" t="s">
        <v>6644</v>
      </c>
      <c r="D407" s="18"/>
      <c r="E407" s="17" t="s">
        <v>1511</v>
      </c>
      <c r="F407" s="18"/>
      <c r="G407" s="18"/>
      <c r="H407" s="15" t="s">
        <v>1512</v>
      </c>
      <c r="I407" s="18"/>
      <c r="J407" s="19" t="s">
        <v>104</v>
      </c>
      <c r="K407" s="19" t="s">
        <v>105</v>
      </c>
      <c r="L407" s="19" t="s">
        <v>38</v>
      </c>
      <c r="M407" s="20">
        <f t="shared" si="2"/>
        <v>0</v>
      </c>
      <c r="N407" s="22"/>
      <c r="O407" s="19" t="s">
        <v>1145</v>
      </c>
      <c r="P407" s="18"/>
      <c r="Q407" s="18"/>
      <c r="R407" s="23">
        <v>0.0</v>
      </c>
      <c r="S407" s="23">
        <v>0.0</v>
      </c>
      <c r="T407" s="23">
        <f t="shared" si="3"/>
        <v>0</v>
      </c>
      <c r="U407" s="23">
        <f t="shared" si="4"/>
        <v>0</v>
      </c>
      <c r="V407" s="23">
        <f t="shared" si="5"/>
        <v>0</v>
      </c>
      <c r="W407" s="24" t="str">
        <f t="shared" si="6"/>
        <v>#DIV/0!</v>
      </c>
    </row>
    <row r="408">
      <c r="A408" s="15" t="s">
        <v>1513</v>
      </c>
      <c r="B408" s="15" t="s">
        <v>1514</v>
      </c>
      <c r="C408" s="15" t="s">
        <v>6645</v>
      </c>
      <c r="D408" s="18"/>
      <c r="E408" s="17" t="s">
        <v>1515</v>
      </c>
      <c r="F408" s="18"/>
      <c r="G408" s="18"/>
      <c r="H408" s="15" t="s">
        <v>1516</v>
      </c>
      <c r="I408" s="18"/>
      <c r="J408" s="19" t="s">
        <v>104</v>
      </c>
      <c r="K408" s="19" t="s">
        <v>105</v>
      </c>
      <c r="L408" s="19" t="s">
        <v>38</v>
      </c>
      <c r="M408" s="20">
        <f t="shared" si="2"/>
        <v>0</v>
      </c>
      <c r="N408" s="22"/>
      <c r="O408" s="19" t="s">
        <v>1145</v>
      </c>
      <c r="P408" s="18"/>
      <c r="Q408" s="18"/>
      <c r="R408" s="23">
        <v>0.0</v>
      </c>
      <c r="S408" s="23">
        <v>0.0</v>
      </c>
      <c r="T408" s="23">
        <f t="shared" si="3"/>
        <v>0</v>
      </c>
      <c r="U408" s="23">
        <f t="shared" si="4"/>
        <v>0</v>
      </c>
      <c r="V408" s="23">
        <f t="shared" si="5"/>
        <v>0</v>
      </c>
      <c r="W408" s="24" t="str">
        <f t="shared" si="6"/>
        <v>#DIV/0!</v>
      </c>
    </row>
    <row r="409">
      <c r="A409" s="15" t="s">
        <v>1517</v>
      </c>
      <c r="B409" s="15" t="s">
        <v>1518</v>
      </c>
      <c r="C409" s="15" t="s">
        <v>6646</v>
      </c>
      <c r="D409" s="18"/>
      <c r="E409" s="17" t="s">
        <v>1519</v>
      </c>
      <c r="F409" s="18"/>
      <c r="G409" s="18"/>
      <c r="H409" s="15" t="s">
        <v>1520</v>
      </c>
      <c r="I409" s="18"/>
      <c r="J409" s="19" t="s">
        <v>104</v>
      </c>
      <c r="K409" s="19" t="s">
        <v>105</v>
      </c>
      <c r="L409" s="19" t="s">
        <v>38</v>
      </c>
      <c r="M409" s="20">
        <f t="shared" si="2"/>
        <v>0</v>
      </c>
      <c r="N409" s="22"/>
      <c r="O409" s="19" t="s">
        <v>1145</v>
      </c>
      <c r="P409" s="18"/>
      <c r="Q409" s="18"/>
      <c r="R409" s="23">
        <v>0.0</v>
      </c>
      <c r="S409" s="23">
        <v>0.0</v>
      </c>
      <c r="T409" s="23">
        <f t="shared" si="3"/>
        <v>0</v>
      </c>
      <c r="U409" s="23">
        <f t="shared" si="4"/>
        <v>0</v>
      </c>
      <c r="V409" s="23">
        <f t="shared" si="5"/>
        <v>0</v>
      </c>
      <c r="W409" s="24" t="str">
        <f t="shared" si="6"/>
        <v>#DIV/0!</v>
      </c>
    </row>
    <row r="410">
      <c r="A410" s="15" t="s">
        <v>1521</v>
      </c>
      <c r="B410" s="15" t="s">
        <v>1522</v>
      </c>
      <c r="C410" s="15" t="s">
        <v>6647</v>
      </c>
      <c r="D410" s="18"/>
      <c r="E410" s="17" t="s">
        <v>1523</v>
      </c>
      <c r="F410" s="18"/>
      <c r="G410" s="18"/>
      <c r="H410" s="15" t="s">
        <v>1524</v>
      </c>
      <c r="I410" s="18"/>
      <c r="J410" s="19" t="s">
        <v>104</v>
      </c>
      <c r="K410" s="19" t="s">
        <v>105</v>
      </c>
      <c r="L410" s="19" t="s">
        <v>38</v>
      </c>
      <c r="M410" s="20">
        <f t="shared" si="2"/>
        <v>0</v>
      </c>
      <c r="N410" s="22"/>
      <c r="O410" s="19" t="s">
        <v>1145</v>
      </c>
      <c r="P410" s="18"/>
      <c r="Q410" s="18"/>
      <c r="R410" s="23">
        <v>0.0</v>
      </c>
      <c r="S410" s="23">
        <v>0.0</v>
      </c>
      <c r="T410" s="23">
        <f t="shared" si="3"/>
        <v>0</v>
      </c>
      <c r="U410" s="23">
        <f t="shared" si="4"/>
        <v>0</v>
      </c>
      <c r="V410" s="23">
        <f t="shared" si="5"/>
        <v>0</v>
      </c>
      <c r="W410" s="24" t="str">
        <f t="shared" si="6"/>
        <v>#DIV/0!</v>
      </c>
    </row>
    <row r="411">
      <c r="A411" s="15" t="s">
        <v>1525</v>
      </c>
      <c r="B411" s="15" t="s">
        <v>1526</v>
      </c>
      <c r="C411" s="15" t="s">
        <v>6648</v>
      </c>
      <c r="D411" s="18"/>
      <c r="E411" s="17" t="s">
        <v>1527</v>
      </c>
      <c r="F411" s="18"/>
      <c r="G411" s="18"/>
      <c r="H411" s="15" t="s">
        <v>1528</v>
      </c>
      <c r="I411" s="18"/>
      <c r="J411" s="19" t="s">
        <v>104</v>
      </c>
      <c r="K411" s="19" t="s">
        <v>105</v>
      </c>
      <c r="L411" s="19" t="s">
        <v>38</v>
      </c>
      <c r="M411" s="20">
        <f t="shared" si="2"/>
        <v>0</v>
      </c>
      <c r="N411" s="22"/>
      <c r="O411" s="19" t="s">
        <v>1145</v>
      </c>
      <c r="P411" s="18"/>
      <c r="Q411" s="18"/>
      <c r="R411" s="23">
        <v>0.0</v>
      </c>
      <c r="S411" s="23">
        <v>0.0</v>
      </c>
      <c r="T411" s="23">
        <f t="shared" si="3"/>
        <v>0</v>
      </c>
      <c r="U411" s="23">
        <f t="shared" si="4"/>
        <v>0</v>
      </c>
      <c r="V411" s="23">
        <f t="shared" si="5"/>
        <v>0</v>
      </c>
      <c r="W411" s="24" t="str">
        <f t="shared" si="6"/>
        <v>#DIV/0!</v>
      </c>
    </row>
    <row r="412">
      <c r="A412" s="15" t="s">
        <v>1529</v>
      </c>
      <c r="B412" s="15" t="s">
        <v>1530</v>
      </c>
      <c r="C412" s="15" t="s">
        <v>6649</v>
      </c>
      <c r="D412" s="18"/>
      <c r="E412" s="17" t="s">
        <v>1531</v>
      </c>
      <c r="F412" s="18"/>
      <c r="G412" s="18"/>
      <c r="H412" s="15" t="s">
        <v>1532</v>
      </c>
      <c r="I412" s="18"/>
      <c r="J412" s="19" t="s">
        <v>104</v>
      </c>
      <c r="K412" s="19" t="s">
        <v>105</v>
      </c>
      <c r="L412" s="19" t="s">
        <v>38</v>
      </c>
      <c r="M412" s="20">
        <f t="shared" si="2"/>
        <v>0</v>
      </c>
      <c r="N412" s="22"/>
      <c r="O412" s="19" t="s">
        <v>1145</v>
      </c>
      <c r="P412" s="18"/>
      <c r="Q412" s="18"/>
      <c r="R412" s="23">
        <v>0.0</v>
      </c>
      <c r="S412" s="23">
        <v>0.0</v>
      </c>
      <c r="T412" s="23">
        <f t="shared" si="3"/>
        <v>0</v>
      </c>
      <c r="U412" s="23">
        <f t="shared" si="4"/>
        <v>0</v>
      </c>
      <c r="V412" s="23">
        <f t="shared" si="5"/>
        <v>0</v>
      </c>
      <c r="W412" s="24" t="str">
        <f t="shared" si="6"/>
        <v>#DIV/0!</v>
      </c>
    </row>
    <row r="413">
      <c r="A413" s="15" t="s">
        <v>1533</v>
      </c>
      <c r="B413" s="18"/>
      <c r="C413" s="15" t="s">
        <v>6650</v>
      </c>
      <c r="D413" s="18"/>
      <c r="E413" s="17" t="s">
        <v>1534</v>
      </c>
      <c r="F413" s="18"/>
      <c r="G413" s="18"/>
      <c r="H413" s="15" t="s">
        <v>1535</v>
      </c>
      <c r="I413" s="18"/>
      <c r="J413" s="19" t="s">
        <v>104</v>
      </c>
      <c r="K413" s="19" t="s">
        <v>105</v>
      </c>
      <c r="L413" s="19" t="s">
        <v>38</v>
      </c>
      <c r="M413" s="20">
        <f t="shared" si="2"/>
        <v>0</v>
      </c>
      <c r="N413" s="22"/>
      <c r="O413" s="19" t="s">
        <v>1145</v>
      </c>
      <c r="P413" s="18"/>
      <c r="Q413" s="18"/>
      <c r="R413" s="23">
        <v>0.0</v>
      </c>
      <c r="S413" s="23">
        <v>0.0</v>
      </c>
      <c r="T413" s="23">
        <f t="shared" si="3"/>
        <v>0</v>
      </c>
      <c r="U413" s="23">
        <f t="shared" si="4"/>
        <v>0</v>
      </c>
      <c r="V413" s="23">
        <f t="shared" si="5"/>
        <v>0</v>
      </c>
      <c r="W413" s="24" t="str">
        <f t="shared" si="6"/>
        <v>#DIV/0!</v>
      </c>
    </row>
    <row r="414">
      <c r="A414" s="15" t="s">
        <v>4655</v>
      </c>
      <c r="B414" s="15" t="s">
        <v>4656</v>
      </c>
      <c r="C414" s="15" t="s">
        <v>6651</v>
      </c>
      <c r="D414" s="15" t="s">
        <v>4657</v>
      </c>
      <c r="E414" s="17" t="s">
        <v>4658</v>
      </c>
      <c r="F414" s="18"/>
      <c r="G414" s="18"/>
      <c r="H414" s="15" t="s">
        <v>4659</v>
      </c>
      <c r="I414" s="18"/>
      <c r="J414" s="19" t="s">
        <v>104</v>
      </c>
      <c r="K414" s="19" t="s">
        <v>1269</v>
      </c>
      <c r="L414" s="19" t="s">
        <v>38</v>
      </c>
      <c r="M414" s="20">
        <f t="shared" si="2"/>
        <v>0</v>
      </c>
      <c r="N414" s="22"/>
      <c r="O414" s="19" t="s">
        <v>3578</v>
      </c>
      <c r="P414" s="18"/>
      <c r="Q414" s="18"/>
      <c r="R414" s="23">
        <v>0.0</v>
      </c>
      <c r="S414" s="23">
        <v>0.0</v>
      </c>
      <c r="T414" s="23">
        <f t="shared" si="3"/>
        <v>0</v>
      </c>
      <c r="U414" s="23">
        <f t="shared" si="4"/>
        <v>0</v>
      </c>
      <c r="V414" s="23">
        <f t="shared" si="5"/>
        <v>0</v>
      </c>
      <c r="W414" s="24" t="str">
        <f t="shared" si="6"/>
        <v>#DIV/0!</v>
      </c>
    </row>
    <row r="415">
      <c r="A415" s="15" t="s">
        <v>4660</v>
      </c>
      <c r="B415" s="15" t="s">
        <v>4661</v>
      </c>
      <c r="C415" s="15" t="s">
        <v>6653</v>
      </c>
      <c r="D415" s="15" t="s">
        <v>4662</v>
      </c>
      <c r="E415" s="17" t="s">
        <v>4662</v>
      </c>
      <c r="F415" s="18"/>
      <c r="G415" s="18"/>
      <c r="H415" s="15" t="s">
        <v>4663</v>
      </c>
      <c r="I415" s="18"/>
      <c r="J415" s="19" t="s">
        <v>104</v>
      </c>
      <c r="K415" s="19" t="s">
        <v>160</v>
      </c>
      <c r="L415" s="19" t="s">
        <v>919</v>
      </c>
      <c r="M415" s="20">
        <f t="shared" si="2"/>
        <v>0</v>
      </c>
      <c r="N415" s="22"/>
      <c r="O415" s="19" t="s">
        <v>3578</v>
      </c>
      <c r="P415" s="18"/>
      <c r="Q415" s="18"/>
      <c r="R415" s="23">
        <v>0.0</v>
      </c>
      <c r="S415" s="23">
        <v>0.0</v>
      </c>
      <c r="T415" s="23">
        <f t="shared" si="3"/>
        <v>0</v>
      </c>
      <c r="U415" s="23">
        <f t="shared" si="4"/>
        <v>0</v>
      </c>
      <c r="V415" s="23">
        <f t="shared" si="5"/>
        <v>0</v>
      </c>
      <c r="W415" s="24" t="str">
        <f t="shared" si="6"/>
        <v>#DIV/0!</v>
      </c>
    </row>
    <row r="416">
      <c r="A416" s="15" t="s">
        <v>100</v>
      </c>
      <c r="B416" s="15" t="s">
        <v>101</v>
      </c>
      <c r="C416" s="15" t="s">
        <v>6655</v>
      </c>
      <c r="D416" s="15" t="s">
        <v>102</v>
      </c>
      <c r="E416" s="17" t="s">
        <v>103</v>
      </c>
      <c r="F416" s="18"/>
      <c r="G416" s="18"/>
      <c r="H416" s="18"/>
      <c r="I416" s="18"/>
      <c r="J416" s="19" t="s">
        <v>104</v>
      </c>
      <c r="K416" s="19" t="s">
        <v>105</v>
      </c>
      <c r="L416" s="19" t="s">
        <v>106</v>
      </c>
      <c r="M416" s="20">
        <f t="shared" si="2"/>
        <v>0</v>
      </c>
      <c r="N416" s="31">
        <v>10.0</v>
      </c>
      <c r="O416" s="19" t="s">
        <v>107</v>
      </c>
      <c r="P416" s="18"/>
      <c r="Q416" s="18"/>
      <c r="R416" s="23">
        <v>0.0</v>
      </c>
      <c r="S416" s="23">
        <v>0.0</v>
      </c>
      <c r="T416" s="23">
        <f t="shared" si="3"/>
        <v>0</v>
      </c>
      <c r="U416" s="23">
        <f t="shared" si="4"/>
        <v>0</v>
      </c>
      <c r="V416" s="23">
        <f t="shared" si="5"/>
        <v>0</v>
      </c>
      <c r="W416" s="24" t="str">
        <f t="shared" si="6"/>
        <v>#DIV/0!</v>
      </c>
    </row>
    <row r="417">
      <c r="A417" s="15" t="s">
        <v>1536</v>
      </c>
      <c r="B417" s="18"/>
      <c r="C417" s="15" t="s">
        <v>6656</v>
      </c>
      <c r="D417" s="18"/>
      <c r="E417" s="17" t="s">
        <v>1537</v>
      </c>
      <c r="F417" s="18"/>
      <c r="G417" s="18"/>
      <c r="H417" s="18"/>
      <c r="I417" s="18"/>
      <c r="J417" s="19" t="s">
        <v>104</v>
      </c>
      <c r="K417" s="19" t="s">
        <v>105</v>
      </c>
      <c r="L417" s="19" t="s">
        <v>38</v>
      </c>
      <c r="M417" s="20">
        <f t="shared" si="2"/>
        <v>0</v>
      </c>
      <c r="N417" s="22"/>
      <c r="O417" s="19" t="s">
        <v>1145</v>
      </c>
      <c r="P417" s="18"/>
      <c r="Q417" s="18"/>
      <c r="R417" s="23">
        <v>0.0</v>
      </c>
      <c r="S417" s="23">
        <v>0.0</v>
      </c>
      <c r="T417" s="23">
        <f t="shared" si="3"/>
        <v>0</v>
      </c>
      <c r="U417" s="23">
        <f t="shared" si="4"/>
        <v>0</v>
      </c>
      <c r="V417" s="23">
        <f t="shared" si="5"/>
        <v>0</v>
      </c>
      <c r="W417" s="24" t="str">
        <f t="shared" si="6"/>
        <v>#DIV/0!</v>
      </c>
    </row>
    <row r="418">
      <c r="A418" s="15" t="s">
        <v>1538</v>
      </c>
      <c r="B418" s="18"/>
      <c r="C418" s="15" t="s">
        <v>6657</v>
      </c>
      <c r="D418" s="18"/>
      <c r="E418" s="17" t="s">
        <v>1539</v>
      </c>
      <c r="F418" s="18"/>
      <c r="G418" s="18"/>
      <c r="H418" s="15" t="s">
        <v>1540</v>
      </c>
      <c r="I418" s="18"/>
      <c r="J418" s="19" t="s">
        <v>104</v>
      </c>
      <c r="K418" s="19" t="s">
        <v>105</v>
      </c>
      <c r="L418" s="19" t="s">
        <v>38</v>
      </c>
      <c r="M418" s="20">
        <f t="shared" si="2"/>
        <v>0</v>
      </c>
      <c r="N418" s="22"/>
      <c r="O418" s="19" t="s">
        <v>1145</v>
      </c>
      <c r="P418" s="18"/>
      <c r="Q418" s="18"/>
      <c r="R418" s="23">
        <v>0.0</v>
      </c>
      <c r="S418" s="23">
        <v>0.0</v>
      </c>
      <c r="T418" s="23">
        <f t="shared" si="3"/>
        <v>0</v>
      </c>
      <c r="U418" s="23">
        <f t="shared" si="4"/>
        <v>0</v>
      </c>
      <c r="V418" s="23">
        <f t="shared" si="5"/>
        <v>0</v>
      </c>
      <c r="W418" s="24" t="str">
        <f t="shared" si="6"/>
        <v>#DIV/0!</v>
      </c>
    </row>
    <row r="419">
      <c r="A419" s="15" t="s">
        <v>4664</v>
      </c>
      <c r="B419" s="18"/>
      <c r="C419" s="15" t="s">
        <v>6658</v>
      </c>
      <c r="D419" s="18"/>
      <c r="E419" s="17" t="s">
        <v>6659</v>
      </c>
      <c r="F419" s="18"/>
      <c r="G419" s="18"/>
      <c r="H419" s="15" t="s">
        <v>4666</v>
      </c>
      <c r="I419" s="18"/>
      <c r="J419" s="19" t="s">
        <v>104</v>
      </c>
      <c r="K419" s="19" t="s">
        <v>105</v>
      </c>
      <c r="L419" s="19" t="s">
        <v>38</v>
      </c>
      <c r="M419" s="20">
        <f t="shared" si="2"/>
        <v>0</v>
      </c>
      <c r="N419" s="22"/>
      <c r="O419" s="19" t="s">
        <v>1145</v>
      </c>
      <c r="P419" s="18"/>
      <c r="Q419" s="18"/>
      <c r="R419" s="23">
        <v>0.0</v>
      </c>
      <c r="S419" s="23">
        <v>0.0</v>
      </c>
      <c r="T419" s="23">
        <f t="shared" si="3"/>
        <v>0</v>
      </c>
      <c r="U419" s="23">
        <f t="shared" si="4"/>
        <v>0</v>
      </c>
      <c r="V419" s="23">
        <f t="shared" si="5"/>
        <v>0</v>
      </c>
      <c r="W419" s="24" t="str">
        <f t="shared" si="6"/>
        <v>#DIV/0!</v>
      </c>
    </row>
    <row r="420">
      <c r="A420" s="15" t="s">
        <v>1541</v>
      </c>
      <c r="B420" s="18"/>
      <c r="C420" s="15" t="s">
        <v>6660</v>
      </c>
      <c r="D420" s="18"/>
      <c r="E420" s="17" t="s">
        <v>1542</v>
      </c>
      <c r="F420" s="18"/>
      <c r="G420" s="18"/>
      <c r="H420" s="15" t="s">
        <v>1543</v>
      </c>
      <c r="I420" s="18"/>
      <c r="J420" s="19" t="s">
        <v>104</v>
      </c>
      <c r="K420" s="19" t="s">
        <v>105</v>
      </c>
      <c r="L420" s="19" t="s">
        <v>38</v>
      </c>
      <c r="M420" s="20">
        <f t="shared" si="2"/>
        <v>0</v>
      </c>
      <c r="N420" s="22"/>
      <c r="O420" s="19" t="s">
        <v>1145</v>
      </c>
      <c r="P420" s="18"/>
      <c r="Q420" s="18"/>
      <c r="R420" s="23">
        <v>0.0</v>
      </c>
      <c r="S420" s="23">
        <v>0.0</v>
      </c>
      <c r="T420" s="23">
        <f t="shared" si="3"/>
        <v>0</v>
      </c>
      <c r="U420" s="23">
        <f t="shared" si="4"/>
        <v>0</v>
      </c>
      <c r="V420" s="23">
        <f t="shared" si="5"/>
        <v>0</v>
      </c>
      <c r="W420" s="24" t="str">
        <f t="shared" si="6"/>
        <v>#DIV/0!</v>
      </c>
    </row>
    <row r="421">
      <c r="A421" s="15" t="s">
        <v>4667</v>
      </c>
      <c r="B421" s="18"/>
      <c r="C421" s="15" t="s">
        <v>6661</v>
      </c>
      <c r="D421" s="15" t="s">
        <v>4668</v>
      </c>
      <c r="E421" s="17" t="s">
        <v>4669</v>
      </c>
      <c r="F421" s="18"/>
      <c r="G421" s="18"/>
      <c r="H421" s="15" t="s">
        <v>4670</v>
      </c>
      <c r="I421" s="18"/>
      <c r="J421" s="19" t="s">
        <v>104</v>
      </c>
      <c r="K421" s="19" t="s">
        <v>160</v>
      </c>
      <c r="L421" s="19" t="s">
        <v>106</v>
      </c>
      <c r="M421" s="20">
        <f t="shared" si="2"/>
        <v>0</v>
      </c>
      <c r="N421" s="22"/>
      <c r="O421" s="19" t="s">
        <v>3578</v>
      </c>
      <c r="P421" s="18"/>
      <c r="Q421" s="18"/>
      <c r="R421" s="23">
        <v>0.0</v>
      </c>
      <c r="S421" s="23">
        <v>0.0</v>
      </c>
      <c r="T421" s="23">
        <f t="shared" si="3"/>
        <v>0</v>
      </c>
      <c r="U421" s="23">
        <f t="shared" si="4"/>
        <v>0</v>
      </c>
      <c r="V421" s="23">
        <f t="shared" si="5"/>
        <v>0</v>
      </c>
      <c r="W421" s="24" t="str">
        <f t="shared" si="6"/>
        <v>#DIV/0!</v>
      </c>
    </row>
    <row r="422">
      <c r="A422" s="15" t="s">
        <v>4671</v>
      </c>
      <c r="B422" s="15" t="s">
        <v>4672</v>
      </c>
      <c r="C422" s="15" t="s">
        <v>6663</v>
      </c>
      <c r="D422" s="15" t="s">
        <v>4673</v>
      </c>
      <c r="E422" s="17" t="s">
        <v>4674</v>
      </c>
      <c r="F422" s="18"/>
      <c r="G422" s="18"/>
      <c r="H422" s="15" t="s">
        <v>4675</v>
      </c>
      <c r="I422" s="18"/>
      <c r="J422" s="19" t="s">
        <v>104</v>
      </c>
      <c r="K422" s="19" t="s">
        <v>160</v>
      </c>
      <c r="L422" s="19" t="s">
        <v>106</v>
      </c>
      <c r="M422" s="20">
        <f t="shared" si="2"/>
        <v>0</v>
      </c>
      <c r="N422" s="22"/>
      <c r="O422" s="19" t="s">
        <v>3578</v>
      </c>
      <c r="P422" s="18"/>
      <c r="Q422" s="18"/>
      <c r="R422" s="23">
        <v>0.0</v>
      </c>
      <c r="S422" s="23">
        <v>0.0</v>
      </c>
      <c r="T422" s="23">
        <f t="shared" si="3"/>
        <v>0</v>
      </c>
      <c r="U422" s="23">
        <f t="shared" si="4"/>
        <v>0</v>
      </c>
      <c r="V422" s="23">
        <f t="shared" si="5"/>
        <v>0</v>
      </c>
      <c r="W422" s="24" t="str">
        <f t="shared" si="6"/>
        <v>#DIV/0!</v>
      </c>
    </row>
    <row r="423">
      <c r="A423" s="15" t="s">
        <v>4676</v>
      </c>
      <c r="B423" s="15" t="s">
        <v>4677</v>
      </c>
      <c r="C423" s="15" t="s">
        <v>6665</v>
      </c>
      <c r="D423" s="15" t="s">
        <v>4678</v>
      </c>
      <c r="E423" s="17" t="s">
        <v>4679</v>
      </c>
      <c r="F423" s="18"/>
      <c r="G423" s="18"/>
      <c r="H423" s="15" t="s">
        <v>4680</v>
      </c>
      <c r="I423" s="18"/>
      <c r="J423" s="19" t="s">
        <v>104</v>
      </c>
      <c r="K423" s="19" t="s">
        <v>160</v>
      </c>
      <c r="L423" s="19" t="s">
        <v>106</v>
      </c>
      <c r="M423" s="20">
        <f t="shared" si="2"/>
        <v>0</v>
      </c>
      <c r="N423" s="22"/>
      <c r="O423" s="19" t="s">
        <v>3578</v>
      </c>
      <c r="P423" s="18"/>
      <c r="Q423" s="18"/>
      <c r="R423" s="23">
        <v>0.0</v>
      </c>
      <c r="S423" s="23">
        <v>0.0</v>
      </c>
      <c r="T423" s="23">
        <f t="shared" si="3"/>
        <v>0</v>
      </c>
      <c r="U423" s="23">
        <f t="shared" si="4"/>
        <v>0</v>
      </c>
      <c r="V423" s="23">
        <f t="shared" si="5"/>
        <v>0</v>
      </c>
      <c r="W423" s="24" t="str">
        <f t="shared" si="6"/>
        <v>#DIV/0!</v>
      </c>
    </row>
    <row r="424">
      <c r="A424" s="15" t="s">
        <v>4681</v>
      </c>
      <c r="B424" s="15" t="s">
        <v>4682</v>
      </c>
      <c r="C424" s="15" t="s">
        <v>6666</v>
      </c>
      <c r="D424" s="15" t="s">
        <v>4683</v>
      </c>
      <c r="E424" s="17" t="s">
        <v>8194</v>
      </c>
      <c r="F424" s="18"/>
      <c r="G424" s="18"/>
      <c r="H424" s="15" t="s">
        <v>4685</v>
      </c>
      <c r="I424" s="18"/>
      <c r="J424" s="19" t="s">
        <v>104</v>
      </c>
      <c r="K424" s="19" t="s">
        <v>402</v>
      </c>
      <c r="L424" s="19" t="s">
        <v>38</v>
      </c>
      <c r="M424" s="20">
        <f t="shared" si="2"/>
        <v>0</v>
      </c>
      <c r="N424" s="22"/>
      <c r="O424" s="19" t="s">
        <v>3578</v>
      </c>
      <c r="P424" s="18"/>
      <c r="Q424" s="18"/>
      <c r="R424" s="23">
        <v>0.0</v>
      </c>
      <c r="S424" s="23">
        <v>0.0</v>
      </c>
      <c r="T424" s="23">
        <f t="shared" si="3"/>
        <v>0</v>
      </c>
      <c r="U424" s="23">
        <f t="shared" si="4"/>
        <v>0</v>
      </c>
      <c r="V424" s="23">
        <f t="shared" si="5"/>
        <v>0</v>
      </c>
      <c r="W424" s="24" t="str">
        <f t="shared" si="6"/>
        <v>#DIV/0!</v>
      </c>
    </row>
    <row r="425">
      <c r="A425" s="15" t="s">
        <v>4686</v>
      </c>
      <c r="B425" s="18"/>
      <c r="C425" s="15" t="s">
        <v>6668</v>
      </c>
      <c r="D425" s="18"/>
      <c r="E425" s="17" t="s">
        <v>6669</v>
      </c>
      <c r="F425" s="18"/>
      <c r="G425" s="18"/>
      <c r="H425" s="15" t="s">
        <v>4688</v>
      </c>
      <c r="I425" s="18"/>
      <c r="J425" s="19" t="s">
        <v>104</v>
      </c>
      <c r="K425" s="19" t="s">
        <v>37</v>
      </c>
      <c r="L425" s="19" t="s">
        <v>38</v>
      </c>
      <c r="M425" s="20">
        <f t="shared" si="2"/>
        <v>0</v>
      </c>
      <c r="N425" s="22"/>
      <c r="O425" s="19" t="s">
        <v>1145</v>
      </c>
      <c r="P425" s="18"/>
      <c r="Q425" s="18"/>
      <c r="R425" s="23">
        <v>0.0</v>
      </c>
      <c r="S425" s="23">
        <v>0.0</v>
      </c>
      <c r="T425" s="23">
        <f t="shared" si="3"/>
        <v>0</v>
      </c>
      <c r="U425" s="23">
        <f t="shared" si="4"/>
        <v>0</v>
      </c>
      <c r="V425" s="23">
        <f t="shared" si="5"/>
        <v>0</v>
      </c>
      <c r="W425" s="24" t="str">
        <f t="shared" si="6"/>
        <v>#DIV/0!</v>
      </c>
    </row>
    <row r="426">
      <c r="A426" s="15" t="s">
        <v>4689</v>
      </c>
      <c r="B426" s="15" t="s">
        <v>4690</v>
      </c>
      <c r="C426" s="15" t="s">
        <v>6670</v>
      </c>
      <c r="D426" s="15" t="s">
        <v>4691</v>
      </c>
      <c r="E426" s="17" t="s">
        <v>4692</v>
      </c>
      <c r="F426" s="18"/>
      <c r="G426" s="18"/>
      <c r="H426" s="15" t="s">
        <v>830</v>
      </c>
      <c r="I426" s="18"/>
      <c r="J426" s="19" t="s">
        <v>104</v>
      </c>
      <c r="K426" s="19" t="s">
        <v>37</v>
      </c>
      <c r="L426" s="19" t="s">
        <v>38</v>
      </c>
      <c r="M426" s="20">
        <f t="shared" si="2"/>
        <v>0</v>
      </c>
      <c r="N426" s="22"/>
      <c r="O426" s="19" t="s">
        <v>3578</v>
      </c>
      <c r="P426" s="18"/>
      <c r="Q426" s="18"/>
      <c r="R426" s="23">
        <v>0.0</v>
      </c>
      <c r="S426" s="23">
        <v>0.0</v>
      </c>
      <c r="T426" s="23">
        <f t="shared" si="3"/>
        <v>0</v>
      </c>
      <c r="U426" s="23">
        <f t="shared" si="4"/>
        <v>0</v>
      </c>
      <c r="V426" s="23">
        <f t="shared" si="5"/>
        <v>0</v>
      </c>
      <c r="W426" s="24" t="str">
        <f t="shared" si="6"/>
        <v>#DIV/0!</v>
      </c>
    </row>
    <row r="427">
      <c r="A427" s="15" t="s">
        <v>1544</v>
      </c>
      <c r="B427" s="18"/>
      <c r="C427" s="15" t="s">
        <v>6671</v>
      </c>
      <c r="D427" s="18"/>
      <c r="E427" s="17" t="s">
        <v>1545</v>
      </c>
      <c r="F427" s="18"/>
      <c r="G427" s="18"/>
      <c r="H427" s="15" t="s">
        <v>1546</v>
      </c>
      <c r="I427" s="18"/>
      <c r="J427" s="19" t="s">
        <v>104</v>
      </c>
      <c r="K427" s="19" t="s">
        <v>37</v>
      </c>
      <c r="L427" s="19" t="s">
        <v>38</v>
      </c>
      <c r="M427" s="20">
        <f t="shared" si="2"/>
        <v>0</v>
      </c>
      <c r="N427" s="22"/>
      <c r="O427" s="19" t="s">
        <v>1145</v>
      </c>
      <c r="P427" s="18"/>
      <c r="Q427" s="18"/>
      <c r="R427" s="23">
        <v>0.0</v>
      </c>
      <c r="S427" s="23">
        <v>0.0</v>
      </c>
      <c r="T427" s="23">
        <f t="shared" si="3"/>
        <v>0</v>
      </c>
      <c r="U427" s="23">
        <f t="shared" si="4"/>
        <v>0</v>
      </c>
      <c r="V427" s="23">
        <f t="shared" si="5"/>
        <v>0</v>
      </c>
      <c r="W427" s="24" t="str">
        <f t="shared" si="6"/>
        <v>#DIV/0!</v>
      </c>
    </row>
    <row r="428">
      <c r="A428" s="15" t="s">
        <v>1547</v>
      </c>
      <c r="B428" s="18"/>
      <c r="C428" s="15" t="s">
        <v>6672</v>
      </c>
      <c r="D428" s="18"/>
      <c r="E428" s="17" t="s">
        <v>1548</v>
      </c>
      <c r="F428" s="18"/>
      <c r="G428" s="18"/>
      <c r="H428" s="15" t="s">
        <v>1549</v>
      </c>
      <c r="I428" s="18"/>
      <c r="J428" s="19" t="s">
        <v>104</v>
      </c>
      <c r="K428" s="19" t="s">
        <v>37</v>
      </c>
      <c r="L428" s="19" t="s">
        <v>38</v>
      </c>
      <c r="M428" s="20">
        <f t="shared" si="2"/>
        <v>0</v>
      </c>
      <c r="N428" s="22"/>
      <c r="O428" s="19" t="s">
        <v>1145</v>
      </c>
      <c r="P428" s="18"/>
      <c r="Q428" s="18"/>
      <c r="R428" s="23">
        <v>0.0</v>
      </c>
      <c r="S428" s="23">
        <v>0.0</v>
      </c>
      <c r="T428" s="23">
        <f t="shared" si="3"/>
        <v>0</v>
      </c>
      <c r="U428" s="23">
        <f t="shared" si="4"/>
        <v>0</v>
      </c>
      <c r="V428" s="23">
        <f t="shared" si="5"/>
        <v>0</v>
      </c>
      <c r="W428" s="24" t="str">
        <f t="shared" si="6"/>
        <v>#DIV/0!</v>
      </c>
    </row>
    <row r="429">
      <c r="A429" s="15" t="s">
        <v>4694</v>
      </c>
      <c r="B429" s="18"/>
      <c r="C429" s="15" t="s">
        <v>6673</v>
      </c>
      <c r="D429" s="18"/>
      <c r="E429" s="17" t="s">
        <v>4695</v>
      </c>
      <c r="F429" s="18"/>
      <c r="G429" s="18"/>
      <c r="H429" s="15" t="s">
        <v>4696</v>
      </c>
      <c r="I429" s="18"/>
      <c r="J429" s="19" t="s">
        <v>104</v>
      </c>
      <c r="K429" s="19" t="s">
        <v>37</v>
      </c>
      <c r="L429" s="19" t="s">
        <v>38</v>
      </c>
      <c r="M429" s="20">
        <f t="shared" si="2"/>
        <v>0</v>
      </c>
      <c r="N429" s="22"/>
      <c r="O429" s="19" t="s">
        <v>1145</v>
      </c>
      <c r="P429" s="18"/>
      <c r="Q429" s="18"/>
      <c r="R429" s="23">
        <v>0.0</v>
      </c>
      <c r="S429" s="23">
        <v>0.0</v>
      </c>
      <c r="T429" s="23">
        <f t="shared" si="3"/>
        <v>0</v>
      </c>
      <c r="U429" s="23">
        <f t="shared" si="4"/>
        <v>0</v>
      </c>
      <c r="V429" s="23">
        <f t="shared" si="5"/>
        <v>0</v>
      </c>
      <c r="W429" s="24" t="str">
        <f t="shared" si="6"/>
        <v>#DIV/0!</v>
      </c>
    </row>
    <row r="430">
      <c r="A430" s="15" t="s">
        <v>6674</v>
      </c>
      <c r="B430" s="18"/>
      <c r="C430" s="15" t="s">
        <v>6675</v>
      </c>
      <c r="D430" s="18"/>
      <c r="E430" s="17" t="s">
        <v>4695</v>
      </c>
      <c r="F430" s="18"/>
      <c r="G430" s="18"/>
      <c r="H430" s="15" t="s">
        <v>4696</v>
      </c>
      <c r="I430" s="18"/>
      <c r="J430" s="19" t="s">
        <v>104</v>
      </c>
      <c r="K430" s="19" t="s">
        <v>37</v>
      </c>
      <c r="L430" s="19" t="s">
        <v>38</v>
      </c>
      <c r="M430" s="20">
        <f t="shared" si="2"/>
        <v>0</v>
      </c>
      <c r="N430" s="22"/>
      <c r="O430" s="19" t="s">
        <v>1145</v>
      </c>
      <c r="P430" s="18"/>
      <c r="Q430" s="18"/>
      <c r="R430" s="23">
        <v>0.0</v>
      </c>
      <c r="S430" s="23">
        <v>0.0</v>
      </c>
      <c r="T430" s="23">
        <f t="shared" si="3"/>
        <v>0</v>
      </c>
      <c r="U430" s="23">
        <f t="shared" si="4"/>
        <v>0</v>
      </c>
      <c r="V430" s="23">
        <f t="shared" si="5"/>
        <v>0</v>
      </c>
      <c r="W430" s="24" t="str">
        <f t="shared" si="6"/>
        <v>#DIV/0!</v>
      </c>
    </row>
    <row r="431">
      <c r="A431" s="15" t="s">
        <v>4697</v>
      </c>
      <c r="B431" s="18"/>
      <c r="C431" s="15" t="s">
        <v>6676</v>
      </c>
      <c r="D431" s="18"/>
      <c r="E431" s="17" t="s">
        <v>6677</v>
      </c>
      <c r="F431" s="18"/>
      <c r="G431" s="18"/>
      <c r="H431" s="15" t="s">
        <v>4699</v>
      </c>
      <c r="I431" s="18"/>
      <c r="J431" s="19" t="s">
        <v>104</v>
      </c>
      <c r="K431" s="19" t="s">
        <v>37</v>
      </c>
      <c r="L431" s="19" t="s">
        <v>38</v>
      </c>
      <c r="M431" s="20">
        <f t="shared" si="2"/>
        <v>0</v>
      </c>
      <c r="N431" s="22"/>
      <c r="O431" s="19" t="s">
        <v>1145</v>
      </c>
      <c r="P431" s="18"/>
      <c r="Q431" s="18"/>
      <c r="R431" s="23">
        <v>0.0</v>
      </c>
      <c r="S431" s="23">
        <v>0.0</v>
      </c>
      <c r="T431" s="23">
        <f t="shared" si="3"/>
        <v>0</v>
      </c>
      <c r="U431" s="23">
        <f t="shared" si="4"/>
        <v>0</v>
      </c>
      <c r="V431" s="23">
        <f t="shared" si="5"/>
        <v>0</v>
      </c>
      <c r="W431" s="24" t="str">
        <f t="shared" si="6"/>
        <v>#DIV/0!</v>
      </c>
    </row>
    <row r="432">
      <c r="A432" s="15" t="s">
        <v>4700</v>
      </c>
      <c r="B432" s="18"/>
      <c r="C432" s="15" t="s">
        <v>6678</v>
      </c>
      <c r="D432" s="18"/>
      <c r="E432" s="17" t="s">
        <v>6679</v>
      </c>
      <c r="F432" s="18"/>
      <c r="G432" s="18"/>
      <c r="H432" s="15" t="s">
        <v>4702</v>
      </c>
      <c r="I432" s="18"/>
      <c r="J432" s="19" t="s">
        <v>104</v>
      </c>
      <c r="K432" s="19" t="s">
        <v>37</v>
      </c>
      <c r="L432" s="19" t="s">
        <v>38</v>
      </c>
      <c r="M432" s="20">
        <f t="shared" si="2"/>
        <v>0</v>
      </c>
      <c r="N432" s="22"/>
      <c r="O432" s="19" t="s">
        <v>1145</v>
      </c>
      <c r="P432" s="18"/>
      <c r="Q432" s="18"/>
      <c r="R432" s="23">
        <v>0.0</v>
      </c>
      <c r="S432" s="23">
        <v>0.0</v>
      </c>
      <c r="T432" s="23">
        <f t="shared" si="3"/>
        <v>0</v>
      </c>
      <c r="U432" s="23">
        <f t="shared" si="4"/>
        <v>0</v>
      </c>
      <c r="V432" s="23">
        <f t="shared" si="5"/>
        <v>0</v>
      </c>
      <c r="W432" s="24" t="str">
        <f t="shared" si="6"/>
        <v>#DIV/0!</v>
      </c>
    </row>
    <row r="433">
      <c r="A433" s="15" t="s">
        <v>824</v>
      </c>
      <c r="B433" s="15" t="s">
        <v>825</v>
      </c>
      <c r="C433" s="15" t="s">
        <v>6122</v>
      </c>
      <c r="D433" s="15" t="s">
        <v>826</v>
      </c>
      <c r="E433" s="17" t="s">
        <v>827</v>
      </c>
      <c r="F433" s="15" t="s">
        <v>828</v>
      </c>
      <c r="G433" s="15" t="s">
        <v>829</v>
      </c>
      <c r="H433" s="15" t="s">
        <v>830</v>
      </c>
      <c r="I433" s="18"/>
      <c r="J433" s="19" t="s">
        <v>104</v>
      </c>
      <c r="K433" s="19" t="s">
        <v>831</v>
      </c>
      <c r="L433" s="19" t="s">
        <v>135</v>
      </c>
      <c r="M433" s="20">
        <f t="shared" si="2"/>
        <v>53.28</v>
      </c>
      <c r="N433" s="31">
        <v>250.0</v>
      </c>
      <c r="O433" s="19" t="s">
        <v>107</v>
      </c>
      <c r="P433" s="18"/>
      <c r="Q433" s="18"/>
      <c r="R433" s="23">
        <v>0.7</v>
      </c>
      <c r="S433" s="23">
        <v>3.0</v>
      </c>
      <c r="T433" s="23">
        <f t="shared" si="3"/>
        <v>2.88</v>
      </c>
      <c r="U433" s="23">
        <f t="shared" si="4"/>
        <v>0.8575</v>
      </c>
      <c r="V433" s="23">
        <f t="shared" si="5"/>
        <v>16.078125</v>
      </c>
      <c r="W433" s="24">
        <f t="shared" si="6"/>
        <v>4.114285714</v>
      </c>
    </row>
    <row r="434">
      <c r="A434" s="15" t="s">
        <v>832</v>
      </c>
      <c r="B434" s="15" t="s">
        <v>833</v>
      </c>
      <c r="C434" s="15" t="s">
        <v>6123</v>
      </c>
      <c r="D434" s="15" t="s">
        <v>834</v>
      </c>
      <c r="E434" s="17" t="s">
        <v>835</v>
      </c>
      <c r="F434" s="15" t="s">
        <v>836</v>
      </c>
      <c r="G434" s="15" t="s">
        <v>837</v>
      </c>
      <c r="H434" s="15" t="s">
        <v>838</v>
      </c>
      <c r="I434" s="18"/>
      <c r="J434" s="19" t="s">
        <v>104</v>
      </c>
      <c r="K434" s="19" t="s">
        <v>831</v>
      </c>
      <c r="L434" s="19" t="s">
        <v>135</v>
      </c>
      <c r="M434" s="20">
        <f t="shared" si="2"/>
        <v>53.28</v>
      </c>
      <c r="N434" s="31">
        <v>250.0</v>
      </c>
      <c r="O434" s="19" t="s">
        <v>107</v>
      </c>
      <c r="P434" s="18"/>
      <c r="Q434" s="18"/>
      <c r="R434" s="23">
        <v>0.7</v>
      </c>
      <c r="S434" s="23">
        <v>3.0</v>
      </c>
      <c r="T434" s="23">
        <f t="shared" si="3"/>
        <v>2.88</v>
      </c>
      <c r="U434" s="23">
        <f t="shared" si="4"/>
        <v>0.8575</v>
      </c>
      <c r="V434" s="23">
        <f t="shared" si="5"/>
        <v>16.078125</v>
      </c>
      <c r="W434" s="24">
        <f t="shared" si="6"/>
        <v>4.114285714</v>
      </c>
    </row>
    <row r="435">
      <c r="A435" s="15" t="s">
        <v>1550</v>
      </c>
      <c r="B435" s="18"/>
      <c r="C435" s="15" t="s">
        <v>6680</v>
      </c>
      <c r="D435" s="18"/>
      <c r="E435" s="17" t="s">
        <v>1551</v>
      </c>
      <c r="F435" s="18"/>
      <c r="G435" s="18"/>
      <c r="H435" s="15" t="s">
        <v>1552</v>
      </c>
      <c r="I435" s="18"/>
      <c r="J435" s="19" t="s">
        <v>104</v>
      </c>
      <c r="K435" s="19" t="s">
        <v>402</v>
      </c>
      <c r="L435" s="19" t="s">
        <v>38</v>
      </c>
      <c r="M435" s="20">
        <f t="shared" si="2"/>
        <v>0</v>
      </c>
      <c r="N435" s="22"/>
      <c r="O435" s="19" t="s">
        <v>1145</v>
      </c>
      <c r="P435" s="18"/>
      <c r="Q435" s="18"/>
      <c r="R435" s="23">
        <v>0.0</v>
      </c>
      <c r="S435" s="23">
        <v>0.0</v>
      </c>
      <c r="T435" s="23">
        <f t="shared" si="3"/>
        <v>0</v>
      </c>
      <c r="U435" s="23">
        <f t="shared" si="4"/>
        <v>0</v>
      </c>
      <c r="V435" s="23">
        <f t="shared" si="5"/>
        <v>0</v>
      </c>
      <c r="W435" s="24" t="str">
        <f t="shared" si="6"/>
        <v>#DIV/0!</v>
      </c>
    </row>
    <row r="436">
      <c r="A436" s="15" t="s">
        <v>1553</v>
      </c>
      <c r="B436" s="18"/>
      <c r="C436" s="15" t="s">
        <v>6681</v>
      </c>
      <c r="D436" s="18"/>
      <c r="E436" s="17" t="s">
        <v>6682</v>
      </c>
      <c r="F436" s="18"/>
      <c r="G436" s="18"/>
      <c r="H436" s="15" t="s">
        <v>4707</v>
      </c>
      <c r="I436" s="18"/>
      <c r="J436" s="19" t="s">
        <v>104</v>
      </c>
      <c r="K436" s="19" t="s">
        <v>402</v>
      </c>
      <c r="L436" s="19" t="s">
        <v>38</v>
      </c>
      <c r="M436" s="20">
        <f t="shared" si="2"/>
        <v>0</v>
      </c>
      <c r="N436" s="22"/>
      <c r="O436" s="19" t="s">
        <v>1145</v>
      </c>
      <c r="P436" s="18"/>
      <c r="Q436" s="18"/>
      <c r="R436" s="23">
        <v>0.0</v>
      </c>
      <c r="S436" s="23">
        <v>0.0</v>
      </c>
      <c r="T436" s="23">
        <f t="shared" si="3"/>
        <v>0</v>
      </c>
      <c r="U436" s="23">
        <f t="shared" si="4"/>
        <v>0</v>
      </c>
      <c r="V436" s="23">
        <f t="shared" si="5"/>
        <v>0</v>
      </c>
      <c r="W436" s="24" t="str">
        <f t="shared" si="6"/>
        <v>#DIV/0!</v>
      </c>
    </row>
    <row r="437">
      <c r="A437" s="15" t="s">
        <v>4703</v>
      </c>
      <c r="B437" s="18"/>
      <c r="C437" s="15" t="s">
        <v>6683</v>
      </c>
      <c r="D437" s="18"/>
      <c r="E437" s="17" t="s">
        <v>6684</v>
      </c>
      <c r="F437" s="18"/>
      <c r="G437" s="18"/>
      <c r="H437" s="15" t="s">
        <v>1557</v>
      </c>
      <c r="I437" s="18"/>
      <c r="J437" s="19" t="s">
        <v>104</v>
      </c>
      <c r="K437" s="19" t="s">
        <v>402</v>
      </c>
      <c r="L437" s="19" t="s">
        <v>38</v>
      </c>
      <c r="M437" s="20">
        <f t="shared" si="2"/>
        <v>0</v>
      </c>
      <c r="N437" s="22"/>
      <c r="O437" s="19" t="s">
        <v>1145</v>
      </c>
      <c r="P437" s="18"/>
      <c r="Q437" s="18"/>
      <c r="R437" s="23">
        <v>0.0</v>
      </c>
      <c r="S437" s="23">
        <v>0.0</v>
      </c>
      <c r="T437" s="23">
        <f t="shared" si="3"/>
        <v>0</v>
      </c>
      <c r="U437" s="23">
        <f t="shared" si="4"/>
        <v>0</v>
      </c>
      <c r="V437" s="23">
        <f t="shared" si="5"/>
        <v>0</v>
      </c>
      <c r="W437" s="24" t="str">
        <f t="shared" si="6"/>
        <v>#DIV/0!</v>
      </c>
    </row>
    <row r="438">
      <c r="A438" s="15" t="s">
        <v>5889</v>
      </c>
      <c r="B438" s="18"/>
      <c r="C438" s="15" t="s">
        <v>6685</v>
      </c>
      <c r="D438" s="15" t="s">
        <v>5890</v>
      </c>
      <c r="E438" s="17" t="s">
        <v>5891</v>
      </c>
      <c r="F438" s="15" t="s">
        <v>5892</v>
      </c>
      <c r="G438" s="15"/>
      <c r="H438" s="15" t="s">
        <v>5893</v>
      </c>
      <c r="I438" s="18"/>
      <c r="J438" s="19" t="s">
        <v>104</v>
      </c>
      <c r="K438" s="19" t="s">
        <v>717</v>
      </c>
      <c r="L438" s="19" t="s">
        <v>106</v>
      </c>
      <c r="M438" s="20">
        <f t="shared" si="2"/>
        <v>12662.88</v>
      </c>
      <c r="N438" s="31">
        <v>0.0</v>
      </c>
      <c r="O438" s="19" t="s">
        <v>3578</v>
      </c>
      <c r="P438" s="18"/>
      <c r="Q438" s="18"/>
      <c r="R438" s="23">
        <v>135.0</v>
      </c>
      <c r="S438" s="23">
        <v>713.0</v>
      </c>
      <c r="T438" s="23">
        <f t="shared" si="3"/>
        <v>684.48</v>
      </c>
      <c r="U438" s="23">
        <f t="shared" si="4"/>
        <v>165.375</v>
      </c>
      <c r="V438" s="23">
        <f t="shared" si="5"/>
        <v>3100.78125</v>
      </c>
      <c r="W438" s="24">
        <f t="shared" si="6"/>
        <v>5.070222222</v>
      </c>
    </row>
    <row r="439">
      <c r="A439" s="15" t="s">
        <v>710</v>
      </c>
      <c r="B439" s="15" t="s">
        <v>711</v>
      </c>
      <c r="C439" s="15" t="s">
        <v>6055</v>
      </c>
      <c r="D439" s="15" t="s">
        <v>712</v>
      </c>
      <c r="E439" s="17" t="s">
        <v>713</v>
      </c>
      <c r="F439" s="15" t="s">
        <v>714</v>
      </c>
      <c r="G439" s="15" t="s">
        <v>715</v>
      </c>
      <c r="H439" s="15" t="s">
        <v>716</v>
      </c>
      <c r="I439" s="18"/>
      <c r="J439" s="19" t="s">
        <v>104</v>
      </c>
      <c r="K439" s="19" t="s">
        <v>717</v>
      </c>
      <c r="L439" s="19" t="s">
        <v>106</v>
      </c>
      <c r="M439" s="20">
        <f t="shared" si="2"/>
        <v>12662.88</v>
      </c>
      <c r="N439" s="31">
        <v>3.0</v>
      </c>
      <c r="O439" s="19" t="s">
        <v>107</v>
      </c>
      <c r="P439" s="18"/>
      <c r="Q439" s="18"/>
      <c r="R439" s="23">
        <v>143.0</v>
      </c>
      <c r="S439" s="23">
        <v>713.0</v>
      </c>
      <c r="T439" s="23">
        <f t="shared" si="3"/>
        <v>684.48</v>
      </c>
      <c r="U439" s="23">
        <f t="shared" si="4"/>
        <v>175.175</v>
      </c>
      <c r="V439" s="23">
        <f t="shared" si="5"/>
        <v>3284.53125</v>
      </c>
      <c r="W439" s="24">
        <f t="shared" si="6"/>
        <v>4.786573427</v>
      </c>
    </row>
    <row r="440">
      <c r="A440" s="15" t="s">
        <v>1558</v>
      </c>
      <c r="B440" s="18"/>
      <c r="C440" s="15" t="s">
        <v>6686</v>
      </c>
      <c r="D440" s="18"/>
      <c r="E440" s="17" t="s">
        <v>1559</v>
      </c>
      <c r="F440" s="18"/>
      <c r="G440" s="18"/>
      <c r="H440" s="15" t="s">
        <v>1560</v>
      </c>
      <c r="I440" s="18"/>
      <c r="J440" s="19" t="s">
        <v>104</v>
      </c>
      <c r="K440" s="19" t="s">
        <v>402</v>
      </c>
      <c r="L440" s="19" t="s">
        <v>38</v>
      </c>
      <c r="M440" s="20">
        <f t="shared" si="2"/>
        <v>0</v>
      </c>
      <c r="N440" s="22"/>
      <c r="O440" s="19" t="s">
        <v>1145</v>
      </c>
      <c r="P440" s="18"/>
      <c r="Q440" s="18"/>
      <c r="R440" s="23">
        <v>0.0</v>
      </c>
      <c r="S440" s="23">
        <v>0.0</v>
      </c>
      <c r="T440" s="23">
        <f t="shared" si="3"/>
        <v>0</v>
      </c>
      <c r="U440" s="23">
        <f t="shared" si="4"/>
        <v>0</v>
      </c>
      <c r="V440" s="23">
        <f t="shared" si="5"/>
        <v>0</v>
      </c>
      <c r="W440" s="24" t="str">
        <f t="shared" si="6"/>
        <v>#DIV/0!</v>
      </c>
    </row>
    <row r="441">
      <c r="A441" s="15" t="s">
        <v>1561</v>
      </c>
      <c r="B441" s="18"/>
      <c r="C441" s="15" t="s">
        <v>6687</v>
      </c>
      <c r="D441" s="18"/>
      <c r="E441" s="17" t="s">
        <v>1562</v>
      </c>
      <c r="F441" s="18"/>
      <c r="G441" s="18"/>
      <c r="H441" s="15" t="s">
        <v>1563</v>
      </c>
      <c r="I441" s="18"/>
      <c r="J441" s="19" t="s">
        <v>104</v>
      </c>
      <c r="K441" s="19" t="s">
        <v>402</v>
      </c>
      <c r="L441" s="19" t="s">
        <v>38</v>
      </c>
      <c r="M441" s="20">
        <f t="shared" si="2"/>
        <v>0</v>
      </c>
      <c r="N441" s="22"/>
      <c r="O441" s="19" t="s">
        <v>1145</v>
      </c>
      <c r="P441" s="18"/>
      <c r="Q441" s="18"/>
      <c r="R441" s="23">
        <v>0.0</v>
      </c>
      <c r="S441" s="23">
        <v>0.0</v>
      </c>
      <c r="T441" s="23">
        <f t="shared" si="3"/>
        <v>0</v>
      </c>
      <c r="U441" s="23">
        <f t="shared" si="4"/>
        <v>0</v>
      </c>
      <c r="V441" s="23">
        <f t="shared" si="5"/>
        <v>0</v>
      </c>
      <c r="W441" s="24" t="str">
        <f t="shared" si="6"/>
        <v>#DIV/0!</v>
      </c>
    </row>
    <row r="442">
      <c r="A442" s="15" t="s">
        <v>1564</v>
      </c>
      <c r="B442" s="18"/>
      <c r="C442" s="15" t="s">
        <v>6688</v>
      </c>
      <c r="D442" s="18"/>
      <c r="E442" s="17" t="s">
        <v>1562</v>
      </c>
      <c r="F442" s="18"/>
      <c r="G442" s="18"/>
      <c r="H442" s="15" t="s">
        <v>1565</v>
      </c>
      <c r="I442" s="18"/>
      <c r="J442" s="19" t="s">
        <v>104</v>
      </c>
      <c r="K442" s="19" t="s">
        <v>402</v>
      </c>
      <c r="L442" s="19" t="s">
        <v>38</v>
      </c>
      <c r="M442" s="20">
        <f t="shared" si="2"/>
        <v>0</v>
      </c>
      <c r="N442" s="22"/>
      <c r="O442" s="19" t="s">
        <v>1145</v>
      </c>
      <c r="P442" s="18"/>
      <c r="Q442" s="18"/>
      <c r="R442" s="23">
        <v>0.0</v>
      </c>
      <c r="S442" s="23">
        <v>0.0</v>
      </c>
      <c r="T442" s="23">
        <f t="shared" si="3"/>
        <v>0</v>
      </c>
      <c r="U442" s="23">
        <f t="shared" si="4"/>
        <v>0</v>
      </c>
      <c r="V442" s="23">
        <f t="shared" si="5"/>
        <v>0</v>
      </c>
      <c r="W442" s="24" t="str">
        <f t="shared" si="6"/>
        <v>#DIV/0!</v>
      </c>
    </row>
    <row r="443">
      <c r="A443" s="15" t="s">
        <v>5899</v>
      </c>
      <c r="B443" s="18"/>
      <c r="C443" s="15" t="s">
        <v>6689</v>
      </c>
      <c r="D443" s="15" t="s">
        <v>5900</v>
      </c>
      <c r="E443" s="17" t="s">
        <v>5901</v>
      </c>
      <c r="F443" s="15" t="s">
        <v>5902</v>
      </c>
      <c r="G443" s="15"/>
      <c r="H443" s="15" t="s">
        <v>5903</v>
      </c>
      <c r="I443" s="18"/>
      <c r="J443" s="19" t="s">
        <v>104</v>
      </c>
      <c r="K443" s="19" t="s">
        <v>717</v>
      </c>
      <c r="L443" s="19" t="s">
        <v>106</v>
      </c>
      <c r="M443" s="20">
        <f t="shared" si="2"/>
        <v>19340.64</v>
      </c>
      <c r="N443" s="31">
        <v>0.0</v>
      </c>
      <c r="O443" s="19" t="s">
        <v>3578</v>
      </c>
      <c r="P443" s="18"/>
      <c r="Q443" s="18"/>
      <c r="R443" s="23">
        <v>237.0</v>
      </c>
      <c r="S443" s="23">
        <v>1089.0</v>
      </c>
      <c r="T443" s="23">
        <f t="shared" si="3"/>
        <v>1045.44</v>
      </c>
      <c r="U443" s="23">
        <f t="shared" si="4"/>
        <v>290.325</v>
      </c>
      <c r="V443" s="23">
        <f t="shared" si="5"/>
        <v>5443.59375</v>
      </c>
      <c r="W443" s="24">
        <f t="shared" si="6"/>
        <v>4.411139241</v>
      </c>
    </row>
    <row r="444">
      <c r="A444" s="15" t="s">
        <v>5904</v>
      </c>
      <c r="B444" s="15"/>
      <c r="C444" s="15" t="s">
        <v>6690</v>
      </c>
      <c r="D444" s="15" t="s">
        <v>5905</v>
      </c>
      <c r="E444" s="17" t="s">
        <v>5906</v>
      </c>
      <c r="F444" s="15" t="s">
        <v>5907</v>
      </c>
      <c r="G444" s="15"/>
      <c r="H444" s="15" t="s">
        <v>5908</v>
      </c>
      <c r="I444" s="18"/>
      <c r="J444" s="19" t="s">
        <v>104</v>
      </c>
      <c r="K444" s="19" t="s">
        <v>717</v>
      </c>
      <c r="L444" s="19" t="s">
        <v>106</v>
      </c>
      <c r="M444" s="20">
        <f t="shared" si="2"/>
        <v>19340.64</v>
      </c>
      <c r="N444" s="31">
        <v>8.0</v>
      </c>
      <c r="O444" s="19" t="s">
        <v>107</v>
      </c>
      <c r="P444" s="18"/>
      <c r="Q444" s="18"/>
      <c r="R444" s="23">
        <v>245.0</v>
      </c>
      <c r="S444" s="23">
        <v>1089.0</v>
      </c>
      <c r="T444" s="23">
        <f t="shared" si="3"/>
        <v>1045.44</v>
      </c>
      <c r="U444" s="23">
        <f t="shared" si="4"/>
        <v>300.125</v>
      </c>
      <c r="V444" s="23">
        <f t="shared" si="5"/>
        <v>5627.34375</v>
      </c>
      <c r="W444" s="24">
        <f t="shared" si="6"/>
        <v>4.267102041</v>
      </c>
    </row>
    <row r="445">
      <c r="A445" s="15" t="s">
        <v>1566</v>
      </c>
      <c r="B445" s="18"/>
      <c r="C445" s="15" t="s">
        <v>6691</v>
      </c>
      <c r="D445" s="18"/>
      <c r="E445" s="17" t="s">
        <v>1567</v>
      </c>
      <c r="F445" s="18"/>
      <c r="G445" s="18"/>
      <c r="H445" s="15" t="s">
        <v>1568</v>
      </c>
      <c r="I445" s="18"/>
      <c r="J445" s="19" t="s">
        <v>104</v>
      </c>
      <c r="K445" s="19" t="s">
        <v>402</v>
      </c>
      <c r="L445" s="19" t="s">
        <v>38</v>
      </c>
      <c r="M445" s="20">
        <f t="shared" si="2"/>
        <v>0</v>
      </c>
      <c r="N445" s="22"/>
      <c r="O445" s="19" t="s">
        <v>1145</v>
      </c>
      <c r="P445" s="18"/>
      <c r="Q445" s="18"/>
      <c r="R445" s="23">
        <v>0.0</v>
      </c>
      <c r="S445" s="23">
        <v>0.0</v>
      </c>
      <c r="T445" s="23">
        <f t="shared" si="3"/>
        <v>0</v>
      </c>
      <c r="U445" s="23">
        <f t="shared" si="4"/>
        <v>0</v>
      </c>
      <c r="V445" s="23">
        <f t="shared" si="5"/>
        <v>0</v>
      </c>
      <c r="W445" s="24" t="str">
        <f t="shared" si="6"/>
        <v>#DIV/0!</v>
      </c>
    </row>
    <row r="446">
      <c r="A446" s="15" t="s">
        <v>1569</v>
      </c>
      <c r="B446" s="18"/>
      <c r="C446" s="15" t="s">
        <v>6692</v>
      </c>
      <c r="D446" s="18"/>
      <c r="E446" s="17" t="s">
        <v>1570</v>
      </c>
      <c r="F446" s="18"/>
      <c r="G446" s="18"/>
      <c r="H446" s="15" t="s">
        <v>1571</v>
      </c>
      <c r="I446" s="18"/>
      <c r="J446" s="19" t="s">
        <v>104</v>
      </c>
      <c r="K446" s="19" t="s">
        <v>402</v>
      </c>
      <c r="L446" s="19" t="s">
        <v>38</v>
      </c>
      <c r="M446" s="20">
        <f t="shared" si="2"/>
        <v>0</v>
      </c>
      <c r="N446" s="22"/>
      <c r="O446" s="19" t="s">
        <v>1145</v>
      </c>
      <c r="P446" s="18"/>
      <c r="Q446" s="18"/>
      <c r="R446" s="23">
        <v>0.0</v>
      </c>
      <c r="S446" s="23">
        <v>0.0</v>
      </c>
      <c r="T446" s="23">
        <f t="shared" si="3"/>
        <v>0</v>
      </c>
      <c r="U446" s="23">
        <f t="shared" si="4"/>
        <v>0</v>
      </c>
      <c r="V446" s="23">
        <f t="shared" si="5"/>
        <v>0</v>
      </c>
      <c r="W446" s="24" t="str">
        <f t="shared" si="6"/>
        <v>#DIV/0!</v>
      </c>
    </row>
    <row r="447">
      <c r="A447" s="15" t="s">
        <v>1572</v>
      </c>
      <c r="B447" s="18"/>
      <c r="C447" s="15" t="s">
        <v>6693</v>
      </c>
      <c r="D447" s="18"/>
      <c r="E447" s="17" t="s">
        <v>1573</v>
      </c>
      <c r="F447" s="18"/>
      <c r="G447" s="18"/>
      <c r="H447" s="15" t="s">
        <v>1574</v>
      </c>
      <c r="I447" s="18"/>
      <c r="J447" s="19" t="s">
        <v>104</v>
      </c>
      <c r="K447" s="19" t="s">
        <v>402</v>
      </c>
      <c r="L447" s="19" t="s">
        <v>38</v>
      </c>
      <c r="M447" s="20">
        <f t="shared" si="2"/>
        <v>0</v>
      </c>
      <c r="N447" s="22"/>
      <c r="O447" s="19" t="s">
        <v>1145</v>
      </c>
      <c r="P447" s="18"/>
      <c r="Q447" s="18"/>
      <c r="R447" s="23">
        <v>0.0</v>
      </c>
      <c r="S447" s="23">
        <v>0.0</v>
      </c>
      <c r="T447" s="23">
        <f t="shared" si="3"/>
        <v>0</v>
      </c>
      <c r="U447" s="23">
        <f t="shared" si="4"/>
        <v>0</v>
      </c>
      <c r="V447" s="23">
        <f t="shared" si="5"/>
        <v>0</v>
      </c>
      <c r="W447" s="24" t="str">
        <f t="shared" si="6"/>
        <v>#DIV/0!</v>
      </c>
    </row>
    <row r="448">
      <c r="A448" s="15" t="s">
        <v>1575</v>
      </c>
      <c r="B448" s="18"/>
      <c r="C448" s="15" t="s">
        <v>6694</v>
      </c>
      <c r="D448" s="18"/>
      <c r="E448" s="17" t="s">
        <v>1576</v>
      </c>
      <c r="F448" s="18"/>
      <c r="G448" s="18"/>
      <c r="H448" s="15" t="s">
        <v>1577</v>
      </c>
      <c r="I448" s="18"/>
      <c r="J448" s="19" t="s">
        <v>104</v>
      </c>
      <c r="K448" s="19" t="s">
        <v>402</v>
      </c>
      <c r="L448" s="19" t="s">
        <v>38</v>
      </c>
      <c r="M448" s="20">
        <f t="shared" si="2"/>
        <v>0</v>
      </c>
      <c r="N448" s="22"/>
      <c r="O448" s="19" t="s">
        <v>1145</v>
      </c>
      <c r="P448" s="18"/>
      <c r="Q448" s="18"/>
      <c r="R448" s="23">
        <v>0.0</v>
      </c>
      <c r="S448" s="23">
        <v>0.0</v>
      </c>
      <c r="T448" s="23">
        <f t="shared" si="3"/>
        <v>0</v>
      </c>
      <c r="U448" s="23">
        <f t="shared" si="4"/>
        <v>0</v>
      </c>
      <c r="V448" s="23">
        <f t="shared" si="5"/>
        <v>0</v>
      </c>
      <c r="W448" s="24" t="str">
        <f t="shared" si="6"/>
        <v>#DIV/0!</v>
      </c>
    </row>
    <row r="449">
      <c r="A449" s="15" t="s">
        <v>1578</v>
      </c>
      <c r="B449" s="18"/>
      <c r="C449" s="15" t="s">
        <v>6695</v>
      </c>
      <c r="D449" s="18"/>
      <c r="E449" s="17" t="s">
        <v>1576</v>
      </c>
      <c r="F449" s="18"/>
      <c r="G449" s="18"/>
      <c r="H449" s="15" t="s">
        <v>1579</v>
      </c>
      <c r="I449" s="18"/>
      <c r="J449" s="19" t="s">
        <v>104</v>
      </c>
      <c r="K449" s="19" t="s">
        <v>402</v>
      </c>
      <c r="L449" s="19" t="s">
        <v>38</v>
      </c>
      <c r="M449" s="20">
        <f t="shared" si="2"/>
        <v>0</v>
      </c>
      <c r="N449" s="22"/>
      <c r="O449" s="19" t="s">
        <v>1145</v>
      </c>
      <c r="P449" s="18"/>
      <c r="Q449" s="18"/>
      <c r="R449" s="23">
        <v>0.0</v>
      </c>
      <c r="S449" s="23">
        <v>0.0</v>
      </c>
      <c r="T449" s="23">
        <f t="shared" si="3"/>
        <v>0</v>
      </c>
      <c r="U449" s="23">
        <f t="shared" si="4"/>
        <v>0</v>
      </c>
      <c r="V449" s="23">
        <f t="shared" si="5"/>
        <v>0</v>
      </c>
      <c r="W449" s="24" t="str">
        <f t="shared" si="6"/>
        <v>#DIV/0!</v>
      </c>
    </row>
    <row r="450">
      <c r="A450" s="15" t="s">
        <v>1580</v>
      </c>
      <c r="B450" s="18"/>
      <c r="C450" s="15" t="s">
        <v>6696</v>
      </c>
      <c r="D450" s="18"/>
      <c r="E450" s="17" t="s">
        <v>1581</v>
      </c>
      <c r="F450" s="18"/>
      <c r="G450" s="18"/>
      <c r="H450" s="15" t="s">
        <v>1582</v>
      </c>
      <c r="I450" s="18"/>
      <c r="J450" s="19" t="s">
        <v>104</v>
      </c>
      <c r="K450" s="19" t="s">
        <v>402</v>
      </c>
      <c r="L450" s="19" t="s">
        <v>38</v>
      </c>
      <c r="M450" s="20">
        <f t="shared" si="2"/>
        <v>0</v>
      </c>
      <c r="N450" s="22"/>
      <c r="O450" s="19" t="s">
        <v>1145</v>
      </c>
      <c r="P450" s="18"/>
      <c r="Q450" s="18"/>
      <c r="R450" s="23">
        <v>0.0</v>
      </c>
      <c r="S450" s="23">
        <v>0.0</v>
      </c>
      <c r="T450" s="23">
        <f t="shared" si="3"/>
        <v>0</v>
      </c>
      <c r="U450" s="23">
        <f t="shared" si="4"/>
        <v>0</v>
      </c>
      <c r="V450" s="23">
        <f t="shared" si="5"/>
        <v>0</v>
      </c>
      <c r="W450" s="24" t="str">
        <f t="shared" si="6"/>
        <v>#DIV/0!</v>
      </c>
    </row>
    <row r="451">
      <c r="A451" s="15" t="s">
        <v>1583</v>
      </c>
      <c r="B451" s="18"/>
      <c r="C451" s="15" t="s">
        <v>6697</v>
      </c>
      <c r="D451" s="18"/>
      <c r="E451" s="17" t="s">
        <v>1584</v>
      </c>
      <c r="F451" s="18"/>
      <c r="G451" s="18"/>
      <c r="H451" s="15" t="s">
        <v>1585</v>
      </c>
      <c r="I451" s="18"/>
      <c r="J451" s="19" t="s">
        <v>104</v>
      </c>
      <c r="K451" s="19" t="s">
        <v>402</v>
      </c>
      <c r="L451" s="19" t="s">
        <v>38</v>
      </c>
      <c r="M451" s="20">
        <f t="shared" si="2"/>
        <v>0</v>
      </c>
      <c r="N451" s="22"/>
      <c r="O451" s="19" t="s">
        <v>1145</v>
      </c>
      <c r="P451" s="18"/>
      <c r="Q451" s="18"/>
      <c r="R451" s="23">
        <v>0.0</v>
      </c>
      <c r="S451" s="23">
        <v>0.0</v>
      </c>
      <c r="T451" s="23">
        <f t="shared" si="3"/>
        <v>0</v>
      </c>
      <c r="U451" s="23">
        <f t="shared" si="4"/>
        <v>0</v>
      </c>
      <c r="V451" s="23">
        <f t="shared" si="5"/>
        <v>0</v>
      </c>
      <c r="W451" s="24" t="str">
        <f t="shared" si="6"/>
        <v>#DIV/0!</v>
      </c>
    </row>
    <row r="452">
      <c r="A452" s="15" t="s">
        <v>1586</v>
      </c>
      <c r="B452" s="18"/>
      <c r="C452" s="15" t="s">
        <v>6698</v>
      </c>
      <c r="D452" s="18"/>
      <c r="E452" s="17" t="s">
        <v>1587</v>
      </c>
      <c r="F452" s="18"/>
      <c r="G452" s="18"/>
      <c r="H452" s="15" t="s">
        <v>1588</v>
      </c>
      <c r="I452" s="18"/>
      <c r="J452" s="19" t="s">
        <v>104</v>
      </c>
      <c r="K452" s="19" t="s">
        <v>402</v>
      </c>
      <c r="L452" s="19" t="s">
        <v>38</v>
      </c>
      <c r="M452" s="20">
        <f t="shared" si="2"/>
        <v>0</v>
      </c>
      <c r="N452" s="22"/>
      <c r="O452" s="19" t="s">
        <v>1145</v>
      </c>
      <c r="P452" s="18"/>
      <c r="Q452" s="18"/>
      <c r="R452" s="23">
        <v>0.0</v>
      </c>
      <c r="S452" s="23">
        <v>0.0</v>
      </c>
      <c r="T452" s="23">
        <f t="shared" si="3"/>
        <v>0</v>
      </c>
      <c r="U452" s="23">
        <f t="shared" si="4"/>
        <v>0</v>
      </c>
      <c r="V452" s="23">
        <f t="shared" si="5"/>
        <v>0</v>
      </c>
      <c r="W452" s="24" t="str">
        <f t="shared" si="6"/>
        <v>#DIV/0!</v>
      </c>
    </row>
    <row r="453">
      <c r="A453" s="15" t="s">
        <v>1589</v>
      </c>
      <c r="B453" s="18"/>
      <c r="C453" s="15" t="s">
        <v>6699</v>
      </c>
      <c r="D453" s="18"/>
      <c r="E453" s="17" t="s">
        <v>1590</v>
      </c>
      <c r="F453" s="18"/>
      <c r="G453" s="18"/>
      <c r="H453" s="15" t="s">
        <v>1591</v>
      </c>
      <c r="I453" s="18"/>
      <c r="J453" s="19" t="s">
        <v>104</v>
      </c>
      <c r="K453" s="19" t="s">
        <v>402</v>
      </c>
      <c r="L453" s="19" t="s">
        <v>38</v>
      </c>
      <c r="M453" s="20">
        <f t="shared" si="2"/>
        <v>0</v>
      </c>
      <c r="N453" s="22"/>
      <c r="O453" s="19" t="s">
        <v>1145</v>
      </c>
      <c r="P453" s="18"/>
      <c r="Q453" s="18"/>
      <c r="R453" s="23">
        <v>0.0</v>
      </c>
      <c r="S453" s="23">
        <v>0.0</v>
      </c>
      <c r="T453" s="23">
        <f t="shared" si="3"/>
        <v>0</v>
      </c>
      <c r="U453" s="23">
        <f t="shared" si="4"/>
        <v>0</v>
      </c>
      <c r="V453" s="23">
        <f t="shared" si="5"/>
        <v>0</v>
      </c>
      <c r="W453" s="24" t="str">
        <f t="shared" si="6"/>
        <v>#DIV/0!</v>
      </c>
    </row>
    <row r="454">
      <c r="A454" s="15" t="s">
        <v>1592</v>
      </c>
      <c r="B454" s="18"/>
      <c r="C454" s="15" t="s">
        <v>6700</v>
      </c>
      <c r="D454" s="18"/>
      <c r="E454" s="17" t="s">
        <v>1593</v>
      </c>
      <c r="F454" s="18"/>
      <c r="G454" s="18"/>
      <c r="H454" s="15" t="s">
        <v>1594</v>
      </c>
      <c r="I454" s="18"/>
      <c r="J454" s="19" t="s">
        <v>104</v>
      </c>
      <c r="K454" s="19" t="s">
        <v>402</v>
      </c>
      <c r="L454" s="19" t="s">
        <v>38</v>
      </c>
      <c r="M454" s="20">
        <f t="shared" si="2"/>
        <v>0</v>
      </c>
      <c r="N454" s="22"/>
      <c r="O454" s="19" t="s">
        <v>1145</v>
      </c>
      <c r="P454" s="18"/>
      <c r="Q454" s="18"/>
      <c r="R454" s="23">
        <v>0.0</v>
      </c>
      <c r="S454" s="23">
        <v>0.0</v>
      </c>
      <c r="T454" s="23">
        <f t="shared" si="3"/>
        <v>0</v>
      </c>
      <c r="U454" s="23">
        <f t="shared" si="4"/>
        <v>0</v>
      </c>
      <c r="V454" s="23">
        <f t="shared" si="5"/>
        <v>0</v>
      </c>
      <c r="W454" s="24" t="str">
        <f t="shared" si="6"/>
        <v>#DIV/0!</v>
      </c>
    </row>
    <row r="455">
      <c r="A455" s="15" t="s">
        <v>1595</v>
      </c>
      <c r="B455" s="18"/>
      <c r="C455" s="15" t="s">
        <v>6701</v>
      </c>
      <c r="D455" s="18"/>
      <c r="E455" s="17" t="s">
        <v>1593</v>
      </c>
      <c r="F455" s="18"/>
      <c r="G455" s="18"/>
      <c r="H455" s="15" t="s">
        <v>1596</v>
      </c>
      <c r="I455" s="18"/>
      <c r="J455" s="19" t="s">
        <v>104</v>
      </c>
      <c r="K455" s="19" t="s">
        <v>402</v>
      </c>
      <c r="L455" s="19" t="s">
        <v>38</v>
      </c>
      <c r="M455" s="20">
        <f t="shared" si="2"/>
        <v>0</v>
      </c>
      <c r="N455" s="22"/>
      <c r="O455" s="19" t="s">
        <v>1145</v>
      </c>
      <c r="P455" s="18"/>
      <c r="Q455" s="18"/>
      <c r="R455" s="23">
        <v>0.0</v>
      </c>
      <c r="S455" s="23">
        <v>0.0</v>
      </c>
      <c r="T455" s="23">
        <f t="shared" si="3"/>
        <v>0</v>
      </c>
      <c r="U455" s="23">
        <f t="shared" si="4"/>
        <v>0</v>
      </c>
      <c r="V455" s="23">
        <f t="shared" si="5"/>
        <v>0</v>
      </c>
      <c r="W455" s="24" t="str">
        <f t="shared" si="6"/>
        <v>#DIV/0!</v>
      </c>
    </row>
    <row r="456">
      <c r="A456" s="15" t="s">
        <v>1597</v>
      </c>
      <c r="B456" s="18"/>
      <c r="C456" s="15" t="s">
        <v>6702</v>
      </c>
      <c r="D456" s="18"/>
      <c r="E456" s="17" t="s">
        <v>1598</v>
      </c>
      <c r="F456" s="18"/>
      <c r="G456" s="18"/>
      <c r="H456" s="15" t="s">
        <v>1596</v>
      </c>
      <c r="I456" s="18"/>
      <c r="J456" s="19" t="s">
        <v>104</v>
      </c>
      <c r="K456" s="19" t="s">
        <v>402</v>
      </c>
      <c r="L456" s="19" t="s">
        <v>38</v>
      </c>
      <c r="M456" s="20">
        <f t="shared" si="2"/>
        <v>0</v>
      </c>
      <c r="N456" s="22"/>
      <c r="O456" s="19" t="s">
        <v>1145</v>
      </c>
      <c r="P456" s="18"/>
      <c r="Q456" s="18"/>
      <c r="R456" s="23">
        <v>0.0</v>
      </c>
      <c r="S456" s="23">
        <v>0.0</v>
      </c>
      <c r="T456" s="23">
        <f t="shared" si="3"/>
        <v>0</v>
      </c>
      <c r="U456" s="23">
        <f t="shared" si="4"/>
        <v>0</v>
      </c>
      <c r="V456" s="23">
        <f t="shared" si="5"/>
        <v>0</v>
      </c>
      <c r="W456" s="24" t="str">
        <f t="shared" si="6"/>
        <v>#DIV/0!</v>
      </c>
    </row>
    <row r="457">
      <c r="A457" s="15" t="s">
        <v>1599</v>
      </c>
      <c r="B457" s="18"/>
      <c r="C457" s="15" t="s">
        <v>6703</v>
      </c>
      <c r="D457" s="18"/>
      <c r="E457" s="17" t="s">
        <v>1600</v>
      </c>
      <c r="F457" s="18"/>
      <c r="G457" s="18"/>
      <c r="H457" s="15" t="s">
        <v>1601</v>
      </c>
      <c r="I457" s="18"/>
      <c r="J457" s="19" t="s">
        <v>104</v>
      </c>
      <c r="K457" s="19" t="s">
        <v>402</v>
      </c>
      <c r="L457" s="19" t="s">
        <v>38</v>
      </c>
      <c r="M457" s="20">
        <f t="shared" si="2"/>
        <v>0</v>
      </c>
      <c r="N457" s="22"/>
      <c r="O457" s="19" t="s">
        <v>1145</v>
      </c>
      <c r="P457" s="18"/>
      <c r="Q457" s="18"/>
      <c r="R457" s="23">
        <v>0.0</v>
      </c>
      <c r="S457" s="23">
        <v>0.0</v>
      </c>
      <c r="T457" s="23">
        <f t="shared" si="3"/>
        <v>0</v>
      </c>
      <c r="U457" s="23">
        <f t="shared" si="4"/>
        <v>0</v>
      </c>
      <c r="V457" s="23">
        <f t="shared" si="5"/>
        <v>0</v>
      </c>
      <c r="W457" s="24" t="str">
        <f t="shared" si="6"/>
        <v>#DIV/0!</v>
      </c>
    </row>
    <row r="458">
      <c r="A458" s="15" t="s">
        <v>1602</v>
      </c>
      <c r="B458" s="18"/>
      <c r="C458" s="15" t="s">
        <v>6704</v>
      </c>
      <c r="D458" s="18"/>
      <c r="E458" s="17" t="s">
        <v>1603</v>
      </c>
      <c r="F458" s="18"/>
      <c r="G458" s="18"/>
      <c r="H458" s="15" t="s">
        <v>1604</v>
      </c>
      <c r="I458" s="18"/>
      <c r="J458" s="19" t="s">
        <v>104</v>
      </c>
      <c r="K458" s="19" t="s">
        <v>105</v>
      </c>
      <c r="L458" s="19" t="s">
        <v>38</v>
      </c>
      <c r="M458" s="20">
        <f t="shared" si="2"/>
        <v>0</v>
      </c>
      <c r="N458" s="22"/>
      <c r="O458" s="19" t="s">
        <v>1145</v>
      </c>
      <c r="P458" s="18"/>
      <c r="Q458" s="18"/>
      <c r="R458" s="23">
        <v>0.0</v>
      </c>
      <c r="S458" s="23">
        <v>0.0</v>
      </c>
      <c r="T458" s="23">
        <f t="shared" si="3"/>
        <v>0</v>
      </c>
      <c r="U458" s="23">
        <f t="shared" si="4"/>
        <v>0</v>
      </c>
      <c r="V458" s="23">
        <f t="shared" si="5"/>
        <v>0</v>
      </c>
      <c r="W458" s="24" t="str">
        <f t="shared" si="6"/>
        <v>#DIV/0!</v>
      </c>
    </row>
    <row r="459">
      <c r="A459" s="15" t="s">
        <v>1605</v>
      </c>
      <c r="B459" s="18"/>
      <c r="C459" s="15" t="s">
        <v>6705</v>
      </c>
      <c r="D459" s="18"/>
      <c r="E459" s="17" t="s">
        <v>1606</v>
      </c>
      <c r="F459" s="18"/>
      <c r="G459" s="18"/>
      <c r="H459" s="15" t="s">
        <v>1607</v>
      </c>
      <c r="I459" s="18"/>
      <c r="J459" s="19" t="s">
        <v>104</v>
      </c>
      <c r="K459" s="19" t="s">
        <v>402</v>
      </c>
      <c r="L459" s="19" t="s">
        <v>38</v>
      </c>
      <c r="M459" s="20">
        <f t="shared" si="2"/>
        <v>0</v>
      </c>
      <c r="N459" s="22"/>
      <c r="O459" s="19" t="s">
        <v>1145</v>
      </c>
      <c r="P459" s="18"/>
      <c r="Q459" s="18"/>
      <c r="R459" s="23">
        <v>0.0</v>
      </c>
      <c r="S459" s="23">
        <v>0.0</v>
      </c>
      <c r="T459" s="23">
        <f t="shared" si="3"/>
        <v>0</v>
      </c>
      <c r="U459" s="23">
        <f t="shared" si="4"/>
        <v>0</v>
      </c>
      <c r="V459" s="23">
        <f t="shared" si="5"/>
        <v>0</v>
      </c>
      <c r="W459" s="24" t="str">
        <f t="shared" si="6"/>
        <v>#DIV/0!</v>
      </c>
    </row>
    <row r="460">
      <c r="A460" s="15" t="s">
        <v>1608</v>
      </c>
      <c r="B460" s="18"/>
      <c r="C460" s="15" t="s">
        <v>6706</v>
      </c>
      <c r="D460" s="18"/>
      <c r="E460" s="17" t="s">
        <v>1609</v>
      </c>
      <c r="F460" s="18"/>
      <c r="G460" s="18"/>
      <c r="H460" s="15" t="s">
        <v>1610</v>
      </c>
      <c r="I460" s="18"/>
      <c r="J460" s="19" t="s">
        <v>104</v>
      </c>
      <c r="K460" s="19" t="s">
        <v>105</v>
      </c>
      <c r="L460" s="19" t="s">
        <v>38</v>
      </c>
      <c r="M460" s="20">
        <f t="shared" si="2"/>
        <v>0</v>
      </c>
      <c r="N460" s="22"/>
      <c r="O460" s="19" t="s">
        <v>1145</v>
      </c>
      <c r="P460" s="18"/>
      <c r="Q460" s="18"/>
      <c r="R460" s="23">
        <v>0.0</v>
      </c>
      <c r="S460" s="23">
        <v>0.0</v>
      </c>
      <c r="T460" s="23">
        <f t="shared" si="3"/>
        <v>0</v>
      </c>
      <c r="U460" s="23">
        <f t="shared" si="4"/>
        <v>0</v>
      </c>
      <c r="V460" s="23">
        <f t="shared" si="5"/>
        <v>0</v>
      </c>
      <c r="W460" s="24" t="str">
        <f t="shared" si="6"/>
        <v>#DIV/0!</v>
      </c>
    </row>
    <row r="461">
      <c r="A461" s="15" t="s">
        <v>1611</v>
      </c>
      <c r="B461" s="18"/>
      <c r="C461" s="15" t="s">
        <v>6707</v>
      </c>
      <c r="D461" s="18"/>
      <c r="E461" s="17" t="s">
        <v>1612</v>
      </c>
      <c r="F461" s="18"/>
      <c r="G461" s="18"/>
      <c r="H461" s="15" t="s">
        <v>1613</v>
      </c>
      <c r="I461" s="18"/>
      <c r="J461" s="19" t="s">
        <v>104</v>
      </c>
      <c r="K461" s="19" t="s">
        <v>402</v>
      </c>
      <c r="L461" s="19" t="s">
        <v>38</v>
      </c>
      <c r="M461" s="20">
        <f t="shared" si="2"/>
        <v>0</v>
      </c>
      <c r="N461" s="22"/>
      <c r="O461" s="19" t="s">
        <v>1145</v>
      </c>
      <c r="P461" s="18"/>
      <c r="Q461" s="18"/>
      <c r="R461" s="23">
        <v>0.0</v>
      </c>
      <c r="S461" s="23">
        <v>0.0</v>
      </c>
      <c r="T461" s="23">
        <f t="shared" si="3"/>
        <v>0</v>
      </c>
      <c r="U461" s="23">
        <f t="shared" si="4"/>
        <v>0</v>
      </c>
      <c r="V461" s="23">
        <f t="shared" si="5"/>
        <v>0</v>
      </c>
      <c r="W461" s="24" t="str">
        <f t="shared" si="6"/>
        <v>#DIV/0!</v>
      </c>
    </row>
    <row r="462">
      <c r="A462" s="15" t="s">
        <v>1614</v>
      </c>
      <c r="B462" s="18"/>
      <c r="C462" s="15" t="s">
        <v>6708</v>
      </c>
      <c r="D462" s="18"/>
      <c r="E462" s="17" t="s">
        <v>1615</v>
      </c>
      <c r="F462" s="18"/>
      <c r="G462" s="18"/>
      <c r="H462" s="15" t="s">
        <v>1616</v>
      </c>
      <c r="I462" s="18"/>
      <c r="J462" s="19" t="s">
        <v>104</v>
      </c>
      <c r="K462" s="19" t="s">
        <v>105</v>
      </c>
      <c r="L462" s="19" t="s">
        <v>38</v>
      </c>
      <c r="M462" s="20">
        <f t="shared" si="2"/>
        <v>0</v>
      </c>
      <c r="N462" s="22"/>
      <c r="O462" s="19" t="s">
        <v>1145</v>
      </c>
      <c r="P462" s="18"/>
      <c r="Q462" s="18"/>
      <c r="R462" s="23">
        <v>0.0</v>
      </c>
      <c r="S462" s="23">
        <v>0.0</v>
      </c>
      <c r="T462" s="23">
        <f t="shared" si="3"/>
        <v>0</v>
      </c>
      <c r="U462" s="23">
        <f t="shared" si="4"/>
        <v>0</v>
      </c>
      <c r="V462" s="23">
        <f t="shared" si="5"/>
        <v>0</v>
      </c>
      <c r="W462" s="24" t="str">
        <f t="shared" si="6"/>
        <v>#DIV/0!</v>
      </c>
    </row>
    <row r="463">
      <c r="A463" s="15" t="s">
        <v>1617</v>
      </c>
      <c r="B463" s="18"/>
      <c r="C463" s="15" t="s">
        <v>6709</v>
      </c>
      <c r="D463" s="18"/>
      <c r="E463" s="17" t="s">
        <v>1618</v>
      </c>
      <c r="F463" s="18"/>
      <c r="G463" s="18"/>
      <c r="H463" s="15" t="s">
        <v>1619</v>
      </c>
      <c r="I463" s="18"/>
      <c r="J463" s="19" t="s">
        <v>104</v>
      </c>
      <c r="K463" s="19" t="s">
        <v>105</v>
      </c>
      <c r="L463" s="19" t="s">
        <v>38</v>
      </c>
      <c r="M463" s="20">
        <f t="shared" si="2"/>
        <v>0</v>
      </c>
      <c r="N463" s="22"/>
      <c r="O463" s="19" t="s">
        <v>1145</v>
      </c>
      <c r="P463" s="18"/>
      <c r="Q463" s="18"/>
      <c r="R463" s="23">
        <v>0.0</v>
      </c>
      <c r="S463" s="23">
        <v>0.0</v>
      </c>
      <c r="T463" s="23">
        <f t="shared" si="3"/>
        <v>0</v>
      </c>
      <c r="U463" s="23">
        <f t="shared" si="4"/>
        <v>0</v>
      </c>
      <c r="V463" s="23">
        <f t="shared" si="5"/>
        <v>0</v>
      </c>
      <c r="W463" s="24" t="str">
        <f t="shared" si="6"/>
        <v>#DIV/0!</v>
      </c>
    </row>
    <row r="464">
      <c r="A464" s="15" t="s">
        <v>1620</v>
      </c>
      <c r="B464" s="18"/>
      <c r="C464" s="15" t="s">
        <v>6710</v>
      </c>
      <c r="D464" s="18"/>
      <c r="E464" s="17" t="s">
        <v>1621</v>
      </c>
      <c r="F464" s="18"/>
      <c r="G464" s="18"/>
      <c r="H464" s="15" t="s">
        <v>1622</v>
      </c>
      <c r="I464" s="18"/>
      <c r="J464" s="19" t="s">
        <v>104</v>
      </c>
      <c r="K464" s="19" t="s">
        <v>105</v>
      </c>
      <c r="L464" s="19" t="s">
        <v>38</v>
      </c>
      <c r="M464" s="20">
        <f t="shared" si="2"/>
        <v>0</v>
      </c>
      <c r="N464" s="22"/>
      <c r="O464" s="19" t="s">
        <v>1145</v>
      </c>
      <c r="P464" s="18"/>
      <c r="Q464" s="18"/>
      <c r="R464" s="23">
        <v>0.0</v>
      </c>
      <c r="S464" s="23">
        <v>0.0</v>
      </c>
      <c r="T464" s="23">
        <f t="shared" si="3"/>
        <v>0</v>
      </c>
      <c r="U464" s="23">
        <f t="shared" si="4"/>
        <v>0</v>
      </c>
      <c r="V464" s="23">
        <f t="shared" si="5"/>
        <v>0</v>
      </c>
      <c r="W464" s="24" t="str">
        <f t="shared" si="6"/>
        <v>#DIV/0!</v>
      </c>
    </row>
    <row r="465">
      <c r="A465" s="15" t="s">
        <v>1623</v>
      </c>
      <c r="B465" s="18"/>
      <c r="C465" s="15" t="s">
        <v>6711</v>
      </c>
      <c r="D465" s="18"/>
      <c r="E465" s="17" t="s">
        <v>1624</v>
      </c>
      <c r="F465" s="18"/>
      <c r="G465" s="18"/>
      <c r="H465" s="15" t="s">
        <v>1625</v>
      </c>
      <c r="I465" s="18"/>
      <c r="J465" s="19" t="s">
        <v>104</v>
      </c>
      <c r="K465" s="19" t="s">
        <v>105</v>
      </c>
      <c r="L465" s="19" t="s">
        <v>38</v>
      </c>
      <c r="M465" s="20">
        <f t="shared" si="2"/>
        <v>0</v>
      </c>
      <c r="N465" s="22"/>
      <c r="O465" s="19" t="s">
        <v>1145</v>
      </c>
      <c r="P465" s="18"/>
      <c r="Q465" s="18"/>
      <c r="R465" s="23">
        <v>0.0</v>
      </c>
      <c r="S465" s="23">
        <v>0.0</v>
      </c>
      <c r="T465" s="23">
        <f t="shared" si="3"/>
        <v>0</v>
      </c>
      <c r="U465" s="23">
        <f t="shared" si="4"/>
        <v>0</v>
      </c>
      <c r="V465" s="23">
        <f t="shared" si="5"/>
        <v>0</v>
      </c>
      <c r="W465" s="24" t="str">
        <f t="shared" si="6"/>
        <v>#DIV/0!</v>
      </c>
    </row>
    <row r="466">
      <c r="A466" s="15" t="s">
        <v>1626</v>
      </c>
      <c r="B466" s="18"/>
      <c r="C466" s="15" t="s">
        <v>6712</v>
      </c>
      <c r="D466" s="18"/>
      <c r="E466" s="17" t="s">
        <v>1627</v>
      </c>
      <c r="F466" s="18"/>
      <c r="G466" s="18"/>
      <c r="H466" s="15" t="s">
        <v>1628</v>
      </c>
      <c r="I466" s="18"/>
      <c r="J466" s="19" t="s">
        <v>104</v>
      </c>
      <c r="K466" s="19" t="s">
        <v>105</v>
      </c>
      <c r="L466" s="19" t="s">
        <v>38</v>
      </c>
      <c r="M466" s="20">
        <f t="shared" si="2"/>
        <v>0</v>
      </c>
      <c r="N466" s="22"/>
      <c r="O466" s="19" t="s">
        <v>1145</v>
      </c>
      <c r="P466" s="18"/>
      <c r="Q466" s="18"/>
      <c r="R466" s="23">
        <v>0.0</v>
      </c>
      <c r="S466" s="23">
        <v>0.0</v>
      </c>
      <c r="T466" s="23">
        <f t="shared" si="3"/>
        <v>0</v>
      </c>
      <c r="U466" s="23">
        <f t="shared" si="4"/>
        <v>0</v>
      </c>
      <c r="V466" s="23">
        <f t="shared" si="5"/>
        <v>0</v>
      </c>
      <c r="W466" s="24" t="str">
        <f t="shared" si="6"/>
        <v>#DIV/0!</v>
      </c>
    </row>
    <row r="467">
      <c r="A467" s="15" t="s">
        <v>1629</v>
      </c>
      <c r="B467" s="18"/>
      <c r="C467" s="15" t="s">
        <v>6713</v>
      </c>
      <c r="D467" s="18"/>
      <c r="E467" s="17" t="s">
        <v>1630</v>
      </c>
      <c r="F467" s="18"/>
      <c r="G467" s="18"/>
      <c r="H467" s="15" t="s">
        <v>1631</v>
      </c>
      <c r="I467" s="18"/>
      <c r="J467" s="19" t="s">
        <v>104</v>
      </c>
      <c r="K467" s="19" t="s">
        <v>105</v>
      </c>
      <c r="L467" s="19" t="s">
        <v>38</v>
      </c>
      <c r="M467" s="20">
        <f t="shared" si="2"/>
        <v>0</v>
      </c>
      <c r="N467" s="22"/>
      <c r="O467" s="19" t="s">
        <v>1145</v>
      </c>
      <c r="P467" s="18"/>
      <c r="Q467" s="18"/>
      <c r="R467" s="23">
        <v>0.0</v>
      </c>
      <c r="S467" s="23">
        <v>0.0</v>
      </c>
      <c r="T467" s="23">
        <f t="shared" si="3"/>
        <v>0</v>
      </c>
      <c r="U467" s="23">
        <f t="shared" si="4"/>
        <v>0</v>
      </c>
      <c r="V467" s="23">
        <f t="shared" si="5"/>
        <v>0</v>
      </c>
      <c r="W467" s="24" t="str">
        <f t="shared" si="6"/>
        <v>#DIV/0!</v>
      </c>
    </row>
    <row r="468">
      <c r="A468" s="15" t="s">
        <v>1632</v>
      </c>
      <c r="B468" s="18"/>
      <c r="C468" s="15" t="s">
        <v>6714</v>
      </c>
      <c r="D468" s="18"/>
      <c r="E468" s="17" t="s">
        <v>1633</v>
      </c>
      <c r="F468" s="18"/>
      <c r="G468" s="18"/>
      <c r="H468" s="15" t="s">
        <v>1634</v>
      </c>
      <c r="I468" s="18"/>
      <c r="J468" s="19" t="s">
        <v>104</v>
      </c>
      <c r="K468" s="19" t="s">
        <v>105</v>
      </c>
      <c r="L468" s="19" t="s">
        <v>38</v>
      </c>
      <c r="M468" s="20">
        <f t="shared" si="2"/>
        <v>0</v>
      </c>
      <c r="N468" s="22"/>
      <c r="O468" s="19" t="s">
        <v>1145</v>
      </c>
      <c r="P468" s="18"/>
      <c r="Q468" s="18"/>
      <c r="R468" s="23">
        <v>0.0</v>
      </c>
      <c r="S468" s="23">
        <v>0.0</v>
      </c>
      <c r="T468" s="23">
        <f t="shared" si="3"/>
        <v>0</v>
      </c>
      <c r="U468" s="23">
        <f t="shared" si="4"/>
        <v>0</v>
      </c>
      <c r="V468" s="23">
        <f t="shared" si="5"/>
        <v>0</v>
      </c>
      <c r="W468" s="24" t="str">
        <f t="shared" si="6"/>
        <v>#DIV/0!</v>
      </c>
    </row>
    <row r="469">
      <c r="A469" s="15" t="s">
        <v>1635</v>
      </c>
      <c r="B469" s="18"/>
      <c r="C469" s="15" t="s">
        <v>6715</v>
      </c>
      <c r="D469" s="18"/>
      <c r="E469" s="17" t="s">
        <v>1636</v>
      </c>
      <c r="F469" s="18"/>
      <c r="G469" s="18"/>
      <c r="H469" s="15" t="s">
        <v>1637</v>
      </c>
      <c r="I469" s="18"/>
      <c r="J469" s="19" t="s">
        <v>104</v>
      </c>
      <c r="K469" s="19" t="s">
        <v>105</v>
      </c>
      <c r="L469" s="19" t="s">
        <v>38</v>
      </c>
      <c r="M469" s="20">
        <f t="shared" si="2"/>
        <v>0</v>
      </c>
      <c r="N469" s="22"/>
      <c r="O469" s="19" t="s">
        <v>1145</v>
      </c>
      <c r="P469" s="18"/>
      <c r="Q469" s="18"/>
      <c r="R469" s="23">
        <v>0.0</v>
      </c>
      <c r="S469" s="23">
        <v>0.0</v>
      </c>
      <c r="T469" s="23">
        <f t="shared" si="3"/>
        <v>0</v>
      </c>
      <c r="U469" s="23">
        <f t="shared" si="4"/>
        <v>0</v>
      </c>
      <c r="V469" s="23">
        <f t="shared" si="5"/>
        <v>0</v>
      </c>
      <c r="W469" s="24" t="str">
        <f t="shared" si="6"/>
        <v>#DIV/0!</v>
      </c>
    </row>
    <row r="470">
      <c r="A470" s="15" t="s">
        <v>1638</v>
      </c>
      <c r="B470" s="18"/>
      <c r="C470" s="15" t="s">
        <v>6716</v>
      </c>
      <c r="D470" s="18"/>
      <c r="E470" s="17" t="s">
        <v>1639</v>
      </c>
      <c r="F470" s="18"/>
      <c r="G470" s="18"/>
      <c r="H470" s="15" t="s">
        <v>1640</v>
      </c>
      <c r="I470" s="18"/>
      <c r="J470" s="19" t="s">
        <v>104</v>
      </c>
      <c r="K470" s="19" t="s">
        <v>105</v>
      </c>
      <c r="L470" s="19" t="s">
        <v>38</v>
      </c>
      <c r="M470" s="20">
        <f t="shared" si="2"/>
        <v>0</v>
      </c>
      <c r="N470" s="22"/>
      <c r="O470" s="19" t="s">
        <v>1145</v>
      </c>
      <c r="P470" s="18"/>
      <c r="Q470" s="18"/>
      <c r="R470" s="23">
        <v>0.0</v>
      </c>
      <c r="S470" s="23">
        <v>0.0</v>
      </c>
      <c r="T470" s="23">
        <f t="shared" si="3"/>
        <v>0</v>
      </c>
      <c r="U470" s="23">
        <f t="shared" si="4"/>
        <v>0</v>
      </c>
      <c r="V470" s="23">
        <f t="shared" si="5"/>
        <v>0</v>
      </c>
      <c r="W470" s="24" t="str">
        <f t="shared" si="6"/>
        <v>#DIV/0!</v>
      </c>
    </row>
    <row r="471">
      <c r="A471" s="15" t="s">
        <v>1641</v>
      </c>
      <c r="B471" s="18"/>
      <c r="C471" s="15" t="s">
        <v>6717</v>
      </c>
      <c r="D471" s="18"/>
      <c r="E471" s="17" t="s">
        <v>1642</v>
      </c>
      <c r="F471" s="18"/>
      <c r="G471" s="18"/>
      <c r="H471" s="15" t="s">
        <v>1643</v>
      </c>
      <c r="I471" s="18"/>
      <c r="J471" s="19" t="s">
        <v>104</v>
      </c>
      <c r="K471" s="19" t="s">
        <v>105</v>
      </c>
      <c r="L471" s="19" t="s">
        <v>38</v>
      </c>
      <c r="M471" s="20">
        <f t="shared" si="2"/>
        <v>0</v>
      </c>
      <c r="N471" s="22"/>
      <c r="O471" s="19" t="s">
        <v>1145</v>
      </c>
      <c r="P471" s="18"/>
      <c r="Q471" s="18"/>
      <c r="R471" s="23">
        <v>0.0</v>
      </c>
      <c r="S471" s="23">
        <v>0.0</v>
      </c>
      <c r="T471" s="23">
        <f t="shared" si="3"/>
        <v>0</v>
      </c>
      <c r="U471" s="23">
        <f t="shared" si="4"/>
        <v>0</v>
      </c>
      <c r="V471" s="23">
        <f t="shared" si="5"/>
        <v>0</v>
      </c>
      <c r="W471" s="24" t="str">
        <f t="shared" si="6"/>
        <v>#DIV/0!</v>
      </c>
    </row>
    <row r="472">
      <c r="A472" s="15" t="s">
        <v>1644</v>
      </c>
      <c r="B472" s="18"/>
      <c r="C472" s="15" t="s">
        <v>6718</v>
      </c>
      <c r="D472" s="18"/>
      <c r="E472" s="17" t="s">
        <v>1645</v>
      </c>
      <c r="F472" s="18"/>
      <c r="G472" s="18"/>
      <c r="H472" s="15" t="s">
        <v>1646</v>
      </c>
      <c r="I472" s="18"/>
      <c r="J472" s="19" t="s">
        <v>104</v>
      </c>
      <c r="K472" s="19" t="s">
        <v>105</v>
      </c>
      <c r="L472" s="19" t="s">
        <v>38</v>
      </c>
      <c r="M472" s="20">
        <f t="shared" si="2"/>
        <v>0</v>
      </c>
      <c r="N472" s="22"/>
      <c r="O472" s="19" t="s">
        <v>1145</v>
      </c>
      <c r="P472" s="18"/>
      <c r="Q472" s="18"/>
      <c r="R472" s="23">
        <v>0.0</v>
      </c>
      <c r="S472" s="23">
        <v>0.0</v>
      </c>
      <c r="T472" s="23">
        <f t="shared" si="3"/>
        <v>0</v>
      </c>
      <c r="U472" s="23">
        <f t="shared" si="4"/>
        <v>0</v>
      </c>
      <c r="V472" s="23">
        <f t="shared" si="5"/>
        <v>0</v>
      </c>
      <c r="W472" s="24" t="str">
        <f t="shared" si="6"/>
        <v>#DIV/0!</v>
      </c>
    </row>
    <row r="473">
      <c r="A473" s="15" t="s">
        <v>1647</v>
      </c>
      <c r="B473" s="18"/>
      <c r="C473" s="15" t="s">
        <v>6719</v>
      </c>
      <c r="D473" s="18"/>
      <c r="E473" s="17" t="s">
        <v>1648</v>
      </c>
      <c r="F473" s="18"/>
      <c r="G473" s="18"/>
      <c r="H473" s="15" t="s">
        <v>1649</v>
      </c>
      <c r="I473" s="18"/>
      <c r="J473" s="19" t="s">
        <v>104</v>
      </c>
      <c r="K473" s="19" t="s">
        <v>105</v>
      </c>
      <c r="L473" s="19" t="s">
        <v>38</v>
      </c>
      <c r="M473" s="20">
        <f t="shared" si="2"/>
        <v>0</v>
      </c>
      <c r="N473" s="22"/>
      <c r="O473" s="19" t="s">
        <v>1145</v>
      </c>
      <c r="P473" s="18"/>
      <c r="Q473" s="18"/>
      <c r="R473" s="23">
        <v>0.0</v>
      </c>
      <c r="S473" s="23">
        <v>0.0</v>
      </c>
      <c r="T473" s="23">
        <f t="shared" si="3"/>
        <v>0</v>
      </c>
      <c r="U473" s="23">
        <f t="shared" si="4"/>
        <v>0</v>
      </c>
      <c r="V473" s="23">
        <f t="shared" si="5"/>
        <v>0</v>
      </c>
      <c r="W473" s="24" t="str">
        <f t="shared" si="6"/>
        <v>#DIV/0!</v>
      </c>
    </row>
    <row r="474">
      <c r="A474" s="15" t="s">
        <v>1650</v>
      </c>
      <c r="B474" s="18"/>
      <c r="C474" s="15" t="s">
        <v>6720</v>
      </c>
      <c r="D474" s="18"/>
      <c r="E474" s="17" t="s">
        <v>1651</v>
      </c>
      <c r="F474" s="18"/>
      <c r="G474" s="18"/>
      <c r="H474" s="15" t="s">
        <v>1652</v>
      </c>
      <c r="I474" s="18"/>
      <c r="J474" s="19" t="s">
        <v>104</v>
      </c>
      <c r="K474" s="19" t="s">
        <v>105</v>
      </c>
      <c r="L474" s="19" t="s">
        <v>38</v>
      </c>
      <c r="M474" s="20">
        <f t="shared" si="2"/>
        <v>0</v>
      </c>
      <c r="N474" s="22"/>
      <c r="O474" s="19" t="s">
        <v>1145</v>
      </c>
      <c r="P474" s="18"/>
      <c r="Q474" s="18"/>
      <c r="R474" s="23">
        <v>0.0</v>
      </c>
      <c r="S474" s="23">
        <v>0.0</v>
      </c>
      <c r="T474" s="23">
        <f t="shared" si="3"/>
        <v>0</v>
      </c>
      <c r="U474" s="23">
        <f t="shared" si="4"/>
        <v>0</v>
      </c>
      <c r="V474" s="23">
        <f t="shared" si="5"/>
        <v>0</v>
      </c>
      <c r="W474" s="24" t="str">
        <f t="shared" si="6"/>
        <v>#DIV/0!</v>
      </c>
    </row>
    <row r="475">
      <c r="A475" s="15" t="s">
        <v>1653</v>
      </c>
      <c r="B475" s="18"/>
      <c r="C475" s="15" t="s">
        <v>6721</v>
      </c>
      <c r="D475" s="18"/>
      <c r="E475" s="17" t="s">
        <v>1654</v>
      </c>
      <c r="F475" s="18"/>
      <c r="G475" s="18"/>
      <c r="H475" s="15" t="s">
        <v>1655</v>
      </c>
      <c r="I475" s="18"/>
      <c r="J475" s="19" t="s">
        <v>104</v>
      </c>
      <c r="K475" s="19" t="s">
        <v>105</v>
      </c>
      <c r="L475" s="19" t="s">
        <v>38</v>
      </c>
      <c r="M475" s="20">
        <f t="shared" si="2"/>
        <v>0</v>
      </c>
      <c r="N475" s="22"/>
      <c r="O475" s="19" t="s">
        <v>1145</v>
      </c>
      <c r="P475" s="18"/>
      <c r="Q475" s="18"/>
      <c r="R475" s="23">
        <v>0.0</v>
      </c>
      <c r="S475" s="23">
        <v>0.0</v>
      </c>
      <c r="T475" s="23">
        <f t="shared" si="3"/>
        <v>0</v>
      </c>
      <c r="U475" s="23">
        <f t="shared" si="4"/>
        <v>0</v>
      </c>
      <c r="V475" s="23">
        <f t="shared" si="5"/>
        <v>0</v>
      </c>
      <c r="W475" s="24" t="str">
        <f t="shared" si="6"/>
        <v>#DIV/0!</v>
      </c>
    </row>
    <row r="476">
      <c r="A476" s="15" t="s">
        <v>1656</v>
      </c>
      <c r="B476" s="18"/>
      <c r="C476" s="15" t="s">
        <v>6722</v>
      </c>
      <c r="D476" s="18"/>
      <c r="E476" s="17" t="s">
        <v>1657</v>
      </c>
      <c r="F476" s="18"/>
      <c r="G476" s="18"/>
      <c r="H476" s="15" t="s">
        <v>1658</v>
      </c>
      <c r="I476" s="18"/>
      <c r="J476" s="19" t="s">
        <v>104</v>
      </c>
      <c r="K476" s="19" t="s">
        <v>105</v>
      </c>
      <c r="L476" s="19" t="s">
        <v>38</v>
      </c>
      <c r="M476" s="20">
        <f t="shared" si="2"/>
        <v>0</v>
      </c>
      <c r="N476" s="22"/>
      <c r="O476" s="19" t="s">
        <v>1145</v>
      </c>
      <c r="P476" s="18"/>
      <c r="Q476" s="18"/>
      <c r="R476" s="23">
        <v>0.0</v>
      </c>
      <c r="S476" s="23">
        <v>0.0</v>
      </c>
      <c r="T476" s="23">
        <f t="shared" si="3"/>
        <v>0</v>
      </c>
      <c r="U476" s="23">
        <f t="shared" si="4"/>
        <v>0</v>
      </c>
      <c r="V476" s="23">
        <f t="shared" si="5"/>
        <v>0</v>
      </c>
      <c r="W476" s="24" t="str">
        <f t="shared" si="6"/>
        <v>#DIV/0!</v>
      </c>
    </row>
    <row r="477">
      <c r="A477" s="15" t="s">
        <v>1659</v>
      </c>
      <c r="B477" s="18"/>
      <c r="C477" s="15" t="s">
        <v>6723</v>
      </c>
      <c r="D477" s="18"/>
      <c r="E477" s="17" t="s">
        <v>1660</v>
      </c>
      <c r="F477" s="18"/>
      <c r="G477" s="18"/>
      <c r="H477" s="15" t="s">
        <v>1661</v>
      </c>
      <c r="I477" s="18"/>
      <c r="J477" s="19" t="s">
        <v>104</v>
      </c>
      <c r="K477" s="19" t="s">
        <v>105</v>
      </c>
      <c r="L477" s="19" t="s">
        <v>38</v>
      </c>
      <c r="M477" s="20">
        <f t="shared" si="2"/>
        <v>0</v>
      </c>
      <c r="N477" s="22"/>
      <c r="O477" s="19" t="s">
        <v>1145</v>
      </c>
      <c r="P477" s="18"/>
      <c r="Q477" s="18"/>
      <c r="R477" s="23">
        <v>0.0</v>
      </c>
      <c r="S477" s="23">
        <v>0.0</v>
      </c>
      <c r="T477" s="23">
        <f t="shared" si="3"/>
        <v>0</v>
      </c>
      <c r="U477" s="23">
        <f t="shared" si="4"/>
        <v>0</v>
      </c>
      <c r="V477" s="23">
        <f t="shared" si="5"/>
        <v>0</v>
      </c>
      <c r="W477" s="24" t="str">
        <f t="shared" si="6"/>
        <v>#DIV/0!</v>
      </c>
    </row>
    <row r="478">
      <c r="A478" s="15" t="s">
        <v>1662</v>
      </c>
      <c r="B478" s="18"/>
      <c r="C478" s="15" t="s">
        <v>6724</v>
      </c>
      <c r="D478" s="18"/>
      <c r="E478" s="17" t="s">
        <v>1663</v>
      </c>
      <c r="F478" s="18"/>
      <c r="G478" s="18"/>
      <c r="H478" s="15" t="s">
        <v>1664</v>
      </c>
      <c r="I478" s="18"/>
      <c r="J478" s="19" t="s">
        <v>104</v>
      </c>
      <c r="K478" s="19" t="s">
        <v>105</v>
      </c>
      <c r="L478" s="19" t="s">
        <v>38</v>
      </c>
      <c r="M478" s="20">
        <f t="shared" si="2"/>
        <v>0</v>
      </c>
      <c r="N478" s="22"/>
      <c r="O478" s="19" t="s">
        <v>1145</v>
      </c>
      <c r="P478" s="18"/>
      <c r="Q478" s="18"/>
      <c r="R478" s="23">
        <v>0.0</v>
      </c>
      <c r="S478" s="23">
        <v>0.0</v>
      </c>
      <c r="T478" s="23">
        <f t="shared" si="3"/>
        <v>0</v>
      </c>
      <c r="U478" s="23">
        <f t="shared" si="4"/>
        <v>0</v>
      </c>
      <c r="V478" s="23">
        <f t="shared" si="5"/>
        <v>0</v>
      </c>
      <c r="W478" s="24" t="str">
        <f t="shared" si="6"/>
        <v>#DIV/0!</v>
      </c>
    </row>
    <row r="479">
      <c r="A479" s="15" t="s">
        <v>1665</v>
      </c>
      <c r="B479" s="18"/>
      <c r="C479" s="15" t="s">
        <v>6725</v>
      </c>
      <c r="D479" s="18"/>
      <c r="E479" s="17" t="s">
        <v>1666</v>
      </c>
      <c r="F479" s="18"/>
      <c r="G479" s="18"/>
      <c r="H479" s="15" t="s">
        <v>1667</v>
      </c>
      <c r="I479" s="18"/>
      <c r="J479" s="19" t="s">
        <v>104</v>
      </c>
      <c r="K479" s="19" t="s">
        <v>105</v>
      </c>
      <c r="L479" s="19" t="s">
        <v>38</v>
      </c>
      <c r="M479" s="20">
        <f t="shared" si="2"/>
        <v>0</v>
      </c>
      <c r="N479" s="22"/>
      <c r="O479" s="19" t="s">
        <v>1145</v>
      </c>
      <c r="P479" s="18"/>
      <c r="Q479" s="18"/>
      <c r="R479" s="23">
        <v>0.0</v>
      </c>
      <c r="S479" s="23">
        <v>0.0</v>
      </c>
      <c r="T479" s="23">
        <f t="shared" si="3"/>
        <v>0</v>
      </c>
      <c r="U479" s="23">
        <f t="shared" si="4"/>
        <v>0</v>
      </c>
      <c r="V479" s="23">
        <f t="shared" si="5"/>
        <v>0</v>
      </c>
      <c r="W479" s="24" t="str">
        <f t="shared" si="6"/>
        <v>#DIV/0!</v>
      </c>
    </row>
    <row r="480">
      <c r="A480" s="15" t="s">
        <v>1668</v>
      </c>
      <c r="B480" s="18"/>
      <c r="C480" s="15" t="s">
        <v>6726</v>
      </c>
      <c r="D480" s="18"/>
      <c r="E480" s="17" t="s">
        <v>1669</v>
      </c>
      <c r="F480" s="18"/>
      <c r="G480" s="18"/>
      <c r="H480" s="15" t="s">
        <v>1670</v>
      </c>
      <c r="I480" s="18"/>
      <c r="J480" s="19" t="s">
        <v>104</v>
      </c>
      <c r="K480" s="19" t="s">
        <v>105</v>
      </c>
      <c r="L480" s="19" t="s">
        <v>38</v>
      </c>
      <c r="M480" s="20">
        <f t="shared" si="2"/>
        <v>0</v>
      </c>
      <c r="N480" s="22"/>
      <c r="O480" s="19" t="s">
        <v>1145</v>
      </c>
      <c r="P480" s="18"/>
      <c r="Q480" s="18"/>
      <c r="R480" s="23">
        <v>0.0</v>
      </c>
      <c r="S480" s="23">
        <v>0.0</v>
      </c>
      <c r="T480" s="23">
        <f t="shared" si="3"/>
        <v>0</v>
      </c>
      <c r="U480" s="23">
        <f t="shared" si="4"/>
        <v>0</v>
      </c>
      <c r="V480" s="23">
        <f t="shared" si="5"/>
        <v>0</v>
      </c>
      <c r="W480" s="24" t="str">
        <f t="shared" si="6"/>
        <v>#DIV/0!</v>
      </c>
    </row>
    <row r="481">
      <c r="A481" s="15" t="s">
        <v>1671</v>
      </c>
      <c r="B481" s="18"/>
      <c r="C481" s="15" t="s">
        <v>6727</v>
      </c>
      <c r="D481" s="18"/>
      <c r="E481" s="17" t="s">
        <v>1672</v>
      </c>
      <c r="F481" s="18"/>
      <c r="G481" s="18"/>
      <c r="H481" s="15" t="s">
        <v>1673</v>
      </c>
      <c r="I481" s="18"/>
      <c r="J481" s="19" t="s">
        <v>1674</v>
      </c>
      <c r="K481" s="19" t="s">
        <v>105</v>
      </c>
      <c r="L481" s="19" t="s">
        <v>38</v>
      </c>
      <c r="M481" s="20">
        <f t="shared" si="2"/>
        <v>0</v>
      </c>
      <c r="N481" s="22"/>
      <c r="O481" s="19" t="s">
        <v>1145</v>
      </c>
      <c r="P481" s="18"/>
      <c r="Q481" s="18"/>
      <c r="R481" s="23">
        <v>0.0</v>
      </c>
      <c r="S481" s="23">
        <v>0.0</v>
      </c>
      <c r="T481" s="23">
        <f t="shared" si="3"/>
        <v>0</v>
      </c>
      <c r="U481" s="23">
        <f t="shared" si="4"/>
        <v>0</v>
      </c>
      <c r="V481" s="23">
        <f t="shared" si="5"/>
        <v>0</v>
      </c>
      <c r="W481" s="24" t="str">
        <f t="shared" si="6"/>
        <v>#DIV/0!</v>
      </c>
    </row>
    <row r="482">
      <c r="A482" s="15" t="s">
        <v>1675</v>
      </c>
      <c r="B482" s="18"/>
      <c r="C482" s="15" t="s">
        <v>6728</v>
      </c>
      <c r="D482" s="18"/>
      <c r="E482" s="17" t="s">
        <v>1676</v>
      </c>
      <c r="F482" s="18"/>
      <c r="G482" s="18"/>
      <c r="H482" s="15" t="s">
        <v>1677</v>
      </c>
      <c r="I482" s="18"/>
      <c r="J482" s="19" t="s">
        <v>1674</v>
      </c>
      <c r="K482" s="19" t="s">
        <v>37</v>
      </c>
      <c r="L482" s="19" t="s">
        <v>38</v>
      </c>
      <c r="M482" s="20">
        <f t="shared" si="2"/>
        <v>0</v>
      </c>
      <c r="N482" s="22"/>
      <c r="O482" s="19" t="s">
        <v>1145</v>
      </c>
      <c r="P482" s="18"/>
      <c r="Q482" s="18"/>
      <c r="R482" s="23">
        <v>0.0</v>
      </c>
      <c r="S482" s="23">
        <v>0.0</v>
      </c>
      <c r="T482" s="23">
        <f t="shared" si="3"/>
        <v>0</v>
      </c>
      <c r="U482" s="23">
        <f t="shared" si="4"/>
        <v>0</v>
      </c>
      <c r="V482" s="23">
        <f t="shared" si="5"/>
        <v>0</v>
      </c>
      <c r="W482" s="24" t="str">
        <f t="shared" si="6"/>
        <v>#DIV/0!</v>
      </c>
    </row>
    <row r="483">
      <c r="A483" s="15" t="s">
        <v>1678</v>
      </c>
      <c r="B483" s="18"/>
      <c r="C483" s="15" t="s">
        <v>6729</v>
      </c>
      <c r="D483" s="18"/>
      <c r="E483" s="17" t="s">
        <v>1679</v>
      </c>
      <c r="F483" s="18"/>
      <c r="G483" s="18"/>
      <c r="H483" s="15" t="s">
        <v>1680</v>
      </c>
      <c r="I483" s="18"/>
      <c r="J483" s="19" t="s">
        <v>1674</v>
      </c>
      <c r="K483" s="19" t="s">
        <v>402</v>
      </c>
      <c r="L483" s="19" t="s">
        <v>38</v>
      </c>
      <c r="M483" s="20">
        <f t="shared" si="2"/>
        <v>0</v>
      </c>
      <c r="N483" s="22"/>
      <c r="O483" s="19" t="s">
        <v>1145</v>
      </c>
      <c r="P483" s="18"/>
      <c r="Q483" s="18"/>
      <c r="R483" s="23">
        <v>0.0</v>
      </c>
      <c r="S483" s="23">
        <v>0.0</v>
      </c>
      <c r="T483" s="23">
        <f t="shared" si="3"/>
        <v>0</v>
      </c>
      <c r="U483" s="23">
        <f t="shared" si="4"/>
        <v>0</v>
      </c>
      <c r="V483" s="23">
        <f t="shared" si="5"/>
        <v>0</v>
      </c>
      <c r="W483" s="24" t="str">
        <f t="shared" si="6"/>
        <v>#DIV/0!</v>
      </c>
    </row>
    <row r="484">
      <c r="A484" s="15" t="s">
        <v>6730</v>
      </c>
      <c r="B484" s="18"/>
      <c r="C484" s="15" t="s">
        <v>6731</v>
      </c>
      <c r="D484" s="18"/>
      <c r="E484" s="17" t="s">
        <v>916</v>
      </c>
      <c r="F484" s="18"/>
      <c r="G484" s="18"/>
      <c r="H484" s="15" t="s">
        <v>6732</v>
      </c>
      <c r="I484" s="18"/>
      <c r="J484" s="19" t="s">
        <v>1674</v>
      </c>
      <c r="K484" s="19" t="s">
        <v>402</v>
      </c>
      <c r="L484" s="19" t="s">
        <v>38</v>
      </c>
      <c r="M484" s="20">
        <f t="shared" si="2"/>
        <v>0</v>
      </c>
      <c r="N484" s="22"/>
      <c r="O484" s="19" t="s">
        <v>39</v>
      </c>
      <c r="P484" s="18"/>
      <c r="Q484" s="18"/>
      <c r="R484" s="23">
        <v>0.0</v>
      </c>
      <c r="S484" s="23">
        <v>0.0</v>
      </c>
      <c r="T484" s="23">
        <f t="shared" si="3"/>
        <v>0</v>
      </c>
      <c r="U484" s="23">
        <f t="shared" si="4"/>
        <v>0</v>
      </c>
      <c r="V484" s="23">
        <f t="shared" si="5"/>
        <v>0</v>
      </c>
      <c r="W484" s="24" t="str">
        <f t="shared" si="6"/>
        <v>#DIV/0!</v>
      </c>
    </row>
    <row r="485">
      <c r="A485" s="15" t="s">
        <v>6733</v>
      </c>
      <c r="B485" s="18"/>
      <c r="C485" s="15" t="s">
        <v>6734</v>
      </c>
      <c r="D485" s="18"/>
      <c r="E485" s="17" t="s">
        <v>6735</v>
      </c>
      <c r="F485" s="18"/>
      <c r="G485" s="18"/>
      <c r="H485" s="15" t="s">
        <v>6736</v>
      </c>
      <c r="I485" s="18"/>
      <c r="J485" s="19" t="s">
        <v>1674</v>
      </c>
      <c r="K485" s="19" t="s">
        <v>402</v>
      </c>
      <c r="L485" s="19" t="s">
        <v>38</v>
      </c>
      <c r="M485" s="20">
        <f t="shared" si="2"/>
        <v>0</v>
      </c>
      <c r="N485" s="22"/>
      <c r="O485" s="19" t="s">
        <v>39</v>
      </c>
      <c r="P485" s="18"/>
      <c r="Q485" s="18"/>
      <c r="R485" s="23">
        <v>0.0</v>
      </c>
      <c r="S485" s="23">
        <v>0.0</v>
      </c>
      <c r="T485" s="23">
        <f t="shared" si="3"/>
        <v>0</v>
      </c>
      <c r="U485" s="23">
        <f t="shared" si="4"/>
        <v>0</v>
      </c>
      <c r="V485" s="23">
        <f t="shared" si="5"/>
        <v>0</v>
      </c>
      <c r="W485" s="24" t="str">
        <f t="shared" si="6"/>
        <v>#DIV/0!</v>
      </c>
    </row>
    <row r="486">
      <c r="A486" s="15" t="s">
        <v>6737</v>
      </c>
      <c r="B486" s="18"/>
      <c r="C486" s="15" t="s">
        <v>6738</v>
      </c>
      <c r="D486" s="18"/>
      <c r="E486" s="17" t="s">
        <v>6739</v>
      </c>
      <c r="F486" s="18"/>
      <c r="G486" s="18"/>
      <c r="H486" s="15" t="s">
        <v>6740</v>
      </c>
      <c r="I486" s="18"/>
      <c r="J486" s="19" t="s">
        <v>1674</v>
      </c>
      <c r="K486" s="19" t="s">
        <v>402</v>
      </c>
      <c r="L486" s="19" t="s">
        <v>38</v>
      </c>
      <c r="M486" s="20">
        <f t="shared" si="2"/>
        <v>0</v>
      </c>
      <c r="N486" s="22"/>
      <c r="O486" s="19" t="s">
        <v>39</v>
      </c>
      <c r="P486" s="18"/>
      <c r="Q486" s="18"/>
      <c r="R486" s="23">
        <v>0.0</v>
      </c>
      <c r="S486" s="23">
        <v>0.0</v>
      </c>
      <c r="T486" s="23">
        <f t="shared" si="3"/>
        <v>0</v>
      </c>
      <c r="U486" s="23">
        <f t="shared" si="4"/>
        <v>0</v>
      </c>
      <c r="V486" s="23">
        <f t="shared" si="5"/>
        <v>0</v>
      </c>
      <c r="W486" s="24" t="str">
        <f t="shared" si="6"/>
        <v>#DIV/0!</v>
      </c>
    </row>
    <row r="487">
      <c r="A487" s="15" t="s">
        <v>1681</v>
      </c>
      <c r="B487" s="18"/>
      <c r="C487" s="15" t="s">
        <v>6741</v>
      </c>
      <c r="D487" s="18"/>
      <c r="E487" s="17" t="s">
        <v>1682</v>
      </c>
      <c r="F487" s="18"/>
      <c r="G487" s="18"/>
      <c r="H487" s="15" t="s">
        <v>1683</v>
      </c>
      <c r="I487" s="18"/>
      <c r="J487" s="19" t="s">
        <v>1674</v>
      </c>
      <c r="K487" s="19" t="s">
        <v>37</v>
      </c>
      <c r="L487" s="19" t="s">
        <v>38</v>
      </c>
      <c r="M487" s="20">
        <f t="shared" si="2"/>
        <v>0</v>
      </c>
      <c r="N487" s="22"/>
      <c r="O487" s="19" t="s">
        <v>1145</v>
      </c>
      <c r="P487" s="18"/>
      <c r="Q487" s="18"/>
      <c r="R487" s="23">
        <v>0.0</v>
      </c>
      <c r="S487" s="23">
        <v>0.0</v>
      </c>
      <c r="T487" s="23">
        <f t="shared" si="3"/>
        <v>0</v>
      </c>
      <c r="U487" s="23">
        <f t="shared" si="4"/>
        <v>0</v>
      </c>
      <c r="V487" s="23">
        <f t="shared" si="5"/>
        <v>0</v>
      </c>
      <c r="W487" s="24" t="str">
        <f t="shared" si="6"/>
        <v>#DIV/0!</v>
      </c>
    </row>
    <row r="488">
      <c r="A488" s="15" t="s">
        <v>6742</v>
      </c>
      <c r="B488" s="18"/>
      <c r="C488" s="15" t="s">
        <v>6743</v>
      </c>
      <c r="D488" s="18"/>
      <c r="E488" s="17" t="s">
        <v>6744</v>
      </c>
      <c r="F488" s="18"/>
      <c r="G488" s="18"/>
      <c r="H488" s="15" t="s">
        <v>6745</v>
      </c>
      <c r="I488" s="18"/>
      <c r="J488" s="19" t="s">
        <v>1674</v>
      </c>
      <c r="K488" s="19" t="s">
        <v>402</v>
      </c>
      <c r="L488" s="19" t="s">
        <v>38</v>
      </c>
      <c r="M488" s="20">
        <f t="shared" si="2"/>
        <v>0</v>
      </c>
      <c r="N488" s="22"/>
      <c r="O488" s="19" t="s">
        <v>39</v>
      </c>
      <c r="P488" s="18"/>
      <c r="Q488" s="18"/>
      <c r="R488" s="23">
        <v>0.0</v>
      </c>
      <c r="S488" s="23">
        <v>0.0</v>
      </c>
      <c r="T488" s="23">
        <f t="shared" si="3"/>
        <v>0</v>
      </c>
      <c r="U488" s="23">
        <f t="shared" si="4"/>
        <v>0</v>
      </c>
      <c r="V488" s="23">
        <f t="shared" si="5"/>
        <v>0</v>
      </c>
      <c r="W488" s="24" t="str">
        <f t="shared" si="6"/>
        <v>#DIV/0!</v>
      </c>
    </row>
    <row r="489">
      <c r="A489" s="15" t="s">
        <v>1684</v>
      </c>
      <c r="B489" s="18"/>
      <c r="C489" s="15" t="s">
        <v>6746</v>
      </c>
      <c r="D489" s="18"/>
      <c r="E489" s="17" t="s">
        <v>1685</v>
      </c>
      <c r="F489" s="18"/>
      <c r="G489" s="18"/>
      <c r="H489" s="15" t="s">
        <v>1686</v>
      </c>
      <c r="I489" s="18"/>
      <c r="J489" s="19" t="s">
        <v>1674</v>
      </c>
      <c r="K489" s="19" t="s">
        <v>37</v>
      </c>
      <c r="L489" s="19" t="s">
        <v>38</v>
      </c>
      <c r="M489" s="20">
        <f t="shared" si="2"/>
        <v>0</v>
      </c>
      <c r="N489" s="22"/>
      <c r="O489" s="19" t="s">
        <v>1145</v>
      </c>
      <c r="P489" s="18"/>
      <c r="Q489" s="18"/>
      <c r="R489" s="23">
        <v>0.0</v>
      </c>
      <c r="S489" s="23">
        <v>0.0</v>
      </c>
      <c r="T489" s="23">
        <f t="shared" si="3"/>
        <v>0</v>
      </c>
      <c r="U489" s="23">
        <f t="shared" si="4"/>
        <v>0</v>
      </c>
      <c r="V489" s="23">
        <f t="shared" si="5"/>
        <v>0</v>
      </c>
      <c r="W489" s="24" t="str">
        <f t="shared" si="6"/>
        <v>#DIV/0!</v>
      </c>
    </row>
    <row r="490">
      <c r="A490" s="15" t="s">
        <v>1687</v>
      </c>
      <c r="B490" s="18"/>
      <c r="C490" s="15" t="s">
        <v>6747</v>
      </c>
      <c r="D490" s="18"/>
      <c r="E490" s="17" t="s">
        <v>1688</v>
      </c>
      <c r="F490" s="18"/>
      <c r="G490" s="18"/>
      <c r="H490" s="15" t="s">
        <v>1689</v>
      </c>
      <c r="I490" s="18"/>
      <c r="J490" s="19" t="s">
        <v>1674</v>
      </c>
      <c r="K490" s="19" t="s">
        <v>105</v>
      </c>
      <c r="L490" s="19" t="s">
        <v>38</v>
      </c>
      <c r="M490" s="20">
        <f t="shared" si="2"/>
        <v>0</v>
      </c>
      <c r="N490" s="22"/>
      <c r="O490" s="19" t="s">
        <v>1145</v>
      </c>
      <c r="P490" s="18"/>
      <c r="Q490" s="18"/>
      <c r="R490" s="23">
        <v>0.0</v>
      </c>
      <c r="S490" s="23">
        <v>0.0</v>
      </c>
      <c r="T490" s="23">
        <f t="shared" si="3"/>
        <v>0</v>
      </c>
      <c r="U490" s="23">
        <f t="shared" si="4"/>
        <v>0</v>
      </c>
      <c r="V490" s="23">
        <f t="shared" si="5"/>
        <v>0</v>
      </c>
      <c r="W490" s="24" t="str">
        <f t="shared" si="6"/>
        <v>#DIV/0!</v>
      </c>
    </row>
    <row r="491">
      <c r="A491" s="15" t="s">
        <v>1690</v>
      </c>
      <c r="B491" s="18"/>
      <c r="C491" s="15" t="s">
        <v>6748</v>
      </c>
      <c r="D491" s="18"/>
      <c r="E491" s="17" t="s">
        <v>1691</v>
      </c>
      <c r="F491" s="18"/>
      <c r="G491" s="18"/>
      <c r="H491" s="15" t="s">
        <v>1692</v>
      </c>
      <c r="I491" s="18"/>
      <c r="J491" s="19" t="s">
        <v>1674</v>
      </c>
      <c r="K491" s="19" t="s">
        <v>105</v>
      </c>
      <c r="L491" s="19" t="s">
        <v>38</v>
      </c>
      <c r="M491" s="20">
        <f t="shared" si="2"/>
        <v>0</v>
      </c>
      <c r="N491" s="22"/>
      <c r="O491" s="19" t="s">
        <v>1145</v>
      </c>
      <c r="P491" s="18"/>
      <c r="Q491" s="18"/>
      <c r="R491" s="23">
        <v>0.0</v>
      </c>
      <c r="S491" s="23">
        <v>0.0</v>
      </c>
      <c r="T491" s="23">
        <f t="shared" si="3"/>
        <v>0</v>
      </c>
      <c r="U491" s="23">
        <f t="shared" si="4"/>
        <v>0</v>
      </c>
      <c r="V491" s="23">
        <f t="shared" si="5"/>
        <v>0</v>
      </c>
      <c r="W491" s="24" t="str">
        <f t="shared" si="6"/>
        <v>#DIV/0!</v>
      </c>
    </row>
    <row r="492">
      <c r="A492" s="15" t="s">
        <v>1693</v>
      </c>
      <c r="B492" s="18"/>
      <c r="C492" s="15" t="s">
        <v>6749</v>
      </c>
      <c r="D492" s="18"/>
      <c r="E492" s="17" t="s">
        <v>1694</v>
      </c>
      <c r="F492" s="18"/>
      <c r="G492" s="18"/>
      <c r="H492" s="15" t="s">
        <v>1695</v>
      </c>
      <c r="I492" s="18"/>
      <c r="J492" s="19" t="s">
        <v>1674</v>
      </c>
      <c r="K492" s="19" t="s">
        <v>1230</v>
      </c>
      <c r="L492" s="19" t="s">
        <v>38</v>
      </c>
      <c r="M492" s="20">
        <f t="shared" si="2"/>
        <v>0</v>
      </c>
      <c r="N492" s="22"/>
      <c r="O492" s="19" t="s">
        <v>1145</v>
      </c>
      <c r="P492" s="18"/>
      <c r="Q492" s="18"/>
      <c r="R492" s="23">
        <v>0.0</v>
      </c>
      <c r="S492" s="23">
        <v>0.0</v>
      </c>
      <c r="T492" s="23">
        <f t="shared" si="3"/>
        <v>0</v>
      </c>
      <c r="U492" s="23">
        <f t="shared" si="4"/>
        <v>0</v>
      </c>
      <c r="V492" s="23">
        <f t="shared" si="5"/>
        <v>0</v>
      </c>
      <c r="W492" s="24" t="str">
        <f t="shared" si="6"/>
        <v>#DIV/0!</v>
      </c>
    </row>
    <row r="493">
      <c r="A493" s="15" t="s">
        <v>1696</v>
      </c>
      <c r="B493" s="18"/>
      <c r="C493" s="15" t="s">
        <v>6750</v>
      </c>
      <c r="D493" s="18"/>
      <c r="E493" s="17" t="s">
        <v>1697</v>
      </c>
      <c r="F493" s="18"/>
      <c r="G493" s="18"/>
      <c r="H493" s="15" t="s">
        <v>1698</v>
      </c>
      <c r="I493" s="18"/>
      <c r="J493" s="19" t="s">
        <v>1674</v>
      </c>
      <c r="K493" s="19" t="s">
        <v>1230</v>
      </c>
      <c r="L493" s="19" t="s">
        <v>38</v>
      </c>
      <c r="M493" s="20">
        <f t="shared" si="2"/>
        <v>0</v>
      </c>
      <c r="N493" s="22"/>
      <c r="O493" s="19" t="s">
        <v>1145</v>
      </c>
      <c r="P493" s="18"/>
      <c r="Q493" s="18"/>
      <c r="R493" s="23">
        <v>0.0</v>
      </c>
      <c r="S493" s="23">
        <v>0.0</v>
      </c>
      <c r="T493" s="23">
        <f t="shared" si="3"/>
        <v>0</v>
      </c>
      <c r="U493" s="23">
        <f t="shared" si="4"/>
        <v>0</v>
      </c>
      <c r="V493" s="23">
        <f t="shared" si="5"/>
        <v>0</v>
      </c>
      <c r="W493" s="24" t="str">
        <f t="shared" si="6"/>
        <v>#DIV/0!</v>
      </c>
    </row>
    <row r="494">
      <c r="A494" s="15" t="s">
        <v>1699</v>
      </c>
      <c r="B494" s="18"/>
      <c r="C494" s="15" t="s">
        <v>6751</v>
      </c>
      <c r="D494" s="18"/>
      <c r="E494" s="17" t="s">
        <v>1700</v>
      </c>
      <c r="F494" s="18"/>
      <c r="G494" s="18"/>
      <c r="H494" s="15" t="s">
        <v>1701</v>
      </c>
      <c r="I494" s="18"/>
      <c r="J494" s="19" t="s">
        <v>1674</v>
      </c>
      <c r="K494" s="19" t="s">
        <v>402</v>
      </c>
      <c r="L494" s="19" t="s">
        <v>38</v>
      </c>
      <c r="M494" s="20">
        <f t="shared" si="2"/>
        <v>0</v>
      </c>
      <c r="N494" s="22"/>
      <c r="O494" s="19" t="s">
        <v>1145</v>
      </c>
      <c r="P494" s="18"/>
      <c r="Q494" s="18"/>
      <c r="R494" s="23">
        <v>0.0</v>
      </c>
      <c r="S494" s="23">
        <v>0.0</v>
      </c>
      <c r="T494" s="23">
        <f t="shared" si="3"/>
        <v>0</v>
      </c>
      <c r="U494" s="23">
        <f t="shared" si="4"/>
        <v>0</v>
      </c>
      <c r="V494" s="23">
        <f t="shared" si="5"/>
        <v>0</v>
      </c>
      <c r="W494" s="24" t="str">
        <f t="shared" si="6"/>
        <v>#DIV/0!</v>
      </c>
    </row>
    <row r="495">
      <c r="A495" s="15" t="s">
        <v>1702</v>
      </c>
      <c r="B495" s="18"/>
      <c r="C495" s="15" t="s">
        <v>6752</v>
      </c>
      <c r="D495" s="18"/>
      <c r="E495" s="17" t="s">
        <v>1703</v>
      </c>
      <c r="F495" s="18"/>
      <c r="G495" s="18"/>
      <c r="H495" s="15" t="s">
        <v>1704</v>
      </c>
      <c r="I495" s="18"/>
      <c r="J495" s="19" t="s">
        <v>1674</v>
      </c>
      <c r="K495" s="19" t="s">
        <v>105</v>
      </c>
      <c r="L495" s="19" t="s">
        <v>38</v>
      </c>
      <c r="M495" s="20">
        <f t="shared" si="2"/>
        <v>0</v>
      </c>
      <c r="N495" s="22"/>
      <c r="O495" s="19" t="s">
        <v>1145</v>
      </c>
      <c r="P495" s="18"/>
      <c r="Q495" s="18"/>
      <c r="R495" s="23">
        <v>0.0</v>
      </c>
      <c r="S495" s="23">
        <v>0.0</v>
      </c>
      <c r="T495" s="23">
        <f t="shared" si="3"/>
        <v>0</v>
      </c>
      <c r="U495" s="23">
        <f t="shared" si="4"/>
        <v>0</v>
      </c>
      <c r="V495" s="23">
        <f t="shared" si="5"/>
        <v>0</v>
      </c>
      <c r="W495" s="24" t="str">
        <f t="shared" si="6"/>
        <v>#DIV/0!</v>
      </c>
    </row>
    <row r="496">
      <c r="A496" s="15" t="s">
        <v>1705</v>
      </c>
      <c r="B496" s="18"/>
      <c r="C496" s="15" t="s">
        <v>6753</v>
      </c>
      <c r="D496" s="18"/>
      <c r="E496" s="17" t="s">
        <v>1706</v>
      </c>
      <c r="F496" s="18"/>
      <c r="G496" s="18"/>
      <c r="H496" s="15" t="s">
        <v>1707</v>
      </c>
      <c r="I496" s="18"/>
      <c r="J496" s="19" t="s">
        <v>1674</v>
      </c>
      <c r="K496" s="19" t="s">
        <v>1230</v>
      </c>
      <c r="L496" s="19" t="s">
        <v>38</v>
      </c>
      <c r="M496" s="20">
        <f t="shared" si="2"/>
        <v>0</v>
      </c>
      <c r="N496" s="22"/>
      <c r="O496" s="19" t="s">
        <v>1145</v>
      </c>
      <c r="P496" s="18"/>
      <c r="Q496" s="18"/>
      <c r="R496" s="23">
        <v>0.0</v>
      </c>
      <c r="S496" s="23">
        <v>0.0</v>
      </c>
      <c r="T496" s="23">
        <f t="shared" si="3"/>
        <v>0</v>
      </c>
      <c r="U496" s="23">
        <f t="shared" si="4"/>
        <v>0</v>
      </c>
      <c r="V496" s="23">
        <f t="shared" si="5"/>
        <v>0</v>
      </c>
      <c r="W496" s="24" t="str">
        <f t="shared" si="6"/>
        <v>#DIV/0!</v>
      </c>
    </row>
    <row r="497">
      <c r="A497" s="15" t="s">
        <v>1708</v>
      </c>
      <c r="B497" s="18"/>
      <c r="C497" s="15" t="s">
        <v>6754</v>
      </c>
      <c r="D497" s="18"/>
      <c r="E497" s="17" t="s">
        <v>1709</v>
      </c>
      <c r="F497" s="18"/>
      <c r="G497" s="18"/>
      <c r="H497" s="15" t="s">
        <v>1710</v>
      </c>
      <c r="I497" s="18"/>
      <c r="J497" s="19" t="s">
        <v>1674</v>
      </c>
      <c r="K497" s="19" t="s">
        <v>105</v>
      </c>
      <c r="L497" s="19" t="s">
        <v>38</v>
      </c>
      <c r="M497" s="20">
        <f t="shared" si="2"/>
        <v>0</v>
      </c>
      <c r="N497" s="22"/>
      <c r="O497" s="19" t="s">
        <v>1145</v>
      </c>
      <c r="P497" s="18"/>
      <c r="Q497" s="18"/>
      <c r="R497" s="23">
        <v>0.0</v>
      </c>
      <c r="S497" s="23">
        <v>0.0</v>
      </c>
      <c r="T497" s="23">
        <f t="shared" si="3"/>
        <v>0</v>
      </c>
      <c r="U497" s="23">
        <f t="shared" si="4"/>
        <v>0</v>
      </c>
      <c r="V497" s="23">
        <f t="shared" si="5"/>
        <v>0</v>
      </c>
      <c r="W497" s="24" t="str">
        <f t="shared" si="6"/>
        <v>#DIV/0!</v>
      </c>
    </row>
    <row r="498">
      <c r="A498" s="15" t="s">
        <v>1711</v>
      </c>
      <c r="B498" s="18"/>
      <c r="C498" s="15" t="s">
        <v>6755</v>
      </c>
      <c r="D498" s="18"/>
      <c r="E498" s="17" t="s">
        <v>1712</v>
      </c>
      <c r="F498" s="18"/>
      <c r="G498" s="18"/>
      <c r="H498" s="15" t="s">
        <v>1713</v>
      </c>
      <c r="I498" s="18"/>
      <c r="J498" s="19" t="s">
        <v>1674</v>
      </c>
      <c r="K498" s="19" t="s">
        <v>402</v>
      </c>
      <c r="L498" s="19" t="s">
        <v>38</v>
      </c>
      <c r="M498" s="20">
        <f t="shared" si="2"/>
        <v>0</v>
      </c>
      <c r="N498" s="22"/>
      <c r="O498" s="19" t="s">
        <v>1145</v>
      </c>
      <c r="P498" s="18"/>
      <c r="Q498" s="18"/>
      <c r="R498" s="23">
        <v>0.0</v>
      </c>
      <c r="S498" s="23">
        <v>0.0</v>
      </c>
      <c r="T498" s="23">
        <f t="shared" si="3"/>
        <v>0</v>
      </c>
      <c r="U498" s="23">
        <f t="shared" si="4"/>
        <v>0</v>
      </c>
      <c r="V498" s="23">
        <f t="shared" si="5"/>
        <v>0</v>
      </c>
      <c r="W498" s="24" t="str">
        <f t="shared" si="6"/>
        <v>#DIV/0!</v>
      </c>
    </row>
    <row r="499">
      <c r="A499" s="15" t="s">
        <v>6756</v>
      </c>
      <c r="B499" s="18"/>
      <c r="C499" s="15" t="s">
        <v>6757</v>
      </c>
      <c r="D499" s="18"/>
      <c r="E499" s="17" t="s">
        <v>6758</v>
      </c>
      <c r="F499" s="18"/>
      <c r="G499" s="18"/>
      <c r="H499" s="15" t="s">
        <v>6759</v>
      </c>
      <c r="I499" s="15" t="s">
        <v>6760</v>
      </c>
      <c r="J499" s="19" t="s">
        <v>36</v>
      </c>
      <c r="K499" s="19" t="s">
        <v>1230</v>
      </c>
      <c r="L499" s="19" t="s">
        <v>38</v>
      </c>
      <c r="M499" s="20">
        <f t="shared" si="2"/>
        <v>0</v>
      </c>
      <c r="N499" s="22"/>
      <c r="O499" s="19" t="s">
        <v>39</v>
      </c>
      <c r="P499" s="18"/>
      <c r="Q499" s="18"/>
      <c r="R499" s="23">
        <v>0.0</v>
      </c>
      <c r="S499" s="23">
        <v>0.0</v>
      </c>
      <c r="T499" s="23">
        <f t="shared" si="3"/>
        <v>0</v>
      </c>
      <c r="U499" s="23">
        <f t="shared" si="4"/>
        <v>0</v>
      </c>
      <c r="V499" s="23">
        <f t="shared" si="5"/>
        <v>0</v>
      </c>
      <c r="W499" s="24" t="str">
        <f t="shared" si="6"/>
        <v>#DIV/0!</v>
      </c>
    </row>
    <row r="500">
      <c r="A500" s="15" t="s">
        <v>6761</v>
      </c>
      <c r="B500" s="18"/>
      <c r="C500" s="15" t="s">
        <v>6762</v>
      </c>
      <c r="D500" s="18"/>
      <c r="E500" s="17" t="s">
        <v>6763</v>
      </c>
      <c r="F500" s="18"/>
      <c r="G500" s="18"/>
      <c r="H500" s="15" t="s">
        <v>6764</v>
      </c>
      <c r="I500" s="15" t="s">
        <v>187</v>
      </c>
      <c r="J500" s="19" t="s">
        <v>36</v>
      </c>
      <c r="K500" s="19" t="s">
        <v>37</v>
      </c>
      <c r="L500" s="19" t="s">
        <v>38</v>
      </c>
      <c r="M500" s="20">
        <f t="shared" si="2"/>
        <v>0</v>
      </c>
      <c r="N500" s="22"/>
      <c r="O500" s="19" t="s">
        <v>39</v>
      </c>
      <c r="P500" s="18"/>
      <c r="Q500" s="18"/>
      <c r="R500" s="23">
        <v>0.0</v>
      </c>
      <c r="S500" s="23">
        <v>0.0</v>
      </c>
      <c r="T500" s="23">
        <f t="shared" si="3"/>
        <v>0</v>
      </c>
      <c r="U500" s="23">
        <f t="shared" si="4"/>
        <v>0</v>
      </c>
      <c r="V500" s="23">
        <f t="shared" si="5"/>
        <v>0</v>
      </c>
      <c r="W500" s="24" t="str">
        <f t="shared" si="6"/>
        <v>#DIV/0!</v>
      </c>
    </row>
    <row r="501">
      <c r="A501" s="15" t="s">
        <v>6765</v>
      </c>
      <c r="B501" s="18"/>
      <c r="C501" s="15" t="s">
        <v>6766</v>
      </c>
      <c r="D501" s="18"/>
      <c r="E501" s="17" t="s">
        <v>6767</v>
      </c>
      <c r="F501" s="18"/>
      <c r="G501" s="18"/>
      <c r="H501" s="15" t="s">
        <v>6768</v>
      </c>
      <c r="I501" s="15" t="s">
        <v>6769</v>
      </c>
      <c r="J501" s="19" t="s">
        <v>36</v>
      </c>
      <c r="K501" s="19" t="s">
        <v>105</v>
      </c>
      <c r="L501" s="19" t="s">
        <v>38</v>
      </c>
      <c r="M501" s="20">
        <f t="shared" si="2"/>
        <v>0</v>
      </c>
      <c r="N501" s="22"/>
      <c r="O501" s="19" t="s">
        <v>39</v>
      </c>
      <c r="P501" s="18"/>
      <c r="Q501" s="18"/>
      <c r="R501" s="23">
        <v>0.0</v>
      </c>
      <c r="S501" s="23">
        <v>0.0</v>
      </c>
      <c r="T501" s="23">
        <f t="shared" si="3"/>
        <v>0</v>
      </c>
      <c r="U501" s="23">
        <f t="shared" si="4"/>
        <v>0</v>
      </c>
      <c r="V501" s="23">
        <f t="shared" si="5"/>
        <v>0</v>
      </c>
      <c r="W501" s="24" t="str">
        <f t="shared" si="6"/>
        <v>#DIV/0!</v>
      </c>
    </row>
    <row r="502">
      <c r="A502" s="15" t="s">
        <v>4708</v>
      </c>
      <c r="B502" s="15" t="s">
        <v>4709</v>
      </c>
      <c r="C502" s="15" t="s">
        <v>6770</v>
      </c>
      <c r="D502" s="15" t="s">
        <v>6771</v>
      </c>
      <c r="E502" s="17" t="s">
        <v>6772</v>
      </c>
      <c r="F502" s="18"/>
      <c r="G502" s="18"/>
      <c r="H502" s="15" t="s">
        <v>4712</v>
      </c>
      <c r="I502" s="15"/>
      <c r="J502" s="19" t="s">
        <v>36</v>
      </c>
      <c r="K502" s="19" t="s">
        <v>37</v>
      </c>
      <c r="L502" s="19" t="s">
        <v>38</v>
      </c>
      <c r="M502" s="20">
        <f t="shared" si="2"/>
        <v>0</v>
      </c>
      <c r="N502" s="22"/>
      <c r="O502" s="19" t="s">
        <v>3578</v>
      </c>
      <c r="P502" s="18"/>
      <c r="Q502" s="18"/>
      <c r="R502" s="23">
        <v>0.0</v>
      </c>
      <c r="S502" s="23">
        <v>0.0</v>
      </c>
      <c r="T502" s="23">
        <f t="shared" si="3"/>
        <v>0</v>
      </c>
      <c r="U502" s="23">
        <f t="shared" si="4"/>
        <v>0</v>
      </c>
      <c r="V502" s="23">
        <f t="shared" si="5"/>
        <v>0</v>
      </c>
      <c r="W502" s="24" t="str">
        <f t="shared" si="6"/>
        <v>#DIV/0!</v>
      </c>
    </row>
    <row r="503">
      <c r="A503" s="15" t="s">
        <v>6773</v>
      </c>
      <c r="B503" s="18"/>
      <c r="C503" s="15" t="s">
        <v>6774</v>
      </c>
      <c r="D503" s="18"/>
      <c r="E503" s="17" t="s">
        <v>6775</v>
      </c>
      <c r="F503" s="18"/>
      <c r="G503" s="18"/>
      <c r="H503" s="15" t="s">
        <v>6776</v>
      </c>
      <c r="I503" s="15" t="s">
        <v>209</v>
      </c>
      <c r="J503" s="19" t="s">
        <v>36</v>
      </c>
      <c r="K503" s="19" t="s">
        <v>105</v>
      </c>
      <c r="L503" s="19" t="s">
        <v>38</v>
      </c>
      <c r="M503" s="20">
        <f t="shared" si="2"/>
        <v>0</v>
      </c>
      <c r="N503" s="22"/>
      <c r="O503" s="19" t="s">
        <v>39</v>
      </c>
      <c r="P503" s="18"/>
      <c r="Q503" s="18"/>
      <c r="R503" s="23">
        <v>0.0</v>
      </c>
      <c r="S503" s="23">
        <v>0.0</v>
      </c>
      <c r="T503" s="23">
        <f t="shared" si="3"/>
        <v>0</v>
      </c>
      <c r="U503" s="23">
        <f t="shared" si="4"/>
        <v>0</v>
      </c>
      <c r="V503" s="23">
        <f t="shared" si="5"/>
        <v>0</v>
      </c>
      <c r="W503" s="24" t="str">
        <f t="shared" si="6"/>
        <v>#DIV/0!</v>
      </c>
    </row>
    <row r="504">
      <c r="A504" s="15" t="s">
        <v>6777</v>
      </c>
      <c r="B504" s="18"/>
      <c r="C504" s="15" t="s">
        <v>6778</v>
      </c>
      <c r="D504" s="18"/>
      <c r="E504" s="17" t="s">
        <v>6779</v>
      </c>
      <c r="F504" s="18"/>
      <c r="G504" s="18"/>
      <c r="H504" s="15" t="s">
        <v>6768</v>
      </c>
      <c r="I504" s="15" t="s">
        <v>6769</v>
      </c>
      <c r="J504" s="19" t="s">
        <v>36</v>
      </c>
      <c r="K504" s="19" t="s">
        <v>105</v>
      </c>
      <c r="L504" s="19" t="s">
        <v>38</v>
      </c>
      <c r="M504" s="20">
        <f t="shared" si="2"/>
        <v>0</v>
      </c>
      <c r="N504" s="22"/>
      <c r="O504" s="19" t="s">
        <v>39</v>
      </c>
      <c r="P504" s="18"/>
      <c r="Q504" s="18"/>
      <c r="R504" s="23">
        <v>0.0</v>
      </c>
      <c r="S504" s="23">
        <v>0.0</v>
      </c>
      <c r="T504" s="23">
        <f t="shared" si="3"/>
        <v>0</v>
      </c>
      <c r="U504" s="23">
        <f t="shared" si="4"/>
        <v>0</v>
      </c>
      <c r="V504" s="23">
        <f t="shared" si="5"/>
        <v>0</v>
      </c>
      <c r="W504" s="24" t="str">
        <f t="shared" si="6"/>
        <v>#DIV/0!</v>
      </c>
    </row>
    <row r="505">
      <c r="A505" s="15" t="s">
        <v>1714</v>
      </c>
      <c r="B505" s="18"/>
      <c r="C505" s="15" t="s">
        <v>6780</v>
      </c>
      <c r="D505" s="18"/>
      <c r="E505" s="17" t="s">
        <v>1715</v>
      </c>
      <c r="F505" s="18"/>
      <c r="G505" s="18"/>
      <c r="H505" s="15" t="s">
        <v>1716</v>
      </c>
      <c r="I505" s="15" t="s">
        <v>1717</v>
      </c>
      <c r="J505" s="19" t="s">
        <v>36</v>
      </c>
      <c r="K505" s="19" t="s">
        <v>37</v>
      </c>
      <c r="L505" s="19" t="s">
        <v>38</v>
      </c>
      <c r="M505" s="20">
        <f t="shared" si="2"/>
        <v>0</v>
      </c>
      <c r="N505" s="22"/>
      <c r="O505" s="19" t="s">
        <v>1145</v>
      </c>
      <c r="P505" s="18"/>
      <c r="Q505" s="18"/>
      <c r="R505" s="23">
        <v>0.0</v>
      </c>
      <c r="S505" s="23">
        <v>0.0</v>
      </c>
      <c r="T505" s="23">
        <f t="shared" si="3"/>
        <v>0</v>
      </c>
      <c r="U505" s="23">
        <f t="shared" si="4"/>
        <v>0</v>
      </c>
      <c r="V505" s="23">
        <f t="shared" si="5"/>
        <v>0</v>
      </c>
      <c r="W505" s="24" t="str">
        <f t="shared" si="6"/>
        <v>#DIV/0!</v>
      </c>
    </row>
    <row r="506">
      <c r="A506" s="15" t="s">
        <v>1718</v>
      </c>
      <c r="B506" s="18"/>
      <c r="C506" s="15" t="s">
        <v>6781</v>
      </c>
      <c r="D506" s="18"/>
      <c r="E506" s="17" t="s">
        <v>1719</v>
      </c>
      <c r="F506" s="18"/>
      <c r="G506" s="18"/>
      <c r="H506" s="15" t="s">
        <v>1720</v>
      </c>
      <c r="I506" s="15" t="s">
        <v>1721</v>
      </c>
      <c r="J506" s="19" t="s">
        <v>36</v>
      </c>
      <c r="K506" s="19" t="s">
        <v>105</v>
      </c>
      <c r="L506" s="19" t="s">
        <v>38</v>
      </c>
      <c r="M506" s="20">
        <f t="shared" si="2"/>
        <v>0</v>
      </c>
      <c r="N506" s="22"/>
      <c r="O506" s="19" t="s">
        <v>1145</v>
      </c>
      <c r="P506" s="18"/>
      <c r="Q506" s="18"/>
      <c r="R506" s="23">
        <v>0.0</v>
      </c>
      <c r="S506" s="23">
        <v>0.0</v>
      </c>
      <c r="T506" s="23">
        <f t="shared" si="3"/>
        <v>0</v>
      </c>
      <c r="U506" s="23">
        <f t="shared" si="4"/>
        <v>0</v>
      </c>
      <c r="V506" s="23">
        <f t="shared" si="5"/>
        <v>0</v>
      </c>
      <c r="W506" s="24" t="str">
        <f t="shared" si="6"/>
        <v>#DIV/0!</v>
      </c>
    </row>
    <row r="507">
      <c r="A507" s="15" t="s">
        <v>6782</v>
      </c>
      <c r="B507" s="18"/>
      <c r="C507" s="15" t="s">
        <v>6783</v>
      </c>
      <c r="D507" s="18"/>
      <c r="E507" s="17" t="s">
        <v>6784</v>
      </c>
      <c r="F507" s="18"/>
      <c r="G507" s="18"/>
      <c r="H507" s="15" t="s">
        <v>6785</v>
      </c>
      <c r="I507" s="15" t="s">
        <v>6786</v>
      </c>
      <c r="J507" s="19" t="s">
        <v>36</v>
      </c>
      <c r="K507" s="19" t="s">
        <v>105</v>
      </c>
      <c r="L507" s="19" t="s">
        <v>38</v>
      </c>
      <c r="M507" s="20">
        <f t="shared" si="2"/>
        <v>0</v>
      </c>
      <c r="N507" s="22"/>
      <c r="O507" s="19" t="s">
        <v>39</v>
      </c>
      <c r="P507" s="18"/>
      <c r="Q507" s="18"/>
      <c r="R507" s="23">
        <v>0.0</v>
      </c>
      <c r="S507" s="23">
        <v>0.0</v>
      </c>
      <c r="T507" s="23">
        <f t="shared" si="3"/>
        <v>0</v>
      </c>
      <c r="U507" s="23">
        <f t="shared" si="4"/>
        <v>0</v>
      </c>
      <c r="V507" s="23">
        <f t="shared" si="5"/>
        <v>0</v>
      </c>
      <c r="W507" s="24" t="str">
        <f t="shared" si="6"/>
        <v>#DIV/0!</v>
      </c>
    </row>
    <row r="508">
      <c r="A508" s="15" t="s">
        <v>1722</v>
      </c>
      <c r="B508" s="18"/>
      <c r="C508" s="15" t="s">
        <v>6787</v>
      </c>
      <c r="D508" s="18"/>
      <c r="E508" s="17" t="s">
        <v>1723</v>
      </c>
      <c r="F508" s="18"/>
      <c r="G508" s="18"/>
      <c r="H508" s="15" t="s">
        <v>1724</v>
      </c>
      <c r="I508" s="15" t="s">
        <v>1725</v>
      </c>
      <c r="J508" s="19" t="s">
        <v>36</v>
      </c>
      <c r="K508" s="19" t="s">
        <v>105</v>
      </c>
      <c r="L508" s="19" t="s">
        <v>38</v>
      </c>
      <c r="M508" s="20">
        <f t="shared" si="2"/>
        <v>0</v>
      </c>
      <c r="N508" s="22"/>
      <c r="O508" s="19" t="s">
        <v>1145</v>
      </c>
      <c r="P508" s="18"/>
      <c r="Q508" s="18"/>
      <c r="R508" s="23">
        <v>0.0</v>
      </c>
      <c r="S508" s="23">
        <v>0.0</v>
      </c>
      <c r="T508" s="23">
        <f t="shared" si="3"/>
        <v>0</v>
      </c>
      <c r="U508" s="23">
        <f t="shared" si="4"/>
        <v>0</v>
      </c>
      <c r="V508" s="23">
        <f t="shared" si="5"/>
        <v>0</v>
      </c>
      <c r="W508" s="24" t="str">
        <f t="shared" si="6"/>
        <v>#DIV/0!</v>
      </c>
    </row>
    <row r="509">
      <c r="A509" s="15" t="s">
        <v>1726</v>
      </c>
      <c r="B509" s="18"/>
      <c r="C509" s="15" t="s">
        <v>6788</v>
      </c>
      <c r="D509" s="18"/>
      <c r="E509" s="17" t="s">
        <v>1727</v>
      </c>
      <c r="F509" s="18"/>
      <c r="G509" s="18"/>
      <c r="H509" s="15" t="s">
        <v>1728</v>
      </c>
      <c r="I509" s="15" t="s">
        <v>1729</v>
      </c>
      <c r="J509" s="19" t="s">
        <v>36</v>
      </c>
      <c r="K509" s="19" t="s">
        <v>1230</v>
      </c>
      <c r="L509" s="19" t="s">
        <v>38</v>
      </c>
      <c r="M509" s="20">
        <f t="shared" si="2"/>
        <v>0</v>
      </c>
      <c r="N509" s="22"/>
      <c r="O509" s="19" t="s">
        <v>1145</v>
      </c>
      <c r="P509" s="18"/>
      <c r="Q509" s="18"/>
      <c r="R509" s="23">
        <v>0.0</v>
      </c>
      <c r="S509" s="23">
        <v>0.0</v>
      </c>
      <c r="T509" s="23">
        <f t="shared" si="3"/>
        <v>0</v>
      </c>
      <c r="U509" s="23">
        <f t="shared" si="4"/>
        <v>0</v>
      </c>
      <c r="V509" s="23">
        <f t="shared" si="5"/>
        <v>0</v>
      </c>
      <c r="W509" s="24" t="str">
        <f t="shared" si="6"/>
        <v>#DIV/0!</v>
      </c>
    </row>
    <row r="510">
      <c r="A510" s="15" t="s">
        <v>1730</v>
      </c>
      <c r="B510" s="18"/>
      <c r="C510" s="15" t="s">
        <v>6789</v>
      </c>
      <c r="D510" s="18"/>
      <c r="E510" s="17" t="s">
        <v>1731</v>
      </c>
      <c r="F510" s="18"/>
      <c r="G510" s="18"/>
      <c r="H510" s="15" t="s">
        <v>1732</v>
      </c>
      <c r="I510" s="15" t="s">
        <v>1733</v>
      </c>
      <c r="J510" s="19" t="s">
        <v>36</v>
      </c>
      <c r="K510" s="19" t="s">
        <v>105</v>
      </c>
      <c r="L510" s="19" t="s">
        <v>38</v>
      </c>
      <c r="M510" s="20">
        <f t="shared" si="2"/>
        <v>0</v>
      </c>
      <c r="N510" s="22"/>
      <c r="O510" s="19" t="s">
        <v>1145</v>
      </c>
      <c r="P510" s="18"/>
      <c r="Q510" s="18"/>
      <c r="R510" s="23">
        <v>0.0</v>
      </c>
      <c r="S510" s="23">
        <v>0.0</v>
      </c>
      <c r="T510" s="23">
        <f t="shared" si="3"/>
        <v>0</v>
      </c>
      <c r="U510" s="23">
        <f t="shared" si="4"/>
        <v>0</v>
      </c>
      <c r="V510" s="23">
        <f t="shared" si="5"/>
        <v>0</v>
      </c>
      <c r="W510" s="24" t="str">
        <f t="shared" si="6"/>
        <v>#DIV/0!</v>
      </c>
    </row>
    <row r="511">
      <c r="A511" s="15" t="s">
        <v>6790</v>
      </c>
      <c r="B511" s="18"/>
      <c r="C511" s="15" t="s">
        <v>6791</v>
      </c>
      <c r="D511" s="18"/>
      <c r="E511" s="17" t="s">
        <v>6792</v>
      </c>
      <c r="F511" s="18"/>
      <c r="G511" s="18"/>
      <c r="H511" s="15" t="s">
        <v>6793</v>
      </c>
      <c r="I511" s="15" t="s">
        <v>6794</v>
      </c>
      <c r="J511" s="19" t="s">
        <v>36</v>
      </c>
      <c r="K511" s="19" t="s">
        <v>105</v>
      </c>
      <c r="L511" s="19" t="s">
        <v>38</v>
      </c>
      <c r="M511" s="20">
        <f t="shared" si="2"/>
        <v>0</v>
      </c>
      <c r="N511" s="22"/>
      <c r="O511" s="19" t="s">
        <v>39</v>
      </c>
      <c r="P511" s="18"/>
      <c r="Q511" s="18"/>
      <c r="R511" s="23">
        <v>0.0</v>
      </c>
      <c r="S511" s="23">
        <v>0.0</v>
      </c>
      <c r="T511" s="23">
        <f t="shared" si="3"/>
        <v>0</v>
      </c>
      <c r="U511" s="23">
        <f t="shared" si="4"/>
        <v>0</v>
      </c>
      <c r="V511" s="23">
        <f t="shared" si="5"/>
        <v>0</v>
      </c>
      <c r="W511" s="24" t="str">
        <f t="shared" si="6"/>
        <v>#DIV/0!</v>
      </c>
    </row>
    <row r="512">
      <c r="A512" s="15" t="s">
        <v>1734</v>
      </c>
      <c r="B512" s="18"/>
      <c r="C512" s="15" t="s">
        <v>6795</v>
      </c>
      <c r="D512" s="18"/>
      <c r="E512" s="17" t="s">
        <v>1735</v>
      </c>
      <c r="F512" s="18"/>
      <c r="G512" s="18"/>
      <c r="H512" s="15" t="s">
        <v>1736</v>
      </c>
      <c r="I512" s="15" t="s">
        <v>1737</v>
      </c>
      <c r="J512" s="19" t="s">
        <v>36</v>
      </c>
      <c r="K512" s="19" t="s">
        <v>105</v>
      </c>
      <c r="L512" s="19" t="s">
        <v>38</v>
      </c>
      <c r="M512" s="20">
        <f t="shared" si="2"/>
        <v>0</v>
      </c>
      <c r="N512" s="22"/>
      <c r="O512" s="19" t="s">
        <v>1145</v>
      </c>
      <c r="P512" s="18"/>
      <c r="Q512" s="18"/>
      <c r="R512" s="23">
        <v>0.0</v>
      </c>
      <c r="S512" s="23">
        <v>0.0</v>
      </c>
      <c r="T512" s="23">
        <f t="shared" si="3"/>
        <v>0</v>
      </c>
      <c r="U512" s="23">
        <f t="shared" si="4"/>
        <v>0</v>
      </c>
      <c r="V512" s="23">
        <f t="shared" si="5"/>
        <v>0</v>
      </c>
      <c r="W512" s="24" t="str">
        <f t="shared" si="6"/>
        <v>#DIV/0!</v>
      </c>
    </row>
    <row r="513">
      <c r="A513" s="15" t="s">
        <v>1738</v>
      </c>
      <c r="B513" s="18"/>
      <c r="C513" s="15" t="s">
        <v>6796</v>
      </c>
      <c r="D513" s="18"/>
      <c r="E513" s="17" t="s">
        <v>1739</v>
      </c>
      <c r="F513" s="18"/>
      <c r="G513" s="18"/>
      <c r="H513" s="15" t="s">
        <v>1740</v>
      </c>
      <c r="I513" s="15" t="s">
        <v>1741</v>
      </c>
      <c r="J513" s="19" t="s">
        <v>36</v>
      </c>
      <c r="K513" s="19" t="s">
        <v>37</v>
      </c>
      <c r="L513" s="19" t="s">
        <v>38</v>
      </c>
      <c r="M513" s="20">
        <f t="shared" si="2"/>
        <v>0</v>
      </c>
      <c r="N513" s="22"/>
      <c r="O513" s="19" t="s">
        <v>1145</v>
      </c>
      <c r="P513" s="18"/>
      <c r="Q513" s="18"/>
      <c r="R513" s="23">
        <v>0.0</v>
      </c>
      <c r="S513" s="23">
        <v>0.0</v>
      </c>
      <c r="T513" s="23">
        <f t="shared" si="3"/>
        <v>0</v>
      </c>
      <c r="U513" s="23">
        <f t="shared" si="4"/>
        <v>0</v>
      </c>
      <c r="V513" s="23">
        <f t="shared" si="5"/>
        <v>0</v>
      </c>
      <c r="W513" s="24" t="str">
        <f t="shared" si="6"/>
        <v>#DIV/0!</v>
      </c>
    </row>
    <row r="514">
      <c r="A514" s="15" t="s">
        <v>1742</v>
      </c>
      <c r="B514" s="18"/>
      <c r="C514" s="15" t="s">
        <v>6797</v>
      </c>
      <c r="D514" s="18"/>
      <c r="E514" s="17" t="s">
        <v>1743</v>
      </c>
      <c r="F514" s="18"/>
      <c r="G514" s="18"/>
      <c r="H514" s="15" t="s">
        <v>1744</v>
      </c>
      <c r="I514" s="15" t="s">
        <v>1745</v>
      </c>
      <c r="J514" s="19" t="s">
        <v>36</v>
      </c>
      <c r="K514" s="19" t="s">
        <v>105</v>
      </c>
      <c r="L514" s="19" t="s">
        <v>38</v>
      </c>
      <c r="M514" s="20">
        <f t="shared" si="2"/>
        <v>0</v>
      </c>
      <c r="N514" s="22"/>
      <c r="O514" s="19" t="s">
        <v>1145</v>
      </c>
      <c r="P514" s="18"/>
      <c r="Q514" s="18"/>
      <c r="R514" s="23">
        <v>0.0</v>
      </c>
      <c r="S514" s="23">
        <v>0.0</v>
      </c>
      <c r="T514" s="23">
        <f t="shared" si="3"/>
        <v>0</v>
      </c>
      <c r="U514" s="23">
        <f t="shared" si="4"/>
        <v>0</v>
      </c>
      <c r="V514" s="23">
        <f t="shared" si="5"/>
        <v>0</v>
      </c>
      <c r="W514" s="24" t="str">
        <f t="shared" si="6"/>
        <v>#DIV/0!</v>
      </c>
    </row>
    <row r="515">
      <c r="A515" s="15" t="s">
        <v>1746</v>
      </c>
      <c r="B515" s="18"/>
      <c r="C515" s="15" t="s">
        <v>6798</v>
      </c>
      <c r="D515" s="18"/>
      <c r="E515" s="17" t="s">
        <v>1747</v>
      </c>
      <c r="F515" s="18"/>
      <c r="G515" s="18"/>
      <c r="H515" s="15" t="s">
        <v>1748</v>
      </c>
      <c r="I515" s="15" t="s">
        <v>1749</v>
      </c>
      <c r="J515" s="19" t="s">
        <v>36</v>
      </c>
      <c r="K515" s="19" t="s">
        <v>37</v>
      </c>
      <c r="L515" s="19" t="s">
        <v>38</v>
      </c>
      <c r="M515" s="20">
        <f t="shared" si="2"/>
        <v>0</v>
      </c>
      <c r="N515" s="22"/>
      <c r="O515" s="19" t="s">
        <v>1145</v>
      </c>
      <c r="P515" s="18"/>
      <c r="Q515" s="18"/>
      <c r="R515" s="23">
        <v>0.0</v>
      </c>
      <c r="S515" s="23">
        <v>0.0</v>
      </c>
      <c r="T515" s="23">
        <f t="shared" si="3"/>
        <v>0</v>
      </c>
      <c r="U515" s="23">
        <f t="shared" si="4"/>
        <v>0</v>
      </c>
      <c r="V515" s="23">
        <f t="shared" si="5"/>
        <v>0</v>
      </c>
      <c r="W515" s="24" t="str">
        <f t="shared" si="6"/>
        <v>#DIV/0!</v>
      </c>
    </row>
    <row r="516">
      <c r="A516" s="15" t="s">
        <v>6799</v>
      </c>
      <c r="B516" s="18"/>
      <c r="C516" s="15" t="s">
        <v>6800</v>
      </c>
      <c r="D516" s="18"/>
      <c r="E516" s="17" t="s">
        <v>6801</v>
      </c>
      <c r="F516" s="18"/>
      <c r="G516" s="18"/>
      <c r="H516" s="15" t="s">
        <v>6802</v>
      </c>
      <c r="I516" s="15" t="s">
        <v>4198</v>
      </c>
      <c r="J516" s="19" t="s">
        <v>36</v>
      </c>
      <c r="K516" s="19" t="s">
        <v>105</v>
      </c>
      <c r="L516" s="19" t="s">
        <v>38</v>
      </c>
      <c r="M516" s="20">
        <f t="shared" si="2"/>
        <v>0</v>
      </c>
      <c r="N516" s="22"/>
      <c r="O516" s="19" t="s">
        <v>39</v>
      </c>
      <c r="P516" s="18"/>
      <c r="Q516" s="18"/>
      <c r="R516" s="23">
        <v>0.0</v>
      </c>
      <c r="S516" s="23">
        <v>0.0</v>
      </c>
      <c r="T516" s="23">
        <f t="shared" si="3"/>
        <v>0</v>
      </c>
      <c r="U516" s="23">
        <f t="shared" si="4"/>
        <v>0</v>
      </c>
      <c r="V516" s="23">
        <f t="shared" si="5"/>
        <v>0</v>
      </c>
      <c r="W516" s="24" t="str">
        <f t="shared" si="6"/>
        <v>#DIV/0!</v>
      </c>
    </row>
    <row r="517">
      <c r="A517" s="15" t="s">
        <v>6803</v>
      </c>
      <c r="B517" s="18"/>
      <c r="C517" s="15" t="s">
        <v>6804</v>
      </c>
      <c r="D517" s="18"/>
      <c r="E517" s="17" t="s">
        <v>132</v>
      </c>
      <c r="F517" s="18"/>
      <c r="G517" s="18"/>
      <c r="H517" s="15" t="s">
        <v>6805</v>
      </c>
      <c r="I517" s="15" t="s">
        <v>6806</v>
      </c>
      <c r="J517" s="19" t="s">
        <v>36</v>
      </c>
      <c r="K517" s="19" t="s">
        <v>37</v>
      </c>
      <c r="L517" s="19" t="s">
        <v>38</v>
      </c>
      <c r="M517" s="20">
        <f t="shared" si="2"/>
        <v>0</v>
      </c>
      <c r="N517" s="22"/>
      <c r="O517" s="19" t="s">
        <v>39</v>
      </c>
      <c r="P517" s="18"/>
      <c r="Q517" s="18"/>
      <c r="R517" s="23">
        <v>0.0</v>
      </c>
      <c r="S517" s="23">
        <v>0.0</v>
      </c>
      <c r="T517" s="23">
        <f t="shared" si="3"/>
        <v>0</v>
      </c>
      <c r="U517" s="23">
        <f t="shared" si="4"/>
        <v>0</v>
      </c>
      <c r="V517" s="23">
        <f t="shared" si="5"/>
        <v>0</v>
      </c>
      <c r="W517" s="24" t="str">
        <f t="shared" si="6"/>
        <v>#DIV/0!</v>
      </c>
    </row>
    <row r="518">
      <c r="A518" s="15" t="s">
        <v>1750</v>
      </c>
      <c r="B518" s="18"/>
      <c r="C518" s="15" t="s">
        <v>6807</v>
      </c>
      <c r="D518" s="18"/>
      <c r="E518" s="17" t="s">
        <v>1751</v>
      </c>
      <c r="F518" s="18"/>
      <c r="G518" s="18"/>
      <c r="H518" s="15" t="s">
        <v>1752</v>
      </c>
      <c r="I518" s="15" t="s">
        <v>1753</v>
      </c>
      <c r="J518" s="19" t="s">
        <v>36</v>
      </c>
      <c r="K518" s="19" t="s">
        <v>105</v>
      </c>
      <c r="L518" s="19" t="s">
        <v>38</v>
      </c>
      <c r="M518" s="20">
        <f t="shared" si="2"/>
        <v>0</v>
      </c>
      <c r="N518" s="22"/>
      <c r="O518" s="19" t="s">
        <v>1145</v>
      </c>
      <c r="P518" s="18"/>
      <c r="Q518" s="18"/>
      <c r="R518" s="23">
        <v>0.0</v>
      </c>
      <c r="S518" s="23">
        <v>0.0</v>
      </c>
      <c r="T518" s="23">
        <f t="shared" si="3"/>
        <v>0</v>
      </c>
      <c r="U518" s="23">
        <f t="shared" si="4"/>
        <v>0</v>
      </c>
      <c r="V518" s="23">
        <f t="shared" si="5"/>
        <v>0</v>
      </c>
      <c r="W518" s="24" t="str">
        <f t="shared" si="6"/>
        <v>#DIV/0!</v>
      </c>
    </row>
    <row r="519">
      <c r="A519" s="15" t="s">
        <v>6808</v>
      </c>
      <c r="B519" s="18"/>
      <c r="C519" s="15" t="s">
        <v>6809</v>
      </c>
      <c r="D519" s="18"/>
      <c r="E519" s="17" t="s">
        <v>6810</v>
      </c>
      <c r="F519" s="18"/>
      <c r="G519" s="18"/>
      <c r="H519" s="15" t="s">
        <v>6811</v>
      </c>
      <c r="I519" s="15" t="s">
        <v>924</v>
      </c>
      <c r="J519" s="19" t="s">
        <v>36</v>
      </c>
      <c r="K519" s="19" t="s">
        <v>105</v>
      </c>
      <c r="L519" s="19" t="s">
        <v>38</v>
      </c>
      <c r="M519" s="20">
        <f t="shared" si="2"/>
        <v>0</v>
      </c>
      <c r="N519" s="22"/>
      <c r="O519" s="19" t="s">
        <v>39</v>
      </c>
      <c r="P519" s="18"/>
      <c r="Q519" s="18"/>
      <c r="R519" s="23">
        <v>0.0</v>
      </c>
      <c r="S519" s="23">
        <v>0.0</v>
      </c>
      <c r="T519" s="23">
        <f t="shared" si="3"/>
        <v>0</v>
      </c>
      <c r="U519" s="23">
        <f t="shared" si="4"/>
        <v>0</v>
      </c>
      <c r="V519" s="23">
        <f t="shared" si="5"/>
        <v>0</v>
      </c>
      <c r="W519" s="24" t="str">
        <f t="shared" si="6"/>
        <v>#DIV/0!</v>
      </c>
    </row>
    <row r="520">
      <c r="A520" s="15" t="s">
        <v>1754</v>
      </c>
      <c r="B520" s="18"/>
      <c r="C520" s="15" t="s">
        <v>6812</v>
      </c>
      <c r="D520" s="18"/>
      <c r="E520" s="17" t="s">
        <v>1755</v>
      </c>
      <c r="F520" s="18"/>
      <c r="G520" s="18"/>
      <c r="H520" s="15" t="s">
        <v>1756</v>
      </c>
      <c r="I520" s="15" t="s">
        <v>1757</v>
      </c>
      <c r="J520" s="19" t="s">
        <v>36</v>
      </c>
      <c r="K520" s="19" t="s">
        <v>37</v>
      </c>
      <c r="L520" s="19" t="s">
        <v>38</v>
      </c>
      <c r="M520" s="20">
        <f t="shared" si="2"/>
        <v>0</v>
      </c>
      <c r="N520" s="22"/>
      <c r="O520" s="19" t="s">
        <v>1145</v>
      </c>
      <c r="P520" s="18"/>
      <c r="Q520" s="18"/>
      <c r="R520" s="23">
        <v>0.0</v>
      </c>
      <c r="S520" s="23">
        <v>0.0</v>
      </c>
      <c r="T520" s="23">
        <f t="shared" si="3"/>
        <v>0</v>
      </c>
      <c r="U520" s="23">
        <f t="shared" si="4"/>
        <v>0</v>
      </c>
      <c r="V520" s="23">
        <f t="shared" si="5"/>
        <v>0</v>
      </c>
      <c r="W520" s="24" t="str">
        <f t="shared" si="6"/>
        <v>#DIV/0!</v>
      </c>
    </row>
    <row r="521">
      <c r="A521" s="15" t="s">
        <v>6813</v>
      </c>
      <c r="B521" s="18"/>
      <c r="C521" s="15" t="s">
        <v>6814</v>
      </c>
      <c r="D521" s="18"/>
      <c r="E521" s="17" t="s">
        <v>6815</v>
      </c>
      <c r="F521" s="18"/>
      <c r="G521" s="18"/>
      <c r="H521" s="15" t="s">
        <v>6816</v>
      </c>
      <c r="I521" s="15" t="s">
        <v>6817</v>
      </c>
      <c r="J521" s="19" t="s">
        <v>36</v>
      </c>
      <c r="K521" s="19" t="s">
        <v>37</v>
      </c>
      <c r="L521" s="19" t="s">
        <v>38</v>
      </c>
      <c r="M521" s="20">
        <f t="shared" si="2"/>
        <v>0</v>
      </c>
      <c r="N521" s="22"/>
      <c r="O521" s="19" t="s">
        <v>39</v>
      </c>
      <c r="P521" s="18"/>
      <c r="Q521" s="18"/>
      <c r="R521" s="23">
        <v>0.0</v>
      </c>
      <c r="S521" s="23">
        <v>0.0</v>
      </c>
      <c r="T521" s="23">
        <f t="shared" si="3"/>
        <v>0</v>
      </c>
      <c r="U521" s="23">
        <f t="shared" si="4"/>
        <v>0</v>
      </c>
      <c r="V521" s="23">
        <f t="shared" si="5"/>
        <v>0</v>
      </c>
      <c r="W521" s="24" t="str">
        <f t="shared" si="6"/>
        <v>#DIV/0!</v>
      </c>
    </row>
    <row r="522">
      <c r="A522" s="15" t="s">
        <v>1758</v>
      </c>
      <c r="B522" s="18"/>
      <c r="C522" s="15" t="s">
        <v>6818</v>
      </c>
      <c r="D522" s="18"/>
      <c r="E522" s="17" t="s">
        <v>1759</v>
      </c>
      <c r="F522" s="18"/>
      <c r="G522" s="18"/>
      <c r="H522" s="15" t="s">
        <v>1760</v>
      </c>
      <c r="I522" s="15" t="s">
        <v>1761</v>
      </c>
      <c r="J522" s="19" t="s">
        <v>36</v>
      </c>
      <c r="K522" s="19" t="s">
        <v>37</v>
      </c>
      <c r="L522" s="19" t="s">
        <v>38</v>
      </c>
      <c r="M522" s="20">
        <f t="shared" si="2"/>
        <v>0</v>
      </c>
      <c r="N522" s="22"/>
      <c r="O522" s="19" t="s">
        <v>1145</v>
      </c>
      <c r="P522" s="18"/>
      <c r="Q522" s="18"/>
      <c r="R522" s="23">
        <v>0.0</v>
      </c>
      <c r="S522" s="23">
        <v>0.0</v>
      </c>
      <c r="T522" s="23">
        <f t="shared" si="3"/>
        <v>0</v>
      </c>
      <c r="U522" s="23">
        <f t="shared" si="4"/>
        <v>0</v>
      </c>
      <c r="V522" s="23">
        <f t="shared" si="5"/>
        <v>0</v>
      </c>
      <c r="W522" s="24" t="str">
        <f t="shared" si="6"/>
        <v>#DIV/0!</v>
      </c>
    </row>
    <row r="523">
      <c r="A523" s="15" t="s">
        <v>1762</v>
      </c>
      <c r="B523" s="18"/>
      <c r="C523" s="15" t="s">
        <v>6819</v>
      </c>
      <c r="D523" s="18"/>
      <c r="E523" s="17" t="s">
        <v>1763</v>
      </c>
      <c r="F523" s="18"/>
      <c r="G523" s="18"/>
      <c r="H523" s="15" t="s">
        <v>1764</v>
      </c>
      <c r="I523" s="15" t="s">
        <v>1765</v>
      </c>
      <c r="J523" s="19" t="s">
        <v>36</v>
      </c>
      <c r="K523" s="19" t="s">
        <v>37</v>
      </c>
      <c r="L523" s="19" t="s">
        <v>38</v>
      </c>
      <c r="M523" s="20">
        <f t="shared" si="2"/>
        <v>0</v>
      </c>
      <c r="N523" s="22"/>
      <c r="O523" s="19" t="s">
        <v>1145</v>
      </c>
      <c r="P523" s="18"/>
      <c r="Q523" s="18"/>
      <c r="R523" s="23">
        <v>0.0</v>
      </c>
      <c r="S523" s="23">
        <v>0.0</v>
      </c>
      <c r="T523" s="23">
        <f t="shared" si="3"/>
        <v>0</v>
      </c>
      <c r="U523" s="23">
        <f t="shared" si="4"/>
        <v>0</v>
      </c>
      <c r="V523" s="23">
        <f t="shared" si="5"/>
        <v>0</v>
      </c>
      <c r="W523" s="24" t="str">
        <f t="shared" si="6"/>
        <v>#DIV/0!</v>
      </c>
    </row>
    <row r="524">
      <c r="A524" s="15" t="s">
        <v>1766</v>
      </c>
      <c r="B524" s="18"/>
      <c r="C524" s="15" t="s">
        <v>6820</v>
      </c>
      <c r="D524" s="18"/>
      <c r="E524" s="17" t="s">
        <v>1767</v>
      </c>
      <c r="F524" s="18"/>
      <c r="G524" s="18"/>
      <c r="H524" s="15" t="s">
        <v>1768</v>
      </c>
      <c r="I524" s="15" t="s">
        <v>1769</v>
      </c>
      <c r="J524" s="19" t="s">
        <v>36</v>
      </c>
      <c r="K524" s="19" t="s">
        <v>37</v>
      </c>
      <c r="L524" s="19" t="s">
        <v>38</v>
      </c>
      <c r="M524" s="20">
        <f t="shared" si="2"/>
        <v>0</v>
      </c>
      <c r="N524" s="22"/>
      <c r="O524" s="19" t="s">
        <v>1145</v>
      </c>
      <c r="P524" s="18"/>
      <c r="Q524" s="18"/>
      <c r="R524" s="23">
        <v>0.0</v>
      </c>
      <c r="S524" s="23">
        <v>0.0</v>
      </c>
      <c r="T524" s="23">
        <f t="shared" si="3"/>
        <v>0</v>
      </c>
      <c r="U524" s="23">
        <f t="shared" si="4"/>
        <v>0</v>
      </c>
      <c r="V524" s="23">
        <f t="shared" si="5"/>
        <v>0</v>
      </c>
      <c r="W524" s="24" t="str">
        <f t="shared" si="6"/>
        <v>#DIV/0!</v>
      </c>
    </row>
    <row r="525">
      <c r="A525" s="15" t="s">
        <v>1770</v>
      </c>
      <c r="B525" s="18"/>
      <c r="C525" s="15" t="s">
        <v>6821</v>
      </c>
      <c r="D525" s="18"/>
      <c r="E525" s="17" t="s">
        <v>1771</v>
      </c>
      <c r="F525" s="18"/>
      <c r="G525" s="18"/>
      <c r="H525" s="15" t="s">
        <v>1772</v>
      </c>
      <c r="I525" s="15" t="s">
        <v>1773</v>
      </c>
      <c r="J525" s="19" t="s">
        <v>36</v>
      </c>
      <c r="K525" s="19" t="s">
        <v>37</v>
      </c>
      <c r="L525" s="19" t="s">
        <v>38</v>
      </c>
      <c r="M525" s="20">
        <f t="shared" si="2"/>
        <v>0</v>
      </c>
      <c r="N525" s="22"/>
      <c r="O525" s="19" t="s">
        <v>1145</v>
      </c>
      <c r="P525" s="18"/>
      <c r="Q525" s="18"/>
      <c r="R525" s="23">
        <v>0.0</v>
      </c>
      <c r="S525" s="23">
        <v>0.0</v>
      </c>
      <c r="T525" s="23">
        <f t="shared" si="3"/>
        <v>0</v>
      </c>
      <c r="U525" s="23">
        <f t="shared" si="4"/>
        <v>0</v>
      </c>
      <c r="V525" s="23">
        <f t="shared" si="5"/>
        <v>0</v>
      </c>
      <c r="W525" s="24" t="str">
        <f t="shared" si="6"/>
        <v>#DIV/0!</v>
      </c>
    </row>
    <row r="526">
      <c r="A526" s="15" t="s">
        <v>1774</v>
      </c>
      <c r="B526" s="18"/>
      <c r="C526" s="15" t="s">
        <v>6822</v>
      </c>
      <c r="D526" s="18"/>
      <c r="E526" s="17" t="s">
        <v>1775</v>
      </c>
      <c r="F526" s="18"/>
      <c r="G526" s="18"/>
      <c r="H526" s="15" t="s">
        <v>1776</v>
      </c>
      <c r="I526" s="15" t="s">
        <v>1777</v>
      </c>
      <c r="J526" s="19" t="s">
        <v>36</v>
      </c>
      <c r="K526" s="19" t="s">
        <v>37</v>
      </c>
      <c r="L526" s="19" t="s">
        <v>38</v>
      </c>
      <c r="M526" s="20">
        <f t="shared" si="2"/>
        <v>0</v>
      </c>
      <c r="N526" s="22"/>
      <c r="O526" s="19" t="s">
        <v>1145</v>
      </c>
      <c r="P526" s="18"/>
      <c r="Q526" s="18"/>
      <c r="R526" s="23">
        <v>0.0</v>
      </c>
      <c r="S526" s="23">
        <v>0.0</v>
      </c>
      <c r="T526" s="23">
        <f t="shared" si="3"/>
        <v>0</v>
      </c>
      <c r="U526" s="23">
        <f t="shared" si="4"/>
        <v>0</v>
      </c>
      <c r="V526" s="23">
        <f t="shared" si="5"/>
        <v>0</v>
      </c>
      <c r="W526" s="24" t="str">
        <f t="shared" si="6"/>
        <v>#DIV/0!</v>
      </c>
    </row>
    <row r="527">
      <c r="A527" s="15" t="s">
        <v>1778</v>
      </c>
      <c r="B527" s="18"/>
      <c r="C527" s="15" t="s">
        <v>6823</v>
      </c>
      <c r="D527" s="18"/>
      <c r="E527" s="17" t="s">
        <v>1779</v>
      </c>
      <c r="F527" s="18"/>
      <c r="G527" s="18"/>
      <c r="H527" s="15" t="s">
        <v>1780</v>
      </c>
      <c r="I527" s="15" t="s">
        <v>1781</v>
      </c>
      <c r="J527" s="19" t="s">
        <v>36</v>
      </c>
      <c r="K527" s="19" t="s">
        <v>1444</v>
      </c>
      <c r="L527" s="19" t="s">
        <v>38</v>
      </c>
      <c r="M527" s="20">
        <f t="shared" si="2"/>
        <v>0</v>
      </c>
      <c r="N527" s="22"/>
      <c r="O527" s="19" t="s">
        <v>1145</v>
      </c>
      <c r="P527" s="18"/>
      <c r="Q527" s="18"/>
      <c r="R527" s="23">
        <v>0.0</v>
      </c>
      <c r="S527" s="23">
        <v>0.0</v>
      </c>
      <c r="T527" s="23">
        <f t="shared" si="3"/>
        <v>0</v>
      </c>
      <c r="U527" s="23">
        <f t="shared" si="4"/>
        <v>0</v>
      </c>
      <c r="V527" s="23">
        <f t="shared" si="5"/>
        <v>0</v>
      </c>
      <c r="W527" s="24" t="str">
        <f t="shared" si="6"/>
        <v>#DIV/0!</v>
      </c>
    </row>
    <row r="528">
      <c r="A528" s="15" t="s">
        <v>1782</v>
      </c>
      <c r="B528" s="18"/>
      <c r="C528" s="15" t="s">
        <v>6824</v>
      </c>
      <c r="D528" s="18"/>
      <c r="E528" s="17" t="s">
        <v>1783</v>
      </c>
      <c r="F528" s="18"/>
      <c r="G528" s="18"/>
      <c r="H528" s="15" t="s">
        <v>1784</v>
      </c>
      <c r="I528" s="15" t="s">
        <v>1785</v>
      </c>
      <c r="J528" s="19" t="s">
        <v>36</v>
      </c>
      <c r="K528" s="19" t="s">
        <v>1444</v>
      </c>
      <c r="L528" s="19" t="s">
        <v>38</v>
      </c>
      <c r="M528" s="20">
        <f t="shared" si="2"/>
        <v>0</v>
      </c>
      <c r="N528" s="22"/>
      <c r="O528" s="19" t="s">
        <v>1145</v>
      </c>
      <c r="P528" s="18"/>
      <c r="Q528" s="18"/>
      <c r="R528" s="23">
        <v>0.0</v>
      </c>
      <c r="S528" s="23">
        <v>0.0</v>
      </c>
      <c r="T528" s="23">
        <f t="shared" si="3"/>
        <v>0</v>
      </c>
      <c r="U528" s="23">
        <f t="shared" si="4"/>
        <v>0</v>
      </c>
      <c r="V528" s="23">
        <f t="shared" si="5"/>
        <v>0</v>
      </c>
      <c r="W528" s="24" t="str">
        <f t="shared" si="6"/>
        <v>#DIV/0!</v>
      </c>
    </row>
    <row r="529">
      <c r="A529" s="15" t="s">
        <v>6825</v>
      </c>
      <c r="B529" s="18"/>
      <c r="C529" s="15" t="s">
        <v>6826</v>
      </c>
      <c r="D529" s="18"/>
      <c r="E529" s="17" t="s">
        <v>6827</v>
      </c>
      <c r="F529" s="18"/>
      <c r="G529" s="18"/>
      <c r="H529" s="15" t="s">
        <v>6828</v>
      </c>
      <c r="I529" s="15" t="s">
        <v>1029</v>
      </c>
      <c r="J529" s="19" t="s">
        <v>36</v>
      </c>
      <c r="K529" s="19" t="s">
        <v>105</v>
      </c>
      <c r="L529" s="19" t="s">
        <v>38</v>
      </c>
      <c r="M529" s="20">
        <f t="shared" si="2"/>
        <v>0</v>
      </c>
      <c r="N529" s="22"/>
      <c r="O529" s="19" t="s">
        <v>39</v>
      </c>
      <c r="P529" s="18"/>
      <c r="Q529" s="18"/>
      <c r="R529" s="23">
        <v>0.0</v>
      </c>
      <c r="S529" s="23">
        <v>0.0</v>
      </c>
      <c r="T529" s="23">
        <f t="shared" si="3"/>
        <v>0</v>
      </c>
      <c r="U529" s="23">
        <f t="shared" si="4"/>
        <v>0</v>
      </c>
      <c r="V529" s="23">
        <f t="shared" si="5"/>
        <v>0</v>
      </c>
      <c r="W529" s="24" t="str">
        <f t="shared" si="6"/>
        <v>#DIV/0!</v>
      </c>
    </row>
    <row r="530">
      <c r="A530" s="15" t="s">
        <v>1786</v>
      </c>
      <c r="B530" s="18"/>
      <c r="C530" s="15" t="s">
        <v>6829</v>
      </c>
      <c r="D530" s="18"/>
      <c r="E530" s="17" t="s">
        <v>1787</v>
      </c>
      <c r="F530" s="18"/>
      <c r="G530" s="18"/>
      <c r="H530" s="15" t="s">
        <v>1788</v>
      </c>
      <c r="I530" s="15" t="s">
        <v>1789</v>
      </c>
      <c r="J530" s="19" t="s">
        <v>36</v>
      </c>
      <c r="K530" s="19" t="s">
        <v>105</v>
      </c>
      <c r="L530" s="19" t="s">
        <v>38</v>
      </c>
      <c r="M530" s="20">
        <f t="shared" si="2"/>
        <v>0</v>
      </c>
      <c r="N530" s="22"/>
      <c r="O530" s="19" t="s">
        <v>1145</v>
      </c>
      <c r="P530" s="18"/>
      <c r="Q530" s="18"/>
      <c r="R530" s="23">
        <v>0.0</v>
      </c>
      <c r="S530" s="23">
        <v>0.0</v>
      </c>
      <c r="T530" s="23">
        <f t="shared" si="3"/>
        <v>0</v>
      </c>
      <c r="U530" s="23">
        <f t="shared" si="4"/>
        <v>0</v>
      </c>
      <c r="V530" s="23">
        <f t="shared" si="5"/>
        <v>0</v>
      </c>
      <c r="W530" s="24" t="str">
        <f t="shared" si="6"/>
        <v>#DIV/0!</v>
      </c>
    </row>
    <row r="531">
      <c r="A531" s="15" t="s">
        <v>6830</v>
      </c>
      <c r="B531" s="15"/>
      <c r="C531" s="15" t="s">
        <v>6831</v>
      </c>
      <c r="D531" s="18"/>
      <c r="E531" s="17" t="s">
        <v>6832</v>
      </c>
      <c r="F531" s="18"/>
      <c r="G531" s="18"/>
      <c r="H531" s="15" t="s">
        <v>6833</v>
      </c>
      <c r="I531" s="15" t="s">
        <v>6834</v>
      </c>
      <c r="J531" s="19" t="s">
        <v>36</v>
      </c>
      <c r="K531" s="19" t="s">
        <v>1230</v>
      </c>
      <c r="L531" s="19" t="s">
        <v>38</v>
      </c>
      <c r="M531" s="20">
        <f t="shared" si="2"/>
        <v>0</v>
      </c>
      <c r="N531" s="22"/>
      <c r="O531" s="19" t="s">
        <v>39</v>
      </c>
      <c r="P531" s="18"/>
      <c r="Q531" s="18"/>
      <c r="R531" s="23">
        <v>0.0</v>
      </c>
      <c r="S531" s="23">
        <v>0.0</v>
      </c>
      <c r="T531" s="23">
        <f t="shared" si="3"/>
        <v>0</v>
      </c>
      <c r="U531" s="23">
        <f t="shared" si="4"/>
        <v>0</v>
      </c>
      <c r="V531" s="23">
        <f t="shared" si="5"/>
        <v>0</v>
      </c>
      <c r="W531" s="24" t="str">
        <f t="shared" si="6"/>
        <v>#DIV/0!</v>
      </c>
    </row>
    <row r="532">
      <c r="A532" s="15" t="s">
        <v>6835</v>
      </c>
      <c r="B532" s="18"/>
      <c r="C532" s="15" t="s">
        <v>6836</v>
      </c>
      <c r="D532" s="18"/>
      <c r="E532" s="17" t="s">
        <v>6837</v>
      </c>
      <c r="F532" s="18"/>
      <c r="G532" s="18"/>
      <c r="H532" s="15" t="s">
        <v>6838</v>
      </c>
      <c r="I532" s="15" t="s">
        <v>1078</v>
      </c>
      <c r="J532" s="19" t="s">
        <v>36</v>
      </c>
      <c r="K532" s="19" t="s">
        <v>1230</v>
      </c>
      <c r="L532" s="19" t="s">
        <v>38</v>
      </c>
      <c r="M532" s="20">
        <f t="shared" si="2"/>
        <v>0</v>
      </c>
      <c r="N532" s="22"/>
      <c r="O532" s="19" t="s">
        <v>39</v>
      </c>
      <c r="P532" s="18"/>
      <c r="Q532" s="18"/>
      <c r="R532" s="23">
        <v>0.0</v>
      </c>
      <c r="S532" s="23">
        <v>0.0</v>
      </c>
      <c r="T532" s="23">
        <f t="shared" si="3"/>
        <v>0</v>
      </c>
      <c r="U532" s="23">
        <f t="shared" si="4"/>
        <v>0</v>
      </c>
      <c r="V532" s="23">
        <f t="shared" si="5"/>
        <v>0</v>
      </c>
      <c r="W532" s="24" t="str">
        <f t="shared" si="6"/>
        <v>#DIV/0!</v>
      </c>
    </row>
    <row r="533">
      <c r="A533" s="15" t="s">
        <v>1790</v>
      </c>
      <c r="B533" s="18"/>
      <c r="C533" s="15" t="s">
        <v>6839</v>
      </c>
      <c r="D533" s="18"/>
      <c r="E533" s="17" t="s">
        <v>1791</v>
      </c>
      <c r="F533" s="18"/>
      <c r="G533" s="18"/>
      <c r="H533" s="15" t="s">
        <v>1792</v>
      </c>
      <c r="I533" s="15" t="s">
        <v>1793</v>
      </c>
      <c r="J533" s="19" t="s">
        <v>36</v>
      </c>
      <c r="K533" s="19" t="s">
        <v>1230</v>
      </c>
      <c r="L533" s="19" t="s">
        <v>38</v>
      </c>
      <c r="M533" s="20">
        <f t="shared" si="2"/>
        <v>0</v>
      </c>
      <c r="N533" s="22"/>
      <c r="O533" s="19" t="s">
        <v>1145</v>
      </c>
      <c r="P533" s="18"/>
      <c r="Q533" s="18"/>
      <c r="R533" s="23">
        <v>0.0</v>
      </c>
      <c r="S533" s="23">
        <v>0.0</v>
      </c>
      <c r="T533" s="23">
        <f t="shared" si="3"/>
        <v>0</v>
      </c>
      <c r="U533" s="23">
        <f t="shared" si="4"/>
        <v>0</v>
      </c>
      <c r="V533" s="23">
        <f t="shared" si="5"/>
        <v>0</v>
      </c>
      <c r="W533" s="24" t="str">
        <f t="shared" si="6"/>
        <v>#DIV/0!</v>
      </c>
    </row>
    <row r="534">
      <c r="A534" s="15" t="s">
        <v>1794</v>
      </c>
      <c r="B534" s="18"/>
      <c r="C534" s="15" t="s">
        <v>6840</v>
      </c>
      <c r="D534" s="18"/>
      <c r="E534" s="17" t="s">
        <v>1795</v>
      </c>
      <c r="F534" s="18"/>
      <c r="G534" s="18"/>
      <c r="H534" s="15" t="s">
        <v>1796</v>
      </c>
      <c r="I534" s="15" t="s">
        <v>1797</v>
      </c>
      <c r="J534" s="19" t="s">
        <v>36</v>
      </c>
      <c r="K534" s="19" t="s">
        <v>1230</v>
      </c>
      <c r="L534" s="19" t="s">
        <v>38</v>
      </c>
      <c r="M534" s="20">
        <f t="shared" si="2"/>
        <v>0</v>
      </c>
      <c r="N534" s="22"/>
      <c r="O534" s="19" t="s">
        <v>1145</v>
      </c>
      <c r="P534" s="18"/>
      <c r="Q534" s="18"/>
      <c r="R534" s="23">
        <v>0.0</v>
      </c>
      <c r="S534" s="23">
        <v>0.0</v>
      </c>
      <c r="T534" s="23">
        <f t="shared" si="3"/>
        <v>0</v>
      </c>
      <c r="U534" s="23">
        <f t="shared" si="4"/>
        <v>0</v>
      </c>
      <c r="V534" s="23">
        <f t="shared" si="5"/>
        <v>0</v>
      </c>
      <c r="W534" s="24" t="str">
        <f t="shared" si="6"/>
        <v>#DIV/0!</v>
      </c>
    </row>
    <row r="535">
      <c r="A535" s="15" t="s">
        <v>6841</v>
      </c>
      <c r="B535" s="15" t="s">
        <v>6842</v>
      </c>
      <c r="C535" s="15" t="s">
        <v>6843</v>
      </c>
      <c r="D535" s="15"/>
      <c r="E535" s="17" t="s">
        <v>6845</v>
      </c>
      <c r="F535" s="18"/>
      <c r="G535" s="18"/>
      <c r="H535" s="15" t="s">
        <v>6846</v>
      </c>
      <c r="I535" s="15" t="s">
        <v>6847</v>
      </c>
      <c r="J535" s="19" t="s">
        <v>36</v>
      </c>
      <c r="K535" s="19" t="s">
        <v>37</v>
      </c>
      <c r="L535" s="19" t="s">
        <v>38</v>
      </c>
      <c r="M535" s="20">
        <f t="shared" si="2"/>
        <v>0</v>
      </c>
      <c r="N535" s="22"/>
      <c r="O535" s="19" t="s">
        <v>39</v>
      </c>
      <c r="P535" s="18"/>
      <c r="Q535" s="18"/>
      <c r="R535" s="23">
        <v>0.0</v>
      </c>
      <c r="S535" s="23">
        <v>0.0</v>
      </c>
      <c r="T535" s="23">
        <f t="shared" si="3"/>
        <v>0</v>
      </c>
      <c r="U535" s="23">
        <f t="shared" si="4"/>
        <v>0</v>
      </c>
      <c r="V535" s="23">
        <f t="shared" si="5"/>
        <v>0</v>
      </c>
      <c r="W535" s="24" t="str">
        <f t="shared" si="6"/>
        <v>#DIV/0!</v>
      </c>
    </row>
    <row r="536">
      <c r="A536" s="15" t="s">
        <v>6848</v>
      </c>
      <c r="B536" s="18"/>
      <c r="C536" s="15" t="s">
        <v>6849</v>
      </c>
      <c r="D536" s="18"/>
      <c r="E536" s="17" t="s">
        <v>6850</v>
      </c>
      <c r="F536" s="18"/>
      <c r="G536" s="18"/>
      <c r="H536" s="15" t="s">
        <v>6851</v>
      </c>
      <c r="I536" s="15" t="s">
        <v>228</v>
      </c>
      <c r="J536" s="19" t="s">
        <v>36</v>
      </c>
      <c r="K536" s="19" t="s">
        <v>1230</v>
      </c>
      <c r="L536" s="19" t="s">
        <v>38</v>
      </c>
      <c r="M536" s="20">
        <f t="shared" si="2"/>
        <v>0</v>
      </c>
      <c r="N536" s="22"/>
      <c r="O536" s="19" t="s">
        <v>39</v>
      </c>
      <c r="P536" s="18"/>
      <c r="Q536" s="18"/>
      <c r="R536" s="23">
        <v>0.0</v>
      </c>
      <c r="S536" s="23">
        <v>0.0</v>
      </c>
      <c r="T536" s="23">
        <f t="shared" si="3"/>
        <v>0</v>
      </c>
      <c r="U536" s="23">
        <f t="shared" si="4"/>
        <v>0</v>
      </c>
      <c r="V536" s="23">
        <f t="shared" si="5"/>
        <v>0</v>
      </c>
      <c r="W536" s="24" t="str">
        <f t="shared" si="6"/>
        <v>#DIV/0!</v>
      </c>
    </row>
    <row r="537">
      <c r="A537" s="15" t="s">
        <v>1798</v>
      </c>
      <c r="B537" s="18"/>
      <c r="C537" s="15" t="s">
        <v>6852</v>
      </c>
      <c r="D537" s="18"/>
      <c r="E537" s="17" t="s">
        <v>1799</v>
      </c>
      <c r="F537" s="18"/>
      <c r="G537" s="18"/>
      <c r="H537" s="15" t="s">
        <v>1800</v>
      </c>
      <c r="I537" s="15" t="s">
        <v>1801</v>
      </c>
      <c r="J537" s="19" t="s">
        <v>36</v>
      </c>
      <c r="K537" s="19" t="s">
        <v>1230</v>
      </c>
      <c r="L537" s="19" t="s">
        <v>38</v>
      </c>
      <c r="M537" s="20">
        <f t="shared" si="2"/>
        <v>0</v>
      </c>
      <c r="N537" s="22"/>
      <c r="O537" s="19" t="s">
        <v>1145</v>
      </c>
      <c r="P537" s="18"/>
      <c r="Q537" s="18"/>
      <c r="R537" s="23">
        <v>0.0</v>
      </c>
      <c r="S537" s="23">
        <v>0.0</v>
      </c>
      <c r="T537" s="23">
        <f t="shared" si="3"/>
        <v>0</v>
      </c>
      <c r="U537" s="23">
        <f t="shared" si="4"/>
        <v>0</v>
      </c>
      <c r="V537" s="23">
        <f t="shared" si="5"/>
        <v>0</v>
      </c>
      <c r="W537" s="24" t="str">
        <f t="shared" si="6"/>
        <v>#DIV/0!</v>
      </c>
    </row>
    <row r="538">
      <c r="A538" s="15" t="s">
        <v>1802</v>
      </c>
      <c r="B538" s="18"/>
      <c r="C538" s="15" t="s">
        <v>6853</v>
      </c>
      <c r="D538" s="18"/>
      <c r="E538" s="17" t="s">
        <v>1803</v>
      </c>
      <c r="F538" s="18"/>
      <c r="G538" s="18"/>
      <c r="H538" s="15" t="s">
        <v>1804</v>
      </c>
      <c r="I538" s="15" t="s">
        <v>1805</v>
      </c>
      <c r="J538" s="19" t="s">
        <v>36</v>
      </c>
      <c r="K538" s="19" t="s">
        <v>1230</v>
      </c>
      <c r="L538" s="19" t="s">
        <v>38</v>
      </c>
      <c r="M538" s="20">
        <f t="shared" si="2"/>
        <v>0</v>
      </c>
      <c r="N538" s="22"/>
      <c r="O538" s="19" t="s">
        <v>1145</v>
      </c>
      <c r="P538" s="18"/>
      <c r="Q538" s="18"/>
      <c r="R538" s="23">
        <v>0.0</v>
      </c>
      <c r="S538" s="23">
        <v>0.0</v>
      </c>
      <c r="T538" s="23">
        <f t="shared" si="3"/>
        <v>0</v>
      </c>
      <c r="U538" s="23">
        <f t="shared" si="4"/>
        <v>0</v>
      </c>
      <c r="V538" s="23">
        <f t="shared" si="5"/>
        <v>0</v>
      </c>
      <c r="W538" s="24" t="str">
        <f t="shared" si="6"/>
        <v>#DIV/0!</v>
      </c>
    </row>
    <row r="539">
      <c r="A539" s="15" t="s">
        <v>6854</v>
      </c>
      <c r="B539" s="18"/>
      <c r="C539" s="15" t="s">
        <v>6855</v>
      </c>
      <c r="D539" s="18"/>
      <c r="E539" s="17" t="s">
        <v>6856</v>
      </c>
      <c r="F539" s="18"/>
      <c r="G539" s="18"/>
      <c r="H539" s="15" t="s">
        <v>6857</v>
      </c>
      <c r="I539" s="15" t="s">
        <v>4721</v>
      </c>
      <c r="J539" s="19" t="s">
        <v>36</v>
      </c>
      <c r="K539" s="19" t="s">
        <v>105</v>
      </c>
      <c r="L539" s="19" t="s">
        <v>38</v>
      </c>
      <c r="M539" s="20">
        <f t="shared" si="2"/>
        <v>0</v>
      </c>
      <c r="N539" s="22"/>
      <c r="O539" s="19" t="s">
        <v>1145</v>
      </c>
      <c r="P539" s="18"/>
      <c r="Q539" s="18"/>
      <c r="R539" s="23">
        <v>0.0</v>
      </c>
      <c r="S539" s="23">
        <v>0.0</v>
      </c>
      <c r="T539" s="23">
        <f t="shared" si="3"/>
        <v>0</v>
      </c>
      <c r="U539" s="23">
        <f t="shared" si="4"/>
        <v>0</v>
      </c>
      <c r="V539" s="23">
        <f t="shared" si="5"/>
        <v>0</v>
      </c>
      <c r="W539" s="24" t="str">
        <f t="shared" si="6"/>
        <v>#DIV/0!</v>
      </c>
    </row>
    <row r="540">
      <c r="A540" s="15" t="s">
        <v>6858</v>
      </c>
      <c r="B540" s="18"/>
      <c r="C540" s="15" t="s">
        <v>6859</v>
      </c>
      <c r="D540" s="18"/>
      <c r="E540" s="17" t="s">
        <v>6860</v>
      </c>
      <c r="F540" s="18"/>
      <c r="G540" s="18"/>
      <c r="H540" s="15" t="s">
        <v>6861</v>
      </c>
      <c r="I540" s="15" t="s">
        <v>6862</v>
      </c>
      <c r="J540" s="19" t="s">
        <v>36</v>
      </c>
      <c r="K540" s="19" t="s">
        <v>37</v>
      </c>
      <c r="L540" s="19" t="s">
        <v>38</v>
      </c>
      <c r="M540" s="20">
        <f t="shared" si="2"/>
        <v>0</v>
      </c>
      <c r="N540" s="22"/>
      <c r="O540" s="19" t="s">
        <v>39</v>
      </c>
      <c r="P540" s="18"/>
      <c r="Q540" s="18"/>
      <c r="R540" s="23">
        <v>0.0</v>
      </c>
      <c r="S540" s="23">
        <v>0.0</v>
      </c>
      <c r="T540" s="23">
        <f t="shared" si="3"/>
        <v>0</v>
      </c>
      <c r="U540" s="23">
        <f t="shared" si="4"/>
        <v>0</v>
      </c>
      <c r="V540" s="23">
        <f t="shared" si="5"/>
        <v>0</v>
      </c>
      <c r="W540" s="24" t="str">
        <f t="shared" si="6"/>
        <v>#DIV/0!</v>
      </c>
    </row>
    <row r="541">
      <c r="A541" s="15" t="s">
        <v>1806</v>
      </c>
      <c r="B541" s="18"/>
      <c r="C541" s="15" t="s">
        <v>6863</v>
      </c>
      <c r="D541" s="18"/>
      <c r="E541" s="17" t="s">
        <v>1807</v>
      </c>
      <c r="F541" s="18"/>
      <c r="G541" s="18"/>
      <c r="H541" s="15" t="s">
        <v>1808</v>
      </c>
      <c r="I541" s="15" t="s">
        <v>1809</v>
      </c>
      <c r="J541" s="19" t="s">
        <v>36</v>
      </c>
      <c r="K541" s="19" t="s">
        <v>105</v>
      </c>
      <c r="L541" s="19" t="s">
        <v>38</v>
      </c>
      <c r="M541" s="20">
        <f t="shared" si="2"/>
        <v>0</v>
      </c>
      <c r="N541" s="22"/>
      <c r="O541" s="19" t="s">
        <v>1145</v>
      </c>
      <c r="P541" s="18"/>
      <c r="Q541" s="18"/>
      <c r="R541" s="23">
        <v>0.0</v>
      </c>
      <c r="S541" s="23">
        <v>0.0</v>
      </c>
      <c r="T541" s="23">
        <f t="shared" si="3"/>
        <v>0</v>
      </c>
      <c r="U541" s="23">
        <f t="shared" si="4"/>
        <v>0</v>
      </c>
      <c r="V541" s="23">
        <f t="shared" si="5"/>
        <v>0</v>
      </c>
      <c r="W541" s="24" t="str">
        <f t="shared" si="6"/>
        <v>#DIV/0!</v>
      </c>
    </row>
    <row r="542">
      <c r="A542" s="15" t="s">
        <v>1810</v>
      </c>
      <c r="B542" s="18"/>
      <c r="C542" s="15" t="s">
        <v>6864</v>
      </c>
      <c r="D542" s="18"/>
      <c r="E542" s="17" t="s">
        <v>1811</v>
      </c>
      <c r="F542" s="18"/>
      <c r="G542" s="18"/>
      <c r="H542" s="15" t="s">
        <v>1812</v>
      </c>
      <c r="I542" s="18"/>
      <c r="J542" s="19" t="s">
        <v>36</v>
      </c>
      <c r="K542" s="19" t="s">
        <v>1230</v>
      </c>
      <c r="L542" s="19" t="s">
        <v>38</v>
      </c>
      <c r="M542" s="20">
        <f t="shared" si="2"/>
        <v>0</v>
      </c>
      <c r="N542" s="22"/>
      <c r="O542" s="19" t="s">
        <v>1145</v>
      </c>
      <c r="P542" s="18"/>
      <c r="Q542" s="18"/>
      <c r="R542" s="23">
        <v>0.0</v>
      </c>
      <c r="S542" s="23">
        <v>0.0</v>
      </c>
      <c r="T542" s="23">
        <f t="shared" si="3"/>
        <v>0</v>
      </c>
      <c r="U542" s="23">
        <f t="shared" si="4"/>
        <v>0</v>
      </c>
      <c r="V542" s="23">
        <f t="shared" si="5"/>
        <v>0</v>
      </c>
      <c r="W542" s="24" t="str">
        <f t="shared" si="6"/>
        <v>#DIV/0!</v>
      </c>
    </row>
    <row r="543">
      <c r="A543" s="15" t="s">
        <v>6865</v>
      </c>
      <c r="B543" s="18"/>
      <c r="C543" s="15" t="s">
        <v>6866</v>
      </c>
      <c r="D543" s="18"/>
      <c r="E543" s="17" t="s">
        <v>6867</v>
      </c>
      <c r="F543" s="18"/>
      <c r="G543" s="18"/>
      <c r="H543" s="15" t="s">
        <v>6868</v>
      </c>
      <c r="I543" s="15" t="s">
        <v>362</v>
      </c>
      <c r="J543" s="19" t="s">
        <v>36</v>
      </c>
      <c r="K543" s="19" t="s">
        <v>105</v>
      </c>
      <c r="L543" s="19" t="s">
        <v>38</v>
      </c>
      <c r="M543" s="20">
        <f t="shared" si="2"/>
        <v>0</v>
      </c>
      <c r="N543" s="22"/>
      <c r="O543" s="19" t="s">
        <v>39</v>
      </c>
      <c r="P543" s="18"/>
      <c r="Q543" s="18"/>
      <c r="R543" s="23">
        <v>0.0</v>
      </c>
      <c r="S543" s="23">
        <v>0.0</v>
      </c>
      <c r="T543" s="23">
        <f t="shared" si="3"/>
        <v>0</v>
      </c>
      <c r="U543" s="23">
        <f t="shared" si="4"/>
        <v>0</v>
      </c>
      <c r="V543" s="23">
        <f t="shared" si="5"/>
        <v>0</v>
      </c>
      <c r="W543" s="24" t="str">
        <f t="shared" si="6"/>
        <v>#DIV/0!</v>
      </c>
    </row>
    <row r="544">
      <c r="A544" s="15" t="s">
        <v>1813</v>
      </c>
      <c r="B544" s="18"/>
      <c r="C544" s="15" t="s">
        <v>6869</v>
      </c>
      <c r="D544" s="18"/>
      <c r="E544" s="17" t="s">
        <v>1814</v>
      </c>
      <c r="F544" s="18"/>
      <c r="G544" s="18"/>
      <c r="H544" s="15" t="s">
        <v>1815</v>
      </c>
      <c r="I544" s="15" t="s">
        <v>1816</v>
      </c>
      <c r="J544" s="19" t="s">
        <v>36</v>
      </c>
      <c r="K544" s="19" t="s">
        <v>105</v>
      </c>
      <c r="L544" s="19" t="s">
        <v>38</v>
      </c>
      <c r="M544" s="20">
        <f t="shared" si="2"/>
        <v>0</v>
      </c>
      <c r="N544" s="22"/>
      <c r="O544" s="19" t="s">
        <v>1145</v>
      </c>
      <c r="P544" s="18"/>
      <c r="Q544" s="18"/>
      <c r="R544" s="23">
        <v>0.0</v>
      </c>
      <c r="S544" s="23">
        <v>0.0</v>
      </c>
      <c r="T544" s="23">
        <f t="shared" si="3"/>
        <v>0</v>
      </c>
      <c r="U544" s="23">
        <f t="shared" si="4"/>
        <v>0</v>
      </c>
      <c r="V544" s="23">
        <f t="shared" si="5"/>
        <v>0</v>
      </c>
      <c r="W544" s="24" t="str">
        <f t="shared" si="6"/>
        <v>#DIV/0!</v>
      </c>
    </row>
    <row r="545">
      <c r="A545" s="15" t="s">
        <v>1817</v>
      </c>
      <c r="B545" s="18"/>
      <c r="C545" s="15" t="s">
        <v>6870</v>
      </c>
      <c r="D545" s="18"/>
      <c r="E545" s="17" t="s">
        <v>1818</v>
      </c>
      <c r="F545" s="18"/>
      <c r="G545" s="18"/>
      <c r="H545" s="15" t="s">
        <v>1819</v>
      </c>
      <c r="I545" s="15" t="s">
        <v>1820</v>
      </c>
      <c r="J545" s="19" t="s">
        <v>36</v>
      </c>
      <c r="K545" s="19" t="s">
        <v>105</v>
      </c>
      <c r="L545" s="19" t="s">
        <v>38</v>
      </c>
      <c r="M545" s="20">
        <f t="shared" si="2"/>
        <v>0</v>
      </c>
      <c r="N545" s="22"/>
      <c r="O545" s="19" t="s">
        <v>1145</v>
      </c>
      <c r="P545" s="18"/>
      <c r="Q545" s="18"/>
      <c r="R545" s="23">
        <v>0.0</v>
      </c>
      <c r="S545" s="23">
        <v>0.0</v>
      </c>
      <c r="T545" s="23">
        <f t="shared" si="3"/>
        <v>0</v>
      </c>
      <c r="U545" s="23">
        <f t="shared" si="4"/>
        <v>0</v>
      </c>
      <c r="V545" s="23">
        <f t="shared" si="5"/>
        <v>0</v>
      </c>
      <c r="W545" s="24" t="str">
        <f t="shared" si="6"/>
        <v>#DIV/0!</v>
      </c>
    </row>
    <row r="546">
      <c r="A546" s="15" t="s">
        <v>1821</v>
      </c>
      <c r="B546" s="18"/>
      <c r="C546" s="15" t="s">
        <v>6871</v>
      </c>
      <c r="D546" s="18"/>
      <c r="E546" s="17" t="s">
        <v>1822</v>
      </c>
      <c r="F546" s="18"/>
      <c r="G546" s="18"/>
      <c r="H546" s="15" t="s">
        <v>1823</v>
      </c>
      <c r="I546" s="15" t="s">
        <v>1824</v>
      </c>
      <c r="J546" s="19" t="s">
        <v>36</v>
      </c>
      <c r="K546" s="19" t="s">
        <v>105</v>
      </c>
      <c r="L546" s="19" t="s">
        <v>38</v>
      </c>
      <c r="M546" s="20">
        <f t="shared" si="2"/>
        <v>0</v>
      </c>
      <c r="N546" s="22"/>
      <c r="O546" s="19" t="s">
        <v>1145</v>
      </c>
      <c r="P546" s="18"/>
      <c r="Q546" s="18"/>
      <c r="R546" s="23">
        <v>0.0</v>
      </c>
      <c r="S546" s="23">
        <v>0.0</v>
      </c>
      <c r="T546" s="23">
        <f t="shared" si="3"/>
        <v>0</v>
      </c>
      <c r="U546" s="23">
        <f t="shared" si="4"/>
        <v>0</v>
      </c>
      <c r="V546" s="23">
        <f t="shared" si="5"/>
        <v>0</v>
      </c>
      <c r="W546" s="24" t="str">
        <f t="shared" si="6"/>
        <v>#DIV/0!</v>
      </c>
    </row>
    <row r="547">
      <c r="A547" s="15" t="s">
        <v>1825</v>
      </c>
      <c r="B547" s="18"/>
      <c r="C547" s="15" t="s">
        <v>6872</v>
      </c>
      <c r="D547" s="18"/>
      <c r="E547" s="17" t="s">
        <v>1826</v>
      </c>
      <c r="F547" s="18"/>
      <c r="G547" s="18"/>
      <c r="H547" s="15" t="s">
        <v>1827</v>
      </c>
      <c r="I547" s="15" t="s">
        <v>1828</v>
      </c>
      <c r="J547" s="19" t="s">
        <v>36</v>
      </c>
      <c r="K547" s="19" t="s">
        <v>37</v>
      </c>
      <c r="L547" s="19" t="s">
        <v>38</v>
      </c>
      <c r="M547" s="20">
        <f t="shared" si="2"/>
        <v>0</v>
      </c>
      <c r="N547" s="22"/>
      <c r="O547" s="19" t="s">
        <v>1145</v>
      </c>
      <c r="P547" s="18"/>
      <c r="Q547" s="18"/>
      <c r="R547" s="23">
        <v>0.0</v>
      </c>
      <c r="S547" s="23">
        <v>0.0</v>
      </c>
      <c r="T547" s="23">
        <f t="shared" si="3"/>
        <v>0</v>
      </c>
      <c r="U547" s="23">
        <f t="shared" si="4"/>
        <v>0</v>
      </c>
      <c r="V547" s="23">
        <f t="shared" si="5"/>
        <v>0</v>
      </c>
      <c r="W547" s="24" t="str">
        <f t="shared" si="6"/>
        <v>#DIV/0!</v>
      </c>
    </row>
    <row r="548">
      <c r="A548" s="15" t="s">
        <v>6873</v>
      </c>
      <c r="B548" s="15" t="s">
        <v>6874</v>
      </c>
      <c r="C548" s="15" t="s">
        <v>6875</v>
      </c>
      <c r="D548" s="18"/>
      <c r="E548" s="17" t="s">
        <v>140</v>
      </c>
      <c r="F548" s="18"/>
      <c r="G548" s="18"/>
      <c r="H548" s="15" t="s">
        <v>6876</v>
      </c>
      <c r="I548" s="15" t="s">
        <v>6877</v>
      </c>
      <c r="J548" s="19" t="s">
        <v>36</v>
      </c>
      <c r="K548" s="19" t="s">
        <v>37</v>
      </c>
      <c r="L548" s="19" t="s">
        <v>38</v>
      </c>
      <c r="M548" s="20">
        <f t="shared" si="2"/>
        <v>0</v>
      </c>
      <c r="N548" s="22"/>
      <c r="O548" s="19" t="s">
        <v>39</v>
      </c>
      <c r="P548" s="18"/>
      <c r="Q548" s="18"/>
      <c r="R548" s="23">
        <v>0.0</v>
      </c>
      <c r="S548" s="23">
        <v>0.0</v>
      </c>
      <c r="T548" s="23">
        <f t="shared" si="3"/>
        <v>0</v>
      </c>
      <c r="U548" s="23">
        <f t="shared" si="4"/>
        <v>0</v>
      </c>
      <c r="V548" s="23">
        <f t="shared" si="5"/>
        <v>0</v>
      </c>
      <c r="W548" s="24" t="str">
        <f t="shared" si="6"/>
        <v>#DIV/0!</v>
      </c>
    </row>
    <row r="549">
      <c r="A549" s="15" t="s">
        <v>6878</v>
      </c>
      <c r="B549" s="18"/>
      <c r="C549" s="15" t="s">
        <v>6879</v>
      </c>
      <c r="D549" s="18"/>
      <c r="E549" s="17" t="s">
        <v>6880</v>
      </c>
      <c r="F549" s="18"/>
      <c r="G549" s="18"/>
      <c r="H549" s="15" t="s">
        <v>6881</v>
      </c>
      <c r="I549" s="15" t="s">
        <v>325</v>
      </c>
      <c r="J549" s="19" t="s">
        <v>36</v>
      </c>
      <c r="K549" s="19" t="s">
        <v>105</v>
      </c>
      <c r="L549" s="19" t="s">
        <v>38</v>
      </c>
      <c r="M549" s="20">
        <f t="shared" si="2"/>
        <v>0</v>
      </c>
      <c r="N549" s="22"/>
      <c r="O549" s="19" t="s">
        <v>39</v>
      </c>
      <c r="P549" s="18"/>
      <c r="Q549" s="18"/>
      <c r="R549" s="23">
        <v>0.0</v>
      </c>
      <c r="S549" s="23">
        <v>0.0</v>
      </c>
      <c r="T549" s="23">
        <f t="shared" si="3"/>
        <v>0</v>
      </c>
      <c r="U549" s="23">
        <f t="shared" si="4"/>
        <v>0</v>
      </c>
      <c r="V549" s="23">
        <f t="shared" si="5"/>
        <v>0</v>
      </c>
      <c r="W549" s="24" t="str">
        <f t="shared" si="6"/>
        <v>#DIV/0!</v>
      </c>
    </row>
    <row r="550">
      <c r="A550" s="15" t="s">
        <v>1079</v>
      </c>
      <c r="B550" s="15" t="s">
        <v>1080</v>
      </c>
      <c r="C550" s="15" t="s">
        <v>6004</v>
      </c>
      <c r="D550" s="15" t="s">
        <v>1081</v>
      </c>
      <c r="E550" s="17" t="s">
        <v>1082</v>
      </c>
      <c r="F550" s="18"/>
      <c r="G550" s="18"/>
      <c r="H550" s="15" t="s">
        <v>1083</v>
      </c>
      <c r="I550" s="15"/>
      <c r="J550" s="19" t="s">
        <v>36</v>
      </c>
      <c r="K550" s="19" t="s">
        <v>60</v>
      </c>
      <c r="L550" s="19" t="s">
        <v>115</v>
      </c>
      <c r="M550" s="20">
        <f t="shared" si="2"/>
        <v>4138.08</v>
      </c>
      <c r="N550" s="31">
        <v>4.0</v>
      </c>
      <c r="O550" s="19" t="s">
        <v>107</v>
      </c>
      <c r="P550" s="18"/>
      <c r="Q550" s="18"/>
      <c r="R550" s="23">
        <v>80.0</v>
      </c>
      <c r="S550" s="23">
        <v>233.0</v>
      </c>
      <c r="T550" s="23">
        <f t="shared" si="3"/>
        <v>223.68</v>
      </c>
      <c r="U550" s="23">
        <f t="shared" si="4"/>
        <v>98</v>
      </c>
      <c r="V550" s="23">
        <f t="shared" si="5"/>
        <v>1837.5</v>
      </c>
      <c r="W550" s="24">
        <f t="shared" si="6"/>
        <v>2.796</v>
      </c>
    </row>
    <row r="551">
      <c r="A551" s="15" t="s">
        <v>1829</v>
      </c>
      <c r="B551" s="18"/>
      <c r="C551" s="15" t="s">
        <v>6883</v>
      </c>
      <c r="D551" s="18"/>
      <c r="E551" s="17" t="s">
        <v>1830</v>
      </c>
      <c r="F551" s="18"/>
      <c r="G551" s="18"/>
      <c r="H551" s="15" t="s">
        <v>1831</v>
      </c>
      <c r="I551" s="15" t="s">
        <v>1832</v>
      </c>
      <c r="J551" s="19" t="s">
        <v>36</v>
      </c>
      <c r="K551" s="19" t="s">
        <v>1230</v>
      </c>
      <c r="L551" s="19" t="s">
        <v>38</v>
      </c>
      <c r="M551" s="20">
        <f t="shared" si="2"/>
        <v>0</v>
      </c>
      <c r="N551" s="22"/>
      <c r="O551" s="19" t="s">
        <v>1145</v>
      </c>
      <c r="P551" s="18"/>
      <c r="Q551" s="18"/>
      <c r="R551" s="23">
        <v>0.0</v>
      </c>
      <c r="S551" s="23">
        <v>0.0</v>
      </c>
      <c r="T551" s="23">
        <f t="shared" si="3"/>
        <v>0</v>
      </c>
      <c r="U551" s="23">
        <f t="shared" si="4"/>
        <v>0</v>
      </c>
      <c r="V551" s="23">
        <f t="shared" si="5"/>
        <v>0</v>
      </c>
      <c r="W551" s="24" t="str">
        <f t="shared" si="6"/>
        <v>#DIV/0!</v>
      </c>
    </row>
    <row r="552">
      <c r="A552" s="15" t="s">
        <v>1833</v>
      </c>
      <c r="B552" s="18"/>
      <c r="C552" s="15" t="s">
        <v>6884</v>
      </c>
      <c r="D552" s="18"/>
      <c r="E552" s="17" t="s">
        <v>1834</v>
      </c>
      <c r="F552" s="18"/>
      <c r="G552" s="18"/>
      <c r="H552" s="15" t="s">
        <v>1835</v>
      </c>
      <c r="I552" s="15" t="s">
        <v>1836</v>
      </c>
      <c r="J552" s="19" t="s">
        <v>36</v>
      </c>
      <c r="K552" s="19" t="s">
        <v>1230</v>
      </c>
      <c r="L552" s="19" t="s">
        <v>38</v>
      </c>
      <c r="M552" s="20">
        <f t="shared" si="2"/>
        <v>0</v>
      </c>
      <c r="N552" s="22"/>
      <c r="O552" s="19" t="s">
        <v>1145</v>
      </c>
      <c r="P552" s="18"/>
      <c r="Q552" s="18"/>
      <c r="R552" s="23">
        <v>0.0</v>
      </c>
      <c r="S552" s="23">
        <v>0.0</v>
      </c>
      <c r="T552" s="23">
        <f t="shared" si="3"/>
        <v>0</v>
      </c>
      <c r="U552" s="23">
        <f t="shared" si="4"/>
        <v>0</v>
      </c>
      <c r="V552" s="23">
        <f t="shared" si="5"/>
        <v>0</v>
      </c>
      <c r="W552" s="24" t="str">
        <f t="shared" si="6"/>
        <v>#DIV/0!</v>
      </c>
    </row>
    <row r="553">
      <c r="A553" s="15" t="s">
        <v>1837</v>
      </c>
      <c r="B553" s="18"/>
      <c r="C553" s="15" t="s">
        <v>6885</v>
      </c>
      <c r="D553" s="18"/>
      <c r="E553" s="17" t="s">
        <v>1838</v>
      </c>
      <c r="F553" s="18"/>
      <c r="G553" s="18"/>
      <c r="H553" s="15" t="s">
        <v>1839</v>
      </c>
      <c r="I553" s="15" t="s">
        <v>1840</v>
      </c>
      <c r="J553" s="19" t="s">
        <v>36</v>
      </c>
      <c r="K553" s="19" t="s">
        <v>37</v>
      </c>
      <c r="L553" s="19" t="s">
        <v>38</v>
      </c>
      <c r="M553" s="20">
        <f t="shared" si="2"/>
        <v>0</v>
      </c>
      <c r="N553" s="22"/>
      <c r="O553" s="19" t="s">
        <v>1145</v>
      </c>
      <c r="P553" s="18"/>
      <c r="Q553" s="18"/>
      <c r="R553" s="23">
        <v>0.0</v>
      </c>
      <c r="S553" s="23">
        <v>0.0</v>
      </c>
      <c r="T553" s="23">
        <f t="shared" si="3"/>
        <v>0</v>
      </c>
      <c r="U553" s="23">
        <f t="shared" si="4"/>
        <v>0</v>
      </c>
      <c r="V553" s="23">
        <f t="shared" si="5"/>
        <v>0</v>
      </c>
      <c r="W553" s="24" t="str">
        <f t="shared" si="6"/>
        <v>#DIV/0!</v>
      </c>
    </row>
    <row r="554">
      <c r="A554" s="15" t="s">
        <v>1841</v>
      </c>
      <c r="B554" s="18"/>
      <c r="C554" s="15" t="s">
        <v>6886</v>
      </c>
      <c r="D554" s="18"/>
      <c r="E554" s="17" t="s">
        <v>1842</v>
      </c>
      <c r="F554" s="18"/>
      <c r="G554" s="18"/>
      <c r="H554" s="15" t="s">
        <v>1843</v>
      </c>
      <c r="I554" s="15" t="s">
        <v>1844</v>
      </c>
      <c r="J554" s="19" t="s">
        <v>36</v>
      </c>
      <c r="K554" s="19" t="s">
        <v>1230</v>
      </c>
      <c r="L554" s="19" t="s">
        <v>38</v>
      </c>
      <c r="M554" s="20">
        <f t="shared" si="2"/>
        <v>0</v>
      </c>
      <c r="N554" s="22"/>
      <c r="O554" s="19" t="s">
        <v>1145</v>
      </c>
      <c r="P554" s="18"/>
      <c r="Q554" s="18"/>
      <c r="R554" s="23">
        <v>0.0</v>
      </c>
      <c r="S554" s="23">
        <v>0.0</v>
      </c>
      <c r="T554" s="23">
        <f t="shared" si="3"/>
        <v>0</v>
      </c>
      <c r="U554" s="23">
        <f t="shared" si="4"/>
        <v>0</v>
      </c>
      <c r="V554" s="23">
        <f t="shared" si="5"/>
        <v>0</v>
      </c>
      <c r="W554" s="24" t="str">
        <f t="shared" si="6"/>
        <v>#DIV/0!</v>
      </c>
    </row>
    <row r="555">
      <c r="A555" s="15" t="s">
        <v>1845</v>
      </c>
      <c r="B555" s="18"/>
      <c r="C555" s="15" t="s">
        <v>6887</v>
      </c>
      <c r="D555" s="18"/>
      <c r="E555" s="17" t="s">
        <v>1846</v>
      </c>
      <c r="F555" s="18"/>
      <c r="G555" s="18"/>
      <c r="H555" s="15" t="s">
        <v>1847</v>
      </c>
      <c r="I555" s="15" t="s">
        <v>1848</v>
      </c>
      <c r="J555" s="19" t="s">
        <v>36</v>
      </c>
      <c r="K555" s="19" t="s">
        <v>1230</v>
      </c>
      <c r="L555" s="19" t="s">
        <v>38</v>
      </c>
      <c r="M555" s="20">
        <f t="shared" si="2"/>
        <v>0</v>
      </c>
      <c r="N555" s="22"/>
      <c r="O555" s="19" t="s">
        <v>1145</v>
      </c>
      <c r="P555" s="18"/>
      <c r="Q555" s="18"/>
      <c r="R555" s="23">
        <v>0.0</v>
      </c>
      <c r="S555" s="23">
        <v>0.0</v>
      </c>
      <c r="T555" s="23">
        <f t="shared" si="3"/>
        <v>0</v>
      </c>
      <c r="U555" s="23">
        <f t="shared" si="4"/>
        <v>0</v>
      </c>
      <c r="V555" s="23">
        <f t="shared" si="5"/>
        <v>0</v>
      </c>
      <c r="W555" s="24" t="str">
        <f t="shared" si="6"/>
        <v>#DIV/0!</v>
      </c>
    </row>
    <row r="556">
      <c r="A556" s="15" t="s">
        <v>1849</v>
      </c>
      <c r="B556" s="18"/>
      <c r="C556" s="15" t="s">
        <v>6888</v>
      </c>
      <c r="D556" s="18"/>
      <c r="E556" s="17" t="s">
        <v>1850</v>
      </c>
      <c r="F556" s="18"/>
      <c r="G556" s="18"/>
      <c r="H556" s="15" t="s">
        <v>1851</v>
      </c>
      <c r="I556" s="15" t="s">
        <v>1852</v>
      </c>
      <c r="J556" s="19" t="s">
        <v>36</v>
      </c>
      <c r="K556" s="19" t="s">
        <v>1230</v>
      </c>
      <c r="L556" s="19" t="s">
        <v>38</v>
      </c>
      <c r="M556" s="20">
        <f t="shared" si="2"/>
        <v>0</v>
      </c>
      <c r="N556" s="22"/>
      <c r="O556" s="19" t="s">
        <v>1145</v>
      </c>
      <c r="P556" s="18"/>
      <c r="Q556" s="18"/>
      <c r="R556" s="23">
        <v>0.0</v>
      </c>
      <c r="S556" s="23">
        <v>0.0</v>
      </c>
      <c r="T556" s="23">
        <f t="shared" si="3"/>
        <v>0</v>
      </c>
      <c r="U556" s="23">
        <f t="shared" si="4"/>
        <v>0</v>
      </c>
      <c r="V556" s="23">
        <f t="shared" si="5"/>
        <v>0</v>
      </c>
      <c r="W556" s="24" t="str">
        <f t="shared" si="6"/>
        <v>#DIV/0!</v>
      </c>
    </row>
    <row r="557">
      <c r="A557" s="15" t="s">
        <v>1853</v>
      </c>
      <c r="B557" s="18"/>
      <c r="C557" s="15" t="s">
        <v>6889</v>
      </c>
      <c r="D557" s="18"/>
      <c r="E557" s="17" t="s">
        <v>1854</v>
      </c>
      <c r="F557" s="18"/>
      <c r="G557" s="18"/>
      <c r="H557" s="15" t="s">
        <v>1855</v>
      </c>
      <c r="I557" s="15" t="s">
        <v>1856</v>
      </c>
      <c r="J557" s="19" t="s">
        <v>36</v>
      </c>
      <c r="K557" s="19" t="s">
        <v>1230</v>
      </c>
      <c r="L557" s="19" t="s">
        <v>38</v>
      </c>
      <c r="M557" s="20">
        <f t="shared" si="2"/>
        <v>0</v>
      </c>
      <c r="N557" s="22"/>
      <c r="O557" s="19" t="s">
        <v>1145</v>
      </c>
      <c r="P557" s="18"/>
      <c r="Q557" s="18"/>
      <c r="R557" s="23">
        <v>0.0</v>
      </c>
      <c r="S557" s="23">
        <v>0.0</v>
      </c>
      <c r="T557" s="23">
        <f t="shared" si="3"/>
        <v>0</v>
      </c>
      <c r="U557" s="23">
        <f t="shared" si="4"/>
        <v>0</v>
      </c>
      <c r="V557" s="23">
        <f t="shared" si="5"/>
        <v>0</v>
      </c>
      <c r="W557" s="24" t="str">
        <f t="shared" si="6"/>
        <v>#DIV/0!</v>
      </c>
    </row>
    <row r="558">
      <c r="A558" s="15" t="s">
        <v>1857</v>
      </c>
      <c r="B558" s="18"/>
      <c r="C558" s="15" t="s">
        <v>6890</v>
      </c>
      <c r="D558" s="18"/>
      <c r="E558" s="17" t="s">
        <v>1858</v>
      </c>
      <c r="F558" s="18"/>
      <c r="G558" s="18"/>
      <c r="H558" s="15" t="s">
        <v>1859</v>
      </c>
      <c r="I558" s="15" t="s">
        <v>1860</v>
      </c>
      <c r="J558" s="19" t="s">
        <v>36</v>
      </c>
      <c r="K558" s="19" t="s">
        <v>37</v>
      </c>
      <c r="L558" s="19" t="s">
        <v>38</v>
      </c>
      <c r="M558" s="20">
        <f t="shared" si="2"/>
        <v>0</v>
      </c>
      <c r="N558" s="22"/>
      <c r="O558" s="19" t="s">
        <v>1145</v>
      </c>
      <c r="P558" s="18"/>
      <c r="Q558" s="18"/>
      <c r="R558" s="23">
        <v>0.0</v>
      </c>
      <c r="S558" s="23">
        <v>0.0</v>
      </c>
      <c r="T558" s="23">
        <f t="shared" si="3"/>
        <v>0</v>
      </c>
      <c r="U558" s="23">
        <f t="shared" si="4"/>
        <v>0</v>
      </c>
      <c r="V558" s="23">
        <f t="shared" si="5"/>
        <v>0</v>
      </c>
      <c r="W558" s="24" t="str">
        <f t="shared" si="6"/>
        <v>#DIV/0!</v>
      </c>
    </row>
    <row r="559">
      <c r="A559" s="15" t="s">
        <v>6891</v>
      </c>
      <c r="B559" s="18"/>
      <c r="C559" s="15" t="s">
        <v>6892</v>
      </c>
      <c r="D559" s="18"/>
      <c r="E559" s="17" t="s">
        <v>6893</v>
      </c>
      <c r="F559" s="18"/>
      <c r="G559" s="18"/>
      <c r="H559" s="15" t="s">
        <v>6894</v>
      </c>
      <c r="I559" s="15" t="s">
        <v>684</v>
      </c>
      <c r="J559" s="19" t="s">
        <v>36</v>
      </c>
      <c r="K559" s="19" t="s">
        <v>105</v>
      </c>
      <c r="L559" s="19" t="s">
        <v>38</v>
      </c>
      <c r="M559" s="20">
        <f t="shared" si="2"/>
        <v>0</v>
      </c>
      <c r="N559" s="22"/>
      <c r="O559" s="19" t="s">
        <v>39</v>
      </c>
      <c r="P559" s="18"/>
      <c r="Q559" s="18"/>
      <c r="R559" s="23">
        <v>0.0</v>
      </c>
      <c r="S559" s="23">
        <v>0.0</v>
      </c>
      <c r="T559" s="23">
        <f t="shared" si="3"/>
        <v>0</v>
      </c>
      <c r="U559" s="23">
        <f t="shared" si="4"/>
        <v>0</v>
      </c>
      <c r="V559" s="23">
        <f t="shared" si="5"/>
        <v>0</v>
      </c>
      <c r="W559" s="24" t="str">
        <f t="shared" si="6"/>
        <v>#DIV/0!</v>
      </c>
    </row>
    <row r="560">
      <c r="A560" s="15" t="s">
        <v>1861</v>
      </c>
      <c r="B560" s="18"/>
      <c r="C560" s="15" t="s">
        <v>6895</v>
      </c>
      <c r="D560" s="18"/>
      <c r="E560" s="17" t="s">
        <v>1862</v>
      </c>
      <c r="F560" s="18"/>
      <c r="G560" s="18"/>
      <c r="H560" s="15" t="s">
        <v>1863</v>
      </c>
      <c r="I560" s="15" t="s">
        <v>1864</v>
      </c>
      <c r="J560" s="19" t="s">
        <v>36</v>
      </c>
      <c r="K560" s="19" t="s">
        <v>105</v>
      </c>
      <c r="L560" s="19" t="s">
        <v>38</v>
      </c>
      <c r="M560" s="20">
        <f t="shared" si="2"/>
        <v>0</v>
      </c>
      <c r="N560" s="22"/>
      <c r="O560" s="19" t="s">
        <v>1145</v>
      </c>
      <c r="P560" s="18"/>
      <c r="Q560" s="18"/>
      <c r="R560" s="23">
        <v>0.0</v>
      </c>
      <c r="S560" s="23">
        <v>0.0</v>
      </c>
      <c r="T560" s="23">
        <f t="shared" si="3"/>
        <v>0</v>
      </c>
      <c r="U560" s="23">
        <f t="shared" si="4"/>
        <v>0</v>
      </c>
      <c r="V560" s="23">
        <f t="shared" si="5"/>
        <v>0</v>
      </c>
      <c r="W560" s="24" t="str">
        <f t="shared" si="6"/>
        <v>#DIV/0!</v>
      </c>
    </row>
    <row r="561">
      <c r="A561" s="15" t="s">
        <v>1865</v>
      </c>
      <c r="B561" s="18"/>
      <c r="C561" s="15" t="s">
        <v>6896</v>
      </c>
      <c r="D561" s="18"/>
      <c r="E561" s="17" t="s">
        <v>1866</v>
      </c>
      <c r="F561" s="18"/>
      <c r="G561" s="18"/>
      <c r="H561" s="15" t="s">
        <v>1867</v>
      </c>
      <c r="I561" s="15" t="s">
        <v>1868</v>
      </c>
      <c r="J561" s="19" t="s">
        <v>36</v>
      </c>
      <c r="K561" s="19" t="s">
        <v>105</v>
      </c>
      <c r="L561" s="19" t="s">
        <v>38</v>
      </c>
      <c r="M561" s="20">
        <f t="shared" si="2"/>
        <v>0</v>
      </c>
      <c r="N561" s="22"/>
      <c r="O561" s="19" t="s">
        <v>1145</v>
      </c>
      <c r="P561" s="18"/>
      <c r="Q561" s="18"/>
      <c r="R561" s="23">
        <v>0.0</v>
      </c>
      <c r="S561" s="23">
        <v>0.0</v>
      </c>
      <c r="T561" s="23">
        <f t="shared" si="3"/>
        <v>0</v>
      </c>
      <c r="U561" s="23">
        <f t="shared" si="4"/>
        <v>0</v>
      </c>
      <c r="V561" s="23">
        <f t="shared" si="5"/>
        <v>0</v>
      </c>
      <c r="W561" s="24" t="str">
        <f t="shared" si="6"/>
        <v>#DIV/0!</v>
      </c>
    </row>
    <row r="562">
      <c r="A562" s="15" t="s">
        <v>1869</v>
      </c>
      <c r="B562" s="18"/>
      <c r="C562" s="15" t="s">
        <v>6897</v>
      </c>
      <c r="D562" s="18"/>
      <c r="E562" s="17" t="s">
        <v>1870</v>
      </c>
      <c r="F562" s="18"/>
      <c r="G562" s="18"/>
      <c r="H562" s="15" t="s">
        <v>1871</v>
      </c>
      <c r="I562" s="15" t="s">
        <v>1872</v>
      </c>
      <c r="J562" s="19" t="s">
        <v>36</v>
      </c>
      <c r="K562" s="19" t="s">
        <v>105</v>
      </c>
      <c r="L562" s="19" t="s">
        <v>38</v>
      </c>
      <c r="M562" s="20">
        <f t="shared" si="2"/>
        <v>0</v>
      </c>
      <c r="N562" s="22"/>
      <c r="O562" s="19" t="s">
        <v>1145</v>
      </c>
      <c r="P562" s="18"/>
      <c r="Q562" s="18"/>
      <c r="R562" s="23">
        <v>0.0</v>
      </c>
      <c r="S562" s="23">
        <v>0.0</v>
      </c>
      <c r="T562" s="23">
        <f t="shared" si="3"/>
        <v>0</v>
      </c>
      <c r="U562" s="23">
        <f t="shared" si="4"/>
        <v>0</v>
      </c>
      <c r="V562" s="23">
        <f t="shared" si="5"/>
        <v>0</v>
      </c>
      <c r="W562" s="24" t="str">
        <f t="shared" si="6"/>
        <v>#DIV/0!</v>
      </c>
    </row>
    <row r="563">
      <c r="A563" s="15" t="s">
        <v>6898</v>
      </c>
      <c r="B563" s="18"/>
      <c r="C563" s="15" t="s">
        <v>6899</v>
      </c>
      <c r="D563" s="18"/>
      <c r="E563" s="17" t="s">
        <v>6900</v>
      </c>
      <c r="F563" s="18"/>
      <c r="G563" s="18"/>
      <c r="H563" s="15" t="s">
        <v>6901</v>
      </c>
      <c r="I563" s="15" t="s">
        <v>4265</v>
      </c>
      <c r="J563" s="19" t="s">
        <v>36</v>
      </c>
      <c r="K563" s="19" t="s">
        <v>1230</v>
      </c>
      <c r="L563" s="19" t="s">
        <v>38</v>
      </c>
      <c r="M563" s="20">
        <f t="shared" si="2"/>
        <v>0</v>
      </c>
      <c r="N563" s="22"/>
      <c r="O563" s="19" t="s">
        <v>39</v>
      </c>
      <c r="P563" s="18"/>
      <c r="Q563" s="18"/>
      <c r="R563" s="23">
        <v>0.0</v>
      </c>
      <c r="S563" s="23">
        <v>0.0</v>
      </c>
      <c r="T563" s="23">
        <f t="shared" si="3"/>
        <v>0</v>
      </c>
      <c r="U563" s="23">
        <f t="shared" si="4"/>
        <v>0</v>
      </c>
      <c r="V563" s="23">
        <f t="shared" si="5"/>
        <v>0</v>
      </c>
      <c r="W563" s="24" t="str">
        <f t="shared" si="6"/>
        <v>#DIV/0!</v>
      </c>
    </row>
    <row r="564">
      <c r="A564" s="15" t="s">
        <v>6902</v>
      </c>
      <c r="B564" s="18"/>
      <c r="C564" s="15" t="s">
        <v>6903</v>
      </c>
      <c r="D564" s="18"/>
      <c r="E564" s="17" t="s">
        <v>6904</v>
      </c>
      <c r="F564" s="18"/>
      <c r="G564" s="18"/>
      <c r="H564" s="15" t="s">
        <v>6905</v>
      </c>
      <c r="I564" s="15" t="s">
        <v>4265</v>
      </c>
      <c r="J564" s="19" t="s">
        <v>36</v>
      </c>
      <c r="K564" s="19" t="s">
        <v>1230</v>
      </c>
      <c r="L564" s="19" t="s">
        <v>38</v>
      </c>
      <c r="M564" s="20">
        <f t="shared" si="2"/>
        <v>0</v>
      </c>
      <c r="N564" s="22"/>
      <c r="O564" s="19" t="s">
        <v>39</v>
      </c>
      <c r="P564" s="18"/>
      <c r="Q564" s="18"/>
      <c r="R564" s="23">
        <v>0.0</v>
      </c>
      <c r="S564" s="23">
        <v>0.0</v>
      </c>
      <c r="T564" s="23">
        <f t="shared" si="3"/>
        <v>0</v>
      </c>
      <c r="U564" s="23">
        <f t="shared" si="4"/>
        <v>0</v>
      </c>
      <c r="V564" s="23">
        <f t="shared" si="5"/>
        <v>0</v>
      </c>
      <c r="W564" s="24" t="str">
        <f t="shared" si="6"/>
        <v>#DIV/0!</v>
      </c>
    </row>
    <row r="565">
      <c r="A565" s="15" t="s">
        <v>6906</v>
      </c>
      <c r="B565" s="18"/>
      <c r="C565" s="15" t="s">
        <v>6907</v>
      </c>
      <c r="D565" s="18"/>
      <c r="E565" s="17" t="s">
        <v>6908</v>
      </c>
      <c r="F565" s="18"/>
      <c r="G565" s="18"/>
      <c r="H565" s="15" t="s">
        <v>6909</v>
      </c>
      <c r="I565" s="15" t="s">
        <v>4260</v>
      </c>
      <c r="J565" s="19" t="s">
        <v>36</v>
      </c>
      <c r="K565" s="19" t="s">
        <v>37</v>
      </c>
      <c r="L565" s="19" t="s">
        <v>38</v>
      </c>
      <c r="M565" s="20">
        <f t="shared" si="2"/>
        <v>0</v>
      </c>
      <c r="N565" s="22"/>
      <c r="O565" s="19" t="s">
        <v>39</v>
      </c>
      <c r="P565" s="18"/>
      <c r="Q565" s="18"/>
      <c r="R565" s="23">
        <v>0.0</v>
      </c>
      <c r="S565" s="23">
        <v>0.0</v>
      </c>
      <c r="T565" s="23">
        <f t="shared" si="3"/>
        <v>0</v>
      </c>
      <c r="U565" s="23">
        <f t="shared" si="4"/>
        <v>0</v>
      </c>
      <c r="V565" s="23">
        <f t="shared" si="5"/>
        <v>0</v>
      </c>
      <c r="W565" s="24" t="str">
        <f t="shared" si="6"/>
        <v>#DIV/0!</v>
      </c>
    </row>
    <row r="566">
      <c r="A566" s="15" t="s">
        <v>1873</v>
      </c>
      <c r="B566" s="18"/>
      <c r="C566" s="15" t="s">
        <v>6910</v>
      </c>
      <c r="D566" s="18"/>
      <c r="E566" s="17" t="s">
        <v>1874</v>
      </c>
      <c r="F566" s="18"/>
      <c r="G566" s="18"/>
      <c r="H566" s="15" t="s">
        <v>1875</v>
      </c>
      <c r="I566" s="15" t="s">
        <v>1876</v>
      </c>
      <c r="J566" s="19" t="s">
        <v>36</v>
      </c>
      <c r="K566" s="19" t="s">
        <v>105</v>
      </c>
      <c r="L566" s="19" t="s">
        <v>38</v>
      </c>
      <c r="M566" s="20">
        <f t="shared" si="2"/>
        <v>0</v>
      </c>
      <c r="N566" s="22"/>
      <c r="O566" s="19" t="s">
        <v>1145</v>
      </c>
      <c r="P566" s="18"/>
      <c r="Q566" s="18"/>
      <c r="R566" s="23">
        <v>0.0</v>
      </c>
      <c r="S566" s="23">
        <v>0.0</v>
      </c>
      <c r="T566" s="23">
        <f t="shared" si="3"/>
        <v>0</v>
      </c>
      <c r="U566" s="23">
        <f t="shared" si="4"/>
        <v>0</v>
      </c>
      <c r="V566" s="23">
        <f t="shared" si="5"/>
        <v>0</v>
      </c>
      <c r="W566" s="24" t="str">
        <f t="shared" si="6"/>
        <v>#DIV/0!</v>
      </c>
    </row>
    <row r="567">
      <c r="A567" s="15" t="s">
        <v>6911</v>
      </c>
      <c r="B567" s="18"/>
      <c r="C567" s="15" t="s">
        <v>6912</v>
      </c>
      <c r="D567" s="18"/>
      <c r="E567" s="17" t="s">
        <v>566</v>
      </c>
      <c r="F567" s="18"/>
      <c r="G567" s="18"/>
      <c r="H567" s="15" t="s">
        <v>6913</v>
      </c>
      <c r="I567" s="15" t="s">
        <v>567</v>
      </c>
      <c r="J567" s="19" t="s">
        <v>36</v>
      </c>
      <c r="K567" s="19" t="s">
        <v>105</v>
      </c>
      <c r="L567" s="19" t="s">
        <v>38</v>
      </c>
      <c r="M567" s="20">
        <f t="shared" si="2"/>
        <v>0</v>
      </c>
      <c r="N567" s="22"/>
      <c r="O567" s="19" t="s">
        <v>39</v>
      </c>
      <c r="P567" s="18"/>
      <c r="Q567" s="18"/>
      <c r="R567" s="23">
        <v>0.0</v>
      </c>
      <c r="S567" s="23">
        <v>0.0</v>
      </c>
      <c r="T567" s="23">
        <f t="shared" si="3"/>
        <v>0</v>
      </c>
      <c r="U567" s="23">
        <f t="shared" si="4"/>
        <v>0</v>
      </c>
      <c r="V567" s="23">
        <f t="shared" si="5"/>
        <v>0</v>
      </c>
      <c r="W567" s="24" t="str">
        <f t="shared" si="6"/>
        <v>#DIV/0!</v>
      </c>
    </row>
    <row r="568">
      <c r="A568" s="15" t="s">
        <v>1877</v>
      </c>
      <c r="B568" s="18"/>
      <c r="C568" s="15" t="s">
        <v>6914</v>
      </c>
      <c r="D568" s="18"/>
      <c r="E568" s="17" t="s">
        <v>1878</v>
      </c>
      <c r="F568" s="18"/>
      <c r="G568" s="18"/>
      <c r="H568" s="15" t="s">
        <v>1879</v>
      </c>
      <c r="I568" s="15" t="s">
        <v>1880</v>
      </c>
      <c r="J568" s="19" t="s">
        <v>36</v>
      </c>
      <c r="K568" s="19" t="s">
        <v>105</v>
      </c>
      <c r="L568" s="19" t="s">
        <v>38</v>
      </c>
      <c r="M568" s="20">
        <f t="shared" si="2"/>
        <v>0</v>
      </c>
      <c r="N568" s="22"/>
      <c r="O568" s="19" t="s">
        <v>1145</v>
      </c>
      <c r="P568" s="18"/>
      <c r="Q568" s="18"/>
      <c r="R568" s="23">
        <v>0.0</v>
      </c>
      <c r="S568" s="23">
        <v>0.0</v>
      </c>
      <c r="T568" s="23">
        <f t="shared" si="3"/>
        <v>0</v>
      </c>
      <c r="U568" s="23">
        <f t="shared" si="4"/>
        <v>0</v>
      </c>
      <c r="V568" s="23">
        <f t="shared" si="5"/>
        <v>0</v>
      </c>
      <c r="W568" s="24" t="str">
        <f t="shared" si="6"/>
        <v>#DIV/0!</v>
      </c>
    </row>
    <row r="569">
      <c r="A569" s="15" t="s">
        <v>6915</v>
      </c>
      <c r="B569" s="18"/>
      <c r="C569" s="15" t="s">
        <v>6916</v>
      </c>
      <c r="D569" s="18"/>
      <c r="E569" s="17" t="s">
        <v>6801</v>
      </c>
      <c r="F569" s="18"/>
      <c r="G569" s="18"/>
      <c r="H569" s="15" t="s">
        <v>6917</v>
      </c>
      <c r="I569" s="15" t="s">
        <v>709</v>
      </c>
      <c r="J569" s="19" t="s">
        <v>36</v>
      </c>
      <c r="K569" s="19" t="s">
        <v>105</v>
      </c>
      <c r="L569" s="19" t="s">
        <v>38</v>
      </c>
      <c r="M569" s="20">
        <f t="shared" si="2"/>
        <v>0</v>
      </c>
      <c r="N569" s="22"/>
      <c r="O569" s="19" t="s">
        <v>39</v>
      </c>
      <c r="P569" s="18"/>
      <c r="Q569" s="18"/>
      <c r="R569" s="23">
        <v>0.0</v>
      </c>
      <c r="S569" s="23">
        <v>0.0</v>
      </c>
      <c r="T569" s="23">
        <f t="shared" si="3"/>
        <v>0</v>
      </c>
      <c r="U569" s="23">
        <f t="shared" si="4"/>
        <v>0</v>
      </c>
      <c r="V569" s="23">
        <f t="shared" si="5"/>
        <v>0</v>
      </c>
      <c r="W569" s="24" t="str">
        <f t="shared" si="6"/>
        <v>#DIV/0!</v>
      </c>
    </row>
    <row r="570">
      <c r="A570" s="15" t="s">
        <v>6918</v>
      </c>
      <c r="B570" s="18"/>
      <c r="C570" s="15" t="s">
        <v>6919</v>
      </c>
      <c r="D570" s="18"/>
      <c r="E570" s="17" t="s">
        <v>476</v>
      </c>
      <c r="F570" s="18"/>
      <c r="G570" s="18"/>
      <c r="H570" s="15" t="s">
        <v>6920</v>
      </c>
      <c r="I570" s="15" t="s">
        <v>477</v>
      </c>
      <c r="J570" s="19" t="s">
        <v>36</v>
      </c>
      <c r="K570" s="19" t="s">
        <v>105</v>
      </c>
      <c r="L570" s="19" t="s">
        <v>38</v>
      </c>
      <c r="M570" s="20">
        <f t="shared" si="2"/>
        <v>0</v>
      </c>
      <c r="N570" s="22"/>
      <c r="O570" s="19" t="s">
        <v>39</v>
      </c>
      <c r="P570" s="18"/>
      <c r="Q570" s="18"/>
      <c r="R570" s="23">
        <v>0.0</v>
      </c>
      <c r="S570" s="23">
        <v>0.0</v>
      </c>
      <c r="T570" s="23">
        <f t="shared" si="3"/>
        <v>0</v>
      </c>
      <c r="U570" s="23">
        <f t="shared" si="4"/>
        <v>0</v>
      </c>
      <c r="V570" s="23">
        <f t="shared" si="5"/>
        <v>0</v>
      </c>
      <c r="W570" s="24" t="str">
        <f t="shared" si="6"/>
        <v>#DIV/0!</v>
      </c>
    </row>
    <row r="571">
      <c r="A571" s="15" t="s">
        <v>6921</v>
      </c>
      <c r="B571" s="18"/>
      <c r="C571" s="15" t="s">
        <v>6922</v>
      </c>
      <c r="D571" s="18"/>
      <c r="E571" s="17" t="s">
        <v>547</v>
      </c>
      <c r="F571" s="18"/>
      <c r="G571" s="18"/>
      <c r="H571" s="15" t="s">
        <v>6923</v>
      </c>
      <c r="I571" s="15" t="s">
        <v>548</v>
      </c>
      <c r="J571" s="19" t="s">
        <v>36</v>
      </c>
      <c r="K571" s="19" t="s">
        <v>105</v>
      </c>
      <c r="L571" s="19" t="s">
        <v>38</v>
      </c>
      <c r="M571" s="20">
        <f t="shared" si="2"/>
        <v>0</v>
      </c>
      <c r="N571" s="22"/>
      <c r="O571" s="19" t="s">
        <v>39</v>
      </c>
      <c r="P571" s="18"/>
      <c r="Q571" s="18"/>
      <c r="R571" s="23">
        <v>0.0</v>
      </c>
      <c r="S571" s="23">
        <v>0.0</v>
      </c>
      <c r="T571" s="23">
        <f t="shared" si="3"/>
        <v>0</v>
      </c>
      <c r="U571" s="23">
        <f t="shared" si="4"/>
        <v>0</v>
      </c>
      <c r="V571" s="23">
        <f t="shared" si="5"/>
        <v>0</v>
      </c>
      <c r="W571" s="24" t="str">
        <f t="shared" si="6"/>
        <v>#DIV/0!</v>
      </c>
    </row>
    <row r="572">
      <c r="A572" s="15" t="s">
        <v>1881</v>
      </c>
      <c r="B572" s="18"/>
      <c r="C572" s="15" t="s">
        <v>6924</v>
      </c>
      <c r="D572" s="18"/>
      <c r="E572" s="17" t="s">
        <v>1882</v>
      </c>
      <c r="F572" s="18"/>
      <c r="G572" s="18"/>
      <c r="H572" s="15" t="s">
        <v>1883</v>
      </c>
      <c r="I572" s="15" t="s">
        <v>1884</v>
      </c>
      <c r="J572" s="19" t="s">
        <v>36</v>
      </c>
      <c r="K572" s="19" t="s">
        <v>105</v>
      </c>
      <c r="L572" s="19" t="s">
        <v>38</v>
      </c>
      <c r="M572" s="20">
        <f t="shared" si="2"/>
        <v>0</v>
      </c>
      <c r="N572" s="22"/>
      <c r="O572" s="19" t="s">
        <v>1145</v>
      </c>
      <c r="P572" s="18"/>
      <c r="Q572" s="18"/>
      <c r="R572" s="23">
        <v>0.0</v>
      </c>
      <c r="S572" s="23">
        <v>0.0</v>
      </c>
      <c r="T572" s="23">
        <f t="shared" si="3"/>
        <v>0</v>
      </c>
      <c r="U572" s="23">
        <f t="shared" si="4"/>
        <v>0</v>
      </c>
      <c r="V572" s="23">
        <f t="shared" si="5"/>
        <v>0</v>
      </c>
      <c r="W572" s="24" t="str">
        <f t="shared" si="6"/>
        <v>#DIV/0!</v>
      </c>
    </row>
    <row r="573">
      <c r="A573" s="15" t="s">
        <v>1885</v>
      </c>
      <c r="B573" s="18"/>
      <c r="C573" s="15" t="s">
        <v>6925</v>
      </c>
      <c r="D573" s="18"/>
      <c r="E573" s="17" t="s">
        <v>1886</v>
      </c>
      <c r="F573" s="18"/>
      <c r="G573" s="18"/>
      <c r="H573" s="15" t="s">
        <v>1887</v>
      </c>
      <c r="I573" s="15" t="s">
        <v>1888</v>
      </c>
      <c r="J573" s="19" t="s">
        <v>36</v>
      </c>
      <c r="K573" s="19" t="s">
        <v>105</v>
      </c>
      <c r="L573" s="19" t="s">
        <v>38</v>
      </c>
      <c r="M573" s="20">
        <f t="shared" si="2"/>
        <v>0</v>
      </c>
      <c r="N573" s="22"/>
      <c r="O573" s="19" t="s">
        <v>1145</v>
      </c>
      <c r="P573" s="18"/>
      <c r="Q573" s="18"/>
      <c r="R573" s="23">
        <v>0.0</v>
      </c>
      <c r="S573" s="23">
        <v>0.0</v>
      </c>
      <c r="T573" s="23">
        <f t="shared" si="3"/>
        <v>0</v>
      </c>
      <c r="U573" s="23">
        <f t="shared" si="4"/>
        <v>0</v>
      </c>
      <c r="V573" s="23">
        <f t="shared" si="5"/>
        <v>0</v>
      </c>
      <c r="W573" s="24" t="str">
        <f t="shared" si="6"/>
        <v>#DIV/0!</v>
      </c>
    </row>
    <row r="574">
      <c r="A574" s="15" t="s">
        <v>6926</v>
      </c>
      <c r="B574" s="18"/>
      <c r="C574" s="15" t="s">
        <v>6927</v>
      </c>
      <c r="D574" s="18"/>
      <c r="E574" s="17" t="s">
        <v>6928</v>
      </c>
      <c r="F574" s="18"/>
      <c r="G574" s="18"/>
      <c r="H574" s="15" t="s">
        <v>6929</v>
      </c>
      <c r="I574" s="15" t="s">
        <v>4213</v>
      </c>
      <c r="J574" s="19" t="s">
        <v>36</v>
      </c>
      <c r="K574" s="19" t="s">
        <v>105</v>
      </c>
      <c r="L574" s="19" t="s">
        <v>38</v>
      </c>
      <c r="M574" s="20">
        <f t="shared" si="2"/>
        <v>0</v>
      </c>
      <c r="N574" s="22"/>
      <c r="O574" s="19" t="s">
        <v>1145</v>
      </c>
      <c r="P574" s="18"/>
      <c r="Q574" s="18"/>
      <c r="R574" s="23">
        <v>0.0</v>
      </c>
      <c r="S574" s="23">
        <v>0.0</v>
      </c>
      <c r="T574" s="23">
        <f t="shared" si="3"/>
        <v>0</v>
      </c>
      <c r="U574" s="23">
        <f t="shared" si="4"/>
        <v>0</v>
      </c>
      <c r="V574" s="23">
        <f t="shared" si="5"/>
        <v>0</v>
      </c>
      <c r="W574" s="24" t="str">
        <f t="shared" si="6"/>
        <v>#DIV/0!</v>
      </c>
    </row>
    <row r="575">
      <c r="A575" s="15" t="s">
        <v>1889</v>
      </c>
      <c r="B575" s="18"/>
      <c r="C575" s="15" t="s">
        <v>6930</v>
      </c>
      <c r="D575" s="18"/>
      <c r="E575" s="17" t="s">
        <v>1890</v>
      </c>
      <c r="F575" s="18"/>
      <c r="G575" s="18"/>
      <c r="H575" s="15" t="s">
        <v>1891</v>
      </c>
      <c r="I575" s="15" t="s">
        <v>1892</v>
      </c>
      <c r="J575" s="19" t="s">
        <v>36</v>
      </c>
      <c r="K575" s="19" t="s">
        <v>105</v>
      </c>
      <c r="L575" s="19" t="s">
        <v>38</v>
      </c>
      <c r="M575" s="20">
        <f t="shared" si="2"/>
        <v>0</v>
      </c>
      <c r="N575" s="22"/>
      <c r="O575" s="19" t="s">
        <v>1145</v>
      </c>
      <c r="P575" s="18"/>
      <c r="Q575" s="18"/>
      <c r="R575" s="23">
        <v>0.0</v>
      </c>
      <c r="S575" s="23">
        <v>0.0</v>
      </c>
      <c r="T575" s="23">
        <f t="shared" si="3"/>
        <v>0</v>
      </c>
      <c r="U575" s="23">
        <f t="shared" si="4"/>
        <v>0</v>
      </c>
      <c r="V575" s="23">
        <f t="shared" si="5"/>
        <v>0</v>
      </c>
      <c r="W575" s="24" t="str">
        <f t="shared" si="6"/>
        <v>#DIV/0!</v>
      </c>
    </row>
    <row r="576">
      <c r="A576" s="15" t="s">
        <v>6931</v>
      </c>
      <c r="B576" s="18"/>
      <c r="C576" s="15" t="s">
        <v>6932</v>
      </c>
      <c r="D576" s="18"/>
      <c r="E576" s="17" t="s">
        <v>6933</v>
      </c>
      <c r="F576" s="18"/>
      <c r="G576" s="18"/>
      <c r="H576" s="15" t="s">
        <v>6934</v>
      </c>
      <c r="I576" s="15" t="s">
        <v>4230</v>
      </c>
      <c r="J576" s="19" t="s">
        <v>36</v>
      </c>
      <c r="K576" s="19" t="s">
        <v>105</v>
      </c>
      <c r="L576" s="19" t="s">
        <v>38</v>
      </c>
      <c r="M576" s="20">
        <f t="shared" si="2"/>
        <v>0</v>
      </c>
      <c r="N576" s="22"/>
      <c r="O576" s="19" t="s">
        <v>39</v>
      </c>
      <c r="P576" s="18"/>
      <c r="Q576" s="18"/>
      <c r="R576" s="23">
        <v>0.0</v>
      </c>
      <c r="S576" s="23">
        <v>0.0</v>
      </c>
      <c r="T576" s="23">
        <f t="shared" si="3"/>
        <v>0</v>
      </c>
      <c r="U576" s="23">
        <f t="shared" si="4"/>
        <v>0</v>
      </c>
      <c r="V576" s="23">
        <f t="shared" si="5"/>
        <v>0</v>
      </c>
      <c r="W576" s="24" t="str">
        <f t="shared" si="6"/>
        <v>#DIV/0!</v>
      </c>
    </row>
    <row r="577">
      <c r="A577" s="15" t="s">
        <v>1893</v>
      </c>
      <c r="B577" s="18"/>
      <c r="C577" s="15" t="s">
        <v>6935</v>
      </c>
      <c r="D577" s="18"/>
      <c r="E577" s="17" t="s">
        <v>1894</v>
      </c>
      <c r="F577" s="18"/>
      <c r="G577" s="18"/>
      <c r="H577" s="15" t="s">
        <v>1895</v>
      </c>
      <c r="I577" s="15" t="s">
        <v>1896</v>
      </c>
      <c r="J577" s="19" t="s">
        <v>36</v>
      </c>
      <c r="K577" s="19" t="s">
        <v>105</v>
      </c>
      <c r="L577" s="19" t="s">
        <v>38</v>
      </c>
      <c r="M577" s="20">
        <f t="shared" si="2"/>
        <v>0</v>
      </c>
      <c r="N577" s="22"/>
      <c r="O577" s="19" t="s">
        <v>1145</v>
      </c>
      <c r="P577" s="18"/>
      <c r="Q577" s="18"/>
      <c r="R577" s="23">
        <v>0.0</v>
      </c>
      <c r="S577" s="23">
        <v>0.0</v>
      </c>
      <c r="T577" s="23">
        <f t="shared" si="3"/>
        <v>0</v>
      </c>
      <c r="U577" s="23">
        <f t="shared" si="4"/>
        <v>0</v>
      </c>
      <c r="V577" s="23">
        <f t="shared" si="5"/>
        <v>0</v>
      </c>
      <c r="W577" s="24" t="str">
        <f t="shared" si="6"/>
        <v>#DIV/0!</v>
      </c>
    </row>
    <row r="578">
      <c r="A578" s="15" t="s">
        <v>6936</v>
      </c>
      <c r="B578" s="18"/>
      <c r="C578" s="15" t="s">
        <v>6937</v>
      </c>
      <c r="D578" s="18"/>
      <c r="E578" s="17" t="s">
        <v>6938</v>
      </c>
      <c r="F578" s="18"/>
      <c r="G578" s="18"/>
      <c r="H578" s="15" t="s">
        <v>6939</v>
      </c>
      <c r="I578" s="15" t="s">
        <v>729</v>
      </c>
      <c r="J578" s="19" t="s">
        <v>36</v>
      </c>
      <c r="K578" s="19" t="s">
        <v>105</v>
      </c>
      <c r="L578" s="19" t="s">
        <v>38</v>
      </c>
      <c r="M578" s="20">
        <f t="shared" si="2"/>
        <v>0</v>
      </c>
      <c r="N578" s="22"/>
      <c r="O578" s="19" t="s">
        <v>39</v>
      </c>
      <c r="P578" s="18"/>
      <c r="Q578" s="18"/>
      <c r="R578" s="23">
        <v>0.0</v>
      </c>
      <c r="S578" s="23">
        <v>0.0</v>
      </c>
      <c r="T578" s="23">
        <f t="shared" si="3"/>
        <v>0</v>
      </c>
      <c r="U578" s="23">
        <f t="shared" si="4"/>
        <v>0</v>
      </c>
      <c r="V578" s="23">
        <f t="shared" si="5"/>
        <v>0</v>
      </c>
      <c r="W578" s="24" t="str">
        <f t="shared" si="6"/>
        <v>#DIV/0!</v>
      </c>
    </row>
    <row r="579">
      <c r="A579" s="15" t="s">
        <v>1897</v>
      </c>
      <c r="B579" s="18"/>
      <c r="C579" s="15" t="s">
        <v>6940</v>
      </c>
      <c r="D579" s="18"/>
      <c r="E579" s="17" t="s">
        <v>1898</v>
      </c>
      <c r="F579" s="18"/>
      <c r="G579" s="18"/>
      <c r="H579" s="15" t="s">
        <v>1899</v>
      </c>
      <c r="I579" s="15" t="s">
        <v>1900</v>
      </c>
      <c r="J579" s="19" t="s">
        <v>36</v>
      </c>
      <c r="K579" s="19" t="s">
        <v>105</v>
      </c>
      <c r="L579" s="19" t="s">
        <v>38</v>
      </c>
      <c r="M579" s="20">
        <f t="shared" si="2"/>
        <v>0</v>
      </c>
      <c r="N579" s="22"/>
      <c r="O579" s="19" t="s">
        <v>1145</v>
      </c>
      <c r="P579" s="18"/>
      <c r="Q579" s="18"/>
      <c r="R579" s="23">
        <v>0.0</v>
      </c>
      <c r="S579" s="23">
        <v>0.0</v>
      </c>
      <c r="T579" s="23">
        <f t="shared" si="3"/>
        <v>0</v>
      </c>
      <c r="U579" s="23">
        <f t="shared" si="4"/>
        <v>0</v>
      </c>
      <c r="V579" s="23">
        <f t="shared" si="5"/>
        <v>0</v>
      </c>
      <c r="W579" s="24" t="str">
        <f t="shared" si="6"/>
        <v>#DIV/0!</v>
      </c>
    </row>
    <row r="580">
      <c r="A580" s="15" t="s">
        <v>1901</v>
      </c>
      <c r="B580" s="18"/>
      <c r="C580" s="15" t="s">
        <v>6941</v>
      </c>
      <c r="D580" s="18"/>
      <c r="E580" s="17" t="s">
        <v>1902</v>
      </c>
      <c r="F580" s="18"/>
      <c r="G580" s="18"/>
      <c r="H580" s="15" t="s">
        <v>1903</v>
      </c>
      <c r="I580" s="15" t="s">
        <v>1904</v>
      </c>
      <c r="J580" s="19" t="s">
        <v>36</v>
      </c>
      <c r="K580" s="19" t="s">
        <v>37</v>
      </c>
      <c r="L580" s="19" t="s">
        <v>38</v>
      </c>
      <c r="M580" s="20">
        <f t="shared" si="2"/>
        <v>0</v>
      </c>
      <c r="N580" s="22"/>
      <c r="O580" s="19" t="s">
        <v>1145</v>
      </c>
      <c r="P580" s="18"/>
      <c r="Q580" s="18"/>
      <c r="R580" s="23">
        <v>0.0</v>
      </c>
      <c r="S580" s="23">
        <v>0.0</v>
      </c>
      <c r="T580" s="23">
        <f t="shared" si="3"/>
        <v>0</v>
      </c>
      <c r="U580" s="23">
        <f t="shared" si="4"/>
        <v>0</v>
      </c>
      <c r="V580" s="23">
        <f t="shared" si="5"/>
        <v>0</v>
      </c>
      <c r="W580" s="24" t="str">
        <f t="shared" si="6"/>
        <v>#DIV/0!</v>
      </c>
    </row>
    <row r="581">
      <c r="A581" s="15" t="s">
        <v>1905</v>
      </c>
      <c r="B581" s="18"/>
      <c r="C581" s="15" t="s">
        <v>6942</v>
      </c>
      <c r="D581" s="18"/>
      <c r="E581" s="17" t="s">
        <v>1906</v>
      </c>
      <c r="F581" s="18"/>
      <c r="G581" s="18"/>
      <c r="H581" s="15" t="s">
        <v>1907</v>
      </c>
      <c r="I581" s="15" t="s">
        <v>1908</v>
      </c>
      <c r="J581" s="19" t="s">
        <v>36</v>
      </c>
      <c r="K581" s="19" t="s">
        <v>37</v>
      </c>
      <c r="L581" s="19" t="s">
        <v>38</v>
      </c>
      <c r="M581" s="20">
        <f t="shared" si="2"/>
        <v>0</v>
      </c>
      <c r="N581" s="22"/>
      <c r="O581" s="19" t="s">
        <v>1145</v>
      </c>
      <c r="P581" s="18"/>
      <c r="Q581" s="18"/>
      <c r="R581" s="23">
        <v>0.0</v>
      </c>
      <c r="S581" s="23">
        <v>0.0</v>
      </c>
      <c r="T581" s="23">
        <f t="shared" si="3"/>
        <v>0</v>
      </c>
      <c r="U581" s="23">
        <f t="shared" si="4"/>
        <v>0</v>
      </c>
      <c r="V581" s="23">
        <f t="shared" si="5"/>
        <v>0</v>
      </c>
      <c r="W581" s="24" t="str">
        <f t="shared" si="6"/>
        <v>#DIV/0!</v>
      </c>
    </row>
    <row r="582">
      <c r="A582" s="15" t="s">
        <v>6943</v>
      </c>
      <c r="B582" s="18"/>
      <c r="C582" s="15" t="s">
        <v>6944</v>
      </c>
      <c r="D582" s="18"/>
      <c r="E582" s="17" t="s">
        <v>6945</v>
      </c>
      <c r="F582" s="18"/>
      <c r="G582" s="18"/>
      <c r="H582" s="15" t="s">
        <v>6946</v>
      </c>
      <c r="I582" s="15" t="s">
        <v>747</v>
      </c>
      <c r="J582" s="19" t="s">
        <v>36</v>
      </c>
      <c r="K582" s="19" t="s">
        <v>105</v>
      </c>
      <c r="L582" s="19" t="s">
        <v>38</v>
      </c>
      <c r="M582" s="20">
        <f t="shared" si="2"/>
        <v>0</v>
      </c>
      <c r="N582" s="22"/>
      <c r="O582" s="19" t="s">
        <v>39</v>
      </c>
      <c r="P582" s="18"/>
      <c r="Q582" s="18"/>
      <c r="R582" s="23">
        <v>0.0</v>
      </c>
      <c r="S582" s="23">
        <v>0.0</v>
      </c>
      <c r="T582" s="23">
        <f t="shared" si="3"/>
        <v>0</v>
      </c>
      <c r="U582" s="23">
        <f t="shared" si="4"/>
        <v>0</v>
      </c>
      <c r="V582" s="23">
        <f t="shared" si="5"/>
        <v>0</v>
      </c>
      <c r="W582" s="24" t="str">
        <f t="shared" si="6"/>
        <v>#DIV/0!</v>
      </c>
    </row>
    <row r="583">
      <c r="A583" s="15" t="s">
        <v>6947</v>
      </c>
      <c r="B583" s="18"/>
      <c r="C583" s="15" t="s">
        <v>6948</v>
      </c>
      <c r="D583" s="18"/>
      <c r="E583" s="17" t="s">
        <v>6949</v>
      </c>
      <c r="F583" s="18"/>
      <c r="G583" s="18"/>
      <c r="H583" s="15" t="s">
        <v>6950</v>
      </c>
      <c r="I583" s="15" t="s">
        <v>291</v>
      </c>
      <c r="J583" s="19" t="s">
        <v>36</v>
      </c>
      <c r="K583" s="19" t="s">
        <v>105</v>
      </c>
      <c r="L583" s="19" t="s">
        <v>38</v>
      </c>
      <c r="M583" s="20">
        <f t="shared" si="2"/>
        <v>0</v>
      </c>
      <c r="N583" s="22"/>
      <c r="O583" s="19" t="s">
        <v>39</v>
      </c>
      <c r="P583" s="18"/>
      <c r="Q583" s="18"/>
      <c r="R583" s="23">
        <v>0.0</v>
      </c>
      <c r="S583" s="23">
        <v>0.0</v>
      </c>
      <c r="T583" s="23">
        <f t="shared" si="3"/>
        <v>0</v>
      </c>
      <c r="U583" s="23">
        <f t="shared" si="4"/>
        <v>0</v>
      </c>
      <c r="V583" s="23">
        <f t="shared" si="5"/>
        <v>0</v>
      </c>
      <c r="W583" s="24" t="str">
        <f t="shared" si="6"/>
        <v>#DIV/0!</v>
      </c>
    </row>
    <row r="584">
      <c r="A584" s="15" t="s">
        <v>6951</v>
      </c>
      <c r="B584" s="18"/>
      <c r="C584" s="15" t="s">
        <v>6952</v>
      </c>
      <c r="D584" s="18"/>
      <c r="E584" s="17" t="s">
        <v>6953</v>
      </c>
      <c r="F584" s="18"/>
      <c r="G584" s="18"/>
      <c r="H584" s="15" t="s">
        <v>6954</v>
      </c>
      <c r="I584" s="15" t="s">
        <v>4240</v>
      </c>
      <c r="J584" s="19" t="s">
        <v>36</v>
      </c>
      <c r="K584" s="19" t="s">
        <v>105</v>
      </c>
      <c r="L584" s="19" t="s">
        <v>38</v>
      </c>
      <c r="M584" s="20">
        <f t="shared" si="2"/>
        <v>0</v>
      </c>
      <c r="N584" s="22"/>
      <c r="O584" s="19" t="s">
        <v>39</v>
      </c>
      <c r="P584" s="18"/>
      <c r="Q584" s="18"/>
      <c r="R584" s="23">
        <v>0.0</v>
      </c>
      <c r="S584" s="23">
        <v>0.0</v>
      </c>
      <c r="T584" s="23">
        <f t="shared" si="3"/>
        <v>0</v>
      </c>
      <c r="U584" s="23">
        <f t="shared" si="4"/>
        <v>0</v>
      </c>
      <c r="V584" s="23">
        <f t="shared" si="5"/>
        <v>0</v>
      </c>
      <c r="W584" s="24" t="str">
        <f t="shared" si="6"/>
        <v>#DIV/0!</v>
      </c>
    </row>
    <row r="585">
      <c r="A585" s="15" t="s">
        <v>1909</v>
      </c>
      <c r="B585" s="18"/>
      <c r="C585" s="15" t="s">
        <v>6955</v>
      </c>
      <c r="D585" s="18"/>
      <c r="E585" s="17" t="s">
        <v>1910</v>
      </c>
      <c r="F585" s="18"/>
      <c r="G585" s="18"/>
      <c r="H585" s="15" t="s">
        <v>1911</v>
      </c>
      <c r="I585" s="15" t="s">
        <v>1912</v>
      </c>
      <c r="J585" s="19" t="s">
        <v>36</v>
      </c>
      <c r="K585" s="19" t="s">
        <v>105</v>
      </c>
      <c r="L585" s="19" t="s">
        <v>38</v>
      </c>
      <c r="M585" s="20">
        <f t="shared" si="2"/>
        <v>0</v>
      </c>
      <c r="N585" s="22"/>
      <c r="O585" s="19" t="s">
        <v>1145</v>
      </c>
      <c r="P585" s="18"/>
      <c r="Q585" s="18"/>
      <c r="R585" s="23">
        <v>0.0</v>
      </c>
      <c r="S585" s="23">
        <v>0.0</v>
      </c>
      <c r="T585" s="23">
        <f t="shared" si="3"/>
        <v>0</v>
      </c>
      <c r="U585" s="23">
        <f t="shared" si="4"/>
        <v>0</v>
      </c>
      <c r="V585" s="23">
        <f t="shared" si="5"/>
        <v>0</v>
      </c>
      <c r="W585" s="24" t="str">
        <f t="shared" si="6"/>
        <v>#DIV/0!</v>
      </c>
    </row>
    <row r="586">
      <c r="A586" s="15" t="s">
        <v>1913</v>
      </c>
      <c r="B586" s="18"/>
      <c r="C586" s="15" t="s">
        <v>6956</v>
      </c>
      <c r="D586" s="18"/>
      <c r="E586" s="17" t="s">
        <v>1910</v>
      </c>
      <c r="F586" s="18"/>
      <c r="G586" s="18"/>
      <c r="H586" s="15" t="s">
        <v>1914</v>
      </c>
      <c r="I586" s="15" t="s">
        <v>1915</v>
      </c>
      <c r="J586" s="19" t="s">
        <v>36</v>
      </c>
      <c r="K586" s="19" t="s">
        <v>105</v>
      </c>
      <c r="L586" s="19" t="s">
        <v>38</v>
      </c>
      <c r="M586" s="20">
        <f t="shared" si="2"/>
        <v>0</v>
      </c>
      <c r="N586" s="22"/>
      <c r="O586" s="19" t="s">
        <v>1145</v>
      </c>
      <c r="P586" s="18"/>
      <c r="Q586" s="18"/>
      <c r="R586" s="23">
        <v>0.0</v>
      </c>
      <c r="S586" s="23">
        <v>0.0</v>
      </c>
      <c r="T586" s="23">
        <f t="shared" si="3"/>
        <v>0</v>
      </c>
      <c r="U586" s="23">
        <f t="shared" si="4"/>
        <v>0</v>
      </c>
      <c r="V586" s="23">
        <f t="shared" si="5"/>
        <v>0</v>
      </c>
      <c r="W586" s="24" t="str">
        <f t="shared" si="6"/>
        <v>#DIV/0!</v>
      </c>
    </row>
    <row r="587">
      <c r="A587" s="15" t="s">
        <v>1916</v>
      </c>
      <c r="B587" s="18"/>
      <c r="C587" s="15" t="s">
        <v>6957</v>
      </c>
      <c r="D587" s="18"/>
      <c r="E587" s="17" t="s">
        <v>1917</v>
      </c>
      <c r="F587" s="18"/>
      <c r="G587" s="18"/>
      <c r="H587" s="15" t="s">
        <v>1918</v>
      </c>
      <c r="I587" s="15" t="s">
        <v>1402</v>
      </c>
      <c r="J587" s="19" t="s">
        <v>36</v>
      </c>
      <c r="K587" s="19" t="s">
        <v>1230</v>
      </c>
      <c r="L587" s="19" t="s">
        <v>38</v>
      </c>
      <c r="M587" s="20">
        <f t="shared" si="2"/>
        <v>0</v>
      </c>
      <c r="N587" s="22"/>
      <c r="O587" s="19" t="s">
        <v>1145</v>
      </c>
      <c r="P587" s="18"/>
      <c r="Q587" s="18"/>
      <c r="R587" s="23">
        <v>0.0</v>
      </c>
      <c r="S587" s="23">
        <v>0.0</v>
      </c>
      <c r="T587" s="23">
        <f t="shared" si="3"/>
        <v>0</v>
      </c>
      <c r="U587" s="23">
        <f t="shared" si="4"/>
        <v>0</v>
      </c>
      <c r="V587" s="23">
        <f t="shared" si="5"/>
        <v>0</v>
      </c>
      <c r="W587" s="24" t="str">
        <f t="shared" si="6"/>
        <v>#DIV/0!</v>
      </c>
    </row>
    <row r="588">
      <c r="A588" s="15" t="s">
        <v>6958</v>
      </c>
      <c r="B588" s="18"/>
      <c r="C588" s="15" t="s">
        <v>6959</v>
      </c>
      <c r="D588" s="18"/>
      <c r="E588" s="17"/>
      <c r="F588" s="18"/>
      <c r="G588" s="18"/>
      <c r="H588" s="15" t="s">
        <v>6960</v>
      </c>
      <c r="I588" s="15" t="s">
        <v>6961</v>
      </c>
      <c r="J588" s="19" t="s">
        <v>36</v>
      </c>
      <c r="K588" s="19" t="s">
        <v>1230</v>
      </c>
      <c r="L588" s="19" t="s">
        <v>38</v>
      </c>
      <c r="M588" s="20">
        <f t="shared" si="2"/>
        <v>0</v>
      </c>
      <c r="N588" s="22"/>
      <c r="O588" s="19" t="s">
        <v>39</v>
      </c>
      <c r="P588" s="18"/>
      <c r="Q588" s="18"/>
      <c r="R588" s="23">
        <v>0.0</v>
      </c>
      <c r="S588" s="23">
        <v>0.0</v>
      </c>
      <c r="T588" s="23">
        <f t="shared" si="3"/>
        <v>0</v>
      </c>
      <c r="U588" s="23">
        <f t="shared" si="4"/>
        <v>0</v>
      </c>
      <c r="V588" s="23">
        <f t="shared" si="5"/>
        <v>0</v>
      </c>
      <c r="W588" s="24" t="str">
        <f t="shared" si="6"/>
        <v>#DIV/0!</v>
      </c>
    </row>
    <row r="589">
      <c r="A589" s="15" t="s">
        <v>1919</v>
      </c>
      <c r="B589" s="18"/>
      <c r="C589" s="15" t="s">
        <v>6962</v>
      </c>
      <c r="D589" s="18"/>
      <c r="E589" s="17" t="s">
        <v>1920</v>
      </c>
      <c r="F589" s="18"/>
      <c r="G589" s="18"/>
      <c r="H589" s="15" t="s">
        <v>1921</v>
      </c>
      <c r="I589" s="15" t="s">
        <v>1922</v>
      </c>
      <c r="J589" s="19" t="s">
        <v>36</v>
      </c>
      <c r="K589" s="19" t="s">
        <v>1230</v>
      </c>
      <c r="L589" s="19" t="s">
        <v>38</v>
      </c>
      <c r="M589" s="20">
        <f t="shared" si="2"/>
        <v>0</v>
      </c>
      <c r="N589" s="22"/>
      <c r="O589" s="19" t="s">
        <v>1145</v>
      </c>
      <c r="P589" s="18"/>
      <c r="Q589" s="18"/>
      <c r="R589" s="23">
        <v>0.0</v>
      </c>
      <c r="S589" s="23">
        <v>0.0</v>
      </c>
      <c r="T589" s="23">
        <f t="shared" si="3"/>
        <v>0</v>
      </c>
      <c r="U589" s="23">
        <f t="shared" si="4"/>
        <v>0</v>
      </c>
      <c r="V589" s="23">
        <f t="shared" si="5"/>
        <v>0</v>
      </c>
      <c r="W589" s="24" t="str">
        <f t="shared" si="6"/>
        <v>#DIV/0!</v>
      </c>
    </row>
    <row r="590">
      <c r="A590" s="15" t="s">
        <v>1923</v>
      </c>
      <c r="B590" s="18"/>
      <c r="C590" s="15" t="s">
        <v>6963</v>
      </c>
      <c r="D590" s="18"/>
      <c r="E590" s="17" t="s">
        <v>1924</v>
      </c>
      <c r="F590" s="18"/>
      <c r="G590" s="18"/>
      <c r="H590" s="15" t="s">
        <v>1925</v>
      </c>
      <c r="I590" s="15" t="s">
        <v>1926</v>
      </c>
      <c r="J590" s="19" t="s">
        <v>36</v>
      </c>
      <c r="K590" s="19" t="s">
        <v>1230</v>
      </c>
      <c r="L590" s="19" t="s">
        <v>38</v>
      </c>
      <c r="M590" s="20">
        <f t="shared" si="2"/>
        <v>0</v>
      </c>
      <c r="N590" s="22"/>
      <c r="O590" s="19" t="s">
        <v>1145</v>
      </c>
      <c r="P590" s="18"/>
      <c r="Q590" s="18"/>
      <c r="R590" s="23">
        <v>0.0</v>
      </c>
      <c r="S590" s="23">
        <v>0.0</v>
      </c>
      <c r="T590" s="23">
        <f t="shared" si="3"/>
        <v>0</v>
      </c>
      <c r="U590" s="23">
        <f t="shared" si="4"/>
        <v>0</v>
      </c>
      <c r="V590" s="23">
        <f t="shared" si="5"/>
        <v>0</v>
      </c>
      <c r="W590" s="24" t="str">
        <f t="shared" si="6"/>
        <v>#DIV/0!</v>
      </c>
    </row>
    <row r="591">
      <c r="A591" s="15" t="s">
        <v>1927</v>
      </c>
      <c r="B591" s="18"/>
      <c r="C591" s="15" t="s">
        <v>6964</v>
      </c>
      <c r="D591" s="18"/>
      <c r="E591" s="17" t="s">
        <v>1928</v>
      </c>
      <c r="F591" s="18"/>
      <c r="G591" s="18"/>
      <c r="H591" s="15" t="s">
        <v>1929</v>
      </c>
      <c r="I591" s="15" t="s">
        <v>1930</v>
      </c>
      <c r="J591" s="19" t="s">
        <v>36</v>
      </c>
      <c r="K591" s="19" t="s">
        <v>1230</v>
      </c>
      <c r="L591" s="19" t="s">
        <v>38</v>
      </c>
      <c r="M591" s="20">
        <f t="shared" si="2"/>
        <v>0</v>
      </c>
      <c r="N591" s="22"/>
      <c r="O591" s="19" t="s">
        <v>1145</v>
      </c>
      <c r="P591" s="18"/>
      <c r="Q591" s="18"/>
      <c r="R591" s="23">
        <v>0.0</v>
      </c>
      <c r="S591" s="23">
        <v>0.0</v>
      </c>
      <c r="T591" s="23">
        <f t="shared" si="3"/>
        <v>0</v>
      </c>
      <c r="U591" s="23">
        <f t="shared" si="4"/>
        <v>0</v>
      </c>
      <c r="V591" s="23">
        <f t="shared" si="5"/>
        <v>0</v>
      </c>
      <c r="W591" s="24" t="str">
        <f t="shared" si="6"/>
        <v>#DIV/0!</v>
      </c>
    </row>
    <row r="592">
      <c r="A592" s="15" t="s">
        <v>1931</v>
      </c>
      <c r="B592" s="18"/>
      <c r="C592" s="15" t="s">
        <v>6965</v>
      </c>
      <c r="D592" s="18"/>
      <c r="E592" s="17" t="s">
        <v>1932</v>
      </c>
      <c r="F592" s="18"/>
      <c r="G592" s="18"/>
      <c r="H592" s="15" t="s">
        <v>1933</v>
      </c>
      <c r="I592" s="15" t="s">
        <v>1934</v>
      </c>
      <c r="J592" s="19" t="s">
        <v>36</v>
      </c>
      <c r="K592" s="19" t="s">
        <v>1230</v>
      </c>
      <c r="L592" s="19" t="s">
        <v>38</v>
      </c>
      <c r="M592" s="20">
        <f t="shared" si="2"/>
        <v>0</v>
      </c>
      <c r="N592" s="22"/>
      <c r="O592" s="19" t="s">
        <v>1145</v>
      </c>
      <c r="P592" s="18"/>
      <c r="Q592" s="18"/>
      <c r="R592" s="23">
        <v>0.0</v>
      </c>
      <c r="S592" s="23">
        <v>0.0</v>
      </c>
      <c r="T592" s="23">
        <f t="shared" si="3"/>
        <v>0</v>
      </c>
      <c r="U592" s="23">
        <f t="shared" si="4"/>
        <v>0</v>
      </c>
      <c r="V592" s="23">
        <f t="shared" si="5"/>
        <v>0</v>
      </c>
      <c r="W592" s="24" t="str">
        <f t="shared" si="6"/>
        <v>#DIV/0!</v>
      </c>
    </row>
    <row r="593">
      <c r="A593" s="15" t="s">
        <v>1935</v>
      </c>
      <c r="B593" s="18"/>
      <c r="C593" s="15" t="s">
        <v>6966</v>
      </c>
      <c r="D593" s="18"/>
      <c r="E593" s="17" t="s">
        <v>1936</v>
      </c>
      <c r="F593" s="18"/>
      <c r="G593" s="18"/>
      <c r="H593" s="15" t="s">
        <v>1937</v>
      </c>
      <c r="I593" s="15" t="s">
        <v>1938</v>
      </c>
      <c r="J593" s="19" t="s">
        <v>36</v>
      </c>
      <c r="K593" s="19" t="s">
        <v>1230</v>
      </c>
      <c r="L593" s="19" t="s">
        <v>38</v>
      </c>
      <c r="M593" s="20">
        <f t="shared" si="2"/>
        <v>0</v>
      </c>
      <c r="N593" s="22"/>
      <c r="O593" s="19" t="s">
        <v>1145</v>
      </c>
      <c r="P593" s="18"/>
      <c r="Q593" s="18"/>
      <c r="R593" s="23">
        <v>0.0</v>
      </c>
      <c r="S593" s="23">
        <v>0.0</v>
      </c>
      <c r="T593" s="23">
        <f t="shared" si="3"/>
        <v>0</v>
      </c>
      <c r="U593" s="23">
        <f t="shared" si="4"/>
        <v>0</v>
      </c>
      <c r="V593" s="23">
        <f t="shared" si="5"/>
        <v>0</v>
      </c>
      <c r="W593" s="24" t="str">
        <f t="shared" si="6"/>
        <v>#DIV/0!</v>
      </c>
    </row>
    <row r="594">
      <c r="A594" s="15" t="s">
        <v>6967</v>
      </c>
      <c r="B594" s="18"/>
      <c r="C594" s="15" t="s">
        <v>6968</v>
      </c>
      <c r="D594" s="18"/>
      <c r="E594" s="17" t="s">
        <v>6969</v>
      </c>
      <c r="F594" s="18"/>
      <c r="G594" s="18"/>
      <c r="H594" s="15" t="s">
        <v>6970</v>
      </c>
      <c r="I594" s="15" t="s">
        <v>5032</v>
      </c>
      <c r="J594" s="19" t="s">
        <v>36</v>
      </c>
      <c r="K594" s="19" t="s">
        <v>1230</v>
      </c>
      <c r="L594" s="19" t="s">
        <v>38</v>
      </c>
      <c r="M594" s="20">
        <f t="shared" si="2"/>
        <v>0</v>
      </c>
      <c r="N594" s="22"/>
      <c r="O594" s="19" t="s">
        <v>39</v>
      </c>
      <c r="P594" s="18"/>
      <c r="Q594" s="18"/>
      <c r="R594" s="23">
        <v>0.0</v>
      </c>
      <c r="S594" s="23">
        <v>0.0</v>
      </c>
      <c r="T594" s="23">
        <f t="shared" si="3"/>
        <v>0</v>
      </c>
      <c r="U594" s="23">
        <f t="shared" si="4"/>
        <v>0</v>
      </c>
      <c r="V594" s="23">
        <f t="shared" si="5"/>
        <v>0</v>
      </c>
      <c r="W594" s="24" t="str">
        <f t="shared" si="6"/>
        <v>#DIV/0!</v>
      </c>
    </row>
    <row r="595">
      <c r="A595" s="15" t="s">
        <v>6971</v>
      </c>
      <c r="B595" s="18"/>
      <c r="C595" s="15" t="s">
        <v>6972</v>
      </c>
      <c r="D595" s="18"/>
      <c r="E595" s="17" t="s">
        <v>6973</v>
      </c>
      <c r="F595" s="18"/>
      <c r="G595" s="18"/>
      <c r="H595" s="15" t="s">
        <v>6974</v>
      </c>
      <c r="I595" s="15" t="s">
        <v>6975</v>
      </c>
      <c r="J595" s="19" t="s">
        <v>36</v>
      </c>
      <c r="K595" s="19" t="s">
        <v>1230</v>
      </c>
      <c r="L595" s="19" t="s">
        <v>38</v>
      </c>
      <c r="M595" s="20">
        <f t="shared" si="2"/>
        <v>0</v>
      </c>
      <c r="N595" s="22"/>
      <c r="O595" s="19" t="s">
        <v>39</v>
      </c>
      <c r="P595" s="18"/>
      <c r="Q595" s="18"/>
      <c r="R595" s="23">
        <v>0.0</v>
      </c>
      <c r="S595" s="23">
        <v>0.0</v>
      </c>
      <c r="T595" s="23">
        <f t="shared" si="3"/>
        <v>0</v>
      </c>
      <c r="U595" s="23">
        <f t="shared" si="4"/>
        <v>0</v>
      </c>
      <c r="V595" s="23">
        <f t="shared" si="5"/>
        <v>0</v>
      </c>
      <c r="W595" s="24" t="str">
        <f t="shared" si="6"/>
        <v>#DIV/0!</v>
      </c>
    </row>
    <row r="596">
      <c r="A596" s="15" t="s">
        <v>6976</v>
      </c>
      <c r="B596" s="18"/>
      <c r="C596" s="15" t="s">
        <v>6977</v>
      </c>
      <c r="D596" s="18"/>
      <c r="E596" s="17" t="s">
        <v>6978</v>
      </c>
      <c r="F596" s="18"/>
      <c r="G596" s="18"/>
      <c r="H596" s="15" t="s">
        <v>6979</v>
      </c>
      <c r="I596" s="15" t="s">
        <v>1051</v>
      </c>
      <c r="J596" s="19" t="s">
        <v>36</v>
      </c>
      <c r="K596" s="19" t="s">
        <v>1230</v>
      </c>
      <c r="L596" s="19" t="s">
        <v>38</v>
      </c>
      <c r="M596" s="20">
        <f t="shared" si="2"/>
        <v>0</v>
      </c>
      <c r="N596" s="22"/>
      <c r="O596" s="19" t="s">
        <v>39</v>
      </c>
      <c r="P596" s="18"/>
      <c r="Q596" s="18"/>
      <c r="R596" s="23">
        <v>0.0</v>
      </c>
      <c r="S596" s="23">
        <v>0.0</v>
      </c>
      <c r="T596" s="23">
        <f t="shared" si="3"/>
        <v>0</v>
      </c>
      <c r="U596" s="23">
        <f t="shared" si="4"/>
        <v>0</v>
      </c>
      <c r="V596" s="23">
        <f t="shared" si="5"/>
        <v>0</v>
      </c>
      <c r="W596" s="24" t="str">
        <f t="shared" si="6"/>
        <v>#DIV/0!</v>
      </c>
    </row>
    <row r="597">
      <c r="A597" s="15" t="s">
        <v>1939</v>
      </c>
      <c r="B597" s="18"/>
      <c r="C597" s="15" t="s">
        <v>6980</v>
      </c>
      <c r="D597" s="18"/>
      <c r="E597" s="17" t="s">
        <v>1940</v>
      </c>
      <c r="F597" s="18"/>
      <c r="G597" s="18"/>
      <c r="H597" s="15" t="s">
        <v>1941</v>
      </c>
      <c r="I597" s="15" t="s">
        <v>1942</v>
      </c>
      <c r="J597" s="19" t="s">
        <v>36</v>
      </c>
      <c r="K597" s="19" t="s">
        <v>1230</v>
      </c>
      <c r="L597" s="19" t="s">
        <v>38</v>
      </c>
      <c r="M597" s="20">
        <f t="shared" si="2"/>
        <v>0</v>
      </c>
      <c r="N597" s="22"/>
      <c r="O597" s="19" t="s">
        <v>1145</v>
      </c>
      <c r="P597" s="18"/>
      <c r="Q597" s="18"/>
      <c r="R597" s="23">
        <v>0.0</v>
      </c>
      <c r="S597" s="23">
        <v>0.0</v>
      </c>
      <c r="T597" s="23">
        <f t="shared" si="3"/>
        <v>0</v>
      </c>
      <c r="U597" s="23">
        <f t="shared" si="4"/>
        <v>0</v>
      </c>
      <c r="V597" s="23">
        <f t="shared" si="5"/>
        <v>0</v>
      </c>
      <c r="W597" s="24" t="str">
        <f t="shared" si="6"/>
        <v>#DIV/0!</v>
      </c>
    </row>
    <row r="598">
      <c r="A598" s="15" t="s">
        <v>1943</v>
      </c>
      <c r="B598" s="18"/>
      <c r="C598" s="15" t="s">
        <v>6981</v>
      </c>
      <c r="D598" s="18"/>
      <c r="E598" s="17" t="s">
        <v>1944</v>
      </c>
      <c r="F598" s="18"/>
      <c r="G598" s="18"/>
      <c r="H598" s="15" t="s">
        <v>1945</v>
      </c>
      <c r="I598" s="15" t="s">
        <v>1946</v>
      </c>
      <c r="J598" s="19" t="s">
        <v>36</v>
      </c>
      <c r="K598" s="19" t="s">
        <v>37</v>
      </c>
      <c r="L598" s="19" t="s">
        <v>38</v>
      </c>
      <c r="M598" s="20">
        <f t="shared" si="2"/>
        <v>0</v>
      </c>
      <c r="N598" s="22"/>
      <c r="O598" s="19" t="s">
        <v>1145</v>
      </c>
      <c r="P598" s="18"/>
      <c r="Q598" s="18"/>
      <c r="R598" s="23">
        <v>0.0</v>
      </c>
      <c r="S598" s="23">
        <v>0.0</v>
      </c>
      <c r="T598" s="23">
        <f t="shared" si="3"/>
        <v>0</v>
      </c>
      <c r="U598" s="23">
        <f t="shared" si="4"/>
        <v>0</v>
      </c>
      <c r="V598" s="23">
        <f t="shared" si="5"/>
        <v>0</v>
      </c>
      <c r="W598" s="24" t="str">
        <f t="shared" si="6"/>
        <v>#DIV/0!</v>
      </c>
    </row>
    <row r="599">
      <c r="A599" s="15" t="s">
        <v>40</v>
      </c>
      <c r="B599" s="18"/>
      <c r="C599" s="15" t="s">
        <v>6982</v>
      </c>
      <c r="D599" s="18"/>
      <c r="E599" s="17" t="s">
        <v>41</v>
      </c>
      <c r="F599" s="18"/>
      <c r="G599" s="18"/>
      <c r="H599" s="15" t="s">
        <v>42</v>
      </c>
      <c r="I599" s="15" t="s">
        <v>43</v>
      </c>
      <c r="J599" s="19" t="s">
        <v>36</v>
      </c>
      <c r="K599" s="19" t="s">
        <v>37</v>
      </c>
      <c r="L599" s="19" t="s">
        <v>38</v>
      </c>
      <c r="M599" s="20">
        <f t="shared" si="2"/>
        <v>0</v>
      </c>
      <c r="N599" s="22"/>
      <c r="O599" s="19" t="s">
        <v>1145</v>
      </c>
      <c r="P599" s="18"/>
      <c r="Q599" s="18"/>
      <c r="R599" s="23">
        <v>0.0</v>
      </c>
      <c r="S599" s="23">
        <v>0.0</v>
      </c>
      <c r="T599" s="23">
        <f t="shared" si="3"/>
        <v>0</v>
      </c>
      <c r="U599" s="23">
        <f t="shared" si="4"/>
        <v>0</v>
      </c>
      <c r="V599" s="23">
        <f t="shared" si="5"/>
        <v>0</v>
      </c>
      <c r="W599" s="24" t="str">
        <f t="shared" si="6"/>
        <v>#DIV/0!</v>
      </c>
    </row>
    <row r="600">
      <c r="A600" s="15" t="s">
        <v>44</v>
      </c>
      <c r="B600" s="18"/>
      <c r="C600" s="15" t="s">
        <v>6983</v>
      </c>
      <c r="D600" s="18"/>
      <c r="E600" s="17" t="s">
        <v>45</v>
      </c>
      <c r="F600" s="18"/>
      <c r="G600" s="18"/>
      <c r="H600" s="15" t="s">
        <v>46</v>
      </c>
      <c r="I600" s="15" t="s">
        <v>47</v>
      </c>
      <c r="J600" s="19" t="s">
        <v>36</v>
      </c>
      <c r="K600" s="19" t="s">
        <v>37</v>
      </c>
      <c r="L600" s="19" t="s">
        <v>38</v>
      </c>
      <c r="M600" s="20">
        <f t="shared" si="2"/>
        <v>0</v>
      </c>
      <c r="N600" s="22"/>
      <c r="O600" s="19" t="s">
        <v>1145</v>
      </c>
      <c r="P600" s="18"/>
      <c r="Q600" s="18"/>
      <c r="R600" s="23">
        <v>0.0</v>
      </c>
      <c r="S600" s="23">
        <v>0.0</v>
      </c>
      <c r="T600" s="23">
        <f t="shared" si="3"/>
        <v>0</v>
      </c>
      <c r="U600" s="23">
        <f t="shared" si="4"/>
        <v>0</v>
      </c>
      <c r="V600" s="23">
        <f t="shared" si="5"/>
        <v>0</v>
      </c>
      <c r="W600" s="24" t="str">
        <f t="shared" si="6"/>
        <v>#DIV/0!</v>
      </c>
    </row>
    <row r="601">
      <c r="A601" s="15" t="s">
        <v>6984</v>
      </c>
      <c r="B601" s="18"/>
      <c r="C601" s="15" t="s">
        <v>6985</v>
      </c>
      <c r="D601" s="18"/>
      <c r="E601" s="17" t="s">
        <v>6986</v>
      </c>
      <c r="F601" s="18"/>
      <c r="G601" s="18"/>
      <c r="H601" s="15" t="s">
        <v>6987</v>
      </c>
      <c r="I601" s="15" t="s">
        <v>979</v>
      </c>
      <c r="J601" s="19" t="s">
        <v>36</v>
      </c>
      <c r="K601" s="19" t="s">
        <v>105</v>
      </c>
      <c r="L601" s="19" t="s">
        <v>38</v>
      </c>
      <c r="M601" s="20">
        <f t="shared" si="2"/>
        <v>0</v>
      </c>
      <c r="N601" s="22"/>
      <c r="O601" s="19" t="s">
        <v>39</v>
      </c>
      <c r="P601" s="18"/>
      <c r="Q601" s="18"/>
      <c r="R601" s="23">
        <v>0.0</v>
      </c>
      <c r="S601" s="23">
        <v>0.0</v>
      </c>
      <c r="T601" s="23">
        <f t="shared" si="3"/>
        <v>0</v>
      </c>
      <c r="U601" s="23">
        <f t="shared" si="4"/>
        <v>0</v>
      </c>
      <c r="V601" s="23">
        <f t="shared" si="5"/>
        <v>0</v>
      </c>
      <c r="W601" s="24" t="str">
        <f t="shared" si="6"/>
        <v>#DIV/0!</v>
      </c>
    </row>
    <row r="602">
      <c r="A602" s="15" t="s">
        <v>4713</v>
      </c>
      <c r="B602" s="18"/>
      <c r="C602" s="15" t="s">
        <v>6988</v>
      </c>
      <c r="D602" s="18"/>
      <c r="E602" s="17" t="s">
        <v>6989</v>
      </c>
      <c r="F602" s="18"/>
      <c r="G602" s="18"/>
      <c r="H602" s="15" t="s">
        <v>4717</v>
      </c>
      <c r="I602" s="15" t="s">
        <v>4716</v>
      </c>
      <c r="J602" s="19" t="s">
        <v>36</v>
      </c>
      <c r="K602" s="19" t="s">
        <v>105</v>
      </c>
      <c r="L602" s="19" t="s">
        <v>38</v>
      </c>
      <c r="M602" s="20">
        <f t="shared" si="2"/>
        <v>0</v>
      </c>
      <c r="N602" s="22"/>
      <c r="O602" s="19" t="s">
        <v>1145</v>
      </c>
      <c r="P602" s="18"/>
      <c r="Q602" s="18"/>
      <c r="R602" s="23">
        <v>0.0</v>
      </c>
      <c r="S602" s="23">
        <v>0.0</v>
      </c>
      <c r="T602" s="23">
        <f t="shared" si="3"/>
        <v>0</v>
      </c>
      <c r="U602" s="23">
        <f t="shared" si="4"/>
        <v>0</v>
      </c>
      <c r="V602" s="23">
        <f t="shared" si="5"/>
        <v>0</v>
      </c>
      <c r="W602" s="24" t="str">
        <f t="shared" si="6"/>
        <v>#DIV/0!</v>
      </c>
    </row>
    <row r="603">
      <c r="A603" s="15" t="s">
        <v>1947</v>
      </c>
      <c r="B603" s="18"/>
      <c r="C603" s="15" t="s">
        <v>6990</v>
      </c>
      <c r="D603" s="18"/>
      <c r="E603" s="17" t="s">
        <v>1948</v>
      </c>
      <c r="F603" s="18"/>
      <c r="G603" s="18"/>
      <c r="H603" s="15" t="s">
        <v>1949</v>
      </c>
      <c r="I603" s="15" t="s">
        <v>1950</v>
      </c>
      <c r="J603" s="19" t="s">
        <v>36</v>
      </c>
      <c r="K603" s="19" t="s">
        <v>105</v>
      </c>
      <c r="L603" s="19" t="s">
        <v>38</v>
      </c>
      <c r="M603" s="20">
        <f t="shared" si="2"/>
        <v>0</v>
      </c>
      <c r="N603" s="22"/>
      <c r="O603" s="19" t="s">
        <v>1145</v>
      </c>
      <c r="P603" s="18"/>
      <c r="Q603" s="18"/>
      <c r="R603" s="23">
        <v>0.0</v>
      </c>
      <c r="S603" s="23">
        <v>0.0</v>
      </c>
      <c r="T603" s="23">
        <f t="shared" si="3"/>
        <v>0</v>
      </c>
      <c r="U603" s="23">
        <f t="shared" si="4"/>
        <v>0</v>
      </c>
      <c r="V603" s="23">
        <f t="shared" si="5"/>
        <v>0</v>
      </c>
      <c r="W603" s="24" t="str">
        <f t="shared" si="6"/>
        <v>#DIV/0!</v>
      </c>
    </row>
    <row r="604">
      <c r="A604" s="15" t="s">
        <v>4718</v>
      </c>
      <c r="B604" s="18"/>
      <c r="C604" s="15" t="s">
        <v>6991</v>
      </c>
      <c r="D604" s="18"/>
      <c r="E604" s="17" t="s">
        <v>6992</v>
      </c>
      <c r="F604" s="18"/>
      <c r="G604" s="18"/>
      <c r="H604" s="15" t="s">
        <v>6993</v>
      </c>
      <c r="I604" s="15" t="s">
        <v>4722</v>
      </c>
      <c r="J604" s="19" t="s">
        <v>36</v>
      </c>
      <c r="K604" s="19" t="s">
        <v>105</v>
      </c>
      <c r="L604" s="19" t="s">
        <v>38</v>
      </c>
      <c r="M604" s="20">
        <f t="shared" si="2"/>
        <v>0</v>
      </c>
      <c r="N604" s="22"/>
      <c r="O604" s="19" t="s">
        <v>1145</v>
      </c>
      <c r="P604" s="18"/>
      <c r="Q604" s="18"/>
      <c r="R604" s="23">
        <v>0.0</v>
      </c>
      <c r="S604" s="23">
        <v>0.0</v>
      </c>
      <c r="T604" s="23">
        <f t="shared" si="3"/>
        <v>0</v>
      </c>
      <c r="U604" s="23">
        <f t="shared" si="4"/>
        <v>0</v>
      </c>
      <c r="V604" s="23">
        <f t="shared" si="5"/>
        <v>0</v>
      </c>
      <c r="W604" s="24" t="str">
        <f t="shared" si="6"/>
        <v>#DIV/0!</v>
      </c>
    </row>
    <row r="605">
      <c r="A605" s="15" t="s">
        <v>1951</v>
      </c>
      <c r="B605" s="18"/>
      <c r="C605" s="15" t="s">
        <v>6994</v>
      </c>
      <c r="D605" s="18"/>
      <c r="E605" s="17" t="s">
        <v>1952</v>
      </c>
      <c r="F605" s="18"/>
      <c r="G605" s="18"/>
      <c r="H605" s="15" t="s">
        <v>1953</v>
      </c>
      <c r="I605" s="15" t="s">
        <v>1954</v>
      </c>
      <c r="J605" s="19" t="s">
        <v>36</v>
      </c>
      <c r="K605" s="19" t="s">
        <v>105</v>
      </c>
      <c r="L605" s="19" t="s">
        <v>38</v>
      </c>
      <c r="M605" s="20">
        <f t="shared" si="2"/>
        <v>0</v>
      </c>
      <c r="N605" s="22"/>
      <c r="O605" s="19" t="s">
        <v>1145</v>
      </c>
      <c r="P605" s="18"/>
      <c r="Q605" s="18"/>
      <c r="R605" s="23">
        <v>0.0</v>
      </c>
      <c r="S605" s="23">
        <v>0.0</v>
      </c>
      <c r="T605" s="23">
        <f t="shared" si="3"/>
        <v>0</v>
      </c>
      <c r="U605" s="23">
        <f t="shared" si="4"/>
        <v>0</v>
      </c>
      <c r="V605" s="23">
        <f t="shared" si="5"/>
        <v>0</v>
      </c>
      <c r="W605" s="24" t="str">
        <f t="shared" si="6"/>
        <v>#DIV/0!</v>
      </c>
    </row>
    <row r="606">
      <c r="A606" s="15" t="s">
        <v>1955</v>
      </c>
      <c r="B606" s="18"/>
      <c r="C606" s="15" t="s">
        <v>6995</v>
      </c>
      <c r="D606" s="18"/>
      <c r="E606" s="17" t="s">
        <v>1956</v>
      </c>
      <c r="F606" s="18"/>
      <c r="G606" s="18"/>
      <c r="H606" s="15" t="s">
        <v>1957</v>
      </c>
      <c r="I606" s="15" t="s">
        <v>1958</v>
      </c>
      <c r="J606" s="19" t="s">
        <v>36</v>
      </c>
      <c r="K606" s="19" t="s">
        <v>37</v>
      </c>
      <c r="L606" s="19" t="s">
        <v>38</v>
      </c>
      <c r="M606" s="20">
        <f t="shared" si="2"/>
        <v>0</v>
      </c>
      <c r="N606" s="22"/>
      <c r="O606" s="19" t="s">
        <v>1145</v>
      </c>
      <c r="P606" s="18"/>
      <c r="Q606" s="18"/>
      <c r="R606" s="23">
        <v>0.0</v>
      </c>
      <c r="S606" s="23">
        <v>0.0</v>
      </c>
      <c r="T606" s="23">
        <f t="shared" si="3"/>
        <v>0</v>
      </c>
      <c r="U606" s="23">
        <f t="shared" si="4"/>
        <v>0</v>
      </c>
      <c r="V606" s="23">
        <f t="shared" si="5"/>
        <v>0</v>
      </c>
      <c r="W606" s="24" t="str">
        <f t="shared" si="6"/>
        <v>#DIV/0!</v>
      </c>
    </row>
    <row r="607">
      <c r="A607" s="15" t="s">
        <v>1959</v>
      </c>
      <c r="B607" s="18"/>
      <c r="C607" s="15" t="s">
        <v>6996</v>
      </c>
      <c r="D607" s="18"/>
      <c r="E607" s="17" t="s">
        <v>1952</v>
      </c>
      <c r="F607" s="18"/>
      <c r="G607" s="18"/>
      <c r="H607" s="15" t="s">
        <v>1960</v>
      </c>
      <c r="I607" s="15" t="s">
        <v>1961</v>
      </c>
      <c r="J607" s="19" t="s">
        <v>36</v>
      </c>
      <c r="K607" s="19" t="s">
        <v>105</v>
      </c>
      <c r="L607" s="19" t="s">
        <v>38</v>
      </c>
      <c r="M607" s="20">
        <f t="shared" si="2"/>
        <v>0</v>
      </c>
      <c r="N607" s="22"/>
      <c r="O607" s="19" t="s">
        <v>1145</v>
      </c>
      <c r="P607" s="18"/>
      <c r="Q607" s="18"/>
      <c r="R607" s="23">
        <v>0.0</v>
      </c>
      <c r="S607" s="23">
        <v>0.0</v>
      </c>
      <c r="T607" s="23">
        <f t="shared" si="3"/>
        <v>0</v>
      </c>
      <c r="U607" s="23">
        <f t="shared" si="4"/>
        <v>0</v>
      </c>
      <c r="V607" s="23">
        <f t="shared" si="5"/>
        <v>0</v>
      </c>
      <c r="W607" s="24" t="str">
        <f t="shared" si="6"/>
        <v>#DIV/0!</v>
      </c>
    </row>
    <row r="608">
      <c r="A608" s="15" t="s">
        <v>1962</v>
      </c>
      <c r="B608" s="18"/>
      <c r="C608" s="15" t="s">
        <v>6997</v>
      </c>
      <c r="D608" s="18"/>
      <c r="E608" s="17" t="s">
        <v>1956</v>
      </c>
      <c r="F608" s="18"/>
      <c r="G608" s="18"/>
      <c r="H608" s="15" t="s">
        <v>1963</v>
      </c>
      <c r="I608" s="15" t="s">
        <v>1964</v>
      </c>
      <c r="J608" s="19" t="s">
        <v>36</v>
      </c>
      <c r="K608" s="19" t="s">
        <v>37</v>
      </c>
      <c r="L608" s="19" t="s">
        <v>38</v>
      </c>
      <c r="M608" s="20">
        <f t="shared" si="2"/>
        <v>0</v>
      </c>
      <c r="N608" s="22"/>
      <c r="O608" s="19" t="s">
        <v>1145</v>
      </c>
      <c r="P608" s="18"/>
      <c r="Q608" s="18"/>
      <c r="R608" s="23">
        <v>0.0</v>
      </c>
      <c r="S608" s="23">
        <v>0.0</v>
      </c>
      <c r="T608" s="23">
        <f t="shared" si="3"/>
        <v>0</v>
      </c>
      <c r="U608" s="23">
        <f t="shared" si="4"/>
        <v>0</v>
      </c>
      <c r="V608" s="23">
        <f t="shared" si="5"/>
        <v>0</v>
      </c>
      <c r="W608" s="24" t="str">
        <f t="shared" si="6"/>
        <v>#DIV/0!</v>
      </c>
    </row>
    <row r="609">
      <c r="A609" s="15" t="s">
        <v>1965</v>
      </c>
      <c r="B609" s="18"/>
      <c r="C609" s="15" t="s">
        <v>6998</v>
      </c>
      <c r="D609" s="18"/>
      <c r="E609" s="17" t="s">
        <v>1956</v>
      </c>
      <c r="F609" s="18"/>
      <c r="G609" s="18"/>
      <c r="H609" s="15" t="s">
        <v>1966</v>
      </c>
      <c r="I609" s="15" t="s">
        <v>1967</v>
      </c>
      <c r="J609" s="19" t="s">
        <v>36</v>
      </c>
      <c r="K609" s="19" t="s">
        <v>37</v>
      </c>
      <c r="L609" s="19" t="s">
        <v>38</v>
      </c>
      <c r="M609" s="20">
        <f t="shared" si="2"/>
        <v>0</v>
      </c>
      <c r="N609" s="22"/>
      <c r="O609" s="19" t="s">
        <v>1145</v>
      </c>
      <c r="P609" s="18"/>
      <c r="Q609" s="18"/>
      <c r="R609" s="23">
        <v>0.0</v>
      </c>
      <c r="S609" s="23">
        <v>0.0</v>
      </c>
      <c r="T609" s="23">
        <f t="shared" si="3"/>
        <v>0</v>
      </c>
      <c r="U609" s="23">
        <f t="shared" si="4"/>
        <v>0</v>
      </c>
      <c r="V609" s="23">
        <f t="shared" si="5"/>
        <v>0</v>
      </c>
      <c r="W609" s="24" t="str">
        <f t="shared" si="6"/>
        <v>#DIV/0!</v>
      </c>
    </row>
    <row r="610">
      <c r="A610" s="15" t="s">
        <v>6999</v>
      </c>
      <c r="B610" s="18"/>
      <c r="C610" s="15" t="s">
        <v>7000</v>
      </c>
      <c r="D610" s="18"/>
      <c r="E610" s="17" t="s">
        <v>7001</v>
      </c>
      <c r="F610" s="18"/>
      <c r="G610" s="18"/>
      <c r="H610" s="15" t="s">
        <v>318</v>
      </c>
      <c r="I610" s="15" t="s">
        <v>319</v>
      </c>
      <c r="J610" s="19" t="s">
        <v>36</v>
      </c>
      <c r="K610" s="19" t="s">
        <v>105</v>
      </c>
      <c r="L610" s="19" t="s">
        <v>38</v>
      </c>
      <c r="M610" s="20">
        <f t="shared" si="2"/>
        <v>0</v>
      </c>
      <c r="N610" s="22"/>
      <c r="O610" s="19" t="s">
        <v>39</v>
      </c>
      <c r="P610" s="18"/>
      <c r="Q610" s="18"/>
      <c r="R610" s="23">
        <v>0.0</v>
      </c>
      <c r="S610" s="23">
        <v>0.0</v>
      </c>
      <c r="T610" s="23">
        <f t="shared" si="3"/>
        <v>0</v>
      </c>
      <c r="U610" s="23">
        <f t="shared" si="4"/>
        <v>0</v>
      </c>
      <c r="V610" s="23">
        <f t="shared" si="5"/>
        <v>0</v>
      </c>
      <c r="W610" s="24" t="str">
        <f t="shared" si="6"/>
        <v>#DIV/0!</v>
      </c>
    </row>
    <row r="611">
      <c r="A611" s="15" t="s">
        <v>1968</v>
      </c>
      <c r="B611" s="18"/>
      <c r="C611" s="15" t="s">
        <v>7002</v>
      </c>
      <c r="D611" s="18"/>
      <c r="E611" s="17" t="s">
        <v>1969</v>
      </c>
      <c r="F611" s="18"/>
      <c r="G611" s="18"/>
      <c r="H611" s="15" t="s">
        <v>1970</v>
      </c>
      <c r="I611" s="15" t="s">
        <v>1971</v>
      </c>
      <c r="J611" s="19" t="s">
        <v>36</v>
      </c>
      <c r="K611" s="19" t="s">
        <v>105</v>
      </c>
      <c r="L611" s="19" t="s">
        <v>38</v>
      </c>
      <c r="M611" s="20">
        <f t="shared" si="2"/>
        <v>0</v>
      </c>
      <c r="N611" s="22"/>
      <c r="O611" s="19" t="s">
        <v>1145</v>
      </c>
      <c r="P611" s="18"/>
      <c r="Q611" s="18"/>
      <c r="R611" s="23">
        <v>0.0</v>
      </c>
      <c r="S611" s="23">
        <v>0.0</v>
      </c>
      <c r="T611" s="23">
        <f t="shared" si="3"/>
        <v>0</v>
      </c>
      <c r="U611" s="23">
        <f t="shared" si="4"/>
        <v>0</v>
      </c>
      <c r="V611" s="23">
        <f t="shared" si="5"/>
        <v>0</v>
      </c>
      <c r="W611" s="24" t="str">
        <f t="shared" si="6"/>
        <v>#DIV/0!</v>
      </c>
    </row>
    <row r="612">
      <c r="A612" s="15" t="s">
        <v>1972</v>
      </c>
      <c r="B612" s="18"/>
      <c r="C612" s="15" t="s">
        <v>7003</v>
      </c>
      <c r="D612" s="18"/>
      <c r="E612" s="17" t="s">
        <v>1973</v>
      </c>
      <c r="F612" s="18"/>
      <c r="G612" s="18"/>
      <c r="H612" s="15" t="s">
        <v>1974</v>
      </c>
      <c r="I612" s="15" t="s">
        <v>1975</v>
      </c>
      <c r="J612" s="19" t="s">
        <v>36</v>
      </c>
      <c r="K612" s="19" t="s">
        <v>105</v>
      </c>
      <c r="L612" s="19" t="s">
        <v>38</v>
      </c>
      <c r="M612" s="20">
        <f t="shared" si="2"/>
        <v>0</v>
      </c>
      <c r="N612" s="22"/>
      <c r="O612" s="19" t="s">
        <v>1145</v>
      </c>
      <c r="P612" s="18"/>
      <c r="Q612" s="18"/>
      <c r="R612" s="23">
        <v>0.0</v>
      </c>
      <c r="S612" s="23">
        <v>0.0</v>
      </c>
      <c r="T612" s="23">
        <f t="shared" si="3"/>
        <v>0</v>
      </c>
      <c r="U612" s="23">
        <f t="shared" si="4"/>
        <v>0</v>
      </c>
      <c r="V612" s="23">
        <f t="shared" si="5"/>
        <v>0</v>
      </c>
      <c r="W612" s="24" t="str">
        <f t="shared" si="6"/>
        <v>#DIV/0!</v>
      </c>
    </row>
    <row r="613">
      <c r="A613" s="15" t="s">
        <v>7004</v>
      </c>
      <c r="B613" s="18"/>
      <c r="C613" s="15" t="s">
        <v>7005</v>
      </c>
      <c r="D613" s="18"/>
      <c r="E613" s="17" t="s">
        <v>7006</v>
      </c>
      <c r="F613" s="18"/>
      <c r="G613" s="18"/>
      <c r="H613" s="15" t="s">
        <v>7007</v>
      </c>
      <c r="I613" s="15" t="s">
        <v>7008</v>
      </c>
      <c r="J613" s="19" t="s">
        <v>36</v>
      </c>
      <c r="K613" s="19" t="s">
        <v>105</v>
      </c>
      <c r="L613" s="19" t="s">
        <v>38</v>
      </c>
      <c r="M613" s="20">
        <f t="shared" si="2"/>
        <v>0</v>
      </c>
      <c r="N613" s="22"/>
      <c r="O613" s="19" t="s">
        <v>39</v>
      </c>
      <c r="P613" s="18"/>
      <c r="Q613" s="18"/>
      <c r="R613" s="23">
        <v>0.0</v>
      </c>
      <c r="S613" s="23">
        <v>0.0</v>
      </c>
      <c r="T613" s="23">
        <f t="shared" si="3"/>
        <v>0</v>
      </c>
      <c r="U613" s="23">
        <f t="shared" si="4"/>
        <v>0</v>
      </c>
      <c r="V613" s="23">
        <f t="shared" si="5"/>
        <v>0</v>
      </c>
      <c r="W613" s="24" t="str">
        <f t="shared" si="6"/>
        <v>#DIV/0!</v>
      </c>
    </row>
    <row r="614">
      <c r="A614" s="15" t="s">
        <v>1976</v>
      </c>
      <c r="B614" s="18"/>
      <c r="C614" s="15" t="s">
        <v>7009</v>
      </c>
      <c r="D614" s="18"/>
      <c r="E614" s="17" t="s">
        <v>1977</v>
      </c>
      <c r="F614" s="18"/>
      <c r="G614" s="18"/>
      <c r="H614" s="15" t="s">
        <v>1978</v>
      </c>
      <c r="I614" s="15" t="s">
        <v>1979</v>
      </c>
      <c r="J614" s="19" t="s">
        <v>36</v>
      </c>
      <c r="K614" s="19" t="s">
        <v>1230</v>
      </c>
      <c r="L614" s="19" t="s">
        <v>38</v>
      </c>
      <c r="M614" s="20">
        <f t="shared" si="2"/>
        <v>0</v>
      </c>
      <c r="N614" s="22"/>
      <c r="O614" s="19" t="s">
        <v>1145</v>
      </c>
      <c r="P614" s="18"/>
      <c r="Q614" s="18"/>
      <c r="R614" s="23">
        <v>0.0</v>
      </c>
      <c r="S614" s="23">
        <v>0.0</v>
      </c>
      <c r="T614" s="23">
        <f t="shared" si="3"/>
        <v>0</v>
      </c>
      <c r="U614" s="23">
        <f t="shared" si="4"/>
        <v>0</v>
      </c>
      <c r="V614" s="23">
        <f t="shared" si="5"/>
        <v>0</v>
      </c>
      <c r="W614" s="24" t="str">
        <f t="shared" si="6"/>
        <v>#DIV/0!</v>
      </c>
    </row>
    <row r="615">
      <c r="A615" s="15" t="s">
        <v>1980</v>
      </c>
      <c r="B615" s="18"/>
      <c r="C615" s="15" t="s">
        <v>7010</v>
      </c>
      <c r="D615" s="18"/>
      <c r="E615" s="17" t="s">
        <v>1981</v>
      </c>
      <c r="F615" s="18"/>
      <c r="G615" s="18"/>
      <c r="H615" s="15" t="s">
        <v>1982</v>
      </c>
      <c r="I615" s="15" t="s">
        <v>1983</v>
      </c>
      <c r="J615" s="19" t="s">
        <v>36</v>
      </c>
      <c r="K615" s="19" t="s">
        <v>105</v>
      </c>
      <c r="L615" s="19" t="s">
        <v>38</v>
      </c>
      <c r="M615" s="20">
        <f t="shared" si="2"/>
        <v>0</v>
      </c>
      <c r="N615" s="22"/>
      <c r="O615" s="19" t="s">
        <v>1145</v>
      </c>
      <c r="P615" s="18"/>
      <c r="Q615" s="18"/>
      <c r="R615" s="23">
        <v>0.0</v>
      </c>
      <c r="S615" s="23">
        <v>0.0</v>
      </c>
      <c r="T615" s="23">
        <f t="shared" si="3"/>
        <v>0</v>
      </c>
      <c r="U615" s="23">
        <f t="shared" si="4"/>
        <v>0</v>
      </c>
      <c r="V615" s="23">
        <f t="shared" si="5"/>
        <v>0</v>
      </c>
      <c r="W615" s="24" t="str">
        <f t="shared" si="6"/>
        <v>#DIV/0!</v>
      </c>
    </row>
    <row r="616">
      <c r="A616" s="15" t="s">
        <v>4723</v>
      </c>
      <c r="B616" s="18"/>
      <c r="C616" s="15" t="s">
        <v>7011</v>
      </c>
      <c r="D616" s="18"/>
      <c r="E616" s="17" t="s">
        <v>7012</v>
      </c>
      <c r="F616" s="18"/>
      <c r="G616" s="18"/>
      <c r="H616" s="15" t="s">
        <v>4727</v>
      </c>
      <c r="I616" s="15" t="s">
        <v>4726</v>
      </c>
      <c r="J616" s="19" t="s">
        <v>36</v>
      </c>
      <c r="K616" s="19" t="s">
        <v>1230</v>
      </c>
      <c r="L616" s="19" t="s">
        <v>38</v>
      </c>
      <c r="M616" s="20">
        <f t="shared" si="2"/>
        <v>0</v>
      </c>
      <c r="N616" s="22"/>
      <c r="O616" s="19" t="s">
        <v>1145</v>
      </c>
      <c r="P616" s="18"/>
      <c r="Q616" s="18"/>
      <c r="R616" s="23">
        <v>0.0</v>
      </c>
      <c r="S616" s="23">
        <v>0.0</v>
      </c>
      <c r="T616" s="23">
        <f t="shared" si="3"/>
        <v>0</v>
      </c>
      <c r="U616" s="23">
        <f t="shared" si="4"/>
        <v>0</v>
      </c>
      <c r="V616" s="23">
        <f t="shared" si="5"/>
        <v>0</v>
      </c>
      <c r="W616" s="24" t="str">
        <f t="shared" si="6"/>
        <v>#DIV/0!</v>
      </c>
    </row>
    <row r="617">
      <c r="A617" s="15" t="s">
        <v>4728</v>
      </c>
      <c r="B617" s="18"/>
      <c r="C617" s="15" t="s">
        <v>7013</v>
      </c>
      <c r="D617" s="18"/>
      <c r="E617" s="17" t="s">
        <v>7014</v>
      </c>
      <c r="F617" s="18"/>
      <c r="G617" s="18"/>
      <c r="H617" s="15" t="s">
        <v>4732</v>
      </c>
      <c r="I617" s="15" t="s">
        <v>4731</v>
      </c>
      <c r="J617" s="19" t="s">
        <v>36</v>
      </c>
      <c r="K617" s="19" t="s">
        <v>1230</v>
      </c>
      <c r="L617" s="19" t="s">
        <v>38</v>
      </c>
      <c r="M617" s="20">
        <f t="shared" si="2"/>
        <v>0</v>
      </c>
      <c r="N617" s="22"/>
      <c r="O617" s="19" t="s">
        <v>1145</v>
      </c>
      <c r="P617" s="18"/>
      <c r="Q617" s="18"/>
      <c r="R617" s="23">
        <v>0.0</v>
      </c>
      <c r="S617" s="23">
        <v>0.0</v>
      </c>
      <c r="T617" s="23">
        <f t="shared" si="3"/>
        <v>0</v>
      </c>
      <c r="U617" s="23">
        <f t="shared" si="4"/>
        <v>0</v>
      </c>
      <c r="V617" s="23">
        <f t="shared" si="5"/>
        <v>0</v>
      </c>
      <c r="W617" s="24" t="str">
        <f t="shared" si="6"/>
        <v>#DIV/0!</v>
      </c>
    </row>
    <row r="618">
      <c r="A618" s="15" t="s">
        <v>4733</v>
      </c>
      <c r="B618" s="18"/>
      <c r="C618" s="15" t="s">
        <v>7015</v>
      </c>
      <c r="D618" s="18"/>
      <c r="E618" s="17" t="s">
        <v>7016</v>
      </c>
      <c r="F618" s="18"/>
      <c r="G618" s="18"/>
      <c r="H618" s="15" t="s">
        <v>7017</v>
      </c>
      <c r="I618" s="15" t="s">
        <v>4736</v>
      </c>
      <c r="J618" s="19" t="s">
        <v>36</v>
      </c>
      <c r="K618" s="19" t="s">
        <v>1230</v>
      </c>
      <c r="L618" s="19" t="s">
        <v>38</v>
      </c>
      <c r="M618" s="20">
        <f t="shared" si="2"/>
        <v>0</v>
      </c>
      <c r="N618" s="22"/>
      <c r="O618" s="19" t="s">
        <v>1145</v>
      </c>
      <c r="P618" s="18"/>
      <c r="Q618" s="18"/>
      <c r="R618" s="23">
        <v>0.0</v>
      </c>
      <c r="S618" s="23">
        <v>0.0</v>
      </c>
      <c r="T618" s="23">
        <f t="shared" si="3"/>
        <v>0</v>
      </c>
      <c r="U618" s="23">
        <f t="shared" si="4"/>
        <v>0</v>
      </c>
      <c r="V618" s="23">
        <f t="shared" si="5"/>
        <v>0</v>
      </c>
      <c r="W618" s="24" t="str">
        <f t="shared" si="6"/>
        <v>#DIV/0!</v>
      </c>
    </row>
    <row r="619">
      <c r="A619" s="15" t="s">
        <v>1984</v>
      </c>
      <c r="B619" s="18"/>
      <c r="C619" s="15" t="s">
        <v>7018</v>
      </c>
      <c r="D619" s="18"/>
      <c r="E619" s="17" t="s">
        <v>1985</v>
      </c>
      <c r="F619" s="18"/>
      <c r="G619" s="18"/>
      <c r="H619" s="15" t="s">
        <v>1986</v>
      </c>
      <c r="I619" s="15" t="s">
        <v>1987</v>
      </c>
      <c r="J619" s="19" t="s">
        <v>36</v>
      </c>
      <c r="K619" s="19" t="s">
        <v>1230</v>
      </c>
      <c r="L619" s="19" t="s">
        <v>38</v>
      </c>
      <c r="M619" s="20">
        <f t="shared" si="2"/>
        <v>0</v>
      </c>
      <c r="N619" s="22"/>
      <c r="O619" s="19" t="s">
        <v>1145</v>
      </c>
      <c r="P619" s="18"/>
      <c r="Q619" s="18"/>
      <c r="R619" s="23">
        <v>0.0</v>
      </c>
      <c r="S619" s="23">
        <v>0.0</v>
      </c>
      <c r="T619" s="23">
        <f t="shared" si="3"/>
        <v>0</v>
      </c>
      <c r="U619" s="23">
        <f t="shared" si="4"/>
        <v>0</v>
      </c>
      <c r="V619" s="23">
        <f t="shared" si="5"/>
        <v>0</v>
      </c>
      <c r="W619" s="24" t="str">
        <f t="shared" si="6"/>
        <v>#DIV/0!</v>
      </c>
    </row>
    <row r="620">
      <c r="A620" s="15" t="s">
        <v>4738</v>
      </c>
      <c r="B620" s="18"/>
      <c r="C620" s="15" t="s">
        <v>7019</v>
      </c>
      <c r="D620" s="18"/>
      <c r="E620" s="17" t="s">
        <v>7020</v>
      </c>
      <c r="F620" s="18"/>
      <c r="G620" s="18"/>
      <c r="H620" s="15" t="s">
        <v>4742</v>
      </c>
      <c r="I620" s="15" t="s">
        <v>4741</v>
      </c>
      <c r="J620" s="19" t="s">
        <v>36</v>
      </c>
      <c r="K620" s="19" t="s">
        <v>1431</v>
      </c>
      <c r="L620" s="19" t="s">
        <v>38</v>
      </c>
      <c r="M620" s="20">
        <f t="shared" si="2"/>
        <v>0</v>
      </c>
      <c r="N620" s="22"/>
      <c r="O620" s="19" t="s">
        <v>1145</v>
      </c>
      <c r="P620" s="18"/>
      <c r="Q620" s="18"/>
      <c r="R620" s="23">
        <v>0.0</v>
      </c>
      <c r="S620" s="23">
        <v>0.0</v>
      </c>
      <c r="T620" s="23">
        <f t="shared" si="3"/>
        <v>0</v>
      </c>
      <c r="U620" s="23">
        <f t="shared" si="4"/>
        <v>0</v>
      </c>
      <c r="V620" s="23">
        <f t="shared" si="5"/>
        <v>0</v>
      </c>
      <c r="W620" s="24" t="str">
        <f t="shared" si="6"/>
        <v>#DIV/0!</v>
      </c>
    </row>
    <row r="621">
      <c r="A621" s="15" t="s">
        <v>4743</v>
      </c>
      <c r="B621" s="18"/>
      <c r="C621" s="15" t="s">
        <v>7021</v>
      </c>
      <c r="D621" s="18"/>
      <c r="E621" s="17" t="s">
        <v>7022</v>
      </c>
      <c r="F621" s="18"/>
      <c r="G621" s="18"/>
      <c r="H621" s="15" t="s">
        <v>4747</v>
      </c>
      <c r="I621" s="15" t="s">
        <v>4746</v>
      </c>
      <c r="J621" s="19" t="s">
        <v>36</v>
      </c>
      <c r="K621" s="19" t="s">
        <v>1230</v>
      </c>
      <c r="L621" s="19" t="s">
        <v>38</v>
      </c>
      <c r="M621" s="20">
        <f t="shared" si="2"/>
        <v>0</v>
      </c>
      <c r="N621" s="22"/>
      <c r="O621" s="19" t="s">
        <v>1145</v>
      </c>
      <c r="P621" s="18"/>
      <c r="Q621" s="18"/>
      <c r="R621" s="23">
        <v>0.0</v>
      </c>
      <c r="S621" s="23">
        <v>0.0</v>
      </c>
      <c r="T621" s="23">
        <f t="shared" si="3"/>
        <v>0</v>
      </c>
      <c r="U621" s="23">
        <f t="shared" si="4"/>
        <v>0</v>
      </c>
      <c r="V621" s="23">
        <f t="shared" si="5"/>
        <v>0</v>
      </c>
      <c r="W621" s="24" t="str">
        <f t="shared" si="6"/>
        <v>#DIV/0!</v>
      </c>
    </row>
    <row r="622">
      <c r="A622" s="15" t="s">
        <v>4748</v>
      </c>
      <c r="B622" s="18"/>
      <c r="C622" s="15" t="s">
        <v>7023</v>
      </c>
      <c r="D622" s="18"/>
      <c r="E622" s="17" t="s">
        <v>7024</v>
      </c>
      <c r="F622" s="18"/>
      <c r="G622" s="18"/>
      <c r="H622" s="15" t="s">
        <v>4752</v>
      </c>
      <c r="I622" s="15" t="s">
        <v>4751</v>
      </c>
      <c r="J622" s="19" t="s">
        <v>36</v>
      </c>
      <c r="K622" s="19" t="s">
        <v>37</v>
      </c>
      <c r="L622" s="19" t="s">
        <v>38</v>
      </c>
      <c r="M622" s="20">
        <f t="shared" si="2"/>
        <v>0</v>
      </c>
      <c r="N622" s="22"/>
      <c r="O622" s="19" t="s">
        <v>1145</v>
      </c>
      <c r="P622" s="18"/>
      <c r="Q622" s="18"/>
      <c r="R622" s="23">
        <v>0.0</v>
      </c>
      <c r="S622" s="23">
        <v>0.0</v>
      </c>
      <c r="T622" s="23">
        <f t="shared" si="3"/>
        <v>0</v>
      </c>
      <c r="U622" s="23">
        <f t="shared" si="4"/>
        <v>0</v>
      </c>
      <c r="V622" s="23">
        <f t="shared" si="5"/>
        <v>0</v>
      </c>
      <c r="W622" s="24" t="str">
        <f t="shared" si="6"/>
        <v>#DIV/0!</v>
      </c>
    </row>
    <row r="623">
      <c r="A623" s="15" t="s">
        <v>1988</v>
      </c>
      <c r="B623" s="18"/>
      <c r="C623" s="15" t="s">
        <v>7025</v>
      </c>
      <c r="D623" s="18"/>
      <c r="E623" s="17" t="s">
        <v>1989</v>
      </c>
      <c r="F623" s="18"/>
      <c r="G623" s="18"/>
      <c r="H623" s="15" t="s">
        <v>1990</v>
      </c>
      <c r="I623" s="15" t="s">
        <v>1991</v>
      </c>
      <c r="J623" s="19" t="s">
        <v>36</v>
      </c>
      <c r="K623" s="19" t="s">
        <v>1230</v>
      </c>
      <c r="L623" s="19" t="s">
        <v>38</v>
      </c>
      <c r="M623" s="20">
        <f t="shared" si="2"/>
        <v>0</v>
      </c>
      <c r="N623" s="22"/>
      <c r="O623" s="19" t="s">
        <v>1145</v>
      </c>
      <c r="P623" s="18"/>
      <c r="Q623" s="18"/>
      <c r="R623" s="23">
        <v>0.0</v>
      </c>
      <c r="S623" s="23">
        <v>0.0</v>
      </c>
      <c r="T623" s="23">
        <f t="shared" si="3"/>
        <v>0</v>
      </c>
      <c r="U623" s="23">
        <f t="shared" si="4"/>
        <v>0</v>
      </c>
      <c r="V623" s="23">
        <f t="shared" si="5"/>
        <v>0</v>
      </c>
      <c r="W623" s="24" t="str">
        <f t="shared" si="6"/>
        <v>#DIV/0!</v>
      </c>
    </row>
    <row r="624">
      <c r="A624" s="15" t="s">
        <v>1992</v>
      </c>
      <c r="B624" s="18"/>
      <c r="C624" s="15" t="s">
        <v>7026</v>
      </c>
      <c r="D624" s="18"/>
      <c r="E624" s="17" t="s">
        <v>1993</v>
      </c>
      <c r="F624" s="18"/>
      <c r="G624" s="18"/>
      <c r="H624" s="15" t="s">
        <v>1990</v>
      </c>
      <c r="I624" s="15" t="s">
        <v>1991</v>
      </c>
      <c r="J624" s="19" t="s">
        <v>36</v>
      </c>
      <c r="K624" s="19" t="s">
        <v>1230</v>
      </c>
      <c r="L624" s="19" t="s">
        <v>38</v>
      </c>
      <c r="M624" s="20">
        <f t="shared" si="2"/>
        <v>0</v>
      </c>
      <c r="N624" s="22"/>
      <c r="O624" s="19" t="s">
        <v>1145</v>
      </c>
      <c r="P624" s="18"/>
      <c r="Q624" s="18"/>
      <c r="R624" s="23">
        <v>0.0</v>
      </c>
      <c r="S624" s="23">
        <v>0.0</v>
      </c>
      <c r="T624" s="23">
        <f t="shared" si="3"/>
        <v>0</v>
      </c>
      <c r="U624" s="23">
        <f t="shared" si="4"/>
        <v>0</v>
      </c>
      <c r="V624" s="23">
        <f t="shared" si="5"/>
        <v>0</v>
      </c>
      <c r="W624" s="24" t="str">
        <f t="shared" si="6"/>
        <v>#DIV/0!</v>
      </c>
    </row>
    <row r="625">
      <c r="A625" s="15" t="s">
        <v>108</v>
      </c>
      <c r="B625" s="15" t="s">
        <v>109</v>
      </c>
      <c r="C625" s="15" t="s">
        <v>7027</v>
      </c>
      <c r="D625" s="15" t="s">
        <v>110</v>
      </c>
      <c r="E625" s="17" t="s">
        <v>111</v>
      </c>
      <c r="F625" s="18"/>
      <c r="G625" s="15" t="s">
        <v>112</v>
      </c>
      <c r="H625" s="15" t="s">
        <v>113</v>
      </c>
      <c r="I625" s="15"/>
      <c r="J625" s="19" t="s">
        <v>36</v>
      </c>
      <c r="K625" s="19" t="s">
        <v>114</v>
      </c>
      <c r="L625" s="19" t="s">
        <v>115</v>
      </c>
      <c r="M625" s="20">
        <f t="shared" si="2"/>
        <v>0</v>
      </c>
      <c r="N625" s="31">
        <v>2.0</v>
      </c>
      <c r="O625" s="19" t="s">
        <v>107</v>
      </c>
      <c r="P625" s="18"/>
      <c r="Q625" s="18"/>
      <c r="R625" s="23">
        <v>0.0</v>
      </c>
      <c r="S625" s="23">
        <v>0.0</v>
      </c>
      <c r="T625" s="23">
        <f t="shared" si="3"/>
        <v>0</v>
      </c>
      <c r="U625" s="23">
        <f t="shared" si="4"/>
        <v>0</v>
      </c>
      <c r="V625" s="23">
        <f t="shared" si="5"/>
        <v>0</v>
      </c>
      <c r="W625" s="24" t="str">
        <f t="shared" si="6"/>
        <v>#DIV/0!</v>
      </c>
    </row>
    <row r="626">
      <c r="A626" s="15" t="s">
        <v>116</v>
      </c>
      <c r="B626" s="15" t="s">
        <v>117</v>
      </c>
      <c r="C626" s="15" t="s">
        <v>7028</v>
      </c>
      <c r="D626" s="15" t="s">
        <v>118</v>
      </c>
      <c r="E626" s="17" t="s">
        <v>119</v>
      </c>
      <c r="F626" s="18"/>
      <c r="G626" s="15" t="s">
        <v>120</v>
      </c>
      <c r="H626" s="15" t="s">
        <v>121</v>
      </c>
      <c r="I626" s="15"/>
      <c r="J626" s="19" t="s">
        <v>36</v>
      </c>
      <c r="K626" s="19" t="s">
        <v>114</v>
      </c>
      <c r="L626" s="19" t="s">
        <v>115</v>
      </c>
      <c r="M626" s="20">
        <f t="shared" si="2"/>
        <v>0</v>
      </c>
      <c r="N626" s="31">
        <v>1.0</v>
      </c>
      <c r="O626" s="19" t="s">
        <v>107</v>
      </c>
      <c r="P626" s="18"/>
      <c r="Q626" s="18"/>
      <c r="R626" s="23">
        <v>0.0</v>
      </c>
      <c r="S626" s="23">
        <v>0.0</v>
      </c>
      <c r="T626" s="23">
        <f t="shared" si="3"/>
        <v>0</v>
      </c>
      <c r="U626" s="23">
        <f t="shared" si="4"/>
        <v>0</v>
      </c>
      <c r="V626" s="23">
        <f t="shared" si="5"/>
        <v>0</v>
      </c>
      <c r="W626" s="24" t="str">
        <f t="shared" si="6"/>
        <v>#DIV/0!</v>
      </c>
    </row>
    <row r="627">
      <c r="A627" s="15" t="s">
        <v>1994</v>
      </c>
      <c r="B627" s="18"/>
      <c r="C627" s="15" t="s">
        <v>7029</v>
      </c>
      <c r="D627" s="18"/>
      <c r="E627" s="17" t="s">
        <v>1995</v>
      </c>
      <c r="F627" s="18"/>
      <c r="G627" s="18"/>
      <c r="H627" s="15" t="s">
        <v>1996</v>
      </c>
      <c r="I627" s="15" t="s">
        <v>1997</v>
      </c>
      <c r="J627" s="19" t="s">
        <v>36</v>
      </c>
      <c r="K627" s="19" t="s">
        <v>1230</v>
      </c>
      <c r="L627" s="19" t="s">
        <v>38</v>
      </c>
      <c r="M627" s="20">
        <f t="shared" si="2"/>
        <v>0</v>
      </c>
      <c r="N627" s="22"/>
      <c r="O627" s="19" t="s">
        <v>1145</v>
      </c>
      <c r="P627" s="18"/>
      <c r="Q627" s="18"/>
      <c r="R627" s="23">
        <v>0.0</v>
      </c>
      <c r="S627" s="23">
        <v>0.0</v>
      </c>
      <c r="T627" s="23">
        <f t="shared" si="3"/>
        <v>0</v>
      </c>
      <c r="U627" s="23">
        <f t="shared" si="4"/>
        <v>0</v>
      </c>
      <c r="V627" s="23">
        <f t="shared" si="5"/>
        <v>0</v>
      </c>
      <c r="W627" s="24" t="str">
        <f t="shared" si="6"/>
        <v>#DIV/0!</v>
      </c>
    </row>
    <row r="628">
      <c r="A628" s="15" t="s">
        <v>1998</v>
      </c>
      <c r="B628" s="18"/>
      <c r="C628" s="15" t="s">
        <v>7030</v>
      </c>
      <c r="D628" s="18"/>
      <c r="E628" s="17" t="s">
        <v>1999</v>
      </c>
      <c r="F628" s="18"/>
      <c r="G628" s="18"/>
      <c r="H628" s="15" t="s">
        <v>2000</v>
      </c>
      <c r="I628" s="15" t="s">
        <v>2001</v>
      </c>
      <c r="J628" s="19" t="s">
        <v>36</v>
      </c>
      <c r="K628" s="19" t="s">
        <v>1230</v>
      </c>
      <c r="L628" s="19" t="s">
        <v>38</v>
      </c>
      <c r="M628" s="20">
        <f t="shared" si="2"/>
        <v>0</v>
      </c>
      <c r="N628" s="22"/>
      <c r="O628" s="19" t="s">
        <v>1145</v>
      </c>
      <c r="P628" s="18"/>
      <c r="Q628" s="18"/>
      <c r="R628" s="23">
        <v>0.0</v>
      </c>
      <c r="S628" s="23">
        <v>0.0</v>
      </c>
      <c r="T628" s="23">
        <f t="shared" si="3"/>
        <v>0</v>
      </c>
      <c r="U628" s="23">
        <f t="shared" si="4"/>
        <v>0</v>
      </c>
      <c r="V628" s="23">
        <f t="shared" si="5"/>
        <v>0</v>
      </c>
      <c r="W628" s="24" t="str">
        <f t="shared" si="6"/>
        <v>#DIV/0!</v>
      </c>
    </row>
    <row r="629">
      <c r="A629" s="15" t="s">
        <v>2002</v>
      </c>
      <c r="B629" s="18"/>
      <c r="C629" s="15" t="s">
        <v>7031</v>
      </c>
      <c r="D629" s="18"/>
      <c r="E629" s="17" t="s">
        <v>2003</v>
      </c>
      <c r="F629" s="18"/>
      <c r="G629" s="18"/>
      <c r="H629" s="15" t="s">
        <v>2004</v>
      </c>
      <c r="I629" s="15" t="s">
        <v>2005</v>
      </c>
      <c r="J629" s="19" t="s">
        <v>36</v>
      </c>
      <c r="K629" s="19" t="s">
        <v>1230</v>
      </c>
      <c r="L629" s="19" t="s">
        <v>38</v>
      </c>
      <c r="M629" s="20">
        <f t="shared" si="2"/>
        <v>0</v>
      </c>
      <c r="N629" s="22"/>
      <c r="O629" s="19" t="s">
        <v>1145</v>
      </c>
      <c r="P629" s="18"/>
      <c r="Q629" s="18"/>
      <c r="R629" s="23">
        <v>0.0</v>
      </c>
      <c r="S629" s="23">
        <v>0.0</v>
      </c>
      <c r="T629" s="23">
        <f t="shared" si="3"/>
        <v>0</v>
      </c>
      <c r="U629" s="23">
        <f t="shared" si="4"/>
        <v>0</v>
      </c>
      <c r="V629" s="23">
        <f t="shared" si="5"/>
        <v>0</v>
      </c>
      <c r="W629" s="24" t="str">
        <f t="shared" si="6"/>
        <v>#DIV/0!</v>
      </c>
    </row>
    <row r="630">
      <c r="A630" s="15" t="s">
        <v>2006</v>
      </c>
      <c r="B630" s="18"/>
      <c r="C630" s="15" t="s">
        <v>7032</v>
      </c>
      <c r="D630" s="18"/>
      <c r="E630" s="17" t="s">
        <v>2007</v>
      </c>
      <c r="F630" s="18"/>
      <c r="G630" s="18"/>
      <c r="H630" s="15" t="s">
        <v>2008</v>
      </c>
      <c r="I630" s="15" t="s">
        <v>2009</v>
      </c>
      <c r="J630" s="19" t="s">
        <v>36</v>
      </c>
      <c r="K630" s="19" t="s">
        <v>1230</v>
      </c>
      <c r="L630" s="19" t="s">
        <v>38</v>
      </c>
      <c r="M630" s="20">
        <f t="shared" si="2"/>
        <v>0</v>
      </c>
      <c r="N630" s="22"/>
      <c r="O630" s="19" t="s">
        <v>1145</v>
      </c>
      <c r="P630" s="18"/>
      <c r="Q630" s="18"/>
      <c r="R630" s="23">
        <v>0.0</v>
      </c>
      <c r="S630" s="23">
        <v>0.0</v>
      </c>
      <c r="T630" s="23">
        <f t="shared" si="3"/>
        <v>0</v>
      </c>
      <c r="U630" s="23">
        <f t="shared" si="4"/>
        <v>0</v>
      </c>
      <c r="V630" s="23">
        <f t="shared" si="5"/>
        <v>0</v>
      </c>
      <c r="W630" s="24" t="str">
        <f t="shared" si="6"/>
        <v>#DIV/0!</v>
      </c>
    </row>
    <row r="631">
      <c r="A631" s="15" t="s">
        <v>2010</v>
      </c>
      <c r="B631" s="18"/>
      <c r="C631" s="15" t="s">
        <v>7033</v>
      </c>
      <c r="D631" s="18"/>
      <c r="E631" s="17" t="s">
        <v>2011</v>
      </c>
      <c r="F631" s="18"/>
      <c r="G631" s="18"/>
      <c r="H631" s="15" t="s">
        <v>2012</v>
      </c>
      <c r="I631" s="15" t="s">
        <v>2013</v>
      </c>
      <c r="J631" s="19" t="s">
        <v>36</v>
      </c>
      <c r="K631" s="19" t="s">
        <v>1230</v>
      </c>
      <c r="L631" s="19" t="s">
        <v>38</v>
      </c>
      <c r="M631" s="20">
        <f t="shared" si="2"/>
        <v>0</v>
      </c>
      <c r="N631" s="22"/>
      <c r="O631" s="19" t="s">
        <v>1145</v>
      </c>
      <c r="P631" s="18"/>
      <c r="Q631" s="18"/>
      <c r="R631" s="23">
        <v>0.0</v>
      </c>
      <c r="S631" s="23">
        <v>0.0</v>
      </c>
      <c r="T631" s="23">
        <f t="shared" si="3"/>
        <v>0</v>
      </c>
      <c r="U631" s="23">
        <f t="shared" si="4"/>
        <v>0</v>
      </c>
      <c r="V631" s="23">
        <f t="shared" si="5"/>
        <v>0</v>
      </c>
      <c r="W631" s="24" t="str">
        <f t="shared" si="6"/>
        <v>#DIV/0!</v>
      </c>
    </row>
    <row r="632">
      <c r="A632" s="15" t="s">
        <v>2014</v>
      </c>
      <c r="B632" s="18"/>
      <c r="C632" s="15" t="s">
        <v>7034</v>
      </c>
      <c r="D632" s="18"/>
      <c r="E632" s="17" t="s">
        <v>2015</v>
      </c>
      <c r="F632" s="18"/>
      <c r="G632" s="18"/>
      <c r="H632" s="15" t="s">
        <v>2016</v>
      </c>
      <c r="I632" s="15" t="s">
        <v>2017</v>
      </c>
      <c r="J632" s="19" t="s">
        <v>36</v>
      </c>
      <c r="K632" s="19" t="s">
        <v>1230</v>
      </c>
      <c r="L632" s="19" t="s">
        <v>38</v>
      </c>
      <c r="M632" s="20">
        <f t="shared" si="2"/>
        <v>0</v>
      </c>
      <c r="N632" s="22"/>
      <c r="O632" s="19" t="s">
        <v>1145</v>
      </c>
      <c r="P632" s="18"/>
      <c r="Q632" s="18"/>
      <c r="R632" s="23">
        <v>0.0</v>
      </c>
      <c r="S632" s="23">
        <v>0.0</v>
      </c>
      <c r="T632" s="23">
        <f t="shared" si="3"/>
        <v>0</v>
      </c>
      <c r="U632" s="23">
        <f t="shared" si="4"/>
        <v>0</v>
      </c>
      <c r="V632" s="23">
        <f t="shared" si="5"/>
        <v>0</v>
      </c>
      <c r="W632" s="24" t="str">
        <f t="shared" si="6"/>
        <v>#DIV/0!</v>
      </c>
    </row>
    <row r="633">
      <c r="A633" s="15" t="s">
        <v>2018</v>
      </c>
      <c r="B633" s="18"/>
      <c r="C633" s="15" t="s">
        <v>7035</v>
      </c>
      <c r="D633" s="18"/>
      <c r="E633" s="17" t="s">
        <v>2019</v>
      </c>
      <c r="F633" s="18"/>
      <c r="G633" s="18"/>
      <c r="H633" s="15" t="s">
        <v>2016</v>
      </c>
      <c r="I633" s="15" t="s">
        <v>2017</v>
      </c>
      <c r="J633" s="19" t="s">
        <v>36</v>
      </c>
      <c r="K633" s="19" t="s">
        <v>1230</v>
      </c>
      <c r="L633" s="19" t="s">
        <v>38</v>
      </c>
      <c r="M633" s="20">
        <f t="shared" si="2"/>
        <v>0</v>
      </c>
      <c r="N633" s="22"/>
      <c r="O633" s="19" t="s">
        <v>1145</v>
      </c>
      <c r="P633" s="18"/>
      <c r="Q633" s="18"/>
      <c r="R633" s="23">
        <v>0.0</v>
      </c>
      <c r="S633" s="23">
        <v>0.0</v>
      </c>
      <c r="T633" s="23">
        <f t="shared" si="3"/>
        <v>0</v>
      </c>
      <c r="U633" s="23">
        <f t="shared" si="4"/>
        <v>0</v>
      </c>
      <c r="V633" s="23">
        <f t="shared" si="5"/>
        <v>0</v>
      </c>
      <c r="W633" s="24" t="str">
        <f t="shared" si="6"/>
        <v>#DIV/0!</v>
      </c>
    </row>
    <row r="634">
      <c r="A634" s="15" t="s">
        <v>2020</v>
      </c>
      <c r="B634" s="18"/>
      <c r="C634" s="15" t="s">
        <v>7036</v>
      </c>
      <c r="D634" s="18"/>
      <c r="E634" s="17" t="s">
        <v>2019</v>
      </c>
      <c r="F634" s="18"/>
      <c r="G634" s="18"/>
      <c r="H634" s="15" t="s">
        <v>2021</v>
      </c>
      <c r="I634" s="15" t="s">
        <v>2022</v>
      </c>
      <c r="J634" s="19" t="s">
        <v>36</v>
      </c>
      <c r="K634" s="19" t="s">
        <v>1230</v>
      </c>
      <c r="L634" s="19" t="s">
        <v>38</v>
      </c>
      <c r="M634" s="20">
        <f t="shared" si="2"/>
        <v>0</v>
      </c>
      <c r="N634" s="22"/>
      <c r="O634" s="19" t="s">
        <v>1145</v>
      </c>
      <c r="P634" s="18"/>
      <c r="Q634" s="18"/>
      <c r="R634" s="23">
        <v>0.0</v>
      </c>
      <c r="S634" s="23">
        <v>0.0</v>
      </c>
      <c r="T634" s="23">
        <f t="shared" si="3"/>
        <v>0</v>
      </c>
      <c r="U634" s="23">
        <f t="shared" si="4"/>
        <v>0</v>
      </c>
      <c r="V634" s="23">
        <f t="shared" si="5"/>
        <v>0</v>
      </c>
      <c r="W634" s="24" t="str">
        <f t="shared" si="6"/>
        <v>#DIV/0!</v>
      </c>
    </row>
    <row r="635">
      <c r="A635" s="15" t="s">
        <v>2023</v>
      </c>
      <c r="B635" s="18"/>
      <c r="C635" s="15" t="s">
        <v>7037</v>
      </c>
      <c r="D635" s="18"/>
      <c r="E635" s="17" t="s">
        <v>2024</v>
      </c>
      <c r="F635" s="18"/>
      <c r="G635" s="18"/>
      <c r="H635" s="15" t="s">
        <v>2025</v>
      </c>
      <c r="I635" s="15" t="s">
        <v>2026</v>
      </c>
      <c r="J635" s="19" t="s">
        <v>36</v>
      </c>
      <c r="K635" s="19" t="s">
        <v>1230</v>
      </c>
      <c r="L635" s="19" t="s">
        <v>38</v>
      </c>
      <c r="M635" s="20">
        <f t="shared" si="2"/>
        <v>0</v>
      </c>
      <c r="N635" s="22"/>
      <c r="O635" s="19" t="s">
        <v>1145</v>
      </c>
      <c r="P635" s="18"/>
      <c r="Q635" s="18"/>
      <c r="R635" s="23">
        <v>0.0</v>
      </c>
      <c r="S635" s="23">
        <v>0.0</v>
      </c>
      <c r="T635" s="23">
        <f t="shared" si="3"/>
        <v>0</v>
      </c>
      <c r="U635" s="23">
        <f t="shared" si="4"/>
        <v>0</v>
      </c>
      <c r="V635" s="23">
        <f t="shared" si="5"/>
        <v>0</v>
      </c>
      <c r="W635" s="24" t="str">
        <f t="shared" si="6"/>
        <v>#DIV/0!</v>
      </c>
    </row>
    <row r="636">
      <c r="A636" s="15" t="s">
        <v>2027</v>
      </c>
      <c r="B636" s="18"/>
      <c r="C636" s="15" t="s">
        <v>7038</v>
      </c>
      <c r="D636" s="18"/>
      <c r="E636" s="17" t="s">
        <v>2024</v>
      </c>
      <c r="F636" s="18"/>
      <c r="G636" s="18"/>
      <c r="H636" s="15" t="s">
        <v>2028</v>
      </c>
      <c r="I636" s="15" t="s">
        <v>2029</v>
      </c>
      <c r="J636" s="19" t="s">
        <v>36</v>
      </c>
      <c r="K636" s="19" t="s">
        <v>1230</v>
      </c>
      <c r="L636" s="19" t="s">
        <v>38</v>
      </c>
      <c r="M636" s="20">
        <f t="shared" si="2"/>
        <v>0</v>
      </c>
      <c r="N636" s="22"/>
      <c r="O636" s="19" t="s">
        <v>1145</v>
      </c>
      <c r="P636" s="18"/>
      <c r="Q636" s="18"/>
      <c r="R636" s="23">
        <v>0.0</v>
      </c>
      <c r="S636" s="23">
        <v>0.0</v>
      </c>
      <c r="T636" s="23">
        <f t="shared" si="3"/>
        <v>0</v>
      </c>
      <c r="U636" s="23">
        <f t="shared" si="4"/>
        <v>0</v>
      </c>
      <c r="V636" s="23">
        <f t="shared" si="5"/>
        <v>0</v>
      </c>
      <c r="W636" s="24" t="str">
        <f t="shared" si="6"/>
        <v>#DIV/0!</v>
      </c>
    </row>
    <row r="637">
      <c r="A637" s="15" t="s">
        <v>2030</v>
      </c>
      <c r="B637" s="18"/>
      <c r="C637" s="15" t="s">
        <v>7039</v>
      </c>
      <c r="D637" s="18"/>
      <c r="E637" s="17" t="s">
        <v>2031</v>
      </c>
      <c r="F637" s="18"/>
      <c r="G637" s="18"/>
      <c r="H637" s="15" t="s">
        <v>2032</v>
      </c>
      <c r="I637" s="15" t="s">
        <v>2033</v>
      </c>
      <c r="J637" s="19" t="s">
        <v>36</v>
      </c>
      <c r="K637" s="19" t="s">
        <v>1230</v>
      </c>
      <c r="L637" s="19" t="s">
        <v>38</v>
      </c>
      <c r="M637" s="20">
        <f t="shared" si="2"/>
        <v>0</v>
      </c>
      <c r="N637" s="22"/>
      <c r="O637" s="19" t="s">
        <v>1145</v>
      </c>
      <c r="P637" s="18"/>
      <c r="Q637" s="18"/>
      <c r="R637" s="23">
        <v>0.0</v>
      </c>
      <c r="S637" s="23">
        <v>0.0</v>
      </c>
      <c r="T637" s="23">
        <f t="shared" si="3"/>
        <v>0</v>
      </c>
      <c r="U637" s="23">
        <f t="shared" si="4"/>
        <v>0</v>
      </c>
      <c r="V637" s="23">
        <f t="shared" si="5"/>
        <v>0</v>
      </c>
      <c r="W637" s="24" t="str">
        <f t="shared" si="6"/>
        <v>#DIV/0!</v>
      </c>
    </row>
    <row r="638">
      <c r="A638" s="15" t="s">
        <v>2034</v>
      </c>
      <c r="B638" s="18"/>
      <c r="C638" s="15" t="s">
        <v>7040</v>
      </c>
      <c r="D638" s="18"/>
      <c r="E638" s="17" t="s">
        <v>2035</v>
      </c>
      <c r="F638" s="18"/>
      <c r="G638" s="18"/>
      <c r="H638" s="15" t="s">
        <v>2025</v>
      </c>
      <c r="I638" s="15" t="s">
        <v>2026</v>
      </c>
      <c r="J638" s="19" t="s">
        <v>36</v>
      </c>
      <c r="K638" s="19" t="s">
        <v>1230</v>
      </c>
      <c r="L638" s="19" t="s">
        <v>38</v>
      </c>
      <c r="M638" s="20">
        <f t="shared" si="2"/>
        <v>0</v>
      </c>
      <c r="N638" s="22"/>
      <c r="O638" s="19" t="s">
        <v>1145</v>
      </c>
      <c r="P638" s="18"/>
      <c r="Q638" s="18"/>
      <c r="R638" s="23">
        <v>0.0</v>
      </c>
      <c r="S638" s="23">
        <v>0.0</v>
      </c>
      <c r="T638" s="23">
        <f t="shared" si="3"/>
        <v>0</v>
      </c>
      <c r="U638" s="23">
        <f t="shared" si="4"/>
        <v>0</v>
      </c>
      <c r="V638" s="23">
        <f t="shared" si="5"/>
        <v>0</v>
      </c>
      <c r="W638" s="24" t="str">
        <f t="shared" si="6"/>
        <v>#DIV/0!</v>
      </c>
    </row>
    <row r="639">
      <c r="A639" s="15" t="s">
        <v>2036</v>
      </c>
      <c r="B639" s="18"/>
      <c r="C639" s="15" t="s">
        <v>7041</v>
      </c>
      <c r="D639" s="18"/>
      <c r="E639" s="17" t="s">
        <v>2037</v>
      </c>
      <c r="F639" s="18"/>
      <c r="G639" s="18"/>
      <c r="H639" s="15" t="s">
        <v>2038</v>
      </c>
      <c r="I639" s="15" t="s">
        <v>2039</v>
      </c>
      <c r="J639" s="19" t="s">
        <v>36</v>
      </c>
      <c r="K639" s="19" t="s">
        <v>1230</v>
      </c>
      <c r="L639" s="19" t="s">
        <v>38</v>
      </c>
      <c r="M639" s="20">
        <f t="shared" si="2"/>
        <v>0</v>
      </c>
      <c r="N639" s="22"/>
      <c r="O639" s="19" t="s">
        <v>1145</v>
      </c>
      <c r="P639" s="18"/>
      <c r="Q639" s="18"/>
      <c r="R639" s="23">
        <v>0.0</v>
      </c>
      <c r="S639" s="23">
        <v>0.0</v>
      </c>
      <c r="T639" s="23">
        <f t="shared" si="3"/>
        <v>0</v>
      </c>
      <c r="U639" s="23">
        <f t="shared" si="4"/>
        <v>0</v>
      </c>
      <c r="V639" s="23">
        <f t="shared" si="5"/>
        <v>0</v>
      </c>
      <c r="W639" s="24" t="str">
        <f t="shared" si="6"/>
        <v>#DIV/0!</v>
      </c>
    </row>
    <row r="640">
      <c r="A640" s="15" t="s">
        <v>2040</v>
      </c>
      <c r="B640" s="18"/>
      <c r="C640" s="15" t="s">
        <v>7042</v>
      </c>
      <c r="D640" s="18"/>
      <c r="E640" s="17" t="s">
        <v>2041</v>
      </c>
      <c r="F640" s="18"/>
      <c r="G640" s="18"/>
      <c r="H640" s="15" t="s">
        <v>2042</v>
      </c>
      <c r="I640" s="15" t="s">
        <v>2043</v>
      </c>
      <c r="J640" s="19" t="s">
        <v>36</v>
      </c>
      <c r="K640" s="19" t="s">
        <v>1230</v>
      </c>
      <c r="L640" s="19" t="s">
        <v>38</v>
      </c>
      <c r="M640" s="20">
        <f t="shared" si="2"/>
        <v>0</v>
      </c>
      <c r="N640" s="22"/>
      <c r="O640" s="19" t="s">
        <v>1145</v>
      </c>
      <c r="P640" s="18"/>
      <c r="Q640" s="18"/>
      <c r="R640" s="23">
        <v>0.0</v>
      </c>
      <c r="S640" s="23">
        <v>0.0</v>
      </c>
      <c r="T640" s="23">
        <f t="shared" si="3"/>
        <v>0</v>
      </c>
      <c r="U640" s="23">
        <f t="shared" si="4"/>
        <v>0</v>
      </c>
      <c r="V640" s="23">
        <f t="shared" si="5"/>
        <v>0</v>
      </c>
      <c r="W640" s="24" t="str">
        <f t="shared" si="6"/>
        <v>#DIV/0!</v>
      </c>
    </row>
    <row r="641">
      <c r="A641" s="15" t="s">
        <v>2044</v>
      </c>
      <c r="B641" s="18"/>
      <c r="C641" s="15" t="s">
        <v>7043</v>
      </c>
      <c r="D641" s="18"/>
      <c r="E641" s="17" t="s">
        <v>2045</v>
      </c>
      <c r="F641" s="18"/>
      <c r="G641" s="18"/>
      <c r="H641" s="15" t="s">
        <v>2046</v>
      </c>
      <c r="I641" s="15" t="s">
        <v>2047</v>
      </c>
      <c r="J641" s="19" t="s">
        <v>36</v>
      </c>
      <c r="K641" s="19" t="s">
        <v>1230</v>
      </c>
      <c r="L641" s="19" t="s">
        <v>38</v>
      </c>
      <c r="M641" s="20">
        <f t="shared" si="2"/>
        <v>0</v>
      </c>
      <c r="N641" s="22"/>
      <c r="O641" s="19" t="s">
        <v>1145</v>
      </c>
      <c r="P641" s="18"/>
      <c r="Q641" s="18"/>
      <c r="R641" s="23">
        <v>0.0</v>
      </c>
      <c r="S641" s="23">
        <v>0.0</v>
      </c>
      <c r="T641" s="23">
        <f t="shared" si="3"/>
        <v>0</v>
      </c>
      <c r="U641" s="23">
        <f t="shared" si="4"/>
        <v>0</v>
      </c>
      <c r="V641" s="23">
        <f t="shared" si="5"/>
        <v>0</v>
      </c>
      <c r="W641" s="24" t="str">
        <f t="shared" si="6"/>
        <v>#DIV/0!</v>
      </c>
    </row>
    <row r="642">
      <c r="A642" s="15" t="s">
        <v>2048</v>
      </c>
      <c r="B642" s="18"/>
      <c r="C642" s="15" t="s">
        <v>7044</v>
      </c>
      <c r="D642" s="18"/>
      <c r="E642" s="17" t="s">
        <v>2049</v>
      </c>
      <c r="F642" s="18"/>
      <c r="G642" s="18"/>
      <c r="H642" s="15" t="s">
        <v>2050</v>
      </c>
      <c r="I642" s="15" t="s">
        <v>2051</v>
      </c>
      <c r="J642" s="19" t="s">
        <v>36</v>
      </c>
      <c r="K642" s="19" t="s">
        <v>1230</v>
      </c>
      <c r="L642" s="19" t="s">
        <v>38</v>
      </c>
      <c r="M642" s="20">
        <f t="shared" si="2"/>
        <v>0</v>
      </c>
      <c r="N642" s="22"/>
      <c r="O642" s="19" t="s">
        <v>1145</v>
      </c>
      <c r="P642" s="18"/>
      <c r="Q642" s="18"/>
      <c r="R642" s="23">
        <v>0.0</v>
      </c>
      <c r="S642" s="23">
        <v>0.0</v>
      </c>
      <c r="T642" s="23">
        <f t="shared" si="3"/>
        <v>0</v>
      </c>
      <c r="U642" s="23">
        <f t="shared" si="4"/>
        <v>0</v>
      </c>
      <c r="V642" s="23">
        <f t="shared" si="5"/>
        <v>0</v>
      </c>
      <c r="W642" s="24" t="str">
        <f t="shared" si="6"/>
        <v>#DIV/0!</v>
      </c>
    </row>
    <row r="643">
      <c r="A643" s="15" t="s">
        <v>2052</v>
      </c>
      <c r="B643" s="18"/>
      <c r="C643" s="15" t="s">
        <v>7045</v>
      </c>
      <c r="D643" s="18"/>
      <c r="E643" s="17" t="s">
        <v>2053</v>
      </c>
      <c r="F643" s="18"/>
      <c r="G643" s="18"/>
      <c r="H643" s="15" t="s">
        <v>2054</v>
      </c>
      <c r="I643" s="15" t="s">
        <v>2055</v>
      </c>
      <c r="J643" s="19" t="s">
        <v>36</v>
      </c>
      <c r="K643" s="19" t="s">
        <v>37</v>
      </c>
      <c r="L643" s="19" t="s">
        <v>38</v>
      </c>
      <c r="M643" s="20">
        <f t="shared" si="2"/>
        <v>0</v>
      </c>
      <c r="N643" s="22"/>
      <c r="O643" s="19" t="s">
        <v>1145</v>
      </c>
      <c r="P643" s="18"/>
      <c r="Q643" s="18"/>
      <c r="R643" s="23">
        <v>0.0</v>
      </c>
      <c r="S643" s="23">
        <v>0.0</v>
      </c>
      <c r="T643" s="23">
        <f t="shared" si="3"/>
        <v>0</v>
      </c>
      <c r="U643" s="23">
        <f t="shared" si="4"/>
        <v>0</v>
      </c>
      <c r="V643" s="23">
        <f t="shared" si="5"/>
        <v>0</v>
      </c>
      <c r="W643" s="24" t="str">
        <f t="shared" si="6"/>
        <v>#DIV/0!</v>
      </c>
    </row>
    <row r="644">
      <c r="A644" s="15" t="s">
        <v>2056</v>
      </c>
      <c r="B644" s="18"/>
      <c r="C644" s="15" t="s">
        <v>7046</v>
      </c>
      <c r="D644" s="18"/>
      <c r="E644" s="17" t="s">
        <v>2057</v>
      </c>
      <c r="F644" s="18"/>
      <c r="G644" s="18"/>
      <c r="H644" s="15" t="s">
        <v>2058</v>
      </c>
      <c r="I644" s="15" t="s">
        <v>2059</v>
      </c>
      <c r="J644" s="19" t="s">
        <v>36</v>
      </c>
      <c r="K644" s="19" t="s">
        <v>105</v>
      </c>
      <c r="L644" s="19" t="s">
        <v>38</v>
      </c>
      <c r="M644" s="20">
        <f t="shared" si="2"/>
        <v>0</v>
      </c>
      <c r="N644" s="22"/>
      <c r="O644" s="19" t="s">
        <v>1145</v>
      </c>
      <c r="P644" s="18"/>
      <c r="Q644" s="18"/>
      <c r="R644" s="23">
        <v>0.0</v>
      </c>
      <c r="S644" s="23">
        <v>0.0</v>
      </c>
      <c r="T644" s="23">
        <f t="shared" si="3"/>
        <v>0</v>
      </c>
      <c r="U644" s="23">
        <f t="shared" si="4"/>
        <v>0</v>
      </c>
      <c r="V644" s="23">
        <f t="shared" si="5"/>
        <v>0</v>
      </c>
      <c r="W644" s="24" t="str">
        <f t="shared" si="6"/>
        <v>#DIV/0!</v>
      </c>
    </row>
    <row r="645">
      <c r="A645" s="15" t="s">
        <v>7047</v>
      </c>
      <c r="B645" s="18"/>
      <c r="C645" s="15" t="s">
        <v>7048</v>
      </c>
      <c r="D645" s="18"/>
      <c r="E645" s="17" t="s">
        <v>7049</v>
      </c>
      <c r="F645" s="18"/>
      <c r="G645" s="18"/>
      <c r="H645" s="15" t="s">
        <v>7050</v>
      </c>
      <c r="I645" s="15" t="s">
        <v>4203</v>
      </c>
      <c r="J645" s="19" t="s">
        <v>36</v>
      </c>
      <c r="K645" s="19" t="s">
        <v>105</v>
      </c>
      <c r="L645" s="19" t="s">
        <v>38</v>
      </c>
      <c r="M645" s="20">
        <f t="shared" si="2"/>
        <v>0</v>
      </c>
      <c r="N645" s="22"/>
      <c r="O645" s="19" t="s">
        <v>39</v>
      </c>
      <c r="P645" s="18"/>
      <c r="Q645" s="18"/>
      <c r="R645" s="23">
        <v>0.0</v>
      </c>
      <c r="S645" s="23">
        <v>0.0</v>
      </c>
      <c r="T645" s="23">
        <f t="shared" si="3"/>
        <v>0</v>
      </c>
      <c r="U645" s="23">
        <f t="shared" si="4"/>
        <v>0</v>
      </c>
      <c r="V645" s="23">
        <f t="shared" si="5"/>
        <v>0</v>
      </c>
      <c r="W645" s="24" t="str">
        <f t="shared" si="6"/>
        <v>#DIV/0!</v>
      </c>
    </row>
    <row r="646">
      <c r="A646" s="15" t="s">
        <v>2060</v>
      </c>
      <c r="B646" s="18"/>
      <c r="C646" s="15" t="s">
        <v>7051</v>
      </c>
      <c r="D646" s="18"/>
      <c r="E646" s="17" t="s">
        <v>2061</v>
      </c>
      <c r="F646" s="18"/>
      <c r="G646" s="18"/>
      <c r="H646" s="15" t="s">
        <v>2062</v>
      </c>
      <c r="I646" s="15" t="s">
        <v>2063</v>
      </c>
      <c r="J646" s="19" t="s">
        <v>36</v>
      </c>
      <c r="K646" s="19" t="s">
        <v>105</v>
      </c>
      <c r="L646" s="19" t="s">
        <v>38</v>
      </c>
      <c r="M646" s="20">
        <f t="shared" si="2"/>
        <v>0</v>
      </c>
      <c r="N646" s="22"/>
      <c r="O646" s="19" t="s">
        <v>1145</v>
      </c>
      <c r="P646" s="18"/>
      <c r="Q646" s="18"/>
      <c r="R646" s="23">
        <v>0.0</v>
      </c>
      <c r="S646" s="23">
        <v>0.0</v>
      </c>
      <c r="T646" s="23">
        <f t="shared" si="3"/>
        <v>0</v>
      </c>
      <c r="U646" s="23">
        <f t="shared" si="4"/>
        <v>0</v>
      </c>
      <c r="V646" s="23">
        <f t="shared" si="5"/>
        <v>0</v>
      </c>
      <c r="W646" s="24" t="str">
        <f t="shared" si="6"/>
        <v>#DIV/0!</v>
      </c>
    </row>
    <row r="647">
      <c r="A647" s="15" t="s">
        <v>2064</v>
      </c>
      <c r="B647" s="18"/>
      <c r="C647" s="15" t="s">
        <v>7052</v>
      </c>
      <c r="D647" s="18"/>
      <c r="E647" s="17" t="s">
        <v>2065</v>
      </c>
      <c r="F647" s="18"/>
      <c r="G647" s="18"/>
      <c r="H647" s="15" t="s">
        <v>2066</v>
      </c>
      <c r="I647" s="15" t="s">
        <v>2067</v>
      </c>
      <c r="J647" s="19" t="s">
        <v>36</v>
      </c>
      <c r="K647" s="19" t="s">
        <v>402</v>
      </c>
      <c r="L647" s="19" t="s">
        <v>38</v>
      </c>
      <c r="M647" s="20">
        <f t="shared" si="2"/>
        <v>0</v>
      </c>
      <c r="N647" s="22"/>
      <c r="O647" s="19" t="s">
        <v>1145</v>
      </c>
      <c r="P647" s="18"/>
      <c r="Q647" s="18"/>
      <c r="R647" s="23">
        <v>0.0</v>
      </c>
      <c r="S647" s="23">
        <v>0.0</v>
      </c>
      <c r="T647" s="23">
        <f t="shared" si="3"/>
        <v>0</v>
      </c>
      <c r="U647" s="23">
        <f t="shared" si="4"/>
        <v>0</v>
      </c>
      <c r="V647" s="23">
        <f t="shared" si="5"/>
        <v>0</v>
      </c>
      <c r="W647" s="24" t="str">
        <f t="shared" si="6"/>
        <v>#DIV/0!</v>
      </c>
    </row>
    <row r="648">
      <c r="A648" s="15" t="s">
        <v>2068</v>
      </c>
      <c r="B648" s="18"/>
      <c r="C648" s="15" t="s">
        <v>7053</v>
      </c>
      <c r="D648" s="18"/>
      <c r="E648" s="17" t="s">
        <v>2069</v>
      </c>
      <c r="F648" s="18"/>
      <c r="G648" s="18"/>
      <c r="H648" s="15" t="s">
        <v>2070</v>
      </c>
      <c r="I648" s="15" t="s">
        <v>2071</v>
      </c>
      <c r="J648" s="19" t="s">
        <v>36</v>
      </c>
      <c r="K648" s="19" t="s">
        <v>402</v>
      </c>
      <c r="L648" s="19" t="s">
        <v>38</v>
      </c>
      <c r="M648" s="20">
        <f t="shared" si="2"/>
        <v>0</v>
      </c>
      <c r="N648" s="22"/>
      <c r="O648" s="19" t="s">
        <v>1145</v>
      </c>
      <c r="P648" s="18"/>
      <c r="Q648" s="18"/>
      <c r="R648" s="23">
        <v>0.0</v>
      </c>
      <c r="S648" s="23">
        <v>0.0</v>
      </c>
      <c r="T648" s="23">
        <f t="shared" si="3"/>
        <v>0</v>
      </c>
      <c r="U648" s="23">
        <f t="shared" si="4"/>
        <v>0</v>
      </c>
      <c r="V648" s="23">
        <f t="shared" si="5"/>
        <v>0</v>
      </c>
      <c r="W648" s="24" t="str">
        <f t="shared" si="6"/>
        <v>#DIV/0!</v>
      </c>
    </row>
    <row r="649">
      <c r="A649" s="15" t="s">
        <v>2072</v>
      </c>
      <c r="B649" s="18"/>
      <c r="C649" s="15" t="s">
        <v>7054</v>
      </c>
      <c r="D649" s="18"/>
      <c r="E649" s="17" t="s">
        <v>2073</v>
      </c>
      <c r="F649" s="18"/>
      <c r="G649" s="18"/>
      <c r="H649" s="15" t="s">
        <v>2074</v>
      </c>
      <c r="I649" s="15" t="s">
        <v>2075</v>
      </c>
      <c r="J649" s="19" t="s">
        <v>36</v>
      </c>
      <c r="K649" s="19" t="s">
        <v>402</v>
      </c>
      <c r="L649" s="19" t="s">
        <v>38</v>
      </c>
      <c r="M649" s="20">
        <f t="shared" si="2"/>
        <v>0</v>
      </c>
      <c r="N649" s="22"/>
      <c r="O649" s="19" t="s">
        <v>1145</v>
      </c>
      <c r="P649" s="18"/>
      <c r="Q649" s="18"/>
      <c r="R649" s="23">
        <v>0.0</v>
      </c>
      <c r="S649" s="23">
        <v>0.0</v>
      </c>
      <c r="T649" s="23">
        <f t="shared" si="3"/>
        <v>0</v>
      </c>
      <c r="U649" s="23">
        <f t="shared" si="4"/>
        <v>0</v>
      </c>
      <c r="V649" s="23">
        <f t="shared" si="5"/>
        <v>0</v>
      </c>
      <c r="W649" s="24" t="str">
        <f t="shared" si="6"/>
        <v>#DIV/0!</v>
      </c>
    </row>
    <row r="650">
      <c r="A650" s="15" t="s">
        <v>2076</v>
      </c>
      <c r="B650" s="18"/>
      <c r="C650" s="15" t="s">
        <v>7055</v>
      </c>
      <c r="D650" s="18"/>
      <c r="E650" s="17" t="s">
        <v>2077</v>
      </c>
      <c r="F650" s="18"/>
      <c r="G650" s="18"/>
      <c r="H650" s="15" t="s">
        <v>2078</v>
      </c>
      <c r="I650" s="15" t="s">
        <v>2079</v>
      </c>
      <c r="J650" s="19" t="s">
        <v>36</v>
      </c>
      <c r="K650" s="19" t="s">
        <v>402</v>
      </c>
      <c r="L650" s="19" t="s">
        <v>38</v>
      </c>
      <c r="M650" s="20">
        <f t="shared" si="2"/>
        <v>0</v>
      </c>
      <c r="N650" s="22"/>
      <c r="O650" s="19" t="s">
        <v>1145</v>
      </c>
      <c r="P650" s="18"/>
      <c r="Q650" s="18"/>
      <c r="R650" s="23">
        <v>0.0</v>
      </c>
      <c r="S650" s="23">
        <v>0.0</v>
      </c>
      <c r="T650" s="23">
        <f t="shared" si="3"/>
        <v>0</v>
      </c>
      <c r="U650" s="23">
        <f t="shared" si="4"/>
        <v>0</v>
      </c>
      <c r="V650" s="23">
        <f t="shared" si="5"/>
        <v>0</v>
      </c>
      <c r="W650" s="24" t="str">
        <f t="shared" si="6"/>
        <v>#DIV/0!</v>
      </c>
    </row>
    <row r="651">
      <c r="A651" s="15" t="s">
        <v>2080</v>
      </c>
      <c r="B651" s="18"/>
      <c r="C651" s="15" t="s">
        <v>7056</v>
      </c>
      <c r="D651" s="18"/>
      <c r="E651" s="17" t="s">
        <v>2081</v>
      </c>
      <c r="F651" s="18"/>
      <c r="G651" s="18"/>
      <c r="H651" s="15" t="s">
        <v>2082</v>
      </c>
      <c r="I651" s="15" t="s">
        <v>2083</v>
      </c>
      <c r="J651" s="19" t="s">
        <v>36</v>
      </c>
      <c r="K651" s="19" t="s">
        <v>105</v>
      </c>
      <c r="L651" s="19" t="s">
        <v>38</v>
      </c>
      <c r="M651" s="20">
        <f t="shared" si="2"/>
        <v>0</v>
      </c>
      <c r="N651" s="22"/>
      <c r="O651" s="19" t="s">
        <v>1145</v>
      </c>
      <c r="P651" s="18"/>
      <c r="Q651" s="18"/>
      <c r="R651" s="23">
        <v>0.0</v>
      </c>
      <c r="S651" s="23">
        <v>0.0</v>
      </c>
      <c r="T651" s="23">
        <f t="shared" si="3"/>
        <v>0</v>
      </c>
      <c r="U651" s="23">
        <f t="shared" si="4"/>
        <v>0</v>
      </c>
      <c r="V651" s="23">
        <f t="shared" si="5"/>
        <v>0</v>
      </c>
      <c r="W651" s="24" t="str">
        <f t="shared" si="6"/>
        <v>#DIV/0!</v>
      </c>
    </row>
    <row r="652">
      <c r="A652" s="15" t="s">
        <v>2084</v>
      </c>
      <c r="B652" s="18"/>
      <c r="C652" s="15" t="s">
        <v>7057</v>
      </c>
      <c r="D652" s="18"/>
      <c r="E652" s="17" t="s">
        <v>2085</v>
      </c>
      <c r="F652" s="18"/>
      <c r="G652" s="18"/>
      <c r="H652" s="15" t="s">
        <v>2086</v>
      </c>
      <c r="I652" s="15" t="s">
        <v>2087</v>
      </c>
      <c r="J652" s="19" t="s">
        <v>36</v>
      </c>
      <c r="K652" s="19" t="s">
        <v>284</v>
      </c>
      <c r="L652" s="19" t="s">
        <v>38</v>
      </c>
      <c r="M652" s="20">
        <f t="shared" si="2"/>
        <v>0</v>
      </c>
      <c r="N652" s="22"/>
      <c r="O652" s="19" t="s">
        <v>1145</v>
      </c>
      <c r="P652" s="18"/>
      <c r="Q652" s="18"/>
      <c r="R652" s="23">
        <v>0.0</v>
      </c>
      <c r="S652" s="23">
        <v>0.0</v>
      </c>
      <c r="T652" s="23">
        <f t="shared" si="3"/>
        <v>0</v>
      </c>
      <c r="U652" s="23">
        <f t="shared" si="4"/>
        <v>0</v>
      </c>
      <c r="V652" s="23">
        <f t="shared" si="5"/>
        <v>0</v>
      </c>
      <c r="W652" s="24" t="str">
        <f t="shared" si="6"/>
        <v>#DIV/0!</v>
      </c>
    </row>
    <row r="653">
      <c r="A653" s="15" t="s">
        <v>4753</v>
      </c>
      <c r="B653" s="18"/>
      <c r="C653" s="15" t="s">
        <v>7058</v>
      </c>
      <c r="D653" s="18"/>
      <c r="E653" s="17" t="s">
        <v>7059</v>
      </c>
      <c r="F653" s="18"/>
      <c r="G653" s="18"/>
      <c r="H653" s="15" t="s">
        <v>4757</v>
      </c>
      <c r="I653" s="15" t="s">
        <v>7060</v>
      </c>
      <c r="J653" s="19" t="s">
        <v>36</v>
      </c>
      <c r="K653" s="19" t="s">
        <v>105</v>
      </c>
      <c r="L653" s="19" t="s">
        <v>38</v>
      </c>
      <c r="M653" s="20">
        <f t="shared" si="2"/>
        <v>0</v>
      </c>
      <c r="N653" s="22"/>
      <c r="O653" s="19" t="s">
        <v>1145</v>
      </c>
      <c r="P653" s="18"/>
      <c r="Q653" s="18"/>
      <c r="R653" s="23">
        <v>0.0</v>
      </c>
      <c r="S653" s="23">
        <v>0.0</v>
      </c>
      <c r="T653" s="23">
        <f t="shared" si="3"/>
        <v>0</v>
      </c>
      <c r="U653" s="23">
        <f t="shared" si="4"/>
        <v>0</v>
      </c>
      <c r="V653" s="23">
        <f t="shared" si="5"/>
        <v>0</v>
      </c>
      <c r="W653" s="24" t="str">
        <f t="shared" si="6"/>
        <v>#DIV/0!</v>
      </c>
    </row>
    <row r="654">
      <c r="A654" s="15" t="s">
        <v>4758</v>
      </c>
      <c r="B654" s="18"/>
      <c r="C654" s="15" t="s">
        <v>7061</v>
      </c>
      <c r="D654" s="18"/>
      <c r="E654" s="17" t="s">
        <v>7062</v>
      </c>
      <c r="F654" s="18"/>
      <c r="G654" s="18"/>
      <c r="H654" s="15" t="s">
        <v>4762</v>
      </c>
      <c r="I654" s="15" t="s">
        <v>4761</v>
      </c>
      <c r="J654" s="19" t="s">
        <v>36</v>
      </c>
      <c r="K654" s="19" t="s">
        <v>105</v>
      </c>
      <c r="L654" s="19" t="s">
        <v>38</v>
      </c>
      <c r="M654" s="20">
        <f t="shared" si="2"/>
        <v>0</v>
      </c>
      <c r="N654" s="22"/>
      <c r="O654" s="19" t="s">
        <v>1145</v>
      </c>
      <c r="P654" s="18"/>
      <c r="Q654" s="18"/>
      <c r="R654" s="23">
        <v>0.0</v>
      </c>
      <c r="S654" s="23">
        <v>0.0</v>
      </c>
      <c r="T654" s="23">
        <f t="shared" si="3"/>
        <v>0</v>
      </c>
      <c r="U654" s="23">
        <f t="shared" si="4"/>
        <v>0</v>
      </c>
      <c r="V654" s="23">
        <f t="shared" si="5"/>
        <v>0</v>
      </c>
      <c r="W654" s="24" t="str">
        <f t="shared" si="6"/>
        <v>#DIV/0!</v>
      </c>
    </row>
    <row r="655">
      <c r="A655" s="15" t="s">
        <v>4763</v>
      </c>
      <c r="B655" s="18"/>
      <c r="C655" s="15" t="s">
        <v>7063</v>
      </c>
      <c r="D655" s="18"/>
      <c r="E655" s="17" t="s">
        <v>7064</v>
      </c>
      <c r="F655" s="18"/>
      <c r="G655" s="18"/>
      <c r="H655" s="15" t="s">
        <v>4767</v>
      </c>
      <c r="I655" s="15" t="s">
        <v>4766</v>
      </c>
      <c r="J655" s="19" t="s">
        <v>36</v>
      </c>
      <c r="K655" s="19" t="s">
        <v>105</v>
      </c>
      <c r="L655" s="19" t="s">
        <v>38</v>
      </c>
      <c r="M655" s="20">
        <f t="shared" si="2"/>
        <v>0</v>
      </c>
      <c r="N655" s="22"/>
      <c r="O655" s="19" t="s">
        <v>1145</v>
      </c>
      <c r="P655" s="18"/>
      <c r="Q655" s="18"/>
      <c r="R655" s="23">
        <v>0.0</v>
      </c>
      <c r="S655" s="23">
        <v>0.0</v>
      </c>
      <c r="T655" s="23">
        <f t="shared" si="3"/>
        <v>0</v>
      </c>
      <c r="U655" s="23">
        <f t="shared" si="4"/>
        <v>0</v>
      </c>
      <c r="V655" s="23">
        <f t="shared" si="5"/>
        <v>0</v>
      </c>
      <c r="W655" s="24" t="str">
        <f t="shared" si="6"/>
        <v>#DIV/0!</v>
      </c>
    </row>
    <row r="656">
      <c r="A656" s="15" t="s">
        <v>4768</v>
      </c>
      <c r="B656" s="18"/>
      <c r="C656" s="15" t="s">
        <v>7065</v>
      </c>
      <c r="D656" s="18"/>
      <c r="E656" s="17" t="s">
        <v>7066</v>
      </c>
      <c r="F656" s="18"/>
      <c r="G656" s="18"/>
      <c r="H656" s="15" t="s">
        <v>4772</v>
      </c>
      <c r="I656" s="15" t="s">
        <v>4771</v>
      </c>
      <c r="J656" s="19" t="s">
        <v>36</v>
      </c>
      <c r="K656" s="19" t="s">
        <v>105</v>
      </c>
      <c r="L656" s="19" t="s">
        <v>38</v>
      </c>
      <c r="M656" s="20">
        <f t="shared" si="2"/>
        <v>0</v>
      </c>
      <c r="N656" s="22"/>
      <c r="O656" s="19" t="s">
        <v>1145</v>
      </c>
      <c r="P656" s="18"/>
      <c r="Q656" s="18"/>
      <c r="R656" s="23">
        <v>0.0</v>
      </c>
      <c r="S656" s="23">
        <v>0.0</v>
      </c>
      <c r="T656" s="23">
        <f t="shared" si="3"/>
        <v>0</v>
      </c>
      <c r="U656" s="23">
        <f t="shared" si="4"/>
        <v>0</v>
      </c>
      <c r="V656" s="23">
        <f t="shared" si="5"/>
        <v>0</v>
      </c>
      <c r="W656" s="24" t="str">
        <f t="shared" si="6"/>
        <v>#DIV/0!</v>
      </c>
    </row>
    <row r="657">
      <c r="A657" s="15" t="s">
        <v>4773</v>
      </c>
      <c r="B657" s="18"/>
      <c r="C657" s="15" t="s">
        <v>7067</v>
      </c>
      <c r="D657" s="18"/>
      <c r="E657" s="17" t="s">
        <v>7068</v>
      </c>
      <c r="F657" s="18"/>
      <c r="G657" s="18"/>
      <c r="H657" s="15" t="s">
        <v>4777</v>
      </c>
      <c r="I657" s="15" t="s">
        <v>4776</v>
      </c>
      <c r="J657" s="19" t="s">
        <v>36</v>
      </c>
      <c r="K657" s="19" t="s">
        <v>105</v>
      </c>
      <c r="L657" s="19" t="s">
        <v>38</v>
      </c>
      <c r="M657" s="20">
        <f t="shared" si="2"/>
        <v>0</v>
      </c>
      <c r="N657" s="22"/>
      <c r="O657" s="19" t="s">
        <v>1145</v>
      </c>
      <c r="P657" s="18"/>
      <c r="Q657" s="18"/>
      <c r="R657" s="23">
        <v>0.0</v>
      </c>
      <c r="S657" s="23">
        <v>0.0</v>
      </c>
      <c r="T657" s="23">
        <f t="shared" si="3"/>
        <v>0</v>
      </c>
      <c r="U657" s="23">
        <f t="shared" si="4"/>
        <v>0</v>
      </c>
      <c r="V657" s="23">
        <f t="shared" si="5"/>
        <v>0</v>
      </c>
      <c r="W657" s="24" t="str">
        <f t="shared" si="6"/>
        <v>#DIV/0!</v>
      </c>
    </row>
    <row r="658">
      <c r="A658" s="15" t="s">
        <v>7069</v>
      </c>
      <c r="B658" s="18"/>
      <c r="C658" s="15" t="s">
        <v>7070</v>
      </c>
      <c r="D658" s="18"/>
      <c r="E658" s="17" t="s">
        <v>7071</v>
      </c>
      <c r="F658" s="18"/>
      <c r="G658" s="18"/>
      <c r="H658" s="15" t="s">
        <v>7072</v>
      </c>
      <c r="I658" s="15" t="s">
        <v>4235</v>
      </c>
      <c r="J658" s="19" t="s">
        <v>36</v>
      </c>
      <c r="K658" s="19" t="s">
        <v>105</v>
      </c>
      <c r="L658" s="19" t="s">
        <v>38</v>
      </c>
      <c r="M658" s="20">
        <f t="shared" si="2"/>
        <v>0</v>
      </c>
      <c r="N658" s="22"/>
      <c r="O658" s="19" t="s">
        <v>39</v>
      </c>
      <c r="P658" s="18"/>
      <c r="Q658" s="18"/>
      <c r="R658" s="23">
        <v>0.0</v>
      </c>
      <c r="S658" s="23">
        <v>0.0</v>
      </c>
      <c r="T658" s="23">
        <f t="shared" si="3"/>
        <v>0</v>
      </c>
      <c r="U658" s="23">
        <f t="shared" si="4"/>
        <v>0</v>
      </c>
      <c r="V658" s="23">
        <f t="shared" si="5"/>
        <v>0</v>
      </c>
      <c r="W658" s="24" t="str">
        <f t="shared" si="6"/>
        <v>#DIV/0!</v>
      </c>
    </row>
    <row r="659">
      <c r="A659" s="15" t="s">
        <v>4778</v>
      </c>
      <c r="B659" s="18"/>
      <c r="C659" s="15" t="s">
        <v>7073</v>
      </c>
      <c r="D659" s="18"/>
      <c r="E659" s="17" t="s">
        <v>7074</v>
      </c>
      <c r="F659" s="18"/>
      <c r="G659" s="18"/>
      <c r="H659" s="15" t="s">
        <v>7075</v>
      </c>
      <c r="I659" s="15" t="s">
        <v>7076</v>
      </c>
      <c r="J659" s="19" t="s">
        <v>36</v>
      </c>
      <c r="K659" s="19" t="s">
        <v>105</v>
      </c>
      <c r="L659" s="19" t="s">
        <v>38</v>
      </c>
      <c r="M659" s="20">
        <f t="shared" si="2"/>
        <v>0</v>
      </c>
      <c r="N659" s="22"/>
      <c r="O659" s="19" t="s">
        <v>1145</v>
      </c>
      <c r="P659" s="18"/>
      <c r="Q659" s="18"/>
      <c r="R659" s="23">
        <v>0.0</v>
      </c>
      <c r="S659" s="23">
        <v>0.0</v>
      </c>
      <c r="T659" s="23">
        <f t="shared" si="3"/>
        <v>0</v>
      </c>
      <c r="U659" s="23">
        <f t="shared" si="4"/>
        <v>0</v>
      </c>
      <c r="V659" s="23">
        <f t="shared" si="5"/>
        <v>0</v>
      </c>
      <c r="W659" s="24" t="str">
        <f t="shared" si="6"/>
        <v>#DIV/0!</v>
      </c>
    </row>
    <row r="660">
      <c r="A660" s="15" t="s">
        <v>4782</v>
      </c>
      <c r="B660" s="18"/>
      <c r="C660" s="15" t="s">
        <v>7077</v>
      </c>
      <c r="D660" s="18"/>
      <c r="E660" s="17" t="s">
        <v>7078</v>
      </c>
      <c r="F660" s="18"/>
      <c r="G660" s="18"/>
      <c r="H660" s="15" t="s">
        <v>4786</v>
      </c>
      <c r="I660" s="15" t="s">
        <v>4785</v>
      </c>
      <c r="J660" s="19" t="s">
        <v>36</v>
      </c>
      <c r="K660" s="19" t="s">
        <v>105</v>
      </c>
      <c r="L660" s="19" t="s">
        <v>38</v>
      </c>
      <c r="M660" s="20">
        <f t="shared" si="2"/>
        <v>0</v>
      </c>
      <c r="N660" s="22"/>
      <c r="O660" s="19" t="s">
        <v>1145</v>
      </c>
      <c r="P660" s="18"/>
      <c r="Q660" s="18"/>
      <c r="R660" s="23">
        <v>0.0</v>
      </c>
      <c r="S660" s="23">
        <v>0.0</v>
      </c>
      <c r="T660" s="23">
        <f t="shared" si="3"/>
        <v>0</v>
      </c>
      <c r="U660" s="23">
        <f t="shared" si="4"/>
        <v>0</v>
      </c>
      <c r="V660" s="23">
        <f t="shared" si="5"/>
        <v>0</v>
      </c>
      <c r="W660" s="24" t="str">
        <f t="shared" si="6"/>
        <v>#DIV/0!</v>
      </c>
    </row>
    <row r="661">
      <c r="A661" s="15" t="s">
        <v>2088</v>
      </c>
      <c r="B661" s="18"/>
      <c r="C661" s="15" t="s">
        <v>7079</v>
      </c>
      <c r="D661" s="18"/>
      <c r="E661" s="17" t="s">
        <v>2089</v>
      </c>
      <c r="F661" s="18"/>
      <c r="G661" s="18"/>
      <c r="H661" s="15" t="s">
        <v>2090</v>
      </c>
      <c r="I661" s="15" t="s">
        <v>2091</v>
      </c>
      <c r="J661" s="19" t="s">
        <v>36</v>
      </c>
      <c r="K661" s="19" t="s">
        <v>105</v>
      </c>
      <c r="L661" s="19" t="s">
        <v>38</v>
      </c>
      <c r="M661" s="20">
        <f t="shared" si="2"/>
        <v>0</v>
      </c>
      <c r="N661" s="22"/>
      <c r="O661" s="19" t="s">
        <v>1145</v>
      </c>
      <c r="P661" s="18"/>
      <c r="Q661" s="18"/>
      <c r="R661" s="23">
        <v>0.0</v>
      </c>
      <c r="S661" s="23">
        <v>0.0</v>
      </c>
      <c r="T661" s="23">
        <f t="shared" si="3"/>
        <v>0</v>
      </c>
      <c r="U661" s="23">
        <f t="shared" si="4"/>
        <v>0</v>
      </c>
      <c r="V661" s="23">
        <f t="shared" si="5"/>
        <v>0</v>
      </c>
      <c r="W661" s="24" t="str">
        <f t="shared" si="6"/>
        <v>#DIV/0!</v>
      </c>
    </row>
    <row r="662">
      <c r="A662" s="15" t="s">
        <v>2092</v>
      </c>
      <c r="B662" s="18"/>
      <c r="C662" s="15" t="s">
        <v>7080</v>
      </c>
      <c r="D662" s="18"/>
      <c r="E662" s="17" t="s">
        <v>2093</v>
      </c>
      <c r="F662" s="18"/>
      <c r="G662" s="18"/>
      <c r="H662" s="15" t="s">
        <v>2094</v>
      </c>
      <c r="I662" s="15" t="s">
        <v>2095</v>
      </c>
      <c r="J662" s="19" t="s">
        <v>36</v>
      </c>
      <c r="K662" s="19" t="s">
        <v>105</v>
      </c>
      <c r="L662" s="19" t="s">
        <v>38</v>
      </c>
      <c r="M662" s="20">
        <f t="shared" si="2"/>
        <v>0</v>
      </c>
      <c r="N662" s="22"/>
      <c r="O662" s="19" t="s">
        <v>1145</v>
      </c>
      <c r="P662" s="18"/>
      <c r="Q662" s="18"/>
      <c r="R662" s="23">
        <v>0.0</v>
      </c>
      <c r="S662" s="23">
        <v>0.0</v>
      </c>
      <c r="T662" s="23">
        <f t="shared" si="3"/>
        <v>0</v>
      </c>
      <c r="U662" s="23">
        <f t="shared" si="4"/>
        <v>0</v>
      </c>
      <c r="V662" s="23">
        <f t="shared" si="5"/>
        <v>0</v>
      </c>
      <c r="W662" s="24" t="str">
        <f t="shared" si="6"/>
        <v>#DIV/0!</v>
      </c>
    </row>
    <row r="663">
      <c r="A663" s="15" t="s">
        <v>2096</v>
      </c>
      <c r="B663" s="18"/>
      <c r="C663" s="15" t="s">
        <v>7081</v>
      </c>
      <c r="D663" s="18"/>
      <c r="E663" s="17" t="s">
        <v>2097</v>
      </c>
      <c r="F663" s="18"/>
      <c r="G663" s="18"/>
      <c r="H663" s="15" t="s">
        <v>2098</v>
      </c>
      <c r="I663" s="15" t="s">
        <v>2099</v>
      </c>
      <c r="J663" s="19" t="s">
        <v>36</v>
      </c>
      <c r="K663" s="19" t="s">
        <v>105</v>
      </c>
      <c r="L663" s="19" t="s">
        <v>38</v>
      </c>
      <c r="M663" s="20">
        <f t="shared" si="2"/>
        <v>0</v>
      </c>
      <c r="N663" s="22"/>
      <c r="O663" s="19" t="s">
        <v>1145</v>
      </c>
      <c r="P663" s="18"/>
      <c r="Q663" s="18"/>
      <c r="R663" s="23">
        <v>0.0</v>
      </c>
      <c r="S663" s="23">
        <v>0.0</v>
      </c>
      <c r="T663" s="23">
        <f t="shared" si="3"/>
        <v>0</v>
      </c>
      <c r="U663" s="23">
        <f t="shared" si="4"/>
        <v>0</v>
      </c>
      <c r="V663" s="23">
        <f t="shared" si="5"/>
        <v>0</v>
      </c>
      <c r="W663" s="24" t="str">
        <f t="shared" si="6"/>
        <v>#DIV/0!</v>
      </c>
    </row>
    <row r="664">
      <c r="A664" s="15" t="s">
        <v>2100</v>
      </c>
      <c r="B664" s="18"/>
      <c r="C664" s="15" t="s">
        <v>7082</v>
      </c>
      <c r="D664" s="18"/>
      <c r="E664" s="17" t="s">
        <v>2101</v>
      </c>
      <c r="F664" s="18"/>
      <c r="G664" s="18"/>
      <c r="H664" s="15" t="s">
        <v>2102</v>
      </c>
      <c r="I664" s="15" t="s">
        <v>2103</v>
      </c>
      <c r="J664" s="19" t="s">
        <v>36</v>
      </c>
      <c r="K664" s="19" t="s">
        <v>105</v>
      </c>
      <c r="L664" s="19" t="s">
        <v>38</v>
      </c>
      <c r="M664" s="20">
        <f t="shared" si="2"/>
        <v>0</v>
      </c>
      <c r="N664" s="22"/>
      <c r="O664" s="19" t="s">
        <v>1145</v>
      </c>
      <c r="P664" s="18"/>
      <c r="Q664" s="18"/>
      <c r="R664" s="23">
        <v>0.0</v>
      </c>
      <c r="S664" s="23">
        <v>0.0</v>
      </c>
      <c r="T664" s="23">
        <f t="shared" si="3"/>
        <v>0</v>
      </c>
      <c r="U664" s="23">
        <f t="shared" si="4"/>
        <v>0</v>
      </c>
      <c r="V664" s="23">
        <f t="shared" si="5"/>
        <v>0</v>
      </c>
      <c r="W664" s="24" t="str">
        <f t="shared" si="6"/>
        <v>#DIV/0!</v>
      </c>
    </row>
    <row r="665">
      <c r="A665" s="15" t="s">
        <v>2104</v>
      </c>
      <c r="B665" s="18"/>
      <c r="C665" s="15" t="s">
        <v>7083</v>
      </c>
      <c r="D665" s="18"/>
      <c r="E665" s="17" t="s">
        <v>2105</v>
      </c>
      <c r="F665" s="18"/>
      <c r="G665" s="18"/>
      <c r="H665" s="15" t="s">
        <v>2106</v>
      </c>
      <c r="I665" s="15" t="s">
        <v>2107</v>
      </c>
      <c r="J665" s="19" t="s">
        <v>36</v>
      </c>
      <c r="K665" s="19" t="s">
        <v>105</v>
      </c>
      <c r="L665" s="19" t="s">
        <v>38</v>
      </c>
      <c r="M665" s="20">
        <f t="shared" si="2"/>
        <v>0</v>
      </c>
      <c r="N665" s="22"/>
      <c r="O665" s="19" t="s">
        <v>1145</v>
      </c>
      <c r="P665" s="18"/>
      <c r="Q665" s="18"/>
      <c r="R665" s="23">
        <v>0.0</v>
      </c>
      <c r="S665" s="23">
        <v>0.0</v>
      </c>
      <c r="T665" s="23">
        <f t="shared" si="3"/>
        <v>0</v>
      </c>
      <c r="U665" s="23">
        <f t="shared" si="4"/>
        <v>0</v>
      </c>
      <c r="V665" s="23">
        <f t="shared" si="5"/>
        <v>0</v>
      </c>
      <c r="W665" s="24" t="str">
        <f t="shared" si="6"/>
        <v>#DIV/0!</v>
      </c>
    </row>
    <row r="666">
      <c r="A666" s="15" t="s">
        <v>7084</v>
      </c>
      <c r="B666" s="18"/>
      <c r="C666" s="15" t="s">
        <v>7085</v>
      </c>
      <c r="D666" s="18"/>
      <c r="E666" s="17" t="s">
        <v>7086</v>
      </c>
      <c r="F666" s="18"/>
      <c r="G666" s="18"/>
      <c r="H666" s="15" t="s">
        <v>7087</v>
      </c>
      <c r="I666" s="15" t="s">
        <v>7088</v>
      </c>
      <c r="J666" s="19" t="s">
        <v>36</v>
      </c>
      <c r="K666" s="19" t="s">
        <v>105</v>
      </c>
      <c r="L666" s="19" t="s">
        <v>38</v>
      </c>
      <c r="M666" s="20">
        <f t="shared" si="2"/>
        <v>0</v>
      </c>
      <c r="N666" s="22"/>
      <c r="O666" s="19" t="s">
        <v>1145</v>
      </c>
      <c r="P666" s="18"/>
      <c r="Q666" s="18"/>
      <c r="R666" s="23">
        <v>0.0</v>
      </c>
      <c r="S666" s="23">
        <v>0.0</v>
      </c>
      <c r="T666" s="23">
        <f t="shared" si="3"/>
        <v>0</v>
      </c>
      <c r="U666" s="23">
        <f t="shared" si="4"/>
        <v>0</v>
      </c>
      <c r="V666" s="23">
        <f t="shared" si="5"/>
        <v>0</v>
      </c>
      <c r="W666" s="24" t="str">
        <f t="shared" si="6"/>
        <v>#DIV/0!</v>
      </c>
    </row>
    <row r="667">
      <c r="A667" s="15" t="s">
        <v>2108</v>
      </c>
      <c r="B667" s="18"/>
      <c r="C667" s="15" t="s">
        <v>7089</v>
      </c>
      <c r="D667" s="18"/>
      <c r="E667" s="17" t="s">
        <v>2109</v>
      </c>
      <c r="F667" s="18"/>
      <c r="G667" s="18"/>
      <c r="H667" s="15" t="s">
        <v>2110</v>
      </c>
      <c r="I667" s="15" t="s">
        <v>2111</v>
      </c>
      <c r="J667" s="19" t="s">
        <v>36</v>
      </c>
      <c r="K667" s="19" t="s">
        <v>105</v>
      </c>
      <c r="L667" s="19" t="s">
        <v>38</v>
      </c>
      <c r="M667" s="20">
        <f t="shared" si="2"/>
        <v>0</v>
      </c>
      <c r="N667" s="22"/>
      <c r="O667" s="19" t="s">
        <v>1145</v>
      </c>
      <c r="P667" s="18"/>
      <c r="Q667" s="18"/>
      <c r="R667" s="23">
        <v>0.0</v>
      </c>
      <c r="S667" s="23">
        <v>0.0</v>
      </c>
      <c r="T667" s="23">
        <f t="shared" si="3"/>
        <v>0</v>
      </c>
      <c r="U667" s="23">
        <f t="shared" si="4"/>
        <v>0</v>
      </c>
      <c r="V667" s="23">
        <f t="shared" si="5"/>
        <v>0</v>
      </c>
      <c r="W667" s="24" t="str">
        <f t="shared" si="6"/>
        <v>#DIV/0!</v>
      </c>
    </row>
    <row r="668">
      <c r="A668" s="15" t="s">
        <v>2112</v>
      </c>
      <c r="B668" s="18"/>
      <c r="C668" s="15" t="s">
        <v>7090</v>
      </c>
      <c r="D668" s="18"/>
      <c r="E668" s="17" t="s">
        <v>2113</v>
      </c>
      <c r="F668" s="18"/>
      <c r="G668" s="18"/>
      <c r="H668" s="15" t="s">
        <v>2114</v>
      </c>
      <c r="I668" s="15" t="s">
        <v>2115</v>
      </c>
      <c r="J668" s="19" t="s">
        <v>36</v>
      </c>
      <c r="K668" s="19" t="s">
        <v>105</v>
      </c>
      <c r="L668" s="19" t="s">
        <v>38</v>
      </c>
      <c r="M668" s="20">
        <f t="shared" si="2"/>
        <v>0</v>
      </c>
      <c r="N668" s="22"/>
      <c r="O668" s="19" t="s">
        <v>1145</v>
      </c>
      <c r="P668" s="18"/>
      <c r="Q668" s="18"/>
      <c r="R668" s="23">
        <v>0.0</v>
      </c>
      <c r="S668" s="23">
        <v>0.0</v>
      </c>
      <c r="T668" s="23">
        <f t="shared" si="3"/>
        <v>0</v>
      </c>
      <c r="U668" s="23">
        <f t="shared" si="4"/>
        <v>0</v>
      </c>
      <c r="V668" s="23">
        <f t="shared" si="5"/>
        <v>0</v>
      </c>
      <c r="W668" s="24" t="str">
        <f t="shared" si="6"/>
        <v>#DIV/0!</v>
      </c>
    </row>
    <row r="669">
      <c r="A669" s="15" t="s">
        <v>2116</v>
      </c>
      <c r="B669" s="18"/>
      <c r="C669" s="15" t="s">
        <v>7091</v>
      </c>
      <c r="D669" s="18"/>
      <c r="E669" s="17" t="s">
        <v>2117</v>
      </c>
      <c r="F669" s="18"/>
      <c r="G669" s="18"/>
      <c r="H669" s="15" t="s">
        <v>2118</v>
      </c>
      <c r="I669" s="15" t="s">
        <v>2119</v>
      </c>
      <c r="J669" s="19" t="s">
        <v>36</v>
      </c>
      <c r="K669" s="19" t="s">
        <v>105</v>
      </c>
      <c r="L669" s="19" t="s">
        <v>38</v>
      </c>
      <c r="M669" s="20">
        <f t="shared" si="2"/>
        <v>0</v>
      </c>
      <c r="N669" s="22"/>
      <c r="O669" s="19" t="s">
        <v>1145</v>
      </c>
      <c r="P669" s="18"/>
      <c r="Q669" s="18"/>
      <c r="R669" s="23">
        <v>0.0</v>
      </c>
      <c r="S669" s="23">
        <v>0.0</v>
      </c>
      <c r="T669" s="23">
        <f t="shared" si="3"/>
        <v>0</v>
      </c>
      <c r="U669" s="23">
        <f t="shared" si="4"/>
        <v>0</v>
      </c>
      <c r="V669" s="23">
        <f t="shared" si="5"/>
        <v>0</v>
      </c>
      <c r="W669" s="24" t="str">
        <f t="shared" si="6"/>
        <v>#DIV/0!</v>
      </c>
    </row>
    <row r="670">
      <c r="A670" s="15" t="s">
        <v>2120</v>
      </c>
      <c r="B670" s="18"/>
      <c r="C670" s="15" t="s">
        <v>7092</v>
      </c>
      <c r="D670" s="18"/>
      <c r="E670" s="17" t="s">
        <v>2121</v>
      </c>
      <c r="F670" s="18"/>
      <c r="G670" s="18"/>
      <c r="H670" s="15" t="s">
        <v>2122</v>
      </c>
      <c r="I670" s="15" t="s">
        <v>2123</v>
      </c>
      <c r="J670" s="19" t="s">
        <v>36</v>
      </c>
      <c r="K670" s="19" t="s">
        <v>105</v>
      </c>
      <c r="L670" s="19" t="s">
        <v>38</v>
      </c>
      <c r="M670" s="20">
        <f t="shared" si="2"/>
        <v>0</v>
      </c>
      <c r="N670" s="22"/>
      <c r="O670" s="19" t="s">
        <v>1145</v>
      </c>
      <c r="P670" s="18"/>
      <c r="Q670" s="18"/>
      <c r="R670" s="23">
        <v>0.0</v>
      </c>
      <c r="S670" s="23">
        <v>0.0</v>
      </c>
      <c r="T670" s="23">
        <f t="shared" si="3"/>
        <v>0</v>
      </c>
      <c r="U670" s="23">
        <f t="shared" si="4"/>
        <v>0</v>
      </c>
      <c r="V670" s="23">
        <f t="shared" si="5"/>
        <v>0</v>
      </c>
      <c r="W670" s="24" t="str">
        <f t="shared" si="6"/>
        <v>#DIV/0!</v>
      </c>
    </row>
    <row r="671">
      <c r="A671" s="15" t="s">
        <v>2124</v>
      </c>
      <c r="B671" s="18"/>
      <c r="C671" s="15" t="s">
        <v>7093</v>
      </c>
      <c r="D671" s="18"/>
      <c r="E671" s="17" t="s">
        <v>2125</v>
      </c>
      <c r="F671" s="18"/>
      <c r="G671" s="18"/>
      <c r="H671" s="15" t="s">
        <v>2126</v>
      </c>
      <c r="I671" s="15" t="s">
        <v>2127</v>
      </c>
      <c r="J671" s="19" t="s">
        <v>36</v>
      </c>
      <c r="K671" s="19" t="s">
        <v>105</v>
      </c>
      <c r="L671" s="19" t="s">
        <v>38</v>
      </c>
      <c r="M671" s="20">
        <f t="shared" si="2"/>
        <v>0</v>
      </c>
      <c r="N671" s="22"/>
      <c r="O671" s="19" t="s">
        <v>1145</v>
      </c>
      <c r="P671" s="18"/>
      <c r="Q671" s="18"/>
      <c r="R671" s="23">
        <v>0.0</v>
      </c>
      <c r="S671" s="23">
        <v>0.0</v>
      </c>
      <c r="T671" s="23">
        <f t="shared" si="3"/>
        <v>0</v>
      </c>
      <c r="U671" s="23">
        <f t="shared" si="4"/>
        <v>0</v>
      </c>
      <c r="V671" s="23">
        <f t="shared" si="5"/>
        <v>0</v>
      </c>
      <c r="W671" s="24" t="str">
        <f t="shared" si="6"/>
        <v>#DIV/0!</v>
      </c>
    </row>
    <row r="672">
      <c r="A672" s="15" t="s">
        <v>2128</v>
      </c>
      <c r="B672" s="18"/>
      <c r="C672" s="15" t="s">
        <v>7094</v>
      </c>
      <c r="D672" s="18"/>
      <c r="E672" s="17" t="s">
        <v>482</v>
      </c>
      <c r="F672" s="18"/>
      <c r="G672" s="18"/>
      <c r="H672" s="15" t="s">
        <v>2129</v>
      </c>
      <c r="I672" s="15" t="s">
        <v>2130</v>
      </c>
      <c r="J672" s="19" t="s">
        <v>36</v>
      </c>
      <c r="K672" s="19" t="s">
        <v>105</v>
      </c>
      <c r="L672" s="19" t="s">
        <v>38</v>
      </c>
      <c r="M672" s="20">
        <f t="shared" si="2"/>
        <v>0</v>
      </c>
      <c r="N672" s="22"/>
      <c r="O672" s="19" t="s">
        <v>1145</v>
      </c>
      <c r="P672" s="18"/>
      <c r="Q672" s="18"/>
      <c r="R672" s="23">
        <v>0.0</v>
      </c>
      <c r="S672" s="23">
        <v>0.0</v>
      </c>
      <c r="T672" s="23">
        <f t="shared" si="3"/>
        <v>0</v>
      </c>
      <c r="U672" s="23">
        <f t="shared" si="4"/>
        <v>0</v>
      </c>
      <c r="V672" s="23">
        <f t="shared" si="5"/>
        <v>0</v>
      </c>
      <c r="W672" s="24" t="str">
        <f t="shared" si="6"/>
        <v>#DIV/0!</v>
      </c>
    </row>
    <row r="673">
      <c r="A673" s="15" t="s">
        <v>2131</v>
      </c>
      <c r="B673" s="18"/>
      <c r="C673" s="15" t="s">
        <v>7095</v>
      </c>
      <c r="D673" s="18"/>
      <c r="E673" s="17" t="s">
        <v>2132</v>
      </c>
      <c r="F673" s="18"/>
      <c r="G673" s="18"/>
      <c r="H673" s="15" t="s">
        <v>2133</v>
      </c>
      <c r="I673" s="15" t="s">
        <v>2134</v>
      </c>
      <c r="J673" s="19" t="s">
        <v>36</v>
      </c>
      <c r="K673" s="19" t="s">
        <v>105</v>
      </c>
      <c r="L673" s="19" t="s">
        <v>38</v>
      </c>
      <c r="M673" s="20">
        <f t="shared" si="2"/>
        <v>0</v>
      </c>
      <c r="N673" s="22"/>
      <c r="O673" s="19" t="s">
        <v>1145</v>
      </c>
      <c r="P673" s="18"/>
      <c r="Q673" s="18"/>
      <c r="R673" s="23">
        <v>0.0</v>
      </c>
      <c r="S673" s="23">
        <v>0.0</v>
      </c>
      <c r="T673" s="23">
        <f t="shared" si="3"/>
        <v>0</v>
      </c>
      <c r="U673" s="23">
        <f t="shared" si="4"/>
        <v>0</v>
      </c>
      <c r="V673" s="23">
        <f t="shared" si="5"/>
        <v>0</v>
      </c>
      <c r="W673" s="24" t="str">
        <f t="shared" si="6"/>
        <v>#DIV/0!</v>
      </c>
    </row>
    <row r="674">
      <c r="A674" s="15" t="s">
        <v>2135</v>
      </c>
      <c r="B674" s="18"/>
      <c r="C674" s="15" t="s">
        <v>7096</v>
      </c>
      <c r="D674" s="18"/>
      <c r="E674" s="17" t="s">
        <v>2136</v>
      </c>
      <c r="F674" s="18"/>
      <c r="G674" s="18"/>
      <c r="H674" s="15" t="s">
        <v>2137</v>
      </c>
      <c r="I674" s="15" t="s">
        <v>2138</v>
      </c>
      <c r="J674" s="19" t="s">
        <v>36</v>
      </c>
      <c r="K674" s="19" t="s">
        <v>402</v>
      </c>
      <c r="L674" s="19" t="s">
        <v>38</v>
      </c>
      <c r="M674" s="20">
        <f t="shared" si="2"/>
        <v>0</v>
      </c>
      <c r="N674" s="22"/>
      <c r="O674" s="19" t="s">
        <v>1145</v>
      </c>
      <c r="P674" s="18"/>
      <c r="Q674" s="18"/>
      <c r="R674" s="23">
        <v>0.0</v>
      </c>
      <c r="S674" s="23">
        <v>0.0</v>
      </c>
      <c r="T674" s="23">
        <f t="shared" si="3"/>
        <v>0</v>
      </c>
      <c r="U674" s="23">
        <f t="shared" si="4"/>
        <v>0</v>
      </c>
      <c r="V674" s="23">
        <f t="shared" si="5"/>
        <v>0</v>
      </c>
      <c r="W674" s="24" t="str">
        <f t="shared" si="6"/>
        <v>#DIV/0!</v>
      </c>
    </row>
    <row r="675">
      <c r="A675" s="15" t="s">
        <v>2139</v>
      </c>
      <c r="B675" s="18"/>
      <c r="C675" s="15" t="s">
        <v>7097</v>
      </c>
      <c r="D675" s="18"/>
      <c r="E675" s="17" t="s">
        <v>2140</v>
      </c>
      <c r="F675" s="18"/>
      <c r="G675" s="18"/>
      <c r="H675" s="15" t="s">
        <v>2141</v>
      </c>
      <c r="I675" s="15" t="s">
        <v>2142</v>
      </c>
      <c r="J675" s="19" t="s">
        <v>36</v>
      </c>
      <c r="K675" s="19" t="s">
        <v>402</v>
      </c>
      <c r="L675" s="19" t="s">
        <v>38</v>
      </c>
      <c r="M675" s="20">
        <f t="shared" si="2"/>
        <v>0</v>
      </c>
      <c r="N675" s="22"/>
      <c r="O675" s="19" t="s">
        <v>1145</v>
      </c>
      <c r="P675" s="18"/>
      <c r="Q675" s="18"/>
      <c r="R675" s="23">
        <v>0.0</v>
      </c>
      <c r="S675" s="23">
        <v>0.0</v>
      </c>
      <c r="T675" s="23">
        <f t="shared" si="3"/>
        <v>0</v>
      </c>
      <c r="U675" s="23">
        <f t="shared" si="4"/>
        <v>0</v>
      </c>
      <c r="V675" s="23">
        <f t="shared" si="5"/>
        <v>0</v>
      </c>
      <c r="W675" s="24" t="str">
        <f t="shared" si="6"/>
        <v>#DIV/0!</v>
      </c>
    </row>
    <row r="676">
      <c r="A676" s="15" t="s">
        <v>2143</v>
      </c>
      <c r="B676" s="18"/>
      <c r="C676" s="15" t="s">
        <v>7098</v>
      </c>
      <c r="D676" s="18"/>
      <c r="E676" s="17" t="s">
        <v>2144</v>
      </c>
      <c r="F676" s="18"/>
      <c r="G676" s="18"/>
      <c r="H676" s="15" t="s">
        <v>2145</v>
      </c>
      <c r="I676" s="15" t="s">
        <v>2146</v>
      </c>
      <c r="J676" s="19" t="s">
        <v>36</v>
      </c>
      <c r="K676" s="19" t="s">
        <v>37</v>
      </c>
      <c r="L676" s="19" t="s">
        <v>38</v>
      </c>
      <c r="M676" s="20">
        <f t="shared" si="2"/>
        <v>0</v>
      </c>
      <c r="N676" s="22"/>
      <c r="O676" s="19" t="s">
        <v>1145</v>
      </c>
      <c r="P676" s="18"/>
      <c r="Q676" s="18"/>
      <c r="R676" s="23">
        <v>0.0</v>
      </c>
      <c r="S676" s="23">
        <v>0.0</v>
      </c>
      <c r="T676" s="23">
        <f t="shared" si="3"/>
        <v>0</v>
      </c>
      <c r="U676" s="23">
        <f t="shared" si="4"/>
        <v>0</v>
      </c>
      <c r="V676" s="23">
        <f t="shared" si="5"/>
        <v>0</v>
      </c>
      <c r="W676" s="24" t="str">
        <f t="shared" si="6"/>
        <v>#DIV/0!</v>
      </c>
    </row>
    <row r="677">
      <c r="A677" s="15" t="s">
        <v>2147</v>
      </c>
      <c r="B677" s="18"/>
      <c r="C677" s="15" t="s">
        <v>7099</v>
      </c>
      <c r="D677" s="18"/>
      <c r="E677" s="17" t="s">
        <v>2148</v>
      </c>
      <c r="F677" s="18"/>
      <c r="G677" s="18"/>
      <c r="H677" s="15" t="s">
        <v>2149</v>
      </c>
      <c r="I677" s="15" t="s">
        <v>2150</v>
      </c>
      <c r="J677" s="19" t="s">
        <v>36</v>
      </c>
      <c r="K677" s="19" t="s">
        <v>37</v>
      </c>
      <c r="L677" s="19" t="s">
        <v>38</v>
      </c>
      <c r="M677" s="20">
        <f t="shared" si="2"/>
        <v>0</v>
      </c>
      <c r="N677" s="22"/>
      <c r="O677" s="19" t="s">
        <v>1145</v>
      </c>
      <c r="P677" s="18"/>
      <c r="Q677" s="18"/>
      <c r="R677" s="23">
        <v>0.0</v>
      </c>
      <c r="S677" s="23">
        <v>0.0</v>
      </c>
      <c r="T677" s="23">
        <f t="shared" si="3"/>
        <v>0</v>
      </c>
      <c r="U677" s="23">
        <f t="shared" si="4"/>
        <v>0</v>
      </c>
      <c r="V677" s="23">
        <f t="shared" si="5"/>
        <v>0</v>
      </c>
      <c r="W677" s="24" t="str">
        <f t="shared" si="6"/>
        <v>#DIV/0!</v>
      </c>
    </row>
    <row r="678">
      <c r="A678" s="15" t="s">
        <v>2151</v>
      </c>
      <c r="B678" s="18"/>
      <c r="C678" s="15" t="s">
        <v>7100</v>
      </c>
      <c r="D678" s="18"/>
      <c r="E678" s="17" t="s">
        <v>2152</v>
      </c>
      <c r="F678" s="18"/>
      <c r="G678" s="18"/>
      <c r="H678" s="15" t="s">
        <v>2153</v>
      </c>
      <c r="I678" s="15" t="s">
        <v>2154</v>
      </c>
      <c r="J678" s="19" t="s">
        <v>36</v>
      </c>
      <c r="K678" s="19" t="s">
        <v>105</v>
      </c>
      <c r="L678" s="19" t="s">
        <v>38</v>
      </c>
      <c r="M678" s="20">
        <f t="shared" si="2"/>
        <v>0</v>
      </c>
      <c r="N678" s="22"/>
      <c r="O678" s="19" t="s">
        <v>1145</v>
      </c>
      <c r="P678" s="18"/>
      <c r="Q678" s="18"/>
      <c r="R678" s="23">
        <v>0.0</v>
      </c>
      <c r="S678" s="23">
        <v>0.0</v>
      </c>
      <c r="T678" s="23">
        <f t="shared" si="3"/>
        <v>0</v>
      </c>
      <c r="U678" s="23">
        <f t="shared" si="4"/>
        <v>0</v>
      </c>
      <c r="V678" s="23">
        <f t="shared" si="5"/>
        <v>0</v>
      </c>
      <c r="W678" s="24" t="str">
        <f t="shared" si="6"/>
        <v>#DIV/0!</v>
      </c>
    </row>
    <row r="679">
      <c r="A679" s="15" t="s">
        <v>2155</v>
      </c>
      <c r="B679" s="18"/>
      <c r="C679" s="15" t="s">
        <v>7101</v>
      </c>
      <c r="D679" s="18"/>
      <c r="E679" s="17" t="s">
        <v>2156</v>
      </c>
      <c r="F679" s="18"/>
      <c r="G679" s="18"/>
      <c r="H679" s="15" t="s">
        <v>2157</v>
      </c>
      <c r="I679" s="15" t="s">
        <v>2158</v>
      </c>
      <c r="J679" s="19" t="s">
        <v>36</v>
      </c>
      <c r="K679" s="19" t="s">
        <v>105</v>
      </c>
      <c r="L679" s="19" t="s">
        <v>38</v>
      </c>
      <c r="M679" s="20">
        <f t="shared" si="2"/>
        <v>0</v>
      </c>
      <c r="N679" s="22"/>
      <c r="O679" s="19" t="s">
        <v>1145</v>
      </c>
      <c r="P679" s="18"/>
      <c r="Q679" s="18"/>
      <c r="R679" s="23">
        <v>0.0</v>
      </c>
      <c r="S679" s="23">
        <v>0.0</v>
      </c>
      <c r="T679" s="23">
        <f t="shared" si="3"/>
        <v>0</v>
      </c>
      <c r="U679" s="23">
        <f t="shared" si="4"/>
        <v>0</v>
      </c>
      <c r="V679" s="23">
        <f t="shared" si="5"/>
        <v>0</v>
      </c>
      <c r="W679" s="24" t="str">
        <f t="shared" si="6"/>
        <v>#DIV/0!</v>
      </c>
    </row>
    <row r="680">
      <c r="A680" s="15" t="s">
        <v>2159</v>
      </c>
      <c r="B680" s="18"/>
      <c r="C680" s="15" t="s">
        <v>7102</v>
      </c>
      <c r="D680" s="18"/>
      <c r="E680" s="17" t="s">
        <v>2160</v>
      </c>
      <c r="F680" s="18"/>
      <c r="G680" s="18"/>
      <c r="H680" s="15" t="s">
        <v>2161</v>
      </c>
      <c r="I680" s="15" t="s">
        <v>2162</v>
      </c>
      <c r="J680" s="19" t="s">
        <v>36</v>
      </c>
      <c r="K680" s="19" t="s">
        <v>105</v>
      </c>
      <c r="L680" s="19" t="s">
        <v>38</v>
      </c>
      <c r="M680" s="20">
        <f t="shared" si="2"/>
        <v>0</v>
      </c>
      <c r="N680" s="22"/>
      <c r="O680" s="19" t="s">
        <v>1145</v>
      </c>
      <c r="P680" s="18"/>
      <c r="Q680" s="18"/>
      <c r="R680" s="23">
        <v>0.0</v>
      </c>
      <c r="S680" s="23">
        <v>0.0</v>
      </c>
      <c r="T680" s="23">
        <f t="shared" si="3"/>
        <v>0</v>
      </c>
      <c r="U680" s="23">
        <f t="shared" si="4"/>
        <v>0</v>
      </c>
      <c r="V680" s="23">
        <f t="shared" si="5"/>
        <v>0</v>
      </c>
      <c r="W680" s="24" t="str">
        <f t="shared" si="6"/>
        <v>#DIV/0!</v>
      </c>
    </row>
    <row r="681">
      <c r="A681" s="15" t="s">
        <v>2163</v>
      </c>
      <c r="B681" s="18"/>
      <c r="C681" s="15" t="s">
        <v>7103</v>
      </c>
      <c r="D681" s="18"/>
      <c r="E681" s="17" t="s">
        <v>2164</v>
      </c>
      <c r="F681" s="18"/>
      <c r="G681" s="18"/>
      <c r="H681" s="15" t="s">
        <v>2165</v>
      </c>
      <c r="I681" s="15" t="s">
        <v>2166</v>
      </c>
      <c r="J681" s="19" t="s">
        <v>36</v>
      </c>
      <c r="K681" s="19" t="s">
        <v>603</v>
      </c>
      <c r="L681" s="19" t="s">
        <v>38</v>
      </c>
      <c r="M681" s="20">
        <f t="shared" si="2"/>
        <v>0</v>
      </c>
      <c r="N681" s="22"/>
      <c r="O681" s="19" t="s">
        <v>1145</v>
      </c>
      <c r="P681" s="18"/>
      <c r="Q681" s="18"/>
      <c r="R681" s="23">
        <v>0.0</v>
      </c>
      <c r="S681" s="23">
        <v>0.0</v>
      </c>
      <c r="T681" s="23">
        <f t="shared" si="3"/>
        <v>0</v>
      </c>
      <c r="U681" s="23">
        <f t="shared" si="4"/>
        <v>0</v>
      </c>
      <c r="V681" s="23">
        <f t="shared" si="5"/>
        <v>0</v>
      </c>
      <c r="W681" s="24" t="str">
        <f t="shared" si="6"/>
        <v>#DIV/0!</v>
      </c>
    </row>
    <row r="682">
      <c r="A682" s="15" t="s">
        <v>2167</v>
      </c>
      <c r="B682" s="18"/>
      <c r="C682" s="15" t="s">
        <v>7104</v>
      </c>
      <c r="D682" s="18"/>
      <c r="E682" s="17" t="s">
        <v>2168</v>
      </c>
      <c r="F682" s="18"/>
      <c r="G682" s="18"/>
      <c r="H682" s="15" t="s">
        <v>2169</v>
      </c>
      <c r="I682" s="15" t="s">
        <v>2170</v>
      </c>
      <c r="J682" s="19" t="s">
        <v>36</v>
      </c>
      <c r="K682" s="19" t="s">
        <v>1230</v>
      </c>
      <c r="L682" s="19" t="s">
        <v>38</v>
      </c>
      <c r="M682" s="20">
        <f t="shared" si="2"/>
        <v>0</v>
      </c>
      <c r="N682" s="22"/>
      <c r="O682" s="19" t="s">
        <v>1145</v>
      </c>
      <c r="P682" s="18"/>
      <c r="Q682" s="18"/>
      <c r="R682" s="23">
        <v>0.0</v>
      </c>
      <c r="S682" s="23">
        <v>0.0</v>
      </c>
      <c r="T682" s="23">
        <f t="shared" si="3"/>
        <v>0</v>
      </c>
      <c r="U682" s="23">
        <f t="shared" si="4"/>
        <v>0</v>
      </c>
      <c r="V682" s="23">
        <f t="shared" si="5"/>
        <v>0</v>
      </c>
      <c r="W682" s="24" t="str">
        <f t="shared" si="6"/>
        <v>#DIV/0!</v>
      </c>
    </row>
    <row r="683">
      <c r="A683" s="15" t="s">
        <v>2171</v>
      </c>
      <c r="B683" s="18"/>
      <c r="C683" s="15" t="s">
        <v>7105</v>
      </c>
      <c r="D683" s="18"/>
      <c r="E683" s="17" t="s">
        <v>2172</v>
      </c>
      <c r="F683" s="18"/>
      <c r="G683" s="18"/>
      <c r="H683" s="15" t="s">
        <v>2173</v>
      </c>
      <c r="I683" s="15" t="s">
        <v>2174</v>
      </c>
      <c r="J683" s="19" t="s">
        <v>36</v>
      </c>
      <c r="K683" s="19" t="s">
        <v>1269</v>
      </c>
      <c r="L683" s="19" t="s">
        <v>38</v>
      </c>
      <c r="M683" s="20">
        <f t="shared" si="2"/>
        <v>0</v>
      </c>
      <c r="N683" s="22"/>
      <c r="O683" s="19" t="s">
        <v>1145</v>
      </c>
      <c r="P683" s="18"/>
      <c r="Q683" s="18"/>
      <c r="R683" s="23">
        <v>0.0</v>
      </c>
      <c r="S683" s="23">
        <v>0.0</v>
      </c>
      <c r="T683" s="23">
        <f t="shared" si="3"/>
        <v>0</v>
      </c>
      <c r="U683" s="23">
        <f t="shared" si="4"/>
        <v>0</v>
      </c>
      <c r="V683" s="23">
        <f t="shared" si="5"/>
        <v>0</v>
      </c>
      <c r="W683" s="24" t="str">
        <f t="shared" si="6"/>
        <v>#DIV/0!</v>
      </c>
    </row>
    <row r="684">
      <c r="A684" s="15" t="s">
        <v>2175</v>
      </c>
      <c r="B684" s="18"/>
      <c r="C684" s="15" t="s">
        <v>7106</v>
      </c>
      <c r="D684" s="18"/>
      <c r="E684" s="17" t="s">
        <v>2176</v>
      </c>
      <c r="F684" s="18"/>
      <c r="G684" s="18"/>
      <c r="H684" s="15" t="s">
        <v>2177</v>
      </c>
      <c r="I684" s="15" t="s">
        <v>2178</v>
      </c>
      <c r="J684" s="19" t="s">
        <v>36</v>
      </c>
      <c r="K684" s="19" t="s">
        <v>1431</v>
      </c>
      <c r="L684" s="19" t="s">
        <v>38</v>
      </c>
      <c r="M684" s="20">
        <f t="shared" si="2"/>
        <v>0</v>
      </c>
      <c r="N684" s="22"/>
      <c r="O684" s="19" t="s">
        <v>1145</v>
      </c>
      <c r="P684" s="18"/>
      <c r="Q684" s="18"/>
      <c r="R684" s="23">
        <v>0.0</v>
      </c>
      <c r="S684" s="23">
        <v>0.0</v>
      </c>
      <c r="T684" s="23">
        <f t="shared" si="3"/>
        <v>0</v>
      </c>
      <c r="U684" s="23">
        <f t="shared" si="4"/>
        <v>0</v>
      </c>
      <c r="V684" s="23">
        <f t="shared" si="5"/>
        <v>0</v>
      </c>
      <c r="W684" s="24" t="str">
        <f t="shared" si="6"/>
        <v>#DIV/0!</v>
      </c>
    </row>
    <row r="685">
      <c r="A685" s="15" t="s">
        <v>2179</v>
      </c>
      <c r="B685" s="18"/>
      <c r="C685" s="15" t="s">
        <v>7107</v>
      </c>
      <c r="D685" s="18"/>
      <c r="E685" s="17" t="s">
        <v>2180</v>
      </c>
      <c r="F685" s="18"/>
      <c r="G685" s="18"/>
      <c r="H685" s="15" t="s">
        <v>2181</v>
      </c>
      <c r="I685" s="15" t="s">
        <v>2182</v>
      </c>
      <c r="J685" s="19" t="s">
        <v>36</v>
      </c>
      <c r="K685" s="19" t="s">
        <v>1230</v>
      </c>
      <c r="L685" s="19" t="s">
        <v>38</v>
      </c>
      <c r="M685" s="20">
        <f t="shared" si="2"/>
        <v>0</v>
      </c>
      <c r="N685" s="22"/>
      <c r="O685" s="19" t="s">
        <v>1145</v>
      </c>
      <c r="P685" s="18"/>
      <c r="Q685" s="18"/>
      <c r="R685" s="23">
        <v>0.0</v>
      </c>
      <c r="S685" s="23">
        <v>0.0</v>
      </c>
      <c r="T685" s="23">
        <f t="shared" si="3"/>
        <v>0</v>
      </c>
      <c r="U685" s="23">
        <f t="shared" si="4"/>
        <v>0</v>
      </c>
      <c r="V685" s="23">
        <f t="shared" si="5"/>
        <v>0</v>
      </c>
      <c r="W685" s="24" t="str">
        <f t="shared" si="6"/>
        <v>#DIV/0!</v>
      </c>
    </row>
    <row r="686">
      <c r="A686" s="15" t="s">
        <v>4787</v>
      </c>
      <c r="B686" s="18"/>
      <c r="C686" s="15" t="s">
        <v>7108</v>
      </c>
      <c r="D686" s="18"/>
      <c r="E686" s="17" t="s">
        <v>7109</v>
      </c>
      <c r="F686" s="18"/>
      <c r="G686" s="18"/>
      <c r="H686" s="15" t="s">
        <v>7110</v>
      </c>
      <c r="I686" s="15" t="s">
        <v>7111</v>
      </c>
      <c r="J686" s="19" t="s">
        <v>36</v>
      </c>
      <c r="K686" s="19" t="s">
        <v>603</v>
      </c>
      <c r="L686" s="19" t="s">
        <v>38</v>
      </c>
      <c r="M686" s="20">
        <f t="shared" si="2"/>
        <v>0</v>
      </c>
      <c r="N686" s="22"/>
      <c r="O686" s="19" t="s">
        <v>1145</v>
      </c>
      <c r="P686" s="18"/>
      <c r="Q686" s="18"/>
      <c r="R686" s="23">
        <v>0.0</v>
      </c>
      <c r="S686" s="23">
        <v>0.0</v>
      </c>
      <c r="T686" s="23">
        <f t="shared" si="3"/>
        <v>0</v>
      </c>
      <c r="U686" s="23">
        <f t="shared" si="4"/>
        <v>0</v>
      </c>
      <c r="V686" s="23">
        <f t="shared" si="5"/>
        <v>0</v>
      </c>
      <c r="W686" s="24" t="str">
        <f t="shared" si="6"/>
        <v>#DIV/0!</v>
      </c>
    </row>
    <row r="687">
      <c r="A687" s="15" t="s">
        <v>4789</v>
      </c>
      <c r="B687" s="18"/>
      <c r="C687" s="15" t="s">
        <v>7112</v>
      </c>
      <c r="D687" s="18"/>
      <c r="E687" s="17" t="s">
        <v>7113</v>
      </c>
      <c r="F687" s="18"/>
      <c r="G687" s="18"/>
      <c r="H687" s="15" t="s">
        <v>7114</v>
      </c>
      <c r="I687" s="15" t="s">
        <v>4792</v>
      </c>
      <c r="J687" s="19" t="s">
        <v>36</v>
      </c>
      <c r="K687" s="19" t="s">
        <v>1431</v>
      </c>
      <c r="L687" s="19" t="s">
        <v>38</v>
      </c>
      <c r="M687" s="20">
        <f t="shared" si="2"/>
        <v>0</v>
      </c>
      <c r="N687" s="22"/>
      <c r="O687" s="19" t="s">
        <v>1145</v>
      </c>
      <c r="P687" s="18"/>
      <c r="Q687" s="18"/>
      <c r="R687" s="23">
        <v>0.0</v>
      </c>
      <c r="S687" s="23">
        <v>0.0</v>
      </c>
      <c r="T687" s="23">
        <f t="shared" si="3"/>
        <v>0</v>
      </c>
      <c r="U687" s="23">
        <f t="shared" si="4"/>
        <v>0</v>
      </c>
      <c r="V687" s="23">
        <f t="shared" si="5"/>
        <v>0</v>
      </c>
      <c r="W687" s="24" t="str">
        <f t="shared" si="6"/>
        <v>#DIV/0!</v>
      </c>
    </row>
    <row r="688">
      <c r="A688" s="15" t="s">
        <v>4793</v>
      </c>
      <c r="B688" s="18"/>
      <c r="C688" s="15" t="s">
        <v>7115</v>
      </c>
      <c r="D688" s="18"/>
      <c r="E688" s="17" t="s">
        <v>7116</v>
      </c>
      <c r="F688" s="18"/>
      <c r="G688" s="18"/>
      <c r="H688" s="15" t="s">
        <v>7117</v>
      </c>
      <c r="I688" s="15" t="s">
        <v>4796</v>
      </c>
      <c r="J688" s="19" t="s">
        <v>36</v>
      </c>
      <c r="K688" s="19" t="s">
        <v>1431</v>
      </c>
      <c r="L688" s="19" t="s">
        <v>38</v>
      </c>
      <c r="M688" s="20">
        <f t="shared" si="2"/>
        <v>0</v>
      </c>
      <c r="N688" s="22"/>
      <c r="O688" s="19" t="s">
        <v>1145</v>
      </c>
      <c r="P688" s="18"/>
      <c r="Q688" s="18"/>
      <c r="R688" s="23">
        <v>0.0</v>
      </c>
      <c r="S688" s="23">
        <v>0.0</v>
      </c>
      <c r="T688" s="23">
        <f t="shared" si="3"/>
        <v>0</v>
      </c>
      <c r="U688" s="23">
        <f t="shared" si="4"/>
        <v>0</v>
      </c>
      <c r="V688" s="23">
        <f t="shared" si="5"/>
        <v>0</v>
      </c>
      <c r="W688" s="24" t="str">
        <f t="shared" si="6"/>
        <v>#DIV/0!</v>
      </c>
    </row>
    <row r="689">
      <c r="A689" s="15" t="s">
        <v>4798</v>
      </c>
      <c r="B689" s="18"/>
      <c r="C689" s="15" t="s">
        <v>7118</v>
      </c>
      <c r="D689" s="18"/>
      <c r="E689" s="17" t="s">
        <v>7119</v>
      </c>
      <c r="F689" s="18"/>
      <c r="G689" s="18"/>
      <c r="H689" s="15" t="s">
        <v>4801</v>
      </c>
      <c r="I689" s="15" t="s">
        <v>4800</v>
      </c>
      <c r="J689" s="19" t="s">
        <v>36</v>
      </c>
      <c r="K689" s="19" t="s">
        <v>1230</v>
      </c>
      <c r="L689" s="19" t="s">
        <v>38</v>
      </c>
      <c r="M689" s="20">
        <f t="shared" si="2"/>
        <v>0</v>
      </c>
      <c r="N689" s="22"/>
      <c r="O689" s="19" t="s">
        <v>1145</v>
      </c>
      <c r="P689" s="18"/>
      <c r="Q689" s="18"/>
      <c r="R689" s="23">
        <v>0.0</v>
      </c>
      <c r="S689" s="23">
        <v>0.0</v>
      </c>
      <c r="T689" s="23">
        <f t="shared" si="3"/>
        <v>0</v>
      </c>
      <c r="U689" s="23">
        <f t="shared" si="4"/>
        <v>0</v>
      </c>
      <c r="V689" s="23">
        <f t="shared" si="5"/>
        <v>0</v>
      </c>
      <c r="W689" s="24" t="str">
        <f t="shared" si="6"/>
        <v>#DIV/0!</v>
      </c>
    </row>
    <row r="690">
      <c r="A690" s="15" t="s">
        <v>7120</v>
      </c>
      <c r="B690" s="18"/>
      <c r="C690" s="15" t="s">
        <v>7121</v>
      </c>
      <c r="D690" s="18"/>
      <c r="E690" s="17" t="s">
        <v>7122</v>
      </c>
      <c r="F690" s="18"/>
      <c r="G690" s="18"/>
      <c r="H690" s="15" t="s">
        <v>7123</v>
      </c>
      <c r="I690" s="15" t="s">
        <v>4322</v>
      </c>
      <c r="J690" s="19" t="s">
        <v>36</v>
      </c>
      <c r="K690" s="19" t="s">
        <v>1230</v>
      </c>
      <c r="L690" s="19" t="s">
        <v>38</v>
      </c>
      <c r="M690" s="20">
        <f t="shared" si="2"/>
        <v>0</v>
      </c>
      <c r="N690" s="22"/>
      <c r="O690" s="19" t="s">
        <v>39</v>
      </c>
      <c r="P690" s="18"/>
      <c r="Q690" s="18"/>
      <c r="R690" s="23">
        <v>0.0</v>
      </c>
      <c r="S690" s="23">
        <v>0.0</v>
      </c>
      <c r="T690" s="23">
        <f t="shared" si="3"/>
        <v>0</v>
      </c>
      <c r="U690" s="23">
        <f t="shared" si="4"/>
        <v>0</v>
      </c>
      <c r="V690" s="23">
        <f t="shared" si="5"/>
        <v>0</v>
      </c>
      <c r="W690" s="24" t="str">
        <f t="shared" si="6"/>
        <v>#DIV/0!</v>
      </c>
    </row>
    <row r="691">
      <c r="A691" s="15" t="s">
        <v>7124</v>
      </c>
      <c r="B691" s="18"/>
      <c r="C691" s="15" t="s">
        <v>7125</v>
      </c>
      <c r="D691" s="18"/>
      <c r="E691" s="17" t="s">
        <v>7126</v>
      </c>
      <c r="F691" s="18"/>
      <c r="G691" s="18"/>
      <c r="H691" s="15" t="s">
        <v>7127</v>
      </c>
      <c r="I691" s="15" t="s">
        <v>4316</v>
      </c>
      <c r="J691" s="19" t="s">
        <v>36</v>
      </c>
      <c r="K691" s="19" t="s">
        <v>1230</v>
      </c>
      <c r="L691" s="19" t="s">
        <v>38</v>
      </c>
      <c r="M691" s="20">
        <f t="shared" si="2"/>
        <v>0</v>
      </c>
      <c r="N691" s="22"/>
      <c r="O691" s="19" t="s">
        <v>39</v>
      </c>
      <c r="P691" s="18"/>
      <c r="Q691" s="18"/>
      <c r="R691" s="23">
        <v>0.0</v>
      </c>
      <c r="S691" s="23">
        <v>0.0</v>
      </c>
      <c r="T691" s="23">
        <f t="shared" si="3"/>
        <v>0</v>
      </c>
      <c r="U691" s="23">
        <f t="shared" si="4"/>
        <v>0</v>
      </c>
      <c r="V691" s="23">
        <f t="shared" si="5"/>
        <v>0</v>
      </c>
      <c r="W691" s="24" t="str">
        <f t="shared" si="6"/>
        <v>#DIV/0!</v>
      </c>
    </row>
    <row r="692">
      <c r="A692" s="15" t="s">
        <v>4802</v>
      </c>
      <c r="B692" s="18"/>
      <c r="C692" s="15" t="s">
        <v>7128</v>
      </c>
      <c r="D692" s="18"/>
      <c r="E692" s="17" t="s">
        <v>7129</v>
      </c>
      <c r="F692" s="18"/>
      <c r="G692" s="18"/>
      <c r="H692" s="15" t="s">
        <v>7130</v>
      </c>
      <c r="I692" s="15" t="s">
        <v>7131</v>
      </c>
      <c r="J692" s="19" t="s">
        <v>36</v>
      </c>
      <c r="K692" s="19" t="s">
        <v>1230</v>
      </c>
      <c r="L692" s="19" t="s">
        <v>38</v>
      </c>
      <c r="M692" s="20">
        <f t="shared" si="2"/>
        <v>0</v>
      </c>
      <c r="N692" s="22"/>
      <c r="O692" s="19" t="s">
        <v>1145</v>
      </c>
      <c r="P692" s="18"/>
      <c r="Q692" s="18"/>
      <c r="R692" s="23">
        <v>0.0</v>
      </c>
      <c r="S692" s="23">
        <v>0.0</v>
      </c>
      <c r="T692" s="23">
        <f t="shared" si="3"/>
        <v>0</v>
      </c>
      <c r="U692" s="23">
        <f t="shared" si="4"/>
        <v>0</v>
      </c>
      <c r="V692" s="23">
        <f t="shared" si="5"/>
        <v>0</v>
      </c>
      <c r="W692" s="24" t="str">
        <f t="shared" si="6"/>
        <v>#DIV/0!</v>
      </c>
    </row>
    <row r="693">
      <c r="A693" s="15" t="s">
        <v>2183</v>
      </c>
      <c r="B693" s="18"/>
      <c r="C693" s="15" t="s">
        <v>7132</v>
      </c>
      <c r="D693" s="18"/>
      <c r="E693" s="17" t="s">
        <v>2184</v>
      </c>
      <c r="F693" s="18"/>
      <c r="G693" s="18"/>
      <c r="H693" s="15" t="s">
        <v>2185</v>
      </c>
      <c r="I693" s="15" t="s">
        <v>2186</v>
      </c>
      <c r="J693" s="19" t="s">
        <v>36</v>
      </c>
      <c r="K693" s="19" t="s">
        <v>1230</v>
      </c>
      <c r="L693" s="19" t="s">
        <v>38</v>
      </c>
      <c r="M693" s="20">
        <f t="shared" si="2"/>
        <v>0</v>
      </c>
      <c r="N693" s="22"/>
      <c r="O693" s="19" t="s">
        <v>1145</v>
      </c>
      <c r="P693" s="18"/>
      <c r="Q693" s="18"/>
      <c r="R693" s="23">
        <v>0.0</v>
      </c>
      <c r="S693" s="23">
        <v>0.0</v>
      </c>
      <c r="T693" s="23">
        <f t="shared" si="3"/>
        <v>0</v>
      </c>
      <c r="U693" s="23">
        <f t="shared" si="4"/>
        <v>0</v>
      </c>
      <c r="V693" s="23">
        <f t="shared" si="5"/>
        <v>0</v>
      </c>
      <c r="W693" s="24" t="str">
        <f t="shared" si="6"/>
        <v>#DIV/0!</v>
      </c>
    </row>
    <row r="694">
      <c r="A694" s="15" t="s">
        <v>7133</v>
      </c>
      <c r="B694" s="18"/>
      <c r="C694" s="15" t="s">
        <v>7134</v>
      </c>
      <c r="D694" s="18"/>
      <c r="E694" s="17" t="s">
        <v>7135</v>
      </c>
      <c r="F694" s="18"/>
      <c r="G694" s="18"/>
      <c r="H694" s="15" t="s">
        <v>7136</v>
      </c>
      <c r="I694" s="15" t="s">
        <v>193</v>
      </c>
      <c r="J694" s="19" t="s">
        <v>36</v>
      </c>
      <c r="K694" s="19" t="s">
        <v>1230</v>
      </c>
      <c r="L694" s="19" t="s">
        <v>38</v>
      </c>
      <c r="M694" s="20">
        <f t="shared" si="2"/>
        <v>0</v>
      </c>
      <c r="N694" s="22"/>
      <c r="O694" s="19" t="s">
        <v>39</v>
      </c>
      <c r="P694" s="18"/>
      <c r="Q694" s="18"/>
      <c r="R694" s="23">
        <v>0.0</v>
      </c>
      <c r="S694" s="23">
        <v>0.0</v>
      </c>
      <c r="T694" s="23">
        <f t="shared" si="3"/>
        <v>0</v>
      </c>
      <c r="U694" s="23">
        <f t="shared" si="4"/>
        <v>0</v>
      </c>
      <c r="V694" s="23">
        <f t="shared" si="5"/>
        <v>0</v>
      </c>
      <c r="W694" s="24" t="str">
        <f t="shared" si="6"/>
        <v>#DIV/0!</v>
      </c>
    </row>
    <row r="695">
      <c r="A695" s="15" t="s">
        <v>2187</v>
      </c>
      <c r="B695" s="18"/>
      <c r="C695" s="15" t="s">
        <v>7137</v>
      </c>
      <c r="D695" s="18"/>
      <c r="E695" s="17" t="s">
        <v>2188</v>
      </c>
      <c r="F695" s="18"/>
      <c r="G695" s="18"/>
      <c r="H695" s="15" t="s">
        <v>2189</v>
      </c>
      <c r="I695" s="15" t="s">
        <v>2190</v>
      </c>
      <c r="J695" s="19" t="s">
        <v>36</v>
      </c>
      <c r="K695" s="19" t="s">
        <v>1230</v>
      </c>
      <c r="L695" s="19" t="s">
        <v>38</v>
      </c>
      <c r="M695" s="20">
        <f t="shared" si="2"/>
        <v>0</v>
      </c>
      <c r="N695" s="22"/>
      <c r="O695" s="19" t="s">
        <v>1145</v>
      </c>
      <c r="P695" s="18"/>
      <c r="Q695" s="18"/>
      <c r="R695" s="23">
        <v>0.0</v>
      </c>
      <c r="S695" s="23">
        <v>0.0</v>
      </c>
      <c r="T695" s="23">
        <f t="shared" si="3"/>
        <v>0</v>
      </c>
      <c r="U695" s="23">
        <f t="shared" si="4"/>
        <v>0</v>
      </c>
      <c r="V695" s="23">
        <f t="shared" si="5"/>
        <v>0</v>
      </c>
      <c r="W695" s="24" t="str">
        <f t="shared" si="6"/>
        <v>#DIV/0!</v>
      </c>
    </row>
    <row r="696">
      <c r="A696" s="15" t="s">
        <v>597</v>
      </c>
      <c r="B696" s="15" t="s">
        <v>598</v>
      </c>
      <c r="C696" s="15" t="s">
        <v>6002</v>
      </c>
      <c r="D696" s="15" t="s">
        <v>599</v>
      </c>
      <c r="E696" s="17" t="s">
        <v>600</v>
      </c>
      <c r="F696" s="18"/>
      <c r="G696" s="18"/>
      <c r="H696" s="15" t="s">
        <v>601</v>
      </c>
      <c r="I696" s="15"/>
      <c r="J696" s="19" t="s">
        <v>602</v>
      </c>
      <c r="K696" s="19" t="s">
        <v>603</v>
      </c>
      <c r="L696" s="19" t="s">
        <v>292</v>
      </c>
      <c r="M696" s="20">
        <f t="shared" si="2"/>
        <v>23088</v>
      </c>
      <c r="N696" s="31">
        <v>3.0</v>
      </c>
      <c r="O696" s="19" t="s">
        <v>107</v>
      </c>
      <c r="P696" s="18"/>
      <c r="Q696" s="18"/>
      <c r="R696" s="23">
        <v>240.0</v>
      </c>
      <c r="S696" s="23">
        <v>1300.0</v>
      </c>
      <c r="T696" s="23">
        <f t="shared" si="3"/>
        <v>1248</v>
      </c>
      <c r="U696" s="23">
        <f t="shared" si="4"/>
        <v>294</v>
      </c>
      <c r="V696" s="23">
        <f t="shared" si="5"/>
        <v>5512.5</v>
      </c>
      <c r="W696" s="24">
        <f t="shared" si="6"/>
        <v>5.2</v>
      </c>
    </row>
    <row r="697">
      <c r="A697" s="15" t="s">
        <v>4806</v>
      </c>
      <c r="B697" s="18"/>
      <c r="C697" s="15" t="s">
        <v>7138</v>
      </c>
      <c r="D697" s="18"/>
      <c r="E697" s="17" t="s">
        <v>2192</v>
      </c>
      <c r="F697" s="18"/>
      <c r="G697" s="18"/>
      <c r="H697" s="15" t="s">
        <v>4810</v>
      </c>
      <c r="I697" s="15" t="s">
        <v>4809</v>
      </c>
      <c r="J697" s="19" t="s">
        <v>36</v>
      </c>
      <c r="K697" s="19" t="s">
        <v>37</v>
      </c>
      <c r="L697" s="19" t="s">
        <v>38</v>
      </c>
      <c r="M697" s="20">
        <f t="shared" si="2"/>
        <v>0</v>
      </c>
      <c r="N697" s="22"/>
      <c r="O697" s="19" t="s">
        <v>1145</v>
      </c>
      <c r="P697" s="18"/>
      <c r="Q697" s="18"/>
      <c r="R697" s="23">
        <v>0.0</v>
      </c>
      <c r="S697" s="23">
        <v>0.0</v>
      </c>
      <c r="T697" s="23">
        <f t="shared" si="3"/>
        <v>0</v>
      </c>
      <c r="U697" s="23">
        <f t="shared" si="4"/>
        <v>0</v>
      </c>
      <c r="V697" s="23">
        <f t="shared" si="5"/>
        <v>0</v>
      </c>
      <c r="W697" s="24" t="str">
        <f t="shared" si="6"/>
        <v>#DIV/0!</v>
      </c>
    </row>
    <row r="698">
      <c r="A698" s="15" t="s">
        <v>2191</v>
      </c>
      <c r="B698" s="18"/>
      <c r="C698" s="15" t="s">
        <v>7139</v>
      </c>
      <c r="D698" s="18"/>
      <c r="E698" s="17" t="s">
        <v>2192</v>
      </c>
      <c r="F698" s="18"/>
      <c r="G698" s="18"/>
      <c r="H698" s="15" t="s">
        <v>2193</v>
      </c>
      <c r="I698" s="15" t="s">
        <v>2194</v>
      </c>
      <c r="J698" s="19" t="s">
        <v>36</v>
      </c>
      <c r="K698" s="19" t="s">
        <v>37</v>
      </c>
      <c r="L698" s="19" t="s">
        <v>38</v>
      </c>
      <c r="M698" s="20">
        <f t="shared" si="2"/>
        <v>0</v>
      </c>
      <c r="N698" s="22"/>
      <c r="O698" s="19" t="s">
        <v>1145</v>
      </c>
      <c r="P698" s="18"/>
      <c r="Q698" s="18"/>
      <c r="R698" s="23">
        <v>0.0</v>
      </c>
      <c r="S698" s="23">
        <v>0.0</v>
      </c>
      <c r="T698" s="23">
        <f t="shared" si="3"/>
        <v>0</v>
      </c>
      <c r="U698" s="23">
        <f t="shared" si="4"/>
        <v>0</v>
      </c>
      <c r="V698" s="23">
        <f t="shared" si="5"/>
        <v>0</v>
      </c>
      <c r="W698" s="24" t="str">
        <f t="shared" si="6"/>
        <v>#DIV/0!</v>
      </c>
    </row>
    <row r="699">
      <c r="A699" s="15" t="s">
        <v>2195</v>
      </c>
      <c r="B699" s="18"/>
      <c r="C699" s="15" t="s">
        <v>7140</v>
      </c>
      <c r="D699" s="18"/>
      <c r="E699" s="17" t="s">
        <v>2196</v>
      </c>
      <c r="F699" s="18"/>
      <c r="G699" s="18"/>
      <c r="H699" s="15" t="s">
        <v>2197</v>
      </c>
      <c r="I699" s="15" t="s">
        <v>2198</v>
      </c>
      <c r="J699" s="19" t="s">
        <v>36</v>
      </c>
      <c r="K699" s="19" t="s">
        <v>37</v>
      </c>
      <c r="L699" s="19" t="s">
        <v>38</v>
      </c>
      <c r="M699" s="20">
        <f t="shared" si="2"/>
        <v>0</v>
      </c>
      <c r="N699" s="22"/>
      <c r="O699" s="19" t="s">
        <v>1145</v>
      </c>
      <c r="P699" s="18"/>
      <c r="Q699" s="18"/>
      <c r="R699" s="23">
        <v>0.0</v>
      </c>
      <c r="S699" s="23">
        <v>0.0</v>
      </c>
      <c r="T699" s="23">
        <f t="shared" si="3"/>
        <v>0</v>
      </c>
      <c r="U699" s="23">
        <f t="shared" si="4"/>
        <v>0</v>
      </c>
      <c r="V699" s="23">
        <f t="shared" si="5"/>
        <v>0</v>
      </c>
      <c r="W699" s="24" t="str">
        <f t="shared" si="6"/>
        <v>#DIV/0!</v>
      </c>
    </row>
    <row r="700">
      <c r="A700" s="15" t="s">
        <v>2199</v>
      </c>
      <c r="B700" s="18"/>
      <c r="C700" s="15" t="s">
        <v>7141</v>
      </c>
      <c r="D700" s="18"/>
      <c r="E700" s="17" t="s">
        <v>2200</v>
      </c>
      <c r="F700" s="18"/>
      <c r="G700" s="18"/>
      <c r="H700" s="15" t="s">
        <v>2201</v>
      </c>
      <c r="I700" s="15" t="s">
        <v>2202</v>
      </c>
      <c r="J700" s="19" t="s">
        <v>36</v>
      </c>
      <c r="K700" s="19" t="s">
        <v>603</v>
      </c>
      <c r="L700" s="19" t="s">
        <v>38</v>
      </c>
      <c r="M700" s="20">
        <f t="shared" si="2"/>
        <v>0</v>
      </c>
      <c r="N700" s="22"/>
      <c r="O700" s="19" t="s">
        <v>1145</v>
      </c>
      <c r="P700" s="18"/>
      <c r="Q700" s="18"/>
      <c r="R700" s="23">
        <v>0.0</v>
      </c>
      <c r="S700" s="23">
        <v>0.0</v>
      </c>
      <c r="T700" s="23">
        <f t="shared" si="3"/>
        <v>0</v>
      </c>
      <c r="U700" s="23">
        <f t="shared" si="4"/>
        <v>0</v>
      </c>
      <c r="V700" s="23">
        <f t="shared" si="5"/>
        <v>0</v>
      </c>
      <c r="W700" s="24" t="str">
        <f t="shared" si="6"/>
        <v>#DIV/0!</v>
      </c>
    </row>
    <row r="701">
      <c r="A701" s="15" t="s">
        <v>7142</v>
      </c>
      <c r="B701" s="18"/>
      <c r="C701" s="15" t="s">
        <v>7143</v>
      </c>
      <c r="D701" s="18"/>
      <c r="E701" s="17" t="s">
        <v>7144</v>
      </c>
      <c r="F701" s="18"/>
      <c r="G701" s="18"/>
      <c r="H701" s="15"/>
      <c r="I701" s="15" t="s">
        <v>7145</v>
      </c>
      <c r="J701" s="19" t="s">
        <v>36</v>
      </c>
      <c r="K701" s="19" t="s">
        <v>603</v>
      </c>
      <c r="L701" s="19" t="s">
        <v>38</v>
      </c>
      <c r="M701" s="20">
        <f t="shared" si="2"/>
        <v>0</v>
      </c>
      <c r="N701" s="22"/>
      <c r="O701" s="19" t="s">
        <v>39</v>
      </c>
      <c r="P701" s="18"/>
      <c r="Q701" s="18"/>
      <c r="R701" s="23">
        <v>0.0</v>
      </c>
      <c r="S701" s="23">
        <v>0.0</v>
      </c>
      <c r="T701" s="23">
        <f t="shared" si="3"/>
        <v>0</v>
      </c>
      <c r="U701" s="23">
        <f t="shared" si="4"/>
        <v>0</v>
      </c>
      <c r="V701" s="23">
        <f t="shared" si="5"/>
        <v>0</v>
      </c>
      <c r="W701" s="24" t="str">
        <f t="shared" si="6"/>
        <v>#DIV/0!</v>
      </c>
    </row>
    <row r="702">
      <c r="A702" s="15" t="s">
        <v>2203</v>
      </c>
      <c r="B702" s="18"/>
      <c r="C702" s="15" t="s">
        <v>7146</v>
      </c>
      <c r="D702" s="18"/>
      <c r="E702" s="17" t="s">
        <v>2204</v>
      </c>
      <c r="F702" s="18"/>
      <c r="G702" s="18"/>
      <c r="H702" s="15" t="s">
        <v>2205</v>
      </c>
      <c r="I702" s="15" t="s">
        <v>2206</v>
      </c>
      <c r="J702" s="19" t="s">
        <v>36</v>
      </c>
      <c r="K702" s="19" t="s">
        <v>603</v>
      </c>
      <c r="L702" s="19" t="s">
        <v>38</v>
      </c>
      <c r="M702" s="20">
        <f t="shared" si="2"/>
        <v>0</v>
      </c>
      <c r="N702" s="22"/>
      <c r="O702" s="19" t="s">
        <v>1145</v>
      </c>
      <c r="P702" s="18"/>
      <c r="Q702" s="18"/>
      <c r="R702" s="23">
        <v>0.0</v>
      </c>
      <c r="S702" s="23">
        <v>0.0</v>
      </c>
      <c r="T702" s="23">
        <f t="shared" si="3"/>
        <v>0</v>
      </c>
      <c r="U702" s="23">
        <f t="shared" si="4"/>
        <v>0</v>
      </c>
      <c r="V702" s="23">
        <f t="shared" si="5"/>
        <v>0</v>
      </c>
      <c r="W702" s="24" t="str">
        <f t="shared" si="6"/>
        <v>#DIV/0!</v>
      </c>
    </row>
    <row r="703">
      <c r="A703" s="15" t="s">
        <v>2207</v>
      </c>
      <c r="B703" s="18"/>
      <c r="C703" s="15" t="s">
        <v>7147</v>
      </c>
      <c r="D703" s="18"/>
      <c r="E703" s="17" t="s">
        <v>2208</v>
      </c>
      <c r="F703" s="18"/>
      <c r="G703" s="18"/>
      <c r="H703" s="15" t="s">
        <v>2209</v>
      </c>
      <c r="I703" s="15" t="s">
        <v>2210</v>
      </c>
      <c r="J703" s="19" t="s">
        <v>36</v>
      </c>
      <c r="K703" s="19" t="s">
        <v>105</v>
      </c>
      <c r="L703" s="19" t="s">
        <v>38</v>
      </c>
      <c r="M703" s="20">
        <f t="shared" si="2"/>
        <v>0</v>
      </c>
      <c r="N703" s="22"/>
      <c r="O703" s="19" t="s">
        <v>1145</v>
      </c>
      <c r="P703" s="18"/>
      <c r="Q703" s="18"/>
      <c r="R703" s="23">
        <v>0.0</v>
      </c>
      <c r="S703" s="23">
        <v>0.0</v>
      </c>
      <c r="T703" s="23">
        <f t="shared" si="3"/>
        <v>0</v>
      </c>
      <c r="U703" s="23">
        <f t="shared" si="4"/>
        <v>0</v>
      </c>
      <c r="V703" s="23">
        <f t="shared" si="5"/>
        <v>0</v>
      </c>
      <c r="W703" s="24" t="str">
        <f t="shared" si="6"/>
        <v>#DIV/0!</v>
      </c>
    </row>
    <row r="704">
      <c r="A704" s="15" t="s">
        <v>2211</v>
      </c>
      <c r="B704" s="18"/>
      <c r="C704" s="15" t="s">
        <v>7148</v>
      </c>
      <c r="D704" s="18"/>
      <c r="E704" s="17" t="s">
        <v>2212</v>
      </c>
      <c r="F704" s="18"/>
      <c r="G704" s="18"/>
      <c r="H704" s="15" t="s">
        <v>2213</v>
      </c>
      <c r="I704" s="15" t="s">
        <v>2214</v>
      </c>
      <c r="J704" s="19" t="s">
        <v>36</v>
      </c>
      <c r="K704" s="19" t="s">
        <v>603</v>
      </c>
      <c r="L704" s="19" t="s">
        <v>38</v>
      </c>
      <c r="M704" s="20">
        <f t="shared" si="2"/>
        <v>0</v>
      </c>
      <c r="N704" s="22"/>
      <c r="O704" s="19" t="s">
        <v>1145</v>
      </c>
      <c r="P704" s="18"/>
      <c r="Q704" s="18"/>
      <c r="R704" s="23">
        <v>0.0</v>
      </c>
      <c r="S704" s="23">
        <v>0.0</v>
      </c>
      <c r="T704" s="23">
        <f t="shared" si="3"/>
        <v>0</v>
      </c>
      <c r="U704" s="23">
        <f t="shared" si="4"/>
        <v>0</v>
      </c>
      <c r="V704" s="23">
        <f t="shared" si="5"/>
        <v>0</v>
      </c>
      <c r="W704" s="24" t="str">
        <f t="shared" si="6"/>
        <v>#DIV/0!</v>
      </c>
    </row>
    <row r="705">
      <c r="A705" s="15" t="s">
        <v>2215</v>
      </c>
      <c r="B705" s="18"/>
      <c r="C705" s="15" t="s">
        <v>7149</v>
      </c>
      <c r="D705" s="18"/>
      <c r="E705" s="17" t="s">
        <v>2212</v>
      </c>
      <c r="F705" s="18"/>
      <c r="G705" s="18"/>
      <c r="H705" s="15" t="s">
        <v>2216</v>
      </c>
      <c r="I705" s="15" t="s">
        <v>2217</v>
      </c>
      <c r="J705" s="19" t="s">
        <v>36</v>
      </c>
      <c r="K705" s="19" t="s">
        <v>603</v>
      </c>
      <c r="L705" s="19" t="s">
        <v>38</v>
      </c>
      <c r="M705" s="20">
        <f t="shared" si="2"/>
        <v>0</v>
      </c>
      <c r="N705" s="22"/>
      <c r="O705" s="19" t="s">
        <v>1145</v>
      </c>
      <c r="P705" s="18"/>
      <c r="Q705" s="18"/>
      <c r="R705" s="23">
        <v>0.0</v>
      </c>
      <c r="S705" s="23">
        <v>0.0</v>
      </c>
      <c r="T705" s="23">
        <f t="shared" si="3"/>
        <v>0</v>
      </c>
      <c r="U705" s="23">
        <f t="shared" si="4"/>
        <v>0</v>
      </c>
      <c r="V705" s="23">
        <f t="shared" si="5"/>
        <v>0</v>
      </c>
      <c r="W705" s="24" t="str">
        <f t="shared" si="6"/>
        <v>#DIV/0!</v>
      </c>
    </row>
    <row r="706">
      <c r="A706" s="15" t="s">
        <v>2218</v>
      </c>
      <c r="B706" s="18"/>
      <c r="C706" s="15" t="s">
        <v>7150</v>
      </c>
      <c r="D706" s="18"/>
      <c r="E706" s="17" t="s">
        <v>2212</v>
      </c>
      <c r="F706" s="18"/>
      <c r="G706" s="18"/>
      <c r="H706" s="15" t="s">
        <v>2219</v>
      </c>
      <c r="I706" s="15" t="s">
        <v>2220</v>
      </c>
      <c r="J706" s="19" t="s">
        <v>36</v>
      </c>
      <c r="K706" s="19" t="s">
        <v>603</v>
      </c>
      <c r="L706" s="19" t="s">
        <v>38</v>
      </c>
      <c r="M706" s="20">
        <f t="shared" si="2"/>
        <v>0</v>
      </c>
      <c r="N706" s="22"/>
      <c r="O706" s="19" t="s">
        <v>1145</v>
      </c>
      <c r="P706" s="18"/>
      <c r="Q706" s="18"/>
      <c r="R706" s="23">
        <v>0.0</v>
      </c>
      <c r="S706" s="23">
        <v>0.0</v>
      </c>
      <c r="T706" s="23">
        <f t="shared" si="3"/>
        <v>0</v>
      </c>
      <c r="U706" s="23">
        <f t="shared" si="4"/>
        <v>0</v>
      </c>
      <c r="V706" s="23">
        <f t="shared" si="5"/>
        <v>0</v>
      </c>
      <c r="W706" s="24" t="str">
        <f t="shared" si="6"/>
        <v>#DIV/0!</v>
      </c>
    </row>
    <row r="707">
      <c r="A707" s="15" t="s">
        <v>2221</v>
      </c>
      <c r="B707" s="18"/>
      <c r="C707" s="15" t="s">
        <v>7151</v>
      </c>
      <c r="D707" s="18"/>
      <c r="E707" s="17" t="s">
        <v>2222</v>
      </c>
      <c r="F707" s="18"/>
      <c r="G707" s="18"/>
      <c r="H707" s="15" t="s">
        <v>2223</v>
      </c>
      <c r="I707" s="15" t="s">
        <v>2224</v>
      </c>
      <c r="J707" s="19" t="s">
        <v>36</v>
      </c>
      <c r="K707" s="19" t="s">
        <v>603</v>
      </c>
      <c r="L707" s="19" t="s">
        <v>38</v>
      </c>
      <c r="M707" s="20">
        <f t="shared" si="2"/>
        <v>0</v>
      </c>
      <c r="N707" s="22"/>
      <c r="O707" s="19" t="s">
        <v>1145</v>
      </c>
      <c r="P707" s="18"/>
      <c r="Q707" s="18"/>
      <c r="R707" s="23">
        <v>0.0</v>
      </c>
      <c r="S707" s="23">
        <v>0.0</v>
      </c>
      <c r="T707" s="23">
        <f t="shared" si="3"/>
        <v>0</v>
      </c>
      <c r="U707" s="23">
        <f t="shared" si="4"/>
        <v>0</v>
      </c>
      <c r="V707" s="23">
        <f t="shared" si="5"/>
        <v>0</v>
      </c>
      <c r="W707" s="24" t="str">
        <f t="shared" si="6"/>
        <v>#DIV/0!</v>
      </c>
    </row>
    <row r="708">
      <c r="A708" s="15" t="s">
        <v>7152</v>
      </c>
      <c r="B708" s="18"/>
      <c r="C708" s="15" t="s">
        <v>7153</v>
      </c>
      <c r="D708" s="18"/>
      <c r="E708" s="17" t="s">
        <v>7154</v>
      </c>
      <c r="F708" s="18"/>
      <c r="G708" s="18"/>
      <c r="H708" s="15" t="s">
        <v>7155</v>
      </c>
      <c r="I708" s="15" t="s">
        <v>4456</v>
      </c>
      <c r="J708" s="19" t="s">
        <v>36</v>
      </c>
      <c r="K708" s="19" t="s">
        <v>603</v>
      </c>
      <c r="L708" s="19" t="s">
        <v>38</v>
      </c>
      <c r="M708" s="20">
        <f t="shared" si="2"/>
        <v>0</v>
      </c>
      <c r="N708" s="22"/>
      <c r="O708" s="19" t="s">
        <v>1145</v>
      </c>
      <c r="P708" s="18"/>
      <c r="Q708" s="18"/>
      <c r="R708" s="23">
        <v>0.0</v>
      </c>
      <c r="S708" s="23">
        <v>0.0</v>
      </c>
      <c r="T708" s="23">
        <f t="shared" si="3"/>
        <v>0</v>
      </c>
      <c r="U708" s="23">
        <f t="shared" si="4"/>
        <v>0</v>
      </c>
      <c r="V708" s="23">
        <f t="shared" si="5"/>
        <v>0</v>
      </c>
      <c r="W708" s="24" t="str">
        <f t="shared" si="6"/>
        <v>#DIV/0!</v>
      </c>
    </row>
    <row r="709">
      <c r="A709" s="15" t="s">
        <v>7156</v>
      </c>
      <c r="B709" s="18"/>
      <c r="C709" s="15" t="s">
        <v>7157</v>
      </c>
      <c r="D709" s="18"/>
      <c r="E709" s="17" t="s">
        <v>7158</v>
      </c>
      <c r="F709" s="18"/>
      <c r="G709" s="18"/>
      <c r="H709" s="15" t="s">
        <v>7159</v>
      </c>
      <c r="I709" s="15" t="s">
        <v>4451</v>
      </c>
      <c r="J709" s="19" t="s">
        <v>36</v>
      </c>
      <c r="K709" s="19" t="s">
        <v>603</v>
      </c>
      <c r="L709" s="19" t="s">
        <v>38</v>
      </c>
      <c r="M709" s="20">
        <f t="shared" si="2"/>
        <v>0</v>
      </c>
      <c r="N709" s="22"/>
      <c r="O709" s="19" t="s">
        <v>1145</v>
      </c>
      <c r="P709" s="18"/>
      <c r="Q709" s="18"/>
      <c r="R709" s="23">
        <v>0.0</v>
      </c>
      <c r="S709" s="23">
        <v>0.0</v>
      </c>
      <c r="T709" s="23">
        <f t="shared" si="3"/>
        <v>0</v>
      </c>
      <c r="U709" s="23">
        <f t="shared" si="4"/>
        <v>0</v>
      </c>
      <c r="V709" s="23">
        <f t="shared" si="5"/>
        <v>0</v>
      </c>
      <c r="W709" s="24" t="str">
        <f t="shared" si="6"/>
        <v>#DIV/0!</v>
      </c>
    </row>
    <row r="710">
      <c r="A710" s="15" t="s">
        <v>7160</v>
      </c>
      <c r="B710" s="18"/>
      <c r="C710" s="15" t="s">
        <v>7161</v>
      </c>
      <c r="D710" s="18"/>
      <c r="E710" s="17" t="s">
        <v>7162</v>
      </c>
      <c r="F710" s="18"/>
      <c r="G710" s="18"/>
      <c r="H710" s="15" t="s">
        <v>7163</v>
      </c>
      <c r="I710" s="15" t="s">
        <v>4446</v>
      </c>
      <c r="J710" s="19" t="s">
        <v>36</v>
      </c>
      <c r="K710" s="19" t="s">
        <v>603</v>
      </c>
      <c r="L710" s="19" t="s">
        <v>38</v>
      </c>
      <c r="M710" s="20">
        <f t="shared" si="2"/>
        <v>0</v>
      </c>
      <c r="N710" s="22"/>
      <c r="O710" s="19" t="s">
        <v>39</v>
      </c>
      <c r="P710" s="18"/>
      <c r="Q710" s="18"/>
      <c r="R710" s="23">
        <v>0.0</v>
      </c>
      <c r="S710" s="23">
        <v>0.0</v>
      </c>
      <c r="T710" s="23">
        <f t="shared" si="3"/>
        <v>0</v>
      </c>
      <c r="U710" s="23">
        <f t="shared" si="4"/>
        <v>0</v>
      </c>
      <c r="V710" s="23">
        <f t="shared" si="5"/>
        <v>0</v>
      </c>
      <c r="W710" s="24" t="str">
        <f t="shared" si="6"/>
        <v>#DIV/0!</v>
      </c>
    </row>
    <row r="711">
      <c r="A711" s="15" t="s">
        <v>4811</v>
      </c>
      <c r="B711" s="15" t="s">
        <v>4812</v>
      </c>
      <c r="C711" s="15" t="s">
        <v>7164</v>
      </c>
      <c r="D711" s="15" t="s">
        <v>4813</v>
      </c>
      <c r="E711" s="17" t="s">
        <v>4814</v>
      </c>
      <c r="F711" s="18"/>
      <c r="G711" s="18"/>
      <c r="H711" s="15" t="s">
        <v>4815</v>
      </c>
      <c r="I711" s="15"/>
      <c r="J711" s="19" t="s">
        <v>36</v>
      </c>
      <c r="K711" s="19" t="s">
        <v>603</v>
      </c>
      <c r="L711" s="19" t="s">
        <v>38</v>
      </c>
      <c r="M711" s="20">
        <f t="shared" si="2"/>
        <v>0</v>
      </c>
      <c r="N711" s="22"/>
      <c r="O711" s="19" t="s">
        <v>3578</v>
      </c>
      <c r="P711" s="18"/>
      <c r="Q711" s="18"/>
      <c r="R711" s="23">
        <v>0.0</v>
      </c>
      <c r="S711" s="23">
        <v>0.0</v>
      </c>
      <c r="T711" s="23">
        <f t="shared" si="3"/>
        <v>0</v>
      </c>
      <c r="U711" s="23">
        <f t="shared" si="4"/>
        <v>0</v>
      </c>
      <c r="V711" s="23">
        <f t="shared" si="5"/>
        <v>0</v>
      </c>
      <c r="W711" s="24" t="str">
        <f t="shared" si="6"/>
        <v>#DIV/0!</v>
      </c>
    </row>
    <row r="712">
      <c r="A712" s="15" t="s">
        <v>7167</v>
      </c>
      <c r="B712" s="18"/>
      <c r="C712" s="15" t="s">
        <v>7168</v>
      </c>
      <c r="D712" s="18"/>
      <c r="E712" s="17" t="s">
        <v>7169</v>
      </c>
      <c r="F712" s="18"/>
      <c r="G712" s="18"/>
      <c r="H712" s="15" t="s">
        <v>7170</v>
      </c>
      <c r="I712" s="15" t="s">
        <v>356</v>
      </c>
      <c r="J712" s="19" t="s">
        <v>36</v>
      </c>
      <c r="K712" s="19" t="s">
        <v>603</v>
      </c>
      <c r="L712" s="19" t="s">
        <v>38</v>
      </c>
      <c r="M712" s="20">
        <f t="shared" si="2"/>
        <v>0</v>
      </c>
      <c r="N712" s="22"/>
      <c r="O712" s="19" t="s">
        <v>39</v>
      </c>
      <c r="P712" s="18"/>
      <c r="Q712" s="18"/>
      <c r="R712" s="23">
        <v>0.0</v>
      </c>
      <c r="S712" s="23">
        <v>0.0</v>
      </c>
      <c r="T712" s="23">
        <f t="shared" si="3"/>
        <v>0</v>
      </c>
      <c r="U712" s="23">
        <f t="shared" si="4"/>
        <v>0</v>
      </c>
      <c r="V712" s="23">
        <f t="shared" si="5"/>
        <v>0</v>
      </c>
      <c r="W712" s="24" t="str">
        <f t="shared" si="6"/>
        <v>#DIV/0!</v>
      </c>
    </row>
    <row r="713">
      <c r="A713" s="15" t="s">
        <v>7171</v>
      </c>
      <c r="B713" s="18"/>
      <c r="C713" s="15" t="s">
        <v>7172</v>
      </c>
      <c r="D713" s="18"/>
      <c r="E713" s="17" t="s">
        <v>7173</v>
      </c>
      <c r="F713" s="18"/>
      <c r="G713" s="18"/>
      <c r="H713" s="15" t="s">
        <v>7174</v>
      </c>
      <c r="I713" s="15" t="s">
        <v>4188</v>
      </c>
      <c r="J713" s="19" t="s">
        <v>36</v>
      </c>
      <c r="K713" s="19" t="s">
        <v>603</v>
      </c>
      <c r="L713" s="19" t="s">
        <v>38</v>
      </c>
      <c r="M713" s="20">
        <f t="shared" si="2"/>
        <v>0</v>
      </c>
      <c r="N713" s="22"/>
      <c r="O713" s="19" t="s">
        <v>39</v>
      </c>
      <c r="P713" s="18"/>
      <c r="Q713" s="18"/>
      <c r="R713" s="23">
        <v>0.0</v>
      </c>
      <c r="S713" s="23">
        <v>0.0</v>
      </c>
      <c r="T713" s="23">
        <f t="shared" si="3"/>
        <v>0</v>
      </c>
      <c r="U713" s="23">
        <f t="shared" si="4"/>
        <v>0</v>
      </c>
      <c r="V713" s="23">
        <f t="shared" si="5"/>
        <v>0</v>
      </c>
      <c r="W713" s="24" t="str">
        <f t="shared" si="6"/>
        <v>#DIV/0!</v>
      </c>
    </row>
    <row r="714">
      <c r="A714" s="15" t="s">
        <v>2225</v>
      </c>
      <c r="B714" s="18"/>
      <c r="C714" s="15" t="s">
        <v>7175</v>
      </c>
      <c r="D714" s="18"/>
      <c r="E714" s="17" t="s">
        <v>2226</v>
      </c>
      <c r="F714" s="18"/>
      <c r="G714" s="18"/>
      <c r="H714" s="15" t="s">
        <v>2227</v>
      </c>
      <c r="I714" s="15" t="s">
        <v>2228</v>
      </c>
      <c r="J714" s="19" t="s">
        <v>36</v>
      </c>
      <c r="K714" s="19" t="s">
        <v>603</v>
      </c>
      <c r="L714" s="19" t="s">
        <v>38</v>
      </c>
      <c r="M714" s="20">
        <f t="shared" si="2"/>
        <v>0</v>
      </c>
      <c r="N714" s="22"/>
      <c r="O714" s="19" t="s">
        <v>1145</v>
      </c>
      <c r="P714" s="18"/>
      <c r="Q714" s="18"/>
      <c r="R714" s="23">
        <v>0.0</v>
      </c>
      <c r="S714" s="23">
        <v>0.0</v>
      </c>
      <c r="T714" s="23">
        <f t="shared" si="3"/>
        <v>0</v>
      </c>
      <c r="U714" s="23">
        <f t="shared" si="4"/>
        <v>0</v>
      </c>
      <c r="V714" s="23">
        <f t="shared" si="5"/>
        <v>0</v>
      </c>
      <c r="W714" s="24" t="str">
        <f t="shared" si="6"/>
        <v>#DIV/0!</v>
      </c>
    </row>
    <row r="715">
      <c r="A715" s="15" t="s">
        <v>2229</v>
      </c>
      <c r="B715" s="18"/>
      <c r="C715" s="15" t="s">
        <v>7176</v>
      </c>
      <c r="D715" s="18"/>
      <c r="E715" s="17" t="s">
        <v>2230</v>
      </c>
      <c r="F715" s="18"/>
      <c r="G715" s="18"/>
      <c r="H715" s="15" t="s">
        <v>2231</v>
      </c>
      <c r="I715" s="15" t="s">
        <v>2232</v>
      </c>
      <c r="J715" s="19" t="s">
        <v>36</v>
      </c>
      <c r="K715" s="19" t="s">
        <v>105</v>
      </c>
      <c r="L715" s="19" t="s">
        <v>38</v>
      </c>
      <c r="M715" s="20">
        <f t="shared" si="2"/>
        <v>0</v>
      </c>
      <c r="N715" s="22"/>
      <c r="O715" s="19" t="s">
        <v>1145</v>
      </c>
      <c r="P715" s="18"/>
      <c r="Q715" s="18"/>
      <c r="R715" s="23">
        <v>0.0</v>
      </c>
      <c r="S715" s="23">
        <v>0.0</v>
      </c>
      <c r="T715" s="23">
        <f t="shared" si="3"/>
        <v>0</v>
      </c>
      <c r="U715" s="23">
        <f t="shared" si="4"/>
        <v>0</v>
      </c>
      <c r="V715" s="23">
        <f t="shared" si="5"/>
        <v>0</v>
      </c>
      <c r="W715" s="24" t="str">
        <f t="shared" si="6"/>
        <v>#DIV/0!</v>
      </c>
    </row>
    <row r="716">
      <c r="A716" s="15" t="s">
        <v>2233</v>
      </c>
      <c r="B716" s="18"/>
      <c r="C716" s="15" t="s">
        <v>7177</v>
      </c>
      <c r="D716" s="18"/>
      <c r="E716" s="17" t="s">
        <v>2234</v>
      </c>
      <c r="F716" s="18"/>
      <c r="G716" s="18"/>
      <c r="H716" s="15" t="s">
        <v>2235</v>
      </c>
      <c r="I716" s="15" t="s">
        <v>2236</v>
      </c>
      <c r="J716" s="19" t="s">
        <v>36</v>
      </c>
      <c r="K716" s="19" t="s">
        <v>105</v>
      </c>
      <c r="L716" s="19" t="s">
        <v>38</v>
      </c>
      <c r="M716" s="20">
        <f t="shared" si="2"/>
        <v>0</v>
      </c>
      <c r="N716" s="22"/>
      <c r="O716" s="19" t="s">
        <v>1145</v>
      </c>
      <c r="P716" s="18"/>
      <c r="Q716" s="18"/>
      <c r="R716" s="23">
        <v>0.0</v>
      </c>
      <c r="S716" s="23">
        <v>0.0</v>
      </c>
      <c r="T716" s="23">
        <f t="shared" si="3"/>
        <v>0</v>
      </c>
      <c r="U716" s="23">
        <f t="shared" si="4"/>
        <v>0</v>
      </c>
      <c r="V716" s="23">
        <f t="shared" si="5"/>
        <v>0</v>
      </c>
      <c r="W716" s="24" t="str">
        <f t="shared" si="6"/>
        <v>#DIV/0!</v>
      </c>
    </row>
    <row r="717">
      <c r="A717" s="15" t="s">
        <v>2237</v>
      </c>
      <c r="B717" s="18"/>
      <c r="C717" s="15" t="s">
        <v>7178</v>
      </c>
      <c r="D717" s="18"/>
      <c r="E717" s="17" t="s">
        <v>2238</v>
      </c>
      <c r="F717" s="18"/>
      <c r="G717" s="18"/>
      <c r="H717" s="15" t="s">
        <v>2239</v>
      </c>
      <c r="I717" s="15" t="s">
        <v>2240</v>
      </c>
      <c r="J717" s="19" t="s">
        <v>36</v>
      </c>
      <c r="K717" s="19" t="s">
        <v>1269</v>
      </c>
      <c r="L717" s="19" t="s">
        <v>38</v>
      </c>
      <c r="M717" s="20">
        <f t="shared" si="2"/>
        <v>0</v>
      </c>
      <c r="N717" s="22"/>
      <c r="O717" s="19" t="s">
        <v>1145</v>
      </c>
      <c r="P717" s="18"/>
      <c r="Q717" s="18"/>
      <c r="R717" s="23">
        <v>0.0</v>
      </c>
      <c r="S717" s="23">
        <v>0.0</v>
      </c>
      <c r="T717" s="23">
        <f t="shared" si="3"/>
        <v>0</v>
      </c>
      <c r="U717" s="23">
        <f t="shared" si="4"/>
        <v>0</v>
      </c>
      <c r="V717" s="23">
        <f t="shared" si="5"/>
        <v>0</v>
      </c>
      <c r="W717" s="24" t="str">
        <f t="shared" si="6"/>
        <v>#DIV/0!</v>
      </c>
    </row>
    <row r="718">
      <c r="A718" s="15" t="s">
        <v>2241</v>
      </c>
      <c r="B718" s="18"/>
      <c r="C718" s="15" t="s">
        <v>7179</v>
      </c>
      <c r="D718" s="18"/>
      <c r="E718" s="17" t="s">
        <v>2242</v>
      </c>
      <c r="F718" s="18"/>
      <c r="G718" s="18"/>
      <c r="H718" s="15" t="s">
        <v>2243</v>
      </c>
      <c r="I718" s="15" t="s">
        <v>2244</v>
      </c>
      <c r="J718" s="19" t="s">
        <v>36</v>
      </c>
      <c r="K718" s="19" t="s">
        <v>603</v>
      </c>
      <c r="L718" s="19" t="s">
        <v>38</v>
      </c>
      <c r="M718" s="20">
        <f t="shared" si="2"/>
        <v>0</v>
      </c>
      <c r="N718" s="22"/>
      <c r="O718" s="19" t="s">
        <v>1145</v>
      </c>
      <c r="P718" s="18"/>
      <c r="Q718" s="18"/>
      <c r="R718" s="23">
        <v>0.0</v>
      </c>
      <c r="S718" s="23">
        <v>0.0</v>
      </c>
      <c r="T718" s="23">
        <f t="shared" si="3"/>
        <v>0</v>
      </c>
      <c r="U718" s="23">
        <f t="shared" si="4"/>
        <v>0</v>
      </c>
      <c r="V718" s="23">
        <f t="shared" si="5"/>
        <v>0</v>
      </c>
      <c r="W718" s="24" t="str">
        <f t="shared" si="6"/>
        <v>#DIV/0!</v>
      </c>
    </row>
    <row r="719">
      <c r="A719" s="15" t="s">
        <v>2245</v>
      </c>
      <c r="B719" s="18"/>
      <c r="C719" s="15" t="s">
        <v>7180</v>
      </c>
      <c r="D719" s="18"/>
      <c r="E719" s="17" t="s">
        <v>2246</v>
      </c>
      <c r="F719" s="18"/>
      <c r="G719" s="18"/>
      <c r="H719" s="15" t="s">
        <v>2247</v>
      </c>
      <c r="I719" s="15" t="s">
        <v>2248</v>
      </c>
      <c r="J719" s="19" t="s">
        <v>36</v>
      </c>
      <c r="K719" s="19" t="s">
        <v>1230</v>
      </c>
      <c r="L719" s="19" t="s">
        <v>38</v>
      </c>
      <c r="M719" s="20">
        <f t="shared" si="2"/>
        <v>0</v>
      </c>
      <c r="N719" s="22"/>
      <c r="O719" s="19" t="s">
        <v>1145</v>
      </c>
      <c r="P719" s="18"/>
      <c r="Q719" s="18"/>
      <c r="R719" s="23">
        <v>0.0</v>
      </c>
      <c r="S719" s="23">
        <v>0.0</v>
      </c>
      <c r="T719" s="23">
        <f t="shared" si="3"/>
        <v>0</v>
      </c>
      <c r="U719" s="23">
        <f t="shared" si="4"/>
        <v>0</v>
      </c>
      <c r="V719" s="23">
        <f t="shared" si="5"/>
        <v>0</v>
      </c>
      <c r="W719" s="24" t="str">
        <f t="shared" si="6"/>
        <v>#DIV/0!</v>
      </c>
    </row>
    <row r="720">
      <c r="A720" s="15" t="s">
        <v>2249</v>
      </c>
      <c r="B720" s="18"/>
      <c r="C720" s="15" t="s">
        <v>7181</v>
      </c>
      <c r="D720" s="18"/>
      <c r="E720" s="17" t="s">
        <v>2250</v>
      </c>
      <c r="F720" s="18"/>
      <c r="G720" s="18"/>
      <c r="H720" s="15" t="s">
        <v>2251</v>
      </c>
      <c r="I720" s="15" t="s">
        <v>2252</v>
      </c>
      <c r="J720" s="19" t="s">
        <v>36</v>
      </c>
      <c r="K720" s="19" t="s">
        <v>1230</v>
      </c>
      <c r="L720" s="19" t="s">
        <v>38</v>
      </c>
      <c r="M720" s="20">
        <f t="shared" si="2"/>
        <v>0</v>
      </c>
      <c r="N720" s="22"/>
      <c r="O720" s="19" t="s">
        <v>1145</v>
      </c>
      <c r="P720" s="18"/>
      <c r="Q720" s="18"/>
      <c r="R720" s="23">
        <v>0.0</v>
      </c>
      <c r="S720" s="23">
        <v>0.0</v>
      </c>
      <c r="T720" s="23">
        <f t="shared" si="3"/>
        <v>0</v>
      </c>
      <c r="U720" s="23">
        <f t="shared" si="4"/>
        <v>0</v>
      </c>
      <c r="V720" s="23">
        <f t="shared" si="5"/>
        <v>0</v>
      </c>
      <c r="W720" s="24" t="str">
        <f t="shared" si="6"/>
        <v>#DIV/0!</v>
      </c>
    </row>
    <row r="721">
      <c r="A721" s="15" t="s">
        <v>2253</v>
      </c>
      <c r="B721" s="18"/>
      <c r="C721" s="15" t="s">
        <v>7182</v>
      </c>
      <c r="D721" s="18"/>
      <c r="E721" s="17" t="s">
        <v>2254</v>
      </c>
      <c r="F721" s="18"/>
      <c r="G721" s="18"/>
      <c r="H721" s="15" t="s">
        <v>2255</v>
      </c>
      <c r="I721" s="15" t="s">
        <v>2256</v>
      </c>
      <c r="J721" s="19" t="s">
        <v>36</v>
      </c>
      <c r="K721" s="19" t="s">
        <v>1230</v>
      </c>
      <c r="L721" s="19" t="s">
        <v>38</v>
      </c>
      <c r="M721" s="20">
        <f t="shared" si="2"/>
        <v>0</v>
      </c>
      <c r="N721" s="22"/>
      <c r="O721" s="19" t="s">
        <v>1145</v>
      </c>
      <c r="P721" s="18"/>
      <c r="Q721" s="18"/>
      <c r="R721" s="23">
        <v>0.0</v>
      </c>
      <c r="S721" s="23">
        <v>0.0</v>
      </c>
      <c r="T721" s="23">
        <f t="shared" si="3"/>
        <v>0</v>
      </c>
      <c r="U721" s="23">
        <f t="shared" si="4"/>
        <v>0</v>
      </c>
      <c r="V721" s="23">
        <f t="shared" si="5"/>
        <v>0</v>
      </c>
      <c r="W721" s="24" t="str">
        <f t="shared" si="6"/>
        <v>#DIV/0!</v>
      </c>
    </row>
    <row r="722">
      <c r="A722" s="15" t="s">
        <v>7183</v>
      </c>
      <c r="B722" s="18"/>
      <c r="C722" s="15" t="s">
        <v>7184</v>
      </c>
      <c r="D722" s="18"/>
      <c r="E722" s="17" t="s">
        <v>7185</v>
      </c>
      <c r="F722" s="18"/>
      <c r="G722" s="18"/>
      <c r="H722" s="15" t="s">
        <v>7186</v>
      </c>
      <c r="I722" s="15" t="s">
        <v>7187</v>
      </c>
      <c r="J722" s="19" t="s">
        <v>36</v>
      </c>
      <c r="K722" s="19" t="s">
        <v>603</v>
      </c>
      <c r="L722" s="19" t="s">
        <v>38</v>
      </c>
      <c r="M722" s="20">
        <f t="shared" si="2"/>
        <v>0</v>
      </c>
      <c r="N722" s="22"/>
      <c r="O722" s="19" t="s">
        <v>39</v>
      </c>
      <c r="P722" s="18"/>
      <c r="Q722" s="18"/>
      <c r="R722" s="23">
        <v>0.0</v>
      </c>
      <c r="S722" s="23">
        <v>0.0</v>
      </c>
      <c r="T722" s="23">
        <f t="shared" si="3"/>
        <v>0</v>
      </c>
      <c r="U722" s="23">
        <f t="shared" si="4"/>
        <v>0</v>
      </c>
      <c r="V722" s="23">
        <f t="shared" si="5"/>
        <v>0</v>
      </c>
      <c r="W722" s="24" t="str">
        <f t="shared" si="6"/>
        <v>#DIV/0!</v>
      </c>
    </row>
    <row r="723">
      <c r="A723" s="15" t="s">
        <v>2257</v>
      </c>
      <c r="B723" s="18"/>
      <c r="C723" s="15" t="s">
        <v>7188</v>
      </c>
      <c r="D723" s="18"/>
      <c r="E723" s="17" t="s">
        <v>2258</v>
      </c>
      <c r="F723" s="18"/>
      <c r="G723" s="18"/>
      <c r="H723" s="15" t="s">
        <v>2259</v>
      </c>
      <c r="I723" s="15" t="s">
        <v>2260</v>
      </c>
      <c r="J723" s="19" t="s">
        <v>36</v>
      </c>
      <c r="K723" s="19" t="s">
        <v>1269</v>
      </c>
      <c r="L723" s="19" t="s">
        <v>38</v>
      </c>
      <c r="M723" s="20">
        <f t="shared" si="2"/>
        <v>0</v>
      </c>
      <c r="N723" s="22"/>
      <c r="O723" s="19" t="s">
        <v>1145</v>
      </c>
      <c r="P723" s="18"/>
      <c r="Q723" s="18"/>
      <c r="R723" s="23">
        <v>0.0</v>
      </c>
      <c r="S723" s="23">
        <v>0.0</v>
      </c>
      <c r="T723" s="23">
        <f t="shared" si="3"/>
        <v>0</v>
      </c>
      <c r="U723" s="23">
        <f t="shared" si="4"/>
        <v>0</v>
      </c>
      <c r="V723" s="23">
        <f t="shared" si="5"/>
        <v>0</v>
      </c>
      <c r="W723" s="24" t="str">
        <f t="shared" si="6"/>
        <v>#DIV/0!</v>
      </c>
    </row>
    <row r="724">
      <c r="A724" s="15" t="s">
        <v>7189</v>
      </c>
      <c r="B724" s="18"/>
      <c r="C724" s="15" t="s">
        <v>7190</v>
      </c>
      <c r="D724" s="18"/>
      <c r="E724" s="17" t="s">
        <v>7191</v>
      </c>
      <c r="F724" s="18"/>
      <c r="G724" s="18"/>
      <c r="H724" s="15" t="s">
        <v>7192</v>
      </c>
      <c r="I724" s="15" t="s">
        <v>553</v>
      </c>
      <c r="J724" s="19" t="s">
        <v>36</v>
      </c>
      <c r="K724" s="19" t="s">
        <v>1269</v>
      </c>
      <c r="L724" s="19" t="s">
        <v>38</v>
      </c>
      <c r="M724" s="20">
        <f t="shared" si="2"/>
        <v>0</v>
      </c>
      <c r="N724" s="22"/>
      <c r="O724" s="19" t="s">
        <v>39</v>
      </c>
      <c r="P724" s="18"/>
      <c r="Q724" s="18"/>
      <c r="R724" s="23">
        <v>0.0</v>
      </c>
      <c r="S724" s="23">
        <v>0.0</v>
      </c>
      <c r="T724" s="23">
        <f t="shared" si="3"/>
        <v>0</v>
      </c>
      <c r="U724" s="23">
        <f t="shared" si="4"/>
        <v>0</v>
      </c>
      <c r="V724" s="23">
        <f t="shared" si="5"/>
        <v>0</v>
      </c>
      <c r="W724" s="24" t="str">
        <f t="shared" si="6"/>
        <v>#DIV/0!</v>
      </c>
    </row>
    <row r="725">
      <c r="A725" s="15" t="s">
        <v>7193</v>
      </c>
      <c r="B725" s="18"/>
      <c r="C725" s="15" t="s">
        <v>7194</v>
      </c>
      <c r="D725" s="18"/>
      <c r="E725" s="17" t="s">
        <v>7195</v>
      </c>
      <c r="F725" s="18"/>
      <c r="G725" s="18"/>
      <c r="H725" s="15" t="s">
        <v>7196</v>
      </c>
      <c r="I725" s="15" t="s">
        <v>7197</v>
      </c>
      <c r="J725" s="19" t="s">
        <v>36</v>
      </c>
      <c r="K725" s="19" t="s">
        <v>1269</v>
      </c>
      <c r="L725" s="19" t="s">
        <v>38</v>
      </c>
      <c r="M725" s="20">
        <f t="shared" si="2"/>
        <v>0</v>
      </c>
      <c r="N725" s="22"/>
      <c r="O725" s="19" t="s">
        <v>39</v>
      </c>
      <c r="P725" s="18"/>
      <c r="Q725" s="18"/>
      <c r="R725" s="23">
        <v>0.0</v>
      </c>
      <c r="S725" s="23">
        <v>0.0</v>
      </c>
      <c r="T725" s="23">
        <f t="shared" si="3"/>
        <v>0</v>
      </c>
      <c r="U725" s="23">
        <f t="shared" si="4"/>
        <v>0</v>
      </c>
      <c r="V725" s="23">
        <f t="shared" si="5"/>
        <v>0</v>
      </c>
      <c r="W725" s="24" t="str">
        <f t="shared" si="6"/>
        <v>#DIV/0!</v>
      </c>
    </row>
    <row r="726">
      <c r="A726" s="15" t="s">
        <v>2261</v>
      </c>
      <c r="B726" s="18"/>
      <c r="C726" s="15" t="s">
        <v>7198</v>
      </c>
      <c r="D726" s="18"/>
      <c r="E726" s="17" t="s">
        <v>2262</v>
      </c>
      <c r="F726" s="18"/>
      <c r="G726" s="18"/>
      <c r="H726" s="15" t="s">
        <v>2263</v>
      </c>
      <c r="I726" s="15" t="s">
        <v>2264</v>
      </c>
      <c r="J726" s="19" t="s">
        <v>36</v>
      </c>
      <c r="K726" s="19" t="s">
        <v>603</v>
      </c>
      <c r="L726" s="19" t="s">
        <v>38</v>
      </c>
      <c r="M726" s="20">
        <f t="shared" si="2"/>
        <v>0</v>
      </c>
      <c r="N726" s="22"/>
      <c r="O726" s="19" t="s">
        <v>1145</v>
      </c>
      <c r="P726" s="18"/>
      <c r="Q726" s="18"/>
      <c r="R726" s="23">
        <v>0.0</v>
      </c>
      <c r="S726" s="23">
        <v>0.0</v>
      </c>
      <c r="T726" s="23">
        <f t="shared" si="3"/>
        <v>0</v>
      </c>
      <c r="U726" s="23">
        <f t="shared" si="4"/>
        <v>0</v>
      </c>
      <c r="V726" s="23">
        <f t="shared" si="5"/>
        <v>0</v>
      </c>
      <c r="W726" s="24" t="str">
        <f t="shared" si="6"/>
        <v>#DIV/0!</v>
      </c>
    </row>
    <row r="727">
      <c r="A727" s="15" t="s">
        <v>2265</v>
      </c>
      <c r="B727" s="18"/>
      <c r="C727" s="15" t="s">
        <v>7199</v>
      </c>
      <c r="D727" s="18"/>
      <c r="E727" s="17" t="s">
        <v>2266</v>
      </c>
      <c r="F727" s="18"/>
      <c r="G727" s="18"/>
      <c r="H727" s="15" t="s">
        <v>2267</v>
      </c>
      <c r="I727" s="15" t="s">
        <v>2268</v>
      </c>
      <c r="J727" s="19" t="s">
        <v>36</v>
      </c>
      <c r="K727" s="19" t="s">
        <v>603</v>
      </c>
      <c r="L727" s="19" t="s">
        <v>38</v>
      </c>
      <c r="M727" s="20">
        <f t="shared" si="2"/>
        <v>0</v>
      </c>
      <c r="N727" s="22"/>
      <c r="O727" s="19" t="s">
        <v>1145</v>
      </c>
      <c r="P727" s="18"/>
      <c r="Q727" s="18"/>
      <c r="R727" s="23">
        <v>0.0</v>
      </c>
      <c r="S727" s="23">
        <v>0.0</v>
      </c>
      <c r="T727" s="23">
        <f t="shared" si="3"/>
        <v>0</v>
      </c>
      <c r="U727" s="23">
        <f t="shared" si="4"/>
        <v>0</v>
      </c>
      <c r="V727" s="23">
        <f t="shared" si="5"/>
        <v>0</v>
      </c>
      <c r="W727" s="24" t="str">
        <f t="shared" si="6"/>
        <v>#DIV/0!</v>
      </c>
    </row>
    <row r="728">
      <c r="A728" s="15" t="s">
        <v>2269</v>
      </c>
      <c r="B728" s="18"/>
      <c r="C728" s="15" t="s">
        <v>7200</v>
      </c>
      <c r="D728" s="18"/>
      <c r="E728" s="17" t="s">
        <v>2270</v>
      </c>
      <c r="F728" s="18"/>
      <c r="G728" s="18"/>
      <c r="H728" s="15" t="s">
        <v>2271</v>
      </c>
      <c r="I728" s="15" t="s">
        <v>2272</v>
      </c>
      <c r="J728" s="19" t="s">
        <v>36</v>
      </c>
      <c r="K728" s="19" t="s">
        <v>603</v>
      </c>
      <c r="L728" s="19" t="s">
        <v>38</v>
      </c>
      <c r="M728" s="20">
        <f t="shared" si="2"/>
        <v>0</v>
      </c>
      <c r="N728" s="22"/>
      <c r="O728" s="19" t="s">
        <v>1145</v>
      </c>
      <c r="P728" s="18"/>
      <c r="Q728" s="18"/>
      <c r="R728" s="23">
        <v>0.0</v>
      </c>
      <c r="S728" s="23">
        <v>0.0</v>
      </c>
      <c r="T728" s="23">
        <f t="shared" si="3"/>
        <v>0</v>
      </c>
      <c r="U728" s="23">
        <f t="shared" si="4"/>
        <v>0</v>
      </c>
      <c r="V728" s="23">
        <f t="shared" si="5"/>
        <v>0</v>
      </c>
      <c r="W728" s="24" t="str">
        <f t="shared" si="6"/>
        <v>#DIV/0!</v>
      </c>
    </row>
    <row r="729">
      <c r="A729" s="15" t="s">
        <v>2273</v>
      </c>
      <c r="B729" s="18"/>
      <c r="C729" s="15" t="s">
        <v>7201</v>
      </c>
      <c r="D729" s="18"/>
      <c r="E729" s="17" t="s">
        <v>2274</v>
      </c>
      <c r="F729" s="18"/>
      <c r="G729" s="18"/>
      <c r="H729" s="15" t="s">
        <v>2275</v>
      </c>
      <c r="I729" s="15" t="s">
        <v>2276</v>
      </c>
      <c r="J729" s="19" t="s">
        <v>36</v>
      </c>
      <c r="K729" s="19" t="s">
        <v>603</v>
      </c>
      <c r="L729" s="19" t="s">
        <v>38</v>
      </c>
      <c r="M729" s="20">
        <f t="shared" si="2"/>
        <v>0</v>
      </c>
      <c r="N729" s="22"/>
      <c r="O729" s="19" t="s">
        <v>1145</v>
      </c>
      <c r="P729" s="18"/>
      <c r="Q729" s="18"/>
      <c r="R729" s="23">
        <v>0.0</v>
      </c>
      <c r="S729" s="23">
        <v>0.0</v>
      </c>
      <c r="T729" s="23">
        <f t="shared" si="3"/>
        <v>0</v>
      </c>
      <c r="U729" s="23">
        <f t="shared" si="4"/>
        <v>0</v>
      </c>
      <c r="V729" s="23">
        <f t="shared" si="5"/>
        <v>0</v>
      </c>
      <c r="W729" s="24" t="str">
        <f t="shared" si="6"/>
        <v>#DIV/0!</v>
      </c>
    </row>
    <row r="730">
      <c r="A730" s="15" t="s">
        <v>2277</v>
      </c>
      <c r="B730" s="18"/>
      <c r="C730" s="15" t="s">
        <v>7202</v>
      </c>
      <c r="D730" s="18"/>
      <c r="E730" s="17" t="s">
        <v>2278</v>
      </c>
      <c r="F730" s="18"/>
      <c r="G730" s="18"/>
      <c r="H730" s="15" t="s">
        <v>2279</v>
      </c>
      <c r="I730" s="15" t="s">
        <v>2280</v>
      </c>
      <c r="J730" s="19" t="s">
        <v>36</v>
      </c>
      <c r="K730" s="19" t="s">
        <v>603</v>
      </c>
      <c r="L730" s="19" t="s">
        <v>38</v>
      </c>
      <c r="M730" s="20">
        <f t="shared" si="2"/>
        <v>0</v>
      </c>
      <c r="N730" s="22"/>
      <c r="O730" s="19" t="s">
        <v>1145</v>
      </c>
      <c r="P730" s="18"/>
      <c r="Q730" s="18"/>
      <c r="R730" s="23">
        <v>0.0</v>
      </c>
      <c r="S730" s="23">
        <v>0.0</v>
      </c>
      <c r="T730" s="23">
        <f t="shared" si="3"/>
        <v>0</v>
      </c>
      <c r="U730" s="23">
        <f t="shared" si="4"/>
        <v>0</v>
      </c>
      <c r="V730" s="23">
        <f t="shared" si="5"/>
        <v>0</v>
      </c>
      <c r="W730" s="24" t="str">
        <f t="shared" si="6"/>
        <v>#DIV/0!</v>
      </c>
    </row>
    <row r="731">
      <c r="A731" s="15" t="s">
        <v>2281</v>
      </c>
      <c r="B731" s="18"/>
      <c r="C731" s="15" t="s">
        <v>7203</v>
      </c>
      <c r="D731" s="18"/>
      <c r="E731" s="17" t="s">
        <v>2282</v>
      </c>
      <c r="F731" s="18"/>
      <c r="G731" s="18"/>
      <c r="H731" s="15" t="s">
        <v>2283</v>
      </c>
      <c r="I731" s="15" t="s">
        <v>2284</v>
      </c>
      <c r="J731" s="19" t="s">
        <v>36</v>
      </c>
      <c r="K731" s="19" t="s">
        <v>603</v>
      </c>
      <c r="L731" s="19" t="s">
        <v>38</v>
      </c>
      <c r="M731" s="20">
        <f t="shared" si="2"/>
        <v>0</v>
      </c>
      <c r="N731" s="22"/>
      <c r="O731" s="19" t="s">
        <v>1145</v>
      </c>
      <c r="P731" s="18"/>
      <c r="Q731" s="18"/>
      <c r="R731" s="23">
        <v>0.0</v>
      </c>
      <c r="S731" s="23">
        <v>0.0</v>
      </c>
      <c r="T731" s="23">
        <f t="shared" si="3"/>
        <v>0</v>
      </c>
      <c r="U731" s="23">
        <f t="shared" si="4"/>
        <v>0</v>
      </c>
      <c r="V731" s="23">
        <f t="shared" si="5"/>
        <v>0</v>
      </c>
      <c r="W731" s="24" t="str">
        <f t="shared" si="6"/>
        <v>#DIV/0!</v>
      </c>
    </row>
    <row r="732">
      <c r="A732" s="15" t="s">
        <v>2285</v>
      </c>
      <c r="B732" s="18"/>
      <c r="C732" s="15" t="s">
        <v>7204</v>
      </c>
      <c r="D732" s="18"/>
      <c r="E732" s="17" t="s">
        <v>2286</v>
      </c>
      <c r="F732" s="18"/>
      <c r="G732" s="18"/>
      <c r="H732" s="15" t="s">
        <v>2287</v>
      </c>
      <c r="I732" s="15" t="s">
        <v>2288</v>
      </c>
      <c r="J732" s="19" t="s">
        <v>36</v>
      </c>
      <c r="K732" s="19" t="s">
        <v>603</v>
      </c>
      <c r="L732" s="19" t="s">
        <v>38</v>
      </c>
      <c r="M732" s="20">
        <f t="shared" si="2"/>
        <v>0</v>
      </c>
      <c r="N732" s="22"/>
      <c r="O732" s="19" t="s">
        <v>1145</v>
      </c>
      <c r="P732" s="18"/>
      <c r="Q732" s="18"/>
      <c r="R732" s="23">
        <v>0.0</v>
      </c>
      <c r="S732" s="23">
        <v>0.0</v>
      </c>
      <c r="T732" s="23">
        <f t="shared" si="3"/>
        <v>0</v>
      </c>
      <c r="U732" s="23">
        <f t="shared" si="4"/>
        <v>0</v>
      </c>
      <c r="V732" s="23">
        <f t="shared" si="5"/>
        <v>0</v>
      </c>
      <c r="W732" s="24" t="str">
        <f t="shared" si="6"/>
        <v>#DIV/0!</v>
      </c>
    </row>
    <row r="733">
      <c r="A733" s="15" t="s">
        <v>7205</v>
      </c>
      <c r="B733" s="18"/>
      <c r="C733" s="15" t="s">
        <v>7206</v>
      </c>
      <c r="D733" s="15" t="s">
        <v>7207</v>
      </c>
      <c r="E733" s="17" t="s">
        <v>7208</v>
      </c>
      <c r="F733" s="18"/>
      <c r="G733" s="18"/>
      <c r="H733" s="15" t="s">
        <v>7209</v>
      </c>
      <c r="I733" s="15" t="s">
        <v>7210</v>
      </c>
      <c r="J733" s="19" t="s">
        <v>36</v>
      </c>
      <c r="K733" s="19" t="s">
        <v>1230</v>
      </c>
      <c r="L733" s="19" t="s">
        <v>38</v>
      </c>
      <c r="M733" s="20">
        <f t="shared" si="2"/>
        <v>0</v>
      </c>
      <c r="N733" s="22"/>
      <c r="O733" s="19" t="s">
        <v>39</v>
      </c>
      <c r="P733" s="18"/>
      <c r="Q733" s="18"/>
      <c r="R733" s="23">
        <v>0.0</v>
      </c>
      <c r="S733" s="23">
        <v>0.0</v>
      </c>
      <c r="T733" s="23">
        <f t="shared" si="3"/>
        <v>0</v>
      </c>
      <c r="U733" s="23">
        <f t="shared" si="4"/>
        <v>0</v>
      </c>
      <c r="V733" s="23">
        <f t="shared" si="5"/>
        <v>0</v>
      </c>
      <c r="W733" s="24" t="str">
        <f t="shared" si="6"/>
        <v>#DIV/0!</v>
      </c>
    </row>
    <row r="734">
      <c r="A734" s="15" t="s">
        <v>611</v>
      </c>
      <c r="B734" s="15" t="s">
        <v>612</v>
      </c>
      <c r="C734" s="15" t="s">
        <v>6005</v>
      </c>
      <c r="D734" s="15" t="s">
        <v>613</v>
      </c>
      <c r="E734" s="17" t="s">
        <v>614</v>
      </c>
      <c r="F734" s="18"/>
      <c r="G734" s="18"/>
      <c r="H734" s="15" t="s">
        <v>615</v>
      </c>
      <c r="I734" s="15"/>
      <c r="J734" s="19" t="s">
        <v>36</v>
      </c>
      <c r="K734" s="19" t="s">
        <v>1230</v>
      </c>
      <c r="L734" s="19" t="s">
        <v>38</v>
      </c>
      <c r="M734" s="20">
        <f t="shared" si="2"/>
        <v>4937.28</v>
      </c>
      <c r="N734" s="31">
        <v>3.0</v>
      </c>
      <c r="O734" s="19" t="s">
        <v>107</v>
      </c>
      <c r="P734" s="18"/>
      <c r="Q734" s="18"/>
      <c r="R734" s="23">
        <v>22.0</v>
      </c>
      <c r="S734" s="23">
        <v>278.0</v>
      </c>
      <c r="T734" s="23">
        <f t="shared" si="3"/>
        <v>266.88</v>
      </c>
      <c r="U734" s="23">
        <f t="shared" si="4"/>
        <v>26.95</v>
      </c>
      <c r="V734" s="23">
        <f t="shared" si="5"/>
        <v>505.3125</v>
      </c>
      <c r="W734" s="24">
        <f t="shared" si="6"/>
        <v>12.13090909</v>
      </c>
    </row>
    <row r="735">
      <c r="A735" s="15" t="s">
        <v>7211</v>
      </c>
      <c r="B735" s="15" t="s">
        <v>658</v>
      </c>
      <c r="C735" s="15" t="s">
        <v>7212</v>
      </c>
      <c r="D735" s="18"/>
      <c r="E735" s="17" t="s">
        <v>7213</v>
      </c>
      <c r="F735" s="18"/>
      <c r="G735" s="18"/>
      <c r="H735" s="15" t="s">
        <v>7214</v>
      </c>
      <c r="I735" s="15" t="s">
        <v>7215</v>
      </c>
      <c r="J735" s="19" t="s">
        <v>36</v>
      </c>
      <c r="K735" s="19" t="s">
        <v>1230</v>
      </c>
      <c r="L735" s="19" t="s">
        <v>38</v>
      </c>
      <c r="M735" s="20">
        <f t="shared" si="2"/>
        <v>0</v>
      </c>
      <c r="N735" s="22"/>
      <c r="O735" s="19" t="s">
        <v>39</v>
      </c>
      <c r="P735" s="18"/>
      <c r="Q735" s="18"/>
      <c r="R735" s="23">
        <v>0.0</v>
      </c>
      <c r="S735" s="23">
        <v>0.0</v>
      </c>
      <c r="T735" s="23">
        <f t="shared" si="3"/>
        <v>0</v>
      </c>
      <c r="U735" s="23">
        <f t="shared" si="4"/>
        <v>0</v>
      </c>
      <c r="V735" s="23">
        <f t="shared" si="5"/>
        <v>0</v>
      </c>
      <c r="W735" s="24" t="str">
        <f t="shared" si="6"/>
        <v>#DIV/0!</v>
      </c>
    </row>
    <row r="736">
      <c r="A736" s="15" t="s">
        <v>657</v>
      </c>
      <c r="B736" s="15" t="s">
        <v>658</v>
      </c>
      <c r="C736" s="15" t="s">
        <v>6006</v>
      </c>
      <c r="D736" s="15" t="s">
        <v>659</v>
      </c>
      <c r="E736" s="17" t="s">
        <v>660</v>
      </c>
      <c r="F736" s="18"/>
      <c r="G736" s="18"/>
      <c r="H736" s="15" t="s">
        <v>661</v>
      </c>
      <c r="I736" s="15"/>
      <c r="J736" s="19" t="s">
        <v>36</v>
      </c>
      <c r="K736" s="19" t="s">
        <v>1230</v>
      </c>
      <c r="L736" s="19" t="s">
        <v>38</v>
      </c>
      <c r="M736" s="20">
        <f t="shared" si="2"/>
        <v>5807.52</v>
      </c>
      <c r="N736" s="31">
        <v>3.0</v>
      </c>
      <c r="O736" s="19" t="s">
        <v>107</v>
      </c>
      <c r="P736" s="18"/>
      <c r="Q736" s="18"/>
      <c r="R736" s="23">
        <v>25.0</v>
      </c>
      <c r="S736" s="23">
        <v>327.0</v>
      </c>
      <c r="T736" s="23">
        <f t="shared" si="3"/>
        <v>313.92</v>
      </c>
      <c r="U736" s="23">
        <f t="shared" si="4"/>
        <v>30.625</v>
      </c>
      <c r="V736" s="23">
        <f t="shared" si="5"/>
        <v>574.21875</v>
      </c>
      <c r="W736" s="24">
        <f t="shared" si="6"/>
        <v>12.5568</v>
      </c>
    </row>
    <row r="737">
      <c r="A737" s="15" t="s">
        <v>7216</v>
      </c>
      <c r="B737" s="18"/>
      <c r="C737" s="15" t="s">
        <v>7217</v>
      </c>
      <c r="D737" s="18"/>
      <c r="E737" s="17" t="s">
        <v>7218</v>
      </c>
      <c r="F737" s="18"/>
      <c r="G737" s="18"/>
      <c r="H737" s="15" t="s">
        <v>7219</v>
      </c>
      <c r="I737" s="15" t="s">
        <v>7220</v>
      </c>
      <c r="J737" s="19" t="s">
        <v>36</v>
      </c>
      <c r="K737" s="19" t="s">
        <v>1230</v>
      </c>
      <c r="L737" s="19" t="s">
        <v>38</v>
      </c>
      <c r="M737" s="20">
        <f t="shared" si="2"/>
        <v>0</v>
      </c>
      <c r="N737" s="22"/>
      <c r="O737" s="19" t="s">
        <v>39</v>
      </c>
      <c r="P737" s="18"/>
      <c r="Q737" s="18"/>
      <c r="R737" s="23">
        <v>0.0</v>
      </c>
      <c r="S737" s="23">
        <v>0.0</v>
      </c>
      <c r="T737" s="23">
        <f t="shared" si="3"/>
        <v>0</v>
      </c>
      <c r="U737" s="23">
        <f t="shared" si="4"/>
        <v>0</v>
      </c>
      <c r="V737" s="23">
        <f t="shared" si="5"/>
        <v>0</v>
      </c>
      <c r="W737" s="24" t="str">
        <f t="shared" si="6"/>
        <v>#DIV/0!</v>
      </c>
    </row>
    <row r="738">
      <c r="A738" s="15" t="s">
        <v>4816</v>
      </c>
      <c r="B738" s="18"/>
      <c r="C738" s="15" t="s">
        <v>7221</v>
      </c>
      <c r="D738" s="15" t="s">
        <v>4817</v>
      </c>
      <c r="E738" s="17" t="s">
        <v>4818</v>
      </c>
      <c r="F738" s="18"/>
      <c r="G738" s="18"/>
      <c r="H738" s="15" t="s">
        <v>4819</v>
      </c>
      <c r="I738" s="15" t="s">
        <v>4820</v>
      </c>
      <c r="J738" s="19" t="s">
        <v>36</v>
      </c>
      <c r="K738" s="19" t="s">
        <v>1230</v>
      </c>
      <c r="L738" s="19" t="s">
        <v>38</v>
      </c>
      <c r="M738" s="20">
        <f t="shared" si="2"/>
        <v>0</v>
      </c>
      <c r="N738" s="22"/>
      <c r="O738" s="19" t="s">
        <v>3578</v>
      </c>
      <c r="P738" s="18"/>
      <c r="Q738" s="18"/>
      <c r="R738" s="23">
        <v>0.0</v>
      </c>
      <c r="S738" s="23">
        <v>0.0</v>
      </c>
      <c r="T738" s="23">
        <f t="shared" si="3"/>
        <v>0</v>
      </c>
      <c r="U738" s="23">
        <f t="shared" si="4"/>
        <v>0</v>
      </c>
      <c r="V738" s="23">
        <f t="shared" si="5"/>
        <v>0</v>
      </c>
      <c r="W738" s="24" t="str">
        <f t="shared" si="6"/>
        <v>#DIV/0!</v>
      </c>
    </row>
    <row r="739">
      <c r="A739" s="15" t="s">
        <v>2289</v>
      </c>
      <c r="B739" s="18"/>
      <c r="C739" s="15" t="s">
        <v>7222</v>
      </c>
      <c r="D739" s="18"/>
      <c r="E739" s="17" t="s">
        <v>2290</v>
      </c>
      <c r="F739" s="18"/>
      <c r="G739" s="18"/>
      <c r="H739" s="15" t="s">
        <v>2291</v>
      </c>
      <c r="I739" s="15" t="s">
        <v>2292</v>
      </c>
      <c r="J739" s="19" t="s">
        <v>36</v>
      </c>
      <c r="K739" s="19" t="s">
        <v>105</v>
      </c>
      <c r="L739" s="19" t="s">
        <v>38</v>
      </c>
      <c r="M739" s="20">
        <f t="shared" si="2"/>
        <v>0</v>
      </c>
      <c r="N739" s="22"/>
      <c r="O739" s="19" t="s">
        <v>1145</v>
      </c>
      <c r="P739" s="18"/>
      <c r="Q739" s="18"/>
      <c r="R739" s="23">
        <v>0.0</v>
      </c>
      <c r="S739" s="23">
        <v>0.0</v>
      </c>
      <c r="T739" s="23">
        <f t="shared" si="3"/>
        <v>0</v>
      </c>
      <c r="U739" s="23">
        <f t="shared" si="4"/>
        <v>0</v>
      </c>
      <c r="V739" s="23">
        <f t="shared" si="5"/>
        <v>0</v>
      </c>
      <c r="W739" s="24" t="str">
        <f t="shared" si="6"/>
        <v>#DIV/0!</v>
      </c>
    </row>
    <row r="740">
      <c r="A740" s="15" t="s">
        <v>2293</v>
      </c>
      <c r="B740" s="18"/>
      <c r="C740" s="15" t="s">
        <v>7223</v>
      </c>
      <c r="D740" s="18"/>
      <c r="E740" s="17" t="s">
        <v>2294</v>
      </c>
      <c r="F740" s="18"/>
      <c r="G740" s="18"/>
      <c r="H740" s="15" t="s">
        <v>2295</v>
      </c>
      <c r="I740" s="15" t="s">
        <v>2296</v>
      </c>
      <c r="J740" s="19" t="s">
        <v>36</v>
      </c>
      <c r="K740" s="19" t="s">
        <v>1269</v>
      </c>
      <c r="L740" s="19" t="s">
        <v>38</v>
      </c>
      <c r="M740" s="20">
        <f t="shared" si="2"/>
        <v>0</v>
      </c>
      <c r="N740" s="22"/>
      <c r="O740" s="19" t="s">
        <v>1145</v>
      </c>
      <c r="P740" s="18"/>
      <c r="Q740" s="18"/>
      <c r="R740" s="23">
        <v>0.0</v>
      </c>
      <c r="S740" s="23">
        <v>0.0</v>
      </c>
      <c r="T740" s="23">
        <f t="shared" si="3"/>
        <v>0</v>
      </c>
      <c r="U740" s="23">
        <f t="shared" si="4"/>
        <v>0</v>
      </c>
      <c r="V740" s="23">
        <f t="shared" si="5"/>
        <v>0</v>
      </c>
      <c r="W740" s="24" t="str">
        <f t="shared" si="6"/>
        <v>#DIV/0!</v>
      </c>
    </row>
    <row r="741">
      <c r="A741" s="15" t="s">
        <v>7224</v>
      </c>
      <c r="B741" s="18"/>
      <c r="C741" s="15" t="s">
        <v>7225</v>
      </c>
      <c r="D741" s="18"/>
      <c r="E741" s="17" t="s">
        <v>7226</v>
      </c>
      <c r="F741" s="18"/>
      <c r="G741" s="18"/>
      <c r="H741" s="15" t="s">
        <v>7227</v>
      </c>
      <c r="I741" s="15" t="s">
        <v>609</v>
      </c>
      <c r="J741" s="19" t="s">
        <v>36</v>
      </c>
      <c r="K741" s="19" t="s">
        <v>1269</v>
      </c>
      <c r="L741" s="19" t="s">
        <v>38</v>
      </c>
      <c r="M741" s="20">
        <f t="shared" si="2"/>
        <v>0</v>
      </c>
      <c r="N741" s="22"/>
      <c r="O741" s="19" t="s">
        <v>39</v>
      </c>
      <c r="P741" s="18"/>
      <c r="Q741" s="18"/>
      <c r="R741" s="23">
        <v>0.0</v>
      </c>
      <c r="S741" s="23">
        <v>0.0</v>
      </c>
      <c r="T741" s="23">
        <f t="shared" si="3"/>
        <v>0</v>
      </c>
      <c r="U741" s="23">
        <f t="shared" si="4"/>
        <v>0</v>
      </c>
      <c r="V741" s="23">
        <f t="shared" si="5"/>
        <v>0</v>
      </c>
      <c r="W741" s="24" t="str">
        <f t="shared" si="6"/>
        <v>#DIV/0!</v>
      </c>
    </row>
    <row r="742">
      <c r="A742" s="15" t="s">
        <v>2297</v>
      </c>
      <c r="B742" s="18"/>
      <c r="C742" s="15" t="s">
        <v>7228</v>
      </c>
      <c r="D742" s="18"/>
      <c r="E742" s="17" t="s">
        <v>2298</v>
      </c>
      <c r="F742" s="18"/>
      <c r="G742" s="18"/>
      <c r="H742" s="15" t="s">
        <v>2299</v>
      </c>
      <c r="I742" s="15" t="s">
        <v>2300</v>
      </c>
      <c r="J742" s="19" t="s">
        <v>36</v>
      </c>
      <c r="K742" s="19" t="s">
        <v>1269</v>
      </c>
      <c r="L742" s="19" t="s">
        <v>38</v>
      </c>
      <c r="M742" s="20">
        <f t="shared" si="2"/>
        <v>0</v>
      </c>
      <c r="N742" s="22"/>
      <c r="O742" s="19" t="s">
        <v>1145</v>
      </c>
      <c r="P742" s="18"/>
      <c r="Q742" s="18"/>
      <c r="R742" s="23">
        <v>0.0</v>
      </c>
      <c r="S742" s="23">
        <v>0.0</v>
      </c>
      <c r="T742" s="23">
        <f t="shared" si="3"/>
        <v>0</v>
      </c>
      <c r="U742" s="23">
        <f t="shared" si="4"/>
        <v>0</v>
      </c>
      <c r="V742" s="23">
        <f t="shared" si="5"/>
        <v>0</v>
      </c>
      <c r="W742" s="24" t="str">
        <f t="shared" si="6"/>
        <v>#DIV/0!</v>
      </c>
    </row>
    <row r="743">
      <c r="A743" s="15" t="s">
        <v>2301</v>
      </c>
      <c r="B743" s="18"/>
      <c r="C743" s="15" t="s">
        <v>7229</v>
      </c>
      <c r="D743" s="18"/>
      <c r="E743" s="17" t="s">
        <v>2302</v>
      </c>
      <c r="F743" s="18"/>
      <c r="G743" s="18"/>
      <c r="H743" s="15" t="s">
        <v>2303</v>
      </c>
      <c r="I743" s="15" t="s">
        <v>2304</v>
      </c>
      <c r="J743" s="19" t="s">
        <v>36</v>
      </c>
      <c r="K743" s="19" t="s">
        <v>1230</v>
      </c>
      <c r="L743" s="19" t="s">
        <v>38</v>
      </c>
      <c r="M743" s="20">
        <f t="shared" si="2"/>
        <v>0</v>
      </c>
      <c r="N743" s="22"/>
      <c r="O743" s="19" t="s">
        <v>1145</v>
      </c>
      <c r="P743" s="18"/>
      <c r="Q743" s="18"/>
      <c r="R743" s="23">
        <v>0.0</v>
      </c>
      <c r="S743" s="23">
        <v>0.0</v>
      </c>
      <c r="T743" s="23">
        <f t="shared" si="3"/>
        <v>0</v>
      </c>
      <c r="U743" s="23">
        <f t="shared" si="4"/>
        <v>0</v>
      </c>
      <c r="V743" s="23">
        <f t="shared" si="5"/>
        <v>0</v>
      </c>
      <c r="W743" s="24" t="str">
        <f t="shared" si="6"/>
        <v>#DIV/0!</v>
      </c>
    </row>
    <row r="744">
      <c r="A744" s="15" t="s">
        <v>7230</v>
      </c>
      <c r="B744" s="18"/>
      <c r="C744" s="15" t="s">
        <v>7231</v>
      </c>
      <c r="D744" s="18"/>
      <c r="E744" s="17" t="s">
        <v>2310</v>
      </c>
      <c r="F744" s="18"/>
      <c r="G744" s="18"/>
      <c r="H744" s="15" t="s">
        <v>7232</v>
      </c>
      <c r="I744" s="15" t="s">
        <v>6469</v>
      </c>
      <c r="J744" s="19" t="s">
        <v>36</v>
      </c>
      <c r="K744" s="19" t="s">
        <v>1230</v>
      </c>
      <c r="L744" s="19" t="s">
        <v>38</v>
      </c>
      <c r="M744" s="20">
        <f t="shared" si="2"/>
        <v>0</v>
      </c>
      <c r="N744" s="22"/>
      <c r="O744" s="19" t="s">
        <v>39</v>
      </c>
      <c r="P744" s="18"/>
      <c r="Q744" s="18"/>
      <c r="R744" s="23">
        <v>0.0</v>
      </c>
      <c r="S744" s="23">
        <v>0.0</v>
      </c>
      <c r="T744" s="23">
        <f t="shared" si="3"/>
        <v>0</v>
      </c>
      <c r="U744" s="23">
        <f t="shared" si="4"/>
        <v>0</v>
      </c>
      <c r="V744" s="23">
        <f t="shared" si="5"/>
        <v>0</v>
      </c>
      <c r="W744" s="24" t="str">
        <f t="shared" si="6"/>
        <v>#DIV/0!</v>
      </c>
    </row>
    <row r="745">
      <c r="A745" s="15" t="s">
        <v>7233</v>
      </c>
      <c r="B745" s="15" t="s">
        <v>7234</v>
      </c>
      <c r="C745" s="15" t="s">
        <v>7235</v>
      </c>
      <c r="D745" s="18"/>
      <c r="E745" s="17" t="s">
        <v>7236</v>
      </c>
      <c r="F745" s="18"/>
      <c r="G745" s="18"/>
      <c r="H745" s="15" t="s">
        <v>7237</v>
      </c>
      <c r="I745" s="15" t="s">
        <v>426</v>
      </c>
      <c r="J745" s="19" t="s">
        <v>36</v>
      </c>
      <c r="K745" s="19" t="s">
        <v>1230</v>
      </c>
      <c r="L745" s="19" t="s">
        <v>38</v>
      </c>
      <c r="M745" s="20">
        <f t="shared" si="2"/>
        <v>0</v>
      </c>
      <c r="N745" s="22"/>
      <c r="O745" s="19" t="s">
        <v>39</v>
      </c>
      <c r="P745" s="18"/>
      <c r="Q745" s="18"/>
      <c r="R745" s="23">
        <v>0.0</v>
      </c>
      <c r="S745" s="23">
        <v>0.0</v>
      </c>
      <c r="T745" s="23">
        <f t="shared" si="3"/>
        <v>0</v>
      </c>
      <c r="U745" s="23">
        <f t="shared" si="4"/>
        <v>0</v>
      </c>
      <c r="V745" s="23">
        <f t="shared" si="5"/>
        <v>0</v>
      </c>
      <c r="W745" s="24" t="str">
        <f t="shared" si="6"/>
        <v>#DIV/0!</v>
      </c>
    </row>
    <row r="746">
      <c r="A746" s="15" t="s">
        <v>2305</v>
      </c>
      <c r="B746" s="18"/>
      <c r="C746" s="15" t="s">
        <v>7238</v>
      </c>
      <c r="D746" s="18"/>
      <c r="E746" s="17" t="s">
        <v>2306</v>
      </c>
      <c r="F746" s="18"/>
      <c r="G746" s="18"/>
      <c r="H746" s="15" t="s">
        <v>2307</v>
      </c>
      <c r="I746" s="15" t="s">
        <v>2308</v>
      </c>
      <c r="J746" s="19" t="s">
        <v>36</v>
      </c>
      <c r="K746" s="19" t="s">
        <v>1230</v>
      </c>
      <c r="L746" s="19" t="s">
        <v>38</v>
      </c>
      <c r="M746" s="20">
        <f t="shared" si="2"/>
        <v>0</v>
      </c>
      <c r="N746" s="22"/>
      <c r="O746" s="19" t="s">
        <v>1145</v>
      </c>
      <c r="P746" s="18"/>
      <c r="Q746" s="18"/>
      <c r="R746" s="23">
        <v>0.0</v>
      </c>
      <c r="S746" s="23">
        <v>0.0</v>
      </c>
      <c r="T746" s="23">
        <f t="shared" si="3"/>
        <v>0</v>
      </c>
      <c r="U746" s="23">
        <f t="shared" si="4"/>
        <v>0</v>
      </c>
      <c r="V746" s="23">
        <f t="shared" si="5"/>
        <v>0</v>
      </c>
      <c r="W746" s="24" t="str">
        <f t="shared" si="6"/>
        <v>#DIV/0!</v>
      </c>
    </row>
    <row r="747">
      <c r="A747" s="15" t="s">
        <v>2309</v>
      </c>
      <c r="B747" s="18"/>
      <c r="C747" s="15" t="s">
        <v>7239</v>
      </c>
      <c r="D747" s="18"/>
      <c r="E747" s="17" t="s">
        <v>2310</v>
      </c>
      <c r="F747" s="18"/>
      <c r="G747" s="18"/>
      <c r="H747" s="15" t="s">
        <v>2311</v>
      </c>
      <c r="I747" s="15" t="s">
        <v>2312</v>
      </c>
      <c r="J747" s="19" t="s">
        <v>36</v>
      </c>
      <c r="K747" s="19" t="s">
        <v>1230</v>
      </c>
      <c r="L747" s="19" t="s">
        <v>38</v>
      </c>
      <c r="M747" s="20">
        <f t="shared" si="2"/>
        <v>0</v>
      </c>
      <c r="N747" s="22"/>
      <c r="O747" s="19" t="s">
        <v>1145</v>
      </c>
      <c r="P747" s="18"/>
      <c r="Q747" s="18"/>
      <c r="R747" s="23">
        <v>0.0</v>
      </c>
      <c r="S747" s="23">
        <v>0.0</v>
      </c>
      <c r="T747" s="23">
        <f t="shared" si="3"/>
        <v>0</v>
      </c>
      <c r="U747" s="23">
        <f t="shared" si="4"/>
        <v>0</v>
      </c>
      <c r="V747" s="23">
        <f t="shared" si="5"/>
        <v>0</v>
      </c>
      <c r="W747" s="24" t="str">
        <f t="shared" si="6"/>
        <v>#DIV/0!</v>
      </c>
    </row>
    <row r="748">
      <c r="A748" s="15" t="s">
        <v>2313</v>
      </c>
      <c r="B748" s="18"/>
      <c r="C748" s="15" t="s">
        <v>7240</v>
      </c>
      <c r="D748" s="18"/>
      <c r="E748" s="17" t="s">
        <v>2310</v>
      </c>
      <c r="F748" s="18"/>
      <c r="G748" s="18"/>
      <c r="H748" s="15" t="s">
        <v>2314</v>
      </c>
      <c r="I748" s="15" t="s">
        <v>2315</v>
      </c>
      <c r="J748" s="19" t="s">
        <v>36</v>
      </c>
      <c r="K748" s="19" t="s">
        <v>1230</v>
      </c>
      <c r="L748" s="19" t="s">
        <v>38</v>
      </c>
      <c r="M748" s="20">
        <f t="shared" si="2"/>
        <v>0</v>
      </c>
      <c r="N748" s="22"/>
      <c r="O748" s="19" t="s">
        <v>1145</v>
      </c>
      <c r="P748" s="18"/>
      <c r="Q748" s="18"/>
      <c r="R748" s="23">
        <v>0.0</v>
      </c>
      <c r="S748" s="23">
        <v>0.0</v>
      </c>
      <c r="T748" s="23">
        <f t="shared" si="3"/>
        <v>0</v>
      </c>
      <c r="U748" s="23">
        <f t="shared" si="4"/>
        <v>0</v>
      </c>
      <c r="V748" s="23">
        <f t="shared" si="5"/>
        <v>0</v>
      </c>
      <c r="W748" s="24" t="str">
        <f t="shared" si="6"/>
        <v>#DIV/0!</v>
      </c>
    </row>
    <row r="749">
      <c r="A749" s="15" t="s">
        <v>7241</v>
      </c>
      <c r="B749" s="18"/>
      <c r="C749" s="15" t="s">
        <v>7242</v>
      </c>
      <c r="D749" s="18"/>
      <c r="E749" s="17" t="s">
        <v>7243</v>
      </c>
      <c r="F749" s="18"/>
      <c r="G749" s="18"/>
      <c r="H749" s="15" t="s">
        <v>7244</v>
      </c>
      <c r="I749" s="15" t="s">
        <v>7245</v>
      </c>
      <c r="J749" s="19" t="s">
        <v>36</v>
      </c>
      <c r="K749" s="19" t="s">
        <v>1230</v>
      </c>
      <c r="L749" s="19" t="s">
        <v>38</v>
      </c>
      <c r="M749" s="20">
        <f t="shared" si="2"/>
        <v>0</v>
      </c>
      <c r="N749" s="22"/>
      <c r="O749" s="19" t="s">
        <v>39</v>
      </c>
      <c r="P749" s="18"/>
      <c r="Q749" s="18"/>
      <c r="R749" s="23">
        <v>0.0</v>
      </c>
      <c r="S749" s="23">
        <v>0.0</v>
      </c>
      <c r="T749" s="23">
        <f t="shared" si="3"/>
        <v>0</v>
      </c>
      <c r="U749" s="23">
        <f t="shared" si="4"/>
        <v>0</v>
      </c>
      <c r="V749" s="23">
        <f t="shared" si="5"/>
        <v>0</v>
      </c>
      <c r="W749" s="24" t="str">
        <f t="shared" si="6"/>
        <v>#DIV/0!</v>
      </c>
    </row>
    <row r="750">
      <c r="A750" s="15" t="s">
        <v>2316</v>
      </c>
      <c r="B750" s="18"/>
      <c r="C750" s="15" t="s">
        <v>7246</v>
      </c>
      <c r="D750" s="18"/>
      <c r="E750" s="17" t="s">
        <v>2317</v>
      </c>
      <c r="F750" s="18"/>
      <c r="G750" s="18"/>
      <c r="H750" s="15" t="s">
        <v>2318</v>
      </c>
      <c r="I750" s="15" t="s">
        <v>2319</v>
      </c>
      <c r="J750" s="19" t="s">
        <v>36</v>
      </c>
      <c r="K750" s="19" t="s">
        <v>402</v>
      </c>
      <c r="L750" s="19" t="s">
        <v>38</v>
      </c>
      <c r="M750" s="20">
        <f t="shared" si="2"/>
        <v>0</v>
      </c>
      <c r="N750" s="22"/>
      <c r="O750" s="19" t="s">
        <v>1145</v>
      </c>
      <c r="P750" s="18"/>
      <c r="Q750" s="18"/>
      <c r="R750" s="23">
        <v>0.0</v>
      </c>
      <c r="S750" s="23">
        <v>0.0</v>
      </c>
      <c r="T750" s="23">
        <f t="shared" si="3"/>
        <v>0</v>
      </c>
      <c r="U750" s="23">
        <f t="shared" si="4"/>
        <v>0</v>
      </c>
      <c r="V750" s="23">
        <f t="shared" si="5"/>
        <v>0</v>
      </c>
      <c r="W750" s="24" t="str">
        <f t="shared" si="6"/>
        <v>#DIV/0!</v>
      </c>
    </row>
    <row r="751">
      <c r="A751" s="15" t="s">
        <v>2320</v>
      </c>
      <c r="B751" s="18"/>
      <c r="C751" s="15" t="s">
        <v>7247</v>
      </c>
      <c r="D751" s="18"/>
      <c r="E751" s="17" t="s">
        <v>2321</v>
      </c>
      <c r="F751" s="18"/>
      <c r="G751" s="18"/>
      <c r="H751" s="15" t="s">
        <v>2322</v>
      </c>
      <c r="I751" s="15" t="s">
        <v>2323</v>
      </c>
      <c r="J751" s="19" t="s">
        <v>36</v>
      </c>
      <c r="K751" s="19" t="s">
        <v>402</v>
      </c>
      <c r="L751" s="19" t="s">
        <v>38</v>
      </c>
      <c r="M751" s="20">
        <f t="shared" si="2"/>
        <v>0</v>
      </c>
      <c r="N751" s="22"/>
      <c r="O751" s="19" t="s">
        <v>1145</v>
      </c>
      <c r="P751" s="18"/>
      <c r="Q751" s="18"/>
      <c r="R751" s="23">
        <v>0.0</v>
      </c>
      <c r="S751" s="23">
        <v>0.0</v>
      </c>
      <c r="T751" s="23">
        <f t="shared" si="3"/>
        <v>0</v>
      </c>
      <c r="U751" s="23">
        <f t="shared" si="4"/>
        <v>0</v>
      </c>
      <c r="V751" s="23">
        <f t="shared" si="5"/>
        <v>0</v>
      </c>
      <c r="W751" s="24" t="str">
        <f t="shared" si="6"/>
        <v>#DIV/0!</v>
      </c>
    </row>
    <row r="752">
      <c r="A752" s="15" t="s">
        <v>7248</v>
      </c>
      <c r="B752" s="15" t="s">
        <v>447</v>
      </c>
      <c r="C752" s="15" t="s">
        <v>7249</v>
      </c>
      <c r="D752" s="18"/>
      <c r="E752" s="17" t="s">
        <v>7250</v>
      </c>
      <c r="F752" s="18"/>
      <c r="G752" s="18"/>
      <c r="H752" s="15" t="s">
        <v>7251</v>
      </c>
      <c r="I752" s="15" t="s">
        <v>7252</v>
      </c>
      <c r="J752" s="19" t="s">
        <v>36</v>
      </c>
      <c r="K752" s="19" t="s">
        <v>1230</v>
      </c>
      <c r="L752" s="19" t="s">
        <v>38</v>
      </c>
      <c r="M752" s="20">
        <f t="shared" si="2"/>
        <v>0</v>
      </c>
      <c r="N752" s="22"/>
      <c r="O752" s="19" t="s">
        <v>39</v>
      </c>
      <c r="P752" s="18"/>
      <c r="Q752" s="18"/>
      <c r="R752" s="23">
        <v>0.0</v>
      </c>
      <c r="S752" s="23">
        <v>0.0</v>
      </c>
      <c r="T752" s="23">
        <f t="shared" si="3"/>
        <v>0</v>
      </c>
      <c r="U752" s="23">
        <f t="shared" si="4"/>
        <v>0</v>
      </c>
      <c r="V752" s="23">
        <f t="shared" si="5"/>
        <v>0</v>
      </c>
      <c r="W752" s="24" t="str">
        <f t="shared" si="6"/>
        <v>#DIV/0!</v>
      </c>
    </row>
    <row r="753">
      <c r="A753" s="15" t="s">
        <v>4821</v>
      </c>
      <c r="B753" s="15" t="s">
        <v>4822</v>
      </c>
      <c r="C753" s="15" t="s">
        <v>7253</v>
      </c>
      <c r="D753" s="15" t="s">
        <v>4823</v>
      </c>
      <c r="E753" s="17" t="s">
        <v>4824</v>
      </c>
      <c r="F753" s="18"/>
      <c r="G753" s="18"/>
      <c r="H753" s="15" t="s">
        <v>4825</v>
      </c>
      <c r="I753" s="15"/>
      <c r="J753" s="19" t="s">
        <v>36</v>
      </c>
      <c r="K753" s="19" t="s">
        <v>284</v>
      </c>
      <c r="L753" s="19" t="s">
        <v>38</v>
      </c>
      <c r="M753" s="20">
        <f t="shared" si="2"/>
        <v>0</v>
      </c>
      <c r="N753" s="22"/>
      <c r="O753" s="19" t="s">
        <v>3578</v>
      </c>
      <c r="P753" s="18"/>
      <c r="Q753" s="18"/>
      <c r="R753" s="23">
        <v>0.0</v>
      </c>
      <c r="S753" s="23">
        <v>0.0</v>
      </c>
      <c r="T753" s="23">
        <f t="shared" si="3"/>
        <v>0</v>
      </c>
      <c r="U753" s="23">
        <f t="shared" si="4"/>
        <v>0</v>
      </c>
      <c r="V753" s="23">
        <f t="shared" si="5"/>
        <v>0</v>
      </c>
      <c r="W753" s="24" t="str">
        <f t="shared" si="6"/>
        <v>#DIV/0!</v>
      </c>
    </row>
    <row r="754">
      <c r="A754" s="15" t="s">
        <v>2324</v>
      </c>
      <c r="B754" s="18"/>
      <c r="C754" s="15" t="s">
        <v>7256</v>
      </c>
      <c r="D754" s="18"/>
      <c r="E754" s="17" t="s">
        <v>2325</v>
      </c>
      <c r="F754" s="18"/>
      <c r="G754" s="18"/>
      <c r="H754" s="15" t="s">
        <v>2326</v>
      </c>
      <c r="I754" s="15" t="s">
        <v>2327</v>
      </c>
      <c r="J754" s="19" t="s">
        <v>36</v>
      </c>
      <c r="K754" s="19" t="s">
        <v>105</v>
      </c>
      <c r="L754" s="19" t="s">
        <v>38</v>
      </c>
      <c r="M754" s="20">
        <f t="shared" si="2"/>
        <v>0</v>
      </c>
      <c r="N754" s="22"/>
      <c r="O754" s="19" t="s">
        <v>1145</v>
      </c>
      <c r="P754" s="18"/>
      <c r="Q754" s="18"/>
      <c r="R754" s="23">
        <v>0.0</v>
      </c>
      <c r="S754" s="23">
        <v>0.0</v>
      </c>
      <c r="T754" s="23">
        <f t="shared" si="3"/>
        <v>0</v>
      </c>
      <c r="U754" s="23">
        <f t="shared" si="4"/>
        <v>0</v>
      </c>
      <c r="V754" s="23">
        <f t="shared" si="5"/>
        <v>0</v>
      </c>
      <c r="W754" s="24" t="str">
        <f t="shared" si="6"/>
        <v>#DIV/0!</v>
      </c>
    </row>
    <row r="755">
      <c r="A755" s="15" t="s">
        <v>2328</v>
      </c>
      <c r="B755" s="18"/>
      <c r="C755" s="15" t="s">
        <v>7257</v>
      </c>
      <c r="D755" s="18"/>
      <c r="E755" s="17" t="s">
        <v>2325</v>
      </c>
      <c r="F755" s="18"/>
      <c r="G755" s="18"/>
      <c r="H755" s="15" t="s">
        <v>2329</v>
      </c>
      <c r="I755" s="15" t="s">
        <v>2330</v>
      </c>
      <c r="J755" s="19" t="s">
        <v>36</v>
      </c>
      <c r="K755" s="19" t="s">
        <v>105</v>
      </c>
      <c r="L755" s="19" t="s">
        <v>38</v>
      </c>
      <c r="M755" s="20">
        <f t="shared" si="2"/>
        <v>0</v>
      </c>
      <c r="N755" s="22"/>
      <c r="O755" s="19" t="s">
        <v>1145</v>
      </c>
      <c r="P755" s="18"/>
      <c r="Q755" s="18"/>
      <c r="R755" s="23">
        <v>0.0</v>
      </c>
      <c r="S755" s="23">
        <v>0.0</v>
      </c>
      <c r="T755" s="23">
        <f t="shared" si="3"/>
        <v>0</v>
      </c>
      <c r="U755" s="23">
        <f t="shared" si="4"/>
        <v>0</v>
      </c>
      <c r="V755" s="23">
        <f t="shared" si="5"/>
        <v>0</v>
      </c>
      <c r="W755" s="24" t="str">
        <f t="shared" si="6"/>
        <v>#DIV/0!</v>
      </c>
    </row>
    <row r="756">
      <c r="A756" s="15" t="s">
        <v>4826</v>
      </c>
      <c r="B756" s="18"/>
      <c r="C756" s="15" t="s">
        <v>7258</v>
      </c>
      <c r="D756" s="18"/>
      <c r="E756" s="17" t="s">
        <v>7259</v>
      </c>
      <c r="F756" s="18"/>
      <c r="G756" s="18"/>
      <c r="H756" s="15" t="s">
        <v>7260</v>
      </c>
      <c r="I756" s="15" t="s">
        <v>4829</v>
      </c>
      <c r="J756" s="19" t="s">
        <v>36</v>
      </c>
      <c r="K756" s="19" t="s">
        <v>1230</v>
      </c>
      <c r="L756" s="19" t="s">
        <v>38</v>
      </c>
      <c r="M756" s="20">
        <f t="shared" si="2"/>
        <v>0</v>
      </c>
      <c r="N756" s="22"/>
      <c r="O756" s="19" t="s">
        <v>1145</v>
      </c>
      <c r="P756" s="18"/>
      <c r="Q756" s="18"/>
      <c r="R756" s="23">
        <v>0.0</v>
      </c>
      <c r="S756" s="23">
        <v>0.0</v>
      </c>
      <c r="T756" s="23">
        <f t="shared" si="3"/>
        <v>0</v>
      </c>
      <c r="U756" s="23">
        <f t="shared" si="4"/>
        <v>0</v>
      </c>
      <c r="V756" s="23">
        <f t="shared" si="5"/>
        <v>0</v>
      </c>
      <c r="W756" s="24" t="str">
        <f t="shared" si="6"/>
        <v>#DIV/0!</v>
      </c>
    </row>
    <row r="757">
      <c r="A757" s="15" t="s">
        <v>2331</v>
      </c>
      <c r="B757" s="18"/>
      <c r="C757" s="15" t="s">
        <v>7261</v>
      </c>
      <c r="D757" s="18"/>
      <c r="E757" s="17" t="s">
        <v>2332</v>
      </c>
      <c r="F757" s="18"/>
      <c r="G757" s="18"/>
      <c r="H757" s="15" t="s">
        <v>2333</v>
      </c>
      <c r="I757" s="15" t="s">
        <v>2334</v>
      </c>
      <c r="J757" s="19" t="s">
        <v>36</v>
      </c>
      <c r="K757" s="19" t="s">
        <v>105</v>
      </c>
      <c r="L757" s="19" t="s">
        <v>38</v>
      </c>
      <c r="M757" s="20">
        <f t="shared" si="2"/>
        <v>0</v>
      </c>
      <c r="N757" s="22"/>
      <c r="O757" s="19" t="s">
        <v>1145</v>
      </c>
      <c r="P757" s="18"/>
      <c r="Q757" s="18"/>
      <c r="R757" s="23">
        <v>0.0</v>
      </c>
      <c r="S757" s="23">
        <v>0.0</v>
      </c>
      <c r="T757" s="23">
        <f t="shared" si="3"/>
        <v>0</v>
      </c>
      <c r="U757" s="23">
        <f t="shared" si="4"/>
        <v>0</v>
      </c>
      <c r="V757" s="23">
        <f t="shared" si="5"/>
        <v>0</v>
      </c>
      <c r="W757" s="24" t="str">
        <f t="shared" si="6"/>
        <v>#DIV/0!</v>
      </c>
    </row>
    <row r="758">
      <c r="A758" s="15" t="s">
        <v>2335</v>
      </c>
      <c r="B758" s="18"/>
      <c r="C758" s="15" t="s">
        <v>7262</v>
      </c>
      <c r="D758" s="18"/>
      <c r="E758" s="17" t="s">
        <v>2336</v>
      </c>
      <c r="F758" s="18"/>
      <c r="G758" s="18"/>
      <c r="H758" s="15" t="s">
        <v>2337</v>
      </c>
      <c r="I758" s="15" t="s">
        <v>2338</v>
      </c>
      <c r="J758" s="19" t="s">
        <v>36</v>
      </c>
      <c r="K758" s="19" t="s">
        <v>284</v>
      </c>
      <c r="L758" s="19" t="s">
        <v>38</v>
      </c>
      <c r="M758" s="20">
        <f t="shared" si="2"/>
        <v>0</v>
      </c>
      <c r="N758" s="22"/>
      <c r="O758" s="19" t="s">
        <v>1145</v>
      </c>
      <c r="P758" s="18"/>
      <c r="Q758" s="18"/>
      <c r="R758" s="23">
        <v>0.0</v>
      </c>
      <c r="S758" s="23">
        <v>0.0</v>
      </c>
      <c r="T758" s="23">
        <f t="shared" si="3"/>
        <v>0</v>
      </c>
      <c r="U758" s="23">
        <f t="shared" si="4"/>
        <v>0</v>
      </c>
      <c r="V758" s="23">
        <f t="shared" si="5"/>
        <v>0</v>
      </c>
      <c r="W758" s="24" t="str">
        <f t="shared" si="6"/>
        <v>#DIV/0!</v>
      </c>
    </row>
    <row r="759">
      <c r="A759" s="15" t="s">
        <v>2339</v>
      </c>
      <c r="B759" s="18"/>
      <c r="C759" s="15" t="s">
        <v>7263</v>
      </c>
      <c r="D759" s="18"/>
      <c r="E759" s="17" t="s">
        <v>2340</v>
      </c>
      <c r="F759" s="18"/>
      <c r="G759" s="18"/>
      <c r="H759" s="15" t="s">
        <v>2341</v>
      </c>
      <c r="I759" s="15" t="s">
        <v>2342</v>
      </c>
      <c r="J759" s="19" t="s">
        <v>36</v>
      </c>
      <c r="K759" s="19" t="s">
        <v>105</v>
      </c>
      <c r="L759" s="19" t="s">
        <v>38</v>
      </c>
      <c r="M759" s="20">
        <f t="shared" si="2"/>
        <v>0</v>
      </c>
      <c r="N759" s="22"/>
      <c r="O759" s="19" t="s">
        <v>1145</v>
      </c>
      <c r="P759" s="18"/>
      <c r="Q759" s="18"/>
      <c r="R759" s="23">
        <v>0.0</v>
      </c>
      <c r="S759" s="23">
        <v>0.0</v>
      </c>
      <c r="T759" s="23">
        <f t="shared" si="3"/>
        <v>0</v>
      </c>
      <c r="U759" s="23">
        <f t="shared" si="4"/>
        <v>0</v>
      </c>
      <c r="V759" s="23">
        <f t="shared" si="5"/>
        <v>0</v>
      </c>
      <c r="W759" s="24" t="str">
        <f t="shared" si="6"/>
        <v>#DIV/0!</v>
      </c>
    </row>
    <row r="760">
      <c r="A760" s="15" t="s">
        <v>2343</v>
      </c>
      <c r="B760" s="18"/>
      <c r="C760" s="15" t="s">
        <v>7264</v>
      </c>
      <c r="D760" s="18"/>
      <c r="E760" s="17" t="s">
        <v>2344</v>
      </c>
      <c r="F760" s="18"/>
      <c r="G760" s="18"/>
      <c r="H760" s="15" t="s">
        <v>2341</v>
      </c>
      <c r="I760" s="15" t="s">
        <v>2342</v>
      </c>
      <c r="J760" s="19" t="s">
        <v>36</v>
      </c>
      <c r="K760" s="19" t="s">
        <v>105</v>
      </c>
      <c r="L760" s="19" t="s">
        <v>38</v>
      </c>
      <c r="M760" s="20">
        <f t="shared" si="2"/>
        <v>0</v>
      </c>
      <c r="N760" s="22"/>
      <c r="O760" s="19" t="s">
        <v>1145</v>
      </c>
      <c r="P760" s="18"/>
      <c r="Q760" s="18"/>
      <c r="R760" s="23">
        <v>0.0</v>
      </c>
      <c r="S760" s="23">
        <v>0.0</v>
      </c>
      <c r="T760" s="23">
        <f t="shared" si="3"/>
        <v>0</v>
      </c>
      <c r="U760" s="23">
        <f t="shared" si="4"/>
        <v>0</v>
      </c>
      <c r="V760" s="23">
        <f t="shared" si="5"/>
        <v>0</v>
      </c>
      <c r="W760" s="24" t="str">
        <f t="shared" si="6"/>
        <v>#DIV/0!</v>
      </c>
    </row>
    <row r="761">
      <c r="A761" s="15" t="s">
        <v>2345</v>
      </c>
      <c r="B761" s="18"/>
      <c r="C761" s="15" t="s">
        <v>7265</v>
      </c>
      <c r="D761" s="18"/>
      <c r="E761" s="17" t="s">
        <v>2346</v>
      </c>
      <c r="F761" s="18"/>
      <c r="G761" s="18"/>
      <c r="H761" s="15" t="s">
        <v>2347</v>
      </c>
      <c r="I761" s="15" t="s">
        <v>2348</v>
      </c>
      <c r="J761" s="19" t="s">
        <v>36</v>
      </c>
      <c r="K761" s="19" t="s">
        <v>105</v>
      </c>
      <c r="L761" s="19" t="s">
        <v>38</v>
      </c>
      <c r="M761" s="20">
        <f t="shared" si="2"/>
        <v>0</v>
      </c>
      <c r="N761" s="22"/>
      <c r="O761" s="19" t="s">
        <v>1145</v>
      </c>
      <c r="P761" s="18"/>
      <c r="Q761" s="18"/>
      <c r="R761" s="23">
        <v>0.0</v>
      </c>
      <c r="S761" s="23">
        <v>0.0</v>
      </c>
      <c r="T761" s="23">
        <f t="shared" si="3"/>
        <v>0</v>
      </c>
      <c r="U761" s="23">
        <f t="shared" si="4"/>
        <v>0</v>
      </c>
      <c r="V761" s="23">
        <f t="shared" si="5"/>
        <v>0</v>
      </c>
      <c r="W761" s="24" t="str">
        <f t="shared" si="6"/>
        <v>#DIV/0!</v>
      </c>
    </row>
    <row r="762">
      <c r="A762" s="15" t="s">
        <v>2349</v>
      </c>
      <c r="B762" s="18"/>
      <c r="C762" s="15" t="s">
        <v>7266</v>
      </c>
      <c r="D762" s="18"/>
      <c r="E762" s="17" t="s">
        <v>2350</v>
      </c>
      <c r="F762" s="18"/>
      <c r="G762" s="18"/>
      <c r="H762" s="15" t="s">
        <v>2351</v>
      </c>
      <c r="I762" s="15" t="s">
        <v>2352</v>
      </c>
      <c r="J762" s="19" t="s">
        <v>36</v>
      </c>
      <c r="K762" s="19" t="s">
        <v>105</v>
      </c>
      <c r="L762" s="19" t="s">
        <v>38</v>
      </c>
      <c r="M762" s="20">
        <f t="shared" si="2"/>
        <v>0</v>
      </c>
      <c r="N762" s="22"/>
      <c r="O762" s="19" t="s">
        <v>1145</v>
      </c>
      <c r="P762" s="18"/>
      <c r="Q762" s="18"/>
      <c r="R762" s="23">
        <v>0.0</v>
      </c>
      <c r="S762" s="23">
        <v>0.0</v>
      </c>
      <c r="T762" s="23">
        <f t="shared" si="3"/>
        <v>0</v>
      </c>
      <c r="U762" s="23">
        <f t="shared" si="4"/>
        <v>0</v>
      </c>
      <c r="V762" s="23">
        <f t="shared" si="5"/>
        <v>0</v>
      </c>
      <c r="W762" s="24" t="str">
        <f t="shared" si="6"/>
        <v>#DIV/0!</v>
      </c>
    </row>
    <row r="763">
      <c r="A763" s="15" t="s">
        <v>2353</v>
      </c>
      <c r="B763" s="18"/>
      <c r="C763" s="15" t="s">
        <v>7267</v>
      </c>
      <c r="D763" s="18"/>
      <c r="E763" s="17" t="s">
        <v>2354</v>
      </c>
      <c r="F763" s="18"/>
      <c r="G763" s="18"/>
      <c r="H763" s="15" t="s">
        <v>2355</v>
      </c>
      <c r="I763" s="15" t="s">
        <v>2356</v>
      </c>
      <c r="J763" s="19" t="s">
        <v>36</v>
      </c>
      <c r="K763" s="19" t="s">
        <v>105</v>
      </c>
      <c r="L763" s="19" t="s">
        <v>38</v>
      </c>
      <c r="M763" s="20">
        <f t="shared" si="2"/>
        <v>0</v>
      </c>
      <c r="N763" s="22"/>
      <c r="O763" s="19" t="s">
        <v>1145</v>
      </c>
      <c r="P763" s="18"/>
      <c r="Q763" s="18"/>
      <c r="R763" s="23">
        <v>0.0</v>
      </c>
      <c r="S763" s="23">
        <v>0.0</v>
      </c>
      <c r="T763" s="23">
        <f t="shared" si="3"/>
        <v>0</v>
      </c>
      <c r="U763" s="23">
        <f t="shared" si="4"/>
        <v>0</v>
      </c>
      <c r="V763" s="23">
        <f t="shared" si="5"/>
        <v>0</v>
      </c>
      <c r="W763" s="24" t="str">
        <f t="shared" si="6"/>
        <v>#DIV/0!</v>
      </c>
    </row>
    <row r="764">
      <c r="A764" s="15" t="s">
        <v>2357</v>
      </c>
      <c r="B764" s="18"/>
      <c r="C764" s="15" t="s">
        <v>7268</v>
      </c>
      <c r="D764" s="18"/>
      <c r="E764" s="17" t="s">
        <v>2358</v>
      </c>
      <c r="F764" s="18"/>
      <c r="G764" s="18"/>
      <c r="H764" s="15" t="s">
        <v>2359</v>
      </c>
      <c r="I764" s="15" t="s">
        <v>2360</v>
      </c>
      <c r="J764" s="19" t="s">
        <v>36</v>
      </c>
      <c r="K764" s="19" t="s">
        <v>1230</v>
      </c>
      <c r="L764" s="19" t="s">
        <v>38</v>
      </c>
      <c r="M764" s="20">
        <f t="shared" si="2"/>
        <v>0</v>
      </c>
      <c r="N764" s="22"/>
      <c r="O764" s="19" t="s">
        <v>1145</v>
      </c>
      <c r="P764" s="18"/>
      <c r="Q764" s="18"/>
      <c r="R764" s="23">
        <v>0.0</v>
      </c>
      <c r="S764" s="23">
        <v>0.0</v>
      </c>
      <c r="T764" s="23">
        <f t="shared" si="3"/>
        <v>0</v>
      </c>
      <c r="U764" s="23">
        <f t="shared" si="4"/>
        <v>0</v>
      </c>
      <c r="V764" s="23">
        <f t="shared" si="5"/>
        <v>0</v>
      </c>
      <c r="W764" s="24" t="str">
        <f t="shared" si="6"/>
        <v>#DIV/0!</v>
      </c>
    </row>
    <row r="765">
      <c r="A765" s="15" t="s">
        <v>7269</v>
      </c>
      <c r="B765" s="18"/>
      <c r="C765" s="15" t="s">
        <v>7270</v>
      </c>
      <c r="D765" s="18"/>
      <c r="E765" s="17" t="s">
        <v>7271</v>
      </c>
      <c r="F765" s="18"/>
      <c r="G765" s="18"/>
      <c r="H765" s="15" t="s">
        <v>7272</v>
      </c>
      <c r="I765" s="15" t="s">
        <v>7273</v>
      </c>
      <c r="J765" s="19" t="s">
        <v>36</v>
      </c>
      <c r="K765" s="19" t="s">
        <v>105</v>
      </c>
      <c r="L765" s="19" t="s">
        <v>38</v>
      </c>
      <c r="M765" s="20">
        <f t="shared" si="2"/>
        <v>0</v>
      </c>
      <c r="N765" s="22"/>
      <c r="O765" s="19" t="s">
        <v>39</v>
      </c>
      <c r="P765" s="18"/>
      <c r="Q765" s="18"/>
      <c r="R765" s="23">
        <v>0.0</v>
      </c>
      <c r="S765" s="23">
        <v>0.0</v>
      </c>
      <c r="T765" s="23">
        <f t="shared" si="3"/>
        <v>0</v>
      </c>
      <c r="U765" s="23">
        <f t="shared" si="4"/>
        <v>0</v>
      </c>
      <c r="V765" s="23">
        <f t="shared" si="5"/>
        <v>0</v>
      </c>
      <c r="W765" s="24" t="str">
        <f t="shared" si="6"/>
        <v>#DIV/0!</v>
      </c>
    </row>
    <row r="766">
      <c r="A766" s="15" t="s">
        <v>2361</v>
      </c>
      <c r="B766" s="18"/>
      <c r="C766" s="15" t="s">
        <v>7274</v>
      </c>
      <c r="D766" s="18"/>
      <c r="E766" s="17" t="s">
        <v>2362</v>
      </c>
      <c r="F766" s="18"/>
      <c r="G766" s="18"/>
      <c r="H766" s="15" t="s">
        <v>2363</v>
      </c>
      <c r="I766" s="15" t="s">
        <v>2364</v>
      </c>
      <c r="J766" s="19" t="s">
        <v>36</v>
      </c>
      <c r="K766" s="19" t="s">
        <v>37</v>
      </c>
      <c r="L766" s="19" t="s">
        <v>38</v>
      </c>
      <c r="M766" s="20">
        <f t="shared" si="2"/>
        <v>0</v>
      </c>
      <c r="N766" s="22"/>
      <c r="O766" s="19" t="s">
        <v>1145</v>
      </c>
      <c r="P766" s="18"/>
      <c r="Q766" s="18"/>
      <c r="R766" s="23">
        <v>0.0</v>
      </c>
      <c r="S766" s="23">
        <v>0.0</v>
      </c>
      <c r="T766" s="23">
        <f t="shared" si="3"/>
        <v>0</v>
      </c>
      <c r="U766" s="23">
        <f t="shared" si="4"/>
        <v>0</v>
      </c>
      <c r="V766" s="23">
        <f t="shared" si="5"/>
        <v>0</v>
      </c>
      <c r="W766" s="24" t="str">
        <f t="shared" si="6"/>
        <v>#DIV/0!</v>
      </c>
    </row>
    <row r="767">
      <c r="A767" s="15" t="s">
        <v>936</v>
      </c>
      <c r="B767" s="15" t="s">
        <v>937</v>
      </c>
      <c r="C767" s="15" t="s">
        <v>6097</v>
      </c>
      <c r="D767" s="15" t="s">
        <v>938</v>
      </c>
      <c r="E767" s="17" t="s">
        <v>939</v>
      </c>
      <c r="F767" s="15" t="s">
        <v>940</v>
      </c>
      <c r="G767" s="15" t="s">
        <v>941</v>
      </c>
      <c r="H767" s="15" t="s">
        <v>942</v>
      </c>
      <c r="I767" s="18"/>
      <c r="J767" s="19" t="s">
        <v>104</v>
      </c>
      <c r="K767" s="19" t="s">
        <v>717</v>
      </c>
      <c r="L767" s="19" t="s">
        <v>106</v>
      </c>
      <c r="M767" s="20">
        <f t="shared" si="2"/>
        <v>8862.24</v>
      </c>
      <c r="N767" s="31">
        <v>5.0</v>
      </c>
      <c r="O767" s="19" t="s">
        <v>107</v>
      </c>
      <c r="P767" s="18"/>
      <c r="Q767" s="18"/>
      <c r="R767" s="23">
        <v>106.0</v>
      </c>
      <c r="S767" s="23">
        <v>499.0</v>
      </c>
      <c r="T767" s="23">
        <f t="shared" si="3"/>
        <v>479.04</v>
      </c>
      <c r="U767" s="23">
        <f t="shared" si="4"/>
        <v>129.85</v>
      </c>
      <c r="V767" s="23">
        <f t="shared" si="5"/>
        <v>2434.6875</v>
      </c>
      <c r="W767" s="24">
        <f t="shared" si="6"/>
        <v>4.519245283</v>
      </c>
    </row>
    <row r="768">
      <c r="A768" s="15" t="s">
        <v>5909</v>
      </c>
      <c r="B768" s="18"/>
      <c r="C768" s="15" t="s">
        <v>7275</v>
      </c>
      <c r="D768" s="15" t="s">
        <v>5910</v>
      </c>
      <c r="E768" s="17" t="s">
        <v>5911</v>
      </c>
      <c r="F768" s="15" t="s">
        <v>5912</v>
      </c>
      <c r="G768" s="15"/>
      <c r="H768" s="15" t="s">
        <v>5913</v>
      </c>
      <c r="I768" s="18"/>
      <c r="J768" s="19" t="s">
        <v>104</v>
      </c>
      <c r="K768" s="19" t="s">
        <v>717</v>
      </c>
      <c r="L768" s="19" t="s">
        <v>106</v>
      </c>
      <c r="M768" s="20">
        <f t="shared" si="2"/>
        <v>8862.24</v>
      </c>
      <c r="N768" s="31">
        <v>5.0</v>
      </c>
      <c r="O768" s="19" t="s">
        <v>107</v>
      </c>
      <c r="P768" s="18"/>
      <c r="Q768" s="18"/>
      <c r="R768" s="23">
        <v>115.0</v>
      </c>
      <c r="S768" s="23">
        <v>499.0</v>
      </c>
      <c r="T768" s="23">
        <f t="shared" si="3"/>
        <v>479.04</v>
      </c>
      <c r="U768" s="23">
        <f t="shared" si="4"/>
        <v>140.875</v>
      </c>
      <c r="V768" s="23">
        <f t="shared" si="5"/>
        <v>2641.40625</v>
      </c>
      <c r="W768" s="24">
        <f t="shared" si="6"/>
        <v>4.165565217</v>
      </c>
    </row>
    <row r="769">
      <c r="A769" s="15" t="s">
        <v>4830</v>
      </c>
      <c r="B769" s="15" t="s">
        <v>4831</v>
      </c>
      <c r="C769" s="15" t="s">
        <v>7276</v>
      </c>
      <c r="D769" s="15" t="s">
        <v>4832</v>
      </c>
      <c r="E769" s="17" t="s">
        <v>4833</v>
      </c>
      <c r="F769" s="18"/>
      <c r="G769" s="18"/>
      <c r="H769" s="15" t="s">
        <v>4834</v>
      </c>
      <c r="I769" s="18"/>
      <c r="J769" s="19" t="s">
        <v>283</v>
      </c>
      <c r="K769" s="33"/>
      <c r="L769" s="19" t="s">
        <v>38</v>
      </c>
      <c r="M769" s="20">
        <f t="shared" si="2"/>
        <v>0</v>
      </c>
      <c r="N769" s="22"/>
      <c r="O769" s="19" t="s">
        <v>3578</v>
      </c>
      <c r="P769" s="18"/>
      <c r="Q769" s="18"/>
      <c r="R769" s="23">
        <v>0.0</v>
      </c>
      <c r="S769" s="23">
        <v>0.0</v>
      </c>
      <c r="T769" s="23">
        <f t="shared" si="3"/>
        <v>0</v>
      </c>
      <c r="U769" s="23">
        <f t="shared" si="4"/>
        <v>0</v>
      </c>
      <c r="V769" s="23">
        <f t="shared" si="5"/>
        <v>0</v>
      </c>
      <c r="W769" s="24" t="str">
        <f t="shared" si="6"/>
        <v>#DIV/0!</v>
      </c>
    </row>
    <row r="770">
      <c r="A770" s="15" t="s">
        <v>2365</v>
      </c>
      <c r="B770" s="15" t="s">
        <v>2366</v>
      </c>
      <c r="C770" s="15" t="s">
        <v>7277</v>
      </c>
      <c r="D770" s="18"/>
      <c r="E770" s="17" t="s">
        <v>2367</v>
      </c>
      <c r="F770" s="18"/>
      <c r="G770" s="18"/>
      <c r="H770" s="15" t="s">
        <v>2368</v>
      </c>
      <c r="I770" s="18"/>
      <c r="J770" s="19" t="s">
        <v>283</v>
      </c>
      <c r="K770" s="33"/>
      <c r="L770" s="19" t="s">
        <v>38</v>
      </c>
      <c r="M770" s="20">
        <f t="shared" si="2"/>
        <v>0</v>
      </c>
      <c r="N770" s="22"/>
      <c r="O770" s="19" t="s">
        <v>1145</v>
      </c>
      <c r="P770" s="18"/>
      <c r="Q770" s="18"/>
      <c r="R770" s="23">
        <v>0.0</v>
      </c>
      <c r="S770" s="23">
        <v>0.0</v>
      </c>
      <c r="T770" s="23">
        <f t="shared" si="3"/>
        <v>0</v>
      </c>
      <c r="U770" s="23">
        <f t="shared" si="4"/>
        <v>0</v>
      </c>
      <c r="V770" s="23">
        <f t="shared" si="5"/>
        <v>0</v>
      </c>
      <c r="W770" s="24" t="str">
        <f t="shared" si="6"/>
        <v>#DIV/0!</v>
      </c>
    </row>
    <row r="771">
      <c r="A771" s="15" t="s">
        <v>4835</v>
      </c>
      <c r="B771" s="15" t="s">
        <v>4836</v>
      </c>
      <c r="C771" s="15" t="s">
        <v>7278</v>
      </c>
      <c r="D771" s="15" t="s">
        <v>4837</v>
      </c>
      <c r="E771" s="17" t="s">
        <v>4838</v>
      </c>
      <c r="F771" s="18"/>
      <c r="G771" s="18"/>
      <c r="H771" s="15" t="s">
        <v>4839</v>
      </c>
      <c r="I771" s="15" t="s">
        <v>4840</v>
      </c>
      <c r="J771" s="19" t="s">
        <v>283</v>
      </c>
      <c r="K771" s="33"/>
      <c r="L771" s="19" t="s">
        <v>38</v>
      </c>
      <c r="M771" s="20">
        <f t="shared" si="2"/>
        <v>0</v>
      </c>
      <c r="N771" s="22"/>
      <c r="O771" s="19" t="s">
        <v>3578</v>
      </c>
      <c r="P771" s="18"/>
      <c r="Q771" s="18"/>
      <c r="R771" s="23">
        <v>0.0</v>
      </c>
      <c r="S771" s="23">
        <v>0.0</v>
      </c>
      <c r="T771" s="23">
        <f t="shared" si="3"/>
        <v>0</v>
      </c>
      <c r="U771" s="23">
        <f t="shared" si="4"/>
        <v>0</v>
      </c>
      <c r="V771" s="23">
        <f t="shared" si="5"/>
        <v>0</v>
      </c>
      <c r="W771" s="24" t="str">
        <f t="shared" si="6"/>
        <v>#DIV/0!</v>
      </c>
    </row>
    <row r="772">
      <c r="A772" s="15" t="s">
        <v>395</v>
      </c>
      <c r="B772" s="15" t="s">
        <v>396</v>
      </c>
      <c r="C772" s="15" t="s">
        <v>5997</v>
      </c>
      <c r="D772" s="15" t="s">
        <v>397</v>
      </c>
      <c r="E772" s="17" t="s">
        <v>398</v>
      </c>
      <c r="F772" s="18"/>
      <c r="G772" s="15" t="s">
        <v>399</v>
      </c>
      <c r="H772" s="15" t="s">
        <v>400</v>
      </c>
      <c r="I772" s="15" t="s">
        <v>401</v>
      </c>
      <c r="J772" s="19" t="s">
        <v>283</v>
      </c>
      <c r="K772" s="19" t="s">
        <v>402</v>
      </c>
      <c r="L772" s="19" t="s">
        <v>403</v>
      </c>
      <c r="M772" s="20">
        <f t="shared" si="2"/>
        <v>10158.72</v>
      </c>
      <c r="N772" s="31">
        <v>2.0</v>
      </c>
      <c r="O772" s="19" t="s">
        <v>107</v>
      </c>
      <c r="P772" s="18"/>
      <c r="Q772" s="18"/>
      <c r="R772" s="23">
        <v>78.0</v>
      </c>
      <c r="S772" s="23">
        <v>572.0</v>
      </c>
      <c r="T772" s="23">
        <f t="shared" si="3"/>
        <v>549.12</v>
      </c>
      <c r="U772" s="23">
        <f t="shared" si="4"/>
        <v>95.55</v>
      </c>
      <c r="V772" s="23">
        <f t="shared" si="5"/>
        <v>1791.5625</v>
      </c>
      <c r="W772" s="24">
        <f t="shared" si="6"/>
        <v>7.04</v>
      </c>
    </row>
    <row r="773">
      <c r="A773" s="15" t="s">
        <v>4841</v>
      </c>
      <c r="B773" s="15" t="s">
        <v>4842</v>
      </c>
      <c r="C773" s="15" t="s">
        <v>7279</v>
      </c>
      <c r="D773" s="18"/>
      <c r="E773" s="17" t="s">
        <v>4843</v>
      </c>
      <c r="F773" s="18"/>
      <c r="G773" s="18"/>
      <c r="H773" s="15" t="s">
        <v>4844</v>
      </c>
      <c r="I773" s="18"/>
      <c r="J773" s="19" t="s">
        <v>283</v>
      </c>
      <c r="K773" s="33"/>
      <c r="L773" s="19" t="s">
        <v>38</v>
      </c>
      <c r="M773" s="20">
        <f t="shared" si="2"/>
        <v>0</v>
      </c>
      <c r="N773" s="22"/>
      <c r="O773" s="19" t="s">
        <v>3578</v>
      </c>
      <c r="P773" s="18"/>
      <c r="Q773" s="18"/>
      <c r="R773" s="23">
        <v>0.0</v>
      </c>
      <c r="S773" s="23">
        <v>0.0</v>
      </c>
      <c r="T773" s="23">
        <f t="shared" si="3"/>
        <v>0</v>
      </c>
      <c r="U773" s="23">
        <f t="shared" si="4"/>
        <v>0</v>
      </c>
      <c r="V773" s="23">
        <f t="shared" si="5"/>
        <v>0</v>
      </c>
      <c r="W773" s="24" t="str">
        <f t="shared" si="6"/>
        <v>#DIV/0!</v>
      </c>
    </row>
    <row r="774">
      <c r="A774" s="15" t="s">
        <v>4846</v>
      </c>
      <c r="B774" s="15" t="s">
        <v>4847</v>
      </c>
      <c r="C774" s="15" t="s">
        <v>7280</v>
      </c>
      <c r="D774" s="15" t="s">
        <v>4848</v>
      </c>
      <c r="E774" s="17" t="s">
        <v>4849</v>
      </c>
      <c r="F774" s="18"/>
      <c r="G774" s="18"/>
      <c r="H774" s="15" t="s">
        <v>4850</v>
      </c>
      <c r="I774" s="15" t="s">
        <v>4851</v>
      </c>
      <c r="J774" s="19" t="s">
        <v>283</v>
      </c>
      <c r="K774" s="33"/>
      <c r="L774" s="19" t="s">
        <v>38</v>
      </c>
      <c r="M774" s="20">
        <f t="shared" si="2"/>
        <v>0</v>
      </c>
      <c r="N774" s="22"/>
      <c r="O774" s="19" t="s">
        <v>3578</v>
      </c>
      <c r="P774" s="18"/>
      <c r="Q774" s="18"/>
      <c r="R774" s="23">
        <v>0.0</v>
      </c>
      <c r="S774" s="23">
        <v>0.0</v>
      </c>
      <c r="T774" s="23">
        <f t="shared" si="3"/>
        <v>0</v>
      </c>
      <c r="U774" s="23">
        <f t="shared" si="4"/>
        <v>0</v>
      </c>
      <c r="V774" s="23">
        <f t="shared" si="5"/>
        <v>0</v>
      </c>
      <c r="W774" s="24" t="str">
        <f t="shared" si="6"/>
        <v>#DIV/0!</v>
      </c>
    </row>
    <row r="775">
      <c r="A775" s="15" t="s">
        <v>4852</v>
      </c>
      <c r="B775" s="15" t="s">
        <v>4853</v>
      </c>
      <c r="C775" s="15" t="s">
        <v>7281</v>
      </c>
      <c r="D775" s="15" t="s">
        <v>4854</v>
      </c>
      <c r="E775" s="17" t="s">
        <v>4855</v>
      </c>
      <c r="F775" s="18"/>
      <c r="G775" s="18"/>
      <c r="H775" s="15" t="s">
        <v>4856</v>
      </c>
      <c r="I775" s="15" t="s">
        <v>4857</v>
      </c>
      <c r="J775" s="19" t="s">
        <v>283</v>
      </c>
      <c r="K775" s="33"/>
      <c r="L775" s="19" t="s">
        <v>38</v>
      </c>
      <c r="M775" s="20">
        <f t="shared" si="2"/>
        <v>0</v>
      </c>
      <c r="N775" s="22"/>
      <c r="O775" s="19" t="s">
        <v>3578</v>
      </c>
      <c r="P775" s="18"/>
      <c r="Q775" s="18"/>
      <c r="R775" s="23">
        <v>0.0</v>
      </c>
      <c r="S775" s="23">
        <v>0.0</v>
      </c>
      <c r="T775" s="23">
        <f t="shared" si="3"/>
        <v>0</v>
      </c>
      <c r="U775" s="23">
        <f t="shared" si="4"/>
        <v>0</v>
      </c>
      <c r="V775" s="23">
        <f t="shared" si="5"/>
        <v>0</v>
      </c>
      <c r="W775" s="24" t="str">
        <f t="shared" si="6"/>
        <v>#DIV/0!</v>
      </c>
    </row>
    <row r="776">
      <c r="A776" s="15" t="s">
        <v>4858</v>
      </c>
      <c r="B776" s="15" t="s">
        <v>4859</v>
      </c>
      <c r="C776" s="15" t="s">
        <v>7282</v>
      </c>
      <c r="D776" s="18"/>
      <c r="E776" s="17" t="s">
        <v>4860</v>
      </c>
      <c r="F776" s="18"/>
      <c r="G776" s="18"/>
      <c r="H776" s="15" t="s">
        <v>4861</v>
      </c>
      <c r="I776" s="18"/>
      <c r="J776" s="19" t="s">
        <v>283</v>
      </c>
      <c r="K776" s="33"/>
      <c r="L776" s="19" t="s">
        <v>38</v>
      </c>
      <c r="M776" s="20">
        <f t="shared" si="2"/>
        <v>0</v>
      </c>
      <c r="N776" s="22"/>
      <c r="O776" s="19" t="s">
        <v>3578</v>
      </c>
      <c r="P776" s="18"/>
      <c r="Q776" s="18"/>
      <c r="R776" s="23">
        <v>0.0</v>
      </c>
      <c r="S776" s="23">
        <v>0.0</v>
      </c>
      <c r="T776" s="23">
        <f t="shared" si="3"/>
        <v>0</v>
      </c>
      <c r="U776" s="23">
        <f t="shared" si="4"/>
        <v>0</v>
      </c>
      <c r="V776" s="23">
        <f t="shared" si="5"/>
        <v>0</v>
      </c>
      <c r="W776" s="24" t="str">
        <f t="shared" si="6"/>
        <v>#DIV/0!</v>
      </c>
    </row>
    <row r="777">
      <c r="A777" s="15" t="s">
        <v>4862</v>
      </c>
      <c r="B777" s="15" t="s">
        <v>4863</v>
      </c>
      <c r="C777" s="15" t="s">
        <v>7283</v>
      </c>
      <c r="D777" s="15" t="s">
        <v>4864</v>
      </c>
      <c r="E777" s="17" t="s">
        <v>4865</v>
      </c>
      <c r="F777" s="18"/>
      <c r="G777" s="18"/>
      <c r="H777" s="15" t="s">
        <v>4866</v>
      </c>
      <c r="I777" s="18"/>
      <c r="J777" s="19" t="s">
        <v>283</v>
      </c>
      <c r="K777" s="33"/>
      <c r="L777" s="19" t="s">
        <v>38</v>
      </c>
      <c r="M777" s="20">
        <f t="shared" si="2"/>
        <v>0</v>
      </c>
      <c r="N777" s="22"/>
      <c r="O777" s="19" t="s">
        <v>3578</v>
      </c>
      <c r="P777" s="18"/>
      <c r="Q777" s="18"/>
      <c r="R777" s="23">
        <v>0.0</v>
      </c>
      <c r="S777" s="23">
        <v>0.0</v>
      </c>
      <c r="T777" s="23">
        <f t="shared" si="3"/>
        <v>0</v>
      </c>
      <c r="U777" s="23">
        <f t="shared" si="4"/>
        <v>0</v>
      </c>
      <c r="V777" s="23">
        <f t="shared" si="5"/>
        <v>0</v>
      </c>
      <c r="W777" s="24" t="str">
        <f t="shared" si="6"/>
        <v>#DIV/0!</v>
      </c>
    </row>
    <row r="778">
      <c r="A778" s="15" t="s">
        <v>4867</v>
      </c>
      <c r="B778" s="15" t="s">
        <v>4868</v>
      </c>
      <c r="C778" s="15" t="s">
        <v>7284</v>
      </c>
      <c r="D778" s="18"/>
      <c r="E778" s="17" t="s">
        <v>7285</v>
      </c>
      <c r="F778" s="18"/>
      <c r="G778" s="18"/>
      <c r="H778" s="15" t="s">
        <v>4871</v>
      </c>
      <c r="I778" s="18"/>
      <c r="J778" s="19" t="s">
        <v>283</v>
      </c>
      <c r="K778" s="33"/>
      <c r="L778" s="19" t="s">
        <v>38</v>
      </c>
      <c r="M778" s="20">
        <f t="shared" si="2"/>
        <v>0</v>
      </c>
      <c r="N778" s="22"/>
      <c r="O778" s="19" t="s">
        <v>1145</v>
      </c>
      <c r="P778" s="18"/>
      <c r="Q778" s="18"/>
      <c r="R778" s="23">
        <v>0.0</v>
      </c>
      <c r="S778" s="23">
        <v>0.0</v>
      </c>
      <c r="T778" s="23">
        <f t="shared" si="3"/>
        <v>0</v>
      </c>
      <c r="U778" s="23">
        <f t="shared" si="4"/>
        <v>0</v>
      </c>
      <c r="V778" s="23">
        <f t="shared" si="5"/>
        <v>0</v>
      </c>
      <c r="W778" s="24" t="str">
        <f t="shared" si="6"/>
        <v>#DIV/0!</v>
      </c>
    </row>
    <row r="779">
      <c r="A779" s="15" t="s">
        <v>5919</v>
      </c>
      <c r="B779" s="15" t="s">
        <v>5920</v>
      </c>
      <c r="C779" s="15" t="s">
        <v>7286</v>
      </c>
      <c r="D779" s="15" t="s">
        <v>5921</v>
      </c>
      <c r="E779" s="17" t="s">
        <v>5922</v>
      </c>
      <c r="F779" s="18"/>
      <c r="G779" s="18"/>
      <c r="H779" s="15" t="s">
        <v>5923</v>
      </c>
      <c r="I779" s="18"/>
      <c r="J779" s="19" t="s">
        <v>283</v>
      </c>
      <c r="K779" s="19" t="s">
        <v>4972</v>
      </c>
      <c r="L779" s="19" t="s">
        <v>38</v>
      </c>
      <c r="M779" s="20">
        <f t="shared" si="2"/>
        <v>124.32</v>
      </c>
      <c r="N779" s="22"/>
      <c r="O779" s="19" t="s">
        <v>3578</v>
      </c>
      <c r="P779" s="18"/>
      <c r="Q779" s="18"/>
      <c r="R779" s="23">
        <v>2.0</v>
      </c>
      <c r="S779" s="23">
        <v>7.0</v>
      </c>
      <c r="T779" s="23">
        <f t="shared" si="3"/>
        <v>6.72</v>
      </c>
      <c r="U779" s="23">
        <f t="shared" si="4"/>
        <v>2.45</v>
      </c>
      <c r="V779" s="23">
        <f t="shared" si="5"/>
        <v>45.9375</v>
      </c>
      <c r="W779" s="24">
        <f t="shared" si="6"/>
        <v>3.36</v>
      </c>
    </row>
    <row r="780">
      <c r="A780" s="15" t="s">
        <v>4873</v>
      </c>
      <c r="B780" s="15" t="s">
        <v>4874</v>
      </c>
      <c r="C780" s="15" t="s">
        <v>7287</v>
      </c>
      <c r="D780" s="18"/>
      <c r="E780" s="17" t="s">
        <v>4875</v>
      </c>
      <c r="F780" s="18"/>
      <c r="G780" s="18"/>
      <c r="H780" s="15" t="s">
        <v>4876</v>
      </c>
      <c r="I780" s="18"/>
      <c r="J780" s="19" t="s">
        <v>283</v>
      </c>
      <c r="K780" s="33"/>
      <c r="L780" s="19" t="s">
        <v>38</v>
      </c>
      <c r="M780" s="20">
        <f t="shared" si="2"/>
        <v>0</v>
      </c>
      <c r="N780" s="22"/>
      <c r="O780" s="19" t="s">
        <v>3578</v>
      </c>
      <c r="P780" s="18"/>
      <c r="Q780" s="18"/>
      <c r="R780" s="23">
        <v>0.0</v>
      </c>
      <c r="S780" s="23">
        <v>0.0</v>
      </c>
      <c r="T780" s="23">
        <f t="shared" si="3"/>
        <v>0</v>
      </c>
      <c r="U780" s="23">
        <f t="shared" si="4"/>
        <v>0</v>
      </c>
      <c r="V780" s="23">
        <f t="shared" si="5"/>
        <v>0</v>
      </c>
      <c r="W780" s="24" t="str">
        <f t="shared" si="6"/>
        <v>#DIV/0!</v>
      </c>
    </row>
    <row r="781">
      <c r="A781" s="15" t="s">
        <v>4877</v>
      </c>
      <c r="B781" s="15" t="s">
        <v>4878</v>
      </c>
      <c r="C781" s="15" t="s">
        <v>7288</v>
      </c>
      <c r="D781" s="18"/>
      <c r="E781" s="17" t="s">
        <v>4879</v>
      </c>
      <c r="F781" s="18"/>
      <c r="G781" s="18"/>
      <c r="H781" s="15" t="s">
        <v>4880</v>
      </c>
      <c r="I781" s="18"/>
      <c r="J781" s="19" t="s">
        <v>283</v>
      </c>
      <c r="K781" s="33"/>
      <c r="L781" s="19" t="s">
        <v>38</v>
      </c>
      <c r="M781" s="20">
        <f t="shared" si="2"/>
        <v>0</v>
      </c>
      <c r="N781" s="22"/>
      <c r="O781" s="19" t="s">
        <v>3578</v>
      </c>
      <c r="P781" s="18"/>
      <c r="Q781" s="18"/>
      <c r="R781" s="23">
        <v>0.0</v>
      </c>
      <c r="S781" s="23">
        <v>0.0</v>
      </c>
      <c r="T781" s="23">
        <f t="shared" si="3"/>
        <v>0</v>
      </c>
      <c r="U781" s="23">
        <f t="shared" si="4"/>
        <v>0</v>
      </c>
      <c r="V781" s="23">
        <f t="shared" si="5"/>
        <v>0</v>
      </c>
      <c r="W781" s="24" t="str">
        <f t="shared" si="6"/>
        <v>#DIV/0!</v>
      </c>
    </row>
    <row r="782">
      <c r="A782" s="15" t="s">
        <v>4881</v>
      </c>
      <c r="B782" s="15" t="s">
        <v>4882</v>
      </c>
      <c r="C782" s="15" t="s">
        <v>7289</v>
      </c>
      <c r="D782" s="15" t="s">
        <v>191</v>
      </c>
      <c r="E782" s="17" t="s">
        <v>4883</v>
      </c>
      <c r="F782" s="18"/>
      <c r="G782" s="18"/>
      <c r="H782" s="15" t="s">
        <v>4884</v>
      </c>
      <c r="I782" s="18"/>
      <c r="J782" s="19" t="s">
        <v>283</v>
      </c>
      <c r="K782" s="33"/>
      <c r="L782" s="19" t="s">
        <v>38</v>
      </c>
      <c r="M782" s="20">
        <f t="shared" si="2"/>
        <v>0</v>
      </c>
      <c r="N782" s="22"/>
      <c r="O782" s="19" t="s">
        <v>3578</v>
      </c>
      <c r="P782" s="18"/>
      <c r="Q782" s="18"/>
      <c r="R782" s="23">
        <v>0.0</v>
      </c>
      <c r="S782" s="23">
        <v>0.0</v>
      </c>
      <c r="T782" s="23">
        <f t="shared" si="3"/>
        <v>0</v>
      </c>
      <c r="U782" s="23">
        <f t="shared" si="4"/>
        <v>0</v>
      </c>
      <c r="V782" s="23">
        <f t="shared" si="5"/>
        <v>0</v>
      </c>
      <c r="W782" s="24" t="str">
        <f t="shared" si="6"/>
        <v>#DIV/0!</v>
      </c>
    </row>
    <row r="783">
      <c r="A783" s="15" t="s">
        <v>4885</v>
      </c>
      <c r="B783" s="15" t="s">
        <v>4886</v>
      </c>
      <c r="C783" s="15" t="s">
        <v>7290</v>
      </c>
      <c r="D783" s="15" t="s">
        <v>4887</v>
      </c>
      <c r="E783" s="17" t="s">
        <v>4888</v>
      </c>
      <c r="F783" s="18"/>
      <c r="G783" s="18"/>
      <c r="H783" s="15" t="s">
        <v>4889</v>
      </c>
      <c r="I783" s="18"/>
      <c r="J783" s="19" t="s">
        <v>283</v>
      </c>
      <c r="K783" s="33"/>
      <c r="L783" s="19" t="s">
        <v>38</v>
      </c>
      <c r="M783" s="20">
        <f t="shared" si="2"/>
        <v>0</v>
      </c>
      <c r="N783" s="22"/>
      <c r="O783" s="19" t="s">
        <v>3578</v>
      </c>
      <c r="P783" s="18"/>
      <c r="Q783" s="18"/>
      <c r="R783" s="23">
        <v>0.0</v>
      </c>
      <c r="S783" s="23">
        <v>0.0</v>
      </c>
      <c r="T783" s="23">
        <f t="shared" si="3"/>
        <v>0</v>
      </c>
      <c r="U783" s="23">
        <f t="shared" si="4"/>
        <v>0</v>
      </c>
      <c r="V783" s="23">
        <f t="shared" si="5"/>
        <v>0</v>
      </c>
      <c r="W783" s="24" t="str">
        <f t="shared" si="6"/>
        <v>#DIV/0!</v>
      </c>
    </row>
    <row r="784">
      <c r="A784" s="15" t="s">
        <v>4890</v>
      </c>
      <c r="B784" s="15" t="s">
        <v>4891</v>
      </c>
      <c r="C784" s="15" t="s">
        <v>7291</v>
      </c>
      <c r="D784" s="15" t="s">
        <v>4892</v>
      </c>
      <c r="E784" s="17" t="s">
        <v>4893</v>
      </c>
      <c r="F784" s="18"/>
      <c r="G784" s="18"/>
      <c r="H784" s="15" t="s">
        <v>4894</v>
      </c>
      <c r="I784" s="18"/>
      <c r="J784" s="19" t="s">
        <v>283</v>
      </c>
      <c r="K784" s="33"/>
      <c r="L784" s="19" t="s">
        <v>38</v>
      </c>
      <c r="M784" s="20">
        <f t="shared" si="2"/>
        <v>0</v>
      </c>
      <c r="N784" s="22"/>
      <c r="O784" s="19" t="s">
        <v>3578</v>
      </c>
      <c r="P784" s="18"/>
      <c r="Q784" s="18"/>
      <c r="R784" s="23">
        <v>0.0</v>
      </c>
      <c r="S784" s="23">
        <v>0.0</v>
      </c>
      <c r="T784" s="23">
        <f t="shared" si="3"/>
        <v>0</v>
      </c>
      <c r="U784" s="23">
        <f t="shared" si="4"/>
        <v>0</v>
      </c>
      <c r="V784" s="23">
        <f t="shared" si="5"/>
        <v>0</v>
      </c>
      <c r="W784" s="24" t="str">
        <f t="shared" si="6"/>
        <v>#DIV/0!</v>
      </c>
    </row>
    <row r="785">
      <c r="A785" s="15" t="s">
        <v>4895</v>
      </c>
      <c r="B785" s="15" t="s">
        <v>4896</v>
      </c>
      <c r="C785" s="15" t="s">
        <v>7292</v>
      </c>
      <c r="D785" s="15" t="s">
        <v>4897</v>
      </c>
      <c r="E785" s="17" t="s">
        <v>4898</v>
      </c>
      <c r="F785" s="18"/>
      <c r="G785" s="18"/>
      <c r="H785" s="15" t="s">
        <v>4899</v>
      </c>
      <c r="I785" s="18"/>
      <c r="J785" s="19" t="s">
        <v>283</v>
      </c>
      <c r="K785" s="33"/>
      <c r="L785" s="19" t="s">
        <v>38</v>
      </c>
      <c r="M785" s="20">
        <f t="shared" si="2"/>
        <v>0</v>
      </c>
      <c r="N785" s="22"/>
      <c r="O785" s="19" t="s">
        <v>3578</v>
      </c>
      <c r="P785" s="18"/>
      <c r="Q785" s="18"/>
      <c r="R785" s="23">
        <v>0.0</v>
      </c>
      <c r="S785" s="23">
        <v>0.0</v>
      </c>
      <c r="T785" s="23">
        <f t="shared" si="3"/>
        <v>0</v>
      </c>
      <c r="U785" s="23">
        <f t="shared" si="4"/>
        <v>0</v>
      </c>
      <c r="V785" s="23">
        <f t="shared" si="5"/>
        <v>0</v>
      </c>
      <c r="W785" s="24" t="str">
        <f t="shared" si="6"/>
        <v>#DIV/0!</v>
      </c>
    </row>
    <row r="786">
      <c r="A786" s="15" t="s">
        <v>2369</v>
      </c>
      <c r="B786" s="15" t="s">
        <v>2370</v>
      </c>
      <c r="C786" s="15" t="s">
        <v>7293</v>
      </c>
      <c r="D786" s="18"/>
      <c r="E786" s="17" t="s">
        <v>2371</v>
      </c>
      <c r="F786" s="18"/>
      <c r="G786" s="18"/>
      <c r="H786" s="15" t="s">
        <v>2372</v>
      </c>
      <c r="I786" s="18"/>
      <c r="J786" s="19" t="s">
        <v>283</v>
      </c>
      <c r="K786" s="33"/>
      <c r="L786" s="19" t="s">
        <v>38</v>
      </c>
      <c r="M786" s="20">
        <f t="shared" si="2"/>
        <v>0</v>
      </c>
      <c r="N786" s="22"/>
      <c r="O786" s="19" t="s">
        <v>1145</v>
      </c>
      <c r="P786" s="18"/>
      <c r="Q786" s="18"/>
      <c r="R786" s="23">
        <v>0.0</v>
      </c>
      <c r="S786" s="23">
        <v>0.0</v>
      </c>
      <c r="T786" s="23">
        <f t="shared" si="3"/>
        <v>0</v>
      </c>
      <c r="U786" s="23">
        <f t="shared" si="4"/>
        <v>0</v>
      </c>
      <c r="V786" s="23">
        <f t="shared" si="5"/>
        <v>0</v>
      </c>
      <c r="W786" s="24" t="str">
        <f t="shared" si="6"/>
        <v>#DIV/0!</v>
      </c>
    </row>
    <row r="787">
      <c r="A787" s="15" t="s">
        <v>986</v>
      </c>
      <c r="B787" s="15" t="s">
        <v>987</v>
      </c>
      <c r="C787" s="15" t="s">
        <v>5998</v>
      </c>
      <c r="D787" s="15" t="s">
        <v>988</v>
      </c>
      <c r="E787" s="17" t="s">
        <v>989</v>
      </c>
      <c r="F787" s="18"/>
      <c r="G787" s="18"/>
      <c r="H787" s="15" t="s">
        <v>990</v>
      </c>
      <c r="I787" s="18"/>
      <c r="J787" s="19" t="s">
        <v>283</v>
      </c>
      <c r="K787" s="19" t="s">
        <v>1269</v>
      </c>
      <c r="L787" s="19" t="s">
        <v>38</v>
      </c>
      <c r="M787" s="20">
        <f t="shared" si="2"/>
        <v>2610.72</v>
      </c>
      <c r="N787" s="31">
        <v>3.0</v>
      </c>
      <c r="O787" s="19" t="s">
        <v>107</v>
      </c>
      <c r="P787" s="18"/>
      <c r="Q787" s="18"/>
      <c r="R787" s="23">
        <v>40.0</v>
      </c>
      <c r="S787" s="23">
        <v>147.0</v>
      </c>
      <c r="T787" s="23">
        <f t="shared" si="3"/>
        <v>141.12</v>
      </c>
      <c r="U787" s="23">
        <f t="shared" si="4"/>
        <v>49</v>
      </c>
      <c r="V787" s="23">
        <f t="shared" si="5"/>
        <v>918.75</v>
      </c>
      <c r="W787" s="24">
        <f t="shared" si="6"/>
        <v>3.528</v>
      </c>
    </row>
    <row r="788">
      <c r="A788" s="15" t="s">
        <v>4900</v>
      </c>
      <c r="B788" s="15" t="s">
        <v>4901</v>
      </c>
      <c r="C788" s="15" t="s">
        <v>7295</v>
      </c>
      <c r="D788" s="15" t="s">
        <v>4902</v>
      </c>
      <c r="E788" s="17" t="s">
        <v>4903</v>
      </c>
      <c r="F788" s="18"/>
      <c r="G788" s="18"/>
      <c r="H788" s="15" t="s">
        <v>4904</v>
      </c>
      <c r="I788" s="18"/>
      <c r="J788" s="19" t="s">
        <v>283</v>
      </c>
      <c r="K788" s="19" t="s">
        <v>1269</v>
      </c>
      <c r="L788" s="19" t="s">
        <v>38</v>
      </c>
      <c r="M788" s="20">
        <f t="shared" si="2"/>
        <v>0</v>
      </c>
      <c r="N788" s="22"/>
      <c r="O788" s="19" t="s">
        <v>3578</v>
      </c>
      <c r="P788" s="18"/>
      <c r="Q788" s="18"/>
      <c r="R788" s="23">
        <v>0.0</v>
      </c>
      <c r="S788" s="23">
        <v>0.0</v>
      </c>
      <c r="T788" s="23">
        <f t="shared" si="3"/>
        <v>0</v>
      </c>
      <c r="U788" s="23">
        <f t="shared" si="4"/>
        <v>0</v>
      </c>
      <c r="V788" s="23">
        <f t="shared" si="5"/>
        <v>0</v>
      </c>
      <c r="W788" s="24" t="str">
        <f t="shared" si="6"/>
        <v>#DIV/0!</v>
      </c>
    </row>
    <row r="789">
      <c r="A789" s="15" t="s">
        <v>4905</v>
      </c>
      <c r="B789" s="15" t="s">
        <v>4906</v>
      </c>
      <c r="C789" s="15" t="s">
        <v>7296</v>
      </c>
      <c r="D789" s="15" t="s">
        <v>4907</v>
      </c>
      <c r="E789" s="17" t="s">
        <v>4908</v>
      </c>
      <c r="F789" s="18"/>
      <c r="G789" s="18"/>
      <c r="H789" s="15" t="s">
        <v>4909</v>
      </c>
      <c r="I789" s="15" t="s">
        <v>4910</v>
      </c>
      <c r="J789" s="19" t="s">
        <v>283</v>
      </c>
      <c r="K789" s="33"/>
      <c r="L789" s="19" t="s">
        <v>38</v>
      </c>
      <c r="M789" s="20">
        <f t="shared" si="2"/>
        <v>0</v>
      </c>
      <c r="N789" s="22"/>
      <c r="O789" s="19" t="s">
        <v>3578</v>
      </c>
      <c r="P789" s="18"/>
      <c r="Q789" s="18"/>
      <c r="R789" s="23">
        <v>0.0</v>
      </c>
      <c r="S789" s="23">
        <v>0.0</v>
      </c>
      <c r="T789" s="23">
        <f t="shared" si="3"/>
        <v>0</v>
      </c>
      <c r="U789" s="23">
        <f t="shared" si="4"/>
        <v>0</v>
      </c>
      <c r="V789" s="23">
        <f t="shared" si="5"/>
        <v>0</v>
      </c>
      <c r="W789" s="24" t="str">
        <f t="shared" si="6"/>
        <v>#DIV/0!</v>
      </c>
    </row>
    <row r="790">
      <c r="A790" s="15" t="s">
        <v>2373</v>
      </c>
      <c r="B790" s="15" t="s">
        <v>2374</v>
      </c>
      <c r="C790" s="15" t="s">
        <v>7297</v>
      </c>
      <c r="D790" s="18"/>
      <c r="E790" s="17" t="s">
        <v>2375</v>
      </c>
      <c r="F790" s="18"/>
      <c r="G790" s="18"/>
      <c r="H790" s="15" t="s">
        <v>2376</v>
      </c>
      <c r="I790" s="18"/>
      <c r="J790" s="19" t="s">
        <v>283</v>
      </c>
      <c r="K790" s="33"/>
      <c r="L790" s="19" t="s">
        <v>38</v>
      </c>
      <c r="M790" s="20">
        <f t="shared" si="2"/>
        <v>0</v>
      </c>
      <c r="N790" s="22"/>
      <c r="O790" s="19" t="s">
        <v>1145</v>
      </c>
      <c r="P790" s="18"/>
      <c r="Q790" s="18"/>
      <c r="R790" s="23">
        <v>0.0</v>
      </c>
      <c r="S790" s="23">
        <v>0.0</v>
      </c>
      <c r="T790" s="23">
        <f t="shared" si="3"/>
        <v>0</v>
      </c>
      <c r="U790" s="23">
        <f t="shared" si="4"/>
        <v>0</v>
      </c>
      <c r="V790" s="23">
        <f t="shared" si="5"/>
        <v>0</v>
      </c>
      <c r="W790" s="24" t="str">
        <f t="shared" si="6"/>
        <v>#DIV/0!</v>
      </c>
    </row>
    <row r="791">
      <c r="A791" s="15" t="s">
        <v>4911</v>
      </c>
      <c r="B791" s="15" t="s">
        <v>4912</v>
      </c>
      <c r="C791" s="15" t="s">
        <v>7298</v>
      </c>
      <c r="D791" s="18"/>
      <c r="E791" s="17" t="s">
        <v>4914</v>
      </c>
      <c r="F791" s="18"/>
      <c r="G791" s="18"/>
      <c r="H791" s="15" t="s">
        <v>4915</v>
      </c>
      <c r="I791" s="18"/>
      <c r="J791" s="19" t="s">
        <v>283</v>
      </c>
      <c r="K791" s="33"/>
      <c r="L791" s="19" t="s">
        <v>38</v>
      </c>
      <c r="M791" s="20">
        <f t="shared" si="2"/>
        <v>0</v>
      </c>
      <c r="N791" s="22"/>
      <c r="O791" s="19" t="s">
        <v>3578</v>
      </c>
      <c r="P791" s="18"/>
      <c r="Q791" s="18"/>
      <c r="R791" s="23">
        <v>0.0</v>
      </c>
      <c r="S791" s="23">
        <v>0.0</v>
      </c>
      <c r="T791" s="23">
        <f t="shared" si="3"/>
        <v>0</v>
      </c>
      <c r="U791" s="23">
        <f t="shared" si="4"/>
        <v>0</v>
      </c>
      <c r="V791" s="23">
        <f t="shared" si="5"/>
        <v>0</v>
      </c>
      <c r="W791" s="24" t="str">
        <f t="shared" si="6"/>
        <v>#DIV/0!</v>
      </c>
    </row>
    <row r="792">
      <c r="A792" s="15" t="s">
        <v>4916</v>
      </c>
      <c r="B792" s="15" t="s">
        <v>4917</v>
      </c>
      <c r="C792" s="15" t="s">
        <v>7299</v>
      </c>
      <c r="D792" s="18"/>
      <c r="E792" s="17" t="s">
        <v>4919</v>
      </c>
      <c r="F792" s="18"/>
      <c r="G792" s="18"/>
      <c r="H792" s="15" t="s">
        <v>4920</v>
      </c>
      <c r="I792" s="18"/>
      <c r="J792" s="19" t="s">
        <v>283</v>
      </c>
      <c r="K792" s="33"/>
      <c r="L792" s="19" t="s">
        <v>38</v>
      </c>
      <c r="M792" s="20">
        <f t="shared" si="2"/>
        <v>0</v>
      </c>
      <c r="N792" s="22"/>
      <c r="O792" s="19" t="s">
        <v>3578</v>
      </c>
      <c r="P792" s="18"/>
      <c r="Q792" s="18"/>
      <c r="R792" s="23">
        <v>0.0</v>
      </c>
      <c r="S792" s="23">
        <v>0.0</v>
      </c>
      <c r="T792" s="23">
        <f t="shared" si="3"/>
        <v>0</v>
      </c>
      <c r="U792" s="23">
        <f t="shared" si="4"/>
        <v>0</v>
      </c>
      <c r="V792" s="23">
        <f t="shared" si="5"/>
        <v>0</v>
      </c>
      <c r="W792" s="24" t="str">
        <f t="shared" si="6"/>
        <v>#DIV/0!</v>
      </c>
    </row>
    <row r="793">
      <c r="A793" s="15" t="s">
        <v>4921</v>
      </c>
      <c r="B793" s="15" t="s">
        <v>4922</v>
      </c>
      <c r="C793" s="15" t="s">
        <v>7300</v>
      </c>
      <c r="D793" s="18"/>
      <c r="E793" s="17" t="s">
        <v>4923</v>
      </c>
      <c r="F793" s="18"/>
      <c r="G793" s="18"/>
      <c r="H793" s="15" t="s">
        <v>4924</v>
      </c>
      <c r="I793" s="18"/>
      <c r="J793" s="19" t="s">
        <v>283</v>
      </c>
      <c r="K793" s="33"/>
      <c r="L793" s="19" t="s">
        <v>38</v>
      </c>
      <c r="M793" s="20">
        <f t="shared" si="2"/>
        <v>0</v>
      </c>
      <c r="N793" s="22"/>
      <c r="O793" s="19" t="s">
        <v>3578</v>
      </c>
      <c r="P793" s="18"/>
      <c r="Q793" s="18"/>
      <c r="R793" s="23">
        <v>0.0</v>
      </c>
      <c r="S793" s="23">
        <v>0.0</v>
      </c>
      <c r="T793" s="23">
        <f t="shared" si="3"/>
        <v>0</v>
      </c>
      <c r="U793" s="23">
        <f t="shared" si="4"/>
        <v>0</v>
      </c>
      <c r="V793" s="23">
        <f t="shared" si="5"/>
        <v>0</v>
      </c>
      <c r="W793" s="24" t="str">
        <f t="shared" si="6"/>
        <v>#DIV/0!</v>
      </c>
    </row>
    <row r="794">
      <c r="A794" s="15" t="s">
        <v>4925</v>
      </c>
      <c r="B794" s="15" t="s">
        <v>4926</v>
      </c>
      <c r="C794" s="15" t="s">
        <v>7301</v>
      </c>
      <c r="D794" s="18"/>
      <c r="E794" s="17" t="s">
        <v>4928</v>
      </c>
      <c r="F794" s="18"/>
      <c r="G794" s="18"/>
      <c r="H794" s="15" t="s">
        <v>4929</v>
      </c>
      <c r="I794" s="18"/>
      <c r="J794" s="19" t="s">
        <v>283</v>
      </c>
      <c r="K794" s="33"/>
      <c r="L794" s="19" t="s">
        <v>38</v>
      </c>
      <c r="M794" s="20">
        <f t="shared" si="2"/>
        <v>0</v>
      </c>
      <c r="N794" s="22"/>
      <c r="O794" s="19" t="s">
        <v>3578</v>
      </c>
      <c r="P794" s="18"/>
      <c r="Q794" s="18"/>
      <c r="R794" s="23">
        <v>0.0</v>
      </c>
      <c r="S794" s="23">
        <v>0.0</v>
      </c>
      <c r="T794" s="23">
        <f t="shared" si="3"/>
        <v>0</v>
      </c>
      <c r="U794" s="23">
        <f t="shared" si="4"/>
        <v>0</v>
      </c>
      <c r="V794" s="23">
        <f t="shared" si="5"/>
        <v>0</v>
      </c>
      <c r="W794" s="24" t="str">
        <f t="shared" si="6"/>
        <v>#DIV/0!</v>
      </c>
    </row>
    <row r="795">
      <c r="A795" s="15" t="s">
        <v>5949</v>
      </c>
      <c r="B795" s="15" t="s">
        <v>5950</v>
      </c>
      <c r="C795" s="15" t="s">
        <v>5983</v>
      </c>
      <c r="D795" s="15" t="s">
        <v>5951</v>
      </c>
      <c r="E795" s="17" t="s">
        <v>5952</v>
      </c>
      <c r="F795" s="18"/>
      <c r="G795" s="18"/>
      <c r="H795" s="15" t="s">
        <v>5953</v>
      </c>
      <c r="I795" s="18"/>
      <c r="J795" s="19" t="s">
        <v>283</v>
      </c>
      <c r="K795" s="19" t="s">
        <v>4972</v>
      </c>
      <c r="L795" s="19" t="s">
        <v>135</v>
      </c>
      <c r="M795" s="20">
        <f t="shared" si="2"/>
        <v>337.44</v>
      </c>
      <c r="N795" s="22"/>
      <c r="O795" s="19" t="s">
        <v>3578</v>
      </c>
      <c r="P795" s="18"/>
      <c r="Q795" s="18"/>
      <c r="R795" s="23">
        <v>7.0</v>
      </c>
      <c r="S795" s="23">
        <v>19.0</v>
      </c>
      <c r="T795" s="23">
        <f t="shared" si="3"/>
        <v>18.24</v>
      </c>
      <c r="U795" s="23">
        <f t="shared" si="4"/>
        <v>8.575</v>
      </c>
      <c r="V795" s="23">
        <f t="shared" si="5"/>
        <v>160.78125</v>
      </c>
      <c r="W795" s="24">
        <f t="shared" si="6"/>
        <v>2.605714286</v>
      </c>
    </row>
    <row r="796">
      <c r="A796" s="15" t="s">
        <v>5929</v>
      </c>
      <c r="B796" s="15" t="s">
        <v>5930</v>
      </c>
      <c r="C796" s="15" t="s">
        <v>7302</v>
      </c>
      <c r="D796" s="15" t="s">
        <v>5931</v>
      </c>
      <c r="E796" s="17" t="s">
        <v>5932</v>
      </c>
      <c r="F796" s="18"/>
      <c r="G796" s="18"/>
      <c r="H796" s="15" t="s">
        <v>5933</v>
      </c>
      <c r="I796" s="18"/>
      <c r="J796" s="19" t="s">
        <v>283</v>
      </c>
      <c r="K796" s="19" t="s">
        <v>4972</v>
      </c>
      <c r="L796" s="19" t="s">
        <v>135</v>
      </c>
      <c r="M796" s="20">
        <f t="shared" si="2"/>
        <v>1225.44</v>
      </c>
      <c r="N796" s="22"/>
      <c r="O796" s="19" t="s">
        <v>3578</v>
      </c>
      <c r="P796" s="18"/>
      <c r="Q796" s="18"/>
      <c r="R796" s="23">
        <v>20.5</v>
      </c>
      <c r="S796" s="23">
        <v>69.0</v>
      </c>
      <c r="T796" s="23">
        <f t="shared" si="3"/>
        <v>66.24</v>
      </c>
      <c r="U796" s="23">
        <f t="shared" si="4"/>
        <v>25.1125</v>
      </c>
      <c r="V796" s="23">
        <f t="shared" si="5"/>
        <v>470.859375</v>
      </c>
      <c r="W796" s="24">
        <f t="shared" si="6"/>
        <v>3.231219512</v>
      </c>
    </row>
    <row r="797">
      <c r="A797" s="15" t="s">
        <v>4931</v>
      </c>
      <c r="B797" s="15" t="s">
        <v>4932</v>
      </c>
      <c r="C797" s="15" t="s">
        <v>7303</v>
      </c>
      <c r="D797" s="15" t="s">
        <v>4933</v>
      </c>
      <c r="E797" s="17" t="s">
        <v>4934</v>
      </c>
      <c r="F797" s="18"/>
      <c r="G797" s="18"/>
      <c r="H797" s="15" t="s">
        <v>4935</v>
      </c>
      <c r="I797" s="18"/>
      <c r="J797" s="19" t="s">
        <v>283</v>
      </c>
      <c r="K797" s="33"/>
      <c r="L797" s="19" t="s">
        <v>38</v>
      </c>
      <c r="M797" s="20">
        <f t="shared" si="2"/>
        <v>0</v>
      </c>
      <c r="N797" s="22"/>
      <c r="O797" s="19" t="s">
        <v>3578</v>
      </c>
      <c r="P797" s="18"/>
      <c r="Q797" s="18"/>
      <c r="R797" s="23">
        <v>0.0</v>
      </c>
      <c r="S797" s="23">
        <v>0.0</v>
      </c>
      <c r="T797" s="23">
        <f t="shared" si="3"/>
        <v>0</v>
      </c>
      <c r="U797" s="23">
        <f t="shared" si="4"/>
        <v>0</v>
      </c>
      <c r="V797" s="23">
        <f t="shared" si="5"/>
        <v>0</v>
      </c>
      <c r="W797" s="24" t="str">
        <f t="shared" si="6"/>
        <v>#DIV/0!</v>
      </c>
    </row>
    <row r="798">
      <c r="A798" s="15" t="s">
        <v>5934</v>
      </c>
      <c r="B798" s="15" t="s">
        <v>5935</v>
      </c>
      <c r="C798" s="15" t="s">
        <v>7304</v>
      </c>
      <c r="D798" s="15" t="s">
        <v>5936</v>
      </c>
      <c r="E798" s="17" t="s">
        <v>5937</v>
      </c>
      <c r="F798" s="18"/>
      <c r="G798" s="18"/>
      <c r="H798" s="15" t="s">
        <v>5938</v>
      </c>
      <c r="I798" s="18"/>
      <c r="J798" s="19" t="s">
        <v>283</v>
      </c>
      <c r="K798" s="19" t="s">
        <v>4972</v>
      </c>
      <c r="L798" s="19" t="s">
        <v>610</v>
      </c>
      <c r="M798" s="20">
        <f t="shared" si="2"/>
        <v>177.6</v>
      </c>
      <c r="N798" s="22"/>
      <c r="O798" s="19" t="s">
        <v>3578</v>
      </c>
      <c r="P798" s="18"/>
      <c r="Q798" s="18"/>
      <c r="R798" s="23">
        <v>3.2</v>
      </c>
      <c r="S798" s="23">
        <v>10.0</v>
      </c>
      <c r="T798" s="23">
        <f t="shared" si="3"/>
        <v>9.6</v>
      </c>
      <c r="U798" s="23">
        <f t="shared" si="4"/>
        <v>3.92</v>
      </c>
      <c r="V798" s="23">
        <f t="shared" si="5"/>
        <v>73.5</v>
      </c>
      <c r="W798" s="24">
        <f t="shared" si="6"/>
        <v>3</v>
      </c>
    </row>
    <row r="799">
      <c r="A799" s="15" t="s">
        <v>4936</v>
      </c>
      <c r="B799" s="15" t="s">
        <v>4937</v>
      </c>
      <c r="C799" s="15" t="s">
        <v>7305</v>
      </c>
      <c r="D799" s="15" t="s">
        <v>4938</v>
      </c>
      <c r="E799" s="17" t="s">
        <v>7306</v>
      </c>
      <c r="F799" s="18"/>
      <c r="G799" s="18"/>
      <c r="H799" s="15" t="s">
        <v>4940</v>
      </c>
      <c r="I799" s="18"/>
      <c r="J799" s="19" t="s">
        <v>283</v>
      </c>
      <c r="K799" s="33"/>
      <c r="L799" s="19" t="s">
        <v>38</v>
      </c>
      <c r="M799" s="20">
        <f t="shared" si="2"/>
        <v>0</v>
      </c>
      <c r="N799" s="22"/>
      <c r="O799" s="19" t="s">
        <v>3578</v>
      </c>
      <c r="P799" s="18"/>
      <c r="Q799" s="18"/>
      <c r="R799" s="23">
        <v>0.0</v>
      </c>
      <c r="S799" s="23">
        <v>0.0</v>
      </c>
      <c r="T799" s="23">
        <f t="shared" si="3"/>
        <v>0</v>
      </c>
      <c r="U799" s="23">
        <f t="shared" si="4"/>
        <v>0</v>
      </c>
      <c r="V799" s="23">
        <f t="shared" si="5"/>
        <v>0</v>
      </c>
      <c r="W799" s="24" t="str">
        <f t="shared" si="6"/>
        <v>#DIV/0!</v>
      </c>
    </row>
    <row r="800">
      <c r="A800" s="15" t="s">
        <v>7307</v>
      </c>
      <c r="B800" s="15"/>
      <c r="C800" s="15" t="s">
        <v>7308</v>
      </c>
      <c r="D800" s="18"/>
      <c r="E800" s="17" t="s">
        <v>7309</v>
      </c>
      <c r="F800" s="18"/>
      <c r="G800" s="18"/>
      <c r="H800" s="15" t="s">
        <v>7310</v>
      </c>
      <c r="I800" s="18"/>
      <c r="J800" s="19" t="s">
        <v>283</v>
      </c>
      <c r="K800" s="33"/>
      <c r="L800" s="19" t="s">
        <v>38</v>
      </c>
      <c r="M800" s="20">
        <f t="shared" si="2"/>
        <v>0</v>
      </c>
      <c r="N800" s="22"/>
      <c r="O800" s="19" t="s">
        <v>39</v>
      </c>
      <c r="P800" s="18"/>
      <c r="Q800" s="18"/>
      <c r="R800" s="23">
        <v>0.0</v>
      </c>
      <c r="S800" s="23">
        <v>0.0</v>
      </c>
      <c r="T800" s="23">
        <f t="shared" si="3"/>
        <v>0</v>
      </c>
      <c r="U800" s="23">
        <f t="shared" si="4"/>
        <v>0</v>
      </c>
      <c r="V800" s="23">
        <f t="shared" si="5"/>
        <v>0</v>
      </c>
      <c r="W800" s="24" t="str">
        <f t="shared" si="6"/>
        <v>#DIV/0!</v>
      </c>
    </row>
    <row r="801">
      <c r="A801" s="15" t="s">
        <v>4941</v>
      </c>
      <c r="B801" s="15" t="s">
        <v>4942</v>
      </c>
      <c r="C801" s="15" t="s">
        <v>7311</v>
      </c>
      <c r="D801" s="15" t="s">
        <v>4943</v>
      </c>
      <c r="E801" s="17" t="s">
        <v>4944</v>
      </c>
      <c r="F801" s="18"/>
      <c r="G801" s="18"/>
      <c r="H801" s="15" t="s">
        <v>4945</v>
      </c>
      <c r="I801" s="18"/>
      <c r="J801" s="19" t="s">
        <v>283</v>
      </c>
      <c r="K801" s="33"/>
      <c r="L801" s="19" t="s">
        <v>38</v>
      </c>
      <c r="M801" s="20">
        <f t="shared" si="2"/>
        <v>0</v>
      </c>
      <c r="N801" s="22"/>
      <c r="O801" s="19" t="s">
        <v>3578</v>
      </c>
      <c r="P801" s="18"/>
      <c r="Q801" s="18"/>
      <c r="R801" s="23">
        <v>0.0</v>
      </c>
      <c r="S801" s="23">
        <v>0.0</v>
      </c>
      <c r="T801" s="23">
        <f t="shared" si="3"/>
        <v>0</v>
      </c>
      <c r="U801" s="23">
        <f t="shared" si="4"/>
        <v>0</v>
      </c>
      <c r="V801" s="23">
        <f t="shared" si="5"/>
        <v>0</v>
      </c>
      <c r="W801" s="24" t="str">
        <f t="shared" si="6"/>
        <v>#DIV/0!</v>
      </c>
    </row>
    <row r="802">
      <c r="A802" s="15" t="s">
        <v>4946</v>
      </c>
      <c r="B802" s="15" t="s">
        <v>4947</v>
      </c>
      <c r="C802" s="15" t="s">
        <v>7312</v>
      </c>
      <c r="D802" s="15" t="s">
        <v>4948</v>
      </c>
      <c r="E802" s="17" t="s">
        <v>4949</v>
      </c>
      <c r="F802" s="18"/>
      <c r="G802" s="18"/>
      <c r="H802" s="15" t="s">
        <v>4950</v>
      </c>
      <c r="I802" s="18"/>
      <c r="J802" s="19" t="s">
        <v>283</v>
      </c>
      <c r="K802" s="19" t="s">
        <v>60</v>
      </c>
      <c r="L802" s="19" t="s">
        <v>52</v>
      </c>
      <c r="M802" s="20">
        <f t="shared" si="2"/>
        <v>0</v>
      </c>
      <c r="N802" s="22"/>
      <c r="O802" s="19" t="s">
        <v>3578</v>
      </c>
      <c r="P802" s="18"/>
      <c r="Q802" s="18"/>
      <c r="R802" s="23">
        <v>0.0</v>
      </c>
      <c r="S802" s="23">
        <v>0.0</v>
      </c>
      <c r="T802" s="23">
        <f t="shared" si="3"/>
        <v>0</v>
      </c>
      <c r="U802" s="23">
        <f t="shared" si="4"/>
        <v>0</v>
      </c>
      <c r="V802" s="23">
        <f t="shared" si="5"/>
        <v>0</v>
      </c>
      <c r="W802" s="24" t="str">
        <f t="shared" si="6"/>
        <v>#DIV/0!</v>
      </c>
    </row>
    <row r="803">
      <c r="A803" s="15" t="s">
        <v>4952</v>
      </c>
      <c r="B803" s="15" t="s">
        <v>4953</v>
      </c>
      <c r="C803" s="15" t="s">
        <v>7313</v>
      </c>
      <c r="D803" s="15" t="s">
        <v>4954</v>
      </c>
      <c r="E803" s="17" t="s">
        <v>4955</v>
      </c>
      <c r="F803" s="18"/>
      <c r="G803" s="18"/>
      <c r="H803" s="15" t="s">
        <v>4956</v>
      </c>
      <c r="I803" s="18"/>
      <c r="J803" s="19" t="s">
        <v>283</v>
      </c>
      <c r="K803" s="33"/>
      <c r="L803" s="19" t="s">
        <v>38</v>
      </c>
      <c r="M803" s="20">
        <f t="shared" si="2"/>
        <v>0</v>
      </c>
      <c r="N803" s="22"/>
      <c r="O803" s="19" t="s">
        <v>3578</v>
      </c>
      <c r="P803" s="18"/>
      <c r="Q803" s="18"/>
      <c r="R803" s="23">
        <v>0.0</v>
      </c>
      <c r="S803" s="23">
        <v>0.0</v>
      </c>
      <c r="T803" s="23">
        <f t="shared" si="3"/>
        <v>0</v>
      </c>
      <c r="U803" s="23">
        <f t="shared" si="4"/>
        <v>0</v>
      </c>
      <c r="V803" s="23">
        <f t="shared" si="5"/>
        <v>0</v>
      </c>
      <c r="W803" s="24" t="str">
        <f t="shared" si="6"/>
        <v>#DIV/0!</v>
      </c>
    </row>
    <row r="804">
      <c r="A804" s="15" t="s">
        <v>4957</v>
      </c>
      <c r="B804" s="15" t="s">
        <v>4958</v>
      </c>
      <c r="C804" s="15" t="s">
        <v>7314</v>
      </c>
      <c r="D804" s="15" t="s">
        <v>4959</v>
      </c>
      <c r="E804" s="17" t="s">
        <v>4960</v>
      </c>
      <c r="F804" s="18"/>
      <c r="G804" s="18"/>
      <c r="H804" s="15" t="s">
        <v>4961</v>
      </c>
      <c r="I804" s="18"/>
      <c r="J804" s="19" t="s">
        <v>283</v>
      </c>
      <c r="K804" s="19" t="s">
        <v>427</v>
      </c>
      <c r="L804" s="19" t="s">
        <v>115</v>
      </c>
      <c r="M804" s="20">
        <f t="shared" si="2"/>
        <v>0</v>
      </c>
      <c r="N804" s="22"/>
      <c r="O804" s="19" t="s">
        <v>3578</v>
      </c>
      <c r="P804" s="18"/>
      <c r="Q804" s="18"/>
      <c r="R804" s="23">
        <v>0.0</v>
      </c>
      <c r="S804" s="23">
        <v>0.0</v>
      </c>
      <c r="T804" s="23">
        <f t="shared" si="3"/>
        <v>0</v>
      </c>
      <c r="U804" s="23">
        <f t="shared" si="4"/>
        <v>0</v>
      </c>
      <c r="V804" s="23">
        <f t="shared" si="5"/>
        <v>0</v>
      </c>
      <c r="W804" s="24" t="str">
        <f t="shared" si="6"/>
        <v>#DIV/0!</v>
      </c>
    </row>
    <row r="805">
      <c r="A805" s="15" t="s">
        <v>4962</v>
      </c>
      <c r="B805" s="15" t="s">
        <v>4963</v>
      </c>
      <c r="C805" s="15" t="s">
        <v>7315</v>
      </c>
      <c r="D805" s="15" t="s">
        <v>4964</v>
      </c>
      <c r="E805" s="17" t="s">
        <v>4965</v>
      </c>
      <c r="F805" s="18"/>
      <c r="G805" s="18"/>
      <c r="H805" s="15" t="s">
        <v>4966</v>
      </c>
      <c r="I805" s="18"/>
      <c r="J805" s="19" t="s">
        <v>283</v>
      </c>
      <c r="K805" s="33"/>
      <c r="L805" s="19" t="s">
        <v>38</v>
      </c>
      <c r="M805" s="20">
        <f t="shared" si="2"/>
        <v>0</v>
      </c>
      <c r="N805" s="22"/>
      <c r="O805" s="19" t="s">
        <v>3578</v>
      </c>
      <c r="P805" s="18"/>
      <c r="Q805" s="18"/>
      <c r="R805" s="23">
        <v>0.0</v>
      </c>
      <c r="S805" s="23">
        <v>0.0</v>
      </c>
      <c r="T805" s="23">
        <f t="shared" si="3"/>
        <v>0</v>
      </c>
      <c r="U805" s="23">
        <f t="shared" si="4"/>
        <v>0</v>
      </c>
      <c r="V805" s="23">
        <f t="shared" si="5"/>
        <v>0</v>
      </c>
      <c r="W805" s="24" t="str">
        <f t="shared" si="6"/>
        <v>#DIV/0!</v>
      </c>
    </row>
    <row r="806">
      <c r="A806" s="15" t="s">
        <v>763</v>
      </c>
      <c r="B806" s="15" t="s">
        <v>764</v>
      </c>
      <c r="C806" s="15" t="s">
        <v>7316</v>
      </c>
      <c r="D806" s="15" t="s">
        <v>765</v>
      </c>
      <c r="E806" s="17" t="s">
        <v>766</v>
      </c>
      <c r="F806" s="18"/>
      <c r="G806" s="15" t="s">
        <v>767</v>
      </c>
      <c r="H806" s="15" t="s">
        <v>768</v>
      </c>
      <c r="I806" s="18"/>
      <c r="J806" s="19" t="s">
        <v>283</v>
      </c>
      <c r="K806" s="19" t="s">
        <v>440</v>
      </c>
      <c r="L806" s="19" t="s">
        <v>769</v>
      </c>
      <c r="M806" s="20">
        <f t="shared" si="2"/>
        <v>41647.2</v>
      </c>
      <c r="N806" s="31">
        <v>2.0</v>
      </c>
      <c r="O806" s="19" t="s">
        <v>107</v>
      </c>
      <c r="P806" s="18"/>
      <c r="Q806" s="18"/>
      <c r="R806" s="23">
        <v>500.0</v>
      </c>
      <c r="S806" s="23">
        <v>2345.0</v>
      </c>
      <c r="T806" s="23">
        <f t="shared" si="3"/>
        <v>2251.2</v>
      </c>
      <c r="U806" s="23">
        <f t="shared" si="4"/>
        <v>612.5</v>
      </c>
      <c r="V806" s="23">
        <f t="shared" si="5"/>
        <v>11484.375</v>
      </c>
      <c r="W806" s="24">
        <f t="shared" si="6"/>
        <v>4.5024</v>
      </c>
    </row>
    <row r="807">
      <c r="A807" s="15" t="s">
        <v>4967</v>
      </c>
      <c r="B807" s="15" t="s">
        <v>4968</v>
      </c>
      <c r="C807" s="15" t="s">
        <v>7317</v>
      </c>
      <c r="D807" s="15" t="s">
        <v>4969</v>
      </c>
      <c r="E807" s="17" t="s">
        <v>4970</v>
      </c>
      <c r="F807" s="18"/>
      <c r="G807" s="18"/>
      <c r="H807" s="15" t="s">
        <v>4971</v>
      </c>
      <c r="I807" s="18"/>
      <c r="J807" s="19" t="s">
        <v>283</v>
      </c>
      <c r="K807" s="19" t="s">
        <v>4972</v>
      </c>
      <c r="L807" s="19" t="s">
        <v>38</v>
      </c>
      <c r="M807" s="20">
        <f t="shared" si="2"/>
        <v>372.96</v>
      </c>
      <c r="N807" s="22"/>
      <c r="O807" s="19" t="s">
        <v>3578</v>
      </c>
      <c r="P807" s="18"/>
      <c r="Q807" s="18"/>
      <c r="R807" s="23">
        <v>0.0</v>
      </c>
      <c r="S807" s="23">
        <v>21.0</v>
      </c>
      <c r="T807" s="23">
        <f t="shared" si="3"/>
        <v>20.16</v>
      </c>
      <c r="U807" s="23">
        <f t="shared" si="4"/>
        <v>0</v>
      </c>
      <c r="V807" s="23">
        <f t="shared" si="5"/>
        <v>0</v>
      </c>
      <c r="W807" s="24" t="str">
        <f t="shared" si="6"/>
        <v>#DIV/0!</v>
      </c>
    </row>
    <row r="808">
      <c r="A808" s="15" t="s">
        <v>5914</v>
      </c>
      <c r="B808" s="15" t="s">
        <v>5915</v>
      </c>
      <c r="C808" s="15" t="s">
        <v>5977</v>
      </c>
      <c r="D808" s="15" t="s">
        <v>5916</v>
      </c>
      <c r="E808" s="17" t="s">
        <v>5917</v>
      </c>
      <c r="F808" s="18"/>
      <c r="G808" s="18"/>
      <c r="H808" s="15" t="s">
        <v>5918</v>
      </c>
      <c r="I808" s="18"/>
      <c r="J808" s="19" t="s">
        <v>283</v>
      </c>
      <c r="K808" s="19" t="s">
        <v>4972</v>
      </c>
      <c r="L808" s="19" t="s">
        <v>38</v>
      </c>
      <c r="M808" s="20">
        <f t="shared" si="2"/>
        <v>142.08</v>
      </c>
      <c r="N808" s="22"/>
      <c r="O808" s="19" t="s">
        <v>3578</v>
      </c>
      <c r="P808" s="18"/>
      <c r="Q808" s="18"/>
      <c r="R808" s="23">
        <v>2.0</v>
      </c>
      <c r="S808" s="23">
        <v>8.0</v>
      </c>
      <c r="T808" s="23">
        <f t="shared" si="3"/>
        <v>7.68</v>
      </c>
      <c r="U808" s="23">
        <f t="shared" si="4"/>
        <v>2.45</v>
      </c>
      <c r="V808" s="23">
        <f t="shared" si="5"/>
        <v>45.9375</v>
      </c>
      <c r="W808" s="24">
        <f t="shared" si="6"/>
        <v>3.84</v>
      </c>
    </row>
    <row r="809">
      <c r="A809" s="15" t="s">
        <v>4973</v>
      </c>
      <c r="B809" s="15" t="s">
        <v>4974</v>
      </c>
      <c r="C809" s="15" t="s">
        <v>7318</v>
      </c>
      <c r="D809" s="15" t="s">
        <v>4975</v>
      </c>
      <c r="E809" s="17" t="s">
        <v>4976</v>
      </c>
      <c r="F809" s="18"/>
      <c r="G809" s="18"/>
      <c r="H809" s="15" t="s">
        <v>4977</v>
      </c>
      <c r="I809" s="18"/>
      <c r="J809" s="19" t="s">
        <v>283</v>
      </c>
      <c r="K809" s="19" t="s">
        <v>4978</v>
      </c>
      <c r="L809" s="19" t="s">
        <v>38</v>
      </c>
      <c r="M809" s="20">
        <f t="shared" si="2"/>
        <v>2024.64</v>
      </c>
      <c r="N809" s="22"/>
      <c r="O809" s="19" t="s">
        <v>3578</v>
      </c>
      <c r="P809" s="18"/>
      <c r="Q809" s="18"/>
      <c r="R809" s="23">
        <v>0.0</v>
      </c>
      <c r="S809" s="23">
        <v>114.0</v>
      </c>
      <c r="T809" s="23">
        <f t="shared" si="3"/>
        <v>109.44</v>
      </c>
      <c r="U809" s="23">
        <f t="shared" si="4"/>
        <v>0</v>
      </c>
      <c r="V809" s="23">
        <f t="shared" si="5"/>
        <v>0</v>
      </c>
      <c r="W809" s="24" t="str">
        <f t="shared" si="6"/>
        <v>#DIV/0!</v>
      </c>
    </row>
    <row r="810">
      <c r="A810" s="15" t="s">
        <v>4979</v>
      </c>
      <c r="B810" s="15" t="s">
        <v>4980</v>
      </c>
      <c r="C810" s="15" t="s">
        <v>7319</v>
      </c>
      <c r="D810" s="15" t="s">
        <v>4981</v>
      </c>
      <c r="E810" s="17" t="s">
        <v>4982</v>
      </c>
      <c r="F810" s="18"/>
      <c r="G810" s="18"/>
      <c r="H810" s="15" t="s">
        <v>4983</v>
      </c>
      <c r="I810" s="18"/>
      <c r="J810" s="19" t="s">
        <v>283</v>
      </c>
      <c r="K810" s="19" t="s">
        <v>427</v>
      </c>
      <c r="L810" s="19" t="s">
        <v>38</v>
      </c>
      <c r="M810" s="20">
        <f t="shared" si="2"/>
        <v>0</v>
      </c>
      <c r="N810" s="22"/>
      <c r="O810" s="19" t="s">
        <v>3578</v>
      </c>
      <c r="P810" s="18"/>
      <c r="Q810" s="18"/>
      <c r="R810" s="23">
        <v>0.0</v>
      </c>
      <c r="S810" s="23">
        <v>0.0</v>
      </c>
      <c r="T810" s="23">
        <f t="shared" si="3"/>
        <v>0</v>
      </c>
      <c r="U810" s="23">
        <f t="shared" si="4"/>
        <v>0</v>
      </c>
      <c r="V810" s="23">
        <f t="shared" si="5"/>
        <v>0</v>
      </c>
      <c r="W810" s="24" t="str">
        <f t="shared" si="6"/>
        <v>#DIV/0!</v>
      </c>
    </row>
    <row r="811">
      <c r="A811" s="15" t="s">
        <v>4984</v>
      </c>
      <c r="B811" s="15" t="s">
        <v>4985</v>
      </c>
      <c r="C811" s="15" t="s">
        <v>7320</v>
      </c>
      <c r="D811" s="18"/>
      <c r="E811" s="17" t="s">
        <v>4986</v>
      </c>
      <c r="F811" s="18"/>
      <c r="G811" s="18"/>
      <c r="H811" s="15" t="s">
        <v>4987</v>
      </c>
      <c r="I811" s="18"/>
      <c r="J811" s="19" t="s">
        <v>283</v>
      </c>
      <c r="K811" s="33"/>
      <c r="L811" s="19" t="s">
        <v>38</v>
      </c>
      <c r="M811" s="20">
        <f t="shared" si="2"/>
        <v>0</v>
      </c>
      <c r="N811" s="22"/>
      <c r="O811" s="19" t="s">
        <v>3578</v>
      </c>
      <c r="P811" s="18"/>
      <c r="Q811" s="18"/>
      <c r="R811" s="23">
        <v>0.0</v>
      </c>
      <c r="S811" s="23">
        <v>0.0</v>
      </c>
      <c r="T811" s="23">
        <f t="shared" si="3"/>
        <v>0</v>
      </c>
      <c r="U811" s="23">
        <f t="shared" si="4"/>
        <v>0</v>
      </c>
      <c r="V811" s="23">
        <f t="shared" si="5"/>
        <v>0</v>
      </c>
      <c r="W811" s="24" t="str">
        <f t="shared" si="6"/>
        <v>#DIV/0!</v>
      </c>
    </row>
    <row r="812">
      <c r="A812" s="15" t="s">
        <v>621</v>
      </c>
      <c r="B812" s="15" t="s">
        <v>622</v>
      </c>
      <c r="C812" s="15" t="s">
        <v>5999</v>
      </c>
      <c r="D812" s="15" t="s">
        <v>623</v>
      </c>
      <c r="E812" s="17" t="s">
        <v>624</v>
      </c>
      <c r="F812" s="18"/>
      <c r="G812" s="15" t="s">
        <v>625</v>
      </c>
      <c r="H812" s="15" t="s">
        <v>626</v>
      </c>
      <c r="I812" s="18"/>
      <c r="J812" s="19" t="s">
        <v>283</v>
      </c>
      <c r="K812" s="19" t="s">
        <v>440</v>
      </c>
      <c r="L812" s="19" t="s">
        <v>135</v>
      </c>
      <c r="M812" s="20">
        <f t="shared" si="2"/>
        <v>568.32</v>
      </c>
      <c r="N812" s="31">
        <v>5.0</v>
      </c>
      <c r="O812" s="19" t="s">
        <v>107</v>
      </c>
      <c r="P812" s="18"/>
      <c r="Q812" s="18"/>
      <c r="R812" s="23">
        <v>6.0</v>
      </c>
      <c r="S812" s="23">
        <v>32.0</v>
      </c>
      <c r="T812" s="23">
        <f t="shared" si="3"/>
        <v>30.72</v>
      </c>
      <c r="U812" s="23">
        <f t="shared" si="4"/>
        <v>7.35</v>
      </c>
      <c r="V812" s="23">
        <f t="shared" si="5"/>
        <v>137.8125</v>
      </c>
      <c r="W812" s="24">
        <f t="shared" si="6"/>
        <v>5.12</v>
      </c>
    </row>
    <row r="813">
      <c r="A813" s="15" t="s">
        <v>1094</v>
      </c>
      <c r="B813" s="15" t="s">
        <v>1095</v>
      </c>
      <c r="C813" s="15" t="s">
        <v>6118</v>
      </c>
      <c r="D813" s="15" t="s">
        <v>1096</v>
      </c>
      <c r="E813" s="17" t="s">
        <v>1097</v>
      </c>
      <c r="F813" s="18"/>
      <c r="G813" s="15" t="s">
        <v>1098</v>
      </c>
      <c r="H813" s="15" t="s">
        <v>1099</v>
      </c>
      <c r="I813" s="18"/>
      <c r="J813" s="19" t="s">
        <v>283</v>
      </c>
      <c r="K813" s="19" t="s">
        <v>105</v>
      </c>
      <c r="L813" s="19" t="s">
        <v>953</v>
      </c>
      <c r="M813" s="20">
        <f t="shared" si="2"/>
        <v>5434.56</v>
      </c>
      <c r="N813" s="31">
        <v>30.0</v>
      </c>
      <c r="O813" s="19" t="s">
        <v>107</v>
      </c>
      <c r="P813" s="18"/>
      <c r="Q813" s="18"/>
      <c r="R813" s="23">
        <v>80.0</v>
      </c>
      <c r="S813" s="23">
        <v>306.0</v>
      </c>
      <c r="T813" s="23">
        <f t="shared" si="3"/>
        <v>293.76</v>
      </c>
      <c r="U813" s="23">
        <f t="shared" si="4"/>
        <v>98</v>
      </c>
      <c r="V813" s="23">
        <f t="shared" si="5"/>
        <v>1837.5</v>
      </c>
      <c r="W813" s="24">
        <f t="shared" si="6"/>
        <v>3.672</v>
      </c>
    </row>
    <row r="814">
      <c r="A814" s="15" t="s">
        <v>947</v>
      </c>
      <c r="B814" s="15" t="s">
        <v>948</v>
      </c>
      <c r="C814" s="15" t="s">
        <v>6102</v>
      </c>
      <c r="D814" s="15" t="s">
        <v>949</v>
      </c>
      <c r="E814" s="17" t="s">
        <v>950</v>
      </c>
      <c r="F814" s="18"/>
      <c r="G814" s="15" t="s">
        <v>951</v>
      </c>
      <c r="H814" s="15" t="s">
        <v>952</v>
      </c>
      <c r="I814" s="18"/>
      <c r="J814" s="19" t="s">
        <v>283</v>
      </c>
      <c r="K814" s="19" t="s">
        <v>105</v>
      </c>
      <c r="L814" s="19" t="s">
        <v>953</v>
      </c>
      <c r="M814" s="20">
        <f t="shared" si="2"/>
        <v>5434.56</v>
      </c>
      <c r="N814" s="31">
        <v>10.0</v>
      </c>
      <c r="O814" s="19" t="s">
        <v>107</v>
      </c>
      <c r="P814" s="18"/>
      <c r="Q814" s="18"/>
      <c r="R814" s="23">
        <v>82.0</v>
      </c>
      <c r="S814" s="23">
        <v>306.0</v>
      </c>
      <c r="T814" s="23">
        <f t="shared" si="3"/>
        <v>293.76</v>
      </c>
      <c r="U814" s="23">
        <f t="shared" si="4"/>
        <v>100.45</v>
      </c>
      <c r="V814" s="23">
        <f t="shared" si="5"/>
        <v>1883.4375</v>
      </c>
      <c r="W814" s="24">
        <f t="shared" si="6"/>
        <v>3.582439024</v>
      </c>
    </row>
    <row r="815">
      <c r="A815" s="15" t="s">
        <v>4988</v>
      </c>
      <c r="B815" s="15" t="s">
        <v>4989</v>
      </c>
      <c r="C815" s="15" t="s">
        <v>7321</v>
      </c>
      <c r="D815" s="18"/>
      <c r="E815" s="17" t="s">
        <v>4990</v>
      </c>
      <c r="F815" s="18"/>
      <c r="G815" s="18"/>
      <c r="H815" s="15" t="s">
        <v>4991</v>
      </c>
      <c r="I815" s="18"/>
      <c r="J815" s="19" t="s">
        <v>283</v>
      </c>
      <c r="K815" s="33"/>
      <c r="L815" s="19" t="s">
        <v>38</v>
      </c>
      <c r="M815" s="20">
        <f t="shared" si="2"/>
        <v>0</v>
      </c>
      <c r="N815" s="22"/>
      <c r="O815" s="19" t="s">
        <v>3578</v>
      </c>
      <c r="P815" s="18"/>
      <c r="Q815" s="18"/>
      <c r="R815" s="23">
        <v>0.0</v>
      </c>
      <c r="S815" s="23">
        <v>0.0</v>
      </c>
      <c r="T815" s="23">
        <f t="shared" si="3"/>
        <v>0</v>
      </c>
      <c r="U815" s="23">
        <f t="shared" si="4"/>
        <v>0</v>
      </c>
      <c r="V815" s="23">
        <f t="shared" si="5"/>
        <v>0</v>
      </c>
      <c r="W815" s="24" t="str">
        <f t="shared" si="6"/>
        <v>#DIV/0!</v>
      </c>
    </row>
    <row r="816">
      <c r="A816" s="15" t="s">
        <v>4992</v>
      </c>
      <c r="B816" s="15" t="s">
        <v>4993</v>
      </c>
      <c r="C816" s="15" t="s">
        <v>7322</v>
      </c>
      <c r="D816" s="18"/>
      <c r="E816" s="17" t="s">
        <v>4994</v>
      </c>
      <c r="F816" s="18"/>
      <c r="G816" s="18"/>
      <c r="H816" s="15" t="s">
        <v>4995</v>
      </c>
      <c r="I816" s="18"/>
      <c r="J816" s="19" t="s">
        <v>283</v>
      </c>
      <c r="K816" s="33"/>
      <c r="L816" s="19" t="s">
        <v>38</v>
      </c>
      <c r="M816" s="20">
        <f t="shared" si="2"/>
        <v>0</v>
      </c>
      <c r="N816" s="22"/>
      <c r="O816" s="19" t="s">
        <v>3578</v>
      </c>
      <c r="P816" s="18"/>
      <c r="Q816" s="18"/>
      <c r="R816" s="23">
        <v>0.0</v>
      </c>
      <c r="S816" s="23">
        <v>0.0</v>
      </c>
      <c r="T816" s="23">
        <f t="shared" si="3"/>
        <v>0</v>
      </c>
      <c r="U816" s="23">
        <f t="shared" si="4"/>
        <v>0</v>
      </c>
      <c r="V816" s="23">
        <f t="shared" si="5"/>
        <v>0</v>
      </c>
      <c r="W816" s="24" t="str">
        <f t="shared" si="6"/>
        <v>#DIV/0!</v>
      </c>
    </row>
    <row r="817">
      <c r="A817" s="15" t="s">
        <v>4996</v>
      </c>
      <c r="B817" s="15" t="s">
        <v>4997</v>
      </c>
      <c r="C817" s="15" t="s">
        <v>7323</v>
      </c>
      <c r="D817" s="15" t="s">
        <v>4998</v>
      </c>
      <c r="E817" s="17" t="s">
        <v>4999</v>
      </c>
      <c r="F817" s="18"/>
      <c r="G817" s="18"/>
      <c r="H817" s="15" t="s">
        <v>5000</v>
      </c>
      <c r="I817" s="15" t="s">
        <v>5001</v>
      </c>
      <c r="J817" s="19" t="s">
        <v>283</v>
      </c>
      <c r="K817" s="33"/>
      <c r="L817" s="19" t="s">
        <v>38</v>
      </c>
      <c r="M817" s="20">
        <f t="shared" si="2"/>
        <v>0</v>
      </c>
      <c r="N817" s="22"/>
      <c r="O817" s="19" t="s">
        <v>3578</v>
      </c>
      <c r="P817" s="18"/>
      <c r="Q817" s="18"/>
      <c r="R817" s="23">
        <v>0.0</v>
      </c>
      <c r="S817" s="23">
        <v>0.0</v>
      </c>
      <c r="T817" s="23">
        <f t="shared" si="3"/>
        <v>0</v>
      </c>
      <c r="U817" s="23">
        <f t="shared" si="4"/>
        <v>0</v>
      </c>
      <c r="V817" s="23">
        <f t="shared" si="5"/>
        <v>0</v>
      </c>
      <c r="W817" s="24" t="str">
        <f t="shared" si="6"/>
        <v>#DIV/0!</v>
      </c>
    </row>
    <row r="818">
      <c r="A818" s="15" t="s">
        <v>5002</v>
      </c>
      <c r="B818" s="15" t="s">
        <v>5003</v>
      </c>
      <c r="C818" s="15" t="s">
        <v>7324</v>
      </c>
      <c r="D818" s="15" t="s">
        <v>7325</v>
      </c>
      <c r="E818" s="17" t="s">
        <v>7326</v>
      </c>
      <c r="F818" s="18"/>
      <c r="G818" s="18"/>
      <c r="H818" s="15" t="s">
        <v>5006</v>
      </c>
      <c r="I818" s="18"/>
      <c r="J818" s="19" t="s">
        <v>283</v>
      </c>
      <c r="K818" s="33"/>
      <c r="L818" s="19" t="s">
        <v>38</v>
      </c>
      <c r="M818" s="20">
        <f t="shared" si="2"/>
        <v>0</v>
      </c>
      <c r="N818" s="22"/>
      <c r="O818" s="19" t="s">
        <v>3578</v>
      </c>
      <c r="P818" s="18"/>
      <c r="Q818" s="18"/>
      <c r="R818" s="23">
        <v>0.0</v>
      </c>
      <c r="S818" s="23">
        <v>0.0</v>
      </c>
      <c r="T818" s="23">
        <f t="shared" si="3"/>
        <v>0</v>
      </c>
      <c r="U818" s="23">
        <f t="shared" si="4"/>
        <v>0</v>
      </c>
      <c r="V818" s="23">
        <f t="shared" si="5"/>
        <v>0</v>
      </c>
      <c r="W818" s="24" t="str">
        <f t="shared" si="6"/>
        <v>#DIV/0!</v>
      </c>
    </row>
    <row r="819">
      <c r="A819" s="15" t="s">
        <v>5944</v>
      </c>
      <c r="B819" s="15" t="s">
        <v>5945</v>
      </c>
      <c r="C819" s="15" t="s">
        <v>7327</v>
      </c>
      <c r="D819" s="15" t="s">
        <v>5946</v>
      </c>
      <c r="E819" s="17" t="s">
        <v>5947</v>
      </c>
      <c r="F819" s="18"/>
      <c r="G819" s="18"/>
      <c r="H819" s="15" t="s">
        <v>5948</v>
      </c>
      <c r="I819" s="18"/>
      <c r="J819" s="19" t="s">
        <v>283</v>
      </c>
      <c r="K819" s="19" t="s">
        <v>4972</v>
      </c>
      <c r="L819" s="19" t="s">
        <v>177</v>
      </c>
      <c r="M819" s="20">
        <f t="shared" si="2"/>
        <v>355.2</v>
      </c>
      <c r="N819" s="22"/>
      <c r="O819" s="19" t="s">
        <v>3578</v>
      </c>
      <c r="P819" s="18"/>
      <c r="Q819" s="18"/>
      <c r="R819" s="23">
        <v>6.8</v>
      </c>
      <c r="S819" s="23">
        <v>20.0</v>
      </c>
      <c r="T819" s="23">
        <f t="shared" si="3"/>
        <v>19.2</v>
      </c>
      <c r="U819" s="23">
        <f t="shared" si="4"/>
        <v>8.33</v>
      </c>
      <c r="V819" s="23">
        <f t="shared" si="5"/>
        <v>156.1875</v>
      </c>
      <c r="W819" s="24">
        <f t="shared" si="6"/>
        <v>2.823529412</v>
      </c>
    </row>
    <row r="820">
      <c r="A820" s="15" t="s">
        <v>5894</v>
      </c>
      <c r="B820" s="15" t="s">
        <v>5895</v>
      </c>
      <c r="C820" s="15" t="s">
        <v>7328</v>
      </c>
      <c r="D820" s="15" t="s">
        <v>5896</v>
      </c>
      <c r="E820" s="17" t="s">
        <v>5897</v>
      </c>
      <c r="F820" s="18"/>
      <c r="G820" s="18"/>
      <c r="H820" s="15" t="s">
        <v>5898</v>
      </c>
      <c r="I820" s="18"/>
      <c r="J820" s="19" t="s">
        <v>283</v>
      </c>
      <c r="K820" s="19" t="s">
        <v>4972</v>
      </c>
      <c r="L820" s="19" t="s">
        <v>177</v>
      </c>
      <c r="M820" s="20">
        <f t="shared" si="2"/>
        <v>497.28</v>
      </c>
      <c r="N820" s="22"/>
      <c r="O820" s="19" t="s">
        <v>3578</v>
      </c>
      <c r="P820" s="18"/>
      <c r="Q820" s="18"/>
      <c r="R820" s="23">
        <v>6.0</v>
      </c>
      <c r="S820" s="23">
        <v>28.0</v>
      </c>
      <c r="T820" s="23">
        <f t="shared" si="3"/>
        <v>26.88</v>
      </c>
      <c r="U820" s="23">
        <f t="shared" si="4"/>
        <v>7.35</v>
      </c>
      <c r="V820" s="23">
        <f t="shared" si="5"/>
        <v>137.8125</v>
      </c>
      <c r="W820" s="24">
        <f t="shared" si="6"/>
        <v>4.48</v>
      </c>
    </row>
    <row r="821">
      <c r="A821" s="15" t="s">
        <v>5008</v>
      </c>
      <c r="B821" s="15" t="s">
        <v>5009</v>
      </c>
      <c r="C821" s="15" t="s">
        <v>7329</v>
      </c>
      <c r="D821" s="15" t="s">
        <v>5010</v>
      </c>
      <c r="E821" s="17" t="s">
        <v>5011</v>
      </c>
      <c r="F821" s="18"/>
      <c r="G821" s="18"/>
      <c r="H821" s="15" t="s">
        <v>5012</v>
      </c>
      <c r="I821" s="18"/>
      <c r="J821" s="19" t="s">
        <v>283</v>
      </c>
      <c r="K821" s="19" t="s">
        <v>427</v>
      </c>
      <c r="L821" s="19" t="s">
        <v>177</v>
      </c>
      <c r="M821" s="20">
        <f t="shared" si="2"/>
        <v>0</v>
      </c>
      <c r="N821" s="22"/>
      <c r="O821" s="19" t="s">
        <v>3578</v>
      </c>
      <c r="P821" s="18"/>
      <c r="Q821" s="18"/>
      <c r="R821" s="23">
        <v>0.0</v>
      </c>
      <c r="S821" s="23">
        <v>0.0</v>
      </c>
      <c r="T821" s="23">
        <f t="shared" si="3"/>
        <v>0</v>
      </c>
      <c r="U821" s="23">
        <f t="shared" si="4"/>
        <v>0</v>
      </c>
      <c r="V821" s="23">
        <f t="shared" si="5"/>
        <v>0</v>
      </c>
      <c r="W821" s="24" t="str">
        <f t="shared" si="6"/>
        <v>#DIV/0!</v>
      </c>
    </row>
    <row r="822">
      <c r="A822" s="15" t="s">
        <v>434</v>
      </c>
      <c r="B822" s="15" t="s">
        <v>435</v>
      </c>
      <c r="C822" s="15" t="s">
        <v>5999</v>
      </c>
      <c r="D822" s="15" t="s">
        <v>436</v>
      </c>
      <c r="E822" s="17" t="s">
        <v>6000</v>
      </c>
      <c r="F822" s="18"/>
      <c r="G822" s="15" t="s">
        <v>438</v>
      </c>
      <c r="H822" s="15" t="s">
        <v>439</v>
      </c>
      <c r="I822" s="18"/>
      <c r="J822" s="19" t="s">
        <v>283</v>
      </c>
      <c r="K822" s="19" t="s">
        <v>440</v>
      </c>
      <c r="L822" s="19" t="s">
        <v>135</v>
      </c>
      <c r="M822" s="20">
        <f t="shared" si="2"/>
        <v>745.92</v>
      </c>
      <c r="N822" s="31">
        <v>5.0</v>
      </c>
      <c r="O822" s="19" t="s">
        <v>107</v>
      </c>
      <c r="P822" s="18"/>
      <c r="Q822" s="18"/>
      <c r="R822" s="23">
        <v>6.0</v>
      </c>
      <c r="S822" s="23">
        <v>42.0</v>
      </c>
      <c r="T822" s="23">
        <f t="shared" si="3"/>
        <v>40.32</v>
      </c>
      <c r="U822" s="23">
        <f t="shared" si="4"/>
        <v>7.35</v>
      </c>
      <c r="V822" s="23">
        <f t="shared" si="5"/>
        <v>137.8125</v>
      </c>
      <c r="W822" s="24">
        <f t="shared" si="6"/>
        <v>6.72</v>
      </c>
    </row>
    <row r="823">
      <c r="A823" s="15" t="s">
        <v>627</v>
      </c>
      <c r="B823" s="15" t="s">
        <v>628</v>
      </c>
      <c r="C823" s="15" t="s">
        <v>5999</v>
      </c>
      <c r="D823" s="15" t="s">
        <v>629</v>
      </c>
      <c r="E823" s="17" t="s">
        <v>6001</v>
      </c>
      <c r="F823" s="18"/>
      <c r="G823" s="15" t="s">
        <v>631</v>
      </c>
      <c r="H823" s="15" t="s">
        <v>632</v>
      </c>
      <c r="I823" s="18"/>
      <c r="J823" s="19" t="s">
        <v>283</v>
      </c>
      <c r="K823" s="19" t="s">
        <v>440</v>
      </c>
      <c r="L823" s="19" t="s">
        <v>135</v>
      </c>
      <c r="M823" s="20">
        <f t="shared" si="2"/>
        <v>568.32</v>
      </c>
      <c r="N823" s="31">
        <v>5.0</v>
      </c>
      <c r="O823" s="19" t="s">
        <v>107</v>
      </c>
      <c r="P823" s="18"/>
      <c r="Q823" s="18"/>
      <c r="R823" s="23">
        <v>6.0</v>
      </c>
      <c r="S823" s="23">
        <v>32.0</v>
      </c>
      <c r="T823" s="23">
        <f t="shared" si="3"/>
        <v>30.72</v>
      </c>
      <c r="U823" s="23">
        <f t="shared" si="4"/>
        <v>7.35</v>
      </c>
      <c r="V823" s="23">
        <f t="shared" si="5"/>
        <v>137.8125</v>
      </c>
      <c r="W823" s="24">
        <f t="shared" si="6"/>
        <v>5.12</v>
      </c>
    </row>
    <row r="824">
      <c r="A824" s="15" t="s">
        <v>2377</v>
      </c>
      <c r="B824" s="18"/>
      <c r="C824" s="15" t="s">
        <v>7330</v>
      </c>
      <c r="D824" s="18"/>
      <c r="E824" s="17" t="s">
        <v>1050</v>
      </c>
      <c r="F824" s="18"/>
      <c r="G824" s="18"/>
      <c r="H824" s="18"/>
      <c r="I824" s="18"/>
      <c r="J824" s="19" t="s">
        <v>283</v>
      </c>
      <c r="K824" s="33"/>
      <c r="L824" s="19" t="s">
        <v>38</v>
      </c>
      <c r="M824" s="20">
        <f t="shared" si="2"/>
        <v>0</v>
      </c>
      <c r="N824" s="22"/>
      <c r="O824" s="19" t="s">
        <v>1145</v>
      </c>
      <c r="P824" s="18"/>
      <c r="Q824" s="18"/>
      <c r="R824" s="23">
        <v>0.0</v>
      </c>
      <c r="S824" s="23">
        <v>0.0</v>
      </c>
      <c r="T824" s="23">
        <f t="shared" si="3"/>
        <v>0</v>
      </c>
      <c r="U824" s="23">
        <f t="shared" si="4"/>
        <v>0</v>
      </c>
      <c r="V824" s="23">
        <f t="shared" si="5"/>
        <v>0</v>
      </c>
      <c r="W824" s="24" t="str">
        <f t="shared" si="6"/>
        <v>#DIV/0!</v>
      </c>
    </row>
    <row r="825">
      <c r="A825" s="15" t="s">
        <v>2378</v>
      </c>
      <c r="B825" s="18"/>
      <c r="C825" s="15" t="s">
        <v>7331</v>
      </c>
      <c r="D825" s="18"/>
      <c r="E825" s="17" t="s">
        <v>2379</v>
      </c>
      <c r="F825" s="18"/>
      <c r="G825" s="18"/>
      <c r="H825" s="15" t="s">
        <v>2380</v>
      </c>
      <c r="I825" s="15" t="s">
        <v>2381</v>
      </c>
      <c r="J825" s="19" t="s">
        <v>36</v>
      </c>
      <c r="K825" s="19" t="s">
        <v>2382</v>
      </c>
      <c r="L825" s="19" t="s">
        <v>38</v>
      </c>
      <c r="M825" s="20">
        <f t="shared" si="2"/>
        <v>0</v>
      </c>
      <c r="N825" s="22"/>
      <c r="O825" s="19" t="s">
        <v>1145</v>
      </c>
      <c r="P825" s="18"/>
      <c r="Q825" s="18"/>
      <c r="R825" s="23">
        <v>0.0</v>
      </c>
      <c r="S825" s="23">
        <v>0.0</v>
      </c>
      <c r="T825" s="23">
        <f t="shared" si="3"/>
        <v>0</v>
      </c>
      <c r="U825" s="23">
        <f t="shared" si="4"/>
        <v>0</v>
      </c>
      <c r="V825" s="23">
        <f t="shared" si="5"/>
        <v>0</v>
      </c>
      <c r="W825" s="24" t="str">
        <f t="shared" si="6"/>
        <v>#DIV/0!</v>
      </c>
    </row>
    <row r="826">
      <c r="A826" s="15" t="s">
        <v>2383</v>
      </c>
      <c r="B826" s="18"/>
      <c r="C826" s="15" t="s">
        <v>7332</v>
      </c>
      <c r="D826" s="18"/>
      <c r="E826" s="17" t="s">
        <v>2384</v>
      </c>
      <c r="F826" s="18"/>
      <c r="G826" s="18"/>
      <c r="H826" s="15" t="s">
        <v>2385</v>
      </c>
      <c r="I826" s="15" t="s">
        <v>2386</v>
      </c>
      <c r="J826" s="19" t="s">
        <v>36</v>
      </c>
      <c r="K826" s="19" t="s">
        <v>2387</v>
      </c>
      <c r="L826" s="19" t="s">
        <v>38</v>
      </c>
      <c r="M826" s="20">
        <f t="shared" si="2"/>
        <v>0</v>
      </c>
      <c r="N826" s="22"/>
      <c r="O826" s="19" t="s">
        <v>1145</v>
      </c>
      <c r="P826" s="18"/>
      <c r="Q826" s="18"/>
      <c r="R826" s="23">
        <v>0.0</v>
      </c>
      <c r="S826" s="23">
        <v>0.0</v>
      </c>
      <c r="T826" s="23">
        <f t="shared" si="3"/>
        <v>0</v>
      </c>
      <c r="U826" s="23">
        <f t="shared" si="4"/>
        <v>0</v>
      </c>
      <c r="V826" s="23">
        <f t="shared" si="5"/>
        <v>0</v>
      </c>
      <c r="W826" s="24" t="str">
        <f t="shared" si="6"/>
        <v>#DIV/0!</v>
      </c>
    </row>
    <row r="827">
      <c r="A827" s="15" t="s">
        <v>2388</v>
      </c>
      <c r="B827" s="18"/>
      <c r="C827" s="15" t="s">
        <v>7333</v>
      </c>
      <c r="D827" s="18"/>
      <c r="E827" s="17" t="s">
        <v>2389</v>
      </c>
      <c r="F827" s="18"/>
      <c r="G827" s="18"/>
      <c r="H827" s="15" t="s">
        <v>2390</v>
      </c>
      <c r="I827" s="15" t="s">
        <v>2391</v>
      </c>
      <c r="J827" s="19" t="s">
        <v>36</v>
      </c>
      <c r="K827" s="19" t="s">
        <v>2387</v>
      </c>
      <c r="L827" s="19" t="s">
        <v>38</v>
      </c>
      <c r="M827" s="20">
        <f t="shared" si="2"/>
        <v>0</v>
      </c>
      <c r="N827" s="22"/>
      <c r="O827" s="19" t="s">
        <v>1145</v>
      </c>
      <c r="P827" s="18"/>
      <c r="Q827" s="18"/>
      <c r="R827" s="23">
        <v>0.0</v>
      </c>
      <c r="S827" s="23">
        <v>0.0</v>
      </c>
      <c r="T827" s="23">
        <f t="shared" si="3"/>
        <v>0</v>
      </c>
      <c r="U827" s="23">
        <f t="shared" si="4"/>
        <v>0</v>
      </c>
      <c r="V827" s="23">
        <f t="shared" si="5"/>
        <v>0</v>
      </c>
      <c r="W827" s="24" t="str">
        <f t="shared" si="6"/>
        <v>#DIV/0!</v>
      </c>
    </row>
    <row r="828">
      <c r="A828" s="15" t="s">
        <v>724</v>
      </c>
      <c r="B828" s="15" t="s">
        <v>725</v>
      </c>
      <c r="C828" s="15" t="s">
        <v>7334</v>
      </c>
      <c r="D828" s="15" t="s">
        <v>726</v>
      </c>
      <c r="E828" s="17" t="s">
        <v>727</v>
      </c>
      <c r="F828" s="18"/>
      <c r="G828" s="15" t="s">
        <v>728</v>
      </c>
      <c r="H828" s="15" t="s">
        <v>729</v>
      </c>
      <c r="I828" s="18"/>
      <c r="J828" s="19" t="s">
        <v>36</v>
      </c>
      <c r="K828" s="19" t="s">
        <v>60</v>
      </c>
      <c r="L828" s="19" t="s">
        <v>106</v>
      </c>
      <c r="M828" s="20">
        <f t="shared" si="2"/>
        <v>2930.4</v>
      </c>
      <c r="N828" s="31">
        <v>3.0</v>
      </c>
      <c r="O828" s="19" t="s">
        <v>107</v>
      </c>
      <c r="P828" s="18"/>
      <c r="Q828" s="18"/>
      <c r="R828" s="23">
        <v>34.0</v>
      </c>
      <c r="S828" s="23">
        <v>165.0</v>
      </c>
      <c r="T828" s="23">
        <f t="shared" si="3"/>
        <v>158.4</v>
      </c>
      <c r="U828" s="23">
        <f t="shared" si="4"/>
        <v>41.65</v>
      </c>
      <c r="V828" s="23">
        <f t="shared" si="5"/>
        <v>780.9375</v>
      </c>
      <c r="W828" s="24">
        <f t="shared" si="6"/>
        <v>4.658823529</v>
      </c>
    </row>
    <row r="829">
      <c r="A829" s="15" t="s">
        <v>663</v>
      </c>
      <c r="B829" s="15" t="s">
        <v>664</v>
      </c>
      <c r="C829" s="15" t="s">
        <v>7335</v>
      </c>
      <c r="D829" s="15" t="s">
        <v>665</v>
      </c>
      <c r="E829" s="17" t="s">
        <v>666</v>
      </c>
      <c r="F829" s="18"/>
      <c r="G829" s="18"/>
      <c r="H829" s="15" t="s">
        <v>667</v>
      </c>
      <c r="I829" s="18"/>
      <c r="J829" s="19" t="s">
        <v>36</v>
      </c>
      <c r="K829" s="33"/>
      <c r="L829" s="19" t="s">
        <v>38</v>
      </c>
      <c r="M829" s="20">
        <f t="shared" si="2"/>
        <v>16676.64</v>
      </c>
      <c r="N829" s="31">
        <v>1.0</v>
      </c>
      <c r="O829" s="19" t="s">
        <v>107</v>
      </c>
      <c r="P829" s="18"/>
      <c r="Q829" s="18"/>
      <c r="R829" s="23">
        <v>182.0</v>
      </c>
      <c r="S829" s="23">
        <v>939.0</v>
      </c>
      <c r="T829" s="23">
        <f t="shared" si="3"/>
        <v>901.44</v>
      </c>
      <c r="U829" s="23">
        <f t="shared" si="4"/>
        <v>222.95</v>
      </c>
      <c r="V829" s="23">
        <f t="shared" si="5"/>
        <v>4180.3125</v>
      </c>
      <c r="W829" s="24">
        <f t="shared" si="6"/>
        <v>4.952967033</v>
      </c>
    </row>
    <row r="830">
      <c r="A830" s="15" t="s">
        <v>730</v>
      </c>
      <c r="B830" s="15" t="s">
        <v>731</v>
      </c>
      <c r="C830" s="15" t="s">
        <v>7336</v>
      </c>
      <c r="D830" s="15" t="s">
        <v>732</v>
      </c>
      <c r="E830" s="17" t="s">
        <v>733</v>
      </c>
      <c r="F830" s="18"/>
      <c r="G830" s="18"/>
      <c r="H830" s="15" t="s">
        <v>734</v>
      </c>
      <c r="I830" s="18"/>
      <c r="J830" s="19" t="s">
        <v>36</v>
      </c>
      <c r="K830" s="33"/>
      <c r="L830" s="19" t="s">
        <v>38</v>
      </c>
      <c r="M830" s="20">
        <f t="shared" si="2"/>
        <v>19145.28</v>
      </c>
      <c r="N830" s="31">
        <v>1.0</v>
      </c>
      <c r="O830" s="19" t="s">
        <v>107</v>
      </c>
      <c r="P830" s="18"/>
      <c r="Q830" s="18"/>
      <c r="R830" s="23">
        <v>225.0</v>
      </c>
      <c r="S830" s="23">
        <v>1078.0</v>
      </c>
      <c r="T830" s="23">
        <f t="shared" si="3"/>
        <v>1034.88</v>
      </c>
      <c r="U830" s="23">
        <f t="shared" si="4"/>
        <v>275.625</v>
      </c>
      <c r="V830" s="23">
        <f t="shared" si="5"/>
        <v>5167.96875</v>
      </c>
      <c r="W830" s="24">
        <f t="shared" si="6"/>
        <v>4.599466667</v>
      </c>
    </row>
    <row r="831">
      <c r="A831" s="15" t="s">
        <v>748</v>
      </c>
      <c r="B831" s="15" t="s">
        <v>749</v>
      </c>
      <c r="C831" s="18"/>
      <c r="D831" s="15" t="s">
        <v>750</v>
      </c>
      <c r="E831" s="17" t="s">
        <v>751</v>
      </c>
      <c r="F831" s="18"/>
      <c r="G831" s="15" t="s">
        <v>752</v>
      </c>
      <c r="H831" s="15" t="s">
        <v>753</v>
      </c>
      <c r="I831" s="18"/>
      <c r="J831" s="19" t="s">
        <v>36</v>
      </c>
      <c r="K831" s="19" t="s">
        <v>60</v>
      </c>
      <c r="L831" s="19" t="s">
        <v>84</v>
      </c>
      <c r="M831" s="20">
        <f t="shared" si="2"/>
        <v>4617.6</v>
      </c>
      <c r="N831" s="31">
        <v>2.0</v>
      </c>
      <c r="O831" s="19" t="s">
        <v>107</v>
      </c>
      <c r="P831" s="18"/>
      <c r="Q831" s="18"/>
      <c r="R831" s="23">
        <v>55.0</v>
      </c>
      <c r="S831" s="23">
        <v>260.0</v>
      </c>
      <c r="T831" s="23">
        <f t="shared" si="3"/>
        <v>249.6</v>
      </c>
      <c r="U831" s="23">
        <f t="shared" si="4"/>
        <v>67.375</v>
      </c>
      <c r="V831" s="23">
        <f t="shared" si="5"/>
        <v>1263.28125</v>
      </c>
      <c r="W831" s="24">
        <f t="shared" si="6"/>
        <v>4.538181818</v>
      </c>
    </row>
    <row r="832">
      <c r="A832" s="15" t="s">
        <v>754</v>
      </c>
      <c r="B832" s="15" t="s">
        <v>755</v>
      </c>
      <c r="C832" s="15" t="s">
        <v>7337</v>
      </c>
      <c r="D832" s="15" t="s">
        <v>756</v>
      </c>
      <c r="E832" s="17" t="s">
        <v>757</v>
      </c>
      <c r="F832" s="18"/>
      <c r="G832" s="15" t="s">
        <v>752</v>
      </c>
      <c r="H832" s="15" t="s">
        <v>753</v>
      </c>
      <c r="I832" s="18"/>
      <c r="J832" s="19" t="s">
        <v>36</v>
      </c>
      <c r="K832" s="19" t="s">
        <v>60</v>
      </c>
      <c r="L832" s="19" t="s">
        <v>84</v>
      </c>
      <c r="M832" s="20">
        <f t="shared" si="2"/>
        <v>3356.64</v>
      </c>
      <c r="N832" s="31">
        <v>2.0</v>
      </c>
      <c r="O832" s="19" t="s">
        <v>107</v>
      </c>
      <c r="P832" s="18"/>
      <c r="Q832" s="18"/>
      <c r="R832" s="23">
        <v>40.0</v>
      </c>
      <c r="S832" s="23">
        <v>189.0</v>
      </c>
      <c r="T832" s="23">
        <f t="shared" si="3"/>
        <v>181.44</v>
      </c>
      <c r="U832" s="23">
        <f t="shared" si="4"/>
        <v>49</v>
      </c>
      <c r="V832" s="23">
        <f t="shared" si="5"/>
        <v>918.75</v>
      </c>
      <c r="W832" s="24">
        <f t="shared" si="6"/>
        <v>4.536</v>
      </c>
    </row>
    <row r="833">
      <c r="A833" s="15" t="s">
        <v>314</v>
      </c>
      <c r="B833" s="15" t="s">
        <v>315</v>
      </c>
      <c r="C833" s="15" t="s">
        <v>6074</v>
      </c>
      <c r="D833" s="15" t="s">
        <v>316</v>
      </c>
      <c r="E833" s="17" t="s">
        <v>317</v>
      </c>
      <c r="F833" s="18"/>
      <c r="G833" s="18"/>
      <c r="H833" s="15" t="s">
        <v>318</v>
      </c>
      <c r="I833" s="15" t="s">
        <v>319</v>
      </c>
      <c r="J833" s="19" t="s">
        <v>36</v>
      </c>
      <c r="K833" s="19" t="s">
        <v>37</v>
      </c>
      <c r="L833" s="19" t="s">
        <v>38</v>
      </c>
      <c r="M833" s="20">
        <f t="shared" si="2"/>
        <v>426.24</v>
      </c>
      <c r="N833" s="31">
        <v>10.0</v>
      </c>
      <c r="O833" s="19" t="s">
        <v>107</v>
      </c>
      <c r="P833" s="18"/>
      <c r="Q833" s="18"/>
      <c r="R833" s="23">
        <v>3.0</v>
      </c>
      <c r="S833" s="23">
        <v>24.0</v>
      </c>
      <c r="T833" s="23">
        <f t="shared" si="3"/>
        <v>23.04</v>
      </c>
      <c r="U833" s="23">
        <f t="shared" si="4"/>
        <v>3.675</v>
      </c>
      <c r="V833" s="23">
        <f t="shared" si="5"/>
        <v>68.90625</v>
      </c>
      <c r="W833" s="24">
        <f t="shared" si="6"/>
        <v>7.68</v>
      </c>
    </row>
    <row r="834">
      <c r="A834" s="15" t="s">
        <v>2392</v>
      </c>
      <c r="B834" s="18"/>
      <c r="C834" s="15" t="s">
        <v>7338</v>
      </c>
      <c r="D834" s="18"/>
      <c r="E834" s="17" t="s">
        <v>2393</v>
      </c>
      <c r="F834" s="18"/>
      <c r="G834" s="18"/>
      <c r="H834" s="15" t="s">
        <v>2394</v>
      </c>
      <c r="I834" s="15" t="s">
        <v>2395</v>
      </c>
      <c r="J834" s="19" t="s">
        <v>36</v>
      </c>
      <c r="K834" s="19" t="s">
        <v>2396</v>
      </c>
      <c r="L834" s="19" t="s">
        <v>38</v>
      </c>
      <c r="M834" s="20">
        <f t="shared" si="2"/>
        <v>0</v>
      </c>
      <c r="N834" s="22"/>
      <c r="O834" s="19" t="s">
        <v>1145</v>
      </c>
      <c r="P834" s="18"/>
      <c r="Q834" s="18"/>
      <c r="R834" s="23">
        <v>0.0</v>
      </c>
      <c r="S834" s="23">
        <v>0.0</v>
      </c>
      <c r="T834" s="23">
        <f t="shared" si="3"/>
        <v>0</v>
      </c>
      <c r="U834" s="23">
        <f t="shared" si="4"/>
        <v>0</v>
      </c>
      <c r="V834" s="23">
        <f t="shared" si="5"/>
        <v>0</v>
      </c>
      <c r="W834" s="24" t="str">
        <f t="shared" si="6"/>
        <v>#DIV/0!</v>
      </c>
    </row>
    <row r="835">
      <c r="A835" s="15" t="s">
        <v>456</v>
      </c>
      <c r="B835" s="15" t="s">
        <v>457</v>
      </c>
      <c r="C835" s="15" t="s">
        <v>7339</v>
      </c>
      <c r="D835" s="15" t="s">
        <v>458</v>
      </c>
      <c r="E835" s="17" t="s">
        <v>459</v>
      </c>
      <c r="F835" s="18"/>
      <c r="G835" s="18"/>
      <c r="H835" s="15" t="s">
        <v>460</v>
      </c>
      <c r="I835" s="18"/>
      <c r="J835" s="19" t="s">
        <v>36</v>
      </c>
      <c r="K835" s="33"/>
      <c r="L835" s="19" t="s">
        <v>38</v>
      </c>
      <c r="M835" s="20">
        <f t="shared" si="2"/>
        <v>11437.44</v>
      </c>
      <c r="N835" s="31">
        <v>2.0</v>
      </c>
      <c r="O835" s="19" t="s">
        <v>107</v>
      </c>
      <c r="P835" s="18"/>
      <c r="Q835" s="18"/>
      <c r="R835" s="23">
        <v>95.0</v>
      </c>
      <c r="S835" s="23">
        <v>644.0</v>
      </c>
      <c r="T835" s="23">
        <f t="shared" si="3"/>
        <v>618.24</v>
      </c>
      <c r="U835" s="23">
        <f t="shared" si="4"/>
        <v>116.375</v>
      </c>
      <c r="V835" s="23">
        <f t="shared" si="5"/>
        <v>2182.03125</v>
      </c>
      <c r="W835" s="24">
        <f t="shared" si="6"/>
        <v>6.507789474</v>
      </c>
    </row>
    <row r="836">
      <c r="A836" s="15" t="s">
        <v>5013</v>
      </c>
      <c r="B836" s="15" t="s">
        <v>5014</v>
      </c>
      <c r="C836" s="15" t="s">
        <v>7340</v>
      </c>
      <c r="D836" s="15" t="s">
        <v>5015</v>
      </c>
      <c r="E836" s="17" t="s">
        <v>5016</v>
      </c>
      <c r="F836" s="18"/>
      <c r="G836" s="18"/>
      <c r="H836" s="15" t="s">
        <v>5017</v>
      </c>
      <c r="I836" s="18"/>
      <c r="J836" s="19" t="s">
        <v>36</v>
      </c>
      <c r="K836" s="33"/>
      <c r="L836" s="19" t="s">
        <v>38</v>
      </c>
      <c r="M836" s="20">
        <f t="shared" si="2"/>
        <v>0</v>
      </c>
      <c r="N836" s="22"/>
      <c r="O836" s="19" t="s">
        <v>3578</v>
      </c>
      <c r="P836" s="18"/>
      <c r="Q836" s="18"/>
      <c r="R836" s="23">
        <v>0.0</v>
      </c>
      <c r="S836" s="23">
        <v>0.0</v>
      </c>
      <c r="T836" s="23">
        <f t="shared" si="3"/>
        <v>0</v>
      </c>
      <c r="U836" s="23">
        <f t="shared" si="4"/>
        <v>0</v>
      </c>
      <c r="V836" s="23">
        <f t="shared" si="5"/>
        <v>0</v>
      </c>
      <c r="W836" s="24" t="str">
        <f t="shared" si="6"/>
        <v>#DIV/0!</v>
      </c>
    </row>
    <row r="837">
      <c r="A837" s="15" t="s">
        <v>2397</v>
      </c>
      <c r="B837" s="18"/>
      <c r="C837" s="15" t="s">
        <v>7341</v>
      </c>
      <c r="D837" s="18"/>
      <c r="E837" s="17" t="s">
        <v>2398</v>
      </c>
      <c r="F837" s="18"/>
      <c r="G837" s="18"/>
      <c r="H837" s="15" t="s">
        <v>2399</v>
      </c>
      <c r="I837" s="15" t="s">
        <v>2400</v>
      </c>
      <c r="J837" s="19" t="s">
        <v>36</v>
      </c>
      <c r="K837" s="19" t="s">
        <v>2401</v>
      </c>
      <c r="L837" s="19" t="s">
        <v>38</v>
      </c>
      <c r="M837" s="20">
        <f t="shared" si="2"/>
        <v>0</v>
      </c>
      <c r="N837" s="22"/>
      <c r="O837" s="19" t="s">
        <v>1145</v>
      </c>
      <c r="P837" s="18"/>
      <c r="Q837" s="18"/>
      <c r="R837" s="23">
        <v>0.0</v>
      </c>
      <c r="S837" s="23">
        <v>0.0</v>
      </c>
      <c r="T837" s="23">
        <f t="shared" si="3"/>
        <v>0</v>
      </c>
      <c r="U837" s="23">
        <f t="shared" si="4"/>
        <v>0</v>
      </c>
      <c r="V837" s="23">
        <f t="shared" si="5"/>
        <v>0</v>
      </c>
      <c r="W837" s="24" t="str">
        <f t="shared" si="6"/>
        <v>#DIV/0!</v>
      </c>
    </row>
    <row r="838">
      <c r="A838" s="15" t="s">
        <v>122</v>
      </c>
      <c r="B838" s="15" t="s">
        <v>123</v>
      </c>
      <c r="C838" s="15" t="s">
        <v>6075</v>
      </c>
      <c r="D838" s="15" t="s">
        <v>124</v>
      </c>
      <c r="E838" s="17" t="s">
        <v>125</v>
      </c>
      <c r="F838" s="18"/>
      <c r="G838" s="15" t="s">
        <v>126</v>
      </c>
      <c r="H838" s="15" t="s">
        <v>127</v>
      </c>
      <c r="I838" s="18"/>
      <c r="J838" s="19" t="s">
        <v>36</v>
      </c>
      <c r="K838" s="19" t="s">
        <v>60</v>
      </c>
      <c r="L838" s="19" t="s">
        <v>38</v>
      </c>
      <c r="M838" s="20">
        <f t="shared" si="2"/>
        <v>3125.76</v>
      </c>
      <c r="N838" s="31">
        <v>8.0</v>
      </c>
      <c r="O838" s="19" t="s">
        <v>107</v>
      </c>
      <c r="P838" s="18"/>
      <c r="Q838" s="18"/>
      <c r="R838" s="23">
        <v>7.0</v>
      </c>
      <c r="S838" s="23">
        <v>176.0</v>
      </c>
      <c r="T838" s="23">
        <f t="shared" si="3"/>
        <v>168.96</v>
      </c>
      <c r="U838" s="23">
        <f t="shared" si="4"/>
        <v>8.575</v>
      </c>
      <c r="V838" s="23">
        <f t="shared" si="5"/>
        <v>160.78125</v>
      </c>
      <c r="W838" s="24">
        <f t="shared" si="6"/>
        <v>24.13714286</v>
      </c>
    </row>
    <row r="839">
      <c r="A839" s="15" t="s">
        <v>171</v>
      </c>
      <c r="B839" s="15" t="s">
        <v>172</v>
      </c>
      <c r="C839" s="15" t="s">
        <v>6007</v>
      </c>
      <c r="D839" s="15" t="s">
        <v>173</v>
      </c>
      <c r="E839" s="17" t="s">
        <v>174</v>
      </c>
      <c r="F839" s="18"/>
      <c r="G839" s="15" t="s">
        <v>175</v>
      </c>
      <c r="H839" s="15" t="s">
        <v>176</v>
      </c>
      <c r="I839" s="18"/>
      <c r="J839" s="19" t="s">
        <v>36</v>
      </c>
      <c r="K839" s="19" t="s">
        <v>60</v>
      </c>
      <c r="L839" s="19" t="s">
        <v>38</v>
      </c>
      <c r="M839" s="20">
        <f t="shared" si="2"/>
        <v>1740.48</v>
      </c>
      <c r="N839" s="31">
        <v>6.0</v>
      </c>
      <c r="O839" s="19" t="s">
        <v>107</v>
      </c>
      <c r="P839" s="18"/>
      <c r="Q839" s="18"/>
      <c r="R839" s="23">
        <v>7.0</v>
      </c>
      <c r="S839" s="23">
        <v>98.0</v>
      </c>
      <c r="T839" s="23">
        <f t="shared" si="3"/>
        <v>94.08</v>
      </c>
      <c r="U839" s="23">
        <f t="shared" si="4"/>
        <v>8.575</v>
      </c>
      <c r="V839" s="23">
        <f t="shared" si="5"/>
        <v>160.78125</v>
      </c>
      <c r="W839" s="24">
        <f t="shared" si="6"/>
        <v>13.44</v>
      </c>
    </row>
    <row r="840">
      <c r="A840" s="15" t="s">
        <v>451</v>
      </c>
      <c r="B840" s="15" t="s">
        <v>452</v>
      </c>
      <c r="C840" s="15" t="s">
        <v>6008</v>
      </c>
      <c r="D840" s="15" t="s">
        <v>453</v>
      </c>
      <c r="E840" s="17" t="s">
        <v>454</v>
      </c>
      <c r="F840" s="18"/>
      <c r="G840" s="18"/>
      <c r="H840" s="15" t="s">
        <v>455</v>
      </c>
      <c r="I840" s="18"/>
      <c r="J840" s="19" t="s">
        <v>36</v>
      </c>
      <c r="K840" s="19" t="s">
        <v>60</v>
      </c>
      <c r="L840" s="19" t="s">
        <v>403</v>
      </c>
      <c r="M840" s="20">
        <f t="shared" si="2"/>
        <v>8453.76</v>
      </c>
      <c r="N840" s="31">
        <v>5.0</v>
      </c>
      <c r="O840" s="19" t="s">
        <v>107</v>
      </c>
      <c r="P840" s="18"/>
      <c r="Q840" s="18"/>
      <c r="R840" s="23">
        <v>70.0</v>
      </c>
      <c r="S840" s="23">
        <v>476.0</v>
      </c>
      <c r="T840" s="23">
        <f t="shared" si="3"/>
        <v>456.96</v>
      </c>
      <c r="U840" s="23">
        <f t="shared" si="4"/>
        <v>85.75</v>
      </c>
      <c r="V840" s="23">
        <f t="shared" si="5"/>
        <v>1607.8125</v>
      </c>
      <c r="W840" s="24">
        <f t="shared" si="6"/>
        <v>6.528</v>
      </c>
    </row>
    <row r="841">
      <c r="A841" s="15" t="s">
        <v>5018</v>
      </c>
      <c r="B841" s="15" t="s">
        <v>5019</v>
      </c>
      <c r="C841" s="15" t="s">
        <v>7342</v>
      </c>
      <c r="D841" s="15" t="s">
        <v>5020</v>
      </c>
      <c r="E841" s="17" t="s">
        <v>5021</v>
      </c>
      <c r="F841" s="18"/>
      <c r="G841" s="18"/>
      <c r="H841" s="15" t="s">
        <v>5022</v>
      </c>
      <c r="I841" s="18"/>
      <c r="J841" s="19" t="s">
        <v>36</v>
      </c>
      <c r="K841" s="33"/>
      <c r="L841" s="19" t="s">
        <v>38</v>
      </c>
      <c r="M841" s="20">
        <f t="shared" si="2"/>
        <v>0</v>
      </c>
      <c r="N841" s="22"/>
      <c r="O841" s="19" t="s">
        <v>3578</v>
      </c>
      <c r="P841" s="18"/>
      <c r="Q841" s="18"/>
      <c r="R841" s="23">
        <v>0.0</v>
      </c>
      <c r="S841" s="23">
        <v>0.0</v>
      </c>
      <c r="T841" s="23">
        <f t="shared" si="3"/>
        <v>0</v>
      </c>
      <c r="U841" s="23">
        <f t="shared" si="4"/>
        <v>0</v>
      </c>
      <c r="V841" s="23">
        <f t="shared" si="5"/>
        <v>0</v>
      </c>
      <c r="W841" s="24" t="str">
        <f t="shared" si="6"/>
        <v>#DIV/0!</v>
      </c>
    </row>
    <row r="842">
      <c r="A842" s="15" t="s">
        <v>422</v>
      </c>
      <c r="B842" s="15" t="s">
        <v>423</v>
      </c>
      <c r="C842" s="15" t="s">
        <v>7343</v>
      </c>
      <c r="D842" s="15" t="s">
        <v>424</v>
      </c>
      <c r="E842" s="17" t="s">
        <v>425</v>
      </c>
      <c r="F842" s="18"/>
      <c r="G842" s="18"/>
      <c r="H842" s="15" t="s">
        <v>426</v>
      </c>
      <c r="I842" s="18"/>
      <c r="J842" s="19" t="s">
        <v>36</v>
      </c>
      <c r="K842" s="19" t="s">
        <v>427</v>
      </c>
      <c r="L842" s="19" t="s">
        <v>403</v>
      </c>
      <c r="M842" s="20">
        <f t="shared" si="2"/>
        <v>8205.12</v>
      </c>
      <c r="N842" s="31">
        <v>1.0</v>
      </c>
      <c r="O842" s="19" t="s">
        <v>107</v>
      </c>
      <c r="P842" s="18"/>
      <c r="Q842" s="18"/>
      <c r="R842" s="23">
        <v>65.0</v>
      </c>
      <c r="S842" s="23">
        <v>462.0</v>
      </c>
      <c r="T842" s="23">
        <f t="shared" si="3"/>
        <v>443.52</v>
      </c>
      <c r="U842" s="23">
        <f t="shared" si="4"/>
        <v>79.625</v>
      </c>
      <c r="V842" s="23">
        <f t="shared" si="5"/>
        <v>1492.96875</v>
      </c>
      <c r="W842" s="24">
        <f t="shared" si="6"/>
        <v>6.823384615</v>
      </c>
    </row>
    <row r="843">
      <c r="A843" s="15" t="s">
        <v>7344</v>
      </c>
      <c r="B843" s="15" t="s">
        <v>7345</v>
      </c>
      <c r="C843" s="15" t="s">
        <v>7346</v>
      </c>
      <c r="D843" s="18"/>
      <c r="E843" s="17" t="s">
        <v>7347</v>
      </c>
      <c r="F843" s="18"/>
      <c r="G843" s="18"/>
      <c r="H843" s="15" t="s">
        <v>7348</v>
      </c>
      <c r="I843" s="15" t="s">
        <v>696</v>
      </c>
      <c r="J843" s="19" t="s">
        <v>36</v>
      </c>
      <c r="K843" s="19" t="s">
        <v>2387</v>
      </c>
      <c r="L843" s="19" t="s">
        <v>38</v>
      </c>
      <c r="M843" s="20">
        <f t="shared" si="2"/>
        <v>0</v>
      </c>
      <c r="N843" s="22"/>
      <c r="O843" s="19" t="s">
        <v>39</v>
      </c>
      <c r="P843" s="18"/>
      <c r="Q843" s="18"/>
      <c r="R843" s="23">
        <v>0.0</v>
      </c>
      <c r="S843" s="23">
        <v>0.0</v>
      </c>
      <c r="T843" s="23">
        <f t="shared" si="3"/>
        <v>0</v>
      </c>
      <c r="U843" s="23">
        <f t="shared" si="4"/>
        <v>0</v>
      </c>
      <c r="V843" s="23">
        <f t="shared" si="5"/>
        <v>0</v>
      </c>
      <c r="W843" s="24" t="str">
        <f t="shared" si="6"/>
        <v>#DIV/0!</v>
      </c>
    </row>
    <row r="844">
      <c r="A844" s="15" t="s">
        <v>2402</v>
      </c>
      <c r="B844" s="18"/>
      <c r="C844" s="15" t="s">
        <v>7349</v>
      </c>
      <c r="D844" s="18"/>
      <c r="E844" s="17" t="s">
        <v>2403</v>
      </c>
      <c r="F844" s="18"/>
      <c r="G844" s="18"/>
      <c r="H844" s="15" t="s">
        <v>2404</v>
      </c>
      <c r="I844" s="15" t="s">
        <v>2405</v>
      </c>
      <c r="J844" s="19" t="s">
        <v>36</v>
      </c>
      <c r="K844" s="19" t="s">
        <v>2401</v>
      </c>
      <c r="L844" s="19" t="s">
        <v>38</v>
      </c>
      <c r="M844" s="20">
        <f t="shared" si="2"/>
        <v>0</v>
      </c>
      <c r="N844" s="22"/>
      <c r="O844" s="19" t="s">
        <v>1145</v>
      </c>
      <c r="P844" s="18"/>
      <c r="Q844" s="18"/>
      <c r="R844" s="23">
        <v>0.0</v>
      </c>
      <c r="S844" s="23">
        <v>0.0</v>
      </c>
      <c r="T844" s="23">
        <f t="shared" si="3"/>
        <v>0</v>
      </c>
      <c r="U844" s="23">
        <f t="shared" si="4"/>
        <v>0</v>
      </c>
      <c r="V844" s="23">
        <f t="shared" si="5"/>
        <v>0</v>
      </c>
      <c r="W844" s="24" t="str">
        <f t="shared" si="6"/>
        <v>#DIV/0!</v>
      </c>
    </row>
    <row r="845">
      <c r="A845" s="15" t="s">
        <v>320</v>
      </c>
      <c r="B845" s="15" t="s">
        <v>321</v>
      </c>
      <c r="C845" s="15" t="s">
        <v>7350</v>
      </c>
      <c r="D845" s="15" t="s">
        <v>322</v>
      </c>
      <c r="E845" s="17" t="s">
        <v>323</v>
      </c>
      <c r="F845" s="18"/>
      <c r="G845" s="15" t="s">
        <v>324</v>
      </c>
      <c r="H845" s="15" t="s">
        <v>325</v>
      </c>
      <c r="I845" s="18"/>
      <c r="J845" s="19" t="s">
        <v>36</v>
      </c>
      <c r="K845" s="19" t="s">
        <v>60</v>
      </c>
      <c r="L845" s="19" t="s">
        <v>52</v>
      </c>
      <c r="M845" s="20">
        <f t="shared" si="2"/>
        <v>8453.76</v>
      </c>
      <c r="N845" s="31">
        <v>2.0</v>
      </c>
      <c r="O845" s="19" t="s">
        <v>107</v>
      </c>
      <c r="P845" s="18"/>
      <c r="Q845" s="18"/>
      <c r="R845" s="23">
        <v>60.0</v>
      </c>
      <c r="S845" s="23">
        <v>476.0</v>
      </c>
      <c r="T845" s="23">
        <f t="shared" si="3"/>
        <v>456.96</v>
      </c>
      <c r="U845" s="23">
        <f t="shared" si="4"/>
        <v>73.5</v>
      </c>
      <c r="V845" s="23">
        <f t="shared" si="5"/>
        <v>1378.125</v>
      </c>
      <c r="W845" s="24">
        <f t="shared" si="6"/>
        <v>7.616</v>
      </c>
    </row>
    <row r="846">
      <c r="A846" s="15" t="s">
        <v>704</v>
      </c>
      <c r="B846" s="15" t="s">
        <v>705</v>
      </c>
      <c r="C846" s="15" t="s">
        <v>6076</v>
      </c>
      <c r="D846" s="15" t="s">
        <v>706</v>
      </c>
      <c r="E846" s="17" t="s">
        <v>707</v>
      </c>
      <c r="F846" s="18"/>
      <c r="G846" s="15" t="s">
        <v>708</v>
      </c>
      <c r="H846" s="15" t="s">
        <v>709</v>
      </c>
      <c r="I846" s="18"/>
      <c r="J846" s="19" t="s">
        <v>36</v>
      </c>
      <c r="K846" s="33"/>
      <c r="L846" s="19" t="s">
        <v>38</v>
      </c>
      <c r="M846" s="20">
        <f t="shared" si="2"/>
        <v>177.6</v>
      </c>
      <c r="N846" s="31">
        <v>8.0</v>
      </c>
      <c r="O846" s="19" t="s">
        <v>107</v>
      </c>
      <c r="P846" s="18"/>
      <c r="Q846" s="18"/>
      <c r="R846" s="23">
        <v>2.0</v>
      </c>
      <c r="S846" s="23">
        <v>10.0</v>
      </c>
      <c r="T846" s="23">
        <f t="shared" si="3"/>
        <v>9.6</v>
      </c>
      <c r="U846" s="23">
        <f t="shared" si="4"/>
        <v>2.45</v>
      </c>
      <c r="V846" s="23">
        <f t="shared" si="5"/>
        <v>45.9375</v>
      </c>
      <c r="W846" s="24">
        <f t="shared" si="6"/>
        <v>4.8</v>
      </c>
    </row>
    <row r="847">
      <c r="A847" s="15" t="s">
        <v>2406</v>
      </c>
      <c r="B847" s="18"/>
      <c r="C847" s="15" t="s">
        <v>7351</v>
      </c>
      <c r="D847" s="18"/>
      <c r="E847" s="17" t="s">
        <v>2407</v>
      </c>
      <c r="F847" s="18"/>
      <c r="G847" s="18"/>
      <c r="H847" s="15" t="s">
        <v>2408</v>
      </c>
      <c r="I847" s="15" t="s">
        <v>2409</v>
      </c>
      <c r="J847" s="19" t="s">
        <v>36</v>
      </c>
      <c r="K847" s="19" t="s">
        <v>2401</v>
      </c>
      <c r="L847" s="19" t="s">
        <v>38</v>
      </c>
      <c r="M847" s="20">
        <f t="shared" si="2"/>
        <v>0</v>
      </c>
      <c r="N847" s="22"/>
      <c r="O847" s="19" t="s">
        <v>1145</v>
      </c>
      <c r="P847" s="18"/>
      <c r="Q847" s="18"/>
      <c r="R847" s="23">
        <v>0.0</v>
      </c>
      <c r="S847" s="23">
        <v>0.0</v>
      </c>
      <c r="T847" s="23">
        <f t="shared" si="3"/>
        <v>0</v>
      </c>
      <c r="U847" s="23">
        <f t="shared" si="4"/>
        <v>0</v>
      </c>
      <c r="V847" s="23">
        <f t="shared" si="5"/>
        <v>0</v>
      </c>
      <c r="W847" s="24" t="str">
        <f t="shared" si="6"/>
        <v>#DIV/0!</v>
      </c>
    </row>
    <row r="848">
      <c r="A848" s="15" t="s">
        <v>385</v>
      </c>
      <c r="B848" s="15" t="s">
        <v>386</v>
      </c>
      <c r="C848" s="15" t="s">
        <v>7352</v>
      </c>
      <c r="D848" s="15" t="s">
        <v>7353</v>
      </c>
      <c r="E848" s="17" t="s">
        <v>388</v>
      </c>
      <c r="F848" s="18"/>
      <c r="G848" s="18"/>
      <c r="H848" s="15" t="s">
        <v>389</v>
      </c>
      <c r="I848" s="18"/>
      <c r="J848" s="19" t="s">
        <v>36</v>
      </c>
      <c r="K848" s="33"/>
      <c r="L848" s="19" t="s">
        <v>38</v>
      </c>
      <c r="M848" s="20">
        <f t="shared" si="2"/>
        <v>9252.96</v>
      </c>
      <c r="N848" s="31">
        <v>2.0</v>
      </c>
      <c r="O848" s="19" t="s">
        <v>107</v>
      </c>
      <c r="P848" s="18"/>
      <c r="Q848" s="18"/>
      <c r="R848" s="23">
        <v>70.0</v>
      </c>
      <c r="S848" s="23">
        <v>521.0</v>
      </c>
      <c r="T848" s="23">
        <f t="shared" si="3"/>
        <v>500.16</v>
      </c>
      <c r="U848" s="23">
        <f t="shared" si="4"/>
        <v>85.75</v>
      </c>
      <c r="V848" s="23">
        <f t="shared" si="5"/>
        <v>1607.8125</v>
      </c>
      <c r="W848" s="24">
        <f t="shared" si="6"/>
        <v>7.145142857</v>
      </c>
    </row>
    <row r="849">
      <c r="A849" s="15" t="s">
        <v>332</v>
      </c>
      <c r="B849" s="15" t="s">
        <v>333</v>
      </c>
      <c r="C849" s="15" t="s">
        <v>6077</v>
      </c>
      <c r="D849" s="15" t="s">
        <v>334</v>
      </c>
      <c r="E849" s="17" t="s">
        <v>335</v>
      </c>
      <c r="F849" s="18"/>
      <c r="G849" s="15" t="s">
        <v>336</v>
      </c>
      <c r="H849" s="15" t="s">
        <v>337</v>
      </c>
      <c r="I849" s="18"/>
      <c r="J849" s="19" t="s">
        <v>36</v>
      </c>
      <c r="K849" s="19" t="s">
        <v>60</v>
      </c>
      <c r="L849" s="19" t="s">
        <v>188</v>
      </c>
      <c r="M849" s="20">
        <f t="shared" si="2"/>
        <v>1260.96</v>
      </c>
      <c r="N849" s="31">
        <v>6.0</v>
      </c>
      <c r="O849" s="19" t="s">
        <v>107</v>
      </c>
      <c r="P849" s="18"/>
      <c r="Q849" s="18"/>
      <c r="R849" s="23">
        <v>9.0</v>
      </c>
      <c r="S849" s="23">
        <v>71.0</v>
      </c>
      <c r="T849" s="23">
        <f t="shared" si="3"/>
        <v>68.16</v>
      </c>
      <c r="U849" s="23">
        <f t="shared" si="4"/>
        <v>11.025</v>
      </c>
      <c r="V849" s="23">
        <f t="shared" si="5"/>
        <v>206.71875</v>
      </c>
      <c r="W849" s="24">
        <f t="shared" si="6"/>
        <v>7.573333333</v>
      </c>
    </row>
    <row r="850">
      <c r="A850" s="15" t="s">
        <v>183</v>
      </c>
      <c r="B850" s="15" t="s">
        <v>184</v>
      </c>
      <c r="C850" s="15" t="s">
        <v>6009</v>
      </c>
      <c r="D850" s="15" t="s">
        <v>185</v>
      </c>
      <c r="E850" s="17" t="s">
        <v>186</v>
      </c>
      <c r="F850" s="18"/>
      <c r="G850" s="18"/>
      <c r="H850" s="15" t="s">
        <v>187</v>
      </c>
      <c r="I850" s="18"/>
      <c r="J850" s="19" t="s">
        <v>36</v>
      </c>
      <c r="K850" s="19" t="s">
        <v>60</v>
      </c>
      <c r="L850" s="19" t="s">
        <v>188</v>
      </c>
      <c r="M850" s="20">
        <f t="shared" si="2"/>
        <v>3090.24</v>
      </c>
      <c r="N850" s="31">
        <v>4.0</v>
      </c>
      <c r="O850" s="19" t="s">
        <v>107</v>
      </c>
      <c r="P850" s="18"/>
      <c r="Q850" s="18"/>
      <c r="R850" s="23">
        <v>14.0</v>
      </c>
      <c r="S850" s="23">
        <v>174.0</v>
      </c>
      <c r="T850" s="23">
        <f t="shared" si="3"/>
        <v>167.04</v>
      </c>
      <c r="U850" s="23">
        <f t="shared" si="4"/>
        <v>17.15</v>
      </c>
      <c r="V850" s="23">
        <f t="shared" si="5"/>
        <v>321.5625</v>
      </c>
      <c r="W850" s="24">
        <f t="shared" si="6"/>
        <v>11.93142857</v>
      </c>
    </row>
    <row r="851">
      <c r="A851" s="15" t="s">
        <v>223</v>
      </c>
      <c r="B851" s="15" t="s">
        <v>224</v>
      </c>
      <c r="C851" s="15" t="s">
        <v>6078</v>
      </c>
      <c r="D851" s="15" t="s">
        <v>225</v>
      </c>
      <c r="E851" s="17" t="s">
        <v>226</v>
      </c>
      <c r="F851" s="18"/>
      <c r="G851" s="15" t="s">
        <v>227</v>
      </c>
      <c r="H851" s="15" t="s">
        <v>228</v>
      </c>
      <c r="I851" s="18"/>
      <c r="J851" s="19" t="s">
        <v>36</v>
      </c>
      <c r="K851" s="19" t="s">
        <v>60</v>
      </c>
      <c r="L851" s="19" t="s">
        <v>188</v>
      </c>
      <c r="M851" s="20">
        <f t="shared" si="2"/>
        <v>355.2</v>
      </c>
      <c r="N851" s="31">
        <v>6.0</v>
      </c>
      <c r="O851" s="19" t="s">
        <v>107</v>
      </c>
      <c r="P851" s="18"/>
      <c r="Q851" s="18"/>
      <c r="R851" s="23">
        <v>2.0</v>
      </c>
      <c r="S851" s="23">
        <v>20.0</v>
      </c>
      <c r="T851" s="23">
        <f t="shared" si="3"/>
        <v>19.2</v>
      </c>
      <c r="U851" s="23">
        <f t="shared" si="4"/>
        <v>2.45</v>
      </c>
      <c r="V851" s="23">
        <f t="shared" si="5"/>
        <v>45.9375</v>
      </c>
      <c r="W851" s="24">
        <f t="shared" si="6"/>
        <v>9.6</v>
      </c>
    </row>
    <row r="852">
      <c r="A852" s="15" t="s">
        <v>2410</v>
      </c>
      <c r="B852" s="18"/>
      <c r="C852" s="15" t="s">
        <v>7354</v>
      </c>
      <c r="D852" s="18"/>
      <c r="E852" s="17" t="s">
        <v>2411</v>
      </c>
      <c r="F852" s="18"/>
      <c r="G852" s="18"/>
      <c r="H852" s="15" t="s">
        <v>2412</v>
      </c>
      <c r="I852" s="15" t="s">
        <v>2413</v>
      </c>
      <c r="J852" s="19" t="s">
        <v>36</v>
      </c>
      <c r="K852" s="19" t="s">
        <v>2396</v>
      </c>
      <c r="L852" s="19" t="s">
        <v>38</v>
      </c>
      <c r="M852" s="20">
        <f t="shared" si="2"/>
        <v>0</v>
      </c>
      <c r="N852" s="22"/>
      <c r="O852" s="19" t="s">
        <v>1145</v>
      </c>
      <c r="P852" s="18"/>
      <c r="Q852" s="18"/>
      <c r="R852" s="23">
        <v>0.0</v>
      </c>
      <c r="S852" s="23">
        <v>0.0</v>
      </c>
      <c r="T852" s="23">
        <f t="shared" si="3"/>
        <v>0</v>
      </c>
      <c r="U852" s="23">
        <f t="shared" si="4"/>
        <v>0</v>
      </c>
      <c r="V852" s="23">
        <f t="shared" si="5"/>
        <v>0</v>
      </c>
      <c r="W852" s="24" t="str">
        <f t="shared" si="6"/>
        <v>#DIV/0!</v>
      </c>
    </row>
    <row r="853">
      <c r="A853" s="15" t="s">
        <v>1024</v>
      </c>
      <c r="B853" s="15" t="s">
        <v>1025</v>
      </c>
      <c r="C853" s="15" t="s">
        <v>6010</v>
      </c>
      <c r="D853" s="15" t="s">
        <v>1026</v>
      </c>
      <c r="E853" s="17" t="s">
        <v>1027</v>
      </c>
      <c r="F853" s="18"/>
      <c r="G853" s="15" t="s">
        <v>1028</v>
      </c>
      <c r="H853" s="15" t="s">
        <v>1029</v>
      </c>
      <c r="I853" s="18"/>
      <c r="J853" s="19" t="s">
        <v>36</v>
      </c>
      <c r="K853" s="33"/>
      <c r="L853" s="19" t="s">
        <v>38</v>
      </c>
      <c r="M853" s="20">
        <f t="shared" si="2"/>
        <v>390.72</v>
      </c>
      <c r="N853" s="31">
        <v>6.0</v>
      </c>
      <c r="O853" s="19" t="s">
        <v>107</v>
      </c>
      <c r="P853" s="18"/>
      <c r="Q853" s="18"/>
      <c r="R853" s="23">
        <v>6.5</v>
      </c>
      <c r="S853" s="23">
        <v>22.0</v>
      </c>
      <c r="T853" s="23">
        <f t="shared" si="3"/>
        <v>21.12</v>
      </c>
      <c r="U853" s="23">
        <f t="shared" si="4"/>
        <v>7.9625</v>
      </c>
      <c r="V853" s="23">
        <f t="shared" si="5"/>
        <v>149.296875</v>
      </c>
      <c r="W853" s="24">
        <f t="shared" si="6"/>
        <v>3.249230769</v>
      </c>
    </row>
    <row r="854">
      <c r="A854" s="15" t="s">
        <v>2414</v>
      </c>
      <c r="B854" s="15" t="s">
        <v>2415</v>
      </c>
      <c r="C854" s="15" t="s">
        <v>7355</v>
      </c>
      <c r="D854" s="18"/>
      <c r="E854" s="17" t="s">
        <v>2416</v>
      </c>
      <c r="F854" s="18"/>
      <c r="G854" s="18"/>
      <c r="H854" s="15" t="s">
        <v>2417</v>
      </c>
      <c r="I854" s="18"/>
      <c r="J854" s="19" t="s">
        <v>36</v>
      </c>
      <c r="K854" s="33"/>
      <c r="L854" s="19" t="s">
        <v>38</v>
      </c>
      <c r="M854" s="20">
        <f t="shared" si="2"/>
        <v>0</v>
      </c>
      <c r="N854" s="22"/>
      <c r="O854" s="19" t="s">
        <v>1145</v>
      </c>
      <c r="P854" s="18"/>
      <c r="Q854" s="18"/>
      <c r="R854" s="23">
        <v>0.0</v>
      </c>
      <c r="S854" s="23">
        <v>0.0</v>
      </c>
      <c r="T854" s="23">
        <f t="shared" si="3"/>
        <v>0</v>
      </c>
      <c r="U854" s="23">
        <f t="shared" si="4"/>
        <v>0</v>
      </c>
      <c r="V854" s="23">
        <f t="shared" si="5"/>
        <v>0</v>
      </c>
      <c r="W854" s="24" t="str">
        <f t="shared" si="6"/>
        <v>#DIV/0!</v>
      </c>
    </row>
    <row r="855">
      <c r="A855" s="15" t="s">
        <v>2418</v>
      </c>
      <c r="B855" s="18"/>
      <c r="C855" s="15" t="s">
        <v>7356</v>
      </c>
      <c r="D855" s="18"/>
      <c r="E855" s="17" t="s">
        <v>2419</v>
      </c>
      <c r="F855" s="18"/>
      <c r="G855" s="18"/>
      <c r="H855" s="15" t="s">
        <v>2420</v>
      </c>
      <c r="I855" s="15" t="s">
        <v>2421</v>
      </c>
      <c r="J855" s="19" t="s">
        <v>36</v>
      </c>
      <c r="K855" s="19" t="s">
        <v>691</v>
      </c>
      <c r="L855" s="19" t="s">
        <v>38</v>
      </c>
      <c r="M855" s="20">
        <f t="shared" si="2"/>
        <v>0</v>
      </c>
      <c r="N855" s="22"/>
      <c r="O855" s="19" t="s">
        <v>1145</v>
      </c>
      <c r="P855" s="18"/>
      <c r="Q855" s="18"/>
      <c r="R855" s="23">
        <v>0.0</v>
      </c>
      <c r="S855" s="23">
        <v>0.0</v>
      </c>
      <c r="T855" s="23">
        <f t="shared" si="3"/>
        <v>0</v>
      </c>
      <c r="U855" s="23">
        <f t="shared" si="4"/>
        <v>0</v>
      </c>
      <c r="V855" s="23">
        <f t="shared" si="5"/>
        <v>0</v>
      </c>
      <c r="W855" s="24" t="str">
        <f t="shared" si="6"/>
        <v>#DIV/0!</v>
      </c>
    </row>
    <row r="856">
      <c r="A856" s="15" t="s">
        <v>2422</v>
      </c>
      <c r="B856" s="18"/>
      <c r="C856" s="15" t="s">
        <v>7357</v>
      </c>
      <c r="D856" s="18"/>
      <c r="E856" s="17" t="s">
        <v>2423</v>
      </c>
      <c r="F856" s="18"/>
      <c r="G856" s="18"/>
      <c r="H856" s="15" t="s">
        <v>2424</v>
      </c>
      <c r="I856" s="15" t="s">
        <v>2425</v>
      </c>
      <c r="J856" s="19" t="s">
        <v>36</v>
      </c>
      <c r="K856" s="19" t="s">
        <v>691</v>
      </c>
      <c r="L856" s="19" t="s">
        <v>38</v>
      </c>
      <c r="M856" s="20">
        <f t="shared" si="2"/>
        <v>0</v>
      </c>
      <c r="N856" s="22"/>
      <c r="O856" s="19" t="s">
        <v>1145</v>
      </c>
      <c r="P856" s="18"/>
      <c r="Q856" s="18"/>
      <c r="R856" s="23">
        <v>0.0</v>
      </c>
      <c r="S856" s="23">
        <v>0.0</v>
      </c>
      <c r="T856" s="23">
        <f t="shared" si="3"/>
        <v>0</v>
      </c>
      <c r="U856" s="23">
        <f t="shared" si="4"/>
        <v>0</v>
      </c>
      <c r="V856" s="23">
        <f t="shared" si="5"/>
        <v>0</v>
      </c>
      <c r="W856" s="24" t="str">
        <f t="shared" si="6"/>
        <v>#DIV/0!</v>
      </c>
    </row>
    <row r="857">
      <c r="A857" s="15" t="s">
        <v>7358</v>
      </c>
      <c r="B857" s="18"/>
      <c r="C857" s="18"/>
      <c r="D857" s="18"/>
      <c r="E857" s="17" t="s">
        <v>7359</v>
      </c>
      <c r="F857" s="18"/>
      <c r="G857" s="18"/>
      <c r="H857" s="15" t="s">
        <v>854</v>
      </c>
      <c r="I857" s="18"/>
      <c r="J857" s="19" t="s">
        <v>36</v>
      </c>
      <c r="K857" s="33"/>
      <c r="L857" s="19" t="s">
        <v>38</v>
      </c>
      <c r="M857" s="20">
        <f t="shared" si="2"/>
        <v>0</v>
      </c>
      <c r="N857" s="22"/>
      <c r="O857" s="19" t="s">
        <v>39</v>
      </c>
      <c r="P857" s="18"/>
      <c r="Q857" s="18"/>
      <c r="R857" s="23">
        <v>0.0</v>
      </c>
      <c r="S857" s="23">
        <v>0.0</v>
      </c>
      <c r="T857" s="23">
        <f t="shared" si="3"/>
        <v>0</v>
      </c>
      <c r="U857" s="23">
        <f t="shared" si="4"/>
        <v>0</v>
      </c>
      <c r="V857" s="23">
        <f t="shared" si="5"/>
        <v>0</v>
      </c>
      <c r="W857" s="24" t="str">
        <f t="shared" si="6"/>
        <v>#DIV/0!</v>
      </c>
    </row>
    <row r="858">
      <c r="A858" s="15" t="s">
        <v>679</v>
      </c>
      <c r="B858" s="15" t="s">
        <v>680</v>
      </c>
      <c r="C858" s="15" t="s">
        <v>6011</v>
      </c>
      <c r="D858" s="15" t="s">
        <v>681</v>
      </c>
      <c r="E858" s="17" t="s">
        <v>682</v>
      </c>
      <c r="F858" s="18"/>
      <c r="G858" s="15" t="s">
        <v>683</v>
      </c>
      <c r="H858" s="15" t="s">
        <v>684</v>
      </c>
      <c r="I858" s="18"/>
      <c r="J858" s="19" t="s">
        <v>36</v>
      </c>
      <c r="K858" s="19" t="s">
        <v>60</v>
      </c>
      <c r="L858" s="19" t="s">
        <v>292</v>
      </c>
      <c r="M858" s="20">
        <f t="shared" si="2"/>
        <v>4475.52</v>
      </c>
      <c r="N858" s="31">
        <v>3.0</v>
      </c>
      <c r="O858" s="19" t="s">
        <v>107</v>
      </c>
      <c r="P858" s="18"/>
      <c r="Q858" s="18"/>
      <c r="R858" s="23">
        <v>50.0</v>
      </c>
      <c r="S858" s="23">
        <v>252.0</v>
      </c>
      <c r="T858" s="23">
        <f t="shared" si="3"/>
        <v>241.92</v>
      </c>
      <c r="U858" s="23">
        <f t="shared" si="4"/>
        <v>61.25</v>
      </c>
      <c r="V858" s="23">
        <f t="shared" si="5"/>
        <v>1148.4375</v>
      </c>
      <c r="W858" s="24">
        <f t="shared" si="6"/>
        <v>4.8384</v>
      </c>
    </row>
    <row r="859">
      <c r="A859" s="15" t="s">
        <v>974</v>
      </c>
      <c r="B859" s="15" t="s">
        <v>975</v>
      </c>
      <c r="C859" s="15" t="s">
        <v>7360</v>
      </c>
      <c r="D859" s="15" t="s">
        <v>976</v>
      </c>
      <c r="E859" s="17" t="s">
        <v>977</v>
      </c>
      <c r="F859" s="18"/>
      <c r="G859" s="15" t="s">
        <v>978</v>
      </c>
      <c r="H859" s="15" t="s">
        <v>979</v>
      </c>
      <c r="I859" s="18"/>
      <c r="J859" s="19" t="s">
        <v>36</v>
      </c>
      <c r="K859" s="19" t="s">
        <v>114</v>
      </c>
      <c r="L859" s="19" t="s">
        <v>115</v>
      </c>
      <c r="M859" s="20">
        <f t="shared" si="2"/>
        <v>2504.16</v>
      </c>
      <c r="N859" s="31">
        <v>2.0</v>
      </c>
      <c r="O859" s="19" t="s">
        <v>107</v>
      </c>
      <c r="P859" s="18"/>
      <c r="Q859" s="18"/>
      <c r="R859" s="23">
        <v>38.0</v>
      </c>
      <c r="S859" s="23">
        <v>141.0</v>
      </c>
      <c r="T859" s="23">
        <f t="shared" si="3"/>
        <v>135.36</v>
      </c>
      <c r="U859" s="23">
        <f t="shared" si="4"/>
        <v>46.55</v>
      </c>
      <c r="V859" s="23">
        <f t="shared" si="5"/>
        <v>872.8125</v>
      </c>
      <c r="W859" s="24">
        <f t="shared" si="6"/>
        <v>3.562105263</v>
      </c>
    </row>
    <row r="860">
      <c r="A860" s="15" t="s">
        <v>2426</v>
      </c>
      <c r="B860" s="18"/>
      <c r="C860" s="15" t="s">
        <v>7361</v>
      </c>
      <c r="D860" s="18"/>
      <c r="E860" s="17" t="s">
        <v>2427</v>
      </c>
      <c r="F860" s="18"/>
      <c r="G860" s="18"/>
      <c r="H860" s="15" t="s">
        <v>2428</v>
      </c>
      <c r="I860" s="18"/>
      <c r="J860" s="19" t="s">
        <v>36</v>
      </c>
      <c r="K860" s="33"/>
      <c r="L860" s="19" t="s">
        <v>38</v>
      </c>
      <c r="M860" s="20">
        <f t="shared" si="2"/>
        <v>0</v>
      </c>
      <c r="N860" s="22"/>
      <c r="O860" s="19" t="s">
        <v>1145</v>
      </c>
      <c r="P860" s="18"/>
      <c r="Q860" s="18"/>
      <c r="R860" s="23">
        <v>0.0</v>
      </c>
      <c r="S860" s="23">
        <v>0.0</v>
      </c>
      <c r="T860" s="23">
        <f t="shared" si="3"/>
        <v>0</v>
      </c>
      <c r="U860" s="23">
        <f t="shared" si="4"/>
        <v>0</v>
      </c>
      <c r="V860" s="23">
        <f t="shared" si="5"/>
        <v>0</v>
      </c>
      <c r="W860" s="24" t="str">
        <f t="shared" si="6"/>
        <v>#DIV/0!</v>
      </c>
    </row>
    <row r="861">
      <c r="A861" s="15" t="s">
        <v>5023</v>
      </c>
      <c r="B861" s="15" t="s">
        <v>5024</v>
      </c>
      <c r="C861" s="15" t="s">
        <v>7362</v>
      </c>
      <c r="D861" s="15" t="s">
        <v>5025</v>
      </c>
      <c r="E861" s="17" t="s">
        <v>5026</v>
      </c>
      <c r="F861" s="18"/>
      <c r="G861" s="18"/>
      <c r="H861" s="15" t="s">
        <v>5027</v>
      </c>
      <c r="I861" s="18"/>
      <c r="J861" s="19" t="s">
        <v>36</v>
      </c>
      <c r="K861" s="33"/>
      <c r="L861" s="19" t="s">
        <v>38</v>
      </c>
      <c r="M861" s="20">
        <f t="shared" si="2"/>
        <v>0</v>
      </c>
      <c r="N861" s="22"/>
      <c r="O861" s="19" t="s">
        <v>3578</v>
      </c>
      <c r="P861" s="18"/>
      <c r="Q861" s="18"/>
      <c r="R861" s="23">
        <v>0.0</v>
      </c>
      <c r="S861" s="23">
        <v>0.0</v>
      </c>
      <c r="T861" s="23">
        <f t="shared" si="3"/>
        <v>0</v>
      </c>
      <c r="U861" s="23">
        <f t="shared" si="4"/>
        <v>0</v>
      </c>
      <c r="V861" s="23">
        <f t="shared" si="5"/>
        <v>0</v>
      </c>
      <c r="W861" s="24" t="str">
        <f t="shared" si="6"/>
        <v>#DIV/0!</v>
      </c>
    </row>
    <row r="862">
      <c r="A862" s="15" t="s">
        <v>2429</v>
      </c>
      <c r="B862" s="18"/>
      <c r="C862" s="15" t="s">
        <v>7363</v>
      </c>
      <c r="D862" s="18"/>
      <c r="E862" s="17" t="s">
        <v>2430</v>
      </c>
      <c r="F862" s="18"/>
      <c r="G862" s="18"/>
      <c r="H862" s="15" t="s">
        <v>2431</v>
      </c>
      <c r="I862" s="15" t="s">
        <v>2432</v>
      </c>
      <c r="J862" s="19" t="s">
        <v>36</v>
      </c>
      <c r="K862" s="19" t="s">
        <v>691</v>
      </c>
      <c r="L862" s="19" t="s">
        <v>38</v>
      </c>
      <c r="M862" s="20">
        <f t="shared" si="2"/>
        <v>0</v>
      </c>
      <c r="N862" s="22"/>
      <c r="O862" s="19" t="s">
        <v>1145</v>
      </c>
      <c r="P862" s="18"/>
      <c r="Q862" s="18"/>
      <c r="R862" s="23">
        <v>0.0</v>
      </c>
      <c r="S862" s="23">
        <v>0.0</v>
      </c>
      <c r="T862" s="23">
        <f t="shared" si="3"/>
        <v>0</v>
      </c>
      <c r="U862" s="23">
        <f t="shared" si="4"/>
        <v>0</v>
      </c>
      <c r="V862" s="23">
        <f t="shared" si="5"/>
        <v>0</v>
      </c>
      <c r="W862" s="24" t="str">
        <f t="shared" si="6"/>
        <v>#DIV/0!</v>
      </c>
    </row>
    <row r="863">
      <c r="A863" s="15" t="s">
        <v>2433</v>
      </c>
      <c r="B863" s="18"/>
      <c r="C863" s="15" t="s">
        <v>7364</v>
      </c>
      <c r="D863" s="18"/>
      <c r="E863" s="17" t="s">
        <v>2434</v>
      </c>
      <c r="F863" s="18"/>
      <c r="G863" s="18"/>
      <c r="H863" s="15" t="s">
        <v>2435</v>
      </c>
      <c r="I863" s="15" t="s">
        <v>2436</v>
      </c>
      <c r="J863" s="19" t="s">
        <v>36</v>
      </c>
      <c r="K863" s="19" t="s">
        <v>691</v>
      </c>
      <c r="L863" s="19" t="s">
        <v>38</v>
      </c>
      <c r="M863" s="20">
        <f t="shared" si="2"/>
        <v>0</v>
      </c>
      <c r="N863" s="22"/>
      <c r="O863" s="19" t="s">
        <v>1145</v>
      </c>
      <c r="P863" s="18"/>
      <c r="Q863" s="18"/>
      <c r="R863" s="23">
        <v>0.0</v>
      </c>
      <c r="S863" s="23">
        <v>0.0</v>
      </c>
      <c r="T863" s="23">
        <f t="shared" si="3"/>
        <v>0</v>
      </c>
      <c r="U863" s="23">
        <f t="shared" si="4"/>
        <v>0</v>
      </c>
      <c r="V863" s="23">
        <f t="shared" si="5"/>
        <v>0</v>
      </c>
      <c r="W863" s="24" t="str">
        <f t="shared" si="6"/>
        <v>#DIV/0!</v>
      </c>
    </row>
    <row r="864">
      <c r="A864" s="15" t="s">
        <v>2437</v>
      </c>
      <c r="B864" s="18"/>
      <c r="C864" s="15" t="s">
        <v>7365</v>
      </c>
      <c r="D864" s="18"/>
      <c r="E864" s="17" t="s">
        <v>2438</v>
      </c>
      <c r="F864" s="18"/>
      <c r="G864" s="18"/>
      <c r="H864" s="15" t="s">
        <v>2439</v>
      </c>
      <c r="I864" s="15" t="s">
        <v>2440</v>
      </c>
      <c r="J864" s="19" t="s">
        <v>36</v>
      </c>
      <c r="K864" s="19" t="s">
        <v>691</v>
      </c>
      <c r="L864" s="19" t="s">
        <v>38</v>
      </c>
      <c r="M864" s="20">
        <f t="shared" si="2"/>
        <v>0</v>
      </c>
      <c r="N864" s="22"/>
      <c r="O864" s="19" t="s">
        <v>1145</v>
      </c>
      <c r="P864" s="18"/>
      <c r="Q864" s="18"/>
      <c r="R864" s="23">
        <v>0.0</v>
      </c>
      <c r="S864" s="23">
        <v>0.0</v>
      </c>
      <c r="T864" s="23">
        <f t="shared" si="3"/>
        <v>0</v>
      </c>
      <c r="U864" s="23">
        <f t="shared" si="4"/>
        <v>0</v>
      </c>
      <c r="V864" s="23">
        <f t="shared" si="5"/>
        <v>0</v>
      </c>
      <c r="W864" s="24" t="str">
        <f t="shared" si="6"/>
        <v>#DIV/0!</v>
      </c>
    </row>
    <row r="865">
      <c r="A865" s="15" t="s">
        <v>2441</v>
      </c>
      <c r="B865" s="18"/>
      <c r="C865" s="15" t="s">
        <v>7366</v>
      </c>
      <c r="D865" s="18"/>
      <c r="E865" s="17" t="s">
        <v>2442</v>
      </c>
      <c r="F865" s="18"/>
      <c r="G865" s="18"/>
      <c r="H865" s="15" t="s">
        <v>2443</v>
      </c>
      <c r="I865" s="15" t="s">
        <v>2444</v>
      </c>
      <c r="J865" s="19" t="s">
        <v>36</v>
      </c>
      <c r="K865" s="19" t="s">
        <v>2396</v>
      </c>
      <c r="L865" s="19" t="s">
        <v>38</v>
      </c>
      <c r="M865" s="20">
        <f t="shared" si="2"/>
        <v>0</v>
      </c>
      <c r="N865" s="22"/>
      <c r="O865" s="19" t="s">
        <v>1145</v>
      </c>
      <c r="P865" s="18"/>
      <c r="Q865" s="18"/>
      <c r="R865" s="23">
        <v>0.0</v>
      </c>
      <c r="S865" s="23">
        <v>0.0</v>
      </c>
      <c r="T865" s="23">
        <f t="shared" si="3"/>
        <v>0</v>
      </c>
      <c r="U865" s="23">
        <f t="shared" si="4"/>
        <v>0</v>
      </c>
      <c r="V865" s="23">
        <f t="shared" si="5"/>
        <v>0</v>
      </c>
      <c r="W865" s="24" t="str">
        <f t="shared" si="6"/>
        <v>#DIV/0!</v>
      </c>
    </row>
    <row r="866">
      <c r="A866" s="15" t="s">
        <v>742</v>
      </c>
      <c r="B866" s="15" t="s">
        <v>743</v>
      </c>
      <c r="C866" s="15" t="s">
        <v>6012</v>
      </c>
      <c r="D866" s="15" t="s">
        <v>744</v>
      </c>
      <c r="E866" s="17" t="s">
        <v>745</v>
      </c>
      <c r="F866" s="18"/>
      <c r="G866" s="15" t="s">
        <v>746</v>
      </c>
      <c r="H866" s="15" t="s">
        <v>747</v>
      </c>
      <c r="I866" s="18"/>
      <c r="J866" s="19" t="s">
        <v>36</v>
      </c>
      <c r="K866" s="19" t="s">
        <v>60</v>
      </c>
      <c r="L866" s="19" t="s">
        <v>292</v>
      </c>
      <c r="M866" s="20">
        <f t="shared" si="2"/>
        <v>674.88</v>
      </c>
      <c r="N866" s="31">
        <v>3.0</v>
      </c>
      <c r="O866" s="19" t="s">
        <v>107</v>
      </c>
      <c r="P866" s="18"/>
      <c r="Q866" s="18"/>
      <c r="R866" s="23">
        <v>8.0</v>
      </c>
      <c r="S866" s="23">
        <v>38.0</v>
      </c>
      <c r="T866" s="23">
        <f t="shared" si="3"/>
        <v>36.48</v>
      </c>
      <c r="U866" s="23">
        <f t="shared" si="4"/>
        <v>9.8</v>
      </c>
      <c r="V866" s="23">
        <f t="shared" si="5"/>
        <v>183.75</v>
      </c>
      <c r="W866" s="24">
        <f t="shared" si="6"/>
        <v>4.56</v>
      </c>
    </row>
    <row r="867">
      <c r="A867" s="15" t="s">
        <v>2445</v>
      </c>
      <c r="B867" s="18"/>
      <c r="C867" s="15" t="s">
        <v>7367</v>
      </c>
      <c r="D867" s="18"/>
      <c r="E867" s="17" t="s">
        <v>2446</v>
      </c>
      <c r="F867" s="18"/>
      <c r="G867" s="18"/>
      <c r="H867" s="15" t="s">
        <v>2447</v>
      </c>
      <c r="I867" s="15" t="s">
        <v>2448</v>
      </c>
      <c r="J867" s="19" t="s">
        <v>36</v>
      </c>
      <c r="K867" s="19" t="s">
        <v>2396</v>
      </c>
      <c r="L867" s="19" t="s">
        <v>38</v>
      </c>
      <c r="M867" s="20">
        <f t="shared" si="2"/>
        <v>0</v>
      </c>
      <c r="N867" s="22"/>
      <c r="O867" s="19" t="s">
        <v>1145</v>
      </c>
      <c r="P867" s="18"/>
      <c r="Q867" s="18"/>
      <c r="R867" s="23">
        <v>0.0</v>
      </c>
      <c r="S867" s="23">
        <v>0.0</v>
      </c>
      <c r="T867" s="23">
        <f t="shared" si="3"/>
        <v>0</v>
      </c>
      <c r="U867" s="23">
        <f t="shared" si="4"/>
        <v>0</v>
      </c>
      <c r="V867" s="23">
        <f t="shared" si="5"/>
        <v>0</v>
      </c>
      <c r="W867" s="24" t="str">
        <f t="shared" si="6"/>
        <v>#DIV/0!</v>
      </c>
    </row>
    <row r="868">
      <c r="A868" s="15" t="s">
        <v>2449</v>
      </c>
      <c r="B868" s="18"/>
      <c r="C868" s="15" t="s">
        <v>7368</v>
      </c>
      <c r="D868" s="18"/>
      <c r="E868" s="17" t="s">
        <v>2450</v>
      </c>
      <c r="F868" s="18"/>
      <c r="G868" s="18"/>
      <c r="H868" s="15" t="s">
        <v>2451</v>
      </c>
      <c r="I868" s="15" t="s">
        <v>2452</v>
      </c>
      <c r="J868" s="19" t="s">
        <v>36</v>
      </c>
      <c r="K868" s="19" t="s">
        <v>2387</v>
      </c>
      <c r="L868" s="19" t="s">
        <v>38</v>
      </c>
      <c r="M868" s="20">
        <f t="shared" si="2"/>
        <v>0</v>
      </c>
      <c r="N868" s="22"/>
      <c r="O868" s="19" t="s">
        <v>1145</v>
      </c>
      <c r="P868" s="18"/>
      <c r="Q868" s="18"/>
      <c r="R868" s="23">
        <v>0.0</v>
      </c>
      <c r="S868" s="23">
        <v>0.0</v>
      </c>
      <c r="T868" s="23">
        <f t="shared" si="3"/>
        <v>0</v>
      </c>
      <c r="U868" s="23">
        <f t="shared" si="4"/>
        <v>0</v>
      </c>
      <c r="V868" s="23">
        <f t="shared" si="5"/>
        <v>0</v>
      </c>
      <c r="W868" s="24" t="str">
        <f t="shared" si="6"/>
        <v>#DIV/0!</v>
      </c>
    </row>
    <row r="869">
      <c r="A869" s="15" t="s">
        <v>2453</v>
      </c>
      <c r="B869" s="18"/>
      <c r="C869" s="15" t="s">
        <v>7369</v>
      </c>
      <c r="D869" s="18"/>
      <c r="E869" s="17" t="s">
        <v>2454</v>
      </c>
      <c r="F869" s="18"/>
      <c r="G869" s="18"/>
      <c r="H869" s="15" t="s">
        <v>2455</v>
      </c>
      <c r="I869" s="15" t="s">
        <v>2456</v>
      </c>
      <c r="J869" s="19" t="s">
        <v>36</v>
      </c>
      <c r="K869" s="19" t="s">
        <v>2396</v>
      </c>
      <c r="L869" s="19" t="s">
        <v>38</v>
      </c>
      <c r="M869" s="20">
        <f t="shared" si="2"/>
        <v>0</v>
      </c>
      <c r="N869" s="22"/>
      <c r="O869" s="19" t="s">
        <v>1145</v>
      </c>
      <c r="P869" s="18"/>
      <c r="Q869" s="18"/>
      <c r="R869" s="23">
        <v>0.0</v>
      </c>
      <c r="S869" s="23">
        <v>0.0</v>
      </c>
      <c r="T869" s="23">
        <f t="shared" si="3"/>
        <v>0</v>
      </c>
      <c r="U869" s="23">
        <f t="shared" si="4"/>
        <v>0</v>
      </c>
      <c r="V869" s="23">
        <f t="shared" si="5"/>
        <v>0</v>
      </c>
      <c r="W869" s="24" t="str">
        <f t="shared" si="6"/>
        <v>#DIV/0!</v>
      </c>
    </row>
    <row r="870">
      <c r="A870" s="15" t="s">
        <v>2457</v>
      </c>
      <c r="B870" s="18"/>
      <c r="C870" s="15" t="s">
        <v>7370</v>
      </c>
      <c r="D870" s="18"/>
      <c r="E870" s="17" t="s">
        <v>2458</v>
      </c>
      <c r="F870" s="18"/>
      <c r="G870" s="18"/>
      <c r="H870" s="15" t="s">
        <v>2459</v>
      </c>
      <c r="I870" s="15" t="s">
        <v>2460</v>
      </c>
      <c r="J870" s="19" t="s">
        <v>36</v>
      </c>
      <c r="K870" s="19" t="s">
        <v>2387</v>
      </c>
      <c r="L870" s="19" t="s">
        <v>38</v>
      </c>
      <c r="M870" s="20">
        <f t="shared" si="2"/>
        <v>0</v>
      </c>
      <c r="N870" s="22"/>
      <c r="O870" s="19" t="s">
        <v>1145</v>
      </c>
      <c r="P870" s="18"/>
      <c r="Q870" s="18"/>
      <c r="R870" s="23">
        <v>0.0</v>
      </c>
      <c r="S870" s="23">
        <v>0.0</v>
      </c>
      <c r="T870" s="23">
        <f t="shared" si="3"/>
        <v>0</v>
      </c>
      <c r="U870" s="23">
        <f t="shared" si="4"/>
        <v>0</v>
      </c>
      <c r="V870" s="23">
        <f t="shared" si="5"/>
        <v>0</v>
      </c>
      <c r="W870" s="24" t="str">
        <f t="shared" si="6"/>
        <v>#DIV/0!</v>
      </c>
    </row>
    <row r="871">
      <c r="A871" s="15" t="s">
        <v>2461</v>
      </c>
      <c r="B871" s="18"/>
      <c r="C871" s="15" t="s">
        <v>7371</v>
      </c>
      <c r="D871" s="18"/>
      <c r="E871" s="17" t="s">
        <v>2462</v>
      </c>
      <c r="F871" s="18"/>
      <c r="G871" s="18"/>
      <c r="H871" s="15" t="s">
        <v>2463</v>
      </c>
      <c r="I871" s="15" t="s">
        <v>2464</v>
      </c>
      <c r="J871" s="19" t="s">
        <v>36</v>
      </c>
      <c r="K871" s="19" t="s">
        <v>2387</v>
      </c>
      <c r="L871" s="19" t="s">
        <v>38</v>
      </c>
      <c r="M871" s="20">
        <f t="shared" si="2"/>
        <v>0</v>
      </c>
      <c r="N871" s="22"/>
      <c r="O871" s="19" t="s">
        <v>1145</v>
      </c>
      <c r="P871" s="18"/>
      <c r="Q871" s="18"/>
      <c r="R871" s="23">
        <v>0.0</v>
      </c>
      <c r="S871" s="23">
        <v>0.0</v>
      </c>
      <c r="T871" s="23">
        <f t="shared" si="3"/>
        <v>0</v>
      </c>
      <c r="U871" s="23">
        <f t="shared" si="4"/>
        <v>0</v>
      </c>
      <c r="V871" s="23">
        <f t="shared" si="5"/>
        <v>0</v>
      </c>
      <c r="W871" s="24" t="str">
        <f t="shared" si="6"/>
        <v>#DIV/0!</v>
      </c>
    </row>
    <row r="872">
      <c r="A872" s="15" t="s">
        <v>2465</v>
      </c>
      <c r="B872" s="18"/>
      <c r="C872" s="15" t="s">
        <v>7372</v>
      </c>
      <c r="D872" s="18"/>
      <c r="E872" s="17" t="s">
        <v>2466</v>
      </c>
      <c r="F872" s="18"/>
      <c r="G872" s="18"/>
      <c r="H872" s="15" t="s">
        <v>2467</v>
      </c>
      <c r="I872" s="18"/>
      <c r="J872" s="19" t="s">
        <v>36</v>
      </c>
      <c r="K872" s="19" t="s">
        <v>2382</v>
      </c>
      <c r="L872" s="19" t="s">
        <v>38</v>
      </c>
      <c r="M872" s="20">
        <f t="shared" si="2"/>
        <v>0</v>
      </c>
      <c r="N872" s="22"/>
      <c r="O872" s="19" t="s">
        <v>1145</v>
      </c>
      <c r="P872" s="18"/>
      <c r="Q872" s="18"/>
      <c r="R872" s="23">
        <v>0.0</v>
      </c>
      <c r="S872" s="23">
        <v>0.0</v>
      </c>
      <c r="T872" s="23">
        <f t="shared" si="3"/>
        <v>0</v>
      </c>
      <c r="U872" s="23">
        <f t="shared" si="4"/>
        <v>0</v>
      </c>
      <c r="V872" s="23">
        <f t="shared" si="5"/>
        <v>0</v>
      </c>
      <c r="W872" s="24" t="str">
        <f t="shared" si="6"/>
        <v>#DIV/0!</v>
      </c>
    </row>
    <row r="873">
      <c r="A873" s="15" t="s">
        <v>2468</v>
      </c>
      <c r="B873" s="18"/>
      <c r="C873" s="15" t="s">
        <v>7373</v>
      </c>
      <c r="D873" s="18"/>
      <c r="E873" s="17" t="s">
        <v>2469</v>
      </c>
      <c r="F873" s="18"/>
      <c r="G873" s="18"/>
      <c r="H873" s="15" t="s">
        <v>2470</v>
      </c>
      <c r="I873" s="18"/>
      <c r="J873" s="19" t="s">
        <v>36</v>
      </c>
      <c r="K873" s="19" t="s">
        <v>2382</v>
      </c>
      <c r="L873" s="19" t="s">
        <v>38</v>
      </c>
      <c r="M873" s="20">
        <f t="shared" si="2"/>
        <v>0</v>
      </c>
      <c r="N873" s="22"/>
      <c r="O873" s="19" t="s">
        <v>1145</v>
      </c>
      <c r="P873" s="18"/>
      <c r="Q873" s="18"/>
      <c r="R873" s="23">
        <v>0.0</v>
      </c>
      <c r="S873" s="23">
        <v>0.0</v>
      </c>
      <c r="T873" s="23">
        <f t="shared" si="3"/>
        <v>0</v>
      </c>
      <c r="U873" s="23">
        <f t="shared" si="4"/>
        <v>0</v>
      </c>
      <c r="V873" s="23">
        <f t="shared" si="5"/>
        <v>0</v>
      </c>
      <c r="W873" s="24" t="str">
        <f t="shared" si="6"/>
        <v>#DIV/0!</v>
      </c>
    </row>
    <row r="874">
      <c r="A874" s="15" t="s">
        <v>2471</v>
      </c>
      <c r="B874" s="18"/>
      <c r="C874" s="15" t="s">
        <v>7374</v>
      </c>
      <c r="D874" s="18"/>
      <c r="E874" s="17" t="s">
        <v>2472</v>
      </c>
      <c r="F874" s="18"/>
      <c r="G874" s="18"/>
      <c r="H874" s="15" t="s">
        <v>2473</v>
      </c>
      <c r="I874" s="15" t="s">
        <v>2474</v>
      </c>
      <c r="J874" s="19" t="s">
        <v>36</v>
      </c>
      <c r="K874" s="19" t="s">
        <v>691</v>
      </c>
      <c r="L874" s="19" t="s">
        <v>38</v>
      </c>
      <c r="M874" s="20">
        <f t="shared" si="2"/>
        <v>0</v>
      </c>
      <c r="N874" s="22"/>
      <c r="O874" s="19" t="s">
        <v>1145</v>
      </c>
      <c r="P874" s="18"/>
      <c r="Q874" s="18"/>
      <c r="R874" s="23">
        <v>0.0</v>
      </c>
      <c r="S874" s="23">
        <v>0.0</v>
      </c>
      <c r="T874" s="23">
        <f t="shared" si="3"/>
        <v>0</v>
      </c>
      <c r="U874" s="23">
        <f t="shared" si="4"/>
        <v>0</v>
      </c>
      <c r="V874" s="23">
        <f t="shared" si="5"/>
        <v>0</v>
      </c>
      <c r="W874" s="24" t="str">
        <f t="shared" si="6"/>
        <v>#DIV/0!</v>
      </c>
    </row>
    <row r="875">
      <c r="A875" s="15" t="s">
        <v>7375</v>
      </c>
      <c r="B875" s="18"/>
      <c r="C875" s="15" t="s">
        <v>7376</v>
      </c>
      <c r="D875" s="18"/>
      <c r="E875" s="17" t="s">
        <v>7377</v>
      </c>
      <c r="F875" s="18"/>
      <c r="G875" s="18"/>
      <c r="H875" s="15" t="s">
        <v>7378</v>
      </c>
      <c r="I875" s="15" t="s">
        <v>7379</v>
      </c>
      <c r="J875" s="19" t="s">
        <v>36</v>
      </c>
      <c r="K875" s="19" t="s">
        <v>2387</v>
      </c>
      <c r="L875" s="19" t="s">
        <v>38</v>
      </c>
      <c r="M875" s="20">
        <f t="shared" si="2"/>
        <v>0</v>
      </c>
      <c r="N875" s="22"/>
      <c r="O875" s="19" t="s">
        <v>1145</v>
      </c>
      <c r="P875" s="18"/>
      <c r="Q875" s="18"/>
      <c r="R875" s="23">
        <v>0.0</v>
      </c>
      <c r="S875" s="23">
        <v>0.0</v>
      </c>
      <c r="T875" s="23">
        <f t="shared" si="3"/>
        <v>0</v>
      </c>
      <c r="U875" s="23">
        <f t="shared" si="4"/>
        <v>0</v>
      </c>
      <c r="V875" s="23">
        <f t="shared" si="5"/>
        <v>0</v>
      </c>
      <c r="W875" s="24" t="str">
        <f t="shared" si="6"/>
        <v>#DIV/0!</v>
      </c>
    </row>
    <row r="876">
      <c r="A876" s="15" t="s">
        <v>2475</v>
      </c>
      <c r="B876" s="18"/>
      <c r="C876" s="15" t="s">
        <v>7380</v>
      </c>
      <c r="D876" s="18"/>
      <c r="E876" s="17" t="s">
        <v>2476</v>
      </c>
      <c r="F876" s="18"/>
      <c r="G876" s="18"/>
      <c r="H876" s="15" t="s">
        <v>2477</v>
      </c>
      <c r="I876" s="15" t="s">
        <v>2478</v>
      </c>
      <c r="J876" s="19" t="s">
        <v>36</v>
      </c>
      <c r="K876" s="19" t="s">
        <v>2401</v>
      </c>
      <c r="L876" s="19" t="s">
        <v>38</v>
      </c>
      <c r="M876" s="20">
        <f t="shared" si="2"/>
        <v>0</v>
      </c>
      <c r="N876" s="22"/>
      <c r="O876" s="19" t="s">
        <v>1145</v>
      </c>
      <c r="P876" s="18"/>
      <c r="Q876" s="18"/>
      <c r="R876" s="23">
        <v>0.0</v>
      </c>
      <c r="S876" s="23">
        <v>0.0</v>
      </c>
      <c r="T876" s="23">
        <f t="shared" si="3"/>
        <v>0</v>
      </c>
      <c r="U876" s="23">
        <f t="shared" si="4"/>
        <v>0</v>
      </c>
      <c r="V876" s="23">
        <f t="shared" si="5"/>
        <v>0</v>
      </c>
      <c r="W876" s="24" t="str">
        <f t="shared" si="6"/>
        <v>#DIV/0!</v>
      </c>
    </row>
    <row r="877">
      <c r="A877" s="15" t="s">
        <v>2479</v>
      </c>
      <c r="B877" s="18"/>
      <c r="C877" s="15" t="s">
        <v>7381</v>
      </c>
      <c r="D877" s="18"/>
      <c r="E877" s="17" t="s">
        <v>2476</v>
      </c>
      <c r="F877" s="18"/>
      <c r="G877" s="18"/>
      <c r="H877" s="15" t="s">
        <v>2480</v>
      </c>
      <c r="I877" s="15" t="s">
        <v>2481</v>
      </c>
      <c r="J877" s="19" t="s">
        <v>36</v>
      </c>
      <c r="K877" s="19" t="s">
        <v>2401</v>
      </c>
      <c r="L877" s="19" t="s">
        <v>38</v>
      </c>
      <c r="M877" s="20">
        <f t="shared" si="2"/>
        <v>0</v>
      </c>
      <c r="N877" s="22"/>
      <c r="O877" s="19" t="s">
        <v>1145</v>
      </c>
      <c r="P877" s="18"/>
      <c r="Q877" s="18"/>
      <c r="R877" s="23">
        <v>0.0</v>
      </c>
      <c r="S877" s="23">
        <v>0.0</v>
      </c>
      <c r="T877" s="23">
        <f t="shared" si="3"/>
        <v>0</v>
      </c>
      <c r="U877" s="23">
        <f t="shared" si="4"/>
        <v>0</v>
      </c>
      <c r="V877" s="23">
        <f t="shared" si="5"/>
        <v>0</v>
      </c>
      <c r="W877" s="24" t="str">
        <f t="shared" si="6"/>
        <v>#DIV/0!</v>
      </c>
    </row>
    <row r="878">
      <c r="A878" s="15" t="s">
        <v>2482</v>
      </c>
      <c r="B878" s="18"/>
      <c r="C878" s="15" t="s">
        <v>7382</v>
      </c>
      <c r="D878" s="18"/>
      <c r="E878" s="17" t="s">
        <v>2483</v>
      </c>
      <c r="F878" s="18"/>
      <c r="G878" s="18"/>
      <c r="H878" s="15" t="s">
        <v>2484</v>
      </c>
      <c r="I878" s="15" t="s">
        <v>2485</v>
      </c>
      <c r="J878" s="19" t="s">
        <v>36</v>
      </c>
      <c r="K878" s="19" t="s">
        <v>2401</v>
      </c>
      <c r="L878" s="19" t="s">
        <v>38</v>
      </c>
      <c r="M878" s="20">
        <f t="shared" si="2"/>
        <v>0</v>
      </c>
      <c r="N878" s="22"/>
      <c r="O878" s="19" t="s">
        <v>1145</v>
      </c>
      <c r="P878" s="18"/>
      <c r="Q878" s="18"/>
      <c r="R878" s="23">
        <v>0.0</v>
      </c>
      <c r="S878" s="23">
        <v>0.0</v>
      </c>
      <c r="T878" s="23">
        <f t="shared" si="3"/>
        <v>0</v>
      </c>
      <c r="U878" s="23">
        <f t="shared" si="4"/>
        <v>0</v>
      </c>
      <c r="V878" s="23">
        <f t="shared" si="5"/>
        <v>0</v>
      </c>
      <c r="W878" s="24" t="str">
        <f t="shared" si="6"/>
        <v>#DIV/0!</v>
      </c>
    </row>
    <row r="879">
      <c r="A879" s="15" t="s">
        <v>2486</v>
      </c>
      <c r="B879" s="18"/>
      <c r="C879" s="15" t="s">
        <v>7383</v>
      </c>
      <c r="D879" s="18"/>
      <c r="E879" s="17" t="s">
        <v>2487</v>
      </c>
      <c r="F879" s="18"/>
      <c r="G879" s="18"/>
      <c r="H879" s="15" t="s">
        <v>2488</v>
      </c>
      <c r="I879" s="15" t="s">
        <v>2489</v>
      </c>
      <c r="J879" s="19" t="s">
        <v>36</v>
      </c>
      <c r="K879" s="19" t="s">
        <v>2401</v>
      </c>
      <c r="L879" s="19" t="s">
        <v>38</v>
      </c>
      <c r="M879" s="20">
        <f t="shared" si="2"/>
        <v>0</v>
      </c>
      <c r="N879" s="22"/>
      <c r="O879" s="19" t="s">
        <v>1145</v>
      </c>
      <c r="P879" s="18"/>
      <c r="Q879" s="18"/>
      <c r="R879" s="23">
        <v>0.0</v>
      </c>
      <c r="S879" s="23">
        <v>0.0</v>
      </c>
      <c r="T879" s="23">
        <f t="shared" si="3"/>
        <v>0</v>
      </c>
      <c r="U879" s="23">
        <f t="shared" si="4"/>
        <v>0</v>
      </c>
      <c r="V879" s="23">
        <f t="shared" si="5"/>
        <v>0</v>
      </c>
      <c r="W879" s="24" t="str">
        <f t="shared" si="6"/>
        <v>#DIV/0!</v>
      </c>
    </row>
    <row r="880">
      <c r="A880" s="15" t="s">
        <v>2490</v>
      </c>
      <c r="B880" s="18"/>
      <c r="C880" s="15" t="s">
        <v>7384</v>
      </c>
      <c r="D880" s="18"/>
      <c r="E880" s="17" t="s">
        <v>2491</v>
      </c>
      <c r="F880" s="18"/>
      <c r="G880" s="18"/>
      <c r="H880" s="15" t="s">
        <v>2492</v>
      </c>
      <c r="I880" s="15" t="s">
        <v>2493</v>
      </c>
      <c r="J880" s="19" t="s">
        <v>36</v>
      </c>
      <c r="K880" s="19" t="s">
        <v>2396</v>
      </c>
      <c r="L880" s="19" t="s">
        <v>38</v>
      </c>
      <c r="M880" s="20">
        <f t="shared" si="2"/>
        <v>0</v>
      </c>
      <c r="N880" s="22"/>
      <c r="O880" s="19" t="s">
        <v>1145</v>
      </c>
      <c r="P880" s="18"/>
      <c r="Q880" s="18"/>
      <c r="R880" s="23">
        <v>0.0</v>
      </c>
      <c r="S880" s="23">
        <v>0.0</v>
      </c>
      <c r="T880" s="23">
        <f t="shared" si="3"/>
        <v>0</v>
      </c>
      <c r="U880" s="23">
        <f t="shared" si="4"/>
        <v>0</v>
      </c>
      <c r="V880" s="23">
        <f t="shared" si="5"/>
        <v>0</v>
      </c>
      <c r="W880" s="24" t="str">
        <f t="shared" si="6"/>
        <v>#DIV/0!</v>
      </c>
    </row>
    <row r="881">
      <c r="A881" s="15" t="s">
        <v>2494</v>
      </c>
      <c r="B881" s="18"/>
      <c r="C881" s="15" t="s">
        <v>7385</v>
      </c>
      <c r="D881" s="18"/>
      <c r="E881" s="17" t="s">
        <v>2495</v>
      </c>
      <c r="F881" s="18"/>
      <c r="G881" s="18"/>
      <c r="H881" s="15" t="s">
        <v>2496</v>
      </c>
      <c r="I881" s="15" t="s">
        <v>2497</v>
      </c>
      <c r="J881" s="19" t="s">
        <v>36</v>
      </c>
      <c r="K881" s="19" t="s">
        <v>2382</v>
      </c>
      <c r="L881" s="19" t="s">
        <v>38</v>
      </c>
      <c r="M881" s="20">
        <f t="shared" si="2"/>
        <v>0</v>
      </c>
      <c r="N881" s="22"/>
      <c r="O881" s="19" t="s">
        <v>1145</v>
      </c>
      <c r="P881" s="18"/>
      <c r="Q881" s="18"/>
      <c r="R881" s="23">
        <v>0.0</v>
      </c>
      <c r="S881" s="23">
        <v>0.0</v>
      </c>
      <c r="T881" s="23">
        <f t="shared" si="3"/>
        <v>0</v>
      </c>
      <c r="U881" s="23">
        <f t="shared" si="4"/>
        <v>0</v>
      </c>
      <c r="V881" s="23">
        <f t="shared" si="5"/>
        <v>0</v>
      </c>
      <c r="W881" s="24" t="str">
        <f t="shared" si="6"/>
        <v>#DIV/0!</v>
      </c>
    </row>
    <row r="882">
      <c r="A882" s="15" t="s">
        <v>5028</v>
      </c>
      <c r="B882" s="15" t="s">
        <v>5029</v>
      </c>
      <c r="C882" s="15" t="s">
        <v>7330</v>
      </c>
      <c r="D882" s="15" t="s">
        <v>5030</v>
      </c>
      <c r="E882" s="17" t="s">
        <v>5031</v>
      </c>
      <c r="F882" s="18"/>
      <c r="G882" s="18"/>
      <c r="H882" s="15" t="s">
        <v>5032</v>
      </c>
      <c r="I882" s="15"/>
      <c r="J882" s="19" t="s">
        <v>36</v>
      </c>
      <c r="K882" s="33"/>
      <c r="L882" s="19" t="s">
        <v>38</v>
      </c>
      <c r="M882" s="20">
        <f t="shared" si="2"/>
        <v>0</v>
      </c>
      <c r="N882" s="22"/>
      <c r="O882" s="19" t="s">
        <v>3578</v>
      </c>
      <c r="P882" s="18"/>
      <c r="Q882" s="18"/>
      <c r="R882" s="23">
        <v>0.0</v>
      </c>
      <c r="S882" s="23">
        <v>0.0</v>
      </c>
      <c r="T882" s="23">
        <f t="shared" si="3"/>
        <v>0</v>
      </c>
      <c r="U882" s="23">
        <f t="shared" si="4"/>
        <v>0</v>
      </c>
      <c r="V882" s="23">
        <f t="shared" si="5"/>
        <v>0</v>
      </c>
      <c r="W882" s="24" t="str">
        <f t="shared" si="6"/>
        <v>#DIV/0!</v>
      </c>
    </row>
    <row r="883">
      <c r="A883" s="15" t="s">
        <v>1047</v>
      </c>
      <c r="B883" s="15" t="s">
        <v>1048</v>
      </c>
      <c r="C883" s="15" t="s">
        <v>6079</v>
      </c>
      <c r="D883" s="15" t="s">
        <v>1037</v>
      </c>
      <c r="E883" s="17" t="s">
        <v>1049</v>
      </c>
      <c r="F883" s="18"/>
      <c r="G883" s="15" t="s">
        <v>1050</v>
      </c>
      <c r="H883" s="15" t="s">
        <v>1051</v>
      </c>
      <c r="I883" s="18"/>
      <c r="J883" s="19" t="s">
        <v>36</v>
      </c>
      <c r="K883" s="19" t="s">
        <v>114</v>
      </c>
      <c r="L883" s="19" t="s">
        <v>115</v>
      </c>
      <c r="M883" s="20">
        <f t="shared" si="2"/>
        <v>3427.68</v>
      </c>
      <c r="N883" s="31">
        <v>4.0</v>
      </c>
      <c r="O883" s="19" t="s">
        <v>107</v>
      </c>
      <c r="P883" s="18"/>
      <c r="Q883" s="18"/>
      <c r="R883" s="23">
        <v>60.0</v>
      </c>
      <c r="S883" s="23">
        <v>193.0</v>
      </c>
      <c r="T883" s="23">
        <f t="shared" si="3"/>
        <v>185.28</v>
      </c>
      <c r="U883" s="23">
        <f t="shared" si="4"/>
        <v>73.5</v>
      </c>
      <c r="V883" s="23">
        <f t="shared" si="5"/>
        <v>1378.125</v>
      </c>
      <c r="W883" s="24">
        <f t="shared" si="6"/>
        <v>3.088</v>
      </c>
    </row>
    <row r="884">
      <c r="A884" s="15" t="s">
        <v>7386</v>
      </c>
      <c r="B884" s="18"/>
      <c r="C884" s="15" t="s">
        <v>6453</v>
      </c>
      <c r="D884" s="18"/>
      <c r="E884" s="17" t="s">
        <v>837</v>
      </c>
      <c r="F884" s="18"/>
      <c r="G884" s="18"/>
      <c r="H884" s="18"/>
      <c r="I884" s="18"/>
      <c r="J884" s="19" t="s">
        <v>36</v>
      </c>
      <c r="K884" s="19" t="s">
        <v>37</v>
      </c>
      <c r="L884" s="19" t="s">
        <v>38</v>
      </c>
      <c r="M884" s="20">
        <f t="shared" si="2"/>
        <v>0</v>
      </c>
      <c r="N884" s="22"/>
      <c r="O884" s="19" t="s">
        <v>39</v>
      </c>
      <c r="P884" s="18"/>
      <c r="Q884" s="18"/>
      <c r="R884" s="23">
        <v>0.0</v>
      </c>
      <c r="S884" s="23">
        <v>0.0</v>
      </c>
      <c r="T884" s="23">
        <f t="shared" si="3"/>
        <v>0</v>
      </c>
      <c r="U884" s="23">
        <f t="shared" si="4"/>
        <v>0</v>
      </c>
      <c r="V884" s="23">
        <f t="shared" si="5"/>
        <v>0</v>
      </c>
      <c r="W884" s="24" t="str">
        <f t="shared" si="6"/>
        <v>#DIV/0!</v>
      </c>
    </row>
    <row r="885">
      <c r="A885" s="15" t="s">
        <v>7387</v>
      </c>
      <c r="B885" s="18"/>
      <c r="C885" s="15" t="s">
        <v>6453</v>
      </c>
      <c r="D885" s="18"/>
      <c r="E885" s="17" t="s">
        <v>829</v>
      </c>
      <c r="F885" s="18"/>
      <c r="G885" s="18"/>
      <c r="H885" s="18"/>
      <c r="I885" s="18"/>
      <c r="J885" s="19" t="s">
        <v>36</v>
      </c>
      <c r="K885" s="19" t="s">
        <v>37</v>
      </c>
      <c r="L885" s="19" t="s">
        <v>38</v>
      </c>
      <c r="M885" s="20">
        <f t="shared" si="2"/>
        <v>0</v>
      </c>
      <c r="N885" s="22"/>
      <c r="O885" s="19" t="s">
        <v>39</v>
      </c>
      <c r="P885" s="18"/>
      <c r="Q885" s="18"/>
      <c r="R885" s="23">
        <v>0.0</v>
      </c>
      <c r="S885" s="23">
        <v>0.0</v>
      </c>
      <c r="T885" s="23">
        <f t="shared" si="3"/>
        <v>0</v>
      </c>
      <c r="U885" s="23">
        <f t="shared" si="4"/>
        <v>0</v>
      </c>
      <c r="V885" s="23">
        <f t="shared" si="5"/>
        <v>0</v>
      </c>
      <c r="W885" s="24" t="str">
        <f t="shared" si="6"/>
        <v>#DIV/0!</v>
      </c>
    </row>
    <row r="886">
      <c r="A886" s="15" t="s">
        <v>270</v>
      </c>
      <c r="B886" s="15" t="s">
        <v>271</v>
      </c>
      <c r="C886" s="15" t="s">
        <v>7388</v>
      </c>
      <c r="D886" s="15" t="s">
        <v>272</v>
      </c>
      <c r="E886" s="17" t="s">
        <v>273</v>
      </c>
      <c r="F886" s="18"/>
      <c r="G886" s="18"/>
      <c r="H886" s="15" t="s">
        <v>274</v>
      </c>
      <c r="I886" s="15" t="s">
        <v>275</v>
      </c>
      <c r="J886" s="19" t="s">
        <v>36</v>
      </c>
      <c r="K886" s="19" t="s">
        <v>276</v>
      </c>
      <c r="L886" s="19" t="s">
        <v>52</v>
      </c>
      <c r="M886" s="20">
        <f t="shared" si="2"/>
        <v>17937.6</v>
      </c>
      <c r="N886" s="31">
        <v>2.0</v>
      </c>
      <c r="O886" s="19" t="s">
        <v>107</v>
      </c>
      <c r="P886" s="18"/>
      <c r="Q886" s="18"/>
      <c r="R886" s="23">
        <v>120.0</v>
      </c>
      <c r="S886" s="23">
        <v>1010.0</v>
      </c>
      <c r="T886" s="23">
        <f t="shared" si="3"/>
        <v>969.6</v>
      </c>
      <c r="U886" s="23">
        <f t="shared" si="4"/>
        <v>147</v>
      </c>
      <c r="V886" s="23">
        <f t="shared" si="5"/>
        <v>2756.25</v>
      </c>
      <c r="W886" s="24">
        <f t="shared" si="6"/>
        <v>8.08</v>
      </c>
    </row>
    <row r="887">
      <c r="A887" s="15" t="s">
        <v>2498</v>
      </c>
      <c r="B887" s="18"/>
      <c r="C887" s="15" t="s">
        <v>7389</v>
      </c>
      <c r="D887" s="18"/>
      <c r="E887" s="17" t="s">
        <v>2499</v>
      </c>
      <c r="F887" s="18"/>
      <c r="G887" s="18"/>
      <c r="H887" s="15" t="s">
        <v>2500</v>
      </c>
      <c r="I887" s="15" t="s">
        <v>2501</v>
      </c>
      <c r="J887" s="19" t="s">
        <v>36</v>
      </c>
      <c r="K887" s="19" t="s">
        <v>2396</v>
      </c>
      <c r="L887" s="19" t="s">
        <v>38</v>
      </c>
      <c r="M887" s="20">
        <f t="shared" si="2"/>
        <v>0</v>
      </c>
      <c r="N887" s="22"/>
      <c r="O887" s="19" t="s">
        <v>1145</v>
      </c>
      <c r="P887" s="18"/>
      <c r="Q887" s="18"/>
      <c r="R887" s="23">
        <v>0.0</v>
      </c>
      <c r="S887" s="23">
        <v>0.0</v>
      </c>
      <c r="T887" s="23">
        <f t="shared" si="3"/>
        <v>0</v>
      </c>
      <c r="U887" s="23">
        <f t="shared" si="4"/>
        <v>0</v>
      </c>
      <c r="V887" s="23">
        <f t="shared" si="5"/>
        <v>0</v>
      </c>
      <c r="W887" s="24" t="str">
        <f t="shared" si="6"/>
        <v>#DIV/0!</v>
      </c>
    </row>
    <row r="888">
      <c r="A888" s="15" t="s">
        <v>7390</v>
      </c>
      <c r="B888" s="18"/>
      <c r="C888" s="15" t="s">
        <v>7391</v>
      </c>
      <c r="D888" s="18"/>
      <c r="E888" s="17" t="s">
        <v>2503</v>
      </c>
      <c r="F888" s="18"/>
      <c r="G888" s="18"/>
      <c r="H888" s="15" t="s">
        <v>7392</v>
      </c>
      <c r="I888" s="15" t="s">
        <v>4319</v>
      </c>
      <c r="J888" s="19" t="s">
        <v>36</v>
      </c>
      <c r="K888" s="19" t="s">
        <v>2506</v>
      </c>
      <c r="L888" s="19" t="s">
        <v>38</v>
      </c>
      <c r="M888" s="20">
        <f t="shared" si="2"/>
        <v>0</v>
      </c>
      <c r="N888" s="22"/>
      <c r="O888" s="19" t="s">
        <v>39</v>
      </c>
      <c r="P888" s="18"/>
      <c r="Q888" s="18"/>
      <c r="R888" s="23">
        <v>0.0</v>
      </c>
      <c r="S888" s="23">
        <v>0.0</v>
      </c>
      <c r="T888" s="23">
        <f t="shared" si="3"/>
        <v>0</v>
      </c>
      <c r="U888" s="23">
        <f t="shared" si="4"/>
        <v>0</v>
      </c>
      <c r="V888" s="23">
        <f t="shared" si="5"/>
        <v>0</v>
      </c>
      <c r="W888" s="24" t="str">
        <f t="shared" si="6"/>
        <v>#DIV/0!</v>
      </c>
    </row>
    <row r="889">
      <c r="A889" s="15" t="s">
        <v>2502</v>
      </c>
      <c r="B889" s="18"/>
      <c r="C889" s="15" t="s">
        <v>7393</v>
      </c>
      <c r="D889" s="18"/>
      <c r="E889" s="17" t="s">
        <v>2503</v>
      </c>
      <c r="F889" s="18"/>
      <c r="G889" s="18"/>
      <c r="H889" s="15" t="s">
        <v>2504</v>
      </c>
      <c r="I889" s="15" t="s">
        <v>2505</v>
      </c>
      <c r="J889" s="19" t="s">
        <v>36</v>
      </c>
      <c r="K889" s="19" t="s">
        <v>2506</v>
      </c>
      <c r="L889" s="19" t="s">
        <v>38</v>
      </c>
      <c r="M889" s="20">
        <f t="shared" si="2"/>
        <v>0</v>
      </c>
      <c r="N889" s="22"/>
      <c r="O889" s="19" t="s">
        <v>1145</v>
      </c>
      <c r="P889" s="18"/>
      <c r="Q889" s="18"/>
      <c r="R889" s="23">
        <v>0.0</v>
      </c>
      <c r="S889" s="23">
        <v>0.0</v>
      </c>
      <c r="T889" s="23">
        <f t="shared" si="3"/>
        <v>0</v>
      </c>
      <c r="U889" s="23">
        <f t="shared" si="4"/>
        <v>0</v>
      </c>
      <c r="V889" s="23">
        <f t="shared" si="5"/>
        <v>0</v>
      </c>
      <c r="W889" s="24" t="str">
        <f t="shared" si="6"/>
        <v>#DIV/0!</v>
      </c>
    </row>
    <row r="890">
      <c r="A890" s="15" t="s">
        <v>2507</v>
      </c>
      <c r="B890" s="18"/>
      <c r="C890" s="15" t="s">
        <v>7394</v>
      </c>
      <c r="D890" s="18"/>
      <c r="E890" s="17" t="s">
        <v>2508</v>
      </c>
      <c r="F890" s="18"/>
      <c r="G890" s="18"/>
      <c r="H890" s="15" t="s">
        <v>2509</v>
      </c>
      <c r="I890" s="15" t="s">
        <v>2510</v>
      </c>
      <c r="J890" s="19" t="s">
        <v>36</v>
      </c>
      <c r="K890" s="19" t="s">
        <v>2506</v>
      </c>
      <c r="L890" s="19" t="s">
        <v>38</v>
      </c>
      <c r="M890" s="20">
        <f t="shared" si="2"/>
        <v>0</v>
      </c>
      <c r="N890" s="22"/>
      <c r="O890" s="19" t="s">
        <v>1145</v>
      </c>
      <c r="P890" s="18"/>
      <c r="Q890" s="18"/>
      <c r="R890" s="23">
        <v>0.0</v>
      </c>
      <c r="S890" s="23">
        <v>0.0</v>
      </c>
      <c r="T890" s="23">
        <f t="shared" si="3"/>
        <v>0</v>
      </c>
      <c r="U890" s="23">
        <f t="shared" si="4"/>
        <v>0</v>
      </c>
      <c r="V890" s="23">
        <f t="shared" si="5"/>
        <v>0</v>
      </c>
      <c r="W890" s="24" t="str">
        <f t="shared" si="6"/>
        <v>#DIV/0!</v>
      </c>
    </row>
    <row r="891">
      <c r="A891" s="15" t="s">
        <v>189</v>
      </c>
      <c r="B891" s="15" t="s">
        <v>190</v>
      </c>
      <c r="C891" s="15" t="s">
        <v>6013</v>
      </c>
      <c r="D891" s="15" t="s">
        <v>191</v>
      </c>
      <c r="E891" s="17" t="s">
        <v>192</v>
      </c>
      <c r="F891" s="18"/>
      <c r="G891" s="18"/>
      <c r="H891" s="15" t="s">
        <v>193</v>
      </c>
      <c r="I891" s="18"/>
      <c r="J891" s="19" t="s">
        <v>36</v>
      </c>
      <c r="K891" s="33"/>
      <c r="L891" s="19" t="s">
        <v>147</v>
      </c>
      <c r="M891" s="20">
        <f t="shared" si="2"/>
        <v>5434.56</v>
      </c>
      <c r="N891" s="31">
        <v>4.0</v>
      </c>
      <c r="O891" s="19" t="s">
        <v>107</v>
      </c>
      <c r="P891" s="18"/>
      <c r="Q891" s="18"/>
      <c r="R891" s="23">
        <v>26.0</v>
      </c>
      <c r="S891" s="23">
        <v>306.0</v>
      </c>
      <c r="T891" s="23">
        <f t="shared" si="3"/>
        <v>293.76</v>
      </c>
      <c r="U891" s="23">
        <f t="shared" si="4"/>
        <v>31.85</v>
      </c>
      <c r="V891" s="23">
        <f t="shared" si="5"/>
        <v>597.1875</v>
      </c>
      <c r="W891" s="24">
        <f t="shared" si="6"/>
        <v>11.29846154</v>
      </c>
    </row>
    <row r="892">
      <c r="A892" s="15" t="s">
        <v>210</v>
      </c>
      <c r="B892" s="15" t="s">
        <v>211</v>
      </c>
      <c r="C892" s="15" t="s">
        <v>6014</v>
      </c>
      <c r="D892" s="15" t="s">
        <v>191</v>
      </c>
      <c r="E892" s="17" t="s">
        <v>192</v>
      </c>
      <c r="F892" s="18"/>
      <c r="G892" s="18"/>
      <c r="H892" s="15" t="s">
        <v>212</v>
      </c>
      <c r="I892" s="18"/>
      <c r="J892" s="19" t="s">
        <v>36</v>
      </c>
      <c r="K892" s="33"/>
      <c r="L892" s="19" t="s">
        <v>147</v>
      </c>
      <c r="M892" s="20">
        <f t="shared" si="2"/>
        <v>1154.4</v>
      </c>
      <c r="N892" s="31">
        <v>4.0</v>
      </c>
      <c r="O892" s="19" t="s">
        <v>107</v>
      </c>
      <c r="P892" s="18"/>
      <c r="Q892" s="18"/>
      <c r="R892" s="23">
        <v>6.5</v>
      </c>
      <c r="S892" s="23">
        <v>65.0</v>
      </c>
      <c r="T892" s="23">
        <f t="shared" si="3"/>
        <v>62.4</v>
      </c>
      <c r="U892" s="23">
        <f t="shared" si="4"/>
        <v>7.9625</v>
      </c>
      <c r="V892" s="23">
        <f t="shared" si="5"/>
        <v>149.296875</v>
      </c>
      <c r="W892" s="24">
        <f t="shared" si="6"/>
        <v>9.6</v>
      </c>
    </row>
    <row r="893">
      <c r="A893" s="15" t="s">
        <v>2511</v>
      </c>
      <c r="B893" s="18"/>
      <c r="C893" s="15" t="s">
        <v>7395</v>
      </c>
      <c r="D893" s="18"/>
      <c r="E893" s="17" t="s">
        <v>2512</v>
      </c>
      <c r="F893" s="18"/>
      <c r="G893" s="18"/>
      <c r="H893" s="15" t="s">
        <v>2513</v>
      </c>
      <c r="I893" s="15" t="s">
        <v>2514</v>
      </c>
      <c r="J893" s="19" t="s">
        <v>36</v>
      </c>
      <c r="K893" s="19" t="s">
        <v>2387</v>
      </c>
      <c r="L893" s="19" t="s">
        <v>38</v>
      </c>
      <c r="M893" s="20">
        <f t="shared" si="2"/>
        <v>0</v>
      </c>
      <c r="N893" s="22"/>
      <c r="O893" s="19" t="s">
        <v>1145</v>
      </c>
      <c r="P893" s="18"/>
      <c r="Q893" s="18"/>
      <c r="R893" s="23">
        <v>0.0</v>
      </c>
      <c r="S893" s="23">
        <v>0.0</v>
      </c>
      <c r="T893" s="23">
        <f t="shared" si="3"/>
        <v>0</v>
      </c>
      <c r="U893" s="23">
        <f t="shared" si="4"/>
        <v>0</v>
      </c>
      <c r="V893" s="23">
        <f t="shared" si="5"/>
        <v>0</v>
      </c>
      <c r="W893" s="24" t="str">
        <f t="shared" si="6"/>
        <v>#DIV/0!</v>
      </c>
    </row>
    <row r="894">
      <c r="A894" s="15" t="s">
        <v>2515</v>
      </c>
      <c r="B894" s="18"/>
      <c r="C894" s="15" t="s">
        <v>7396</v>
      </c>
      <c r="D894" s="18"/>
      <c r="E894" s="17" t="s">
        <v>2516</v>
      </c>
      <c r="F894" s="18"/>
      <c r="G894" s="18"/>
      <c r="H894" s="15" t="s">
        <v>2517</v>
      </c>
      <c r="I894" s="15" t="s">
        <v>2518</v>
      </c>
      <c r="J894" s="19" t="s">
        <v>36</v>
      </c>
      <c r="K894" s="19" t="s">
        <v>2519</v>
      </c>
      <c r="L894" s="19" t="s">
        <v>38</v>
      </c>
      <c r="M894" s="20">
        <f t="shared" si="2"/>
        <v>0</v>
      </c>
      <c r="N894" s="22"/>
      <c r="O894" s="19" t="s">
        <v>1145</v>
      </c>
      <c r="P894" s="18"/>
      <c r="Q894" s="18"/>
      <c r="R894" s="23">
        <v>0.0</v>
      </c>
      <c r="S894" s="23">
        <v>0.0</v>
      </c>
      <c r="T894" s="23">
        <f t="shared" si="3"/>
        <v>0</v>
      </c>
      <c r="U894" s="23">
        <f t="shared" si="4"/>
        <v>0</v>
      </c>
      <c r="V894" s="23">
        <f t="shared" si="5"/>
        <v>0</v>
      </c>
      <c r="W894" s="24" t="str">
        <f t="shared" si="6"/>
        <v>#DIV/0!</v>
      </c>
    </row>
    <row r="895">
      <c r="A895" s="15" t="s">
        <v>2520</v>
      </c>
      <c r="B895" s="18"/>
      <c r="C895" s="15" t="s">
        <v>7397</v>
      </c>
      <c r="D895" s="18"/>
      <c r="E895" s="17" t="s">
        <v>2521</v>
      </c>
      <c r="F895" s="18"/>
      <c r="G895" s="18"/>
      <c r="H895" s="15" t="s">
        <v>2522</v>
      </c>
      <c r="I895" s="15" t="s">
        <v>2523</v>
      </c>
      <c r="J895" s="19" t="s">
        <v>36</v>
      </c>
      <c r="K895" s="19" t="s">
        <v>2387</v>
      </c>
      <c r="L895" s="19" t="s">
        <v>38</v>
      </c>
      <c r="M895" s="20">
        <f t="shared" si="2"/>
        <v>0</v>
      </c>
      <c r="N895" s="22"/>
      <c r="O895" s="19" t="s">
        <v>1145</v>
      </c>
      <c r="P895" s="18"/>
      <c r="Q895" s="18"/>
      <c r="R895" s="23">
        <v>0.0</v>
      </c>
      <c r="S895" s="23">
        <v>0.0</v>
      </c>
      <c r="T895" s="23">
        <f t="shared" si="3"/>
        <v>0</v>
      </c>
      <c r="U895" s="23">
        <f t="shared" si="4"/>
        <v>0</v>
      </c>
      <c r="V895" s="23">
        <f t="shared" si="5"/>
        <v>0</v>
      </c>
      <c r="W895" s="24" t="str">
        <f t="shared" si="6"/>
        <v>#DIV/0!</v>
      </c>
    </row>
    <row r="896">
      <c r="A896" s="15" t="s">
        <v>7398</v>
      </c>
      <c r="B896" s="18"/>
      <c r="C896" s="15" t="s">
        <v>7399</v>
      </c>
      <c r="D896" s="18"/>
      <c r="E896" s="17" t="s">
        <v>7400</v>
      </c>
      <c r="F896" s="18"/>
      <c r="G896" s="18"/>
      <c r="H896" s="15" t="s">
        <v>7401</v>
      </c>
      <c r="I896" s="15" t="s">
        <v>4208</v>
      </c>
      <c r="J896" s="19" t="s">
        <v>36</v>
      </c>
      <c r="K896" s="19" t="s">
        <v>2382</v>
      </c>
      <c r="L896" s="19" t="s">
        <v>38</v>
      </c>
      <c r="M896" s="20">
        <f t="shared" si="2"/>
        <v>0</v>
      </c>
      <c r="N896" s="22"/>
      <c r="O896" s="19" t="s">
        <v>39</v>
      </c>
      <c r="P896" s="18"/>
      <c r="Q896" s="18"/>
      <c r="R896" s="23">
        <v>0.0</v>
      </c>
      <c r="S896" s="23">
        <v>0.0</v>
      </c>
      <c r="T896" s="23">
        <f t="shared" si="3"/>
        <v>0</v>
      </c>
      <c r="U896" s="23">
        <f t="shared" si="4"/>
        <v>0</v>
      </c>
      <c r="V896" s="23">
        <f t="shared" si="5"/>
        <v>0</v>
      </c>
      <c r="W896" s="24" t="str">
        <f t="shared" si="6"/>
        <v>#DIV/0!</v>
      </c>
    </row>
    <row r="897">
      <c r="A897" s="15" t="s">
        <v>2524</v>
      </c>
      <c r="B897" s="18"/>
      <c r="C897" s="15" t="s">
        <v>7402</v>
      </c>
      <c r="D897" s="18"/>
      <c r="E897" s="17" t="s">
        <v>2525</v>
      </c>
      <c r="F897" s="18"/>
      <c r="G897" s="18"/>
      <c r="H897" s="15" t="s">
        <v>2526</v>
      </c>
      <c r="I897" s="15" t="s">
        <v>2527</v>
      </c>
      <c r="J897" s="19" t="s">
        <v>36</v>
      </c>
      <c r="K897" s="19" t="s">
        <v>2401</v>
      </c>
      <c r="L897" s="19" t="s">
        <v>38</v>
      </c>
      <c r="M897" s="20">
        <f t="shared" si="2"/>
        <v>0</v>
      </c>
      <c r="N897" s="22"/>
      <c r="O897" s="19" t="s">
        <v>1145</v>
      </c>
      <c r="P897" s="18"/>
      <c r="Q897" s="18"/>
      <c r="R897" s="23">
        <v>0.0</v>
      </c>
      <c r="S897" s="23">
        <v>0.0</v>
      </c>
      <c r="T897" s="23">
        <f t="shared" si="3"/>
        <v>0</v>
      </c>
      <c r="U897" s="23">
        <f t="shared" si="4"/>
        <v>0</v>
      </c>
      <c r="V897" s="23">
        <f t="shared" si="5"/>
        <v>0</v>
      </c>
      <c r="W897" s="24" t="str">
        <f t="shared" si="6"/>
        <v>#DIV/0!</v>
      </c>
    </row>
    <row r="898">
      <c r="A898" s="15" t="s">
        <v>235</v>
      </c>
      <c r="B898" s="15" t="s">
        <v>236</v>
      </c>
      <c r="C898" s="15" t="s">
        <v>7403</v>
      </c>
      <c r="D898" s="15" t="s">
        <v>237</v>
      </c>
      <c r="E898" s="17" t="s">
        <v>238</v>
      </c>
      <c r="F898" s="18"/>
      <c r="G898" s="15" t="s">
        <v>239</v>
      </c>
      <c r="H898" s="15" t="s">
        <v>240</v>
      </c>
      <c r="I898" s="18"/>
      <c r="J898" s="19" t="s">
        <v>36</v>
      </c>
      <c r="K898" s="19" t="s">
        <v>60</v>
      </c>
      <c r="L898" s="19" t="s">
        <v>84</v>
      </c>
      <c r="M898" s="20">
        <f t="shared" si="2"/>
        <v>6695.52</v>
      </c>
      <c r="N898" s="31">
        <v>2.0</v>
      </c>
      <c r="O898" s="19" t="s">
        <v>107</v>
      </c>
      <c r="P898" s="18"/>
      <c r="Q898" s="18"/>
      <c r="R898" s="23">
        <v>40.0</v>
      </c>
      <c r="S898" s="23">
        <v>377.0</v>
      </c>
      <c r="T898" s="23">
        <f t="shared" si="3"/>
        <v>361.92</v>
      </c>
      <c r="U898" s="23">
        <f t="shared" si="4"/>
        <v>49</v>
      </c>
      <c r="V898" s="23">
        <f t="shared" si="5"/>
        <v>918.75</v>
      </c>
      <c r="W898" s="24">
        <f t="shared" si="6"/>
        <v>9.048</v>
      </c>
    </row>
    <row r="899">
      <c r="A899" s="15" t="s">
        <v>242</v>
      </c>
      <c r="B899" s="15" t="s">
        <v>243</v>
      </c>
      <c r="C899" s="15" t="s">
        <v>7404</v>
      </c>
      <c r="D899" s="15" t="s">
        <v>244</v>
      </c>
      <c r="E899" s="17" t="s">
        <v>245</v>
      </c>
      <c r="F899" s="18"/>
      <c r="G899" s="15" t="s">
        <v>246</v>
      </c>
      <c r="H899" s="15" t="s">
        <v>247</v>
      </c>
      <c r="I899" s="18"/>
      <c r="J899" s="19" t="s">
        <v>36</v>
      </c>
      <c r="K899" s="19" t="s">
        <v>60</v>
      </c>
      <c r="L899" s="19" t="s">
        <v>52</v>
      </c>
      <c r="M899" s="20">
        <f t="shared" si="2"/>
        <v>6695.52</v>
      </c>
      <c r="N899" s="31">
        <v>2.0</v>
      </c>
      <c r="O899" s="19" t="s">
        <v>107</v>
      </c>
      <c r="P899" s="18"/>
      <c r="Q899" s="18"/>
      <c r="R899" s="23">
        <v>40.0</v>
      </c>
      <c r="S899" s="23">
        <v>377.0</v>
      </c>
      <c r="T899" s="23">
        <f t="shared" si="3"/>
        <v>361.92</v>
      </c>
      <c r="U899" s="23">
        <f t="shared" si="4"/>
        <v>49</v>
      </c>
      <c r="V899" s="23">
        <f t="shared" si="5"/>
        <v>918.75</v>
      </c>
      <c r="W899" s="24">
        <f t="shared" si="6"/>
        <v>9.048</v>
      </c>
    </row>
    <row r="900">
      <c r="A900" s="15" t="s">
        <v>920</v>
      </c>
      <c r="B900" s="15" t="s">
        <v>921</v>
      </c>
      <c r="C900" s="15" t="s">
        <v>7405</v>
      </c>
      <c r="D900" s="15" t="s">
        <v>922</v>
      </c>
      <c r="E900" s="17" t="s">
        <v>923</v>
      </c>
      <c r="F900" s="18"/>
      <c r="G900" s="18"/>
      <c r="H900" s="15" t="s">
        <v>924</v>
      </c>
      <c r="I900" s="18"/>
      <c r="J900" s="19" t="s">
        <v>36</v>
      </c>
      <c r="K900" s="19" t="s">
        <v>60</v>
      </c>
      <c r="L900" s="19" t="s">
        <v>52</v>
      </c>
      <c r="M900" s="20">
        <f t="shared" si="2"/>
        <v>4582.08</v>
      </c>
      <c r="N900" s="31">
        <v>2.0</v>
      </c>
      <c r="O900" s="19" t="s">
        <v>107</v>
      </c>
      <c r="P900" s="18"/>
      <c r="Q900" s="18"/>
      <c r="R900" s="23">
        <v>65.0</v>
      </c>
      <c r="S900" s="23">
        <v>258.0</v>
      </c>
      <c r="T900" s="23">
        <f t="shared" si="3"/>
        <v>247.68</v>
      </c>
      <c r="U900" s="23">
        <f t="shared" si="4"/>
        <v>79.625</v>
      </c>
      <c r="V900" s="23">
        <f t="shared" si="5"/>
        <v>1492.96875</v>
      </c>
      <c r="W900" s="24">
        <f t="shared" si="6"/>
        <v>3.810461538</v>
      </c>
    </row>
    <row r="901">
      <c r="A901" s="15" t="s">
        <v>308</v>
      </c>
      <c r="B901" s="15" t="s">
        <v>309</v>
      </c>
      <c r="C901" s="15" t="s">
        <v>6015</v>
      </c>
      <c r="D901" s="15" t="s">
        <v>310</v>
      </c>
      <c r="E901" s="17" t="s">
        <v>311</v>
      </c>
      <c r="F901" s="18"/>
      <c r="G901" s="15" t="s">
        <v>312</v>
      </c>
      <c r="H901" s="15" t="s">
        <v>313</v>
      </c>
      <c r="I901" s="18"/>
      <c r="J901" s="19" t="s">
        <v>36</v>
      </c>
      <c r="K901" s="33"/>
      <c r="L901" s="19" t="s">
        <v>38</v>
      </c>
      <c r="M901" s="20">
        <f t="shared" si="2"/>
        <v>4582.08</v>
      </c>
      <c r="N901" s="31">
        <v>3.0</v>
      </c>
      <c r="O901" s="19" t="s">
        <v>107</v>
      </c>
      <c r="P901" s="18"/>
      <c r="Q901" s="18"/>
      <c r="R901" s="23">
        <v>28.0</v>
      </c>
      <c r="S901" s="23">
        <v>258.0</v>
      </c>
      <c r="T901" s="23">
        <f t="shared" si="3"/>
        <v>247.68</v>
      </c>
      <c r="U901" s="23">
        <f t="shared" si="4"/>
        <v>34.3</v>
      </c>
      <c r="V901" s="23">
        <f t="shared" si="5"/>
        <v>643.125</v>
      </c>
      <c r="W901" s="24">
        <f t="shared" si="6"/>
        <v>8.845714286</v>
      </c>
    </row>
    <row r="902">
      <c r="A902" s="15" t="s">
        <v>2528</v>
      </c>
      <c r="B902" s="18"/>
      <c r="C902" s="15" t="s">
        <v>7406</v>
      </c>
      <c r="D902" s="18"/>
      <c r="E902" s="17" t="s">
        <v>2529</v>
      </c>
      <c r="F902" s="18"/>
      <c r="G902" s="18"/>
      <c r="H902" s="15" t="s">
        <v>2530</v>
      </c>
      <c r="I902" s="15" t="s">
        <v>2531</v>
      </c>
      <c r="J902" s="19" t="s">
        <v>36</v>
      </c>
      <c r="K902" s="19" t="s">
        <v>691</v>
      </c>
      <c r="L902" s="19" t="s">
        <v>38</v>
      </c>
      <c r="M902" s="20">
        <f t="shared" si="2"/>
        <v>0</v>
      </c>
      <c r="N902" s="22"/>
      <c r="O902" s="19" t="s">
        <v>1145</v>
      </c>
      <c r="P902" s="18"/>
      <c r="Q902" s="18"/>
      <c r="R902" s="23">
        <v>0.0</v>
      </c>
      <c r="S902" s="23">
        <v>0.0</v>
      </c>
      <c r="T902" s="23">
        <f t="shared" si="3"/>
        <v>0</v>
      </c>
      <c r="U902" s="23">
        <f t="shared" si="4"/>
        <v>0</v>
      </c>
      <c r="V902" s="23">
        <f t="shared" si="5"/>
        <v>0</v>
      </c>
      <c r="W902" s="24" t="str">
        <f t="shared" si="6"/>
        <v>#DIV/0!</v>
      </c>
    </row>
    <row r="903">
      <c r="A903" s="15" t="s">
        <v>7407</v>
      </c>
      <c r="B903" s="18"/>
      <c r="C903" s="15" t="s">
        <v>7408</v>
      </c>
      <c r="D903" s="18"/>
      <c r="E903" s="17" t="s">
        <v>7409</v>
      </c>
      <c r="F903" s="18"/>
      <c r="G903" s="18"/>
      <c r="H903" s="15" t="s">
        <v>7410</v>
      </c>
      <c r="I903" s="15" t="s">
        <v>7411</v>
      </c>
      <c r="J903" s="19" t="s">
        <v>36</v>
      </c>
      <c r="K903" s="19" t="s">
        <v>2396</v>
      </c>
      <c r="L903" s="19" t="s">
        <v>38</v>
      </c>
      <c r="M903" s="20">
        <f t="shared" si="2"/>
        <v>0</v>
      </c>
      <c r="N903" s="22"/>
      <c r="O903" s="19" t="s">
        <v>39</v>
      </c>
      <c r="P903" s="18"/>
      <c r="Q903" s="18"/>
      <c r="R903" s="23">
        <v>0.0</v>
      </c>
      <c r="S903" s="23">
        <v>0.0</v>
      </c>
      <c r="T903" s="23">
        <f t="shared" si="3"/>
        <v>0</v>
      </c>
      <c r="U903" s="23">
        <f t="shared" si="4"/>
        <v>0</v>
      </c>
      <c r="V903" s="23">
        <f t="shared" si="5"/>
        <v>0</v>
      </c>
      <c r="W903" s="24" t="str">
        <f t="shared" si="6"/>
        <v>#DIV/0!</v>
      </c>
    </row>
    <row r="904">
      <c r="A904" s="15" t="s">
        <v>7412</v>
      </c>
      <c r="B904" s="18"/>
      <c r="C904" s="15" t="s">
        <v>7413</v>
      </c>
      <c r="D904" s="18"/>
      <c r="E904" s="17" t="s">
        <v>7414</v>
      </c>
      <c r="F904" s="18"/>
      <c r="G904" s="18"/>
      <c r="H904" s="15" t="s">
        <v>7415</v>
      </c>
      <c r="I904" s="15" t="s">
        <v>4461</v>
      </c>
      <c r="J904" s="19" t="s">
        <v>36</v>
      </c>
      <c r="K904" s="19" t="s">
        <v>2519</v>
      </c>
      <c r="L904" s="19" t="s">
        <v>38</v>
      </c>
      <c r="M904" s="20">
        <f t="shared" si="2"/>
        <v>0</v>
      </c>
      <c r="N904" s="22"/>
      <c r="O904" s="19" t="s">
        <v>39</v>
      </c>
      <c r="P904" s="18"/>
      <c r="Q904" s="18"/>
      <c r="R904" s="23">
        <v>0.0</v>
      </c>
      <c r="S904" s="23">
        <v>0.0</v>
      </c>
      <c r="T904" s="23">
        <f t="shared" si="3"/>
        <v>0</v>
      </c>
      <c r="U904" s="23">
        <f t="shared" si="4"/>
        <v>0</v>
      </c>
      <c r="V904" s="23">
        <f t="shared" si="5"/>
        <v>0</v>
      </c>
      <c r="W904" s="24" t="str">
        <f t="shared" si="6"/>
        <v>#DIV/0!</v>
      </c>
    </row>
    <row r="905">
      <c r="A905" s="15" t="s">
        <v>2532</v>
      </c>
      <c r="B905" s="18"/>
      <c r="C905" s="15" t="s">
        <v>7416</v>
      </c>
      <c r="D905" s="18"/>
      <c r="E905" s="17" t="s">
        <v>2533</v>
      </c>
      <c r="F905" s="18"/>
      <c r="G905" s="18"/>
      <c r="H905" s="15" t="s">
        <v>2534</v>
      </c>
      <c r="I905" s="15" t="s">
        <v>2535</v>
      </c>
      <c r="J905" s="19" t="s">
        <v>36</v>
      </c>
      <c r="K905" s="19" t="s">
        <v>2387</v>
      </c>
      <c r="L905" s="19" t="s">
        <v>38</v>
      </c>
      <c r="M905" s="20">
        <f t="shared" si="2"/>
        <v>0</v>
      </c>
      <c r="N905" s="22"/>
      <c r="O905" s="19" t="s">
        <v>1145</v>
      </c>
      <c r="P905" s="18"/>
      <c r="Q905" s="18"/>
      <c r="R905" s="23">
        <v>0.0</v>
      </c>
      <c r="S905" s="23">
        <v>0.0</v>
      </c>
      <c r="T905" s="23">
        <f t="shared" si="3"/>
        <v>0</v>
      </c>
      <c r="U905" s="23">
        <f t="shared" si="4"/>
        <v>0</v>
      </c>
      <c r="V905" s="23">
        <f t="shared" si="5"/>
        <v>0</v>
      </c>
      <c r="W905" s="24" t="str">
        <f t="shared" si="6"/>
        <v>#DIV/0!</v>
      </c>
    </row>
    <row r="906">
      <c r="A906" s="15" t="s">
        <v>2536</v>
      </c>
      <c r="B906" s="18"/>
      <c r="C906" s="15" t="s">
        <v>7417</v>
      </c>
      <c r="D906" s="18"/>
      <c r="E906" s="17" t="s">
        <v>2537</v>
      </c>
      <c r="F906" s="18"/>
      <c r="G906" s="18"/>
      <c r="H906" s="15" t="s">
        <v>2538</v>
      </c>
      <c r="I906" s="15" t="s">
        <v>2539</v>
      </c>
      <c r="J906" s="19" t="s">
        <v>36</v>
      </c>
      <c r="K906" s="19" t="s">
        <v>2387</v>
      </c>
      <c r="L906" s="19" t="s">
        <v>38</v>
      </c>
      <c r="M906" s="20">
        <f t="shared" si="2"/>
        <v>0</v>
      </c>
      <c r="N906" s="22"/>
      <c r="O906" s="19" t="s">
        <v>1145</v>
      </c>
      <c r="P906" s="18"/>
      <c r="Q906" s="18"/>
      <c r="R906" s="23">
        <v>0.0</v>
      </c>
      <c r="S906" s="23">
        <v>0.0</v>
      </c>
      <c r="T906" s="23">
        <f t="shared" si="3"/>
        <v>0</v>
      </c>
      <c r="U906" s="23">
        <f t="shared" si="4"/>
        <v>0</v>
      </c>
      <c r="V906" s="23">
        <f t="shared" si="5"/>
        <v>0</v>
      </c>
      <c r="W906" s="24" t="str">
        <f t="shared" si="6"/>
        <v>#DIV/0!</v>
      </c>
    </row>
    <row r="907">
      <c r="A907" s="15" t="s">
        <v>2540</v>
      </c>
      <c r="B907" s="18"/>
      <c r="C907" s="15" t="s">
        <v>7418</v>
      </c>
      <c r="D907" s="18"/>
      <c r="E907" s="17" t="s">
        <v>2541</v>
      </c>
      <c r="F907" s="18"/>
      <c r="G907" s="18"/>
      <c r="H907" s="15" t="s">
        <v>2542</v>
      </c>
      <c r="I907" s="15" t="s">
        <v>2543</v>
      </c>
      <c r="J907" s="19" t="s">
        <v>36</v>
      </c>
      <c r="K907" s="19" t="s">
        <v>2387</v>
      </c>
      <c r="L907" s="19" t="s">
        <v>38</v>
      </c>
      <c r="M907" s="20">
        <f t="shared" si="2"/>
        <v>0</v>
      </c>
      <c r="N907" s="22"/>
      <c r="O907" s="19" t="s">
        <v>1145</v>
      </c>
      <c r="P907" s="18"/>
      <c r="Q907" s="18"/>
      <c r="R907" s="23">
        <v>0.0</v>
      </c>
      <c r="S907" s="23">
        <v>0.0</v>
      </c>
      <c r="T907" s="23">
        <f t="shared" si="3"/>
        <v>0</v>
      </c>
      <c r="U907" s="23">
        <f t="shared" si="4"/>
        <v>0</v>
      </c>
      <c r="V907" s="23">
        <f t="shared" si="5"/>
        <v>0</v>
      </c>
      <c r="W907" s="24" t="str">
        <f t="shared" si="6"/>
        <v>#DIV/0!</v>
      </c>
    </row>
    <row r="908">
      <c r="A908" s="15" t="s">
        <v>2544</v>
      </c>
      <c r="B908" s="18"/>
      <c r="C908" s="15" t="s">
        <v>7419</v>
      </c>
      <c r="D908" s="18"/>
      <c r="E908" s="17" t="s">
        <v>2545</v>
      </c>
      <c r="F908" s="18"/>
      <c r="G908" s="18"/>
      <c r="H908" s="15" t="s">
        <v>2546</v>
      </c>
      <c r="I908" s="15" t="s">
        <v>2547</v>
      </c>
      <c r="J908" s="19" t="s">
        <v>36</v>
      </c>
      <c r="K908" s="19" t="s">
        <v>2387</v>
      </c>
      <c r="L908" s="19" t="s">
        <v>38</v>
      </c>
      <c r="M908" s="20">
        <f t="shared" si="2"/>
        <v>0</v>
      </c>
      <c r="N908" s="22"/>
      <c r="O908" s="19" t="s">
        <v>1145</v>
      </c>
      <c r="P908" s="18"/>
      <c r="Q908" s="18"/>
      <c r="R908" s="23">
        <v>0.0</v>
      </c>
      <c r="S908" s="23">
        <v>0.0</v>
      </c>
      <c r="T908" s="23">
        <f t="shared" si="3"/>
        <v>0</v>
      </c>
      <c r="U908" s="23">
        <f t="shared" si="4"/>
        <v>0</v>
      </c>
      <c r="V908" s="23">
        <f t="shared" si="5"/>
        <v>0</v>
      </c>
      <c r="W908" s="24" t="str">
        <f t="shared" si="6"/>
        <v>#DIV/0!</v>
      </c>
    </row>
    <row r="909">
      <c r="A909" s="15" t="s">
        <v>2548</v>
      </c>
      <c r="B909" s="18"/>
      <c r="C909" s="15" t="s">
        <v>7420</v>
      </c>
      <c r="D909" s="18"/>
      <c r="E909" s="17" t="s">
        <v>2549</v>
      </c>
      <c r="F909" s="18"/>
      <c r="G909" s="18"/>
      <c r="H909" s="15" t="s">
        <v>2550</v>
      </c>
      <c r="I909" s="15" t="s">
        <v>2551</v>
      </c>
      <c r="J909" s="19" t="s">
        <v>36</v>
      </c>
      <c r="K909" s="19" t="s">
        <v>2387</v>
      </c>
      <c r="L909" s="19" t="s">
        <v>38</v>
      </c>
      <c r="M909" s="20">
        <f t="shared" si="2"/>
        <v>0</v>
      </c>
      <c r="N909" s="22"/>
      <c r="O909" s="19" t="s">
        <v>1145</v>
      </c>
      <c r="P909" s="18"/>
      <c r="Q909" s="18"/>
      <c r="R909" s="23">
        <v>0.0</v>
      </c>
      <c r="S909" s="23">
        <v>0.0</v>
      </c>
      <c r="T909" s="23">
        <f t="shared" si="3"/>
        <v>0</v>
      </c>
      <c r="U909" s="23">
        <f t="shared" si="4"/>
        <v>0</v>
      </c>
      <c r="V909" s="23">
        <f t="shared" si="5"/>
        <v>0</v>
      </c>
      <c r="W909" s="24" t="str">
        <f t="shared" si="6"/>
        <v>#DIV/0!</v>
      </c>
    </row>
    <row r="910">
      <c r="A910" s="15" t="s">
        <v>2552</v>
      </c>
      <c r="B910" s="18"/>
      <c r="C910" s="15" t="s">
        <v>7421</v>
      </c>
      <c r="D910" s="18"/>
      <c r="E910" s="17" t="s">
        <v>2553</v>
      </c>
      <c r="F910" s="18"/>
      <c r="G910" s="18"/>
      <c r="H910" s="15" t="s">
        <v>2554</v>
      </c>
      <c r="I910" s="15" t="s">
        <v>2555</v>
      </c>
      <c r="J910" s="19" t="s">
        <v>36</v>
      </c>
      <c r="K910" s="19" t="s">
        <v>2387</v>
      </c>
      <c r="L910" s="19" t="s">
        <v>38</v>
      </c>
      <c r="M910" s="20">
        <f t="shared" si="2"/>
        <v>0</v>
      </c>
      <c r="N910" s="22"/>
      <c r="O910" s="19" t="s">
        <v>1145</v>
      </c>
      <c r="P910" s="18"/>
      <c r="Q910" s="18"/>
      <c r="R910" s="23">
        <v>0.0</v>
      </c>
      <c r="S910" s="23">
        <v>0.0</v>
      </c>
      <c r="T910" s="23">
        <f t="shared" si="3"/>
        <v>0</v>
      </c>
      <c r="U910" s="23">
        <f t="shared" si="4"/>
        <v>0</v>
      </c>
      <c r="V910" s="23">
        <f t="shared" si="5"/>
        <v>0</v>
      </c>
      <c r="W910" s="24" t="str">
        <f t="shared" si="6"/>
        <v>#DIV/0!</v>
      </c>
    </row>
    <row r="911">
      <c r="A911" s="15" t="s">
        <v>2556</v>
      </c>
      <c r="B911" s="18"/>
      <c r="C911" s="15" t="s">
        <v>7422</v>
      </c>
      <c r="D911" s="18"/>
      <c r="E911" s="17" t="s">
        <v>2557</v>
      </c>
      <c r="F911" s="18"/>
      <c r="G911" s="18"/>
      <c r="H911" s="15" t="s">
        <v>2558</v>
      </c>
      <c r="I911" s="15" t="s">
        <v>2559</v>
      </c>
      <c r="J911" s="19" t="s">
        <v>36</v>
      </c>
      <c r="K911" s="19" t="s">
        <v>2387</v>
      </c>
      <c r="L911" s="19" t="s">
        <v>38</v>
      </c>
      <c r="M911" s="20">
        <f t="shared" si="2"/>
        <v>0</v>
      </c>
      <c r="N911" s="22"/>
      <c r="O911" s="19" t="s">
        <v>1145</v>
      </c>
      <c r="P911" s="18"/>
      <c r="Q911" s="18"/>
      <c r="R911" s="23">
        <v>0.0</v>
      </c>
      <c r="S911" s="23">
        <v>0.0</v>
      </c>
      <c r="T911" s="23">
        <f t="shared" si="3"/>
        <v>0</v>
      </c>
      <c r="U911" s="23">
        <f t="shared" si="4"/>
        <v>0</v>
      </c>
      <c r="V911" s="23">
        <f t="shared" si="5"/>
        <v>0</v>
      </c>
      <c r="W911" s="24" t="str">
        <f t="shared" si="6"/>
        <v>#DIV/0!</v>
      </c>
    </row>
    <row r="912">
      <c r="A912" s="15" t="s">
        <v>2560</v>
      </c>
      <c r="B912" s="18"/>
      <c r="C912" s="15" t="s">
        <v>7423</v>
      </c>
      <c r="D912" s="18"/>
      <c r="E912" s="17" t="s">
        <v>2557</v>
      </c>
      <c r="F912" s="18"/>
      <c r="G912" s="18"/>
      <c r="H912" s="15" t="s">
        <v>2561</v>
      </c>
      <c r="I912" s="15" t="s">
        <v>2562</v>
      </c>
      <c r="J912" s="19" t="s">
        <v>36</v>
      </c>
      <c r="K912" s="19" t="s">
        <v>2387</v>
      </c>
      <c r="L912" s="19" t="s">
        <v>38</v>
      </c>
      <c r="M912" s="20">
        <f t="shared" si="2"/>
        <v>0</v>
      </c>
      <c r="N912" s="22"/>
      <c r="O912" s="19" t="s">
        <v>1145</v>
      </c>
      <c r="P912" s="18"/>
      <c r="Q912" s="18"/>
      <c r="R912" s="23">
        <v>0.0</v>
      </c>
      <c r="S912" s="23">
        <v>0.0</v>
      </c>
      <c r="T912" s="23">
        <f t="shared" si="3"/>
        <v>0</v>
      </c>
      <c r="U912" s="23">
        <f t="shared" si="4"/>
        <v>0</v>
      </c>
      <c r="V912" s="23">
        <f t="shared" si="5"/>
        <v>0</v>
      </c>
      <c r="W912" s="24" t="str">
        <f t="shared" si="6"/>
        <v>#DIV/0!</v>
      </c>
    </row>
    <row r="913">
      <c r="A913" s="15" t="s">
        <v>2563</v>
      </c>
      <c r="B913" s="18"/>
      <c r="C913" s="15" t="s">
        <v>7424</v>
      </c>
      <c r="D913" s="18"/>
      <c r="E913" s="17" t="s">
        <v>2564</v>
      </c>
      <c r="F913" s="18"/>
      <c r="G913" s="18"/>
      <c r="H913" s="15" t="s">
        <v>2565</v>
      </c>
      <c r="I913" s="15" t="s">
        <v>2566</v>
      </c>
      <c r="J913" s="19" t="s">
        <v>36</v>
      </c>
      <c r="K913" s="19" t="s">
        <v>2387</v>
      </c>
      <c r="L913" s="19" t="s">
        <v>38</v>
      </c>
      <c r="M913" s="20">
        <f t="shared" si="2"/>
        <v>0</v>
      </c>
      <c r="N913" s="22"/>
      <c r="O913" s="19" t="s">
        <v>1145</v>
      </c>
      <c r="P913" s="18"/>
      <c r="Q913" s="18"/>
      <c r="R913" s="23">
        <v>0.0</v>
      </c>
      <c r="S913" s="23">
        <v>0.0</v>
      </c>
      <c r="T913" s="23">
        <f t="shared" si="3"/>
        <v>0</v>
      </c>
      <c r="U913" s="23">
        <f t="shared" si="4"/>
        <v>0</v>
      </c>
      <c r="V913" s="23">
        <f t="shared" si="5"/>
        <v>0</v>
      </c>
      <c r="W913" s="24" t="str">
        <f t="shared" si="6"/>
        <v>#DIV/0!</v>
      </c>
    </row>
    <row r="914">
      <c r="A914" s="15" t="s">
        <v>2567</v>
      </c>
      <c r="B914" s="18"/>
      <c r="C914" s="15" t="s">
        <v>7425</v>
      </c>
      <c r="D914" s="18"/>
      <c r="E914" s="17" t="s">
        <v>2568</v>
      </c>
      <c r="F914" s="18"/>
      <c r="G914" s="18"/>
      <c r="H914" s="15" t="s">
        <v>2569</v>
      </c>
      <c r="I914" s="15" t="s">
        <v>2570</v>
      </c>
      <c r="J914" s="19" t="s">
        <v>36</v>
      </c>
      <c r="K914" s="19" t="s">
        <v>2387</v>
      </c>
      <c r="L914" s="19" t="s">
        <v>38</v>
      </c>
      <c r="M914" s="20">
        <f t="shared" si="2"/>
        <v>0</v>
      </c>
      <c r="N914" s="22"/>
      <c r="O914" s="19" t="s">
        <v>1145</v>
      </c>
      <c r="P914" s="18"/>
      <c r="Q914" s="18"/>
      <c r="R914" s="23">
        <v>0.0</v>
      </c>
      <c r="S914" s="23">
        <v>0.0</v>
      </c>
      <c r="T914" s="23">
        <f t="shared" si="3"/>
        <v>0</v>
      </c>
      <c r="U914" s="23">
        <f t="shared" si="4"/>
        <v>0</v>
      </c>
      <c r="V914" s="23">
        <f t="shared" si="5"/>
        <v>0</v>
      </c>
      <c r="W914" s="24" t="str">
        <f t="shared" si="6"/>
        <v>#DIV/0!</v>
      </c>
    </row>
    <row r="915">
      <c r="A915" s="15" t="s">
        <v>2571</v>
      </c>
      <c r="B915" s="18"/>
      <c r="C915" s="15" t="s">
        <v>7426</v>
      </c>
      <c r="D915" s="18"/>
      <c r="E915" s="17" t="s">
        <v>2572</v>
      </c>
      <c r="F915" s="18"/>
      <c r="G915" s="18"/>
      <c r="H915" s="15" t="s">
        <v>2573</v>
      </c>
      <c r="I915" s="15" t="s">
        <v>2574</v>
      </c>
      <c r="J915" s="19" t="s">
        <v>36</v>
      </c>
      <c r="K915" s="19" t="s">
        <v>2387</v>
      </c>
      <c r="L915" s="19" t="s">
        <v>38</v>
      </c>
      <c r="M915" s="20">
        <f t="shared" si="2"/>
        <v>0</v>
      </c>
      <c r="N915" s="22"/>
      <c r="O915" s="19" t="s">
        <v>1145</v>
      </c>
      <c r="P915" s="18"/>
      <c r="Q915" s="18"/>
      <c r="R915" s="23">
        <v>0.0</v>
      </c>
      <c r="S915" s="23">
        <v>0.0</v>
      </c>
      <c r="T915" s="23">
        <f t="shared" si="3"/>
        <v>0</v>
      </c>
      <c r="U915" s="23">
        <f t="shared" si="4"/>
        <v>0</v>
      </c>
      <c r="V915" s="23">
        <f t="shared" si="5"/>
        <v>0</v>
      </c>
      <c r="W915" s="24" t="str">
        <f t="shared" si="6"/>
        <v>#DIV/0!</v>
      </c>
    </row>
    <row r="916">
      <c r="A916" s="15" t="s">
        <v>7427</v>
      </c>
      <c r="B916" s="15" t="s">
        <v>7428</v>
      </c>
      <c r="C916" s="15" t="s">
        <v>7429</v>
      </c>
      <c r="D916" s="18"/>
      <c r="E916" s="17" t="s">
        <v>7430</v>
      </c>
      <c r="F916" s="18"/>
      <c r="G916" s="18"/>
      <c r="H916" s="15" t="s">
        <v>7431</v>
      </c>
      <c r="I916" s="15" t="s">
        <v>7432</v>
      </c>
      <c r="J916" s="19" t="s">
        <v>36</v>
      </c>
      <c r="K916" s="19" t="s">
        <v>2387</v>
      </c>
      <c r="L916" s="19" t="s">
        <v>38</v>
      </c>
      <c r="M916" s="20">
        <f t="shared" si="2"/>
        <v>0</v>
      </c>
      <c r="N916" s="22"/>
      <c r="O916" s="19" t="s">
        <v>39</v>
      </c>
      <c r="P916" s="18"/>
      <c r="Q916" s="18"/>
      <c r="R916" s="23">
        <v>0.0</v>
      </c>
      <c r="S916" s="23">
        <v>0.0</v>
      </c>
      <c r="T916" s="23">
        <f t="shared" si="3"/>
        <v>0</v>
      </c>
      <c r="U916" s="23">
        <f t="shared" si="4"/>
        <v>0</v>
      </c>
      <c r="V916" s="23">
        <f t="shared" si="5"/>
        <v>0</v>
      </c>
      <c r="W916" s="24" t="str">
        <f t="shared" si="6"/>
        <v>#DIV/0!</v>
      </c>
    </row>
    <row r="917">
      <c r="A917" s="15" t="s">
        <v>259</v>
      </c>
      <c r="B917" s="15" t="s">
        <v>260</v>
      </c>
      <c r="C917" s="15" t="s">
        <v>6016</v>
      </c>
      <c r="D917" s="15" t="s">
        <v>261</v>
      </c>
      <c r="E917" s="17" t="s">
        <v>262</v>
      </c>
      <c r="F917" s="18"/>
      <c r="G917" s="18"/>
      <c r="H917" s="15" t="s">
        <v>263</v>
      </c>
      <c r="I917" s="18"/>
      <c r="J917" s="19" t="s">
        <v>36</v>
      </c>
      <c r="K917" s="19" t="s">
        <v>60</v>
      </c>
      <c r="L917" s="19" t="s">
        <v>6017</v>
      </c>
      <c r="M917" s="20">
        <f t="shared" si="2"/>
        <v>1687.2</v>
      </c>
      <c r="N917" s="31">
        <v>5.0</v>
      </c>
      <c r="O917" s="19" t="s">
        <v>107</v>
      </c>
      <c r="P917" s="18"/>
      <c r="Q917" s="18"/>
      <c r="R917" s="23">
        <v>11.0</v>
      </c>
      <c r="S917" s="23">
        <v>95.0</v>
      </c>
      <c r="T917" s="23">
        <f t="shared" si="3"/>
        <v>91.2</v>
      </c>
      <c r="U917" s="23">
        <f t="shared" si="4"/>
        <v>13.475</v>
      </c>
      <c r="V917" s="23">
        <f t="shared" si="5"/>
        <v>252.65625</v>
      </c>
      <c r="W917" s="24">
        <f t="shared" si="6"/>
        <v>8.290909091</v>
      </c>
    </row>
    <row r="918">
      <c r="A918" s="15" t="s">
        <v>343</v>
      </c>
      <c r="B918" s="15" t="s">
        <v>344</v>
      </c>
      <c r="C918" s="15" t="s">
        <v>6018</v>
      </c>
      <c r="D918" s="15" t="s">
        <v>345</v>
      </c>
      <c r="E918" s="17" t="s">
        <v>346</v>
      </c>
      <c r="F918" s="18"/>
      <c r="G918" s="15" t="s">
        <v>347</v>
      </c>
      <c r="H918" s="15" t="s">
        <v>348</v>
      </c>
      <c r="I918" s="18"/>
      <c r="J918" s="19" t="s">
        <v>36</v>
      </c>
      <c r="K918" s="19" t="s">
        <v>60</v>
      </c>
      <c r="L918" s="19" t="s">
        <v>6017</v>
      </c>
      <c r="M918" s="20">
        <f t="shared" si="2"/>
        <v>1651.68</v>
      </c>
      <c r="N918" s="31">
        <v>3.0</v>
      </c>
      <c r="O918" s="19" t="s">
        <v>107</v>
      </c>
      <c r="P918" s="18"/>
      <c r="Q918" s="18"/>
      <c r="R918" s="23">
        <v>12.0</v>
      </c>
      <c r="S918" s="23">
        <v>93.0</v>
      </c>
      <c r="T918" s="23">
        <f t="shared" si="3"/>
        <v>89.28</v>
      </c>
      <c r="U918" s="23">
        <f t="shared" si="4"/>
        <v>14.7</v>
      </c>
      <c r="V918" s="23">
        <f t="shared" si="5"/>
        <v>275.625</v>
      </c>
      <c r="W918" s="24">
        <f t="shared" si="6"/>
        <v>7.44</v>
      </c>
    </row>
    <row r="919">
      <c r="A919" s="15" t="s">
        <v>293</v>
      </c>
      <c r="B919" s="15" t="s">
        <v>294</v>
      </c>
      <c r="C919" s="15" t="s">
        <v>7433</v>
      </c>
      <c r="D919" s="15" t="s">
        <v>295</v>
      </c>
      <c r="E919" s="17" t="s">
        <v>296</v>
      </c>
      <c r="F919" s="18"/>
      <c r="G919" s="18"/>
      <c r="H919" s="15" t="s">
        <v>297</v>
      </c>
      <c r="I919" s="18"/>
      <c r="J919" s="19" t="s">
        <v>36</v>
      </c>
      <c r="K919" s="19" t="s">
        <v>60</v>
      </c>
      <c r="L919" s="19" t="s">
        <v>6017</v>
      </c>
      <c r="M919" s="20">
        <f t="shared" si="2"/>
        <v>1243.2</v>
      </c>
      <c r="N919" s="31">
        <v>2.0</v>
      </c>
      <c r="O919" s="19" t="s">
        <v>107</v>
      </c>
      <c r="P919" s="18"/>
      <c r="Q919" s="18"/>
      <c r="R919" s="23">
        <v>8.5</v>
      </c>
      <c r="S919" s="23">
        <v>70.0</v>
      </c>
      <c r="T919" s="23">
        <f t="shared" si="3"/>
        <v>67.2</v>
      </c>
      <c r="U919" s="23">
        <f t="shared" si="4"/>
        <v>10.4125</v>
      </c>
      <c r="V919" s="23">
        <f t="shared" si="5"/>
        <v>195.234375</v>
      </c>
      <c r="W919" s="24">
        <f t="shared" si="6"/>
        <v>7.905882353</v>
      </c>
    </row>
    <row r="920">
      <c r="A920" s="15" t="s">
        <v>128</v>
      </c>
      <c r="B920" s="15" t="s">
        <v>129</v>
      </c>
      <c r="C920" s="15" t="s">
        <v>6019</v>
      </c>
      <c r="D920" s="15" t="s">
        <v>130</v>
      </c>
      <c r="E920" s="17" t="s">
        <v>131</v>
      </c>
      <c r="F920" s="18"/>
      <c r="G920" s="15" t="s">
        <v>132</v>
      </c>
      <c r="H920" s="15" t="s">
        <v>134</v>
      </c>
      <c r="I920" s="18"/>
      <c r="J920" s="19" t="s">
        <v>36</v>
      </c>
      <c r="K920" s="19" t="s">
        <v>60</v>
      </c>
      <c r="L920" s="19" t="s">
        <v>135</v>
      </c>
      <c r="M920" s="20">
        <f t="shared" si="2"/>
        <v>1651.68</v>
      </c>
      <c r="N920" s="31">
        <v>4.0</v>
      </c>
      <c r="O920" s="19" t="s">
        <v>107</v>
      </c>
      <c r="P920" s="18"/>
      <c r="Q920" s="18"/>
      <c r="R920" s="23">
        <v>4.0</v>
      </c>
      <c r="S920" s="23">
        <v>93.0</v>
      </c>
      <c r="T920" s="23">
        <f t="shared" si="3"/>
        <v>89.28</v>
      </c>
      <c r="U920" s="23">
        <f t="shared" si="4"/>
        <v>4.9</v>
      </c>
      <c r="V920" s="23">
        <f t="shared" si="5"/>
        <v>91.875</v>
      </c>
      <c r="W920" s="24">
        <f t="shared" si="6"/>
        <v>22.32</v>
      </c>
    </row>
    <row r="921">
      <c r="A921" s="15" t="s">
        <v>5033</v>
      </c>
      <c r="B921" s="15" t="s">
        <v>5034</v>
      </c>
      <c r="C921" s="15" t="s">
        <v>7434</v>
      </c>
      <c r="D921" s="15" t="s">
        <v>4186</v>
      </c>
      <c r="E921" s="17" t="s">
        <v>4187</v>
      </c>
      <c r="F921" s="18"/>
      <c r="G921" s="18"/>
      <c r="H921" s="15" t="s">
        <v>5036</v>
      </c>
      <c r="I921" s="15"/>
      <c r="J921" s="19" t="s">
        <v>36</v>
      </c>
      <c r="K921" s="19" t="s">
        <v>2506</v>
      </c>
      <c r="L921" s="19" t="s">
        <v>38</v>
      </c>
      <c r="M921" s="20">
        <f t="shared" si="2"/>
        <v>0</v>
      </c>
      <c r="N921" s="22"/>
      <c r="O921" s="19" t="s">
        <v>3578</v>
      </c>
      <c r="P921" s="18"/>
      <c r="Q921" s="18"/>
      <c r="R921" s="23">
        <v>0.0</v>
      </c>
      <c r="S921" s="23">
        <v>0.0</v>
      </c>
      <c r="T921" s="23">
        <f t="shared" si="3"/>
        <v>0</v>
      </c>
      <c r="U921" s="23">
        <f t="shared" si="4"/>
        <v>0</v>
      </c>
      <c r="V921" s="23">
        <f t="shared" si="5"/>
        <v>0</v>
      </c>
      <c r="W921" s="24" t="str">
        <f t="shared" si="6"/>
        <v>#DIV/0!</v>
      </c>
    </row>
    <row r="922">
      <c r="A922" s="15" t="s">
        <v>2575</v>
      </c>
      <c r="B922" s="18"/>
      <c r="C922" s="15" t="s">
        <v>7437</v>
      </c>
      <c r="D922" s="18"/>
      <c r="E922" s="17" t="s">
        <v>2576</v>
      </c>
      <c r="F922" s="18"/>
      <c r="G922" s="18"/>
      <c r="H922" s="15" t="s">
        <v>2577</v>
      </c>
      <c r="I922" s="15" t="s">
        <v>2578</v>
      </c>
      <c r="J922" s="19" t="s">
        <v>36</v>
      </c>
      <c r="K922" s="19" t="s">
        <v>2387</v>
      </c>
      <c r="L922" s="19" t="s">
        <v>38</v>
      </c>
      <c r="M922" s="20">
        <f t="shared" si="2"/>
        <v>0</v>
      </c>
      <c r="N922" s="22"/>
      <c r="O922" s="19" t="s">
        <v>1145</v>
      </c>
      <c r="P922" s="18"/>
      <c r="Q922" s="18"/>
      <c r="R922" s="23">
        <v>0.0</v>
      </c>
      <c r="S922" s="23">
        <v>0.0</v>
      </c>
      <c r="T922" s="23">
        <f t="shared" si="3"/>
        <v>0</v>
      </c>
      <c r="U922" s="23">
        <f t="shared" si="4"/>
        <v>0</v>
      </c>
      <c r="V922" s="23">
        <f t="shared" si="5"/>
        <v>0</v>
      </c>
      <c r="W922" s="24" t="str">
        <f t="shared" si="6"/>
        <v>#DIV/0!</v>
      </c>
    </row>
    <row r="923">
      <c r="A923" s="15" t="s">
        <v>813</v>
      </c>
      <c r="B923" s="15" t="s">
        <v>814</v>
      </c>
      <c r="C923" s="15" t="s">
        <v>6080</v>
      </c>
      <c r="D923" s="15" t="s">
        <v>815</v>
      </c>
      <c r="E923" s="17" t="s">
        <v>816</v>
      </c>
      <c r="F923" s="18"/>
      <c r="G923" s="15" t="s">
        <v>817</v>
      </c>
      <c r="H923" s="15" t="s">
        <v>818</v>
      </c>
      <c r="I923" s="18"/>
      <c r="J923" s="19" t="s">
        <v>36</v>
      </c>
      <c r="K923" s="19" t="s">
        <v>427</v>
      </c>
      <c r="L923" s="19" t="s">
        <v>610</v>
      </c>
      <c r="M923" s="20">
        <f t="shared" si="2"/>
        <v>923.52</v>
      </c>
      <c r="N923" s="31">
        <v>10.0</v>
      </c>
      <c r="O923" s="19" t="s">
        <v>107</v>
      </c>
      <c r="P923" s="18"/>
      <c r="Q923" s="18"/>
      <c r="R923" s="23">
        <v>12.0</v>
      </c>
      <c r="S923" s="23">
        <v>52.0</v>
      </c>
      <c r="T923" s="23">
        <f t="shared" si="3"/>
        <v>49.92</v>
      </c>
      <c r="U923" s="23">
        <f t="shared" si="4"/>
        <v>14.7</v>
      </c>
      <c r="V923" s="23">
        <f t="shared" si="5"/>
        <v>275.625</v>
      </c>
      <c r="W923" s="24">
        <f t="shared" si="6"/>
        <v>4.16</v>
      </c>
    </row>
    <row r="924">
      <c r="A924" s="15" t="s">
        <v>604</v>
      </c>
      <c r="B924" s="15" t="s">
        <v>605</v>
      </c>
      <c r="C924" s="15" t="s">
        <v>6081</v>
      </c>
      <c r="D924" s="15" t="s">
        <v>606</v>
      </c>
      <c r="E924" s="17" t="s">
        <v>607</v>
      </c>
      <c r="F924" s="18"/>
      <c r="G924" s="15" t="s">
        <v>608</v>
      </c>
      <c r="H924" s="15" t="s">
        <v>609</v>
      </c>
      <c r="I924" s="18"/>
      <c r="J924" s="19" t="s">
        <v>36</v>
      </c>
      <c r="K924" s="19" t="s">
        <v>427</v>
      </c>
      <c r="L924" s="19" t="s">
        <v>610</v>
      </c>
      <c r="M924" s="20">
        <f t="shared" si="2"/>
        <v>1154.4</v>
      </c>
      <c r="N924" s="31">
        <v>10.0</v>
      </c>
      <c r="O924" s="19" t="s">
        <v>107</v>
      </c>
      <c r="P924" s="18"/>
      <c r="Q924" s="18"/>
      <c r="R924" s="23">
        <v>12.0</v>
      </c>
      <c r="S924" s="23">
        <v>65.0</v>
      </c>
      <c r="T924" s="23">
        <f t="shared" si="3"/>
        <v>62.4</v>
      </c>
      <c r="U924" s="23">
        <f t="shared" si="4"/>
        <v>14.7</v>
      </c>
      <c r="V924" s="23">
        <f t="shared" si="5"/>
        <v>275.625</v>
      </c>
      <c r="W924" s="24">
        <f t="shared" si="6"/>
        <v>5.2</v>
      </c>
    </row>
    <row r="925">
      <c r="A925" s="15" t="s">
        <v>2579</v>
      </c>
      <c r="B925" s="18"/>
      <c r="C925" s="15" t="s">
        <v>7438</v>
      </c>
      <c r="D925" s="18"/>
      <c r="E925" s="17" t="s">
        <v>2580</v>
      </c>
      <c r="F925" s="18"/>
      <c r="G925" s="18"/>
      <c r="H925" s="15" t="s">
        <v>2581</v>
      </c>
      <c r="I925" s="15" t="s">
        <v>2582</v>
      </c>
      <c r="J925" s="19" t="s">
        <v>36</v>
      </c>
      <c r="K925" s="19" t="s">
        <v>691</v>
      </c>
      <c r="L925" s="19" t="s">
        <v>38</v>
      </c>
      <c r="M925" s="20">
        <f t="shared" si="2"/>
        <v>0</v>
      </c>
      <c r="N925" s="22"/>
      <c r="O925" s="19" t="s">
        <v>1145</v>
      </c>
      <c r="P925" s="18"/>
      <c r="Q925" s="18"/>
      <c r="R925" s="23">
        <v>0.0</v>
      </c>
      <c r="S925" s="23">
        <v>0.0</v>
      </c>
      <c r="T925" s="23">
        <f t="shared" si="3"/>
        <v>0</v>
      </c>
      <c r="U925" s="23">
        <f t="shared" si="4"/>
        <v>0</v>
      </c>
      <c r="V925" s="23">
        <f t="shared" si="5"/>
        <v>0</v>
      </c>
      <c r="W925" s="24" t="str">
        <f t="shared" si="6"/>
        <v>#DIV/0!</v>
      </c>
    </row>
    <row r="926">
      <c r="A926" s="15" t="s">
        <v>2583</v>
      </c>
      <c r="B926" s="18"/>
      <c r="C926" s="15" t="s">
        <v>7439</v>
      </c>
      <c r="D926" s="18"/>
      <c r="E926" s="17" t="s">
        <v>2584</v>
      </c>
      <c r="F926" s="18"/>
      <c r="G926" s="18"/>
      <c r="H926" s="15" t="s">
        <v>2585</v>
      </c>
      <c r="I926" s="15" t="s">
        <v>2586</v>
      </c>
      <c r="J926" s="19" t="s">
        <v>36</v>
      </c>
      <c r="K926" s="19" t="s">
        <v>2401</v>
      </c>
      <c r="L926" s="19" t="s">
        <v>38</v>
      </c>
      <c r="M926" s="20">
        <f t="shared" si="2"/>
        <v>0</v>
      </c>
      <c r="N926" s="22"/>
      <c r="O926" s="19" t="s">
        <v>1145</v>
      </c>
      <c r="P926" s="18"/>
      <c r="Q926" s="18"/>
      <c r="R926" s="23">
        <v>0.0</v>
      </c>
      <c r="S926" s="23">
        <v>0.0</v>
      </c>
      <c r="T926" s="23">
        <f t="shared" si="3"/>
        <v>0</v>
      </c>
      <c r="U926" s="23">
        <f t="shared" si="4"/>
        <v>0</v>
      </c>
      <c r="V926" s="23">
        <f t="shared" si="5"/>
        <v>0</v>
      </c>
      <c r="W926" s="24" t="str">
        <f t="shared" si="6"/>
        <v>#DIV/0!</v>
      </c>
    </row>
    <row r="927">
      <c r="A927" s="15" t="s">
        <v>2587</v>
      </c>
      <c r="B927" s="18"/>
      <c r="C927" s="15" t="s">
        <v>7440</v>
      </c>
      <c r="D927" s="18"/>
      <c r="E927" s="17" t="s">
        <v>2588</v>
      </c>
      <c r="F927" s="18"/>
      <c r="G927" s="18"/>
      <c r="H927" s="15" t="s">
        <v>2589</v>
      </c>
      <c r="I927" s="15" t="s">
        <v>2590</v>
      </c>
      <c r="J927" s="19" t="s">
        <v>36</v>
      </c>
      <c r="K927" s="19" t="s">
        <v>2387</v>
      </c>
      <c r="L927" s="19" t="s">
        <v>38</v>
      </c>
      <c r="M927" s="20">
        <f t="shared" si="2"/>
        <v>0</v>
      </c>
      <c r="N927" s="22"/>
      <c r="O927" s="19" t="s">
        <v>1145</v>
      </c>
      <c r="P927" s="18"/>
      <c r="Q927" s="18"/>
      <c r="R927" s="23">
        <v>0.0</v>
      </c>
      <c r="S927" s="23">
        <v>0.0</v>
      </c>
      <c r="T927" s="23">
        <f t="shared" si="3"/>
        <v>0</v>
      </c>
      <c r="U927" s="23">
        <f t="shared" si="4"/>
        <v>0</v>
      </c>
      <c r="V927" s="23">
        <f t="shared" si="5"/>
        <v>0</v>
      </c>
      <c r="W927" s="24" t="str">
        <f t="shared" si="6"/>
        <v>#DIV/0!</v>
      </c>
    </row>
    <row r="928">
      <c r="A928" s="15" t="s">
        <v>5037</v>
      </c>
      <c r="B928" s="15" t="s">
        <v>5038</v>
      </c>
      <c r="C928" s="15" t="s">
        <v>7441</v>
      </c>
      <c r="D928" s="18"/>
      <c r="E928" s="17" t="s">
        <v>5039</v>
      </c>
      <c r="F928" s="18"/>
      <c r="G928" s="18"/>
      <c r="H928" s="15" t="s">
        <v>5040</v>
      </c>
      <c r="I928" s="18"/>
      <c r="J928" s="19" t="s">
        <v>36</v>
      </c>
      <c r="K928" s="33"/>
      <c r="L928" s="19" t="s">
        <v>38</v>
      </c>
      <c r="M928" s="20">
        <f t="shared" si="2"/>
        <v>0</v>
      </c>
      <c r="N928" s="22"/>
      <c r="O928" s="19" t="s">
        <v>3578</v>
      </c>
      <c r="P928" s="18"/>
      <c r="Q928" s="18"/>
      <c r="R928" s="23">
        <v>0.0</v>
      </c>
      <c r="S928" s="23">
        <v>0.0</v>
      </c>
      <c r="T928" s="23">
        <f t="shared" si="3"/>
        <v>0</v>
      </c>
      <c r="U928" s="23">
        <f t="shared" si="4"/>
        <v>0</v>
      </c>
      <c r="V928" s="23">
        <f t="shared" si="5"/>
        <v>0</v>
      </c>
      <c r="W928" s="24" t="str">
        <f t="shared" si="6"/>
        <v>#DIV/0!</v>
      </c>
    </row>
    <row r="929">
      <c r="A929" s="15" t="s">
        <v>264</v>
      </c>
      <c r="B929" s="15" t="s">
        <v>265</v>
      </c>
      <c r="C929" s="15" t="s">
        <v>6020</v>
      </c>
      <c r="D929" s="15" t="s">
        <v>266</v>
      </c>
      <c r="E929" s="17" t="s">
        <v>267</v>
      </c>
      <c r="F929" s="18"/>
      <c r="G929" s="18"/>
      <c r="H929" s="15" t="s">
        <v>268</v>
      </c>
      <c r="I929" s="18"/>
      <c r="J929" s="19" t="s">
        <v>36</v>
      </c>
      <c r="K929" s="19" t="s">
        <v>200</v>
      </c>
      <c r="L929" s="19" t="s">
        <v>269</v>
      </c>
      <c r="M929" s="20">
        <f t="shared" si="2"/>
        <v>15309.12</v>
      </c>
      <c r="N929" s="31">
        <v>3.0</v>
      </c>
      <c r="O929" s="19" t="s">
        <v>107</v>
      </c>
      <c r="P929" s="18"/>
      <c r="Q929" s="18"/>
      <c r="R929" s="23">
        <v>100.0</v>
      </c>
      <c r="S929" s="23">
        <v>862.0</v>
      </c>
      <c r="T929" s="23">
        <f t="shared" si="3"/>
        <v>827.52</v>
      </c>
      <c r="U929" s="23">
        <f t="shared" si="4"/>
        <v>122.5</v>
      </c>
      <c r="V929" s="23">
        <f t="shared" si="5"/>
        <v>2296.875</v>
      </c>
      <c r="W929" s="24">
        <f t="shared" si="6"/>
        <v>8.2752</v>
      </c>
    </row>
    <row r="930">
      <c r="A930" s="15" t="s">
        <v>503</v>
      </c>
      <c r="B930" s="15" t="s">
        <v>504</v>
      </c>
      <c r="C930" s="15" t="s">
        <v>6021</v>
      </c>
      <c r="D930" s="15" t="s">
        <v>505</v>
      </c>
      <c r="E930" s="17" t="s">
        <v>506</v>
      </c>
      <c r="F930" s="18"/>
      <c r="G930" s="15" t="s">
        <v>507</v>
      </c>
      <c r="H930" s="15" t="s">
        <v>508</v>
      </c>
      <c r="I930" s="18"/>
      <c r="J930" s="19" t="s">
        <v>36</v>
      </c>
      <c r="K930" s="19" t="s">
        <v>427</v>
      </c>
      <c r="L930" s="19" t="s">
        <v>269</v>
      </c>
      <c r="M930" s="20">
        <f t="shared" si="2"/>
        <v>8631.36</v>
      </c>
      <c r="N930" s="31">
        <v>4.0</v>
      </c>
      <c r="O930" s="19" t="s">
        <v>107</v>
      </c>
      <c r="P930" s="18"/>
      <c r="Q930" s="18"/>
      <c r="R930" s="23">
        <v>75.0</v>
      </c>
      <c r="S930" s="23">
        <v>486.0</v>
      </c>
      <c r="T930" s="23">
        <f t="shared" si="3"/>
        <v>466.56</v>
      </c>
      <c r="U930" s="23">
        <f t="shared" si="4"/>
        <v>91.875</v>
      </c>
      <c r="V930" s="23">
        <f t="shared" si="5"/>
        <v>1722.65625</v>
      </c>
      <c r="W930" s="24">
        <f t="shared" si="6"/>
        <v>6.2208</v>
      </c>
    </row>
    <row r="931">
      <c r="A931" s="15" t="s">
        <v>446</v>
      </c>
      <c r="B931" s="15" t="s">
        <v>447</v>
      </c>
      <c r="C931" s="15" t="s">
        <v>7444</v>
      </c>
      <c r="D931" s="15" t="s">
        <v>448</v>
      </c>
      <c r="E931" s="17" t="s">
        <v>449</v>
      </c>
      <c r="F931" s="18"/>
      <c r="G931" s="18"/>
      <c r="H931" s="15" t="s">
        <v>450</v>
      </c>
      <c r="I931" s="18"/>
      <c r="J931" s="19" t="s">
        <v>36</v>
      </c>
      <c r="K931" s="19" t="s">
        <v>427</v>
      </c>
      <c r="L931" s="19" t="s">
        <v>269</v>
      </c>
      <c r="M931" s="20">
        <f t="shared" si="2"/>
        <v>7920.96</v>
      </c>
      <c r="N931" s="31">
        <v>2.0</v>
      </c>
      <c r="O931" s="19" t="s">
        <v>107</v>
      </c>
      <c r="P931" s="18"/>
      <c r="Q931" s="18"/>
      <c r="R931" s="23">
        <v>65.0</v>
      </c>
      <c r="S931" s="23">
        <v>446.0</v>
      </c>
      <c r="T931" s="23">
        <f t="shared" si="3"/>
        <v>428.16</v>
      </c>
      <c r="U931" s="23">
        <f t="shared" si="4"/>
        <v>79.625</v>
      </c>
      <c r="V931" s="23">
        <f t="shared" si="5"/>
        <v>1492.96875</v>
      </c>
      <c r="W931" s="24">
        <f t="shared" si="6"/>
        <v>6.587076923</v>
      </c>
    </row>
    <row r="932">
      <c r="A932" s="15" t="s">
        <v>5041</v>
      </c>
      <c r="B932" s="15" t="s">
        <v>5042</v>
      </c>
      <c r="C932" s="15" t="s">
        <v>7445</v>
      </c>
      <c r="D932" s="15" t="s">
        <v>5043</v>
      </c>
      <c r="E932" s="17" t="s">
        <v>5044</v>
      </c>
      <c r="F932" s="18"/>
      <c r="G932" s="18"/>
      <c r="H932" s="15" t="s">
        <v>7446</v>
      </c>
      <c r="I932" s="18"/>
      <c r="J932" s="19" t="s">
        <v>36</v>
      </c>
      <c r="K932" s="33"/>
      <c r="L932" s="19" t="s">
        <v>38</v>
      </c>
      <c r="M932" s="20">
        <f t="shared" si="2"/>
        <v>0</v>
      </c>
      <c r="N932" s="22"/>
      <c r="O932" s="19" t="s">
        <v>3578</v>
      </c>
      <c r="P932" s="18"/>
      <c r="Q932" s="18"/>
      <c r="R932" s="23">
        <v>0.0</v>
      </c>
      <c r="S932" s="23">
        <v>0.0</v>
      </c>
      <c r="T932" s="23">
        <f t="shared" si="3"/>
        <v>0</v>
      </c>
      <c r="U932" s="23">
        <f t="shared" si="4"/>
        <v>0</v>
      </c>
      <c r="V932" s="23">
        <f t="shared" si="5"/>
        <v>0</v>
      </c>
      <c r="W932" s="24" t="str">
        <f t="shared" si="6"/>
        <v>#DIV/0!</v>
      </c>
    </row>
    <row r="933">
      <c r="A933" s="15" t="s">
        <v>2591</v>
      </c>
      <c r="B933" s="18"/>
      <c r="C933" s="15" t="s">
        <v>7447</v>
      </c>
      <c r="D933" s="18"/>
      <c r="E933" s="17" t="s">
        <v>2592</v>
      </c>
      <c r="F933" s="18"/>
      <c r="G933" s="18"/>
      <c r="H933" s="15" t="s">
        <v>2593</v>
      </c>
      <c r="I933" s="15" t="s">
        <v>2594</v>
      </c>
      <c r="J933" s="19" t="s">
        <v>36</v>
      </c>
      <c r="K933" s="19" t="s">
        <v>2506</v>
      </c>
      <c r="L933" s="19" t="s">
        <v>38</v>
      </c>
      <c r="M933" s="20">
        <f t="shared" si="2"/>
        <v>0</v>
      </c>
      <c r="N933" s="22"/>
      <c r="O933" s="19" t="s">
        <v>1145</v>
      </c>
      <c r="P933" s="18"/>
      <c r="Q933" s="18"/>
      <c r="R933" s="23">
        <v>0.0</v>
      </c>
      <c r="S933" s="23">
        <v>0.0</v>
      </c>
      <c r="T933" s="23">
        <f t="shared" si="3"/>
        <v>0</v>
      </c>
      <c r="U933" s="23">
        <f t="shared" si="4"/>
        <v>0</v>
      </c>
      <c r="V933" s="23">
        <f t="shared" si="5"/>
        <v>0</v>
      </c>
      <c r="W933" s="24" t="str">
        <f t="shared" si="6"/>
        <v>#DIV/0!</v>
      </c>
    </row>
    <row r="934">
      <c r="A934" s="15" t="s">
        <v>2595</v>
      </c>
      <c r="B934" s="18"/>
      <c r="C934" s="15" t="s">
        <v>7448</v>
      </c>
      <c r="D934" s="18"/>
      <c r="E934" s="17" t="s">
        <v>2596</v>
      </c>
      <c r="F934" s="18"/>
      <c r="G934" s="18"/>
      <c r="H934" s="15" t="s">
        <v>2597</v>
      </c>
      <c r="I934" s="15" t="s">
        <v>2598</v>
      </c>
      <c r="J934" s="19" t="s">
        <v>36</v>
      </c>
      <c r="K934" s="19" t="s">
        <v>2382</v>
      </c>
      <c r="L934" s="19" t="s">
        <v>38</v>
      </c>
      <c r="M934" s="20">
        <f t="shared" si="2"/>
        <v>0</v>
      </c>
      <c r="N934" s="22"/>
      <c r="O934" s="19" t="s">
        <v>1145</v>
      </c>
      <c r="P934" s="18"/>
      <c r="Q934" s="18"/>
      <c r="R934" s="23">
        <v>0.0</v>
      </c>
      <c r="S934" s="23">
        <v>0.0</v>
      </c>
      <c r="T934" s="23">
        <f t="shared" si="3"/>
        <v>0</v>
      </c>
      <c r="U934" s="23">
        <f t="shared" si="4"/>
        <v>0</v>
      </c>
      <c r="V934" s="23">
        <f t="shared" si="5"/>
        <v>0</v>
      </c>
      <c r="W934" s="24" t="str">
        <f t="shared" si="6"/>
        <v>#DIV/0!</v>
      </c>
    </row>
    <row r="935">
      <c r="A935" s="15" t="s">
        <v>2599</v>
      </c>
      <c r="B935" s="18"/>
      <c r="C935" s="15" t="s">
        <v>7449</v>
      </c>
      <c r="D935" s="18"/>
      <c r="E935" s="17" t="s">
        <v>2600</v>
      </c>
      <c r="F935" s="18"/>
      <c r="G935" s="18"/>
      <c r="H935" s="15" t="s">
        <v>2601</v>
      </c>
      <c r="I935" s="15" t="s">
        <v>2602</v>
      </c>
      <c r="J935" s="19" t="s">
        <v>36</v>
      </c>
      <c r="K935" s="19" t="s">
        <v>2382</v>
      </c>
      <c r="L935" s="19" t="s">
        <v>38</v>
      </c>
      <c r="M935" s="20">
        <f t="shared" si="2"/>
        <v>0</v>
      </c>
      <c r="N935" s="22"/>
      <c r="O935" s="19" t="s">
        <v>1145</v>
      </c>
      <c r="P935" s="18"/>
      <c r="Q935" s="18"/>
      <c r="R935" s="23">
        <v>0.0</v>
      </c>
      <c r="S935" s="23">
        <v>0.0</v>
      </c>
      <c r="T935" s="23">
        <f t="shared" si="3"/>
        <v>0</v>
      </c>
      <c r="U935" s="23">
        <f t="shared" si="4"/>
        <v>0</v>
      </c>
      <c r="V935" s="23">
        <f t="shared" si="5"/>
        <v>0</v>
      </c>
      <c r="W935" s="24" t="str">
        <f t="shared" si="6"/>
        <v>#DIV/0!</v>
      </c>
    </row>
    <row r="936">
      <c r="A936" s="15" t="s">
        <v>2603</v>
      </c>
      <c r="B936" s="18"/>
      <c r="C936" s="15" t="s">
        <v>7450</v>
      </c>
      <c r="D936" s="18"/>
      <c r="E936" s="17" t="s">
        <v>2604</v>
      </c>
      <c r="F936" s="18"/>
      <c r="G936" s="18"/>
      <c r="H936" s="15" t="s">
        <v>2605</v>
      </c>
      <c r="I936" s="15" t="s">
        <v>2606</v>
      </c>
      <c r="J936" s="19" t="s">
        <v>36</v>
      </c>
      <c r="K936" s="19" t="s">
        <v>691</v>
      </c>
      <c r="L936" s="19" t="s">
        <v>38</v>
      </c>
      <c r="M936" s="20">
        <f t="shared" si="2"/>
        <v>0</v>
      </c>
      <c r="N936" s="22"/>
      <c r="O936" s="19" t="s">
        <v>1145</v>
      </c>
      <c r="P936" s="18"/>
      <c r="Q936" s="18"/>
      <c r="R936" s="23">
        <v>0.0</v>
      </c>
      <c r="S936" s="23">
        <v>0.0</v>
      </c>
      <c r="T936" s="23">
        <f t="shared" si="3"/>
        <v>0</v>
      </c>
      <c r="U936" s="23">
        <f t="shared" si="4"/>
        <v>0</v>
      </c>
      <c r="V936" s="23">
        <f t="shared" si="5"/>
        <v>0</v>
      </c>
      <c r="W936" s="24" t="str">
        <f t="shared" si="6"/>
        <v>#DIV/0!</v>
      </c>
    </row>
    <row r="937">
      <c r="A937" s="15" t="s">
        <v>2607</v>
      </c>
      <c r="B937" s="18"/>
      <c r="C937" s="15" t="s">
        <v>7451</v>
      </c>
      <c r="D937" s="18"/>
      <c r="E937" s="17" t="s">
        <v>2604</v>
      </c>
      <c r="F937" s="18"/>
      <c r="G937" s="18"/>
      <c r="H937" s="15" t="s">
        <v>2608</v>
      </c>
      <c r="I937" s="15" t="s">
        <v>2609</v>
      </c>
      <c r="J937" s="19" t="s">
        <v>36</v>
      </c>
      <c r="K937" s="19" t="s">
        <v>691</v>
      </c>
      <c r="L937" s="19" t="s">
        <v>38</v>
      </c>
      <c r="M937" s="20">
        <f t="shared" si="2"/>
        <v>0</v>
      </c>
      <c r="N937" s="22"/>
      <c r="O937" s="19" t="s">
        <v>1145</v>
      </c>
      <c r="P937" s="18"/>
      <c r="Q937" s="18"/>
      <c r="R937" s="23">
        <v>0.0</v>
      </c>
      <c r="S937" s="23">
        <v>0.0</v>
      </c>
      <c r="T937" s="23">
        <f t="shared" si="3"/>
        <v>0</v>
      </c>
      <c r="U937" s="23">
        <f t="shared" si="4"/>
        <v>0</v>
      </c>
      <c r="V937" s="23">
        <f t="shared" si="5"/>
        <v>0</v>
      </c>
      <c r="W937" s="24" t="str">
        <f t="shared" si="6"/>
        <v>#DIV/0!</v>
      </c>
    </row>
    <row r="938">
      <c r="A938" s="15" t="s">
        <v>2610</v>
      </c>
      <c r="B938" s="18"/>
      <c r="C938" s="15" t="s">
        <v>7452</v>
      </c>
      <c r="D938" s="18"/>
      <c r="E938" s="17" t="s">
        <v>2611</v>
      </c>
      <c r="F938" s="18"/>
      <c r="G938" s="18"/>
      <c r="H938" s="15" t="s">
        <v>2612</v>
      </c>
      <c r="I938" s="15" t="s">
        <v>2613</v>
      </c>
      <c r="J938" s="19" t="s">
        <v>36</v>
      </c>
      <c r="K938" s="19" t="s">
        <v>691</v>
      </c>
      <c r="L938" s="19" t="s">
        <v>38</v>
      </c>
      <c r="M938" s="20">
        <f t="shared" si="2"/>
        <v>0</v>
      </c>
      <c r="N938" s="22"/>
      <c r="O938" s="19" t="s">
        <v>1145</v>
      </c>
      <c r="P938" s="18"/>
      <c r="Q938" s="18"/>
      <c r="R938" s="23">
        <v>0.0</v>
      </c>
      <c r="S938" s="23">
        <v>0.0</v>
      </c>
      <c r="T938" s="23">
        <f t="shared" si="3"/>
        <v>0</v>
      </c>
      <c r="U938" s="23">
        <f t="shared" si="4"/>
        <v>0</v>
      </c>
      <c r="V938" s="23">
        <f t="shared" si="5"/>
        <v>0</v>
      </c>
      <c r="W938" s="24" t="str">
        <f t="shared" si="6"/>
        <v>#DIV/0!</v>
      </c>
    </row>
    <row r="939">
      <c r="A939" s="15" t="s">
        <v>484</v>
      </c>
      <c r="B939" s="15" t="s">
        <v>485</v>
      </c>
      <c r="C939" s="15" t="s">
        <v>7453</v>
      </c>
      <c r="D939" s="15" t="s">
        <v>486</v>
      </c>
      <c r="E939" s="17" t="s">
        <v>487</v>
      </c>
      <c r="F939" s="18"/>
      <c r="G939" s="15" t="s">
        <v>488</v>
      </c>
      <c r="H939" s="15" t="s">
        <v>489</v>
      </c>
      <c r="I939" s="18"/>
      <c r="J939" s="19" t="s">
        <v>36</v>
      </c>
      <c r="K939" s="19" t="s">
        <v>60</v>
      </c>
      <c r="L939" s="19" t="s">
        <v>52</v>
      </c>
      <c r="M939" s="20">
        <f t="shared" si="2"/>
        <v>6695.52</v>
      </c>
      <c r="N939" s="31">
        <v>1.0</v>
      </c>
      <c r="O939" s="19" t="s">
        <v>107</v>
      </c>
      <c r="P939" s="18"/>
      <c r="Q939" s="18"/>
      <c r="R939" s="23">
        <v>57.0</v>
      </c>
      <c r="S939" s="23">
        <v>377.0</v>
      </c>
      <c r="T939" s="23">
        <f t="shared" si="3"/>
        <v>361.92</v>
      </c>
      <c r="U939" s="23">
        <f t="shared" si="4"/>
        <v>69.825</v>
      </c>
      <c r="V939" s="23">
        <f t="shared" si="5"/>
        <v>1309.21875</v>
      </c>
      <c r="W939" s="24">
        <f t="shared" si="6"/>
        <v>6.349473684</v>
      </c>
    </row>
    <row r="940">
      <c r="A940" s="15" t="s">
        <v>357</v>
      </c>
      <c r="B940" s="15" t="s">
        <v>358</v>
      </c>
      <c r="C940" s="15" t="s">
        <v>7454</v>
      </c>
      <c r="D940" s="15" t="s">
        <v>359</v>
      </c>
      <c r="E940" s="17" t="s">
        <v>360</v>
      </c>
      <c r="F940" s="18"/>
      <c r="G940" s="15" t="s">
        <v>361</v>
      </c>
      <c r="H940" s="15" t="s">
        <v>362</v>
      </c>
      <c r="I940" s="18"/>
      <c r="J940" s="19" t="s">
        <v>36</v>
      </c>
      <c r="K940" s="19" t="s">
        <v>60</v>
      </c>
      <c r="L940" s="19" t="s">
        <v>52</v>
      </c>
      <c r="M940" s="20">
        <f t="shared" si="2"/>
        <v>7743.36</v>
      </c>
      <c r="N940" s="31">
        <v>1.0</v>
      </c>
      <c r="O940" s="19" t="s">
        <v>107</v>
      </c>
      <c r="P940" s="18"/>
      <c r="Q940" s="18"/>
      <c r="R940" s="23">
        <v>57.0</v>
      </c>
      <c r="S940" s="23">
        <v>436.0</v>
      </c>
      <c r="T940" s="23">
        <f t="shared" si="3"/>
        <v>418.56</v>
      </c>
      <c r="U940" s="23">
        <f t="shared" si="4"/>
        <v>69.825</v>
      </c>
      <c r="V940" s="23">
        <f t="shared" si="5"/>
        <v>1309.21875</v>
      </c>
      <c r="W940" s="24">
        <f t="shared" si="6"/>
        <v>7.343157895</v>
      </c>
    </row>
    <row r="941">
      <c r="A941" s="15" t="s">
        <v>286</v>
      </c>
      <c r="B941" s="15" t="s">
        <v>287</v>
      </c>
      <c r="C941" s="15" t="s">
        <v>6022</v>
      </c>
      <c r="D941" s="15" t="s">
        <v>288</v>
      </c>
      <c r="E941" s="17" t="s">
        <v>289</v>
      </c>
      <c r="F941" s="18"/>
      <c r="G941" s="15" t="s">
        <v>290</v>
      </c>
      <c r="H941" s="15" t="s">
        <v>291</v>
      </c>
      <c r="I941" s="18"/>
      <c r="J941" s="19" t="s">
        <v>36</v>
      </c>
      <c r="K941" s="19" t="s">
        <v>60</v>
      </c>
      <c r="L941" s="19" t="s">
        <v>292</v>
      </c>
      <c r="M941" s="20">
        <f t="shared" si="2"/>
        <v>1172.16</v>
      </c>
      <c r="N941" s="31">
        <v>3.0</v>
      </c>
      <c r="O941" s="19" t="s">
        <v>107</v>
      </c>
      <c r="P941" s="18"/>
      <c r="Q941" s="18"/>
      <c r="R941" s="23">
        <v>8.0</v>
      </c>
      <c r="S941" s="23">
        <v>66.0</v>
      </c>
      <c r="T941" s="23">
        <f t="shared" si="3"/>
        <v>63.36</v>
      </c>
      <c r="U941" s="23">
        <f t="shared" si="4"/>
        <v>9.8</v>
      </c>
      <c r="V941" s="23">
        <f t="shared" si="5"/>
        <v>183.75</v>
      </c>
      <c r="W941" s="24">
        <f t="shared" si="6"/>
        <v>7.92</v>
      </c>
    </row>
    <row r="942">
      <c r="A942" s="15" t="s">
        <v>2614</v>
      </c>
      <c r="B942" s="18"/>
      <c r="C942" s="15" t="s">
        <v>7455</v>
      </c>
      <c r="D942" s="18"/>
      <c r="E942" s="17" t="s">
        <v>2615</v>
      </c>
      <c r="F942" s="18"/>
      <c r="G942" s="18"/>
      <c r="H942" s="15" t="s">
        <v>2616</v>
      </c>
      <c r="I942" s="15" t="s">
        <v>2617</v>
      </c>
      <c r="J942" s="19" t="s">
        <v>36</v>
      </c>
      <c r="K942" s="19" t="s">
        <v>691</v>
      </c>
      <c r="L942" s="19" t="s">
        <v>38</v>
      </c>
      <c r="M942" s="20">
        <f t="shared" si="2"/>
        <v>0</v>
      </c>
      <c r="N942" s="22"/>
      <c r="O942" s="19" t="s">
        <v>1145</v>
      </c>
      <c r="P942" s="18"/>
      <c r="Q942" s="18"/>
      <c r="R942" s="23">
        <v>0.0</v>
      </c>
      <c r="S942" s="23">
        <v>0.0</v>
      </c>
      <c r="T942" s="23">
        <f t="shared" si="3"/>
        <v>0</v>
      </c>
      <c r="U942" s="23">
        <f t="shared" si="4"/>
        <v>0</v>
      </c>
      <c r="V942" s="23">
        <f t="shared" si="5"/>
        <v>0</v>
      </c>
      <c r="W942" s="24" t="str">
        <f t="shared" si="6"/>
        <v>#DIV/0!</v>
      </c>
    </row>
    <row r="943">
      <c r="A943" s="15" t="s">
        <v>2618</v>
      </c>
      <c r="B943" s="18"/>
      <c r="C943" s="15" t="s">
        <v>7456</v>
      </c>
      <c r="D943" s="18"/>
      <c r="E943" s="17" t="s">
        <v>1985</v>
      </c>
      <c r="F943" s="18"/>
      <c r="G943" s="18"/>
      <c r="H943" s="15" t="s">
        <v>2619</v>
      </c>
      <c r="I943" s="15" t="s">
        <v>2620</v>
      </c>
      <c r="J943" s="19" t="s">
        <v>36</v>
      </c>
      <c r="K943" s="19" t="s">
        <v>2387</v>
      </c>
      <c r="L943" s="19" t="s">
        <v>38</v>
      </c>
      <c r="M943" s="20">
        <f t="shared" si="2"/>
        <v>0</v>
      </c>
      <c r="N943" s="22"/>
      <c r="O943" s="19" t="s">
        <v>1145</v>
      </c>
      <c r="P943" s="18"/>
      <c r="Q943" s="18"/>
      <c r="R943" s="23">
        <v>0.0</v>
      </c>
      <c r="S943" s="23">
        <v>0.0</v>
      </c>
      <c r="T943" s="23">
        <f t="shared" si="3"/>
        <v>0</v>
      </c>
      <c r="U943" s="23">
        <f t="shared" si="4"/>
        <v>0</v>
      </c>
      <c r="V943" s="23">
        <f t="shared" si="5"/>
        <v>0</v>
      </c>
      <c r="W943" s="24" t="str">
        <f t="shared" si="6"/>
        <v>#DIV/0!</v>
      </c>
    </row>
    <row r="944">
      <c r="A944" s="15" t="s">
        <v>5046</v>
      </c>
      <c r="B944" s="18"/>
      <c r="C944" s="15" t="s">
        <v>7457</v>
      </c>
      <c r="D944" s="18"/>
      <c r="E944" s="17" t="s">
        <v>7458</v>
      </c>
      <c r="F944" s="18"/>
      <c r="G944" s="18"/>
      <c r="H944" s="15" t="s">
        <v>5050</v>
      </c>
      <c r="I944" s="15" t="s">
        <v>5049</v>
      </c>
      <c r="J944" s="19" t="s">
        <v>36</v>
      </c>
      <c r="K944" s="19" t="s">
        <v>2396</v>
      </c>
      <c r="L944" s="19" t="s">
        <v>38</v>
      </c>
      <c r="M944" s="20">
        <f t="shared" si="2"/>
        <v>0</v>
      </c>
      <c r="N944" s="22"/>
      <c r="O944" s="19" t="s">
        <v>1145</v>
      </c>
      <c r="P944" s="18"/>
      <c r="Q944" s="18"/>
      <c r="R944" s="23">
        <v>0.0</v>
      </c>
      <c r="S944" s="23">
        <v>0.0</v>
      </c>
      <c r="T944" s="23">
        <f t="shared" si="3"/>
        <v>0</v>
      </c>
      <c r="U944" s="23">
        <f t="shared" si="4"/>
        <v>0</v>
      </c>
      <c r="V944" s="23">
        <f t="shared" si="5"/>
        <v>0</v>
      </c>
      <c r="W944" s="24" t="str">
        <f t="shared" si="6"/>
        <v>#DIV/0!</v>
      </c>
    </row>
    <row r="945">
      <c r="A945" s="15" t="s">
        <v>2621</v>
      </c>
      <c r="B945" s="18"/>
      <c r="C945" s="15" t="s">
        <v>7459</v>
      </c>
      <c r="D945" s="18"/>
      <c r="E945" s="17" t="s">
        <v>2622</v>
      </c>
      <c r="F945" s="18"/>
      <c r="G945" s="18"/>
      <c r="H945" s="15" t="s">
        <v>2623</v>
      </c>
      <c r="I945" s="15" t="s">
        <v>2624</v>
      </c>
      <c r="J945" s="19" t="s">
        <v>36</v>
      </c>
      <c r="K945" s="19" t="s">
        <v>2401</v>
      </c>
      <c r="L945" s="19" t="s">
        <v>38</v>
      </c>
      <c r="M945" s="20">
        <f t="shared" si="2"/>
        <v>0</v>
      </c>
      <c r="N945" s="22"/>
      <c r="O945" s="19" t="s">
        <v>1145</v>
      </c>
      <c r="P945" s="18"/>
      <c r="Q945" s="18"/>
      <c r="R945" s="23">
        <v>0.0</v>
      </c>
      <c r="S945" s="23">
        <v>0.0</v>
      </c>
      <c r="T945" s="23">
        <f t="shared" si="3"/>
        <v>0</v>
      </c>
      <c r="U945" s="23">
        <f t="shared" si="4"/>
        <v>0</v>
      </c>
      <c r="V945" s="23">
        <f t="shared" si="5"/>
        <v>0</v>
      </c>
      <c r="W945" s="24" t="str">
        <f t="shared" si="6"/>
        <v>#DIV/0!</v>
      </c>
    </row>
    <row r="946">
      <c r="A946" s="15" t="s">
        <v>2625</v>
      </c>
      <c r="B946" s="18"/>
      <c r="C946" s="15" t="s">
        <v>7460</v>
      </c>
      <c r="D946" s="18"/>
      <c r="E946" s="17" t="s">
        <v>2626</v>
      </c>
      <c r="F946" s="18"/>
      <c r="G946" s="18"/>
      <c r="H946" s="15" t="s">
        <v>2627</v>
      </c>
      <c r="I946" s="15" t="s">
        <v>2628</v>
      </c>
      <c r="J946" s="19" t="s">
        <v>36</v>
      </c>
      <c r="K946" s="19" t="s">
        <v>2387</v>
      </c>
      <c r="L946" s="19" t="s">
        <v>38</v>
      </c>
      <c r="M946" s="20">
        <f t="shared" si="2"/>
        <v>0</v>
      </c>
      <c r="N946" s="22"/>
      <c r="O946" s="19" t="s">
        <v>1145</v>
      </c>
      <c r="P946" s="18"/>
      <c r="Q946" s="18"/>
      <c r="R946" s="23">
        <v>0.0</v>
      </c>
      <c r="S946" s="23">
        <v>0.0</v>
      </c>
      <c r="T946" s="23">
        <f t="shared" si="3"/>
        <v>0</v>
      </c>
      <c r="U946" s="23">
        <f t="shared" si="4"/>
        <v>0</v>
      </c>
      <c r="V946" s="23">
        <f t="shared" si="5"/>
        <v>0</v>
      </c>
      <c r="W946" s="24" t="str">
        <f t="shared" si="6"/>
        <v>#DIV/0!</v>
      </c>
    </row>
    <row r="947">
      <c r="A947" s="15" t="s">
        <v>2629</v>
      </c>
      <c r="B947" s="18"/>
      <c r="C947" s="15" t="s">
        <v>7461</v>
      </c>
      <c r="D947" s="18"/>
      <c r="E947" s="17" t="s">
        <v>2626</v>
      </c>
      <c r="F947" s="18"/>
      <c r="G947" s="18"/>
      <c r="H947" s="15" t="s">
        <v>2630</v>
      </c>
      <c r="I947" s="15" t="s">
        <v>2631</v>
      </c>
      <c r="J947" s="19" t="s">
        <v>36</v>
      </c>
      <c r="K947" s="19" t="s">
        <v>2387</v>
      </c>
      <c r="L947" s="19" t="s">
        <v>38</v>
      </c>
      <c r="M947" s="20">
        <f t="shared" si="2"/>
        <v>0</v>
      </c>
      <c r="N947" s="22"/>
      <c r="O947" s="19" t="s">
        <v>1145</v>
      </c>
      <c r="P947" s="18"/>
      <c r="Q947" s="18"/>
      <c r="R947" s="23">
        <v>0.0</v>
      </c>
      <c r="S947" s="23">
        <v>0.0</v>
      </c>
      <c r="T947" s="23">
        <f t="shared" si="3"/>
        <v>0</v>
      </c>
      <c r="U947" s="23">
        <f t="shared" si="4"/>
        <v>0</v>
      </c>
      <c r="V947" s="23">
        <f t="shared" si="5"/>
        <v>0</v>
      </c>
      <c r="W947" s="24" t="str">
        <f t="shared" si="6"/>
        <v>#DIV/0!</v>
      </c>
    </row>
    <row r="948">
      <c r="A948" s="15" t="s">
        <v>5051</v>
      </c>
      <c r="B948" s="15" t="s">
        <v>5052</v>
      </c>
      <c r="C948" s="15" t="s">
        <v>7462</v>
      </c>
      <c r="D948" s="15" t="s">
        <v>5053</v>
      </c>
      <c r="E948" s="17" t="s">
        <v>5054</v>
      </c>
      <c r="F948" s="18"/>
      <c r="G948" s="18"/>
      <c r="H948" s="15" t="s">
        <v>5055</v>
      </c>
      <c r="I948" s="18"/>
      <c r="J948" s="19" t="s">
        <v>36</v>
      </c>
      <c r="K948" s="19" t="s">
        <v>52</v>
      </c>
      <c r="L948" s="19" t="s">
        <v>52</v>
      </c>
      <c r="M948" s="20">
        <f t="shared" si="2"/>
        <v>0</v>
      </c>
      <c r="N948" s="22"/>
      <c r="O948" s="19" t="s">
        <v>3578</v>
      </c>
      <c r="P948" s="18"/>
      <c r="Q948" s="18"/>
      <c r="R948" s="23">
        <v>0.0</v>
      </c>
      <c r="S948" s="23">
        <v>0.0</v>
      </c>
      <c r="T948" s="23">
        <f t="shared" si="3"/>
        <v>0</v>
      </c>
      <c r="U948" s="23">
        <f t="shared" si="4"/>
        <v>0</v>
      </c>
      <c r="V948" s="23">
        <f t="shared" si="5"/>
        <v>0</v>
      </c>
      <c r="W948" s="24" t="str">
        <f t="shared" si="6"/>
        <v>#DIV/0!</v>
      </c>
    </row>
    <row r="949">
      <c r="A949" s="15" t="s">
        <v>2632</v>
      </c>
      <c r="B949" s="18"/>
      <c r="C949" s="15" t="s">
        <v>7463</v>
      </c>
      <c r="D949" s="18"/>
      <c r="E949" s="17" t="s">
        <v>2633</v>
      </c>
      <c r="F949" s="18"/>
      <c r="G949" s="18"/>
      <c r="H949" s="15" t="s">
        <v>2634</v>
      </c>
      <c r="I949" s="15" t="s">
        <v>2635</v>
      </c>
      <c r="J949" s="19" t="s">
        <v>36</v>
      </c>
      <c r="K949" s="19" t="s">
        <v>2506</v>
      </c>
      <c r="L949" s="19" t="s">
        <v>38</v>
      </c>
      <c r="M949" s="20">
        <f t="shared" si="2"/>
        <v>0</v>
      </c>
      <c r="N949" s="22"/>
      <c r="O949" s="19" t="s">
        <v>1145</v>
      </c>
      <c r="P949" s="18"/>
      <c r="Q949" s="18"/>
      <c r="R949" s="23">
        <v>0.0</v>
      </c>
      <c r="S949" s="23">
        <v>0.0</v>
      </c>
      <c r="T949" s="23">
        <f t="shared" si="3"/>
        <v>0</v>
      </c>
      <c r="U949" s="23">
        <f t="shared" si="4"/>
        <v>0</v>
      </c>
      <c r="V949" s="23">
        <f t="shared" si="5"/>
        <v>0</v>
      </c>
      <c r="W949" s="24" t="str">
        <f t="shared" si="6"/>
        <v>#DIV/0!</v>
      </c>
    </row>
    <row r="950">
      <c r="A950" s="15" t="s">
        <v>770</v>
      </c>
      <c r="B950" s="15" t="s">
        <v>771</v>
      </c>
      <c r="C950" s="15" t="s">
        <v>6023</v>
      </c>
      <c r="D950" s="15" t="s">
        <v>772</v>
      </c>
      <c r="E950" s="17" t="s">
        <v>773</v>
      </c>
      <c r="F950" s="18"/>
      <c r="G950" s="18"/>
      <c r="H950" s="15" t="s">
        <v>774</v>
      </c>
      <c r="I950" s="18"/>
      <c r="J950" s="19" t="s">
        <v>36</v>
      </c>
      <c r="K950" s="33"/>
      <c r="L950" s="19" t="s">
        <v>775</v>
      </c>
      <c r="M950" s="20">
        <f t="shared" si="2"/>
        <v>1420.8</v>
      </c>
      <c r="N950" s="31">
        <v>4.0</v>
      </c>
      <c r="O950" s="19" t="s">
        <v>107</v>
      </c>
      <c r="P950" s="18"/>
      <c r="Q950" s="18"/>
      <c r="R950" s="23">
        <v>17.5</v>
      </c>
      <c r="S950" s="23">
        <v>80.0</v>
      </c>
      <c r="T950" s="23">
        <f t="shared" si="3"/>
        <v>76.8</v>
      </c>
      <c r="U950" s="23">
        <f t="shared" si="4"/>
        <v>21.4375</v>
      </c>
      <c r="V950" s="23">
        <f t="shared" si="5"/>
        <v>401.953125</v>
      </c>
      <c r="W950" s="24">
        <f t="shared" si="6"/>
        <v>4.388571429</v>
      </c>
    </row>
    <row r="951">
      <c r="A951" s="15" t="s">
        <v>5056</v>
      </c>
      <c r="B951" s="15" t="s">
        <v>5057</v>
      </c>
      <c r="C951" s="15" t="s">
        <v>7464</v>
      </c>
      <c r="D951" s="15" t="s">
        <v>5058</v>
      </c>
      <c r="E951" s="17" t="s">
        <v>5059</v>
      </c>
      <c r="F951" s="18"/>
      <c r="G951" s="18"/>
      <c r="H951" s="15" t="s">
        <v>5060</v>
      </c>
      <c r="I951" s="18"/>
      <c r="J951" s="19" t="s">
        <v>36</v>
      </c>
      <c r="K951" s="33"/>
      <c r="L951" s="19" t="s">
        <v>38</v>
      </c>
      <c r="M951" s="20">
        <f t="shared" si="2"/>
        <v>0</v>
      </c>
      <c r="N951" s="22"/>
      <c r="O951" s="19" t="s">
        <v>3578</v>
      </c>
      <c r="P951" s="18"/>
      <c r="Q951" s="18"/>
      <c r="R951" s="23">
        <v>0.0</v>
      </c>
      <c r="S951" s="23">
        <v>0.0</v>
      </c>
      <c r="T951" s="23">
        <f t="shared" si="3"/>
        <v>0</v>
      </c>
      <c r="U951" s="23">
        <f t="shared" si="4"/>
        <v>0</v>
      </c>
      <c r="V951" s="23">
        <f t="shared" si="5"/>
        <v>0</v>
      </c>
      <c r="W951" s="24" t="str">
        <f t="shared" si="6"/>
        <v>#DIV/0!</v>
      </c>
    </row>
    <row r="952">
      <c r="A952" s="15" t="s">
        <v>1123</v>
      </c>
      <c r="B952" s="18" t="str">
        <f>CONCATENATE(7504589,A952)</f>
        <v>75045891949</v>
      </c>
      <c r="C952" s="15" t="s">
        <v>1124</v>
      </c>
      <c r="D952" s="15" t="s">
        <v>1125</v>
      </c>
      <c r="E952" s="17" t="s">
        <v>1126</v>
      </c>
      <c r="F952" s="18"/>
      <c r="G952" s="18"/>
      <c r="H952" s="15" t="s">
        <v>1127</v>
      </c>
      <c r="I952" s="15" t="s">
        <v>1128</v>
      </c>
      <c r="J952" s="19" t="s">
        <v>36</v>
      </c>
      <c r="K952" s="33"/>
      <c r="L952" s="19" t="s">
        <v>775</v>
      </c>
      <c r="M952" s="20">
        <f t="shared" si="2"/>
        <v>923.52</v>
      </c>
      <c r="N952" s="31">
        <v>4.0</v>
      </c>
      <c r="O952" s="19" t="s">
        <v>107</v>
      </c>
      <c r="P952" s="18"/>
      <c r="Q952" s="18"/>
      <c r="R952" s="23">
        <v>22.0</v>
      </c>
      <c r="S952" s="23">
        <v>52.0</v>
      </c>
      <c r="T952" s="23">
        <f t="shared" si="3"/>
        <v>49.92</v>
      </c>
      <c r="U952" s="23">
        <f t="shared" si="4"/>
        <v>26.95</v>
      </c>
      <c r="V952" s="23">
        <f t="shared" si="5"/>
        <v>505.3125</v>
      </c>
      <c r="W952" s="24">
        <f t="shared" si="6"/>
        <v>2.269090909</v>
      </c>
    </row>
    <row r="953">
      <c r="A953" s="15" t="s">
        <v>2636</v>
      </c>
      <c r="B953" s="18"/>
      <c r="C953" s="15" t="s">
        <v>7465</v>
      </c>
      <c r="D953" s="18"/>
      <c r="E953" s="17" t="s">
        <v>2637</v>
      </c>
      <c r="F953" s="18"/>
      <c r="G953" s="18"/>
      <c r="H953" s="15" t="s">
        <v>2638</v>
      </c>
      <c r="I953" s="15" t="s">
        <v>2639</v>
      </c>
      <c r="J953" s="19" t="s">
        <v>36</v>
      </c>
      <c r="K953" s="19" t="s">
        <v>2396</v>
      </c>
      <c r="L953" s="19" t="s">
        <v>38</v>
      </c>
      <c r="M953" s="20">
        <f t="shared" si="2"/>
        <v>0</v>
      </c>
      <c r="N953" s="22"/>
      <c r="O953" s="19" t="s">
        <v>1145</v>
      </c>
      <c r="P953" s="18"/>
      <c r="Q953" s="18"/>
      <c r="R953" s="23">
        <v>0.0</v>
      </c>
      <c r="S953" s="23">
        <v>0.0</v>
      </c>
      <c r="T953" s="23">
        <f t="shared" si="3"/>
        <v>0</v>
      </c>
      <c r="U953" s="23">
        <f t="shared" si="4"/>
        <v>0</v>
      </c>
      <c r="V953" s="23">
        <f t="shared" si="5"/>
        <v>0</v>
      </c>
      <c r="W953" s="24" t="str">
        <f t="shared" si="6"/>
        <v>#DIV/0!</v>
      </c>
    </row>
    <row r="954">
      <c r="A954" s="15" t="s">
        <v>2640</v>
      </c>
      <c r="B954" s="18"/>
      <c r="C954" s="15" t="s">
        <v>7466</v>
      </c>
      <c r="D954" s="18"/>
      <c r="E954" s="17" t="s">
        <v>2641</v>
      </c>
      <c r="F954" s="18"/>
      <c r="G954" s="18"/>
      <c r="H954" s="15" t="s">
        <v>2642</v>
      </c>
      <c r="I954" s="15" t="s">
        <v>2643</v>
      </c>
      <c r="J954" s="19" t="s">
        <v>36</v>
      </c>
      <c r="K954" s="19" t="s">
        <v>2382</v>
      </c>
      <c r="L954" s="19" t="s">
        <v>38</v>
      </c>
      <c r="M954" s="20">
        <f t="shared" si="2"/>
        <v>0</v>
      </c>
      <c r="N954" s="22"/>
      <c r="O954" s="19" t="s">
        <v>1145</v>
      </c>
      <c r="P954" s="18"/>
      <c r="Q954" s="18"/>
      <c r="R954" s="23">
        <v>0.0</v>
      </c>
      <c r="S954" s="23">
        <v>0.0</v>
      </c>
      <c r="T954" s="23">
        <f t="shared" si="3"/>
        <v>0</v>
      </c>
      <c r="U954" s="23">
        <f t="shared" si="4"/>
        <v>0</v>
      </c>
      <c r="V954" s="23">
        <f t="shared" si="5"/>
        <v>0</v>
      </c>
      <c r="W954" s="24" t="str">
        <f t="shared" si="6"/>
        <v>#DIV/0!</v>
      </c>
    </row>
    <row r="955">
      <c r="A955" s="15" t="s">
        <v>2644</v>
      </c>
      <c r="B955" s="18"/>
      <c r="C955" s="15" t="s">
        <v>7467</v>
      </c>
      <c r="D955" s="18"/>
      <c r="E955" s="17" t="s">
        <v>2645</v>
      </c>
      <c r="F955" s="18"/>
      <c r="G955" s="18"/>
      <c r="H955" s="15" t="s">
        <v>2646</v>
      </c>
      <c r="I955" s="15" t="s">
        <v>2647</v>
      </c>
      <c r="J955" s="19" t="s">
        <v>36</v>
      </c>
      <c r="K955" s="19" t="s">
        <v>2382</v>
      </c>
      <c r="L955" s="19" t="s">
        <v>38</v>
      </c>
      <c r="M955" s="20">
        <f t="shared" si="2"/>
        <v>0</v>
      </c>
      <c r="N955" s="22"/>
      <c r="O955" s="19" t="s">
        <v>1145</v>
      </c>
      <c r="P955" s="18"/>
      <c r="Q955" s="18"/>
      <c r="R955" s="23">
        <v>0.0</v>
      </c>
      <c r="S955" s="23">
        <v>0.0</v>
      </c>
      <c r="T955" s="23">
        <f t="shared" si="3"/>
        <v>0</v>
      </c>
      <c r="U955" s="23">
        <f t="shared" si="4"/>
        <v>0</v>
      </c>
      <c r="V955" s="23">
        <f t="shared" si="5"/>
        <v>0</v>
      </c>
      <c r="W955" s="24" t="str">
        <f t="shared" si="6"/>
        <v>#DIV/0!</v>
      </c>
    </row>
    <row r="956">
      <c r="A956" s="15" t="s">
        <v>2648</v>
      </c>
      <c r="B956" s="18"/>
      <c r="C956" s="15" t="s">
        <v>7468</v>
      </c>
      <c r="D956" s="18"/>
      <c r="E956" s="17" t="s">
        <v>2649</v>
      </c>
      <c r="F956" s="18"/>
      <c r="G956" s="18"/>
      <c r="H956" s="15" t="s">
        <v>2650</v>
      </c>
      <c r="I956" s="15" t="s">
        <v>2651</v>
      </c>
      <c r="J956" s="19" t="s">
        <v>36</v>
      </c>
      <c r="K956" s="19" t="s">
        <v>2396</v>
      </c>
      <c r="L956" s="19" t="s">
        <v>38</v>
      </c>
      <c r="M956" s="20">
        <f t="shared" si="2"/>
        <v>0</v>
      </c>
      <c r="N956" s="22"/>
      <c r="O956" s="19" t="s">
        <v>1145</v>
      </c>
      <c r="P956" s="18"/>
      <c r="Q956" s="18"/>
      <c r="R956" s="23">
        <v>0.0</v>
      </c>
      <c r="S956" s="23">
        <v>0.0</v>
      </c>
      <c r="T956" s="23">
        <f t="shared" si="3"/>
        <v>0</v>
      </c>
      <c r="U956" s="23">
        <f t="shared" si="4"/>
        <v>0</v>
      </c>
      <c r="V956" s="23">
        <f t="shared" si="5"/>
        <v>0</v>
      </c>
      <c r="W956" s="24" t="str">
        <f t="shared" si="6"/>
        <v>#DIV/0!</v>
      </c>
    </row>
    <row r="957">
      <c r="A957" s="15" t="s">
        <v>2652</v>
      </c>
      <c r="B957" s="18"/>
      <c r="C957" s="15" t="s">
        <v>7469</v>
      </c>
      <c r="D957" s="18"/>
      <c r="E957" s="17" t="s">
        <v>2653</v>
      </c>
      <c r="F957" s="18"/>
      <c r="G957" s="18"/>
      <c r="H957" s="15" t="s">
        <v>2654</v>
      </c>
      <c r="I957" s="15" t="s">
        <v>2655</v>
      </c>
      <c r="J957" s="19" t="s">
        <v>36</v>
      </c>
      <c r="K957" s="19" t="s">
        <v>2396</v>
      </c>
      <c r="L957" s="19" t="s">
        <v>38</v>
      </c>
      <c r="M957" s="20">
        <f t="shared" si="2"/>
        <v>0</v>
      </c>
      <c r="N957" s="22"/>
      <c r="O957" s="19" t="s">
        <v>1145</v>
      </c>
      <c r="P957" s="18"/>
      <c r="Q957" s="18"/>
      <c r="R957" s="23">
        <v>0.0</v>
      </c>
      <c r="S957" s="23">
        <v>0.0</v>
      </c>
      <c r="T957" s="23">
        <f t="shared" si="3"/>
        <v>0</v>
      </c>
      <c r="U957" s="23">
        <f t="shared" si="4"/>
        <v>0</v>
      </c>
      <c r="V957" s="23">
        <f t="shared" si="5"/>
        <v>0</v>
      </c>
      <c r="W957" s="24" t="str">
        <f t="shared" si="6"/>
        <v>#DIV/0!</v>
      </c>
    </row>
    <row r="958">
      <c r="A958" s="15" t="s">
        <v>2656</v>
      </c>
      <c r="B958" s="18"/>
      <c r="C958" s="15" t="s">
        <v>7470</v>
      </c>
      <c r="D958" s="18"/>
      <c r="E958" s="17" t="s">
        <v>2657</v>
      </c>
      <c r="F958" s="18"/>
      <c r="G958" s="18"/>
      <c r="H958" s="15" t="s">
        <v>2658</v>
      </c>
      <c r="I958" s="15" t="s">
        <v>2659</v>
      </c>
      <c r="J958" s="19" t="s">
        <v>36</v>
      </c>
      <c r="K958" s="19" t="s">
        <v>2396</v>
      </c>
      <c r="L958" s="19" t="s">
        <v>38</v>
      </c>
      <c r="M958" s="20">
        <f t="shared" si="2"/>
        <v>0</v>
      </c>
      <c r="N958" s="22"/>
      <c r="O958" s="19" t="s">
        <v>1145</v>
      </c>
      <c r="P958" s="18"/>
      <c r="Q958" s="18"/>
      <c r="R958" s="23">
        <v>0.0</v>
      </c>
      <c r="S958" s="23">
        <v>0.0</v>
      </c>
      <c r="T958" s="23">
        <f t="shared" si="3"/>
        <v>0</v>
      </c>
      <c r="U958" s="23">
        <f t="shared" si="4"/>
        <v>0</v>
      </c>
      <c r="V958" s="23">
        <f t="shared" si="5"/>
        <v>0</v>
      </c>
      <c r="W958" s="24" t="str">
        <f t="shared" si="6"/>
        <v>#DIV/0!</v>
      </c>
    </row>
    <row r="959">
      <c r="A959" s="15" t="s">
        <v>2660</v>
      </c>
      <c r="B959" s="18"/>
      <c r="C959" s="15" t="s">
        <v>7471</v>
      </c>
      <c r="D959" s="18"/>
      <c r="E959" s="17" t="s">
        <v>2661</v>
      </c>
      <c r="F959" s="18"/>
      <c r="G959" s="18"/>
      <c r="H959" s="15" t="s">
        <v>2662</v>
      </c>
      <c r="I959" s="15" t="s">
        <v>2663</v>
      </c>
      <c r="J959" s="19" t="s">
        <v>36</v>
      </c>
      <c r="K959" s="19" t="s">
        <v>691</v>
      </c>
      <c r="L959" s="19" t="s">
        <v>38</v>
      </c>
      <c r="M959" s="20">
        <f t="shared" si="2"/>
        <v>0</v>
      </c>
      <c r="N959" s="22"/>
      <c r="O959" s="19" t="s">
        <v>1145</v>
      </c>
      <c r="P959" s="18"/>
      <c r="Q959" s="18"/>
      <c r="R959" s="23">
        <v>0.0</v>
      </c>
      <c r="S959" s="23">
        <v>0.0</v>
      </c>
      <c r="T959" s="23">
        <f t="shared" si="3"/>
        <v>0</v>
      </c>
      <c r="U959" s="23">
        <f t="shared" si="4"/>
        <v>0</v>
      </c>
      <c r="V959" s="23">
        <f t="shared" si="5"/>
        <v>0</v>
      </c>
      <c r="W959" s="24" t="str">
        <f t="shared" si="6"/>
        <v>#DIV/0!</v>
      </c>
    </row>
    <row r="960">
      <c r="A960" s="15" t="s">
        <v>2664</v>
      </c>
      <c r="B960" s="18"/>
      <c r="C960" s="15" t="s">
        <v>7472</v>
      </c>
      <c r="D960" s="18"/>
      <c r="E960" s="17" t="s">
        <v>2665</v>
      </c>
      <c r="F960" s="18"/>
      <c r="G960" s="18"/>
      <c r="H960" s="15" t="s">
        <v>2666</v>
      </c>
      <c r="I960" s="15" t="s">
        <v>2667</v>
      </c>
      <c r="J960" s="19" t="s">
        <v>36</v>
      </c>
      <c r="K960" s="19" t="s">
        <v>2396</v>
      </c>
      <c r="L960" s="19" t="s">
        <v>38</v>
      </c>
      <c r="M960" s="20">
        <f t="shared" si="2"/>
        <v>0</v>
      </c>
      <c r="N960" s="22"/>
      <c r="O960" s="19" t="s">
        <v>1145</v>
      </c>
      <c r="P960" s="18"/>
      <c r="Q960" s="18"/>
      <c r="R960" s="23">
        <v>0.0</v>
      </c>
      <c r="S960" s="23">
        <v>0.0</v>
      </c>
      <c r="T960" s="23">
        <f t="shared" si="3"/>
        <v>0</v>
      </c>
      <c r="U960" s="23">
        <f t="shared" si="4"/>
        <v>0</v>
      </c>
      <c r="V960" s="23">
        <f t="shared" si="5"/>
        <v>0</v>
      </c>
      <c r="W960" s="24" t="str">
        <f t="shared" si="6"/>
        <v>#DIV/0!</v>
      </c>
    </row>
    <row r="961">
      <c r="A961" s="15" t="s">
        <v>2668</v>
      </c>
      <c r="B961" s="18"/>
      <c r="C961" s="15" t="s">
        <v>7473</v>
      </c>
      <c r="D961" s="18"/>
      <c r="E961" s="17" t="s">
        <v>2669</v>
      </c>
      <c r="F961" s="18"/>
      <c r="G961" s="18"/>
      <c r="H961" s="15" t="s">
        <v>2670</v>
      </c>
      <c r="I961" s="15" t="s">
        <v>2671</v>
      </c>
      <c r="J961" s="19" t="s">
        <v>36</v>
      </c>
      <c r="K961" s="19" t="s">
        <v>691</v>
      </c>
      <c r="L961" s="19" t="s">
        <v>38</v>
      </c>
      <c r="M961" s="20">
        <f t="shared" si="2"/>
        <v>0</v>
      </c>
      <c r="N961" s="22"/>
      <c r="O961" s="19" t="s">
        <v>1145</v>
      </c>
      <c r="P961" s="18"/>
      <c r="Q961" s="18"/>
      <c r="R961" s="23">
        <v>0.0</v>
      </c>
      <c r="S961" s="23">
        <v>0.0</v>
      </c>
      <c r="T961" s="23">
        <f t="shared" si="3"/>
        <v>0</v>
      </c>
      <c r="U961" s="23">
        <f t="shared" si="4"/>
        <v>0</v>
      </c>
      <c r="V961" s="23">
        <f t="shared" si="5"/>
        <v>0</v>
      </c>
      <c r="W961" s="24" t="str">
        <f t="shared" si="6"/>
        <v>#DIV/0!</v>
      </c>
    </row>
    <row r="962">
      <c r="A962" s="15" t="s">
        <v>2672</v>
      </c>
      <c r="B962" s="18"/>
      <c r="C962" s="15" t="s">
        <v>7474</v>
      </c>
      <c r="D962" s="18"/>
      <c r="E962" s="17" t="s">
        <v>2673</v>
      </c>
      <c r="F962" s="18"/>
      <c r="G962" s="18"/>
      <c r="H962" s="15" t="s">
        <v>2674</v>
      </c>
      <c r="I962" s="15" t="s">
        <v>2675</v>
      </c>
      <c r="J962" s="19" t="s">
        <v>36</v>
      </c>
      <c r="K962" s="19" t="s">
        <v>2382</v>
      </c>
      <c r="L962" s="19" t="s">
        <v>38</v>
      </c>
      <c r="M962" s="20">
        <f t="shared" si="2"/>
        <v>0</v>
      </c>
      <c r="N962" s="22"/>
      <c r="O962" s="19" t="s">
        <v>1145</v>
      </c>
      <c r="P962" s="18"/>
      <c r="Q962" s="18"/>
      <c r="R962" s="23">
        <v>0.0</v>
      </c>
      <c r="S962" s="23">
        <v>0.0</v>
      </c>
      <c r="T962" s="23">
        <f t="shared" si="3"/>
        <v>0</v>
      </c>
      <c r="U962" s="23">
        <f t="shared" si="4"/>
        <v>0</v>
      </c>
      <c r="V962" s="23">
        <f t="shared" si="5"/>
        <v>0</v>
      </c>
      <c r="W962" s="24" t="str">
        <f t="shared" si="6"/>
        <v>#DIV/0!</v>
      </c>
    </row>
    <row r="963">
      <c r="A963" s="15" t="s">
        <v>2676</v>
      </c>
      <c r="B963" s="18"/>
      <c r="C963" s="15" t="s">
        <v>7475</v>
      </c>
      <c r="D963" s="18"/>
      <c r="E963" s="17" t="s">
        <v>2673</v>
      </c>
      <c r="F963" s="18"/>
      <c r="G963" s="18"/>
      <c r="H963" s="15" t="s">
        <v>2677</v>
      </c>
      <c r="I963" s="15" t="s">
        <v>2678</v>
      </c>
      <c r="J963" s="19" t="s">
        <v>36</v>
      </c>
      <c r="K963" s="19" t="s">
        <v>2382</v>
      </c>
      <c r="L963" s="19" t="s">
        <v>38</v>
      </c>
      <c r="M963" s="20">
        <f t="shared" si="2"/>
        <v>0</v>
      </c>
      <c r="N963" s="22"/>
      <c r="O963" s="19" t="s">
        <v>1145</v>
      </c>
      <c r="P963" s="18"/>
      <c r="Q963" s="18"/>
      <c r="R963" s="23">
        <v>0.0</v>
      </c>
      <c r="S963" s="23">
        <v>0.0</v>
      </c>
      <c r="T963" s="23">
        <f t="shared" si="3"/>
        <v>0</v>
      </c>
      <c r="U963" s="23">
        <f t="shared" si="4"/>
        <v>0</v>
      </c>
      <c r="V963" s="23">
        <f t="shared" si="5"/>
        <v>0</v>
      </c>
      <c r="W963" s="24" t="str">
        <f t="shared" si="6"/>
        <v>#DIV/0!</v>
      </c>
    </row>
    <row r="964">
      <c r="A964" s="15" t="s">
        <v>2679</v>
      </c>
      <c r="B964" s="18"/>
      <c r="C964" s="15" t="s">
        <v>7476</v>
      </c>
      <c r="D964" s="18"/>
      <c r="E964" s="17" t="s">
        <v>2673</v>
      </c>
      <c r="F964" s="18"/>
      <c r="G964" s="18"/>
      <c r="H964" s="15" t="s">
        <v>2680</v>
      </c>
      <c r="I964" s="15" t="s">
        <v>2681</v>
      </c>
      <c r="J964" s="19" t="s">
        <v>36</v>
      </c>
      <c r="K964" s="19" t="s">
        <v>2382</v>
      </c>
      <c r="L964" s="19" t="s">
        <v>38</v>
      </c>
      <c r="M964" s="20">
        <f t="shared" si="2"/>
        <v>0</v>
      </c>
      <c r="N964" s="22"/>
      <c r="O964" s="19" t="s">
        <v>1145</v>
      </c>
      <c r="P964" s="18"/>
      <c r="Q964" s="18"/>
      <c r="R964" s="23">
        <v>0.0</v>
      </c>
      <c r="S964" s="23">
        <v>0.0</v>
      </c>
      <c r="T964" s="23">
        <f t="shared" si="3"/>
        <v>0</v>
      </c>
      <c r="U964" s="23">
        <f t="shared" si="4"/>
        <v>0</v>
      </c>
      <c r="V964" s="23">
        <f t="shared" si="5"/>
        <v>0</v>
      </c>
      <c r="W964" s="24" t="str">
        <f t="shared" si="6"/>
        <v>#DIV/0!</v>
      </c>
    </row>
    <row r="965">
      <c r="A965" s="15" t="s">
        <v>2682</v>
      </c>
      <c r="B965" s="18"/>
      <c r="C965" s="15" t="s">
        <v>7477</v>
      </c>
      <c r="D965" s="18"/>
      <c r="E965" s="17" t="s">
        <v>2673</v>
      </c>
      <c r="F965" s="18"/>
      <c r="G965" s="18"/>
      <c r="H965" s="15" t="s">
        <v>2683</v>
      </c>
      <c r="I965" s="15" t="s">
        <v>2684</v>
      </c>
      <c r="J965" s="19" t="s">
        <v>36</v>
      </c>
      <c r="K965" s="19" t="s">
        <v>2382</v>
      </c>
      <c r="L965" s="19" t="s">
        <v>38</v>
      </c>
      <c r="M965" s="20">
        <f t="shared" si="2"/>
        <v>0</v>
      </c>
      <c r="N965" s="22"/>
      <c r="O965" s="19" t="s">
        <v>1145</v>
      </c>
      <c r="P965" s="18"/>
      <c r="Q965" s="18"/>
      <c r="R965" s="23">
        <v>0.0</v>
      </c>
      <c r="S965" s="23">
        <v>0.0</v>
      </c>
      <c r="T965" s="23">
        <f t="shared" si="3"/>
        <v>0</v>
      </c>
      <c r="U965" s="23">
        <f t="shared" si="4"/>
        <v>0</v>
      </c>
      <c r="V965" s="23">
        <f t="shared" si="5"/>
        <v>0</v>
      </c>
      <c r="W965" s="24" t="str">
        <f t="shared" si="6"/>
        <v>#DIV/0!</v>
      </c>
    </row>
    <row r="966">
      <c r="A966" s="15" t="s">
        <v>7478</v>
      </c>
      <c r="B966" s="18"/>
      <c r="C966" s="15" t="s">
        <v>7479</v>
      </c>
      <c r="D966" s="18"/>
      <c r="E966" s="17" t="s">
        <v>2673</v>
      </c>
      <c r="F966" s="18"/>
      <c r="G966" s="18"/>
      <c r="H966" s="15" t="s">
        <v>7480</v>
      </c>
      <c r="I966" s="15" t="s">
        <v>7481</v>
      </c>
      <c r="J966" s="19" t="s">
        <v>36</v>
      </c>
      <c r="K966" s="19" t="s">
        <v>2382</v>
      </c>
      <c r="L966" s="19" t="s">
        <v>38</v>
      </c>
      <c r="M966" s="20">
        <f t="shared" si="2"/>
        <v>0</v>
      </c>
      <c r="N966" s="22"/>
      <c r="O966" s="19" t="s">
        <v>39</v>
      </c>
      <c r="P966" s="18"/>
      <c r="Q966" s="18"/>
      <c r="R966" s="23">
        <v>0.0</v>
      </c>
      <c r="S966" s="23">
        <v>0.0</v>
      </c>
      <c r="T966" s="23">
        <f t="shared" si="3"/>
        <v>0</v>
      </c>
      <c r="U966" s="23">
        <f t="shared" si="4"/>
        <v>0</v>
      </c>
      <c r="V966" s="23">
        <f t="shared" si="5"/>
        <v>0</v>
      </c>
      <c r="W966" s="24" t="str">
        <f t="shared" si="6"/>
        <v>#DIV/0!</v>
      </c>
    </row>
    <row r="967">
      <c r="A967" s="15" t="s">
        <v>2685</v>
      </c>
      <c r="B967" s="18"/>
      <c r="C967" s="15" t="s">
        <v>7482</v>
      </c>
      <c r="D967" s="18"/>
      <c r="E967" s="17" t="s">
        <v>2673</v>
      </c>
      <c r="F967" s="18"/>
      <c r="G967" s="18"/>
      <c r="H967" s="15" t="s">
        <v>2686</v>
      </c>
      <c r="I967" s="15" t="s">
        <v>2687</v>
      </c>
      <c r="J967" s="19" t="s">
        <v>36</v>
      </c>
      <c r="K967" s="19" t="s">
        <v>2382</v>
      </c>
      <c r="L967" s="19" t="s">
        <v>38</v>
      </c>
      <c r="M967" s="20">
        <f t="shared" si="2"/>
        <v>0</v>
      </c>
      <c r="N967" s="22"/>
      <c r="O967" s="19" t="s">
        <v>1145</v>
      </c>
      <c r="P967" s="18"/>
      <c r="Q967" s="18"/>
      <c r="R967" s="23">
        <v>0.0</v>
      </c>
      <c r="S967" s="23">
        <v>0.0</v>
      </c>
      <c r="T967" s="23">
        <f t="shared" si="3"/>
        <v>0</v>
      </c>
      <c r="U967" s="23">
        <f t="shared" si="4"/>
        <v>0</v>
      </c>
      <c r="V967" s="23">
        <f t="shared" si="5"/>
        <v>0</v>
      </c>
      <c r="W967" s="24" t="str">
        <f t="shared" si="6"/>
        <v>#DIV/0!</v>
      </c>
    </row>
    <row r="968">
      <c r="A968" s="15" t="s">
        <v>2688</v>
      </c>
      <c r="B968" s="18"/>
      <c r="C968" s="15" t="s">
        <v>7483</v>
      </c>
      <c r="D968" s="18"/>
      <c r="E968" s="17" t="s">
        <v>2689</v>
      </c>
      <c r="F968" s="18"/>
      <c r="G968" s="18"/>
      <c r="H968" s="15" t="s">
        <v>2690</v>
      </c>
      <c r="I968" s="15" t="s">
        <v>2691</v>
      </c>
      <c r="J968" s="19" t="s">
        <v>36</v>
      </c>
      <c r="K968" s="19" t="s">
        <v>2382</v>
      </c>
      <c r="L968" s="19" t="s">
        <v>38</v>
      </c>
      <c r="M968" s="20">
        <f t="shared" si="2"/>
        <v>0</v>
      </c>
      <c r="N968" s="22"/>
      <c r="O968" s="19" t="s">
        <v>1145</v>
      </c>
      <c r="P968" s="18"/>
      <c r="Q968" s="18"/>
      <c r="R968" s="23">
        <v>0.0</v>
      </c>
      <c r="S968" s="23">
        <v>0.0</v>
      </c>
      <c r="T968" s="23">
        <f t="shared" si="3"/>
        <v>0</v>
      </c>
      <c r="U968" s="23">
        <f t="shared" si="4"/>
        <v>0</v>
      </c>
      <c r="V968" s="23">
        <f t="shared" si="5"/>
        <v>0</v>
      </c>
      <c r="W968" s="24" t="str">
        <f t="shared" si="6"/>
        <v>#DIV/0!</v>
      </c>
    </row>
    <row r="969">
      <c r="A969" s="15" t="s">
        <v>7484</v>
      </c>
      <c r="B969" s="18"/>
      <c r="C969" s="15" t="s">
        <v>7485</v>
      </c>
      <c r="D969" s="18"/>
      <c r="E969" s="17" t="s">
        <v>7486</v>
      </c>
      <c r="F969" s="18"/>
      <c r="G969" s="18"/>
      <c r="H969" s="15" t="s">
        <v>7487</v>
      </c>
      <c r="I969" s="15" t="s">
        <v>7488</v>
      </c>
      <c r="J969" s="19" t="s">
        <v>36</v>
      </c>
      <c r="K969" s="19" t="s">
        <v>2382</v>
      </c>
      <c r="L969" s="19" t="s">
        <v>38</v>
      </c>
      <c r="M969" s="20">
        <f t="shared" si="2"/>
        <v>0</v>
      </c>
      <c r="N969" s="22"/>
      <c r="O969" s="19" t="s">
        <v>39</v>
      </c>
      <c r="P969" s="18"/>
      <c r="Q969" s="18"/>
      <c r="R969" s="23">
        <v>0.0</v>
      </c>
      <c r="S969" s="23">
        <v>0.0</v>
      </c>
      <c r="T969" s="23">
        <f t="shared" si="3"/>
        <v>0</v>
      </c>
      <c r="U969" s="23">
        <f t="shared" si="4"/>
        <v>0</v>
      </c>
      <c r="V969" s="23">
        <f t="shared" si="5"/>
        <v>0</v>
      </c>
      <c r="W969" s="24" t="str">
        <f t="shared" si="6"/>
        <v>#DIV/0!</v>
      </c>
    </row>
    <row r="970">
      <c r="A970" s="15" t="s">
        <v>2692</v>
      </c>
      <c r="B970" s="18"/>
      <c r="C970" s="15" t="s">
        <v>7489</v>
      </c>
      <c r="D970" s="18"/>
      <c r="E970" s="17" t="s">
        <v>2693</v>
      </c>
      <c r="F970" s="18"/>
      <c r="G970" s="18"/>
      <c r="H970" s="15" t="s">
        <v>2694</v>
      </c>
      <c r="I970" s="15" t="s">
        <v>2695</v>
      </c>
      <c r="J970" s="19" t="s">
        <v>36</v>
      </c>
      <c r="K970" s="19" t="s">
        <v>2382</v>
      </c>
      <c r="L970" s="19" t="s">
        <v>38</v>
      </c>
      <c r="M970" s="20">
        <f t="shared" si="2"/>
        <v>0</v>
      </c>
      <c r="N970" s="22"/>
      <c r="O970" s="19" t="s">
        <v>1145</v>
      </c>
      <c r="P970" s="18"/>
      <c r="Q970" s="18"/>
      <c r="R970" s="23">
        <v>0.0</v>
      </c>
      <c r="S970" s="23">
        <v>0.0</v>
      </c>
      <c r="T970" s="23">
        <f t="shared" si="3"/>
        <v>0</v>
      </c>
      <c r="U970" s="23">
        <f t="shared" si="4"/>
        <v>0</v>
      </c>
      <c r="V970" s="23">
        <f t="shared" si="5"/>
        <v>0</v>
      </c>
      <c r="W970" s="24" t="str">
        <f t="shared" si="6"/>
        <v>#DIV/0!</v>
      </c>
    </row>
    <row r="971">
      <c r="A971" s="15" t="s">
        <v>2696</v>
      </c>
      <c r="B971" s="18"/>
      <c r="C971" s="15" t="s">
        <v>7490</v>
      </c>
      <c r="D971" s="18"/>
      <c r="E971" s="17" t="s">
        <v>2697</v>
      </c>
      <c r="F971" s="18"/>
      <c r="G971" s="18"/>
      <c r="H971" s="15" t="s">
        <v>2698</v>
      </c>
      <c r="I971" s="15" t="s">
        <v>2699</v>
      </c>
      <c r="J971" s="19" t="s">
        <v>36</v>
      </c>
      <c r="K971" s="19" t="s">
        <v>2382</v>
      </c>
      <c r="L971" s="19" t="s">
        <v>38</v>
      </c>
      <c r="M971" s="20">
        <f t="shared" si="2"/>
        <v>0</v>
      </c>
      <c r="N971" s="22"/>
      <c r="O971" s="19" t="s">
        <v>1145</v>
      </c>
      <c r="P971" s="18"/>
      <c r="Q971" s="18"/>
      <c r="R971" s="23">
        <v>0.0</v>
      </c>
      <c r="S971" s="23">
        <v>0.0</v>
      </c>
      <c r="T971" s="23">
        <f t="shared" si="3"/>
        <v>0</v>
      </c>
      <c r="U971" s="23">
        <f t="shared" si="4"/>
        <v>0</v>
      </c>
      <c r="V971" s="23">
        <f t="shared" si="5"/>
        <v>0</v>
      </c>
      <c r="W971" s="24" t="str">
        <f t="shared" si="6"/>
        <v>#DIV/0!</v>
      </c>
    </row>
    <row r="972">
      <c r="A972" s="15" t="s">
        <v>2700</v>
      </c>
      <c r="B972" s="18"/>
      <c r="C972" s="15" t="s">
        <v>7491</v>
      </c>
      <c r="D972" s="18"/>
      <c r="E972" s="17" t="s">
        <v>2701</v>
      </c>
      <c r="F972" s="18"/>
      <c r="G972" s="18"/>
      <c r="H972" s="15" t="s">
        <v>2702</v>
      </c>
      <c r="I972" s="15" t="s">
        <v>2703</v>
      </c>
      <c r="J972" s="19" t="s">
        <v>36</v>
      </c>
      <c r="K972" s="19" t="s">
        <v>2382</v>
      </c>
      <c r="L972" s="19" t="s">
        <v>38</v>
      </c>
      <c r="M972" s="20">
        <f t="shared" si="2"/>
        <v>0</v>
      </c>
      <c r="N972" s="22"/>
      <c r="O972" s="19" t="s">
        <v>1145</v>
      </c>
      <c r="P972" s="18"/>
      <c r="Q972" s="18"/>
      <c r="R972" s="23">
        <v>0.0</v>
      </c>
      <c r="S972" s="23">
        <v>0.0</v>
      </c>
      <c r="T972" s="23">
        <f t="shared" si="3"/>
        <v>0</v>
      </c>
      <c r="U972" s="23">
        <f t="shared" si="4"/>
        <v>0</v>
      </c>
      <c r="V972" s="23">
        <f t="shared" si="5"/>
        <v>0</v>
      </c>
      <c r="W972" s="24" t="str">
        <f t="shared" si="6"/>
        <v>#DIV/0!</v>
      </c>
    </row>
    <row r="973">
      <c r="A973" s="15" t="s">
        <v>2704</v>
      </c>
      <c r="B973" s="18"/>
      <c r="C973" s="15" t="s">
        <v>7492</v>
      </c>
      <c r="D973" s="18"/>
      <c r="E973" s="17" t="s">
        <v>2705</v>
      </c>
      <c r="F973" s="18"/>
      <c r="G973" s="18"/>
      <c r="H973" s="15" t="s">
        <v>2706</v>
      </c>
      <c r="I973" s="15" t="s">
        <v>2707</v>
      </c>
      <c r="J973" s="19" t="s">
        <v>36</v>
      </c>
      <c r="K973" s="19" t="s">
        <v>2382</v>
      </c>
      <c r="L973" s="19" t="s">
        <v>38</v>
      </c>
      <c r="M973" s="20">
        <f t="shared" si="2"/>
        <v>0</v>
      </c>
      <c r="N973" s="22"/>
      <c r="O973" s="19" t="s">
        <v>1145</v>
      </c>
      <c r="P973" s="18"/>
      <c r="Q973" s="18"/>
      <c r="R973" s="23">
        <v>0.0</v>
      </c>
      <c r="S973" s="23">
        <v>0.0</v>
      </c>
      <c r="T973" s="23">
        <f t="shared" si="3"/>
        <v>0</v>
      </c>
      <c r="U973" s="23">
        <f t="shared" si="4"/>
        <v>0</v>
      </c>
      <c r="V973" s="23">
        <f t="shared" si="5"/>
        <v>0</v>
      </c>
      <c r="W973" s="24" t="str">
        <f t="shared" si="6"/>
        <v>#DIV/0!</v>
      </c>
    </row>
    <row r="974">
      <c r="A974" s="15" t="s">
        <v>2708</v>
      </c>
      <c r="B974" s="18"/>
      <c r="C974" s="15" t="s">
        <v>7493</v>
      </c>
      <c r="D974" s="18"/>
      <c r="E974" s="17" t="s">
        <v>2709</v>
      </c>
      <c r="F974" s="18"/>
      <c r="G974" s="18"/>
      <c r="H974" s="15" t="s">
        <v>2710</v>
      </c>
      <c r="I974" s="15" t="s">
        <v>2711</v>
      </c>
      <c r="J974" s="19" t="s">
        <v>36</v>
      </c>
      <c r="K974" s="19" t="s">
        <v>2382</v>
      </c>
      <c r="L974" s="19" t="s">
        <v>38</v>
      </c>
      <c r="M974" s="20">
        <f t="shared" si="2"/>
        <v>0</v>
      </c>
      <c r="N974" s="22"/>
      <c r="O974" s="19" t="s">
        <v>1145</v>
      </c>
      <c r="P974" s="18"/>
      <c r="Q974" s="18"/>
      <c r="R974" s="23">
        <v>0.0</v>
      </c>
      <c r="S974" s="23">
        <v>0.0</v>
      </c>
      <c r="T974" s="23">
        <f t="shared" si="3"/>
        <v>0</v>
      </c>
      <c r="U974" s="23">
        <f t="shared" si="4"/>
        <v>0</v>
      </c>
      <c r="V974" s="23">
        <f t="shared" si="5"/>
        <v>0</v>
      </c>
      <c r="W974" s="24" t="str">
        <f t="shared" si="6"/>
        <v>#DIV/0!</v>
      </c>
    </row>
    <row r="975">
      <c r="A975" s="15" t="s">
        <v>2712</v>
      </c>
      <c r="B975" s="18"/>
      <c r="C975" s="15" t="s">
        <v>7494</v>
      </c>
      <c r="D975" s="18"/>
      <c r="E975" s="17" t="s">
        <v>2713</v>
      </c>
      <c r="F975" s="18"/>
      <c r="G975" s="18"/>
      <c r="H975" s="15" t="s">
        <v>2714</v>
      </c>
      <c r="I975" s="15" t="s">
        <v>2715</v>
      </c>
      <c r="J975" s="19" t="s">
        <v>36</v>
      </c>
      <c r="K975" s="19" t="s">
        <v>2382</v>
      </c>
      <c r="L975" s="19" t="s">
        <v>38</v>
      </c>
      <c r="M975" s="20">
        <f t="shared" si="2"/>
        <v>0</v>
      </c>
      <c r="N975" s="22"/>
      <c r="O975" s="19" t="s">
        <v>1145</v>
      </c>
      <c r="P975" s="18"/>
      <c r="Q975" s="18"/>
      <c r="R975" s="23">
        <v>0.0</v>
      </c>
      <c r="S975" s="23">
        <v>0.0</v>
      </c>
      <c r="T975" s="23">
        <f t="shared" si="3"/>
        <v>0</v>
      </c>
      <c r="U975" s="23">
        <f t="shared" si="4"/>
        <v>0</v>
      </c>
      <c r="V975" s="23">
        <f t="shared" si="5"/>
        <v>0</v>
      </c>
      <c r="W975" s="24" t="str">
        <f t="shared" si="6"/>
        <v>#DIV/0!</v>
      </c>
    </row>
    <row r="976">
      <c r="A976" s="15" t="s">
        <v>2716</v>
      </c>
      <c r="B976" s="18"/>
      <c r="C976" s="15" t="s">
        <v>7495</v>
      </c>
      <c r="D976" s="18"/>
      <c r="E976" s="17" t="s">
        <v>2717</v>
      </c>
      <c r="F976" s="18"/>
      <c r="G976" s="18"/>
      <c r="H976" s="15" t="s">
        <v>2718</v>
      </c>
      <c r="I976" s="15" t="s">
        <v>2719</v>
      </c>
      <c r="J976" s="19" t="s">
        <v>36</v>
      </c>
      <c r="K976" s="19" t="s">
        <v>2382</v>
      </c>
      <c r="L976" s="19" t="s">
        <v>38</v>
      </c>
      <c r="M976" s="20">
        <f t="shared" si="2"/>
        <v>0</v>
      </c>
      <c r="N976" s="22"/>
      <c r="O976" s="19" t="s">
        <v>1145</v>
      </c>
      <c r="P976" s="18"/>
      <c r="Q976" s="18"/>
      <c r="R976" s="23">
        <v>0.0</v>
      </c>
      <c r="S976" s="23">
        <v>0.0</v>
      </c>
      <c r="T976" s="23">
        <f t="shared" si="3"/>
        <v>0</v>
      </c>
      <c r="U976" s="23">
        <f t="shared" si="4"/>
        <v>0</v>
      </c>
      <c r="V976" s="23">
        <f t="shared" si="5"/>
        <v>0</v>
      </c>
      <c r="W976" s="24" t="str">
        <f t="shared" si="6"/>
        <v>#DIV/0!</v>
      </c>
    </row>
    <row r="977">
      <c r="A977" s="15" t="s">
        <v>2720</v>
      </c>
      <c r="B977" s="18"/>
      <c r="C977" s="15" t="s">
        <v>7496</v>
      </c>
      <c r="D977" s="18"/>
      <c r="E977" s="17" t="s">
        <v>2721</v>
      </c>
      <c r="F977" s="18"/>
      <c r="G977" s="18"/>
      <c r="H977" s="15" t="s">
        <v>2722</v>
      </c>
      <c r="I977" s="15" t="s">
        <v>2723</v>
      </c>
      <c r="J977" s="19" t="s">
        <v>36</v>
      </c>
      <c r="K977" s="19" t="s">
        <v>2382</v>
      </c>
      <c r="L977" s="19" t="s">
        <v>38</v>
      </c>
      <c r="M977" s="20">
        <f t="shared" si="2"/>
        <v>0</v>
      </c>
      <c r="N977" s="22"/>
      <c r="O977" s="19" t="s">
        <v>1145</v>
      </c>
      <c r="P977" s="18"/>
      <c r="Q977" s="18"/>
      <c r="R977" s="23">
        <v>0.0</v>
      </c>
      <c r="S977" s="23">
        <v>0.0</v>
      </c>
      <c r="T977" s="23">
        <f t="shared" si="3"/>
        <v>0</v>
      </c>
      <c r="U977" s="23">
        <f t="shared" si="4"/>
        <v>0</v>
      </c>
      <c r="V977" s="23">
        <f t="shared" si="5"/>
        <v>0</v>
      </c>
      <c r="W977" s="24" t="str">
        <f t="shared" si="6"/>
        <v>#DIV/0!</v>
      </c>
    </row>
    <row r="978">
      <c r="A978" s="15" t="s">
        <v>2724</v>
      </c>
      <c r="B978" s="18"/>
      <c r="C978" s="15" t="s">
        <v>7497</v>
      </c>
      <c r="D978" s="18"/>
      <c r="E978" s="17" t="s">
        <v>2725</v>
      </c>
      <c r="F978" s="18"/>
      <c r="G978" s="18"/>
      <c r="H978" s="15" t="s">
        <v>2726</v>
      </c>
      <c r="I978" s="15" t="s">
        <v>2727</v>
      </c>
      <c r="J978" s="19" t="s">
        <v>36</v>
      </c>
      <c r="K978" s="19" t="s">
        <v>691</v>
      </c>
      <c r="L978" s="19" t="s">
        <v>38</v>
      </c>
      <c r="M978" s="20">
        <f t="shared" si="2"/>
        <v>0</v>
      </c>
      <c r="N978" s="22"/>
      <c r="O978" s="19" t="s">
        <v>1145</v>
      </c>
      <c r="P978" s="18"/>
      <c r="Q978" s="18"/>
      <c r="R978" s="23">
        <v>0.0</v>
      </c>
      <c r="S978" s="23">
        <v>0.0</v>
      </c>
      <c r="T978" s="23">
        <f t="shared" si="3"/>
        <v>0</v>
      </c>
      <c r="U978" s="23">
        <f t="shared" si="4"/>
        <v>0</v>
      </c>
      <c r="V978" s="23">
        <f t="shared" si="5"/>
        <v>0</v>
      </c>
      <c r="W978" s="24" t="str">
        <f t="shared" si="6"/>
        <v>#DIV/0!</v>
      </c>
    </row>
    <row r="979">
      <c r="A979" s="15" t="s">
        <v>2728</v>
      </c>
      <c r="B979" s="18"/>
      <c r="C979" s="15" t="s">
        <v>7498</v>
      </c>
      <c r="D979" s="18"/>
      <c r="E979" s="17" t="s">
        <v>2729</v>
      </c>
      <c r="F979" s="18"/>
      <c r="G979" s="18"/>
      <c r="H979" s="15" t="s">
        <v>2730</v>
      </c>
      <c r="I979" s="15" t="s">
        <v>2731</v>
      </c>
      <c r="J979" s="19" t="s">
        <v>36</v>
      </c>
      <c r="K979" s="19" t="s">
        <v>2382</v>
      </c>
      <c r="L979" s="19" t="s">
        <v>38</v>
      </c>
      <c r="M979" s="20">
        <f t="shared" si="2"/>
        <v>0</v>
      </c>
      <c r="N979" s="22"/>
      <c r="O979" s="19" t="s">
        <v>1145</v>
      </c>
      <c r="P979" s="18"/>
      <c r="Q979" s="18"/>
      <c r="R979" s="23">
        <v>0.0</v>
      </c>
      <c r="S979" s="23">
        <v>0.0</v>
      </c>
      <c r="T979" s="23">
        <f t="shared" si="3"/>
        <v>0</v>
      </c>
      <c r="U979" s="23">
        <f t="shared" si="4"/>
        <v>0</v>
      </c>
      <c r="V979" s="23">
        <f t="shared" si="5"/>
        <v>0</v>
      </c>
      <c r="W979" s="24" t="str">
        <f t="shared" si="6"/>
        <v>#DIV/0!</v>
      </c>
    </row>
    <row r="980">
      <c r="A980" s="15" t="s">
        <v>2732</v>
      </c>
      <c r="B980" s="18"/>
      <c r="C980" s="15" t="s">
        <v>7499</v>
      </c>
      <c r="D980" s="18"/>
      <c r="E980" s="17" t="s">
        <v>2733</v>
      </c>
      <c r="F980" s="18"/>
      <c r="G980" s="18"/>
      <c r="H980" s="15" t="s">
        <v>2734</v>
      </c>
      <c r="I980" s="15" t="s">
        <v>2735</v>
      </c>
      <c r="J980" s="19" t="s">
        <v>36</v>
      </c>
      <c r="K980" s="19" t="s">
        <v>2382</v>
      </c>
      <c r="L980" s="19" t="s">
        <v>38</v>
      </c>
      <c r="M980" s="20">
        <f t="shared" si="2"/>
        <v>0</v>
      </c>
      <c r="N980" s="22"/>
      <c r="O980" s="19" t="s">
        <v>1145</v>
      </c>
      <c r="P980" s="18"/>
      <c r="Q980" s="18"/>
      <c r="R980" s="23">
        <v>0.0</v>
      </c>
      <c r="S980" s="23">
        <v>0.0</v>
      </c>
      <c r="T980" s="23">
        <f t="shared" si="3"/>
        <v>0</v>
      </c>
      <c r="U980" s="23">
        <f t="shared" si="4"/>
        <v>0</v>
      </c>
      <c r="V980" s="23">
        <f t="shared" si="5"/>
        <v>0</v>
      </c>
      <c r="W980" s="24" t="str">
        <f t="shared" si="6"/>
        <v>#DIV/0!</v>
      </c>
    </row>
    <row r="981">
      <c r="A981" s="15" t="s">
        <v>2736</v>
      </c>
      <c r="B981" s="15" t="s">
        <v>2737</v>
      </c>
      <c r="C981" s="15" t="s">
        <v>7500</v>
      </c>
      <c r="D981" s="18"/>
      <c r="E981" s="17" t="s">
        <v>2738</v>
      </c>
      <c r="F981" s="18"/>
      <c r="G981" s="18"/>
      <c r="H981" s="15" t="s">
        <v>2739</v>
      </c>
      <c r="I981" s="18"/>
      <c r="J981" s="19" t="s">
        <v>36</v>
      </c>
      <c r="K981" s="33"/>
      <c r="L981" s="19" t="s">
        <v>38</v>
      </c>
      <c r="M981" s="20">
        <f t="shared" si="2"/>
        <v>0</v>
      </c>
      <c r="N981" s="22"/>
      <c r="O981" s="19" t="s">
        <v>1145</v>
      </c>
      <c r="P981" s="18"/>
      <c r="Q981" s="18"/>
      <c r="R981" s="23">
        <v>0.0</v>
      </c>
      <c r="S981" s="23">
        <v>0.0</v>
      </c>
      <c r="T981" s="23">
        <f t="shared" si="3"/>
        <v>0</v>
      </c>
      <c r="U981" s="23">
        <f t="shared" si="4"/>
        <v>0</v>
      </c>
      <c r="V981" s="23">
        <f t="shared" si="5"/>
        <v>0</v>
      </c>
      <c r="W981" s="24" t="str">
        <f t="shared" si="6"/>
        <v>#DIV/0!</v>
      </c>
    </row>
    <row r="982">
      <c r="A982" s="15" t="s">
        <v>472</v>
      </c>
      <c r="B982" s="15" t="s">
        <v>473</v>
      </c>
      <c r="C982" s="15" t="s">
        <v>6082</v>
      </c>
      <c r="D982" s="15" t="s">
        <v>474</v>
      </c>
      <c r="E982" s="17" t="s">
        <v>475</v>
      </c>
      <c r="F982" s="18"/>
      <c r="G982" s="15" t="s">
        <v>476</v>
      </c>
      <c r="H982" s="15" t="s">
        <v>477</v>
      </c>
      <c r="I982" s="18"/>
      <c r="J982" s="19" t="s">
        <v>36</v>
      </c>
      <c r="K982" s="33"/>
      <c r="L982" s="19" t="s">
        <v>38</v>
      </c>
      <c r="M982" s="20">
        <f t="shared" si="2"/>
        <v>355.2</v>
      </c>
      <c r="N982" s="31">
        <v>10.0</v>
      </c>
      <c r="O982" s="19" t="s">
        <v>107</v>
      </c>
      <c r="P982" s="18"/>
      <c r="Q982" s="18"/>
      <c r="R982" s="23">
        <v>3.0</v>
      </c>
      <c r="S982" s="23">
        <v>20.0</v>
      </c>
      <c r="T982" s="23">
        <f t="shared" si="3"/>
        <v>19.2</v>
      </c>
      <c r="U982" s="23">
        <f t="shared" si="4"/>
        <v>3.675</v>
      </c>
      <c r="V982" s="23">
        <f t="shared" si="5"/>
        <v>68.90625</v>
      </c>
      <c r="W982" s="24">
        <f t="shared" si="6"/>
        <v>6.4</v>
      </c>
    </row>
    <row r="983">
      <c r="A983" s="15" t="s">
        <v>352</v>
      </c>
      <c r="B983" s="15" t="s">
        <v>353</v>
      </c>
      <c r="C983" s="15" t="s">
        <v>6024</v>
      </c>
      <c r="D983" s="15" t="s">
        <v>354</v>
      </c>
      <c r="E983" s="17" t="s">
        <v>355</v>
      </c>
      <c r="F983" s="18"/>
      <c r="G983" s="18"/>
      <c r="H983" s="15" t="s">
        <v>356</v>
      </c>
      <c r="I983" s="18"/>
      <c r="J983" s="19" t="s">
        <v>36</v>
      </c>
      <c r="K983" s="19" t="s">
        <v>1269</v>
      </c>
      <c r="L983" s="19" t="s">
        <v>38</v>
      </c>
      <c r="M983" s="20">
        <f t="shared" si="2"/>
        <v>4759.68</v>
      </c>
      <c r="N983" s="31">
        <v>6.0</v>
      </c>
      <c r="O983" s="19" t="s">
        <v>107</v>
      </c>
      <c r="P983" s="18"/>
      <c r="Q983" s="18"/>
      <c r="R983" s="23">
        <v>35.0</v>
      </c>
      <c r="S983" s="23">
        <v>268.0</v>
      </c>
      <c r="T983" s="23">
        <f t="shared" si="3"/>
        <v>257.28</v>
      </c>
      <c r="U983" s="23">
        <f t="shared" si="4"/>
        <v>42.875</v>
      </c>
      <c r="V983" s="23">
        <f t="shared" si="5"/>
        <v>803.90625</v>
      </c>
      <c r="W983" s="24">
        <f t="shared" si="6"/>
        <v>7.350857143</v>
      </c>
    </row>
    <row r="984">
      <c r="A984" s="15" t="s">
        <v>5061</v>
      </c>
      <c r="B984" s="15" t="s">
        <v>5062</v>
      </c>
      <c r="C984" s="15" t="s">
        <v>7501</v>
      </c>
      <c r="D984" s="15" t="s">
        <v>799</v>
      </c>
      <c r="E984" s="17" t="s">
        <v>800</v>
      </c>
      <c r="F984" s="18"/>
      <c r="G984" s="18"/>
      <c r="H984" s="15" t="s">
        <v>5063</v>
      </c>
      <c r="I984" s="18"/>
      <c r="J984" s="19" t="s">
        <v>36</v>
      </c>
      <c r="K984" s="19" t="s">
        <v>1269</v>
      </c>
      <c r="L984" s="19" t="s">
        <v>38</v>
      </c>
      <c r="M984" s="20">
        <f t="shared" si="2"/>
        <v>0</v>
      </c>
      <c r="N984" s="22"/>
      <c r="O984" s="19" t="s">
        <v>3578</v>
      </c>
      <c r="P984" s="18"/>
      <c r="Q984" s="18"/>
      <c r="R984" s="23">
        <v>0.0</v>
      </c>
      <c r="S984" s="23">
        <v>0.0</v>
      </c>
      <c r="T984" s="23">
        <f t="shared" si="3"/>
        <v>0</v>
      </c>
      <c r="U984" s="23">
        <f t="shared" si="4"/>
        <v>0</v>
      </c>
      <c r="V984" s="23">
        <f t="shared" si="5"/>
        <v>0</v>
      </c>
      <c r="W984" s="24" t="str">
        <f t="shared" si="6"/>
        <v>#DIV/0!</v>
      </c>
    </row>
    <row r="985">
      <c r="A985" s="15" t="s">
        <v>797</v>
      </c>
      <c r="B985" s="15" t="s">
        <v>798</v>
      </c>
      <c r="C985" s="15" t="s">
        <v>6025</v>
      </c>
      <c r="D985" s="15" t="s">
        <v>799</v>
      </c>
      <c r="E985" s="17" t="s">
        <v>800</v>
      </c>
      <c r="F985" s="18"/>
      <c r="G985" s="18"/>
      <c r="H985" s="15" t="s">
        <v>801</v>
      </c>
      <c r="I985" s="18"/>
      <c r="J985" s="19" t="s">
        <v>36</v>
      </c>
      <c r="K985" s="19" t="s">
        <v>1269</v>
      </c>
      <c r="L985" s="19" t="s">
        <v>38</v>
      </c>
      <c r="M985" s="20">
        <f t="shared" si="2"/>
        <v>1172.16</v>
      </c>
      <c r="N985" s="31">
        <v>6.0</v>
      </c>
      <c r="O985" s="19" t="s">
        <v>107</v>
      </c>
      <c r="P985" s="18"/>
      <c r="Q985" s="18"/>
      <c r="R985" s="23">
        <v>15.0</v>
      </c>
      <c r="S985" s="23">
        <v>66.0</v>
      </c>
      <c r="T985" s="23">
        <f t="shared" si="3"/>
        <v>63.36</v>
      </c>
      <c r="U985" s="23">
        <f t="shared" si="4"/>
        <v>18.375</v>
      </c>
      <c r="V985" s="23">
        <f t="shared" si="5"/>
        <v>344.53125</v>
      </c>
      <c r="W985" s="24">
        <f t="shared" si="6"/>
        <v>4.224</v>
      </c>
    </row>
    <row r="986">
      <c r="A986" s="15" t="s">
        <v>549</v>
      </c>
      <c r="B986" s="15" t="s">
        <v>550</v>
      </c>
      <c r="C986" s="15" t="s">
        <v>6026</v>
      </c>
      <c r="D986" s="15" t="s">
        <v>551</v>
      </c>
      <c r="E986" s="17" t="s">
        <v>552</v>
      </c>
      <c r="F986" s="18"/>
      <c r="G986" s="18"/>
      <c r="H986" s="15" t="s">
        <v>553</v>
      </c>
      <c r="I986" s="18"/>
      <c r="J986" s="19" t="s">
        <v>36</v>
      </c>
      <c r="K986" s="19" t="s">
        <v>1269</v>
      </c>
      <c r="L986" s="19" t="s">
        <v>38</v>
      </c>
      <c r="M986" s="20">
        <f t="shared" si="2"/>
        <v>1598.4</v>
      </c>
      <c r="N986" s="31">
        <v>6.0</v>
      </c>
      <c r="O986" s="19" t="s">
        <v>107</v>
      </c>
      <c r="P986" s="18"/>
      <c r="Q986" s="18"/>
      <c r="R986" s="23">
        <v>15.0</v>
      </c>
      <c r="S986" s="23">
        <v>90.0</v>
      </c>
      <c r="T986" s="23">
        <f t="shared" si="3"/>
        <v>86.4</v>
      </c>
      <c r="U986" s="23">
        <f t="shared" si="4"/>
        <v>18.375</v>
      </c>
      <c r="V986" s="23">
        <f t="shared" si="5"/>
        <v>344.53125</v>
      </c>
      <c r="W986" s="24">
        <f t="shared" si="6"/>
        <v>5.76</v>
      </c>
    </row>
    <row r="987">
      <c r="A987" s="15" t="s">
        <v>2740</v>
      </c>
      <c r="B987" s="18"/>
      <c r="C987" s="15" t="s">
        <v>7503</v>
      </c>
      <c r="D987" s="18"/>
      <c r="E987" s="17" t="s">
        <v>2741</v>
      </c>
      <c r="F987" s="18"/>
      <c r="G987" s="18"/>
      <c r="H987" s="15" t="s">
        <v>2742</v>
      </c>
      <c r="I987" s="15" t="s">
        <v>2743</v>
      </c>
      <c r="J987" s="19" t="s">
        <v>36</v>
      </c>
      <c r="K987" s="19" t="s">
        <v>2382</v>
      </c>
      <c r="L987" s="19" t="s">
        <v>38</v>
      </c>
      <c r="M987" s="20">
        <f t="shared" si="2"/>
        <v>0</v>
      </c>
      <c r="N987" s="22"/>
      <c r="O987" s="19" t="s">
        <v>1145</v>
      </c>
      <c r="P987" s="18"/>
      <c r="Q987" s="18"/>
      <c r="R987" s="23">
        <v>0.0</v>
      </c>
      <c r="S987" s="23">
        <v>0.0</v>
      </c>
      <c r="T987" s="23">
        <f t="shared" si="3"/>
        <v>0</v>
      </c>
      <c r="U987" s="23">
        <f t="shared" si="4"/>
        <v>0</v>
      </c>
      <c r="V987" s="23">
        <f t="shared" si="5"/>
        <v>0</v>
      </c>
      <c r="W987" s="24" t="str">
        <f t="shared" si="6"/>
        <v>#DIV/0!</v>
      </c>
    </row>
    <row r="988">
      <c r="A988" s="15" t="s">
        <v>7504</v>
      </c>
      <c r="B988" s="18"/>
      <c r="C988" s="15" t="s">
        <v>7505</v>
      </c>
      <c r="D988" s="18"/>
      <c r="E988" s="17" t="s">
        <v>7506</v>
      </c>
      <c r="F988" s="18"/>
      <c r="G988" s="18"/>
      <c r="H988" s="15" t="s">
        <v>7507</v>
      </c>
      <c r="I988" s="15" t="s">
        <v>4409</v>
      </c>
      <c r="J988" s="19" t="s">
        <v>36</v>
      </c>
      <c r="K988" s="19" t="s">
        <v>2401</v>
      </c>
      <c r="L988" s="19" t="s">
        <v>38</v>
      </c>
      <c r="M988" s="20">
        <f t="shared" si="2"/>
        <v>0</v>
      </c>
      <c r="N988" s="22"/>
      <c r="O988" s="19" t="s">
        <v>39</v>
      </c>
      <c r="P988" s="18"/>
      <c r="Q988" s="18"/>
      <c r="R988" s="23">
        <v>0.0</v>
      </c>
      <c r="S988" s="23">
        <v>0.0</v>
      </c>
      <c r="T988" s="23">
        <f t="shared" si="3"/>
        <v>0</v>
      </c>
      <c r="U988" s="23">
        <f t="shared" si="4"/>
        <v>0</v>
      </c>
      <c r="V988" s="23">
        <f t="shared" si="5"/>
        <v>0</v>
      </c>
      <c r="W988" s="24" t="str">
        <f t="shared" si="6"/>
        <v>#DIV/0!</v>
      </c>
    </row>
    <row r="989">
      <c r="A989" s="15" t="s">
        <v>2744</v>
      </c>
      <c r="B989" s="18"/>
      <c r="C989" s="15" t="s">
        <v>7508</v>
      </c>
      <c r="D989" s="18"/>
      <c r="E989" s="17" t="s">
        <v>2745</v>
      </c>
      <c r="F989" s="18"/>
      <c r="G989" s="18"/>
      <c r="H989" s="15" t="s">
        <v>2746</v>
      </c>
      <c r="I989" s="15" t="s">
        <v>2747</v>
      </c>
      <c r="J989" s="19" t="s">
        <v>36</v>
      </c>
      <c r="K989" s="19" t="s">
        <v>2387</v>
      </c>
      <c r="L989" s="19" t="s">
        <v>38</v>
      </c>
      <c r="M989" s="20">
        <f t="shared" si="2"/>
        <v>0</v>
      </c>
      <c r="N989" s="22"/>
      <c r="O989" s="19" t="s">
        <v>1145</v>
      </c>
      <c r="P989" s="18"/>
      <c r="Q989" s="18"/>
      <c r="R989" s="23">
        <v>0.0</v>
      </c>
      <c r="S989" s="23">
        <v>0.0</v>
      </c>
      <c r="T989" s="23">
        <f t="shared" si="3"/>
        <v>0</v>
      </c>
      <c r="U989" s="23">
        <f t="shared" si="4"/>
        <v>0</v>
      </c>
      <c r="V989" s="23">
        <f t="shared" si="5"/>
        <v>0</v>
      </c>
      <c r="W989" s="24" t="str">
        <f t="shared" si="6"/>
        <v>#DIV/0!</v>
      </c>
    </row>
    <row r="990">
      <c r="A990" s="15" t="s">
        <v>2748</v>
      </c>
      <c r="B990" s="18"/>
      <c r="C990" s="15" t="s">
        <v>7509</v>
      </c>
      <c r="D990" s="18"/>
      <c r="E990" s="17" t="s">
        <v>2749</v>
      </c>
      <c r="F990" s="18"/>
      <c r="G990" s="18"/>
      <c r="H990" s="15" t="s">
        <v>2750</v>
      </c>
      <c r="I990" s="15" t="s">
        <v>2751</v>
      </c>
      <c r="J990" s="19" t="s">
        <v>36</v>
      </c>
      <c r="K990" s="19" t="s">
        <v>2401</v>
      </c>
      <c r="L990" s="19" t="s">
        <v>38</v>
      </c>
      <c r="M990" s="20">
        <f t="shared" si="2"/>
        <v>0</v>
      </c>
      <c r="N990" s="22"/>
      <c r="O990" s="19" t="s">
        <v>1145</v>
      </c>
      <c r="P990" s="18"/>
      <c r="Q990" s="18"/>
      <c r="R990" s="23">
        <v>0.0</v>
      </c>
      <c r="S990" s="23">
        <v>0.0</v>
      </c>
      <c r="T990" s="23">
        <f t="shared" si="3"/>
        <v>0</v>
      </c>
      <c r="U990" s="23">
        <f t="shared" si="4"/>
        <v>0</v>
      </c>
      <c r="V990" s="23">
        <f t="shared" si="5"/>
        <v>0</v>
      </c>
      <c r="W990" s="24" t="str">
        <f t="shared" si="6"/>
        <v>#DIV/0!</v>
      </c>
    </row>
    <row r="991">
      <c r="A991" s="15" t="s">
        <v>2752</v>
      </c>
      <c r="B991" s="18"/>
      <c r="C991" s="15" t="s">
        <v>7510</v>
      </c>
      <c r="D991" s="18"/>
      <c r="E991" s="17" t="s">
        <v>2749</v>
      </c>
      <c r="F991" s="18"/>
      <c r="G991" s="18"/>
      <c r="H991" s="15" t="s">
        <v>2753</v>
      </c>
      <c r="I991" s="15" t="s">
        <v>2754</v>
      </c>
      <c r="J991" s="19" t="s">
        <v>36</v>
      </c>
      <c r="K991" s="19" t="s">
        <v>2401</v>
      </c>
      <c r="L991" s="19" t="s">
        <v>38</v>
      </c>
      <c r="M991" s="20">
        <f t="shared" si="2"/>
        <v>0</v>
      </c>
      <c r="N991" s="22"/>
      <c r="O991" s="19" t="s">
        <v>1145</v>
      </c>
      <c r="P991" s="18"/>
      <c r="Q991" s="18"/>
      <c r="R991" s="23">
        <v>0.0</v>
      </c>
      <c r="S991" s="23">
        <v>0.0</v>
      </c>
      <c r="T991" s="23">
        <f t="shared" si="3"/>
        <v>0</v>
      </c>
      <c r="U991" s="23">
        <f t="shared" si="4"/>
        <v>0</v>
      </c>
      <c r="V991" s="23">
        <f t="shared" si="5"/>
        <v>0</v>
      </c>
      <c r="W991" s="24" t="str">
        <f t="shared" si="6"/>
        <v>#DIV/0!</v>
      </c>
    </row>
    <row r="992">
      <c r="A992" s="15" t="s">
        <v>2755</v>
      </c>
      <c r="B992" s="18"/>
      <c r="C992" s="15" t="s">
        <v>7511</v>
      </c>
      <c r="D992" s="18"/>
      <c r="E992" s="17" t="s">
        <v>2756</v>
      </c>
      <c r="F992" s="18"/>
      <c r="G992" s="18"/>
      <c r="H992" s="15" t="s">
        <v>2757</v>
      </c>
      <c r="I992" s="15" t="s">
        <v>2758</v>
      </c>
      <c r="J992" s="19" t="s">
        <v>36</v>
      </c>
      <c r="K992" s="19" t="s">
        <v>691</v>
      </c>
      <c r="L992" s="19" t="s">
        <v>38</v>
      </c>
      <c r="M992" s="20">
        <f t="shared" si="2"/>
        <v>0</v>
      </c>
      <c r="N992" s="22"/>
      <c r="O992" s="19" t="s">
        <v>1145</v>
      </c>
      <c r="P992" s="18"/>
      <c r="Q992" s="18"/>
      <c r="R992" s="23">
        <v>0.0</v>
      </c>
      <c r="S992" s="23">
        <v>0.0</v>
      </c>
      <c r="T992" s="23">
        <f t="shared" si="3"/>
        <v>0</v>
      </c>
      <c r="U992" s="23">
        <f t="shared" si="4"/>
        <v>0</v>
      </c>
      <c r="V992" s="23">
        <f t="shared" si="5"/>
        <v>0</v>
      </c>
      <c r="W992" s="24" t="str">
        <f t="shared" si="6"/>
        <v>#DIV/0!</v>
      </c>
    </row>
    <row r="993">
      <c r="A993" s="15" t="s">
        <v>2759</v>
      </c>
      <c r="B993" s="18"/>
      <c r="C993" s="15" t="s">
        <v>7512</v>
      </c>
      <c r="D993" s="18"/>
      <c r="E993" s="17" t="s">
        <v>2760</v>
      </c>
      <c r="F993" s="18"/>
      <c r="G993" s="18"/>
      <c r="H993" s="15" t="s">
        <v>2761</v>
      </c>
      <c r="I993" s="15" t="s">
        <v>2762</v>
      </c>
      <c r="J993" s="19" t="s">
        <v>36</v>
      </c>
      <c r="K993" s="19" t="s">
        <v>2519</v>
      </c>
      <c r="L993" s="19" t="s">
        <v>38</v>
      </c>
      <c r="M993" s="20">
        <f t="shared" si="2"/>
        <v>0</v>
      </c>
      <c r="N993" s="22"/>
      <c r="O993" s="19" t="s">
        <v>1145</v>
      </c>
      <c r="P993" s="18"/>
      <c r="Q993" s="18"/>
      <c r="R993" s="23">
        <v>0.0</v>
      </c>
      <c r="S993" s="23">
        <v>0.0</v>
      </c>
      <c r="T993" s="23">
        <f t="shared" si="3"/>
        <v>0</v>
      </c>
      <c r="U993" s="23">
        <f t="shared" si="4"/>
        <v>0</v>
      </c>
      <c r="V993" s="23">
        <f t="shared" si="5"/>
        <v>0</v>
      </c>
      <c r="W993" s="24" t="str">
        <f t="shared" si="6"/>
        <v>#DIV/0!</v>
      </c>
    </row>
    <row r="994">
      <c r="A994" s="15" t="s">
        <v>7513</v>
      </c>
      <c r="B994" s="18"/>
      <c r="C994" s="15" t="s">
        <v>7514</v>
      </c>
      <c r="D994" s="18"/>
      <c r="E994" s="17" t="s">
        <v>2760</v>
      </c>
      <c r="F994" s="18"/>
      <c r="G994" s="18"/>
      <c r="H994" s="15" t="s">
        <v>7515</v>
      </c>
      <c r="I994" s="15" t="s">
        <v>176</v>
      </c>
      <c r="J994" s="19" t="s">
        <v>36</v>
      </c>
      <c r="K994" s="19" t="s">
        <v>2519</v>
      </c>
      <c r="L994" s="19" t="s">
        <v>38</v>
      </c>
      <c r="M994" s="20">
        <f t="shared" si="2"/>
        <v>0</v>
      </c>
      <c r="N994" s="22"/>
      <c r="O994" s="19" t="s">
        <v>39</v>
      </c>
      <c r="P994" s="18"/>
      <c r="Q994" s="18"/>
      <c r="R994" s="23">
        <v>0.0</v>
      </c>
      <c r="S994" s="23">
        <v>0.0</v>
      </c>
      <c r="T994" s="23">
        <f t="shared" si="3"/>
        <v>0</v>
      </c>
      <c r="U994" s="23">
        <f t="shared" si="4"/>
        <v>0</v>
      </c>
      <c r="V994" s="23">
        <f t="shared" si="5"/>
        <v>0</v>
      </c>
      <c r="W994" s="24" t="str">
        <f t="shared" si="6"/>
        <v>#DIV/0!</v>
      </c>
    </row>
    <row r="995">
      <c r="A995" s="15" t="s">
        <v>855</v>
      </c>
      <c r="B995" s="15" t="s">
        <v>856</v>
      </c>
      <c r="C995" s="15" t="s">
        <v>6071</v>
      </c>
      <c r="D995" s="15" t="s">
        <v>857</v>
      </c>
      <c r="E995" s="17" t="s">
        <v>858</v>
      </c>
      <c r="F995" s="18"/>
      <c r="G995" s="18"/>
      <c r="H995" s="15" t="s">
        <v>859</v>
      </c>
      <c r="I995" s="18"/>
      <c r="J995" s="19" t="s">
        <v>602</v>
      </c>
      <c r="K995" s="33"/>
      <c r="L995" s="19" t="s">
        <v>52</v>
      </c>
      <c r="M995" s="20">
        <f t="shared" si="2"/>
        <v>2468.64</v>
      </c>
      <c r="N995" s="31">
        <v>6.0</v>
      </c>
      <c r="O995" s="19" t="s">
        <v>107</v>
      </c>
      <c r="P995" s="18"/>
      <c r="Q995" s="18"/>
      <c r="R995" s="23">
        <v>33.0</v>
      </c>
      <c r="S995" s="23">
        <v>139.0</v>
      </c>
      <c r="T995" s="23">
        <f t="shared" si="3"/>
        <v>133.44</v>
      </c>
      <c r="U995" s="23">
        <f t="shared" si="4"/>
        <v>40.425</v>
      </c>
      <c r="V995" s="23">
        <f t="shared" si="5"/>
        <v>757.96875</v>
      </c>
      <c r="W995" s="24">
        <f t="shared" si="6"/>
        <v>4.043636364</v>
      </c>
    </row>
    <row r="996">
      <c r="A996" s="15" t="s">
        <v>2763</v>
      </c>
      <c r="B996" s="18"/>
      <c r="C996" s="15" t="s">
        <v>7516</v>
      </c>
      <c r="D996" s="18"/>
      <c r="E996" s="17" t="s">
        <v>2764</v>
      </c>
      <c r="F996" s="18"/>
      <c r="G996" s="18"/>
      <c r="H996" s="15" t="s">
        <v>2765</v>
      </c>
      <c r="I996" s="15" t="s">
        <v>2766</v>
      </c>
      <c r="J996" s="19" t="s">
        <v>36</v>
      </c>
      <c r="K996" s="19" t="s">
        <v>691</v>
      </c>
      <c r="L996" s="19" t="s">
        <v>38</v>
      </c>
      <c r="M996" s="20">
        <f t="shared" si="2"/>
        <v>0</v>
      </c>
      <c r="N996" s="22"/>
      <c r="O996" s="19" t="s">
        <v>1145</v>
      </c>
      <c r="P996" s="18"/>
      <c r="Q996" s="18"/>
      <c r="R996" s="23">
        <v>0.0</v>
      </c>
      <c r="S996" s="23">
        <v>0.0</v>
      </c>
      <c r="T996" s="23">
        <f t="shared" si="3"/>
        <v>0</v>
      </c>
      <c r="U996" s="23">
        <f t="shared" si="4"/>
        <v>0</v>
      </c>
      <c r="V996" s="23">
        <f t="shared" si="5"/>
        <v>0</v>
      </c>
      <c r="W996" s="24" t="str">
        <f t="shared" si="6"/>
        <v>#DIV/0!</v>
      </c>
    </row>
    <row r="997">
      <c r="A997" s="15" t="s">
        <v>2767</v>
      </c>
      <c r="B997" s="18"/>
      <c r="C997" s="15" t="s">
        <v>7517</v>
      </c>
      <c r="D997" s="18"/>
      <c r="E997" s="17" t="s">
        <v>2768</v>
      </c>
      <c r="F997" s="18"/>
      <c r="G997" s="18"/>
      <c r="H997" s="15" t="s">
        <v>2769</v>
      </c>
      <c r="I997" s="15" t="s">
        <v>2770</v>
      </c>
      <c r="J997" s="19" t="s">
        <v>36</v>
      </c>
      <c r="K997" s="19" t="s">
        <v>2401</v>
      </c>
      <c r="L997" s="19" t="s">
        <v>38</v>
      </c>
      <c r="M997" s="20">
        <f t="shared" si="2"/>
        <v>0</v>
      </c>
      <c r="N997" s="22"/>
      <c r="O997" s="19" t="s">
        <v>1145</v>
      </c>
      <c r="P997" s="18"/>
      <c r="Q997" s="18"/>
      <c r="R997" s="23">
        <v>0.0</v>
      </c>
      <c r="S997" s="23">
        <v>0.0</v>
      </c>
      <c r="T997" s="23">
        <f t="shared" si="3"/>
        <v>0</v>
      </c>
      <c r="U997" s="23">
        <f t="shared" si="4"/>
        <v>0</v>
      </c>
      <c r="V997" s="23">
        <f t="shared" si="5"/>
        <v>0</v>
      </c>
      <c r="W997" s="24" t="str">
        <f t="shared" si="6"/>
        <v>#DIV/0!</v>
      </c>
    </row>
    <row r="998">
      <c r="A998" s="15" t="s">
        <v>2771</v>
      </c>
      <c r="B998" s="18"/>
      <c r="C998" s="15" t="s">
        <v>7518</v>
      </c>
      <c r="D998" s="18"/>
      <c r="E998" s="17" t="s">
        <v>2772</v>
      </c>
      <c r="F998" s="18"/>
      <c r="G998" s="18"/>
      <c r="H998" s="15" t="s">
        <v>2773</v>
      </c>
      <c r="I998" s="15" t="s">
        <v>2774</v>
      </c>
      <c r="J998" s="19" t="s">
        <v>36</v>
      </c>
      <c r="K998" s="19" t="s">
        <v>2519</v>
      </c>
      <c r="L998" s="19" t="s">
        <v>38</v>
      </c>
      <c r="M998" s="20">
        <f t="shared" si="2"/>
        <v>0</v>
      </c>
      <c r="N998" s="22"/>
      <c r="O998" s="19" t="s">
        <v>1145</v>
      </c>
      <c r="P998" s="18"/>
      <c r="Q998" s="18"/>
      <c r="R998" s="23">
        <v>0.0</v>
      </c>
      <c r="S998" s="23">
        <v>0.0</v>
      </c>
      <c r="T998" s="23">
        <f t="shared" si="3"/>
        <v>0</v>
      </c>
      <c r="U998" s="23">
        <f t="shared" si="4"/>
        <v>0</v>
      </c>
      <c r="V998" s="23">
        <f t="shared" si="5"/>
        <v>0</v>
      </c>
      <c r="W998" s="24" t="str">
        <f t="shared" si="6"/>
        <v>#DIV/0!</v>
      </c>
    </row>
    <row r="999">
      <c r="A999" s="15" t="s">
        <v>2775</v>
      </c>
      <c r="B999" s="18"/>
      <c r="C999" s="15" t="s">
        <v>7519</v>
      </c>
      <c r="D999" s="18"/>
      <c r="E999" s="17" t="s">
        <v>2776</v>
      </c>
      <c r="F999" s="18"/>
      <c r="G999" s="18"/>
      <c r="H999" s="15" t="s">
        <v>2777</v>
      </c>
      <c r="I999" s="15" t="s">
        <v>2778</v>
      </c>
      <c r="J999" s="19" t="s">
        <v>36</v>
      </c>
      <c r="K999" s="19" t="s">
        <v>2506</v>
      </c>
      <c r="L999" s="19" t="s">
        <v>38</v>
      </c>
      <c r="M999" s="20">
        <f t="shared" si="2"/>
        <v>0</v>
      </c>
      <c r="N999" s="22"/>
      <c r="O999" s="19" t="s">
        <v>1145</v>
      </c>
      <c r="P999" s="18"/>
      <c r="Q999" s="18"/>
      <c r="R999" s="23">
        <v>0.0</v>
      </c>
      <c r="S999" s="23">
        <v>0.0</v>
      </c>
      <c r="T999" s="23">
        <f t="shared" si="3"/>
        <v>0</v>
      </c>
      <c r="U999" s="23">
        <f t="shared" si="4"/>
        <v>0</v>
      </c>
      <c r="V999" s="23">
        <f t="shared" si="5"/>
        <v>0</v>
      </c>
      <c r="W999" s="24" t="str">
        <f t="shared" si="6"/>
        <v>#DIV/0!</v>
      </c>
    </row>
    <row r="1000">
      <c r="A1000" s="15" t="s">
        <v>2779</v>
      </c>
      <c r="B1000" s="18"/>
      <c r="C1000" s="15" t="s">
        <v>7520</v>
      </c>
      <c r="D1000" s="18"/>
      <c r="E1000" s="17" t="s">
        <v>2780</v>
      </c>
      <c r="F1000" s="18"/>
      <c r="G1000" s="18"/>
      <c r="H1000" s="15" t="s">
        <v>2781</v>
      </c>
      <c r="I1000" s="15" t="s">
        <v>2782</v>
      </c>
      <c r="J1000" s="19" t="s">
        <v>36</v>
      </c>
      <c r="K1000" s="19" t="s">
        <v>691</v>
      </c>
      <c r="L1000" s="19" t="s">
        <v>38</v>
      </c>
      <c r="M1000" s="20">
        <f t="shared" si="2"/>
        <v>0</v>
      </c>
      <c r="N1000" s="22"/>
      <c r="O1000" s="19" t="s">
        <v>1145</v>
      </c>
      <c r="P1000" s="18"/>
      <c r="Q1000" s="18"/>
      <c r="R1000" s="23">
        <v>0.0</v>
      </c>
      <c r="S1000" s="23">
        <v>0.0</v>
      </c>
      <c r="T1000" s="23">
        <f t="shared" si="3"/>
        <v>0</v>
      </c>
      <c r="U1000" s="23">
        <f t="shared" si="4"/>
        <v>0</v>
      </c>
      <c r="V1000" s="23">
        <f t="shared" si="5"/>
        <v>0</v>
      </c>
      <c r="W1000" s="24" t="str">
        <f t="shared" si="6"/>
        <v>#DIV/0!</v>
      </c>
    </row>
    <row r="1001">
      <c r="A1001" s="15" t="s">
        <v>2783</v>
      </c>
      <c r="B1001" s="18"/>
      <c r="C1001" s="15" t="s">
        <v>7521</v>
      </c>
      <c r="D1001" s="18"/>
      <c r="E1001" s="17" t="s">
        <v>2784</v>
      </c>
      <c r="F1001" s="18"/>
      <c r="G1001" s="18"/>
      <c r="H1001" s="15" t="s">
        <v>2785</v>
      </c>
      <c r="I1001" s="15" t="s">
        <v>2786</v>
      </c>
      <c r="J1001" s="19" t="s">
        <v>36</v>
      </c>
      <c r="K1001" s="19" t="s">
        <v>2396</v>
      </c>
      <c r="L1001" s="19" t="s">
        <v>38</v>
      </c>
      <c r="M1001" s="20">
        <f t="shared" si="2"/>
        <v>0</v>
      </c>
      <c r="N1001" s="22"/>
      <c r="O1001" s="19" t="s">
        <v>1145</v>
      </c>
      <c r="P1001" s="18"/>
      <c r="Q1001" s="18"/>
      <c r="R1001" s="23">
        <v>0.0</v>
      </c>
      <c r="S1001" s="23">
        <v>0.0</v>
      </c>
      <c r="T1001" s="23">
        <f t="shared" si="3"/>
        <v>0</v>
      </c>
      <c r="U1001" s="23">
        <f t="shared" si="4"/>
        <v>0</v>
      </c>
      <c r="V1001" s="23">
        <f t="shared" si="5"/>
        <v>0</v>
      </c>
      <c r="W1001" s="24" t="str">
        <f t="shared" si="6"/>
        <v>#DIV/0!</v>
      </c>
    </row>
    <row r="1002">
      <c r="A1002" s="15" t="s">
        <v>2787</v>
      </c>
      <c r="B1002" s="18"/>
      <c r="C1002" s="15" t="s">
        <v>7522</v>
      </c>
      <c r="D1002" s="18"/>
      <c r="E1002" s="17" t="s">
        <v>2788</v>
      </c>
      <c r="F1002" s="18"/>
      <c r="G1002" s="18"/>
      <c r="H1002" s="15" t="s">
        <v>2789</v>
      </c>
      <c r="I1002" s="15" t="s">
        <v>2790</v>
      </c>
      <c r="J1002" s="19" t="s">
        <v>36</v>
      </c>
      <c r="K1002" s="19" t="s">
        <v>2387</v>
      </c>
      <c r="L1002" s="19" t="s">
        <v>38</v>
      </c>
      <c r="M1002" s="20">
        <f t="shared" si="2"/>
        <v>0</v>
      </c>
      <c r="N1002" s="22"/>
      <c r="O1002" s="19" t="s">
        <v>1145</v>
      </c>
      <c r="P1002" s="18"/>
      <c r="Q1002" s="18"/>
      <c r="R1002" s="23">
        <v>0.0</v>
      </c>
      <c r="S1002" s="23">
        <v>0.0</v>
      </c>
      <c r="T1002" s="23">
        <f t="shared" si="3"/>
        <v>0</v>
      </c>
      <c r="U1002" s="23">
        <f t="shared" si="4"/>
        <v>0</v>
      </c>
      <c r="V1002" s="23">
        <f t="shared" si="5"/>
        <v>0</v>
      </c>
      <c r="W1002" s="24" t="str">
        <f t="shared" si="6"/>
        <v>#DIV/0!</v>
      </c>
    </row>
    <row r="1003">
      <c r="A1003" s="15" t="s">
        <v>557</v>
      </c>
      <c r="B1003" s="15" t="s">
        <v>558</v>
      </c>
      <c r="C1003" s="15" t="s">
        <v>6027</v>
      </c>
      <c r="D1003" s="15" t="s">
        <v>559</v>
      </c>
      <c r="E1003" s="17" t="s">
        <v>560</v>
      </c>
      <c r="F1003" s="18"/>
      <c r="G1003" s="18"/>
      <c r="H1003" s="15" t="s">
        <v>561</v>
      </c>
      <c r="I1003" s="18"/>
      <c r="J1003" s="19" t="s">
        <v>36</v>
      </c>
      <c r="K1003" s="33"/>
      <c r="L1003" s="19" t="s">
        <v>177</v>
      </c>
      <c r="M1003" s="20">
        <f t="shared" si="2"/>
        <v>2504.16</v>
      </c>
      <c r="N1003" s="31">
        <v>3.0</v>
      </c>
      <c r="O1003" s="19" t="s">
        <v>107</v>
      </c>
      <c r="P1003" s="18"/>
      <c r="Q1003" s="18"/>
      <c r="R1003" s="23">
        <v>24.0</v>
      </c>
      <c r="S1003" s="23">
        <v>141.0</v>
      </c>
      <c r="T1003" s="23">
        <f t="shared" si="3"/>
        <v>135.36</v>
      </c>
      <c r="U1003" s="23">
        <f t="shared" si="4"/>
        <v>29.4</v>
      </c>
      <c r="V1003" s="23">
        <f t="shared" si="5"/>
        <v>551.25</v>
      </c>
      <c r="W1003" s="24">
        <f t="shared" si="6"/>
        <v>5.64</v>
      </c>
    </row>
    <row r="1004">
      <c r="A1004" s="15" t="s">
        <v>692</v>
      </c>
      <c r="B1004" s="15" t="s">
        <v>693</v>
      </c>
      <c r="C1004" s="15" t="s">
        <v>6028</v>
      </c>
      <c r="D1004" s="15" t="s">
        <v>694</v>
      </c>
      <c r="E1004" s="17" t="s">
        <v>695</v>
      </c>
      <c r="F1004" s="18"/>
      <c r="G1004" s="18"/>
      <c r="H1004" s="15" t="s">
        <v>696</v>
      </c>
      <c r="I1004" s="18"/>
      <c r="J1004" s="19" t="s">
        <v>36</v>
      </c>
      <c r="K1004" s="33"/>
      <c r="L1004" s="19" t="s">
        <v>177</v>
      </c>
      <c r="M1004" s="20">
        <f t="shared" si="2"/>
        <v>3214.56</v>
      </c>
      <c r="N1004" s="31">
        <v>3.0</v>
      </c>
      <c r="O1004" s="19" t="s">
        <v>107</v>
      </c>
      <c r="P1004" s="18"/>
      <c r="Q1004" s="18"/>
      <c r="R1004" s="23">
        <v>36.0</v>
      </c>
      <c r="S1004" s="23">
        <v>181.0</v>
      </c>
      <c r="T1004" s="23">
        <f t="shared" si="3"/>
        <v>173.76</v>
      </c>
      <c r="U1004" s="23">
        <f t="shared" si="4"/>
        <v>44.1</v>
      </c>
      <c r="V1004" s="23">
        <f t="shared" si="5"/>
        <v>826.875</v>
      </c>
      <c r="W1004" s="24">
        <f t="shared" si="6"/>
        <v>4.826666667</v>
      </c>
    </row>
    <row r="1005">
      <c r="A1005" s="15" t="s">
        <v>1104</v>
      </c>
      <c r="B1005" s="15" t="s">
        <v>1105</v>
      </c>
      <c r="C1005" s="15" t="s">
        <v>6029</v>
      </c>
      <c r="D1005" s="15" t="s">
        <v>1106</v>
      </c>
      <c r="E1005" s="17" t="s">
        <v>1107</v>
      </c>
      <c r="F1005" s="18"/>
      <c r="G1005" s="15" t="s">
        <v>1108</v>
      </c>
      <c r="H1005" s="15" t="s">
        <v>1109</v>
      </c>
      <c r="I1005" s="18"/>
      <c r="J1005" s="19" t="s">
        <v>36</v>
      </c>
      <c r="K1005" s="19" t="s">
        <v>60</v>
      </c>
      <c r="L1005" s="19" t="s">
        <v>177</v>
      </c>
      <c r="M1005" s="20">
        <f t="shared" si="2"/>
        <v>3853.92</v>
      </c>
      <c r="N1005" s="31">
        <v>3.0</v>
      </c>
      <c r="O1005" s="19" t="s">
        <v>107</v>
      </c>
      <c r="P1005" s="18"/>
      <c r="Q1005" s="18"/>
      <c r="R1005" s="23">
        <v>82.0</v>
      </c>
      <c r="S1005" s="23">
        <v>217.0</v>
      </c>
      <c r="T1005" s="23">
        <f t="shared" si="3"/>
        <v>208.32</v>
      </c>
      <c r="U1005" s="23">
        <f t="shared" si="4"/>
        <v>100.45</v>
      </c>
      <c r="V1005" s="23">
        <f t="shared" si="5"/>
        <v>1883.4375</v>
      </c>
      <c r="W1005" s="24">
        <f t="shared" si="6"/>
        <v>2.540487805</v>
      </c>
    </row>
    <row r="1006">
      <c r="A1006" s="15" t="s">
        <v>1084</v>
      </c>
      <c r="B1006" s="15" t="s">
        <v>1085</v>
      </c>
      <c r="C1006" s="15" t="s">
        <v>7524</v>
      </c>
      <c r="D1006" s="15" t="s">
        <v>1086</v>
      </c>
      <c r="E1006" s="17" t="s">
        <v>1087</v>
      </c>
      <c r="F1006" s="18"/>
      <c r="G1006" s="18"/>
      <c r="H1006" s="15" t="s">
        <v>1088</v>
      </c>
      <c r="I1006" s="18"/>
      <c r="J1006" s="19" t="s">
        <v>36</v>
      </c>
      <c r="K1006" s="33"/>
      <c r="L1006" s="19" t="s">
        <v>177</v>
      </c>
      <c r="M1006" s="20">
        <f t="shared" si="2"/>
        <v>27385.92</v>
      </c>
      <c r="N1006" s="31">
        <v>2.0</v>
      </c>
      <c r="O1006" s="19" t="s">
        <v>107</v>
      </c>
      <c r="P1006" s="18"/>
      <c r="Q1006" s="18"/>
      <c r="R1006" s="23">
        <v>530.0</v>
      </c>
      <c r="S1006" s="23">
        <v>1542.0</v>
      </c>
      <c r="T1006" s="23">
        <f t="shared" si="3"/>
        <v>1480.32</v>
      </c>
      <c r="U1006" s="23">
        <f t="shared" si="4"/>
        <v>649.25</v>
      </c>
      <c r="V1006" s="23">
        <f t="shared" si="5"/>
        <v>12173.4375</v>
      </c>
      <c r="W1006" s="24">
        <f t="shared" si="6"/>
        <v>2.793056604</v>
      </c>
    </row>
    <row r="1007">
      <c r="A1007" s="15" t="s">
        <v>369</v>
      </c>
      <c r="B1007" s="15" t="s">
        <v>370</v>
      </c>
      <c r="C1007" s="15" t="s">
        <v>7525</v>
      </c>
      <c r="D1007" s="15" t="s">
        <v>371</v>
      </c>
      <c r="E1007" s="17" t="s">
        <v>372</v>
      </c>
      <c r="F1007" s="18"/>
      <c r="G1007" s="18"/>
      <c r="H1007" s="15" t="s">
        <v>373</v>
      </c>
      <c r="I1007" s="18"/>
      <c r="J1007" s="19" t="s">
        <v>36</v>
      </c>
      <c r="K1007" s="19" t="s">
        <v>60</v>
      </c>
      <c r="L1007" s="19" t="s">
        <v>177</v>
      </c>
      <c r="M1007" s="20">
        <f t="shared" si="2"/>
        <v>42197.76</v>
      </c>
      <c r="N1007" s="31">
        <v>1.0</v>
      </c>
      <c r="O1007" s="19" t="s">
        <v>107</v>
      </c>
      <c r="P1007" s="18"/>
      <c r="Q1007" s="18"/>
      <c r="R1007" s="23">
        <v>260.0</v>
      </c>
      <c r="S1007" s="23">
        <v>2376.0</v>
      </c>
      <c r="T1007" s="23">
        <f t="shared" si="3"/>
        <v>2280.96</v>
      </c>
      <c r="U1007" s="23">
        <f t="shared" si="4"/>
        <v>318.5</v>
      </c>
      <c r="V1007" s="23">
        <f t="shared" si="5"/>
        <v>5971.875</v>
      </c>
      <c r="W1007" s="24">
        <f t="shared" si="6"/>
        <v>8.772923077</v>
      </c>
    </row>
    <row r="1008">
      <c r="A1008" s="15" t="s">
        <v>461</v>
      </c>
      <c r="B1008" s="15" t="s">
        <v>462</v>
      </c>
      <c r="C1008" s="15" t="s">
        <v>7526</v>
      </c>
      <c r="D1008" s="15" t="s">
        <v>463</v>
      </c>
      <c r="E1008" s="17" t="s">
        <v>464</v>
      </c>
      <c r="F1008" s="18"/>
      <c r="G1008" s="18"/>
      <c r="H1008" s="15" t="s">
        <v>465</v>
      </c>
      <c r="I1008" s="15"/>
      <c r="J1008" s="19" t="s">
        <v>36</v>
      </c>
      <c r="K1008" s="19" t="s">
        <v>60</v>
      </c>
      <c r="L1008" s="19" t="s">
        <v>177</v>
      </c>
      <c r="M1008" s="20">
        <f t="shared" si="2"/>
        <v>38681.28</v>
      </c>
      <c r="N1008" s="31">
        <v>1.0</v>
      </c>
      <c r="O1008" s="19" t="s">
        <v>107</v>
      </c>
      <c r="P1008" s="18"/>
      <c r="Q1008" s="18"/>
      <c r="R1008" s="23">
        <v>250.0</v>
      </c>
      <c r="S1008" s="23">
        <v>2178.0</v>
      </c>
      <c r="T1008" s="23">
        <f t="shared" si="3"/>
        <v>2090.88</v>
      </c>
      <c r="U1008" s="23">
        <f t="shared" si="4"/>
        <v>306.25</v>
      </c>
      <c r="V1008" s="23">
        <f t="shared" si="5"/>
        <v>5742.1875</v>
      </c>
      <c r="W1008" s="24">
        <f t="shared" si="6"/>
        <v>8.36352</v>
      </c>
    </row>
    <row r="1009">
      <c r="A1009" s="15" t="s">
        <v>7527</v>
      </c>
      <c r="B1009" s="15" t="s">
        <v>7528</v>
      </c>
      <c r="C1009" s="15" t="s">
        <v>7529</v>
      </c>
      <c r="D1009" s="18"/>
      <c r="E1009" s="17" t="s">
        <v>7530</v>
      </c>
      <c r="F1009" s="18"/>
      <c r="G1009" s="18"/>
      <c r="H1009" s="15" t="s">
        <v>7531</v>
      </c>
      <c r="I1009" s="18"/>
      <c r="J1009" s="19" t="s">
        <v>36</v>
      </c>
      <c r="K1009" s="33"/>
      <c r="L1009" s="19" t="s">
        <v>38</v>
      </c>
      <c r="M1009" s="20">
        <f t="shared" si="2"/>
        <v>0</v>
      </c>
      <c r="N1009" s="22"/>
      <c r="O1009" s="19" t="s">
        <v>39</v>
      </c>
      <c r="P1009" s="18"/>
      <c r="Q1009" s="18"/>
      <c r="R1009" s="23">
        <v>0.0</v>
      </c>
      <c r="S1009" s="23">
        <v>0.0</v>
      </c>
      <c r="T1009" s="23">
        <f t="shared" si="3"/>
        <v>0</v>
      </c>
      <c r="U1009" s="23">
        <f t="shared" si="4"/>
        <v>0</v>
      </c>
      <c r="V1009" s="23">
        <f t="shared" si="5"/>
        <v>0</v>
      </c>
      <c r="W1009" s="24" t="str">
        <f t="shared" si="6"/>
        <v>#DIV/0!</v>
      </c>
    </row>
    <row r="1010">
      <c r="A1010" s="15" t="s">
        <v>2791</v>
      </c>
      <c r="B1010" s="18"/>
      <c r="C1010" s="15" t="s">
        <v>7532</v>
      </c>
      <c r="D1010" s="18"/>
      <c r="E1010" s="17" t="s">
        <v>2792</v>
      </c>
      <c r="F1010" s="18"/>
      <c r="G1010" s="18"/>
      <c r="H1010" s="15" t="s">
        <v>2793</v>
      </c>
      <c r="I1010" s="15" t="s">
        <v>2794</v>
      </c>
      <c r="J1010" s="19" t="s">
        <v>36</v>
      </c>
      <c r="K1010" s="19" t="s">
        <v>691</v>
      </c>
      <c r="L1010" s="19" t="s">
        <v>38</v>
      </c>
      <c r="M1010" s="20">
        <f t="shared" si="2"/>
        <v>0</v>
      </c>
      <c r="N1010" s="22"/>
      <c r="O1010" s="19" t="s">
        <v>1145</v>
      </c>
      <c r="P1010" s="18"/>
      <c r="Q1010" s="18"/>
      <c r="R1010" s="23">
        <v>0.0</v>
      </c>
      <c r="S1010" s="23">
        <v>0.0</v>
      </c>
      <c r="T1010" s="23">
        <f t="shared" si="3"/>
        <v>0</v>
      </c>
      <c r="U1010" s="23">
        <f t="shared" si="4"/>
        <v>0</v>
      </c>
      <c r="V1010" s="23">
        <f t="shared" si="5"/>
        <v>0</v>
      </c>
      <c r="W1010" s="24" t="str">
        <f t="shared" si="6"/>
        <v>#DIV/0!</v>
      </c>
    </row>
    <row r="1011">
      <c r="A1011" s="15" t="s">
        <v>2795</v>
      </c>
      <c r="B1011" s="18"/>
      <c r="C1011" s="15" t="s">
        <v>7533</v>
      </c>
      <c r="D1011" s="18"/>
      <c r="E1011" s="17" t="s">
        <v>2796</v>
      </c>
      <c r="F1011" s="18"/>
      <c r="G1011" s="18"/>
      <c r="H1011" s="15" t="s">
        <v>2797</v>
      </c>
      <c r="I1011" s="15" t="s">
        <v>2798</v>
      </c>
      <c r="J1011" s="19" t="s">
        <v>36</v>
      </c>
      <c r="K1011" s="19" t="s">
        <v>691</v>
      </c>
      <c r="L1011" s="19" t="s">
        <v>38</v>
      </c>
      <c r="M1011" s="20">
        <f t="shared" si="2"/>
        <v>0</v>
      </c>
      <c r="N1011" s="22"/>
      <c r="O1011" s="19" t="s">
        <v>1145</v>
      </c>
      <c r="P1011" s="18"/>
      <c r="Q1011" s="18"/>
      <c r="R1011" s="23">
        <v>0.0</v>
      </c>
      <c r="S1011" s="23">
        <v>0.0</v>
      </c>
      <c r="T1011" s="23">
        <f t="shared" si="3"/>
        <v>0</v>
      </c>
      <c r="U1011" s="23">
        <f t="shared" si="4"/>
        <v>0</v>
      </c>
      <c r="V1011" s="23">
        <f t="shared" si="5"/>
        <v>0</v>
      </c>
      <c r="W1011" s="24" t="str">
        <f t="shared" si="6"/>
        <v>#DIV/0!</v>
      </c>
    </row>
    <row r="1012">
      <c r="A1012" s="15" t="s">
        <v>2799</v>
      </c>
      <c r="B1012" s="18"/>
      <c r="C1012" s="15" t="s">
        <v>7534</v>
      </c>
      <c r="D1012" s="18"/>
      <c r="E1012" s="17" t="s">
        <v>2800</v>
      </c>
      <c r="F1012" s="18"/>
      <c r="G1012" s="18"/>
      <c r="H1012" s="15" t="s">
        <v>2801</v>
      </c>
      <c r="I1012" s="15" t="s">
        <v>2802</v>
      </c>
      <c r="J1012" s="19" t="s">
        <v>36</v>
      </c>
      <c r="K1012" s="19" t="s">
        <v>691</v>
      </c>
      <c r="L1012" s="19" t="s">
        <v>38</v>
      </c>
      <c r="M1012" s="20">
        <f t="shared" si="2"/>
        <v>0</v>
      </c>
      <c r="N1012" s="22"/>
      <c r="O1012" s="19" t="s">
        <v>1145</v>
      </c>
      <c r="P1012" s="18"/>
      <c r="Q1012" s="18"/>
      <c r="R1012" s="23">
        <v>0.0</v>
      </c>
      <c r="S1012" s="23">
        <v>0.0</v>
      </c>
      <c r="T1012" s="23">
        <f t="shared" si="3"/>
        <v>0</v>
      </c>
      <c r="U1012" s="23">
        <f t="shared" si="4"/>
        <v>0</v>
      </c>
      <c r="V1012" s="23">
        <f t="shared" si="5"/>
        <v>0</v>
      </c>
      <c r="W1012" s="24" t="str">
        <f t="shared" si="6"/>
        <v>#DIV/0!</v>
      </c>
    </row>
    <row r="1013">
      <c r="A1013" s="15" t="s">
        <v>2803</v>
      </c>
      <c r="B1013" s="18"/>
      <c r="C1013" s="15" t="s">
        <v>7535</v>
      </c>
      <c r="D1013" s="18"/>
      <c r="E1013" s="17" t="s">
        <v>2804</v>
      </c>
      <c r="F1013" s="18"/>
      <c r="G1013" s="18"/>
      <c r="H1013" s="15" t="s">
        <v>2805</v>
      </c>
      <c r="I1013" s="15" t="s">
        <v>2806</v>
      </c>
      <c r="J1013" s="19" t="s">
        <v>36</v>
      </c>
      <c r="K1013" s="19" t="s">
        <v>2396</v>
      </c>
      <c r="L1013" s="19" t="s">
        <v>38</v>
      </c>
      <c r="M1013" s="20">
        <f t="shared" si="2"/>
        <v>0</v>
      </c>
      <c r="N1013" s="22"/>
      <c r="O1013" s="19" t="s">
        <v>1145</v>
      </c>
      <c r="P1013" s="18"/>
      <c r="Q1013" s="18"/>
      <c r="R1013" s="23">
        <v>0.0</v>
      </c>
      <c r="S1013" s="23">
        <v>0.0</v>
      </c>
      <c r="T1013" s="23">
        <f t="shared" si="3"/>
        <v>0</v>
      </c>
      <c r="U1013" s="23">
        <f t="shared" si="4"/>
        <v>0</v>
      </c>
      <c r="V1013" s="23">
        <f t="shared" si="5"/>
        <v>0</v>
      </c>
      <c r="W1013" s="24" t="str">
        <f t="shared" si="6"/>
        <v>#DIV/0!</v>
      </c>
    </row>
    <row r="1014">
      <c r="A1014" s="15" t="s">
        <v>2807</v>
      </c>
      <c r="B1014" s="18"/>
      <c r="C1014" s="15" t="s">
        <v>7536</v>
      </c>
      <c r="D1014" s="18"/>
      <c r="E1014" s="17" t="s">
        <v>2804</v>
      </c>
      <c r="F1014" s="18"/>
      <c r="G1014" s="18"/>
      <c r="H1014" s="15" t="s">
        <v>2808</v>
      </c>
      <c r="I1014" s="15" t="s">
        <v>2809</v>
      </c>
      <c r="J1014" s="19" t="s">
        <v>36</v>
      </c>
      <c r="K1014" s="19" t="s">
        <v>2396</v>
      </c>
      <c r="L1014" s="19" t="s">
        <v>38</v>
      </c>
      <c r="M1014" s="20">
        <f t="shared" si="2"/>
        <v>0</v>
      </c>
      <c r="N1014" s="22"/>
      <c r="O1014" s="19" t="s">
        <v>1145</v>
      </c>
      <c r="P1014" s="18"/>
      <c r="Q1014" s="18"/>
      <c r="R1014" s="23">
        <v>0.0</v>
      </c>
      <c r="S1014" s="23">
        <v>0.0</v>
      </c>
      <c r="T1014" s="23">
        <f t="shared" si="3"/>
        <v>0</v>
      </c>
      <c r="U1014" s="23">
        <f t="shared" si="4"/>
        <v>0</v>
      </c>
      <c r="V1014" s="23">
        <f t="shared" si="5"/>
        <v>0</v>
      </c>
      <c r="W1014" s="24" t="str">
        <f t="shared" si="6"/>
        <v>#DIV/0!</v>
      </c>
    </row>
    <row r="1015">
      <c r="A1015" s="15" t="s">
        <v>5064</v>
      </c>
      <c r="B1015" s="18"/>
      <c r="C1015" s="15" t="s">
        <v>7537</v>
      </c>
      <c r="D1015" s="18"/>
      <c r="E1015" s="17" t="s">
        <v>7538</v>
      </c>
      <c r="F1015" s="18"/>
      <c r="G1015" s="18"/>
      <c r="H1015" s="15" t="s">
        <v>7539</v>
      </c>
      <c r="I1015" s="15" t="s">
        <v>5067</v>
      </c>
      <c r="J1015" s="19" t="s">
        <v>59</v>
      </c>
      <c r="K1015" s="19" t="s">
        <v>2396</v>
      </c>
      <c r="L1015" s="19" t="s">
        <v>38</v>
      </c>
      <c r="M1015" s="20">
        <f t="shared" si="2"/>
        <v>0</v>
      </c>
      <c r="N1015" s="22"/>
      <c r="O1015" s="19" t="s">
        <v>1145</v>
      </c>
      <c r="P1015" s="18"/>
      <c r="Q1015" s="18"/>
      <c r="R1015" s="23">
        <v>0.0</v>
      </c>
      <c r="S1015" s="23">
        <v>0.0</v>
      </c>
      <c r="T1015" s="23">
        <f t="shared" si="3"/>
        <v>0</v>
      </c>
      <c r="U1015" s="23">
        <f t="shared" si="4"/>
        <v>0</v>
      </c>
      <c r="V1015" s="23">
        <f t="shared" si="5"/>
        <v>0</v>
      </c>
      <c r="W1015" s="24" t="str">
        <f t="shared" si="6"/>
        <v>#DIV/0!</v>
      </c>
    </row>
    <row r="1016">
      <c r="A1016" s="15" t="s">
        <v>5068</v>
      </c>
      <c r="B1016" s="18"/>
      <c r="C1016" s="15" t="s">
        <v>7540</v>
      </c>
      <c r="D1016" s="18"/>
      <c r="E1016" s="17" t="s">
        <v>7541</v>
      </c>
      <c r="F1016" s="18"/>
      <c r="G1016" s="18"/>
      <c r="H1016" s="15" t="s">
        <v>7542</v>
      </c>
      <c r="I1016" s="15" t="s">
        <v>5070</v>
      </c>
      <c r="J1016" s="19" t="s">
        <v>59</v>
      </c>
      <c r="K1016" s="19" t="s">
        <v>2396</v>
      </c>
      <c r="L1016" s="19" t="s">
        <v>38</v>
      </c>
      <c r="M1016" s="20">
        <f t="shared" si="2"/>
        <v>0</v>
      </c>
      <c r="N1016" s="22"/>
      <c r="O1016" s="19" t="s">
        <v>1145</v>
      </c>
      <c r="P1016" s="18"/>
      <c r="Q1016" s="18"/>
      <c r="R1016" s="23">
        <v>0.0</v>
      </c>
      <c r="S1016" s="23">
        <v>0.0</v>
      </c>
      <c r="T1016" s="23">
        <f t="shared" si="3"/>
        <v>0</v>
      </c>
      <c r="U1016" s="23">
        <f t="shared" si="4"/>
        <v>0</v>
      </c>
      <c r="V1016" s="23">
        <f t="shared" si="5"/>
        <v>0</v>
      </c>
      <c r="W1016" s="24" t="str">
        <f t="shared" si="6"/>
        <v>#DIV/0!</v>
      </c>
    </row>
    <row r="1017">
      <c r="A1017" s="15" t="s">
        <v>2810</v>
      </c>
      <c r="B1017" s="18"/>
      <c r="C1017" s="15" t="s">
        <v>7543</v>
      </c>
      <c r="D1017" s="18"/>
      <c r="E1017" s="17" t="s">
        <v>2812</v>
      </c>
      <c r="F1017" s="18"/>
      <c r="G1017" s="18"/>
      <c r="H1017" s="15" t="s">
        <v>2813</v>
      </c>
      <c r="I1017" s="15" t="s">
        <v>2814</v>
      </c>
      <c r="J1017" s="19" t="s">
        <v>59</v>
      </c>
      <c r="K1017" s="19" t="s">
        <v>2382</v>
      </c>
      <c r="L1017" s="19" t="s">
        <v>38</v>
      </c>
      <c r="M1017" s="20">
        <f t="shared" si="2"/>
        <v>0</v>
      </c>
      <c r="N1017" s="22"/>
      <c r="O1017" s="19" t="s">
        <v>1145</v>
      </c>
      <c r="P1017" s="18"/>
      <c r="Q1017" s="18"/>
      <c r="R1017" s="23">
        <v>0.0</v>
      </c>
      <c r="S1017" s="23">
        <v>0.0</v>
      </c>
      <c r="T1017" s="23">
        <f t="shared" si="3"/>
        <v>0</v>
      </c>
      <c r="U1017" s="23">
        <f t="shared" si="4"/>
        <v>0</v>
      </c>
      <c r="V1017" s="23">
        <f t="shared" si="5"/>
        <v>0</v>
      </c>
      <c r="W1017" s="24" t="str">
        <f t="shared" si="6"/>
        <v>#DIV/0!</v>
      </c>
    </row>
    <row r="1018">
      <c r="A1018" s="15" t="s">
        <v>7544</v>
      </c>
      <c r="B1018" s="15" t="s">
        <v>7545</v>
      </c>
      <c r="C1018" s="15" t="s">
        <v>7546</v>
      </c>
      <c r="D1018" s="18"/>
      <c r="E1018" s="17" t="s">
        <v>7547</v>
      </c>
      <c r="F1018" s="18"/>
      <c r="G1018" s="18"/>
      <c r="H1018" s="15" t="s">
        <v>5463</v>
      </c>
      <c r="I1018" s="18"/>
      <c r="J1018" s="19" t="s">
        <v>59</v>
      </c>
      <c r="K1018" s="33"/>
      <c r="L1018" s="19" t="s">
        <v>38</v>
      </c>
      <c r="M1018" s="20">
        <f t="shared" si="2"/>
        <v>0</v>
      </c>
      <c r="N1018" s="22"/>
      <c r="O1018" s="19" t="s">
        <v>3578</v>
      </c>
      <c r="P1018" s="18"/>
      <c r="Q1018" s="18"/>
      <c r="R1018" s="23">
        <v>0.0</v>
      </c>
      <c r="S1018" s="23">
        <v>0.0</v>
      </c>
      <c r="T1018" s="23">
        <f t="shared" si="3"/>
        <v>0</v>
      </c>
      <c r="U1018" s="23">
        <f t="shared" si="4"/>
        <v>0</v>
      </c>
      <c r="V1018" s="23">
        <f t="shared" si="5"/>
        <v>0</v>
      </c>
      <c r="W1018" s="24" t="str">
        <f t="shared" si="6"/>
        <v>#DIV/0!</v>
      </c>
    </row>
    <row r="1019">
      <c r="A1019" s="15" t="s">
        <v>7548</v>
      </c>
      <c r="B1019" s="15"/>
      <c r="C1019" s="15" t="s">
        <v>7549</v>
      </c>
      <c r="D1019" s="15" t="s">
        <v>7550</v>
      </c>
      <c r="E1019" s="17" t="s">
        <v>7551</v>
      </c>
      <c r="F1019" s="18"/>
      <c r="G1019" s="18"/>
      <c r="H1019" s="15" t="s">
        <v>644</v>
      </c>
      <c r="I1019" s="18"/>
      <c r="J1019" s="19" t="s">
        <v>59</v>
      </c>
      <c r="K1019" s="33"/>
      <c r="L1019" s="19" t="s">
        <v>106</v>
      </c>
      <c r="M1019" s="20">
        <f t="shared" si="2"/>
        <v>0</v>
      </c>
      <c r="N1019" s="22"/>
      <c r="O1019" s="19" t="s">
        <v>39</v>
      </c>
      <c r="P1019" s="18"/>
      <c r="Q1019" s="18"/>
      <c r="R1019" s="23">
        <v>0.0</v>
      </c>
      <c r="S1019" s="23">
        <v>0.0</v>
      </c>
      <c r="T1019" s="23">
        <f t="shared" si="3"/>
        <v>0</v>
      </c>
      <c r="U1019" s="23">
        <f t="shared" si="4"/>
        <v>0</v>
      </c>
      <c r="V1019" s="23">
        <f t="shared" si="5"/>
        <v>0</v>
      </c>
      <c r="W1019" s="24" t="str">
        <f t="shared" si="6"/>
        <v>#DIV/0!</v>
      </c>
    </row>
    <row r="1020">
      <c r="A1020" s="15" t="s">
        <v>5071</v>
      </c>
      <c r="B1020" s="18"/>
      <c r="C1020" s="15" t="s">
        <v>7552</v>
      </c>
      <c r="D1020" s="18"/>
      <c r="E1020" s="17" t="s">
        <v>7553</v>
      </c>
      <c r="F1020" s="18"/>
      <c r="G1020" s="18"/>
      <c r="H1020" s="15" t="s">
        <v>7554</v>
      </c>
      <c r="I1020" s="15" t="s">
        <v>5074</v>
      </c>
      <c r="J1020" s="19" t="s">
        <v>59</v>
      </c>
      <c r="K1020" s="19" t="s">
        <v>2401</v>
      </c>
      <c r="L1020" s="19" t="s">
        <v>38</v>
      </c>
      <c r="M1020" s="20">
        <f t="shared" si="2"/>
        <v>0</v>
      </c>
      <c r="N1020" s="22"/>
      <c r="O1020" s="19" t="s">
        <v>1145</v>
      </c>
      <c r="P1020" s="18"/>
      <c r="Q1020" s="18"/>
      <c r="R1020" s="23">
        <v>0.0</v>
      </c>
      <c r="S1020" s="23">
        <v>0.0</v>
      </c>
      <c r="T1020" s="23">
        <f t="shared" si="3"/>
        <v>0</v>
      </c>
      <c r="U1020" s="23">
        <f t="shared" si="4"/>
        <v>0</v>
      </c>
      <c r="V1020" s="23">
        <f t="shared" si="5"/>
        <v>0</v>
      </c>
      <c r="W1020" s="24" t="str">
        <f t="shared" si="6"/>
        <v>#DIV/0!</v>
      </c>
    </row>
    <row r="1021">
      <c r="A1021" s="15" t="s">
        <v>5075</v>
      </c>
      <c r="B1021" s="18"/>
      <c r="C1021" s="15" t="s">
        <v>7555</v>
      </c>
      <c r="D1021" s="18"/>
      <c r="E1021" s="17" t="s">
        <v>7556</v>
      </c>
      <c r="F1021" s="18"/>
      <c r="G1021" s="18"/>
      <c r="H1021" s="15" t="s">
        <v>7557</v>
      </c>
      <c r="I1021" s="15" t="s">
        <v>5078</v>
      </c>
      <c r="J1021" s="19" t="s">
        <v>59</v>
      </c>
      <c r="K1021" s="19" t="s">
        <v>2401</v>
      </c>
      <c r="L1021" s="19" t="s">
        <v>38</v>
      </c>
      <c r="M1021" s="20">
        <f t="shared" si="2"/>
        <v>0</v>
      </c>
      <c r="N1021" s="22"/>
      <c r="O1021" s="19" t="s">
        <v>1145</v>
      </c>
      <c r="P1021" s="18"/>
      <c r="Q1021" s="18"/>
      <c r="R1021" s="23">
        <v>0.0</v>
      </c>
      <c r="S1021" s="23">
        <v>0.0</v>
      </c>
      <c r="T1021" s="23">
        <f t="shared" si="3"/>
        <v>0</v>
      </c>
      <c r="U1021" s="23">
        <f t="shared" si="4"/>
        <v>0</v>
      </c>
      <c r="V1021" s="23">
        <f t="shared" si="5"/>
        <v>0</v>
      </c>
      <c r="W1021" s="24" t="str">
        <f t="shared" si="6"/>
        <v>#DIV/0!</v>
      </c>
    </row>
    <row r="1022">
      <c r="A1022" s="15" t="s">
        <v>2815</v>
      </c>
      <c r="B1022" s="18"/>
      <c r="C1022" s="15" t="s">
        <v>7558</v>
      </c>
      <c r="D1022" s="18"/>
      <c r="E1022" s="17" t="s">
        <v>2816</v>
      </c>
      <c r="F1022" s="18"/>
      <c r="G1022" s="18"/>
      <c r="H1022" s="15" t="s">
        <v>2817</v>
      </c>
      <c r="I1022" s="15" t="s">
        <v>2818</v>
      </c>
      <c r="J1022" s="19" t="s">
        <v>59</v>
      </c>
      <c r="K1022" s="19" t="s">
        <v>2396</v>
      </c>
      <c r="L1022" s="19" t="s">
        <v>38</v>
      </c>
      <c r="M1022" s="20">
        <f t="shared" si="2"/>
        <v>0</v>
      </c>
      <c r="N1022" s="22"/>
      <c r="O1022" s="19" t="s">
        <v>1145</v>
      </c>
      <c r="P1022" s="18"/>
      <c r="Q1022" s="18"/>
      <c r="R1022" s="23">
        <v>0.0</v>
      </c>
      <c r="S1022" s="23">
        <v>0.0</v>
      </c>
      <c r="T1022" s="23">
        <f t="shared" si="3"/>
        <v>0</v>
      </c>
      <c r="U1022" s="23">
        <f t="shared" si="4"/>
        <v>0</v>
      </c>
      <c r="V1022" s="23">
        <f t="shared" si="5"/>
        <v>0</v>
      </c>
      <c r="W1022" s="24" t="str">
        <f t="shared" si="6"/>
        <v>#DIV/0!</v>
      </c>
    </row>
    <row r="1023">
      <c r="A1023" s="15" t="s">
        <v>5079</v>
      </c>
      <c r="B1023" s="18"/>
      <c r="C1023" s="15" t="s">
        <v>7559</v>
      </c>
      <c r="D1023" s="18"/>
      <c r="E1023" s="17" t="s">
        <v>2820</v>
      </c>
      <c r="F1023" s="18"/>
      <c r="G1023" s="18"/>
      <c r="H1023" s="15" t="s">
        <v>7560</v>
      </c>
      <c r="I1023" s="15" t="s">
        <v>5082</v>
      </c>
      <c r="J1023" s="19" t="s">
        <v>59</v>
      </c>
      <c r="K1023" s="19" t="s">
        <v>2396</v>
      </c>
      <c r="L1023" s="19" t="s">
        <v>38</v>
      </c>
      <c r="M1023" s="20">
        <f t="shared" si="2"/>
        <v>0</v>
      </c>
      <c r="N1023" s="22"/>
      <c r="O1023" s="19" t="s">
        <v>1145</v>
      </c>
      <c r="P1023" s="18"/>
      <c r="Q1023" s="18"/>
      <c r="R1023" s="23">
        <v>0.0</v>
      </c>
      <c r="S1023" s="23">
        <v>0.0</v>
      </c>
      <c r="T1023" s="23">
        <f t="shared" si="3"/>
        <v>0</v>
      </c>
      <c r="U1023" s="23">
        <f t="shared" si="4"/>
        <v>0</v>
      </c>
      <c r="V1023" s="23">
        <f t="shared" si="5"/>
        <v>0</v>
      </c>
      <c r="W1023" s="24" t="str">
        <f t="shared" si="6"/>
        <v>#DIV/0!</v>
      </c>
    </row>
    <row r="1024">
      <c r="A1024" s="15" t="s">
        <v>2819</v>
      </c>
      <c r="B1024" s="18"/>
      <c r="C1024" s="15" t="s">
        <v>7561</v>
      </c>
      <c r="D1024" s="18"/>
      <c r="E1024" s="17" t="s">
        <v>2820</v>
      </c>
      <c r="F1024" s="18"/>
      <c r="G1024" s="18"/>
      <c r="H1024" s="15" t="s">
        <v>2821</v>
      </c>
      <c r="I1024" s="15" t="s">
        <v>2822</v>
      </c>
      <c r="J1024" s="19" t="s">
        <v>59</v>
      </c>
      <c r="K1024" s="19" t="s">
        <v>2396</v>
      </c>
      <c r="L1024" s="19" t="s">
        <v>38</v>
      </c>
      <c r="M1024" s="20">
        <f t="shared" si="2"/>
        <v>0</v>
      </c>
      <c r="N1024" s="22"/>
      <c r="O1024" s="19" t="s">
        <v>1145</v>
      </c>
      <c r="P1024" s="18"/>
      <c r="Q1024" s="18"/>
      <c r="R1024" s="23">
        <v>0.0</v>
      </c>
      <c r="S1024" s="23">
        <v>0.0</v>
      </c>
      <c r="T1024" s="23">
        <f t="shared" si="3"/>
        <v>0</v>
      </c>
      <c r="U1024" s="23">
        <f t="shared" si="4"/>
        <v>0</v>
      </c>
      <c r="V1024" s="23">
        <f t="shared" si="5"/>
        <v>0</v>
      </c>
      <c r="W1024" s="24" t="str">
        <f t="shared" si="6"/>
        <v>#DIV/0!</v>
      </c>
    </row>
    <row r="1025">
      <c r="A1025" s="15" t="s">
        <v>2823</v>
      </c>
      <c r="B1025" s="18"/>
      <c r="C1025" s="15" t="s">
        <v>7562</v>
      </c>
      <c r="D1025" s="18"/>
      <c r="E1025" s="17" t="s">
        <v>2820</v>
      </c>
      <c r="F1025" s="18"/>
      <c r="G1025" s="18"/>
      <c r="H1025" s="15" t="s">
        <v>2824</v>
      </c>
      <c r="I1025" s="15" t="s">
        <v>2825</v>
      </c>
      <c r="J1025" s="19" t="s">
        <v>59</v>
      </c>
      <c r="K1025" s="19" t="s">
        <v>2396</v>
      </c>
      <c r="L1025" s="19" t="s">
        <v>38</v>
      </c>
      <c r="M1025" s="20">
        <f t="shared" si="2"/>
        <v>0</v>
      </c>
      <c r="N1025" s="22"/>
      <c r="O1025" s="19" t="s">
        <v>1145</v>
      </c>
      <c r="P1025" s="18"/>
      <c r="Q1025" s="18"/>
      <c r="R1025" s="23">
        <v>0.0</v>
      </c>
      <c r="S1025" s="23">
        <v>0.0</v>
      </c>
      <c r="T1025" s="23">
        <f t="shared" si="3"/>
        <v>0</v>
      </c>
      <c r="U1025" s="23">
        <f t="shared" si="4"/>
        <v>0</v>
      </c>
      <c r="V1025" s="23">
        <f t="shared" si="5"/>
        <v>0</v>
      </c>
      <c r="W1025" s="24" t="str">
        <f t="shared" si="6"/>
        <v>#DIV/0!</v>
      </c>
    </row>
    <row r="1026">
      <c r="A1026" s="15" t="s">
        <v>5083</v>
      </c>
      <c r="B1026" s="15" t="s">
        <v>5084</v>
      </c>
      <c r="C1026" s="15" t="s">
        <v>7563</v>
      </c>
      <c r="D1026" s="15" t="s">
        <v>5085</v>
      </c>
      <c r="E1026" s="17" t="s">
        <v>5086</v>
      </c>
      <c r="F1026" s="18"/>
      <c r="G1026" s="18"/>
      <c r="H1026" s="15" t="s">
        <v>5087</v>
      </c>
      <c r="I1026" s="18"/>
      <c r="J1026" s="19" t="s">
        <v>59</v>
      </c>
      <c r="K1026" s="19" t="s">
        <v>60</v>
      </c>
      <c r="L1026" s="19" t="s">
        <v>84</v>
      </c>
      <c r="M1026" s="20">
        <f t="shared" si="2"/>
        <v>0</v>
      </c>
      <c r="N1026" s="22"/>
      <c r="O1026" s="19" t="s">
        <v>3578</v>
      </c>
      <c r="P1026" s="18"/>
      <c r="Q1026" s="18"/>
      <c r="R1026" s="23">
        <v>0.0</v>
      </c>
      <c r="S1026" s="23">
        <v>0.0</v>
      </c>
      <c r="T1026" s="23">
        <f t="shared" si="3"/>
        <v>0</v>
      </c>
      <c r="U1026" s="23">
        <f t="shared" si="4"/>
        <v>0</v>
      </c>
      <c r="V1026" s="23">
        <f t="shared" si="5"/>
        <v>0</v>
      </c>
      <c r="W1026" s="24" t="str">
        <f t="shared" si="6"/>
        <v>#DIV/0!</v>
      </c>
    </row>
    <row r="1027">
      <c r="A1027" s="15" t="s">
        <v>2826</v>
      </c>
      <c r="B1027" s="18"/>
      <c r="C1027" s="18"/>
      <c r="D1027" s="18"/>
      <c r="E1027" s="17" t="s">
        <v>2827</v>
      </c>
      <c r="F1027" s="18"/>
      <c r="G1027" s="18"/>
      <c r="H1027" s="18"/>
      <c r="I1027" s="18"/>
      <c r="J1027" s="19" t="s">
        <v>59</v>
      </c>
      <c r="K1027" s="33"/>
      <c r="L1027" s="19" t="s">
        <v>38</v>
      </c>
      <c r="M1027" s="20">
        <f t="shared" si="2"/>
        <v>0</v>
      </c>
      <c r="N1027" s="22"/>
      <c r="O1027" s="19" t="s">
        <v>1145</v>
      </c>
      <c r="P1027" s="18"/>
      <c r="Q1027" s="18"/>
      <c r="R1027" s="23">
        <v>0.0</v>
      </c>
      <c r="S1027" s="23">
        <v>0.0</v>
      </c>
      <c r="T1027" s="23">
        <f t="shared" si="3"/>
        <v>0</v>
      </c>
      <c r="U1027" s="23">
        <f t="shared" si="4"/>
        <v>0</v>
      </c>
      <c r="V1027" s="23">
        <f t="shared" si="5"/>
        <v>0</v>
      </c>
      <c r="W1027" s="24" t="str">
        <f t="shared" si="6"/>
        <v>#DIV/0!</v>
      </c>
    </row>
    <row r="1028">
      <c r="A1028" s="15" t="s">
        <v>2828</v>
      </c>
      <c r="B1028" s="18"/>
      <c r="C1028" s="18"/>
      <c r="D1028" s="18"/>
      <c r="E1028" s="17" t="s">
        <v>2827</v>
      </c>
      <c r="F1028" s="18"/>
      <c r="G1028" s="18"/>
      <c r="H1028" s="18"/>
      <c r="I1028" s="18"/>
      <c r="J1028" s="19" t="s">
        <v>59</v>
      </c>
      <c r="K1028" s="33"/>
      <c r="L1028" s="19" t="s">
        <v>38</v>
      </c>
      <c r="M1028" s="20">
        <f t="shared" si="2"/>
        <v>0</v>
      </c>
      <c r="N1028" s="22"/>
      <c r="O1028" s="19" t="s">
        <v>1145</v>
      </c>
      <c r="P1028" s="18"/>
      <c r="Q1028" s="18"/>
      <c r="R1028" s="23">
        <v>0.0</v>
      </c>
      <c r="S1028" s="23">
        <v>0.0</v>
      </c>
      <c r="T1028" s="23">
        <f t="shared" si="3"/>
        <v>0</v>
      </c>
      <c r="U1028" s="23">
        <f t="shared" si="4"/>
        <v>0</v>
      </c>
      <c r="V1028" s="23">
        <f t="shared" si="5"/>
        <v>0</v>
      </c>
      <c r="W1028" s="24" t="str">
        <f t="shared" si="6"/>
        <v>#DIV/0!</v>
      </c>
    </row>
    <row r="1029">
      <c r="A1029" s="15" t="s">
        <v>90</v>
      </c>
      <c r="B1029" s="15" t="s">
        <v>91</v>
      </c>
      <c r="C1029" s="15" t="s">
        <v>7564</v>
      </c>
      <c r="D1029" s="15" t="s">
        <v>92</v>
      </c>
      <c r="E1029" s="17" t="s">
        <v>93</v>
      </c>
      <c r="F1029" s="15" t="s">
        <v>66</v>
      </c>
      <c r="G1029" s="15" t="s">
        <v>66</v>
      </c>
      <c r="H1029" s="15" t="s">
        <v>67</v>
      </c>
      <c r="I1029" s="18"/>
      <c r="J1029" s="19" t="s">
        <v>59</v>
      </c>
      <c r="K1029" s="19" t="s">
        <v>60</v>
      </c>
      <c r="L1029" s="19" t="s">
        <v>38</v>
      </c>
      <c r="M1029" s="20">
        <f t="shared" si="2"/>
        <v>8968.8</v>
      </c>
      <c r="N1029" s="31">
        <v>1.0</v>
      </c>
      <c r="O1029" s="19" t="s">
        <v>61</v>
      </c>
      <c r="P1029" s="18"/>
      <c r="Q1029" s="18"/>
      <c r="R1029" s="23">
        <v>160.0</v>
      </c>
      <c r="S1029" s="32">
        <v>505.0</v>
      </c>
      <c r="T1029" s="23">
        <f t="shared" si="3"/>
        <v>484.8</v>
      </c>
      <c r="U1029" s="23">
        <f t="shared" si="4"/>
        <v>196</v>
      </c>
      <c r="V1029" s="23">
        <f t="shared" si="5"/>
        <v>3675</v>
      </c>
      <c r="W1029" s="24">
        <f t="shared" si="6"/>
        <v>3.03</v>
      </c>
    </row>
    <row r="1030">
      <c r="A1030" s="15" t="s">
        <v>62</v>
      </c>
      <c r="B1030" s="15" t="s">
        <v>63</v>
      </c>
      <c r="C1030" s="15" t="s">
        <v>7564</v>
      </c>
      <c r="D1030" s="15" t="s">
        <v>64</v>
      </c>
      <c r="E1030" s="17" t="s">
        <v>65</v>
      </c>
      <c r="F1030" s="18"/>
      <c r="G1030" s="15" t="s">
        <v>66</v>
      </c>
      <c r="H1030" s="15" t="s">
        <v>94</v>
      </c>
      <c r="I1030" s="18"/>
      <c r="J1030" s="19" t="s">
        <v>59</v>
      </c>
      <c r="K1030" s="19" t="s">
        <v>60</v>
      </c>
      <c r="L1030" s="19" t="s">
        <v>38</v>
      </c>
      <c r="M1030" s="20">
        <f t="shared" si="2"/>
        <v>7548</v>
      </c>
      <c r="N1030" s="31">
        <v>1.0</v>
      </c>
      <c r="O1030" s="19" t="s">
        <v>61</v>
      </c>
      <c r="P1030" s="18"/>
      <c r="Q1030" s="18"/>
      <c r="R1030" s="23">
        <v>110.0</v>
      </c>
      <c r="S1030" s="23">
        <v>425.0</v>
      </c>
      <c r="T1030" s="23">
        <f t="shared" si="3"/>
        <v>408</v>
      </c>
      <c r="U1030" s="23">
        <f t="shared" si="4"/>
        <v>134.75</v>
      </c>
      <c r="V1030" s="23">
        <f t="shared" si="5"/>
        <v>2526.5625</v>
      </c>
      <c r="W1030" s="24">
        <f t="shared" si="6"/>
        <v>3.709090909</v>
      </c>
    </row>
    <row r="1031">
      <c r="A1031" s="15" t="s">
        <v>95</v>
      </c>
      <c r="B1031" s="15" t="s">
        <v>96</v>
      </c>
      <c r="C1031" s="15" t="s">
        <v>7565</v>
      </c>
      <c r="D1031" s="15" t="s">
        <v>97</v>
      </c>
      <c r="E1031" s="17" t="s">
        <v>98</v>
      </c>
      <c r="F1031" s="18"/>
      <c r="G1031" s="15" t="s">
        <v>73</v>
      </c>
      <c r="H1031" s="15" t="s">
        <v>74</v>
      </c>
      <c r="I1031" s="18"/>
      <c r="J1031" s="19" t="s">
        <v>59</v>
      </c>
      <c r="K1031" s="19" t="s">
        <v>60</v>
      </c>
      <c r="L1031" s="19" t="s">
        <v>52</v>
      </c>
      <c r="M1031" s="20">
        <f t="shared" si="2"/>
        <v>8968.8</v>
      </c>
      <c r="N1031" s="31">
        <v>1.0</v>
      </c>
      <c r="O1031" s="19" t="s">
        <v>61</v>
      </c>
      <c r="P1031" s="18"/>
      <c r="Q1031" s="18"/>
      <c r="R1031" s="23">
        <v>180.0</v>
      </c>
      <c r="S1031" s="23">
        <v>505.0</v>
      </c>
      <c r="T1031" s="23">
        <f t="shared" si="3"/>
        <v>484.8</v>
      </c>
      <c r="U1031" s="23">
        <f t="shared" si="4"/>
        <v>220.5</v>
      </c>
      <c r="V1031" s="23">
        <f t="shared" si="5"/>
        <v>4134.375</v>
      </c>
      <c r="W1031" s="24">
        <f t="shared" si="6"/>
        <v>2.693333333</v>
      </c>
    </row>
    <row r="1032">
      <c r="A1032" s="15" t="s">
        <v>69</v>
      </c>
      <c r="B1032" s="15" t="s">
        <v>70</v>
      </c>
      <c r="C1032" s="18"/>
      <c r="D1032" s="15" t="s">
        <v>71</v>
      </c>
      <c r="E1032" s="17" t="s">
        <v>72</v>
      </c>
      <c r="F1032" s="18"/>
      <c r="G1032" s="15" t="s">
        <v>73</v>
      </c>
      <c r="H1032" s="15" t="s">
        <v>99</v>
      </c>
      <c r="I1032" s="18"/>
      <c r="J1032" s="19" t="s">
        <v>59</v>
      </c>
      <c r="K1032" s="19" t="s">
        <v>60</v>
      </c>
      <c r="L1032" s="19" t="s">
        <v>52</v>
      </c>
      <c r="M1032" s="20">
        <f t="shared" si="2"/>
        <v>7992</v>
      </c>
      <c r="N1032" s="31">
        <v>1.0</v>
      </c>
      <c r="O1032" s="19" t="s">
        <v>61</v>
      </c>
      <c r="P1032" s="18"/>
      <c r="Q1032" s="18"/>
      <c r="R1032" s="23">
        <v>120.0</v>
      </c>
      <c r="S1032" s="23">
        <v>450.0</v>
      </c>
      <c r="T1032" s="23">
        <f t="shared" si="3"/>
        <v>432</v>
      </c>
      <c r="U1032" s="23">
        <f t="shared" si="4"/>
        <v>147</v>
      </c>
      <c r="V1032" s="23">
        <f t="shared" si="5"/>
        <v>2756.25</v>
      </c>
      <c r="W1032" s="24">
        <f t="shared" si="6"/>
        <v>3.6</v>
      </c>
    </row>
    <row r="1033">
      <c r="A1033" s="15" t="s">
        <v>85</v>
      </c>
      <c r="B1033" s="15" t="s">
        <v>86</v>
      </c>
      <c r="C1033" s="15" t="s">
        <v>7566</v>
      </c>
      <c r="D1033" s="15" t="s">
        <v>87</v>
      </c>
      <c r="E1033" s="17" t="s">
        <v>88</v>
      </c>
      <c r="F1033" s="18"/>
      <c r="G1033" s="15" t="s">
        <v>57</v>
      </c>
      <c r="H1033" s="15" t="s">
        <v>58</v>
      </c>
      <c r="I1033" s="18"/>
      <c r="J1033" s="19" t="s">
        <v>59</v>
      </c>
      <c r="K1033" s="19" t="s">
        <v>60</v>
      </c>
      <c r="L1033" s="19" t="s">
        <v>52</v>
      </c>
      <c r="M1033" s="20">
        <f t="shared" si="2"/>
        <v>10727.04</v>
      </c>
      <c r="N1033" s="31">
        <v>1.0</v>
      </c>
      <c r="O1033" s="19" t="s">
        <v>61</v>
      </c>
      <c r="P1033" s="18"/>
      <c r="Q1033" s="18"/>
      <c r="R1033" s="23">
        <v>180.0</v>
      </c>
      <c r="S1033" s="23">
        <v>604.0</v>
      </c>
      <c r="T1033" s="23">
        <f t="shared" si="3"/>
        <v>579.84</v>
      </c>
      <c r="U1033" s="23">
        <f t="shared" si="4"/>
        <v>220.5</v>
      </c>
      <c r="V1033" s="23">
        <f t="shared" si="5"/>
        <v>4134.375</v>
      </c>
      <c r="W1033" s="24">
        <f t="shared" si="6"/>
        <v>3.221333333</v>
      </c>
    </row>
    <row r="1034">
      <c r="A1034" s="15" t="s">
        <v>53</v>
      </c>
      <c r="B1034" s="15" t="s">
        <v>54</v>
      </c>
      <c r="C1034" s="18"/>
      <c r="D1034" s="15" t="s">
        <v>55</v>
      </c>
      <c r="E1034" s="17" t="s">
        <v>56</v>
      </c>
      <c r="F1034" s="18"/>
      <c r="G1034" s="15" t="s">
        <v>57</v>
      </c>
      <c r="H1034" s="15" t="s">
        <v>89</v>
      </c>
      <c r="I1034" s="18"/>
      <c r="J1034" s="19" t="s">
        <v>59</v>
      </c>
      <c r="K1034" s="19" t="s">
        <v>60</v>
      </c>
      <c r="L1034" s="19" t="s">
        <v>38</v>
      </c>
      <c r="M1034" s="20">
        <f t="shared" si="2"/>
        <v>8880</v>
      </c>
      <c r="N1034" s="31">
        <v>1.0</v>
      </c>
      <c r="O1034" s="19" t="s">
        <v>61</v>
      </c>
      <c r="P1034" s="18"/>
      <c r="Q1034" s="18"/>
      <c r="R1034" s="23">
        <v>120.0</v>
      </c>
      <c r="S1034" s="23">
        <v>500.0</v>
      </c>
      <c r="T1034" s="23">
        <f t="shared" si="3"/>
        <v>480</v>
      </c>
      <c r="U1034" s="23">
        <f t="shared" si="4"/>
        <v>147</v>
      </c>
      <c r="V1034" s="23">
        <f t="shared" si="5"/>
        <v>2756.25</v>
      </c>
      <c r="W1034" s="24">
        <f t="shared" si="6"/>
        <v>4</v>
      </c>
    </row>
    <row r="1035">
      <c r="A1035" s="15" t="s">
        <v>7567</v>
      </c>
      <c r="B1035" s="18"/>
      <c r="C1035" s="15" t="s">
        <v>7568</v>
      </c>
      <c r="D1035" s="18"/>
      <c r="E1035" s="17" t="s">
        <v>7569</v>
      </c>
      <c r="F1035" s="18"/>
      <c r="G1035" s="18"/>
      <c r="H1035" s="15" t="s">
        <v>7570</v>
      </c>
      <c r="I1035" s="15" t="s">
        <v>367</v>
      </c>
      <c r="J1035" s="19" t="s">
        <v>59</v>
      </c>
      <c r="K1035" s="19" t="s">
        <v>2401</v>
      </c>
      <c r="L1035" s="19" t="s">
        <v>38</v>
      </c>
      <c r="M1035" s="20">
        <f t="shared" si="2"/>
        <v>0</v>
      </c>
      <c r="N1035" s="22"/>
      <c r="O1035" s="19" t="s">
        <v>39</v>
      </c>
      <c r="P1035" s="18"/>
      <c r="Q1035" s="18"/>
      <c r="R1035" s="23">
        <v>0.0</v>
      </c>
      <c r="S1035" s="23">
        <v>0.0</v>
      </c>
      <c r="T1035" s="23">
        <f t="shared" si="3"/>
        <v>0</v>
      </c>
      <c r="U1035" s="23">
        <f t="shared" si="4"/>
        <v>0</v>
      </c>
      <c r="V1035" s="23">
        <f t="shared" si="5"/>
        <v>0</v>
      </c>
      <c r="W1035" s="24" t="str">
        <f t="shared" si="6"/>
        <v>#DIV/0!</v>
      </c>
    </row>
    <row r="1036">
      <c r="A1036" s="15" t="s">
        <v>5088</v>
      </c>
      <c r="B1036" s="15" t="s">
        <v>5089</v>
      </c>
      <c r="C1036" s="15" t="s">
        <v>7571</v>
      </c>
      <c r="D1036" s="42" t="s">
        <v>5090</v>
      </c>
      <c r="E1036" s="17" t="s">
        <v>5091</v>
      </c>
      <c r="F1036" s="18"/>
      <c r="G1036" s="18"/>
      <c r="H1036" s="15" t="s">
        <v>5092</v>
      </c>
      <c r="I1036" s="15"/>
      <c r="J1036" s="19" t="s">
        <v>59</v>
      </c>
      <c r="K1036" s="19" t="s">
        <v>60</v>
      </c>
      <c r="L1036" s="19" t="s">
        <v>52</v>
      </c>
      <c r="M1036" s="20">
        <f t="shared" si="2"/>
        <v>0</v>
      </c>
      <c r="N1036" s="22"/>
      <c r="O1036" s="19" t="s">
        <v>3578</v>
      </c>
      <c r="P1036" s="18"/>
      <c r="Q1036" s="18"/>
      <c r="R1036" s="23">
        <v>0.0</v>
      </c>
      <c r="S1036" s="23">
        <v>0.0</v>
      </c>
      <c r="T1036" s="23">
        <f t="shared" si="3"/>
        <v>0</v>
      </c>
      <c r="U1036" s="23">
        <f t="shared" si="4"/>
        <v>0</v>
      </c>
      <c r="V1036" s="23">
        <f t="shared" si="5"/>
        <v>0</v>
      </c>
      <c r="W1036" s="24" t="str">
        <f t="shared" si="6"/>
        <v>#DIV/0!</v>
      </c>
    </row>
    <row r="1037">
      <c r="A1037" s="15" t="s">
        <v>2829</v>
      </c>
      <c r="B1037" s="18"/>
      <c r="C1037" s="15" t="s">
        <v>7573</v>
      </c>
      <c r="D1037" s="18"/>
      <c r="E1037" s="17" t="s">
        <v>2830</v>
      </c>
      <c r="F1037" s="18"/>
      <c r="G1037" s="18"/>
      <c r="H1037" s="15" t="s">
        <v>2831</v>
      </c>
      <c r="I1037" s="15" t="s">
        <v>394</v>
      </c>
      <c r="J1037" s="19" t="s">
        <v>59</v>
      </c>
      <c r="K1037" s="19" t="s">
        <v>2382</v>
      </c>
      <c r="L1037" s="19" t="s">
        <v>38</v>
      </c>
      <c r="M1037" s="20">
        <f t="shared" si="2"/>
        <v>0</v>
      </c>
      <c r="N1037" s="22"/>
      <c r="O1037" s="19" t="s">
        <v>1145</v>
      </c>
      <c r="P1037" s="18"/>
      <c r="Q1037" s="18"/>
      <c r="R1037" s="23">
        <v>0.0</v>
      </c>
      <c r="S1037" s="23">
        <v>0.0</v>
      </c>
      <c r="T1037" s="23">
        <f t="shared" si="3"/>
        <v>0</v>
      </c>
      <c r="U1037" s="23">
        <f t="shared" si="4"/>
        <v>0</v>
      </c>
      <c r="V1037" s="23">
        <f t="shared" si="5"/>
        <v>0</v>
      </c>
      <c r="W1037" s="24" t="str">
        <f t="shared" si="6"/>
        <v>#DIV/0!</v>
      </c>
    </row>
    <row r="1038">
      <c r="A1038" s="15" t="s">
        <v>5093</v>
      </c>
      <c r="B1038" s="15" t="s">
        <v>5094</v>
      </c>
      <c r="C1038" s="15" t="s">
        <v>7574</v>
      </c>
      <c r="D1038" s="15" t="s">
        <v>5095</v>
      </c>
      <c r="E1038" s="17" t="s">
        <v>5096</v>
      </c>
      <c r="F1038" s="18"/>
      <c r="G1038" s="18"/>
      <c r="H1038" s="15" t="s">
        <v>6415</v>
      </c>
      <c r="I1038" s="18"/>
      <c r="J1038" s="19" t="s">
        <v>59</v>
      </c>
      <c r="K1038" s="33"/>
      <c r="L1038" s="19" t="s">
        <v>368</v>
      </c>
      <c r="M1038" s="20">
        <f t="shared" si="2"/>
        <v>0</v>
      </c>
      <c r="N1038" s="22"/>
      <c r="O1038" s="19" t="s">
        <v>3578</v>
      </c>
      <c r="P1038" s="18"/>
      <c r="Q1038" s="18"/>
      <c r="R1038" s="23">
        <v>0.0</v>
      </c>
      <c r="S1038" s="23">
        <v>0.0</v>
      </c>
      <c r="T1038" s="23">
        <f t="shared" si="3"/>
        <v>0</v>
      </c>
      <c r="U1038" s="23">
        <f t="shared" si="4"/>
        <v>0</v>
      </c>
      <c r="V1038" s="23">
        <f t="shared" si="5"/>
        <v>0</v>
      </c>
      <c r="W1038" s="24" t="str">
        <f t="shared" si="6"/>
        <v>#DIV/0!</v>
      </c>
    </row>
    <row r="1039">
      <c r="A1039" s="15" t="s">
        <v>363</v>
      </c>
      <c r="B1039" s="15" t="s">
        <v>364</v>
      </c>
      <c r="C1039" s="15" t="s">
        <v>6030</v>
      </c>
      <c r="D1039" s="15" t="s">
        <v>365</v>
      </c>
      <c r="E1039" s="17" t="s">
        <v>366</v>
      </c>
      <c r="F1039" s="18"/>
      <c r="G1039" s="18"/>
      <c r="H1039" s="15" t="s">
        <v>367</v>
      </c>
      <c r="I1039" s="18"/>
      <c r="J1039" s="19" t="s">
        <v>59</v>
      </c>
      <c r="K1039" s="19" t="s">
        <v>60</v>
      </c>
      <c r="L1039" s="19" t="s">
        <v>368</v>
      </c>
      <c r="M1039" s="20">
        <f t="shared" si="2"/>
        <v>745.92</v>
      </c>
      <c r="N1039" s="31">
        <v>3.0</v>
      </c>
      <c r="O1039" s="19" t="s">
        <v>107</v>
      </c>
      <c r="P1039" s="18"/>
      <c r="Q1039" s="18"/>
      <c r="R1039" s="23">
        <v>5.5</v>
      </c>
      <c r="S1039" s="23">
        <v>42.0</v>
      </c>
      <c r="T1039" s="23">
        <f t="shared" si="3"/>
        <v>40.32</v>
      </c>
      <c r="U1039" s="23">
        <f t="shared" si="4"/>
        <v>6.7375</v>
      </c>
      <c r="V1039" s="23">
        <f t="shared" si="5"/>
        <v>126.328125</v>
      </c>
      <c r="W1039" s="24">
        <f t="shared" si="6"/>
        <v>7.330909091</v>
      </c>
    </row>
    <row r="1040">
      <c r="A1040" s="15" t="s">
        <v>5098</v>
      </c>
      <c r="B1040" s="15" t="s">
        <v>5099</v>
      </c>
      <c r="C1040" s="15" t="s">
        <v>7575</v>
      </c>
      <c r="D1040" s="15" t="s">
        <v>5100</v>
      </c>
      <c r="E1040" s="17" t="s">
        <v>5101</v>
      </c>
      <c r="F1040" s="18"/>
      <c r="G1040" s="18"/>
      <c r="H1040" s="15" t="s">
        <v>5102</v>
      </c>
      <c r="I1040" s="18"/>
      <c r="J1040" s="19" t="s">
        <v>59</v>
      </c>
      <c r="K1040" s="33"/>
      <c r="L1040" s="19" t="s">
        <v>368</v>
      </c>
      <c r="M1040" s="20">
        <f t="shared" si="2"/>
        <v>0</v>
      </c>
      <c r="N1040" s="22"/>
      <c r="O1040" s="19" t="s">
        <v>3578</v>
      </c>
      <c r="P1040" s="18"/>
      <c r="Q1040" s="18"/>
      <c r="R1040" s="23">
        <v>0.0</v>
      </c>
      <c r="S1040" s="23">
        <v>0.0</v>
      </c>
      <c r="T1040" s="23">
        <f t="shared" si="3"/>
        <v>0</v>
      </c>
      <c r="U1040" s="23">
        <f t="shared" si="4"/>
        <v>0</v>
      </c>
      <c r="V1040" s="23">
        <f t="shared" si="5"/>
        <v>0</v>
      </c>
      <c r="W1040" s="24" t="str">
        <f t="shared" si="6"/>
        <v>#DIV/0!</v>
      </c>
    </row>
    <row r="1041">
      <c r="A1041" s="15" t="s">
        <v>5103</v>
      </c>
      <c r="B1041" s="15" t="s">
        <v>5104</v>
      </c>
      <c r="C1041" s="15" t="s">
        <v>7576</v>
      </c>
      <c r="D1041" s="15" t="s">
        <v>5105</v>
      </c>
      <c r="E1041" s="17" t="s">
        <v>5106</v>
      </c>
      <c r="F1041" s="18"/>
      <c r="G1041" s="18"/>
      <c r="H1041" s="15" t="s">
        <v>5107</v>
      </c>
      <c r="I1041" s="18"/>
      <c r="J1041" s="19" t="s">
        <v>59</v>
      </c>
      <c r="K1041" s="19" t="s">
        <v>52</v>
      </c>
      <c r="L1041" s="19" t="s">
        <v>5108</v>
      </c>
      <c r="M1041" s="20">
        <f t="shared" si="2"/>
        <v>0</v>
      </c>
      <c r="N1041" s="22"/>
      <c r="O1041" s="19" t="s">
        <v>3578</v>
      </c>
      <c r="P1041" s="18"/>
      <c r="Q1041" s="18"/>
      <c r="R1041" s="23">
        <v>0.0</v>
      </c>
      <c r="S1041" s="23">
        <v>0.0</v>
      </c>
      <c r="T1041" s="23">
        <f t="shared" si="3"/>
        <v>0</v>
      </c>
      <c r="U1041" s="23">
        <f t="shared" si="4"/>
        <v>0</v>
      </c>
      <c r="V1041" s="23">
        <f t="shared" si="5"/>
        <v>0</v>
      </c>
      <c r="W1041" s="24" t="str">
        <f t="shared" si="6"/>
        <v>#DIV/0!</v>
      </c>
    </row>
    <row r="1042">
      <c r="A1042" s="15" t="s">
        <v>5109</v>
      </c>
      <c r="B1042" s="15" t="s">
        <v>5110</v>
      </c>
      <c r="C1042" s="15" t="s">
        <v>7577</v>
      </c>
      <c r="D1042" s="15" t="s">
        <v>5111</v>
      </c>
      <c r="E1042" s="17" t="s">
        <v>5112</v>
      </c>
      <c r="F1042" s="18"/>
      <c r="G1042" s="18"/>
      <c r="H1042" s="15" t="s">
        <v>5113</v>
      </c>
      <c r="I1042" s="18"/>
      <c r="J1042" s="19" t="s">
        <v>59</v>
      </c>
      <c r="K1042" s="19" t="s">
        <v>60</v>
      </c>
      <c r="L1042" s="19" t="s">
        <v>177</v>
      </c>
      <c r="M1042" s="20">
        <f t="shared" si="2"/>
        <v>0</v>
      </c>
      <c r="N1042" s="22"/>
      <c r="O1042" s="19" t="s">
        <v>3578</v>
      </c>
      <c r="P1042" s="18"/>
      <c r="Q1042" s="18"/>
      <c r="R1042" s="23">
        <v>0.0</v>
      </c>
      <c r="S1042" s="23">
        <v>0.0</v>
      </c>
      <c r="T1042" s="23">
        <f t="shared" si="3"/>
        <v>0</v>
      </c>
      <c r="U1042" s="23">
        <f t="shared" si="4"/>
        <v>0</v>
      </c>
      <c r="V1042" s="23">
        <f t="shared" si="5"/>
        <v>0</v>
      </c>
      <c r="W1042" s="24" t="str">
        <f t="shared" si="6"/>
        <v>#DIV/0!</v>
      </c>
    </row>
    <row r="1043">
      <c r="A1043" s="15" t="s">
        <v>668</v>
      </c>
      <c r="B1043" s="15" t="s">
        <v>669</v>
      </c>
      <c r="C1043" s="15" t="s">
        <v>6031</v>
      </c>
      <c r="D1043" s="15" t="s">
        <v>670</v>
      </c>
      <c r="E1043" s="17" t="s">
        <v>671</v>
      </c>
      <c r="F1043" s="18"/>
      <c r="G1043" s="18"/>
      <c r="H1043" s="15" t="s">
        <v>672</v>
      </c>
      <c r="I1043" s="18"/>
      <c r="J1043" s="19" t="s">
        <v>59</v>
      </c>
      <c r="K1043" s="19" t="s">
        <v>200</v>
      </c>
      <c r="L1043" s="19" t="s">
        <v>38</v>
      </c>
      <c r="M1043" s="20">
        <f t="shared" si="2"/>
        <v>1456.32</v>
      </c>
      <c r="N1043" s="31">
        <v>5.0</v>
      </c>
      <c r="O1043" s="19" t="s">
        <v>107</v>
      </c>
      <c r="P1043" s="18"/>
      <c r="Q1043" s="18"/>
      <c r="R1043" s="23">
        <v>16.0</v>
      </c>
      <c r="S1043" s="23">
        <v>82.0</v>
      </c>
      <c r="T1043" s="23">
        <f t="shared" si="3"/>
        <v>78.72</v>
      </c>
      <c r="U1043" s="23">
        <f t="shared" si="4"/>
        <v>19.6</v>
      </c>
      <c r="V1043" s="23">
        <f t="shared" si="5"/>
        <v>367.5</v>
      </c>
      <c r="W1043" s="24">
        <f t="shared" si="6"/>
        <v>4.92</v>
      </c>
    </row>
    <row r="1044">
      <c r="A1044" s="15" t="s">
        <v>871</v>
      </c>
      <c r="B1044" s="15" t="s">
        <v>872</v>
      </c>
      <c r="C1044" s="15" t="s">
        <v>6032</v>
      </c>
      <c r="D1044" s="15" t="s">
        <v>873</v>
      </c>
      <c r="E1044" s="17" t="s">
        <v>874</v>
      </c>
      <c r="F1044" s="18"/>
      <c r="G1044" s="15" t="s">
        <v>875</v>
      </c>
      <c r="H1044" s="15" t="s">
        <v>876</v>
      </c>
      <c r="I1044" s="18"/>
      <c r="J1044" s="19" t="s">
        <v>59</v>
      </c>
      <c r="K1044" s="19" t="s">
        <v>200</v>
      </c>
      <c r="L1044" s="19" t="s">
        <v>292</v>
      </c>
      <c r="M1044" s="20">
        <f t="shared" si="2"/>
        <v>1243.2</v>
      </c>
      <c r="N1044" s="31">
        <v>5.0</v>
      </c>
      <c r="O1044" s="19" t="s">
        <v>107</v>
      </c>
      <c r="P1044" s="18"/>
      <c r="Q1044" s="18"/>
      <c r="R1044" s="23">
        <v>17.0</v>
      </c>
      <c r="S1044" s="23">
        <v>70.0</v>
      </c>
      <c r="T1044" s="23">
        <f t="shared" si="3"/>
        <v>67.2</v>
      </c>
      <c r="U1044" s="23">
        <f t="shared" si="4"/>
        <v>20.825</v>
      </c>
      <c r="V1044" s="23">
        <f t="shared" si="5"/>
        <v>390.46875</v>
      </c>
      <c r="W1044" s="24">
        <f t="shared" si="6"/>
        <v>3.952941176</v>
      </c>
    </row>
    <row r="1045">
      <c r="A1045" s="15" t="s">
        <v>2832</v>
      </c>
      <c r="B1045" s="18"/>
      <c r="C1045" s="15" t="s">
        <v>7578</v>
      </c>
      <c r="D1045" s="18"/>
      <c r="E1045" s="17" t="s">
        <v>2833</v>
      </c>
      <c r="F1045" s="18"/>
      <c r="G1045" s="18"/>
      <c r="H1045" s="15" t="s">
        <v>2834</v>
      </c>
      <c r="I1045" s="15" t="s">
        <v>2835</v>
      </c>
      <c r="J1045" s="19" t="s">
        <v>59</v>
      </c>
      <c r="K1045" s="19" t="s">
        <v>691</v>
      </c>
      <c r="L1045" s="19" t="s">
        <v>38</v>
      </c>
      <c r="M1045" s="20">
        <f t="shared" si="2"/>
        <v>0</v>
      </c>
      <c r="N1045" s="22"/>
      <c r="O1045" s="19" t="s">
        <v>1145</v>
      </c>
      <c r="P1045" s="18"/>
      <c r="Q1045" s="18"/>
      <c r="R1045" s="23">
        <v>0.0</v>
      </c>
      <c r="S1045" s="23">
        <v>0.0</v>
      </c>
      <c r="T1045" s="23">
        <f t="shared" si="3"/>
        <v>0</v>
      </c>
      <c r="U1045" s="23">
        <f t="shared" si="4"/>
        <v>0</v>
      </c>
      <c r="V1045" s="23">
        <f t="shared" si="5"/>
        <v>0</v>
      </c>
      <c r="W1045" s="24" t="str">
        <f t="shared" si="6"/>
        <v>#DIV/0!</v>
      </c>
    </row>
    <row r="1046">
      <c r="A1046" s="15" t="s">
        <v>2836</v>
      </c>
      <c r="B1046" s="18"/>
      <c r="C1046" s="15" t="s">
        <v>7579</v>
      </c>
      <c r="D1046" s="18"/>
      <c r="E1046" s="17" t="s">
        <v>2833</v>
      </c>
      <c r="F1046" s="18"/>
      <c r="G1046" s="18"/>
      <c r="H1046" s="15" t="s">
        <v>2837</v>
      </c>
      <c r="I1046" s="15" t="s">
        <v>2838</v>
      </c>
      <c r="J1046" s="19" t="s">
        <v>59</v>
      </c>
      <c r="K1046" s="19" t="s">
        <v>691</v>
      </c>
      <c r="L1046" s="19" t="s">
        <v>38</v>
      </c>
      <c r="M1046" s="20">
        <f t="shared" si="2"/>
        <v>0</v>
      </c>
      <c r="N1046" s="22"/>
      <c r="O1046" s="19" t="s">
        <v>1145</v>
      </c>
      <c r="P1046" s="18"/>
      <c r="Q1046" s="18"/>
      <c r="R1046" s="23">
        <v>0.0</v>
      </c>
      <c r="S1046" s="23">
        <v>0.0</v>
      </c>
      <c r="T1046" s="23">
        <f t="shared" si="3"/>
        <v>0</v>
      </c>
      <c r="U1046" s="23">
        <f t="shared" si="4"/>
        <v>0</v>
      </c>
      <c r="V1046" s="23">
        <f t="shared" si="5"/>
        <v>0</v>
      </c>
      <c r="W1046" s="24" t="str">
        <f t="shared" si="6"/>
        <v>#DIV/0!</v>
      </c>
    </row>
    <row r="1047">
      <c r="A1047" s="15" t="s">
        <v>5114</v>
      </c>
      <c r="B1047" s="15" t="s">
        <v>5115</v>
      </c>
      <c r="C1047" s="15" t="s">
        <v>7580</v>
      </c>
      <c r="D1047" s="18"/>
      <c r="E1047" s="17" t="s">
        <v>5117</v>
      </c>
      <c r="F1047" s="18"/>
      <c r="G1047" s="18"/>
      <c r="H1047" s="15" t="s">
        <v>5118</v>
      </c>
      <c r="I1047" s="18"/>
      <c r="J1047" s="19" t="s">
        <v>59</v>
      </c>
      <c r="K1047" s="33"/>
      <c r="L1047" s="19" t="s">
        <v>38</v>
      </c>
      <c r="M1047" s="20">
        <f t="shared" si="2"/>
        <v>0</v>
      </c>
      <c r="N1047" s="22"/>
      <c r="O1047" s="19" t="s">
        <v>3578</v>
      </c>
      <c r="P1047" s="18"/>
      <c r="Q1047" s="18"/>
      <c r="R1047" s="23">
        <v>0.0</v>
      </c>
      <c r="S1047" s="23">
        <v>0.0</v>
      </c>
      <c r="T1047" s="23">
        <f t="shared" si="3"/>
        <v>0</v>
      </c>
      <c r="U1047" s="23">
        <f t="shared" si="4"/>
        <v>0</v>
      </c>
      <c r="V1047" s="23">
        <f t="shared" si="5"/>
        <v>0</v>
      </c>
      <c r="W1047" s="24" t="str">
        <f t="shared" si="6"/>
        <v>#DIV/0!</v>
      </c>
    </row>
    <row r="1048">
      <c r="A1048" s="15" t="s">
        <v>2839</v>
      </c>
      <c r="B1048" s="18"/>
      <c r="C1048" s="15" t="s">
        <v>7581</v>
      </c>
      <c r="D1048" s="18"/>
      <c r="E1048" s="17" t="s">
        <v>2840</v>
      </c>
      <c r="F1048" s="18"/>
      <c r="G1048" s="18"/>
      <c r="H1048" s="15" t="s">
        <v>2841</v>
      </c>
      <c r="I1048" s="15" t="s">
        <v>2825</v>
      </c>
      <c r="J1048" s="19" t="s">
        <v>59</v>
      </c>
      <c r="K1048" s="19" t="s">
        <v>2519</v>
      </c>
      <c r="L1048" s="19" t="s">
        <v>38</v>
      </c>
      <c r="M1048" s="20">
        <f t="shared" si="2"/>
        <v>0</v>
      </c>
      <c r="N1048" s="22"/>
      <c r="O1048" s="19" t="s">
        <v>1145</v>
      </c>
      <c r="P1048" s="18"/>
      <c r="Q1048" s="18"/>
      <c r="R1048" s="23">
        <v>0.0</v>
      </c>
      <c r="S1048" s="23">
        <v>0.0</v>
      </c>
      <c r="T1048" s="23">
        <f t="shared" si="3"/>
        <v>0</v>
      </c>
      <c r="U1048" s="23">
        <f t="shared" si="4"/>
        <v>0</v>
      </c>
      <c r="V1048" s="23">
        <f t="shared" si="5"/>
        <v>0</v>
      </c>
      <c r="W1048" s="24" t="str">
        <f t="shared" si="6"/>
        <v>#DIV/0!</v>
      </c>
    </row>
    <row r="1049">
      <c r="A1049" s="15" t="s">
        <v>2842</v>
      </c>
      <c r="B1049" s="18"/>
      <c r="C1049" s="15" t="s">
        <v>7582</v>
      </c>
      <c r="D1049" s="18"/>
      <c r="E1049" s="17" t="s">
        <v>2840</v>
      </c>
      <c r="F1049" s="18"/>
      <c r="G1049" s="18"/>
      <c r="H1049" s="15" t="s">
        <v>2843</v>
      </c>
      <c r="I1049" s="15" t="s">
        <v>2844</v>
      </c>
      <c r="J1049" s="19" t="s">
        <v>59</v>
      </c>
      <c r="K1049" s="19" t="s">
        <v>2519</v>
      </c>
      <c r="L1049" s="19" t="s">
        <v>38</v>
      </c>
      <c r="M1049" s="20">
        <f t="shared" si="2"/>
        <v>0</v>
      </c>
      <c r="N1049" s="22"/>
      <c r="O1049" s="19" t="s">
        <v>1145</v>
      </c>
      <c r="P1049" s="18"/>
      <c r="Q1049" s="18"/>
      <c r="R1049" s="23">
        <v>0.0</v>
      </c>
      <c r="S1049" s="23">
        <v>0.0</v>
      </c>
      <c r="T1049" s="23">
        <f t="shared" si="3"/>
        <v>0</v>
      </c>
      <c r="U1049" s="23">
        <f t="shared" si="4"/>
        <v>0</v>
      </c>
      <c r="V1049" s="23">
        <f t="shared" si="5"/>
        <v>0</v>
      </c>
      <c r="W1049" s="24" t="str">
        <f t="shared" si="6"/>
        <v>#DIV/0!</v>
      </c>
    </row>
    <row r="1050">
      <c r="A1050" s="15" t="s">
        <v>2845</v>
      </c>
      <c r="B1050" s="18"/>
      <c r="C1050" s="15" t="s">
        <v>7583</v>
      </c>
      <c r="D1050" s="18"/>
      <c r="E1050" s="17" t="s">
        <v>2846</v>
      </c>
      <c r="F1050" s="18"/>
      <c r="G1050" s="18"/>
      <c r="H1050" s="15" t="s">
        <v>2847</v>
      </c>
      <c r="I1050" s="15" t="s">
        <v>2848</v>
      </c>
      <c r="J1050" s="19" t="s">
        <v>59</v>
      </c>
      <c r="K1050" s="19" t="s">
        <v>2401</v>
      </c>
      <c r="L1050" s="19" t="s">
        <v>38</v>
      </c>
      <c r="M1050" s="20">
        <f t="shared" si="2"/>
        <v>0</v>
      </c>
      <c r="N1050" s="22"/>
      <c r="O1050" s="19" t="s">
        <v>1145</v>
      </c>
      <c r="P1050" s="18"/>
      <c r="Q1050" s="18"/>
      <c r="R1050" s="23">
        <v>0.0</v>
      </c>
      <c r="S1050" s="23">
        <v>0.0</v>
      </c>
      <c r="T1050" s="23">
        <f t="shared" si="3"/>
        <v>0</v>
      </c>
      <c r="U1050" s="23">
        <f t="shared" si="4"/>
        <v>0</v>
      </c>
      <c r="V1050" s="23">
        <f t="shared" si="5"/>
        <v>0</v>
      </c>
      <c r="W1050" s="24" t="str">
        <f t="shared" si="6"/>
        <v>#DIV/0!</v>
      </c>
    </row>
    <row r="1051">
      <c r="A1051" s="15" t="s">
        <v>2849</v>
      </c>
      <c r="B1051" s="18"/>
      <c r="C1051" s="15" t="s">
        <v>7584</v>
      </c>
      <c r="D1051" s="18"/>
      <c r="E1051" s="17" t="s">
        <v>2850</v>
      </c>
      <c r="F1051" s="18"/>
      <c r="G1051" s="18"/>
      <c r="H1051" s="15" t="s">
        <v>2851</v>
      </c>
      <c r="I1051" s="15" t="s">
        <v>2852</v>
      </c>
      <c r="J1051" s="19" t="s">
        <v>59</v>
      </c>
      <c r="K1051" s="19" t="s">
        <v>2401</v>
      </c>
      <c r="L1051" s="19" t="s">
        <v>38</v>
      </c>
      <c r="M1051" s="20">
        <f t="shared" si="2"/>
        <v>0</v>
      </c>
      <c r="N1051" s="22"/>
      <c r="O1051" s="19" t="s">
        <v>1145</v>
      </c>
      <c r="P1051" s="18"/>
      <c r="Q1051" s="18"/>
      <c r="R1051" s="23">
        <v>0.0</v>
      </c>
      <c r="S1051" s="23">
        <v>0.0</v>
      </c>
      <c r="T1051" s="23">
        <f t="shared" si="3"/>
        <v>0</v>
      </c>
      <c r="U1051" s="23">
        <f t="shared" si="4"/>
        <v>0</v>
      </c>
      <c r="V1051" s="23">
        <f t="shared" si="5"/>
        <v>0</v>
      </c>
      <c r="W1051" s="24" t="str">
        <f t="shared" si="6"/>
        <v>#DIV/0!</v>
      </c>
    </row>
    <row r="1052">
      <c r="A1052" s="15" t="s">
        <v>7585</v>
      </c>
      <c r="B1052" s="18"/>
      <c r="C1052" s="15" t="s">
        <v>7586</v>
      </c>
      <c r="D1052" s="18"/>
      <c r="E1052" s="17" t="s">
        <v>7587</v>
      </c>
      <c r="F1052" s="18"/>
      <c r="G1052" s="18"/>
      <c r="H1052" s="15" t="s">
        <v>7588</v>
      </c>
      <c r="I1052" s="15" t="s">
        <v>762</v>
      </c>
      <c r="J1052" s="19" t="s">
        <v>59</v>
      </c>
      <c r="K1052" s="19" t="s">
        <v>2401</v>
      </c>
      <c r="L1052" s="19" t="s">
        <v>38</v>
      </c>
      <c r="M1052" s="20">
        <f t="shared" si="2"/>
        <v>0</v>
      </c>
      <c r="N1052" s="22"/>
      <c r="O1052" s="19" t="s">
        <v>39</v>
      </c>
      <c r="P1052" s="18"/>
      <c r="Q1052" s="18"/>
      <c r="R1052" s="23">
        <v>0.0</v>
      </c>
      <c r="S1052" s="23">
        <v>0.0</v>
      </c>
      <c r="T1052" s="23">
        <f t="shared" si="3"/>
        <v>0</v>
      </c>
      <c r="U1052" s="23">
        <f t="shared" si="4"/>
        <v>0</v>
      </c>
      <c r="V1052" s="23">
        <f t="shared" si="5"/>
        <v>0</v>
      </c>
      <c r="W1052" s="24" t="str">
        <f t="shared" si="6"/>
        <v>#DIV/0!</v>
      </c>
    </row>
    <row r="1053">
      <c r="A1053" s="15" t="s">
        <v>2853</v>
      </c>
      <c r="B1053" s="18"/>
      <c r="C1053" s="15" t="s">
        <v>7589</v>
      </c>
      <c r="D1053" s="18"/>
      <c r="E1053" s="17" t="s">
        <v>2854</v>
      </c>
      <c r="F1053" s="18"/>
      <c r="G1053" s="18"/>
      <c r="H1053" s="15" t="s">
        <v>2855</v>
      </c>
      <c r="I1053" s="15" t="s">
        <v>2856</v>
      </c>
      <c r="J1053" s="19" t="s">
        <v>59</v>
      </c>
      <c r="K1053" s="19" t="s">
        <v>2401</v>
      </c>
      <c r="L1053" s="19" t="s">
        <v>38</v>
      </c>
      <c r="M1053" s="20">
        <f t="shared" si="2"/>
        <v>0</v>
      </c>
      <c r="N1053" s="22"/>
      <c r="O1053" s="19" t="s">
        <v>1145</v>
      </c>
      <c r="P1053" s="18"/>
      <c r="Q1053" s="18"/>
      <c r="R1053" s="23">
        <v>0.0</v>
      </c>
      <c r="S1053" s="23">
        <v>0.0</v>
      </c>
      <c r="T1053" s="23">
        <f t="shared" si="3"/>
        <v>0</v>
      </c>
      <c r="U1053" s="23">
        <f t="shared" si="4"/>
        <v>0</v>
      </c>
      <c r="V1053" s="23">
        <f t="shared" si="5"/>
        <v>0</v>
      </c>
      <c r="W1053" s="24" t="str">
        <f t="shared" si="6"/>
        <v>#DIV/0!</v>
      </c>
    </row>
    <row r="1054">
      <c r="A1054" s="15" t="s">
        <v>7590</v>
      </c>
      <c r="B1054" s="18"/>
      <c r="C1054" s="15" t="s">
        <v>7591</v>
      </c>
      <c r="D1054" s="18"/>
      <c r="E1054" s="17" t="s">
        <v>7592</v>
      </c>
      <c r="F1054" s="18"/>
      <c r="G1054" s="18"/>
      <c r="H1054" s="15" t="s">
        <v>7593</v>
      </c>
      <c r="I1054" s="15" t="s">
        <v>307</v>
      </c>
      <c r="J1054" s="19" t="s">
        <v>59</v>
      </c>
      <c r="K1054" s="19" t="s">
        <v>691</v>
      </c>
      <c r="L1054" s="19" t="s">
        <v>38</v>
      </c>
      <c r="M1054" s="20">
        <f t="shared" si="2"/>
        <v>0</v>
      </c>
      <c r="N1054" s="22"/>
      <c r="O1054" s="19" t="s">
        <v>39</v>
      </c>
      <c r="P1054" s="18"/>
      <c r="Q1054" s="18"/>
      <c r="R1054" s="23">
        <v>0.0</v>
      </c>
      <c r="S1054" s="23">
        <v>0.0</v>
      </c>
      <c r="T1054" s="23">
        <f t="shared" si="3"/>
        <v>0</v>
      </c>
      <c r="U1054" s="23">
        <f t="shared" si="4"/>
        <v>0</v>
      </c>
      <c r="V1054" s="23">
        <f t="shared" si="5"/>
        <v>0</v>
      </c>
      <c r="W1054" s="24" t="str">
        <f t="shared" si="6"/>
        <v>#DIV/0!</v>
      </c>
    </row>
    <row r="1055">
      <c r="A1055" s="15" t="s">
        <v>5119</v>
      </c>
      <c r="B1055" s="18"/>
      <c r="C1055" s="15" t="s">
        <v>7594</v>
      </c>
      <c r="D1055" s="18"/>
      <c r="E1055" s="17" t="s">
        <v>7592</v>
      </c>
      <c r="F1055" s="18"/>
      <c r="G1055" s="18"/>
      <c r="H1055" s="15" t="s">
        <v>7595</v>
      </c>
      <c r="I1055" s="15" t="s">
        <v>5122</v>
      </c>
      <c r="J1055" s="19" t="s">
        <v>59</v>
      </c>
      <c r="K1055" s="19" t="s">
        <v>691</v>
      </c>
      <c r="L1055" s="19" t="s">
        <v>38</v>
      </c>
      <c r="M1055" s="20">
        <f t="shared" si="2"/>
        <v>0</v>
      </c>
      <c r="N1055" s="22"/>
      <c r="O1055" s="19" t="s">
        <v>1145</v>
      </c>
      <c r="P1055" s="18"/>
      <c r="Q1055" s="18"/>
      <c r="R1055" s="23">
        <v>0.0</v>
      </c>
      <c r="S1055" s="23">
        <v>0.0</v>
      </c>
      <c r="T1055" s="23">
        <f t="shared" si="3"/>
        <v>0</v>
      </c>
      <c r="U1055" s="23">
        <f t="shared" si="4"/>
        <v>0</v>
      </c>
      <c r="V1055" s="23">
        <f t="shared" si="5"/>
        <v>0</v>
      </c>
      <c r="W1055" s="24" t="str">
        <f t="shared" si="6"/>
        <v>#DIV/0!</v>
      </c>
    </row>
    <row r="1056">
      <c r="A1056" s="15" t="s">
        <v>7596</v>
      </c>
      <c r="B1056" s="18"/>
      <c r="C1056" s="15" t="s">
        <v>7597</v>
      </c>
      <c r="D1056" s="18"/>
      <c r="E1056" s="17" t="s">
        <v>7598</v>
      </c>
      <c r="F1056" s="18"/>
      <c r="G1056" s="18"/>
      <c r="H1056" s="15" t="s">
        <v>7599</v>
      </c>
      <c r="I1056" s="15" t="s">
        <v>4950</v>
      </c>
      <c r="J1056" s="19" t="s">
        <v>59</v>
      </c>
      <c r="K1056" s="19" t="s">
        <v>691</v>
      </c>
      <c r="L1056" s="19" t="s">
        <v>38</v>
      </c>
      <c r="M1056" s="20">
        <f t="shared" si="2"/>
        <v>0</v>
      </c>
      <c r="N1056" s="22"/>
      <c r="O1056" s="19" t="s">
        <v>39</v>
      </c>
      <c r="P1056" s="18"/>
      <c r="Q1056" s="18"/>
      <c r="R1056" s="23">
        <v>0.0</v>
      </c>
      <c r="S1056" s="23">
        <v>0.0</v>
      </c>
      <c r="T1056" s="23">
        <f t="shared" si="3"/>
        <v>0</v>
      </c>
      <c r="U1056" s="23">
        <f t="shared" si="4"/>
        <v>0</v>
      </c>
      <c r="V1056" s="23">
        <f t="shared" si="5"/>
        <v>0</v>
      </c>
      <c r="W1056" s="24" t="str">
        <f t="shared" si="6"/>
        <v>#DIV/0!</v>
      </c>
    </row>
    <row r="1057">
      <c r="A1057" s="15" t="s">
        <v>5123</v>
      </c>
      <c r="B1057" s="15" t="s">
        <v>5124</v>
      </c>
      <c r="C1057" s="15" t="s">
        <v>7600</v>
      </c>
      <c r="D1057" s="15" t="s">
        <v>5125</v>
      </c>
      <c r="E1057" s="17" t="s">
        <v>5126</v>
      </c>
      <c r="F1057" s="18"/>
      <c r="G1057" s="18"/>
      <c r="H1057" s="15" t="s">
        <v>5127</v>
      </c>
      <c r="I1057" s="18"/>
      <c r="J1057" s="19" t="s">
        <v>59</v>
      </c>
      <c r="K1057" s="19" t="s">
        <v>52</v>
      </c>
      <c r="L1057" s="19" t="s">
        <v>52</v>
      </c>
      <c r="M1057" s="20">
        <f t="shared" si="2"/>
        <v>0</v>
      </c>
      <c r="N1057" s="22"/>
      <c r="O1057" s="19" t="s">
        <v>3578</v>
      </c>
      <c r="P1057" s="18"/>
      <c r="Q1057" s="18"/>
      <c r="R1057" s="23">
        <v>0.0</v>
      </c>
      <c r="S1057" s="23">
        <v>0.0</v>
      </c>
      <c r="T1057" s="23">
        <f t="shared" si="3"/>
        <v>0</v>
      </c>
      <c r="U1057" s="23">
        <f t="shared" si="4"/>
        <v>0</v>
      </c>
      <c r="V1057" s="23">
        <f t="shared" si="5"/>
        <v>0</v>
      </c>
      <c r="W1057" s="24" t="str">
        <f t="shared" si="6"/>
        <v>#DIV/0!</v>
      </c>
    </row>
    <row r="1058">
      <c r="A1058" s="15" t="s">
        <v>634</v>
      </c>
      <c r="B1058" s="15" t="s">
        <v>635</v>
      </c>
      <c r="C1058" s="15" t="s">
        <v>6033</v>
      </c>
      <c r="D1058" s="15" t="s">
        <v>636</v>
      </c>
      <c r="E1058" s="17" t="s">
        <v>637</v>
      </c>
      <c r="F1058" s="18"/>
      <c r="G1058" s="18"/>
      <c r="H1058" s="15" t="s">
        <v>638</v>
      </c>
      <c r="I1058" s="18"/>
      <c r="J1058" s="19" t="s">
        <v>59</v>
      </c>
      <c r="K1058" s="19" t="s">
        <v>200</v>
      </c>
      <c r="L1058" s="19" t="s">
        <v>292</v>
      </c>
      <c r="M1058" s="20">
        <f t="shared" si="2"/>
        <v>745.92</v>
      </c>
      <c r="N1058" s="31">
        <v>5.0</v>
      </c>
      <c r="O1058" s="19" t="s">
        <v>107</v>
      </c>
      <c r="P1058" s="18"/>
      <c r="Q1058" s="18"/>
      <c r="R1058" s="23">
        <v>8.0</v>
      </c>
      <c r="S1058" s="23">
        <v>42.0</v>
      </c>
      <c r="T1058" s="23">
        <f t="shared" si="3"/>
        <v>40.32</v>
      </c>
      <c r="U1058" s="23">
        <f t="shared" si="4"/>
        <v>9.8</v>
      </c>
      <c r="V1058" s="23">
        <f t="shared" si="5"/>
        <v>183.75</v>
      </c>
      <c r="W1058" s="24">
        <f t="shared" si="6"/>
        <v>5.04</v>
      </c>
    </row>
    <row r="1059">
      <c r="A1059" s="15" t="s">
        <v>718</v>
      </c>
      <c r="B1059" s="15" t="s">
        <v>719</v>
      </c>
      <c r="C1059" s="15" t="s">
        <v>6085</v>
      </c>
      <c r="D1059" s="15" t="s">
        <v>720</v>
      </c>
      <c r="E1059" s="17" t="s">
        <v>721</v>
      </c>
      <c r="F1059" s="18"/>
      <c r="G1059" s="15" t="s">
        <v>722</v>
      </c>
      <c r="H1059" s="15" t="s">
        <v>723</v>
      </c>
      <c r="I1059" s="18"/>
      <c r="J1059" s="19" t="s">
        <v>59</v>
      </c>
      <c r="K1059" s="19" t="s">
        <v>60</v>
      </c>
      <c r="L1059" s="19" t="s">
        <v>52</v>
      </c>
      <c r="M1059" s="20">
        <f t="shared" si="2"/>
        <v>2592.96</v>
      </c>
      <c r="N1059" s="31">
        <v>5.0</v>
      </c>
      <c r="O1059" s="19" t="s">
        <v>107</v>
      </c>
      <c r="P1059" s="18"/>
      <c r="Q1059" s="18"/>
      <c r="R1059" s="23">
        <v>30.0</v>
      </c>
      <c r="S1059" s="23">
        <v>146.0</v>
      </c>
      <c r="T1059" s="23">
        <f t="shared" si="3"/>
        <v>140.16</v>
      </c>
      <c r="U1059" s="23">
        <f t="shared" si="4"/>
        <v>36.75</v>
      </c>
      <c r="V1059" s="23">
        <f t="shared" si="5"/>
        <v>689.0625</v>
      </c>
      <c r="W1059" s="24">
        <f t="shared" si="6"/>
        <v>4.672</v>
      </c>
    </row>
    <row r="1060">
      <c r="A1060" s="15" t="s">
        <v>819</v>
      </c>
      <c r="B1060" s="15" t="s">
        <v>820</v>
      </c>
      <c r="C1060" s="15" t="s">
        <v>6034</v>
      </c>
      <c r="D1060" s="15" t="s">
        <v>821</v>
      </c>
      <c r="E1060" s="17" t="s">
        <v>822</v>
      </c>
      <c r="F1060" s="18"/>
      <c r="G1060" s="18"/>
      <c r="H1060" s="15" t="s">
        <v>823</v>
      </c>
      <c r="I1060" s="18"/>
      <c r="J1060" s="19" t="s">
        <v>59</v>
      </c>
      <c r="K1060" s="19" t="s">
        <v>200</v>
      </c>
      <c r="L1060" s="19" t="s">
        <v>38</v>
      </c>
      <c r="M1060" s="20">
        <f t="shared" si="2"/>
        <v>230.88</v>
      </c>
      <c r="N1060" s="31">
        <v>5.0</v>
      </c>
      <c r="O1060" s="19" t="s">
        <v>107</v>
      </c>
      <c r="P1060" s="18"/>
      <c r="Q1060" s="18"/>
      <c r="R1060" s="23">
        <v>3.0</v>
      </c>
      <c r="S1060" s="23">
        <v>13.0</v>
      </c>
      <c r="T1060" s="23">
        <f t="shared" si="3"/>
        <v>12.48</v>
      </c>
      <c r="U1060" s="23">
        <f t="shared" si="4"/>
        <v>3.675</v>
      </c>
      <c r="V1060" s="23">
        <f t="shared" si="5"/>
        <v>68.90625</v>
      </c>
      <c r="W1060" s="24">
        <f t="shared" si="6"/>
        <v>4.16</v>
      </c>
    </row>
    <row r="1061">
      <c r="A1061" s="15" t="s">
        <v>758</v>
      </c>
      <c r="B1061" s="15" t="s">
        <v>759</v>
      </c>
      <c r="C1061" s="15" t="s">
        <v>6086</v>
      </c>
      <c r="D1061" s="15" t="s">
        <v>760</v>
      </c>
      <c r="E1061" s="17" t="s">
        <v>761</v>
      </c>
      <c r="F1061" s="18"/>
      <c r="G1061" s="18"/>
      <c r="H1061" s="15" t="s">
        <v>762</v>
      </c>
      <c r="I1061" s="18"/>
      <c r="J1061" s="19" t="s">
        <v>59</v>
      </c>
      <c r="K1061" s="19" t="s">
        <v>60</v>
      </c>
      <c r="L1061" s="19" t="s">
        <v>38</v>
      </c>
      <c r="M1061" s="20">
        <f t="shared" si="2"/>
        <v>1172.16</v>
      </c>
      <c r="N1061" s="31">
        <v>5.0</v>
      </c>
      <c r="O1061" s="19" t="s">
        <v>107</v>
      </c>
      <c r="P1061" s="18"/>
      <c r="Q1061" s="18"/>
      <c r="R1061" s="23">
        <v>14.0</v>
      </c>
      <c r="S1061" s="23">
        <v>66.0</v>
      </c>
      <c r="T1061" s="23">
        <f t="shared" si="3"/>
        <v>63.36</v>
      </c>
      <c r="U1061" s="23">
        <f t="shared" si="4"/>
        <v>17.15</v>
      </c>
      <c r="V1061" s="23">
        <f t="shared" si="5"/>
        <v>321.5625</v>
      </c>
      <c r="W1061" s="24">
        <f t="shared" si="6"/>
        <v>4.525714286</v>
      </c>
    </row>
    <row r="1062">
      <c r="A1062" s="15" t="s">
        <v>1135</v>
      </c>
      <c r="B1062" s="15" t="s">
        <v>1136</v>
      </c>
      <c r="C1062" s="15" t="s">
        <v>1137</v>
      </c>
      <c r="D1062" s="15" t="s">
        <v>1138</v>
      </c>
      <c r="E1062" s="17" t="s">
        <v>1139</v>
      </c>
      <c r="F1062" s="18"/>
      <c r="G1062" s="18"/>
      <c r="H1062" s="15" t="s">
        <v>1140</v>
      </c>
      <c r="I1062" s="18"/>
      <c r="J1062" s="19" t="s">
        <v>59</v>
      </c>
      <c r="K1062" s="19" t="s">
        <v>52</v>
      </c>
      <c r="L1062" s="19" t="s">
        <v>52</v>
      </c>
      <c r="M1062" s="20">
        <f t="shared" si="2"/>
        <v>177.6</v>
      </c>
      <c r="N1062" s="31">
        <v>6.0</v>
      </c>
      <c r="O1062" s="19" t="s">
        <v>107</v>
      </c>
      <c r="P1062" s="18"/>
      <c r="Q1062" s="18"/>
      <c r="R1062" s="23">
        <v>5.0</v>
      </c>
      <c r="S1062" s="23">
        <v>10.0</v>
      </c>
      <c r="T1062" s="23">
        <f t="shared" si="3"/>
        <v>9.6</v>
      </c>
      <c r="U1062" s="23">
        <f t="shared" si="4"/>
        <v>6.125</v>
      </c>
      <c r="V1062" s="23">
        <f t="shared" si="5"/>
        <v>114.84375</v>
      </c>
      <c r="W1062" s="24">
        <f t="shared" si="6"/>
        <v>1.92</v>
      </c>
    </row>
    <row r="1063">
      <c r="A1063" s="15" t="s">
        <v>7601</v>
      </c>
      <c r="B1063" s="18"/>
      <c r="C1063" s="15" t="s">
        <v>7602</v>
      </c>
      <c r="D1063" s="18"/>
      <c r="E1063" s="17" t="s">
        <v>2858</v>
      </c>
      <c r="F1063" s="18"/>
      <c r="G1063" s="18"/>
      <c r="H1063" s="15" t="s">
        <v>7603</v>
      </c>
      <c r="I1063" s="15" t="s">
        <v>3951</v>
      </c>
      <c r="J1063" s="19" t="s">
        <v>59</v>
      </c>
      <c r="K1063" s="19" t="s">
        <v>2401</v>
      </c>
      <c r="L1063" s="19" t="s">
        <v>38</v>
      </c>
      <c r="M1063" s="20">
        <f t="shared" si="2"/>
        <v>0</v>
      </c>
      <c r="N1063" s="22"/>
      <c r="O1063" s="19" t="s">
        <v>39</v>
      </c>
      <c r="P1063" s="18"/>
      <c r="Q1063" s="18"/>
      <c r="R1063" s="23">
        <v>0.0</v>
      </c>
      <c r="S1063" s="23">
        <v>0.0</v>
      </c>
      <c r="T1063" s="23">
        <f t="shared" si="3"/>
        <v>0</v>
      </c>
      <c r="U1063" s="23">
        <f t="shared" si="4"/>
        <v>0</v>
      </c>
      <c r="V1063" s="23">
        <f t="shared" si="5"/>
        <v>0</v>
      </c>
      <c r="W1063" s="24" t="str">
        <f t="shared" si="6"/>
        <v>#DIV/0!</v>
      </c>
    </row>
    <row r="1064">
      <c r="A1064" s="15" t="s">
        <v>5128</v>
      </c>
      <c r="B1064" s="18"/>
      <c r="C1064" s="15" t="s">
        <v>7604</v>
      </c>
      <c r="D1064" s="18"/>
      <c r="E1064" s="17" t="s">
        <v>2858</v>
      </c>
      <c r="F1064" s="18"/>
      <c r="G1064" s="18"/>
      <c r="H1064" s="15" t="s">
        <v>7605</v>
      </c>
      <c r="I1064" s="15" t="s">
        <v>5131</v>
      </c>
      <c r="J1064" s="19" t="s">
        <v>59</v>
      </c>
      <c r="K1064" s="19" t="s">
        <v>2401</v>
      </c>
      <c r="L1064" s="19" t="s">
        <v>38</v>
      </c>
      <c r="M1064" s="20">
        <f t="shared" si="2"/>
        <v>0</v>
      </c>
      <c r="N1064" s="22"/>
      <c r="O1064" s="19" t="s">
        <v>1145</v>
      </c>
      <c r="P1064" s="18"/>
      <c r="Q1064" s="18"/>
      <c r="R1064" s="23">
        <v>0.0</v>
      </c>
      <c r="S1064" s="23">
        <v>0.0</v>
      </c>
      <c r="T1064" s="23">
        <f t="shared" si="3"/>
        <v>0</v>
      </c>
      <c r="U1064" s="23">
        <f t="shared" si="4"/>
        <v>0</v>
      </c>
      <c r="V1064" s="23">
        <f t="shared" si="5"/>
        <v>0</v>
      </c>
      <c r="W1064" s="24" t="str">
        <f t="shared" si="6"/>
        <v>#DIV/0!</v>
      </c>
    </row>
    <row r="1065">
      <c r="A1065" s="15" t="s">
        <v>2857</v>
      </c>
      <c r="B1065" s="18"/>
      <c r="C1065" s="15" t="s">
        <v>7606</v>
      </c>
      <c r="D1065" s="18"/>
      <c r="E1065" s="17" t="s">
        <v>2858</v>
      </c>
      <c r="F1065" s="18"/>
      <c r="G1065" s="18"/>
      <c r="H1065" s="15" t="s">
        <v>2859</v>
      </c>
      <c r="I1065" s="15" t="s">
        <v>2860</v>
      </c>
      <c r="J1065" s="19" t="s">
        <v>59</v>
      </c>
      <c r="K1065" s="19" t="s">
        <v>2401</v>
      </c>
      <c r="L1065" s="19" t="s">
        <v>38</v>
      </c>
      <c r="M1065" s="20">
        <f t="shared" si="2"/>
        <v>0</v>
      </c>
      <c r="N1065" s="22"/>
      <c r="O1065" s="19" t="s">
        <v>1145</v>
      </c>
      <c r="P1065" s="18"/>
      <c r="Q1065" s="18"/>
      <c r="R1065" s="23">
        <v>0.0</v>
      </c>
      <c r="S1065" s="23">
        <v>0.0</v>
      </c>
      <c r="T1065" s="23">
        <f t="shared" si="3"/>
        <v>0</v>
      </c>
      <c r="U1065" s="23">
        <f t="shared" si="4"/>
        <v>0</v>
      </c>
      <c r="V1065" s="23">
        <f t="shared" si="5"/>
        <v>0</v>
      </c>
      <c r="W1065" s="24" t="str">
        <f t="shared" si="6"/>
        <v>#DIV/0!</v>
      </c>
    </row>
    <row r="1066">
      <c r="A1066" s="15" t="s">
        <v>2861</v>
      </c>
      <c r="B1066" s="18"/>
      <c r="C1066" s="15" t="s">
        <v>7607</v>
      </c>
      <c r="D1066" s="18"/>
      <c r="E1066" s="17" t="s">
        <v>2858</v>
      </c>
      <c r="F1066" s="18"/>
      <c r="G1066" s="18"/>
      <c r="H1066" s="15" t="s">
        <v>2862</v>
      </c>
      <c r="I1066" s="15" t="s">
        <v>2863</v>
      </c>
      <c r="J1066" s="19" t="s">
        <v>59</v>
      </c>
      <c r="K1066" s="19" t="s">
        <v>2401</v>
      </c>
      <c r="L1066" s="19" t="s">
        <v>38</v>
      </c>
      <c r="M1066" s="20">
        <f t="shared" si="2"/>
        <v>0</v>
      </c>
      <c r="N1066" s="22"/>
      <c r="O1066" s="19" t="s">
        <v>1145</v>
      </c>
      <c r="P1066" s="18"/>
      <c r="Q1066" s="18"/>
      <c r="R1066" s="23">
        <v>0.0</v>
      </c>
      <c r="S1066" s="23">
        <v>0.0</v>
      </c>
      <c r="T1066" s="23">
        <f t="shared" si="3"/>
        <v>0</v>
      </c>
      <c r="U1066" s="23">
        <f t="shared" si="4"/>
        <v>0</v>
      </c>
      <c r="V1066" s="23">
        <f t="shared" si="5"/>
        <v>0</v>
      </c>
      <c r="W1066" s="24" t="str">
        <f t="shared" si="6"/>
        <v>#DIV/0!</v>
      </c>
    </row>
    <row r="1067">
      <c r="A1067" s="15" t="s">
        <v>5132</v>
      </c>
      <c r="B1067" s="18" t="str">
        <f>CONCATENATE(7504589, A1067)</f>
        <v>75045892064</v>
      </c>
      <c r="C1067" s="15" t="s">
        <v>7608</v>
      </c>
      <c r="D1067" s="15" t="s">
        <v>5133</v>
      </c>
      <c r="E1067" s="17" t="s">
        <v>5134</v>
      </c>
      <c r="F1067" s="18"/>
      <c r="G1067" s="18"/>
      <c r="H1067" s="15" t="s">
        <v>5135</v>
      </c>
      <c r="I1067" s="15"/>
      <c r="J1067" s="19" t="s">
        <v>59</v>
      </c>
      <c r="K1067" s="19" t="s">
        <v>52</v>
      </c>
      <c r="L1067" s="19" t="s">
        <v>52</v>
      </c>
      <c r="M1067" s="20">
        <f t="shared" si="2"/>
        <v>0</v>
      </c>
      <c r="N1067" s="22"/>
      <c r="O1067" s="19" t="s">
        <v>3578</v>
      </c>
      <c r="P1067" s="18"/>
      <c r="Q1067" s="18"/>
      <c r="R1067" s="23">
        <v>0.0</v>
      </c>
      <c r="S1067" s="23">
        <v>0.0</v>
      </c>
      <c r="T1067" s="23">
        <f t="shared" si="3"/>
        <v>0</v>
      </c>
      <c r="U1067" s="23">
        <f t="shared" si="4"/>
        <v>0</v>
      </c>
      <c r="V1067" s="23">
        <f t="shared" si="5"/>
        <v>0</v>
      </c>
      <c r="W1067" s="24" t="str">
        <f t="shared" si="6"/>
        <v>#DIV/0!</v>
      </c>
    </row>
    <row r="1068">
      <c r="A1068" s="15" t="s">
        <v>7611</v>
      </c>
      <c r="B1068" s="18"/>
      <c r="C1068" s="15" t="s">
        <v>7612</v>
      </c>
      <c r="D1068" s="18"/>
      <c r="E1068" s="17" t="s">
        <v>7613</v>
      </c>
      <c r="F1068" s="18"/>
      <c r="G1068" s="18"/>
      <c r="H1068" s="15" t="s">
        <v>7614</v>
      </c>
      <c r="I1068" s="15" t="s">
        <v>823</v>
      </c>
      <c r="J1068" s="19" t="s">
        <v>59</v>
      </c>
      <c r="K1068" s="19" t="s">
        <v>2401</v>
      </c>
      <c r="L1068" s="19" t="s">
        <v>38</v>
      </c>
      <c r="M1068" s="20">
        <f t="shared" si="2"/>
        <v>0</v>
      </c>
      <c r="N1068" s="22"/>
      <c r="O1068" s="19" t="s">
        <v>39</v>
      </c>
      <c r="P1068" s="18"/>
      <c r="Q1068" s="18"/>
      <c r="R1068" s="23">
        <v>0.0</v>
      </c>
      <c r="S1068" s="23">
        <v>0.0</v>
      </c>
      <c r="T1068" s="23">
        <f t="shared" si="3"/>
        <v>0</v>
      </c>
      <c r="U1068" s="23">
        <f t="shared" si="4"/>
        <v>0</v>
      </c>
      <c r="V1068" s="23">
        <f t="shared" si="5"/>
        <v>0</v>
      </c>
      <c r="W1068" s="24" t="str">
        <f t="shared" si="6"/>
        <v>#DIV/0!</v>
      </c>
    </row>
    <row r="1069">
      <c r="A1069" s="15" t="s">
        <v>5136</v>
      </c>
      <c r="B1069" s="15" t="s">
        <v>5137</v>
      </c>
      <c r="C1069" s="15" t="s">
        <v>7615</v>
      </c>
      <c r="D1069" s="18"/>
      <c r="E1069" s="17" t="s">
        <v>5138</v>
      </c>
      <c r="F1069" s="18"/>
      <c r="G1069" s="18"/>
      <c r="H1069" s="15" t="s">
        <v>5139</v>
      </c>
      <c r="I1069" s="18"/>
      <c r="J1069" s="19" t="s">
        <v>59</v>
      </c>
      <c r="K1069" s="33"/>
      <c r="L1069" s="19" t="s">
        <v>38</v>
      </c>
      <c r="M1069" s="20">
        <f t="shared" si="2"/>
        <v>0</v>
      </c>
      <c r="N1069" s="22"/>
      <c r="O1069" s="19" t="s">
        <v>3578</v>
      </c>
      <c r="P1069" s="18"/>
      <c r="Q1069" s="18"/>
      <c r="R1069" s="23">
        <v>0.0</v>
      </c>
      <c r="S1069" s="23">
        <v>0.0</v>
      </c>
      <c r="T1069" s="23">
        <f t="shared" si="3"/>
        <v>0</v>
      </c>
      <c r="U1069" s="23">
        <f t="shared" si="4"/>
        <v>0</v>
      </c>
      <c r="V1069" s="23">
        <f t="shared" si="5"/>
        <v>0</v>
      </c>
      <c r="W1069" s="24" t="str">
        <f t="shared" si="6"/>
        <v>#DIV/0!</v>
      </c>
    </row>
    <row r="1070">
      <c r="A1070" s="15" t="s">
        <v>2864</v>
      </c>
      <c r="B1070" s="15" t="s">
        <v>2865</v>
      </c>
      <c r="C1070" s="15" t="s">
        <v>7616</v>
      </c>
      <c r="D1070" s="18"/>
      <c r="E1070" s="17" t="s">
        <v>2866</v>
      </c>
      <c r="F1070" s="18"/>
      <c r="G1070" s="18"/>
      <c r="H1070" s="15" t="s">
        <v>2867</v>
      </c>
      <c r="I1070" s="18"/>
      <c r="J1070" s="19" t="s">
        <v>59</v>
      </c>
      <c r="K1070" s="33"/>
      <c r="L1070" s="19" t="s">
        <v>38</v>
      </c>
      <c r="M1070" s="20">
        <f t="shared" si="2"/>
        <v>0</v>
      </c>
      <c r="N1070" s="22"/>
      <c r="O1070" s="19" t="s">
        <v>1145</v>
      </c>
      <c r="P1070" s="18"/>
      <c r="Q1070" s="18"/>
      <c r="R1070" s="23">
        <v>0.0</v>
      </c>
      <c r="S1070" s="23">
        <v>0.0</v>
      </c>
      <c r="T1070" s="23">
        <f t="shared" si="3"/>
        <v>0</v>
      </c>
      <c r="U1070" s="23">
        <f t="shared" si="4"/>
        <v>0</v>
      </c>
      <c r="V1070" s="23">
        <f t="shared" si="5"/>
        <v>0</v>
      </c>
      <c r="W1070" s="24" t="str">
        <f t="shared" si="6"/>
        <v>#DIV/0!</v>
      </c>
    </row>
    <row r="1071">
      <c r="A1071" s="15" t="s">
        <v>5140</v>
      </c>
      <c r="B1071" s="15" t="s">
        <v>5141</v>
      </c>
      <c r="C1071" s="15" t="s">
        <v>7617</v>
      </c>
      <c r="D1071" s="15" t="s">
        <v>5142</v>
      </c>
      <c r="E1071" s="17" t="s">
        <v>5143</v>
      </c>
      <c r="F1071" s="18"/>
      <c r="G1071" s="18"/>
      <c r="H1071" s="15" t="s">
        <v>5144</v>
      </c>
      <c r="I1071" s="18"/>
      <c r="J1071" s="19" t="s">
        <v>59</v>
      </c>
      <c r="K1071" s="33"/>
      <c r="L1071" s="19" t="s">
        <v>38</v>
      </c>
      <c r="M1071" s="20">
        <f t="shared" si="2"/>
        <v>0</v>
      </c>
      <c r="N1071" s="22"/>
      <c r="O1071" s="19" t="s">
        <v>3578</v>
      </c>
      <c r="P1071" s="18"/>
      <c r="Q1071" s="18"/>
      <c r="R1071" s="23">
        <v>0.0</v>
      </c>
      <c r="S1071" s="23">
        <v>0.0</v>
      </c>
      <c r="T1071" s="23">
        <f t="shared" si="3"/>
        <v>0</v>
      </c>
      <c r="U1071" s="23">
        <f t="shared" si="4"/>
        <v>0</v>
      </c>
      <c r="V1071" s="23">
        <f t="shared" si="5"/>
        <v>0</v>
      </c>
      <c r="W1071" s="24" t="str">
        <f t="shared" si="6"/>
        <v>#DIV/0!</v>
      </c>
    </row>
    <row r="1072">
      <c r="A1072" s="15" t="s">
        <v>5145</v>
      </c>
      <c r="B1072" s="15" t="s">
        <v>5146</v>
      </c>
      <c r="C1072" s="15" t="s">
        <v>7618</v>
      </c>
      <c r="D1072" s="18"/>
      <c r="E1072" s="17" t="s">
        <v>5148</v>
      </c>
      <c r="F1072" s="18"/>
      <c r="G1072" s="18"/>
      <c r="H1072" s="15" t="s">
        <v>5149</v>
      </c>
      <c r="I1072" s="18"/>
      <c r="J1072" s="19" t="s">
        <v>59</v>
      </c>
      <c r="K1072" s="33"/>
      <c r="L1072" s="19" t="s">
        <v>38</v>
      </c>
      <c r="M1072" s="20">
        <f t="shared" si="2"/>
        <v>0</v>
      </c>
      <c r="N1072" s="22"/>
      <c r="O1072" s="19" t="s">
        <v>3578</v>
      </c>
      <c r="P1072" s="18"/>
      <c r="Q1072" s="18"/>
      <c r="R1072" s="23">
        <v>0.0</v>
      </c>
      <c r="S1072" s="23">
        <v>0.0</v>
      </c>
      <c r="T1072" s="23">
        <f t="shared" si="3"/>
        <v>0</v>
      </c>
      <c r="U1072" s="23">
        <f t="shared" si="4"/>
        <v>0</v>
      </c>
      <c r="V1072" s="23">
        <f t="shared" si="5"/>
        <v>0</v>
      </c>
      <c r="W1072" s="24" t="str">
        <f t="shared" si="6"/>
        <v>#DIV/0!</v>
      </c>
    </row>
    <row r="1073">
      <c r="A1073" s="15" t="s">
        <v>2868</v>
      </c>
      <c r="B1073" s="18"/>
      <c r="C1073" s="15" t="s">
        <v>7619</v>
      </c>
      <c r="D1073" s="18"/>
      <c r="E1073" s="17" t="s">
        <v>2869</v>
      </c>
      <c r="F1073" s="18"/>
      <c r="G1073" s="18"/>
      <c r="H1073" s="15" t="s">
        <v>2870</v>
      </c>
      <c r="I1073" s="18"/>
      <c r="J1073" s="19" t="s">
        <v>59</v>
      </c>
      <c r="K1073" s="19" t="s">
        <v>691</v>
      </c>
      <c r="L1073" s="19" t="s">
        <v>38</v>
      </c>
      <c r="M1073" s="20">
        <f t="shared" si="2"/>
        <v>0</v>
      </c>
      <c r="N1073" s="22"/>
      <c r="O1073" s="19" t="s">
        <v>1145</v>
      </c>
      <c r="P1073" s="18"/>
      <c r="Q1073" s="18"/>
      <c r="R1073" s="23">
        <v>0.0</v>
      </c>
      <c r="S1073" s="23">
        <v>0.0</v>
      </c>
      <c r="T1073" s="23">
        <f t="shared" si="3"/>
        <v>0</v>
      </c>
      <c r="U1073" s="23">
        <f t="shared" si="4"/>
        <v>0</v>
      </c>
      <c r="V1073" s="23">
        <f t="shared" si="5"/>
        <v>0</v>
      </c>
      <c r="W1073" s="24" t="str">
        <f t="shared" si="6"/>
        <v>#DIV/0!</v>
      </c>
    </row>
    <row r="1074">
      <c r="A1074" s="15" t="s">
        <v>7620</v>
      </c>
      <c r="B1074" s="18"/>
      <c r="C1074" s="15" t="s">
        <v>7621</v>
      </c>
      <c r="D1074" s="18"/>
      <c r="E1074" s="17" t="s">
        <v>7622</v>
      </c>
      <c r="F1074" s="18"/>
      <c r="G1074" s="18"/>
      <c r="H1074" s="15" t="s">
        <v>7623</v>
      </c>
      <c r="I1074" s="15" t="s">
        <v>796</v>
      </c>
      <c r="J1074" s="19" t="s">
        <v>59</v>
      </c>
      <c r="K1074" s="19" t="s">
        <v>691</v>
      </c>
      <c r="L1074" s="19" t="s">
        <v>38</v>
      </c>
      <c r="M1074" s="20">
        <f t="shared" si="2"/>
        <v>0</v>
      </c>
      <c r="N1074" s="22"/>
      <c r="O1074" s="19" t="s">
        <v>39</v>
      </c>
      <c r="P1074" s="18"/>
      <c r="Q1074" s="18"/>
      <c r="R1074" s="23">
        <v>0.0</v>
      </c>
      <c r="S1074" s="23">
        <v>0.0</v>
      </c>
      <c r="T1074" s="23">
        <f t="shared" si="3"/>
        <v>0</v>
      </c>
      <c r="U1074" s="23">
        <f t="shared" si="4"/>
        <v>0</v>
      </c>
      <c r="V1074" s="23">
        <f t="shared" si="5"/>
        <v>0</v>
      </c>
      <c r="W1074" s="24" t="str">
        <f t="shared" si="6"/>
        <v>#DIV/0!</v>
      </c>
    </row>
    <row r="1075">
      <c r="A1075" s="15" t="s">
        <v>7624</v>
      </c>
      <c r="B1075" s="18"/>
      <c r="C1075" s="15" t="s">
        <v>7625</v>
      </c>
      <c r="D1075" s="18"/>
      <c r="E1075" s="17" t="s">
        <v>7626</v>
      </c>
      <c r="F1075" s="18"/>
      <c r="G1075" s="18"/>
      <c r="H1075" s="15" t="s">
        <v>7627</v>
      </c>
      <c r="I1075" s="15" t="s">
        <v>531</v>
      </c>
      <c r="J1075" s="19" t="s">
        <v>59</v>
      </c>
      <c r="K1075" s="19" t="s">
        <v>691</v>
      </c>
      <c r="L1075" s="19" t="s">
        <v>38</v>
      </c>
      <c r="M1075" s="20">
        <f t="shared" si="2"/>
        <v>0</v>
      </c>
      <c r="N1075" s="22"/>
      <c r="O1075" s="19" t="s">
        <v>39</v>
      </c>
      <c r="P1075" s="18"/>
      <c r="Q1075" s="18"/>
      <c r="R1075" s="23">
        <v>0.0</v>
      </c>
      <c r="S1075" s="23">
        <v>0.0</v>
      </c>
      <c r="T1075" s="23">
        <f t="shared" si="3"/>
        <v>0</v>
      </c>
      <c r="U1075" s="23">
        <f t="shared" si="4"/>
        <v>0</v>
      </c>
      <c r="V1075" s="23">
        <f t="shared" si="5"/>
        <v>0</v>
      </c>
      <c r="W1075" s="24" t="str">
        <f t="shared" si="6"/>
        <v>#DIV/0!</v>
      </c>
    </row>
    <row r="1076">
      <c r="A1076" s="15" t="s">
        <v>7628</v>
      </c>
      <c r="B1076" s="18"/>
      <c r="C1076" s="15" t="s">
        <v>7629</v>
      </c>
      <c r="D1076" s="18"/>
      <c r="E1076" s="17" t="s">
        <v>7630</v>
      </c>
      <c r="F1076" s="18"/>
      <c r="G1076" s="18"/>
      <c r="H1076" s="15" t="s">
        <v>7631</v>
      </c>
      <c r="I1076" s="15" t="s">
        <v>526</v>
      </c>
      <c r="J1076" s="19" t="s">
        <v>59</v>
      </c>
      <c r="K1076" s="19" t="s">
        <v>691</v>
      </c>
      <c r="L1076" s="19" t="s">
        <v>38</v>
      </c>
      <c r="M1076" s="20">
        <f t="shared" si="2"/>
        <v>0</v>
      </c>
      <c r="N1076" s="22"/>
      <c r="O1076" s="19" t="s">
        <v>39</v>
      </c>
      <c r="P1076" s="18"/>
      <c r="Q1076" s="18"/>
      <c r="R1076" s="23">
        <v>0.0</v>
      </c>
      <c r="S1076" s="23">
        <v>0.0</v>
      </c>
      <c r="T1076" s="23">
        <f t="shared" si="3"/>
        <v>0</v>
      </c>
      <c r="U1076" s="23">
        <f t="shared" si="4"/>
        <v>0</v>
      </c>
      <c r="V1076" s="23">
        <f t="shared" si="5"/>
        <v>0</v>
      </c>
      <c r="W1076" s="24" t="str">
        <f t="shared" si="6"/>
        <v>#DIV/0!</v>
      </c>
    </row>
    <row r="1077">
      <c r="A1077" s="15" t="s">
        <v>7632</v>
      </c>
      <c r="B1077" s="18"/>
      <c r="C1077" s="15" t="s">
        <v>7633</v>
      </c>
      <c r="D1077" s="18"/>
      <c r="E1077" s="17" t="s">
        <v>7634</v>
      </c>
      <c r="F1077" s="18"/>
      <c r="G1077" s="18"/>
      <c r="H1077" s="15" t="s">
        <v>7635</v>
      </c>
      <c r="I1077" s="15" t="s">
        <v>849</v>
      </c>
      <c r="J1077" s="19" t="s">
        <v>59</v>
      </c>
      <c r="K1077" s="19" t="s">
        <v>691</v>
      </c>
      <c r="L1077" s="19" t="s">
        <v>38</v>
      </c>
      <c r="M1077" s="20">
        <f t="shared" si="2"/>
        <v>0</v>
      </c>
      <c r="N1077" s="22"/>
      <c r="O1077" s="19" t="s">
        <v>39</v>
      </c>
      <c r="P1077" s="18"/>
      <c r="Q1077" s="18"/>
      <c r="R1077" s="23">
        <v>0.0</v>
      </c>
      <c r="S1077" s="23">
        <v>0.0</v>
      </c>
      <c r="T1077" s="23">
        <f t="shared" si="3"/>
        <v>0</v>
      </c>
      <c r="U1077" s="23">
        <f t="shared" si="4"/>
        <v>0</v>
      </c>
      <c r="V1077" s="23">
        <f t="shared" si="5"/>
        <v>0</v>
      </c>
      <c r="W1077" s="24" t="str">
        <f t="shared" si="6"/>
        <v>#DIV/0!</v>
      </c>
    </row>
    <row r="1078">
      <c r="A1078" s="15" t="s">
        <v>2871</v>
      </c>
      <c r="B1078" s="18"/>
      <c r="C1078" s="15" t="s">
        <v>7636</v>
      </c>
      <c r="D1078" s="18"/>
      <c r="E1078" s="17" t="s">
        <v>2872</v>
      </c>
      <c r="F1078" s="18"/>
      <c r="G1078" s="18"/>
      <c r="H1078" s="15"/>
      <c r="I1078" s="15" t="s">
        <v>2873</v>
      </c>
      <c r="J1078" s="19" t="s">
        <v>59</v>
      </c>
      <c r="K1078" s="19" t="s">
        <v>2396</v>
      </c>
      <c r="L1078" s="19" t="s">
        <v>38</v>
      </c>
      <c r="M1078" s="20">
        <f t="shared" si="2"/>
        <v>0</v>
      </c>
      <c r="N1078" s="22"/>
      <c r="O1078" s="19" t="s">
        <v>1145</v>
      </c>
      <c r="P1078" s="18"/>
      <c r="Q1078" s="18"/>
      <c r="R1078" s="23">
        <v>0.0</v>
      </c>
      <c r="S1078" s="23">
        <v>0.0</v>
      </c>
      <c r="T1078" s="23">
        <f t="shared" si="3"/>
        <v>0</v>
      </c>
      <c r="U1078" s="23">
        <f t="shared" si="4"/>
        <v>0</v>
      </c>
      <c r="V1078" s="23">
        <f t="shared" si="5"/>
        <v>0</v>
      </c>
      <c r="W1078" s="24" t="str">
        <f t="shared" si="6"/>
        <v>#DIV/0!</v>
      </c>
    </row>
    <row r="1079">
      <c r="A1079" s="15" t="s">
        <v>2874</v>
      </c>
      <c r="B1079" s="18"/>
      <c r="C1079" s="15" t="s">
        <v>7637</v>
      </c>
      <c r="D1079" s="18"/>
      <c r="E1079" s="17" t="s">
        <v>2875</v>
      </c>
      <c r="F1079" s="18"/>
      <c r="G1079" s="18"/>
      <c r="H1079" s="15"/>
      <c r="I1079" s="15" t="s">
        <v>2876</v>
      </c>
      <c r="J1079" s="19" t="s">
        <v>59</v>
      </c>
      <c r="K1079" s="19" t="s">
        <v>2396</v>
      </c>
      <c r="L1079" s="19" t="s">
        <v>38</v>
      </c>
      <c r="M1079" s="20">
        <f t="shared" si="2"/>
        <v>0</v>
      </c>
      <c r="N1079" s="22"/>
      <c r="O1079" s="19" t="s">
        <v>1145</v>
      </c>
      <c r="P1079" s="18"/>
      <c r="Q1079" s="18"/>
      <c r="R1079" s="23">
        <v>0.0</v>
      </c>
      <c r="S1079" s="23">
        <v>0.0</v>
      </c>
      <c r="T1079" s="23">
        <f t="shared" si="3"/>
        <v>0</v>
      </c>
      <c r="U1079" s="23">
        <f t="shared" si="4"/>
        <v>0</v>
      </c>
      <c r="V1079" s="23">
        <f t="shared" si="5"/>
        <v>0</v>
      </c>
      <c r="W1079" s="24" t="str">
        <f t="shared" si="6"/>
        <v>#DIV/0!</v>
      </c>
    </row>
    <row r="1080">
      <c r="A1080" s="15" t="s">
        <v>850</v>
      </c>
      <c r="B1080" s="15" t="s">
        <v>851</v>
      </c>
      <c r="C1080" s="15" t="s">
        <v>7638</v>
      </c>
      <c r="D1080" s="15" t="s">
        <v>852</v>
      </c>
      <c r="E1080" s="17" t="s">
        <v>853</v>
      </c>
      <c r="F1080" s="18"/>
      <c r="G1080" s="15" t="s">
        <v>683</v>
      </c>
      <c r="H1080" s="15" t="s">
        <v>854</v>
      </c>
      <c r="I1080" s="18"/>
      <c r="J1080" s="19" t="s">
        <v>59</v>
      </c>
      <c r="K1080" s="19" t="s">
        <v>60</v>
      </c>
      <c r="L1080" s="19" t="s">
        <v>292</v>
      </c>
      <c r="M1080" s="20">
        <f t="shared" si="2"/>
        <v>3516.48</v>
      </c>
      <c r="N1080" s="31">
        <v>2.0</v>
      </c>
      <c r="O1080" s="19" t="s">
        <v>107</v>
      </c>
      <c r="P1080" s="18"/>
      <c r="Q1080" s="18"/>
      <c r="R1080" s="23">
        <v>47.0</v>
      </c>
      <c r="S1080" s="23">
        <v>198.0</v>
      </c>
      <c r="T1080" s="23">
        <f t="shared" si="3"/>
        <v>190.08</v>
      </c>
      <c r="U1080" s="23">
        <f t="shared" si="4"/>
        <v>57.575</v>
      </c>
      <c r="V1080" s="23">
        <f t="shared" si="5"/>
        <v>1079.53125</v>
      </c>
      <c r="W1080" s="24">
        <f t="shared" si="6"/>
        <v>4.044255319</v>
      </c>
    </row>
    <row r="1081">
      <c r="A1081" s="15" t="s">
        <v>2877</v>
      </c>
      <c r="B1081" s="18"/>
      <c r="C1081" s="15" t="s">
        <v>7639</v>
      </c>
      <c r="D1081" s="18"/>
      <c r="E1081" s="17" t="s">
        <v>2878</v>
      </c>
      <c r="F1081" s="18"/>
      <c r="G1081" s="18"/>
      <c r="H1081" s="15" t="s">
        <v>2879</v>
      </c>
      <c r="I1081" s="15" t="s">
        <v>2880</v>
      </c>
      <c r="J1081" s="19" t="s">
        <v>59</v>
      </c>
      <c r="K1081" s="19" t="s">
        <v>2396</v>
      </c>
      <c r="L1081" s="19" t="s">
        <v>38</v>
      </c>
      <c r="M1081" s="20">
        <f t="shared" si="2"/>
        <v>0</v>
      </c>
      <c r="N1081" s="22"/>
      <c r="O1081" s="19" t="s">
        <v>1145</v>
      </c>
      <c r="P1081" s="18"/>
      <c r="Q1081" s="18"/>
      <c r="R1081" s="23">
        <v>0.0</v>
      </c>
      <c r="S1081" s="23">
        <v>0.0</v>
      </c>
      <c r="T1081" s="23">
        <f t="shared" si="3"/>
        <v>0</v>
      </c>
      <c r="U1081" s="23">
        <f t="shared" si="4"/>
        <v>0</v>
      </c>
      <c r="V1081" s="23">
        <f t="shared" si="5"/>
        <v>0</v>
      </c>
      <c r="W1081" s="24" t="str">
        <f t="shared" si="6"/>
        <v>#DIV/0!</v>
      </c>
    </row>
    <row r="1082">
      <c r="A1082" s="15" t="s">
        <v>2881</v>
      </c>
      <c r="B1082" s="18"/>
      <c r="C1082" s="15" t="s">
        <v>7640</v>
      </c>
      <c r="D1082" s="18"/>
      <c r="E1082" s="17" t="s">
        <v>2882</v>
      </c>
      <c r="F1082" s="18"/>
      <c r="G1082" s="18"/>
      <c r="H1082" s="15" t="s">
        <v>2883</v>
      </c>
      <c r="I1082" s="15" t="s">
        <v>2884</v>
      </c>
      <c r="J1082" s="19" t="s">
        <v>59</v>
      </c>
      <c r="K1082" s="19" t="s">
        <v>2401</v>
      </c>
      <c r="L1082" s="19" t="s">
        <v>38</v>
      </c>
      <c r="M1082" s="20">
        <f t="shared" si="2"/>
        <v>0</v>
      </c>
      <c r="N1082" s="22"/>
      <c r="O1082" s="19" t="s">
        <v>1145</v>
      </c>
      <c r="P1082" s="18"/>
      <c r="Q1082" s="18"/>
      <c r="R1082" s="23">
        <v>0.0</v>
      </c>
      <c r="S1082" s="23">
        <v>0.0</v>
      </c>
      <c r="T1082" s="23">
        <f t="shared" si="3"/>
        <v>0</v>
      </c>
      <c r="U1082" s="23">
        <f t="shared" si="4"/>
        <v>0</v>
      </c>
      <c r="V1082" s="23">
        <f t="shared" si="5"/>
        <v>0</v>
      </c>
      <c r="W1082" s="24" t="str">
        <f t="shared" si="6"/>
        <v>#DIV/0!</v>
      </c>
    </row>
    <row r="1083">
      <c r="A1083" s="15" t="s">
        <v>2885</v>
      </c>
      <c r="B1083" s="18"/>
      <c r="C1083" s="15" t="s">
        <v>7641</v>
      </c>
      <c r="D1083" s="18"/>
      <c r="E1083" s="17" t="s">
        <v>2882</v>
      </c>
      <c r="F1083" s="18"/>
      <c r="G1083" s="18"/>
      <c r="H1083" s="15" t="s">
        <v>2886</v>
      </c>
      <c r="I1083" s="15" t="s">
        <v>2887</v>
      </c>
      <c r="J1083" s="19" t="s">
        <v>59</v>
      </c>
      <c r="K1083" s="19" t="s">
        <v>2401</v>
      </c>
      <c r="L1083" s="19" t="s">
        <v>38</v>
      </c>
      <c r="M1083" s="20">
        <f t="shared" si="2"/>
        <v>0</v>
      </c>
      <c r="N1083" s="22"/>
      <c r="O1083" s="19" t="s">
        <v>1145</v>
      </c>
      <c r="P1083" s="18"/>
      <c r="Q1083" s="18"/>
      <c r="R1083" s="23">
        <v>0.0</v>
      </c>
      <c r="S1083" s="23">
        <v>0.0</v>
      </c>
      <c r="T1083" s="23">
        <f t="shared" si="3"/>
        <v>0</v>
      </c>
      <c r="U1083" s="23">
        <f t="shared" si="4"/>
        <v>0</v>
      </c>
      <c r="V1083" s="23">
        <f t="shared" si="5"/>
        <v>0</v>
      </c>
      <c r="W1083" s="24" t="str">
        <f t="shared" si="6"/>
        <v>#DIV/0!</v>
      </c>
    </row>
    <row r="1084">
      <c r="A1084" s="15" t="s">
        <v>1009</v>
      </c>
      <c r="B1084" s="15" t="s">
        <v>1010</v>
      </c>
      <c r="C1084" s="15" t="s">
        <v>6106</v>
      </c>
      <c r="D1084" s="15" t="s">
        <v>1011</v>
      </c>
      <c r="E1084" s="17" t="s">
        <v>1012</v>
      </c>
      <c r="F1084" s="18"/>
      <c r="G1084" s="18"/>
      <c r="H1084" s="15" t="s">
        <v>1013</v>
      </c>
      <c r="I1084" s="18"/>
      <c r="J1084" s="19" t="s">
        <v>59</v>
      </c>
      <c r="K1084" s="19" t="s">
        <v>200</v>
      </c>
      <c r="L1084" s="19" t="s">
        <v>135</v>
      </c>
      <c r="M1084" s="20">
        <f t="shared" si="2"/>
        <v>124.32</v>
      </c>
      <c r="N1084" s="31">
        <v>16.0</v>
      </c>
      <c r="O1084" s="19" t="s">
        <v>107</v>
      </c>
      <c r="P1084" s="18"/>
      <c r="Q1084" s="18"/>
      <c r="R1084" s="23">
        <v>2.0</v>
      </c>
      <c r="S1084" s="23">
        <v>7.0</v>
      </c>
      <c r="T1084" s="23">
        <f t="shared" si="3"/>
        <v>6.72</v>
      </c>
      <c r="U1084" s="23">
        <f t="shared" si="4"/>
        <v>2.45</v>
      </c>
      <c r="V1084" s="23">
        <f t="shared" si="5"/>
        <v>45.9375</v>
      </c>
      <c r="W1084" s="24">
        <f t="shared" si="6"/>
        <v>3.36</v>
      </c>
    </row>
    <row r="1085">
      <c r="A1085" s="15" t="s">
        <v>901</v>
      </c>
      <c r="B1085" s="15" t="s">
        <v>902</v>
      </c>
      <c r="C1085" s="15" t="s">
        <v>7642</v>
      </c>
      <c r="D1085" s="15" t="s">
        <v>903</v>
      </c>
      <c r="E1085" s="17" t="s">
        <v>904</v>
      </c>
      <c r="F1085" s="18"/>
      <c r="G1085" s="18"/>
      <c r="H1085" s="15" t="s">
        <v>905</v>
      </c>
      <c r="I1085" s="18"/>
      <c r="J1085" s="19" t="s">
        <v>59</v>
      </c>
      <c r="K1085" s="19" t="s">
        <v>200</v>
      </c>
      <c r="L1085" s="19" t="s">
        <v>135</v>
      </c>
      <c r="M1085" s="20">
        <f t="shared" si="2"/>
        <v>142.08</v>
      </c>
      <c r="N1085" s="31">
        <v>16.0</v>
      </c>
      <c r="O1085" s="19" t="s">
        <v>107</v>
      </c>
      <c r="P1085" s="18"/>
      <c r="Q1085" s="18"/>
      <c r="R1085" s="23">
        <v>2.0</v>
      </c>
      <c r="S1085" s="23">
        <v>8.0</v>
      </c>
      <c r="T1085" s="23">
        <f t="shared" si="3"/>
        <v>7.68</v>
      </c>
      <c r="U1085" s="23">
        <f t="shared" si="4"/>
        <v>2.45</v>
      </c>
      <c r="V1085" s="23">
        <f t="shared" si="5"/>
        <v>45.9375</v>
      </c>
      <c r="W1085" s="24">
        <f t="shared" si="6"/>
        <v>3.84</v>
      </c>
    </row>
    <row r="1086">
      <c r="A1086" s="15" t="s">
        <v>786</v>
      </c>
      <c r="B1086" s="15" t="s">
        <v>787</v>
      </c>
      <c r="C1086" s="15" t="s">
        <v>6107</v>
      </c>
      <c r="D1086" s="15" t="s">
        <v>788</v>
      </c>
      <c r="E1086" s="17" t="s">
        <v>789</v>
      </c>
      <c r="F1086" s="18"/>
      <c r="G1086" s="18"/>
      <c r="H1086" s="15" t="s">
        <v>790</v>
      </c>
      <c r="I1086" s="18"/>
      <c r="J1086" s="19" t="s">
        <v>59</v>
      </c>
      <c r="K1086" s="19" t="s">
        <v>200</v>
      </c>
      <c r="L1086" s="19" t="s">
        <v>135</v>
      </c>
      <c r="M1086" s="20">
        <f t="shared" si="2"/>
        <v>159.84</v>
      </c>
      <c r="N1086" s="31">
        <v>16.0</v>
      </c>
      <c r="O1086" s="19" t="s">
        <v>107</v>
      </c>
      <c r="P1086" s="18"/>
      <c r="Q1086" s="18"/>
      <c r="R1086" s="23">
        <v>2.0</v>
      </c>
      <c r="S1086" s="23">
        <v>9.0</v>
      </c>
      <c r="T1086" s="23">
        <f t="shared" si="3"/>
        <v>8.64</v>
      </c>
      <c r="U1086" s="23">
        <f t="shared" si="4"/>
        <v>2.45</v>
      </c>
      <c r="V1086" s="23">
        <f t="shared" si="5"/>
        <v>45.9375</v>
      </c>
      <c r="W1086" s="24">
        <f t="shared" si="6"/>
        <v>4.32</v>
      </c>
    </row>
    <row r="1087">
      <c r="A1087" s="15" t="s">
        <v>2888</v>
      </c>
      <c r="B1087" s="15" t="s">
        <v>2889</v>
      </c>
      <c r="C1087" s="15" t="s">
        <v>7643</v>
      </c>
      <c r="D1087" s="18"/>
      <c r="E1087" s="17" t="s">
        <v>2890</v>
      </c>
      <c r="F1087" s="18"/>
      <c r="G1087" s="18"/>
      <c r="H1087" s="15" t="s">
        <v>2891</v>
      </c>
      <c r="I1087" s="18"/>
      <c r="J1087" s="19" t="s">
        <v>59</v>
      </c>
      <c r="K1087" s="33"/>
      <c r="L1087" s="19" t="s">
        <v>38</v>
      </c>
      <c r="M1087" s="20">
        <f t="shared" si="2"/>
        <v>0</v>
      </c>
      <c r="N1087" s="22"/>
      <c r="O1087" s="19" t="s">
        <v>1145</v>
      </c>
      <c r="P1087" s="18"/>
      <c r="Q1087" s="18"/>
      <c r="R1087" s="23">
        <v>0.0</v>
      </c>
      <c r="S1087" s="23">
        <v>0.0</v>
      </c>
      <c r="T1087" s="23">
        <f t="shared" si="3"/>
        <v>0</v>
      </c>
      <c r="U1087" s="23">
        <f t="shared" si="4"/>
        <v>0</v>
      </c>
      <c r="V1087" s="23">
        <f t="shared" si="5"/>
        <v>0</v>
      </c>
      <c r="W1087" s="24" t="str">
        <f t="shared" si="6"/>
        <v>#DIV/0!</v>
      </c>
    </row>
    <row r="1088">
      <c r="A1088" s="15" t="s">
        <v>645</v>
      </c>
      <c r="B1088" s="15" t="s">
        <v>646</v>
      </c>
      <c r="C1088" s="15" t="s">
        <v>6035</v>
      </c>
      <c r="D1088" s="15" t="s">
        <v>647</v>
      </c>
      <c r="E1088" s="17" t="s">
        <v>648</v>
      </c>
      <c r="F1088" s="18"/>
      <c r="G1088" s="15" t="s">
        <v>649</v>
      </c>
      <c r="H1088" s="15" t="s">
        <v>650</v>
      </c>
      <c r="I1088" s="18"/>
      <c r="J1088" s="19" t="s">
        <v>59</v>
      </c>
      <c r="K1088" s="19" t="s">
        <v>427</v>
      </c>
      <c r="L1088" s="19" t="s">
        <v>292</v>
      </c>
      <c r="M1088" s="20">
        <f t="shared" si="2"/>
        <v>1669.44</v>
      </c>
      <c r="N1088" s="31">
        <v>5.0</v>
      </c>
      <c r="O1088" s="19" t="s">
        <v>107</v>
      </c>
      <c r="P1088" s="18"/>
      <c r="Q1088" s="18"/>
      <c r="R1088" s="23">
        <v>18.0</v>
      </c>
      <c r="S1088" s="23">
        <v>94.0</v>
      </c>
      <c r="T1088" s="23">
        <f t="shared" si="3"/>
        <v>90.24</v>
      </c>
      <c r="U1088" s="23">
        <f t="shared" si="4"/>
        <v>22.05</v>
      </c>
      <c r="V1088" s="23">
        <f t="shared" si="5"/>
        <v>413.4375</v>
      </c>
      <c r="W1088" s="24">
        <f t="shared" si="6"/>
        <v>5.013333333</v>
      </c>
    </row>
    <row r="1089">
      <c r="A1089" s="15" t="s">
        <v>2892</v>
      </c>
      <c r="B1089" s="18"/>
      <c r="C1089" s="15" t="s">
        <v>7645</v>
      </c>
      <c r="D1089" s="18"/>
      <c r="E1089" s="17" t="s">
        <v>2430</v>
      </c>
      <c r="F1089" s="18"/>
      <c r="G1089" s="18"/>
      <c r="H1089" s="15" t="s">
        <v>2893</v>
      </c>
      <c r="I1089" s="15" t="s">
        <v>2894</v>
      </c>
      <c r="J1089" s="19" t="s">
        <v>59</v>
      </c>
      <c r="K1089" s="19" t="s">
        <v>691</v>
      </c>
      <c r="L1089" s="19" t="s">
        <v>38</v>
      </c>
      <c r="M1089" s="20">
        <f t="shared" si="2"/>
        <v>0</v>
      </c>
      <c r="N1089" s="22"/>
      <c r="O1089" s="19" t="s">
        <v>1145</v>
      </c>
      <c r="P1089" s="18"/>
      <c r="Q1089" s="18"/>
      <c r="R1089" s="23">
        <v>0.0</v>
      </c>
      <c r="S1089" s="23">
        <v>0.0</v>
      </c>
      <c r="T1089" s="23">
        <f t="shared" si="3"/>
        <v>0</v>
      </c>
      <c r="U1089" s="23">
        <f t="shared" si="4"/>
        <v>0</v>
      </c>
      <c r="V1089" s="23">
        <f t="shared" si="5"/>
        <v>0</v>
      </c>
      <c r="W1089" s="24" t="str">
        <f t="shared" si="6"/>
        <v>#DIV/0!</v>
      </c>
    </row>
    <row r="1090">
      <c r="A1090" s="15" t="s">
        <v>2895</v>
      </c>
      <c r="B1090" s="18"/>
      <c r="C1090" s="15" t="s">
        <v>7646</v>
      </c>
      <c r="D1090" s="18"/>
      <c r="E1090" s="17" t="s">
        <v>2896</v>
      </c>
      <c r="F1090" s="18"/>
      <c r="G1090" s="18"/>
      <c r="H1090" s="15" t="s">
        <v>2897</v>
      </c>
      <c r="I1090" s="15" t="s">
        <v>2898</v>
      </c>
      <c r="J1090" s="19" t="s">
        <v>59</v>
      </c>
      <c r="K1090" s="19" t="s">
        <v>691</v>
      </c>
      <c r="L1090" s="19" t="s">
        <v>38</v>
      </c>
      <c r="M1090" s="20">
        <f t="shared" si="2"/>
        <v>0</v>
      </c>
      <c r="N1090" s="22"/>
      <c r="O1090" s="19" t="s">
        <v>1145</v>
      </c>
      <c r="P1090" s="18"/>
      <c r="Q1090" s="18"/>
      <c r="R1090" s="23">
        <v>0.0</v>
      </c>
      <c r="S1090" s="23">
        <v>0.0</v>
      </c>
      <c r="T1090" s="23">
        <f t="shared" si="3"/>
        <v>0</v>
      </c>
      <c r="U1090" s="23">
        <f t="shared" si="4"/>
        <v>0</v>
      </c>
      <c r="V1090" s="23">
        <f t="shared" si="5"/>
        <v>0</v>
      </c>
      <c r="W1090" s="24" t="str">
        <f t="shared" si="6"/>
        <v>#DIV/0!</v>
      </c>
    </row>
    <row r="1091">
      <c r="A1091" s="15" t="s">
        <v>2899</v>
      </c>
      <c r="B1091" s="18"/>
      <c r="C1091" s="15" t="s">
        <v>7647</v>
      </c>
      <c r="D1091" s="18"/>
      <c r="E1091" s="17" t="s">
        <v>2900</v>
      </c>
      <c r="F1091" s="18"/>
      <c r="G1091" s="18"/>
      <c r="H1091" s="15" t="s">
        <v>2901</v>
      </c>
      <c r="I1091" s="15" t="s">
        <v>2902</v>
      </c>
      <c r="J1091" s="19" t="s">
        <v>59</v>
      </c>
      <c r="K1091" s="19" t="s">
        <v>691</v>
      </c>
      <c r="L1091" s="19" t="s">
        <v>38</v>
      </c>
      <c r="M1091" s="20">
        <f t="shared" si="2"/>
        <v>0</v>
      </c>
      <c r="N1091" s="22"/>
      <c r="O1091" s="19" t="s">
        <v>1145</v>
      </c>
      <c r="P1091" s="18"/>
      <c r="Q1091" s="18"/>
      <c r="R1091" s="23">
        <v>0.0</v>
      </c>
      <c r="S1091" s="23">
        <v>0.0</v>
      </c>
      <c r="T1091" s="23">
        <f t="shared" si="3"/>
        <v>0</v>
      </c>
      <c r="U1091" s="23">
        <f t="shared" si="4"/>
        <v>0</v>
      </c>
      <c r="V1091" s="23">
        <f t="shared" si="5"/>
        <v>0</v>
      </c>
      <c r="W1091" s="24" t="str">
        <f t="shared" si="6"/>
        <v>#DIV/0!</v>
      </c>
    </row>
    <row r="1092">
      <c r="A1092" s="15" t="s">
        <v>7648</v>
      </c>
      <c r="B1092" s="18"/>
      <c r="C1092" s="15" t="s">
        <v>7649</v>
      </c>
      <c r="D1092" s="18"/>
      <c r="E1092" s="17" t="s">
        <v>7650</v>
      </c>
      <c r="F1092" s="18"/>
      <c r="G1092" s="18"/>
      <c r="H1092" s="15" t="s">
        <v>7651</v>
      </c>
      <c r="I1092" s="15" t="s">
        <v>650</v>
      </c>
      <c r="J1092" s="19" t="s">
        <v>59</v>
      </c>
      <c r="K1092" s="19" t="s">
        <v>691</v>
      </c>
      <c r="L1092" s="19" t="s">
        <v>38</v>
      </c>
      <c r="M1092" s="20">
        <f t="shared" si="2"/>
        <v>0</v>
      </c>
      <c r="N1092" s="22"/>
      <c r="O1092" s="19" t="s">
        <v>39</v>
      </c>
      <c r="P1092" s="18"/>
      <c r="Q1092" s="18"/>
      <c r="R1092" s="23">
        <v>0.0</v>
      </c>
      <c r="S1092" s="23">
        <v>0.0</v>
      </c>
      <c r="T1092" s="23">
        <f t="shared" si="3"/>
        <v>0</v>
      </c>
      <c r="U1092" s="23">
        <f t="shared" si="4"/>
        <v>0</v>
      </c>
      <c r="V1092" s="23">
        <f t="shared" si="5"/>
        <v>0</v>
      </c>
      <c r="W1092" s="24" t="str">
        <f t="shared" si="6"/>
        <v>#DIV/0!</v>
      </c>
    </row>
    <row r="1093">
      <c r="A1093" s="15" t="s">
        <v>2903</v>
      </c>
      <c r="B1093" s="18"/>
      <c r="C1093" s="15" t="s">
        <v>7652</v>
      </c>
      <c r="D1093" s="18"/>
      <c r="E1093" s="17" t="s">
        <v>2904</v>
      </c>
      <c r="F1093" s="18"/>
      <c r="G1093" s="18"/>
      <c r="H1093" s="15" t="s">
        <v>2905</v>
      </c>
      <c r="I1093" s="15" t="s">
        <v>2906</v>
      </c>
      <c r="J1093" s="19" t="s">
        <v>59</v>
      </c>
      <c r="K1093" s="19" t="s">
        <v>691</v>
      </c>
      <c r="L1093" s="19" t="s">
        <v>38</v>
      </c>
      <c r="M1093" s="20">
        <f t="shared" si="2"/>
        <v>0</v>
      </c>
      <c r="N1093" s="22"/>
      <c r="O1093" s="19" t="s">
        <v>1145</v>
      </c>
      <c r=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<f t="shared" si="4"/>
        <v>0</v>
      </c>
      <c r="V1093" s="23">
        <f t="shared" si="5"/>
        <v>0</v>
      </c>
      <c r="W1093" s="24" t="str">
        <f t="shared" si="6"/>
        <v>#DIV/0!</v>
      </c>
    </row>
    <row r="1094">
      <c r="A1094" s="15" t="s">
        <v>5150</v>
      </c>
      <c r="B1094" s="18"/>
      <c r="C1094" s="15" t="s">
        <v>7653</v>
      </c>
      <c r="D1094" s="18"/>
      <c r="E1094" s="17" t="s">
        <v>7654</v>
      </c>
      <c r="F1094" s="18"/>
      <c r="G1094" s="18"/>
      <c r="H1094" s="15" t="s">
        <v>5154</v>
      </c>
      <c r="I1094" s="15" t="s">
        <v>5153</v>
      </c>
      <c r="J1094" s="19" t="s">
        <v>59</v>
      </c>
      <c r="K1094" s="19" t="s">
        <v>2382</v>
      </c>
      <c r="L1094" s="19" t="s">
        <v>38</v>
      </c>
      <c r="M1094" s="20">
        <f t="shared" si="2"/>
        <v>0</v>
      </c>
      <c r="N1094" s="22"/>
      <c r="O1094" s="19" t="s">
        <v>1145</v>
      </c>
      <c r="P1094" s="18"/>
      <c r="Q1094" s="18"/>
      <c r="R1094" s="23">
        <v>0.0</v>
      </c>
      <c r="S1094" s="23">
        <v>0.0</v>
      </c>
      <c r="T1094" s="23">
        <f t="shared" si="3"/>
        <v>0</v>
      </c>
      <c r="U1094" s="23">
        <f t="shared" si="4"/>
        <v>0</v>
      </c>
      <c r="V1094" s="23">
        <f t="shared" si="5"/>
        <v>0</v>
      </c>
      <c r="W1094" s="24" t="str">
        <f t="shared" si="6"/>
        <v>#DIV/0!</v>
      </c>
    </row>
    <row r="1095">
      <c r="A1095" s="15" t="s">
        <v>2907</v>
      </c>
      <c r="B1095" s="18"/>
      <c r="C1095" s="15" t="s">
        <v>7655</v>
      </c>
      <c r="D1095" s="18"/>
      <c r="E1095" s="17" t="s">
        <v>2908</v>
      </c>
      <c r="F1095" s="18"/>
      <c r="G1095" s="18"/>
      <c r="H1095" s="15" t="s">
        <v>2909</v>
      </c>
      <c r="I1095" s="15" t="s">
        <v>2910</v>
      </c>
      <c r="J1095" s="19" t="s">
        <v>59</v>
      </c>
      <c r="K1095" s="19" t="s">
        <v>2382</v>
      </c>
      <c r="L1095" s="19" t="s">
        <v>38</v>
      </c>
      <c r="M1095" s="20">
        <f t="shared" si="2"/>
        <v>0</v>
      </c>
      <c r="N1095" s="22"/>
      <c r="O1095" s="19" t="s">
        <v>1145</v>
      </c>
      <c r="P1095" s="18"/>
      <c r="Q1095" s="18"/>
      <c r="R1095" s="23">
        <v>0.0</v>
      </c>
      <c r="S1095" s="23">
        <v>0.0</v>
      </c>
      <c r="T1095" s="23">
        <f t="shared" si="3"/>
        <v>0</v>
      </c>
      <c r="U1095" s="23">
        <f t="shared" si="4"/>
        <v>0</v>
      </c>
      <c r="V1095" s="23">
        <f t="shared" si="5"/>
        <v>0</v>
      </c>
      <c r="W1095" s="24" t="str">
        <f t="shared" si="6"/>
        <v>#DIV/0!</v>
      </c>
    </row>
    <row r="1096">
      <c r="A1096" s="15" t="s">
        <v>2911</v>
      </c>
      <c r="B1096" s="18"/>
      <c r="C1096" s="15" t="s">
        <v>7656</v>
      </c>
      <c r="D1096" s="18"/>
      <c r="E1096" s="17" t="s">
        <v>2912</v>
      </c>
      <c r="F1096" s="18"/>
      <c r="G1096" s="18"/>
      <c r="H1096" s="15" t="s">
        <v>2913</v>
      </c>
      <c r="I1096" s="15" t="s">
        <v>2914</v>
      </c>
      <c r="J1096" s="19" t="s">
        <v>59</v>
      </c>
      <c r="K1096" s="19" t="s">
        <v>60</v>
      </c>
      <c r="L1096" s="19" t="s">
        <v>38</v>
      </c>
      <c r="M1096" s="20">
        <f t="shared" si="2"/>
        <v>0</v>
      </c>
      <c r="N1096" s="31"/>
      <c r="O1096" s="19" t="s">
        <v>1145</v>
      </c>
      <c r="P1096" s="18"/>
      <c r="Q1096" s="18"/>
      <c r="R1096" s="23">
        <v>0.0</v>
      </c>
      <c r="S1096" s="23">
        <v>0.0</v>
      </c>
      <c r="T1096" s="23">
        <f t="shared" si="3"/>
        <v>0</v>
      </c>
      <c r="U1096" s="23">
        <f t="shared" si="4"/>
        <v>0</v>
      </c>
      <c r="V1096" s="23">
        <f t="shared" si="5"/>
        <v>0</v>
      </c>
      <c r="W1096" s="24" t="str">
        <f t="shared" si="6"/>
        <v>#DIV/0!</v>
      </c>
    </row>
    <row r="1097">
      <c r="A1097" s="15" t="s">
        <v>865</v>
      </c>
      <c r="B1097" s="15" t="s">
        <v>866</v>
      </c>
      <c r="C1097" s="15" t="s">
        <v>7657</v>
      </c>
      <c r="D1097" s="15" t="s">
        <v>867</v>
      </c>
      <c r="E1097" s="17" t="s">
        <v>868</v>
      </c>
      <c r="F1097" s="18"/>
      <c r="G1097" s="15" t="s">
        <v>869</v>
      </c>
      <c r="H1097" s="15" t="s">
        <v>870</v>
      </c>
      <c r="I1097" s="18"/>
      <c r="J1097" s="19" t="s">
        <v>59</v>
      </c>
      <c r="K1097" s="19" t="s">
        <v>496</v>
      </c>
      <c r="L1097" s="19" t="s">
        <v>292</v>
      </c>
      <c r="M1097" s="20">
        <f t="shared" si="2"/>
        <v>515.04</v>
      </c>
      <c r="N1097" s="31">
        <v>2.0</v>
      </c>
      <c r="O1097" s="19" t="s">
        <v>107</v>
      </c>
      <c r="P1097" s="18"/>
      <c r="Q1097" s="18"/>
      <c r="R1097" s="23">
        <v>7.0</v>
      </c>
      <c r="S1097" s="23">
        <v>29.0</v>
      </c>
      <c r="T1097" s="23">
        <f t="shared" si="3"/>
        <v>27.84</v>
      </c>
      <c r="U1097" s="23">
        <f t="shared" si="4"/>
        <v>8.575</v>
      </c>
      <c r="V1097" s="23">
        <f t="shared" si="5"/>
        <v>160.78125</v>
      </c>
      <c r="W1097" s="24">
        <f t="shared" si="6"/>
        <v>3.977142857</v>
      </c>
    </row>
    <row r="1098">
      <c r="A1098" s="15" t="s">
        <v>7658</v>
      </c>
      <c r="B1098" s="18"/>
      <c r="C1098" s="15" t="s">
        <v>7659</v>
      </c>
      <c r="D1098" s="18"/>
      <c r="E1098" s="17" t="s">
        <v>7660</v>
      </c>
      <c r="F1098" s="18"/>
      <c r="G1098" s="18"/>
      <c r="H1098" s="15" t="s">
        <v>7661</v>
      </c>
      <c r="I1098" s="15" t="s">
        <v>890</v>
      </c>
      <c r="J1098" s="19" t="s">
        <v>59</v>
      </c>
      <c r="K1098" s="19" t="s">
        <v>691</v>
      </c>
      <c r="L1098" s="19" t="s">
        <v>38</v>
      </c>
      <c r="M1098" s="20">
        <f t="shared" si="2"/>
        <v>0</v>
      </c>
      <c r="N1098" s="22"/>
      <c r="O1098" s="19" t="s">
        <v>39</v>
      </c>
      <c r="P1098" s="18"/>
      <c r="Q1098" s="18"/>
      <c r="R1098" s="23">
        <v>0.0</v>
      </c>
      <c r="S1098" s="23">
        <v>0.0</v>
      </c>
      <c r="T1098" s="23">
        <f t="shared" si="3"/>
        <v>0</v>
      </c>
      <c r="U1098" s="23">
        <f t="shared" si="4"/>
        <v>0</v>
      </c>
      <c r="V1098" s="23">
        <f t="shared" si="5"/>
        <v>0</v>
      </c>
      <c r="W1098" s="24" t="str">
        <f t="shared" si="6"/>
        <v>#DIV/0!</v>
      </c>
    </row>
    <row r="1099">
      <c r="A1099" s="15" t="s">
        <v>7662</v>
      </c>
      <c r="B1099" s="18"/>
      <c r="C1099" s="15" t="s">
        <v>7663</v>
      </c>
      <c r="D1099" s="18"/>
      <c r="E1099" s="17" t="s">
        <v>7664</v>
      </c>
      <c r="F1099" s="18"/>
      <c r="G1099" s="18"/>
      <c r="H1099" s="15" t="s">
        <v>7665</v>
      </c>
      <c r="I1099" s="15" t="s">
        <v>644</v>
      </c>
      <c r="J1099" s="19" t="s">
        <v>59</v>
      </c>
      <c r="K1099" s="19" t="s">
        <v>691</v>
      </c>
      <c r="L1099" s="19" t="s">
        <v>38</v>
      </c>
      <c r="M1099" s="20">
        <f t="shared" si="2"/>
        <v>0</v>
      </c>
      <c r="N1099" s="22"/>
      <c r="O1099" s="19" t="s">
        <v>39</v>
      </c>
      <c r="P1099" s="18"/>
      <c r="Q1099" s="18"/>
      <c r="R1099" s="23">
        <v>0.0</v>
      </c>
      <c r="S1099" s="23">
        <v>0.0</v>
      </c>
      <c r="T1099" s="23">
        <f t="shared" si="3"/>
        <v>0</v>
      </c>
      <c r="U1099" s="23">
        <f t="shared" si="4"/>
        <v>0</v>
      </c>
      <c r="V1099" s="23">
        <f t="shared" si="5"/>
        <v>0</v>
      </c>
      <c r="W1099" s="24" t="str">
        <f t="shared" si="6"/>
        <v>#DIV/0!</v>
      </c>
    </row>
    <row r="1100">
      <c r="A1100" s="15" t="s">
        <v>2915</v>
      </c>
      <c r="B1100" s="18"/>
      <c r="C1100" s="15" t="s">
        <v>7666</v>
      </c>
      <c r="D1100" s="18"/>
      <c r="E1100" s="17" t="s">
        <v>2916</v>
      </c>
      <c r="F1100" s="18"/>
      <c r="G1100" s="18"/>
      <c r="H1100" s="15" t="s">
        <v>2917</v>
      </c>
      <c r="I1100" s="15" t="s">
        <v>2918</v>
      </c>
      <c r="J1100" s="19" t="s">
        <v>59</v>
      </c>
      <c r="K1100" s="19" t="s">
        <v>2396</v>
      </c>
      <c r="L1100" s="19" t="s">
        <v>38</v>
      </c>
      <c r="M1100" s="20">
        <f t="shared" si="2"/>
        <v>0</v>
      </c>
      <c r="N1100" s="22"/>
      <c r="O1100" s="19" t="s">
        <v>1145</v>
      </c>
      <c r="P1100" s="18"/>
      <c r="Q1100" s="18"/>
      <c r="R1100" s="23">
        <v>0.0</v>
      </c>
      <c r="S1100" s="23">
        <v>0.0</v>
      </c>
      <c r="T1100" s="23">
        <f t="shared" si="3"/>
        <v>0</v>
      </c>
      <c r="U1100" s="23">
        <f t="shared" si="4"/>
        <v>0</v>
      </c>
      <c r="V1100" s="23">
        <f t="shared" si="5"/>
        <v>0</v>
      </c>
      <c r="W1100" s="24" t="str">
        <f t="shared" si="6"/>
        <v>#DIV/0!</v>
      </c>
    </row>
    <row r="1101">
      <c r="A1101" s="15" t="s">
        <v>2919</v>
      </c>
      <c r="B1101" s="18"/>
      <c r="C1101" s="15" t="s">
        <v>7667</v>
      </c>
      <c r="D1101" s="18"/>
      <c r="E1101" s="17" t="s">
        <v>2920</v>
      </c>
      <c r="F1101" s="18"/>
      <c r="G1101" s="18"/>
      <c r="H1101" s="15" t="s">
        <v>2921</v>
      </c>
      <c r="I1101" s="15"/>
      <c r="J1101" s="19" t="s">
        <v>59</v>
      </c>
      <c r="K1101" s="19" t="s">
        <v>2396</v>
      </c>
      <c r="L1101" s="19" t="s">
        <v>38</v>
      </c>
      <c r="M1101" s="20">
        <f t="shared" si="2"/>
        <v>0</v>
      </c>
      <c r="N1101" s="22"/>
      <c r="O1101" s="19" t="s">
        <v>1145</v>
      </c>
      <c r="P1101" s="18"/>
      <c r="Q1101" s="18"/>
      <c r="R1101" s="23">
        <v>0.0</v>
      </c>
      <c r="S1101" s="23">
        <v>0.0</v>
      </c>
      <c r="T1101" s="23">
        <f t="shared" si="3"/>
        <v>0</v>
      </c>
      <c r="U1101" s="23">
        <f t="shared" si="4"/>
        <v>0</v>
      </c>
      <c r="V1101" s="23">
        <f t="shared" si="5"/>
        <v>0</v>
      </c>
      <c r="W1101" s="24" t="str">
        <f t="shared" si="6"/>
        <v>#DIV/0!</v>
      </c>
    </row>
    <row r="1102">
      <c r="A1102" s="15" t="s">
        <v>75</v>
      </c>
      <c r="B1102" s="18" t="str">
        <f>CONCATENATE(7504589,A1102)</f>
        <v>75045892099</v>
      </c>
      <c r="C1102" s="15" t="s">
        <v>7668</v>
      </c>
      <c r="D1102" s="15" t="s">
        <v>76</v>
      </c>
      <c r="E1102" s="17" t="s">
        <v>77</v>
      </c>
      <c r="F1102" s="18"/>
      <c r="G1102" s="18"/>
      <c r="H1102" s="15" t="s">
        <v>78</v>
      </c>
      <c r="I1102" s="15"/>
      <c r="J1102" s="19" t="s">
        <v>59</v>
      </c>
      <c r="K1102" s="19" t="s">
        <v>60</v>
      </c>
      <c r="L1102" s="19" t="s">
        <v>52</v>
      </c>
      <c r="M1102" s="20">
        <f t="shared" si="2"/>
        <v>3818.4</v>
      </c>
      <c r="N1102" s="31">
        <v>2.0</v>
      </c>
      <c r="O1102" s="19" t="s">
        <v>61</v>
      </c>
      <c r="P1102" s="18"/>
      <c r="Q1102" s="18"/>
      <c r="R1102" s="23">
        <v>60.0</v>
      </c>
      <c r="S1102" s="23">
        <v>215.0</v>
      </c>
      <c r="T1102" s="23">
        <f t="shared" si="3"/>
        <v>206.4</v>
      </c>
      <c r="U1102" s="23">
        <f t="shared" si="4"/>
        <v>73.5</v>
      </c>
      <c r="V1102" s="23">
        <f t="shared" si="5"/>
        <v>1378.125</v>
      </c>
      <c r="W1102" s="24">
        <f t="shared" si="6"/>
        <v>3.44</v>
      </c>
    </row>
    <row r="1103">
      <c r="A1103" s="15" t="s">
        <v>2922</v>
      </c>
      <c r="B1103" s="18"/>
      <c r="C1103" s="15" t="s">
        <v>7669</v>
      </c>
      <c r="D1103" s="18"/>
      <c r="E1103" s="17" t="s">
        <v>2923</v>
      </c>
      <c r="F1103" s="18"/>
      <c r="G1103" s="18"/>
      <c r="H1103" s="15" t="s">
        <v>2924</v>
      </c>
      <c r="I1103" s="15" t="s">
        <v>2925</v>
      </c>
      <c r="J1103" s="19" t="s">
        <v>59</v>
      </c>
      <c r="K1103" s="19" t="s">
        <v>2396</v>
      </c>
      <c r="L1103" s="19" t="s">
        <v>38</v>
      </c>
      <c r="M1103" s="20">
        <f t="shared" si="2"/>
        <v>0</v>
      </c>
      <c r="N1103" s="22"/>
      <c r="O1103" s="19" t="s">
        <v>1145</v>
      </c>
      <c r="P1103" s="18"/>
      <c r="Q1103" s="18"/>
      <c r="R1103" s="23">
        <v>0.0</v>
      </c>
      <c r="S1103" s="23">
        <v>0.0</v>
      </c>
      <c r="T1103" s="23">
        <f t="shared" si="3"/>
        <v>0</v>
      </c>
      <c r="U1103" s="23">
        <f t="shared" si="4"/>
        <v>0</v>
      </c>
      <c r="V1103" s="23">
        <f t="shared" si="5"/>
        <v>0</v>
      </c>
      <c r="W1103" s="24" t="str">
        <f t="shared" si="6"/>
        <v>#DIV/0!</v>
      </c>
    </row>
    <row r="1104">
      <c r="A1104" s="15" t="s">
        <v>2926</v>
      </c>
      <c r="B1104" s="18"/>
      <c r="C1104" s="15" t="s">
        <v>7670</v>
      </c>
      <c r="D1104" s="18"/>
      <c r="E1104" s="17" t="s">
        <v>2927</v>
      </c>
      <c r="F1104" s="18"/>
      <c r="G1104" s="18"/>
      <c r="H1104" s="15" t="s">
        <v>2928</v>
      </c>
      <c r="I1104" s="15" t="s">
        <v>2929</v>
      </c>
      <c r="J1104" s="19" t="s">
        <v>59</v>
      </c>
      <c r="K1104" s="19" t="s">
        <v>2396</v>
      </c>
      <c r="L1104" s="19" t="s">
        <v>38</v>
      </c>
      <c r="M1104" s="20">
        <f t="shared" si="2"/>
        <v>0</v>
      </c>
      <c r="N1104" s="22"/>
      <c r="O1104" s="19" t="s">
        <v>1145</v>
      </c>
      <c r="P1104" s="18"/>
      <c r="Q1104" s="18"/>
      <c r="R1104" s="23">
        <v>0.0</v>
      </c>
      <c r="S1104" s="23">
        <v>0.0</v>
      </c>
      <c r="T1104" s="23">
        <f t="shared" si="3"/>
        <v>0</v>
      </c>
      <c r="U1104" s="23">
        <f t="shared" si="4"/>
        <v>0</v>
      </c>
      <c r="V1104" s="23">
        <f t="shared" si="5"/>
        <v>0</v>
      </c>
      <c r="W1104" s="24" t="str">
        <f t="shared" si="6"/>
        <v>#DIV/0!</v>
      </c>
    </row>
    <row r="1105">
      <c r="A1105" s="15" t="s">
        <v>2930</v>
      </c>
      <c r="B1105" s="18"/>
      <c r="C1105" s="15" t="s">
        <v>7671</v>
      </c>
      <c r="D1105" s="18"/>
      <c r="E1105" s="17" t="s">
        <v>2931</v>
      </c>
      <c r="F1105" s="18"/>
      <c r="G1105" s="18"/>
      <c r="H1105" s="15" t="s">
        <v>2932</v>
      </c>
      <c r="I1105" s="15" t="s">
        <v>2933</v>
      </c>
      <c r="J1105" s="19" t="s">
        <v>59</v>
      </c>
      <c r="K1105" s="19" t="s">
        <v>2396</v>
      </c>
      <c r="L1105" s="19" t="s">
        <v>38</v>
      </c>
      <c r="M1105" s="20">
        <f t="shared" si="2"/>
        <v>0</v>
      </c>
      <c r="N1105" s="22"/>
      <c r="O1105" s="19" t="s">
        <v>1145</v>
      </c>
      <c r="P1105" s="18"/>
      <c r="Q1105" s="18"/>
      <c r="R1105" s="23">
        <v>0.0</v>
      </c>
      <c r="S1105" s="23">
        <v>0.0</v>
      </c>
      <c r="T1105" s="23">
        <f t="shared" si="3"/>
        <v>0</v>
      </c>
      <c r="U1105" s="23">
        <f t="shared" si="4"/>
        <v>0</v>
      </c>
      <c r="V1105" s="23">
        <f t="shared" si="5"/>
        <v>0</v>
      </c>
      <c r="W1105" s="24" t="str">
        <f t="shared" si="6"/>
        <v>#DIV/0!</v>
      </c>
    </row>
    <row r="1106">
      <c r="A1106" s="15" t="s">
        <v>2934</v>
      </c>
      <c r="B1106" s="18"/>
      <c r="C1106" s="15" t="s">
        <v>7672</v>
      </c>
      <c r="D1106" s="18"/>
      <c r="E1106" s="17" t="s">
        <v>2935</v>
      </c>
      <c r="F1106" s="18"/>
      <c r="G1106" s="18"/>
      <c r="H1106" s="15" t="s">
        <v>2936</v>
      </c>
      <c r="I1106" s="15" t="s">
        <v>2937</v>
      </c>
      <c r="J1106" s="19" t="s">
        <v>59</v>
      </c>
      <c r="K1106" s="19" t="s">
        <v>2396</v>
      </c>
      <c r="L1106" s="19" t="s">
        <v>38</v>
      </c>
      <c r="M1106" s="20">
        <f t="shared" si="2"/>
        <v>0</v>
      </c>
      <c r="N1106" s="22"/>
      <c r="O1106" s="19" t="s">
        <v>1145</v>
      </c>
      <c r="P1106" s="18"/>
      <c r="Q1106" s="18"/>
      <c r="R1106" s="23">
        <v>0.0</v>
      </c>
      <c r="S1106" s="23">
        <v>0.0</v>
      </c>
      <c r="T1106" s="23">
        <f t="shared" si="3"/>
        <v>0</v>
      </c>
      <c r="U1106" s="23">
        <f t="shared" si="4"/>
        <v>0</v>
      </c>
      <c r="V1106" s="23">
        <f t="shared" si="5"/>
        <v>0</v>
      </c>
      <c r="W1106" s="24" t="str">
        <f t="shared" si="6"/>
        <v>#DIV/0!</v>
      </c>
    </row>
    <row r="1107">
      <c r="A1107" s="15" t="s">
        <v>2938</v>
      </c>
      <c r="B1107" s="18"/>
      <c r="C1107" s="15" t="s">
        <v>7673</v>
      </c>
      <c r="D1107" s="18"/>
      <c r="E1107" s="17" t="s">
        <v>2939</v>
      </c>
      <c r="F1107" s="18"/>
      <c r="G1107" s="18"/>
      <c r="H1107" s="15" t="s">
        <v>2940</v>
      </c>
      <c r="I1107" s="15" t="s">
        <v>2941</v>
      </c>
      <c r="J1107" s="19" t="s">
        <v>59</v>
      </c>
      <c r="K1107" s="19" t="s">
        <v>2396</v>
      </c>
      <c r="L1107" s="19" t="s">
        <v>38</v>
      </c>
      <c r="M1107" s="20">
        <f t="shared" si="2"/>
        <v>0</v>
      </c>
      <c r="N1107" s="22"/>
      <c r="O1107" s="19" t="s">
        <v>1145</v>
      </c>
      <c r="P1107" s="18"/>
      <c r="Q1107" s="18"/>
      <c r="R1107" s="23">
        <v>0.0</v>
      </c>
      <c r="S1107" s="23">
        <v>0.0</v>
      </c>
      <c r="T1107" s="23">
        <f t="shared" si="3"/>
        <v>0</v>
      </c>
      <c r="U1107" s="23">
        <f t="shared" si="4"/>
        <v>0</v>
      </c>
      <c r="V1107" s="23">
        <f t="shared" si="5"/>
        <v>0</v>
      </c>
      <c r="W1107" s="24" t="str">
        <f t="shared" si="6"/>
        <v>#DIV/0!</v>
      </c>
    </row>
    <row r="1108">
      <c r="A1108" s="15" t="s">
        <v>2942</v>
      </c>
      <c r="B1108" s="18"/>
      <c r="C1108" s="15" t="s">
        <v>7674</v>
      </c>
      <c r="D1108" s="18"/>
      <c r="E1108" s="17" t="s">
        <v>2943</v>
      </c>
      <c r="F1108" s="18"/>
      <c r="G1108" s="18"/>
      <c r="H1108" s="15" t="s">
        <v>2944</v>
      </c>
      <c r="I1108" s="15" t="s">
        <v>2945</v>
      </c>
      <c r="J1108" s="19" t="s">
        <v>59</v>
      </c>
      <c r="K1108" s="19" t="s">
        <v>2396</v>
      </c>
      <c r="L1108" s="19" t="s">
        <v>38</v>
      </c>
      <c r="M1108" s="20">
        <f t="shared" si="2"/>
        <v>0</v>
      </c>
      <c r="N1108" s="22"/>
      <c r="O1108" s="19" t="s">
        <v>1145</v>
      </c>
      <c r="P1108" s="18"/>
      <c r="Q1108" s="18"/>
      <c r="R1108" s="23">
        <v>0.0</v>
      </c>
      <c r="S1108" s="23">
        <v>0.0</v>
      </c>
      <c r="T1108" s="23">
        <f t="shared" si="3"/>
        <v>0</v>
      </c>
      <c r="U1108" s="23">
        <f t="shared" si="4"/>
        <v>0</v>
      </c>
      <c r="V1108" s="23">
        <f t="shared" si="5"/>
        <v>0</v>
      </c>
      <c r="W1108" s="24" t="str">
        <f t="shared" si="6"/>
        <v>#DIV/0!</v>
      </c>
    </row>
    <row r="1109">
      <c r="A1109" s="15" t="s">
        <v>5155</v>
      </c>
      <c r="B1109" s="18"/>
      <c r="C1109" s="15" t="s">
        <v>7675</v>
      </c>
      <c r="D1109" s="18"/>
      <c r="E1109" s="17" t="s">
        <v>7676</v>
      </c>
      <c r="F1109" s="18"/>
      <c r="G1109" s="18"/>
      <c r="H1109" s="15" t="s">
        <v>7677</v>
      </c>
      <c r="I1109" s="15" t="s">
        <v>5158</v>
      </c>
      <c r="J1109" s="19" t="s">
        <v>59</v>
      </c>
      <c r="K1109" s="19" t="s">
        <v>691</v>
      </c>
      <c r="L1109" s="19" t="s">
        <v>38</v>
      </c>
      <c r="M1109" s="20">
        <f t="shared" si="2"/>
        <v>0</v>
      </c>
      <c r="N1109" s="22"/>
      <c r="O1109" s="19" t="s">
        <v>1145</v>
      </c>
      <c r="P1109" s="18"/>
      <c r="Q1109" s="18"/>
      <c r="R1109" s="23">
        <v>0.0</v>
      </c>
      <c r="S1109" s="23">
        <v>0.0</v>
      </c>
      <c r="T1109" s="23">
        <f t="shared" si="3"/>
        <v>0</v>
      </c>
      <c r="U1109" s="23">
        <f t="shared" si="4"/>
        <v>0</v>
      </c>
      <c r="V1109" s="23">
        <f t="shared" si="5"/>
        <v>0</v>
      </c>
      <c r="W1109" s="24" t="str">
        <f t="shared" si="6"/>
        <v>#DIV/0!</v>
      </c>
    </row>
    <row r="1110">
      <c r="A1110" s="15" t="s">
        <v>2946</v>
      </c>
      <c r="B1110" s="18"/>
      <c r="C1110" s="15" t="s">
        <v>7678</v>
      </c>
      <c r="D1110" s="18"/>
      <c r="E1110" s="17" t="s">
        <v>2947</v>
      </c>
      <c r="F1110" s="18"/>
      <c r="G1110" s="18"/>
      <c r="H1110" s="15" t="s">
        <v>2948</v>
      </c>
      <c r="I1110" s="15" t="s">
        <v>2949</v>
      </c>
      <c r="J1110" s="19" t="s">
        <v>59</v>
      </c>
      <c r="K1110" s="19" t="s">
        <v>691</v>
      </c>
      <c r="L1110" s="19" t="s">
        <v>38</v>
      </c>
      <c r="M1110" s="20">
        <f t="shared" si="2"/>
        <v>0</v>
      </c>
      <c r="N1110" s="22"/>
      <c r="O1110" s="19" t="s">
        <v>1145</v>
      </c>
      <c r="P1110" s="18"/>
      <c r="Q1110" s="18"/>
      <c r="R1110" s="23">
        <v>0.0</v>
      </c>
      <c r="S1110" s="23">
        <v>0.0</v>
      </c>
      <c r="T1110" s="23">
        <f t="shared" si="3"/>
        <v>0</v>
      </c>
      <c r="U1110" s="23">
        <f t="shared" si="4"/>
        <v>0</v>
      </c>
      <c r="V1110" s="23">
        <f t="shared" si="5"/>
        <v>0</v>
      </c>
      <c r="W1110" s="24" t="str">
        <f t="shared" si="6"/>
        <v>#DIV/0!</v>
      </c>
    </row>
    <row r="1111">
      <c r="A1111" s="15" t="s">
        <v>7679</v>
      </c>
      <c r="B1111" s="18"/>
      <c r="C1111" s="15" t="s">
        <v>7680</v>
      </c>
      <c r="D1111" s="18"/>
      <c r="E1111" s="17" t="s">
        <v>7681</v>
      </c>
      <c r="F1111" s="18"/>
      <c r="G1111" s="18"/>
      <c r="H1111" s="15" t="s">
        <v>7682</v>
      </c>
      <c r="I1111" s="15" t="s">
        <v>4149</v>
      </c>
      <c r="J1111" s="19" t="s">
        <v>59</v>
      </c>
      <c r="K1111" s="19" t="s">
        <v>2387</v>
      </c>
      <c r="L1111" s="19" t="s">
        <v>38</v>
      </c>
      <c r="M1111" s="20">
        <f t="shared" si="2"/>
        <v>0</v>
      </c>
      <c r="N1111" s="22"/>
      <c r="O1111" s="19" t="s">
        <v>39</v>
      </c>
      <c r="P1111" s="18"/>
      <c r="Q1111" s="18"/>
      <c r="R1111" s="23">
        <v>0.0</v>
      </c>
      <c r="S1111" s="23">
        <v>0.0</v>
      </c>
      <c r="T1111" s="23">
        <f t="shared" si="3"/>
        <v>0</v>
      </c>
      <c r="U1111" s="23">
        <f t="shared" si="4"/>
        <v>0</v>
      </c>
      <c r="V1111" s="23">
        <f t="shared" si="5"/>
        <v>0</v>
      </c>
      <c r="W1111" s="24" t="str">
        <f t="shared" si="6"/>
        <v>#DIV/0!</v>
      </c>
    </row>
    <row r="1112">
      <c r="A1112" s="15" t="s">
        <v>7683</v>
      </c>
      <c r="B1112" s="18"/>
      <c r="C1112" s="15" t="s">
        <v>7684</v>
      </c>
      <c r="D1112" s="18"/>
      <c r="E1112" s="17" t="s">
        <v>7681</v>
      </c>
      <c r="F1112" s="18"/>
      <c r="G1112" s="18"/>
      <c r="H1112" s="15" t="s">
        <v>7685</v>
      </c>
      <c r="I1112" s="15" t="s">
        <v>7686</v>
      </c>
      <c r="J1112" s="19" t="s">
        <v>59</v>
      </c>
      <c r="K1112" s="19" t="s">
        <v>2387</v>
      </c>
      <c r="L1112" s="19" t="s">
        <v>38</v>
      </c>
      <c r="M1112" s="20">
        <f t="shared" si="2"/>
        <v>0</v>
      </c>
      <c r="N1112" s="22"/>
      <c r="O1112" s="19" t="s">
        <v>39</v>
      </c>
      <c r="P1112" s="18"/>
      <c r="Q1112" s="18"/>
      <c r="R1112" s="23">
        <v>0.0</v>
      </c>
      <c r="S1112" s="23">
        <v>0.0</v>
      </c>
      <c r="T1112" s="23">
        <f t="shared" si="3"/>
        <v>0</v>
      </c>
      <c r="U1112" s="23">
        <f t="shared" si="4"/>
        <v>0</v>
      </c>
      <c r="V1112" s="23">
        <f t="shared" si="5"/>
        <v>0</v>
      </c>
      <c r="W1112" s="24" t="str">
        <f t="shared" si="6"/>
        <v>#DIV/0!</v>
      </c>
    </row>
    <row r="1113">
      <c r="A1113" s="15" t="s">
        <v>5159</v>
      </c>
      <c r="B1113" s="18"/>
      <c r="C1113" s="15" t="s">
        <v>7687</v>
      </c>
      <c r="D1113" s="18"/>
      <c r="E1113" s="17" t="s">
        <v>7688</v>
      </c>
      <c r="F1113" s="18"/>
      <c r="G1113" s="18"/>
      <c r="H1113" s="15" t="s">
        <v>7689</v>
      </c>
      <c r="I1113" s="15" t="s">
        <v>5162</v>
      </c>
      <c r="J1113" s="19" t="s">
        <v>59</v>
      </c>
      <c r="K1113" s="19" t="s">
        <v>691</v>
      </c>
      <c r="L1113" s="19" t="s">
        <v>38</v>
      </c>
      <c r="M1113" s="20">
        <f t="shared" si="2"/>
        <v>0</v>
      </c>
      <c r="N1113" s="22"/>
      <c r="O1113" s="19" t="s">
        <v>1145</v>
      </c>
      <c r="P1113" s="18"/>
      <c r="Q1113" s="18"/>
      <c r="R1113" s="23">
        <v>0.0</v>
      </c>
      <c r="S1113" s="23">
        <v>0.0</v>
      </c>
      <c r="T1113" s="23">
        <f t="shared" si="3"/>
        <v>0</v>
      </c>
      <c r="U1113" s="23">
        <f t="shared" si="4"/>
        <v>0</v>
      </c>
      <c r="V1113" s="23">
        <f t="shared" si="5"/>
        <v>0</v>
      </c>
      <c r="W1113" s="24" t="str">
        <f t="shared" si="6"/>
        <v>#DIV/0!</v>
      </c>
    </row>
    <row r="1114">
      <c r="A1114" s="15" t="s">
        <v>3566</v>
      </c>
      <c r="B1114" s="18"/>
      <c r="C1114" s="15" t="s">
        <v>7690</v>
      </c>
      <c r="D1114" s="18"/>
      <c r="E1114" s="17" t="s">
        <v>3567</v>
      </c>
      <c r="F1114" s="18"/>
      <c r="G1114" s="18"/>
      <c r="H1114" s="15" t="s">
        <v>3568</v>
      </c>
      <c r="I1114" s="15" t="s">
        <v>3569</v>
      </c>
      <c r="J1114" s="19" t="s">
        <v>59</v>
      </c>
      <c r="K1114" s="19" t="s">
        <v>2396</v>
      </c>
      <c r="L1114" s="19" t="s">
        <v>38</v>
      </c>
      <c r="M1114" s="20">
        <f t="shared" si="2"/>
        <v>1935.84</v>
      </c>
      <c r="N1114" s="22"/>
      <c r="O1114" s="19" t="s">
        <v>1145</v>
      </c>
      <c r="P1114" s="18"/>
      <c r="Q1114" s="18"/>
      <c r="R1114" s="23">
        <v>15.5</v>
      </c>
      <c r="S1114" s="23">
        <v>109.0</v>
      </c>
      <c r="T1114" s="23">
        <f t="shared" si="3"/>
        <v>104.64</v>
      </c>
      <c r="U1114" s="23">
        <f t="shared" si="4"/>
        <v>18.9875</v>
      </c>
      <c r="V1114" s="23">
        <f t="shared" si="5"/>
        <v>356.015625</v>
      </c>
      <c r="W1114" s="24">
        <f t="shared" si="6"/>
        <v>6.750967742</v>
      </c>
    </row>
    <row r="1115">
      <c r="A1115" s="15" t="s">
        <v>2950</v>
      </c>
      <c r="B1115" s="18"/>
      <c r="C1115" s="15" t="s">
        <v>7691</v>
      </c>
      <c r="D1115" s="18"/>
      <c r="E1115" s="17" t="s">
        <v>2951</v>
      </c>
      <c r="F1115" s="18"/>
      <c r="G1115" s="18"/>
      <c r="H1115" s="15" t="s">
        <v>2952</v>
      </c>
      <c r="I1115" s="15" t="s">
        <v>2953</v>
      </c>
      <c r="J1115" s="19" t="s">
        <v>59</v>
      </c>
      <c r="K1115" s="19" t="s">
        <v>2396</v>
      </c>
      <c r="L1115" s="19" t="s">
        <v>38</v>
      </c>
      <c r="M1115" s="20">
        <f t="shared" si="2"/>
        <v>0</v>
      </c>
      <c r="N1115" s="22"/>
      <c r="O1115" s="19" t="s">
        <v>1145</v>
      </c>
      <c r="P1115" s="18"/>
      <c r="Q1115" s="18"/>
      <c r="R1115" s="23">
        <v>0.0</v>
      </c>
      <c r="S1115" s="23">
        <v>0.0</v>
      </c>
      <c r="T1115" s="23">
        <f t="shared" si="3"/>
        <v>0</v>
      </c>
      <c r="U1115" s="23">
        <f t="shared" si="4"/>
        <v>0</v>
      </c>
      <c r="V1115" s="23">
        <f t="shared" si="5"/>
        <v>0</v>
      </c>
      <c r="W1115" s="24" t="str">
        <f t="shared" si="6"/>
        <v>#DIV/0!</v>
      </c>
    </row>
    <row r="1116">
      <c r="A1116" s="15" t="s">
        <v>7692</v>
      </c>
      <c r="B1116" s="18"/>
      <c r="C1116" s="15" t="s">
        <v>7693</v>
      </c>
      <c r="D1116" s="18"/>
      <c r="E1116" s="17" t="s">
        <v>7694</v>
      </c>
      <c r="F1116" s="18"/>
      <c r="G1116" s="18"/>
      <c r="H1116" s="15" t="s">
        <v>7695</v>
      </c>
      <c r="I1116" s="15" t="s">
        <v>3960</v>
      </c>
      <c r="J1116" s="19" t="s">
        <v>59</v>
      </c>
      <c r="K1116" s="19" t="s">
        <v>2396</v>
      </c>
      <c r="L1116" s="19" t="s">
        <v>38</v>
      </c>
      <c r="M1116" s="20">
        <f t="shared" si="2"/>
        <v>0</v>
      </c>
      <c r="N1116" s="22"/>
      <c r="O1116" s="19" t="s">
        <v>39</v>
      </c>
      <c r="P1116" s="18"/>
      <c r="Q1116" s="18"/>
      <c r="R1116" s="23">
        <v>0.0</v>
      </c>
      <c r="S1116" s="23">
        <v>0.0</v>
      </c>
      <c r="T1116" s="23">
        <f t="shared" si="3"/>
        <v>0</v>
      </c>
      <c r="U1116" s="23">
        <f t="shared" si="4"/>
        <v>0</v>
      </c>
      <c r="V1116" s="23">
        <f t="shared" si="5"/>
        <v>0</v>
      </c>
      <c r="W1116" s="24" t="str">
        <f t="shared" si="6"/>
        <v>#DIV/0!</v>
      </c>
    </row>
    <row r="1117">
      <c r="A1117" s="15" t="s">
        <v>2954</v>
      </c>
      <c r="B1117" s="18"/>
      <c r="C1117" s="15" t="s">
        <v>7696</v>
      </c>
      <c r="D1117" s="18"/>
      <c r="E1117" s="17" t="s">
        <v>2955</v>
      </c>
      <c r="F1117" s="18"/>
      <c r="G1117" s="18"/>
      <c r="H1117" s="15" t="s">
        <v>2956</v>
      </c>
      <c r="I1117" s="15" t="s">
        <v>2957</v>
      </c>
      <c r="J1117" s="19" t="s">
        <v>59</v>
      </c>
      <c r="K1117" s="19" t="s">
        <v>2396</v>
      </c>
      <c r="L1117" s="19" t="s">
        <v>38</v>
      </c>
      <c r="M1117" s="20">
        <f t="shared" si="2"/>
        <v>0</v>
      </c>
      <c r="N1117" s="22"/>
      <c r="O1117" s="19" t="s">
        <v>1145</v>
      </c>
      <c r="P1117" s="18"/>
      <c r="Q1117" s="18"/>
      <c r="R1117" s="23">
        <v>0.0</v>
      </c>
      <c r="S1117" s="23">
        <v>0.0</v>
      </c>
      <c r="T1117" s="23">
        <f t="shared" si="3"/>
        <v>0</v>
      </c>
      <c r="U1117" s="23">
        <f t="shared" si="4"/>
        <v>0</v>
      </c>
      <c r="V1117" s="23">
        <f t="shared" si="5"/>
        <v>0</v>
      </c>
      <c r="W1117" s="24" t="str">
        <f t="shared" si="6"/>
        <v>#DIV/0!</v>
      </c>
    </row>
    <row r="1118">
      <c r="A1118" s="15" t="s">
        <v>2958</v>
      </c>
      <c r="B1118" s="18"/>
      <c r="C1118" s="15" t="s">
        <v>7697</v>
      </c>
      <c r="D1118" s="18"/>
      <c r="E1118" s="17" t="s">
        <v>2959</v>
      </c>
      <c r="F1118" s="18"/>
      <c r="G1118" s="18"/>
      <c r="H1118" s="15" t="s">
        <v>2960</v>
      </c>
      <c r="I1118" s="15" t="s">
        <v>2961</v>
      </c>
      <c r="J1118" s="19" t="s">
        <v>59</v>
      </c>
      <c r="K1118" s="19" t="s">
        <v>2396</v>
      </c>
      <c r="L1118" s="19" t="s">
        <v>38</v>
      </c>
      <c r="M1118" s="20">
        <f t="shared" si="2"/>
        <v>0</v>
      </c>
      <c r="N1118" s="22"/>
      <c r="O1118" s="19" t="s">
        <v>1145</v>
      </c>
      <c r="P1118" s="18"/>
      <c r="Q1118" s="18"/>
      <c r="R1118" s="23">
        <v>0.0</v>
      </c>
      <c r="S1118" s="23">
        <v>0.0</v>
      </c>
      <c r="T1118" s="23">
        <f t="shared" si="3"/>
        <v>0</v>
      </c>
      <c r="U1118" s="23">
        <f t="shared" si="4"/>
        <v>0</v>
      </c>
      <c r="V1118" s="23">
        <f t="shared" si="5"/>
        <v>0</v>
      </c>
      <c r="W1118" s="24" t="str">
        <f t="shared" si="6"/>
        <v>#DIV/0!</v>
      </c>
    </row>
    <row r="1119">
      <c r="A1119" s="15" t="s">
        <v>2962</v>
      </c>
      <c r="B1119" s="18"/>
      <c r="C1119" s="15" t="s">
        <v>7698</v>
      </c>
      <c r="D1119" s="18"/>
      <c r="E1119" s="17" t="s">
        <v>2963</v>
      </c>
      <c r="F1119" s="18"/>
      <c r="G1119" s="18"/>
      <c r="H1119" s="15" t="s">
        <v>2964</v>
      </c>
      <c r="I1119" s="15" t="s">
        <v>2965</v>
      </c>
      <c r="J1119" s="19" t="s">
        <v>59</v>
      </c>
      <c r="K1119" s="19" t="s">
        <v>2396</v>
      </c>
      <c r="L1119" s="19" t="s">
        <v>38</v>
      </c>
      <c r="M1119" s="20">
        <f t="shared" si="2"/>
        <v>0</v>
      </c>
      <c r="N1119" s="22"/>
      <c r="O1119" s="19" t="s">
        <v>1145</v>
      </c>
      <c r="P1119" s="18"/>
      <c r="Q1119" s="18"/>
      <c r="R1119" s="23">
        <v>0.0</v>
      </c>
      <c r="S1119" s="23">
        <v>0.0</v>
      </c>
      <c r="T1119" s="23">
        <f t="shared" si="3"/>
        <v>0</v>
      </c>
      <c r="U1119" s="23">
        <f t="shared" si="4"/>
        <v>0</v>
      </c>
      <c r="V1119" s="23">
        <f t="shared" si="5"/>
        <v>0</v>
      </c>
      <c r="W1119" s="24" t="str">
        <f t="shared" si="6"/>
        <v>#DIV/0!</v>
      </c>
    </row>
    <row r="1120">
      <c r="A1120" s="15" t="s">
        <v>2966</v>
      </c>
      <c r="B1120" s="18"/>
      <c r="C1120" s="15" t="s">
        <v>7699</v>
      </c>
      <c r="D1120" s="18"/>
      <c r="E1120" s="17" t="s">
        <v>2967</v>
      </c>
      <c r="F1120" s="18"/>
      <c r="G1120" s="18"/>
      <c r="H1120" s="15" t="s">
        <v>2968</v>
      </c>
      <c r="I1120" s="15" t="s">
        <v>2969</v>
      </c>
      <c r="J1120" s="19" t="s">
        <v>59</v>
      </c>
      <c r="K1120" s="19" t="s">
        <v>2396</v>
      </c>
      <c r="L1120" s="19" t="s">
        <v>38</v>
      </c>
      <c r="M1120" s="20">
        <f t="shared" si="2"/>
        <v>0</v>
      </c>
      <c r="N1120" s="22"/>
      <c r="O1120" s="19" t="s">
        <v>1145</v>
      </c>
      <c r="P1120" s="18"/>
      <c r="Q1120" s="18"/>
      <c r="R1120" s="23">
        <v>0.0</v>
      </c>
      <c r="S1120" s="23">
        <v>0.0</v>
      </c>
      <c r="T1120" s="23">
        <f t="shared" si="3"/>
        <v>0</v>
      </c>
      <c r="U1120" s="23">
        <f t="shared" si="4"/>
        <v>0</v>
      </c>
      <c r="V1120" s="23">
        <f t="shared" si="5"/>
        <v>0</v>
      </c>
      <c r="W1120" s="24" t="str">
        <f t="shared" si="6"/>
        <v>#DIV/0!</v>
      </c>
    </row>
    <row r="1121">
      <c r="A1121" s="15" t="s">
        <v>2970</v>
      </c>
      <c r="B1121" s="18"/>
      <c r="C1121" s="15" t="s">
        <v>7700</v>
      </c>
      <c r="D1121" s="18"/>
      <c r="E1121" s="17" t="s">
        <v>2967</v>
      </c>
      <c r="F1121" s="18"/>
      <c r="G1121" s="18"/>
      <c r="H1121" s="15" t="s">
        <v>2971</v>
      </c>
      <c r="I1121" s="15" t="s">
        <v>2972</v>
      </c>
      <c r="J1121" s="19" t="s">
        <v>59</v>
      </c>
      <c r="K1121" s="19" t="s">
        <v>2396</v>
      </c>
      <c r="L1121" s="19" t="s">
        <v>38</v>
      </c>
      <c r="M1121" s="20">
        <f t="shared" si="2"/>
        <v>0</v>
      </c>
      <c r="N1121" s="22"/>
      <c r="O1121" s="19" t="s">
        <v>1145</v>
      </c>
      <c r="P1121" s="18"/>
      <c r="Q1121" s="18"/>
      <c r="R1121" s="23">
        <v>0.0</v>
      </c>
      <c r="S1121" s="23">
        <v>0.0</v>
      </c>
      <c r="T1121" s="23">
        <f t="shared" si="3"/>
        <v>0</v>
      </c>
      <c r="U1121" s="23">
        <f t="shared" si="4"/>
        <v>0</v>
      </c>
      <c r="V1121" s="23">
        <f t="shared" si="5"/>
        <v>0</v>
      </c>
      <c r="W1121" s="24" t="str">
        <f t="shared" si="6"/>
        <v>#DIV/0!</v>
      </c>
    </row>
    <row r="1122">
      <c r="A1122" s="15" t="s">
        <v>7701</v>
      </c>
      <c r="B1122" s="18"/>
      <c r="C1122" s="15" t="s">
        <v>7702</v>
      </c>
      <c r="D1122" s="18"/>
      <c r="E1122" s="17" t="s">
        <v>7703</v>
      </c>
      <c r="F1122" s="18"/>
      <c r="G1122" s="18"/>
      <c r="H1122" s="15" t="s">
        <v>7704</v>
      </c>
      <c r="I1122" s="15" t="s">
        <v>1068</v>
      </c>
      <c r="J1122" s="19" t="s">
        <v>59</v>
      </c>
      <c r="K1122" s="19" t="s">
        <v>2396</v>
      </c>
      <c r="L1122" s="19" t="s">
        <v>38</v>
      </c>
      <c r="M1122" s="20">
        <f t="shared" si="2"/>
        <v>0</v>
      </c>
      <c r="N1122" s="22"/>
      <c r="O1122" s="19" t="s">
        <v>1145</v>
      </c>
      <c r="P1122" s="18"/>
      <c r="Q1122" s="18"/>
      <c r="R1122" s="23">
        <v>0.0</v>
      </c>
      <c r="S1122" s="23">
        <v>0.0</v>
      </c>
      <c r="T1122" s="23">
        <f t="shared" si="3"/>
        <v>0</v>
      </c>
      <c r="U1122" s="23">
        <f t="shared" si="4"/>
        <v>0</v>
      </c>
      <c r="V1122" s="23">
        <f t="shared" si="5"/>
        <v>0</v>
      </c>
      <c r="W1122" s="24" t="str">
        <f t="shared" si="6"/>
        <v>#DIV/0!</v>
      </c>
    </row>
    <row r="1123">
      <c r="A1123" s="15" t="s">
        <v>2973</v>
      </c>
      <c r="B1123" s="18"/>
      <c r="C1123" s="15" t="s">
        <v>7705</v>
      </c>
      <c r="D1123" s="18"/>
      <c r="E1123" s="17" t="s">
        <v>2974</v>
      </c>
      <c r="F1123" s="18"/>
      <c r="G1123" s="18"/>
      <c r="H1123" s="15" t="s">
        <v>2975</v>
      </c>
      <c r="I1123" s="15" t="s">
        <v>2976</v>
      </c>
      <c r="J1123" s="19" t="s">
        <v>59</v>
      </c>
      <c r="K1123" s="19" t="s">
        <v>2396</v>
      </c>
      <c r="L1123" s="19" t="s">
        <v>38</v>
      </c>
      <c r="M1123" s="20">
        <f t="shared" si="2"/>
        <v>0</v>
      </c>
      <c r="N1123" s="22"/>
      <c r="O1123" s="19" t="s">
        <v>1145</v>
      </c>
      <c r="P1123" s="18"/>
      <c r="Q1123" s="18"/>
      <c r="R1123" s="23">
        <v>0.0</v>
      </c>
      <c r="S1123" s="23">
        <v>0.0</v>
      </c>
      <c r="T1123" s="23">
        <f t="shared" si="3"/>
        <v>0</v>
      </c>
      <c r="U1123" s="23">
        <f t="shared" si="4"/>
        <v>0</v>
      </c>
      <c r="V1123" s="23">
        <f t="shared" si="5"/>
        <v>0</v>
      </c>
      <c r="W1123" s="24" t="str">
        <f t="shared" si="6"/>
        <v>#DIV/0!</v>
      </c>
    </row>
    <row r="1124">
      <c r="A1124" s="15" t="s">
        <v>2977</v>
      </c>
      <c r="B1124" s="18"/>
      <c r="C1124" s="15" t="s">
        <v>7706</v>
      </c>
      <c r="D1124" s="18"/>
      <c r="E1124" s="17" t="s">
        <v>2978</v>
      </c>
      <c r="F1124" s="18"/>
      <c r="G1124" s="18"/>
      <c r="H1124" s="15" t="s">
        <v>2979</v>
      </c>
      <c r="I1124" s="15" t="s">
        <v>2980</v>
      </c>
      <c r="J1124" s="19" t="s">
        <v>59</v>
      </c>
      <c r="K1124" s="19" t="s">
        <v>2396</v>
      </c>
      <c r="L1124" s="19" t="s">
        <v>38</v>
      </c>
      <c r="M1124" s="20">
        <f t="shared" si="2"/>
        <v>0</v>
      </c>
      <c r="N1124" s="22"/>
      <c r="O1124" s="19" t="s">
        <v>1145</v>
      </c>
      <c r="P1124" s="18"/>
      <c r="Q1124" s="18"/>
      <c r="R1124" s="23">
        <v>0.0</v>
      </c>
      <c r="S1124" s="23">
        <v>0.0</v>
      </c>
      <c r="T1124" s="23">
        <f t="shared" si="3"/>
        <v>0</v>
      </c>
      <c r="U1124" s="23">
        <f t="shared" si="4"/>
        <v>0</v>
      </c>
      <c r="V1124" s="23">
        <f t="shared" si="5"/>
        <v>0</v>
      </c>
      <c r="W1124" s="24" t="str">
        <f t="shared" si="6"/>
        <v>#DIV/0!</v>
      </c>
    </row>
    <row r="1125">
      <c r="A1125" s="15" t="s">
        <v>2981</v>
      </c>
      <c r="B1125" s="18"/>
      <c r="C1125" s="15" t="s">
        <v>7707</v>
      </c>
      <c r="D1125" s="18"/>
      <c r="E1125" s="17" t="s">
        <v>2982</v>
      </c>
      <c r="F1125" s="18"/>
      <c r="G1125" s="18"/>
      <c r="H1125" s="15" t="s">
        <v>2983</v>
      </c>
      <c r="I1125" s="15" t="s">
        <v>2984</v>
      </c>
      <c r="J1125" s="19" t="s">
        <v>59</v>
      </c>
      <c r="K1125" s="19" t="s">
        <v>2396</v>
      </c>
      <c r="L1125" s="19" t="s">
        <v>38</v>
      </c>
      <c r="M1125" s="20">
        <f t="shared" si="2"/>
        <v>0</v>
      </c>
      <c r="N1125" s="22"/>
      <c r="O1125" s="19" t="s">
        <v>1145</v>
      </c>
      <c r="P1125" s="18"/>
      <c r="Q1125" s="18"/>
      <c r="R1125" s="23">
        <v>0.0</v>
      </c>
      <c r="S1125" s="23">
        <v>0.0</v>
      </c>
      <c r="T1125" s="23">
        <f t="shared" si="3"/>
        <v>0</v>
      </c>
      <c r="U1125" s="23">
        <f t="shared" si="4"/>
        <v>0</v>
      </c>
      <c r="V1125" s="23">
        <f t="shared" si="5"/>
        <v>0</v>
      </c>
      <c r="W1125" s="24" t="str">
        <f t="shared" si="6"/>
        <v>#DIV/0!</v>
      </c>
    </row>
    <row r="1126">
      <c r="A1126" s="15" t="s">
        <v>2985</v>
      </c>
      <c r="B1126" s="18"/>
      <c r="C1126" s="15" t="s">
        <v>7708</v>
      </c>
      <c r="D1126" s="18"/>
      <c r="E1126" s="17" t="s">
        <v>2986</v>
      </c>
      <c r="F1126" s="18"/>
      <c r="G1126" s="18"/>
      <c r="H1126" s="15" t="s">
        <v>2987</v>
      </c>
      <c r="I1126" s="15" t="s">
        <v>2988</v>
      </c>
      <c r="J1126" s="19" t="s">
        <v>59</v>
      </c>
      <c r="K1126" s="19" t="s">
        <v>2396</v>
      </c>
      <c r="L1126" s="19" t="s">
        <v>38</v>
      </c>
      <c r="M1126" s="20">
        <f t="shared" si="2"/>
        <v>0</v>
      </c>
      <c r="N1126" s="22"/>
      <c r="O1126" s="19" t="s">
        <v>1145</v>
      </c>
      <c r="P1126" s="18"/>
      <c r="Q1126" s="18"/>
      <c r="R1126" s="23">
        <v>0.0</v>
      </c>
      <c r="S1126" s="23">
        <v>0.0</v>
      </c>
      <c r="T1126" s="23">
        <f t="shared" si="3"/>
        <v>0</v>
      </c>
      <c r="U1126" s="23">
        <f t="shared" si="4"/>
        <v>0</v>
      </c>
      <c r="V1126" s="23">
        <f t="shared" si="5"/>
        <v>0</v>
      </c>
      <c r="W1126" s="24" t="str">
        <f t="shared" si="6"/>
        <v>#DIV/0!</v>
      </c>
    </row>
    <row r="1127">
      <c r="A1127" s="15" t="s">
        <v>2989</v>
      </c>
      <c r="B1127" s="18"/>
      <c r="C1127" s="15" t="s">
        <v>7709</v>
      </c>
      <c r="D1127" s="18"/>
      <c r="E1127" s="17" t="s">
        <v>2990</v>
      </c>
      <c r="F1127" s="18"/>
      <c r="G1127" s="18"/>
      <c r="H1127" s="15" t="s">
        <v>2991</v>
      </c>
      <c r="I1127" s="15" t="s">
        <v>2992</v>
      </c>
      <c r="J1127" s="19" t="s">
        <v>59</v>
      </c>
      <c r="K1127" s="19" t="s">
        <v>2396</v>
      </c>
      <c r="L1127" s="19" t="s">
        <v>38</v>
      </c>
      <c r="M1127" s="20">
        <f t="shared" si="2"/>
        <v>0</v>
      </c>
      <c r="N1127" s="22"/>
      <c r="O1127" s="19" t="s">
        <v>1145</v>
      </c>
      <c r="P1127" s="18"/>
      <c r="Q1127" s="18"/>
      <c r="R1127" s="23">
        <v>0.0</v>
      </c>
      <c r="S1127" s="23">
        <v>0.0</v>
      </c>
      <c r="T1127" s="23">
        <f t="shared" si="3"/>
        <v>0</v>
      </c>
      <c r="U1127" s="23">
        <f t="shared" si="4"/>
        <v>0</v>
      </c>
      <c r="V1127" s="23">
        <f t="shared" si="5"/>
        <v>0</v>
      </c>
      <c r="W1127" s="24" t="str">
        <f t="shared" si="6"/>
        <v>#DIV/0!</v>
      </c>
    </row>
    <row r="1128">
      <c r="A1128" s="15" t="s">
        <v>2993</v>
      </c>
      <c r="B1128" s="18"/>
      <c r="C1128" s="15" t="s">
        <v>7710</v>
      </c>
      <c r="D1128" s="18"/>
      <c r="E1128" s="17" t="s">
        <v>2994</v>
      </c>
      <c r="F1128" s="18"/>
      <c r="G1128" s="18"/>
      <c r="H1128" s="15" t="s">
        <v>2995</v>
      </c>
      <c r="I1128" s="15" t="s">
        <v>2996</v>
      </c>
      <c r="J1128" s="19" t="s">
        <v>59</v>
      </c>
      <c r="K1128" s="19" t="s">
        <v>2396</v>
      </c>
      <c r="L1128" s="19" t="s">
        <v>38</v>
      </c>
      <c r="M1128" s="20">
        <f t="shared" si="2"/>
        <v>0</v>
      </c>
      <c r="N1128" s="22"/>
      <c r="O1128" s="19" t="s">
        <v>1145</v>
      </c>
      <c r="P1128" s="18"/>
      <c r="Q1128" s="18"/>
      <c r="R1128" s="23">
        <v>0.0</v>
      </c>
      <c r="S1128" s="23">
        <v>0.0</v>
      </c>
      <c r="T1128" s="23">
        <f t="shared" si="3"/>
        <v>0</v>
      </c>
      <c r="U1128" s="23">
        <f t="shared" si="4"/>
        <v>0</v>
      </c>
      <c r="V1128" s="23">
        <f t="shared" si="5"/>
        <v>0</v>
      </c>
      <c r="W1128" s="24" t="str">
        <f t="shared" si="6"/>
        <v>#DIV/0!</v>
      </c>
    </row>
    <row r="1129">
      <c r="A1129" s="15" t="s">
        <v>7711</v>
      </c>
      <c r="B1129" s="18"/>
      <c r="C1129" s="15" t="s">
        <v>7712</v>
      </c>
      <c r="D1129" s="18"/>
      <c r="E1129" s="17" t="s">
        <v>7713</v>
      </c>
      <c r="F1129" s="18"/>
      <c r="G1129" s="18"/>
      <c r="H1129" s="15" t="s">
        <v>7714</v>
      </c>
      <c r="I1129" s="15" t="s">
        <v>199</v>
      </c>
      <c r="J1129" s="19" t="s">
        <v>59</v>
      </c>
      <c r="K1129" s="19" t="s">
        <v>691</v>
      </c>
      <c r="L1129" s="19" t="s">
        <v>38</v>
      </c>
      <c r="M1129" s="20">
        <f t="shared" si="2"/>
        <v>0</v>
      </c>
      <c r="N1129" s="22"/>
      <c r="O1129" s="19" t="s">
        <v>39</v>
      </c>
      <c r="P1129" s="18"/>
      <c r="Q1129" s="18"/>
      <c r="R1129" s="23">
        <v>0.0</v>
      </c>
      <c r="S1129" s="23">
        <v>0.0</v>
      </c>
      <c r="T1129" s="23">
        <f t="shared" si="3"/>
        <v>0</v>
      </c>
      <c r="U1129" s="23">
        <f t="shared" si="4"/>
        <v>0</v>
      </c>
      <c r="V1129" s="23">
        <f t="shared" si="5"/>
        <v>0</v>
      </c>
      <c r="W1129" s="24" t="str">
        <f t="shared" si="6"/>
        <v>#DIV/0!</v>
      </c>
    </row>
    <row r="1130">
      <c r="A1130" s="15" t="s">
        <v>7715</v>
      </c>
      <c r="B1130" s="18"/>
      <c r="C1130" s="15" t="s">
        <v>7716</v>
      </c>
      <c r="D1130" s="18"/>
      <c r="E1130" s="17" t="s">
        <v>7717</v>
      </c>
      <c r="F1130" s="18"/>
      <c r="G1130" s="18"/>
      <c r="H1130" s="15" t="s">
        <v>7718</v>
      </c>
      <c r="I1130" s="15" t="s">
        <v>574</v>
      </c>
      <c r="J1130" s="19" t="s">
        <v>59</v>
      </c>
      <c r="K1130" s="19" t="s">
        <v>691</v>
      </c>
      <c r="L1130" s="19" t="s">
        <v>38</v>
      </c>
      <c r="M1130" s="20">
        <f t="shared" si="2"/>
        <v>0</v>
      </c>
      <c r="N1130" s="22"/>
      <c r="O1130" s="19" t="s">
        <v>39</v>
      </c>
      <c r="P1130" s="18"/>
      <c r="Q1130" s="18"/>
      <c r="R1130" s="23">
        <v>0.0</v>
      </c>
      <c r="S1130" s="23">
        <v>0.0</v>
      </c>
      <c r="T1130" s="23">
        <f t="shared" si="3"/>
        <v>0</v>
      </c>
      <c r="U1130" s="23">
        <f t="shared" si="4"/>
        <v>0</v>
      </c>
      <c r="V1130" s="23">
        <f t="shared" si="5"/>
        <v>0</v>
      </c>
      <c r="W1130" s="24" t="str">
        <f t="shared" si="6"/>
        <v>#DIV/0!</v>
      </c>
    </row>
    <row r="1131">
      <c r="A1131" s="15" t="s">
        <v>194</v>
      </c>
      <c r="B1131" s="15" t="s">
        <v>195</v>
      </c>
      <c r="C1131" s="15" t="s">
        <v>6108</v>
      </c>
      <c r="D1131" s="15" t="s">
        <v>196</v>
      </c>
      <c r="E1131" s="17" t="s">
        <v>197</v>
      </c>
      <c r="F1131" s="18"/>
      <c r="G1131" s="15" t="s">
        <v>198</v>
      </c>
      <c r="H1131" s="15" t="s">
        <v>199</v>
      </c>
      <c r="I1131" s="18"/>
      <c r="J1131" s="19" t="s">
        <v>59</v>
      </c>
      <c r="K1131" s="19" t="s">
        <v>200</v>
      </c>
      <c r="L1131" s="19" t="s">
        <v>38</v>
      </c>
      <c r="M1131" s="20">
        <f t="shared" si="2"/>
        <v>532.8</v>
      </c>
      <c r="N1131" s="31">
        <v>15.0</v>
      </c>
      <c r="O1131" s="19" t="s">
        <v>107</v>
      </c>
      <c r="P1131" s="18"/>
      <c r="Q1131" s="18"/>
      <c r="R1131" s="23">
        <v>2.7</v>
      </c>
      <c r="S1131" s="23">
        <v>30.0</v>
      </c>
      <c r="T1131" s="23">
        <f t="shared" si="3"/>
        <v>28.8</v>
      </c>
      <c r="U1131" s="23">
        <f t="shared" si="4"/>
        <v>3.3075</v>
      </c>
      <c r="V1131" s="23">
        <f t="shared" si="5"/>
        <v>62.015625</v>
      </c>
      <c r="W1131" s="24">
        <f t="shared" si="6"/>
        <v>10.66666667</v>
      </c>
    </row>
    <row r="1132">
      <c r="A1132" s="15" t="s">
        <v>569</v>
      </c>
      <c r="B1132" s="15" t="s">
        <v>570</v>
      </c>
      <c r="C1132" s="15" t="s">
        <v>6036</v>
      </c>
      <c r="D1132" s="15" t="s">
        <v>571</v>
      </c>
      <c r="E1132" s="17" t="s">
        <v>572</v>
      </c>
      <c r="F1132" s="18"/>
      <c r="G1132" s="15" t="s">
        <v>573</v>
      </c>
      <c r="H1132" s="15" t="s">
        <v>574</v>
      </c>
      <c r="I1132" s="18"/>
      <c r="J1132" s="19" t="s">
        <v>59</v>
      </c>
      <c r="K1132" s="19" t="s">
        <v>200</v>
      </c>
      <c r="L1132" s="19" t="s">
        <v>38</v>
      </c>
      <c r="M1132" s="20">
        <f t="shared" si="2"/>
        <v>355.2</v>
      </c>
      <c r="N1132" s="31">
        <v>8.0</v>
      </c>
      <c r="O1132" s="19" t="s">
        <v>107</v>
      </c>
      <c r="P1132" s="18"/>
      <c r="Q1132" s="18"/>
      <c r="R1132" s="23">
        <v>3.5</v>
      </c>
      <c r="S1132" s="23">
        <v>20.0</v>
      </c>
      <c r="T1132" s="23">
        <f t="shared" si="3"/>
        <v>19.2</v>
      </c>
      <c r="U1132" s="23">
        <f t="shared" si="4"/>
        <v>4.2875</v>
      </c>
      <c r="V1132" s="23">
        <f t="shared" si="5"/>
        <v>80.390625</v>
      </c>
      <c r="W1132" s="24">
        <f t="shared" si="6"/>
        <v>5.485714286</v>
      </c>
    </row>
    <row r="1133">
      <c r="A1133" s="15" t="s">
        <v>2997</v>
      </c>
      <c r="B1133" s="18"/>
      <c r="C1133" s="15" t="s">
        <v>7719</v>
      </c>
      <c r="D1133" s="18"/>
      <c r="E1133" s="17" t="s">
        <v>2998</v>
      </c>
      <c r="F1133" s="18"/>
      <c r="G1133" s="18"/>
      <c r="H1133" s="15" t="s">
        <v>2999</v>
      </c>
      <c r="I1133" s="15" t="s">
        <v>3000</v>
      </c>
      <c r="J1133" s="19" t="s">
        <v>59</v>
      </c>
      <c r="K1133" s="19" t="s">
        <v>2396</v>
      </c>
      <c r="L1133" s="19" t="s">
        <v>38</v>
      </c>
      <c r="M1133" s="20">
        <f t="shared" si="2"/>
        <v>0</v>
      </c>
      <c r="N1133" s="22"/>
      <c r="O1133" s="19" t="s">
        <v>1145</v>
      </c>
      <c r="P1133" s="18"/>
      <c r="Q1133" s="18"/>
      <c r="R1133" s="23">
        <v>0.0</v>
      </c>
      <c r="S1133" s="23">
        <v>0.0</v>
      </c>
      <c r="T1133" s="23">
        <f t="shared" si="3"/>
        <v>0</v>
      </c>
      <c r="U1133" s="23">
        <f t="shared" si="4"/>
        <v>0</v>
      </c>
      <c r="V1133" s="23">
        <f t="shared" si="5"/>
        <v>0</v>
      </c>
      <c r="W1133" s="24" t="str">
        <f t="shared" si="6"/>
        <v>#DIV/0!</v>
      </c>
    </row>
    <row r="1134">
      <c r="A1134" s="15" t="s">
        <v>5163</v>
      </c>
      <c r="B1134" s="18"/>
      <c r="C1134" s="15" t="s">
        <v>7720</v>
      </c>
      <c r="D1134" s="18"/>
      <c r="E1134" s="17" t="s">
        <v>7721</v>
      </c>
      <c r="F1134" s="18"/>
      <c r="G1134" s="18"/>
      <c r="H1134" s="15" t="s">
        <v>7722</v>
      </c>
      <c r="I1134" s="15" t="s">
        <v>5166</v>
      </c>
      <c r="J1134" s="19" t="s">
        <v>59</v>
      </c>
      <c r="K1134" s="19" t="s">
        <v>2396</v>
      </c>
      <c r="L1134" s="19" t="s">
        <v>38</v>
      </c>
      <c r="M1134" s="20">
        <f t="shared" si="2"/>
        <v>0</v>
      </c>
      <c r="N1134" s="22"/>
      <c r="O1134" s="19" t="s">
        <v>1145</v>
      </c>
      <c r="P1134" s="18"/>
      <c r="Q1134" s="18"/>
      <c r="R1134" s="23">
        <v>0.0</v>
      </c>
      <c r="S1134" s="23">
        <v>0.0</v>
      </c>
      <c r="T1134" s="23">
        <f t="shared" si="3"/>
        <v>0</v>
      </c>
      <c r="U1134" s="23">
        <f t="shared" si="4"/>
        <v>0</v>
      </c>
      <c r="V1134" s="23">
        <f t="shared" si="5"/>
        <v>0</v>
      </c>
      <c r="W1134" s="24" t="str">
        <f t="shared" si="6"/>
        <v>#DIV/0!</v>
      </c>
    </row>
    <row r="1135">
      <c r="A1135" s="15" t="s">
        <v>3001</v>
      </c>
      <c r="B1135" s="18"/>
      <c r="C1135" s="15" t="s">
        <v>7723</v>
      </c>
      <c r="D1135" s="18"/>
      <c r="E1135" s="17" t="s">
        <v>7724</v>
      </c>
      <c r="F1135" s="18"/>
      <c r="G1135" s="18"/>
      <c r="H1135" s="15" t="s">
        <v>3004</v>
      </c>
      <c r="I1135" s="15" t="s">
        <v>3005</v>
      </c>
      <c r="J1135" s="19" t="s">
        <v>59</v>
      </c>
      <c r="K1135" s="19" t="s">
        <v>2396</v>
      </c>
      <c r="L1135" s="19" t="s">
        <v>38</v>
      </c>
      <c r="M1135" s="20">
        <f t="shared" si="2"/>
        <v>0</v>
      </c>
      <c r="N1135" s="22"/>
      <c r="O1135" s="19" t="s">
        <v>1145</v>
      </c>
      <c r="P1135" s="18"/>
      <c r="Q1135" s="18"/>
      <c r="R1135" s="23">
        <v>0.0</v>
      </c>
      <c r="S1135" s="23">
        <v>0.0</v>
      </c>
      <c r="T1135" s="23">
        <f t="shared" si="3"/>
        <v>0</v>
      </c>
      <c r="U1135" s="23">
        <f t="shared" si="4"/>
        <v>0</v>
      </c>
      <c r="V1135" s="23">
        <f t="shared" si="5"/>
        <v>0</v>
      </c>
      <c r="W1135" s="24" t="str">
        <f t="shared" si="6"/>
        <v>#DIV/0!</v>
      </c>
    </row>
    <row r="1136">
      <c r="A1136" s="15" t="s">
        <v>7725</v>
      </c>
      <c r="B1136" s="18"/>
      <c r="C1136" s="15" t="s">
        <v>7726</v>
      </c>
      <c r="D1136" s="18"/>
      <c r="E1136" s="17" t="s">
        <v>7727</v>
      </c>
      <c r="F1136" s="18"/>
      <c r="G1136" s="18"/>
      <c r="H1136" s="15" t="s">
        <v>7728</v>
      </c>
      <c r="I1136" s="15" t="s">
        <v>1116</v>
      </c>
      <c r="J1136" s="19" t="s">
        <v>59</v>
      </c>
      <c r="K1136" s="19" t="s">
        <v>2396</v>
      </c>
      <c r="L1136" s="19" t="s">
        <v>38</v>
      </c>
      <c r="M1136" s="20">
        <f t="shared" si="2"/>
        <v>0</v>
      </c>
      <c r="N1136" s="22"/>
      <c r="O1136" s="19" t="s">
        <v>1145</v>
      </c>
      <c r="P1136" s="18"/>
      <c r="Q1136" s="18"/>
      <c r="R1136" s="23">
        <v>0.0</v>
      </c>
      <c r="S1136" s="23">
        <v>0.0</v>
      </c>
      <c r="T1136" s="23">
        <f t="shared" si="3"/>
        <v>0</v>
      </c>
      <c r="U1136" s="23">
        <f t="shared" si="4"/>
        <v>0</v>
      </c>
      <c r="V1136" s="23">
        <f t="shared" si="5"/>
        <v>0</v>
      </c>
      <c r="W1136" s="24" t="str">
        <f t="shared" si="6"/>
        <v>#DIV/0!</v>
      </c>
    </row>
    <row r="1137">
      <c r="A1137" s="15" t="s">
        <v>3006</v>
      </c>
      <c r="B1137" s="18"/>
      <c r="C1137" s="15" t="s">
        <v>7729</v>
      </c>
      <c r="D1137" s="18"/>
      <c r="E1137" s="17" t="s">
        <v>3007</v>
      </c>
      <c r="F1137" s="18"/>
      <c r="G1137" s="18"/>
      <c r="H1137" s="15" t="s">
        <v>3008</v>
      </c>
      <c r="I1137" s="15" t="s">
        <v>3009</v>
      </c>
      <c r="J1137" s="19" t="s">
        <v>59</v>
      </c>
      <c r="K1137" s="19" t="s">
        <v>2396</v>
      </c>
      <c r="L1137" s="19" t="s">
        <v>38</v>
      </c>
      <c r="M1137" s="20">
        <f t="shared" si="2"/>
        <v>0</v>
      </c>
      <c r="N1137" s="22"/>
      <c r="O1137" s="19" t="s">
        <v>1145</v>
      </c>
      <c r="P1137" s="18"/>
      <c r="Q1137" s="18"/>
      <c r="R1137" s="23">
        <v>0.0</v>
      </c>
      <c r="S1137" s="23">
        <v>0.0</v>
      </c>
      <c r="T1137" s="23">
        <f t="shared" si="3"/>
        <v>0</v>
      </c>
      <c r="U1137" s="23">
        <f t="shared" si="4"/>
        <v>0</v>
      </c>
      <c r="V1137" s="23">
        <f t="shared" si="5"/>
        <v>0</v>
      </c>
      <c r="W1137" s="24" t="str">
        <f t="shared" si="6"/>
        <v>#DIV/0!</v>
      </c>
    </row>
    <row r="1138">
      <c r="A1138" s="15" t="s">
        <v>3010</v>
      </c>
      <c r="B1138" s="18"/>
      <c r="C1138" s="15" t="s">
        <v>7730</v>
      </c>
      <c r="D1138" s="18"/>
      <c r="E1138" s="17" t="s">
        <v>3011</v>
      </c>
      <c r="F1138" s="18"/>
      <c r="G1138" s="18"/>
      <c r="H1138" s="15" t="s">
        <v>3012</v>
      </c>
      <c r="I1138" s="15" t="s">
        <v>3013</v>
      </c>
      <c r="J1138" s="19" t="s">
        <v>59</v>
      </c>
      <c r="K1138" s="19" t="s">
        <v>2396</v>
      </c>
      <c r="L1138" s="19" t="s">
        <v>38</v>
      </c>
      <c r="M1138" s="20">
        <f t="shared" si="2"/>
        <v>0</v>
      </c>
      <c r="N1138" s="22"/>
      <c r="O1138" s="19" t="s">
        <v>1145</v>
      </c>
      <c r="P1138" s="18"/>
      <c r="Q1138" s="18"/>
      <c r="R1138" s="23">
        <v>0.0</v>
      </c>
      <c r="S1138" s="23">
        <v>0.0</v>
      </c>
      <c r="T1138" s="23">
        <f t="shared" si="3"/>
        <v>0</v>
      </c>
      <c r="U1138" s="23">
        <f t="shared" si="4"/>
        <v>0</v>
      </c>
      <c r="V1138" s="23">
        <f t="shared" si="5"/>
        <v>0</v>
      </c>
      <c r="W1138" s="24" t="str">
        <f t="shared" si="6"/>
        <v>#DIV/0!</v>
      </c>
    </row>
    <row r="1139">
      <c r="A1139" s="15" t="s">
        <v>3014</v>
      </c>
      <c r="B1139" s="18"/>
      <c r="C1139" s="15" t="s">
        <v>7731</v>
      </c>
      <c r="D1139" s="18"/>
      <c r="E1139" s="17" t="s">
        <v>3015</v>
      </c>
      <c r="F1139" s="18"/>
      <c r="G1139" s="18"/>
      <c r="H1139" s="15" t="s">
        <v>3016</v>
      </c>
      <c r="I1139" s="15" t="s">
        <v>3017</v>
      </c>
      <c r="J1139" s="19" t="s">
        <v>59</v>
      </c>
      <c r="K1139" s="19" t="s">
        <v>2396</v>
      </c>
      <c r="L1139" s="19" t="s">
        <v>38</v>
      </c>
      <c r="M1139" s="20">
        <f t="shared" si="2"/>
        <v>0</v>
      </c>
      <c r="N1139" s="22"/>
      <c r="O1139" s="19" t="s">
        <v>1145</v>
      </c>
      <c r="P1139" s="18"/>
      <c r="Q1139" s="18"/>
      <c r="R1139" s="23">
        <v>0.0</v>
      </c>
      <c r="S1139" s="23">
        <v>0.0</v>
      </c>
      <c r="T1139" s="23">
        <f t="shared" si="3"/>
        <v>0</v>
      </c>
      <c r="U1139" s="23">
        <f t="shared" si="4"/>
        <v>0</v>
      </c>
      <c r="V1139" s="23">
        <f t="shared" si="5"/>
        <v>0</v>
      </c>
      <c r="W1139" s="24" t="str">
        <f t="shared" si="6"/>
        <v>#DIV/0!</v>
      </c>
    </row>
    <row r="1140">
      <c r="A1140" s="15" t="s">
        <v>5167</v>
      </c>
      <c r="B1140" s="18"/>
      <c r="C1140" s="15" t="s">
        <v>7732</v>
      </c>
      <c r="D1140" s="18"/>
      <c r="E1140" s="17" t="s">
        <v>7733</v>
      </c>
      <c r="F1140" s="18"/>
      <c r="G1140" s="18"/>
      <c r="H1140" s="15" t="s">
        <v>7734</v>
      </c>
      <c r="I1140" s="15" t="s">
        <v>5170</v>
      </c>
      <c r="J1140" s="19" t="s">
        <v>59</v>
      </c>
      <c r="K1140" s="19" t="s">
        <v>2396</v>
      </c>
      <c r="L1140" s="19" t="s">
        <v>38</v>
      </c>
      <c r="M1140" s="20">
        <f t="shared" si="2"/>
        <v>0</v>
      </c>
      <c r="N1140" s="22"/>
      <c r="O1140" s="19" t="s">
        <v>1145</v>
      </c>
      <c r="P1140" s="18"/>
      <c r="Q1140" s="18"/>
      <c r="R1140" s="23">
        <v>0.0</v>
      </c>
      <c r="S1140" s="23">
        <v>0.0</v>
      </c>
      <c r="T1140" s="23">
        <f t="shared" si="3"/>
        <v>0</v>
      </c>
      <c r="U1140" s="23">
        <f t="shared" si="4"/>
        <v>0</v>
      </c>
      <c r="V1140" s="23">
        <f t="shared" si="5"/>
        <v>0</v>
      </c>
      <c r="W1140" s="24" t="str">
        <f t="shared" si="6"/>
        <v>#DIV/0!</v>
      </c>
    </row>
    <row r="1141">
      <c r="A1141" s="15" t="s">
        <v>3018</v>
      </c>
      <c r="B1141" s="18"/>
      <c r="C1141" s="15" t="s">
        <v>7735</v>
      </c>
      <c r="D1141" s="18"/>
      <c r="E1141" s="17" t="s">
        <v>3019</v>
      </c>
      <c r="F1141" s="18"/>
      <c r="G1141" s="18"/>
      <c r="H1141" s="15" t="s">
        <v>3020</v>
      </c>
      <c r="I1141" s="18"/>
      <c r="J1141" s="19" t="s">
        <v>59</v>
      </c>
      <c r="K1141" s="19" t="s">
        <v>2396</v>
      </c>
      <c r="L1141" s="19" t="s">
        <v>38</v>
      </c>
      <c r="M1141" s="20">
        <f t="shared" si="2"/>
        <v>0</v>
      </c>
      <c r="N1141" s="22"/>
      <c r="O1141" s="19" t="s">
        <v>1145</v>
      </c>
      <c r="P1141" s="18"/>
      <c r="Q1141" s="18"/>
      <c r="R1141" s="23">
        <v>0.0</v>
      </c>
      <c r="S1141" s="23">
        <v>0.0</v>
      </c>
      <c r="T1141" s="23">
        <f t="shared" si="3"/>
        <v>0</v>
      </c>
      <c r="U1141" s="23">
        <f t="shared" si="4"/>
        <v>0</v>
      </c>
      <c r="V1141" s="23">
        <f t="shared" si="5"/>
        <v>0</v>
      </c>
      <c r="W1141" s="24" t="str">
        <f t="shared" si="6"/>
        <v>#DIV/0!</v>
      </c>
    </row>
    <row r="1142">
      <c r="A1142" s="15" t="s">
        <v>5171</v>
      </c>
      <c r="B1142" s="18"/>
      <c r="C1142" s="15" t="s">
        <v>7736</v>
      </c>
      <c r="D1142" s="18"/>
      <c r="E1142" s="17" t="s">
        <v>7737</v>
      </c>
      <c r="F1142" s="18"/>
      <c r="G1142" s="18"/>
      <c r="H1142" s="15" t="s">
        <v>7738</v>
      </c>
      <c r="I1142" s="15" t="s">
        <v>5174</v>
      </c>
      <c r="J1142" s="19" t="s">
        <v>59</v>
      </c>
      <c r="K1142" s="19" t="s">
        <v>2396</v>
      </c>
      <c r="L1142" s="19" t="s">
        <v>38</v>
      </c>
      <c r="M1142" s="20">
        <f t="shared" si="2"/>
        <v>0</v>
      </c>
      <c r="N1142" s="22"/>
      <c r="O1142" s="19" t="s">
        <v>1145</v>
      </c>
      <c r="P1142" s="18"/>
      <c r="Q1142" s="18"/>
      <c r="R1142" s="23">
        <v>0.0</v>
      </c>
      <c r="S1142" s="23">
        <v>0.0</v>
      </c>
      <c r="T1142" s="23">
        <f t="shared" si="3"/>
        <v>0</v>
      </c>
      <c r="U1142" s="23">
        <f t="shared" si="4"/>
        <v>0</v>
      </c>
      <c r="V1142" s="23">
        <f t="shared" si="5"/>
        <v>0</v>
      </c>
      <c r="W1142" s="24" t="str">
        <f t="shared" si="6"/>
        <v>#DIV/0!</v>
      </c>
    </row>
    <row r="1143">
      <c r="A1143" s="15" t="s">
        <v>7739</v>
      </c>
      <c r="B1143" s="18"/>
      <c r="C1143" s="15" t="s">
        <v>7740</v>
      </c>
      <c r="D1143" s="18"/>
      <c r="E1143" s="17" t="s">
        <v>7741</v>
      </c>
      <c r="F1143" s="18"/>
      <c r="G1143" s="18"/>
      <c r="H1143" s="15" t="s">
        <v>7742</v>
      </c>
      <c r="I1143" s="15" t="s">
        <v>3932</v>
      </c>
      <c r="J1143" s="19" t="s">
        <v>59</v>
      </c>
      <c r="K1143" s="19" t="s">
        <v>2396</v>
      </c>
      <c r="L1143" s="19" t="s">
        <v>38</v>
      </c>
      <c r="M1143" s="20">
        <f t="shared" si="2"/>
        <v>0</v>
      </c>
      <c r="N1143" s="22"/>
      <c r="O1143" s="19" t="s">
        <v>39</v>
      </c>
      <c r="P1143" s="18"/>
      <c r="Q1143" s="18"/>
      <c r="R1143" s="23">
        <v>0.0</v>
      </c>
      <c r="S1143" s="23">
        <v>0.0</v>
      </c>
      <c r="T1143" s="23">
        <f t="shared" si="3"/>
        <v>0</v>
      </c>
      <c r="U1143" s="23">
        <f t="shared" si="4"/>
        <v>0</v>
      </c>
      <c r="V1143" s="23">
        <f t="shared" si="5"/>
        <v>0</v>
      </c>
      <c r="W1143" s="24" t="str">
        <f t="shared" si="6"/>
        <v>#DIV/0!</v>
      </c>
    </row>
    <row r="1144">
      <c r="A1144" s="15" t="s">
        <v>5175</v>
      </c>
      <c r="B1144" s="15" t="s">
        <v>5176</v>
      </c>
      <c r="C1144" s="15" t="s">
        <v>7743</v>
      </c>
      <c r="D1144" s="15" t="s">
        <v>5177</v>
      </c>
      <c r="E1144" s="17" t="s">
        <v>5178</v>
      </c>
      <c r="F1144" s="18"/>
      <c r="G1144" s="18"/>
      <c r="H1144" s="15" t="s">
        <v>5179</v>
      </c>
      <c r="I1144" s="18"/>
      <c r="J1144" s="19" t="s">
        <v>59</v>
      </c>
      <c r="K1144" s="33"/>
      <c r="L1144" s="19" t="s">
        <v>177</v>
      </c>
      <c r="M1144" s="20">
        <f t="shared" si="2"/>
        <v>0</v>
      </c>
      <c r="N1144" s="22"/>
      <c r="O1144" s="19" t="s">
        <v>3578</v>
      </c>
      <c r="P1144" s="18"/>
      <c r="Q1144" s="18"/>
      <c r="R1144" s="23">
        <v>0.0</v>
      </c>
      <c r="S1144" s="23">
        <v>0.0</v>
      </c>
      <c r="T1144" s="23">
        <f t="shared" si="3"/>
        <v>0</v>
      </c>
      <c r="U1144" s="23">
        <f t="shared" si="4"/>
        <v>0</v>
      </c>
      <c r="V1144" s="23">
        <f t="shared" si="5"/>
        <v>0</v>
      </c>
      <c r="W1144" s="24" t="str">
        <f t="shared" si="6"/>
        <v>#DIV/0!</v>
      </c>
    </row>
    <row r="1145">
      <c r="A1145" s="15" t="s">
        <v>980</v>
      </c>
      <c r="B1145" s="15" t="s">
        <v>981</v>
      </c>
      <c r="C1145" s="15" t="s">
        <v>6087</v>
      </c>
      <c r="D1145" s="15" t="s">
        <v>982</v>
      </c>
      <c r="E1145" s="17" t="s">
        <v>983</v>
      </c>
      <c r="F1145" s="18"/>
      <c r="G1145" s="15" t="s">
        <v>984</v>
      </c>
      <c r="H1145" s="15" t="s">
        <v>985</v>
      </c>
      <c r="I1145" s="18"/>
      <c r="J1145" s="19" t="s">
        <v>59</v>
      </c>
      <c r="K1145" s="19" t="s">
        <v>114</v>
      </c>
      <c r="L1145" s="19" t="s">
        <v>115</v>
      </c>
      <c r="M1145" s="20">
        <f t="shared" si="2"/>
        <v>4582.08</v>
      </c>
      <c r="N1145" s="31">
        <v>4.0</v>
      </c>
      <c r="O1145" s="19" t="s">
        <v>107</v>
      </c>
      <c r="P1145" s="18"/>
      <c r="Q1145" s="18"/>
      <c r="R1145" s="23">
        <v>70.0</v>
      </c>
      <c r="S1145" s="23">
        <v>258.0</v>
      </c>
      <c r="T1145" s="23">
        <f t="shared" si="3"/>
        <v>247.68</v>
      </c>
      <c r="U1145" s="23">
        <f t="shared" si="4"/>
        <v>85.75</v>
      </c>
      <c r="V1145" s="23">
        <f t="shared" si="5"/>
        <v>1607.8125</v>
      </c>
      <c r="W1145" s="24">
        <f t="shared" si="6"/>
        <v>3.538285714</v>
      </c>
    </row>
    <row r="1146">
      <c r="A1146" s="15" t="s">
        <v>1019</v>
      </c>
      <c r="B1146" s="15" t="s">
        <v>1020</v>
      </c>
      <c r="C1146" s="15" t="s">
        <v>6088</v>
      </c>
      <c r="D1146" s="15" t="s">
        <v>1021</v>
      </c>
      <c r="E1146" s="17" t="s">
        <v>1022</v>
      </c>
      <c r="F1146" s="18"/>
      <c r="G1146" s="18"/>
      <c r="H1146" s="15" t="s">
        <v>1023</v>
      </c>
      <c r="I1146" s="18"/>
      <c r="J1146" s="19" t="s">
        <v>59</v>
      </c>
      <c r="K1146" s="19" t="s">
        <v>114</v>
      </c>
      <c r="L1146" s="19" t="s">
        <v>115</v>
      </c>
      <c r="M1146" s="20">
        <f t="shared" si="2"/>
        <v>3392.16</v>
      </c>
      <c r="N1146" s="31">
        <v>4.0</v>
      </c>
      <c r="O1146" s="19" t="s">
        <v>107</v>
      </c>
      <c r="P1146" s="18"/>
      <c r="Q1146" s="18"/>
      <c r="R1146" s="23">
        <v>55.0</v>
      </c>
      <c r="S1146" s="23">
        <v>191.0</v>
      </c>
      <c r="T1146" s="23">
        <f t="shared" si="3"/>
        <v>183.36</v>
      </c>
      <c r="U1146" s="23">
        <f t="shared" si="4"/>
        <v>67.375</v>
      </c>
      <c r="V1146" s="23">
        <f t="shared" si="5"/>
        <v>1263.28125</v>
      </c>
      <c r="W1146" s="24">
        <f t="shared" si="6"/>
        <v>3.333818182</v>
      </c>
    </row>
    <row r="1147">
      <c r="A1147" s="15" t="s">
        <v>7744</v>
      </c>
      <c r="B1147" s="15"/>
      <c r="C1147" s="15" t="s">
        <v>6079</v>
      </c>
      <c r="D1147" s="18"/>
      <c r="E1147" s="17" t="s">
        <v>7745</v>
      </c>
      <c r="F1147" s="18"/>
      <c r="G1147" s="18"/>
      <c r="H1147" s="18"/>
      <c r="I1147" s="18"/>
      <c r="J1147" s="19" t="s">
        <v>59</v>
      </c>
      <c r="K1147" s="33"/>
      <c r="L1147" s="19" t="s">
        <v>38</v>
      </c>
      <c r="M1147" s="20">
        <f t="shared" si="2"/>
        <v>0</v>
      </c>
      <c r="N1147" s="22"/>
      <c r="O1147" s="19" t="s">
        <v>39</v>
      </c>
      <c r="P1147" s="18"/>
      <c r="Q1147" s="18"/>
      <c r="R1147" s="23">
        <v>0.0</v>
      </c>
      <c r="S1147" s="23">
        <v>0.0</v>
      </c>
      <c r="T1147" s="23">
        <f t="shared" si="3"/>
        <v>0</v>
      </c>
      <c r="U1147" s="23">
        <f t="shared" si="4"/>
        <v>0</v>
      </c>
      <c r="V1147" s="23">
        <f t="shared" si="5"/>
        <v>0</v>
      </c>
      <c r="W1147" s="24" t="str">
        <f t="shared" si="6"/>
        <v>#DIV/0!</v>
      </c>
    </row>
    <row r="1148">
      <c r="A1148" s="15" t="s">
        <v>1057</v>
      </c>
      <c r="B1148" s="15" t="s">
        <v>1058</v>
      </c>
      <c r="C1148" s="15" t="s">
        <v>6089</v>
      </c>
      <c r="D1148" s="15" t="s">
        <v>1059</v>
      </c>
      <c r="E1148" s="17" t="s">
        <v>1060</v>
      </c>
      <c r="F1148" s="18"/>
      <c r="G1148" s="15" t="s">
        <v>1061</v>
      </c>
      <c r="H1148" s="15" t="s">
        <v>1062</v>
      </c>
      <c r="I1148" s="18"/>
      <c r="J1148" s="19" t="s">
        <v>59</v>
      </c>
      <c r="K1148" s="19" t="s">
        <v>114</v>
      </c>
      <c r="L1148" s="19" t="s">
        <v>115</v>
      </c>
      <c r="M1148" s="20">
        <f t="shared" si="2"/>
        <v>2912.64</v>
      </c>
      <c r="N1148" s="31">
        <v>4.0</v>
      </c>
      <c r="O1148" s="19" t="s">
        <v>107</v>
      </c>
      <c r="P1148" s="18"/>
      <c r="Q1148" s="18"/>
      <c r="R1148" s="23">
        <v>55.0</v>
      </c>
      <c r="S1148" s="23">
        <v>164.0</v>
      </c>
      <c r="T1148" s="23">
        <f t="shared" si="3"/>
        <v>157.44</v>
      </c>
      <c r="U1148" s="23">
        <f t="shared" si="4"/>
        <v>67.375</v>
      </c>
      <c r="V1148" s="23">
        <f t="shared" si="5"/>
        <v>1263.28125</v>
      </c>
      <c r="W1148" s="24">
        <f t="shared" si="6"/>
        <v>2.862545455</v>
      </c>
    </row>
    <row r="1149">
      <c r="A1149" s="15" t="s">
        <v>906</v>
      </c>
      <c r="B1149" s="15" t="s">
        <v>907</v>
      </c>
      <c r="C1149" s="15" t="s">
        <v>6090</v>
      </c>
      <c r="D1149" s="15" t="s">
        <v>908</v>
      </c>
      <c r="E1149" s="17" t="s">
        <v>909</v>
      </c>
      <c r="F1149" s="18"/>
      <c r="G1149" s="15" t="s">
        <v>910</v>
      </c>
      <c r="H1149" s="15" t="s">
        <v>911</v>
      </c>
      <c r="I1149" s="18"/>
      <c r="J1149" s="19" t="s">
        <v>59</v>
      </c>
      <c r="K1149" s="19" t="s">
        <v>114</v>
      </c>
      <c r="L1149" s="19" t="s">
        <v>115</v>
      </c>
      <c r="M1149" s="20">
        <f t="shared" si="2"/>
        <v>3907.2</v>
      </c>
      <c r="N1149" s="31">
        <v>4.0</v>
      </c>
      <c r="O1149" s="19" t="s">
        <v>107</v>
      </c>
      <c r="P1149" s="18"/>
      <c r="Q1149" s="18"/>
      <c r="R1149" s="23">
        <v>55.0</v>
      </c>
      <c r="S1149" s="23">
        <v>220.0</v>
      </c>
      <c r="T1149" s="23">
        <f t="shared" si="3"/>
        <v>211.2</v>
      </c>
      <c r="U1149" s="23">
        <f t="shared" si="4"/>
        <v>67.375</v>
      </c>
      <c r="V1149" s="23">
        <f t="shared" si="5"/>
        <v>1263.28125</v>
      </c>
      <c r="W1149" s="24">
        <f t="shared" si="6"/>
        <v>3.84</v>
      </c>
    </row>
    <row r="1150">
      <c r="A1150" s="15" t="s">
        <v>1035</v>
      </c>
      <c r="B1150" s="15" t="s">
        <v>1036</v>
      </c>
      <c r="C1150" s="15" t="s">
        <v>6079</v>
      </c>
      <c r="D1150" s="15" t="s">
        <v>1037</v>
      </c>
      <c r="E1150" s="17" t="s">
        <v>1038</v>
      </c>
      <c r="F1150" s="18"/>
      <c r="G1150" s="15" t="s">
        <v>1039</v>
      </c>
      <c r="H1150" s="15" t="s">
        <v>1040</v>
      </c>
      <c r="I1150" s="18"/>
      <c r="J1150" s="19" t="s">
        <v>59</v>
      </c>
      <c r="K1150" s="19" t="s">
        <v>114</v>
      </c>
      <c r="L1150" s="19" t="s">
        <v>115</v>
      </c>
      <c r="M1150" s="20">
        <f t="shared" si="2"/>
        <v>3463.2</v>
      </c>
      <c r="N1150" s="31">
        <v>4.0</v>
      </c>
      <c r="O1150" s="19" t="s">
        <v>107</v>
      </c>
      <c r="P1150" s="18"/>
      <c r="Q1150" s="18"/>
      <c r="R1150" s="23">
        <v>60.0</v>
      </c>
      <c r="S1150" s="23">
        <v>195.0</v>
      </c>
      <c r="T1150" s="23">
        <f t="shared" si="3"/>
        <v>187.2</v>
      </c>
      <c r="U1150" s="23">
        <f t="shared" si="4"/>
        <v>73.5</v>
      </c>
      <c r="V1150" s="23">
        <f t="shared" si="5"/>
        <v>1378.125</v>
      </c>
      <c r="W1150" s="24">
        <f t="shared" si="6"/>
        <v>3.12</v>
      </c>
    </row>
    <row r="1151">
      <c r="A1151" s="15" t="s">
        <v>3021</v>
      </c>
      <c r="B1151" s="18"/>
      <c r="C1151" s="15" t="s">
        <v>7746</v>
      </c>
      <c r="D1151" s="18"/>
      <c r="E1151" s="17" t="s">
        <v>3022</v>
      </c>
      <c r="F1151" s="18"/>
      <c r="G1151" s="18"/>
      <c r="H1151" s="15" t="s">
        <v>3023</v>
      </c>
      <c r="I1151" s="15" t="s">
        <v>3024</v>
      </c>
      <c r="J1151" s="19" t="s">
        <v>59</v>
      </c>
      <c r="K1151" s="19" t="s">
        <v>2387</v>
      </c>
      <c r="L1151" s="19" t="s">
        <v>38</v>
      </c>
      <c r="M1151" s="20">
        <f t="shared" si="2"/>
        <v>0</v>
      </c>
      <c r="N1151" s="22"/>
      <c r="O1151" s="19" t="s">
        <v>1145</v>
      </c>
      <c r="P1151" s="18"/>
      <c r="Q1151" s="18"/>
      <c r="R1151" s="23">
        <v>0.0</v>
      </c>
      <c r="S1151" s="23">
        <v>0.0</v>
      </c>
      <c r="T1151" s="23">
        <f t="shared" si="3"/>
        <v>0</v>
      </c>
      <c r="U1151" s="23">
        <f t="shared" si="4"/>
        <v>0</v>
      </c>
      <c r="V1151" s="23">
        <f t="shared" si="5"/>
        <v>0</v>
      </c>
      <c r="W1151" s="24" t="str">
        <f t="shared" si="6"/>
        <v>#DIV/0!</v>
      </c>
    </row>
    <row r="1152">
      <c r="A1152" s="15" t="s">
        <v>3025</v>
      </c>
      <c r="B1152" s="18"/>
      <c r="C1152" s="15" t="s">
        <v>7747</v>
      </c>
      <c r="D1152" s="18"/>
      <c r="E1152" s="17" t="s">
        <v>3026</v>
      </c>
      <c r="F1152" s="18"/>
      <c r="G1152" s="18"/>
      <c r="H1152" s="15" t="s">
        <v>3027</v>
      </c>
      <c r="I1152" s="15" t="s">
        <v>3028</v>
      </c>
      <c r="J1152" s="19" t="s">
        <v>59</v>
      </c>
      <c r="K1152" s="19" t="s">
        <v>2387</v>
      </c>
      <c r="L1152" s="19" t="s">
        <v>38</v>
      </c>
      <c r="M1152" s="20">
        <f t="shared" si="2"/>
        <v>0</v>
      </c>
      <c r="N1152" s="22"/>
      <c r="O1152" s="19" t="s">
        <v>1145</v>
      </c>
      <c r="P1152" s="18"/>
      <c r="Q1152" s="18"/>
      <c r="R1152" s="23">
        <v>0.0</v>
      </c>
      <c r="S1152" s="23">
        <v>0.0</v>
      </c>
      <c r="T1152" s="23">
        <f t="shared" si="3"/>
        <v>0</v>
      </c>
      <c r="U1152" s="23">
        <f t="shared" si="4"/>
        <v>0</v>
      </c>
      <c r="V1152" s="23">
        <f t="shared" si="5"/>
        <v>0</v>
      </c>
      <c r="W1152" s="24" t="str">
        <f t="shared" si="6"/>
        <v>#DIV/0!</v>
      </c>
    </row>
    <row r="1153">
      <c r="A1153" s="15" t="s">
        <v>7748</v>
      </c>
      <c r="B1153" s="15"/>
      <c r="C1153" s="15" t="s">
        <v>7749</v>
      </c>
      <c r="D1153" s="15"/>
      <c r="E1153" s="17"/>
      <c r="F1153" s="18"/>
      <c r="G1153" s="18"/>
      <c r="H1153" s="15" t="s">
        <v>690</v>
      </c>
      <c r="I1153" s="18"/>
      <c r="J1153" s="19" t="s">
        <v>59</v>
      </c>
      <c r="K1153" s="19" t="s">
        <v>60</v>
      </c>
      <c r="L1153" s="19" t="s">
        <v>38</v>
      </c>
      <c r="M1153" s="20">
        <f t="shared" si="2"/>
        <v>0</v>
      </c>
      <c r="N1153" s="31">
        <v>3.0</v>
      </c>
      <c r="O1153" s="19" t="s">
        <v>39</v>
      </c>
      <c r="P1153" s="18"/>
      <c r="Q1153" s="18"/>
      <c r="R1153" s="23">
        <v>0.0</v>
      </c>
      <c r="S1153" s="23">
        <v>0.0</v>
      </c>
      <c r="T1153" s="23">
        <f t="shared" si="3"/>
        <v>0</v>
      </c>
      <c r="U1153" s="23">
        <f t="shared" si="4"/>
        <v>0</v>
      </c>
      <c r="V1153" s="23">
        <f t="shared" si="5"/>
        <v>0</v>
      </c>
      <c r="W1153" s="24" t="str">
        <f t="shared" si="6"/>
        <v>#DIV/0!</v>
      </c>
    </row>
    <row r="1154">
      <c r="A1154" s="15" t="s">
        <v>3029</v>
      </c>
      <c r="B1154" s="18"/>
      <c r="C1154" s="15" t="s">
        <v>7750</v>
      </c>
      <c r="D1154" s="18"/>
      <c r="E1154" s="17" t="s">
        <v>3030</v>
      </c>
      <c r="F1154" s="18"/>
      <c r="G1154" s="18"/>
      <c r="H1154" s="15" t="s">
        <v>3031</v>
      </c>
      <c r="I1154" s="15" t="s">
        <v>3032</v>
      </c>
      <c r="J1154" s="19" t="s">
        <v>59</v>
      </c>
      <c r="K1154" s="19" t="s">
        <v>691</v>
      </c>
      <c r="L1154" s="19" t="s">
        <v>38</v>
      </c>
      <c r="M1154" s="20">
        <f t="shared" si="2"/>
        <v>0</v>
      </c>
      <c r="N1154" s="22"/>
      <c r="O1154" s="19" t="s">
        <v>1145</v>
      </c>
      <c r="P1154" s="18"/>
      <c r="Q1154" s="18"/>
      <c r="R1154" s="23">
        <v>0.0</v>
      </c>
      <c r="S1154" s="23">
        <v>0.0</v>
      </c>
      <c r="T1154" s="23">
        <f t="shared" si="3"/>
        <v>0</v>
      </c>
      <c r="U1154" s="23">
        <f t="shared" si="4"/>
        <v>0</v>
      </c>
      <c r="V1154" s="23">
        <f t="shared" si="5"/>
        <v>0</v>
      </c>
      <c r="W1154" s="24" t="str">
        <f t="shared" si="6"/>
        <v>#DIV/0!</v>
      </c>
    </row>
    <row r="1155">
      <c r="A1155" s="15" t="s">
        <v>7751</v>
      </c>
      <c r="B1155" s="18"/>
      <c r="C1155" s="15" t="s">
        <v>7752</v>
      </c>
      <c r="D1155" s="18"/>
      <c r="E1155" s="17" t="s">
        <v>3034</v>
      </c>
      <c r="F1155" s="18"/>
      <c r="G1155" s="18"/>
      <c r="H1155" s="15" t="s">
        <v>7753</v>
      </c>
      <c r="I1155" s="15" t="s">
        <v>536</v>
      </c>
      <c r="J1155" s="19" t="s">
        <v>59</v>
      </c>
      <c r="K1155" s="19" t="s">
        <v>2387</v>
      </c>
      <c r="L1155" s="19" t="s">
        <v>38</v>
      </c>
      <c r="M1155" s="20">
        <f t="shared" si="2"/>
        <v>0</v>
      </c>
      <c r="N1155" s="22"/>
      <c r="O1155" s="19" t="s">
        <v>39</v>
      </c>
      <c r="P1155" s="18"/>
      <c r="Q1155" s="18"/>
      <c r="R1155" s="23">
        <v>0.0</v>
      </c>
      <c r="S1155" s="23">
        <v>0.0</v>
      </c>
      <c r="T1155" s="23">
        <f t="shared" si="3"/>
        <v>0</v>
      </c>
      <c r="U1155" s="23">
        <f t="shared" si="4"/>
        <v>0</v>
      </c>
      <c r="V1155" s="23">
        <f t="shared" si="5"/>
        <v>0</v>
      </c>
      <c r="W1155" s="24" t="str">
        <f t="shared" si="6"/>
        <v>#DIV/0!</v>
      </c>
    </row>
    <row r="1156">
      <c r="A1156" s="15" t="s">
        <v>7754</v>
      </c>
      <c r="B1156" s="18"/>
      <c r="C1156" s="15" t="s">
        <v>7755</v>
      </c>
      <c r="D1156" s="18"/>
      <c r="E1156" s="17" t="s">
        <v>3034</v>
      </c>
      <c r="F1156" s="18"/>
      <c r="G1156" s="18"/>
      <c r="H1156" s="15" t="s">
        <v>7756</v>
      </c>
      <c r="I1156" s="15" t="s">
        <v>203</v>
      </c>
      <c r="J1156" s="19" t="s">
        <v>59</v>
      </c>
      <c r="K1156" s="19" t="s">
        <v>2387</v>
      </c>
      <c r="L1156" s="19" t="s">
        <v>38</v>
      </c>
      <c r="M1156" s="20">
        <f t="shared" si="2"/>
        <v>0</v>
      </c>
      <c r="N1156" s="22"/>
      <c r="O1156" s="19" t="s">
        <v>39</v>
      </c>
      <c r="P1156" s="18"/>
      <c r="Q1156" s="18"/>
      <c r="R1156" s="23">
        <v>0.0</v>
      </c>
      <c r="S1156" s="23">
        <v>0.0</v>
      </c>
      <c r="T1156" s="23">
        <f t="shared" si="3"/>
        <v>0</v>
      </c>
      <c r="U1156" s="23">
        <f t="shared" si="4"/>
        <v>0</v>
      </c>
      <c r="V1156" s="23">
        <f t="shared" si="5"/>
        <v>0</v>
      </c>
      <c r="W1156" s="24" t="str">
        <f t="shared" si="6"/>
        <v>#DIV/0!</v>
      </c>
    </row>
    <row r="1157">
      <c r="A1157" s="15" t="s">
        <v>5180</v>
      </c>
      <c r="B1157" s="15" t="str">
        <f>CONCATENATE(7504589,A1157)</f>
        <v>75045892154</v>
      </c>
      <c r="C1157" s="15" t="s">
        <v>7757</v>
      </c>
      <c r="D1157" s="15" t="s">
        <v>5181</v>
      </c>
      <c r="E1157" s="17" t="s">
        <v>5182</v>
      </c>
      <c r="F1157" s="18"/>
      <c r="G1157" s="18"/>
      <c r="H1157" s="15" t="s">
        <v>5183</v>
      </c>
      <c r="I1157" s="15"/>
      <c r="J1157" s="19" t="s">
        <v>59</v>
      </c>
      <c r="K1157" s="19" t="s">
        <v>52</v>
      </c>
      <c r="L1157" s="19" t="s">
        <v>147</v>
      </c>
      <c r="M1157" s="20">
        <f t="shared" si="2"/>
        <v>0</v>
      </c>
      <c r="N1157" s="22"/>
      <c r="O1157" s="19" t="s">
        <v>3578</v>
      </c>
      <c r="P1157" s="18"/>
      <c r="Q1157" s="18"/>
      <c r="R1157" s="23">
        <v>0.0</v>
      </c>
      <c r="S1157" s="23">
        <v>0.0</v>
      </c>
      <c r="T1157" s="23">
        <f t="shared" si="3"/>
        <v>0</v>
      </c>
      <c r="U1157" s="23">
        <f t="shared" si="4"/>
        <v>0</v>
      </c>
      <c r="V1157" s="23">
        <f t="shared" si="5"/>
        <v>0</v>
      </c>
      <c r="W1157" s="24" t="str">
        <f t="shared" si="6"/>
        <v>#DIV/0!</v>
      </c>
    </row>
    <row r="1158">
      <c r="A1158" s="15" t="s">
        <v>3033</v>
      </c>
      <c r="B1158" s="18"/>
      <c r="C1158" s="15" t="s">
        <v>7758</v>
      </c>
      <c r="D1158" s="18"/>
      <c r="E1158" s="17" t="s">
        <v>3034</v>
      </c>
      <c r="F1158" s="18"/>
      <c r="G1158" s="18"/>
      <c r="H1158" s="15" t="s">
        <v>3035</v>
      </c>
      <c r="I1158" s="15" t="s">
        <v>3036</v>
      </c>
      <c r="J1158" s="19" t="s">
        <v>59</v>
      </c>
      <c r="K1158" s="19" t="s">
        <v>2387</v>
      </c>
      <c r="L1158" s="19" t="s">
        <v>38</v>
      </c>
      <c r="M1158" s="20">
        <f t="shared" si="2"/>
        <v>0</v>
      </c>
      <c r="N1158" s="22"/>
      <c r="O1158" s="19" t="s">
        <v>1145</v>
      </c>
      <c r="P1158" s="18"/>
      <c r="Q1158" s="18"/>
      <c r="R1158" s="23">
        <v>0.0</v>
      </c>
      <c r="S1158" s="23">
        <v>0.0</v>
      </c>
      <c r="T1158" s="23">
        <f t="shared" si="3"/>
        <v>0</v>
      </c>
      <c r="U1158" s="23">
        <f t="shared" si="4"/>
        <v>0</v>
      </c>
      <c r="V1158" s="23">
        <f t="shared" si="5"/>
        <v>0</v>
      </c>
      <c r="W1158" s="24" t="str">
        <f t="shared" si="6"/>
        <v>#DIV/0!</v>
      </c>
    </row>
    <row r="1159">
      <c r="A1159" s="15" t="s">
        <v>7759</v>
      </c>
      <c r="B1159" s="18"/>
      <c r="C1159" s="15" t="s">
        <v>7760</v>
      </c>
      <c r="D1159" s="18"/>
      <c r="E1159" s="17" t="s">
        <v>3034</v>
      </c>
      <c r="F1159" s="18"/>
      <c r="G1159" s="18"/>
      <c r="H1159" s="15" t="s">
        <v>7761</v>
      </c>
      <c r="I1159" s="15" t="s">
        <v>351</v>
      </c>
      <c r="J1159" s="19" t="s">
        <v>59</v>
      </c>
      <c r="K1159" s="19" t="s">
        <v>2387</v>
      </c>
      <c r="L1159" s="19" t="s">
        <v>38</v>
      </c>
      <c r="M1159" s="20">
        <f t="shared" si="2"/>
        <v>0</v>
      </c>
      <c r="N1159" s="22"/>
      <c r="O1159" s="19" t="s">
        <v>39</v>
      </c>
      <c r="P1159" s="18"/>
      <c r="Q1159" s="18"/>
      <c r="R1159" s="23">
        <v>0.0</v>
      </c>
      <c r="S1159" s="23">
        <v>0.0</v>
      </c>
      <c r="T1159" s="23">
        <f t="shared" si="3"/>
        <v>0</v>
      </c>
      <c r="U1159" s="23">
        <f t="shared" si="4"/>
        <v>0</v>
      </c>
      <c r="V1159" s="23">
        <f t="shared" si="5"/>
        <v>0</v>
      </c>
      <c r="W1159" s="24" t="str">
        <f t="shared" si="6"/>
        <v>#DIV/0!</v>
      </c>
    </row>
    <row r="1160">
      <c r="A1160" s="15" t="s">
        <v>7762</v>
      </c>
      <c r="B1160" s="18"/>
      <c r="C1160" s="15" t="s">
        <v>7763</v>
      </c>
      <c r="D1160" s="15" t="s">
        <v>7764</v>
      </c>
      <c r="E1160" s="17" t="s">
        <v>3034</v>
      </c>
      <c r="F1160" s="18"/>
      <c r="G1160" s="18"/>
      <c r="H1160" s="15" t="s">
        <v>7765</v>
      </c>
      <c r="I1160" s="15" t="s">
        <v>234</v>
      </c>
      <c r="J1160" s="19" t="s">
        <v>59</v>
      </c>
      <c r="K1160" s="19" t="s">
        <v>2387</v>
      </c>
      <c r="L1160" s="19" t="s">
        <v>38</v>
      </c>
      <c r="M1160" s="20">
        <f t="shared" si="2"/>
        <v>0</v>
      </c>
      <c r="N1160" s="22"/>
      <c r="O1160" s="19" t="s">
        <v>39</v>
      </c>
      <c r="P1160" s="18"/>
      <c r="Q1160" s="18"/>
      <c r="R1160" s="23">
        <v>0.0</v>
      </c>
      <c r="S1160" s="23">
        <v>0.0</v>
      </c>
      <c r="T1160" s="23">
        <f t="shared" si="3"/>
        <v>0</v>
      </c>
      <c r="U1160" s="23">
        <f t="shared" si="4"/>
        <v>0</v>
      </c>
      <c r="V1160" s="23">
        <f t="shared" si="5"/>
        <v>0</v>
      </c>
      <c r="W1160" s="24" t="str">
        <f t="shared" si="6"/>
        <v>#DIV/0!</v>
      </c>
    </row>
    <row r="1161">
      <c r="A1161" s="15" t="s">
        <v>532</v>
      </c>
      <c r="B1161" s="15" t="s">
        <v>533</v>
      </c>
      <c r="C1161" s="15" t="s">
        <v>6037</v>
      </c>
      <c r="D1161" s="15" t="s">
        <v>534</v>
      </c>
      <c r="E1161" s="17" t="s">
        <v>535</v>
      </c>
      <c r="F1161" s="18"/>
      <c r="G1161" s="18"/>
      <c r="H1161" s="15" t="s">
        <v>536</v>
      </c>
      <c r="I1161" s="18"/>
      <c r="J1161" s="19" t="s">
        <v>59</v>
      </c>
      <c r="K1161" s="19" t="s">
        <v>52</v>
      </c>
      <c r="L1161" s="19" t="s">
        <v>147</v>
      </c>
      <c r="M1161" s="20">
        <f t="shared" si="2"/>
        <v>710.4</v>
      </c>
      <c r="N1161" s="31">
        <v>5.0</v>
      </c>
      <c r="O1161" s="19" t="s">
        <v>107</v>
      </c>
      <c r="P1161" s="18"/>
      <c r="Q1161" s="18"/>
      <c r="R1161" s="23">
        <v>6.5</v>
      </c>
      <c r="S1161" s="23">
        <v>40.0</v>
      </c>
      <c r="T1161" s="23">
        <f t="shared" si="3"/>
        <v>38.4</v>
      </c>
      <c r="U1161" s="23">
        <f t="shared" si="4"/>
        <v>7.9625</v>
      </c>
      <c r="V1161" s="23">
        <f t="shared" si="5"/>
        <v>149.296875</v>
      </c>
      <c r="W1161" s="24">
        <f t="shared" si="6"/>
        <v>5.907692308</v>
      </c>
    </row>
    <row r="1162">
      <c r="A1162" s="15" t="s">
        <v>201</v>
      </c>
      <c r="B1162" s="15" t="s">
        <v>202</v>
      </c>
      <c r="C1162" s="15" t="s">
        <v>6038</v>
      </c>
      <c r="D1162" s="15" t="s">
        <v>144</v>
      </c>
      <c r="E1162" s="17" t="s">
        <v>145</v>
      </c>
      <c r="F1162" s="18"/>
      <c r="G1162" s="18"/>
      <c r="H1162" s="15" t="s">
        <v>203</v>
      </c>
      <c r="I1162" s="18"/>
      <c r="J1162" s="19" t="s">
        <v>59</v>
      </c>
      <c r="K1162" s="19" t="s">
        <v>52</v>
      </c>
      <c r="L1162" s="19" t="s">
        <v>147</v>
      </c>
      <c r="M1162" s="20">
        <f t="shared" si="2"/>
        <v>3747.36</v>
      </c>
      <c r="N1162" s="31">
        <v>6.0</v>
      </c>
      <c r="O1162" s="19" t="s">
        <v>107</v>
      </c>
      <c r="P1162" s="18"/>
      <c r="Q1162" s="18"/>
      <c r="R1162" s="23">
        <v>21.0</v>
      </c>
      <c r="S1162" s="23">
        <v>211.0</v>
      </c>
      <c r="T1162" s="23">
        <f t="shared" si="3"/>
        <v>202.56</v>
      </c>
      <c r="U1162" s="23">
        <f t="shared" si="4"/>
        <v>25.725</v>
      </c>
      <c r="V1162" s="23">
        <f t="shared" si="5"/>
        <v>482.34375</v>
      </c>
      <c r="W1162" s="24">
        <f t="shared" si="6"/>
        <v>9.645714286</v>
      </c>
    </row>
    <row r="1163">
      <c r="A1163" s="15" t="s">
        <v>229</v>
      </c>
      <c r="B1163" s="15" t="s">
        <v>230</v>
      </c>
      <c r="C1163" s="15" t="s">
        <v>6039</v>
      </c>
      <c r="D1163" s="15" t="s">
        <v>144</v>
      </c>
      <c r="E1163" s="17" t="s">
        <v>145</v>
      </c>
      <c r="F1163" s="18"/>
      <c r="G1163" s="18"/>
      <c r="H1163" s="15" t="s">
        <v>231</v>
      </c>
      <c r="I1163" s="18"/>
      <c r="J1163" s="19" t="s">
        <v>59</v>
      </c>
      <c r="K1163" s="19" t="s">
        <v>52</v>
      </c>
      <c r="L1163" s="19" t="s">
        <v>147</v>
      </c>
      <c r="M1163" s="20">
        <f t="shared" si="2"/>
        <v>2042.4</v>
      </c>
      <c r="N1163" s="31">
        <v>5.0</v>
      </c>
      <c r="O1163" s="19" t="s">
        <v>107</v>
      </c>
      <c r="P1163" s="18"/>
      <c r="Q1163" s="18"/>
      <c r="R1163" s="23">
        <v>12.0</v>
      </c>
      <c r="S1163" s="23">
        <v>115.0</v>
      </c>
      <c r="T1163" s="23">
        <f t="shared" si="3"/>
        <v>110.4</v>
      </c>
      <c r="U1163" s="23">
        <f t="shared" si="4"/>
        <v>14.7</v>
      </c>
      <c r="V1163" s="23">
        <f t="shared" si="5"/>
        <v>275.625</v>
      </c>
      <c r="W1163" s="24">
        <f t="shared" si="6"/>
        <v>9.2</v>
      </c>
    </row>
    <row r="1164">
      <c r="A1164" s="15" t="s">
        <v>349</v>
      </c>
      <c r="B1164" s="15" t="s">
        <v>350</v>
      </c>
      <c r="C1164" s="15" t="s">
        <v>6040</v>
      </c>
      <c r="D1164" s="15" t="s">
        <v>144</v>
      </c>
      <c r="E1164" s="17" t="s">
        <v>145</v>
      </c>
      <c r="F1164" s="18"/>
      <c r="G1164" s="18"/>
      <c r="H1164" s="15" t="s">
        <v>351</v>
      </c>
      <c r="I1164" s="18"/>
      <c r="J1164" s="19" t="s">
        <v>59</v>
      </c>
      <c r="K1164" s="19" t="s">
        <v>52</v>
      </c>
      <c r="L1164" s="19" t="s">
        <v>147</v>
      </c>
      <c r="M1164" s="20">
        <f t="shared" si="2"/>
        <v>1633.92</v>
      </c>
      <c r="N1164" s="31">
        <v>5.0</v>
      </c>
      <c r="O1164" s="19" t="s">
        <v>107</v>
      </c>
      <c r="P1164" s="18"/>
      <c r="Q1164" s="18"/>
      <c r="R1164" s="23">
        <v>12.0</v>
      </c>
      <c r="S1164" s="23">
        <v>92.0</v>
      </c>
      <c r="T1164" s="23">
        <f t="shared" si="3"/>
        <v>88.32</v>
      </c>
      <c r="U1164" s="23">
        <f t="shared" si="4"/>
        <v>14.7</v>
      </c>
      <c r="V1164" s="23">
        <f t="shared" si="5"/>
        <v>275.625</v>
      </c>
      <c r="W1164" s="24">
        <f t="shared" si="6"/>
        <v>7.36</v>
      </c>
    </row>
    <row r="1165">
      <c r="A1165" s="15" t="s">
        <v>142</v>
      </c>
      <c r="B1165" s="15" t="s">
        <v>143</v>
      </c>
      <c r="C1165" s="15" t="s">
        <v>6041</v>
      </c>
      <c r="D1165" s="15" t="s">
        <v>144</v>
      </c>
      <c r="E1165" s="17" t="s">
        <v>145</v>
      </c>
      <c r="F1165" s="18"/>
      <c r="G1165" s="18"/>
      <c r="H1165" s="15" t="s">
        <v>146</v>
      </c>
      <c r="I1165" s="18"/>
      <c r="J1165" s="19" t="s">
        <v>59</v>
      </c>
      <c r="K1165" s="19" t="s">
        <v>52</v>
      </c>
      <c r="L1165" s="19" t="s">
        <v>147</v>
      </c>
      <c r="M1165" s="20">
        <f t="shared" si="2"/>
        <v>6553.44</v>
      </c>
      <c r="N1165" s="31">
        <v>8.0</v>
      </c>
      <c r="O1165" s="19" t="s">
        <v>107</v>
      </c>
      <c r="P1165" s="18"/>
      <c r="Q1165" s="18"/>
      <c r="R1165" s="23">
        <v>22.0</v>
      </c>
      <c r="S1165" s="23">
        <v>369.0</v>
      </c>
      <c r="T1165" s="23">
        <f t="shared" si="3"/>
        <v>354.24</v>
      </c>
      <c r="U1165" s="23">
        <f t="shared" si="4"/>
        <v>26.95</v>
      </c>
      <c r="V1165" s="23">
        <f t="shared" si="5"/>
        <v>505.3125</v>
      </c>
      <c r="W1165" s="24">
        <f t="shared" si="6"/>
        <v>16.10181818</v>
      </c>
    </row>
    <row r="1166">
      <c r="A1166" s="15" t="s">
        <v>232</v>
      </c>
      <c r="B1166" s="15" t="s">
        <v>233</v>
      </c>
      <c r="C1166" s="15" t="s">
        <v>6042</v>
      </c>
      <c r="D1166" s="15" t="s">
        <v>144</v>
      </c>
      <c r="E1166" s="17" t="s">
        <v>145</v>
      </c>
      <c r="F1166" s="18"/>
      <c r="G1166" s="18"/>
      <c r="H1166" s="15" t="s">
        <v>234</v>
      </c>
      <c r="I1166" s="18"/>
      <c r="J1166" s="19" t="s">
        <v>59</v>
      </c>
      <c r="K1166" s="19" t="s">
        <v>6043</v>
      </c>
      <c r="L1166" s="19" t="s">
        <v>147</v>
      </c>
      <c r="M1166" s="20">
        <f t="shared" si="2"/>
        <v>2042.4</v>
      </c>
      <c r="N1166" s="31">
        <v>6.0</v>
      </c>
      <c r="O1166" s="19" t="s">
        <v>107</v>
      </c>
      <c r="P1166" s="18"/>
      <c r="Q1166" s="18"/>
      <c r="R1166" s="23">
        <v>12.0</v>
      </c>
      <c r="S1166" s="23">
        <v>115.0</v>
      </c>
      <c r="T1166" s="23">
        <f t="shared" si="3"/>
        <v>110.4</v>
      </c>
      <c r="U1166" s="23">
        <f t="shared" si="4"/>
        <v>14.7</v>
      </c>
      <c r="V1166" s="23">
        <f t="shared" si="5"/>
        <v>275.625</v>
      </c>
      <c r="W1166" s="24">
        <f t="shared" si="6"/>
        <v>9.2</v>
      </c>
    </row>
    <row r="1167">
      <c r="A1167" s="15" t="s">
        <v>7766</v>
      </c>
      <c r="B1167" s="18"/>
      <c r="C1167" s="15" t="s">
        <v>7767</v>
      </c>
      <c r="D1167" s="18"/>
      <c r="E1167" s="17" t="s">
        <v>7768</v>
      </c>
      <c r="F1167" s="18"/>
      <c r="G1167" s="18"/>
      <c r="H1167" s="15" t="s">
        <v>7769</v>
      </c>
      <c r="I1167" s="15" t="s">
        <v>638</v>
      </c>
      <c r="J1167" s="19" t="s">
        <v>59</v>
      </c>
      <c r="K1167" s="19" t="s">
        <v>2401</v>
      </c>
      <c r="L1167" s="19" t="s">
        <v>38</v>
      </c>
      <c r="M1167" s="20">
        <f t="shared" si="2"/>
        <v>0</v>
      </c>
      <c r="N1167" s="22"/>
      <c r="O1167" s="19" t="s">
        <v>39</v>
      </c>
      <c r="P1167" s="18"/>
      <c r="Q1167" s="18"/>
      <c r="R1167" s="23">
        <v>0.0</v>
      </c>
      <c r="S1167" s="23">
        <v>0.0</v>
      </c>
      <c r="T1167" s="23">
        <f t="shared" si="3"/>
        <v>0</v>
      </c>
      <c r="U1167" s="23">
        <f t="shared" si="4"/>
        <v>0</v>
      </c>
      <c r="V1167" s="23">
        <f t="shared" si="5"/>
        <v>0</v>
      </c>
      <c r="W1167" s="24" t="str">
        <f t="shared" si="6"/>
        <v>#DIV/0!</v>
      </c>
    </row>
    <row r="1168">
      <c r="A1168" s="15" t="s">
        <v>3037</v>
      </c>
      <c r="B1168" s="18"/>
      <c r="C1168" s="15" t="s">
        <v>7770</v>
      </c>
      <c r="D1168" s="18"/>
      <c r="E1168" s="17" t="s">
        <v>3038</v>
      </c>
      <c r="F1168" s="18"/>
      <c r="G1168" s="18"/>
      <c r="H1168" s="15" t="s">
        <v>3039</v>
      </c>
      <c r="I1168" s="15" t="s">
        <v>3040</v>
      </c>
      <c r="J1168" s="19" t="s">
        <v>59</v>
      </c>
      <c r="K1168" s="19" t="s">
        <v>691</v>
      </c>
      <c r="L1168" s="19" t="s">
        <v>38</v>
      </c>
      <c r="M1168" s="20">
        <f t="shared" si="2"/>
        <v>0</v>
      </c>
      <c r="N1168" s="22"/>
      <c r="O1168" s="19" t="s">
        <v>1145</v>
      </c>
      <c r="P1168" s="18"/>
      <c r="Q1168" s="18"/>
      <c r="R1168" s="23">
        <v>0.0</v>
      </c>
      <c r="S1168" s="23">
        <v>0.0</v>
      </c>
      <c r="T1168" s="23">
        <f t="shared" si="3"/>
        <v>0</v>
      </c>
      <c r="U1168" s="23">
        <f t="shared" si="4"/>
        <v>0</v>
      </c>
      <c r="V1168" s="23">
        <f t="shared" si="5"/>
        <v>0</v>
      </c>
      <c r="W1168" s="24" t="str">
        <f t="shared" si="6"/>
        <v>#DIV/0!</v>
      </c>
    </row>
    <row r="1169">
      <c r="A1169" s="15" t="s">
        <v>3041</v>
      </c>
      <c r="B1169" s="18"/>
      <c r="C1169" s="15" t="s">
        <v>7771</v>
      </c>
      <c r="D1169" s="18"/>
      <c r="E1169" s="17" t="s">
        <v>3042</v>
      </c>
      <c r="F1169" s="18"/>
      <c r="G1169" s="18"/>
      <c r="H1169" s="15" t="s">
        <v>3043</v>
      </c>
      <c r="I1169" s="15" t="s">
        <v>3044</v>
      </c>
      <c r="J1169" s="19" t="s">
        <v>59</v>
      </c>
      <c r="K1169" s="19" t="s">
        <v>2401</v>
      </c>
      <c r="L1169" s="19" t="s">
        <v>38</v>
      </c>
      <c r="M1169" s="20">
        <f t="shared" si="2"/>
        <v>0</v>
      </c>
      <c r="N1169" s="22"/>
      <c r="O1169" s="19" t="s">
        <v>1145</v>
      </c>
      <c r="P1169" s="18"/>
      <c r="Q1169" s="18"/>
      <c r="R1169" s="23">
        <v>0.0</v>
      </c>
      <c r="S1169" s="23">
        <v>0.0</v>
      </c>
      <c r="T1169" s="23">
        <f t="shared" si="3"/>
        <v>0</v>
      </c>
      <c r="U1169" s="23">
        <f t="shared" si="4"/>
        <v>0</v>
      </c>
      <c r="V1169" s="23">
        <f t="shared" si="5"/>
        <v>0</v>
      </c>
      <c r="W1169" s="24" t="str">
        <f t="shared" si="6"/>
        <v>#DIV/0!</v>
      </c>
    </row>
    <row r="1170">
      <c r="A1170" s="15" t="s">
        <v>3045</v>
      </c>
      <c r="B1170" s="18"/>
      <c r="C1170" s="15" t="s">
        <v>7772</v>
      </c>
      <c r="D1170" s="18"/>
      <c r="E1170" s="17" t="s">
        <v>3046</v>
      </c>
      <c r="F1170" s="18"/>
      <c r="G1170" s="18"/>
      <c r="H1170" s="15" t="s">
        <v>3047</v>
      </c>
      <c r="I1170" s="15" t="s">
        <v>3048</v>
      </c>
      <c r="J1170" s="19" t="s">
        <v>59</v>
      </c>
      <c r="K1170" s="19" t="s">
        <v>2401</v>
      </c>
      <c r="L1170" s="19" t="s">
        <v>38</v>
      </c>
      <c r="M1170" s="20">
        <f t="shared" si="2"/>
        <v>0</v>
      </c>
      <c r="N1170" s="22"/>
      <c r="O1170" s="19" t="s">
        <v>1145</v>
      </c>
      <c r="P1170" s="18"/>
      <c r="Q1170" s="18"/>
      <c r="R1170" s="23">
        <v>0.0</v>
      </c>
      <c r="S1170" s="23">
        <v>0.0</v>
      </c>
      <c r="T1170" s="23">
        <f t="shared" si="3"/>
        <v>0</v>
      </c>
      <c r="U1170" s="23">
        <f t="shared" si="4"/>
        <v>0</v>
      </c>
      <c r="V1170" s="23">
        <f t="shared" si="5"/>
        <v>0</v>
      </c>
      <c r="W1170" s="24" t="str">
        <f t="shared" si="6"/>
        <v>#DIV/0!</v>
      </c>
    </row>
    <row r="1171">
      <c r="A1171" s="15" t="s">
        <v>7773</v>
      </c>
      <c r="B1171" s="18"/>
      <c r="C1171" s="15" t="s">
        <v>7774</v>
      </c>
      <c r="D1171" s="18"/>
      <c r="E1171" s="17" t="s">
        <v>7775</v>
      </c>
      <c r="F1171" s="18"/>
      <c r="G1171" s="18"/>
      <c r="H1171" s="15" t="s">
        <v>7776</v>
      </c>
      <c r="I1171" s="15" t="s">
        <v>3818</v>
      </c>
      <c r="J1171" s="19" t="s">
        <v>59</v>
      </c>
      <c r="K1171" s="19" t="s">
        <v>2401</v>
      </c>
      <c r="L1171" s="19" t="s">
        <v>38</v>
      </c>
      <c r="M1171" s="20">
        <f t="shared" si="2"/>
        <v>0</v>
      </c>
      <c r="N1171" s="22"/>
      <c r="O1171" s="19" t="s">
        <v>39</v>
      </c>
      <c r="P1171" s="18"/>
      <c r="Q1171" s="18"/>
      <c r="R1171" s="23">
        <v>0.0</v>
      </c>
      <c r="S1171" s="23">
        <v>0.0</v>
      </c>
      <c r="T1171" s="23">
        <f t="shared" si="3"/>
        <v>0</v>
      </c>
      <c r="U1171" s="23">
        <f t="shared" si="4"/>
        <v>0</v>
      </c>
      <c r="V1171" s="23">
        <f t="shared" si="5"/>
        <v>0</v>
      </c>
      <c r="W1171" s="24" t="str">
        <f t="shared" si="6"/>
        <v>#DIV/0!</v>
      </c>
    </row>
    <row r="1172">
      <c r="A1172" s="15" t="s">
        <v>3049</v>
      </c>
      <c r="B1172" s="18"/>
      <c r="C1172" s="15" t="s">
        <v>7777</v>
      </c>
      <c r="D1172" s="18"/>
      <c r="E1172" s="17" t="s">
        <v>3050</v>
      </c>
      <c r="F1172" s="18"/>
      <c r="G1172" s="18"/>
      <c r="H1172" s="15" t="s">
        <v>3051</v>
      </c>
      <c r="I1172" s="15" t="s">
        <v>3052</v>
      </c>
      <c r="J1172" s="19" t="s">
        <v>59</v>
      </c>
      <c r="K1172" s="19" t="s">
        <v>2401</v>
      </c>
      <c r="L1172" s="19" t="s">
        <v>38</v>
      </c>
      <c r="M1172" s="20">
        <f t="shared" si="2"/>
        <v>0</v>
      </c>
      <c r="N1172" s="22"/>
      <c r="O1172" s="19" t="s">
        <v>1145</v>
      </c>
      <c r="P1172" s="18"/>
      <c r="Q1172" s="18"/>
      <c r="R1172" s="23">
        <v>0.0</v>
      </c>
      <c r="S1172" s="23">
        <v>0.0</v>
      </c>
      <c r="T1172" s="23">
        <f t="shared" si="3"/>
        <v>0</v>
      </c>
      <c r="U1172" s="23">
        <f t="shared" si="4"/>
        <v>0</v>
      </c>
      <c r="V1172" s="23">
        <f t="shared" si="5"/>
        <v>0</v>
      </c>
      <c r="W1172" s="24" t="str">
        <f t="shared" si="6"/>
        <v>#DIV/0!</v>
      </c>
    </row>
    <row r="1173">
      <c r="A1173" s="15" t="s">
        <v>7778</v>
      </c>
      <c r="B1173" s="18"/>
      <c r="C1173" s="15" t="s">
        <v>7779</v>
      </c>
      <c r="D1173" s="18"/>
      <c r="E1173" s="17" t="s">
        <v>7780</v>
      </c>
      <c r="F1173" s="18"/>
      <c r="G1173" s="18"/>
      <c r="H1173" s="15" t="s">
        <v>7781</v>
      </c>
      <c r="I1173" s="15" t="s">
        <v>672</v>
      </c>
      <c r="J1173" s="19" t="s">
        <v>59</v>
      </c>
      <c r="K1173" s="19" t="s">
        <v>2401</v>
      </c>
      <c r="L1173" s="19" t="s">
        <v>38</v>
      </c>
      <c r="M1173" s="20">
        <f t="shared" si="2"/>
        <v>0</v>
      </c>
      <c r="N1173" s="22"/>
      <c r="O1173" s="19" t="s">
        <v>39</v>
      </c>
      <c r="P1173" s="18"/>
      <c r="Q1173" s="18"/>
      <c r="R1173" s="23">
        <v>0.0</v>
      </c>
      <c r="S1173" s="23">
        <v>0.0</v>
      </c>
      <c r="T1173" s="23">
        <f t="shared" si="3"/>
        <v>0</v>
      </c>
      <c r="U1173" s="23">
        <f t="shared" si="4"/>
        <v>0</v>
      </c>
      <c r="V1173" s="23">
        <f t="shared" si="5"/>
        <v>0</v>
      </c>
      <c r="W1173" s="24" t="str">
        <f t="shared" si="6"/>
        <v>#DIV/0!</v>
      </c>
    </row>
    <row r="1174">
      <c r="A1174" s="15" t="s">
        <v>7782</v>
      </c>
      <c r="B1174" s="18"/>
      <c r="C1174" s="15" t="s">
        <v>7783</v>
      </c>
      <c r="D1174" s="18"/>
      <c r="E1174" s="17" t="s">
        <v>7780</v>
      </c>
      <c r="F1174" s="18"/>
      <c r="G1174" s="18"/>
      <c r="H1174" s="15" t="s">
        <v>7784</v>
      </c>
      <c r="I1174" s="15" t="s">
        <v>876</v>
      </c>
      <c r="J1174" s="19" t="s">
        <v>59</v>
      </c>
      <c r="K1174" s="19" t="s">
        <v>2401</v>
      </c>
      <c r="L1174" s="19" t="s">
        <v>38</v>
      </c>
      <c r="M1174" s="20">
        <f t="shared" si="2"/>
        <v>0</v>
      </c>
      <c r="N1174" s="22"/>
      <c r="O1174" s="19" t="s">
        <v>39</v>
      </c>
      <c r="P1174" s="18"/>
      <c r="Q1174" s="18"/>
      <c r="R1174" s="23">
        <v>0.0</v>
      </c>
      <c r="S1174" s="23">
        <v>0.0</v>
      </c>
      <c r="T1174" s="23">
        <f t="shared" si="3"/>
        <v>0</v>
      </c>
      <c r="U1174" s="23">
        <f t="shared" si="4"/>
        <v>0</v>
      </c>
      <c r="V1174" s="23">
        <f t="shared" si="5"/>
        <v>0</v>
      </c>
      <c r="W1174" s="24" t="str">
        <f t="shared" si="6"/>
        <v>#DIV/0!</v>
      </c>
    </row>
    <row r="1175">
      <c r="A1175" s="15" t="s">
        <v>7785</v>
      </c>
      <c r="B1175" s="18"/>
      <c r="C1175" s="15" t="s">
        <v>7786</v>
      </c>
      <c r="D1175" s="18"/>
      <c r="E1175" s="17" t="s">
        <v>7787</v>
      </c>
      <c r="F1175" s="18"/>
      <c r="G1175" s="18"/>
      <c r="H1175" s="15" t="s">
        <v>7788</v>
      </c>
      <c r="I1175" s="15" t="s">
        <v>3864</v>
      </c>
      <c r="J1175" s="19" t="s">
        <v>59</v>
      </c>
      <c r="K1175" s="19" t="s">
        <v>2396</v>
      </c>
      <c r="L1175" s="19" t="s">
        <v>38</v>
      </c>
      <c r="M1175" s="20">
        <f t="shared" si="2"/>
        <v>0</v>
      </c>
      <c r="N1175" s="22"/>
      <c r="O1175" s="19" t="s">
        <v>39</v>
      </c>
      <c r="P1175" s="18"/>
      <c r="Q1175" s="18"/>
      <c r="R1175" s="23">
        <v>0.0</v>
      </c>
      <c r="S1175" s="23">
        <v>0.0</v>
      </c>
      <c r="T1175" s="23">
        <f t="shared" si="3"/>
        <v>0</v>
      </c>
      <c r="U1175" s="23">
        <f t="shared" si="4"/>
        <v>0</v>
      </c>
      <c r="V1175" s="23">
        <f t="shared" si="5"/>
        <v>0</v>
      </c>
      <c r="W1175" s="24" t="str">
        <f t="shared" si="6"/>
        <v>#DIV/0!</v>
      </c>
    </row>
    <row r="1176">
      <c r="A1176" s="15" t="s">
        <v>3053</v>
      </c>
      <c r="B1176" s="18"/>
      <c r="C1176" s="15" t="s">
        <v>7789</v>
      </c>
      <c r="D1176" s="18"/>
      <c r="E1176" s="17" t="s">
        <v>3054</v>
      </c>
      <c r="F1176" s="18"/>
      <c r="G1176" s="18"/>
      <c r="H1176" s="15" t="s">
        <v>3055</v>
      </c>
      <c r="I1176" s="15" t="s">
        <v>3056</v>
      </c>
      <c r="J1176" s="19" t="s">
        <v>59</v>
      </c>
      <c r="K1176" s="19" t="s">
        <v>2401</v>
      </c>
      <c r="L1176" s="19" t="s">
        <v>38</v>
      </c>
      <c r="M1176" s="20">
        <f t="shared" si="2"/>
        <v>0</v>
      </c>
      <c r="N1176" s="22"/>
      <c r="O1176" s="19" t="s">
        <v>1145</v>
      </c>
      <c r="P1176" s="18"/>
      <c r="Q1176" s="18"/>
      <c r="R1176" s="23">
        <v>0.0</v>
      </c>
      <c r="S1176" s="23">
        <v>0.0</v>
      </c>
      <c r="T1176" s="23">
        <f t="shared" si="3"/>
        <v>0</v>
      </c>
      <c r="U1176" s="23">
        <f t="shared" si="4"/>
        <v>0</v>
      </c>
      <c r="V1176" s="23">
        <f t="shared" si="5"/>
        <v>0</v>
      </c>
      <c r="W1176" s="24" t="str">
        <f t="shared" si="6"/>
        <v>#DIV/0!</v>
      </c>
    </row>
    <row r="1177">
      <c r="A1177" s="15" t="s">
        <v>7790</v>
      </c>
      <c r="B1177" s="18"/>
      <c r="C1177" s="15" t="s">
        <v>7791</v>
      </c>
      <c r="D1177" s="18"/>
      <c r="E1177" s="17" t="s">
        <v>3054</v>
      </c>
      <c r="F1177" s="18"/>
      <c r="G1177" s="18"/>
      <c r="H1177" s="15" t="s">
        <v>7792</v>
      </c>
      <c r="I1177" s="15" t="s">
        <v>3879</v>
      </c>
      <c r="J1177" s="19" t="s">
        <v>59</v>
      </c>
      <c r="K1177" s="19" t="s">
        <v>2401</v>
      </c>
      <c r="L1177" s="19" t="s">
        <v>38</v>
      </c>
      <c r="M1177" s="20">
        <f t="shared" si="2"/>
        <v>0</v>
      </c>
      <c r="N1177" s="22"/>
      <c r="O1177" s="19" t="s">
        <v>39</v>
      </c>
      <c r="P1177" s="18"/>
      <c r="Q1177" s="18"/>
      <c r="R1177" s="23">
        <v>0.0</v>
      </c>
      <c r="S1177" s="23">
        <v>0.0</v>
      </c>
      <c r="T1177" s="23">
        <f t="shared" si="3"/>
        <v>0</v>
      </c>
      <c r="U1177" s="23">
        <f t="shared" si="4"/>
        <v>0</v>
      </c>
      <c r="V1177" s="23">
        <f t="shared" si="5"/>
        <v>0</v>
      </c>
      <c r="W1177" s="24" t="str">
        <f t="shared" si="6"/>
        <v>#DIV/0!</v>
      </c>
    </row>
    <row r="1178">
      <c r="A1178" s="15" t="s">
        <v>3057</v>
      </c>
      <c r="B1178" s="18"/>
      <c r="C1178" s="15" t="s">
        <v>7793</v>
      </c>
      <c r="D1178" s="18"/>
      <c r="E1178" s="17" t="s">
        <v>3058</v>
      </c>
      <c r="F1178" s="18"/>
      <c r="G1178" s="18"/>
      <c r="H1178" s="15" t="s">
        <v>3059</v>
      </c>
      <c r="I1178" s="15" t="s">
        <v>3060</v>
      </c>
      <c r="J1178" s="19" t="s">
        <v>59</v>
      </c>
      <c r="K1178" s="19" t="s">
        <v>2401</v>
      </c>
      <c r="L1178" s="19" t="s">
        <v>38</v>
      </c>
      <c r="M1178" s="20">
        <f t="shared" si="2"/>
        <v>0</v>
      </c>
      <c r="N1178" s="22"/>
      <c r="O1178" s="19" t="s">
        <v>1145</v>
      </c>
      <c r="P1178" s="18"/>
      <c r="Q1178" s="18"/>
      <c r="R1178" s="23">
        <v>0.0</v>
      </c>
      <c r="S1178" s="23">
        <v>0.0</v>
      </c>
      <c r="T1178" s="23">
        <f t="shared" si="3"/>
        <v>0</v>
      </c>
      <c r="U1178" s="23">
        <f t="shared" si="4"/>
        <v>0</v>
      </c>
      <c r="V1178" s="23">
        <f t="shared" si="5"/>
        <v>0</v>
      </c>
      <c r="W1178" s="24" t="str">
        <f t="shared" si="6"/>
        <v>#DIV/0!</v>
      </c>
    </row>
    <row r="1179">
      <c r="A1179" s="15" t="s">
        <v>3061</v>
      </c>
      <c r="B1179" s="18"/>
      <c r="C1179" s="15" t="s">
        <v>7794</v>
      </c>
      <c r="D1179" s="18"/>
      <c r="E1179" s="17" t="s">
        <v>3062</v>
      </c>
      <c r="F1179" s="18"/>
      <c r="G1179" s="18"/>
      <c r="H1179" s="15" t="s">
        <v>3063</v>
      </c>
      <c r="I1179" s="15" t="s">
        <v>3064</v>
      </c>
      <c r="J1179" s="19" t="s">
        <v>59</v>
      </c>
      <c r="K1179" s="19" t="s">
        <v>2401</v>
      </c>
      <c r="L1179" s="19" t="s">
        <v>38</v>
      </c>
      <c r="M1179" s="20">
        <f t="shared" si="2"/>
        <v>0</v>
      </c>
      <c r="N1179" s="22"/>
      <c r="O1179" s="19" t="s">
        <v>1145</v>
      </c>
      <c r="P1179" s="18"/>
      <c r="Q1179" s="18"/>
      <c r="R1179" s="23">
        <v>0.0</v>
      </c>
      <c r="S1179" s="23">
        <v>0.0</v>
      </c>
      <c r="T1179" s="23">
        <f t="shared" si="3"/>
        <v>0</v>
      </c>
      <c r="U1179" s="23">
        <f t="shared" si="4"/>
        <v>0</v>
      </c>
      <c r="V1179" s="23">
        <f t="shared" si="5"/>
        <v>0</v>
      </c>
      <c r="W1179" s="24" t="str">
        <f t="shared" si="6"/>
        <v>#DIV/0!</v>
      </c>
    </row>
    <row r="1180">
      <c r="A1180" s="15" t="s">
        <v>7795</v>
      </c>
      <c r="B1180" s="18"/>
      <c r="C1180" s="15" t="s">
        <v>7796</v>
      </c>
      <c r="D1180" s="18"/>
      <c r="E1180" s="17" t="s">
        <v>7797</v>
      </c>
      <c r="F1180" s="18"/>
      <c r="G1180" s="18"/>
      <c r="H1180" s="15" t="s">
        <v>7798</v>
      </c>
      <c r="I1180" s="15" t="s">
        <v>3823</v>
      </c>
      <c r="J1180" s="19" t="s">
        <v>59</v>
      </c>
      <c r="K1180" s="19" t="s">
        <v>691</v>
      </c>
      <c r="L1180" s="19" t="s">
        <v>38</v>
      </c>
      <c r="M1180" s="20">
        <f t="shared" si="2"/>
        <v>0</v>
      </c>
      <c r="N1180" s="22"/>
      <c r="O1180" s="19" t="s">
        <v>39</v>
      </c>
      <c r="P1180" s="18"/>
      <c r="Q1180" s="18"/>
      <c r="R1180" s="23">
        <v>0.0</v>
      </c>
      <c r="S1180" s="23">
        <v>0.0</v>
      </c>
      <c r="T1180" s="23">
        <f t="shared" si="3"/>
        <v>0</v>
      </c>
      <c r="U1180" s="23">
        <f t="shared" si="4"/>
        <v>0</v>
      </c>
      <c r="V1180" s="23">
        <f t="shared" si="5"/>
        <v>0</v>
      </c>
      <c r="W1180" s="24" t="str">
        <f t="shared" si="6"/>
        <v>#DIV/0!</v>
      </c>
    </row>
    <row r="1181">
      <c r="A1181" s="15" t="s">
        <v>5184</v>
      </c>
      <c r="B1181" s="18"/>
      <c r="C1181" s="15" t="s">
        <v>7799</v>
      </c>
      <c r="D1181" s="18"/>
      <c r="E1181" s="17" t="s">
        <v>7800</v>
      </c>
      <c r="F1181" s="18"/>
      <c r="G1181" s="18"/>
      <c r="H1181" s="15" t="s">
        <v>7801</v>
      </c>
      <c r="I1181" s="15" t="s">
        <v>5187</v>
      </c>
      <c r="J1181" s="19" t="s">
        <v>59</v>
      </c>
      <c r="K1181" s="19" t="s">
        <v>691</v>
      </c>
      <c r="L1181" s="19" t="s">
        <v>38</v>
      </c>
      <c r="M1181" s="20">
        <f t="shared" si="2"/>
        <v>0</v>
      </c>
      <c r="N1181" s="22"/>
      <c r="O1181" s="19" t="s">
        <v>1145</v>
      </c>
      <c r="P1181" s="18"/>
      <c r="Q1181" s="18"/>
      <c r="R1181" s="23">
        <v>0.0</v>
      </c>
      <c r="S1181" s="23">
        <v>0.0</v>
      </c>
      <c r="T1181" s="23">
        <f t="shared" si="3"/>
        <v>0</v>
      </c>
      <c r="U1181" s="23">
        <f t="shared" si="4"/>
        <v>0</v>
      </c>
      <c r="V1181" s="23">
        <f t="shared" si="5"/>
        <v>0</v>
      </c>
      <c r="W1181" s="24" t="str">
        <f t="shared" si="6"/>
        <v>#DIV/0!</v>
      </c>
    </row>
    <row r="1182">
      <c r="A1182" s="15" t="s">
        <v>7802</v>
      </c>
      <c r="B1182" s="18"/>
      <c r="C1182" s="15" t="s">
        <v>7803</v>
      </c>
      <c r="D1182" s="18"/>
      <c r="E1182" s="17" t="s">
        <v>7804</v>
      </c>
      <c r="F1182" s="18"/>
      <c r="G1182" s="18"/>
      <c r="H1182" s="15" t="s">
        <v>7805</v>
      </c>
      <c r="I1182" s="15" t="s">
        <v>4075</v>
      </c>
      <c r="J1182" s="19" t="s">
        <v>59</v>
      </c>
      <c r="K1182" s="19" t="s">
        <v>2401</v>
      </c>
      <c r="L1182" s="19" t="s">
        <v>38</v>
      </c>
      <c r="M1182" s="20">
        <f t="shared" si="2"/>
        <v>0</v>
      </c>
      <c r="N1182" s="22"/>
      <c r="O1182" s="19" t="s">
        <v>39</v>
      </c>
      <c r="P1182" s="18"/>
      <c r="Q1182" s="18"/>
      <c r="R1182" s="23">
        <v>0.0</v>
      </c>
      <c r="S1182" s="23">
        <v>0.0</v>
      </c>
      <c r="T1182" s="23">
        <f t="shared" si="3"/>
        <v>0</v>
      </c>
      <c r="U1182" s="23">
        <f t="shared" si="4"/>
        <v>0</v>
      </c>
      <c r="V1182" s="23">
        <f t="shared" si="5"/>
        <v>0</v>
      </c>
      <c r="W1182" s="24" t="str">
        <f t="shared" si="6"/>
        <v>#DIV/0!</v>
      </c>
    </row>
    <row r="1183">
      <c r="A1183" s="15" t="s">
        <v>651</v>
      </c>
      <c r="B1183" s="15" t="s">
        <v>652</v>
      </c>
      <c r="C1183" s="15" t="s">
        <v>6044</v>
      </c>
      <c r="D1183" s="15" t="s">
        <v>653</v>
      </c>
      <c r="E1183" s="17" t="s">
        <v>654</v>
      </c>
      <c r="F1183" s="18"/>
      <c r="G1183" s="15" t="s">
        <v>655</v>
      </c>
      <c r="H1183" s="15" t="s">
        <v>656</v>
      </c>
      <c r="I1183" s="18"/>
      <c r="J1183" s="19" t="s">
        <v>59</v>
      </c>
      <c r="K1183" s="33"/>
      <c r="L1183" s="19" t="s">
        <v>292</v>
      </c>
      <c r="M1183" s="20">
        <f t="shared" si="2"/>
        <v>3694.08</v>
      </c>
      <c r="N1183" s="31">
        <v>3.0</v>
      </c>
      <c r="O1183" s="19" t="s">
        <v>107</v>
      </c>
      <c r="P1183" s="18"/>
      <c r="Q1183" s="18"/>
      <c r="R1183" s="23">
        <v>40.0</v>
      </c>
      <c r="S1183" s="23">
        <v>208.0</v>
      </c>
      <c r="T1183" s="23">
        <f t="shared" si="3"/>
        <v>199.68</v>
      </c>
      <c r="U1183" s="23">
        <f t="shared" si="4"/>
        <v>49</v>
      </c>
      <c r="V1183" s="23">
        <f t="shared" si="5"/>
        <v>918.75</v>
      </c>
      <c r="W1183" s="24">
        <f t="shared" si="6"/>
        <v>4.992</v>
      </c>
    </row>
    <row r="1184">
      <c r="A1184" s="15" t="s">
        <v>254</v>
      </c>
      <c r="B1184" s="15" t="s">
        <v>255</v>
      </c>
      <c r="C1184" s="15" t="s">
        <v>7807</v>
      </c>
      <c r="D1184" s="15" t="s">
        <v>256</v>
      </c>
      <c r="E1184" s="17" t="s">
        <v>257</v>
      </c>
      <c r="F1184" s="18"/>
      <c r="G1184" s="18"/>
      <c r="H1184" s="15" t="s">
        <v>258</v>
      </c>
      <c r="I1184" s="18"/>
      <c r="J1184" s="19" t="s">
        <v>59</v>
      </c>
      <c r="K1184" s="19" t="s">
        <v>60</v>
      </c>
      <c r="L1184" s="19" t="s">
        <v>52</v>
      </c>
      <c r="M1184" s="20">
        <f t="shared" si="2"/>
        <v>11988</v>
      </c>
      <c r="N1184" s="31">
        <v>2.0</v>
      </c>
      <c r="O1184" s="19" t="s">
        <v>107</v>
      </c>
      <c r="P1184" s="18"/>
      <c r="Q1184" s="18"/>
      <c r="R1184" s="23">
        <v>75.0</v>
      </c>
      <c r="S1184" s="23">
        <v>675.0</v>
      </c>
      <c r="T1184" s="23">
        <f t="shared" si="3"/>
        <v>648</v>
      </c>
      <c r="U1184" s="23">
        <f t="shared" si="4"/>
        <v>91.875</v>
      </c>
      <c r="V1184" s="23">
        <f t="shared" si="5"/>
        <v>1722.65625</v>
      </c>
      <c r="W1184" s="24">
        <f t="shared" si="6"/>
        <v>8.64</v>
      </c>
    </row>
    <row r="1185">
      <c r="A1185" s="15" t="s">
        <v>3065</v>
      </c>
      <c r="B1185" s="18"/>
      <c r="C1185" s="15" t="s">
        <v>7808</v>
      </c>
      <c r="D1185" s="18"/>
      <c r="E1185" s="17" t="s">
        <v>3066</v>
      </c>
      <c r="F1185" s="18"/>
      <c r="G1185" s="18"/>
      <c r="H1185" s="15" t="s">
        <v>3067</v>
      </c>
      <c r="I1185" s="15" t="s">
        <v>3068</v>
      </c>
      <c r="J1185" s="19" t="s">
        <v>59</v>
      </c>
      <c r="K1185" s="19" t="s">
        <v>691</v>
      </c>
      <c r="L1185" s="19" t="s">
        <v>38</v>
      </c>
      <c r="M1185" s="20">
        <f t="shared" si="2"/>
        <v>0</v>
      </c>
      <c r="N1185" s="22"/>
      <c r="O1185" s="19" t="s">
        <v>1145</v>
      </c>
      <c r="P1185" s="18"/>
      <c r="Q1185" s="18"/>
      <c r="R1185" s="23">
        <v>0.0</v>
      </c>
      <c r="S1185" s="23">
        <v>0.0</v>
      </c>
      <c r="T1185" s="23">
        <f t="shared" si="3"/>
        <v>0</v>
      </c>
      <c r="U1185" s="23">
        <f t="shared" si="4"/>
        <v>0</v>
      </c>
      <c r="V1185" s="23">
        <f t="shared" si="5"/>
        <v>0</v>
      </c>
      <c r="W1185" s="24" t="str">
        <f t="shared" si="6"/>
        <v>#DIV/0!</v>
      </c>
    </row>
    <row r="1186">
      <c r="A1186" s="15" t="s">
        <v>685</v>
      </c>
      <c r="B1186" s="15" t="s">
        <v>686</v>
      </c>
      <c r="C1186" s="15" t="s">
        <v>6045</v>
      </c>
      <c r="D1186" s="15" t="s">
        <v>687</v>
      </c>
      <c r="E1186" s="17" t="s">
        <v>688</v>
      </c>
      <c r="F1186" s="18"/>
      <c r="G1186" s="15" t="s">
        <v>689</v>
      </c>
      <c r="H1186" s="15" t="s">
        <v>690</v>
      </c>
      <c r="I1186" s="15"/>
      <c r="J1186" s="19" t="s">
        <v>59</v>
      </c>
      <c r="K1186" s="19" t="s">
        <v>691</v>
      </c>
      <c r="L1186" s="19" t="s">
        <v>38</v>
      </c>
      <c r="M1186" s="20">
        <f t="shared" si="2"/>
        <v>10283.04</v>
      </c>
      <c r="N1186" s="31">
        <v>3.0</v>
      </c>
      <c r="O1186" s="19" t="s">
        <v>107</v>
      </c>
      <c r="P1186" s="18"/>
      <c r="Q1186" s="18"/>
      <c r="R1186" s="23">
        <v>115.0</v>
      </c>
      <c r="S1186" s="23">
        <v>579.0</v>
      </c>
      <c r="T1186" s="23">
        <f t="shared" si="3"/>
        <v>555.84</v>
      </c>
      <c r="U1186" s="23">
        <f t="shared" si="4"/>
        <v>140.875</v>
      </c>
      <c r="V1186" s="23">
        <f t="shared" si="5"/>
        <v>2641.40625</v>
      </c>
      <c r="W1186" s="24">
        <f t="shared" si="6"/>
        <v>4.833391304</v>
      </c>
    </row>
    <row r="1187">
      <c r="A1187" s="15" t="s">
        <v>931</v>
      </c>
      <c r="B1187" s="15" t="s">
        <v>932</v>
      </c>
      <c r="C1187" s="15" t="s">
        <v>6109</v>
      </c>
      <c r="D1187" s="15" t="s">
        <v>933</v>
      </c>
      <c r="E1187" s="17" t="s">
        <v>934</v>
      </c>
      <c r="F1187" s="18"/>
      <c r="G1187" s="18"/>
      <c r="H1187" s="15" t="s">
        <v>935</v>
      </c>
      <c r="I1187" s="18"/>
      <c r="J1187" s="19" t="s">
        <v>59</v>
      </c>
      <c r="K1187" s="19" t="s">
        <v>60</v>
      </c>
      <c r="L1187" s="19" t="s">
        <v>38</v>
      </c>
      <c r="M1187" s="20">
        <f t="shared" si="2"/>
        <v>745.92</v>
      </c>
      <c r="N1187" s="31">
        <v>10.0</v>
      </c>
      <c r="O1187" s="19" t="s">
        <v>107</v>
      </c>
      <c r="P1187" s="18"/>
      <c r="Q1187" s="18"/>
      <c r="R1187" s="23">
        <v>11.0</v>
      </c>
      <c r="S1187" s="23">
        <v>42.0</v>
      </c>
      <c r="T1187" s="23">
        <f t="shared" si="3"/>
        <v>40.32</v>
      </c>
      <c r="U1187" s="23">
        <f t="shared" si="4"/>
        <v>13.475</v>
      </c>
      <c r="V1187" s="23">
        <f t="shared" si="5"/>
        <v>252.65625</v>
      </c>
      <c r="W1187" s="24">
        <f t="shared" si="6"/>
        <v>3.665454545</v>
      </c>
    </row>
    <row r="1188">
      <c r="A1188" s="15" t="s">
        <v>7809</v>
      </c>
      <c r="B1188" s="18"/>
      <c r="C1188" s="18"/>
      <c r="D1188" s="18"/>
      <c r="E1188" s="17" t="s">
        <v>7810</v>
      </c>
      <c r="F1188" s="18"/>
      <c r="G1188" s="18"/>
      <c r="H1188" s="18"/>
      <c r="I1188" s="18"/>
      <c r="J1188" s="19" t="s">
        <v>59</v>
      </c>
      <c r="K1188" s="33"/>
      <c r="L1188" s="19" t="s">
        <v>38</v>
      </c>
      <c r="M1188" s="20">
        <f t="shared" si="2"/>
        <v>0</v>
      </c>
      <c r="N1188" s="22"/>
      <c r="O1188" s="19" t="s">
        <v>39</v>
      </c>
      <c r="P1188" s="18"/>
      <c r="Q1188" s="18"/>
      <c r="R1188" s="23">
        <v>0.0</v>
      </c>
      <c r="S1188" s="23">
        <v>0.0</v>
      </c>
      <c r="T1188" s="23">
        <f t="shared" si="3"/>
        <v>0</v>
      </c>
      <c r="U1188" s="23">
        <f t="shared" si="4"/>
        <v>0</v>
      </c>
      <c r="V1188" s="23">
        <f t="shared" si="5"/>
        <v>0</v>
      </c>
      <c r="W1188" s="24" t="str">
        <f t="shared" si="6"/>
        <v>#DIV/0!</v>
      </c>
    </row>
    <row r="1189">
      <c r="A1189" s="15" t="s">
        <v>441</v>
      </c>
      <c r="B1189" s="15" t="s">
        <v>442</v>
      </c>
      <c r="C1189" s="15" t="s">
        <v>6110</v>
      </c>
      <c r="D1189" s="15" t="s">
        <v>443</v>
      </c>
      <c r="E1189" s="17" t="s">
        <v>444</v>
      </c>
      <c r="F1189" s="18"/>
      <c r="G1189" s="18"/>
      <c r="H1189" s="15" t="s">
        <v>445</v>
      </c>
      <c r="I1189" s="18"/>
      <c r="J1189" s="19" t="s">
        <v>59</v>
      </c>
      <c r="K1189" s="19" t="s">
        <v>60</v>
      </c>
      <c r="L1189" s="19" t="s">
        <v>38</v>
      </c>
      <c r="M1189" s="20">
        <f t="shared" si="2"/>
        <v>1243.2</v>
      </c>
      <c r="N1189" s="31">
        <v>13.0</v>
      </c>
      <c r="O1189" s="19" t="s">
        <v>107</v>
      </c>
      <c r="P1189" s="18"/>
      <c r="Q1189" s="18"/>
      <c r="R1189" s="23">
        <v>10.0</v>
      </c>
      <c r="S1189" s="23">
        <v>70.0</v>
      </c>
      <c r="T1189" s="23">
        <f t="shared" si="3"/>
        <v>67.2</v>
      </c>
      <c r="U1189" s="23">
        <f t="shared" si="4"/>
        <v>12.25</v>
      </c>
      <c r="V1189" s="23">
        <f t="shared" si="5"/>
        <v>229.6875</v>
      </c>
      <c r="W1189" s="24">
        <f t="shared" si="6"/>
        <v>6.72</v>
      </c>
    </row>
    <row r="1190">
      <c r="A1190" s="15" t="s">
        <v>3069</v>
      </c>
      <c r="B1190" s="18"/>
      <c r="C1190" s="15" t="s">
        <v>7811</v>
      </c>
      <c r="D1190" s="18"/>
      <c r="E1190" s="17" t="s">
        <v>3070</v>
      </c>
      <c r="F1190" s="18"/>
      <c r="G1190" s="18"/>
      <c r="H1190" s="15" t="s">
        <v>3071</v>
      </c>
      <c r="I1190" s="15" t="s">
        <v>3072</v>
      </c>
      <c r="J1190" s="19" t="s">
        <v>59</v>
      </c>
      <c r="K1190" s="19" t="s">
        <v>2387</v>
      </c>
      <c r="L1190" s="19" t="s">
        <v>38</v>
      </c>
      <c r="M1190" s="20">
        <f t="shared" si="2"/>
        <v>0</v>
      </c>
      <c r="N1190" s="22"/>
      <c r="O1190" s="19" t="s">
        <v>1145</v>
      </c>
      <c r="P1190" s="18"/>
      <c r="Q1190" s="18"/>
      <c r="R1190" s="23">
        <v>0.0</v>
      </c>
      <c r="S1190" s="23">
        <v>0.0</v>
      </c>
      <c r="T1190" s="23">
        <f t="shared" si="3"/>
        <v>0</v>
      </c>
      <c r="U1190" s="23">
        <f t="shared" si="4"/>
        <v>0</v>
      </c>
      <c r="V1190" s="23">
        <f t="shared" si="5"/>
        <v>0</v>
      </c>
      <c r="W1190" s="24" t="str">
        <f t="shared" si="6"/>
        <v>#DIV/0!</v>
      </c>
    </row>
    <row r="1191">
      <c r="A1191" s="15" t="s">
        <v>7812</v>
      </c>
      <c r="B1191" s="18"/>
      <c r="C1191" s="15" t="s">
        <v>7813</v>
      </c>
      <c r="D1191" s="18"/>
      <c r="E1191" s="17" t="s">
        <v>7814</v>
      </c>
      <c r="F1191" s="18"/>
      <c r="G1191" s="18"/>
      <c r="H1191" s="15" t="s">
        <v>7815</v>
      </c>
      <c r="I1191" s="15" t="s">
        <v>4169</v>
      </c>
      <c r="J1191" s="19" t="s">
        <v>59</v>
      </c>
      <c r="K1191" s="19" t="s">
        <v>2387</v>
      </c>
      <c r="L1191" s="19" t="s">
        <v>38</v>
      </c>
      <c r="M1191" s="20">
        <f t="shared" si="2"/>
        <v>0</v>
      </c>
      <c r="N1191" s="22"/>
      <c r="O1191" s="19" t="s">
        <v>39</v>
      </c>
      <c r="P1191" s="18"/>
      <c r="Q1191" s="18"/>
      <c r="R1191" s="23">
        <v>0.0</v>
      </c>
      <c r="S1191" s="23">
        <v>0.0</v>
      </c>
      <c r="T1191" s="23">
        <f t="shared" si="3"/>
        <v>0</v>
      </c>
      <c r="U1191" s="23">
        <f t="shared" si="4"/>
        <v>0</v>
      </c>
      <c r="V1191" s="23">
        <f t="shared" si="5"/>
        <v>0</v>
      </c>
      <c r="W1191" s="24" t="str">
        <f t="shared" si="6"/>
        <v>#DIV/0!</v>
      </c>
    </row>
    <row r="1192">
      <c r="A1192" s="15" t="s">
        <v>7816</v>
      </c>
      <c r="B1192" s="18"/>
      <c r="C1192" s="15" t="s">
        <v>7817</v>
      </c>
      <c r="D1192" s="18"/>
      <c r="E1192" s="17" t="s">
        <v>7818</v>
      </c>
      <c r="F1192" s="18"/>
      <c r="G1192" s="18"/>
      <c r="H1192" s="15" t="s">
        <v>7819</v>
      </c>
      <c r="I1192" s="15" t="s">
        <v>4174</v>
      </c>
      <c r="J1192" s="19" t="s">
        <v>59</v>
      </c>
      <c r="K1192" s="19" t="s">
        <v>2387</v>
      </c>
      <c r="L1192" s="19" t="s">
        <v>38</v>
      </c>
      <c r="M1192" s="20">
        <f t="shared" si="2"/>
        <v>0</v>
      </c>
      <c r="N1192" s="22"/>
      <c r="O1192" s="19" t="s">
        <v>1145</v>
      </c>
      <c r="P1192" s="18"/>
      <c r="Q1192" s="18"/>
      <c r="R1192" s="23">
        <v>0.0</v>
      </c>
      <c r="S1192" s="23">
        <v>0.0</v>
      </c>
      <c r="T1192" s="23">
        <f t="shared" si="3"/>
        <v>0</v>
      </c>
      <c r="U1192" s="23">
        <f t="shared" si="4"/>
        <v>0</v>
      </c>
      <c r="V1192" s="23">
        <f t="shared" si="5"/>
        <v>0</v>
      </c>
      <c r="W1192" s="24" t="str">
        <f t="shared" si="6"/>
        <v>#DIV/0!</v>
      </c>
    </row>
    <row r="1193">
      <c r="A1193" s="15" t="s">
        <v>3073</v>
      </c>
      <c r="B1193" s="18"/>
      <c r="C1193" s="15" t="s">
        <v>7820</v>
      </c>
      <c r="D1193" s="18"/>
      <c r="E1193" s="17" t="s">
        <v>3074</v>
      </c>
      <c r="F1193" s="18"/>
      <c r="G1193" s="18"/>
      <c r="H1193" s="15" t="s">
        <v>3075</v>
      </c>
      <c r="I1193" s="15" t="s">
        <v>3076</v>
      </c>
      <c r="J1193" s="19" t="s">
        <v>59</v>
      </c>
      <c r="K1193" s="19" t="s">
        <v>2387</v>
      </c>
      <c r="L1193" s="19" t="s">
        <v>38</v>
      </c>
      <c r="M1193" s="20">
        <f t="shared" si="2"/>
        <v>0</v>
      </c>
      <c r="N1193" s="22"/>
      <c r="O1193" s="19" t="s">
        <v>1145</v>
      </c>
      <c r="P1193" s="18"/>
      <c r="Q1193" s="18"/>
      <c r="R1193" s="23">
        <v>0.0</v>
      </c>
      <c r="S1193" s="23">
        <v>0.0</v>
      </c>
      <c r="T1193" s="23">
        <f t="shared" si="3"/>
        <v>0</v>
      </c>
      <c r="U1193" s="23">
        <f t="shared" si="4"/>
        <v>0</v>
      </c>
      <c r="V1193" s="23">
        <f t="shared" si="5"/>
        <v>0</v>
      </c>
      <c r="W1193" s="24" t="str">
        <f t="shared" si="6"/>
        <v>#DIV/0!</v>
      </c>
    </row>
    <row r="1194">
      <c r="A1194" s="15" t="s">
        <v>3077</v>
      </c>
      <c r="B1194" s="18"/>
      <c r="C1194" s="15" t="s">
        <v>7821</v>
      </c>
      <c r="D1194" s="18"/>
      <c r="E1194" s="17" t="s">
        <v>3078</v>
      </c>
      <c r="F1194" s="18"/>
      <c r="G1194" s="18"/>
      <c r="H1194" s="15" t="s">
        <v>3079</v>
      </c>
      <c r="I1194" s="15" t="s">
        <v>3080</v>
      </c>
      <c r="J1194" s="19" t="s">
        <v>59</v>
      </c>
      <c r="K1194" s="19" t="s">
        <v>2387</v>
      </c>
      <c r="L1194" s="19" t="s">
        <v>38</v>
      </c>
      <c r="M1194" s="20">
        <f t="shared" si="2"/>
        <v>0</v>
      </c>
      <c r="N1194" s="22"/>
      <c r="O1194" s="19" t="s">
        <v>1145</v>
      </c>
      <c r="P1194" s="18"/>
      <c r="Q1194" s="18"/>
      <c r="R1194" s="23">
        <v>0.0</v>
      </c>
      <c r="S1194" s="23">
        <v>0.0</v>
      </c>
      <c r="T1194" s="23">
        <f t="shared" si="3"/>
        <v>0</v>
      </c>
      <c r="U1194" s="23">
        <f t="shared" si="4"/>
        <v>0</v>
      </c>
      <c r="V1194" s="23">
        <f t="shared" si="5"/>
        <v>0</v>
      </c>
      <c r="W1194" s="24" t="str">
        <f t="shared" si="6"/>
        <v>#DIV/0!</v>
      </c>
    </row>
    <row r="1195">
      <c r="A1195" s="15" t="s">
        <v>3081</v>
      </c>
      <c r="B1195" s="18"/>
      <c r="C1195" s="15" t="s">
        <v>7822</v>
      </c>
      <c r="D1195" s="18"/>
      <c r="E1195" s="17" t="s">
        <v>3082</v>
      </c>
      <c r="F1195" s="18"/>
      <c r="G1195" s="18"/>
      <c r="H1195" s="15" t="s">
        <v>3083</v>
      </c>
      <c r="I1195" s="15" t="s">
        <v>3084</v>
      </c>
      <c r="J1195" s="19" t="s">
        <v>59</v>
      </c>
      <c r="K1195" s="19" t="s">
        <v>2387</v>
      </c>
      <c r="L1195" s="19" t="s">
        <v>38</v>
      </c>
      <c r="M1195" s="20">
        <f t="shared" si="2"/>
        <v>0</v>
      </c>
      <c r="N1195" s="22"/>
      <c r="O1195" s="19" t="s">
        <v>1145</v>
      </c>
      <c r="P1195" s="18"/>
      <c r="Q1195" s="18"/>
      <c r="R1195" s="23">
        <v>0.0</v>
      </c>
      <c r="S1195" s="23">
        <v>0.0</v>
      </c>
      <c r="T1195" s="23">
        <f t="shared" si="3"/>
        <v>0</v>
      </c>
      <c r="U1195" s="23">
        <f t="shared" si="4"/>
        <v>0</v>
      </c>
      <c r="V1195" s="23">
        <f t="shared" si="5"/>
        <v>0</v>
      </c>
      <c r="W1195" s="24" t="str">
        <f t="shared" si="6"/>
        <v>#DIV/0!</v>
      </c>
    </row>
    <row r="1196">
      <c r="A1196" s="15" t="s">
        <v>5188</v>
      </c>
      <c r="B1196" s="15" t="s">
        <v>5189</v>
      </c>
      <c r="C1196" s="15" t="s">
        <v>7823</v>
      </c>
      <c r="D1196" s="15" t="s">
        <v>5190</v>
      </c>
      <c r="E1196" s="17" t="s">
        <v>5191</v>
      </c>
      <c r="F1196" s="18"/>
      <c r="G1196" s="18"/>
      <c r="H1196" s="15" t="s">
        <v>5192</v>
      </c>
      <c r="I1196" s="18"/>
      <c r="J1196" s="19" t="s">
        <v>59</v>
      </c>
      <c r="K1196" s="19" t="s">
        <v>52</v>
      </c>
      <c r="L1196" s="19" t="s">
        <v>52</v>
      </c>
      <c r="M1196" s="20">
        <f t="shared" si="2"/>
        <v>0</v>
      </c>
      <c r="N1196" s="22"/>
      <c r="O1196" s="19" t="s">
        <v>3578</v>
      </c>
      <c r="P1196" s="18"/>
      <c r="Q1196" s="18"/>
      <c r="R1196" s="23">
        <v>0.0</v>
      </c>
      <c r="S1196" s="23">
        <v>0.0</v>
      </c>
      <c r="T1196" s="23">
        <f t="shared" si="3"/>
        <v>0</v>
      </c>
      <c r="U1196" s="23">
        <f t="shared" si="4"/>
        <v>0</v>
      </c>
      <c r="V1196" s="23">
        <f t="shared" si="5"/>
        <v>0</v>
      </c>
      <c r="W1196" s="24" t="str">
        <f t="shared" si="6"/>
        <v>#DIV/0!</v>
      </c>
    </row>
    <row r="1197">
      <c r="A1197" s="15" t="s">
        <v>338</v>
      </c>
      <c r="B1197" s="15" t="s">
        <v>339</v>
      </c>
      <c r="C1197" s="15" t="s">
        <v>6046</v>
      </c>
      <c r="D1197" s="15" t="s">
        <v>340</v>
      </c>
      <c r="E1197" s="17" t="s">
        <v>341</v>
      </c>
      <c r="F1197" s="18"/>
      <c r="G1197" s="18"/>
      <c r="H1197" s="15" t="s">
        <v>342</v>
      </c>
      <c r="I1197" s="18"/>
      <c r="J1197" s="19" t="s">
        <v>59</v>
      </c>
      <c r="K1197" s="33"/>
      <c r="L1197" s="19" t="s">
        <v>135</v>
      </c>
      <c r="M1197" s="20">
        <f t="shared" si="2"/>
        <v>1243.2</v>
      </c>
      <c r="N1197" s="31">
        <v>5.0</v>
      </c>
      <c r="O1197" s="19" t="s">
        <v>107</v>
      </c>
      <c r="P1197" s="18"/>
      <c r="Q1197" s="18"/>
      <c r="R1197" s="23">
        <v>9.0</v>
      </c>
      <c r="S1197" s="23">
        <v>70.0</v>
      </c>
      <c r="T1197" s="23">
        <f t="shared" si="3"/>
        <v>67.2</v>
      </c>
      <c r="U1197" s="23">
        <f t="shared" si="4"/>
        <v>11.025</v>
      </c>
      <c r="V1197" s="23">
        <f t="shared" si="5"/>
        <v>206.71875</v>
      </c>
      <c r="W1197" s="24">
        <f t="shared" si="6"/>
        <v>7.466666667</v>
      </c>
    </row>
    <row r="1198">
      <c r="A1198" s="15" t="s">
        <v>5193</v>
      </c>
      <c r="B1198" s="15" t="s">
        <v>5194</v>
      </c>
      <c r="C1198" s="15" t="s">
        <v>7824</v>
      </c>
      <c r="D1198" s="15" t="s">
        <v>5195</v>
      </c>
      <c r="E1198" s="17" t="s">
        <v>5196</v>
      </c>
      <c r="F1198" s="18"/>
      <c r="G1198" s="18"/>
      <c r="H1198" s="15" t="s">
        <v>5197</v>
      </c>
      <c r="I1198" s="18"/>
      <c r="J1198" s="19" t="s">
        <v>59</v>
      </c>
      <c r="K1198" s="33"/>
      <c r="L1198" s="19" t="s">
        <v>38</v>
      </c>
      <c r="M1198" s="20">
        <f t="shared" si="2"/>
        <v>0</v>
      </c>
      <c r="N1198" s="22"/>
      <c r="O1198" s="19" t="s">
        <v>3578</v>
      </c>
      <c r="P1198" s="18"/>
      <c r="Q1198" s="18"/>
      <c r="R1198" s="23">
        <v>0.0</v>
      </c>
      <c r="S1198" s="23">
        <v>0.0</v>
      </c>
      <c r="T1198" s="23">
        <f t="shared" si="3"/>
        <v>0</v>
      </c>
      <c r="U1198" s="23">
        <f t="shared" si="4"/>
        <v>0</v>
      </c>
      <c r="V1198" s="23">
        <f t="shared" si="5"/>
        <v>0</v>
      </c>
      <c r="W1198" s="24" t="str">
        <f t="shared" si="6"/>
        <v>#DIV/0!</v>
      </c>
    </row>
    <row r="1199">
      <c r="A1199" s="15" t="s">
        <v>3085</v>
      </c>
      <c r="B1199" s="18"/>
      <c r="C1199" s="15" t="s">
        <v>7825</v>
      </c>
      <c r="D1199" s="18"/>
      <c r="E1199" s="17" t="s">
        <v>3086</v>
      </c>
      <c r="F1199" s="18"/>
      <c r="G1199" s="18"/>
      <c r="H1199" s="15" t="s">
        <v>3087</v>
      </c>
      <c r="I1199" s="15" t="s">
        <v>3088</v>
      </c>
      <c r="J1199" s="19" t="s">
        <v>59</v>
      </c>
      <c r="K1199" s="19" t="s">
        <v>691</v>
      </c>
      <c r="L1199" s="19" t="s">
        <v>38</v>
      </c>
      <c r="M1199" s="20">
        <f t="shared" si="2"/>
        <v>0</v>
      </c>
      <c r="N1199" s="22"/>
      <c r="O1199" s="19" t="s">
        <v>1145</v>
      </c>
      <c r="P1199" s="18"/>
      <c r="Q1199" s="18"/>
      <c r="R1199" s="23">
        <v>0.0</v>
      </c>
      <c r="S1199" s="23">
        <v>0.0</v>
      </c>
      <c r="T1199" s="23">
        <f t="shared" si="3"/>
        <v>0</v>
      </c>
      <c r="U1199" s="23">
        <f t="shared" si="4"/>
        <v>0</v>
      </c>
      <c r="V1199" s="23">
        <f t="shared" si="5"/>
        <v>0</v>
      </c>
      <c r="W1199" s="24" t="str">
        <f t="shared" si="6"/>
        <v>#DIV/0!</v>
      </c>
    </row>
    <row r="1200">
      <c r="A1200" s="15" t="s">
        <v>617</v>
      </c>
      <c r="B1200" s="18" t="str">
        <f>CONCATENATE(7504589,A1200)</f>
        <v>75045892197</v>
      </c>
      <c r="C1200" s="15" t="s">
        <v>6047</v>
      </c>
      <c r="D1200" s="15" t="s">
        <v>618</v>
      </c>
      <c r="E1200" s="17" t="s">
        <v>619</v>
      </c>
      <c r="F1200" s="18"/>
      <c r="G1200" s="18"/>
      <c r="H1200" s="15" t="s">
        <v>620</v>
      </c>
      <c r="I1200" s="15"/>
      <c r="J1200" s="19" t="s">
        <v>59</v>
      </c>
      <c r="K1200" s="19" t="s">
        <v>60</v>
      </c>
      <c r="L1200" s="19" t="s">
        <v>38</v>
      </c>
      <c r="M1200" s="20">
        <f t="shared" si="2"/>
        <v>8453.76</v>
      </c>
      <c r="N1200" s="31">
        <v>3.0</v>
      </c>
      <c r="O1200" s="19" t="s">
        <v>107</v>
      </c>
      <c r="P1200" s="18"/>
      <c r="Q1200" s="18"/>
      <c r="R1200" s="23">
        <v>88.0</v>
      </c>
      <c r="S1200" s="23">
        <v>476.0</v>
      </c>
      <c r="T1200" s="23">
        <f t="shared" si="3"/>
        <v>456.96</v>
      </c>
      <c r="U1200" s="23">
        <f t="shared" si="4"/>
        <v>107.8</v>
      </c>
      <c r="V1200" s="23">
        <f t="shared" si="5"/>
        <v>2021.25</v>
      </c>
      <c r="W1200" s="24">
        <f t="shared" si="6"/>
        <v>5.192727273</v>
      </c>
    </row>
    <row r="1201">
      <c r="A1201" s="15" t="s">
        <v>7826</v>
      </c>
      <c r="B1201" s="18"/>
      <c r="C1201" s="15" t="s">
        <v>7827</v>
      </c>
      <c r="D1201" s="18"/>
      <c r="E1201" s="17" t="s">
        <v>7828</v>
      </c>
      <c r="F1201" s="18"/>
      <c r="G1201" s="18"/>
      <c r="H1201" s="15" t="s">
        <v>7829</v>
      </c>
      <c r="I1201" s="15" t="s">
        <v>620</v>
      </c>
      <c r="J1201" s="19" t="s">
        <v>59</v>
      </c>
      <c r="K1201" s="19" t="s">
        <v>2387</v>
      </c>
      <c r="L1201" s="19" t="s">
        <v>38</v>
      </c>
      <c r="M1201" s="20">
        <f t="shared" si="2"/>
        <v>0</v>
      </c>
      <c r="N1201" s="22"/>
      <c r="O1201" s="19" t="s">
        <v>39</v>
      </c>
      <c r="P1201" s="18"/>
      <c r="Q1201" s="18"/>
      <c r="R1201" s="23">
        <v>0.0</v>
      </c>
      <c r="S1201" s="23">
        <v>0.0</v>
      </c>
      <c r="T1201" s="23">
        <f t="shared" si="3"/>
        <v>0</v>
      </c>
      <c r="U1201" s="23">
        <f t="shared" si="4"/>
        <v>0</v>
      </c>
      <c r="V1201" s="23">
        <f t="shared" si="5"/>
        <v>0</v>
      </c>
      <c r="W1201" s="24" t="str">
        <f t="shared" si="6"/>
        <v>#DIV/0!</v>
      </c>
    </row>
    <row r="1202">
      <c r="A1202" s="15" t="s">
        <v>7830</v>
      </c>
      <c r="B1202" s="18"/>
      <c r="C1202" s="15" t="s">
        <v>7831</v>
      </c>
      <c r="D1202" s="18"/>
      <c r="E1202" s="17" t="s">
        <v>7832</v>
      </c>
      <c r="F1202" s="18"/>
      <c r="G1202" s="18"/>
      <c r="H1202" s="15" t="s">
        <v>7833</v>
      </c>
      <c r="I1202" s="15" t="s">
        <v>3937</v>
      </c>
      <c r="J1202" s="19" t="s">
        <v>59</v>
      </c>
      <c r="K1202" s="19" t="s">
        <v>2382</v>
      </c>
      <c r="L1202" s="19" t="s">
        <v>38</v>
      </c>
      <c r="M1202" s="20">
        <f t="shared" si="2"/>
        <v>0</v>
      </c>
      <c r="N1202" s="22"/>
      <c r="O1202" s="19" t="s">
        <v>39</v>
      </c>
      <c r="P1202" s="18"/>
      <c r="Q1202" s="18"/>
      <c r="R1202" s="23">
        <v>0.0</v>
      </c>
      <c r="S1202" s="23">
        <v>0.0</v>
      </c>
      <c r="T1202" s="23">
        <f t="shared" si="3"/>
        <v>0</v>
      </c>
      <c r="U1202" s="23">
        <f t="shared" si="4"/>
        <v>0</v>
      </c>
      <c r="V1202" s="23">
        <f t="shared" si="5"/>
        <v>0</v>
      </c>
      <c r="W1202" s="24" t="str">
        <f t="shared" si="6"/>
        <v>#DIV/0!</v>
      </c>
    </row>
    <row r="1203">
      <c r="A1203" s="15" t="s">
        <v>148</v>
      </c>
      <c r="B1203" s="15" t="s">
        <v>149</v>
      </c>
      <c r="C1203" s="15" t="s">
        <v>6103</v>
      </c>
      <c r="D1203" s="15" t="s">
        <v>150</v>
      </c>
      <c r="E1203" s="17" t="s">
        <v>151</v>
      </c>
      <c r="F1203" s="18"/>
      <c r="G1203" s="18"/>
      <c r="H1203" s="15" t="s">
        <v>152</v>
      </c>
      <c r="I1203" s="18"/>
      <c r="J1203" s="19" t="s">
        <v>59</v>
      </c>
      <c r="K1203" s="33"/>
      <c r="L1203" s="19" t="s">
        <v>38</v>
      </c>
      <c r="M1203" s="20">
        <f t="shared" si="2"/>
        <v>88.8</v>
      </c>
      <c r="N1203" s="31">
        <v>10.0</v>
      </c>
      <c r="O1203" s="19" t="s">
        <v>107</v>
      </c>
      <c r="P1203" s="18"/>
      <c r="Q1203" s="18"/>
      <c r="R1203" s="23">
        <v>0.3</v>
      </c>
      <c r="S1203" s="23">
        <v>5.0</v>
      </c>
      <c r="T1203" s="23">
        <f t="shared" si="3"/>
        <v>4.8</v>
      </c>
      <c r="U1203" s="23">
        <f t="shared" si="4"/>
        <v>0.3675</v>
      </c>
      <c r="V1203" s="23">
        <f t="shared" si="5"/>
        <v>6.890625</v>
      </c>
      <c r="W1203" s="24">
        <f t="shared" si="6"/>
        <v>16</v>
      </c>
    </row>
    <row r="1204">
      <c r="A1204" s="15" t="s">
        <v>213</v>
      </c>
      <c r="B1204" s="15" t="s">
        <v>214</v>
      </c>
      <c r="C1204" s="15" t="s">
        <v>6114</v>
      </c>
      <c r="D1204" s="15" t="s">
        <v>215</v>
      </c>
      <c r="E1204" s="17" t="s">
        <v>216</v>
      </c>
      <c r="F1204" s="18"/>
      <c r="G1204" s="18"/>
      <c r="H1204" s="15" t="s">
        <v>217</v>
      </c>
      <c r="I1204" s="18"/>
      <c r="J1204" s="19" t="s">
        <v>59</v>
      </c>
      <c r="K1204" s="19" t="s">
        <v>60</v>
      </c>
      <c r="L1204" s="19" t="s">
        <v>52</v>
      </c>
      <c r="M1204" s="20">
        <f t="shared" si="2"/>
        <v>53.28</v>
      </c>
      <c r="N1204" s="31">
        <v>30.0</v>
      </c>
      <c r="O1204" s="19" t="s">
        <v>107</v>
      </c>
      <c r="P1204" s="18"/>
      <c r="Q1204" s="18"/>
      <c r="R1204" s="23">
        <v>0.3</v>
      </c>
      <c r="S1204" s="23">
        <v>3.0</v>
      </c>
      <c r="T1204" s="23">
        <f t="shared" si="3"/>
        <v>2.88</v>
      </c>
      <c r="U1204" s="23">
        <f t="shared" si="4"/>
        <v>0.3675</v>
      </c>
      <c r="V1204" s="23">
        <f t="shared" si="5"/>
        <v>6.890625</v>
      </c>
      <c r="W1204" s="24">
        <f t="shared" si="6"/>
        <v>9.6</v>
      </c>
    </row>
    <row r="1205">
      <c r="A1205" s="15" t="s">
        <v>218</v>
      </c>
      <c r="B1205" s="15" t="s">
        <v>219</v>
      </c>
      <c r="C1205" s="15" t="s">
        <v>6115</v>
      </c>
      <c r="D1205" s="15" t="s">
        <v>220</v>
      </c>
      <c r="E1205" s="17" t="s">
        <v>221</v>
      </c>
      <c r="F1205" s="18"/>
      <c r="G1205" s="18"/>
      <c r="H1205" s="15" t="s">
        <v>222</v>
      </c>
      <c r="I1205" s="18"/>
      <c r="J1205" s="19" t="s">
        <v>59</v>
      </c>
      <c r="K1205" s="19" t="s">
        <v>60</v>
      </c>
      <c r="L1205" s="19" t="s">
        <v>52</v>
      </c>
      <c r="M1205" s="20">
        <f t="shared" si="2"/>
        <v>53.28</v>
      </c>
      <c r="N1205" s="31">
        <v>30.0</v>
      </c>
      <c r="O1205" s="19" t="s">
        <v>107</v>
      </c>
      <c r="P1205" s="18"/>
      <c r="Q1205" s="18"/>
      <c r="R1205" s="23">
        <v>0.3</v>
      </c>
      <c r="S1205" s="23">
        <v>3.0</v>
      </c>
      <c r="T1205" s="23">
        <f t="shared" si="3"/>
        <v>2.88</v>
      </c>
      <c r="U1205" s="23">
        <f t="shared" si="4"/>
        <v>0.3675</v>
      </c>
      <c r="V1205" s="23">
        <f t="shared" si="5"/>
        <v>6.890625</v>
      </c>
      <c r="W1205" s="24">
        <f t="shared" si="6"/>
        <v>9.6</v>
      </c>
    </row>
    <row r="1206">
      <c r="A1206" s="15" t="s">
        <v>3089</v>
      </c>
      <c r="B1206" s="18"/>
      <c r="C1206" s="15" t="s">
        <v>7834</v>
      </c>
      <c r="D1206" s="18"/>
      <c r="E1206" s="17" t="s">
        <v>3090</v>
      </c>
      <c r="F1206" s="18"/>
      <c r="G1206" s="18"/>
      <c r="H1206" s="15" t="s">
        <v>3091</v>
      </c>
      <c r="I1206" s="15" t="s">
        <v>3092</v>
      </c>
      <c r="J1206" s="19" t="s">
        <v>59</v>
      </c>
      <c r="K1206" s="19" t="s">
        <v>691</v>
      </c>
      <c r="L1206" s="19" t="s">
        <v>38</v>
      </c>
      <c r="M1206" s="20">
        <f t="shared" si="2"/>
        <v>0</v>
      </c>
      <c r="N1206" s="22"/>
      <c r="O1206" s="19" t="s">
        <v>1145</v>
      </c>
      <c r="P1206" s="18"/>
      <c r="Q1206" s="18"/>
      <c r="R1206" s="23">
        <v>0.0</v>
      </c>
      <c r="S1206" s="23">
        <v>0.0</v>
      </c>
      <c r="T1206" s="23">
        <f t="shared" si="3"/>
        <v>0</v>
      </c>
      <c r="U1206" s="23">
        <f t="shared" si="4"/>
        <v>0</v>
      </c>
      <c r="V1206" s="23">
        <f t="shared" si="5"/>
        <v>0</v>
      </c>
      <c r="W1206" s="24" t="str">
        <f t="shared" si="6"/>
        <v>#DIV/0!</v>
      </c>
    </row>
    <row r="1207">
      <c r="A1207" s="15" t="s">
        <v>3093</v>
      </c>
      <c r="B1207" s="18"/>
      <c r="C1207" s="15" t="s">
        <v>7835</v>
      </c>
      <c r="D1207" s="18"/>
      <c r="E1207" s="17" t="s">
        <v>3094</v>
      </c>
      <c r="F1207" s="18"/>
      <c r="G1207" s="18"/>
      <c r="H1207" s="15" t="s">
        <v>3095</v>
      </c>
      <c r="I1207" s="15" t="s">
        <v>3096</v>
      </c>
      <c r="J1207" s="19" t="s">
        <v>59</v>
      </c>
      <c r="K1207" s="19" t="s">
        <v>2401</v>
      </c>
      <c r="L1207" s="19" t="s">
        <v>38</v>
      </c>
      <c r="M1207" s="20">
        <f t="shared" si="2"/>
        <v>0</v>
      </c>
      <c r="N1207" s="22"/>
      <c r="O1207" s="19" t="s">
        <v>1145</v>
      </c>
      <c r="P1207" s="18"/>
      <c r="Q1207" s="18"/>
      <c r="R1207" s="23">
        <v>0.0</v>
      </c>
      <c r="S1207" s="23">
        <v>0.0</v>
      </c>
      <c r="T1207" s="23">
        <f t="shared" si="3"/>
        <v>0</v>
      </c>
      <c r="U1207" s="23">
        <f t="shared" si="4"/>
        <v>0</v>
      </c>
      <c r="V1207" s="23">
        <f t="shared" si="5"/>
        <v>0</v>
      </c>
      <c r="W1207" s="24" t="str">
        <f t="shared" si="6"/>
        <v>#DIV/0!</v>
      </c>
    </row>
    <row r="1208">
      <c r="A1208" s="15" t="s">
        <v>5198</v>
      </c>
      <c r="B1208" s="18" t="str">
        <f>CONCATENATE(7504589, A1208)</f>
        <v>75045892205</v>
      </c>
      <c r="C1208" s="15" t="s">
        <v>7836</v>
      </c>
      <c r="D1208" s="15" t="s">
        <v>1361</v>
      </c>
      <c r="E1208" s="17" t="s">
        <v>1362</v>
      </c>
      <c r="F1208" s="18"/>
      <c r="G1208" s="18"/>
      <c r="H1208" s="15" t="s">
        <v>5199</v>
      </c>
      <c r="I1208" s="15"/>
      <c r="J1208" s="19" t="s">
        <v>59</v>
      </c>
      <c r="K1208" s="19" t="s">
        <v>691</v>
      </c>
      <c r="L1208" s="19" t="s">
        <v>38</v>
      </c>
      <c r="M1208" s="20">
        <f t="shared" si="2"/>
        <v>0</v>
      </c>
      <c r="N1208" s="22"/>
      <c r="O1208" s="19" t="s">
        <v>3578</v>
      </c>
      <c r="P1208" s="18"/>
      <c r="Q1208" s="18"/>
      <c r="R1208" s="23">
        <v>0.0</v>
      </c>
      <c r="S1208" s="23">
        <v>0.0</v>
      </c>
      <c r="T1208" s="23">
        <f t="shared" si="3"/>
        <v>0</v>
      </c>
      <c r="U1208" s="23">
        <f t="shared" si="4"/>
        <v>0</v>
      </c>
      <c r="V1208" s="23">
        <f t="shared" si="5"/>
        <v>0</v>
      </c>
      <c r="W1208" s="24" t="str">
        <f t="shared" si="6"/>
        <v>#DIV/0!</v>
      </c>
    </row>
    <row r="1209">
      <c r="A1209" s="15" t="s">
        <v>7839</v>
      </c>
      <c r="B1209" s="15" t="s">
        <v>7840</v>
      </c>
      <c r="C1209" s="15" t="s">
        <v>7841</v>
      </c>
      <c r="D1209" s="18"/>
      <c r="E1209" s="17" t="s">
        <v>7842</v>
      </c>
      <c r="F1209" s="18"/>
      <c r="G1209" s="18"/>
      <c r="H1209" s="15" t="s">
        <v>4174</v>
      </c>
      <c r="I1209" s="18"/>
      <c r="J1209" s="19" t="s">
        <v>59</v>
      </c>
      <c r="K1209" s="33"/>
      <c r="L1209" s="19" t="s">
        <v>38</v>
      </c>
      <c r="M1209" s="20">
        <f t="shared" si="2"/>
        <v>0</v>
      </c>
      <c r="N1209" s="22"/>
      <c r="O1209" s="19" t="s">
        <v>1145</v>
      </c>
      <c r="P1209" s="18"/>
      <c r="Q1209" s="18"/>
      <c r="R1209" s="23">
        <v>0.0</v>
      </c>
      <c r="S1209" s="23">
        <v>0.0</v>
      </c>
      <c r="T1209" s="23">
        <f t="shared" si="3"/>
        <v>0</v>
      </c>
      <c r="U1209" s="23">
        <f t="shared" si="4"/>
        <v>0</v>
      </c>
      <c r="V1209" s="23">
        <f t="shared" si="5"/>
        <v>0</v>
      </c>
      <c r="W1209" s="24" t="str">
        <f t="shared" si="6"/>
        <v>#DIV/0!</v>
      </c>
    </row>
    <row r="1210">
      <c r="A1210" s="15" t="s">
        <v>3097</v>
      </c>
      <c r="B1210" s="18"/>
      <c r="C1210" s="15" t="s">
        <v>7843</v>
      </c>
      <c r="D1210" s="18"/>
      <c r="E1210" s="17" t="s">
        <v>3098</v>
      </c>
      <c r="F1210" s="18"/>
      <c r="G1210" s="18"/>
      <c r="H1210" s="15" t="s">
        <v>3099</v>
      </c>
      <c r="I1210" s="15" t="s">
        <v>3100</v>
      </c>
      <c r="J1210" s="19" t="s">
        <v>59</v>
      </c>
      <c r="K1210" s="19" t="s">
        <v>2401</v>
      </c>
      <c r="L1210" s="19" t="s">
        <v>38</v>
      </c>
      <c r="M1210" s="20">
        <f t="shared" si="2"/>
        <v>0</v>
      </c>
      <c r="N1210" s="22"/>
      <c r="O1210" s="19" t="s">
        <v>1145</v>
      </c>
      <c r="P1210" s="18"/>
      <c r="Q1210" s="18"/>
      <c r="R1210" s="23">
        <v>0.0</v>
      </c>
      <c r="S1210" s="23">
        <v>0.0</v>
      </c>
      <c r="T1210" s="23">
        <f t="shared" si="3"/>
        <v>0</v>
      </c>
      <c r="U1210" s="23">
        <f t="shared" si="4"/>
        <v>0</v>
      </c>
      <c r="V1210" s="23">
        <f t="shared" si="5"/>
        <v>0</v>
      </c>
      <c r="W1210" s="24" t="str">
        <f t="shared" si="6"/>
        <v>#DIV/0!</v>
      </c>
    </row>
    <row r="1211">
      <c r="A1211" s="15" t="s">
        <v>497</v>
      </c>
      <c r="B1211" s="15" t="s">
        <v>498</v>
      </c>
      <c r="C1211" s="15" t="s">
        <v>6091</v>
      </c>
      <c r="D1211" s="15" t="s">
        <v>499</v>
      </c>
      <c r="E1211" s="17" t="s">
        <v>500</v>
      </c>
      <c r="F1211" s="18"/>
      <c r="G1211" s="15" t="s">
        <v>501</v>
      </c>
      <c r="H1211" s="15" t="s">
        <v>502</v>
      </c>
      <c r="I1211" s="18"/>
      <c r="J1211" s="19" t="s">
        <v>59</v>
      </c>
      <c r="K1211" s="33"/>
      <c r="L1211" s="19" t="s">
        <v>115</v>
      </c>
      <c r="M1211" s="20">
        <f t="shared" si="2"/>
        <v>692.64</v>
      </c>
      <c r="N1211" s="31">
        <v>10.0</v>
      </c>
      <c r="O1211" s="19" t="s">
        <v>107</v>
      </c>
      <c r="P1211" s="18"/>
      <c r="Q1211" s="18"/>
      <c r="R1211" s="23">
        <v>6.0</v>
      </c>
      <c r="S1211" s="23">
        <v>39.0</v>
      </c>
      <c r="T1211" s="23">
        <f t="shared" si="3"/>
        <v>37.44</v>
      </c>
      <c r="U1211" s="23">
        <f t="shared" si="4"/>
        <v>7.35</v>
      </c>
      <c r="V1211" s="23">
        <f t="shared" si="5"/>
        <v>137.8125</v>
      </c>
      <c r="W1211" s="24">
        <f t="shared" si="6"/>
        <v>6.24</v>
      </c>
    </row>
    <row r="1212">
      <c r="A1212" s="15" t="s">
        <v>3101</v>
      </c>
      <c r="B1212" s="18"/>
      <c r="C1212" s="15" t="s">
        <v>7844</v>
      </c>
      <c r="D1212" s="18"/>
      <c r="E1212" s="17" t="s">
        <v>3102</v>
      </c>
      <c r="F1212" s="18"/>
      <c r="G1212" s="18"/>
      <c r="H1212" s="15" t="s">
        <v>3103</v>
      </c>
      <c r="I1212" s="15" t="s">
        <v>3104</v>
      </c>
      <c r="J1212" s="19" t="s">
        <v>59</v>
      </c>
      <c r="K1212" s="19" t="s">
        <v>2396</v>
      </c>
      <c r="L1212" s="19" t="s">
        <v>38</v>
      </c>
      <c r="M1212" s="20">
        <f t="shared" si="2"/>
        <v>0</v>
      </c>
      <c r="N1212" s="22"/>
      <c r="O1212" s="19" t="s">
        <v>1145</v>
      </c>
      <c r="P1212" s="18"/>
      <c r="Q1212" s="18"/>
      <c r="R1212" s="23">
        <v>0.0</v>
      </c>
      <c r="S1212" s="23">
        <v>0.0</v>
      </c>
      <c r="T1212" s="23">
        <f t="shared" si="3"/>
        <v>0</v>
      </c>
      <c r="U1212" s="23">
        <f t="shared" si="4"/>
        <v>0</v>
      </c>
      <c r="V1212" s="23">
        <f t="shared" si="5"/>
        <v>0</v>
      </c>
      <c r="W1212" s="24" t="str">
        <f t="shared" si="6"/>
        <v>#DIV/0!</v>
      </c>
    </row>
    <row r="1213">
      <c r="A1213" s="15" t="s">
        <v>3105</v>
      </c>
      <c r="B1213" s="18"/>
      <c r="C1213" s="15" t="s">
        <v>7845</v>
      </c>
      <c r="D1213" s="18"/>
      <c r="E1213" s="17" t="s">
        <v>3106</v>
      </c>
      <c r="F1213" s="18"/>
      <c r="G1213" s="18"/>
      <c r="H1213" s="15" t="s">
        <v>3107</v>
      </c>
      <c r="I1213" s="15" t="s">
        <v>3108</v>
      </c>
      <c r="J1213" s="19" t="s">
        <v>59</v>
      </c>
      <c r="K1213" s="19" t="s">
        <v>2396</v>
      </c>
      <c r="L1213" s="19" t="s">
        <v>38</v>
      </c>
      <c r="M1213" s="20">
        <f t="shared" si="2"/>
        <v>0</v>
      </c>
      <c r="N1213" s="22"/>
      <c r="O1213" s="19" t="s">
        <v>1145</v>
      </c>
      <c r="P1213" s="18"/>
      <c r="Q1213" s="18"/>
      <c r="R1213" s="23">
        <v>0.0</v>
      </c>
      <c r="S1213" s="23">
        <v>0.0</v>
      </c>
      <c r="T1213" s="23">
        <f t="shared" si="3"/>
        <v>0</v>
      </c>
      <c r="U1213" s="23">
        <f t="shared" si="4"/>
        <v>0</v>
      </c>
      <c r="V1213" s="23">
        <f t="shared" si="5"/>
        <v>0</v>
      </c>
      <c r="W1213" s="24" t="str">
        <f t="shared" si="6"/>
        <v>#DIV/0!</v>
      </c>
    </row>
    <row r="1214">
      <c r="A1214" s="15" t="s">
        <v>7846</v>
      </c>
      <c r="B1214" s="18"/>
      <c r="C1214" s="15" t="s">
        <v>7847</v>
      </c>
      <c r="D1214" s="18"/>
      <c r="E1214" s="17" t="s">
        <v>7848</v>
      </c>
      <c r="F1214" s="18"/>
      <c r="G1214" s="18"/>
      <c r="H1214" s="15" t="s">
        <v>7849</v>
      </c>
      <c r="I1214" s="15" t="s">
        <v>7850</v>
      </c>
      <c r="J1214" s="19" t="s">
        <v>59</v>
      </c>
      <c r="K1214" s="19" t="s">
        <v>2396</v>
      </c>
      <c r="L1214" s="19" t="s">
        <v>38</v>
      </c>
      <c r="M1214" s="20">
        <f t="shared" si="2"/>
        <v>0</v>
      </c>
      <c r="N1214" s="22"/>
      <c r="O1214" s="19" t="s">
        <v>1145</v>
      </c>
      <c r="P1214" s="18"/>
      <c r="Q1214" s="18"/>
      <c r="R1214" s="23">
        <v>0.0</v>
      </c>
      <c r="S1214" s="23">
        <v>0.0</v>
      </c>
      <c r="T1214" s="23">
        <f t="shared" si="3"/>
        <v>0</v>
      </c>
      <c r="U1214" s="23">
        <f t="shared" si="4"/>
        <v>0</v>
      </c>
      <c r="V1214" s="23">
        <f t="shared" si="5"/>
        <v>0</v>
      </c>
      <c r="W1214" s="24" t="str">
        <f t="shared" si="6"/>
        <v>#DIV/0!</v>
      </c>
    </row>
    <row r="1215">
      <c r="A1215" s="15" t="s">
        <v>7851</v>
      </c>
      <c r="B1215" s="18"/>
      <c r="C1215" s="15" t="s">
        <v>7852</v>
      </c>
      <c r="D1215" s="18"/>
      <c r="E1215" s="17" t="s">
        <v>7853</v>
      </c>
      <c r="F1215" s="18"/>
      <c r="G1215" s="18"/>
      <c r="H1215" s="15" t="s">
        <v>7854</v>
      </c>
      <c r="I1215" s="15" t="s">
        <v>985</v>
      </c>
      <c r="J1215" s="19" t="s">
        <v>59</v>
      </c>
      <c r="K1215" s="19" t="s">
        <v>2396</v>
      </c>
      <c r="L1215" s="19" t="s">
        <v>38</v>
      </c>
      <c r="M1215" s="20">
        <f t="shared" si="2"/>
        <v>0</v>
      </c>
      <c r="N1215" s="22"/>
      <c r="O1215" s="19" t="s">
        <v>39</v>
      </c>
      <c r="P1215" s="18"/>
      <c r="Q1215" s="18"/>
      <c r="R1215" s="23">
        <v>0.0</v>
      </c>
      <c r="S1215" s="23">
        <v>0.0</v>
      </c>
      <c r="T1215" s="23">
        <f t="shared" si="3"/>
        <v>0</v>
      </c>
      <c r="U1215" s="23">
        <f t="shared" si="4"/>
        <v>0</v>
      </c>
      <c r="V1215" s="23">
        <f t="shared" si="5"/>
        <v>0</v>
      </c>
      <c r="W1215" s="24" t="str">
        <f t="shared" si="6"/>
        <v>#DIV/0!</v>
      </c>
    </row>
    <row r="1216">
      <c r="A1216" s="15" t="s">
        <v>3109</v>
      </c>
      <c r="B1216" s="18"/>
      <c r="C1216" s="15" t="s">
        <v>7855</v>
      </c>
      <c r="D1216" s="18"/>
      <c r="E1216" s="17" t="s">
        <v>3110</v>
      </c>
      <c r="F1216" s="18"/>
      <c r="G1216" s="18"/>
      <c r="H1216" s="15" t="s">
        <v>3111</v>
      </c>
      <c r="I1216" s="15" t="s">
        <v>3112</v>
      </c>
      <c r="J1216" s="19" t="s">
        <v>59</v>
      </c>
      <c r="K1216" s="19" t="s">
        <v>2382</v>
      </c>
      <c r="L1216" s="19" t="s">
        <v>38</v>
      </c>
      <c r="M1216" s="20">
        <f t="shared" si="2"/>
        <v>0</v>
      </c>
      <c r="N1216" s="22"/>
      <c r="O1216" s="19" t="s">
        <v>1145</v>
      </c>
      <c r="P1216" s="18"/>
      <c r="Q1216" s="18"/>
      <c r="R1216" s="23">
        <v>0.0</v>
      </c>
      <c r="S1216" s="23">
        <v>0.0</v>
      </c>
      <c r="T1216" s="23">
        <f t="shared" si="3"/>
        <v>0</v>
      </c>
      <c r="U1216" s="23">
        <f t="shared" si="4"/>
        <v>0</v>
      </c>
      <c r="V1216" s="23">
        <f t="shared" si="5"/>
        <v>0</v>
      </c>
      <c r="W1216" s="24" t="str">
        <f t="shared" si="6"/>
        <v>#DIV/0!</v>
      </c>
    </row>
    <row r="1217">
      <c r="A1217" s="15" t="s">
        <v>3113</v>
      </c>
      <c r="B1217" s="18"/>
      <c r="C1217" s="15" t="s">
        <v>7856</v>
      </c>
      <c r="D1217" s="18"/>
      <c r="E1217" s="17" t="s">
        <v>3114</v>
      </c>
      <c r="F1217" s="18"/>
      <c r="G1217" s="18"/>
      <c r="H1217" s="15" t="s">
        <v>3115</v>
      </c>
      <c r="I1217" s="15" t="s">
        <v>3116</v>
      </c>
      <c r="J1217" s="19" t="s">
        <v>59</v>
      </c>
      <c r="K1217" s="19" t="s">
        <v>2382</v>
      </c>
      <c r="L1217" s="19" t="s">
        <v>38</v>
      </c>
      <c r="M1217" s="20">
        <f t="shared" si="2"/>
        <v>0</v>
      </c>
      <c r="N1217" s="22"/>
      <c r="O1217" s="19" t="s">
        <v>1145</v>
      </c>
      <c r="P1217" s="18"/>
      <c r="Q1217" s="18"/>
      <c r="R1217" s="23">
        <v>0.0</v>
      </c>
      <c r="S1217" s="23">
        <v>0.0</v>
      </c>
      <c r="T1217" s="23">
        <f t="shared" si="3"/>
        <v>0</v>
      </c>
      <c r="U1217" s="23">
        <f t="shared" si="4"/>
        <v>0</v>
      </c>
      <c r="V1217" s="23">
        <f t="shared" si="5"/>
        <v>0</v>
      </c>
      <c r="W1217" s="24" t="str">
        <f t="shared" si="6"/>
        <v>#DIV/0!</v>
      </c>
    </row>
    <row r="1218">
      <c r="A1218" s="15" t="s">
        <v>7857</v>
      </c>
      <c r="B1218" s="18"/>
      <c r="C1218" s="15" t="s">
        <v>7858</v>
      </c>
      <c r="D1218" s="18"/>
      <c r="E1218" s="17" t="s">
        <v>7859</v>
      </c>
      <c r="F1218" s="18"/>
      <c r="G1218" s="18"/>
      <c r="H1218" s="15" t="s">
        <v>7860</v>
      </c>
      <c r="I1218" s="15" t="s">
        <v>7861</v>
      </c>
      <c r="J1218" s="19" t="s">
        <v>59</v>
      </c>
      <c r="K1218" s="19" t="s">
        <v>2401</v>
      </c>
      <c r="L1218" s="19" t="s">
        <v>38</v>
      </c>
      <c r="M1218" s="20">
        <f t="shared" si="2"/>
        <v>0</v>
      </c>
      <c r="N1218" s="22"/>
      <c r="O1218" s="19" t="s">
        <v>39</v>
      </c>
      <c r="P1218" s="18"/>
      <c r="Q1218" s="18"/>
      <c r="R1218" s="23">
        <v>0.0</v>
      </c>
      <c r="S1218" s="23">
        <v>0.0</v>
      </c>
      <c r="T1218" s="23">
        <f t="shared" si="3"/>
        <v>0</v>
      </c>
      <c r="U1218" s="23">
        <f t="shared" si="4"/>
        <v>0</v>
      </c>
      <c r="V1218" s="23">
        <f t="shared" si="5"/>
        <v>0</v>
      </c>
      <c r="W1218" s="24" t="str">
        <f t="shared" si="6"/>
        <v>#DIV/0!</v>
      </c>
    </row>
    <row r="1219">
      <c r="A1219" s="15" t="s">
        <v>7862</v>
      </c>
      <c r="B1219" s="18"/>
      <c r="C1219" s="15" t="s">
        <v>7863</v>
      </c>
      <c r="D1219" s="15" t="s">
        <v>7864</v>
      </c>
      <c r="E1219" s="17" t="s">
        <v>7865</v>
      </c>
      <c r="F1219" s="18"/>
      <c r="G1219" s="18"/>
      <c r="H1219" s="15"/>
      <c r="I1219" s="15"/>
      <c r="J1219" s="19" t="s">
        <v>59</v>
      </c>
      <c r="K1219" s="19" t="s">
        <v>2387</v>
      </c>
      <c r="L1219" s="19" t="s">
        <v>38</v>
      </c>
      <c r="M1219" s="20">
        <f t="shared" si="2"/>
        <v>0</v>
      </c>
      <c r="N1219" s="22"/>
      <c r="O1219" s="19" t="s">
        <v>39</v>
      </c>
      <c r="P1219" s="18"/>
      <c r="Q1219" s="18"/>
      <c r="R1219" s="23">
        <v>0.0</v>
      </c>
      <c r="S1219" s="23">
        <v>0.0</v>
      </c>
      <c r="T1219" s="23">
        <f t="shared" si="3"/>
        <v>0</v>
      </c>
      <c r="U1219" s="23">
        <f t="shared" si="4"/>
        <v>0</v>
      </c>
      <c r="V1219" s="23">
        <f t="shared" si="5"/>
        <v>0</v>
      </c>
      <c r="W1219" s="24" t="str">
        <f t="shared" si="6"/>
        <v>#DIV/0!</v>
      </c>
    </row>
    <row r="1220">
      <c r="A1220" s="15" t="s">
        <v>3117</v>
      </c>
      <c r="B1220" s="18"/>
      <c r="C1220" s="15" t="s">
        <v>7866</v>
      </c>
      <c r="D1220" s="18"/>
      <c r="E1220" s="17" t="s">
        <v>3118</v>
      </c>
      <c r="F1220" s="18"/>
      <c r="G1220" s="18"/>
      <c r="H1220" s="15" t="s">
        <v>3119</v>
      </c>
      <c r="I1220" s="15" t="s">
        <v>3120</v>
      </c>
      <c r="J1220" s="19" t="s">
        <v>59</v>
      </c>
      <c r="K1220" s="19" t="s">
        <v>2387</v>
      </c>
      <c r="L1220" s="19" t="s">
        <v>38</v>
      </c>
      <c r="M1220" s="20">
        <f t="shared" si="2"/>
        <v>0</v>
      </c>
      <c r="N1220" s="22"/>
      <c r="O1220" s="19" t="s">
        <v>1145</v>
      </c>
      <c r="P1220" s="18"/>
      <c r="Q1220" s="18"/>
      <c r="R1220" s="23">
        <v>0.0</v>
      </c>
      <c r="S1220" s="23">
        <v>0.0</v>
      </c>
      <c r="T1220" s="23">
        <f t="shared" si="3"/>
        <v>0</v>
      </c>
      <c r="U1220" s="23">
        <f t="shared" si="4"/>
        <v>0</v>
      </c>
      <c r="V1220" s="23">
        <f t="shared" si="5"/>
        <v>0</v>
      </c>
      <c r="W1220" s="24" t="str">
        <f t="shared" si="6"/>
        <v>#DIV/0!</v>
      </c>
    </row>
    <row r="1221">
      <c r="A1221" s="15" t="s">
        <v>3121</v>
      </c>
      <c r="B1221" s="18"/>
      <c r="C1221" s="15" t="s">
        <v>7867</v>
      </c>
      <c r="D1221" s="18"/>
      <c r="E1221" s="17" t="s">
        <v>3122</v>
      </c>
      <c r="F1221" s="18"/>
      <c r="G1221" s="18"/>
      <c r="H1221" s="15" t="s">
        <v>3123</v>
      </c>
      <c r="I1221" s="15" t="s">
        <v>3124</v>
      </c>
      <c r="J1221" s="19" t="s">
        <v>59</v>
      </c>
      <c r="K1221" s="19" t="s">
        <v>2387</v>
      </c>
      <c r="L1221" s="19" t="s">
        <v>38</v>
      </c>
      <c r="M1221" s="20">
        <f t="shared" si="2"/>
        <v>0</v>
      </c>
      <c r="N1221" s="22"/>
      <c r="O1221" s="19" t="s">
        <v>1145</v>
      </c>
      <c r="P1221" s="18"/>
      <c r="Q1221" s="18"/>
      <c r="R1221" s="23">
        <v>0.0</v>
      </c>
      <c r="S1221" s="23">
        <v>0.0</v>
      </c>
      <c r="T1221" s="23">
        <f t="shared" si="3"/>
        <v>0</v>
      </c>
      <c r="U1221" s="23">
        <f t="shared" si="4"/>
        <v>0</v>
      </c>
      <c r="V1221" s="23">
        <f t="shared" si="5"/>
        <v>0</v>
      </c>
      <c r="W1221" s="24" t="str">
        <f t="shared" si="6"/>
        <v>#DIV/0!</v>
      </c>
    </row>
    <row r="1222">
      <c r="A1222" s="15" t="s">
        <v>7868</v>
      </c>
      <c r="B1222" s="18"/>
      <c r="C1222" s="15" t="s">
        <v>7869</v>
      </c>
      <c r="D1222" s="18"/>
      <c r="E1222" s="17" t="s">
        <v>112</v>
      </c>
      <c r="F1222" s="18"/>
      <c r="G1222" s="18"/>
      <c r="H1222" s="15" t="s">
        <v>7870</v>
      </c>
      <c r="I1222" s="15" t="s">
        <v>7871</v>
      </c>
      <c r="J1222" s="19" t="s">
        <v>59</v>
      </c>
      <c r="K1222" s="19" t="s">
        <v>2387</v>
      </c>
      <c r="L1222" s="19" t="s">
        <v>38</v>
      </c>
      <c r="M1222" s="20">
        <f t="shared" si="2"/>
        <v>0</v>
      </c>
      <c r="N1222" s="22"/>
      <c r="O1222" s="19" t="s">
        <v>39</v>
      </c>
      <c r="P1222" s="18"/>
      <c r="Q1222" s="18"/>
      <c r="R1222" s="23">
        <v>0.0</v>
      </c>
      <c r="S1222" s="23">
        <v>0.0</v>
      </c>
      <c r="T1222" s="23">
        <f t="shared" si="3"/>
        <v>0</v>
      </c>
      <c r="U1222" s="23">
        <f t="shared" si="4"/>
        <v>0</v>
      </c>
      <c r="V1222" s="23">
        <f t="shared" si="5"/>
        <v>0</v>
      </c>
      <c r="W1222" s="24" t="str">
        <f t="shared" si="6"/>
        <v>#DIV/0!</v>
      </c>
    </row>
    <row r="1223">
      <c r="A1223" s="15" t="s">
        <v>3125</v>
      </c>
      <c r="B1223" s="18"/>
      <c r="C1223" s="15" t="s">
        <v>7872</v>
      </c>
      <c r="D1223" s="18"/>
      <c r="E1223" s="17" t="s">
        <v>3126</v>
      </c>
      <c r="F1223" s="18"/>
      <c r="G1223" s="18"/>
      <c r="H1223" s="15" t="s">
        <v>3127</v>
      </c>
      <c r="I1223" s="15" t="s">
        <v>3128</v>
      </c>
      <c r="J1223" s="19" t="s">
        <v>59</v>
      </c>
      <c r="K1223" s="19" t="s">
        <v>2401</v>
      </c>
      <c r="L1223" s="19" t="s">
        <v>38</v>
      </c>
      <c r="M1223" s="20">
        <f t="shared" si="2"/>
        <v>0</v>
      </c>
      <c r="N1223" s="22"/>
      <c r="O1223" s="19" t="s">
        <v>1145</v>
      </c>
      <c r="P1223" s="18"/>
      <c r="Q1223" s="18"/>
      <c r="R1223" s="23">
        <v>0.0</v>
      </c>
      <c r="S1223" s="23">
        <v>0.0</v>
      </c>
      <c r="T1223" s="23">
        <f t="shared" si="3"/>
        <v>0</v>
      </c>
      <c r="U1223" s="23">
        <f t="shared" si="4"/>
        <v>0</v>
      </c>
      <c r="V1223" s="23">
        <f t="shared" si="5"/>
        <v>0</v>
      </c>
      <c r="W1223" s="24" t="str">
        <f t="shared" si="6"/>
        <v>#DIV/0!</v>
      </c>
    </row>
    <row r="1224">
      <c r="A1224" s="15" t="s">
        <v>3129</v>
      </c>
      <c r="B1224" s="18"/>
      <c r="C1224" s="15" t="s">
        <v>7873</v>
      </c>
      <c r="D1224" s="18"/>
      <c r="E1224" s="17" t="s">
        <v>3126</v>
      </c>
      <c r="F1224" s="18"/>
      <c r="G1224" s="18"/>
      <c r="H1224" s="15" t="s">
        <v>3130</v>
      </c>
      <c r="I1224" s="15" t="s">
        <v>3131</v>
      </c>
      <c r="J1224" s="19" t="s">
        <v>59</v>
      </c>
      <c r="K1224" s="19" t="s">
        <v>2401</v>
      </c>
      <c r="L1224" s="19" t="s">
        <v>38</v>
      </c>
      <c r="M1224" s="20">
        <f t="shared" si="2"/>
        <v>0</v>
      </c>
      <c r="N1224" s="22"/>
      <c r="O1224" s="19" t="s">
        <v>1145</v>
      </c>
      <c r="P1224" s="18"/>
      <c r="Q1224" s="18"/>
      <c r="R1224" s="23">
        <v>0.0</v>
      </c>
      <c r="S1224" s="23">
        <v>0.0</v>
      </c>
      <c r="T1224" s="23">
        <f t="shared" si="3"/>
        <v>0</v>
      </c>
      <c r="U1224" s="23">
        <f t="shared" si="4"/>
        <v>0</v>
      </c>
      <c r="V1224" s="23">
        <f t="shared" si="5"/>
        <v>0</v>
      </c>
      <c r="W1224" s="24" t="str">
        <f t="shared" si="6"/>
        <v>#DIV/0!</v>
      </c>
    </row>
    <row r="1225">
      <c r="A1225" s="15" t="s">
        <v>303</v>
      </c>
      <c r="B1225" s="15" t="s">
        <v>304</v>
      </c>
      <c r="C1225" s="15" t="s">
        <v>6092</v>
      </c>
      <c r="D1225" s="15" t="s">
        <v>305</v>
      </c>
      <c r="E1225" s="17" t="s">
        <v>6093</v>
      </c>
      <c r="F1225" s="18"/>
      <c r="G1225" s="18"/>
      <c r="H1225" s="15" t="s">
        <v>307</v>
      </c>
      <c r="I1225" s="18"/>
      <c r="J1225" s="19" t="s">
        <v>59</v>
      </c>
      <c r="K1225" s="19" t="s">
        <v>60</v>
      </c>
      <c r="L1225" s="19" t="s">
        <v>52</v>
      </c>
      <c r="M1225" s="20">
        <f t="shared" si="2"/>
        <v>1012.32</v>
      </c>
      <c r="N1225" s="31">
        <v>5.0</v>
      </c>
      <c r="O1225" s="19" t="s">
        <v>107</v>
      </c>
      <c r="P1225" s="18"/>
      <c r="Q1225" s="18"/>
      <c r="R1225" s="23">
        <v>7.0</v>
      </c>
      <c r="S1225" s="23">
        <v>57.0</v>
      </c>
      <c r="T1225" s="23">
        <f t="shared" si="3"/>
        <v>54.72</v>
      </c>
      <c r="U1225" s="23">
        <f t="shared" si="4"/>
        <v>8.575</v>
      </c>
      <c r="V1225" s="23">
        <f t="shared" si="5"/>
        <v>160.78125</v>
      </c>
      <c r="W1225" s="24">
        <f t="shared" si="6"/>
        <v>7.817142857</v>
      </c>
    </row>
    <row r="1226">
      <c r="A1226" s="15" t="s">
        <v>581</v>
      </c>
      <c r="B1226" s="15" t="s">
        <v>582</v>
      </c>
      <c r="C1226" s="15" t="s">
        <v>7874</v>
      </c>
      <c r="D1226" s="15" t="s">
        <v>583</v>
      </c>
      <c r="E1226" s="17" t="s">
        <v>584</v>
      </c>
      <c r="F1226" s="18"/>
      <c r="G1226" s="18"/>
      <c r="H1226" s="15" t="s">
        <v>585</v>
      </c>
      <c r="I1226" s="18"/>
      <c r="J1226" s="19" t="s">
        <v>59</v>
      </c>
      <c r="K1226" s="19" t="s">
        <v>60</v>
      </c>
      <c r="L1226" s="19" t="s">
        <v>52</v>
      </c>
      <c r="M1226" s="20">
        <f t="shared" si="2"/>
        <v>14492.16</v>
      </c>
      <c r="N1226" s="31">
        <v>2.0</v>
      </c>
      <c r="O1226" s="19" t="s">
        <v>107</v>
      </c>
      <c r="P1226" s="18"/>
      <c r="Q1226" s="18"/>
      <c r="R1226" s="23">
        <v>145.0</v>
      </c>
      <c r="S1226" s="23">
        <v>816.0</v>
      </c>
      <c r="T1226" s="23">
        <f t="shared" si="3"/>
        <v>783.36</v>
      </c>
      <c r="U1226" s="23">
        <f t="shared" si="4"/>
        <v>177.625</v>
      </c>
      <c r="V1226" s="23">
        <f t="shared" si="5"/>
        <v>3330.46875</v>
      </c>
      <c r="W1226" s="24">
        <f t="shared" si="6"/>
        <v>5.402482759</v>
      </c>
    </row>
    <row r="1227">
      <c r="A1227" s="15" t="s">
        <v>374</v>
      </c>
      <c r="B1227" s="15" t="s">
        <v>375</v>
      </c>
      <c r="C1227" s="15" t="s">
        <v>6111</v>
      </c>
      <c r="D1227" s="15" t="s">
        <v>6112</v>
      </c>
      <c r="E1227" s="17" t="s">
        <v>377</v>
      </c>
      <c r="F1227" s="18"/>
      <c r="G1227" s="18"/>
      <c r="H1227" s="15" t="s">
        <v>378</v>
      </c>
      <c r="I1227" s="15"/>
      <c r="J1227" s="19" t="s">
        <v>59</v>
      </c>
      <c r="K1227" s="19" t="s">
        <v>60</v>
      </c>
      <c r="L1227" s="19" t="s">
        <v>52</v>
      </c>
      <c r="M1227" s="20">
        <f t="shared" si="2"/>
        <v>444</v>
      </c>
      <c r="N1227" s="31">
        <v>15.0</v>
      </c>
      <c r="O1227" s="19" t="s">
        <v>107</v>
      </c>
      <c r="P1227" s="18"/>
      <c r="Q1227" s="18"/>
      <c r="R1227" s="23">
        <v>3.3</v>
      </c>
      <c r="S1227" s="23">
        <v>25.0</v>
      </c>
      <c r="T1227" s="23">
        <f t="shared" si="3"/>
        <v>24</v>
      </c>
      <c r="U1227" s="23">
        <f t="shared" si="4"/>
        <v>4.0425</v>
      </c>
      <c r="V1227" s="23">
        <f t="shared" si="5"/>
        <v>75.796875</v>
      </c>
      <c r="W1227" s="24">
        <f t="shared" si="6"/>
        <v>7.272727273</v>
      </c>
    </row>
    <row r="1228">
      <c r="A1228" s="15" t="s">
        <v>5200</v>
      </c>
      <c r="B1228" s="18"/>
      <c r="C1228" s="15" t="s">
        <v>7875</v>
      </c>
      <c r="D1228" s="18"/>
      <c r="E1228" s="17" t="s">
        <v>7876</v>
      </c>
      <c r="F1228" s="18"/>
      <c r="G1228" s="18"/>
      <c r="H1228" s="15" t="s">
        <v>7877</v>
      </c>
      <c r="I1228" s="15" t="s">
        <v>5203</v>
      </c>
      <c r="J1228" s="19" t="s">
        <v>59</v>
      </c>
      <c r="K1228" s="19" t="s">
        <v>2396</v>
      </c>
      <c r="L1228" s="19" t="s">
        <v>38</v>
      </c>
      <c r="M1228" s="20">
        <f t="shared" si="2"/>
        <v>0</v>
      </c>
      <c r="N1228" s="22"/>
      <c r="O1228" s="19" t="s">
        <v>1145</v>
      </c>
      <c r="P1228" s="18"/>
      <c r="Q1228" s="18"/>
      <c r="R1228" s="23">
        <v>0.0</v>
      </c>
      <c r="S1228" s="23">
        <v>0.0</v>
      </c>
      <c r="T1228" s="23">
        <f t="shared" si="3"/>
        <v>0</v>
      </c>
      <c r="U1228" s="23">
        <f t="shared" si="4"/>
        <v>0</v>
      </c>
      <c r="V1228" s="23">
        <f t="shared" si="5"/>
        <v>0</v>
      </c>
      <c r="W1228" s="24" t="str">
        <f t="shared" si="6"/>
        <v>#DIV/0!</v>
      </c>
    </row>
    <row r="1229">
      <c r="A1229" s="15" t="s">
        <v>5204</v>
      </c>
      <c r="B1229" s="18"/>
      <c r="C1229" s="15" t="s">
        <v>7878</v>
      </c>
      <c r="D1229" s="18"/>
      <c r="E1229" s="17" t="s">
        <v>7879</v>
      </c>
      <c r="F1229" s="18"/>
      <c r="G1229" s="18"/>
      <c r="H1229" s="15" t="s">
        <v>7880</v>
      </c>
      <c r="I1229" s="15" t="s">
        <v>5207</v>
      </c>
      <c r="J1229" s="19" t="s">
        <v>59</v>
      </c>
      <c r="K1229" s="19" t="s">
        <v>2396</v>
      </c>
      <c r="L1229" s="19" t="s">
        <v>38</v>
      </c>
      <c r="M1229" s="20">
        <f t="shared" si="2"/>
        <v>0</v>
      </c>
      <c r="N1229" s="22"/>
      <c r="O1229" s="19" t="s">
        <v>1145</v>
      </c>
      <c r="P1229" s="18"/>
      <c r="Q1229" s="18"/>
      <c r="R1229" s="23">
        <v>0.0</v>
      </c>
      <c r="S1229" s="23">
        <v>0.0</v>
      </c>
      <c r="T1229" s="23">
        <f t="shared" si="3"/>
        <v>0</v>
      </c>
      <c r="U1229" s="23">
        <f t="shared" si="4"/>
        <v>0</v>
      </c>
      <c r="V1229" s="23">
        <f t="shared" si="5"/>
        <v>0</v>
      </c>
      <c r="W1229" s="24" t="str">
        <f t="shared" si="6"/>
        <v>#DIV/0!</v>
      </c>
    </row>
    <row r="1230">
      <c r="A1230" s="15" t="s">
        <v>5208</v>
      </c>
      <c r="B1230" s="18"/>
      <c r="C1230" s="15" t="s">
        <v>7881</v>
      </c>
      <c r="D1230" s="18"/>
      <c r="E1230" s="17" t="s">
        <v>7882</v>
      </c>
      <c r="F1230" s="18"/>
      <c r="G1230" s="18"/>
      <c r="H1230" s="15" t="s">
        <v>7883</v>
      </c>
      <c r="I1230" s="15" t="s">
        <v>5211</v>
      </c>
      <c r="J1230" s="19" t="s">
        <v>59</v>
      </c>
      <c r="K1230" s="19" t="s">
        <v>691</v>
      </c>
      <c r="L1230" s="19" t="s">
        <v>38</v>
      </c>
      <c r="M1230" s="20">
        <f t="shared" si="2"/>
        <v>0</v>
      </c>
      <c r="N1230" s="22"/>
      <c r="O1230" s="19" t="s">
        <v>1145</v>
      </c>
      <c r="P1230" s="18"/>
      <c r="Q1230" s="18"/>
      <c r="R1230" s="23">
        <v>0.0</v>
      </c>
      <c r="S1230" s="23">
        <v>0.0</v>
      </c>
      <c r="T1230" s="23">
        <f t="shared" si="3"/>
        <v>0</v>
      </c>
      <c r="U1230" s="23">
        <f t="shared" si="4"/>
        <v>0</v>
      </c>
      <c r="V1230" s="23">
        <f t="shared" si="5"/>
        <v>0</v>
      </c>
      <c r="W1230" s="24" t="str">
        <f t="shared" si="6"/>
        <v>#DIV/0!</v>
      </c>
    </row>
    <row r="1231">
      <c r="A1231" s="15" t="s">
        <v>3132</v>
      </c>
      <c r="B1231" s="18"/>
      <c r="C1231" s="15" t="s">
        <v>7884</v>
      </c>
      <c r="D1231" s="18"/>
      <c r="E1231" s="17" t="s">
        <v>3133</v>
      </c>
      <c r="F1231" s="18"/>
      <c r="G1231" s="18"/>
      <c r="H1231" s="15" t="s">
        <v>3134</v>
      </c>
      <c r="I1231" s="15" t="s">
        <v>2505</v>
      </c>
      <c r="J1231" s="19" t="s">
        <v>59</v>
      </c>
      <c r="K1231" s="19" t="s">
        <v>691</v>
      </c>
      <c r="L1231" s="19" t="s">
        <v>38</v>
      </c>
      <c r="M1231" s="20">
        <f t="shared" si="2"/>
        <v>0</v>
      </c>
      <c r="N1231" s="22"/>
      <c r="O1231" s="19" t="s">
        <v>1145</v>
      </c>
      <c r="P1231" s="18"/>
      <c r="Q1231" s="18"/>
      <c r="R1231" s="23">
        <v>0.0</v>
      </c>
      <c r="S1231" s="23">
        <v>0.0</v>
      </c>
      <c r="T1231" s="23">
        <f t="shared" si="3"/>
        <v>0</v>
      </c>
      <c r="U1231" s="23">
        <f t="shared" si="4"/>
        <v>0</v>
      </c>
      <c r="V1231" s="23">
        <f t="shared" si="5"/>
        <v>0</v>
      </c>
      <c r="W1231" s="24" t="str">
        <f t="shared" si="6"/>
        <v>#DIV/0!</v>
      </c>
    </row>
    <row r="1232">
      <c r="A1232" s="15" t="s">
        <v>3135</v>
      </c>
      <c r="B1232" s="18"/>
      <c r="C1232" s="15" t="s">
        <v>7885</v>
      </c>
      <c r="D1232" s="18"/>
      <c r="E1232" s="17" t="s">
        <v>3136</v>
      </c>
      <c r="F1232" s="18"/>
      <c r="G1232" s="18"/>
      <c r="H1232" s="15" t="s">
        <v>3137</v>
      </c>
      <c r="I1232" s="15" t="s">
        <v>3138</v>
      </c>
      <c r="J1232" s="19" t="s">
        <v>59</v>
      </c>
      <c r="K1232" s="19" t="s">
        <v>2382</v>
      </c>
      <c r="L1232" s="19" t="s">
        <v>38</v>
      </c>
      <c r="M1232" s="20">
        <f t="shared" si="2"/>
        <v>0</v>
      </c>
      <c r="N1232" s="22"/>
      <c r="O1232" s="19" t="s">
        <v>1145</v>
      </c>
      <c r="P1232" s="18"/>
      <c r="Q1232" s="18"/>
      <c r="R1232" s="23">
        <v>0.0</v>
      </c>
      <c r="S1232" s="23">
        <v>0.0</v>
      </c>
      <c r="T1232" s="23">
        <f t="shared" si="3"/>
        <v>0</v>
      </c>
      <c r="U1232" s="23">
        <f t="shared" si="4"/>
        <v>0</v>
      </c>
      <c r="V1232" s="23">
        <f t="shared" si="5"/>
        <v>0</v>
      </c>
      <c r="W1232" s="24" t="str">
        <f t="shared" si="6"/>
        <v>#DIV/0!</v>
      </c>
    </row>
    <row r="1233">
      <c r="A1233" s="15" t="s">
        <v>5212</v>
      </c>
      <c r="B1233" s="15" t="s">
        <v>5213</v>
      </c>
      <c r="C1233" s="15" t="s">
        <v>7886</v>
      </c>
      <c r="D1233" s="15" t="s">
        <v>5214</v>
      </c>
      <c r="E1233" s="17" t="s">
        <v>5215</v>
      </c>
      <c r="F1233" s="18"/>
      <c r="G1233" s="18"/>
      <c r="H1233" s="15" t="s">
        <v>5216</v>
      </c>
      <c r="I1233" s="18"/>
      <c r="J1233" s="19" t="s">
        <v>59</v>
      </c>
      <c r="K1233" s="19" t="s">
        <v>60</v>
      </c>
      <c r="L1233" s="19" t="s">
        <v>52</v>
      </c>
      <c r="M1233" s="20">
        <f t="shared" si="2"/>
        <v>0</v>
      </c>
      <c r="N1233" s="22"/>
      <c r="O1233" s="19" t="s">
        <v>3578</v>
      </c>
      <c r="P1233" s="18"/>
      <c r="Q1233" s="18"/>
      <c r="R1233" s="23">
        <v>0.0</v>
      </c>
      <c r="S1233" s="23">
        <v>0.0</v>
      </c>
      <c r="T1233" s="23">
        <f t="shared" si="3"/>
        <v>0</v>
      </c>
      <c r="U1233" s="23">
        <f t="shared" si="4"/>
        <v>0</v>
      </c>
      <c r="V1233" s="23">
        <f t="shared" si="5"/>
        <v>0</v>
      </c>
      <c r="W1233" s="24" t="str">
        <f t="shared" si="6"/>
        <v>#DIV/0!</v>
      </c>
    </row>
    <row r="1234">
      <c r="A1234" s="15" t="s">
        <v>390</v>
      </c>
      <c r="B1234" s="15" t="s">
        <v>391</v>
      </c>
      <c r="C1234" s="15" t="s">
        <v>7887</v>
      </c>
      <c r="D1234" s="15" t="s">
        <v>392</v>
      </c>
      <c r="E1234" s="17" t="s">
        <v>393</v>
      </c>
      <c r="F1234" s="18"/>
      <c r="G1234" s="18"/>
      <c r="H1234" s="15" t="s">
        <v>5994</v>
      </c>
      <c r="I1234" s="18"/>
      <c r="J1234" s="19" t="s">
        <v>59</v>
      </c>
      <c r="K1234" s="19" t="s">
        <v>60</v>
      </c>
      <c r="L1234" s="19" t="s">
        <v>38</v>
      </c>
      <c r="M1234" s="20">
        <f t="shared" si="2"/>
        <v>10478.4</v>
      </c>
      <c r="N1234" s="31">
        <v>2.0</v>
      </c>
      <c r="O1234" s="19" t="s">
        <v>107</v>
      </c>
      <c r="P1234" s="18"/>
      <c r="Q1234" s="18"/>
      <c r="R1234" s="23">
        <v>80.0</v>
      </c>
      <c r="S1234" s="23">
        <v>590.0</v>
      </c>
      <c r="T1234" s="23">
        <f t="shared" si="3"/>
        <v>566.4</v>
      </c>
      <c r="U1234" s="23">
        <f t="shared" si="4"/>
        <v>98</v>
      </c>
      <c r="V1234" s="23">
        <f t="shared" si="5"/>
        <v>1837.5</v>
      </c>
      <c r="W1234" s="24">
        <f t="shared" si="6"/>
        <v>7.08</v>
      </c>
    </row>
    <row r="1235">
      <c r="A1235" s="15" t="s">
        <v>3139</v>
      </c>
      <c r="B1235" s="18"/>
      <c r="C1235" s="15" t="s">
        <v>7888</v>
      </c>
      <c r="D1235" s="18"/>
      <c r="E1235" s="17" t="s">
        <v>3140</v>
      </c>
      <c r="F1235" s="18"/>
      <c r="G1235" s="18"/>
      <c r="H1235" s="15" t="s">
        <v>3141</v>
      </c>
      <c r="I1235" s="15" t="s">
        <v>3142</v>
      </c>
      <c r="J1235" s="19" t="s">
        <v>59</v>
      </c>
      <c r="K1235" s="19" t="s">
        <v>2396</v>
      </c>
      <c r="L1235" s="19" t="s">
        <v>38</v>
      </c>
      <c r="M1235" s="20">
        <f t="shared" si="2"/>
        <v>0</v>
      </c>
      <c r="N1235" s="22"/>
      <c r="O1235" s="19" t="s">
        <v>1145</v>
      </c>
      <c r="P1235" s="18"/>
      <c r="Q1235" s="18"/>
      <c r="R1235" s="23">
        <v>0.0</v>
      </c>
      <c r="S1235" s="23">
        <v>0.0</v>
      </c>
      <c r="T1235" s="23">
        <f t="shared" si="3"/>
        <v>0</v>
      </c>
      <c r="U1235" s="23">
        <f t="shared" si="4"/>
        <v>0</v>
      </c>
      <c r="V1235" s="23">
        <f t="shared" si="5"/>
        <v>0</v>
      </c>
      <c r="W1235" s="24" t="str">
        <f t="shared" si="6"/>
        <v>#DIV/0!</v>
      </c>
    </row>
    <row r="1236">
      <c r="A1236" s="15" t="s">
        <v>5217</v>
      </c>
      <c r="B1236" s="18"/>
      <c r="C1236" s="15" t="s">
        <v>7889</v>
      </c>
      <c r="D1236" s="18"/>
      <c r="E1236" s="17" t="s">
        <v>7890</v>
      </c>
      <c r="F1236" s="18"/>
      <c r="G1236" s="18"/>
      <c r="H1236" s="15" t="s">
        <v>5221</v>
      </c>
      <c r="I1236" s="15" t="s">
        <v>5220</v>
      </c>
      <c r="J1236" s="19" t="s">
        <v>59</v>
      </c>
      <c r="K1236" s="19" t="s">
        <v>2396</v>
      </c>
      <c r="L1236" s="19" t="s">
        <v>38</v>
      </c>
      <c r="M1236" s="20">
        <f t="shared" si="2"/>
        <v>0</v>
      </c>
      <c r="N1236" s="22"/>
      <c r="O1236" s="19" t="s">
        <v>1145</v>
      </c>
      <c r="P1236" s="18"/>
      <c r="Q1236" s="18"/>
      <c r="R1236" s="23">
        <v>0.0</v>
      </c>
      <c r="S1236" s="23">
        <v>0.0</v>
      </c>
      <c r="T1236" s="23">
        <f t="shared" si="3"/>
        <v>0</v>
      </c>
      <c r="U1236" s="23">
        <f t="shared" si="4"/>
        <v>0</v>
      </c>
      <c r="V1236" s="23">
        <f t="shared" si="5"/>
        <v>0</v>
      </c>
      <c r="W1236" s="24" t="str">
        <f t="shared" si="6"/>
        <v>#DIV/0!</v>
      </c>
    </row>
    <row r="1237">
      <c r="A1237" s="15" t="s">
        <v>3143</v>
      </c>
      <c r="B1237" s="18"/>
      <c r="C1237" s="15" t="s">
        <v>7891</v>
      </c>
      <c r="D1237" s="18"/>
      <c r="E1237" s="17" t="s">
        <v>3144</v>
      </c>
      <c r="F1237" s="18"/>
      <c r="G1237" s="18"/>
      <c r="H1237" s="15" t="s">
        <v>3145</v>
      </c>
      <c r="I1237" s="15" t="s">
        <v>2844</v>
      </c>
      <c r="J1237" s="19" t="s">
        <v>59</v>
      </c>
      <c r="K1237" s="19" t="s">
        <v>2396</v>
      </c>
      <c r="L1237" s="19" t="s">
        <v>38</v>
      </c>
      <c r="M1237" s="20">
        <f t="shared" si="2"/>
        <v>0</v>
      </c>
      <c r="N1237" s="22"/>
      <c r="O1237" s="19" t="s">
        <v>1145</v>
      </c>
      <c r="P1237" s="18"/>
      <c r="Q1237" s="18"/>
      <c r="R1237" s="23">
        <v>0.0</v>
      </c>
      <c r="S1237" s="23">
        <v>0.0</v>
      </c>
      <c r="T1237" s="23">
        <f t="shared" si="3"/>
        <v>0</v>
      </c>
      <c r="U1237" s="23">
        <f t="shared" si="4"/>
        <v>0</v>
      </c>
      <c r="V1237" s="23">
        <f t="shared" si="5"/>
        <v>0</v>
      </c>
      <c r="W1237" s="24" t="str">
        <f t="shared" si="6"/>
        <v>#DIV/0!</v>
      </c>
    </row>
    <row r="1238">
      <c r="A1238" s="15" t="s">
        <v>5222</v>
      </c>
      <c r="B1238" s="18"/>
      <c r="C1238" s="15" t="s">
        <v>7892</v>
      </c>
      <c r="D1238" s="18"/>
      <c r="E1238" s="17" t="s">
        <v>3144</v>
      </c>
      <c r="F1238" s="18"/>
      <c r="G1238" s="18"/>
      <c r="H1238" s="15" t="s">
        <v>7893</v>
      </c>
      <c r="I1238" s="15" t="s">
        <v>5225</v>
      </c>
      <c r="J1238" s="19" t="s">
        <v>59</v>
      </c>
      <c r="K1238" s="19" t="s">
        <v>2396</v>
      </c>
      <c r="L1238" s="19" t="s">
        <v>38</v>
      </c>
      <c r="M1238" s="20">
        <f t="shared" si="2"/>
        <v>0</v>
      </c>
      <c r="N1238" s="22"/>
      <c r="O1238" s="19" t="s">
        <v>1145</v>
      </c>
      <c r="P1238" s="18"/>
      <c r="Q1238" s="18"/>
      <c r="R1238" s="23">
        <v>0.0</v>
      </c>
      <c r="S1238" s="23">
        <v>0.0</v>
      </c>
      <c r="T1238" s="23">
        <f t="shared" si="3"/>
        <v>0</v>
      </c>
      <c r="U1238" s="23">
        <f t="shared" si="4"/>
        <v>0</v>
      </c>
      <c r="V1238" s="23">
        <f t="shared" si="5"/>
        <v>0</v>
      </c>
      <c r="W1238" s="24" t="str">
        <f t="shared" si="6"/>
        <v>#DIV/0!</v>
      </c>
    </row>
    <row r="1239">
      <c r="A1239" s="15" t="s">
        <v>166</v>
      </c>
      <c r="B1239" s="15" t="s">
        <v>167</v>
      </c>
      <c r="C1239" s="15" t="s">
        <v>6048</v>
      </c>
      <c r="D1239" s="15" t="s">
        <v>168</v>
      </c>
      <c r="E1239" s="17" t="s">
        <v>169</v>
      </c>
      <c r="F1239" s="18"/>
      <c r="G1239" s="18"/>
      <c r="H1239" s="15" t="s">
        <v>170</v>
      </c>
      <c r="I1239" s="18"/>
      <c r="J1239" s="19" t="s">
        <v>59</v>
      </c>
      <c r="K1239" s="19" t="s">
        <v>60</v>
      </c>
      <c r="L1239" s="19" t="s">
        <v>115</v>
      </c>
      <c r="M1239" s="20">
        <f t="shared" si="2"/>
        <v>5256.96</v>
      </c>
      <c r="N1239" s="31">
        <v>4.0</v>
      </c>
      <c r="O1239" s="19" t="s">
        <v>107</v>
      </c>
      <c r="P1239" s="18"/>
      <c r="Q1239" s="18"/>
      <c r="R1239" s="23">
        <v>21.0</v>
      </c>
      <c r="S1239" s="23">
        <v>296.0</v>
      </c>
      <c r="T1239" s="23">
        <f t="shared" si="3"/>
        <v>284.16</v>
      </c>
      <c r="U1239" s="23">
        <f t="shared" si="4"/>
        <v>25.725</v>
      </c>
      <c r="V1239" s="23">
        <f t="shared" si="5"/>
        <v>482.34375</v>
      </c>
      <c r="W1239" s="24">
        <f t="shared" si="6"/>
        <v>13.53142857</v>
      </c>
    </row>
    <row r="1240">
      <c r="A1240" s="15" t="s">
        <v>7894</v>
      </c>
      <c r="B1240" s="18"/>
      <c r="C1240" s="15" t="s">
        <v>7895</v>
      </c>
      <c r="D1240" s="18"/>
      <c r="E1240" s="17" t="s">
        <v>7896</v>
      </c>
      <c r="F1240" s="18"/>
      <c r="G1240" s="18"/>
      <c r="H1240" s="15" t="s">
        <v>7897</v>
      </c>
      <c r="I1240" s="15" t="s">
        <v>170</v>
      </c>
      <c r="J1240" s="19" t="s">
        <v>59</v>
      </c>
      <c r="K1240" s="19" t="s">
        <v>691</v>
      </c>
      <c r="L1240" s="19" t="s">
        <v>38</v>
      </c>
      <c r="M1240" s="20">
        <f t="shared" si="2"/>
        <v>0</v>
      </c>
      <c r="N1240" s="22"/>
      <c r="O1240" s="19" t="s">
        <v>39</v>
      </c>
      <c r="P1240" s="18"/>
      <c r="Q1240" s="18"/>
      <c r="R1240" s="23">
        <v>0.0</v>
      </c>
      <c r="S1240" s="23">
        <v>0.0</v>
      </c>
      <c r="T1240" s="23">
        <f t="shared" si="3"/>
        <v>0</v>
      </c>
      <c r="U1240" s="23">
        <f t="shared" si="4"/>
        <v>0</v>
      </c>
      <c r="V1240" s="23">
        <f t="shared" si="5"/>
        <v>0</v>
      </c>
      <c r="W1240" s="24" t="str">
        <f t="shared" si="6"/>
        <v>#DIV/0!</v>
      </c>
    </row>
    <row r="1241">
      <c r="A1241" s="15" t="s">
        <v>3146</v>
      </c>
      <c r="B1241" s="18"/>
      <c r="C1241" s="15" t="s">
        <v>7898</v>
      </c>
      <c r="D1241" s="18"/>
      <c r="E1241" s="17" t="s">
        <v>3147</v>
      </c>
      <c r="F1241" s="18"/>
      <c r="G1241" s="18"/>
      <c r="H1241" s="15" t="s">
        <v>3148</v>
      </c>
      <c r="I1241" s="15" t="s">
        <v>3149</v>
      </c>
      <c r="J1241" s="19" t="s">
        <v>59</v>
      </c>
      <c r="K1241" s="19" t="s">
        <v>2387</v>
      </c>
      <c r="L1241" s="19" t="s">
        <v>38</v>
      </c>
      <c r="M1241" s="20">
        <f t="shared" si="2"/>
        <v>0</v>
      </c>
      <c r="N1241" s="22"/>
      <c r="O1241" s="19" t="s">
        <v>1145</v>
      </c>
      <c r="P1241" s="18"/>
      <c r="Q1241" s="18"/>
      <c r="R1241" s="23">
        <v>0.0</v>
      </c>
      <c r="S1241" s="23">
        <v>0.0</v>
      </c>
      <c r="T1241" s="23">
        <f t="shared" si="3"/>
        <v>0</v>
      </c>
      <c r="U1241" s="23">
        <f t="shared" si="4"/>
        <v>0</v>
      </c>
      <c r="V1241" s="23">
        <f t="shared" si="5"/>
        <v>0</v>
      </c>
      <c r="W1241" s="24" t="str">
        <f t="shared" si="6"/>
        <v>#DIV/0!</v>
      </c>
    </row>
    <row r="1242">
      <c r="A1242" s="15" t="s">
        <v>3150</v>
      </c>
      <c r="B1242" s="18"/>
      <c r="C1242" s="15" t="s">
        <v>7899</v>
      </c>
      <c r="D1242" s="18"/>
      <c r="E1242" s="17" t="s">
        <v>3151</v>
      </c>
      <c r="F1242" s="18"/>
      <c r="G1242" s="18"/>
      <c r="H1242" s="15" t="s">
        <v>3152</v>
      </c>
      <c r="I1242" s="15" t="s">
        <v>3153</v>
      </c>
      <c r="J1242" s="19" t="s">
        <v>59</v>
      </c>
      <c r="K1242" s="19" t="s">
        <v>691</v>
      </c>
      <c r="L1242" s="19" t="s">
        <v>38</v>
      </c>
      <c r="M1242" s="20">
        <f t="shared" si="2"/>
        <v>0</v>
      </c>
      <c r="N1242" s="22"/>
      <c r="O1242" s="19" t="s">
        <v>1145</v>
      </c>
      <c r="P1242" s="18"/>
      <c r="Q1242" s="18"/>
      <c r="R1242" s="23">
        <v>0.0</v>
      </c>
      <c r="S1242" s="23">
        <v>0.0</v>
      </c>
      <c r="T1242" s="23">
        <f t="shared" si="3"/>
        <v>0</v>
      </c>
      <c r="U1242" s="23">
        <f t="shared" si="4"/>
        <v>0</v>
      </c>
      <c r="V1242" s="23">
        <f t="shared" si="5"/>
        <v>0</v>
      </c>
      <c r="W1242" s="24" t="str">
        <f t="shared" si="6"/>
        <v>#DIV/0!</v>
      </c>
    </row>
    <row r="1243">
      <c r="A1243" s="15" t="s">
        <v>7900</v>
      </c>
      <c r="B1243" s="18"/>
      <c r="C1243" s="15" t="s">
        <v>7901</v>
      </c>
      <c r="D1243" s="18"/>
      <c r="E1243" s="17" t="s">
        <v>7902</v>
      </c>
      <c r="F1243" s="18"/>
      <c r="G1243" s="18"/>
      <c r="H1243" s="15" t="s">
        <v>7903</v>
      </c>
      <c r="I1243" s="15" t="s">
        <v>596</v>
      </c>
      <c r="J1243" s="19" t="s">
        <v>59</v>
      </c>
      <c r="K1243" s="19" t="s">
        <v>691</v>
      </c>
      <c r="L1243" s="19" t="s">
        <v>38</v>
      </c>
      <c r="M1243" s="20">
        <f t="shared" si="2"/>
        <v>0</v>
      </c>
      <c r="N1243" s="22"/>
      <c r="O1243" s="19" t="s">
        <v>39</v>
      </c>
      <c r="P1243" s="18"/>
      <c r="Q1243" s="18"/>
      <c r="R1243" s="23">
        <v>0.0</v>
      </c>
      <c r="S1243" s="23">
        <v>0.0</v>
      </c>
      <c r="T1243" s="23">
        <f t="shared" si="3"/>
        <v>0</v>
      </c>
      <c r="U1243" s="23">
        <f t="shared" si="4"/>
        <v>0</v>
      </c>
      <c r="V1243" s="23">
        <f t="shared" si="5"/>
        <v>0</v>
      </c>
      <c r="W1243" s="24" t="str">
        <f t="shared" si="6"/>
        <v>#DIV/0!</v>
      </c>
    </row>
    <row r="1244">
      <c r="A1244" s="15" t="s">
        <v>3154</v>
      </c>
      <c r="B1244" s="18"/>
      <c r="C1244" s="15" t="s">
        <v>7904</v>
      </c>
      <c r="D1244" s="18"/>
      <c r="E1244" s="17" t="s">
        <v>3155</v>
      </c>
      <c r="F1244" s="18"/>
      <c r="G1244" s="18"/>
      <c r="H1244" s="15" t="s">
        <v>3156</v>
      </c>
      <c r="I1244" s="15" t="s">
        <v>3157</v>
      </c>
      <c r="J1244" s="19" t="s">
        <v>59</v>
      </c>
      <c r="K1244" s="19" t="s">
        <v>2382</v>
      </c>
      <c r="L1244" s="19" t="s">
        <v>38</v>
      </c>
      <c r="M1244" s="20">
        <f t="shared" si="2"/>
        <v>0</v>
      </c>
      <c r="N1244" s="22"/>
      <c r="O1244" s="19" t="s">
        <v>1145</v>
      </c>
      <c r="P1244" s="18"/>
      <c r="Q1244" s="18"/>
      <c r="R1244" s="23">
        <v>0.0</v>
      </c>
      <c r="S1244" s="23">
        <v>0.0</v>
      </c>
      <c r="T1244" s="23">
        <f t="shared" si="3"/>
        <v>0</v>
      </c>
      <c r="U1244" s="23">
        <f t="shared" si="4"/>
        <v>0</v>
      </c>
      <c r="V1244" s="23">
        <f t="shared" si="5"/>
        <v>0</v>
      </c>
      <c r="W1244" s="24" t="str">
        <f t="shared" si="6"/>
        <v>#DIV/0!</v>
      </c>
    </row>
    <row r="1245">
      <c r="A1245" s="15" t="s">
        <v>3158</v>
      </c>
      <c r="B1245" s="18"/>
      <c r="C1245" s="15" t="s">
        <v>7905</v>
      </c>
      <c r="D1245" s="18"/>
      <c r="E1245" s="17" t="s">
        <v>3159</v>
      </c>
      <c r="F1245" s="18"/>
      <c r="G1245" s="18"/>
      <c r="H1245" s="15" t="s">
        <v>3160</v>
      </c>
      <c r="I1245" s="15" t="s">
        <v>3161</v>
      </c>
      <c r="J1245" s="19" t="s">
        <v>59</v>
      </c>
      <c r="K1245" s="19" t="s">
        <v>2382</v>
      </c>
      <c r="L1245" s="19" t="s">
        <v>38</v>
      </c>
      <c r="M1245" s="20">
        <f t="shared" si="2"/>
        <v>0</v>
      </c>
      <c r="N1245" s="22"/>
      <c r="O1245" s="19" t="s">
        <v>1145</v>
      </c>
      <c r="P1245" s="18"/>
      <c r="Q1245" s="18"/>
      <c r="R1245" s="23">
        <v>0.0</v>
      </c>
      <c r="S1245" s="23">
        <v>0.0</v>
      </c>
      <c r="T1245" s="23">
        <f t="shared" si="3"/>
        <v>0</v>
      </c>
      <c r="U1245" s="23">
        <f t="shared" si="4"/>
        <v>0</v>
      </c>
      <c r="V1245" s="23">
        <f t="shared" si="5"/>
        <v>0</v>
      </c>
      <c r="W1245" s="24" t="str">
        <f t="shared" si="6"/>
        <v>#DIV/0!</v>
      </c>
    </row>
    <row r="1246">
      <c r="A1246" s="15" t="s">
        <v>7906</v>
      </c>
      <c r="B1246" s="18"/>
      <c r="C1246" s="15" t="s">
        <v>7907</v>
      </c>
      <c r="D1246" s="18"/>
      <c r="E1246" s="17" t="s">
        <v>7908</v>
      </c>
      <c r="F1246" s="18"/>
      <c r="G1246" s="18"/>
      <c r="H1246" s="15" t="s">
        <v>7909</v>
      </c>
      <c r="I1246" s="15" t="s">
        <v>445</v>
      </c>
      <c r="J1246" s="19" t="s">
        <v>59</v>
      </c>
      <c r="K1246" s="19" t="s">
        <v>2382</v>
      </c>
      <c r="L1246" s="19" t="s">
        <v>38</v>
      </c>
      <c r="M1246" s="20">
        <f t="shared" si="2"/>
        <v>0</v>
      </c>
      <c r="N1246" s="22"/>
      <c r="O1246" s="19" t="s">
        <v>39</v>
      </c>
      <c r="P1246" s="18"/>
      <c r="Q1246" s="18"/>
      <c r="R1246" s="23">
        <v>0.0</v>
      </c>
      <c r="S1246" s="23">
        <v>0.0</v>
      </c>
      <c r="T1246" s="23">
        <f t="shared" si="3"/>
        <v>0</v>
      </c>
      <c r="U1246" s="23">
        <f t="shared" si="4"/>
        <v>0</v>
      </c>
      <c r="V1246" s="23">
        <f t="shared" si="5"/>
        <v>0</v>
      </c>
      <c r="W1246" s="24" t="str">
        <f t="shared" si="6"/>
        <v>#DIV/0!</v>
      </c>
    </row>
    <row r="1247">
      <c r="A1247" s="15" t="s">
        <v>3162</v>
      </c>
      <c r="B1247" s="18"/>
      <c r="C1247" s="15" t="s">
        <v>7910</v>
      </c>
      <c r="D1247" s="18"/>
      <c r="E1247" s="17" t="s">
        <v>3163</v>
      </c>
      <c r="F1247" s="18"/>
      <c r="G1247" s="18"/>
      <c r="H1247" s="15" t="s">
        <v>3164</v>
      </c>
      <c r="I1247" s="15" t="s">
        <v>3165</v>
      </c>
      <c r="J1247" s="19" t="s">
        <v>59</v>
      </c>
      <c r="K1247" s="19" t="s">
        <v>2382</v>
      </c>
      <c r="L1247" s="19" t="s">
        <v>38</v>
      </c>
      <c r="M1247" s="20">
        <f t="shared" si="2"/>
        <v>0</v>
      </c>
      <c r="N1247" s="22"/>
      <c r="O1247" s="19" t="s">
        <v>1145</v>
      </c>
      <c r="P1247" s="18"/>
      <c r="Q1247" s="18"/>
      <c r="R1247" s="23">
        <v>0.0</v>
      </c>
      <c r="S1247" s="23">
        <v>0.0</v>
      </c>
      <c r="T1247" s="23">
        <f t="shared" si="3"/>
        <v>0</v>
      </c>
      <c r="U1247" s="23">
        <f t="shared" si="4"/>
        <v>0</v>
      </c>
      <c r="V1247" s="23">
        <f t="shared" si="5"/>
        <v>0</v>
      </c>
      <c r="W1247" s="24" t="str">
        <f t="shared" si="6"/>
        <v>#DIV/0!</v>
      </c>
    </row>
    <row r="1248">
      <c r="A1248" s="15" t="s">
        <v>3166</v>
      </c>
      <c r="B1248" s="18"/>
      <c r="C1248" s="15" t="s">
        <v>7911</v>
      </c>
      <c r="D1248" s="18"/>
      <c r="E1248" s="17" t="s">
        <v>3167</v>
      </c>
      <c r="F1248" s="18"/>
      <c r="G1248" s="18"/>
      <c r="H1248" s="15" t="s">
        <v>3168</v>
      </c>
      <c r="I1248" s="15" t="s">
        <v>838</v>
      </c>
      <c r="J1248" s="19" t="s">
        <v>59</v>
      </c>
      <c r="K1248" s="19" t="s">
        <v>2382</v>
      </c>
      <c r="L1248" s="19" t="s">
        <v>38</v>
      </c>
      <c r="M1248" s="20">
        <f t="shared" si="2"/>
        <v>0</v>
      </c>
      <c r="N1248" s="22"/>
      <c r="O1248" s="19" t="s">
        <v>1145</v>
      </c>
      <c r="P1248" s="18"/>
      <c r="Q1248" s="18"/>
      <c r="R1248" s="23">
        <v>0.0</v>
      </c>
      <c r="S1248" s="23">
        <v>0.0</v>
      </c>
      <c r="T1248" s="23">
        <f t="shared" si="3"/>
        <v>0</v>
      </c>
      <c r="U1248" s="23">
        <f t="shared" si="4"/>
        <v>0</v>
      </c>
      <c r="V1248" s="23">
        <f t="shared" si="5"/>
        <v>0</v>
      </c>
      <c r="W1248" s="24" t="str">
        <f t="shared" si="6"/>
        <v>#DIV/0!</v>
      </c>
    </row>
    <row r="1249">
      <c r="A1249" s="15" t="s">
        <v>7912</v>
      </c>
      <c r="B1249" s="18"/>
      <c r="C1249" s="15" t="s">
        <v>7913</v>
      </c>
      <c r="D1249" s="18"/>
      <c r="E1249" s="17" t="s">
        <v>3170</v>
      </c>
      <c r="F1249" s="18"/>
      <c r="G1249" s="18"/>
      <c r="H1249" s="15" t="s">
        <v>7914</v>
      </c>
      <c r="I1249" s="15" t="s">
        <v>790</v>
      </c>
      <c r="J1249" s="19" t="s">
        <v>59</v>
      </c>
      <c r="K1249" s="19" t="s">
        <v>2382</v>
      </c>
      <c r="L1249" s="19" t="s">
        <v>38</v>
      </c>
      <c r="M1249" s="20">
        <f t="shared" si="2"/>
        <v>0</v>
      </c>
      <c r="N1249" s="22"/>
      <c r="O1249" s="19" t="s">
        <v>39</v>
      </c>
      <c r="P1249" s="18"/>
      <c r="Q1249" s="18"/>
      <c r="R1249" s="23">
        <v>0.0</v>
      </c>
      <c r="S1249" s="23">
        <v>0.0</v>
      </c>
      <c r="T1249" s="23">
        <f t="shared" si="3"/>
        <v>0</v>
      </c>
      <c r="U1249" s="23">
        <f t="shared" si="4"/>
        <v>0</v>
      </c>
      <c r="V1249" s="23">
        <f t="shared" si="5"/>
        <v>0</v>
      </c>
      <c r="W1249" s="24" t="str">
        <f t="shared" si="6"/>
        <v>#DIV/0!</v>
      </c>
    </row>
    <row r="1250">
      <c r="A1250" s="15" t="s">
        <v>3169</v>
      </c>
      <c r="B1250" s="18"/>
      <c r="C1250" s="15" t="s">
        <v>7915</v>
      </c>
      <c r="D1250" s="18"/>
      <c r="E1250" s="17" t="s">
        <v>3170</v>
      </c>
      <c r="F1250" s="18"/>
      <c r="G1250" s="18"/>
      <c r="H1250" s="15" t="s">
        <v>3171</v>
      </c>
      <c r="I1250" s="15" t="s">
        <v>3172</v>
      </c>
      <c r="J1250" s="19" t="s">
        <v>59</v>
      </c>
      <c r="K1250" s="19" t="s">
        <v>2382</v>
      </c>
      <c r="L1250" s="19" t="s">
        <v>38</v>
      </c>
      <c r="M1250" s="20">
        <f t="shared" si="2"/>
        <v>0</v>
      </c>
      <c r="N1250" s="22"/>
      <c r="O1250" s="19" t="s">
        <v>1145</v>
      </c>
      <c r="P1250" s="18"/>
      <c r="Q1250" s="18"/>
      <c r="R1250" s="23">
        <v>0.0</v>
      </c>
      <c r="S1250" s="23">
        <v>0.0</v>
      </c>
      <c r="T1250" s="23">
        <f t="shared" si="3"/>
        <v>0</v>
      </c>
      <c r="U1250" s="23">
        <f t="shared" si="4"/>
        <v>0</v>
      </c>
      <c r="V1250" s="23">
        <f t="shared" si="5"/>
        <v>0</v>
      </c>
      <c r="W1250" s="24" t="str">
        <f t="shared" si="6"/>
        <v>#DIV/0!</v>
      </c>
    </row>
    <row r="1251">
      <c r="A1251" s="15" t="s">
        <v>7916</v>
      </c>
      <c r="B1251" s="18"/>
      <c r="C1251" s="15" t="s">
        <v>7917</v>
      </c>
      <c r="D1251" s="18"/>
      <c r="E1251" s="17" t="s">
        <v>2725</v>
      </c>
      <c r="F1251" s="18"/>
      <c r="G1251" s="18"/>
      <c r="H1251" s="15" t="s">
        <v>7918</v>
      </c>
      <c r="I1251" s="15" t="s">
        <v>433</v>
      </c>
      <c r="J1251" s="19" t="s">
        <v>59</v>
      </c>
      <c r="K1251" s="19" t="s">
        <v>2382</v>
      </c>
      <c r="L1251" s="19" t="s">
        <v>38</v>
      </c>
      <c r="M1251" s="20">
        <f t="shared" si="2"/>
        <v>0</v>
      </c>
      <c r="N1251" s="22"/>
      <c r="O1251" s="19" t="s">
        <v>39</v>
      </c>
      <c r="P1251" s="18"/>
      <c r="Q1251" s="18"/>
      <c r="R1251" s="23">
        <v>0.0</v>
      </c>
      <c r="S1251" s="23">
        <v>0.0</v>
      </c>
      <c r="T1251" s="23">
        <f t="shared" si="3"/>
        <v>0</v>
      </c>
      <c r="U1251" s="23">
        <f t="shared" si="4"/>
        <v>0</v>
      </c>
      <c r="V1251" s="23">
        <f t="shared" si="5"/>
        <v>0</v>
      </c>
      <c r="W1251" s="24" t="str">
        <f t="shared" si="6"/>
        <v>#DIV/0!</v>
      </c>
    </row>
    <row r="1252">
      <c r="A1252" s="15" t="s">
        <v>3173</v>
      </c>
      <c r="B1252" s="18"/>
      <c r="C1252" s="15" t="s">
        <v>7919</v>
      </c>
      <c r="D1252" s="18"/>
      <c r="E1252" s="17" t="s">
        <v>3174</v>
      </c>
      <c r="F1252" s="18"/>
      <c r="G1252" s="18"/>
      <c r="H1252" s="15" t="s">
        <v>3175</v>
      </c>
      <c r="I1252" s="15" t="s">
        <v>3176</v>
      </c>
      <c r="J1252" s="19" t="s">
        <v>59</v>
      </c>
      <c r="K1252" s="19" t="s">
        <v>2382</v>
      </c>
      <c r="L1252" s="19" t="s">
        <v>38</v>
      </c>
      <c r="M1252" s="20">
        <f t="shared" si="2"/>
        <v>0</v>
      </c>
      <c r="N1252" s="22"/>
      <c r="O1252" s="19" t="s">
        <v>1145</v>
      </c>
      <c r="P1252" s="18"/>
      <c r="Q1252" s="18"/>
      <c r="R1252" s="23">
        <v>0.0</v>
      </c>
      <c r="S1252" s="23">
        <v>0.0</v>
      </c>
      <c r="T1252" s="23">
        <f t="shared" si="3"/>
        <v>0</v>
      </c>
      <c r="U1252" s="23">
        <f t="shared" si="4"/>
        <v>0</v>
      </c>
      <c r="V1252" s="23">
        <f t="shared" si="5"/>
        <v>0</v>
      </c>
      <c r="W1252" s="24" t="str">
        <f t="shared" si="6"/>
        <v>#DIV/0!</v>
      </c>
    </row>
    <row r="1253">
      <c r="A1253" s="15" t="s">
        <v>5226</v>
      </c>
      <c r="B1253" s="18"/>
      <c r="C1253" s="15" t="s">
        <v>7920</v>
      </c>
      <c r="D1253" s="18"/>
      <c r="E1253" s="17" t="s">
        <v>7921</v>
      </c>
      <c r="F1253" s="18"/>
      <c r="G1253" s="18"/>
      <c r="H1253" s="15" t="s">
        <v>5230</v>
      </c>
      <c r="I1253" s="15" t="s">
        <v>5229</v>
      </c>
      <c r="J1253" s="19" t="s">
        <v>59</v>
      </c>
      <c r="K1253" s="19" t="s">
        <v>2401</v>
      </c>
      <c r="L1253" s="19" t="s">
        <v>38</v>
      </c>
      <c r="M1253" s="20">
        <f t="shared" si="2"/>
        <v>0</v>
      </c>
      <c r="N1253" s="22"/>
      <c r="O1253" s="19" t="s">
        <v>1145</v>
      </c>
      <c r="P1253" s="18"/>
      <c r="Q1253" s="18"/>
      <c r="R1253" s="23">
        <v>0.0</v>
      </c>
      <c r="S1253" s="23">
        <v>0.0</v>
      </c>
      <c r="T1253" s="23">
        <f t="shared" si="3"/>
        <v>0</v>
      </c>
      <c r="U1253" s="23">
        <f t="shared" si="4"/>
        <v>0</v>
      </c>
      <c r="V1253" s="23">
        <f t="shared" si="5"/>
        <v>0</v>
      </c>
      <c r="W1253" s="24" t="str">
        <f t="shared" si="6"/>
        <v>#DIV/0!</v>
      </c>
    </row>
    <row r="1254">
      <c r="A1254" s="15" t="s">
        <v>7922</v>
      </c>
      <c r="B1254" s="18"/>
      <c r="C1254" s="15" t="s">
        <v>7923</v>
      </c>
      <c r="D1254" s="18"/>
      <c r="E1254" s="17" t="s">
        <v>7924</v>
      </c>
      <c r="F1254" s="18"/>
      <c r="G1254" s="18"/>
      <c r="H1254" s="15" t="s">
        <v>7925</v>
      </c>
      <c r="I1254" s="15" t="s">
        <v>495</v>
      </c>
      <c r="J1254" s="19" t="s">
        <v>59</v>
      </c>
      <c r="K1254" s="19" t="s">
        <v>2382</v>
      </c>
      <c r="L1254" s="19" t="s">
        <v>38</v>
      </c>
      <c r="M1254" s="20">
        <f t="shared" si="2"/>
        <v>0</v>
      </c>
      <c r="N1254" s="22"/>
      <c r="O1254" s="19" t="s">
        <v>39</v>
      </c>
      <c r="P1254" s="18"/>
      <c r="Q1254" s="18"/>
      <c r="R1254" s="23">
        <v>0.0</v>
      </c>
      <c r="S1254" s="23">
        <v>0.0</v>
      </c>
      <c r="T1254" s="23">
        <f t="shared" si="3"/>
        <v>0</v>
      </c>
      <c r="U1254" s="23">
        <f t="shared" si="4"/>
        <v>0</v>
      </c>
      <c r="V1254" s="23">
        <f t="shared" si="5"/>
        <v>0</v>
      </c>
      <c r="W1254" s="24" t="str">
        <f t="shared" si="6"/>
        <v>#DIV/0!</v>
      </c>
    </row>
    <row r="1255">
      <c r="A1255" s="15" t="s">
        <v>7926</v>
      </c>
      <c r="B1255" s="18"/>
      <c r="C1255" s="18"/>
      <c r="D1255" s="18"/>
      <c r="E1255" s="17" t="s">
        <v>7927</v>
      </c>
      <c r="F1255" s="18"/>
      <c r="G1255" s="18"/>
      <c r="H1255" s="18"/>
      <c r="I1255" s="18"/>
      <c r="J1255" s="19" t="s">
        <v>59</v>
      </c>
      <c r="K1255" s="33"/>
      <c r="L1255" s="19" t="s">
        <v>38</v>
      </c>
      <c r="M1255" s="20">
        <f t="shared" si="2"/>
        <v>0</v>
      </c>
      <c r="N1255" s="22"/>
      <c r="O1255" s="19" t="s">
        <v>39</v>
      </c>
      <c r="P1255" s="18"/>
      <c r="Q1255" s="18"/>
      <c r="R1255" s="23">
        <v>0.0</v>
      </c>
      <c r="S1255" s="23">
        <v>0.0</v>
      </c>
      <c r="T1255" s="23">
        <f t="shared" si="3"/>
        <v>0</v>
      </c>
      <c r="U1255" s="23">
        <f t="shared" si="4"/>
        <v>0</v>
      </c>
      <c r="V1255" s="23">
        <f t="shared" si="5"/>
        <v>0</v>
      </c>
      <c r="W1255" s="24" t="str">
        <f t="shared" si="6"/>
        <v>#DIV/0!</v>
      </c>
    </row>
    <row r="1256">
      <c r="A1256" s="15" t="s">
        <v>490</v>
      </c>
      <c r="B1256" s="15" t="s">
        <v>491</v>
      </c>
      <c r="C1256" s="15" t="s">
        <v>6094</v>
      </c>
      <c r="D1256" s="15" t="s">
        <v>492</v>
      </c>
      <c r="E1256" s="17" t="s">
        <v>493</v>
      </c>
      <c r="F1256" s="18"/>
      <c r="G1256" s="15" t="s">
        <v>494</v>
      </c>
      <c r="H1256" s="15" t="s">
        <v>495</v>
      </c>
      <c r="I1256" s="18"/>
      <c r="J1256" s="19" t="s">
        <v>59</v>
      </c>
      <c r="K1256" s="19" t="s">
        <v>496</v>
      </c>
      <c r="L1256" s="19" t="s">
        <v>292</v>
      </c>
      <c r="M1256" s="20">
        <f t="shared" si="2"/>
        <v>2575.2</v>
      </c>
      <c r="N1256" s="31">
        <v>6.0</v>
      </c>
      <c r="O1256" s="19" t="s">
        <v>107</v>
      </c>
      <c r="P1256" s="18"/>
      <c r="Q1256" s="18"/>
      <c r="R1256" s="23">
        <v>22.0</v>
      </c>
      <c r="S1256" s="23">
        <v>145.0</v>
      </c>
      <c r="T1256" s="23">
        <f t="shared" si="3"/>
        <v>139.2</v>
      </c>
      <c r="U1256" s="23">
        <f t="shared" si="4"/>
        <v>26.95</v>
      </c>
      <c r="V1256" s="23">
        <f t="shared" si="5"/>
        <v>505.3125</v>
      </c>
      <c r="W1256" s="24">
        <f t="shared" si="6"/>
        <v>6.327272727</v>
      </c>
    </row>
    <row r="1257">
      <c r="A1257" s="15" t="s">
        <v>7928</v>
      </c>
      <c r="B1257" s="15" t="s">
        <v>7929</v>
      </c>
      <c r="C1257" s="15" t="s">
        <v>7930</v>
      </c>
      <c r="D1257" s="18"/>
      <c r="E1257" s="17" t="s">
        <v>7931</v>
      </c>
      <c r="F1257" s="18"/>
      <c r="G1257" s="18"/>
      <c r="H1257" s="15" t="s">
        <v>4089</v>
      </c>
      <c r="I1257" s="18"/>
      <c r="J1257" s="19" t="s">
        <v>59</v>
      </c>
      <c r="K1257" s="33"/>
      <c r="L1257" s="19" t="s">
        <v>38</v>
      </c>
      <c r="M1257" s="20">
        <f t="shared" si="2"/>
        <v>0</v>
      </c>
      <c r="N1257" s="22"/>
      <c r="O1257" s="19" t="s">
        <v>39</v>
      </c>
      <c r="P1257" s="18"/>
      <c r="Q1257" s="18"/>
      <c r="R1257" s="23">
        <v>0.0</v>
      </c>
      <c r="S1257" s="23">
        <v>0.0</v>
      </c>
      <c r="T1257" s="23">
        <f t="shared" si="3"/>
        <v>0</v>
      </c>
      <c r="U1257" s="23">
        <f t="shared" si="4"/>
        <v>0</v>
      </c>
      <c r="V1257" s="23">
        <f t="shared" si="5"/>
        <v>0</v>
      </c>
      <c r="W1257" s="24" t="str">
        <f t="shared" si="6"/>
        <v>#DIV/0!</v>
      </c>
    </row>
    <row r="1258">
      <c r="A1258" s="15" t="s">
        <v>3177</v>
      </c>
      <c r="B1258" s="18"/>
      <c r="C1258" s="15" t="s">
        <v>7932</v>
      </c>
      <c r="D1258" s="18"/>
      <c r="E1258" s="17" t="s">
        <v>3178</v>
      </c>
      <c r="F1258" s="18"/>
      <c r="G1258" s="18"/>
      <c r="H1258" s="15" t="s">
        <v>3179</v>
      </c>
      <c r="I1258" s="15" t="s">
        <v>3180</v>
      </c>
      <c r="J1258" s="19" t="s">
        <v>59</v>
      </c>
      <c r="K1258" s="19" t="s">
        <v>2401</v>
      </c>
      <c r="L1258" s="19" t="s">
        <v>38</v>
      </c>
      <c r="M1258" s="20">
        <f t="shared" si="2"/>
        <v>0</v>
      </c>
      <c r="N1258" s="22"/>
      <c r="O1258" s="19" t="s">
        <v>1145</v>
      </c>
      <c r="P1258" s="18"/>
      <c r="Q1258" s="18"/>
      <c r="R1258" s="23">
        <v>0.0</v>
      </c>
      <c r="S1258" s="23">
        <v>0.0</v>
      </c>
      <c r="T1258" s="23">
        <f t="shared" si="3"/>
        <v>0</v>
      </c>
      <c r="U1258" s="23">
        <f t="shared" si="4"/>
        <v>0</v>
      </c>
      <c r="V1258" s="23">
        <f t="shared" si="5"/>
        <v>0</v>
      </c>
      <c r="W1258" s="24" t="str">
        <f t="shared" si="6"/>
        <v>#DIV/0!</v>
      </c>
    </row>
    <row r="1259">
      <c r="A1259" s="15" t="s">
        <v>7933</v>
      </c>
      <c r="B1259" s="18"/>
      <c r="C1259" s="15" t="s">
        <v>7934</v>
      </c>
      <c r="D1259" s="18"/>
      <c r="E1259" s="17" t="s">
        <v>7935</v>
      </c>
      <c r="F1259" s="18"/>
      <c r="G1259" s="18"/>
      <c r="H1259" s="15" t="s">
        <v>7936</v>
      </c>
      <c r="I1259" s="15" t="s">
        <v>3874</v>
      </c>
      <c r="J1259" s="19" t="s">
        <v>59</v>
      </c>
      <c r="K1259" s="19" t="s">
        <v>2396</v>
      </c>
      <c r="L1259" s="19" t="s">
        <v>38</v>
      </c>
      <c r="M1259" s="20">
        <f t="shared" si="2"/>
        <v>0</v>
      </c>
      <c r="N1259" s="22"/>
      <c r="O1259" s="19" t="s">
        <v>39</v>
      </c>
      <c r="P1259" s="18"/>
      <c r="Q1259" s="18"/>
      <c r="R1259" s="23">
        <v>0.0</v>
      </c>
      <c r="S1259" s="23">
        <v>0.0</v>
      </c>
      <c r="T1259" s="23">
        <f t="shared" si="3"/>
        <v>0</v>
      </c>
      <c r="U1259" s="23">
        <f t="shared" si="4"/>
        <v>0</v>
      </c>
      <c r="V1259" s="23">
        <f t="shared" si="5"/>
        <v>0</v>
      </c>
      <c r="W1259" s="24" t="str">
        <f t="shared" si="6"/>
        <v>#DIV/0!</v>
      </c>
    </row>
    <row r="1260">
      <c r="A1260" s="15" t="s">
        <v>5231</v>
      </c>
      <c r="B1260" s="18"/>
      <c r="C1260" s="15" t="s">
        <v>7937</v>
      </c>
      <c r="D1260" s="18"/>
      <c r="E1260" s="17" t="s">
        <v>5232</v>
      </c>
      <c r="F1260" s="18"/>
      <c r="G1260" s="18"/>
      <c r="H1260" s="15" t="s">
        <v>5233</v>
      </c>
      <c r="I1260" s="15" t="s">
        <v>3869</v>
      </c>
      <c r="J1260" s="19" t="s">
        <v>59</v>
      </c>
      <c r="K1260" s="19" t="s">
        <v>2396</v>
      </c>
      <c r="L1260" s="19" t="s">
        <v>38</v>
      </c>
      <c r="M1260" s="20">
        <f t="shared" si="2"/>
        <v>0</v>
      </c>
      <c r="N1260" s="22"/>
      <c r="O1260" s="19" t="s">
        <v>3578</v>
      </c>
      <c r="P1260" s="18"/>
      <c r="Q1260" s="18"/>
      <c r="R1260" s="23">
        <v>0.0</v>
      </c>
      <c r="S1260" s="23">
        <v>0.0</v>
      </c>
      <c r="T1260" s="23">
        <f t="shared" si="3"/>
        <v>0</v>
      </c>
      <c r="U1260" s="23">
        <f t="shared" si="4"/>
        <v>0</v>
      </c>
      <c r="V1260" s="23">
        <f t="shared" si="5"/>
        <v>0</v>
      </c>
      <c r="W1260" s="24" t="str">
        <f t="shared" si="6"/>
        <v>#DIV/0!</v>
      </c>
    </row>
    <row r="1261">
      <c r="A1261" s="15" t="s">
        <v>5234</v>
      </c>
      <c r="B1261" s="18"/>
      <c r="C1261" s="15" t="s">
        <v>7938</v>
      </c>
      <c r="D1261" s="18"/>
      <c r="E1261" s="17" t="s">
        <v>5235</v>
      </c>
      <c r="F1261" s="18"/>
      <c r="G1261" s="18"/>
      <c r="H1261" s="15" t="s">
        <v>5236</v>
      </c>
      <c r="I1261" s="15" t="s">
        <v>3884</v>
      </c>
      <c r="J1261" s="19" t="s">
        <v>59</v>
      </c>
      <c r="K1261" s="19" t="s">
        <v>2401</v>
      </c>
      <c r="L1261" s="19" t="s">
        <v>38</v>
      </c>
      <c r="M1261" s="20">
        <f t="shared" si="2"/>
        <v>0</v>
      </c>
      <c r="N1261" s="22"/>
      <c r="O1261" s="19" t="s">
        <v>3578</v>
      </c>
      <c r="P1261" s="18"/>
      <c r="Q1261" s="18"/>
      <c r="R1261" s="23">
        <v>0.0</v>
      </c>
      <c r="S1261" s="23">
        <v>0.0</v>
      </c>
      <c r="T1261" s="23">
        <f t="shared" si="3"/>
        <v>0</v>
      </c>
      <c r="U1261" s="23">
        <f t="shared" si="4"/>
        <v>0</v>
      </c>
      <c r="V1261" s="23">
        <f t="shared" si="5"/>
        <v>0</v>
      </c>
      <c r="W1261" s="24" t="str">
        <f t="shared" si="6"/>
        <v>#DIV/0!</v>
      </c>
    </row>
    <row r="1262">
      <c r="A1262" s="15" t="s">
        <v>5237</v>
      </c>
      <c r="B1262" s="18"/>
      <c r="C1262" s="15" t="s">
        <v>7939</v>
      </c>
      <c r="D1262" s="18"/>
      <c r="E1262" s="17" t="s">
        <v>5235</v>
      </c>
      <c r="F1262" s="18"/>
      <c r="G1262" s="18"/>
      <c r="H1262" s="15" t="s">
        <v>7940</v>
      </c>
      <c r="I1262" s="15" t="s">
        <v>5239</v>
      </c>
      <c r="J1262" s="19" t="s">
        <v>59</v>
      </c>
      <c r="K1262" s="19" t="s">
        <v>2401</v>
      </c>
      <c r="L1262" s="19" t="s">
        <v>38</v>
      </c>
      <c r="M1262" s="20">
        <f t="shared" si="2"/>
        <v>0</v>
      </c>
      <c r="N1262" s="22"/>
      <c r="O1262" s="19" t="s">
        <v>1145</v>
      </c>
      <c r="P1262" s="18"/>
      <c r="Q1262" s="18"/>
      <c r="R1262" s="23">
        <v>0.0</v>
      </c>
      <c r="S1262" s="23">
        <v>0.0</v>
      </c>
      <c r="T1262" s="23">
        <f t="shared" si="3"/>
        <v>0</v>
      </c>
      <c r="U1262" s="23">
        <f t="shared" si="4"/>
        <v>0</v>
      </c>
      <c r="V1262" s="23">
        <f t="shared" si="5"/>
        <v>0</v>
      </c>
      <c r="W1262" s="24" t="str">
        <f t="shared" si="6"/>
        <v>#DIV/0!</v>
      </c>
    </row>
    <row r="1263">
      <c r="A1263" s="15" t="s">
        <v>3181</v>
      </c>
      <c r="B1263" s="18"/>
      <c r="C1263" s="15" t="s">
        <v>7941</v>
      </c>
      <c r="D1263" s="18"/>
      <c r="E1263" s="17" t="s">
        <v>3182</v>
      </c>
      <c r="F1263" s="18"/>
      <c r="G1263" s="18"/>
      <c r="H1263" s="15" t="s">
        <v>3183</v>
      </c>
      <c r="I1263" s="15" t="s">
        <v>394</v>
      </c>
      <c r="J1263" s="19" t="s">
        <v>59</v>
      </c>
      <c r="K1263" s="19" t="s">
        <v>2401</v>
      </c>
      <c r="L1263" s="19" t="s">
        <v>38</v>
      </c>
      <c r="M1263" s="20">
        <f t="shared" si="2"/>
        <v>0</v>
      </c>
      <c r="N1263" s="22"/>
      <c r="O1263" s="19" t="s">
        <v>1145</v>
      </c>
      <c r="P1263" s="18"/>
      <c r="Q1263" s="18"/>
      <c r="R1263" s="23">
        <v>0.0</v>
      </c>
      <c r="S1263" s="23">
        <v>0.0</v>
      </c>
      <c r="T1263" s="23">
        <f t="shared" si="3"/>
        <v>0</v>
      </c>
      <c r="U1263" s="23">
        <f t="shared" si="4"/>
        <v>0</v>
      </c>
      <c r="V1263" s="23">
        <f t="shared" si="5"/>
        <v>0</v>
      </c>
      <c r="W1263" s="24" t="str">
        <f t="shared" si="6"/>
        <v>#DIV/0!</v>
      </c>
    </row>
    <row r="1264">
      <c r="A1264" s="15" t="s">
        <v>7942</v>
      </c>
      <c r="B1264" s="18"/>
      <c r="C1264" s="15" t="s">
        <v>7943</v>
      </c>
      <c r="D1264" s="18"/>
      <c r="E1264" s="17" t="s">
        <v>7944</v>
      </c>
      <c r="F1264" s="18"/>
      <c r="G1264" s="18"/>
      <c r="H1264" s="15" t="s">
        <v>7945</v>
      </c>
      <c r="I1264" s="15" t="s">
        <v>258</v>
      </c>
      <c r="J1264" s="19" t="s">
        <v>59</v>
      </c>
      <c r="K1264" s="19" t="s">
        <v>2401</v>
      </c>
      <c r="L1264" s="19" t="s">
        <v>38</v>
      </c>
      <c r="M1264" s="20">
        <f t="shared" si="2"/>
        <v>0</v>
      </c>
      <c r="N1264" s="22"/>
      <c r="O1264" s="19" t="s">
        <v>39</v>
      </c>
      <c r="P1264" s="18"/>
      <c r="Q1264" s="18"/>
      <c r="R1264" s="23">
        <v>0.0</v>
      </c>
      <c r="S1264" s="23">
        <v>0.0</v>
      </c>
      <c r="T1264" s="23">
        <f t="shared" si="3"/>
        <v>0</v>
      </c>
      <c r="U1264" s="23">
        <f t="shared" si="4"/>
        <v>0</v>
      </c>
      <c r="V1264" s="23">
        <f t="shared" si="5"/>
        <v>0</v>
      </c>
      <c r="W1264" s="24" t="str">
        <f t="shared" si="6"/>
        <v>#DIV/0!</v>
      </c>
    </row>
    <row r="1265">
      <c r="A1265" s="15" t="s">
        <v>5240</v>
      </c>
      <c r="B1265" s="18"/>
      <c r="C1265" s="15" t="s">
        <v>7946</v>
      </c>
      <c r="D1265" s="18"/>
      <c r="E1265" s="17" t="s">
        <v>7944</v>
      </c>
      <c r="F1265" s="18"/>
      <c r="G1265" s="18"/>
      <c r="H1265" s="15" t="s">
        <v>7947</v>
      </c>
      <c r="I1265" s="15" t="s">
        <v>5242</v>
      </c>
      <c r="J1265" s="19" t="s">
        <v>59</v>
      </c>
      <c r="K1265" s="19" t="s">
        <v>2401</v>
      </c>
      <c r="L1265" s="19" t="s">
        <v>38</v>
      </c>
      <c r="M1265" s="20">
        <f t="shared" si="2"/>
        <v>0</v>
      </c>
      <c r="N1265" s="22"/>
      <c r="O1265" s="19" t="s">
        <v>1145</v>
      </c>
      <c r="P1265" s="18"/>
      <c r="Q1265" s="18"/>
      <c r="R1265" s="23">
        <v>0.0</v>
      </c>
      <c r="S1265" s="23">
        <v>0.0</v>
      </c>
      <c r="T1265" s="23">
        <f t="shared" si="3"/>
        <v>0</v>
      </c>
      <c r="U1265" s="23">
        <f t="shared" si="4"/>
        <v>0</v>
      </c>
      <c r="V1265" s="23">
        <f t="shared" si="5"/>
        <v>0</v>
      </c>
      <c r="W1265" s="24" t="str">
        <f t="shared" si="6"/>
        <v>#DIV/0!</v>
      </c>
    </row>
    <row r="1266">
      <c r="A1266" s="15" t="s">
        <v>3184</v>
      </c>
      <c r="B1266" s="18"/>
      <c r="C1266" s="15" t="s">
        <v>7948</v>
      </c>
      <c r="D1266" s="18"/>
      <c r="E1266" s="17" t="s">
        <v>3185</v>
      </c>
      <c r="F1266" s="18"/>
      <c r="G1266" s="18"/>
      <c r="H1266" s="15" t="s">
        <v>3186</v>
      </c>
      <c r="I1266" s="15" t="s">
        <v>3187</v>
      </c>
      <c r="J1266" s="19" t="s">
        <v>59</v>
      </c>
      <c r="K1266" s="19" t="s">
        <v>2401</v>
      </c>
      <c r="L1266" s="19" t="s">
        <v>38</v>
      </c>
      <c r="M1266" s="20">
        <f t="shared" si="2"/>
        <v>0</v>
      </c>
      <c r="N1266" s="22"/>
      <c r="O1266" s="19" t="s">
        <v>1145</v>
      </c>
      <c r="P1266" s="18"/>
      <c r="Q1266" s="18"/>
      <c r="R1266" s="23">
        <v>0.0</v>
      </c>
      <c r="S1266" s="23">
        <v>0.0</v>
      </c>
      <c r="T1266" s="23">
        <f t="shared" si="3"/>
        <v>0</v>
      </c>
      <c r="U1266" s="23">
        <f t="shared" si="4"/>
        <v>0</v>
      </c>
      <c r="V1266" s="23">
        <f t="shared" si="5"/>
        <v>0</v>
      </c>
      <c r="W1266" s="24" t="str">
        <f t="shared" si="6"/>
        <v>#DIV/0!</v>
      </c>
    </row>
    <row r="1267">
      <c r="A1267" s="15" t="s">
        <v>7949</v>
      </c>
      <c r="B1267" s="18"/>
      <c r="C1267" s="15" t="s">
        <v>7950</v>
      </c>
      <c r="D1267" s="18"/>
      <c r="E1267" s="17" t="s">
        <v>3185</v>
      </c>
      <c r="F1267" s="18"/>
      <c r="G1267" s="18"/>
      <c r="H1267" s="15" t="s">
        <v>7951</v>
      </c>
      <c r="I1267" s="15" t="s">
        <v>5113</v>
      </c>
      <c r="J1267" s="19" t="s">
        <v>59</v>
      </c>
      <c r="K1267" s="19" t="s">
        <v>2401</v>
      </c>
      <c r="L1267" s="19" t="s">
        <v>38</v>
      </c>
      <c r="M1267" s="20">
        <f t="shared" si="2"/>
        <v>0</v>
      </c>
      <c r="N1267" s="22"/>
      <c r="O1267" s="19" t="s">
        <v>39</v>
      </c>
      <c r="P1267" s="18"/>
      <c r="Q1267" s="18"/>
      <c r="R1267" s="23">
        <v>0.0</v>
      </c>
      <c r="S1267" s="23">
        <v>0.0</v>
      </c>
      <c r="T1267" s="23">
        <f t="shared" si="3"/>
        <v>0</v>
      </c>
      <c r="U1267" s="23">
        <f t="shared" si="4"/>
        <v>0</v>
      </c>
      <c r="V1267" s="23">
        <f t="shared" si="5"/>
        <v>0</v>
      </c>
      <c r="W1267" s="24" t="str">
        <f t="shared" si="6"/>
        <v>#DIV/0!</v>
      </c>
    </row>
    <row r="1268">
      <c r="A1268" s="15" t="s">
        <v>7952</v>
      </c>
      <c r="B1268" s="15" t="s">
        <v>5925</v>
      </c>
      <c r="C1268" s="15" t="s">
        <v>7953</v>
      </c>
      <c r="D1268" s="18"/>
      <c r="E1268" s="17" t="s">
        <v>7954</v>
      </c>
      <c r="F1268" s="18"/>
      <c r="G1268" s="18"/>
      <c r="H1268" s="15" t="s">
        <v>5928</v>
      </c>
      <c r="I1268" s="18"/>
      <c r="J1268" s="19" t="s">
        <v>59</v>
      </c>
      <c r="K1268" s="33"/>
      <c r="L1268" s="19" t="s">
        <v>38</v>
      </c>
      <c r="M1268" s="20">
        <f t="shared" si="2"/>
        <v>0</v>
      </c>
      <c r="N1268" s="22"/>
      <c r="O1268" s="19" t="s">
        <v>39</v>
      </c>
      <c r="P1268" s="18"/>
      <c r="Q1268" s="18"/>
      <c r="R1268" s="23">
        <v>0.0</v>
      </c>
      <c r="S1268" s="23">
        <v>0.0</v>
      </c>
      <c r="T1268" s="23">
        <f t="shared" si="3"/>
        <v>0</v>
      </c>
      <c r="U1268" s="23">
        <f t="shared" si="4"/>
        <v>0</v>
      </c>
      <c r="V1268" s="23">
        <f t="shared" si="5"/>
        <v>0</v>
      </c>
      <c r="W1268" s="24" t="str">
        <f t="shared" si="6"/>
        <v>#DIV/0!</v>
      </c>
    </row>
    <row r="1269">
      <c r="A1269" s="15" t="s">
        <v>3188</v>
      </c>
      <c r="B1269" s="18"/>
      <c r="C1269" s="15" t="s">
        <v>7955</v>
      </c>
      <c r="D1269" s="18"/>
      <c r="E1269" s="17" t="s">
        <v>3189</v>
      </c>
      <c r="F1269" s="18"/>
      <c r="G1269" s="18"/>
      <c r="H1269" s="15" t="s">
        <v>3190</v>
      </c>
      <c r="I1269" s="15" t="s">
        <v>3191</v>
      </c>
      <c r="J1269" s="19" t="s">
        <v>59</v>
      </c>
      <c r="K1269" s="19" t="s">
        <v>691</v>
      </c>
      <c r="L1269" s="19" t="s">
        <v>38</v>
      </c>
      <c r="M1269" s="20">
        <f t="shared" si="2"/>
        <v>0</v>
      </c>
      <c r="N1269" s="22"/>
      <c r="O1269" s="19" t="s">
        <v>1145</v>
      </c>
      <c r="P1269" s="18"/>
      <c r="Q1269" s="18"/>
      <c r="R1269" s="23">
        <v>0.0</v>
      </c>
      <c r="S1269" s="23">
        <v>0.0</v>
      </c>
      <c r="T1269" s="23">
        <f t="shared" si="3"/>
        <v>0</v>
      </c>
      <c r="U1269" s="23">
        <f t="shared" si="4"/>
        <v>0</v>
      </c>
      <c r="V1269" s="23">
        <f t="shared" si="5"/>
        <v>0</v>
      </c>
      <c r="W1269" s="24" t="str">
        <f t="shared" si="6"/>
        <v>#DIV/0!</v>
      </c>
    </row>
    <row r="1270">
      <c r="A1270" s="15" t="s">
        <v>521</v>
      </c>
      <c r="B1270" s="15" t="s">
        <v>522</v>
      </c>
      <c r="C1270" s="15" t="s">
        <v>6049</v>
      </c>
      <c r="D1270" s="15" t="s">
        <v>523</v>
      </c>
      <c r="E1270" s="17" t="s">
        <v>524</v>
      </c>
      <c r="F1270" s="18"/>
      <c r="G1270" s="15" t="s">
        <v>525</v>
      </c>
      <c r="H1270" s="15" t="s">
        <v>526</v>
      </c>
      <c r="I1270" s="18"/>
      <c r="J1270" s="19" t="s">
        <v>59</v>
      </c>
      <c r="K1270" s="19" t="s">
        <v>496</v>
      </c>
      <c r="L1270" s="19" t="s">
        <v>292</v>
      </c>
      <c r="M1270" s="20">
        <f t="shared" si="2"/>
        <v>941.28</v>
      </c>
      <c r="N1270" s="31">
        <v>4.0</v>
      </c>
      <c r="O1270" s="19" t="s">
        <v>107</v>
      </c>
      <c r="P1270" s="18"/>
      <c r="Q1270" s="18"/>
      <c r="R1270" s="23">
        <v>8.5</v>
      </c>
      <c r="S1270" s="23">
        <v>53.0</v>
      </c>
      <c r="T1270" s="23">
        <f t="shared" si="3"/>
        <v>50.88</v>
      </c>
      <c r="U1270" s="23">
        <f t="shared" si="4"/>
        <v>10.4125</v>
      </c>
      <c r="V1270" s="23">
        <f t="shared" si="5"/>
        <v>195.234375</v>
      </c>
      <c r="W1270" s="24">
        <f t="shared" si="6"/>
        <v>5.985882353</v>
      </c>
    </row>
    <row r="1271">
      <c r="A1271" s="15" t="s">
        <v>527</v>
      </c>
      <c r="B1271" s="15" t="s">
        <v>528</v>
      </c>
      <c r="C1271" s="15" t="s">
        <v>6049</v>
      </c>
      <c r="D1271" s="15" t="s">
        <v>529</v>
      </c>
      <c r="E1271" s="17" t="s">
        <v>530</v>
      </c>
      <c r="F1271" s="18"/>
      <c r="G1271" s="15" t="s">
        <v>525</v>
      </c>
      <c r="H1271" s="15" t="s">
        <v>531</v>
      </c>
      <c r="I1271" s="18"/>
      <c r="J1271" s="19" t="s">
        <v>59</v>
      </c>
      <c r="K1271" s="19" t="s">
        <v>496</v>
      </c>
      <c r="L1271" s="19" t="s">
        <v>292</v>
      </c>
      <c r="M1271" s="20">
        <f t="shared" si="2"/>
        <v>941.28</v>
      </c>
      <c r="N1271" s="31">
        <v>4.0</v>
      </c>
      <c r="O1271" s="19" t="s">
        <v>107</v>
      </c>
      <c r="P1271" s="18"/>
      <c r="Q1271" s="18"/>
      <c r="R1271" s="23">
        <v>8.5</v>
      </c>
      <c r="S1271" s="23">
        <v>53.0</v>
      </c>
      <c r="T1271" s="23">
        <f t="shared" si="3"/>
        <v>50.88</v>
      </c>
      <c r="U1271" s="23">
        <f t="shared" si="4"/>
        <v>10.4125</v>
      </c>
      <c r="V1271" s="23">
        <f t="shared" si="5"/>
        <v>195.234375</v>
      </c>
      <c r="W1271" s="24">
        <f t="shared" si="6"/>
        <v>5.985882353</v>
      </c>
    </row>
    <row r="1272">
      <c r="A1272" s="15" t="s">
        <v>7956</v>
      </c>
      <c r="B1272" s="18"/>
      <c r="C1272" s="15" t="s">
        <v>7957</v>
      </c>
      <c r="D1272" s="15" t="s">
        <v>7958</v>
      </c>
      <c r="E1272" s="17" t="s">
        <v>7959</v>
      </c>
      <c r="F1272" s="18"/>
      <c r="G1272" s="18"/>
      <c r="H1272" s="15" t="s">
        <v>806</v>
      </c>
      <c r="I1272" s="15"/>
      <c r="J1272" s="19" t="s">
        <v>59</v>
      </c>
      <c r="K1272" s="19" t="s">
        <v>60</v>
      </c>
      <c r="L1272" s="19" t="s">
        <v>38</v>
      </c>
      <c r="M1272" s="20">
        <f t="shared" si="2"/>
        <v>0</v>
      </c>
      <c r="N1272" s="31">
        <v>5.0</v>
      </c>
      <c r="O1272" s="19" t="s">
        <v>39</v>
      </c>
      <c r="P1272" s="18"/>
      <c r="Q1272" s="18"/>
      <c r="R1272" s="23">
        <v>0.0</v>
      </c>
      <c r="S1272" s="23">
        <v>0.0</v>
      </c>
      <c r="T1272" s="23">
        <f t="shared" si="3"/>
        <v>0</v>
      </c>
      <c r="U1272" s="23">
        <f t="shared" si="4"/>
        <v>0</v>
      </c>
      <c r="V1272" s="23">
        <f t="shared" si="5"/>
        <v>0</v>
      </c>
      <c r="W1272" s="24" t="str">
        <f t="shared" si="6"/>
        <v>#DIV/0!</v>
      </c>
    </row>
    <row r="1273">
      <c r="A1273" s="15" t="s">
        <v>1042</v>
      </c>
      <c r="B1273" s="15" t="s">
        <v>1043</v>
      </c>
      <c r="C1273" s="15" t="s">
        <v>6050</v>
      </c>
      <c r="D1273" s="15" t="s">
        <v>1044</v>
      </c>
      <c r="E1273" s="17" t="s">
        <v>1045</v>
      </c>
      <c r="F1273" s="18"/>
      <c r="G1273" s="18"/>
      <c r="H1273" s="15" t="s">
        <v>1046</v>
      </c>
      <c r="I1273" s="15"/>
      <c r="J1273" s="19" t="s">
        <v>59</v>
      </c>
      <c r="K1273" s="19" t="s">
        <v>60</v>
      </c>
      <c r="L1273" s="19" t="s">
        <v>38</v>
      </c>
      <c r="M1273" s="20">
        <f t="shared" si="2"/>
        <v>1154.4</v>
      </c>
      <c r="N1273" s="31">
        <v>5.0</v>
      </c>
      <c r="O1273" s="19" t="s">
        <v>107</v>
      </c>
      <c r="P1273" s="18"/>
      <c r="Q1273" s="18"/>
      <c r="R1273" s="23">
        <v>20.0</v>
      </c>
      <c r="S1273" s="23">
        <v>65.0</v>
      </c>
      <c r="T1273" s="23">
        <f t="shared" si="3"/>
        <v>62.4</v>
      </c>
      <c r="U1273" s="23">
        <f t="shared" si="4"/>
        <v>24.5</v>
      </c>
      <c r="V1273" s="23">
        <f t="shared" si="5"/>
        <v>459.375</v>
      </c>
      <c r="W1273" s="24">
        <f t="shared" si="6"/>
        <v>3.12</v>
      </c>
    </row>
    <row r="1274">
      <c r="A1274" s="15" t="s">
        <v>7960</v>
      </c>
      <c r="B1274" s="18"/>
      <c r="C1274" s="15" t="s">
        <v>7961</v>
      </c>
      <c r="D1274" s="18"/>
      <c r="E1274" s="17" t="s">
        <v>3193</v>
      </c>
      <c r="F1274" s="18"/>
      <c r="G1274" s="18"/>
      <c r="H1274" s="15" t="s">
        <v>7962</v>
      </c>
      <c r="I1274" s="15" t="s">
        <v>723</v>
      </c>
      <c r="J1274" s="19" t="s">
        <v>59</v>
      </c>
      <c r="K1274" s="19" t="s">
        <v>2401</v>
      </c>
      <c r="L1274" s="19" t="s">
        <v>38</v>
      </c>
      <c r="M1274" s="20">
        <f t="shared" si="2"/>
        <v>0</v>
      </c>
      <c r="N1274" s="22"/>
      <c r="O1274" s="19" t="s">
        <v>39</v>
      </c>
      <c r="P1274" s="18"/>
      <c r="Q1274" s="18"/>
      <c r="R1274" s="23">
        <v>0.0</v>
      </c>
      <c r="S1274" s="23">
        <v>0.0</v>
      </c>
      <c r="T1274" s="23">
        <f t="shared" si="3"/>
        <v>0</v>
      </c>
      <c r="U1274" s="23">
        <f t="shared" si="4"/>
        <v>0</v>
      </c>
      <c r="V1274" s="23">
        <f t="shared" si="5"/>
        <v>0</v>
      </c>
      <c r="W1274" s="24" t="str">
        <f t="shared" si="6"/>
        <v>#DIV/0!</v>
      </c>
    </row>
    <row r="1275">
      <c r="A1275" s="15" t="s">
        <v>3192</v>
      </c>
      <c r="B1275" s="18"/>
      <c r="C1275" s="15" t="s">
        <v>7963</v>
      </c>
      <c r="D1275" s="18"/>
      <c r="E1275" s="17" t="s">
        <v>3193</v>
      </c>
      <c r="F1275" s="18"/>
      <c r="G1275" s="18"/>
      <c r="H1275" s="15" t="s">
        <v>3194</v>
      </c>
      <c r="I1275" s="15" t="s">
        <v>3195</v>
      </c>
      <c r="J1275" s="19" t="s">
        <v>59</v>
      </c>
      <c r="K1275" s="19" t="s">
        <v>2401</v>
      </c>
      <c r="L1275" s="19" t="s">
        <v>38</v>
      </c>
      <c r="M1275" s="20">
        <f t="shared" si="2"/>
        <v>0</v>
      </c>
      <c r="N1275" s="22"/>
      <c r="O1275" s="19" t="s">
        <v>1145</v>
      </c>
      <c r="P1275" s="18"/>
      <c r="Q1275" s="18"/>
      <c r="R1275" s="23">
        <v>0.0</v>
      </c>
      <c r="S1275" s="23">
        <v>0.0</v>
      </c>
      <c r="T1275" s="23">
        <f t="shared" si="3"/>
        <v>0</v>
      </c>
      <c r="U1275" s="23">
        <f t="shared" si="4"/>
        <v>0</v>
      </c>
      <c r="V1275" s="23">
        <f t="shared" si="5"/>
        <v>0</v>
      </c>
      <c r="W1275" s="24" t="str">
        <f t="shared" si="6"/>
        <v>#DIV/0!</v>
      </c>
    </row>
    <row r="1276">
      <c r="A1276" s="15" t="s">
        <v>7964</v>
      </c>
      <c r="B1276" s="18"/>
      <c r="C1276" s="15" t="s">
        <v>7965</v>
      </c>
      <c r="D1276" s="18"/>
      <c r="E1276" s="17" t="s">
        <v>7966</v>
      </c>
      <c r="F1276" s="18"/>
      <c r="G1276" s="18"/>
      <c r="H1276" s="15" t="s">
        <v>995</v>
      </c>
      <c r="I1276" s="15"/>
      <c r="J1276" s="19" t="s">
        <v>59</v>
      </c>
      <c r="K1276" s="19" t="s">
        <v>691</v>
      </c>
      <c r="L1276" s="19" t="s">
        <v>38</v>
      </c>
      <c r="M1276" s="20">
        <f t="shared" si="2"/>
        <v>0</v>
      </c>
      <c r="N1276" s="22"/>
      <c r="O1276" s="19" t="s">
        <v>39</v>
      </c>
      <c r="P1276" s="18"/>
      <c r="Q1276" s="18"/>
      <c r="R1276" s="23">
        <v>0.0</v>
      </c>
      <c r="S1276" s="23">
        <v>0.0</v>
      </c>
      <c r="T1276" s="23">
        <f t="shared" si="3"/>
        <v>0</v>
      </c>
      <c r="U1276" s="23">
        <f t="shared" si="4"/>
        <v>0</v>
      </c>
      <c r="V1276" s="23">
        <f t="shared" si="5"/>
        <v>0</v>
      </c>
      <c r="W1276" s="24" t="str">
        <f t="shared" si="6"/>
        <v>#DIV/0!</v>
      </c>
    </row>
    <row r="1277">
      <c r="A1277" s="15" t="s">
        <v>428</v>
      </c>
      <c r="B1277" s="15" t="s">
        <v>429</v>
      </c>
      <c r="C1277" s="15" t="s">
        <v>6095</v>
      </c>
      <c r="D1277" s="15" t="s">
        <v>430</v>
      </c>
      <c r="E1277" s="17" t="s">
        <v>431</v>
      </c>
      <c r="F1277" s="18"/>
      <c r="G1277" s="15" t="s">
        <v>432</v>
      </c>
      <c r="H1277" s="15" t="s">
        <v>433</v>
      </c>
      <c r="I1277" s="18"/>
      <c r="J1277" s="19" t="s">
        <v>59</v>
      </c>
      <c r="K1277" s="19" t="s">
        <v>60</v>
      </c>
      <c r="L1277" s="19" t="s">
        <v>52</v>
      </c>
      <c r="M1277" s="20">
        <f t="shared" si="2"/>
        <v>1935.84</v>
      </c>
      <c r="N1277" s="31">
        <v>5.0</v>
      </c>
      <c r="O1277" s="19" t="s">
        <v>107</v>
      </c>
      <c r="P1277" s="18"/>
      <c r="Q1277" s="18"/>
      <c r="R1277" s="23">
        <v>15.5</v>
      </c>
      <c r="S1277" s="23">
        <v>109.0</v>
      </c>
      <c r="T1277" s="23">
        <f t="shared" si="3"/>
        <v>104.64</v>
      </c>
      <c r="U1277" s="23">
        <f t="shared" si="4"/>
        <v>18.9875</v>
      </c>
      <c r="V1277" s="23">
        <f t="shared" si="5"/>
        <v>356.015625</v>
      </c>
      <c r="W1277" s="24">
        <f t="shared" si="6"/>
        <v>6.750967742</v>
      </c>
    </row>
    <row r="1278">
      <c r="A1278" s="15" t="s">
        <v>7967</v>
      </c>
      <c r="B1278" s="18"/>
      <c r="C1278" s="15" t="s">
        <v>7968</v>
      </c>
      <c r="D1278" s="18"/>
      <c r="E1278" s="17" t="s">
        <v>7969</v>
      </c>
      <c r="F1278" s="18"/>
      <c r="G1278" s="18"/>
      <c r="H1278" s="15" t="s">
        <v>1046</v>
      </c>
      <c r="I1278" s="18"/>
      <c r="J1278" s="19" t="s">
        <v>59</v>
      </c>
      <c r="K1278" s="33"/>
      <c r="L1278" s="19" t="s">
        <v>38</v>
      </c>
      <c r="M1278" s="20">
        <f t="shared" si="2"/>
        <v>0</v>
      </c>
      <c r="N1278" s="22"/>
      <c r="O1278" s="19" t="s">
        <v>39</v>
      </c>
      <c r="P1278" s="18"/>
      <c r="Q1278" s="18"/>
      <c r="R1278" s="23">
        <v>0.0</v>
      </c>
      <c r="S1278" s="23">
        <v>0.0</v>
      </c>
      <c r="T1278" s="23">
        <f t="shared" si="3"/>
        <v>0</v>
      </c>
      <c r="U1278" s="23">
        <f t="shared" si="4"/>
        <v>0</v>
      </c>
      <c r="V1278" s="23">
        <f t="shared" si="5"/>
        <v>0</v>
      </c>
      <c r="W1278" s="24" t="str">
        <f t="shared" si="6"/>
        <v>#DIV/0!</v>
      </c>
    </row>
    <row r="1279">
      <c r="A1279" s="15" t="s">
        <v>802</v>
      </c>
      <c r="B1279" s="15" t="s">
        <v>803</v>
      </c>
      <c r="C1279" s="15" t="s">
        <v>6051</v>
      </c>
      <c r="D1279" s="15" t="s">
        <v>804</v>
      </c>
      <c r="E1279" s="17" t="s">
        <v>805</v>
      </c>
      <c r="F1279" s="18"/>
      <c r="G1279" s="18"/>
      <c r="H1279" s="15" t="s">
        <v>806</v>
      </c>
      <c r="I1279" s="18"/>
      <c r="J1279" s="19" t="s">
        <v>59</v>
      </c>
      <c r="K1279" s="33"/>
      <c r="L1279" s="19" t="s">
        <v>38</v>
      </c>
      <c r="M1279" s="20">
        <f t="shared" si="2"/>
        <v>1562.88</v>
      </c>
      <c r="N1279" s="31">
        <v>5.0</v>
      </c>
      <c r="O1279" s="19" t="s">
        <v>107</v>
      </c>
      <c r="P1279" s="18"/>
      <c r="Q1279" s="18"/>
      <c r="R1279" s="23">
        <v>20.0</v>
      </c>
      <c r="S1279" s="23">
        <v>88.0</v>
      </c>
      <c r="T1279" s="23">
        <f t="shared" si="3"/>
        <v>84.48</v>
      </c>
      <c r="U1279" s="23">
        <f t="shared" si="4"/>
        <v>24.5</v>
      </c>
      <c r="V1279" s="23">
        <f t="shared" si="5"/>
        <v>459.375</v>
      </c>
      <c r="W1279" s="24">
        <f t="shared" si="6"/>
        <v>4.224</v>
      </c>
    </row>
    <row r="1280">
      <c r="A1280" s="15" t="s">
        <v>991</v>
      </c>
      <c r="B1280" s="15" t="s">
        <v>992</v>
      </c>
      <c r="C1280" s="15" t="s">
        <v>6052</v>
      </c>
      <c r="D1280" s="15" t="s">
        <v>993</v>
      </c>
      <c r="E1280" s="17" t="s">
        <v>994</v>
      </c>
      <c r="F1280" s="18"/>
      <c r="G1280" s="18"/>
      <c r="H1280" s="15" t="s">
        <v>995</v>
      </c>
      <c r="I1280" s="18"/>
      <c r="J1280" s="19" t="s">
        <v>59</v>
      </c>
      <c r="K1280" s="33"/>
      <c r="L1280" s="19" t="s">
        <v>38</v>
      </c>
      <c r="M1280" s="20">
        <f t="shared" si="2"/>
        <v>888</v>
      </c>
      <c r="N1280" s="31">
        <v>5.0</v>
      </c>
      <c r="O1280" s="19" t="s">
        <v>107</v>
      </c>
      <c r="P1280" s="18"/>
      <c r="Q1280" s="18"/>
      <c r="R1280" s="23">
        <v>14.0</v>
      </c>
      <c r="S1280" s="23">
        <v>50.0</v>
      </c>
      <c r="T1280" s="23">
        <f t="shared" si="3"/>
        <v>48</v>
      </c>
      <c r="U1280" s="23">
        <f t="shared" si="4"/>
        <v>17.15</v>
      </c>
      <c r="V1280" s="23">
        <f t="shared" si="5"/>
        <v>321.5625</v>
      </c>
      <c r="W1280" s="24">
        <f t="shared" si="6"/>
        <v>3.428571429</v>
      </c>
    </row>
    <row r="1281">
      <c r="A1281" s="15" t="s">
        <v>7970</v>
      </c>
      <c r="B1281" s="18"/>
      <c r="C1281" s="15" t="s">
        <v>7971</v>
      </c>
      <c r="D1281" s="18"/>
      <c r="E1281" s="17" t="s">
        <v>7972</v>
      </c>
      <c r="F1281" s="18"/>
      <c r="G1281" s="18"/>
      <c r="H1281" s="15" t="s">
        <v>7973</v>
      </c>
      <c r="I1281" s="15" t="s">
        <v>3922</v>
      </c>
      <c r="J1281" s="19" t="s">
        <v>59</v>
      </c>
      <c r="K1281" s="19" t="s">
        <v>2396</v>
      </c>
      <c r="L1281" s="19" t="s">
        <v>38</v>
      </c>
      <c r="M1281" s="20">
        <f t="shared" si="2"/>
        <v>0</v>
      </c>
      <c r="N1281" s="22"/>
      <c r="O1281" s="19" t="s">
        <v>39</v>
      </c>
      <c r="P1281" s="18"/>
      <c r="Q1281" s="18"/>
      <c r="R1281" s="23">
        <v>0.0</v>
      </c>
      <c r="S1281" s="23">
        <v>0.0</v>
      </c>
      <c r="T1281" s="23">
        <f t="shared" si="3"/>
        <v>0</v>
      </c>
      <c r="U1281" s="23">
        <f t="shared" si="4"/>
        <v>0</v>
      </c>
      <c r="V1281" s="23">
        <f t="shared" si="5"/>
        <v>0</v>
      </c>
      <c r="W1281" s="24" t="str">
        <f t="shared" si="6"/>
        <v>#DIV/0!</v>
      </c>
    </row>
    <row r="1282">
      <c r="A1282" s="15" t="s">
        <v>5243</v>
      </c>
      <c r="B1282" s="18"/>
      <c r="C1282" s="15" t="s">
        <v>7974</v>
      </c>
      <c r="D1282" s="18"/>
      <c r="E1282" s="17" t="s">
        <v>7975</v>
      </c>
      <c r="F1282" s="18"/>
      <c r="G1282" s="18"/>
      <c r="H1282" s="15" t="s">
        <v>5247</v>
      </c>
      <c r="I1282" s="15" t="s">
        <v>5246</v>
      </c>
      <c r="J1282" s="19" t="s">
        <v>59</v>
      </c>
      <c r="K1282" s="19" t="s">
        <v>2396</v>
      </c>
      <c r="L1282" s="19" t="s">
        <v>38</v>
      </c>
      <c r="M1282" s="20">
        <f t="shared" si="2"/>
        <v>0</v>
      </c>
      <c r="N1282" s="22"/>
      <c r="O1282" s="19" t="s">
        <v>1145</v>
      </c>
      <c r="P1282" s="18"/>
      <c r="Q1282" s="18"/>
      <c r="R1282" s="23">
        <v>0.0</v>
      </c>
      <c r="S1282" s="23">
        <v>0.0</v>
      </c>
      <c r="T1282" s="23">
        <f t="shared" si="3"/>
        <v>0</v>
      </c>
      <c r="U1282" s="23">
        <f t="shared" si="4"/>
        <v>0</v>
      </c>
      <c r="V1282" s="23">
        <f t="shared" si="5"/>
        <v>0</v>
      </c>
      <c r="W1282" s="24" t="str">
        <f t="shared" si="6"/>
        <v>#DIV/0!</v>
      </c>
    </row>
    <row r="1283">
      <c r="A1283" s="15" t="s">
        <v>3196</v>
      </c>
      <c r="B1283" s="18"/>
      <c r="C1283" s="15" t="s">
        <v>7976</v>
      </c>
      <c r="D1283" s="18"/>
      <c r="E1283" s="17" t="s">
        <v>3197</v>
      </c>
      <c r="F1283" s="18"/>
      <c r="G1283" s="18"/>
      <c r="H1283" s="15" t="s">
        <v>3198</v>
      </c>
      <c r="I1283" s="15" t="s">
        <v>3199</v>
      </c>
      <c r="J1283" s="19" t="s">
        <v>59</v>
      </c>
      <c r="K1283" s="19" t="s">
        <v>2396</v>
      </c>
      <c r="L1283" s="19" t="s">
        <v>38</v>
      </c>
      <c r="M1283" s="20">
        <f t="shared" si="2"/>
        <v>0</v>
      </c>
      <c r="N1283" s="22"/>
      <c r="O1283" s="19" t="s">
        <v>1145</v>
      </c>
      <c r="P1283" s="18"/>
      <c r="Q1283" s="18"/>
      <c r="R1283" s="23">
        <v>0.0</v>
      </c>
      <c r="S1283" s="23">
        <v>0.0</v>
      </c>
      <c r="T1283" s="23">
        <f t="shared" si="3"/>
        <v>0</v>
      </c>
      <c r="U1283" s="23">
        <f t="shared" si="4"/>
        <v>0</v>
      </c>
      <c r="V1283" s="23">
        <f t="shared" si="5"/>
        <v>0</v>
      </c>
      <c r="W1283" s="24" t="str">
        <f t="shared" si="6"/>
        <v>#DIV/0!</v>
      </c>
    </row>
    <row r="1284">
      <c r="A1284" s="15" t="s">
        <v>3200</v>
      </c>
      <c r="B1284" s="18"/>
      <c r="C1284" s="15" t="s">
        <v>7977</v>
      </c>
      <c r="D1284" s="18"/>
      <c r="E1284" s="17" t="s">
        <v>3201</v>
      </c>
      <c r="F1284" s="18"/>
      <c r="G1284" s="18"/>
      <c r="H1284" s="15" t="s">
        <v>3202</v>
      </c>
      <c r="I1284" s="15" t="s">
        <v>3203</v>
      </c>
      <c r="J1284" s="19" t="s">
        <v>59</v>
      </c>
      <c r="K1284" s="19" t="s">
        <v>2396</v>
      </c>
      <c r="L1284" s="19" t="s">
        <v>38</v>
      </c>
      <c r="M1284" s="20">
        <f t="shared" si="2"/>
        <v>0</v>
      </c>
      <c r="N1284" s="22"/>
      <c r="O1284" s="19" t="s">
        <v>1145</v>
      </c>
      <c r="P1284" s="18"/>
      <c r="Q1284" s="18"/>
      <c r="R1284" s="23">
        <v>0.0</v>
      </c>
      <c r="S1284" s="23">
        <v>0.0</v>
      </c>
      <c r="T1284" s="23">
        <f t="shared" si="3"/>
        <v>0</v>
      </c>
      <c r="U1284" s="23">
        <f t="shared" si="4"/>
        <v>0</v>
      </c>
      <c r="V1284" s="23">
        <f t="shared" si="5"/>
        <v>0</v>
      </c>
      <c r="W1284" s="24" t="str">
        <f t="shared" si="6"/>
        <v>#DIV/0!</v>
      </c>
    </row>
    <row r="1285">
      <c r="A1285" s="15" t="s">
        <v>7978</v>
      </c>
      <c r="B1285" s="18"/>
      <c r="C1285" s="15" t="s">
        <v>7979</v>
      </c>
      <c r="D1285" s="18"/>
      <c r="E1285" s="17" t="s">
        <v>7980</v>
      </c>
      <c r="F1285" s="18"/>
      <c r="G1285" s="18"/>
      <c r="H1285" s="15" t="s">
        <v>7981</v>
      </c>
      <c r="I1285" s="15" t="s">
        <v>5264</v>
      </c>
      <c r="J1285" s="19" t="s">
        <v>59</v>
      </c>
      <c r="K1285" s="19" t="s">
        <v>691</v>
      </c>
      <c r="L1285" s="19" t="s">
        <v>38</v>
      </c>
      <c r="M1285" s="20">
        <f t="shared" si="2"/>
        <v>0</v>
      </c>
      <c r="N1285" s="22"/>
      <c r="O1285" s="19" t="s">
        <v>39</v>
      </c>
      <c r="P1285" s="18"/>
      <c r="Q1285" s="18"/>
      <c r="R1285" s="23">
        <v>0.0</v>
      </c>
      <c r="S1285" s="23">
        <v>0.0</v>
      </c>
      <c r="T1285" s="23">
        <f t="shared" si="3"/>
        <v>0</v>
      </c>
      <c r="U1285" s="23">
        <f t="shared" si="4"/>
        <v>0</v>
      </c>
      <c r="V1285" s="23">
        <f t="shared" si="5"/>
        <v>0</v>
      </c>
      <c r="W1285" s="24" t="str">
        <f t="shared" si="6"/>
        <v>#DIV/0!</v>
      </c>
    </row>
    <row r="1286">
      <c r="A1286" s="15" t="s">
        <v>5248</v>
      </c>
      <c r="B1286" s="18"/>
      <c r="C1286" s="15" t="s">
        <v>7982</v>
      </c>
      <c r="D1286" s="18"/>
      <c r="E1286" s="17" t="s">
        <v>7983</v>
      </c>
      <c r="F1286" s="18"/>
      <c r="G1286" s="18"/>
      <c r="H1286" s="15" t="s">
        <v>5252</v>
      </c>
      <c r="I1286" s="15" t="s">
        <v>5251</v>
      </c>
      <c r="J1286" s="19" t="s">
        <v>59</v>
      </c>
      <c r="K1286" s="19" t="s">
        <v>691</v>
      </c>
      <c r="L1286" s="19" t="s">
        <v>38</v>
      </c>
      <c r="M1286" s="20">
        <f t="shared" si="2"/>
        <v>0</v>
      </c>
      <c r="N1286" s="22"/>
      <c r="O1286" s="19" t="s">
        <v>1145</v>
      </c>
      <c r="P1286" s="18"/>
      <c r="Q1286" s="18"/>
      <c r="R1286" s="23">
        <v>0.0</v>
      </c>
      <c r="S1286" s="23">
        <v>0.0</v>
      </c>
      <c r="T1286" s="23">
        <f t="shared" si="3"/>
        <v>0</v>
      </c>
      <c r="U1286" s="23">
        <f t="shared" si="4"/>
        <v>0</v>
      </c>
      <c r="V1286" s="23">
        <f t="shared" si="5"/>
        <v>0</v>
      </c>
      <c r="W1286" s="24" t="str">
        <f t="shared" si="6"/>
        <v>#DIV/0!</v>
      </c>
    </row>
    <row r="1287">
      <c r="A1287" s="15" t="s">
        <v>5253</v>
      </c>
      <c r="B1287" s="18"/>
      <c r="C1287" s="15" t="s">
        <v>7984</v>
      </c>
      <c r="D1287" s="18"/>
      <c r="E1287" s="17" t="s">
        <v>3205</v>
      </c>
      <c r="F1287" s="18"/>
      <c r="G1287" s="18"/>
      <c r="H1287" s="15" t="s">
        <v>7985</v>
      </c>
      <c r="I1287" s="15" t="s">
        <v>5256</v>
      </c>
      <c r="J1287" s="19" t="s">
        <v>59</v>
      </c>
      <c r="K1287" s="19" t="s">
        <v>691</v>
      </c>
      <c r="L1287" s="19" t="s">
        <v>38</v>
      </c>
      <c r="M1287" s="20">
        <f t="shared" si="2"/>
        <v>0</v>
      </c>
      <c r="N1287" s="22"/>
      <c r="O1287" s="19" t="s">
        <v>1145</v>
      </c>
      <c r="P1287" s="18"/>
      <c r="Q1287" s="18"/>
      <c r="R1287" s="23">
        <v>0.0</v>
      </c>
      <c r="S1287" s="23">
        <v>0.0</v>
      </c>
      <c r="T1287" s="23">
        <f t="shared" si="3"/>
        <v>0</v>
      </c>
      <c r="U1287" s="23">
        <f t="shared" si="4"/>
        <v>0</v>
      </c>
      <c r="V1287" s="23">
        <f t="shared" si="5"/>
        <v>0</v>
      </c>
      <c r="W1287" s="24" t="str">
        <f t="shared" si="6"/>
        <v>#DIV/0!</v>
      </c>
    </row>
    <row r="1288">
      <c r="A1288" s="15" t="s">
        <v>3204</v>
      </c>
      <c r="B1288" s="18"/>
      <c r="C1288" s="15" t="s">
        <v>7986</v>
      </c>
      <c r="D1288" s="18"/>
      <c r="E1288" s="17" t="s">
        <v>3205</v>
      </c>
      <c r="F1288" s="18"/>
      <c r="G1288" s="18"/>
      <c r="H1288" s="15" t="s">
        <v>3206</v>
      </c>
      <c r="I1288" s="15" t="s">
        <v>3207</v>
      </c>
      <c r="J1288" s="19" t="s">
        <v>59</v>
      </c>
      <c r="K1288" s="19" t="s">
        <v>2382</v>
      </c>
      <c r="L1288" s="19" t="s">
        <v>38</v>
      </c>
      <c r="M1288" s="20">
        <f t="shared" si="2"/>
        <v>0</v>
      </c>
      <c r="N1288" s="22"/>
      <c r="O1288" s="19" t="s">
        <v>1145</v>
      </c>
      <c r="P1288" s="18"/>
      <c r="Q1288" s="18"/>
      <c r="R1288" s="23">
        <v>0.0</v>
      </c>
      <c r="S1288" s="23">
        <v>0.0</v>
      </c>
      <c r="T1288" s="23">
        <f t="shared" si="3"/>
        <v>0</v>
      </c>
      <c r="U1288" s="23">
        <f t="shared" si="4"/>
        <v>0</v>
      </c>
      <c r="V1288" s="23">
        <f t="shared" si="5"/>
        <v>0</v>
      </c>
      <c r="W1288" s="24" t="str">
        <f t="shared" si="6"/>
        <v>#DIV/0!</v>
      </c>
    </row>
    <row r="1289">
      <c r="A1289" s="15" t="s">
        <v>3208</v>
      </c>
      <c r="B1289" s="18"/>
      <c r="C1289" s="15" t="s">
        <v>7987</v>
      </c>
      <c r="D1289" s="18"/>
      <c r="E1289" s="17" t="s">
        <v>3209</v>
      </c>
      <c r="F1289" s="18"/>
      <c r="G1289" s="18"/>
      <c r="H1289" s="15" t="s">
        <v>3210</v>
      </c>
      <c r="I1289" s="15" t="s">
        <v>3211</v>
      </c>
      <c r="J1289" s="19" t="s">
        <v>59</v>
      </c>
      <c r="K1289" s="19" t="s">
        <v>2382</v>
      </c>
      <c r="L1289" s="19" t="s">
        <v>38</v>
      </c>
      <c r="M1289" s="20">
        <f t="shared" si="2"/>
        <v>0</v>
      </c>
      <c r="N1289" s="22"/>
      <c r="O1289" s="19" t="s">
        <v>1145</v>
      </c>
      <c r="P1289" s="18"/>
      <c r="Q1289" s="18"/>
      <c r="R1289" s="23">
        <v>0.0</v>
      </c>
      <c r="S1289" s="23">
        <v>0.0</v>
      </c>
      <c r="T1289" s="23">
        <f t="shared" si="3"/>
        <v>0</v>
      </c>
      <c r="U1289" s="23">
        <f t="shared" si="4"/>
        <v>0</v>
      </c>
      <c r="V1289" s="23">
        <f t="shared" si="5"/>
        <v>0</v>
      </c>
      <c r="W1289" s="24" t="str">
        <f t="shared" si="6"/>
        <v>#DIV/0!</v>
      </c>
    </row>
    <row r="1290">
      <c r="A1290" s="15" t="s">
        <v>3212</v>
      </c>
      <c r="B1290" s="18"/>
      <c r="C1290" s="15" t="s">
        <v>7988</v>
      </c>
      <c r="D1290" s="18"/>
      <c r="E1290" s="17" t="s">
        <v>3213</v>
      </c>
      <c r="F1290" s="18"/>
      <c r="G1290" s="18"/>
      <c r="H1290" s="15" t="s">
        <v>3214</v>
      </c>
      <c r="I1290" s="15" t="s">
        <v>3215</v>
      </c>
      <c r="J1290" s="19" t="s">
        <v>59</v>
      </c>
      <c r="K1290" s="19" t="s">
        <v>2382</v>
      </c>
      <c r="L1290" s="19" t="s">
        <v>38</v>
      </c>
      <c r="M1290" s="20">
        <f t="shared" si="2"/>
        <v>0</v>
      </c>
      <c r="N1290" s="22"/>
      <c r="O1290" s="19" t="s">
        <v>1145</v>
      </c>
      <c r="P1290" s="18"/>
      <c r="Q1290" s="18"/>
      <c r="R1290" s="23">
        <v>0.0</v>
      </c>
      <c r="S1290" s="23">
        <v>0.0</v>
      </c>
      <c r="T1290" s="23">
        <f t="shared" si="3"/>
        <v>0</v>
      </c>
      <c r="U1290" s="23">
        <f t="shared" si="4"/>
        <v>0</v>
      </c>
      <c r="V1290" s="23">
        <f t="shared" si="5"/>
        <v>0</v>
      </c>
      <c r="W1290" s="24" t="str">
        <f t="shared" si="6"/>
        <v>#DIV/0!</v>
      </c>
    </row>
    <row r="1291">
      <c r="A1291" s="15" t="s">
        <v>3216</v>
      </c>
      <c r="B1291" s="18"/>
      <c r="C1291" s="15" t="s">
        <v>7989</v>
      </c>
      <c r="D1291" s="18"/>
      <c r="E1291" s="17" t="s">
        <v>3217</v>
      </c>
      <c r="F1291" s="18"/>
      <c r="G1291" s="18"/>
      <c r="H1291" s="15" t="s">
        <v>3218</v>
      </c>
      <c r="I1291" s="15" t="s">
        <v>3219</v>
      </c>
      <c r="J1291" s="19" t="s">
        <v>59</v>
      </c>
      <c r="K1291" s="19" t="s">
        <v>2382</v>
      </c>
      <c r="L1291" s="19" t="s">
        <v>38</v>
      </c>
      <c r="M1291" s="20">
        <f t="shared" si="2"/>
        <v>0</v>
      </c>
      <c r="N1291" s="22"/>
      <c r="O1291" s="19" t="s">
        <v>1145</v>
      </c>
      <c r="P1291" s="18"/>
      <c r="Q1291" s="18"/>
      <c r="R1291" s="23">
        <v>0.0</v>
      </c>
      <c r="S1291" s="23">
        <v>0.0</v>
      </c>
      <c r="T1291" s="23">
        <f t="shared" si="3"/>
        <v>0</v>
      </c>
      <c r="U1291" s="23">
        <f t="shared" si="4"/>
        <v>0</v>
      </c>
      <c r="V1291" s="23">
        <f t="shared" si="5"/>
        <v>0</v>
      </c>
      <c r="W1291" s="24" t="str">
        <f t="shared" si="6"/>
        <v>#DIV/0!</v>
      </c>
    </row>
    <row r="1292">
      <c r="A1292" s="15" t="s">
        <v>5257</v>
      </c>
      <c r="B1292" s="18"/>
      <c r="C1292" s="15" t="s">
        <v>7990</v>
      </c>
      <c r="D1292" s="18"/>
      <c r="E1292" s="17" t="s">
        <v>7991</v>
      </c>
      <c r="F1292" s="18"/>
      <c r="G1292" s="18"/>
      <c r="H1292" s="15" t="s">
        <v>7992</v>
      </c>
      <c r="I1292" s="15" t="s">
        <v>5260</v>
      </c>
      <c r="J1292" s="19" t="s">
        <v>59</v>
      </c>
      <c r="K1292" s="19" t="s">
        <v>2401</v>
      </c>
      <c r="L1292" s="19" t="s">
        <v>38</v>
      </c>
      <c r="M1292" s="20">
        <f t="shared" si="2"/>
        <v>0</v>
      </c>
      <c r="N1292" s="22"/>
      <c r="O1292" s="19" t="s">
        <v>1145</v>
      </c>
      <c r="P1292" s="18"/>
      <c r="Q1292" s="18"/>
      <c r="R1292" s="23">
        <v>0.0</v>
      </c>
      <c r="S1292" s="23">
        <v>0.0</v>
      </c>
      <c r="T1292" s="23">
        <f t="shared" si="3"/>
        <v>0</v>
      </c>
      <c r="U1292" s="23">
        <f t="shared" si="4"/>
        <v>0</v>
      </c>
      <c r="V1292" s="23">
        <f t="shared" si="5"/>
        <v>0</v>
      </c>
      <c r="W1292" s="24" t="str">
        <f t="shared" si="6"/>
        <v>#DIV/0!</v>
      </c>
    </row>
    <row r="1293">
      <c r="A1293" s="15" t="s">
        <v>7993</v>
      </c>
      <c r="B1293" s="18"/>
      <c r="C1293" s="15" t="s">
        <v>7994</v>
      </c>
      <c r="D1293" s="18"/>
      <c r="E1293" s="17" t="s">
        <v>7995</v>
      </c>
      <c r="F1293" s="18"/>
      <c r="G1293" s="18"/>
      <c r="H1293" s="15" t="s">
        <v>7996</v>
      </c>
      <c r="I1293" s="15" t="s">
        <v>3908</v>
      </c>
      <c r="J1293" s="19" t="s">
        <v>59</v>
      </c>
      <c r="K1293" s="19" t="s">
        <v>691</v>
      </c>
      <c r="L1293" s="19" t="s">
        <v>38</v>
      </c>
      <c r="M1293" s="20">
        <f t="shared" si="2"/>
        <v>0</v>
      </c>
      <c r="N1293" s="22"/>
      <c r="O1293" s="19" t="s">
        <v>39</v>
      </c>
      <c r="P1293" s="18"/>
      <c r="Q1293" s="18"/>
      <c r="R1293" s="23">
        <v>0.0</v>
      </c>
      <c r="S1293" s="23">
        <v>0.0</v>
      </c>
      <c r="T1293" s="23">
        <f t="shared" si="3"/>
        <v>0</v>
      </c>
      <c r="U1293" s="23">
        <f t="shared" si="4"/>
        <v>0</v>
      </c>
      <c r="V1293" s="23">
        <f t="shared" si="5"/>
        <v>0</v>
      </c>
      <c r="W1293" s="24" t="str">
        <f t="shared" si="6"/>
        <v>#DIV/0!</v>
      </c>
    </row>
    <row r="1294">
      <c r="A1294" s="15" t="s">
        <v>7997</v>
      </c>
      <c r="B1294" s="18"/>
      <c r="C1294" s="15" t="s">
        <v>7998</v>
      </c>
      <c r="D1294" s="18"/>
      <c r="E1294" s="17" t="s">
        <v>7999</v>
      </c>
      <c r="F1294" s="18"/>
      <c r="G1294" s="18"/>
      <c r="H1294" s="15" t="s">
        <v>8000</v>
      </c>
      <c r="I1294" s="15" t="s">
        <v>3980</v>
      </c>
      <c r="J1294" s="19" t="s">
        <v>59</v>
      </c>
      <c r="K1294" s="19" t="s">
        <v>691</v>
      </c>
      <c r="L1294" s="19" t="s">
        <v>38</v>
      </c>
      <c r="M1294" s="20">
        <f t="shared" si="2"/>
        <v>0</v>
      </c>
      <c r="N1294" s="22"/>
      <c r="O1294" s="19" t="s">
        <v>39</v>
      </c>
      <c r="P1294" s="18"/>
      <c r="Q1294" s="18"/>
      <c r="R1294" s="23">
        <v>0.0</v>
      </c>
      <c r="S1294" s="23">
        <v>0.0</v>
      </c>
      <c r="T1294" s="23">
        <f t="shared" si="3"/>
        <v>0</v>
      </c>
      <c r="U1294" s="23">
        <f t="shared" si="4"/>
        <v>0</v>
      </c>
      <c r="V1294" s="23">
        <f t="shared" si="5"/>
        <v>0</v>
      </c>
      <c r="W1294" s="24" t="str">
        <f t="shared" si="6"/>
        <v>#DIV/0!</v>
      </c>
    </row>
    <row r="1295">
      <c r="A1295" s="15" t="s">
        <v>8001</v>
      </c>
      <c r="B1295" s="18"/>
      <c r="C1295" s="15" t="s">
        <v>8002</v>
      </c>
      <c r="D1295" s="18"/>
      <c r="E1295" s="17" t="s">
        <v>8003</v>
      </c>
      <c r="F1295" s="18"/>
      <c r="G1295" s="18"/>
      <c r="H1295" s="15" t="s">
        <v>8004</v>
      </c>
      <c r="I1295" s="15" t="s">
        <v>182</v>
      </c>
      <c r="J1295" s="19" t="s">
        <v>59</v>
      </c>
      <c r="K1295" s="19" t="s">
        <v>691</v>
      </c>
      <c r="L1295" s="19" t="s">
        <v>38</v>
      </c>
      <c r="M1295" s="20">
        <f t="shared" si="2"/>
        <v>0</v>
      </c>
      <c r="N1295" s="22"/>
      <c r="O1295" s="19" t="s">
        <v>39</v>
      </c>
      <c r="P1295" s="18"/>
      <c r="Q1295" s="18"/>
      <c r="R1295" s="23">
        <v>0.0</v>
      </c>
      <c r="S1295" s="23">
        <v>0.0</v>
      </c>
      <c r="T1295" s="23">
        <f t="shared" si="3"/>
        <v>0</v>
      </c>
      <c r="U1295" s="23">
        <f t="shared" si="4"/>
        <v>0</v>
      </c>
      <c r="V1295" s="23">
        <f t="shared" si="5"/>
        <v>0</v>
      </c>
      <c r="W1295" s="24" t="str">
        <f t="shared" si="6"/>
        <v>#DIV/0!</v>
      </c>
    </row>
    <row r="1296">
      <c r="A1296" s="15" t="s">
        <v>5261</v>
      </c>
      <c r="B1296" s="15" t="s">
        <v>5262</v>
      </c>
      <c r="C1296" s="15" t="s">
        <v>8005</v>
      </c>
      <c r="D1296" s="15" t="s">
        <v>5249</v>
      </c>
      <c r="E1296" s="17" t="s">
        <v>5263</v>
      </c>
      <c r="F1296" s="18"/>
      <c r="G1296" s="18"/>
      <c r="H1296" s="15" t="s">
        <v>5264</v>
      </c>
      <c r="I1296" s="18"/>
      <c r="J1296" s="19" t="s">
        <v>59</v>
      </c>
      <c r="K1296" s="19" t="s">
        <v>60</v>
      </c>
      <c r="L1296" s="19" t="s">
        <v>38</v>
      </c>
      <c r="M1296" s="20">
        <f t="shared" si="2"/>
        <v>0</v>
      </c>
      <c r="N1296" s="22"/>
      <c r="O1296" s="19" t="s">
        <v>3578</v>
      </c>
      <c r="P1296" s="18"/>
      <c r="Q1296" s="18"/>
      <c r="R1296" s="23">
        <v>0.0</v>
      </c>
      <c r="S1296" s="23">
        <v>0.0</v>
      </c>
      <c r="T1296" s="23">
        <f t="shared" si="3"/>
        <v>0</v>
      </c>
      <c r="U1296" s="23">
        <f t="shared" si="4"/>
        <v>0</v>
      </c>
      <c r="V1296" s="23">
        <f t="shared" si="5"/>
        <v>0</v>
      </c>
      <c r="W1296" s="24" t="str">
        <f t="shared" si="6"/>
        <v>#DIV/0!</v>
      </c>
    </row>
    <row r="1297">
      <c r="A1297" s="15" t="s">
        <v>969</v>
      </c>
      <c r="B1297" s="15" t="s">
        <v>970</v>
      </c>
      <c r="C1297" s="15" t="s">
        <v>8006</v>
      </c>
      <c r="D1297" s="15" t="s">
        <v>971</v>
      </c>
      <c r="E1297" s="17" t="s">
        <v>972</v>
      </c>
      <c r="F1297" s="18"/>
      <c r="G1297" s="18"/>
      <c r="H1297" s="15" t="s">
        <v>973</v>
      </c>
      <c r="I1297" s="18"/>
      <c r="J1297" s="19" t="s">
        <v>59</v>
      </c>
      <c r="K1297" s="19" t="s">
        <v>60</v>
      </c>
      <c r="L1297" s="19" t="s">
        <v>177</v>
      </c>
      <c r="M1297" s="20">
        <f t="shared" si="2"/>
        <v>13852.8</v>
      </c>
      <c r="N1297" s="31">
        <v>2.0</v>
      </c>
      <c r="O1297" s="19" t="s">
        <v>107</v>
      </c>
      <c r="P1297" s="18"/>
      <c r="Q1297" s="18"/>
      <c r="R1297" s="23">
        <v>210.0</v>
      </c>
      <c r="S1297" s="23">
        <v>780.0</v>
      </c>
      <c r="T1297" s="23">
        <f t="shared" si="3"/>
        <v>748.8</v>
      </c>
      <c r="U1297" s="23">
        <f t="shared" si="4"/>
        <v>257.25</v>
      </c>
      <c r="V1297" s="23">
        <f t="shared" si="5"/>
        <v>4823.4375</v>
      </c>
      <c r="W1297" s="24">
        <f t="shared" si="6"/>
        <v>3.565714286</v>
      </c>
    </row>
    <row r="1298">
      <c r="A1298" s="15" t="s">
        <v>298</v>
      </c>
      <c r="B1298" s="15" t="s">
        <v>299</v>
      </c>
      <c r="C1298" s="15" t="s">
        <v>6053</v>
      </c>
      <c r="D1298" s="15" t="s">
        <v>300</v>
      </c>
      <c r="E1298" s="17" t="s">
        <v>301</v>
      </c>
      <c r="F1298" s="18"/>
      <c r="G1298" s="18"/>
      <c r="H1298" s="15" t="s">
        <v>302</v>
      </c>
      <c r="I1298" s="18"/>
      <c r="J1298" s="19" t="s">
        <v>59</v>
      </c>
      <c r="K1298" s="19" t="s">
        <v>60</v>
      </c>
      <c r="L1298" s="19" t="s">
        <v>177</v>
      </c>
      <c r="M1298" s="20">
        <f t="shared" si="2"/>
        <v>5949.6</v>
      </c>
      <c r="N1298" s="31">
        <v>3.0</v>
      </c>
      <c r="O1298" s="19" t="s">
        <v>107</v>
      </c>
      <c r="P1298" s="18"/>
      <c r="Q1298" s="18"/>
      <c r="R1298" s="23">
        <v>100.0</v>
      </c>
      <c r="S1298" s="23">
        <v>335.0</v>
      </c>
      <c r="T1298" s="23">
        <f t="shared" si="3"/>
        <v>321.6</v>
      </c>
      <c r="U1298" s="23">
        <f t="shared" si="4"/>
        <v>122.5</v>
      </c>
      <c r="V1298" s="23">
        <f t="shared" si="5"/>
        <v>2296.875</v>
      </c>
      <c r="W1298" s="24">
        <f t="shared" si="6"/>
        <v>3.216</v>
      </c>
    </row>
    <row r="1299">
      <c r="A1299" s="15" t="s">
        <v>8008</v>
      </c>
      <c r="B1299" s="15" t="s">
        <v>8009</v>
      </c>
      <c r="C1299" s="15" t="s">
        <v>6054</v>
      </c>
      <c r="D1299" s="18"/>
      <c r="E1299" s="17" t="s">
        <v>8195</v>
      </c>
      <c r="F1299" s="18"/>
      <c r="G1299" s="18"/>
      <c r="H1299" s="15" t="s">
        <v>973</v>
      </c>
      <c r="I1299" s="18"/>
      <c r="J1299" s="19" t="s">
        <v>59</v>
      </c>
      <c r="K1299" s="33"/>
      <c r="L1299" s="19" t="s">
        <v>38</v>
      </c>
      <c r="M1299" s="20">
        <f t="shared" si="2"/>
        <v>0</v>
      </c>
      <c r="N1299" s="22"/>
      <c r="O1299" s="19" t="s">
        <v>39</v>
      </c>
      <c r="P1299" s="18"/>
      <c r="Q1299" s="18"/>
      <c r="R1299" s="23">
        <v>0.0</v>
      </c>
      <c r="S1299" s="23">
        <v>0.0</v>
      </c>
      <c r="T1299" s="23">
        <f t="shared" si="3"/>
        <v>0</v>
      </c>
      <c r="U1299" s="23">
        <f t="shared" si="4"/>
        <v>0</v>
      </c>
      <c r="V1299" s="23">
        <f t="shared" si="5"/>
        <v>0</v>
      </c>
      <c r="W1299" s="24" t="str">
        <f t="shared" si="6"/>
        <v>#DIV/0!</v>
      </c>
    </row>
    <row r="1300">
      <c r="A1300" s="15" t="s">
        <v>5265</v>
      </c>
      <c r="B1300" s="15" t="s">
        <v>5266</v>
      </c>
      <c r="C1300" s="15" t="s">
        <v>8011</v>
      </c>
      <c r="D1300" s="15" t="s">
        <v>5267</v>
      </c>
      <c r="E1300" s="17" t="s">
        <v>5268</v>
      </c>
      <c r="F1300" s="18"/>
      <c r="G1300" s="18"/>
      <c r="H1300" s="15" t="s">
        <v>5269</v>
      </c>
      <c r="I1300" s="18"/>
      <c r="J1300" s="19" t="s">
        <v>59</v>
      </c>
      <c r="K1300" s="33"/>
      <c r="L1300" s="19" t="s">
        <v>38</v>
      </c>
      <c r="M1300" s="20">
        <f t="shared" si="2"/>
        <v>0</v>
      </c>
      <c r="N1300" s="22"/>
      <c r="O1300" s="19" t="s">
        <v>3578</v>
      </c>
      <c r="P1300" s="18"/>
      <c r="Q1300" s="18"/>
      <c r="R1300" s="23">
        <v>0.0</v>
      </c>
      <c r="S1300" s="23">
        <v>0.0</v>
      </c>
      <c r="T1300" s="23">
        <f t="shared" si="3"/>
        <v>0</v>
      </c>
      <c r="U1300" s="23">
        <f t="shared" si="4"/>
        <v>0</v>
      </c>
      <c r="V1300" s="23">
        <f t="shared" si="5"/>
        <v>0</v>
      </c>
      <c r="W1300" s="24" t="str">
        <f t="shared" si="6"/>
        <v>#DIV/0!</v>
      </c>
    </row>
    <row r="1301">
      <c r="A1301" s="15" t="s">
        <v>248</v>
      </c>
      <c r="B1301" s="15" t="s">
        <v>249</v>
      </c>
      <c r="C1301" s="15" t="s">
        <v>6096</v>
      </c>
      <c r="D1301" s="15" t="s">
        <v>250</v>
      </c>
      <c r="E1301" s="17" t="s">
        <v>251</v>
      </c>
      <c r="F1301" s="18"/>
      <c r="G1301" s="15" t="s">
        <v>252</v>
      </c>
      <c r="H1301" s="15" t="s">
        <v>253</v>
      </c>
      <c r="I1301" s="18"/>
      <c r="J1301" s="19" t="s">
        <v>59</v>
      </c>
      <c r="K1301" s="33"/>
      <c r="L1301" s="19" t="s">
        <v>38</v>
      </c>
      <c r="M1301" s="20">
        <f t="shared" si="2"/>
        <v>2823.84</v>
      </c>
      <c r="N1301" s="31">
        <v>6.0</v>
      </c>
      <c r="O1301" s="19" t="s">
        <v>107</v>
      </c>
      <c r="P1301" s="18"/>
      <c r="Q1301" s="18"/>
      <c r="R1301" s="23">
        <v>17.0</v>
      </c>
      <c r="S1301" s="23">
        <v>159.0</v>
      </c>
      <c r="T1301" s="23">
        <f t="shared" si="3"/>
        <v>152.64</v>
      </c>
      <c r="U1301" s="23">
        <f t="shared" si="4"/>
        <v>20.825</v>
      </c>
      <c r="V1301" s="23">
        <f t="shared" si="5"/>
        <v>390.46875</v>
      </c>
      <c r="W1301" s="24">
        <f t="shared" si="6"/>
        <v>8.978823529</v>
      </c>
    </row>
    <row r="1302">
      <c r="A1302" s="15" t="s">
        <v>5270</v>
      </c>
      <c r="B1302" s="15" t="s">
        <v>5271</v>
      </c>
      <c r="C1302" s="15" t="s">
        <v>8012</v>
      </c>
      <c r="D1302" s="42" t="s">
        <v>5272</v>
      </c>
      <c r="E1302" s="17" t="s">
        <v>5273</v>
      </c>
      <c r="F1302" s="18"/>
      <c r="G1302" s="18"/>
      <c r="H1302" s="15" t="s">
        <v>5274</v>
      </c>
      <c r="I1302" s="15" t="s">
        <v>3912</v>
      </c>
      <c r="J1302" s="19" t="s">
        <v>59</v>
      </c>
      <c r="K1302" s="33"/>
      <c r="L1302" s="19" t="s">
        <v>38</v>
      </c>
      <c r="M1302" s="20">
        <f t="shared" si="2"/>
        <v>0</v>
      </c>
      <c r="N1302" s="22"/>
      <c r="O1302" s="19" t="s">
        <v>3578</v>
      </c>
      <c r="P1302" s="18"/>
      <c r="Q1302" s="18"/>
      <c r="R1302" s="23">
        <v>0.0</v>
      </c>
      <c r="S1302" s="23">
        <v>0.0</v>
      </c>
      <c r="T1302" s="23">
        <f t="shared" si="3"/>
        <v>0</v>
      </c>
      <c r="U1302" s="23">
        <f t="shared" si="4"/>
        <v>0</v>
      </c>
      <c r="V1302" s="23">
        <f t="shared" si="5"/>
        <v>0</v>
      </c>
      <c r="W1302" s="24" t="str">
        <f t="shared" si="6"/>
        <v>#DIV/0!</v>
      </c>
    </row>
    <row r="1303">
      <c r="A1303" s="15" t="s">
        <v>3220</v>
      </c>
      <c r="B1303" s="18"/>
      <c r="C1303" s="15" t="s">
        <v>8013</v>
      </c>
      <c r="D1303" s="18"/>
      <c r="E1303" s="17" t="s">
        <v>3221</v>
      </c>
      <c r="F1303" s="18"/>
      <c r="G1303" s="18"/>
      <c r="H1303" s="15" t="s">
        <v>3222</v>
      </c>
      <c r="I1303" s="15" t="s">
        <v>3223</v>
      </c>
      <c r="J1303" s="19" t="s">
        <v>59</v>
      </c>
      <c r="K1303" s="19" t="s">
        <v>2396</v>
      </c>
      <c r="L1303" s="19" t="s">
        <v>38</v>
      </c>
      <c r="M1303" s="20">
        <f t="shared" si="2"/>
        <v>0</v>
      </c>
      <c r="N1303" s="22"/>
      <c r="O1303" s="19" t="s">
        <v>1145</v>
      </c>
      <c r="P1303" s="18"/>
      <c r="Q1303" s="18"/>
      <c r="R1303" s="23">
        <v>0.0</v>
      </c>
      <c r="S1303" s="23">
        <v>0.0</v>
      </c>
      <c r="T1303" s="23">
        <f t="shared" si="3"/>
        <v>0</v>
      </c>
      <c r="U1303" s="23">
        <f t="shared" si="4"/>
        <v>0</v>
      </c>
      <c r="V1303" s="23">
        <f t="shared" si="5"/>
        <v>0</v>
      </c>
      <c r="W1303" s="24" t="str">
        <f t="shared" si="6"/>
        <v>#DIV/0!</v>
      </c>
    </row>
    <row r="1304">
      <c r="A1304" s="15" t="s">
        <v>3224</v>
      </c>
      <c r="B1304" s="18"/>
      <c r="C1304" s="15" t="s">
        <v>8014</v>
      </c>
      <c r="D1304" s="18"/>
      <c r="E1304" s="17" t="s">
        <v>3225</v>
      </c>
      <c r="F1304" s="18"/>
      <c r="G1304" s="18"/>
      <c r="H1304" s="15" t="s">
        <v>3226</v>
      </c>
      <c r="I1304" s="15" t="s">
        <v>3227</v>
      </c>
      <c r="J1304" s="19" t="s">
        <v>59</v>
      </c>
      <c r="K1304" s="19" t="s">
        <v>2396</v>
      </c>
      <c r="L1304" s="19" t="s">
        <v>38</v>
      </c>
      <c r="M1304" s="20">
        <f t="shared" si="2"/>
        <v>0</v>
      </c>
      <c r="N1304" s="22"/>
      <c r="O1304" s="19" t="s">
        <v>1145</v>
      </c>
      <c r="P1304" s="18"/>
      <c r="Q1304" s="18"/>
      <c r="R1304" s="23">
        <v>0.0</v>
      </c>
      <c r="S1304" s="23">
        <v>0.0</v>
      </c>
      <c r="T1304" s="23">
        <f t="shared" si="3"/>
        <v>0</v>
      </c>
      <c r="U1304" s="23">
        <f t="shared" si="4"/>
        <v>0</v>
      </c>
      <c r="V1304" s="23">
        <f t="shared" si="5"/>
        <v>0</v>
      </c>
      <c r="W1304" s="24" t="str">
        <f t="shared" si="6"/>
        <v>#DIV/0!</v>
      </c>
    </row>
    <row r="1305">
      <c r="A1305" s="15" t="s">
        <v>3228</v>
      </c>
      <c r="B1305" s="18"/>
      <c r="C1305" s="15" t="s">
        <v>8015</v>
      </c>
      <c r="D1305" s="18"/>
      <c r="E1305" s="17" t="s">
        <v>3229</v>
      </c>
      <c r="F1305" s="18"/>
      <c r="G1305" s="18"/>
      <c r="H1305" s="15" t="s">
        <v>3230</v>
      </c>
      <c r="I1305" s="15" t="s">
        <v>3231</v>
      </c>
      <c r="J1305" s="19" t="s">
        <v>59</v>
      </c>
      <c r="K1305" s="19" t="s">
        <v>2396</v>
      </c>
      <c r="L1305" s="19" t="s">
        <v>38</v>
      </c>
      <c r="M1305" s="20">
        <f t="shared" si="2"/>
        <v>0</v>
      </c>
      <c r="N1305" s="22"/>
      <c r="O1305" s="19" t="s">
        <v>1145</v>
      </c>
      <c r="P1305" s="18"/>
      <c r="Q1305" s="18"/>
      <c r="R1305" s="23">
        <v>0.0</v>
      </c>
      <c r="S1305" s="23">
        <v>0.0</v>
      </c>
      <c r="T1305" s="23">
        <f t="shared" si="3"/>
        <v>0</v>
      </c>
      <c r="U1305" s="23">
        <f t="shared" si="4"/>
        <v>0</v>
      </c>
      <c r="V1305" s="23">
        <f t="shared" si="5"/>
        <v>0</v>
      </c>
      <c r="W1305" s="24" t="str">
        <f t="shared" si="6"/>
        <v>#DIV/0!</v>
      </c>
    </row>
    <row r="1306">
      <c r="A1306" s="15" t="s">
        <v>3232</v>
      </c>
      <c r="B1306" s="18"/>
      <c r="C1306" s="15" t="s">
        <v>8016</v>
      </c>
      <c r="D1306" s="18"/>
      <c r="E1306" s="17" t="s">
        <v>3233</v>
      </c>
      <c r="F1306" s="18"/>
      <c r="G1306" s="18"/>
      <c r="H1306" s="15" t="s">
        <v>3234</v>
      </c>
      <c r="I1306" s="15" t="s">
        <v>3235</v>
      </c>
      <c r="J1306" s="19" t="s">
        <v>59</v>
      </c>
      <c r="K1306" s="19" t="s">
        <v>2396</v>
      </c>
      <c r="L1306" s="19" t="s">
        <v>38</v>
      </c>
      <c r="M1306" s="20">
        <f t="shared" si="2"/>
        <v>0</v>
      </c>
      <c r="N1306" s="22"/>
      <c r="O1306" s="19" t="s">
        <v>1145</v>
      </c>
      <c r="P1306" s="18"/>
      <c r="Q1306" s="18"/>
      <c r="R1306" s="23">
        <v>0.0</v>
      </c>
      <c r="S1306" s="23">
        <v>0.0</v>
      </c>
      <c r="T1306" s="23">
        <f t="shared" si="3"/>
        <v>0</v>
      </c>
      <c r="U1306" s="23">
        <f t="shared" si="4"/>
        <v>0</v>
      </c>
      <c r="V1306" s="23">
        <f t="shared" si="5"/>
        <v>0</v>
      </c>
      <c r="W1306" s="24" t="str">
        <f t="shared" si="6"/>
        <v>#DIV/0!</v>
      </c>
    </row>
    <row r="1307">
      <c r="A1307" s="15" t="s">
        <v>8017</v>
      </c>
      <c r="B1307" s="18"/>
      <c r="C1307" s="15" t="s">
        <v>6641</v>
      </c>
      <c r="D1307" s="18"/>
      <c r="E1307" s="17" t="s">
        <v>1115</v>
      </c>
      <c r="F1307" s="18"/>
      <c r="G1307" s="18"/>
      <c r="H1307" s="18"/>
      <c r="I1307" s="18"/>
      <c r="J1307" s="19" t="s">
        <v>104</v>
      </c>
      <c r="K1307" s="19" t="s">
        <v>105</v>
      </c>
      <c r="L1307" s="19" t="s">
        <v>38</v>
      </c>
      <c r="M1307" s="20">
        <f t="shared" si="2"/>
        <v>0</v>
      </c>
      <c r="N1307" s="22"/>
      <c r="O1307" s="19" t="s">
        <v>39</v>
      </c>
      <c r="P1307" s="18"/>
      <c r="Q1307" s="18"/>
      <c r="R1307" s="23">
        <v>0.0</v>
      </c>
      <c r="S1307" s="23">
        <v>0.0</v>
      </c>
      <c r="T1307" s="23">
        <f t="shared" si="3"/>
        <v>0</v>
      </c>
      <c r="U1307" s="23">
        <f t="shared" si="4"/>
        <v>0</v>
      </c>
      <c r="V1307" s="23">
        <f t="shared" si="5"/>
        <v>0</v>
      </c>
      <c r="W1307" s="24" t="str">
        <f t="shared" si="6"/>
        <v>#DIV/0!</v>
      </c>
    </row>
    <row r="1308">
      <c r="A1308" s="15" t="s">
        <v>1063</v>
      </c>
      <c r="B1308" s="15" t="s">
        <v>1064</v>
      </c>
      <c r="C1308" s="15" t="s">
        <v>6119</v>
      </c>
      <c r="D1308" s="15" t="s">
        <v>1065</v>
      </c>
      <c r="E1308" s="17" t="s">
        <v>1066</v>
      </c>
      <c r="F1308" s="15" t="s">
        <v>1067</v>
      </c>
      <c r="G1308" s="15" t="s">
        <v>1067</v>
      </c>
      <c r="H1308" s="15" t="s">
        <v>1068</v>
      </c>
      <c r="I1308" s="18"/>
      <c r="J1308" s="19" t="s">
        <v>104</v>
      </c>
      <c r="K1308" s="19" t="s">
        <v>831</v>
      </c>
      <c r="L1308" s="19" t="s">
        <v>106</v>
      </c>
      <c r="M1308" s="20">
        <f t="shared" si="2"/>
        <v>3782.88</v>
      </c>
      <c r="N1308" s="31">
        <v>50.0</v>
      </c>
      <c r="O1308" s="19" t="s">
        <v>107</v>
      </c>
      <c r="P1308" s="18"/>
      <c r="Q1308" s="18"/>
      <c r="R1308" s="23">
        <v>62.0</v>
      </c>
      <c r="S1308" s="23">
        <v>213.0</v>
      </c>
      <c r="T1308" s="23">
        <f t="shared" si="3"/>
        <v>204.48</v>
      </c>
      <c r="U1308" s="23">
        <f t="shared" si="4"/>
        <v>75.95</v>
      </c>
      <c r="V1308" s="23">
        <f t="shared" si="5"/>
        <v>1424.0625</v>
      </c>
      <c r="W1308" s="24">
        <f t="shared" si="6"/>
        <v>3.298064516</v>
      </c>
    </row>
    <row r="1309">
      <c r="A1309" s="15" t="s">
        <v>807</v>
      </c>
      <c r="B1309" s="15" t="s">
        <v>808</v>
      </c>
      <c r="C1309" s="15" t="s">
        <v>6098</v>
      </c>
      <c r="D1309" s="15" t="s">
        <v>809</v>
      </c>
      <c r="E1309" s="17" t="s">
        <v>810</v>
      </c>
      <c r="F1309" s="18"/>
      <c r="G1309" s="15" t="s">
        <v>811</v>
      </c>
      <c r="H1309" s="15" t="s">
        <v>812</v>
      </c>
      <c r="I1309" s="18"/>
      <c r="J1309" s="19" t="s">
        <v>104</v>
      </c>
      <c r="K1309" s="19" t="s">
        <v>160</v>
      </c>
      <c r="L1309" s="19" t="s">
        <v>106</v>
      </c>
      <c r="M1309" s="20">
        <f t="shared" si="2"/>
        <v>1083.36</v>
      </c>
      <c r="N1309" s="31">
        <v>10.0</v>
      </c>
      <c r="O1309" s="19" t="s">
        <v>107</v>
      </c>
      <c r="P1309" s="18"/>
      <c r="Q1309" s="18"/>
      <c r="R1309" s="23">
        <v>14.0</v>
      </c>
      <c r="S1309" s="23">
        <v>61.0</v>
      </c>
      <c r="T1309" s="23">
        <f t="shared" si="3"/>
        <v>58.56</v>
      </c>
      <c r="U1309" s="23">
        <f t="shared" si="4"/>
        <v>17.15</v>
      </c>
      <c r="V1309" s="23">
        <f t="shared" si="5"/>
        <v>321.5625</v>
      </c>
      <c r="W1309" s="24">
        <f t="shared" si="6"/>
        <v>4.182857143</v>
      </c>
    </row>
    <row r="1310">
      <c r="A1310" s="15" t="s">
        <v>844</v>
      </c>
      <c r="B1310" s="15" t="s">
        <v>845</v>
      </c>
      <c r="C1310" s="15" t="s">
        <v>6120</v>
      </c>
      <c r="D1310" s="15" t="s">
        <v>846</v>
      </c>
      <c r="E1310" s="17" t="s">
        <v>847</v>
      </c>
      <c r="F1310" s="18"/>
      <c r="G1310" s="15" t="s">
        <v>848</v>
      </c>
      <c r="H1310" s="15" t="s">
        <v>849</v>
      </c>
      <c r="I1310" s="18"/>
      <c r="J1310" s="19" t="s">
        <v>104</v>
      </c>
      <c r="K1310" s="19" t="s">
        <v>160</v>
      </c>
      <c r="L1310" s="19" t="s">
        <v>106</v>
      </c>
      <c r="M1310" s="20">
        <f t="shared" si="2"/>
        <v>816.96</v>
      </c>
      <c r="N1310" s="31">
        <v>70.0</v>
      </c>
      <c r="O1310" s="19" t="s">
        <v>107</v>
      </c>
      <c r="P1310" s="18"/>
      <c r="Q1310" s="18"/>
      <c r="R1310" s="23">
        <v>10.0</v>
      </c>
      <c r="S1310" s="23">
        <v>46.0</v>
      </c>
      <c r="T1310" s="23">
        <f t="shared" si="3"/>
        <v>44.16</v>
      </c>
      <c r="U1310" s="23">
        <f t="shared" si="4"/>
        <v>12.25</v>
      </c>
      <c r="V1310" s="23">
        <f t="shared" si="5"/>
        <v>229.6875</v>
      </c>
      <c r="W1310" s="24">
        <f t="shared" si="6"/>
        <v>4.416</v>
      </c>
    </row>
    <row r="1311">
      <c r="A1311" s="15" t="s">
        <v>673</v>
      </c>
      <c r="B1311" s="15" t="s">
        <v>674</v>
      </c>
      <c r="C1311" s="15" t="s">
        <v>6099</v>
      </c>
      <c r="D1311" s="15" t="s">
        <v>675</v>
      </c>
      <c r="E1311" s="17" t="s">
        <v>676</v>
      </c>
      <c r="F1311" s="18"/>
      <c r="G1311" s="15" t="s">
        <v>677</v>
      </c>
      <c r="H1311" s="15" t="s">
        <v>678</v>
      </c>
      <c r="I1311" s="18"/>
      <c r="J1311" s="19" t="s">
        <v>104</v>
      </c>
      <c r="K1311" s="19" t="s">
        <v>160</v>
      </c>
      <c r="L1311" s="19" t="s">
        <v>106</v>
      </c>
      <c r="M1311" s="20">
        <f t="shared" si="2"/>
        <v>1225.44</v>
      </c>
      <c r="N1311" s="31">
        <v>10.0</v>
      </c>
      <c r="O1311" s="19" t="s">
        <v>107</v>
      </c>
      <c r="P1311" s="18"/>
      <c r="Q1311" s="18"/>
      <c r="R1311" s="23">
        <v>13.5</v>
      </c>
      <c r="S1311" s="23">
        <v>69.0</v>
      </c>
      <c r="T1311" s="23">
        <f t="shared" si="3"/>
        <v>66.24</v>
      </c>
      <c r="U1311" s="23">
        <f t="shared" si="4"/>
        <v>16.5375</v>
      </c>
      <c r="V1311" s="23">
        <f t="shared" si="5"/>
        <v>310.078125</v>
      </c>
      <c r="W1311" s="24">
        <f t="shared" si="6"/>
        <v>4.906666667</v>
      </c>
    </row>
    <row r="1312">
      <c r="A1312" s="15" t="s">
        <v>537</v>
      </c>
      <c r="B1312" s="15" t="s">
        <v>538</v>
      </c>
      <c r="C1312" s="15" t="s">
        <v>6101</v>
      </c>
      <c r="D1312" s="15" t="s">
        <v>539</v>
      </c>
      <c r="E1312" s="17" t="s">
        <v>540</v>
      </c>
      <c r="F1312" s="18"/>
      <c r="G1312" s="15" t="s">
        <v>541</v>
      </c>
      <c r="H1312" s="15" t="s">
        <v>542</v>
      </c>
      <c r="I1312" s="18"/>
      <c r="J1312" s="19" t="s">
        <v>104</v>
      </c>
      <c r="K1312" s="19" t="s">
        <v>160</v>
      </c>
      <c r="L1312" s="19" t="s">
        <v>106</v>
      </c>
      <c r="M1312" s="20">
        <f t="shared" si="2"/>
        <v>1278.72</v>
      </c>
      <c r="N1312" s="31">
        <v>10.0</v>
      </c>
      <c r="O1312" s="19" t="s">
        <v>107</v>
      </c>
      <c r="P1312" s="18"/>
      <c r="Q1312" s="18"/>
      <c r="R1312" s="23">
        <v>12.0</v>
      </c>
      <c r="S1312" s="23">
        <v>72.0</v>
      </c>
      <c r="T1312" s="23">
        <f t="shared" si="3"/>
        <v>69.12</v>
      </c>
      <c r="U1312" s="23">
        <f t="shared" si="4"/>
        <v>14.7</v>
      </c>
      <c r="V1312" s="23">
        <f t="shared" si="5"/>
        <v>275.625</v>
      </c>
      <c r="W1312" s="24">
        <f t="shared" si="6"/>
        <v>5.76</v>
      </c>
    </row>
    <row r="1313">
      <c r="A1313" s="15" t="s">
        <v>161</v>
      </c>
      <c r="B1313" s="18" t="str">
        <f>CONCATENATE(7504589,A1313)</f>
        <v>75045892310</v>
      </c>
      <c r="C1313" s="15" t="s">
        <v>6100</v>
      </c>
      <c r="D1313" s="15" t="s">
        <v>162</v>
      </c>
      <c r="E1313" s="17" t="s">
        <v>163</v>
      </c>
      <c r="F1313" s="18"/>
      <c r="G1313" s="15" t="s">
        <v>164</v>
      </c>
      <c r="H1313" s="15" t="s">
        <v>165</v>
      </c>
      <c r="I1313" s="18"/>
      <c r="J1313" s="19" t="s">
        <v>104</v>
      </c>
      <c r="K1313" s="19" t="s">
        <v>160</v>
      </c>
      <c r="L1313" s="19" t="s">
        <v>106</v>
      </c>
      <c r="M1313" s="20">
        <f t="shared" si="2"/>
        <v>3711.84</v>
      </c>
      <c r="N1313" s="31">
        <v>10.0</v>
      </c>
      <c r="O1313" s="19" t="s">
        <v>107</v>
      </c>
      <c r="P1313" s="18"/>
      <c r="Q1313" s="18"/>
      <c r="R1313" s="23">
        <v>13.5</v>
      </c>
      <c r="S1313" s="23">
        <v>209.0</v>
      </c>
      <c r="T1313" s="23">
        <f t="shared" si="3"/>
        <v>200.64</v>
      </c>
      <c r="U1313" s="23">
        <f t="shared" si="4"/>
        <v>16.5375</v>
      </c>
      <c r="V1313" s="23">
        <f t="shared" si="5"/>
        <v>310.078125</v>
      </c>
      <c r="W1313" s="24">
        <f t="shared" si="6"/>
        <v>14.86222222</v>
      </c>
    </row>
    <row r="1314">
      <c r="A1314" s="15" t="s">
        <v>791</v>
      </c>
      <c r="B1314" s="15" t="s">
        <v>792</v>
      </c>
      <c r="C1314" s="15" t="s">
        <v>6056</v>
      </c>
      <c r="D1314" s="15" t="s">
        <v>793</v>
      </c>
      <c r="E1314" s="17" t="s">
        <v>794</v>
      </c>
      <c r="F1314" s="18"/>
      <c r="G1314" s="15" t="s">
        <v>795</v>
      </c>
      <c r="H1314" s="15" t="s">
        <v>796</v>
      </c>
      <c r="I1314" s="18"/>
      <c r="J1314" s="19" t="s">
        <v>104</v>
      </c>
      <c r="K1314" s="19" t="s">
        <v>160</v>
      </c>
      <c r="L1314" s="19" t="s">
        <v>106</v>
      </c>
      <c r="M1314" s="20">
        <f t="shared" si="2"/>
        <v>1065.6</v>
      </c>
      <c r="N1314" s="31">
        <v>8.0</v>
      </c>
      <c r="O1314" s="19" t="s">
        <v>107</v>
      </c>
      <c r="P1314" s="18"/>
      <c r="Q1314" s="18"/>
      <c r="R1314" s="23">
        <v>13.5</v>
      </c>
      <c r="S1314" s="23">
        <v>60.0</v>
      </c>
      <c r="T1314" s="23">
        <f t="shared" si="3"/>
        <v>57.6</v>
      </c>
      <c r="U1314" s="23">
        <f t="shared" si="4"/>
        <v>16.5375</v>
      </c>
      <c r="V1314" s="23">
        <f t="shared" si="5"/>
        <v>310.078125</v>
      </c>
      <c r="W1314" s="24">
        <f t="shared" si="6"/>
        <v>4.266666667</v>
      </c>
    </row>
    <row r="1315">
      <c r="A1315" s="15" t="s">
        <v>592</v>
      </c>
      <c r="B1315" s="15" t="s">
        <v>593</v>
      </c>
      <c r="C1315" s="15" t="s">
        <v>6057</v>
      </c>
      <c r="D1315" s="15" t="s">
        <v>594</v>
      </c>
      <c r="E1315" s="17" t="s">
        <v>595</v>
      </c>
      <c r="F1315" s="18"/>
      <c r="G1315" s="15" t="s">
        <v>164</v>
      </c>
      <c r="H1315" s="15" t="s">
        <v>596</v>
      </c>
      <c r="I1315" s="18"/>
      <c r="J1315" s="19" t="s">
        <v>104</v>
      </c>
      <c r="K1315" s="19" t="s">
        <v>160</v>
      </c>
      <c r="L1315" s="19" t="s">
        <v>106</v>
      </c>
      <c r="M1315" s="20">
        <f t="shared" si="2"/>
        <v>976.8</v>
      </c>
      <c r="N1315" s="31">
        <v>6.0</v>
      </c>
      <c r="O1315" s="19" t="s">
        <v>107</v>
      </c>
      <c r="P1315" s="18"/>
      <c r="Q1315" s="18"/>
      <c r="R1315" s="23">
        <v>10.0</v>
      </c>
      <c r="S1315" s="23">
        <v>55.0</v>
      </c>
      <c r="T1315" s="23">
        <f t="shared" si="3"/>
        <v>52.8</v>
      </c>
      <c r="U1315" s="23">
        <f t="shared" si="4"/>
        <v>12.25</v>
      </c>
      <c r="V1315" s="23">
        <f t="shared" si="5"/>
        <v>229.6875</v>
      </c>
      <c r="W1315" s="24">
        <f t="shared" si="6"/>
        <v>5.28</v>
      </c>
    </row>
    <row r="1316">
      <c r="A1316" s="15" t="s">
        <v>478</v>
      </c>
      <c r="B1316" s="15" t="s">
        <v>479</v>
      </c>
      <c r="C1316" s="15" t="s">
        <v>6113</v>
      </c>
      <c r="D1316" s="15" t="s">
        <v>480</v>
      </c>
      <c r="E1316" s="17" t="s">
        <v>481</v>
      </c>
      <c r="F1316" s="18"/>
      <c r="G1316" s="15" t="s">
        <v>482</v>
      </c>
      <c r="H1316" s="15" t="s">
        <v>483</v>
      </c>
      <c r="I1316" s="18"/>
      <c r="J1316" s="19" t="s">
        <v>104</v>
      </c>
      <c r="K1316" s="19" t="s">
        <v>160</v>
      </c>
      <c r="L1316" s="19" t="s">
        <v>106</v>
      </c>
      <c r="M1316" s="20">
        <f t="shared" si="2"/>
        <v>177.6</v>
      </c>
      <c r="N1316" s="31">
        <v>30.0</v>
      </c>
      <c r="O1316" s="19" t="s">
        <v>107</v>
      </c>
      <c r="P1316" s="18"/>
      <c r="Q1316" s="18"/>
      <c r="R1316" s="23">
        <v>1.5</v>
      </c>
      <c r="S1316" s="23">
        <v>10.0</v>
      </c>
      <c r="T1316" s="23">
        <f t="shared" si="3"/>
        <v>9.6</v>
      </c>
      <c r="U1316" s="23">
        <f t="shared" si="4"/>
        <v>1.8375</v>
      </c>
      <c r="V1316" s="23">
        <f t="shared" si="5"/>
        <v>34.453125</v>
      </c>
      <c r="W1316" s="24">
        <f t="shared" si="6"/>
        <v>6.4</v>
      </c>
    </row>
    <row r="1317">
      <c r="A1317" s="15" t="s">
        <v>639</v>
      </c>
      <c r="B1317" s="15" t="s">
        <v>640</v>
      </c>
      <c r="C1317" s="15" t="s">
        <v>6058</v>
      </c>
      <c r="D1317" s="15" t="s">
        <v>641</v>
      </c>
      <c r="E1317" s="17" t="s">
        <v>642</v>
      </c>
      <c r="F1317" s="18"/>
      <c r="G1317" s="15" t="s">
        <v>643</v>
      </c>
      <c r="H1317" s="15" t="s">
        <v>644</v>
      </c>
      <c r="I1317" s="18"/>
      <c r="J1317" s="19" t="s">
        <v>104</v>
      </c>
      <c r="K1317" s="19" t="s">
        <v>160</v>
      </c>
      <c r="L1317" s="19" t="s">
        <v>106</v>
      </c>
      <c r="M1317" s="20">
        <f t="shared" si="2"/>
        <v>1864.8</v>
      </c>
      <c r="N1317" s="31">
        <v>6.0</v>
      </c>
      <c r="O1317" s="19" t="s">
        <v>107</v>
      </c>
      <c r="P1317" s="18"/>
      <c r="Q1317" s="18"/>
      <c r="R1317" s="23">
        <v>20.0</v>
      </c>
      <c r="S1317" s="23">
        <v>105.0</v>
      </c>
      <c r="T1317" s="23">
        <f t="shared" si="3"/>
        <v>100.8</v>
      </c>
      <c r="U1317" s="23">
        <f t="shared" si="4"/>
        <v>24.5</v>
      </c>
      <c r="V1317" s="23">
        <f t="shared" si="5"/>
        <v>459.375</v>
      </c>
      <c r="W1317" s="24">
        <f t="shared" si="6"/>
        <v>5.04</v>
      </c>
    </row>
    <row r="1318">
      <c r="A1318" s="15" t="s">
        <v>153</v>
      </c>
      <c r="B1318" s="15" t="s">
        <v>154</v>
      </c>
      <c r="C1318" s="15" t="s">
        <v>6116</v>
      </c>
      <c r="D1318" s="15" t="s">
        <v>155</v>
      </c>
      <c r="E1318" s="17" t="s">
        <v>156</v>
      </c>
      <c r="F1318" s="18"/>
      <c r="G1318" s="15" t="s">
        <v>157</v>
      </c>
      <c r="H1318" s="15" t="s">
        <v>158</v>
      </c>
      <c r="I1318" s="18"/>
      <c r="J1318" s="19" t="s">
        <v>104</v>
      </c>
      <c r="K1318" s="19" t="s">
        <v>160</v>
      </c>
      <c r="L1318" s="19" t="s">
        <v>106</v>
      </c>
      <c r="M1318" s="20">
        <f t="shared" si="2"/>
        <v>444</v>
      </c>
      <c r="N1318" s="31">
        <v>36.0</v>
      </c>
      <c r="O1318" s="19" t="s">
        <v>107</v>
      </c>
      <c r="P1318" s="18"/>
      <c r="Q1318" s="18"/>
      <c r="R1318" s="23">
        <v>1.5</v>
      </c>
      <c r="S1318" s="23">
        <v>25.0</v>
      </c>
      <c r="T1318" s="23">
        <f t="shared" si="3"/>
        <v>24</v>
      </c>
      <c r="U1318" s="23">
        <f t="shared" si="4"/>
        <v>1.8375</v>
      </c>
      <c r="V1318" s="23">
        <f t="shared" si="5"/>
        <v>34.453125</v>
      </c>
      <c r="W1318" s="24">
        <f t="shared" si="6"/>
        <v>16</v>
      </c>
    </row>
    <row r="1319">
      <c r="A1319" s="15" t="s">
        <v>885</v>
      </c>
      <c r="B1319" s="15" t="s">
        <v>886</v>
      </c>
      <c r="C1319" s="15" t="s">
        <v>8018</v>
      </c>
      <c r="D1319" s="15" t="s">
        <v>887</v>
      </c>
      <c r="E1319" s="17" t="s">
        <v>888</v>
      </c>
      <c r="F1319" s="18"/>
      <c r="G1319" s="15" t="s">
        <v>889</v>
      </c>
      <c r="H1319" s="15" t="s">
        <v>890</v>
      </c>
      <c r="I1319" s="18"/>
      <c r="J1319" s="19" t="s">
        <v>104</v>
      </c>
      <c r="K1319" s="19" t="s">
        <v>160</v>
      </c>
      <c r="L1319" s="19" t="s">
        <v>106</v>
      </c>
      <c r="M1319" s="20">
        <f t="shared" si="2"/>
        <v>2379.84</v>
      </c>
      <c r="N1319" s="31">
        <v>4.0</v>
      </c>
      <c r="O1319" s="19" t="s">
        <v>107</v>
      </c>
      <c r="P1319" s="18"/>
      <c r="Q1319" s="18"/>
      <c r="R1319" s="23">
        <v>33.0</v>
      </c>
      <c r="S1319" s="23">
        <v>134.0</v>
      </c>
      <c r="T1319" s="23">
        <f t="shared" si="3"/>
        <v>128.64</v>
      </c>
      <c r="U1319" s="23">
        <f t="shared" si="4"/>
        <v>40.425</v>
      </c>
      <c r="V1319" s="23">
        <f t="shared" si="5"/>
        <v>757.96875</v>
      </c>
      <c r="W1319" s="24">
        <f t="shared" si="6"/>
        <v>3.898181818</v>
      </c>
    </row>
    <row r="1320">
      <c r="A1320" s="15" t="s">
        <v>3570</v>
      </c>
      <c r="B1320" s="15" t="s">
        <v>3571</v>
      </c>
      <c r="C1320" s="15" t="s">
        <v>8019</v>
      </c>
      <c r="D1320" s="18"/>
      <c r="E1320" s="17" t="s">
        <v>3572</v>
      </c>
      <c r="F1320" s="18"/>
      <c r="G1320" s="18"/>
      <c r="H1320" s="15" t="s">
        <v>3573</v>
      </c>
      <c r="I1320" s="18"/>
      <c r="J1320" s="19" t="s">
        <v>104</v>
      </c>
      <c r="K1320" s="33"/>
      <c r="L1320" s="19" t="s">
        <v>38</v>
      </c>
      <c r="M1320" s="20">
        <f t="shared" si="2"/>
        <v>0</v>
      </c>
      <c r="N1320" s="22"/>
      <c r="O1320" s="19" t="s">
        <v>3574</v>
      </c>
      <c r="P1320" s="18"/>
      <c r="Q1320" s="18"/>
      <c r="R1320" s="23">
        <v>0.0</v>
      </c>
      <c r="S1320" s="23">
        <v>0.0</v>
      </c>
      <c r="T1320" s="23">
        <f t="shared" si="3"/>
        <v>0</v>
      </c>
      <c r="U1320" s="23">
        <f t="shared" si="4"/>
        <v>0</v>
      </c>
      <c r="V1320" s="23">
        <f t="shared" si="5"/>
        <v>0</v>
      </c>
      <c r="W1320" s="24" t="str">
        <f t="shared" si="6"/>
        <v>#DIV/0!</v>
      </c>
    </row>
    <row r="1321">
      <c r="A1321" s="15" t="s">
        <v>912</v>
      </c>
      <c r="B1321" s="15" t="s">
        <v>913</v>
      </c>
      <c r="C1321" s="15" t="s">
        <v>6121</v>
      </c>
      <c r="D1321" s="15" t="s">
        <v>914</v>
      </c>
      <c r="E1321" s="17" t="s">
        <v>915</v>
      </c>
      <c r="F1321" s="18"/>
      <c r="G1321" s="15" t="s">
        <v>916</v>
      </c>
      <c r="H1321" s="15" t="s">
        <v>917</v>
      </c>
      <c r="I1321" s="18"/>
      <c r="J1321" s="19" t="s">
        <v>104</v>
      </c>
      <c r="K1321" s="19" t="s">
        <v>160</v>
      </c>
      <c r="L1321" s="19" t="s">
        <v>919</v>
      </c>
      <c r="M1321" s="20">
        <f t="shared" si="2"/>
        <v>106.56</v>
      </c>
      <c r="N1321" s="31">
        <v>150.0</v>
      </c>
      <c r="O1321" s="19" t="s">
        <v>107</v>
      </c>
      <c r="P1321" s="18"/>
      <c r="Q1321" s="18"/>
      <c r="R1321" s="23">
        <v>1.5</v>
      </c>
      <c r="S1321" s="23">
        <v>6.0</v>
      </c>
      <c r="T1321" s="23">
        <f t="shared" si="3"/>
        <v>5.76</v>
      </c>
      <c r="U1321" s="23">
        <f t="shared" si="4"/>
        <v>1.8375</v>
      </c>
      <c r="V1321" s="23">
        <f t="shared" si="5"/>
        <v>34.453125</v>
      </c>
      <c r="W1321" s="24">
        <f t="shared" si="6"/>
        <v>3.84</v>
      </c>
    </row>
    <row r="1322">
      <c r="A1322" s="15" t="s">
        <v>509</v>
      </c>
      <c r="B1322" s="15" t="s">
        <v>510</v>
      </c>
      <c r="C1322" s="15" t="s">
        <v>8020</v>
      </c>
      <c r="D1322" s="15" t="s">
        <v>511</v>
      </c>
      <c r="E1322" s="17" t="s">
        <v>512</v>
      </c>
      <c r="F1322" s="18"/>
      <c r="G1322" s="15" t="s">
        <v>513</v>
      </c>
      <c r="H1322" s="15" t="s">
        <v>514</v>
      </c>
      <c r="I1322" s="18"/>
      <c r="J1322" s="19" t="s">
        <v>104</v>
      </c>
      <c r="K1322" s="19" t="s">
        <v>160</v>
      </c>
      <c r="L1322" s="19" t="s">
        <v>106</v>
      </c>
      <c r="M1322" s="20">
        <f t="shared" si="2"/>
        <v>2788.32</v>
      </c>
      <c r="N1322" s="31">
        <v>1.0</v>
      </c>
      <c r="O1322" s="19" t="s">
        <v>107</v>
      </c>
      <c r="P1322" s="18"/>
      <c r="Q1322" s="18"/>
      <c r="R1322" s="23">
        <v>25.0</v>
      </c>
      <c r="S1322" s="23">
        <v>157.0</v>
      </c>
      <c r="T1322" s="23">
        <f t="shared" si="3"/>
        <v>150.72</v>
      </c>
      <c r="U1322" s="23">
        <f t="shared" si="4"/>
        <v>30.625</v>
      </c>
      <c r="V1322" s="23">
        <f t="shared" si="5"/>
        <v>574.21875</v>
      </c>
      <c r="W1322" s="24">
        <f t="shared" si="6"/>
        <v>6.0288</v>
      </c>
    </row>
    <row r="1323">
      <c r="A1323" s="15" t="s">
        <v>326</v>
      </c>
      <c r="B1323" s="15" t="s">
        <v>327</v>
      </c>
      <c r="C1323" s="15" t="s">
        <v>8020</v>
      </c>
      <c r="D1323" s="15" t="s">
        <v>328</v>
      </c>
      <c r="E1323" s="17" t="s">
        <v>329</v>
      </c>
      <c r="F1323" s="18"/>
      <c r="G1323" s="15" t="s">
        <v>330</v>
      </c>
      <c r="H1323" s="15" t="s">
        <v>331</v>
      </c>
      <c r="I1323" s="18"/>
      <c r="J1323" s="19" t="s">
        <v>104</v>
      </c>
      <c r="K1323" s="19" t="s">
        <v>160</v>
      </c>
      <c r="L1323" s="19" t="s">
        <v>106</v>
      </c>
      <c r="M1323" s="20">
        <f t="shared" si="2"/>
        <v>3658.56</v>
      </c>
      <c r="N1323" s="31">
        <v>1.0</v>
      </c>
      <c r="O1323" s="19" t="s">
        <v>107</v>
      </c>
      <c r="P1323" s="18"/>
      <c r="Q1323" s="18"/>
      <c r="R1323" s="23">
        <v>26.0</v>
      </c>
      <c r="S1323" s="23">
        <v>206.0</v>
      </c>
      <c r="T1323" s="23">
        <f t="shared" si="3"/>
        <v>197.76</v>
      </c>
      <c r="U1323" s="23">
        <f t="shared" si="4"/>
        <v>31.85</v>
      </c>
      <c r="V1323" s="23">
        <f t="shared" si="5"/>
        <v>597.1875</v>
      </c>
      <c r="W1323" s="24">
        <f t="shared" si="6"/>
        <v>7.606153846</v>
      </c>
    </row>
    <row r="1324">
      <c r="A1324" s="15" t="s">
        <v>379</v>
      </c>
      <c r="B1324" s="15" t="s">
        <v>380</v>
      </c>
      <c r="C1324" s="15" t="s">
        <v>8020</v>
      </c>
      <c r="D1324" s="15" t="s">
        <v>381</v>
      </c>
      <c r="E1324" s="17" t="s">
        <v>382</v>
      </c>
      <c r="F1324" s="18"/>
      <c r="G1324" s="15" t="s">
        <v>383</v>
      </c>
      <c r="H1324" s="15" t="s">
        <v>384</v>
      </c>
      <c r="I1324" s="18"/>
      <c r="J1324" s="19" t="s">
        <v>104</v>
      </c>
      <c r="K1324" s="19" t="s">
        <v>160</v>
      </c>
      <c r="L1324" s="19" t="s">
        <v>106</v>
      </c>
      <c r="M1324" s="20">
        <f t="shared" si="2"/>
        <v>3338.88</v>
      </c>
      <c r="N1324" s="31">
        <v>1.0</v>
      </c>
      <c r="O1324" s="19" t="s">
        <v>107</v>
      </c>
      <c r="P1324" s="18"/>
      <c r="Q1324" s="18"/>
      <c r="R1324" s="23">
        <v>25.0</v>
      </c>
      <c r="S1324" s="23">
        <v>188.0</v>
      </c>
      <c r="T1324" s="23">
        <f t="shared" si="3"/>
        <v>180.48</v>
      </c>
      <c r="U1324" s="23">
        <f t="shared" si="4"/>
        <v>30.625</v>
      </c>
      <c r="V1324" s="23">
        <f t="shared" si="5"/>
        <v>574.21875</v>
      </c>
      <c r="W1324" s="24">
        <f t="shared" si="6"/>
        <v>7.2192</v>
      </c>
    </row>
    <row r="1325">
      <c r="A1325" s="15" t="s">
        <v>410</v>
      </c>
      <c r="B1325" s="15" t="s">
        <v>411</v>
      </c>
      <c r="C1325" s="15" t="s">
        <v>8020</v>
      </c>
      <c r="D1325" s="15" t="s">
        <v>412</v>
      </c>
      <c r="E1325" s="17" t="s">
        <v>413</v>
      </c>
      <c r="F1325" s="18"/>
      <c r="G1325" s="15" t="s">
        <v>414</v>
      </c>
      <c r="H1325" s="15" t="s">
        <v>415</v>
      </c>
      <c r="I1325" s="18"/>
      <c r="J1325" s="19" t="s">
        <v>104</v>
      </c>
      <c r="K1325" s="19" t="s">
        <v>160</v>
      </c>
      <c r="L1325" s="19" t="s">
        <v>106</v>
      </c>
      <c r="M1325" s="20">
        <f t="shared" si="2"/>
        <v>3587.52</v>
      </c>
      <c r="N1325" s="31">
        <v>1.0</v>
      </c>
      <c r="O1325" s="19" t="s">
        <v>107</v>
      </c>
      <c r="P1325" s="18"/>
      <c r="Q1325" s="18"/>
      <c r="R1325" s="23">
        <v>28.0</v>
      </c>
      <c r="S1325" s="23">
        <v>202.0</v>
      </c>
      <c r="T1325" s="23">
        <f t="shared" si="3"/>
        <v>193.92</v>
      </c>
      <c r="U1325" s="23">
        <f t="shared" si="4"/>
        <v>34.3</v>
      </c>
      <c r="V1325" s="23">
        <f t="shared" si="5"/>
        <v>643.125</v>
      </c>
      <c r="W1325" s="24">
        <f t="shared" si="6"/>
        <v>6.925714286</v>
      </c>
    </row>
    <row r="1326">
      <c r="A1326" s="15" t="s">
        <v>5275</v>
      </c>
      <c r="B1326" s="15" t="s">
        <v>5276</v>
      </c>
      <c r="C1326" s="15" t="s">
        <v>8021</v>
      </c>
      <c r="D1326" s="15" t="s">
        <v>5277</v>
      </c>
      <c r="E1326" s="17" t="s">
        <v>5278</v>
      </c>
      <c r="F1326" s="18"/>
      <c r="G1326" s="18"/>
      <c r="H1326" s="15" t="s">
        <v>5279</v>
      </c>
      <c r="I1326" s="18"/>
      <c r="J1326" s="19" t="s">
        <v>104</v>
      </c>
      <c r="K1326" s="19" t="s">
        <v>160</v>
      </c>
      <c r="L1326" s="19" t="s">
        <v>106</v>
      </c>
      <c r="M1326" s="20">
        <f t="shared" si="2"/>
        <v>0</v>
      </c>
      <c r="N1326" s="22"/>
      <c r="O1326" s="19" t="s">
        <v>3578</v>
      </c>
      <c r="P1326" s="18"/>
      <c r="Q1326" s="18"/>
      <c r="R1326" s="23">
        <v>0.0</v>
      </c>
      <c r="S1326" s="23">
        <v>0.0</v>
      </c>
      <c r="T1326" s="23">
        <f t="shared" si="3"/>
        <v>0</v>
      </c>
      <c r="U1326" s="23">
        <f t="shared" si="4"/>
        <v>0</v>
      </c>
      <c r="V1326" s="23">
        <f t="shared" si="5"/>
        <v>0</v>
      </c>
      <c r="W1326" s="24" t="str">
        <f t="shared" si="6"/>
        <v>#DIV/0!</v>
      </c>
    </row>
    <row r="1327">
      <c r="A1327" s="15" t="s">
        <v>5280</v>
      </c>
      <c r="B1327" s="15" t="s">
        <v>5281</v>
      </c>
      <c r="C1327" s="15" t="s">
        <v>8022</v>
      </c>
      <c r="D1327" s="15" t="s">
        <v>5282</v>
      </c>
      <c r="E1327" s="17" t="s">
        <v>5283</v>
      </c>
      <c r="F1327" s="18"/>
      <c r="G1327" s="18"/>
      <c r="H1327" s="15" t="s">
        <v>5284</v>
      </c>
      <c r="I1327" s="18"/>
      <c r="J1327" s="19" t="s">
        <v>104</v>
      </c>
      <c r="K1327" s="19" t="s">
        <v>160</v>
      </c>
      <c r="L1327" s="19" t="s">
        <v>106</v>
      </c>
      <c r="M1327" s="20">
        <f t="shared" si="2"/>
        <v>0</v>
      </c>
      <c r="N1327" s="22"/>
      <c r="O1327" s="19" t="s">
        <v>3578</v>
      </c>
      <c r="P1327" s="18"/>
      <c r="Q1327" s="18"/>
      <c r="R1327" s="23">
        <v>0.0</v>
      </c>
      <c r="S1327" s="23">
        <v>0.0</v>
      </c>
      <c r="T1327" s="23">
        <f t="shared" si="3"/>
        <v>0</v>
      </c>
      <c r="U1327" s="23">
        <f t="shared" si="4"/>
        <v>0</v>
      </c>
      <c r="V1327" s="23">
        <f t="shared" si="5"/>
        <v>0</v>
      </c>
      <c r="W1327" s="24" t="str">
        <f t="shared" si="6"/>
        <v>#DIV/0!</v>
      </c>
    </row>
    <row r="1328">
      <c r="A1328" s="15" t="s">
        <v>8023</v>
      </c>
      <c r="B1328" s="15"/>
      <c r="C1328" s="15" t="s">
        <v>8020</v>
      </c>
      <c r="D1328" s="18"/>
      <c r="E1328" s="17"/>
      <c r="F1328" s="18"/>
      <c r="G1328" s="18"/>
      <c r="H1328" s="15"/>
      <c r="I1328" s="18"/>
      <c r="J1328" s="19" t="s">
        <v>104</v>
      </c>
      <c r="K1328" s="33"/>
      <c r="L1328" s="19" t="s">
        <v>38</v>
      </c>
      <c r="M1328" s="20">
        <f t="shared" si="2"/>
        <v>0</v>
      </c>
      <c r="N1328" s="22"/>
      <c r="O1328" s="19" t="s">
        <v>39</v>
      </c>
      <c r="P1328" s="18"/>
      <c r="Q1328" s="18"/>
      <c r="R1328" s="23">
        <v>0.0</v>
      </c>
      <c r="S1328" s="23">
        <v>0.0</v>
      </c>
      <c r="T1328" s="23">
        <f t="shared" si="3"/>
        <v>0</v>
      </c>
      <c r="U1328" s="23">
        <f t="shared" si="4"/>
        <v>0</v>
      </c>
      <c r="V1328" s="23">
        <f t="shared" si="5"/>
        <v>0</v>
      </c>
      <c r="W1328" s="24" t="str">
        <f t="shared" si="6"/>
        <v>#DIV/0!</v>
      </c>
    </row>
    <row r="1329">
      <c r="A1329" s="15" t="s">
        <v>8024</v>
      </c>
      <c r="B1329" s="15"/>
      <c r="C1329" s="15" t="s">
        <v>8025</v>
      </c>
      <c r="D1329" s="18"/>
      <c r="E1329" s="17" t="s">
        <v>8026</v>
      </c>
      <c r="F1329" s="18"/>
      <c r="G1329" s="18"/>
      <c r="H1329" s="15"/>
      <c r="I1329" s="18"/>
      <c r="J1329" s="19" t="s">
        <v>104</v>
      </c>
      <c r="K1329" s="33"/>
      <c r="L1329" s="19" t="s">
        <v>38</v>
      </c>
      <c r="M1329" s="20">
        <f t="shared" si="2"/>
        <v>0</v>
      </c>
      <c r="N1329" s="22"/>
      <c r="O1329" s="19" t="s">
        <v>39</v>
      </c>
      <c r="P1329" s="18"/>
      <c r="Q1329" s="18"/>
      <c r="R1329" s="23">
        <v>0.0</v>
      </c>
      <c r="S1329" s="23">
        <v>0.0</v>
      </c>
      <c r="T1329" s="23">
        <f t="shared" si="3"/>
        <v>0</v>
      </c>
      <c r="U1329" s="23">
        <f t="shared" si="4"/>
        <v>0</v>
      </c>
      <c r="V1329" s="23">
        <f t="shared" si="5"/>
        <v>0</v>
      </c>
      <c r="W1329" s="24" t="str">
        <f t="shared" si="6"/>
        <v>#DIV/0!</v>
      </c>
    </row>
    <row r="1330">
      <c r="A1330" s="15" t="s">
        <v>178</v>
      </c>
      <c r="B1330" s="15" t="s">
        <v>179</v>
      </c>
      <c r="C1330" s="15" t="s">
        <v>6117</v>
      </c>
      <c r="D1330" s="15" t="s">
        <v>180</v>
      </c>
      <c r="E1330" s="17" t="s">
        <v>181</v>
      </c>
      <c r="F1330" s="18"/>
      <c r="G1330" s="18"/>
      <c r="H1330" s="15" t="s">
        <v>182</v>
      </c>
      <c r="I1330" s="18"/>
      <c r="J1330" s="19" t="s">
        <v>104</v>
      </c>
      <c r="K1330" s="19" t="s">
        <v>160</v>
      </c>
      <c r="L1330" s="19" t="s">
        <v>106</v>
      </c>
      <c r="M1330" s="20">
        <f t="shared" si="2"/>
        <v>124.32</v>
      </c>
      <c r="N1330" s="31">
        <v>40.0</v>
      </c>
      <c r="O1330" s="19" t="s">
        <v>107</v>
      </c>
      <c r="P1330" s="18"/>
      <c r="Q1330" s="18"/>
      <c r="R1330" s="23">
        <v>0.5</v>
      </c>
      <c r="S1330" s="23">
        <v>7.0</v>
      </c>
      <c r="T1330" s="23">
        <f t="shared" si="3"/>
        <v>6.72</v>
      </c>
      <c r="U1330" s="23">
        <f t="shared" si="4"/>
        <v>0.6125</v>
      </c>
      <c r="V1330" s="23">
        <f t="shared" si="5"/>
        <v>11.484375</v>
      </c>
      <c r="W1330" s="24">
        <f t="shared" si="6"/>
        <v>13.44</v>
      </c>
    </row>
    <row r="1331">
      <c r="A1331" s="15" t="s">
        <v>1052</v>
      </c>
      <c r="B1331" s="15" t="s">
        <v>1053</v>
      </c>
      <c r="C1331" s="15" t="s">
        <v>6067</v>
      </c>
      <c r="D1331" s="15" t="s">
        <v>1054</v>
      </c>
      <c r="E1331" s="17" t="s">
        <v>1055</v>
      </c>
      <c r="F1331" s="18"/>
      <c r="G1331" s="18"/>
      <c r="H1331" s="15" t="s">
        <v>1056</v>
      </c>
      <c r="I1331" s="18"/>
      <c r="J1331" s="19" t="s">
        <v>702</v>
      </c>
      <c r="K1331" s="19" t="s">
        <v>1230</v>
      </c>
      <c r="L1331" s="19" t="s">
        <v>38</v>
      </c>
      <c r="M1331" s="20">
        <f t="shared" si="2"/>
        <v>3356.64</v>
      </c>
      <c r="N1331" s="31">
        <v>2.0</v>
      </c>
      <c r="O1331" s="19" t="s">
        <v>107</v>
      </c>
      <c r="P1331" s="18"/>
      <c r="Q1331" s="18"/>
      <c r="R1331" s="23">
        <v>60.0</v>
      </c>
      <c r="S1331" s="23">
        <v>189.0</v>
      </c>
      <c r="T1331" s="23">
        <f t="shared" si="3"/>
        <v>181.44</v>
      </c>
      <c r="U1331" s="23">
        <f t="shared" si="4"/>
        <v>73.5</v>
      </c>
      <c r="V1331" s="23">
        <f t="shared" si="5"/>
        <v>1378.125</v>
      </c>
      <c r="W1331" s="24">
        <f t="shared" si="6"/>
        <v>3.024</v>
      </c>
    </row>
    <row r="1332">
      <c r="A1332" s="15" t="s">
        <v>3236</v>
      </c>
      <c r="B1332" s="15" t="s">
        <v>3237</v>
      </c>
      <c r="C1332" s="15" t="s">
        <v>8028</v>
      </c>
      <c r="D1332" s="18"/>
      <c r="E1332" s="17" t="s">
        <v>3238</v>
      </c>
      <c r="F1332" s="18"/>
      <c r="G1332" s="18"/>
      <c r="H1332" s="15" t="s">
        <v>3239</v>
      </c>
      <c r="I1332" s="18"/>
      <c r="J1332" s="19" t="s">
        <v>702</v>
      </c>
      <c r="K1332" s="19" t="s">
        <v>1444</v>
      </c>
      <c r="L1332" s="19" t="s">
        <v>38</v>
      </c>
      <c r="M1332" s="20">
        <f t="shared" si="2"/>
        <v>0</v>
      </c>
      <c r="N1332" s="22"/>
      <c r="O1332" s="19" t="s">
        <v>1145</v>
      </c>
      <c r="P1332" s="18"/>
      <c r="Q1332" s="18"/>
      <c r="R1332" s="23">
        <v>0.0</v>
      </c>
      <c r="S1332" s="23">
        <v>0.0</v>
      </c>
      <c r="T1332" s="23">
        <f t="shared" si="3"/>
        <v>0</v>
      </c>
      <c r="U1332" s="23">
        <f t="shared" si="4"/>
        <v>0</v>
      </c>
      <c r="V1332" s="23">
        <f t="shared" si="5"/>
        <v>0</v>
      </c>
      <c r="W1332" s="24" t="str">
        <f t="shared" si="6"/>
        <v>#DIV/0!</v>
      </c>
    </row>
    <row r="1333">
      <c r="A1333" s="15" t="s">
        <v>925</v>
      </c>
      <c r="B1333" s="15" t="s">
        <v>926</v>
      </c>
      <c r="C1333" s="15" t="s">
        <v>6104</v>
      </c>
      <c r="D1333" s="15" t="s">
        <v>927</v>
      </c>
      <c r="E1333" s="17" t="s">
        <v>6105</v>
      </c>
      <c r="F1333" s="18"/>
      <c r="G1333" s="18"/>
      <c r="H1333" s="15" t="s">
        <v>929</v>
      </c>
      <c r="I1333" s="18"/>
      <c r="J1333" s="19" t="s">
        <v>702</v>
      </c>
      <c r="K1333" s="19" t="s">
        <v>1444</v>
      </c>
      <c r="L1333" s="19" t="s">
        <v>38</v>
      </c>
      <c r="M1333" s="20">
        <f t="shared" si="2"/>
        <v>692.64</v>
      </c>
      <c r="N1333" s="31">
        <v>10.0</v>
      </c>
      <c r="O1333" s="19" t="s">
        <v>107</v>
      </c>
      <c r="P1333" s="18"/>
      <c r="Q1333" s="18"/>
      <c r="R1333" s="23">
        <v>10.0</v>
      </c>
      <c r="S1333" s="23">
        <v>39.0</v>
      </c>
      <c r="T1333" s="23">
        <f t="shared" si="3"/>
        <v>37.44</v>
      </c>
      <c r="U1333" s="23">
        <f t="shared" si="4"/>
        <v>12.25</v>
      </c>
      <c r="V1333" s="23">
        <f t="shared" si="5"/>
        <v>229.6875</v>
      </c>
      <c r="W1333" s="24">
        <f t="shared" si="6"/>
        <v>3.744</v>
      </c>
    </row>
    <row r="1334">
      <c r="A1334" s="15" t="s">
        <v>5285</v>
      </c>
      <c r="B1334" s="15" t="s">
        <v>5286</v>
      </c>
      <c r="C1334" s="15" t="s">
        <v>8029</v>
      </c>
      <c r="D1334" s="18"/>
      <c r="E1334" s="17" t="s">
        <v>5287</v>
      </c>
      <c r="F1334" s="18"/>
      <c r="G1334" s="18"/>
      <c r="H1334" s="15" t="s">
        <v>5288</v>
      </c>
      <c r="I1334" s="18"/>
      <c r="J1334" s="19" t="s">
        <v>702</v>
      </c>
      <c r="K1334" s="19" t="s">
        <v>52</v>
      </c>
      <c r="L1334" s="19" t="s">
        <v>52</v>
      </c>
      <c r="M1334" s="20">
        <f t="shared" si="2"/>
        <v>0</v>
      </c>
      <c r="N1334" s="22"/>
      <c r="O1334" s="19" t="s">
        <v>3578</v>
      </c>
      <c r="P1334" s="18"/>
      <c r="Q1334" s="18"/>
      <c r="R1334" s="23">
        <v>0.0</v>
      </c>
      <c r="S1334" s="23">
        <v>0.0</v>
      </c>
      <c r="T1334" s="23">
        <f t="shared" si="3"/>
        <v>0</v>
      </c>
      <c r="U1334" s="23">
        <f t="shared" si="4"/>
        <v>0</v>
      </c>
      <c r="V1334" s="23">
        <f t="shared" si="5"/>
        <v>0</v>
      </c>
      <c r="W1334" s="24" t="str">
        <f t="shared" si="6"/>
        <v>#DIV/0!</v>
      </c>
    </row>
    <row r="1335">
      <c r="A1335" s="15" t="s">
        <v>5289</v>
      </c>
      <c r="B1335" s="15" t="s">
        <v>5290</v>
      </c>
      <c r="C1335" s="15" t="s">
        <v>8031</v>
      </c>
      <c r="D1335" s="15" t="s">
        <v>5291</v>
      </c>
      <c r="E1335" s="17" t="s">
        <v>5292</v>
      </c>
      <c r="F1335" s="18"/>
      <c r="G1335" s="18"/>
      <c r="H1335" s="15" t="s">
        <v>5293</v>
      </c>
      <c r="I1335" s="18"/>
      <c r="J1335" s="19" t="s">
        <v>702</v>
      </c>
      <c r="K1335" s="19" t="s">
        <v>1269</v>
      </c>
      <c r="L1335" s="19" t="s">
        <v>38</v>
      </c>
      <c r="M1335" s="20">
        <f t="shared" si="2"/>
        <v>0</v>
      </c>
      <c r="N1335" s="22"/>
      <c r="O1335" s="19" t="s">
        <v>3578</v>
      </c>
      <c r="P1335" s="18"/>
      <c r="Q1335" s="18"/>
      <c r="R1335" s="23">
        <v>0.0</v>
      </c>
      <c r="S1335" s="23">
        <v>0.0</v>
      </c>
      <c r="T1335" s="23">
        <f t="shared" si="3"/>
        <v>0</v>
      </c>
      <c r="U1335" s="23">
        <f t="shared" si="4"/>
        <v>0</v>
      </c>
      <c r="V1335" s="23">
        <f t="shared" si="5"/>
        <v>0</v>
      </c>
      <c r="W1335" s="24" t="str">
        <f t="shared" si="6"/>
        <v>#DIV/0!</v>
      </c>
    </row>
    <row r="1336">
      <c r="A1336" s="15" t="s">
        <v>5294</v>
      </c>
      <c r="B1336" s="15" t="s">
        <v>5295</v>
      </c>
      <c r="C1336" s="15" t="s">
        <v>8034</v>
      </c>
      <c r="D1336" s="15" t="s">
        <v>5296</v>
      </c>
      <c r="E1336" s="17" t="s">
        <v>8196</v>
      </c>
      <c r="F1336" s="18"/>
      <c r="G1336" s="18"/>
      <c r="H1336" s="15" t="s">
        <v>5298</v>
      </c>
      <c r="I1336" s="18"/>
      <c r="J1336" s="19" t="s">
        <v>702</v>
      </c>
      <c r="K1336" s="19" t="s">
        <v>1269</v>
      </c>
      <c r="L1336" s="19" t="s">
        <v>38</v>
      </c>
      <c r="M1336" s="20">
        <f t="shared" si="2"/>
        <v>0</v>
      </c>
      <c r="N1336" s="22"/>
      <c r="O1336" s="19" t="s">
        <v>3578</v>
      </c>
      <c r="P1336" s="18"/>
      <c r="Q1336" s="18"/>
      <c r="R1336" s="23">
        <v>0.0</v>
      </c>
      <c r="S1336" s="23">
        <v>0.0</v>
      </c>
      <c r="T1336" s="23">
        <f t="shared" si="3"/>
        <v>0</v>
      </c>
      <c r="U1336" s="23">
        <f t="shared" si="4"/>
        <v>0</v>
      </c>
      <c r="V1336" s="23">
        <f t="shared" si="5"/>
        <v>0</v>
      </c>
      <c r="W1336" s="24" t="str">
        <f t="shared" si="6"/>
        <v>#DIV/0!</v>
      </c>
    </row>
    <row r="1337">
      <c r="A1337" s="15" t="s">
        <v>5299</v>
      </c>
      <c r="B1337" s="15" t="s">
        <v>5300</v>
      </c>
      <c r="C1337" s="15" t="s">
        <v>8036</v>
      </c>
      <c r="D1337" s="15" t="s">
        <v>5301</v>
      </c>
      <c r="E1337" s="17" t="s">
        <v>8197</v>
      </c>
      <c r="F1337" s="18"/>
      <c r="G1337" s="18"/>
      <c r="H1337" s="15" t="s">
        <v>5303</v>
      </c>
      <c r="I1337" s="18"/>
      <c r="J1337" s="19" t="s">
        <v>702</v>
      </c>
      <c r="K1337" s="19" t="s">
        <v>1269</v>
      </c>
      <c r="L1337" s="19" t="s">
        <v>38</v>
      </c>
      <c r="M1337" s="20">
        <f t="shared" si="2"/>
        <v>0</v>
      </c>
      <c r="N1337" s="22"/>
      <c r="O1337" s="19" t="s">
        <v>3578</v>
      </c>
      <c r="P1337" s="18"/>
      <c r="Q1337" s="18"/>
      <c r="R1337" s="23">
        <v>0.0</v>
      </c>
      <c r="S1337" s="23">
        <v>0.0</v>
      </c>
      <c r="T1337" s="23">
        <f t="shared" si="3"/>
        <v>0</v>
      </c>
      <c r="U1337" s="23">
        <f t="shared" si="4"/>
        <v>0</v>
      </c>
      <c r="V1337" s="23">
        <f t="shared" si="5"/>
        <v>0</v>
      </c>
      <c r="W1337" s="24" t="str">
        <f t="shared" si="6"/>
        <v>#DIV/0!</v>
      </c>
    </row>
    <row r="1338">
      <c r="A1338" s="15" t="s">
        <v>5304</v>
      </c>
      <c r="B1338" s="15" t="s">
        <v>5305</v>
      </c>
      <c r="C1338" s="15" t="s">
        <v>8038</v>
      </c>
      <c r="D1338" s="15" t="s">
        <v>5306</v>
      </c>
      <c r="E1338" s="17" t="s">
        <v>5307</v>
      </c>
      <c r="F1338" s="18"/>
      <c r="G1338" s="18"/>
      <c r="H1338" s="15" t="s">
        <v>5308</v>
      </c>
      <c r="I1338" s="18"/>
      <c r="J1338" s="19" t="s">
        <v>702</v>
      </c>
      <c r="K1338" s="19" t="s">
        <v>1269</v>
      </c>
      <c r="L1338" s="19" t="s">
        <v>38</v>
      </c>
      <c r="M1338" s="20">
        <f t="shared" si="2"/>
        <v>0</v>
      </c>
      <c r="N1338" s="22"/>
      <c r="O1338" s="19" t="s">
        <v>3578</v>
      </c>
      <c r="P1338" s="18"/>
      <c r="Q1338" s="18"/>
      <c r="R1338" s="23">
        <v>0.0</v>
      </c>
      <c r="S1338" s="23">
        <v>0.0</v>
      </c>
      <c r="T1338" s="23">
        <f t="shared" si="3"/>
        <v>0</v>
      </c>
      <c r="U1338" s="23">
        <f t="shared" si="4"/>
        <v>0</v>
      </c>
      <c r="V1338" s="23">
        <f t="shared" si="5"/>
        <v>0</v>
      </c>
      <c r="W1338" s="24" t="str">
        <f t="shared" si="6"/>
        <v>#DIV/0!</v>
      </c>
    </row>
    <row r="1339">
      <c r="A1339" s="15" t="s">
        <v>5309</v>
      </c>
      <c r="B1339" s="15" t="s">
        <v>5310</v>
      </c>
      <c r="C1339" s="15" t="s">
        <v>8040</v>
      </c>
      <c r="D1339" s="15" t="s">
        <v>5311</v>
      </c>
      <c r="E1339" s="17" t="s">
        <v>5312</v>
      </c>
      <c r="F1339" s="18"/>
      <c r="G1339" s="18"/>
      <c r="H1339" s="15" t="s">
        <v>5313</v>
      </c>
      <c r="I1339" s="18"/>
      <c r="J1339" s="19" t="s">
        <v>702</v>
      </c>
      <c r="K1339" s="19" t="s">
        <v>1269</v>
      </c>
      <c r="L1339" s="19" t="s">
        <v>38</v>
      </c>
      <c r="M1339" s="20">
        <f t="shared" si="2"/>
        <v>0</v>
      </c>
      <c r="N1339" s="22"/>
      <c r="O1339" s="19" t="s">
        <v>3578</v>
      </c>
      <c r="P1339" s="18"/>
      <c r="Q1339" s="18"/>
      <c r="R1339" s="23">
        <v>0.0</v>
      </c>
      <c r="S1339" s="23">
        <v>0.0</v>
      </c>
      <c r="T1339" s="23">
        <f t="shared" si="3"/>
        <v>0</v>
      </c>
      <c r="U1339" s="23">
        <f t="shared" si="4"/>
        <v>0</v>
      </c>
      <c r="V1339" s="23">
        <f t="shared" si="5"/>
        <v>0</v>
      </c>
      <c r="W1339" s="24" t="str">
        <f t="shared" si="6"/>
        <v>#DIV/0!</v>
      </c>
    </row>
    <row r="1340">
      <c r="A1340" s="15" t="s">
        <v>5314</v>
      </c>
      <c r="B1340" s="15" t="s">
        <v>5315</v>
      </c>
      <c r="C1340" s="15" t="s">
        <v>8042</v>
      </c>
      <c r="D1340" s="15" t="s">
        <v>5316</v>
      </c>
      <c r="E1340" s="17" t="s">
        <v>5317</v>
      </c>
      <c r="F1340" s="18"/>
      <c r="G1340" s="18"/>
      <c r="H1340" s="15" t="s">
        <v>5318</v>
      </c>
      <c r="I1340" s="18"/>
      <c r="J1340" s="19" t="s">
        <v>702</v>
      </c>
      <c r="K1340" s="19" t="s">
        <v>52</v>
      </c>
      <c r="L1340" s="19" t="s">
        <v>703</v>
      </c>
      <c r="M1340" s="20">
        <f t="shared" si="2"/>
        <v>0</v>
      </c>
      <c r="N1340" s="22"/>
      <c r="O1340" s="19" t="s">
        <v>3578</v>
      </c>
      <c r="P1340" s="18"/>
      <c r="Q1340" s="18"/>
      <c r="R1340" s="23">
        <v>0.0</v>
      </c>
      <c r="S1340" s="23">
        <v>0.0</v>
      </c>
      <c r="T1340" s="23">
        <f t="shared" si="3"/>
        <v>0</v>
      </c>
      <c r="U1340" s="23">
        <f t="shared" si="4"/>
        <v>0</v>
      </c>
      <c r="V1340" s="23">
        <f t="shared" si="5"/>
        <v>0</v>
      </c>
      <c r="W1340" s="24" t="str">
        <f t="shared" si="6"/>
        <v>#DIV/0!</v>
      </c>
    </row>
    <row r="1341">
      <c r="A1341" s="15" t="s">
        <v>5319</v>
      </c>
      <c r="B1341" s="15" t="s">
        <v>5320</v>
      </c>
      <c r="C1341" s="15" t="s">
        <v>8044</v>
      </c>
      <c r="D1341" s="18"/>
      <c r="E1341" s="17" t="s">
        <v>5321</v>
      </c>
      <c r="F1341" s="18"/>
      <c r="G1341" s="18"/>
      <c r="H1341" s="15" t="s">
        <v>5322</v>
      </c>
      <c r="I1341" s="15" t="s">
        <v>5323</v>
      </c>
      <c r="J1341" s="19" t="s">
        <v>702</v>
      </c>
      <c r="K1341" s="19" t="s">
        <v>1431</v>
      </c>
      <c r="L1341" s="19" t="s">
        <v>38</v>
      </c>
      <c r="M1341" s="20">
        <f t="shared" si="2"/>
        <v>0</v>
      </c>
      <c r="N1341" s="22"/>
      <c r="O1341" s="19" t="s">
        <v>3578</v>
      </c>
      <c r="P1341" s="18"/>
      <c r="Q1341" s="18"/>
      <c r="R1341" s="23">
        <v>0.0</v>
      </c>
      <c r="S1341" s="23">
        <v>0.0</v>
      </c>
      <c r="T1341" s="23">
        <f t="shared" si="3"/>
        <v>0</v>
      </c>
      <c r="U1341" s="23">
        <f t="shared" si="4"/>
        <v>0</v>
      </c>
      <c r="V1341" s="23">
        <f t="shared" si="5"/>
        <v>0</v>
      </c>
      <c r="W1341" s="24" t="str">
        <f t="shared" si="6"/>
        <v>#DIV/0!</v>
      </c>
    </row>
    <row r="1342">
      <c r="A1342" s="15" t="s">
        <v>8046</v>
      </c>
      <c r="B1342" s="15" t="s">
        <v>8047</v>
      </c>
      <c r="C1342" s="15" t="s">
        <v>8048</v>
      </c>
      <c r="D1342" s="18"/>
      <c r="E1342" s="17" t="s">
        <v>8049</v>
      </c>
      <c r="F1342" s="18"/>
      <c r="G1342" s="18"/>
      <c r="H1342" s="15" t="s">
        <v>5322</v>
      </c>
      <c r="I1342" s="18"/>
      <c r="J1342" s="19" t="s">
        <v>702</v>
      </c>
      <c r="K1342" s="19" t="s">
        <v>1431</v>
      </c>
      <c r="L1342" s="19" t="s">
        <v>38</v>
      </c>
      <c r="M1342" s="20">
        <f t="shared" si="2"/>
        <v>0</v>
      </c>
      <c r="N1342" s="22"/>
      <c r="O1342" s="19" t="s">
        <v>39</v>
      </c>
      <c r="P1342" s="18"/>
      <c r="Q1342" s="18"/>
      <c r="R1342" s="23">
        <v>0.0</v>
      </c>
      <c r="S1342" s="23">
        <v>0.0</v>
      </c>
      <c r="T1342" s="23">
        <f t="shared" si="3"/>
        <v>0</v>
      </c>
      <c r="U1342" s="23">
        <f t="shared" si="4"/>
        <v>0</v>
      </c>
      <c r="V1342" s="23">
        <f t="shared" si="5"/>
        <v>0</v>
      </c>
      <c r="W1342" s="24" t="str">
        <f t="shared" si="6"/>
        <v>#DIV/0!</v>
      </c>
    </row>
    <row r="1343">
      <c r="A1343" s="15" t="s">
        <v>5324</v>
      </c>
      <c r="B1343" s="15" t="s">
        <v>5325</v>
      </c>
      <c r="C1343" s="15" t="s">
        <v>8050</v>
      </c>
      <c r="D1343" s="15" t="s">
        <v>5326</v>
      </c>
      <c r="E1343" s="17" t="s">
        <v>5327</v>
      </c>
      <c r="F1343" s="18"/>
      <c r="G1343" s="18"/>
      <c r="H1343" s="15" t="s">
        <v>5328</v>
      </c>
      <c r="I1343" s="18"/>
      <c r="J1343" s="19" t="s">
        <v>702</v>
      </c>
      <c r="K1343" s="19" t="s">
        <v>1444</v>
      </c>
      <c r="L1343" s="19" t="s">
        <v>38</v>
      </c>
      <c r="M1343" s="20">
        <f t="shared" si="2"/>
        <v>0</v>
      </c>
      <c r="N1343" s="22"/>
      <c r="O1343" s="19" t="s">
        <v>3578</v>
      </c>
      <c r="P1343" s="18"/>
      <c r="Q1343" s="18"/>
      <c r="R1343" s="23">
        <v>0.0</v>
      </c>
      <c r="S1343" s="23">
        <v>0.0</v>
      </c>
      <c r="T1343" s="23">
        <f t="shared" si="3"/>
        <v>0</v>
      </c>
      <c r="U1343" s="23">
        <f t="shared" si="4"/>
        <v>0</v>
      </c>
      <c r="V1343" s="23">
        <f t="shared" si="5"/>
        <v>0</v>
      </c>
      <c r="W1343" s="24" t="str">
        <f t="shared" si="6"/>
        <v>#DIV/0!</v>
      </c>
    </row>
    <row r="1344">
      <c r="A1344" s="15" t="s">
        <v>3240</v>
      </c>
      <c r="B1344" s="15" t="s">
        <v>1436</v>
      </c>
      <c r="C1344" s="15" t="s">
        <v>8053</v>
      </c>
      <c r="D1344" s="18"/>
      <c r="E1344" s="17" t="s">
        <v>1437</v>
      </c>
      <c r="F1344" s="18"/>
      <c r="G1344" s="18"/>
      <c r="H1344" s="15" t="s">
        <v>3241</v>
      </c>
      <c r="I1344" s="18"/>
      <c r="J1344" s="19" t="s">
        <v>702</v>
      </c>
      <c r="K1344" s="19" t="s">
        <v>603</v>
      </c>
      <c r="L1344" s="19" t="s">
        <v>38</v>
      </c>
      <c r="M1344" s="20">
        <f t="shared" si="2"/>
        <v>0</v>
      </c>
      <c r="N1344" s="22"/>
      <c r="O1344" s="19" t="s">
        <v>1145</v>
      </c>
      <c r="P1344" s="18"/>
      <c r="Q1344" s="18"/>
      <c r="R1344" s="23">
        <v>0.0</v>
      </c>
      <c r="S1344" s="23">
        <v>0.0</v>
      </c>
      <c r="T1344" s="23">
        <f t="shared" si="3"/>
        <v>0</v>
      </c>
      <c r="U1344" s="23">
        <f t="shared" si="4"/>
        <v>0</v>
      </c>
      <c r="V1344" s="23">
        <f t="shared" si="5"/>
        <v>0</v>
      </c>
      <c r="W1344" s="24" t="str">
        <f t="shared" si="6"/>
        <v>#DIV/0!</v>
      </c>
    </row>
    <row r="1345">
      <c r="A1345" s="15" t="s">
        <v>3242</v>
      </c>
      <c r="B1345" s="15" t="s">
        <v>3243</v>
      </c>
      <c r="C1345" s="15" t="s">
        <v>8054</v>
      </c>
      <c r="D1345" s="18"/>
      <c r="E1345" s="17" t="s">
        <v>3244</v>
      </c>
      <c r="F1345" s="18"/>
      <c r="G1345" s="18"/>
      <c r="H1345" s="15" t="s">
        <v>3245</v>
      </c>
      <c r="I1345" s="18"/>
      <c r="J1345" s="19" t="s">
        <v>702</v>
      </c>
      <c r="K1345" s="33"/>
      <c r="L1345" s="19" t="s">
        <v>38</v>
      </c>
      <c r="M1345" s="20">
        <f t="shared" si="2"/>
        <v>0</v>
      </c>
      <c r="N1345" s="22"/>
      <c r="O1345" s="19" t="s">
        <v>1145</v>
      </c>
      <c r="P1345" s="18"/>
      <c r="Q1345" s="18"/>
      <c r="R1345" s="23">
        <v>0.0</v>
      </c>
      <c r="S1345" s="23">
        <v>0.0</v>
      </c>
      <c r="T1345" s="23">
        <f t="shared" si="3"/>
        <v>0</v>
      </c>
      <c r="U1345" s="23">
        <f t="shared" si="4"/>
        <v>0</v>
      </c>
      <c r="V1345" s="23">
        <f t="shared" si="5"/>
        <v>0</v>
      </c>
      <c r="W1345" s="24" t="str">
        <f t="shared" si="6"/>
        <v>#DIV/0!</v>
      </c>
    </row>
    <row r="1346">
      <c r="A1346" s="15" t="s">
        <v>5969</v>
      </c>
      <c r="B1346" s="15" t="s">
        <v>5970</v>
      </c>
      <c r="C1346" s="15" t="s">
        <v>8055</v>
      </c>
      <c r="D1346" s="15" t="s">
        <v>5971</v>
      </c>
      <c r="E1346" s="17" t="s">
        <v>5972</v>
      </c>
      <c r="F1346" s="18"/>
      <c r="G1346" s="18"/>
      <c r="H1346" s="15" t="s">
        <v>5973</v>
      </c>
      <c r="I1346" s="18"/>
      <c r="J1346" s="19" t="s">
        <v>702</v>
      </c>
      <c r="K1346" s="19" t="s">
        <v>1444</v>
      </c>
      <c r="L1346" s="19" t="s">
        <v>38</v>
      </c>
      <c r="M1346" s="20">
        <f t="shared" si="2"/>
        <v>0</v>
      </c>
      <c r="N1346" s="22"/>
      <c r="O1346" s="19" t="s">
        <v>3578</v>
      </c>
      <c r="P1346" s="18"/>
      <c r="Q1346" s="18"/>
      <c r="R1346" s="23">
        <v>0.0</v>
      </c>
      <c r="S1346" s="23">
        <v>0.0</v>
      </c>
      <c r="T1346" s="23">
        <f t="shared" si="3"/>
        <v>0</v>
      </c>
      <c r="U1346" s="23">
        <f t="shared" si="4"/>
        <v>0</v>
      </c>
      <c r="V1346" s="23">
        <f t="shared" si="5"/>
        <v>0</v>
      </c>
      <c r="W1346" s="24" t="str">
        <f t="shared" si="6"/>
        <v>#DIV/0!</v>
      </c>
    </row>
    <row r="1347">
      <c r="A1347" s="15" t="s">
        <v>1069</v>
      </c>
      <c r="B1347" s="15" t="s">
        <v>1070</v>
      </c>
      <c r="C1347" s="15" t="s">
        <v>6068</v>
      </c>
      <c r="D1347" s="15" t="s">
        <v>1071</v>
      </c>
      <c r="E1347" s="17" t="s">
        <v>1072</v>
      </c>
      <c r="F1347" s="18"/>
      <c r="G1347" s="18"/>
      <c r="H1347" s="15" t="s">
        <v>1073</v>
      </c>
      <c r="I1347" s="15" t="s">
        <v>1074</v>
      </c>
      <c r="J1347" s="19" t="s">
        <v>702</v>
      </c>
      <c r="K1347" s="19" t="s">
        <v>1230</v>
      </c>
      <c r="L1347" s="19" t="s">
        <v>38</v>
      </c>
      <c r="M1347" s="20">
        <f t="shared" si="2"/>
        <v>5470.08</v>
      </c>
      <c r="N1347" s="31">
        <v>2.0</v>
      </c>
      <c r="O1347" s="19" t="s">
        <v>107</v>
      </c>
      <c r="P1347" s="18"/>
      <c r="Q1347" s="18"/>
      <c r="R1347" s="23">
        <v>105.0</v>
      </c>
      <c r="S1347" s="23">
        <v>308.0</v>
      </c>
      <c r="T1347" s="23">
        <f t="shared" si="3"/>
        <v>295.68</v>
      </c>
      <c r="U1347" s="23">
        <f t="shared" si="4"/>
        <v>128.625</v>
      </c>
      <c r="V1347" s="23">
        <f t="shared" si="5"/>
        <v>2411.71875</v>
      </c>
      <c r="W1347" s="24">
        <f t="shared" si="6"/>
        <v>2.816</v>
      </c>
    </row>
    <row r="1348">
      <c r="A1348" s="15" t="s">
        <v>1089</v>
      </c>
      <c r="B1348" s="15" t="s">
        <v>1100</v>
      </c>
      <c r="C1348" s="15" t="s">
        <v>6069</v>
      </c>
      <c r="D1348" s="15" t="s">
        <v>1101</v>
      </c>
      <c r="E1348" s="17" t="s">
        <v>1102</v>
      </c>
      <c r="F1348" s="18"/>
      <c r="G1348" s="18"/>
      <c r="H1348" s="15" t="s">
        <v>1103</v>
      </c>
      <c r="I1348" s="18"/>
      <c r="J1348" s="19" t="s">
        <v>702</v>
      </c>
      <c r="K1348" s="19" t="s">
        <v>1230</v>
      </c>
      <c r="L1348" s="19" t="s">
        <v>177</v>
      </c>
      <c r="M1348" s="20">
        <f t="shared" si="2"/>
        <v>3356.64</v>
      </c>
      <c r="N1348" s="31">
        <v>2.0</v>
      </c>
      <c r="O1348" s="19" t="s">
        <v>107</v>
      </c>
      <c r="P1348" s="18"/>
      <c r="Q1348" s="18"/>
      <c r="R1348" s="23">
        <v>70.0</v>
      </c>
      <c r="S1348" s="23">
        <v>189.0</v>
      </c>
      <c r="T1348" s="23">
        <f t="shared" si="3"/>
        <v>181.44</v>
      </c>
      <c r="U1348" s="23">
        <f t="shared" si="4"/>
        <v>85.75</v>
      </c>
      <c r="V1348" s="23">
        <f t="shared" si="5"/>
        <v>1607.8125</v>
      </c>
      <c r="W1348" s="24">
        <f t="shared" si="6"/>
        <v>2.592</v>
      </c>
    </row>
    <row r="1349">
      <c r="A1349" s="15" t="s">
        <v>1089</v>
      </c>
      <c r="B1349" s="35" t="s">
        <v>1090</v>
      </c>
      <c r="C1349" s="15" t="s">
        <v>6069</v>
      </c>
      <c r="D1349" s="15" t="s">
        <v>1091</v>
      </c>
      <c r="E1349" s="17" t="s">
        <v>1092</v>
      </c>
      <c r="F1349" s="18"/>
      <c r="G1349" s="18"/>
      <c r="H1349" s="15" t="s">
        <v>1103</v>
      </c>
      <c r="I1349" s="18"/>
      <c r="J1349" s="19" t="s">
        <v>702</v>
      </c>
      <c r="K1349" s="19" t="s">
        <v>1230</v>
      </c>
      <c r="L1349" s="19" t="s">
        <v>38</v>
      </c>
      <c r="M1349" s="20">
        <f t="shared" si="2"/>
        <v>3996</v>
      </c>
      <c r="N1349" s="31">
        <v>1.0</v>
      </c>
      <c r="O1349" s="19" t="s">
        <v>107</v>
      </c>
      <c r="P1349" s="18"/>
      <c r="Q1349" s="18"/>
      <c r="R1349" s="23">
        <v>80.0</v>
      </c>
      <c r="S1349" s="23">
        <v>225.0</v>
      </c>
      <c r="T1349" s="23">
        <f t="shared" si="3"/>
        <v>216</v>
      </c>
      <c r="U1349" s="23">
        <f t="shared" si="4"/>
        <v>98</v>
      </c>
      <c r="V1349" s="23">
        <f t="shared" si="5"/>
        <v>1837.5</v>
      </c>
      <c r="W1349" s="24">
        <f t="shared" si="6"/>
        <v>2.7</v>
      </c>
    </row>
    <row r="1350">
      <c r="A1350" s="15" t="s">
        <v>1030</v>
      </c>
      <c r="B1350" s="15" t="s">
        <v>1031</v>
      </c>
      <c r="C1350" s="15" t="s">
        <v>6070</v>
      </c>
      <c r="D1350" s="15" t="s">
        <v>1032</v>
      </c>
      <c r="E1350" s="17" t="s">
        <v>1033</v>
      </c>
      <c r="F1350" s="18"/>
      <c r="G1350" s="18"/>
      <c r="H1350" s="15" t="s">
        <v>1034</v>
      </c>
      <c r="I1350" s="18"/>
      <c r="J1350" s="19" t="s">
        <v>702</v>
      </c>
      <c r="K1350" s="19" t="s">
        <v>1230</v>
      </c>
      <c r="L1350" s="19" t="s">
        <v>177</v>
      </c>
      <c r="M1350" s="20">
        <f t="shared" si="2"/>
        <v>4741.92</v>
      </c>
      <c r="N1350" s="31">
        <v>2.0</v>
      </c>
      <c r="O1350" s="19" t="s">
        <v>107</v>
      </c>
      <c r="P1350" s="18"/>
      <c r="Q1350" s="18"/>
      <c r="R1350" s="23">
        <v>80.0</v>
      </c>
      <c r="S1350" s="23">
        <v>267.0</v>
      </c>
      <c r="T1350" s="23">
        <f t="shared" si="3"/>
        <v>256.32</v>
      </c>
      <c r="U1350" s="23">
        <f t="shared" si="4"/>
        <v>98</v>
      </c>
      <c r="V1350" s="23">
        <f t="shared" si="5"/>
        <v>1837.5</v>
      </c>
      <c r="W1350" s="24">
        <f t="shared" si="6"/>
        <v>3.204</v>
      </c>
    </row>
    <row r="1351">
      <c r="A1351" s="15" t="s">
        <v>5939</v>
      </c>
      <c r="B1351" s="15" t="s">
        <v>5940</v>
      </c>
      <c r="C1351" s="15" t="s">
        <v>8058</v>
      </c>
      <c r="D1351" s="15" t="s">
        <v>5941</v>
      </c>
      <c r="E1351" s="17" t="s">
        <v>5942</v>
      </c>
      <c r="F1351" s="18"/>
      <c r="G1351" s="18"/>
      <c r="H1351" s="15" t="s">
        <v>8059</v>
      </c>
      <c r="I1351" s="18"/>
      <c r="J1351" s="19" t="s">
        <v>702</v>
      </c>
      <c r="K1351" s="19" t="s">
        <v>1230</v>
      </c>
      <c r="L1351" s="19" t="s">
        <v>38</v>
      </c>
      <c r="M1351" s="20">
        <f t="shared" si="2"/>
        <v>4937.28</v>
      </c>
      <c r="N1351" s="31">
        <v>2.0</v>
      </c>
      <c r="O1351" s="19" t="s">
        <v>3578</v>
      </c>
      <c r="P1351" s="18"/>
      <c r="Q1351" s="18"/>
      <c r="R1351" s="23">
        <v>90.0</v>
      </c>
      <c r="S1351" s="23">
        <v>278.0</v>
      </c>
      <c r="T1351" s="23">
        <f t="shared" si="3"/>
        <v>266.88</v>
      </c>
      <c r="U1351" s="23">
        <f t="shared" si="4"/>
        <v>110.25</v>
      </c>
      <c r="V1351" s="23">
        <f t="shared" si="5"/>
        <v>2067.1875</v>
      </c>
      <c r="W1351" s="24">
        <f t="shared" si="6"/>
        <v>2.965333333</v>
      </c>
    </row>
    <row r="1352">
      <c r="A1352" s="15" t="s">
        <v>1117</v>
      </c>
      <c r="B1352" s="15" t="s">
        <v>1118</v>
      </c>
      <c r="C1352" s="15" t="s">
        <v>1119</v>
      </c>
      <c r="D1352" s="15" t="s">
        <v>1120</v>
      </c>
      <c r="E1352" s="17" t="s">
        <v>1121</v>
      </c>
      <c r="F1352" s="18"/>
      <c r="G1352" s="18"/>
      <c r="H1352" s="15" t="s">
        <v>1122</v>
      </c>
      <c r="I1352" s="18"/>
      <c r="J1352" s="19" t="s">
        <v>702</v>
      </c>
      <c r="K1352" s="19" t="s">
        <v>1230</v>
      </c>
      <c r="L1352" s="19" t="s">
        <v>38</v>
      </c>
      <c r="M1352" s="20">
        <f t="shared" si="2"/>
        <v>3090.24</v>
      </c>
      <c r="N1352" s="31">
        <v>2.0</v>
      </c>
      <c r="O1352" s="19" t="s">
        <v>107</v>
      </c>
      <c r="P1352" s="18"/>
      <c r="Q1352" s="18"/>
      <c r="R1352" s="23">
        <v>70.0</v>
      </c>
      <c r="S1352" s="23">
        <v>174.0</v>
      </c>
      <c r="T1352" s="23">
        <f t="shared" si="3"/>
        <v>167.04</v>
      </c>
      <c r="U1352" s="23">
        <f t="shared" si="4"/>
        <v>85.75</v>
      </c>
      <c r="V1352" s="23">
        <f t="shared" si="5"/>
        <v>1607.8125</v>
      </c>
      <c r="W1352" s="24">
        <f t="shared" si="6"/>
        <v>2.386285714</v>
      </c>
    </row>
    <row r="1353">
      <c r="A1353" s="15" t="s">
        <v>3246</v>
      </c>
      <c r="B1353" s="15" t="s">
        <v>3247</v>
      </c>
      <c r="C1353" s="15" t="s">
        <v>8060</v>
      </c>
      <c r="D1353" s="18"/>
      <c r="E1353" s="17" t="s">
        <v>3248</v>
      </c>
      <c r="F1353" s="18"/>
      <c r="G1353" s="18"/>
      <c r="H1353" s="15" t="s">
        <v>3249</v>
      </c>
      <c r="I1353" s="18"/>
      <c r="J1353" s="19" t="s">
        <v>702</v>
      </c>
      <c r="K1353" s="19" t="s">
        <v>603</v>
      </c>
      <c r="L1353" s="19" t="s">
        <v>38</v>
      </c>
      <c r="M1353" s="20">
        <f t="shared" si="2"/>
        <v>0</v>
      </c>
      <c r="N1353" s="22"/>
      <c r="O1353" s="19" t="s">
        <v>1145</v>
      </c>
      <c r="P1353" s="18"/>
      <c r="Q1353" s="18"/>
      <c r="R1353" s="23">
        <v>0.0</v>
      </c>
      <c r="S1353" s="23">
        <v>0.0</v>
      </c>
      <c r="T1353" s="23">
        <f t="shared" si="3"/>
        <v>0</v>
      </c>
      <c r="U1353" s="23">
        <f t="shared" si="4"/>
        <v>0</v>
      </c>
      <c r="V1353" s="23">
        <f t="shared" si="5"/>
        <v>0</v>
      </c>
      <c r="W1353" s="24" t="str">
        <f t="shared" si="6"/>
        <v>#DIV/0!</v>
      </c>
    </row>
    <row r="1354">
      <c r="A1354" s="15" t="s">
        <v>8061</v>
      </c>
      <c r="B1354" s="15" t="s">
        <v>8062</v>
      </c>
      <c r="C1354" s="15" t="s">
        <v>8063</v>
      </c>
      <c r="D1354" s="15"/>
      <c r="E1354" s="17" t="s">
        <v>8064</v>
      </c>
      <c r="F1354" s="18"/>
      <c r="G1354" s="18"/>
      <c r="H1354" s="15" t="s">
        <v>8065</v>
      </c>
      <c r="I1354" s="18"/>
      <c r="J1354" s="19" t="s">
        <v>702</v>
      </c>
      <c r="K1354" s="19" t="s">
        <v>52</v>
      </c>
      <c r="L1354" s="19" t="s">
        <v>52</v>
      </c>
      <c r="M1354" s="20">
        <f t="shared" si="2"/>
        <v>0</v>
      </c>
      <c r="N1354" s="31"/>
      <c r="O1354" s="19" t="s">
        <v>39</v>
      </c>
      <c r="P1354" s="18"/>
      <c r="Q1354" s="18"/>
      <c r="R1354" s="23">
        <v>0.0</v>
      </c>
      <c r="S1354" s="23">
        <v>0.0</v>
      </c>
      <c r="T1354" s="23">
        <f t="shared" si="3"/>
        <v>0</v>
      </c>
      <c r="U1354" s="23">
        <f t="shared" si="4"/>
        <v>0</v>
      </c>
      <c r="V1354" s="23">
        <f t="shared" si="5"/>
        <v>0</v>
      </c>
      <c r="W1354" s="24" t="str">
        <f t="shared" si="6"/>
        <v>#DIV/0!</v>
      </c>
    </row>
    <row r="1355">
      <c r="A1355" s="15" t="s">
        <v>8066</v>
      </c>
      <c r="B1355" s="15"/>
      <c r="C1355" s="15" t="s">
        <v>8063</v>
      </c>
      <c r="D1355" s="15"/>
      <c r="E1355" s="17" t="s">
        <v>8067</v>
      </c>
      <c r="F1355" s="18"/>
      <c r="G1355" s="18"/>
      <c r="H1355" s="15" t="s">
        <v>8068</v>
      </c>
      <c r="I1355" s="18"/>
      <c r="J1355" s="19" t="s">
        <v>702</v>
      </c>
      <c r="K1355" s="19" t="s">
        <v>52</v>
      </c>
      <c r="L1355" s="19" t="s">
        <v>52</v>
      </c>
      <c r="M1355" s="20">
        <f t="shared" si="2"/>
        <v>0</v>
      </c>
      <c r="N1355" s="31"/>
      <c r="O1355" s="19" t="s">
        <v>39</v>
      </c>
      <c r="P1355" s="18"/>
      <c r="Q1355" s="18"/>
      <c r="R1355" s="23">
        <v>0.0</v>
      </c>
      <c r="S1355" s="23">
        <v>0.0</v>
      </c>
      <c r="T1355" s="23">
        <f t="shared" si="3"/>
        <v>0</v>
      </c>
      <c r="U1355" s="23">
        <f t="shared" si="4"/>
        <v>0</v>
      </c>
      <c r="V1355" s="23">
        <f t="shared" si="5"/>
        <v>0</v>
      </c>
      <c r="W1355" s="24" t="str">
        <f t="shared" si="6"/>
        <v>#DIV/0!</v>
      </c>
    </row>
    <row r="1356">
      <c r="A1356" s="15" t="s">
        <v>5329</v>
      </c>
      <c r="B1356" s="15" t="s">
        <v>5330</v>
      </c>
      <c r="C1356" s="15" t="s">
        <v>8069</v>
      </c>
      <c r="D1356" s="15" t="s">
        <v>5331</v>
      </c>
      <c r="E1356" s="17" t="s">
        <v>5332</v>
      </c>
      <c r="F1356" s="18"/>
      <c r="G1356" s="18"/>
      <c r="H1356" s="15" t="s">
        <v>5333</v>
      </c>
      <c r="I1356" s="18"/>
      <c r="J1356" s="19" t="s">
        <v>702</v>
      </c>
      <c r="K1356" s="19" t="s">
        <v>1431</v>
      </c>
      <c r="L1356" s="19" t="s">
        <v>38</v>
      </c>
      <c r="M1356" s="20">
        <f t="shared" si="2"/>
        <v>0</v>
      </c>
      <c r="N1356" s="22"/>
      <c r="O1356" s="19" t="s">
        <v>3578</v>
      </c>
      <c r="P1356" s="18"/>
      <c r="Q1356" s="18"/>
      <c r="R1356" s="23">
        <v>0.0</v>
      </c>
      <c r="S1356" s="23">
        <v>0.0</v>
      </c>
      <c r="T1356" s="23">
        <f t="shared" si="3"/>
        <v>0</v>
      </c>
      <c r="U1356" s="23">
        <f t="shared" si="4"/>
        <v>0</v>
      </c>
      <c r="V1356" s="23">
        <f t="shared" si="5"/>
        <v>0</v>
      </c>
      <c r="W1356" s="24" t="str">
        <f t="shared" si="6"/>
        <v>#DIV/0!</v>
      </c>
    </row>
    <row r="1357">
      <c r="A1357" s="15" t="s">
        <v>3250</v>
      </c>
      <c r="B1357" s="15" t="s">
        <v>3251</v>
      </c>
      <c r="C1357" s="15" t="s">
        <v>8072</v>
      </c>
      <c r="D1357" s="18"/>
      <c r="E1357" s="17" t="s">
        <v>3252</v>
      </c>
      <c r="F1357" s="18"/>
      <c r="G1357" s="18"/>
      <c r="H1357" s="15" t="s">
        <v>3253</v>
      </c>
      <c r="I1357" s="18"/>
      <c r="J1357" s="19" t="s">
        <v>702</v>
      </c>
      <c r="K1357" s="19" t="s">
        <v>1431</v>
      </c>
      <c r="L1357" s="19" t="s">
        <v>38</v>
      </c>
      <c r="M1357" s="20">
        <f t="shared" si="2"/>
        <v>0</v>
      </c>
      <c r="N1357" s="22"/>
      <c r="O1357" s="19" t="s">
        <v>1145</v>
      </c>
      <c r="P1357" s="18"/>
      <c r="Q1357" s="18"/>
      <c r="R1357" s="23">
        <v>0.0</v>
      </c>
      <c r="S1357" s="23">
        <v>0.0</v>
      </c>
      <c r="T1357" s="23">
        <f t="shared" si="3"/>
        <v>0</v>
      </c>
      <c r="U1357" s="23">
        <f t="shared" si="4"/>
        <v>0</v>
      </c>
      <c r="V1357" s="23">
        <f t="shared" si="5"/>
        <v>0</v>
      </c>
      <c r="W1357" s="24" t="str">
        <f t="shared" si="6"/>
        <v>#DIV/0!</v>
      </c>
    </row>
    <row r="1358">
      <c r="A1358" s="15" t="s">
        <v>8073</v>
      </c>
      <c r="B1358" s="15"/>
      <c r="C1358" s="18"/>
      <c r="D1358" s="15" t="s">
        <v>8198</v>
      </c>
      <c r="E1358" s="17" t="s">
        <v>8199</v>
      </c>
      <c r="F1358" s="18"/>
      <c r="G1358" s="18"/>
      <c r="H1358" s="15"/>
      <c r="I1358" s="15"/>
      <c r="J1358" s="19" t="s">
        <v>36</v>
      </c>
      <c r="K1358" s="33"/>
      <c r="L1358" s="19" t="s">
        <v>38</v>
      </c>
      <c r="M1358" s="20">
        <f t="shared" si="2"/>
        <v>0</v>
      </c>
      <c r="N1358" s="31">
        <v>0.0</v>
      </c>
      <c r="O1358" s="19" t="s">
        <v>39</v>
      </c>
      <c r="P1358" s="18"/>
      <c r="Q1358" s="18"/>
      <c r="R1358" s="23">
        <v>0.0</v>
      </c>
      <c r="S1358" s="23">
        <v>0.0</v>
      </c>
      <c r="T1358" s="23">
        <f t="shared" si="3"/>
        <v>0</v>
      </c>
      <c r="U1358" s="23">
        <f t="shared" si="4"/>
        <v>0</v>
      </c>
      <c r="V1358" s="23">
        <f t="shared" si="5"/>
        <v>0</v>
      </c>
      <c r="W1358" s="24" t="str">
        <f t="shared" si="6"/>
        <v>#DIV/0!</v>
      </c>
    </row>
    <row r="1359">
      <c r="A1359" s="15" t="s">
        <v>8075</v>
      </c>
      <c r="B1359" s="15" t="s">
        <v>54</v>
      </c>
      <c r="C1359" s="18"/>
      <c r="D1359" s="18"/>
      <c r="E1359" s="17" t="s">
        <v>8076</v>
      </c>
      <c r="F1359" s="18"/>
      <c r="G1359" s="18"/>
      <c r="H1359" s="18"/>
      <c r="I1359" s="15" t="s">
        <v>753</v>
      </c>
      <c r="J1359" s="33"/>
      <c r="K1359" s="33"/>
      <c r="L1359" s="19" t="s">
        <v>38</v>
      </c>
      <c r="M1359" s="20">
        <f t="shared" si="2"/>
        <v>0</v>
      </c>
      <c r="N1359" s="22"/>
      <c r="O1359" s="19" t="s">
        <v>39</v>
      </c>
      <c r="P1359" s="18"/>
      <c r="Q1359" s="18"/>
      <c r="R1359" s="23">
        <v>0.0</v>
      </c>
      <c r="S1359" s="23">
        <v>0.0</v>
      </c>
      <c r="T1359" s="23">
        <f t="shared" si="3"/>
        <v>0</v>
      </c>
      <c r="U1359" s="23">
        <f t="shared" si="4"/>
        <v>0</v>
      </c>
      <c r="V1359" s="23">
        <f t="shared" si="5"/>
        <v>0</v>
      </c>
      <c r="W1359" s="24" t="str">
        <f t="shared" si="6"/>
        <v>#DIV/0!</v>
      </c>
    </row>
    <row r="1360">
      <c r="A1360" s="15" t="s">
        <v>3254</v>
      </c>
      <c r="B1360" s="18"/>
      <c r="C1360" s="18"/>
      <c r="D1360" s="18"/>
      <c r="E1360" s="17" t="s">
        <v>2827</v>
      </c>
      <c r="F1360" s="18"/>
      <c r="G1360" s="18"/>
      <c r="H1360" s="18"/>
      <c r="I1360" s="18"/>
      <c r="J1360" s="33"/>
      <c r="K1360" s="33"/>
      <c r="L1360" s="19" t="s">
        <v>38</v>
      </c>
      <c r="M1360" s="20">
        <f t="shared" si="2"/>
        <v>0</v>
      </c>
      <c r="N1360" s="22"/>
      <c r="O1360" s="19" t="s">
        <v>1145</v>
      </c>
      <c r="P1360" s="18"/>
      <c r="Q1360" s="18"/>
      <c r="R1360" s="23">
        <v>0.0</v>
      </c>
      <c r="S1360" s="23">
        <v>0.0</v>
      </c>
      <c r="T1360" s="23">
        <f t="shared" si="3"/>
        <v>0</v>
      </c>
      <c r="U1360" s="23">
        <f t="shared" si="4"/>
        <v>0</v>
      </c>
      <c r="V1360" s="23">
        <f t="shared" si="5"/>
        <v>0</v>
      </c>
      <c r="W1360" s="24" t="str">
        <f t="shared" si="6"/>
        <v>#DIV/0!</v>
      </c>
    </row>
    <row r="1361">
      <c r="A1361" s="15" t="s">
        <v>3255</v>
      </c>
      <c r="B1361" s="18"/>
      <c r="C1361" s="18"/>
      <c r="D1361" s="18"/>
      <c r="E1361" s="17" t="s">
        <v>2827</v>
      </c>
      <c r="F1361" s="18"/>
      <c r="G1361" s="18"/>
      <c r="H1361" s="18"/>
      <c r="I1361" s="18"/>
      <c r="J1361" s="33"/>
      <c r="K1361" s="33"/>
      <c r="L1361" s="19" t="s">
        <v>38</v>
      </c>
      <c r="M1361" s="20">
        <f t="shared" si="2"/>
        <v>0</v>
      </c>
      <c r="N1361" s="22"/>
      <c r="O1361" s="19" t="s">
        <v>1145</v>
      </c>
      <c r="P1361" s="18"/>
      <c r="Q1361" s="18"/>
      <c r="R1361" s="23">
        <v>0.0</v>
      </c>
      <c r="S1361" s="23">
        <v>0.0</v>
      </c>
      <c r="T1361" s="23">
        <f t="shared" si="3"/>
        <v>0</v>
      </c>
      <c r="U1361" s="23">
        <f t="shared" si="4"/>
        <v>0</v>
      </c>
      <c r="V1361" s="23">
        <f t="shared" si="5"/>
        <v>0</v>
      </c>
      <c r="W1361" s="24" t="str">
        <f t="shared" si="6"/>
        <v>#DIV/0!</v>
      </c>
    </row>
    <row r="1362">
      <c r="A1362" s="15" t="s">
        <v>3256</v>
      </c>
      <c r="B1362" s="18"/>
      <c r="C1362" s="15" t="s">
        <v>8077</v>
      </c>
      <c r="D1362" s="18"/>
      <c r="E1362" s="17" t="s">
        <v>3257</v>
      </c>
      <c r="F1362" s="18"/>
      <c r="G1362" s="18"/>
      <c r="H1362" s="15" t="s">
        <v>3258</v>
      </c>
      <c r="I1362" s="18"/>
      <c r="J1362" s="33"/>
      <c r="K1362" s="19" t="s">
        <v>2387</v>
      </c>
      <c r="L1362" s="19" t="s">
        <v>38</v>
      </c>
      <c r="M1362" s="20">
        <f t="shared" si="2"/>
        <v>0</v>
      </c>
      <c r="N1362" s="22"/>
      <c r="O1362" s="19" t="s">
        <v>1145</v>
      </c>
      <c r="P1362" s="18"/>
      <c r="Q1362" s="18"/>
      <c r="R1362" s="23">
        <v>0.0</v>
      </c>
      <c r="S1362" s="23">
        <v>0.0</v>
      </c>
      <c r="T1362" s="23">
        <f t="shared" si="3"/>
        <v>0</v>
      </c>
      <c r="U1362" s="23">
        <f t="shared" si="4"/>
        <v>0</v>
      </c>
      <c r="V1362" s="23">
        <f t="shared" si="5"/>
        <v>0</v>
      </c>
      <c r="W1362" s="24" t="str">
        <f t="shared" si="6"/>
        <v>#DIV/0!</v>
      </c>
    </row>
    <row r="1363">
      <c r="A1363" s="15" t="s">
        <v>3259</v>
      </c>
      <c r="B1363" s="18"/>
      <c r="C1363" s="15" t="s">
        <v>8078</v>
      </c>
      <c r="D1363" s="18"/>
      <c r="E1363" s="17" t="s">
        <v>3260</v>
      </c>
      <c r="F1363" s="18"/>
      <c r="G1363" s="18"/>
      <c r="H1363" s="15" t="s">
        <v>3261</v>
      </c>
      <c r="I1363" s="18"/>
      <c r="J1363" s="33"/>
      <c r="K1363" s="19" t="s">
        <v>2387</v>
      </c>
      <c r="L1363" s="19" t="s">
        <v>38</v>
      </c>
      <c r="M1363" s="20">
        <f t="shared" si="2"/>
        <v>0</v>
      </c>
      <c r="N1363" s="22"/>
      <c r="O1363" s="19" t="s">
        <v>1145</v>
      </c>
      <c r="P1363" s="18"/>
      <c r="Q1363" s="18"/>
      <c r="R1363" s="23">
        <v>0.0</v>
      </c>
      <c r="S1363" s="23">
        <v>0.0</v>
      </c>
      <c r="T1363" s="23">
        <f t="shared" si="3"/>
        <v>0</v>
      </c>
      <c r="U1363" s="23">
        <f t="shared" si="4"/>
        <v>0</v>
      </c>
      <c r="V1363" s="23">
        <f t="shared" si="5"/>
        <v>0</v>
      </c>
      <c r="W1363" s="24" t="str">
        <f t="shared" si="6"/>
        <v>#DIV/0!</v>
      </c>
    </row>
    <row r="1364">
      <c r="A1364" s="15" t="s">
        <v>3262</v>
      </c>
      <c r="B1364" s="18"/>
      <c r="C1364" s="15" t="s">
        <v>8079</v>
      </c>
      <c r="D1364" s="18"/>
      <c r="E1364" s="17" t="s">
        <v>3263</v>
      </c>
      <c r="F1364" s="18"/>
      <c r="G1364" s="18"/>
      <c r="H1364" s="15" t="s">
        <v>3264</v>
      </c>
      <c r="I1364" s="18"/>
      <c r="J1364" s="33"/>
      <c r="K1364" s="19" t="s">
        <v>2387</v>
      </c>
      <c r="L1364" s="19" t="s">
        <v>38</v>
      </c>
      <c r="M1364" s="20">
        <f t="shared" si="2"/>
        <v>0</v>
      </c>
      <c r="N1364" s="22"/>
      <c r="O1364" s="19" t="s">
        <v>1145</v>
      </c>
      <c r="P1364" s="18"/>
      <c r="Q1364" s="18"/>
      <c r="R1364" s="23">
        <v>0.0</v>
      </c>
      <c r="S1364" s="23">
        <v>0.0</v>
      </c>
      <c r="T1364" s="23">
        <f t="shared" si="3"/>
        <v>0</v>
      </c>
      <c r="U1364" s="23">
        <f t="shared" si="4"/>
        <v>0</v>
      </c>
      <c r="V1364" s="23">
        <f t="shared" si="5"/>
        <v>0</v>
      </c>
      <c r="W1364" s="24" t="str">
        <f t="shared" si="6"/>
        <v>#DIV/0!</v>
      </c>
    </row>
    <row r="1365">
      <c r="A1365" s="15" t="s">
        <v>3265</v>
      </c>
      <c r="B1365" s="18"/>
      <c r="C1365" s="15" t="s">
        <v>8080</v>
      </c>
      <c r="D1365" s="18"/>
      <c r="E1365" s="17" t="s">
        <v>3266</v>
      </c>
      <c r="F1365" s="18"/>
      <c r="G1365" s="18"/>
      <c r="H1365" s="15" t="s">
        <v>3267</v>
      </c>
      <c r="I1365" s="18"/>
      <c r="J1365" s="33"/>
      <c r="K1365" s="19" t="s">
        <v>3268</v>
      </c>
      <c r="L1365" s="19" t="s">
        <v>38</v>
      </c>
      <c r="M1365" s="20">
        <f t="shared" si="2"/>
        <v>0</v>
      </c>
      <c r="N1365" s="22"/>
      <c r="O1365" s="19" t="s">
        <v>1145</v>
      </c>
      <c r="P1365" s="18"/>
      <c r="Q1365" s="18"/>
      <c r="R1365" s="23">
        <v>0.0</v>
      </c>
      <c r="S1365" s="23">
        <v>0.0</v>
      </c>
      <c r="T1365" s="23">
        <f t="shared" si="3"/>
        <v>0</v>
      </c>
      <c r="U1365" s="23">
        <f t="shared" si="4"/>
        <v>0</v>
      </c>
      <c r="V1365" s="23">
        <f t="shared" si="5"/>
        <v>0</v>
      </c>
      <c r="W1365" s="24" t="str">
        <f t="shared" si="6"/>
        <v>#DIV/0!</v>
      </c>
    </row>
    <row r="1366">
      <c r="A1366" s="15" t="s">
        <v>3269</v>
      </c>
      <c r="B1366" s="18"/>
      <c r="C1366" s="15" t="s">
        <v>8081</v>
      </c>
      <c r="D1366" s="18"/>
      <c r="E1366" s="17" t="s">
        <v>3270</v>
      </c>
      <c r="F1366" s="18"/>
      <c r="G1366" s="18"/>
      <c r="H1366" s="15" t="s">
        <v>3271</v>
      </c>
      <c r="I1366" s="18"/>
      <c r="J1366" s="33"/>
      <c r="K1366" s="19" t="s">
        <v>2401</v>
      </c>
      <c r="L1366" s="19" t="s">
        <v>38</v>
      </c>
      <c r="M1366" s="20">
        <f t="shared" si="2"/>
        <v>0</v>
      </c>
      <c r="N1366" s="22"/>
      <c r="O1366" s="19" t="s">
        <v>1145</v>
      </c>
      <c r="P1366" s="18"/>
      <c r="Q1366" s="18"/>
      <c r="R1366" s="23">
        <v>0.0</v>
      </c>
      <c r="S1366" s="23">
        <v>0.0</v>
      </c>
      <c r="T1366" s="23">
        <f t="shared" si="3"/>
        <v>0</v>
      </c>
      <c r="U1366" s="23">
        <f t="shared" si="4"/>
        <v>0</v>
      </c>
      <c r="V1366" s="23">
        <f t="shared" si="5"/>
        <v>0</v>
      </c>
      <c r="W1366" s="24" t="str">
        <f t="shared" si="6"/>
        <v>#DIV/0!</v>
      </c>
    </row>
    <row r="1367">
      <c r="A1367" s="15" t="s">
        <v>3272</v>
      </c>
      <c r="B1367" s="18"/>
      <c r="C1367" s="15" t="s">
        <v>8082</v>
      </c>
      <c r="D1367" s="18"/>
      <c r="E1367" s="17" t="s">
        <v>3273</v>
      </c>
      <c r="F1367" s="18"/>
      <c r="G1367" s="18"/>
      <c r="H1367" s="15" t="s">
        <v>3274</v>
      </c>
      <c r="I1367" s="18"/>
      <c r="J1367" s="33"/>
      <c r="K1367" s="19" t="s">
        <v>2519</v>
      </c>
      <c r="L1367" s="19" t="s">
        <v>38</v>
      </c>
      <c r="M1367" s="20">
        <f t="shared" si="2"/>
        <v>0</v>
      </c>
      <c r="N1367" s="22"/>
      <c r="O1367" s="19" t="s">
        <v>1145</v>
      </c>
      <c r="P1367" s="18"/>
      <c r="Q1367" s="18"/>
      <c r="R1367" s="23">
        <v>0.0</v>
      </c>
      <c r="S1367" s="23">
        <v>0.0</v>
      </c>
      <c r="T1367" s="23">
        <f t="shared" si="3"/>
        <v>0</v>
      </c>
      <c r="U1367" s="23">
        <f t="shared" si="4"/>
        <v>0</v>
      </c>
      <c r="V1367" s="23">
        <f t="shared" si="5"/>
        <v>0</v>
      </c>
      <c r="W1367" s="24" t="str">
        <f t="shared" si="6"/>
        <v>#DIV/0!</v>
      </c>
    </row>
    <row r="1368">
      <c r="A1368" s="15" t="s">
        <v>3275</v>
      </c>
      <c r="B1368" s="18"/>
      <c r="C1368" s="15" t="s">
        <v>8083</v>
      </c>
      <c r="D1368" s="18"/>
      <c r="E1368" s="17" t="s">
        <v>3276</v>
      </c>
      <c r="F1368" s="18"/>
      <c r="G1368" s="18"/>
      <c r="H1368" s="15" t="s">
        <v>3277</v>
      </c>
      <c r="I1368" s="18"/>
      <c r="J1368" s="33"/>
      <c r="K1368" s="19" t="s">
        <v>2519</v>
      </c>
      <c r="L1368" s="19" t="s">
        <v>38</v>
      </c>
      <c r="M1368" s="20">
        <f t="shared" si="2"/>
        <v>0</v>
      </c>
      <c r="N1368" s="22"/>
      <c r="O1368" s="19" t="s">
        <v>1145</v>
      </c>
      <c r="P1368" s="18"/>
      <c r="Q1368" s="18"/>
      <c r="R1368" s="23">
        <v>0.0</v>
      </c>
      <c r="S1368" s="23">
        <v>0.0</v>
      </c>
      <c r="T1368" s="23">
        <f t="shared" si="3"/>
        <v>0</v>
      </c>
      <c r="U1368" s="23">
        <f t="shared" si="4"/>
        <v>0</v>
      </c>
      <c r="V1368" s="23">
        <f t="shared" si="5"/>
        <v>0</v>
      </c>
      <c r="W1368" s="24" t="str">
        <f t="shared" si="6"/>
        <v>#DIV/0!</v>
      </c>
    </row>
    <row r="1369">
      <c r="A1369" s="15" t="s">
        <v>3278</v>
      </c>
      <c r="B1369" s="18"/>
      <c r="C1369" s="15" t="s">
        <v>8084</v>
      </c>
      <c r="D1369" s="18"/>
      <c r="E1369" s="17" t="s">
        <v>3279</v>
      </c>
      <c r="F1369" s="18"/>
      <c r="G1369" s="18"/>
      <c r="H1369" s="15" t="s">
        <v>3280</v>
      </c>
      <c r="I1369" s="18"/>
      <c r="J1369" s="33"/>
      <c r="K1369" s="19" t="s">
        <v>2519</v>
      </c>
      <c r="L1369" s="19" t="s">
        <v>38</v>
      </c>
      <c r="M1369" s="20">
        <f t="shared" si="2"/>
        <v>0</v>
      </c>
      <c r="N1369" s="22"/>
      <c r="O1369" s="19" t="s">
        <v>1145</v>
      </c>
      <c r="P1369" s="18"/>
      <c r="Q1369" s="18"/>
      <c r="R1369" s="23">
        <v>0.0</v>
      </c>
      <c r="S1369" s="23">
        <v>0.0</v>
      </c>
      <c r="T1369" s="23">
        <f t="shared" si="3"/>
        <v>0</v>
      </c>
      <c r="U1369" s="23">
        <f t="shared" si="4"/>
        <v>0</v>
      </c>
      <c r="V1369" s="23">
        <f t="shared" si="5"/>
        <v>0</v>
      </c>
      <c r="W1369" s="24" t="str">
        <f t="shared" si="6"/>
        <v>#DIV/0!</v>
      </c>
    </row>
    <row r="1370">
      <c r="A1370" s="15" t="s">
        <v>3281</v>
      </c>
      <c r="B1370" s="18"/>
      <c r="C1370" s="15" t="s">
        <v>8085</v>
      </c>
      <c r="D1370" s="18"/>
      <c r="E1370" s="17" t="s">
        <v>3282</v>
      </c>
      <c r="F1370" s="18"/>
      <c r="G1370" s="18"/>
      <c r="H1370" s="15" t="s">
        <v>3283</v>
      </c>
      <c r="I1370" s="18"/>
      <c r="J1370" s="33"/>
      <c r="K1370" s="19" t="s">
        <v>2519</v>
      </c>
      <c r="L1370" s="19" t="s">
        <v>38</v>
      </c>
      <c r="M1370" s="20">
        <f t="shared" si="2"/>
        <v>0</v>
      </c>
      <c r="N1370" s="22"/>
      <c r="O1370" s="19" t="s">
        <v>1145</v>
      </c>
      <c r="P1370" s="18"/>
      <c r="Q1370" s="18"/>
      <c r="R1370" s="23">
        <v>0.0</v>
      </c>
      <c r="S1370" s="23">
        <v>0.0</v>
      </c>
      <c r="T1370" s="23">
        <f t="shared" si="3"/>
        <v>0</v>
      </c>
      <c r="U1370" s="23">
        <f t="shared" si="4"/>
        <v>0</v>
      </c>
      <c r="V1370" s="23">
        <f t="shared" si="5"/>
        <v>0</v>
      </c>
      <c r="W1370" s="24" t="str">
        <f t="shared" si="6"/>
        <v>#DIV/0!</v>
      </c>
    </row>
    <row r="1371">
      <c r="A1371" s="15" t="s">
        <v>3284</v>
      </c>
      <c r="B1371" s="18"/>
      <c r="C1371" s="15" t="s">
        <v>8086</v>
      </c>
      <c r="D1371" s="18"/>
      <c r="E1371" s="17" t="s">
        <v>3285</v>
      </c>
      <c r="F1371" s="18"/>
      <c r="G1371" s="18"/>
      <c r="H1371" s="15" t="s">
        <v>3286</v>
      </c>
      <c r="I1371" s="18"/>
      <c r="J1371" s="33"/>
      <c r="K1371" s="19" t="s">
        <v>2519</v>
      </c>
      <c r="L1371" s="19" t="s">
        <v>38</v>
      </c>
      <c r="M1371" s="20">
        <f t="shared" si="2"/>
        <v>0</v>
      </c>
      <c r="N1371" s="22"/>
      <c r="O1371" s="19" t="s">
        <v>1145</v>
      </c>
      <c r="P1371" s="18"/>
      <c r="Q1371" s="18"/>
      <c r="R1371" s="23">
        <v>0.0</v>
      </c>
      <c r="S1371" s="23">
        <v>0.0</v>
      </c>
      <c r="T1371" s="23">
        <f t="shared" si="3"/>
        <v>0</v>
      </c>
      <c r="U1371" s="23">
        <f t="shared" si="4"/>
        <v>0</v>
      </c>
      <c r="V1371" s="23">
        <f t="shared" si="5"/>
        <v>0</v>
      </c>
      <c r="W1371" s="24" t="str">
        <f t="shared" si="6"/>
        <v>#DIV/0!</v>
      </c>
    </row>
    <row r="1372">
      <c r="A1372" s="15" t="s">
        <v>3287</v>
      </c>
      <c r="B1372" s="18"/>
      <c r="C1372" s="15" t="s">
        <v>8087</v>
      </c>
      <c r="D1372" s="18"/>
      <c r="E1372" s="17" t="s">
        <v>3288</v>
      </c>
      <c r="F1372" s="18"/>
      <c r="G1372" s="18"/>
      <c r="H1372" s="15" t="s">
        <v>3289</v>
      </c>
      <c r="I1372" s="18"/>
      <c r="J1372" s="33"/>
      <c r="K1372" s="19" t="s">
        <v>2519</v>
      </c>
      <c r="L1372" s="19" t="s">
        <v>38</v>
      </c>
      <c r="M1372" s="20">
        <f t="shared" si="2"/>
        <v>0</v>
      </c>
      <c r="N1372" s="22"/>
      <c r="O1372" s="19" t="s">
        <v>1145</v>
      </c>
      <c r="P1372" s="18"/>
      <c r="Q1372" s="18"/>
      <c r="R1372" s="23">
        <v>0.0</v>
      </c>
      <c r="S1372" s="23">
        <v>0.0</v>
      </c>
      <c r="T1372" s="23">
        <f t="shared" si="3"/>
        <v>0</v>
      </c>
      <c r="U1372" s="23">
        <f t="shared" si="4"/>
        <v>0</v>
      </c>
      <c r="V1372" s="23">
        <f t="shared" si="5"/>
        <v>0</v>
      </c>
      <c r="W1372" s="24" t="str">
        <f t="shared" si="6"/>
        <v>#DIV/0!</v>
      </c>
    </row>
    <row r="1373">
      <c r="A1373" s="15" t="s">
        <v>3290</v>
      </c>
      <c r="B1373" s="18"/>
      <c r="C1373" s="15" t="s">
        <v>8088</v>
      </c>
      <c r="D1373" s="18"/>
      <c r="E1373" s="17" t="s">
        <v>3291</v>
      </c>
      <c r="F1373" s="18"/>
      <c r="G1373" s="18"/>
      <c r="H1373" s="15" t="s">
        <v>3292</v>
      </c>
      <c r="I1373" s="18"/>
      <c r="J1373" s="33"/>
      <c r="K1373" s="19" t="s">
        <v>2519</v>
      </c>
      <c r="L1373" s="19" t="s">
        <v>38</v>
      </c>
      <c r="M1373" s="20">
        <f t="shared" si="2"/>
        <v>0</v>
      </c>
      <c r="N1373" s="22"/>
      <c r="O1373" s="19" t="s">
        <v>1145</v>
      </c>
      <c r="P1373" s="18"/>
      <c r="Q1373" s="18"/>
      <c r="R1373" s="23">
        <v>0.0</v>
      </c>
      <c r="S1373" s="23">
        <v>0.0</v>
      </c>
      <c r="T1373" s="23">
        <f t="shared" si="3"/>
        <v>0</v>
      </c>
      <c r="U1373" s="23">
        <f t="shared" si="4"/>
        <v>0</v>
      </c>
      <c r="V1373" s="23">
        <f t="shared" si="5"/>
        <v>0</v>
      </c>
      <c r="W1373" s="24" t="str">
        <f t="shared" si="6"/>
        <v>#DIV/0!</v>
      </c>
    </row>
    <row r="1374">
      <c r="A1374" s="15" t="s">
        <v>3293</v>
      </c>
      <c r="B1374" s="18"/>
      <c r="C1374" s="15" t="s">
        <v>8089</v>
      </c>
      <c r="D1374" s="18"/>
      <c r="E1374" s="17" t="s">
        <v>3294</v>
      </c>
      <c r="F1374" s="18"/>
      <c r="G1374" s="18"/>
      <c r="H1374" s="15" t="s">
        <v>3295</v>
      </c>
      <c r="I1374" s="18"/>
      <c r="J1374" s="33"/>
      <c r="K1374" s="19" t="s">
        <v>2519</v>
      </c>
      <c r="L1374" s="19" t="s">
        <v>38</v>
      </c>
      <c r="M1374" s="20">
        <f t="shared" si="2"/>
        <v>0</v>
      </c>
      <c r="N1374" s="22"/>
      <c r="O1374" s="19" t="s">
        <v>1145</v>
      </c>
      <c r="P1374" s="18"/>
      <c r="Q1374" s="18"/>
      <c r="R1374" s="23">
        <v>0.0</v>
      </c>
      <c r="S1374" s="23">
        <v>0.0</v>
      </c>
      <c r="T1374" s="23">
        <f t="shared" si="3"/>
        <v>0</v>
      </c>
      <c r="U1374" s="23">
        <f t="shared" si="4"/>
        <v>0</v>
      </c>
      <c r="V1374" s="23">
        <f t="shared" si="5"/>
        <v>0</v>
      </c>
      <c r="W1374" s="24" t="str">
        <f t="shared" si="6"/>
        <v>#DIV/0!</v>
      </c>
    </row>
    <row r="1375">
      <c r="A1375" s="15" t="s">
        <v>3296</v>
      </c>
      <c r="B1375" s="18"/>
      <c r="C1375" s="15" t="s">
        <v>8090</v>
      </c>
      <c r="D1375" s="18"/>
      <c r="E1375" s="17" t="s">
        <v>3297</v>
      </c>
      <c r="F1375" s="18"/>
      <c r="G1375" s="18"/>
      <c r="H1375" s="15" t="s">
        <v>3298</v>
      </c>
      <c r="I1375" s="18"/>
      <c r="J1375" s="33"/>
      <c r="K1375" s="19" t="s">
        <v>2519</v>
      </c>
      <c r="L1375" s="19" t="s">
        <v>38</v>
      </c>
      <c r="M1375" s="20">
        <f t="shared" si="2"/>
        <v>0</v>
      </c>
      <c r="N1375" s="22"/>
      <c r="O1375" s="19" t="s">
        <v>1145</v>
      </c>
      <c r="P1375" s="18"/>
      <c r="Q1375" s="18"/>
      <c r="R1375" s="23">
        <v>0.0</v>
      </c>
      <c r="S1375" s="23">
        <v>0.0</v>
      </c>
      <c r="T1375" s="23">
        <f t="shared" si="3"/>
        <v>0</v>
      </c>
      <c r="U1375" s="23">
        <f t="shared" si="4"/>
        <v>0</v>
      </c>
      <c r="V1375" s="23">
        <f t="shared" si="5"/>
        <v>0</v>
      </c>
      <c r="W1375" s="24" t="str">
        <f t="shared" si="6"/>
        <v>#DIV/0!</v>
      </c>
    </row>
    <row r="1376">
      <c r="A1376" s="15" t="s">
        <v>3299</v>
      </c>
      <c r="B1376" s="18"/>
      <c r="C1376" s="15" t="s">
        <v>8091</v>
      </c>
      <c r="D1376" s="18"/>
      <c r="E1376" s="17" t="s">
        <v>3300</v>
      </c>
      <c r="F1376" s="18"/>
      <c r="G1376" s="18"/>
      <c r="H1376" s="15" t="s">
        <v>3301</v>
      </c>
      <c r="I1376" s="18"/>
      <c r="J1376" s="33"/>
      <c r="K1376" s="19" t="s">
        <v>2519</v>
      </c>
      <c r="L1376" s="19" t="s">
        <v>38</v>
      </c>
      <c r="M1376" s="20">
        <f t="shared" si="2"/>
        <v>0</v>
      </c>
      <c r="N1376" s="22"/>
      <c r="O1376" s="19" t="s">
        <v>1145</v>
      </c>
      <c r="P1376" s="18"/>
      <c r="Q1376" s="18"/>
      <c r="R1376" s="23">
        <v>0.0</v>
      </c>
      <c r="S1376" s="23">
        <v>0.0</v>
      </c>
      <c r="T1376" s="23">
        <f t="shared" si="3"/>
        <v>0</v>
      </c>
      <c r="U1376" s="23">
        <f t="shared" si="4"/>
        <v>0</v>
      </c>
      <c r="V1376" s="23">
        <f t="shared" si="5"/>
        <v>0</v>
      </c>
      <c r="W1376" s="24" t="str">
        <f t="shared" si="6"/>
        <v>#DIV/0!</v>
      </c>
    </row>
    <row r="1377">
      <c r="A1377" s="15" t="s">
        <v>3302</v>
      </c>
      <c r="B1377" s="18"/>
      <c r="C1377" s="15" t="s">
        <v>8092</v>
      </c>
      <c r="D1377" s="18"/>
      <c r="E1377" s="17" t="s">
        <v>3303</v>
      </c>
      <c r="F1377" s="18"/>
      <c r="G1377" s="18"/>
      <c r="H1377" s="15" t="s">
        <v>3304</v>
      </c>
      <c r="I1377" s="18"/>
      <c r="J1377" s="33"/>
      <c r="K1377" s="19" t="s">
        <v>2519</v>
      </c>
      <c r="L1377" s="19" t="s">
        <v>38</v>
      </c>
      <c r="M1377" s="20">
        <f t="shared" si="2"/>
        <v>0</v>
      </c>
      <c r="N1377" s="22"/>
      <c r="O1377" s="19" t="s">
        <v>1145</v>
      </c>
      <c r="P1377" s="18"/>
      <c r="Q1377" s="18"/>
      <c r="R1377" s="23">
        <v>0.0</v>
      </c>
      <c r="S1377" s="23">
        <v>0.0</v>
      </c>
      <c r="T1377" s="23">
        <f t="shared" si="3"/>
        <v>0</v>
      </c>
      <c r="U1377" s="23">
        <f t="shared" si="4"/>
        <v>0</v>
      </c>
      <c r="V1377" s="23">
        <f t="shared" si="5"/>
        <v>0</v>
      </c>
      <c r="W1377" s="24" t="str">
        <f t="shared" si="6"/>
        <v>#DIV/0!</v>
      </c>
    </row>
    <row r="1378">
      <c r="A1378" s="15" t="s">
        <v>3305</v>
      </c>
      <c r="B1378" s="18"/>
      <c r="C1378" s="15" t="s">
        <v>8093</v>
      </c>
      <c r="D1378" s="18"/>
      <c r="E1378" s="17" t="s">
        <v>3306</v>
      </c>
      <c r="F1378" s="18"/>
      <c r="G1378" s="18"/>
      <c r="H1378" s="15" t="s">
        <v>3307</v>
      </c>
      <c r="I1378" s="18"/>
      <c r="J1378" s="33"/>
      <c r="K1378" s="19" t="s">
        <v>2519</v>
      </c>
      <c r="L1378" s="19" t="s">
        <v>38</v>
      </c>
      <c r="M1378" s="20">
        <f t="shared" si="2"/>
        <v>0</v>
      </c>
      <c r="N1378" s="22"/>
      <c r="O1378" s="19" t="s">
        <v>1145</v>
      </c>
      <c r="P1378" s="18"/>
      <c r="Q1378" s="18"/>
      <c r="R1378" s="23">
        <v>0.0</v>
      </c>
      <c r="S1378" s="23">
        <v>0.0</v>
      </c>
      <c r="T1378" s="23">
        <f t="shared" si="3"/>
        <v>0</v>
      </c>
      <c r="U1378" s="23">
        <f t="shared" si="4"/>
        <v>0</v>
      </c>
      <c r="V1378" s="23">
        <f t="shared" si="5"/>
        <v>0</v>
      </c>
      <c r="W1378" s="24" t="str">
        <f t="shared" si="6"/>
        <v>#DIV/0!</v>
      </c>
    </row>
    <row r="1379">
      <c r="A1379" s="15" t="s">
        <v>3308</v>
      </c>
      <c r="B1379" s="18"/>
      <c r="C1379" s="15" t="s">
        <v>8094</v>
      </c>
      <c r="D1379" s="18"/>
      <c r="E1379" s="17" t="s">
        <v>3309</v>
      </c>
      <c r="F1379" s="18"/>
      <c r="G1379" s="18"/>
      <c r="H1379" s="15" t="s">
        <v>3310</v>
      </c>
      <c r="I1379" s="18"/>
      <c r="J1379" s="33"/>
      <c r="K1379" s="19" t="s">
        <v>2519</v>
      </c>
      <c r="L1379" s="19" t="s">
        <v>38</v>
      </c>
      <c r="M1379" s="20">
        <f t="shared" si="2"/>
        <v>0</v>
      </c>
      <c r="N1379" s="22"/>
      <c r="O1379" s="19" t="s">
        <v>1145</v>
      </c>
      <c r="P1379" s="18"/>
      <c r="Q1379" s="18"/>
      <c r="R1379" s="23">
        <v>0.0</v>
      </c>
      <c r="S1379" s="23">
        <v>0.0</v>
      </c>
      <c r="T1379" s="23">
        <f t="shared" si="3"/>
        <v>0</v>
      </c>
      <c r="U1379" s="23">
        <f t="shared" si="4"/>
        <v>0</v>
      </c>
      <c r="V1379" s="23">
        <f t="shared" si="5"/>
        <v>0</v>
      </c>
      <c r="W1379" s="24" t="str">
        <f t="shared" si="6"/>
        <v>#DIV/0!</v>
      </c>
    </row>
    <row r="1380">
      <c r="A1380" s="15" t="s">
        <v>3311</v>
      </c>
      <c r="B1380" s="18"/>
      <c r="C1380" s="15" t="s">
        <v>8095</v>
      </c>
      <c r="D1380" s="18"/>
      <c r="E1380" s="17" t="s">
        <v>3312</v>
      </c>
      <c r="F1380" s="18"/>
      <c r="G1380" s="18"/>
      <c r="H1380" s="15" t="s">
        <v>3313</v>
      </c>
      <c r="I1380" s="18"/>
      <c r="J1380" s="33"/>
      <c r="K1380" s="19" t="s">
        <v>2519</v>
      </c>
      <c r="L1380" s="19" t="s">
        <v>38</v>
      </c>
      <c r="M1380" s="20">
        <f t="shared" si="2"/>
        <v>0</v>
      </c>
      <c r="N1380" s="22"/>
      <c r="O1380" s="19" t="s">
        <v>1145</v>
      </c>
      <c r="P1380" s="18"/>
      <c r="Q1380" s="18"/>
      <c r="R1380" s="23">
        <v>0.0</v>
      </c>
      <c r="S1380" s="23">
        <v>0.0</v>
      </c>
      <c r="T1380" s="23">
        <f t="shared" si="3"/>
        <v>0</v>
      </c>
      <c r="U1380" s="23">
        <f t="shared" si="4"/>
        <v>0</v>
      </c>
      <c r="V1380" s="23">
        <f t="shared" si="5"/>
        <v>0</v>
      </c>
      <c r="W1380" s="24" t="str">
        <f t="shared" si="6"/>
        <v>#DIV/0!</v>
      </c>
    </row>
    <row r="1381">
      <c r="A1381" s="15" t="s">
        <v>3314</v>
      </c>
      <c r="B1381" s="18"/>
      <c r="C1381" s="15" t="s">
        <v>8096</v>
      </c>
      <c r="D1381" s="18"/>
      <c r="E1381" s="17" t="s">
        <v>3315</v>
      </c>
      <c r="F1381" s="18"/>
      <c r="G1381" s="18"/>
      <c r="H1381" s="15" t="s">
        <v>3316</v>
      </c>
      <c r="I1381" s="18"/>
      <c r="J1381" s="33"/>
      <c r="K1381" s="19" t="s">
        <v>2519</v>
      </c>
      <c r="L1381" s="19" t="s">
        <v>38</v>
      </c>
      <c r="M1381" s="20">
        <f t="shared" si="2"/>
        <v>0</v>
      </c>
      <c r="N1381" s="22"/>
      <c r="O1381" s="19" t="s">
        <v>1145</v>
      </c>
      <c r="P1381" s="18"/>
      <c r="Q1381" s="18"/>
      <c r="R1381" s="23">
        <v>0.0</v>
      </c>
      <c r="S1381" s="23">
        <v>0.0</v>
      </c>
      <c r="T1381" s="23">
        <f t="shared" si="3"/>
        <v>0</v>
      </c>
      <c r="U1381" s="23">
        <f t="shared" si="4"/>
        <v>0</v>
      </c>
      <c r="V1381" s="23">
        <f t="shared" si="5"/>
        <v>0</v>
      </c>
      <c r="W1381" s="24" t="str">
        <f t="shared" si="6"/>
        <v>#DIV/0!</v>
      </c>
    </row>
    <row r="1382">
      <c r="A1382" s="15" t="s">
        <v>3317</v>
      </c>
      <c r="B1382" s="18"/>
      <c r="C1382" s="15" t="s">
        <v>8097</v>
      </c>
      <c r="D1382" s="18"/>
      <c r="E1382" s="17" t="s">
        <v>3318</v>
      </c>
      <c r="F1382" s="18"/>
      <c r="G1382" s="18"/>
      <c r="H1382" s="15" t="s">
        <v>3319</v>
      </c>
      <c r="I1382" s="18"/>
      <c r="J1382" s="33"/>
      <c r="K1382" s="19" t="s">
        <v>2519</v>
      </c>
      <c r="L1382" s="19" t="s">
        <v>38</v>
      </c>
      <c r="M1382" s="20">
        <f t="shared" si="2"/>
        <v>0</v>
      </c>
      <c r="N1382" s="22"/>
      <c r="O1382" s="19" t="s">
        <v>1145</v>
      </c>
      <c r="P1382" s="18"/>
      <c r="Q1382" s="18"/>
      <c r="R1382" s="23">
        <v>0.0</v>
      </c>
      <c r="S1382" s="23">
        <v>0.0</v>
      </c>
      <c r="T1382" s="23">
        <f t="shared" si="3"/>
        <v>0</v>
      </c>
      <c r="U1382" s="23">
        <f t="shared" si="4"/>
        <v>0</v>
      </c>
      <c r="V1382" s="23">
        <f t="shared" si="5"/>
        <v>0</v>
      </c>
      <c r="W1382" s="24" t="str">
        <f t="shared" si="6"/>
        <v>#DIV/0!</v>
      </c>
    </row>
    <row r="1383">
      <c r="A1383" s="15" t="s">
        <v>3320</v>
      </c>
      <c r="B1383" s="18"/>
      <c r="C1383" s="15" t="s">
        <v>8098</v>
      </c>
      <c r="D1383" s="18"/>
      <c r="E1383" s="17" t="s">
        <v>3321</v>
      </c>
      <c r="F1383" s="18"/>
      <c r="G1383" s="18"/>
      <c r="H1383" s="15" t="s">
        <v>3322</v>
      </c>
      <c r="I1383" s="18"/>
      <c r="J1383" s="33"/>
      <c r="K1383" s="19" t="s">
        <v>2519</v>
      </c>
      <c r="L1383" s="19" t="s">
        <v>38</v>
      </c>
      <c r="M1383" s="20">
        <f t="shared" si="2"/>
        <v>0</v>
      </c>
      <c r="N1383" s="22"/>
      <c r="O1383" s="19" t="s">
        <v>1145</v>
      </c>
      <c r="P1383" s="18"/>
      <c r="Q1383" s="18"/>
      <c r="R1383" s="23">
        <v>0.0</v>
      </c>
      <c r="S1383" s="23">
        <v>0.0</v>
      </c>
      <c r="T1383" s="23">
        <f t="shared" si="3"/>
        <v>0</v>
      </c>
      <c r="U1383" s="23">
        <f t="shared" si="4"/>
        <v>0</v>
      </c>
      <c r="V1383" s="23">
        <f t="shared" si="5"/>
        <v>0</v>
      </c>
      <c r="W1383" s="24" t="str">
        <f t="shared" si="6"/>
        <v>#DIV/0!</v>
      </c>
    </row>
    <row r="1384">
      <c r="A1384" s="15" t="s">
        <v>3323</v>
      </c>
      <c r="B1384" s="18"/>
      <c r="C1384" s="15" t="s">
        <v>8099</v>
      </c>
      <c r="D1384" s="18"/>
      <c r="E1384" s="17" t="s">
        <v>3324</v>
      </c>
      <c r="F1384" s="18"/>
      <c r="G1384" s="18"/>
      <c r="H1384" s="15" t="s">
        <v>3325</v>
      </c>
      <c r="I1384" s="15" t="s">
        <v>3326</v>
      </c>
      <c r="J1384" s="33"/>
      <c r="K1384" s="19" t="s">
        <v>2401</v>
      </c>
      <c r="L1384" s="19" t="s">
        <v>38</v>
      </c>
      <c r="M1384" s="20">
        <f t="shared" si="2"/>
        <v>0</v>
      </c>
      <c r="N1384" s="22"/>
      <c r="O1384" s="19" t="s">
        <v>1145</v>
      </c>
      <c r="P1384" s="18"/>
      <c r="Q1384" s="18"/>
      <c r="R1384" s="23">
        <v>0.0</v>
      </c>
      <c r="S1384" s="23">
        <v>0.0</v>
      </c>
      <c r="T1384" s="23">
        <f t="shared" si="3"/>
        <v>0</v>
      </c>
      <c r="U1384" s="23">
        <f t="shared" si="4"/>
        <v>0</v>
      </c>
      <c r="V1384" s="23">
        <f t="shared" si="5"/>
        <v>0</v>
      </c>
      <c r="W1384" s="24" t="str">
        <f t="shared" si="6"/>
        <v>#DIV/0!</v>
      </c>
    </row>
    <row r="1385">
      <c r="A1385" s="15" t="s">
        <v>3327</v>
      </c>
      <c r="B1385" s="18"/>
      <c r="C1385" s="15" t="s">
        <v>8100</v>
      </c>
      <c r="D1385" s="18"/>
      <c r="E1385" s="17" t="s">
        <v>3328</v>
      </c>
      <c r="F1385" s="18"/>
      <c r="G1385" s="18"/>
      <c r="H1385" s="15" t="s">
        <v>3329</v>
      </c>
      <c r="I1385" s="18"/>
      <c r="J1385" s="33"/>
      <c r="K1385" s="19" t="s">
        <v>3330</v>
      </c>
      <c r="L1385" s="19" t="s">
        <v>38</v>
      </c>
      <c r="M1385" s="20">
        <f t="shared" si="2"/>
        <v>0</v>
      </c>
      <c r="N1385" s="22"/>
      <c r="O1385" s="19" t="s">
        <v>1145</v>
      </c>
      <c r="P1385" s="18"/>
      <c r="Q1385" s="18"/>
      <c r="R1385" s="23">
        <v>0.0</v>
      </c>
      <c r="S1385" s="23">
        <v>0.0</v>
      </c>
      <c r="T1385" s="23">
        <f t="shared" si="3"/>
        <v>0</v>
      </c>
      <c r="U1385" s="23">
        <f t="shared" si="4"/>
        <v>0</v>
      </c>
      <c r="V1385" s="23">
        <f t="shared" si="5"/>
        <v>0</v>
      </c>
      <c r="W1385" s="24" t="str">
        <f t="shared" si="6"/>
        <v>#DIV/0!</v>
      </c>
    </row>
    <row r="1386">
      <c r="A1386" s="15" t="s">
        <v>3331</v>
      </c>
      <c r="B1386" s="18"/>
      <c r="C1386" s="15" t="s">
        <v>8101</v>
      </c>
      <c r="D1386" s="18"/>
      <c r="E1386" s="17" t="s">
        <v>3332</v>
      </c>
      <c r="F1386" s="18"/>
      <c r="G1386" s="18"/>
      <c r="H1386" s="15" t="s">
        <v>3333</v>
      </c>
      <c r="I1386" s="18"/>
      <c r="J1386" s="33"/>
      <c r="K1386" s="19" t="s">
        <v>3334</v>
      </c>
      <c r="L1386" s="19" t="s">
        <v>38</v>
      </c>
      <c r="M1386" s="20">
        <f t="shared" si="2"/>
        <v>0</v>
      </c>
      <c r="N1386" s="22"/>
      <c r="O1386" s="19" t="s">
        <v>1145</v>
      </c>
      <c r="P1386" s="18"/>
      <c r="Q1386" s="18"/>
      <c r="R1386" s="23">
        <v>0.0</v>
      </c>
      <c r="S1386" s="23">
        <v>0.0</v>
      </c>
      <c r="T1386" s="23">
        <f t="shared" si="3"/>
        <v>0</v>
      </c>
      <c r="U1386" s="23">
        <f t="shared" si="4"/>
        <v>0</v>
      </c>
      <c r="V1386" s="23">
        <f t="shared" si="5"/>
        <v>0</v>
      </c>
      <c r="W1386" s="24" t="str">
        <f t="shared" si="6"/>
        <v>#DIV/0!</v>
      </c>
    </row>
    <row r="1387">
      <c r="A1387" s="15" t="s">
        <v>3335</v>
      </c>
      <c r="B1387" s="18"/>
      <c r="C1387" s="15" t="s">
        <v>8102</v>
      </c>
      <c r="D1387" s="18"/>
      <c r="E1387" s="17" t="s">
        <v>3336</v>
      </c>
      <c r="F1387" s="18"/>
      <c r="G1387" s="18"/>
      <c r="H1387" s="15" t="s">
        <v>3337</v>
      </c>
      <c r="I1387" s="18"/>
      <c r="J1387" s="33"/>
      <c r="K1387" s="19" t="s">
        <v>3330</v>
      </c>
      <c r="L1387" s="19" t="s">
        <v>38</v>
      </c>
      <c r="M1387" s="20">
        <f t="shared" si="2"/>
        <v>0</v>
      </c>
      <c r="N1387" s="22"/>
      <c r="O1387" s="19" t="s">
        <v>1145</v>
      </c>
      <c r="P1387" s="18"/>
      <c r="Q1387" s="18"/>
      <c r="R1387" s="23">
        <v>0.0</v>
      </c>
      <c r="S1387" s="23">
        <v>0.0</v>
      </c>
      <c r="T1387" s="23">
        <f t="shared" si="3"/>
        <v>0</v>
      </c>
      <c r="U1387" s="23">
        <f t="shared" si="4"/>
        <v>0</v>
      </c>
      <c r="V1387" s="23">
        <f t="shared" si="5"/>
        <v>0</v>
      </c>
      <c r="W1387" s="24" t="str">
        <f t="shared" si="6"/>
        <v>#DIV/0!</v>
      </c>
    </row>
    <row r="1388">
      <c r="A1388" s="15" t="s">
        <v>3338</v>
      </c>
      <c r="B1388" s="18"/>
      <c r="C1388" s="15" t="s">
        <v>8103</v>
      </c>
      <c r="D1388" s="18"/>
      <c r="E1388" s="17" t="s">
        <v>3339</v>
      </c>
      <c r="F1388" s="18"/>
      <c r="G1388" s="18"/>
      <c r="H1388" s="15" t="s">
        <v>3340</v>
      </c>
      <c r="I1388" s="18"/>
      <c r="J1388" s="33"/>
      <c r="K1388" s="19" t="s">
        <v>691</v>
      </c>
      <c r="L1388" s="19" t="s">
        <v>38</v>
      </c>
      <c r="M1388" s="20">
        <f t="shared" si="2"/>
        <v>0</v>
      </c>
      <c r="N1388" s="22"/>
      <c r="O1388" s="19" t="s">
        <v>1145</v>
      </c>
      <c r="P1388" s="18"/>
      <c r="Q1388" s="18"/>
      <c r="R1388" s="23">
        <v>0.0</v>
      </c>
      <c r="S1388" s="23">
        <v>0.0</v>
      </c>
      <c r="T1388" s="23">
        <f t="shared" si="3"/>
        <v>0</v>
      </c>
      <c r="U1388" s="23">
        <f t="shared" si="4"/>
        <v>0</v>
      </c>
      <c r="V1388" s="23">
        <f t="shared" si="5"/>
        <v>0</v>
      </c>
      <c r="W1388" s="24" t="str">
        <f t="shared" si="6"/>
        <v>#DIV/0!</v>
      </c>
    </row>
    <row r="1389">
      <c r="A1389" s="15" t="s">
        <v>3341</v>
      </c>
      <c r="B1389" s="18"/>
      <c r="C1389" s="15" t="s">
        <v>8104</v>
      </c>
      <c r="D1389" s="18"/>
      <c r="E1389" s="17" t="s">
        <v>3342</v>
      </c>
      <c r="F1389" s="18"/>
      <c r="G1389" s="18"/>
      <c r="H1389" s="15" t="s">
        <v>3343</v>
      </c>
      <c r="I1389" s="18"/>
      <c r="J1389" s="33"/>
      <c r="K1389" s="19" t="s">
        <v>2387</v>
      </c>
      <c r="L1389" s="19" t="s">
        <v>38</v>
      </c>
      <c r="M1389" s="20">
        <f t="shared" si="2"/>
        <v>0</v>
      </c>
      <c r="N1389" s="22"/>
      <c r="O1389" s="19" t="s">
        <v>1145</v>
      </c>
      <c r="P1389" s="18"/>
      <c r="Q1389" s="18"/>
      <c r="R1389" s="23">
        <v>0.0</v>
      </c>
      <c r="S1389" s="23">
        <v>0.0</v>
      </c>
      <c r="T1389" s="23">
        <f t="shared" si="3"/>
        <v>0</v>
      </c>
      <c r="U1389" s="23">
        <f t="shared" si="4"/>
        <v>0</v>
      </c>
      <c r="V1389" s="23">
        <f t="shared" si="5"/>
        <v>0</v>
      </c>
      <c r="W1389" s="24" t="str">
        <f t="shared" si="6"/>
        <v>#DIV/0!</v>
      </c>
    </row>
    <row r="1390">
      <c r="A1390" s="15" t="s">
        <v>3344</v>
      </c>
      <c r="B1390" s="18"/>
      <c r="C1390" s="15" t="s">
        <v>8105</v>
      </c>
      <c r="D1390" s="18"/>
      <c r="E1390" s="17" t="s">
        <v>3345</v>
      </c>
      <c r="F1390" s="18"/>
      <c r="G1390" s="18"/>
      <c r="H1390" s="15" t="s">
        <v>3346</v>
      </c>
      <c r="I1390" s="18"/>
      <c r="J1390" s="33"/>
      <c r="K1390" s="19" t="s">
        <v>2506</v>
      </c>
      <c r="L1390" s="19" t="s">
        <v>38</v>
      </c>
      <c r="M1390" s="20">
        <f t="shared" si="2"/>
        <v>0</v>
      </c>
      <c r="N1390" s="22"/>
      <c r="O1390" s="19" t="s">
        <v>1145</v>
      </c>
      <c r="P1390" s="18"/>
      <c r="Q1390" s="18"/>
      <c r="R1390" s="23">
        <v>0.0</v>
      </c>
      <c r="S1390" s="23">
        <v>0.0</v>
      </c>
      <c r="T1390" s="23">
        <f t="shared" si="3"/>
        <v>0</v>
      </c>
      <c r="U1390" s="23">
        <f t="shared" si="4"/>
        <v>0</v>
      </c>
      <c r="V1390" s="23">
        <f t="shared" si="5"/>
        <v>0</v>
      </c>
      <c r="W1390" s="24" t="str">
        <f t="shared" si="6"/>
        <v>#DIV/0!</v>
      </c>
    </row>
    <row r="1391">
      <c r="A1391" s="15" t="s">
        <v>3347</v>
      </c>
      <c r="B1391" s="18"/>
      <c r="C1391" s="15" t="s">
        <v>8106</v>
      </c>
      <c r="D1391" s="18"/>
      <c r="E1391" s="17" t="s">
        <v>3348</v>
      </c>
      <c r="F1391" s="18"/>
      <c r="G1391" s="18"/>
      <c r="H1391" s="15" t="s">
        <v>3349</v>
      </c>
      <c r="I1391" s="18"/>
      <c r="J1391" s="33"/>
      <c r="K1391" s="19" t="s">
        <v>2506</v>
      </c>
      <c r="L1391" s="19" t="s">
        <v>38</v>
      </c>
      <c r="M1391" s="20">
        <f t="shared" si="2"/>
        <v>0</v>
      </c>
      <c r="N1391" s="22"/>
      <c r="O1391" s="19" t="s">
        <v>1145</v>
      </c>
      <c r="P1391" s="18"/>
      <c r="Q1391" s="18"/>
      <c r="R1391" s="23">
        <v>0.0</v>
      </c>
      <c r="S1391" s="23">
        <v>0.0</v>
      </c>
      <c r="T1391" s="23">
        <f t="shared" si="3"/>
        <v>0</v>
      </c>
      <c r="U1391" s="23">
        <f t="shared" si="4"/>
        <v>0</v>
      </c>
      <c r="V1391" s="23">
        <f t="shared" si="5"/>
        <v>0</v>
      </c>
      <c r="W1391" s="24" t="str">
        <f t="shared" si="6"/>
        <v>#DIV/0!</v>
      </c>
    </row>
    <row r="1392">
      <c r="A1392" s="15" t="s">
        <v>3350</v>
      </c>
      <c r="B1392" s="18"/>
      <c r="C1392" s="15" t="s">
        <v>8107</v>
      </c>
      <c r="D1392" s="18"/>
      <c r="E1392" s="17" t="s">
        <v>3351</v>
      </c>
      <c r="F1392" s="18"/>
      <c r="G1392" s="18"/>
      <c r="H1392" s="15" t="s">
        <v>3352</v>
      </c>
      <c r="I1392" s="18"/>
      <c r="J1392" s="33"/>
      <c r="K1392" s="19" t="s">
        <v>3330</v>
      </c>
      <c r="L1392" s="19" t="s">
        <v>38</v>
      </c>
      <c r="M1392" s="20">
        <f t="shared" si="2"/>
        <v>0</v>
      </c>
      <c r="N1392" s="22"/>
      <c r="O1392" s="19" t="s">
        <v>1145</v>
      </c>
      <c r="P1392" s="18"/>
      <c r="Q1392" s="18"/>
      <c r="R1392" s="23">
        <v>0.0</v>
      </c>
      <c r="S1392" s="23">
        <v>0.0</v>
      </c>
      <c r="T1392" s="23">
        <f t="shared" si="3"/>
        <v>0</v>
      </c>
      <c r="U1392" s="23">
        <f t="shared" si="4"/>
        <v>0</v>
      </c>
      <c r="V1392" s="23">
        <f t="shared" si="5"/>
        <v>0</v>
      </c>
      <c r="W1392" s="24" t="str">
        <f t="shared" si="6"/>
        <v>#DIV/0!</v>
      </c>
    </row>
    <row r="1393">
      <c r="A1393" s="15" t="s">
        <v>3353</v>
      </c>
      <c r="B1393" s="18"/>
      <c r="C1393" s="15" t="s">
        <v>8108</v>
      </c>
      <c r="D1393" s="18"/>
      <c r="E1393" s="17" t="s">
        <v>3354</v>
      </c>
      <c r="F1393" s="18"/>
      <c r="G1393" s="18"/>
      <c r="H1393" s="15" t="s">
        <v>3355</v>
      </c>
      <c r="I1393" s="18"/>
      <c r="J1393" s="33"/>
      <c r="K1393" s="19" t="s">
        <v>691</v>
      </c>
      <c r="L1393" s="19" t="s">
        <v>38</v>
      </c>
      <c r="M1393" s="20">
        <f t="shared" si="2"/>
        <v>0</v>
      </c>
      <c r="N1393" s="22"/>
      <c r="O1393" s="19" t="s">
        <v>1145</v>
      </c>
      <c r="P1393" s="18"/>
      <c r="Q1393" s="18"/>
      <c r="R1393" s="23">
        <v>0.0</v>
      </c>
      <c r="S1393" s="23">
        <v>0.0</v>
      </c>
      <c r="T1393" s="23">
        <f t="shared" si="3"/>
        <v>0</v>
      </c>
      <c r="U1393" s="23">
        <f t="shared" si="4"/>
        <v>0</v>
      </c>
      <c r="V1393" s="23">
        <f t="shared" si="5"/>
        <v>0</v>
      </c>
      <c r="W1393" s="24" t="str">
        <f t="shared" si="6"/>
        <v>#DIV/0!</v>
      </c>
    </row>
    <row r="1394">
      <c r="A1394" s="15" t="s">
        <v>3356</v>
      </c>
      <c r="B1394" s="18"/>
      <c r="C1394" s="15" t="s">
        <v>8109</v>
      </c>
      <c r="D1394" s="18"/>
      <c r="E1394" s="17" t="s">
        <v>3357</v>
      </c>
      <c r="F1394" s="18"/>
      <c r="G1394" s="18"/>
      <c r="H1394" s="15" t="s">
        <v>3358</v>
      </c>
      <c r="I1394" s="18"/>
      <c r="J1394" s="33"/>
      <c r="K1394" s="19" t="s">
        <v>2382</v>
      </c>
      <c r="L1394" s="19" t="s">
        <v>38</v>
      </c>
      <c r="M1394" s="20">
        <f t="shared" si="2"/>
        <v>0</v>
      </c>
      <c r="N1394" s="22"/>
      <c r="O1394" s="19" t="s">
        <v>1145</v>
      </c>
      <c r="P1394" s="18"/>
      <c r="Q1394" s="18"/>
      <c r="R1394" s="23">
        <v>0.0</v>
      </c>
      <c r="S1394" s="23">
        <v>0.0</v>
      </c>
      <c r="T1394" s="23">
        <f t="shared" si="3"/>
        <v>0</v>
      </c>
      <c r="U1394" s="23">
        <f t="shared" si="4"/>
        <v>0</v>
      </c>
      <c r="V1394" s="23">
        <f t="shared" si="5"/>
        <v>0</v>
      </c>
      <c r="W1394" s="24" t="str">
        <f t="shared" si="6"/>
        <v>#DIV/0!</v>
      </c>
    </row>
    <row r="1395">
      <c r="A1395" s="15" t="s">
        <v>3359</v>
      </c>
      <c r="B1395" s="18"/>
      <c r="C1395" s="15" t="s">
        <v>8110</v>
      </c>
      <c r="D1395" s="18"/>
      <c r="E1395" s="17" t="s">
        <v>3360</v>
      </c>
      <c r="F1395" s="18"/>
      <c r="G1395" s="18"/>
      <c r="H1395" s="15" t="s">
        <v>3361</v>
      </c>
      <c r="I1395" s="18"/>
      <c r="J1395" s="33"/>
      <c r="K1395" s="19" t="s">
        <v>3330</v>
      </c>
      <c r="L1395" s="19" t="s">
        <v>38</v>
      </c>
      <c r="M1395" s="20">
        <f t="shared" si="2"/>
        <v>0</v>
      </c>
      <c r="N1395" s="22"/>
      <c r="O1395" s="19" t="s">
        <v>1145</v>
      </c>
      <c r="P1395" s="18"/>
      <c r="Q1395" s="18"/>
      <c r="R1395" s="23">
        <v>0.0</v>
      </c>
      <c r="S1395" s="23">
        <v>0.0</v>
      </c>
      <c r="T1395" s="23">
        <f t="shared" si="3"/>
        <v>0</v>
      </c>
      <c r="U1395" s="23">
        <f t="shared" si="4"/>
        <v>0</v>
      </c>
      <c r="V1395" s="23">
        <f t="shared" si="5"/>
        <v>0</v>
      </c>
      <c r="W1395" s="24" t="str">
        <f t="shared" si="6"/>
        <v>#DIV/0!</v>
      </c>
    </row>
    <row r="1396">
      <c r="A1396" s="15" t="s">
        <v>3362</v>
      </c>
      <c r="B1396" s="18"/>
      <c r="C1396" s="15" t="s">
        <v>8111</v>
      </c>
      <c r="D1396" s="18"/>
      <c r="E1396" s="17" t="s">
        <v>3363</v>
      </c>
      <c r="F1396" s="18"/>
      <c r="G1396" s="18"/>
      <c r="H1396" s="15" t="s">
        <v>3364</v>
      </c>
      <c r="I1396" s="18"/>
      <c r="J1396" s="33"/>
      <c r="K1396" s="19" t="s">
        <v>2387</v>
      </c>
      <c r="L1396" s="19" t="s">
        <v>38</v>
      </c>
      <c r="M1396" s="20">
        <f t="shared" si="2"/>
        <v>0</v>
      </c>
      <c r="N1396" s="22"/>
      <c r="O1396" s="19" t="s">
        <v>1145</v>
      </c>
      <c r="P1396" s="18"/>
      <c r="Q1396" s="18"/>
      <c r="R1396" s="23">
        <v>0.0</v>
      </c>
      <c r="S1396" s="23">
        <v>0.0</v>
      </c>
      <c r="T1396" s="23">
        <f t="shared" si="3"/>
        <v>0</v>
      </c>
      <c r="U1396" s="23">
        <f t="shared" si="4"/>
        <v>0</v>
      </c>
      <c r="V1396" s="23">
        <f t="shared" si="5"/>
        <v>0</v>
      </c>
      <c r="W1396" s="24" t="str">
        <f t="shared" si="6"/>
        <v>#DIV/0!</v>
      </c>
    </row>
    <row r="1397">
      <c r="A1397" s="15" t="s">
        <v>3365</v>
      </c>
      <c r="B1397" s="18"/>
      <c r="C1397" s="15" t="s">
        <v>8112</v>
      </c>
      <c r="D1397" s="18"/>
      <c r="E1397" s="17" t="s">
        <v>3366</v>
      </c>
      <c r="F1397" s="18"/>
      <c r="G1397" s="18"/>
      <c r="H1397" s="15" t="s">
        <v>3367</v>
      </c>
      <c r="I1397" s="18"/>
      <c r="J1397" s="33"/>
      <c r="K1397" s="19" t="s">
        <v>691</v>
      </c>
      <c r="L1397" s="19" t="s">
        <v>38</v>
      </c>
      <c r="M1397" s="20">
        <f t="shared" si="2"/>
        <v>0</v>
      </c>
      <c r="N1397" s="22"/>
      <c r="O1397" s="19" t="s">
        <v>1145</v>
      </c>
      <c r="P1397" s="18"/>
      <c r="Q1397" s="18"/>
      <c r="R1397" s="23">
        <v>0.0</v>
      </c>
      <c r="S1397" s="23">
        <v>0.0</v>
      </c>
      <c r="T1397" s="23">
        <f t="shared" si="3"/>
        <v>0</v>
      </c>
      <c r="U1397" s="23">
        <f t="shared" si="4"/>
        <v>0</v>
      </c>
      <c r="V1397" s="23">
        <f t="shared" si="5"/>
        <v>0</v>
      </c>
      <c r="W1397" s="24" t="str">
        <f t="shared" si="6"/>
        <v>#DIV/0!</v>
      </c>
    </row>
    <row r="1398">
      <c r="A1398" s="15" t="s">
        <v>3368</v>
      </c>
      <c r="B1398" s="18"/>
      <c r="C1398" s="15" t="s">
        <v>8113</v>
      </c>
      <c r="D1398" s="18"/>
      <c r="E1398" s="17" t="s">
        <v>3369</v>
      </c>
      <c r="F1398" s="18"/>
      <c r="G1398" s="18"/>
      <c r="H1398" s="15" t="s">
        <v>3370</v>
      </c>
      <c r="I1398" s="15" t="s">
        <v>3371</v>
      </c>
      <c r="J1398" s="33"/>
      <c r="K1398" s="19" t="s">
        <v>2401</v>
      </c>
      <c r="L1398" s="19" t="s">
        <v>38</v>
      </c>
      <c r="M1398" s="20">
        <f t="shared" si="2"/>
        <v>0</v>
      </c>
      <c r="N1398" s="22"/>
      <c r="O1398" s="19" t="s">
        <v>1145</v>
      </c>
      <c r="P1398" s="18"/>
      <c r="Q1398" s="18"/>
      <c r="R1398" s="23">
        <v>0.0</v>
      </c>
      <c r="S1398" s="23">
        <v>0.0</v>
      </c>
      <c r="T1398" s="23">
        <f t="shared" si="3"/>
        <v>0</v>
      </c>
      <c r="U1398" s="23">
        <f t="shared" si="4"/>
        <v>0</v>
      </c>
      <c r="V1398" s="23">
        <f t="shared" si="5"/>
        <v>0</v>
      </c>
      <c r="W1398" s="24" t="str">
        <f t="shared" si="6"/>
        <v>#DIV/0!</v>
      </c>
    </row>
    <row r="1399">
      <c r="A1399" s="15" t="s">
        <v>3372</v>
      </c>
      <c r="B1399" s="18"/>
      <c r="C1399" s="15" t="s">
        <v>8114</v>
      </c>
      <c r="D1399" s="18"/>
      <c r="E1399" s="17" t="s">
        <v>3373</v>
      </c>
      <c r="F1399" s="18"/>
      <c r="G1399" s="18"/>
      <c r="H1399" s="15" t="s">
        <v>3374</v>
      </c>
      <c r="I1399" s="18"/>
      <c r="J1399" s="33"/>
      <c r="K1399" s="19" t="s">
        <v>2387</v>
      </c>
      <c r="L1399" s="19" t="s">
        <v>38</v>
      </c>
      <c r="M1399" s="20">
        <f t="shared" si="2"/>
        <v>0</v>
      </c>
      <c r="N1399" s="22"/>
      <c r="O1399" s="19" t="s">
        <v>1145</v>
      </c>
      <c r="P1399" s="18"/>
      <c r="Q1399" s="18"/>
      <c r="R1399" s="23">
        <v>0.0</v>
      </c>
      <c r="S1399" s="23">
        <v>0.0</v>
      </c>
      <c r="T1399" s="23">
        <f t="shared" si="3"/>
        <v>0</v>
      </c>
      <c r="U1399" s="23">
        <f t="shared" si="4"/>
        <v>0</v>
      </c>
      <c r="V1399" s="23">
        <f t="shared" si="5"/>
        <v>0</v>
      </c>
      <c r="W1399" s="24" t="str">
        <f t="shared" si="6"/>
        <v>#DIV/0!</v>
      </c>
    </row>
    <row r="1400">
      <c r="A1400" s="15" t="s">
        <v>3375</v>
      </c>
      <c r="B1400" s="18"/>
      <c r="C1400" s="15" t="s">
        <v>8115</v>
      </c>
      <c r="D1400" s="18"/>
      <c r="E1400" s="17" t="s">
        <v>2564</v>
      </c>
      <c r="F1400" s="18"/>
      <c r="G1400" s="18"/>
      <c r="H1400" s="15" t="s">
        <v>3376</v>
      </c>
      <c r="I1400" s="18"/>
      <c r="J1400" s="33"/>
      <c r="K1400" s="19" t="s">
        <v>2387</v>
      </c>
      <c r="L1400" s="19" t="s">
        <v>38</v>
      </c>
      <c r="M1400" s="20">
        <f t="shared" si="2"/>
        <v>0</v>
      </c>
      <c r="N1400" s="22"/>
      <c r="O1400" s="19" t="s">
        <v>1145</v>
      </c>
      <c r="P1400" s="18"/>
      <c r="Q1400" s="18"/>
      <c r="R1400" s="23">
        <v>0.0</v>
      </c>
      <c r="S1400" s="23">
        <v>0.0</v>
      </c>
      <c r="T1400" s="23">
        <f t="shared" si="3"/>
        <v>0</v>
      </c>
      <c r="U1400" s="23">
        <f t="shared" si="4"/>
        <v>0</v>
      </c>
      <c r="V1400" s="23">
        <f t="shared" si="5"/>
        <v>0</v>
      </c>
      <c r="W1400" s="24" t="str">
        <f t="shared" si="6"/>
        <v>#DIV/0!</v>
      </c>
    </row>
    <row r="1401">
      <c r="A1401" s="15" t="s">
        <v>3377</v>
      </c>
      <c r="B1401" s="18"/>
      <c r="C1401" s="15" t="s">
        <v>8116</v>
      </c>
      <c r="D1401" s="18"/>
      <c r="E1401" s="17" t="s">
        <v>3378</v>
      </c>
      <c r="F1401" s="18"/>
      <c r="G1401" s="18"/>
      <c r="H1401" s="15" t="s">
        <v>3379</v>
      </c>
      <c r="I1401" s="18"/>
      <c r="J1401" s="33"/>
      <c r="K1401" s="19" t="s">
        <v>2387</v>
      </c>
      <c r="L1401" s="19" t="s">
        <v>38</v>
      </c>
      <c r="M1401" s="20">
        <f t="shared" si="2"/>
        <v>0</v>
      </c>
      <c r="N1401" s="22"/>
      <c r="O1401" s="19" t="s">
        <v>1145</v>
      </c>
      <c r="P1401" s="18"/>
      <c r="Q1401" s="18"/>
      <c r="R1401" s="23">
        <v>0.0</v>
      </c>
      <c r="S1401" s="23">
        <v>0.0</v>
      </c>
      <c r="T1401" s="23">
        <f t="shared" si="3"/>
        <v>0</v>
      </c>
      <c r="U1401" s="23">
        <f t="shared" si="4"/>
        <v>0</v>
      </c>
      <c r="V1401" s="23">
        <f t="shared" si="5"/>
        <v>0</v>
      </c>
      <c r="W1401" s="24" t="str">
        <f t="shared" si="6"/>
        <v>#DIV/0!</v>
      </c>
    </row>
    <row r="1402">
      <c r="A1402" s="15" t="s">
        <v>3380</v>
      </c>
      <c r="B1402" s="18"/>
      <c r="C1402" s="15" t="s">
        <v>8117</v>
      </c>
      <c r="D1402" s="18"/>
      <c r="E1402" s="17" t="s">
        <v>3381</v>
      </c>
      <c r="F1402" s="18"/>
      <c r="G1402" s="18"/>
      <c r="H1402" s="15" t="s">
        <v>3382</v>
      </c>
      <c r="I1402" s="18"/>
      <c r="J1402" s="33"/>
      <c r="K1402" s="19" t="s">
        <v>2387</v>
      </c>
      <c r="L1402" s="19" t="s">
        <v>38</v>
      </c>
      <c r="M1402" s="20">
        <f t="shared" si="2"/>
        <v>0</v>
      </c>
      <c r="N1402" s="22"/>
      <c r="O1402" s="19" t="s">
        <v>1145</v>
      </c>
      <c r="P1402" s="18"/>
      <c r="Q1402" s="18"/>
      <c r="R1402" s="23">
        <v>0.0</v>
      </c>
      <c r="S1402" s="23">
        <v>0.0</v>
      </c>
      <c r="T1402" s="23">
        <f t="shared" si="3"/>
        <v>0</v>
      </c>
      <c r="U1402" s="23">
        <f t="shared" si="4"/>
        <v>0</v>
      </c>
      <c r="V1402" s="23">
        <f t="shared" si="5"/>
        <v>0</v>
      </c>
      <c r="W1402" s="24" t="str">
        <f t="shared" si="6"/>
        <v>#DIV/0!</v>
      </c>
    </row>
    <row r="1403">
      <c r="A1403" s="15" t="s">
        <v>3383</v>
      </c>
      <c r="B1403" s="18"/>
      <c r="C1403" s="15" t="s">
        <v>8118</v>
      </c>
      <c r="D1403" s="18"/>
      <c r="E1403" s="17" t="s">
        <v>3384</v>
      </c>
      <c r="F1403" s="18"/>
      <c r="G1403" s="18"/>
      <c r="H1403" s="15" t="s">
        <v>3385</v>
      </c>
      <c r="I1403" s="18"/>
      <c r="J1403" s="33"/>
      <c r="K1403" s="19" t="s">
        <v>2387</v>
      </c>
      <c r="L1403" s="19" t="s">
        <v>38</v>
      </c>
      <c r="M1403" s="20">
        <f t="shared" si="2"/>
        <v>0</v>
      </c>
      <c r="N1403" s="22"/>
      <c r="O1403" s="19" t="s">
        <v>1145</v>
      </c>
      <c r="P1403" s="18"/>
      <c r="Q1403" s="18"/>
      <c r="R1403" s="23">
        <v>0.0</v>
      </c>
      <c r="S1403" s="23">
        <v>0.0</v>
      </c>
      <c r="T1403" s="23">
        <f t="shared" si="3"/>
        <v>0</v>
      </c>
      <c r="U1403" s="23">
        <f t="shared" si="4"/>
        <v>0</v>
      </c>
      <c r="V1403" s="23">
        <f t="shared" si="5"/>
        <v>0</v>
      </c>
      <c r="W1403" s="24" t="str">
        <f t="shared" si="6"/>
        <v>#DIV/0!</v>
      </c>
    </row>
    <row r="1404">
      <c r="A1404" s="15" t="s">
        <v>3386</v>
      </c>
      <c r="B1404" s="18"/>
      <c r="C1404" s="15" t="s">
        <v>8119</v>
      </c>
      <c r="D1404" s="18"/>
      <c r="E1404" s="17" t="s">
        <v>3387</v>
      </c>
      <c r="F1404" s="18"/>
      <c r="G1404" s="18"/>
      <c r="H1404" s="15" t="s">
        <v>3388</v>
      </c>
      <c r="I1404" s="15" t="s">
        <v>3389</v>
      </c>
      <c r="J1404" s="33"/>
      <c r="K1404" s="19" t="s">
        <v>2396</v>
      </c>
      <c r="L1404" s="19" t="s">
        <v>38</v>
      </c>
      <c r="M1404" s="20">
        <f t="shared" si="2"/>
        <v>0</v>
      </c>
      <c r="N1404" s="22"/>
      <c r="O1404" s="19" t="s">
        <v>1145</v>
      </c>
      <c r="P1404" s="18"/>
      <c r="Q1404" s="18"/>
      <c r="R1404" s="23">
        <v>0.0</v>
      </c>
      <c r="S1404" s="23">
        <v>0.0</v>
      </c>
      <c r="T1404" s="23">
        <f t="shared" si="3"/>
        <v>0</v>
      </c>
      <c r="U1404" s="23">
        <f t="shared" si="4"/>
        <v>0</v>
      </c>
      <c r="V1404" s="23">
        <f t="shared" si="5"/>
        <v>0</v>
      </c>
      <c r="W1404" s="24" t="str">
        <f t="shared" si="6"/>
        <v>#DIV/0!</v>
      </c>
    </row>
    <row r="1405">
      <c r="A1405" s="15" t="s">
        <v>3390</v>
      </c>
      <c r="B1405" s="18"/>
      <c r="C1405" s="15" t="s">
        <v>8120</v>
      </c>
      <c r="D1405" s="18"/>
      <c r="E1405" s="17" t="s">
        <v>3391</v>
      </c>
      <c r="F1405" s="18"/>
      <c r="G1405" s="18"/>
      <c r="H1405" s="15" t="s">
        <v>3392</v>
      </c>
      <c r="I1405" s="15" t="s">
        <v>3393</v>
      </c>
      <c r="J1405" s="33"/>
      <c r="K1405" s="19" t="s">
        <v>2396</v>
      </c>
      <c r="L1405" s="19" t="s">
        <v>38</v>
      </c>
      <c r="M1405" s="20">
        <f t="shared" si="2"/>
        <v>0</v>
      </c>
      <c r="N1405" s="22"/>
      <c r="O1405" s="19" t="s">
        <v>1145</v>
      </c>
      <c r="P1405" s="18"/>
      <c r="Q1405" s="18"/>
      <c r="R1405" s="23">
        <v>0.0</v>
      </c>
      <c r="S1405" s="23">
        <v>0.0</v>
      </c>
      <c r="T1405" s="23">
        <f t="shared" si="3"/>
        <v>0</v>
      </c>
      <c r="U1405" s="23">
        <f t="shared" si="4"/>
        <v>0</v>
      </c>
      <c r="V1405" s="23">
        <f t="shared" si="5"/>
        <v>0</v>
      </c>
      <c r="W1405" s="24" t="str">
        <f t="shared" si="6"/>
        <v>#DIV/0!</v>
      </c>
    </row>
    <row r="1406">
      <c r="A1406" s="15" t="s">
        <v>735</v>
      </c>
      <c r="B1406" s="15" t="s">
        <v>736</v>
      </c>
      <c r="C1406" s="15" t="s">
        <v>6018</v>
      </c>
      <c r="D1406" s="15" t="s">
        <v>737</v>
      </c>
      <c r="E1406" s="17" t="s">
        <v>738</v>
      </c>
      <c r="F1406" s="18"/>
      <c r="G1406" s="15" t="s">
        <v>739</v>
      </c>
      <c r="H1406" s="15" t="s">
        <v>740</v>
      </c>
      <c r="I1406" s="15" t="s">
        <v>741</v>
      </c>
      <c r="J1406" s="19" t="s">
        <v>36</v>
      </c>
      <c r="K1406" s="19" t="s">
        <v>60</v>
      </c>
      <c r="L1406" s="19" t="s">
        <v>6017</v>
      </c>
      <c r="M1406" s="20">
        <f t="shared" si="2"/>
        <v>1012.32</v>
      </c>
      <c r="N1406" s="31">
        <v>3.0</v>
      </c>
      <c r="O1406" s="19" t="s">
        <v>107</v>
      </c>
      <c r="P1406" s="18"/>
      <c r="Q1406" s="18"/>
      <c r="R1406" s="23">
        <v>12.0</v>
      </c>
      <c r="S1406" s="23">
        <v>57.0</v>
      </c>
      <c r="T1406" s="23">
        <f t="shared" si="3"/>
        <v>54.72</v>
      </c>
      <c r="U1406" s="23">
        <f t="shared" si="4"/>
        <v>14.7</v>
      </c>
      <c r="V1406" s="23">
        <f t="shared" si="5"/>
        <v>275.625</v>
      </c>
      <c r="W1406" s="24">
        <f t="shared" si="6"/>
        <v>4.56</v>
      </c>
    </row>
    <row r="1407">
      <c r="A1407" s="15" t="s">
        <v>3394</v>
      </c>
      <c r="B1407" s="18"/>
      <c r="C1407" s="15" t="s">
        <v>8121</v>
      </c>
      <c r="D1407" s="18"/>
      <c r="E1407" s="17" t="s">
        <v>3395</v>
      </c>
      <c r="F1407" s="18"/>
      <c r="G1407" s="18"/>
      <c r="H1407" s="15" t="s">
        <v>3396</v>
      </c>
      <c r="I1407" s="18"/>
      <c r="J1407" s="33"/>
      <c r="K1407" s="19" t="s">
        <v>3330</v>
      </c>
      <c r="L1407" s="19" t="s">
        <v>38</v>
      </c>
      <c r="M1407" s="20">
        <f t="shared" si="2"/>
        <v>0</v>
      </c>
      <c r="N1407" s="22"/>
      <c r="O1407" s="19" t="s">
        <v>1145</v>
      </c>
      <c r="P1407" s="18"/>
      <c r="Q1407" s="18"/>
      <c r="R1407" s="23">
        <v>0.0</v>
      </c>
      <c r="S1407" s="23">
        <v>0.0</v>
      </c>
      <c r="T1407" s="23">
        <f t="shared" si="3"/>
        <v>0</v>
      </c>
      <c r="U1407" s="23">
        <f t="shared" si="4"/>
        <v>0</v>
      </c>
      <c r="V1407" s="23">
        <f t="shared" si="5"/>
        <v>0</v>
      </c>
      <c r="W1407" s="24" t="str">
        <f t="shared" si="6"/>
        <v>#DIV/0!</v>
      </c>
    </row>
    <row r="1408">
      <c r="A1408" s="15" t="s">
        <v>3397</v>
      </c>
      <c r="B1408" s="18"/>
      <c r="C1408" s="15" t="s">
        <v>8122</v>
      </c>
      <c r="D1408" s="18"/>
      <c r="E1408" s="17" t="s">
        <v>3398</v>
      </c>
      <c r="F1408" s="18"/>
      <c r="G1408" s="18"/>
      <c r="H1408" s="15" t="s">
        <v>3399</v>
      </c>
      <c r="I1408" s="18"/>
      <c r="J1408" s="33"/>
      <c r="K1408" s="19" t="s">
        <v>3400</v>
      </c>
      <c r="L1408" s="19" t="s">
        <v>38</v>
      </c>
      <c r="M1408" s="20">
        <f t="shared" si="2"/>
        <v>0</v>
      </c>
      <c r="N1408" s="22"/>
      <c r="O1408" s="19" t="s">
        <v>1145</v>
      </c>
      <c r="P1408" s="18"/>
      <c r="Q1408" s="18"/>
      <c r="R1408" s="23">
        <v>0.0</v>
      </c>
      <c r="S1408" s="23">
        <v>0.0</v>
      </c>
      <c r="T1408" s="23">
        <f t="shared" si="3"/>
        <v>0</v>
      </c>
      <c r="U1408" s="23">
        <f t="shared" si="4"/>
        <v>0</v>
      </c>
      <c r="V1408" s="23">
        <f t="shared" si="5"/>
        <v>0</v>
      </c>
      <c r="W1408" s="24" t="str">
        <f t="shared" si="6"/>
        <v>#DIV/0!</v>
      </c>
    </row>
    <row r="1409">
      <c r="A1409" s="15" t="s">
        <v>3401</v>
      </c>
      <c r="B1409" s="18"/>
      <c r="C1409" s="15" t="s">
        <v>8123</v>
      </c>
      <c r="D1409" s="18"/>
      <c r="E1409" s="17" t="s">
        <v>3402</v>
      </c>
      <c r="F1409" s="18"/>
      <c r="G1409" s="18"/>
      <c r="H1409" s="15" t="s">
        <v>3403</v>
      </c>
      <c r="I1409" s="18"/>
      <c r="J1409" s="33"/>
      <c r="K1409" s="19" t="s">
        <v>2387</v>
      </c>
      <c r="L1409" s="19" t="s">
        <v>38</v>
      </c>
      <c r="M1409" s="20">
        <f t="shared" si="2"/>
        <v>0</v>
      </c>
      <c r="N1409" s="22"/>
      <c r="O1409" s="19" t="s">
        <v>1145</v>
      </c>
      <c r="P1409" s="18"/>
      <c r="Q1409" s="18"/>
      <c r="R1409" s="23">
        <v>0.0</v>
      </c>
      <c r="S1409" s="23">
        <v>0.0</v>
      </c>
      <c r="T1409" s="23">
        <f t="shared" si="3"/>
        <v>0</v>
      </c>
      <c r="U1409" s="23">
        <f t="shared" si="4"/>
        <v>0</v>
      </c>
      <c r="V1409" s="23">
        <f t="shared" si="5"/>
        <v>0</v>
      </c>
      <c r="W1409" s="24" t="str">
        <f t="shared" si="6"/>
        <v>#DIV/0!</v>
      </c>
    </row>
    <row r="1410">
      <c r="A1410" s="15" t="s">
        <v>3404</v>
      </c>
      <c r="B1410" s="18"/>
      <c r="C1410" s="15" t="s">
        <v>8124</v>
      </c>
      <c r="D1410" s="18"/>
      <c r="E1410" s="17" t="s">
        <v>3405</v>
      </c>
      <c r="F1410" s="18"/>
      <c r="G1410" s="18"/>
      <c r="H1410" s="15" t="s">
        <v>3406</v>
      </c>
      <c r="I1410" s="18"/>
      <c r="J1410" s="33"/>
      <c r="K1410" s="19" t="s">
        <v>2382</v>
      </c>
      <c r="L1410" s="19" t="s">
        <v>38</v>
      </c>
      <c r="M1410" s="20">
        <f t="shared" si="2"/>
        <v>0</v>
      </c>
      <c r="N1410" s="22"/>
      <c r="O1410" s="19" t="s">
        <v>1145</v>
      </c>
      <c r="P1410" s="18"/>
      <c r="Q1410" s="18"/>
      <c r="R1410" s="23">
        <v>0.0</v>
      </c>
      <c r="S1410" s="23">
        <v>0.0</v>
      </c>
      <c r="T1410" s="23">
        <f t="shared" si="3"/>
        <v>0</v>
      </c>
      <c r="U1410" s="23">
        <f t="shared" si="4"/>
        <v>0</v>
      </c>
      <c r="V1410" s="23">
        <f t="shared" si="5"/>
        <v>0</v>
      </c>
      <c r="W1410" s="24" t="str">
        <f t="shared" si="6"/>
        <v>#DIV/0!</v>
      </c>
    </row>
    <row r="1411">
      <c r="A1411" s="15" t="s">
        <v>3407</v>
      </c>
      <c r="B1411" s="18"/>
      <c r="C1411" s="15" t="s">
        <v>8125</v>
      </c>
      <c r="D1411" s="18"/>
      <c r="E1411" s="17" t="s">
        <v>3408</v>
      </c>
      <c r="F1411" s="18"/>
      <c r="G1411" s="18"/>
      <c r="H1411" s="15" t="s">
        <v>3409</v>
      </c>
      <c r="I1411" s="18"/>
      <c r="J1411" s="33"/>
      <c r="K1411" s="19" t="s">
        <v>2382</v>
      </c>
      <c r="L1411" s="19" t="s">
        <v>38</v>
      </c>
      <c r="M1411" s="20">
        <f t="shared" si="2"/>
        <v>0</v>
      </c>
      <c r="N1411" s="22"/>
      <c r="O1411" s="19" t="s">
        <v>1145</v>
      </c>
      <c r="P1411" s="18"/>
      <c r="Q1411" s="18"/>
      <c r="R1411" s="23">
        <v>0.0</v>
      </c>
      <c r="S1411" s="23">
        <v>0.0</v>
      </c>
      <c r="T1411" s="23">
        <f t="shared" si="3"/>
        <v>0</v>
      </c>
      <c r="U1411" s="23">
        <f t="shared" si="4"/>
        <v>0</v>
      </c>
      <c r="V1411" s="23">
        <f t="shared" si="5"/>
        <v>0</v>
      </c>
      <c r="W1411" s="24" t="str">
        <f t="shared" si="6"/>
        <v>#DIV/0!</v>
      </c>
    </row>
    <row r="1412">
      <c r="A1412" s="15" t="s">
        <v>3410</v>
      </c>
      <c r="B1412" s="18"/>
      <c r="C1412" s="15" t="s">
        <v>8126</v>
      </c>
      <c r="D1412" s="18"/>
      <c r="E1412" s="17" t="s">
        <v>3411</v>
      </c>
      <c r="F1412" s="18"/>
      <c r="G1412" s="18"/>
      <c r="H1412" s="15" t="s">
        <v>3412</v>
      </c>
      <c r="I1412" s="18"/>
      <c r="J1412" s="33"/>
      <c r="K1412" s="19" t="s">
        <v>2387</v>
      </c>
      <c r="L1412" s="19" t="s">
        <v>38</v>
      </c>
      <c r="M1412" s="20">
        <f t="shared" si="2"/>
        <v>0</v>
      </c>
      <c r="N1412" s="22"/>
      <c r="O1412" s="19" t="s">
        <v>1145</v>
      </c>
      <c r="P1412" s="18"/>
      <c r="Q1412" s="18"/>
      <c r="R1412" s="23">
        <v>0.0</v>
      </c>
      <c r="S1412" s="23">
        <v>0.0</v>
      </c>
      <c r="T1412" s="23">
        <f t="shared" si="3"/>
        <v>0</v>
      </c>
      <c r="U1412" s="23">
        <f t="shared" si="4"/>
        <v>0</v>
      </c>
      <c r="V1412" s="23">
        <f t="shared" si="5"/>
        <v>0</v>
      </c>
      <c r="W1412" s="24" t="str">
        <f t="shared" si="6"/>
        <v>#DIV/0!</v>
      </c>
    </row>
    <row r="1413">
      <c r="A1413" s="15" t="s">
        <v>3413</v>
      </c>
      <c r="B1413" s="18"/>
      <c r="C1413" s="15" t="s">
        <v>8127</v>
      </c>
      <c r="D1413" s="18"/>
      <c r="E1413" s="17" t="s">
        <v>3414</v>
      </c>
      <c r="F1413" s="18"/>
      <c r="G1413" s="18"/>
      <c r="H1413" s="15" t="s">
        <v>3415</v>
      </c>
      <c r="I1413" s="18"/>
      <c r="J1413" s="33"/>
      <c r="K1413" s="19" t="s">
        <v>2506</v>
      </c>
      <c r="L1413" s="19" t="s">
        <v>38</v>
      </c>
      <c r="M1413" s="20">
        <f t="shared" si="2"/>
        <v>0</v>
      </c>
      <c r="N1413" s="22"/>
      <c r="O1413" s="19" t="s">
        <v>1145</v>
      </c>
      <c r="P1413" s="18"/>
      <c r="Q1413" s="18"/>
      <c r="R1413" s="23">
        <v>0.0</v>
      </c>
      <c r="S1413" s="23">
        <v>0.0</v>
      </c>
      <c r="T1413" s="23">
        <f t="shared" si="3"/>
        <v>0</v>
      </c>
      <c r="U1413" s="23">
        <f t="shared" si="4"/>
        <v>0</v>
      </c>
      <c r="V1413" s="23">
        <f t="shared" si="5"/>
        <v>0</v>
      </c>
      <c r="W1413" s="24" t="str">
        <f t="shared" si="6"/>
        <v>#DIV/0!</v>
      </c>
    </row>
    <row r="1414">
      <c r="A1414" s="15" t="s">
        <v>3416</v>
      </c>
      <c r="B1414" s="18"/>
      <c r="C1414" s="15" t="s">
        <v>8128</v>
      </c>
      <c r="D1414" s="18"/>
      <c r="E1414" s="17" t="s">
        <v>3417</v>
      </c>
      <c r="F1414" s="18"/>
      <c r="G1414" s="18"/>
      <c r="H1414" s="15" t="s">
        <v>3418</v>
      </c>
      <c r="I1414" s="18"/>
      <c r="J1414" s="33"/>
      <c r="K1414" s="19" t="s">
        <v>2401</v>
      </c>
      <c r="L1414" s="19" t="s">
        <v>38</v>
      </c>
      <c r="M1414" s="20">
        <f t="shared" si="2"/>
        <v>0</v>
      </c>
      <c r="N1414" s="22"/>
      <c r="O1414" s="19" t="s">
        <v>1145</v>
      </c>
      <c r="P1414" s="18"/>
      <c r="Q1414" s="18"/>
      <c r="R1414" s="23">
        <v>0.0</v>
      </c>
      <c r="S1414" s="23">
        <v>0.0</v>
      </c>
      <c r="T1414" s="23">
        <f t="shared" si="3"/>
        <v>0</v>
      </c>
      <c r="U1414" s="23">
        <f t="shared" si="4"/>
        <v>0</v>
      </c>
      <c r="V1414" s="23">
        <f t="shared" si="5"/>
        <v>0</v>
      </c>
      <c r="W1414" s="24" t="str">
        <f t="shared" si="6"/>
        <v>#DIV/0!</v>
      </c>
    </row>
    <row r="1415">
      <c r="A1415" s="15" t="s">
        <v>3419</v>
      </c>
      <c r="B1415" s="18"/>
      <c r="C1415" s="15" t="s">
        <v>8129</v>
      </c>
      <c r="D1415" s="18"/>
      <c r="E1415" s="17" t="s">
        <v>3420</v>
      </c>
      <c r="F1415" s="18"/>
      <c r="G1415" s="18"/>
      <c r="H1415" s="15" t="s">
        <v>3421</v>
      </c>
      <c r="I1415" s="18"/>
      <c r="J1415" s="33"/>
      <c r="K1415" s="19" t="s">
        <v>2401</v>
      </c>
      <c r="L1415" s="19" t="s">
        <v>38</v>
      </c>
      <c r="M1415" s="20">
        <f t="shared" si="2"/>
        <v>0</v>
      </c>
      <c r="N1415" s="22"/>
      <c r="O1415" s="19" t="s">
        <v>1145</v>
      </c>
      <c r="P1415" s="18"/>
      <c r="Q1415" s="18"/>
      <c r="R1415" s="23">
        <v>0.0</v>
      </c>
      <c r="S1415" s="23">
        <v>0.0</v>
      </c>
      <c r="T1415" s="23">
        <f t="shared" si="3"/>
        <v>0</v>
      </c>
      <c r="U1415" s="23">
        <f t="shared" si="4"/>
        <v>0</v>
      </c>
      <c r="V1415" s="23">
        <f t="shared" si="5"/>
        <v>0</v>
      </c>
      <c r="W1415" s="24" t="str">
        <f t="shared" si="6"/>
        <v>#DIV/0!</v>
      </c>
    </row>
    <row r="1416">
      <c r="A1416" s="15" t="s">
        <v>3422</v>
      </c>
      <c r="B1416" s="18"/>
      <c r="C1416" s="15" t="s">
        <v>8130</v>
      </c>
      <c r="D1416" s="18"/>
      <c r="E1416" s="17" t="s">
        <v>3423</v>
      </c>
      <c r="F1416" s="18"/>
      <c r="G1416" s="18"/>
      <c r="H1416" s="15" t="s">
        <v>3424</v>
      </c>
      <c r="I1416" s="15" t="s">
        <v>3425</v>
      </c>
      <c r="J1416" s="33"/>
      <c r="K1416" s="19" t="s">
        <v>691</v>
      </c>
      <c r="L1416" s="19" t="s">
        <v>38</v>
      </c>
      <c r="M1416" s="20">
        <f t="shared" si="2"/>
        <v>0</v>
      </c>
      <c r="N1416" s="22"/>
      <c r="O1416" s="19" t="s">
        <v>1145</v>
      </c>
      <c r="P1416" s="18"/>
      <c r="Q1416" s="18"/>
      <c r="R1416" s="23">
        <v>0.0</v>
      </c>
      <c r="S1416" s="23">
        <v>0.0</v>
      </c>
      <c r="T1416" s="23">
        <f t="shared" si="3"/>
        <v>0</v>
      </c>
      <c r="U1416" s="23">
        <f t="shared" si="4"/>
        <v>0</v>
      </c>
      <c r="V1416" s="23">
        <f t="shared" si="5"/>
        <v>0</v>
      </c>
      <c r="W1416" s="24" t="str">
        <f t="shared" si="6"/>
        <v>#DIV/0!</v>
      </c>
    </row>
    <row r="1417">
      <c r="A1417" s="15" t="s">
        <v>3426</v>
      </c>
      <c r="B1417" s="18"/>
      <c r="C1417" s="15" t="s">
        <v>8131</v>
      </c>
      <c r="D1417" s="18"/>
      <c r="E1417" s="17" t="s">
        <v>3427</v>
      </c>
      <c r="F1417" s="18"/>
      <c r="G1417" s="18"/>
      <c r="H1417" s="15" t="s">
        <v>3428</v>
      </c>
      <c r="I1417" s="15" t="s">
        <v>3429</v>
      </c>
      <c r="J1417" s="33"/>
      <c r="K1417" s="19" t="s">
        <v>2396</v>
      </c>
      <c r="L1417" s="19" t="s">
        <v>38</v>
      </c>
      <c r="M1417" s="20">
        <f t="shared" si="2"/>
        <v>0</v>
      </c>
      <c r="N1417" s="22"/>
      <c r="O1417" s="19" t="s">
        <v>1145</v>
      </c>
      <c r="P1417" s="18"/>
      <c r="Q1417" s="18"/>
      <c r="R1417" s="23">
        <v>0.0</v>
      </c>
      <c r="S1417" s="23">
        <v>0.0</v>
      </c>
      <c r="T1417" s="23">
        <f t="shared" si="3"/>
        <v>0</v>
      </c>
      <c r="U1417" s="23">
        <f t="shared" si="4"/>
        <v>0</v>
      </c>
      <c r="V1417" s="23">
        <f t="shared" si="5"/>
        <v>0</v>
      </c>
      <c r="W1417" s="24" t="str">
        <f t="shared" si="6"/>
        <v>#DIV/0!</v>
      </c>
    </row>
    <row r="1418">
      <c r="A1418" s="15" t="s">
        <v>3430</v>
      </c>
      <c r="B1418" s="18"/>
      <c r="C1418" s="15" t="s">
        <v>8132</v>
      </c>
      <c r="D1418" s="18"/>
      <c r="E1418" s="17" t="s">
        <v>3431</v>
      </c>
      <c r="F1418" s="18"/>
      <c r="G1418" s="18"/>
      <c r="H1418" s="15" t="s">
        <v>3432</v>
      </c>
      <c r="I1418" s="18"/>
      <c r="J1418" s="33"/>
      <c r="K1418" s="19" t="s">
        <v>2401</v>
      </c>
      <c r="L1418" s="19" t="s">
        <v>38</v>
      </c>
      <c r="M1418" s="20">
        <f t="shared" si="2"/>
        <v>0</v>
      </c>
      <c r="N1418" s="22"/>
      <c r="O1418" s="19" t="s">
        <v>1145</v>
      </c>
      <c r="P1418" s="18"/>
      <c r="Q1418" s="18"/>
      <c r="R1418" s="23">
        <v>0.0</v>
      </c>
      <c r="S1418" s="23">
        <v>0.0</v>
      </c>
      <c r="T1418" s="23">
        <f t="shared" si="3"/>
        <v>0</v>
      </c>
      <c r="U1418" s="23">
        <f t="shared" si="4"/>
        <v>0</v>
      </c>
      <c r="V1418" s="23">
        <f t="shared" si="5"/>
        <v>0</v>
      </c>
      <c r="W1418" s="24" t="str">
        <f t="shared" si="6"/>
        <v>#DIV/0!</v>
      </c>
    </row>
    <row r="1419">
      <c r="A1419" s="15" t="s">
        <v>3433</v>
      </c>
      <c r="B1419" s="18"/>
      <c r="C1419" s="15" t="s">
        <v>8133</v>
      </c>
      <c r="D1419" s="18"/>
      <c r="E1419" s="17" t="s">
        <v>3434</v>
      </c>
      <c r="F1419" s="18"/>
      <c r="G1419" s="18"/>
      <c r="H1419" s="15" t="s">
        <v>3435</v>
      </c>
      <c r="I1419" s="15" t="s">
        <v>3436</v>
      </c>
      <c r="J1419" s="33"/>
      <c r="K1419" s="19" t="s">
        <v>2401</v>
      </c>
      <c r="L1419" s="19" t="s">
        <v>38</v>
      </c>
      <c r="M1419" s="20">
        <f t="shared" si="2"/>
        <v>0</v>
      </c>
      <c r="N1419" s="22"/>
      <c r="O1419" s="19" t="s">
        <v>1145</v>
      </c>
      <c r="P1419" s="18"/>
      <c r="Q1419" s="18"/>
      <c r="R1419" s="23">
        <v>0.0</v>
      </c>
      <c r="S1419" s="23">
        <v>0.0</v>
      </c>
      <c r="T1419" s="23">
        <f t="shared" si="3"/>
        <v>0</v>
      </c>
      <c r="U1419" s="23">
        <f t="shared" si="4"/>
        <v>0</v>
      </c>
      <c r="V1419" s="23">
        <f t="shared" si="5"/>
        <v>0</v>
      </c>
      <c r="W1419" s="24" t="str">
        <f t="shared" si="6"/>
        <v>#DIV/0!</v>
      </c>
    </row>
    <row r="1420">
      <c r="A1420" s="15" t="s">
        <v>3437</v>
      </c>
      <c r="B1420" s="18"/>
      <c r="C1420" s="15" t="s">
        <v>8134</v>
      </c>
      <c r="D1420" s="18"/>
      <c r="E1420" s="17" t="s">
        <v>3438</v>
      </c>
      <c r="F1420" s="18"/>
      <c r="G1420" s="18"/>
      <c r="H1420" s="15" t="s">
        <v>3439</v>
      </c>
      <c r="I1420" s="15" t="s">
        <v>3436</v>
      </c>
      <c r="J1420" s="33"/>
      <c r="K1420" s="19" t="s">
        <v>2401</v>
      </c>
      <c r="L1420" s="19" t="s">
        <v>38</v>
      </c>
      <c r="M1420" s="20">
        <f t="shared" si="2"/>
        <v>0</v>
      </c>
      <c r="N1420" s="22"/>
      <c r="O1420" s="19" t="s">
        <v>1145</v>
      </c>
      <c r="P1420" s="18"/>
      <c r="Q1420" s="18"/>
      <c r="R1420" s="23">
        <v>0.0</v>
      </c>
      <c r="S1420" s="23">
        <v>0.0</v>
      </c>
      <c r="T1420" s="23">
        <f t="shared" si="3"/>
        <v>0</v>
      </c>
      <c r="U1420" s="23">
        <f t="shared" si="4"/>
        <v>0</v>
      </c>
      <c r="V1420" s="23">
        <f t="shared" si="5"/>
        <v>0</v>
      </c>
      <c r="W1420" s="24" t="str">
        <f t="shared" si="6"/>
        <v>#DIV/0!</v>
      </c>
    </row>
    <row r="1421">
      <c r="A1421" s="15" t="s">
        <v>3440</v>
      </c>
      <c r="B1421" s="18"/>
      <c r="C1421" s="15" t="s">
        <v>8135</v>
      </c>
      <c r="D1421" s="18"/>
      <c r="E1421" s="17" t="s">
        <v>3441</v>
      </c>
      <c r="F1421" s="18"/>
      <c r="G1421" s="18"/>
      <c r="H1421" s="15" t="s">
        <v>3442</v>
      </c>
      <c r="I1421" s="15" t="s">
        <v>3443</v>
      </c>
      <c r="J1421" s="33"/>
      <c r="K1421" s="19" t="s">
        <v>2401</v>
      </c>
      <c r="L1421" s="19" t="s">
        <v>38</v>
      </c>
      <c r="M1421" s="20">
        <f t="shared" si="2"/>
        <v>0</v>
      </c>
      <c r="N1421" s="22"/>
      <c r="O1421" s="19" t="s">
        <v>1145</v>
      </c>
      <c r="P1421" s="18"/>
      <c r="Q1421" s="18"/>
      <c r="R1421" s="23">
        <v>0.0</v>
      </c>
      <c r="S1421" s="23">
        <v>0.0</v>
      </c>
      <c r="T1421" s="23">
        <f t="shared" si="3"/>
        <v>0</v>
      </c>
      <c r="U1421" s="23">
        <f t="shared" si="4"/>
        <v>0</v>
      </c>
      <c r="V1421" s="23">
        <f t="shared" si="5"/>
        <v>0</v>
      </c>
      <c r="W1421" s="24" t="str">
        <f t="shared" si="6"/>
        <v>#DIV/0!</v>
      </c>
    </row>
    <row r="1422">
      <c r="A1422" s="15" t="s">
        <v>3444</v>
      </c>
      <c r="B1422" s="18"/>
      <c r="C1422" s="15" t="s">
        <v>8136</v>
      </c>
      <c r="D1422" s="18"/>
      <c r="E1422" s="17" t="s">
        <v>3445</v>
      </c>
      <c r="F1422" s="18"/>
      <c r="G1422" s="18"/>
      <c r="H1422" s="15" t="s">
        <v>3446</v>
      </c>
      <c r="I1422" s="15" t="s">
        <v>3443</v>
      </c>
      <c r="J1422" s="33"/>
      <c r="K1422" s="19" t="s">
        <v>2401</v>
      </c>
      <c r="L1422" s="19" t="s">
        <v>38</v>
      </c>
      <c r="M1422" s="20">
        <f t="shared" si="2"/>
        <v>0</v>
      </c>
      <c r="N1422" s="22"/>
      <c r="O1422" s="19" t="s">
        <v>1145</v>
      </c>
      <c r="P1422" s="18"/>
      <c r="Q1422" s="18"/>
      <c r="R1422" s="23">
        <v>0.0</v>
      </c>
      <c r="S1422" s="23">
        <v>0.0</v>
      </c>
      <c r="T1422" s="23">
        <f t="shared" si="3"/>
        <v>0</v>
      </c>
      <c r="U1422" s="23">
        <f t="shared" si="4"/>
        <v>0</v>
      </c>
      <c r="V1422" s="23">
        <f t="shared" si="5"/>
        <v>0</v>
      </c>
      <c r="W1422" s="24" t="str">
        <f t="shared" si="6"/>
        <v>#DIV/0!</v>
      </c>
    </row>
    <row r="1423">
      <c r="A1423" s="15" t="s">
        <v>3447</v>
      </c>
      <c r="B1423" s="18"/>
      <c r="C1423" s="15" t="s">
        <v>8137</v>
      </c>
      <c r="D1423" s="18"/>
      <c r="E1423" s="17" t="s">
        <v>3448</v>
      </c>
      <c r="F1423" s="18"/>
      <c r="G1423" s="18"/>
      <c r="H1423" s="15" t="s">
        <v>3449</v>
      </c>
      <c r="I1423" s="15" t="s">
        <v>3450</v>
      </c>
      <c r="J1423" s="33"/>
      <c r="K1423" s="19" t="s">
        <v>2401</v>
      </c>
      <c r="L1423" s="19" t="s">
        <v>38</v>
      </c>
      <c r="M1423" s="20">
        <f t="shared" si="2"/>
        <v>0</v>
      </c>
      <c r="N1423" s="22"/>
      <c r="O1423" s="19" t="s">
        <v>1145</v>
      </c>
      <c r="P1423" s="18"/>
      <c r="Q1423" s="18"/>
      <c r="R1423" s="23">
        <v>0.0</v>
      </c>
      <c r="S1423" s="23">
        <v>0.0</v>
      </c>
      <c r="T1423" s="23">
        <f t="shared" si="3"/>
        <v>0</v>
      </c>
      <c r="U1423" s="23">
        <f t="shared" si="4"/>
        <v>0</v>
      </c>
      <c r="V1423" s="23">
        <f t="shared" si="5"/>
        <v>0</v>
      </c>
      <c r="W1423" s="24" t="str">
        <f t="shared" si="6"/>
        <v>#DIV/0!</v>
      </c>
    </row>
    <row r="1424">
      <c r="A1424" s="15" t="s">
        <v>3451</v>
      </c>
      <c r="B1424" s="18"/>
      <c r="C1424" s="15" t="s">
        <v>8138</v>
      </c>
      <c r="D1424" s="18"/>
      <c r="E1424" s="17" t="s">
        <v>3452</v>
      </c>
      <c r="F1424" s="18"/>
      <c r="G1424" s="18"/>
      <c r="H1424" s="15" t="s">
        <v>3453</v>
      </c>
      <c r="I1424" s="15" t="s">
        <v>3454</v>
      </c>
      <c r="J1424" s="33"/>
      <c r="K1424" s="19" t="s">
        <v>2401</v>
      </c>
      <c r="L1424" s="19" t="s">
        <v>38</v>
      </c>
      <c r="M1424" s="20">
        <f t="shared" si="2"/>
        <v>0</v>
      </c>
      <c r="N1424" s="22"/>
      <c r="O1424" s="19" t="s">
        <v>1145</v>
      </c>
      <c r="P1424" s="18"/>
      <c r="Q1424" s="18"/>
      <c r="R1424" s="23">
        <v>0.0</v>
      </c>
      <c r="S1424" s="23">
        <v>0.0</v>
      </c>
      <c r="T1424" s="23">
        <f t="shared" si="3"/>
        <v>0</v>
      </c>
      <c r="U1424" s="23">
        <f t="shared" si="4"/>
        <v>0</v>
      </c>
      <c r="V1424" s="23">
        <f t="shared" si="5"/>
        <v>0</v>
      </c>
      <c r="W1424" s="24" t="str">
        <f t="shared" si="6"/>
        <v>#DIV/0!</v>
      </c>
    </row>
    <row r="1425">
      <c r="A1425" s="15" t="s">
        <v>3455</v>
      </c>
      <c r="B1425" s="18"/>
      <c r="C1425" s="15" t="s">
        <v>8139</v>
      </c>
      <c r="D1425" s="18"/>
      <c r="E1425" s="17" t="s">
        <v>3456</v>
      </c>
      <c r="F1425" s="18"/>
      <c r="G1425" s="18"/>
      <c r="H1425" s="15" t="s">
        <v>3457</v>
      </c>
      <c r="I1425" s="15" t="s">
        <v>3458</v>
      </c>
      <c r="J1425" s="33"/>
      <c r="K1425" s="19" t="s">
        <v>2401</v>
      </c>
      <c r="L1425" s="19" t="s">
        <v>38</v>
      </c>
      <c r="M1425" s="20">
        <f t="shared" si="2"/>
        <v>0</v>
      </c>
      <c r="N1425" s="22"/>
      <c r="O1425" s="19" t="s">
        <v>1145</v>
      </c>
      <c r="P1425" s="18"/>
      <c r="Q1425" s="18"/>
      <c r="R1425" s="23">
        <v>0.0</v>
      </c>
      <c r="S1425" s="23">
        <v>0.0</v>
      </c>
      <c r="T1425" s="23">
        <f t="shared" si="3"/>
        <v>0</v>
      </c>
      <c r="U1425" s="23">
        <f t="shared" si="4"/>
        <v>0</v>
      </c>
      <c r="V1425" s="23">
        <f t="shared" si="5"/>
        <v>0</v>
      </c>
      <c r="W1425" s="24" t="str">
        <f t="shared" si="6"/>
        <v>#DIV/0!</v>
      </c>
    </row>
    <row r="1426">
      <c r="A1426" s="15" t="s">
        <v>3459</v>
      </c>
      <c r="B1426" s="18"/>
      <c r="C1426" s="15" t="s">
        <v>8140</v>
      </c>
      <c r="D1426" s="18"/>
      <c r="E1426" s="17" t="s">
        <v>3460</v>
      </c>
      <c r="F1426" s="18"/>
      <c r="G1426" s="18"/>
      <c r="H1426" s="15" t="s">
        <v>3461</v>
      </c>
      <c r="I1426" s="15" t="s">
        <v>3458</v>
      </c>
      <c r="J1426" s="33"/>
      <c r="K1426" s="19" t="s">
        <v>2401</v>
      </c>
      <c r="L1426" s="19" t="s">
        <v>38</v>
      </c>
      <c r="M1426" s="20">
        <f t="shared" si="2"/>
        <v>0</v>
      </c>
      <c r="N1426" s="22"/>
      <c r="O1426" s="19" t="s">
        <v>1145</v>
      </c>
      <c r="P1426" s="18"/>
      <c r="Q1426" s="18"/>
      <c r="R1426" s="23">
        <v>0.0</v>
      </c>
      <c r="S1426" s="23">
        <v>0.0</v>
      </c>
      <c r="T1426" s="23">
        <f t="shared" si="3"/>
        <v>0</v>
      </c>
      <c r="U1426" s="23">
        <f t="shared" si="4"/>
        <v>0</v>
      </c>
      <c r="V1426" s="23">
        <f t="shared" si="5"/>
        <v>0</v>
      </c>
      <c r="W1426" s="24" t="str">
        <f t="shared" si="6"/>
        <v>#DIV/0!</v>
      </c>
    </row>
    <row r="1427">
      <c r="A1427" s="15" t="s">
        <v>3462</v>
      </c>
      <c r="B1427" s="18"/>
      <c r="C1427" s="15" t="s">
        <v>8141</v>
      </c>
      <c r="D1427" s="18"/>
      <c r="E1427" s="17" t="s">
        <v>3463</v>
      </c>
      <c r="F1427" s="18"/>
      <c r="G1427" s="18"/>
      <c r="H1427" s="15" t="s">
        <v>3464</v>
      </c>
      <c r="I1427" s="18"/>
      <c r="J1427" s="33"/>
      <c r="K1427" s="19" t="s">
        <v>2401</v>
      </c>
      <c r="L1427" s="19" t="s">
        <v>38</v>
      </c>
      <c r="M1427" s="20">
        <f t="shared" si="2"/>
        <v>0</v>
      </c>
      <c r="N1427" s="22"/>
      <c r="O1427" s="19" t="s">
        <v>1145</v>
      </c>
      <c r="P1427" s="18"/>
      <c r="Q1427" s="18"/>
      <c r="R1427" s="23">
        <v>0.0</v>
      </c>
      <c r="S1427" s="23">
        <v>0.0</v>
      </c>
      <c r="T1427" s="23">
        <f t="shared" si="3"/>
        <v>0</v>
      </c>
      <c r="U1427" s="23">
        <f t="shared" si="4"/>
        <v>0</v>
      </c>
      <c r="V1427" s="23">
        <f t="shared" si="5"/>
        <v>0</v>
      </c>
      <c r="W1427" s="24" t="str">
        <f t="shared" si="6"/>
        <v>#DIV/0!</v>
      </c>
    </row>
    <row r="1428">
      <c r="A1428" s="15" t="s">
        <v>3465</v>
      </c>
      <c r="B1428" s="18"/>
      <c r="C1428" s="15" t="s">
        <v>8142</v>
      </c>
      <c r="D1428" s="18"/>
      <c r="E1428" s="17" t="s">
        <v>3466</v>
      </c>
      <c r="F1428" s="18"/>
      <c r="G1428" s="18"/>
      <c r="H1428" s="15" t="s">
        <v>3467</v>
      </c>
      <c r="I1428" s="18"/>
      <c r="J1428" s="33"/>
      <c r="K1428" s="19" t="s">
        <v>2401</v>
      </c>
      <c r="L1428" s="19" t="s">
        <v>38</v>
      </c>
      <c r="M1428" s="20">
        <f t="shared" si="2"/>
        <v>0</v>
      </c>
      <c r="N1428" s="22"/>
      <c r="O1428" s="19" t="s">
        <v>1145</v>
      </c>
      <c r="P1428" s="18"/>
      <c r="Q1428" s="18"/>
      <c r="R1428" s="23">
        <v>0.0</v>
      </c>
      <c r="S1428" s="23">
        <v>0.0</v>
      </c>
      <c r="T1428" s="23">
        <f t="shared" si="3"/>
        <v>0</v>
      </c>
      <c r="U1428" s="23">
        <f t="shared" si="4"/>
        <v>0</v>
      </c>
      <c r="V1428" s="23">
        <f t="shared" si="5"/>
        <v>0</v>
      </c>
      <c r="W1428" s="24" t="str">
        <f t="shared" si="6"/>
        <v>#DIV/0!</v>
      </c>
    </row>
    <row r="1429">
      <c r="A1429" s="15" t="s">
        <v>3468</v>
      </c>
      <c r="B1429" s="18"/>
      <c r="C1429" s="15" t="s">
        <v>8143</v>
      </c>
      <c r="D1429" s="18"/>
      <c r="E1429" s="17" t="s">
        <v>3469</v>
      </c>
      <c r="F1429" s="18"/>
      <c r="G1429" s="18"/>
      <c r="H1429" s="15" t="s">
        <v>3470</v>
      </c>
      <c r="I1429" s="15" t="s">
        <v>3471</v>
      </c>
      <c r="J1429" s="33"/>
      <c r="K1429" s="19" t="s">
        <v>2401</v>
      </c>
      <c r="L1429" s="19" t="s">
        <v>38</v>
      </c>
      <c r="M1429" s="20">
        <f t="shared" si="2"/>
        <v>0</v>
      </c>
      <c r="N1429" s="22"/>
      <c r="O1429" s="19" t="s">
        <v>1145</v>
      </c>
      <c r="P1429" s="18"/>
      <c r="Q1429" s="18"/>
      <c r="R1429" s="23">
        <v>0.0</v>
      </c>
      <c r="S1429" s="23">
        <v>0.0</v>
      </c>
      <c r="T1429" s="23">
        <f t="shared" si="3"/>
        <v>0</v>
      </c>
      <c r="U1429" s="23">
        <f t="shared" si="4"/>
        <v>0</v>
      </c>
      <c r="V1429" s="23">
        <f t="shared" si="5"/>
        <v>0</v>
      </c>
      <c r="W1429" s="24" t="str">
        <f t="shared" si="6"/>
        <v>#DIV/0!</v>
      </c>
    </row>
    <row r="1430">
      <c r="A1430" s="15" t="s">
        <v>3472</v>
      </c>
      <c r="B1430" s="18"/>
      <c r="C1430" s="15" t="s">
        <v>8144</v>
      </c>
      <c r="D1430" s="18"/>
      <c r="E1430" s="17" t="s">
        <v>3473</v>
      </c>
      <c r="F1430" s="18"/>
      <c r="G1430" s="18"/>
      <c r="H1430" s="15" t="s">
        <v>3474</v>
      </c>
      <c r="I1430" s="15" t="s">
        <v>3475</v>
      </c>
      <c r="J1430" s="33"/>
      <c r="K1430" s="19" t="s">
        <v>2401</v>
      </c>
      <c r="L1430" s="19" t="s">
        <v>38</v>
      </c>
      <c r="M1430" s="20">
        <f t="shared" si="2"/>
        <v>0</v>
      </c>
      <c r="N1430" s="22"/>
      <c r="O1430" s="19" t="s">
        <v>1145</v>
      </c>
      <c r="P1430" s="18"/>
      <c r="Q1430" s="18"/>
      <c r="R1430" s="23">
        <v>0.0</v>
      </c>
      <c r="S1430" s="23">
        <v>0.0</v>
      </c>
      <c r="T1430" s="23">
        <f t="shared" si="3"/>
        <v>0</v>
      </c>
      <c r="U1430" s="23">
        <f t="shared" si="4"/>
        <v>0</v>
      </c>
      <c r="V1430" s="23">
        <f t="shared" si="5"/>
        <v>0</v>
      </c>
      <c r="W1430" s="24" t="str">
        <f t="shared" si="6"/>
        <v>#DIV/0!</v>
      </c>
    </row>
    <row r="1431">
      <c r="A1431" s="15" t="s">
        <v>3476</v>
      </c>
      <c r="B1431" s="18"/>
      <c r="C1431" s="15" t="s">
        <v>8145</v>
      </c>
      <c r="D1431" s="18"/>
      <c r="E1431" s="17" t="s">
        <v>3477</v>
      </c>
      <c r="F1431" s="18"/>
      <c r="G1431" s="18"/>
      <c r="H1431" s="15" t="s">
        <v>3478</v>
      </c>
      <c r="I1431" s="18"/>
      <c r="J1431" s="33"/>
      <c r="K1431" s="19" t="s">
        <v>2401</v>
      </c>
      <c r="L1431" s="19" t="s">
        <v>38</v>
      </c>
      <c r="M1431" s="20">
        <f t="shared" si="2"/>
        <v>0</v>
      </c>
      <c r="N1431" s="22"/>
      <c r="O1431" s="19" t="s">
        <v>1145</v>
      </c>
      <c r="P1431" s="18"/>
      <c r="Q1431" s="18"/>
      <c r="R1431" s="23">
        <v>0.0</v>
      </c>
      <c r="S1431" s="23">
        <v>0.0</v>
      </c>
      <c r="T1431" s="23">
        <f t="shared" si="3"/>
        <v>0</v>
      </c>
      <c r="U1431" s="23">
        <f t="shared" si="4"/>
        <v>0</v>
      </c>
      <c r="V1431" s="23">
        <f t="shared" si="5"/>
        <v>0</v>
      </c>
      <c r="W1431" s="24" t="str">
        <f t="shared" si="6"/>
        <v>#DIV/0!</v>
      </c>
    </row>
    <row r="1432">
      <c r="A1432" s="15" t="s">
        <v>3479</v>
      </c>
      <c r="B1432" s="18"/>
      <c r="C1432" s="15" t="s">
        <v>8146</v>
      </c>
      <c r="D1432" s="18"/>
      <c r="E1432" s="17" t="s">
        <v>3480</v>
      </c>
      <c r="F1432" s="18"/>
      <c r="G1432" s="18"/>
      <c r="H1432" s="15" t="s">
        <v>3481</v>
      </c>
      <c r="I1432" s="15" t="s">
        <v>3482</v>
      </c>
      <c r="J1432" s="33"/>
      <c r="K1432" s="19" t="s">
        <v>2401</v>
      </c>
      <c r="L1432" s="19" t="s">
        <v>38</v>
      </c>
      <c r="M1432" s="20">
        <f t="shared" si="2"/>
        <v>0</v>
      </c>
      <c r="N1432" s="22"/>
      <c r="O1432" s="19" t="s">
        <v>1145</v>
      </c>
      <c r="P1432" s="18"/>
      <c r="Q1432" s="18"/>
      <c r="R1432" s="23">
        <v>0.0</v>
      </c>
      <c r="S1432" s="23">
        <v>0.0</v>
      </c>
      <c r="T1432" s="23">
        <f t="shared" si="3"/>
        <v>0</v>
      </c>
      <c r="U1432" s="23">
        <f t="shared" si="4"/>
        <v>0</v>
      </c>
      <c r="V1432" s="23">
        <f t="shared" si="5"/>
        <v>0</v>
      </c>
      <c r="W1432" s="24" t="str">
        <f t="shared" si="6"/>
        <v>#DIV/0!</v>
      </c>
    </row>
    <row r="1433">
      <c r="A1433" s="15" t="s">
        <v>3483</v>
      </c>
      <c r="B1433" s="18"/>
      <c r="C1433" s="15" t="s">
        <v>8147</v>
      </c>
      <c r="D1433" s="18"/>
      <c r="E1433" s="17" t="s">
        <v>3484</v>
      </c>
      <c r="F1433" s="18"/>
      <c r="G1433" s="18"/>
      <c r="H1433" s="15" t="s">
        <v>3485</v>
      </c>
      <c r="I1433" s="15" t="s">
        <v>3486</v>
      </c>
      <c r="J1433" s="33"/>
      <c r="K1433" s="19" t="s">
        <v>2401</v>
      </c>
      <c r="L1433" s="19" t="s">
        <v>38</v>
      </c>
      <c r="M1433" s="20">
        <f t="shared" si="2"/>
        <v>0</v>
      </c>
      <c r="N1433" s="22"/>
      <c r="O1433" s="19" t="s">
        <v>1145</v>
      </c>
      <c r="P1433" s="18"/>
      <c r="Q1433" s="18"/>
      <c r="R1433" s="23">
        <v>0.0</v>
      </c>
      <c r="S1433" s="23">
        <v>0.0</v>
      </c>
      <c r="T1433" s="23">
        <f t="shared" si="3"/>
        <v>0</v>
      </c>
      <c r="U1433" s="23">
        <f t="shared" si="4"/>
        <v>0</v>
      </c>
      <c r="V1433" s="23">
        <f t="shared" si="5"/>
        <v>0</v>
      </c>
      <c r="W1433" s="24" t="str">
        <f t="shared" si="6"/>
        <v>#DIV/0!</v>
      </c>
    </row>
    <row r="1434">
      <c r="A1434" s="15" t="s">
        <v>3487</v>
      </c>
      <c r="B1434" s="18"/>
      <c r="C1434" s="15" t="s">
        <v>8148</v>
      </c>
      <c r="D1434" s="18"/>
      <c r="E1434" s="17" t="s">
        <v>3488</v>
      </c>
      <c r="F1434" s="18"/>
      <c r="G1434" s="18"/>
      <c r="H1434" s="15" t="s">
        <v>3489</v>
      </c>
      <c r="I1434" s="18"/>
      <c r="J1434" s="33"/>
      <c r="K1434" s="19" t="s">
        <v>2401</v>
      </c>
      <c r="L1434" s="19" t="s">
        <v>38</v>
      </c>
      <c r="M1434" s="20">
        <f t="shared" si="2"/>
        <v>0</v>
      </c>
      <c r="N1434" s="22"/>
      <c r="O1434" s="19" t="s">
        <v>1145</v>
      </c>
      <c r="P1434" s="18"/>
      <c r="Q1434" s="18"/>
      <c r="R1434" s="23">
        <v>0.0</v>
      </c>
      <c r="S1434" s="23">
        <v>0.0</v>
      </c>
      <c r="T1434" s="23">
        <f t="shared" si="3"/>
        <v>0</v>
      </c>
      <c r="U1434" s="23">
        <f t="shared" si="4"/>
        <v>0</v>
      </c>
      <c r="V1434" s="23">
        <f t="shared" si="5"/>
        <v>0</v>
      </c>
      <c r="W1434" s="24" t="str">
        <f t="shared" si="6"/>
        <v>#DIV/0!</v>
      </c>
    </row>
    <row r="1435">
      <c r="A1435" s="15" t="s">
        <v>3490</v>
      </c>
      <c r="B1435" s="18"/>
      <c r="C1435" s="15" t="s">
        <v>8149</v>
      </c>
      <c r="D1435" s="18"/>
      <c r="E1435" s="17" t="s">
        <v>3491</v>
      </c>
      <c r="F1435" s="18"/>
      <c r="G1435" s="18"/>
      <c r="H1435" s="15" t="s">
        <v>3492</v>
      </c>
      <c r="I1435" s="15" t="s">
        <v>3493</v>
      </c>
      <c r="J1435" s="33"/>
      <c r="K1435" s="19" t="s">
        <v>2401</v>
      </c>
      <c r="L1435" s="19" t="s">
        <v>38</v>
      </c>
      <c r="M1435" s="20">
        <f t="shared" si="2"/>
        <v>0</v>
      </c>
      <c r="N1435" s="22"/>
      <c r="O1435" s="19" t="s">
        <v>1145</v>
      </c>
      <c r="P1435" s="18"/>
      <c r="Q1435" s="18"/>
      <c r="R1435" s="23">
        <v>0.0</v>
      </c>
      <c r="S1435" s="23">
        <v>0.0</v>
      </c>
      <c r="T1435" s="23">
        <f t="shared" si="3"/>
        <v>0</v>
      </c>
      <c r="U1435" s="23">
        <f t="shared" si="4"/>
        <v>0</v>
      </c>
      <c r="V1435" s="23">
        <f t="shared" si="5"/>
        <v>0</v>
      </c>
      <c r="W1435" s="24" t="str">
        <f t="shared" si="6"/>
        <v>#DIV/0!</v>
      </c>
    </row>
    <row r="1436">
      <c r="A1436" s="15" t="s">
        <v>3494</v>
      </c>
      <c r="B1436" s="18"/>
      <c r="C1436" s="15" t="s">
        <v>8150</v>
      </c>
      <c r="D1436" s="18"/>
      <c r="E1436" s="17" t="s">
        <v>3495</v>
      </c>
      <c r="F1436" s="18"/>
      <c r="G1436" s="18"/>
      <c r="H1436" s="15" t="s">
        <v>3496</v>
      </c>
      <c r="I1436" s="15" t="s">
        <v>3493</v>
      </c>
      <c r="J1436" s="33"/>
      <c r="K1436" s="19" t="s">
        <v>2401</v>
      </c>
      <c r="L1436" s="19" t="s">
        <v>38</v>
      </c>
      <c r="M1436" s="20">
        <f t="shared" si="2"/>
        <v>0</v>
      </c>
      <c r="N1436" s="22"/>
      <c r="O1436" s="19" t="s">
        <v>1145</v>
      </c>
      <c r="P1436" s="18"/>
      <c r="Q1436" s="18"/>
      <c r="R1436" s="23">
        <v>0.0</v>
      </c>
      <c r="S1436" s="23">
        <v>0.0</v>
      </c>
      <c r="T1436" s="23">
        <f t="shared" si="3"/>
        <v>0</v>
      </c>
      <c r="U1436" s="23">
        <f t="shared" si="4"/>
        <v>0</v>
      </c>
      <c r="V1436" s="23">
        <f t="shared" si="5"/>
        <v>0</v>
      </c>
      <c r="W1436" s="24" t="str">
        <f t="shared" si="6"/>
        <v>#DIV/0!</v>
      </c>
    </row>
    <row r="1437">
      <c r="A1437" s="15" t="s">
        <v>3497</v>
      </c>
      <c r="B1437" s="18"/>
      <c r="C1437" s="15" t="s">
        <v>8151</v>
      </c>
      <c r="D1437" s="18"/>
      <c r="E1437" s="17" t="s">
        <v>3498</v>
      </c>
      <c r="F1437" s="18"/>
      <c r="G1437" s="18"/>
      <c r="H1437" s="15" t="s">
        <v>3499</v>
      </c>
      <c r="I1437" s="15" t="s">
        <v>3500</v>
      </c>
      <c r="J1437" s="33"/>
      <c r="K1437" s="19" t="s">
        <v>2401</v>
      </c>
      <c r="L1437" s="19" t="s">
        <v>38</v>
      </c>
      <c r="M1437" s="20">
        <f t="shared" si="2"/>
        <v>0</v>
      </c>
      <c r="N1437" s="22"/>
      <c r="O1437" s="19" t="s">
        <v>1145</v>
      </c>
      <c r="P1437" s="18"/>
      <c r="Q1437" s="18"/>
      <c r="R1437" s="23">
        <v>0.0</v>
      </c>
      <c r="S1437" s="23">
        <v>0.0</v>
      </c>
      <c r="T1437" s="23">
        <f t="shared" si="3"/>
        <v>0</v>
      </c>
      <c r="U1437" s="23">
        <f t="shared" si="4"/>
        <v>0</v>
      </c>
      <c r="V1437" s="23">
        <f t="shared" si="5"/>
        <v>0</v>
      </c>
      <c r="W1437" s="24" t="str">
        <f t="shared" si="6"/>
        <v>#DIV/0!</v>
      </c>
    </row>
    <row r="1438">
      <c r="A1438" s="15" t="s">
        <v>3501</v>
      </c>
      <c r="B1438" s="18"/>
      <c r="C1438" s="15" t="s">
        <v>8152</v>
      </c>
      <c r="D1438" s="18"/>
      <c r="E1438" s="17" t="s">
        <v>3502</v>
      </c>
      <c r="F1438" s="18"/>
      <c r="G1438" s="18"/>
      <c r="H1438" s="15" t="s">
        <v>3503</v>
      </c>
      <c r="I1438" s="15" t="s">
        <v>3504</v>
      </c>
      <c r="J1438" s="33"/>
      <c r="K1438" s="19" t="s">
        <v>2401</v>
      </c>
      <c r="L1438" s="19" t="s">
        <v>38</v>
      </c>
      <c r="M1438" s="20">
        <f t="shared" si="2"/>
        <v>0</v>
      </c>
      <c r="N1438" s="22"/>
      <c r="O1438" s="19" t="s">
        <v>1145</v>
      </c>
      <c r="P1438" s="18"/>
      <c r="Q1438" s="18"/>
      <c r="R1438" s="23">
        <v>0.0</v>
      </c>
      <c r="S1438" s="23">
        <v>0.0</v>
      </c>
      <c r="T1438" s="23">
        <f t="shared" si="3"/>
        <v>0</v>
      </c>
      <c r="U1438" s="23">
        <f t="shared" si="4"/>
        <v>0</v>
      </c>
      <c r="V1438" s="23">
        <f t="shared" si="5"/>
        <v>0</v>
      </c>
      <c r="W1438" s="24" t="str">
        <f t="shared" si="6"/>
        <v>#DIV/0!</v>
      </c>
    </row>
    <row r="1439">
      <c r="A1439" s="15" t="s">
        <v>3505</v>
      </c>
      <c r="B1439" s="18"/>
      <c r="C1439" s="15" t="s">
        <v>8153</v>
      </c>
      <c r="D1439" s="18"/>
      <c r="E1439" s="17" t="s">
        <v>3506</v>
      </c>
      <c r="F1439" s="18"/>
      <c r="G1439" s="18"/>
      <c r="H1439" s="15" t="s">
        <v>3507</v>
      </c>
      <c r="I1439" s="15" t="s">
        <v>3508</v>
      </c>
      <c r="J1439" s="33"/>
      <c r="K1439" s="19" t="s">
        <v>2401</v>
      </c>
      <c r="L1439" s="19" t="s">
        <v>38</v>
      </c>
      <c r="M1439" s="20">
        <f t="shared" si="2"/>
        <v>0</v>
      </c>
      <c r="N1439" s="22"/>
      <c r="O1439" s="19" t="s">
        <v>1145</v>
      </c>
      <c r="P1439" s="18"/>
      <c r="Q1439" s="18"/>
      <c r="R1439" s="23">
        <v>0.0</v>
      </c>
      <c r="S1439" s="23">
        <v>0.0</v>
      </c>
      <c r="T1439" s="23">
        <f t="shared" si="3"/>
        <v>0</v>
      </c>
      <c r="U1439" s="23">
        <f t="shared" si="4"/>
        <v>0</v>
      </c>
      <c r="V1439" s="23">
        <f t="shared" si="5"/>
        <v>0</v>
      </c>
      <c r="W1439" s="24" t="str">
        <f t="shared" si="6"/>
        <v>#DIV/0!</v>
      </c>
    </row>
    <row r="1440">
      <c r="A1440" s="15" t="s">
        <v>3509</v>
      </c>
      <c r="B1440" s="18"/>
      <c r="C1440" s="15" t="s">
        <v>8154</v>
      </c>
      <c r="D1440" s="18"/>
      <c r="E1440" s="17" t="s">
        <v>3510</v>
      </c>
      <c r="F1440" s="18"/>
      <c r="G1440" s="18"/>
      <c r="H1440" s="15" t="s">
        <v>3511</v>
      </c>
      <c r="I1440" s="15" t="s">
        <v>3508</v>
      </c>
      <c r="J1440" s="33"/>
      <c r="K1440" s="19" t="s">
        <v>2401</v>
      </c>
      <c r="L1440" s="19" t="s">
        <v>38</v>
      </c>
      <c r="M1440" s="20">
        <f t="shared" si="2"/>
        <v>0</v>
      </c>
      <c r="N1440" s="22"/>
      <c r="O1440" s="19" t="s">
        <v>1145</v>
      </c>
      <c r="P1440" s="18"/>
      <c r="Q1440" s="18"/>
      <c r="R1440" s="23">
        <v>0.0</v>
      </c>
      <c r="S1440" s="23">
        <v>0.0</v>
      </c>
      <c r="T1440" s="23">
        <f t="shared" si="3"/>
        <v>0</v>
      </c>
      <c r="U1440" s="23">
        <f t="shared" si="4"/>
        <v>0</v>
      </c>
      <c r="V1440" s="23">
        <f t="shared" si="5"/>
        <v>0</v>
      </c>
      <c r="W1440" s="24" t="str">
        <f t="shared" si="6"/>
        <v>#DIV/0!</v>
      </c>
    </row>
    <row r="1441">
      <c r="A1441" s="15" t="s">
        <v>3512</v>
      </c>
      <c r="B1441" s="18"/>
      <c r="C1441" s="15" t="s">
        <v>8155</v>
      </c>
      <c r="D1441" s="18"/>
      <c r="E1441" s="17" t="s">
        <v>3513</v>
      </c>
      <c r="F1441" s="18"/>
      <c r="G1441" s="18"/>
      <c r="H1441" s="15" t="s">
        <v>3514</v>
      </c>
      <c r="I1441" s="18"/>
      <c r="J1441" s="33"/>
      <c r="K1441" s="19" t="s">
        <v>2401</v>
      </c>
      <c r="L1441" s="19" t="s">
        <v>38</v>
      </c>
      <c r="M1441" s="20">
        <f t="shared" si="2"/>
        <v>0</v>
      </c>
      <c r="N1441" s="22"/>
      <c r="O1441" s="19" t="s">
        <v>1145</v>
      </c>
      <c r="P1441" s="18"/>
      <c r="Q1441" s="18"/>
      <c r="R1441" s="23">
        <v>0.0</v>
      </c>
      <c r="S1441" s="23">
        <v>0.0</v>
      </c>
      <c r="T1441" s="23">
        <f t="shared" si="3"/>
        <v>0</v>
      </c>
      <c r="U1441" s="23">
        <f t="shared" si="4"/>
        <v>0</v>
      </c>
      <c r="V1441" s="23">
        <f t="shared" si="5"/>
        <v>0</v>
      </c>
      <c r="W1441" s="24" t="str">
        <f t="shared" si="6"/>
        <v>#DIV/0!</v>
      </c>
    </row>
    <row r="1442">
      <c r="A1442" s="15" t="s">
        <v>3515</v>
      </c>
      <c r="B1442" s="18"/>
      <c r="C1442" s="15" t="s">
        <v>8156</v>
      </c>
      <c r="D1442" s="18"/>
      <c r="E1442" s="17" t="s">
        <v>3516</v>
      </c>
      <c r="F1442" s="18"/>
      <c r="G1442" s="18"/>
      <c r="H1442" s="15" t="s">
        <v>3517</v>
      </c>
      <c r="I1442" s="18"/>
      <c r="J1442" s="33"/>
      <c r="K1442" s="19" t="s">
        <v>2401</v>
      </c>
      <c r="L1442" s="19" t="s">
        <v>38</v>
      </c>
      <c r="M1442" s="20">
        <f t="shared" si="2"/>
        <v>0</v>
      </c>
      <c r="N1442" s="22"/>
      <c r="O1442" s="19" t="s">
        <v>1145</v>
      </c>
      <c r="P1442" s="18"/>
      <c r="Q1442" s="18"/>
      <c r="R1442" s="23">
        <v>0.0</v>
      </c>
      <c r="S1442" s="23">
        <v>0.0</v>
      </c>
      <c r="T1442" s="23">
        <f t="shared" si="3"/>
        <v>0</v>
      </c>
      <c r="U1442" s="23">
        <f t="shared" si="4"/>
        <v>0</v>
      </c>
      <c r="V1442" s="23">
        <f t="shared" si="5"/>
        <v>0</v>
      </c>
      <c r="W1442" s="24" t="str">
        <f t="shared" si="6"/>
        <v>#DIV/0!</v>
      </c>
    </row>
    <row r="1443">
      <c r="A1443" s="15" t="s">
        <v>3518</v>
      </c>
      <c r="B1443" s="18"/>
      <c r="C1443" s="15" t="s">
        <v>8157</v>
      </c>
      <c r="D1443" s="18"/>
      <c r="E1443" s="17" t="s">
        <v>3519</v>
      </c>
      <c r="F1443" s="18"/>
      <c r="G1443" s="18"/>
      <c r="H1443" s="15" t="s">
        <v>3520</v>
      </c>
      <c r="I1443" s="18"/>
      <c r="J1443" s="33"/>
      <c r="K1443" s="19" t="s">
        <v>3521</v>
      </c>
      <c r="L1443" s="19" t="s">
        <v>38</v>
      </c>
      <c r="M1443" s="20">
        <f t="shared" si="2"/>
        <v>0</v>
      </c>
      <c r="N1443" s="22"/>
      <c r="O1443" s="19" t="s">
        <v>1145</v>
      </c>
      <c r="P1443" s="18"/>
      <c r="Q1443" s="18"/>
      <c r="R1443" s="23">
        <v>0.0</v>
      </c>
      <c r="S1443" s="23">
        <v>0.0</v>
      </c>
      <c r="T1443" s="23">
        <f t="shared" si="3"/>
        <v>0</v>
      </c>
      <c r="U1443" s="23">
        <f t="shared" si="4"/>
        <v>0</v>
      </c>
      <c r="V1443" s="23">
        <f t="shared" si="5"/>
        <v>0</v>
      </c>
      <c r="W1443" s="24" t="str">
        <f t="shared" si="6"/>
        <v>#DIV/0!</v>
      </c>
    </row>
    <row r="1444">
      <c r="A1444" s="15" t="s">
        <v>3522</v>
      </c>
      <c r="B1444" s="18"/>
      <c r="C1444" s="15" t="s">
        <v>8158</v>
      </c>
      <c r="D1444" s="18"/>
      <c r="E1444" s="17" t="s">
        <v>3523</v>
      </c>
      <c r="F1444" s="18"/>
      <c r="G1444" s="18"/>
      <c r="H1444" s="15" t="s">
        <v>3524</v>
      </c>
      <c r="I1444" s="18"/>
      <c r="J1444" s="33"/>
      <c r="K1444" s="19" t="s">
        <v>2382</v>
      </c>
      <c r="L1444" s="19" t="s">
        <v>38</v>
      </c>
      <c r="M1444" s="20">
        <f t="shared" si="2"/>
        <v>0</v>
      </c>
      <c r="N1444" s="22"/>
      <c r="O1444" s="19" t="s">
        <v>1145</v>
      </c>
      <c r="P1444" s="18"/>
      <c r="Q1444" s="18"/>
      <c r="R1444" s="23">
        <v>0.0</v>
      </c>
      <c r="S1444" s="23">
        <v>0.0</v>
      </c>
      <c r="T1444" s="23">
        <f t="shared" si="3"/>
        <v>0</v>
      </c>
      <c r="U1444" s="23">
        <f t="shared" si="4"/>
        <v>0</v>
      </c>
      <c r="V1444" s="23">
        <f t="shared" si="5"/>
        <v>0</v>
      </c>
      <c r="W1444" s="24" t="str">
        <f t="shared" si="6"/>
        <v>#DIV/0!</v>
      </c>
    </row>
    <row r="1445">
      <c r="A1445" s="15" t="s">
        <v>3525</v>
      </c>
      <c r="B1445" s="18"/>
      <c r="C1445" s="15" t="s">
        <v>8159</v>
      </c>
      <c r="D1445" s="18"/>
      <c r="E1445" s="17" t="s">
        <v>3526</v>
      </c>
      <c r="F1445" s="18"/>
      <c r="G1445" s="18"/>
      <c r="H1445" s="15" t="s">
        <v>3527</v>
      </c>
      <c r="I1445" s="15" t="s">
        <v>3528</v>
      </c>
      <c r="J1445" s="33"/>
      <c r="K1445" s="19" t="s">
        <v>2382</v>
      </c>
      <c r="L1445" s="19" t="s">
        <v>38</v>
      </c>
      <c r="M1445" s="20">
        <f t="shared" si="2"/>
        <v>0</v>
      </c>
      <c r="N1445" s="22"/>
      <c r="O1445" s="19" t="s">
        <v>1145</v>
      </c>
      <c r="P1445" s="18"/>
      <c r="Q1445" s="18"/>
      <c r="R1445" s="23">
        <v>0.0</v>
      </c>
      <c r="S1445" s="23">
        <v>0.0</v>
      </c>
      <c r="T1445" s="23">
        <f t="shared" si="3"/>
        <v>0</v>
      </c>
      <c r="U1445" s="23">
        <f t="shared" si="4"/>
        <v>0</v>
      </c>
      <c r="V1445" s="23">
        <f t="shared" si="5"/>
        <v>0</v>
      </c>
      <c r="W1445" s="24" t="str">
        <f t="shared" si="6"/>
        <v>#DIV/0!</v>
      </c>
    </row>
    <row r="1446">
      <c r="A1446" s="15" t="s">
        <v>3529</v>
      </c>
      <c r="B1446" s="18"/>
      <c r="C1446" s="15" t="s">
        <v>8160</v>
      </c>
      <c r="D1446" s="18"/>
      <c r="E1446" s="17" t="s">
        <v>3530</v>
      </c>
      <c r="F1446" s="18"/>
      <c r="G1446" s="18"/>
      <c r="H1446" s="15" t="s">
        <v>3531</v>
      </c>
      <c r="I1446" s="18"/>
      <c r="J1446" s="33"/>
      <c r="K1446" s="19" t="s">
        <v>3330</v>
      </c>
      <c r="L1446" s="19" t="s">
        <v>38</v>
      </c>
      <c r="M1446" s="20">
        <f t="shared" si="2"/>
        <v>0</v>
      </c>
      <c r="N1446" s="22"/>
      <c r="O1446" s="19" t="s">
        <v>1145</v>
      </c>
      <c r="P1446" s="18"/>
      <c r="Q1446" s="18"/>
      <c r="R1446" s="23">
        <v>0.0</v>
      </c>
      <c r="S1446" s="23">
        <v>0.0</v>
      </c>
      <c r="T1446" s="23">
        <f t="shared" si="3"/>
        <v>0</v>
      </c>
      <c r="U1446" s="23">
        <f t="shared" si="4"/>
        <v>0</v>
      </c>
      <c r="V1446" s="23">
        <f t="shared" si="5"/>
        <v>0</v>
      </c>
      <c r="W1446" s="24" t="str">
        <f t="shared" si="6"/>
        <v>#DIV/0!</v>
      </c>
    </row>
    <row r="1447">
      <c r="A1447" s="15" t="s">
        <v>3532</v>
      </c>
      <c r="B1447" s="18"/>
      <c r="C1447" s="15" t="s">
        <v>8161</v>
      </c>
      <c r="D1447" s="18"/>
      <c r="E1447" s="17" t="s">
        <v>3533</v>
      </c>
      <c r="F1447" s="18"/>
      <c r="G1447" s="18"/>
      <c r="H1447" s="15" t="s">
        <v>3534</v>
      </c>
      <c r="I1447" s="18"/>
      <c r="J1447" s="33"/>
      <c r="K1447" s="19" t="s">
        <v>2506</v>
      </c>
      <c r="L1447" s="19" t="s">
        <v>38</v>
      </c>
      <c r="M1447" s="20">
        <f t="shared" si="2"/>
        <v>0</v>
      </c>
      <c r="N1447" s="22"/>
      <c r="O1447" s="19" t="s">
        <v>1145</v>
      </c>
      <c r="P1447" s="18"/>
      <c r="Q1447" s="18"/>
      <c r="R1447" s="23">
        <v>0.0</v>
      </c>
      <c r="S1447" s="23">
        <v>0.0</v>
      </c>
      <c r="T1447" s="23">
        <f t="shared" si="3"/>
        <v>0</v>
      </c>
      <c r="U1447" s="23">
        <f t="shared" si="4"/>
        <v>0</v>
      </c>
      <c r="V1447" s="23">
        <f t="shared" si="5"/>
        <v>0</v>
      </c>
      <c r="W1447" s="24" t="str">
        <f t="shared" si="6"/>
        <v>#DIV/0!</v>
      </c>
    </row>
    <row r="1448">
      <c r="A1448" s="15" t="s">
        <v>3535</v>
      </c>
      <c r="B1448" s="18"/>
      <c r="C1448" s="15" t="s">
        <v>8162</v>
      </c>
      <c r="D1448" s="18"/>
      <c r="E1448" s="17" t="s">
        <v>3536</v>
      </c>
      <c r="F1448" s="18"/>
      <c r="G1448" s="18"/>
      <c r="H1448" s="15" t="s">
        <v>3537</v>
      </c>
      <c r="I1448" s="18"/>
      <c r="J1448" s="33"/>
      <c r="K1448" s="19" t="s">
        <v>2506</v>
      </c>
      <c r="L1448" s="19" t="s">
        <v>38</v>
      </c>
      <c r="M1448" s="20">
        <f t="shared" si="2"/>
        <v>0</v>
      </c>
      <c r="N1448" s="22"/>
      <c r="O1448" s="19" t="s">
        <v>1145</v>
      </c>
      <c r="P1448" s="18"/>
      <c r="Q1448" s="18"/>
      <c r="R1448" s="23">
        <v>0.0</v>
      </c>
      <c r="S1448" s="23">
        <v>0.0</v>
      </c>
      <c r="T1448" s="23">
        <f t="shared" si="3"/>
        <v>0</v>
      </c>
      <c r="U1448" s="23">
        <f t="shared" si="4"/>
        <v>0</v>
      </c>
      <c r="V1448" s="23">
        <f t="shared" si="5"/>
        <v>0</v>
      </c>
      <c r="W1448" s="24" t="str">
        <f t="shared" si="6"/>
        <v>#DIV/0!</v>
      </c>
    </row>
    <row r="1449">
      <c r="A1449" s="15" t="s">
        <v>3538</v>
      </c>
      <c r="B1449" s="18"/>
      <c r="C1449" s="15" t="s">
        <v>8163</v>
      </c>
      <c r="D1449" s="18"/>
      <c r="E1449" s="17" t="s">
        <v>3539</v>
      </c>
      <c r="F1449" s="18"/>
      <c r="G1449" s="18"/>
      <c r="H1449" s="15" t="s">
        <v>3540</v>
      </c>
      <c r="I1449" s="18"/>
      <c r="J1449" s="33"/>
      <c r="K1449" s="19" t="s">
        <v>2506</v>
      </c>
      <c r="L1449" s="19" t="s">
        <v>38</v>
      </c>
      <c r="M1449" s="20">
        <f t="shared" si="2"/>
        <v>0</v>
      </c>
      <c r="N1449" s="22"/>
      <c r="O1449" s="19" t="s">
        <v>1145</v>
      </c>
      <c r="P1449" s="18"/>
      <c r="Q1449" s="18"/>
      <c r="R1449" s="23">
        <v>0.0</v>
      </c>
      <c r="S1449" s="23">
        <v>0.0</v>
      </c>
      <c r="T1449" s="23">
        <f t="shared" si="3"/>
        <v>0</v>
      </c>
      <c r="U1449" s="23">
        <f t="shared" si="4"/>
        <v>0</v>
      </c>
      <c r="V1449" s="23">
        <f t="shared" si="5"/>
        <v>0</v>
      </c>
      <c r="W1449" s="24" t="str">
        <f t="shared" si="6"/>
        <v>#DIV/0!</v>
      </c>
    </row>
    <row r="1450">
      <c r="A1450" s="15" t="s">
        <v>3541</v>
      </c>
      <c r="B1450" s="18"/>
      <c r="C1450" s="15" t="s">
        <v>8164</v>
      </c>
      <c r="D1450" s="18"/>
      <c r="E1450" s="17" t="s">
        <v>3542</v>
      </c>
      <c r="F1450" s="18"/>
      <c r="G1450" s="18"/>
      <c r="H1450" s="15" t="s">
        <v>3543</v>
      </c>
      <c r="I1450" s="18"/>
      <c r="J1450" s="33"/>
      <c r="K1450" s="19" t="s">
        <v>691</v>
      </c>
      <c r="L1450" s="19" t="s">
        <v>38</v>
      </c>
      <c r="M1450" s="20">
        <f t="shared" si="2"/>
        <v>0</v>
      </c>
      <c r="N1450" s="22"/>
      <c r="O1450" s="19" t="s">
        <v>1145</v>
      </c>
      <c r="P1450" s="18"/>
      <c r="Q1450" s="18"/>
      <c r="R1450" s="23">
        <v>0.0</v>
      </c>
      <c r="S1450" s="23">
        <v>0.0</v>
      </c>
      <c r="T1450" s="23">
        <f t="shared" si="3"/>
        <v>0</v>
      </c>
      <c r="U1450" s="23">
        <f t="shared" si="4"/>
        <v>0</v>
      </c>
      <c r="V1450" s="23">
        <f t="shared" si="5"/>
        <v>0</v>
      </c>
      <c r="W1450" s="24" t="str">
        <f t="shared" si="6"/>
        <v>#DIV/0!</v>
      </c>
    </row>
    <row r="1451">
      <c r="A1451" s="15" t="s">
        <v>943</v>
      </c>
      <c r="B1451" s="18" t="str">
        <f>CONCATENATE(7504589,A1451)</f>
        <v>75045892447</v>
      </c>
      <c r="C1451" s="15" t="s">
        <v>6054</v>
      </c>
      <c r="D1451" s="15" t="s">
        <v>944</v>
      </c>
      <c r="E1451" s="17" t="s">
        <v>945</v>
      </c>
      <c r="F1451" s="18"/>
      <c r="G1451" s="18"/>
      <c r="H1451" s="15" t="s">
        <v>946</v>
      </c>
      <c r="I1451" s="18"/>
      <c r="J1451" s="19" t="s">
        <v>59</v>
      </c>
      <c r="K1451" s="19" t="s">
        <v>60</v>
      </c>
      <c r="L1451" s="19" t="s">
        <v>177</v>
      </c>
      <c r="M1451" s="20">
        <f t="shared" si="2"/>
        <v>9306.24</v>
      </c>
      <c r="N1451" s="31">
        <v>3.0</v>
      </c>
      <c r="O1451" s="19" t="s">
        <v>107</v>
      </c>
      <c r="P1451" s="18"/>
      <c r="Q1451" s="18"/>
      <c r="R1451" s="23">
        <v>140.0</v>
      </c>
      <c r="S1451" s="23">
        <v>524.0</v>
      </c>
      <c r="T1451" s="23">
        <f t="shared" si="3"/>
        <v>503.04</v>
      </c>
      <c r="U1451" s="23">
        <f t="shared" si="4"/>
        <v>171.5</v>
      </c>
      <c r="V1451" s="23">
        <f t="shared" si="5"/>
        <v>3215.625</v>
      </c>
      <c r="W1451" s="24">
        <f t="shared" si="6"/>
        <v>3.593142857</v>
      </c>
    </row>
    <row r="1452">
      <c r="A1452" s="15" t="s">
        <v>3544</v>
      </c>
      <c r="B1452" s="18"/>
      <c r="C1452" s="15" t="s">
        <v>8165</v>
      </c>
      <c r="D1452" s="18"/>
      <c r="E1452" s="17" t="s">
        <v>3545</v>
      </c>
      <c r="F1452" s="18"/>
      <c r="G1452" s="18"/>
      <c r="H1452" s="15" t="s">
        <v>3546</v>
      </c>
      <c r="I1452" s="18"/>
      <c r="J1452" s="33"/>
      <c r="K1452" s="19" t="s">
        <v>3521</v>
      </c>
      <c r="L1452" s="19" t="s">
        <v>38</v>
      </c>
      <c r="M1452" s="20">
        <f t="shared" si="2"/>
        <v>0</v>
      </c>
      <c r="N1452" s="22"/>
      <c r="O1452" s="19" t="s">
        <v>1145</v>
      </c>
      <c r="P1452" s="18"/>
      <c r="Q1452" s="18"/>
      <c r="R1452" s="23">
        <v>0.0</v>
      </c>
      <c r="S1452" s="23">
        <v>0.0</v>
      </c>
      <c r="T1452" s="23">
        <f t="shared" si="3"/>
        <v>0</v>
      </c>
      <c r="U1452" s="23">
        <f t="shared" si="4"/>
        <v>0</v>
      </c>
      <c r="V1452" s="23">
        <f t="shared" si="5"/>
        <v>0</v>
      </c>
      <c r="W1452" s="24" t="str">
        <f t="shared" si="6"/>
        <v>#DIV/0!</v>
      </c>
    </row>
    <row r="1453">
      <c r="A1453" s="15" t="s">
        <v>3547</v>
      </c>
      <c r="B1453" s="18"/>
      <c r="C1453" s="15" t="s">
        <v>8166</v>
      </c>
      <c r="D1453" s="18"/>
      <c r="E1453" s="17" t="s">
        <v>3548</v>
      </c>
      <c r="F1453" s="18"/>
      <c r="G1453" s="18"/>
      <c r="H1453" s="15" t="s">
        <v>3549</v>
      </c>
      <c r="I1453" s="15" t="s">
        <v>3550</v>
      </c>
      <c r="J1453" s="33"/>
      <c r="K1453" s="19" t="s">
        <v>2396</v>
      </c>
      <c r="L1453" s="19" t="s">
        <v>38</v>
      </c>
      <c r="M1453" s="20">
        <f t="shared" si="2"/>
        <v>0</v>
      </c>
      <c r="N1453" s="22"/>
      <c r="O1453" s="19" t="s">
        <v>1145</v>
      </c>
      <c r="P1453" s="18"/>
      <c r="Q1453" s="18"/>
      <c r="R1453" s="23">
        <v>0.0</v>
      </c>
      <c r="S1453" s="23">
        <v>0.0</v>
      </c>
      <c r="T1453" s="23">
        <f t="shared" si="3"/>
        <v>0</v>
      </c>
      <c r="U1453" s="23">
        <f t="shared" si="4"/>
        <v>0</v>
      </c>
      <c r="V1453" s="23">
        <f t="shared" si="5"/>
        <v>0</v>
      </c>
      <c r="W1453" s="24" t="str">
        <f t="shared" si="6"/>
        <v>#DIV/0!</v>
      </c>
    </row>
    <row r="1454">
      <c r="A1454" s="15" t="s">
        <v>3551</v>
      </c>
      <c r="B1454" s="18"/>
      <c r="C1454" s="15" t="s">
        <v>8167</v>
      </c>
      <c r="D1454" s="18"/>
      <c r="E1454" s="17" t="s">
        <v>3552</v>
      </c>
      <c r="F1454" s="18"/>
      <c r="G1454" s="18"/>
      <c r="H1454" s="15" t="s">
        <v>3553</v>
      </c>
      <c r="I1454" s="15" t="s">
        <v>3554</v>
      </c>
      <c r="J1454" s="33"/>
      <c r="K1454" s="19" t="s">
        <v>2396</v>
      </c>
      <c r="L1454" s="19" t="s">
        <v>38</v>
      </c>
      <c r="M1454" s="20">
        <f t="shared" si="2"/>
        <v>0</v>
      </c>
      <c r="N1454" s="22"/>
      <c r="O1454" s="19" t="s">
        <v>1145</v>
      </c>
      <c r="P1454" s="18"/>
      <c r="Q1454" s="18"/>
      <c r="R1454" s="23">
        <v>0.0</v>
      </c>
      <c r="S1454" s="23">
        <v>0.0</v>
      </c>
      <c r="T1454" s="23">
        <f t="shared" si="3"/>
        <v>0</v>
      </c>
      <c r="U1454" s="23">
        <f t="shared" si="4"/>
        <v>0</v>
      </c>
      <c r="V1454" s="23">
        <f t="shared" si="5"/>
        <v>0</v>
      </c>
      <c r="W1454" s="24" t="str">
        <f t="shared" si="6"/>
        <v>#DIV/0!</v>
      </c>
    </row>
    <row r="1455">
      <c r="A1455" s="15" t="s">
        <v>3555</v>
      </c>
      <c r="B1455" s="18"/>
      <c r="C1455" s="15" t="s">
        <v>8168</v>
      </c>
      <c r="D1455" s="18"/>
      <c r="E1455" s="17" t="s">
        <v>3556</v>
      </c>
      <c r="F1455" s="18"/>
      <c r="G1455" s="18"/>
      <c r="H1455" s="15" t="s">
        <v>3557</v>
      </c>
      <c r="I1455" s="15" t="s">
        <v>3558</v>
      </c>
      <c r="J1455" s="33"/>
      <c r="K1455" s="19" t="s">
        <v>2396</v>
      </c>
      <c r="L1455" s="19" t="s">
        <v>38</v>
      </c>
      <c r="M1455" s="20">
        <f t="shared" si="2"/>
        <v>0</v>
      </c>
      <c r="N1455" s="22"/>
      <c r="O1455" s="19" t="s">
        <v>1145</v>
      </c>
      <c r="P1455" s="18"/>
      <c r="Q1455" s="18"/>
      <c r="R1455" s="23">
        <v>0.0</v>
      </c>
      <c r="S1455" s="23">
        <v>0.0</v>
      </c>
      <c r="T1455" s="23">
        <f t="shared" si="3"/>
        <v>0</v>
      </c>
      <c r="U1455" s="23">
        <f t="shared" si="4"/>
        <v>0</v>
      </c>
      <c r="V1455" s="23">
        <f t="shared" si="5"/>
        <v>0</v>
      </c>
      <c r="W1455" s="24" t="str">
        <f t="shared" si="6"/>
        <v>#DIV/0!</v>
      </c>
    </row>
    <row r="1456">
      <c r="A1456" s="15" t="s">
        <v>3559</v>
      </c>
      <c r="B1456" s="18"/>
      <c r="C1456" s="15" t="s">
        <v>8169</v>
      </c>
      <c r="D1456" s="18"/>
      <c r="E1456" s="17" t="s">
        <v>3560</v>
      </c>
      <c r="F1456" s="18"/>
      <c r="G1456" s="18"/>
      <c r="H1456" s="15" t="s">
        <v>3561</v>
      </c>
      <c r="I1456" s="15" t="s">
        <v>3562</v>
      </c>
      <c r="J1456" s="33"/>
      <c r="K1456" s="19" t="s">
        <v>2396</v>
      </c>
      <c r="L1456" s="19" t="s">
        <v>38</v>
      </c>
      <c r="M1456" s="20">
        <f t="shared" si="2"/>
        <v>0</v>
      </c>
      <c r="N1456" s="22"/>
      <c r="O1456" s="19" t="s">
        <v>1145</v>
      </c>
      <c r="P1456" s="18"/>
      <c r="Q1456" s="18"/>
      <c r="R1456" s="23">
        <v>0.0</v>
      </c>
      <c r="S1456" s="23">
        <v>0.0</v>
      </c>
      <c r="T1456" s="23">
        <f t="shared" si="3"/>
        <v>0</v>
      </c>
      <c r="U1456" s="23">
        <f t="shared" si="4"/>
        <v>0</v>
      </c>
      <c r="V1456" s="23">
        <f t="shared" si="5"/>
        <v>0</v>
      </c>
      <c r="W1456" s="24" t="str">
        <f t="shared" si="6"/>
        <v>#DIV/0!</v>
      </c>
    </row>
    <row r="1457">
      <c r="A1457" s="15" t="s">
        <v>80</v>
      </c>
      <c r="B1457" s="18" t="str">
        <f t="shared" ref="B1457:B1459" si="9">CONCATENATE(7504589,A1457)</f>
        <v>75045892453</v>
      </c>
      <c r="C1457" s="18"/>
      <c r="D1457" s="15" t="s">
        <v>81</v>
      </c>
      <c r="E1457" s="17" t="s">
        <v>82</v>
      </c>
      <c r="F1457" s="18"/>
      <c r="G1457" s="18"/>
      <c r="H1457" s="15" t="s">
        <v>83</v>
      </c>
      <c r="I1457" s="18"/>
      <c r="J1457" s="19" t="s">
        <v>59</v>
      </c>
      <c r="K1457" s="19" t="s">
        <v>60</v>
      </c>
      <c r="L1457" s="19" t="s">
        <v>38</v>
      </c>
      <c r="M1457" s="20">
        <f t="shared" si="2"/>
        <v>2504.16</v>
      </c>
      <c r="N1457" s="31">
        <v>2.0</v>
      </c>
      <c r="O1457" s="19" t="s">
        <v>61</v>
      </c>
      <c r="P1457" s="18"/>
      <c r="Q1457" s="18"/>
      <c r="R1457" s="23">
        <v>40.0</v>
      </c>
      <c r="S1457" s="23">
        <v>141.0</v>
      </c>
      <c r="T1457" s="23">
        <f t="shared" si="3"/>
        <v>135.36</v>
      </c>
      <c r="U1457" s="23">
        <f t="shared" si="4"/>
        <v>49</v>
      </c>
      <c r="V1457" s="23">
        <f t="shared" si="5"/>
        <v>918.75</v>
      </c>
      <c r="W1457" s="24">
        <f t="shared" si="6"/>
        <v>3.384</v>
      </c>
    </row>
    <row r="1458">
      <c r="A1458" s="15" t="s">
        <v>877</v>
      </c>
      <c r="B1458" s="18" t="str">
        <f t="shared" si="9"/>
        <v>75045892454</v>
      </c>
      <c r="C1458" s="18"/>
      <c r="D1458" s="15" t="s">
        <v>878</v>
      </c>
      <c r="E1458" s="17" t="s">
        <v>879</v>
      </c>
      <c r="F1458" s="18"/>
      <c r="G1458" s="18"/>
      <c r="H1458" s="15" t="s">
        <v>880</v>
      </c>
      <c r="I1458" s="18"/>
      <c r="J1458" s="19" t="s">
        <v>59</v>
      </c>
      <c r="K1458" s="19" t="s">
        <v>60</v>
      </c>
      <c r="L1458" s="19" t="s">
        <v>38</v>
      </c>
      <c r="M1458" s="20">
        <f t="shared" si="2"/>
        <v>4972.8</v>
      </c>
      <c r="N1458" s="31">
        <v>2.0</v>
      </c>
      <c r="O1458" s="19" t="s">
        <v>107</v>
      </c>
      <c r="P1458" s="18"/>
      <c r="Q1458" s="18"/>
      <c r="R1458" s="23">
        <v>68.0</v>
      </c>
      <c r="S1458" s="23">
        <v>280.0</v>
      </c>
      <c r="T1458" s="23">
        <f t="shared" si="3"/>
        <v>268.8</v>
      </c>
      <c r="U1458" s="23">
        <f t="shared" si="4"/>
        <v>83.3</v>
      </c>
      <c r="V1458" s="23">
        <f t="shared" si="5"/>
        <v>1561.875</v>
      </c>
      <c r="W1458" s="24">
        <f t="shared" si="6"/>
        <v>3.952941176</v>
      </c>
    </row>
    <row r="1459">
      <c r="A1459" s="15" t="s">
        <v>881</v>
      </c>
      <c r="B1459" s="18" t="str">
        <f t="shared" si="9"/>
        <v>75045892455</v>
      </c>
      <c r="C1459" s="18"/>
      <c r="D1459" s="15" t="s">
        <v>882</v>
      </c>
      <c r="E1459" s="17" t="s">
        <v>883</v>
      </c>
      <c r="F1459" s="18"/>
      <c r="G1459" s="18"/>
      <c r="H1459" s="15" t="s">
        <v>884</v>
      </c>
      <c r="I1459" s="18"/>
      <c r="J1459" s="19" t="s">
        <v>59</v>
      </c>
      <c r="K1459" s="19" t="s">
        <v>60</v>
      </c>
      <c r="L1459" s="19" t="s">
        <v>38</v>
      </c>
      <c r="M1459" s="20">
        <f t="shared" si="2"/>
        <v>3285.6</v>
      </c>
      <c r="N1459" s="31">
        <v>2.0</v>
      </c>
      <c r="O1459" s="19" t="s">
        <v>107</v>
      </c>
      <c r="P1459" s="18"/>
      <c r="Q1459" s="18"/>
      <c r="R1459" s="23">
        <v>45.0</v>
      </c>
      <c r="S1459" s="23">
        <v>185.0</v>
      </c>
      <c r="T1459" s="23">
        <f t="shared" si="3"/>
        <v>177.6</v>
      </c>
      <c r="U1459" s="23">
        <f t="shared" si="4"/>
        <v>55.125</v>
      </c>
      <c r="V1459" s="23">
        <f t="shared" si="5"/>
        <v>1033.59375</v>
      </c>
      <c r="W1459" s="24">
        <f t="shared" si="6"/>
        <v>3.946666667</v>
      </c>
    </row>
    <row r="1460">
      <c r="A1460" s="15" t="s">
        <v>136</v>
      </c>
      <c r="B1460" s="15" t="s">
        <v>137</v>
      </c>
      <c r="C1460" s="18"/>
      <c r="D1460" s="15" t="s">
        <v>138</v>
      </c>
      <c r="E1460" s="17" t="s">
        <v>139</v>
      </c>
      <c r="F1460" s="18"/>
      <c r="G1460" s="15" t="s">
        <v>140</v>
      </c>
      <c r="H1460" s="15" t="s">
        <v>141</v>
      </c>
      <c r="I1460" s="18"/>
      <c r="J1460" s="19" t="s">
        <v>36</v>
      </c>
      <c r="K1460" s="19" t="s">
        <v>60</v>
      </c>
      <c r="L1460" s="19" t="s">
        <v>135</v>
      </c>
      <c r="M1460" s="20">
        <f t="shared" si="2"/>
        <v>1651.68</v>
      </c>
      <c r="N1460" s="31">
        <v>4.0</v>
      </c>
      <c r="O1460" s="19" t="s">
        <v>107</v>
      </c>
      <c r="P1460" s="18"/>
      <c r="Q1460" s="18"/>
      <c r="R1460" s="23">
        <v>4.0</v>
      </c>
      <c r="S1460" s="23">
        <v>93.0</v>
      </c>
      <c r="T1460" s="23">
        <f t="shared" si="3"/>
        <v>89.28</v>
      </c>
      <c r="U1460" s="23">
        <f t="shared" si="4"/>
        <v>4.9</v>
      </c>
      <c r="V1460" s="23">
        <f t="shared" si="5"/>
        <v>91.875</v>
      </c>
      <c r="W1460" s="24">
        <f t="shared" si="6"/>
        <v>22.32</v>
      </c>
    </row>
    <row r="1461">
      <c r="A1461" s="15" t="s">
        <v>891</v>
      </c>
      <c r="B1461" s="45" t="s">
        <v>892</v>
      </c>
      <c r="C1461" s="46"/>
      <c r="D1461" s="45" t="s">
        <v>893</v>
      </c>
      <c r="E1461" s="47" t="s">
        <v>894</v>
      </c>
      <c r="F1461" s="46"/>
      <c r="G1461" s="46"/>
      <c r="H1461" s="45" t="s">
        <v>895</v>
      </c>
      <c r="I1461" s="46"/>
      <c r="J1461" s="48" t="s">
        <v>36</v>
      </c>
      <c r="K1461" s="81"/>
      <c r="L1461" s="48" t="s">
        <v>269</v>
      </c>
      <c r="M1461" s="49">
        <f t="shared" si="2"/>
        <v>10034.4</v>
      </c>
      <c r="N1461" s="31">
        <v>3.0</v>
      </c>
      <c r="O1461" s="48" t="s">
        <v>107</v>
      </c>
      <c r="P1461" s="46"/>
      <c r="Q1461" s="46"/>
      <c r="R1461" s="50">
        <v>140.0</v>
      </c>
      <c r="S1461" s="50">
        <v>565.0</v>
      </c>
      <c r="T1461" s="50">
        <f t="shared" si="3"/>
        <v>542.4</v>
      </c>
      <c r="U1461" s="50">
        <f t="shared" si="4"/>
        <v>171.5</v>
      </c>
      <c r="V1461" s="50">
        <f t="shared" si="5"/>
        <v>3215.625</v>
      </c>
      <c r="W1461" s="82">
        <f t="shared" si="6"/>
        <v>3.874285714</v>
      </c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</row>
    <row r="1462">
      <c r="A1462" s="15" t="s">
        <v>5975</v>
      </c>
      <c r="B1462" s="83" t="s">
        <v>5976</v>
      </c>
      <c r="C1462" s="55" t="s">
        <v>5977</v>
      </c>
      <c r="D1462" s="35" t="s">
        <v>5978</v>
      </c>
      <c r="E1462" s="35" t="s">
        <v>5979</v>
      </c>
      <c r="F1462" s="56"/>
      <c r="G1462" s="56"/>
      <c r="H1462" s="35" t="s">
        <v>5980</v>
      </c>
      <c r="I1462" s="56"/>
      <c r="J1462" s="57" t="s">
        <v>283</v>
      </c>
      <c r="K1462" s="58" t="s">
        <v>4972</v>
      </c>
      <c r="L1462" s="59" t="s">
        <v>38</v>
      </c>
      <c r="M1462" s="60">
        <f t="shared" si="2"/>
        <v>88.8</v>
      </c>
      <c r="N1462" s="22"/>
      <c r="O1462" s="61" t="s">
        <v>3578</v>
      </c>
      <c r="P1462" s="56"/>
      <c r="Q1462" s="56"/>
      <c r="R1462" s="62">
        <v>2.0</v>
      </c>
      <c r="S1462" s="63">
        <v>5.0</v>
      </c>
      <c r="T1462" s="62">
        <f t="shared" si="3"/>
        <v>4.8</v>
      </c>
      <c r="U1462" s="62">
        <f t="shared" si="4"/>
        <v>2.45</v>
      </c>
      <c r="V1462" s="62">
        <f t="shared" si="5"/>
        <v>45.9375</v>
      </c>
      <c r="W1462" s="84">
        <f t="shared" si="6"/>
        <v>2.4</v>
      </c>
    </row>
    <row r="1463">
      <c r="A1463" s="15" t="s">
        <v>5981</v>
      </c>
      <c r="B1463" s="83" t="s">
        <v>5982</v>
      </c>
      <c r="C1463" s="15" t="s">
        <v>5983</v>
      </c>
      <c r="D1463" s="15" t="s">
        <v>5984</v>
      </c>
      <c r="E1463" s="17" t="s">
        <v>5985</v>
      </c>
      <c r="F1463" s="18"/>
      <c r="G1463" s="18"/>
      <c r="H1463" s="15" t="s">
        <v>5986</v>
      </c>
      <c r="I1463" s="18"/>
      <c r="J1463" s="19" t="s">
        <v>283</v>
      </c>
      <c r="K1463" s="19" t="s">
        <v>4972</v>
      </c>
      <c r="L1463" s="19" t="s">
        <v>135</v>
      </c>
      <c r="M1463" s="20">
        <f t="shared" si="2"/>
        <v>337.44</v>
      </c>
      <c r="N1463" s="22"/>
      <c r="O1463" s="19" t="s">
        <v>3578</v>
      </c>
      <c r="P1463" s="18"/>
      <c r="Q1463" s="18"/>
      <c r="R1463" s="23">
        <v>24.0</v>
      </c>
      <c r="S1463" s="23">
        <v>19.0</v>
      </c>
      <c r="T1463" s="23">
        <f t="shared" si="3"/>
        <v>18.24</v>
      </c>
      <c r="U1463" s="23">
        <f t="shared" si="4"/>
        <v>29.4</v>
      </c>
      <c r="V1463" s="23">
        <f t="shared" si="5"/>
        <v>551.25</v>
      </c>
      <c r="W1463" s="24">
        <f t="shared" si="6"/>
        <v>0.76</v>
      </c>
    </row>
    <row r="1464">
      <c r="A1464" s="15" t="s">
        <v>5954</v>
      </c>
      <c r="B1464" s="83" t="s">
        <v>5955</v>
      </c>
      <c r="C1464" s="15" t="s">
        <v>5983</v>
      </c>
      <c r="D1464" s="15" t="s">
        <v>5956</v>
      </c>
      <c r="E1464" s="17" t="s">
        <v>5957</v>
      </c>
      <c r="F1464" s="18"/>
      <c r="G1464" s="18"/>
      <c r="H1464" s="15" t="s">
        <v>5958</v>
      </c>
      <c r="I1464" s="18"/>
      <c r="J1464" s="19" t="s">
        <v>283</v>
      </c>
      <c r="K1464" s="19" t="s">
        <v>4972</v>
      </c>
      <c r="L1464" s="19" t="s">
        <v>135</v>
      </c>
      <c r="M1464" s="20">
        <f t="shared" si="2"/>
        <v>337.44</v>
      </c>
      <c r="N1464" s="22"/>
      <c r="O1464" s="19" t="s">
        <v>3578</v>
      </c>
      <c r="P1464" s="18"/>
      <c r="Q1464" s="18"/>
      <c r="R1464" s="23">
        <v>7.0</v>
      </c>
      <c r="S1464" s="23">
        <v>19.0</v>
      </c>
      <c r="T1464" s="23">
        <f t="shared" si="3"/>
        <v>18.24</v>
      </c>
      <c r="U1464" s="23">
        <f t="shared" si="4"/>
        <v>8.575</v>
      </c>
      <c r="V1464" s="23">
        <f t="shared" si="5"/>
        <v>160.78125</v>
      </c>
      <c r="W1464" s="24">
        <f t="shared" si="6"/>
        <v>2.605714286</v>
      </c>
    </row>
    <row r="1465">
      <c r="A1465" s="15" t="s">
        <v>5959</v>
      </c>
      <c r="B1465" s="83" t="s">
        <v>5960</v>
      </c>
      <c r="C1465" s="15" t="s">
        <v>5983</v>
      </c>
      <c r="D1465" s="15" t="s">
        <v>5961</v>
      </c>
      <c r="E1465" s="17" t="s">
        <v>5962</v>
      </c>
      <c r="F1465" s="18"/>
      <c r="G1465" s="18"/>
      <c r="H1465" s="15" t="s">
        <v>5963</v>
      </c>
      <c r="I1465" s="18"/>
      <c r="J1465" s="19" t="s">
        <v>283</v>
      </c>
      <c r="K1465" s="19" t="s">
        <v>4972</v>
      </c>
      <c r="L1465" s="19" t="s">
        <v>135</v>
      </c>
      <c r="M1465" s="20">
        <f t="shared" si="2"/>
        <v>337.44</v>
      </c>
      <c r="N1465" s="22"/>
      <c r="O1465" s="19" t="s">
        <v>3578</v>
      </c>
      <c r="P1465" s="18"/>
      <c r="Q1465" s="18"/>
      <c r="R1465" s="23">
        <v>7.0</v>
      </c>
      <c r="S1465" s="23">
        <v>19.0</v>
      </c>
      <c r="T1465" s="23">
        <f t="shared" si="3"/>
        <v>18.24</v>
      </c>
      <c r="U1465" s="23">
        <f t="shared" si="4"/>
        <v>8.575</v>
      </c>
      <c r="V1465" s="23">
        <f t="shared" si="5"/>
        <v>160.78125</v>
      </c>
      <c r="W1465" s="24">
        <f t="shared" si="6"/>
        <v>2.605714286</v>
      </c>
    </row>
    <row r="1466">
      <c r="A1466" s="15" t="s">
        <v>5964</v>
      </c>
      <c r="B1466" s="35" t="s">
        <v>5965</v>
      </c>
      <c r="C1466" s="15" t="s">
        <v>5983</v>
      </c>
      <c r="D1466" s="15" t="s">
        <v>5966</v>
      </c>
      <c r="E1466" s="17" t="s">
        <v>5967</v>
      </c>
      <c r="F1466" s="18"/>
      <c r="G1466" s="18"/>
      <c r="H1466" s="15" t="s">
        <v>5968</v>
      </c>
      <c r="I1466" s="18"/>
      <c r="J1466" s="19" t="s">
        <v>283</v>
      </c>
      <c r="K1466" s="19" t="s">
        <v>4972</v>
      </c>
      <c r="L1466" s="19" t="s">
        <v>135</v>
      </c>
      <c r="M1466" s="20">
        <f t="shared" si="2"/>
        <v>337.44</v>
      </c>
      <c r="N1466" s="22"/>
      <c r="O1466" s="19" t="s">
        <v>3578</v>
      </c>
      <c r="P1466" s="18"/>
      <c r="Q1466" s="18"/>
      <c r="R1466" s="23">
        <v>7.0</v>
      </c>
      <c r="S1466" s="23">
        <v>19.0</v>
      </c>
      <c r="T1466" s="23">
        <f t="shared" si="3"/>
        <v>18.24</v>
      </c>
      <c r="U1466" s="23">
        <f t="shared" si="4"/>
        <v>8.575</v>
      </c>
      <c r="V1466" s="23">
        <f t="shared" si="5"/>
        <v>160.78125</v>
      </c>
      <c r="W1466" s="24">
        <f t="shared" si="6"/>
        <v>2.605714286</v>
      </c>
    </row>
    <row r="1467">
      <c r="A1467" s="15" t="s">
        <v>996</v>
      </c>
      <c r="B1467" s="45" t="s">
        <v>997</v>
      </c>
      <c r="C1467" s="18"/>
      <c r="D1467" s="15" t="s">
        <v>998</v>
      </c>
      <c r="E1467" s="17" t="s">
        <v>999</v>
      </c>
      <c r="F1467" s="18"/>
      <c r="G1467" s="15" t="s">
        <v>1000</v>
      </c>
      <c r="H1467" s="15" t="s">
        <v>1001</v>
      </c>
      <c r="I1467" s="18"/>
      <c r="J1467" s="19" t="s">
        <v>1002</v>
      </c>
      <c r="K1467" s="19" t="s">
        <v>114</v>
      </c>
      <c r="L1467" s="19" t="s">
        <v>115</v>
      </c>
      <c r="M1467" s="20">
        <f t="shared" si="2"/>
        <v>0</v>
      </c>
      <c r="N1467" s="31">
        <v>6.0</v>
      </c>
      <c r="O1467" s="19" t="s">
        <v>107</v>
      </c>
      <c r="P1467" s="18"/>
      <c r="Q1467" s="18"/>
      <c r="R1467" s="23">
        <v>0.0</v>
      </c>
      <c r="S1467" s="23">
        <v>0.0</v>
      </c>
      <c r="T1467" s="23">
        <f t="shared" si="3"/>
        <v>0</v>
      </c>
      <c r="U1467" s="23">
        <f t="shared" si="4"/>
        <v>0</v>
      </c>
      <c r="V1467" s="23">
        <f t="shared" si="5"/>
        <v>0</v>
      </c>
      <c r="W1467" s="24" t="str">
        <f t="shared" si="6"/>
        <v>#DIV/0!</v>
      </c>
    </row>
    <row r="1468">
      <c r="A1468" s="15" t="s">
        <v>5336</v>
      </c>
      <c r="B1468" s="83" t="s">
        <v>5337</v>
      </c>
      <c r="C1468" s="15" t="s">
        <v>7317</v>
      </c>
      <c r="D1468" s="15" t="s">
        <v>5338</v>
      </c>
      <c r="E1468" s="17" t="s">
        <v>5339</v>
      </c>
      <c r="F1468" s="18"/>
      <c r="G1468" s="18"/>
      <c r="H1468" s="15" t="s">
        <v>5340</v>
      </c>
      <c r="I1468" s="18"/>
      <c r="J1468" s="19" t="s">
        <v>283</v>
      </c>
      <c r="K1468" s="19" t="s">
        <v>4972</v>
      </c>
      <c r="L1468" s="19" t="s">
        <v>38</v>
      </c>
      <c r="M1468" s="20">
        <f t="shared" si="2"/>
        <v>355.2</v>
      </c>
      <c r="N1468" s="22"/>
      <c r="O1468" s="19" t="s">
        <v>3578</v>
      </c>
      <c r="P1468" s="18"/>
      <c r="Q1468" s="18"/>
      <c r="R1468" s="23">
        <v>0.0</v>
      </c>
      <c r="S1468" s="23">
        <v>20.0</v>
      </c>
      <c r="T1468" s="23">
        <f t="shared" si="3"/>
        <v>19.2</v>
      </c>
      <c r="U1468" s="23">
        <f t="shared" si="4"/>
        <v>0</v>
      </c>
      <c r="V1468" s="23">
        <f t="shared" si="5"/>
        <v>0</v>
      </c>
      <c r="W1468" s="24" t="str">
        <f t="shared" si="6"/>
        <v>#DIV/0!</v>
      </c>
    </row>
    <row r="1469">
      <c r="A1469" s="15" t="s">
        <v>5341</v>
      </c>
      <c r="B1469" s="83" t="s">
        <v>5342</v>
      </c>
      <c r="C1469" s="15" t="s">
        <v>7317</v>
      </c>
      <c r="D1469" s="15" t="s">
        <v>5343</v>
      </c>
      <c r="E1469" s="17" t="s">
        <v>5344</v>
      </c>
      <c r="F1469" s="18"/>
      <c r="G1469" s="18"/>
      <c r="H1469" s="15" t="s">
        <v>5345</v>
      </c>
      <c r="I1469" s="18"/>
      <c r="J1469" s="19" t="s">
        <v>283</v>
      </c>
      <c r="K1469" s="19" t="s">
        <v>4972</v>
      </c>
      <c r="L1469" s="19" t="s">
        <v>38</v>
      </c>
      <c r="M1469" s="20">
        <f t="shared" si="2"/>
        <v>532.8</v>
      </c>
      <c r="N1469" s="22"/>
      <c r="O1469" s="19" t="s">
        <v>3578</v>
      </c>
      <c r="P1469" s="18"/>
      <c r="Q1469" s="18"/>
      <c r="R1469" s="23">
        <v>0.0</v>
      </c>
      <c r="S1469" s="23">
        <v>30.0</v>
      </c>
      <c r="T1469" s="23">
        <f t="shared" si="3"/>
        <v>28.8</v>
      </c>
      <c r="U1469" s="23">
        <f t="shared" si="4"/>
        <v>0</v>
      </c>
      <c r="V1469" s="23">
        <f t="shared" si="5"/>
        <v>0</v>
      </c>
      <c r="W1469" s="24" t="str">
        <f t="shared" si="6"/>
        <v>#DIV/0!</v>
      </c>
    </row>
    <row r="1470">
      <c r="A1470" s="15" t="s">
        <v>416</v>
      </c>
      <c r="B1470" s="83" t="s">
        <v>417</v>
      </c>
      <c r="C1470" s="15" t="s">
        <v>6100</v>
      </c>
      <c r="D1470" s="15" t="s">
        <v>418</v>
      </c>
      <c r="E1470" s="17" t="s">
        <v>419</v>
      </c>
      <c r="F1470" s="18"/>
      <c r="G1470" s="15" t="s">
        <v>164</v>
      </c>
      <c r="H1470" s="15" t="s">
        <v>420</v>
      </c>
      <c r="I1470" s="15" t="s">
        <v>421</v>
      </c>
      <c r="J1470" s="19" t="s">
        <v>104</v>
      </c>
      <c r="K1470" s="19" t="s">
        <v>160</v>
      </c>
      <c r="L1470" s="19" t="s">
        <v>106</v>
      </c>
      <c r="M1470" s="20">
        <f t="shared" si="2"/>
        <v>1918.08</v>
      </c>
      <c r="N1470" s="31">
        <v>12.0</v>
      </c>
      <c r="O1470" s="19" t="s">
        <v>107</v>
      </c>
      <c r="P1470" s="18"/>
      <c r="Q1470" s="18"/>
      <c r="R1470" s="23">
        <v>15.0</v>
      </c>
      <c r="S1470" s="23">
        <v>108.0</v>
      </c>
      <c r="T1470" s="23">
        <f t="shared" si="3"/>
        <v>103.68</v>
      </c>
      <c r="U1470" s="23">
        <f t="shared" si="4"/>
        <v>18.375</v>
      </c>
      <c r="V1470" s="23">
        <f t="shared" si="5"/>
        <v>344.53125</v>
      </c>
      <c r="W1470" s="24">
        <f t="shared" si="6"/>
        <v>6.912</v>
      </c>
    </row>
    <row r="1471">
      <c r="A1471" s="15" t="s">
        <v>5346</v>
      </c>
      <c r="B1471" s="15" t="s">
        <v>5347</v>
      </c>
      <c r="C1471" s="18"/>
      <c r="D1471" s="15" t="s">
        <v>5348</v>
      </c>
      <c r="E1471" s="17" t="s">
        <v>5349</v>
      </c>
      <c r="F1471" s="18"/>
      <c r="G1471" s="18"/>
      <c r="H1471" s="15" t="s">
        <v>5350</v>
      </c>
      <c r="I1471" s="18"/>
      <c r="J1471" s="19" t="s">
        <v>59</v>
      </c>
      <c r="K1471" s="19" t="s">
        <v>52</v>
      </c>
      <c r="L1471" s="19" t="s">
        <v>84</v>
      </c>
      <c r="M1471" s="20">
        <f t="shared" si="2"/>
        <v>0</v>
      </c>
      <c r="N1471" s="22"/>
      <c r="O1471" s="19" t="s">
        <v>3578</v>
      </c>
      <c r="P1471" s="18"/>
      <c r="Q1471" s="18"/>
      <c r="R1471" s="23">
        <v>0.0</v>
      </c>
      <c r="S1471" s="23">
        <v>0.0</v>
      </c>
      <c r="T1471" s="23">
        <f t="shared" si="3"/>
        <v>0</v>
      </c>
      <c r="U1471" s="23">
        <f t="shared" si="4"/>
        <v>0</v>
      </c>
      <c r="V1471" s="23">
        <f t="shared" si="5"/>
        <v>0</v>
      </c>
      <c r="W1471" s="24" t="str">
        <f t="shared" si="6"/>
        <v>#DIV/0!</v>
      </c>
    </row>
    <row r="1472">
      <c r="A1472" s="15" t="s">
        <v>5351</v>
      </c>
      <c r="B1472" s="15" t="s">
        <v>5352</v>
      </c>
      <c r="C1472" s="18"/>
      <c r="D1472" s="15" t="s">
        <v>5353</v>
      </c>
      <c r="E1472" s="17" t="s">
        <v>5354</v>
      </c>
      <c r="F1472" s="18"/>
      <c r="G1472" s="18"/>
      <c r="H1472" s="15" t="s">
        <v>5355</v>
      </c>
      <c r="I1472" s="15" t="s">
        <v>5356</v>
      </c>
      <c r="J1472" s="19" t="s">
        <v>59</v>
      </c>
      <c r="K1472" s="19" t="s">
        <v>52</v>
      </c>
      <c r="L1472" s="19" t="s">
        <v>52</v>
      </c>
      <c r="M1472" s="20">
        <f t="shared" si="2"/>
        <v>0</v>
      </c>
      <c r="N1472" s="22"/>
      <c r="O1472" s="19" t="s">
        <v>3578</v>
      </c>
      <c r="P1472" s="18"/>
      <c r="Q1472" s="18"/>
      <c r="R1472" s="23">
        <v>0.0</v>
      </c>
      <c r="S1472" s="23">
        <v>0.0</v>
      </c>
      <c r="T1472" s="23">
        <f t="shared" si="3"/>
        <v>0</v>
      </c>
      <c r="U1472" s="23">
        <f t="shared" si="4"/>
        <v>0</v>
      </c>
      <c r="V1472" s="23">
        <f t="shared" si="5"/>
        <v>0</v>
      </c>
      <c r="W1472" s="24" t="str">
        <f t="shared" si="6"/>
        <v>#DIV/0!</v>
      </c>
    </row>
    <row r="1473">
      <c r="A1473" s="15" t="s">
        <v>8170</v>
      </c>
      <c r="B1473" s="18"/>
      <c r="C1473" s="18"/>
      <c r="D1473" s="18"/>
      <c r="E1473" s="17" t="s">
        <v>8171</v>
      </c>
      <c r="F1473" s="18"/>
      <c r="G1473" s="18"/>
      <c r="H1473" s="15" t="s">
        <v>4685</v>
      </c>
      <c r="I1473" s="18"/>
      <c r="J1473" s="19" t="s">
        <v>104</v>
      </c>
      <c r="K1473" s="19" t="s">
        <v>52</v>
      </c>
      <c r="L1473" s="19" t="s">
        <v>52</v>
      </c>
      <c r="M1473" s="20">
        <f t="shared" si="2"/>
        <v>0</v>
      </c>
      <c r="N1473" s="22"/>
      <c r="O1473" s="19" t="s">
        <v>3578</v>
      </c>
      <c r="P1473" s="18"/>
      <c r="Q1473" s="18"/>
      <c r="R1473" s="23">
        <v>0.0</v>
      </c>
      <c r="S1473" s="23">
        <v>0.0</v>
      </c>
      <c r="T1473" s="23">
        <f t="shared" si="3"/>
        <v>0</v>
      </c>
      <c r="U1473" s="23">
        <f t="shared" si="4"/>
        <v>0</v>
      </c>
      <c r="V1473" s="23">
        <f t="shared" si="5"/>
        <v>0</v>
      </c>
      <c r="W1473" s="24" t="str">
        <f t="shared" si="6"/>
        <v>#DIV/0!</v>
      </c>
    </row>
    <row r="1474">
      <c r="A1474" s="15" t="s">
        <v>5357</v>
      </c>
      <c r="B1474" s="15" t="s">
        <v>5358</v>
      </c>
      <c r="C1474" s="18"/>
      <c r="D1474" s="18"/>
      <c r="E1474" s="17" t="s">
        <v>5359</v>
      </c>
      <c r="F1474" s="18"/>
      <c r="G1474" s="18"/>
      <c r="H1474" s="18"/>
      <c r="I1474" s="18"/>
      <c r="J1474" s="19" t="s">
        <v>104</v>
      </c>
      <c r="K1474" s="19" t="s">
        <v>717</v>
      </c>
      <c r="L1474" s="19" t="s">
        <v>106</v>
      </c>
      <c r="M1474" s="20">
        <f t="shared" si="2"/>
        <v>0</v>
      </c>
      <c r="N1474" s="22"/>
      <c r="O1474" s="19" t="s">
        <v>3578</v>
      </c>
      <c r="P1474" s="18"/>
      <c r="Q1474" s="18"/>
      <c r="R1474" s="23">
        <v>0.0</v>
      </c>
      <c r="S1474" s="23">
        <v>0.0</v>
      </c>
      <c r="T1474" s="23">
        <f t="shared" si="3"/>
        <v>0</v>
      </c>
      <c r="U1474" s="23">
        <f t="shared" si="4"/>
        <v>0</v>
      </c>
      <c r="V1474" s="23">
        <f t="shared" si="5"/>
        <v>0</v>
      </c>
      <c r="W1474" s="24" t="str">
        <f t="shared" si="6"/>
        <v>#DIV/0!</v>
      </c>
    </row>
    <row r="1475">
      <c r="A1475" s="15" t="s">
        <v>1003</v>
      </c>
      <c r="B1475" s="15" t="s">
        <v>1004</v>
      </c>
      <c r="C1475" s="15" t="s">
        <v>1131</v>
      </c>
      <c r="D1475" s="15" t="s">
        <v>1005</v>
      </c>
      <c r="E1475" s="17" t="s">
        <v>8178</v>
      </c>
      <c r="F1475" s="18"/>
      <c r="G1475" s="15" t="s">
        <v>1007</v>
      </c>
      <c r="H1475" s="15"/>
      <c r="I1475" s="18"/>
      <c r="J1475" s="19" t="s">
        <v>104</v>
      </c>
      <c r="K1475" s="19" t="s">
        <v>160</v>
      </c>
      <c r="L1475" s="19" t="s">
        <v>106</v>
      </c>
      <c r="M1475" s="20">
        <f t="shared" si="2"/>
        <v>3374.4</v>
      </c>
      <c r="N1475" s="31">
        <v>2.0</v>
      </c>
      <c r="O1475" s="19" t="s">
        <v>107</v>
      </c>
      <c r="P1475" s="18"/>
      <c r="Q1475" s="18"/>
      <c r="R1475" s="23">
        <v>54.0</v>
      </c>
      <c r="S1475" s="23">
        <v>190.0</v>
      </c>
      <c r="T1475" s="23">
        <f t="shared" si="3"/>
        <v>182.4</v>
      </c>
      <c r="U1475" s="23">
        <f t="shared" si="4"/>
        <v>66.15</v>
      </c>
      <c r="V1475" s="23">
        <f t="shared" si="5"/>
        <v>1240.3125</v>
      </c>
      <c r="W1475" s="24">
        <f t="shared" si="6"/>
        <v>3.377777778</v>
      </c>
    </row>
    <row r="1476">
      <c r="A1476" s="15" t="s">
        <v>5360</v>
      </c>
      <c r="B1476" s="15" t="s">
        <v>5361</v>
      </c>
      <c r="C1476" s="18"/>
      <c r="D1476" s="18"/>
      <c r="E1476" s="17" t="s">
        <v>5362</v>
      </c>
      <c r="F1476" s="18"/>
      <c r="G1476" s="18"/>
      <c r="H1476" s="18"/>
      <c r="I1476" s="18"/>
      <c r="J1476" s="19" t="s">
        <v>104</v>
      </c>
      <c r="K1476" s="19" t="s">
        <v>160</v>
      </c>
      <c r="L1476" s="19" t="s">
        <v>106</v>
      </c>
      <c r="M1476" s="20">
        <f t="shared" si="2"/>
        <v>0</v>
      </c>
      <c r="N1476" s="22"/>
      <c r="O1476" s="19" t="s">
        <v>3578</v>
      </c>
      <c r="P1476" s="18"/>
      <c r="Q1476" s="18"/>
      <c r="R1476" s="23">
        <v>0.0</v>
      </c>
      <c r="S1476" s="23">
        <v>0.0</v>
      </c>
      <c r="T1476" s="23">
        <f t="shared" si="3"/>
        <v>0</v>
      </c>
      <c r="U1476" s="23">
        <f t="shared" si="4"/>
        <v>0</v>
      </c>
      <c r="V1476" s="23">
        <f t="shared" si="5"/>
        <v>0</v>
      </c>
      <c r="W1476" s="24" t="str">
        <f t="shared" si="6"/>
        <v>#DIV/0!</v>
      </c>
    </row>
    <row r="1477">
      <c r="A1477" s="15" t="s">
        <v>5363</v>
      </c>
      <c r="B1477" s="15" t="s">
        <v>5364</v>
      </c>
      <c r="C1477" s="18"/>
      <c r="D1477" s="15" t="s">
        <v>5365</v>
      </c>
      <c r="E1477" s="17" t="s">
        <v>5366</v>
      </c>
      <c r="F1477" s="18"/>
      <c r="G1477" s="18"/>
      <c r="H1477" s="15" t="s">
        <v>5367</v>
      </c>
      <c r="I1477" s="18"/>
      <c r="J1477" s="19" t="s">
        <v>59</v>
      </c>
      <c r="K1477" s="33"/>
      <c r="L1477" s="19" t="s">
        <v>38</v>
      </c>
      <c r="M1477" s="20">
        <f t="shared" si="2"/>
        <v>0</v>
      </c>
      <c r="N1477" s="22"/>
      <c r="O1477" s="19" t="s">
        <v>3578</v>
      </c>
      <c r="P1477" s="18"/>
      <c r="Q1477" s="18"/>
      <c r="R1477" s="23">
        <v>0.0</v>
      </c>
      <c r="S1477" s="23">
        <v>0.0</v>
      </c>
      <c r="T1477" s="23">
        <f t="shared" si="3"/>
        <v>0</v>
      </c>
      <c r="U1477" s="23">
        <f t="shared" si="4"/>
        <v>0</v>
      </c>
      <c r="V1477" s="23">
        <f t="shared" si="5"/>
        <v>0</v>
      </c>
      <c r="W1477" s="24" t="str">
        <f t="shared" si="6"/>
        <v>#DIV/0!</v>
      </c>
    </row>
    <row r="1478">
      <c r="A1478" s="15" t="s">
        <v>5368</v>
      </c>
      <c r="B1478" s="15" t="s">
        <v>5369</v>
      </c>
      <c r="C1478" s="18"/>
      <c r="D1478" s="15" t="s">
        <v>5370</v>
      </c>
      <c r="E1478" s="17" t="s">
        <v>5371</v>
      </c>
      <c r="F1478" s="18"/>
      <c r="G1478" s="18"/>
      <c r="H1478" s="15" t="s">
        <v>2898</v>
      </c>
      <c r="I1478" s="18"/>
      <c r="J1478" s="19" t="s">
        <v>59</v>
      </c>
      <c r="K1478" s="33"/>
      <c r="L1478" s="19" t="s">
        <v>38</v>
      </c>
      <c r="M1478" s="20">
        <f t="shared" si="2"/>
        <v>0</v>
      </c>
      <c r="N1478" s="22"/>
      <c r="O1478" s="19" t="s">
        <v>3578</v>
      </c>
      <c r="P1478" s="18"/>
      <c r="Q1478" s="18"/>
      <c r="R1478" s="23">
        <v>0.0</v>
      </c>
      <c r="S1478" s="23">
        <v>0.0</v>
      </c>
      <c r="T1478" s="23">
        <f t="shared" si="3"/>
        <v>0</v>
      </c>
      <c r="U1478" s="23">
        <f t="shared" si="4"/>
        <v>0</v>
      </c>
      <c r="V1478" s="23">
        <f t="shared" si="5"/>
        <v>0</v>
      </c>
      <c r="W1478" s="24" t="str">
        <f t="shared" si="6"/>
        <v>#DIV/0!</v>
      </c>
    </row>
    <row r="1479">
      <c r="A1479" s="15" t="s">
        <v>5372</v>
      </c>
      <c r="B1479" s="15" t="s">
        <v>5373</v>
      </c>
      <c r="C1479" s="18"/>
      <c r="D1479" s="15" t="s">
        <v>5374</v>
      </c>
      <c r="E1479" s="17" t="s">
        <v>5375</v>
      </c>
      <c r="F1479" s="18"/>
      <c r="G1479" s="18"/>
      <c r="H1479" s="15" t="s">
        <v>5376</v>
      </c>
      <c r="I1479" s="18"/>
      <c r="J1479" s="19" t="s">
        <v>59</v>
      </c>
      <c r="K1479" s="33"/>
      <c r="L1479" s="19" t="s">
        <v>38</v>
      </c>
      <c r="M1479" s="20">
        <f t="shared" si="2"/>
        <v>0</v>
      </c>
      <c r="N1479" s="22"/>
      <c r="O1479" s="19" t="s">
        <v>3578</v>
      </c>
      <c r="P1479" s="18"/>
      <c r="Q1479" s="18"/>
      <c r="R1479" s="23">
        <v>0.0</v>
      </c>
      <c r="S1479" s="23">
        <v>0.0</v>
      </c>
      <c r="T1479" s="23">
        <f t="shared" si="3"/>
        <v>0</v>
      </c>
      <c r="U1479" s="23">
        <f t="shared" si="4"/>
        <v>0</v>
      </c>
      <c r="V1479" s="23">
        <f t="shared" si="5"/>
        <v>0</v>
      </c>
      <c r="W1479" s="24" t="str">
        <f t="shared" si="6"/>
        <v>#DIV/0!</v>
      </c>
    </row>
    <row r="1480">
      <c r="A1480" s="15" t="s">
        <v>5377</v>
      </c>
      <c r="B1480" s="15" t="s">
        <v>5378</v>
      </c>
      <c r="C1480" s="18"/>
      <c r="D1480" s="15" t="s">
        <v>5379</v>
      </c>
      <c r="E1480" s="17" t="s">
        <v>5380</v>
      </c>
      <c r="F1480" s="18"/>
      <c r="G1480" s="18"/>
      <c r="H1480" s="15" t="s">
        <v>5381</v>
      </c>
      <c r="I1480" s="18"/>
      <c r="J1480" s="19" t="s">
        <v>36</v>
      </c>
      <c r="K1480" s="33"/>
      <c r="L1480" s="19" t="s">
        <v>38</v>
      </c>
      <c r="M1480" s="20">
        <f t="shared" si="2"/>
        <v>0</v>
      </c>
      <c r="N1480" s="22"/>
      <c r="O1480" s="19" t="s">
        <v>3578</v>
      </c>
      <c r="P1480" s="18"/>
      <c r="Q1480" s="18"/>
      <c r="R1480" s="23">
        <v>0.0</v>
      </c>
      <c r="S1480" s="23">
        <v>0.0</v>
      </c>
      <c r="T1480" s="23">
        <f t="shared" si="3"/>
        <v>0</v>
      </c>
      <c r="U1480" s="23">
        <f t="shared" si="4"/>
        <v>0</v>
      </c>
      <c r="V1480" s="23">
        <f t="shared" si="5"/>
        <v>0</v>
      </c>
      <c r="W1480" s="24" t="str">
        <f t="shared" si="6"/>
        <v>#DIV/0!</v>
      </c>
    </row>
    <row r="1481">
      <c r="A1481" s="15" t="s">
        <v>5382</v>
      </c>
      <c r="B1481" s="15" t="s">
        <v>5383</v>
      </c>
      <c r="C1481" s="18"/>
      <c r="D1481" s="15" t="s">
        <v>4315</v>
      </c>
      <c r="E1481" s="17" t="s">
        <v>192</v>
      </c>
      <c r="F1481" s="18"/>
      <c r="G1481" s="18"/>
      <c r="H1481" s="15" t="s">
        <v>5384</v>
      </c>
      <c r="I1481" s="18"/>
      <c r="J1481" s="19" t="s">
        <v>36</v>
      </c>
      <c r="K1481" s="33"/>
      <c r="L1481" s="19" t="s">
        <v>38</v>
      </c>
      <c r="M1481" s="20">
        <f t="shared" si="2"/>
        <v>0</v>
      </c>
      <c r="N1481" s="22"/>
      <c r="O1481" s="19" t="s">
        <v>3578</v>
      </c>
      <c r="P1481" s="18"/>
      <c r="Q1481" s="18"/>
      <c r="R1481" s="23">
        <v>0.0</v>
      </c>
      <c r="S1481" s="23">
        <v>0.0</v>
      </c>
      <c r="T1481" s="23">
        <f t="shared" si="3"/>
        <v>0</v>
      </c>
      <c r="U1481" s="23">
        <f t="shared" si="4"/>
        <v>0</v>
      </c>
      <c r="V1481" s="23">
        <f t="shared" si="5"/>
        <v>0</v>
      </c>
      <c r="W1481" s="24" t="str">
        <f t="shared" si="6"/>
        <v>#DIV/0!</v>
      </c>
    </row>
    <row r="1482">
      <c r="A1482" s="15" t="s">
        <v>5385</v>
      </c>
      <c r="B1482" s="15" t="s">
        <v>5386</v>
      </c>
      <c r="C1482" s="18"/>
      <c r="D1482" s="15" t="s">
        <v>5387</v>
      </c>
      <c r="E1482" s="17" t="s">
        <v>5388</v>
      </c>
      <c r="F1482" s="18"/>
      <c r="G1482" s="18"/>
      <c r="H1482" s="18"/>
      <c r="I1482" s="18"/>
      <c r="J1482" s="19" t="s">
        <v>36</v>
      </c>
      <c r="K1482" s="33"/>
      <c r="L1482" s="19" t="s">
        <v>38</v>
      </c>
      <c r="M1482" s="20">
        <f t="shared" si="2"/>
        <v>0</v>
      </c>
      <c r="N1482" s="22"/>
      <c r="O1482" s="19" t="s">
        <v>3578</v>
      </c>
      <c r="P1482" s="18"/>
      <c r="Q1482" s="18"/>
      <c r="R1482" s="23">
        <v>0.0</v>
      </c>
      <c r="S1482" s="23">
        <v>0.0</v>
      </c>
      <c r="T1482" s="23">
        <f t="shared" si="3"/>
        <v>0</v>
      </c>
      <c r="U1482" s="23">
        <f t="shared" si="4"/>
        <v>0</v>
      </c>
      <c r="V1482" s="23">
        <f t="shared" si="5"/>
        <v>0</v>
      </c>
      <c r="W1482" s="24" t="str">
        <f t="shared" si="6"/>
        <v>#DIV/0!</v>
      </c>
    </row>
    <row r="1483">
      <c r="A1483" s="15" t="s">
        <v>5389</v>
      </c>
      <c r="B1483" s="15" t="s">
        <v>5390</v>
      </c>
      <c r="C1483" s="18"/>
      <c r="D1483" s="18"/>
      <c r="E1483" s="17" t="s">
        <v>5391</v>
      </c>
      <c r="F1483" s="18"/>
      <c r="G1483" s="18"/>
      <c r="H1483" s="15" t="s">
        <v>5392</v>
      </c>
      <c r="I1483" s="18"/>
      <c r="J1483" s="19" t="s">
        <v>36</v>
      </c>
      <c r="K1483" s="33"/>
      <c r="L1483" s="19" t="s">
        <v>38</v>
      </c>
      <c r="M1483" s="20">
        <f t="shared" si="2"/>
        <v>0</v>
      </c>
      <c r="N1483" s="22"/>
      <c r="O1483" s="19" t="s">
        <v>3578</v>
      </c>
      <c r="P1483" s="18"/>
      <c r="Q1483" s="18"/>
      <c r="R1483" s="23">
        <v>0.0</v>
      </c>
      <c r="S1483" s="23">
        <v>0.0</v>
      </c>
      <c r="T1483" s="23">
        <f t="shared" si="3"/>
        <v>0</v>
      </c>
      <c r="U1483" s="23">
        <f t="shared" si="4"/>
        <v>0</v>
      </c>
      <c r="V1483" s="23">
        <f t="shared" si="5"/>
        <v>0</v>
      </c>
      <c r="W1483" s="24" t="str">
        <f t="shared" si="6"/>
        <v>#DIV/0!</v>
      </c>
    </row>
    <row r="1484">
      <c r="A1484" s="15" t="s">
        <v>5393</v>
      </c>
      <c r="B1484" s="15" t="s">
        <v>5394</v>
      </c>
      <c r="C1484" s="18"/>
      <c r="D1484" s="15" t="s">
        <v>5395</v>
      </c>
      <c r="E1484" s="17" t="s">
        <v>5396</v>
      </c>
      <c r="F1484" s="18"/>
      <c r="G1484" s="18"/>
      <c r="H1484" s="15" t="s">
        <v>5397</v>
      </c>
      <c r="I1484" s="18"/>
      <c r="J1484" s="19" t="s">
        <v>36</v>
      </c>
      <c r="K1484" s="33"/>
      <c r="L1484" s="19" t="s">
        <v>38</v>
      </c>
      <c r="M1484" s="20">
        <f t="shared" si="2"/>
        <v>0</v>
      </c>
      <c r="N1484" s="22"/>
      <c r="O1484" s="19" t="s">
        <v>3578</v>
      </c>
      <c r="P1484" s="18"/>
      <c r="Q1484" s="18"/>
      <c r="R1484" s="23">
        <v>0.0</v>
      </c>
      <c r="S1484" s="23">
        <v>0.0</v>
      </c>
      <c r="T1484" s="23">
        <f t="shared" si="3"/>
        <v>0</v>
      </c>
      <c r="U1484" s="23">
        <f t="shared" si="4"/>
        <v>0</v>
      </c>
      <c r="V1484" s="23">
        <f t="shared" si="5"/>
        <v>0</v>
      </c>
      <c r="W1484" s="24" t="str">
        <f t="shared" si="6"/>
        <v>#DIV/0!</v>
      </c>
    </row>
    <row r="1485">
      <c r="A1485" s="15" t="s">
        <v>5398</v>
      </c>
      <c r="B1485" s="15" t="s">
        <v>5399</v>
      </c>
      <c r="C1485" s="18"/>
      <c r="D1485" s="15" t="s">
        <v>5400</v>
      </c>
      <c r="E1485" s="17" t="s">
        <v>5401</v>
      </c>
      <c r="F1485" s="18"/>
      <c r="G1485" s="18"/>
      <c r="H1485" s="15" t="s">
        <v>5402</v>
      </c>
      <c r="I1485" s="18"/>
      <c r="J1485" s="19" t="s">
        <v>36</v>
      </c>
      <c r="K1485" s="33"/>
      <c r="L1485" s="19" t="s">
        <v>38</v>
      </c>
      <c r="M1485" s="20">
        <f t="shared" si="2"/>
        <v>0</v>
      </c>
      <c r="N1485" s="22"/>
      <c r="O1485" s="19" t="s">
        <v>3578</v>
      </c>
      <c r="P1485" s="18"/>
      <c r="Q1485" s="18"/>
      <c r="R1485" s="23">
        <v>0.0</v>
      </c>
      <c r="S1485" s="23">
        <v>0.0</v>
      </c>
      <c r="T1485" s="23">
        <f t="shared" si="3"/>
        <v>0</v>
      </c>
      <c r="U1485" s="23">
        <f t="shared" si="4"/>
        <v>0</v>
      </c>
      <c r="V1485" s="23">
        <f t="shared" si="5"/>
        <v>0</v>
      </c>
      <c r="W1485" s="24" t="str">
        <f t="shared" si="6"/>
        <v>#DIV/0!</v>
      </c>
    </row>
    <row r="1486">
      <c r="A1486" s="15" t="s">
        <v>5403</v>
      </c>
      <c r="B1486" s="15" t="s">
        <v>5404</v>
      </c>
      <c r="C1486" s="18"/>
      <c r="D1486" s="15" t="s">
        <v>5405</v>
      </c>
      <c r="E1486" s="17" t="s">
        <v>5406</v>
      </c>
      <c r="F1486" s="18"/>
      <c r="G1486" s="18"/>
      <c r="H1486" s="15" t="s">
        <v>5407</v>
      </c>
      <c r="I1486" s="18"/>
      <c r="J1486" s="19" t="s">
        <v>36</v>
      </c>
      <c r="K1486" s="33"/>
      <c r="L1486" s="19" t="s">
        <v>38</v>
      </c>
      <c r="M1486" s="20">
        <f t="shared" si="2"/>
        <v>0</v>
      </c>
      <c r="N1486" s="22"/>
      <c r="O1486" s="19" t="s">
        <v>3578</v>
      </c>
      <c r="P1486" s="18"/>
      <c r="Q1486" s="18"/>
      <c r="R1486" s="23">
        <v>0.0</v>
      </c>
      <c r="S1486" s="23">
        <v>0.0</v>
      </c>
      <c r="T1486" s="23">
        <f t="shared" si="3"/>
        <v>0</v>
      </c>
      <c r="U1486" s="23">
        <f t="shared" si="4"/>
        <v>0</v>
      </c>
      <c r="V1486" s="23">
        <f t="shared" si="5"/>
        <v>0</v>
      </c>
      <c r="W1486" s="24" t="str">
        <f t="shared" si="6"/>
        <v>#DIV/0!</v>
      </c>
    </row>
    <row r="1487">
      <c r="A1487" s="15" t="s">
        <v>5408</v>
      </c>
      <c r="B1487" s="15" t="s">
        <v>5409</v>
      </c>
      <c r="C1487" s="15"/>
      <c r="D1487" s="15" t="s">
        <v>5410</v>
      </c>
      <c r="E1487" s="17" t="s">
        <v>5411</v>
      </c>
      <c r="F1487" s="18"/>
      <c r="G1487" s="18"/>
      <c r="H1487" s="15" t="s">
        <v>5412</v>
      </c>
      <c r="I1487" s="15" t="s">
        <v>5413</v>
      </c>
      <c r="J1487" s="19" t="s">
        <v>702</v>
      </c>
      <c r="K1487" s="33"/>
      <c r="L1487" s="19" t="s">
        <v>177</v>
      </c>
      <c r="M1487" s="20">
        <f t="shared" si="2"/>
        <v>0</v>
      </c>
      <c r="N1487" s="22"/>
      <c r="O1487" s="19" t="s">
        <v>3578</v>
      </c>
      <c r="P1487" s="18"/>
      <c r="Q1487" s="18"/>
      <c r="R1487" s="23">
        <v>0.0</v>
      </c>
      <c r="S1487" s="23">
        <v>0.0</v>
      </c>
      <c r="T1487" s="23">
        <f t="shared" si="3"/>
        <v>0</v>
      </c>
      <c r="U1487" s="23">
        <f t="shared" si="4"/>
        <v>0</v>
      </c>
      <c r="V1487" s="23">
        <f t="shared" si="5"/>
        <v>0</v>
      </c>
      <c r="W1487" s="24" t="str">
        <f t="shared" si="6"/>
        <v>#DIV/0!</v>
      </c>
    </row>
    <row r="1488">
      <c r="A1488" s="15" t="s">
        <v>5414</v>
      </c>
      <c r="B1488" s="15" t="s">
        <v>5415</v>
      </c>
      <c r="C1488" s="18"/>
      <c r="D1488" s="15" t="s">
        <v>5416</v>
      </c>
      <c r="E1488" s="17" t="s">
        <v>5417</v>
      </c>
      <c r="F1488" s="18"/>
      <c r="G1488" s="18"/>
      <c r="H1488" s="41" t="s">
        <v>5418</v>
      </c>
      <c r="I1488" s="18"/>
      <c r="J1488" s="19" t="s">
        <v>702</v>
      </c>
      <c r="K1488" s="33"/>
      <c r="L1488" s="19" t="s">
        <v>177</v>
      </c>
      <c r="M1488" s="20">
        <f t="shared" si="2"/>
        <v>0</v>
      </c>
      <c r="N1488" s="22"/>
      <c r="O1488" s="19" t="s">
        <v>3578</v>
      </c>
      <c r="P1488" s="18"/>
      <c r="Q1488" s="18"/>
      <c r="R1488" s="23">
        <v>0.0</v>
      </c>
      <c r="S1488" s="23">
        <v>0.0</v>
      </c>
      <c r="T1488" s="23">
        <f t="shared" si="3"/>
        <v>0</v>
      </c>
      <c r="U1488" s="23">
        <f t="shared" si="4"/>
        <v>0</v>
      </c>
      <c r="V1488" s="23">
        <f t="shared" si="5"/>
        <v>0</v>
      </c>
      <c r="W1488" s="24" t="str">
        <f t="shared" si="6"/>
        <v>#DIV/0!</v>
      </c>
    </row>
    <row r="1489">
      <c r="A1489" s="15" t="s">
        <v>5419</v>
      </c>
      <c r="B1489" s="18"/>
      <c r="C1489" s="18"/>
      <c r="D1489" s="18"/>
      <c r="E1489" s="17" t="s">
        <v>5420</v>
      </c>
      <c r="F1489" s="18"/>
      <c r="G1489" s="18"/>
      <c r="H1489" s="15" t="s">
        <v>5421</v>
      </c>
      <c r="I1489" s="18"/>
      <c r="J1489" s="19" t="s">
        <v>702</v>
      </c>
      <c r="K1489" s="33"/>
      <c r="L1489" s="19" t="s">
        <v>177</v>
      </c>
      <c r="M1489" s="20">
        <f t="shared" si="2"/>
        <v>0</v>
      </c>
      <c r="N1489" s="22"/>
      <c r="O1489" s="19" t="s">
        <v>3578</v>
      </c>
      <c r="P1489" s="18"/>
      <c r="Q1489" s="18"/>
      <c r="R1489" s="23">
        <v>0.0</v>
      </c>
      <c r="S1489" s="23">
        <v>0.0</v>
      </c>
      <c r="T1489" s="23">
        <f t="shared" si="3"/>
        <v>0</v>
      </c>
      <c r="U1489" s="23">
        <f t="shared" si="4"/>
        <v>0</v>
      </c>
      <c r="V1489" s="23">
        <f t="shared" si="5"/>
        <v>0</v>
      </c>
      <c r="W1489" s="24" t="str">
        <f t="shared" si="6"/>
        <v>#DIV/0!</v>
      </c>
    </row>
    <row r="1490">
      <c r="A1490" s="15" t="s">
        <v>5422</v>
      </c>
      <c r="B1490" s="15" t="s">
        <v>5423</v>
      </c>
      <c r="C1490" s="18"/>
      <c r="D1490" s="15" t="s">
        <v>5424</v>
      </c>
      <c r="E1490" s="17" t="s">
        <v>5425</v>
      </c>
      <c r="F1490" s="18"/>
      <c r="G1490" s="18"/>
      <c r="H1490" s="15" t="s">
        <v>5426</v>
      </c>
      <c r="I1490" s="18"/>
      <c r="J1490" s="19" t="s">
        <v>702</v>
      </c>
      <c r="K1490" s="33"/>
      <c r="L1490" s="19" t="s">
        <v>177</v>
      </c>
      <c r="M1490" s="20">
        <f t="shared" si="2"/>
        <v>0</v>
      </c>
      <c r="N1490" s="22"/>
      <c r="O1490" s="19" t="s">
        <v>3578</v>
      </c>
      <c r="P1490" s="18"/>
      <c r="Q1490" s="18"/>
      <c r="R1490" s="23">
        <v>0.0</v>
      </c>
      <c r="S1490" s="23">
        <v>0.0</v>
      </c>
      <c r="T1490" s="23">
        <f t="shared" si="3"/>
        <v>0</v>
      </c>
      <c r="U1490" s="23">
        <f t="shared" si="4"/>
        <v>0</v>
      </c>
      <c r="V1490" s="23">
        <f t="shared" si="5"/>
        <v>0</v>
      </c>
      <c r="W1490" s="24" t="str">
        <f t="shared" si="6"/>
        <v>#DIV/0!</v>
      </c>
    </row>
    <row r="1491">
      <c r="A1491" s="15" t="s">
        <v>5427</v>
      </c>
      <c r="B1491" s="15" t="s">
        <v>5428</v>
      </c>
      <c r="C1491" s="18"/>
      <c r="D1491" s="15" t="s">
        <v>5429</v>
      </c>
      <c r="E1491" s="17" t="s">
        <v>5430</v>
      </c>
      <c r="F1491" s="18"/>
      <c r="G1491" s="18"/>
      <c r="H1491" s="15" t="s">
        <v>5431</v>
      </c>
      <c r="I1491" s="18"/>
      <c r="J1491" s="19" t="s">
        <v>702</v>
      </c>
      <c r="K1491" s="33"/>
      <c r="L1491" s="19" t="s">
        <v>38</v>
      </c>
      <c r="M1491" s="20">
        <f t="shared" si="2"/>
        <v>0</v>
      </c>
      <c r="N1491" s="22"/>
      <c r="O1491" s="19" t="s">
        <v>3578</v>
      </c>
      <c r="P1491" s="18"/>
      <c r="Q1491" s="18"/>
      <c r="R1491" s="23">
        <v>0.0</v>
      </c>
      <c r="S1491" s="23">
        <v>0.0</v>
      </c>
      <c r="T1491" s="23">
        <f t="shared" si="3"/>
        <v>0</v>
      </c>
      <c r="U1491" s="23">
        <f t="shared" si="4"/>
        <v>0</v>
      </c>
      <c r="V1491" s="23">
        <f t="shared" si="5"/>
        <v>0</v>
      </c>
      <c r="W1491" s="24" t="str">
        <f t="shared" si="6"/>
        <v>#DIV/0!</v>
      </c>
    </row>
    <row r="1492">
      <c r="A1492" s="15" t="s">
        <v>5432</v>
      </c>
      <c r="B1492" s="15" t="s">
        <v>5433</v>
      </c>
      <c r="C1492" s="18"/>
      <c r="D1492" s="15" t="s">
        <v>5434</v>
      </c>
      <c r="E1492" s="17" t="s">
        <v>5435</v>
      </c>
      <c r="F1492" s="18"/>
      <c r="G1492" s="18"/>
      <c r="H1492" s="15" t="s">
        <v>5436</v>
      </c>
      <c r="I1492" s="15" t="s">
        <v>5437</v>
      </c>
      <c r="J1492" s="19" t="s">
        <v>104</v>
      </c>
      <c r="K1492" s="19" t="s">
        <v>717</v>
      </c>
      <c r="L1492" s="19" t="s">
        <v>919</v>
      </c>
      <c r="M1492" s="20">
        <f t="shared" si="2"/>
        <v>0</v>
      </c>
      <c r="N1492" s="22"/>
      <c r="O1492" s="19" t="s">
        <v>3578</v>
      </c>
      <c r="P1492" s="18"/>
      <c r="Q1492" s="18"/>
      <c r="R1492" s="23">
        <v>0.0</v>
      </c>
      <c r="S1492" s="23">
        <v>0.0</v>
      </c>
      <c r="T1492" s="23">
        <f t="shared" si="3"/>
        <v>0</v>
      </c>
      <c r="U1492" s="23">
        <f t="shared" si="4"/>
        <v>0</v>
      </c>
      <c r="V1492" s="23">
        <f t="shared" si="5"/>
        <v>0</v>
      </c>
      <c r="W1492" s="24" t="str">
        <f t="shared" si="6"/>
        <v>#DIV/0!</v>
      </c>
    </row>
    <row r="1493">
      <c r="A1493" s="15" t="s">
        <v>3563</v>
      </c>
      <c r="B1493" s="18"/>
      <c r="C1493" s="18"/>
      <c r="D1493" s="15" t="s">
        <v>3564</v>
      </c>
      <c r="E1493" s="17" t="s">
        <v>3565</v>
      </c>
      <c r="F1493" s="18"/>
      <c r="G1493" s="18"/>
      <c r="H1493" s="18"/>
      <c r="I1493" s="18"/>
      <c r="J1493" s="33"/>
      <c r="K1493" s="33"/>
      <c r="L1493" s="19" t="s">
        <v>38</v>
      </c>
      <c r="M1493" s="20">
        <f t="shared" si="2"/>
        <v>0</v>
      </c>
      <c r="N1493" s="22"/>
      <c r="O1493" s="19" t="s">
        <v>1145</v>
      </c>
      <c r="P1493" s="18"/>
      <c r="Q1493" s="18"/>
      <c r="R1493" s="23">
        <v>0.0</v>
      </c>
      <c r="S1493" s="23">
        <v>0.0</v>
      </c>
      <c r="T1493" s="23">
        <f t="shared" si="3"/>
        <v>0</v>
      </c>
      <c r="U1493" s="23">
        <f t="shared" si="4"/>
        <v>0</v>
      </c>
      <c r="V1493" s="23">
        <f t="shared" si="5"/>
        <v>0</v>
      </c>
      <c r="W1493" s="24" t="str">
        <f t="shared" si="6"/>
        <v>#DIV/0!</v>
      </c>
    </row>
    <row r="1494">
      <c r="A1494" s="15" t="s">
        <v>5438</v>
      </c>
      <c r="B1494" s="15" t="s">
        <v>5439</v>
      </c>
      <c r="C1494" s="18"/>
      <c r="D1494" s="15" t="s">
        <v>5440</v>
      </c>
      <c r="E1494" s="17" t="s">
        <v>5441</v>
      </c>
      <c r="F1494" s="18"/>
      <c r="G1494" s="18"/>
      <c r="H1494" s="15" t="s">
        <v>5442</v>
      </c>
      <c r="I1494" s="18"/>
      <c r="J1494" s="19" t="s">
        <v>702</v>
      </c>
      <c r="K1494" s="33"/>
      <c r="L1494" s="19" t="s">
        <v>38</v>
      </c>
      <c r="M1494" s="20">
        <f t="shared" si="2"/>
        <v>0</v>
      </c>
      <c r="N1494" s="22"/>
      <c r="O1494" s="19" t="s">
        <v>3578</v>
      </c>
      <c r="P1494" s="18"/>
      <c r="Q1494" s="18"/>
      <c r="R1494" s="23">
        <v>0.0</v>
      </c>
      <c r="S1494" s="23">
        <v>0.0</v>
      </c>
      <c r="T1494" s="23">
        <f t="shared" si="3"/>
        <v>0</v>
      </c>
      <c r="U1494" s="23">
        <f t="shared" si="4"/>
        <v>0</v>
      </c>
      <c r="V1494" s="23">
        <f t="shared" si="5"/>
        <v>0</v>
      </c>
      <c r="W1494" s="24" t="str">
        <f t="shared" si="6"/>
        <v>#DIV/0!</v>
      </c>
    </row>
    <row r="1495">
      <c r="A1495" s="15" t="s">
        <v>5443</v>
      </c>
      <c r="B1495" s="15" t="s">
        <v>5444</v>
      </c>
      <c r="C1495" s="18"/>
      <c r="D1495" s="15" t="s">
        <v>5445</v>
      </c>
      <c r="E1495" s="17" t="s">
        <v>5446</v>
      </c>
      <c r="F1495" s="18"/>
      <c r="G1495" s="18"/>
      <c r="H1495" s="15" t="s">
        <v>5447</v>
      </c>
      <c r="I1495" s="18"/>
      <c r="J1495" s="19" t="s">
        <v>702</v>
      </c>
      <c r="K1495" s="33"/>
      <c r="L1495" s="19" t="s">
        <v>38</v>
      </c>
      <c r="M1495" s="20">
        <f t="shared" si="2"/>
        <v>0</v>
      </c>
      <c r="N1495" s="22"/>
      <c r="O1495" s="19" t="s">
        <v>3578</v>
      </c>
      <c r="P1495" s="18"/>
      <c r="Q1495" s="18"/>
      <c r="R1495" s="23">
        <v>0.0</v>
      </c>
      <c r="S1495" s="23">
        <v>0.0</v>
      </c>
      <c r="T1495" s="23">
        <f t="shared" si="3"/>
        <v>0</v>
      </c>
      <c r="U1495" s="23">
        <f t="shared" si="4"/>
        <v>0</v>
      </c>
      <c r="V1495" s="23">
        <f t="shared" si="5"/>
        <v>0</v>
      </c>
      <c r="W1495" s="24" t="str">
        <f t="shared" si="6"/>
        <v>#DIV/0!</v>
      </c>
    </row>
    <row r="1496">
      <c r="A1496" s="15" t="s">
        <v>5448</v>
      </c>
      <c r="B1496" s="15" t="s">
        <v>5449</v>
      </c>
      <c r="C1496" s="18"/>
      <c r="D1496" s="15" t="s">
        <v>5450</v>
      </c>
      <c r="E1496" s="17" t="s">
        <v>5451</v>
      </c>
      <c r="F1496" s="18"/>
      <c r="G1496" s="18"/>
      <c r="H1496" s="15" t="s">
        <v>5452</v>
      </c>
      <c r="I1496" s="18"/>
      <c r="J1496" s="19" t="s">
        <v>702</v>
      </c>
      <c r="K1496" s="33"/>
      <c r="L1496" s="19" t="s">
        <v>38</v>
      </c>
      <c r="M1496" s="20">
        <f t="shared" si="2"/>
        <v>0</v>
      </c>
      <c r="N1496" s="22"/>
      <c r="O1496" s="19" t="s">
        <v>3578</v>
      </c>
      <c r="P1496" s="18"/>
      <c r="Q1496" s="18"/>
      <c r="R1496" s="23">
        <v>0.0</v>
      </c>
      <c r="S1496" s="23">
        <v>0.0</v>
      </c>
      <c r="T1496" s="23">
        <f t="shared" si="3"/>
        <v>0</v>
      </c>
      <c r="U1496" s="23">
        <f t="shared" si="4"/>
        <v>0</v>
      </c>
      <c r="V1496" s="23">
        <f t="shared" si="5"/>
        <v>0</v>
      </c>
      <c r="W1496" s="24" t="str">
        <f t="shared" si="6"/>
        <v>#DIV/0!</v>
      </c>
    </row>
    <row r="1497">
      <c r="A1497" s="15" t="s">
        <v>5454</v>
      </c>
      <c r="B1497" s="15" t="s">
        <v>5455</v>
      </c>
      <c r="C1497" s="18"/>
      <c r="D1497" s="15" t="s">
        <v>5456</v>
      </c>
      <c r="E1497" s="17" t="s">
        <v>5457</v>
      </c>
      <c r="F1497" s="18"/>
      <c r="G1497" s="18"/>
      <c r="H1497" s="15" t="s">
        <v>5458</v>
      </c>
      <c r="I1497" s="18"/>
      <c r="J1497" s="19" t="s">
        <v>104</v>
      </c>
      <c r="K1497" s="19" t="s">
        <v>160</v>
      </c>
      <c r="L1497" s="19" t="s">
        <v>106</v>
      </c>
      <c r="M1497" s="20">
        <f t="shared" si="2"/>
        <v>0</v>
      </c>
      <c r="N1497" s="22"/>
      <c r="O1497" s="19" t="s">
        <v>3578</v>
      </c>
      <c r="P1497" s="18"/>
      <c r="Q1497" s="18"/>
      <c r="R1497" s="23">
        <v>0.0</v>
      </c>
      <c r="S1497" s="23">
        <v>0.0</v>
      </c>
      <c r="T1497" s="23">
        <f t="shared" si="3"/>
        <v>0</v>
      </c>
      <c r="U1497" s="23">
        <f t="shared" si="4"/>
        <v>0</v>
      </c>
      <c r="V1497" s="23">
        <f t="shared" si="5"/>
        <v>0</v>
      </c>
      <c r="W1497" s="24" t="str">
        <f t="shared" si="6"/>
        <v>#DIV/0!</v>
      </c>
    </row>
    <row r="1498">
      <c r="A1498" s="15" t="s">
        <v>5459</v>
      </c>
      <c r="B1498" s="15" t="s">
        <v>5460</v>
      </c>
      <c r="C1498" s="18"/>
      <c r="D1498" s="15" t="s">
        <v>5461</v>
      </c>
      <c r="E1498" s="17" t="s">
        <v>5462</v>
      </c>
      <c r="F1498" s="18"/>
      <c r="G1498" s="18"/>
      <c r="H1498" s="15" t="s">
        <v>5463</v>
      </c>
      <c r="I1498" s="18"/>
      <c r="J1498" s="19" t="s">
        <v>59</v>
      </c>
      <c r="K1498" s="19" t="s">
        <v>52</v>
      </c>
      <c r="L1498" s="19" t="s">
        <v>52</v>
      </c>
      <c r="M1498" s="20">
        <f t="shared" si="2"/>
        <v>0</v>
      </c>
      <c r="N1498" s="22"/>
      <c r="O1498" s="19" t="s">
        <v>3578</v>
      </c>
      <c r="P1498" s="18"/>
      <c r="Q1498" s="18"/>
      <c r="R1498" s="23">
        <v>0.0</v>
      </c>
      <c r="S1498" s="23">
        <v>0.0</v>
      </c>
      <c r="T1498" s="23">
        <f t="shared" si="3"/>
        <v>0</v>
      </c>
      <c r="U1498" s="23">
        <f t="shared" si="4"/>
        <v>0</v>
      </c>
      <c r="V1498" s="23">
        <f t="shared" si="5"/>
        <v>0</v>
      </c>
      <c r="W1498" s="24" t="str">
        <f t="shared" si="6"/>
        <v>#DIV/0!</v>
      </c>
    </row>
    <row r="1499">
      <c r="A1499" s="15" t="s">
        <v>5464</v>
      </c>
      <c r="B1499" s="15" t="s">
        <v>5465</v>
      </c>
      <c r="C1499" s="18"/>
      <c r="D1499" s="15" t="s">
        <v>5466</v>
      </c>
      <c r="E1499" s="17" t="s">
        <v>5467</v>
      </c>
      <c r="F1499" s="18"/>
      <c r="G1499" s="18"/>
      <c r="H1499" s="15" t="s">
        <v>5468</v>
      </c>
      <c r="I1499" s="15" t="s">
        <v>5469</v>
      </c>
      <c r="J1499" s="19" t="s">
        <v>702</v>
      </c>
      <c r="K1499" s="33"/>
      <c r="L1499" s="19" t="s">
        <v>135</v>
      </c>
      <c r="M1499" s="20">
        <f t="shared" si="2"/>
        <v>0</v>
      </c>
      <c r="N1499" s="22"/>
      <c r="O1499" s="19" t="s">
        <v>3578</v>
      </c>
      <c r="P1499" s="18"/>
      <c r="Q1499" s="18"/>
      <c r="R1499" s="23">
        <v>0.0</v>
      </c>
      <c r="S1499" s="23">
        <v>0.0</v>
      </c>
      <c r="T1499" s="23">
        <f t="shared" si="3"/>
        <v>0</v>
      </c>
      <c r="U1499" s="23">
        <f t="shared" si="4"/>
        <v>0</v>
      </c>
      <c r="V1499" s="23">
        <f t="shared" si="5"/>
        <v>0</v>
      </c>
      <c r="W1499" s="24" t="str">
        <f t="shared" si="6"/>
        <v>#DIV/0!</v>
      </c>
    </row>
    <row r="1500">
      <c r="A1500" s="15" t="s">
        <v>5470</v>
      </c>
      <c r="B1500" s="15" t="s">
        <v>5471</v>
      </c>
      <c r="C1500" s="18"/>
      <c r="D1500" s="15" t="s">
        <v>5472</v>
      </c>
      <c r="E1500" s="17" t="s">
        <v>5473</v>
      </c>
      <c r="F1500" s="18"/>
      <c r="G1500" s="18"/>
      <c r="H1500" s="15" t="s">
        <v>5474</v>
      </c>
      <c r="I1500" s="18"/>
      <c r="J1500" s="19" t="s">
        <v>702</v>
      </c>
      <c r="K1500" s="33"/>
      <c r="L1500" s="19" t="s">
        <v>38</v>
      </c>
      <c r="M1500" s="20">
        <f t="shared" si="2"/>
        <v>0</v>
      </c>
      <c r="N1500" s="22"/>
      <c r="O1500" s="19" t="s">
        <v>3578</v>
      </c>
      <c r="P1500" s="18"/>
      <c r="Q1500" s="18"/>
      <c r="R1500" s="23">
        <v>0.0</v>
      </c>
      <c r="S1500" s="23">
        <v>0.0</v>
      </c>
      <c r="T1500" s="23">
        <f t="shared" si="3"/>
        <v>0</v>
      </c>
      <c r="U1500" s="23">
        <f t="shared" si="4"/>
        <v>0</v>
      </c>
      <c r="V1500" s="23">
        <f t="shared" si="5"/>
        <v>0</v>
      </c>
      <c r="W1500" s="24" t="str">
        <f t="shared" si="6"/>
        <v>#DIV/0!</v>
      </c>
    </row>
    <row r="1501">
      <c r="A1501" s="15" t="s">
        <v>5475</v>
      </c>
      <c r="B1501" s="15" t="s">
        <v>5476</v>
      </c>
      <c r="C1501" s="18"/>
      <c r="D1501" s="15" t="s">
        <v>5477</v>
      </c>
      <c r="E1501" s="17" t="s">
        <v>5478</v>
      </c>
      <c r="F1501" s="18"/>
      <c r="G1501" s="18"/>
      <c r="H1501" s="15" t="s">
        <v>5479</v>
      </c>
      <c r="I1501" s="18"/>
      <c r="J1501" s="52" t="s">
        <v>5480</v>
      </c>
      <c r="K1501" s="33"/>
      <c r="L1501" s="19" t="s">
        <v>38</v>
      </c>
      <c r="M1501" s="20">
        <f t="shared" si="2"/>
        <v>0</v>
      </c>
      <c r="N1501" s="22"/>
      <c r="O1501" s="19" t="s">
        <v>3578</v>
      </c>
      <c r="P1501" s="18"/>
      <c r="Q1501" s="18"/>
      <c r="R1501" s="23">
        <v>0.0</v>
      </c>
      <c r="S1501" s="23">
        <v>0.0</v>
      </c>
      <c r="T1501" s="23">
        <f t="shared" si="3"/>
        <v>0</v>
      </c>
      <c r="U1501" s="23">
        <f t="shared" si="4"/>
        <v>0</v>
      </c>
      <c r="V1501" s="23">
        <f t="shared" si="5"/>
        <v>0</v>
      </c>
      <c r="W1501" s="24" t="str">
        <f t="shared" si="6"/>
        <v>#DIV/0!</v>
      </c>
    </row>
    <row r="1502">
      <c r="A1502" s="15" t="s">
        <v>5481</v>
      </c>
      <c r="B1502" s="15" t="s">
        <v>5482</v>
      </c>
      <c r="C1502" s="18"/>
      <c r="D1502" s="15" t="s">
        <v>5483</v>
      </c>
      <c r="E1502" s="17" t="s">
        <v>5484</v>
      </c>
      <c r="F1502" s="18"/>
      <c r="G1502" s="18"/>
      <c r="H1502" s="15" t="s">
        <v>5485</v>
      </c>
      <c r="I1502" s="18"/>
      <c r="J1502" s="19" t="s">
        <v>5480</v>
      </c>
      <c r="K1502" s="33"/>
      <c r="L1502" s="19" t="s">
        <v>38</v>
      </c>
      <c r="M1502" s="20">
        <f t="shared" si="2"/>
        <v>0</v>
      </c>
      <c r="N1502" s="22"/>
      <c r="O1502" s="19" t="s">
        <v>3578</v>
      </c>
      <c r="P1502" s="18"/>
      <c r="Q1502" s="18"/>
      <c r="R1502" s="23">
        <v>0.0</v>
      </c>
      <c r="S1502" s="23">
        <v>0.0</v>
      </c>
      <c r="T1502" s="23">
        <f t="shared" si="3"/>
        <v>0</v>
      </c>
      <c r="U1502" s="23">
        <f t="shared" si="4"/>
        <v>0</v>
      </c>
      <c r="V1502" s="23">
        <f t="shared" si="5"/>
        <v>0</v>
      </c>
      <c r="W1502" s="24" t="str">
        <f t="shared" si="6"/>
        <v>#DIV/0!</v>
      </c>
    </row>
    <row r="1503">
      <c r="A1503" s="15" t="s">
        <v>5486</v>
      </c>
      <c r="B1503" s="15" t="s">
        <v>5487</v>
      </c>
      <c r="C1503" s="18"/>
      <c r="D1503" s="15" t="s">
        <v>5488</v>
      </c>
      <c r="E1503" s="17" t="s">
        <v>5489</v>
      </c>
      <c r="F1503" s="18"/>
      <c r="G1503" s="18"/>
      <c r="H1503" s="15" t="s">
        <v>5490</v>
      </c>
      <c r="I1503" s="18"/>
      <c r="J1503" s="19" t="s">
        <v>5480</v>
      </c>
      <c r="K1503" s="33"/>
      <c r="L1503" s="19" t="s">
        <v>38</v>
      </c>
      <c r="M1503" s="20">
        <f t="shared" si="2"/>
        <v>0</v>
      </c>
      <c r="N1503" s="22"/>
      <c r="O1503" s="19" t="s">
        <v>3578</v>
      </c>
      <c r="P1503" s="18"/>
      <c r="Q1503" s="18"/>
      <c r="R1503" s="23">
        <v>0.0</v>
      </c>
      <c r="S1503" s="23">
        <v>0.0</v>
      </c>
      <c r="T1503" s="23">
        <f t="shared" si="3"/>
        <v>0</v>
      </c>
      <c r="U1503" s="23">
        <f t="shared" si="4"/>
        <v>0</v>
      </c>
      <c r="V1503" s="23">
        <f t="shared" si="5"/>
        <v>0</v>
      </c>
      <c r="W1503" s="24" t="str">
        <f t="shared" si="6"/>
        <v>#DIV/0!</v>
      </c>
    </row>
    <row r="1504">
      <c r="A1504" s="15" t="s">
        <v>5491</v>
      </c>
      <c r="B1504" s="15" t="s">
        <v>5492</v>
      </c>
      <c r="C1504" s="18"/>
      <c r="D1504" s="15" t="s">
        <v>5493</v>
      </c>
      <c r="E1504" s="17" t="s">
        <v>5494</v>
      </c>
      <c r="F1504" s="18"/>
      <c r="G1504" s="18"/>
      <c r="H1504" s="15" t="s">
        <v>5495</v>
      </c>
      <c r="I1504" s="18"/>
      <c r="J1504" s="19" t="s">
        <v>5480</v>
      </c>
      <c r="K1504" s="33"/>
      <c r="L1504" s="19" t="s">
        <v>38</v>
      </c>
      <c r="M1504" s="20">
        <f t="shared" si="2"/>
        <v>0</v>
      </c>
      <c r="N1504" s="22"/>
      <c r="O1504" s="19" t="s">
        <v>3578</v>
      </c>
      <c r="P1504" s="18"/>
      <c r="Q1504" s="18"/>
      <c r="R1504" s="23">
        <v>0.0</v>
      </c>
      <c r="S1504" s="23">
        <v>0.0</v>
      </c>
      <c r="T1504" s="23">
        <f t="shared" si="3"/>
        <v>0</v>
      </c>
      <c r="U1504" s="23">
        <f t="shared" si="4"/>
        <v>0</v>
      </c>
      <c r="V1504" s="23">
        <f t="shared" si="5"/>
        <v>0</v>
      </c>
      <c r="W1504" s="24" t="str">
        <f t="shared" si="6"/>
        <v>#DIV/0!</v>
      </c>
    </row>
    <row r="1505">
      <c r="A1505" s="15" t="s">
        <v>5496</v>
      </c>
      <c r="B1505" s="15" t="s">
        <v>5497</v>
      </c>
      <c r="C1505" s="18"/>
      <c r="D1505" s="15" t="s">
        <v>5498</v>
      </c>
      <c r="E1505" s="17" t="s">
        <v>5499</v>
      </c>
      <c r="F1505" s="18"/>
      <c r="G1505" s="18"/>
      <c r="H1505" s="15" t="s">
        <v>5500</v>
      </c>
      <c r="I1505" s="18"/>
      <c r="J1505" s="19" t="s">
        <v>5480</v>
      </c>
      <c r="K1505" s="33"/>
      <c r="L1505" s="19" t="s">
        <v>38</v>
      </c>
      <c r="M1505" s="20">
        <f t="shared" si="2"/>
        <v>0</v>
      </c>
      <c r="N1505" s="22"/>
      <c r="O1505" s="19" t="s">
        <v>3578</v>
      </c>
      <c r="P1505" s="18"/>
      <c r="Q1505" s="18"/>
      <c r="R1505" s="23">
        <v>0.0</v>
      </c>
      <c r="S1505" s="23">
        <v>0.0</v>
      </c>
      <c r="T1505" s="23">
        <f t="shared" si="3"/>
        <v>0</v>
      </c>
      <c r="U1505" s="23">
        <f t="shared" si="4"/>
        <v>0</v>
      </c>
      <c r="V1505" s="23">
        <f t="shared" si="5"/>
        <v>0</v>
      </c>
      <c r="W1505" s="24" t="str">
        <f t="shared" si="6"/>
        <v>#DIV/0!</v>
      </c>
    </row>
    <row r="1506">
      <c r="A1506" s="15" t="s">
        <v>5501</v>
      </c>
      <c r="B1506" s="15" t="s">
        <v>5502</v>
      </c>
      <c r="C1506" s="18"/>
      <c r="D1506" s="15" t="s">
        <v>5503</v>
      </c>
      <c r="E1506" s="17" t="s">
        <v>5504</v>
      </c>
      <c r="F1506" s="18"/>
      <c r="G1506" s="18"/>
      <c r="H1506" s="15" t="s">
        <v>5505</v>
      </c>
      <c r="I1506" s="18"/>
      <c r="J1506" s="19" t="s">
        <v>5480</v>
      </c>
      <c r="K1506" s="33"/>
      <c r="L1506" s="19" t="s">
        <v>38</v>
      </c>
      <c r="M1506" s="20">
        <f t="shared" si="2"/>
        <v>0</v>
      </c>
      <c r="N1506" s="22"/>
      <c r="O1506" s="19" t="s">
        <v>3578</v>
      </c>
      <c r="P1506" s="18"/>
      <c r="Q1506" s="18"/>
      <c r="R1506" s="23">
        <v>0.0</v>
      </c>
      <c r="S1506" s="23">
        <v>0.0</v>
      </c>
      <c r="T1506" s="23">
        <f t="shared" si="3"/>
        <v>0</v>
      </c>
      <c r="U1506" s="23">
        <f t="shared" si="4"/>
        <v>0</v>
      </c>
      <c r="V1506" s="23">
        <f t="shared" si="5"/>
        <v>0</v>
      </c>
      <c r="W1506" s="24" t="str">
        <f t="shared" si="6"/>
        <v>#DIV/0!</v>
      </c>
    </row>
    <row r="1507">
      <c r="A1507" s="15" t="s">
        <v>5506</v>
      </c>
      <c r="B1507" s="15" t="s">
        <v>5507</v>
      </c>
      <c r="C1507" s="18"/>
      <c r="D1507" s="15" t="s">
        <v>5508</v>
      </c>
      <c r="E1507" s="17" t="s">
        <v>5509</v>
      </c>
      <c r="F1507" s="18"/>
      <c r="G1507" s="18"/>
      <c r="H1507" s="15" t="s">
        <v>5510</v>
      </c>
      <c r="I1507" s="18"/>
      <c r="J1507" s="19" t="s">
        <v>5480</v>
      </c>
      <c r="K1507" s="33"/>
      <c r="L1507" s="19" t="s">
        <v>38</v>
      </c>
      <c r="M1507" s="20">
        <f t="shared" si="2"/>
        <v>0</v>
      </c>
      <c r="N1507" s="22"/>
      <c r="O1507" s="19" t="s">
        <v>3578</v>
      </c>
      <c r="P1507" s="18"/>
      <c r="Q1507" s="18"/>
      <c r="R1507" s="23">
        <v>0.0</v>
      </c>
      <c r="S1507" s="23">
        <v>0.0</v>
      </c>
      <c r="T1507" s="23">
        <f t="shared" si="3"/>
        <v>0</v>
      </c>
      <c r="U1507" s="23">
        <f t="shared" si="4"/>
        <v>0</v>
      </c>
      <c r="V1507" s="23">
        <f t="shared" si="5"/>
        <v>0</v>
      </c>
      <c r="W1507" s="24" t="str">
        <f t="shared" si="6"/>
        <v>#DIV/0!</v>
      </c>
    </row>
    <row r="1508">
      <c r="A1508" s="15" t="s">
        <v>5512</v>
      </c>
      <c r="B1508" s="15" t="s">
        <v>5513</v>
      </c>
      <c r="C1508" s="18"/>
      <c r="D1508" s="15" t="s">
        <v>5514</v>
      </c>
      <c r="E1508" s="17" t="s">
        <v>5515</v>
      </c>
      <c r="F1508" s="18"/>
      <c r="G1508" s="18"/>
      <c r="H1508" s="15" t="s">
        <v>5516</v>
      </c>
      <c r="I1508" s="18"/>
      <c r="J1508" s="19" t="s">
        <v>5480</v>
      </c>
      <c r="K1508" s="33"/>
      <c r="L1508" s="19" t="s">
        <v>38</v>
      </c>
      <c r="M1508" s="20">
        <f t="shared" si="2"/>
        <v>0</v>
      </c>
      <c r="N1508" s="22"/>
      <c r="O1508" s="19" t="s">
        <v>3578</v>
      </c>
      <c r="P1508" s="18"/>
      <c r="Q1508" s="18"/>
      <c r="R1508" s="23">
        <v>0.0</v>
      </c>
      <c r="S1508" s="23">
        <v>0.0</v>
      </c>
      <c r="T1508" s="23">
        <f t="shared" si="3"/>
        <v>0</v>
      </c>
      <c r="U1508" s="23">
        <f t="shared" si="4"/>
        <v>0</v>
      </c>
      <c r="V1508" s="23">
        <f t="shared" si="5"/>
        <v>0</v>
      </c>
      <c r="W1508" s="24" t="str">
        <f t="shared" si="6"/>
        <v>#DIV/0!</v>
      </c>
    </row>
    <row r="1509">
      <c r="A1509" s="15" t="s">
        <v>5517</v>
      </c>
      <c r="B1509" s="15" t="s">
        <v>5518</v>
      </c>
      <c r="C1509" s="18"/>
      <c r="D1509" s="15" t="s">
        <v>5519</v>
      </c>
      <c r="E1509" s="17" t="s">
        <v>5520</v>
      </c>
      <c r="F1509" s="18"/>
      <c r="G1509" s="18"/>
      <c r="H1509" s="15" t="s">
        <v>5521</v>
      </c>
      <c r="I1509" s="18"/>
      <c r="J1509" s="19" t="s">
        <v>5480</v>
      </c>
      <c r="K1509" s="19" t="s">
        <v>52</v>
      </c>
      <c r="L1509" s="19" t="s">
        <v>368</v>
      </c>
      <c r="M1509" s="20">
        <f t="shared" si="2"/>
        <v>0</v>
      </c>
      <c r="N1509" s="22"/>
      <c r="O1509" s="19" t="s">
        <v>3578</v>
      </c>
      <c r="P1509" s="18"/>
      <c r="Q1509" s="18"/>
      <c r="R1509" s="23">
        <v>0.0</v>
      </c>
      <c r="S1509" s="23">
        <v>0.0</v>
      </c>
      <c r="T1509" s="23">
        <f t="shared" si="3"/>
        <v>0</v>
      </c>
      <c r="U1509" s="23">
        <f t="shared" si="4"/>
        <v>0</v>
      </c>
      <c r="V1509" s="23">
        <f t="shared" si="5"/>
        <v>0</v>
      </c>
      <c r="W1509" s="24" t="str">
        <f t="shared" si="6"/>
        <v>#DIV/0!</v>
      </c>
    </row>
    <row r="1510">
      <c r="A1510" s="15" t="s">
        <v>5522</v>
      </c>
      <c r="B1510" s="15" t="s">
        <v>5523</v>
      </c>
      <c r="C1510" s="18"/>
      <c r="D1510" s="15" t="s">
        <v>5524</v>
      </c>
      <c r="E1510" s="17" t="s">
        <v>5525</v>
      </c>
      <c r="F1510" s="18"/>
      <c r="G1510" s="18"/>
      <c r="H1510" s="15" t="s">
        <v>5526</v>
      </c>
      <c r="I1510" s="18"/>
      <c r="J1510" s="19" t="s">
        <v>5480</v>
      </c>
      <c r="K1510" s="19" t="s">
        <v>52</v>
      </c>
      <c r="L1510" s="19" t="s">
        <v>368</v>
      </c>
      <c r="M1510" s="20">
        <f t="shared" si="2"/>
        <v>0</v>
      </c>
      <c r="N1510" s="22"/>
      <c r="O1510" s="19" t="s">
        <v>3578</v>
      </c>
      <c r="P1510" s="18"/>
      <c r="Q1510" s="18"/>
      <c r="R1510" s="23">
        <v>0.0</v>
      </c>
      <c r="S1510" s="23">
        <v>0.0</v>
      </c>
      <c r="T1510" s="23">
        <f t="shared" si="3"/>
        <v>0</v>
      </c>
      <c r="U1510" s="23">
        <f t="shared" si="4"/>
        <v>0</v>
      </c>
      <c r="V1510" s="23">
        <f t="shared" si="5"/>
        <v>0</v>
      </c>
      <c r="W1510" s="24" t="str">
        <f t="shared" si="6"/>
        <v>#DIV/0!</v>
      </c>
    </row>
    <row r="1511">
      <c r="A1511" s="15" t="s">
        <v>5527</v>
      </c>
      <c r="B1511" s="15" t="s">
        <v>5528</v>
      </c>
      <c r="C1511" s="18"/>
      <c r="D1511" s="15" t="s">
        <v>5529</v>
      </c>
      <c r="E1511" s="17" t="s">
        <v>5530</v>
      </c>
      <c r="F1511" s="18"/>
      <c r="G1511" s="18"/>
      <c r="H1511" s="15" t="s">
        <v>5531</v>
      </c>
      <c r="I1511" s="18"/>
      <c r="J1511" s="19" t="s">
        <v>5480</v>
      </c>
      <c r="K1511" s="19" t="s">
        <v>52</v>
      </c>
      <c r="L1511" s="19" t="s">
        <v>368</v>
      </c>
      <c r="M1511" s="20">
        <f t="shared" si="2"/>
        <v>0</v>
      </c>
      <c r="N1511" s="22"/>
      <c r="O1511" s="19" t="s">
        <v>3578</v>
      </c>
      <c r="P1511" s="18"/>
      <c r="Q1511" s="18"/>
      <c r="R1511" s="23">
        <v>0.0</v>
      </c>
      <c r="S1511" s="23">
        <v>0.0</v>
      </c>
      <c r="T1511" s="23">
        <f t="shared" si="3"/>
        <v>0</v>
      </c>
      <c r="U1511" s="23">
        <f t="shared" si="4"/>
        <v>0</v>
      </c>
      <c r="V1511" s="23">
        <f t="shared" si="5"/>
        <v>0</v>
      </c>
      <c r="W1511" s="24" t="str">
        <f t="shared" si="6"/>
        <v>#DIV/0!</v>
      </c>
    </row>
    <row r="1512">
      <c r="A1512" s="15" t="s">
        <v>5532</v>
      </c>
      <c r="B1512" s="15" t="s">
        <v>5533</v>
      </c>
      <c r="C1512" s="18"/>
      <c r="D1512" s="15" t="s">
        <v>5534</v>
      </c>
      <c r="E1512" s="17" t="s">
        <v>5535</v>
      </c>
      <c r="F1512" s="18"/>
      <c r="G1512" s="18"/>
      <c r="H1512" s="15" t="s">
        <v>5536</v>
      </c>
      <c r="I1512" s="18"/>
      <c r="J1512" s="19" t="s">
        <v>5480</v>
      </c>
      <c r="K1512" s="19" t="s">
        <v>52</v>
      </c>
      <c r="L1512" s="19" t="s">
        <v>368</v>
      </c>
      <c r="M1512" s="20">
        <f t="shared" si="2"/>
        <v>0</v>
      </c>
      <c r="N1512" s="22"/>
      <c r="O1512" s="19" t="s">
        <v>3578</v>
      </c>
      <c r="P1512" s="18"/>
      <c r="Q1512" s="18"/>
      <c r="R1512" s="23">
        <v>0.0</v>
      </c>
      <c r="S1512" s="23">
        <v>0.0</v>
      </c>
      <c r="T1512" s="23">
        <f t="shared" si="3"/>
        <v>0</v>
      </c>
      <c r="U1512" s="23">
        <f t="shared" si="4"/>
        <v>0</v>
      </c>
      <c r="V1512" s="23">
        <f t="shared" si="5"/>
        <v>0</v>
      </c>
      <c r="W1512" s="24" t="str">
        <f t="shared" si="6"/>
        <v>#DIV/0!</v>
      </c>
    </row>
    <row r="1513">
      <c r="A1513" s="15" t="s">
        <v>5537</v>
      </c>
      <c r="B1513" s="18" t="str">
        <f t="shared" ref="B1513:B1532" si="10">CONCATENATE(7504589, A1513)</f>
        <v>75045892510</v>
      </c>
      <c r="C1513" s="18"/>
      <c r="D1513" s="15" t="s">
        <v>5538</v>
      </c>
      <c r="E1513" s="17" t="s">
        <v>5539</v>
      </c>
      <c r="F1513" s="18"/>
      <c r="G1513" s="18"/>
      <c r="H1513" s="15" t="s">
        <v>5540</v>
      </c>
      <c r="I1513" s="18"/>
      <c r="J1513" s="19" t="s">
        <v>5480</v>
      </c>
      <c r="K1513" s="19" t="s">
        <v>52</v>
      </c>
      <c r="L1513" s="19" t="s">
        <v>368</v>
      </c>
      <c r="M1513" s="20">
        <f t="shared" si="2"/>
        <v>0</v>
      </c>
      <c r="N1513" s="22"/>
      <c r="O1513" s="19" t="s">
        <v>3578</v>
      </c>
      <c r="P1513" s="18"/>
      <c r="Q1513" s="18"/>
      <c r="R1513" s="23">
        <v>0.0</v>
      </c>
      <c r="S1513" s="23">
        <v>0.0</v>
      </c>
      <c r="T1513" s="23">
        <f t="shared" si="3"/>
        <v>0</v>
      </c>
      <c r="U1513" s="23">
        <f t="shared" si="4"/>
        <v>0</v>
      </c>
      <c r="V1513" s="23">
        <f t="shared" si="5"/>
        <v>0</v>
      </c>
      <c r="W1513" s="24" t="str">
        <f t="shared" si="6"/>
        <v>#DIV/0!</v>
      </c>
    </row>
    <row r="1514">
      <c r="A1514" s="15" t="s">
        <v>5541</v>
      </c>
      <c r="B1514" s="18" t="str">
        <f t="shared" si="10"/>
        <v>75045892511</v>
      </c>
      <c r="C1514" s="18"/>
      <c r="D1514" s="15" t="s">
        <v>5542</v>
      </c>
      <c r="E1514" s="17" t="s">
        <v>5543</v>
      </c>
      <c r="F1514" s="18"/>
      <c r="G1514" s="18"/>
      <c r="H1514" s="15" t="s">
        <v>5544</v>
      </c>
      <c r="I1514" s="18"/>
      <c r="J1514" s="19" t="s">
        <v>5480</v>
      </c>
      <c r="K1514" s="19" t="s">
        <v>52</v>
      </c>
      <c r="L1514" s="19" t="s">
        <v>368</v>
      </c>
      <c r="M1514" s="20">
        <f t="shared" si="2"/>
        <v>0</v>
      </c>
      <c r="N1514" s="22"/>
      <c r="O1514" s="19" t="s">
        <v>3578</v>
      </c>
      <c r="P1514" s="18"/>
      <c r="Q1514" s="18"/>
      <c r="R1514" s="23">
        <v>0.0</v>
      </c>
      <c r="S1514" s="23">
        <v>0.0</v>
      </c>
      <c r="T1514" s="23">
        <f t="shared" si="3"/>
        <v>0</v>
      </c>
      <c r="U1514" s="23">
        <f t="shared" si="4"/>
        <v>0</v>
      </c>
      <c r="V1514" s="23">
        <f t="shared" si="5"/>
        <v>0</v>
      </c>
      <c r="W1514" s="24" t="str">
        <f t="shared" si="6"/>
        <v>#DIV/0!</v>
      </c>
    </row>
    <row r="1515">
      <c r="A1515" s="15" t="s">
        <v>5545</v>
      </c>
      <c r="B1515" s="18" t="str">
        <f t="shared" si="10"/>
        <v>75045892512</v>
      </c>
      <c r="C1515" s="18"/>
      <c r="D1515" s="15" t="s">
        <v>5546</v>
      </c>
      <c r="E1515" s="17" t="s">
        <v>5547</v>
      </c>
      <c r="F1515" s="18"/>
      <c r="G1515" s="18"/>
      <c r="H1515" s="15" t="s">
        <v>5548</v>
      </c>
      <c r="I1515" s="18"/>
      <c r="J1515" s="19" t="s">
        <v>5480</v>
      </c>
      <c r="K1515" s="19" t="s">
        <v>52</v>
      </c>
      <c r="L1515" s="19" t="s">
        <v>368</v>
      </c>
      <c r="M1515" s="20">
        <f t="shared" si="2"/>
        <v>0</v>
      </c>
      <c r="N1515" s="22"/>
      <c r="O1515" s="19" t="s">
        <v>3578</v>
      </c>
      <c r="P1515" s="18"/>
      <c r="Q1515" s="18"/>
      <c r="R1515" s="23">
        <v>0.0</v>
      </c>
      <c r="S1515" s="23">
        <v>0.0</v>
      </c>
      <c r="T1515" s="23">
        <f t="shared" si="3"/>
        <v>0</v>
      </c>
      <c r="U1515" s="23">
        <f t="shared" si="4"/>
        <v>0</v>
      </c>
      <c r="V1515" s="23">
        <f t="shared" si="5"/>
        <v>0</v>
      </c>
      <c r="W1515" s="24" t="str">
        <f t="shared" si="6"/>
        <v>#DIV/0!</v>
      </c>
    </row>
    <row r="1516">
      <c r="A1516" s="15" t="s">
        <v>5549</v>
      </c>
      <c r="B1516" s="18" t="str">
        <f t="shared" si="10"/>
        <v>75045892513</v>
      </c>
      <c r="C1516" s="18"/>
      <c r="D1516" s="15" t="s">
        <v>5550</v>
      </c>
      <c r="E1516" s="17" t="s">
        <v>5551</v>
      </c>
      <c r="F1516" s="18"/>
      <c r="G1516" s="18"/>
      <c r="H1516" s="15" t="s">
        <v>5552</v>
      </c>
      <c r="I1516" s="18"/>
      <c r="J1516" s="19" t="s">
        <v>5480</v>
      </c>
      <c r="K1516" s="19" t="s">
        <v>52</v>
      </c>
      <c r="L1516" s="19" t="s">
        <v>368</v>
      </c>
      <c r="M1516" s="20">
        <f t="shared" si="2"/>
        <v>0</v>
      </c>
      <c r="N1516" s="22"/>
      <c r="O1516" s="19" t="s">
        <v>3578</v>
      </c>
      <c r="P1516" s="18"/>
      <c r="Q1516" s="18"/>
      <c r="R1516" s="23"/>
      <c r="S1516" s="23"/>
      <c r="T1516" s="23">
        <f t="shared" si="3"/>
        <v>0</v>
      </c>
      <c r="U1516" s="23">
        <f t="shared" si="4"/>
        <v>0</v>
      </c>
      <c r="V1516" s="23">
        <f t="shared" si="5"/>
        <v>0</v>
      </c>
      <c r="W1516" s="24" t="str">
        <f t="shared" si="6"/>
        <v>#DIV/0!</v>
      </c>
    </row>
    <row r="1517">
      <c r="A1517" s="15" t="s">
        <v>5553</v>
      </c>
      <c r="B1517" s="18" t="str">
        <f t="shared" si="10"/>
        <v>75045892514</v>
      </c>
      <c r="C1517" s="18"/>
      <c r="D1517" s="15" t="s">
        <v>5554</v>
      </c>
      <c r="E1517" s="17" t="s">
        <v>5555</v>
      </c>
      <c r="F1517" s="18"/>
      <c r="G1517" s="18"/>
      <c r="H1517" s="15" t="s">
        <v>5556</v>
      </c>
      <c r="I1517" s="18"/>
      <c r="J1517" s="19" t="s">
        <v>5480</v>
      </c>
      <c r="K1517" s="19" t="s">
        <v>52</v>
      </c>
      <c r="L1517" s="19" t="s">
        <v>368</v>
      </c>
      <c r="M1517" s="20">
        <f t="shared" si="2"/>
        <v>0</v>
      </c>
      <c r="N1517" s="22"/>
      <c r="O1517" s="19" t="s">
        <v>3578</v>
      </c>
      <c r="P1517" s="18"/>
      <c r="Q1517" s="18"/>
      <c r="R1517" s="23">
        <v>0.0</v>
      </c>
      <c r="S1517" s="23">
        <v>0.0</v>
      </c>
      <c r="T1517" s="23">
        <f t="shared" si="3"/>
        <v>0</v>
      </c>
      <c r="U1517" s="23">
        <f t="shared" si="4"/>
        <v>0</v>
      </c>
      <c r="V1517" s="23">
        <f t="shared" si="5"/>
        <v>0</v>
      </c>
      <c r="W1517" s="24" t="str">
        <f t="shared" si="6"/>
        <v>#DIV/0!</v>
      </c>
    </row>
    <row r="1518">
      <c r="A1518" s="15" t="s">
        <v>5557</v>
      </c>
      <c r="B1518" s="18" t="str">
        <f t="shared" si="10"/>
        <v>75045892515</v>
      </c>
      <c r="C1518" s="18"/>
      <c r="D1518" s="15" t="s">
        <v>5558</v>
      </c>
      <c r="E1518" s="17" t="s">
        <v>5559</v>
      </c>
      <c r="F1518" s="18"/>
      <c r="G1518" s="18"/>
      <c r="H1518" s="15" t="s">
        <v>5560</v>
      </c>
      <c r="I1518" s="18"/>
      <c r="J1518" s="19" t="s">
        <v>5480</v>
      </c>
      <c r="K1518" s="19" t="s">
        <v>52</v>
      </c>
      <c r="L1518" s="19" t="s">
        <v>368</v>
      </c>
      <c r="M1518" s="20">
        <f t="shared" si="2"/>
        <v>0</v>
      </c>
      <c r="N1518" s="22"/>
      <c r="O1518" s="19" t="s">
        <v>3578</v>
      </c>
      <c r="P1518" s="18"/>
      <c r="Q1518" s="18"/>
      <c r="R1518" s="23"/>
      <c r="S1518" s="23"/>
      <c r="T1518" s="23">
        <f t="shared" si="3"/>
        <v>0</v>
      </c>
      <c r="U1518" s="23">
        <f t="shared" si="4"/>
        <v>0</v>
      </c>
      <c r="V1518" s="23">
        <f t="shared" si="5"/>
        <v>0</v>
      </c>
      <c r="W1518" s="24" t="str">
        <f t="shared" si="6"/>
        <v>#DIV/0!</v>
      </c>
    </row>
    <row r="1519">
      <c r="A1519" s="15" t="s">
        <v>5561</v>
      </c>
      <c r="B1519" s="18" t="str">
        <f t="shared" si="10"/>
        <v>75045892516</v>
      </c>
      <c r="C1519" s="18"/>
      <c r="D1519" s="15" t="s">
        <v>5562</v>
      </c>
      <c r="E1519" s="17" t="s">
        <v>5563</v>
      </c>
      <c r="F1519" s="18"/>
      <c r="G1519" s="18"/>
      <c r="H1519" s="15" t="s">
        <v>5564</v>
      </c>
      <c r="I1519" s="18"/>
      <c r="J1519" s="19" t="s">
        <v>5480</v>
      </c>
      <c r="K1519" s="19" t="s">
        <v>52</v>
      </c>
      <c r="L1519" s="19" t="s">
        <v>368</v>
      </c>
      <c r="M1519" s="20">
        <f t="shared" si="2"/>
        <v>0</v>
      </c>
      <c r="N1519" s="22"/>
      <c r="O1519" s="19" t="s">
        <v>3578</v>
      </c>
      <c r="P1519" s="18"/>
      <c r="Q1519" s="18"/>
      <c r="R1519" s="23"/>
      <c r="S1519" s="23"/>
      <c r="T1519" s="23">
        <f t="shared" si="3"/>
        <v>0</v>
      </c>
      <c r="U1519" s="23">
        <f t="shared" si="4"/>
        <v>0</v>
      </c>
      <c r="V1519" s="23">
        <f t="shared" si="5"/>
        <v>0</v>
      </c>
      <c r="W1519" s="24" t="str">
        <f t="shared" si="6"/>
        <v>#DIV/0!</v>
      </c>
    </row>
    <row r="1520">
      <c r="A1520" s="15" t="s">
        <v>5565</v>
      </c>
      <c r="B1520" s="18" t="str">
        <f t="shared" si="10"/>
        <v>75045892517</v>
      </c>
      <c r="C1520" s="18"/>
      <c r="D1520" s="15" t="s">
        <v>5566</v>
      </c>
      <c r="E1520" s="17" t="s">
        <v>5567</v>
      </c>
      <c r="F1520" s="18"/>
      <c r="G1520" s="18"/>
      <c r="H1520" s="15" t="s">
        <v>5568</v>
      </c>
      <c r="I1520" s="18"/>
      <c r="J1520" s="19" t="s">
        <v>5480</v>
      </c>
      <c r="K1520" s="19" t="s">
        <v>52</v>
      </c>
      <c r="L1520" s="19" t="s">
        <v>368</v>
      </c>
      <c r="M1520" s="20">
        <f t="shared" si="2"/>
        <v>0</v>
      </c>
      <c r="N1520" s="22"/>
      <c r="O1520" s="19" t="s">
        <v>3578</v>
      </c>
      <c r="P1520" s="18"/>
      <c r="Q1520" s="18"/>
      <c r="R1520" s="23"/>
      <c r="S1520" s="23"/>
      <c r="T1520" s="23">
        <f t="shared" si="3"/>
        <v>0</v>
      </c>
      <c r="U1520" s="23">
        <f t="shared" si="4"/>
        <v>0</v>
      </c>
      <c r="V1520" s="23">
        <f t="shared" si="5"/>
        <v>0</v>
      </c>
      <c r="W1520" s="24" t="str">
        <f t="shared" si="6"/>
        <v>#DIV/0!</v>
      </c>
    </row>
    <row r="1521">
      <c r="A1521" s="15" t="s">
        <v>5569</v>
      </c>
      <c r="B1521" s="18" t="str">
        <f t="shared" si="10"/>
        <v>75045892518</v>
      </c>
      <c r="C1521" s="26"/>
      <c r="D1521" s="15" t="s">
        <v>5570</v>
      </c>
      <c r="E1521" s="25" t="s">
        <v>5571</v>
      </c>
      <c r="F1521" s="26"/>
      <c r="G1521" s="26"/>
      <c r="H1521" s="25" t="s">
        <v>5572</v>
      </c>
      <c r="I1521" s="25" t="s">
        <v>5573</v>
      </c>
      <c r="J1521" s="27" t="s">
        <v>5480</v>
      </c>
      <c r="K1521" s="27" t="s">
        <v>52</v>
      </c>
      <c r="L1521" s="27" t="s">
        <v>368</v>
      </c>
      <c r="M1521" s="20">
        <f t="shared" si="2"/>
        <v>0</v>
      </c>
      <c r="N1521" s="29"/>
      <c r="O1521" s="27" t="s">
        <v>3578</v>
      </c>
      <c r="P1521" s="26"/>
      <c r="Q1521" s="26"/>
      <c r="R1521" s="90"/>
      <c r="S1521" s="90"/>
      <c r="T1521" s="90"/>
      <c r="U1521" s="90"/>
      <c r="V1521" s="90"/>
      <c r="W1521" s="91"/>
    </row>
    <row r="1522">
      <c r="A1522" s="15" t="s">
        <v>5574</v>
      </c>
      <c r="B1522" s="18" t="str">
        <f t="shared" si="10"/>
        <v>75045892519</v>
      </c>
      <c r="C1522" s="26"/>
      <c r="D1522" s="26"/>
      <c r="E1522" s="25" t="s">
        <v>5575</v>
      </c>
      <c r="F1522" s="26"/>
      <c r="G1522" s="26"/>
      <c r="H1522" s="25" t="s">
        <v>5576</v>
      </c>
      <c r="I1522" s="26"/>
      <c r="J1522" s="27" t="s">
        <v>59</v>
      </c>
      <c r="K1522" s="27" t="s">
        <v>52</v>
      </c>
      <c r="L1522" s="27" t="s">
        <v>368</v>
      </c>
      <c r="M1522" s="20">
        <f t="shared" si="2"/>
        <v>0</v>
      </c>
      <c r="N1522" s="29"/>
      <c r="O1522" s="27" t="s">
        <v>3578</v>
      </c>
    </row>
    <row r="1523">
      <c r="A1523" s="15" t="s">
        <v>5577</v>
      </c>
      <c r="B1523" s="18" t="str">
        <f t="shared" si="10"/>
        <v>75045892520</v>
      </c>
      <c r="C1523" s="26"/>
      <c r="D1523" s="25" t="s">
        <v>5578</v>
      </c>
      <c r="E1523" s="25" t="s">
        <v>5579</v>
      </c>
      <c r="F1523" s="26"/>
      <c r="G1523" s="26"/>
      <c r="H1523" s="25" t="s">
        <v>5580</v>
      </c>
      <c r="I1523" s="26"/>
      <c r="J1523" s="27" t="s">
        <v>59</v>
      </c>
      <c r="K1523" s="27" t="s">
        <v>427</v>
      </c>
      <c r="L1523" s="27" t="s">
        <v>52</v>
      </c>
      <c r="M1523" s="20">
        <f t="shared" si="2"/>
        <v>0</v>
      </c>
      <c r="N1523" s="29"/>
      <c r="O1523" s="27" t="s">
        <v>3578</v>
      </c>
    </row>
    <row r="1524">
      <c r="A1524" s="15" t="s">
        <v>5581</v>
      </c>
      <c r="B1524" s="18" t="str">
        <f t="shared" si="10"/>
        <v>75045892521</v>
      </c>
      <c r="C1524" s="26"/>
      <c r="D1524" s="26"/>
      <c r="E1524" s="25" t="s">
        <v>5582</v>
      </c>
      <c r="F1524" s="26"/>
      <c r="G1524" s="26"/>
      <c r="H1524" s="25" t="s">
        <v>5583</v>
      </c>
      <c r="I1524" s="26"/>
      <c r="J1524" s="27" t="s">
        <v>59</v>
      </c>
      <c r="K1524" s="27" t="s">
        <v>52</v>
      </c>
      <c r="L1524" s="27" t="s">
        <v>52</v>
      </c>
      <c r="M1524" s="20">
        <f t="shared" si="2"/>
        <v>0</v>
      </c>
      <c r="N1524" s="29"/>
      <c r="O1524" s="27" t="s">
        <v>3578</v>
      </c>
    </row>
    <row r="1525">
      <c r="A1525" s="15" t="s">
        <v>5584</v>
      </c>
      <c r="B1525" s="18" t="str">
        <f t="shared" si="10"/>
        <v>75045892522</v>
      </c>
      <c r="C1525" s="26"/>
      <c r="D1525" s="25" t="s">
        <v>5585</v>
      </c>
      <c r="E1525" s="25" t="s">
        <v>5586</v>
      </c>
      <c r="F1525" s="26"/>
      <c r="G1525" s="26"/>
      <c r="H1525" s="25" t="s">
        <v>5587</v>
      </c>
      <c r="I1525" s="26"/>
      <c r="J1525" s="27" t="s">
        <v>59</v>
      </c>
      <c r="K1525" s="27" t="s">
        <v>52</v>
      </c>
      <c r="L1525" s="27" t="s">
        <v>52</v>
      </c>
      <c r="M1525" s="20">
        <f t="shared" si="2"/>
        <v>0</v>
      </c>
      <c r="N1525" s="29"/>
      <c r="O1525" s="27" t="s">
        <v>3578</v>
      </c>
    </row>
    <row r="1526">
      <c r="A1526" s="15" t="s">
        <v>5588</v>
      </c>
      <c r="B1526" s="18" t="str">
        <f t="shared" si="10"/>
        <v>75045892523</v>
      </c>
      <c r="C1526" s="26"/>
      <c r="D1526" s="26"/>
      <c r="E1526" s="25"/>
      <c r="F1526" s="26"/>
      <c r="G1526" s="26"/>
      <c r="H1526" s="26"/>
      <c r="I1526" s="26"/>
      <c r="J1526" s="54"/>
      <c r="K1526" s="54"/>
      <c r="L1526" s="54"/>
      <c r="M1526" s="20">
        <f t="shared" si="2"/>
        <v>0</v>
      </c>
      <c r="N1526" s="29"/>
      <c r="O1526" s="27" t="s">
        <v>1145</v>
      </c>
    </row>
    <row r="1527">
      <c r="A1527" s="15" t="s">
        <v>5592</v>
      </c>
      <c r="B1527" s="18" t="str">
        <f t="shared" si="10"/>
        <v>75045892524</v>
      </c>
      <c r="C1527" s="26"/>
      <c r="D1527" s="26"/>
      <c r="E1527" s="26"/>
      <c r="F1527" s="26"/>
      <c r="G1527" s="26"/>
      <c r="H1527" s="26"/>
      <c r="I1527" s="26"/>
      <c r="J1527" s="54"/>
      <c r="K1527" s="54"/>
      <c r="L1527" s="54"/>
      <c r="M1527" s="20">
        <f t="shared" si="2"/>
        <v>0</v>
      </c>
      <c r="N1527" s="29"/>
      <c r="O1527" s="64"/>
    </row>
    <row r="1528">
      <c r="A1528" s="15" t="s">
        <v>5596</v>
      </c>
      <c r="B1528" s="18" t="str">
        <f t="shared" si="10"/>
        <v>75045892525</v>
      </c>
      <c r="C1528" s="26"/>
      <c r="D1528" s="26"/>
      <c r="E1528" s="26"/>
      <c r="F1528" s="26"/>
      <c r="G1528" s="26"/>
      <c r="H1528" s="26"/>
      <c r="I1528" s="26"/>
      <c r="J1528" s="54"/>
      <c r="K1528" s="54"/>
      <c r="L1528" s="54"/>
      <c r="M1528" s="20">
        <f t="shared" si="2"/>
        <v>0</v>
      </c>
      <c r="N1528" s="29"/>
      <c r="O1528" s="64"/>
    </row>
    <row r="1529">
      <c r="A1529" s="15" t="s">
        <v>5600</v>
      </c>
      <c r="B1529" s="18" t="str">
        <f t="shared" si="10"/>
        <v>75045892526</v>
      </c>
      <c r="C1529" s="26"/>
      <c r="D1529" s="26"/>
      <c r="E1529" s="26"/>
      <c r="F1529" s="26"/>
      <c r="G1529" s="26"/>
      <c r="H1529" s="26"/>
      <c r="I1529" s="26"/>
      <c r="J1529" s="54"/>
      <c r="K1529" s="54"/>
      <c r="L1529" s="54"/>
      <c r="M1529" s="20">
        <f t="shared" si="2"/>
        <v>0</v>
      </c>
      <c r="N1529" s="29"/>
      <c r="O1529" s="64"/>
    </row>
    <row r="1530">
      <c r="A1530" s="15" t="s">
        <v>5604</v>
      </c>
      <c r="B1530" s="18" t="str">
        <f t="shared" si="10"/>
        <v>75045892527</v>
      </c>
      <c r="C1530" s="26"/>
      <c r="D1530" s="26"/>
      <c r="E1530" s="26"/>
      <c r="F1530" s="26"/>
      <c r="G1530" s="26"/>
      <c r="H1530" s="26"/>
      <c r="I1530" s="26"/>
      <c r="J1530" s="54"/>
      <c r="K1530" s="54"/>
      <c r="L1530" s="54"/>
      <c r="M1530" s="20">
        <f t="shared" si="2"/>
        <v>0</v>
      </c>
      <c r="N1530" s="29"/>
      <c r="O1530" s="64"/>
    </row>
    <row r="1531">
      <c r="A1531" s="15" t="s">
        <v>5608</v>
      </c>
      <c r="B1531" s="18" t="str">
        <f t="shared" si="10"/>
        <v>75045892528</v>
      </c>
      <c r="C1531" s="26"/>
      <c r="D1531" s="26"/>
      <c r="E1531" s="26"/>
      <c r="F1531" s="26"/>
      <c r="G1531" s="26"/>
      <c r="H1531" s="26"/>
      <c r="I1531" s="26"/>
      <c r="J1531" s="54"/>
      <c r="K1531" s="54"/>
      <c r="L1531" s="54"/>
      <c r="M1531" s="20">
        <f t="shared" si="2"/>
        <v>0</v>
      </c>
      <c r="N1531" s="29"/>
      <c r="O1531" s="64"/>
    </row>
    <row r="1532">
      <c r="A1532" s="15" t="s">
        <v>5612</v>
      </c>
      <c r="B1532" s="18" t="str">
        <f t="shared" si="10"/>
        <v>75045892529</v>
      </c>
      <c r="C1532" s="26"/>
      <c r="D1532" s="26"/>
      <c r="E1532" s="26"/>
      <c r="F1532" s="26"/>
      <c r="G1532" s="26"/>
      <c r="H1532" s="26"/>
      <c r="I1532" s="26"/>
      <c r="J1532" s="54"/>
      <c r="K1532" s="54"/>
      <c r="L1532" s="54"/>
      <c r="M1532" s="20">
        <f t="shared" si="2"/>
        <v>0</v>
      </c>
      <c r="N1532" s="29"/>
      <c r="O1532" s="64"/>
    </row>
    <row r="1533">
      <c r="A1533" s="66"/>
      <c r="B1533" s="66"/>
      <c r="C1533" s="66"/>
      <c r="D1533" s="66"/>
      <c r="E1533" s="66"/>
      <c r="F1533" s="66"/>
      <c r="G1533" s="66"/>
      <c r="H1533" s="66"/>
      <c r="I1533" s="66"/>
      <c r="J1533" s="66"/>
      <c r="K1533" s="66"/>
      <c r="L1533" s="66"/>
      <c r="M1533" s="20">
        <f>SUM(Inventory_tracker[$ Venta])</f>
        <v>903291.36</v>
      </c>
      <c r="N1533" s="66">
        <f>SUM(Inventory_tracker[Stock])</f>
        <v>1837</v>
      </c>
      <c r="O1533" s="66"/>
      <c r="P1533" s="66"/>
      <c r="Q1533" s="66"/>
      <c r="R1533" s="20">
        <f>SUM(Inventory_tracker[$ Venta])</f>
        <v>903291.36</v>
      </c>
      <c r="S1533" s="20">
        <f>SUM(Inventory_tracker[$ Venta])</f>
        <v>903291.36</v>
      </c>
      <c r="T1533" s="20">
        <f>SUM(Inventory_tracker[$ Venta])</f>
        <v>903291.36</v>
      </c>
      <c r="U1533" s="20">
        <f>SUM(Inventory_tracker[$ Venta])</f>
        <v>903291.36</v>
      </c>
      <c r="V1533" s="20">
        <f>SUM(Inventory_tracker[$ Venta])</f>
        <v>903291.36</v>
      </c>
      <c r="W1533" s="68"/>
    </row>
  </sheetData>
  <conditionalFormatting sqref="R4:W1532">
    <cfRule type="cellIs" dxfId="6" priority="1" operator="equal">
      <formula>0</formula>
    </cfRule>
  </conditionalFormatting>
  <dataValidations>
    <dataValidation type="list" allowBlank="1" sqref="L4:L1532">
      <formula1>"FILTROS,EMPAQUES,ENGRANES,BALEROS,VALVULAS,BOMBAS,ANILLOS METALICOS,CASQUILLOS,TUBOS,SIN ASIGNAR,TRANSMISIONES,PISTONES,RODILLOS,ACCESORIOS ,RELAYS,MOTORES,MEDIDORES,CABLES,VIBRADORES,LIMPIEZA"</formula1>
    </dataValidation>
    <dataValidation type="list" allowBlank="1" sqref="K4:K1532">
      <formula1>"BARRA V-ROCK,AGITADOR V-ROCK,FILTROS,TUBERIA ACERO,TUBERIA FLEXIBLE,REDUCTOR,HIDRAULICO,OTROS,SISTEMA DE BOMBEO,TANQUE DE AGUA,CANALONES Y TOLVAS,TOLVA,SIN ASIGNAR"</formula1>
    </dataValidation>
    <dataValidation type="list" allowBlank="1" sqref="J4:J1532">
      <formula1>"Olla Revolvedora,Sitrak,Schwing,Putzmeister,WAM,Tuberia,Otro,CIFA,TRITURADORAS"</formula1>
    </dataValidation>
    <dataValidation type="custom" allowBlank="1" showDropDown="1" sqref="M4:N1532 R4:V1532">
      <formula1>AND(ISNUMBER(M4),(NOT(OR(NOT(ISERROR(DATEVALUE(M4))), AND(ISNUMBER(M4), LEFT(CELL("format", M4))="D")))))</formula1>
    </dataValidation>
    <dataValidation allowBlank="1" showDropDown="1" sqref="A4:I1532 P4:Q1532"/>
    <dataValidation type="custom" allowBlank="1" showDropDown="1" sqref="W4:W1532">
      <formula1>AND(ISNUMBER(W4),(NOT(OR(NOT(ISERROR(DATEVALUE(W4))), AND(ISNUMBER(W4), LEFT(CELL("format", W4))="D")))))</formula1>
    </dataValidation>
    <dataValidation type="list" allowBlank="1" sqref="O4:O1532">
      <formula1>"In stock,No Available,To Re-purchase,Sold out,borrar,Falta Ubicar"</formula1>
    </dataValidation>
  </dataValidations>
  <drawing r:id="rId1"/>
  <tableParts count="1">
    <tablePart r:id="rId3"/>
  </tableParts>
</worksheet>
</file>